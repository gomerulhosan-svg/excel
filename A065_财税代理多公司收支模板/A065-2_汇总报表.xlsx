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" sheetId="1" state="visible" r:id="rId1"/>
    <sheet xmlns:r="http://schemas.openxmlformats.org/officeDocument/2006/relationships" name="收支汇总表" sheetId="2" state="visible" r:id="rId2"/>
    <sheet xmlns:r="http://schemas.openxmlformats.org/officeDocument/2006/relationships" name="简易现金流量表" sheetId="3" state="visible" r:id="rId3"/>
    <sheet xmlns:r="http://schemas.openxmlformats.org/officeDocument/2006/relationships" name="资金余额表" sheetId="4" state="visible" r:id="rId4"/>
    <sheet xmlns:r="http://schemas.openxmlformats.org/officeDocument/2006/relationships" name="费用统计" sheetId="5" state="visible" r:id="rId5"/>
    <sheet xmlns:r="http://schemas.openxmlformats.org/officeDocument/2006/relationships" name="客户收入统计" sheetId="6" state="visible" r:id="rId6"/>
    <sheet xmlns:r="http://schemas.openxmlformats.org/officeDocument/2006/relationships" name="应收应付汇总" sheetId="7" state="visible" r:id="rId7"/>
    <sheet xmlns:r="http://schemas.openxmlformats.org/officeDocument/2006/relationships" name="往来对账单" sheetId="8" state="visible" r:id="rId8"/>
    <sheet xmlns:r="http://schemas.openxmlformats.org/officeDocument/2006/relationships" name="内部往来" sheetId="9" state="visible" r:id="rId9"/>
    <sheet xmlns:r="http://schemas.openxmlformats.org/officeDocument/2006/relationships" name="发票汇总" sheetId="10" state="visible" r:id="rId10"/>
    <sheet xmlns:r="http://schemas.openxmlformats.org/officeDocument/2006/relationships" name="资金台帐" sheetId="11" state="hidden" r:id="rId11"/>
    <sheet xmlns:r="http://schemas.openxmlformats.org/officeDocument/2006/relationships" name="发票导入" sheetId="12" state="hidden" r:id="rId12"/>
    <sheet xmlns:r="http://schemas.openxmlformats.org/officeDocument/2006/relationships" name="基础资料" sheetId="13" state="hidden" r:id="rId13"/>
    <sheet xmlns:r="http://schemas.openxmlformats.org/officeDocument/2006/relationships" name="往来单位" sheetId="14" state="hidden" r:id="rId14"/>
    <sheet xmlns:r="http://schemas.openxmlformats.org/officeDocument/2006/relationships" name="_辅助" sheetId="15" state="hidden" r:id="rId15"/>
  </sheets>
  <externalReferences>
    <externalReference xmlns:r="http://schemas.openxmlformats.org/officeDocument/2006/relationships" r:id="rId16"/>
  </externalReferences>
  <definedNames>
    <definedName name="_xlnm._FilterDatabase" localSheetId="6" hidden="1">'应收应付汇总'!$A$4:$N$606</definedName>
    <definedName name="_xlnm.Print_Titles" localSheetId="7">'往来对账单'!$1:$7</definedName>
  </definedNames>
  <calcPr calcId="191029" fullCalcOnLoad="0"/>
</workbook>
</file>

<file path=xl/styles.xml><?xml version="1.0" encoding="utf-8"?>
<styleSheet xmlns="http://schemas.openxmlformats.org/spreadsheetml/2006/main">
  <numFmts count="8">
    <numFmt numFmtId="164" formatCode="#,##0.00;[Red]-#,##0.00;&quot;-&quot;"/>
    <numFmt numFmtId="165" formatCode="0.0%;[Red]-0.0%;&quot;-&quot;"/>
    <numFmt numFmtId="166" formatCode="yyyy-mm-dd h:mm:ss"/>
    <numFmt numFmtId="167" formatCode="yyyy/mm/dd"/>
    <numFmt numFmtId="168" formatCode="0;-0;&quot;-&quot;"/>
    <numFmt numFmtId="169" formatCode="yyyy/mm/dd;;"/>
    <numFmt numFmtId="170" formatCode="0&quot;个&quot;"/>
    <numFmt numFmtId="171" formatCode="0&quot;处&quot;"/>
  </numFmts>
  <fonts count="19">
    <font>
      <name val="Calibri"/>
      <family val="2"/>
      <color theme="1"/>
      <sz val="11"/>
      <scheme val="minor"/>
    </font>
    <font>
      <name val="微软雅黑"/>
      <color rgb="FF808080"/>
      <sz val="9"/>
    </font>
    <font>
      <name val="微软雅黑"/>
      <color rgb="FFBFBFBF"/>
      <sz val="8"/>
    </font>
    <font>
      <name val="微软雅黑"/>
      <b val="1"/>
      <color rgb="FFFFFFFF"/>
      <sz val="16"/>
    </font>
    <font>
      <name val="微软雅黑"/>
      <color rgb="FFFF6600"/>
      <sz val="10"/>
    </font>
    <font>
      <name val="微软雅黑"/>
      <b val="1"/>
      <color rgb="FF1F3864"/>
      <sz val="10"/>
    </font>
    <font>
      <name val="微软雅黑"/>
      <b val="1"/>
      <color rgb="FF000000"/>
      <sz val="11"/>
    </font>
    <font>
      <name val="微软雅黑"/>
      <b val="1"/>
      <color rgb="FFFFFFFF"/>
      <sz val="10"/>
    </font>
    <font>
      <name val="微软雅黑"/>
      <color rgb="FF000000"/>
      <sz val="10"/>
    </font>
    <font>
      <name val="微软雅黑"/>
      <color rgb="FF404040"/>
      <sz val="10"/>
    </font>
    <font>
      <name val="微软雅黑"/>
      <b val="1"/>
      <color rgb="FF000000"/>
      <sz val="10"/>
    </font>
    <font>
      <name val="微软雅黑"/>
      <b val="1"/>
      <color rgb="FFC00000"/>
      <sz val="10"/>
    </font>
    <font>
      <name val="微软雅黑"/>
      <b val="1"/>
      <color rgb="FFFFFFFF"/>
      <sz val="11"/>
    </font>
    <font>
      <name val="微软雅黑"/>
      <b val="1"/>
      <color rgb="FFC00000"/>
      <sz val="13"/>
    </font>
    <font>
      <name val="微软雅黑"/>
      <b val="1"/>
      <color rgb="FFFFFFFF"/>
      <sz val="18"/>
    </font>
    <font>
      <name val="微软雅黑"/>
      <b val="1"/>
      <color rgb="FF595959"/>
      <sz val="10"/>
    </font>
    <font>
      <name val="微软雅黑"/>
      <b val="1"/>
      <color rgb="FFC00000"/>
      <sz val="14"/>
    </font>
    <font>
      <name val="微软雅黑"/>
      <b val="1"/>
      <color rgb="FF1F4E79"/>
      <sz val="14"/>
    </font>
    <font>
      <name val="微软雅黑"/>
      <b val="1"/>
      <color rgb="FF0563C1"/>
      <sz val="11"/>
      <u val="single"/>
    </font>
  </fonts>
  <fills count="17">
    <fill>
      <patternFill/>
    </fill>
    <fill>
      <patternFill patternType="gray125"/>
    </fill>
    <fill>
      <patternFill patternType="solid">
        <fgColor rgb="FF375623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FFFF00"/>
      </patternFill>
    </fill>
    <fill>
      <patternFill patternType="solid">
        <fgColor rgb="FFE2EFDA"/>
      </patternFill>
    </fill>
    <fill>
      <patternFill patternType="solid">
        <fgColor rgb="FFA9D08E"/>
      </patternFill>
    </fill>
    <fill>
      <patternFill patternType="solid">
        <fgColor rgb="FFDDEBF7"/>
      </patternFill>
    </fill>
    <fill>
      <patternFill patternType="solid">
        <fgColor rgb="FFBDD7EE"/>
      </patternFill>
    </fill>
    <fill>
      <patternFill patternType="solid">
        <fgColor rgb="FFFCE4D6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BF8F00"/>
      </patternFill>
    </fill>
    <fill>
      <patternFill patternType="solid">
        <fgColor rgb="FF7030A0"/>
      </patternFill>
    </fill>
    <fill>
      <patternFill patternType="solid">
        <fgColor rgb="FF1F3864"/>
      </patternFill>
    </fill>
    <fill>
      <patternFill patternType="solid">
        <fgColor rgb="FF59595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4" fillId="15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167" fontId="13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164" fontId="16" fillId="12" borderId="1" applyAlignment="1" pivotButton="0" quotePrefix="0" xfId="0">
      <alignment horizontal="center" vertical="center"/>
    </xf>
    <xf numFmtId="170" fontId="16" fillId="12" borderId="1" applyAlignment="1" pivotButton="0" quotePrefix="0" xfId="0">
      <alignment horizontal="center" vertical="center"/>
    </xf>
    <xf numFmtId="171" fontId="17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2" fillId="1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7" fillId="16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" fillId="0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0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5" fontId="1" fillId="0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/>
    </xf>
    <xf numFmtId="164" fontId="9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/>
    </xf>
    <xf numFmtId="164" fontId="5" fillId="10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10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right" vertical="center"/>
    </xf>
    <xf numFmtId="164" fontId="5" fillId="11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right" vertical="center"/>
    </xf>
    <xf numFmtId="164" fontId="5" fillId="12" borderId="1" applyAlignment="1" pivotButton="0" quotePrefix="0" xfId="0">
      <alignment horizontal="right" vertical="center"/>
    </xf>
    <xf numFmtId="164" fontId="11" fillId="12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9" fillId="0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9" fontId="9" fillId="0" borderId="1" applyAlignment="1" pivotButton="0" quotePrefix="0" xfId="0">
      <alignment horizontal="center" vertical="center"/>
    </xf>
    <xf numFmtId="168" fontId="9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3" fillId="13" borderId="0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1" fillId="12" borderId="1" applyAlignment="1" pivotButton="0" quotePrefix="0" xfId="0">
      <alignment horizontal="left" vertical="center"/>
    </xf>
    <xf numFmtId="0" fontId="9" fillId="12" borderId="1" pivotButton="0" quotePrefix="0" xfId="0"/>
    <xf numFmtId="0" fontId="1" fillId="12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1" fontId="1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left" vertical="center"/>
    </xf>
    <xf numFmtId="0" fontId="7" fillId="13" borderId="1" applyAlignment="1" pivotButton="0" quotePrefix="0" xfId="0">
      <alignment horizontal="center" vertical="center"/>
    </xf>
    <xf numFmtId="0" fontId="3" fillId="14" borderId="0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right" vertical="center"/>
    </xf>
    <xf numFmtId="168" fontId="5" fillId="1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A065-1_&#27969;&#27700;&#21457;&#31080;&#23548;&#20837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首页"/>
      <sheetName val="基础资料"/>
      <sheetName val="往来单位"/>
      <sheetName val="流水1"/>
      <sheetName val="流水2"/>
      <sheetName val="流水3"/>
      <sheetName val="流水4"/>
      <sheetName val="流水5"/>
      <sheetName val="流水6"/>
      <sheetName val="流水7"/>
      <sheetName val="流水8"/>
      <sheetName val="手工记账"/>
      <sheetName val="资金台帐"/>
      <sheetName val="发票导入"/>
      <sheetName val="数据校验"/>
      <sheetName val="_辅助"/>
    </sheetNames>
    <sheetDataSet>
      <sheetData sheetId="0" refreshError="1"/>
      <sheetData sheetId="1">
        <row r="5">
          <cell r="B5" t="str">
            <v>中智优力</v>
          </cell>
          <cell r="I5" t="str">
            <v>农行2896</v>
          </cell>
          <cell r="J5" t="str">
            <v>中智优力</v>
          </cell>
          <cell r="K5" t="str">
            <v>银行</v>
          </cell>
          <cell r="L5" t="str">
            <v>39-408001040012896</v>
          </cell>
          <cell r="N5">
            <v>195212.65</v>
          </cell>
          <cell r="O5">
            <v>46266.0</v>
          </cell>
          <cell r="P5">
            <v>286034.11</v>
          </cell>
          <cell r="Q5">
            <v>46279.0</v>
          </cell>
          <cell r="U5" t="str">
            <v>项目</v>
          </cell>
          <cell r="V5" t="str">
            <v>收入</v>
          </cell>
          <cell r="W5" t="str">
            <v>项目</v>
          </cell>
          <cell r="AF5" t="str">
            <v/>
          </cell>
          <cell r="AG5" t="str">
            <v/>
          </cell>
          <cell r="AH5" t="str">
            <v/>
          </cell>
          <cell r="AI5" t="str">
            <v/>
          </cell>
          <cell r="AJ5" t="str">
            <v/>
          </cell>
        </row>
        <row r="6">
          <cell r="B6" t="str">
            <v>中慧优力</v>
          </cell>
          <cell r="I6" t="str">
            <v>工行（新开户）</v>
          </cell>
          <cell r="J6" t="str">
            <v/>
          </cell>
          <cell r="K6" t="str">
            <v>银行</v>
          </cell>
          <cell r="L6" t="str">
            <v/>
          </cell>
          <cell r="N6">
            <v>0</v>
          </cell>
          <cell r="O6" t="str">
            <v/>
          </cell>
          <cell r="P6">
            <v>0</v>
          </cell>
          <cell r="Q6" t="str">
            <v/>
          </cell>
          <cell r="U6" t="str">
            <v>续费</v>
          </cell>
          <cell r="V6" t="str">
            <v>收入</v>
          </cell>
          <cell r="W6" t="str">
            <v>续费</v>
          </cell>
          <cell r="AF6" t="str">
            <v/>
          </cell>
          <cell r="AG6" t="str">
            <v/>
          </cell>
          <cell r="AH6" t="str">
            <v/>
          </cell>
          <cell r="AI6" t="str">
            <v/>
          </cell>
          <cell r="AJ6" t="str">
            <v/>
          </cell>
        </row>
        <row r="7">
          <cell r="B7" t="str">
            <v>琴馨</v>
          </cell>
          <cell r="I7" t="str">
            <v>鄞州农商9654</v>
          </cell>
          <cell r="J7" t="str">
            <v>中慧优力</v>
          </cell>
          <cell r="K7" t="str">
            <v>银行</v>
          </cell>
          <cell r="L7" t="str">
            <v>81170101302269654</v>
          </cell>
          <cell r="N7">
            <v>43581.2</v>
          </cell>
          <cell r="O7">
            <v>46174.0</v>
          </cell>
          <cell r="P7">
            <v>71773.89</v>
          </cell>
          <cell r="Q7">
            <v>46199.0</v>
          </cell>
          <cell r="U7" t="str">
            <v>新增</v>
          </cell>
          <cell r="V7" t="str">
            <v>收入</v>
          </cell>
          <cell r="W7" t="str">
            <v>新增</v>
          </cell>
          <cell r="AF7" t="str">
            <v/>
          </cell>
          <cell r="AG7" t="str">
            <v/>
          </cell>
          <cell r="AH7" t="str">
            <v/>
          </cell>
          <cell r="AI7" t="str">
            <v/>
          </cell>
          <cell r="AJ7" t="str">
            <v/>
          </cell>
        </row>
        <row r="8">
          <cell r="B8" t="str">
            <v>优茗</v>
          </cell>
          <cell r="I8" t="str">
            <v>农行8240</v>
          </cell>
          <cell r="J8" t="str">
            <v>优茗</v>
          </cell>
          <cell r="K8" t="str">
            <v>银行</v>
          </cell>
          <cell r="L8" t="str">
            <v>39408001040018240</v>
          </cell>
          <cell r="N8">
            <v>10746.61</v>
          </cell>
          <cell r="O8">
            <v>46204.0</v>
          </cell>
          <cell r="P8">
            <v>16375.7</v>
          </cell>
          <cell r="Q8">
            <v>46279.0</v>
          </cell>
          <cell r="U8" t="str">
            <v>代办</v>
          </cell>
          <cell r="V8" t="str">
            <v>收入</v>
          </cell>
          <cell r="W8" t="str">
            <v>代办</v>
          </cell>
          <cell r="AF8" t="str">
            <v/>
          </cell>
          <cell r="AG8" t="str">
            <v/>
          </cell>
          <cell r="AH8" t="str">
            <v/>
          </cell>
          <cell r="AI8" t="str">
            <v/>
          </cell>
          <cell r="AJ8" t="str">
            <v/>
          </cell>
        </row>
        <row r="9">
          <cell r="B9" t="str">
            <v>飞鲸</v>
          </cell>
          <cell r="I9" t="str">
            <v>农行7705</v>
          </cell>
          <cell r="J9" t="str">
            <v>琴馨</v>
          </cell>
          <cell r="K9" t="str">
            <v>银行</v>
          </cell>
          <cell r="L9" t="str">
            <v>39408001040017705</v>
          </cell>
          <cell r="N9">
            <v>61371.12</v>
          </cell>
          <cell r="O9">
            <v>46174.0</v>
          </cell>
          <cell r="P9">
            <v>102534.85</v>
          </cell>
          <cell r="Q9">
            <v>46203.0</v>
          </cell>
          <cell r="U9" t="str">
            <v>刻章</v>
          </cell>
          <cell r="V9" t="str">
            <v>收入</v>
          </cell>
          <cell r="W9" t="str">
            <v>刻章</v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</row>
        <row r="10">
          <cell r="B10" t="str">
            <v/>
          </cell>
          <cell r="I10" t="str">
            <v>飞鲸对公户</v>
          </cell>
          <cell r="J10" t="str">
            <v>飞鲸</v>
          </cell>
          <cell r="K10" t="str">
            <v>银行</v>
          </cell>
          <cell r="L10" t="str">
            <v/>
          </cell>
          <cell r="N10">
            <v>30058.07</v>
          </cell>
          <cell r="O10">
            <v>46143.0</v>
          </cell>
          <cell r="P10">
            <v>30039.32</v>
          </cell>
          <cell r="Q10">
            <v>46149.0</v>
          </cell>
          <cell r="U10" t="str">
            <v>场地</v>
          </cell>
          <cell r="V10" t="str">
            <v>收入</v>
          </cell>
          <cell r="W10" t="str">
            <v>场地</v>
          </cell>
          <cell r="AF10" t="str">
            <v/>
          </cell>
          <cell r="AG10" t="str">
            <v/>
          </cell>
          <cell r="AH10" t="str">
            <v/>
          </cell>
          <cell r="AI10" t="str">
            <v/>
          </cell>
          <cell r="AJ10" t="str">
            <v/>
          </cell>
        </row>
        <row r="11">
          <cell r="B11" t="str">
            <v/>
          </cell>
          <cell r="I11" t="str">
            <v>微信-汪优丽</v>
          </cell>
          <cell r="J11" t="str">
            <v>中智优力</v>
          </cell>
          <cell r="K11" t="str">
            <v>微信</v>
          </cell>
          <cell r="L11" t="str">
            <v/>
          </cell>
          <cell r="N11">
            <v>0</v>
          </cell>
          <cell r="O11">
            <v>46204.0</v>
          </cell>
          <cell r="P11">
            <v>-18049.59</v>
          </cell>
          <cell r="Q11">
            <v>46233.0</v>
          </cell>
          <cell r="U11" t="str">
            <v>办证</v>
          </cell>
          <cell r="V11" t="str">
            <v>收入</v>
          </cell>
          <cell r="W11" t="str">
            <v>办证</v>
          </cell>
          <cell r="AF11" t="str">
            <v/>
          </cell>
          <cell r="AG11" t="str">
            <v/>
          </cell>
          <cell r="AH11" t="str">
            <v/>
          </cell>
          <cell r="AI11" t="str">
            <v/>
          </cell>
          <cell r="AJ11" t="str">
            <v/>
          </cell>
        </row>
        <row r="12">
          <cell r="B12" t="str">
            <v/>
          </cell>
          <cell r="I12" t="str">
            <v>微信商户0744</v>
          </cell>
          <cell r="J12" t="str">
            <v>中智优力</v>
          </cell>
          <cell r="K12" t="str">
            <v>微信</v>
          </cell>
          <cell r="L12" t="str">
            <v>1707250744</v>
          </cell>
          <cell r="N12">
            <v>42501.4</v>
          </cell>
          <cell r="O12">
            <v>46266.0</v>
          </cell>
          <cell r="P12">
            <v>208.58</v>
          </cell>
          <cell r="Q12">
            <v>46289.0</v>
          </cell>
          <cell r="U12" t="str">
            <v>转介绍</v>
          </cell>
          <cell r="V12" t="str">
            <v>收入</v>
          </cell>
          <cell r="W12" t="str">
            <v>转介绍</v>
          </cell>
          <cell r="AF12" t="str">
            <v/>
          </cell>
          <cell r="AG12" t="str">
            <v/>
          </cell>
          <cell r="AH12" t="str">
            <v/>
          </cell>
          <cell r="AI12" t="str">
            <v/>
          </cell>
          <cell r="AJ12" t="str">
            <v/>
          </cell>
        </row>
        <row r="13"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N13" t="str">
            <v/>
          </cell>
          <cell r="O13" t="str">
            <v/>
          </cell>
          <cell r="P13" t="str">
            <v/>
          </cell>
          <cell r="Q13" t="str">
            <v/>
          </cell>
          <cell r="U13" t="str">
            <v>园区返税</v>
          </cell>
          <cell r="V13" t="str">
            <v>收入</v>
          </cell>
          <cell r="W13" t="str">
            <v>园区返税</v>
          </cell>
          <cell r="AF13" t="str">
            <v/>
          </cell>
          <cell r="AG13" t="str">
            <v/>
          </cell>
          <cell r="AH13" t="str">
            <v/>
          </cell>
          <cell r="AI13" t="str">
            <v/>
          </cell>
          <cell r="AJ13" t="str">
            <v/>
          </cell>
        </row>
        <row r="14"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N14" t="str">
            <v/>
          </cell>
          <cell r="O14" t="str">
            <v/>
          </cell>
          <cell r="P14" t="str">
            <v/>
          </cell>
          <cell r="Q14" t="str">
            <v/>
          </cell>
          <cell r="U14" t="str">
            <v>咨询服务</v>
          </cell>
          <cell r="V14" t="str">
            <v>收入</v>
          </cell>
          <cell r="W14" t="str">
            <v>咨询服务</v>
          </cell>
          <cell r="AF14" t="str">
            <v/>
          </cell>
          <cell r="AG14" t="str">
            <v/>
          </cell>
          <cell r="AH14" t="str">
            <v/>
          </cell>
          <cell r="AI14" t="str">
            <v/>
          </cell>
          <cell r="AJ14" t="str">
            <v/>
          </cell>
        </row>
        <row r="15"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  <cell r="U15" t="str">
            <v>其他收入</v>
          </cell>
          <cell r="V15" t="str">
            <v>收入</v>
          </cell>
          <cell r="W15" t="str">
            <v>其他</v>
          </cell>
          <cell r="AF15" t="str">
            <v/>
          </cell>
          <cell r="AG15" t="str">
            <v/>
          </cell>
          <cell r="AH15" t="str">
            <v/>
          </cell>
          <cell r="AI15" t="str">
            <v/>
          </cell>
          <cell r="AJ15" t="str">
            <v/>
          </cell>
        </row>
        <row r="16"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N16" t="str">
            <v/>
          </cell>
          <cell r="O16" t="str">
            <v/>
          </cell>
          <cell r="P16" t="str">
            <v/>
          </cell>
          <cell r="Q16" t="str">
            <v/>
          </cell>
          <cell r="U16" t="str">
            <v>人工-工资</v>
          </cell>
          <cell r="V16" t="str">
            <v>变动成本</v>
          </cell>
          <cell r="W16" t="str">
            <v>人工-工资</v>
          </cell>
          <cell r="AF16" t="str">
            <v/>
          </cell>
          <cell r="AG16" t="str">
            <v/>
          </cell>
          <cell r="AH16" t="str">
            <v/>
          </cell>
          <cell r="AI16" t="str">
            <v/>
          </cell>
          <cell r="AJ16" t="str">
            <v/>
          </cell>
        </row>
        <row r="17"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N17" t="str">
            <v/>
          </cell>
          <cell r="O17" t="str">
            <v/>
          </cell>
          <cell r="P17" t="str">
            <v/>
          </cell>
          <cell r="Q17" t="str">
            <v/>
          </cell>
          <cell r="U17" t="str">
            <v>人工-社保</v>
          </cell>
          <cell r="V17" t="str">
            <v>变动成本</v>
          </cell>
          <cell r="W17" t="str">
            <v>人工-社保</v>
          </cell>
          <cell r="AF17" t="str">
            <v/>
          </cell>
          <cell r="AG17" t="str">
            <v/>
          </cell>
          <cell r="AH17" t="str">
            <v/>
          </cell>
          <cell r="AI17" t="str">
            <v/>
          </cell>
          <cell r="AJ17" t="str">
            <v/>
          </cell>
        </row>
        <row r="18"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  <cell r="U18" t="str">
            <v>人工-福利</v>
          </cell>
          <cell r="V18" t="str">
            <v>变动成本</v>
          </cell>
          <cell r="W18" t="str">
            <v>人工-福利</v>
          </cell>
          <cell r="AF18" t="str">
            <v/>
          </cell>
          <cell r="AG18" t="str">
            <v/>
          </cell>
          <cell r="AH18" t="str">
            <v/>
          </cell>
          <cell r="AI18" t="str">
            <v/>
          </cell>
          <cell r="AJ18" t="str">
            <v/>
          </cell>
        </row>
        <row r="19"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N19" t="str">
            <v/>
          </cell>
          <cell r="O19" t="str">
            <v/>
          </cell>
          <cell r="P19" t="str">
            <v/>
          </cell>
          <cell r="Q19" t="str">
            <v/>
          </cell>
          <cell r="U19" t="str">
            <v>税金</v>
          </cell>
          <cell r="V19" t="str">
            <v>变动成本</v>
          </cell>
          <cell r="W19" t="str">
            <v>税金</v>
          </cell>
          <cell r="AF19" t="str">
            <v/>
          </cell>
          <cell r="AG19" t="str">
            <v/>
          </cell>
          <cell r="AH19" t="str">
            <v/>
          </cell>
          <cell r="AI19" t="str">
            <v/>
          </cell>
          <cell r="AJ19" t="str">
            <v/>
          </cell>
        </row>
        <row r="20"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  <cell r="U20" t="str">
            <v>差旅费</v>
          </cell>
          <cell r="V20" t="str">
            <v>变动成本</v>
          </cell>
          <cell r="W20" t="str">
            <v>差旅费</v>
          </cell>
          <cell r="AF20" t="str">
            <v/>
          </cell>
          <cell r="AG20" t="str">
            <v/>
          </cell>
          <cell r="AH20" t="str">
            <v/>
          </cell>
          <cell r="AI20" t="str">
            <v/>
          </cell>
          <cell r="AJ20" t="str">
            <v/>
          </cell>
        </row>
        <row r="21"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  <cell r="U21" t="str">
            <v>培训费</v>
          </cell>
          <cell r="V21" t="str">
            <v>变动成本</v>
          </cell>
          <cell r="W21" t="str">
            <v>培训费</v>
          </cell>
          <cell r="AF21" t="str">
            <v/>
          </cell>
          <cell r="AG21" t="str">
            <v/>
          </cell>
          <cell r="AH21" t="str">
            <v/>
          </cell>
          <cell r="AI21" t="str">
            <v/>
          </cell>
          <cell r="AJ21" t="str">
            <v/>
          </cell>
        </row>
        <row r="22"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N22" t="str">
            <v/>
          </cell>
          <cell r="O22" t="str">
            <v/>
          </cell>
          <cell r="P22" t="str">
            <v/>
          </cell>
          <cell r="Q22" t="str">
            <v/>
          </cell>
          <cell r="U22" t="str">
            <v>银行手续费</v>
          </cell>
          <cell r="V22" t="str">
            <v>变动成本</v>
          </cell>
          <cell r="W22" t="str">
            <v>银行手续费</v>
          </cell>
          <cell r="AF22" t="str">
            <v/>
          </cell>
          <cell r="AG22" t="str">
            <v/>
          </cell>
          <cell r="AH22" t="str">
            <v/>
          </cell>
          <cell r="AI22" t="str">
            <v/>
          </cell>
          <cell r="AJ22" t="str">
            <v/>
          </cell>
        </row>
        <row r="23"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N23" t="str">
            <v/>
          </cell>
          <cell r="O23" t="str">
            <v/>
          </cell>
          <cell r="P23" t="str">
            <v/>
          </cell>
          <cell r="Q23" t="str">
            <v/>
          </cell>
          <cell r="U23" t="str">
            <v>刻章费用</v>
          </cell>
          <cell r="V23" t="str">
            <v>变动成本</v>
          </cell>
          <cell r="W23" t="str">
            <v>刻章费用</v>
          </cell>
          <cell r="AF23" t="str">
            <v/>
          </cell>
          <cell r="AG23" t="str">
            <v/>
          </cell>
          <cell r="AH23" t="str">
            <v/>
          </cell>
          <cell r="AI23" t="str">
            <v/>
          </cell>
          <cell r="AJ23" t="str">
            <v/>
          </cell>
        </row>
        <row r="24"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N24" t="str">
            <v/>
          </cell>
          <cell r="O24" t="str">
            <v/>
          </cell>
          <cell r="P24" t="str">
            <v/>
          </cell>
          <cell r="Q24" t="str">
            <v/>
          </cell>
          <cell r="U24" t="str">
            <v>办公费用</v>
          </cell>
          <cell r="V24" t="str">
            <v>变动成本</v>
          </cell>
          <cell r="W24" t="str">
            <v>办公费用</v>
          </cell>
          <cell r="AF24" t="str">
            <v/>
          </cell>
          <cell r="AG24" t="str">
            <v/>
          </cell>
          <cell r="AH24" t="str">
            <v/>
          </cell>
          <cell r="AI24" t="str">
            <v/>
          </cell>
          <cell r="AJ24" t="str">
            <v/>
          </cell>
        </row>
        <row r="25">
          <cell r="U25" t="str">
            <v>固定资产</v>
          </cell>
          <cell r="V25" t="str">
            <v>变动成本</v>
          </cell>
          <cell r="W25" t="str">
            <v>固定资产</v>
          </cell>
          <cell r="AF25" t="str">
            <v/>
          </cell>
          <cell r="AG25" t="str">
            <v/>
          </cell>
          <cell r="AH25" t="str">
            <v/>
          </cell>
          <cell r="AI25" t="str">
            <v/>
          </cell>
          <cell r="AJ25" t="str">
            <v/>
          </cell>
        </row>
        <row r="26">
          <cell r="U26" t="str">
            <v>汽车费用</v>
          </cell>
          <cell r="V26" t="str">
            <v>变动成本</v>
          </cell>
          <cell r="W26" t="str">
            <v>汽车费用</v>
          </cell>
          <cell r="AF26" t="str">
            <v/>
          </cell>
          <cell r="AG26" t="str">
            <v/>
          </cell>
          <cell r="AH26" t="str">
            <v/>
          </cell>
          <cell r="AI26" t="str">
            <v/>
          </cell>
          <cell r="AJ26" t="str">
            <v/>
          </cell>
        </row>
        <row r="27">
          <cell r="U27" t="str">
            <v>交际支出</v>
          </cell>
          <cell r="V27" t="str">
            <v>变动成本</v>
          </cell>
          <cell r="W27" t="str">
            <v>交际支出</v>
          </cell>
          <cell r="AF27" t="str">
            <v/>
          </cell>
          <cell r="AG27" t="str">
            <v/>
          </cell>
          <cell r="AH27" t="str">
            <v/>
          </cell>
          <cell r="AI27" t="str">
            <v/>
          </cell>
          <cell r="AJ27" t="str">
            <v/>
          </cell>
        </row>
        <row r="28">
          <cell r="U28" t="str">
            <v>佣金支出</v>
          </cell>
          <cell r="V28" t="str">
            <v>变动成本</v>
          </cell>
          <cell r="W28" t="str">
            <v>佣金支出</v>
          </cell>
          <cell r="AF28" t="str">
            <v/>
          </cell>
          <cell r="AG28" t="str">
            <v/>
          </cell>
          <cell r="AH28" t="str">
            <v/>
          </cell>
          <cell r="AI28" t="str">
            <v/>
          </cell>
          <cell r="AJ28" t="str">
            <v/>
          </cell>
        </row>
        <row r="29">
          <cell r="U29" t="str">
            <v>营销费用</v>
          </cell>
          <cell r="V29" t="str">
            <v>变动成本</v>
          </cell>
          <cell r="W29" t="str">
            <v>营销费用</v>
          </cell>
          <cell r="AF29" t="str">
            <v/>
          </cell>
          <cell r="AG29" t="str">
            <v/>
          </cell>
          <cell r="AH29" t="str">
            <v/>
          </cell>
          <cell r="AI29" t="str">
            <v/>
          </cell>
          <cell r="AJ29" t="str">
            <v/>
          </cell>
        </row>
        <row r="30">
          <cell r="U30" t="str">
            <v>地址成本</v>
          </cell>
          <cell r="V30" t="str">
            <v>变动成本</v>
          </cell>
          <cell r="W30" t="str">
            <v>地址成本</v>
          </cell>
          <cell r="AF30" t="str">
            <v/>
          </cell>
          <cell r="AG30" t="str">
            <v/>
          </cell>
          <cell r="AH30" t="str">
            <v/>
          </cell>
          <cell r="AI30" t="str">
            <v/>
          </cell>
          <cell r="AJ30" t="str">
            <v/>
          </cell>
        </row>
        <row r="31">
          <cell r="U31" t="str">
            <v>项目成本</v>
          </cell>
          <cell r="V31" t="str">
            <v>变动成本</v>
          </cell>
          <cell r="W31" t="str">
            <v>项目成本</v>
          </cell>
          <cell r="AF31" t="str">
            <v/>
          </cell>
          <cell r="AG31" t="str">
            <v/>
          </cell>
          <cell r="AH31" t="str">
            <v/>
          </cell>
          <cell r="AI31" t="str">
            <v/>
          </cell>
          <cell r="AJ31" t="str">
            <v/>
          </cell>
        </row>
        <row r="32">
          <cell r="U32" t="str">
            <v>其他成本</v>
          </cell>
          <cell r="V32" t="str">
            <v>变动成本</v>
          </cell>
          <cell r="W32" t="str">
            <v>其他</v>
          </cell>
          <cell r="AF32" t="str">
            <v/>
          </cell>
          <cell r="AG32" t="str">
            <v/>
          </cell>
          <cell r="AH32" t="str">
            <v/>
          </cell>
          <cell r="AI32" t="str">
            <v/>
          </cell>
          <cell r="AJ32" t="str">
            <v/>
          </cell>
        </row>
        <row r="33">
          <cell r="U33" t="str">
            <v>店面租金</v>
          </cell>
          <cell r="V33" t="str">
            <v>固定成本</v>
          </cell>
          <cell r="W33" t="str">
            <v>店面租金</v>
          </cell>
          <cell r="AF33" t="str">
            <v/>
          </cell>
          <cell r="AG33" t="str">
            <v/>
          </cell>
          <cell r="AH33" t="str">
            <v/>
          </cell>
          <cell r="AI33" t="str">
            <v/>
          </cell>
          <cell r="AJ33" t="str">
            <v/>
          </cell>
        </row>
        <row r="34">
          <cell r="U34" t="str">
            <v>装修成本</v>
          </cell>
          <cell r="V34" t="str">
            <v>固定成本</v>
          </cell>
          <cell r="W34" t="str">
            <v>装修成本</v>
          </cell>
          <cell r="AF34" t="str">
            <v/>
          </cell>
          <cell r="AG34" t="str">
            <v/>
          </cell>
          <cell r="AH34" t="str">
            <v/>
          </cell>
          <cell r="AI34" t="str">
            <v/>
          </cell>
          <cell r="AJ34" t="str">
            <v/>
          </cell>
        </row>
        <row r="35">
          <cell r="U35" t="str">
            <v>工资挂靠</v>
          </cell>
          <cell r="V35" t="str">
            <v>其他支出</v>
          </cell>
          <cell r="W35" t="str">
            <v>工资挂靠</v>
          </cell>
          <cell r="AF35" t="str">
            <v/>
          </cell>
          <cell r="AG35" t="str">
            <v/>
          </cell>
          <cell r="AH35" t="str">
            <v/>
          </cell>
          <cell r="AI35" t="str">
            <v/>
          </cell>
          <cell r="AJ35" t="str">
            <v/>
          </cell>
        </row>
        <row r="36">
          <cell r="U36" t="str">
            <v>社保挂靠</v>
          </cell>
          <cell r="V36" t="str">
            <v>其他支出</v>
          </cell>
          <cell r="W36" t="str">
            <v>社保挂靠</v>
          </cell>
          <cell r="AF36" t="str">
            <v/>
          </cell>
          <cell r="AG36" t="str">
            <v/>
          </cell>
          <cell r="AH36" t="str">
            <v/>
          </cell>
          <cell r="AI36" t="str">
            <v/>
          </cell>
          <cell r="AJ36" t="str">
            <v/>
          </cell>
        </row>
        <row r="37">
          <cell r="U37" t="str">
            <v>贷款利息</v>
          </cell>
          <cell r="V37" t="str">
            <v>其他支出</v>
          </cell>
          <cell r="W37" t="str">
            <v>贷款利息</v>
          </cell>
          <cell r="AF37" t="str">
            <v/>
          </cell>
          <cell r="AG37" t="str">
            <v/>
          </cell>
          <cell r="AH37" t="str">
            <v/>
          </cell>
          <cell r="AI37" t="str">
            <v/>
          </cell>
          <cell r="AJ37" t="str">
            <v/>
          </cell>
        </row>
        <row r="38">
          <cell r="U38" t="str">
            <v>实收资本</v>
          </cell>
          <cell r="V38" t="str">
            <v>收到为准</v>
          </cell>
          <cell r="W38" t="str">
            <v>实收资本</v>
          </cell>
          <cell r="AF38" t="str">
            <v/>
          </cell>
          <cell r="AG38" t="str">
            <v/>
          </cell>
          <cell r="AH38" t="str">
            <v/>
          </cell>
          <cell r="AI38" t="str">
            <v/>
          </cell>
          <cell r="AJ38" t="str">
            <v/>
          </cell>
        </row>
        <row r="39">
          <cell r="U39" t="str">
            <v>投资</v>
          </cell>
          <cell r="V39" t="str">
            <v>支出为准</v>
          </cell>
          <cell r="W39" t="str">
            <v>投资</v>
          </cell>
          <cell r="AF39" t="str">
            <v/>
          </cell>
          <cell r="AG39" t="str">
            <v/>
          </cell>
          <cell r="AH39" t="str">
            <v/>
          </cell>
          <cell r="AI39" t="str">
            <v/>
          </cell>
          <cell r="AJ39" t="str">
            <v/>
          </cell>
        </row>
        <row r="40">
          <cell r="U40" t="str">
            <v>往来</v>
          </cell>
          <cell r="V40" t="str">
            <v>往来</v>
          </cell>
          <cell r="W40" t="str">
            <v>往来</v>
          </cell>
          <cell r="AF40" t="str">
            <v/>
          </cell>
          <cell r="AG40" t="str">
            <v/>
          </cell>
          <cell r="AH40" t="str">
            <v/>
          </cell>
          <cell r="AI40" t="str">
            <v/>
          </cell>
          <cell r="AJ40" t="str">
            <v/>
          </cell>
        </row>
        <row r="41">
          <cell r="U41" t="str">
            <v>内部划转</v>
          </cell>
          <cell r="V41" t="str">
            <v>内部划转</v>
          </cell>
          <cell r="W41" t="str">
            <v>内部划转</v>
          </cell>
          <cell r="AF41" t="str">
            <v/>
          </cell>
          <cell r="AG41" t="str">
            <v/>
          </cell>
          <cell r="AH41" t="str">
            <v/>
          </cell>
          <cell r="AI41" t="str">
            <v/>
          </cell>
          <cell r="AJ41" t="str">
            <v/>
          </cell>
        </row>
        <row r="42">
          <cell r="U42" t="str">
            <v>账户互转</v>
          </cell>
          <cell r="V42" t="str">
            <v>账户互转</v>
          </cell>
          <cell r="W42" t="str">
            <v>账户互转</v>
          </cell>
          <cell r="AF42" t="str">
            <v/>
          </cell>
          <cell r="AG42" t="str">
            <v/>
          </cell>
          <cell r="AH42" t="str">
            <v/>
          </cell>
          <cell r="AI42" t="str">
            <v/>
          </cell>
          <cell r="AJ42" t="str">
            <v/>
          </cell>
        </row>
        <row r="43">
          <cell r="U43" t="str">
            <v/>
          </cell>
          <cell r="V43" t="str">
            <v/>
          </cell>
          <cell r="W43" t="str">
            <v/>
          </cell>
          <cell r="AF43" t="str">
            <v/>
          </cell>
          <cell r="AG43" t="str">
            <v/>
          </cell>
          <cell r="AH43" t="str">
            <v/>
          </cell>
          <cell r="AI43" t="str">
            <v/>
          </cell>
          <cell r="AJ43" t="str">
            <v/>
          </cell>
        </row>
        <row r="44">
          <cell r="U44" t="str">
            <v/>
          </cell>
          <cell r="V44" t="str">
            <v/>
          </cell>
          <cell r="W44" t="str">
            <v/>
          </cell>
          <cell r="AF44" t="str">
            <v/>
          </cell>
          <cell r="AG44" t="str">
            <v/>
          </cell>
          <cell r="AH44" t="str">
            <v/>
          </cell>
          <cell r="AI44" t="str">
            <v/>
          </cell>
          <cell r="AJ44" t="str">
            <v/>
          </cell>
        </row>
        <row r="45">
          <cell r="U45" t="str">
            <v/>
          </cell>
          <cell r="V45" t="str">
            <v/>
          </cell>
          <cell r="W45" t="str">
            <v/>
          </cell>
          <cell r="AF45" t="str">
            <v/>
          </cell>
          <cell r="AG45" t="str">
            <v/>
          </cell>
          <cell r="AH45" t="str">
            <v/>
          </cell>
          <cell r="AI45" t="str">
            <v/>
          </cell>
          <cell r="AJ45" t="str">
            <v/>
          </cell>
        </row>
        <row r="46">
          <cell r="U46" t="str">
            <v/>
          </cell>
          <cell r="V46" t="str">
            <v/>
          </cell>
          <cell r="W46" t="str">
            <v/>
          </cell>
          <cell r="AF46" t="str">
            <v/>
          </cell>
          <cell r="AG46" t="str">
            <v/>
          </cell>
          <cell r="AH46" t="str">
            <v/>
          </cell>
          <cell r="AI46" t="str">
            <v/>
          </cell>
          <cell r="AJ46" t="str">
            <v/>
          </cell>
        </row>
        <row r="47">
          <cell r="U47" t="str">
            <v/>
          </cell>
          <cell r="V47" t="str">
            <v/>
          </cell>
          <cell r="W47" t="str">
            <v/>
          </cell>
          <cell r="AF47" t="str">
            <v/>
          </cell>
          <cell r="AG47" t="str">
            <v/>
          </cell>
          <cell r="AH47" t="str">
            <v/>
          </cell>
          <cell r="AI47" t="str">
            <v/>
          </cell>
          <cell r="AJ47" t="str">
            <v/>
          </cell>
        </row>
        <row r="48">
          <cell r="U48" t="str">
            <v/>
          </cell>
          <cell r="V48" t="str">
            <v/>
          </cell>
          <cell r="W48" t="str">
            <v/>
          </cell>
          <cell r="AF48" t="str">
            <v/>
          </cell>
          <cell r="AG48" t="str">
            <v/>
          </cell>
          <cell r="AH48" t="str">
            <v/>
          </cell>
          <cell r="AI48" t="str">
            <v/>
          </cell>
          <cell r="AJ48" t="str">
            <v/>
          </cell>
        </row>
        <row r="49">
          <cell r="U49" t="str">
            <v/>
          </cell>
          <cell r="V49" t="str">
            <v/>
          </cell>
          <cell r="W49" t="str">
            <v/>
          </cell>
          <cell r="AF49" t="str">
            <v/>
          </cell>
          <cell r="AG49" t="str">
            <v/>
          </cell>
          <cell r="AH49" t="str">
            <v/>
          </cell>
          <cell r="AI49" t="str">
            <v/>
          </cell>
          <cell r="AJ49" t="str">
            <v/>
          </cell>
        </row>
        <row r="50">
          <cell r="U50" t="str">
            <v/>
          </cell>
          <cell r="V50" t="str">
            <v/>
          </cell>
          <cell r="W50" t="str">
            <v/>
          </cell>
          <cell r="AF50" t="str">
            <v/>
          </cell>
          <cell r="AG50" t="str">
            <v/>
          </cell>
          <cell r="AH50" t="str">
            <v/>
          </cell>
          <cell r="AI50" t="str">
            <v/>
          </cell>
          <cell r="AJ50" t="str">
            <v/>
          </cell>
        </row>
        <row r="51">
          <cell r="U51" t="str">
            <v/>
          </cell>
          <cell r="V51" t="str">
            <v/>
          </cell>
          <cell r="W51" t="str">
            <v/>
          </cell>
          <cell r="AF51" t="str">
            <v/>
          </cell>
          <cell r="AG51" t="str">
            <v/>
          </cell>
          <cell r="AH51" t="str">
            <v/>
          </cell>
          <cell r="AI51" t="str">
            <v/>
          </cell>
          <cell r="AJ51" t="str">
            <v/>
          </cell>
        </row>
        <row r="52">
          <cell r="U52" t="str">
            <v/>
          </cell>
          <cell r="V52" t="str">
            <v/>
          </cell>
          <cell r="W52" t="str">
            <v/>
          </cell>
          <cell r="AF52" t="str">
            <v/>
          </cell>
          <cell r="AG52" t="str">
            <v/>
          </cell>
          <cell r="AH52" t="str">
            <v/>
          </cell>
          <cell r="AI52" t="str">
            <v/>
          </cell>
          <cell r="AJ52" t="str">
            <v/>
          </cell>
        </row>
        <row r="53">
          <cell r="U53" t="str">
            <v/>
          </cell>
          <cell r="V53" t="str">
            <v/>
          </cell>
          <cell r="W53" t="str">
            <v/>
          </cell>
          <cell r="AF53" t="str">
            <v/>
          </cell>
          <cell r="AG53" t="str">
            <v/>
          </cell>
          <cell r="AH53" t="str">
            <v/>
          </cell>
          <cell r="AI53" t="str">
            <v/>
          </cell>
          <cell r="AJ53" t="str">
            <v/>
          </cell>
        </row>
        <row r="54">
          <cell r="U54" t="str">
            <v/>
          </cell>
          <cell r="V54" t="str">
            <v/>
          </cell>
          <cell r="W54" t="str">
            <v/>
          </cell>
          <cell r="AF54" t="str">
            <v/>
          </cell>
          <cell r="AG54" t="str">
            <v/>
          </cell>
          <cell r="AH54" t="str">
            <v/>
          </cell>
          <cell r="AI54" t="str">
            <v/>
          </cell>
          <cell r="AJ54" t="str">
            <v/>
          </cell>
        </row>
        <row r="55">
          <cell r="U55" t="str">
            <v/>
          </cell>
          <cell r="V55" t="str">
            <v/>
          </cell>
          <cell r="W55" t="str">
            <v/>
          </cell>
          <cell r="AF55" t="str">
            <v/>
          </cell>
          <cell r="AG55" t="str">
            <v/>
          </cell>
          <cell r="AH55" t="str">
            <v/>
          </cell>
          <cell r="AI55" t="str">
            <v/>
          </cell>
          <cell r="AJ55" t="str">
            <v/>
          </cell>
        </row>
        <row r="56">
          <cell r="U56" t="str">
            <v/>
          </cell>
          <cell r="V56" t="str">
            <v/>
          </cell>
          <cell r="W56" t="str">
            <v/>
          </cell>
          <cell r="AF56" t="str">
            <v/>
          </cell>
          <cell r="AG56" t="str">
            <v/>
          </cell>
          <cell r="AH56" t="str">
            <v/>
          </cell>
          <cell r="AI56" t="str">
            <v/>
          </cell>
          <cell r="AJ56" t="str">
            <v/>
          </cell>
        </row>
        <row r="57">
          <cell r="U57" t="str">
            <v/>
          </cell>
          <cell r="V57" t="str">
            <v/>
          </cell>
          <cell r="W57" t="str">
            <v/>
          </cell>
          <cell r="AF57" t="str">
            <v/>
          </cell>
          <cell r="AG57" t="str">
            <v/>
          </cell>
          <cell r="AH57" t="str">
            <v/>
          </cell>
          <cell r="AI57" t="str">
            <v/>
          </cell>
          <cell r="AJ57" t="str">
            <v/>
          </cell>
        </row>
        <row r="58">
          <cell r="U58" t="str">
            <v/>
          </cell>
          <cell r="V58" t="str">
            <v/>
          </cell>
          <cell r="W58" t="str">
            <v/>
          </cell>
          <cell r="AF58" t="str">
            <v/>
          </cell>
          <cell r="AG58" t="str">
            <v/>
          </cell>
          <cell r="AH58" t="str">
            <v/>
          </cell>
          <cell r="AI58" t="str">
            <v/>
          </cell>
          <cell r="AJ58" t="str">
            <v/>
          </cell>
        </row>
        <row r="59">
          <cell r="U59" t="str">
            <v/>
          </cell>
          <cell r="V59" t="str">
            <v/>
          </cell>
          <cell r="W59" t="str">
            <v/>
          </cell>
          <cell r="AF59" t="str">
            <v/>
          </cell>
          <cell r="AG59" t="str">
            <v/>
          </cell>
          <cell r="AH59" t="str">
            <v/>
          </cell>
          <cell r="AI59" t="str">
            <v/>
          </cell>
          <cell r="AJ59" t="str">
            <v/>
          </cell>
        </row>
        <row r="60">
          <cell r="U60" t="str">
            <v/>
          </cell>
          <cell r="V60" t="str">
            <v/>
          </cell>
          <cell r="W60" t="str">
            <v/>
          </cell>
          <cell r="AF60" t="str">
            <v/>
          </cell>
          <cell r="AG60" t="str">
            <v/>
          </cell>
          <cell r="AH60" t="str">
            <v/>
          </cell>
          <cell r="AI60" t="str">
            <v/>
          </cell>
          <cell r="AJ60" t="str">
            <v/>
          </cell>
        </row>
        <row r="61">
          <cell r="U61" t="str">
            <v/>
          </cell>
          <cell r="V61" t="str">
            <v/>
          </cell>
          <cell r="W61" t="str">
            <v/>
          </cell>
          <cell r="AF61" t="str">
            <v/>
          </cell>
          <cell r="AG61" t="str">
            <v/>
          </cell>
          <cell r="AH61" t="str">
            <v/>
          </cell>
          <cell r="AI61" t="str">
            <v/>
          </cell>
          <cell r="AJ61" t="str">
            <v/>
          </cell>
        </row>
        <row r="62">
          <cell r="U62" t="str">
            <v/>
          </cell>
          <cell r="V62" t="str">
            <v/>
          </cell>
          <cell r="W62" t="str">
            <v/>
          </cell>
          <cell r="AF62" t="str">
            <v/>
          </cell>
          <cell r="AG62" t="str">
            <v/>
          </cell>
          <cell r="AH62" t="str">
            <v/>
          </cell>
          <cell r="AI62" t="str">
            <v/>
          </cell>
          <cell r="AJ62" t="str">
            <v/>
          </cell>
        </row>
        <row r="63">
          <cell r="U63" t="str">
            <v/>
          </cell>
          <cell r="V63" t="str">
            <v/>
          </cell>
          <cell r="W63" t="str">
            <v/>
          </cell>
          <cell r="AF63" t="str">
            <v/>
          </cell>
          <cell r="AG63" t="str">
            <v/>
          </cell>
          <cell r="AH63" t="str">
            <v/>
          </cell>
          <cell r="AI63" t="str">
            <v/>
          </cell>
          <cell r="AJ63" t="str">
            <v/>
          </cell>
        </row>
        <row r="64">
          <cell r="U64" t="str">
            <v/>
          </cell>
          <cell r="V64" t="str">
            <v/>
          </cell>
          <cell r="W64" t="str">
            <v/>
          </cell>
          <cell r="AF64" t="str">
            <v/>
          </cell>
          <cell r="AG64" t="str">
            <v/>
          </cell>
          <cell r="AH64" t="str">
            <v/>
          </cell>
          <cell r="AI64" t="str">
            <v/>
          </cell>
          <cell r="AJ64" t="str">
            <v/>
          </cell>
        </row>
        <row r="65">
          <cell r="AF65" t="str">
            <v/>
          </cell>
          <cell r="AG65" t="str">
            <v/>
          </cell>
          <cell r="AH65" t="str">
            <v/>
          </cell>
          <cell r="AI65" t="str">
            <v/>
          </cell>
          <cell r="AJ65" t="str">
            <v/>
          </cell>
        </row>
        <row r="66">
          <cell r="AF66" t="str">
            <v/>
          </cell>
          <cell r="AG66" t="str">
            <v/>
          </cell>
          <cell r="AH66" t="str">
            <v/>
          </cell>
          <cell r="AI66" t="str">
            <v/>
          </cell>
          <cell r="AJ66" t="str">
            <v/>
          </cell>
        </row>
        <row r="67">
          <cell r="AF67" t="str">
            <v/>
          </cell>
          <cell r="AG67" t="str">
            <v/>
          </cell>
          <cell r="AH67" t="str">
            <v/>
          </cell>
          <cell r="AI67" t="str">
            <v/>
          </cell>
          <cell r="AJ67" t="str">
            <v/>
          </cell>
        </row>
        <row r="68">
          <cell r="AF68" t="str">
            <v/>
          </cell>
          <cell r="AG68" t="str">
            <v/>
          </cell>
          <cell r="AH68" t="str">
            <v/>
          </cell>
          <cell r="AI68" t="str">
            <v/>
          </cell>
          <cell r="AJ68" t="str">
            <v/>
          </cell>
        </row>
        <row r="69">
          <cell r="AF69" t="str">
            <v/>
          </cell>
          <cell r="AG69" t="str">
            <v/>
          </cell>
          <cell r="AH69" t="str">
            <v/>
          </cell>
          <cell r="AI69" t="str">
            <v/>
          </cell>
          <cell r="AJ69" t="str">
            <v/>
          </cell>
        </row>
        <row r="70">
          <cell r="AF70" t="str">
            <v/>
          </cell>
          <cell r="AG70" t="str">
            <v/>
          </cell>
          <cell r="AH70" t="str">
            <v/>
          </cell>
          <cell r="AI70" t="str">
            <v/>
          </cell>
          <cell r="AJ70" t="str">
            <v/>
          </cell>
        </row>
        <row r="71">
          <cell r="AF71" t="str">
            <v/>
          </cell>
          <cell r="AG71" t="str">
            <v/>
          </cell>
          <cell r="AH71" t="str">
            <v/>
          </cell>
          <cell r="AI71" t="str">
            <v/>
          </cell>
          <cell r="AJ71" t="str">
            <v/>
          </cell>
        </row>
        <row r="72">
          <cell r="AF72" t="str">
            <v/>
          </cell>
          <cell r="AG72" t="str">
            <v/>
          </cell>
          <cell r="AH72" t="str">
            <v/>
          </cell>
          <cell r="AI72" t="str">
            <v/>
          </cell>
          <cell r="AJ72" t="str">
            <v/>
          </cell>
        </row>
        <row r="73">
          <cell r="AF73" t="str">
            <v/>
          </cell>
          <cell r="AG73" t="str">
            <v/>
          </cell>
          <cell r="AH73" t="str">
            <v/>
          </cell>
          <cell r="AI73" t="str">
            <v/>
          </cell>
          <cell r="AJ73" t="str">
            <v/>
          </cell>
        </row>
        <row r="74">
          <cell r="AF74" t="str">
            <v/>
          </cell>
          <cell r="AG74" t="str">
            <v/>
          </cell>
          <cell r="AH74" t="str">
            <v/>
          </cell>
          <cell r="AI74" t="str">
            <v/>
          </cell>
          <cell r="AJ74" t="str">
            <v/>
          </cell>
        </row>
        <row r="75">
          <cell r="AF75" t="str">
            <v/>
          </cell>
          <cell r="AG75" t="str">
            <v/>
          </cell>
          <cell r="AH75" t="str">
            <v/>
          </cell>
          <cell r="AI75" t="str">
            <v/>
          </cell>
          <cell r="AJ75" t="str">
            <v/>
          </cell>
        </row>
        <row r="76">
          <cell r="AF76" t="str">
            <v/>
          </cell>
          <cell r="AG76" t="str">
            <v/>
          </cell>
          <cell r="AH76" t="str">
            <v/>
          </cell>
          <cell r="AI76" t="str">
            <v/>
          </cell>
          <cell r="AJ76" t="str">
            <v/>
          </cell>
        </row>
        <row r="77">
          <cell r="AF77" t="str">
            <v/>
          </cell>
          <cell r="AG77" t="str">
            <v/>
          </cell>
          <cell r="AH77" t="str">
            <v/>
          </cell>
          <cell r="AI77" t="str">
            <v/>
          </cell>
          <cell r="AJ77" t="str">
            <v/>
          </cell>
        </row>
        <row r="78">
          <cell r="AF78" t="str">
            <v/>
          </cell>
          <cell r="AG78" t="str">
            <v/>
          </cell>
          <cell r="AH78" t="str">
            <v/>
          </cell>
          <cell r="AI78" t="str">
            <v/>
          </cell>
          <cell r="AJ78" t="str">
            <v/>
          </cell>
        </row>
        <row r="79">
          <cell r="AF79" t="str">
            <v/>
          </cell>
          <cell r="AG79" t="str">
            <v/>
          </cell>
          <cell r="AH79" t="str">
            <v/>
          </cell>
          <cell r="AI79" t="str">
            <v/>
          </cell>
          <cell r="AJ79" t="str">
            <v/>
          </cell>
        </row>
        <row r="80">
          <cell r="AF80" t="str">
            <v/>
          </cell>
          <cell r="AG80" t="str">
            <v/>
          </cell>
          <cell r="AH80" t="str">
            <v/>
          </cell>
          <cell r="AI80" t="str">
            <v/>
          </cell>
          <cell r="AJ80" t="str">
            <v/>
          </cell>
        </row>
        <row r="81">
          <cell r="AF81" t="str">
            <v/>
          </cell>
          <cell r="AG81" t="str">
            <v/>
          </cell>
          <cell r="AH81" t="str">
            <v/>
          </cell>
          <cell r="AI81" t="str">
            <v/>
          </cell>
          <cell r="AJ81" t="str">
            <v/>
          </cell>
        </row>
        <row r="82">
          <cell r="AF82" t="str">
            <v/>
          </cell>
          <cell r="AG82" t="str">
            <v/>
          </cell>
          <cell r="AH82" t="str">
            <v/>
          </cell>
          <cell r="AI82" t="str">
            <v/>
          </cell>
          <cell r="AJ82" t="str">
            <v/>
          </cell>
        </row>
        <row r="83">
          <cell r="AF83" t="str">
            <v/>
          </cell>
          <cell r="AG83" t="str">
            <v/>
          </cell>
          <cell r="AH83" t="str">
            <v/>
          </cell>
          <cell r="AI83" t="str">
            <v/>
          </cell>
          <cell r="AJ83" t="str">
            <v/>
          </cell>
        </row>
        <row r="84">
          <cell r="AF84" t="str">
            <v/>
          </cell>
          <cell r="AG84" t="str">
            <v/>
          </cell>
          <cell r="AH84" t="str">
            <v/>
          </cell>
          <cell r="AI84" t="str">
            <v/>
          </cell>
          <cell r="AJ84" t="str">
            <v/>
          </cell>
        </row>
        <row r="85">
          <cell r="AF85" t="str">
            <v/>
          </cell>
          <cell r="AG85" t="str">
            <v/>
          </cell>
          <cell r="AH85" t="str">
            <v/>
          </cell>
          <cell r="AI85" t="str">
            <v/>
          </cell>
          <cell r="AJ85" t="str">
            <v/>
          </cell>
        </row>
        <row r="86">
          <cell r="AF86" t="str">
            <v/>
          </cell>
          <cell r="AG86" t="str">
            <v/>
          </cell>
          <cell r="AH86" t="str">
            <v/>
          </cell>
          <cell r="AI86" t="str">
            <v/>
          </cell>
          <cell r="AJ86" t="str">
            <v/>
          </cell>
        </row>
        <row r="87">
          <cell r="AF87" t="str">
            <v/>
          </cell>
          <cell r="AG87" t="str">
            <v/>
          </cell>
          <cell r="AH87" t="str">
            <v/>
          </cell>
          <cell r="AI87" t="str">
            <v/>
          </cell>
          <cell r="AJ87" t="str">
            <v/>
          </cell>
        </row>
        <row r="88">
          <cell r="AF88" t="str">
            <v/>
          </cell>
          <cell r="AG88" t="str">
            <v/>
          </cell>
          <cell r="AH88" t="str">
            <v/>
          </cell>
          <cell r="AI88" t="str">
            <v/>
          </cell>
          <cell r="AJ88" t="str">
            <v/>
          </cell>
        </row>
        <row r="89">
          <cell r="AF89" t="str">
            <v/>
          </cell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</row>
        <row r="90">
          <cell r="AF90" t="str">
            <v/>
          </cell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</row>
        <row r="91">
          <cell r="AF91" t="str">
            <v/>
          </cell>
          <cell r="AG91" t="str">
            <v/>
          </cell>
          <cell r="AH91" t="str">
            <v/>
          </cell>
          <cell r="AI91" t="str">
            <v/>
          </cell>
          <cell r="AJ91" t="str">
            <v/>
          </cell>
        </row>
        <row r="92">
          <cell r="AF92" t="str">
            <v/>
          </cell>
          <cell r="AG92" t="str">
            <v/>
          </cell>
          <cell r="AH92" t="str">
            <v/>
          </cell>
          <cell r="AI92" t="str">
            <v/>
          </cell>
          <cell r="AJ92" t="str">
            <v/>
          </cell>
        </row>
        <row r="93">
          <cell r="AF93" t="str">
            <v/>
          </cell>
          <cell r="AG93" t="str">
            <v/>
          </cell>
          <cell r="AH93" t="str">
            <v/>
          </cell>
          <cell r="AI93" t="str">
            <v/>
          </cell>
          <cell r="AJ93" t="str">
            <v/>
          </cell>
        </row>
        <row r="94">
          <cell r="AF94" t="str">
            <v/>
          </cell>
          <cell r="AG94" t="str">
            <v/>
          </cell>
          <cell r="AH94" t="str">
            <v/>
          </cell>
          <cell r="AI94" t="str">
            <v/>
          </cell>
          <cell r="AJ94" t="str">
            <v/>
          </cell>
        </row>
        <row r="95">
          <cell r="AF95" t="str">
            <v/>
          </cell>
          <cell r="AG95" t="str">
            <v/>
          </cell>
          <cell r="AH95" t="str">
            <v/>
          </cell>
          <cell r="AI95" t="str">
            <v/>
          </cell>
          <cell r="AJ95" t="str">
            <v/>
          </cell>
        </row>
        <row r="96">
          <cell r="AF96" t="str">
            <v/>
          </cell>
          <cell r="AG96" t="str">
            <v/>
          </cell>
          <cell r="AH96" t="str">
            <v/>
          </cell>
          <cell r="AI96" t="str">
            <v/>
          </cell>
          <cell r="AJ96" t="str">
            <v/>
          </cell>
        </row>
        <row r="97">
          <cell r="AF97" t="str">
            <v/>
          </cell>
          <cell r="AG97" t="str">
            <v/>
          </cell>
          <cell r="AH97" t="str">
            <v/>
          </cell>
          <cell r="AI97" t="str">
            <v/>
          </cell>
          <cell r="AJ97" t="str">
            <v/>
          </cell>
        </row>
        <row r="98">
          <cell r="AF98" t="str">
            <v/>
          </cell>
          <cell r="AG98" t="str">
            <v/>
          </cell>
          <cell r="AH98" t="str">
            <v/>
          </cell>
          <cell r="AI98" t="str">
            <v/>
          </cell>
          <cell r="AJ98" t="str">
            <v/>
          </cell>
        </row>
        <row r="99">
          <cell r="AF99" t="str">
            <v/>
          </cell>
          <cell r="AG99" t="str">
            <v/>
          </cell>
          <cell r="AH99" t="str">
            <v/>
          </cell>
          <cell r="AI99" t="str">
            <v/>
          </cell>
          <cell r="AJ99" t="str">
            <v/>
          </cell>
        </row>
        <row r="100">
          <cell r="AF100" t="str">
            <v/>
          </cell>
          <cell r="AG100" t="str">
            <v/>
          </cell>
          <cell r="AH100" t="str">
            <v/>
          </cell>
          <cell r="AI100" t="str">
            <v/>
          </cell>
          <cell r="AJ100" t="str">
            <v/>
          </cell>
        </row>
        <row r="101">
          <cell r="AF101" t="str">
            <v/>
          </cell>
          <cell r="AG101" t="str">
            <v/>
          </cell>
          <cell r="AH101" t="str">
            <v/>
          </cell>
          <cell r="AI101" t="str">
            <v/>
          </cell>
          <cell r="AJ101" t="str">
            <v/>
          </cell>
        </row>
        <row r="102">
          <cell r="AF102" t="str">
            <v/>
          </cell>
          <cell r="AG102" t="str">
            <v/>
          </cell>
          <cell r="AH102" t="str">
            <v/>
          </cell>
          <cell r="AI102" t="str">
            <v/>
          </cell>
          <cell r="AJ102" t="str">
            <v/>
          </cell>
        </row>
        <row r="103">
          <cell r="AF103" t="str">
            <v/>
          </cell>
          <cell r="AG103" t="str">
            <v/>
          </cell>
          <cell r="AH103" t="str">
            <v/>
          </cell>
          <cell r="AI103" t="str">
            <v/>
          </cell>
          <cell r="AJ103" t="str">
            <v/>
          </cell>
        </row>
        <row r="104">
          <cell r="AF104" t="str">
            <v/>
          </cell>
          <cell r="AG104" t="str">
            <v/>
          </cell>
          <cell r="AH104" t="str">
            <v/>
          </cell>
          <cell r="AI104" t="str">
            <v/>
          </cell>
          <cell r="AJ104" t="str">
            <v/>
          </cell>
        </row>
        <row r="105">
          <cell r="AF105" t="str">
            <v/>
          </cell>
          <cell r="AG105" t="str">
            <v/>
          </cell>
          <cell r="AH105" t="str">
            <v/>
          </cell>
          <cell r="AI105" t="str">
            <v/>
          </cell>
          <cell r="AJ105" t="str">
            <v/>
          </cell>
        </row>
        <row r="106">
          <cell r="AF106" t="str">
            <v/>
          </cell>
          <cell r="AG106" t="str">
            <v/>
          </cell>
          <cell r="AH106" t="str">
            <v/>
          </cell>
          <cell r="AI106" t="str">
            <v/>
          </cell>
          <cell r="AJ106" t="str">
            <v/>
          </cell>
        </row>
        <row r="107">
          <cell r="AF107" t="str">
            <v/>
          </cell>
          <cell r="AG107" t="str">
            <v/>
          </cell>
          <cell r="AH107" t="str">
            <v/>
          </cell>
          <cell r="AI107" t="str">
            <v/>
          </cell>
          <cell r="AJ107" t="str">
            <v/>
          </cell>
        </row>
        <row r="108">
          <cell r="AF108" t="str">
            <v/>
          </cell>
          <cell r="AG108" t="str">
            <v/>
          </cell>
          <cell r="AH108" t="str">
            <v/>
          </cell>
          <cell r="AI108" t="str">
            <v/>
          </cell>
          <cell r="AJ108" t="str">
            <v/>
          </cell>
        </row>
        <row r="109">
          <cell r="AF109" t="str">
            <v/>
          </cell>
          <cell r="AG109" t="str">
            <v/>
          </cell>
          <cell r="AH109" t="str">
            <v/>
          </cell>
          <cell r="AI109" t="str">
            <v/>
          </cell>
          <cell r="AJ109" t="str">
            <v/>
          </cell>
        </row>
        <row r="110">
          <cell r="AF110" t="str">
            <v/>
          </cell>
          <cell r="AG110" t="str">
            <v/>
          </cell>
          <cell r="AH110" t="str">
            <v/>
          </cell>
          <cell r="AI110" t="str">
            <v/>
          </cell>
          <cell r="AJ110" t="str">
            <v/>
          </cell>
        </row>
        <row r="111">
          <cell r="AF111" t="str">
            <v/>
          </cell>
          <cell r="AG111" t="str">
            <v/>
          </cell>
          <cell r="AH111" t="str">
            <v/>
          </cell>
          <cell r="AI111" t="str">
            <v/>
          </cell>
          <cell r="AJ111" t="str">
            <v/>
          </cell>
        </row>
        <row r="112">
          <cell r="AF112" t="str">
            <v/>
          </cell>
          <cell r="AG112" t="str">
            <v/>
          </cell>
          <cell r="AH112" t="str">
            <v/>
          </cell>
          <cell r="AI112" t="str">
            <v/>
          </cell>
          <cell r="AJ112" t="str">
            <v/>
          </cell>
        </row>
        <row r="113">
          <cell r="AF113" t="str">
            <v/>
          </cell>
          <cell r="AG113" t="str">
            <v/>
          </cell>
          <cell r="AH113" t="str">
            <v/>
          </cell>
          <cell r="AI113" t="str">
            <v/>
          </cell>
          <cell r="AJ113" t="str">
            <v/>
          </cell>
        </row>
        <row r="114">
          <cell r="AF114" t="str">
            <v/>
          </cell>
          <cell r="AG114" t="str">
            <v/>
          </cell>
          <cell r="AH114" t="str">
            <v/>
          </cell>
          <cell r="AI114" t="str">
            <v/>
          </cell>
          <cell r="AJ114" t="str">
            <v/>
          </cell>
        </row>
        <row r="115">
          <cell r="AF115" t="str">
            <v/>
          </cell>
          <cell r="AG115" t="str">
            <v/>
          </cell>
          <cell r="AH115" t="str">
            <v/>
          </cell>
          <cell r="AI115" t="str">
            <v/>
          </cell>
          <cell r="AJ115" t="str">
            <v/>
          </cell>
        </row>
        <row r="116">
          <cell r="AF116" t="str">
            <v/>
          </cell>
          <cell r="AG116" t="str">
            <v/>
          </cell>
          <cell r="AH116" t="str">
            <v/>
          </cell>
          <cell r="AI116" t="str">
            <v/>
          </cell>
          <cell r="AJ116" t="str">
            <v/>
          </cell>
        </row>
        <row r="117">
          <cell r="AF117" t="str">
            <v/>
          </cell>
          <cell r="AG117" t="str">
            <v/>
          </cell>
          <cell r="AH117" t="str">
            <v/>
          </cell>
          <cell r="AI117" t="str">
            <v/>
          </cell>
          <cell r="AJ117" t="str">
            <v/>
          </cell>
        </row>
        <row r="118">
          <cell r="AF118" t="str">
            <v/>
          </cell>
          <cell r="AG118" t="str">
            <v/>
          </cell>
          <cell r="AH118" t="str">
            <v/>
          </cell>
          <cell r="AI118" t="str">
            <v/>
          </cell>
          <cell r="AJ118" t="str">
            <v/>
          </cell>
        </row>
        <row r="119">
          <cell r="AF119" t="str">
            <v/>
          </cell>
          <cell r="AG119" t="str">
            <v/>
          </cell>
          <cell r="AH119" t="str">
            <v/>
          </cell>
          <cell r="AI119" t="str">
            <v/>
          </cell>
          <cell r="AJ119" t="str">
            <v/>
          </cell>
        </row>
        <row r="120">
          <cell r="AF120" t="str">
            <v/>
          </cell>
          <cell r="AG120" t="str">
            <v/>
          </cell>
          <cell r="AH120" t="str">
            <v/>
          </cell>
          <cell r="AI120" t="str">
            <v/>
          </cell>
          <cell r="AJ120" t="str">
            <v/>
          </cell>
        </row>
        <row r="121">
          <cell r="AF121" t="str">
            <v/>
          </cell>
          <cell r="AG121" t="str">
            <v/>
          </cell>
          <cell r="AH121" t="str">
            <v/>
          </cell>
          <cell r="AI121" t="str">
            <v/>
          </cell>
          <cell r="AJ121" t="str">
            <v/>
          </cell>
        </row>
        <row r="122">
          <cell r="AF122" t="str">
            <v/>
          </cell>
          <cell r="AG122" t="str">
            <v/>
          </cell>
          <cell r="AH122" t="str">
            <v/>
          </cell>
          <cell r="AI122" t="str">
            <v/>
          </cell>
          <cell r="AJ122" t="str">
            <v/>
          </cell>
        </row>
        <row r="123">
          <cell r="AF123" t="str">
            <v/>
          </cell>
          <cell r="AG123" t="str">
            <v/>
          </cell>
          <cell r="AH123" t="str">
            <v/>
          </cell>
          <cell r="AI123" t="str">
            <v/>
          </cell>
          <cell r="AJ123" t="str">
            <v/>
          </cell>
        </row>
        <row r="124">
          <cell r="AF124" t="str">
            <v/>
          </cell>
          <cell r="AG124" t="str">
            <v/>
          </cell>
          <cell r="AH124" t="str">
            <v/>
          </cell>
          <cell r="AI124" t="str">
            <v/>
          </cell>
          <cell r="AJ124" t="str">
            <v/>
          </cell>
        </row>
        <row r="125">
          <cell r="AF125" t="str">
            <v/>
          </cell>
          <cell r="AG125" t="str">
            <v/>
          </cell>
          <cell r="AH125" t="str">
            <v/>
          </cell>
          <cell r="AI125" t="str">
            <v/>
          </cell>
          <cell r="AJ125" t="str">
            <v/>
          </cell>
        </row>
        <row r="126">
          <cell r="AF126" t="str">
            <v/>
          </cell>
          <cell r="AG126" t="str">
            <v/>
          </cell>
          <cell r="AH126" t="str">
            <v/>
          </cell>
          <cell r="AI126" t="str">
            <v/>
          </cell>
          <cell r="AJ126" t="str">
            <v/>
          </cell>
        </row>
        <row r="127">
          <cell r="AF127" t="str">
            <v/>
          </cell>
          <cell r="AG127" t="str">
            <v/>
          </cell>
          <cell r="AH127" t="str">
            <v/>
          </cell>
          <cell r="AI127" t="str">
            <v/>
          </cell>
          <cell r="AJ127" t="str">
            <v/>
          </cell>
        </row>
        <row r="128">
          <cell r="AF128" t="str">
            <v/>
          </cell>
          <cell r="AG128" t="str">
            <v/>
          </cell>
          <cell r="AH128" t="str">
            <v/>
          </cell>
          <cell r="AI128" t="str">
            <v/>
          </cell>
          <cell r="AJ128" t="str">
            <v/>
          </cell>
        </row>
        <row r="129">
          <cell r="AF129" t="str">
            <v/>
          </cell>
          <cell r="AG129" t="str">
            <v/>
          </cell>
          <cell r="AH129" t="str">
            <v/>
          </cell>
          <cell r="AI129" t="str">
            <v/>
          </cell>
          <cell r="AJ129" t="str">
            <v/>
          </cell>
        </row>
        <row r="130">
          <cell r="AF130" t="str">
            <v/>
          </cell>
          <cell r="AG130" t="str">
            <v/>
          </cell>
          <cell r="AH130" t="str">
            <v/>
          </cell>
          <cell r="AI130" t="str">
            <v/>
          </cell>
          <cell r="AJ130" t="str">
            <v/>
          </cell>
        </row>
        <row r="131">
          <cell r="AF131" t="str">
            <v/>
          </cell>
          <cell r="AG131" t="str">
            <v/>
          </cell>
          <cell r="AH131" t="str">
            <v/>
          </cell>
          <cell r="AI131" t="str">
            <v/>
          </cell>
          <cell r="AJ131" t="str">
            <v/>
          </cell>
        </row>
        <row r="132">
          <cell r="AF132" t="str">
            <v/>
          </cell>
          <cell r="AG132" t="str">
            <v/>
          </cell>
          <cell r="AH132" t="str">
            <v/>
          </cell>
          <cell r="AI132" t="str">
            <v/>
          </cell>
          <cell r="AJ132" t="str">
            <v/>
          </cell>
        </row>
        <row r="133">
          <cell r="AF133" t="str">
            <v/>
          </cell>
          <cell r="AG133" t="str">
            <v/>
          </cell>
          <cell r="AH133" t="str">
            <v/>
          </cell>
          <cell r="AI133" t="str">
            <v/>
          </cell>
          <cell r="AJ133" t="str">
            <v/>
          </cell>
        </row>
        <row r="134">
          <cell r="AF134" t="str">
            <v/>
          </cell>
          <cell r="AG134" t="str">
            <v/>
          </cell>
          <cell r="AH134" t="str">
            <v/>
          </cell>
          <cell r="AI134" t="str">
            <v/>
          </cell>
          <cell r="AJ134" t="str">
            <v/>
          </cell>
        </row>
        <row r="135">
          <cell r="AF135" t="str">
            <v/>
          </cell>
          <cell r="AG135" t="str">
            <v/>
          </cell>
          <cell r="AH135" t="str">
            <v/>
          </cell>
          <cell r="AI135" t="str">
            <v/>
          </cell>
          <cell r="AJ135" t="str">
            <v/>
          </cell>
        </row>
        <row r="136">
          <cell r="AF136" t="str">
            <v/>
          </cell>
          <cell r="AG136" t="str">
            <v/>
          </cell>
          <cell r="AH136" t="str">
            <v/>
          </cell>
          <cell r="AI136" t="str">
            <v/>
          </cell>
          <cell r="AJ136" t="str">
            <v/>
          </cell>
        </row>
        <row r="137">
          <cell r="AF137" t="str">
            <v/>
          </cell>
          <cell r="AG137" t="str">
            <v/>
          </cell>
          <cell r="AH137" t="str">
            <v/>
          </cell>
          <cell r="AI137" t="str">
            <v/>
          </cell>
          <cell r="AJ137" t="str">
            <v/>
          </cell>
        </row>
        <row r="138">
          <cell r="AF138" t="str">
            <v/>
          </cell>
          <cell r="AG138" t="str">
            <v/>
          </cell>
          <cell r="AH138" t="str">
            <v/>
          </cell>
          <cell r="AI138" t="str">
            <v/>
          </cell>
          <cell r="AJ138" t="str">
            <v/>
          </cell>
        </row>
        <row r="139">
          <cell r="AF139" t="str">
            <v/>
          </cell>
          <cell r="AG139" t="str">
            <v/>
          </cell>
          <cell r="AH139" t="str">
            <v/>
          </cell>
          <cell r="AI139" t="str">
            <v/>
          </cell>
          <cell r="AJ139" t="str">
            <v/>
          </cell>
        </row>
        <row r="140">
          <cell r="AF140" t="str">
            <v/>
          </cell>
          <cell r="AG140" t="str">
            <v/>
          </cell>
          <cell r="AH140" t="str">
            <v/>
          </cell>
          <cell r="AI140" t="str">
            <v/>
          </cell>
          <cell r="AJ140" t="str">
            <v/>
          </cell>
        </row>
        <row r="141">
          <cell r="AF141" t="str">
            <v/>
          </cell>
          <cell r="AG141" t="str">
            <v/>
          </cell>
          <cell r="AH141" t="str">
            <v/>
          </cell>
          <cell r="AI141" t="str">
            <v/>
          </cell>
          <cell r="AJ141" t="str">
            <v/>
          </cell>
        </row>
        <row r="142">
          <cell r="AF142" t="str">
            <v/>
          </cell>
          <cell r="AG142" t="str">
            <v/>
          </cell>
          <cell r="AH142" t="str">
            <v/>
          </cell>
          <cell r="AI142" t="str">
            <v/>
          </cell>
          <cell r="AJ142" t="str">
            <v/>
          </cell>
        </row>
        <row r="143">
          <cell r="AF143" t="str">
            <v/>
          </cell>
          <cell r="AG143" t="str">
            <v/>
          </cell>
          <cell r="AH143" t="str">
            <v/>
          </cell>
          <cell r="AI143" t="str">
            <v/>
          </cell>
          <cell r="AJ143" t="str">
            <v/>
          </cell>
        </row>
        <row r="144">
          <cell r="AF144" t="str">
            <v/>
          </cell>
          <cell r="AG144" t="str">
            <v/>
          </cell>
          <cell r="AH144" t="str">
            <v/>
          </cell>
          <cell r="AI144" t="str">
            <v/>
          </cell>
          <cell r="AJ144" t="str">
            <v/>
          </cell>
        </row>
        <row r="145">
          <cell r="AF145" t="str">
            <v/>
          </cell>
          <cell r="AG145" t="str">
            <v/>
          </cell>
          <cell r="AH145" t="str">
            <v/>
          </cell>
          <cell r="AI145" t="str">
            <v/>
          </cell>
          <cell r="AJ145" t="str">
            <v/>
          </cell>
        </row>
        <row r="146">
          <cell r="AF146" t="str">
            <v/>
          </cell>
          <cell r="AG146" t="str">
            <v/>
          </cell>
          <cell r="AH146" t="str">
            <v/>
          </cell>
          <cell r="AI146" t="str">
            <v/>
          </cell>
          <cell r="AJ146" t="str">
            <v/>
          </cell>
        </row>
        <row r="147">
          <cell r="AF147" t="str">
            <v/>
          </cell>
          <cell r="AG147" t="str">
            <v/>
          </cell>
          <cell r="AH147" t="str">
            <v/>
          </cell>
          <cell r="AI147" t="str">
            <v/>
          </cell>
          <cell r="AJ147" t="str">
            <v/>
          </cell>
        </row>
        <row r="148">
          <cell r="AF148" t="str">
            <v/>
          </cell>
          <cell r="AG148" t="str">
            <v/>
          </cell>
          <cell r="AH148" t="str">
            <v/>
          </cell>
          <cell r="AI148" t="str">
            <v/>
          </cell>
          <cell r="AJ148" t="str">
            <v/>
          </cell>
        </row>
        <row r="149">
          <cell r="AF149" t="str">
            <v/>
          </cell>
          <cell r="AG149" t="str">
            <v/>
          </cell>
          <cell r="AH149" t="str">
            <v/>
          </cell>
          <cell r="AI149" t="str">
            <v/>
          </cell>
          <cell r="AJ149" t="str">
            <v/>
          </cell>
        </row>
        <row r="150">
          <cell r="AF150" t="str">
            <v/>
          </cell>
          <cell r="AG150" t="str">
            <v/>
          </cell>
          <cell r="AH150" t="str">
            <v/>
          </cell>
          <cell r="AI150" t="str">
            <v/>
          </cell>
          <cell r="AJ150" t="str">
            <v/>
          </cell>
        </row>
        <row r="151">
          <cell r="AF151" t="str">
            <v/>
          </cell>
          <cell r="AG151" t="str">
            <v/>
          </cell>
          <cell r="AH151" t="str">
            <v/>
          </cell>
          <cell r="AI151" t="str">
            <v/>
          </cell>
          <cell r="AJ151" t="str">
            <v/>
          </cell>
        </row>
        <row r="152">
          <cell r="AF152" t="str">
            <v/>
          </cell>
          <cell r="AG152" t="str">
            <v/>
          </cell>
          <cell r="AH152" t="str">
            <v/>
          </cell>
          <cell r="AI152" t="str">
            <v/>
          </cell>
          <cell r="AJ152" t="str">
            <v/>
          </cell>
        </row>
        <row r="153">
          <cell r="AF153" t="str">
            <v/>
          </cell>
          <cell r="AG153" t="str">
            <v/>
          </cell>
          <cell r="AH153" t="str">
            <v/>
          </cell>
          <cell r="AI153" t="str">
            <v/>
          </cell>
          <cell r="AJ153" t="str">
            <v/>
          </cell>
        </row>
        <row r="154">
          <cell r="AF154" t="str">
            <v/>
          </cell>
          <cell r="AG154" t="str">
            <v/>
          </cell>
          <cell r="AH154" t="str">
            <v/>
          </cell>
          <cell r="AI154" t="str">
            <v/>
          </cell>
          <cell r="AJ154" t="str">
            <v/>
          </cell>
        </row>
        <row r="155">
          <cell r="AF155" t="str">
            <v/>
          </cell>
          <cell r="AG155" t="str">
            <v/>
          </cell>
          <cell r="AH155" t="str">
            <v/>
          </cell>
          <cell r="AI155" t="str">
            <v/>
          </cell>
          <cell r="AJ155" t="str">
            <v/>
          </cell>
        </row>
        <row r="156">
          <cell r="AF156" t="str">
            <v/>
          </cell>
          <cell r="AG156" t="str">
            <v/>
          </cell>
          <cell r="AH156" t="str">
            <v/>
          </cell>
          <cell r="AI156" t="str">
            <v/>
          </cell>
          <cell r="AJ156" t="str">
            <v/>
          </cell>
        </row>
        <row r="157">
          <cell r="AF157" t="str">
            <v/>
          </cell>
          <cell r="AG157" t="str">
            <v/>
          </cell>
          <cell r="AH157" t="str">
            <v/>
          </cell>
          <cell r="AI157" t="str">
            <v/>
          </cell>
          <cell r="AJ157" t="str">
            <v/>
          </cell>
        </row>
        <row r="158">
          <cell r="AF158" t="str">
            <v/>
          </cell>
          <cell r="AG158" t="str">
            <v/>
          </cell>
          <cell r="AH158" t="str">
            <v/>
          </cell>
          <cell r="AI158" t="str">
            <v/>
          </cell>
          <cell r="AJ158" t="str">
            <v/>
          </cell>
        </row>
        <row r="159">
          <cell r="AF159" t="str">
            <v/>
          </cell>
          <cell r="AG159" t="str">
            <v/>
          </cell>
          <cell r="AH159" t="str">
            <v/>
          </cell>
          <cell r="AI159" t="str">
            <v/>
          </cell>
          <cell r="AJ159" t="str">
            <v/>
          </cell>
        </row>
        <row r="160">
          <cell r="AF160" t="str">
            <v/>
          </cell>
          <cell r="AG160" t="str">
            <v/>
          </cell>
          <cell r="AH160" t="str">
            <v/>
          </cell>
          <cell r="AI160" t="str">
            <v/>
          </cell>
          <cell r="AJ160" t="str">
            <v/>
          </cell>
        </row>
        <row r="161">
          <cell r="AF161" t="str">
            <v/>
          </cell>
          <cell r="AG161" t="str">
            <v/>
          </cell>
          <cell r="AH161" t="str">
            <v/>
          </cell>
          <cell r="AI161" t="str">
            <v/>
          </cell>
          <cell r="AJ161" t="str">
            <v/>
          </cell>
        </row>
        <row r="162">
          <cell r="AF162" t="str">
            <v/>
          </cell>
          <cell r="AG162" t="str">
            <v/>
          </cell>
          <cell r="AH162" t="str">
            <v/>
          </cell>
          <cell r="AI162" t="str">
            <v/>
          </cell>
          <cell r="AJ162" t="str">
            <v/>
          </cell>
        </row>
        <row r="163">
          <cell r="AF163" t="str">
            <v/>
          </cell>
          <cell r="AG163" t="str">
            <v/>
          </cell>
          <cell r="AH163" t="str">
            <v/>
          </cell>
          <cell r="AI163" t="str">
            <v/>
          </cell>
          <cell r="AJ163" t="str">
            <v/>
          </cell>
        </row>
        <row r="164">
          <cell r="AF164" t="str">
            <v/>
          </cell>
          <cell r="AG164" t="str">
            <v/>
          </cell>
          <cell r="AH164" t="str">
            <v/>
          </cell>
          <cell r="AI164" t="str">
            <v/>
          </cell>
          <cell r="AJ164" t="str">
            <v/>
          </cell>
        </row>
        <row r="165">
          <cell r="AF165" t="str">
            <v/>
          </cell>
          <cell r="AG165" t="str">
            <v/>
          </cell>
          <cell r="AH165" t="str">
            <v/>
          </cell>
          <cell r="AI165" t="str">
            <v/>
          </cell>
          <cell r="AJ165" t="str">
            <v/>
          </cell>
        </row>
        <row r="166">
          <cell r="AF166" t="str">
            <v/>
          </cell>
          <cell r="AG166" t="str">
            <v/>
          </cell>
          <cell r="AH166" t="str">
            <v/>
          </cell>
          <cell r="AI166" t="str">
            <v/>
          </cell>
          <cell r="AJ166" t="str">
            <v/>
          </cell>
        </row>
        <row r="167">
          <cell r="AF167" t="str">
            <v/>
          </cell>
          <cell r="AG167" t="str">
            <v/>
          </cell>
          <cell r="AH167" t="str">
            <v/>
          </cell>
          <cell r="AI167" t="str">
            <v/>
          </cell>
          <cell r="AJ167" t="str">
            <v/>
          </cell>
        </row>
        <row r="168">
          <cell r="AF168" t="str">
            <v/>
          </cell>
          <cell r="AG168" t="str">
            <v/>
          </cell>
          <cell r="AH168" t="str">
            <v/>
          </cell>
          <cell r="AI168" t="str">
            <v/>
          </cell>
          <cell r="AJ168" t="str">
            <v/>
          </cell>
        </row>
        <row r="169">
          <cell r="AF169" t="str">
            <v/>
          </cell>
          <cell r="AG169" t="str">
            <v/>
          </cell>
          <cell r="AH169" t="str">
            <v/>
          </cell>
          <cell r="AI169" t="str">
            <v/>
          </cell>
          <cell r="AJ169" t="str">
            <v/>
          </cell>
        </row>
        <row r="170">
          <cell r="AF170" t="str">
            <v/>
          </cell>
          <cell r="AG170" t="str">
            <v/>
          </cell>
          <cell r="AH170" t="str">
            <v/>
          </cell>
          <cell r="AI170" t="str">
            <v/>
          </cell>
          <cell r="AJ170" t="str">
            <v/>
          </cell>
        </row>
        <row r="171">
          <cell r="AF171" t="str">
            <v/>
          </cell>
          <cell r="AG171" t="str">
            <v/>
          </cell>
          <cell r="AH171" t="str">
            <v/>
          </cell>
          <cell r="AI171" t="str">
            <v/>
          </cell>
          <cell r="AJ171" t="str">
            <v/>
          </cell>
        </row>
        <row r="172">
          <cell r="AF172" t="str">
            <v/>
          </cell>
          <cell r="AG172" t="str">
            <v/>
          </cell>
          <cell r="AH172" t="str">
            <v/>
          </cell>
          <cell r="AI172" t="str">
            <v/>
          </cell>
          <cell r="AJ172" t="str">
            <v/>
          </cell>
        </row>
        <row r="173">
          <cell r="AF173" t="str">
            <v/>
          </cell>
          <cell r="AG173" t="str">
            <v/>
          </cell>
          <cell r="AH173" t="str">
            <v/>
          </cell>
          <cell r="AI173" t="str">
            <v/>
          </cell>
          <cell r="AJ173" t="str">
            <v/>
          </cell>
        </row>
        <row r="174">
          <cell r="AF174" t="str">
            <v/>
          </cell>
          <cell r="AG174" t="str">
            <v/>
          </cell>
          <cell r="AH174" t="str">
            <v/>
          </cell>
          <cell r="AI174" t="str">
            <v/>
          </cell>
          <cell r="AJ174" t="str">
            <v/>
          </cell>
        </row>
        <row r="175">
          <cell r="AF175" t="str">
            <v/>
          </cell>
          <cell r="AG175" t="str">
            <v/>
          </cell>
          <cell r="AH175" t="str">
            <v/>
          </cell>
          <cell r="AI175" t="str">
            <v/>
          </cell>
          <cell r="AJ175" t="str">
            <v/>
          </cell>
        </row>
        <row r="176">
          <cell r="AF176" t="str">
            <v/>
          </cell>
          <cell r="AG176" t="str">
            <v/>
          </cell>
          <cell r="AH176" t="str">
            <v/>
          </cell>
          <cell r="AI176" t="str">
            <v/>
          </cell>
          <cell r="AJ176" t="str">
            <v/>
          </cell>
        </row>
        <row r="177">
          <cell r="AF177" t="str">
            <v/>
          </cell>
          <cell r="AG177" t="str">
            <v/>
          </cell>
          <cell r="AH177" t="str">
            <v/>
          </cell>
          <cell r="AI177" t="str">
            <v/>
          </cell>
          <cell r="AJ177" t="str">
            <v/>
          </cell>
        </row>
        <row r="178">
          <cell r="AF178" t="str">
            <v/>
          </cell>
          <cell r="AG178" t="str">
            <v/>
          </cell>
          <cell r="AH178" t="str">
            <v/>
          </cell>
          <cell r="AI178" t="str">
            <v/>
          </cell>
          <cell r="AJ178" t="str">
            <v/>
          </cell>
        </row>
        <row r="179">
          <cell r="AF179" t="str">
            <v/>
          </cell>
          <cell r="AG179" t="str">
            <v/>
          </cell>
          <cell r="AH179" t="str">
            <v/>
          </cell>
          <cell r="AI179" t="str">
            <v/>
          </cell>
          <cell r="AJ179" t="str">
            <v/>
          </cell>
        </row>
        <row r="180">
          <cell r="AF180" t="str">
            <v/>
          </cell>
          <cell r="AG180" t="str">
            <v/>
          </cell>
          <cell r="AH180" t="str">
            <v/>
          </cell>
          <cell r="AI180" t="str">
            <v/>
          </cell>
          <cell r="AJ180" t="str">
            <v/>
          </cell>
        </row>
        <row r="181">
          <cell r="AF181" t="str">
            <v/>
          </cell>
          <cell r="AG181" t="str">
            <v/>
          </cell>
          <cell r="AH181" t="str">
            <v/>
          </cell>
          <cell r="AI181" t="str">
            <v/>
          </cell>
          <cell r="AJ181" t="str">
            <v/>
          </cell>
        </row>
        <row r="182">
          <cell r="AF182" t="str">
            <v/>
          </cell>
          <cell r="AG182" t="str">
            <v/>
          </cell>
          <cell r="AH182" t="str">
            <v/>
          </cell>
          <cell r="AI182" t="str">
            <v/>
          </cell>
          <cell r="AJ182" t="str">
            <v/>
          </cell>
        </row>
        <row r="183">
          <cell r="AF183" t="str">
            <v/>
          </cell>
          <cell r="AG183" t="str">
            <v/>
          </cell>
          <cell r="AH183" t="str">
            <v/>
          </cell>
          <cell r="AI183" t="str">
            <v/>
          </cell>
          <cell r="AJ183" t="str">
            <v/>
          </cell>
        </row>
        <row r="184">
          <cell r="AF184" t="str">
            <v/>
          </cell>
          <cell r="AG184" t="str">
            <v/>
          </cell>
          <cell r="AH184" t="str">
            <v/>
          </cell>
          <cell r="AI184" t="str">
            <v/>
          </cell>
          <cell r="AJ184" t="str">
            <v/>
          </cell>
        </row>
        <row r="185">
          <cell r="AF185" t="str">
            <v/>
          </cell>
          <cell r="AG185" t="str">
            <v/>
          </cell>
          <cell r="AH185" t="str">
            <v/>
          </cell>
          <cell r="AI185" t="str">
            <v/>
          </cell>
          <cell r="AJ185" t="str">
            <v/>
          </cell>
        </row>
        <row r="186">
          <cell r="AF186" t="str">
            <v/>
          </cell>
          <cell r="AG186" t="str">
            <v/>
          </cell>
          <cell r="AH186" t="str">
            <v/>
          </cell>
          <cell r="AI186" t="str">
            <v/>
          </cell>
          <cell r="AJ186" t="str">
            <v/>
          </cell>
        </row>
        <row r="187">
          <cell r="AF187" t="str">
            <v/>
          </cell>
          <cell r="AG187" t="str">
            <v/>
          </cell>
          <cell r="AH187" t="str">
            <v/>
          </cell>
          <cell r="AI187" t="str">
            <v/>
          </cell>
          <cell r="AJ187" t="str">
            <v/>
          </cell>
        </row>
        <row r="188">
          <cell r="AF188" t="str">
            <v/>
          </cell>
          <cell r="AG188" t="str">
            <v/>
          </cell>
          <cell r="AH188" t="str">
            <v/>
          </cell>
          <cell r="AI188" t="str">
            <v/>
          </cell>
          <cell r="AJ188" t="str">
            <v/>
          </cell>
        </row>
        <row r="189">
          <cell r="AF189" t="str">
            <v/>
          </cell>
          <cell r="AG189" t="str">
            <v/>
          </cell>
          <cell r="AH189" t="str">
            <v/>
          </cell>
          <cell r="AI189" t="str">
            <v/>
          </cell>
          <cell r="AJ189" t="str">
            <v/>
          </cell>
        </row>
        <row r="190">
          <cell r="AF190" t="str">
            <v/>
          </cell>
          <cell r="AG190" t="str">
            <v/>
          </cell>
          <cell r="AH190" t="str">
            <v/>
          </cell>
          <cell r="AI190" t="str">
            <v/>
          </cell>
          <cell r="AJ190" t="str">
            <v/>
          </cell>
        </row>
        <row r="191">
          <cell r="AF191" t="str">
            <v/>
          </cell>
          <cell r="AG191" t="str">
            <v/>
          </cell>
          <cell r="AH191" t="str">
            <v/>
          </cell>
          <cell r="AI191" t="str">
            <v/>
          </cell>
          <cell r="AJ191" t="str">
            <v/>
          </cell>
        </row>
        <row r="192">
          <cell r="AF192" t="str">
            <v/>
          </cell>
          <cell r="AG192" t="str">
            <v/>
          </cell>
          <cell r="AH192" t="str">
            <v/>
          </cell>
          <cell r="AI192" t="str">
            <v/>
          </cell>
          <cell r="AJ192" t="str">
            <v/>
          </cell>
        </row>
        <row r="193">
          <cell r="AF193" t="str">
            <v/>
          </cell>
          <cell r="AG193" t="str">
            <v/>
          </cell>
          <cell r="AH193" t="str">
            <v/>
          </cell>
          <cell r="AI193" t="str">
            <v/>
          </cell>
          <cell r="AJ193" t="str">
            <v/>
          </cell>
        </row>
        <row r="194">
          <cell r="AF194" t="str">
            <v/>
          </cell>
          <cell r="AG194" t="str">
            <v/>
          </cell>
          <cell r="AH194" t="str">
            <v/>
          </cell>
          <cell r="AI194" t="str">
            <v/>
          </cell>
          <cell r="AJ194" t="str">
            <v/>
          </cell>
        </row>
        <row r="195">
          <cell r="AF195" t="str">
            <v/>
          </cell>
          <cell r="AG195" t="str">
            <v/>
          </cell>
          <cell r="AH195" t="str">
            <v/>
          </cell>
          <cell r="AI195" t="str">
            <v/>
          </cell>
          <cell r="AJ195" t="str">
            <v/>
          </cell>
        </row>
        <row r="196">
          <cell r="AF196" t="str">
            <v/>
          </cell>
          <cell r="AG196" t="str">
            <v/>
          </cell>
          <cell r="AH196" t="str">
            <v/>
          </cell>
          <cell r="AI196" t="str">
            <v/>
          </cell>
          <cell r="AJ196" t="str">
            <v/>
          </cell>
        </row>
        <row r="197">
          <cell r="AF197" t="str">
            <v/>
          </cell>
          <cell r="AG197" t="str">
            <v/>
          </cell>
          <cell r="AH197" t="str">
            <v/>
          </cell>
          <cell r="AI197" t="str">
            <v/>
          </cell>
          <cell r="AJ197" t="str">
            <v/>
          </cell>
        </row>
        <row r="198">
          <cell r="AF198" t="str">
            <v/>
          </cell>
          <cell r="AG198" t="str">
            <v/>
          </cell>
          <cell r="AH198" t="str">
            <v/>
          </cell>
          <cell r="AI198" t="str">
            <v/>
          </cell>
          <cell r="AJ198" t="str">
            <v/>
          </cell>
        </row>
        <row r="199">
          <cell r="AF199" t="str">
            <v/>
          </cell>
          <cell r="AG199" t="str">
            <v/>
          </cell>
          <cell r="AH199" t="str">
            <v/>
          </cell>
          <cell r="AI199" t="str">
            <v/>
          </cell>
          <cell r="AJ199" t="str">
            <v/>
          </cell>
        </row>
        <row r="200">
          <cell r="AF200" t="str">
            <v/>
          </cell>
          <cell r="AG200" t="str">
            <v/>
          </cell>
          <cell r="AH200" t="str">
            <v/>
          </cell>
          <cell r="AI200" t="str">
            <v/>
          </cell>
          <cell r="AJ200" t="str">
            <v/>
          </cell>
        </row>
        <row r="201">
          <cell r="AF201" t="str">
            <v/>
          </cell>
          <cell r="AG201" t="str">
            <v/>
          </cell>
          <cell r="AH201" t="str">
            <v/>
          </cell>
          <cell r="AI201" t="str">
            <v/>
          </cell>
          <cell r="AJ201" t="str">
            <v/>
          </cell>
        </row>
        <row r="202">
          <cell r="AF202" t="str">
            <v/>
          </cell>
          <cell r="AG202" t="str">
            <v/>
          </cell>
          <cell r="AH202" t="str">
            <v/>
          </cell>
          <cell r="AI202" t="str">
            <v/>
          </cell>
          <cell r="AJ202" t="str">
            <v/>
          </cell>
        </row>
        <row r="203">
          <cell r="AF203" t="str">
            <v/>
          </cell>
          <cell r="AG203" t="str">
            <v/>
          </cell>
          <cell r="AH203" t="str">
            <v/>
          </cell>
          <cell r="AI203" t="str">
            <v/>
          </cell>
          <cell r="AJ203" t="str">
            <v/>
          </cell>
        </row>
        <row r="204">
          <cell r="AF204" t="str">
            <v/>
          </cell>
          <cell r="AG204" t="str">
            <v/>
          </cell>
          <cell r="AH204" t="str">
            <v/>
          </cell>
          <cell r="AI204" t="str">
            <v/>
          </cell>
          <cell r="AJ204" t="str">
            <v/>
          </cell>
        </row>
      </sheetData>
      <sheetData sheetId="2">
        <row r="4">
          <cell r="B4" t="str">
            <v>宁波鹿小白机电有限公司</v>
          </cell>
          <cell r="C4" t="str">
            <v>客户</v>
          </cell>
        </row>
        <row r="5">
          <cell r="B5" t="str">
            <v>宁波安程汽车服务有限公司</v>
          </cell>
          <cell r="C5" t="str">
            <v>客户</v>
          </cell>
        </row>
        <row r="6">
          <cell r="B6" t="str">
            <v>宁波市华方塑料机械制造有限公司</v>
          </cell>
          <cell r="C6" t="str">
            <v>客户</v>
          </cell>
        </row>
        <row r="7">
          <cell r="B7" t="str">
            <v>宁波市昕阳国际贸易有限公司</v>
          </cell>
          <cell r="C7" t="str">
            <v>客户</v>
          </cell>
        </row>
        <row r="8">
          <cell r="B8" t="str">
            <v>宁波永程纸制品有限公司</v>
          </cell>
          <cell r="C8" t="str">
            <v>客户</v>
          </cell>
        </row>
        <row r="9">
          <cell r="B9" t="str">
            <v>鄞州区福明街道国际汽车城业主委员会</v>
          </cell>
          <cell r="C9" t="str">
            <v>客户</v>
          </cell>
        </row>
        <row r="10">
          <cell r="B10" t="str">
            <v>宁波市鄞州瑞益通风设备有限公司</v>
          </cell>
          <cell r="C10" t="str">
            <v>客户</v>
          </cell>
        </row>
        <row r="11">
          <cell r="B11" t="str">
            <v>宁波市鄞州五乡晓林五金机械厂</v>
          </cell>
          <cell r="C11" t="str">
            <v>客户</v>
          </cell>
        </row>
        <row r="12">
          <cell r="B12" t="str">
            <v>宜柏嘉（宁波）智能科技有限公司</v>
          </cell>
          <cell r="C12" t="str">
            <v>客户</v>
          </cell>
        </row>
        <row r="13">
          <cell r="B13" t="str">
            <v>宁波优责标识科技有限公司</v>
          </cell>
          <cell r="C13" t="str">
            <v>客户</v>
          </cell>
        </row>
        <row r="14">
          <cell r="B14" t="str">
            <v>宁波新鹏机械有限公司</v>
          </cell>
          <cell r="C14" t="str">
            <v>客户</v>
          </cell>
        </row>
        <row r="15">
          <cell r="B15" t="str">
            <v>宁波恒杰工业锁闭技术有限公司</v>
          </cell>
          <cell r="C15" t="str">
            <v>客户</v>
          </cell>
        </row>
        <row r="16">
          <cell r="B16" t="str">
            <v>宁波绮绘印花有限公司</v>
          </cell>
          <cell r="C16" t="str">
            <v>客户</v>
          </cell>
        </row>
        <row r="17">
          <cell r="B17" t="str">
            <v>浙江省成套工程有限公司鄞州分公司</v>
          </cell>
          <cell r="C17" t="str">
            <v>客户</v>
          </cell>
        </row>
        <row r="18">
          <cell r="B18" t="str">
            <v>宁波市吉安商会</v>
          </cell>
          <cell r="C18" t="str">
            <v>客户</v>
          </cell>
        </row>
        <row r="19">
          <cell r="B19" t="str">
            <v>宁波绵菡电子有限公司</v>
          </cell>
          <cell r="C19" t="str">
            <v>客户</v>
          </cell>
        </row>
        <row r="20">
          <cell r="B20" t="str">
            <v>宁波启定塑料制品有限公司</v>
          </cell>
          <cell r="C20" t="str">
            <v>客户</v>
          </cell>
        </row>
        <row r="21">
          <cell r="B21" t="str">
            <v>宁波佳协永立服饰有限公司</v>
          </cell>
          <cell r="C21" t="str">
            <v>客户</v>
          </cell>
        </row>
        <row r="22">
          <cell r="B22" t="str">
            <v>宁波市鄞州烈盛电子有限公司</v>
          </cell>
          <cell r="C22" t="str">
            <v>客户</v>
          </cell>
        </row>
        <row r="23">
          <cell r="B23" t="str">
            <v>宁波盛晞钛金科技有限公司</v>
          </cell>
          <cell r="C23" t="str">
            <v>客户</v>
          </cell>
        </row>
        <row r="24">
          <cell r="B24" t="str">
            <v>宁波恒世通实业有限公司</v>
          </cell>
          <cell r="C24" t="str">
            <v>客户</v>
          </cell>
        </row>
        <row r="25">
          <cell r="B25" t="str">
            <v>中国电信股份有限公司宁波分公司</v>
          </cell>
          <cell r="C25" t="str">
            <v>供应商</v>
          </cell>
        </row>
        <row r="26">
          <cell r="B26" t="str">
            <v>国库（税款）</v>
          </cell>
          <cell r="C26" t="str">
            <v>税务银行</v>
          </cell>
        </row>
        <row r="27">
          <cell r="B27" t="str">
            <v>宁波市鄞州钱路新材料有限公司</v>
          </cell>
          <cell r="C27" t="str">
            <v>客户</v>
          </cell>
        </row>
        <row r="28">
          <cell r="B28" t="str">
            <v>上海康驻达科技有限公司</v>
          </cell>
          <cell r="C28" t="str">
            <v>客户</v>
          </cell>
        </row>
        <row r="29">
          <cell r="B29" t="str">
            <v>思佰科（宁波）工程服务有限公司</v>
          </cell>
          <cell r="C29" t="str">
            <v>客户</v>
          </cell>
        </row>
        <row r="30">
          <cell r="B30" t="str">
            <v>宁波宫泽精密机械有限公司</v>
          </cell>
          <cell r="C30" t="str">
            <v>客户</v>
          </cell>
        </row>
        <row r="31">
          <cell r="B31" t="str">
            <v>苏州工业园区猫受屋百货零售店（个体工商户）</v>
          </cell>
          <cell r="C31" t="str">
            <v>客户</v>
          </cell>
        </row>
        <row r="32">
          <cell r="B32" t="str">
            <v>秦淮区猫受屋百货零售店（个体工商户）</v>
          </cell>
          <cell r="C32" t="str">
            <v>客户</v>
          </cell>
        </row>
        <row r="33">
          <cell r="B33" t="str">
            <v>西安市雁塔区谷的猫百货零售店（个体工商户）</v>
          </cell>
          <cell r="C33" t="str">
            <v>客户</v>
          </cell>
        </row>
        <row r="34">
          <cell r="B34" t="str">
            <v/>
          </cell>
          <cell r="C34" t="str">
            <v/>
          </cell>
        </row>
        <row r="35">
          <cell r="B35" t="str">
            <v/>
          </cell>
          <cell r="C35" t="str">
            <v/>
          </cell>
        </row>
        <row r="36">
          <cell r="B36" t="str">
            <v/>
          </cell>
          <cell r="C36" t="str">
            <v/>
          </cell>
        </row>
        <row r="37">
          <cell r="B37" t="str">
            <v/>
          </cell>
          <cell r="C37" t="str">
            <v/>
          </cell>
        </row>
        <row r="38">
          <cell r="B38" t="str">
            <v/>
          </cell>
          <cell r="C38" t="str">
            <v/>
          </cell>
        </row>
        <row r="39">
          <cell r="B39" t="str">
            <v/>
          </cell>
          <cell r="C39" t="str">
            <v/>
          </cell>
        </row>
        <row r="40">
          <cell r="B40" t="str">
            <v/>
          </cell>
          <cell r="C40" t="str">
            <v/>
          </cell>
        </row>
        <row r="41">
          <cell r="B41" t="str">
            <v/>
          </cell>
          <cell r="C41" t="str">
            <v/>
          </cell>
        </row>
        <row r="42">
          <cell r="B42" t="str">
            <v/>
          </cell>
          <cell r="C42" t="str">
            <v/>
          </cell>
        </row>
        <row r="43">
          <cell r="B43" t="str">
            <v/>
          </cell>
          <cell r="C43" t="str">
            <v/>
          </cell>
        </row>
        <row r="44">
          <cell r="B44" t="str">
            <v/>
          </cell>
          <cell r="C44" t="str">
            <v/>
          </cell>
        </row>
        <row r="45">
          <cell r="B45" t="str">
            <v/>
          </cell>
          <cell r="C45" t="str">
            <v/>
          </cell>
        </row>
        <row r="46">
          <cell r="B46" t="str">
            <v/>
          </cell>
          <cell r="C46" t="str">
            <v/>
          </cell>
        </row>
        <row r="47">
          <cell r="B47" t="str">
            <v/>
          </cell>
          <cell r="C47" t="str">
            <v/>
          </cell>
        </row>
        <row r="48">
          <cell r="B48" t="str">
            <v/>
          </cell>
          <cell r="C48" t="str">
            <v/>
          </cell>
        </row>
        <row r="49">
          <cell r="B49" t="str">
            <v/>
          </cell>
          <cell r="C49" t="str">
            <v/>
          </cell>
        </row>
        <row r="50">
          <cell r="B50" t="str">
            <v/>
          </cell>
          <cell r="C50" t="str">
            <v/>
          </cell>
        </row>
        <row r="51">
          <cell r="B51" t="str">
            <v/>
          </cell>
          <cell r="C51" t="str">
            <v/>
          </cell>
        </row>
        <row r="52">
          <cell r="B52" t="str">
            <v/>
          </cell>
          <cell r="C52" t="str">
            <v/>
          </cell>
        </row>
        <row r="53">
          <cell r="B53" t="str">
            <v/>
          </cell>
          <cell r="C53" t="str">
            <v/>
          </cell>
        </row>
        <row r="54">
          <cell r="B54" t="str">
            <v/>
          </cell>
          <cell r="C54" t="str">
            <v/>
          </cell>
        </row>
        <row r="55">
          <cell r="B55" t="str">
            <v/>
          </cell>
          <cell r="C55" t="str">
            <v/>
          </cell>
        </row>
        <row r="56">
          <cell r="B56" t="str">
            <v/>
          </cell>
          <cell r="C56" t="str">
            <v/>
          </cell>
        </row>
        <row r="57">
          <cell r="B57" t="str">
            <v/>
          </cell>
          <cell r="C57" t="str">
            <v/>
          </cell>
        </row>
        <row r="58">
          <cell r="B58" t="str">
            <v/>
          </cell>
          <cell r="C58" t="str">
            <v/>
          </cell>
        </row>
        <row r="59">
          <cell r="B59" t="str">
            <v/>
          </cell>
          <cell r="C59" t="str">
            <v/>
          </cell>
        </row>
        <row r="60">
          <cell r="B60" t="str">
            <v/>
          </cell>
          <cell r="C60" t="str">
            <v/>
          </cell>
        </row>
        <row r="61">
          <cell r="B61" t="str">
            <v/>
          </cell>
          <cell r="C61" t="str">
            <v/>
          </cell>
        </row>
        <row r="62">
          <cell r="B62" t="str">
            <v/>
          </cell>
          <cell r="C62" t="str">
            <v/>
          </cell>
        </row>
        <row r="63">
          <cell r="B63" t="str">
            <v/>
          </cell>
          <cell r="C63" t="str">
            <v/>
          </cell>
        </row>
        <row r="64">
          <cell r="B64" t="str">
            <v/>
          </cell>
          <cell r="C64" t="str">
            <v/>
          </cell>
        </row>
        <row r="65">
          <cell r="B65" t="str">
            <v/>
          </cell>
          <cell r="C65" t="str">
            <v/>
          </cell>
        </row>
        <row r="66">
          <cell r="B66" t="str">
            <v/>
          </cell>
          <cell r="C66" t="str">
            <v/>
          </cell>
        </row>
        <row r="67">
          <cell r="B67" t="str">
            <v/>
          </cell>
          <cell r="C67" t="str">
            <v/>
          </cell>
        </row>
        <row r="68">
          <cell r="B68" t="str">
            <v/>
          </cell>
          <cell r="C68" t="str">
            <v/>
          </cell>
        </row>
        <row r="69">
          <cell r="B69" t="str">
            <v/>
          </cell>
          <cell r="C69" t="str">
            <v/>
          </cell>
        </row>
        <row r="70">
          <cell r="B70" t="str">
            <v/>
          </cell>
          <cell r="C70" t="str">
            <v/>
          </cell>
        </row>
        <row r="71">
          <cell r="B71" t="str">
            <v/>
          </cell>
          <cell r="C71" t="str">
            <v/>
          </cell>
        </row>
        <row r="72">
          <cell r="B72" t="str">
            <v/>
          </cell>
          <cell r="C72" t="str">
            <v/>
          </cell>
        </row>
        <row r="73">
          <cell r="B73" t="str">
            <v/>
          </cell>
          <cell r="C73" t="str">
            <v/>
          </cell>
        </row>
        <row r="74">
          <cell r="B74" t="str">
            <v/>
          </cell>
          <cell r="C74" t="str">
            <v/>
          </cell>
        </row>
        <row r="75">
          <cell r="B75" t="str">
            <v/>
          </cell>
          <cell r="C75" t="str">
            <v/>
          </cell>
        </row>
        <row r="76">
          <cell r="B76" t="str">
            <v/>
          </cell>
          <cell r="C76" t="str">
            <v/>
          </cell>
        </row>
        <row r="77">
          <cell r="B77" t="str">
            <v/>
          </cell>
          <cell r="C77" t="str">
            <v/>
          </cell>
        </row>
        <row r="78">
          <cell r="B78" t="str">
            <v/>
          </cell>
          <cell r="C78" t="str">
            <v/>
          </cell>
        </row>
        <row r="79">
          <cell r="B79" t="str">
            <v/>
          </cell>
          <cell r="C79" t="str">
            <v/>
          </cell>
        </row>
        <row r="80">
          <cell r="B80" t="str">
            <v/>
          </cell>
          <cell r="C80" t="str">
            <v/>
          </cell>
        </row>
        <row r="81">
          <cell r="B81" t="str">
            <v/>
          </cell>
          <cell r="C81" t="str">
            <v/>
          </cell>
        </row>
        <row r="82">
          <cell r="B82" t="str">
            <v/>
          </cell>
          <cell r="C82" t="str">
            <v/>
          </cell>
        </row>
        <row r="83">
          <cell r="B83" t="str">
            <v/>
          </cell>
          <cell r="C83" t="str">
            <v/>
          </cell>
        </row>
        <row r="84">
          <cell r="B84" t="str">
            <v/>
          </cell>
          <cell r="C84" t="str">
            <v/>
          </cell>
        </row>
        <row r="85">
          <cell r="B85" t="str">
            <v/>
          </cell>
          <cell r="C85" t="str">
            <v/>
          </cell>
        </row>
        <row r="86">
          <cell r="B86" t="str">
            <v/>
          </cell>
          <cell r="C86" t="str">
            <v/>
          </cell>
        </row>
        <row r="87">
          <cell r="B87" t="str">
            <v/>
          </cell>
          <cell r="C87" t="str">
            <v/>
          </cell>
        </row>
        <row r="88">
          <cell r="B88" t="str">
            <v/>
          </cell>
          <cell r="C88" t="str">
            <v/>
          </cell>
        </row>
        <row r="89">
          <cell r="B89" t="str">
            <v/>
          </cell>
          <cell r="C89" t="str">
            <v/>
          </cell>
        </row>
        <row r="90">
          <cell r="B90" t="str">
            <v/>
          </cell>
          <cell r="C90" t="str">
            <v/>
          </cell>
        </row>
        <row r="91">
          <cell r="B91" t="str">
            <v/>
          </cell>
          <cell r="C91" t="str">
            <v/>
          </cell>
        </row>
        <row r="92">
          <cell r="B92" t="str">
            <v/>
          </cell>
          <cell r="C92" t="str">
            <v/>
          </cell>
        </row>
        <row r="93">
          <cell r="B93" t="str">
            <v/>
          </cell>
          <cell r="C93" t="str">
            <v/>
          </cell>
        </row>
        <row r="94">
          <cell r="B94" t="str">
            <v/>
          </cell>
          <cell r="C94" t="str">
            <v/>
          </cell>
        </row>
        <row r="95">
          <cell r="B95" t="str">
            <v/>
          </cell>
          <cell r="C95" t="str">
            <v/>
          </cell>
        </row>
        <row r="96">
          <cell r="B96" t="str">
            <v/>
          </cell>
          <cell r="C96" t="str">
            <v/>
          </cell>
        </row>
        <row r="97">
          <cell r="B97" t="str">
            <v/>
          </cell>
          <cell r="C97" t="str">
            <v/>
          </cell>
        </row>
        <row r="98">
          <cell r="B98" t="str">
            <v/>
          </cell>
          <cell r="C98" t="str">
            <v/>
          </cell>
        </row>
        <row r="99">
          <cell r="B99" t="str">
            <v/>
          </cell>
          <cell r="C99" t="str">
            <v/>
          </cell>
        </row>
        <row r="100">
          <cell r="B100" t="str">
            <v/>
          </cell>
          <cell r="C100" t="str">
            <v/>
          </cell>
        </row>
        <row r="101">
          <cell r="B101" t="str">
            <v/>
          </cell>
          <cell r="C101" t="str">
            <v/>
          </cell>
        </row>
        <row r="102">
          <cell r="B102" t="str">
            <v/>
          </cell>
          <cell r="C102" t="str">
            <v/>
          </cell>
        </row>
        <row r="103">
          <cell r="B103" t="str">
            <v/>
          </cell>
          <cell r="C103" t="str">
            <v/>
          </cell>
        </row>
        <row r="104">
          <cell r="B104" t="str">
            <v/>
          </cell>
          <cell r="C104" t="str">
            <v/>
          </cell>
        </row>
        <row r="105">
          <cell r="B105" t="str">
            <v/>
          </cell>
          <cell r="C105" t="str">
            <v/>
          </cell>
        </row>
        <row r="106">
          <cell r="B106" t="str">
            <v/>
          </cell>
          <cell r="C106" t="str">
            <v/>
          </cell>
        </row>
        <row r="107">
          <cell r="B107" t="str">
            <v/>
          </cell>
          <cell r="C107" t="str">
            <v/>
          </cell>
        </row>
        <row r="108">
          <cell r="B108" t="str">
            <v/>
          </cell>
          <cell r="C108" t="str">
            <v/>
          </cell>
        </row>
        <row r="109">
          <cell r="B109" t="str">
            <v/>
          </cell>
          <cell r="C109" t="str">
            <v/>
          </cell>
        </row>
        <row r="110">
          <cell r="B110" t="str">
            <v/>
          </cell>
          <cell r="C110" t="str">
            <v/>
          </cell>
        </row>
        <row r="111">
          <cell r="B111" t="str">
            <v/>
          </cell>
          <cell r="C111" t="str">
            <v/>
          </cell>
        </row>
        <row r="112">
          <cell r="B112" t="str">
            <v/>
          </cell>
          <cell r="C112" t="str">
            <v/>
          </cell>
        </row>
        <row r="113">
          <cell r="B113" t="str">
            <v/>
          </cell>
          <cell r="C113" t="str">
            <v/>
          </cell>
        </row>
        <row r="114">
          <cell r="B114" t="str">
            <v/>
          </cell>
          <cell r="C114" t="str">
            <v/>
          </cell>
        </row>
        <row r="115">
          <cell r="B115" t="str">
            <v/>
          </cell>
          <cell r="C115" t="str">
            <v/>
          </cell>
        </row>
        <row r="116">
          <cell r="B116" t="str">
            <v/>
          </cell>
          <cell r="C116" t="str">
            <v/>
          </cell>
        </row>
        <row r="117">
          <cell r="B117" t="str">
            <v/>
          </cell>
          <cell r="C117" t="str">
            <v/>
          </cell>
        </row>
        <row r="118">
          <cell r="B118" t="str">
            <v/>
          </cell>
          <cell r="C118" t="str">
            <v/>
          </cell>
        </row>
        <row r="119">
          <cell r="B119" t="str">
            <v/>
          </cell>
          <cell r="C119" t="str">
            <v/>
          </cell>
        </row>
        <row r="120">
          <cell r="B120" t="str">
            <v/>
          </cell>
          <cell r="C120" t="str">
            <v/>
          </cell>
        </row>
        <row r="121">
          <cell r="B121" t="str">
            <v/>
          </cell>
          <cell r="C121" t="str">
            <v/>
          </cell>
        </row>
        <row r="122">
          <cell r="B122" t="str">
            <v/>
          </cell>
          <cell r="C122" t="str">
            <v/>
          </cell>
        </row>
        <row r="123">
          <cell r="B123" t="str">
            <v/>
          </cell>
          <cell r="C123" t="str">
            <v/>
          </cell>
        </row>
        <row r="124">
          <cell r="B124" t="str">
            <v/>
          </cell>
          <cell r="C124" t="str">
            <v/>
          </cell>
        </row>
        <row r="125">
          <cell r="B125" t="str">
            <v/>
          </cell>
          <cell r="C125" t="str">
            <v/>
          </cell>
        </row>
        <row r="126">
          <cell r="B126" t="str">
            <v/>
          </cell>
          <cell r="C126" t="str">
            <v/>
          </cell>
        </row>
        <row r="127">
          <cell r="B127" t="str">
            <v/>
          </cell>
          <cell r="C127" t="str">
            <v/>
          </cell>
        </row>
        <row r="128">
          <cell r="B128" t="str">
            <v/>
          </cell>
          <cell r="C128" t="str">
            <v/>
          </cell>
        </row>
        <row r="129">
          <cell r="B129" t="str">
            <v/>
          </cell>
          <cell r="C129" t="str">
            <v/>
          </cell>
        </row>
        <row r="130">
          <cell r="B130" t="str">
            <v/>
          </cell>
          <cell r="C130" t="str">
            <v/>
          </cell>
        </row>
        <row r="131">
          <cell r="B131" t="str">
            <v/>
          </cell>
          <cell r="C131" t="str">
            <v/>
          </cell>
        </row>
        <row r="132">
          <cell r="B132" t="str">
            <v/>
          </cell>
          <cell r="C132" t="str">
            <v/>
          </cell>
        </row>
        <row r="133">
          <cell r="B133" t="str">
            <v/>
          </cell>
          <cell r="C133" t="str">
            <v/>
          </cell>
        </row>
        <row r="134">
          <cell r="B134" t="str">
            <v/>
          </cell>
          <cell r="C134" t="str">
            <v/>
          </cell>
        </row>
        <row r="135">
          <cell r="B135" t="str">
            <v/>
          </cell>
          <cell r="C135" t="str">
            <v/>
          </cell>
        </row>
        <row r="136">
          <cell r="B136" t="str">
            <v/>
          </cell>
          <cell r="C136" t="str">
            <v/>
          </cell>
        </row>
        <row r="137">
          <cell r="B137" t="str">
            <v/>
          </cell>
          <cell r="C137" t="str">
            <v/>
          </cell>
        </row>
        <row r="138">
          <cell r="B138" t="str">
            <v/>
          </cell>
          <cell r="C138" t="str">
            <v/>
          </cell>
        </row>
        <row r="139">
          <cell r="B139" t="str">
            <v/>
          </cell>
          <cell r="C139" t="str">
            <v/>
          </cell>
        </row>
        <row r="140">
          <cell r="B140" t="str">
            <v/>
          </cell>
          <cell r="C140" t="str">
            <v/>
          </cell>
        </row>
        <row r="141">
          <cell r="B141" t="str">
            <v/>
          </cell>
          <cell r="C141" t="str">
            <v/>
          </cell>
        </row>
        <row r="142">
          <cell r="B142" t="str">
            <v/>
          </cell>
          <cell r="C142" t="str">
            <v/>
          </cell>
        </row>
        <row r="143">
          <cell r="B143" t="str">
            <v/>
          </cell>
          <cell r="C143" t="str">
            <v/>
          </cell>
        </row>
        <row r="144">
          <cell r="B144" t="str">
            <v/>
          </cell>
          <cell r="C144" t="str">
            <v/>
          </cell>
        </row>
        <row r="145">
          <cell r="B145" t="str">
            <v/>
          </cell>
          <cell r="C145" t="str">
            <v/>
          </cell>
        </row>
        <row r="146">
          <cell r="B146" t="str">
            <v/>
          </cell>
          <cell r="C146" t="str">
            <v/>
          </cell>
        </row>
        <row r="147">
          <cell r="B147" t="str">
            <v/>
          </cell>
          <cell r="C147" t="str">
            <v/>
          </cell>
        </row>
        <row r="148">
          <cell r="B148" t="str">
            <v/>
          </cell>
          <cell r="C148" t="str">
            <v/>
          </cell>
        </row>
        <row r="149">
          <cell r="B149" t="str">
            <v/>
          </cell>
          <cell r="C149" t="str">
            <v/>
          </cell>
        </row>
        <row r="150">
          <cell r="B150" t="str">
            <v/>
          </cell>
          <cell r="C150" t="str">
            <v/>
          </cell>
        </row>
        <row r="151">
          <cell r="B151" t="str">
            <v/>
          </cell>
          <cell r="C151" t="str">
            <v/>
          </cell>
        </row>
        <row r="152">
          <cell r="B152" t="str">
            <v/>
          </cell>
          <cell r="C152" t="str">
            <v/>
          </cell>
        </row>
        <row r="153">
          <cell r="B153" t="str">
            <v/>
          </cell>
          <cell r="C153" t="str">
            <v/>
          </cell>
        </row>
        <row r="154">
          <cell r="B154" t="str">
            <v/>
          </cell>
          <cell r="C154" t="str">
            <v/>
          </cell>
        </row>
        <row r="155">
          <cell r="B155" t="str">
            <v/>
          </cell>
          <cell r="C155" t="str">
            <v/>
          </cell>
        </row>
        <row r="156">
          <cell r="B156" t="str">
            <v/>
          </cell>
          <cell r="C156" t="str">
            <v/>
          </cell>
        </row>
        <row r="157">
          <cell r="B157" t="str">
            <v/>
          </cell>
          <cell r="C157" t="str">
            <v/>
          </cell>
        </row>
        <row r="158">
          <cell r="B158" t="str">
            <v/>
          </cell>
          <cell r="C158" t="str">
            <v/>
          </cell>
        </row>
        <row r="159">
          <cell r="B159" t="str">
            <v/>
          </cell>
          <cell r="C159" t="str">
            <v/>
          </cell>
        </row>
        <row r="160">
          <cell r="B160" t="str">
            <v/>
          </cell>
          <cell r="C160" t="str">
            <v/>
          </cell>
        </row>
        <row r="161">
          <cell r="B161" t="str">
            <v/>
          </cell>
          <cell r="C161" t="str">
            <v/>
          </cell>
        </row>
        <row r="162">
          <cell r="B162" t="str">
            <v/>
          </cell>
          <cell r="C162" t="str">
            <v/>
          </cell>
        </row>
        <row r="163">
          <cell r="B163" t="str">
            <v/>
          </cell>
          <cell r="C163" t="str">
            <v/>
          </cell>
        </row>
        <row r="164">
          <cell r="B164" t="str">
            <v/>
          </cell>
          <cell r="C164" t="str">
            <v/>
          </cell>
        </row>
        <row r="165">
          <cell r="B165" t="str">
            <v/>
          </cell>
          <cell r="C165" t="str">
            <v/>
          </cell>
        </row>
        <row r="166">
          <cell r="B166" t="str">
            <v/>
          </cell>
          <cell r="C166" t="str">
            <v/>
          </cell>
        </row>
        <row r="167">
          <cell r="B167" t="str">
            <v/>
          </cell>
          <cell r="C167" t="str">
            <v/>
          </cell>
        </row>
        <row r="168">
          <cell r="B168" t="str">
            <v/>
          </cell>
          <cell r="C168" t="str">
            <v/>
          </cell>
        </row>
        <row r="169">
          <cell r="B169" t="str">
            <v/>
          </cell>
          <cell r="C169" t="str">
            <v/>
          </cell>
        </row>
        <row r="170">
          <cell r="B170" t="str">
            <v/>
          </cell>
          <cell r="C170" t="str">
            <v/>
          </cell>
        </row>
        <row r="171">
          <cell r="B171" t="str">
            <v/>
          </cell>
          <cell r="C171" t="str">
            <v/>
          </cell>
        </row>
        <row r="172">
          <cell r="B172" t="str">
            <v/>
          </cell>
          <cell r="C172" t="str">
            <v/>
          </cell>
        </row>
        <row r="173">
          <cell r="B173" t="str">
            <v/>
          </cell>
          <cell r="C173" t="str">
            <v/>
          </cell>
        </row>
        <row r="174">
          <cell r="B174" t="str">
            <v/>
          </cell>
          <cell r="C174" t="str">
            <v/>
          </cell>
        </row>
        <row r="175">
          <cell r="B175" t="str">
            <v/>
          </cell>
          <cell r="C175" t="str">
            <v/>
          </cell>
        </row>
        <row r="176">
          <cell r="B176" t="str">
            <v/>
          </cell>
          <cell r="C176" t="str">
            <v/>
          </cell>
        </row>
        <row r="177">
          <cell r="B177" t="str">
            <v/>
          </cell>
          <cell r="C177" t="str">
            <v/>
          </cell>
        </row>
        <row r="178">
          <cell r="B178" t="str">
            <v/>
          </cell>
          <cell r="C178" t="str">
            <v/>
          </cell>
        </row>
        <row r="179">
          <cell r="B179" t="str">
            <v/>
          </cell>
          <cell r="C179" t="str">
            <v/>
          </cell>
        </row>
        <row r="180">
          <cell r="B180" t="str">
            <v/>
          </cell>
          <cell r="C180" t="str">
            <v/>
          </cell>
        </row>
        <row r="181">
          <cell r="B181" t="str">
            <v/>
          </cell>
          <cell r="C181" t="str">
            <v/>
          </cell>
        </row>
        <row r="182">
          <cell r="B182" t="str">
            <v/>
          </cell>
          <cell r="C182" t="str">
            <v/>
          </cell>
        </row>
        <row r="183">
          <cell r="B183" t="str">
            <v/>
          </cell>
          <cell r="C183" t="str">
            <v/>
          </cell>
        </row>
        <row r="184">
          <cell r="B184" t="str">
            <v/>
          </cell>
          <cell r="C184" t="str">
            <v/>
          </cell>
        </row>
        <row r="185">
          <cell r="B185" t="str">
            <v/>
          </cell>
          <cell r="C185" t="str">
            <v/>
          </cell>
        </row>
        <row r="186">
          <cell r="B186" t="str">
            <v/>
          </cell>
          <cell r="C186" t="str">
            <v/>
          </cell>
        </row>
        <row r="187">
          <cell r="B187" t="str">
            <v/>
          </cell>
          <cell r="C187" t="str">
            <v/>
          </cell>
        </row>
        <row r="188">
          <cell r="B188" t="str">
            <v/>
          </cell>
          <cell r="C188" t="str">
            <v/>
          </cell>
        </row>
        <row r="189">
          <cell r="B189" t="str">
            <v/>
          </cell>
          <cell r="C189" t="str">
            <v/>
          </cell>
        </row>
        <row r="190">
          <cell r="B190" t="str">
            <v/>
          </cell>
          <cell r="C190" t="str">
            <v/>
          </cell>
        </row>
        <row r="191">
          <cell r="B191" t="str">
            <v/>
          </cell>
          <cell r="C191" t="str">
            <v/>
          </cell>
        </row>
        <row r="192">
          <cell r="B192" t="str">
            <v/>
          </cell>
          <cell r="C192" t="str">
            <v/>
          </cell>
        </row>
        <row r="193">
          <cell r="B193" t="str">
            <v/>
          </cell>
          <cell r="C193" t="str">
            <v/>
          </cell>
        </row>
        <row r="194">
          <cell r="B194" t="str">
            <v/>
          </cell>
          <cell r="C194" t="str">
            <v/>
          </cell>
        </row>
        <row r="195">
          <cell r="B195" t="str">
            <v/>
          </cell>
          <cell r="C195" t="str">
            <v/>
          </cell>
        </row>
        <row r="196">
          <cell r="B196" t="str">
            <v/>
          </cell>
          <cell r="C196" t="str">
            <v/>
          </cell>
        </row>
        <row r="197">
          <cell r="B197" t="str">
            <v/>
          </cell>
          <cell r="C197" t="str">
            <v/>
          </cell>
        </row>
        <row r="198">
          <cell r="B198" t="str">
            <v/>
          </cell>
          <cell r="C198" t="str">
            <v/>
          </cell>
        </row>
        <row r="199">
          <cell r="B199" t="str">
            <v/>
          </cell>
          <cell r="C199" t="str">
            <v/>
          </cell>
        </row>
        <row r="200">
          <cell r="B200" t="str">
            <v/>
          </cell>
          <cell r="C200" t="str">
            <v/>
          </cell>
        </row>
        <row r="201">
          <cell r="B201" t="str">
            <v/>
          </cell>
          <cell r="C201" t="str">
            <v/>
          </cell>
        </row>
        <row r="202">
          <cell r="B202" t="str">
            <v/>
          </cell>
          <cell r="C202" t="str">
            <v/>
          </cell>
        </row>
        <row r="203">
          <cell r="B203" t="str">
            <v/>
          </cell>
          <cell r="C203" t="str">
            <v/>
          </cell>
        </row>
        <row r="204">
          <cell r="B204" t="str">
            <v/>
          </cell>
          <cell r="C204" t="str">
            <v/>
          </cell>
        </row>
        <row r="205">
          <cell r="B205" t="str">
            <v/>
          </cell>
          <cell r="C205" t="str">
            <v/>
          </cell>
        </row>
        <row r="206">
          <cell r="B206" t="str">
            <v/>
          </cell>
          <cell r="C206" t="str">
            <v/>
          </cell>
        </row>
        <row r="207">
          <cell r="B207" t="str">
            <v/>
          </cell>
          <cell r="C207" t="str">
            <v/>
          </cell>
        </row>
        <row r="208">
          <cell r="B208" t="str">
            <v/>
          </cell>
          <cell r="C208" t="str">
            <v/>
          </cell>
        </row>
        <row r="209">
          <cell r="B209" t="str">
            <v/>
          </cell>
          <cell r="C209" t="str">
            <v/>
          </cell>
        </row>
        <row r="210">
          <cell r="B210" t="str">
            <v/>
          </cell>
          <cell r="C210" t="str">
            <v/>
          </cell>
        </row>
        <row r="211">
          <cell r="B211" t="str">
            <v/>
          </cell>
          <cell r="C211" t="str">
            <v/>
          </cell>
        </row>
        <row r="212">
          <cell r="B212" t="str">
            <v/>
          </cell>
          <cell r="C212" t="str">
            <v/>
          </cell>
        </row>
        <row r="213">
          <cell r="B213" t="str">
            <v/>
          </cell>
          <cell r="C213" t="str">
            <v/>
          </cell>
        </row>
        <row r="214">
          <cell r="B214" t="str">
            <v/>
          </cell>
          <cell r="C214" t="str">
            <v/>
          </cell>
        </row>
        <row r="215">
          <cell r="B215" t="str">
            <v/>
          </cell>
          <cell r="C215" t="str">
            <v/>
          </cell>
        </row>
        <row r="216">
          <cell r="B216" t="str">
            <v/>
          </cell>
          <cell r="C216" t="str">
            <v/>
          </cell>
        </row>
        <row r="217">
          <cell r="B217" t="str">
            <v/>
          </cell>
          <cell r="C217" t="str">
            <v/>
          </cell>
        </row>
        <row r="218">
          <cell r="B218" t="str">
            <v/>
          </cell>
          <cell r="C218" t="str">
            <v/>
          </cell>
        </row>
        <row r="219">
          <cell r="B219" t="str">
            <v/>
          </cell>
          <cell r="C219" t="str">
            <v/>
          </cell>
        </row>
        <row r="220">
          <cell r="B220" t="str">
            <v/>
          </cell>
          <cell r="C220" t="str">
            <v/>
          </cell>
        </row>
        <row r="221">
          <cell r="B221" t="str">
            <v/>
          </cell>
          <cell r="C221" t="str">
            <v/>
          </cell>
        </row>
        <row r="222">
          <cell r="B222" t="str">
            <v/>
          </cell>
          <cell r="C222" t="str">
            <v/>
          </cell>
        </row>
        <row r="223">
          <cell r="B223" t="str">
            <v/>
          </cell>
          <cell r="C223" t="str">
            <v/>
          </cell>
        </row>
        <row r="224">
          <cell r="B224" t="str">
            <v/>
          </cell>
          <cell r="C224" t="str">
            <v/>
          </cell>
        </row>
        <row r="225">
          <cell r="B225" t="str">
            <v/>
          </cell>
          <cell r="C225" t="str">
            <v/>
          </cell>
        </row>
        <row r="226">
          <cell r="B226" t="str">
            <v/>
          </cell>
          <cell r="C226" t="str">
            <v/>
          </cell>
        </row>
        <row r="227">
          <cell r="B227" t="str">
            <v/>
          </cell>
          <cell r="C227" t="str">
            <v/>
          </cell>
        </row>
        <row r="228">
          <cell r="B228" t="str">
            <v/>
          </cell>
          <cell r="C228" t="str">
            <v/>
          </cell>
        </row>
        <row r="229">
          <cell r="B229" t="str">
            <v/>
          </cell>
          <cell r="C229" t="str">
            <v/>
          </cell>
        </row>
        <row r="230">
          <cell r="B230" t="str">
            <v/>
          </cell>
          <cell r="C230" t="str">
            <v/>
          </cell>
        </row>
        <row r="231">
          <cell r="B231" t="str">
            <v/>
          </cell>
          <cell r="C231" t="str">
            <v/>
          </cell>
        </row>
        <row r="232">
          <cell r="B232" t="str">
            <v/>
          </cell>
          <cell r="C232" t="str">
            <v/>
          </cell>
        </row>
        <row r="233">
          <cell r="B233" t="str">
            <v/>
          </cell>
          <cell r="C233" t="str">
            <v/>
          </cell>
        </row>
        <row r="234">
          <cell r="B234" t="str">
            <v/>
          </cell>
          <cell r="C234" t="str">
            <v/>
          </cell>
        </row>
        <row r="235">
          <cell r="B235" t="str">
            <v/>
          </cell>
          <cell r="C235" t="str">
            <v/>
          </cell>
        </row>
        <row r="236">
          <cell r="B236" t="str">
            <v/>
          </cell>
          <cell r="C236" t="str">
            <v/>
          </cell>
        </row>
        <row r="237">
          <cell r="B237" t="str">
            <v/>
          </cell>
          <cell r="C237" t="str">
            <v/>
          </cell>
        </row>
        <row r="238">
          <cell r="B238" t="str">
            <v/>
          </cell>
          <cell r="C238" t="str">
            <v/>
          </cell>
        </row>
        <row r="239">
          <cell r="B239" t="str">
            <v/>
          </cell>
          <cell r="C239" t="str">
            <v/>
          </cell>
        </row>
        <row r="240">
          <cell r="B240" t="str">
            <v/>
          </cell>
          <cell r="C240" t="str">
            <v/>
          </cell>
        </row>
        <row r="241">
          <cell r="B241" t="str">
            <v/>
          </cell>
          <cell r="C241" t="str">
            <v/>
          </cell>
        </row>
        <row r="242">
          <cell r="B242" t="str">
            <v/>
          </cell>
          <cell r="C242" t="str">
            <v/>
          </cell>
        </row>
        <row r="243">
          <cell r="B243" t="str">
            <v/>
          </cell>
          <cell r="C243" t="str">
            <v/>
          </cell>
        </row>
        <row r="244">
          <cell r="B244" t="str">
            <v/>
          </cell>
          <cell r="C244" t="str">
            <v/>
          </cell>
        </row>
        <row r="245">
          <cell r="B245" t="str">
            <v/>
          </cell>
          <cell r="C245" t="str">
            <v/>
          </cell>
        </row>
        <row r="246">
          <cell r="B246" t="str">
            <v/>
          </cell>
          <cell r="C246" t="str">
            <v/>
          </cell>
        </row>
        <row r="247">
          <cell r="B247" t="str">
            <v/>
          </cell>
          <cell r="C247" t="str">
            <v/>
          </cell>
        </row>
        <row r="248">
          <cell r="B248" t="str">
            <v/>
          </cell>
          <cell r="C248" t="str">
            <v/>
          </cell>
        </row>
        <row r="249">
          <cell r="B249" t="str">
            <v/>
          </cell>
          <cell r="C249" t="str">
            <v/>
          </cell>
        </row>
        <row r="250">
          <cell r="B250" t="str">
            <v/>
          </cell>
          <cell r="C250" t="str">
            <v/>
          </cell>
        </row>
        <row r="251">
          <cell r="B251" t="str">
            <v/>
          </cell>
          <cell r="C251" t="str">
            <v/>
          </cell>
        </row>
        <row r="252">
          <cell r="B252" t="str">
            <v/>
          </cell>
          <cell r="C252" t="str">
            <v/>
          </cell>
        </row>
        <row r="253">
          <cell r="B253" t="str">
            <v/>
          </cell>
          <cell r="C253" t="str">
            <v/>
          </cell>
        </row>
        <row r="254">
          <cell r="B254" t="str">
            <v/>
          </cell>
          <cell r="C254" t="str">
            <v/>
          </cell>
        </row>
        <row r="255">
          <cell r="B255" t="str">
            <v/>
          </cell>
          <cell r="C255" t="str">
            <v/>
          </cell>
        </row>
        <row r="256">
          <cell r="B256" t="str">
            <v/>
          </cell>
          <cell r="C256" t="str">
            <v/>
          </cell>
        </row>
        <row r="257">
          <cell r="B257" t="str">
            <v/>
          </cell>
          <cell r="C257" t="str">
            <v/>
          </cell>
        </row>
        <row r="258">
          <cell r="B258" t="str">
            <v/>
          </cell>
          <cell r="C258" t="str">
            <v/>
          </cell>
        </row>
        <row r="259">
          <cell r="B259" t="str">
            <v/>
          </cell>
          <cell r="C259" t="str">
            <v/>
          </cell>
        </row>
        <row r="260">
          <cell r="B260" t="str">
            <v/>
          </cell>
          <cell r="C260" t="str">
            <v/>
          </cell>
        </row>
        <row r="261">
          <cell r="B261" t="str">
            <v/>
          </cell>
          <cell r="C261" t="str">
            <v/>
          </cell>
        </row>
        <row r="262">
          <cell r="B262" t="str">
            <v/>
          </cell>
          <cell r="C262" t="str">
            <v/>
          </cell>
        </row>
        <row r="263">
          <cell r="B263" t="str">
            <v/>
          </cell>
          <cell r="C263" t="str">
            <v/>
          </cell>
        </row>
        <row r="264">
          <cell r="B264" t="str">
            <v/>
          </cell>
          <cell r="C264" t="str">
            <v/>
          </cell>
        </row>
        <row r="265">
          <cell r="B265" t="str">
            <v/>
          </cell>
          <cell r="C265" t="str">
            <v/>
          </cell>
        </row>
        <row r="266">
          <cell r="B266" t="str">
            <v/>
          </cell>
          <cell r="C266" t="str">
            <v/>
          </cell>
        </row>
        <row r="267">
          <cell r="B267" t="str">
            <v/>
          </cell>
          <cell r="C267" t="str">
            <v/>
          </cell>
        </row>
        <row r="268">
          <cell r="B268" t="str">
            <v/>
          </cell>
          <cell r="C268" t="str">
            <v/>
          </cell>
        </row>
        <row r="269">
          <cell r="B269" t="str">
            <v/>
          </cell>
          <cell r="C269" t="str">
            <v/>
          </cell>
        </row>
        <row r="270">
          <cell r="B270" t="str">
            <v/>
          </cell>
          <cell r="C270" t="str">
            <v/>
          </cell>
        </row>
        <row r="271">
          <cell r="B271" t="str">
            <v/>
          </cell>
          <cell r="C271" t="str">
            <v/>
          </cell>
        </row>
        <row r="272">
          <cell r="B272" t="str">
            <v/>
          </cell>
          <cell r="C272" t="str">
            <v/>
          </cell>
        </row>
        <row r="273">
          <cell r="B273" t="str">
            <v/>
          </cell>
          <cell r="C273" t="str">
            <v/>
          </cell>
        </row>
        <row r="274">
          <cell r="B274" t="str">
            <v/>
          </cell>
          <cell r="C274" t="str">
            <v/>
          </cell>
        </row>
        <row r="275">
          <cell r="B275" t="str">
            <v/>
          </cell>
          <cell r="C275" t="str">
            <v/>
          </cell>
        </row>
        <row r="276">
          <cell r="B276" t="str">
            <v/>
          </cell>
          <cell r="C276" t="str">
            <v/>
          </cell>
        </row>
        <row r="277">
          <cell r="B277" t="str">
            <v/>
          </cell>
          <cell r="C277" t="str">
            <v/>
          </cell>
        </row>
        <row r="278">
          <cell r="B278" t="str">
            <v/>
          </cell>
          <cell r="C278" t="str">
            <v/>
          </cell>
        </row>
        <row r="279">
          <cell r="B279" t="str">
            <v/>
          </cell>
          <cell r="C279" t="str">
            <v/>
          </cell>
        </row>
        <row r="280">
          <cell r="B280" t="str">
            <v/>
          </cell>
          <cell r="C280" t="str">
            <v/>
          </cell>
        </row>
        <row r="281">
          <cell r="B281" t="str">
            <v/>
          </cell>
          <cell r="C281" t="str">
            <v/>
          </cell>
        </row>
        <row r="282">
          <cell r="B282" t="str">
            <v/>
          </cell>
          <cell r="C282" t="str">
            <v/>
          </cell>
        </row>
        <row r="283">
          <cell r="B283" t="str">
            <v/>
          </cell>
          <cell r="C283" t="str">
            <v/>
          </cell>
        </row>
        <row r="284">
          <cell r="B284" t="str">
            <v/>
          </cell>
          <cell r="C284" t="str">
            <v/>
          </cell>
        </row>
        <row r="285">
          <cell r="B285" t="str">
            <v/>
          </cell>
          <cell r="C285" t="str">
            <v/>
          </cell>
        </row>
        <row r="286">
          <cell r="B286" t="str">
            <v/>
          </cell>
          <cell r="C286" t="str">
            <v/>
          </cell>
        </row>
        <row r="287">
          <cell r="B287" t="str">
            <v/>
          </cell>
          <cell r="C287" t="str">
            <v/>
          </cell>
        </row>
        <row r="288">
          <cell r="B288" t="str">
            <v/>
          </cell>
          <cell r="C288" t="str">
            <v/>
          </cell>
        </row>
        <row r="289">
          <cell r="B289" t="str">
            <v/>
          </cell>
          <cell r="C289" t="str">
            <v/>
          </cell>
        </row>
        <row r="290">
          <cell r="B290" t="str">
            <v/>
          </cell>
          <cell r="C290" t="str">
            <v/>
          </cell>
        </row>
        <row r="291">
          <cell r="B291" t="str">
            <v/>
          </cell>
          <cell r="C291" t="str">
            <v/>
          </cell>
        </row>
        <row r="292">
          <cell r="B292" t="str">
            <v/>
          </cell>
          <cell r="C292" t="str">
            <v/>
          </cell>
        </row>
        <row r="293">
          <cell r="B293" t="str">
            <v/>
          </cell>
          <cell r="C293" t="str">
            <v/>
          </cell>
        </row>
        <row r="294">
          <cell r="B294" t="str">
            <v/>
          </cell>
          <cell r="C294" t="str">
            <v/>
          </cell>
        </row>
        <row r="295">
          <cell r="B295" t="str">
            <v/>
          </cell>
          <cell r="C295" t="str">
            <v/>
          </cell>
        </row>
        <row r="296">
          <cell r="B296" t="str">
            <v/>
          </cell>
          <cell r="C296" t="str">
            <v/>
          </cell>
        </row>
        <row r="297">
          <cell r="B297" t="str">
            <v/>
          </cell>
          <cell r="C297" t="str">
            <v/>
          </cell>
        </row>
        <row r="298">
          <cell r="B298" t="str">
            <v/>
          </cell>
          <cell r="C298" t="str">
            <v/>
          </cell>
        </row>
        <row r="299">
          <cell r="B299" t="str">
            <v/>
          </cell>
          <cell r="C299" t="str">
            <v/>
          </cell>
        </row>
        <row r="300">
          <cell r="B300" t="str">
            <v/>
          </cell>
          <cell r="C300" t="str">
            <v/>
          </cell>
        </row>
        <row r="301">
          <cell r="B301" t="str">
            <v/>
          </cell>
          <cell r="C301" t="str">
            <v/>
          </cell>
        </row>
        <row r="302">
          <cell r="B302" t="str">
            <v/>
          </cell>
          <cell r="C302" t="str">
            <v/>
          </cell>
        </row>
        <row r="303">
          <cell r="B303" t="str">
            <v/>
          </cell>
          <cell r="C303" t="str">
            <v/>
          </cell>
        </row>
        <row r="304">
          <cell r="B304" t="str">
            <v/>
          </cell>
          <cell r="C304" t="str">
            <v/>
          </cell>
        </row>
        <row r="305">
          <cell r="B305" t="str">
            <v/>
          </cell>
          <cell r="C305" t="str">
            <v/>
          </cell>
        </row>
        <row r="306">
          <cell r="B306" t="str">
            <v/>
          </cell>
          <cell r="C306" t="str">
            <v/>
          </cell>
        </row>
        <row r="307">
          <cell r="B307" t="str">
            <v/>
          </cell>
          <cell r="C307" t="str">
            <v/>
          </cell>
        </row>
        <row r="308">
          <cell r="B308" t="str">
            <v/>
          </cell>
          <cell r="C308" t="str">
            <v/>
          </cell>
        </row>
        <row r="309">
          <cell r="B309" t="str">
            <v/>
          </cell>
          <cell r="C309" t="str">
            <v/>
          </cell>
        </row>
        <row r="310">
          <cell r="B310" t="str">
            <v/>
          </cell>
          <cell r="C310" t="str">
            <v/>
          </cell>
        </row>
        <row r="311">
          <cell r="B311" t="str">
            <v/>
          </cell>
          <cell r="C311" t="str">
            <v/>
          </cell>
        </row>
        <row r="312">
          <cell r="B312" t="str">
            <v/>
          </cell>
          <cell r="C312" t="str">
            <v/>
          </cell>
        </row>
        <row r="313">
          <cell r="B313" t="str">
            <v/>
          </cell>
          <cell r="C313" t="str">
            <v/>
          </cell>
        </row>
        <row r="314">
          <cell r="B314" t="str">
            <v/>
          </cell>
          <cell r="C314" t="str">
            <v/>
          </cell>
        </row>
        <row r="315">
          <cell r="B315" t="str">
            <v/>
          </cell>
          <cell r="C315" t="str">
            <v/>
          </cell>
        </row>
        <row r="316">
          <cell r="B316" t="str">
            <v/>
          </cell>
          <cell r="C316" t="str">
            <v/>
          </cell>
        </row>
        <row r="317">
          <cell r="B317" t="str">
            <v/>
          </cell>
          <cell r="C317" t="str">
            <v/>
          </cell>
        </row>
        <row r="318">
          <cell r="B318" t="str">
            <v/>
          </cell>
          <cell r="C318" t="str">
            <v/>
          </cell>
        </row>
        <row r="319">
          <cell r="B319" t="str">
            <v/>
          </cell>
          <cell r="C319" t="str">
            <v/>
          </cell>
        </row>
        <row r="320">
          <cell r="B320" t="str">
            <v/>
          </cell>
          <cell r="C320" t="str">
            <v/>
          </cell>
        </row>
        <row r="321">
          <cell r="B321" t="str">
            <v/>
          </cell>
          <cell r="C321" t="str">
            <v/>
          </cell>
        </row>
        <row r="322">
          <cell r="B322" t="str">
            <v/>
          </cell>
          <cell r="C322" t="str">
            <v/>
          </cell>
        </row>
        <row r="323">
          <cell r="B323" t="str">
            <v/>
          </cell>
          <cell r="C323" t="str">
            <v/>
          </cell>
        </row>
        <row r="324">
          <cell r="B324" t="str">
            <v/>
          </cell>
          <cell r="C324" t="str">
            <v/>
          </cell>
        </row>
        <row r="325">
          <cell r="B325" t="str">
            <v/>
          </cell>
          <cell r="C325" t="str">
            <v/>
          </cell>
        </row>
        <row r="326">
          <cell r="B326" t="str">
            <v/>
          </cell>
          <cell r="C326" t="str">
            <v/>
          </cell>
        </row>
        <row r="327">
          <cell r="B327" t="str">
            <v/>
          </cell>
          <cell r="C327" t="str">
            <v/>
          </cell>
        </row>
        <row r="328">
          <cell r="B328" t="str">
            <v/>
          </cell>
          <cell r="C328" t="str">
            <v/>
          </cell>
        </row>
        <row r="329">
          <cell r="B329" t="str">
            <v/>
          </cell>
          <cell r="C329" t="str">
            <v/>
          </cell>
        </row>
        <row r="330">
          <cell r="B330" t="str">
            <v/>
          </cell>
          <cell r="C330" t="str">
            <v/>
          </cell>
        </row>
        <row r="331">
          <cell r="B331" t="str">
            <v/>
          </cell>
          <cell r="C331" t="str">
            <v/>
          </cell>
        </row>
        <row r="332">
          <cell r="B332" t="str">
            <v/>
          </cell>
          <cell r="C332" t="str">
            <v/>
          </cell>
        </row>
        <row r="333">
          <cell r="B333" t="str">
            <v/>
          </cell>
          <cell r="C333" t="str">
            <v/>
          </cell>
        </row>
        <row r="334">
          <cell r="B334" t="str">
            <v/>
          </cell>
          <cell r="C334" t="str">
            <v/>
          </cell>
        </row>
        <row r="335">
          <cell r="B335" t="str">
            <v/>
          </cell>
          <cell r="C335" t="str">
            <v/>
          </cell>
        </row>
        <row r="336">
          <cell r="B336" t="str">
            <v/>
          </cell>
          <cell r="C336" t="str">
            <v/>
          </cell>
        </row>
        <row r="337">
          <cell r="B337" t="str">
            <v/>
          </cell>
          <cell r="C337" t="str">
            <v/>
          </cell>
        </row>
        <row r="338">
          <cell r="B338" t="str">
            <v/>
          </cell>
          <cell r="C338" t="str">
            <v/>
          </cell>
        </row>
        <row r="339">
          <cell r="B339" t="str">
            <v/>
          </cell>
          <cell r="C339" t="str">
            <v/>
          </cell>
        </row>
        <row r="340">
          <cell r="B340" t="str">
            <v/>
          </cell>
          <cell r="C340" t="str">
            <v/>
          </cell>
        </row>
        <row r="341">
          <cell r="B341" t="str">
            <v/>
          </cell>
          <cell r="C341" t="str">
            <v/>
          </cell>
        </row>
        <row r="342">
          <cell r="B342" t="str">
            <v/>
          </cell>
          <cell r="C342" t="str">
            <v/>
          </cell>
        </row>
        <row r="343">
          <cell r="B343" t="str">
            <v/>
          </cell>
          <cell r="C343" t="str">
            <v/>
          </cell>
        </row>
        <row r="344">
          <cell r="B344" t="str">
            <v/>
          </cell>
          <cell r="C344" t="str">
            <v/>
          </cell>
        </row>
        <row r="345">
          <cell r="B345" t="str">
            <v/>
          </cell>
          <cell r="C345" t="str">
            <v/>
          </cell>
        </row>
        <row r="346">
          <cell r="B346" t="str">
            <v/>
          </cell>
          <cell r="C346" t="str">
            <v/>
          </cell>
        </row>
        <row r="347">
          <cell r="B347" t="str">
            <v/>
          </cell>
          <cell r="C347" t="str">
            <v/>
          </cell>
        </row>
        <row r="348">
          <cell r="B348" t="str">
            <v/>
          </cell>
          <cell r="C348" t="str">
            <v/>
          </cell>
        </row>
        <row r="349">
          <cell r="B349" t="str">
            <v/>
          </cell>
          <cell r="C349" t="str">
            <v/>
          </cell>
        </row>
        <row r="350">
          <cell r="B350" t="str">
            <v/>
          </cell>
          <cell r="C350" t="str">
            <v/>
          </cell>
        </row>
        <row r="351">
          <cell r="B351" t="str">
            <v/>
          </cell>
          <cell r="C351" t="str">
            <v/>
          </cell>
        </row>
        <row r="352">
          <cell r="B352" t="str">
            <v/>
          </cell>
          <cell r="C352" t="str">
            <v/>
          </cell>
        </row>
        <row r="353">
          <cell r="B353" t="str">
            <v/>
          </cell>
          <cell r="C353" t="str">
            <v/>
          </cell>
        </row>
        <row r="354">
          <cell r="B354" t="str">
            <v/>
          </cell>
          <cell r="C354" t="str">
            <v/>
          </cell>
        </row>
        <row r="355">
          <cell r="B355" t="str">
            <v/>
          </cell>
          <cell r="C355" t="str">
            <v/>
          </cell>
        </row>
        <row r="356">
          <cell r="B356" t="str">
            <v/>
          </cell>
          <cell r="C356" t="str">
            <v/>
          </cell>
        </row>
        <row r="357">
          <cell r="B357" t="str">
            <v/>
          </cell>
          <cell r="C357" t="str">
            <v/>
          </cell>
        </row>
        <row r="358">
          <cell r="B358" t="str">
            <v/>
          </cell>
          <cell r="C358" t="str">
            <v/>
          </cell>
        </row>
        <row r="359">
          <cell r="B359" t="str">
            <v/>
          </cell>
          <cell r="C359" t="str">
            <v/>
          </cell>
        </row>
        <row r="360">
          <cell r="B360" t="str">
            <v/>
          </cell>
          <cell r="C360" t="str">
            <v/>
          </cell>
        </row>
        <row r="361">
          <cell r="B361" t="str">
            <v/>
          </cell>
          <cell r="C361" t="str">
            <v/>
          </cell>
        </row>
        <row r="362">
          <cell r="B362" t="str">
            <v/>
          </cell>
          <cell r="C362" t="str">
            <v/>
          </cell>
        </row>
        <row r="363">
          <cell r="B363" t="str">
            <v/>
          </cell>
          <cell r="C363" t="str">
            <v/>
          </cell>
        </row>
        <row r="364">
          <cell r="B364" t="str">
            <v/>
          </cell>
          <cell r="C364" t="str">
            <v/>
          </cell>
        </row>
        <row r="365">
          <cell r="B365" t="str">
            <v/>
          </cell>
          <cell r="C365" t="str">
            <v/>
          </cell>
        </row>
        <row r="366">
          <cell r="B366" t="str">
            <v/>
          </cell>
          <cell r="C366" t="str">
            <v/>
          </cell>
        </row>
        <row r="367">
          <cell r="B367" t="str">
            <v/>
          </cell>
          <cell r="C367" t="str">
            <v/>
          </cell>
        </row>
        <row r="368">
          <cell r="B368" t="str">
            <v/>
          </cell>
          <cell r="C368" t="str">
            <v/>
          </cell>
        </row>
        <row r="369">
          <cell r="B369" t="str">
            <v/>
          </cell>
          <cell r="C369" t="str">
            <v/>
          </cell>
        </row>
        <row r="370">
          <cell r="B370" t="str">
            <v/>
          </cell>
          <cell r="C370" t="str">
            <v/>
          </cell>
        </row>
        <row r="371">
          <cell r="B371" t="str">
            <v/>
          </cell>
          <cell r="C371" t="str">
            <v/>
          </cell>
        </row>
        <row r="372">
          <cell r="B372" t="str">
            <v/>
          </cell>
          <cell r="C372" t="str">
            <v/>
          </cell>
        </row>
        <row r="373">
          <cell r="B373" t="str">
            <v/>
          </cell>
          <cell r="C373" t="str">
            <v/>
          </cell>
        </row>
        <row r="374">
          <cell r="B374" t="str">
            <v/>
          </cell>
          <cell r="C374" t="str">
            <v/>
          </cell>
        </row>
        <row r="375">
          <cell r="B375" t="str">
            <v/>
          </cell>
          <cell r="C375" t="str">
            <v/>
          </cell>
        </row>
        <row r="376">
          <cell r="B376" t="str">
            <v/>
          </cell>
          <cell r="C376" t="str">
            <v/>
          </cell>
        </row>
        <row r="377">
          <cell r="B377" t="str">
            <v/>
          </cell>
          <cell r="C377" t="str">
            <v/>
          </cell>
        </row>
        <row r="378">
          <cell r="B378" t="str">
            <v/>
          </cell>
          <cell r="C378" t="str">
            <v/>
          </cell>
        </row>
        <row r="379">
          <cell r="B379" t="str">
            <v/>
          </cell>
          <cell r="C379" t="str">
            <v/>
          </cell>
        </row>
        <row r="380">
          <cell r="B380" t="str">
            <v/>
          </cell>
          <cell r="C380" t="str">
            <v/>
          </cell>
        </row>
        <row r="381">
          <cell r="B381" t="str">
            <v/>
          </cell>
          <cell r="C381" t="str">
            <v/>
          </cell>
        </row>
        <row r="382">
          <cell r="B382" t="str">
            <v/>
          </cell>
          <cell r="C382" t="str">
            <v/>
          </cell>
        </row>
        <row r="383">
          <cell r="B383" t="str">
            <v/>
          </cell>
          <cell r="C383" t="str">
            <v/>
          </cell>
        </row>
        <row r="384">
          <cell r="B384" t="str">
            <v/>
          </cell>
          <cell r="C384" t="str">
            <v/>
          </cell>
        </row>
        <row r="385">
          <cell r="B385" t="str">
            <v/>
          </cell>
          <cell r="C385" t="str">
            <v/>
          </cell>
        </row>
        <row r="386">
          <cell r="B386" t="str">
            <v/>
          </cell>
          <cell r="C386" t="str">
            <v/>
          </cell>
        </row>
        <row r="387">
          <cell r="B387" t="str">
            <v/>
          </cell>
          <cell r="C387" t="str">
            <v/>
          </cell>
        </row>
        <row r="388">
          <cell r="B388" t="str">
            <v/>
          </cell>
          <cell r="C388" t="str">
            <v/>
          </cell>
        </row>
        <row r="389">
          <cell r="B389" t="str">
            <v/>
          </cell>
          <cell r="C389" t="str">
            <v/>
          </cell>
        </row>
        <row r="390">
          <cell r="B390" t="str">
            <v/>
          </cell>
          <cell r="C390" t="str">
            <v/>
          </cell>
        </row>
        <row r="391">
          <cell r="B391" t="str">
            <v/>
          </cell>
          <cell r="C391" t="str">
            <v/>
          </cell>
        </row>
        <row r="392">
          <cell r="B392" t="str">
            <v/>
          </cell>
          <cell r="C392" t="str">
            <v/>
          </cell>
        </row>
        <row r="393">
          <cell r="B393" t="str">
            <v/>
          </cell>
          <cell r="C393" t="str">
            <v/>
          </cell>
        </row>
        <row r="394">
          <cell r="B394" t="str">
            <v/>
          </cell>
          <cell r="C394" t="str">
            <v/>
          </cell>
        </row>
        <row r="395">
          <cell r="B395" t="str">
            <v/>
          </cell>
          <cell r="C395" t="str">
            <v/>
          </cell>
        </row>
        <row r="396">
          <cell r="B396" t="str">
            <v/>
          </cell>
          <cell r="C396" t="str">
            <v/>
          </cell>
        </row>
        <row r="397">
          <cell r="B397" t="str">
            <v/>
          </cell>
          <cell r="C397" t="str">
            <v/>
          </cell>
        </row>
        <row r="398">
          <cell r="B398" t="str">
            <v/>
          </cell>
          <cell r="C398" t="str">
            <v/>
          </cell>
        </row>
        <row r="399">
          <cell r="B399" t="str">
            <v/>
          </cell>
          <cell r="C399" t="str">
            <v/>
          </cell>
        </row>
        <row r="400">
          <cell r="B400" t="str">
            <v/>
          </cell>
          <cell r="C400" t="str">
            <v/>
          </cell>
        </row>
        <row r="401">
          <cell r="B401" t="str">
            <v/>
          </cell>
          <cell r="C401" t="str">
            <v/>
          </cell>
        </row>
        <row r="402">
          <cell r="B402" t="str">
            <v/>
          </cell>
          <cell r="C402" t="str">
            <v/>
          </cell>
        </row>
        <row r="403">
          <cell r="B403" t="str">
            <v/>
          </cell>
          <cell r="C403" t="str">
            <v/>
          </cell>
        </row>
        <row r="404">
          <cell r="B404" t="str">
            <v/>
          </cell>
          <cell r="C404" t="str">
            <v/>
          </cell>
        </row>
        <row r="405">
          <cell r="B405" t="str">
            <v/>
          </cell>
          <cell r="C405" t="str">
            <v/>
          </cell>
        </row>
        <row r="406">
          <cell r="B406" t="str">
            <v/>
          </cell>
          <cell r="C406" t="str">
            <v/>
          </cell>
        </row>
        <row r="407">
          <cell r="B407" t="str">
            <v/>
          </cell>
          <cell r="C407" t="str">
            <v/>
          </cell>
        </row>
        <row r="408">
          <cell r="B408" t="str">
            <v/>
          </cell>
          <cell r="C408" t="str">
            <v/>
          </cell>
        </row>
        <row r="409">
          <cell r="B409" t="str">
            <v/>
          </cell>
          <cell r="C409" t="str">
            <v/>
          </cell>
        </row>
        <row r="410">
          <cell r="B410" t="str">
            <v/>
          </cell>
          <cell r="C410" t="str">
            <v/>
          </cell>
        </row>
        <row r="411">
          <cell r="B411" t="str">
            <v/>
          </cell>
          <cell r="C411" t="str">
            <v/>
          </cell>
        </row>
        <row r="412">
          <cell r="B412" t="str">
            <v/>
          </cell>
          <cell r="C412" t="str">
            <v/>
          </cell>
        </row>
        <row r="413">
          <cell r="B413" t="str">
            <v/>
          </cell>
          <cell r="C413" t="str">
            <v/>
          </cell>
        </row>
        <row r="414">
          <cell r="B414" t="str">
            <v/>
          </cell>
          <cell r="C414" t="str">
            <v/>
          </cell>
        </row>
        <row r="415">
          <cell r="B415" t="str">
            <v/>
          </cell>
          <cell r="C415" t="str">
            <v/>
          </cell>
        </row>
        <row r="416">
          <cell r="B416" t="str">
            <v/>
          </cell>
          <cell r="C416" t="str">
            <v/>
          </cell>
        </row>
        <row r="417">
          <cell r="B417" t="str">
            <v/>
          </cell>
          <cell r="C417" t="str">
            <v/>
          </cell>
        </row>
        <row r="418">
          <cell r="B418" t="str">
            <v/>
          </cell>
          <cell r="C418" t="str">
            <v/>
          </cell>
        </row>
        <row r="419">
          <cell r="B419" t="str">
            <v/>
          </cell>
          <cell r="C419" t="str">
            <v/>
          </cell>
        </row>
        <row r="420">
          <cell r="B420" t="str">
            <v/>
          </cell>
          <cell r="C420" t="str">
            <v/>
          </cell>
        </row>
        <row r="421">
          <cell r="B421" t="str">
            <v/>
          </cell>
          <cell r="C421" t="str">
            <v/>
          </cell>
        </row>
        <row r="422">
          <cell r="B422" t="str">
            <v/>
          </cell>
          <cell r="C422" t="str">
            <v/>
          </cell>
        </row>
        <row r="423">
          <cell r="B423" t="str">
            <v/>
          </cell>
          <cell r="C423" t="str">
            <v/>
          </cell>
        </row>
        <row r="424">
          <cell r="B424" t="str">
            <v/>
          </cell>
          <cell r="C424" t="str">
            <v/>
          </cell>
        </row>
        <row r="425">
          <cell r="B425" t="str">
            <v/>
          </cell>
          <cell r="C425" t="str">
            <v/>
          </cell>
        </row>
        <row r="426">
          <cell r="B426" t="str">
            <v/>
          </cell>
          <cell r="C426" t="str">
            <v/>
          </cell>
        </row>
        <row r="427">
          <cell r="B427" t="str">
            <v/>
          </cell>
          <cell r="C427" t="str">
            <v/>
          </cell>
        </row>
        <row r="428">
          <cell r="B428" t="str">
            <v/>
          </cell>
          <cell r="C428" t="str">
            <v/>
          </cell>
        </row>
        <row r="429">
          <cell r="B429" t="str">
            <v/>
          </cell>
          <cell r="C429" t="str">
            <v/>
          </cell>
        </row>
        <row r="430">
          <cell r="B430" t="str">
            <v/>
          </cell>
          <cell r="C430" t="str">
            <v/>
          </cell>
        </row>
        <row r="431">
          <cell r="B431" t="str">
            <v/>
          </cell>
          <cell r="C431" t="str">
            <v/>
          </cell>
        </row>
        <row r="432">
          <cell r="B432" t="str">
            <v/>
          </cell>
          <cell r="C432" t="str">
            <v/>
          </cell>
        </row>
        <row r="433">
          <cell r="B433" t="str">
            <v/>
          </cell>
          <cell r="C433" t="str">
            <v/>
          </cell>
        </row>
        <row r="434">
          <cell r="B434" t="str">
            <v/>
          </cell>
          <cell r="C434" t="str">
            <v/>
          </cell>
        </row>
        <row r="435">
          <cell r="B435" t="str">
            <v/>
          </cell>
          <cell r="C435" t="str">
            <v/>
          </cell>
        </row>
        <row r="436">
          <cell r="B436" t="str">
            <v/>
          </cell>
          <cell r="C436" t="str">
            <v/>
          </cell>
        </row>
        <row r="437">
          <cell r="B437" t="str">
            <v/>
          </cell>
          <cell r="C437" t="str">
            <v/>
          </cell>
        </row>
        <row r="438">
          <cell r="B438" t="str">
            <v/>
          </cell>
          <cell r="C438" t="str">
            <v/>
          </cell>
        </row>
        <row r="439">
          <cell r="B439" t="str">
            <v/>
          </cell>
          <cell r="C439" t="str">
            <v/>
          </cell>
        </row>
        <row r="440">
          <cell r="B440" t="str">
            <v/>
          </cell>
          <cell r="C440" t="str">
            <v/>
          </cell>
        </row>
        <row r="441">
          <cell r="B441" t="str">
            <v/>
          </cell>
          <cell r="C441" t="str">
            <v/>
          </cell>
        </row>
        <row r="442">
          <cell r="B442" t="str">
            <v/>
          </cell>
          <cell r="C442" t="str">
            <v/>
          </cell>
        </row>
        <row r="443">
          <cell r="B443" t="str">
            <v/>
          </cell>
          <cell r="C443" t="str">
            <v/>
          </cell>
        </row>
        <row r="444">
          <cell r="B444" t="str">
            <v/>
          </cell>
          <cell r="C444" t="str">
            <v/>
          </cell>
        </row>
        <row r="445">
          <cell r="B445" t="str">
            <v/>
          </cell>
          <cell r="C445" t="str">
            <v/>
          </cell>
        </row>
        <row r="446">
          <cell r="B446" t="str">
            <v/>
          </cell>
          <cell r="C446" t="str">
            <v/>
          </cell>
        </row>
        <row r="447">
          <cell r="B447" t="str">
            <v/>
          </cell>
          <cell r="C447" t="str">
            <v/>
          </cell>
        </row>
        <row r="448">
          <cell r="B448" t="str">
            <v/>
          </cell>
          <cell r="C448" t="str">
            <v/>
          </cell>
        </row>
        <row r="449">
          <cell r="B449" t="str">
            <v/>
          </cell>
          <cell r="C449" t="str">
            <v/>
          </cell>
        </row>
        <row r="450">
          <cell r="B450" t="str">
            <v/>
          </cell>
          <cell r="C450" t="str">
            <v/>
          </cell>
        </row>
        <row r="451">
          <cell r="B451" t="str">
            <v/>
          </cell>
          <cell r="C451" t="str">
            <v/>
          </cell>
        </row>
        <row r="452">
          <cell r="B452" t="str">
            <v/>
          </cell>
          <cell r="C452" t="str">
            <v/>
          </cell>
        </row>
        <row r="453">
          <cell r="B453" t="str">
            <v/>
          </cell>
          <cell r="C453" t="str">
            <v/>
          </cell>
        </row>
        <row r="454">
          <cell r="B454" t="str">
            <v/>
          </cell>
          <cell r="C454" t="str">
            <v/>
          </cell>
        </row>
        <row r="455">
          <cell r="B455" t="str">
            <v/>
          </cell>
          <cell r="C455" t="str">
            <v/>
          </cell>
        </row>
        <row r="456">
          <cell r="B456" t="str">
            <v/>
          </cell>
          <cell r="C456" t="str">
            <v/>
          </cell>
        </row>
        <row r="457">
          <cell r="B457" t="str">
            <v/>
          </cell>
          <cell r="C457" t="str">
            <v/>
          </cell>
        </row>
        <row r="458">
          <cell r="B458" t="str">
            <v/>
          </cell>
          <cell r="C458" t="str">
            <v/>
          </cell>
        </row>
        <row r="459">
          <cell r="B459" t="str">
            <v/>
          </cell>
          <cell r="C459" t="str">
            <v/>
          </cell>
        </row>
        <row r="460">
          <cell r="B460" t="str">
            <v/>
          </cell>
          <cell r="C460" t="str">
            <v/>
          </cell>
        </row>
        <row r="461">
          <cell r="B461" t="str">
            <v/>
          </cell>
          <cell r="C461" t="str">
            <v/>
          </cell>
        </row>
        <row r="462">
          <cell r="B462" t="str">
            <v/>
          </cell>
          <cell r="C462" t="str">
            <v/>
          </cell>
        </row>
        <row r="463">
          <cell r="B463" t="str">
            <v/>
          </cell>
          <cell r="C463" t="str">
            <v/>
          </cell>
        </row>
        <row r="464">
          <cell r="B464" t="str">
            <v/>
          </cell>
          <cell r="C464" t="str">
            <v/>
          </cell>
        </row>
        <row r="465">
          <cell r="B465" t="str">
            <v/>
          </cell>
          <cell r="C465" t="str">
            <v/>
          </cell>
        </row>
        <row r="466">
          <cell r="B466" t="str">
            <v/>
          </cell>
          <cell r="C466" t="str">
            <v/>
          </cell>
        </row>
        <row r="467">
          <cell r="B467" t="str">
            <v/>
          </cell>
          <cell r="C467" t="str">
            <v/>
          </cell>
        </row>
        <row r="468">
          <cell r="B468" t="str">
            <v/>
          </cell>
          <cell r="C468" t="str">
            <v/>
          </cell>
        </row>
        <row r="469">
          <cell r="B469" t="str">
            <v/>
          </cell>
          <cell r="C469" t="str">
            <v/>
          </cell>
        </row>
        <row r="470">
          <cell r="B470" t="str">
            <v/>
          </cell>
          <cell r="C470" t="str">
            <v/>
          </cell>
        </row>
        <row r="471">
          <cell r="B471" t="str">
            <v/>
          </cell>
          <cell r="C471" t="str">
            <v/>
          </cell>
        </row>
        <row r="472">
          <cell r="B472" t="str">
            <v/>
          </cell>
          <cell r="C472" t="str">
            <v/>
          </cell>
        </row>
        <row r="473">
          <cell r="B473" t="str">
            <v/>
          </cell>
          <cell r="C473" t="str">
            <v/>
          </cell>
        </row>
        <row r="474">
          <cell r="B474" t="str">
            <v/>
          </cell>
          <cell r="C474" t="str">
            <v/>
          </cell>
        </row>
        <row r="475">
          <cell r="B475" t="str">
            <v/>
          </cell>
          <cell r="C475" t="str">
            <v/>
          </cell>
        </row>
        <row r="476">
          <cell r="B476" t="str">
            <v/>
          </cell>
          <cell r="C476" t="str">
            <v/>
          </cell>
        </row>
        <row r="477">
          <cell r="B477" t="str">
            <v/>
          </cell>
          <cell r="C477" t="str">
            <v/>
          </cell>
        </row>
        <row r="478">
          <cell r="B478" t="str">
            <v/>
          </cell>
          <cell r="C478" t="str">
            <v/>
          </cell>
        </row>
        <row r="479">
          <cell r="B479" t="str">
            <v/>
          </cell>
          <cell r="C479" t="str">
            <v/>
          </cell>
        </row>
        <row r="480">
          <cell r="B480" t="str">
            <v/>
          </cell>
          <cell r="C480" t="str">
            <v/>
          </cell>
        </row>
        <row r="481">
          <cell r="B481" t="str">
            <v/>
          </cell>
          <cell r="C481" t="str">
            <v/>
          </cell>
        </row>
        <row r="482">
          <cell r="B482" t="str">
            <v/>
          </cell>
          <cell r="C482" t="str">
            <v/>
          </cell>
        </row>
        <row r="483">
          <cell r="B483" t="str">
            <v/>
          </cell>
          <cell r="C483" t="str">
            <v/>
          </cell>
        </row>
        <row r="484">
          <cell r="B484" t="str">
            <v/>
          </cell>
          <cell r="C484" t="str">
            <v/>
          </cell>
        </row>
        <row r="485">
          <cell r="B485" t="str">
            <v/>
          </cell>
          <cell r="C485" t="str">
            <v/>
          </cell>
        </row>
        <row r="486">
          <cell r="B486" t="str">
            <v/>
          </cell>
          <cell r="C486" t="str">
            <v/>
          </cell>
        </row>
        <row r="487">
          <cell r="B487" t="str">
            <v/>
          </cell>
          <cell r="C487" t="str">
            <v/>
          </cell>
        </row>
        <row r="488">
          <cell r="B488" t="str">
            <v/>
          </cell>
          <cell r="C488" t="str">
            <v/>
          </cell>
        </row>
        <row r="489">
          <cell r="B489" t="str">
            <v/>
          </cell>
          <cell r="C489" t="str">
            <v/>
          </cell>
        </row>
        <row r="490">
          <cell r="B490" t="str">
            <v/>
          </cell>
          <cell r="C490" t="str">
            <v/>
          </cell>
        </row>
        <row r="491">
          <cell r="B491" t="str">
            <v/>
          </cell>
          <cell r="C491" t="str">
            <v/>
          </cell>
        </row>
        <row r="492">
          <cell r="B492" t="str">
            <v/>
          </cell>
          <cell r="C492" t="str">
            <v/>
          </cell>
        </row>
        <row r="493">
          <cell r="B493" t="str">
            <v/>
          </cell>
          <cell r="C493" t="str">
            <v/>
          </cell>
        </row>
        <row r="494">
          <cell r="B494" t="str">
            <v/>
          </cell>
          <cell r="C494" t="str">
            <v/>
          </cell>
        </row>
        <row r="495">
          <cell r="B495" t="str">
            <v/>
          </cell>
          <cell r="C495" t="str">
            <v/>
          </cell>
        </row>
        <row r="496">
          <cell r="B496" t="str">
            <v/>
          </cell>
          <cell r="C496" t="str">
            <v/>
          </cell>
        </row>
        <row r="497">
          <cell r="B497" t="str">
            <v/>
          </cell>
          <cell r="C497" t="str">
            <v/>
          </cell>
        </row>
        <row r="498">
          <cell r="B498" t="str">
            <v/>
          </cell>
          <cell r="C498" t="str">
            <v/>
          </cell>
        </row>
        <row r="499">
          <cell r="B499" t="str">
            <v/>
          </cell>
          <cell r="C499" t="str">
            <v/>
          </cell>
        </row>
        <row r="500">
          <cell r="B500" t="str">
            <v/>
          </cell>
          <cell r="C500" t="str">
            <v/>
          </cell>
        </row>
        <row r="501">
          <cell r="B501" t="str">
            <v/>
          </cell>
          <cell r="C501" t="str">
            <v/>
          </cell>
        </row>
        <row r="502">
          <cell r="B502" t="str">
            <v/>
          </cell>
          <cell r="C502" t="str">
            <v/>
          </cell>
        </row>
        <row r="503">
          <cell r="B503" t="str">
            <v/>
          </cell>
          <cell r="C503" t="str">
            <v/>
          </cell>
        </row>
        <row r="504">
          <cell r="B504" t="str">
            <v/>
          </cell>
          <cell r="C504" t="str">
            <v/>
          </cell>
        </row>
        <row r="505">
          <cell r="B505" t="str">
            <v/>
          </cell>
          <cell r="C505" t="str">
            <v/>
          </cell>
        </row>
        <row r="506">
          <cell r="B506" t="str">
            <v/>
          </cell>
          <cell r="C506" t="str">
            <v/>
          </cell>
        </row>
        <row r="507">
          <cell r="B507" t="str">
            <v/>
          </cell>
          <cell r="C507" t="str">
            <v/>
          </cell>
        </row>
        <row r="508">
          <cell r="B508" t="str">
            <v/>
          </cell>
          <cell r="C508" t="str">
            <v/>
          </cell>
        </row>
        <row r="509">
          <cell r="B509" t="str">
            <v/>
          </cell>
          <cell r="C509" t="str">
            <v/>
          </cell>
        </row>
        <row r="510">
          <cell r="B510" t="str">
            <v/>
          </cell>
          <cell r="C510" t="str">
            <v/>
          </cell>
        </row>
        <row r="511">
          <cell r="B511" t="str">
            <v/>
          </cell>
          <cell r="C511" t="str">
            <v/>
          </cell>
        </row>
        <row r="512">
          <cell r="B512" t="str">
            <v/>
          </cell>
          <cell r="C512" t="str">
            <v/>
          </cell>
        </row>
        <row r="513">
          <cell r="B513" t="str">
            <v/>
          </cell>
          <cell r="C513" t="str">
            <v/>
          </cell>
        </row>
        <row r="514">
          <cell r="B514" t="str">
            <v/>
          </cell>
          <cell r="C514" t="str">
            <v/>
          </cell>
        </row>
        <row r="515">
          <cell r="B515" t="str">
            <v/>
          </cell>
          <cell r="C515" t="str">
            <v/>
          </cell>
        </row>
        <row r="516">
          <cell r="B516" t="str">
            <v/>
          </cell>
          <cell r="C516" t="str">
            <v/>
          </cell>
        </row>
        <row r="517">
          <cell r="B517" t="str">
            <v/>
          </cell>
          <cell r="C517" t="str">
            <v/>
          </cell>
        </row>
        <row r="518">
          <cell r="B518" t="str">
            <v/>
          </cell>
          <cell r="C518" t="str">
            <v/>
          </cell>
        </row>
        <row r="519">
          <cell r="B519" t="str">
            <v/>
          </cell>
          <cell r="C519" t="str">
            <v/>
          </cell>
        </row>
        <row r="520">
          <cell r="B520" t="str">
            <v/>
          </cell>
          <cell r="C520" t="str">
            <v/>
          </cell>
        </row>
        <row r="521">
          <cell r="B521" t="str">
            <v/>
          </cell>
          <cell r="C521" t="str">
            <v/>
          </cell>
        </row>
        <row r="522">
          <cell r="B522" t="str">
            <v/>
          </cell>
          <cell r="C522" t="str">
            <v/>
          </cell>
        </row>
        <row r="523">
          <cell r="B523" t="str">
            <v/>
          </cell>
          <cell r="C523" t="str">
            <v/>
          </cell>
        </row>
        <row r="524">
          <cell r="B524" t="str">
            <v/>
          </cell>
          <cell r="C524" t="str">
            <v/>
          </cell>
        </row>
        <row r="525">
          <cell r="B525" t="str">
            <v/>
          </cell>
          <cell r="C525" t="str">
            <v/>
          </cell>
        </row>
        <row r="526">
          <cell r="B526" t="str">
            <v/>
          </cell>
          <cell r="C526" t="str">
            <v/>
          </cell>
        </row>
        <row r="527">
          <cell r="B527" t="str">
            <v/>
          </cell>
          <cell r="C527" t="str">
            <v/>
          </cell>
        </row>
        <row r="528">
          <cell r="B528" t="str">
            <v/>
          </cell>
          <cell r="C528" t="str">
            <v/>
          </cell>
        </row>
        <row r="529">
          <cell r="B529" t="str">
            <v/>
          </cell>
          <cell r="C529" t="str">
            <v/>
          </cell>
        </row>
        <row r="530">
          <cell r="B530" t="str">
            <v/>
          </cell>
          <cell r="C530" t="str">
            <v/>
          </cell>
        </row>
        <row r="531">
          <cell r="B531" t="str">
            <v/>
          </cell>
          <cell r="C531" t="str">
            <v/>
          </cell>
        </row>
        <row r="532">
          <cell r="B532" t="str">
            <v/>
          </cell>
          <cell r="C532" t="str">
            <v/>
          </cell>
        </row>
        <row r="533">
          <cell r="B533" t="str">
            <v/>
          </cell>
          <cell r="C533" t="str">
            <v/>
          </cell>
        </row>
        <row r="534">
          <cell r="B534" t="str">
            <v/>
          </cell>
          <cell r="C534" t="str">
            <v/>
          </cell>
        </row>
        <row r="535">
          <cell r="B535" t="str">
            <v/>
          </cell>
          <cell r="C535" t="str">
            <v/>
          </cell>
        </row>
        <row r="536">
          <cell r="B536" t="str">
            <v/>
          </cell>
          <cell r="C536" t="str">
            <v/>
          </cell>
        </row>
        <row r="537">
          <cell r="B537" t="str">
            <v/>
          </cell>
          <cell r="C537" t="str">
            <v/>
          </cell>
        </row>
        <row r="538">
          <cell r="B538" t="str">
            <v/>
          </cell>
          <cell r="C538" t="str">
            <v/>
          </cell>
        </row>
        <row r="539">
          <cell r="B539" t="str">
            <v/>
          </cell>
          <cell r="C539" t="str">
            <v/>
          </cell>
        </row>
        <row r="540">
          <cell r="B540" t="str">
            <v/>
          </cell>
          <cell r="C540" t="str">
            <v/>
          </cell>
        </row>
        <row r="541">
          <cell r="B541" t="str">
            <v/>
          </cell>
          <cell r="C541" t="str">
            <v/>
          </cell>
        </row>
        <row r="542">
          <cell r="B542" t="str">
            <v/>
          </cell>
          <cell r="C542" t="str">
            <v/>
          </cell>
        </row>
        <row r="543">
          <cell r="B543" t="str">
            <v/>
          </cell>
          <cell r="C543" t="str">
            <v/>
          </cell>
        </row>
        <row r="544">
          <cell r="B544" t="str">
            <v/>
          </cell>
          <cell r="C544" t="str">
            <v/>
          </cell>
        </row>
        <row r="545">
          <cell r="B545" t="str">
            <v/>
          </cell>
          <cell r="C545" t="str">
            <v/>
          </cell>
        </row>
        <row r="546">
          <cell r="B546" t="str">
            <v/>
          </cell>
          <cell r="C546" t="str">
            <v/>
          </cell>
        </row>
        <row r="547">
          <cell r="B547" t="str">
            <v/>
          </cell>
          <cell r="C547" t="str">
            <v/>
          </cell>
        </row>
        <row r="548">
          <cell r="B548" t="str">
            <v/>
          </cell>
          <cell r="C548" t="str">
            <v/>
          </cell>
        </row>
        <row r="549">
          <cell r="B549" t="str">
            <v/>
          </cell>
          <cell r="C549" t="str">
            <v/>
          </cell>
        </row>
        <row r="550">
          <cell r="B550" t="str">
            <v/>
          </cell>
          <cell r="C550" t="str">
            <v/>
          </cell>
        </row>
        <row r="551">
          <cell r="B551" t="str">
            <v/>
          </cell>
          <cell r="C551" t="str">
            <v/>
          </cell>
        </row>
        <row r="552">
          <cell r="B552" t="str">
            <v/>
          </cell>
          <cell r="C552" t="str">
            <v/>
          </cell>
        </row>
        <row r="553">
          <cell r="B553" t="str">
            <v/>
          </cell>
          <cell r="C553" t="str">
            <v/>
          </cell>
        </row>
        <row r="554">
          <cell r="B554" t="str">
            <v/>
          </cell>
          <cell r="C554" t="str">
            <v/>
          </cell>
        </row>
        <row r="555">
          <cell r="B555" t="str">
            <v/>
          </cell>
          <cell r="C555" t="str">
            <v/>
          </cell>
        </row>
        <row r="556">
          <cell r="B556" t="str">
            <v/>
          </cell>
          <cell r="C556" t="str">
            <v/>
          </cell>
        </row>
        <row r="557">
          <cell r="B557" t="str">
            <v/>
          </cell>
          <cell r="C557" t="str">
            <v/>
          </cell>
        </row>
        <row r="558">
          <cell r="B558" t="str">
            <v/>
          </cell>
          <cell r="C558" t="str">
            <v/>
          </cell>
        </row>
        <row r="559">
          <cell r="B559" t="str">
            <v/>
          </cell>
          <cell r="C559" t="str">
            <v/>
          </cell>
        </row>
        <row r="560">
          <cell r="B560" t="str">
            <v/>
          </cell>
          <cell r="C560" t="str">
            <v/>
          </cell>
        </row>
        <row r="561">
          <cell r="B561" t="str">
            <v/>
          </cell>
          <cell r="C561" t="str">
            <v/>
          </cell>
        </row>
        <row r="562">
          <cell r="B562" t="str">
            <v/>
          </cell>
          <cell r="C562" t="str">
            <v/>
          </cell>
        </row>
        <row r="563">
          <cell r="B563" t="str">
            <v/>
          </cell>
          <cell r="C563" t="str">
            <v/>
          </cell>
        </row>
        <row r="564">
          <cell r="B564" t="str">
            <v/>
          </cell>
          <cell r="C564" t="str">
            <v/>
          </cell>
        </row>
        <row r="565">
          <cell r="B565" t="str">
            <v/>
          </cell>
          <cell r="C565" t="str">
            <v/>
          </cell>
        </row>
        <row r="566">
          <cell r="B566" t="str">
            <v/>
          </cell>
          <cell r="C566" t="str">
            <v/>
          </cell>
        </row>
        <row r="567">
          <cell r="B567" t="str">
            <v/>
          </cell>
          <cell r="C567" t="str">
            <v/>
          </cell>
        </row>
        <row r="568">
          <cell r="B568" t="str">
            <v/>
          </cell>
          <cell r="C568" t="str">
            <v/>
          </cell>
        </row>
        <row r="569">
          <cell r="B569" t="str">
            <v/>
          </cell>
          <cell r="C569" t="str">
            <v/>
          </cell>
        </row>
        <row r="570">
          <cell r="B570" t="str">
            <v/>
          </cell>
          <cell r="C570" t="str">
            <v/>
          </cell>
        </row>
        <row r="571">
          <cell r="B571" t="str">
            <v/>
          </cell>
          <cell r="C571" t="str">
            <v/>
          </cell>
        </row>
        <row r="572">
          <cell r="B572" t="str">
            <v/>
          </cell>
          <cell r="C572" t="str">
            <v/>
          </cell>
        </row>
        <row r="573">
          <cell r="B573" t="str">
            <v/>
          </cell>
          <cell r="C573" t="str">
            <v/>
          </cell>
        </row>
        <row r="574">
          <cell r="B574" t="str">
            <v/>
          </cell>
          <cell r="C574" t="str">
            <v/>
          </cell>
        </row>
        <row r="575">
          <cell r="B575" t="str">
            <v/>
          </cell>
          <cell r="C575" t="str">
            <v/>
          </cell>
        </row>
        <row r="576">
          <cell r="B576" t="str">
            <v/>
          </cell>
          <cell r="C576" t="str">
            <v/>
          </cell>
        </row>
        <row r="577">
          <cell r="B577" t="str">
            <v/>
          </cell>
          <cell r="C577" t="str">
            <v/>
          </cell>
        </row>
        <row r="578">
          <cell r="B578" t="str">
            <v/>
          </cell>
          <cell r="C578" t="str">
            <v/>
          </cell>
        </row>
        <row r="579">
          <cell r="B579" t="str">
            <v/>
          </cell>
          <cell r="C579" t="str">
            <v/>
          </cell>
        </row>
        <row r="580">
          <cell r="B580" t="str">
            <v/>
          </cell>
          <cell r="C580" t="str">
            <v/>
          </cell>
        </row>
        <row r="581">
          <cell r="B581" t="str">
            <v/>
          </cell>
          <cell r="C581" t="str">
            <v/>
          </cell>
        </row>
        <row r="582">
          <cell r="B582" t="str">
            <v/>
          </cell>
          <cell r="C582" t="str">
            <v/>
          </cell>
        </row>
        <row r="583">
          <cell r="B583" t="str">
            <v/>
          </cell>
          <cell r="C583" t="str">
            <v/>
          </cell>
        </row>
        <row r="584">
          <cell r="B584" t="str">
            <v/>
          </cell>
          <cell r="C584" t="str">
            <v/>
          </cell>
        </row>
        <row r="585">
          <cell r="B585" t="str">
            <v/>
          </cell>
          <cell r="C585" t="str">
            <v/>
          </cell>
        </row>
        <row r="586">
          <cell r="B586" t="str">
            <v/>
          </cell>
          <cell r="C586" t="str">
            <v/>
          </cell>
        </row>
        <row r="587">
          <cell r="B587" t="str">
            <v/>
          </cell>
          <cell r="C587" t="str">
            <v/>
          </cell>
        </row>
        <row r="588">
          <cell r="B588" t="str">
            <v/>
          </cell>
          <cell r="C588" t="str">
            <v/>
          </cell>
        </row>
        <row r="589">
          <cell r="B589" t="str">
            <v/>
          </cell>
          <cell r="C589" t="str">
            <v/>
          </cell>
        </row>
        <row r="590">
          <cell r="B590" t="str">
            <v/>
          </cell>
          <cell r="C590" t="str">
            <v/>
          </cell>
        </row>
        <row r="591">
          <cell r="B591" t="str">
            <v/>
          </cell>
          <cell r="C591" t="str">
            <v/>
          </cell>
        </row>
        <row r="592">
          <cell r="B592" t="str">
            <v/>
          </cell>
          <cell r="C592" t="str">
            <v/>
          </cell>
        </row>
        <row r="593">
          <cell r="B593" t="str">
            <v/>
          </cell>
          <cell r="C593" t="str">
            <v/>
          </cell>
        </row>
        <row r="594">
          <cell r="B594" t="str">
            <v/>
          </cell>
          <cell r="C594" t="str">
            <v/>
          </cell>
        </row>
        <row r="595">
          <cell r="B595" t="str">
            <v/>
          </cell>
          <cell r="C595" t="str">
            <v/>
          </cell>
        </row>
        <row r="596">
          <cell r="B596" t="str">
            <v/>
          </cell>
          <cell r="C596" t="str">
            <v/>
          </cell>
        </row>
        <row r="597">
          <cell r="B597" t="str">
            <v/>
          </cell>
          <cell r="C597" t="str">
            <v/>
          </cell>
        </row>
        <row r="598">
          <cell r="B598" t="str">
            <v/>
          </cell>
          <cell r="C598" t="str">
            <v/>
          </cell>
        </row>
        <row r="599">
          <cell r="B599" t="str">
            <v/>
          </cell>
          <cell r="C599" t="str">
            <v/>
          </cell>
        </row>
        <row r="600">
          <cell r="B600" t="str">
            <v/>
          </cell>
          <cell r="C600" t="str">
            <v/>
          </cell>
        </row>
        <row r="601">
          <cell r="B601" t="str">
            <v/>
          </cell>
          <cell r="C601" t="str">
            <v/>
          </cell>
        </row>
        <row r="602">
          <cell r="B602" t="str">
            <v/>
          </cell>
          <cell r="C602" t="str">
            <v/>
          </cell>
        </row>
        <row r="603">
          <cell r="B603" t="str">
            <v/>
          </cell>
          <cell r="C603" t="str">
            <v/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6">
          <cell r="B6" t="str">
            <v>农行2896</v>
          </cell>
          <cell r="H6" t="str">
            <v>宁波鹿小白机电有限公司</v>
          </cell>
          <cell r="J6" t="str">
            <v>转存</v>
          </cell>
          <cell r="N6">
            <v>46266.0</v>
          </cell>
          <cell r="O6" t="str">
            <v>中智优力</v>
          </cell>
          <cell r="P6" t="str">
            <v>宁波鹿小白机电有限公司</v>
          </cell>
          <cell r="Q6" t="str">
            <v>客户</v>
          </cell>
          <cell r="T6" t="str">
            <v>新增</v>
          </cell>
          <cell r="U6" t="str">
            <v>收入</v>
          </cell>
          <cell r="W6" t="str">
            <v>✓</v>
          </cell>
          <cell r="X6" t="str">
            <v>√ 新客户首笔</v>
          </cell>
          <cell r="AB6">
            <v>9600</v>
          </cell>
          <cell r="AC6">
            <v>0</v>
          </cell>
          <cell r="AD6">
            <v>9600</v>
          </cell>
          <cell r="AJ6">
            <v>0</v>
          </cell>
          <cell r="AK6">
            <v>1</v>
          </cell>
        </row>
        <row r="7">
          <cell r="B7" t="str">
            <v>农行2896</v>
          </cell>
          <cell r="H7" t="str">
            <v>中国电信股份有限公司宁波分公司（电信）</v>
          </cell>
          <cell r="J7" t="str">
            <v>公共缴费</v>
          </cell>
          <cell r="N7">
            <v>46266.0</v>
          </cell>
          <cell r="O7" t="str">
            <v>中智优力</v>
          </cell>
          <cell r="P7" t="str">
            <v>中国电信股份有限公司宁波分公司</v>
          </cell>
          <cell r="Q7" t="str">
            <v>供应商</v>
          </cell>
          <cell r="T7" t="str">
            <v>办公费用</v>
          </cell>
          <cell r="U7" t="str">
            <v>变动成本</v>
          </cell>
          <cell r="W7" t="str">
            <v>✓</v>
          </cell>
          <cell r="X7" t="str">
            <v>√</v>
          </cell>
          <cell r="AB7">
            <v>0</v>
          </cell>
          <cell r="AC7">
            <v>214.29</v>
          </cell>
          <cell r="AD7">
            <v>-214.29</v>
          </cell>
          <cell r="AJ7">
            <v>1</v>
          </cell>
          <cell r="AK7">
            <v>1</v>
          </cell>
        </row>
        <row r="8">
          <cell r="B8" t="str">
            <v>农行2896</v>
          </cell>
          <cell r="H8" t="str">
            <v>宁波新鹏机械有限公司</v>
          </cell>
          <cell r="J8" t="str">
            <v>转存</v>
          </cell>
          <cell r="N8">
            <v>46267.0</v>
          </cell>
          <cell r="O8" t="str">
            <v>中智优力</v>
          </cell>
          <cell r="P8" t="str">
            <v>宁波新鹏机械有限公司</v>
          </cell>
          <cell r="Q8" t="str">
            <v>客户</v>
          </cell>
          <cell r="T8" t="str">
            <v>新增</v>
          </cell>
          <cell r="U8" t="str">
            <v>收入</v>
          </cell>
          <cell r="W8" t="str">
            <v>✓</v>
          </cell>
          <cell r="X8" t="str">
            <v>√ 新客户首笔</v>
          </cell>
          <cell r="AB8">
            <v>6000</v>
          </cell>
          <cell r="AC8">
            <v>0</v>
          </cell>
          <cell r="AD8">
            <v>6000</v>
          </cell>
          <cell r="AJ8">
            <v>0</v>
          </cell>
          <cell r="AK8">
            <v>1</v>
          </cell>
        </row>
        <row r="9">
          <cell r="B9" t="str">
            <v>农行2896</v>
          </cell>
          <cell r="H9" t="str">
            <v>宁波恒杰工业锁闭技术有限公司</v>
          </cell>
          <cell r="J9" t="str">
            <v>转存</v>
          </cell>
          <cell r="N9">
            <v>46268.0</v>
          </cell>
          <cell r="O9" t="str">
            <v>中智优力</v>
          </cell>
          <cell r="P9" t="str">
            <v>宁波恒杰工业锁闭技术有限公司</v>
          </cell>
          <cell r="Q9" t="str">
            <v>客户</v>
          </cell>
          <cell r="T9" t="str">
            <v>新增</v>
          </cell>
          <cell r="U9" t="str">
            <v>收入</v>
          </cell>
          <cell r="W9" t="str">
            <v>✓</v>
          </cell>
          <cell r="X9" t="str">
            <v>√ 新客户首笔</v>
          </cell>
          <cell r="AB9">
            <v>68800</v>
          </cell>
          <cell r="AC9">
            <v>0</v>
          </cell>
          <cell r="AD9">
            <v>68800</v>
          </cell>
          <cell r="AJ9">
            <v>0</v>
          </cell>
          <cell r="AK9">
            <v>1</v>
          </cell>
        </row>
        <row r="10">
          <cell r="B10" t="str">
            <v>农行2896</v>
          </cell>
          <cell r="H10" t="str">
            <v>郭伟健</v>
          </cell>
          <cell r="J10" t="str">
            <v>转存</v>
          </cell>
          <cell r="N10">
            <v>46268.0</v>
          </cell>
          <cell r="O10" t="str">
            <v>中智优力</v>
          </cell>
          <cell r="P10" t="str">
            <v/>
          </cell>
          <cell r="Q10" t="str">
            <v/>
          </cell>
          <cell r="T10" t="str">
            <v/>
          </cell>
          <cell r="U10" t="str">
            <v/>
          </cell>
          <cell r="W10" t="str">
            <v>✓</v>
          </cell>
          <cell r="X10" t="str">
            <v>✗ 认不出：对方户名没登记，到【往来单位】加，或点「去改」手工选</v>
          </cell>
          <cell r="AB10">
            <v>10000</v>
          </cell>
          <cell r="AC10">
            <v>0</v>
          </cell>
          <cell r="AD10">
            <v>10000</v>
          </cell>
          <cell r="AJ10">
            <v>0</v>
          </cell>
          <cell r="AK10">
            <v>0</v>
          </cell>
        </row>
        <row r="11">
          <cell r="B11" t="str">
            <v>农行2896</v>
          </cell>
          <cell r="H11" t="str">
            <v>宁波绮绘印花有限公司</v>
          </cell>
          <cell r="J11" t="str">
            <v>转存</v>
          </cell>
          <cell r="N11">
            <v>46268.0</v>
          </cell>
          <cell r="O11" t="str">
            <v>中智优力</v>
          </cell>
          <cell r="P11" t="str">
            <v>宁波绮绘印花有限公司</v>
          </cell>
          <cell r="Q11" t="str">
            <v>客户</v>
          </cell>
          <cell r="T11" t="str">
            <v>新增</v>
          </cell>
          <cell r="U11" t="str">
            <v>收入</v>
          </cell>
          <cell r="W11" t="str">
            <v>✓</v>
          </cell>
          <cell r="X11" t="str">
            <v>√ 新客户首笔</v>
          </cell>
          <cell r="AB11">
            <v>8000</v>
          </cell>
          <cell r="AC11">
            <v>0</v>
          </cell>
          <cell r="AD11">
            <v>8000</v>
          </cell>
          <cell r="AJ11">
            <v>0</v>
          </cell>
          <cell r="AK11">
            <v>1</v>
          </cell>
        </row>
        <row r="12">
          <cell r="B12" t="str">
            <v>农行2896</v>
          </cell>
          <cell r="H12" t="str">
            <v>浙江乾创智能技术有限公司</v>
          </cell>
          <cell r="J12" t="str">
            <v>转取</v>
          </cell>
          <cell r="N12">
            <v>46269.0</v>
          </cell>
          <cell r="O12" t="str">
            <v>中智优力</v>
          </cell>
          <cell r="P12" t="str">
            <v/>
          </cell>
          <cell r="Q12" t="str">
            <v/>
          </cell>
          <cell r="T12" t="str">
            <v/>
          </cell>
          <cell r="U12" t="str">
            <v/>
          </cell>
          <cell r="W12" t="str">
            <v>✓</v>
          </cell>
          <cell r="X12" t="str">
            <v>✗ 认不出：对方户名没登记，到【往来单位】加，或点「去改」手工选</v>
          </cell>
          <cell r="AB12">
            <v>0</v>
          </cell>
          <cell r="AC12">
            <v>10166.5</v>
          </cell>
          <cell r="AD12">
            <v>-10166.5</v>
          </cell>
          <cell r="AJ12">
            <v>0</v>
          </cell>
          <cell r="AK12">
            <v>0</v>
          </cell>
        </row>
        <row r="13">
          <cell r="B13" t="str">
            <v>农行2896</v>
          </cell>
          <cell r="H13" t="str">
            <v>中国农业银行股份有限公司宁波五乡支行</v>
          </cell>
          <cell r="J13" t="str">
            <v>费用外收</v>
          </cell>
          <cell r="N13">
            <v>46269.0</v>
          </cell>
          <cell r="O13" t="str">
            <v>中智优力</v>
          </cell>
          <cell r="P13" t="str">
            <v/>
          </cell>
          <cell r="Q13" t="str">
            <v/>
          </cell>
          <cell r="T13" t="str">
            <v>银行手续费</v>
          </cell>
          <cell r="U13" t="str">
            <v>变动成本</v>
          </cell>
          <cell r="W13" t="str">
            <v>✓</v>
          </cell>
          <cell r="X13" t="str">
            <v>√</v>
          </cell>
          <cell r="AB13">
            <v>0</v>
          </cell>
          <cell r="AC13">
            <v>0.9</v>
          </cell>
          <cell r="AD13">
            <v>-0.9</v>
          </cell>
          <cell r="AJ13">
            <v>0</v>
          </cell>
          <cell r="AK13">
            <v>0</v>
          </cell>
        </row>
        <row r="14">
          <cell r="B14" t="str">
            <v>农行2896</v>
          </cell>
          <cell r="H14" t="str">
            <v>浙江省成套工程有限公司鄞州分公司</v>
          </cell>
          <cell r="J14" t="str">
            <v>转存</v>
          </cell>
          <cell r="N14">
            <v>46272.0</v>
          </cell>
          <cell r="O14" t="str">
            <v>中智优力</v>
          </cell>
          <cell r="P14" t="str">
            <v>浙江省成套工程有限公司鄞州分公司</v>
          </cell>
          <cell r="Q14" t="str">
            <v>客户</v>
          </cell>
          <cell r="T14" t="str">
            <v>新增</v>
          </cell>
          <cell r="U14" t="str">
            <v>收入</v>
          </cell>
          <cell r="W14" t="str">
            <v>✓</v>
          </cell>
          <cell r="X14" t="str">
            <v>√ 新客户首笔</v>
          </cell>
          <cell r="AB14">
            <v>1800</v>
          </cell>
          <cell r="AC14">
            <v>0</v>
          </cell>
          <cell r="AD14">
            <v>1800</v>
          </cell>
          <cell r="AJ14">
            <v>0</v>
          </cell>
          <cell r="AK14">
            <v>1</v>
          </cell>
        </row>
        <row r="15">
          <cell r="B15" t="str">
            <v>农行2896</v>
          </cell>
          <cell r="H15" t="str">
            <v>宁波市吉安商会</v>
          </cell>
          <cell r="J15" t="str">
            <v>转存</v>
          </cell>
          <cell r="N15">
            <v>46273.0</v>
          </cell>
          <cell r="O15" t="str">
            <v>中智优力</v>
          </cell>
          <cell r="P15" t="str">
            <v>宁波市吉安商会</v>
          </cell>
          <cell r="Q15" t="str">
            <v>客户</v>
          </cell>
          <cell r="T15" t="str">
            <v>新增</v>
          </cell>
          <cell r="U15" t="str">
            <v>收入</v>
          </cell>
          <cell r="W15" t="str">
            <v>✓</v>
          </cell>
          <cell r="X15" t="str">
            <v>√ 新客户首笔</v>
          </cell>
          <cell r="AB15">
            <v>500</v>
          </cell>
          <cell r="AC15">
            <v>0</v>
          </cell>
          <cell r="AD15">
            <v>500</v>
          </cell>
          <cell r="AJ15">
            <v>0</v>
          </cell>
          <cell r="AK15">
            <v>1</v>
          </cell>
        </row>
        <row r="16">
          <cell r="B16" t="str">
            <v>农行2896</v>
          </cell>
          <cell r="H16" t="str">
            <v>宁波绵菡电子有限公司</v>
          </cell>
          <cell r="J16" t="str">
            <v>转存</v>
          </cell>
          <cell r="N16">
            <v>46274.0</v>
          </cell>
          <cell r="O16" t="str">
            <v>中智优力</v>
          </cell>
          <cell r="P16" t="str">
            <v>宁波绵菡电子有限公司</v>
          </cell>
          <cell r="Q16" t="str">
            <v>客户</v>
          </cell>
          <cell r="T16" t="str">
            <v>新增</v>
          </cell>
          <cell r="U16" t="str">
            <v>收入</v>
          </cell>
          <cell r="W16" t="str">
            <v>✓</v>
          </cell>
          <cell r="X16" t="str">
            <v>√ 新客户首笔</v>
          </cell>
          <cell r="AB16">
            <v>3000</v>
          </cell>
          <cell r="AC16">
            <v>0</v>
          </cell>
          <cell r="AD16">
            <v>3000</v>
          </cell>
          <cell r="AJ16">
            <v>0</v>
          </cell>
          <cell r="AK16">
            <v>1</v>
          </cell>
        </row>
        <row r="17">
          <cell r="B17" t="str">
            <v>农行2896</v>
          </cell>
          <cell r="H17" t="str">
            <v>宁波猫受屋玩具有限公司</v>
          </cell>
          <cell r="J17" t="str">
            <v>转取</v>
          </cell>
          <cell r="N17">
            <v>46275.0</v>
          </cell>
          <cell r="O17" t="str">
            <v>中智优力</v>
          </cell>
          <cell r="P17" t="str">
            <v/>
          </cell>
          <cell r="Q17" t="str">
            <v/>
          </cell>
          <cell r="T17" t="str">
            <v/>
          </cell>
          <cell r="U17" t="str">
            <v/>
          </cell>
          <cell r="W17" t="str">
            <v>✓</v>
          </cell>
          <cell r="X17" t="str">
            <v>✗ 认不出：对方户名没登记，到【往来单位】加，或点「去改」手工选</v>
          </cell>
          <cell r="AB17">
            <v>0</v>
          </cell>
          <cell r="AC17">
            <v>15000.02</v>
          </cell>
          <cell r="AD17">
            <v>-15000.02</v>
          </cell>
          <cell r="AJ17">
            <v>0</v>
          </cell>
          <cell r="AK17">
            <v>0</v>
          </cell>
        </row>
        <row r="18">
          <cell r="B18" t="str">
            <v>农行2896</v>
          </cell>
          <cell r="H18" t="str">
            <v>中国农业银行股份有限公司宁波五乡支行</v>
          </cell>
          <cell r="J18" t="str">
            <v>费用外收</v>
          </cell>
          <cell r="N18">
            <v>46275.0</v>
          </cell>
          <cell r="O18" t="str">
            <v>中智优力</v>
          </cell>
          <cell r="P18" t="str">
            <v/>
          </cell>
          <cell r="Q18" t="str">
            <v/>
          </cell>
          <cell r="T18" t="str">
            <v>银行手续费</v>
          </cell>
          <cell r="U18" t="str">
            <v>变动成本</v>
          </cell>
          <cell r="W18" t="str">
            <v>✓</v>
          </cell>
          <cell r="X18" t="str">
            <v>√</v>
          </cell>
          <cell r="AB18">
            <v>0</v>
          </cell>
          <cell r="AC18">
            <v>0.9</v>
          </cell>
          <cell r="AD18">
            <v>-0.9</v>
          </cell>
          <cell r="AJ18">
            <v>0</v>
          </cell>
          <cell r="AK18">
            <v>0</v>
          </cell>
        </row>
        <row r="19">
          <cell r="B19" t="str">
            <v>农行2896</v>
          </cell>
          <cell r="H19" t="str">
            <v>核糖（宁波）文创有限公司</v>
          </cell>
          <cell r="J19" t="str">
            <v>转取</v>
          </cell>
          <cell r="N19">
            <v>46275.0</v>
          </cell>
          <cell r="O19" t="str">
            <v>中智优力</v>
          </cell>
          <cell r="P19" t="str">
            <v/>
          </cell>
          <cell r="Q19" t="str">
            <v/>
          </cell>
          <cell r="T19" t="str">
            <v/>
          </cell>
          <cell r="U19" t="str">
            <v/>
          </cell>
          <cell r="W19" t="str">
            <v>✓</v>
          </cell>
          <cell r="X19" t="str">
            <v>✗ 认不出：对方户名没登记，到【往来单位】加，或点「去改」手工选</v>
          </cell>
          <cell r="AB19">
            <v>0</v>
          </cell>
          <cell r="AC19">
            <v>8333.36</v>
          </cell>
          <cell r="AD19">
            <v>-8333.36</v>
          </cell>
          <cell r="AJ19">
            <v>0</v>
          </cell>
          <cell r="AK19">
            <v>0</v>
          </cell>
        </row>
        <row r="20">
          <cell r="B20" t="str">
            <v>农行2896</v>
          </cell>
          <cell r="H20" t="str">
            <v>中国农业银行股份有限公司宁波五乡支行</v>
          </cell>
          <cell r="J20" t="str">
            <v>费用外收</v>
          </cell>
          <cell r="N20">
            <v>46275.0</v>
          </cell>
          <cell r="O20" t="str">
            <v>中智优力</v>
          </cell>
          <cell r="P20" t="str">
            <v/>
          </cell>
          <cell r="Q20" t="str">
            <v/>
          </cell>
          <cell r="T20" t="str">
            <v>银行手续费</v>
          </cell>
          <cell r="U20" t="str">
            <v>变动成本</v>
          </cell>
          <cell r="W20" t="str">
            <v>✓</v>
          </cell>
          <cell r="X20" t="str">
            <v>√</v>
          </cell>
          <cell r="AB20">
            <v>0</v>
          </cell>
          <cell r="AC20">
            <v>0.9</v>
          </cell>
          <cell r="AD20">
            <v>-0.9</v>
          </cell>
          <cell r="AJ20">
            <v>0</v>
          </cell>
          <cell r="AK20">
            <v>0</v>
          </cell>
        </row>
        <row r="21">
          <cell r="B21" t="str">
            <v>农行2896</v>
          </cell>
          <cell r="H21" t="str">
            <v>宁波启定塑料制品有限公司</v>
          </cell>
          <cell r="J21" t="str">
            <v>转存</v>
          </cell>
          <cell r="N21">
            <v>46276.0</v>
          </cell>
          <cell r="O21" t="str">
            <v>中智优力</v>
          </cell>
          <cell r="P21" t="str">
            <v>宁波启定塑料制品有限公司</v>
          </cell>
          <cell r="Q21" t="str">
            <v>客户</v>
          </cell>
          <cell r="T21" t="str">
            <v>新增</v>
          </cell>
          <cell r="U21" t="str">
            <v>收入</v>
          </cell>
          <cell r="W21" t="str">
            <v>✓</v>
          </cell>
          <cell r="X21" t="str">
            <v>√ 新客户首笔</v>
          </cell>
          <cell r="AB21">
            <v>300</v>
          </cell>
          <cell r="AC21">
            <v>0</v>
          </cell>
          <cell r="AD21">
            <v>300</v>
          </cell>
          <cell r="AJ21">
            <v>0</v>
          </cell>
          <cell r="AK21">
            <v>1</v>
          </cell>
        </row>
        <row r="22">
          <cell r="B22" t="str">
            <v>农行2896</v>
          </cell>
          <cell r="H22" t="str">
            <v>宁波蓝空科技服务有限公司</v>
          </cell>
          <cell r="J22" t="str">
            <v>转取</v>
          </cell>
          <cell r="N22">
            <v>46276.0</v>
          </cell>
          <cell r="O22" t="str">
            <v>中智优力</v>
          </cell>
          <cell r="P22" t="str">
            <v/>
          </cell>
          <cell r="Q22" t="str">
            <v/>
          </cell>
          <cell r="T22" t="str">
            <v/>
          </cell>
          <cell r="U22" t="str">
            <v/>
          </cell>
          <cell r="W22" t="str">
            <v>✓</v>
          </cell>
          <cell r="X22" t="str">
            <v>✗ 认不出：对方户名没登记，到【往来单位】加，或点「去改」手工选</v>
          </cell>
          <cell r="AB22">
            <v>0</v>
          </cell>
          <cell r="AC22">
            <v>12600</v>
          </cell>
          <cell r="AD22">
            <v>-12600</v>
          </cell>
          <cell r="AJ22">
            <v>0</v>
          </cell>
          <cell r="AK22">
            <v>0</v>
          </cell>
        </row>
        <row r="23">
          <cell r="B23" t="str">
            <v>农行2896</v>
          </cell>
          <cell r="H23" t="str">
            <v>宁波福盟企业管理有限公司</v>
          </cell>
          <cell r="J23" t="str">
            <v>转取</v>
          </cell>
          <cell r="N23">
            <v>46276.0</v>
          </cell>
          <cell r="O23" t="str">
            <v>中智优力</v>
          </cell>
          <cell r="P23" t="str">
            <v/>
          </cell>
          <cell r="Q23" t="str">
            <v/>
          </cell>
          <cell r="T23" t="str">
            <v/>
          </cell>
          <cell r="U23" t="str">
            <v/>
          </cell>
          <cell r="W23" t="str">
            <v>✓</v>
          </cell>
          <cell r="X23" t="str">
            <v>✗ 认不出：对方户名没登记，到【往来单位】加，或点「去改」手工选</v>
          </cell>
          <cell r="AB23">
            <v>0</v>
          </cell>
          <cell r="AC23">
            <v>21670</v>
          </cell>
          <cell r="AD23">
            <v>-21670</v>
          </cell>
          <cell r="AJ23">
            <v>0</v>
          </cell>
          <cell r="AK23">
            <v>0</v>
          </cell>
        </row>
        <row r="24">
          <cell r="B24" t="str">
            <v>农行2896</v>
          </cell>
          <cell r="H24" t="str">
            <v>中国农业银行股份有限公司宁波五乡支行</v>
          </cell>
          <cell r="J24" t="str">
            <v>费用外收</v>
          </cell>
          <cell r="N24">
            <v>46276.0</v>
          </cell>
          <cell r="O24" t="str">
            <v>中智优力</v>
          </cell>
          <cell r="P24" t="str">
            <v/>
          </cell>
          <cell r="Q24" t="str">
            <v/>
          </cell>
          <cell r="T24" t="str">
            <v>银行手续费</v>
          </cell>
          <cell r="U24" t="str">
            <v>变动成本</v>
          </cell>
          <cell r="W24" t="str">
            <v>✓</v>
          </cell>
          <cell r="X24" t="str">
            <v>√</v>
          </cell>
          <cell r="AB24">
            <v>0</v>
          </cell>
          <cell r="AC24">
            <v>0.9</v>
          </cell>
          <cell r="AD24">
            <v>-0.9</v>
          </cell>
          <cell r="AJ24">
            <v>0</v>
          </cell>
          <cell r="AK24">
            <v>0</v>
          </cell>
        </row>
        <row r="25">
          <cell r="B25" t="str">
            <v>农行2896</v>
          </cell>
          <cell r="H25" t="str">
            <v>宁波佳协永立服饰有限公司</v>
          </cell>
          <cell r="J25" t="str">
            <v>转存</v>
          </cell>
          <cell r="N25">
            <v>46276.0</v>
          </cell>
          <cell r="O25" t="str">
            <v>中智优力</v>
          </cell>
          <cell r="P25" t="str">
            <v>宁波佳协永立服饰有限公司</v>
          </cell>
          <cell r="Q25" t="str">
            <v>客户</v>
          </cell>
          <cell r="T25" t="str">
            <v>新增</v>
          </cell>
          <cell r="U25" t="str">
            <v>收入</v>
          </cell>
          <cell r="W25" t="str">
            <v>✓</v>
          </cell>
          <cell r="X25" t="str">
            <v>√ 新客户首笔</v>
          </cell>
          <cell r="AB25">
            <v>54000</v>
          </cell>
          <cell r="AC25">
            <v>0</v>
          </cell>
          <cell r="AD25">
            <v>54000</v>
          </cell>
          <cell r="AJ25">
            <v>0</v>
          </cell>
          <cell r="AK25">
            <v>1</v>
          </cell>
        </row>
        <row r="26">
          <cell r="B26" t="str">
            <v>农行2896</v>
          </cell>
          <cell r="H26" t="str">
            <v/>
          </cell>
          <cell r="J26" t="str">
            <v>转取</v>
          </cell>
          <cell r="N26">
            <v>46277.0</v>
          </cell>
          <cell r="O26" t="str">
            <v>中智优力</v>
          </cell>
          <cell r="P26" t="str">
            <v/>
          </cell>
          <cell r="Q26" t="str">
            <v/>
          </cell>
          <cell r="T26" t="str">
            <v/>
          </cell>
          <cell r="U26" t="str">
            <v/>
          </cell>
          <cell r="W26" t="str">
            <v>✓</v>
          </cell>
          <cell r="X26" t="str">
            <v>✗ 请点「去改」选收支项目</v>
          </cell>
          <cell r="AB26">
            <v>0</v>
          </cell>
          <cell r="AC26">
            <v>30</v>
          </cell>
          <cell r="AD26">
            <v>-30</v>
          </cell>
          <cell r="AJ26">
            <v>0</v>
          </cell>
          <cell r="AK26">
            <v>0</v>
          </cell>
        </row>
        <row r="27">
          <cell r="B27" t="str">
            <v>农行2896</v>
          </cell>
          <cell r="H27" t="str">
            <v>宁波市鄞州烈盛电子有限公司</v>
          </cell>
          <cell r="J27" t="str">
            <v>转存</v>
          </cell>
          <cell r="N27">
            <v>46278.0</v>
          </cell>
          <cell r="O27" t="str">
            <v>中智优力</v>
          </cell>
          <cell r="P27" t="str">
            <v>宁波市鄞州烈盛电子有限公司</v>
          </cell>
          <cell r="Q27" t="str">
            <v>客户</v>
          </cell>
          <cell r="T27" t="str">
            <v>新增</v>
          </cell>
          <cell r="U27" t="str">
            <v>收入</v>
          </cell>
          <cell r="W27" t="str">
            <v>✓</v>
          </cell>
          <cell r="X27" t="str">
            <v>√ 新客户首笔</v>
          </cell>
          <cell r="AB27">
            <v>2000</v>
          </cell>
          <cell r="AC27">
            <v>0</v>
          </cell>
          <cell r="AD27">
            <v>2000</v>
          </cell>
          <cell r="AJ27">
            <v>0</v>
          </cell>
          <cell r="AK27">
            <v>1</v>
          </cell>
        </row>
        <row r="28">
          <cell r="B28" t="str">
            <v>农行2896</v>
          </cell>
          <cell r="H28" t="str">
            <v>宁波盛晞钛金科技有限公司</v>
          </cell>
          <cell r="J28" t="str">
            <v>转存</v>
          </cell>
          <cell r="N28">
            <v>46278.0</v>
          </cell>
          <cell r="O28" t="str">
            <v>中智优力</v>
          </cell>
          <cell r="P28" t="str">
            <v>宁波盛晞钛金科技有限公司</v>
          </cell>
          <cell r="Q28" t="str">
            <v>客户</v>
          </cell>
          <cell r="T28" t="str">
            <v>新增</v>
          </cell>
          <cell r="U28" t="str">
            <v>收入</v>
          </cell>
          <cell r="W28" t="str">
            <v>✓</v>
          </cell>
          <cell r="X28" t="str">
            <v>√ 新客户首笔</v>
          </cell>
          <cell r="AB28">
            <v>1000</v>
          </cell>
          <cell r="AC28">
            <v>0</v>
          </cell>
          <cell r="AD28">
            <v>1000</v>
          </cell>
          <cell r="AJ28">
            <v>0</v>
          </cell>
          <cell r="AK28">
            <v>1</v>
          </cell>
        </row>
        <row r="29">
          <cell r="B29" t="str">
            <v>农行2896</v>
          </cell>
          <cell r="H29" t="str">
            <v>待报解预算收入－国库信息处理系统扣税</v>
          </cell>
          <cell r="J29" t="str">
            <v>公共缴费</v>
          </cell>
          <cell r="N29">
            <v>46278.0</v>
          </cell>
          <cell r="O29" t="str">
            <v>中智优力</v>
          </cell>
          <cell r="P29" t="str">
            <v>国库（税款）</v>
          </cell>
          <cell r="Q29" t="str">
            <v>税务银行</v>
          </cell>
          <cell r="T29" t="str">
            <v>税金</v>
          </cell>
          <cell r="U29" t="str">
            <v>变动成本</v>
          </cell>
          <cell r="W29" t="str">
            <v>✓</v>
          </cell>
          <cell r="X29" t="str">
            <v>⚠ 税务扣款默认算税金：是社保（挂靠）的点「去改」改</v>
          </cell>
          <cell r="AB29">
            <v>0</v>
          </cell>
          <cell r="AC29">
            <v>790.77</v>
          </cell>
          <cell r="AD29">
            <v>-790.77</v>
          </cell>
          <cell r="AJ29">
            <v>0</v>
          </cell>
          <cell r="AK29">
            <v>0</v>
          </cell>
        </row>
        <row r="30">
          <cell r="B30" t="str">
            <v>农行2896</v>
          </cell>
          <cell r="H30" t="str">
            <v>待报解预算收入－国库信息处理系统扣税</v>
          </cell>
          <cell r="J30" t="str">
            <v>公共缴费</v>
          </cell>
          <cell r="N30">
            <v>46278.0</v>
          </cell>
          <cell r="O30" t="str">
            <v>中智优力</v>
          </cell>
          <cell r="P30" t="str">
            <v>国库（税款）</v>
          </cell>
          <cell r="Q30" t="str">
            <v>税务银行</v>
          </cell>
          <cell r="T30" t="str">
            <v>税金</v>
          </cell>
          <cell r="U30" t="str">
            <v>变动成本</v>
          </cell>
          <cell r="W30" t="str">
            <v>✓</v>
          </cell>
          <cell r="X30" t="str">
            <v>⚠ 税务扣款默认算税金：是社保（挂靠）的点「去改」改</v>
          </cell>
          <cell r="AB30">
            <v>0</v>
          </cell>
          <cell r="AC30">
            <v>21370</v>
          </cell>
          <cell r="AD30">
            <v>-21370</v>
          </cell>
          <cell r="AJ30">
            <v>0</v>
          </cell>
          <cell r="AK30">
            <v>0</v>
          </cell>
        </row>
        <row r="31">
          <cell r="B31" t="str">
            <v>农行2896</v>
          </cell>
          <cell r="H31" t="str">
            <v>宁波市华方塑料机械制造有限公司</v>
          </cell>
          <cell r="J31" t="str">
            <v>转存</v>
          </cell>
          <cell r="N31">
            <v>46279.0</v>
          </cell>
          <cell r="O31" t="str">
            <v>中智优力</v>
          </cell>
          <cell r="P31" t="str">
            <v>宁波市华方塑料机械制造有限公司</v>
          </cell>
          <cell r="Q31" t="str">
            <v>客户</v>
          </cell>
          <cell r="T31" t="str">
            <v>新增</v>
          </cell>
          <cell r="U31" t="str">
            <v>收入</v>
          </cell>
          <cell r="W31" t="str">
            <v>✓</v>
          </cell>
          <cell r="X31" t="str">
            <v>√ 新客户首笔</v>
          </cell>
          <cell r="AB31">
            <v>10000</v>
          </cell>
          <cell r="AC31">
            <v>0</v>
          </cell>
          <cell r="AD31">
            <v>10000</v>
          </cell>
          <cell r="AJ31">
            <v>0</v>
          </cell>
          <cell r="AK31">
            <v>1</v>
          </cell>
        </row>
        <row r="32">
          <cell r="B32" t="str">
            <v>农行2896</v>
          </cell>
          <cell r="H32" t="str">
            <v>宁波恒世通实业有限公司</v>
          </cell>
          <cell r="J32" t="str">
            <v>转存</v>
          </cell>
          <cell r="N32">
            <v>46279.0</v>
          </cell>
          <cell r="O32" t="str">
            <v>中智优力</v>
          </cell>
          <cell r="P32" t="str">
            <v>宁波恒世通实业有限公司</v>
          </cell>
          <cell r="Q32" t="str">
            <v>客户</v>
          </cell>
          <cell r="T32" t="str">
            <v>新增</v>
          </cell>
          <cell r="U32" t="str">
            <v>收入</v>
          </cell>
          <cell r="W32" t="str">
            <v>✓</v>
          </cell>
          <cell r="X32" t="str">
            <v>√ 新客户首笔</v>
          </cell>
          <cell r="AB32">
            <v>6000</v>
          </cell>
          <cell r="AC32">
            <v>0</v>
          </cell>
          <cell r="AD32">
            <v>6000</v>
          </cell>
          <cell r="AJ32">
            <v>0</v>
          </cell>
          <cell r="AK32">
            <v>1</v>
          </cell>
        </row>
        <row r="33">
          <cell r="B33" t="str">
            <v>鄞州农商9654</v>
          </cell>
          <cell r="H33" t="str">
            <v>宁波市注册税务师协会</v>
          </cell>
          <cell r="J33" t="str">
            <v>会费</v>
          </cell>
          <cell r="N33">
            <v>46182.0</v>
          </cell>
          <cell r="O33" t="str">
            <v>中慧优力</v>
          </cell>
          <cell r="P33" t="str">
            <v/>
          </cell>
          <cell r="Q33" t="str">
            <v/>
          </cell>
          <cell r="T33" t="str">
            <v/>
          </cell>
          <cell r="U33" t="str">
            <v/>
          </cell>
          <cell r="W33" t="str">
            <v>✓</v>
          </cell>
          <cell r="X33" t="str">
            <v>✗ 认不出：对方户名没登记，到【往来单位】加，或点「去改」手工选</v>
          </cell>
          <cell r="AB33">
            <v>0</v>
          </cell>
          <cell r="AC33">
            <v>3480</v>
          </cell>
          <cell r="AD33">
            <v>-3480</v>
          </cell>
          <cell r="AJ33">
            <v>0</v>
          </cell>
          <cell r="AK33">
            <v>0</v>
          </cell>
        </row>
        <row r="34">
          <cell r="B34" t="str">
            <v>鄞州农商9654</v>
          </cell>
          <cell r="H34" t="str">
            <v>待报解预算收入（全国财税关库银横向联网财税）</v>
          </cell>
          <cell r="J34" t="str">
            <v>社保</v>
          </cell>
          <cell r="N34">
            <v>46185.0</v>
          </cell>
          <cell r="O34" t="str">
            <v>中慧优力</v>
          </cell>
          <cell r="P34" t="str">
            <v/>
          </cell>
          <cell r="Q34" t="str">
            <v/>
          </cell>
          <cell r="T34" t="str">
            <v>人工-社保</v>
          </cell>
          <cell r="U34" t="str">
            <v>变动成本</v>
          </cell>
          <cell r="W34" t="str">
            <v>✓</v>
          </cell>
          <cell r="X34" t="str">
            <v>√</v>
          </cell>
          <cell r="AB34">
            <v>0</v>
          </cell>
          <cell r="AC34">
            <v>13091.94</v>
          </cell>
          <cell r="AD34">
            <v>-13091.94</v>
          </cell>
          <cell r="AJ34">
            <v>0</v>
          </cell>
          <cell r="AK34">
            <v>0</v>
          </cell>
        </row>
        <row r="35">
          <cell r="B35" t="str">
            <v>鄞州农商9654</v>
          </cell>
          <cell r="H35" t="str">
            <v>宁波恒世通实业有限公司</v>
          </cell>
          <cell r="J35" t="str">
            <v>财务服务费25.6.1-27.5.31</v>
          </cell>
          <cell r="N35">
            <v>46188.0</v>
          </cell>
          <cell r="O35" t="str">
            <v>中慧优力</v>
          </cell>
          <cell r="P35" t="str">
            <v>宁波恒世通实业有限公司</v>
          </cell>
          <cell r="Q35" t="str">
            <v>客户</v>
          </cell>
          <cell r="T35" t="str">
            <v>新增</v>
          </cell>
          <cell r="U35" t="str">
            <v>收入</v>
          </cell>
          <cell r="W35" t="str">
            <v>✓</v>
          </cell>
          <cell r="X35" t="str">
            <v>√ 新客户首笔</v>
          </cell>
          <cell r="AB35">
            <v>50000</v>
          </cell>
          <cell r="AC35">
            <v>0</v>
          </cell>
          <cell r="AD35">
            <v>50000</v>
          </cell>
          <cell r="AJ35">
            <v>0</v>
          </cell>
          <cell r="AK35">
            <v>1</v>
          </cell>
        </row>
        <row r="36">
          <cell r="B36" t="str">
            <v>鄞州农商9654</v>
          </cell>
          <cell r="H36" t="str">
            <v>王艳鹭</v>
          </cell>
          <cell r="J36" t="str">
            <v>工资</v>
          </cell>
          <cell r="N36">
            <v>46191.0</v>
          </cell>
          <cell r="O36" t="str">
            <v>中慧优力</v>
          </cell>
          <cell r="P36" t="str">
            <v/>
          </cell>
          <cell r="Q36" t="str">
            <v/>
          </cell>
          <cell r="T36" t="str">
            <v>人工-工资</v>
          </cell>
          <cell r="U36" t="str">
            <v>变动成本</v>
          </cell>
          <cell r="W36" t="str">
            <v>✓</v>
          </cell>
          <cell r="X36" t="str">
            <v>√</v>
          </cell>
          <cell r="AB36">
            <v>0</v>
          </cell>
          <cell r="AC36">
            <v>4305</v>
          </cell>
          <cell r="AD36">
            <v>-4305</v>
          </cell>
          <cell r="AJ36">
            <v>0</v>
          </cell>
          <cell r="AK36">
            <v>0</v>
          </cell>
        </row>
        <row r="37">
          <cell r="B37" t="str">
            <v>鄞州农商9654</v>
          </cell>
          <cell r="H37" t="str">
            <v>杨姣波</v>
          </cell>
          <cell r="J37" t="str">
            <v>工资</v>
          </cell>
          <cell r="N37">
            <v>46191.0</v>
          </cell>
          <cell r="O37" t="str">
            <v>中慧优力</v>
          </cell>
          <cell r="P37" t="str">
            <v/>
          </cell>
          <cell r="Q37" t="str">
            <v/>
          </cell>
          <cell r="T37" t="str">
            <v>人工-工资</v>
          </cell>
          <cell r="U37" t="str">
            <v>变动成本</v>
          </cell>
          <cell r="W37" t="str">
            <v>✓</v>
          </cell>
          <cell r="X37" t="str">
            <v>√</v>
          </cell>
          <cell r="AB37">
            <v>0</v>
          </cell>
          <cell r="AC37">
            <v>3976.47</v>
          </cell>
          <cell r="AD37">
            <v>-3976.47</v>
          </cell>
          <cell r="AJ37">
            <v>0</v>
          </cell>
          <cell r="AK37">
            <v>0</v>
          </cell>
        </row>
        <row r="38">
          <cell r="B38" t="str">
            <v>鄞州农商9654</v>
          </cell>
          <cell r="H38" t="str">
            <v>汪优丽</v>
          </cell>
          <cell r="J38" t="str">
            <v>工资</v>
          </cell>
          <cell r="N38">
            <v>46191.0</v>
          </cell>
          <cell r="O38" t="str">
            <v>中慧优力</v>
          </cell>
          <cell r="P38" t="str">
            <v/>
          </cell>
          <cell r="Q38" t="str">
            <v/>
          </cell>
          <cell r="T38" t="str">
            <v>人工-工资</v>
          </cell>
          <cell r="U38" t="str">
            <v>变动成本</v>
          </cell>
          <cell r="W38" t="str">
            <v>✓</v>
          </cell>
          <cell r="X38" t="str">
            <v>√</v>
          </cell>
          <cell r="AB38">
            <v>0</v>
          </cell>
          <cell r="AC38">
            <v>10493.35</v>
          </cell>
          <cell r="AD38">
            <v>-10493.35</v>
          </cell>
          <cell r="AJ38">
            <v>0</v>
          </cell>
          <cell r="AK38">
            <v>0</v>
          </cell>
        </row>
        <row r="39">
          <cell r="B39" t="str">
            <v>鄞州农商9654</v>
          </cell>
          <cell r="H39" t="str">
            <v>宁波市住房公积金管理中心</v>
          </cell>
          <cell r="J39" t="str">
            <v>3320016000HCHC1994329,宁波市住房公积金管理中代扣</v>
          </cell>
          <cell r="N39">
            <v>46192.0</v>
          </cell>
          <cell r="O39" t="str">
            <v>中慧优力</v>
          </cell>
          <cell r="P39" t="str">
            <v/>
          </cell>
          <cell r="Q39" t="str">
            <v/>
          </cell>
          <cell r="T39" t="str">
            <v>人工-社保</v>
          </cell>
          <cell r="U39" t="str">
            <v>变动成本</v>
          </cell>
          <cell r="W39" t="str">
            <v>✓</v>
          </cell>
          <cell r="X39" t="str">
            <v>√</v>
          </cell>
          <cell r="AB39">
            <v>0</v>
          </cell>
          <cell r="AC39">
            <v>3266</v>
          </cell>
          <cell r="AD39">
            <v>-3266</v>
          </cell>
          <cell r="AJ39">
            <v>0</v>
          </cell>
          <cell r="AK39">
            <v>0</v>
          </cell>
        </row>
        <row r="40">
          <cell r="B40" t="str">
            <v>鄞州农商9654</v>
          </cell>
          <cell r="H40" t="str">
            <v>单位活期存款应计付利息</v>
          </cell>
          <cell r="J40" t="str">
            <v>季度结息</v>
          </cell>
          <cell r="N40">
            <v>46194.0</v>
          </cell>
          <cell r="O40" t="str">
            <v>中慧优力</v>
          </cell>
          <cell r="P40" t="str">
            <v/>
          </cell>
          <cell r="Q40" t="str">
            <v/>
          </cell>
          <cell r="T40" t="str">
            <v>其他收入</v>
          </cell>
          <cell r="U40" t="str">
            <v>收入</v>
          </cell>
          <cell r="W40" t="str">
            <v>✓</v>
          </cell>
          <cell r="X40" t="str">
            <v>√</v>
          </cell>
          <cell r="AB40">
            <v>5.45</v>
          </cell>
          <cell r="AC40">
            <v>0</v>
          </cell>
          <cell r="AD40">
            <v>5.45</v>
          </cell>
          <cell r="AJ40">
            <v>0</v>
          </cell>
          <cell r="AK40">
            <v>1</v>
          </cell>
        </row>
        <row r="41">
          <cell r="B41" t="str">
            <v>鄞州农商9654</v>
          </cell>
          <cell r="H41" t="str">
            <v>宁波市鄞州钱路新材料有限公司</v>
          </cell>
          <cell r="J41" t="str">
            <v>代理费</v>
          </cell>
          <cell r="N41">
            <v>46199.0</v>
          </cell>
          <cell r="O41" t="str">
            <v>中慧优力</v>
          </cell>
          <cell r="P41" t="str">
            <v>宁波市鄞州钱路新材料有限公司</v>
          </cell>
          <cell r="Q41" t="str">
            <v>客户</v>
          </cell>
          <cell r="T41" t="str">
            <v>新增</v>
          </cell>
          <cell r="U41" t="str">
            <v>收入</v>
          </cell>
          <cell r="W41" t="str">
            <v>✓</v>
          </cell>
          <cell r="X41" t="str">
            <v>√ 新客户首笔</v>
          </cell>
          <cell r="AB41">
            <v>16800</v>
          </cell>
          <cell r="AC41">
            <v>0</v>
          </cell>
          <cell r="AD41">
            <v>16800</v>
          </cell>
          <cell r="AJ41">
            <v>0</v>
          </cell>
          <cell r="AK41">
            <v>1</v>
          </cell>
        </row>
        <row r="42">
          <cell r="B42" t="str">
            <v>农行8240</v>
          </cell>
          <cell r="H42" t="str">
            <v>待报解预算收入－国库信息处理系统扣税</v>
          </cell>
          <cell r="J42" t="str">
            <v>公共缴费</v>
          </cell>
          <cell r="N42">
            <v>46213.0</v>
          </cell>
          <cell r="O42" t="str">
            <v>优茗</v>
          </cell>
          <cell r="P42" t="str">
            <v>国库（税款）</v>
          </cell>
          <cell r="Q42" t="str">
            <v>税务银行</v>
          </cell>
          <cell r="T42" t="str">
            <v>税金</v>
          </cell>
          <cell r="U42" t="str">
            <v>变动成本</v>
          </cell>
          <cell r="W42" t="str">
            <v>✓</v>
          </cell>
          <cell r="X42" t="str">
            <v>⚠ 税务扣款默认算税金：是社保（挂靠）的点「去改」改</v>
          </cell>
          <cell r="AB42">
            <v>0</v>
          </cell>
          <cell r="AC42">
            <v>1789.97</v>
          </cell>
          <cell r="AD42">
            <v>-1789.97</v>
          </cell>
          <cell r="AJ42">
            <v>0</v>
          </cell>
          <cell r="AK42">
            <v>0</v>
          </cell>
        </row>
        <row r="43">
          <cell r="B43" t="str">
            <v>农行8240</v>
          </cell>
          <cell r="H43" t="str">
            <v>中智优力（宁波）财务咨询有限公司</v>
          </cell>
          <cell r="J43" t="str">
            <v>转存</v>
          </cell>
          <cell r="N43">
            <v>46234.0</v>
          </cell>
          <cell r="O43" t="str">
            <v>优茗</v>
          </cell>
          <cell r="P43" t="str">
            <v>中智优力</v>
          </cell>
          <cell r="Q43" t="str">
            <v>内部公司</v>
          </cell>
          <cell r="T43" t="str">
            <v>内部划转</v>
          </cell>
          <cell r="U43" t="str">
            <v>内部划转</v>
          </cell>
          <cell r="W43" t="str">
            <v>✓</v>
          </cell>
          <cell r="X43" t="str">
            <v>√</v>
          </cell>
          <cell r="AB43">
            <v>11000</v>
          </cell>
          <cell r="AC43">
            <v>0</v>
          </cell>
          <cell r="AD43">
            <v>11000</v>
          </cell>
          <cell r="AJ43">
            <v>0</v>
          </cell>
          <cell r="AK43">
            <v>1</v>
          </cell>
        </row>
        <row r="44">
          <cell r="B44" t="str">
            <v>农行8240</v>
          </cell>
          <cell r="H44" t="str">
            <v>中智优力（宁波）财务咨询有限公司</v>
          </cell>
          <cell r="J44" t="str">
            <v>转存</v>
          </cell>
          <cell r="N44">
            <v>46237.0</v>
          </cell>
          <cell r="O44" t="str">
            <v>优茗</v>
          </cell>
          <cell r="P44" t="str">
            <v>中智优力</v>
          </cell>
          <cell r="Q44" t="str">
            <v>内部公司</v>
          </cell>
          <cell r="T44" t="str">
            <v>内部划转</v>
          </cell>
          <cell r="U44" t="str">
            <v>内部划转</v>
          </cell>
          <cell r="W44" t="str">
            <v>✓</v>
          </cell>
          <cell r="X44" t="str">
            <v>√</v>
          </cell>
          <cell r="AB44">
            <v>1000000</v>
          </cell>
          <cell r="AC44">
            <v>0</v>
          </cell>
          <cell r="AD44">
            <v>1000000</v>
          </cell>
          <cell r="AJ44">
            <v>0</v>
          </cell>
          <cell r="AK44">
            <v>1</v>
          </cell>
        </row>
        <row r="45">
          <cell r="B45" t="str">
            <v>农行8240</v>
          </cell>
          <cell r="H45" t="str">
            <v>中智优力（宁波）财务咨询有限公司</v>
          </cell>
          <cell r="J45" t="str">
            <v>转取</v>
          </cell>
          <cell r="N45">
            <v>46240.0</v>
          </cell>
          <cell r="O45" t="str">
            <v>优茗</v>
          </cell>
          <cell r="P45" t="str">
            <v>中智优力</v>
          </cell>
          <cell r="Q45" t="str">
            <v>内部公司</v>
          </cell>
          <cell r="T45" t="str">
            <v>内部划转</v>
          </cell>
          <cell r="U45" t="str">
            <v>内部划转</v>
          </cell>
          <cell r="W45" t="str">
            <v>✓</v>
          </cell>
          <cell r="X45" t="str">
            <v>√</v>
          </cell>
          <cell r="AB45">
            <v>0</v>
          </cell>
          <cell r="AC45">
            <v>1000000</v>
          </cell>
          <cell r="AD45">
            <v>-1000000</v>
          </cell>
          <cell r="AJ45">
            <v>0</v>
          </cell>
          <cell r="AK45">
            <v>1</v>
          </cell>
        </row>
        <row r="46">
          <cell r="B46" t="str">
            <v>农行8240</v>
          </cell>
          <cell r="H46" t="str">
            <v>中智优力（宁波）财务咨询有限公司</v>
          </cell>
          <cell r="J46" t="str">
            <v>转存</v>
          </cell>
          <cell r="N46">
            <v>46245.0</v>
          </cell>
          <cell r="O46" t="str">
            <v>优茗</v>
          </cell>
          <cell r="P46" t="str">
            <v>中智优力</v>
          </cell>
          <cell r="Q46" t="str">
            <v>内部公司</v>
          </cell>
          <cell r="T46" t="str">
            <v>内部划转</v>
          </cell>
          <cell r="U46" t="str">
            <v>内部划转</v>
          </cell>
          <cell r="W46" t="str">
            <v>✓</v>
          </cell>
          <cell r="X46" t="str">
            <v>√</v>
          </cell>
          <cell r="AB46">
            <v>500000</v>
          </cell>
          <cell r="AC46">
            <v>0</v>
          </cell>
          <cell r="AD46">
            <v>500000</v>
          </cell>
          <cell r="AJ46">
            <v>0</v>
          </cell>
          <cell r="AK46">
            <v>1</v>
          </cell>
        </row>
        <row r="47">
          <cell r="B47" t="str">
            <v>农行8240</v>
          </cell>
          <cell r="H47" t="str">
            <v>中智优力（宁波）财务咨询有限公司</v>
          </cell>
          <cell r="J47" t="str">
            <v>转存</v>
          </cell>
          <cell r="N47">
            <v>46245.0</v>
          </cell>
          <cell r="O47" t="str">
            <v>优茗</v>
          </cell>
          <cell r="P47" t="str">
            <v>中智优力</v>
          </cell>
          <cell r="Q47" t="str">
            <v>内部公司</v>
          </cell>
          <cell r="T47" t="str">
            <v>内部划转</v>
          </cell>
          <cell r="U47" t="str">
            <v>内部划转</v>
          </cell>
          <cell r="W47" t="str">
            <v>✓</v>
          </cell>
          <cell r="X47" t="str">
            <v>√</v>
          </cell>
          <cell r="AB47">
            <v>500000</v>
          </cell>
          <cell r="AC47">
            <v>0</v>
          </cell>
          <cell r="AD47">
            <v>500000</v>
          </cell>
          <cell r="AJ47">
            <v>0</v>
          </cell>
          <cell r="AK47">
            <v>1</v>
          </cell>
        </row>
        <row r="48">
          <cell r="B48" t="str">
            <v>农行8240</v>
          </cell>
          <cell r="H48" t="str">
            <v>汪优君</v>
          </cell>
          <cell r="J48" t="str">
            <v>转取</v>
          </cell>
          <cell r="N48">
            <v>46245.0</v>
          </cell>
          <cell r="O48" t="str">
            <v>优茗</v>
          </cell>
          <cell r="P48" t="str">
            <v/>
          </cell>
          <cell r="Q48" t="str">
            <v/>
          </cell>
          <cell r="T48" t="str">
            <v/>
          </cell>
          <cell r="U48" t="str">
            <v/>
          </cell>
          <cell r="W48" t="str">
            <v>✓</v>
          </cell>
          <cell r="X48" t="str">
            <v>✗ 认不出：对方户名没登记，到【往来单位】加，或点「去改」手工选</v>
          </cell>
          <cell r="AB48">
            <v>0</v>
          </cell>
          <cell r="AC48">
            <v>1000000</v>
          </cell>
          <cell r="AD48">
            <v>-1000000</v>
          </cell>
          <cell r="AJ48">
            <v>0</v>
          </cell>
          <cell r="AK48">
            <v>0</v>
          </cell>
        </row>
        <row r="49">
          <cell r="B49" t="str">
            <v>农行8240</v>
          </cell>
          <cell r="H49" t="str">
            <v>中国农业银行股份有限公司宁波五乡支行</v>
          </cell>
          <cell r="J49" t="str">
            <v>费用外收</v>
          </cell>
          <cell r="N49">
            <v>46245.0</v>
          </cell>
          <cell r="O49" t="str">
            <v>优茗</v>
          </cell>
          <cell r="P49" t="str">
            <v/>
          </cell>
          <cell r="Q49" t="str">
            <v/>
          </cell>
          <cell r="T49" t="str">
            <v>银行手续费</v>
          </cell>
          <cell r="U49" t="str">
            <v>变动成本</v>
          </cell>
          <cell r="W49" t="str">
            <v>✓</v>
          </cell>
          <cell r="X49" t="str">
            <v>√</v>
          </cell>
          <cell r="AB49">
            <v>0</v>
          </cell>
          <cell r="AC49">
            <v>1</v>
          </cell>
          <cell r="AD49">
            <v>-1</v>
          </cell>
          <cell r="AJ49">
            <v>0</v>
          </cell>
          <cell r="AK49">
            <v>0</v>
          </cell>
        </row>
        <row r="50">
          <cell r="B50" t="str">
            <v>农行8240</v>
          </cell>
          <cell r="H50" t="str">
            <v>待报解预算收入－国库信息处理系统扣税</v>
          </cell>
          <cell r="J50" t="str">
            <v>公共缴费</v>
          </cell>
          <cell r="N50">
            <v>46245.0</v>
          </cell>
          <cell r="O50" t="str">
            <v>优茗</v>
          </cell>
          <cell r="P50" t="str">
            <v>国库（税款）</v>
          </cell>
          <cell r="Q50" t="str">
            <v>税务银行</v>
          </cell>
          <cell r="T50" t="str">
            <v>税金</v>
          </cell>
          <cell r="U50" t="str">
            <v>变动成本</v>
          </cell>
          <cell r="W50" t="str">
            <v>✓</v>
          </cell>
          <cell r="X50" t="str">
            <v>⚠ 税务扣款默认算税金：是社保（挂靠）的点「去改」改</v>
          </cell>
          <cell r="AB50">
            <v>0</v>
          </cell>
          <cell r="AC50">
            <v>1789.97</v>
          </cell>
          <cell r="AD50">
            <v>-1789.97</v>
          </cell>
          <cell r="AJ50">
            <v>0</v>
          </cell>
          <cell r="AK50">
            <v>0</v>
          </cell>
        </row>
        <row r="51">
          <cell r="B51" t="str">
            <v>农行8240</v>
          </cell>
          <cell r="H51" t="str">
            <v>待报解预算收入－国库信息处理系统扣税</v>
          </cell>
          <cell r="J51" t="str">
            <v>公共缴费</v>
          </cell>
          <cell r="N51">
            <v>46279.0</v>
          </cell>
          <cell r="O51" t="str">
            <v>优茗</v>
          </cell>
          <cell r="P51" t="str">
            <v>国库（税款）</v>
          </cell>
          <cell r="Q51" t="str">
            <v>税务银行</v>
          </cell>
          <cell r="T51" t="str">
            <v>税金</v>
          </cell>
          <cell r="U51" t="str">
            <v>变动成本</v>
          </cell>
          <cell r="W51" t="str">
            <v>✓</v>
          </cell>
          <cell r="X51" t="str">
            <v>⚠ 税务扣款默认算税金：是社保（挂靠）的点「去改」改</v>
          </cell>
          <cell r="AB51">
            <v>0</v>
          </cell>
          <cell r="AC51">
            <v>1789.97</v>
          </cell>
          <cell r="AD51">
            <v>-1789.97</v>
          </cell>
          <cell r="AJ51">
            <v>0</v>
          </cell>
          <cell r="AK51">
            <v>0</v>
          </cell>
        </row>
        <row r="52">
          <cell r="B52" t="str">
            <v>农行7705</v>
          </cell>
          <cell r="H52" t="str">
            <v>上海康驻达科技有限公司</v>
          </cell>
          <cell r="J52" t="str">
            <v>转存</v>
          </cell>
          <cell r="N52">
            <v>46178.0</v>
          </cell>
          <cell r="O52" t="str">
            <v>琴馨</v>
          </cell>
          <cell r="P52" t="str">
            <v>上海康驻达科技有限公司</v>
          </cell>
          <cell r="Q52" t="str">
            <v>客户</v>
          </cell>
          <cell r="T52" t="str">
            <v>新增</v>
          </cell>
          <cell r="U52" t="str">
            <v>收入</v>
          </cell>
          <cell r="W52" t="str">
            <v>✓</v>
          </cell>
          <cell r="X52" t="str">
            <v>√ 新客户首笔</v>
          </cell>
          <cell r="AB52">
            <v>46000</v>
          </cell>
          <cell r="AC52">
            <v>0</v>
          </cell>
          <cell r="AD52">
            <v>46000</v>
          </cell>
          <cell r="AJ52">
            <v>0</v>
          </cell>
          <cell r="AK52">
            <v>1</v>
          </cell>
        </row>
        <row r="53">
          <cell r="B53" t="str">
            <v>农行7705</v>
          </cell>
          <cell r="H53" t="str">
            <v>思佰科（宁波）工程服务有限公司</v>
          </cell>
          <cell r="J53" t="str">
            <v>转存</v>
          </cell>
          <cell r="N53">
            <v>46181.0</v>
          </cell>
          <cell r="O53" t="str">
            <v>琴馨</v>
          </cell>
          <cell r="P53" t="str">
            <v>思佰科（宁波）工程服务有限公司</v>
          </cell>
          <cell r="Q53" t="str">
            <v>客户</v>
          </cell>
          <cell r="T53" t="str">
            <v>新增</v>
          </cell>
          <cell r="U53" t="str">
            <v>收入</v>
          </cell>
          <cell r="W53" t="str">
            <v>✓</v>
          </cell>
          <cell r="X53" t="str">
            <v>√ 新客户首笔</v>
          </cell>
          <cell r="AB53">
            <v>2000</v>
          </cell>
          <cell r="AC53">
            <v>0</v>
          </cell>
          <cell r="AD53">
            <v>2000</v>
          </cell>
          <cell r="AJ53">
            <v>0</v>
          </cell>
          <cell r="AK53">
            <v>1</v>
          </cell>
        </row>
        <row r="54">
          <cell r="B54" t="str">
            <v>农行7705</v>
          </cell>
          <cell r="H54" t="str">
            <v>待报解预算收入－国库信息处理系统扣税</v>
          </cell>
          <cell r="J54" t="str">
            <v>公共缴费</v>
          </cell>
          <cell r="N54">
            <v>46185.0</v>
          </cell>
          <cell r="O54" t="str">
            <v>琴馨</v>
          </cell>
          <cell r="P54" t="str">
            <v>国库（税款）</v>
          </cell>
          <cell r="Q54" t="str">
            <v>税务银行</v>
          </cell>
          <cell r="T54" t="str">
            <v>税金</v>
          </cell>
          <cell r="U54" t="str">
            <v>变动成本</v>
          </cell>
          <cell r="W54" t="str">
            <v>✓</v>
          </cell>
          <cell r="X54" t="str">
            <v>⚠ 税务扣款默认算税金：是社保（挂靠）的点「去改」改</v>
          </cell>
          <cell r="AB54">
            <v>0</v>
          </cell>
          <cell r="AC54">
            <v>5350</v>
          </cell>
          <cell r="AD54">
            <v>-5350</v>
          </cell>
          <cell r="AJ54">
            <v>0</v>
          </cell>
          <cell r="AK54">
            <v>0</v>
          </cell>
        </row>
        <row r="55">
          <cell r="B55" t="str">
            <v>农行7705</v>
          </cell>
          <cell r="H55" t="str">
            <v>王琴</v>
          </cell>
          <cell r="J55" t="str">
            <v>转取</v>
          </cell>
          <cell r="N55">
            <v>46191.0</v>
          </cell>
          <cell r="O55" t="str">
            <v>琴馨</v>
          </cell>
          <cell r="P55" t="str">
            <v/>
          </cell>
          <cell r="Q55" t="str">
            <v/>
          </cell>
          <cell r="T55" t="str">
            <v/>
          </cell>
          <cell r="U55" t="str">
            <v/>
          </cell>
          <cell r="W55" t="str">
            <v>✓</v>
          </cell>
          <cell r="X55" t="str">
            <v>✗ 认不出：对方户名没登记，到【往来单位】加，或点「去改」手工选</v>
          </cell>
          <cell r="AB55">
            <v>0</v>
          </cell>
          <cell r="AC55">
            <v>8969.44</v>
          </cell>
          <cell r="AD55">
            <v>-8969.44</v>
          </cell>
          <cell r="AJ55">
            <v>0</v>
          </cell>
          <cell r="AK55">
            <v>0</v>
          </cell>
        </row>
        <row r="56">
          <cell r="B56" t="str">
            <v>农行7705</v>
          </cell>
          <cell r="H56" t="str">
            <v>雷鸣</v>
          </cell>
          <cell r="J56" t="str">
            <v>转取</v>
          </cell>
          <cell r="N56">
            <v>46191.0</v>
          </cell>
          <cell r="O56" t="str">
            <v>琴馨</v>
          </cell>
          <cell r="P56" t="str">
            <v/>
          </cell>
          <cell r="Q56" t="str">
            <v/>
          </cell>
          <cell r="T56" t="str">
            <v/>
          </cell>
          <cell r="U56" t="str">
            <v/>
          </cell>
          <cell r="W56" t="str">
            <v>✓</v>
          </cell>
          <cell r="X56" t="str">
            <v>✗ 认不出：对方户名没登记，到【往来单位】加，或点「去改」手工选</v>
          </cell>
          <cell r="AB56">
            <v>0</v>
          </cell>
          <cell r="AC56">
            <v>8825</v>
          </cell>
          <cell r="AD56">
            <v>-8825</v>
          </cell>
          <cell r="AJ56">
            <v>0</v>
          </cell>
          <cell r="AK56">
            <v>0</v>
          </cell>
        </row>
        <row r="57">
          <cell r="B57" t="str">
            <v>农行7705</v>
          </cell>
          <cell r="H57" t="str">
            <v>宁波市住房公积金管理中心</v>
          </cell>
          <cell r="J57" t="str">
            <v>公共缴费</v>
          </cell>
          <cell r="N57">
            <v>46192.0</v>
          </cell>
          <cell r="O57" t="str">
            <v>琴馨</v>
          </cell>
          <cell r="P57" t="str">
            <v/>
          </cell>
          <cell r="Q57" t="str">
            <v/>
          </cell>
          <cell r="T57" t="str">
            <v>人工-社保</v>
          </cell>
          <cell r="U57" t="str">
            <v>变动成本</v>
          </cell>
          <cell r="W57" t="str">
            <v>✓</v>
          </cell>
          <cell r="X57" t="str">
            <v>√</v>
          </cell>
          <cell r="AB57">
            <v>0</v>
          </cell>
          <cell r="AC57">
            <v>500</v>
          </cell>
          <cell r="AD57">
            <v>-500</v>
          </cell>
          <cell r="AJ57">
            <v>0</v>
          </cell>
          <cell r="AK57">
            <v>0</v>
          </cell>
        </row>
        <row r="58">
          <cell r="B58" t="str">
            <v>农行7705</v>
          </cell>
          <cell r="H58" t="str">
            <v/>
          </cell>
          <cell r="J58" t="str">
            <v>批量结息</v>
          </cell>
          <cell r="N58">
            <v>46194.0</v>
          </cell>
          <cell r="O58" t="str">
            <v>琴馨</v>
          </cell>
          <cell r="P58" t="str">
            <v/>
          </cell>
          <cell r="Q58" t="str">
            <v/>
          </cell>
          <cell r="T58" t="str">
            <v>其他收入</v>
          </cell>
          <cell r="U58" t="str">
            <v>收入</v>
          </cell>
          <cell r="W58" t="str">
            <v>✓</v>
          </cell>
          <cell r="X58" t="str">
            <v>√</v>
          </cell>
          <cell r="AB58">
            <v>8.17</v>
          </cell>
          <cell r="AC58">
            <v>0</v>
          </cell>
          <cell r="AD58">
            <v>8.17</v>
          </cell>
          <cell r="AJ58">
            <v>0</v>
          </cell>
          <cell r="AK58">
            <v>1</v>
          </cell>
        </row>
        <row r="59">
          <cell r="B59" t="str">
            <v>农行7705</v>
          </cell>
          <cell r="H59" t="str">
            <v>宁波宫泽精密机械有限公司</v>
          </cell>
          <cell r="J59" t="str">
            <v>转存</v>
          </cell>
          <cell r="N59">
            <v>46199.0</v>
          </cell>
          <cell r="O59" t="str">
            <v>琴馨</v>
          </cell>
          <cell r="P59" t="str">
            <v>宁波宫泽精密机械有限公司</v>
          </cell>
          <cell r="Q59" t="str">
            <v>客户</v>
          </cell>
          <cell r="T59" t="str">
            <v>新增</v>
          </cell>
          <cell r="U59" t="str">
            <v>收入</v>
          </cell>
          <cell r="W59" t="str">
            <v>✓</v>
          </cell>
          <cell r="X59" t="str">
            <v>√ 新客户首笔</v>
          </cell>
          <cell r="AB59">
            <v>15000</v>
          </cell>
          <cell r="AC59">
            <v>0</v>
          </cell>
          <cell r="AD59">
            <v>15000</v>
          </cell>
          <cell r="AJ59">
            <v>0</v>
          </cell>
          <cell r="AK59">
            <v>1</v>
          </cell>
        </row>
        <row r="60">
          <cell r="B60" t="str">
            <v>农行7705</v>
          </cell>
          <cell r="H60" t="str">
            <v>苏州工业园区猫受屋百货零售店（个体工商户）</v>
          </cell>
          <cell r="J60" t="str">
            <v>转存</v>
          </cell>
          <cell r="N60">
            <v>46203.0</v>
          </cell>
          <cell r="O60" t="str">
            <v>琴馨</v>
          </cell>
          <cell r="P60" t="str">
            <v>苏州工业园区猫受屋百货零售店（个体工商户）</v>
          </cell>
          <cell r="Q60" t="str">
            <v>客户</v>
          </cell>
          <cell r="T60" t="str">
            <v>新增</v>
          </cell>
          <cell r="U60" t="str">
            <v>收入</v>
          </cell>
          <cell r="W60" t="str">
            <v>✓</v>
          </cell>
          <cell r="X60" t="str">
            <v>√ 新客户首笔</v>
          </cell>
          <cell r="AB60">
            <v>600</v>
          </cell>
          <cell r="AC60">
            <v>0</v>
          </cell>
          <cell r="AD60">
            <v>600</v>
          </cell>
          <cell r="AJ60">
            <v>0</v>
          </cell>
          <cell r="AK60">
            <v>1</v>
          </cell>
        </row>
        <row r="61">
          <cell r="B61" t="str">
            <v>农行7705</v>
          </cell>
          <cell r="H61" t="str">
            <v>秦淮区猫受屋百货零售店（个体工商户）</v>
          </cell>
          <cell r="J61" t="str">
            <v>转存</v>
          </cell>
          <cell r="N61">
            <v>46203.0</v>
          </cell>
          <cell r="O61" t="str">
            <v>琴馨</v>
          </cell>
          <cell r="P61" t="str">
            <v>秦淮区猫受屋百货零售店（个体工商户）</v>
          </cell>
          <cell r="Q61" t="str">
            <v>客户</v>
          </cell>
          <cell r="T61" t="str">
            <v>新增</v>
          </cell>
          <cell r="U61" t="str">
            <v>收入</v>
          </cell>
          <cell r="W61" t="str">
            <v>✓</v>
          </cell>
          <cell r="X61" t="str">
            <v>√ 新客户首笔</v>
          </cell>
          <cell r="AB61">
            <v>600</v>
          </cell>
          <cell r="AC61">
            <v>0</v>
          </cell>
          <cell r="AD61">
            <v>600</v>
          </cell>
          <cell r="AJ61">
            <v>0</v>
          </cell>
          <cell r="AK61">
            <v>1</v>
          </cell>
        </row>
        <row r="62">
          <cell r="B62" t="str">
            <v>农行7705</v>
          </cell>
          <cell r="H62" t="str">
            <v>西安市雁塔区谷的猫百货零售店（个体工商户）</v>
          </cell>
          <cell r="J62" t="str">
            <v>转存</v>
          </cell>
          <cell r="N62">
            <v>46203.0</v>
          </cell>
          <cell r="O62" t="str">
            <v>琴馨</v>
          </cell>
          <cell r="P62" t="str">
            <v>西安市雁塔区谷的猫百货零售店（个体工商户）</v>
          </cell>
          <cell r="Q62" t="str">
            <v>客户</v>
          </cell>
          <cell r="T62" t="str">
            <v>新增</v>
          </cell>
          <cell r="U62" t="str">
            <v>收入</v>
          </cell>
          <cell r="W62" t="str">
            <v>✓</v>
          </cell>
          <cell r="X62" t="str">
            <v>√ 新客户首笔</v>
          </cell>
          <cell r="AB62">
            <v>600</v>
          </cell>
          <cell r="AC62">
            <v>0</v>
          </cell>
          <cell r="AD62">
            <v>600</v>
          </cell>
          <cell r="AJ62">
            <v>0</v>
          </cell>
          <cell r="AK62">
            <v>1</v>
          </cell>
        </row>
        <row r="63">
          <cell r="B63" t="str">
            <v>飞鲸对公户</v>
          </cell>
          <cell r="H63" t="str">
            <v>待报解预算收入（税收）</v>
          </cell>
          <cell r="J63" t="str">
            <v>税费社保 印花税</v>
          </cell>
          <cell r="N63">
            <v>46149.0</v>
          </cell>
          <cell r="O63" t="str">
            <v>飞鲸</v>
          </cell>
          <cell r="P63" t="str">
            <v/>
          </cell>
          <cell r="Q63" t="str">
            <v/>
          </cell>
          <cell r="T63" t="str">
            <v>税金</v>
          </cell>
          <cell r="U63" t="str">
            <v>变动成本</v>
          </cell>
          <cell r="W63" t="str">
            <v>✓</v>
          </cell>
          <cell r="X63" t="str">
            <v>√</v>
          </cell>
          <cell r="AB63">
            <v>0</v>
          </cell>
          <cell r="AC63">
            <v>18.75</v>
          </cell>
          <cell r="AD63">
            <v>-18.75</v>
          </cell>
          <cell r="AJ63">
            <v>0</v>
          </cell>
          <cell r="AK63">
            <v>0</v>
          </cell>
        </row>
        <row r="64">
          <cell r="B64" t="str">
            <v>微信-汪优丽</v>
          </cell>
          <cell r="H64" t="str">
            <v>美玲姓福-财青藤 (幸福的美玲)</v>
          </cell>
          <cell r="J64" t="str">
            <v>转账 转账备注:百香果</v>
          </cell>
          <cell r="N64">
            <v>46233.0</v>
          </cell>
          <cell r="O64" t="str">
            <v>中智优力</v>
          </cell>
          <cell r="P64" t="str">
            <v/>
          </cell>
          <cell r="Q64" t="str">
            <v/>
          </cell>
          <cell r="T64" t="str">
            <v/>
          </cell>
          <cell r="U64" t="str">
            <v/>
          </cell>
          <cell r="W64" t="str">
            <v/>
          </cell>
          <cell r="X64" t="str">
            <v>✗ 认不出：对方户名没登记，到【往来单位】加，或点「去改」手工选</v>
          </cell>
          <cell r="AB64">
            <v>0</v>
          </cell>
          <cell r="AC64">
            <v>425</v>
          </cell>
          <cell r="AD64">
            <v>-425</v>
          </cell>
          <cell r="AJ64">
            <v>0</v>
          </cell>
          <cell r="AK64">
            <v>0</v>
          </cell>
        </row>
        <row r="65">
          <cell r="B65" t="str">
            <v>微信-汪优丽</v>
          </cell>
          <cell r="H65" t="str">
            <v>😈x</v>
          </cell>
          <cell r="J65" t="str">
            <v>扫二维码付款 收款方备注:二维码收款</v>
          </cell>
          <cell r="N65">
            <v>46232.0</v>
          </cell>
          <cell r="O65" t="str">
            <v>中智优力</v>
          </cell>
          <cell r="P65" t="str">
            <v/>
          </cell>
          <cell r="Q65" t="str">
            <v/>
          </cell>
          <cell r="T65" t="str">
            <v/>
          </cell>
          <cell r="U65" t="str">
            <v/>
          </cell>
          <cell r="W65" t="str">
            <v/>
          </cell>
          <cell r="X65" t="str">
            <v>✗ 认不出：对方户名没登记，到【往来单位】加，或点「去改」手工选</v>
          </cell>
          <cell r="AB65">
            <v>0</v>
          </cell>
          <cell r="AC65">
            <v>51</v>
          </cell>
          <cell r="AD65">
            <v>-51</v>
          </cell>
          <cell r="AJ65">
            <v>0</v>
          </cell>
          <cell r="AK65">
            <v>0</v>
          </cell>
        </row>
        <row r="66">
          <cell r="B66" t="str">
            <v>微信-汪优丽</v>
          </cell>
          <cell r="H66" t="str">
            <v>/</v>
          </cell>
          <cell r="J66" t="str">
            <v>转入零钱通-来自零钱</v>
          </cell>
          <cell r="N66">
            <v>46232.0</v>
          </cell>
          <cell r="O66" t="str">
            <v>中智优力</v>
          </cell>
          <cell r="P66" t="str">
            <v/>
          </cell>
          <cell r="Q66" t="str">
            <v/>
          </cell>
          <cell r="T66" t="str">
            <v/>
          </cell>
          <cell r="U66" t="str">
            <v/>
          </cell>
          <cell r="W66" t="str">
            <v/>
          </cell>
          <cell r="X66" t="str">
            <v>跳过：不计收支（零钱通、转给自己等）</v>
          </cell>
          <cell r="AB66">
            <v>0</v>
          </cell>
          <cell r="AC66">
            <v>0</v>
          </cell>
          <cell r="AD66">
            <v>0</v>
          </cell>
          <cell r="AJ66">
            <v>0</v>
          </cell>
          <cell r="AK66">
            <v>0</v>
          </cell>
        </row>
        <row r="67">
          <cell r="B67" t="str">
            <v>微信-汪优丽</v>
          </cell>
          <cell r="H67" t="str">
            <v>美团平台商户</v>
          </cell>
          <cell r="J67" t="str">
            <v>商户消费 SPACELAB失重餐厅（来福士江景店）-大众点评买单-大众点评微信小程序-26072911200700001307622085960755</v>
          </cell>
          <cell r="N67">
            <v>46232.0</v>
          </cell>
          <cell r="O67" t="str">
            <v>中智优力</v>
          </cell>
          <cell r="P67" t="str">
            <v/>
          </cell>
          <cell r="Q67" t="str">
            <v/>
          </cell>
          <cell r="T67" t="str">
            <v/>
          </cell>
          <cell r="U67" t="str">
            <v/>
          </cell>
          <cell r="W67" t="str">
            <v/>
          </cell>
          <cell r="X67" t="str">
            <v>✗ 认不出：对方户名没登记，到【往来单位】加，或点「去改」手工选</v>
          </cell>
          <cell r="AB67">
            <v>0</v>
          </cell>
          <cell r="AC67">
            <v>645</v>
          </cell>
          <cell r="AD67">
            <v>-645</v>
          </cell>
          <cell r="AJ67">
            <v>0</v>
          </cell>
          <cell r="AK67">
            <v>0</v>
          </cell>
        </row>
        <row r="68">
          <cell r="B68" t="str">
            <v>微信-汪优丽</v>
          </cell>
          <cell r="H68" t="str">
            <v>重庆民宿-17823647212 (Wowo.樱桃 市内周边游17823647212)</v>
          </cell>
          <cell r="J68" t="str">
            <v>转账 转账备注:微信转账</v>
          </cell>
          <cell r="N68">
            <v>46232.0</v>
          </cell>
          <cell r="O68" t="str">
            <v>中智优力</v>
          </cell>
          <cell r="P68" t="str">
            <v/>
          </cell>
          <cell r="Q68" t="str">
            <v/>
          </cell>
          <cell r="T68" t="str">
            <v/>
          </cell>
          <cell r="U68" t="str">
            <v/>
          </cell>
          <cell r="W68" t="str">
            <v/>
          </cell>
          <cell r="X68" t="str">
            <v>✗ 认不出：对方户名没登记，到【往来单位】加，或点「去改」手工选</v>
          </cell>
          <cell r="AB68">
            <v>30</v>
          </cell>
          <cell r="AC68">
            <v>0</v>
          </cell>
          <cell r="AD68">
            <v>30</v>
          </cell>
          <cell r="AJ68">
            <v>0</v>
          </cell>
          <cell r="AK68">
            <v>0</v>
          </cell>
        </row>
        <row r="69">
          <cell r="B69" t="str">
            <v>微信-汪优丽</v>
          </cell>
          <cell r="H69" t="str">
            <v>刘维淑</v>
          </cell>
          <cell r="J69" t="str">
            <v>扫二维码付款 收款方备注:二维码收款</v>
          </cell>
          <cell r="N69">
            <v>46231.0</v>
          </cell>
          <cell r="O69" t="str">
            <v>中智优力</v>
          </cell>
          <cell r="P69" t="str">
            <v/>
          </cell>
          <cell r="Q69" t="str">
            <v/>
          </cell>
          <cell r="T69" t="str">
            <v/>
          </cell>
          <cell r="U69" t="str">
            <v/>
          </cell>
          <cell r="W69" t="str">
            <v/>
          </cell>
          <cell r="X69" t="str">
            <v>✗ 认不出：对方户名没登记，到【往来单位】加，或点「去改」手工选</v>
          </cell>
          <cell r="AB69">
            <v>0</v>
          </cell>
          <cell r="AC69">
            <v>5</v>
          </cell>
          <cell r="AD69">
            <v>-5</v>
          </cell>
          <cell r="AJ69">
            <v>0</v>
          </cell>
          <cell r="AK69">
            <v>0</v>
          </cell>
        </row>
        <row r="70">
          <cell r="B70" t="str">
            <v>微信-汪优丽</v>
          </cell>
          <cell r="H70" t="str">
            <v>个人冉中维</v>
          </cell>
          <cell r="J70" t="str">
            <v>商户消费 个人冉中维</v>
          </cell>
          <cell r="N70">
            <v>46230.0</v>
          </cell>
          <cell r="O70" t="str">
            <v>中智优力</v>
          </cell>
          <cell r="P70" t="str">
            <v/>
          </cell>
          <cell r="Q70" t="str">
            <v/>
          </cell>
          <cell r="T70" t="str">
            <v/>
          </cell>
          <cell r="U70" t="str">
            <v/>
          </cell>
          <cell r="W70" t="str">
            <v/>
          </cell>
          <cell r="X70" t="str">
            <v>✗ 认不出：对方户名没登记，到【往来单位】加，或点「去改」手工选</v>
          </cell>
          <cell r="AB70">
            <v>0</v>
          </cell>
          <cell r="AC70">
            <v>20</v>
          </cell>
          <cell r="AD70">
            <v>-20</v>
          </cell>
          <cell r="AJ70">
            <v>0</v>
          </cell>
          <cell r="AK70">
            <v>0</v>
          </cell>
        </row>
        <row r="71">
          <cell r="B71" t="str">
            <v>微信-汪优丽</v>
          </cell>
          <cell r="H71" t="str">
            <v>胖子鲜老火锅</v>
          </cell>
          <cell r="J71" t="str">
            <v>扫二维码付款 收款方备注:二维码收款</v>
          </cell>
          <cell r="N71">
            <v>46229.0</v>
          </cell>
          <cell r="O71" t="str">
            <v>中智优力</v>
          </cell>
          <cell r="P71" t="str">
            <v/>
          </cell>
          <cell r="Q71" t="str">
            <v/>
          </cell>
          <cell r="T71" t="str">
            <v/>
          </cell>
          <cell r="U71" t="str">
            <v/>
          </cell>
          <cell r="W71" t="str">
            <v/>
          </cell>
          <cell r="X71" t="str">
            <v>✗ 认不出：对方户名没登记，到【往来单位】加，或点「去改」手工选</v>
          </cell>
          <cell r="AB71">
            <v>0</v>
          </cell>
          <cell r="AC71">
            <v>200</v>
          </cell>
          <cell r="AD71">
            <v>-200</v>
          </cell>
          <cell r="AJ71">
            <v>0</v>
          </cell>
          <cell r="AK71">
            <v>0</v>
          </cell>
        </row>
        <row r="72">
          <cell r="B72" t="str">
            <v>微信-汪优丽</v>
          </cell>
          <cell r="H72" t="str">
            <v>锦江酒店</v>
          </cell>
          <cell r="J72" t="str">
            <v>商户消费 康铂酒店（重庆解放碑步行街洪崖洞店）</v>
          </cell>
          <cell r="N72">
            <v>46229.0</v>
          </cell>
          <cell r="O72" t="str">
            <v>中智优力</v>
          </cell>
          <cell r="P72" t="str">
            <v/>
          </cell>
          <cell r="Q72" t="str">
            <v/>
          </cell>
          <cell r="T72" t="str">
            <v/>
          </cell>
          <cell r="U72" t="str">
            <v/>
          </cell>
          <cell r="W72" t="str">
            <v/>
          </cell>
          <cell r="X72" t="str">
            <v>✗ 认不出：对方户名没登记，到【往来单位】加，或点「去改」手工选</v>
          </cell>
          <cell r="AB72">
            <v>0</v>
          </cell>
          <cell r="AC72">
            <v>298</v>
          </cell>
          <cell r="AD72">
            <v>-298</v>
          </cell>
          <cell r="AJ72">
            <v>0</v>
          </cell>
          <cell r="AK72">
            <v>0</v>
          </cell>
        </row>
        <row r="73">
          <cell r="B73" t="str">
            <v>微信-汪优丽</v>
          </cell>
          <cell r="H73" t="str">
            <v>锦江信息</v>
          </cell>
          <cell r="J73" t="str">
            <v>商户消费 锦江荟89元银卡礼包</v>
          </cell>
          <cell r="N73">
            <v>46229.0</v>
          </cell>
          <cell r="O73" t="str">
            <v>中智优力</v>
          </cell>
          <cell r="P73" t="str">
            <v/>
          </cell>
          <cell r="Q73" t="str">
            <v/>
          </cell>
          <cell r="T73" t="str">
            <v/>
          </cell>
          <cell r="U73" t="str">
            <v/>
          </cell>
          <cell r="W73" t="str">
            <v/>
          </cell>
          <cell r="X73" t="str">
            <v>✗ 认不出：对方户名没登记，到【往来单位】加，或点「去改」手工选</v>
          </cell>
          <cell r="AB73">
            <v>0</v>
          </cell>
          <cell r="AC73">
            <v>89</v>
          </cell>
          <cell r="AD73">
            <v>-89</v>
          </cell>
          <cell r="AJ73">
            <v>0</v>
          </cell>
          <cell r="AK73">
            <v>0</v>
          </cell>
        </row>
        <row r="74">
          <cell r="B74" t="str">
            <v>微信-汪优丽</v>
          </cell>
          <cell r="H74" t="str">
            <v>宁波五乡镇东街店</v>
          </cell>
          <cell r="J74" t="str">
            <v>商户消费 '-宁波五乡镇东街新店</v>
          </cell>
          <cell r="N74">
            <v>46228.0</v>
          </cell>
          <cell r="O74" t="str">
            <v>中智优力</v>
          </cell>
          <cell r="P74" t="str">
            <v/>
          </cell>
          <cell r="Q74" t="str">
            <v/>
          </cell>
          <cell r="T74" t="str">
            <v/>
          </cell>
          <cell r="U74" t="str">
            <v/>
          </cell>
          <cell r="W74" t="str">
            <v/>
          </cell>
          <cell r="X74" t="str">
            <v>✗ 认不出：对方户名没登记，到【往来单位】加，或点「去改」手工选</v>
          </cell>
          <cell r="AB74">
            <v>0</v>
          </cell>
          <cell r="AC74">
            <v>593.55</v>
          </cell>
          <cell r="AD74">
            <v>-593.55</v>
          </cell>
          <cell r="AJ74">
            <v>0</v>
          </cell>
          <cell r="AK74">
            <v>0</v>
          </cell>
        </row>
        <row r="75">
          <cell r="B75" t="str">
            <v>微信-汪优丽</v>
          </cell>
          <cell r="H75" t="str">
            <v>/</v>
          </cell>
          <cell r="J75" t="str">
            <v>转入零钱通-来自零钱</v>
          </cell>
          <cell r="N75">
            <v>46228.0</v>
          </cell>
          <cell r="O75" t="str">
            <v>中智优力</v>
          </cell>
          <cell r="P75" t="str">
            <v/>
          </cell>
          <cell r="Q75" t="str">
            <v/>
          </cell>
          <cell r="T75" t="str">
            <v/>
          </cell>
          <cell r="U75" t="str">
            <v/>
          </cell>
          <cell r="W75" t="str">
            <v/>
          </cell>
          <cell r="X75" t="str">
            <v>跳过：不计收支（零钱通、转给自己等）</v>
          </cell>
          <cell r="AB75">
            <v>0</v>
          </cell>
          <cell r="AC75">
            <v>0</v>
          </cell>
          <cell r="AD75">
            <v>0</v>
          </cell>
          <cell r="AJ75">
            <v>0</v>
          </cell>
          <cell r="AK75">
            <v>0</v>
          </cell>
        </row>
        <row r="76">
          <cell r="B76" t="str">
            <v>微信-汪优丽</v>
          </cell>
          <cell r="H76" t="str">
            <v>废品回收-甫耀 (幸福的一家)</v>
          </cell>
          <cell r="J76" t="str">
            <v>转账 转账备注:微信转账</v>
          </cell>
          <cell r="N76">
            <v>46228.0</v>
          </cell>
          <cell r="O76" t="str">
            <v>中智优力</v>
          </cell>
          <cell r="P76" t="str">
            <v/>
          </cell>
          <cell r="Q76" t="str">
            <v/>
          </cell>
          <cell r="T76" t="str">
            <v/>
          </cell>
          <cell r="U76" t="str">
            <v/>
          </cell>
          <cell r="W76" t="str">
            <v/>
          </cell>
          <cell r="X76" t="str">
            <v>✗ 认不出：对方户名没登记，到【往来单位】加，或点「去改」手工选</v>
          </cell>
          <cell r="AB76">
            <v>5000</v>
          </cell>
          <cell r="AC76">
            <v>0</v>
          </cell>
          <cell r="AD76">
            <v>5000</v>
          </cell>
          <cell r="AJ76">
            <v>0</v>
          </cell>
          <cell r="AK76">
            <v>0</v>
          </cell>
        </row>
        <row r="77">
          <cell r="B77" t="str">
            <v>微信-汪优丽</v>
          </cell>
          <cell r="H77" t="str">
            <v>速停车</v>
          </cell>
          <cell r="J77" t="str">
            <v>商户消费 浙B212DN-真和逸庭酒店</v>
          </cell>
          <cell r="N77">
            <v>46227.0</v>
          </cell>
          <cell r="O77" t="str">
            <v>中智优力</v>
          </cell>
          <cell r="P77" t="str">
            <v/>
          </cell>
          <cell r="Q77" t="str">
            <v/>
          </cell>
          <cell r="T77" t="str">
            <v>汽车费用</v>
          </cell>
          <cell r="U77" t="str">
            <v>变动成本</v>
          </cell>
          <cell r="W77" t="str">
            <v/>
          </cell>
          <cell r="X77" t="str">
            <v>√</v>
          </cell>
          <cell r="AB77">
            <v>0</v>
          </cell>
          <cell r="AC77">
            <v>10</v>
          </cell>
          <cell r="AD77">
            <v>-10</v>
          </cell>
          <cell r="AJ77">
            <v>0</v>
          </cell>
          <cell r="AK77">
            <v>0</v>
          </cell>
        </row>
        <row r="78">
          <cell r="B78" t="str">
            <v>微信-汪优丽</v>
          </cell>
          <cell r="H78" t="str">
            <v>绿城停车</v>
          </cell>
          <cell r="J78" t="str">
            <v>商户消费 宁波银泰大厦地面-浙B70NP6-临停缴费</v>
          </cell>
          <cell r="N78">
            <v>46226.0</v>
          </cell>
          <cell r="O78" t="str">
            <v>中智优力</v>
          </cell>
          <cell r="P78" t="str">
            <v/>
          </cell>
          <cell r="Q78" t="str">
            <v/>
          </cell>
          <cell r="T78" t="str">
            <v>汽车费用</v>
          </cell>
          <cell r="U78" t="str">
            <v>变动成本</v>
          </cell>
          <cell r="W78" t="str">
            <v/>
          </cell>
          <cell r="X78" t="str">
            <v>√</v>
          </cell>
          <cell r="AB78">
            <v>0</v>
          </cell>
          <cell r="AC78">
            <v>10</v>
          </cell>
          <cell r="AD78">
            <v>-10</v>
          </cell>
          <cell r="AJ78">
            <v>0</v>
          </cell>
          <cell r="AK78">
            <v>0</v>
          </cell>
        </row>
        <row r="79">
          <cell r="B79" t="str">
            <v>微信-汪优丽</v>
          </cell>
          <cell r="H79" t="str">
            <v>停容易</v>
          </cell>
          <cell r="J79" t="str">
            <v>商户消费 停车缴费-宁波市汇峰亿天大厦停车场-浙B212DN</v>
          </cell>
          <cell r="N79">
            <v>46224.0</v>
          </cell>
          <cell r="O79" t="str">
            <v>中智优力</v>
          </cell>
          <cell r="P79" t="str">
            <v/>
          </cell>
          <cell r="Q79" t="str">
            <v/>
          </cell>
          <cell r="T79" t="str">
            <v>汽车费用</v>
          </cell>
          <cell r="U79" t="str">
            <v>变动成本</v>
          </cell>
          <cell r="W79" t="str">
            <v/>
          </cell>
          <cell r="X79" t="str">
            <v>√</v>
          </cell>
          <cell r="AB79">
            <v>0</v>
          </cell>
          <cell r="AC79">
            <v>8</v>
          </cell>
          <cell r="AD79">
            <v>-8</v>
          </cell>
          <cell r="AJ79">
            <v>0</v>
          </cell>
          <cell r="AK79">
            <v>0</v>
          </cell>
        </row>
        <row r="80">
          <cell r="B80" t="str">
            <v>微信-汪优丽</v>
          </cell>
          <cell r="H80" t="str">
            <v>李小飞-东部新城应聘兼职 (L🌻)</v>
          </cell>
          <cell r="J80" t="str">
            <v>转账 转账备注:工资</v>
          </cell>
          <cell r="N80">
            <v>46223.0</v>
          </cell>
          <cell r="O80" t="str">
            <v>中智优力</v>
          </cell>
          <cell r="P80" t="str">
            <v/>
          </cell>
          <cell r="Q80" t="str">
            <v/>
          </cell>
          <cell r="T80" t="str">
            <v>人工-工资</v>
          </cell>
          <cell r="U80" t="str">
            <v>变动成本</v>
          </cell>
          <cell r="W80" t="str">
            <v/>
          </cell>
          <cell r="X80" t="str">
            <v>√</v>
          </cell>
          <cell r="AB80">
            <v>0</v>
          </cell>
          <cell r="AC80">
            <v>1101.45</v>
          </cell>
          <cell r="AD80">
            <v>-1101.45</v>
          </cell>
          <cell r="AJ80">
            <v>0</v>
          </cell>
          <cell r="AK80">
            <v>0</v>
          </cell>
        </row>
        <row r="81">
          <cell r="B81" t="str">
            <v>微信-汪优丽</v>
          </cell>
          <cell r="H81" t="str">
            <v>/</v>
          </cell>
          <cell r="J81" t="str">
            <v>转账-退款 转账备注:快乐第一</v>
          </cell>
          <cell r="N81">
            <v>46222.0</v>
          </cell>
          <cell r="O81" t="str">
            <v>中智优力</v>
          </cell>
          <cell r="P81" t="str">
            <v/>
          </cell>
          <cell r="Q81" t="str">
            <v/>
          </cell>
          <cell r="T81" t="str">
            <v/>
          </cell>
          <cell r="U81" t="str">
            <v/>
          </cell>
          <cell r="W81" t="str">
            <v/>
          </cell>
          <cell r="X81" t="str">
            <v>✗ 认不出：对方户名没登记，到【往来单位】加，或点「去改」手工选</v>
          </cell>
          <cell r="AB81">
            <v>288</v>
          </cell>
          <cell r="AC81">
            <v>0</v>
          </cell>
          <cell r="AD81">
            <v>288</v>
          </cell>
          <cell r="AJ81">
            <v>0</v>
          </cell>
          <cell r="AK81">
            <v>0</v>
          </cell>
        </row>
        <row r="82">
          <cell r="B82" t="str">
            <v>微信-汪优丽</v>
          </cell>
          <cell r="H82" t="str">
            <v>上海-秋萍 (秋秋｜财税法咨询)</v>
          </cell>
          <cell r="J82" t="str">
            <v>转账 转账备注:快乐第一</v>
          </cell>
          <cell r="N82">
            <v>46222.0</v>
          </cell>
          <cell r="O82" t="str">
            <v>中智优力</v>
          </cell>
          <cell r="P82" t="str">
            <v/>
          </cell>
          <cell r="Q82" t="str">
            <v/>
          </cell>
          <cell r="T82" t="str">
            <v/>
          </cell>
          <cell r="U82" t="str">
            <v/>
          </cell>
          <cell r="W82" t="str">
            <v/>
          </cell>
          <cell r="X82" t="str">
            <v>✗ 认不出：对方户名没登记，到【往来单位】加，或点「去改」手工选</v>
          </cell>
          <cell r="AB82">
            <v>0</v>
          </cell>
          <cell r="AC82">
            <v>288</v>
          </cell>
          <cell r="AD82">
            <v>-288</v>
          </cell>
          <cell r="AJ82">
            <v>0</v>
          </cell>
          <cell r="AK82">
            <v>0</v>
          </cell>
        </row>
        <row r="83">
          <cell r="B83" t="str">
            <v>微信-汪优丽</v>
          </cell>
          <cell r="H83" t="str">
            <v>乐清公交</v>
          </cell>
          <cell r="J83" t="str">
            <v>商户消费 581路;车号:C05552F;扫码时间:2026-07-19 13:00:42</v>
          </cell>
          <cell r="N83">
            <v>46222.0</v>
          </cell>
          <cell r="O83" t="str">
            <v>中智优力</v>
          </cell>
          <cell r="P83" t="str">
            <v/>
          </cell>
          <cell r="Q83" t="str">
            <v/>
          </cell>
          <cell r="T83" t="str">
            <v/>
          </cell>
          <cell r="U83" t="str">
            <v/>
          </cell>
          <cell r="W83" t="str">
            <v/>
          </cell>
          <cell r="X83" t="str">
            <v>✗ 认不出：对方户名没登记，到【往来单位】加，或点「去改」手工选</v>
          </cell>
          <cell r="AB83">
            <v>0</v>
          </cell>
          <cell r="AC83">
            <v>2</v>
          </cell>
          <cell r="AD83">
            <v>-2</v>
          </cell>
          <cell r="AJ83">
            <v>0</v>
          </cell>
          <cell r="AK83">
            <v>0</v>
          </cell>
        </row>
        <row r="84">
          <cell r="B84" t="str">
            <v>微信-汪优丽</v>
          </cell>
          <cell r="H84" t="str">
            <v>旅途易购</v>
          </cell>
          <cell r="J84" t="str">
            <v>商户消费 NB2F中欧班列进口商品保税店</v>
          </cell>
          <cell r="N84">
            <v>46220.0</v>
          </cell>
          <cell r="O84" t="str">
            <v>中智优力</v>
          </cell>
          <cell r="P84" t="str">
            <v/>
          </cell>
          <cell r="Q84" t="str">
            <v/>
          </cell>
          <cell r="T84" t="str">
            <v/>
          </cell>
          <cell r="U84" t="str">
            <v/>
          </cell>
          <cell r="W84" t="str">
            <v/>
          </cell>
          <cell r="X84" t="str">
            <v>✗ 认不出：对方户名没登记，到【往来单位】加，或点「去改」手工选</v>
          </cell>
          <cell r="AB84">
            <v>0</v>
          </cell>
          <cell r="AC84">
            <v>1199</v>
          </cell>
          <cell r="AD84">
            <v>-1199</v>
          </cell>
          <cell r="AJ84">
            <v>0</v>
          </cell>
          <cell r="AK84">
            <v>0</v>
          </cell>
        </row>
        <row r="85">
          <cell r="B85" t="str">
            <v>微信-汪优丽</v>
          </cell>
          <cell r="H85" t="str">
            <v>雷鸣</v>
          </cell>
          <cell r="J85" t="str">
            <v>转账 转账备注:报销</v>
          </cell>
          <cell r="N85">
            <v>46220.0</v>
          </cell>
          <cell r="O85" t="str">
            <v>中智优力</v>
          </cell>
          <cell r="P85" t="str">
            <v/>
          </cell>
          <cell r="Q85" t="str">
            <v/>
          </cell>
          <cell r="T85" t="str">
            <v/>
          </cell>
          <cell r="U85" t="str">
            <v/>
          </cell>
          <cell r="W85" t="str">
            <v/>
          </cell>
          <cell r="X85" t="str">
            <v>✗ 认不出：对方户名没登记，到【往来单位】加，或点「去改」手工选</v>
          </cell>
          <cell r="AB85">
            <v>0</v>
          </cell>
          <cell r="AC85">
            <v>4800</v>
          </cell>
          <cell r="AD85">
            <v>-4800</v>
          </cell>
          <cell r="AJ85">
            <v>0</v>
          </cell>
          <cell r="AK85">
            <v>0</v>
          </cell>
        </row>
        <row r="86">
          <cell r="B86" t="str">
            <v>微信-汪优丽</v>
          </cell>
          <cell r="H86" t="str">
            <v>雷鸣</v>
          </cell>
          <cell r="J86" t="str">
            <v>转账 转账备注:报销</v>
          </cell>
          <cell r="N86">
            <v>46220.0</v>
          </cell>
          <cell r="O86" t="str">
            <v>中智优力</v>
          </cell>
          <cell r="P86" t="str">
            <v/>
          </cell>
          <cell r="Q86" t="str">
            <v/>
          </cell>
          <cell r="T86" t="str">
            <v/>
          </cell>
          <cell r="U86" t="str">
            <v/>
          </cell>
          <cell r="W86" t="str">
            <v/>
          </cell>
          <cell r="X86" t="str">
            <v>✗ 认不出：对方户名没登记，到【往来单位】加，或点「去改」手工选</v>
          </cell>
          <cell r="AB86">
            <v>0</v>
          </cell>
          <cell r="AC86">
            <v>3200</v>
          </cell>
          <cell r="AD86">
            <v>-3200</v>
          </cell>
          <cell r="AJ86">
            <v>0</v>
          </cell>
          <cell r="AK86">
            <v>0</v>
          </cell>
        </row>
        <row r="87">
          <cell r="B87" t="str">
            <v>微信-汪优丽</v>
          </cell>
          <cell r="H87" t="str">
            <v>雷鸣</v>
          </cell>
          <cell r="J87" t="str">
            <v>转账 转账备注:报销</v>
          </cell>
          <cell r="N87">
            <v>46220.0</v>
          </cell>
          <cell r="O87" t="str">
            <v>中智优力</v>
          </cell>
          <cell r="P87" t="str">
            <v/>
          </cell>
          <cell r="Q87" t="str">
            <v/>
          </cell>
          <cell r="T87" t="str">
            <v/>
          </cell>
          <cell r="U87" t="str">
            <v/>
          </cell>
          <cell r="W87" t="str">
            <v/>
          </cell>
          <cell r="X87" t="str">
            <v>✗ 认不出：对方户名没登记，到【往来单位】加，或点「去改」手工选</v>
          </cell>
          <cell r="AB87">
            <v>0</v>
          </cell>
          <cell r="AC87">
            <v>848.95</v>
          </cell>
          <cell r="AD87">
            <v>-848.95</v>
          </cell>
          <cell r="AJ87">
            <v>0</v>
          </cell>
          <cell r="AK87">
            <v>0</v>
          </cell>
        </row>
        <row r="88">
          <cell r="B88" t="str">
            <v>微信-汪优丽</v>
          </cell>
          <cell r="H88" t="str">
            <v>雷鸣</v>
          </cell>
          <cell r="J88" t="str">
            <v>转账 转账备注:报错</v>
          </cell>
          <cell r="N88">
            <v>46220.0</v>
          </cell>
          <cell r="O88" t="str">
            <v>中智优力</v>
          </cell>
          <cell r="P88" t="str">
            <v/>
          </cell>
          <cell r="Q88" t="str">
            <v/>
          </cell>
          <cell r="T88" t="str">
            <v/>
          </cell>
          <cell r="U88" t="str">
            <v/>
          </cell>
          <cell r="W88" t="str">
            <v/>
          </cell>
          <cell r="X88" t="str">
            <v>✗ 认不出：对方户名没登记，到【往来单位】加，或点「去改」手工选</v>
          </cell>
          <cell r="AB88">
            <v>0</v>
          </cell>
          <cell r="AC88">
            <v>1370</v>
          </cell>
          <cell r="AD88">
            <v>-1370</v>
          </cell>
          <cell r="AJ88">
            <v>0</v>
          </cell>
          <cell r="AK88">
            <v>0</v>
          </cell>
        </row>
        <row r="89">
          <cell r="B89" t="str">
            <v>微信-汪优丽</v>
          </cell>
          <cell r="H89" t="str">
            <v>雷鸣</v>
          </cell>
          <cell r="J89" t="str">
            <v>转账 转账备注:报销</v>
          </cell>
          <cell r="N89">
            <v>46220.0</v>
          </cell>
          <cell r="O89" t="str">
            <v>中智优力</v>
          </cell>
          <cell r="P89" t="str">
            <v/>
          </cell>
          <cell r="Q89" t="str">
            <v/>
          </cell>
          <cell r="T89" t="str">
            <v/>
          </cell>
          <cell r="U89" t="str">
            <v/>
          </cell>
          <cell r="W89" t="str">
            <v/>
          </cell>
          <cell r="X89" t="str">
            <v>✗ 认不出：对方户名没登记，到【往来单位】加，或点「去改」手工选</v>
          </cell>
          <cell r="AB89">
            <v>0</v>
          </cell>
          <cell r="AC89">
            <v>106.9</v>
          </cell>
          <cell r="AD89">
            <v>-106.9</v>
          </cell>
          <cell r="AJ89">
            <v>0</v>
          </cell>
          <cell r="AK89">
            <v>0</v>
          </cell>
        </row>
        <row r="90">
          <cell r="B90" t="str">
            <v>微信-汪优丽</v>
          </cell>
          <cell r="H90" t="str">
            <v>雷鸣</v>
          </cell>
          <cell r="J90" t="str">
            <v>转账 转账备注:报销</v>
          </cell>
          <cell r="N90">
            <v>46220.0</v>
          </cell>
          <cell r="O90" t="str">
            <v>中智优力</v>
          </cell>
          <cell r="P90" t="str">
            <v/>
          </cell>
          <cell r="Q90" t="str">
            <v/>
          </cell>
          <cell r="T90" t="str">
            <v/>
          </cell>
          <cell r="U90" t="str">
            <v/>
          </cell>
          <cell r="W90" t="str">
            <v/>
          </cell>
          <cell r="X90" t="str">
            <v>✗ 认不出：对方户名没登记，到【往来单位】加，或点「去改」手工选</v>
          </cell>
          <cell r="AB90">
            <v>0</v>
          </cell>
          <cell r="AC90">
            <v>378</v>
          </cell>
          <cell r="AD90">
            <v>-378</v>
          </cell>
          <cell r="AJ90">
            <v>0</v>
          </cell>
          <cell r="AK90">
            <v>0</v>
          </cell>
        </row>
        <row r="91">
          <cell r="B91" t="str">
            <v>微信-汪优丽</v>
          </cell>
          <cell r="H91" t="str">
            <v>雷鸣</v>
          </cell>
          <cell r="J91" t="str">
            <v>转账 转账备注:报销</v>
          </cell>
          <cell r="N91">
            <v>46220.0</v>
          </cell>
          <cell r="O91" t="str">
            <v>中智优力</v>
          </cell>
          <cell r="P91" t="str">
            <v/>
          </cell>
          <cell r="Q91" t="str">
            <v/>
          </cell>
          <cell r="T91" t="str">
            <v/>
          </cell>
          <cell r="U91" t="str">
            <v/>
          </cell>
          <cell r="W91" t="str">
            <v/>
          </cell>
          <cell r="X91" t="str">
            <v>✗ 认不出：对方户名没登记，到【往来单位】加，或点「去改」手工选</v>
          </cell>
          <cell r="AB91">
            <v>0</v>
          </cell>
          <cell r="AC91">
            <v>665.5</v>
          </cell>
          <cell r="AD91">
            <v>-665.5</v>
          </cell>
          <cell r="AJ91">
            <v>0</v>
          </cell>
          <cell r="AK91">
            <v>0</v>
          </cell>
        </row>
        <row r="92">
          <cell r="B92" t="str">
            <v>微信-汪优丽</v>
          </cell>
          <cell r="H92" t="str">
            <v>雷鸣</v>
          </cell>
          <cell r="J92" t="str">
            <v>转账 转账备注:报销</v>
          </cell>
          <cell r="N92">
            <v>46220.0</v>
          </cell>
          <cell r="O92" t="str">
            <v>中智优力</v>
          </cell>
          <cell r="P92" t="str">
            <v/>
          </cell>
          <cell r="Q92" t="str">
            <v/>
          </cell>
          <cell r="T92" t="str">
            <v/>
          </cell>
          <cell r="U92" t="str">
            <v/>
          </cell>
          <cell r="W92" t="str">
            <v/>
          </cell>
          <cell r="X92" t="str">
            <v>✗ 认不出：对方户名没登记，到【往来单位】加，或点「去改」手工选</v>
          </cell>
          <cell r="AB92">
            <v>0</v>
          </cell>
          <cell r="AC92">
            <v>2924.38</v>
          </cell>
          <cell r="AD92">
            <v>-2924.38</v>
          </cell>
          <cell r="AJ92">
            <v>0</v>
          </cell>
          <cell r="AK92">
            <v>0</v>
          </cell>
        </row>
        <row r="93">
          <cell r="B93" t="str">
            <v>微信-汪优丽</v>
          </cell>
          <cell r="H93" t="str">
            <v>雷鸣</v>
          </cell>
          <cell r="J93" t="str">
            <v>转账 转账备注:报销</v>
          </cell>
          <cell r="N93">
            <v>46220.0</v>
          </cell>
          <cell r="O93" t="str">
            <v>中智优力</v>
          </cell>
          <cell r="P93" t="str">
            <v/>
          </cell>
          <cell r="Q93" t="str">
            <v/>
          </cell>
          <cell r="T93" t="str">
            <v/>
          </cell>
          <cell r="U93" t="str">
            <v/>
          </cell>
          <cell r="W93" t="str">
            <v/>
          </cell>
          <cell r="X93" t="str">
            <v>✗ 认不出：对方户名没登记，到【往来单位】加，或点「去改」手工选</v>
          </cell>
          <cell r="AB93">
            <v>0</v>
          </cell>
          <cell r="AC93">
            <v>82</v>
          </cell>
          <cell r="AD93">
            <v>-82</v>
          </cell>
          <cell r="AJ93">
            <v>0</v>
          </cell>
          <cell r="AK93">
            <v>0</v>
          </cell>
        </row>
        <row r="94">
          <cell r="B94" t="str">
            <v>微信-汪优丽</v>
          </cell>
          <cell r="H94" t="str">
            <v>小七</v>
          </cell>
          <cell r="J94" t="str">
            <v>转账 转账备注:蛋糕费用</v>
          </cell>
          <cell r="N94">
            <v>46220.0</v>
          </cell>
          <cell r="O94" t="str">
            <v>中智优力</v>
          </cell>
          <cell r="P94" t="str">
            <v/>
          </cell>
          <cell r="Q94" t="str">
            <v/>
          </cell>
          <cell r="T94" t="str">
            <v/>
          </cell>
          <cell r="U94" t="str">
            <v/>
          </cell>
          <cell r="W94" t="str">
            <v/>
          </cell>
          <cell r="X94" t="str">
            <v>✗ 认不出：对方户名没登记，到【往来单位】加，或点「去改」手工选</v>
          </cell>
          <cell r="AB94">
            <v>0</v>
          </cell>
          <cell r="AC94">
            <v>204</v>
          </cell>
          <cell r="AD94">
            <v>-204</v>
          </cell>
          <cell r="AJ94">
            <v>0</v>
          </cell>
          <cell r="AK94">
            <v>0</v>
          </cell>
        </row>
        <row r="95">
          <cell r="B95" t="str">
            <v>微信-汪优丽</v>
          </cell>
          <cell r="H95" t="str">
            <v>宁波市海曙劳零蛋糕店</v>
          </cell>
          <cell r="J95" t="str">
            <v>商户消费 宁波市海曙劳零蛋糕店</v>
          </cell>
          <cell r="N95">
            <v>46219.0</v>
          </cell>
          <cell r="O95" t="str">
            <v>中智优力</v>
          </cell>
          <cell r="P95" t="str">
            <v/>
          </cell>
          <cell r="Q95" t="str">
            <v/>
          </cell>
          <cell r="T95" t="str">
            <v/>
          </cell>
          <cell r="U95" t="str">
            <v/>
          </cell>
          <cell r="W95" t="str">
            <v/>
          </cell>
          <cell r="X95" t="str">
            <v>✗ 认不出：对方户名没登记，到【往来单位】加，或点「去改」手工选</v>
          </cell>
          <cell r="AB95">
            <v>0</v>
          </cell>
          <cell r="AC95">
            <v>29</v>
          </cell>
          <cell r="AD95">
            <v>-29</v>
          </cell>
          <cell r="AJ95">
            <v>0</v>
          </cell>
          <cell r="AK95">
            <v>0</v>
          </cell>
        </row>
        <row r="96">
          <cell r="B96" t="str">
            <v>微信-汪优丽</v>
          </cell>
          <cell r="H96" t="str">
            <v>滴滴出行</v>
          </cell>
          <cell r="J96" t="str">
            <v>商户消费 先乘车后付款</v>
          </cell>
          <cell r="N96">
            <v>46219.0</v>
          </cell>
          <cell r="O96" t="str">
            <v>中智优力</v>
          </cell>
          <cell r="P96" t="str">
            <v/>
          </cell>
          <cell r="Q96" t="str">
            <v/>
          </cell>
          <cell r="T96" t="str">
            <v/>
          </cell>
          <cell r="U96" t="str">
            <v/>
          </cell>
          <cell r="W96" t="str">
            <v/>
          </cell>
          <cell r="X96" t="str">
            <v>✗ 认不出：对方户名没登记，到【往来单位】加，或点「去改」手工选</v>
          </cell>
          <cell r="AB96">
            <v>0</v>
          </cell>
          <cell r="AC96">
            <v>10.36</v>
          </cell>
          <cell r="AD96">
            <v>-10.36</v>
          </cell>
          <cell r="AJ96">
            <v>0</v>
          </cell>
          <cell r="AK96">
            <v>0</v>
          </cell>
        </row>
        <row r="97">
          <cell r="B97" t="str">
            <v>微信-汪优丽</v>
          </cell>
          <cell r="H97" t="str">
            <v>国家税务总局</v>
          </cell>
          <cell r="J97" t="str">
            <v>商户消费 缴税业务</v>
          </cell>
          <cell r="N97">
            <v>46218.0</v>
          </cell>
          <cell r="O97" t="str">
            <v>中智优力</v>
          </cell>
          <cell r="P97" t="str">
            <v/>
          </cell>
          <cell r="Q97" t="str">
            <v/>
          </cell>
          <cell r="T97" t="str">
            <v/>
          </cell>
          <cell r="U97" t="str">
            <v/>
          </cell>
          <cell r="W97" t="str">
            <v/>
          </cell>
          <cell r="X97" t="str">
            <v>跳过：用银行卡/信用卡付的（银行流水里已经有这一笔）</v>
          </cell>
          <cell r="AB97">
            <v>0</v>
          </cell>
          <cell r="AC97">
            <v>0</v>
          </cell>
          <cell r="AD97">
            <v>0</v>
          </cell>
          <cell r="AJ97">
            <v>0</v>
          </cell>
          <cell r="AK97">
            <v>0</v>
          </cell>
        </row>
        <row r="98">
          <cell r="B98" t="str">
            <v>微信-汪优丽</v>
          </cell>
          <cell r="H98" t="str">
            <v>/</v>
          </cell>
          <cell r="J98" t="str">
            <v>转入零钱通-来自零钱</v>
          </cell>
          <cell r="N98">
            <v>46218.0</v>
          </cell>
          <cell r="O98" t="str">
            <v>中智优力</v>
          </cell>
          <cell r="P98" t="str">
            <v/>
          </cell>
          <cell r="Q98" t="str">
            <v/>
          </cell>
          <cell r="T98" t="str">
            <v/>
          </cell>
          <cell r="U98" t="str">
            <v/>
          </cell>
          <cell r="W98" t="str">
            <v/>
          </cell>
          <cell r="X98" t="str">
            <v>跳过：不计收支（零钱通、转给自己等）</v>
          </cell>
          <cell r="AB98">
            <v>0</v>
          </cell>
          <cell r="AC98">
            <v>0</v>
          </cell>
          <cell r="AD98">
            <v>0</v>
          </cell>
          <cell r="AJ98">
            <v>0</v>
          </cell>
          <cell r="AK98">
            <v>0</v>
          </cell>
        </row>
        <row r="99">
          <cell r="B99" t="str">
            <v>微信-汪优丽</v>
          </cell>
          <cell r="H99" t="str">
            <v>浙江新城数字科技有限公司</v>
          </cell>
          <cell r="J99" t="str">
            <v>商户消费 浙江新城数字科技有限公司</v>
          </cell>
          <cell r="N99">
            <v>46218.0</v>
          </cell>
          <cell r="O99" t="str">
            <v>中智优力</v>
          </cell>
          <cell r="P99" t="str">
            <v/>
          </cell>
          <cell r="Q99" t="str">
            <v/>
          </cell>
          <cell r="T99" t="str">
            <v/>
          </cell>
          <cell r="U99" t="str">
            <v/>
          </cell>
          <cell r="W99" t="str">
            <v/>
          </cell>
          <cell r="X99" t="str">
            <v>✗ 认不出：对方户名没登记，到【往来单位】加，或点「去改」手工选</v>
          </cell>
          <cell r="AB99">
            <v>0</v>
          </cell>
          <cell r="AC99">
            <v>3</v>
          </cell>
          <cell r="AD99">
            <v>-3</v>
          </cell>
          <cell r="AJ99">
            <v>0</v>
          </cell>
          <cell r="AK99">
            <v>0</v>
          </cell>
        </row>
        <row r="100">
          <cell r="B100" t="str">
            <v>微信-汪优丽</v>
          </cell>
          <cell r="H100" t="str">
            <v>水玲珑💖象山海鲜面，原第二碗面</v>
          </cell>
          <cell r="J100" t="str">
            <v>扫二维码付款 收款方备注:二维码收款</v>
          </cell>
          <cell r="N100">
            <v>46218.0</v>
          </cell>
          <cell r="O100" t="str">
            <v>中智优力</v>
          </cell>
          <cell r="P100" t="str">
            <v/>
          </cell>
          <cell r="Q100" t="str">
            <v/>
          </cell>
          <cell r="T100" t="str">
            <v/>
          </cell>
          <cell r="U100" t="str">
            <v/>
          </cell>
          <cell r="W100" t="str">
            <v/>
          </cell>
          <cell r="X100" t="str">
            <v>✗ 认不出：对方户名没登记，到【往来单位】加，或点「去改」手工选</v>
          </cell>
          <cell r="AB100">
            <v>0</v>
          </cell>
          <cell r="AC100">
            <v>32</v>
          </cell>
          <cell r="AD100">
            <v>-32</v>
          </cell>
          <cell r="AJ100">
            <v>0</v>
          </cell>
          <cell r="AK100">
            <v>0</v>
          </cell>
        </row>
        <row r="101">
          <cell r="B101" t="str">
            <v>微信-汪优丽</v>
          </cell>
          <cell r="H101" t="str">
            <v>8</v>
          </cell>
          <cell r="J101" t="str">
            <v>二维码收款 收款方备注:二维码收款</v>
          </cell>
          <cell r="N101">
            <v>46217.0</v>
          </cell>
          <cell r="O101" t="str">
            <v>中智优力</v>
          </cell>
          <cell r="P101" t="str">
            <v/>
          </cell>
          <cell r="Q101" t="str">
            <v/>
          </cell>
          <cell r="T101" t="str">
            <v/>
          </cell>
          <cell r="U101" t="str">
            <v/>
          </cell>
          <cell r="W101" t="str">
            <v/>
          </cell>
          <cell r="X101" t="str">
            <v>✗ 认不出：对方户名没登记，到【往来单位】加，或点「去改」手工选</v>
          </cell>
          <cell r="AB101">
            <v>10000</v>
          </cell>
          <cell r="AC101">
            <v>0</v>
          </cell>
          <cell r="AD101">
            <v>10000</v>
          </cell>
          <cell r="AJ101">
            <v>0</v>
          </cell>
          <cell r="AK101">
            <v>0</v>
          </cell>
        </row>
        <row r="102">
          <cell r="B102" t="str">
            <v>微信-汪优丽</v>
          </cell>
          <cell r="H102" t="str">
            <v>徐老师19-701 (＂赟＂有你)</v>
          </cell>
          <cell r="J102" t="str">
            <v>转账 转账备注:开心浅水湾代理费</v>
          </cell>
          <cell r="N102">
            <v>46216.0</v>
          </cell>
          <cell r="O102" t="str">
            <v>中智优力</v>
          </cell>
          <cell r="P102" t="str">
            <v/>
          </cell>
          <cell r="Q102" t="str">
            <v/>
          </cell>
          <cell r="T102" t="str">
            <v/>
          </cell>
          <cell r="U102" t="str">
            <v/>
          </cell>
          <cell r="W102" t="str">
            <v/>
          </cell>
          <cell r="X102" t="str">
            <v>✗ 认不出：对方户名没登记，到【往来单位】加，或点「去改」手工选</v>
          </cell>
          <cell r="AB102">
            <v>5400</v>
          </cell>
          <cell r="AC102">
            <v>0</v>
          </cell>
          <cell r="AD102">
            <v>5400</v>
          </cell>
          <cell r="AJ102">
            <v>0</v>
          </cell>
          <cell r="AK102">
            <v>0</v>
          </cell>
        </row>
        <row r="103">
          <cell r="B103" t="str">
            <v>微信-汪优丽</v>
          </cell>
          <cell r="H103" t="str">
            <v>啊顺 (浮生若梦)</v>
          </cell>
          <cell r="J103" t="str">
            <v>转账 转账备注:节哀</v>
          </cell>
          <cell r="N103">
            <v>46215.0</v>
          </cell>
          <cell r="O103" t="str">
            <v>中智优力</v>
          </cell>
          <cell r="P103" t="str">
            <v/>
          </cell>
          <cell r="Q103" t="str">
            <v/>
          </cell>
          <cell r="T103" t="str">
            <v/>
          </cell>
          <cell r="U103" t="str">
            <v/>
          </cell>
          <cell r="W103" t="str">
            <v/>
          </cell>
          <cell r="X103" t="str">
            <v>✗ 认不出：对方户名没登记，到【往来单位】加，或点「去改」手工选</v>
          </cell>
          <cell r="AB103">
            <v>0</v>
          </cell>
          <cell r="AC103">
            <v>2001</v>
          </cell>
          <cell r="AD103">
            <v>-2001</v>
          </cell>
          <cell r="AJ103">
            <v>0</v>
          </cell>
          <cell r="AK103">
            <v>0</v>
          </cell>
        </row>
        <row r="104">
          <cell r="B104" t="str">
            <v>微信-汪优丽</v>
          </cell>
          <cell r="H104" t="str">
            <v>宁波铭文餐饮管理有限公司</v>
          </cell>
          <cell r="J104" t="str">
            <v>宁波铭文餐饮管理有限公司-退款 宁波铭文餐饮管理有限公司</v>
          </cell>
          <cell r="N104">
            <v>46214.0</v>
          </cell>
          <cell r="O104" t="str">
            <v>中智优力</v>
          </cell>
          <cell r="P104" t="str">
            <v/>
          </cell>
          <cell r="Q104" t="str">
            <v/>
          </cell>
          <cell r="T104" t="str">
            <v/>
          </cell>
          <cell r="U104" t="str">
            <v/>
          </cell>
          <cell r="W104" t="str">
            <v/>
          </cell>
          <cell r="X104" t="str">
            <v>✗ 认不出：对方户名没登记，到【往来单位】加，或点「去改」手工选</v>
          </cell>
          <cell r="AB104">
            <v>297</v>
          </cell>
          <cell r="AC104">
            <v>0</v>
          </cell>
          <cell r="AD104">
            <v>297</v>
          </cell>
          <cell r="AJ104">
            <v>0</v>
          </cell>
          <cell r="AK104">
            <v>0</v>
          </cell>
        </row>
        <row r="105">
          <cell r="B105" t="str">
            <v>微信-汪优丽</v>
          </cell>
          <cell r="H105" t="str">
            <v>抖音生活服务商家</v>
          </cell>
          <cell r="J105" t="str">
            <v>商户消费 一品楼庆端午鲜活松叶蟹鲜活大白条鲜活龙虾4-5人九件套</v>
          </cell>
          <cell r="N105">
            <v>46214.0</v>
          </cell>
          <cell r="O105" t="str">
            <v>中智优力</v>
          </cell>
          <cell r="P105" t="str">
            <v/>
          </cell>
          <cell r="Q105" t="str">
            <v/>
          </cell>
          <cell r="T105" t="str">
            <v/>
          </cell>
          <cell r="U105" t="str">
            <v/>
          </cell>
          <cell r="W105" t="str">
            <v/>
          </cell>
          <cell r="X105" t="str">
            <v>✗ 认不出：对方户名没登记，到【往来单位】加，或点「去改」手工选</v>
          </cell>
          <cell r="AB105">
            <v>0</v>
          </cell>
          <cell r="AC105">
            <v>297</v>
          </cell>
          <cell r="AD105">
            <v>-297</v>
          </cell>
          <cell r="AJ105">
            <v>0</v>
          </cell>
          <cell r="AK105">
            <v>0</v>
          </cell>
        </row>
        <row r="106">
          <cell r="B106" t="str">
            <v>微信-汪优丽</v>
          </cell>
          <cell r="H106" t="str">
            <v>微信小店</v>
          </cell>
          <cell r="J106" t="str">
            <v>商户消费 【暑期特惠】199元经济舱机票单次兑换券</v>
          </cell>
          <cell r="N106">
            <v>46214.0</v>
          </cell>
          <cell r="O106" t="str">
            <v>中智优力</v>
          </cell>
          <cell r="P106" t="str">
            <v/>
          </cell>
          <cell r="Q106" t="str">
            <v/>
          </cell>
          <cell r="T106" t="str">
            <v/>
          </cell>
          <cell r="U106" t="str">
            <v/>
          </cell>
          <cell r="W106" t="str">
            <v/>
          </cell>
          <cell r="X106" t="str">
            <v>✗ 认不出：对方户名没登记，到【往来单位】加，或点「去改」手工选</v>
          </cell>
          <cell r="AB106">
            <v>0</v>
          </cell>
          <cell r="AC106">
            <v>199</v>
          </cell>
          <cell r="AD106">
            <v>-199</v>
          </cell>
          <cell r="AJ106">
            <v>0</v>
          </cell>
          <cell r="AK106">
            <v>0</v>
          </cell>
        </row>
        <row r="107">
          <cell r="B107" t="str">
            <v>微信-汪优丽</v>
          </cell>
          <cell r="H107" t="str">
            <v>张建良-金源印花厂-马会计介绍 (开)</v>
          </cell>
          <cell r="J107" t="str">
            <v>转账 转账备注:微信转账</v>
          </cell>
          <cell r="N107">
            <v>46214.0</v>
          </cell>
          <cell r="O107" t="str">
            <v>中智优力</v>
          </cell>
          <cell r="P107" t="str">
            <v/>
          </cell>
          <cell r="Q107" t="str">
            <v/>
          </cell>
          <cell r="T107" t="str">
            <v/>
          </cell>
          <cell r="U107" t="str">
            <v/>
          </cell>
          <cell r="W107" t="str">
            <v/>
          </cell>
          <cell r="X107" t="str">
            <v>✗ 认不出：对方户名没登记，到【往来单位】加，或点「去改」手工选</v>
          </cell>
          <cell r="AB107">
            <v>600</v>
          </cell>
          <cell r="AC107">
            <v>0</v>
          </cell>
          <cell r="AD107">
            <v>600</v>
          </cell>
          <cell r="AJ107">
            <v>0</v>
          </cell>
          <cell r="AK107">
            <v>0</v>
          </cell>
        </row>
        <row r="108">
          <cell r="B108" t="str">
            <v>微信-汪优丽</v>
          </cell>
          <cell r="H108" t="str">
            <v>微果品</v>
          </cell>
          <cell r="J108" t="str">
            <v>商户消费 宁波市鄞州五乡微果食品店</v>
          </cell>
          <cell r="N108">
            <v>46213.0</v>
          </cell>
          <cell r="O108" t="str">
            <v>中智优力</v>
          </cell>
          <cell r="P108" t="str">
            <v/>
          </cell>
          <cell r="Q108" t="str">
            <v/>
          </cell>
          <cell r="T108" t="str">
            <v/>
          </cell>
          <cell r="U108" t="str">
            <v/>
          </cell>
          <cell r="W108" t="str">
            <v/>
          </cell>
          <cell r="X108" t="str">
            <v>✗ 认不出：对方户名没登记，到【往来单位】加，或点「去改」手工选</v>
          </cell>
          <cell r="AB108">
            <v>0</v>
          </cell>
          <cell r="AC108">
            <v>1000</v>
          </cell>
          <cell r="AD108">
            <v>-1000</v>
          </cell>
          <cell r="AJ108">
            <v>0</v>
          </cell>
          <cell r="AK108">
            <v>0</v>
          </cell>
        </row>
        <row r="109">
          <cell r="B109" t="str">
            <v>微信-汪优丽</v>
          </cell>
          <cell r="H109" t="str">
            <v>/</v>
          </cell>
          <cell r="J109" t="str">
            <v>转入零钱通-来自零钱</v>
          </cell>
          <cell r="N109">
            <v>46213.0</v>
          </cell>
          <cell r="O109" t="str">
            <v>中智优力</v>
          </cell>
          <cell r="P109" t="str">
            <v/>
          </cell>
          <cell r="Q109" t="str">
            <v/>
          </cell>
          <cell r="T109" t="str">
            <v/>
          </cell>
          <cell r="U109" t="str">
            <v/>
          </cell>
          <cell r="W109" t="str">
            <v/>
          </cell>
          <cell r="X109" t="str">
            <v>跳过：不计收支（零钱通、转给自己等）</v>
          </cell>
          <cell r="AB109">
            <v>0</v>
          </cell>
          <cell r="AC109">
            <v>0</v>
          </cell>
          <cell r="AD109">
            <v>0</v>
          </cell>
          <cell r="AJ109">
            <v>0</v>
          </cell>
          <cell r="AK109">
            <v>0</v>
          </cell>
        </row>
        <row r="110">
          <cell r="B110" t="str">
            <v>微信-汪优丽</v>
          </cell>
          <cell r="H110" t="str">
            <v>深圳市顺易通信息科技有限公司</v>
          </cell>
          <cell r="J110" t="str">
            <v>商户消费 停车费用-浙-B212DN-P230761716</v>
          </cell>
          <cell r="N110">
            <v>46213.0</v>
          </cell>
          <cell r="O110" t="str">
            <v>中智优力</v>
          </cell>
          <cell r="P110" t="str">
            <v/>
          </cell>
          <cell r="Q110" t="str">
            <v/>
          </cell>
          <cell r="T110" t="str">
            <v>汽车费用</v>
          </cell>
          <cell r="U110" t="str">
            <v>变动成本</v>
          </cell>
          <cell r="W110" t="str">
            <v/>
          </cell>
          <cell r="X110" t="str">
            <v>√</v>
          </cell>
          <cell r="AB110">
            <v>0</v>
          </cell>
          <cell r="AC110">
            <v>3</v>
          </cell>
          <cell r="AD110">
            <v>-3</v>
          </cell>
          <cell r="AJ110">
            <v>0</v>
          </cell>
          <cell r="AK110">
            <v>0</v>
          </cell>
        </row>
        <row r="111">
          <cell r="B111" t="str">
            <v>微信-汪优丽</v>
          </cell>
          <cell r="H111" t="str">
            <v>可奇饮品店</v>
          </cell>
          <cell r="J111" t="str">
            <v>商户消费 可奇饮品店</v>
          </cell>
          <cell r="N111">
            <v>46213.0</v>
          </cell>
          <cell r="O111" t="str">
            <v>中智优力</v>
          </cell>
          <cell r="P111" t="str">
            <v/>
          </cell>
          <cell r="Q111" t="str">
            <v/>
          </cell>
          <cell r="T111" t="str">
            <v/>
          </cell>
          <cell r="U111" t="str">
            <v/>
          </cell>
          <cell r="W111" t="str">
            <v/>
          </cell>
          <cell r="X111" t="str">
            <v>✗ 认不出：对方户名没登记，到【往来单位】加，或点「去改」手工选</v>
          </cell>
          <cell r="AB111">
            <v>0</v>
          </cell>
          <cell r="AC111">
            <v>28</v>
          </cell>
          <cell r="AD111">
            <v>-28</v>
          </cell>
          <cell r="AJ111">
            <v>0</v>
          </cell>
          <cell r="AK111">
            <v>0</v>
          </cell>
        </row>
        <row r="112">
          <cell r="B112" t="str">
            <v>微信-汪优丽</v>
          </cell>
          <cell r="H112" t="str">
            <v>宁波云停车</v>
          </cell>
          <cell r="J112" t="str">
            <v>商户消费 宁波皓东基础设施建设开发有限公司</v>
          </cell>
          <cell r="N112">
            <v>46213.0</v>
          </cell>
          <cell r="O112" t="str">
            <v>中智优力</v>
          </cell>
          <cell r="P112" t="str">
            <v/>
          </cell>
          <cell r="Q112" t="str">
            <v/>
          </cell>
          <cell r="T112" t="str">
            <v>汽车费用</v>
          </cell>
          <cell r="U112" t="str">
            <v>变动成本</v>
          </cell>
          <cell r="W112" t="str">
            <v/>
          </cell>
          <cell r="X112" t="str">
            <v>√</v>
          </cell>
          <cell r="AB112">
            <v>0</v>
          </cell>
          <cell r="AC112">
            <v>10</v>
          </cell>
          <cell r="AD112">
            <v>-10</v>
          </cell>
          <cell r="AJ112">
            <v>0</v>
          </cell>
          <cell r="AK112">
            <v>0</v>
          </cell>
        </row>
        <row r="113">
          <cell r="B113" t="str">
            <v>微信-汪优丽</v>
          </cell>
          <cell r="H113" t="str">
            <v>王丹露-应聘开票员 (🥰二哥)</v>
          </cell>
          <cell r="J113" t="str">
            <v>转账 转账备注:微信转账</v>
          </cell>
          <cell r="N113">
            <v>46213.0</v>
          </cell>
          <cell r="O113" t="str">
            <v>中智优力</v>
          </cell>
          <cell r="P113" t="str">
            <v/>
          </cell>
          <cell r="Q113" t="str">
            <v/>
          </cell>
          <cell r="T113" t="str">
            <v/>
          </cell>
          <cell r="U113" t="str">
            <v/>
          </cell>
          <cell r="W113" t="str">
            <v/>
          </cell>
          <cell r="X113" t="str">
            <v>✗ 认不出：对方户名没登记，到【往来单位】加，或点「去改」手工选</v>
          </cell>
          <cell r="AB113">
            <v>1500</v>
          </cell>
          <cell r="AC113">
            <v>0</v>
          </cell>
          <cell r="AD113">
            <v>1500</v>
          </cell>
          <cell r="AJ113">
            <v>0</v>
          </cell>
          <cell r="AK113">
            <v>0</v>
          </cell>
        </row>
        <row r="114">
          <cell r="B114" t="str">
            <v>微信-汪优丽</v>
          </cell>
          <cell r="H114" t="str">
            <v>微果品</v>
          </cell>
          <cell r="J114" t="str">
            <v>商户消费 宁波市鄞州五乡微果食品店</v>
          </cell>
          <cell r="N114">
            <v>46212.0</v>
          </cell>
          <cell r="O114" t="str">
            <v>中智优力</v>
          </cell>
          <cell r="P114" t="str">
            <v/>
          </cell>
          <cell r="Q114" t="str">
            <v/>
          </cell>
          <cell r="T114" t="str">
            <v/>
          </cell>
          <cell r="U114" t="str">
            <v/>
          </cell>
          <cell r="W114" t="str">
            <v/>
          </cell>
          <cell r="X114" t="str">
            <v>✗ 认不出：对方户名没登记，到【往来单位】加，或点「去改」手工选</v>
          </cell>
          <cell r="AB114">
            <v>0</v>
          </cell>
          <cell r="AC114">
            <v>69.5</v>
          </cell>
          <cell r="AD114">
            <v>-69.5</v>
          </cell>
          <cell r="AJ114">
            <v>0</v>
          </cell>
          <cell r="AK114">
            <v>0</v>
          </cell>
        </row>
        <row r="115">
          <cell r="B115" t="str">
            <v>微信-汪优丽</v>
          </cell>
          <cell r="H115" t="str">
            <v>浙江新城数字科技有限公司</v>
          </cell>
          <cell r="J115" t="str">
            <v>商户消费 浙江新城数字科技有限公司</v>
          </cell>
          <cell r="N115">
            <v>46211.0</v>
          </cell>
          <cell r="O115" t="str">
            <v>中智优力</v>
          </cell>
          <cell r="P115" t="str">
            <v/>
          </cell>
          <cell r="Q115" t="str">
            <v/>
          </cell>
          <cell r="T115" t="str">
            <v/>
          </cell>
          <cell r="U115" t="str">
            <v/>
          </cell>
          <cell r="W115" t="str">
            <v/>
          </cell>
          <cell r="X115" t="str">
            <v>✗ 认不出：对方户名没登记，到【往来单位】加，或点「去改」手工选</v>
          </cell>
          <cell r="AB115">
            <v>0</v>
          </cell>
          <cell r="AC115">
            <v>3</v>
          </cell>
          <cell r="AD115">
            <v>-3</v>
          </cell>
          <cell r="AJ115">
            <v>0</v>
          </cell>
          <cell r="AK115">
            <v>0</v>
          </cell>
        </row>
        <row r="116">
          <cell r="B116" t="str">
            <v>微信-汪优丽</v>
          </cell>
          <cell r="H116" t="str">
            <v>宁波云停车</v>
          </cell>
          <cell r="J116" t="str">
            <v>商户消费 宁波皓东基础设施建设开发有限公司</v>
          </cell>
          <cell r="N116">
            <v>46211.0</v>
          </cell>
          <cell r="O116" t="str">
            <v>中智优力</v>
          </cell>
          <cell r="P116" t="str">
            <v/>
          </cell>
          <cell r="Q116" t="str">
            <v/>
          </cell>
          <cell r="T116" t="str">
            <v>汽车费用</v>
          </cell>
          <cell r="U116" t="str">
            <v>变动成本</v>
          </cell>
          <cell r="W116" t="str">
            <v/>
          </cell>
          <cell r="X116" t="str">
            <v>√</v>
          </cell>
          <cell r="AB116">
            <v>0</v>
          </cell>
          <cell r="AC116">
            <v>3</v>
          </cell>
          <cell r="AD116">
            <v>-3</v>
          </cell>
          <cell r="AJ116">
            <v>0</v>
          </cell>
          <cell r="AK116">
            <v>0</v>
          </cell>
        </row>
        <row r="117">
          <cell r="B117" t="str">
            <v>微信-汪优丽</v>
          </cell>
          <cell r="H117" t="str">
            <v>浙江新城数字科技有限公司</v>
          </cell>
          <cell r="J117" t="str">
            <v>商户消费 浙江新城数字科技有限公司</v>
          </cell>
          <cell r="N117">
            <v>46211.0</v>
          </cell>
          <cell r="O117" t="str">
            <v>中智优力</v>
          </cell>
          <cell r="P117" t="str">
            <v/>
          </cell>
          <cell r="Q117" t="str">
            <v/>
          </cell>
          <cell r="T117" t="str">
            <v/>
          </cell>
          <cell r="U117" t="str">
            <v/>
          </cell>
          <cell r="W117" t="str">
            <v/>
          </cell>
          <cell r="X117" t="str">
            <v>✗ 认不出：对方户名没登记，到【往来单位】加，或点「去改」手工选</v>
          </cell>
          <cell r="AB117">
            <v>0</v>
          </cell>
          <cell r="AC117">
            <v>3</v>
          </cell>
          <cell r="AD117">
            <v>-3</v>
          </cell>
          <cell r="AJ117">
            <v>0</v>
          </cell>
          <cell r="AK117">
            <v>0</v>
          </cell>
        </row>
        <row r="118">
          <cell r="B118" t="str">
            <v>微信-汪优丽</v>
          </cell>
          <cell r="H118" t="str">
            <v>宁波基地百合</v>
          </cell>
          <cell r="J118" t="str">
            <v>转账 转账备注:鲜花</v>
          </cell>
          <cell r="N118">
            <v>46210.0</v>
          </cell>
          <cell r="O118" t="str">
            <v>中智优力</v>
          </cell>
          <cell r="P118" t="str">
            <v/>
          </cell>
          <cell r="Q118" t="str">
            <v/>
          </cell>
          <cell r="T118" t="str">
            <v/>
          </cell>
          <cell r="U118" t="str">
            <v/>
          </cell>
          <cell r="W118" t="str">
            <v/>
          </cell>
          <cell r="X118" t="str">
            <v>✗ 认不出：对方户名没登记，到【往来单位】加，或点「去改」手工选</v>
          </cell>
          <cell r="AB118">
            <v>0</v>
          </cell>
          <cell r="AC118">
            <v>120</v>
          </cell>
          <cell r="AD118">
            <v>-120</v>
          </cell>
          <cell r="AJ118">
            <v>0</v>
          </cell>
          <cell r="AK118">
            <v>0</v>
          </cell>
        </row>
        <row r="119">
          <cell r="B119" t="str">
            <v>微信-汪优丽</v>
          </cell>
          <cell r="H119" t="str">
            <v>浙江新城数字科技有限公司</v>
          </cell>
          <cell r="J119" t="str">
            <v>商户消费 浙江新城数字科技有限公司</v>
          </cell>
          <cell r="N119">
            <v>46210.0</v>
          </cell>
          <cell r="O119" t="str">
            <v>中智优力</v>
          </cell>
          <cell r="P119" t="str">
            <v/>
          </cell>
          <cell r="Q119" t="str">
            <v/>
          </cell>
          <cell r="T119" t="str">
            <v/>
          </cell>
          <cell r="U119" t="str">
            <v/>
          </cell>
          <cell r="W119" t="str">
            <v/>
          </cell>
          <cell r="X119" t="str">
            <v>✗ 认不出：对方户名没登记，到【往来单位】加，或点「去改」手工选</v>
          </cell>
          <cell r="AB119">
            <v>0</v>
          </cell>
          <cell r="AC119">
            <v>5</v>
          </cell>
          <cell r="AD119">
            <v>-5</v>
          </cell>
          <cell r="AJ119">
            <v>0</v>
          </cell>
          <cell r="AK119">
            <v>0</v>
          </cell>
        </row>
        <row r="120">
          <cell r="B120" t="str">
            <v>微信-汪优丽</v>
          </cell>
          <cell r="H120" t="str">
            <v>浙江新城数字科技有限公司</v>
          </cell>
          <cell r="J120" t="str">
            <v>商户消费 浙江新城数字科技有限公司</v>
          </cell>
          <cell r="N120">
            <v>46209.0</v>
          </cell>
          <cell r="O120" t="str">
            <v>中智优力</v>
          </cell>
          <cell r="P120" t="str">
            <v/>
          </cell>
          <cell r="Q120" t="str">
            <v/>
          </cell>
          <cell r="T120" t="str">
            <v/>
          </cell>
          <cell r="U120" t="str">
            <v/>
          </cell>
          <cell r="W120" t="str">
            <v/>
          </cell>
          <cell r="X120" t="str">
            <v>✗ 认不出：对方户名没登记，到【往来单位】加，或点「去改」手工选</v>
          </cell>
          <cell r="AB120">
            <v>0</v>
          </cell>
          <cell r="AC120">
            <v>5</v>
          </cell>
          <cell r="AD120">
            <v>-5</v>
          </cell>
          <cell r="AJ120">
            <v>0</v>
          </cell>
          <cell r="AK120">
            <v>0</v>
          </cell>
        </row>
        <row r="121">
          <cell r="B121" t="str">
            <v>微信-汪优丽</v>
          </cell>
          <cell r="H121" t="str">
            <v>徐老师19-701 (＂赟＂有你)</v>
          </cell>
          <cell r="J121" t="str">
            <v>转账 转账备注:开聪代理费</v>
          </cell>
          <cell r="N121">
            <v>46209.0</v>
          </cell>
          <cell r="O121" t="str">
            <v>中智优力</v>
          </cell>
          <cell r="P121" t="str">
            <v/>
          </cell>
          <cell r="Q121" t="str">
            <v/>
          </cell>
          <cell r="T121" t="str">
            <v/>
          </cell>
          <cell r="U121" t="str">
            <v/>
          </cell>
          <cell r="W121" t="str">
            <v/>
          </cell>
          <cell r="X121" t="str">
            <v>✗ 认不出：对方户名没登记，到【往来单位】加，或点「去改」手工选</v>
          </cell>
          <cell r="AB121">
            <v>3900</v>
          </cell>
          <cell r="AC121">
            <v>0</v>
          </cell>
          <cell r="AD121">
            <v>3900</v>
          </cell>
          <cell r="AJ121">
            <v>0</v>
          </cell>
          <cell r="AK121">
            <v>0</v>
          </cell>
        </row>
        <row r="122">
          <cell r="B122" t="str">
            <v>微信-汪优丽</v>
          </cell>
          <cell r="H122" t="str">
            <v>浙江新城数字科技有限公司</v>
          </cell>
          <cell r="J122" t="str">
            <v>商户消费 浙江新城数字科技有限公司</v>
          </cell>
          <cell r="N122">
            <v>46209.0</v>
          </cell>
          <cell r="O122" t="str">
            <v>中智优力</v>
          </cell>
          <cell r="P122" t="str">
            <v/>
          </cell>
          <cell r="Q122" t="str">
            <v/>
          </cell>
          <cell r="T122" t="str">
            <v/>
          </cell>
          <cell r="U122" t="str">
            <v/>
          </cell>
          <cell r="W122" t="str">
            <v/>
          </cell>
          <cell r="X122" t="str">
            <v>✗ 认不出：对方户名没登记，到【往来单位】加，或点「去改」手工选</v>
          </cell>
          <cell r="AB122">
            <v>0</v>
          </cell>
          <cell r="AC122">
            <v>3</v>
          </cell>
          <cell r="AD122">
            <v>-3</v>
          </cell>
          <cell r="AJ122">
            <v>0</v>
          </cell>
          <cell r="AK122">
            <v>0</v>
          </cell>
        </row>
        <row r="123">
          <cell r="B123" t="str">
            <v>微信-汪优丽</v>
          </cell>
          <cell r="H123" t="str">
            <v>浙江新城数字科技有限公司</v>
          </cell>
          <cell r="J123" t="str">
            <v>商户消费 浙江新城数字科技有限公司</v>
          </cell>
          <cell r="N123">
            <v>46208.0</v>
          </cell>
          <cell r="O123" t="str">
            <v>中智优力</v>
          </cell>
          <cell r="P123" t="str">
            <v/>
          </cell>
          <cell r="Q123" t="str">
            <v/>
          </cell>
          <cell r="T123" t="str">
            <v/>
          </cell>
          <cell r="U123" t="str">
            <v/>
          </cell>
          <cell r="W123" t="str">
            <v/>
          </cell>
          <cell r="X123" t="str">
            <v>✗ 认不出：对方户名没登记，到【往来单位】加，或点「去改」手工选</v>
          </cell>
          <cell r="AB123">
            <v>0</v>
          </cell>
          <cell r="AC123">
            <v>5</v>
          </cell>
          <cell r="AD123">
            <v>-5</v>
          </cell>
          <cell r="AJ123">
            <v>0</v>
          </cell>
          <cell r="AK123">
            <v>0</v>
          </cell>
        </row>
        <row r="124">
          <cell r="B124" t="str">
            <v>微信-汪优丽</v>
          </cell>
          <cell r="H124" t="str">
            <v>阿东小味18957817620东钱湖吃饭 (阿东小味18957817620)</v>
          </cell>
          <cell r="J124" t="str">
            <v>转账 转账备注:晚饭</v>
          </cell>
          <cell r="N124">
            <v>46207.0</v>
          </cell>
          <cell r="O124" t="str">
            <v>中智优力</v>
          </cell>
          <cell r="P124" t="str">
            <v/>
          </cell>
          <cell r="Q124" t="str">
            <v/>
          </cell>
          <cell r="T124" t="str">
            <v/>
          </cell>
          <cell r="U124" t="str">
            <v/>
          </cell>
          <cell r="W124" t="str">
            <v/>
          </cell>
          <cell r="X124" t="str">
            <v>✗ 认不出：对方户名没登记，到【往来单位】加，或点「去改」手工选</v>
          </cell>
          <cell r="AB124">
            <v>0</v>
          </cell>
          <cell r="AC124">
            <v>1500</v>
          </cell>
          <cell r="AD124">
            <v>-1500</v>
          </cell>
          <cell r="AJ124">
            <v>0</v>
          </cell>
          <cell r="AK124">
            <v>0</v>
          </cell>
        </row>
        <row r="125">
          <cell r="B125" t="str">
            <v>微信-汪优丽</v>
          </cell>
          <cell r="H125" t="str">
            <v>宁波云停车</v>
          </cell>
          <cell r="J125" t="str">
            <v>商户消费 宁波皓东基础设施建设开发有限公司</v>
          </cell>
          <cell r="N125">
            <v>46206.0</v>
          </cell>
          <cell r="O125" t="str">
            <v>中智优力</v>
          </cell>
          <cell r="P125" t="str">
            <v/>
          </cell>
          <cell r="Q125" t="str">
            <v/>
          </cell>
          <cell r="T125" t="str">
            <v>汽车费用</v>
          </cell>
          <cell r="U125" t="str">
            <v>变动成本</v>
          </cell>
          <cell r="W125" t="str">
            <v/>
          </cell>
          <cell r="X125" t="str">
            <v>√</v>
          </cell>
          <cell r="AB125">
            <v>0</v>
          </cell>
          <cell r="AC125">
            <v>3</v>
          </cell>
          <cell r="AD125">
            <v>-3</v>
          </cell>
          <cell r="AJ125">
            <v>0</v>
          </cell>
          <cell r="AK125">
            <v>0</v>
          </cell>
        </row>
        <row r="126">
          <cell r="B126" t="str">
            <v>微信-汪优丽</v>
          </cell>
          <cell r="H126" t="str">
            <v>微信小店</v>
          </cell>
          <cell r="J126" t="str">
            <v>商户消费 【顺佳】家长学业规划指南</v>
          </cell>
          <cell r="N126">
            <v>46206.0</v>
          </cell>
          <cell r="O126" t="str">
            <v>中智优力</v>
          </cell>
          <cell r="P126" t="str">
            <v/>
          </cell>
          <cell r="Q126" t="str">
            <v/>
          </cell>
          <cell r="T126" t="str">
            <v/>
          </cell>
          <cell r="U126" t="str">
            <v/>
          </cell>
          <cell r="W126" t="str">
            <v/>
          </cell>
          <cell r="X126" t="str">
            <v>✗ 认不出：对方户名没登记，到【往来单位】加，或点「去改」手工选</v>
          </cell>
          <cell r="AB126">
            <v>0</v>
          </cell>
          <cell r="AC126">
            <v>5</v>
          </cell>
          <cell r="AD126">
            <v>-5</v>
          </cell>
          <cell r="AJ126">
            <v>0</v>
          </cell>
          <cell r="AK126">
            <v>0</v>
          </cell>
        </row>
        <row r="127">
          <cell r="B127" t="str">
            <v>微信-汪优丽</v>
          </cell>
          <cell r="H127" t="str">
            <v>优君 (太平公主👸汪优君)</v>
          </cell>
          <cell r="J127" t="str">
            <v>转账 转账备注:借款</v>
          </cell>
          <cell r="N127">
            <v>46204.0</v>
          </cell>
          <cell r="O127" t="str">
            <v>中智优力</v>
          </cell>
          <cell r="P127" t="str">
            <v/>
          </cell>
          <cell r="Q127" t="str">
            <v/>
          </cell>
          <cell r="T127" t="str">
            <v/>
          </cell>
          <cell r="U127" t="str">
            <v/>
          </cell>
          <cell r="W127" t="str">
            <v/>
          </cell>
          <cell r="X127" t="str">
            <v>✗ 认不出：对方户名没登记，到【往来单位】加，或点「去改」手工选</v>
          </cell>
          <cell r="AB127">
            <v>0</v>
          </cell>
          <cell r="AC127">
            <v>20000</v>
          </cell>
          <cell r="AD127">
            <v>-20000</v>
          </cell>
          <cell r="AJ127">
            <v>0</v>
          </cell>
          <cell r="AK127">
            <v>0</v>
          </cell>
        </row>
        <row r="128">
          <cell r="B128" t="str">
            <v>微信-汪优丽</v>
          </cell>
          <cell r="H128" t="str">
            <v>宁波云停车</v>
          </cell>
          <cell r="J128" t="str">
            <v>商户消费 宁波皓东基础设施建设开发有限公司</v>
          </cell>
          <cell r="N128">
            <v>46204.0</v>
          </cell>
          <cell r="O128" t="str">
            <v>中智优力</v>
          </cell>
          <cell r="P128" t="str">
            <v/>
          </cell>
          <cell r="Q128" t="str">
            <v/>
          </cell>
          <cell r="T128" t="str">
            <v>汽车费用</v>
          </cell>
          <cell r="U128" t="str">
            <v>变动成本</v>
          </cell>
          <cell r="W128" t="str">
            <v/>
          </cell>
          <cell r="X128" t="str">
            <v>√</v>
          </cell>
          <cell r="AB128">
            <v>0</v>
          </cell>
          <cell r="AC128">
            <v>3</v>
          </cell>
          <cell r="AD128">
            <v>-3</v>
          </cell>
          <cell r="AJ128">
            <v>0</v>
          </cell>
          <cell r="AK128">
            <v>0</v>
          </cell>
        </row>
        <row r="129">
          <cell r="B129" t="str">
            <v>微信-汪优丽</v>
          </cell>
          <cell r="H129" t="str">
            <v>群主大大-日上 (Clever)</v>
          </cell>
          <cell r="J129" t="str">
            <v>转账 转账备注:微信转账</v>
          </cell>
          <cell r="N129">
            <v>46204.0</v>
          </cell>
          <cell r="O129" t="str">
            <v>中智优力</v>
          </cell>
          <cell r="P129" t="str">
            <v/>
          </cell>
          <cell r="Q129" t="str">
            <v/>
          </cell>
          <cell r="T129" t="str">
            <v/>
          </cell>
          <cell r="U129" t="str">
            <v/>
          </cell>
          <cell r="W129" t="str">
            <v/>
          </cell>
          <cell r="X129" t="str">
            <v>✗ 认不出：对方户名没登记，到【往来单位】加，或点「去改」手工选</v>
          </cell>
          <cell r="AB129">
            <v>0</v>
          </cell>
          <cell r="AC129">
            <v>190</v>
          </cell>
          <cell r="AD129">
            <v>-190</v>
          </cell>
          <cell r="AJ129">
            <v>0</v>
          </cell>
          <cell r="AK129">
            <v>0</v>
          </cell>
        </row>
        <row r="130">
          <cell r="B130" t="str">
            <v>微信-汪优丽</v>
          </cell>
          <cell r="H130" t="str">
            <v>浙江紫荆花物业服务有限公司</v>
          </cell>
          <cell r="J130" t="str">
            <v>商户消费 宁波雷蒙德旅游大厦停车场-停车缴费-浙B212DN</v>
          </cell>
          <cell r="N130">
            <v>46204.0</v>
          </cell>
          <cell r="O130" t="str">
            <v>中智优力</v>
          </cell>
          <cell r="P130" t="str">
            <v/>
          </cell>
          <cell r="Q130" t="str">
            <v/>
          </cell>
          <cell r="T130" t="str">
            <v>汽车费用</v>
          </cell>
          <cell r="U130" t="str">
            <v>变动成本</v>
          </cell>
          <cell r="W130" t="str">
            <v/>
          </cell>
          <cell r="X130" t="str">
            <v>√</v>
          </cell>
          <cell r="AB130">
            <v>0</v>
          </cell>
          <cell r="AC130">
            <v>10</v>
          </cell>
          <cell r="AD130">
            <v>-10</v>
          </cell>
          <cell r="AJ130">
            <v>0</v>
          </cell>
          <cell r="AK130">
            <v>0</v>
          </cell>
        </row>
        <row r="131">
          <cell r="B131" t="str">
            <v>微信商户0744</v>
          </cell>
          <cell r="H131" t="str">
            <v/>
          </cell>
          <cell r="J131" t="str">
            <v>交易手续费 押金消费金额 146.00 元;含手续费 0.29 元</v>
          </cell>
          <cell r="N131">
            <v>46289.0</v>
          </cell>
          <cell r="O131" t="str">
            <v>中智优力</v>
          </cell>
          <cell r="P131" t="str">
            <v/>
          </cell>
          <cell r="Q131" t="str">
            <v/>
          </cell>
          <cell r="T131" t="str">
            <v>银行手续费</v>
          </cell>
          <cell r="U131" t="str">
            <v>变动成本</v>
          </cell>
          <cell r="W131" t="str">
            <v>✓</v>
          </cell>
          <cell r="X131" t="str">
            <v>√</v>
          </cell>
          <cell r="AB131">
            <v>0</v>
          </cell>
          <cell r="AC131">
            <v>0.29</v>
          </cell>
          <cell r="AD131">
            <v>-0.29</v>
          </cell>
          <cell r="AJ131">
            <v>0</v>
          </cell>
          <cell r="AK131">
            <v>0</v>
          </cell>
        </row>
        <row r="132">
          <cell r="B132" t="str">
            <v>微信商户0744</v>
          </cell>
          <cell r="H132" t="str">
            <v/>
          </cell>
          <cell r="J132" t="str">
            <v>收款 押金消费金额 146.00 元;含手续费 0.29 元</v>
          </cell>
          <cell r="N132">
            <v>46289.0</v>
          </cell>
          <cell r="O132" t="str">
            <v>中智优力</v>
          </cell>
          <cell r="P132" t="str">
            <v/>
          </cell>
          <cell r="Q132" t="str">
            <v/>
          </cell>
          <cell r="T132" t="str">
            <v/>
          </cell>
          <cell r="U132" t="str">
            <v/>
          </cell>
          <cell r="W132" t="str">
            <v>✓</v>
          </cell>
          <cell r="X132" t="str">
            <v>✗ 请点「去改」选收支项目</v>
          </cell>
          <cell r="AB132">
            <v>146</v>
          </cell>
          <cell r="AC132">
            <v>0</v>
          </cell>
          <cell r="AD132">
            <v>146</v>
          </cell>
          <cell r="AJ132">
            <v>0</v>
          </cell>
          <cell r="AK132">
            <v>0</v>
          </cell>
        </row>
        <row r="133">
          <cell r="B133" t="str">
            <v>微信商户0744</v>
          </cell>
          <cell r="H133" t="str">
            <v/>
          </cell>
          <cell r="J133" t="str">
            <v>交易手续费 押金消费金额 63.00 元;含手续费 0.13 元</v>
          </cell>
          <cell r="N133">
            <v>46288.0</v>
          </cell>
          <cell r="O133" t="str">
            <v>中智优力</v>
          </cell>
          <cell r="P133" t="str">
            <v/>
          </cell>
          <cell r="Q133" t="str">
            <v/>
          </cell>
          <cell r="T133" t="str">
            <v>银行手续费</v>
          </cell>
          <cell r="U133" t="str">
            <v>变动成本</v>
          </cell>
          <cell r="W133" t="str">
            <v>✓</v>
          </cell>
          <cell r="X133" t="str">
            <v>√</v>
          </cell>
          <cell r="AB133">
            <v>0</v>
          </cell>
          <cell r="AC133">
            <v>0.13</v>
          </cell>
          <cell r="AD133">
            <v>-0.13</v>
          </cell>
          <cell r="AJ133">
            <v>0</v>
          </cell>
          <cell r="AK133">
            <v>0</v>
          </cell>
        </row>
        <row r="134">
          <cell r="B134" t="str">
            <v>微信商户0744</v>
          </cell>
          <cell r="H134" t="str">
            <v/>
          </cell>
          <cell r="J134" t="str">
            <v>收款 押金消费金额 63.00 元;含手续费 0.13 元</v>
          </cell>
          <cell r="N134">
            <v>46288.0</v>
          </cell>
          <cell r="O134" t="str">
            <v>中智优力</v>
          </cell>
          <cell r="P134" t="str">
            <v/>
          </cell>
          <cell r="Q134" t="str">
            <v/>
          </cell>
          <cell r="T134" t="str">
            <v/>
          </cell>
          <cell r="U134" t="str">
            <v/>
          </cell>
          <cell r="W134" t="str">
            <v>✓</v>
          </cell>
          <cell r="X134" t="str">
            <v>✗ 请点「去改」选收支项目</v>
          </cell>
          <cell r="AB134">
            <v>63</v>
          </cell>
          <cell r="AC134">
            <v>0</v>
          </cell>
          <cell r="AD134">
            <v>63</v>
          </cell>
          <cell r="AJ134">
            <v>0</v>
          </cell>
          <cell r="AK134">
            <v>0</v>
          </cell>
        </row>
        <row r="135">
          <cell r="B135" t="str">
            <v>微信商户0744</v>
          </cell>
          <cell r="H135" t="str">
            <v/>
          </cell>
          <cell r="J135" t="str">
            <v>提现</v>
          </cell>
          <cell r="N135">
            <v>46283.0</v>
          </cell>
          <cell r="O135" t="str">
            <v>中智优力</v>
          </cell>
          <cell r="P135" t="str">
            <v/>
          </cell>
          <cell r="Q135" t="str">
            <v/>
          </cell>
          <cell r="T135" t="str">
            <v>账户互转</v>
          </cell>
          <cell r="U135" t="str">
            <v>账户互转</v>
          </cell>
          <cell r="W135" t="str">
            <v>✓</v>
          </cell>
          <cell r="X135" t="str">
            <v>√</v>
          </cell>
          <cell r="AB135">
            <v>0</v>
          </cell>
          <cell r="AC135">
            <v>54976.4</v>
          </cell>
          <cell r="AD135">
            <v>-54976.4</v>
          </cell>
          <cell r="AJ135">
            <v>0</v>
          </cell>
          <cell r="AK135">
            <v>0</v>
          </cell>
        </row>
        <row r="136">
          <cell r="B136" t="str">
            <v>微信商户0744</v>
          </cell>
          <cell r="H136" t="str">
            <v/>
          </cell>
          <cell r="J136" t="str">
            <v>收款 结算总金额 500.00 元;含手续费 1.00 元</v>
          </cell>
          <cell r="N136">
            <v>46280.0</v>
          </cell>
          <cell r="O136" t="str">
            <v>中智优力</v>
          </cell>
          <cell r="P136" t="str">
            <v/>
          </cell>
          <cell r="Q136" t="str">
            <v/>
          </cell>
          <cell r="T136" t="str">
            <v/>
          </cell>
          <cell r="U136" t="str">
            <v/>
          </cell>
          <cell r="W136" t="str">
            <v>✓</v>
          </cell>
          <cell r="X136" t="str">
            <v>✗ 请点「去改」选收支项目</v>
          </cell>
          <cell r="AB136">
            <v>500</v>
          </cell>
          <cell r="AC136">
            <v>0</v>
          </cell>
          <cell r="AD136">
            <v>500</v>
          </cell>
          <cell r="AJ136">
            <v>0</v>
          </cell>
          <cell r="AK136">
            <v>0</v>
          </cell>
        </row>
        <row r="137">
          <cell r="B137" t="str">
            <v>微信商户0744</v>
          </cell>
          <cell r="H137" t="str">
            <v/>
          </cell>
          <cell r="J137" t="str">
            <v>交易手续费 结算总金额 500.00 元;含手续费 1.00 元</v>
          </cell>
          <cell r="N137">
            <v>46280.0</v>
          </cell>
          <cell r="O137" t="str">
            <v>中智优力</v>
          </cell>
          <cell r="P137" t="str">
            <v/>
          </cell>
          <cell r="Q137" t="str">
            <v/>
          </cell>
          <cell r="T137" t="str">
            <v>银行手续费</v>
          </cell>
          <cell r="U137" t="str">
            <v>变动成本</v>
          </cell>
          <cell r="W137" t="str">
            <v>✓</v>
          </cell>
          <cell r="X137" t="str">
            <v>√</v>
          </cell>
          <cell r="AB137">
            <v>0</v>
          </cell>
          <cell r="AC137">
            <v>1</v>
          </cell>
          <cell r="AD137">
            <v>-1</v>
          </cell>
          <cell r="AJ137">
            <v>0</v>
          </cell>
          <cell r="AK137">
            <v>0</v>
          </cell>
        </row>
        <row r="138">
          <cell r="B138" t="str">
            <v>微信商户0744</v>
          </cell>
          <cell r="H138" t="str">
            <v/>
          </cell>
          <cell r="J138" t="str">
            <v>收款 结算总金额 5000.00 元;含手续费 10.00 元</v>
          </cell>
          <cell r="N138">
            <v>46276.0</v>
          </cell>
          <cell r="O138" t="str">
            <v>中智优力</v>
          </cell>
          <cell r="P138" t="str">
            <v/>
          </cell>
          <cell r="Q138" t="str">
            <v/>
          </cell>
          <cell r="T138" t="str">
            <v/>
          </cell>
          <cell r="U138" t="str">
            <v/>
          </cell>
          <cell r="W138" t="str">
            <v>✓</v>
          </cell>
          <cell r="X138" t="str">
            <v>✗ 请点「去改」选收支项目</v>
          </cell>
          <cell r="AB138">
            <v>5000</v>
          </cell>
          <cell r="AC138">
            <v>0</v>
          </cell>
          <cell r="AD138">
            <v>5000</v>
          </cell>
          <cell r="AJ138">
            <v>0</v>
          </cell>
          <cell r="AK138">
            <v>0</v>
          </cell>
        </row>
        <row r="139">
          <cell r="B139" t="str">
            <v>微信商户0744</v>
          </cell>
          <cell r="H139" t="str">
            <v/>
          </cell>
          <cell r="J139" t="str">
            <v>交易手续费 结算总金额 5000.00 元;含手续费 10.00 元</v>
          </cell>
          <cell r="N139">
            <v>46276.0</v>
          </cell>
          <cell r="O139" t="str">
            <v>中智优力</v>
          </cell>
          <cell r="P139" t="str">
            <v/>
          </cell>
          <cell r="Q139" t="str">
            <v/>
          </cell>
          <cell r="T139" t="str">
            <v>银行手续费</v>
          </cell>
          <cell r="U139" t="str">
            <v>变动成本</v>
          </cell>
          <cell r="W139" t="str">
            <v>✓</v>
          </cell>
          <cell r="X139" t="str">
            <v>√</v>
          </cell>
          <cell r="AB139">
            <v>0</v>
          </cell>
          <cell r="AC139">
            <v>10</v>
          </cell>
          <cell r="AD139">
            <v>-10</v>
          </cell>
          <cell r="AJ139">
            <v>0</v>
          </cell>
          <cell r="AK139">
            <v>0</v>
          </cell>
        </row>
        <row r="140">
          <cell r="B140" t="str">
            <v>微信商户0744</v>
          </cell>
          <cell r="H140" t="str">
            <v/>
          </cell>
          <cell r="J140" t="str">
            <v>交易手续费 押金消费金额 2000.00 元;含手续费 4.00 元</v>
          </cell>
          <cell r="N140">
            <v>46276.0</v>
          </cell>
          <cell r="O140" t="str">
            <v>中智优力</v>
          </cell>
          <cell r="P140" t="str">
            <v/>
          </cell>
          <cell r="Q140" t="str">
            <v/>
          </cell>
          <cell r="T140" t="str">
            <v>银行手续费</v>
          </cell>
          <cell r="U140" t="str">
            <v>变动成本</v>
          </cell>
          <cell r="W140" t="str">
            <v>✓</v>
          </cell>
          <cell r="X140" t="str">
            <v>√</v>
          </cell>
          <cell r="AB140">
            <v>0</v>
          </cell>
          <cell r="AC140">
            <v>4</v>
          </cell>
          <cell r="AD140">
            <v>-4</v>
          </cell>
          <cell r="AJ140">
            <v>0</v>
          </cell>
          <cell r="AK140">
            <v>0</v>
          </cell>
        </row>
        <row r="141">
          <cell r="B141" t="str">
            <v>微信商户0744</v>
          </cell>
          <cell r="H141" t="str">
            <v/>
          </cell>
          <cell r="J141" t="str">
            <v>收款 押金消费金额 2000.00 元;含手续费 4.00 元</v>
          </cell>
          <cell r="N141">
            <v>46276.0</v>
          </cell>
          <cell r="O141" t="str">
            <v>中智优力</v>
          </cell>
          <cell r="P141" t="str">
            <v/>
          </cell>
          <cell r="Q141" t="str">
            <v/>
          </cell>
          <cell r="T141" t="str">
            <v/>
          </cell>
          <cell r="U141" t="str">
            <v/>
          </cell>
          <cell r="W141" t="str">
            <v>✓</v>
          </cell>
          <cell r="X141" t="str">
            <v>✗ 请点「去改」选收支项目</v>
          </cell>
          <cell r="AB141">
            <v>2000</v>
          </cell>
          <cell r="AC141">
            <v>0</v>
          </cell>
          <cell r="AD141">
            <v>2000</v>
          </cell>
          <cell r="AJ141">
            <v>0</v>
          </cell>
          <cell r="AK141">
            <v>0</v>
          </cell>
        </row>
        <row r="142">
          <cell r="B142" t="str">
            <v>微信商户0744</v>
          </cell>
          <cell r="H142" t="str">
            <v/>
          </cell>
          <cell r="J142" t="str">
            <v>交易手续费 结算总金额 5000.00 元;含手续费 10.00 元</v>
          </cell>
          <cell r="N142">
            <v>46272.0</v>
          </cell>
          <cell r="O142" t="str">
            <v>中智优力</v>
          </cell>
          <cell r="P142" t="str">
            <v/>
          </cell>
          <cell r="Q142" t="str">
            <v/>
          </cell>
          <cell r="T142" t="str">
            <v>银行手续费</v>
          </cell>
          <cell r="U142" t="str">
            <v>变动成本</v>
          </cell>
          <cell r="W142" t="str">
            <v>✓</v>
          </cell>
          <cell r="X142" t="str">
            <v>√</v>
          </cell>
          <cell r="AB142">
            <v>0</v>
          </cell>
          <cell r="AC142">
            <v>10</v>
          </cell>
          <cell r="AD142">
            <v>-10</v>
          </cell>
          <cell r="AJ142">
            <v>0</v>
          </cell>
          <cell r="AK142">
            <v>0</v>
          </cell>
        </row>
        <row r="143">
          <cell r="B143" t="str">
            <v>微信商户0744</v>
          </cell>
          <cell r="H143" t="str">
            <v/>
          </cell>
          <cell r="J143" t="str">
            <v>收款 结算总金额 5000.00 元;含手续费 10.00 元</v>
          </cell>
          <cell r="N143">
            <v>46272.0</v>
          </cell>
          <cell r="O143" t="str">
            <v>中智优力</v>
          </cell>
          <cell r="P143" t="str">
            <v/>
          </cell>
          <cell r="Q143" t="str">
            <v/>
          </cell>
          <cell r="T143" t="str">
            <v/>
          </cell>
          <cell r="U143" t="str">
            <v/>
          </cell>
          <cell r="W143" t="str">
            <v>✓</v>
          </cell>
          <cell r="X143" t="str">
            <v>✗ 请点「去改」选收支项目</v>
          </cell>
          <cell r="AB143">
            <v>5000</v>
          </cell>
          <cell r="AC143">
            <v>0</v>
          </cell>
          <cell r="AD143">
            <v>5000</v>
          </cell>
          <cell r="AJ143">
            <v>0</v>
          </cell>
          <cell r="AK143">
            <v>0</v>
          </cell>
        </row>
        <row r="144">
          <cell r="B144" t="str">
            <v/>
          </cell>
          <cell r="H144" t="str">
            <v/>
          </cell>
          <cell r="J144" t="str">
            <v/>
          </cell>
          <cell r="N144" t="str">
            <v/>
          </cell>
          <cell r="O144" t="str">
            <v/>
          </cell>
          <cell r="P144" t="str">
            <v/>
          </cell>
          <cell r="Q144" t="str">
            <v/>
          </cell>
          <cell r="T144" t="str">
            <v/>
          </cell>
          <cell r="U144" t="str">
            <v/>
          </cell>
          <cell r="W144" t="str">
            <v/>
          </cell>
          <cell r="X144" t="str">
            <v/>
          </cell>
          <cell r="AB144">
            <v>0</v>
          </cell>
          <cell r="AC144">
            <v>0</v>
          </cell>
          <cell r="AD144">
            <v>0</v>
          </cell>
          <cell r="AJ144">
            <v>0</v>
          </cell>
          <cell r="AK144">
            <v>0</v>
          </cell>
        </row>
        <row r="145">
          <cell r="B145" t="str">
            <v/>
          </cell>
          <cell r="H145" t="str">
            <v/>
          </cell>
          <cell r="J145" t="str">
            <v/>
          </cell>
          <cell r="N145" t="str">
            <v/>
          </cell>
          <cell r="O145" t="str">
            <v/>
          </cell>
          <cell r="P145" t="str">
            <v/>
          </cell>
          <cell r="Q145" t="str">
            <v/>
          </cell>
          <cell r="T145" t="str">
            <v/>
          </cell>
          <cell r="U145" t="str">
            <v/>
          </cell>
          <cell r="W145" t="str">
            <v/>
          </cell>
          <cell r="X145" t="str">
            <v/>
          </cell>
          <cell r="AB145">
            <v>0</v>
          </cell>
          <cell r="AC145">
            <v>0</v>
          </cell>
          <cell r="AD145">
            <v>0</v>
          </cell>
          <cell r="AJ145">
            <v>0</v>
          </cell>
          <cell r="AK145">
            <v>0</v>
          </cell>
        </row>
        <row r="146">
          <cell r="B146" t="str">
            <v/>
          </cell>
          <cell r="H146" t="str">
            <v/>
          </cell>
          <cell r="J146" t="str">
            <v/>
          </cell>
          <cell r="N146" t="str">
            <v/>
          </cell>
          <cell r="O146" t="str">
            <v/>
          </cell>
          <cell r="P146" t="str">
            <v/>
          </cell>
          <cell r="Q146" t="str">
            <v/>
          </cell>
          <cell r="T146" t="str">
            <v/>
          </cell>
          <cell r="U146" t="str">
            <v/>
          </cell>
          <cell r="W146" t="str">
            <v/>
          </cell>
          <cell r="X146" t="str">
            <v/>
          </cell>
          <cell r="AB146">
            <v>0</v>
          </cell>
          <cell r="AC146">
            <v>0</v>
          </cell>
          <cell r="AD146">
            <v>0</v>
          </cell>
          <cell r="AJ146">
            <v>0</v>
          </cell>
          <cell r="AK146">
            <v>0</v>
          </cell>
        </row>
        <row r="147">
          <cell r="B147" t="str">
            <v/>
          </cell>
          <cell r="H147" t="str">
            <v/>
          </cell>
          <cell r="J147" t="str">
            <v/>
          </cell>
          <cell r="N147" t="str">
            <v/>
          </cell>
          <cell r="O147" t="str">
            <v/>
          </cell>
          <cell r="P147" t="str">
            <v/>
          </cell>
          <cell r="Q147" t="str">
            <v/>
          </cell>
          <cell r="T147" t="str">
            <v/>
          </cell>
          <cell r="U147" t="str">
            <v/>
          </cell>
          <cell r="W147" t="str">
            <v/>
          </cell>
          <cell r="X147" t="str">
            <v/>
          </cell>
          <cell r="AB147">
            <v>0</v>
          </cell>
          <cell r="AC147">
            <v>0</v>
          </cell>
          <cell r="AD147">
            <v>0</v>
          </cell>
          <cell r="AJ147">
            <v>0</v>
          </cell>
          <cell r="AK147">
            <v>0</v>
          </cell>
        </row>
        <row r="148">
          <cell r="B148" t="str">
            <v/>
          </cell>
          <cell r="H148" t="str">
            <v/>
          </cell>
          <cell r="J148" t="str">
            <v/>
          </cell>
          <cell r="N148" t="str">
            <v/>
          </cell>
          <cell r="O148" t="str">
            <v/>
          </cell>
          <cell r="P148" t="str">
            <v/>
          </cell>
          <cell r="Q148" t="str">
            <v/>
          </cell>
          <cell r="T148" t="str">
            <v/>
          </cell>
          <cell r="U148" t="str">
            <v/>
          </cell>
          <cell r="W148" t="str">
            <v/>
          </cell>
          <cell r="X148" t="str">
            <v/>
          </cell>
          <cell r="AB148">
            <v>0</v>
          </cell>
          <cell r="AC148">
            <v>0</v>
          </cell>
          <cell r="AD148">
            <v>0</v>
          </cell>
          <cell r="AJ148">
            <v>0</v>
          </cell>
          <cell r="AK148">
            <v>0</v>
          </cell>
        </row>
        <row r="149">
          <cell r="B149" t="str">
            <v/>
          </cell>
          <cell r="H149" t="str">
            <v/>
          </cell>
          <cell r="J149" t="str">
            <v/>
          </cell>
          <cell r="N149" t="str">
            <v/>
          </cell>
          <cell r="O149" t="str">
            <v/>
          </cell>
          <cell r="P149" t="str">
            <v/>
          </cell>
          <cell r="Q149" t="str">
            <v/>
          </cell>
          <cell r="T149" t="str">
            <v/>
          </cell>
          <cell r="U149" t="str">
            <v/>
          </cell>
          <cell r="W149" t="str">
            <v/>
          </cell>
          <cell r="X149" t="str">
            <v/>
          </cell>
          <cell r="AB149">
            <v>0</v>
          </cell>
          <cell r="AC149">
            <v>0</v>
          </cell>
          <cell r="AD149">
            <v>0</v>
          </cell>
          <cell r="AJ149">
            <v>0</v>
          </cell>
          <cell r="AK149">
            <v>0</v>
          </cell>
        </row>
        <row r="150">
          <cell r="B150" t="str">
            <v/>
          </cell>
          <cell r="H150" t="str">
            <v/>
          </cell>
          <cell r="J150" t="str">
            <v/>
          </cell>
          <cell r="N150" t="str">
            <v/>
          </cell>
          <cell r="O150" t="str">
            <v/>
          </cell>
          <cell r="P150" t="str">
            <v/>
          </cell>
          <cell r="Q150" t="str">
            <v/>
          </cell>
          <cell r="T150" t="str">
            <v/>
          </cell>
          <cell r="U150" t="str">
            <v/>
          </cell>
          <cell r="W150" t="str">
            <v/>
          </cell>
          <cell r="X150" t="str">
            <v/>
          </cell>
          <cell r="AB150">
            <v>0</v>
          </cell>
          <cell r="AC150">
            <v>0</v>
          </cell>
          <cell r="AD150">
            <v>0</v>
          </cell>
          <cell r="AJ150">
            <v>0</v>
          </cell>
          <cell r="AK150">
            <v>0</v>
          </cell>
        </row>
        <row r="151">
          <cell r="B151" t="str">
            <v/>
          </cell>
          <cell r="H151" t="str">
            <v/>
          </cell>
          <cell r="J151" t="str">
            <v/>
          </cell>
          <cell r="N151" t="str">
            <v/>
          </cell>
          <cell r="O151" t="str">
            <v/>
          </cell>
          <cell r="P151" t="str">
            <v/>
          </cell>
          <cell r="Q151" t="str">
            <v/>
          </cell>
          <cell r="T151" t="str">
            <v/>
          </cell>
          <cell r="U151" t="str">
            <v/>
          </cell>
          <cell r="W151" t="str">
            <v/>
          </cell>
          <cell r="X151" t="str">
            <v/>
          </cell>
          <cell r="AB151">
            <v>0</v>
          </cell>
          <cell r="AC151">
            <v>0</v>
          </cell>
          <cell r="AD151">
            <v>0</v>
          </cell>
          <cell r="AJ151">
            <v>0</v>
          </cell>
          <cell r="AK151">
            <v>0</v>
          </cell>
        </row>
        <row r="152">
          <cell r="B152" t="str">
            <v/>
          </cell>
          <cell r="H152" t="str">
            <v/>
          </cell>
          <cell r="J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  <cell r="T152" t="str">
            <v/>
          </cell>
          <cell r="U152" t="str">
            <v/>
          </cell>
          <cell r="W152" t="str">
            <v/>
          </cell>
          <cell r="X152" t="str">
            <v/>
          </cell>
          <cell r="AB152">
            <v>0</v>
          </cell>
          <cell r="AC152">
            <v>0</v>
          </cell>
          <cell r="AD152">
            <v>0</v>
          </cell>
          <cell r="AJ152">
            <v>0</v>
          </cell>
          <cell r="AK152">
            <v>0</v>
          </cell>
        </row>
        <row r="153">
          <cell r="B153" t="str">
            <v/>
          </cell>
          <cell r="H153" t="str">
            <v/>
          </cell>
          <cell r="J153" t="str">
            <v/>
          </cell>
          <cell r="N153" t="str">
            <v/>
          </cell>
          <cell r="O153" t="str">
            <v/>
          </cell>
          <cell r="P153" t="str">
            <v/>
          </cell>
          <cell r="Q153" t="str">
            <v/>
          </cell>
          <cell r="T153" t="str">
            <v/>
          </cell>
          <cell r="U153" t="str">
            <v/>
          </cell>
          <cell r="W153" t="str">
            <v/>
          </cell>
          <cell r="X153" t="str">
            <v/>
          </cell>
          <cell r="AB153">
            <v>0</v>
          </cell>
          <cell r="AC153">
            <v>0</v>
          </cell>
          <cell r="AD153">
            <v>0</v>
          </cell>
          <cell r="AJ153">
            <v>0</v>
          </cell>
          <cell r="AK153">
            <v>0</v>
          </cell>
        </row>
        <row r="154">
          <cell r="B154" t="str">
            <v/>
          </cell>
          <cell r="H154" t="str">
            <v/>
          </cell>
          <cell r="J154" t="str">
            <v/>
          </cell>
          <cell r="N154" t="str">
            <v/>
          </cell>
          <cell r="O154" t="str">
            <v/>
          </cell>
          <cell r="P154" t="str">
            <v/>
          </cell>
          <cell r="Q154" t="str">
            <v/>
          </cell>
          <cell r="T154" t="str">
            <v/>
          </cell>
          <cell r="U154" t="str">
            <v/>
          </cell>
          <cell r="W154" t="str">
            <v/>
          </cell>
          <cell r="X154" t="str">
            <v/>
          </cell>
          <cell r="AB154">
            <v>0</v>
          </cell>
          <cell r="AC154">
            <v>0</v>
          </cell>
          <cell r="AD154">
            <v>0</v>
          </cell>
          <cell r="AJ154">
            <v>0</v>
          </cell>
          <cell r="AK154">
            <v>0</v>
          </cell>
        </row>
        <row r="155">
          <cell r="B155" t="str">
            <v/>
          </cell>
          <cell r="H155" t="str">
            <v/>
          </cell>
          <cell r="J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  <cell r="T155" t="str">
            <v/>
          </cell>
          <cell r="U155" t="str">
            <v/>
          </cell>
          <cell r="W155" t="str">
            <v/>
          </cell>
          <cell r="X155" t="str">
            <v/>
          </cell>
          <cell r="AB155">
            <v>0</v>
          </cell>
          <cell r="AC155">
            <v>0</v>
          </cell>
          <cell r="AD155">
            <v>0</v>
          </cell>
          <cell r="AJ155">
            <v>0</v>
          </cell>
          <cell r="AK155">
            <v>0</v>
          </cell>
        </row>
        <row r="156">
          <cell r="B156" t="str">
            <v/>
          </cell>
          <cell r="H156" t="str">
            <v/>
          </cell>
          <cell r="J156" t="str">
            <v/>
          </cell>
          <cell r="N156" t="str">
            <v/>
          </cell>
          <cell r="O156" t="str">
            <v/>
          </cell>
          <cell r="P156" t="str">
            <v/>
          </cell>
          <cell r="Q156" t="str">
            <v/>
          </cell>
          <cell r="T156" t="str">
            <v/>
          </cell>
          <cell r="U156" t="str">
            <v/>
          </cell>
          <cell r="W156" t="str">
            <v/>
          </cell>
          <cell r="X156" t="str">
            <v/>
          </cell>
          <cell r="AB156">
            <v>0</v>
          </cell>
          <cell r="AC156">
            <v>0</v>
          </cell>
          <cell r="AD156">
            <v>0</v>
          </cell>
          <cell r="AJ156">
            <v>0</v>
          </cell>
          <cell r="AK156">
            <v>0</v>
          </cell>
        </row>
        <row r="157">
          <cell r="B157" t="str">
            <v/>
          </cell>
          <cell r="H157" t="str">
            <v/>
          </cell>
          <cell r="J157" t="str">
            <v/>
          </cell>
          <cell r="N157" t="str">
            <v/>
          </cell>
          <cell r="O157" t="str">
            <v/>
          </cell>
          <cell r="P157" t="str">
            <v/>
          </cell>
          <cell r="Q157" t="str">
            <v/>
          </cell>
          <cell r="T157" t="str">
            <v/>
          </cell>
          <cell r="U157" t="str">
            <v/>
          </cell>
          <cell r="W157" t="str">
            <v/>
          </cell>
          <cell r="X157" t="str">
            <v/>
          </cell>
          <cell r="AB157">
            <v>0</v>
          </cell>
          <cell r="AC157">
            <v>0</v>
          </cell>
          <cell r="AD157">
            <v>0</v>
          </cell>
          <cell r="AJ157">
            <v>0</v>
          </cell>
          <cell r="AK157">
            <v>0</v>
          </cell>
        </row>
        <row r="158">
          <cell r="B158" t="str">
            <v/>
          </cell>
          <cell r="H158" t="str">
            <v/>
          </cell>
          <cell r="J158" t="str">
            <v/>
          </cell>
          <cell r="N158" t="str">
            <v/>
          </cell>
          <cell r="O158" t="str">
            <v/>
          </cell>
          <cell r="P158" t="str">
            <v/>
          </cell>
          <cell r="Q158" t="str">
            <v/>
          </cell>
          <cell r="T158" t="str">
            <v/>
          </cell>
          <cell r="U158" t="str">
            <v/>
          </cell>
          <cell r="W158" t="str">
            <v/>
          </cell>
          <cell r="X158" t="str">
            <v/>
          </cell>
          <cell r="AB158">
            <v>0</v>
          </cell>
          <cell r="AC158">
            <v>0</v>
          </cell>
          <cell r="AD158">
            <v>0</v>
          </cell>
          <cell r="AJ158">
            <v>0</v>
          </cell>
          <cell r="AK158">
            <v>0</v>
          </cell>
        </row>
        <row r="159">
          <cell r="B159" t="str">
            <v/>
          </cell>
          <cell r="H159" t="str">
            <v/>
          </cell>
          <cell r="J159" t="str">
            <v/>
          </cell>
          <cell r="N159" t="str">
            <v/>
          </cell>
          <cell r="O159" t="str">
            <v/>
          </cell>
          <cell r="P159" t="str">
            <v/>
          </cell>
          <cell r="Q159" t="str">
            <v/>
          </cell>
          <cell r="T159" t="str">
            <v/>
          </cell>
          <cell r="U159" t="str">
            <v/>
          </cell>
          <cell r="W159" t="str">
            <v/>
          </cell>
          <cell r="X159" t="str">
            <v/>
          </cell>
          <cell r="AB159">
            <v>0</v>
          </cell>
          <cell r="AC159">
            <v>0</v>
          </cell>
          <cell r="AD159">
            <v>0</v>
          </cell>
          <cell r="AJ159">
            <v>0</v>
          </cell>
          <cell r="AK159">
            <v>0</v>
          </cell>
        </row>
        <row r="160">
          <cell r="B160" t="str">
            <v/>
          </cell>
          <cell r="H160" t="str">
            <v/>
          </cell>
          <cell r="J160" t="str">
            <v/>
          </cell>
          <cell r="N160" t="str">
            <v/>
          </cell>
          <cell r="O160" t="str">
            <v/>
          </cell>
          <cell r="P160" t="str">
            <v/>
          </cell>
          <cell r="Q160" t="str">
            <v/>
          </cell>
          <cell r="T160" t="str">
            <v/>
          </cell>
          <cell r="U160" t="str">
            <v/>
          </cell>
          <cell r="W160" t="str">
            <v/>
          </cell>
          <cell r="X160" t="str">
            <v/>
          </cell>
          <cell r="AB160">
            <v>0</v>
          </cell>
          <cell r="AC160">
            <v>0</v>
          </cell>
          <cell r="AD160">
            <v>0</v>
          </cell>
          <cell r="AJ160">
            <v>0</v>
          </cell>
          <cell r="AK160">
            <v>0</v>
          </cell>
        </row>
        <row r="161">
          <cell r="B161" t="str">
            <v/>
          </cell>
          <cell r="H161" t="str">
            <v/>
          </cell>
          <cell r="J161" t="str">
            <v/>
          </cell>
          <cell r="N161" t="str">
            <v/>
          </cell>
          <cell r="O161" t="str">
            <v/>
          </cell>
          <cell r="P161" t="str">
            <v/>
          </cell>
          <cell r="Q161" t="str">
            <v/>
          </cell>
          <cell r="T161" t="str">
            <v/>
          </cell>
          <cell r="U161" t="str">
            <v/>
          </cell>
          <cell r="W161" t="str">
            <v/>
          </cell>
          <cell r="X161" t="str">
            <v/>
          </cell>
          <cell r="AB161">
            <v>0</v>
          </cell>
          <cell r="AC161">
            <v>0</v>
          </cell>
          <cell r="AD161">
            <v>0</v>
          </cell>
          <cell r="AJ161">
            <v>0</v>
          </cell>
          <cell r="AK161">
            <v>0</v>
          </cell>
        </row>
        <row r="162">
          <cell r="B162" t="str">
            <v/>
          </cell>
          <cell r="H162" t="str">
            <v/>
          </cell>
          <cell r="J162" t="str">
            <v/>
          </cell>
          <cell r="N162" t="str">
            <v/>
          </cell>
          <cell r="O162" t="str">
            <v/>
          </cell>
          <cell r="P162" t="str">
            <v/>
          </cell>
          <cell r="Q162" t="str">
            <v/>
          </cell>
          <cell r="T162" t="str">
            <v/>
          </cell>
          <cell r="U162" t="str">
            <v/>
          </cell>
          <cell r="W162" t="str">
            <v/>
          </cell>
          <cell r="X162" t="str">
            <v/>
          </cell>
          <cell r="AB162">
            <v>0</v>
          </cell>
          <cell r="AC162">
            <v>0</v>
          </cell>
          <cell r="AD162">
            <v>0</v>
          </cell>
          <cell r="AJ162">
            <v>0</v>
          </cell>
          <cell r="AK162">
            <v>0</v>
          </cell>
        </row>
        <row r="163">
          <cell r="B163" t="str">
            <v/>
          </cell>
          <cell r="H163" t="str">
            <v/>
          </cell>
          <cell r="J163" t="str">
            <v/>
          </cell>
          <cell r="N163" t="str">
            <v/>
          </cell>
          <cell r="O163" t="str">
            <v/>
          </cell>
          <cell r="P163" t="str">
            <v/>
          </cell>
          <cell r="Q163" t="str">
            <v/>
          </cell>
          <cell r="T163" t="str">
            <v/>
          </cell>
          <cell r="U163" t="str">
            <v/>
          </cell>
          <cell r="W163" t="str">
            <v/>
          </cell>
          <cell r="X163" t="str">
            <v/>
          </cell>
          <cell r="AB163">
            <v>0</v>
          </cell>
          <cell r="AC163">
            <v>0</v>
          </cell>
          <cell r="AD163">
            <v>0</v>
          </cell>
          <cell r="AJ163">
            <v>0</v>
          </cell>
          <cell r="AK163">
            <v>0</v>
          </cell>
        </row>
        <row r="164">
          <cell r="B164" t="str">
            <v/>
          </cell>
          <cell r="H164" t="str">
            <v/>
          </cell>
          <cell r="J164" t="str">
            <v/>
          </cell>
          <cell r="N164" t="str">
            <v/>
          </cell>
          <cell r="O164" t="str">
            <v/>
          </cell>
          <cell r="P164" t="str">
            <v/>
          </cell>
          <cell r="Q164" t="str">
            <v/>
          </cell>
          <cell r="T164" t="str">
            <v/>
          </cell>
          <cell r="U164" t="str">
            <v/>
          </cell>
          <cell r="W164" t="str">
            <v/>
          </cell>
          <cell r="X164" t="str">
            <v/>
          </cell>
          <cell r="AB164">
            <v>0</v>
          </cell>
          <cell r="AC164">
            <v>0</v>
          </cell>
          <cell r="AD164">
            <v>0</v>
          </cell>
          <cell r="AJ164">
            <v>0</v>
          </cell>
          <cell r="AK164">
            <v>0</v>
          </cell>
        </row>
        <row r="165">
          <cell r="B165" t="str">
            <v/>
          </cell>
          <cell r="H165" t="str">
            <v/>
          </cell>
          <cell r="J165" t="str">
            <v/>
          </cell>
          <cell r="N165" t="str">
            <v/>
          </cell>
          <cell r="O165" t="str">
            <v/>
          </cell>
          <cell r="P165" t="str">
            <v/>
          </cell>
          <cell r="Q165" t="str">
            <v/>
          </cell>
          <cell r="T165" t="str">
            <v/>
          </cell>
          <cell r="U165" t="str">
            <v/>
          </cell>
          <cell r="W165" t="str">
            <v/>
          </cell>
          <cell r="X165" t="str">
            <v/>
          </cell>
          <cell r="AB165">
            <v>0</v>
          </cell>
          <cell r="AC165">
            <v>0</v>
          </cell>
          <cell r="AD165">
            <v>0</v>
          </cell>
          <cell r="AJ165">
            <v>0</v>
          </cell>
          <cell r="AK165">
            <v>0</v>
          </cell>
        </row>
        <row r="166">
          <cell r="B166" t="str">
            <v/>
          </cell>
          <cell r="H166" t="str">
            <v/>
          </cell>
          <cell r="J166" t="str">
            <v/>
          </cell>
          <cell r="N166" t="str">
            <v/>
          </cell>
          <cell r="O166" t="str">
            <v/>
          </cell>
          <cell r="P166" t="str">
            <v/>
          </cell>
          <cell r="Q166" t="str">
            <v/>
          </cell>
          <cell r="T166" t="str">
            <v/>
          </cell>
          <cell r="U166" t="str">
            <v/>
          </cell>
          <cell r="W166" t="str">
            <v/>
          </cell>
          <cell r="X166" t="str">
            <v/>
          </cell>
          <cell r="AB166">
            <v>0</v>
          </cell>
          <cell r="AC166">
            <v>0</v>
          </cell>
          <cell r="AD166">
            <v>0</v>
          </cell>
          <cell r="AJ166">
            <v>0</v>
          </cell>
          <cell r="AK166">
            <v>0</v>
          </cell>
        </row>
        <row r="167">
          <cell r="B167" t="str">
            <v/>
          </cell>
          <cell r="H167" t="str">
            <v/>
          </cell>
          <cell r="J167" t="str">
            <v/>
          </cell>
          <cell r="N167" t="str">
            <v/>
          </cell>
          <cell r="O167" t="str">
            <v/>
          </cell>
          <cell r="P167" t="str">
            <v/>
          </cell>
          <cell r="Q167" t="str">
            <v/>
          </cell>
          <cell r="T167" t="str">
            <v/>
          </cell>
          <cell r="U167" t="str">
            <v/>
          </cell>
          <cell r="W167" t="str">
            <v/>
          </cell>
          <cell r="X167" t="str">
            <v/>
          </cell>
          <cell r="AB167">
            <v>0</v>
          </cell>
          <cell r="AC167">
            <v>0</v>
          </cell>
          <cell r="AD167">
            <v>0</v>
          </cell>
          <cell r="AJ167">
            <v>0</v>
          </cell>
          <cell r="AK167">
            <v>0</v>
          </cell>
        </row>
        <row r="168">
          <cell r="B168" t="str">
            <v/>
          </cell>
          <cell r="H168" t="str">
            <v/>
          </cell>
          <cell r="J168" t="str">
            <v/>
          </cell>
          <cell r="N168" t="str">
            <v/>
          </cell>
          <cell r="O168" t="str">
            <v/>
          </cell>
          <cell r="P168" t="str">
            <v/>
          </cell>
          <cell r="Q168" t="str">
            <v/>
          </cell>
          <cell r="T168" t="str">
            <v/>
          </cell>
          <cell r="U168" t="str">
            <v/>
          </cell>
          <cell r="W168" t="str">
            <v/>
          </cell>
          <cell r="X168" t="str">
            <v/>
          </cell>
          <cell r="AB168">
            <v>0</v>
          </cell>
          <cell r="AC168">
            <v>0</v>
          </cell>
          <cell r="AD168">
            <v>0</v>
          </cell>
          <cell r="AJ168">
            <v>0</v>
          </cell>
          <cell r="AK168">
            <v>0</v>
          </cell>
        </row>
        <row r="169">
          <cell r="B169" t="str">
            <v/>
          </cell>
          <cell r="H169" t="str">
            <v/>
          </cell>
          <cell r="J169" t="str">
            <v/>
          </cell>
          <cell r="N169" t="str">
            <v/>
          </cell>
          <cell r="O169" t="str">
            <v/>
          </cell>
          <cell r="P169" t="str">
            <v/>
          </cell>
          <cell r="Q169" t="str">
            <v/>
          </cell>
          <cell r="T169" t="str">
            <v/>
          </cell>
          <cell r="U169" t="str">
            <v/>
          </cell>
          <cell r="W169" t="str">
            <v/>
          </cell>
          <cell r="X169" t="str">
            <v/>
          </cell>
          <cell r="AB169">
            <v>0</v>
          </cell>
          <cell r="AC169">
            <v>0</v>
          </cell>
          <cell r="AD169">
            <v>0</v>
          </cell>
          <cell r="AJ169">
            <v>0</v>
          </cell>
          <cell r="AK169">
            <v>0</v>
          </cell>
        </row>
        <row r="170">
          <cell r="B170" t="str">
            <v/>
          </cell>
          <cell r="H170" t="str">
            <v/>
          </cell>
          <cell r="J170" t="str">
            <v/>
          </cell>
          <cell r="N170" t="str">
            <v/>
          </cell>
          <cell r="O170" t="str">
            <v/>
          </cell>
          <cell r="P170" t="str">
            <v/>
          </cell>
          <cell r="Q170" t="str">
            <v/>
          </cell>
          <cell r="T170" t="str">
            <v/>
          </cell>
          <cell r="U170" t="str">
            <v/>
          </cell>
          <cell r="W170" t="str">
            <v/>
          </cell>
          <cell r="X170" t="str">
            <v/>
          </cell>
          <cell r="AB170">
            <v>0</v>
          </cell>
          <cell r="AC170">
            <v>0</v>
          </cell>
          <cell r="AD170">
            <v>0</v>
          </cell>
          <cell r="AJ170">
            <v>0</v>
          </cell>
          <cell r="AK170">
            <v>0</v>
          </cell>
        </row>
        <row r="171">
          <cell r="B171" t="str">
            <v/>
          </cell>
          <cell r="H171" t="str">
            <v/>
          </cell>
          <cell r="J171" t="str">
            <v/>
          </cell>
          <cell r="N171" t="str">
            <v/>
          </cell>
          <cell r="O171" t="str">
            <v/>
          </cell>
          <cell r="P171" t="str">
            <v/>
          </cell>
          <cell r="Q171" t="str">
            <v/>
          </cell>
          <cell r="T171" t="str">
            <v/>
          </cell>
          <cell r="U171" t="str">
            <v/>
          </cell>
          <cell r="W171" t="str">
            <v/>
          </cell>
          <cell r="X171" t="str">
            <v/>
          </cell>
          <cell r="AB171">
            <v>0</v>
          </cell>
          <cell r="AC171">
            <v>0</v>
          </cell>
          <cell r="AD171">
            <v>0</v>
          </cell>
          <cell r="AJ171">
            <v>0</v>
          </cell>
          <cell r="AK171">
            <v>0</v>
          </cell>
        </row>
        <row r="172">
          <cell r="B172" t="str">
            <v/>
          </cell>
          <cell r="H172" t="str">
            <v/>
          </cell>
          <cell r="J172" t="str">
            <v/>
          </cell>
          <cell r="N172" t="str">
            <v/>
          </cell>
          <cell r="O172" t="str">
            <v/>
          </cell>
          <cell r="P172" t="str">
            <v/>
          </cell>
          <cell r="Q172" t="str">
            <v/>
          </cell>
          <cell r="T172" t="str">
            <v/>
          </cell>
          <cell r="U172" t="str">
            <v/>
          </cell>
          <cell r="W172" t="str">
            <v/>
          </cell>
          <cell r="X172" t="str">
            <v/>
          </cell>
          <cell r="AB172">
            <v>0</v>
          </cell>
          <cell r="AC172">
            <v>0</v>
          </cell>
          <cell r="AD172">
            <v>0</v>
          </cell>
          <cell r="AJ172">
            <v>0</v>
          </cell>
          <cell r="AK172">
            <v>0</v>
          </cell>
        </row>
        <row r="173">
          <cell r="B173" t="str">
            <v/>
          </cell>
          <cell r="H173" t="str">
            <v/>
          </cell>
          <cell r="J173" t="str">
            <v/>
          </cell>
          <cell r="N173" t="str">
            <v/>
          </cell>
          <cell r="O173" t="str">
            <v/>
          </cell>
          <cell r="P173" t="str">
            <v/>
          </cell>
          <cell r="Q173" t="str">
            <v/>
          </cell>
          <cell r="T173" t="str">
            <v/>
          </cell>
          <cell r="U173" t="str">
            <v/>
          </cell>
          <cell r="W173" t="str">
            <v/>
          </cell>
          <cell r="X173" t="str">
            <v/>
          </cell>
          <cell r="AB173">
            <v>0</v>
          </cell>
          <cell r="AC173">
            <v>0</v>
          </cell>
          <cell r="AD173">
            <v>0</v>
          </cell>
          <cell r="AJ173">
            <v>0</v>
          </cell>
          <cell r="AK173">
            <v>0</v>
          </cell>
        </row>
        <row r="174">
          <cell r="B174" t="str">
            <v/>
          </cell>
          <cell r="H174" t="str">
            <v/>
          </cell>
          <cell r="J174" t="str">
            <v/>
          </cell>
          <cell r="N174" t="str">
            <v/>
          </cell>
          <cell r="O174" t="str">
            <v/>
          </cell>
          <cell r="P174" t="str">
            <v/>
          </cell>
          <cell r="Q174" t="str">
            <v/>
          </cell>
          <cell r="T174" t="str">
            <v/>
          </cell>
          <cell r="U174" t="str">
            <v/>
          </cell>
          <cell r="W174" t="str">
            <v/>
          </cell>
          <cell r="X174" t="str">
            <v/>
          </cell>
          <cell r="AB174">
            <v>0</v>
          </cell>
          <cell r="AC174">
            <v>0</v>
          </cell>
          <cell r="AD174">
            <v>0</v>
          </cell>
          <cell r="AJ174">
            <v>0</v>
          </cell>
          <cell r="AK174">
            <v>0</v>
          </cell>
        </row>
        <row r="175">
          <cell r="B175" t="str">
            <v/>
          </cell>
          <cell r="H175" t="str">
            <v/>
          </cell>
          <cell r="J175" t="str">
            <v/>
          </cell>
          <cell r="N175" t="str">
            <v/>
          </cell>
          <cell r="O175" t="str">
            <v/>
          </cell>
          <cell r="P175" t="str">
            <v/>
          </cell>
          <cell r="Q175" t="str">
            <v/>
          </cell>
          <cell r="T175" t="str">
            <v/>
          </cell>
          <cell r="U175" t="str">
            <v/>
          </cell>
          <cell r="W175" t="str">
            <v/>
          </cell>
          <cell r="X175" t="str">
            <v/>
          </cell>
          <cell r="AB175">
            <v>0</v>
          </cell>
          <cell r="AC175">
            <v>0</v>
          </cell>
          <cell r="AD175">
            <v>0</v>
          </cell>
          <cell r="AJ175">
            <v>0</v>
          </cell>
          <cell r="AK175">
            <v>0</v>
          </cell>
        </row>
        <row r="176">
          <cell r="B176" t="str">
            <v/>
          </cell>
          <cell r="H176" t="str">
            <v/>
          </cell>
          <cell r="J176" t="str">
            <v/>
          </cell>
          <cell r="N176" t="str">
            <v/>
          </cell>
          <cell r="O176" t="str">
            <v/>
          </cell>
          <cell r="P176" t="str">
            <v/>
          </cell>
          <cell r="Q176" t="str">
            <v/>
          </cell>
          <cell r="T176" t="str">
            <v/>
          </cell>
          <cell r="U176" t="str">
            <v/>
          </cell>
          <cell r="W176" t="str">
            <v/>
          </cell>
          <cell r="X176" t="str">
            <v/>
          </cell>
          <cell r="AB176">
            <v>0</v>
          </cell>
          <cell r="AC176">
            <v>0</v>
          </cell>
          <cell r="AD176">
            <v>0</v>
          </cell>
          <cell r="AJ176">
            <v>0</v>
          </cell>
          <cell r="AK176">
            <v>0</v>
          </cell>
        </row>
        <row r="177">
          <cell r="B177" t="str">
            <v/>
          </cell>
          <cell r="H177" t="str">
            <v/>
          </cell>
          <cell r="J177" t="str">
            <v/>
          </cell>
          <cell r="N177" t="str">
            <v/>
          </cell>
          <cell r="O177" t="str">
            <v/>
          </cell>
          <cell r="P177" t="str">
            <v/>
          </cell>
          <cell r="Q177" t="str">
            <v/>
          </cell>
          <cell r="T177" t="str">
            <v/>
          </cell>
          <cell r="U177" t="str">
            <v/>
          </cell>
          <cell r="W177" t="str">
            <v/>
          </cell>
          <cell r="X177" t="str">
            <v/>
          </cell>
          <cell r="AB177">
            <v>0</v>
          </cell>
          <cell r="AC177">
            <v>0</v>
          </cell>
          <cell r="AD177">
            <v>0</v>
          </cell>
          <cell r="AJ177">
            <v>0</v>
          </cell>
          <cell r="AK177">
            <v>0</v>
          </cell>
        </row>
        <row r="178">
          <cell r="B178" t="str">
            <v/>
          </cell>
          <cell r="H178" t="str">
            <v/>
          </cell>
          <cell r="J178" t="str">
            <v/>
          </cell>
          <cell r="N178" t="str">
            <v/>
          </cell>
          <cell r="O178" t="str">
            <v/>
          </cell>
          <cell r="P178" t="str">
            <v/>
          </cell>
          <cell r="Q178" t="str">
            <v/>
          </cell>
          <cell r="T178" t="str">
            <v/>
          </cell>
          <cell r="U178" t="str">
            <v/>
          </cell>
          <cell r="W178" t="str">
            <v/>
          </cell>
          <cell r="X178" t="str">
            <v/>
          </cell>
          <cell r="AB178">
            <v>0</v>
          </cell>
          <cell r="AC178">
            <v>0</v>
          </cell>
          <cell r="AD178">
            <v>0</v>
          </cell>
          <cell r="AJ178">
            <v>0</v>
          </cell>
          <cell r="AK178">
            <v>0</v>
          </cell>
        </row>
        <row r="179">
          <cell r="B179" t="str">
            <v/>
          </cell>
          <cell r="H179" t="str">
            <v/>
          </cell>
          <cell r="J179" t="str">
            <v/>
          </cell>
          <cell r="N179" t="str">
            <v/>
          </cell>
          <cell r="O179" t="str">
            <v/>
          </cell>
          <cell r="P179" t="str">
            <v/>
          </cell>
          <cell r="Q179" t="str">
            <v/>
          </cell>
          <cell r="T179" t="str">
            <v/>
          </cell>
          <cell r="U179" t="str">
            <v/>
          </cell>
          <cell r="W179" t="str">
            <v/>
          </cell>
          <cell r="X179" t="str">
            <v/>
          </cell>
          <cell r="AB179">
            <v>0</v>
          </cell>
          <cell r="AC179">
            <v>0</v>
          </cell>
          <cell r="AD179">
            <v>0</v>
          </cell>
          <cell r="AJ179">
            <v>0</v>
          </cell>
          <cell r="AK179">
            <v>0</v>
          </cell>
        </row>
        <row r="180">
          <cell r="B180" t="str">
            <v/>
          </cell>
          <cell r="H180" t="str">
            <v/>
          </cell>
          <cell r="J180" t="str">
            <v/>
          </cell>
          <cell r="N180" t="str">
            <v/>
          </cell>
          <cell r="O180" t="str">
            <v/>
          </cell>
          <cell r="P180" t="str">
            <v/>
          </cell>
          <cell r="Q180" t="str">
            <v/>
          </cell>
          <cell r="T180" t="str">
            <v/>
          </cell>
          <cell r="U180" t="str">
            <v/>
          </cell>
          <cell r="W180" t="str">
            <v/>
          </cell>
          <cell r="X180" t="str">
            <v/>
          </cell>
          <cell r="AB180">
            <v>0</v>
          </cell>
          <cell r="AC180">
            <v>0</v>
          </cell>
          <cell r="AD180">
            <v>0</v>
          </cell>
          <cell r="AJ180">
            <v>0</v>
          </cell>
          <cell r="AK180">
            <v>0</v>
          </cell>
        </row>
        <row r="181">
          <cell r="B181" t="str">
            <v/>
          </cell>
          <cell r="H181" t="str">
            <v/>
          </cell>
          <cell r="J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  <cell r="T181" t="str">
            <v/>
          </cell>
          <cell r="U181" t="str">
            <v/>
          </cell>
          <cell r="W181" t="str">
            <v/>
          </cell>
          <cell r="X181" t="str">
            <v/>
          </cell>
          <cell r="AB181">
            <v>0</v>
          </cell>
          <cell r="AC181">
            <v>0</v>
          </cell>
          <cell r="AD181">
            <v>0</v>
          </cell>
          <cell r="AJ181">
            <v>0</v>
          </cell>
          <cell r="AK181">
            <v>0</v>
          </cell>
        </row>
        <row r="182">
          <cell r="B182" t="str">
            <v/>
          </cell>
          <cell r="H182" t="str">
            <v/>
          </cell>
          <cell r="J182" t="str">
            <v/>
          </cell>
          <cell r="N182" t="str">
            <v/>
          </cell>
          <cell r="O182" t="str">
            <v/>
          </cell>
          <cell r="P182" t="str">
            <v/>
          </cell>
          <cell r="Q182" t="str">
            <v/>
          </cell>
          <cell r="T182" t="str">
            <v/>
          </cell>
          <cell r="U182" t="str">
            <v/>
          </cell>
          <cell r="W182" t="str">
            <v/>
          </cell>
          <cell r="X182" t="str">
            <v/>
          </cell>
          <cell r="AB182">
            <v>0</v>
          </cell>
          <cell r="AC182">
            <v>0</v>
          </cell>
          <cell r="AD182">
            <v>0</v>
          </cell>
          <cell r="AJ182">
            <v>0</v>
          </cell>
          <cell r="AK182">
            <v>0</v>
          </cell>
        </row>
        <row r="183">
          <cell r="B183" t="str">
            <v/>
          </cell>
          <cell r="H183" t="str">
            <v/>
          </cell>
          <cell r="J183" t="str">
            <v/>
          </cell>
          <cell r="N183" t="str">
            <v/>
          </cell>
          <cell r="O183" t="str">
            <v/>
          </cell>
          <cell r="P183" t="str">
            <v/>
          </cell>
          <cell r="Q183" t="str">
            <v/>
          </cell>
          <cell r="T183" t="str">
            <v/>
          </cell>
          <cell r="U183" t="str">
            <v/>
          </cell>
          <cell r="W183" t="str">
            <v/>
          </cell>
          <cell r="X183" t="str">
            <v/>
          </cell>
          <cell r="AB183">
            <v>0</v>
          </cell>
          <cell r="AC183">
            <v>0</v>
          </cell>
          <cell r="AD183">
            <v>0</v>
          </cell>
          <cell r="AJ183">
            <v>0</v>
          </cell>
          <cell r="AK183">
            <v>0</v>
          </cell>
        </row>
        <row r="184">
          <cell r="B184" t="str">
            <v/>
          </cell>
          <cell r="H184" t="str">
            <v/>
          </cell>
          <cell r="J184" t="str">
            <v/>
          </cell>
          <cell r="N184" t="str">
            <v/>
          </cell>
          <cell r="O184" t="str">
            <v/>
          </cell>
          <cell r="P184" t="str">
            <v/>
          </cell>
          <cell r="Q184" t="str">
            <v/>
          </cell>
          <cell r="T184" t="str">
            <v/>
          </cell>
          <cell r="U184" t="str">
            <v/>
          </cell>
          <cell r="W184" t="str">
            <v/>
          </cell>
          <cell r="X184" t="str">
            <v/>
          </cell>
          <cell r="AB184">
            <v>0</v>
          </cell>
          <cell r="AC184">
            <v>0</v>
          </cell>
          <cell r="AD184">
            <v>0</v>
          </cell>
          <cell r="AJ184">
            <v>0</v>
          </cell>
          <cell r="AK184">
            <v>0</v>
          </cell>
        </row>
        <row r="185">
          <cell r="B185" t="str">
            <v/>
          </cell>
          <cell r="H185" t="str">
            <v/>
          </cell>
          <cell r="J185" t="str">
            <v/>
          </cell>
          <cell r="N185" t="str">
            <v/>
          </cell>
          <cell r="O185" t="str">
            <v/>
          </cell>
          <cell r="P185" t="str">
            <v/>
          </cell>
          <cell r="Q185" t="str">
            <v/>
          </cell>
          <cell r="T185" t="str">
            <v/>
          </cell>
          <cell r="U185" t="str">
            <v/>
          </cell>
          <cell r="W185" t="str">
            <v/>
          </cell>
          <cell r="X185" t="str">
            <v/>
          </cell>
          <cell r="AB185">
            <v>0</v>
          </cell>
          <cell r="AC185">
            <v>0</v>
          </cell>
          <cell r="AD185">
            <v>0</v>
          </cell>
          <cell r="AJ185">
            <v>0</v>
          </cell>
          <cell r="AK185">
            <v>0</v>
          </cell>
        </row>
        <row r="186">
          <cell r="B186" t="str">
            <v/>
          </cell>
          <cell r="H186" t="str">
            <v/>
          </cell>
          <cell r="J186" t="str">
            <v/>
          </cell>
          <cell r="N186" t="str">
            <v/>
          </cell>
          <cell r="O186" t="str">
            <v/>
          </cell>
          <cell r="P186" t="str">
            <v/>
          </cell>
          <cell r="Q186" t="str">
            <v/>
          </cell>
          <cell r="T186" t="str">
            <v/>
          </cell>
          <cell r="U186" t="str">
            <v/>
          </cell>
          <cell r="W186" t="str">
            <v/>
          </cell>
          <cell r="X186" t="str">
            <v/>
          </cell>
          <cell r="AB186">
            <v>0</v>
          </cell>
          <cell r="AC186">
            <v>0</v>
          </cell>
          <cell r="AD186">
            <v>0</v>
          </cell>
          <cell r="AJ186">
            <v>0</v>
          </cell>
          <cell r="AK186">
            <v>0</v>
          </cell>
        </row>
        <row r="187">
          <cell r="B187" t="str">
            <v/>
          </cell>
          <cell r="H187" t="str">
            <v/>
          </cell>
          <cell r="J187" t="str">
            <v/>
          </cell>
          <cell r="N187" t="str">
            <v/>
          </cell>
          <cell r="O187" t="str">
            <v/>
          </cell>
          <cell r="P187" t="str">
            <v/>
          </cell>
          <cell r="Q187" t="str">
            <v/>
          </cell>
          <cell r="T187" t="str">
            <v/>
          </cell>
          <cell r="U187" t="str">
            <v/>
          </cell>
          <cell r="W187" t="str">
            <v/>
          </cell>
          <cell r="X187" t="str">
            <v/>
          </cell>
          <cell r="AB187">
            <v>0</v>
          </cell>
          <cell r="AC187">
            <v>0</v>
          </cell>
          <cell r="AD187">
            <v>0</v>
          </cell>
          <cell r="AJ187">
            <v>0</v>
          </cell>
          <cell r="AK187">
            <v>0</v>
          </cell>
        </row>
        <row r="188">
          <cell r="B188" t="str">
            <v/>
          </cell>
          <cell r="H188" t="str">
            <v/>
          </cell>
          <cell r="J188" t="str">
            <v/>
          </cell>
          <cell r="N188" t="str">
            <v/>
          </cell>
          <cell r="O188" t="str">
            <v/>
          </cell>
          <cell r="P188" t="str">
            <v/>
          </cell>
          <cell r="Q188" t="str">
            <v/>
          </cell>
          <cell r="T188" t="str">
            <v/>
          </cell>
          <cell r="U188" t="str">
            <v/>
          </cell>
          <cell r="W188" t="str">
            <v/>
          </cell>
          <cell r="X188" t="str">
            <v/>
          </cell>
          <cell r="AB188">
            <v>0</v>
          </cell>
          <cell r="AC188">
            <v>0</v>
          </cell>
          <cell r="AD188">
            <v>0</v>
          </cell>
          <cell r="AJ188">
            <v>0</v>
          </cell>
          <cell r="AK188">
            <v>0</v>
          </cell>
        </row>
        <row r="189">
          <cell r="B189" t="str">
            <v/>
          </cell>
          <cell r="H189" t="str">
            <v/>
          </cell>
          <cell r="J189" t="str">
            <v/>
          </cell>
          <cell r="N189" t="str">
            <v/>
          </cell>
          <cell r="O189" t="str">
            <v/>
          </cell>
          <cell r="P189" t="str">
            <v/>
          </cell>
          <cell r="Q189" t="str">
            <v/>
          </cell>
          <cell r="T189" t="str">
            <v/>
          </cell>
          <cell r="U189" t="str">
            <v/>
          </cell>
          <cell r="W189" t="str">
            <v/>
          </cell>
          <cell r="X189" t="str">
            <v/>
          </cell>
          <cell r="AB189">
            <v>0</v>
          </cell>
          <cell r="AC189">
            <v>0</v>
          </cell>
          <cell r="AD189">
            <v>0</v>
          </cell>
          <cell r="AJ189">
            <v>0</v>
          </cell>
          <cell r="AK189">
            <v>0</v>
          </cell>
        </row>
        <row r="190">
          <cell r="B190" t="str">
            <v/>
          </cell>
          <cell r="H190" t="str">
            <v/>
          </cell>
          <cell r="J190" t="str">
            <v/>
          </cell>
          <cell r="N190" t="str">
            <v/>
          </cell>
          <cell r="O190" t="str">
            <v/>
          </cell>
          <cell r="P190" t="str">
            <v/>
          </cell>
          <cell r="Q190" t="str">
            <v/>
          </cell>
          <cell r="T190" t="str">
            <v/>
          </cell>
          <cell r="U190" t="str">
            <v/>
          </cell>
          <cell r="W190" t="str">
            <v/>
          </cell>
          <cell r="X190" t="str">
            <v/>
          </cell>
          <cell r="AB190">
            <v>0</v>
          </cell>
          <cell r="AC190">
            <v>0</v>
          </cell>
          <cell r="AD190">
            <v>0</v>
          </cell>
          <cell r="AJ190">
            <v>0</v>
          </cell>
          <cell r="AK190">
            <v>0</v>
          </cell>
        </row>
        <row r="191">
          <cell r="B191" t="str">
            <v/>
          </cell>
          <cell r="H191" t="str">
            <v/>
          </cell>
          <cell r="J191" t="str">
            <v/>
          </cell>
          <cell r="N191" t="str">
            <v/>
          </cell>
          <cell r="O191" t="str">
            <v/>
          </cell>
          <cell r="P191" t="str">
            <v/>
          </cell>
          <cell r="Q191" t="str">
            <v/>
          </cell>
          <cell r="T191" t="str">
            <v/>
          </cell>
          <cell r="U191" t="str">
            <v/>
          </cell>
          <cell r="W191" t="str">
            <v/>
          </cell>
          <cell r="X191" t="str">
            <v/>
          </cell>
          <cell r="AB191">
            <v>0</v>
          </cell>
          <cell r="AC191">
            <v>0</v>
          </cell>
          <cell r="AD191">
            <v>0</v>
          </cell>
          <cell r="AJ191">
            <v>0</v>
          </cell>
          <cell r="AK191">
            <v>0</v>
          </cell>
        </row>
        <row r="192">
          <cell r="B192" t="str">
            <v/>
          </cell>
          <cell r="H192" t="str">
            <v/>
          </cell>
          <cell r="J192" t="str">
            <v/>
          </cell>
          <cell r="N192" t="str">
            <v/>
          </cell>
          <cell r="O192" t="str">
            <v/>
          </cell>
          <cell r="P192" t="str">
            <v/>
          </cell>
          <cell r="Q192" t="str">
            <v/>
          </cell>
          <cell r="T192" t="str">
            <v/>
          </cell>
          <cell r="U192" t="str">
            <v/>
          </cell>
          <cell r="W192" t="str">
            <v/>
          </cell>
          <cell r="X192" t="str">
            <v/>
          </cell>
          <cell r="AB192">
            <v>0</v>
          </cell>
          <cell r="AC192">
            <v>0</v>
          </cell>
          <cell r="AD192">
            <v>0</v>
          </cell>
          <cell r="AJ192">
            <v>0</v>
          </cell>
          <cell r="AK192">
            <v>0</v>
          </cell>
        </row>
        <row r="193">
          <cell r="B193" t="str">
            <v/>
          </cell>
          <cell r="H193" t="str">
            <v/>
          </cell>
          <cell r="J193" t="str">
            <v/>
          </cell>
          <cell r="N193" t="str">
            <v/>
          </cell>
          <cell r="O193" t="str">
            <v/>
          </cell>
          <cell r="P193" t="str">
            <v/>
          </cell>
          <cell r="Q193" t="str">
            <v/>
          </cell>
          <cell r="T193" t="str">
            <v/>
          </cell>
          <cell r="U193" t="str">
            <v/>
          </cell>
          <cell r="W193" t="str">
            <v/>
          </cell>
          <cell r="X193" t="str">
            <v/>
          </cell>
          <cell r="AB193">
            <v>0</v>
          </cell>
          <cell r="AC193">
            <v>0</v>
          </cell>
          <cell r="AD193">
            <v>0</v>
          </cell>
          <cell r="AJ193">
            <v>0</v>
          </cell>
          <cell r="AK193">
            <v>0</v>
          </cell>
        </row>
        <row r="194">
          <cell r="B194" t="str">
            <v/>
          </cell>
          <cell r="H194" t="str">
            <v/>
          </cell>
          <cell r="J194" t="str">
            <v/>
          </cell>
          <cell r="N194" t="str">
            <v/>
          </cell>
          <cell r="O194" t="str">
            <v/>
          </cell>
          <cell r="P194" t="str">
            <v/>
          </cell>
          <cell r="Q194" t="str">
            <v/>
          </cell>
          <cell r="T194" t="str">
            <v/>
          </cell>
          <cell r="U194" t="str">
            <v/>
          </cell>
          <cell r="W194" t="str">
            <v/>
          </cell>
          <cell r="X194" t="str">
            <v/>
          </cell>
          <cell r="AB194">
            <v>0</v>
          </cell>
          <cell r="AC194">
            <v>0</v>
          </cell>
          <cell r="AD194">
            <v>0</v>
          </cell>
          <cell r="AJ194">
            <v>0</v>
          </cell>
          <cell r="AK194">
            <v>0</v>
          </cell>
        </row>
        <row r="195">
          <cell r="B195" t="str">
            <v/>
          </cell>
          <cell r="H195" t="str">
            <v/>
          </cell>
          <cell r="J195" t="str">
            <v/>
          </cell>
          <cell r="N195" t="str">
            <v/>
          </cell>
          <cell r="O195" t="str">
            <v/>
          </cell>
          <cell r="P195" t="str">
            <v/>
          </cell>
          <cell r="Q195" t="str">
            <v/>
          </cell>
          <cell r="T195" t="str">
            <v/>
          </cell>
          <cell r="U195" t="str">
            <v/>
          </cell>
          <cell r="W195" t="str">
            <v/>
          </cell>
          <cell r="X195" t="str">
            <v/>
          </cell>
          <cell r="AB195">
            <v>0</v>
          </cell>
          <cell r="AC195">
            <v>0</v>
          </cell>
          <cell r="AD195">
            <v>0</v>
          </cell>
          <cell r="AJ195">
            <v>0</v>
          </cell>
          <cell r="AK195">
            <v>0</v>
          </cell>
        </row>
        <row r="196">
          <cell r="B196" t="str">
            <v/>
          </cell>
          <cell r="H196" t="str">
            <v/>
          </cell>
          <cell r="J196" t="str">
            <v/>
          </cell>
          <cell r="N196" t="str">
            <v/>
          </cell>
          <cell r="O196" t="str">
            <v/>
          </cell>
          <cell r="P196" t="str">
            <v/>
          </cell>
          <cell r="Q196" t="str">
            <v/>
          </cell>
          <cell r="T196" t="str">
            <v/>
          </cell>
          <cell r="U196" t="str">
            <v/>
          </cell>
          <cell r="W196" t="str">
            <v/>
          </cell>
          <cell r="X196" t="str">
            <v/>
          </cell>
          <cell r="AB196">
            <v>0</v>
          </cell>
          <cell r="AC196">
            <v>0</v>
          </cell>
          <cell r="AD196">
            <v>0</v>
          </cell>
          <cell r="AJ196">
            <v>0</v>
          </cell>
          <cell r="AK196">
            <v>0</v>
          </cell>
        </row>
        <row r="197">
          <cell r="B197" t="str">
            <v/>
          </cell>
          <cell r="H197" t="str">
            <v/>
          </cell>
          <cell r="J197" t="str">
            <v/>
          </cell>
          <cell r="N197" t="str">
            <v/>
          </cell>
          <cell r="O197" t="str">
            <v/>
          </cell>
          <cell r="P197" t="str">
            <v/>
          </cell>
          <cell r="Q197" t="str">
            <v/>
          </cell>
          <cell r="T197" t="str">
            <v/>
          </cell>
          <cell r="U197" t="str">
            <v/>
          </cell>
          <cell r="W197" t="str">
            <v/>
          </cell>
          <cell r="X197" t="str">
            <v/>
          </cell>
          <cell r="AB197">
            <v>0</v>
          </cell>
          <cell r="AC197">
            <v>0</v>
          </cell>
          <cell r="AD197">
            <v>0</v>
          </cell>
          <cell r="AJ197">
            <v>0</v>
          </cell>
          <cell r="AK197">
            <v>0</v>
          </cell>
        </row>
        <row r="198">
          <cell r="B198" t="str">
            <v/>
          </cell>
          <cell r="H198" t="str">
            <v/>
          </cell>
          <cell r="J198" t="str">
            <v/>
          </cell>
          <cell r="N198" t="str">
            <v/>
          </cell>
          <cell r="O198" t="str">
            <v/>
          </cell>
          <cell r="P198" t="str">
            <v/>
          </cell>
          <cell r="Q198" t="str">
            <v/>
          </cell>
          <cell r="T198" t="str">
            <v/>
          </cell>
          <cell r="U198" t="str">
            <v/>
          </cell>
          <cell r="W198" t="str">
            <v/>
          </cell>
          <cell r="X198" t="str">
            <v/>
          </cell>
          <cell r="AB198">
            <v>0</v>
          </cell>
          <cell r="AC198">
            <v>0</v>
          </cell>
          <cell r="AD198">
            <v>0</v>
          </cell>
          <cell r="AJ198">
            <v>0</v>
          </cell>
          <cell r="AK198">
            <v>0</v>
          </cell>
        </row>
        <row r="199">
          <cell r="B199" t="str">
            <v/>
          </cell>
          <cell r="H199" t="str">
            <v/>
          </cell>
          <cell r="J199" t="str">
            <v/>
          </cell>
          <cell r="N199" t="str">
            <v/>
          </cell>
          <cell r="O199" t="str">
            <v/>
          </cell>
          <cell r="P199" t="str">
            <v/>
          </cell>
          <cell r="Q199" t="str">
            <v/>
          </cell>
          <cell r="T199" t="str">
            <v/>
          </cell>
          <cell r="U199" t="str">
            <v/>
          </cell>
          <cell r="W199" t="str">
            <v/>
          </cell>
          <cell r="X199" t="str">
            <v/>
          </cell>
          <cell r="AB199">
            <v>0</v>
          </cell>
          <cell r="AC199">
            <v>0</v>
          </cell>
          <cell r="AD199">
            <v>0</v>
          </cell>
          <cell r="AJ199">
            <v>0</v>
          </cell>
          <cell r="AK199">
            <v>0</v>
          </cell>
        </row>
        <row r="200">
          <cell r="B200" t="str">
            <v/>
          </cell>
          <cell r="H200" t="str">
            <v/>
          </cell>
          <cell r="J200" t="str">
            <v/>
          </cell>
          <cell r="N200" t="str">
            <v/>
          </cell>
          <cell r="O200" t="str">
            <v/>
          </cell>
          <cell r="P200" t="str">
            <v/>
          </cell>
          <cell r="Q200" t="str">
            <v/>
          </cell>
          <cell r="T200" t="str">
            <v/>
          </cell>
          <cell r="U200" t="str">
            <v/>
          </cell>
          <cell r="W200" t="str">
            <v/>
          </cell>
          <cell r="X200" t="str">
            <v/>
          </cell>
          <cell r="AB200">
            <v>0</v>
          </cell>
          <cell r="AC200">
            <v>0</v>
          </cell>
          <cell r="AD200">
            <v>0</v>
          </cell>
          <cell r="AJ200">
            <v>0</v>
          </cell>
          <cell r="AK200">
            <v>0</v>
          </cell>
        </row>
        <row r="201">
          <cell r="B201" t="str">
            <v/>
          </cell>
          <cell r="H201" t="str">
            <v/>
          </cell>
          <cell r="J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  <cell r="T201" t="str">
            <v/>
          </cell>
          <cell r="U201" t="str">
            <v/>
          </cell>
          <cell r="W201" t="str">
            <v/>
          </cell>
          <cell r="X201" t="str">
            <v/>
          </cell>
          <cell r="AB201">
            <v>0</v>
          </cell>
          <cell r="AC201">
            <v>0</v>
          </cell>
          <cell r="AD201">
            <v>0</v>
          </cell>
          <cell r="AJ201">
            <v>0</v>
          </cell>
          <cell r="AK201">
            <v>0</v>
          </cell>
        </row>
        <row r="202">
          <cell r="B202" t="str">
            <v/>
          </cell>
          <cell r="H202" t="str">
            <v/>
          </cell>
          <cell r="J202" t="str">
            <v/>
          </cell>
          <cell r="N202" t="str">
            <v/>
          </cell>
          <cell r="O202" t="str">
            <v/>
          </cell>
          <cell r="P202" t="str">
            <v/>
          </cell>
          <cell r="Q202" t="str">
            <v/>
          </cell>
          <cell r="T202" t="str">
            <v/>
          </cell>
          <cell r="U202" t="str">
            <v/>
          </cell>
          <cell r="W202" t="str">
            <v/>
          </cell>
          <cell r="X202" t="str">
            <v/>
          </cell>
          <cell r="AB202">
            <v>0</v>
          </cell>
          <cell r="AC202">
            <v>0</v>
          </cell>
          <cell r="AD202">
            <v>0</v>
          </cell>
          <cell r="AJ202">
            <v>0</v>
          </cell>
          <cell r="AK202">
            <v>0</v>
          </cell>
        </row>
        <row r="203">
          <cell r="B203" t="str">
            <v/>
          </cell>
          <cell r="H203" t="str">
            <v/>
          </cell>
          <cell r="J203" t="str">
            <v/>
          </cell>
          <cell r="N203" t="str">
            <v/>
          </cell>
          <cell r="O203" t="str">
            <v/>
          </cell>
          <cell r="P203" t="str">
            <v/>
          </cell>
          <cell r="Q203" t="str">
            <v/>
          </cell>
          <cell r="T203" t="str">
            <v/>
          </cell>
          <cell r="U203" t="str">
            <v/>
          </cell>
          <cell r="W203" t="str">
            <v/>
          </cell>
          <cell r="X203" t="str">
            <v/>
          </cell>
          <cell r="AB203">
            <v>0</v>
          </cell>
          <cell r="AC203">
            <v>0</v>
          </cell>
          <cell r="AD203">
            <v>0</v>
          </cell>
          <cell r="AJ203">
            <v>0</v>
          </cell>
          <cell r="AK203">
            <v>0</v>
          </cell>
        </row>
        <row r="204">
          <cell r="B204" t="str">
            <v/>
          </cell>
          <cell r="H204" t="str">
            <v/>
          </cell>
          <cell r="J204" t="str">
            <v/>
          </cell>
          <cell r="N204" t="str">
            <v/>
          </cell>
          <cell r="O204" t="str">
            <v/>
          </cell>
          <cell r="P204" t="str">
            <v/>
          </cell>
          <cell r="Q204" t="str">
            <v/>
          </cell>
          <cell r="T204" t="str">
            <v/>
          </cell>
          <cell r="U204" t="str">
            <v/>
          </cell>
          <cell r="W204" t="str">
            <v/>
          </cell>
          <cell r="X204" t="str">
            <v/>
          </cell>
          <cell r="AB204">
            <v>0</v>
          </cell>
          <cell r="AC204">
            <v>0</v>
          </cell>
          <cell r="AD204">
            <v>0</v>
          </cell>
          <cell r="AJ204">
            <v>0</v>
          </cell>
          <cell r="AK204">
            <v>0</v>
          </cell>
        </row>
        <row r="205">
          <cell r="B205" t="str">
            <v/>
          </cell>
          <cell r="H205" t="str">
            <v/>
          </cell>
          <cell r="J205" t="str">
            <v/>
          </cell>
          <cell r="N205" t="str">
            <v/>
          </cell>
          <cell r="O205" t="str">
            <v/>
          </cell>
          <cell r="P205" t="str">
            <v/>
          </cell>
          <cell r="Q205" t="str">
            <v/>
          </cell>
          <cell r="T205" t="str">
            <v/>
          </cell>
          <cell r="U205" t="str">
            <v/>
          </cell>
          <cell r="W205" t="str">
            <v/>
          </cell>
          <cell r="X205" t="str">
            <v/>
          </cell>
          <cell r="AB205">
            <v>0</v>
          </cell>
          <cell r="AC205">
            <v>0</v>
          </cell>
          <cell r="AD205">
            <v>0</v>
          </cell>
          <cell r="AJ205">
            <v>0</v>
          </cell>
          <cell r="AK205">
            <v>0</v>
          </cell>
        </row>
        <row r="206">
          <cell r="B206" t="str">
            <v/>
          </cell>
          <cell r="H206" t="str">
            <v/>
          </cell>
          <cell r="J206" t="str">
            <v/>
          </cell>
          <cell r="N206" t="str">
            <v/>
          </cell>
          <cell r="O206" t="str">
            <v/>
          </cell>
          <cell r="P206" t="str">
            <v/>
          </cell>
          <cell r="Q206" t="str">
            <v/>
          </cell>
          <cell r="T206" t="str">
            <v/>
          </cell>
          <cell r="U206" t="str">
            <v/>
          </cell>
          <cell r="W206" t="str">
            <v/>
          </cell>
          <cell r="X206" t="str">
            <v/>
          </cell>
          <cell r="AB206">
            <v>0</v>
          </cell>
          <cell r="AC206">
            <v>0</v>
          </cell>
          <cell r="AD206">
            <v>0</v>
          </cell>
          <cell r="AJ206">
            <v>0</v>
          </cell>
          <cell r="AK206">
            <v>0</v>
          </cell>
        </row>
        <row r="207">
          <cell r="B207" t="str">
            <v/>
          </cell>
          <cell r="H207" t="str">
            <v/>
          </cell>
          <cell r="J207" t="str">
            <v/>
          </cell>
          <cell r="N207" t="str">
            <v/>
          </cell>
          <cell r="O207" t="str">
            <v/>
          </cell>
          <cell r="P207" t="str">
            <v/>
          </cell>
          <cell r="Q207" t="str">
            <v/>
          </cell>
          <cell r="T207" t="str">
            <v/>
          </cell>
          <cell r="U207" t="str">
            <v/>
          </cell>
          <cell r="W207" t="str">
            <v/>
          </cell>
          <cell r="X207" t="str">
            <v/>
          </cell>
          <cell r="AB207">
            <v>0</v>
          </cell>
          <cell r="AC207">
            <v>0</v>
          </cell>
          <cell r="AD207">
            <v>0</v>
          </cell>
          <cell r="AJ207">
            <v>0</v>
          </cell>
          <cell r="AK207">
            <v>0</v>
          </cell>
        </row>
        <row r="208">
          <cell r="B208" t="str">
            <v/>
          </cell>
          <cell r="H208" t="str">
            <v/>
          </cell>
          <cell r="J208" t="str">
            <v/>
          </cell>
          <cell r="N208" t="str">
            <v/>
          </cell>
          <cell r="O208" t="str">
            <v/>
          </cell>
          <cell r="P208" t="str">
            <v/>
          </cell>
          <cell r="Q208" t="str">
            <v/>
          </cell>
          <cell r="T208" t="str">
            <v/>
          </cell>
          <cell r="U208" t="str">
            <v/>
          </cell>
          <cell r="W208" t="str">
            <v/>
          </cell>
          <cell r="X208" t="str">
            <v/>
          </cell>
          <cell r="AB208">
            <v>0</v>
          </cell>
          <cell r="AC208">
            <v>0</v>
          </cell>
          <cell r="AD208">
            <v>0</v>
          </cell>
          <cell r="AJ208">
            <v>0</v>
          </cell>
          <cell r="AK208">
            <v>0</v>
          </cell>
        </row>
        <row r="209">
          <cell r="B209" t="str">
            <v/>
          </cell>
          <cell r="H209" t="str">
            <v/>
          </cell>
          <cell r="J209" t="str">
            <v/>
          </cell>
          <cell r="N209" t="str">
            <v/>
          </cell>
          <cell r="O209" t="str">
            <v/>
          </cell>
          <cell r="P209" t="str">
            <v/>
          </cell>
          <cell r="Q209" t="str">
            <v/>
          </cell>
          <cell r="T209" t="str">
            <v/>
          </cell>
          <cell r="U209" t="str">
            <v/>
          </cell>
          <cell r="W209" t="str">
            <v/>
          </cell>
          <cell r="X209" t="str">
            <v/>
          </cell>
          <cell r="AB209">
            <v>0</v>
          </cell>
          <cell r="AC209">
            <v>0</v>
          </cell>
          <cell r="AD209">
            <v>0</v>
          </cell>
          <cell r="AJ209">
            <v>0</v>
          </cell>
          <cell r="AK209">
            <v>0</v>
          </cell>
        </row>
        <row r="210">
          <cell r="B210" t="str">
            <v/>
          </cell>
          <cell r="H210" t="str">
            <v/>
          </cell>
          <cell r="J210" t="str">
            <v/>
          </cell>
          <cell r="N210" t="str">
            <v/>
          </cell>
          <cell r="O210" t="str">
            <v/>
          </cell>
          <cell r="P210" t="str">
            <v/>
          </cell>
          <cell r="Q210" t="str">
            <v/>
          </cell>
          <cell r="T210" t="str">
            <v/>
          </cell>
          <cell r="U210" t="str">
            <v/>
          </cell>
          <cell r="W210" t="str">
            <v/>
          </cell>
          <cell r="X210" t="str">
            <v/>
          </cell>
          <cell r="AB210">
            <v>0</v>
          </cell>
          <cell r="AC210">
            <v>0</v>
          </cell>
          <cell r="AD210">
            <v>0</v>
          </cell>
          <cell r="AJ210">
            <v>0</v>
          </cell>
          <cell r="AK210">
            <v>0</v>
          </cell>
        </row>
        <row r="211">
          <cell r="B211" t="str">
            <v/>
          </cell>
          <cell r="H211" t="str">
            <v/>
          </cell>
          <cell r="J211" t="str">
            <v/>
          </cell>
          <cell r="N211" t="str">
            <v/>
          </cell>
          <cell r="O211" t="str">
            <v/>
          </cell>
          <cell r="P211" t="str">
            <v/>
          </cell>
          <cell r="Q211" t="str">
            <v/>
          </cell>
          <cell r="T211" t="str">
            <v/>
          </cell>
          <cell r="U211" t="str">
            <v/>
          </cell>
          <cell r="W211" t="str">
            <v/>
          </cell>
          <cell r="X211" t="str">
            <v/>
          </cell>
          <cell r="AB211">
            <v>0</v>
          </cell>
          <cell r="AC211">
            <v>0</v>
          </cell>
          <cell r="AD211">
            <v>0</v>
          </cell>
          <cell r="AJ211">
            <v>0</v>
          </cell>
          <cell r="AK211">
            <v>0</v>
          </cell>
        </row>
        <row r="212">
          <cell r="B212" t="str">
            <v/>
          </cell>
          <cell r="H212" t="str">
            <v/>
          </cell>
          <cell r="J212" t="str">
            <v/>
          </cell>
          <cell r="N212" t="str">
            <v/>
          </cell>
          <cell r="O212" t="str">
            <v/>
          </cell>
          <cell r="P212" t="str">
            <v/>
          </cell>
          <cell r="Q212" t="str">
            <v/>
          </cell>
          <cell r="T212" t="str">
            <v/>
          </cell>
          <cell r="U212" t="str">
            <v/>
          </cell>
          <cell r="W212" t="str">
            <v/>
          </cell>
          <cell r="X212" t="str">
            <v/>
          </cell>
          <cell r="AB212">
            <v>0</v>
          </cell>
          <cell r="AC212">
            <v>0</v>
          </cell>
          <cell r="AD212">
            <v>0</v>
          </cell>
          <cell r="AJ212">
            <v>0</v>
          </cell>
          <cell r="AK212">
            <v>0</v>
          </cell>
        </row>
        <row r="213">
          <cell r="B213" t="str">
            <v/>
          </cell>
          <cell r="H213" t="str">
            <v/>
          </cell>
          <cell r="J213" t="str">
            <v/>
          </cell>
          <cell r="N213" t="str">
            <v/>
          </cell>
          <cell r="O213" t="str">
            <v/>
          </cell>
          <cell r="P213" t="str">
            <v/>
          </cell>
          <cell r="Q213" t="str">
            <v/>
          </cell>
          <cell r="T213" t="str">
            <v/>
          </cell>
          <cell r="U213" t="str">
            <v/>
          </cell>
          <cell r="W213" t="str">
            <v/>
          </cell>
          <cell r="X213" t="str">
            <v/>
          </cell>
          <cell r="AB213">
            <v>0</v>
          </cell>
          <cell r="AC213">
            <v>0</v>
          </cell>
          <cell r="AD213">
            <v>0</v>
          </cell>
          <cell r="AJ213">
            <v>0</v>
          </cell>
          <cell r="AK213">
            <v>0</v>
          </cell>
        </row>
        <row r="214">
          <cell r="B214" t="str">
            <v/>
          </cell>
          <cell r="H214" t="str">
            <v/>
          </cell>
          <cell r="J214" t="str">
            <v/>
          </cell>
          <cell r="N214" t="str">
            <v/>
          </cell>
          <cell r="O214" t="str">
            <v/>
          </cell>
          <cell r="P214" t="str">
            <v/>
          </cell>
          <cell r="Q214" t="str">
            <v/>
          </cell>
          <cell r="T214" t="str">
            <v/>
          </cell>
          <cell r="U214" t="str">
            <v/>
          </cell>
          <cell r="W214" t="str">
            <v/>
          </cell>
          <cell r="X214" t="str">
            <v/>
          </cell>
          <cell r="AB214">
            <v>0</v>
          </cell>
          <cell r="AC214">
            <v>0</v>
          </cell>
          <cell r="AD214">
            <v>0</v>
          </cell>
          <cell r="AJ214">
            <v>0</v>
          </cell>
          <cell r="AK214">
            <v>0</v>
          </cell>
        </row>
        <row r="215">
          <cell r="B215" t="str">
            <v/>
          </cell>
          <cell r="H215" t="str">
            <v/>
          </cell>
          <cell r="J215" t="str">
            <v/>
          </cell>
          <cell r="N215" t="str">
            <v/>
          </cell>
          <cell r="O215" t="str">
            <v/>
          </cell>
          <cell r="P215" t="str">
            <v/>
          </cell>
          <cell r="Q215" t="str">
            <v/>
          </cell>
          <cell r="T215" t="str">
            <v/>
          </cell>
          <cell r="U215" t="str">
            <v/>
          </cell>
          <cell r="W215" t="str">
            <v/>
          </cell>
          <cell r="X215" t="str">
            <v/>
          </cell>
          <cell r="AB215">
            <v>0</v>
          </cell>
          <cell r="AC215">
            <v>0</v>
          </cell>
          <cell r="AD215">
            <v>0</v>
          </cell>
          <cell r="AJ215">
            <v>0</v>
          </cell>
          <cell r="AK215">
            <v>0</v>
          </cell>
        </row>
        <row r="216">
          <cell r="B216" t="str">
            <v/>
          </cell>
          <cell r="H216" t="str">
            <v/>
          </cell>
          <cell r="J216" t="str">
            <v/>
          </cell>
          <cell r="N216" t="str">
            <v/>
          </cell>
          <cell r="O216" t="str">
            <v/>
          </cell>
          <cell r="P216" t="str">
            <v/>
          </cell>
          <cell r="Q216" t="str">
            <v/>
          </cell>
          <cell r="T216" t="str">
            <v/>
          </cell>
          <cell r="U216" t="str">
            <v/>
          </cell>
          <cell r="W216" t="str">
            <v/>
          </cell>
          <cell r="X216" t="str">
            <v/>
          </cell>
          <cell r="AB216">
            <v>0</v>
          </cell>
          <cell r="AC216">
            <v>0</v>
          </cell>
          <cell r="AD216">
            <v>0</v>
          </cell>
          <cell r="AJ216">
            <v>0</v>
          </cell>
          <cell r="AK216">
            <v>0</v>
          </cell>
        </row>
        <row r="217">
          <cell r="B217" t="str">
            <v/>
          </cell>
          <cell r="H217" t="str">
            <v/>
          </cell>
          <cell r="J217" t="str">
            <v/>
          </cell>
          <cell r="N217" t="str">
            <v/>
          </cell>
          <cell r="O217" t="str">
            <v/>
          </cell>
          <cell r="P217" t="str">
            <v/>
          </cell>
          <cell r="Q217" t="str">
            <v/>
          </cell>
          <cell r="T217" t="str">
            <v/>
          </cell>
          <cell r="U217" t="str">
            <v/>
          </cell>
          <cell r="W217" t="str">
            <v/>
          </cell>
          <cell r="X217" t="str">
            <v/>
          </cell>
          <cell r="AB217">
            <v>0</v>
          </cell>
          <cell r="AC217">
            <v>0</v>
          </cell>
          <cell r="AD217">
            <v>0</v>
          </cell>
          <cell r="AJ217">
            <v>0</v>
          </cell>
          <cell r="AK217">
            <v>0</v>
          </cell>
        </row>
        <row r="218">
          <cell r="B218" t="str">
            <v/>
          </cell>
          <cell r="H218" t="str">
            <v/>
          </cell>
          <cell r="J218" t="str">
            <v/>
          </cell>
          <cell r="N218" t="str">
            <v/>
          </cell>
          <cell r="O218" t="str">
            <v/>
          </cell>
          <cell r="P218" t="str">
            <v/>
          </cell>
          <cell r="Q218" t="str">
            <v/>
          </cell>
          <cell r="T218" t="str">
            <v/>
          </cell>
          <cell r="U218" t="str">
            <v/>
          </cell>
          <cell r="W218" t="str">
            <v/>
          </cell>
          <cell r="X218" t="str">
            <v/>
          </cell>
          <cell r="AB218">
            <v>0</v>
          </cell>
          <cell r="AC218">
            <v>0</v>
          </cell>
          <cell r="AD218">
            <v>0</v>
          </cell>
          <cell r="AJ218">
            <v>0</v>
          </cell>
          <cell r="AK218">
            <v>0</v>
          </cell>
        </row>
        <row r="219">
          <cell r="B219" t="str">
            <v/>
          </cell>
          <cell r="H219" t="str">
            <v/>
          </cell>
          <cell r="J219" t="str">
            <v/>
          </cell>
          <cell r="N219" t="str">
            <v/>
          </cell>
          <cell r="O219" t="str">
            <v/>
          </cell>
          <cell r="P219" t="str">
            <v/>
          </cell>
          <cell r="Q219" t="str">
            <v/>
          </cell>
          <cell r="T219" t="str">
            <v/>
          </cell>
          <cell r="U219" t="str">
            <v/>
          </cell>
          <cell r="W219" t="str">
            <v/>
          </cell>
          <cell r="X219" t="str">
            <v/>
          </cell>
          <cell r="AB219">
            <v>0</v>
          </cell>
          <cell r="AC219">
            <v>0</v>
          </cell>
          <cell r="AD219">
            <v>0</v>
          </cell>
          <cell r="AJ219">
            <v>0</v>
          </cell>
          <cell r="AK219">
            <v>0</v>
          </cell>
        </row>
        <row r="220">
          <cell r="B220" t="str">
            <v/>
          </cell>
          <cell r="H220" t="str">
            <v/>
          </cell>
          <cell r="J220" t="str">
            <v/>
          </cell>
          <cell r="N220" t="str">
            <v/>
          </cell>
          <cell r="O220" t="str">
            <v/>
          </cell>
          <cell r="P220" t="str">
            <v/>
          </cell>
          <cell r="Q220" t="str">
            <v/>
          </cell>
          <cell r="T220" t="str">
            <v/>
          </cell>
          <cell r="U220" t="str">
            <v/>
          </cell>
          <cell r="W220" t="str">
            <v/>
          </cell>
          <cell r="X220" t="str">
            <v/>
          </cell>
          <cell r="AB220">
            <v>0</v>
          </cell>
          <cell r="AC220">
            <v>0</v>
          </cell>
          <cell r="AD220">
            <v>0</v>
          </cell>
          <cell r="AJ220">
            <v>0</v>
          </cell>
          <cell r="AK220">
            <v>0</v>
          </cell>
        </row>
        <row r="221">
          <cell r="B221" t="str">
            <v/>
          </cell>
          <cell r="H221" t="str">
            <v/>
          </cell>
          <cell r="J221" t="str">
            <v/>
          </cell>
          <cell r="N221" t="str">
            <v/>
          </cell>
          <cell r="O221" t="str">
            <v/>
          </cell>
          <cell r="P221" t="str">
            <v/>
          </cell>
          <cell r="Q221" t="str">
            <v/>
          </cell>
          <cell r="T221" t="str">
            <v/>
          </cell>
          <cell r="U221" t="str">
            <v/>
          </cell>
          <cell r="W221" t="str">
            <v/>
          </cell>
          <cell r="X221" t="str">
            <v/>
          </cell>
          <cell r="AB221">
            <v>0</v>
          </cell>
          <cell r="AC221">
            <v>0</v>
          </cell>
          <cell r="AD221">
            <v>0</v>
          </cell>
          <cell r="AJ221">
            <v>0</v>
          </cell>
          <cell r="AK221">
            <v>0</v>
          </cell>
        </row>
        <row r="222">
          <cell r="B222" t="str">
            <v/>
          </cell>
          <cell r="H222" t="str">
            <v/>
          </cell>
          <cell r="J222" t="str">
            <v/>
          </cell>
          <cell r="N222" t="str">
            <v/>
          </cell>
          <cell r="O222" t="str">
            <v/>
          </cell>
          <cell r="P222" t="str">
            <v/>
          </cell>
          <cell r="Q222" t="str">
            <v/>
          </cell>
          <cell r="T222" t="str">
            <v/>
          </cell>
          <cell r="U222" t="str">
            <v/>
          </cell>
          <cell r="W222" t="str">
            <v/>
          </cell>
          <cell r="X222" t="str">
            <v/>
          </cell>
          <cell r="AB222">
            <v>0</v>
          </cell>
          <cell r="AC222">
            <v>0</v>
          </cell>
          <cell r="AD222">
            <v>0</v>
          </cell>
          <cell r="AJ222">
            <v>0</v>
          </cell>
          <cell r="AK222">
            <v>0</v>
          </cell>
        </row>
        <row r="223">
          <cell r="B223" t="str">
            <v/>
          </cell>
          <cell r="H223" t="str">
            <v/>
          </cell>
          <cell r="J223" t="str">
            <v/>
          </cell>
          <cell r="N223" t="str">
            <v/>
          </cell>
          <cell r="O223" t="str">
            <v/>
          </cell>
          <cell r="P223" t="str">
            <v/>
          </cell>
          <cell r="Q223" t="str">
            <v/>
          </cell>
          <cell r="T223" t="str">
            <v/>
          </cell>
          <cell r="U223" t="str">
            <v/>
          </cell>
          <cell r="W223" t="str">
            <v/>
          </cell>
          <cell r="X223" t="str">
            <v/>
          </cell>
          <cell r="AB223">
            <v>0</v>
          </cell>
          <cell r="AC223">
            <v>0</v>
          </cell>
          <cell r="AD223">
            <v>0</v>
          </cell>
          <cell r="AJ223">
            <v>0</v>
          </cell>
          <cell r="AK223">
            <v>0</v>
          </cell>
        </row>
        <row r="224">
          <cell r="B224" t="str">
            <v/>
          </cell>
          <cell r="H224" t="str">
            <v/>
          </cell>
          <cell r="J224" t="str">
            <v/>
          </cell>
          <cell r="N224" t="str">
            <v/>
          </cell>
          <cell r="O224" t="str">
            <v/>
          </cell>
          <cell r="P224" t="str">
            <v/>
          </cell>
          <cell r="Q224" t="str">
            <v/>
          </cell>
          <cell r="T224" t="str">
            <v/>
          </cell>
          <cell r="U224" t="str">
            <v/>
          </cell>
          <cell r="W224" t="str">
            <v/>
          </cell>
          <cell r="X224" t="str">
            <v/>
          </cell>
          <cell r="AB224">
            <v>0</v>
          </cell>
          <cell r="AC224">
            <v>0</v>
          </cell>
          <cell r="AD224">
            <v>0</v>
          </cell>
          <cell r="AJ224">
            <v>0</v>
          </cell>
          <cell r="AK224">
            <v>0</v>
          </cell>
        </row>
        <row r="225">
          <cell r="B225" t="str">
            <v/>
          </cell>
          <cell r="H225" t="str">
            <v/>
          </cell>
          <cell r="J225" t="str">
            <v/>
          </cell>
          <cell r="N225" t="str">
            <v/>
          </cell>
          <cell r="O225" t="str">
            <v/>
          </cell>
          <cell r="P225" t="str">
            <v/>
          </cell>
          <cell r="Q225" t="str">
            <v/>
          </cell>
          <cell r="T225" t="str">
            <v/>
          </cell>
          <cell r="U225" t="str">
            <v/>
          </cell>
          <cell r="W225" t="str">
            <v/>
          </cell>
          <cell r="X225" t="str">
            <v/>
          </cell>
          <cell r="AB225">
            <v>0</v>
          </cell>
          <cell r="AC225">
            <v>0</v>
          </cell>
          <cell r="AD225">
            <v>0</v>
          </cell>
          <cell r="AJ225">
            <v>0</v>
          </cell>
          <cell r="AK225">
            <v>0</v>
          </cell>
        </row>
        <row r="226">
          <cell r="B226" t="str">
            <v/>
          </cell>
          <cell r="H226" t="str">
            <v/>
          </cell>
          <cell r="J226" t="str">
            <v/>
          </cell>
          <cell r="N226" t="str">
            <v/>
          </cell>
          <cell r="O226" t="str">
            <v/>
          </cell>
          <cell r="P226" t="str">
            <v/>
          </cell>
          <cell r="Q226" t="str">
            <v/>
          </cell>
          <cell r="T226" t="str">
            <v/>
          </cell>
          <cell r="U226" t="str">
            <v/>
          </cell>
          <cell r="W226" t="str">
            <v/>
          </cell>
          <cell r="X226" t="str">
            <v/>
          </cell>
          <cell r="AB226">
            <v>0</v>
          </cell>
          <cell r="AC226">
            <v>0</v>
          </cell>
          <cell r="AD226">
            <v>0</v>
          </cell>
          <cell r="AJ226">
            <v>0</v>
          </cell>
          <cell r="AK226">
            <v>0</v>
          </cell>
        </row>
        <row r="227">
          <cell r="B227" t="str">
            <v/>
          </cell>
          <cell r="H227" t="str">
            <v/>
          </cell>
          <cell r="J227" t="str">
            <v/>
          </cell>
          <cell r="N227" t="str">
            <v/>
          </cell>
          <cell r="O227" t="str">
            <v/>
          </cell>
          <cell r="P227" t="str">
            <v/>
          </cell>
          <cell r="Q227" t="str">
            <v/>
          </cell>
          <cell r="T227" t="str">
            <v/>
          </cell>
          <cell r="U227" t="str">
            <v/>
          </cell>
          <cell r="W227" t="str">
            <v/>
          </cell>
          <cell r="X227" t="str">
            <v/>
          </cell>
          <cell r="AB227">
            <v>0</v>
          </cell>
          <cell r="AC227">
            <v>0</v>
          </cell>
          <cell r="AD227">
            <v>0</v>
          </cell>
          <cell r="AJ227">
            <v>0</v>
          </cell>
          <cell r="AK227">
            <v>0</v>
          </cell>
        </row>
        <row r="228">
          <cell r="B228" t="str">
            <v/>
          </cell>
          <cell r="H228" t="str">
            <v/>
          </cell>
          <cell r="J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  <cell r="T228" t="str">
            <v/>
          </cell>
          <cell r="U228" t="str">
            <v/>
          </cell>
          <cell r="W228" t="str">
            <v/>
          </cell>
          <cell r="X228" t="str">
            <v/>
          </cell>
          <cell r="AB228">
            <v>0</v>
          </cell>
          <cell r="AC228">
            <v>0</v>
          </cell>
          <cell r="AD228">
            <v>0</v>
          </cell>
          <cell r="AJ228">
            <v>0</v>
          </cell>
          <cell r="AK228">
            <v>0</v>
          </cell>
        </row>
        <row r="229">
          <cell r="B229" t="str">
            <v/>
          </cell>
          <cell r="H229" t="str">
            <v/>
          </cell>
          <cell r="J229" t="str">
            <v/>
          </cell>
          <cell r="N229" t="str">
            <v/>
          </cell>
          <cell r="O229" t="str">
            <v/>
          </cell>
          <cell r="P229" t="str">
            <v/>
          </cell>
          <cell r="Q229" t="str">
            <v/>
          </cell>
          <cell r="T229" t="str">
            <v/>
          </cell>
          <cell r="U229" t="str">
            <v/>
          </cell>
          <cell r="W229" t="str">
            <v/>
          </cell>
          <cell r="X229" t="str">
            <v/>
          </cell>
          <cell r="AB229">
            <v>0</v>
          </cell>
          <cell r="AC229">
            <v>0</v>
          </cell>
          <cell r="AD229">
            <v>0</v>
          </cell>
          <cell r="AJ229">
            <v>0</v>
          </cell>
          <cell r="AK229">
            <v>0</v>
          </cell>
        </row>
        <row r="230">
          <cell r="B230" t="str">
            <v/>
          </cell>
          <cell r="H230" t="str">
            <v/>
          </cell>
          <cell r="J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  <cell r="T230" t="str">
            <v/>
          </cell>
          <cell r="U230" t="str">
            <v/>
          </cell>
          <cell r="W230" t="str">
            <v/>
          </cell>
          <cell r="X230" t="str">
            <v/>
          </cell>
          <cell r="AB230">
            <v>0</v>
          </cell>
          <cell r="AC230">
            <v>0</v>
          </cell>
          <cell r="AD230">
            <v>0</v>
          </cell>
          <cell r="AJ230">
            <v>0</v>
          </cell>
          <cell r="AK230">
            <v>0</v>
          </cell>
        </row>
        <row r="231">
          <cell r="B231" t="str">
            <v/>
          </cell>
          <cell r="H231" t="str">
            <v/>
          </cell>
          <cell r="J231" t="str">
            <v/>
          </cell>
          <cell r="N231" t="str">
            <v/>
          </cell>
          <cell r="O231" t="str">
            <v/>
          </cell>
          <cell r="P231" t="str">
            <v/>
          </cell>
          <cell r="Q231" t="str">
            <v/>
          </cell>
          <cell r="T231" t="str">
            <v/>
          </cell>
          <cell r="U231" t="str">
            <v/>
          </cell>
          <cell r="W231" t="str">
            <v/>
          </cell>
          <cell r="X231" t="str">
            <v/>
          </cell>
          <cell r="AB231">
            <v>0</v>
          </cell>
          <cell r="AC231">
            <v>0</v>
          </cell>
          <cell r="AD231">
            <v>0</v>
          </cell>
          <cell r="AJ231">
            <v>0</v>
          </cell>
          <cell r="AK231">
            <v>0</v>
          </cell>
        </row>
        <row r="232">
          <cell r="B232" t="str">
            <v/>
          </cell>
          <cell r="H232" t="str">
            <v/>
          </cell>
          <cell r="J232" t="str">
            <v/>
          </cell>
          <cell r="N232" t="str">
            <v/>
          </cell>
          <cell r="O232" t="str">
            <v/>
          </cell>
          <cell r="P232" t="str">
            <v/>
          </cell>
          <cell r="Q232" t="str">
            <v/>
          </cell>
          <cell r="T232" t="str">
            <v/>
          </cell>
          <cell r="U232" t="str">
            <v/>
          </cell>
          <cell r="W232" t="str">
            <v/>
          </cell>
          <cell r="X232" t="str">
            <v/>
          </cell>
          <cell r="AB232">
            <v>0</v>
          </cell>
          <cell r="AC232">
            <v>0</v>
          </cell>
          <cell r="AD232">
            <v>0</v>
          </cell>
          <cell r="AJ232">
            <v>0</v>
          </cell>
          <cell r="AK232">
            <v>0</v>
          </cell>
        </row>
        <row r="233">
          <cell r="B233" t="str">
            <v/>
          </cell>
          <cell r="H233" t="str">
            <v/>
          </cell>
          <cell r="J233" t="str">
            <v/>
          </cell>
          <cell r="N233" t="str">
            <v/>
          </cell>
          <cell r="O233" t="str">
            <v/>
          </cell>
          <cell r="P233" t="str">
            <v/>
          </cell>
          <cell r="Q233" t="str">
            <v/>
          </cell>
          <cell r="T233" t="str">
            <v/>
          </cell>
          <cell r="U233" t="str">
            <v/>
          </cell>
          <cell r="W233" t="str">
            <v/>
          </cell>
          <cell r="X233" t="str">
            <v/>
          </cell>
          <cell r="AB233">
            <v>0</v>
          </cell>
          <cell r="AC233">
            <v>0</v>
          </cell>
          <cell r="AD233">
            <v>0</v>
          </cell>
          <cell r="AJ233">
            <v>0</v>
          </cell>
          <cell r="AK233">
            <v>0</v>
          </cell>
        </row>
        <row r="234">
          <cell r="B234" t="str">
            <v/>
          </cell>
          <cell r="H234" t="str">
            <v/>
          </cell>
          <cell r="J234" t="str">
            <v/>
          </cell>
          <cell r="N234" t="str">
            <v/>
          </cell>
          <cell r="O234" t="str">
            <v/>
          </cell>
          <cell r="P234" t="str">
            <v/>
          </cell>
          <cell r="Q234" t="str">
            <v/>
          </cell>
          <cell r="T234" t="str">
            <v/>
          </cell>
          <cell r="U234" t="str">
            <v/>
          </cell>
          <cell r="W234" t="str">
            <v/>
          </cell>
          <cell r="X234" t="str">
            <v/>
          </cell>
          <cell r="AB234">
            <v>0</v>
          </cell>
          <cell r="AC234">
            <v>0</v>
          </cell>
          <cell r="AD234">
            <v>0</v>
          </cell>
          <cell r="AJ234">
            <v>0</v>
          </cell>
          <cell r="AK234">
            <v>0</v>
          </cell>
        </row>
        <row r="235">
          <cell r="B235" t="str">
            <v/>
          </cell>
          <cell r="H235" t="str">
            <v/>
          </cell>
          <cell r="J235" t="str">
            <v/>
          </cell>
          <cell r="N235" t="str">
            <v/>
          </cell>
          <cell r="O235" t="str">
            <v/>
          </cell>
          <cell r="P235" t="str">
            <v/>
          </cell>
          <cell r="Q235" t="str">
            <v/>
          </cell>
          <cell r="T235" t="str">
            <v/>
          </cell>
          <cell r="U235" t="str">
            <v/>
          </cell>
          <cell r="W235" t="str">
            <v/>
          </cell>
          <cell r="X235" t="str">
            <v/>
          </cell>
          <cell r="AB235">
            <v>0</v>
          </cell>
          <cell r="AC235">
            <v>0</v>
          </cell>
          <cell r="AD235">
            <v>0</v>
          </cell>
          <cell r="AJ235">
            <v>0</v>
          </cell>
          <cell r="AK235">
            <v>0</v>
          </cell>
        </row>
        <row r="236">
          <cell r="B236" t="str">
            <v/>
          </cell>
          <cell r="H236" t="str">
            <v/>
          </cell>
          <cell r="J236" t="str">
            <v/>
          </cell>
          <cell r="N236" t="str">
            <v/>
          </cell>
          <cell r="O236" t="str">
            <v/>
          </cell>
          <cell r="P236" t="str">
            <v/>
          </cell>
          <cell r="Q236" t="str">
            <v/>
          </cell>
          <cell r="T236" t="str">
            <v/>
          </cell>
          <cell r="U236" t="str">
            <v/>
          </cell>
          <cell r="W236" t="str">
            <v/>
          </cell>
          <cell r="X236" t="str">
            <v/>
          </cell>
          <cell r="AB236">
            <v>0</v>
          </cell>
          <cell r="AC236">
            <v>0</v>
          </cell>
          <cell r="AD236">
            <v>0</v>
          </cell>
          <cell r="AJ236">
            <v>0</v>
          </cell>
          <cell r="AK236">
            <v>0</v>
          </cell>
        </row>
        <row r="237">
          <cell r="B237" t="str">
            <v/>
          </cell>
          <cell r="H237" t="str">
            <v/>
          </cell>
          <cell r="J237" t="str">
            <v/>
          </cell>
          <cell r="N237" t="str">
            <v/>
          </cell>
          <cell r="O237" t="str">
            <v/>
          </cell>
          <cell r="P237" t="str">
            <v/>
          </cell>
          <cell r="Q237" t="str">
            <v/>
          </cell>
          <cell r="T237" t="str">
            <v/>
          </cell>
          <cell r="U237" t="str">
            <v/>
          </cell>
          <cell r="W237" t="str">
            <v/>
          </cell>
          <cell r="X237" t="str">
            <v/>
          </cell>
          <cell r="AB237">
            <v>0</v>
          </cell>
          <cell r="AC237">
            <v>0</v>
          </cell>
          <cell r="AD237">
            <v>0</v>
          </cell>
          <cell r="AJ237">
            <v>0</v>
          </cell>
          <cell r="AK237">
            <v>0</v>
          </cell>
        </row>
        <row r="238">
          <cell r="B238" t="str">
            <v/>
          </cell>
          <cell r="H238" t="str">
            <v/>
          </cell>
          <cell r="J238" t="str">
            <v/>
          </cell>
          <cell r="N238" t="str">
            <v/>
          </cell>
          <cell r="O238" t="str">
            <v/>
          </cell>
          <cell r="P238" t="str">
            <v/>
          </cell>
          <cell r="Q238" t="str">
            <v/>
          </cell>
          <cell r="T238" t="str">
            <v/>
          </cell>
          <cell r="U238" t="str">
            <v/>
          </cell>
          <cell r="W238" t="str">
            <v/>
          </cell>
          <cell r="X238" t="str">
            <v/>
          </cell>
          <cell r="AB238">
            <v>0</v>
          </cell>
          <cell r="AC238">
            <v>0</v>
          </cell>
          <cell r="AD238">
            <v>0</v>
          </cell>
          <cell r="AJ238">
            <v>0</v>
          </cell>
          <cell r="AK238">
            <v>0</v>
          </cell>
        </row>
        <row r="239">
          <cell r="B239" t="str">
            <v/>
          </cell>
          <cell r="H239" t="str">
            <v/>
          </cell>
          <cell r="J239" t="str">
            <v/>
          </cell>
          <cell r="N239" t="str">
            <v/>
          </cell>
          <cell r="O239" t="str">
            <v/>
          </cell>
          <cell r="P239" t="str">
            <v/>
          </cell>
          <cell r="Q239" t="str">
            <v/>
          </cell>
          <cell r="T239" t="str">
            <v/>
          </cell>
          <cell r="U239" t="str">
            <v/>
          </cell>
          <cell r="W239" t="str">
            <v/>
          </cell>
          <cell r="X239" t="str">
            <v/>
          </cell>
          <cell r="AB239">
            <v>0</v>
          </cell>
          <cell r="AC239">
            <v>0</v>
          </cell>
          <cell r="AD239">
            <v>0</v>
          </cell>
          <cell r="AJ239">
            <v>0</v>
          </cell>
          <cell r="AK239">
            <v>0</v>
          </cell>
        </row>
        <row r="240">
          <cell r="B240" t="str">
            <v/>
          </cell>
          <cell r="H240" t="str">
            <v/>
          </cell>
          <cell r="J240" t="str">
            <v/>
          </cell>
          <cell r="N240" t="str">
            <v/>
          </cell>
          <cell r="O240" t="str">
            <v/>
          </cell>
          <cell r="P240" t="str">
            <v/>
          </cell>
          <cell r="Q240" t="str">
            <v/>
          </cell>
          <cell r="T240" t="str">
            <v/>
          </cell>
          <cell r="U240" t="str">
            <v/>
          </cell>
          <cell r="W240" t="str">
            <v/>
          </cell>
          <cell r="X240" t="str">
            <v/>
          </cell>
          <cell r="AB240">
            <v>0</v>
          </cell>
          <cell r="AC240">
            <v>0</v>
          </cell>
          <cell r="AD240">
            <v>0</v>
          </cell>
          <cell r="AJ240">
            <v>0</v>
          </cell>
          <cell r="AK240">
            <v>0</v>
          </cell>
        </row>
        <row r="241">
          <cell r="B241" t="str">
            <v/>
          </cell>
          <cell r="H241" t="str">
            <v/>
          </cell>
          <cell r="J241" t="str">
            <v/>
          </cell>
          <cell r="N241" t="str">
            <v/>
          </cell>
          <cell r="O241" t="str">
            <v/>
          </cell>
          <cell r="P241" t="str">
            <v/>
          </cell>
          <cell r="Q241" t="str">
            <v/>
          </cell>
          <cell r="T241" t="str">
            <v/>
          </cell>
          <cell r="U241" t="str">
            <v/>
          </cell>
          <cell r="W241" t="str">
            <v/>
          </cell>
          <cell r="X241" t="str">
            <v/>
          </cell>
          <cell r="AB241">
            <v>0</v>
          </cell>
          <cell r="AC241">
            <v>0</v>
          </cell>
          <cell r="AD241">
            <v>0</v>
          </cell>
          <cell r="AJ241">
            <v>0</v>
          </cell>
          <cell r="AK241">
            <v>0</v>
          </cell>
        </row>
        <row r="242">
          <cell r="B242" t="str">
            <v/>
          </cell>
          <cell r="H242" t="str">
            <v/>
          </cell>
          <cell r="J242" t="str">
            <v/>
          </cell>
          <cell r="N242" t="str">
            <v/>
          </cell>
          <cell r="O242" t="str">
            <v/>
          </cell>
          <cell r="P242" t="str">
            <v/>
          </cell>
          <cell r="Q242" t="str">
            <v/>
          </cell>
          <cell r="T242" t="str">
            <v/>
          </cell>
          <cell r="U242" t="str">
            <v/>
          </cell>
          <cell r="W242" t="str">
            <v/>
          </cell>
          <cell r="X242" t="str">
            <v/>
          </cell>
          <cell r="AB242">
            <v>0</v>
          </cell>
          <cell r="AC242">
            <v>0</v>
          </cell>
          <cell r="AD242">
            <v>0</v>
          </cell>
          <cell r="AJ242">
            <v>0</v>
          </cell>
          <cell r="AK242">
            <v>0</v>
          </cell>
        </row>
        <row r="243">
          <cell r="B243" t="str">
            <v/>
          </cell>
          <cell r="H243" t="str">
            <v/>
          </cell>
          <cell r="J243" t="str">
            <v/>
          </cell>
          <cell r="N243" t="str">
            <v/>
          </cell>
          <cell r="O243" t="str">
            <v/>
          </cell>
          <cell r="P243" t="str">
            <v/>
          </cell>
          <cell r="Q243" t="str">
            <v/>
          </cell>
          <cell r="T243" t="str">
            <v/>
          </cell>
          <cell r="U243" t="str">
            <v/>
          </cell>
          <cell r="W243" t="str">
            <v/>
          </cell>
          <cell r="X243" t="str">
            <v/>
          </cell>
          <cell r="AB243">
            <v>0</v>
          </cell>
          <cell r="AC243">
            <v>0</v>
          </cell>
          <cell r="AD243">
            <v>0</v>
          </cell>
          <cell r="AJ243">
            <v>0</v>
          </cell>
          <cell r="AK243">
            <v>0</v>
          </cell>
        </row>
        <row r="244">
          <cell r="B244" t="str">
            <v/>
          </cell>
          <cell r="H244" t="str">
            <v/>
          </cell>
          <cell r="J244" t="str">
            <v/>
          </cell>
          <cell r="N244" t="str">
            <v/>
          </cell>
          <cell r="O244" t="str">
            <v/>
          </cell>
          <cell r="P244" t="str">
            <v/>
          </cell>
          <cell r="Q244" t="str">
            <v/>
          </cell>
          <cell r="T244" t="str">
            <v/>
          </cell>
          <cell r="U244" t="str">
            <v/>
          </cell>
          <cell r="W244" t="str">
            <v/>
          </cell>
          <cell r="X244" t="str">
            <v/>
          </cell>
          <cell r="AB244">
            <v>0</v>
          </cell>
          <cell r="AC244">
            <v>0</v>
          </cell>
          <cell r="AD244">
            <v>0</v>
          </cell>
          <cell r="AJ244">
            <v>0</v>
          </cell>
          <cell r="AK244">
            <v>0</v>
          </cell>
        </row>
        <row r="245">
          <cell r="B245" t="str">
            <v/>
          </cell>
          <cell r="H245" t="str">
            <v/>
          </cell>
          <cell r="J245" t="str">
            <v/>
          </cell>
          <cell r="N245" t="str">
            <v/>
          </cell>
          <cell r="O245" t="str">
            <v/>
          </cell>
          <cell r="P245" t="str">
            <v/>
          </cell>
          <cell r="Q245" t="str">
            <v/>
          </cell>
          <cell r="T245" t="str">
            <v/>
          </cell>
          <cell r="U245" t="str">
            <v/>
          </cell>
          <cell r="W245" t="str">
            <v/>
          </cell>
          <cell r="X245" t="str">
            <v/>
          </cell>
          <cell r="AB245">
            <v>0</v>
          </cell>
          <cell r="AC245">
            <v>0</v>
          </cell>
          <cell r="AD245">
            <v>0</v>
          </cell>
          <cell r="AJ245">
            <v>0</v>
          </cell>
          <cell r="AK245">
            <v>0</v>
          </cell>
        </row>
        <row r="246">
          <cell r="B246" t="str">
            <v/>
          </cell>
          <cell r="H246" t="str">
            <v/>
          </cell>
          <cell r="J246" t="str">
            <v/>
          </cell>
          <cell r="N246" t="str">
            <v/>
          </cell>
          <cell r="O246" t="str">
            <v/>
          </cell>
          <cell r="P246" t="str">
            <v/>
          </cell>
          <cell r="Q246" t="str">
            <v/>
          </cell>
          <cell r="T246" t="str">
            <v/>
          </cell>
          <cell r="U246" t="str">
            <v/>
          </cell>
          <cell r="W246" t="str">
            <v/>
          </cell>
          <cell r="X246" t="str">
            <v/>
          </cell>
          <cell r="AB246">
            <v>0</v>
          </cell>
          <cell r="AC246">
            <v>0</v>
          </cell>
          <cell r="AD246">
            <v>0</v>
          </cell>
          <cell r="AJ246">
            <v>0</v>
          </cell>
          <cell r="AK246">
            <v>0</v>
          </cell>
        </row>
        <row r="247">
          <cell r="B247" t="str">
            <v/>
          </cell>
          <cell r="H247" t="str">
            <v/>
          </cell>
          <cell r="J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/>
          </cell>
          <cell r="T247" t="str">
            <v/>
          </cell>
          <cell r="U247" t="str">
            <v/>
          </cell>
          <cell r="W247" t="str">
            <v/>
          </cell>
          <cell r="X247" t="str">
            <v/>
          </cell>
          <cell r="AB247">
            <v>0</v>
          </cell>
          <cell r="AC247">
            <v>0</v>
          </cell>
          <cell r="AD247">
            <v>0</v>
          </cell>
          <cell r="AJ247">
            <v>0</v>
          </cell>
          <cell r="AK247">
            <v>0</v>
          </cell>
        </row>
        <row r="248">
          <cell r="B248" t="str">
            <v/>
          </cell>
          <cell r="H248" t="str">
            <v/>
          </cell>
          <cell r="J248" t="str">
            <v/>
          </cell>
          <cell r="N248" t="str">
            <v/>
          </cell>
          <cell r="O248" t="str">
            <v/>
          </cell>
          <cell r="P248" t="str">
            <v/>
          </cell>
          <cell r="Q248" t="str">
            <v/>
          </cell>
          <cell r="T248" t="str">
            <v/>
          </cell>
          <cell r="U248" t="str">
            <v/>
          </cell>
          <cell r="W248" t="str">
            <v/>
          </cell>
          <cell r="X248" t="str">
            <v/>
          </cell>
          <cell r="AB248">
            <v>0</v>
          </cell>
          <cell r="AC248">
            <v>0</v>
          </cell>
          <cell r="AD248">
            <v>0</v>
          </cell>
          <cell r="AJ248">
            <v>0</v>
          </cell>
          <cell r="AK248">
            <v>0</v>
          </cell>
        </row>
        <row r="249">
          <cell r="B249" t="str">
            <v/>
          </cell>
          <cell r="H249" t="str">
            <v/>
          </cell>
          <cell r="J249" t="str">
            <v/>
          </cell>
          <cell r="N249" t="str">
            <v/>
          </cell>
          <cell r="O249" t="str">
            <v/>
          </cell>
          <cell r="P249" t="str">
            <v/>
          </cell>
          <cell r="Q249" t="str">
            <v/>
          </cell>
          <cell r="T249" t="str">
            <v/>
          </cell>
          <cell r="U249" t="str">
            <v/>
          </cell>
          <cell r="W249" t="str">
            <v/>
          </cell>
          <cell r="X249" t="str">
            <v/>
          </cell>
          <cell r="AB249">
            <v>0</v>
          </cell>
          <cell r="AC249">
            <v>0</v>
          </cell>
          <cell r="AD249">
            <v>0</v>
          </cell>
          <cell r="AJ249">
            <v>0</v>
          </cell>
          <cell r="AK249">
            <v>0</v>
          </cell>
        </row>
        <row r="250">
          <cell r="B250" t="str">
            <v/>
          </cell>
          <cell r="H250" t="str">
            <v/>
          </cell>
          <cell r="J250" t="str">
            <v/>
          </cell>
          <cell r="N250" t="str">
            <v/>
          </cell>
          <cell r="O250" t="str">
            <v/>
          </cell>
          <cell r="P250" t="str">
            <v/>
          </cell>
          <cell r="Q250" t="str">
            <v/>
          </cell>
          <cell r="T250" t="str">
            <v/>
          </cell>
          <cell r="U250" t="str">
            <v/>
          </cell>
          <cell r="W250" t="str">
            <v/>
          </cell>
          <cell r="X250" t="str">
            <v/>
          </cell>
          <cell r="AB250">
            <v>0</v>
          </cell>
          <cell r="AC250">
            <v>0</v>
          </cell>
          <cell r="AD250">
            <v>0</v>
          </cell>
          <cell r="AJ250">
            <v>0</v>
          </cell>
          <cell r="AK250">
            <v>0</v>
          </cell>
        </row>
        <row r="251">
          <cell r="B251" t="str">
            <v/>
          </cell>
          <cell r="H251" t="str">
            <v/>
          </cell>
          <cell r="J251" t="str">
            <v/>
          </cell>
          <cell r="N251" t="str">
            <v/>
          </cell>
          <cell r="O251" t="str">
            <v/>
          </cell>
          <cell r="P251" t="str">
            <v/>
          </cell>
          <cell r="Q251" t="str">
            <v/>
          </cell>
          <cell r="T251" t="str">
            <v/>
          </cell>
          <cell r="U251" t="str">
            <v/>
          </cell>
          <cell r="W251" t="str">
            <v/>
          </cell>
          <cell r="X251" t="str">
            <v/>
          </cell>
          <cell r="AB251">
            <v>0</v>
          </cell>
          <cell r="AC251">
            <v>0</v>
          </cell>
          <cell r="AD251">
            <v>0</v>
          </cell>
          <cell r="AJ251">
            <v>0</v>
          </cell>
          <cell r="AK251">
            <v>0</v>
          </cell>
        </row>
        <row r="252">
          <cell r="B252" t="str">
            <v/>
          </cell>
          <cell r="H252" t="str">
            <v/>
          </cell>
          <cell r="J252" t="str">
            <v/>
          </cell>
          <cell r="N252" t="str">
            <v/>
          </cell>
          <cell r="O252" t="str">
            <v/>
          </cell>
          <cell r="P252" t="str">
            <v/>
          </cell>
          <cell r="Q252" t="str">
            <v/>
          </cell>
          <cell r="T252" t="str">
            <v/>
          </cell>
          <cell r="U252" t="str">
            <v/>
          </cell>
          <cell r="W252" t="str">
            <v/>
          </cell>
          <cell r="X252" t="str">
            <v/>
          </cell>
          <cell r="AB252">
            <v>0</v>
          </cell>
          <cell r="AC252">
            <v>0</v>
          </cell>
          <cell r="AD252">
            <v>0</v>
          </cell>
          <cell r="AJ252">
            <v>0</v>
          </cell>
          <cell r="AK252">
            <v>0</v>
          </cell>
        </row>
        <row r="253">
          <cell r="B253" t="str">
            <v/>
          </cell>
          <cell r="H253" t="str">
            <v/>
          </cell>
          <cell r="J253" t="str">
            <v/>
          </cell>
          <cell r="N253" t="str">
            <v/>
          </cell>
          <cell r="O253" t="str">
            <v/>
          </cell>
          <cell r="P253" t="str">
            <v/>
          </cell>
          <cell r="Q253" t="str">
            <v/>
          </cell>
          <cell r="T253" t="str">
            <v/>
          </cell>
          <cell r="U253" t="str">
            <v/>
          </cell>
          <cell r="W253" t="str">
            <v/>
          </cell>
          <cell r="X253" t="str">
            <v/>
          </cell>
          <cell r="AB253">
            <v>0</v>
          </cell>
          <cell r="AC253">
            <v>0</v>
          </cell>
          <cell r="AD253">
            <v>0</v>
          </cell>
          <cell r="AJ253">
            <v>0</v>
          </cell>
          <cell r="AK253">
            <v>0</v>
          </cell>
        </row>
        <row r="254">
          <cell r="B254" t="str">
            <v/>
          </cell>
          <cell r="H254" t="str">
            <v/>
          </cell>
          <cell r="J254" t="str">
            <v/>
          </cell>
          <cell r="N254" t="str">
            <v/>
          </cell>
          <cell r="O254" t="str">
            <v/>
          </cell>
          <cell r="P254" t="str">
            <v/>
          </cell>
          <cell r="Q254" t="str">
            <v/>
          </cell>
          <cell r="T254" t="str">
            <v/>
          </cell>
          <cell r="U254" t="str">
            <v/>
          </cell>
          <cell r="W254" t="str">
            <v/>
          </cell>
          <cell r="X254" t="str">
            <v/>
          </cell>
          <cell r="AB254">
            <v>0</v>
          </cell>
          <cell r="AC254">
            <v>0</v>
          </cell>
          <cell r="AD254">
            <v>0</v>
          </cell>
          <cell r="AJ254">
            <v>0</v>
          </cell>
          <cell r="AK254">
            <v>0</v>
          </cell>
        </row>
        <row r="255">
          <cell r="B255" t="str">
            <v/>
          </cell>
          <cell r="H255" t="str">
            <v/>
          </cell>
          <cell r="J255" t="str">
            <v/>
          </cell>
          <cell r="N255" t="str">
            <v/>
          </cell>
          <cell r="O255" t="str">
            <v/>
          </cell>
          <cell r="P255" t="str">
            <v/>
          </cell>
          <cell r="Q255" t="str">
            <v/>
          </cell>
          <cell r="T255" t="str">
            <v/>
          </cell>
          <cell r="U255" t="str">
            <v/>
          </cell>
          <cell r="W255" t="str">
            <v/>
          </cell>
          <cell r="X255" t="str">
            <v/>
          </cell>
          <cell r="AB255">
            <v>0</v>
          </cell>
          <cell r="AC255">
            <v>0</v>
          </cell>
          <cell r="AD255">
            <v>0</v>
          </cell>
          <cell r="AJ255">
            <v>0</v>
          </cell>
          <cell r="AK255">
            <v>0</v>
          </cell>
        </row>
        <row r="256">
          <cell r="B256" t="str">
            <v/>
          </cell>
          <cell r="H256" t="str">
            <v/>
          </cell>
          <cell r="J256" t="str">
            <v/>
          </cell>
          <cell r="N256" t="str">
            <v/>
          </cell>
          <cell r="O256" t="str">
            <v/>
          </cell>
          <cell r="P256" t="str">
            <v/>
          </cell>
          <cell r="Q256" t="str">
            <v/>
          </cell>
          <cell r="T256" t="str">
            <v/>
          </cell>
          <cell r="U256" t="str">
            <v/>
          </cell>
          <cell r="W256" t="str">
            <v/>
          </cell>
          <cell r="X256" t="str">
            <v/>
          </cell>
          <cell r="AB256">
            <v>0</v>
          </cell>
          <cell r="AC256">
            <v>0</v>
          </cell>
          <cell r="AD256">
            <v>0</v>
          </cell>
          <cell r="AJ256">
            <v>0</v>
          </cell>
          <cell r="AK256">
            <v>0</v>
          </cell>
        </row>
        <row r="257">
          <cell r="B257" t="str">
            <v/>
          </cell>
          <cell r="H257" t="str">
            <v/>
          </cell>
          <cell r="J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  <cell r="T257" t="str">
            <v/>
          </cell>
          <cell r="U257" t="str">
            <v/>
          </cell>
          <cell r="W257" t="str">
            <v/>
          </cell>
          <cell r="X257" t="str">
            <v/>
          </cell>
          <cell r="AB257">
            <v>0</v>
          </cell>
          <cell r="AC257">
            <v>0</v>
          </cell>
          <cell r="AD257">
            <v>0</v>
          </cell>
          <cell r="AJ257">
            <v>0</v>
          </cell>
          <cell r="AK257">
            <v>0</v>
          </cell>
        </row>
        <row r="258">
          <cell r="B258" t="str">
            <v/>
          </cell>
          <cell r="H258" t="str">
            <v/>
          </cell>
          <cell r="J258" t="str">
            <v/>
          </cell>
          <cell r="N258" t="str">
            <v/>
          </cell>
          <cell r="O258" t="str">
            <v/>
          </cell>
          <cell r="P258" t="str">
            <v/>
          </cell>
          <cell r="Q258" t="str">
            <v/>
          </cell>
          <cell r="T258" t="str">
            <v/>
          </cell>
          <cell r="U258" t="str">
            <v/>
          </cell>
          <cell r="W258" t="str">
            <v/>
          </cell>
          <cell r="X258" t="str">
            <v/>
          </cell>
          <cell r="AB258">
            <v>0</v>
          </cell>
          <cell r="AC258">
            <v>0</v>
          </cell>
          <cell r="AD258">
            <v>0</v>
          </cell>
          <cell r="AJ258">
            <v>0</v>
          </cell>
          <cell r="AK258">
            <v>0</v>
          </cell>
        </row>
        <row r="259">
          <cell r="B259" t="str">
            <v/>
          </cell>
          <cell r="H259" t="str">
            <v/>
          </cell>
          <cell r="J259" t="str">
            <v/>
          </cell>
          <cell r="N259" t="str">
            <v/>
          </cell>
          <cell r="O259" t="str">
            <v/>
          </cell>
          <cell r="P259" t="str">
            <v/>
          </cell>
          <cell r="Q259" t="str">
            <v/>
          </cell>
          <cell r="T259" t="str">
            <v/>
          </cell>
          <cell r="U259" t="str">
            <v/>
          </cell>
          <cell r="W259" t="str">
            <v/>
          </cell>
          <cell r="X259" t="str">
            <v/>
          </cell>
          <cell r="AB259">
            <v>0</v>
          </cell>
          <cell r="AC259">
            <v>0</v>
          </cell>
          <cell r="AD259">
            <v>0</v>
          </cell>
          <cell r="AJ259">
            <v>0</v>
          </cell>
          <cell r="AK259">
            <v>0</v>
          </cell>
        </row>
        <row r="260">
          <cell r="B260" t="str">
            <v/>
          </cell>
          <cell r="H260" t="str">
            <v/>
          </cell>
          <cell r="J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  <cell r="T260" t="str">
            <v/>
          </cell>
          <cell r="U260" t="str">
            <v/>
          </cell>
          <cell r="W260" t="str">
            <v/>
          </cell>
          <cell r="X260" t="str">
            <v/>
          </cell>
          <cell r="AB260">
            <v>0</v>
          </cell>
          <cell r="AC260">
            <v>0</v>
          </cell>
          <cell r="AD260">
            <v>0</v>
          </cell>
          <cell r="AJ260">
            <v>0</v>
          </cell>
          <cell r="AK260">
            <v>0</v>
          </cell>
        </row>
        <row r="261">
          <cell r="B261" t="str">
            <v/>
          </cell>
          <cell r="H261" t="str">
            <v/>
          </cell>
          <cell r="J261" t="str">
            <v/>
          </cell>
          <cell r="N261" t="str">
            <v/>
          </cell>
          <cell r="O261" t="str">
            <v/>
          </cell>
          <cell r="P261" t="str">
            <v/>
          </cell>
          <cell r="Q261" t="str">
            <v/>
          </cell>
          <cell r="T261" t="str">
            <v/>
          </cell>
          <cell r="U261" t="str">
            <v/>
          </cell>
          <cell r="W261" t="str">
            <v/>
          </cell>
          <cell r="X261" t="str">
            <v/>
          </cell>
          <cell r="AB261">
            <v>0</v>
          </cell>
          <cell r="AC261">
            <v>0</v>
          </cell>
          <cell r="AD261">
            <v>0</v>
          </cell>
          <cell r="AJ261">
            <v>0</v>
          </cell>
          <cell r="AK261">
            <v>0</v>
          </cell>
        </row>
        <row r="262">
          <cell r="B262" t="str">
            <v/>
          </cell>
          <cell r="H262" t="str">
            <v/>
          </cell>
          <cell r="J262" t="str">
            <v/>
          </cell>
          <cell r="N262" t="str">
            <v/>
          </cell>
          <cell r="O262" t="str">
            <v/>
          </cell>
          <cell r="P262" t="str">
            <v/>
          </cell>
          <cell r="Q262" t="str">
            <v/>
          </cell>
          <cell r="T262" t="str">
            <v/>
          </cell>
          <cell r="U262" t="str">
            <v/>
          </cell>
          <cell r="W262" t="str">
            <v/>
          </cell>
          <cell r="X262" t="str">
            <v/>
          </cell>
          <cell r="AB262">
            <v>0</v>
          </cell>
          <cell r="AC262">
            <v>0</v>
          </cell>
          <cell r="AD262">
            <v>0</v>
          </cell>
          <cell r="AJ262">
            <v>0</v>
          </cell>
          <cell r="AK262">
            <v>0</v>
          </cell>
        </row>
        <row r="263">
          <cell r="B263" t="str">
            <v/>
          </cell>
          <cell r="H263" t="str">
            <v/>
          </cell>
          <cell r="J263" t="str">
            <v/>
          </cell>
          <cell r="N263" t="str">
            <v/>
          </cell>
          <cell r="O263" t="str">
            <v/>
          </cell>
          <cell r="P263" t="str">
            <v/>
          </cell>
          <cell r="Q263" t="str">
            <v/>
          </cell>
          <cell r="T263" t="str">
            <v/>
          </cell>
          <cell r="U263" t="str">
            <v/>
          </cell>
          <cell r="W263" t="str">
            <v/>
          </cell>
          <cell r="X263" t="str">
            <v/>
          </cell>
          <cell r="AB263">
            <v>0</v>
          </cell>
          <cell r="AC263">
            <v>0</v>
          </cell>
          <cell r="AD263">
            <v>0</v>
          </cell>
          <cell r="AJ263">
            <v>0</v>
          </cell>
          <cell r="AK263">
            <v>0</v>
          </cell>
        </row>
        <row r="264">
          <cell r="B264" t="str">
            <v/>
          </cell>
          <cell r="H264" t="str">
            <v/>
          </cell>
          <cell r="J264" t="str">
            <v/>
          </cell>
          <cell r="N264" t="str">
            <v/>
          </cell>
          <cell r="O264" t="str">
            <v/>
          </cell>
          <cell r="P264" t="str">
            <v/>
          </cell>
          <cell r="Q264" t="str">
            <v/>
          </cell>
          <cell r="T264" t="str">
            <v/>
          </cell>
          <cell r="U264" t="str">
            <v/>
          </cell>
          <cell r="W264" t="str">
            <v/>
          </cell>
          <cell r="X264" t="str">
            <v/>
          </cell>
          <cell r="AB264">
            <v>0</v>
          </cell>
          <cell r="AC264">
            <v>0</v>
          </cell>
          <cell r="AD264">
            <v>0</v>
          </cell>
          <cell r="AJ264">
            <v>0</v>
          </cell>
          <cell r="AK264">
            <v>0</v>
          </cell>
        </row>
        <row r="265">
          <cell r="B265" t="str">
            <v/>
          </cell>
          <cell r="H265" t="str">
            <v/>
          </cell>
          <cell r="J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/>
          </cell>
          <cell r="T265" t="str">
            <v/>
          </cell>
          <cell r="U265" t="str">
            <v/>
          </cell>
          <cell r="W265" t="str">
            <v/>
          </cell>
          <cell r="X265" t="str">
            <v/>
          </cell>
          <cell r="AB265">
            <v>0</v>
          </cell>
          <cell r="AC265">
            <v>0</v>
          </cell>
          <cell r="AD265">
            <v>0</v>
          </cell>
          <cell r="AJ265">
            <v>0</v>
          </cell>
          <cell r="AK265">
            <v>0</v>
          </cell>
        </row>
        <row r="266">
          <cell r="B266" t="str">
            <v/>
          </cell>
          <cell r="H266" t="str">
            <v/>
          </cell>
          <cell r="J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  <cell r="T266" t="str">
            <v/>
          </cell>
          <cell r="U266" t="str">
            <v/>
          </cell>
          <cell r="W266" t="str">
            <v/>
          </cell>
          <cell r="X266" t="str">
            <v/>
          </cell>
          <cell r="AB266">
            <v>0</v>
          </cell>
          <cell r="AC266">
            <v>0</v>
          </cell>
          <cell r="AD266">
            <v>0</v>
          </cell>
          <cell r="AJ266">
            <v>0</v>
          </cell>
          <cell r="AK266">
            <v>0</v>
          </cell>
        </row>
        <row r="267">
          <cell r="B267" t="str">
            <v/>
          </cell>
          <cell r="H267" t="str">
            <v/>
          </cell>
          <cell r="J267" t="str">
            <v/>
          </cell>
          <cell r="N267" t="str">
            <v/>
          </cell>
          <cell r="O267" t="str">
            <v/>
          </cell>
          <cell r="P267" t="str">
            <v/>
          </cell>
          <cell r="Q267" t="str">
            <v/>
          </cell>
          <cell r="T267" t="str">
            <v/>
          </cell>
          <cell r="U267" t="str">
            <v/>
          </cell>
          <cell r="W267" t="str">
            <v/>
          </cell>
          <cell r="X267" t="str">
            <v/>
          </cell>
          <cell r="AB267">
            <v>0</v>
          </cell>
          <cell r="AC267">
            <v>0</v>
          </cell>
          <cell r="AD267">
            <v>0</v>
          </cell>
          <cell r="AJ267">
            <v>0</v>
          </cell>
          <cell r="AK267">
            <v>0</v>
          </cell>
        </row>
        <row r="268">
          <cell r="B268" t="str">
            <v/>
          </cell>
          <cell r="H268" t="str">
            <v/>
          </cell>
          <cell r="J268" t="str">
            <v/>
          </cell>
          <cell r="N268" t="str">
            <v/>
          </cell>
          <cell r="O268" t="str">
            <v/>
          </cell>
          <cell r="P268" t="str">
            <v/>
          </cell>
          <cell r="Q268" t="str">
            <v/>
          </cell>
          <cell r="T268" t="str">
            <v/>
          </cell>
          <cell r="U268" t="str">
            <v/>
          </cell>
          <cell r="W268" t="str">
            <v/>
          </cell>
          <cell r="X268" t="str">
            <v/>
          </cell>
          <cell r="AB268">
            <v>0</v>
          </cell>
          <cell r="AC268">
            <v>0</v>
          </cell>
          <cell r="AD268">
            <v>0</v>
          </cell>
          <cell r="AJ268">
            <v>0</v>
          </cell>
          <cell r="AK268">
            <v>0</v>
          </cell>
        </row>
        <row r="269">
          <cell r="B269" t="str">
            <v/>
          </cell>
          <cell r="H269" t="str">
            <v/>
          </cell>
          <cell r="J269" t="str">
            <v/>
          </cell>
          <cell r="N269" t="str">
            <v/>
          </cell>
          <cell r="O269" t="str">
            <v/>
          </cell>
          <cell r="P269" t="str">
            <v/>
          </cell>
          <cell r="Q269" t="str">
            <v/>
          </cell>
          <cell r="T269" t="str">
            <v/>
          </cell>
          <cell r="U269" t="str">
            <v/>
          </cell>
          <cell r="W269" t="str">
            <v/>
          </cell>
          <cell r="X269" t="str">
            <v/>
          </cell>
          <cell r="AB269">
            <v>0</v>
          </cell>
          <cell r="AC269">
            <v>0</v>
          </cell>
          <cell r="AD269">
            <v>0</v>
          </cell>
          <cell r="AJ269">
            <v>0</v>
          </cell>
          <cell r="AK269">
            <v>0</v>
          </cell>
        </row>
        <row r="270">
          <cell r="B270" t="str">
            <v/>
          </cell>
          <cell r="H270" t="str">
            <v/>
          </cell>
          <cell r="J270" t="str">
            <v/>
          </cell>
          <cell r="N270" t="str">
            <v/>
          </cell>
          <cell r="O270" t="str">
            <v/>
          </cell>
          <cell r="P270" t="str">
            <v/>
          </cell>
          <cell r="Q270" t="str">
            <v/>
          </cell>
          <cell r="T270" t="str">
            <v/>
          </cell>
          <cell r="U270" t="str">
            <v/>
          </cell>
          <cell r="W270" t="str">
            <v/>
          </cell>
          <cell r="X270" t="str">
            <v/>
          </cell>
          <cell r="AB270">
            <v>0</v>
          </cell>
          <cell r="AC270">
            <v>0</v>
          </cell>
          <cell r="AD270">
            <v>0</v>
          </cell>
          <cell r="AJ270">
            <v>0</v>
          </cell>
          <cell r="AK270">
            <v>0</v>
          </cell>
        </row>
        <row r="271">
          <cell r="B271" t="str">
            <v/>
          </cell>
          <cell r="H271" t="str">
            <v/>
          </cell>
          <cell r="J271" t="str">
            <v/>
          </cell>
          <cell r="N271" t="str">
            <v/>
          </cell>
          <cell r="O271" t="str">
            <v/>
          </cell>
          <cell r="P271" t="str">
            <v/>
          </cell>
          <cell r="Q271" t="str">
            <v/>
          </cell>
          <cell r="T271" t="str">
            <v/>
          </cell>
          <cell r="U271" t="str">
            <v/>
          </cell>
          <cell r="W271" t="str">
            <v/>
          </cell>
          <cell r="X271" t="str">
            <v/>
          </cell>
          <cell r="AB271">
            <v>0</v>
          </cell>
          <cell r="AC271">
            <v>0</v>
          </cell>
          <cell r="AD271">
            <v>0</v>
          </cell>
          <cell r="AJ271">
            <v>0</v>
          </cell>
          <cell r="AK271">
            <v>0</v>
          </cell>
        </row>
        <row r="272">
          <cell r="B272" t="str">
            <v/>
          </cell>
          <cell r="H272" t="str">
            <v/>
          </cell>
          <cell r="J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  <cell r="T272" t="str">
            <v/>
          </cell>
          <cell r="U272" t="str">
            <v/>
          </cell>
          <cell r="W272" t="str">
            <v/>
          </cell>
          <cell r="X272" t="str">
            <v/>
          </cell>
          <cell r="AB272">
            <v>0</v>
          </cell>
          <cell r="AC272">
            <v>0</v>
          </cell>
          <cell r="AD272">
            <v>0</v>
          </cell>
          <cell r="AJ272">
            <v>0</v>
          </cell>
          <cell r="AK272">
            <v>0</v>
          </cell>
        </row>
        <row r="273">
          <cell r="B273" t="str">
            <v/>
          </cell>
          <cell r="H273" t="str">
            <v/>
          </cell>
          <cell r="J273" t="str">
            <v/>
          </cell>
          <cell r="N273" t="str">
            <v/>
          </cell>
          <cell r="O273" t="str">
            <v/>
          </cell>
          <cell r="P273" t="str">
            <v/>
          </cell>
          <cell r="Q273" t="str">
            <v/>
          </cell>
          <cell r="T273" t="str">
            <v/>
          </cell>
          <cell r="U273" t="str">
            <v/>
          </cell>
          <cell r="W273" t="str">
            <v/>
          </cell>
          <cell r="X273" t="str">
            <v/>
          </cell>
          <cell r="AB273">
            <v>0</v>
          </cell>
          <cell r="AC273">
            <v>0</v>
          </cell>
          <cell r="AD273">
            <v>0</v>
          </cell>
          <cell r="AJ273">
            <v>0</v>
          </cell>
          <cell r="AK273">
            <v>0</v>
          </cell>
        </row>
        <row r="274">
          <cell r="B274" t="str">
            <v/>
          </cell>
          <cell r="H274" t="str">
            <v/>
          </cell>
          <cell r="J274" t="str">
            <v/>
          </cell>
          <cell r="N274" t="str">
            <v/>
          </cell>
          <cell r="O274" t="str">
            <v/>
          </cell>
          <cell r="P274" t="str">
            <v/>
          </cell>
          <cell r="Q274" t="str">
            <v/>
          </cell>
          <cell r="T274" t="str">
            <v/>
          </cell>
          <cell r="U274" t="str">
            <v/>
          </cell>
          <cell r="W274" t="str">
            <v/>
          </cell>
          <cell r="X274" t="str">
            <v/>
          </cell>
          <cell r="AB274">
            <v>0</v>
          </cell>
          <cell r="AC274">
            <v>0</v>
          </cell>
          <cell r="AD274">
            <v>0</v>
          </cell>
          <cell r="AJ274">
            <v>0</v>
          </cell>
          <cell r="AK274">
            <v>0</v>
          </cell>
        </row>
        <row r="275">
          <cell r="B275" t="str">
            <v/>
          </cell>
          <cell r="H275" t="str">
            <v/>
          </cell>
          <cell r="J275" t="str">
            <v/>
          </cell>
          <cell r="N275" t="str">
            <v/>
          </cell>
          <cell r="O275" t="str">
            <v/>
          </cell>
          <cell r="P275" t="str">
            <v/>
          </cell>
          <cell r="Q275" t="str">
            <v/>
          </cell>
          <cell r="T275" t="str">
            <v/>
          </cell>
          <cell r="U275" t="str">
            <v/>
          </cell>
          <cell r="W275" t="str">
            <v/>
          </cell>
          <cell r="X275" t="str">
            <v/>
          </cell>
          <cell r="AB275">
            <v>0</v>
          </cell>
          <cell r="AC275">
            <v>0</v>
          </cell>
          <cell r="AD275">
            <v>0</v>
          </cell>
          <cell r="AJ275">
            <v>0</v>
          </cell>
          <cell r="AK275">
            <v>0</v>
          </cell>
        </row>
        <row r="276">
          <cell r="B276" t="str">
            <v/>
          </cell>
          <cell r="H276" t="str">
            <v/>
          </cell>
          <cell r="J276" t="str">
            <v/>
          </cell>
          <cell r="N276" t="str">
            <v/>
          </cell>
          <cell r="O276" t="str">
            <v/>
          </cell>
          <cell r="P276" t="str">
            <v/>
          </cell>
          <cell r="Q276" t="str">
            <v/>
          </cell>
          <cell r="T276" t="str">
            <v/>
          </cell>
          <cell r="U276" t="str">
            <v/>
          </cell>
          <cell r="W276" t="str">
            <v/>
          </cell>
          <cell r="X276" t="str">
            <v/>
          </cell>
          <cell r="AB276">
            <v>0</v>
          </cell>
          <cell r="AC276">
            <v>0</v>
          </cell>
          <cell r="AD276">
            <v>0</v>
          </cell>
          <cell r="AJ276">
            <v>0</v>
          </cell>
          <cell r="AK276">
            <v>0</v>
          </cell>
        </row>
        <row r="277">
          <cell r="B277" t="str">
            <v/>
          </cell>
          <cell r="H277" t="str">
            <v/>
          </cell>
          <cell r="J277" t="str">
            <v/>
          </cell>
          <cell r="N277" t="str">
            <v/>
          </cell>
          <cell r="O277" t="str">
            <v/>
          </cell>
          <cell r="P277" t="str">
            <v/>
          </cell>
          <cell r="Q277" t="str">
            <v/>
          </cell>
          <cell r="T277" t="str">
            <v/>
          </cell>
          <cell r="U277" t="str">
            <v/>
          </cell>
          <cell r="W277" t="str">
            <v/>
          </cell>
          <cell r="X277" t="str">
            <v/>
          </cell>
          <cell r="AB277">
            <v>0</v>
          </cell>
          <cell r="AC277">
            <v>0</v>
          </cell>
          <cell r="AD277">
            <v>0</v>
          </cell>
          <cell r="AJ277">
            <v>0</v>
          </cell>
          <cell r="AK277">
            <v>0</v>
          </cell>
        </row>
        <row r="278">
          <cell r="B278" t="str">
            <v/>
          </cell>
          <cell r="H278" t="str">
            <v/>
          </cell>
          <cell r="J278" t="str">
            <v/>
          </cell>
          <cell r="N278" t="str">
            <v/>
          </cell>
          <cell r="O278" t="str">
            <v/>
          </cell>
          <cell r="P278" t="str">
            <v/>
          </cell>
          <cell r="Q278" t="str">
            <v/>
          </cell>
          <cell r="T278" t="str">
            <v/>
          </cell>
          <cell r="U278" t="str">
            <v/>
          </cell>
          <cell r="W278" t="str">
            <v/>
          </cell>
          <cell r="X278" t="str">
            <v/>
          </cell>
          <cell r="AB278">
            <v>0</v>
          </cell>
          <cell r="AC278">
            <v>0</v>
          </cell>
          <cell r="AD278">
            <v>0</v>
          </cell>
          <cell r="AJ278">
            <v>0</v>
          </cell>
          <cell r="AK278">
            <v>0</v>
          </cell>
        </row>
        <row r="279">
          <cell r="B279" t="str">
            <v/>
          </cell>
          <cell r="H279" t="str">
            <v/>
          </cell>
          <cell r="J279" t="str">
            <v/>
          </cell>
          <cell r="N279" t="str">
            <v/>
          </cell>
          <cell r="O279" t="str">
            <v/>
          </cell>
          <cell r="P279" t="str">
            <v/>
          </cell>
          <cell r="Q279" t="str">
            <v/>
          </cell>
          <cell r="T279" t="str">
            <v/>
          </cell>
          <cell r="U279" t="str">
            <v/>
          </cell>
          <cell r="W279" t="str">
            <v/>
          </cell>
          <cell r="X279" t="str">
            <v/>
          </cell>
          <cell r="AB279">
            <v>0</v>
          </cell>
          <cell r="AC279">
            <v>0</v>
          </cell>
          <cell r="AD279">
            <v>0</v>
          </cell>
          <cell r="AJ279">
            <v>0</v>
          </cell>
          <cell r="AK279">
            <v>0</v>
          </cell>
        </row>
        <row r="280">
          <cell r="B280" t="str">
            <v/>
          </cell>
          <cell r="H280" t="str">
            <v/>
          </cell>
          <cell r="J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  <cell r="T280" t="str">
            <v/>
          </cell>
          <cell r="U280" t="str">
            <v/>
          </cell>
          <cell r="W280" t="str">
            <v/>
          </cell>
          <cell r="X280" t="str">
            <v/>
          </cell>
          <cell r="AB280">
            <v>0</v>
          </cell>
          <cell r="AC280">
            <v>0</v>
          </cell>
          <cell r="AD280">
            <v>0</v>
          </cell>
          <cell r="AJ280">
            <v>0</v>
          </cell>
          <cell r="AK280">
            <v>0</v>
          </cell>
        </row>
        <row r="281">
          <cell r="B281" t="str">
            <v/>
          </cell>
          <cell r="H281" t="str">
            <v/>
          </cell>
          <cell r="J281" t="str">
            <v/>
          </cell>
          <cell r="N281" t="str">
            <v/>
          </cell>
          <cell r="O281" t="str">
            <v/>
          </cell>
          <cell r="P281" t="str">
            <v/>
          </cell>
          <cell r="Q281" t="str">
            <v/>
          </cell>
          <cell r="T281" t="str">
            <v/>
          </cell>
          <cell r="U281" t="str">
            <v/>
          </cell>
          <cell r="W281" t="str">
            <v/>
          </cell>
          <cell r="X281" t="str">
            <v/>
          </cell>
          <cell r="AB281">
            <v>0</v>
          </cell>
          <cell r="AC281">
            <v>0</v>
          </cell>
          <cell r="AD281">
            <v>0</v>
          </cell>
          <cell r="AJ281">
            <v>0</v>
          </cell>
          <cell r="AK281">
            <v>0</v>
          </cell>
        </row>
        <row r="282">
          <cell r="B282" t="str">
            <v/>
          </cell>
          <cell r="H282" t="str">
            <v/>
          </cell>
          <cell r="J282" t="str">
            <v/>
          </cell>
          <cell r="N282" t="str">
            <v/>
          </cell>
          <cell r="O282" t="str">
            <v/>
          </cell>
          <cell r="P282" t="str">
            <v/>
          </cell>
          <cell r="Q282" t="str">
            <v/>
          </cell>
          <cell r="T282" t="str">
            <v/>
          </cell>
          <cell r="U282" t="str">
            <v/>
          </cell>
          <cell r="W282" t="str">
            <v/>
          </cell>
          <cell r="X282" t="str">
            <v/>
          </cell>
          <cell r="AB282">
            <v>0</v>
          </cell>
          <cell r="AC282">
            <v>0</v>
          </cell>
          <cell r="AD282">
            <v>0</v>
          </cell>
          <cell r="AJ282">
            <v>0</v>
          </cell>
          <cell r="AK282">
            <v>0</v>
          </cell>
        </row>
        <row r="283">
          <cell r="B283" t="str">
            <v/>
          </cell>
          <cell r="H283" t="str">
            <v/>
          </cell>
          <cell r="J283" t="str">
            <v/>
          </cell>
          <cell r="N283" t="str">
            <v/>
          </cell>
          <cell r="O283" t="str">
            <v/>
          </cell>
          <cell r="P283" t="str">
            <v/>
          </cell>
          <cell r="Q283" t="str">
            <v/>
          </cell>
          <cell r="T283" t="str">
            <v/>
          </cell>
          <cell r="U283" t="str">
            <v/>
          </cell>
          <cell r="W283" t="str">
            <v/>
          </cell>
          <cell r="X283" t="str">
            <v/>
          </cell>
          <cell r="AB283">
            <v>0</v>
          </cell>
          <cell r="AC283">
            <v>0</v>
          </cell>
          <cell r="AD283">
            <v>0</v>
          </cell>
          <cell r="AJ283">
            <v>0</v>
          </cell>
          <cell r="AK283">
            <v>0</v>
          </cell>
        </row>
        <row r="284">
          <cell r="B284" t="str">
            <v/>
          </cell>
          <cell r="H284" t="str">
            <v/>
          </cell>
          <cell r="J284" t="str">
            <v/>
          </cell>
          <cell r="N284" t="str">
            <v/>
          </cell>
          <cell r="O284" t="str">
            <v/>
          </cell>
          <cell r="P284" t="str">
            <v/>
          </cell>
          <cell r="Q284" t="str">
            <v/>
          </cell>
          <cell r="T284" t="str">
            <v/>
          </cell>
          <cell r="U284" t="str">
            <v/>
          </cell>
          <cell r="W284" t="str">
            <v/>
          </cell>
          <cell r="X284" t="str">
            <v/>
          </cell>
          <cell r="AB284">
            <v>0</v>
          </cell>
          <cell r="AC284">
            <v>0</v>
          </cell>
          <cell r="AD284">
            <v>0</v>
          </cell>
          <cell r="AJ284">
            <v>0</v>
          </cell>
          <cell r="AK284">
            <v>0</v>
          </cell>
        </row>
        <row r="285">
          <cell r="B285" t="str">
            <v/>
          </cell>
          <cell r="H285" t="str">
            <v/>
          </cell>
          <cell r="J285" t="str">
            <v/>
          </cell>
          <cell r="N285" t="str">
            <v/>
          </cell>
          <cell r="O285" t="str">
            <v/>
          </cell>
          <cell r="P285" t="str">
            <v/>
          </cell>
          <cell r="Q285" t="str">
            <v/>
          </cell>
          <cell r="T285" t="str">
            <v/>
          </cell>
          <cell r="U285" t="str">
            <v/>
          </cell>
          <cell r="W285" t="str">
            <v/>
          </cell>
          <cell r="X285" t="str">
            <v/>
          </cell>
          <cell r="AB285">
            <v>0</v>
          </cell>
          <cell r="AC285">
            <v>0</v>
          </cell>
          <cell r="AD285">
            <v>0</v>
          </cell>
          <cell r="AJ285">
            <v>0</v>
          </cell>
          <cell r="AK285">
            <v>0</v>
          </cell>
        </row>
        <row r="286">
          <cell r="B286" t="str">
            <v/>
          </cell>
          <cell r="H286" t="str">
            <v/>
          </cell>
          <cell r="J286" t="str">
            <v/>
          </cell>
          <cell r="N286" t="str">
            <v/>
          </cell>
          <cell r="O286" t="str">
            <v/>
          </cell>
          <cell r="P286" t="str">
            <v/>
          </cell>
          <cell r="Q286" t="str">
            <v/>
          </cell>
          <cell r="T286" t="str">
            <v/>
          </cell>
          <cell r="U286" t="str">
            <v/>
          </cell>
          <cell r="W286" t="str">
            <v/>
          </cell>
          <cell r="X286" t="str">
            <v/>
          </cell>
          <cell r="AB286">
            <v>0</v>
          </cell>
          <cell r="AC286">
            <v>0</v>
          </cell>
          <cell r="AD286">
            <v>0</v>
          </cell>
          <cell r="AJ286">
            <v>0</v>
          </cell>
          <cell r="AK286">
            <v>0</v>
          </cell>
        </row>
        <row r="287">
          <cell r="B287" t="str">
            <v/>
          </cell>
          <cell r="H287" t="str">
            <v/>
          </cell>
          <cell r="J287" t="str">
            <v/>
          </cell>
          <cell r="N287" t="str">
            <v/>
          </cell>
          <cell r="O287" t="str">
            <v/>
          </cell>
          <cell r="P287" t="str">
            <v/>
          </cell>
          <cell r="Q287" t="str">
            <v/>
          </cell>
          <cell r="T287" t="str">
            <v/>
          </cell>
          <cell r="U287" t="str">
            <v/>
          </cell>
          <cell r="W287" t="str">
            <v/>
          </cell>
          <cell r="X287" t="str">
            <v/>
          </cell>
          <cell r="AB287">
            <v>0</v>
          </cell>
          <cell r="AC287">
            <v>0</v>
          </cell>
          <cell r="AD287">
            <v>0</v>
          </cell>
          <cell r="AJ287">
            <v>0</v>
          </cell>
          <cell r="AK287">
            <v>0</v>
          </cell>
        </row>
        <row r="288">
          <cell r="B288" t="str">
            <v/>
          </cell>
          <cell r="H288" t="str">
            <v/>
          </cell>
          <cell r="J288" t="str">
            <v/>
          </cell>
          <cell r="N288" t="str">
            <v/>
          </cell>
          <cell r="O288" t="str">
            <v/>
          </cell>
          <cell r="P288" t="str">
            <v/>
          </cell>
          <cell r="Q288" t="str">
            <v/>
          </cell>
          <cell r="T288" t="str">
            <v/>
          </cell>
          <cell r="U288" t="str">
            <v/>
          </cell>
          <cell r="W288" t="str">
            <v/>
          </cell>
          <cell r="X288" t="str">
            <v/>
          </cell>
          <cell r="AB288">
            <v>0</v>
          </cell>
          <cell r="AC288">
            <v>0</v>
          </cell>
          <cell r="AD288">
            <v>0</v>
          </cell>
          <cell r="AJ288">
            <v>0</v>
          </cell>
          <cell r="AK288">
            <v>0</v>
          </cell>
        </row>
        <row r="289">
          <cell r="B289" t="str">
            <v/>
          </cell>
          <cell r="H289" t="str">
            <v/>
          </cell>
          <cell r="J289" t="str">
            <v/>
          </cell>
          <cell r="N289" t="str">
            <v/>
          </cell>
          <cell r="O289" t="str">
            <v/>
          </cell>
          <cell r="P289" t="str">
            <v/>
          </cell>
          <cell r="Q289" t="str">
            <v/>
          </cell>
          <cell r="T289" t="str">
            <v/>
          </cell>
          <cell r="U289" t="str">
            <v/>
          </cell>
          <cell r="W289" t="str">
            <v/>
          </cell>
          <cell r="X289" t="str">
            <v/>
          </cell>
          <cell r="AB289">
            <v>0</v>
          </cell>
          <cell r="AC289">
            <v>0</v>
          </cell>
          <cell r="AD289">
            <v>0</v>
          </cell>
          <cell r="AJ289">
            <v>0</v>
          </cell>
          <cell r="AK289">
            <v>0</v>
          </cell>
        </row>
        <row r="290">
          <cell r="B290" t="str">
            <v/>
          </cell>
          <cell r="H290" t="str">
            <v/>
          </cell>
          <cell r="J290" t="str">
            <v/>
          </cell>
          <cell r="N290" t="str">
            <v/>
          </cell>
          <cell r="O290" t="str">
            <v/>
          </cell>
          <cell r="P290" t="str">
            <v/>
          </cell>
          <cell r="Q290" t="str">
            <v/>
          </cell>
          <cell r="T290" t="str">
            <v/>
          </cell>
          <cell r="U290" t="str">
            <v/>
          </cell>
          <cell r="W290" t="str">
            <v/>
          </cell>
          <cell r="X290" t="str">
            <v/>
          </cell>
          <cell r="AB290">
            <v>0</v>
          </cell>
          <cell r="AC290">
            <v>0</v>
          </cell>
          <cell r="AD290">
            <v>0</v>
          </cell>
          <cell r="AJ290">
            <v>0</v>
          </cell>
          <cell r="AK290">
            <v>0</v>
          </cell>
        </row>
        <row r="291">
          <cell r="B291" t="str">
            <v/>
          </cell>
          <cell r="H291" t="str">
            <v/>
          </cell>
          <cell r="J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/>
          </cell>
          <cell r="T291" t="str">
            <v/>
          </cell>
          <cell r="U291" t="str">
            <v/>
          </cell>
          <cell r="W291" t="str">
            <v/>
          </cell>
          <cell r="X291" t="str">
            <v/>
          </cell>
          <cell r="AB291">
            <v>0</v>
          </cell>
          <cell r="AC291">
            <v>0</v>
          </cell>
          <cell r="AD291">
            <v>0</v>
          </cell>
          <cell r="AJ291">
            <v>0</v>
          </cell>
          <cell r="AK291">
            <v>0</v>
          </cell>
        </row>
        <row r="292">
          <cell r="B292" t="str">
            <v/>
          </cell>
          <cell r="H292" t="str">
            <v/>
          </cell>
          <cell r="J292" t="str">
            <v/>
          </cell>
          <cell r="N292" t="str">
            <v/>
          </cell>
          <cell r="O292" t="str">
            <v/>
          </cell>
          <cell r="P292" t="str">
            <v/>
          </cell>
          <cell r="Q292" t="str">
            <v/>
          </cell>
          <cell r="T292" t="str">
            <v/>
          </cell>
          <cell r="U292" t="str">
            <v/>
          </cell>
          <cell r="W292" t="str">
            <v/>
          </cell>
          <cell r="X292" t="str">
            <v/>
          </cell>
          <cell r="AB292">
            <v>0</v>
          </cell>
          <cell r="AC292">
            <v>0</v>
          </cell>
          <cell r="AD292">
            <v>0</v>
          </cell>
          <cell r="AJ292">
            <v>0</v>
          </cell>
          <cell r="AK292">
            <v>0</v>
          </cell>
        </row>
        <row r="293">
          <cell r="B293" t="str">
            <v/>
          </cell>
          <cell r="H293" t="str">
            <v/>
          </cell>
          <cell r="J293" t="str">
            <v/>
          </cell>
          <cell r="N293" t="str">
            <v/>
          </cell>
          <cell r="O293" t="str">
            <v/>
          </cell>
          <cell r="P293" t="str">
            <v/>
          </cell>
          <cell r="Q293" t="str">
            <v/>
          </cell>
          <cell r="T293" t="str">
            <v/>
          </cell>
          <cell r="U293" t="str">
            <v/>
          </cell>
          <cell r="W293" t="str">
            <v/>
          </cell>
          <cell r="X293" t="str">
            <v/>
          </cell>
          <cell r="AB293">
            <v>0</v>
          </cell>
          <cell r="AC293">
            <v>0</v>
          </cell>
          <cell r="AD293">
            <v>0</v>
          </cell>
          <cell r="AJ293">
            <v>0</v>
          </cell>
          <cell r="AK293">
            <v>0</v>
          </cell>
        </row>
        <row r="294">
          <cell r="B294" t="str">
            <v/>
          </cell>
          <cell r="H294" t="str">
            <v/>
          </cell>
          <cell r="J294" t="str">
            <v/>
          </cell>
          <cell r="N294" t="str">
            <v/>
          </cell>
          <cell r="O294" t="str">
            <v/>
          </cell>
          <cell r="P294" t="str">
            <v/>
          </cell>
          <cell r="Q294" t="str">
            <v/>
          </cell>
          <cell r="T294" t="str">
            <v/>
          </cell>
          <cell r="U294" t="str">
            <v/>
          </cell>
          <cell r="W294" t="str">
            <v/>
          </cell>
          <cell r="X294" t="str">
            <v/>
          </cell>
          <cell r="AB294">
            <v>0</v>
          </cell>
          <cell r="AC294">
            <v>0</v>
          </cell>
          <cell r="AD294">
            <v>0</v>
          </cell>
          <cell r="AJ294">
            <v>0</v>
          </cell>
          <cell r="AK294">
            <v>0</v>
          </cell>
        </row>
        <row r="295">
          <cell r="B295" t="str">
            <v/>
          </cell>
          <cell r="H295" t="str">
            <v/>
          </cell>
          <cell r="J295" t="str">
            <v/>
          </cell>
          <cell r="N295" t="str">
            <v/>
          </cell>
          <cell r="O295" t="str">
            <v/>
          </cell>
          <cell r="P295" t="str">
            <v/>
          </cell>
          <cell r="Q295" t="str">
            <v/>
          </cell>
          <cell r="T295" t="str">
            <v/>
          </cell>
          <cell r="U295" t="str">
            <v/>
          </cell>
          <cell r="W295" t="str">
            <v/>
          </cell>
          <cell r="X295" t="str">
            <v/>
          </cell>
          <cell r="AB295">
            <v>0</v>
          </cell>
          <cell r="AC295">
            <v>0</v>
          </cell>
          <cell r="AD295">
            <v>0</v>
          </cell>
          <cell r="AJ295">
            <v>0</v>
          </cell>
          <cell r="AK295">
            <v>0</v>
          </cell>
        </row>
        <row r="296">
          <cell r="B296" t="str">
            <v/>
          </cell>
          <cell r="H296" t="str">
            <v/>
          </cell>
          <cell r="J296" t="str">
            <v/>
          </cell>
          <cell r="N296" t="str">
            <v/>
          </cell>
          <cell r="O296" t="str">
            <v/>
          </cell>
          <cell r="P296" t="str">
            <v/>
          </cell>
          <cell r="Q296" t="str">
            <v/>
          </cell>
          <cell r="T296" t="str">
            <v/>
          </cell>
          <cell r="U296" t="str">
            <v/>
          </cell>
          <cell r="W296" t="str">
            <v/>
          </cell>
          <cell r="X296" t="str">
            <v/>
          </cell>
          <cell r="AB296">
            <v>0</v>
          </cell>
          <cell r="AC296">
            <v>0</v>
          </cell>
          <cell r="AD296">
            <v>0</v>
          </cell>
          <cell r="AJ296">
            <v>0</v>
          </cell>
          <cell r="AK296">
            <v>0</v>
          </cell>
        </row>
        <row r="297">
          <cell r="B297" t="str">
            <v/>
          </cell>
          <cell r="H297" t="str">
            <v/>
          </cell>
          <cell r="J297" t="str">
            <v/>
          </cell>
          <cell r="N297" t="str">
            <v/>
          </cell>
          <cell r="O297" t="str">
            <v/>
          </cell>
          <cell r="P297" t="str">
            <v/>
          </cell>
          <cell r="Q297" t="str">
            <v/>
          </cell>
          <cell r="T297" t="str">
            <v/>
          </cell>
          <cell r="U297" t="str">
            <v/>
          </cell>
          <cell r="W297" t="str">
            <v/>
          </cell>
          <cell r="X297" t="str">
            <v/>
          </cell>
          <cell r="AB297">
            <v>0</v>
          </cell>
          <cell r="AC297">
            <v>0</v>
          </cell>
          <cell r="AD297">
            <v>0</v>
          </cell>
          <cell r="AJ297">
            <v>0</v>
          </cell>
          <cell r="AK297">
            <v>0</v>
          </cell>
        </row>
        <row r="298">
          <cell r="B298" t="str">
            <v/>
          </cell>
          <cell r="H298" t="str">
            <v/>
          </cell>
          <cell r="J298" t="str">
            <v/>
          </cell>
          <cell r="N298" t="str">
            <v/>
          </cell>
          <cell r="O298" t="str">
            <v/>
          </cell>
          <cell r="P298" t="str">
            <v/>
          </cell>
          <cell r="Q298" t="str">
            <v/>
          </cell>
          <cell r="T298" t="str">
            <v/>
          </cell>
          <cell r="U298" t="str">
            <v/>
          </cell>
          <cell r="W298" t="str">
            <v/>
          </cell>
          <cell r="X298" t="str">
            <v/>
          </cell>
          <cell r="AB298">
            <v>0</v>
          </cell>
          <cell r="AC298">
            <v>0</v>
          </cell>
          <cell r="AD298">
            <v>0</v>
          </cell>
          <cell r="AJ298">
            <v>0</v>
          </cell>
          <cell r="AK298">
            <v>0</v>
          </cell>
        </row>
        <row r="299">
          <cell r="B299" t="str">
            <v/>
          </cell>
          <cell r="H299" t="str">
            <v/>
          </cell>
          <cell r="J299" t="str">
            <v/>
          </cell>
          <cell r="N299" t="str">
            <v/>
          </cell>
          <cell r="O299" t="str">
            <v/>
          </cell>
          <cell r="P299" t="str">
            <v/>
          </cell>
          <cell r="Q299" t="str">
            <v/>
          </cell>
          <cell r="T299" t="str">
            <v/>
          </cell>
          <cell r="U299" t="str">
            <v/>
          </cell>
          <cell r="W299" t="str">
            <v/>
          </cell>
          <cell r="X299" t="str">
            <v/>
          </cell>
          <cell r="AB299">
            <v>0</v>
          </cell>
          <cell r="AC299">
            <v>0</v>
          </cell>
          <cell r="AD299">
            <v>0</v>
          </cell>
          <cell r="AJ299">
            <v>0</v>
          </cell>
          <cell r="AK299">
            <v>0</v>
          </cell>
        </row>
        <row r="300">
          <cell r="B300" t="str">
            <v/>
          </cell>
          <cell r="H300" t="str">
            <v/>
          </cell>
          <cell r="J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  <cell r="T300" t="str">
            <v/>
          </cell>
          <cell r="U300" t="str">
            <v/>
          </cell>
          <cell r="W300" t="str">
            <v/>
          </cell>
          <cell r="X300" t="str">
            <v/>
          </cell>
          <cell r="AB300">
            <v>0</v>
          </cell>
          <cell r="AC300">
            <v>0</v>
          </cell>
          <cell r="AD300">
            <v>0</v>
          </cell>
          <cell r="AJ300">
            <v>0</v>
          </cell>
          <cell r="AK300">
            <v>0</v>
          </cell>
        </row>
        <row r="301">
          <cell r="B301" t="str">
            <v/>
          </cell>
          <cell r="H301" t="str">
            <v/>
          </cell>
          <cell r="J301" t="str">
            <v/>
          </cell>
          <cell r="N301" t="str">
            <v/>
          </cell>
          <cell r="O301" t="str">
            <v/>
          </cell>
          <cell r="P301" t="str">
            <v/>
          </cell>
          <cell r="Q301" t="str">
            <v/>
          </cell>
          <cell r="T301" t="str">
            <v/>
          </cell>
          <cell r="U301" t="str">
            <v/>
          </cell>
          <cell r="W301" t="str">
            <v/>
          </cell>
          <cell r="X301" t="str">
            <v/>
          </cell>
          <cell r="AB301">
            <v>0</v>
          </cell>
          <cell r="AC301">
            <v>0</v>
          </cell>
          <cell r="AD301">
            <v>0</v>
          </cell>
          <cell r="AJ301">
            <v>0</v>
          </cell>
          <cell r="AK301">
            <v>0</v>
          </cell>
        </row>
        <row r="302">
          <cell r="B302" t="str">
            <v/>
          </cell>
          <cell r="H302" t="str">
            <v/>
          </cell>
          <cell r="J302" t="str">
            <v/>
          </cell>
          <cell r="N302" t="str">
            <v/>
          </cell>
          <cell r="O302" t="str">
            <v/>
          </cell>
          <cell r="P302" t="str">
            <v/>
          </cell>
          <cell r="Q302" t="str">
            <v/>
          </cell>
          <cell r="T302" t="str">
            <v/>
          </cell>
          <cell r="U302" t="str">
            <v/>
          </cell>
          <cell r="W302" t="str">
            <v/>
          </cell>
          <cell r="X302" t="str">
            <v/>
          </cell>
          <cell r="AB302">
            <v>0</v>
          </cell>
          <cell r="AC302">
            <v>0</v>
          </cell>
          <cell r="AD302">
            <v>0</v>
          </cell>
          <cell r="AJ302">
            <v>0</v>
          </cell>
          <cell r="AK302">
            <v>0</v>
          </cell>
        </row>
        <row r="303">
          <cell r="B303" t="str">
            <v/>
          </cell>
          <cell r="H303" t="str">
            <v/>
          </cell>
          <cell r="J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  <cell r="T303" t="str">
            <v/>
          </cell>
          <cell r="U303" t="str">
            <v/>
          </cell>
          <cell r="W303" t="str">
            <v/>
          </cell>
          <cell r="X303" t="str">
            <v/>
          </cell>
          <cell r="AB303">
            <v>0</v>
          </cell>
          <cell r="AC303">
            <v>0</v>
          </cell>
          <cell r="AD303">
            <v>0</v>
          </cell>
          <cell r="AJ303">
            <v>0</v>
          </cell>
          <cell r="AK303">
            <v>0</v>
          </cell>
        </row>
        <row r="304">
          <cell r="B304" t="str">
            <v/>
          </cell>
          <cell r="H304" t="str">
            <v/>
          </cell>
          <cell r="J304" t="str">
            <v/>
          </cell>
          <cell r="N304" t="str">
            <v/>
          </cell>
          <cell r="O304" t="str">
            <v/>
          </cell>
          <cell r="P304" t="str">
            <v/>
          </cell>
          <cell r="Q304" t="str">
            <v/>
          </cell>
          <cell r="T304" t="str">
            <v/>
          </cell>
          <cell r="U304" t="str">
            <v/>
          </cell>
          <cell r="W304" t="str">
            <v/>
          </cell>
          <cell r="X304" t="str">
            <v/>
          </cell>
          <cell r="AB304">
            <v>0</v>
          </cell>
          <cell r="AC304">
            <v>0</v>
          </cell>
          <cell r="AD304">
            <v>0</v>
          </cell>
          <cell r="AJ304">
            <v>0</v>
          </cell>
          <cell r="AK304">
            <v>0</v>
          </cell>
        </row>
        <row r="305">
          <cell r="B305" t="str">
            <v/>
          </cell>
          <cell r="H305" t="str">
            <v/>
          </cell>
          <cell r="J305" t="str">
            <v/>
          </cell>
          <cell r="N305" t="str">
            <v/>
          </cell>
          <cell r="O305" t="str">
            <v/>
          </cell>
          <cell r="P305" t="str">
            <v/>
          </cell>
          <cell r="Q305" t="str">
            <v/>
          </cell>
          <cell r="T305" t="str">
            <v/>
          </cell>
          <cell r="U305" t="str">
            <v/>
          </cell>
          <cell r="W305" t="str">
            <v/>
          </cell>
          <cell r="X305" t="str">
            <v/>
          </cell>
          <cell r="AB305">
            <v>0</v>
          </cell>
          <cell r="AC305">
            <v>0</v>
          </cell>
          <cell r="AD305">
            <v>0</v>
          </cell>
          <cell r="AJ305">
            <v>0</v>
          </cell>
          <cell r="AK305">
            <v>0</v>
          </cell>
        </row>
        <row r="306">
          <cell r="B306" t="str">
            <v/>
          </cell>
          <cell r="H306" t="str">
            <v/>
          </cell>
          <cell r="J306" t="str">
            <v/>
          </cell>
          <cell r="N306" t="str">
            <v/>
          </cell>
          <cell r="O306" t="str">
            <v/>
          </cell>
          <cell r="P306" t="str">
            <v/>
          </cell>
          <cell r="Q306" t="str">
            <v/>
          </cell>
          <cell r="T306" t="str">
            <v/>
          </cell>
          <cell r="U306" t="str">
            <v/>
          </cell>
          <cell r="W306" t="str">
            <v/>
          </cell>
          <cell r="X306" t="str">
            <v/>
          </cell>
          <cell r="AB306">
            <v>0</v>
          </cell>
          <cell r="AC306">
            <v>0</v>
          </cell>
          <cell r="AD306">
            <v>0</v>
          </cell>
          <cell r="AJ306">
            <v>0</v>
          </cell>
          <cell r="AK306">
            <v>0</v>
          </cell>
        </row>
        <row r="307">
          <cell r="B307" t="str">
            <v/>
          </cell>
          <cell r="H307" t="str">
            <v/>
          </cell>
          <cell r="J307" t="str">
            <v/>
          </cell>
          <cell r="N307" t="str">
            <v/>
          </cell>
          <cell r="O307" t="str">
            <v/>
          </cell>
          <cell r="P307" t="str">
            <v/>
          </cell>
          <cell r="Q307" t="str">
            <v/>
          </cell>
          <cell r="T307" t="str">
            <v/>
          </cell>
          <cell r="U307" t="str">
            <v/>
          </cell>
          <cell r="W307" t="str">
            <v/>
          </cell>
          <cell r="X307" t="str">
            <v/>
          </cell>
          <cell r="AB307">
            <v>0</v>
          </cell>
          <cell r="AC307">
            <v>0</v>
          </cell>
          <cell r="AD307">
            <v>0</v>
          </cell>
          <cell r="AJ307">
            <v>0</v>
          </cell>
          <cell r="AK307">
            <v>0</v>
          </cell>
        </row>
        <row r="308">
          <cell r="B308" t="str">
            <v/>
          </cell>
          <cell r="H308" t="str">
            <v/>
          </cell>
          <cell r="J308" t="str">
            <v/>
          </cell>
          <cell r="N308" t="str">
            <v/>
          </cell>
          <cell r="O308" t="str">
            <v/>
          </cell>
          <cell r="P308" t="str">
            <v/>
          </cell>
          <cell r="Q308" t="str">
            <v/>
          </cell>
          <cell r="T308" t="str">
            <v/>
          </cell>
          <cell r="U308" t="str">
            <v/>
          </cell>
          <cell r="W308" t="str">
            <v/>
          </cell>
          <cell r="X308" t="str">
            <v/>
          </cell>
          <cell r="AB308">
            <v>0</v>
          </cell>
          <cell r="AC308">
            <v>0</v>
          </cell>
          <cell r="AD308">
            <v>0</v>
          </cell>
          <cell r="AJ308">
            <v>0</v>
          </cell>
          <cell r="AK308">
            <v>0</v>
          </cell>
        </row>
        <row r="309">
          <cell r="B309" t="str">
            <v/>
          </cell>
          <cell r="H309" t="str">
            <v/>
          </cell>
          <cell r="J309" t="str">
            <v/>
          </cell>
          <cell r="N309" t="str">
            <v/>
          </cell>
          <cell r="O309" t="str">
            <v/>
          </cell>
          <cell r="P309" t="str">
            <v/>
          </cell>
          <cell r="Q309" t="str">
            <v/>
          </cell>
          <cell r="T309" t="str">
            <v/>
          </cell>
          <cell r="U309" t="str">
            <v/>
          </cell>
          <cell r="W309" t="str">
            <v/>
          </cell>
          <cell r="X309" t="str">
            <v/>
          </cell>
          <cell r="AB309">
            <v>0</v>
          </cell>
          <cell r="AC309">
            <v>0</v>
          </cell>
          <cell r="AD309">
            <v>0</v>
          </cell>
          <cell r="AJ309">
            <v>0</v>
          </cell>
          <cell r="AK309">
            <v>0</v>
          </cell>
        </row>
        <row r="310">
          <cell r="B310" t="str">
            <v/>
          </cell>
          <cell r="H310" t="str">
            <v/>
          </cell>
          <cell r="J310" t="str">
            <v/>
          </cell>
          <cell r="N310" t="str">
            <v/>
          </cell>
          <cell r="O310" t="str">
            <v/>
          </cell>
          <cell r="P310" t="str">
            <v/>
          </cell>
          <cell r="Q310" t="str">
            <v/>
          </cell>
          <cell r="T310" t="str">
            <v/>
          </cell>
          <cell r="U310" t="str">
            <v/>
          </cell>
          <cell r="W310" t="str">
            <v/>
          </cell>
          <cell r="X310" t="str">
            <v/>
          </cell>
          <cell r="AB310">
            <v>0</v>
          </cell>
          <cell r="AC310">
            <v>0</v>
          </cell>
          <cell r="AD310">
            <v>0</v>
          </cell>
          <cell r="AJ310">
            <v>0</v>
          </cell>
          <cell r="AK310">
            <v>0</v>
          </cell>
        </row>
        <row r="311">
          <cell r="B311" t="str">
            <v/>
          </cell>
          <cell r="H311" t="str">
            <v/>
          </cell>
          <cell r="J311" t="str">
            <v/>
          </cell>
          <cell r="N311" t="str">
            <v/>
          </cell>
          <cell r="O311" t="str">
            <v/>
          </cell>
          <cell r="P311" t="str">
            <v/>
          </cell>
          <cell r="Q311" t="str">
            <v/>
          </cell>
          <cell r="T311" t="str">
            <v/>
          </cell>
          <cell r="U311" t="str">
            <v/>
          </cell>
          <cell r="W311" t="str">
            <v/>
          </cell>
          <cell r="X311" t="str">
            <v/>
          </cell>
          <cell r="AB311">
            <v>0</v>
          </cell>
          <cell r="AC311">
            <v>0</v>
          </cell>
          <cell r="AD311">
            <v>0</v>
          </cell>
          <cell r="AJ311">
            <v>0</v>
          </cell>
          <cell r="AK311">
            <v>0</v>
          </cell>
        </row>
        <row r="312">
          <cell r="B312" t="str">
            <v/>
          </cell>
          <cell r="H312" t="str">
            <v/>
          </cell>
          <cell r="J312" t="str">
            <v/>
          </cell>
          <cell r="N312" t="str">
            <v/>
          </cell>
          <cell r="O312" t="str">
            <v/>
          </cell>
          <cell r="P312" t="str">
            <v/>
          </cell>
          <cell r="Q312" t="str">
            <v/>
          </cell>
          <cell r="T312" t="str">
            <v/>
          </cell>
          <cell r="U312" t="str">
            <v/>
          </cell>
          <cell r="W312" t="str">
            <v/>
          </cell>
          <cell r="X312" t="str">
            <v/>
          </cell>
          <cell r="AB312">
            <v>0</v>
          </cell>
          <cell r="AC312">
            <v>0</v>
          </cell>
          <cell r="AD312">
            <v>0</v>
          </cell>
          <cell r="AJ312">
            <v>0</v>
          </cell>
          <cell r="AK312">
            <v>0</v>
          </cell>
        </row>
        <row r="313">
          <cell r="B313" t="str">
            <v/>
          </cell>
          <cell r="H313" t="str">
            <v/>
          </cell>
          <cell r="J313" t="str">
            <v/>
          </cell>
          <cell r="N313" t="str">
            <v/>
          </cell>
          <cell r="O313" t="str">
            <v/>
          </cell>
          <cell r="P313" t="str">
            <v/>
          </cell>
          <cell r="Q313" t="str">
            <v/>
          </cell>
          <cell r="T313" t="str">
            <v/>
          </cell>
          <cell r="U313" t="str">
            <v/>
          </cell>
          <cell r="W313" t="str">
            <v/>
          </cell>
          <cell r="X313" t="str">
            <v/>
          </cell>
          <cell r="AB313">
            <v>0</v>
          </cell>
          <cell r="AC313">
            <v>0</v>
          </cell>
          <cell r="AD313">
            <v>0</v>
          </cell>
          <cell r="AJ313">
            <v>0</v>
          </cell>
          <cell r="AK313">
            <v>0</v>
          </cell>
        </row>
        <row r="314">
          <cell r="B314" t="str">
            <v/>
          </cell>
          <cell r="H314" t="str">
            <v/>
          </cell>
          <cell r="J314" t="str">
            <v/>
          </cell>
          <cell r="N314" t="str">
            <v/>
          </cell>
          <cell r="O314" t="str">
            <v/>
          </cell>
          <cell r="P314" t="str">
            <v/>
          </cell>
          <cell r="Q314" t="str">
            <v/>
          </cell>
          <cell r="T314" t="str">
            <v/>
          </cell>
          <cell r="U314" t="str">
            <v/>
          </cell>
          <cell r="W314" t="str">
            <v/>
          </cell>
          <cell r="X314" t="str">
            <v/>
          </cell>
          <cell r="AB314">
            <v>0</v>
          </cell>
          <cell r="AC314">
            <v>0</v>
          </cell>
          <cell r="AD314">
            <v>0</v>
          </cell>
          <cell r="AJ314">
            <v>0</v>
          </cell>
          <cell r="AK314">
            <v>0</v>
          </cell>
        </row>
        <row r="315">
          <cell r="B315" t="str">
            <v/>
          </cell>
          <cell r="H315" t="str">
            <v/>
          </cell>
          <cell r="J315" t="str">
            <v/>
          </cell>
          <cell r="N315" t="str">
            <v/>
          </cell>
          <cell r="O315" t="str">
            <v/>
          </cell>
          <cell r="P315" t="str">
            <v/>
          </cell>
          <cell r="Q315" t="str">
            <v/>
          </cell>
          <cell r="T315" t="str">
            <v/>
          </cell>
          <cell r="U315" t="str">
            <v/>
          </cell>
          <cell r="W315" t="str">
            <v/>
          </cell>
          <cell r="X315" t="str">
            <v/>
          </cell>
          <cell r="AB315">
            <v>0</v>
          </cell>
          <cell r="AC315">
            <v>0</v>
          </cell>
          <cell r="AD315">
            <v>0</v>
          </cell>
          <cell r="AJ315">
            <v>0</v>
          </cell>
          <cell r="AK315">
            <v>0</v>
          </cell>
        </row>
        <row r="316">
          <cell r="B316" t="str">
            <v/>
          </cell>
          <cell r="H316" t="str">
            <v/>
          </cell>
          <cell r="J316" t="str">
            <v/>
          </cell>
          <cell r="N316" t="str">
            <v/>
          </cell>
          <cell r="O316" t="str">
            <v/>
          </cell>
          <cell r="P316" t="str">
            <v/>
          </cell>
          <cell r="Q316" t="str">
            <v/>
          </cell>
          <cell r="T316" t="str">
            <v/>
          </cell>
          <cell r="U316" t="str">
            <v/>
          </cell>
          <cell r="W316" t="str">
            <v/>
          </cell>
          <cell r="X316" t="str">
            <v/>
          </cell>
          <cell r="AB316">
            <v>0</v>
          </cell>
          <cell r="AC316">
            <v>0</v>
          </cell>
          <cell r="AD316">
            <v>0</v>
          </cell>
          <cell r="AJ316">
            <v>0</v>
          </cell>
          <cell r="AK316">
            <v>0</v>
          </cell>
        </row>
        <row r="317">
          <cell r="B317" t="str">
            <v/>
          </cell>
          <cell r="H317" t="str">
            <v/>
          </cell>
          <cell r="J317" t="str">
            <v/>
          </cell>
          <cell r="N317" t="str">
            <v/>
          </cell>
          <cell r="O317" t="str">
            <v/>
          </cell>
          <cell r="P317" t="str">
            <v/>
          </cell>
          <cell r="Q317" t="str">
            <v/>
          </cell>
          <cell r="T317" t="str">
            <v/>
          </cell>
          <cell r="U317" t="str">
            <v/>
          </cell>
          <cell r="W317" t="str">
            <v/>
          </cell>
          <cell r="X317" t="str">
            <v/>
          </cell>
          <cell r="AB317">
            <v>0</v>
          </cell>
          <cell r="AC317">
            <v>0</v>
          </cell>
          <cell r="AD317">
            <v>0</v>
          </cell>
          <cell r="AJ317">
            <v>0</v>
          </cell>
          <cell r="AK317">
            <v>0</v>
          </cell>
        </row>
        <row r="318">
          <cell r="B318" t="str">
            <v/>
          </cell>
          <cell r="H318" t="str">
            <v/>
          </cell>
          <cell r="J318" t="str">
            <v/>
          </cell>
          <cell r="N318" t="str">
            <v/>
          </cell>
          <cell r="O318" t="str">
            <v/>
          </cell>
          <cell r="P318" t="str">
            <v/>
          </cell>
          <cell r="Q318" t="str">
            <v/>
          </cell>
          <cell r="T318" t="str">
            <v/>
          </cell>
          <cell r="U318" t="str">
            <v/>
          </cell>
          <cell r="W318" t="str">
            <v/>
          </cell>
          <cell r="X318" t="str">
            <v/>
          </cell>
          <cell r="AB318">
            <v>0</v>
          </cell>
          <cell r="AC318">
            <v>0</v>
          </cell>
          <cell r="AD318">
            <v>0</v>
          </cell>
          <cell r="AJ318">
            <v>0</v>
          </cell>
          <cell r="AK318">
            <v>0</v>
          </cell>
        </row>
        <row r="319">
          <cell r="B319" t="str">
            <v/>
          </cell>
          <cell r="H319" t="str">
            <v/>
          </cell>
          <cell r="J319" t="str">
            <v/>
          </cell>
          <cell r="N319" t="str">
            <v/>
          </cell>
          <cell r="O319" t="str">
            <v/>
          </cell>
          <cell r="P319" t="str">
            <v/>
          </cell>
          <cell r="Q319" t="str">
            <v/>
          </cell>
          <cell r="T319" t="str">
            <v/>
          </cell>
          <cell r="U319" t="str">
            <v/>
          </cell>
          <cell r="W319" t="str">
            <v/>
          </cell>
          <cell r="X319" t="str">
            <v/>
          </cell>
          <cell r="AB319">
            <v>0</v>
          </cell>
          <cell r="AC319">
            <v>0</v>
          </cell>
          <cell r="AD319">
            <v>0</v>
          </cell>
          <cell r="AJ319">
            <v>0</v>
          </cell>
          <cell r="AK319">
            <v>0</v>
          </cell>
        </row>
        <row r="320">
          <cell r="B320" t="str">
            <v/>
          </cell>
          <cell r="H320" t="str">
            <v/>
          </cell>
          <cell r="J320" t="str">
            <v/>
          </cell>
          <cell r="N320" t="str">
            <v/>
          </cell>
          <cell r="O320" t="str">
            <v/>
          </cell>
          <cell r="P320" t="str">
            <v/>
          </cell>
          <cell r="Q320" t="str">
            <v/>
          </cell>
          <cell r="T320" t="str">
            <v/>
          </cell>
          <cell r="U320" t="str">
            <v/>
          </cell>
          <cell r="W320" t="str">
            <v/>
          </cell>
          <cell r="X320" t="str">
            <v/>
          </cell>
          <cell r="AB320">
            <v>0</v>
          </cell>
          <cell r="AC320">
            <v>0</v>
          </cell>
          <cell r="AD320">
            <v>0</v>
          </cell>
          <cell r="AJ320">
            <v>0</v>
          </cell>
          <cell r="AK320">
            <v>0</v>
          </cell>
        </row>
        <row r="321">
          <cell r="B321" t="str">
            <v/>
          </cell>
          <cell r="H321" t="str">
            <v/>
          </cell>
          <cell r="J321" t="str">
            <v/>
          </cell>
          <cell r="N321" t="str">
            <v/>
          </cell>
          <cell r="O321" t="str">
            <v/>
          </cell>
          <cell r="P321" t="str">
            <v/>
          </cell>
          <cell r="Q321" t="str">
            <v/>
          </cell>
          <cell r="T321" t="str">
            <v/>
          </cell>
          <cell r="U321" t="str">
            <v/>
          </cell>
          <cell r="W321" t="str">
            <v/>
          </cell>
          <cell r="X321" t="str">
            <v/>
          </cell>
          <cell r="AB321">
            <v>0</v>
          </cell>
          <cell r="AC321">
            <v>0</v>
          </cell>
          <cell r="AD321">
            <v>0</v>
          </cell>
          <cell r="AJ321">
            <v>0</v>
          </cell>
          <cell r="AK321">
            <v>0</v>
          </cell>
        </row>
        <row r="322">
          <cell r="B322" t="str">
            <v/>
          </cell>
          <cell r="H322" t="str">
            <v/>
          </cell>
          <cell r="J322" t="str">
            <v/>
          </cell>
          <cell r="N322" t="str">
            <v/>
          </cell>
          <cell r="O322" t="str">
            <v/>
          </cell>
          <cell r="P322" t="str">
            <v/>
          </cell>
          <cell r="Q322" t="str">
            <v/>
          </cell>
          <cell r="T322" t="str">
            <v/>
          </cell>
          <cell r="U322" t="str">
            <v/>
          </cell>
          <cell r="W322" t="str">
            <v/>
          </cell>
          <cell r="X322" t="str">
            <v/>
          </cell>
          <cell r="AB322">
            <v>0</v>
          </cell>
          <cell r="AC322">
            <v>0</v>
          </cell>
          <cell r="AD322">
            <v>0</v>
          </cell>
          <cell r="AJ322">
            <v>0</v>
          </cell>
          <cell r="AK322">
            <v>0</v>
          </cell>
        </row>
        <row r="323">
          <cell r="B323" t="str">
            <v/>
          </cell>
          <cell r="H323" t="str">
            <v/>
          </cell>
          <cell r="J323" t="str">
            <v/>
          </cell>
          <cell r="N323" t="str">
            <v/>
          </cell>
          <cell r="O323" t="str">
            <v/>
          </cell>
          <cell r="P323" t="str">
            <v/>
          </cell>
          <cell r="Q323" t="str">
            <v/>
          </cell>
          <cell r="T323" t="str">
            <v/>
          </cell>
          <cell r="U323" t="str">
            <v/>
          </cell>
          <cell r="W323" t="str">
            <v/>
          </cell>
          <cell r="X323" t="str">
            <v/>
          </cell>
          <cell r="AB323">
            <v>0</v>
          </cell>
          <cell r="AC323">
            <v>0</v>
          </cell>
          <cell r="AD323">
            <v>0</v>
          </cell>
          <cell r="AJ323">
            <v>0</v>
          </cell>
          <cell r="AK323">
            <v>0</v>
          </cell>
        </row>
        <row r="324">
          <cell r="B324" t="str">
            <v/>
          </cell>
          <cell r="H324" t="str">
            <v/>
          </cell>
          <cell r="J324" t="str">
            <v/>
          </cell>
          <cell r="N324" t="str">
            <v/>
          </cell>
          <cell r="O324" t="str">
            <v/>
          </cell>
          <cell r="P324" t="str">
            <v/>
          </cell>
          <cell r="Q324" t="str">
            <v/>
          </cell>
          <cell r="T324" t="str">
            <v/>
          </cell>
          <cell r="U324" t="str">
            <v/>
          </cell>
          <cell r="W324" t="str">
            <v/>
          </cell>
          <cell r="X324" t="str">
            <v/>
          </cell>
          <cell r="AB324">
            <v>0</v>
          </cell>
          <cell r="AC324">
            <v>0</v>
          </cell>
          <cell r="AD324">
            <v>0</v>
          </cell>
          <cell r="AJ324">
            <v>0</v>
          </cell>
          <cell r="AK324">
            <v>0</v>
          </cell>
        </row>
        <row r="325">
          <cell r="B325" t="str">
            <v/>
          </cell>
          <cell r="H325" t="str">
            <v/>
          </cell>
          <cell r="J325" t="str">
            <v/>
          </cell>
          <cell r="N325" t="str">
            <v/>
          </cell>
          <cell r="O325" t="str">
            <v/>
          </cell>
          <cell r="P325" t="str">
            <v/>
          </cell>
          <cell r="Q325" t="str">
            <v/>
          </cell>
          <cell r="T325" t="str">
            <v/>
          </cell>
          <cell r="U325" t="str">
            <v/>
          </cell>
          <cell r="W325" t="str">
            <v/>
          </cell>
          <cell r="X325" t="str">
            <v/>
          </cell>
          <cell r="AB325">
            <v>0</v>
          </cell>
          <cell r="AC325">
            <v>0</v>
          </cell>
          <cell r="AD325">
            <v>0</v>
          </cell>
          <cell r="AJ325">
            <v>0</v>
          </cell>
          <cell r="AK325">
            <v>0</v>
          </cell>
        </row>
        <row r="326">
          <cell r="B326" t="str">
            <v/>
          </cell>
          <cell r="H326" t="str">
            <v/>
          </cell>
          <cell r="J326" t="str">
            <v/>
          </cell>
          <cell r="N326" t="str">
            <v/>
          </cell>
          <cell r="O326" t="str">
            <v/>
          </cell>
          <cell r="P326" t="str">
            <v/>
          </cell>
          <cell r="Q326" t="str">
            <v/>
          </cell>
          <cell r="T326" t="str">
            <v/>
          </cell>
          <cell r="U326" t="str">
            <v/>
          </cell>
          <cell r="W326" t="str">
            <v/>
          </cell>
          <cell r="X326" t="str">
            <v/>
          </cell>
          <cell r="AB326">
            <v>0</v>
          </cell>
          <cell r="AC326">
            <v>0</v>
          </cell>
          <cell r="AD326">
            <v>0</v>
          </cell>
          <cell r="AJ326">
            <v>0</v>
          </cell>
          <cell r="AK326">
            <v>0</v>
          </cell>
        </row>
        <row r="327">
          <cell r="B327" t="str">
            <v/>
          </cell>
          <cell r="H327" t="str">
            <v/>
          </cell>
          <cell r="J327" t="str">
            <v/>
          </cell>
          <cell r="N327" t="str">
            <v/>
          </cell>
          <cell r="O327" t="str">
            <v/>
          </cell>
          <cell r="P327" t="str">
            <v/>
          </cell>
          <cell r="Q327" t="str">
            <v/>
          </cell>
          <cell r="T327" t="str">
            <v/>
          </cell>
          <cell r="U327" t="str">
            <v/>
          </cell>
          <cell r="W327" t="str">
            <v/>
          </cell>
          <cell r="X327" t="str">
            <v/>
          </cell>
          <cell r="AB327">
            <v>0</v>
          </cell>
          <cell r="AC327">
            <v>0</v>
          </cell>
          <cell r="AD327">
            <v>0</v>
          </cell>
          <cell r="AJ327">
            <v>0</v>
          </cell>
          <cell r="AK327">
            <v>0</v>
          </cell>
        </row>
        <row r="328">
          <cell r="B328" t="str">
            <v/>
          </cell>
          <cell r="H328" t="str">
            <v/>
          </cell>
          <cell r="J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  <cell r="T328" t="str">
            <v/>
          </cell>
          <cell r="U328" t="str">
            <v/>
          </cell>
          <cell r="W328" t="str">
            <v/>
          </cell>
          <cell r="X328" t="str">
            <v/>
          </cell>
          <cell r="AB328">
            <v>0</v>
          </cell>
          <cell r="AC328">
            <v>0</v>
          </cell>
          <cell r="AD328">
            <v>0</v>
          </cell>
          <cell r="AJ328">
            <v>0</v>
          </cell>
          <cell r="AK328">
            <v>0</v>
          </cell>
        </row>
        <row r="329">
          <cell r="B329" t="str">
            <v/>
          </cell>
          <cell r="H329" t="str">
            <v/>
          </cell>
          <cell r="J329" t="str">
            <v/>
          </cell>
          <cell r="N329" t="str">
            <v/>
          </cell>
          <cell r="O329" t="str">
            <v/>
          </cell>
          <cell r="P329" t="str">
            <v/>
          </cell>
          <cell r="Q329" t="str">
            <v/>
          </cell>
          <cell r="T329" t="str">
            <v/>
          </cell>
          <cell r="U329" t="str">
            <v/>
          </cell>
          <cell r="W329" t="str">
            <v/>
          </cell>
          <cell r="X329" t="str">
            <v/>
          </cell>
          <cell r="AB329">
            <v>0</v>
          </cell>
          <cell r="AC329">
            <v>0</v>
          </cell>
          <cell r="AD329">
            <v>0</v>
          </cell>
          <cell r="AJ329">
            <v>0</v>
          </cell>
          <cell r="AK329">
            <v>0</v>
          </cell>
        </row>
        <row r="330">
          <cell r="B330" t="str">
            <v/>
          </cell>
          <cell r="H330" t="str">
            <v/>
          </cell>
          <cell r="J330" t="str">
            <v/>
          </cell>
          <cell r="N330" t="str">
            <v/>
          </cell>
          <cell r="O330" t="str">
            <v/>
          </cell>
          <cell r="P330" t="str">
            <v/>
          </cell>
          <cell r="Q330" t="str">
            <v/>
          </cell>
          <cell r="T330" t="str">
            <v/>
          </cell>
          <cell r="U330" t="str">
            <v/>
          </cell>
          <cell r="W330" t="str">
            <v/>
          </cell>
          <cell r="X330" t="str">
            <v/>
          </cell>
          <cell r="AB330">
            <v>0</v>
          </cell>
          <cell r="AC330">
            <v>0</v>
          </cell>
          <cell r="AD330">
            <v>0</v>
          </cell>
          <cell r="AJ330">
            <v>0</v>
          </cell>
          <cell r="AK330">
            <v>0</v>
          </cell>
        </row>
        <row r="331">
          <cell r="B331" t="str">
            <v/>
          </cell>
          <cell r="H331" t="str">
            <v/>
          </cell>
          <cell r="J331" t="str">
            <v/>
          </cell>
          <cell r="N331" t="str">
            <v/>
          </cell>
          <cell r="O331" t="str">
            <v/>
          </cell>
          <cell r="P331" t="str">
            <v/>
          </cell>
          <cell r="Q331" t="str">
            <v/>
          </cell>
          <cell r="T331" t="str">
            <v/>
          </cell>
          <cell r="U331" t="str">
            <v/>
          </cell>
          <cell r="W331" t="str">
            <v/>
          </cell>
          <cell r="X331" t="str">
            <v/>
          </cell>
          <cell r="AB331">
            <v>0</v>
          </cell>
          <cell r="AC331">
            <v>0</v>
          </cell>
          <cell r="AD331">
            <v>0</v>
          </cell>
          <cell r="AJ331">
            <v>0</v>
          </cell>
          <cell r="AK331">
            <v>0</v>
          </cell>
        </row>
        <row r="332">
          <cell r="B332" t="str">
            <v/>
          </cell>
          <cell r="H332" t="str">
            <v/>
          </cell>
          <cell r="J332" t="str">
            <v/>
          </cell>
          <cell r="N332" t="str">
            <v/>
          </cell>
          <cell r="O332" t="str">
            <v/>
          </cell>
          <cell r="P332" t="str">
            <v/>
          </cell>
          <cell r="Q332" t="str">
            <v/>
          </cell>
          <cell r="T332" t="str">
            <v/>
          </cell>
          <cell r="U332" t="str">
            <v/>
          </cell>
          <cell r="W332" t="str">
            <v/>
          </cell>
          <cell r="X332" t="str">
            <v/>
          </cell>
          <cell r="AB332">
            <v>0</v>
          </cell>
          <cell r="AC332">
            <v>0</v>
          </cell>
          <cell r="AD332">
            <v>0</v>
          </cell>
          <cell r="AJ332">
            <v>0</v>
          </cell>
          <cell r="AK332">
            <v>0</v>
          </cell>
        </row>
        <row r="333">
          <cell r="B333" t="str">
            <v/>
          </cell>
          <cell r="H333" t="str">
            <v/>
          </cell>
          <cell r="J333" t="str">
            <v/>
          </cell>
          <cell r="N333" t="str">
            <v/>
          </cell>
          <cell r="O333" t="str">
            <v/>
          </cell>
          <cell r="P333" t="str">
            <v/>
          </cell>
          <cell r="Q333" t="str">
            <v/>
          </cell>
          <cell r="T333" t="str">
            <v/>
          </cell>
          <cell r="U333" t="str">
            <v/>
          </cell>
          <cell r="W333" t="str">
            <v/>
          </cell>
          <cell r="X333" t="str">
            <v/>
          </cell>
          <cell r="AB333">
            <v>0</v>
          </cell>
          <cell r="AC333">
            <v>0</v>
          </cell>
          <cell r="AD333">
            <v>0</v>
          </cell>
          <cell r="AJ333">
            <v>0</v>
          </cell>
          <cell r="AK333">
            <v>0</v>
          </cell>
        </row>
        <row r="334">
          <cell r="B334" t="str">
            <v/>
          </cell>
          <cell r="H334" t="str">
            <v/>
          </cell>
          <cell r="J334" t="str">
            <v/>
          </cell>
          <cell r="N334" t="str">
            <v/>
          </cell>
          <cell r="O334" t="str">
            <v/>
          </cell>
          <cell r="P334" t="str">
            <v/>
          </cell>
          <cell r="Q334" t="str">
            <v/>
          </cell>
          <cell r="T334" t="str">
            <v/>
          </cell>
          <cell r="U334" t="str">
            <v/>
          </cell>
          <cell r="W334" t="str">
            <v/>
          </cell>
          <cell r="X334" t="str">
            <v/>
          </cell>
          <cell r="AB334">
            <v>0</v>
          </cell>
          <cell r="AC334">
            <v>0</v>
          </cell>
          <cell r="AD334">
            <v>0</v>
          </cell>
          <cell r="AJ334">
            <v>0</v>
          </cell>
          <cell r="AK334">
            <v>0</v>
          </cell>
        </row>
        <row r="335">
          <cell r="B335" t="str">
            <v/>
          </cell>
          <cell r="H335" t="str">
            <v/>
          </cell>
          <cell r="J335" t="str">
            <v/>
          </cell>
          <cell r="N335" t="str">
            <v/>
          </cell>
          <cell r="O335" t="str">
            <v/>
          </cell>
          <cell r="P335" t="str">
            <v/>
          </cell>
          <cell r="Q335" t="str">
            <v/>
          </cell>
          <cell r="T335" t="str">
            <v/>
          </cell>
          <cell r="U335" t="str">
            <v/>
          </cell>
          <cell r="W335" t="str">
            <v/>
          </cell>
          <cell r="X335" t="str">
            <v/>
          </cell>
          <cell r="AB335">
            <v>0</v>
          </cell>
          <cell r="AC335">
            <v>0</v>
          </cell>
          <cell r="AD335">
            <v>0</v>
          </cell>
          <cell r="AJ335">
            <v>0</v>
          </cell>
          <cell r="AK335">
            <v>0</v>
          </cell>
        </row>
        <row r="336">
          <cell r="B336" t="str">
            <v/>
          </cell>
          <cell r="H336" t="str">
            <v/>
          </cell>
          <cell r="J336" t="str">
            <v/>
          </cell>
          <cell r="N336" t="str">
            <v/>
          </cell>
          <cell r="O336" t="str">
            <v/>
          </cell>
          <cell r="P336" t="str">
            <v/>
          </cell>
          <cell r="Q336" t="str">
            <v/>
          </cell>
          <cell r="T336" t="str">
            <v/>
          </cell>
          <cell r="U336" t="str">
            <v/>
          </cell>
          <cell r="W336" t="str">
            <v/>
          </cell>
          <cell r="X336" t="str">
            <v/>
          </cell>
          <cell r="AB336">
            <v>0</v>
          </cell>
          <cell r="AC336">
            <v>0</v>
          </cell>
          <cell r="AD336">
            <v>0</v>
          </cell>
          <cell r="AJ336">
            <v>0</v>
          </cell>
          <cell r="AK336">
            <v>0</v>
          </cell>
        </row>
        <row r="337">
          <cell r="B337" t="str">
            <v/>
          </cell>
          <cell r="H337" t="str">
            <v/>
          </cell>
          <cell r="J337" t="str">
            <v/>
          </cell>
          <cell r="N337" t="str">
            <v/>
          </cell>
          <cell r="O337" t="str">
            <v/>
          </cell>
          <cell r="P337" t="str">
            <v/>
          </cell>
          <cell r="Q337" t="str">
            <v/>
          </cell>
          <cell r="T337" t="str">
            <v/>
          </cell>
          <cell r="U337" t="str">
            <v/>
          </cell>
          <cell r="W337" t="str">
            <v/>
          </cell>
          <cell r="X337" t="str">
            <v/>
          </cell>
          <cell r="AB337">
            <v>0</v>
          </cell>
          <cell r="AC337">
            <v>0</v>
          </cell>
          <cell r="AD337">
            <v>0</v>
          </cell>
          <cell r="AJ337">
            <v>0</v>
          </cell>
          <cell r="AK337">
            <v>0</v>
          </cell>
        </row>
        <row r="338">
          <cell r="B338" t="str">
            <v/>
          </cell>
          <cell r="H338" t="str">
            <v/>
          </cell>
          <cell r="J338" t="str">
            <v/>
          </cell>
          <cell r="N338" t="str">
            <v/>
          </cell>
          <cell r="O338" t="str">
            <v/>
          </cell>
          <cell r="P338" t="str">
            <v/>
          </cell>
          <cell r="Q338" t="str">
            <v/>
          </cell>
          <cell r="T338" t="str">
            <v/>
          </cell>
          <cell r="U338" t="str">
            <v/>
          </cell>
          <cell r="W338" t="str">
            <v/>
          </cell>
          <cell r="X338" t="str">
            <v/>
          </cell>
          <cell r="AB338">
            <v>0</v>
          </cell>
          <cell r="AC338">
            <v>0</v>
          </cell>
          <cell r="AD338">
            <v>0</v>
          </cell>
          <cell r="AJ338">
            <v>0</v>
          </cell>
          <cell r="AK338">
            <v>0</v>
          </cell>
        </row>
        <row r="339">
          <cell r="B339" t="str">
            <v/>
          </cell>
          <cell r="H339" t="str">
            <v/>
          </cell>
          <cell r="J339" t="str">
            <v/>
          </cell>
          <cell r="N339" t="str">
            <v/>
          </cell>
          <cell r="O339" t="str">
            <v/>
          </cell>
          <cell r="P339" t="str">
            <v/>
          </cell>
          <cell r="Q339" t="str">
            <v/>
          </cell>
          <cell r="T339" t="str">
            <v/>
          </cell>
          <cell r="U339" t="str">
            <v/>
          </cell>
          <cell r="W339" t="str">
            <v/>
          </cell>
          <cell r="X339" t="str">
            <v/>
          </cell>
          <cell r="AB339">
            <v>0</v>
          </cell>
          <cell r="AC339">
            <v>0</v>
          </cell>
          <cell r="AD339">
            <v>0</v>
          </cell>
          <cell r="AJ339">
            <v>0</v>
          </cell>
          <cell r="AK339">
            <v>0</v>
          </cell>
        </row>
        <row r="340">
          <cell r="B340" t="str">
            <v/>
          </cell>
          <cell r="H340" t="str">
            <v/>
          </cell>
          <cell r="J340" t="str">
            <v/>
          </cell>
          <cell r="N340" t="str">
            <v/>
          </cell>
          <cell r="O340" t="str">
            <v/>
          </cell>
          <cell r="P340" t="str">
            <v/>
          </cell>
          <cell r="Q340" t="str">
            <v/>
          </cell>
          <cell r="T340" t="str">
            <v/>
          </cell>
          <cell r="U340" t="str">
            <v/>
          </cell>
          <cell r="W340" t="str">
            <v/>
          </cell>
          <cell r="X340" t="str">
            <v/>
          </cell>
          <cell r="AB340">
            <v>0</v>
          </cell>
          <cell r="AC340">
            <v>0</v>
          </cell>
          <cell r="AD340">
            <v>0</v>
          </cell>
          <cell r="AJ340">
            <v>0</v>
          </cell>
          <cell r="AK340">
            <v>0</v>
          </cell>
        </row>
        <row r="341">
          <cell r="B341" t="str">
            <v/>
          </cell>
          <cell r="H341" t="str">
            <v/>
          </cell>
          <cell r="J341" t="str">
            <v/>
          </cell>
          <cell r="N341" t="str">
            <v/>
          </cell>
          <cell r="O341" t="str">
            <v/>
          </cell>
          <cell r="P341" t="str">
            <v/>
          </cell>
          <cell r="Q341" t="str">
            <v/>
          </cell>
          <cell r="T341" t="str">
            <v/>
          </cell>
          <cell r="U341" t="str">
            <v/>
          </cell>
          <cell r="W341" t="str">
            <v/>
          </cell>
          <cell r="X341" t="str">
            <v/>
          </cell>
          <cell r="AB341">
            <v>0</v>
          </cell>
          <cell r="AC341">
            <v>0</v>
          </cell>
          <cell r="AD341">
            <v>0</v>
          </cell>
          <cell r="AJ341">
            <v>0</v>
          </cell>
          <cell r="AK341">
            <v>0</v>
          </cell>
        </row>
        <row r="342">
          <cell r="B342" t="str">
            <v/>
          </cell>
          <cell r="H342" t="str">
            <v/>
          </cell>
          <cell r="J342" t="str">
            <v/>
          </cell>
          <cell r="N342" t="str">
            <v/>
          </cell>
          <cell r="O342" t="str">
            <v/>
          </cell>
          <cell r="P342" t="str">
            <v/>
          </cell>
          <cell r="Q342" t="str">
            <v/>
          </cell>
          <cell r="T342" t="str">
            <v/>
          </cell>
          <cell r="U342" t="str">
            <v/>
          </cell>
          <cell r="W342" t="str">
            <v/>
          </cell>
          <cell r="X342" t="str">
            <v/>
          </cell>
          <cell r="AB342">
            <v>0</v>
          </cell>
          <cell r="AC342">
            <v>0</v>
          </cell>
          <cell r="AD342">
            <v>0</v>
          </cell>
          <cell r="AJ342">
            <v>0</v>
          </cell>
          <cell r="AK342">
            <v>0</v>
          </cell>
        </row>
        <row r="343">
          <cell r="B343" t="str">
            <v/>
          </cell>
          <cell r="H343" t="str">
            <v/>
          </cell>
          <cell r="J343" t="str">
            <v/>
          </cell>
          <cell r="N343" t="str">
            <v/>
          </cell>
          <cell r="O343" t="str">
            <v/>
          </cell>
          <cell r="P343" t="str">
            <v/>
          </cell>
          <cell r="Q343" t="str">
            <v/>
          </cell>
          <cell r="T343" t="str">
            <v/>
          </cell>
          <cell r="U343" t="str">
            <v/>
          </cell>
          <cell r="W343" t="str">
            <v/>
          </cell>
          <cell r="X343" t="str">
            <v/>
          </cell>
          <cell r="AB343">
            <v>0</v>
          </cell>
          <cell r="AC343">
            <v>0</v>
          </cell>
          <cell r="AD343">
            <v>0</v>
          </cell>
          <cell r="AJ343">
            <v>0</v>
          </cell>
          <cell r="AK343">
            <v>0</v>
          </cell>
        </row>
        <row r="344">
          <cell r="B344" t="str">
            <v/>
          </cell>
          <cell r="H344" t="str">
            <v/>
          </cell>
          <cell r="J344" t="str">
            <v/>
          </cell>
          <cell r="N344" t="str">
            <v/>
          </cell>
          <cell r="O344" t="str">
            <v/>
          </cell>
          <cell r="P344" t="str">
            <v/>
          </cell>
          <cell r="Q344" t="str">
            <v/>
          </cell>
          <cell r="T344" t="str">
            <v/>
          </cell>
          <cell r="U344" t="str">
            <v/>
          </cell>
          <cell r="W344" t="str">
            <v/>
          </cell>
          <cell r="X344" t="str">
            <v/>
          </cell>
          <cell r="AB344">
            <v>0</v>
          </cell>
          <cell r="AC344">
            <v>0</v>
          </cell>
          <cell r="AD344">
            <v>0</v>
          </cell>
          <cell r="AJ344">
            <v>0</v>
          </cell>
          <cell r="AK344">
            <v>0</v>
          </cell>
        </row>
        <row r="345">
          <cell r="B345" t="str">
            <v/>
          </cell>
          <cell r="H345" t="str">
            <v/>
          </cell>
          <cell r="J345" t="str">
            <v/>
          </cell>
          <cell r="N345" t="str">
            <v/>
          </cell>
          <cell r="O345" t="str">
            <v/>
          </cell>
          <cell r="P345" t="str">
            <v/>
          </cell>
          <cell r="Q345" t="str">
            <v/>
          </cell>
          <cell r="T345" t="str">
            <v/>
          </cell>
          <cell r="U345" t="str">
            <v/>
          </cell>
          <cell r="W345" t="str">
            <v/>
          </cell>
          <cell r="X345" t="str">
            <v/>
          </cell>
          <cell r="AB345">
            <v>0</v>
          </cell>
          <cell r="AC345">
            <v>0</v>
          </cell>
          <cell r="AD345">
            <v>0</v>
          </cell>
          <cell r="AJ345">
            <v>0</v>
          </cell>
          <cell r="AK345">
            <v>0</v>
          </cell>
        </row>
        <row r="346">
          <cell r="B346" t="str">
            <v/>
          </cell>
          <cell r="H346" t="str">
            <v/>
          </cell>
          <cell r="J346" t="str">
            <v/>
          </cell>
          <cell r="N346" t="str">
            <v/>
          </cell>
          <cell r="O346" t="str">
            <v/>
          </cell>
          <cell r="P346" t="str">
            <v/>
          </cell>
          <cell r="Q346" t="str">
            <v/>
          </cell>
          <cell r="T346" t="str">
            <v/>
          </cell>
          <cell r="U346" t="str">
            <v/>
          </cell>
          <cell r="W346" t="str">
            <v/>
          </cell>
          <cell r="X346" t="str">
            <v/>
          </cell>
          <cell r="AB346">
            <v>0</v>
          </cell>
          <cell r="AC346">
            <v>0</v>
          </cell>
          <cell r="AD346">
            <v>0</v>
          </cell>
          <cell r="AJ346">
            <v>0</v>
          </cell>
          <cell r="AK346">
            <v>0</v>
          </cell>
        </row>
        <row r="347">
          <cell r="B347" t="str">
            <v/>
          </cell>
          <cell r="H347" t="str">
            <v/>
          </cell>
          <cell r="J347" t="str">
            <v/>
          </cell>
          <cell r="N347" t="str">
            <v/>
          </cell>
          <cell r="O347" t="str">
            <v/>
          </cell>
          <cell r="P347" t="str">
            <v/>
          </cell>
          <cell r="Q347" t="str">
            <v/>
          </cell>
          <cell r="T347" t="str">
            <v/>
          </cell>
          <cell r="U347" t="str">
            <v/>
          </cell>
          <cell r="W347" t="str">
            <v/>
          </cell>
          <cell r="X347" t="str">
            <v/>
          </cell>
          <cell r="AB347">
            <v>0</v>
          </cell>
          <cell r="AC347">
            <v>0</v>
          </cell>
          <cell r="AD347">
            <v>0</v>
          </cell>
          <cell r="AJ347">
            <v>0</v>
          </cell>
          <cell r="AK347">
            <v>0</v>
          </cell>
        </row>
        <row r="348">
          <cell r="B348" t="str">
            <v/>
          </cell>
          <cell r="H348" t="str">
            <v/>
          </cell>
          <cell r="J348" t="str">
            <v/>
          </cell>
          <cell r="N348" t="str">
            <v/>
          </cell>
          <cell r="O348" t="str">
            <v/>
          </cell>
          <cell r="P348" t="str">
            <v/>
          </cell>
          <cell r="Q348" t="str">
            <v/>
          </cell>
          <cell r="T348" t="str">
            <v/>
          </cell>
          <cell r="U348" t="str">
            <v/>
          </cell>
          <cell r="W348" t="str">
            <v/>
          </cell>
          <cell r="X348" t="str">
            <v/>
          </cell>
          <cell r="AB348">
            <v>0</v>
          </cell>
          <cell r="AC348">
            <v>0</v>
          </cell>
          <cell r="AD348">
            <v>0</v>
          </cell>
          <cell r="AJ348">
            <v>0</v>
          </cell>
          <cell r="AK348">
            <v>0</v>
          </cell>
        </row>
        <row r="349">
          <cell r="B349" t="str">
            <v/>
          </cell>
          <cell r="H349" t="str">
            <v/>
          </cell>
          <cell r="J349" t="str">
            <v/>
          </cell>
          <cell r="N349" t="str">
            <v/>
          </cell>
          <cell r="O349" t="str">
            <v/>
          </cell>
          <cell r="P349" t="str">
            <v/>
          </cell>
          <cell r="Q349" t="str">
            <v/>
          </cell>
          <cell r="T349" t="str">
            <v/>
          </cell>
          <cell r="U349" t="str">
            <v/>
          </cell>
          <cell r="W349" t="str">
            <v/>
          </cell>
          <cell r="X349" t="str">
            <v/>
          </cell>
          <cell r="AB349">
            <v>0</v>
          </cell>
          <cell r="AC349">
            <v>0</v>
          </cell>
          <cell r="AD349">
            <v>0</v>
          </cell>
          <cell r="AJ349">
            <v>0</v>
          </cell>
          <cell r="AK349">
            <v>0</v>
          </cell>
        </row>
        <row r="350">
          <cell r="B350" t="str">
            <v/>
          </cell>
          <cell r="H350" t="str">
            <v/>
          </cell>
          <cell r="J350" t="str">
            <v/>
          </cell>
          <cell r="N350" t="str">
            <v/>
          </cell>
          <cell r="O350" t="str">
            <v/>
          </cell>
          <cell r="P350" t="str">
            <v/>
          </cell>
          <cell r="Q350" t="str">
            <v/>
          </cell>
          <cell r="T350" t="str">
            <v/>
          </cell>
          <cell r="U350" t="str">
            <v/>
          </cell>
          <cell r="W350" t="str">
            <v/>
          </cell>
          <cell r="X350" t="str">
            <v/>
          </cell>
          <cell r="AB350">
            <v>0</v>
          </cell>
          <cell r="AC350">
            <v>0</v>
          </cell>
          <cell r="AD350">
            <v>0</v>
          </cell>
          <cell r="AJ350">
            <v>0</v>
          </cell>
          <cell r="AK350">
            <v>0</v>
          </cell>
        </row>
        <row r="351">
          <cell r="B351" t="str">
            <v/>
          </cell>
          <cell r="H351" t="str">
            <v/>
          </cell>
          <cell r="J351" t="str">
            <v/>
          </cell>
          <cell r="N351" t="str">
            <v/>
          </cell>
          <cell r="O351" t="str">
            <v/>
          </cell>
          <cell r="P351" t="str">
            <v/>
          </cell>
          <cell r="Q351" t="str">
            <v/>
          </cell>
          <cell r="T351" t="str">
            <v/>
          </cell>
          <cell r="U351" t="str">
            <v/>
          </cell>
          <cell r="W351" t="str">
            <v/>
          </cell>
          <cell r="X351" t="str">
            <v/>
          </cell>
          <cell r="AB351">
            <v>0</v>
          </cell>
          <cell r="AC351">
            <v>0</v>
          </cell>
          <cell r="AD351">
            <v>0</v>
          </cell>
          <cell r="AJ351">
            <v>0</v>
          </cell>
          <cell r="AK351">
            <v>0</v>
          </cell>
        </row>
        <row r="352">
          <cell r="B352" t="str">
            <v/>
          </cell>
          <cell r="H352" t="str">
            <v/>
          </cell>
          <cell r="J352" t="str">
            <v/>
          </cell>
          <cell r="N352" t="str">
            <v/>
          </cell>
          <cell r="O352" t="str">
            <v/>
          </cell>
          <cell r="P352" t="str">
            <v/>
          </cell>
          <cell r="Q352" t="str">
            <v/>
          </cell>
          <cell r="T352" t="str">
            <v/>
          </cell>
          <cell r="U352" t="str">
            <v/>
          </cell>
          <cell r="W352" t="str">
            <v/>
          </cell>
          <cell r="X352" t="str">
            <v/>
          </cell>
          <cell r="AB352">
            <v>0</v>
          </cell>
          <cell r="AC352">
            <v>0</v>
          </cell>
          <cell r="AD352">
            <v>0</v>
          </cell>
          <cell r="AJ352">
            <v>0</v>
          </cell>
          <cell r="AK352">
            <v>0</v>
          </cell>
        </row>
        <row r="353">
          <cell r="B353" t="str">
            <v/>
          </cell>
          <cell r="H353" t="str">
            <v/>
          </cell>
          <cell r="J353" t="str">
            <v/>
          </cell>
          <cell r="N353" t="str">
            <v/>
          </cell>
          <cell r="O353" t="str">
            <v/>
          </cell>
          <cell r="P353" t="str">
            <v/>
          </cell>
          <cell r="Q353" t="str">
            <v/>
          </cell>
          <cell r="T353" t="str">
            <v/>
          </cell>
          <cell r="U353" t="str">
            <v/>
          </cell>
          <cell r="W353" t="str">
            <v/>
          </cell>
          <cell r="X353" t="str">
            <v/>
          </cell>
          <cell r="AB353">
            <v>0</v>
          </cell>
          <cell r="AC353">
            <v>0</v>
          </cell>
          <cell r="AD353">
            <v>0</v>
          </cell>
          <cell r="AJ353">
            <v>0</v>
          </cell>
          <cell r="AK353">
            <v>0</v>
          </cell>
        </row>
        <row r="354">
          <cell r="B354" t="str">
            <v/>
          </cell>
          <cell r="H354" t="str">
            <v/>
          </cell>
          <cell r="J354" t="str">
            <v/>
          </cell>
          <cell r="N354" t="str">
            <v/>
          </cell>
          <cell r="O354" t="str">
            <v/>
          </cell>
          <cell r="P354" t="str">
            <v/>
          </cell>
          <cell r="Q354" t="str">
            <v/>
          </cell>
          <cell r="T354" t="str">
            <v/>
          </cell>
          <cell r="U354" t="str">
            <v/>
          </cell>
          <cell r="W354" t="str">
            <v/>
          </cell>
          <cell r="X354" t="str">
            <v/>
          </cell>
          <cell r="AB354">
            <v>0</v>
          </cell>
          <cell r="AC354">
            <v>0</v>
          </cell>
          <cell r="AD354">
            <v>0</v>
          </cell>
          <cell r="AJ354">
            <v>0</v>
          </cell>
          <cell r="AK354">
            <v>0</v>
          </cell>
        </row>
        <row r="355">
          <cell r="B355" t="str">
            <v/>
          </cell>
          <cell r="H355" t="str">
            <v/>
          </cell>
          <cell r="J355" t="str">
            <v/>
          </cell>
          <cell r="N355" t="str">
            <v/>
          </cell>
          <cell r="O355" t="str">
            <v/>
          </cell>
          <cell r="P355" t="str">
            <v/>
          </cell>
          <cell r="Q355" t="str">
            <v/>
          </cell>
          <cell r="T355" t="str">
            <v/>
          </cell>
          <cell r="U355" t="str">
            <v/>
          </cell>
          <cell r="W355" t="str">
            <v/>
          </cell>
          <cell r="X355" t="str">
            <v/>
          </cell>
          <cell r="AB355">
            <v>0</v>
          </cell>
          <cell r="AC355">
            <v>0</v>
          </cell>
          <cell r="AD355">
            <v>0</v>
          </cell>
          <cell r="AJ355">
            <v>0</v>
          </cell>
          <cell r="AK355">
            <v>0</v>
          </cell>
        </row>
        <row r="356">
          <cell r="B356" t="str">
            <v/>
          </cell>
          <cell r="H356" t="str">
            <v/>
          </cell>
          <cell r="J356" t="str">
            <v/>
          </cell>
          <cell r="N356" t="str">
            <v/>
          </cell>
          <cell r="O356" t="str">
            <v/>
          </cell>
          <cell r="P356" t="str">
            <v/>
          </cell>
          <cell r="Q356" t="str">
            <v/>
          </cell>
          <cell r="T356" t="str">
            <v/>
          </cell>
          <cell r="U356" t="str">
            <v/>
          </cell>
          <cell r="W356" t="str">
            <v/>
          </cell>
          <cell r="X356" t="str">
            <v/>
          </cell>
          <cell r="AB356">
            <v>0</v>
          </cell>
          <cell r="AC356">
            <v>0</v>
          </cell>
          <cell r="AD356">
            <v>0</v>
          </cell>
          <cell r="AJ356">
            <v>0</v>
          </cell>
          <cell r="AK356">
            <v>0</v>
          </cell>
        </row>
        <row r="357">
          <cell r="B357" t="str">
            <v/>
          </cell>
          <cell r="H357" t="str">
            <v/>
          </cell>
          <cell r="J357" t="str">
            <v/>
          </cell>
          <cell r="N357" t="str">
            <v/>
          </cell>
          <cell r="O357" t="str">
            <v/>
          </cell>
          <cell r="P357" t="str">
            <v/>
          </cell>
          <cell r="Q357" t="str">
            <v/>
          </cell>
          <cell r="T357" t="str">
            <v/>
          </cell>
          <cell r="U357" t="str">
            <v/>
          </cell>
          <cell r="W357" t="str">
            <v/>
          </cell>
          <cell r="X357" t="str">
            <v/>
          </cell>
          <cell r="AB357">
            <v>0</v>
          </cell>
          <cell r="AC357">
            <v>0</v>
          </cell>
          <cell r="AD357">
            <v>0</v>
          </cell>
          <cell r="AJ357">
            <v>0</v>
          </cell>
          <cell r="AK357">
            <v>0</v>
          </cell>
        </row>
        <row r="358">
          <cell r="B358" t="str">
            <v/>
          </cell>
          <cell r="H358" t="str">
            <v/>
          </cell>
          <cell r="J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  <cell r="T358" t="str">
            <v/>
          </cell>
          <cell r="U358" t="str">
            <v/>
          </cell>
          <cell r="W358" t="str">
            <v/>
          </cell>
          <cell r="X358" t="str">
            <v/>
          </cell>
          <cell r="AB358">
            <v>0</v>
          </cell>
          <cell r="AC358">
            <v>0</v>
          </cell>
          <cell r="AD358">
            <v>0</v>
          </cell>
          <cell r="AJ358">
            <v>0</v>
          </cell>
          <cell r="AK358">
            <v>0</v>
          </cell>
        </row>
        <row r="359">
          <cell r="B359" t="str">
            <v/>
          </cell>
          <cell r="H359" t="str">
            <v/>
          </cell>
          <cell r="J359" t="str">
            <v/>
          </cell>
          <cell r="N359" t="str">
            <v/>
          </cell>
          <cell r="O359" t="str">
            <v/>
          </cell>
          <cell r="P359" t="str">
            <v/>
          </cell>
          <cell r="Q359" t="str">
            <v/>
          </cell>
          <cell r="T359" t="str">
            <v/>
          </cell>
          <cell r="U359" t="str">
            <v/>
          </cell>
          <cell r="W359" t="str">
            <v/>
          </cell>
          <cell r="X359" t="str">
            <v/>
          </cell>
          <cell r="AB359">
            <v>0</v>
          </cell>
          <cell r="AC359">
            <v>0</v>
          </cell>
          <cell r="AD359">
            <v>0</v>
          </cell>
          <cell r="AJ359">
            <v>0</v>
          </cell>
          <cell r="AK359">
            <v>0</v>
          </cell>
        </row>
        <row r="360">
          <cell r="B360" t="str">
            <v/>
          </cell>
          <cell r="H360" t="str">
            <v/>
          </cell>
          <cell r="J360" t="str">
            <v/>
          </cell>
          <cell r="N360" t="str">
            <v/>
          </cell>
          <cell r="O360" t="str">
            <v/>
          </cell>
          <cell r="P360" t="str">
            <v/>
          </cell>
          <cell r="Q360" t="str">
            <v/>
          </cell>
          <cell r="T360" t="str">
            <v/>
          </cell>
          <cell r="U360" t="str">
            <v/>
          </cell>
          <cell r="W360" t="str">
            <v/>
          </cell>
          <cell r="X360" t="str">
            <v/>
          </cell>
          <cell r="AB360">
            <v>0</v>
          </cell>
          <cell r="AC360">
            <v>0</v>
          </cell>
          <cell r="AD360">
            <v>0</v>
          </cell>
          <cell r="AJ360">
            <v>0</v>
          </cell>
          <cell r="AK360">
            <v>0</v>
          </cell>
        </row>
        <row r="361">
          <cell r="B361" t="str">
            <v/>
          </cell>
          <cell r="H361" t="str">
            <v/>
          </cell>
          <cell r="J361" t="str">
            <v/>
          </cell>
          <cell r="N361" t="str">
            <v/>
          </cell>
          <cell r="O361" t="str">
            <v/>
          </cell>
          <cell r="P361" t="str">
            <v/>
          </cell>
          <cell r="Q361" t="str">
            <v/>
          </cell>
          <cell r="T361" t="str">
            <v/>
          </cell>
          <cell r="U361" t="str">
            <v/>
          </cell>
          <cell r="W361" t="str">
            <v/>
          </cell>
          <cell r="X361" t="str">
            <v/>
          </cell>
          <cell r="AB361">
            <v>0</v>
          </cell>
          <cell r="AC361">
            <v>0</v>
          </cell>
          <cell r="AD361">
            <v>0</v>
          </cell>
          <cell r="AJ361">
            <v>0</v>
          </cell>
          <cell r="AK361">
            <v>0</v>
          </cell>
        </row>
        <row r="362">
          <cell r="B362" t="str">
            <v/>
          </cell>
          <cell r="H362" t="str">
            <v/>
          </cell>
          <cell r="J362" t="str">
            <v/>
          </cell>
          <cell r="N362" t="str">
            <v/>
          </cell>
          <cell r="O362" t="str">
            <v/>
          </cell>
          <cell r="P362" t="str">
            <v/>
          </cell>
          <cell r="Q362" t="str">
            <v/>
          </cell>
          <cell r="T362" t="str">
            <v/>
          </cell>
          <cell r="U362" t="str">
            <v/>
          </cell>
          <cell r="W362" t="str">
            <v/>
          </cell>
          <cell r="X362" t="str">
            <v/>
          </cell>
          <cell r="AB362">
            <v>0</v>
          </cell>
          <cell r="AC362">
            <v>0</v>
          </cell>
          <cell r="AD362">
            <v>0</v>
          </cell>
          <cell r="AJ362">
            <v>0</v>
          </cell>
          <cell r="AK362">
            <v>0</v>
          </cell>
        </row>
        <row r="363">
          <cell r="B363" t="str">
            <v/>
          </cell>
          <cell r="H363" t="str">
            <v/>
          </cell>
          <cell r="J363" t="str">
            <v/>
          </cell>
          <cell r="N363" t="str">
            <v/>
          </cell>
          <cell r="O363" t="str">
            <v/>
          </cell>
          <cell r="P363" t="str">
            <v/>
          </cell>
          <cell r="Q363" t="str">
            <v/>
          </cell>
          <cell r="T363" t="str">
            <v/>
          </cell>
          <cell r="U363" t="str">
            <v/>
          </cell>
          <cell r="W363" t="str">
            <v/>
          </cell>
          <cell r="X363" t="str">
            <v/>
          </cell>
          <cell r="AB363">
            <v>0</v>
          </cell>
          <cell r="AC363">
            <v>0</v>
          </cell>
          <cell r="AD363">
            <v>0</v>
          </cell>
          <cell r="AJ363">
            <v>0</v>
          </cell>
          <cell r="AK363">
            <v>0</v>
          </cell>
        </row>
        <row r="364">
          <cell r="B364" t="str">
            <v/>
          </cell>
          <cell r="H364" t="str">
            <v/>
          </cell>
          <cell r="J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  <cell r="T364" t="str">
            <v/>
          </cell>
          <cell r="U364" t="str">
            <v/>
          </cell>
          <cell r="W364" t="str">
            <v/>
          </cell>
          <cell r="X364" t="str">
            <v/>
          </cell>
          <cell r="AB364">
            <v>0</v>
          </cell>
          <cell r="AC364">
            <v>0</v>
          </cell>
          <cell r="AD364">
            <v>0</v>
          </cell>
          <cell r="AJ364">
            <v>0</v>
          </cell>
          <cell r="AK364">
            <v>0</v>
          </cell>
        </row>
        <row r="365">
          <cell r="B365" t="str">
            <v/>
          </cell>
          <cell r="H365" t="str">
            <v/>
          </cell>
          <cell r="J365" t="str">
            <v/>
          </cell>
          <cell r="N365" t="str">
            <v/>
          </cell>
          <cell r="O365" t="str">
            <v/>
          </cell>
          <cell r="P365" t="str">
            <v/>
          </cell>
          <cell r="Q365" t="str">
            <v/>
          </cell>
          <cell r="T365" t="str">
            <v/>
          </cell>
          <cell r="U365" t="str">
            <v/>
          </cell>
          <cell r="W365" t="str">
            <v/>
          </cell>
          <cell r="X365" t="str">
            <v/>
          </cell>
          <cell r="AB365">
            <v>0</v>
          </cell>
          <cell r="AC365">
            <v>0</v>
          </cell>
          <cell r="AD365">
            <v>0</v>
          </cell>
          <cell r="AJ365">
            <v>0</v>
          </cell>
          <cell r="AK365">
            <v>0</v>
          </cell>
        </row>
        <row r="366">
          <cell r="B366" t="str">
            <v/>
          </cell>
          <cell r="H366" t="str">
            <v/>
          </cell>
          <cell r="J366" t="str">
            <v/>
          </cell>
          <cell r="N366" t="str">
            <v/>
          </cell>
          <cell r="O366" t="str">
            <v/>
          </cell>
          <cell r="P366" t="str">
            <v/>
          </cell>
          <cell r="Q366" t="str">
            <v/>
          </cell>
          <cell r="T366" t="str">
            <v/>
          </cell>
          <cell r="U366" t="str">
            <v/>
          </cell>
          <cell r="W366" t="str">
            <v/>
          </cell>
          <cell r="X366" t="str">
            <v/>
          </cell>
          <cell r="AB366">
            <v>0</v>
          </cell>
          <cell r="AC366">
            <v>0</v>
          </cell>
          <cell r="AD366">
            <v>0</v>
          </cell>
          <cell r="AJ366">
            <v>0</v>
          </cell>
          <cell r="AK366">
            <v>0</v>
          </cell>
        </row>
        <row r="367">
          <cell r="B367" t="str">
            <v/>
          </cell>
          <cell r="H367" t="str">
            <v/>
          </cell>
          <cell r="J367" t="str">
            <v/>
          </cell>
          <cell r="N367" t="str">
            <v/>
          </cell>
          <cell r="O367" t="str">
            <v/>
          </cell>
          <cell r="P367" t="str">
            <v/>
          </cell>
          <cell r="Q367" t="str">
            <v/>
          </cell>
          <cell r="T367" t="str">
            <v/>
          </cell>
          <cell r="U367" t="str">
            <v/>
          </cell>
          <cell r="W367" t="str">
            <v/>
          </cell>
          <cell r="X367" t="str">
            <v/>
          </cell>
          <cell r="AB367">
            <v>0</v>
          </cell>
          <cell r="AC367">
            <v>0</v>
          </cell>
          <cell r="AD367">
            <v>0</v>
          </cell>
          <cell r="AJ367">
            <v>0</v>
          </cell>
          <cell r="AK367">
            <v>0</v>
          </cell>
        </row>
        <row r="368">
          <cell r="B368" t="str">
            <v/>
          </cell>
          <cell r="H368" t="str">
            <v/>
          </cell>
          <cell r="J368" t="str">
            <v/>
          </cell>
          <cell r="N368" t="str">
            <v/>
          </cell>
          <cell r="O368" t="str">
            <v/>
          </cell>
          <cell r="P368" t="str">
            <v/>
          </cell>
          <cell r="Q368" t="str">
            <v/>
          </cell>
          <cell r="T368" t="str">
            <v/>
          </cell>
          <cell r="U368" t="str">
            <v/>
          </cell>
          <cell r="W368" t="str">
            <v/>
          </cell>
          <cell r="X368" t="str">
            <v/>
          </cell>
          <cell r="AB368">
            <v>0</v>
          </cell>
          <cell r="AC368">
            <v>0</v>
          </cell>
          <cell r="AD368">
            <v>0</v>
          </cell>
          <cell r="AJ368">
            <v>0</v>
          </cell>
          <cell r="AK368">
            <v>0</v>
          </cell>
        </row>
        <row r="369">
          <cell r="B369" t="str">
            <v/>
          </cell>
          <cell r="H369" t="str">
            <v/>
          </cell>
          <cell r="J369" t="str">
            <v/>
          </cell>
          <cell r="N369" t="str">
            <v/>
          </cell>
          <cell r="O369" t="str">
            <v/>
          </cell>
          <cell r="P369" t="str">
            <v/>
          </cell>
          <cell r="Q369" t="str">
            <v/>
          </cell>
          <cell r="T369" t="str">
            <v/>
          </cell>
          <cell r="U369" t="str">
            <v/>
          </cell>
          <cell r="W369" t="str">
            <v/>
          </cell>
          <cell r="X369" t="str">
            <v/>
          </cell>
          <cell r="AB369">
            <v>0</v>
          </cell>
          <cell r="AC369">
            <v>0</v>
          </cell>
          <cell r="AD369">
            <v>0</v>
          </cell>
          <cell r="AJ369">
            <v>0</v>
          </cell>
          <cell r="AK369">
            <v>0</v>
          </cell>
        </row>
        <row r="370">
          <cell r="B370" t="str">
            <v/>
          </cell>
          <cell r="H370" t="str">
            <v/>
          </cell>
          <cell r="J370" t="str">
            <v/>
          </cell>
          <cell r="N370" t="str">
            <v/>
          </cell>
          <cell r="O370" t="str">
            <v/>
          </cell>
          <cell r="P370" t="str">
            <v/>
          </cell>
          <cell r="Q370" t="str">
            <v/>
          </cell>
          <cell r="T370" t="str">
            <v/>
          </cell>
          <cell r="U370" t="str">
            <v/>
          </cell>
          <cell r="W370" t="str">
            <v/>
          </cell>
          <cell r="X370" t="str">
            <v/>
          </cell>
          <cell r="AB370">
            <v>0</v>
          </cell>
          <cell r="AC370">
            <v>0</v>
          </cell>
          <cell r="AD370">
            <v>0</v>
          </cell>
          <cell r="AJ370">
            <v>0</v>
          </cell>
          <cell r="AK370">
            <v>0</v>
          </cell>
        </row>
        <row r="371">
          <cell r="B371" t="str">
            <v/>
          </cell>
          <cell r="H371" t="str">
            <v/>
          </cell>
          <cell r="J371" t="str">
            <v/>
          </cell>
          <cell r="N371" t="str">
            <v/>
          </cell>
          <cell r="O371" t="str">
            <v/>
          </cell>
          <cell r="P371" t="str">
            <v/>
          </cell>
          <cell r="Q371" t="str">
            <v/>
          </cell>
          <cell r="T371" t="str">
            <v/>
          </cell>
          <cell r="U371" t="str">
            <v/>
          </cell>
          <cell r="W371" t="str">
            <v/>
          </cell>
          <cell r="X371" t="str">
            <v/>
          </cell>
          <cell r="AB371">
            <v>0</v>
          </cell>
          <cell r="AC371">
            <v>0</v>
          </cell>
          <cell r="AD371">
            <v>0</v>
          </cell>
          <cell r="AJ371">
            <v>0</v>
          </cell>
          <cell r="AK371">
            <v>0</v>
          </cell>
        </row>
        <row r="372">
          <cell r="B372" t="str">
            <v/>
          </cell>
          <cell r="H372" t="str">
            <v/>
          </cell>
          <cell r="J372" t="str">
            <v/>
          </cell>
          <cell r="N372" t="str">
            <v/>
          </cell>
          <cell r="O372" t="str">
            <v/>
          </cell>
          <cell r="P372" t="str">
            <v/>
          </cell>
          <cell r="Q372" t="str">
            <v/>
          </cell>
          <cell r="T372" t="str">
            <v/>
          </cell>
          <cell r="U372" t="str">
            <v/>
          </cell>
          <cell r="W372" t="str">
            <v/>
          </cell>
          <cell r="X372" t="str">
            <v/>
          </cell>
          <cell r="AB372">
            <v>0</v>
          </cell>
          <cell r="AC372">
            <v>0</v>
          </cell>
          <cell r="AD372">
            <v>0</v>
          </cell>
          <cell r="AJ372">
            <v>0</v>
          </cell>
          <cell r="AK372">
            <v>0</v>
          </cell>
        </row>
        <row r="373">
          <cell r="B373" t="str">
            <v/>
          </cell>
          <cell r="H373" t="str">
            <v/>
          </cell>
          <cell r="J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  <cell r="T373" t="str">
            <v/>
          </cell>
          <cell r="U373" t="str">
            <v/>
          </cell>
          <cell r="W373" t="str">
            <v/>
          </cell>
          <cell r="X373" t="str">
            <v/>
          </cell>
          <cell r="AB373">
            <v>0</v>
          </cell>
          <cell r="AC373">
            <v>0</v>
          </cell>
          <cell r="AD373">
            <v>0</v>
          </cell>
          <cell r="AJ373">
            <v>0</v>
          </cell>
          <cell r="AK373">
            <v>0</v>
          </cell>
        </row>
        <row r="374">
          <cell r="B374" t="str">
            <v/>
          </cell>
          <cell r="H374" t="str">
            <v/>
          </cell>
          <cell r="J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  <cell r="T374" t="str">
            <v/>
          </cell>
          <cell r="U374" t="str">
            <v/>
          </cell>
          <cell r="W374" t="str">
            <v/>
          </cell>
          <cell r="X374" t="str">
            <v/>
          </cell>
          <cell r="AB374">
            <v>0</v>
          </cell>
          <cell r="AC374">
            <v>0</v>
          </cell>
          <cell r="AD374">
            <v>0</v>
          </cell>
          <cell r="AJ374">
            <v>0</v>
          </cell>
          <cell r="AK374">
            <v>0</v>
          </cell>
        </row>
        <row r="375">
          <cell r="B375" t="str">
            <v/>
          </cell>
          <cell r="H375" t="str">
            <v/>
          </cell>
          <cell r="J375" t="str">
            <v/>
          </cell>
          <cell r="N375" t="str">
            <v/>
          </cell>
          <cell r="O375" t="str">
            <v/>
          </cell>
          <cell r="P375" t="str">
            <v/>
          </cell>
          <cell r="Q375" t="str">
            <v/>
          </cell>
          <cell r="T375" t="str">
            <v/>
          </cell>
          <cell r="U375" t="str">
            <v/>
          </cell>
          <cell r="W375" t="str">
            <v/>
          </cell>
          <cell r="X375" t="str">
            <v/>
          </cell>
          <cell r="AB375">
            <v>0</v>
          </cell>
          <cell r="AC375">
            <v>0</v>
          </cell>
          <cell r="AD375">
            <v>0</v>
          </cell>
          <cell r="AJ375">
            <v>0</v>
          </cell>
          <cell r="AK375">
            <v>0</v>
          </cell>
        </row>
        <row r="376">
          <cell r="B376" t="str">
            <v/>
          </cell>
          <cell r="H376" t="str">
            <v/>
          </cell>
          <cell r="J376" t="str">
            <v/>
          </cell>
          <cell r="N376" t="str">
            <v/>
          </cell>
          <cell r="O376" t="str">
            <v/>
          </cell>
          <cell r="P376" t="str">
            <v/>
          </cell>
          <cell r="Q376" t="str">
            <v/>
          </cell>
          <cell r="T376" t="str">
            <v/>
          </cell>
          <cell r="U376" t="str">
            <v/>
          </cell>
          <cell r="W376" t="str">
            <v/>
          </cell>
          <cell r="X376" t="str">
            <v/>
          </cell>
          <cell r="AB376">
            <v>0</v>
          </cell>
          <cell r="AC376">
            <v>0</v>
          </cell>
          <cell r="AD376">
            <v>0</v>
          </cell>
          <cell r="AJ376">
            <v>0</v>
          </cell>
          <cell r="AK376">
            <v>0</v>
          </cell>
        </row>
        <row r="377">
          <cell r="B377" t="str">
            <v/>
          </cell>
          <cell r="H377" t="str">
            <v/>
          </cell>
          <cell r="J377" t="str">
            <v/>
          </cell>
          <cell r="N377" t="str">
            <v/>
          </cell>
          <cell r="O377" t="str">
            <v/>
          </cell>
          <cell r="P377" t="str">
            <v/>
          </cell>
          <cell r="Q377" t="str">
            <v/>
          </cell>
          <cell r="T377" t="str">
            <v/>
          </cell>
          <cell r="U377" t="str">
            <v/>
          </cell>
          <cell r="W377" t="str">
            <v/>
          </cell>
          <cell r="X377" t="str">
            <v/>
          </cell>
          <cell r="AB377">
            <v>0</v>
          </cell>
          <cell r="AC377">
            <v>0</v>
          </cell>
          <cell r="AD377">
            <v>0</v>
          </cell>
          <cell r="AJ377">
            <v>0</v>
          </cell>
          <cell r="AK377">
            <v>0</v>
          </cell>
        </row>
        <row r="378">
          <cell r="B378" t="str">
            <v/>
          </cell>
          <cell r="H378" t="str">
            <v/>
          </cell>
          <cell r="J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  <cell r="T378" t="str">
            <v/>
          </cell>
          <cell r="U378" t="str">
            <v/>
          </cell>
          <cell r="W378" t="str">
            <v/>
          </cell>
          <cell r="X378" t="str">
            <v/>
          </cell>
          <cell r="AB378">
            <v>0</v>
          </cell>
          <cell r="AC378">
            <v>0</v>
          </cell>
          <cell r="AD378">
            <v>0</v>
          </cell>
          <cell r="AJ378">
            <v>0</v>
          </cell>
          <cell r="AK378">
            <v>0</v>
          </cell>
        </row>
        <row r="379">
          <cell r="B379" t="str">
            <v/>
          </cell>
          <cell r="H379" t="str">
            <v/>
          </cell>
          <cell r="J379" t="str">
            <v/>
          </cell>
          <cell r="N379" t="str">
            <v/>
          </cell>
          <cell r="O379" t="str">
            <v/>
          </cell>
          <cell r="P379" t="str">
            <v/>
          </cell>
          <cell r="Q379" t="str">
            <v/>
          </cell>
          <cell r="T379" t="str">
            <v/>
          </cell>
          <cell r="U379" t="str">
            <v/>
          </cell>
          <cell r="W379" t="str">
            <v/>
          </cell>
          <cell r="X379" t="str">
            <v/>
          </cell>
          <cell r="AB379">
            <v>0</v>
          </cell>
          <cell r="AC379">
            <v>0</v>
          </cell>
          <cell r="AD379">
            <v>0</v>
          </cell>
          <cell r="AJ379">
            <v>0</v>
          </cell>
          <cell r="AK379">
            <v>0</v>
          </cell>
        </row>
        <row r="380">
          <cell r="B380" t="str">
            <v/>
          </cell>
          <cell r="H380" t="str">
            <v/>
          </cell>
          <cell r="J380" t="str">
            <v/>
          </cell>
          <cell r="N380" t="str">
            <v/>
          </cell>
          <cell r="O380" t="str">
            <v/>
          </cell>
          <cell r="P380" t="str">
            <v/>
          </cell>
          <cell r="Q380" t="str">
            <v/>
          </cell>
          <cell r="T380" t="str">
            <v/>
          </cell>
          <cell r="U380" t="str">
            <v/>
          </cell>
          <cell r="W380" t="str">
            <v/>
          </cell>
          <cell r="X380" t="str">
            <v/>
          </cell>
          <cell r="AB380">
            <v>0</v>
          </cell>
          <cell r="AC380">
            <v>0</v>
          </cell>
          <cell r="AD380">
            <v>0</v>
          </cell>
          <cell r="AJ380">
            <v>0</v>
          </cell>
          <cell r="AK380">
            <v>0</v>
          </cell>
        </row>
        <row r="381">
          <cell r="B381" t="str">
            <v/>
          </cell>
          <cell r="H381" t="str">
            <v/>
          </cell>
          <cell r="J381" t="str">
            <v/>
          </cell>
          <cell r="N381" t="str">
            <v/>
          </cell>
          <cell r="O381" t="str">
            <v/>
          </cell>
          <cell r="P381" t="str">
            <v/>
          </cell>
          <cell r="Q381" t="str">
            <v/>
          </cell>
          <cell r="T381" t="str">
            <v/>
          </cell>
          <cell r="U381" t="str">
            <v/>
          </cell>
          <cell r="W381" t="str">
            <v/>
          </cell>
          <cell r="X381" t="str">
            <v/>
          </cell>
          <cell r="AB381">
            <v>0</v>
          </cell>
          <cell r="AC381">
            <v>0</v>
          </cell>
          <cell r="AD381">
            <v>0</v>
          </cell>
          <cell r="AJ381">
            <v>0</v>
          </cell>
          <cell r="AK381">
            <v>0</v>
          </cell>
        </row>
        <row r="382">
          <cell r="B382" t="str">
            <v/>
          </cell>
          <cell r="H382" t="str">
            <v/>
          </cell>
          <cell r="J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  <cell r="T382" t="str">
            <v/>
          </cell>
          <cell r="U382" t="str">
            <v/>
          </cell>
          <cell r="W382" t="str">
            <v/>
          </cell>
          <cell r="X382" t="str">
            <v/>
          </cell>
          <cell r="AB382">
            <v>0</v>
          </cell>
          <cell r="AC382">
            <v>0</v>
          </cell>
          <cell r="AD382">
            <v>0</v>
          </cell>
          <cell r="AJ382">
            <v>0</v>
          </cell>
          <cell r="AK382">
            <v>0</v>
          </cell>
        </row>
        <row r="383">
          <cell r="B383" t="str">
            <v/>
          </cell>
          <cell r="H383" t="str">
            <v/>
          </cell>
          <cell r="J383" t="str">
            <v/>
          </cell>
          <cell r="N383" t="str">
            <v/>
          </cell>
          <cell r="O383" t="str">
            <v/>
          </cell>
          <cell r="P383" t="str">
            <v/>
          </cell>
          <cell r="Q383" t="str">
            <v/>
          </cell>
          <cell r="T383" t="str">
            <v/>
          </cell>
          <cell r="U383" t="str">
            <v/>
          </cell>
          <cell r="W383" t="str">
            <v/>
          </cell>
          <cell r="X383" t="str">
            <v/>
          </cell>
          <cell r="AB383">
            <v>0</v>
          </cell>
          <cell r="AC383">
            <v>0</v>
          </cell>
          <cell r="AD383">
            <v>0</v>
          </cell>
          <cell r="AJ383">
            <v>0</v>
          </cell>
          <cell r="AK383">
            <v>0</v>
          </cell>
        </row>
        <row r="384">
          <cell r="B384" t="str">
            <v/>
          </cell>
          <cell r="H384" t="str">
            <v/>
          </cell>
          <cell r="J384" t="str">
            <v/>
          </cell>
          <cell r="N384" t="str">
            <v/>
          </cell>
          <cell r="O384" t="str">
            <v/>
          </cell>
          <cell r="P384" t="str">
            <v/>
          </cell>
          <cell r="Q384" t="str">
            <v/>
          </cell>
          <cell r="T384" t="str">
            <v/>
          </cell>
          <cell r="U384" t="str">
            <v/>
          </cell>
          <cell r="W384" t="str">
            <v/>
          </cell>
          <cell r="X384" t="str">
            <v/>
          </cell>
          <cell r="AB384">
            <v>0</v>
          </cell>
          <cell r="AC384">
            <v>0</v>
          </cell>
          <cell r="AD384">
            <v>0</v>
          </cell>
          <cell r="AJ384">
            <v>0</v>
          </cell>
          <cell r="AK384">
            <v>0</v>
          </cell>
        </row>
        <row r="385">
          <cell r="B385" t="str">
            <v/>
          </cell>
          <cell r="H385" t="str">
            <v/>
          </cell>
          <cell r="J385" t="str">
            <v/>
          </cell>
          <cell r="N385" t="str">
            <v/>
          </cell>
          <cell r="O385" t="str">
            <v/>
          </cell>
          <cell r="P385" t="str">
            <v/>
          </cell>
          <cell r="Q385" t="str">
            <v/>
          </cell>
          <cell r="T385" t="str">
            <v/>
          </cell>
          <cell r="U385" t="str">
            <v/>
          </cell>
          <cell r="W385" t="str">
            <v/>
          </cell>
          <cell r="X385" t="str">
            <v/>
          </cell>
          <cell r="AB385">
            <v>0</v>
          </cell>
          <cell r="AC385">
            <v>0</v>
          </cell>
          <cell r="AD385">
            <v>0</v>
          </cell>
          <cell r="AJ385">
            <v>0</v>
          </cell>
          <cell r="AK385">
            <v>0</v>
          </cell>
        </row>
        <row r="386">
          <cell r="B386" t="str">
            <v/>
          </cell>
          <cell r="H386" t="str">
            <v/>
          </cell>
          <cell r="J386" t="str">
            <v/>
          </cell>
          <cell r="N386" t="str">
            <v/>
          </cell>
          <cell r="O386" t="str">
            <v/>
          </cell>
          <cell r="P386" t="str">
            <v/>
          </cell>
          <cell r="Q386" t="str">
            <v/>
          </cell>
          <cell r="T386" t="str">
            <v/>
          </cell>
          <cell r="U386" t="str">
            <v/>
          </cell>
          <cell r="W386" t="str">
            <v/>
          </cell>
          <cell r="X386" t="str">
            <v/>
          </cell>
          <cell r="AB386">
            <v>0</v>
          </cell>
          <cell r="AC386">
            <v>0</v>
          </cell>
          <cell r="AD386">
            <v>0</v>
          </cell>
          <cell r="AJ386">
            <v>0</v>
          </cell>
          <cell r="AK386">
            <v>0</v>
          </cell>
        </row>
        <row r="387">
          <cell r="B387" t="str">
            <v/>
          </cell>
          <cell r="H387" t="str">
            <v/>
          </cell>
          <cell r="J387" t="str">
            <v/>
          </cell>
          <cell r="N387" t="str">
            <v/>
          </cell>
          <cell r="O387" t="str">
            <v/>
          </cell>
          <cell r="P387" t="str">
            <v/>
          </cell>
          <cell r="Q387" t="str">
            <v/>
          </cell>
          <cell r="T387" t="str">
            <v/>
          </cell>
          <cell r="U387" t="str">
            <v/>
          </cell>
          <cell r="W387" t="str">
            <v/>
          </cell>
          <cell r="X387" t="str">
            <v/>
          </cell>
          <cell r="AB387">
            <v>0</v>
          </cell>
          <cell r="AC387">
            <v>0</v>
          </cell>
          <cell r="AD387">
            <v>0</v>
          </cell>
          <cell r="AJ387">
            <v>0</v>
          </cell>
          <cell r="AK387">
            <v>0</v>
          </cell>
        </row>
        <row r="388">
          <cell r="B388" t="str">
            <v/>
          </cell>
          <cell r="H388" t="str">
            <v/>
          </cell>
          <cell r="J388" t="str">
            <v/>
          </cell>
          <cell r="N388" t="str">
            <v/>
          </cell>
          <cell r="O388" t="str">
            <v/>
          </cell>
          <cell r="P388" t="str">
            <v/>
          </cell>
          <cell r="Q388" t="str">
            <v/>
          </cell>
          <cell r="T388" t="str">
            <v/>
          </cell>
          <cell r="U388" t="str">
            <v/>
          </cell>
          <cell r="W388" t="str">
            <v/>
          </cell>
          <cell r="X388" t="str">
            <v/>
          </cell>
          <cell r="AB388">
            <v>0</v>
          </cell>
          <cell r="AC388">
            <v>0</v>
          </cell>
          <cell r="AD388">
            <v>0</v>
          </cell>
          <cell r="AJ388">
            <v>0</v>
          </cell>
          <cell r="AK388">
            <v>0</v>
          </cell>
        </row>
        <row r="389">
          <cell r="B389" t="str">
            <v/>
          </cell>
          <cell r="H389" t="str">
            <v/>
          </cell>
          <cell r="J389" t="str">
            <v/>
          </cell>
          <cell r="N389" t="str">
            <v/>
          </cell>
          <cell r="O389" t="str">
            <v/>
          </cell>
          <cell r="P389" t="str">
            <v/>
          </cell>
          <cell r="Q389" t="str">
            <v/>
          </cell>
          <cell r="T389" t="str">
            <v/>
          </cell>
          <cell r="U389" t="str">
            <v/>
          </cell>
          <cell r="W389" t="str">
            <v/>
          </cell>
          <cell r="X389" t="str">
            <v/>
          </cell>
          <cell r="AB389">
            <v>0</v>
          </cell>
          <cell r="AC389">
            <v>0</v>
          </cell>
          <cell r="AD389">
            <v>0</v>
          </cell>
          <cell r="AJ389">
            <v>0</v>
          </cell>
          <cell r="AK389">
            <v>0</v>
          </cell>
        </row>
        <row r="390">
          <cell r="B390" t="str">
            <v/>
          </cell>
          <cell r="H390" t="str">
            <v/>
          </cell>
          <cell r="J390" t="str">
            <v/>
          </cell>
          <cell r="N390" t="str">
            <v/>
          </cell>
          <cell r="O390" t="str">
            <v/>
          </cell>
          <cell r="P390" t="str">
            <v/>
          </cell>
          <cell r="Q390" t="str">
            <v/>
          </cell>
          <cell r="T390" t="str">
            <v/>
          </cell>
          <cell r="U390" t="str">
            <v/>
          </cell>
          <cell r="W390" t="str">
            <v/>
          </cell>
          <cell r="X390" t="str">
            <v/>
          </cell>
          <cell r="AB390">
            <v>0</v>
          </cell>
          <cell r="AC390">
            <v>0</v>
          </cell>
          <cell r="AD390">
            <v>0</v>
          </cell>
          <cell r="AJ390">
            <v>0</v>
          </cell>
          <cell r="AK390">
            <v>0</v>
          </cell>
        </row>
        <row r="391">
          <cell r="B391" t="str">
            <v/>
          </cell>
          <cell r="H391" t="str">
            <v/>
          </cell>
          <cell r="J391" t="str">
            <v/>
          </cell>
          <cell r="N391" t="str">
            <v/>
          </cell>
          <cell r="O391" t="str">
            <v/>
          </cell>
          <cell r="P391" t="str">
            <v/>
          </cell>
          <cell r="Q391" t="str">
            <v/>
          </cell>
          <cell r="T391" t="str">
            <v/>
          </cell>
          <cell r="U391" t="str">
            <v/>
          </cell>
          <cell r="W391" t="str">
            <v/>
          </cell>
          <cell r="X391" t="str">
            <v/>
          </cell>
          <cell r="AB391">
            <v>0</v>
          </cell>
          <cell r="AC391">
            <v>0</v>
          </cell>
          <cell r="AD391">
            <v>0</v>
          </cell>
          <cell r="AJ391">
            <v>0</v>
          </cell>
          <cell r="AK391">
            <v>0</v>
          </cell>
        </row>
        <row r="392">
          <cell r="B392" t="str">
            <v/>
          </cell>
          <cell r="H392" t="str">
            <v/>
          </cell>
          <cell r="J392" t="str">
            <v/>
          </cell>
          <cell r="N392" t="str">
            <v/>
          </cell>
          <cell r="O392" t="str">
            <v/>
          </cell>
          <cell r="P392" t="str">
            <v/>
          </cell>
          <cell r="Q392" t="str">
            <v/>
          </cell>
          <cell r="T392" t="str">
            <v/>
          </cell>
          <cell r="U392" t="str">
            <v/>
          </cell>
          <cell r="W392" t="str">
            <v/>
          </cell>
          <cell r="X392" t="str">
            <v/>
          </cell>
          <cell r="AB392">
            <v>0</v>
          </cell>
          <cell r="AC392">
            <v>0</v>
          </cell>
          <cell r="AD392">
            <v>0</v>
          </cell>
          <cell r="AJ392">
            <v>0</v>
          </cell>
          <cell r="AK392">
            <v>0</v>
          </cell>
        </row>
        <row r="393">
          <cell r="B393" t="str">
            <v/>
          </cell>
          <cell r="H393" t="str">
            <v/>
          </cell>
          <cell r="J393" t="str">
            <v/>
          </cell>
          <cell r="N393" t="str">
            <v/>
          </cell>
          <cell r="O393" t="str">
            <v/>
          </cell>
          <cell r="P393" t="str">
            <v/>
          </cell>
          <cell r="Q393" t="str">
            <v/>
          </cell>
          <cell r="T393" t="str">
            <v/>
          </cell>
          <cell r="U393" t="str">
            <v/>
          </cell>
          <cell r="W393" t="str">
            <v/>
          </cell>
          <cell r="X393" t="str">
            <v/>
          </cell>
          <cell r="AB393">
            <v>0</v>
          </cell>
          <cell r="AC393">
            <v>0</v>
          </cell>
          <cell r="AD393">
            <v>0</v>
          </cell>
          <cell r="AJ393">
            <v>0</v>
          </cell>
          <cell r="AK393">
            <v>0</v>
          </cell>
        </row>
        <row r="394">
          <cell r="B394" t="str">
            <v/>
          </cell>
          <cell r="H394" t="str">
            <v/>
          </cell>
          <cell r="J394" t="str">
            <v/>
          </cell>
          <cell r="N394" t="str">
            <v/>
          </cell>
          <cell r="O394" t="str">
            <v/>
          </cell>
          <cell r="P394" t="str">
            <v/>
          </cell>
          <cell r="Q394" t="str">
            <v/>
          </cell>
          <cell r="T394" t="str">
            <v/>
          </cell>
          <cell r="U394" t="str">
            <v/>
          </cell>
          <cell r="W394" t="str">
            <v/>
          </cell>
          <cell r="X394" t="str">
            <v/>
          </cell>
          <cell r="AB394">
            <v>0</v>
          </cell>
          <cell r="AC394">
            <v>0</v>
          </cell>
          <cell r="AD394">
            <v>0</v>
          </cell>
          <cell r="AJ394">
            <v>0</v>
          </cell>
          <cell r="AK394">
            <v>0</v>
          </cell>
        </row>
        <row r="395">
          <cell r="B395" t="str">
            <v/>
          </cell>
          <cell r="H395" t="str">
            <v/>
          </cell>
          <cell r="J395" t="str">
            <v/>
          </cell>
          <cell r="N395" t="str">
            <v/>
          </cell>
          <cell r="O395" t="str">
            <v/>
          </cell>
          <cell r="P395" t="str">
            <v/>
          </cell>
          <cell r="Q395" t="str">
            <v/>
          </cell>
          <cell r="T395" t="str">
            <v/>
          </cell>
          <cell r="U395" t="str">
            <v/>
          </cell>
          <cell r="W395" t="str">
            <v/>
          </cell>
          <cell r="X395" t="str">
            <v/>
          </cell>
          <cell r="AB395">
            <v>0</v>
          </cell>
          <cell r="AC395">
            <v>0</v>
          </cell>
          <cell r="AD395">
            <v>0</v>
          </cell>
          <cell r="AJ395">
            <v>0</v>
          </cell>
          <cell r="AK395">
            <v>0</v>
          </cell>
        </row>
        <row r="396">
          <cell r="B396" t="str">
            <v/>
          </cell>
          <cell r="H396" t="str">
            <v/>
          </cell>
          <cell r="J396" t="str">
            <v/>
          </cell>
          <cell r="N396" t="str">
            <v/>
          </cell>
          <cell r="O396" t="str">
            <v/>
          </cell>
          <cell r="P396" t="str">
            <v/>
          </cell>
          <cell r="Q396" t="str">
            <v/>
          </cell>
          <cell r="T396" t="str">
            <v/>
          </cell>
          <cell r="U396" t="str">
            <v/>
          </cell>
          <cell r="W396" t="str">
            <v/>
          </cell>
          <cell r="X396" t="str">
            <v/>
          </cell>
          <cell r="AB396">
            <v>0</v>
          </cell>
          <cell r="AC396">
            <v>0</v>
          </cell>
          <cell r="AD396">
            <v>0</v>
          </cell>
          <cell r="AJ396">
            <v>0</v>
          </cell>
          <cell r="AK396">
            <v>0</v>
          </cell>
        </row>
        <row r="397">
          <cell r="B397" t="str">
            <v/>
          </cell>
          <cell r="H397" t="str">
            <v/>
          </cell>
          <cell r="J397" t="str">
            <v/>
          </cell>
          <cell r="N397" t="str">
            <v/>
          </cell>
          <cell r="O397" t="str">
            <v/>
          </cell>
          <cell r="P397" t="str">
            <v/>
          </cell>
          <cell r="Q397" t="str">
            <v/>
          </cell>
          <cell r="T397" t="str">
            <v/>
          </cell>
          <cell r="U397" t="str">
            <v/>
          </cell>
          <cell r="W397" t="str">
            <v/>
          </cell>
          <cell r="X397" t="str">
            <v/>
          </cell>
          <cell r="AB397">
            <v>0</v>
          </cell>
          <cell r="AC397">
            <v>0</v>
          </cell>
          <cell r="AD397">
            <v>0</v>
          </cell>
          <cell r="AJ397">
            <v>0</v>
          </cell>
          <cell r="AK397">
            <v>0</v>
          </cell>
        </row>
        <row r="398">
          <cell r="B398" t="str">
            <v/>
          </cell>
          <cell r="H398" t="str">
            <v/>
          </cell>
          <cell r="J398" t="str">
            <v/>
          </cell>
          <cell r="N398" t="str">
            <v/>
          </cell>
          <cell r="O398" t="str">
            <v/>
          </cell>
          <cell r="P398" t="str">
            <v/>
          </cell>
          <cell r="Q398" t="str">
            <v/>
          </cell>
          <cell r="T398" t="str">
            <v/>
          </cell>
          <cell r="U398" t="str">
            <v/>
          </cell>
          <cell r="W398" t="str">
            <v/>
          </cell>
          <cell r="X398" t="str">
            <v/>
          </cell>
          <cell r="AB398">
            <v>0</v>
          </cell>
          <cell r="AC398">
            <v>0</v>
          </cell>
          <cell r="AD398">
            <v>0</v>
          </cell>
          <cell r="AJ398">
            <v>0</v>
          </cell>
          <cell r="AK398">
            <v>0</v>
          </cell>
        </row>
        <row r="399">
          <cell r="B399" t="str">
            <v/>
          </cell>
          <cell r="H399" t="str">
            <v/>
          </cell>
          <cell r="J399" t="str">
            <v/>
          </cell>
          <cell r="N399" t="str">
            <v/>
          </cell>
          <cell r="O399" t="str">
            <v/>
          </cell>
          <cell r="P399" t="str">
            <v/>
          </cell>
          <cell r="Q399" t="str">
            <v/>
          </cell>
          <cell r="T399" t="str">
            <v/>
          </cell>
          <cell r="U399" t="str">
            <v/>
          </cell>
          <cell r="W399" t="str">
            <v/>
          </cell>
          <cell r="X399" t="str">
            <v/>
          </cell>
          <cell r="AB399">
            <v>0</v>
          </cell>
          <cell r="AC399">
            <v>0</v>
          </cell>
          <cell r="AD399">
            <v>0</v>
          </cell>
          <cell r="AJ399">
            <v>0</v>
          </cell>
          <cell r="AK399">
            <v>0</v>
          </cell>
        </row>
        <row r="400">
          <cell r="B400" t="str">
            <v/>
          </cell>
          <cell r="H400" t="str">
            <v/>
          </cell>
          <cell r="J400" t="str">
            <v/>
          </cell>
          <cell r="N400" t="str">
            <v/>
          </cell>
          <cell r="O400" t="str">
            <v/>
          </cell>
          <cell r="P400" t="str">
            <v/>
          </cell>
          <cell r="Q400" t="str">
            <v/>
          </cell>
          <cell r="T400" t="str">
            <v/>
          </cell>
          <cell r="U400" t="str">
            <v/>
          </cell>
          <cell r="W400" t="str">
            <v/>
          </cell>
          <cell r="X400" t="str">
            <v/>
          </cell>
          <cell r="AB400">
            <v>0</v>
          </cell>
          <cell r="AC400">
            <v>0</v>
          </cell>
          <cell r="AD400">
            <v>0</v>
          </cell>
          <cell r="AJ400">
            <v>0</v>
          </cell>
          <cell r="AK400">
            <v>0</v>
          </cell>
        </row>
        <row r="401">
          <cell r="B401" t="str">
            <v/>
          </cell>
          <cell r="H401" t="str">
            <v/>
          </cell>
          <cell r="J401" t="str">
            <v/>
          </cell>
          <cell r="N401" t="str">
            <v/>
          </cell>
          <cell r="O401" t="str">
            <v/>
          </cell>
          <cell r="P401" t="str">
            <v/>
          </cell>
          <cell r="Q401" t="str">
            <v/>
          </cell>
          <cell r="T401" t="str">
            <v/>
          </cell>
          <cell r="U401" t="str">
            <v/>
          </cell>
          <cell r="W401" t="str">
            <v/>
          </cell>
          <cell r="X401" t="str">
            <v/>
          </cell>
          <cell r="AB401">
            <v>0</v>
          </cell>
          <cell r="AC401">
            <v>0</v>
          </cell>
          <cell r="AD401">
            <v>0</v>
          </cell>
          <cell r="AJ401">
            <v>0</v>
          </cell>
          <cell r="AK401">
            <v>0</v>
          </cell>
        </row>
        <row r="402">
          <cell r="B402" t="str">
            <v/>
          </cell>
          <cell r="H402" t="str">
            <v/>
          </cell>
          <cell r="J402" t="str">
            <v/>
          </cell>
          <cell r="N402" t="str">
            <v/>
          </cell>
          <cell r="O402" t="str">
            <v/>
          </cell>
          <cell r="P402" t="str">
            <v/>
          </cell>
          <cell r="Q402" t="str">
            <v/>
          </cell>
          <cell r="T402" t="str">
            <v/>
          </cell>
          <cell r="U402" t="str">
            <v/>
          </cell>
          <cell r="W402" t="str">
            <v/>
          </cell>
          <cell r="X402" t="str">
            <v/>
          </cell>
          <cell r="AB402">
            <v>0</v>
          </cell>
          <cell r="AC402">
            <v>0</v>
          </cell>
          <cell r="AD402">
            <v>0</v>
          </cell>
          <cell r="AJ402">
            <v>0</v>
          </cell>
          <cell r="AK402">
            <v>0</v>
          </cell>
        </row>
        <row r="403">
          <cell r="B403" t="str">
            <v/>
          </cell>
          <cell r="H403" t="str">
            <v/>
          </cell>
          <cell r="J403" t="str">
            <v/>
          </cell>
          <cell r="N403" t="str">
            <v/>
          </cell>
          <cell r="O403" t="str">
            <v/>
          </cell>
          <cell r="P403" t="str">
            <v/>
          </cell>
          <cell r="Q403" t="str">
            <v/>
          </cell>
          <cell r="T403" t="str">
            <v/>
          </cell>
          <cell r="U403" t="str">
            <v/>
          </cell>
          <cell r="W403" t="str">
            <v/>
          </cell>
          <cell r="X403" t="str">
            <v/>
          </cell>
          <cell r="AB403">
            <v>0</v>
          </cell>
          <cell r="AC403">
            <v>0</v>
          </cell>
          <cell r="AD403">
            <v>0</v>
          </cell>
          <cell r="AJ403">
            <v>0</v>
          </cell>
          <cell r="AK403">
            <v>0</v>
          </cell>
        </row>
        <row r="404">
          <cell r="B404" t="str">
            <v/>
          </cell>
          <cell r="H404" t="str">
            <v/>
          </cell>
          <cell r="J404" t="str">
            <v/>
          </cell>
          <cell r="N404" t="str">
            <v/>
          </cell>
          <cell r="O404" t="str">
            <v/>
          </cell>
          <cell r="P404" t="str">
            <v/>
          </cell>
          <cell r="Q404" t="str">
            <v/>
          </cell>
          <cell r="T404" t="str">
            <v/>
          </cell>
          <cell r="U404" t="str">
            <v/>
          </cell>
          <cell r="W404" t="str">
            <v/>
          </cell>
          <cell r="X404" t="str">
            <v/>
          </cell>
          <cell r="AB404">
            <v>0</v>
          </cell>
          <cell r="AC404">
            <v>0</v>
          </cell>
          <cell r="AD404">
            <v>0</v>
          </cell>
          <cell r="AJ404">
            <v>0</v>
          </cell>
          <cell r="AK404">
            <v>0</v>
          </cell>
        </row>
        <row r="405">
          <cell r="B405" t="str">
            <v/>
          </cell>
          <cell r="H405" t="str">
            <v/>
          </cell>
          <cell r="J405" t="str">
            <v/>
          </cell>
          <cell r="N405" t="str">
            <v/>
          </cell>
          <cell r="O405" t="str">
            <v/>
          </cell>
          <cell r="P405" t="str">
            <v/>
          </cell>
          <cell r="Q405" t="str">
            <v/>
          </cell>
          <cell r="T405" t="str">
            <v/>
          </cell>
          <cell r="U405" t="str">
            <v/>
          </cell>
          <cell r="W405" t="str">
            <v/>
          </cell>
          <cell r="X405" t="str">
            <v/>
          </cell>
          <cell r="AB405">
            <v>0</v>
          </cell>
          <cell r="AC405">
            <v>0</v>
          </cell>
          <cell r="AD405">
            <v>0</v>
          </cell>
          <cell r="AJ405">
            <v>0</v>
          </cell>
          <cell r="AK405">
            <v>0</v>
          </cell>
        </row>
        <row r="406">
          <cell r="B406" t="str">
            <v/>
          </cell>
          <cell r="H406" t="str">
            <v/>
          </cell>
          <cell r="J406" t="str">
            <v/>
          </cell>
          <cell r="N406" t="str">
            <v/>
          </cell>
          <cell r="O406" t="str">
            <v/>
          </cell>
          <cell r="P406" t="str">
            <v/>
          </cell>
          <cell r="Q406" t="str">
            <v/>
          </cell>
          <cell r="T406" t="str">
            <v/>
          </cell>
          <cell r="U406" t="str">
            <v/>
          </cell>
          <cell r="W406" t="str">
            <v/>
          </cell>
          <cell r="X406" t="str">
            <v/>
          </cell>
          <cell r="AB406">
            <v>0</v>
          </cell>
          <cell r="AC406">
            <v>0</v>
          </cell>
          <cell r="AD406">
            <v>0</v>
          </cell>
          <cell r="AJ406">
            <v>0</v>
          </cell>
          <cell r="AK406">
            <v>0</v>
          </cell>
        </row>
        <row r="407">
          <cell r="B407" t="str">
            <v/>
          </cell>
          <cell r="H407" t="str">
            <v/>
          </cell>
          <cell r="J407" t="str">
            <v/>
          </cell>
          <cell r="N407" t="str">
            <v/>
          </cell>
          <cell r="O407" t="str">
            <v/>
          </cell>
          <cell r="P407" t="str">
            <v/>
          </cell>
          <cell r="Q407" t="str">
            <v/>
          </cell>
          <cell r="T407" t="str">
            <v/>
          </cell>
          <cell r="U407" t="str">
            <v/>
          </cell>
          <cell r="W407" t="str">
            <v/>
          </cell>
          <cell r="X407" t="str">
            <v/>
          </cell>
          <cell r="AB407">
            <v>0</v>
          </cell>
          <cell r="AC407">
            <v>0</v>
          </cell>
          <cell r="AD407">
            <v>0</v>
          </cell>
          <cell r="AJ407">
            <v>0</v>
          </cell>
          <cell r="AK407">
            <v>0</v>
          </cell>
        </row>
        <row r="408">
          <cell r="B408" t="str">
            <v/>
          </cell>
          <cell r="H408" t="str">
            <v/>
          </cell>
          <cell r="J408" t="str">
            <v/>
          </cell>
          <cell r="N408" t="str">
            <v/>
          </cell>
          <cell r="O408" t="str">
            <v/>
          </cell>
          <cell r="P408" t="str">
            <v/>
          </cell>
          <cell r="Q408" t="str">
            <v/>
          </cell>
          <cell r="T408" t="str">
            <v/>
          </cell>
          <cell r="U408" t="str">
            <v/>
          </cell>
          <cell r="W408" t="str">
            <v/>
          </cell>
          <cell r="X408" t="str">
            <v/>
          </cell>
          <cell r="AB408">
            <v>0</v>
          </cell>
          <cell r="AC408">
            <v>0</v>
          </cell>
          <cell r="AD408">
            <v>0</v>
          </cell>
          <cell r="AJ408">
            <v>0</v>
          </cell>
          <cell r="AK408">
            <v>0</v>
          </cell>
        </row>
        <row r="409">
          <cell r="B409" t="str">
            <v/>
          </cell>
          <cell r="H409" t="str">
            <v/>
          </cell>
          <cell r="J409" t="str">
            <v/>
          </cell>
          <cell r="N409" t="str">
            <v/>
          </cell>
          <cell r="O409" t="str">
            <v/>
          </cell>
          <cell r="P409" t="str">
            <v/>
          </cell>
          <cell r="Q409" t="str">
            <v/>
          </cell>
          <cell r="T409" t="str">
            <v/>
          </cell>
          <cell r="U409" t="str">
            <v/>
          </cell>
          <cell r="W409" t="str">
            <v/>
          </cell>
          <cell r="X409" t="str">
            <v/>
          </cell>
          <cell r="AB409">
            <v>0</v>
          </cell>
          <cell r="AC409">
            <v>0</v>
          </cell>
          <cell r="AD409">
            <v>0</v>
          </cell>
          <cell r="AJ409">
            <v>0</v>
          </cell>
          <cell r="AK409">
            <v>0</v>
          </cell>
        </row>
        <row r="410">
          <cell r="B410" t="str">
            <v/>
          </cell>
          <cell r="H410" t="str">
            <v/>
          </cell>
          <cell r="J410" t="str">
            <v/>
          </cell>
          <cell r="N410" t="str">
            <v/>
          </cell>
          <cell r="O410" t="str">
            <v/>
          </cell>
          <cell r="P410" t="str">
            <v/>
          </cell>
          <cell r="Q410" t="str">
            <v/>
          </cell>
          <cell r="T410" t="str">
            <v/>
          </cell>
          <cell r="U410" t="str">
            <v/>
          </cell>
          <cell r="W410" t="str">
            <v/>
          </cell>
          <cell r="X410" t="str">
            <v/>
          </cell>
          <cell r="AB410">
            <v>0</v>
          </cell>
          <cell r="AC410">
            <v>0</v>
          </cell>
          <cell r="AD410">
            <v>0</v>
          </cell>
          <cell r="AJ410">
            <v>0</v>
          </cell>
          <cell r="AK410">
            <v>0</v>
          </cell>
        </row>
        <row r="411">
          <cell r="B411" t="str">
            <v/>
          </cell>
          <cell r="H411" t="str">
            <v/>
          </cell>
          <cell r="J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  <cell r="T411" t="str">
            <v/>
          </cell>
          <cell r="U411" t="str">
            <v/>
          </cell>
          <cell r="W411" t="str">
            <v/>
          </cell>
          <cell r="X411" t="str">
            <v/>
          </cell>
          <cell r="AB411">
            <v>0</v>
          </cell>
          <cell r="AC411">
            <v>0</v>
          </cell>
          <cell r="AD411">
            <v>0</v>
          </cell>
          <cell r="AJ411">
            <v>0</v>
          </cell>
          <cell r="AK411">
            <v>0</v>
          </cell>
        </row>
        <row r="412">
          <cell r="B412" t="str">
            <v/>
          </cell>
          <cell r="H412" t="str">
            <v/>
          </cell>
          <cell r="J412" t="str">
            <v/>
          </cell>
          <cell r="N412" t="str">
            <v/>
          </cell>
          <cell r="O412" t="str">
            <v/>
          </cell>
          <cell r="P412" t="str">
            <v/>
          </cell>
          <cell r="Q412" t="str">
            <v/>
          </cell>
          <cell r="T412" t="str">
            <v/>
          </cell>
          <cell r="U412" t="str">
            <v/>
          </cell>
          <cell r="W412" t="str">
            <v/>
          </cell>
          <cell r="X412" t="str">
            <v/>
          </cell>
          <cell r="AB412">
            <v>0</v>
          </cell>
          <cell r="AC412">
            <v>0</v>
          </cell>
          <cell r="AD412">
            <v>0</v>
          </cell>
          <cell r="AJ412">
            <v>0</v>
          </cell>
          <cell r="AK412">
            <v>0</v>
          </cell>
        </row>
        <row r="413">
          <cell r="B413" t="str">
            <v/>
          </cell>
          <cell r="H413" t="str">
            <v/>
          </cell>
          <cell r="J413" t="str">
            <v/>
          </cell>
          <cell r="N413" t="str">
            <v/>
          </cell>
          <cell r="O413" t="str">
            <v/>
          </cell>
          <cell r="P413" t="str">
            <v/>
          </cell>
          <cell r="Q413" t="str">
            <v/>
          </cell>
          <cell r="T413" t="str">
            <v/>
          </cell>
          <cell r="U413" t="str">
            <v/>
          </cell>
          <cell r="W413" t="str">
            <v/>
          </cell>
          <cell r="X413" t="str">
            <v/>
          </cell>
          <cell r="AB413">
            <v>0</v>
          </cell>
          <cell r="AC413">
            <v>0</v>
          </cell>
          <cell r="AD413">
            <v>0</v>
          </cell>
          <cell r="AJ413">
            <v>0</v>
          </cell>
          <cell r="AK413">
            <v>0</v>
          </cell>
        </row>
        <row r="414">
          <cell r="B414" t="str">
            <v/>
          </cell>
          <cell r="H414" t="str">
            <v/>
          </cell>
          <cell r="J414" t="str">
            <v/>
          </cell>
          <cell r="N414" t="str">
            <v/>
          </cell>
          <cell r="O414" t="str">
            <v/>
          </cell>
          <cell r="P414" t="str">
            <v/>
          </cell>
          <cell r="Q414" t="str">
            <v/>
          </cell>
          <cell r="T414" t="str">
            <v/>
          </cell>
          <cell r="U414" t="str">
            <v/>
          </cell>
          <cell r="W414" t="str">
            <v/>
          </cell>
          <cell r="X414" t="str">
            <v/>
          </cell>
          <cell r="AB414">
            <v>0</v>
          </cell>
          <cell r="AC414">
            <v>0</v>
          </cell>
          <cell r="AD414">
            <v>0</v>
          </cell>
          <cell r="AJ414">
            <v>0</v>
          </cell>
          <cell r="AK414">
            <v>0</v>
          </cell>
        </row>
        <row r="415">
          <cell r="B415" t="str">
            <v/>
          </cell>
          <cell r="H415" t="str">
            <v/>
          </cell>
          <cell r="J415" t="str">
            <v/>
          </cell>
          <cell r="N415" t="str">
            <v/>
          </cell>
          <cell r="O415" t="str">
            <v/>
          </cell>
          <cell r="P415" t="str">
            <v/>
          </cell>
          <cell r="Q415" t="str">
            <v/>
          </cell>
          <cell r="T415" t="str">
            <v/>
          </cell>
          <cell r="U415" t="str">
            <v/>
          </cell>
          <cell r="W415" t="str">
            <v/>
          </cell>
          <cell r="X415" t="str">
            <v/>
          </cell>
          <cell r="AB415">
            <v>0</v>
          </cell>
          <cell r="AC415">
            <v>0</v>
          </cell>
          <cell r="AD415">
            <v>0</v>
          </cell>
          <cell r="AJ415">
            <v>0</v>
          </cell>
          <cell r="AK415">
            <v>0</v>
          </cell>
        </row>
        <row r="416">
          <cell r="B416" t="str">
            <v/>
          </cell>
          <cell r="H416" t="str">
            <v/>
          </cell>
          <cell r="J416" t="str">
            <v/>
          </cell>
          <cell r="N416" t="str">
            <v/>
          </cell>
          <cell r="O416" t="str">
            <v/>
          </cell>
          <cell r="P416" t="str">
            <v/>
          </cell>
          <cell r="Q416" t="str">
            <v/>
          </cell>
          <cell r="T416" t="str">
            <v/>
          </cell>
          <cell r="U416" t="str">
            <v/>
          </cell>
          <cell r="W416" t="str">
            <v/>
          </cell>
          <cell r="X416" t="str">
            <v/>
          </cell>
          <cell r="AB416">
            <v>0</v>
          </cell>
          <cell r="AC416">
            <v>0</v>
          </cell>
          <cell r="AD416">
            <v>0</v>
          </cell>
          <cell r="AJ416">
            <v>0</v>
          </cell>
          <cell r="AK416">
            <v>0</v>
          </cell>
        </row>
        <row r="417">
          <cell r="B417" t="str">
            <v/>
          </cell>
          <cell r="H417" t="str">
            <v/>
          </cell>
          <cell r="J417" t="str">
            <v/>
          </cell>
          <cell r="N417" t="str">
            <v/>
          </cell>
          <cell r="O417" t="str">
            <v/>
          </cell>
          <cell r="P417" t="str">
            <v/>
          </cell>
          <cell r="Q417" t="str">
            <v/>
          </cell>
          <cell r="T417" t="str">
            <v/>
          </cell>
          <cell r="U417" t="str">
            <v/>
          </cell>
          <cell r="W417" t="str">
            <v/>
          </cell>
          <cell r="X417" t="str">
            <v/>
          </cell>
          <cell r="AB417">
            <v>0</v>
          </cell>
          <cell r="AC417">
            <v>0</v>
          </cell>
          <cell r="AD417">
            <v>0</v>
          </cell>
          <cell r="AJ417">
            <v>0</v>
          </cell>
          <cell r="AK417">
            <v>0</v>
          </cell>
        </row>
        <row r="418">
          <cell r="B418" t="str">
            <v/>
          </cell>
          <cell r="H418" t="str">
            <v/>
          </cell>
          <cell r="J418" t="str">
            <v/>
          </cell>
          <cell r="N418" t="str">
            <v/>
          </cell>
          <cell r="O418" t="str">
            <v/>
          </cell>
          <cell r="P418" t="str">
            <v/>
          </cell>
          <cell r="Q418" t="str">
            <v/>
          </cell>
          <cell r="T418" t="str">
            <v/>
          </cell>
          <cell r="U418" t="str">
            <v/>
          </cell>
          <cell r="W418" t="str">
            <v/>
          </cell>
          <cell r="X418" t="str">
            <v/>
          </cell>
          <cell r="AB418">
            <v>0</v>
          </cell>
          <cell r="AC418">
            <v>0</v>
          </cell>
          <cell r="AD418">
            <v>0</v>
          </cell>
          <cell r="AJ418">
            <v>0</v>
          </cell>
          <cell r="AK418">
            <v>0</v>
          </cell>
        </row>
        <row r="419">
          <cell r="B419" t="str">
            <v/>
          </cell>
          <cell r="H419" t="str">
            <v/>
          </cell>
          <cell r="J419" t="str">
            <v/>
          </cell>
          <cell r="N419" t="str">
            <v/>
          </cell>
          <cell r="O419" t="str">
            <v/>
          </cell>
          <cell r="P419" t="str">
            <v/>
          </cell>
          <cell r="Q419" t="str">
            <v/>
          </cell>
          <cell r="T419" t="str">
            <v/>
          </cell>
          <cell r="U419" t="str">
            <v/>
          </cell>
          <cell r="W419" t="str">
            <v/>
          </cell>
          <cell r="X419" t="str">
            <v/>
          </cell>
          <cell r="AB419">
            <v>0</v>
          </cell>
          <cell r="AC419">
            <v>0</v>
          </cell>
          <cell r="AD419">
            <v>0</v>
          </cell>
          <cell r="AJ419">
            <v>0</v>
          </cell>
          <cell r="AK419">
            <v>0</v>
          </cell>
        </row>
        <row r="420">
          <cell r="B420" t="str">
            <v/>
          </cell>
          <cell r="H420" t="str">
            <v/>
          </cell>
          <cell r="J420" t="str">
            <v/>
          </cell>
          <cell r="N420" t="str">
            <v/>
          </cell>
          <cell r="O420" t="str">
            <v/>
          </cell>
          <cell r="P420" t="str">
            <v/>
          </cell>
          <cell r="Q420" t="str">
            <v/>
          </cell>
          <cell r="T420" t="str">
            <v/>
          </cell>
          <cell r="U420" t="str">
            <v/>
          </cell>
          <cell r="W420" t="str">
            <v/>
          </cell>
          <cell r="X420" t="str">
            <v/>
          </cell>
          <cell r="AB420">
            <v>0</v>
          </cell>
          <cell r="AC420">
            <v>0</v>
          </cell>
          <cell r="AD420">
            <v>0</v>
          </cell>
          <cell r="AJ420">
            <v>0</v>
          </cell>
          <cell r="AK420">
            <v>0</v>
          </cell>
        </row>
        <row r="421">
          <cell r="B421" t="str">
            <v/>
          </cell>
          <cell r="H421" t="str">
            <v/>
          </cell>
          <cell r="J421" t="str">
            <v/>
          </cell>
          <cell r="N421" t="str">
            <v/>
          </cell>
          <cell r="O421" t="str">
            <v/>
          </cell>
          <cell r="P421" t="str">
            <v/>
          </cell>
          <cell r="Q421" t="str">
            <v/>
          </cell>
          <cell r="T421" t="str">
            <v/>
          </cell>
          <cell r="U421" t="str">
            <v/>
          </cell>
          <cell r="W421" t="str">
            <v/>
          </cell>
          <cell r="X421" t="str">
            <v/>
          </cell>
          <cell r="AB421">
            <v>0</v>
          </cell>
          <cell r="AC421">
            <v>0</v>
          </cell>
          <cell r="AD421">
            <v>0</v>
          </cell>
          <cell r="AJ421">
            <v>0</v>
          </cell>
          <cell r="AK421">
            <v>0</v>
          </cell>
        </row>
        <row r="422">
          <cell r="B422" t="str">
            <v/>
          </cell>
          <cell r="H422" t="str">
            <v/>
          </cell>
          <cell r="J422" t="str">
            <v/>
          </cell>
          <cell r="N422" t="str">
            <v/>
          </cell>
          <cell r="O422" t="str">
            <v/>
          </cell>
          <cell r="P422" t="str">
            <v/>
          </cell>
          <cell r="Q422" t="str">
            <v/>
          </cell>
          <cell r="T422" t="str">
            <v/>
          </cell>
          <cell r="U422" t="str">
            <v/>
          </cell>
          <cell r="W422" t="str">
            <v/>
          </cell>
          <cell r="X422" t="str">
            <v/>
          </cell>
          <cell r="AB422">
            <v>0</v>
          </cell>
          <cell r="AC422">
            <v>0</v>
          </cell>
          <cell r="AD422">
            <v>0</v>
          </cell>
          <cell r="AJ422">
            <v>0</v>
          </cell>
          <cell r="AK422">
            <v>0</v>
          </cell>
        </row>
        <row r="423">
          <cell r="B423" t="str">
            <v/>
          </cell>
          <cell r="H423" t="str">
            <v/>
          </cell>
          <cell r="J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  <cell r="T423" t="str">
            <v/>
          </cell>
          <cell r="U423" t="str">
            <v/>
          </cell>
          <cell r="W423" t="str">
            <v/>
          </cell>
          <cell r="X423" t="str">
            <v/>
          </cell>
          <cell r="AB423">
            <v>0</v>
          </cell>
          <cell r="AC423">
            <v>0</v>
          </cell>
          <cell r="AD423">
            <v>0</v>
          </cell>
          <cell r="AJ423">
            <v>0</v>
          </cell>
          <cell r="AK423">
            <v>0</v>
          </cell>
        </row>
        <row r="424">
          <cell r="B424" t="str">
            <v/>
          </cell>
          <cell r="H424" t="str">
            <v/>
          </cell>
          <cell r="J424" t="str">
            <v/>
          </cell>
          <cell r="N424" t="str">
            <v/>
          </cell>
          <cell r="O424" t="str">
            <v/>
          </cell>
          <cell r="P424" t="str">
            <v/>
          </cell>
          <cell r="Q424" t="str">
            <v/>
          </cell>
          <cell r="T424" t="str">
            <v/>
          </cell>
          <cell r="U424" t="str">
            <v/>
          </cell>
          <cell r="W424" t="str">
            <v/>
          </cell>
          <cell r="X424" t="str">
            <v/>
          </cell>
          <cell r="AB424">
            <v>0</v>
          </cell>
          <cell r="AC424">
            <v>0</v>
          </cell>
          <cell r="AD424">
            <v>0</v>
          </cell>
          <cell r="AJ424">
            <v>0</v>
          </cell>
          <cell r="AK424">
            <v>0</v>
          </cell>
        </row>
        <row r="425">
          <cell r="B425" t="str">
            <v/>
          </cell>
          <cell r="H425" t="str">
            <v/>
          </cell>
          <cell r="J425" t="str">
            <v/>
          </cell>
          <cell r="N425" t="str">
            <v/>
          </cell>
          <cell r="O425" t="str">
            <v/>
          </cell>
          <cell r="P425" t="str">
            <v/>
          </cell>
          <cell r="Q425" t="str">
            <v/>
          </cell>
          <cell r="T425" t="str">
            <v/>
          </cell>
          <cell r="U425" t="str">
            <v/>
          </cell>
          <cell r="W425" t="str">
            <v/>
          </cell>
          <cell r="X425" t="str">
            <v/>
          </cell>
          <cell r="AB425">
            <v>0</v>
          </cell>
          <cell r="AC425">
            <v>0</v>
          </cell>
          <cell r="AD425">
            <v>0</v>
          </cell>
          <cell r="AJ425">
            <v>0</v>
          </cell>
          <cell r="AK425">
            <v>0</v>
          </cell>
        </row>
        <row r="426">
          <cell r="B426" t="str">
            <v/>
          </cell>
          <cell r="H426" t="str">
            <v/>
          </cell>
          <cell r="J426" t="str">
            <v/>
          </cell>
          <cell r="N426" t="str">
            <v/>
          </cell>
          <cell r="O426" t="str">
            <v/>
          </cell>
          <cell r="P426" t="str">
            <v/>
          </cell>
          <cell r="Q426" t="str">
            <v/>
          </cell>
          <cell r="T426" t="str">
            <v/>
          </cell>
          <cell r="U426" t="str">
            <v/>
          </cell>
          <cell r="W426" t="str">
            <v/>
          </cell>
          <cell r="X426" t="str">
            <v/>
          </cell>
          <cell r="AB426">
            <v>0</v>
          </cell>
          <cell r="AC426">
            <v>0</v>
          </cell>
          <cell r="AD426">
            <v>0</v>
          </cell>
          <cell r="AJ426">
            <v>0</v>
          </cell>
          <cell r="AK426">
            <v>0</v>
          </cell>
        </row>
        <row r="427">
          <cell r="B427" t="str">
            <v/>
          </cell>
          <cell r="H427" t="str">
            <v/>
          </cell>
          <cell r="J427" t="str">
            <v/>
          </cell>
          <cell r="N427" t="str">
            <v/>
          </cell>
          <cell r="O427" t="str">
            <v/>
          </cell>
          <cell r="P427" t="str">
            <v/>
          </cell>
          <cell r="Q427" t="str">
            <v/>
          </cell>
          <cell r="T427" t="str">
            <v/>
          </cell>
          <cell r="U427" t="str">
            <v/>
          </cell>
          <cell r="W427" t="str">
            <v/>
          </cell>
          <cell r="X427" t="str">
            <v/>
          </cell>
          <cell r="AB427">
            <v>0</v>
          </cell>
          <cell r="AC427">
            <v>0</v>
          </cell>
          <cell r="AD427">
            <v>0</v>
          </cell>
          <cell r="AJ427">
            <v>0</v>
          </cell>
          <cell r="AK427">
            <v>0</v>
          </cell>
        </row>
        <row r="428">
          <cell r="B428" t="str">
            <v/>
          </cell>
          <cell r="H428" t="str">
            <v/>
          </cell>
          <cell r="J428" t="str">
            <v/>
          </cell>
          <cell r="N428" t="str">
            <v/>
          </cell>
          <cell r="O428" t="str">
            <v/>
          </cell>
          <cell r="P428" t="str">
            <v/>
          </cell>
          <cell r="Q428" t="str">
            <v/>
          </cell>
          <cell r="T428" t="str">
            <v/>
          </cell>
          <cell r="U428" t="str">
            <v/>
          </cell>
          <cell r="W428" t="str">
            <v/>
          </cell>
          <cell r="X428" t="str">
            <v/>
          </cell>
          <cell r="AB428">
            <v>0</v>
          </cell>
          <cell r="AC428">
            <v>0</v>
          </cell>
          <cell r="AD428">
            <v>0</v>
          </cell>
          <cell r="AJ428">
            <v>0</v>
          </cell>
          <cell r="AK428">
            <v>0</v>
          </cell>
        </row>
        <row r="429">
          <cell r="B429" t="str">
            <v/>
          </cell>
          <cell r="H429" t="str">
            <v/>
          </cell>
          <cell r="J429" t="str">
            <v/>
          </cell>
          <cell r="N429" t="str">
            <v/>
          </cell>
          <cell r="O429" t="str">
            <v/>
          </cell>
          <cell r="P429" t="str">
            <v/>
          </cell>
          <cell r="Q429" t="str">
            <v/>
          </cell>
          <cell r="T429" t="str">
            <v/>
          </cell>
          <cell r="U429" t="str">
            <v/>
          </cell>
          <cell r="W429" t="str">
            <v/>
          </cell>
          <cell r="X429" t="str">
            <v/>
          </cell>
          <cell r="AB429">
            <v>0</v>
          </cell>
          <cell r="AC429">
            <v>0</v>
          </cell>
          <cell r="AD429">
            <v>0</v>
          </cell>
          <cell r="AJ429">
            <v>0</v>
          </cell>
          <cell r="AK429">
            <v>0</v>
          </cell>
        </row>
        <row r="430">
          <cell r="B430" t="str">
            <v/>
          </cell>
          <cell r="H430" t="str">
            <v/>
          </cell>
          <cell r="J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  <cell r="T430" t="str">
            <v/>
          </cell>
          <cell r="U430" t="str">
            <v/>
          </cell>
          <cell r="W430" t="str">
            <v/>
          </cell>
          <cell r="X430" t="str">
            <v/>
          </cell>
          <cell r="AB430">
            <v>0</v>
          </cell>
          <cell r="AC430">
            <v>0</v>
          </cell>
          <cell r="AD430">
            <v>0</v>
          </cell>
          <cell r="AJ430">
            <v>0</v>
          </cell>
          <cell r="AK430">
            <v>0</v>
          </cell>
        </row>
        <row r="431">
          <cell r="B431" t="str">
            <v/>
          </cell>
          <cell r="H431" t="str">
            <v/>
          </cell>
          <cell r="J431" t="str">
            <v/>
          </cell>
          <cell r="N431" t="str">
            <v/>
          </cell>
          <cell r="O431" t="str">
            <v/>
          </cell>
          <cell r="P431" t="str">
            <v/>
          </cell>
          <cell r="Q431" t="str">
            <v/>
          </cell>
          <cell r="T431" t="str">
            <v/>
          </cell>
          <cell r="U431" t="str">
            <v/>
          </cell>
          <cell r="W431" t="str">
            <v/>
          </cell>
          <cell r="X431" t="str">
            <v/>
          </cell>
          <cell r="AB431">
            <v>0</v>
          </cell>
          <cell r="AC431">
            <v>0</v>
          </cell>
          <cell r="AD431">
            <v>0</v>
          </cell>
          <cell r="AJ431">
            <v>0</v>
          </cell>
          <cell r="AK431">
            <v>0</v>
          </cell>
        </row>
        <row r="432">
          <cell r="B432" t="str">
            <v/>
          </cell>
          <cell r="H432" t="str">
            <v/>
          </cell>
          <cell r="J432" t="str">
            <v/>
          </cell>
          <cell r="N432" t="str">
            <v/>
          </cell>
          <cell r="O432" t="str">
            <v/>
          </cell>
          <cell r="P432" t="str">
            <v/>
          </cell>
          <cell r="Q432" t="str">
            <v/>
          </cell>
          <cell r="T432" t="str">
            <v/>
          </cell>
          <cell r="U432" t="str">
            <v/>
          </cell>
          <cell r="W432" t="str">
            <v/>
          </cell>
          <cell r="X432" t="str">
            <v/>
          </cell>
          <cell r="AB432">
            <v>0</v>
          </cell>
          <cell r="AC432">
            <v>0</v>
          </cell>
          <cell r="AD432">
            <v>0</v>
          </cell>
          <cell r="AJ432">
            <v>0</v>
          </cell>
          <cell r="AK432">
            <v>0</v>
          </cell>
        </row>
        <row r="433">
          <cell r="B433" t="str">
            <v/>
          </cell>
          <cell r="H433" t="str">
            <v/>
          </cell>
          <cell r="J433" t="str">
            <v/>
          </cell>
          <cell r="N433" t="str">
            <v/>
          </cell>
          <cell r="O433" t="str">
            <v/>
          </cell>
          <cell r="P433" t="str">
            <v/>
          </cell>
          <cell r="Q433" t="str">
            <v/>
          </cell>
          <cell r="T433" t="str">
            <v/>
          </cell>
          <cell r="U433" t="str">
            <v/>
          </cell>
          <cell r="W433" t="str">
            <v/>
          </cell>
          <cell r="X433" t="str">
            <v/>
          </cell>
          <cell r="AB433">
            <v>0</v>
          </cell>
          <cell r="AC433">
            <v>0</v>
          </cell>
          <cell r="AD433">
            <v>0</v>
          </cell>
          <cell r="AJ433">
            <v>0</v>
          </cell>
          <cell r="AK433">
            <v>0</v>
          </cell>
        </row>
        <row r="434">
          <cell r="B434" t="str">
            <v/>
          </cell>
          <cell r="H434" t="str">
            <v/>
          </cell>
          <cell r="J434" t="str">
            <v/>
          </cell>
          <cell r="N434" t="str">
            <v/>
          </cell>
          <cell r="O434" t="str">
            <v/>
          </cell>
          <cell r="P434" t="str">
            <v/>
          </cell>
          <cell r="Q434" t="str">
            <v/>
          </cell>
          <cell r="T434" t="str">
            <v/>
          </cell>
          <cell r="U434" t="str">
            <v/>
          </cell>
          <cell r="W434" t="str">
            <v/>
          </cell>
          <cell r="X434" t="str">
            <v/>
          </cell>
          <cell r="AB434">
            <v>0</v>
          </cell>
          <cell r="AC434">
            <v>0</v>
          </cell>
          <cell r="AD434">
            <v>0</v>
          </cell>
          <cell r="AJ434">
            <v>0</v>
          </cell>
          <cell r="AK434">
            <v>0</v>
          </cell>
        </row>
        <row r="435">
          <cell r="B435" t="str">
            <v/>
          </cell>
          <cell r="H435" t="str">
            <v/>
          </cell>
          <cell r="J435" t="str">
            <v/>
          </cell>
          <cell r="N435" t="str">
            <v/>
          </cell>
          <cell r="O435" t="str">
            <v/>
          </cell>
          <cell r="P435" t="str">
            <v/>
          </cell>
          <cell r="Q435" t="str">
            <v/>
          </cell>
          <cell r="T435" t="str">
            <v/>
          </cell>
          <cell r="U435" t="str">
            <v/>
          </cell>
          <cell r="W435" t="str">
            <v/>
          </cell>
          <cell r="X435" t="str">
            <v/>
          </cell>
          <cell r="AB435">
            <v>0</v>
          </cell>
          <cell r="AC435">
            <v>0</v>
          </cell>
          <cell r="AD435">
            <v>0</v>
          </cell>
          <cell r="AJ435">
            <v>0</v>
          </cell>
          <cell r="AK435">
            <v>0</v>
          </cell>
        </row>
        <row r="436">
          <cell r="B436" t="str">
            <v/>
          </cell>
          <cell r="H436" t="str">
            <v/>
          </cell>
          <cell r="J436" t="str">
            <v/>
          </cell>
          <cell r="N436" t="str">
            <v/>
          </cell>
          <cell r="O436" t="str">
            <v/>
          </cell>
          <cell r="P436" t="str">
            <v/>
          </cell>
          <cell r="Q436" t="str">
            <v/>
          </cell>
          <cell r="T436" t="str">
            <v/>
          </cell>
          <cell r="U436" t="str">
            <v/>
          </cell>
          <cell r="W436" t="str">
            <v/>
          </cell>
          <cell r="X436" t="str">
            <v/>
          </cell>
          <cell r="AB436">
            <v>0</v>
          </cell>
          <cell r="AC436">
            <v>0</v>
          </cell>
          <cell r="AD436">
            <v>0</v>
          </cell>
          <cell r="AJ436">
            <v>0</v>
          </cell>
          <cell r="AK436">
            <v>0</v>
          </cell>
        </row>
        <row r="437">
          <cell r="B437" t="str">
            <v/>
          </cell>
          <cell r="H437" t="str">
            <v/>
          </cell>
          <cell r="J437" t="str">
            <v/>
          </cell>
          <cell r="N437" t="str">
            <v/>
          </cell>
          <cell r="O437" t="str">
            <v/>
          </cell>
          <cell r="P437" t="str">
            <v/>
          </cell>
          <cell r="Q437" t="str">
            <v/>
          </cell>
          <cell r="T437" t="str">
            <v/>
          </cell>
          <cell r="U437" t="str">
            <v/>
          </cell>
          <cell r="W437" t="str">
            <v/>
          </cell>
          <cell r="X437" t="str">
            <v/>
          </cell>
          <cell r="AB437">
            <v>0</v>
          </cell>
          <cell r="AC437">
            <v>0</v>
          </cell>
          <cell r="AD437">
            <v>0</v>
          </cell>
          <cell r="AJ437">
            <v>0</v>
          </cell>
          <cell r="AK437">
            <v>0</v>
          </cell>
        </row>
        <row r="438">
          <cell r="B438" t="str">
            <v/>
          </cell>
          <cell r="H438" t="str">
            <v/>
          </cell>
          <cell r="J438" t="str">
            <v/>
          </cell>
          <cell r="N438" t="str">
            <v/>
          </cell>
          <cell r="O438" t="str">
            <v/>
          </cell>
          <cell r="P438" t="str">
            <v/>
          </cell>
          <cell r="Q438" t="str">
            <v/>
          </cell>
          <cell r="T438" t="str">
            <v/>
          </cell>
          <cell r="U438" t="str">
            <v/>
          </cell>
          <cell r="W438" t="str">
            <v/>
          </cell>
          <cell r="X438" t="str">
            <v/>
          </cell>
          <cell r="AB438">
            <v>0</v>
          </cell>
          <cell r="AC438">
            <v>0</v>
          </cell>
          <cell r="AD438">
            <v>0</v>
          </cell>
          <cell r="AJ438">
            <v>0</v>
          </cell>
          <cell r="AK438">
            <v>0</v>
          </cell>
        </row>
        <row r="439">
          <cell r="B439" t="str">
            <v/>
          </cell>
          <cell r="H439" t="str">
            <v/>
          </cell>
          <cell r="J439" t="str">
            <v/>
          </cell>
          <cell r="N439" t="str">
            <v/>
          </cell>
          <cell r="O439" t="str">
            <v/>
          </cell>
          <cell r="P439" t="str">
            <v/>
          </cell>
          <cell r="Q439" t="str">
            <v/>
          </cell>
          <cell r="T439" t="str">
            <v/>
          </cell>
          <cell r="U439" t="str">
            <v/>
          </cell>
          <cell r="W439" t="str">
            <v/>
          </cell>
          <cell r="X439" t="str">
            <v/>
          </cell>
          <cell r="AB439">
            <v>0</v>
          </cell>
          <cell r="AC439">
            <v>0</v>
          </cell>
          <cell r="AD439">
            <v>0</v>
          </cell>
          <cell r="AJ439">
            <v>0</v>
          </cell>
          <cell r="AK439">
            <v>0</v>
          </cell>
        </row>
        <row r="440">
          <cell r="B440" t="str">
            <v/>
          </cell>
          <cell r="H440" t="str">
            <v/>
          </cell>
          <cell r="J440" t="str">
            <v/>
          </cell>
          <cell r="N440" t="str">
            <v/>
          </cell>
          <cell r="O440" t="str">
            <v/>
          </cell>
          <cell r="P440" t="str">
            <v/>
          </cell>
          <cell r="Q440" t="str">
            <v/>
          </cell>
          <cell r="T440" t="str">
            <v/>
          </cell>
          <cell r="U440" t="str">
            <v/>
          </cell>
          <cell r="W440" t="str">
            <v/>
          </cell>
          <cell r="X440" t="str">
            <v/>
          </cell>
          <cell r="AB440">
            <v>0</v>
          </cell>
          <cell r="AC440">
            <v>0</v>
          </cell>
          <cell r="AD440">
            <v>0</v>
          </cell>
          <cell r="AJ440">
            <v>0</v>
          </cell>
          <cell r="AK440">
            <v>0</v>
          </cell>
        </row>
        <row r="441">
          <cell r="B441" t="str">
            <v/>
          </cell>
          <cell r="H441" t="str">
            <v/>
          </cell>
          <cell r="J441" t="str">
            <v/>
          </cell>
          <cell r="N441" t="str">
            <v/>
          </cell>
          <cell r="O441" t="str">
            <v/>
          </cell>
          <cell r="P441" t="str">
            <v/>
          </cell>
          <cell r="Q441" t="str">
            <v/>
          </cell>
          <cell r="T441" t="str">
            <v/>
          </cell>
          <cell r="U441" t="str">
            <v/>
          </cell>
          <cell r="W441" t="str">
            <v/>
          </cell>
          <cell r="X441" t="str">
            <v/>
          </cell>
          <cell r="AB441">
            <v>0</v>
          </cell>
          <cell r="AC441">
            <v>0</v>
          </cell>
          <cell r="AD441">
            <v>0</v>
          </cell>
          <cell r="AJ441">
            <v>0</v>
          </cell>
          <cell r="AK441">
            <v>0</v>
          </cell>
        </row>
        <row r="442">
          <cell r="B442" t="str">
            <v/>
          </cell>
          <cell r="H442" t="str">
            <v/>
          </cell>
          <cell r="J442" t="str">
            <v/>
          </cell>
          <cell r="N442" t="str">
            <v/>
          </cell>
          <cell r="O442" t="str">
            <v/>
          </cell>
          <cell r="P442" t="str">
            <v/>
          </cell>
          <cell r="Q442" t="str">
            <v/>
          </cell>
          <cell r="T442" t="str">
            <v/>
          </cell>
          <cell r="U442" t="str">
            <v/>
          </cell>
          <cell r="W442" t="str">
            <v/>
          </cell>
          <cell r="X442" t="str">
            <v/>
          </cell>
          <cell r="AB442">
            <v>0</v>
          </cell>
          <cell r="AC442">
            <v>0</v>
          </cell>
          <cell r="AD442">
            <v>0</v>
          </cell>
          <cell r="AJ442">
            <v>0</v>
          </cell>
          <cell r="AK442">
            <v>0</v>
          </cell>
        </row>
        <row r="443">
          <cell r="B443" t="str">
            <v/>
          </cell>
          <cell r="H443" t="str">
            <v/>
          </cell>
          <cell r="J443" t="str">
            <v/>
          </cell>
          <cell r="N443" t="str">
            <v/>
          </cell>
          <cell r="O443" t="str">
            <v/>
          </cell>
          <cell r="P443" t="str">
            <v/>
          </cell>
          <cell r="Q443" t="str">
            <v/>
          </cell>
          <cell r="T443" t="str">
            <v/>
          </cell>
          <cell r="U443" t="str">
            <v/>
          </cell>
          <cell r="W443" t="str">
            <v/>
          </cell>
          <cell r="X443" t="str">
            <v/>
          </cell>
          <cell r="AB443">
            <v>0</v>
          </cell>
          <cell r="AC443">
            <v>0</v>
          </cell>
          <cell r="AD443">
            <v>0</v>
          </cell>
          <cell r="AJ443">
            <v>0</v>
          </cell>
          <cell r="AK443">
            <v>0</v>
          </cell>
        </row>
        <row r="444">
          <cell r="B444" t="str">
            <v/>
          </cell>
          <cell r="H444" t="str">
            <v/>
          </cell>
          <cell r="J444" t="str">
            <v/>
          </cell>
          <cell r="N444" t="str">
            <v/>
          </cell>
          <cell r="O444" t="str">
            <v/>
          </cell>
          <cell r="P444" t="str">
            <v/>
          </cell>
          <cell r="Q444" t="str">
            <v/>
          </cell>
          <cell r="T444" t="str">
            <v/>
          </cell>
          <cell r="U444" t="str">
            <v/>
          </cell>
          <cell r="W444" t="str">
            <v/>
          </cell>
          <cell r="X444" t="str">
            <v/>
          </cell>
          <cell r="AB444">
            <v>0</v>
          </cell>
          <cell r="AC444">
            <v>0</v>
          </cell>
          <cell r="AD444">
            <v>0</v>
          </cell>
          <cell r="AJ444">
            <v>0</v>
          </cell>
          <cell r="AK444">
            <v>0</v>
          </cell>
        </row>
        <row r="445">
          <cell r="B445" t="str">
            <v/>
          </cell>
          <cell r="H445" t="str">
            <v/>
          </cell>
          <cell r="J445" t="str">
            <v/>
          </cell>
          <cell r="N445" t="str">
            <v/>
          </cell>
          <cell r="O445" t="str">
            <v/>
          </cell>
          <cell r="P445" t="str">
            <v/>
          </cell>
          <cell r="Q445" t="str">
            <v/>
          </cell>
          <cell r="T445" t="str">
            <v/>
          </cell>
          <cell r="U445" t="str">
            <v/>
          </cell>
          <cell r="W445" t="str">
            <v/>
          </cell>
          <cell r="X445" t="str">
            <v/>
          </cell>
          <cell r="AB445">
            <v>0</v>
          </cell>
          <cell r="AC445">
            <v>0</v>
          </cell>
          <cell r="AD445">
            <v>0</v>
          </cell>
          <cell r="AJ445">
            <v>0</v>
          </cell>
          <cell r="AK445">
            <v>0</v>
          </cell>
        </row>
        <row r="446">
          <cell r="B446" t="str">
            <v/>
          </cell>
          <cell r="H446" t="str">
            <v/>
          </cell>
          <cell r="J446" t="str">
            <v/>
          </cell>
          <cell r="N446" t="str">
            <v/>
          </cell>
          <cell r="O446" t="str">
            <v/>
          </cell>
          <cell r="P446" t="str">
            <v/>
          </cell>
          <cell r="Q446" t="str">
            <v/>
          </cell>
          <cell r="T446" t="str">
            <v/>
          </cell>
          <cell r="U446" t="str">
            <v/>
          </cell>
          <cell r="W446" t="str">
            <v/>
          </cell>
          <cell r="X446" t="str">
            <v/>
          </cell>
          <cell r="AB446">
            <v>0</v>
          </cell>
          <cell r="AC446">
            <v>0</v>
          </cell>
          <cell r="AD446">
            <v>0</v>
          </cell>
          <cell r="AJ446">
            <v>0</v>
          </cell>
          <cell r="AK446">
            <v>0</v>
          </cell>
        </row>
        <row r="447">
          <cell r="B447" t="str">
            <v/>
          </cell>
          <cell r="H447" t="str">
            <v/>
          </cell>
          <cell r="J447" t="str">
            <v/>
          </cell>
          <cell r="N447" t="str">
            <v/>
          </cell>
          <cell r="O447" t="str">
            <v/>
          </cell>
          <cell r="P447" t="str">
            <v/>
          </cell>
          <cell r="Q447" t="str">
            <v/>
          </cell>
          <cell r="T447" t="str">
            <v/>
          </cell>
          <cell r="U447" t="str">
            <v/>
          </cell>
          <cell r="W447" t="str">
            <v/>
          </cell>
          <cell r="X447" t="str">
            <v/>
          </cell>
          <cell r="AB447">
            <v>0</v>
          </cell>
          <cell r="AC447">
            <v>0</v>
          </cell>
          <cell r="AD447">
            <v>0</v>
          </cell>
          <cell r="AJ447">
            <v>0</v>
          </cell>
          <cell r="AK447">
            <v>0</v>
          </cell>
        </row>
        <row r="448">
          <cell r="B448" t="str">
            <v/>
          </cell>
          <cell r="H448" t="str">
            <v/>
          </cell>
          <cell r="J448" t="str">
            <v/>
          </cell>
          <cell r="N448" t="str">
            <v/>
          </cell>
          <cell r="O448" t="str">
            <v/>
          </cell>
          <cell r="P448" t="str">
            <v/>
          </cell>
          <cell r="Q448" t="str">
            <v/>
          </cell>
          <cell r="T448" t="str">
            <v/>
          </cell>
          <cell r="U448" t="str">
            <v/>
          </cell>
          <cell r="W448" t="str">
            <v/>
          </cell>
          <cell r="X448" t="str">
            <v/>
          </cell>
          <cell r="AB448">
            <v>0</v>
          </cell>
          <cell r="AC448">
            <v>0</v>
          </cell>
          <cell r="AD448">
            <v>0</v>
          </cell>
          <cell r="AJ448">
            <v>0</v>
          </cell>
          <cell r="AK448">
            <v>0</v>
          </cell>
        </row>
        <row r="449">
          <cell r="B449" t="str">
            <v/>
          </cell>
          <cell r="H449" t="str">
            <v/>
          </cell>
          <cell r="J449" t="str">
            <v/>
          </cell>
          <cell r="N449" t="str">
            <v/>
          </cell>
          <cell r="O449" t="str">
            <v/>
          </cell>
          <cell r="P449" t="str">
            <v/>
          </cell>
          <cell r="Q449" t="str">
            <v/>
          </cell>
          <cell r="T449" t="str">
            <v/>
          </cell>
          <cell r="U449" t="str">
            <v/>
          </cell>
          <cell r="W449" t="str">
            <v/>
          </cell>
          <cell r="X449" t="str">
            <v/>
          </cell>
          <cell r="AB449">
            <v>0</v>
          </cell>
          <cell r="AC449">
            <v>0</v>
          </cell>
          <cell r="AD449">
            <v>0</v>
          </cell>
          <cell r="AJ449">
            <v>0</v>
          </cell>
          <cell r="AK449">
            <v>0</v>
          </cell>
        </row>
        <row r="450">
          <cell r="B450" t="str">
            <v/>
          </cell>
          <cell r="H450" t="str">
            <v/>
          </cell>
          <cell r="J450" t="str">
            <v/>
          </cell>
          <cell r="N450" t="str">
            <v/>
          </cell>
          <cell r="O450" t="str">
            <v/>
          </cell>
          <cell r="P450" t="str">
            <v/>
          </cell>
          <cell r="Q450" t="str">
            <v/>
          </cell>
          <cell r="T450" t="str">
            <v/>
          </cell>
          <cell r="U450" t="str">
            <v/>
          </cell>
          <cell r="W450" t="str">
            <v/>
          </cell>
          <cell r="X450" t="str">
            <v/>
          </cell>
          <cell r="AB450">
            <v>0</v>
          </cell>
          <cell r="AC450">
            <v>0</v>
          </cell>
          <cell r="AD450">
            <v>0</v>
          </cell>
          <cell r="AJ450">
            <v>0</v>
          </cell>
          <cell r="AK450">
            <v>0</v>
          </cell>
        </row>
        <row r="451">
          <cell r="B451" t="str">
            <v/>
          </cell>
          <cell r="H451" t="str">
            <v/>
          </cell>
          <cell r="J451" t="str">
            <v/>
          </cell>
          <cell r="N451" t="str">
            <v/>
          </cell>
          <cell r="O451" t="str">
            <v/>
          </cell>
          <cell r="P451" t="str">
            <v/>
          </cell>
          <cell r="Q451" t="str">
            <v/>
          </cell>
          <cell r="T451" t="str">
            <v/>
          </cell>
          <cell r="U451" t="str">
            <v/>
          </cell>
          <cell r="W451" t="str">
            <v/>
          </cell>
          <cell r="X451" t="str">
            <v/>
          </cell>
          <cell r="AB451">
            <v>0</v>
          </cell>
          <cell r="AC451">
            <v>0</v>
          </cell>
          <cell r="AD451">
            <v>0</v>
          </cell>
          <cell r="AJ451">
            <v>0</v>
          </cell>
          <cell r="AK451">
            <v>0</v>
          </cell>
        </row>
        <row r="452">
          <cell r="B452" t="str">
            <v/>
          </cell>
          <cell r="H452" t="str">
            <v/>
          </cell>
          <cell r="J452" t="str">
            <v/>
          </cell>
          <cell r="N452" t="str">
            <v/>
          </cell>
          <cell r="O452" t="str">
            <v/>
          </cell>
          <cell r="P452" t="str">
            <v/>
          </cell>
          <cell r="Q452" t="str">
            <v/>
          </cell>
          <cell r="T452" t="str">
            <v/>
          </cell>
          <cell r="U452" t="str">
            <v/>
          </cell>
          <cell r="W452" t="str">
            <v/>
          </cell>
          <cell r="X452" t="str">
            <v/>
          </cell>
          <cell r="AB452">
            <v>0</v>
          </cell>
          <cell r="AC452">
            <v>0</v>
          </cell>
          <cell r="AD452">
            <v>0</v>
          </cell>
          <cell r="AJ452">
            <v>0</v>
          </cell>
          <cell r="AK452">
            <v>0</v>
          </cell>
        </row>
        <row r="453">
          <cell r="B453" t="str">
            <v/>
          </cell>
          <cell r="H453" t="str">
            <v/>
          </cell>
          <cell r="J453" t="str">
            <v/>
          </cell>
          <cell r="N453" t="str">
            <v/>
          </cell>
          <cell r="O453" t="str">
            <v/>
          </cell>
          <cell r="P453" t="str">
            <v/>
          </cell>
          <cell r="Q453" t="str">
            <v/>
          </cell>
          <cell r="T453" t="str">
            <v/>
          </cell>
          <cell r="U453" t="str">
            <v/>
          </cell>
          <cell r="W453" t="str">
            <v/>
          </cell>
          <cell r="X453" t="str">
            <v/>
          </cell>
          <cell r="AB453">
            <v>0</v>
          </cell>
          <cell r="AC453">
            <v>0</v>
          </cell>
          <cell r="AD453">
            <v>0</v>
          </cell>
          <cell r="AJ453">
            <v>0</v>
          </cell>
          <cell r="AK453">
            <v>0</v>
          </cell>
        </row>
        <row r="454">
          <cell r="B454" t="str">
            <v/>
          </cell>
          <cell r="H454" t="str">
            <v/>
          </cell>
          <cell r="J454" t="str">
            <v/>
          </cell>
          <cell r="N454" t="str">
            <v/>
          </cell>
          <cell r="O454" t="str">
            <v/>
          </cell>
          <cell r="P454" t="str">
            <v/>
          </cell>
          <cell r="Q454" t="str">
            <v/>
          </cell>
          <cell r="T454" t="str">
            <v/>
          </cell>
          <cell r="U454" t="str">
            <v/>
          </cell>
          <cell r="W454" t="str">
            <v/>
          </cell>
          <cell r="X454" t="str">
            <v/>
          </cell>
          <cell r="AB454">
            <v>0</v>
          </cell>
          <cell r="AC454">
            <v>0</v>
          </cell>
          <cell r="AD454">
            <v>0</v>
          </cell>
          <cell r="AJ454">
            <v>0</v>
          </cell>
          <cell r="AK454">
            <v>0</v>
          </cell>
        </row>
        <row r="455">
          <cell r="B455" t="str">
            <v/>
          </cell>
          <cell r="H455" t="str">
            <v/>
          </cell>
          <cell r="J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  <cell r="T455" t="str">
            <v/>
          </cell>
          <cell r="U455" t="str">
            <v/>
          </cell>
          <cell r="W455" t="str">
            <v/>
          </cell>
          <cell r="X455" t="str">
            <v/>
          </cell>
          <cell r="AB455">
            <v>0</v>
          </cell>
          <cell r="AC455">
            <v>0</v>
          </cell>
          <cell r="AD455">
            <v>0</v>
          </cell>
          <cell r="AJ455">
            <v>0</v>
          </cell>
          <cell r="AK455">
            <v>0</v>
          </cell>
        </row>
        <row r="456">
          <cell r="B456" t="str">
            <v/>
          </cell>
          <cell r="H456" t="str">
            <v/>
          </cell>
          <cell r="J456" t="str">
            <v/>
          </cell>
          <cell r="N456" t="str">
            <v/>
          </cell>
          <cell r="O456" t="str">
            <v/>
          </cell>
          <cell r="P456" t="str">
            <v/>
          </cell>
          <cell r="Q456" t="str">
            <v/>
          </cell>
          <cell r="T456" t="str">
            <v/>
          </cell>
          <cell r="U456" t="str">
            <v/>
          </cell>
          <cell r="W456" t="str">
            <v/>
          </cell>
          <cell r="X456" t="str">
            <v/>
          </cell>
          <cell r="AB456">
            <v>0</v>
          </cell>
          <cell r="AC456">
            <v>0</v>
          </cell>
          <cell r="AD456">
            <v>0</v>
          </cell>
          <cell r="AJ456">
            <v>0</v>
          </cell>
          <cell r="AK456">
            <v>0</v>
          </cell>
        </row>
        <row r="457">
          <cell r="B457" t="str">
            <v/>
          </cell>
          <cell r="H457" t="str">
            <v/>
          </cell>
          <cell r="J457" t="str">
            <v/>
          </cell>
          <cell r="N457" t="str">
            <v/>
          </cell>
          <cell r="O457" t="str">
            <v/>
          </cell>
          <cell r="P457" t="str">
            <v/>
          </cell>
          <cell r="Q457" t="str">
            <v/>
          </cell>
          <cell r="T457" t="str">
            <v/>
          </cell>
          <cell r="U457" t="str">
            <v/>
          </cell>
          <cell r="W457" t="str">
            <v/>
          </cell>
          <cell r="X457" t="str">
            <v/>
          </cell>
          <cell r="AB457">
            <v>0</v>
          </cell>
          <cell r="AC457">
            <v>0</v>
          </cell>
          <cell r="AD457">
            <v>0</v>
          </cell>
          <cell r="AJ457">
            <v>0</v>
          </cell>
          <cell r="AK457">
            <v>0</v>
          </cell>
        </row>
        <row r="458">
          <cell r="B458" t="str">
            <v/>
          </cell>
          <cell r="H458" t="str">
            <v/>
          </cell>
          <cell r="J458" t="str">
            <v/>
          </cell>
          <cell r="N458" t="str">
            <v/>
          </cell>
          <cell r="O458" t="str">
            <v/>
          </cell>
          <cell r="P458" t="str">
            <v/>
          </cell>
          <cell r="Q458" t="str">
            <v/>
          </cell>
          <cell r="T458" t="str">
            <v/>
          </cell>
          <cell r="U458" t="str">
            <v/>
          </cell>
          <cell r="W458" t="str">
            <v/>
          </cell>
          <cell r="X458" t="str">
            <v/>
          </cell>
          <cell r="AB458">
            <v>0</v>
          </cell>
          <cell r="AC458">
            <v>0</v>
          </cell>
          <cell r="AD458">
            <v>0</v>
          </cell>
          <cell r="AJ458">
            <v>0</v>
          </cell>
          <cell r="AK458">
            <v>0</v>
          </cell>
        </row>
        <row r="459">
          <cell r="B459" t="str">
            <v/>
          </cell>
          <cell r="H459" t="str">
            <v/>
          </cell>
          <cell r="J459" t="str">
            <v/>
          </cell>
          <cell r="N459" t="str">
            <v/>
          </cell>
          <cell r="O459" t="str">
            <v/>
          </cell>
          <cell r="P459" t="str">
            <v/>
          </cell>
          <cell r="Q459" t="str">
            <v/>
          </cell>
          <cell r="T459" t="str">
            <v/>
          </cell>
          <cell r="U459" t="str">
            <v/>
          </cell>
          <cell r="W459" t="str">
            <v/>
          </cell>
          <cell r="X459" t="str">
            <v/>
          </cell>
          <cell r="AB459">
            <v>0</v>
          </cell>
          <cell r="AC459">
            <v>0</v>
          </cell>
          <cell r="AD459">
            <v>0</v>
          </cell>
          <cell r="AJ459">
            <v>0</v>
          </cell>
          <cell r="AK459">
            <v>0</v>
          </cell>
        </row>
        <row r="460">
          <cell r="B460" t="str">
            <v/>
          </cell>
          <cell r="H460" t="str">
            <v/>
          </cell>
          <cell r="J460" t="str">
            <v/>
          </cell>
          <cell r="N460" t="str">
            <v/>
          </cell>
          <cell r="O460" t="str">
            <v/>
          </cell>
          <cell r="P460" t="str">
            <v/>
          </cell>
          <cell r="Q460" t="str">
            <v/>
          </cell>
          <cell r="T460" t="str">
            <v/>
          </cell>
          <cell r="U460" t="str">
            <v/>
          </cell>
          <cell r="W460" t="str">
            <v/>
          </cell>
          <cell r="X460" t="str">
            <v/>
          </cell>
          <cell r="AB460">
            <v>0</v>
          </cell>
          <cell r="AC460">
            <v>0</v>
          </cell>
          <cell r="AD460">
            <v>0</v>
          </cell>
          <cell r="AJ460">
            <v>0</v>
          </cell>
          <cell r="AK460">
            <v>0</v>
          </cell>
        </row>
        <row r="461">
          <cell r="B461" t="str">
            <v/>
          </cell>
          <cell r="H461" t="str">
            <v/>
          </cell>
          <cell r="J461" t="str">
            <v/>
          </cell>
          <cell r="N461" t="str">
            <v/>
          </cell>
          <cell r="O461" t="str">
            <v/>
          </cell>
          <cell r="P461" t="str">
            <v/>
          </cell>
          <cell r="Q461" t="str">
            <v/>
          </cell>
          <cell r="T461" t="str">
            <v/>
          </cell>
          <cell r="U461" t="str">
            <v/>
          </cell>
          <cell r="W461" t="str">
            <v/>
          </cell>
          <cell r="X461" t="str">
            <v/>
          </cell>
          <cell r="AB461">
            <v>0</v>
          </cell>
          <cell r="AC461">
            <v>0</v>
          </cell>
          <cell r="AD461">
            <v>0</v>
          </cell>
          <cell r="AJ461">
            <v>0</v>
          </cell>
          <cell r="AK461">
            <v>0</v>
          </cell>
        </row>
        <row r="462">
          <cell r="B462" t="str">
            <v/>
          </cell>
          <cell r="H462" t="str">
            <v/>
          </cell>
          <cell r="J462" t="str">
            <v/>
          </cell>
          <cell r="N462" t="str">
            <v/>
          </cell>
          <cell r="O462" t="str">
            <v/>
          </cell>
          <cell r="P462" t="str">
            <v/>
          </cell>
          <cell r="Q462" t="str">
            <v/>
          </cell>
          <cell r="T462" t="str">
            <v/>
          </cell>
          <cell r="U462" t="str">
            <v/>
          </cell>
          <cell r="W462" t="str">
            <v/>
          </cell>
          <cell r="X462" t="str">
            <v/>
          </cell>
          <cell r="AB462">
            <v>0</v>
          </cell>
          <cell r="AC462">
            <v>0</v>
          </cell>
          <cell r="AD462">
            <v>0</v>
          </cell>
          <cell r="AJ462">
            <v>0</v>
          </cell>
          <cell r="AK462">
            <v>0</v>
          </cell>
        </row>
        <row r="463">
          <cell r="B463" t="str">
            <v/>
          </cell>
          <cell r="H463" t="str">
            <v/>
          </cell>
          <cell r="J463" t="str">
            <v/>
          </cell>
          <cell r="N463" t="str">
            <v/>
          </cell>
          <cell r="O463" t="str">
            <v/>
          </cell>
          <cell r="P463" t="str">
            <v/>
          </cell>
          <cell r="Q463" t="str">
            <v/>
          </cell>
          <cell r="T463" t="str">
            <v/>
          </cell>
          <cell r="U463" t="str">
            <v/>
          </cell>
          <cell r="W463" t="str">
            <v/>
          </cell>
          <cell r="X463" t="str">
            <v/>
          </cell>
          <cell r="AB463">
            <v>0</v>
          </cell>
          <cell r="AC463">
            <v>0</v>
          </cell>
          <cell r="AD463">
            <v>0</v>
          </cell>
          <cell r="AJ463">
            <v>0</v>
          </cell>
          <cell r="AK463">
            <v>0</v>
          </cell>
        </row>
        <row r="464">
          <cell r="B464" t="str">
            <v/>
          </cell>
          <cell r="H464" t="str">
            <v/>
          </cell>
          <cell r="J464" t="str">
            <v/>
          </cell>
          <cell r="N464" t="str">
            <v/>
          </cell>
          <cell r="O464" t="str">
            <v/>
          </cell>
          <cell r="P464" t="str">
            <v/>
          </cell>
          <cell r="Q464" t="str">
            <v/>
          </cell>
          <cell r="T464" t="str">
            <v/>
          </cell>
          <cell r="U464" t="str">
            <v/>
          </cell>
          <cell r="W464" t="str">
            <v/>
          </cell>
          <cell r="X464" t="str">
            <v/>
          </cell>
          <cell r="AB464">
            <v>0</v>
          </cell>
          <cell r="AC464">
            <v>0</v>
          </cell>
          <cell r="AD464">
            <v>0</v>
          </cell>
          <cell r="AJ464">
            <v>0</v>
          </cell>
          <cell r="AK464">
            <v>0</v>
          </cell>
        </row>
        <row r="465">
          <cell r="B465" t="str">
            <v/>
          </cell>
          <cell r="H465" t="str">
            <v/>
          </cell>
          <cell r="J465" t="str">
            <v/>
          </cell>
          <cell r="N465" t="str">
            <v/>
          </cell>
          <cell r="O465" t="str">
            <v/>
          </cell>
          <cell r="P465" t="str">
            <v/>
          </cell>
          <cell r="Q465" t="str">
            <v/>
          </cell>
          <cell r="T465" t="str">
            <v/>
          </cell>
          <cell r="U465" t="str">
            <v/>
          </cell>
          <cell r="W465" t="str">
            <v/>
          </cell>
          <cell r="X465" t="str">
            <v/>
          </cell>
          <cell r="AB465">
            <v>0</v>
          </cell>
          <cell r="AC465">
            <v>0</v>
          </cell>
          <cell r="AD465">
            <v>0</v>
          </cell>
          <cell r="AJ465">
            <v>0</v>
          </cell>
          <cell r="AK465">
            <v>0</v>
          </cell>
        </row>
        <row r="466">
          <cell r="B466" t="str">
            <v/>
          </cell>
          <cell r="H466" t="str">
            <v/>
          </cell>
          <cell r="J466" t="str">
            <v/>
          </cell>
          <cell r="N466" t="str">
            <v/>
          </cell>
          <cell r="O466" t="str">
            <v/>
          </cell>
          <cell r="P466" t="str">
            <v/>
          </cell>
          <cell r="Q466" t="str">
            <v/>
          </cell>
          <cell r="T466" t="str">
            <v/>
          </cell>
          <cell r="U466" t="str">
            <v/>
          </cell>
          <cell r="W466" t="str">
            <v/>
          </cell>
          <cell r="X466" t="str">
            <v/>
          </cell>
          <cell r="AB466">
            <v>0</v>
          </cell>
          <cell r="AC466">
            <v>0</v>
          </cell>
          <cell r="AD466">
            <v>0</v>
          </cell>
          <cell r="AJ466">
            <v>0</v>
          </cell>
          <cell r="AK466">
            <v>0</v>
          </cell>
        </row>
        <row r="467">
          <cell r="B467" t="str">
            <v/>
          </cell>
          <cell r="H467" t="str">
            <v/>
          </cell>
          <cell r="J467" t="str">
            <v/>
          </cell>
          <cell r="N467" t="str">
            <v/>
          </cell>
          <cell r="O467" t="str">
            <v/>
          </cell>
          <cell r="P467" t="str">
            <v/>
          </cell>
          <cell r="Q467" t="str">
            <v/>
          </cell>
          <cell r="T467" t="str">
            <v/>
          </cell>
          <cell r="U467" t="str">
            <v/>
          </cell>
          <cell r="W467" t="str">
            <v/>
          </cell>
          <cell r="X467" t="str">
            <v/>
          </cell>
          <cell r="AB467">
            <v>0</v>
          </cell>
          <cell r="AC467">
            <v>0</v>
          </cell>
          <cell r="AD467">
            <v>0</v>
          </cell>
          <cell r="AJ467">
            <v>0</v>
          </cell>
          <cell r="AK467">
            <v>0</v>
          </cell>
        </row>
        <row r="468">
          <cell r="B468" t="str">
            <v/>
          </cell>
          <cell r="H468" t="str">
            <v/>
          </cell>
          <cell r="J468" t="str">
            <v/>
          </cell>
          <cell r="N468" t="str">
            <v/>
          </cell>
          <cell r="O468" t="str">
            <v/>
          </cell>
          <cell r="P468" t="str">
            <v/>
          </cell>
          <cell r="Q468" t="str">
            <v/>
          </cell>
          <cell r="T468" t="str">
            <v/>
          </cell>
          <cell r="U468" t="str">
            <v/>
          </cell>
          <cell r="W468" t="str">
            <v/>
          </cell>
          <cell r="X468" t="str">
            <v/>
          </cell>
          <cell r="AB468">
            <v>0</v>
          </cell>
          <cell r="AC468">
            <v>0</v>
          </cell>
          <cell r="AD468">
            <v>0</v>
          </cell>
          <cell r="AJ468">
            <v>0</v>
          </cell>
          <cell r="AK468">
            <v>0</v>
          </cell>
        </row>
        <row r="469">
          <cell r="B469" t="str">
            <v/>
          </cell>
          <cell r="H469" t="str">
            <v/>
          </cell>
          <cell r="J469" t="str">
            <v/>
          </cell>
          <cell r="N469" t="str">
            <v/>
          </cell>
          <cell r="O469" t="str">
            <v/>
          </cell>
          <cell r="P469" t="str">
            <v/>
          </cell>
          <cell r="Q469" t="str">
            <v/>
          </cell>
          <cell r="T469" t="str">
            <v/>
          </cell>
          <cell r="U469" t="str">
            <v/>
          </cell>
          <cell r="W469" t="str">
            <v/>
          </cell>
          <cell r="X469" t="str">
            <v/>
          </cell>
          <cell r="AB469">
            <v>0</v>
          </cell>
          <cell r="AC469">
            <v>0</v>
          </cell>
          <cell r="AD469">
            <v>0</v>
          </cell>
          <cell r="AJ469">
            <v>0</v>
          </cell>
          <cell r="AK469">
            <v>0</v>
          </cell>
        </row>
        <row r="470">
          <cell r="B470" t="str">
            <v/>
          </cell>
          <cell r="H470" t="str">
            <v/>
          </cell>
          <cell r="J470" t="str">
            <v/>
          </cell>
          <cell r="N470" t="str">
            <v/>
          </cell>
          <cell r="O470" t="str">
            <v/>
          </cell>
          <cell r="P470" t="str">
            <v/>
          </cell>
          <cell r="Q470" t="str">
            <v/>
          </cell>
          <cell r="T470" t="str">
            <v/>
          </cell>
          <cell r="U470" t="str">
            <v/>
          </cell>
          <cell r="W470" t="str">
            <v/>
          </cell>
          <cell r="X470" t="str">
            <v/>
          </cell>
          <cell r="AB470">
            <v>0</v>
          </cell>
          <cell r="AC470">
            <v>0</v>
          </cell>
          <cell r="AD470">
            <v>0</v>
          </cell>
          <cell r="AJ470">
            <v>0</v>
          </cell>
          <cell r="AK470">
            <v>0</v>
          </cell>
        </row>
        <row r="471">
          <cell r="B471" t="str">
            <v/>
          </cell>
          <cell r="H471" t="str">
            <v/>
          </cell>
          <cell r="J471" t="str">
            <v/>
          </cell>
          <cell r="N471" t="str">
            <v/>
          </cell>
          <cell r="O471" t="str">
            <v/>
          </cell>
          <cell r="P471" t="str">
            <v/>
          </cell>
          <cell r="Q471" t="str">
            <v/>
          </cell>
          <cell r="T471" t="str">
            <v/>
          </cell>
          <cell r="U471" t="str">
            <v/>
          </cell>
          <cell r="W471" t="str">
            <v/>
          </cell>
          <cell r="X471" t="str">
            <v/>
          </cell>
          <cell r="AB471">
            <v>0</v>
          </cell>
          <cell r="AC471">
            <v>0</v>
          </cell>
          <cell r="AD471">
            <v>0</v>
          </cell>
          <cell r="AJ471">
            <v>0</v>
          </cell>
          <cell r="AK471">
            <v>0</v>
          </cell>
        </row>
        <row r="472">
          <cell r="B472" t="str">
            <v/>
          </cell>
          <cell r="H472" t="str">
            <v/>
          </cell>
          <cell r="J472" t="str">
            <v/>
          </cell>
          <cell r="N472" t="str">
            <v/>
          </cell>
          <cell r="O472" t="str">
            <v/>
          </cell>
          <cell r="P472" t="str">
            <v/>
          </cell>
          <cell r="Q472" t="str">
            <v/>
          </cell>
          <cell r="T472" t="str">
            <v/>
          </cell>
          <cell r="U472" t="str">
            <v/>
          </cell>
          <cell r="W472" t="str">
            <v/>
          </cell>
          <cell r="X472" t="str">
            <v/>
          </cell>
          <cell r="AB472">
            <v>0</v>
          </cell>
          <cell r="AC472">
            <v>0</v>
          </cell>
          <cell r="AD472">
            <v>0</v>
          </cell>
          <cell r="AJ472">
            <v>0</v>
          </cell>
          <cell r="AK472">
            <v>0</v>
          </cell>
        </row>
        <row r="473">
          <cell r="B473" t="str">
            <v/>
          </cell>
          <cell r="H473" t="str">
            <v/>
          </cell>
          <cell r="J473" t="str">
            <v/>
          </cell>
          <cell r="N473" t="str">
            <v/>
          </cell>
          <cell r="O473" t="str">
            <v/>
          </cell>
          <cell r="P473" t="str">
            <v/>
          </cell>
          <cell r="Q473" t="str">
            <v/>
          </cell>
          <cell r="T473" t="str">
            <v/>
          </cell>
          <cell r="U473" t="str">
            <v/>
          </cell>
          <cell r="W473" t="str">
            <v/>
          </cell>
          <cell r="X473" t="str">
            <v/>
          </cell>
          <cell r="AB473">
            <v>0</v>
          </cell>
          <cell r="AC473">
            <v>0</v>
          </cell>
          <cell r="AD473">
            <v>0</v>
          </cell>
          <cell r="AJ473">
            <v>0</v>
          </cell>
          <cell r="AK473">
            <v>0</v>
          </cell>
        </row>
        <row r="474">
          <cell r="B474" t="str">
            <v/>
          </cell>
          <cell r="H474" t="str">
            <v/>
          </cell>
          <cell r="J474" t="str">
            <v/>
          </cell>
          <cell r="N474" t="str">
            <v/>
          </cell>
          <cell r="O474" t="str">
            <v/>
          </cell>
          <cell r="P474" t="str">
            <v/>
          </cell>
          <cell r="Q474" t="str">
            <v/>
          </cell>
          <cell r="T474" t="str">
            <v/>
          </cell>
          <cell r="U474" t="str">
            <v/>
          </cell>
          <cell r="W474" t="str">
            <v/>
          </cell>
          <cell r="X474" t="str">
            <v/>
          </cell>
          <cell r="AB474">
            <v>0</v>
          </cell>
          <cell r="AC474">
            <v>0</v>
          </cell>
          <cell r="AD474">
            <v>0</v>
          </cell>
          <cell r="AJ474">
            <v>0</v>
          </cell>
          <cell r="AK474">
            <v>0</v>
          </cell>
        </row>
        <row r="475">
          <cell r="B475" t="str">
            <v/>
          </cell>
          <cell r="H475" t="str">
            <v/>
          </cell>
          <cell r="J475" t="str">
            <v/>
          </cell>
          <cell r="N475" t="str">
            <v/>
          </cell>
          <cell r="O475" t="str">
            <v/>
          </cell>
          <cell r="P475" t="str">
            <v/>
          </cell>
          <cell r="Q475" t="str">
            <v/>
          </cell>
          <cell r="T475" t="str">
            <v/>
          </cell>
          <cell r="U475" t="str">
            <v/>
          </cell>
          <cell r="W475" t="str">
            <v/>
          </cell>
          <cell r="X475" t="str">
            <v/>
          </cell>
          <cell r="AB475">
            <v>0</v>
          </cell>
          <cell r="AC475">
            <v>0</v>
          </cell>
          <cell r="AD475">
            <v>0</v>
          </cell>
          <cell r="AJ475">
            <v>0</v>
          </cell>
          <cell r="AK475">
            <v>0</v>
          </cell>
        </row>
        <row r="476">
          <cell r="B476" t="str">
            <v/>
          </cell>
          <cell r="H476" t="str">
            <v/>
          </cell>
          <cell r="J476" t="str">
            <v/>
          </cell>
          <cell r="N476" t="str">
            <v/>
          </cell>
          <cell r="O476" t="str">
            <v/>
          </cell>
          <cell r="P476" t="str">
            <v/>
          </cell>
          <cell r="Q476" t="str">
            <v/>
          </cell>
          <cell r="T476" t="str">
            <v/>
          </cell>
          <cell r="U476" t="str">
            <v/>
          </cell>
          <cell r="W476" t="str">
            <v/>
          </cell>
          <cell r="X476" t="str">
            <v/>
          </cell>
          <cell r="AB476">
            <v>0</v>
          </cell>
          <cell r="AC476">
            <v>0</v>
          </cell>
          <cell r="AD476">
            <v>0</v>
          </cell>
          <cell r="AJ476">
            <v>0</v>
          </cell>
          <cell r="AK476">
            <v>0</v>
          </cell>
        </row>
        <row r="477">
          <cell r="B477" t="str">
            <v/>
          </cell>
          <cell r="H477" t="str">
            <v/>
          </cell>
          <cell r="J477" t="str">
            <v/>
          </cell>
          <cell r="N477" t="str">
            <v/>
          </cell>
          <cell r="O477" t="str">
            <v/>
          </cell>
          <cell r="P477" t="str">
            <v/>
          </cell>
          <cell r="Q477" t="str">
            <v/>
          </cell>
          <cell r="T477" t="str">
            <v/>
          </cell>
          <cell r="U477" t="str">
            <v/>
          </cell>
          <cell r="W477" t="str">
            <v/>
          </cell>
          <cell r="X477" t="str">
            <v/>
          </cell>
          <cell r="AB477">
            <v>0</v>
          </cell>
          <cell r="AC477">
            <v>0</v>
          </cell>
          <cell r="AD477">
            <v>0</v>
          </cell>
          <cell r="AJ477">
            <v>0</v>
          </cell>
          <cell r="AK477">
            <v>0</v>
          </cell>
        </row>
        <row r="478">
          <cell r="B478" t="str">
            <v/>
          </cell>
          <cell r="H478" t="str">
            <v/>
          </cell>
          <cell r="J478" t="str">
            <v/>
          </cell>
          <cell r="N478" t="str">
            <v/>
          </cell>
          <cell r="O478" t="str">
            <v/>
          </cell>
          <cell r="P478" t="str">
            <v/>
          </cell>
          <cell r="Q478" t="str">
            <v/>
          </cell>
          <cell r="T478" t="str">
            <v/>
          </cell>
          <cell r="U478" t="str">
            <v/>
          </cell>
          <cell r="W478" t="str">
            <v/>
          </cell>
          <cell r="X478" t="str">
            <v/>
          </cell>
          <cell r="AB478">
            <v>0</v>
          </cell>
          <cell r="AC478">
            <v>0</v>
          </cell>
          <cell r="AD478">
            <v>0</v>
          </cell>
          <cell r="AJ478">
            <v>0</v>
          </cell>
          <cell r="AK478">
            <v>0</v>
          </cell>
        </row>
        <row r="479">
          <cell r="B479" t="str">
            <v/>
          </cell>
          <cell r="H479" t="str">
            <v/>
          </cell>
          <cell r="J479" t="str">
            <v/>
          </cell>
          <cell r="N479" t="str">
            <v/>
          </cell>
          <cell r="O479" t="str">
            <v/>
          </cell>
          <cell r="P479" t="str">
            <v/>
          </cell>
          <cell r="Q479" t="str">
            <v/>
          </cell>
          <cell r="T479" t="str">
            <v/>
          </cell>
          <cell r="U479" t="str">
            <v/>
          </cell>
          <cell r="W479" t="str">
            <v/>
          </cell>
          <cell r="X479" t="str">
            <v/>
          </cell>
          <cell r="AB479">
            <v>0</v>
          </cell>
          <cell r="AC479">
            <v>0</v>
          </cell>
          <cell r="AD479">
            <v>0</v>
          </cell>
          <cell r="AJ479">
            <v>0</v>
          </cell>
          <cell r="AK479">
            <v>0</v>
          </cell>
        </row>
        <row r="480">
          <cell r="B480" t="str">
            <v/>
          </cell>
          <cell r="H480" t="str">
            <v/>
          </cell>
          <cell r="J480" t="str">
            <v/>
          </cell>
          <cell r="N480" t="str">
            <v/>
          </cell>
          <cell r="O480" t="str">
            <v/>
          </cell>
          <cell r="P480" t="str">
            <v/>
          </cell>
          <cell r="Q480" t="str">
            <v/>
          </cell>
          <cell r="T480" t="str">
            <v/>
          </cell>
          <cell r="U480" t="str">
            <v/>
          </cell>
          <cell r="W480" t="str">
            <v/>
          </cell>
          <cell r="X480" t="str">
            <v/>
          </cell>
          <cell r="AB480">
            <v>0</v>
          </cell>
          <cell r="AC480">
            <v>0</v>
          </cell>
          <cell r="AD480">
            <v>0</v>
          </cell>
          <cell r="AJ480">
            <v>0</v>
          </cell>
          <cell r="AK480">
            <v>0</v>
          </cell>
        </row>
        <row r="481">
          <cell r="B481" t="str">
            <v/>
          </cell>
          <cell r="H481" t="str">
            <v/>
          </cell>
          <cell r="J481" t="str">
            <v/>
          </cell>
          <cell r="N481" t="str">
            <v/>
          </cell>
          <cell r="O481" t="str">
            <v/>
          </cell>
          <cell r="P481" t="str">
            <v/>
          </cell>
          <cell r="Q481" t="str">
            <v/>
          </cell>
          <cell r="T481" t="str">
            <v/>
          </cell>
          <cell r="U481" t="str">
            <v/>
          </cell>
          <cell r="W481" t="str">
            <v/>
          </cell>
          <cell r="X481" t="str">
            <v/>
          </cell>
          <cell r="AB481">
            <v>0</v>
          </cell>
          <cell r="AC481">
            <v>0</v>
          </cell>
          <cell r="AD481">
            <v>0</v>
          </cell>
          <cell r="AJ481">
            <v>0</v>
          </cell>
          <cell r="AK481">
            <v>0</v>
          </cell>
        </row>
        <row r="482">
          <cell r="B482" t="str">
            <v/>
          </cell>
          <cell r="H482" t="str">
            <v/>
          </cell>
          <cell r="J482" t="str">
            <v/>
          </cell>
          <cell r="N482" t="str">
            <v/>
          </cell>
          <cell r="O482" t="str">
            <v/>
          </cell>
          <cell r="P482" t="str">
            <v/>
          </cell>
          <cell r="Q482" t="str">
            <v/>
          </cell>
          <cell r="T482" t="str">
            <v/>
          </cell>
          <cell r="U482" t="str">
            <v/>
          </cell>
          <cell r="W482" t="str">
            <v/>
          </cell>
          <cell r="X482" t="str">
            <v/>
          </cell>
          <cell r="AB482">
            <v>0</v>
          </cell>
          <cell r="AC482">
            <v>0</v>
          </cell>
          <cell r="AD482">
            <v>0</v>
          </cell>
          <cell r="AJ482">
            <v>0</v>
          </cell>
          <cell r="AK482">
            <v>0</v>
          </cell>
        </row>
        <row r="483">
          <cell r="B483" t="str">
            <v/>
          </cell>
          <cell r="H483" t="str">
            <v/>
          </cell>
          <cell r="J483" t="str">
            <v/>
          </cell>
          <cell r="N483" t="str">
            <v/>
          </cell>
          <cell r="O483" t="str">
            <v/>
          </cell>
          <cell r="P483" t="str">
            <v/>
          </cell>
          <cell r="Q483" t="str">
            <v/>
          </cell>
          <cell r="T483" t="str">
            <v/>
          </cell>
          <cell r="U483" t="str">
            <v/>
          </cell>
          <cell r="W483" t="str">
            <v/>
          </cell>
          <cell r="X483" t="str">
            <v/>
          </cell>
          <cell r="AB483">
            <v>0</v>
          </cell>
          <cell r="AC483">
            <v>0</v>
          </cell>
          <cell r="AD483">
            <v>0</v>
          </cell>
          <cell r="AJ483">
            <v>0</v>
          </cell>
          <cell r="AK483">
            <v>0</v>
          </cell>
        </row>
        <row r="484">
          <cell r="B484" t="str">
            <v/>
          </cell>
          <cell r="H484" t="str">
            <v/>
          </cell>
          <cell r="J484" t="str">
            <v/>
          </cell>
          <cell r="N484" t="str">
            <v/>
          </cell>
          <cell r="O484" t="str">
            <v/>
          </cell>
          <cell r="P484" t="str">
            <v/>
          </cell>
          <cell r="Q484" t="str">
            <v/>
          </cell>
          <cell r="T484" t="str">
            <v/>
          </cell>
          <cell r="U484" t="str">
            <v/>
          </cell>
          <cell r="W484" t="str">
            <v/>
          </cell>
          <cell r="X484" t="str">
            <v/>
          </cell>
          <cell r="AB484">
            <v>0</v>
          </cell>
          <cell r="AC484">
            <v>0</v>
          </cell>
          <cell r="AD484">
            <v>0</v>
          </cell>
          <cell r="AJ484">
            <v>0</v>
          </cell>
          <cell r="AK484">
            <v>0</v>
          </cell>
        </row>
        <row r="485">
          <cell r="B485" t="str">
            <v/>
          </cell>
          <cell r="H485" t="str">
            <v/>
          </cell>
          <cell r="J485" t="str">
            <v/>
          </cell>
          <cell r="N485" t="str">
            <v/>
          </cell>
          <cell r="O485" t="str">
            <v/>
          </cell>
          <cell r="P485" t="str">
            <v/>
          </cell>
          <cell r="Q485" t="str">
            <v/>
          </cell>
          <cell r="T485" t="str">
            <v/>
          </cell>
          <cell r="U485" t="str">
            <v/>
          </cell>
          <cell r="W485" t="str">
            <v/>
          </cell>
          <cell r="X485" t="str">
            <v/>
          </cell>
          <cell r="AB485">
            <v>0</v>
          </cell>
          <cell r="AC485">
            <v>0</v>
          </cell>
          <cell r="AD485">
            <v>0</v>
          </cell>
          <cell r="AJ485">
            <v>0</v>
          </cell>
          <cell r="AK485">
            <v>0</v>
          </cell>
        </row>
        <row r="486">
          <cell r="B486" t="str">
            <v/>
          </cell>
          <cell r="H486" t="str">
            <v/>
          </cell>
          <cell r="J486" t="str">
            <v/>
          </cell>
          <cell r="N486" t="str">
            <v/>
          </cell>
          <cell r="O486" t="str">
            <v/>
          </cell>
          <cell r="P486" t="str">
            <v/>
          </cell>
          <cell r="Q486" t="str">
            <v/>
          </cell>
          <cell r="T486" t="str">
            <v/>
          </cell>
          <cell r="U486" t="str">
            <v/>
          </cell>
          <cell r="W486" t="str">
            <v/>
          </cell>
          <cell r="X486" t="str">
            <v/>
          </cell>
          <cell r="AB486">
            <v>0</v>
          </cell>
          <cell r="AC486">
            <v>0</v>
          </cell>
          <cell r="AD486">
            <v>0</v>
          </cell>
          <cell r="AJ486">
            <v>0</v>
          </cell>
          <cell r="AK486">
            <v>0</v>
          </cell>
        </row>
        <row r="487">
          <cell r="B487" t="str">
            <v/>
          </cell>
          <cell r="H487" t="str">
            <v/>
          </cell>
          <cell r="J487" t="str">
            <v/>
          </cell>
          <cell r="N487" t="str">
            <v/>
          </cell>
          <cell r="O487" t="str">
            <v/>
          </cell>
          <cell r="P487" t="str">
            <v/>
          </cell>
          <cell r="Q487" t="str">
            <v/>
          </cell>
          <cell r="T487" t="str">
            <v/>
          </cell>
          <cell r="U487" t="str">
            <v/>
          </cell>
          <cell r="W487" t="str">
            <v/>
          </cell>
          <cell r="X487" t="str">
            <v/>
          </cell>
          <cell r="AB487">
            <v>0</v>
          </cell>
          <cell r="AC487">
            <v>0</v>
          </cell>
          <cell r="AD487">
            <v>0</v>
          </cell>
          <cell r="AJ487">
            <v>0</v>
          </cell>
          <cell r="AK487">
            <v>0</v>
          </cell>
        </row>
        <row r="488">
          <cell r="B488" t="str">
            <v/>
          </cell>
          <cell r="H488" t="str">
            <v/>
          </cell>
          <cell r="J488" t="str">
            <v/>
          </cell>
          <cell r="N488" t="str">
            <v/>
          </cell>
          <cell r="O488" t="str">
            <v/>
          </cell>
          <cell r="P488" t="str">
            <v/>
          </cell>
          <cell r="Q488" t="str">
            <v/>
          </cell>
          <cell r="T488" t="str">
            <v/>
          </cell>
          <cell r="U488" t="str">
            <v/>
          </cell>
          <cell r="W488" t="str">
            <v/>
          </cell>
          <cell r="X488" t="str">
            <v/>
          </cell>
          <cell r="AB488">
            <v>0</v>
          </cell>
          <cell r="AC488">
            <v>0</v>
          </cell>
          <cell r="AD488">
            <v>0</v>
          </cell>
          <cell r="AJ488">
            <v>0</v>
          </cell>
          <cell r="AK488">
            <v>0</v>
          </cell>
        </row>
        <row r="489">
          <cell r="B489" t="str">
            <v/>
          </cell>
          <cell r="H489" t="str">
            <v/>
          </cell>
          <cell r="J489" t="str">
            <v/>
          </cell>
          <cell r="N489" t="str">
            <v/>
          </cell>
          <cell r="O489" t="str">
            <v/>
          </cell>
          <cell r="P489" t="str">
            <v/>
          </cell>
          <cell r="Q489" t="str">
            <v/>
          </cell>
          <cell r="T489" t="str">
            <v/>
          </cell>
          <cell r="U489" t="str">
            <v/>
          </cell>
          <cell r="W489" t="str">
            <v/>
          </cell>
          <cell r="X489" t="str">
            <v/>
          </cell>
          <cell r="AB489">
            <v>0</v>
          </cell>
          <cell r="AC489">
            <v>0</v>
          </cell>
          <cell r="AD489">
            <v>0</v>
          </cell>
          <cell r="AJ489">
            <v>0</v>
          </cell>
          <cell r="AK489">
            <v>0</v>
          </cell>
        </row>
        <row r="490">
          <cell r="B490" t="str">
            <v/>
          </cell>
          <cell r="H490" t="str">
            <v/>
          </cell>
          <cell r="J490" t="str">
            <v/>
          </cell>
          <cell r="N490" t="str">
            <v/>
          </cell>
          <cell r="O490" t="str">
            <v/>
          </cell>
          <cell r="P490" t="str">
            <v/>
          </cell>
          <cell r="Q490" t="str">
            <v/>
          </cell>
          <cell r="T490" t="str">
            <v/>
          </cell>
          <cell r="U490" t="str">
            <v/>
          </cell>
          <cell r="W490" t="str">
            <v/>
          </cell>
          <cell r="X490" t="str">
            <v/>
          </cell>
          <cell r="AB490">
            <v>0</v>
          </cell>
          <cell r="AC490">
            <v>0</v>
          </cell>
          <cell r="AD490">
            <v>0</v>
          </cell>
          <cell r="AJ490">
            <v>0</v>
          </cell>
          <cell r="AK490">
            <v>0</v>
          </cell>
        </row>
        <row r="491">
          <cell r="B491" t="str">
            <v/>
          </cell>
          <cell r="H491" t="str">
            <v/>
          </cell>
          <cell r="J491" t="str">
            <v/>
          </cell>
          <cell r="N491" t="str">
            <v/>
          </cell>
          <cell r="O491" t="str">
            <v/>
          </cell>
          <cell r="P491" t="str">
            <v/>
          </cell>
          <cell r="Q491" t="str">
            <v/>
          </cell>
          <cell r="T491" t="str">
            <v/>
          </cell>
          <cell r="U491" t="str">
            <v/>
          </cell>
          <cell r="W491" t="str">
            <v/>
          </cell>
          <cell r="X491" t="str">
            <v/>
          </cell>
          <cell r="AB491">
            <v>0</v>
          </cell>
          <cell r="AC491">
            <v>0</v>
          </cell>
          <cell r="AD491">
            <v>0</v>
          </cell>
          <cell r="AJ491">
            <v>0</v>
          </cell>
          <cell r="AK491">
            <v>0</v>
          </cell>
        </row>
        <row r="492">
          <cell r="B492" t="str">
            <v/>
          </cell>
          <cell r="H492" t="str">
            <v/>
          </cell>
          <cell r="J492" t="str">
            <v/>
          </cell>
          <cell r="N492" t="str">
            <v/>
          </cell>
          <cell r="O492" t="str">
            <v/>
          </cell>
          <cell r="P492" t="str">
            <v/>
          </cell>
          <cell r="Q492" t="str">
            <v/>
          </cell>
          <cell r="T492" t="str">
            <v/>
          </cell>
          <cell r="U492" t="str">
            <v/>
          </cell>
          <cell r="W492" t="str">
            <v/>
          </cell>
          <cell r="X492" t="str">
            <v/>
          </cell>
          <cell r="AB492">
            <v>0</v>
          </cell>
          <cell r="AC492">
            <v>0</v>
          </cell>
          <cell r="AD492">
            <v>0</v>
          </cell>
          <cell r="AJ492">
            <v>0</v>
          </cell>
          <cell r="AK492">
            <v>0</v>
          </cell>
        </row>
        <row r="493">
          <cell r="B493" t="str">
            <v/>
          </cell>
          <cell r="H493" t="str">
            <v/>
          </cell>
          <cell r="J493" t="str">
            <v/>
          </cell>
          <cell r="N493" t="str">
            <v/>
          </cell>
          <cell r="O493" t="str">
            <v/>
          </cell>
          <cell r="P493" t="str">
            <v/>
          </cell>
          <cell r="Q493" t="str">
            <v/>
          </cell>
          <cell r="T493" t="str">
            <v/>
          </cell>
          <cell r="U493" t="str">
            <v/>
          </cell>
          <cell r="W493" t="str">
            <v/>
          </cell>
          <cell r="X493" t="str">
            <v/>
          </cell>
          <cell r="AB493">
            <v>0</v>
          </cell>
          <cell r="AC493">
            <v>0</v>
          </cell>
          <cell r="AD493">
            <v>0</v>
          </cell>
          <cell r="AJ493">
            <v>0</v>
          </cell>
          <cell r="AK493">
            <v>0</v>
          </cell>
        </row>
        <row r="494">
          <cell r="B494" t="str">
            <v/>
          </cell>
          <cell r="H494" t="str">
            <v/>
          </cell>
          <cell r="J494" t="str">
            <v/>
          </cell>
          <cell r="N494" t="str">
            <v/>
          </cell>
          <cell r="O494" t="str">
            <v/>
          </cell>
          <cell r="P494" t="str">
            <v/>
          </cell>
          <cell r="Q494" t="str">
            <v/>
          </cell>
          <cell r="T494" t="str">
            <v/>
          </cell>
          <cell r="U494" t="str">
            <v/>
          </cell>
          <cell r="W494" t="str">
            <v/>
          </cell>
          <cell r="X494" t="str">
            <v/>
          </cell>
          <cell r="AB494">
            <v>0</v>
          </cell>
          <cell r="AC494">
            <v>0</v>
          </cell>
          <cell r="AD494">
            <v>0</v>
          </cell>
          <cell r="AJ494">
            <v>0</v>
          </cell>
          <cell r="AK494">
            <v>0</v>
          </cell>
        </row>
        <row r="495">
          <cell r="B495" t="str">
            <v/>
          </cell>
          <cell r="H495" t="str">
            <v/>
          </cell>
          <cell r="J495" t="str">
            <v/>
          </cell>
          <cell r="N495" t="str">
            <v/>
          </cell>
          <cell r="O495" t="str">
            <v/>
          </cell>
          <cell r="P495" t="str">
            <v/>
          </cell>
          <cell r="Q495" t="str">
            <v/>
          </cell>
          <cell r="T495" t="str">
            <v/>
          </cell>
          <cell r="U495" t="str">
            <v/>
          </cell>
          <cell r="W495" t="str">
            <v/>
          </cell>
          <cell r="X495" t="str">
            <v/>
          </cell>
          <cell r="AB495">
            <v>0</v>
          </cell>
          <cell r="AC495">
            <v>0</v>
          </cell>
          <cell r="AD495">
            <v>0</v>
          </cell>
          <cell r="AJ495">
            <v>0</v>
          </cell>
          <cell r="AK495">
            <v>0</v>
          </cell>
        </row>
        <row r="496">
          <cell r="B496" t="str">
            <v/>
          </cell>
          <cell r="H496" t="str">
            <v/>
          </cell>
          <cell r="J496" t="str">
            <v/>
          </cell>
          <cell r="N496" t="str">
            <v/>
          </cell>
          <cell r="O496" t="str">
            <v/>
          </cell>
          <cell r="P496" t="str">
            <v/>
          </cell>
          <cell r="Q496" t="str">
            <v/>
          </cell>
          <cell r="T496" t="str">
            <v/>
          </cell>
          <cell r="U496" t="str">
            <v/>
          </cell>
          <cell r="W496" t="str">
            <v/>
          </cell>
          <cell r="X496" t="str">
            <v/>
          </cell>
          <cell r="AB496">
            <v>0</v>
          </cell>
          <cell r="AC496">
            <v>0</v>
          </cell>
          <cell r="AD496">
            <v>0</v>
          </cell>
          <cell r="AJ496">
            <v>0</v>
          </cell>
          <cell r="AK496">
            <v>0</v>
          </cell>
        </row>
        <row r="497">
          <cell r="B497" t="str">
            <v/>
          </cell>
          <cell r="H497" t="str">
            <v/>
          </cell>
          <cell r="J497" t="str">
            <v/>
          </cell>
          <cell r="N497" t="str">
            <v/>
          </cell>
          <cell r="O497" t="str">
            <v/>
          </cell>
          <cell r="P497" t="str">
            <v/>
          </cell>
          <cell r="Q497" t="str">
            <v/>
          </cell>
          <cell r="T497" t="str">
            <v/>
          </cell>
          <cell r="U497" t="str">
            <v/>
          </cell>
          <cell r="W497" t="str">
            <v/>
          </cell>
          <cell r="X497" t="str">
            <v/>
          </cell>
          <cell r="AB497">
            <v>0</v>
          </cell>
          <cell r="AC497">
            <v>0</v>
          </cell>
          <cell r="AD497">
            <v>0</v>
          </cell>
          <cell r="AJ497">
            <v>0</v>
          </cell>
          <cell r="AK497">
            <v>0</v>
          </cell>
        </row>
        <row r="498">
          <cell r="B498" t="str">
            <v/>
          </cell>
          <cell r="H498" t="str">
            <v/>
          </cell>
          <cell r="J498" t="str">
            <v/>
          </cell>
          <cell r="N498" t="str">
            <v/>
          </cell>
          <cell r="O498" t="str">
            <v/>
          </cell>
          <cell r="P498" t="str">
            <v/>
          </cell>
          <cell r="Q498" t="str">
            <v/>
          </cell>
          <cell r="T498" t="str">
            <v/>
          </cell>
          <cell r="U498" t="str">
            <v/>
          </cell>
          <cell r="W498" t="str">
            <v/>
          </cell>
          <cell r="X498" t="str">
            <v/>
          </cell>
          <cell r="AB498">
            <v>0</v>
          </cell>
          <cell r="AC498">
            <v>0</v>
          </cell>
          <cell r="AD498">
            <v>0</v>
          </cell>
          <cell r="AJ498">
            <v>0</v>
          </cell>
          <cell r="AK498">
            <v>0</v>
          </cell>
        </row>
        <row r="499">
          <cell r="B499" t="str">
            <v/>
          </cell>
          <cell r="H499" t="str">
            <v/>
          </cell>
          <cell r="J499" t="str">
            <v/>
          </cell>
          <cell r="N499" t="str">
            <v/>
          </cell>
          <cell r="O499" t="str">
            <v/>
          </cell>
          <cell r="P499" t="str">
            <v/>
          </cell>
          <cell r="Q499" t="str">
            <v/>
          </cell>
          <cell r="T499" t="str">
            <v/>
          </cell>
          <cell r="U499" t="str">
            <v/>
          </cell>
          <cell r="W499" t="str">
            <v/>
          </cell>
          <cell r="X499" t="str">
            <v/>
          </cell>
          <cell r="AB499">
            <v>0</v>
          </cell>
          <cell r="AC499">
            <v>0</v>
          </cell>
          <cell r="AD499">
            <v>0</v>
          </cell>
          <cell r="AJ499">
            <v>0</v>
          </cell>
          <cell r="AK499">
            <v>0</v>
          </cell>
        </row>
        <row r="500">
          <cell r="B500" t="str">
            <v/>
          </cell>
          <cell r="H500" t="str">
            <v/>
          </cell>
          <cell r="J500" t="str">
            <v/>
          </cell>
          <cell r="N500" t="str">
            <v/>
          </cell>
          <cell r="O500" t="str">
            <v/>
          </cell>
          <cell r="P500" t="str">
            <v/>
          </cell>
          <cell r="Q500" t="str">
            <v/>
          </cell>
          <cell r="T500" t="str">
            <v/>
          </cell>
          <cell r="U500" t="str">
            <v/>
          </cell>
          <cell r="W500" t="str">
            <v/>
          </cell>
          <cell r="X500" t="str">
            <v/>
          </cell>
          <cell r="AB500">
            <v>0</v>
          </cell>
          <cell r="AC500">
            <v>0</v>
          </cell>
          <cell r="AD500">
            <v>0</v>
          </cell>
          <cell r="AJ500">
            <v>0</v>
          </cell>
          <cell r="AK500">
            <v>0</v>
          </cell>
        </row>
        <row r="501">
          <cell r="B501" t="str">
            <v/>
          </cell>
          <cell r="H501" t="str">
            <v/>
          </cell>
          <cell r="J501" t="str">
            <v/>
          </cell>
          <cell r="N501" t="str">
            <v/>
          </cell>
          <cell r="O501" t="str">
            <v/>
          </cell>
          <cell r="P501" t="str">
            <v/>
          </cell>
          <cell r="Q501" t="str">
            <v/>
          </cell>
          <cell r="T501" t="str">
            <v/>
          </cell>
          <cell r="U501" t="str">
            <v/>
          </cell>
          <cell r="W501" t="str">
            <v/>
          </cell>
          <cell r="X501" t="str">
            <v/>
          </cell>
          <cell r="AB501">
            <v>0</v>
          </cell>
          <cell r="AC501">
            <v>0</v>
          </cell>
          <cell r="AD501">
            <v>0</v>
          </cell>
          <cell r="AJ501">
            <v>0</v>
          </cell>
          <cell r="AK501">
            <v>0</v>
          </cell>
        </row>
        <row r="502">
          <cell r="B502" t="str">
            <v/>
          </cell>
          <cell r="H502" t="str">
            <v/>
          </cell>
          <cell r="J502" t="str">
            <v/>
          </cell>
          <cell r="N502" t="str">
            <v/>
          </cell>
          <cell r="O502" t="str">
            <v/>
          </cell>
          <cell r="P502" t="str">
            <v/>
          </cell>
          <cell r="Q502" t="str">
            <v/>
          </cell>
          <cell r="T502" t="str">
            <v/>
          </cell>
          <cell r="U502" t="str">
            <v/>
          </cell>
          <cell r="W502" t="str">
            <v/>
          </cell>
          <cell r="X502" t="str">
            <v/>
          </cell>
          <cell r="AB502">
            <v>0</v>
          </cell>
          <cell r="AC502">
            <v>0</v>
          </cell>
          <cell r="AD502">
            <v>0</v>
          </cell>
          <cell r="AJ502">
            <v>0</v>
          </cell>
          <cell r="AK502">
            <v>0</v>
          </cell>
        </row>
        <row r="503">
          <cell r="B503" t="str">
            <v/>
          </cell>
          <cell r="H503" t="str">
            <v/>
          </cell>
          <cell r="J503" t="str">
            <v/>
          </cell>
          <cell r="N503" t="str">
            <v/>
          </cell>
          <cell r="O503" t="str">
            <v/>
          </cell>
          <cell r="P503" t="str">
            <v/>
          </cell>
          <cell r="Q503" t="str">
            <v/>
          </cell>
          <cell r="T503" t="str">
            <v/>
          </cell>
          <cell r="U503" t="str">
            <v/>
          </cell>
          <cell r="W503" t="str">
            <v/>
          </cell>
          <cell r="X503" t="str">
            <v/>
          </cell>
          <cell r="AB503">
            <v>0</v>
          </cell>
          <cell r="AC503">
            <v>0</v>
          </cell>
          <cell r="AD503">
            <v>0</v>
          </cell>
          <cell r="AJ503">
            <v>0</v>
          </cell>
          <cell r="AK503">
            <v>0</v>
          </cell>
        </row>
        <row r="504">
          <cell r="B504" t="str">
            <v/>
          </cell>
          <cell r="H504" t="str">
            <v/>
          </cell>
          <cell r="J504" t="str">
            <v/>
          </cell>
          <cell r="N504" t="str">
            <v/>
          </cell>
          <cell r="O504" t="str">
            <v/>
          </cell>
          <cell r="P504" t="str">
            <v/>
          </cell>
          <cell r="Q504" t="str">
            <v/>
          </cell>
          <cell r="T504" t="str">
            <v/>
          </cell>
          <cell r="U504" t="str">
            <v/>
          </cell>
          <cell r="W504" t="str">
            <v/>
          </cell>
          <cell r="X504" t="str">
            <v/>
          </cell>
          <cell r="AB504">
            <v>0</v>
          </cell>
          <cell r="AC504">
            <v>0</v>
          </cell>
          <cell r="AD504">
            <v>0</v>
          </cell>
          <cell r="AJ504">
            <v>0</v>
          </cell>
          <cell r="AK504">
            <v>0</v>
          </cell>
        </row>
        <row r="505">
          <cell r="B505" t="str">
            <v/>
          </cell>
          <cell r="H505" t="str">
            <v/>
          </cell>
          <cell r="J505" t="str">
            <v/>
          </cell>
          <cell r="N505" t="str">
            <v/>
          </cell>
          <cell r="O505" t="str">
            <v/>
          </cell>
          <cell r="P505" t="str">
            <v/>
          </cell>
          <cell r="Q505" t="str">
            <v/>
          </cell>
          <cell r="T505" t="str">
            <v/>
          </cell>
          <cell r="U505" t="str">
            <v/>
          </cell>
          <cell r="W505" t="str">
            <v/>
          </cell>
          <cell r="X505" t="str">
            <v/>
          </cell>
          <cell r="AB505">
            <v>0</v>
          </cell>
          <cell r="AC505">
            <v>0</v>
          </cell>
          <cell r="AD505">
            <v>0</v>
          </cell>
          <cell r="AJ505">
            <v>0</v>
          </cell>
          <cell r="AK505">
            <v>0</v>
          </cell>
        </row>
        <row r="506">
          <cell r="B506" t="str">
            <v/>
          </cell>
          <cell r="H506" t="str">
            <v/>
          </cell>
          <cell r="J506" t="str">
            <v/>
          </cell>
          <cell r="N506" t="str">
            <v/>
          </cell>
          <cell r="O506" t="str">
            <v/>
          </cell>
          <cell r="P506" t="str">
            <v/>
          </cell>
          <cell r="Q506" t="str">
            <v/>
          </cell>
          <cell r="T506" t="str">
            <v/>
          </cell>
          <cell r="U506" t="str">
            <v/>
          </cell>
          <cell r="W506" t="str">
            <v/>
          </cell>
          <cell r="X506" t="str">
            <v/>
          </cell>
          <cell r="AB506">
            <v>0</v>
          </cell>
          <cell r="AC506">
            <v>0</v>
          </cell>
          <cell r="AD506">
            <v>0</v>
          </cell>
          <cell r="AJ506">
            <v>0</v>
          </cell>
          <cell r="AK506">
            <v>0</v>
          </cell>
        </row>
        <row r="507">
          <cell r="B507" t="str">
            <v/>
          </cell>
          <cell r="H507" t="str">
            <v/>
          </cell>
          <cell r="J507" t="str">
            <v/>
          </cell>
          <cell r="N507" t="str">
            <v/>
          </cell>
          <cell r="O507" t="str">
            <v/>
          </cell>
          <cell r="P507" t="str">
            <v/>
          </cell>
          <cell r="Q507" t="str">
            <v/>
          </cell>
          <cell r="T507" t="str">
            <v/>
          </cell>
          <cell r="U507" t="str">
            <v/>
          </cell>
          <cell r="W507" t="str">
            <v/>
          </cell>
          <cell r="X507" t="str">
            <v/>
          </cell>
          <cell r="AB507">
            <v>0</v>
          </cell>
          <cell r="AC507">
            <v>0</v>
          </cell>
          <cell r="AD507">
            <v>0</v>
          </cell>
          <cell r="AJ507">
            <v>0</v>
          </cell>
          <cell r="AK507">
            <v>0</v>
          </cell>
        </row>
        <row r="508">
          <cell r="B508" t="str">
            <v/>
          </cell>
          <cell r="H508" t="str">
            <v/>
          </cell>
          <cell r="J508" t="str">
            <v/>
          </cell>
          <cell r="N508" t="str">
            <v/>
          </cell>
          <cell r="O508" t="str">
            <v/>
          </cell>
          <cell r="P508" t="str">
            <v/>
          </cell>
          <cell r="Q508" t="str">
            <v/>
          </cell>
          <cell r="T508" t="str">
            <v/>
          </cell>
          <cell r="U508" t="str">
            <v/>
          </cell>
          <cell r="W508" t="str">
            <v/>
          </cell>
          <cell r="X508" t="str">
            <v/>
          </cell>
          <cell r="AB508">
            <v>0</v>
          </cell>
          <cell r="AC508">
            <v>0</v>
          </cell>
          <cell r="AD508">
            <v>0</v>
          </cell>
          <cell r="AJ508">
            <v>0</v>
          </cell>
          <cell r="AK508">
            <v>0</v>
          </cell>
        </row>
        <row r="509">
          <cell r="B509" t="str">
            <v/>
          </cell>
          <cell r="H509" t="str">
            <v/>
          </cell>
          <cell r="J509" t="str">
            <v/>
          </cell>
          <cell r="N509" t="str">
            <v/>
          </cell>
          <cell r="O509" t="str">
            <v/>
          </cell>
          <cell r="P509" t="str">
            <v/>
          </cell>
          <cell r="Q509" t="str">
            <v/>
          </cell>
          <cell r="T509" t="str">
            <v/>
          </cell>
          <cell r="U509" t="str">
            <v/>
          </cell>
          <cell r="W509" t="str">
            <v/>
          </cell>
          <cell r="X509" t="str">
            <v/>
          </cell>
          <cell r="AB509">
            <v>0</v>
          </cell>
          <cell r="AC509">
            <v>0</v>
          </cell>
          <cell r="AD509">
            <v>0</v>
          </cell>
          <cell r="AJ509">
            <v>0</v>
          </cell>
          <cell r="AK509">
            <v>0</v>
          </cell>
        </row>
        <row r="510">
          <cell r="B510" t="str">
            <v/>
          </cell>
          <cell r="H510" t="str">
            <v/>
          </cell>
          <cell r="J510" t="str">
            <v/>
          </cell>
          <cell r="N510" t="str">
            <v/>
          </cell>
          <cell r="O510" t="str">
            <v/>
          </cell>
          <cell r="P510" t="str">
            <v/>
          </cell>
          <cell r="Q510" t="str">
            <v/>
          </cell>
          <cell r="T510" t="str">
            <v/>
          </cell>
          <cell r="U510" t="str">
            <v/>
          </cell>
          <cell r="W510" t="str">
            <v/>
          </cell>
          <cell r="X510" t="str">
            <v/>
          </cell>
          <cell r="AB510">
            <v>0</v>
          </cell>
          <cell r="AC510">
            <v>0</v>
          </cell>
          <cell r="AD510">
            <v>0</v>
          </cell>
          <cell r="AJ510">
            <v>0</v>
          </cell>
          <cell r="AK510">
            <v>0</v>
          </cell>
        </row>
        <row r="511">
          <cell r="B511" t="str">
            <v/>
          </cell>
          <cell r="H511" t="str">
            <v/>
          </cell>
          <cell r="J511" t="str">
            <v/>
          </cell>
          <cell r="N511" t="str">
            <v/>
          </cell>
          <cell r="O511" t="str">
            <v/>
          </cell>
          <cell r="P511" t="str">
            <v/>
          </cell>
          <cell r="Q511" t="str">
            <v/>
          </cell>
          <cell r="T511" t="str">
            <v/>
          </cell>
          <cell r="U511" t="str">
            <v/>
          </cell>
          <cell r="W511" t="str">
            <v/>
          </cell>
          <cell r="X511" t="str">
            <v/>
          </cell>
          <cell r="AB511">
            <v>0</v>
          </cell>
          <cell r="AC511">
            <v>0</v>
          </cell>
          <cell r="AD511">
            <v>0</v>
          </cell>
          <cell r="AJ511">
            <v>0</v>
          </cell>
          <cell r="AK511">
            <v>0</v>
          </cell>
        </row>
        <row r="512">
          <cell r="B512" t="str">
            <v/>
          </cell>
          <cell r="H512" t="str">
            <v/>
          </cell>
          <cell r="J512" t="str">
            <v/>
          </cell>
          <cell r="N512" t="str">
            <v/>
          </cell>
          <cell r="O512" t="str">
            <v/>
          </cell>
          <cell r="P512" t="str">
            <v/>
          </cell>
          <cell r="Q512" t="str">
            <v/>
          </cell>
          <cell r="T512" t="str">
            <v/>
          </cell>
          <cell r="U512" t="str">
            <v/>
          </cell>
          <cell r="W512" t="str">
            <v/>
          </cell>
          <cell r="X512" t="str">
            <v/>
          </cell>
          <cell r="AB512">
            <v>0</v>
          </cell>
          <cell r="AC512">
            <v>0</v>
          </cell>
          <cell r="AD512">
            <v>0</v>
          </cell>
          <cell r="AJ512">
            <v>0</v>
          </cell>
          <cell r="AK512">
            <v>0</v>
          </cell>
        </row>
        <row r="513">
          <cell r="B513" t="str">
            <v/>
          </cell>
          <cell r="H513" t="str">
            <v/>
          </cell>
          <cell r="J513" t="str">
            <v/>
          </cell>
          <cell r="N513" t="str">
            <v/>
          </cell>
          <cell r="O513" t="str">
            <v/>
          </cell>
          <cell r="P513" t="str">
            <v/>
          </cell>
          <cell r="Q513" t="str">
            <v/>
          </cell>
          <cell r="T513" t="str">
            <v/>
          </cell>
          <cell r="U513" t="str">
            <v/>
          </cell>
          <cell r="W513" t="str">
            <v/>
          </cell>
          <cell r="X513" t="str">
            <v/>
          </cell>
          <cell r="AB513">
            <v>0</v>
          </cell>
          <cell r="AC513">
            <v>0</v>
          </cell>
          <cell r="AD513">
            <v>0</v>
          </cell>
          <cell r="AJ513">
            <v>0</v>
          </cell>
          <cell r="AK513">
            <v>0</v>
          </cell>
        </row>
        <row r="514">
          <cell r="B514" t="str">
            <v/>
          </cell>
          <cell r="H514" t="str">
            <v/>
          </cell>
          <cell r="J514" t="str">
            <v/>
          </cell>
          <cell r="N514" t="str">
            <v/>
          </cell>
          <cell r="O514" t="str">
            <v/>
          </cell>
          <cell r="P514" t="str">
            <v/>
          </cell>
          <cell r="Q514" t="str">
            <v/>
          </cell>
          <cell r="T514" t="str">
            <v/>
          </cell>
          <cell r="U514" t="str">
            <v/>
          </cell>
          <cell r="W514" t="str">
            <v/>
          </cell>
          <cell r="X514" t="str">
            <v/>
          </cell>
          <cell r="AB514">
            <v>0</v>
          </cell>
          <cell r="AC514">
            <v>0</v>
          </cell>
          <cell r="AD514">
            <v>0</v>
          </cell>
          <cell r="AJ514">
            <v>0</v>
          </cell>
          <cell r="AK514">
            <v>0</v>
          </cell>
        </row>
        <row r="515">
          <cell r="B515" t="str">
            <v/>
          </cell>
          <cell r="H515" t="str">
            <v/>
          </cell>
          <cell r="J515" t="str">
            <v/>
          </cell>
          <cell r="N515" t="str">
            <v/>
          </cell>
          <cell r="O515" t="str">
            <v/>
          </cell>
          <cell r="P515" t="str">
            <v/>
          </cell>
          <cell r="Q515" t="str">
            <v/>
          </cell>
          <cell r="T515" t="str">
            <v/>
          </cell>
          <cell r="U515" t="str">
            <v/>
          </cell>
          <cell r="W515" t="str">
            <v/>
          </cell>
          <cell r="X515" t="str">
            <v/>
          </cell>
          <cell r="AB515">
            <v>0</v>
          </cell>
          <cell r="AC515">
            <v>0</v>
          </cell>
          <cell r="AD515">
            <v>0</v>
          </cell>
          <cell r="AJ515">
            <v>0</v>
          </cell>
          <cell r="AK515">
            <v>0</v>
          </cell>
        </row>
        <row r="516">
          <cell r="B516" t="str">
            <v/>
          </cell>
          <cell r="H516" t="str">
            <v/>
          </cell>
          <cell r="J516" t="str">
            <v/>
          </cell>
          <cell r="N516" t="str">
            <v/>
          </cell>
          <cell r="O516" t="str">
            <v/>
          </cell>
          <cell r="P516" t="str">
            <v/>
          </cell>
          <cell r="Q516" t="str">
            <v/>
          </cell>
          <cell r="T516" t="str">
            <v/>
          </cell>
          <cell r="U516" t="str">
            <v/>
          </cell>
          <cell r="W516" t="str">
            <v/>
          </cell>
          <cell r="X516" t="str">
            <v/>
          </cell>
          <cell r="AB516">
            <v>0</v>
          </cell>
          <cell r="AC516">
            <v>0</v>
          </cell>
          <cell r="AD516">
            <v>0</v>
          </cell>
          <cell r="AJ516">
            <v>0</v>
          </cell>
          <cell r="AK516">
            <v>0</v>
          </cell>
        </row>
        <row r="517">
          <cell r="B517" t="str">
            <v/>
          </cell>
          <cell r="H517" t="str">
            <v/>
          </cell>
          <cell r="J517" t="str">
            <v/>
          </cell>
          <cell r="N517" t="str">
            <v/>
          </cell>
          <cell r="O517" t="str">
            <v/>
          </cell>
          <cell r="P517" t="str">
            <v/>
          </cell>
          <cell r="Q517" t="str">
            <v/>
          </cell>
          <cell r="T517" t="str">
            <v/>
          </cell>
          <cell r="U517" t="str">
            <v/>
          </cell>
          <cell r="W517" t="str">
            <v/>
          </cell>
          <cell r="X517" t="str">
            <v/>
          </cell>
          <cell r="AB517">
            <v>0</v>
          </cell>
          <cell r="AC517">
            <v>0</v>
          </cell>
          <cell r="AD517">
            <v>0</v>
          </cell>
          <cell r="AJ517">
            <v>0</v>
          </cell>
          <cell r="AK517">
            <v>0</v>
          </cell>
        </row>
        <row r="518">
          <cell r="B518" t="str">
            <v/>
          </cell>
          <cell r="H518" t="str">
            <v/>
          </cell>
          <cell r="J518" t="str">
            <v/>
          </cell>
          <cell r="N518" t="str">
            <v/>
          </cell>
          <cell r="O518" t="str">
            <v/>
          </cell>
          <cell r="P518" t="str">
            <v/>
          </cell>
          <cell r="Q518" t="str">
            <v/>
          </cell>
          <cell r="T518" t="str">
            <v/>
          </cell>
          <cell r="U518" t="str">
            <v/>
          </cell>
          <cell r="W518" t="str">
            <v/>
          </cell>
          <cell r="X518" t="str">
            <v/>
          </cell>
          <cell r="AB518">
            <v>0</v>
          </cell>
          <cell r="AC518">
            <v>0</v>
          </cell>
          <cell r="AD518">
            <v>0</v>
          </cell>
          <cell r="AJ518">
            <v>0</v>
          </cell>
          <cell r="AK518">
            <v>0</v>
          </cell>
        </row>
        <row r="519">
          <cell r="B519" t="str">
            <v/>
          </cell>
          <cell r="H519" t="str">
            <v/>
          </cell>
          <cell r="J519" t="str">
            <v/>
          </cell>
          <cell r="N519" t="str">
            <v/>
          </cell>
          <cell r="O519" t="str">
            <v/>
          </cell>
          <cell r="P519" t="str">
            <v/>
          </cell>
          <cell r="Q519" t="str">
            <v/>
          </cell>
          <cell r="T519" t="str">
            <v/>
          </cell>
          <cell r="U519" t="str">
            <v/>
          </cell>
          <cell r="W519" t="str">
            <v/>
          </cell>
          <cell r="X519" t="str">
            <v/>
          </cell>
          <cell r="AB519">
            <v>0</v>
          </cell>
          <cell r="AC519">
            <v>0</v>
          </cell>
          <cell r="AD519">
            <v>0</v>
          </cell>
          <cell r="AJ519">
            <v>0</v>
          </cell>
          <cell r="AK519">
            <v>0</v>
          </cell>
        </row>
        <row r="520">
          <cell r="B520" t="str">
            <v/>
          </cell>
          <cell r="H520" t="str">
            <v/>
          </cell>
          <cell r="J520" t="str">
            <v/>
          </cell>
          <cell r="N520" t="str">
            <v/>
          </cell>
          <cell r="O520" t="str">
            <v/>
          </cell>
          <cell r="P520" t="str">
            <v/>
          </cell>
          <cell r="Q520" t="str">
            <v/>
          </cell>
          <cell r="T520" t="str">
            <v/>
          </cell>
          <cell r="U520" t="str">
            <v/>
          </cell>
          <cell r="W520" t="str">
            <v/>
          </cell>
          <cell r="X520" t="str">
            <v/>
          </cell>
          <cell r="AB520">
            <v>0</v>
          </cell>
          <cell r="AC520">
            <v>0</v>
          </cell>
          <cell r="AD520">
            <v>0</v>
          </cell>
          <cell r="AJ520">
            <v>0</v>
          </cell>
          <cell r="AK520">
            <v>0</v>
          </cell>
        </row>
        <row r="521">
          <cell r="B521" t="str">
            <v/>
          </cell>
          <cell r="H521" t="str">
            <v/>
          </cell>
          <cell r="J521" t="str">
            <v/>
          </cell>
          <cell r="N521" t="str">
            <v/>
          </cell>
          <cell r="O521" t="str">
            <v/>
          </cell>
          <cell r="P521" t="str">
            <v/>
          </cell>
          <cell r="Q521" t="str">
            <v/>
          </cell>
          <cell r="T521" t="str">
            <v/>
          </cell>
          <cell r="U521" t="str">
            <v/>
          </cell>
          <cell r="W521" t="str">
            <v/>
          </cell>
          <cell r="X521" t="str">
            <v/>
          </cell>
          <cell r="AB521">
            <v>0</v>
          </cell>
          <cell r="AC521">
            <v>0</v>
          </cell>
          <cell r="AD521">
            <v>0</v>
          </cell>
          <cell r="AJ521">
            <v>0</v>
          </cell>
          <cell r="AK521">
            <v>0</v>
          </cell>
        </row>
        <row r="522">
          <cell r="B522" t="str">
            <v/>
          </cell>
          <cell r="H522" t="str">
            <v/>
          </cell>
          <cell r="J522" t="str">
            <v/>
          </cell>
          <cell r="N522" t="str">
            <v/>
          </cell>
          <cell r="O522" t="str">
            <v/>
          </cell>
          <cell r="P522" t="str">
            <v/>
          </cell>
          <cell r="Q522" t="str">
            <v/>
          </cell>
          <cell r="T522" t="str">
            <v/>
          </cell>
          <cell r="U522" t="str">
            <v/>
          </cell>
          <cell r="W522" t="str">
            <v/>
          </cell>
          <cell r="X522" t="str">
            <v/>
          </cell>
          <cell r="AB522">
            <v>0</v>
          </cell>
          <cell r="AC522">
            <v>0</v>
          </cell>
          <cell r="AD522">
            <v>0</v>
          </cell>
          <cell r="AJ522">
            <v>0</v>
          </cell>
          <cell r="AK522">
            <v>0</v>
          </cell>
        </row>
        <row r="523">
          <cell r="B523" t="str">
            <v/>
          </cell>
          <cell r="H523" t="str">
            <v/>
          </cell>
          <cell r="J523" t="str">
            <v/>
          </cell>
          <cell r="N523" t="str">
            <v/>
          </cell>
          <cell r="O523" t="str">
            <v/>
          </cell>
          <cell r="P523" t="str">
            <v/>
          </cell>
          <cell r="Q523" t="str">
            <v/>
          </cell>
          <cell r="T523" t="str">
            <v/>
          </cell>
          <cell r="U523" t="str">
            <v/>
          </cell>
          <cell r="W523" t="str">
            <v/>
          </cell>
          <cell r="X523" t="str">
            <v/>
          </cell>
          <cell r="AB523">
            <v>0</v>
          </cell>
          <cell r="AC523">
            <v>0</v>
          </cell>
          <cell r="AD523">
            <v>0</v>
          </cell>
          <cell r="AJ523">
            <v>0</v>
          </cell>
          <cell r="AK523">
            <v>0</v>
          </cell>
        </row>
        <row r="524">
          <cell r="B524" t="str">
            <v/>
          </cell>
          <cell r="H524" t="str">
            <v/>
          </cell>
          <cell r="J524" t="str">
            <v/>
          </cell>
          <cell r="N524" t="str">
            <v/>
          </cell>
          <cell r="O524" t="str">
            <v/>
          </cell>
          <cell r="P524" t="str">
            <v/>
          </cell>
          <cell r="Q524" t="str">
            <v/>
          </cell>
          <cell r="T524" t="str">
            <v/>
          </cell>
          <cell r="U524" t="str">
            <v/>
          </cell>
          <cell r="W524" t="str">
            <v/>
          </cell>
          <cell r="X524" t="str">
            <v/>
          </cell>
          <cell r="AB524">
            <v>0</v>
          </cell>
          <cell r="AC524">
            <v>0</v>
          </cell>
          <cell r="AD524">
            <v>0</v>
          </cell>
          <cell r="AJ524">
            <v>0</v>
          </cell>
          <cell r="AK524">
            <v>0</v>
          </cell>
        </row>
        <row r="525">
          <cell r="B525" t="str">
            <v/>
          </cell>
          <cell r="H525" t="str">
            <v/>
          </cell>
          <cell r="J525" t="str">
            <v/>
          </cell>
          <cell r="N525" t="str">
            <v/>
          </cell>
          <cell r="O525" t="str">
            <v/>
          </cell>
          <cell r="P525" t="str">
            <v/>
          </cell>
          <cell r="Q525" t="str">
            <v/>
          </cell>
          <cell r="T525" t="str">
            <v/>
          </cell>
          <cell r="U525" t="str">
            <v/>
          </cell>
          <cell r="W525" t="str">
            <v/>
          </cell>
          <cell r="X525" t="str">
            <v/>
          </cell>
          <cell r="AB525">
            <v>0</v>
          </cell>
          <cell r="AC525">
            <v>0</v>
          </cell>
          <cell r="AD525">
            <v>0</v>
          </cell>
          <cell r="AJ525">
            <v>0</v>
          </cell>
          <cell r="AK525">
            <v>0</v>
          </cell>
        </row>
        <row r="526">
          <cell r="B526" t="str">
            <v/>
          </cell>
          <cell r="H526" t="str">
            <v/>
          </cell>
          <cell r="J526" t="str">
            <v/>
          </cell>
          <cell r="N526" t="str">
            <v/>
          </cell>
          <cell r="O526" t="str">
            <v/>
          </cell>
          <cell r="P526" t="str">
            <v/>
          </cell>
          <cell r="Q526" t="str">
            <v/>
          </cell>
          <cell r="T526" t="str">
            <v/>
          </cell>
          <cell r="U526" t="str">
            <v/>
          </cell>
          <cell r="W526" t="str">
            <v/>
          </cell>
          <cell r="X526" t="str">
            <v/>
          </cell>
          <cell r="AB526">
            <v>0</v>
          </cell>
          <cell r="AC526">
            <v>0</v>
          </cell>
          <cell r="AD526">
            <v>0</v>
          </cell>
          <cell r="AJ526">
            <v>0</v>
          </cell>
          <cell r="AK526">
            <v>0</v>
          </cell>
        </row>
        <row r="527">
          <cell r="B527" t="str">
            <v/>
          </cell>
          <cell r="H527" t="str">
            <v/>
          </cell>
          <cell r="J527" t="str">
            <v/>
          </cell>
          <cell r="N527" t="str">
            <v/>
          </cell>
          <cell r="O527" t="str">
            <v/>
          </cell>
          <cell r="P527" t="str">
            <v/>
          </cell>
          <cell r="Q527" t="str">
            <v/>
          </cell>
          <cell r="T527" t="str">
            <v/>
          </cell>
          <cell r="U527" t="str">
            <v/>
          </cell>
          <cell r="W527" t="str">
            <v/>
          </cell>
          <cell r="X527" t="str">
            <v/>
          </cell>
          <cell r="AB527">
            <v>0</v>
          </cell>
          <cell r="AC527">
            <v>0</v>
          </cell>
          <cell r="AD527">
            <v>0</v>
          </cell>
          <cell r="AJ527">
            <v>0</v>
          </cell>
          <cell r="AK527">
            <v>0</v>
          </cell>
        </row>
        <row r="528">
          <cell r="B528" t="str">
            <v/>
          </cell>
          <cell r="H528" t="str">
            <v/>
          </cell>
          <cell r="J528" t="str">
            <v/>
          </cell>
          <cell r="N528" t="str">
            <v/>
          </cell>
          <cell r="O528" t="str">
            <v/>
          </cell>
          <cell r="P528" t="str">
            <v/>
          </cell>
          <cell r="Q528" t="str">
            <v/>
          </cell>
          <cell r="T528" t="str">
            <v/>
          </cell>
          <cell r="U528" t="str">
            <v/>
          </cell>
          <cell r="W528" t="str">
            <v/>
          </cell>
          <cell r="X528" t="str">
            <v/>
          </cell>
          <cell r="AB528">
            <v>0</v>
          </cell>
          <cell r="AC528">
            <v>0</v>
          </cell>
          <cell r="AD528">
            <v>0</v>
          </cell>
          <cell r="AJ528">
            <v>0</v>
          </cell>
          <cell r="AK528">
            <v>0</v>
          </cell>
        </row>
        <row r="529">
          <cell r="B529" t="str">
            <v/>
          </cell>
          <cell r="H529" t="str">
            <v/>
          </cell>
          <cell r="J529" t="str">
            <v/>
          </cell>
          <cell r="N529" t="str">
            <v/>
          </cell>
          <cell r="O529" t="str">
            <v/>
          </cell>
          <cell r="P529" t="str">
            <v/>
          </cell>
          <cell r="Q529" t="str">
            <v/>
          </cell>
          <cell r="T529" t="str">
            <v/>
          </cell>
          <cell r="U529" t="str">
            <v/>
          </cell>
          <cell r="W529" t="str">
            <v/>
          </cell>
          <cell r="X529" t="str">
            <v/>
          </cell>
          <cell r="AB529">
            <v>0</v>
          </cell>
          <cell r="AC529">
            <v>0</v>
          </cell>
          <cell r="AD529">
            <v>0</v>
          </cell>
          <cell r="AJ529">
            <v>0</v>
          </cell>
          <cell r="AK529">
            <v>0</v>
          </cell>
        </row>
        <row r="530">
          <cell r="B530" t="str">
            <v/>
          </cell>
          <cell r="H530" t="str">
            <v/>
          </cell>
          <cell r="J530" t="str">
            <v/>
          </cell>
          <cell r="N530" t="str">
            <v/>
          </cell>
          <cell r="O530" t="str">
            <v/>
          </cell>
          <cell r="P530" t="str">
            <v/>
          </cell>
          <cell r="Q530" t="str">
            <v/>
          </cell>
          <cell r="T530" t="str">
            <v/>
          </cell>
          <cell r="U530" t="str">
            <v/>
          </cell>
          <cell r="W530" t="str">
            <v/>
          </cell>
          <cell r="X530" t="str">
            <v/>
          </cell>
          <cell r="AB530">
            <v>0</v>
          </cell>
          <cell r="AC530">
            <v>0</v>
          </cell>
          <cell r="AD530">
            <v>0</v>
          </cell>
          <cell r="AJ530">
            <v>0</v>
          </cell>
          <cell r="AK530">
            <v>0</v>
          </cell>
        </row>
        <row r="531">
          <cell r="B531" t="str">
            <v/>
          </cell>
          <cell r="H531" t="str">
            <v/>
          </cell>
          <cell r="J531" t="str">
            <v/>
          </cell>
          <cell r="N531" t="str">
            <v/>
          </cell>
          <cell r="O531" t="str">
            <v/>
          </cell>
          <cell r="P531" t="str">
            <v/>
          </cell>
          <cell r="Q531" t="str">
            <v/>
          </cell>
          <cell r="T531" t="str">
            <v/>
          </cell>
          <cell r="U531" t="str">
            <v/>
          </cell>
          <cell r="W531" t="str">
            <v/>
          </cell>
          <cell r="X531" t="str">
            <v/>
          </cell>
          <cell r="AB531">
            <v>0</v>
          </cell>
          <cell r="AC531">
            <v>0</v>
          </cell>
          <cell r="AD531">
            <v>0</v>
          </cell>
          <cell r="AJ531">
            <v>0</v>
          </cell>
          <cell r="AK531">
            <v>0</v>
          </cell>
        </row>
        <row r="532">
          <cell r="B532" t="str">
            <v/>
          </cell>
          <cell r="H532" t="str">
            <v/>
          </cell>
          <cell r="J532" t="str">
            <v/>
          </cell>
          <cell r="N532" t="str">
            <v/>
          </cell>
          <cell r="O532" t="str">
            <v/>
          </cell>
          <cell r="P532" t="str">
            <v/>
          </cell>
          <cell r="Q532" t="str">
            <v/>
          </cell>
          <cell r="T532" t="str">
            <v/>
          </cell>
          <cell r="U532" t="str">
            <v/>
          </cell>
          <cell r="W532" t="str">
            <v/>
          </cell>
          <cell r="X532" t="str">
            <v/>
          </cell>
          <cell r="AB532">
            <v>0</v>
          </cell>
          <cell r="AC532">
            <v>0</v>
          </cell>
          <cell r="AD532">
            <v>0</v>
          </cell>
          <cell r="AJ532">
            <v>0</v>
          </cell>
          <cell r="AK532">
            <v>0</v>
          </cell>
        </row>
        <row r="533">
          <cell r="B533" t="str">
            <v/>
          </cell>
          <cell r="H533" t="str">
            <v/>
          </cell>
          <cell r="J533" t="str">
            <v/>
          </cell>
          <cell r="N533" t="str">
            <v/>
          </cell>
          <cell r="O533" t="str">
            <v/>
          </cell>
          <cell r="P533" t="str">
            <v/>
          </cell>
          <cell r="Q533" t="str">
            <v/>
          </cell>
          <cell r="T533" t="str">
            <v/>
          </cell>
          <cell r="U533" t="str">
            <v/>
          </cell>
          <cell r="W533" t="str">
            <v/>
          </cell>
          <cell r="X533" t="str">
            <v/>
          </cell>
          <cell r="AB533">
            <v>0</v>
          </cell>
          <cell r="AC533">
            <v>0</v>
          </cell>
          <cell r="AD533">
            <v>0</v>
          </cell>
          <cell r="AJ533">
            <v>0</v>
          </cell>
          <cell r="AK533">
            <v>0</v>
          </cell>
        </row>
        <row r="534">
          <cell r="B534" t="str">
            <v/>
          </cell>
          <cell r="H534" t="str">
            <v/>
          </cell>
          <cell r="J534" t="str">
            <v/>
          </cell>
          <cell r="N534" t="str">
            <v/>
          </cell>
          <cell r="O534" t="str">
            <v/>
          </cell>
          <cell r="P534" t="str">
            <v/>
          </cell>
          <cell r="Q534" t="str">
            <v/>
          </cell>
          <cell r="T534" t="str">
            <v/>
          </cell>
          <cell r="U534" t="str">
            <v/>
          </cell>
          <cell r="W534" t="str">
            <v/>
          </cell>
          <cell r="X534" t="str">
            <v/>
          </cell>
          <cell r="AB534">
            <v>0</v>
          </cell>
          <cell r="AC534">
            <v>0</v>
          </cell>
          <cell r="AD534">
            <v>0</v>
          </cell>
          <cell r="AJ534">
            <v>0</v>
          </cell>
          <cell r="AK534">
            <v>0</v>
          </cell>
        </row>
        <row r="535">
          <cell r="B535" t="str">
            <v/>
          </cell>
          <cell r="H535" t="str">
            <v/>
          </cell>
          <cell r="J535" t="str">
            <v/>
          </cell>
          <cell r="N535" t="str">
            <v/>
          </cell>
          <cell r="O535" t="str">
            <v/>
          </cell>
          <cell r="P535" t="str">
            <v/>
          </cell>
          <cell r="Q535" t="str">
            <v/>
          </cell>
          <cell r="T535" t="str">
            <v/>
          </cell>
          <cell r="U535" t="str">
            <v/>
          </cell>
          <cell r="W535" t="str">
            <v/>
          </cell>
          <cell r="X535" t="str">
            <v/>
          </cell>
          <cell r="AB535">
            <v>0</v>
          </cell>
          <cell r="AC535">
            <v>0</v>
          </cell>
          <cell r="AD535">
            <v>0</v>
          </cell>
          <cell r="AJ535">
            <v>0</v>
          </cell>
          <cell r="AK535">
            <v>0</v>
          </cell>
        </row>
        <row r="536">
          <cell r="B536" t="str">
            <v/>
          </cell>
          <cell r="H536" t="str">
            <v/>
          </cell>
          <cell r="J536" t="str">
            <v/>
          </cell>
          <cell r="N536" t="str">
            <v/>
          </cell>
          <cell r="O536" t="str">
            <v/>
          </cell>
          <cell r="P536" t="str">
            <v/>
          </cell>
          <cell r="Q536" t="str">
            <v/>
          </cell>
          <cell r="T536" t="str">
            <v/>
          </cell>
          <cell r="U536" t="str">
            <v/>
          </cell>
          <cell r="W536" t="str">
            <v/>
          </cell>
          <cell r="X536" t="str">
            <v/>
          </cell>
          <cell r="AB536">
            <v>0</v>
          </cell>
          <cell r="AC536">
            <v>0</v>
          </cell>
          <cell r="AD536">
            <v>0</v>
          </cell>
          <cell r="AJ536">
            <v>0</v>
          </cell>
          <cell r="AK536">
            <v>0</v>
          </cell>
        </row>
        <row r="537">
          <cell r="B537" t="str">
            <v/>
          </cell>
          <cell r="H537" t="str">
            <v/>
          </cell>
          <cell r="J537" t="str">
            <v/>
          </cell>
          <cell r="N537" t="str">
            <v/>
          </cell>
          <cell r="O537" t="str">
            <v/>
          </cell>
          <cell r="P537" t="str">
            <v/>
          </cell>
          <cell r="Q537" t="str">
            <v/>
          </cell>
          <cell r="T537" t="str">
            <v/>
          </cell>
          <cell r="U537" t="str">
            <v/>
          </cell>
          <cell r="W537" t="str">
            <v/>
          </cell>
          <cell r="X537" t="str">
            <v/>
          </cell>
          <cell r="AB537">
            <v>0</v>
          </cell>
          <cell r="AC537">
            <v>0</v>
          </cell>
          <cell r="AD537">
            <v>0</v>
          </cell>
          <cell r="AJ537">
            <v>0</v>
          </cell>
          <cell r="AK537">
            <v>0</v>
          </cell>
        </row>
        <row r="538">
          <cell r="B538" t="str">
            <v/>
          </cell>
          <cell r="H538" t="str">
            <v/>
          </cell>
          <cell r="J538" t="str">
            <v/>
          </cell>
          <cell r="N538" t="str">
            <v/>
          </cell>
          <cell r="O538" t="str">
            <v/>
          </cell>
          <cell r="P538" t="str">
            <v/>
          </cell>
          <cell r="Q538" t="str">
            <v/>
          </cell>
          <cell r="T538" t="str">
            <v/>
          </cell>
          <cell r="U538" t="str">
            <v/>
          </cell>
          <cell r="W538" t="str">
            <v/>
          </cell>
          <cell r="X538" t="str">
            <v/>
          </cell>
          <cell r="AB538">
            <v>0</v>
          </cell>
          <cell r="AC538">
            <v>0</v>
          </cell>
          <cell r="AD538">
            <v>0</v>
          </cell>
          <cell r="AJ538">
            <v>0</v>
          </cell>
          <cell r="AK538">
            <v>0</v>
          </cell>
        </row>
        <row r="539">
          <cell r="B539" t="str">
            <v/>
          </cell>
          <cell r="H539" t="str">
            <v/>
          </cell>
          <cell r="J539" t="str">
            <v/>
          </cell>
          <cell r="N539" t="str">
            <v/>
          </cell>
          <cell r="O539" t="str">
            <v/>
          </cell>
          <cell r="P539" t="str">
            <v/>
          </cell>
          <cell r="Q539" t="str">
            <v/>
          </cell>
          <cell r="T539" t="str">
            <v/>
          </cell>
          <cell r="U539" t="str">
            <v/>
          </cell>
          <cell r="W539" t="str">
            <v/>
          </cell>
          <cell r="X539" t="str">
            <v/>
          </cell>
          <cell r="AB539">
            <v>0</v>
          </cell>
          <cell r="AC539">
            <v>0</v>
          </cell>
          <cell r="AD539">
            <v>0</v>
          </cell>
          <cell r="AJ539">
            <v>0</v>
          </cell>
          <cell r="AK539">
            <v>0</v>
          </cell>
        </row>
        <row r="540">
          <cell r="B540" t="str">
            <v/>
          </cell>
          <cell r="H540" t="str">
            <v/>
          </cell>
          <cell r="J540" t="str">
            <v/>
          </cell>
          <cell r="N540" t="str">
            <v/>
          </cell>
          <cell r="O540" t="str">
            <v/>
          </cell>
          <cell r="P540" t="str">
            <v/>
          </cell>
          <cell r="Q540" t="str">
            <v/>
          </cell>
          <cell r="T540" t="str">
            <v/>
          </cell>
          <cell r="U540" t="str">
            <v/>
          </cell>
          <cell r="W540" t="str">
            <v/>
          </cell>
          <cell r="X540" t="str">
            <v/>
          </cell>
          <cell r="AB540">
            <v>0</v>
          </cell>
          <cell r="AC540">
            <v>0</v>
          </cell>
          <cell r="AD540">
            <v>0</v>
          </cell>
          <cell r="AJ540">
            <v>0</v>
          </cell>
          <cell r="AK540">
            <v>0</v>
          </cell>
        </row>
        <row r="541">
          <cell r="B541" t="str">
            <v/>
          </cell>
          <cell r="H541" t="str">
            <v/>
          </cell>
          <cell r="J541" t="str">
            <v/>
          </cell>
          <cell r="N541" t="str">
            <v/>
          </cell>
          <cell r="O541" t="str">
            <v/>
          </cell>
          <cell r="P541" t="str">
            <v/>
          </cell>
          <cell r="Q541" t="str">
            <v/>
          </cell>
          <cell r="T541" t="str">
            <v/>
          </cell>
          <cell r="U541" t="str">
            <v/>
          </cell>
          <cell r="W541" t="str">
            <v/>
          </cell>
          <cell r="X541" t="str">
            <v/>
          </cell>
          <cell r="AB541">
            <v>0</v>
          </cell>
          <cell r="AC541">
            <v>0</v>
          </cell>
          <cell r="AD541">
            <v>0</v>
          </cell>
          <cell r="AJ541">
            <v>0</v>
          </cell>
          <cell r="AK541">
            <v>0</v>
          </cell>
        </row>
        <row r="542">
          <cell r="B542" t="str">
            <v/>
          </cell>
          <cell r="H542" t="str">
            <v/>
          </cell>
          <cell r="J542" t="str">
            <v/>
          </cell>
          <cell r="N542" t="str">
            <v/>
          </cell>
          <cell r="O542" t="str">
            <v/>
          </cell>
          <cell r="P542" t="str">
            <v/>
          </cell>
          <cell r="Q542" t="str">
            <v/>
          </cell>
          <cell r="T542" t="str">
            <v/>
          </cell>
          <cell r="U542" t="str">
            <v/>
          </cell>
          <cell r="W542" t="str">
            <v/>
          </cell>
          <cell r="X542" t="str">
            <v/>
          </cell>
          <cell r="AB542">
            <v>0</v>
          </cell>
          <cell r="AC542">
            <v>0</v>
          </cell>
          <cell r="AD542">
            <v>0</v>
          </cell>
          <cell r="AJ542">
            <v>0</v>
          </cell>
          <cell r="AK542">
            <v>0</v>
          </cell>
        </row>
        <row r="543">
          <cell r="B543" t="str">
            <v/>
          </cell>
          <cell r="H543" t="str">
            <v/>
          </cell>
          <cell r="J543" t="str">
            <v/>
          </cell>
          <cell r="N543" t="str">
            <v/>
          </cell>
          <cell r="O543" t="str">
            <v/>
          </cell>
          <cell r="P543" t="str">
            <v/>
          </cell>
          <cell r="Q543" t="str">
            <v/>
          </cell>
          <cell r="T543" t="str">
            <v/>
          </cell>
          <cell r="U543" t="str">
            <v/>
          </cell>
          <cell r="W543" t="str">
            <v/>
          </cell>
          <cell r="X543" t="str">
            <v/>
          </cell>
          <cell r="AB543">
            <v>0</v>
          </cell>
          <cell r="AC543">
            <v>0</v>
          </cell>
          <cell r="AD543">
            <v>0</v>
          </cell>
          <cell r="AJ543">
            <v>0</v>
          </cell>
          <cell r="AK543">
            <v>0</v>
          </cell>
        </row>
        <row r="544">
          <cell r="B544" t="str">
            <v/>
          </cell>
          <cell r="H544" t="str">
            <v/>
          </cell>
          <cell r="J544" t="str">
            <v/>
          </cell>
          <cell r="N544" t="str">
            <v/>
          </cell>
          <cell r="O544" t="str">
            <v/>
          </cell>
          <cell r="P544" t="str">
            <v/>
          </cell>
          <cell r="Q544" t="str">
            <v/>
          </cell>
          <cell r="T544" t="str">
            <v/>
          </cell>
          <cell r="U544" t="str">
            <v/>
          </cell>
          <cell r="W544" t="str">
            <v/>
          </cell>
          <cell r="X544" t="str">
            <v/>
          </cell>
          <cell r="AB544">
            <v>0</v>
          </cell>
          <cell r="AC544">
            <v>0</v>
          </cell>
          <cell r="AD544">
            <v>0</v>
          </cell>
          <cell r="AJ544">
            <v>0</v>
          </cell>
          <cell r="AK544">
            <v>0</v>
          </cell>
        </row>
        <row r="545">
          <cell r="B545" t="str">
            <v/>
          </cell>
          <cell r="H545" t="str">
            <v/>
          </cell>
          <cell r="J545" t="str">
            <v/>
          </cell>
          <cell r="N545" t="str">
            <v/>
          </cell>
          <cell r="O545" t="str">
            <v/>
          </cell>
          <cell r="P545" t="str">
            <v/>
          </cell>
          <cell r="Q545" t="str">
            <v/>
          </cell>
          <cell r="T545" t="str">
            <v/>
          </cell>
          <cell r="U545" t="str">
            <v/>
          </cell>
          <cell r="W545" t="str">
            <v/>
          </cell>
          <cell r="X545" t="str">
            <v/>
          </cell>
          <cell r="AB545">
            <v>0</v>
          </cell>
          <cell r="AC545">
            <v>0</v>
          </cell>
          <cell r="AD545">
            <v>0</v>
          </cell>
          <cell r="AJ545">
            <v>0</v>
          </cell>
          <cell r="AK545">
            <v>0</v>
          </cell>
        </row>
        <row r="546">
          <cell r="B546" t="str">
            <v/>
          </cell>
          <cell r="H546" t="str">
            <v/>
          </cell>
          <cell r="J546" t="str">
            <v/>
          </cell>
          <cell r="N546" t="str">
            <v/>
          </cell>
          <cell r="O546" t="str">
            <v/>
          </cell>
          <cell r="P546" t="str">
            <v/>
          </cell>
          <cell r="Q546" t="str">
            <v/>
          </cell>
          <cell r="T546" t="str">
            <v/>
          </cell>
          <cell r="U546" t="str">
            <v/>
          </cell>
          <cell r="W546" t="str">
            <v/>
          </cell>
          <cell r="X546" t="str">
            <v/>
          </cell>
          <cell r="AB546">
            <v>0</v>
          </cell>
          <cell r="AC546">
            <v>0</v>
          </cell>
          <cell r="AD546">
            <v>0</v>
          </cell>
          <cell r="AJ546">
            <v>0</v>
          </cell>
          <cell r="AK546">
            <v>0</v>
          </cell>
        </row>
        <row r="547">
          <cell r="B547" t="str">
            <v/>
          </cell>
          <cell r="H547" t="str">
            <v/>
          </cell>
          <cell r="J547" t="str">
            <v/>
          </cell>
          <cell r="N547" t="str">
            <v/>
          </cell>
          <cell r="O547" t="str">
            <v/>
          </cell>
          <cell r="P547" t="str">
            <v/>
          </cell>
          <cell r="Q547" t="str">
            <v/>
          </cell>
          <cell r="T547" t="str">
            <v/>
          </cell>
          <cell r="U547" t="str">
            <v/>
          </cell>
          <cell r="W547" t="str">
            <v/>
          </cell>
          <cell r="X547" t="str">
            <v/>
          </cell>
          <cell r="AB547">
            <v>0</v>
          </cell>
          <cell r="AC547">
            <v>0</v>
          </cell>
          <cell r="AD547">
            <v>0</v>
          </cell>
          <cell r="AJ547">
            <v>0</v>
          </cell>
          <cell r="AK547">
            <v>0</v>
          </cell>
        </row>
        <row r="548">
          <cell r="B548" t="str">
            <v/>
          </cell>
          <cell r="H548" t="str">
            <v/>
          </cell>
          <cell r="J548" t="str">
            <v/>
          </cell>
          <cell r="N548" t="str">
            <v/>
          </cell>
          <cell r="O548" t="str">
            <v/>
          </cell>
          <cell r="P548" t="str">
            <v/>
          </cell>
          <cell r="Q548" t="str">
            <v/>
          </cell>
          <cell r="T548" t="str">
            <v/>
          </cell>
          <cell r="U548" t="str">
            <v/>
          </cell>
          <cell r="W548" t="str">
            <v/>
          </cell>
          <cell r="X548" t="str">
            <v/>
          </cell>
          <cell r="AB548">
            <v>0</v>
          </cell>
          <cell r="AC548">
            <v>0</v>
          </cell>
          <cell r="AD548">
            <v>0</v>
          </cell>
          <cell r="AJ548">
            <v>0</v>
          </cell>
          <cell r="AK548">
            <v>0</v>
          </cell>
        </row>
        <row r="549">
          <cell r="B549" t="str">
            <v/>
          </cell>
          <cell r="H549" t="str">
            <v/>
          </cell>
          <cell r="J549" t="str">
            <v/>
          </cell>
          <cell r="N549" t="str">
            <v/>
          </cell>
          <cell r="O549" t="str">
            <v/>
          </cell>
          <cell r="P549" t="str">
            <v/>
          </cell>
          <cell r="Q549" t="str">
            <v/>
          </cell>
          <cell r="T549" t="str">
            <v/>
          </cell>
          <cell r="U549" t="str">
            <v/>
          </cell>
          <cell r="W549" t="str">
            <v/>
          </cell>
          <cell r="X549" t="str">
            <v/>
          </cell>
          <cell r="AB549">
            <v>0</v>
          </cell>
          <cell r="AC549">
            <v>0</v>
          </cell>
          <cell r="AD549">
            <v>0</v>
          </cell>
          <cell r="AJ549">
            <v>0</v>
          </cell>
          <cell r="AK549">
            <v>0</v>
          </cell>
        </row>
        <row r="550">
          <cell r="B550" t="str">
            <v/>
          </cell>
          <cell r="H550" t="str">
            <v/>
          </cell>
          <cell r="J550" t="str">
            <v/>
          </cell>
          <cell r="N550" t="str">
            <v/>
          </cell>
          <cell r="O550" t="str">
            <v/>
          </cell>
          <cell r="P550" t="str">
            <v/>
          </cell>
          <cell r="Q550" t="str">
            <v/>
          </cell>
          <cell r="T550" t="str">
            <v/>
          </cell>
          <cell r="U550" t="str">
            <v/>
          </cell>
          <cell r="W550" t="str">
            <v/>
          </cell>
          <cell r="X550" t="str">
            <v/>
          </cell>
          <cell r="AB550">
            <v>0</v>
          </cell>
          <cell r="AC550">
            <v>0</v>
          </cell>
          <cell r="AD550">
            <v>0</v>
          </cell>
          <cell r="AJ550">
            <v>0</v>
          </cell>
          <cell r="AK550">
            <v>0</v>
          </cell>
        </row>
        <row r="551">
          <cell r="B551" t="str">
            <v/>
          </cell>
          <cell r="H551" t="str">
            <v/>
          </cell>
          <cell r="J551" t="str">
            <v/>
          </cell>
          <cell r="N551" t="str">
            <v/>
          </cell>
          <cell r="O551" t="str">
            <v/>
          </cell>
          <cell r="P551" t="str">
            <v/>
          </cell>
          <cell r="Q551" t="str">
            <v/>
          </cell>
          <cell r="T551" t="str">
            <v/>
          </cell>
          <cell r="U551" t="str">
            <v/>
          </cell>
          <cell r="W551" t="str">
            <v/>
          </cell>
          <cell r="X551" t="str">
            <v/>
          </cell>
          <cell r="AB551">
            <v>0</v>
          </cell>
          <cell r="AC551">
            <v>0</v>
          </cell>
          <cell r="AD551">
            <v>0</v>
          </cell>
          <cell r="AJ551">
            <v>0</v>
          </cell>
          <cell r="AK551">
            <v>0</v>
          </cell>
        </row>
        <row r="552">
          <cell r="B552" t="str">
            <v/>
          </cell>
          <cell r="H552" t="str">
            <v/>
          </cell>
          <cell r="J552" t="str">
            <v/>
          </cell>
          <cell r="N552" t="str">
            <v/>
          </cell>
          <cell r="O552" t="str">
            <v/>
          </cell>
          <cell r="P552" t="str">
            <v/>
          </cell>
          <cell r="Q552" t="str">
            <v/>
          </cell>
          <cell r="T552" t="str">
            <v/>
          </cell>
          <cell r="U552" t="str">
            <v/>
          </cell>
          <cell r="W552" t="str">
            <v/>
          </cell>
          <cell r="X552" t="str">
            <v/>
          </cell>
          <cell r="AB552">
            <v>0</v>
          </cell>
          <cell r="AC552">
            <v>0</v>
          </cell>
          <cell r="AD552">
            <v>0</v>
          </cell>
          <cell r="AJ552">
            <v>0</v>
          </cell>
          <cell r="AK552">
            <v>0</v>
          </cell>
        </row>
        <row r="553">
          <cell r="B553" t="str">
            <v/>
          </cell>
          <cell r="H553" t="str">
            <v/>
          </cell>
          <cell r="J553" t="str">
            <v/>
          </cell>
          <cell r="N553" t="str">
            <v/>
          </cell>
          <cell r="O553" t="str">
            <v/>
          </cell>
          <cell r="P553" t="str">
            <v/>
          </cell>
          <cell r="Q553" t="str">
            <v/>
          </cell>
          <cell r="T553" t="str">
            <v/>
          </cell>
          <cell r="U553" t="str">
            <v/>
          </cell>
          <cell r="W553" t="str">
            <v/>
          </cell>
          <cell r="X553" t="str">
            <v/>
          </cell>
          <cell r="AB553">
            <v>0</v>
          </cell>
          <cell r="AC553">
            <v>0</v>
          </cell>
          <cell r="AD553">
            <v>0</v>
          </cell>
          <cell r="AJ553">
            <v>0</v>
          </cell>
          <cell r="AK553">
            <v>0</v>
          </cell>
        </row>
        <row r="554">
          <cell r="B554" t="str">
            <v/>
          </cell>
          <cell r="H554" t="str">
            <v/>
          </cell>
          <cell r="J554" t="str">
            <v/>
          </cell>
          <cell r="N554" t="str">
            <v/>
          </cell>
          <cell r="O554" t="str">
            <v/>
          </cell>
          <cell r="P554" t="str">
            <v/>
          </cell>
          <cell r="Q554" t="str">
            <v/>
          </cell>
          <cell r="T554" t="str">
            <v/>
          </cell>
          <cell r="U554" t="str">
            <v/>
          </cell>
          <cell r="W554" t="str">
            <v/>
          </cell>
          <cell r="X554" t="str">
            <v/>
          </cell>
          <cell r="AB554">
            <v>0</v>
          </cell>
          <cell r="AC554">
            <v>0</v>
          </cell>
          <cell r="AD554">
            <v>0</v>
          </cell>
          <cell r="AJ554">
            <v>0</v>
          </cell>
          <cell r="AK554">
            <v>0</v>
          </cell>
        </row>
        <row r="555">
          <cell r="B555" t="str">
            <v/>
          </cell>
          <cell r="H555" t="str">
            <v/>
          </cell>
          <cell r="J555" t="str">
            <v/>
          </cell>
          <cell r="N555" t="str">
            <v/>
          </cell>
          <cell r="O555" t="str">
            <v/>
          </cell>
          <cell r="P555" t="str">
            <v/>
          </cell>
          <cell r="Q555" t="str">
            <v/>
          </cell>
          <cell r="T555" t="str">
            <v/>
          </cell>
          <cell r="U555" t="str">
            <v/>
          </cell>
          <cell r="W555" t="str">
            <v/>
          </cell>
          <cell r="X555" t="str">
            <v/>
          </cell>
          <cell r="AB555">
            <v>0</v>
          </cell>
          <cell r="AC555">
            <v>0</v>
          </cell>
          <cell r="AD555">
            <v>0</v>
          </cell>
          <cell r="AJ555">
            <v>0</v>
          </cell>
          <cell r="AK555">
            <v>0</v>
          </cell>
        </row>
        <row r="556">
          <cell r="B556" t="str">
            <v/>
          </cell>
          <cell r="H556" t="str">
            <v/>
          </cell>
          <cell r="J556" t="str">
            <v/>
          </cell>
          <cell r="N556" t="str">
            <v/>
          </cell>
          <cell r="O556" t="str">
            <v/>
          </cell>
          <cell r="P556" t="str">
            <v/>
          </cell>
          <cell r="Q556" t="str">
            <v/>
          </cell>
          <cell r="T556" t="str">
            <v/>
          </cell>
          <cell r="U556" t="str">
            <v/>
          </cell>
          <cell r="W556" t="str">
            <v/>
          </cell>
          <cell r="X556" t="str">
            <v/>
          </cell>
          <cell r="AB556">
            <v>0</v>
          </cell>
          <cell r="AC556">
            <v>0</v>
          </cell>
          <cell r="AD556">
            <v>0</v>
          </cell>
          <cell r="AJ556">
            <v>0</v>
          </cell>
          <cell r="AK556">
            <v>0</v>
          </cell>
        </row>
        <row r="557">
          <cell r="B557" t="str">
            <v/>
          </cell>
          <cell r="H557" t="str">
            <v/>
          </cell>
          <cell r="J557" t="str">
            <v/>
          </cell>
          <cell r="N557" t="str">
            <v/>
          </cell>
          <cell r="O557" t="str">
            <v/>
          </cell>
          <cell r="P557" t="str">
            <v/>
          </cell>
          <cell r="Q557" t="str">
            <v/>
          </cell>
          <cell r="T557" t="str">
            <v/>
          </cell>
          <cell r="U557" t="str">
            <v/>
          </cell>
          <cell r="W557" t="str">
            <v/>
          </cell>
          <cell r="X557" t="str">
            <v/>
          </cell>
          <cell r="AB557">
            <v>0</v>
          </cell>
          <cell r="AC557">
            <v>0</v>
          </cell>
          <cell r="AD557">
            <v>0</v>
          </cell>
          <cell r="AJ557">
            <v>0</v>
          </cell>
          <cell r="AK557">
            <v>0</v>
          </cell>
        </row>
        <row r="558">
          <cell r="B558" t="str">
            <v/>
          </cell>
          <cell r="H558" t="str">
            <v/>
          </cell>
          <cell r="J558" t="str">
            <v/>
          </cell>
          <cell r="N558" t="str">
            <v/>
          </cell>
          <cell r="O558" t="str">
            <v/>
          </cell>
          <cell r="P558" t="str">
            <v/>
          </cell>
          <cell r="Q558" t="str">
            <v/>
          </cell>
          <cell r="T558" t="str">
            <v/>
          </cell>
          <cell r="U558" t="str">
            <v/>
          </cell>
          <cell r="W558" t="str">
            <v/>
          </cell>
          <cell r="X558" t="str">
            <v/>
          </cell>
          <cell r="AB558">
            <v>0</v>
          </cell>
          <cell r="AC558">
            <v>0</v>
          </cell>
          <cell r="AD558">
            <v>0</v>
          </cell>
          <cell r="AJ558">
            <v>0</v>
          </cell>
          <cell r="AK558">
            <v>0</v>
          </cell>
        </row>
        <row r="559">
          <cell r="B559" t="str">
            <v/>
          </cell>
          <cell r="H559" t="str">
            <v/>
          </cell>
          <cell r="J559" t="str">
            <v/>
          </cell>
          <cell r="N559" t="str">
            <v/>
          </cell>
          <cell r="O559" t="str">
            <v/>
          </cell>
          <cell r="P559" t="str">
            <v/>
          </cell>
          <cell r="Q559" t="str">
            <v/>
          </cell>
          <cell r="T559" t="str">
            <v/>
          </cell>
          <cell r="U559" t="str">
            <v/>
          </cell>
          <cell r="W559" t="str">
            <v/>
          </cell>
          <cell r="X559" t="str">
            <v/>
          </cell>
          <cell r="AB559">
            <v>0</v>
          </cell>
          <cell r="AC559">
            <v>0</v>
          </cell>
          <cell r="AD559">
            <v>0</v>
          </cell>
          <cell r="AJ559">
            <v>0</v>
          </cell>
          <cell r="AK559">
            <v>0</v>
          </cell>
        </row>
        <row r="560">
          <cell r="B560" t="str">
            <v/>
          </cell>
          <cell r="H560" t="str">
            <v/>
          </cell>
          <cell r="J560" t="str">
            <v/>
          </cell>
          <cell r="N560" t="str">
            <v/>
          </cell>
          <cell r="O560" t="str">
            <v/>
          </cell>
          <cell r="P560" t="str">
            <v/>
          </cell>
          <cell r="Q560" t="str">
            <v/>
          </cell>
          <cell r="T560" t="str">
            <v/>
          </cell>
          <cell r="U560" t="str">
            <v/>
          </cell>
          <cell r="W560" t="str">
            <v/>
          </cell>
          <cell r="X560" t="str">
            <v/>
          </cell>
          <cell r="AB560">
            <v>0</v>
          </cell>
          <cell r="AC560">
            <v>0</v>
          </cell>
          <cell r="AD560">
            <v>0</v>
          </cell>
          <cell r="AJ560">
            <v>0</v>
          </cell>
          <cell r="AK560">
            <v>0</v>
          </cell>
        </row>
        <row r="561">
          <cell r="B561" t="str">
            <v/>
          </cell>
          <cell r="H561" t="str">
            <v/>
          </cell>
          <cell r="J561" t="str">
            <v/>
          </cell>
          <cell r="N561" t="str">
            <v/>
          </cell>
          <cell r="O561" t="str">
            <v/>
          </cell>
          <cell r="P561" t="str">
            <v/>
          </cell>
          <cell r="Q561" t="str">
            <v/>
          </cell>
          <cell r="T561" t="str">
            <v/>
          </cell>
          <cell r="U561" t="str">
            <v/>
          </cell>
          <cell r="W561" t="str">
            <v/>
          </cell>
          <cell r="X561" t="str">
            <v/>
          </cell>
          <cell r="AB561">
            <v>0</v>
          </cell>
          <cell r="AC561">
            <v>0</v>
          </cell>
          <cell r="AD561">
            <v>0</v>
          </cell>
          <cell r="AJ561">
            <v>0</v>
          </cell>
          <cell r="AK561">
            <v>0</v>
          </cell>
        </row>
        <row r="562">
          <cell r="B562" t="str">
            <v/>
          </cell>
          <cell r="H562" t="str">
            <v/>
          </cell>
          <cell r="J562" t="str">
            <v/>
          </cell>
          <cell r="N562" t="str">
            <v/>
          </cell>
          <cell r="O562" t="str">
            <v/>
          </cell>
          <cell r="P562" t="str">
            <v/>
          </cell>
          <cell r="Q562" t="str">
            <v/>
          </cell>
          <cell r="T562" t="str">
            <v/>
          </cell>
          <cell r="U562" t="str">
            <v/>
          </cell>
          <cell r="W562" t="str">
            <v/>
          </cell>
          <cell r="X562" t="str">
            <v/>
          </cell>
          <cell r="AB562">
            <v>0</v>
          </cell>
          <cell r="AC562">
            <v>0</v>
          </cell>
          <cell r="AD562">
            <v>0</v>
          </cell>
          <cell r="AJ562">
            <v>0</v>
          </cell>
          <cell r="AK562">
            <v>0</v>
          </cell>
        </row>
        <row r="563">
          <cell r="B563" t="str">
            <v/>
          </cell>
          <cell r="H563" t="str">
            <v/>
          </cell>
          <cell r="J563" t="str">
            <v/>
          </cell>
          <cell r="N563" t="str">
            <v/>
          </cell>
          <cell r="O563" t="str">
            <v/>
          </cell>
          <cell r="P563" t="str">
            <v/>
          </cell>
          <cell r="Q563" t="str">
            <v/>
          </cell>
          <cell r="T563" t="str">
            <v/>
          </cell>
          <cell r="U563" t="str">
            <v/>
          </cell>
          <cell r="W563" t="str">
            <v/>
          </cell>
          <cell r="X563" t="str">
            <v/>
          </cell>
          <cell r="AB563">
            <v>0</v>
          </cell>
          <cell r="AC563">
            <v>0</v>
          </cell>
          <cell r="AD563">
            <v>0</v>
          </cell>
          <cell r="AJ563">
            <v>0</v>
          </cell>
          <cell r="AK563">
            <v>0</v>
          </cell>
        </row>
        <row r="564">
          <cell r="B564" t="str">
            <v/>
          </cell>
          <cell r="H564" t="str">
            <v/>
          </cell>
          <cell r="J564" t="str">
            <v/>
          </cell>
          <cell r="N564" t="str">
            <v/>
          </cell>
          <cell r="O564" t="str">
            <v/>
          </cell>
          <cell r="P564" t="str">
            <v/>
          </cell>
          <cell r="Q564" t="str">
            <v/>
          </cell>
          <cell r="T564" t="str">
            <v/>
          </cell>
          <cell r="U564" t="str">
            <v/>
          </cell>
          <cell r="W564" t="str">
            <v/>
          </cell>
          <cell r="X564" t="str">
            <v/>
          </cell>
          <cell r="AB564">
            <v>0</v>
          </cell>
          <cell r="AC564">
            <v>0</v>
          </cell>
          <cell r="AD564">
            <v>0</v>
          </cell>
          <cell r="AJ564">
            <v>0</v>
          </cell>
          <cell r="AK564">
            <v>0</v>
          </cell>
        </row>
        <row r="565">
          <cell r="B565" t="str">
            <v/>
          </cell>
          <cell r="H565" t="str">
            <v/>
          </cell>
          <cell r="J565" t="str">
            <v/>
          </cell>
          <cell r="N565" t="str">
            <v/>
          </cell>
          <cell r="O565" t="str">
            <v/>
          </cell>
          <cell r="P565" t="str">
            <v/>
          </cell>
          <cell r="Q565" t="str">
            <v/>
          </cell>
          <cell r="T565" t="str">
            <v/>
          </cell>
          <cell r="U565" t="str">
            <v/>
          </cell>
          <cell r="W565" t="str">
            <v/>
          </cell>
          <cell r="X565" t="str">
            <v/>
          </cell>
          <cell r="AB565">
            <v>0</v>
          </cell>
          <cell r="AC565">
            <v>0</v>
          </cell>
          <cell r="AD565">
            <v>0</v>
          </cell>
          <cell r="AJ565">
            <v>0</v>
          </cell>
          <cell r="AK565">
            <v>0</v>
          </cell>
        </row>
        <row r="566">
          <cell r="B566" t="str">
            <v/>
          </cell>
          <cell r="H566" t="str">
            <v/>
          </cell>
          <cell r="J566" t="str">
            <v/>
          </cell>
          <cell r="N566" t="str">
            <v/>
          </cell>
          <cell r="O566" t="str">
            <v/>
          </cell>
          <cell r="P566" t="str">
            <v/>
          </cell>
          <cell r="Q566" t="str">
            <v/>
          </cell>
          <cell r="T566" t="str">
            <v/>
          </cell>
          <cell r="U566" t="str">
            <v/>
          </cell>
          <cell r="W566" t="str">
            <v/>
          </cell>
          <cell r="X566" t="str">
            <v/>
          </cell>
          <cell r="AB566">
            <v>0</v>
          </cell>
          <cell r="AC566">
            <v>0</v>
          </cell>
          <cell r="AD566">
            <v>0</v>
          </cell>
          <cell r="AJ566">
            <v>0</v>
          </cell>
          <cell r="AK566">
            <v>0</v>
          </cell>
        </row>
        <row r="567">
          <cell r="B567" t="str">
            <v/>
          </cell>
          <cell r="H567" t="str">
            <v/>
          </cell>
          <cell r="J567" t="str">
            <v/>
          </cell>
          <cell r="N567" t="str">
            <v/>
          </cell>
          <cell r="O567" t="str">
            <v/>
          </cell>
          <cell r="P567" t="str">
            <v/>
          </cell>
          <cell r="Q567" t="str">
            <v/>
          </cell>
          <cell r="T567" t="str">
            <v/>
          </cell>
          <cell r="U567" t="str">
            <v/>
          </cell>
          <cell r="W567" t="str">
            <v/>
          </cell>
          <cell r="X567" t="str">
            <v/>
          </cell>
          <cell r="AB567">
            <v>0</v>
          </cell>
          <cell r="AC567">
            <v>0</v>
          </cell>
          <cell r="AD567">
            <v>0</v>
          </cell>
          <cell r="AJ567">
            <v>0</v>
          </cell>
          <cell r="AK567">
            <v>0</v>
          </cell>
        </row>
        <row r="568">
          <cell r="B568" t="str">
            <v/>
          </cell>
          <cell r="H568" t="str">
            <v/>
          </cell>
          <cell r="J568" t="str">
            <v/>
          </cell>
          <cell r="N568" t="str">
            <v/>
          </cell>
          <cell r="O568" t="str">
            <v/>
          </cell>
          <cell r="P568" t="str">
            <v/>
          </cell>
          <cell r="Q568" t="str">
            <v/>
          </cell>
          <cell r="T568" t="str">
            <v/>
          </cell>
          <cell r="U568" t="str">
            <v/>
          </cell>
          <cell r="W568" t="str">
            <v/>
          </cell>
          <cell r="X568" t="str">
            <v/>
          </cell>
          <cell r="AB568">
            <v>0</v>
          </cell>
          <cell r="AC568">
            <v>0</v>
          </cell>
          <cell r="AD568">
            <v>0</v>
          </cell>
          <cell r="AJ568">
            <v>0</v>
          </cell>
          <cell r="AK568">
            <v>0</v>
          </cell>
        </row>
        <row r="569">
          <cell r="B569" t="str">
            <v/>
          </cell>
          <cell r="H569" t="str">
            <v/>
          </cell>
          <cell r="J569" t="str">
            <v/>
          </cell>
          <cell r="N569" t="str">
            <v/>
          </cell>
          <cell r="O569" t="str">
            <v/>
          </cell>
          <cell r="P569" t="str">
            <v/>
          </cell>
          <cell r="Q569" t="str">
            <v/>
          </cell>
          <cell r="T569" t="str">
            <v/>
          </cell>
          <cell r="U569" t="str">
            <v/>
          </cell>
          <cell r="W569" t="str">
            <v/>
          </cell>
          <cell r="X569" t="str">
            <v/>
          </cell>
          <cell r="AB569">
            <v>0</v>
          </cell>
          <cell r="AC569">
            <v>0</v>
          </cell>
          <cell r="AD569">
            <v>0</v>
          </cell>
          <cell r="AJ569">
            <v>0</v>
          </cell>
          <cell r="AK569">
            <v>0</v>
          </cell>
        </row>
        <row r="570">
          <cell r="B570" t="str">
            <v/>
          </cell>
          <cell r="H570" t="str">
            <v/>
          </cell>
          <cell r="J570" t="str">
            <v/>
          </cell>
          <cell r="N570" t="str">
            <v/>
          </cell>
          <cell r="O570" t="str">
            <v/>
          </cell>
          <cell r="P570" t="str">
            <v/>
          </cell>
          <cell r="Q570" t="str">
            <v/>
          </cell>
          <cell r="T570" t="str">
            <v/>
          </cell>
          <cell r="U570" t="str">
            <v/>
          </cell>
          <cell r="W570" t="str">
            <v/>
          </cell>
          <cell r="X570" t="str">
            <v/>
          </cell>
          <cell r="AB570">
            <v>0</v>
          </cell>
          <cell r="AC570">
            <v>0</v>
          </cell>
          <cell r="AD570">
            <v>0</v>
          </cell>
          <cell r="AJ570">
            <v>0</v>
          </cell>
          <cell r="AK570">
            <v>0</v>
          </cell>
        </row>
        <row r="571">
          <cell r="B571" t="str">
            <v/>
          </cell>
          <cell r="H571" t="str">
            <v/>
          </cell>
          <cell r="J571" t="str">
            <v/>
          </cell>
          <cell r="N571" t="str">
            <v/>
          </cell>
          <cell r="O571" t="str">
            <v/>
          </cell>
          <cell r="P571" t="str">
            <v/>
          </cell>
          <cell r="Q571" t="str">
            <v/>
          </cell>
          <cell r="T571" t="str">
            <v/>
          </cell>
          <cell r="U571" t="str">
            <v/>
          </cell>
          <cell r="W571" t="str">
            <v/>
          </cell>
          <cell r="X571" t="str">
            <v/>
          </cell>
          <cell r="AB571">
            <v>0</v>
          </cell>
          <cell r="AC571">
            <v>0</v>
          </cell>
          <cell r="AD571">
            <v>0</v>
          </cell>
          <cell r="AJ571">
            <v>0</v>
          </cell>
          <cell r="AK571">
            <v>0</v>
          </cell>
        </row>
        <row r="572">
          <cell r="B572" t="str">
            <v/>
          </cell>
          <cell r="H572" t="str">
            <v/>
          </cell>
          <cell r="J572" t="str">
            <v/>
          </cell>
          <cell r="N572" t="str">
            <v/>
          </cell>
          <cell r="O572" t="str">
            <v/>
          </cell>
          <cell r="P572" t="str">
            <v/>
          </cell>
          <cell r="Q572" t="str">
            <v/>
          </cell>
          <cell r="T572" t="str">
            <v/>
          </cell>
          <cell r="U572" t="str">
            <v/>
          </cell>
          <cell r="W572" t="str">
            <v/>
          </cell>
          <cell r="X572" t="str">
            <v/>
          </cell>
          <cell r="AB572">
            <v>0</v>
          </cell>
          <cell r="AC572">
            <v>0</v>
          </cell>
          <cell r="AD572">
            <v>0</v>
          </cell>
          <cell r="AJ572">
            <v>0</v>
          </cell>
          <cell r="AK572">
            <v>0</v>
          </cell>
        </row>
        <row r="573">
          <cell r="B573" t="str">
            <v/>
          </cell>
          <cell r="H573" t="str">
            <v/>
          </cell>
          <cell r="J573" t="str">
            <v/>
          </cell>
          <cell r="N573" t="str">
            <v/>
          </cell>
          <cell r="O573" t="str">
            <v/>
          </cell>
          <cell r="P573" t="str">
            <v/>
          </cell>
          <cell r="Q573" t="str">
            <v/>
          </cell>
          <cell r="T573" t="str">
            <v/>
          </cell>
          <cell r="U573" t="str">
            <v/>
          </cell>
          <cell r="W573" t="str">
            <v/>
          </cell>
          <cell r="X573" t="str">
            <v/>
          </cell>
          <cell r="AB573">
            <v>0</v>
          </cell>
          <cell r="AC573">
            <v>0</v>
          </cell>
          <cell r="AD573">
            <v>0</v>
          </cell>
          <cell r="AJ573">
            <v>0</v>
          </cell>
          <cell r="AK573">
            <v>0</v>
          </cell>
        </row>
        <row r="574">
          <cell r="B574" t="str">
            <v/>
          </cell>
          <cell r="H574" t="str">
            <v/>
          </cell>
          <cell r="J574" t="str">
            <v/>
          </cell>
          <cell r="N574" t="str">
            <v/>
          </cell>
          <cell r="O574" t="str">
            <v/>
          </cell>
          <cell r="P574" t="str">
            <v/>
          </cell>
          <cell r="Q574" t="str">
            <v/>
          </cell>
          <cell r="T574" t="str">
            <v/>
          </cell>
          <cell r="U574" t="str">
            <v/>
          </cell>
          <cell r="W574" t="str">
            <v/>
          </cell>
          <cell r="X574" t="str">
            <v/>
          </cell>
          <cell r="AB574">
            <v>0</v>
          </cell>
          <cell r="AC574">
            <v>0</v>
          </cell>
          <cell r="AD574">
            <v>0</v>
          </cell>
          <cell r="AJ574">
            <v>0</v>
          </cell>
          <cell r="AK574">
            <v>0</v>
          </cell>
        </row>
        <row r="575">
          <cell r="B575" t="str">
            <v/>
          </cell>
          <cell r="H575" t="str">
            <v/>
          </cell>
          <cell r="J575" t="str">
            <v/>
          </cell>
          <cell r="N575" t="str">
            <v/>
          </cell>
          <cell r="O575" t="str">
            <v/>
          </cell>
          <cell r="P575" t="str">
            <v/>
          </cell>
          <cell r="Q575" t="str">
            <v/>
          </cell>
          <cell r="T575" t="str">
            <v/>
          </cell>
          <cell r="U575" t="str">
            <v/>
          </cell>
          <cell r="W575" t="str">
            <v/>
          </cell>
          <cell r="X575" t="str">
            <v/>
          </cell>
          <cell r="AB575">
            <v>0</v>
          </cell>
          <cell r="AC575">
            <v>0</v>
          </cell>
          <cell r="AD575">
            <v>0</v>
          </cell>
          <cell r="AJ575">
            <v>0</v>
          </cell>
          <cell r="AK575">
            <v>0</v>
          </cell>
        </row>
        <row r="576">
          <cell r="B576" t="str">
            <v/>
          </cell>
          <cell r="H576" t="str">
            <v/>
          </cell>
          <cell r="J576" t="str">
            <v/>
          </cell>
          <cell r="N576" t="str">
            <v/>
          </cell>
          <cell r="O576" t="str">
            <v/>
          </cell>
          <cell r="P576" t="str">
            <v/>
          </cell>
          <cell r="Q576" t="str">
            <v/>
          </cell>
          <cell r="T576" t="str">
            <v/>
          </cell>
          <cell r="U576" t="str">
            <v/>
          </cell>
          <cell r="W576" t="str">
            <v/>
          </cell>
          <cell r="X576" t="str">
            <v/>
          </cell>
          <cell r="AB576">
            <v>0</v>
          </cell>
          <cell r="AC576">
            <v>0</v>
          </cell>
          <cell r="AD576">
            <v>0</v>
          </cell>
          <cell r="AJ576">
            <v>0</v>
          </cell>
          <cell r="AK576">
            <v>0</v>
          </cell>
        </row>
        <row r="577">
          <cell r="B577" t="str">
            <v/>
          </cell>
          <cell r="H577" t="str">
            <v/>
          </cell>
          <cell r="J577" t="str">
            <v/>
          </cell>
          <cell r="N577" t="str">
            <v/>
          </cell>
          <cell r="O577" t="str">
            <v/>
          </cell>
          <cell r="P577" t="str">
            <v/>
          </cell>
          <cell r="Q577" t="str">
            <v/>
          </cell>
          <cell r="T577" t="str">
            <v/>
          </cell>
          <cell r="U577" t="str">
            <v/>
          </cell>
          <cell r="W577" t="str">
            <v/>
          </cell>
          <cell r="X577" t="str">
            <v/>
          </cell>
          <cell r="AB577">
            <v>0</v>
          </cell>
          <cell r="AC577">
            <v>0</v>
          </cell>
          <cell r="AD577">
            <v>0</v>
          </cell>
          <cell r="AJ577">
            <v>0</v>
          </cell>
          <cell r="AK577">
            <v>0</v>
          </cell>
        </row>
        <row r="578">
          <cell r="B578" t="str">
            <v/>
          </cell>
          <cell r="H578" t="str">
            <v/>
          </cell>
          <cell r="J578" t="str">
            <v/>
          </cell>
          <cell r="N578" t="str">
            <v/>
          </cell>
          <cell r="O578" t="str">
            <v/>
          </cell>
          <cell r="P578" t="str">
            <v/>
          </cell>
          <cell r="Q578" t="str">
            <v/>
          </cell>
          <cell r="T578" t="str">
            <v/>
          </cell>
          <cell r="U578" t="str">
            <v/>
          </cell>
          <cell r="W578" t="str">
            <v/>
          </cell>
          <cell r="X578" t="str">
            <v/>
          </cell>
          <cell r="AB578">
            <v>0</v>
          </cell>
          <cell r="AC578">
            <v>0</v>
          </cell>
          <cell r="AD578">
            <v>0</v>
          </cell>
          <cell r="AJ578">
            <v>0</v>
          </cell>
          <cell r="AK578">
            <v>0</v>
          </cell>
        </row>
        <row r="579">
          <cell r="B579" t="str">
            <v/>
          </cell>
          <cell r="H579" t="str">
            <v/>
          </cell>
          <cell r="J579" t="str">
            <v/>
          </cell>
          <cell r="N579" t="str">
            <v/>
          </cell>
          <cell r="O579" t="str">
            <v/>
          </cell>
          <cell r="P579" t="str">
            <v/>
          </cell>
          <cell r="Q579" t="str">
            <v/>
          </cell>
          <cell r="T579" t="str">
            <v/>
          </cell>
          <cell r="U579" t="str">
            <v/>
          </cell>
          <cell r="W579" t="str">
            <v/>
          </cell>
          <cell r="X579" t="str">
            <v/>
          </cell>
          <cell r="AB579">
            <v>0</v>
          </cell>
          <cell r="AC579">
            <v>0</v>
          </cell>
          <cell r="AD579">
            <v>0</v>
          </cell>
          <cell r="AJ579">
            <v>0</v>
          </cell>
          <cell r="AK579">
            <v>0</v>
          </cell>
        </row>
        <row r="580">
          <cell r="B580" t="str">
            <v/>
          </cell>
          <cell r="H580" t="str">
            <v/>
          </cell>
          <cell r="J580" t="str">
            <v/>
          </cell>
          <cell r="N580" t="str">
            <v/>
          </cell>
          <cell r="O580" t="str">
            <v/>
          </cell>
          <cell r="P580" t="str">
            <v/>
          </cell>
          <cell r="Q580" t="str">
            <v/>
          </cell>
          <cell r="T580" t="str">
            <v/>
          </cell>
          <cell r="U580" t="str">
            <v/>
          </cell>
          <cell r="W580" t="str">
            <v/>
          </cell>
          <cell r="X580" t="str">
            <v/>
          </cell>
          <cell r="AB580">
            <v>0</v>
          </cell>
          <cell r="AC580">
            <v>0</v>
          </cell>
          <cell r="AD580">
            <v>0</v>
          </cell>
          <cell r="AJ580">
            <v>0</v>
          </cell>
          <cell r="AK580">
            <v>0</v>
          </cell>
        </row>
        <row r="581">
          <cell r="B581" t="str">
            <v/>
          </cell>
          <cell r="H581" t="str">
            <v/>
          </cell>
          <cell r="J581" t="str">
            <v/>
          </cell>
          <cell r="N581" t="str">
            <v/>
          </cell>
          <cell r="O581" t="str">
            <v/>
          </cell>
          <cell r="P581" t="str">
            <v/>
          </cell>
          <cell r="Q581" t="str">
            <v/>
          </cell>
          <cell r="T581" t="str">
            <v/>
          </cell>
          <cell r="U581" t="str">
            <v/>
          </cell>
          <cell r="W581" t="str">
            <v/>
          </cell>
          <cell r="X581" t="str">
            <v/>
          </cell>
          <cell r="AB581">
            <v>0</v>
          </cell>
          <cell r="AC581">
            <v>0</v>
          </cell>
          <cell r="AD581">
            <v>0</v>
          </cell>
          <cell r="AJ581">
            <v>0</v>
          </cell>
          <cell r="AK581">
            <v>0</v>
          </cell>
        </row>
        <row r="582">
          <cell r="B582" t="str">
            <v/>
          </cell>
          <cell r="H582" t="str">
            <v/>
          </cell>
          <cell r="J582" t="str">
            <v/>
          </cell>
          <cell r="N582" t="str">
            <v/>
          </cell>
          <cell r="O582" t="str">
            <v/>
          </cell>
          <cell r="P582" t="str">
            <v/>
          </cell>
          <cell r="Q582" t="str">
            <v/>
          </cell>
          <cell r="T582" t="str">
            <v/>
          </cell>
          <cell r="U582" t="str">
            <v/>
          </cell>
          <cell r="W582" t="str">
            <v/>
          </cell>
          <cell r="X582" t="str">
            <v/>
          </cell>
          <cell r="AB582">
            <v>0</v>
          </cell>
          <cell r="AC582">
            <v>0</v>
          </cell>
          <cell r="AD582">
            <v>0</v>
          </cell>
          <cell r="AJ582">
            <v>0</v>
          </cell>
          <cell r="AK582">
            <v>0</v>
          </cell>
        </row>
        <row r="583">
          <cell r="B583" t="str">
            <v/>
          </cell>
          <cell r="H583" t="str">
            <v/>
          </cell>
          <cell r="J583" t="str">
            <v/>
          </cell>
          <cell r="N583" t="str">
            <v/>
          </cell>
          <cell r="O583" t="str">
            <v/>
          </cell>
          <cell r="P583" t="str">
            <v/>
          </cell>
          <cell r="Q583" t="str">
            <v/>
          </cell>
          <cell r="T583" t="str">
            <v/>
          </cell>
          <cell r="U583" t="str">
            <v/>
          </cell>
          <cell r="W583" t="str">
            <v/>
          </cell>
          <cell r="X583" t="str">
            <v/>
          </cell>
          <cell r="AB583">
            <v>0</v>
          </cell>
          <cell r="AC583">
            <v>0</v>
          </cell>
          <cell r="AD583">
            <v>0</v>
          </cell>
          <cell r="AJ583">
            <v>0</v>
          </cell>
          <cell r="AK583">
            <v>0</v>
          </cell>
        </row>
        <row r="584">
          <cell r="B584" t="str">
            <v/>
          </cell>
          <cell r="H584" t="str">
            <v/>
          </cell>
          <cell r="J584" t="str">
            <v/>
          </cell>
          <cell r="N584" t="str">
            <v/>
          </cell>
          <cell r="O584" t="str">
            <v/>
          </cell>
          <cell r="P584" t="str">
            <v/>
          </cell>
          <cell r="Q584" t="str">
            <v/>
          </cell>
          <cell r="T584" t="str">
            <v/>
          </cell>
          <cell r="U584" t="str">
            <v/>
          </cell>
          <cell r="W584" t="str">
            <v/>
          </cell>
          <cell r="X584" t="str">
            <v/>
          </cell>
          <cell r="AB584">
            <v>0</v>
          </cell>
          <cell r="AC584">
            <v>0</v>
          </cell>
          <cell r="AD584">
            <v>0</v>
          </cell>
          <cell r="AJ584">
            <v>0</v>
          </cell>
          <cell r="AK584">
            <v>0</v>
          </cell>
        </row>
        <row r="585">
          <cell r="B585" t="str">
            <v/>
          </cell>
          <cell r="H585" t="str">
            <v/>
          </cell>
          <cell r="J585" t="str">
            <v/>
          </cell>
          <cell r="N585" t="str">
            <v/>
          </cell>
          <cell r="O585" t="str">
            <v/>
          </cell>
          <cell r="P585" t="str">
            <v/>
          </cell>
          <cell r="Q585" t="str">
            <v/>
          </cell>
          <cell r="T585" t="str">
            <v/>
          </cell>
          <cell r="U585" t="str">
            <v/>
          </cell>
          <cell r="W585" t="str">
            <v/>
          </cell>
          <cell r="X585" t="str">
            <v/>
          </cell>
          <cell r="AB585">
            <v>0</v>
          </cell>
          <cell r="AC585">
            <v>0</v>
          </cell>
          <cell r="AD585">
            <v>0</v>
          </cell>
          <cell r="AJ585">
            <v>0</v>
          </cell>
          <cell r="AK585">
            <v>0</v>
          </cell>
        </row>
        <row r="586">
          <cell r="B586" t="str">
            <v/>
          </cell>
          <cell r="H586" t="str">
            <v/>
          </cell>
          <cell r="J586" t="str">
            <v/>
          </cell>
          <cell r="N586" t="str">
            <v/>
          </cell>
          <cell r="O586" t="str">
            <v/>
          </cell>
          <cell r="P586" t="str">
            <v/>
          </cell>
          <cell r="Q586" t="str">
            <v/>
          </cell>
          <cell r="T586" t="str">
            <v/>
          </cell>
          <cell r="U586" t="str">
            <v/>
          </cell>
          <cell r="W586" t="str">
            <v/>
          </cell>
          <cell r="X586" t="str">
            <v/>
          </cell>
          <cell r="AB586">
            <v>0</v>
          </cell>
          <cell r="AC586">
            <v>0</v>
          </cell>
          <cell r="AD586">
            <v>0</v>
          </cell>
          <cell r="AJ586">
            <v>0</v>
          </cell>
          <cell r="AK586">
            <v>0</v>
          </cell>
        </row>
        <row r="587">
          <cell r="B587" t="str">
            <v/>
          </cell>
          <cell r="H587" t="str">
            <v/>
          </cell>
          <cell r="J587" t="str">
            <v/>
          </cell>
          <cell r="N587" t="str">
            <v/>
          </cell>
          <cell r="O587" t="str">
            <v/>
          </cell>
          <cell r="P587" t="str">
            <v/>
          </cell>
          <cell r="Q587" t="str">
            <v/>
          </cell>
          <cell r="T587" t="str">
            <v/>
          </cell>
          <cell r="U587" t="str">
            <v/>
          </cell>
          <cell r="W587" t="str">
            <v/>
          </cell>
          <cell r="X587" t="str">
            <v/>
          </cell>
          <cell r="AB587">
            <v>0</v>
          </cell>
          <cell r="AC587">
            <v>0</v>
          </cell>
          <cell r="AD587">
            <v>0</v>
          </cell>
          <cell r="AJ587">
            <v>0</v>
          </cell>
          <cell r="AK587">
            <v>0</v>
          </cell>
        </row>
        <row r="588">
          <cell r="B588" t="str">
            <v/>
          </cell>
          <cell r="H588" t="str">
            <v/>
          </cell>
          <cell r="J588" t="str">
            <v/>
          </cell>
          <cell r="N588" t="str">
            <v/>
          </cell>
          <cell r="O588" t="str">
            <v/>
          </cell>
          <cell r="P588" t="str">
            <v/>
          </cell>
          <cell r="Q588" t="str">
            <v/>
          </cell>
          <cell r="T588" t="str">
            <v/>
          </cell>
          <cell r="U588" t="str">
            <v/>
          </cell>
          <cell r="W588" t="str">
            <v/>
          </cell>
          <cell r="X588" t="str">
            <v/>
          </cell>
          <cell r="AB588">
            <v>0</v>
          </cell>
          <cell r="AC588">
            <v>0</v>
          </cell>
          <cell r="AD588">
            <v>0</v>
          </cell>
          <cell r="AJ588">
            <v>0</v>
          </cell>
          <cell r="AK588">
            <v>0</v>
          </cell>
        </row>
        <row r="589">
          <cell r="B589" t="str">
            <v/>
          </cell>
          <cell r="H589" t="str">
            <v/>
          </cell>
          <cell r="J589" t="str">
            <v/>
          </cell>
          <cell r="N589" t="str">
            <v/>
          </cell>
          <cell r="O589" t="str">
            <v/>
          </cell>
          <cell r="P589" t="str">
            <v/>
          </cell>
          <cell r="Q589" t="str">
            <v/>
          </cell>
          <cell r="T589" t="str">
            <v/>
          </cell>
          <cell r="U589" t="str">
            <v/>
          </cell>
          <cell r="W589" t="str">
            <v/>
          </cell>
          <cell r="X589" t="str">
            <v/>
          </cell>
          <cell r="AB589">
            <v>0</v>
          </cell>
          <cell r="AC589">
            <v>0</v>
          </cell>
          <cell r="AD589">
            <v>0</v>
          </cell>
          <cell r="AJ589">
            <v>0</v>
          </cell>
          <cell r="AK589">
            <v>0</v>
          </cell>
        </row>
        <row r="590">
          <cell r="B590" t="str">
            <v/>
          </cell>
          <cell r="H590" t="str">
            <v/>
          </cell>
          <cell r="J590" t="str">
            <v/>
          </cell>
          <cell r="N590" t="str">
            <v/>
          </cell>
          <cell r="O590" t="str">
            <v/>
          </cell>
          <cell r="P590" t="str">
            <v/>
          </cell>
          <cell r="Q590" t="str">
            <v/>
          </cell>
          <cell r="T590" t="str">
            <v/>
          </cell>
          <cell r="U590" t="str">
            <v/>
          </cell>
          <cell r="W590" t="str">
            <v/>
          </cell>
          <cell r="X590" t="str">
            <v/>
          </cell>
          <cell r="AB590">
            <v>0</v>
          </cell>
          <cell r="AC590">
            <v>0</v>
          </cell>
          <cell r="AD590">
            <v>0</v>
          </cell>
          <cell r="AJ590">
            <v>0</v>
          </cell>
          <cell r="AK590">
            <v>0</v>
          </cell>
        </row>
        <row r="591">
          <cell r="B591" t="str">
            <v/>
          </cell>
          <cell r="H591" t="str">
            <v/>
          </cell>
          <cell r="J591" t="str">
            <v/>
          </cell>
          <cell r="N591" t="str">
            <v/>
          </cell>
          <cell r="O591" t="str">
            <v/>
          </cell>
          <cell r="P591" t="str">
            <v/>
          </cell>
          <cell r="Q591" t="str">
            <v/>
          </cell>
          <cell r="T591" t="str">
            <v/>
          </cell>
          <cell r="U591" t="str">
            <v/>
          </cell>
          <cell r="W591" t="str">
            <v/>
          </cell>
          <cell r="X591" t="str">
            <v/>
          </cell>
          <cell r="AB591">
            <v>0</v>
          </cell>
          <cell r="AC591">
            <v>0</v>
          </cell>
          <cell r="AD591">
            <v>0</v>
          </cell>
          <cell r="AJ591">
            <v>0</v>
          </cell>
          <cell r="AK591">
            <v>0</v>
          </cell>
        </row>
        <row r="592">
          <cell r="B592" t="str">
            <v/>
          </cell>
          <cell r="H592" t="str">
            <v/>
          </cell>
          <cell r="J592" t="str">
            <v/>
          </cell>
          <cell r="N592" t="str">
            <v/>
          </cell>
          <cell r="O592" t="str">
            <v/>
          </cell>
          <cell r="P592" t="str">
            <v/>
          </cell>
          <cell r="Q592" t="str">
            <v/>
          </cell>
          <cell r="T592" t="str">
            <v/>
          </cell>
          <cell r="U592" t="str">
            <v/>
          </cell>
          <cell r="W592" t="str">
            <v/>
          </cell>
          <cell r="X592" t="str">
            <v/>
          </cell>
          <cell r="AB592">
            <v>0</v>
          </cell>
          <cell r="AC592">
            <v>0</v>
          </cell>
          <cell r="AD592">
            <v>0</v>
          </cell>
          <cell r="AJ592">
            <v>0</v>
          </cell>
          <cell r="AK592">
            <v>0</v>
          </cell>
        </row>
        <row r="593">
          <cell r="B593" t="str">
            <v/>
          </cell>
          <cell r="H593" t="str">
            <v/>
          </cell>
          <cell r="J593" t="str">
            <v/>
          </cell>
          <cell r="N593" t="str">
            <v/>
          </cell>
          <cell r="O593" t="str">
            <v/>
          </cell>
          <cell r="P593" t="str">
            <v/>
          </cell>
          <cell r="Q593" t="str">
            <v/>
          </cell>
          <cell r="T593" t="str">
            <v/>
          </cell>
          <cell r="U593" t="str">
            <v/>
          </cell>
          <cell r="W593" t="str">
            <v/>
          </cell>
          <cell r="X593" t="str">
            <v/>
          </cell>
          <cell r="AB593">
            <v>0</v>
          </cell>
          <cell r="AC593">
            <v>0</v>
          </cell>
          <cell r="AD593">
            <v>0</v>
          </cell>
          <cell r="AJ593">
            <v>0</v>
          </cell>
          <cell r="AK593">
            <v>0</v>
          </cell>
        </row>
        <row r="594">
          <cell r="B594" t="str">
            <v/>
          </cell>
          <cell r="H594" t="str">
            <v/>
          </cell>
          <cell r="J594" t="str">
            <v/>
          </cell>
          <cell r="N594" t="str">
            <v/>
          </cell>
          <cell r="O594" t="str">
            <v/>
          </cell>
          <cell r="P594" t="str">
            <v/>
          </cell>
          <cell r="Q594" t="str">
            <v/>
          </cell>
          <cell r="T594" t="str">
            <v/>
          </cell>
          <cell r="U594" t="str">
            <v/>
          </cell>
          <cell r="W594" t="str">
            <v/>
          </cell>
          <cell r="X594" t="str">
            <v/>
          </cell>
          <cell r="AB594">
            <v>0</v>
          </cell>
          <cell r="AC594">
            <v>0</v>
          </cell>
          <cell r="AD594">
            <v>0</v>
          </cell>
          <cell r="AJ594">
            <v>0</v>
          </cell>
          <cell r="AK594">
            <v>0</v>
          </cell>
        </row>
        <row r="595">
          <cell r="B595" t="str">
            <v/>
          </cell>
          <cell r="H595" t="str">
            <v/>
          </cell>
          <cell r="J595" t="str">
            <v/>
          </cell>
          <cell r="N595" t="str">
            <v/>
          </cell>
          <cell r="O595" t="str">
            <v/>
          </cell>
          <cell r="P595" t="str">
            <v/>
          </cell>
          <cell r="Q595" t="str">
            <v/>
          </cell>
          <cell r="T595" t="str">
            <v/>
          </cell>
          <cell r="U595" t="str">
            <v/>
          </cell>
          <cell r="W595" t="str">
            <v/>
          </cell>
          <cell r="X595" t="str">
            <v/>
          </cell>
          <cell r="AB595">
            <v>0</v>
          </cell>
          <cell r="AC595">
            <v>0</v>
          </cell>
          <cell r="AD595">
            <v>0</v>
          </cell>
          <cell r="AJ595">
            <v>0</v>
          </cell>
          <cell r="AK595">
            <v>0</v>
          </cell>
        </row>
        <row r="596">
          <cell r="B596" t="str">
            <v/>
          </cell>
          <cell r="H596" t="str">
            <v/>
          </cell>
          <cell r="J596" t="str">
            <v/>
          </cell>
          <cell r="N596" t="str">
            <v/>
          </cell>
          <cell r="O596" t="str">
            <v/>
          </cell>
          <cell r="P596" t="str">
            <v/>
          </cell>
          <cell r="Q596" t="str">
            <v/>
          </cell>
          <cell r="T596" t="str">
            <v/>
          </cell>
          <cell r="U596" t="str">
            <v/>
          </cell>
          <cell r="W596" t="str">
            <v/>
          </cell>
          <cell r="X596" t="str">
            <v/>
          </cell>
          <cell r="AB596">
            <v>0</v>
          </cell>
          <cell r="AC596">
            <v>0</v>
          </cell>
          <cell r="AD596">
            <v>0</v>
          </cell>
          <cell r="AJ596">
            <v>0</v>
          </cell>
          <cell r="AK596">
            <v>0</v>
          </cell>
        </row>
        <row r="597">
          <cell r="B597" t="str">
            <v/>
          </cell>
          <cell r="H597" t="str">
            <v/>
          </cell>
          <cell r="J597" t="str">
            <v/>
          </cell>
          <cell r="N597" t="str">
            <v/>
          </cell>
          <cell r="O597" t="str">
            <v/>
          </cell>
          <cell r="P597" t="str">
            <v/>
          </cell>
          <cell r="Q597" t="str">
            <v/>
          </cell>
          <cell r="T597" t="str">
            <v/>
          </cell>
          <cell r="U597" t="str">
            <v/>
          </cell>
          <cell r="W597" t="str">
            <v/>
          </cell>
          <cell r="X597" t="str">
            <v/>
          </cell>
          <cell r="AB597">
            <v>0</v>
          </cell>
          <cell r="AC597">
            <v>0</v>
          </cell>
          <cell r="AD597">
            <v>0</v>
          </cell>
          <cell r="AJ597">
            <v>0</v>
          </cell>
          <cell r="AK597">
            <v>0</v>
          </cell>
        </row>
        <row r="598">
          <cell r="B598" t="str">
            <v/>
          </cell>
          <cell r="H598" t="str">
            <v/>
          </cell>
          <cell r="J598" t="str">
            <v/>
          </cell>
          <cell r="N598" t="str">
            <v/>
          </cell>
          <cell r="O598" t="str">
            <v/>
          </cell>
          <cell r="P598" t="str">
            <v/>
          </cell>
          <cell r="Q598" t="str">
            <v/>
          </cell>
          <cell r="T598" t="str">
            <v/>
          </cell>
          <cell r="U598" t="str">
            <v/>
          </cell>
          <cell r="W598" t="str">
            <v/>
          </cell>
          <cell r="X598" t="str">
            <v/>
          </cell>
          <cell r="AB598">
            <v>0</v>
          </cell>
          <cell r="AC598">
            <v>0</v>
          </cell>
          <cell r="AD598">
            <v>0</v>
          </cell>
          <cell r="AJ598">
            <v>0</v>
          </cell>
          <cell r="AK598">
            <v>0</v>
          </cell>
        </row>
        <row r="599">
          <cell r="B599" t="str">
            <v/>
          </cell>
          <cell r="H599" t="str">
            <v/>
          </cell>
          <cell r="J599" t="str">
            <v/>
          </cell>
          <cell r="N599" t="str">
            <v/>
          </cell>
          <cell r="O599" t="str">
            <v/>
          </cell>
          <cell r="P599" t="str">
            <v/>
          </cell>
          <cell r="Q599" t="str">
            <v/>
          </cell>
          <cell r="T599" t="str">
            <v/>
          </cell>
          <cell r="U599" t="str">
            <v/>
          </cell>
          <cell r="W599" t="str">
            <v/>
          </cell>
          <cell r="X599" t="str">
            <v/>
          </cell>
          <cell r="AB599">
            <v>0</v>
          </cell>
          <cell r="AC599">
            <v>0</v>
          </cell>
          <cell r="AD599">
            <v>0</v>
          </cell>
          <cell r="AJ599">
            <v>0</v>
          </cell>
          <cell r="AK599">
            <v>0</v>
          </cell>
        </row>
        <row r="600">
          <cell r="B600" t="str">
            <v/>
          </cell>
          <cell r="H600" t="str">
            <v/>
          </cell>
          <cell r="J600" t="str">
            <v/>
          </cell>
          <cell r="N600" t="str">
            <v/>
          </cell>
          <cell r="O600" t="str">
            <v/>
          </cell>
          <cell r="P600" t="str">
            <v/>
          </cell>
          <cell r="Q600" t="str">
            <v/>
          </cell>
          <cell r="T600" t="str">
            <v/>
          </cell>
          <cell r="U600" t="str">
            <v/>
          </cell>
          <cell r="W600" t="str">
            <v/>
          </cell>
          <cell r="X600" t="str">
            <v/>
          </cell>
          <cell r="AB600">
            <v>0</v>
          </cell>
          <cell r="AC600">
            <v>0</v>
          </cell>
          <cell r="AD600">
            <v>0</v>
          </cell>
          <cell r="AJ600">
            <v>0</v>
          </cell>
          <cell r="AK600">
            <v>0</v>
          </cell>
        </row>
        <row r="601">
          <cell r="B601" t="str">
            <v/>
          </cell>
          <cell r="H601" t="str">
            <v/>
          </cell>
          <cell r="J601" t="str">
            <v/>
          </cell>
          <cell r="N601" t="str">
            <v/>
          </cell>
          <cell r="O601" t="str">
            <v/>
          </cell>
          <cell r="P601" t="str">
            <v/>
          </cell>
          <cell r="Q601" t="str">
            <v/>
          </cell>
          <cell r="T601" t="str">
            <v/>
          </cell>
          <cell r="U601" t="str">
            <v/>
          </cell>
          <cell r="W601" t="str">
            <v/>
          </cell>
          <cell r="X601" t="str">
            <v/>
          </cell>
          <cell r="AB601">
            <v>0</v>
          </cell>
          <cell r="AC601">
            <v>0</v>
          </cell>
          <cell r="AD601">
            <v>0</v>
          </cell>
          <cell r="AJ601">
            <v>0</v>
          </cell>
          <cell r="AK601">
            <v>0</v>
          </cell>
        </row>
        <row r="602">
          <cell r="B602" t="str">
            <v/>
          </cell>
          <cell r="H602" t="str">
            <v/>
          </cell>
          <cell r="J602" t="str">
            <v/>
          </cell>
          <cell r="N602" t="str">
            <v/>
          </cell>
          <cell r="O602" t="str">
            <v/>
          </cell>
          <cell r="P602" t="str">
            <v/>
          </cell>
          <cell r="Q602" t="str">
            <v/>
          </cell>
          <cell r="T602" t="str">
            <v/>
          </cell>
          <cell r="U602" t="str">
            <v/>
          </cell>
          <cell r="W602" t="str">
            <v/>
          </cell>
          <cell r="X602" t="str">
            <v/>
          </cell>
          <cell r="AB602">
            <v>0</v>
          </cell>
          <cell r="AC602">
            <v>0</v>
          </cell>
          <cell r="AD602">
            <v>0</v>
          </cell>
          <cell r="AJ602">
            <v>0</v>
          </cell>
          <cell r="AK602">
            <v>0</v>
          </cell>
        </row>
        <row r="603">
          <cell r="B603" t="str">
            <v/>
          </cell>
          <cell r="H603" t="str">
            <v/>
          </cell>
          <cell r="J603" t="str">
            <v/>
          </cell>
          <cell r="N603" t="str">
            <v/>
          </cell>
          <cell r="O603" t="str">
            <v/>
          </cell>
          <cell r="P603" t="str">
            <v/>
          </cell>
          <cell r="Q603" t="str">
            <v/>
          </cell>
          <cell r="T603" t="str">
            <v/>
          </cell>
          <cell r="U603" t="str">
            <v/>
          </cell>
          <cell r="W603" t="str">
            <v/>
          </cell>
          <cell r="X603" t="str">
            <v/>
          </cell>
          <cell r="AB603">
            <v>0</v>
          </cell>
          <cell r="AC603">
            <v>0</v>
          </cell>
          <cell r="AD603">
            <v>0</v>
          </cell>
          <cell r="AJ603">
            <v>0</v>
          </cell>
          <cell r="AK603">
            <v>0</v>
          </cell>
        </row>
        <row r="604">
          <cell r="B604" t="str">
            <v/>
          </cell>
          <cell r="H604" t="str">
            <v/>
          </cell>
          <cell r="J604" t="str">
            <v/>
          </cell>
          <cell r="N604" t="str">
            <v/>
          </cell>
          <cell r="O604" t="str">
            <v/>
          </cell>
          <cell r="P604" t="str">
            <v/>
          </cell>
          <cell r="Q604" t="str">
            <v/>
          </cell>
          <cell r="T604" t="str">
            <v/>
          </cell>
          <cell r="U604" t="str">
            <v/>
          </cell>
          <cell r="W604" t="str">
            <v/>
          </cell>
          <cell r="X604" t="str">
            <v/>
          </cell>
          <cell r="AB604">
            <v>0</v>
          </cell>
          <cell r="AC604">
            <v>0</v>
          </cell>
          <cell r="AD604">
            <v>0</v>
          </cell>
          <cell r="AJ604">
            <v>0</v>
          </cell>
          <cell r="AK604">
            <v>0</v>
          </cell>
        </row>
        <row r="605">
          <cell r="B605" t="str">
            <v/>
          </cell>
          <cell r="H605" t="str">
            <v/>
          </cell>
          <cell r="J605" t="str">
            <v/>
          </cell>
          <cell r="N605" t="str">
            <v/>
          </cell>
          <cell r="O605" t="str">
            <v/>
          </cell>
          <cell r="P605" t="str">
            <v/>
          </cell>
          <cell r="Q605" t="str">
            <v/>
          </cell>
          <cell r="T605" t="str">
            <v/>
          </cell>
          <cell r="U605" t="str">
            <v/>
          </cell>
          <cell r="W605" t="str">
            <v/>
          </cell>
          <cell r="X605" t="str">
            <v/>
          </cell>
          <cell r="AB605">
            <v>0</v>
          </cell>
          <cell r="AC605">
            <v>0</v>
          </cell>
          <cell r="AD605">
            <v>0</v>
          </cell>
          <cell r="AJ605">
            <v>0</v>
          </cell>
          <cell r="AK605">
            <v>0</v>
          </cell>
        </row>
        <row r="606">
          <cell r="B606" t="str">
            <v/>
          </cell>
          <cell r="H606" t="str">
            <v/>
          </cell>
          <cell r="J606" t="str">
            <v/>
          </cell>
          <cell r="N606" t="str">
            <v/>
          </cell>
          <cell r="O606" t="str">
            <v/>
          </cell>
          <cell r="P606" t="str">
            <v/>
          </cell>
          <cell r="Q606" t="str">
            <v/>
          </cell>
          <cell r="T606" t="str">
            <v/>
          </cell>
          <cell r="U606" t="str">
            <v/>
          </cell>
          <cell r="W606" t="str">
            <v/>
          </cell>
          <cell r="X606" t="str">
            <v/>
          </cell>
          <cell r="AB606">
            <v>0</v>
          </cell>
          <cell r="AC606">
            <v>0</v>
          </cell>
          <cell r="AD606">
            <v>0</v>
          </cell>
          <cell r="AJ606">
            <v>0</v>
          </cell>
          <cell r="AK606">
            <v>0</v>
          </cell>
        </row>
        <row r="607">
          <cell r="B607" t="str">
            <v/>
          </cell>
          <cell r="H607" t="str">
            <v/>
          </cell>
          <cell r="J607" t="str">
            <v/>
          </cell>
          <cell r="N607" t="str">
            <v/>
          </cell>
          <cell r="O607" t="str">
            <v/>
          </cell>
          <cell r="P607" t="str">
            <v/>
          </cell>
          <cell r="Q607" t="str">
            <v/>
          </cell>
          <cell r="T607" t="str">
            <v/>
          </cell>
          <cell r="U607" t="str">
            <v/>
          </cell>
          <cell r="W607" t="str">
            <v/>
          </cell>
          <cell r="X607" t="str">
            <v/>
          </cell>
          <cell r="AB607">
            <v>0</v>
          </cell>
          <cell r="AC607">
            <v>0</v>
          </cell>
          <cell r="AD607">
            <v>0</v>
          </cell>
          <cell r="AJ607">
            <v>0</v>
          </cell>
          <cell r="AK607">
            <v>0</v>
          </cell>
        </row>
        <row r="608">
          <cell r="B608" t="str">
            <v/>
          </cell>
          <cell r="H608" t="str">
            <v/>
          </cell>
          <cell r="J608" t="str">
            <v/>
          </cell>
          <cell r="N608" t="str">
            <v/>
          </cell>
          <cell r="O608" t="str">
            <v/>
          </cell>
          <cell r="P608" t="str">
            <v/>
          </cell>
          <cell r="Q608" t="str">
            <v/>
          </cell>
          <cell r="T608" t="str">
            <v/>
          </cell>
          <cell r="U608" t="str">
            <v/>
          </cell>
          <cell r="W608" t="str">
            <v/>
          </cell>
          <cell r="X608" t="str">
            <v/>
          </cell>
          <cell r="AB608">
            <v>0</v>
          </cell>
          <cell r="AC608">
            <v>0</v>
          </cell>
          <cell r="AD608">
            <v>0</v>
          </cell>
          <cell r="AJ608">
            <v>0</v>
          </cell>
          <cell r="AK608">
            <v>0</v>
          </cell>
        </row>
        <row r="609">
          <cell r="B609" t="str">
            <v/>
          </cell>
          <cell r="H609" t="str">
            <v/>
          </cell>
          <cell r="J609" t="str">
            <v/>
          </cell>
          <cell r="N609" t="str">
            <v/>
          </cell>
          <cell r="O609" t="str">
            <v/>
          </cell>
          <cell r="P609" t="str">
            <v/>
          </cell>
          <cell r="Q609" t="str">
            <v/>
          </cell>
          <cell r="T609" t="str">
            <v/>
          </cell>
          <cell r="U609" t="str">
            <v/>
          </cell>
          <cell r="W609" t="str">
            <v/>
          </cell>
          <cell r="X609" t="str">
            <v/>
          </cell>
          <cell r="AB609">
            <v>0</v>
          </cell>
          <cell r="AC609">
            <v>0</v>
          </cell>
          <cell r="AD609">
            <v>0</v>
          </cell>
          <cell r="AJ609">
            <v>0</v>
          </cell>
          <cell r="AK609">
            <v>0</v>
          </cell>
        </row>
        <row r="610">
          <cell r="B610" t="str">
            <v/>
          </cell>
          <cell r="H610" t="str">
            <v/>
          </cell>
          <cell r="J610" t="str">
            <v/>
          </cell>
          <cell r="N610" t="str">
            <v/>
          </cell>
          <cell r="O610" t="str">
            <v/>
          </cell>
          <cell r="P610" t="str">
            <v/>
          </cell>
          <cell r="Q610" t="str">
            <v/>
          </cell>
          <cell r="T610" t="str">
            <v/>
          </cell>
          <cell r="U610" t="str">
            <v/>
          </cell>
          <cell r="W610" t="str">
            <v/>
          </cell>
          <cell r="X610" t="str">
            <v/>
          </cell>
          <cell r="AB610">
            <v>0</v>
          </cell>
          <cell r="AC610">
            <v>0</v>
          </cell>
          <cell r="AD610">
            <v>0</v>
          </cell>
          <cell r="AJ610">
            <v>0</v>
          </cell>
          <cell r="AK610">
            <v>0</v>
          </cell>
        </row>
        <row r="611">
          <cell r="B611" t="str">
            <v/>
          </cell>
          <cell r="H611" t="str">
            <v/>
          </cell>
          <cell r="J611" t="str">
            <v/>
          </cell>
          <cell r="N611" t="str">
            <v/>
          </cell>
          <cell r="O611" t="str">
            <v/>
          </cell>
          <cell r="P611" t="str">
            <v/>
          </cell>
          <cell r="Q611" t="str">
            <v/>
          </cell>
          <cell r="T611" t="str">
            <v/>
          </cell>
          <cell r="U611" t="str">
            <v/>
          </cell>
          <cell r="W611" t="str">
            <v/>
          </cell>
          <cell r="X611" t="str">
            <v/>
          </cell>
          <cell r="AB611">
            <v>0</v>
          </cell>
          <cell r="AC611">
            <v>0</v>
          </cell>
          <cell r="AD611">
            <v>0</v>
          </cell>
          <cell r="AJ611">
            <v>0</v>
          </cell>
          <cell r="AK611">
            <v>0</v>
          </cell>
        </row>
        <row r="612">
          <cell r="B612" t="str">
            <v/>
          </cell>
          <cell r="H612" t="str">
            <v/>
          </cell>
          <cell r="J612" t="str">
            <v/>
          </cell>
          <cell r="N612" t="str">
            <v/>
          </cell>
          <cell r="O612" t="str">
            <v/>
          </cell>
          <cell r="P612" t="str">
            <v/>
          </cell>
          <cell r="Q612" t="str">
            <v/>
          </cell>
          <cell r="T612" t="str">
            <v/>
          </cell>
          <cell r="U612" t="str">
            <v/>
          </cell>
          <cell r="W612" t="str">
            <v/>
          </cell>
          <cell r="X612" t="str">
            <v/>
          </cell>
          <cell r="AB612">
            <v>0</v>
          </cell>
          <cell r="AC612">
            <v>0</v>
          </cell>
          <cell r="AD612">
            <v>0</v>
          </cell>
          <cell r="AJ612">
            <v>0</v>
          </cell>
          <cell r="AK612">
            <v>0</v>
          </cell>
        </row>
        <row r="613">
          <cell r="B613" t="str">
            <v/>
          </cell>
          <cell r="H613" t="str">
            <v/>
          </cell>
          <cell r="J613" t="str">
            <v/>
          </cell>
          <cell r="N613" t="str">
            <v/>
          </cell>
          <cell r="O613" t="str">
            <v/>
          </cell>
          <cell r="P613" t="str">
            <v/>
          </cell>
          <cell r="Q613" t="str">
            <v/>
          </cell>
          <cell r="T613" t="str">
            <v/>
          </cell>
          <cell r="U613" t="str">
            <v/>
          </cell>
          <cell r="W613" t="str">
            <v/>
          </cell>
          <cell r="X613" t="str">
            <v/>
          </cell>
          <cell r="AB613">
            <v>0</v>
          </cell>
          <cell r="AC613">
            <v>0</v>
          </cell>
          <cell r="AD613">
            <v>0</v>
          </cell>
          <cell r="AJ613">
            <v>0</v>
          </cell>
          <cell r="AK613">
            <v>0</v>
          </cell>
        </row>
        <row r="614">
          <cell r="B614" t="str">
            <v/>
          </cell>
          <cell r="H614" t="str">
            <v/>
          </cell>
          <cell r="J614" t="str">
            <v/>
          </cell>
          <cell r="N614" t="str">
            <v/>
          </cell>
          <cell r="O614" t="str">
            <v/>
          </cell>
          <cell r="P614" t="str">
            <v/>
          </cell>
          <cell r="Q614" t="str">
            <v/>
          </cell>
          <cell r="T614" t="str">
            <v/>
          </cell>
          <cell r="U614" t="str">
            <v/>
          </cell>
          <cell r="W614" t="str">
            <v/>
          </cell>
          <cell r="X614" t="str">
            <v/>
          </cell>
          <cell r="AB614">
            <v>0</v>
          </cell>
          <cell r="AC614">
            <v>0</v>
          </cell>
          <cell r="AD614">
            <v>0</v>
          </cell>
          <cell r="AJ614">
            <v>0</v>
          </cell>
          <cell r="AK614">
            <v>0</v>
          </cell>
        </row>
        <row r="615">
          <cell r="B615" t="str">
            <v/>
          </cell>
          <cell r="H615" t="str">
            <v/>
          </cell>
          <cell r="J615" t="str">
            <v/>
          </cell>
          <cell r="N615" t="str">
            <v/>
          </cell>
          <cell r="O615" t="str">
            <v/>
          </cell>
          <cell r="P615" t="str">
            <v/>
          </cell>
          <cell r="Q615" t="str">
            <v/>
          </cell>
          <cell r="T615" t="str">
            <v/>
          </cell>
          <cell r="U615" t="str">
            <v/>
          </cell>
          <cell r="W615" t="str">
            <v/>
          </cell>
          <cell r="X615" t="str">
            <v/>
          </cell>
          <cell r="AB615">
            <v>0</v>
          </cell>
          <cell r="AC615">
            <v>0</v>
          </cell>
          <cell r="AD615">
            <v>0</v>
          </cell>
          <cell r="AJ615">
            <v>0</v>
          </cell>
          <cell r="AK615">
            <v>0</v>
          </cell>
        </row>
        <row r="616">
          <cell r="B616" t="str">
            <v/>
          </cell>
          <cell r="H616" t="str">
            <v/>
          </cell>
          <cell r="J616" t="str">
            <v/>
          </cell>
          <cell r="N616" t="str">
            <v/>
          </cell>
          <cell r="O616" t="str">
            <v/>
          </cell>
          <cell r="P616" t="str">
            <v/>
          </cell>
          <cell r="Q616" t="str">
            <v/>
          </cell>
          <cell r="T616" t="str">
            <v/>
          </cell>
          <cell r="U616" t="str">
            <v/>
          </cell>
          <cell r="W616" t="str">
            <v/>
          </cell>
          <cell r="X616" t="str">
            <v/>
          </cell>
          <cell r="AB616">
            <v>0</v>
          </cell>
          <cell r="AC616">
            <v>0</v>
          </cell>
          <cell r="AD616">
            <v>0</v>
          </cell>
          <cell r="AJ616">
            <v>0</v>
          </cell>
          <cell r="AK616">
            <v>0</v>
          </cell>
        </row>
        <row r="617">
          <cell r="B617" t="str">
            <v/>
          </cell>
          <cell r="H617" t="str">
            <v/>
          </cell>
          <cell r="J617" t="str">
            <v/>
          </cell>
          <cell r="N617" t="str">
            <v/>
          </cell>
          <cell r="O617" t="str">
            <v/>
          </cell>
          <cell r="P617" t="str">
            <v/>
          </cell>
          <cell r="Q617" t="str">
            <v/>
          </cell>
          <cell r="T617" t="str">
            <v/>
          </cell>
          <cell r="U617" t="str">
            <v/>
          </cell>
          <cell r="W617" t="str">
            <v/>
          </cell>
          <cell r="X617" t="str">
            <v/>
          </cell>
          <cell r="AB617">
            <v>0</v>
          </cell>
          <cell r="AC617">
            <v>0</v>
          </cell>
          <cell r="AD617">
            <v>0</v>
          </cell>
          <cell r="AJ617">
            <v>0</v>
          </cell>
          <cell r="AK617">
            <v>0</v>
          </cell>
        </row>
        <row r="618">
          <cell r="B618" t="str">
            <v/>
          </cell>
          <cell r="H618" t="str">
            <v/>
          </cell>
          <cell r="J618" t="str">
            <v/>
          </cell>
          <cell r="N618" t="str">
            <v/>
          </cell>
          <cell r="O618" t="str">
            <v/>
          </cell>
          <cell r="P618" t="str">
            <v/>
          </cell>
          <cell r="Q618" t="str">
            <v/>
          </cell>
          <cell r="T618" t="str">
            <v/>
          </cell>
          <cell r="U618" t="str">
            <v/>
          </cell>
          <cell r="W618" t="str">
            <v/>
          </cell>
          <cell r="X618" t="str">
            <v/>
          </cell>
          <cell r="AB618">
            <v>0</v>
          </cell>
          <cell r="AC618">
            <v>0</v>
          </cell>
          <cell r="AD618">
            <v>0</v>
          </cell>
          <cell r="AJ618">
            <v>0</v>
          </cell>
          <cell r="AK618">
            <v>0</v>
          </cell>
        </row>
        <row r="619">
          <cell r="B619" t="str">
            <v/>
          </cell>
          <cell r="H619" t="str">
            <v/>
          </cell>
          <cell r="J619" t="str">
            <v/>
          </cell>
          <cell r="N619" t="str">
            <v/>
          </cell>
          <cell r="O619" t="str">
            <v/>
          </cell>
          <cell r="P619" t="str">
            <v/>
          </cell>
          <cell r="Q619" t="str">
            <v/>
          </cell>
          <cell r="T619" t="str">
            <v/>
          </cell>
          <cell r="U619" t="str">
            <v/>
          </cell>
          <cell r="W619" t="str">
            <v/>
          </cell>
          <cell r="X619" t="str">
            <v/>
          </cell>
          <cell r="AB619">
            <v>0</v>
          </cell>
          <cell r="AC619">
            <v>0</v>
          </cell>
          <cell r="AD619">
            <v>0</v>
          </cell>
          <cell r="AJ619">
            <v>0</v>
          </cell>
          <cell r="AK619">
            <v>0</v>
          </cell>
        </row>
        <row r="620">
          <cell r="B620" t="str">
            <v/>
          </cell>
          <cell r="H620" t="str">
            <v/>
          </cell>
          <cell r="J620" t="str">
            <v/>
          </cell>
          <cell r="N620" t="str">
            <v/>
          </cell>
          <cell r="O620" t="str">
            <v/>
          </cell>
          <cell r="P620" t="str">
            <v/>
          </cell>
          <cell r="Q620" t="str">
            <v/>
          </cell>
          <cell r="T620" t="str">
            <v/>
          </cell>
          <cell r="U620" t="str">
            <v/>
          </cell>
          <cell r="W620" t="str">
            <v/>
          </cell>
          <cell r="X620" t="str">
            <v/>
          </cell>
          <cell r="AB620">
            <v>0</v>
          </cell>
          <cell r="AC620">
            <v>0</v>
          </cell>
          <cell r="AD620">
            <v>0</v>
          </cell>
          <cell r="AJ620">
            <v>0</v>
          </cell>
          <cell r="AK620">
            <v>0</v>
          </cell>
        </row>
        <row r="621">
          <cell r="B621" t="str">
            <v/>
          </cell>
          <cell r="H621" t="str">
            <v/>
          </cell>
          <cell r="J621" t="str">
            <v/>
          </cell>
          <cell r="N621" t="str">
            <v/>
          </cell>
          <cell r="O621" t="str">
            <v/>
          </cell>
          <cell r="P621" t="str">
            <v/>
          </cell>
          <cell r="Q621" t="str">
            <v/>
          </cell>
          <cell r="T621" t="str">
            <v/>
          </cell>
          <cell r="U621" t="str">
            <v/>
          </cell>
          <cell r="W621" t="str">
            <v/>
          </cell>
          <cell r="X621" t="str">
            <v/>
          </cell>
          <cell r="AB621">
            <v>0</v>
          </cell>
          <cell r="AC621">
            <v>0</v>
          </cell>
          <cell r="AD621">
            <v>0</v>
          </cell>
          <cell r="AJ621">
            <v>0</v>
          </cell>
          <cell r="AK621">
            <v>0</v>
          </cell>
        </row>
        <row r="622">
          <cell r="B622" t="str">
            <v/>
          </cell>
          <cell r="H622" t="str">
            <v/>
          </cell>
          <cell r="J622" t="str">
            <v/>
          </cell>
          <cell r="N622" t="str">
            <v/>
          </cell>
          <cell r="O622" t="str">
            <v/>
          </cell>
          <cell r="P622" t="str">
            <v/>
          </cell>
          <cell r="Q622" t="str">
            <v/>
          </cell>
          <cell r="T622" t="str">
            <v/>
          </cell>
          <cell r="U622" t="str">
            <v/>
          </cell>
          <cell r="W622" t="str">
            <v/>
          </cell>
          <cell r="X622" t="str">
            <v/>
          </cell>
          <cell r="AB622">
            <v>0</v>
          </cell>
          <cell r="AC622">
            <v>0</v>
          </cell>
          <cell r="AD622">
            <v>0</v>
          </cell>
          <cell r="AJ622">
            <v>0</v>
          </cell>
          <cell r="AK622">
            <v>0</v>
          </cell>
        </row>
        <row r="623">
          <cell r="B623" t="str">
            <v/>
          </cell>
          <cell r="H623" t="str">
            <v/>
          </cell>
          <cell r="J623" t="str">
            <v/>
          </cell>
          <cell r="N623" t="str">
            <v/>
          </cell>
          <cell r="O623" t="str">
            <v/>
          </cell>
          <cell r="P623" t="str">
            <v/>
          </cell>
          <cell r="Q623" t="str">
            <v/>
          </cell>
          <cell r="T623" t="str">
            <v/>
          </cell>
          <cell r="U623" t="str">
            <v/>
          </cell>
          <cell r="W623" t="str">
            <v/>
          </cell>
          <cell r="X623" t="str">
            <v/>
          </cell>
          <cell r="AB623">
            <v>0</v>
          </cell>
          <cell r="AC623">
            <v>0</v>
          </cell>
          <cell r="AD623">
            <v>0</v>
          </cell>
          <cell r="AJ623">
            <v>0</v>
          </cell>
          <cell r="AK623">
            <v>0</v>
          </cell>
        </row>
        <row r="624">
          <cell r="B624" t="str">
            <v/>
          </cell>
          <cell r="H624" t="str">
            <v/>
          </cell>
          <cell r="J624" t="str">
            <v/>
          </cell>
          <cell r="N624" t="str">
            <v/>
          </cell>
          <cell r="O624" t="str">
            <v/>
          </cell>
          <cell r="P624" t="str">
            <v/>
          </cell>
          <cell r="Q624" t="str">
            <v/>
          </cell>
          <cell r="T624" t="str">
            <v/>
          </cell>
          <cell r="U624" t="str">
            <v/>
          </cell>
          <cell r="W624" t="str">
            <v/>
          </cell>
          <cell r="X624" t="str">
            <v/>
          </cell>
          <cell r="AB624">
            <v>0</v>
          </cell>
          <cell r="AC624">
            <v>0</v>
          </cell>
          <cell r="AD624">
            <v>0</v>
          </cell>
          <cell r="AJ624">
            <v>0</v>
          </cell>
          <cell r="AK624">
            <v>0</v>
          </cell>
        </row>
        <row r="625">
          <cell r="B625" t="str">
            <v/>
          </cell>
          <cell r="H625" t="str">
            <v/>
          </cell>
          <cell r="J625" t="str">
            <v/>
          </cell>
          <cell r="N625" t="str">
            <v/>
          </cell>
          <cell r="O625" t="str">
            <v/>
          </cell>
          <cell r="P625" t="str">
            <v/>
          </cell>
          <cell r="Q625" t="str">
            <v/>
          </cell>
          <cell r="T625" t="str">
            <v/>
          </cell>
          <cell r="U625" t="str">
            <v/>
          </cell>
          <cell r="W625" t="str">
            <v/>
          </cell>
          <cell r="X625" t="str">
            <v/>
          </cell>
          <cell r="AB625">
            <v>0</v>
          </cell>
          <cell r="AC625">
            <v>0</v>
          </cell>
          <cell r="AD625">
            <v>0</v>
          </cell>
          <cell r="AJ625">
            <v>0</v>
          </cell>
          <cell r="AK625">
            <v>0</v>
          </cell>
        </row>
        <row r="626">
          <cell r="B626" t="str">
            <v/>
          </cell>
          <cell r="H626" t="str">
            <v/>
          </cell>
          <cell r="J626" t="str">
            <v/>
          </cell>
          <cell r="N626" t="str">
            <v/>
          </cell>
          <cell r="O626" t="str">
            <v/>
          </cell>
          <cell r="P626" t="str">
            <v/>
          </cell>
          <cell r="Q626" t="str">
            <v/>
          </cell>
          <cell r="T626" t="str">
            <v/>
          </cell>
          <cell r="U626" t="str">
            <v/>
          </cell>
          <cell r="W626" t="str">
            <v/>
          </cell>
          <cell r="X626" t="str">
            <v/>
          </cell>
          <cell r="AB626">
            <v>0</v>
          </cell>
          <cell r="AC626">
            <v>0</v>
          </cell>
          <cell r="AD626">
            <v>0</v>
          </cell>
          <cell r="AJ626">
            <v>0</v>
          </cell>
          <cell r="AK626">
            <v>0</v>
          </cell>
        </row>
        <row r="627">
          <cell r="B627" t="str">
            <v/>
          </cell>
          <cell r="H627" t="str">
            <v/>
          </cell>
          <cell r="J627" t="str">
            <v/>
          </cell>
          <cell r="N627" t="str">
            <v/>
          </cell>
          <cell r="O627" t="str">
            <v/>
          </cell>
          <cell r="P627" t="str">
            <v/>
          </cell>
          <cell r="Q627" t="str">
            <v/>
          </cell>
          <cell r="T627" t="str">
            <v/>
          </cell>
          <cell r="U627" t="str">
            <v/>
          </cell>
          <cell r="W627" t="str">
            <v/>
          </cell>
          <cell r="X627" t="str">
            <v/>
          </cell>
          <cell r="AB627">
            <v>0</v>
          </cell>
          <cell r="AC627">
            <v>0</v>
          </cell>
          <cell r="AD627">
            <v>0</v>
          </cell>
          <cell r="AJ627">
            <v>0</v>
          </cell>
          <cell r="AK627">
            <v>0</v>
          </cell>
        </row>
        <row r="628">
          <cell r="B628" t="str">
            <v/>
          </cell>
          <cell r="H628" t="str">
            <v/>
          </cell>
          <cell r="J628" t="str">
            <v/>
          </cell>
          <cell r="N628" t="str">
            <v/>
          </cell>
          <cell r="O628" t="str">
            <v/>
          </cell>
          <cell r="P628" t="str">
            <v/>
          </cell>
          <cell r="Q628" t="str">
            <v/>
          </cell>
          <cell r="T628" t="str">
            <v/>
          </cell>
          <cell r="U628" t="str">
            <v/>
          </cell>
          <cell r="W628" t="str">
            <v/>
          </cell>
          <cell r="X628" t="str">
            <v/>
          </cell>
          <cell r="AB628">
            <v>0</v>
          </cell>
          <cell r="AC628">
            <v>0</v>
          </cell>
          <cell r="AD628">
            <v>0</v>
          </cell>
          <cell r="AJ628">
            <v>0</v>
          </cell>
          <cell r="AK628">
            <v>0</v>
          </cell>
        </row>
        <row r="629">
          <cell r="B629" t="str">
            <v/>
          </cell>
          <cell r="H629" t="str">
            <v/>
          </cell>
          <cell r="J629" t="str">
            <v/>
          </cell>
          <cell r="N629" t="str">
            <v/>
          </cell>
          <cell r="O629" t="str">
            <v/>
          </cell>
          <cell r="P629" t="str">
            <v/>
          </cell>
          <cell r="Q629" t="str">
            <v/>
          </cell>
          <cell r="T629" t="str">
            <v/>
          </cell>
          <cell r="U629" t="str">
            <v/>
          </cell>
          <cell r="W629" t="str">
            <v/>
          </cell>
          <cell r="X629" t="str">
            <v/>
          </cell>
          <cell r="AB629">
            <v>0</v>
          </cell>
          <cell r="AC629">
            <v>0</v>
          </cell>
          <cell r="AD629">
            <v>0</v>
          </cell>
          <cell r="AJ629">
            <v>0</v>
          </cell>
          <cell r="AK629">
            <v>0</v>
          </cell>
        </row>
        <row r="630">
          <cell r="B630" t="str">
            <v/>
          </cell>
          <cell r="H630" t="str">
            <v/>
          </cell>
          <cell r="J630" t="str">
            <v/>
          </cell>
          <cell r="N630" t="str">
            <v/>
          </cell>
          <cell r="O630" t="str">
            <v/>
          </cell>
          <cell r="P630" t="str">
            <v/>
          </cell>
          <cell r="Q630" t="str">
            <v/>
          </cell>
          <cell r="T630" t="str">
            <v/>
          </cell>
          <cell r="U630" t="str">
            <v/>
          </cell>
          <cell r="W630" t="str">
            <v/>
          </cell>
          <cell r="X630" t="str">
            <v/>
          </cell>
          <cell r="AB630">
            <v>0</v>
          </cell>
          <cell r="AC630">
            <v>0</v>
          </cell>
          <cell r="AD630">
            <v>0</v>
          </cell>
          <cell r="AJ630">
            <v>0</v>
          </cell>
          <cell r="AK630">
            <v>0</v>
          </cell>
        </row>
        <row r="631">
          <cell r="B631" t="str">
            <v/>
          </cell>
          <cell r="H631" t="str">
            <v/>
          </cell>
          <cell r="J631" t="str">
            <v/>
          </cell>
          <cell r="N631" t="str">
            <v/>
          </cell>
          <cell r="O631" t="str">
            <v/>
          </cell>
          <cell r="P631" t="str">
            <v/>
          </cell>
          <cell r="Q631" t="str">
            <v/>
          </cell>
          <cell r="T631" t="str">
            <v/>
          </cell>
          <cell r="U631" t="str">
            <v/>
          </cell>
          <cell r="W631" t="str">
            <v/>
          </cell>
          <cell r="X631" t="str">
            <v/>
          </cell>
          <cell r="AB631">
            <v>0</v>
          </cell>
          <cell r="AC631">
            <v>0</v>
          </cell>
          <cell r="AD631">
            <v>0</v>
          </cell>
          <cell r="AJ631">
            <v>0</v>
          </cell>
          <cell r="AK631">
            <v>0</v>
          </cell>
        </row>
        <row r="632">
          <cell r="B632" t="str">
            <v/>
          </cell>
          <cell r="H632" t="str">
            <v/>
          </cell>
          <cell r="J632" t="str">
            <v/>
          </cell>
          <cell r="N632" t="str">
            <v/>
          </cell>
          <cell r="O632" t="str">
            <v/>
          </cell>
          <cell r="P632" t="str">
            <v/>
          </cell>
          <cell r="Q632" t="str">
            <v/>
          </cell>
          <cell r="T632" t="str">
            <v/>
          </cell>
          <cell r="U632" t="str">
            <v/>
          </cell>
          <cell r="W632" t="str">
            <v/>
          </cell>
          <cell r="X632" t="str">
            <v/>
          </cell>
          <cell r="AB632">
            <v>0</v>
          </cell>
          <cell r="AC632">
            <v>0</v>
          </cell>
          <cell r="AD632">
            <v>0</v>
          </cell>
          <cell r="AJ632">
            <v>0</v>
          </cell>
          <cell r="AK632">
            <v>0</v>
          </cell>
        </row>
        <row r="633">
          <cell r="B633" t="str">
            <v/>
          </cell>
          <cell r="H633" t="str">
            <v/>
          </cell>
          <cell r="J633" t="str">
            <v/>
          </cell>
          <cell r="N633" t="str">
            <v/>
          </cell>
          <cell r="O633" t="str">
            <v/>
          </cell>
          <cell r="P633" t="str">
            <v/>
          </cell>
          <cell r="Q633" t="str">
            <v/>
          </cell>
          <cell r="T633" t="str">
            <v/>
          </cell>
          <cell r="U633" t="str">
            <v/>
          </cell>
          <cell r="W633" t="str">
            <v/>
          </cell>
          <cell r="X633" t="str">
            <v/>
          </cell>
          <cell r="AB633">
            <v>0</v>
          </cell>
          <cell r="AC633">
            <v>0</v>
          </cell>
          <cell r="AD633">
            <v>0</v>
          </cell>
          <cell r="AJ633">
            <v>0</v>
          </cell>
          <cell r="AK633">
            <v>0</v>
          </cell>
        </row>
        <row r="634">
          <cell r="B634" t="str">
            <v/>
          </cell>
          <cell r="H634" t="str">
            <v/>
          </cell>
          <cell r="J634" t="str">
            <v/>
          </cell>
          <cell r="N634" t="str">
            <v/>
          </cell>
          <cell r="O634" t="str">
            <v/>
          </cell>
          <cell r="P634" t="str">
            <v/>
          </cell>
          <cell r="Q634" t="str">
            <v/>
          </cell>
          <cell r="T634" t="str">
            <v/>
          </cell>
          <cell r="U634" t="str">
            <v/>
          </cell>
          <cell r="W634" t="str">
            <v/>
          </cell>
          <cell r="X634" t="str">
            <v/>
          </cell>
          <cell r="AB634">
            <v>0</v>
          </cell>
          <cell r="AC634">
            <v>0</v>
          </cell>
          <cell r="AD634">
            <v>0</v>
          </cell>
          <cell r="AJ634">
            <v>0</v>
          </cell>
          <cell r="AK634">
            <v>0</v>
          </cell>
        </row>
        <row r="635">
          <cell r="B635" t="str">
            <v/>
          </cell>
          <cell r="H635" t="str">
            <v/>
          </cell>
          <cell r="J635" t="str">
            <v/>
          </cell>
          <cell r="N635" t="str">
            <v/>
          </cell>
          <cell r="O635" t="str">
            <v/>
          </cell>
          <cell r="P635" t="str">
            <v/>
          </cell>
          <cell r="Q635" t="str">
            <v/>
          </cell>
          <cell r="T635" t="str">
            <v/>
          </cell>
          <cell r="U635" t="str">
            <v/>
          </cell>
          <cell r="W635" t="str">
            <v/>
          </cell>
          <cell r="X635" t="str">
            <v/>
          </cell>
          <cell r="AB635">
            <v>0</v>
          </cell>
          <cell r="AC635">
            <v>0</v>
          </cell>
          <cell r="AD635">
            <v>0</v>
          </cell>
          <cell r="AJ635">
            <v>0</v>
          </cell>
          <cell r="AK635">
            <v>0</v>
          </cell>
        </row>
        <row r="636">
          <cell r="B636" t="str">
            <v/>
          </cell>
          <cell r="H636" t="str">
            <v/>
          </cell>
          <cell r="J636" t="str">
            <v/>
          </cell>
          <cell r="N636" t="str">
            <v/>
          </cell>
          <cell r="O636" t="str">
            <v/>
          </cell>
          <cell r="P636" t="str">
            <v/>
          </cell>
          <cell r="Q636" t="str">
            <v/>
          </cell>
          <cell r="T636" t="str">
            <v/>
          </cell>
          <cell r="U636" t="str">
            <v/>
          </cell>
          <cell r="W636" t="str">
            <v/>
          </cell>
          <cell r="X636" t="str">
            <v/>
          </cell>
          <cell r="AB636">
            <v>0</v>
          </cell>
          <cell r="AC636">
            <v>0</v>
          </cell>
          <cell r="AD636">
            <v>0</v>
          </cell>
          <cell r="AJ636">
            <v>0</v>
          </cell>
          <cell r="AK636">
            <v>0</v>
          </cell>
        </row>
        <row r="637">
          <cell r="B637" t="str">
            <v/>
          </cell>
          <cell r="H637" t="str">
            <v/>
          </cell>
          <cell r="J637" t="str">
            <v/>
          </cell>
          <cell r="N637" t="str">
            <v/>
          </cell>
          <cell r="O637" t="str">
            <v/>
          </cell>
          <cell r="P637" t="str">
            <v/>
          </cell>
          <cell r="Q637" t="str">
            <v/>
          </cell>
          <cell r="T637" t="str">
            <v/>
          </cell>
          <cell r="U637" t="str">
            <v/>
          </cell>
          <cell r="W637" t="str">
            <v/>
          </cell>
          <cell r="X637" t="str">
            <v/>
          </cell>
          <cell r="AB637">
            <v>0</v>
          </cell>
          <cell r="AC637">
            <v>0</v>
          </cell>
          <cell r="AD637">
            <v>0</v>
          </cell>
          <cell r="AJ637">
            <v>0</v>
          </cell>
          <cell r="AK637">
            <v>0</v>
          </cell>
        </row>
        <row r="638">
          <cell r="B638" t="str">
            <v/>
          </cell>
          <cell r="H638" t="str">
            <v/>
          </cell>
          <cell r="J638" t="str">
            <v/>
          </cell>
          <cell r="N638" t="str">
            <v/>
          </cell>
          <cell r="O638" t="str">
            <v/>
          </cell>
          <cell r="P638" t="str">
            <v/>
          </cell>
          <cell r="Q638" t="str">
            <v/>
          </cell>
          <cell r="T638" t="str">
            <v/>
          </cell>
          <cell r="U638" t="str">
            <v/>
          </cell>
          <cell r="W638" t="str">
            <v/>
          </cell>
          <cell r="X638" t="str">
            <v/>
          </cell>
          <cell r="AB638">
            <v>0</v>
          </cell>
          <cell r="AC638">
            <v>0</v>
          </cell>
          <cell r="AD638">
            <v>0</v>
          </cell>
          <cell r="AJ638">
            <v>0</v>
          </cell>
          <cell r="AK638">
            <v>0</v>
          </cell>
        </row>
        <row r="639">
          <cell r="B639" t="str">
            <v/>
          </cell>
          <cell r="H639" t="str">
            <v/>
          </cell>
          <cell r="J639" t="str">
            <v/>
          </cell>
          <cell r="N639" t="str">
            <v/>
          </cell>
          <cell r="O639" t="str">
            <v/>
          </cell>
          <cell r="P639" t="str">
            <v/>
          </cell>
          <cell r="Q639" t="str">
            <v/>
          </cell>
          <cell r="T639" t="str">
            <v/>
          </cell>
          <cell r="U639" t="str">
            <v/>
          </cell>
          <cell r="W639" t="str">
            <v/>
          </cell>
          <cell r="X639" t="str">
            <v/>
          </cell>
          <cell r="AB639">
            <v>0</v>
          </cell>
          <cell r="AC639">
            <v>0</v>
          </cell>
          <cell r="AD639">
            <v>0</v>
          </cell>
          <cell r="AJ639">
            <v>0</v>
          </cell>
          <cell r="AK639">
            <v>0</v>
          </cell>
        </row>
        <row r="640">
          <cell r="B640" t="str">
            <v/>
          </cell>
          <cell r="H640" t="str">
            <v/>
          </cell>
          <cell r="J640" t="str">
            <v/>
          </cell>
          <cell r="N640" t="str">
            <v/>
          </cell>
          <cell r="O640" t="str">
            <v/>
          </cell>
          <cell r="P640" t="str">
            <v/>
          </cell>
          <cell r="Q640" t="str">
            <v/>
          </cell>
          <cell r="T640" t="str">
            <v/>
          </cell>
          <cell r="U640" t="str">
            <v/>
          </cell>
          <cell r="W640" t="str">
            <v/>
          </cell>
          <cell r="X640" t="str">
            <v/>
          </cell>
          <cell r="AB640">
            <v>0</v>
          </cell>
          <cell r="AC640">
            <v>0</v>
          </cell>
          <cell r="AD640">
            <v>0</v>
          </cell>
          <cell r="AJ640">
            <v>0</v>
          </cell>
          <cell r="AK640">
            <v>0</v>
          </cell>
        </row>
        <row r="641">
          <cell r="B641" t="str">
            <v/>
          </cell>
          <cell r="H641" t="str">
            <v/>
          </cell>
          <cell r="J641" t="str">
            <v/>
          </cell>
          <cell r="N641" t="str">
            <v/>
          </cell>
          <cell r="O641" t="str">
            <v/>
          </cell>
          <cell r="P641" t="str">
            <v/>
          </cell>
          <cell r="Q641" t="str">
            <v/>
          </cell>
          <cell r="T641" t="str">
            <v/>
          </cell>
          <cell r="U641" t="str">
            <v/>
          </cell>
          <cell r="W641" t="str">
            <v/>
          </cell>
          <cell r="X641" t="str">
            <v/>
          </cell>
          <cell r="AB641">
            <v>0</v>
          </cell>
          <cell r="AC641">
            <v>0</v>
          </cell>
          <cell r="AD641">
            <v>0</v>
          </cell>
          <cell r="AJ641">
            <v>0</v>
          </cell>
          <cell r="AK641">
            <v>0</v>
          </cell>
        </row>
        <row r="642">
          <cell r="B642" t="str">
            <v/>
          </cell>
          <cell r="H642" t="str">
            <v/>
          </cell>
          <cell r="J642" t="str">
            <v/>
          </cell>
          <cell r="N642" t="str">
            <v/>
          </cell>
          <cell r="O642" t="str">
            <v/>
          </cell>
          <cell r="P642" t="str">
            <v/>
          </cell>
          <cell r="Q642" t="str">
            <v/>
          </cell>
          <cell r="T642" t="str">
            <v/>
          </cell>
          <cell r="U642" t="str">
            <v/>
          </cell>
          <cell r="W642" t="str">
            <v/>
          </cell>
          <cell r="X642" t="str">
            <v/>
          </cell>
          <cell r="AB642">
            <v>0</v>
          </cell>
          <cell r="AC642">
            <v>0</v>
          </cell>
          <cell r="AD642">
            <v>0</v>
          </cell>
          <cell r="AJ642">
            <v>0</v>
          </cell>
          <cell r="AK642">
            <v>0</v>
          </cell>
        </row>
        <row r="643">
          <cell r="B643" t="str">
            <v/>
          </cell>
          <cell r="H643" t="str">
            <v/>
          </cell>
          <cell r="J643" t="str">
            <v/>
          </cell>
          <cell r="N643" t="str">
            <v/>
          </cell>
          <cell r="O643" t="str">
            <v/>
          </cell>
          <cell r="P643" t="str">
            <v/>
          </cell>
          <cell r="Q643" t="str">
            <v/>
          </cell>
          <cell r="T643" t="str">
            <v/>
          </cell>
          <cell r="U643" t="str">
            <v/>
          </cell>
          <cell r="W643" t="str">
            <v/>
          </cell>
          <cell r="X643" t="str">
            <v/>
          </cell>
          <cell r="AB643">
            <v>0</v>
          </cell>
          <cell r="AC643">
            <v>0</v>
          </cell>
          <cell r="AD643">
            <v>0</v>
          </cell>
          <cell r="AJ643">
            <v>0</v>
          </cell>
          <cell r="AK643">
            <v>0</v>
          </cell>
        </row>
        <row r="644">
          <cell r="B644" t="str">
            <v/>
          </cell>
          <cell r="H644" t="str">
            <v/>
          </cell>
          <cell r="J644" t="str">
            <v/>
          </cell>
          <cell r="N644" t="str">
            <v/>
          </cell>
          <cell r="O644" t="str">
            <v/>
          </cell>
          <cell r="P644" t="str">
            <v/>
          </cell>
          <cell r="Q644" t="str">
            <v/>
          </cell>
          <cell r="T644" t="str">
            <v/>
          </cell>
          <cell r="U644" t="str">
            <v/>
          </cell>
          <cell r="W644" t="str">
            <v/>
          </cell>
          <cell r="X644" t="str">
            <v/>
          </cell>
          <cell r="AB644">
            <v>0</v>
          </cell>
          <cell r="AC644">
            <v>0</v>
          </cell>
          <cell r="AD644">
            <v>0</v>
          </cell>
          <cell r="AJ644">
            <v>0</v>
          </cell>
          <cell r="AK644">
            <v>0</v>
          </cell>
        </row>
        <row r="645">
          <cell r="B645" t="str">
            <v/>
          </cell>
          <cell r="H645" t="str">
            <v/>
          </cell>
          <cell r="J645" t="str">
            <v/>
          </cell>
          <cell r="N645" t="str">
            <v/>
          </cell>
          <cell r="O645" t="str">
            <v/>
          </cell>
          <cell r="P645" t="str">
            <v/>
          </cell>
          <cell r="Q645" t="str">
            <v/>
          </cell>
          <cell r="T645" t="str">
            <v/>
          </cell>
          <cell r="U645" t="str">
            <v/>
          </cell>
          <cell r="W645" t="str">
            <v/>
          </cell>
          <cell r="X645" t="str">
            <v/>
          </cell>
          <cell r="AB645">
            <v>0</v>
          </cell>
          <cell r="AC645">
            <v>0</v>
          </cell>
          <cell r="AD645">
            <v>0</v>
          </cell>
          <cell r="AJ645">
            <v>0</v>
          </cell>
          <cell r="AK645">
            <v>0</v>
          </cell>
        </row>
        <row r="646">
          <cell r="B646" t="str">
            <v/>
          </cell>
          <cell r="H646" t="str">
            <v/>
          </cell>
          <cell r="J646" t="str">
            <v/>
          </cell>
          <cell r="N646" t="str">
            <v/>
          </cell>
          <cell r="O646" t="str">
            <v/>
          </cell>
          <cell r="P646" t="str">
            <v/>
          </cell>
          <cell r="Q646" t="str">
            <v/>
          </cell>
          <cell r="T646" t="str">
            <v/>
          </cell>
          <cell r="U646" t="str">
            <v/>
          </cell>
          <cell r="W646" t="str">
            <v/>
          </cell>
          <cell r="X646" t="str">
            <v/>
          </cell>
          <cell r="AB646">
            <v>0</v>
          </cell>
          <cell r="AC646">
            <v>0</v>
          </cell>
          <cell r="AD646">
            <v>0</v>
          </cell>
          <cell r="AJ646">
            <v>0</v>
          </cell>
          <cell r="AK646">
            <v>0</v>
          </cell>
        </row>
        <row r="647">
          <cell r="B647" t="str">
            <v/>
          </cell>
          <cell r="H647" t="str">
            <v/>
          </cell>
          <cell r="J647" t="str">
            <v/>
          </cell>
          <cell r="N647" t="str">
            <v/>
          </cell>
          <cell r="O647" t="str">
            <v/>
          </cell>
          <cell r="P647" t="str">
            <v/>
          </cell>
          <cell r="Q647" t="str">
            <v/>
          </cell>
          <cell r="T647" t="str">
            <v/>
          </cell>
          <cell r="U647" t="str">
            <v/>
          </cell>
          <cell r="W647" t="str">
            <v/>
          </cell>
          <cell r="X647" t="str">
            <v/>
          </cell>
          <cell r="AB647">
            <v>0</v>
          </cell>
          <cell r="AC647">
            <v>0</v>
          </cell>
          <cell r="AD647">
            <v>0</v>
          </cell>
          <cell r="AJ647">
            <v>0</v>
          </cell>
          <cell r="AK647">
            <v>0</v>
          </cell>
        </row>
        <row r="648">
          <cell r="B648" t="str">
            <v/>
          </cell>
          <cell r="H648" t="str">
            <v/>
          </cell>
          <cell r="J648" t="str">
            <v/>
          </cell>
          <cell r="N648" t="str">
            <v/>
          </cell>
          <cell r="O648" t="str">
            <v/>
          </cell>
          <cell r="P648" t="str">
            <v/>
          </cell>
          <cell r="Q648" t="str">
            <v/>
          </cell>
          <cell r="T648" t="str">
            <v/>
          </cell>
          <cell r="U648" t="str">
            <v/>
          </cell>
          <cell r="W648" t="str">
            <v/>
          </cell>
          <cell r="X648" t="str">
            <v/>
          </cell>
          <cell r="AB648">
            <v>0</v>
          </cell>
          <cell r="AC648">
            <v>0</v>
          </cell>
          <cell r="AD648">
            <v>0</v>
          </cell>
          <cell r="AJ648">
            <v>0</v>
          </cell>
          <cell r="AK648">
            <v>0</v>
          </cell>
        </row>
        <row r="649">
          <cell r="B649" t="str">
            <v/>
          </cell>
          <cell r="H649" t="str">
            <v/>
          </cell>
          <cell r="J649" t="str">
            <v/>
          </cell>
          <cell r="N649" t="str">
            <v/>
          </cell>
          <cell r="O649" t="str">
            <v/>
          </cell>
          <cell r="P649" t="str">
            <v/>
          </cell>
          <cell r="Q649" t="str">
            <v/>
          </cell>
          <cell r="T649" t="str">
            <v/>
          </cell>
          <cell r="U649" t="str">
            <v/>
          </cell>
          <cell r="W649" t="str">
            <v/>
          </cell>
          <cell r="X649" t="str">
            <v/>
          </cell>
          <cell r="AB649">
            <v>0</v>
          </cell>
          <cell r="AC649">
            <v>0</v>
          </cell>
          <cell r="AD649">
            <v>0</v>
          </cell>
          <cell r="AJ649">
            <v>0</v>
          </cell>
          <cell r="AK649">
            <v>0</v>
          </cell>
        </row>
        <row r="650">
          <cell r="B650" t="str">
            <v/>
          </cell>
          <cell r="H650" t="str">
            <v/>
          </cell>
          <cell r="J650" t="str">
            <v/>
          </cell>
          <cell r="N650" t="str">
            <v/>
          </cell>
          <cell r="O650" t="str">
            <v/>
          </cell>
          <cell r="P650" t="str">
            <v/>
          </cell>
          <cell r="Q650" t="str">
            <v/>
          </cell>
          <cell r="T650" t="str">
            <v/>
          </cell>
          <cell r="U650" t="str">
            <v/>
          </cell>
          <cell r="W650" t="str">
            <v/>
          </cell>
          <cell r="X650" t="str">
            <v/>
          </cell>
          <cell r="AB650">
            <v>0</v>
          </cell>
          <cell r="AC650">
            <v>0</v>
          </cell>
          <cell r="AD650">
            <v>0</v>
          </cell>
          <cell r="AJ650">
            <v>0</v>
          </cell>
          <cell r="AK650">
            <v>0</v>
          </cell>
        </row>
        <row r="651">
          <cell r="B651" t="str">
            <v/>
          </cell>
          <cell r="H651" t="str">
            <v/>
          </cell>
          <cell r="J651" t="str">
            <v/>
          </cell>
          <cell r="N651" t="str">
            <v/>
          </cell>
          <cell r="O651" t="str">
            <v/>
          </cell>
          <cell r="P651" t="str">
            <v/>
          </cell>
          <cell r="Q651" t="str">
            <v/>
          </cell>
          <cell r="T651" t="str">
            <v/>
          </cell>
          <cell r="U651" t="str">
            <v/>
          </cell>
          <cell r="W651" t="str">
            <v/>
          </cell>
          <cell r="X651" t="str">
            <v/>
          </cell>
          <cell r="AB651">
            <v>0</v>
          </cell>
          <cell r="AC651">
            <v>0</v>
          </cell>
          <cell r="AD651">
            <v>0</v>
          </cell>
          <cell r="AJ651">
            <v>0</v>
          </cell>
          <cell r="AK651">
            <v>0</v>
          </cell>
        </row>
        <row r="652">
          <cell r="B652" t="str">
            <v/>
          </cell>
          <cell r="H652" t="str">
            <v/>
          </cell>
          <cell r="J652" t="str">
            <v/>
          </cell>
          <cell r="N652" t="str">
            <v/>
          </cell>
          <cell r="O652" t="str">
            <v/>
          </cell>
          <cell r="P652" t="str">
            <v/>
          </cell>
          <cell r="Q652" t="str">
            <v/>
          </cell>
          <cell r="T652" t="str">
            <v/>
          </cell>
          <cell r="U652" t="str">
            <v/>
          </cell>
          <cell r="W652" t="str">
            <v/>
          </cell>
          <cell r="X652" t="str">
            <v/>
          </cell>
          <cell r="AB652">
            <v>0</v>
          </cell>
          <cell r="AC652">
            <v>0</v>
          </cell>
          <cell r="AD652">
            <v>0</v>
          </cell>
          <cell r="AJ652">
            <v>0</v>
          </cell>
          <cell r="AK652">
            <v>0</v>
          </cell>
        </row>
        <row r="653">
          <cell r="B653" t="str">
            <v/>
          </cell>
          <cell r="H653" t="str">
            <v/>
          </cell>
          <cell r="J653" t="str">
            <v/>
          </cell>
          <cell r="N653" t="str">
            <v/>
          </cell>
          <cell r="O653" t="str">
            <v/>
          </cell>
          <cell r="P653" t="str">
            <v/>
          </cell>
          <cell r="Q653" t="str">
            <v/>
          </cell>
          <cell r="T653" t="str">
            <v/>
          </cell>
          <cell r="U653" t="str">
            <v/>
          </cell>
          <cell r="W653" t="str">
            <v/>
          </cell>
          <cell r="X653" t="str">
            <v/>
          </cell>
          <cell r="AB653">
            <v>0</v>
          </cell>
          <cell r="AC653">
            <v>0</v>
          </cell>
          <cell r="AD653">
            <v>0</v>
          </cell>
          <cell r="AJ653">
            <v>0</v>
          </cell>
          <cell r="AK653">
            <v>0</v>
          </cell>
        </row>
        <row r="654">
          <cell r="B654" t="str">
            <v/>
          </cell>
          <cell r="H654" t="str">
            <v/>
          </cell>
          <cell r="J654" t="str">
            <v/>
          </cell>
          <cell r="N654" t="str">
            <v/>
          </cell>
          <cell r="O654" t="str">
            <v/>
          </cell>
          <cell r="P654" t="str">
            <v/>
          </cell>
          <cell r="Q654" t="str">
            <v/>
          </cell>
          <cell r="T654" t="str">
            <v/>
          </cell>
          <cell r="U654" t="str">
            <v/>
          </cell>
          <cell r="W654" t="str">
            <v/>
          </cell>
          <cell r="X654" t="str">
            <v/>
          </cell>
          <cell r="AB654">
            <v>0</v>
          </cell>
          <cell r="AC654">
            <v>0</v>
          </cell>
          <cell r="AD654">
            <v>0</v>
          </cell>
          <cell r="AJ654">
            <v>0</v>
          </cell>
          <cell r="AK654">
            <v>0</v>
          </cell>
        </row>
        <row r="655">
          <cell r="B655" t="str">
            <v/>
          </cell>
          <cell r="H655" t="str">
            <v/>
          </cell>
          <cell r="J655" t="str">
            <v/>
          </cell>
          <cell r="N655" t="str">
            <v/>
          </cell>
          <cell r="O655" t="str">
            <v/>
          </cell>
          <cell r="P655" t="str">
            <v/>
          </cell>
          <cell r="Q655" t="str">
            <v/>
          </cell>
          <cell r="T655" t="str">
            <v/>
          </cell>
          <cell r="U655" t="str">
            <v/>
          </cell>
          <cell r="W655" t="str">
            <v/>
          </cell>
          <cell r="X655" t="str">
            <v/>
          </cell>
          <cell r="AB655">
            <v>0</v>
          </cell>
          <cell r="AC655">
            <v>0</v>
          </cell>
          <cell r="AD655">
            <v>0</v>
          </cell>
          <cell r="AJ655">
            <v>0</v>
          </cell>
          <cell r="AK655">
            <v>0</v>
          </cell>
        </row>
        <row r="656">
          <cell r="B656" t="str">
            <v/>
          </cell>
          <cell r="H656" t="str">
            <v/>
          </cell>
          <cell r="J656" t="str">
            <v/>
          </cell>
          <cell r="N656" t="str">
            <v/>
          </cell>
          <cell r="O656" t="str">
            <v/>
          </cell>
          <cell r="P656" t="str">
            <v/>
          </cell>
          <cell r="Q656" t="str">
            <v/>
          </cell>
          <cell r="T656" t="str">
            <v/>
          </cell>
          <cell r="U656" t="str">
            <v/>
          </cell>
          <cell r="W656" t="str">
            <v/>
          </cell>
          <cell r="X656" t="str">
            <v/>
          </cell>
          <cell r="AB656">
            <v>0</v>
          </cell>
          <cell r="AC656">
            <v>0</v>
          </cell>
          <cell r="AD656">
            <v>0</v>
          </cell>
          <cell r="AJ656">
            <v>0</v>
          </cell>
          <cell r="AK656">
            <v>0</v>
          </cell>
        </row>
        <row r="657">
          <cell r="B657" t="str">
            <v/>
          </cell>
          <cell r="H657" t="str">
            <v/>
          </cell>
          <cell r="J657" t="str">
            <v/>
          </cell>
          <cell r="N657" t="str">
            <v/>
          </cell>
          <cell r="O657" t="str">
            <v/>
          </cell>
          <cell r="P657" t="str">
            <v/>
          </cell>
          <cell r="Q657" t="str">
            <v/>
          </cell>
          <cell r="T657" t="str">
            <v/>
          </cell>
          <cell r="U657" t="str">
            <v/>
          </cell>
          <cell r="W657" t="str">
            <v/>
          </cell>
          <cell r="X657" t="str">
            <v/>
          </cell>
          <cell r="AB657">
            <v>0</v>
          </cell>
          <cell r="AC657">
            <v>0</v>
          </cell>
          <cell r="AD657">
            <v>0</v>
          </cell>
          <cell r="AJ657">
            <v>0</v>
          </cell>
          <cell r="AK657">
            <v>0</v>
          </cell>
        </row>
        <row r="658">
          <cell r="B658" t="str">
            <v/>
          </cell>
          <cell r="H658" t="str">
            <v/>
          </cell>
          <cell r="J658" t="str">
            <v/>
          </cell>
          <cell r="N658" t="str">
            <v/>
          </cell>
          <cell r="O658" t="str">
            <v/>
          </cell>
          <cell r="P658" t="str">
            <v/>
          </cell>
          <cell r="Q658" t="str">
            <v/>
          </cell>
          <cell r="T658" t="str">
            <v/>
          </cell>
          <cell r="U658" t="str">
            <v/>
          </cell>
          <cell r="W658" t="str">
            <v/>
          </cell>
          <cell r="X658" t="str">
            <v/>
          </cell>
          <cell r="AB658">
            <v>0</v>
          </cell>
          <cell r="AC658">
            <v>0</v>
          </cell>
          <cell r="AD658">
            <v>0</v>
          </cell>
          <cell r="AJ658">
            <v>0</v>
          </cell>
          <cell r="AK658">
            <v>0</v>
          </cell>
        </row>
        <row r="659">
          <cell r="B659" t="str">
            <v/>
          </cell>
          <cell r="H659" t="str">
            <v/>
          </cell>
          <cell r="J659" t="str">
            <v/>
          </cell>
          <cell r="N659" t="str">
            <v/>
          </cell>
          <cell r="O659" t="str">
            <v/>
          </cell>
          <cell r="P659" t="str">
            <v/>
          </cell>
          <cell r="Q659" t="str">
            <v/>
          </cell>
          <cell r="T659" t="str">
            <v/>
          </cell>
          <cell r="U659" t="str">
            <v/>
          </cell>
          <cell r="W659" t="str">
            <v/>
          </cell>
          <cell r="X659" t="str">
            <v/>
          </cell>
          <cell r="AB659">
            <v>0</v>
          </cell>
          <cell r="AC659">
            <v>0</v>
          </cell>
          <cell r="AD659">
            <v>0</v>
          </cell>
          <cell r="AJ659">
            <v>0</v>
          </cell>
          <cell r="AK659">
            <v>0</v>
          </cell>
        </row>
        <row r="660">
          <cell r="B660" t="str">
            <v/>
          </cell>
          <cell r="H660" t="str">
            <v/>
          </cell>
          <cell r="J660" t="str">
            <v/>
          </cell>
          <cell r="N660" t="str">
            <v/>
          </cell>
          <cell r="O660" t="str">
            <v/>
          </cell>
          <cell r="P660" t="str">
            <v/>
          </cell>
          <cell r="Q660" t="str">
            <v/>
          </cell>
          <cell r="T660" t="str">
            <v/>
          </cell>
          <cell r="U660" t="str">
            <v/>
          </cell>
          <cell r="W660" t="str">
            <v/>
          </cell>
          <cell r="X660" t="str">
            <v/>
          </cell>
          <cell r="AB660">
            <v>0</v>
          </cell>
          <cell r="AC660">
            <v>0</v>
          </cell>
          <cell r="AD660">
            <v>0</v>
          </cell>
          <cell r="AJ660">
            <v>0</v>
          </cell>
          <cell r="AK660">
            <v>0</v>
          </cell>
        </row>
        <row r="661">
          <cell r="B661" t="str">
            <v/>
          </cell>
          <cell r="H661" t="str">
            <v/>
          </cell>
          <cell r="J661" t="str">
            <v/>
          </cell>
          <cell r="N661" t="str">
            <v/>
          </cell>
          <cell r="O661" t="str">
            <v/>
          </cell>
          <cell r="P661" t="str">
            <v/>
          </cell>
          <cell r="Q661" t="str">
            <v/>
          </cell>
          <cell r="T661" t="str">
            <v/>
          </cell>
          <cell r="U661" t="str">
            <v/>
          </cell>
          <cell r="W661" t="str">
            <v/>
          </cell>
          <cell r="X661" t="str">
            <v/>
          </cell>
          <cell r="AB661">
            <v>0</v>
          </cell>
          <cell r="AC661">
            <v>0</v>
          </cell>
          <cell r="AD661">
            <v>0</v>
          </cell>
          <cell r="AJ661">
            <v>0</v>
          </cell>
          <cell r="AK661">
            <v>0</v>
          </cell>
        </row>
        <row r="662">
          <cell r="B662" t="str">
            <v/>
          </cell>
          <cell r="H662" t="str">
            <v/>
          </cell>
          <cell r="J662" t="str">
            <v/>
          </cell>
          <cell r="N662" t="str">
            <v/>
          </cell>
          <cell r="O662" t="str">
            <v/>
          </cell>
          <cell r="P662" t="str">
            <v/>
          </cell>
          <cell r="Q662" t="str">
            <v/>
          </cell>
          <cell r="T662" t="str">
            <v/>
          </cell>
          <cell r="U662" t="str">
            <v/>
          </cell>
          <cell r="W662" t="str">
            <v/>
          </cell>
          <cell r="X662" t="str">
            <v/>
          </cell>
          <cell r="AB662">
            <v>0</v>
          </cell>
          <cell r="AC662">
            <v>0</v>
          </cell>
          <cell r="AD662">
            <v>0</v>
          </cell>
          <cell r="AJ662">
            <v>0</v>
          </cell>
          <cell r="AK662">
            <v>0</v>
          </cell>
        </row>
        <row r="663">
          <cell r="B663" t="str">
            <v/>
          </cell>
          <cell r="H663" t="str">
            <v/>
          </cell>
          <cell r="J663" t="str">
            <v/>
          </cell>
          <cell r="N663" t="str">
            <v/>
          </cell>
          <cell r="O663" t="str">
            <v/>
          </cell>
          <cell r="P663" t="str">
            <v/>
          </cell>
          <cell r="Q663" t="str">
            <v/>
          </cell>
          <cell r="T663" t="str">
            <v/>
          </cell>
          <cell r="U663" t="str">
            <v/>
          </cell>
          <cell r="W663" t="str">
            <v/>
          </cell>
          <cell r="X663" t="str">
            <v/>
          </cell>
          <cell r="AB663">
            <v>0</v>
          </cell>
          <cell r="AC663">
            <v>0</v>
          </cell>
          <cell r="AD663">
            <v>0</v>
          </cell>
          <cell r="AJ663">
            <v>0</v>
          </cell>
          <cell r="AK663">
            <v>0</v>
          </cell>
        </row>
        <row r="664">
          <cell r="B664" t="str">
            <v/>
          </cell>
          <cell r="H664" t="str">
            <v/>
          </cell>
          <cell r="J664" t="str">
            <v/>
          </cell>
          <cell r="N664" t="str">
            <v/>
          </cell>
          <cell r="O664" t="str">
            <v/>
          </cell>
          <cell r="P664" t="str">
            <v/>
          </cell>
          <cell r="Q664" t="str">
            <v/>
          </cell>
          <cell r="T664" t="str">
            <v/>
          </cell>
          <cell r="U664" t="str">
            <v/>
          </cell>
          <cell r="W664" t="str">
            <v/>
          </cell>
          <cell r="X664" t="str">
            <v/>
          </cell>
          <cell r="AB664">
            <v>0</v>
          </cell>
          <cell r="AC664">
            <v>0</v>
          </cell>
          <cell r="AD664">
            <v>0</v>
          </cell>
          <cell r="AJ664">
            <v>0</v>
          </cell>
          <cell r="AK664">
            <v>0</v>
          </cell>
        </row>
        <row r="665">
          <cell r="B665" t="str">
            <v/>
          </cell>
          <cell r="H665" t="str">
            <v/>
          </cell>
          <cell r="J665" t="str">
            <v/>
          </cell>
          <cell r="N665" t="str">
            <v/>
          </cell>
          <cell r="O665" t="str">
            <v/>
          </cell>
          <cell r="P665" t="str">
            <v/>
          </cell>
          <cell r="Q665" t="str">
            <v/>
          </cell>
          <cell r="T665" t="str">
            <v/>
          </cell>
          <cell r="U665" t="str">
            <v/>
          </cell>
          <cell r="W665" t="str">
            <v/>
          </cell>
          <cell r="X665" t="str">
            <v/>
          </cell>
          <cell r="AB665">
            <v>0</v>
          </cell>
          <cell r="AC665">
            <v>0</v>
          </cell>
          <cell r="AD665">
            <v>0</v>
          </cell>
          <cell r="AJ665">
            <v>0</v>
          </cell>
          <cell r="AK665">
            <v>0</v>
          </cell>
        </row>
        <row r="666">
          <cell r="B666" t="str">
            <v/>
          </cell>
          <cell r="H666" t="str">
            <v/>
          </cell>
          <cell r="J666" t="str">
            <v/>
          </cell>
          <cell r="N666" t="str">
            <v/>
          </cell>
          <cell r="O666" t="str">
            <v/>
          </cell>
          <cell r="P666" t="str">
            <v/>
          </cell>
          <cell r="Q666" t="str">
            <v/>
          </cell>
          <cell r="T666" t="str">
            <v/>
          </cell>
          <cell r="U666" t="str">
            <v/>
          </cell>
          <cell r="W666" t="str">
            <v/>
          </cell>
          <cell r="X666" t="str">
            <v/>
          </cell>
          <cell r="AB666">
            <v>0</v>
          </cell>
          <cell r="AC666">
            <v>0</v>
          </cell>
          <cell r="AD666">
            <v>0</v>
          </cell>
          <cell r="AJ666">
            <v>0</v>
          </cell>
          <cell r="AK666">
            <v>0</v>
          </cell>
        </row>
        <row r="667">
          <cell r="B667" t="str">
            <v/>
          </cell>
          <cell r="H667" t="str">
            <v/>
          </cell>
          <cell r="J667" t="str">
            <v/>
          </cell>
          <cell r="N667" t="str">
            <v/>
          </cell>
          <cell r="O667" t="str">
            <v/>
          </cell>
          <cell r="P667" t="str">
            <v/>
          </cell>
          <cell r="Q667" t="str">
            <v/>
          </cell>
          <cell r="T667" t="str">
            <v/>
          </cell>
          <cell r="U667" t="str">
            <v/>
          </cell>
          <cell r="W667" t="str">
            <v/>
          </cell>
          <cell r="X667" t="str">
            <v/>
          </cell>
          <cell r="AB667">
            <v>0</v>
          </cell>
          <cell r="AC667">
            <v>0</v>
          </cell>
          <cell r="AD667">
            <v>0</v>
          </cell>
          <cell r="AJ667">
            <v>0</v>
          </cell>
          <cell r="AK667">
            <v>0</v>
          </cell>
        </row>
        <row r="668">
          <cell r="B668" t="str">
            <v/>
          </cell>
          <cell r="H668" t="str">
            <v/>
          </cell>
          <cell r="J668" t="str">
            <v/>
          </cell>
          <cell r="N668" t="str">
            <v/>
          </cell>
          <cell r="O668" t="str">
            <v/>
          </cell>
          <cell r="P668" t="str">
            <v/>
          </cell>
          <cell r="Q668" t="str">
            <v/>
          </cell>
          <cell r="T668" t="str">
            <v/>
          </cell>
          <cell r="U668" t="str">
            <v/>
          </cell>
          <cell r="W668" t="str">
            <v/>
          </cell>
          <cell r="X668" t="str">
            <v/>
          </cell>
          <cell r="AB668">
            <v>0</v>
          </cell>
          <cell r="AC668">
            <v>0</v>
          </cell>
          <cell r="AD668">
            <v>0</v>
          </cell>
          <cell r="AJ668">
            <v>0</v>
          </cell>
          <cell r="AK668">
            <v>0</v>
          </cell>
        </row>
        <row r="669">
          <cell r="B669" t="str">
            <v/>
          </cell>
          <cell r="H669" t="str">
            <v/>
          </cell>
          <cell r="J669" t="str">
            <v/>
          </cell>
          <cell r="N669" t="str">
            <v/>
          </cell>
          <cell r="O669" t="str">
            <v/>
          </cell>
          <cell r="P669" t="str">
            <v/>
          </cell>
          <cell r="Q669" t="str">
            <v/>
          </cell>
          <cell r="T669" t="str">
            <v/>
          </cell>
          <cell r="U669" t="str">
            <v/>
          </cell>
          <cell r="W669" t="str">
            <v/>
          </cell>
          <cell r="X669" t="str">
            <v/>
          </cell>
          <cell r="AB669">
            <v>0</v>
          </cell>
          <cell r="AC669">
            <v>0</v>
          </cell>
          <cell r="AD669">
            <v>0</v>
          </cell>
          <cell r="AJ669">
            <v>0</v>
          </cell>
          <cell r="AK669">
            <v>0</v>
          </cell>
        </row>
        <row r="670">
          <cell r="B670" t="str">
            <v/>
          </cell>
          <cell r="H670" t="str">
            <v/>
          </cell>
          <cell r="J670" t="str">
            <v/>
          </cell>
          <cell r="N670" t="str">
            <v/>
          </cell>
          <cell r="O670" t="str">
            <v/>
          </cell>
          <cell r="P670" t="str">
            <v/>
          </cell>
          <cell r="Q670" t="str">
            <v/>
          </cell>
          <cell r="T670" t="str">
            <v/>
          </cell>
          <cell r="U670" t="str">
            <v/>
          </cell>
          <cell r="W670" t="str">
            <v/>
          </cell>
          <cell r="X670" t="str">
            <v/>
          </cell>
          <cell r="AB670">
            <v>0</v>
          </cell>
          <cell r="AC670">
            <v>0</v>
          </cell>
          <cell r="AD670">
            <v>0</v>
          </cell>
          <cell r="AJ670">
            <v>0</v>
          </cell>
          <cell r="AK670">
            <v>0</v>
          </cell>
        </row>
        <row r="671">
          <cell r="B671" t="str">
            <v/>
          </cell>
          <cell r="H671" t="str">
            <v/>
          </cell>
          <cell r="J671" t="str">
            <v/>
          </cell>
          <cell r="N671" t="str">
            <v/>
          </cell>
          <cell r="O671" t="str">
            <v/>
          </cell>
          <cell r="P671" t="str">
            <v/>
          </cell>
          <cell r="Q671" t="str">
            <v/>
          </cell>
          <cell r="T671" t="str">
            <v/>
          </cell>
          <cell r="U671" t="str">
            <v/>
          </cell>
          <cell r="W671" t="str">
            <v/>
          </cell>
          <cell r="X671" t="str">
            <v/>
          </cell>
          <cell r="AB671">
            <v>0</v>
          </cell>
          <cell r="AC671">
            <v>0</v>
          </cell>
          <cell r="AD671">
            <v>0</v>
          </cell>
          <cell r="AJ671">
            <v>0</v>
          </cell>
          <cell r="AK671">
            <v>0</v>
          </cell>
        </row>
        <row r="672">
          <cell r="B672" t="str">
            <v/>
          </cell>
          <cell r="H672" t="str">
            <v/>
          </cell>
          <cell r="J672" t="str">
            <v/>
          </cell>
          <cell r="N672" t="str">
            <v/>
          </cell>
          <cell r="O672" t="str">
            <v/>
          </cell>
          <cell r="P672" t="str">
            <v/>
          </cell>
          <cell r="Q672" t="str">
            <v/>
          </cell>
          <cell r="T672" t="str">
            <v/>
          </cell>
          <cell r="U672" t="str">
            <v/>
          </cell>
          <cell r="W672" t="str">
            <v/>
          </cell>
          <cell r="X672" t="str">
            <v/>
          </cell>
          <cell r="AB672">
            <v>0</v>
          </cell>
          <cell r="AC672">
            <v>0</v>
          </cell>
          <cell r="AD672">
            <v>0</v>
          </cell>
          <cell r="AJ672">
            <v>0</v>
          </cell>
          <cell r="AK672">
            <v>0</v>
          </cell>
        </row>
        <row r="673">
          <cell r="B673" t="str">
            <v/>
          </cell>
          <cell r="H673" t="str">
            <v/>
          </cell>
          <cell r="J673" t="str">
            <v/>
          </cell>
          <cell r="N673" t="str">
            <v/>
          </cell>
          <cell r="O673" t="str">
            <v/>
          </cell>
          <cell r="P673" t="str">
            <v/>
          </cell>
          <cell r="Q673" t="str">
            <v/>
          </cell>
          <cell r="T673" t="str">
            <v/>
          </cell>
          <cell r="U673" t="str">
            <v/>
          </cell>
          <cell r="W673" t="str">
            <v/>
          </cell>
          <cell r="X673" t="str">
            <v/>
          </cell>
          <cell r="AB673">
            <v>0</v>
          </cell>
          <cell r="AC673">
            <v>0</v>
          </cell>
          <cell r="AD673">
            <v>0</v>
          </cell>
          <cell r="AJ673">
            <v>0</v>
          </cell>
          <cell r="AK673">
            <v>0</v>
          </cell>
        </row>
        <row r="674">
          <cell r="B674" t="str">
            <v/>
          </cell>
          <cell r="H674" t="str">
            <v/>
          </cell>
          <cell r="J674" t="str">
            <v/>
          </cell>
          <cell r="N674" t="str">
            <v/>
          </cell>
          <cell r="O674" t="str">
            <v/>
          </cell>
          <cell r="P674" t="str">
            <v/>
          </cell>
          <cell r="Q674" t="str">
            <v/>
          </cell>
          <cell r="T674" t="str">
            <v/>
          </cell>
          <cell r="U674" t="str">
            <v/>
          </cell>
          <cell r="W674" t="str">
            <v/>
          </cell>
          <cell r="X674" t="str">
            <v/>
          </cell>
          <cell r="AB674">
            <v>0</v>
          </cell>
          <cell r="AC674">
            <v>0</v>
          </cell>
          <cell r="AD674">
            <v>0</v>
          </cell>
          <cell r="AJ674">
            <v>0</v>
          </cell>
          <cell r="AK674">
            <v>0</v>
          </cell>
        </row>
        <row r="675">
          <cell r="B675" t="str">
            <v/>
          </cell>
          <cell r="H675" t="str">
            <v/>
          </cell>
          <cell r="J675" t="str">
            <v/>
          </cell>
          <cell r="N675" t="str">
            <v/>
          </cell>
          <cell r="O675" t="str">
            <v/>
          </cell>
          <cell r="P675" t="str">
            <v/>
          </cell>
          <cell r="Q675" t="str">
            <v/>
          </cell>
          <cell r="T675" t="str">
            <v/>
          </cell>
          <cell r="U675" t="str">
            <v/>
          </cell>
          <cell r="W675" t="str">
            <v/>
          </cell>
          <cell r="X675" t="str">
            <v/>
          </cell>
          <cell r="AB675">
            <v>0</v>
          </cell>
          <cell r="AC675">
            <v>0</v>
          </cell>
          <cell r="AD675">
            <v>0</v>
          </cell>
          <cell r="AJ675">
            <v>0</v>
          </cell>
          <cell r="AK675">
            <v>0</v>
          </cell>
        </row>
        <row r="676">
          <cell r="B676" t="str">
            <v/>
          </cell>
          <cell r="H676" t="str">
            <v/>
          </cell>
          <cell r="J676" t="str">
            <v/>
          </cell>
          <cell r="N676" t="str">
            <v/>
          </cell>
          <cell r="O676" t="str">
            <v/>
          </cell>
          <cell r="P676" t="str">
            <v/>
          </cell>
          <cell r="Q676" t="str">
            <v/>
          </cell>
          <cell r="T676" t="str">
            <v/>
          </cell>
          <cell r="U676" t="str">
            <v/>
          </cell>
          <cell r="W676" t="str">
            <v/>
          </cell>
          <cell r="X676" t="str">
            <v/>
          </cell>
          <cell r="AB676">
            <v>0</v>
          </cell>
          <cell r="AC676">
            <v>0</v>
          </cell>
          <cell r="AD676">
            <v>0</v>
          </cell>
          <cell r="AJ676">
            <v>0</v>
          </cell>
          <cell r="AK676">
            <v>0</v>
          </cell>
        </row>
        <row r="677">
          <cell r="B677" t="str">
            <v/>
          </cell>
          <cell r="H677" t="str">
            <v/>
          </cell>
          <cell r="J677" t="str">
            <v/>
          </cell>
          <cell r="N677" t="str">
            <v/>
          </cell>
          <cell r="O677" t="str">
            <v/>
          </cell>
          <cell r="P677" t="str">
            <v/>
          </cell>
          <cell r="Q677" t="str">
            <v/>
          </cell>
          <cell r="T677" t="str">
            <v/>
          </cell>
          <cell r="U677" t="str">
            <v/>
          </cell>
          <cell r="W677" t="str">
            <v/>
          </cell>
          <cell r="X677" t="str">
            <v/>
          </cell>
          <cell r="AB677">
            <v>0</v>
          </cell>
          <cell r="AC677">
            <v>0</v>
          </cell>
          <cell r="AD677">
            <v>0</v>
          </cell>
          <cell r="AJ677">
            <v>0</v>
          </cell>
          <cell r="AK677">
            <v>0</v>
          </cell>
        </row>
        <row r="678">
          <cell r="B678" t="str">
            <v/>
          </cell>
          <cell r="H678" t="str">
            <v/>
          </cell>
          <cell r="J678" t="str">
            <v/>
          </cell>
          <cell r="N678" t="str">
            <v/>
          </cell>
          <cell r="O678" t="str">
            <v/>
          </cell>
          <cell r="P678" t="str">
            <v/>
          </cell>
          <cell r="Q678" t="str">
            <v/>
          </cell>
          <cell r="T678" t="str">
            <v/>
          </cell>
          <cell r="U678" t="str">
            <v/>
          </cell>
          <cell r="W678" t="str">
            <v/>
          </cell>
          <cell r="X678" t="str">
            <v/>
          </cell>
          <cell r="AB678">
            <v>0</v>
          </cell>
          <cell r="AC678">
            <v>0</v>
          </cell>
          <cell r="AD678">
            <v>0</v>
          </cell>
          <cell r="AJ678">
            <v>0</v>
          </cell>
          <cell r="AK678">
            <v>0</v>
          </cell>
        </row>
        <row r="679">
          <cell r="B679" t="str">
            <v/>
          </cell>
          <cell r="H679" t="str">
            <v/>
          </cell>
          <cell r="J679" t="str">
            <v/>
          </cell>
          <cell r="N679" t="str">
            <v/>
          </cell>
          <cell r="O679" t="str">
            <v/>
          </cell>
          <cell r="P679" t="str">
            <v/>
          </cell>
          <cell r="Q679" t="str">
            <v/>
          </cell>
          <cell r="T679" t="str">
            <v/>
          </cell>
          <cell r="U679" t="str">
            <v/>
          </cell>
          <cell r="W679" t="str">
            <v/>
          </cell>
          <cell r="X679" t="str">
            <v/>
          </cell>
          <cell r="AB679">
            <v>0</v>
          </cell>
          <cell r="AC679">
            <v>0</v>
          </cell>
          <cell r="AD679">
            <v>0</v>
          </cell>
          <cell r="AJ679">
            <v>0</v>
          </cell>
          <cell r="AK679">
            <v>0</v>
          </cell>
        </row>
        <row r="680">
          <cell r="B680" t="str">
            <v/>
          </cell>
          <cell r="H680" t="str">
            <v/>
          </cell>
          <cell r="J680" t="str">
            <v/>
          </cell>
          <cell r="N680" t="str">
            <v/>
          </cell>
          <cell r="O680" t="str">
            <v/>
          </cell>
          <cell r="P680" t="str">
            <v/>
          </cell>
          <cell r="Q680" t="str">
            <v/>
          </cell>
          <cell r="T680" t="str">
            <v/>
          </cell>
          <cell r="U680" t="str">
            <v/>
          </cell>
          <cell r="W680" t="str">
            <v/>
          </cell>
          <cell r="X680" t="str">
            <v/>
          </cell>
          <cell r="AB680">
            <v>0</v>
          </cell>
          <cell r="AC680">
            <v>0</v>
          </cell>
          <cell r="AD680">
            <v>0</v>
          </cell>
          <cell r="AJ680">
            <v>0</v>
          </cell>
          <cell r="AK680">
            <v>0</v>
          </cell>
        </row>
        <row r="681">
          <cell r="B681" t="str">
            <v/>
          </cell>
          <cell r="H681" t="str">
            <v/>
          </cell>
          <cell r="J681" t="str">
            <v/>
          </cell>
          <cell r="N681" t="str">
            <v/>
          </cell>
          <cell r="O681" t="str">
            <v/>
          </cell>
          <cell r="P681" t="str">
            <v/>
          </cell>
          <cell r="Q681" t="str">
            <v/>
          </cell>
          <cell r="T681" t="str">
            <v/>
          </cell>
          <cell r="U681" t="str">
            <v/>
          </cell>
          <cell r="W681" t="str">
            <v/>
          </cell>
          <cell r="X681" t="str">
            <v/>
          </cell>
          <cell r="AB681">
            <v>0</v>
          </cell>
          <cell r="AC681">
            <v>0</v>
          </cell>
          <cell r="AD681">
            <v>0</v>
          </cell>
          <cell r="AJ681">
            <v>0</v>
          </cell>
          <cell r="AK681">
            <v>0</v>
          </cell>
        </row>
        <row r="682">
          <cell r="B682" t="str">
            <v/>
          </cell>
          <cell r="H682" t="str">
            <v/>
          </cell>
          <cell r="J682" t="str">
            <v/>
          </cell>
          <cell r="N682" t="str">
            <v/>
          </cell>
          <cell r="O682" t="str">
            <v/>
          </cell>
          <cell r="P682" t="str">
            <v/>
          </cell>
          <cell r="Q682" t="str">
            <v/>
          </cell>
          <cell r="T682" t="str">
            <v/>
          </cell>
          <cell r="U682" t="str">
            <v/>
          </cell>
          <cell r="W682" t="str">
            <v/>
          </cell>
          <cell r="X682" t="str">
            <v/>
          </cell>
          <cell r="AB682">
            <v>0</v>
          </cell>
          <cell r="AC682">
            <v>0</v>
          </cell>
          <cell r="AD682">
            <v>0</v>
          </cell>
          <cell r="AJ682">
            <v>0</v>
          </cell>
          <cell r="AK682">
            <v>0</v>
          </cell>
        </row>
        <row r="683">
          <cell r="B683" t="str">
            <v/>
          </cell>
          <cell r="H683" t="str">
            <v/>
          </cell>
          <cell r="J683" t="str">
            <v/>
          </cell>
          <cell r="N683" t="str">
            <v/>
          </cell>
          <cell r="O683" t="str">
            <v/>
          </cell>
          <cell r="P683" t="str">
            <v/>
          </cell>
          <cell r="Q683" t="str">
            <v/>
          </cell>
          <cell r="T683" t="str">
            <v/>
          </cell>
          <cell r="U683" t="str">
            <v/>
          </cell>
          <cell r="W683" t="str">
            <v/>
          </cell>
          <cell r="X683" t="str">
            <v/>
          </cell>
          <cell r="AB683">
            <v>0</v>
          </cell>
          <cell r="AC683">
            <v>0</v>
          </cell>
          <cell r="AD683">
            <v>0</v>
          </cell>
          <cell r="AJ683">
            <v>0</v>
          </cell>
          <cell r="AK683">
            <v>0</v>
          </cell>
        </row>
        <row r="684">
          <cell r="B684" t="str">
            <v/>
          </cell>
          <cell r="H684" t="str">
            <v/>
          </cell>
          <cell r="J684" t="str">
            <v/>
          </cell>
          <cell r="N684" t="str">
            <v/>
          </cell>
          <cell r="O684" t="str">
            <v/>
          </cell>
          <cell r="P684" t="str">
            <v/>
          </cell>
          <cell r="Q684" t="str">
            <v/>
          </cell>
          <cell r="T684" t="str">
            <v/>
          </cell>
          <cell r="U684" t="str">
            <v/>
          </cell>
          <cell r="W684" t="str">
            <v/>
          </cell>
          <cell r="X684" t="str">
            <v/>
          </cell>
          <cell r="AB684">
            <v>0</v>
          </cell>
          <cell r="AC684">
            <v>0</v>
          </cell>
          <cell r="AD684">
            <v>0</v>
          </cell>
          <cell r="AJ684">
            <v>0</v>
          </cell>
          <cell r="AK684">
            <v>0</v>
          </cell>
        </row>
        <row r="685">
          <cell r="B685" t="str">
            <v/>
          </cell>
          <cell r="H685" t="str">
            <v/>
          </cell>
          <cell r="J685" t="str">
            <v/>
          </cell>
          <cell r="N685" t="str">
            <v/>
          </cell>
          <cell r="O685" t="str">
            <v/>
          </cell>
          <cell r="P685" t="str">
            <v/>
          </cell>
          <cell r="Q685" t="str">
            <v/>
          </cell>
          <cell r="T685" t="str">
            <v/>
          </cell>
          <cell r="U685" t="str">
            <v/>
          </cell>
          <cell r="W685" t="str">
            <v/>
          </cell>
          <cell r="X685" t="str">
            <v/>
          </cell>
          <cell r="AB685">
            <v>0</v>
          </cell>
          <cell r="AC685">
            <v>0</v>
          </cell>
          <cell r="AD685">
            <v>0</v>
          </cell>
          <cell r="AJ685">
            <v>0</v>
          </cell>
          <cell r="AK685">
            <v>0</v>
          </cell>
        </row>
        <row r="686">
          <cell r="B686" t="str">
            <v/>
          </cell>
          <cell r="H686" t="str">
            <v/>
          </cell>
          <cell r="J686" t="str">
            <v/>
          </cell>
          <cell r="N686" t="str">
            <v/>
          </cell>
          <cell r="O686" t="str">
            <v/>
          </cell>
          <cell r="P686" t="str">
            <v/>
          </cell>
          <cell r="Q686" t="str">
            <v/>
          </cell>
          <cell r="T686" t="str">
            <v/>
          </cell>
          <cell r="U686" t="str">
            <v/>
          </cell>
          <cell r="W686" t="str">
            <v/>
          </cell>
          <cell r="X686" t="str">
            <v/>
          </cell>
          <cell r="AB686">
            <v>0</v>
          </cell>
          <cell r="AC686">
            <v>0</v>
          </cell>
          <cell r="AD686">
            <v>0</v>
          </cell>
          <cell r="AJ686">
            <v>0</v>
          </cell>
          <cell r="AK686">
            <v>0</v>
          </cell>
        </row>
        <row r="687">
          <cell r="B687" t="str">
            <v/>
          </cell>
          <cell r="H687" t="str">
            <v/>
          </cell>
          <cell r="J687" t="str">
            <v/>
          </cell>
          <cell r="N687" t="str">
            <v/>
          </cell>
          <cell r="O687" t="str">
            <v/>
          </cell>
          <cell r="P687" t="str">
            <v/>
          </cell>
          <cell r="Q687" t="str">
            <v/>
          </cell>
          <cell r="T687" t="str">
            <v/>
          </cell>
          <cell r="U687" t="str">
            <v/>
          </cell>
          <cell r="W687" t="str">
            <v/>
          </cell>
          <cell r="X687" t="str">
            <v/>
          </cell>
          <cell r="AB687">
            <v>0</v>
          </cell>
          <cell r="AC687">
            <v>0</v>
          </cell>
          <cell r="AD687">
            <v>0</v>
          </cell>
          <cell r="AJ687">
            <v>0</v>
          </cell>
          <cell r="AK687">
            <v>0</v>
          </cell>
        </row>
        <row r="688">
          <cell r="B688" t="str">
            <v/>
          </cell>
          <cell r="H688" t="str">
            <v/>
          </cell>
          <cell r="J688" t="str">
            <v/>
          </cell>
          <cell r="N688" t="str">
            <v/>
          </cell>
          <cell r="O688" t="str">
            <v/>
          </cell>
          <cell r="P688" t="str">
            <v/>
          </cell>
          <cell r="Q688" t="str">
            <v/>
          </cell>
          <cell r="T688" t="str">
            <v/>
          </cell>
          <cell r="U688" t="str">
            <v/>
          </cell>
          <cell r="W688" t="str">
            <v/>
          </cell>
          <cell r="X688" t="str">
            <v/>
          </cell>
          <cell r="AB688">
            <v>0</v>
          </cell>
          <cell r="AC688">
            <v>0</v>
          </cell>
          <cell r="AD688">
            <v>0</v>
          </cell>
          <cell r="AJ688">
            <v>0</v>
          </cell>
          <cell r="AK688">
            <v>0</v>
          </cell>
        </row>
        <row r="689">
          <cell r="B689" t="str">
            <v/>
          </cell>
          <cell r="H689" t="str">
            <v/>
          </cell>
          <cell r="J689" t="str">
            <v/>
          </cell>
          <cell r="N689" t="str">
            <v/>
          </cell>
          <cell r="O689" t="str">
            <v/>
          </cell>
          <cell r="P689" t="str">
            <v/>
          </cell>
          <cell r="Q689" t="str">
            <v/>
          </cell>
          <cell r="T689" t="str">
            <v/>
          </cell>
          <cell r="U689" t="str">
            <v/>
          </cell>
          <cell r="W689" t="str">
            <v/>
          </cell>
          <cell r="X689" t="str">
            <v/>
          </cell>
          <cell r="AB689">
            <v>0</v>
          </cell>
          <cell r="AC689">
            <v>0</v>
          </cell>
          <cell r="AD689">
            <v>0</v>
          </cell>
          <cell r="AJ689">
            <v>0</v>
          </cell>
          <cell r="AK689">
            <v>0</v>
          </cell>
        </row>
        <row r="690">
          <cell r="B690" t="str">
            <v/>
          </cell>
          <cell r="H690" t="str">
            <v/>
          </cell>
          <cell r="J690" t="str">
            <v/>
          </cell>
          <cell r="N690" t="str">
            <v/>
          </cell>
          <cell r="O690" t="str">
            <v/>
          </cell>
          <cell r="P690" t="str">
            <v/>
          </cell>
          <cell r="Q690" t="str">
            <v/>
          </cell>
          <cell r="T690" t="str">
            <v/>
          </cell>
          <cell r="U690" t="str">
            <v/>
          </cell>
          <cell r="W690" t="str">
            <v/>
          </cell>
          <cell r="X690" t="str">
            <v/>
          </cell>
          <cell r="AB690">
            <v>0</v>
          </cell>
          <cell r="AC690">
            <v>0</v>
          </cell>
          <cell r="AD690">
            <v>0</v>
          </cell>
          <cell r="AJ690">
            <v>0</v>
          </cell>
          <cell r="AK690">
            <v>0</v>
          </cell>
        </row>
        <row r="691">
          <cell r="B691" t="str">
            <v/>
          </cell>
          <cell r="H691" t="str">
            <v/>
          </cell>
          <cell r="J691" t="str">
            <v/>
          </cell>
          <cell r="N691" t="str">
            <v/>
          </cell>
          <cell r="O691" t="str">
            <v/>
          </cell>
          <cell r="P691" t="str">
            <v/>
          </cell>
          <cell r="Q691" t="str">
            <v/>
          </cell>
          <cell r="T691" t="str">
            <v/>
          </cell>
          <cell r="U691" t="str">
            <v/>
          </cell>
          <cell r="W691" t="str">
            <v/>
          </cell>
          <cell r="X691" t="str">
            <v/>
          </cell>
          <cell r="AB691">
            <v>0</v>
          </cell>
          <cell r="AC691">
            <v>0</v>
          </cell>
          <cell r="AD691">
            <v>0</v>
          </cell>
          <cell r="AJ691">
            <v>0</v>
          </cell>
          <cell r="AK691">
            <v>0</v>
          </cell>
        </row>
        <row r="692">
          <cell r="B692" t="str">
            <v/>
          </cell>
          <cell r="H692" t="str">
            <v/>
          </cell>
          <cell r="J692" t="str">
            <v/>
          </cell>
          <cell r="N692" t="str">
            <v/>
          </cell>
          <cell r="O692" t="str">
            <v/>
          </cell>
          <cell r="P692" t="str">
            <v/>
          </cell>
          <cell r="Q692" t="str">
            <v/>
          </cell>
          <cell r="T692" t="str">
            <v/>
          </cell>
          <cell r="U692" t="str">
            <v/>
          </cell>
          <cell r="W692" t="str">
            <v/>
          </cell>
          <cell r="X692" t="str">
            <v/>
          </cell>
          <cell r="AB692">
            <v>0</v>
          </cell>
          <cell r="AC692">
            <v>0</v>
          </cell>
          <cell r="AD692">
            <v>0</v>
          </cell>
          <cell r="AJ692">
            <v>0</v>
          </cell>
          <cell r="AK692">
            <v>0</v>
          </cell>
        </row>
        <row r="693">
          <cell r="B693" t="str">
            <v/>
          </cell>
          <cell r="H693" t="str">
            <v/>
          </cell>
          <cell r="J693" t="str">
            <v/>
          </cell>
          <cell r="N693" t="str">
            <v/>
          </cell>
          <cell r="O693" t="str">
            <v/>
          </cell>
          <cell r="P693" t="str">
            <v/>
          </cell>
          <cell r="Q693" t="str">
            <v/>
          </cell>
          <cell r="T693" t="str">
            <v/>
          </cell>
          <cell r="U693" t="str">
            <v/>
          </cell>
          <cell r="W693" t="str">
            <v/>
          </cell>
          <cell r="X693" t="str">
            <v/>
          </cell>
          <cell r="AB693">
            <v>0</v>
          </cell>
          <cell r="AC693">
            <v>0</v>
          </cell>
          <cell r="AD693">
            <v>0</v>
          </cell>
          <cell r="AJ693">
            <v>0</v>
          </cell>
          <cell r="AK693">
            <v>0</v>
          </cell>
        </row>
        <row r="694">
          <cell r="B694" t="str">
            <v/>
          </cell>
          <cell r="H694" t="str">
            <v/>
          </cell>
          <cell r="J694" t="str">
            <v/>
          </cell>
          <cell r="N694" t="str">
            <v/>
          </cell>
          <cell r="O694" t="str">
            <v/>
          </cell>
          <cell r="P694" t="str">
            <v/>
          </cell>
          <cell r="Q694" t="str">
            <v/>
          </cell>
          <cell r="T694" t="str">
            <v/>
          </cell>
          <cell r="U694" t="str">
            <v/>
          </cell>
          <cell r="W694" t="str">
            <v/>
          </cell>
          <cell r="X694" t="str">
            <v/>
          </cell>
          <cell r="AB694">
            <v>0</v>
          </cell>
          <cell r="AC694">
            <v>0</v>
          </cell>
          <cell r="AD694">
            <v>0</v>
          </cell>
          <cell r="AJ694">
            <v>0</v>
          </cell>
          <cell r="AK694">
            <v>0</v>
          </cell>
        </row>
        <row r="695">
          <cell r="B695" t="str">
            <v/>
          </cell>
          <cell r="H695" t="str">
            <v/>
          </cell>
          <cell r="J695" t="str">
            <v/>
          </cell>
          <cell r="N695" t="str">
            <v/>
          </cell>
          <cell r="O695" t="str">
            <v/>
          </cell>
          <cell r="P695" t="str">
            <v/>
          </cell>
          <cell r="Q695" t="str">
            <v/>
          </cell>
          <cell r="T695" t="str">
            <v/>
          </cell>
          <cell r="U695" t="str">
            <v/>
          </cell>
          <cell r="W695" t="str">
            <v/>
          </cell>
          <cell r="X695" t="str">
            <v/>
          </cell>
          <cell r="AB695">
            <v>0</v>
          </cell>
          <cell r="AC695">
            <v>0</v>
          </cell>
          <cell r="AD695">
            <v>0</v>
          </cell>
          <cell r="AJ695">
            <v>0</v>
          </cell>
          <cell r="AK695">
            <v>0</v>
          </cell>
        </row>
        <row r="696">
          <cell r="B696" t="str">
            <v/>
          </cell>
          <cell r="H696" t="str">
            <v/>
          </cell>
          <cell r="J696" t="str">
            <v/>
          </cell>
          <cell r="N696" t="str">
            <v/>
          </cell>
          <cell r="O696" t="str">
            <v/>
          </cell>
          <cell r="P696" t="str">
            <v/>
          </cell>
          <cell r="Q696" t="str">
            <v/>
          </cell>
          <cell r="T696" t="str">
            <v/>
          </cell>
          <cell r="U696" t="str">
            <v/>
          </cell>
          <cell r="W696" t="str">
            <v/>
          </cell>
          <cell r="X696" t="str">
            <v/>
          </cell>
          <cell r="AB696">
            <v>0</v>
          </cell>
          <cell r="AC696">
            <v>0</v>
          </cell>
          <cell r="AD696">
            <v>0</v>
          </cell>
          <cell r="AJ696">
            <v>0</v>
          </cell>
          <cell r="AK696">
            <v>0</v>
          </cell>
        </row>
        <row r="697">
          <cell r="B697" t="str">
            <v/>
          </cell>
          <cell r="H697" t="str">
            <v/>
          </cell>
          <cell r="J697" t="str">
            <v/>
          </cell>
          <cell r="N697" t="str">
            <v/>
          </cell>
          <cell r="O697" t="str">
            <v/>
          </cell>
          <cell r="P697" t="str">
            <v/>
          </cell>
          <cell r="Q697" t="str">
            <v/>
          </cell>
          <cell r="T697" t="str">
            <v/>
          </cell>
          <cell r="U697" t="str">
            <v/>
          </cell>
          <cell r="W697" t="str">
            <v/>
          </cell>
          <cell r="X697" t="str">
            <v/>
          </cell>
          <cell r="AB697">
            <v>0</v>
          </cell>
          <cell r="AC697">
            <v>0</v>
          </cell>
          <cell r="AD697">
            <v>0</v>
          </cell>
          <cell r="AJ697">
            <v>0</v>
          </cell>
          <cell r="AK697">
            <v>0</v>
          </cell>
        </row>
        <row r="698">
          <cell r="B698" t="str">
            <v/>
          </cell>
          <cell r="H698" t="str">
            <v/>
          </cell>
          <cell r="J698" t="str">
            <v/>
          </cell>
          <cell r="N698" t="str">
            <v/>
          </cell>
          <cell r="O698" t="str">
            <v/>
          </cell>
          <cell r="P698" t="str">
            <v/>
          </cell>
          <cell r="Q698" t="str">
            <v/>
          </cell>
          <cell r="T698" t="str">
            <v/>
          </cell>
          <cell r="U698" t="str">
            <v/>
          </cell>
          <cell r="W698" t="str">
            <v/>
          </cell>
          <cell r="X698" t="str">
            <v/>
          </cell>
          <cell r="AB698">
            <v>0</v>
          </cell>
          <cell r="AC698">
            <v>0</v>
          </cell>
          <cell r="AD698">
            <v>0</v>
          </cell>
          <cell r="AJ698">
            <v>0</v>
          </cell>
          <cell r="AK698">
            <v>0</v>
          </cell>
        </row>
        <row r="699">
          <cell r="B699" t="str">
            <v/>
          </cell>
          <cell r="H699" t="str">
            <v/>
          </cell>
          <cell r="J699" t="str">
            <v/>
          </cell>
          <cell r="N699" t="str">
            <v/>
          </cell>
          <cell r="O699" t="str">
            <v/>
          </cell>
          <cell r="P699" t="str">
            <v/>
          </cell>
          <cell r="Q699" t="str">
            <v/>
          </cell>
          <cell r="T699" t="str">
            <v/>
          </cell>
          <cell r="U699" t="str">
            <v/>
          </cell>
          <cell r="W699" t="str">
            <v/>
          </cell>
          <cell r="X699" t="str">
            <v/>
          </cell>
          <cell r="AB699">
            <v>0</v>
          </cell>
          <cell r="AC699">
            <v>0</v>
          </cell>
          <cell r="AD699">
            <v>0</v>
          </cell>
          <cell r="AJ699">
            <v>0</v>
          </cell>
          <cell r="AK699">
            <v>0</v>
          </cell>
        </row>
        <row r="700">
          <cell r="B700" t="str">
            <v/>
          </cell>
          <cell r="H700" t="str">
            <v/>
          </cell>
          <cell r="J700" t="str">
            <v/>
          </cell>
          <cell r="N700" t="str">
            <v/>
          </cell>
          <cell r="O700" t="str">
            <v/>
          </cell>
          <cell r="P700" t="str">
            <v/>
          </cell>
          <cell r="Q700" t="str">
            <v/>
          </cell>
          <cell r="T700" t="str">
            <v/>
          </cell>
          <cell r="U700" t="str">
            <v/>
          </cell>
          <cell r="W700" t="str">
            <v/>
          </cell>
          <cell r="X700" t="str">
            <v/>
          </cell>
          <cell r="AB700">
            <v>0</v>
          </cell>
          <cell r="AC700">
            <v>0</v>
          </cell>
          <cell r="AD700">
            <v>0</v>
          </cell>
          <cell r="AJ700">
            <v>0</v>
          </cell>
          <cell r="AK700">
            <v>0</v>
          </cell>
        </row>
        <row r="701">
          <cell r="B701" t="str">
            <v/>
          </cell>
          <cell r="H701" t="str">
            <v/>
          </cell>
          <cell r="J701" t="str">
            <v/>
          </cell>
          <cell r="N701" t="str">
            <v/>
          </cell>
          <cell r="O701" t="str">
            <v/>
          </cell>
          <cell r="P701" t="str">
            <v/>
          </cell>
          <cell r="Q701" t="str">
            <v/>
          </cell>
          <cell r="T701" t="str">
            <v/>
          </cell>
          <cell r="U701" t="str">
            <v/>
          </cell>
          <cell r="W701" t="str">
            <v/>
          </cell>
          <cell r="X701" t="str">
            <v/>
          </cell>
          <cell r="AB701">
            <v>0</v>
          </cell>
          <cell r="AC701">
            <v>0</v>
          </cell>
          <cell r="AD701">
            <v>0</v>
          </cell>
          <cell r="AJ701">
            <v>0</v>
          </cell>
          <cell r="AK701">
            <v>0</v>
          </cell>
        </row>
        <row r="702">
          <cell r="B702" t="str">
            <v/>
          </cell>
          <cell r="H702" t="str">
            <v/>
          </cell>
          <cell r="J702" t="str">
            <v/>
          </cell>
          <cell r="N702" t="str">
            <v/>
          </cell>
          <cell r="O702" t="str">
            <v/>
          </cell>
          <cell r="P702" t="str">
            <v/>
          </cell>
          <cell r="Q702" t="str">
            <v/>
          </cell>
          <cell r="T702" t="str">
            <v/>
          </cell>
          <cell r="U702" t="str">
            <v/>
          </cell>
          <cell r="W702" t="str">
            <v/>
          </cell>
          <cell r="X702" t="str">
            <v/>
          </cell>
          <cell r="AB702">
            <v>0</v>
          </cell>
          <cell r="AC702">
            <v>0</v>
          </cell>
          <cell r="AD702">
            <v>0</v>
          </cell>
          <cell r="AJ702">
            <v>0</v>
          </cell>
          <cell r="AK702">
            <v>0</v>
          </cell>
        </row>
        <row r="703">
          <cell r="B703" t="str">
            <v/>
          </cell>
          <cell r="H703" t="str">
            <v/>
          </cell>
          <cell r="J703" t="str">
            <v/>
          </cell>
          <cell r="N703" t="str">
            <v/>
          </cell>
          <cell r="O703" t="str">
            <v/>
          </cell>
          <cell r="P703" t="str">
            <v/>
          </cell>
          <cell r="Q703" t="str">
            <v/>
          </cell>
          <cell r="T703" t="str">
            <v/>
          </cell>
          <cell r="U703" t="str">
            <v/>
          </cell>
          <cell r="W703" t="str">
            <v/>
          </cell>
          <cell r="X703" t="str">
            <v/>
          </cell>
          <cell r="AB703">
            <v>0</v>
          </cell>
          <cell r="AC703">
            <v>0</v>
          </cell>
          <cell r="AD703">
            <v>0</v>
          </cell>
          <cell r="AJ703">
            <v>0</v>
          </cell>
          <cell r="AK703">
            <v>0</v>
          </cell>
        </row>
        <row r="704">
          <cell r="B704" t="str">
            <v/>
          </cell>
          <cell r="H704" t="str">
            <v/>
          </cell>
          <cell r="J704" t="str">
            <v/>
          </cell>
          <cell r="N704" t="str">
            <v/>
          </cell>
          <cell r="O704" t="str">
            <v/>
          </cell>
          <cell r="P704" t="str">
            <v/>
          </cell>
          <cell r="Q704" t="str">
            <v/>
          </cell>
          <cell r="T704" t="str">
            <v/>
          </cell>
          <cell r="U704" t="str">
            <v/>
          </cell>
          <cell r="W704" t="str">
            <v/>
          </cell>
          <cell r="X704" t="str">
            <v/>
          </cell>
          <cell r="AB704">
            <v>0</v>
          </cell>
          <cell r="AC704">
            <v>0</v>
          </cell>
          <cell r="AD704">
            <v>0</v>
          </cell>
          <cell r="AJ704">
            <v>0</v>
          </cell>
          <cell r="AK704">
            <v>0</v>
          </cell>
        </row>
        <row r="705">
          <cell r="B705" t="str">
            <v/>
          </cell>
          <cell r="H705" t="str">
            <v/>
          </cell>
          <cell r="J705" t="str">
            <v/>
          </cell>
          <cell r="N705" t="str">
            <v/>
          </cell>
          <cell r="O705" t="str">
            <v/>
          </cell>
          <cell r="P705" t="str">
            <v/>
          </cell>
          <cell r="Q705" t="str">
            <v/>
          </cell>
          <cell r="T705" t="str">
            <v/>
          </cell>
          <cell r="U705" t="str">
            <v/>
          </cell>
          <cell r="W705" t="str">
            <v/>
          </cell>
          <cell r="X705" t="str">
            <v/>
          </cell>
          <cell r="AB705">
            <v>0</v>
          </cell>
          <cell r="AC705">
            <v>0</v>
          </cell>
          <cell r="AD705">
            <v>0</v>
          </cell>
          <cell r="AJ705">
            <v>0</v>
          </cell>
          <cell r="AK705">
            <v>0</v>
          </cell>
        </row>
        <row r="706">
          <cell r="B706" t="str">
            <v/>
          </cell>
          <cell r="H706" t="str">
            <v/>
          </cell>
          <cell r="J706" t="str">
            <v/>
          </cell>
          <cell r="N706" t="str">
            <v/>
          </cell>
          <cell r="O706" t="str">
            <v/>
          </cell>
          <cell r="P706" t="str">
            <v/>
          </cell>
          <cell r="Q706" t="str">
            <v/>
          </cell>
          <cell r="T706" t="str">
            <v/>
          </cell>
          <cell r="U706" t="str">
            <v/>
          </cell>
          <cell r="W706" t="str">
            <v/>
          </cell>
          <cell r="X706" t="str">
            <v/>
          </cell>
          <cell r="AB706">
            <v>0</v>
          </cell>
          <cell r="AC706">
            <v>0</v>
          </cell>
          <cell r="AD706">
            <v>0</v>
          </cell>
          <cell r="AJ706">
            <v>0</v>
          </cell>
          <cell r="AK706">
            <v>0</v>
          </cell>
        </row>
        <row r="707">
          <cell r="B707" t="str">
            <v/>
          </cell>
          <cell r="H707" t="str">
            <v/>
          </cell>
          <cell r="J707" t="str">
            <v/>
          </cell>
          <cell r="N707" t="str">
            <v/>
          </cell>
          <cell r="O707" t="str">
            <v/>
          </cell>
          <cell r="P707" t="str">
            <v/>
          </cell>
          <cell r="Q707" t="str">
            <v/>
          </cell>
          <cell r="T707" t="str">
            <v/>
          </cell>
          <cell r="U707" t="str">
            <v/>
          </cell>
          <cell r="W707" t="str">
            <v/>
          </cell>
          <cell r="X707" t="str">
            <v/>
          </cell>
          <cell r="AB707">
            <v>0</v>
          </cell>
          <cell r="AC707">
            <v>0</v>
          </cell>
          <cell r="AD707">
            <v>0</v>
          </cell>
          <cell r="AJ707">
            <v>0</v>
          </cell>
          <cell r="AK707">
            <v>0</v>
          </cell>
        </row>
        <row r="708">
          <cell r="B708" t="str">
            <v/>
          </cell>
          <cell r="H708" t="str">
            <v/>
          </cell>
          <cell r="J708" t="str">
            <v/>
          </cell>
          <cell r="N708" t="str">
            <v/>
          </cell>
          <cell r="O708" t="str">
            <v/>
          </cell>
          <cell r="P708" t="str">
            <v/>
          </cell>
          <cell r="Q708" t="str">
            <v/>
          </cell>
          <cell r="T708" t="str">
            <v/>
          </cell>
          <cell r="U708" t="str">
            <v/>
          </cell>
          <cell r="W708" t="str">
            <v/>
          </cell>
          <cell r="X708" t="str">
            <v/>
          </cell>
          <cell r="AB708">
            <v>0</v>
          </cell>
          <cell r="AC708">
            <v>0</v>
          </cell>
          <cell r="AD708">
            <v>0</v>
          </cell>
          <cell r="AJ708">
            <v>0</v>
          </cell>
          <cell r="AK708">
            <v>0</v>
          </cell>
        </row>
        <row r="709">
          <cell r="B709" t="str">
            <v/>
          </cell>
          <cell r="H709" t="str">
            <v/>
          </cell>
          <cell r="J709" t="str">
            <v/>
          </cell>
          <cell r="N709" t="str">
            <v/>
          </cell>
          <cell r="O709" t="str">
            <v/>
          </cell>
          <cell r="P709" t="str">
            <v/>
          </cell>
          <cell r="Q709" t="str">
            <v/>
          </cell>
          <cell r="T709" t="str">
            <v/>
          </cell>
          <cell r="U709" t="str">
            <v/>
          </cell>
          <cell r="W709" t="str">
            <v/>
          </cell>
          <cell r="X709" t="str">
            <v/>
          </cell>
          <cell r="AB709">
            <v>0</v>
          </cell>
          <cell r="AC709">
            <v>0</v>
          </cell>
          <cell r="AD709">
            <v>0</v>
          </cell>
          <cell r="AJ709">
            <v>0</v>
          </cell>
          <cell r="AK709">
            <v>0</v>
          </cell>
        </row>
        <row r="710">
          <cell r="B710" t="str">
            <v/>
          </cell>
          <cell r="H710" t="str">
            <v/>
          </cell>
          <cell r="J710" t="str">
            <v/>
          </cell>
          <cell r="N710" t="str">
            <v/>
          </cell>
          <cell r="O710" t="str">
            <v/>
          </cell>
          <cell r="P710" t="str">
            <v/>
          </cell>
          <cell r="Q710" t="str">
            <v/>
          </cell>
          <cell r="T710" t="str">
            <v/>
          </cell>
          <cell r="U710" t="str">
            <v/>
          </cell>
          <cell r="W710" t="str">
            <v/>
          </cell>
          <cell r="X710" t="str">
            <v/>
          </cell>
          <cell r="AB710">
            <v>0</v>
          </cell>
          <cell r="AC710">
            <v>0</v>
          </cell>
          <cell r="AD710">
            <v>0</v>
          </cell>
          <cell r="AJ710">
            <v>0</v>
          </cell>
          <cell r="AK710">
            <v>0</v>
          </cell>
        </row>
        <row r="711">
          <cell r="B711" t="str">
            <v/>
          </cell>
          <cell r="H711" t="str">
            <v/>
          </cell>
          <cell r="J711" t="str">
            <v/>
          </cell>
          <cell r="N711" t="str">
            <v/>
          </cell>
          <cell r="O711" t="str">
            <v/>
          </cell>
          <cell r="P711" t="str">
            <v/>
          </cell>
          <cell r="Q711" t="str">
            <v/>
          </cell>
          <cell r="T711" t="str">
            <v/>
          </cell>
          <cell r="U711" t="str">
            <v/>
          </cell>
          <cell r="W711" t="str">
            <v/>
          </cell>
          <cell r="X711" t="str">
            <v/>
          </cell>
          <cell r="AB711">
            <v>0</v>
          </cell>
          <cell r="AC711">
            <v>0</v>
          </cell>
          <cell r="AD711">
            <v>0</v>
          </cell>
          <cell r="AJ711">
            <v>0</v>
          </cell>
          <cell r="AK711">
            <v>0</v>
          </cell>
        </row>
        <row r="712">
          <cell r="B712" t="str">
            <v/>
          </cell>
          <cell r="H712" t="str">
            <v/>
          </cell>
          <cell r="J712" t="str">
            <v/>
          </cell>
          <cell r="N712" t="str">
            <v/>
          </cell>
          <cell r="O712" t="str">
            <v/>
          </cell>
          <cell r="P712" t="str">
            <v/>
          </cell>
          <cell r="Q712" t="str">
            <v/>
          </cell>
          <cell r="T712" t="str">
            <v/>
          </cell>
          <cell r="U712" t="str">
            <v/>
          </cell>
          <cell r="W712" t="str">
            <v/>
          </cell>
          <cell r="X712" t="str">
            <v/>
          </cell>
          <cell r="AB712">
            <v>0</v>
          </cell>
          <cell r="AC712">
            <v>0</v>
          </cell>
          <cell r="AD712">
            <v>0</v>
          </cell>
          <cell r="AJ712">
            <v>0</v>
          </cell>
          <cell r="AK712">
            <v>0</v>
          </cell>
        </row>
        <row r="713">
          <cell r="B713" t="str">
            <v/>
          </cell>
          <cell r="H713" t="str">
            <v/>
          </cell>
          <cell r="J713" t="str">
            <v/>
          </cell>
          <cell r="N713" t="str">
            <v/>
          </cell>
          <cell r="O713" t="str">
            <v/>
          </cell>
          <cell r="P713" t="str">
            <v/>
          </cell>
          <cell r="Q713" t="str">
            <v/>
          </cell>
          <cell r="T713" t="str">
            <v/>
          </cell>
          <cell r="U713" t="str">
            <v/>
          </cell>
          <cell r="W713" t="str">
            <v/>
          </cell>
          <cell r="X713" t="str">
            <v/>
          </cell>
          <cell r="AB713">
            <v>0</v>
          </cell>
          <cell r="AC713">
            <v>0</v>
          </cell>
          <cell r="AD713">
            <v>0</v>
          </cell>
          <cell r="AJ713">
            <v>0</v>
          </cell>
          <cell r="AK713">
            <v>0</v>
          </cell>
        </row>
        <row r="714">
          <cell r="B714" t="str">
            <v/>
          </cell>
          <cell r="H714" t="str">
            <v/>
          </cell>
          <cell r="J714" t="str">
            <v/>
          </cell>
          <cell r="N714" t="str">
            <v/>
          </cell>
          <cell r="O714" t="str">
            <v/>
          </cell>
          <cell r="P714" t="str">
            <v/>
          </cell>
          <cell r="Q714" t="str">
            <v/>
          </cell>
          <cell r="T714" t="str">
            <v/>
          </cell>
          <cell r="U714" t="str">
            <v/>
          </cell>
          <cell r="W714" t="str">
            <v/>
          </cell>
          <cell r="X714" t="str">
            <v/>
          </cell>
          <cell r="AB714">
            <v>0</v>
          </cell>
          <cell r="AC714">
            <v>0</v>
          </cell>
          <cell r="AD714">
            <v>0</v>
          </cell>
          <cell r="AJ714">
            <v>0</v>
          </cell>
          <cell r="AK714">
            <v>0</v>
          </cell>
        </row>
        <row r="715">
          <cell r="B715" t="str">
            <v/>
          </cell>
          <cell r="H715" t="str">
            <v/>
          </cell>
          <cell r="J715" t="str">
            <v/>
          </cell>
          <cell r="N715" t="str">
            <v/>
          </cell>
          <cell r="O715" t="str">
            <v/>
          </cell>
          <cell r="P715" t="str">
            <v/>
          </cell>
          <cell r="Q715" t="str">
            <v/>
          </cell>
          <cell r="T715" t="str">
            <v/>
          </cell>
          <cell r="U715" t="str">
            <v/>
          </cell>
          <cell r="W715" t="str">
            <v/>
          </cell>
          <cell r="X715" t="str">
            <v/>
          </cell>
          <cell r="AB715">
            <v>0</v>
          </cell>
          <cell r="AC715">
            <v>0</v>
          </cell>
          <cell r="AD715">
            <v>0</v>
          </cell>
          <cell r="AJ715">
            <v>0</v>
          </cell>
          <cell r="AK715">
            <v>0</v>
          </cell>
        </row>
        <row r="716">
          <cell r="B716" t="str">
            <v/>
          </cell>
          <cell r="H716" t="str">
            <v/>
          </cell>
          <cell r="J716" t="str">
            <v/>
          </cell>
          <cell r="N716" t="str">
            <v/>
          </cell>
          <cell r="O716" t="str">
            <v/>
          </cell>
          <cell r="P716" t="str">
            <v/>
          </cell>
          <cell r="Q716" t="str">
            <v/>
          </cell>
          <cell r="T716" t="str">
            <v/>
          </cell>
          <cell r="U716" t="str">
            <v/>
          </cell>
          <cell r="W716" t="str">
            <v/>
          </cell>
          <cell r="X716" t="str">
            <v/>
          </cell>
          <cell r="AB716">
            <v>0</v>
          </cell>
          <cell r="AC716">
            <v>0</v>
          </cell>
          <cell r="AD716">
            <v>0</v>
          </cell>
          <cell r="AJ716">
            <v>0</v>
          </cell>
          <cell r="AK716">
            <v>0</v>
          </cell>
        </row>
        <row r="717">
          <cell r="B717" t="str">
            <v/>
          </cell>
          <cell r="H717" t="str">
            <v/>
          </cell>
          <cell r="J717" t="str">
            <v/>
          </cell>
          <cell r="N717" t="str">
            <v/>
          </cell>
          <cell r="O717" t="str">
            <v/>
          </cell>
          <cell r="P717" t="str">
            <v/>
          </cell>
          <cell r="Q717" t="str">
            <v/>
          </cell>
          <cell r="T717" t="str">
            <v/>
          </cell>
          <cell r="U717" t="str">
            <v/>
          </cell>
          <cell r="W717" t="str">
            <v/>
          </cell>
          <cell r="X717" t="str">
            <v/>
          </cell>
          <cell r="AB717">
            <v>0</v>
          </cell>
          <cell r="AC717">
            <v>0</v>
          </cell>
          <cell r="AD717">
            <v>0</v>
          </cell>
          <cell r="AJ717">
            <v>0</v>
          </cell>
          <cell r="AK717">
            <v>0</v>
          </cell>
        </row>
        <row r="718">
          <cell r="B718" t="str">
            <v/>
          </cell>
          <cell r="H718" t="str">
            <v/>
          </cell>
          <cell r="J718" t="str">
            <v/>
          </cell>
          <cell r="N718" t="str">
            <v/>
          </cell>
          <cell r="O718" t="str">
            <v/>
          </cell>
          <cell r="P718" t="str">
            <v/>
          </cell>
          <cell r="Q718" t="str">
            <v/>
          </cell>
          <cell r="T718" t="str">
            <v/>
          </cell>
          <cell r="U718" t="str">
            <v/>
          </cell>
          <cell r="W718" t="str">
            <v/>
          </cell>
          <cell r="X718" t="str">
            <v/>
          </cell>
          <cell r="AB718">
            <v>0</v>
          </cell>
          <cell r="AC718">
            <v>0</v>
          </cell>
          <cell r="AD718">
            <v>0</v>
          </cell>
          <cell r="AJ718">
            <v>0</v>
          </cell>
          <cell r="AK718">
            <v>0</v>
          </cell>
        </row>
        <row r="719">
          <cell r="B719" t="str">
            <v/>
          </cell>
          <cell r="H719" t="str">
            <v/>
          </cell>
          <cell r="J719" t="str">
            <v/>
          </cell>
          <cell r="N719" t="str">
            <v/>
          </cell>
          <cell r="O719" t="str">
            <v/>
          </cell>
          <cell r="P719" t="str">
            <v/>
          </cell>
          <cell r="Q719" t="str">
            <v/>
          </cell>
          <cell r="T719" t="str">
            <v/>
          </cell>
          <cell r="U719" t="str">
            <v/>
          </cell>
          <cell r="W719" t="str">
            <v/>
          </cell>
          <cell r="X719" t="str">
            <v/>
          </cell>
          <cell r="AB719">
            <v>0</v>
          </cell>
          <cell r="AC719">
            <v>0</v>
          </cell>
          <cell r="AD719">
            <v>0</v>
          </cell>
          <cell r="AJ719">
            <v>0</v>
          </cell>
          <cell r="AK719">
            <v>0</v>
          </cell>
        </row>
        <row r="720">
          <cell r="B720" t="str">
            <v/>
          </cell>
          <cell r="H720" t="str">
            <v/>
          </cell>
          <cell r="J720" t="str">
            <v/>
          </cell>
          <cell r="N720" t="str">
            <v/>
          </cell>
          <cell r="O720" t="str">
            <v/>
          </cell>
          <cell r="P720" t="str">
            <v/>
          </cell>
          <cell r="Q720" t="str">
            <v/>
          </cell>
          <cell r="T720" t="str">
            <v/>
          </cell>
          <cell r="U720" t="str">
            <v/>
          </cell>
          <cell r="W720" t="str">
            <v/>
          </cell>
          <cell r="X720" t="str">
            <v/>
          </cell>
          <cell r="AB720">
            <v>0</v>
          </cell>
          <cell r="AC720">
            <v>0</v>
          </cell>
          <cell r="AD720">
            <v>0</v>
          </cell>
          <cell r="AJ720">
            <v>0</v>
          </cell>
          <cell r="AK720">
            <v>0</v>
          </cell>
        </row>
        <row r="721">
          <cell r="B721" t="str">
            <v/>
          </cell>
          <cell r="H721" t="str">
            <v/>
          </cell>
          <cell r="J721" t="str">
            <v/>
          </cell>
          <cell r="N721" t="str">
            <v/>
          </cell>
          <cell r="O721" t="str">
            <v/>
          </cell>
          <cell r="P721" t="str">
            <v/>
          </cell>
          <cell r="Q721" t="str">
            <v/>
          </cell>
          <cell r="T721" t="str">
            <v/>
          </cell>
          <cell r="U721" t="str">
            <v/>
          </cell>
          <cell r="W721" t="str">
            <v/>
          </cell>
          <cell r="X721" t="str">
            <v/>
          </cell>
          <cell r="AB721">
            <v>0</v>
          </cell>
          <cell r="AC721">
            <v>0</v>
          </cell>
          <cell r="AD721">
            <v>0</v>
          </cell>
          <cell r="AJ721">
            <v>0</v>
          </cell>
          <cell r="AK721">
            <v>0</v>
          </cell>
        </row>
        <row r="722">
          <cell r="B722" t="str">
            <v/>
          </cell>
          <cell r="H722" t="str">
            <v/>
          </cell>
          <cell r="J722" t="str">
            <v/>
          </cell>
          <cell r="N722" t="str">
            <v/>
          </cell>
          <cell r="O722" t="str">
            <v/>
          </cell>
          <cell r="P722" t="str">
            <v/>
          </cell>
          <cell r="Q722" t="str">
            <v/>
          </cell>
          <cell r="T722" t="str">
            <v/>
          </cell>
          <cell r="U722" t="str">
            <v/>
          </cell>
          <cell r="W722" t="str">
            <v/>
          </cell>
          <cell r="X722" t="str">
            <v/>
          </cell>
          <cell r="AB722">
            <v>0</v>
          </cell>
          <cell r="AC722">
            <v>0</v>
          </cell>
          <cell r="AD722">
            <v>0</v>
          </cell>
          <cell r="AJ722">
            <v>0</v>
          </cell>
          <cell r="AK722">
            <v>0</v>
          </cell>
        </row>
        <row r="723">
          <cell r="B723" t="str">
            <v/>
          </cell>
          <cell r="H723" t="str">
            <v/>
          </cell>
          <cell r="J723" t="str">
            <v/>
          </cell>
          <cell r="N723" t="str">
            <v/>
          </cell>
          <cell r="O723" t="str">
            <v/>
          </cell>
          <cell r="P723" t="str">
            <v/>
          </cell>
          <cell r="Q723" t="str">
            <v/>
          </cell>
          <cell r="T723" t="str">
            <v/>
          </cell>
          <cell r="U723" t="str">
            <v/>
          </cell>
          <cell r="W723" t="str">
            <v/>
          </cell>
          <cell r="X723" t="str">
            <v/>
          </cell>
          <cell r="AB723">
            <v>0</v>
          </cell>
          <cell r="AC723">
            <v>0</v>
          </cell>
          <cell r="AD723">
            <v>0</v>
          </cell>
          <cell r="AJ723">
            <v>0</v>
          </cell>
          <cell r="AK723">
            <v>0</v>
          </cell>
        </row>
        <row r="724">
          <cell r="B724" t="str">
            <v/>
          </cell>
          <cell r="H724" t="str">
            <v/>
          </cell>
          <cell r="J724" t="str">
            <v/>
          </cell>
          <cell r="N724" t="str">
            <v/>
          </cell>
          <cell r="O724" t="str">
            <v/>
          </cell>
          <cell r="P724" t="str">
            <v/>
          </cell>
          <cell r="Q724" t="str">
            <v/>
          </cell>
          <cell r="T724" t="str">
            <v/>
          </cell>
          <cell r="U724" t="str">
            <v/>
          </cell>
          <cell r="W724" t="str">
            <v/>
          </cell>
          <cell r="X724" t="str">
            <v/>
          </cell>
          <cell r="AB724">
            <v>0</v>
          </cell>
          <cell r="AC724">
            <v>0</v>
          </cell>
          <cell r="AD724">
            <v>0</v>
          </cell>
          <cell r="AJ724">
            <v>0</v>
          </cell>
          <cell r="AK724">
            <v>0</v>
          </cell>
        </row>
        <row r="725">
          <cell r="B725" t="str">
            <v/>
          </cell>
          <cell r="H725" t="str">
            <v/>
          </cell>
          <cell r="J725" t="str">
            <v/>
          </cell>
          <cell r="N725" t="str">
            <v/>
          </cell>
          <cell r="O725" t="str">
            <v/>
          </cell>
          <cell r="P725" t="str">
            <v/>
          </cell>
          <cell r="Q725" t="str">
            <v/>
          </cell>
          <cell r="T725" t="str">
            <v/>
          </cell>
          <cell r="U725" t="str">
            <v/>
          </cell>
          <cell r="W725" t="str">
            <v/>
          </cell>
          <cell r="X725" t="str">
            <v/>
          </cell>
          <cell r="AB725">
            <v>0</v>
          </cell>
          <cell r="AC725">
            <v>0</v>
          </cell>
          <cell r="AD725">
            <v>0</v>
          </cell>
          <cell r="AJ725">
            <v>0</v>
          </cell>
          <cell r="AK725">
            <v>0</v>
          </cell>
        </row>
        <row r="726">
          <cell r="B726" t="str">
            <v/>
          </cell>
          <cell r="H726" t="str">
            <v/>
          </cell>
          <cell r="J726" t="str">
            <v/>
          </cell>
          <cell r="N726" t="str">
            <v/>
          </cell>
          <cell r="O726" t="str">
            <v/>
          </cell>
          <cell r="P726" t="str">
            <v/>
          </cell>
          <cell r="Q726" t="str">
            <v/>
          </cell>
          <cell r="T726" t="str">
            <v/>
          </cell>
          <cell r="U726" t="str">
            <v/>
          </cell>
          <cell r="W726" t="str">
            <v/>
          </cell>
          <cell r="X726" t="str">
            <v/>
          </cell>
          <cell r="AB726">
            <v>0</v>
          </cell>
          <cell r="AC726">
            <v>0</v>
          </cell>
          <cell r="AD726">
            <v>0</v>
          </cell>
          <cell r="AJ726">
            <v>0</v>
          </cell>
          <cell r="AK726">
            <v>0</v>
          </cell>
        </row>
        <row r="727">
          <cell r="B727" t="str">
            <v/>
          </cell>
          <cell r="H727" t="str">
            <v/>
          </cell>
          <cell r="J727" t="str">
            <v/>
          </cell>
          <cell r="N727" t="str">
            <v/>
          </cell>
          <cell r="O727" t="str">
            <v/>
          </cell>
          <cell r="P727" t="str">
            <v/>
          </cell>
          <cell r="Q727" t="str">
            <v/>
          </cell>
          <cell r="T727" t="str">
            <v/>
          </cell>
          <cell r="U727" t="str">
            <v/>
          </cell>
          <cell r="W727" t="str">
            <v/>
          </cell>
          <cell r="X727" t="str">
            <v/>
          </cell>
          <cell r="AB727">
            <v>0</v>
          </cell>
          <cell r="AC727">
            <v>0</v>
          </cell>
          <cell r="AD727">
            <v>0</v>
          </cell>
          <cell r="AJ727">
            <v>0</v>
          </cell>
          <cell r="AK727">
            <v>0</v>
          </cell>
        </row>
        <row r="728">
          <cell r="B728" t="str">
            <v/>
          </cell>
          <cell r="H728" t="str">
            <v/>
          </cell>
          <cell r="J728" t="str">
            <v/>
          </cell>
          <cell r="N728" t="str">
            <v/>
          </cell>
          <cell r="O728" t="str">
            <v/>
          </cell>
          <cell r="P728" t="str">
            <v/>
          </cell>
          <cell r="Q728" t="str">
            <v/>
          </cell>
          <cell r="T728" t="str">
            <v/>
          </cell>
          <cell r="U728" t="str">
            <v/>
          </cell>
          <cell r="W728" t="str">
            <v/>
          </cell>
          <cell r="X728" t="str">
            <v/>
          </cell>
          <cell r="AB728">
            <v>0</v>
          </cell>
          <cell r="AC728">
            <v>0</v>
          </cell>
          <cell r="AD728">
            <v>0</v>
          </cell>
          <cell r="AJ728">
            <v>0</v>
          </cell>
          <cell r="AK728">
            <v>0</v>
          </cell>
        </row>
        <row r="729">
          <cell r="B729" t="str">
            <v/>
          </cell>
          <cell r="H729" t="str">
            <v/>
          </cell>
          <cell r="J729" t="str">
            <v/>
          </cell>
          <cell r="N729" t="str">
            <v/>
          </cell>
          <cell r="O729" t="str">
            <v/>
          </cell>
          <cell r="P729" t="str">
            <v/>
          </cell>
          <cell r="Q729" t="str">
            <v/>
          </cell>
          <cell r="T729" t="str">
            <v/>
          </cell>
          <cell r="U729" t="str">
            <v/>
          </cell>
          <cell r="W729" t="str">
            <v/>
          </cell>
          <cell r="X729" t="str">
            <v/>
          </cell>
          <cell r="AB729">
            <v>0</v>
          </cell>
          <cell r="AC729">
            <v>0</v>
          </cell>
          <cell r="AD729">
            <v>0</v>
          </cell>
          <cell r="AJ729">
            <v>0</v>
          </cell>
          <cell r="AK729">
            <v>0</v>
          </cell>
        </row>
        <row r="730">
          <cell r="B730" t="str">
            <v/>
          </cell>
          <cell r="H730" t="str">
            <v/>
          </cell>
          <cell r="J730" t="str">
            <v/>
          </cell>
          <cell r="N730" t="str">
            <v/>
          </cell>
          <cell r="O730" t="str">
            <v/>
          </cell>
          <cell r="P730" t="str">
            <v/>
          </cell>
          <cell r="Q730" t="str">
            <v/>
          </cell>
          <cell r="T730" t="str">
            <v/>
          </cell>
          <cell r="U730" t="str">
            <v/>
          </cell>
          <cell r="W730" t="str">
            <v/>
          </cell>
          <cell r="X730" t="str">
            <v/>
          </cell>
          <cell r="AB730">
            <v>0</v>
          </cell>
          <cell r="AC730">
            <v>0</v>
          </cell>
          <cell r="AD730">
            <v>0</v>
          </cell>
          <cell r="AJ730">
            <v>0</v>
          </cell>
          <cell r="AK730">
            <v>0</v>
          </cell>
        </row>
        <row r="731">
          <cell r="B731" t="str">
            <v/>
          </cell>
          <cell r="H731" t="str">
            <v/>
          </cell>
          <cell r="J731" t="str">
            <v/>
          </cell>
          <cell r="N731" t="str">
            <v/>
          </cell>
          <cell r="O731" t="str">
            <v/>
          </cell>
          <cell r="P731" t="str">
            <v/>
          </cell>
          <cell r="Q731" t="str">
            <v/>
          </cell>
          <cell r="T731" t="str">
            <v/>
          </cell>
          <cell r="U731" t="str">
            <v/>
          </cell>
          <cell r="W731" t="str">
            <v/>
          </cell>
          <cell r="X731" t="str">
            <v/>
          </cell>
          <cell r="AB731">
            <v>0</v>
          </cell>
          <cell r="AC731">
            <v>0</v>
          </cell>
          <cell r="AD731">
            <v>0</v>
          </cell>
          <cell r="AJ731">
            <v>0</v>
          </cell>
          <cell r="AK731">
            <v>0</v>
          </cell>
        </row>
        <row r="732">
          <cell r="B732" t="str">
            <v/>
          </cell>
          <cell r="H732" t="str">
            <v/>
          </cell>
          <cell r="J732" t="str">
            <v/>
          </cell>
          <cell r="N732" t="str">
            <v/>
          </cell>
          <cell r="O732" t="str">
            <v/>
          </cell>
          <cell r="P732" t="str">
            <v/>
          </cell>
          <cell r="Q732" t="str">
            <v/>
          </cell>
          <cell r="T732" t="str">
            <v/>
          </cell>
          <cell r="U732" t="str">
            <v/>
          </cell>
          <cell r="W732" t="str">
            <v/>
          </cell>
          <cell r="X732" t="str">
            <v/>
          </cell>
          <cell r="AB732">
            <v>0</v>
          </cell>
          <cell r="AC732">
            <v>0</v>
          </cell>
          <cell r="AD732">
            <v>0</v>
          </cell>
          <cell r="AJ732">
            <v>0</v>
          </cell>
          <cell r="AK732">
            <v>0</v>
          </cell>
        </row>
        <row r="733">
          <cell r="B733" t="str">
            <v/>
          </cell>
          <cell r="H733" t="str">
            <v/>
          </cell>
          <cell r="J733" t="str">
            <v/>
          </cell>
          <cell r="N733" t="str">
            <v/>
          </cell>
          <cell r="O733" t="str">
            <v/>
          </cell>
          <cell r="P733" t="str">
            <v/>
          </cell>
          <cell r="Q733" t="str">
            <v/>
          </cell>
          <cell r="T733" t="str">
            <v/>
          </cell>
          <cell r="U733" t="str">
            <v/>
          </cell>
          <cell r="W733" t="str">
            <v/>
          </cell>
          <cell r="X733" t="str">
            <v/>
          </cell>
          <cell r="AB733">
            <v>0</v>
          </cell>
          <cell r="AC733">
            <v>0</v>
          </cell>
          <cell r="AD733">
            <v>0</v>
          </cell>
          <cell r="AJ733">
            <v>0</v>
          </cell>
          <cell r="AK733">
            <v>0</v>
          </cell>
        </row>
        <row r="734">
          <cell r="B734" t="str">
            <v/>
          </cell>
          <cell r="H734" t="str">
            <v/>
          </cell>
          <cell r="J734" t="str">
            <v/>
          </cell>
          <cell r="N734" t="str">
            <v/>
          </cell>
          <cell r="O734" t="str">
            <v/>
          </cell>
          <cell r="P734" t="str">
            <v/>
          </cell>
          <cell r="Q734" t="str">
            <v/>
          </cell>
          <cell r="T734" t="str">
            <v/>
          </cell>
          <cell r="U734" t="str">
            <v/>
          </cell>
          <cell r="W734" t="str">
            <v/>
          </cell>
          <cell r="X734" t="str">
            <v/>
          </cell>
          <cell r="AB734">
            <v>0</v>
          </cell>
          <cell r="AC734">
            <v>0</v>
          </cell>
          <cell r="AD734">
            <v>0</v>
          </cell>
          <cell r="AJ734">
            <v>0</v>
          </cell>
          <cell r="AK734">
            <v>0</v>
          </cell>
        </row>
        <row r="735">
          <cell r="B735" t="str">
            <v/>
          </cell>
          <cell r="H735" t="str">
            <v/>
          </cell>
          <cell r="J735" t="str">
            <v/>
          </cell>
          <cell r="N735" t="str">
            <v/>
          </cell>
          <cell r="O735" t="str">
            <v/>
          </cell>
          <cell r="P735" t="str">
            <v/>
          </cell>
          <cell r="Q735" t="str">
            <v/>
          </cell>
          <cell r="T735" t="str">
            <v/>
          </cell>
          <cell r="U735" t="str">
            <v/>
          </cell>
          <cell r="W735" t="str">
            <v/>
          </cell>
          <cell r="X735" t="str">
            <v/>
          </cell>
          <cell r="AB735">
            <v>0</v>
          </cell>
          <cell r="AC735">
            <v>0</v>
          </cell>
          <cell r="AD735">
            <v>0</v>
          </cell>
          <cell r="AJ735">
            <v>0</v>
          </cell>
          <cell r="AK735">
            <v>0</v>
          </cell>
        </row>
        <row r="736">
          <cell r="B736" t="str">
            <v/>
          </cell>
          <cell r="H736" t="str">
            <v/>
          </cell>
          <cell r="J736" t="str">
            <v/>
          </cell>
          <cell r="N736" t="str">
            <v/>
          </cell>
          <cell r="O736" t="str">
            <v/>
          </cell>
          <cell r="P736" t="str">
            <v/>
          </cell>
          <cell r="Q736" t="str">
            <v/>
          </cell>
          <cell r="T736" t="str">
            <v/>
          </cell>
          <cell r="U736" t="str">
            <v/>
          </cell>
          <cell r="W736" t="str">
            <v/>
          </cell>
          <cell r="X736" t="str">
            <v/>
          </cell>
          <cell r="AB736">
            <v>0</v>
          </cell>
          <cell r="AC736">
            <v>0</v>
          </cell>
          <cell r="AD736">
            <v>0</v>
          </cell>
          <cell r="AJ736">
            <v>0</v>
          </cell>
          <cell r="AK736">
            <v>0</v>
          </cell>
        </row>
        <row r="737">
          <cell r="B737" t="str">
            <v/>
          </cell>
          <cell r="H737" t="str">
            <v/>
          </cell>
          <cell r="J737" t="str">
            <v/>
          </cell>
          <cell r="N737" t="str">
            <v/>
          </cell>
          <cell r="O737" t="str">
            <v/>
          </cell>
          <cell r="P737" t="str">
            <v/>
          </cell>
          <cell r="Q737" t="str">
            <v/>
          </cell>
          <cell r="T737" t="str">
            <v/>
          </cell>
          <cell r="U737" t="str">
            <v/>
          </cell>
          <cell r="W737" t="str">
            <v/>
          </cell>
          <cell r="X737" t="str">
            <v/>
          </cell>
          <cell r="AB737">
            <v>0</v>
          </cell>
          <cell r="AC737">
            <v>0</v>
          </cell>
          <cell r="AD737">
            <v>0</v>
          </cell>
          <cell r="AJ737">
            <v>0</v>
          </cell>
          <cell r="AK737">
            <v>0</v>
          </cell>
        </row>
        <row r="738">
          <cell r="B738" t="str">
            <v/>
          </cell>
          <cell r="H738" t="str">
            <v/>
          </cell>
          <cell r="J738" t="str">
            <v/>
          </cell>
          <cell r="N738" t="str">
            <v/>
          </cell>
          <cell r="O738" t="str">
            <v/>
          </cell>
          <cell r="P738" t="str">
            <v/>
          </cell>
          <cell r="Q738" t="str">
            <v/>
          </cell>
          <cell r="T738" t="str">
            <v/>
          </cell>
          <cell r="U738" t="str">
            <v/>
          </cell>
          <cell r="W738" t="str">
            <v/>
          </cell>
          <cell r="X738" t="str">
            <v/>
          </cell>
          <cell r="AB738">
            <v>0</v>
          </cell>
          <cell r="AC738">
            <v>0</v>
          </cell>
          <cell r="AD738">
            <v>0</v>
          </cell>
          <cell r="AJ738">
            <v>0</v>
          </cell>
          <cell r="AK738">
            <v>0</v>
          </cell>
        </row>
        <row r="739">
          <cell r="B739" t="str">
            <v/>
          </cell>
          <cell r="H739" t="str">
            <v/>
          </cell>
          <cell r="J739" t="str">
            <v/>
          </cell>
          <cell r="N739" t="str">
            <v/>
          </cell>
          <cell r="O739" t="str">
            <v/>
          </cell>
          <cell r="P739" t="str">
            <v/>
          </cell>
          <cell r="Q739" t="str">
            <v/>
          </cell>
          <cell r="T739" t="str">
            <v/>
          </cell>
          <cell r="U739" t="str">
            <v/>
          </cell>
          <cell r="W739" t="str">
            <v/>
          </cell>
          <cell r="X739" t="str">
            <v/>
          </cell>
          <cell r="AB739">
            <v>0</v>
          </cell>
          <cell r="AC739">
            <v>0</v>
          </cell>
          <cell r="AD739">
            <v>0</v>
          </cell>
          <cell r="AJ739">
            <v>0</v>
          </cell>
          <cell r="AK739">
            <v>0</v>
          </cell>
        </row>
        <row r="740">
          <cell r="B740" t="str">
            <v/>
          </cell>
          <cell r="H740" t="str">
            <v/>
          </cell>
          <cell r="J740" t="str">
            <v/>
          </cell>
          <cell r="N740" t="str">
            <v/>
          </cell>
          <cell r="O740" t="str">
            <v/>
          </cell>
          <cell r="P740" t="str">
            <v/>
          </cell>
          <cell r="Q740" t="str">
            <v/>
          </cell>
          <cell r="T740" t="str">
            <v/>
          </cell>
          <cell r="U740" t="str">
            <v/>
          </cell>
          <cell r="W740" t="str">
            <v/>
          </cell>
          <cell r="X740" t="str">
            <v/>
          </cell>
          <cell r="AB740">
            <v>0</v>
          </cell>
          <cell r="AC740">
            <v>0</v>
          </cell>
          <cell r="AD740">
            <v>0</v>
          </cell>
          <cell r="AJ740">
            <v>0</v>
          </cell>
          <cell r="AK740">
            <v>0</v>
          </cell>
        </row>
        <row r="741">
          <cell r="B741" t="str">
            <v/>
          </cell>
          <cell r="H741" t="str">
            <v/>
          </cell>
          <cell r="J741" t="str">
            <v/>
          </cell>
          <cell r="N741" t="str">
            <v/>
          </cell>
          <cell r="O741" t="str">
            <v/>
          </cell>
          <cell r="P741" t="str">
            <v/>
          </cell>
          <cell r="Q741" t="str">
            <v/>
          </cell>
          <cell r="T741" t="str">
            <v/>
          </cell>
          <cell r="U741" t="str">
            <v/>
          </cell>
          <cell r="W741" t="str">
            <v/>
          </cell>
          <cell r="X741" t="str">
            <v/>
          </cell>
          <cell r="AB741">
            <v>0</v>
          </cell>
          <cell r="AC741">
            <v>0</v>
          </cell>
          <cell r="AD741">
            <v>0</v>
          </cell>
          <cell r="AJ741">
            <v>0</v>
          </cell>
          <cell r="AK741">
            <v>0</v>
          </cell>
        </row>
        <row r="742">
          <cell r="B742" t="str">
            <v/>
          </cell>
          <cell r="H742" t="str">
            <v/>
          </cell>
          <cell r="J742" t="str">
            <v/>
          </cell>
          <cell r="N742" t="str">
            <v/>
          </cell>
          <cell r="O742" t="str">
            <v/>
          </cell>
          <cell r="P742" t="str">
            <v/>
          </cell>
          <cell r="Q742" t="str">
            <v/>
          </cell>
          <cell r="T742" t="str">
            <v/>
          </cell>
          <cell r="U742" t="str">
            <v/>
          </cell>
          <cell r="W742" t="str">
            <v/>
          </cell>
          <cell r="X742" t="str">
            <v/>
          </cell>
          <cell r="AB742">
            <v>0</v>
          </cell>
          <cell r="AC742">
            <v>0</v>
          </cell>
          <cell r="AD742">
            <v>0</v>
          </cell>
          <cell r="AJ742">
            <v>0</v>
          </cell>
          <cell r="AK742">
            <v>0</v>
          </cell>
        </row>
        <row r="743">
          <cell r="B743" t="str">
            <v/>
          </cell>
          <cell r="H743" t="str">
            <v/>
          </cell>
          <cell r="J743" t="str">
            <v/>
          </cell>
          <cell r="N743" t="str">
            <v/>
          </cell>
          <cell r="O743" t="str">
            <v/>
          </cell>
          <cell r="P743" t="str">
            <v/>
          </cell>
          <cell r="Q743" t="str">
            <v/>
          </cell>
          <cell r="T743" t="str">
            <v/>
          </cell>
          <cell r="U743" t="str">
            <v/>
          </cell>
          <cell r="W743" t="str">
            <v/>
          </cell>
          <cell r="X743" t="str">
            <v/>
          </cell>
          <cell r="AB743">
            <v>0</v>
          </cell>
          <cell r="AC743">
            <v>0</v>
          </cell>
          <cell r="AD743">
            <v>0</v>
          </cell>
          <cell r="AJ743">
            <v>0</v>
          </cell>
          <cell r="AK743">
            <v>0</v>
          </cell>
        </row>
        <row r="744">
          <cell r="B744" t="str">
            <v/>
          </cell>
          <cell r="H744" t="str">
            <v/>
          </cell>
          <cell r="J744" t="str">
            <v/>
          </cell>
          <cell r="N744" t="str">
            <v/>
          </cell>
          <cell r="O744" t="str">
            <v/>
          </cell>
          <cell r="P744" t="str">
            <v/>
          </cell>
          <cell r="Q744" t="str">
            <v/>
          </cell>
          <cell r="T744" t="str">
            <v/>
          </cell>
          <cell r="U744" t="str">
            <v/>
          </cell>
          <cell r="W744" t="str">
            <v/>
          </cell>
          <cell r="X744" t="str">
            <v/>
          </cell>
          <cell r="AB744">
            <v>0</v>
          </cell>
          <cell r="AC744">
            <v>0</v>
          </cell>
          <cell r="AD744">
            <v>0</v>
          </cell>
          <cell r="AJ744">
            <v>0</v>
          </cell>
          <cell r="AK744">
            <v>0</v>
          </cell>
        </row>
        <row r="745">
          <cell r="B745" t="str">
            <v/>
          </cell>
          <cell r="H745" t="str">
            <v/>
          </cell>
          <cell r="J745" t="str">
            <v/>
          </cell>
          <cell r="N745" t="str">
            <v/>
          </cell>
          <cell r="O745" t="str">
            <v/>
          </cell>
          <cell r="P745" t="str">
            <v/>
          </cell>
          <cell r="Q745" t="str">
            <v/>
          </cell>
          <cell r="T745" t="str">
            <v/>
          </cell>
          <cell r="U745" t="str">
            <v/>
          </cell>
          <cell r="W745" t="str">
            <v/>
          </cell>
          <cell r="X745" t="str">
            <v/>
          </cell>
          <cell r="AB745">
            <v>0</v>
          </cell>
          <cell r="AC745">
            <v>0</v>
          </cell>
          <cell r="AD745">
            <v>0</v>
          </cell>
          <cell r="AJ745">
            <v>0</v>
          </cell>
          <cell r="AK745">
            <v>0</v>
          </cell>
        </row>
        <row r="746">
          <cell r="B746" t="str">
            <v/>
          </cell>
          <cell r="H746" t="str">
            <v/>
          </cell>
          <cell r="J746" t="str">
            <v/>
          </cell>
          <cell r="N746" t="str">
            <v/>
          </cell>
          <cell r="O746" t="str">
            <v/>
          </cell>
          <cell r="P746" t="str">
            <v/>
          </cell>
          <cell r="Q746" t="str">
            <v/>
          </cell>
          <cell r="T746" t="str">
            <v/>
          </cell>
          <cell r="U746" t="str">
            <v/>
          </cell>
          <cell r="W746" t="str">
            <v/>
          </cell>
          <cell r="X746" t="str">
            <v/>
          </cell>
          <cell r="AB746">
            <v>0</v>
          </cell>
          <cell r="AC746">
            <v>0</v>
          </cell>
          <cell r="AD746">
            <v>0</v>
          </cell>
          <cell r="AJ746">
            <v>0</v>
          </cell>
          <cell r="AK746">
            <v>0</v>
          </cell>
        </row>
        <row r="747">
          <cell r="B747" t="str">
            <v/>
          </cell>
          <cell r="H747" t="str">
            <v/>
          </cell>
          <cell r="J747" t="str">
            <v/>
          </cell>
          <cell r="N747" t="str">
            <v/>
          </cell>
          <cell r="O747" t="str">
            <v/>
          </cell>
          <cell r="P747" t="str">
            <v/>
          </cell>
          <cell r="Q747" t="str">
            <v/>
          </cell>
          <cell r="T747" t="str">
            <v/>
          </cell>
          <cell r="U747" t="str">
            <v/>
          </cell>
          <cell r="W747" t="str">
            <v/>
          </cell>
          <cell r="X747" t="str">
            <v/>
          </cell>
          <cell r="AB747">
            <v>0</v>
          </cell>
          <cell r="AC747">
            <v>0</v>
          </cell>
          <cell r="AD747">
            <v>0</v>
          </cell>
          <cell r="AJ747">
            <v>0</v>
          </cell>
          <cell r="AK747">
            <v>0</v>
          </cell>
        </row>
        <row r="748">
          <cell r="B748" t="str">
            <v/>
          </cell>
          <cell r="H748" t="str">
            <v/>
          </cell>
          <cell r="J748" t="str">
            <v/>
          </cell>
          <cell r="N748" t="str">
            <v/>
          </cell>
          <cell r="O748" t="str">
            <v/>
          </cell>
          <cell r="P748" t="str">
            <v/>
          </cell>
          <cell r="Q748" t="str">
            <v/>
          </cell>
          <cell r="T748" t="str">
            <v/>
          </cell>
          <cell r="U748" t="str">
            <v/>
          </cell>
          <cell r="W748" t="str">
            <v/>
          </cell>
          <cell r="X748" t="str">
            <v/>
          </cell>
          <cell r="AB748">
            <v>0</v>
          </cell>
          <cell r="AC748">
            <v>0</v>
          </cell>
          <cell r="AD748">
            <v>0</v>
          </cell>
          <cell r="AJ748">
            <v>0</v>
          </cell>
          <cell r="AK748">
            <v>0</v>
          </cell>
        </row>
        <row r="749">
          <cell r="B749" t="str">
            <v/>
          </cell>
          <cell r="H749" t="str">
            <v/>
          </cell>
          <cell r="J749" t="str">
            <v/>
          </cell>
          <cell r="N749" t="str">
            <v/>
          </cell>
          <cell r="O749" t="str">
            <v/>
          </cell>
          <cell r="P749" t="str">
            <v/>
          </cell>
          <cell r="Q749" t="str">
            <v/>
          </cell>
          <cell r="T749" t="str">
            <v/>
          </cell>
          <cell r="U749" t="str">
            <v/>
          </cell>
          <cell r="W749" t="str">
            <v/>
          </cell>
          <cell r="X749" t="str">
            <v/>
          </cell>
          <cell r="AB749">
            <v>0</v>
          </cell>
          <cell r="AC749">
            <v>0</v>
          </cell>
          <cell r="AD749">
            <v>0</v>
          </cell>
          <cell r="AJ749">
            <v>0</v>
          </cell>
          <cell r="AK749">
            <v>0</v>
          </cell>
        </row>
        <row r="750">
          <cell r="B750" t="str">
            <v/>
          </cell>
          <cell r="H750" t="str">
            <v/>
          </cell>
          <cell r="J750" t="str">
            <v/>
          </cell>
          <cell r="N750" t="str">
            <v/>
          </cell>
          <cell r="O750" t="str">
            <v/>
          </cell>
          <cell r="P750" t="str">
            <v/>
          </cell>
          <cell r="Q750" t="str">
            <v/>
          </cell>
          <cell r="T750" t="str">
            <v/>
          </cell>
          <cell r="U750" t="str">
            <v/>
          </cell>
          <cell r="W750" t="str">
            <v/>
          </cell>
          <cell r="X750" t="str">
            <v/>
          </cell>
          <cell r="AB750">
            <v>0</v>
          </cell>
          <cell r="AC750">
            <v>0</v>
          </cell>
          <cell r="AD750">
            <v>0</v>
          </cell>
          <cell r="AJ750">
            <v>0</v>
          </cell>
          <cell r="AK750">
            <v>0</v>
          </cell>
        </row>
        <row r="751">
          <cell r="B751" t="str">
            <v/>
          </cell>
          <cell r="H751" t="str">
            <v/>
          </cell>
          <cell r="J751" t="str">
            <v/>
          </cell>
          <cell r="N751" t="str">
            <v/>
          </cell>
          <cell r="O751" t="str">
            <v/>
          </cell>
          <cell r="P751" t="str">
            <v/>
          </cell>
          <cell r="Q751" t="str">
            <v/>
          </cell>
          <cell r="T751" t="str">
            <v/>
          </cell>
          <cell r="U751" t="str">
            <v/>
          </cell>
          <cell r="W751" t="str">
            <v/>
          </cell>
          <cell r="X751" t="str">
            <v/>
          </cell>
          <cell r="AB751">
            <v>0</v>
          </cell>
          <cell r="AC751">
            <v>0</v>
          </cell>
          <cell r="AD751">
            <v>0</v>
          </cell>
          <cell r="AJ751">
            <v>0</v>
          </cell>
          <cell r="AK751">
            <v>0</v>
          </cell>
        </row>
        <row r="752">
          <cell r="B752" t="str">
            <v/>
          </cell>
          <cell r="H752" t="str">
            <v/>
          </cell>
          <cell r="J752" t="str">
            <v/>
          </cell>
          <cell r="N752" t="str">
            <v/>
          </cell>
          <cell r="O752" t="str">
            <v/>
          </cell>
          <cell r="P752" t="str">
            <v/>
          </cell>
          <cell r="Q752" t="str">
            <v/>
          </cell>
          <cell r="T752" t="str">
            <v/>
          </cell>
          <cell r="U752" t="str">
            <v/>
          </cell>
          <cell r="W752" t="str">
            <v/>
          </cell>
          <cell r="X752" t="str">
            <v/>
          </cell>
          <cell r="AB752">
            <v>0</v>
          </cell>
          <cell r="AC752">
            <v>0</v>
          </cell>
          <cell r="AD752">
            <v>0</v>
          </cell>
          <cell r="AJ752">
            <v>0</v>
          </cell>
          <cell r="AK752">
            <v>0</v>
          </cell>
        </row>
        <row r="753">
          <cell r="B753" t="str">
            <v/>
          </cell>
          <cell r="H753" t="str">
            <v/>
          </cell>
          <cell r="J753" t="str">
            <v/>
          </cell>
          <cell r="N753" t="str">
            <v/>
          </cell>
          <cell r="O753" t="str">
            <v/>
          </cell>
          <cell r="P753" t="str">
            <v/>
          </cell>
          <cell r="Q753" t="str">
            <v/>
          </cell>
          <cell r="T753" t="str">
            <v/>
          </cell>
          <cell r="U753" t="str">
            <v/>
          </cell>
          <cell r="W753" t="str">
            <v/>
          </cell>
          <cell r="X753" t="str">
            <v/>
          </cell>
          <cell r="AB753">
            <v>0</v>
          </cell>
          <cell r="AC753">
            <v>0</v>
          </cell>
          <cell r="AD753">
            <v>0</v>
          </cell>
          <cell r="AJ753">
            <v>0</v>
          </cell>
          <cell r="AK753">
            <v>0</v>
          </cell>
        </row>
        <row r="754">
          <cell r="B754" t="str">
            <v/>
          </cell>
          <cell r="H754" t="str">
            <v/>
          </cell>
          <cell r="J754" t="str">
            <v/>
          </cell>
          <cell r="N754" t="str">
            <v/>
          </cell>
          <cell r="O754" t="str">
            <v/>
          </cell>
          <cell r="P754" t="str">
            <v/>
          </cell>
          <cell r="Q754" t="str">
            <v/>
          </cell>
          <cell r="T754" t="str">
            <v/>
          </cell>
          <cell r="U754" t="str">
            <v/>
          </cell>
          <cell r="W754" t="str">
            <v/>
          </cell>
          <cell r="X754" t="str">
            <v/>
          </cell>
          <cell r="AB754">
            <v>0</v>
          </cell>
          <cell r="AC754">
            <v>0</v>
          </cell>
          <cell r="AD754">
            <v>0</v>
          </cell>
          <cell r="AJ754">
            <v>0</v>
          </cell>
          <cell r="AK754">
            <v>0</v>
          </cell>
        </row>
        <row r="755">
          <cell r="B755" t="str">
            <v/>
          </cell>
          <cell r="H755" t="str">
            <v/>
          </cell>
          <cell r="J755" t="str">
            <v/>
          </cell>
          <cell r="N755" t="str">
            <v/>
          </cell>
          <cell r="O755" t="str">
            <v/>
          </cell>
          <cell r="P755" t="str">
            <v/>
          </cell>
          <cell r="Q755" t="str">
            <v/>
          </cell>
          <cell r="T755" t="str">
            <v/>
          </cell>
          <cell r="U755" t="str">
            <v/>
          </cell>
          <cell r="W755" t="str">
            <v/>
          </cell>
          <cell r="X755" t="str">
            <v/>
          </cell>
          <cell r="AB755">
            <v>0</v>
          </cell>
          <cell r="AC755">
            <v>0</v>
          </cell>
          <cell r="AD755">
            <v>0</v>
          </cell>
          <cell r="AJ755">
            <v>0</v>
          </cell>
          <cell r="AK755">
            <v>0</v>
          </cell>
        </row>
        <row r="756">
          <cell r="B756" t="str">
            <v/>
          </cell>
          <cell r="H756" t="str">
            <v/>
          </cell>
          <cell r="J756" t="str">
            <v/>
          </cell>
          <cell r="N756" t="str">
            <v/>
          </cell>
          <cell r="O756" t="str">
            <v/>
          </cell>
          <cell r="P756" t="str">
            <v/>
          </cell>
          <cell r="Q756" t="str">
            <v/>
          </cell>
          <cell r="T756" t="str">
            <v/>
          </cell>
          <cell r="U756" t="str">
            <v/>
          </cell>
          <cell r="W756" t="str">
            <v/>
          </cell>
          <cell r="X756" t="str">
            <v/>
          </cell>
          <cell r="AB756">
            <v>0</v>
          </cell>
          <cell r="AC756">
            <v>0</v>
          </cell>
          <cell r="AD756">
            <v>0</v>
          </cell>
          <cell r="AJ756">
            <v>0</v>
          </cell>
          <cell r="AK756">
            <v>0</v>
          </cell>
        </row>
        <row r="757">
          <cell r="B757" t="str">
            <v/>
          </cell>
          <cell r="H757" t="str">
            <v/>
          </cell>
          <cell r="J757" t="str">
            <v/>
          </cell>
          <cell r="N757" t="str">
            <v/>
          </cell>
          <cell r="O757" t="str">
            <v/>
          </cell>
          <cell r="P757" t="str">
            <v/>
          </cell>
          <cell r="Q757" t="str">
            <v/>
          </cell>
          <cell r="T757" t="str">
            <v/>
          </cell>
          <cell r="U757" t="str">
            <v/>
          </cell>
          <cell r="W757" t="str">
            <v/>
          </cell>
          <cell r="X757" t="str">
            <v/>
          </cell>
          <cell r="AB757">
            <v>0</v>
          </cell>
          <cell r="AC757">
            <v>0</v>
          </cell>
          <cell r="AD757">
            <v>0</v>
          </cell>
          <cell r="AJ757">
            <v>0</v>
          </cell>
          <cell r="AK757">
            <v>0</v>
          </cell>
        </row>
        <row r="758">
          <cell r="B758" t="str">
            <v/>
          </cell>
          <cell r="H758" t="str">
            <v/>
          </cell>
          <cell r="J758" t="str">
            <v/>
          </cell>
          <cell r="N758" t="str">
            <v/>
          </cell>
          <cell r="O758" t="str">
            <v/>
          </cell>
          <cell r="P758" t="str">
            <v/>
          </cell>
          <cell r="Q758" t="str">
            <v/>
          </cell>
          <cell r="T758" t="str">
            <v/>
          </cell>
          <cell r="U758" t="str">
            <v/>
          </cell>
          <cell r="W758" t="str">
            <v/>
          </cell>
          <cell r="X758" t="str">
            <v/>
          </cell>
          <cell r="AB758">
            <v>0</v>
          </cell>
          <cell r="AC758">
            <v>0</v>
          </cell>
          <cell r="AD758">
            <v>0</v>
          </cell>
          <cell r="AJ758">
            <v>0</v>
          </cell>
          <cell r="AK758">
            <v>0</v>
          </cell>
        </row>
        <row r="759">
          <cell r="B759" t="str">
            <v/>
          </cell>
          <cell r="H759" t="str">
            <v/>
          </cell>
          <cell r="J759" t="str">
            <v/>
          </cell>
          <cell r="N759" t="str">
            <v/>
          </cell>
          <cell r="O759" t="str">
            <v/>
          </cell>
          <cell r="P759" t="str">
            <v/>
          </cell>
          <cell r="Q759" t="str">
            <v/>
          </cell>
          <cell r="T759" t="str">
            <v/>
          </cell>
          <cell r="U759" t="str">
            <v/>
          </cell>
          <cell r="W759" t="str">
            <v/>
          </cell>
          <cell r="X759" t="str">
            <v/>
          </cell>
          <cell r="AB759">
            <v>0</v>
          </cell>
          <cell r="AC759">
            <v>0</v>
          </cell>
          <cell r="AD759">
            <v>0</v>
          </cell>
          <cell r="AJ759">
            <v>0</v>
          </cell>
          <cell r="AK759">
            <v>0</v>
          </cell>
        </row>
        <row r="760">
          <cell r="B760" t="str">
            <v/>
          </cell>
          <cell r="H760" t="str">
            <v/>
          </cell>
          <cell r="J760" t="str">
            <v/>
          </cell>
          <cell r="N760" t="str">
            <v/>
          </cell>
          <cell r="O760" t="str">
            <v/>
          </cell>
          <cell r="P760" t="str">
            <v/>
          </cell>
          <cell r="Q760" t="str">
            <v/>
          </cell>
          <cell r="T760" t="str">
            <v/>
          </cell>
          <cell r="U760" t="str">
            <v/>
          </cell>
          <cell r="W760" t="str">
            <v/>
          </cell>
          <cell r="X760" t="str">
            <v/>
          </cell>
          <cell r="AB760">
            <v>0</v>
          </cell>
          <cell r="AC760">
            <v>0</v>
          </cell>
          <cell r="AD760">
            <v>0</v>
          </cell>
          <cell r="AJ760">
            <v>0</v>
          </cell>
          <cell r="AK760">
            <v>0</v>
          </cell>
        </row>
        <row r="761">
          <cell r="B761" t="str">
            <v/>
          </cell>
          <cell r="H761" t="str">
            <v/>
          </cell>
          <cell r="J761" t="str">
            <v/>
          </cell>
          <cell r="N761" t="str">
            <v/>
          </cell>
          <cell r="O761" t="str">
            <v/>
          </cell>
          <cell r="P761" t="str">
            <v/>
          </cell>
          <cell r="Q761" t="str">
            <v/>
          </cell>
          <cell r="T761" t="str">
            <v/>
          </cell>
          <cell r="U761" t="str">
            <v/>
          </cell>
          <cell r="W761" t="str">
            <v/>
          </cell>
          <cell r="X761" t="str">
            <v/>
          </cell>
          <cell r="AB761">
            <v>0</v>
          </cell>
          <cell r="AC761">
            <v>0</v>
          </cell>
          <cell r="AD761">
            <v>0</v>
          </cell>
          <cell r="AJ761">
            <v>0</v>
          </cell>
          <cell r="AK761">
            <v>0</v>
          </cell>
        </row>
        <row r="762">
          <cell r="B762" t="str">
            <v/>
          </cell>
          <cell r="H762" t="str">
            <v/>
          </cell>
          <cell r="J762" t="str">
            <v/>
          </cell>
          <cell r="N762" t="str">
            <v/>
          </cell>
          <cell r="O762" t="str">
            <v/>
          </cell>
          <cell r="P762" t="str">
            <v/>
          </cell>
          <cell r="Q762" t="str">
            <v/>
          </cell>
          <cell r="T762" t="str">
            <v/>
          </cell>
          <cell r="U762" t="str">
            <v/>
          </cell>
          <cell r="W762" t="str">
            <v/>
          </cell>
          <cell r="X762" t="str">
            <v/>
          </cell>
          <cell r="AB762">
            <v>0</v>
          </cell>
          <cell r="AC762">
            <v>0</v>
          </cell>
          <cell r="AD762">
            <v>0</v>
          </cell>
          <cell r="AJ762">
            <v>0</v>
          </cell>
          <cell r="AK762">
            <v>0</v>
          </cell>
        </row>
        <row r="763">
          <cell r="B763" t="str">
            <v/>
          </cell>
          <cell r="H763" t="str">
            <v/>
          </cell>
          <cell r="J763" t="str">
            <v/>
          </cell>
          <cell r="N763" t="str">
            <v/>
          </cell>
          <cell r="O763" t="str">
            <v/>
          </cell>
          <cell r="P763" t="str">
            <v/>
          </cell>
          <cell r="Q763" t="str">
            <v/>
          </cell>
          <cell r="T763" t="str">
            <v/>
          </cell>
          <cell r="U763" t="str">
            <v/>
          </cell>
          <cell r="W763" t="str">
            <v/>
          </cell>
          <cell r="X763" t="str">
            <v/>
          </cell>
          <cell r="AB763">
            <v>0</v>
          </cell>
          <cell r="AC763">
            <v>0</v>
          </cell>
          <cell r="AD763">
            <v>0</v>
          </cell>
          <cell r="AJ763">
            <v>0</v>
          </cell>
          <cell r="AK763">
            <v>0</v>
          </cell>
        </row>
        <row r="764">
          <cell r="B764" t="str">
            <v/>
          </cell>
          <cell r="H764" t="str">
            <v/>
          </cell>
          <cell r="J764" t="str">
            <v/>
          </cell>
          <cell r="N764" t="str">
            <v/>
          </cell>
          <cell r="O764" t="str">
            <v/>
          </cell>
          <cell r="P764" t="str">
            <v/>
          </cell>
          <cell r="Q764" t="str">
            <v/>
          </cell>
          <cell r="T764" t="str">
            <v/>
          </cell>
          <cell r="U764" t="str">
            <v/>
          </cell>
          <cell r="W764" t="str">
            <v/>
          </cell>
          <cell r="X764" t="str">
            <v/>
          </cell>
          <cell r="AB764">
            <v>0</v>
          </cell>
          <cell r="AC764">
            <v>0</v>
          </cell>
          <cell r="AD764">
            <v>0</v>
          </cell>
          <cell r="AJ764">
            <v>0</v>
          </cell>
          <cell r="AK764">
            <v>0</v>
          </cell>
        </row>
        <row r="765">
          <cell r="B765" t="str">
            <v/>
          </cell>
          <cell r="H765" t="str">
            <v/>
          </cell>
          <cell r="J765" t="str">
            <v/>
          </cell>
          <cell r="N765" t="str">
            <v/>
          </cell>
          <cell r="O765" t="str">
            <v/>
          </cell>
          <cell r="P765" t="str">
            <v/>
          </cell>
          <cell r="Q765" t="str">
            <v/>
          </cell>
          <cell r="T765" t="str">
            <v/>
          </cell>
          <cell r="U765" t="str">
            <v/>
          </cell>
          <cell r="W765" t="str">
            <v/>
          </cell>
          <cell r="X765" t="str">
            <v/>
          </cell>
          <cell r="AB765">
            <v>0</v>
          </cell>
          <cell r="AC765">
            <v>0</v>
          </cell>
          <cell r="AD765">
            <v>0</v>
          </cell>
          <cell r="AJ765">
            <v>0</v>
          </cell>
          <cell r="AK765">
            <v>0</v>
          </cell>
        </row>
        <row r="766">
          <cell r="B766" t="str">
            <v/>
          </cell>
          <cell r="H766" t="str">
            <v/>
          </cell>
          <cell r="J766" t="str">
            <v/>
          </cell>
          <cell r="N766" t="str">
            <v/>
          </cell>
          <cell r="O766" t="str">
            <v/>
          </cell>
          <cell r="P766" t="str">
            <v/>
          </cell>
          <cell r="Q766" t="str">
            <v/>
          </cell>
          <cell r="T766" t="str">
            <v/>
          </cell>
          <cell r="U766" t="str">
            <v/>
          </cell>
          <cell r="W766" t="str">
            <v/>
          </cell>
          <cell r="X766" t="str">
            <v/>
          </cell>
          <cell r="AB766">
            <v>0</v>
          </cell>
          <cell r="AC766">
            <v>0</v>
          </cell>
          <cell r="AD766">
            <v>0</v>
          </cell>
          <cell r="AJ766">
            <v>0</v>
          </cell>
          <cell r="AK766">
            <v>0</v>
          </cell>
        </row>
        <row r="767">
          <cell r="B767" t="str">
            <v/>
          </cell>
          <cell r="H767" t="str">
            <v/>
          </cell>
          <cell r="J767" t="str">
            <v/>
          </cell>
          <cell r="N767" t="str">
            <v/>
          </cell>
          <cell r="O767" t="str">
            <v/>
          </cell>
          <cell r="P767" t="str">
            <v/>
          </cell>
          <cell r="Q767" t="str">
            <v/>
          </cell>
          <cell r="T767" t="str">
            <v/>
          </cell>
          <cell r="U767" t="str">
            <v/>
          </cell>
          <cell r="W767" t="str">
            <v/>
          </cell>
          <cell r="X767" t="str">
            <v/>
          </cell>
          <cell r="AB767">
            <v>0</v>
          </cell>
          <cell r="AC767">
            <v>0</v>
          </cell>
          <cell r="AD767">
            <v>0</v>
          </cell>
          <cell r="AJ767">
            <v>0</v>
          </cell>
          <cell r="AK767">
            <v>0</v>
          </cell>
        </row>
        <row r="768">
          <cell r="B768" t="str">
            <v/>
          </cell>
          <cell r="H768" t="str">
            <v/>
          </cell>
          <cell r="J768" t="str">
            <v/>
          </cell>
          <cell r="N768" t="str">
            <v/>
          </cell>
          <cell r="O768" t="str">
            <v/>
          </cell>
          <cell r="P768" t="str">
            <v/>
          </cell>
          <cell r="Q768" t="str">
            <v/>
          </cell>
          <cell r="T768" t="str">
            <v/>
          </cell>
          <cell r="U768" t="str">
            <v/>
          </cell>
          <cell r="W768" t="str">
            <v/>
          </cell>
          <cell r="X768" t="str">
            <v/>
          </cell>
          <cell r="AB768">
            <v>0</v>
          </cell>
          <cell r="AC768">
            <v>0</v>
          </cell>
          <cell r="AD768">
            <v>0</v>
          </cell>
          <cell r="AJ768">
            <v>0</v>
          </cell>
          <cell r="AK768">
            <v>0</v>
          </cell>
        </row>
        <row r="769">
          <cell r="B769" t="str">
            <v/>
          </cell>
          <cell r="H769" t="str">
            <v/>
          </cell>
          <cell r="J769" t="str">
            <v/>
          </cell>
          <cell r="N769" t="str">
            <v/>
          </cell>
          <cell r="O769" t="str">
            <v/>
          </cell>
          <cell r="P769" t="str">
            <v/>
          </cell>
          <cell r="Q769" t="str">
            <v/>
          </cell>
          <cell r="T769" t="str">
            <v/>
          </cell>
          <cell r="U769" t="str">
            <v/>
          </cell>
          <cell r="W769" t="str">
            <v/>
          </cell>
          <cell r="X769" t="str">
            <v/>
          </cell>
          <cell r="AB769">
            <v>0</v>
          </cell>
          <cell r="AC769">
            <v>0</v>
          </cell>
          <cell r="AD769">
            <v>0</v>
          </cell>
          <cell r="AJ769">
            <v>0</v>
          </cell>
          <cell r="AK769">
            <v>0</v>
          </cell>
        </row>
        <row r="770">
          <cell r="B770" t="str">
            <v/>
          </cell>
          <cell r="H770" t="str">
            <v/>
          </cell>
          <cell r="J770" t="str">
            <v/>
          </cell>
          <cell r="N770" t="str">
            <v/>
          </cell>
          <cell r="O770" t="str">
            <v/>
          </cell>
          <cell r="P770" t="str">
            <v/>
          </cell>
          <cell r="Q770" t="str">
            <v/>
          </cell>
          <cell r="T770" t="str">
            <v/>
          </cell>
          <cell r="U770" t="str">
            <v/>
          </cell>
          <cell r="W770" t="str">
            <v/>
          </cell>
          <cell r="X770" t="str">
            <v/>
          </cell>
          <cell r="AB770">
            <v>0</v>
          </cell>
          <cell r="AC770">
            <v>0</v>
          </cell>
          <cell r="AD770">
            <v>0</v>
          </cell>
          <cell r="AJ770">
            <v>0</v>
          </cell>
          <cell r="AK770">
            <v>0</v>
          </cell>
        </row>
        <row r="771">
          <cell r="B771" t="str">
            <v/>
          </cell>
          <cell r="H771" t="str">
            <v/>
          </cell>
          <cell r="J771" t="str">
            <v/>
          </cell>
          <cell r="N771" t="str">
            <v/>
          </cell>
          <cell r="O771" t="str">
            <v/>
          </cell>
          <cell r="P771" t="str">
            <v/>
          </cell>
          <cell r="Q771" t="str">
            <v/>
          </cell>
          <cell r="T771" t="str">
            <v/>
          </cell>
          <cell r="U771" t="str">
            <v/>
          </cell>
          <cell r="W771" t="str">
            <v/>
          </cell>
          <cell r="X771" t="str">
            <v/>
          </cell>
          <cell r="AB771">
            <v>0</v>
          </cell>
          <cell r="AC771">
            <v>0</v>
          </cell>
          <cell r="AD771">
            <v>0</v>
          </cell>
          <cell r="AJ771">
            <v>0</v>
          </cell>
          <cell r="AK771">
            <v>0</v>
          </cell>
        </row>
        <row r="772">
          <cell r="B772" t="str">
            <v/>
          </cell>
          <cell r="H772" t="str">
            <v/>
          </cell>
          <cell r="J772" t="str">
            <v/>
          </cell>
          <cell r="N772" t="str">
            <v/>
          </cell>
          <cell r="O772" t="str">
            <v/>
          </cell>
          <cell r="P772" t="str">
            <v/>
          </cell>
          <cell r="Q772" t="str">
            <v/>
          </cell>
          <cell r="T772" t="str">
            <v/>
          </cell>
          <cell r="U772" t="str">
            <v/>
          </cell>
          <cell r="W772" t="str">
            <v/>
          </cell>
          <cell r="X772" t="str">
            <v/>
          </cell>
          <cell r="AB772">
            <v>0</v>
          </cell>
          <cell r="AC772">
            <v>0</v>
          </cell>
          <cell r="AD772">
            <v>0</v>
          </cell>
          <cell r="AJ772">
            <v>0</v>
          </cell>
          <cell r="AK772">
            <v>0</v>
          </cell>
        </row>
        <row r="773">
          <cell r="B773" t="str">
            <v/>
          </cell>
          <cell r="H773" t="str">
            <v/>
          </cell>
          <cell r="J773" t="str">
            <v/>
          </cell>
          <cell r="N773" t="str">
            <v/>
          </cell>
          <cell r="O773" t="str">
            <v/>
          </cell>
          <cell r="P773" t="str">
            <v/>
          </cell>
          <cell r="Q773" t="str">
            <v/>
          </cell>
          <cell r="T773" t="str">
            <v/>
          </cell>
          <cell r="U773" t="str">
            <v/>
          </cell>
          <cell r="W773" t="str">
            <v/>
          </cell>
          <cell r="X773" t="str">
            <v/>
          </cell>
          <cell r="AB773">
            <v>0</v>
          </cell>
          <cell r="AC773">
            <v>0</v>
          </cell>
          <cell r="AD773">
            <v>0</v>
          </cell>
          <cell r="AJ773">
            <v>0</v>
          </cell>
          <cell r="AK773">
            <v>0</v>
          </cell>
        </row>
        <row r="774">
          <cell r="B774" t="str">
            <v/>
          </cell>
          <cell r="H774" t="str">
            <v/>
          </cell>
          <cell r="J774" t="str">
            <v/>
          </cell>
          <cell r="N774" t="str">
            <v/>
          </cell>
          <cell r="O774" t="str">
            <v/>
          </cell>
          <cell r="P774" t="str">
            <v/>
          </cell>
          <cell r="Q774" t="str">
            <v/>
          </cell>
          <cell r="T774" t="str">
            <v/>
          </cell>
          <cell r="U774" t="str">
            <v/>
          </cell>
          <cell r="W774" t="str">
            <v/>
          </cell>
          <cell r="X774" t="str">
            <v/>
          </cell>
          <cell r="AB774">
            <v>0</v>
          </cell>
          <cell r="AC774">
            <v>0</v>
          </cell>
          <cell r="AD774">
            <v>0</v>
          </cell>
          <cell r="AJ774">
            <v>0</v>
          </cell>
          <cell r="AK774">
            <v>0</v>
          </cell>
        </row>
        <row r="775">
          <cell r="B775" t="str">
            <v/>
          </cell>
          <cell r="H775" t="str">
            <v/>
          </cell>
          <cell r="J775" t="str">
            <v/>
          </cell>
          <cell r="N775" t="str">
            <v/>
          </cell>
          <cell r="O775" t="str">
            <v/>
          </cell>
          <cell r="P775" t="str">
            <v/>
          </cell>
          <cell r="Q775" t="str">
            <v/>
          </cell>
          <cell r="T775" t="str">
            <v/>
          </cell>
          <cell r="U775" t="str">
            <v/>
          </cell>
          <cell r="W775" t="str">
            <v/>
          </cell>
          <cell r="X775" t="str">
            <v/>
          </cell>
          <cell r="AB775">
            <v>0</v>
          </cell>
          <cell r="AC775">
            <v>0</v>
          </cell>
          <cell r="AD775">
            <v>0</v>
          </cell>
          <cell r="AJ775">
            <v>0</v>
          </cell>
          <cell r="AK775">
            <v>0</v>
          </cell>
        </row>
        <row r="776">
          <cell r="B776" t="str">
            <v/>
          </cell>
          <cell r="H776" t="str">
            <v/>
          </cell>
          <cell r="J776" t="str">
            <v/>
          </cell>
          <cell r="N776" t="str">
            <v/>
          </cell>
          <cell r="O776" t="str">
            <v/>
          </cell>
          <cell r="P776" t="str">
            <v/>
          </cell>
          <cell r="Q776" t="str">
            <v/>
          </cell>
          <cell r="T776" t="str">
            <v/>
          </cell>
          <cell r="U776" t="str">
            <v/>
          </cell>
          <cell r="W776" t="str">
            <v/>
          </cell>
          <cell r="X776" t="str">
            <v/>
          </cell>
          <cell r="AB776">
            <v>0</v>
          </cell>
          <cell r="AC776">
            <v>0</v>
          </cell>
          <cell r="AD776">
            <v>0</v>
          </cell>
          <cell r="AJ776">
            <v>0</v>
          </cell>
          <cell r="AK776">
            <v>0</v>
          </cell>
        </row>
        <row r="777">
          <cell r="B777" t="str">
            <v/>
          </cell>
          <cell r="H777" t="str">
            <v/>
          </cell>
          <cell r="J777" t="str">
            <v/>
          </cell>
          <cell r="N777" t="str">
            <v/>
          </cell>
          <cell r="O777" t="str">
            <v/>
          </cell>
          <cell r="P777" t="str">
            <v/>
          </cell>
          <cell r="Q777" t="str">
            <v/>
          </cell>
          <cell r="T777" t="str">
            <v/>
          </cell>
          <cell r="U777" t="str">
            <v/>
          </cell>
          <cell r="W777" t="str">
            <v/>
          </cell>
          <cell r="X777" t="str">
            <v/>
          </cell>
          <cell r="AB777">
            <v>0</v>
          </cell>
          <cell r="AC777">
            <v>0</v>
          </cell>
          <cell r="AD777">
            <v>0</v>
          </cell>
          <cell r="AJ777">
            <v>0</v>
          </cell>
          <cell r="AK777">
            <v>0</v>
          </cell>
        </row>
        <row r="778">
          <cell r="B778" t="str">
            <v/>
          </cell>
          <cell r="H778" t="str">
            <v/>
          </cell>
          <cell r="J778" t="str">
            <v/>
          </cell>
          <cell r="N778" t="str">
            <v/>
          </cell>
          <cell r="O778" t="str">
            <v/>
          </cell>
          <cell r="P778" t="str">
            <v/>
          </cell>
          <cell r="Q778" t="str">
            <v/>
          </cell>
          <cell r="T778" t="str">
            <v/>
          </cell>
          <cell r="U778" t="str">
            <v/>
          </cell>
          <cell r="W778" t="str">
            <v/>
          </cell>
          <cell r="X778" t="str">
            <v/>
          </cell>
          <cell r="AB778">
            <v>0</v>
          </cell>
          <cell r="AC778">
            <v>0</v>
          </cell>
          <cell r="AD778">
            <v>0</v>
          </cell>
          <cell r="AJ778">
            <v>0</v>
          </cell>
          <cell r="AK778">
            <v>0</v>
          </cell>
        </row>
        <row r="779">
          <cell r="B779" t="str">
            <v/>
          </cell>
          <cell r="H779" t="str">
            <v/>
          </cell>
          <cell r="J779" t="str">
            <v/>
          </cell>
          <cell r="N779" t="str">
            <v/>
          </cell>
          <cell r="O779" t="str">
            <v/>
          </cell>
          <cell r="P779" t="str">
            <v/>
          </cell>
          <cell r="Q779" t="str">
            <v/>
          </cell>
          <cell r="T779" t="str">
            <v/>
          </cell>
          <cell r="U779" t="str">
            <v/>
          </cell>
          <cell r="W779" t="str">
            <v/>
          </cell>
          <cell r="X779" t="str">
            <v/>
          </cell>
          <cell r="AB779">
            <v>0</v>
          </cell>
          <cell r="AC779">
            <v>0</v>
          </cell>
          <cell r="AD779">
            <v>0</v>
          </cell>
          <cell r="AJ779">
            <v>0</v>
          </cell>
          <cell r="AK779">
            <v>0</v>
          </cell>
        </row>
        <row r="780">
          <cell r="B780" t="str">
            <v/>
          </cell>
          <cell r="H780" t="str">
            <v/>
          </cell>
          <cell r="J780" t="str">
            <v/>
          </cell>
          <cell r="N780" t="str">
            <v/>
          </cell>
          <cell r="O780" t="str">
            <v/>
          </cell>
          <cell r="P780" t="str">
            <v/>
          </cell>
          <cell r="Q780" t="str">
            <v/>
          </cell>
          <cell r="T780" t="str">
            <v/>
          </cell>
          <cell r="U780" t="str">
            <v/>
          </cell>
          <cell r="W780" t="str">
            <v/>
          </cell>
          <cell r="X780" t="str">
            <v/>
          </cell>
          <cell r="AB780">
            <v>0</v>
          </cell>
          <cell r="AC780">
            <v>0</v>
          </cell>
          <cell r="AD780">
            <v>0</v>
          </cell>
          <cell r="AJ780">
            <v>0</v>
          </cell>
          <cell r="AK780">
            <v>0</v>
          </cell>
        </row>
        <row r="781">
          <cell r="B781" t="str">
            <v/>
          </cell>
          <cell r="H781" t="str">
            <v/>
          </cell>
          <cell r="J781" t="str">
            <v/>
          </cell>
          <cell r="N781" t="str">
            <v/>
          </cell>
          <cell r="O781" t="str">
            <v/>
          </cell>
          <cell r="P781" t="str">
            <v/>
          </cell>
          <cell r="Q781" t="str">
            <v/>
          </cell>
          <cell r="T781" t="str">
            <v/>
          </cell>
          <cell r="U781" t="str">
            <v/>
          </cell>
          <cell r="W781" t="str">
            <v/>
          </cell>
          <cell r="X781" t="str">
            <v/>
          </cell>
          <cell r="AB781">
            <v>0</v>
          </cell>
          <cell r="AC781">
            <v>0</v>
          </cell>
          <cell r="AD781">
            <v>0</v>
          </cell>
          <cell r="AJ781">
            <v>0</v>
          </cell>
          <cell r="AK781">
            <v>0</v>
          </cell>
        </row>
        <row r="782">
          <cell r="B782" t="str">
            <v/>
          </cell>
          <cell r="H782" t="str">
            <v/>
          </cell>
          <cell r="J782" t="str">
            <v/>
          </cell>
          <cell r="N782" t="str">
            <v/>
          </cell>
          <cell r="O782" t="str">
            <v/>
          </cell>
          <cell r="P782" t="str">
            <v/>
          </cell>
          <cell r="Q782" t="str">
            <v/>
          </cell>
          <cell r="T782" t="str">
            <v/>
          </cell>
          <cell r="U782" t="str">
            <v/>
          </cell>
          <cell r="W782" t="str">
            <v/>
          </cell>
          <cell r="X782" t="str">
            <v/>
          </cell>
          <cell r="AB782">
            <v>0</v>
          </cell>
          <cell r="AC782">
            <v>0</v>
          </cell>
          <cell r="AD782">
            <v>0</v>
          </cell>
          <cell r="AJ782">
            <v>0</v>
          </cell>
          <cell r="AK782">
            <v>0</v>
          </cell>
        </row>
        <row r="783">
          <cell r="B783" t="str">
            <v/>
          </cell>
          <cell r="H783" t="str">
            <v/>
          </cell>
          <cell r="J783" t="str">
            <v/>
          </cell>
          <cell r="N783" t="str">
            <v/>
          </cell>
          <cell r="O783" t="str">
            <v/>
          </cell>
          <cell r="P783" t="str">
            <v/>
          </cell>
          <cell r="Q783" t="str">
            <v/>
          </cell>
          <cell r="T783" t="str">
            <v/>
          </cell>
          <cell r="U783" t="str">
            <v/>
          </cell>
          <cell r="W783" t="str">
            <v/>
          </cell>
          <cell r="X783" t="str">
            <v/>
          </cell>
          <cell r="AB783">
            <v>0</v>
          </cell>
          <cell r="AC783">
            <v>0</v>
          </cell>
          <cell r="AD783">
            <v>0</v>
          </cell>
          <cell r="AJ783">
            <v>0</v>
          </cell>
          <cell r="AK783">
            <v>0</v>
          </cell>
        </row>
        <row r="784">
          <cell r="B784" t="str">
            <v/>
          </cell>
          <cell r="H784" t="str">
            <v/>
          </cell>
          <cell r="J784" t="str">
            <v/>
          </cell>
          <cell r="N784" t="str">
            <v/>
          </cell>
          <cell r="O784" t="str">
            <v/>
          </cell>
          <cell r="P784" t="str">
            <v/>
          </cell>
          <cell r="Q784" t="str">
            <v/>
          </cell>
          <cell r="T784" t="str">
            <v/>
          </cell>
          <cell r="U784" t="str">
            <v/>
          </cell>
          <cell r="W784" t="str">
            <v/>
          </cell>
          <cell r="X784" t="str">
            <v/>
          </cell>
          <cell r="AB784">
            <v>0</v>
          </cell>
          <cell r="AC784">
            <v>0</v>
          </cell>
          <cell r="AD784">
            <v>0</v>
          </cell>
          <cell r="AJ784">
            <v>0</v>
          </cell>
          <cell r="AK784">
            <v>0</v>
          </cell>
        </row>
        <row r="785">
          <cell r="B785" t="str">
            <v/>
          </cell>
          <cell r="H785" t="str">
            <v/>
          </cell>
          <cell r="J785" t="str">
            <v/>
          </cell>
          <cell r="N785" t="str">
            <v/>
          </cell>
          <cell r="O785" t="str">
            <v/>
          </cell>
          <cell r="P785" t="str">
            <v/>
          </cell>
          <cell r="Q785" t="str">
            <v/>
          </cell>
          <cell r="T785" t="str">
            <v/>
          </cell>
          <cell r="U785" t="str">
            <v/>
          </cell>
          <cell r="W785" t="str">
            <v/>
          </cell>
          <cell r="X785" t="str">
            <v/>
          </cell>
          <cell r="AB785">
            <v>0</v>
          </cell>
          <cell r="AC785">
            <v>0</v>
          </cell>
          <cell r="AD785">
            <v>0</v>
          </cell>
          <cell r="AJ785">
            <v>0</v>
          </cell>
          <cell r="AK785">
            <v>0</v>
          </cell>
        </row>
        <row r="786">
          <cell r="B786" t="str">
            <v/>
          </cell>
          <cell r="H786" t="str">
            <v/>
          </cell>
          <cell r="J786" t="str">
            <v/>
          </cell>
          <cell r="N786" t="str">
            <v/>
          </cell>
          <cell r="O786" t="str">
            <v/>
          </cell>
          <cell r="P786" t="str">
            <v/>
          </cell>
          <cell r="Q786" t="str">
            <v/>
          </cell>
          <cell r="T786" t="str">
            <v/>
          </cell>
          <cell r="U786" t="str">
            <v/>
          </cell>
          <cell r="W786" t="str">
            <v/>
          </cell>
          <cell r="X786" t="str">
            <v/>
          </cell>
          <cell r="AB786">
            <v>0</v>
          </cell>
          <cell r="AC786">
            <v>0</v>
          </cell>
          <cell r="AD786">
            <v>0</v>
          </cell>
          <cell r="AJ786">
            <v>0</v>
          </cell>
          <cell r="AK786">
            <v>0</v>
          </cell>
        </row>
        <row r="787">
          <cell r="B787" t="str">
            <v/>
          </cell>
          <cell r="H787" t="str">
            <v/>
          </cell>
          <cell r="J787" t="str">
            <v/>
          </cell>
          <cell r="N787" t="str">
            <v/>
          </cell>
          <cell r="O787" t="str">
            <v/>
          </cell>
          <cell r="P787" t="str">
            <v/>
          </cell>
          <cell r="Q787" t="str">
            <v/>
          </cell>
          <cell r="T787" t="str">
            <v/>
          </cell>
          <cell r="U787" t="str">
            <v/>
          </cell>
          <cell r="W787" t="str">
            <v/>
          </cell>
          <cell r="X787" t="str">
            <v/>
          </cell>
          <cell r="AB787">
            <v>0</v>
          </cell>
          <cell r="AC787">
            <v>0</v>
          </cell>
          <cell r="AD787">
            <v>0</v>
          </cell>
          <cell r="AJ787">
            <v>0</v>
          </cell>
          <cell r="AK787">
            <v>0</v>
          </cell>
        </row>
        <row r="788">
          <cell r="B788" t="str">
            <v/>
          </cell>
          <cell r="H788" t="str">
            <v/>
          </cell>
          <cell r="J788" t="str">
            <v/>
          </cell>
          <cell r="N788" t="str">
            <v/>
          </cell>
          <cell r="O788" t="str">
            <v/>
          </cell>
          <cell r="P788" t="str">
            <v/>
          </cell>
          <cell r="Q788" t="str">
            <v/>
          </cell>
          <cell r="T788" t="str">
            <v/>
          </cell>
          <cell r="U788" t="str">
            <v/>
          </cell>
          <cell r="W788" t="str">
            <v/>
          </cell>
          <cell r="X788" t="str">
            <v/>
          </cell>
          <cell r="AB788">
            <v>0</v>
          </cell>
          <cell r="AC788">
            <v>0</v>
          </cell>
          <cell r="AD788">
            <v>0</v>
          </cell>
          <cell r="AJ788">
            <v>0</v>
          </cell>
          <cell r="AK788">
            <v>0</v>
          </cell>
        </row>
        <row r="789">
          <cell r="B789" t="str">
            <v/>
          </cell>
          <cell r="H789" t="str">
            <v/>
          </cell>
          <cell r="J789" t="str">
            <v/>
          </cell>
          <cell r="N789" t="str">
            <v/>
          </cell>
          <cell r="O789" t="str">
            <v/>
          </cell>
          <cell r="P789" t="str">
            <v/>
          </cell>
          <cell r="Q789" t="str">
            <v/>
          </cell>
          <cell r="T789" t="str">
            <v/>
          </cell>
          <cell r="U789" t="str">
            <v/>
          </cell>
          <cell r="W789" t="str">
            <v/>
          </cell>
          <cell r="X789" t="str">
            <v/>
          </cell>
          <cell r="AB789">
            <v>0</v>
          </cell>
          <cell r="AC789">
            <v>0</v>
          </cell>
          <cell r="AD789">
            <v>0</v>
          </cell>
          <cell r="AJ789">
            <v>0</v>
          </cell>
          <cell r="AK789">
            <v>0</v>
          </cell>
        </row>
        <row r="790">
          <cell r="B790" t="str">
            <v/>
          </cell>
          <cell r="H790" t="str">
            <v/>
          </cell>
          <cell r="J790" t="str">
            <v/>
          </cell>
          <cell r="N790" t="str">
            <v/>
          </cell>
          <cell r="O790" t="str">
            <v/>
          </cell>
          <cell r="P790" t="str">
            <v/>
          </cell>
          <cell r="Q790" t="str">
            <v/>
          </cell>
          <cell r="T790" t="str">
            <v/>
          </cell>
          <cell r="U790" t="str">
            <v/>
          </cell>
          <cell r="W790" t="str">
            <v/>
          </cell>
          <cell r="X790" t="str">
            <v/>
          </cell>
          <cell r="AB790">
            <v>0</v>
          </cell>
          <cell r="AC790">
            <v>0</v>
          </cell>
          <cell r="AD790">
            <v>0</v>
          </cell>
          <cell r="AJ790">
            <v>0</v>
          </cell>
          <cell r="AK790">
            <v>0</v>
          </cell>
        </row>
        <row r="791">
          <cell r="B791" t="str">
            <v/>
          </cell>
          <cell r="H791" t="str">
            <v/>
          </cell>
          <cell r="J791" t="str">
            <v/>
          </cell>
          <cell r="N791" t="str">
            <v/>
          </cell>
          <cell r="O791" t="str">
            <v/>
          </cell>
          <cell r="P791" t="str">
            <v/>
          </cell>
          <cell r="Q791" t="str">
            <v/>
          </cell>
          <cell r="T791" t="str">
            <v/>
          </cell>
          <cell r="U791" t="str">
            <v/>
          </cell>
          <cell r="W791" t="str">
            <v/>
          </cell>
          <cell r="X791" t="str">
            <v/>
          </cell>
          <cell r="AB791">
            <v>0</v>
          </cell>
          <cell r="AC791">
            <v>0</v>
          </cell>
          <cell r="AD791">
            <v>0</v>
          </cell>
          <cell r="AJ791">
            <v>0</v>
          </cell>
          <cell r="AK791">
            <v>0</v>
          </cell>
        </row>
        <row r="792">
          <cell r="B792" t="str">
            <v/>
          </cell>
          <cell r="H792" t="str">
            <v/>
          </cell>
          <cell r="J792" t="str">
            <v/>
          </cell>
          <cell r="N792" t="str">
            <v/>
          </cell>
          <cell r="O792" t="str">
            <v/>
          </cell>
          <cell r="P792" t="str">
            <v/>
          </cell>
          <cell r="Q792" t="str">
            <v/>
          </cell>
          <cell r="T792" t="str">
            <v/>
          </cell>
          <cell r="U792" t="str">
            <v/>
          </cell>
          <cell r="W792" t="str">
            <v/>
          </cell>
          <cell r="X792" t="str">
            <v/>
          </cell>
          <cell r="AB792">
            <v>0</v>
          </cell>
          <cell r="AC792">
            <v>0</v>
          </cell>
          <cell r="AD792">
            <v>0</v>
          </cell>
          <cell r="AJ792">
            <v>0</v>
          </cell>
          <cell r="AK792">
            <v>0</v>
          </cell>
        </row>
        <row r="793">
          <cell r="B793" t="str">
            <v/>
          </cell>
          <cell r="H793" t="str">
            <v/>
          </cell>
          <cell r="J793" t="str">
            <v/>
          </cell>
          <cell r="N793" t="str">
            <v/>
          </cell>
          <cell r="O793" t="str">
            <v/>
          </cell>
          <cell r="P793" t="str">
            <v/>
          </cell>
          <cell r="Q793" t="str">
            <v/>
          </cell>
          <cell r="T793" t="str">
            <v/>
          </cell>
          <cell r="U793" t="str">
            <v/>
          </cell>
          <cell r="W793" t="str">
            <v/>
          </cell>
          <cell r="X793" t="str">
            <v/>
          </cell>
          <cell r="AB793">
            <v>0</v>
          </cell>
          <cell r="AC793">
            <v>0</v>
          </cell>
          <cell r="AD793">
            <v>0</v>
          </cell>
          <cell r="AJ793">
            <v>0</v>
          </cell>
          <cell r="AK793">
            <v>0</v>
          </cell>
        </row>
        <row r="794">
          <cell r="B794" t="str">
            <v/>
          </cell>
          <cell r="H794" t="str">
            <v/>
          </cell>
          <cell r="J794" t="str">
            <v/>
          </cell>
          <cell r="N794" t="str">
            <v/>
          </cell>
          <cell r="O794" t="str">
            <v/>
          </cell>
          <cell r="P794" t="str">
            <v/>
          </cell>
          <cell r="Q794" t="str">
            <v/>
          </cell>
          <cell r="T794" t="str">
            <v/>
          </cell>
          <cell r="U794" t="str">
            <v/>
          </cell>
          <cell r="W794" t="str">
            <v/>
          </cell>
          <cell r="X794" t="str">
            <v/>
          </cell>
          <cell r="AB794">
            <v>0</v>
          </cell>
          <cell r="AC794">
            <v>0</v>
          </cell>
          <cell r="AD794">
            <v>0</v>
          </cell>
          <cell r="AJ794">
            <v>0</v>
          </cell>
          <cell r="AK794">
            <v>0</v>
          </cell>
        </row>
        <row r="795">
          <cell r="B795" t="str">
            <v/>
          </cell>
          <cell r="H795" t="str">
            <v/>
          </cell>
          <cell r="J795" t="str">
            <v/>
          </cell>
          <cell r="N795" t="str">
            <v/>
          </cell>
          <cell r="O795" t="str">
            <v/>
          </cell>
          <cell r="P795" t="str">
            <v/>
          </cell>
          <cell r="Q795" t="str">
            <v/>
          </cell>
          <cell r="T795" t="str">
            <v/>
          </cell>
          <cell r="U795" t="str">
            <v/>
          </cell>
          <cell r="W795" t="str">
            <v/>
          </cell>
          <cell r="X795" t="str">
            <v/>
          </cell>
          <cell r="AB795">
            <v>0</v>
          </cell>
          <cell r="AC795">
            <v>0</v>
          </cell>
          <cell r="AD795">
            <v>0</v>
          </cell>
          <cell r="AJ795">
            <v>0</v>
          </cell>
          <cell r="AK795">
            <v>0</v>
          </cell>
        </row>
        <row r="796">
          <cell r="B796" t="str">
            <v/>
          </cell>
          <cell r="H796" t="str">
            <v/>
          </cell>
          <cell r="J796" t="str">
            <v/>
          </cell>
          <cell r="N796" t="str">
            <v/>
          </cell>
          <cell r="O796" t="str">
            <v/>
          </cell>
          <cell r="P796" t="str">
            <v/>
          </cell>
          <cell r="Q796" t="str">
            <v/>
          </cell>
          <cell r="T796" t="str">
            <v/>
          </cell>
          <cell r="U796" t="str">
            <v/>
          </cell>
          <cell r="W796" t="str">
            <v/>
          </cell>
          <cell r="X796" t="str">
            <v/>
          </cell>
          <cell r="AB796">
            <v>0</v>
          </cell>
          <cell r="AC796">
            <v>0</v>
          </cell>
          <cell r="AD796">
            <v>0</v>
          </cell>
          <cell r="AJ796">
            <v>0</v>
          </cell>
          <cell r="AK796">
            <v>0</v>
          </cell>
        </row>
        <row r="797">
          <cell r="B797" t="str">
            <v/>
          </cell>
          <cell r="H797" t="str">
            <v/>
          </cell>
          <cell r="J797" t="str">
            <v/>
          </cell>
          <cell r="N797" t="str">
            <v/>
          </cell>
          <cell r="O797" t="str">
            <v/>
          </cell>
          <cell r="P797" t="str">
            <v/>
          </cell>
          <cell r="Q797" t="str">
            <v/>
          </cell>
          <cell r="T797" t="str">
            <v/>
          </cell>
          <cell r="U797" t="str">
            <v/>
          </cell>
          <cell r="W797" t="str">
            <v/>
          </cell>
          <cell r="X797" t="str">
            <v/>
          </cell>
          <cell r="AB797">
            <v>0</v>
          </cell>
          <cell r="AC797">
            <v>0</v>
          </cell>
          <cell r="AD797">
            <v>0</v>
          </cell>
          <cell r="AJ797">
            <v>0</v>
          </cell>
          <cell r="AK797">
            <v>0</v>
          </cell>
        </row>
        <row r="798">
          <cell r="B798" t="str">
            <v/>
          </cell>
          <cell r="H798" t="str">
            <v/>
          </cell>
          <cell r="J798" t="str">
            <v/>
          </cell>
          <cell r="N798" t="str">
            <v/>
          </cell>
          <cell r="O798" t="str">
            <v/>
          </cell>
          <cell r="P798" t="str">
            <v/>
          </cell>
          <cell r="Q798" t="str">
            <v/>
          </cell>
          <cell r="T798" t="str">
            <v/>
          </cell>
          <cell r="U798" t="str">
            <v/>
          </cell>
          <cell r="W798" t="str">
            <v/>
          </cell>
          <cell r="X798" t="str">
            <v/>
          </cell>
          <cell r="AB798">
            <v>0</v>
          </cell>
          <cell r="AC798">
            <v>0</v>
          </cell>
          <cell r="AD798">
            <v>0</v>
          </cell>
          <cell r="AJ798">
            <v>0</v>
          </cell>
          <cell r="AK798">
            <v>0</v>
          </cell>
        </row>
        <row r="799">
          <cell r="B799" t="str">
            <v/>
          </cell>
          <cell r="H799" t="str">
            <v/>
          </cell>
          <cell r="J799" t="str">
            <v/>
          </cell>
          <cell r="N799" t="str">
            <v/>
          </cell>
          <cell r="O799" t="str">
            <v/>
          </cell>
          <cell r="P799" t="str">
            <v/>
          </cell>
          <cell r="Q799" t="str">
            <v/>
          </cell>
          <cell r="T799" t="str">
            <v/>
          </cell>
          <cell r="U799" t="str">
            <v/>
          </cell>
          <cell r="W799" t="str">
            <v/>
          </cell>
          <cell r="X799" t="str">
            <v/>
          </cell>
          <cell r="AB799">
            <v>0</v>
          </cell>
          <cell r="AC799">
            <v>0</v>
          </cell>
          <cell r="AD799">
            <v>0</v>
          </cell>
          <cell r="AJ799">
            <v>0</v>
          </cell>
          <cell r="AK799">
            <v>0</v>
          </cell>
        </row>
        <row r="800">
          <cell r="B800" t="str">
            <v/>
          </cell>
          <cell r="H800" t="str">
            <v/>
          </cell>
          <cell r="J800" t="str">
            <v/>
          </cell>
          <cell r="N800" t="str">
            <v/>
          </cell>
          <cell r="O800" t="str">
            <v/>
          </cell>
          <cell r="P800" t="str">
            <v/>
          </cell>
          <cell r="Q800" t="str">
            <v/>
          </cell>
          <cell r="T800" t="str">
            <v/>
          </cell>
          <cell r="U800" t="str">
            <v/>
          </cell>
          <cell r="W800" t="str">
            <v/>
          </cell>
          <cell r="X800" t="str">
            <v/>
          </cell>
          <cell r="AB800">
            <v>0</v>
          </cell>
          <cell r="AC800">
            <v>0</v>
          </cell>
          <cell r="AD800">
            <v>0</v>
          </cell>
          <cell r="AJ800">
            <v>0</v>
          </cell>
          <cell r="AK800">
            <v>0</v>
          </cell>
        </row>
        <row r="801">
          <cell r="B801" t="str">
            <v/>
          </cell>
          <cell r="H801" t="str">
            <v/>
          </cell>
          <cell r="J801" t="str">
            <v/>
          </cell>
          <cell r="N801" t="str">
            <v/>
          </cell>
          <cell r="O801" t="str">
            <v/>
          </cell>
          <cell r="P801" t="str">
            <v/>
          </cell>
          <cell r="Q801" t="str">
            <v/>
          </cell>
          <cell r="T801" t="str">
            <v/>
          </cell>
          <cell r="U801" t="str">
            <v/>
          </cell>
          <cell r="W801" t="str">
            <v/>
          </cell>
          <cell r="X801" t="str">
            <v/>
          </cell>
          <cell r="AB801">
            <v>0</v>
          </cell>
          <cell r="AC801">
            <v>0</v>
          </cell>
          <cell r="AD801">
            <v>0</v>
          </cell>
          <cell r="AJ801">
            <v>0</v>
          </cell>
          <cell r="AK801">
            <v>0</v>
          </cell>
        </row>
        <row r="802">
          <cell r="B802" t="str">
            <v/>
          </cell>
          <cell r="H802" t="str">
            <v/>
          </cell>
          <cell r="J802" t="str">
            <v/>
          </cell>
          <cell r="N802" t="str">
            <v/>
          </cell>
          <cell r="O802" t="str">
            <v/>
          </cell>
          <cell r="P802" t="str">
            <v/>
          </cell>
          <cell r="Q802" t="str">
            <v/>
          </cell>
          <cell r="T802" t="str">
            <v/>
          </cell>
          <cell r="U802" t="str">
            <v/>
          </cell>
          <cell r="W802" t="str">
            <v/>
          </cell>
          <cell r="X802" t="str">
            <v/>
          </cell>
          <cell r="AB802">
            <v>0</v>
          </cell>
          <cell r="AC802">
            <v>0</v>
          </cell>
          <cell r="AD802">
            <v>0</v>
          </cell>
          <cell r="AJ802">
            <v>0</v>
          </cell>
          <cell r="AK802">
            <v>0</v>
          </cell>
        </row>
        <row r="803">
          <cell r="B803" t="str">
            <v/>
          </cell>
          <cell r="H803" t="str">
            <v/>
          </cell>
          <cell r="J803" t="str">
            <v/>
          </cell>
          <cell r="N803" t="str">
            <v/>
          </cell>
          <cell r="O803" t="str">
            <v/>
          </cell>
          <cell r="P803" t="str">
            <v/>
          </cell>
          <cell r="Q803" t="str">
            <v/>
          </cell>
          <cell r="T803" t="str">
            <v/>
          </cell>
          <cell r="U803" t="str">
            <v/>
          </cell>
          <cell r="W803" t="str">
            <v/>
          </cell>
          <cell r="X803" t="str">
            <v/>
          </cell>
          <cell r="AB803">
            <v>0</v>
          </cell>
          <cell r="AC803">
            <v>0</v>
          </cell>
          <cell r="AD803">
            <v>0</v>
          </cell>
          <cell r="AJ803">
            <v>0</v>
          </cell>
          <cell r="AK803">
            <v>0</v>
          </cell>
        </row>
        <row r="804">
          <cell r="B804" t="str">
            <v/>
          </cell>
          <cell r="H804" t="str">
            <v/>
          </cell>
          <cell r="J804" t="str">
            <v/>
          </cell>
          <cell r="N804" t="str">
            <v/>
          </cell>
          <cell r="O804" t="str">
            <v/>
          </cell>
          <cell r="P804" t="str">
            <v/>
          </cell>
          <cell r="Q804" t="str">
            <v/>
          </cell>
          <cell r="T804" t="str">
            <v/>
          </cell>
          <cell r="U804" t="str">
            <v/>
          </cell>
          <cell r="W804" t="str">
            <v/>
          </cell>
          <cell r="X804" t="str">
            <v/>
          </cell>
          <cell r="AB804">
            <v>0</v>
          </cell>
          <cell r="AC804">
            <v>0</v>
          </cell>
          <cell r="AD804">
            <v>0</v>
          </cell>
          <cell r="AJ804">
            <v>0</v>
          </cell>
          <cell r="AK804">
            <v>0</v>
          </cell>
        </row>
        <row r="805">
          <cell r="B805" t="str">
            <v/>
          </cell>
          <cell r="H805" t="str">
            <v/>
          </cell>
          <cell r="J805" t="str">
            <v/>
          </cell>
          <cell r="N805" t="str">
            <v/>
          </cell>
          <cell r="O805" t="str">
            <v/>
          </cell>
          <cell r="P805" t="str">
            <v/>
          </cell>
          <cell r="Q805" t="str">
            <v/>
          </cell>
          <cell r="T805" t="str">
            <v/>
          </cell>
          <cell r="U805" t="str">
            <v/>
          </cell>
          <cell r="W805" t="str">
            <v/>
          </cell>
          <cell r="X805" t="str">
            <v/>
          </cell>
          <cell r="AB805">
            <v>0</v>
          </cell>
          <cell r="AC805">
            <v>0</v>
          </cell>
          <cell r="AD805">
            <v>0</v>
          </cell>
          <cell r="AJ805">
            <v>0</v>
          </cell>
          <cell r="AK805">
            <v>0</v>
          </cell>
        </row>
        <row r="806">
          <cell r="B806" t="str">
            <v/>
          </cell>
          <cell r="H806" t="str">
            <v/>
          </cell>
          <cell r="J806" t="str">
            <v/>
          </cell>
          <cell r="N806" t="str">
            <v/>
          </cell>
          <cell r="O806" t="str">
            <v/>
          </cell>
          <cell r="P806" t="str">
            <v/>
          </cell>
          <cell r="Q806" t="str">
            <v/>
          </cell>
          <cell r="T806" t="str">
            <v/>
          </cell>
          <cell r="U806" t="str">
            <v/>
          </cell>
          <cell r="W806" t="str">
            <v/>
          </cell>
          <cell r="X806" t="str">
            <v/>
          </cell>
          <cell r="AB806">
            <v>0</v>
          </cell>
          <cell r="AC806">
            <v>0</v>
          </cell>
          <cell r="AD806">
            <v>0</v>
          </cell>
          <cell r="AJ806">
            <v>0</v>
          </cell>
          <cell r="AK806">
            <v>0</v>
          </cell>
        </row>
        <row r="807">
          <cell r="B807" t="str">
            <v/>
          </cell>
          <cell r="H807" t="str">
            <v/>
          </cell>
          <cell r="J807" t="str">
            <v/>
          </cell>
          <cell r="N807" t="str">
            <v/>
          </cell>
          <cell r="O807" t="str">
            <v/>
          </cell>
          <cell r="P807" t="str">
            <v/>
          </cell>
          <cell r="Q807" t="str">
            <v/>
          </cell>
          <cell r="T807" t="str">
            <v/>
          </cell>
          <cell r="U807" t="str">
            <v/>
          </cell>
          <cell r="W807" t="str">
            <v/>
          </cell>
          <cell r="X807" t="str">
            <v/>
          </cell>
          <cell r="AB807">
            <v>0</v>
          </cell>
          <cell r="AC807">
            <v>0</v>
          </cell>
          <cell r="AD807">
            <v>0</v>
          </cell>
          <cell r="AJ807">
            <v>0</v>
          </cell>
          <cell r="AK807">
            <v>0</v>
          </cell>
        </row>
        <row r="808">
          <cell r="B808" t="str">
            <v/>
          </cell>
          <cell r="H808" t="str">
            <v/>
          </cell>
          <cell r="J808" t="str">
            <v/>
          </cell>
          <cell r="N808" t="str">
            <v/>
          </cell>
          <cell r="O808" t="str">
            <v/>
          </cell>
          <cell r="P808" t="str">
            <v/>
          </cell>
          <cell r="Q808" t="str">
            <v/>
          </cell>
          <cell r="T808" t="str">
            <v/>
          </cell>
          <cell r="U808" t="str">
            <v/>
          </cell>
          <cell r="W808" t="str">
            <v/>
          </cell>
          <cell r="X808" t="str">
            <v/>
          </cell>
          <cell r="AB808">
            <v>0</v>
          </cell>
          <cell r="AC808">
            <v>0</v>
          </cell>
          <cell r="AD808">
            <v>0</v>
          </cell>
          <cell r="AJ808">
            <v>0</v>
          </cell>
          <cell r="AK808">
            <v>0</v>
          </cell>
        </row>
        <row r="809">
          <cell r="B809" t="str">
            <v/>
          </cell>
          <cell r="H809" t="str">
            <v/>
          </cell>
          <cell r="J809" t="str">
            <v/>
          </cell>
          <cell r="N809" t="str">
            <v/>
          </cell>
          <cell r="O809" t="str">
            <v/>
          </cell>
          <cell r="P809" t="str">
            <v/>
          </cell>
          <cell r="Q809" t="str">
            <v/>
          </cell>
          <cell r="T809" t="str">
            <v/>
          </cell>
          <cell r="U809" t="str">
            <v/>
          </cell>
          <cell r="W809" t="str">
            <v/>
          </cell>
          <cell r="X809" t="str">
            <v/>
          </cell>
          <cell r="AB809">
            <v>0</v>
          </cell>
          <cell r="AC809">
            <v>0</v>
          </cell>
          <cell r="AD809">
            <v>0</v>
          </cell>
          <cell r="AJ809">
            <v>0</v>
          </cell>
          <cell r="AK809">
            <v>0</v>
          </cell>
        </row>
        <row r="810">
          <cell r="B810" t="str">
            <v/>
          </cell>
          <cell r="H810" t="str">
            <v/>
          </cell>
          <cell r="J810" t="str">
            <v/>
          </cell>
          <cell r="N810" t="str">
            <v/>
          </cell>
          <cell r="O810" t="str">
            <v/>
          </cell>
          <cell r="P810" t="str">
            <v/>
          </cell>
          <cell r="Q810" t="str">
            <v/>
          </cell>
          <cell r="T810" t="str">
            <v/>
          </cell>
          <cell r="U810" t="str">
            <v/>
          </cell>
          <cell r="W810" t="str">
            <v/>
          </cell>
          <cell r="X810" t="str">
            <v/>
          </cell>
          <cell r="AB810">
            <v>0</v>
          </cell>
          <cell r="AC810">
            <v>0</v>
          </cell>
          <cell r="AD810">
            <v>0</v>
          </cell>
          <cell r="AJ810">
            <v>0</v>
          </cell>
          <cell r="AK810">
            <v>0</v>
          </cell>
        </row>
        <row r="811">
          <cell r="B811" t="str">
            <v/>
          </cell>
          <cell r="H811" t="str">
            <v/>
          </cell>
          <cell r="J811" t="str">
            <v/>
          </cell>
          <cell r="N811" t="str">
            <v/>
          </cell>
          <cell r="O811" t="str">
            <v/>
          </cell>
          <cell r="P811" t="str">
            <v/>
          </cell>
          <cell r="Q811" t="str">
            <v/>
          </cell>
          <cell r="T811" t="str">
            <v/>
          </cell>
          <cell r="U811" t="str">
            <v/>
          </cell>
          <cell r="W811" t="str">
            <v/>
          </cell>
          <cell r="X811" t="str">
            <v/>
          </cell>
          <cell r="AB811">
            <v>0</v>
          </cell>
          <cell r="AC811">
            <v>0</v>
          </cell>
          <cell r="AD811">
            <v>0</v>
          </cell>
          <cell r="AJ811">
            <v>0</v>
          </cell>
          <cell r="AK811">
            <v>0</v>
          </cell>
        </row>
        <row r="812">
          <cell r="B812" t="str">
            <v/>
          </cell>
          <cell r="H812" t="str">
            <v/>
          </cell>
          <cell r="J812" t="str">
            <v/>
          </cell>
          <cell r="N812" t="str">
            <v/>
          </cell>
          <cell r="O812" t="str">
            <v/>
          </cell>
          <cell r="P812" t="str">
            <v/>
          </cell>
          <cell r="Q812" t="str">
            <v/>
          </cell>
          <cell r="T812" t="str">
            <v/>
          </cell>
          <cell r="U812" t="str">
            <v/>
          </cell>
          <cell r="W812" t="str">
            <v/>
          </cell>
          <cell r="X812" t="str">
            <v/>
          </cell>
          <cell r="AB812">
            <v>0</v>
          </cell>
          <cell r="AC812">
            <v>0</v>
          </cell>
          <cell r="AD812">
            <v>0</v>
          </cell>
          <cell r="AJ812">
            <v>0</v>
          </cell>
          <cell r="AK812">
            <v>0</v>
          </cell>
        </row>
        <row r="813">
          <cell r="B813" t="str">
            <v/>
          </cell>
          <cell r="H813" t="str">
            <v/>
          </cell>
          <cell r="J813" t="str">
            <v/>
          </cell>
          <cell r="N813" t="str">
            <v/>
          </cell>
          <cell r="O813" t="str">
            <v/>
          </cell>
          <cell r="P813" t="str">
            <v/>
          </cell>
          <cell r="Q813" t="str">
            <v/>
          </cell>
          <cell r="T813" t="str">
            <v/>
          </cell>
          <cell r="U813" t="str">
            <v/>
          </cell>
          <cell r="W813" t="str">
            <v/>
          </cell>
          <cell r="X813" t="str">
            <v/>
          </cell>
          <cell r="AB813">
            <v>0</v>
          </cell>
          <cell r="AC813">
            <v>0</v>
          </cell>
          <cell r="AD813">
            <v>0</v>
          </cell>
          <cell r="AJ813">
            <v>0</v>
          </cell>
          <cell r="AK813">
            <v>0</v>
          </cell>
        </row>
        <row r="814">
          <cell r="B814" t="str">
            <v/>
          </cell>
          <cell r="H814" t="str">
            <v/>
          </cell>
          <cell r="J814" t="str">
            <v/>
          </cell>
          <cell r="N814" t="str">
            <v/>
          </cell>
          <cell r="O814" t="str">
            <v/>
          </cell>
          <cell r="P814" t="str">
            <v/>
          </cell>
          <cell r="Q814" t="str">
            <v/>
          </cell>
          <cell r="T814" t="str">
            <v/>
          </cell>
          <cell r="U814" t="str">
            <v/>
          </cell>
          <cell r="W814" t="str">
            <v/>
          </cell>
          <cell r="X814" t="str">
            <v/>
          </cell>
          <cell r="AB814">
            <v>0</v>
          </cell>
          <cell r="AC814">
            <v>0</v>
          </cell>
          <cell r="AD814">
            <v>0</v>
          </cell>
          <cell r="AJ814">
            <v>0</v>
          </cell>
          <cell r="AK814">
            <v>0</v>
          </cell>
        </row>
        <row r="815">
          <cell r="B815" t="str">
            <v/>
          </cell>
          <cell r="H815" t="str">
            <v/>
          </cell>
          <cell r="J815" t="str">
            <v/>
          </cell>
          <cell r="N815" t="str">
            <v/>
          </cell>
          <cell r="O815" t="str">
            <v/>
          </cell>
          <cell r="P815" t="str">
            <v/>
          </cell>
          <cell r="Q815" t="str">
            <v/>
          </cell>
          <cell r="T815" t="str">
            <v/>
          </cell>
          <cell r="U815" t="str">
            <v/>
          </cell>
          <cell r="W815" t="str">
            <v/>
          </cell>
          <cell r="X815" t="str">
            <v/>
          </cell>
          <cell r="AB815">
            <v>0</v>
          </cell>
          <cell r="AC815">
            <v>0</v>
          </cell>
          <cell r="AD815">
            <v>0</v>
          </cell>
          <cell r="AJ815">
            <v>0</v>
          </cell>
          <cell r="AK815">
            <v>0</v>
          </cell>
        </row>
        <row r="816">
          <cell r="B816" t="str">
            <v/>
          </cell>
          <cell r="H816" t="str">
            <v/>
          </cell>
          <cell r="J816" t="str">
            <v/>
          </cell>
          <cell r="N816" t="str">
            <v/>
          </cell>
          <cell r="O816" t="str">
            <v/>
          </cell>
          <cell r="P816" t="str">
            <v/>
          </cell>
          <cell r="Q816" t="str">
            <v/>
          </cell>
          <cell r="T816" t="str">
            <v/>
          </cell>
          <cell r="U816" t="str">
            <v/>
          </cell>
          <cell r="W816" t="str">
            <v/>
          </cell>
          <cell r="X816" t="str">
            <v/>
          </cell>
          <cell r="AB816">
            <v>0</v>
          </cell>
          <cell r="AC816">
            <v>0</v>
          </cell>
          <cell r="AD816">
            <v>0</v>
          </cell>
          <cell r="AJ816">
            <v>0</v>
          </cell>
          <cell r="AK816">
            <v>0</v>
          </cell>
        </row>
        <row r="817">
          <cell r="B817" t="str">
            <v/>
          </cell>
          <cell r="H817" t="str">
            <v/>
          </cell>
          <cell r="J817" t="str">
            <v/>
          </cell>
          <cell r="N817" t="str">
            <v/>
          </cell>
          <cell r="O817" t="str">
            <v/>
          </cell>
          <cell r="P817" t="str">
            <v/>
          </cell>
          <cell r="Q817" t="str">
            <v/>
          </cell>
          <cell r="T817" t="str">
            <v/>
          </cell>
          <cell r="U817" t="str">
            <v/>
          </cell>
          <cell r="W817" t="str">
            <v/>
          </cell>
          <cell r="X817" t="str">
            <v/>
          </cell>
          <cell r="AB817">
            <v>0</v>
          </cell>
          <cell r="AC817">
            <v>0</v>
          </cell>
          <cell r="AD817">
            <v>0</v>
          </cell>
          <cell r="AJ817">
            <v>0</v>
          </cell>
          <cell r="AK817">
            <v>0</v>
          </cell>
        </row>
        <row r="818">
          <cell r="B818" t="str">
            <v/>
          </cell>
          <cell r="H818" t="str">
            <v/>
          </cell>
          <cell r="J818" t="str">
            <v/>
          </cell>
          <cell r="N818" t="str">
            <v/>
          </cell>
          <cell r="O818" t="str">
            <v/>
          </cell>
          <cell r="P818" t="str">
            <v/>
          </cell>
          <cell r="Q818" t="str">
            <v/>
          </cell>
          <cell r="T818" t="str">
            <v/>
          </cell>
          <cell r="U818" t="str">
            <v/>
          </cell>
          <cell r="W818" t="str">
            <v/>
          </cell>
          <cell r="X818" t="str">
            <v/>
          </cell>
          <cell r="AB818">
            <v>0</v>
          </cell>
          <cell r="AC818">
            <v>0</v>
          </cell>
          <cell r="AD818">
            <v>0</v>
          </cell>
          <cell r="AJ818">
            <v>0</v>
          </cell>
          <cell r="AK818">
            <v>0</v>
          </cell>
        </row>
        <row r="819">
          <cell r="B819" t="str">
            <v/>
          </cell>
          <cell r="H819" t="str">
            <v/>
          </cell>
          <cell r="J819" t="str">
            <v/>
          </cell>
          <cell r="N819" t="str">
            <v/>
          </cell>
          <cell r="O819" t="str">
            <v/>
          </cell>
          <cell r="P819" t="str">
            <v/>
          </cell>
          <cell r="Q819" t="str">
            <v/>
          </cell>
          <cell r="T819" t="str">
            <v/>
          </cell>
          <cell r="U819" t="str">
            <v/>
          </cell>
          <cell r="W819" t="str">
            <v/>
          </cell>
          <cell r="X819" t="str">
            <v/>
          </cell>
          <cell r="AB819">
            <v>0</v>
          </cell>
          <cell r="AC819">
            <v>0</v>
          </cell>
          <cell r="AD819">
            <v>0</v>
          </cell>
          <cell r="AJ819">
            <v>0</v>
          </cell>
          <cell r="AK819">
            <v>0</v>
          </cell>
        </row>
        <row r="820">
          <cell r="B820" t="str">
            <v/>
          </cell>
          <cell r="H820" t="str">
            <v/>
          </cell>
          <cell r="J820" t="str">
            <v/>
          </cell>
          <cell r="N820" t="str">
            <v/>
          </cell>
          <cell r="O820" t="str">
            <v/>
          </cell>
          <cell r="P820" t="str">
            <v/>
          </cell>
          <cell r="Q820" t="str">
            <v/>
          </cell>
          <cell r="T820" t="str">
            <v/>
          </cell>
          <cell r="U820" t="str">
            <v/>
          </cell>
          <cell r="W820" t="str">
            <v/>
          </cell>
          <cell r="X820" t="str">
            <v/>
          </cell>
          <cell r="AB820">
            <v>0</v>
          </cell>
          <cell r="AC820">
            <v>0</v>
          </cell>
          <cell r="AD820">
            <v>0</v>
          </cell>
          <cell r="AJ820">
            <v>0</v>
          </cell>
          <cell r="AK820">
            <v>0</v>
          </cell>
        </row>
        <row r="821">
          <cell r="B821" t="str">
            <v/>
          </cell>
          <cell r="H821" t="str">
            <v/>
          </cell>
          <cell r="J821" t="str">
            <v/>
          </cell>
          <cell r="N821" t="str">
            <v/>
          </cell>
          <cell r="O821" t="str">
            <v/>
          </cell>
          <cell r="P821" t="str">
            <v/>
          </cell>
          <cell r="Q821" t="str">
            <v/>
          </cell>
          <cell r="T821" t="str">
            <v/>
          </cell>
          <cell r="U821" t="str">
            <v/>
          </cell>
          <cell r="W821" t="str">
            <v/>
          </cell>
          <cell r="X821" t="str">
            <v/>
          </cell>
          <cell r="AB821">
            <v>0</v>
          </cell>
          <cell r="AC821">
            <v>0</v>
          </cell>
          <cell r="AD821">
            <v>0</v>
          </cell>
          <cell r="AJ821">
            <v>0</v>
          </cell>
          <cell r="AK821">
            <v>0</v>
          </cell>
        </row>
        <row r="822">
          <cell r="B822" t="str">
            <v/>
          </cell>
          <cell r="H822" t="str">
            <v/>
          </cell>
          <cell r="J822" t="str">
            <v/>
          </cell>
          <cell r="N822" t="str">
            <v/>
          </cell>
          <cell r="O822" t="str">
            <v/>
          </cell>
          <cell r="P822" t="str">
            <v/>
          </cell>
          <cell r="Q822" t="str">
            <v/>
          </cell>
          <cell r="T822" t="str">
            <v/>
          </cell>
          <cell r="U822" t="str">
            <v/>
          </cell>
          <cell r="W822" t="str">
            <v/>
          </cell>
          <cell r="X822" t="str">
            <v/>
          </cell>
          <cell r="AB822">
            <v>0</v>
          </cell>
          <cell r="AC822">
            <v>0</v>
          </cell>
          <cell r="AD822">
            <v>0</v>
          </cell>
          <cell r="AJ822">
            <v>0</v>
          </cell>
          <cell r="AK822">
            <v>0</v>
          </cell>
        </row>
        <row r="823">
          <cell r="B823" t="str">
            <v/>
          </cell>
          <cell r="H823" t="str">
            <v/>
          </cell>
          <cell r="J823" t="str">
            <v/>
          </cell>
          <cell r="N823" t="str">
            <v/>
          </cell>
          <cell r="O823" t="str">
            <v/>
          </cell>
          <cell r="P823" t="str">
            <v/>
          </cell>
          <cell r="Q823" t="str">
            <v/>
          </cell>
          <cell r="T823" t="str">
            <v/>
          </cell>
          <cell r="U823" t="str">
            <v/>
          </cell>
          <cell r="W823" t="str">
            <v/>
          </cell>
          <cell r="X823" t="str">
            <v/>
          </cell>
          <cell r="AB823">
            <v>0</v>
          </cell>
          <cell r="AC823">
            <v>0</v>
          </cell>
          <cell r="AD823">
            <v>0</v>
          </cell>
          <cell r="AJ823">
            <v>0</v>
          </cell>
          <cell r="AK823">
            <v>0</v>
          </cell>
        </row>
        <row r="824">
          <cell r="B824" t="str">
            <v/>
          </cell>
          <cell r="H824" t="str">
            <v/>
          </cell>
          <cell r="J824" t="str">
            <v/>
          </cell>
          <cell r="N824" t="str">
            <v/>
          </cell>
          <cell r="O824" t="str">
            <v/>
          </cell>
          <cell r="P824" t="str">
            <v/>
          </cell>
          <cell r="Q824" t="str">
            <v/>
          </cell>
          <cell r="T824" t="str">
            <v/>
          </cell>
          <cell r="U824" t="str">
            <v/>
          </cell>
          <cell r="W824" t="str">
            <v/>
          </cell>
          <cell r="X824" t="str">
            <v/>
          </cell>
          <cell r="AB824">
            <v>0</v>
          </cell>
          <cell r="AC824">
            <v>0</v>
          </cell>
          <cell r="AD824">
            <v>0</v>
          </cell>
          <cell r="AJ824">
            <v>0</v>
          </cell>
          <cell r="AK824">
            <v>0</v>
          </cell>
        </row>
        <row r="825">
          <cell r="B825" t="str">
            <v/>
          </cell>
          <cell r="H825" t="str">
            <v/>
          </cell>
          <cell r="J825" t="str">
            <v/>
          </cell>
          <cell r="N825" t="str">
            <v/>
          </cell>
          <cell r="O825" t="str">
            <v/>
          </cell>
          <cell r="P825" t="str">
            <v/>
          </cell>
          <cell r="Q825" t="str">
            <v/>
          </cell>
          <cell r="T825" t="str">
            <v/>
          </cell>
          <cell r="U825" t="str">
            <v/>
          </cell>
          <cell r="W825" t="str">
            <v/>
          </cell>
          <cell r="X825" t="str">
            <v/>
          </cell>
          <cell r="AB825">
            <v>0</v>
          </cell>
          <cell r="AC825">
            <v>0</v>
          </cell>
          <cell r="AD825">
            <v>0</v>
          </cell>
          <cell r="AJ825">
            <v>0</v>
          </cell>
          <cell r="AK825">
            <v>0</v>
          </cell>
        </row>
        <row r="826">
          <cell r="B826" t="str">
            <v/>
          </cell>
          <cell r="H826" t="str">
            <v/>
          </cell>
          <cell r="J826" t="str">
            <v/>
          </cell>
          <cell r="N826" t="str">
            <v/>
          </cell>
          <cell r="O826" t="str">
            <v/>
          </cell>
          <cell r="P826" t="str">
            <v/>
          </cell>
          <cell r="Q826" t="str">
            <v/>
          </cell>
          <cell r="T826" t="str">
            <v/>
          </cell>
          <cell r="U826" t="str">
            <v/>
          </cell>
          <cell r="W826" t="str">
            <v/>
          </cell>
          <cell r="X826" t="str">
            <v/>
          </cell>
          <cell r="AB826">
            <v>0</v>
          </cell>
          <cell r="AC826">
            <v>0</v>
          </cell>
          <cell r="AD826">
            <v>0</v>
          </cell>
          <cell r="AJ826">
            <v>0</v>
          </cell>
          <cell r="AK826">
            <v>0</v>
          </cell>
        </row>
        <row r="827">
          <cell r="B827" t="str">
            <v/>
          </cell>
          <cell r="H827" t="str">
            <v/>
          </cell>
          <cell r="J827" t="str">
            <v/>
          </cell>
          <cell r="N827" t="str">
            <v/>
          </cell>
          <cell r="O827" t="str">
            <v/>
          </cell>
          <cell r="P827" t="str">
            <v/>
          </cell>
          <cell r="Q827" t="str">
            <v/>
          </cell>
          <cell r="T827" t="str">
            <v/>
          </cell>
          <cell r="U827" t="str">
            <v/>
          </cell>
          <cell r="W827" t="str">
            <v/>
          </cell>
          <cell r="X827" t="str">
            <v/>
          </cell>
          <cell r="AB827">
            <v>0</v>
          </cell>
          <cell r="AC827">
            <v>0</v>
          </cell>
          <cell r="AD827">
            <v>0</v>
          </cell>
          <cell r="AJ827">
            <v>0</v>
          </cell>
          <cell r="AK827">
            <v>0</v>
          </cell>
        </row>
        <row r="828">
          <cell r="B828" t="str">
            <v/>
          </cell>
          <cell r="H828" t="str">
            <v/>
          </cell>
          <cell r="J828" t="str">
            <v/>
          </cell>
          <cell r="N828" t="str">
            <v/>
          </cell>
          <cell r="O828" t="str">
            <v/>
          </cell>
          <cell r="P828" t="str">
            <v/>
          </cell>
          <cell r="Q828" t="str">
            <v/>
          </cell>
          <cell r="T828" t="str">
            <v/>
          </cell>
          <cell r="U828" t="str">
            <v/>
          </cell>
          <cell r="W828" t="str">
            <v/>
          </cell>
          <cell r="X828" t="str">
            <v/>
          </cell>
          <cell r="AB828">
            <v>0</v>
          </cell>
          <cell r="AC828">
            <v>0</v>
          </cell>
          <cell r="AD828">
            <v>0</v>
          </cell>
          <cell r="AJ828">
            <v>0</v>
          </cell>
          <cell r="AK828">
            <v>0</v>
          </cell>
        </row>
        <row r="829">
          <cell r="B829" t="str">
            <v/>
          </cell>
          <cell r="H829" t="str">
            <v/>
          </cell>
          <cell r="J829" t="str">
            <v/>
          </cell>
          <cell r="N829" t="str">
            <v/>
          </cell>
          <cell r="O829" t="str">
            <v/>
          </cell>
          <cell r="P829" t="str">
            <v/>
          </cell>
          <cell r="Q829" t="str">
            <v/>
          </cell>
          <cell r="T829" t="str">
            <v/>
          </cell>
          <cell r="U829" t="str">
            <v/>
          </cell>
          <cell r="W829" t="str">
            <v/>
          </cell>
          <cell r="X829" t="str">
            <v/>
          </cell>
          <cell r="AB829">
            <v>0</v>
          </cell>
          <cell r="AC829">
            <v>0</v>
          </cell>
          <cell r="AD829">
            <v>0</v>
          </cell>
          <cell r="AJ829">
            <v>0</v>
          </cell>
          <cell r="AK829">
            <v>0</v>
          </cell>
        </row>
        <row r="830">
          <cell r="B830" t="str">
            <v/>
          </cell>
          <cell r="H830" t="str">
            <v/>
          </cell>
          <cell r="J830" t="str">
            <v/>
          </cell>
          <cell r="N830" t="str">
            <v/>
          </cell>
          <cell r="O830" t="str">
            <v/>
          </cell>
          <cell r="P830" t="str">
            <v/>
          </cell>
          <cell r="Q830" t="str">
            <v/>
          </cell>
          <cell r="T830" t="str">
            <v/>
          </cell>
          <cell r="U830" t="str">
            <v/>
          </cell>
          <cell r="W830" t="str">
            <v/>
          </cell>
          <cell r="X830" t="str">
            <v/>
          </cell>
          <cell r="AB830">
            <v>0</v>
          </cell>
          <cell r="AC830">
            <v>0</v>
          </cell>
          <cell r="AD830">
            <v>0</v>
          </cell>
          <cell r="AJ830">
            <v>0</v>
          </cell>
          <cell r="AK830">
            <v>0</v>
          </cell>
        </row>
        <row r="831">
          <cell r="B831" t="str">
            <v/>
          </cell>
          <cell r="H831" t="str">
            <v/>
          </cell>
          <cell r="J831" t="str">
            <v/>
          </cell>
          <cell r="N831" t="str">
            <v/>
          </cell>
          <cell r="O831" t="str">
            <v/>
          </cell>
          <cell r="P831" t="str">
            <v/>
          </cell>
          <cell r="Q831" t="str">
            <v/>
          </cell>
          <cell r="T831" t="str">
            <v/>
          </cell>
          <cell r="U831" t="str">
            <v/>
          </cell>
          <cell r="W831" t="str">
            <v/>
          </cell>
          <cell r="X831" t="str">
            <v/>
          </cell>
          <cell r="AB831">
            <v>0</v>
          </cell>
          <cell r="AC831">
            <v>0</v>
          </cell>
          <cell r="AD831">
            <v>0</v>
          </cell>
          <cell r="AJ831">
            <v>0</v>
          </cell>
          <cell r="AK831">
            <v>0</v>
          </cell>
        </row>
        <row r="832">
          <cell r="B832" t="str">
            <v/>
          </cell>
          <cell r="H832" t="str">
            <v/>
          </cell>
          <cell r="J832" t="str">
            <v/>
          </cell>
          <cell r="N832" t="str">
            <v/>
          </cell>
          <cell r="O832" t="str">
            <v/>
          </cell>
          <cell r="P832" t="str">
            <v/>
          </cell>
          <cell r="Q832" t="str">
            <v/>
          </cell>
          <cell r="T832" t="str">
            <v/>
          </cell>
          <cell r="U832" t="str">
            <v/>
          </cell>
          <cell r="W832" t="str">
            <v/>
          </cell>
          <cell r="X832" t="str">
            <v/>
          </cell>
          <cell r="AB832">
            <v>0</v>
          </cell>
          <cell r="AC832">
            <v>0</v>
          </cell>
          <cell r="AD832">
            <v>0</v>
          </cell>
          <cell r="AJ832">
            <v>0</v>
          </cell>
          <cell r="AK832">
            <v>0</v>
          </cell>
        </row>
        <row r="833">
          <cell r="B833" t="str">
            <v/>
          </cell>
          <cell r="H833" t="str">
            <v/>
          </cell>
          <cell r="J833" t="str">
            <v/>
          </cell>
          <cell r="N833" t="str">
            <v/>
          </cell>
          <cell r="O833" t="str">
            <v/>
          </cell>
          <cell r="P833" t="str">
            <v/>
          </cell>
          <cell r="Q833" t="str">
            <v/>
          </cell>
          <cell r="T833" t="str">
            <v/>
          </cell>
          <cell r="U833" t="str">
            <v/>
          </cell>
          <cell r="W833" t="str">
            <v/>
          </cell>
          <cell r="X833" t="str">
            <v/>
          </cell>
          <cell r="AB833">
            <v>0</v>
          </cell>
          <cell r="AC833">
            <v>0</v>
          </cell>
          <cell r="AD833">
            <v>0</v>
          </cell>
          <cell r="AJ833">
            <v>0</v>
          </cell>
          <cell r="AK833">
            <v>0</v>
          </cell>
        </row>
        <row r="834">
          <cell r="B834" t="str">
            <v/>
          </cell>
          <cell r="H834" t="str">
            <v/>
          </cell>
          <cell r="J834" t="str">
            <v/>
          </cell>
          <cell r="N834" t="str">
            <v/>
          </cell>
          <cell r="O834" t="str">
            <v/>
          </cell>
          <cell r="P834" t="str">
            <v/>
          </cell>
          <cell r="Q834" t="str">
            <v/>
          </cell>
          <cell r="T834" t="str">
            <v/>
          </cell>
          <cell r="U834" t="str">
            <v/>
          </cell>
          <cell r="W834" t="str">
            <v/>
          </cell>
          <cell r="X834" t="str">
            <v/>
          </cell>
          <cell r="AB834">
            <v>0</v>
          </cell>
          <cell r="AC834">
            <v>0</v>
          </cell>
          <cell r="AD834">
            <v>0</v>
          </cell>
          <cell r="AJ834">
            <v>0</v>
          </cell>
          <cell r="AK834">
            <v>0</v>
          </cell>
        </row>
        <row r="835">
          <cell r="B835" t="str">
            <v/>
          </cell>
          <cell r="H835" t="str">
            <v/>
          </cell>
          <cell r="J835" t="str">
            <v/>
          </cell>
          <cell r="N835" t="str">
            <v/>
          </cell>
          <cell r="O835" t="str">
            <v/>
          </cell>
          <cell r="P835" t="str">
            <v/>
          </cell>
          <cell r="Q835" t="str">
            <v/>
          </cell>
          <cell r="T835" t="str">
            <v/>
          </cell>
          <cell r="U835" t="str">
            <v/>
          </cell>
          <cell r="W835" t="str">
            <v/>
          </cell>
          <cell r="X835" t="str">
            <v/>
          </cell>
          <cell r="AB835">
            <v>0</v>
          </cell>
          <cell r="AC835">
            <v>0</v>
          </cell>
          <cell r="AD835">
            <v>0</v>
          </cell>
          <cell r="AJ835">
            <v>0</v>
          </cell>
          <cell r="AK835">
            <v>0</v>
          </cell>
        </row>
        <row r="836">
          <cell r="B836" t="str">
            <v/>
          </cell>
          <cell r="H836" t="str">
            <v/>
          </cell>
          <cell r="J836" t="str">
            <v/>
          </cell>
          <cell r="N836" t="str">
            <v/>
          </cell>
          <cell r="O836" t="str">
            <v/>
          </cell>
          <cell r="P836" t="str">
            <v/>
          </cell>
          <cell r="Q836" t="str">
            <v/>
          </cell>
          <cell r="T836" t="str">
            <v/>
          </cell>
          <cell r="U836" t="str">
            <v/>
          </cell>
          <cell r="W836" t="str">
            <v/>
          </cell>
          <cell r="X836" t="str">
            <v/>
          </cell>
          <cell r="AB836">
            <v>0</v>
          </cell>
          <cell r="AC836">
            <v>0</v>
          </cell>
          <cell r="AD836">
            <v>0</v>
          </cell>
          <cell r="AJ836">
            <v>0</v>
          </cell>
          <cell r="AK836">
            <v>0</v>
          </cell>
        </row>
        <row r="837">
          <cell r="B837" t="str">
            <v/>
          </cell>
          <cell r="H837" t="str">
            <v/>
          </cell>
          <cell r="J837" t="str">
            <v/>
          </cell>
          <cell r="N837" t="str">
            <v/>
          </cell>
          <cell r="O837" t="str">
            <v/>
          </cell>
          <cell r="P837" t="str">
            <v/>
          </cell>
          <cell r="Q837" t="str">
            <v/>
          </cell>
          <cell r="T837" t="str">
            <v/>
          </cell>
          <cell r="U837" t="str">
            <v/>
          </cell>
          <cell r="W837" t="str">
            <v/>
          </cell>
          <cell r="X837" t="str">
            <v/>
          </cell>
          <cell r="AB837">
            <v>0</v>
          </cell>
          <cell r="AC837">
            <v>0</v>
          </cell>
          <cell r="AD837">
            <v>0</v>
          </cell>
          <cell r="AJ837">
            <v>0</v>
          </cell>
          <cell r="AK837">
            <v>0</v>
          </cell>
        </row>
        <row r="838">
          <cell r="B838" t="str">
            <v/>
          </cell>
          <cell r="H838" t="str">
            <v/>
          </cell>
          <cell r="J838" t="str">
            <v/>
          </cell>
          <cell r="N838" t="str">
            <v/>
          </cell>
          <cell r="O838" t="str">
            <v/>
          </cell>
          <cell r="P838" t="str">
            <v/>
          </cell>
          <cell r="Q838" t="str">
            <v/>
          </cell>
          <cell r="T838" t="str">
            <v/>
          </cell>
          <cell r="U838" t="str">
            <v/>
          </cell>
          <cell r="W838" t="str">
            <v/>
          </cell>
          <cell r="X838" t="str">
            <v/>
          </cell>
          <cell r="AB838">
            <v>0</v>
          </cell>
          <cell r="AC838">
            <v>0</v>
          </cell>
          <cell r="AD838">
            <v>0</v>
          </cell>
          <cell r="AJ838">
            <v>0</v>
          </cell>
          <cell r="AK838">
            <v>0</v>
          </cell>
        </row>
        <row r="839">
          <cell r="B839" t="str">
            <v/>
          </cell>
          <cell r="H839" t="str">
            <v/>
          </cell>
          <cell r="J839" t="str">
            <v/>
          </cell>
          <cell r="N839" t="str">
            <v/>
          </cell>
          <cell r="O839" t="str">
            <v/>
          </cell>
          <cell r="P839" t="str">
            <v/>
          </cell>
          <cell r="Q839" t="str">
            <v/>
          </cell>
          <cell r="T839" t="str">
            <v/>
          </cell>
          <cell r="U839" t="str">
            <v/>
          </cell>
          <cell r="W839" t="str">
            <v/>
          </cell>
          <cell r="X839" t="str">
            <v/>
          </cell>
          <cell r="AB839">
            <v>0</v>
          </cell>
          <cell r="AC839">
            <v>0</v>
          </cell>
          <cell r="AD839">
            <v>0</v>
          </cell>
          <cell r="AJ839">
            <v>0</v>
          </cell>
          <cell r="AK839">
            <v>0</v>
          </cell>
        </row>
        <row r="840">
          <cell r="B840" t="str">
            <v/>
          </cell>
          <cell r="H840" t="str">
            <v/>
          </cell>
          <cell r="J840" t="str">
            <v/>
          </cell>
          <cell r="N840" t="str">
            <v/>
          </cell>
          <cell r="O840" t="str">
            <v/>
          </cell>
          <cell r="P840" t="str">
            <v/>
          </cell>
          <cell r="Q840" t="str">
            <v/>
          </cell>
          <cell r="T840" t="str">
            <v/>
          </cell>
          <cell r="U840" t="str">
            <v/>
          </cell>
          <cell r="W840" t="str">
            <v/>
          </cell>
          <cell r="X840" t="str">
            <v/>
          </cell>
          <cell r="AB840">
            <v>0</v>
          </cell>
          <cell r="AC840">
            <v>0</v>
          </cell>
          <cell r="AD840">
            <v>0</v>
          </cell>
          <cell r="AJ840">
            <v>0</v>
          </cell>
          <cell r="AK840">
            <v>0</v>
          </cell>
        </row>
        <row r="841">
          <cell r="B841" t="str">
            <v/>
          </cell>
          <cell r="H841" t="str">
            <v/>
          </cell>
          <cell r="J841" t="str">
            <v/>
          </cell>
          <cell r="N841" t="str">
            <v/>
          </cell>
          <cell r="O841" t="str">
            <v/>
          </cell>
          <cell r="P841" t="str">
            <v/>
          </cell>
          <cell r="Q841" t="str">
            <v/>
          </cell>
          <cell r="T841" t="str">
            <v/>
          </cell>
          <cell r="U841" t="str">
            <v/>
          </cell>
          <cell r="W841" t="str">
            <v/>
          </cell>
          <cell r="X841" t="str">
            <v/>
          </cell>
          <cell r="AB841">
            <v>0</v>
          </cell>
          <cell r="AC841">
            <v>0</v>
          </cell>
          <cell r="AD841">
            <v>0</v>
          </cell>
          <cell r="AJ841">
            <v>0</v>
          </cell>
          <cell r="AK841">
            <v>0</v>
          </cell>
        </row>
        <row r="842">
          <cell r="B842" t="str">
            <v/>
          </cell>
          <cell r="H842" t="str">
            <v/>
          </cell>
          <cell r="J842" t="str">
            <v/>
          </cell>
          <cell r="N842" t="str">
            <v/>
          </cell>
          <cell r="O842" t="str">
            <v/>
          </cell>
          <cell r="P842" t="str">
            <v/>
          </cell>
          <cell r="Q842" t="str">
            <v/>
          </cell>
          <cell r="T842" t="str">
            <v/>
          </cell>
          <cell r="U842" t="str">
            <v/>
          </cell>
          <cell r="W842" t="str">
            <v/>
          </cell>
          <cell r="X842" t="str">
            <v/>
          </cell>
          <cell r="AB842">
            <v>0</v>
          </cell>
          <cell r="AC842">
            <v>0</v>
          </cell>
          <cell r="AD842">
            <v>0</v>
          </cell>
          <cell r="AJ842">
            <v>0</v>
          </cell>
          <cell r="AK842">
            <v>0</v>
          </cell>
        </row>
        <row r="843">
          <cell r="B843" t="str">
            <v/>
          </cell>
          <cell r="H843" t="str">
            <v/>
          </cell>
          <cell r="J843" t="str">
            <v/>
          </cell>
          <cell r="N843" t="str">
            <v/>
          </cell>
          <cell r="O843" t="str">
            <v/>
          </cell>
          <cell r="P843" t="str">
            <v/>
          </cell>
          <cell r="Q843" t="str">
            <v/>
          </cell>
          <cell r="T843" t="str">
            <v/>
          </cell>
          <cell r="U843" t="str">
            <v/>
          </cell>
          <cell r="W843" t="str">
            <v/>
          </cell>
          <cell r="X843" t="str">
            <v/>
          </cell>
          <cell r="AB843">
            <v>0</v>
          </cell>
          <cell r="AC843">
            <v>0</v>
          </cell>
          <cell r="AD843">
            <v>0</v>
          </cell>
          <cell r="AJ843">
            <v>0</v>
          </cell>
          <cell r="AK843">
            <v>0</v>
          </cell>
        </row>
        <row r="844">
          <cell r="B844" t="str">
            <v/>
          </cell>
          <cell r="H844" t="str">
            <v/>
          </cell>
          <cell r="J844" t="str">
            <v/>
          </cell>
          <cell r="N844" t="str">
            <v/>
          </cell>
          <cell r="O844" t="str">
            <v/>
          </cell>
          <cell r="P844" t="str">
            <v/>
          </cell>
          <cell r="Q844" t="str">
            <v/>
          </cell>
          <cell r="T844" t="str">
            <v/>
          </cell>
          <cell r="U844" t="str">
            <v/>
          </cell>
          <cell r="W844" t="str">
            <v/>
          </cell>
          <cell r="X844" t="str">
            <v/>
          </cell>
          <cell r="AB844">
            <v>0</v>
          </cell>
          <cell r="AC844">
            <v>0</v>
          </cell>
          <cell r="AD844">
            <v>0</v>
          </cell>
          <cell r="AJ844">
            <v>0</v>
          </cell>
          <cell r="AK844">
            <v>0</v>
          </cell>
        </row>
        <row r="845">
          <cell r="B845" t="str">
            <v/>
          </cell>
          <cell r="H845" t="str">
            <v/>
          </cell>
          <cell r="J845" t="str">
            <v/>
          </cell>
          <cell r="N845" t="str">
            <v/>
          </cell>
          <cell r="O845" t="str">
            <v/>
          </cell>
          <cell r="P845" t="str">
            <v/>
          </cell>
          <cell r="Q845" t="str">
            <v/>
          </cell>
          <cell r="T845" t="str">
            <v/>
          </cell>
          <cell r="U845" t="str">
            <v/>
          </cell>
          <cell r="W845" t="str">
            <v/>
          </cell>
          <cell r="X845" t="str">
            <v/>
          </cell>
          <cell r="AB845">
            <v>0</v>
          </cell>
          <cell r="AC845">
            <v>0</v>
          </cell>
          <cell r="AD845">
            <v>0</v>
          </cell>
          <cell r="AJ845">
            <v>0</v>
          </cell>
          <cell r="AK845">
            <v>0</v>
          </cell>
        </row>
        <row r="846">
          <cell r="B846" t="str">
            <v/>
          </cell>
          <cell r="H846" t="str">
            <v/>
          </cell>
          <cell r="J846" t="str">
            <v/>
          </cell>
          <cell r="N846" t="str">
            <v/>
          </cell>
          <cell r="O846" t="str">
            <v/>
          </cell>
          <cell r="P846" t="str">
            <v/>
          </cell>
          <cell r="Q846" t="str">
            <v/>
          </cell>
          <cell r="T846" t="str">
            <v/>
          </cell>
          <cell r="U846" t="str">
            <v/>
          </cell>
          <cell r="W846" t="str">
            <v/>
          </cell>
          <cell r="X846" t="str">
            <v/>
          </cell>
          <cell r="AB846">
            <v>0</v>
          </cell>
          <cell r="AC846">
            <v>0</v>
          </cell>
          <cell r="AD846">
            <v>0</v>
          </cell>
          <cell r="AJ846">
            <v>0</v>
          </cell>
          <cell r="AK846">
            <v>0</v>
          </cell>
        </row>
        <row r="847">
          <cell r="B847" t="str">
            <v/>
          </cell>
          <cell r="H847" t="str">
            <v/>
          </cell>
          <cell r="J847" t="str">
            <v/>
          </cell>
          <cell r="N847" t="str">
            <v/>
          </cell>
          <cell r="O847" t="str">
            <v/>
          </cell>
          <cell r="P847" t="str">
            <v/>
          </cell>
          <cell r="Q847" t="str">
            <v/>
          </cell>
          <cell r="T847" t="str">
            <v/>
          </cell>
          <cell r="U847" t="str">
            <v/>
          </cell>
          <cell r="W847" t="str">
            <v/>
          </cell>
          <cell r="X847" t="str">
            <v/>
          </cell>
          <cell r="AB847">
            <v>0</v>
          </cell>
          <cell r="AC847">
            <v>0</v>
          </cell>
          <cell r="AD847">
            <v>0</v>
          </cell>
          <cell r="AJ847">
            <v>0</v>
          </cell>
          <cell r="AK847">
            <v>0</v>
          </cell>
        </row>
        <row r="848">
          <cell r="B848" t="str">
            <v/>
          </cell>
          <cell r="H848" t="str">
            <v/>
          </cell>
          <cell r="J848" t="str">
            <v/>
          </cell>
          <cell r="N848" t="str">
            <v/>
          </cell>
          <cell r="O848" t="str">
            <v/>
          </cell>
          <cell r="P848" t="str">
            <v/>
          </cell>
          <cell r="Q848" t="str">
            <v/>
          </cell>
          <cell r="T848" t="str">
            <v/>
          </cell>
          <cell r="U848" t="str">
            <v/>
          </cell>
          <cell r="W848" t="str">
            <v/>
          </cell>
          <cell r="X848" t="str">
            <v/>
          </cell>
          <cell r="AB848">
            <v>0</v>
          </cell>
          <cell r="AC848">
            <v>0</v>
          </cell>
          <cell r="AD848">
            <v>0</v>
          </cell>
          <cell r="AJ848">
            <v>0</v>
          </cell>
          <cell r="AK848">
            <v>0</v>
          </cell>
        </row>
        <row r="849">
          <cell r="B849" t="str">
            <v/>
          </cell>
          <cell r="H849" t="str">
            <v/>
          </cell>
          <cell r="J849" t="str">
            <v/>
          </cell>
          <cell r="N849" t="str">
            <v/>
          </cell>
          <cell r="O849" t="str">
            <v/>
          </cell>
          <cell r="P849" t="str">
            <v/>
          </cell>
          <cell r="Q849" t="str">
            <v/>
          </cell>
          <cell r="T849" t="str">
            <v/>
          </cell>
          <cell r="U849" t="str">
            <v/>
          </cell>
          <cell r="W849" t="str">
            <v/>
          </cell>
          <cell r="X849" t="str">
            <v/>
          </cell>
          <cell r="AB849">
            <v>0</v>
          </cell>
          <cell r="AC849">
            <v>0</v>
          </cell>
          <cell r="AD849">
            <v>0</v>
          </cell>
          <cell r="AJ849">
            <v>0</v>
          </cell>
          <cell r="AK849">
            <v>0</v>
          </cell>
        </row>
        <row r="850">
          <cell r="B850" t="str">
            <v/>
          </cell>
          <cell r="H850" t="str">
            <v/>
          </cell>
          <cell r="J850" t="str">
            <v/>
          </cell>
          <cell r="N850" t="str">
            <v/>
          </cell>
          <cell r="O850" t="str">
            <v/>
          </cell>
          <cell r="P850" t="str">
            <v/>
          </cell>
          <cell r="Q850" t="str">
            <v/>
          </cell>
          <cell r="T850" t="str">
            <v/>
          </cell>
          <cell r="U850" t="str">
            <v/>
          </cell>
          <cell r="W850" t="str">
            <v/>
          </cell>
          <cell r="X850" t="str">
            <v/>
          </cell>
          <cell r="AB850">
            <v>0</v>
          </cell>
          <cell r="AC850">
            <v>0</v>
          </cell>
          <cell r="AD850">
            <v>0</v>
          </cell>
          <cell r="AJ850">
            <v>0</v>
          </cell>
          <cell r="AK850">
            <v>0</v>
          </cell>
        </row>
        <row r="851">
          <cell r="B851" t="str">
            <v/>
          </cell>
          <cell r="H851" t="str">
            <v/>
          </cell>
          <cell r="J851" t="str">
            <v/>
          </cell>
          <cell r="N851" t="str">
            <v/>
          </cell>
          <cell r="O851" t="str">
            <v/>
          </cell>
          <cell r="P851" t="str">
            <v/>
          </cell>
          <cell r="Q851" t="str">
            <v/>
          </cell>
          <cell r="T851" t="str">
            <v/>
          </cell>
          <cell r="U851" t="str">
            <v/>
          </cell>
          <cell r="W851" t="str">
            <v/>
          </cell>
          <cell r="X851" t="str">
            <v/>
          </cell>
          <cell r="AB851">
            <v>0</v>
          </cell>
          <cell r="AC851">
            <v>0</v>
          </cell>
          <cell r="AD851">
            <v>0</v>
          </cell>
          <cell r="AJ851">
            <v>0</v>
          </cell>
          <cell r="AK851">
            <v>0</v>
          </cell>
        </row>
        <row r="852">
          <cell r="B852" t="str">
            <v/>
          </cell>
          <cell r="H852" t="str">
            <v/>
          </cell>
          <cell r="J852" t="str">
            <v/>
          </cell>
          <cell r="N852" t="str">
            <v/>
          </cell>
          <cell r="O852" t="str">
            <v/>
          </cell>
          <cell r="P852" t="str">
            <v/>
          </cell>
          <cell r="Q852" t="str">
            <v/>
          </cell>
          <cell r="T852" t="str">
            <v/>
          </cell>
          <cell r="U852" t="str">
            <v/>
          </cell>
          <cell r="W852" t="str">
            <v/>
          </cell>
          <cell r="X852" t="str">
            <v/>
          </cell>
          <cell r="AB852">
            <v>0</v>
          </cell>
          <cell r="AC852">
            <v>0</v>
          </cell>
          <cell r="AD852">
            <v>0</v>
          </cell>
          <cell r="AJ852">
            <v>0</v>
          </cell>
          <cell r="AK852">
            <v>0</v>
          </cell>
        </row>
        <row r="853">
          <cell r="B853" t="str">
            <v/>
          </cell>
          <cell r="H853" t="str">
            <v/>
          </cell>
          <cell r="J853" t="str">
            <v/>
          </cell>
          <cell r="N853" t="str">
            <v/>
          </cell>
          <cell r="O853" t="str">
            <v/>
          </cell>
          <cell r="P853" t="str">
            <v/>
          </cell>
          <cell r="Q853" t="str">
            <v/>
          </cell>
          <cell r="T853" t="str">
            <v/>
          </cell>
          <cell r="U853" t="str">
            <v/>
          </cell>
          <cell r="W853" t="str">
            <v/>
          </cell>
          <cell r="X853" t="str">
            <v/>
          </cell>
          <cell r="AB853">
            <v>0</v>
          </cell>
          <cell r="AC853">
            <v>0</v>
          </cell>
          <cell r="AD853">
            <v>0</v>
          </cell>
          <cell r="AJ853">
            <v>0</v>
          </cell>
          <cell r="AK853">
            <v>0</v>
          </cell>
        </row>
        <row r="854">
          <cell r="B854" t="str">
            <v/>
          </cell>
          <cell r="H854" t="str">
            <v/>
          </cell>
          <cell r="J854" t="str">
            <v/>
          </cell>
          <cell r="N854" t="str">
            <v/>
          </cell>
          <cell r="O854" t="str">
            <v/>
          </cell>
          <cell r="P854" t="str">
            <v/>
          </cell>
          <cell r="Q854" t="str">
            <v/>
          </cell>
          <cell r="T854" t="str">
            <v/>
          </cell>
          <cell r="U854" t="str">
            <v/>
          </cell>
          <cell r="W854" t="str">
            <v/>
          </cell>
          <cell r="X854" t="str">
            <v/>
          </cell>
          <cell r="AB854">
            <v>0</v>
          </cell>
          <cell r="AC854">
            <v>0</v>
          </cell>
          <cell r="AD854">
            <v>0</v>
          </cell>
          <cell r="AJ854">
            <v>0</v>
          </cell>
          <cell r="AK854">
            <v>0</v>
          </cell>
        </row>
        <row r="855">
          <cell r="B855" t="str">
            <v/>
          </cell>
          <cell r="H855" t="str">
            <v/>
          </cell>
          <cell r="J855" t="str">
            <v/>
          </cell>
          <cell r="N855" t="str">
            <v/>
          </cell>
          <cell r="O855" t="str">
            <v/>
          </cell>
          <cell r="P855" t="str">
            <v/>
          </cell>
          <cell r="Q855" t="str">
            <v/>
          </cell>
          <cell r="T855" t="str">
            <v/>
          </cell>
          <cell r="U855" t="str">
            <v/>
          </cell>
          <cell r="W855" t="str">
            <v/>
          </cell>
          <cell r="X855" t="str">
            <v/>
          </cell>
          <cell r="AB855">
            <v>0</v>
          </cell>
          <cell r="AC855">
            <v>0</v>
          </cell>
          <cell r="AD855">
            <v>0</v>
          </cell>
          <cell r="AJ855">
            <v>0</v>
          </cell>
          <cell r="AK855">
            <v>0</v>
          </cell>
        </row>
        <row r="856">
          <cell r="B856" t="str">
            <v/>
          </cell>
          <cell r="H856" t="str">
            <v/>
          </cell>
          <cell r="J856" t="str">
            <v/>
          </cell>
          <cell r="N856" t="str">
            <v/>
          </cell>
          <cell r="O856" t="str">
            <v/>
          </cell>
          <cell r="P856" t="str">
            <v/>
          </cell>
          <cell r="Q856" t="str">
            <v/>
          </cell>
          <cell r="T856" t="str">
            <v/>
          </cell>
          <cell r="U856" t="str">
            <v/>
          </cell>
          <cell r="W856" t="str">
            <v/>
          </cell>
          <cell r="X856" t="str">
            <v/>
          </cell>
          <cell r="AB856">
            <v>0</v>
          </cell>
          <cell r="AC856">
            <v>0</v>
          </cell>
          <cell r="AD856">
            <v>0</v>
          </cell>
          <cell r="AJ856">
            <v>0</v>
          </cell>
          <cell r="AK856">
            <v>0</v>
          </cell>
        </row>
        <row r="857">
          <cell r="B857" t="str">
            <v/>
          </cell>
          <cell r="H857" t="str">
            <v/>
          </cell>
          <cell r="J857" t="str">
            <v/>
          </cell>
          <cell r="N857" t="str">
            <v/>
          </cell>
          <cell r="O857" t="str">
            <v/>
          </cell>
          <cell r="P857" t="str">
            <v/>
          </cell>
          <cell r="Q857" t="str">
            <v/>
          </cell>
          <cell r="T857" t="str">
            <v/>
          </cell>
          <cell r="U857" t="str">
            <v/>
          </cell>
          <cell r="W857" t="str">
            <v/>
          </cell>
          <cell r="X857" t="str">
            <v/>
          </cell>
          <cell r="AB857">
            <v>0</v>
          </cell>
          <cell r="AC857">
            <v>0</v>
          </cell>
          <cell r="AD857">
            <v>0</v>
          </cell>
          <cell r="AJ857">
            <v>0</v>
          </cell>
          <cell r="AK857">
            <v>0</v>
          </cell>
        </row>
        <row r="858">
          <cell r="B858" t="str">
            <v/>
          </cell>
          <cell r="H858" t="str">
            <v/>
          </cell>
          <cell r="J858" t="str">
            <v/>
          </cell>
          <cell r="N858" t="str">
            <v/>
          </cell>
          <cell r="O858" t="str">
            <v/>
          </cell>
          <cell r="P858" t="str">
            <v/>
          </cell>
          <cell r="Q858" t="str">
            <v/>
          </cell>
          <cell r="T858" t="str">
            <v/>
          </cell>
          <cell r="U858" t="str">
            <v/>
          </cell>
          <cell r="W858" t="str">
            <v/>
          </cell>
          <cell r="X858" t="str">
            <v/>
          </cell>
          <cell r="AB858">
            <v>0</v>
          </cell>
          <cell r="AC858">
            <v>0</v>
          </cell>
          <cell r="AD858">
            <v>0</v>
          </cell>
          <cell r="AJ858">
            <v>0</v>
          </cell>
          <cell r="AK858">
            <v>0</v>
          </cell>
        </row>
        <row r="859">
          <cell r="B859" t="str">
            <v/>
          </cell>
          <cell r="H859" t="str">
            <v/>
          </cell>
          <cell r="J859" t="str">
            <v/>
          </cell>
          <cell r="N859" t="str">
            <v/>
          </cell>
          <cell r="O859" t="str">
            <v/>
          </cell>
          <cell r="P859" t="str">
            <v/>
          </cell>
          <cell r="Q859" t="str">
            <v/>
          </cell>
          <cell r="T859" t="str">
            <v/>
          </cell>
          <cell r="U859" t="str">
            <v/>
          </cell>
          <cell r="W859" t="str">
            <v/>
          </cell>
          <cell r="X859" t="str">
            <v/>
          </cell>
          <cell r="AB859">
            <v>0</v>
          </cell>
          <cell r="AC859">
            <v>0</v>
          </cell>
          <cell r="AD859">
            <v>0</v>
          </cell>
          <cell r="AJ859">
            <v>0</v>
          </cell>
          <cell r="AK859">
            <v>0</v>
          </cell>
        </row>
        <row r="860">
          <cell r="B860" t="str">
            <v/>
          </cell>
          <cell r="H860" t="str">
            <v/>
          </cell>
          <cell r="J860" t="str">
            <v/>
          </cell>
          <cell r="N860" t="str">
            <v/>
          </cell>
          <cell r="O860" t="str">
            <v/>
          </cell>
          <cell r="P860" t="str">
            <v/>
          </cell>
          <cell r="Q860" t="str">
            <v/>
          </cell>
          <cell r="T860" t="str">
            <v/>
          </cell>
          <cell r="U860" t="str">
            <v/>
          </cell>
          <cell r="W860" t="str">
            <v/>
          </cell>
          <cell r="X860" t="str">
            <v/>
          </cell>
          <cell r="AB860">
            <v>0</v>
          </cell>
          <cell r="AC860">
            <v>0</v>
          </cell>
          <cell r="AD860">
            <v>0</v>
          </cell>
          <cell r="AJ860">
            <v>0</v>
          </cell>
          <cell r="AK860">
            <v>0</v>
          </cell>
        </row>
        <row r="861">
          <cell r="B861" t="str">
            <v/>
          </cell>
          <cell r="H861" t="str">
            <v/>
          </cell>
          <cell r="J861" t="str">
            <v/>
          </cell>
          <cell r="N861" t="str">
            <v/>
          </cell>
          <cell r="O861" t="str">
            <v/>
          </cell>
          <cell r="P861" t="str">
            <v/>
          </cell>
          <cell r="Q861" t="str">
            <v/>
          </cell>
          <cell r="T861" t="str">
            <v/>
          </cell>
          <cell r="U861" t="str">
            <v/>
          </cell>
          <cell r="W861" t="str">
            <v/>
          </cell>
          <cell r="X861" t="str">
            <v/>
          </cell>
          <cell r="AB861">
            <v>0</v>
          </cell>
          <cell r="AC861">
            <v>0</v>
          </cell>
          <cell r="AD861">
            <v>0</v>
          </cell>
          <cell r="AJ861">
            <v>0</v>
          </cell>
          <cell r="AK861">
            <v>0</v>
          </cell>
        </row>
        <row r="862">
          <cell r="B862" t="str">
            <v/>
          </cell>
          <cell r="H862" t="str">
            <v/>
          </cell>
          <cell r="J862" t="str">
            <v/>
          </cell>
          <cell r="N862" t="str">
            <v/>
          </cell>
          <cell r="O862" t="str">
            <v/>
          </cell>
          <cell r="P862" t="str">
            <v/>
          </cell>
          <cell r="Q862" t="str">
            <v/>
          </cell>
          <cell r="T862" t="str">
            <v/>
          </cell>
          <cell r="U862" t="str">
            <v/>
          </cell>
          <cell r="W862" t="str">
            <v/>
          </cell>
          <cell r="X862" t="str">
            <v/>
          </cell>
          <cell r="AB862">
            <v>0</v>
          </cell>
          <cell r="AC862">
            <v>0</v>
          </cell>
          <cell r="AD862">
            <v>0</v>
          </cell>
          <cell r="AJ862">
            <v>0</v>
          </cell>
          <cell r="AK862">
            <v>0</v>
          </cell>
        </row>
        <row r="863">
          <cell r="B863" t="str">
            <v/>
          </cell>
          <cell r="H863" t="str">
            <v/>
          </cell>
          <cell r="J863" t="str">
            <v/>
          </cell>
          <cell r="N863" t="str">
            <v/>
          </cell>
          <cell r="O863" t="str">
            <v/>
          </cell>
          <cell r="P863" t="str">
            <v/>
          </cell>
          <cell r="Q863" t="str">
            <v/>
          </cell>
          <cell r="T863" t="str">
            <v/>
          </cell>
          <cell r="U863" t="str">
            <v/>
          </cell>
          <cell r="W863" t="str">
            <v/>
          </cell>
          <cell r="X863" t="str">
            <v/>
          </cell>
          <cell r="AB863">
            <v>0</v>
          </cell>
          <cell r="AC863">
            <v>0</v>
          </cell>
          <cell r="AD863">
            <v>0</v>
          </cell>
          <cell r="AJ863">
            <v>0</v>
          </cell>
          <cell r="AK863">
            <v>0</v>
          </cell>
        </row>
        <row r="864">
          <cell r="B864" t="str">
            <v/>
          </cell>
          <cell r="H864" t="str">
            <v/>
          </cell>
          <cell r="J864" t="str">
            <v/>
          </cell>
          <cell r="N864" t="str">
            <v/>
          </cell>
          <cell r="O864" t="str">
            <v/>
          </cell>
          <cell r="P864" t="str">
            <v/>
          </cell>
          <cell r="Q864" t="str">
            <v/>
          </cell>
          <cell r="T864" t="str">
            <v/>
          </cell>
          <cell r="U864" t="str">
            <v/>
          </cell>
          <cell r="W864" t="str">
            <v/>
          </cell>
          <cell r="X864" t="str">
            <v/>
          </cell>
          <cell r="AB864">
            <v>0</v>
          </cell>
          <cell r="AC864">
            <v>0</v>
          </cell>
          <cell r="AD864">
            <v>0</v>
          </cell>
          <cell r="AJ864">
            <v>0</v>
          </cell>
          <cell r="AK864">
            <v>0</v>
          </cell>
        </row>
        <row r="865">
          <cell r="B865" t="str">
            <v/>
          </cell>
          <cell r="H865" t="str">
            <v/>
          </cell>
          <cell r="J865" t="str">
            <v/>
          </cell>
          <cell r="N865" t="str">
            <v/>
          </cell>
          <cell r="O865" t="str">
            <v/>
          </cell>
          <cell r="P865" t="str">
            <v/>
          </cell>
          <cell r="Q865" t="str">
            <v/>
          </cell>
          <cell r="T865" t="str">
            <v/>
          </cell>
          <cell r="U865" t="str">
            <v/>
          </cell>
          <cell r="W865" t="str">
            <v/>
          </cell>
          <cell r="X865" t="str">
            <v/>
          </cell>
          <cell r="AB865">
            <v>0</v>
          </cell>
          <cell r="AC865">
            <v>0</v>
          </cell>
          <cell r="AD865">
            <v>0</v>
          </cell>
          <cell r="AJ865">
            <v>0</v>
          </cell>
          <cell r="AK865">
            <v>0</v>
          </cell>
        </row>
        <row r="866">
          <cell r="B866" t="str">
            <v/>
          </cell>
          <cell r="H866" t="str">
            <v/>
          </cell>
          <cell r="J866" t="str">
            <v/>
          </cell>
          <cell r="N866" t="str">
            <v/>
          </cell>
          <cell r="O866" t="str">
            <v/>
          </cell>
          <cell r="P866" t="str">
            <v/>
          </cell>
          <cell r="Q866" t="str">
            <v/>
          </cell>
          <cell r="T866" t="str">
            <v/>
          </cell>
          <cell r="U866" t="str">
            <v/>
          </cell>
          <cell r="W866" t="str">
            <v/>
          </cell>
          <cell r="X866" t="str">
            <v/>
          </cell>
          <cell r="AB866">
            <v>0</v>
          </cell>
          <cell r="AC866">
            <v>0</v>
          </cell>
          <cell r="AD866">
            <v>0</v>
          </cell>
          <cell r="AJ866">
            <v>0</v>
          </cell>
          <cell r="AK866">
            <v>0</v>
          </cell>
        </row>
        <row r="867">
          <cell r="B867" t="str">
            <v/>
          </cell>
          <cell r="H867" t="str">
            <v/>
          </cell>
          <cell r="J867" t="str">
            <v/>
          </cell>
          <cell r="N867" t="str">
            <v/>
          </cell>
          <cell r="O867" t="str">
            <v/>
          </cell>
          <cell r="P867" t="str">
            <v/>
          </cell>
          <cell r="Q867" t="str">
            <v/>
          </cell>
          <cell r="T867" t="str">
            <v/>
          </cell>
          <cell r="U867" t="str">
            <v/>
          </cell>
          <cell r="W867" t="str">
            <v/>
          </cell>
          <cell r="X867" t="str">
            <v/>
          </cell>
          <cell r="AB867">
            <v>0</v>
          </cell>
          <cell r="AC867">
            <v>0</v>
          </cell>
          <cell r="AD867">
            <v>0</v>
          </cell>
          <cell r="AJ867">
            <v>0</v>
          </cell>
          <cell r="AK867">
            <v>0</v>
          </cell>
        </row>
        <row r="868">
          <cell r="B868" t="str">
            <v/>
          </cell>
          <cell r="H868" t="str">
            <v/>
          </cell>
          <cell r="J868" t="str">
            <v/>
          </cell>
          <cell r="N868" t="str">
            <v/>
          </cell>
          <cell r="O868" t="str">
            <v/>
          </cell>
          <cell r="P868" t="str">
            <v/>
          </cell>
          <cell r="Q868" t="str">
            <v/>
          </cell>
          <cell r="T868" t="str">
            <v/>
          </cell>
          <cell r="U868" t="str">
            <v/>
          </cell>
          <cell r="W868" t="str">
            <v/>
          </cell>
          <cell r="X868" t="str">
            <v/>
          </cell>
          <cell r="AB868">
            <v>0</v>
          </cell>
          <cell r="AC868">
            <v>0</v>
          </cell>
          <cell r="AD868">
            <v>0</v>
          </cell>
          <cell r="AJ868">
            <v>0</v>
          </cell>
          <cell r="AK868">
            <v>0</v>
          </cell>
        </row>
        <row r="869">
          <cell r="B869" t="str">
            <v/>
          </cell>
          <cell r="H869" t="str">
            <v/>
          </cell>
          <cell r="J869" t="str">
            <v/>
          </cell>
          <cell r="N869" t="str">
            <v/>
          </cell>
          <cell r="O869" t="str">
            <v/>
          </cell>
          <cell r="P869" t="str">
            <v/>
          </cell>
          <cell r="Q869" t="str">
            <v/>
          </cell>
          <cell r="T869" t="str">
            <v/>
          </cell>
          <cell r="U869" t="str">
            <v/>
          </cell>
          <cell r="W869" t="str">
            <v/>
          </cell>
          <cell r="X869" t="str">
            <v/>
          </cell>
          <cell r="AB869">
            <v>0</v>
          </cell>
          <cell r="AC869">
            <v>0</v>
          </cell>
          <cell r="AD869">
            <v>0</v>
          </cell>
          <cell r="AJ869">
            <v>0</v>
          </cell>
          <cell r="AK869">
            <v>0</v>
          </cell>
        </row>
        <row r="870">
          <cell r="B870" t="str">
            <v/>
          </cell>
          <cell r="H870" t="str">
            <v/>
          </cell>
          <cell r="J870" t="str">
            <v/>
          </cell>
          <cell r="N870" t="str">
            <v/>
          </cell>
          <cell r="O870" t="str">
            <v/>
          </cell>
          <cell r="P870" t="str">
            <v/>
          </cell>
          <cell r="Q870" t="str">
            <v/>
          </cell>
          <cell r="T870" t="str">
            <v/>
          </cell>
          <cell r="U870" t="str">
            <v/>
          </cell>
          <cell r="W870" t="str">
            <v/>
          </cell>
          <cell r="X870" t="str">
            <v/>
          </cell>
          <cell r="AB870">
            <v>0</v>
          </cell>
          <cell r="AC870">
            <v>0</v>
          </cell>
          <cell r="AD870">
            <v>0</v>
          </cell>
          <cell r="AJ870">
            <v>0</v>
          </cell>
          <cell r="AK870">
            <v>0</v>
          </cell>
        </row>
        <row r="871">
          <cell r="B871" t="str">
            <v/>
          </cell>
          <cell r="H871" t="str">
            <v/>
          </cell>
          <cell r="J871" t="str">
            <v/>
          </cell>
          <cell r="N871" t="str">
            <v/>
          </cell>
          <cell r="O871" t="str">
            <v/>
          </cell>
          <cell r="P871" t="str">
            <v/>
          </cell>
          <cell r="Q871" t="str">
            <v/>
          </cell>
          <cell r="T871" t="str">
            <v/>
          </cell>
          <cell r="U871" t="str">
            <v/>
          </cell>
          <cell r="W871" t="str">
            <v/>
          </cell>
          <cell r="X871" t="str">
            <v/>
          </cell>
          <cell r="AB871">
            <v>0</v>
          </cell>
          <cell r="AC871">
            <v>0</v>
          </cell>
          <cell r="AD871">
            <v>0</v>
          </cell>
          <cell r="AJ871">
            <v>0</v>
          </cell>
          <cell r="AK871">
            <v>0</v>
          </cell>
        </row>
        <row r="872">
          <cell r="B872" t="str">
            <v/>
          </cell>
          <cell r="H872" t="str">
            <v/>
          </cell>
          <cell r="J872" t="str">
            <v/>
          </cell>
          <cell r="N872" t="str">
            <v/>
          </cell>
          <cell r="O872" t="str">
            <v/>
          </cell>
          <cell r="P872" t="str">
            <v/>
          </cell>
          <cell r="Q872" t="str">
            <v/>
          </cell>
          <cell r="T872" t="str">
            <v/>
          </cell>
          <cell r="U872" t="str">
            <v/>
          </cell>
          <cell r="W872" t="str">
            <v/>
          </cell>
          <cell r="X872" t="str">
            <v/>
          </cell>
          <cell r="AB872">
            <v>0</v>
          </cell>
          <cell r="AC872">
            <v>0</v>
          </cell>
          <cell r="AD872">
            <v>0</v>
          </cell>
          <cell r="AJ872">
            <v>0</v>
          </cell>
          <cell r="AK872">
            <v>0</v>
          </cell>
        </row>
        <row r="873">
          <cell r="B873" t="str">
            <v/>
          </cell>
          <cell r="H873" t="str">
            <v/>
          </cell>
          <cell r="J873" t="str">
            <v/>
          </cell>
          <cell r="N873" t="str">
            <v/>
          </cell>
          <cell r="O873" t="str">
            <v/>
          </cell>
          <cell r="P873" t="str">
            <v/>
          </cell>
          <cell r="Q873" t="str">
            <v/>
          </cell>
          <cell r="T873" t="str">
            <v/>
          </cell>
          <cell r="U873" t="str">
            <v/>
          </cell>
          <cell r="W873" t="str">
            <v/>
          </cell>
          <cell r="X873" t="str">
            <v/>
          </cell>
          <cell r="AB873">
            <v>0</v>
          </cell>
          <cell r="AC873">
            <v>0</v>
          </cell>
          <cell r="AD873">
            <v>0</v>
          </cell>
          <cell r="AJ873">
            <v>0</v>
          </cell>
          <cell r="AK873">
            <v>0</v>
          </cell>
        </row>
        <row r="874">
          <cell r="B874" t="str">
            <v/>
          </cell>
          <cell r="H874" t="str">
            <v/>
          </cell>
          <cell r="J874" t="str">
            <v/>
          </cell>
          <cell r="N874" t="str">
            <v/>
          </cell>
          <cell r="O874" t="str">
            <v/>
          </cell>
          <cell r="P874" t="str">
            <v/>
          </cell>
          <cell r="Q874" t="str">
            <v/>
          </cell>
          <cell r="T874" t="str">
            <v/>
          </cell>
          <cell r="U874" t="str">
            <v/>
          </cell>
          <cell r="W874" t="str">
            <v/>
          </cell>
          <cell r="X874" t="str">
            <v/>
          </cell>
          <cell r="AB874">
            <v>0</v>
          </cell>
          <cell r="AC874">
            <v>0</v>
          </cell>
          <cell r="AD874">
            <v>0</v>
          </cell>
          <cell r="AJ874">
            <v>0</v>
          </cell>
          <cell r="AK874">
            <v>0</v>
          </cell>
        </row>
        <row r="875">
          <cell r="B875" t="str">
            <v/>
          </cell>
          <cell r="H875" t="str">
            <v/>
          </cell>
          <cell r="J875" t="str">
            <v/>
          </cell>
          <cell r="N875" t="str">
            <v/>
          </cell>
          <cell r="O875" t="str">
            <v/>
          </cell>
          <cell r="P875" t="str">
            <v/>
          </cell>
          <cell r="Q875" t="str">
            <v/>
          </cell>
          <cell r="T875" t="str">
            <v/>
          </cell>
          <cell r="U875" t="str">
            <v/>
          </cell>
          <cell r="W875" t="str">
            <v/>
          </cell>
          <cell r="X875" t="str">
            <v/>
          </cell>
          <cell r="AB875">
            <v>0</v>
          </cell>
          <cell r="AC875">
            <v>0</v>
          </cell>
          <cell r="AD875">
            <v>0</v>
          </cell>
          <cell r="AJ875">
            <v>0</v>
          </cell>
          <cell r="AK875">
            <v>0</v>
          </cell>
        </row>
        <row r="876">
          <cell r="B876" t="str">
            <v/>
          </cell>
          <cell r="H876" t="str">
            <v/>
          </cell>
          <cell r="J876" t="str">
            <v/>
          </cell>
          <cell r="N876" t="str">
            <v/>
          </cell>
          <cell r="O876" t="str">
            <v/>
          </cell>
          <cell r="P876" t="str">
            <v/>
          </cell>
          <cell r="Q876" t="str">
            <v/>
          </cell>
          <cell r="T876" t="str">
            <v/>
          </cell>
          <cell r="U876" t="str">
            <v/>
          </cell>
          <cell r="W876" t="str">
            <v/>
          </cell>
          <cell r="X876" t="str">
            <v/>
          </cell>
          <cell r="AB876">
            <v>0</v>
          </cell>
          <cell r="AC876">
            <v>0</v>
          </cell>
          <cell r="AD876">
            <v>0</v>
          </cell>
          <cell r="AJ876">
            <v>0</v>
          </cell>
          <cell r="AK876">
            <v>0</v>
          </cell>
        </row>
        <row r="877">
          <cell r="B877" t="str">
            <v/>
          </cell>
          <cell r="H877" t="str">
            <v/>
          </cell>
          <cell r="J877" t="str">
            <v/>
          </cell>
          <cell r="N877" t="str">
            <v/>
          </cell>
          <cell r="O877" t="str">
            <v/>
          </cell>
          <cell r="P877" t="str">
            <v/>
          </cell>
          <cell r="Q877" t="str">
            <v/>
          </cell>
          <cell r="T877" t="str">
            <v/>
          </cell>
          <cell r="U877" t="str">
            <v/>
          </cell>
          <cell r="W877" t="str">
            <v/>
          </cell>
          <cell r="X877" t="str">
            <v/>
          </cell>
          <cell r="AB877">
            <v>0</v>
          </cell>
          <cell r="AC877">
            <v>0</v>
          </cell>
          <cell r="AD877">
            <v>0</v>
          </cell>
          <cell r="AJ877">
            <v>0</v>
          </cell>
          <cell r="AK877">
            <v>0</v>
          </cell>
        </row>
        <row r="878">
          <cell r="B878" t="str">
            <v/>
          </cell>
          <cell r="H878" t="str">
            <v/>
          </cell>
          <cell r="J878" t="str">
            <v/>
          </cell>
          <cell r="N878" t="str">
            <v/>
          </cell>
          <cell r="O878" t="str">
            <v/>
          </cell>
          <cell r="P878" t="str">
            <v/>
          </cell>
          <cell r="Q878" t="str">
            <v/>
          </cell>
          <cell r="T878" t="str">
            <v/>
          </cell>
          <cell r="U878" t="str">
            <v/>
          </cell>
          <cell r="W878" t="str">
            <v/>
          </cell>
          <cell r="X878" t="str">
            <v/>
          </cell>
          <cell r="AB878">
            <v>0</v>
          </cell>
          <cell r="AC878">
            <v>0</v>
          </cell>
          <cell r="AD878">
            <v>0</v>
          </cell>
          <cell r="AJ878">
            <v>0</v>
          </cell>
          <cell r="AK878">
            <v>0</v>
          </cell>
        </row>
        <row r="879">
          <cell r="B879" t="str">
            <v/>
          </cell>
          <cell r="H879" t="str">
            <v/>
          </cell>
          <cell r="J879" t="str">
            <v/>
          </cell>
          <cell r="N879" t="str">
            <v/>
          </cell>
          <cell r="O879" t="str">
            <v/>
          </cell>
          <cell r="P879" t="str">
            <v/>
          </cell>
          <cell r="Q879" t="str">
            <v/>
          </cell>
          <cell r="T879" t="str">
            <v/>
          </cell>
          <cell r="U879" t="str">
            <v/>
          </cell>
          <cell r="W879" t="str">
            <v/>
          </cell>
          <cell r="X879" t="str">
            <v/>
          </cell>
          <cell r="AB879">
            <v>0</v>
          </cell>
          <cell r="AC879">
            <v>0</v>
          </cell>
          <cell r="AD879">
            <v>0</v>
          </cell>
          <cell r="AJ879">
            <v>0</v>
          </cell>
          <cell r="AK879">
            <v>0</v>
          </cell>
        </row>
        <row r="880">
          <cell r="B880" t="str">
            <v/>
          </cell>
          <cell r="H880" t="str">
            <v/>
          </cell>
          <cell r="J880" t="str">
            <v/>
          </cell>
          <cell r="N880" t="str">
            <v/>
          </cell>
          <cell r="O880" t="str">
            <v/>
          </cell>
          <cell r="P880" t="str">
            <v/>
          </cell>
          <cell r="Q880" t="str">
            <v/>
          </cell>
          <cell r="T880" t="str">
            <v/>
          </cell>
          <cell r="U880" t="str">
            <v/>
          </cell>
          <cell r="W880" t="str">
            <v/>
          </cell>
          <cell r="X880" t="str">
            <v/>
          </cell>
          <cell r="AB880">
            <v>0</v>
          </cell>
          <cell r="AC880">
            <v>0</v>
          </cell>
          <cell r="AD880">
            <v>0</v>
          </cell>
          <cell r="AJ880">
            <v>0</v>
          </cell>
          <cell r="AK880">
            <v>0</v>
          </cell>
        </row>
        <row r="881">
          <cell r="B881" t="str">
            <v/>
          </cell>
          <cell r="H881" t="str">
            <v/>
          </cell>
          <cell r="J881" t="str">
            <v/>
          </cell>
          <cell r="N881" t="str">
            <v/>
          </cell>
          <cell r="O881" t="str">
            <v/>
          </cell>
          <cell r="P881" t="str">
            <v/>
          </cell>
          <cell r="Q881" t="str">
            <v/>
          </cell>
          <cell r="T881" t="str">
            <v/>
          </cell>
          <cell r="U881" t="str">
            <v/>
          </cell>
          <cell r="W881" t="str">
            <v/>
          </cell>
          <cell r="X881" t="str">
            <v/>
          </cell>
          <cell r="AB881">
            <v>0</v>
          </cell>
          <cell r="AC881">
            <v>0</v>
          </cell>
          <cell r="AD881">
            <v>0</v>
          </cell>
          <cell r="AJ881">
            <v>0</v>
          </cell>
          <cell r="AK881">
            <v>0</v>
          </cell>
        </row>
        <row r="882">
          <cell r="B882" t="str">
            <v/>
          </cell>
          <cell r="H882" t="str">
            <v/>
          </cell>
          <cell r="J882" t="str">
            <v/>
          </cell>
          <cell r="N882" t="str">
            <v/>
          </cell>
          <cell r="O882" t="str">
            <v/>
          </cell>
          <cell r="P882" t="str">
            <v/>
          </cell>
          <cell r="Q882" t="str">
            <v/>
          </cell>
          <cell r="T882" t="str">
            <v/>
          </cell>
          <cell r="U882" t="str">
            <v/>
          </cell>
          <cell r="W882" t="str">
            <v/>
          </cell>
          <cell r="X882" t="str">
            <v/>
          </cell>
          <cell r="AB882">
            <v>0</v>
          </cell>
          <cell r="AC882">
            <v>0</v>
          </cell>
          <cell r="AD882">
            <v>0</v>
          </cell>
          <cell r="AJ882">
            <v>0</v>
          </cell>
          <cell r="AK882">
            <v>0</v>
          </cell>
        </row>
        <row r="883">
          <cell r="B883" t="str">
            <v/>
          </cell>
          <cell r="H883" t="str">
            <v/>
          </cell>
          <cell r="J883" t="str">
            <v/>
          </cell>
          <cell r="N883" t="str">
            <v/>
          </cell>
          <cell r="O883" t="str">
            <v/>
          </cell>
          <cell r="P883" t="str">
            <v/>
          </cell>
          <cell r="Q883" t="str">
            <v/>
          </cell>
          <cell r="T883" t="str">
            <v/>
          </cell>
          <cell r="U883" t="str">
            <v/>
          </cell>
          <cell r="W883" t="str">
            <v/>
          </cell>
          <cell r="X883" t="str">
            <v/>
          </cell>
          <cell r="AB883">
            <v>0</v>
          </cell>
          <cell r="AC883">
            <v>0</v>
          </cell>
          <cell r="AD883">
            <v>0</v>
          </cell>
          <cell r="AJ883">
            <v>0</v>
          </cell>
          <cell r="AK883">
            <v>0</v>
          </cell>
        </row>
        <row r="884">
          <cell r="B884" t="str">
            <v/>
          </cell>
          <cell r="H884" t="str">
            <v/>
          </cell>
          <cell r="J884" t="str">
            <v/>
          </cell>
          <cell r="N884" t="str">
            <v/>
          </cell>
          <cell r="O884" t="str">
            <v/>
          </cell>
          <cell r="P884" t="str">
            <v/>
          </cell>
          <cell r="Q884" t="str">
            <v/>
          </cell>
          <cell r="T884" t="str">
            <v/>
          </cell>
          <cell r="U884" t="str">
            <v/>
          </cell>
          <cell r="W884" t="str">
            <v/>
          </cell>
          <cell r="X884" t="str">
            <v/>
          </cell>
          <cell r="AB884">
            <v>0</v>
          </cell>
          <cell r="AC884">
            <v>0</v>
          </cell>
          <cell r="AD884">
            <v>0</v>
          </cell>
          <cell r="AJ884">
            <v>0</v>
          </cell>
          <cell r="AK884">
            <v>0</v>
          </cell>
        </row>
        <row r="885">
          <cell r="B885" t="str">
            <v/>
          </cell>
          <cell r="H885" t="str">
            <v/>
          </cell>
          <cell r="J885" t="str">
            <v/>
          </cell>
          <cell r="N885" t="str">
            <v/>
          </cell>
          <cell r="O885" t="str">
            <v/>
          </cell>
          <cell r="P885" t="str">
            <v/>
          </cell>
          <cell r="Q885" t="str">
            <v/>
          </cell>
          <cell r="T885" t="str">
            <v/>
          </cell>
          <cell r="U885" t="str">
            <v/>
          </cell>
          <cell r="W885" t="str">
            <v/>
          </cell>
          <cell r="X885" t="str">
            <v/>
          </cell>
          <cell r="AB885">
            <v>0</v>
          </cell>
          <cell r="AC885">
            <v>0</v>
          </cell>
          <cell r="AD885">
            <v>0</v>
          </cell>
          <cell r="AJ885">
            <v>0</v>
          </cell>
          <cell r="AK885">
            <v>0</v>
          </cell>
        </row>
        <row r="886">
          <cell r="B886" t="str">
            <v/>
          </cell>
          <cell r="H886" t="str">
            <v/>
          </cell>
          <cell r="J886" t="str">
            <v/>
          </cell>
          <cell r="N886" t="str">
            <v/>
          </cell>
          <cell r="O886" t="str">
            <v/>
          </cell>
          <cell r="P886" t="str">
            <v/>
          </cell>
          <cell r="Q886" t="str">
            <v/>
          </cell>
          <cell r="T886" t="str">
            <v/>
          </cell>
          <cell r="U886" t="str">
            <v/>
          </cell>
          <cell r="W886" t="str">
            <v/>
          </cell>
          <cell r="X886" t="str">
            <v/>
          </cell>
          <cell r="AB886">
            <v>0</v>
          </cell>
          <cell r="AC886">
            <v>0</v>
          </cell>
          <cell r="AD886">
            <v>0</v>
          </cell>
          <cell r="AJ886">
            <v>0</v>
          </cell>
          <cell r="AK886">
            <v>0</v>
          </cell>
        </row>
        <row r="887">
          <cell r="B887" t="str">
            <v/>
          </cell>
          <cell r="H887" t="str">
            <v/>
          </cell>
          <cell r="J887" t="str">
            <v/>
          </cell>
          <cell r="N887" t="str">
            <v/>
          </cell>
          <cell r="O887" t="str">
            <v/>
          </cell>
          <cell r="P887" t="str">
            <v/>
          </cell>
          <cell r="Q887" t="str">
            <v/>
          </cell>
          <cell r="T887" t="str">
            <v/>
          </cell>
          <cell r="U887" t="str">
            <v/>
          </cell>
          <cell r="W887" t="str">
            <v/>
          </cell>
          <cell r="X887" t="str">
            <v/>
          </cell>
          <cell r="AB887">
            <v>0</v>
          </cell>
          <cell r="AC887">
            <v>0</v>
          </cell>
          <cell r="AD887">
            <v>0</v>
          </cell>
          <cell r="AJ887">
            <v>0</v>
          </cell>
          <cell r="AK887">
            <v>0</v>
          </cell>
        </row>
        <row r="888">
          <cell r="B888" t="str">
            <v/>
          </cell>
          <cell r="H888" t="str">
            <v/>
          </cell>
          <cell r="J888" t="str">
            <v/>
          </cell>
          <cell r="N888" t="str">
            <v/>
          </cell>
          <cell r="O888" t="str">
            <v/>
          </cell>
          <cell r="P888" t="str">
            <v/>
          </cell>
          <cell r="Q888" t="str">
            <v/>
          </cell>
          <cell r="T888" t="str">
            <v/>
          </cell>
          <cell r="U888" t="str">
            <v/>
          </cell>
          <cell r="W888" t="str">
            <v/>
          </cell>
          <cell r="X888" t="str">
            <v/>
          </cell>
          <cell r="AB888">
            <v>0</v>
          </cell>
          <cell r="AC888">
            <v>0</v>
          </cell>
          <cell r="AD888">
            <v>0</v>
          </cell>
          <cell r="AJ888">
            <v>0</v>
          </cell>
          <cell r="AK888">
            <v>0</v>
          </cell>
        </row>
        <row r="889">
          <cell r="B889" t="str">
            <v/>
          </cell>
          <cell r="H889" t="str">
            <v/>
          </cell>
          <cell r="J889" t="str">
            <v/>
          </cell>
          <cell r="N889" t="str">
            <v/>
          </cell>
          <cell r="O889" t="str">
            <v/>
          </cell>
          <cell r="P889" t="str">
            <v/>
          </cell>
          <cell r="Q889" t="str">
            <v/>
          </cell>
          <cell r="T889" t="str">
            <v/>
          </cell>
          <cell r="U889" t="str">
            <v/>
          </cell>
          <cell r="W889" t="str">
            <v/>
          </cell>
          <cell r="X889" t="str">
            <v/>
          </cell>
          <cell r="AB889">
            <v>0</v>
          </cell>
          <cell r="AC889">
            <v>0</v>
          </cell>
          <cell r="AD889">
            <v>0</v>
          </cell>
          <cell r="AJ889">
            <v>0</v>
          </cell>
          <cell r="AK889">
            <v>0</v>
          </cell>
        </row>
        <row r="890">
          <cell r="B890" t="str">
            <v/>
          </cell>
          <cell r="H890" t="str">
            <v/>
          </cell>
          <cell r="J890" t="str">
            <v/>
          </cell>
          <cell r="N890" t="str">
            <v/>
          </cell>
          <cell r="O890" t="str">
            <v/>
          </cell>
          <cell r="P890" t="str">
            <v/>
          </cell>
          <cell r="Q890" t="str">
            <v/>
          </cell>
          <cell r="T890" t="str">
            <v/>
          </cell>
          <cell r="U890" t="str">
            <v/>
          </cell>
          <cell r="W890" t="str">
            <v/>
          </cell>
          <cell r="X890" t="str">
            <v/>
          </cell>
          <cell r="AB890">
            <v>0</v>
          </cell>
          <cell r="AC890">
            <v>0</v>
          </cell>
          <cell r="AD890">
            <v>0</v>
          </cell>
          <cell r="AJ890">
            <v>0</v>
          </cell>
          <cell r="AK890">
            <v>0</v>
          </cell>
        </row>
        <row r="891">
          <cell r="B891" t="str">
            <v/>
          </cell>
          <cell r="H891" t="str">
            <v/>
          </cell>
          <cell r="J891" t="str">
            <v/>
          </cell>
          <cell r="N891" t="str">
            <v/>
          </cell>
          <cell r="O891" t="str">
            <v/>
          </cell>
          <cell r="P891" t="str">
            <v/>
          </cell>
          <cell r="Q891" t="str">
            <v/>
          </cell>
          <cell r="T891" t="str">
            <v/>
          </cell>
          <cell r="U891" t="str">
            <v/>
          </cell>
          <cell r="W891" t="str">
            <v/>
          </cell>
          <cell r="X891" t="str">
            <v/>
          </cell>
          <cell r="AB891">
            <v>0</v>
          </cell>
          <cell r="AC891">
            <v>0</v>
          </cell>
          <cell r="AD891">
            <v>0</v>
          </cell>
          <cell r="AJ891">
            <v>0</v>
          </cell>
          <cell r="AK891">
            <v>0</v>
          </cell>
        </row>
        <row r="892">
          <cell r="B892" t="str">
            <v/>
          </cell>
          <cell r="H892" t="str">
            <v/>
          </cell>
          <cell r="J892" t="str">
            <v/>
          </cell>
          <cell r="N892" t="str">
            <v/>
          </cell>
          <cell r="O892" t="str">
            <v/>
          </cell>
          <cell r="P892" t="str">
            <v/>
          </cell>
          <cell r="Q892" t="str">
            <v/>
          </cell>
          <cell r="T892" t="str">
            <v/>
          </cell>
          <cell r="U892" t="str">
            <v/>
          </cell>
          <cell r="W892" t="str">
            <v/>
          </cell>
          <cell r="X892" t="str">
            <v/>
          </cell>
          <cell r="AB892">
            <v>0</v>
          </cell>
          <cell r="AC892">
            <v>0</v>
          </cell>
          <cell r="AD892">
            <v>0</v>
          </cell>
          <cell r="AJ892">
            <v>0</v>
          </cell>
          <cell r="AK892">
            <v>0</v>
          </cell>
        </row>
        <row r="893">
          <cell r="B893" t="str">
            <v/>
          </cell>
          <cell r="H893" t="str">
            <v/>
          </cell>
          <cell r="J893" t="str">
            <v/>
          </cell>
          <cell r="N893" t="str">
            <v/>
          </cell>
          <cell r="O893" t="str">
            <v/>
          </cell>
          <cell r="P893" t="str">
            <v/>
          </cell>
          <cell r="Q893" t="str">
            <v/>
          </cell>
          <cell r="T893" t="str">
            <v/>
          </cell>
          <cell r="U893" t="str">
            <v/>
          </cell>
          <cell r="W893" t="str">
            <v/>
          </cell>
          <cell r="X893" t="str">
            <v/>
          </cell>
          <cell r="AB893">
            <v>0</v>
          </cell>
          <cell r="AC893">
            <v>0</v>
          </cell>
          <cell r="AD893">
            <v>0</v>
          </cell>
          <cell r="AJ893">
            <v>0</v>
          </cell>
          <cell r="AK893">
            <v>0</v>
          </cell>
        </row>
        <row r="894">
          <cell r="B894" t="str">
            <v/>
          </cell>
          <cell r="H894" t="str">
            <v/>
          </cell>
          <cell r="J894" t="str">
            <v/>
          </cell>
          <cell r="N894" t="str">
            <v/>
          </cell>
          <cell r="O894" t="str">
            <v/>
          </cell>
          <cell r="P894" t="str">
            <v/>
          </cell>
          <cell r="Q894" t="str">
            <v/>
          </cell>
          <cell r="T894" t="str">
            <v/>
          </cell>
          <cell r="U894" t="str">
            <v/>
          </cell>
          <cell r="W894" t="str">
            <v/>
          </cell>
          <cell r="X894" t="str">
            <v/>
          </cell>
          <cell r="AB894">
            <v>0</v>
          </cell>
          <cell r="AC894">
            <v>0</v>
          </cell>
          <cell r="AD894">
            <v>0</v>
          </cell>
          <cell r="AJ894">
            <v>0</v>
          </cell>
          <cell r="AK894">
            <v>0</v>
          </cell>
        </row>
        <row r="895">
          <cell r="B895" t="str">
            <v/>
          </cell>
          <cell r="H895" t="str">
            <v/>
          </cell>
          <cell r="J895" t="str">
            <v/>
          </cell>
          <cell r="N895" t="str">
            <v/>
          </cell>
          <cell r="O895" t="str">
            <v/>
          </cell>
          <cell r="P895" t="str">
            <v/>
          </cell>
          <cell r="Q895" t="str">
            <v/>
          </cell>
          <cell r="T895" t="str">
            <v/>
          </cell>
          <cell r="U895" t="str">
            <v/>
          </cell>
          <cell r="W895" t="str">
            <v/>
          </cell>
          <cell r="X895" t="str">
            <v/>
          </cell>
          <cell r="AB895">
            <v>0</v>
          </cell>
          <cell r="AC895">
            <v>0</v>
          </cell>
          <cell r="AD895">
            <v>0</v>
          </cell>
          <cell r="AJ895">
            <v>0</v>
          </cell>
          <cell r="AK895">
            <v>0</v>
          </cell>
        </row>
        <row r="896">
          <cell r="B896" t="str">
            <v/>
          </cell>
          <cell r="H896" t="str">
            <v/>
          </cell>
          <cell r="J896" t="str">
            <v/>
          </cell>
          <cell r="N896" t="str">
            <v/>
          </cell>
          <cell r="O896" t="str">
            <v/>
          </cell>
          <cell r="P896" t="str">
            <v/>
          </cell>
          <cell r="Q896" t="str">
            <v/>
          </cell>
          <cell r="T896" t="str">
            <v/>
          </cell>
          <cell r="U896" t="str">
            <v/>
          </cell>
          <cell r="W896" t="str">
            <v/>
          </cell>
          <cell r="X896" t="str">
            <v/>
          </cell>
          <cell r="AB896">
            <v>0</v>
          </cell>
          <cell r="AC896">
            <v>0</v>
          </cell>
          <cell r="AD896">
            <v>0</v>
          </cell>
          <cell r="AJ896">
            <v>0</v>
          </cell>
          <cell r="AK896">
            <v>0</v>
          </cell>
        </row>
        <row r="897">
          <cell r="B897" t="str">
            <v/>
          </cell>
          <cell r="H897" t="str">
            <v/>
          </cell>
          <cell r="J897" t="str">
            <v/>
          </cell>
          <cell r="N897" t="str">
            <v/>
          </cell>
          <cell r="O897" t="str">
            <v/>
          </cell>
          <cell r="P897" t="str">
            <v/>
          </cell>
          <cell r="Q897" t="str">
            <v/>
          </cell>
          <cell r="T897" t="str">
            <v/>
          </cell>
          <cell r="U897" t="str">
            <v/>
          </cell>
          <cell r="W897" t="str">
            <v/>
          </cell>
          <cell r="X897" t="str">
            <v/>
          </cell>
          <cell r="AB897">
            <v>0</v>
          </cell>
          <cell r="AC897">
            <v>0</v>
          </cell>
          <cell r="AD897">
            <v>0</v>
          </cell>
          <cell r="AJ897">
            <v>0</v>
          </cell>
          <cell r="AK897">
            <v>0</v>
          </cell>
        </row>
        <row r="898">
          <cell r="B898" t="str">
            <v/>
          </cell>
          <cell r="H898" t="str">
            <v/>
          </cell>
          <cell r="J898" t="str">
            <v/>
          </cell>
          <cell r="N898" t="str">
            <v/>
          </cell>
          <cell r="O898" t="str">
            <v/>
          </cell>
          <cell r="P898" t="str">
            <v/>
          </cell>
          <cell r="Q898" t="str">
            <v/>
          </cell>
          <cell r="T898" t="str">
            <v/>
          </cell>
          <cell r="U898" t="str">
            <v/>
          </cell>
          <cell r="W898" t="str">
            <v/>
          </cell>
          <cell r="X898" t="str">
            <v/>
          </cell>
          <cell r="AB898">
            <v>0</v>
          </cell>
          <cell r="AC898">
            <v>0</v>
          </cell>
          <cell r="AD898">
            <v>0</v>
          </cell>
          <cell r="AJ898">
            <v>0</v>
          </cell>
          <cell r="AK898">
            <v>0</v>
          </cell>
        </row>
        <row r="899">
          <cell r="B899" t="str">
            <v/>
          </cell>
          <cell r="H899" t="str">
            <v/>
          </cell>
          <cell r="J899" t="str">
            <v/>
          </cell>
          <cell r="N899" t="str">
            <v/>
          </cell>
          <cell r="O899" t="str">
            <v/>
          </cell>
          <cell r="P899" t="str">
            <v/>
          </cell>
          <cell r="Q899" t="str">
            <v/>
          </cell>
          <cell r="T899" t="str">
            <v/>
          </cell>
          <cell r="U899" t="str">
            <v/>
          </cell>
          <cell r="W899" t="str">
            <v/>
          </cell>
          <cell r="X899" t="str">
            <v/>
          </cell>
          <cell r="AB899">
            <v>0</v>
          </cell>
          <cell r="AC899">
            <v>0</v>
          </cell>
          <cell r="AD899">
            <v>0</v>
          </cell>
          <cell r="AJ899">
            <v>0</v>
          </cell>
          <cell r="AK899">
            <v>0</v>
          </cell>
        </row>
        <row r="900">
          <cell r="B900" t="str">
            <v/>
          </cell>
          <cell r="H900" t="str">
            <v/>
          </cell>
          <cell r="J900" t="str">
            <v/>
          </cell>
          <cell r="N900" t="str">
            <v/>
          </cell>
          <cell r="O900" t="str">
            <v/>
          </cell>
          <cell r="P900" t="str">
            <v/>
          </cell>
          <cell r="Q900" t="str">
            <v/>
          </cell>
          <cell r="T900" t="str">
            <v/>
          </cell>
          <cell r="U900" t="str">
            <v/>
          </cell>
          <cell r="W900" t="str">
            <v/>
          </cell>
          <cell r="X900" t="str">
            <v/>
          </cell>
          <cell r="AB900">
            <v>0</v>
          </cell>
          <cell r="AC900">
            <v>0</v>
          </cell>
          <cell r="AD900">
            <v>0</v>
          </cell>
          <cell r="AJ900">
            <v>0</v>
          </cell>
          <cell r="AK900">
            <v>0</v>
          </cell>
        </row>
        <row r="901">
          <cell r="B901" t="str">
            <v/>
          </cell>
          <cell r="H901" t="str">
            <v/>
          </cell>
          <cell r="J901" t="str">
            <v/>
          </cell>
          <cell r="N901" t="str">
            <v/>
          </cell>
          <cell r="O901" t="str">
            <v/>
          </cell>
          <cell r="P901" t="str">
            <v/>
          </cell>
          <cell r="Q901" t="str">
            <v/>
          </cell>
          <cell r="T901" t="str">
            <v/>
          </cell>
          <cell r="U901" t="str">
            <v/>
          </cell>
          <cell r="W901" t="str">
            <v/>
          </cell>
          <cell r="X901" t="str">
            <v/>
          </cell>
          <cell r="AB901">
            <v>0</v>
          </cell>
          <cell r="AC901">
            <v>0</v>
          </cell>
          <cell r="AD901">
            <v>0</v>
          </cell>
          <cell r="AJ901">
            <v>0</v>
          </cell>
          <cell r="AK901">
            <v>0</v>
          </cell>
        </row>
        <row r="902">
          <cell r="B902" t="str">
            <v/>
          </cell>
          <cell r="H902" t="str">
            <v/>
          </cell>
          <cell r="J902" t="str">
            <v/>
          </cell>
          <cell r="N902" t="str">
            <v/>
          </cell>
          <cell r="O902" t="str">
            <v/>
          </cell>
          <cell r="P902" t="str">
            <v/>
          </cell>
          <cell r="Q902" t="str">
            <v/>
          </cell>
          <cell r="T902" t="str">
            <v/>
          </cell>
          <cell r="U902" t="str">
            <v/>
          </cell>
          <cell r="W902" t="str">
            <v/>
          </cell>
          <cell r="X902" t="str">
            <v/>
          </cell>
          <cell r="AB902">
            <v>0</v>
          </cell>
          <cell r="AC902">
            <v>0</v>
          </cell>
          <cell r="AD902">
            <v>0</v>
          </cell>
          <cell r="AJ902">
            <v>0</v>
          </cell>
          <cell r="AK902">
            <v>0</v>
          </cell>
        </row>
        <row r="903">
          <cell r="B903" t="str">
            <v/>
          </cell>
          <cell r="H903" t="str">
            <v/>
          </cell>
          <cell r="J903" t="str">
            <v/>
          </cell>
          <cell r="N903" t="str">
            <v/>
          </cell>
          <cell r="O903" t="str">
            <v/>
          </cell>
          <cell r="P903" t="str">
            <v/>
          </cell>
          <cell r="Q903" t="str">
            <v/>
          </cell>
          <cell r="T903" t="str">
            <v/>
          </cell>
          <cell r="U903" t="str">
            <v/>
          </cell>
          <cell r="W903" t="str">
            <v/>
          </cell>
          <cell r="X903" t="str">
            <v/>
          </cell>
          <cell r="AB903">
            <v>0</v>
          </cell>
          <cell r="AC903">
            <v>0</v>
          </cell>
          <cell r="AD903">
            <v>0</v>
          </cell>
          <cell r="AJ903">
            <v>0</v>
          </cell>
          <cell r="AK903">
            <v>0</v>
          </cell>
        </row>
        <row r="904">
          <cell r="B904" t="str">
            <v/>
          </cell>
          <cell r="H904" t="str">
            <v/>
          </cell>
          <cell r="J904" t="str">
            <v/>
          </cell>
          <cell r="N904" t="str">
            <v/>
          </cell>
          <cell r="O904" t="str">
            <v/>
          </cell>
          <cell r="P904" t="str">
            <v/>
          </cell>
          <cell r="Q904" t="str">
            <v/>
          </cell>
          <cell r="T904" t="str">
            <v/>
          </cell>
          <cell r="U904" t="str">
            <v/>
          </cell>
          <cell r="W904" t="str">
            <v/>
          </cell>
          <cell r="X904" t="str">
            <v/>
          </cell>
          <cell r="AB904">
            <v>0</v>
          </cell>
          <cell r="AC904">
            <v>0</v>
          </cell>
          <cell r="AD904">
            <v>0</v>
          </cell>
          <cell r="AJ904">
            <v>0</v>
          </cell>
          <cell r="AK904">
            <v>0</v>
          </cell>
        </row>
        <row r="905">
          <cell r="B905" t="str">
            <v/>
          </cell>
          <cell r="H905" t="str">
            <v/>
          </cell>
          <cell r="J905" t="str">
            <v/>
          </cell>
          <cell r="N905" t="str">
            <v/>
          </cell>
          <cell r="O905" t="str">
            <v/>
          </cell>
          <cell r="P905" t="str">
            <v/>
          </cell>
          <cell r="Q905" t="str">
            <v/>
          </cell>
          <cell r="T905" t="str">
            <v/>
          </cell>
          <cell r="U905" t="str">
            <v/>
          </cell>
          <cell r="W905" t="str">
            <v/>
          </cell>
          <cell r="X905" t="str">
            <v/>
          </cell>
          <cell r="AB905">
            <v>0</v>
          </cell>
          <cell r="AC905">
            <v>0</v>
          </cell>
          <cell r="AD905">
            <v>0</v>
          </cell>
          <cell r="AJ905">
            <v>0</v>
          </cell>
          <cell r="AK905">
            <v>0</v>
          </cell>
        </row>
        <row r="906">
          <cell r="B906" t="str">
            <v/>
          </cell>
          <cell r="H906" t="str">
            <v/>
          </cell>
          <cell r="J906" t="str">
            <v/>
          </cell>
          <cell r="N906" t="str">
            <v/>
          </cell>
          <cell r="O906" t="str">
            <v/>
          </cell>
          <cell r="P906" t="str">
            <v/>
          </cell>
          <cell r="Q906" t="str">
            <v/>
          </cell>
          <cell r="T906" t="str">
            <v/>
          </cell>
          <cell r="U906" t="str">
            <v/>
          </cell>
          <cell r="W906" t="str">
            <v/>
          </cell>
          <cell r="X906" t="str">
            <v/>
          </cell>
          <cell r="AB906">
            <v>0</v>
          </cell>
          <cell r="AC906">
            <v>0</v>
          </cell>
          <cell r="AD906">
            <v>0</v>
          </cell>
          <cell r="AJ906">
            <v>0</v>
          </cell>
          <cell r="AK906">
            <v>0</v>
          </cell>
        </row>
        <row r="907">
          <cell r="B907" t="str">
            <v/>
          </cell>
          <cell r="H907" t="str">
            <v/>
          </cell>
          <cell r="J907" t="str">
            <v/>
          </cell>
          <cell r="N907" t="str">
            <v/>
          </cell>
          <cell r="O907" t="str">
            <v/>
          </cell>
          <cell r="P907" t="str">
            <v/>
          </cell>
          <cell r="Q907" t="str">
            <v/>
          </cell>
          <cell r="T907" t="str">
            <v/>
          </cell>
          <cell r="U907" t="str">
            <v/>
          </cell>
          <cell r="W907" t="str">
            <v/>
          </cell>
          <cell r="X907" t="str">
            <v/>
          </cell>
          <cell r="AB907">
            <v>0</v>
          </cell>
          <cell r="AC907">
            <v>0</v>
          </cell>
          <cell r="AD907">
            <v>0</v>
          </cell>
          <cell r="AJ907">
            <v>0</v>
          </cell>
          <cell r="AK907">
            <v>0</v>
          </cell>
        </row>
        <row r="908">
          <cell r="B908" t="str">
            <v/>
          </cell>
          <cell r="H908" t="str">
            <v/>
          </cell>
          <cell r="J908" t="str">
            <v/>
          </cell>
          <cell r="N908" t="str">
            <v/>
          </cell>
          <cell r="O908" t="str">
            <v/>
          </cell>
          <cell r="P908" t="str">
            <v/>
          </cell>
          <cell r="Q908" t="str">
            <v/>
          </cell>
          <cell r="T908" t="str">
            <v/>
          </cell>
          <cell r="U908" t="str">
            <v/>
          </cell>
          <cell r="W908" t="str">
            <v/>
          </cell>
          <cell r="X908" t="str">
            <v/>
          </cell>
          <cell r="AB908">
            <v>0</v>
          </cell>
          <cell r="AC908">
            <v>0</v>
          </cell>
          <cell r="AD908">
            <v>0</v>
          </cell>
          <cell r="AJ908">
            <v>0</v>
          </cell>
          <cell r="AK908">
            <v>0</v>
          </cell>
        </row>
        <row r="909">
          <cell r="B909" t="str">
            <v/>
          </cell>
          <cell r="H909" t="str">
            <v/>
          </cell>
          <cell r="J909" t="str">
            <v/>
          </cell>
          <cell r="N909" t="str">
            <v/>
          </cell>
          <cell r="O909" t="str">
            <v/>
          </cell>
          <cell r="P909" t="str">
            <v/>
          </cell>
          <cell r="Q909" t="str">
            <v/>
          </cell>
          <cell r="T909" t="str">
            <v/>
          </cell>
          <cell r="U909" t="str">
            <v/>
          </cell>
          <cell r="W909" t="str">
            <v/>
          </cell>
          <cell r="X909" t="str">
            <v/>
          </cell>
          <cell r="AB909">
            <v>0</v>
          </cell>
          <cell r="AC909">
            <v>0</v>
          </cell>
          <cell r="AD909">
            <v>0</v>
          </cell>
          <cell r="AJ909">
            <v>0</v>
          </cell>
          <cell r="AK909">
            <v>0</v>
          </cell>
        </row>
        <row r="910">
          <cell r="B910" t="str">
            <v/>
          </cell>
          <cell r="H910" t="str">
            <v/>
          </cell>
          <cell r="J910" t="str">
            <v/>
          </cell>
          <cell r="N910" t="str">
            <v/>
          </cell>
          <cell r="O910" t="str">
            <v/>
          </cell>
          <cell r="P910" t="str">
            <v/>
          </cell>
          <cell r="Q910" t="str">
            <v/>
          </cell>
          <cell r="T910" t="str">
            <v/>
          </cell>
          <cell r="U910" t="str">
            <v/>
          </cell>
          <cell r="W910" t="str">
            <v/>
          </cell>
          <cell r="X910" t="str">
            <v/>
          </cell>
          <cell r="AB910">
            <v>0</v>
          </cell>
          <cell r="AC910">
            <v>0</v>
          </cell>
          <cell r="AD910">
            <v>0</v>
          </cell>
          <cell r="AJ910">
            <v>0</v>
          </cell>
          <cell r="AK910">
            <v>0</v>
          </cell>
        </row>
        <row r="911">
          <cell r="B911" t="str">
            <v/>
          </cell>
          <cell r="H911" t="str">
            <v/>
          </cell>
          <cell r="J911" t="str">
            <v/>
          </cell>
          <cell r="N911" t="str">
            <v/>
          </cell>
          <cell r="O911" t="str">
            <v/>
          </cell>
          <cell r="P911" t="str">
            <v/>
          </cell>
          <cell r="Q911" t="str">
            <v/>
          </cell>
          <cell r="T911" t="str">
            <v/>
          </cell>
          <cell r="U911" t="str">
            <v/>
          </cell>
          <cell r="W911" t="str">
            <v/>
          </cell>
          <cell r="X911" t="str">
            <v/>
          </cell>
          <cell r="AB911">
            <v>0</v>
          </cell>
          <cell r="AC911">
            <v>0</v>
          </cell>
          <cell r="AD911">
            <v>0</v>
          </cell>
          <cell r="AJ911">
            <v>0</v>
          </cell>
          <cell r="AK911">
            <v>0</v>
          </cell>
        </row>
        <row r="912">
          <cell r="B912" t="str">
            <v/>
          </cell>
          <cell r="H912" t="str">
            <v/>
          </cell>
          <cell r="J912" t="str">
            <v/>
          </cell>
          <cell r="N912" t="str">
            <v/>
          </cell>
          <cell r="O912" t="str">
            <v/>
          </cell>
          <cell r="P912" t="str">
            <v/>
          </cell>
          <cell r="Q912" t="str">
            <v/>
          </cell>
          <cell r="T912" t="str">
            <v/>
          </cell>
          <cell r="U912" t="str">
            <v/>
          </cell>
          <cell r="W912" t="str">
            <v/>
          </cell>
          <cell r="X912" t="str">
            <v/>
          </cell>
          <cell r="AB912">
            <v>0</v>
          </cell>
          <cell r="AC912">
            <v>0</v>
          </cell>
          <cell r="AD912">
            <v>0</v>
          </cell>
          <cell r="AJ912">
            <v>0</v>
          </cell>
          <cell r="AK912">
            <v>0</v>
          </cell>
        </row>
        <row r="913">
          <cell r="B913" t="str">
            <v/>
          </cell>
          <cell r="H913" t="str">
            <v/>
          </cell>
          <cell r="J913" t="str">
            <v/>
          </cell>
          <cell r="N913" t="str">
            <v/>
          </cell>
          <cell r="O913" t="str">
            <v/>
          </cell>
          <cell r="P913" t="str">
            <v/>
          </cell>
          <cell r="Q913" t="str">
            <v/>
          </cell>
          <cell r="T913" t="str">
            <v/>
          </cell>
          <cell r="U913" t="str">
            <v/>
          </cell>
          <cell r="W913" t="str">
            <v/>
          </cell>
          <cell r="X913" t="str">
            <v/>
          </cell>
          <cell r="AB913">
            <v>0</v>
          </cell>
          <cell r="AC913">
            <v>0</v>
          </cell>
          <cell r="AD913">
            <v>0</v>
          </cell>
          <cell r="AJ913">
            <v>0</v>
          </cell>
          <cell r="AK913">
            <v>0</v>
          </cell>
        </row>
        <row r="914">
          <cell r="B914" t="str">
            <v/>
          </cell>
          <cell r="H914" t="str">
            <v/>
          </cell>
          <cell r="J914" t="str">
            <v/>
          </cell>
          <cell r="N914" t="str">
            <v/>
          </cell>
          <cell r="O914" t="str">
            <v/>
          </cell>
          <cell r="P914" t="str">
            <v/>
          </cell>
          <cell r="Q914" t="str">
            <v/>
          </cell>
          <cell r="T914" t="str">
            <v/>
          </cell>
          <cell r="U914" t="str">
            <v/>
          </cell>
          <cell r="W914" t="str">
            <v/>
          </cell>
          <cell r="X914" t="str">
            <v/>
          </cell>
          <cell r="AB914">
            <v>0</v>
          </cell>
          <cell r="AC914">
            <v>0</v>
          </cell>
          <cell r="AD914">
            <v>0</v>
          </cell>
          <cell r="AJ914">
            <v>0</v>
          </cell>
          <cell r="AK914">
            <v>0</v>
          </cell>
        </row>
        <row r="915">
          <cell r="B915" t="str">
            <v/>
          </cell>
          <cell r="H915" t="str">
            <v/>
          </cell>
          <cell r="J915" t="str">
            <v/>
          </cell>
          <cell r="N915" t="str">
            <v/>
          </cell>
          <cell r="O915" t="str">
            <v/>
          </cell>
          <cell r="P915" t="str">
            <v/>
          </cell>
          <cell r="Q915" t="str">
            <v/>
          </cell>
          <cell r="T915" t="str">
            <v/>
          </cell>
          <cell r="U915" t="str">
            <v/>
          </cell>
          <cell r="W915" t="str">
            <v/>
          </cell>
          <cell r="X915" t="str">
            <v/>
          </cell>
          <cell r="AB915">
            <v>0</v>
          </cell>
          <cell r="AC915">
            <v>0</v>
          </cell>
          <cell r="AD915">
            <v>0</v>
          </cell>
          <cell r="AJ915">
            <v>0</v>
          </cell>
          <cell r="AK915">
            <v>0</v>
          </cell>
        </row>
        <row r="916">
          <cell r="B916" t="str">
            <v/>
          </cell>
          <cell r="H916" t="str">
            <v/>
          </cell>
          <cell r="J916" t="str">
            <v/>
          </cell>
          <cell r="N916" t="str">
            <v/>
          </cell>
          <cell r="O916" t="str">
            <v/>
          </cell>
          <cell r="P916" t="str">
            <v/>
          </cell>
          <cell r="Q916" t="str">
            <v/>
          </cell>
          <cell r="T916" t="str">
            <v/>
          </cell>
          <cell r="U916" t="str">
            <v/>
          </cell>
          <cell r="W916" t="str">
            <v/>
          </cell>
          <cell r="X916" t="str">
            <v/>
          </cell>
          <cell r="AB916">
            <v>0</v>
          </cell>
          <cell r="AC916">
            <v>0</v>
          </cell>
          <cell r="AD916">
            <v>0</v>
          </cell>
          <cell r="AJ916">
            <v>0</v>
          </cell>
          <cell r="AK916">
            <v>0</v>
          </cell>
        </row>
        <row r="917">
          <cell r="B917" t="str">
            <v/>
          </cell>
          <cell r="H917" t="str">
            <v/>
          </cell>
          <cell r="J917" t="str">
            <v/>
          </cell>
          <cell r="N917" t="str">
            <v/>
          </cell>
          <cell r="O917" t="str">
            <v/>
          </cell>
          <cell r="P917" t="str">
            <v/>
          </cell>
          <cell r="Q917" t="str">
            <v/>
          </cell>
          <cell r="T917" t="str">
            <v/>
          </cell>
          <cell r="U917" t="str">
            <v/>
          </cell>
          <cell r="W917" t="str">
            <v/>
          </cell>
          <cell r="X917" t="str">
            <v/>
          </cell>
          <cell r="AB917">
            <v>0</v>
          </cell>
          <cell r="AC917">
            <v>0</v>
          </cell>
          <cell r="AD917">
            <v>0</v>
          </cell>
          <cell r="AJ917">
            <v>0</v>
          </cell>
          <cell r="AK917">
            <v>0</v>
          </cell>
        </row>
        <row r="918">
          <cell r="B918" t="str">
            <v/>
          </cell>
          <cell r="H918" t="str">
            <v/>
          </cell>
          <cell r="J918" t="str">
            <v/>
          </cell>
          <cell r="N918" t="str">
            <v/>
          </cell>
          <cell r="O918" t="str">
            <v/>
          </cell>
          <cell r="P918" t="str">
            <v/>
          </cell>
          <cell r="Q918" t="str">
            <v/>
          </cell>
          <cell r="T918" t="str">
            <v/>
          </cell>
          <cell r="U918" t="str">
            <v/>
          </cell>
          <cell r="W918" t="str">
            <v/>
          </cell>
          <cell r="X918" t="str">
            <v/>
          </cell>
          <cell r="AB918">
            <v>0</v>
          </cell>
          <cell r="AC918">
            <v>0</v>
          </cell>
          <cell r="AD918">
            <v>0</v>
          </cell>
          <cell r="AJ918">
            <v>0</v>
          </cell>
          <cell r="AK918">
            <v>0</v>
          </cell>
        </row>
        <row r="919">
          <cell r="B919" t="str">
            <v/>
          </cell>
          <cell r="H919" t="str">
            <v/>
          </cell>
          <cell r="J919" t="str">
            <v/>
          </cell>
          <cell r="N919" t="str">
            <v/>
          </cell>
          <cell r="O919" t="str">
            <v/>
          </cell>
          <cell r="P919" t="str">
            <v/>
          </cell>
          <cell r="Q919" t="str">
            <v/>
          </cell>
          <cell r="T919" t="str">
            <v/>
          </cell>
          <cell r="U919" t="str">
            <v/>
          </cell>
          <cell r="W919" t="str">
            <v/>
          </cell>
          <cell r="X919" t="str">
            <v/>
          </cell>
          <cell r="AB919">
            <v>0</v>
          </cell>
          <cell r="AC919">
            <v>0</v>
          </cell>
          <cell r="AD919">
            <v>0</v>
          </cell>
          <cell r="AJ919">
            <v>0</v>
          </cell>
          <cell r="AK919">
            <v>0</v>
          </cell>
        </row>
        <row r="920">
          <cell r="B920" t="str">
            <v/>
          </cell>
          <cell r="H920" t="str">
            <v/>
          </cell>
          <cell r="J920" t="str">
            <v/>
          </cell>
          <cell r="N920" t="str">
            <v/>
          </cell>
          <cell r="O920" t="str">
            <v/>
          </cell>
          <cell r="P920" t="str">
            <v/>
          </cell>
          <cell r="Q920" t="str">
            <v/>
          </cell>
          <cell r="T920" t="str">
            <v/>
          </cell>
          <cell r="U920" t="str">
            <v/>
          </cell>
          <cell r="W920" t="str">
            <v/>
          </cell>
          <cell r="X920" t="str">
            <v/>
          </cell>
          <cell r="AB920">
            <v>0</v>
          </cell>
          <cell r="AC920">
            <v>0</v>
          </cell>
          <cell r="AD920">
            <v>0</v>
          </cell>
          <cell r="AJ920">
            <v>0</v>
          </cell>
          <cell r="AK920">
            <v>0</v>
          </cell>
        </row>
        <row r="921">
          <cell r="B921" t="str">
            <v/>
          </cell>
          <cell r="H921" t="str">
            <v/>
          </cell>
          <cell r="J921" t="str">
            <v/>
          </cell>
          <cell r="N921" t="str">
            <v/>
          </cell>
          <cell r="O921" t="str">
            <v/>
          </cell>
          <cell r="P921" t="str">
            <v/>
          </cell>
          <cell r="Q921" t="str">
            <v/>
          </cell>
          <cell r="T921" t="str">
            <v/>
          </cell>
          <cell r="U921" t="str">
            <v/>
          </cell>
          <cell r="W921" t="str">
            <v/>
          </cell>
          <cell r="X921" t="str">
            <v/>
          </cell>
          <cell r="AB921">
            <v>0</v>
          </cell>
          <cell r="AC921">
            <v>0</v>
          </cell>
          <cell r="AD921">
            <v>0</v>
          </cell>
          <cell r="AJ921">
            <v>0</v>
          </cell>
          <cell r="AK921">
            <v>0</v>
          </cell>
        </row>
        <row r="922">
          <cell r="B922" t="str">
            <v/>
          </cell>
          <cell r="H922" t="str">
            <v/>
          </cell>
          <cell r="J922" t="str">
            <v/>
          </cell>
          <cell r="N922" t="str">
            <v/>
          </cell>
          <cell r="O922" t="str">
            <v/>
          </cell>
          <cell r="P922" t="str">
            <v/>
          </cell>
          <cell r="Q922" t="str">
            <v/>
          </cell>
          <cell r="T922" t="str">
            <v/>
          </cell>
          <cell r="U922" t="str">
            <v/>
          </cell>
          <cell r="W922" t="str">
            <v/>
          </cell>
          <cell r="X922" t="str">
            <v/>
          </cell>
          <cell r="AB922">
            <v>0</v>
          </cell>
          <cell r="AC922">
            <v>0</v>
          </cell>
          <cell r="AD922">
            <v>0</v>
          </cell>
          <cell r="AJ922">
            <v>0</v>
          </cell>
          <cell r="AK922">
            <v>0</v>
          </cell>
        </row>
        <row r="923">
          <cell r="B923" t="str">
            <v/>
          </cell>
          <cell r="H923" t="str">
            <v/>
          </cell>
          <cell r="J923" t="str">
            <v/>
          </cell>
          <cell r="N923" t="str">
            <v/>
          </cell>
          <cell r="O923" t="str">
            <v/>
          </cell>
          <cell r="P923" t="str">
            <v/>
          </cell>
          <cell r="Q923" t="str">
            <v/>
          </cell>
          <cell r="T923" t="str">
            <v/>
          </cell>
          <cell r="U923" t="str">
            <v/>
          </cell>
          <cell r="W923" t="str">
            <v/>
          </cell>
          <cell r="X923" t="str">
            <v/>
          </cell>
          <cell r="AB923">
            <v>0</v>
          </cell>
          <cell r="AC923">
            <v>0</v>
          </cell>
          <cell r="AD923">
            <v>0</v>
          </cell>
          <cell r="AJ923">
            <v>0</v>
          </cell>
          <cell r="AK923">
            <v>0</v>
          </cell>
        </row>
        <row r="924">
          <cell r="B924" t="str">
            <v/>
          </cell>
          <cell r="H924" t="str">
            <v/>
          </cell>
          <cell r="J924" t="str">
            <v/>
          </cell>
          <cell r="N924" t="str">
            <v/>
          </cell>
          <cell r="O924" t="str">
            <v/>
          </cell>
          <cell r="P924" t="str">
            <v/>
          </cell>
          <cell r="Q924" t="str">
            <v/>
          </cell>
          <cell r="T924" t="str">
            <v/>
          </cell>
          <cell r="U924" t="str">
            <v/>
          </cell>
          <cell r="W924" t="str">
            <v/>
          </cell>
          <cell r="X924" t="str">
            <v/>
          </cell>
          <cell r="AB924">
            <v>0</v>
          </cell>
          <cell r="AC924">
            <v>0</v>
          </cell>
          <cell r="AD924">
            <v>0</v>
          </cell>
          <cell r="AJ924">
            <v>0</v>
          </cell>
          <cell r="AK924">
            <v>0</v>
          </cell>
        </row>
        <row r="925">
          <cell r="B925" t="str">
            <v/>
          </cell>
          <cell r="H925" t="str">
            <v/>
          </cell>
          <cell r="J925" t="str">
            <v/>
          </cell>
          <cell r="N925" t="str">
            <v/>
          </cell>
          <cell r="O925" t="str">
            <v/>
          </cell>
          <cell r="P925" t="str">
            <v/>
          </cell>
          <cell r="Q925" t="str">
            <v/>
          </cell>
          <cell r="T925" t="str">
            <v/>
          </cell>
          <cell r="U925" t="str">
            <v/>
          </cell>
          <cell r="W925" t="str">
            <v/>
          </cell>
          <cell r="X925" t="str">
            <v/>
          </cell>
          <cell r="AB925">
            <v>0</v>
          </cell>
          <cell r="AC925">
            <v>0</v>
          </cell>
          <cell r="AD925">
            <v>0</v>
          </cell>
          <cell r="AJ925">
            <v>0</v>
          </cell>
          <cell r="AK925">
            <v>0</v>
          </cell>
        </row>
        <row r="926">
          <cell r="B926" t="str">
            <v/>
          </cell>
          <cell r="H926" t="str">
            <v/>
          </cell>
          <cell r="J926" t="str">
            <v/>
          </cell>
          <cell r="N926" t="str">
            <v/>
          </cell>
          <cell r="O926" t="str">
            <v/>
          </cell>
          <cell r="P926" t="str">
            <v/>
          </cell>
          <cell r="Q926" t="str">
            <v/>
          </cell>
          <cell r="T926" t="str">
            <v/>
          </cell>
          <cell r="U926" t="str">
            <v/>
          </cell>
          <cell r="W926" t="str">
            <v/>
          </cell>
          <cell r="X926" t="str">
            <v/>
          </cell>
          <cell r="AB926">
            <v>0</v>
          </cell>
          <cell r="AC926">
            <v>0</v>
          </cell>
          <cell r="AD926">
            <v>0</v>
          </cell>
          <cell r="AJ926">
            <v>0</v>
          </cell>
          <cell r="AK926">
            <v>0</v>
          </cell>
        </row>
        <row r="927">
          <cell r="B927" t="str">
            <v/>
          </cell>
          <cell r="H927" t="str">
            <v/>
          </cell>
          <cell r="J927" t="str">
            <v/>
          </cell>
          <cell r="N927" t="str">
            <v/>
          </cell>
          <cell r="O927" t="str">
            <v/>
          </cell>
          <cell r="P927" t="str">
            <v/>
          </cell>
          <cell r="Q927" t="str">
            <v/>
          </cell>
          <cell r="T927" t="str">
            <v/>
          </cell>
          <cell r="U927" t="str">
            <v/>
          </cell>
          <cell r="W927" t="str">
            <v/>
          </cell>
          <cell r="X927" t="str">
            <v/>
          </cell>
          <cell r="AB927">
            <v>0</v>
          </cell>
          <cell r="AC927">
            <v>0</v>
          </cell>
          <cell r="AD927">
            <v>0</v>
          </cell>
          <cell r="AJ927">
            <v>0</v>
          </cell>
          <cell r="AK927">
            <v>0</v>
          </cell>
        </row>
        <row r="928">
          <cell r="B928" t="str">
            <v/>
          </cell>
          <cell r="H928" t="str">
            <v/>
          </cell>
          <cell r="J928" t="str">
            <v/>
          </cell>
          <cell r="N928" t="str">
            <v/>
          </cell>
          <cell r="O928" t="str">
            <v/>
          </cell>
          <cell r="P928" t="str">
            <v/>
          </cell>
          <cell r="Q928" t="str">
            <v/>
          </cell>
          <cell r="T928" t="str">
            <v/>
          </cell>
          <cell r="U928" t="str">
            <v/>
          </cell>
          <cell r="W928" t="str">
            <v/>
          </cell>
          <cell r="X928" t="str">
            <v/>
          </cell>
          <cell r="AB928">
            <v>0</v>
          </cell>
          <cell r="AC928">
            <v>0</v>
          </cell>
          <cell r="AD928">
            <v>0</v>
          </cell>
          <cell r="AJ928">
            <v>0</v>
          </cell>
          <cell r="AK928">
            <v>0</v>
          </cell>
        </row>
        <row r="929">
          <cell r="B929" t="str">
            <v/>
          </cell>
          <cell r="H929" t="str">
            <v/>
          </cell>
          <cell r="J929" t="str">
            <v/>
          </cell>
          <cell r="N929" t="str">
            <v/>
          </cell>
          <cell r="O929" t="str">
            <v/>
          </cell>
          <cell r="P929" t="str">
            <v/>
          </cell>
          <cell r="Q929" t="str">
            <v/>
          </cell>
          <cell r="T929" t="str">
            <v/>
          </cell>
          <cell r="U929" t="str">
            <v/>
          </cell>
          <cell r="W929" t="str">
            <v/>
          </cell>
          <cell r="X929" t="str">
            <v/>
          </cell>
          <cell r="AB929">
            <v>0</v>
          </cell>
          <cell r="AC929">
            <v>0</v>
          </cell>
          <cell r="AD929">
            <v>0</v>
          </cell>
          <cell r="AJ929">
            <v>0</v>
          </cell>
          <cell r="AK929">
            <v>0</v>
          </cell>
        </row>
        <row r="930">
          <cell r="B930" t="str">
            <v/>
          </cell>
          <cell r="H930" t="str">
            <v/>
          </cell>
          <cell r="J930" t="str">
            <v/>
          </cell>
          <cell r="N930" t="str">
            <v/>
          </cell>
          <cell r="O930" t="str">
            <v/>
          </cell>
          <cell r="P930" t="str">
            <v/>
          </cell>
          <cell r="Q930" t="str">
            <v/>
          </cell>
          <cell r="T930" t="str">
            <v/>
          </cell>
          <cell r="U930" t="str">
            <v/>
          </cell>
          <cell r="W930" t="str">
            <v/>
          </cell>
          <cell r="X930" t="str">
            <v/>
          </cell>
          <cell r="AB930">
            <v>0</v>
          </cell>
          <cell r="AC930">
            <v>0</v>
          </cell>
          <cell r="AD930">
            <v>0</v>
          </cell>
          <cell r="AJ930">
            <v>0</v>
          </cell>
          <cell r="AK930">
            <v>0</v>
          </cell>
        </row>
        <row r="931">
          <cell r="B931" t="str">
            <v/>
          </cell>
          <cell r="H931" t="str">
            <v/>
          </cell>
          <cell r="J931" t="str">
            <v/>
          </cell>
          <cell r="N931" t="str">
            <v/>
          </cell>
          <cell r="O931" t="str">
            <v/>
          </cell>
          <cell r="P931" t="str">
            <v/>
          </cell>
          <cell r="Q931" t="str">
            <v/>
          </cell>
          <cell r="T931" t="str">
            <v/>
          </cell>
          <cell r="U931" t="str">
            <v/>
          </cell>
          <cell r="W931" t="str">
            <v/>
          </cell>
          <cell r="X931" t="str">
            <v/>
          </cell>
          <cell r="AB931">
            <v>0</v>
          </cell>
          <cell r="AC931">
            <v>0</v>
          </cell>
          <cell r="AD931">
            <v>0</v>
          </cell>
          <cell r="AJ931">
            <v>0</v>
          </cell>
          <cell r="AK931">
            <v>0</v>
          </cell>
        </row>
        <row r="932">
          <cell r="B932" t="str">
            <v/>
          </cell>
          <cell r="H932" t="str">
            <v/>
          </cell>
          <cell r="J932" t="str">
            <v/>
          </cell>
          <cell r="N932" t="str">
            <v/>
          </cell>
          <cell r="O932" t="str">
            <v/>
          </cell>
          <cell r="P932" t="str">
            <v/>
          </cell>
          <cell r="Q932" t="str">
            <v/>
          </cell>
          <cell r="T932" t="str">
            <v/>
          </cell>
          <cell r="U932" t="str">
            <v/>
          </cell>
          <cell r="W932" t="str">
            <v/>
          </cell>
          <cell r="X932" t="str">
            <v/>
          </cell>
          <cell r="AB932">
            <v>0</v>
          </cell>
          <cell r="AC932">
            <v>0</v>
          </cell>
          <cell r="AD932">
            <v>0</v>
          </cell>
          <cell r="AJ932">
            <v>0</v>
          </cell>
          <cell r="AK932">
            <v>0</v>
          </cell>
        </row>
        <row r="933">
          <cell r="B933" t="str">
            <v/>
          </cell>
          <cell r="H933" t="str">
            <v/>
          </cell>
          <cell r="J933" t="str">
            <v/>
          </cell>
          <cell r="N933" t="str">
            <v/>
          </cell>
          <cell r="O933" t="str">
            <v/>
          </cell>
          <cell r="P933" t="str">
            <v/>
          </cell>
          <cell r="Q933" t="str">
            <v/>
          </cell>
          <cell r="T933" t="str">
            <v/>
          </cell>
          <cell r="U933" t="str">
            <v/>
          </cell>
          <cell r="W933" t="str">
            <v/>
          </cell>
          <cell r="X933" t="str">
            <v/>
          </cell>
          <cell r="AB933">
            <v>0</v>
          </cell>
          <cell r="AC933">
            <v>0</v>
          </cell>
          <cell r="AD933">
            <v>0</v>
          </cell>
          <cell r="AJ933">
            <v>0</v>
          </cell>
          <cell r="AK933">
            <v>0</v>
          </cell>
        </row>
        <row r="934">
          <cell r="B934" t="str">
            <v/>
          </cell>
          <cell r="H934" t="str">
            <v/>
          </cell>
          <cell r="J934" t="str">
            <v/>
          </cell>
          <cell r="N934" t="str">
            <v/>
          </cell>
          <cell r="O934" t="str">
            <v/>
          </cell>
          <cell r="P934" t="str">
            <v/>
          </cell>
          <cell r="Q934" t="str">
            <v/>
          </cell>
          <cell r="T934" t="str">
            <v/>
          </cell>
          <cell r="U934" t="str">
            <v/>
          </cell>
          <cell r="W934" t="str">
            <v/>
          </cell>
          <cell r="X934" t="str">
            <v/>
          </cell>
          <cell r="AB934">
            <v>0</v>
          </cell>
          <cell r="AC934">
            <v>0</v>
          </cell>
          <cell r="AD934">
            <v>0</v>
          </cell>
          <cell r="AJ934">
            <v>0</v>
          </cell>
          <cell r="AK934">
            <v>0</v>
          </cell>
        </row>
        <row r="935">
          <cell r="B935" t="str">
            <v/>
          </cell>
          <cell r="H935" t="str">
            <v/>
          </cell>
          <cell r="J935" t="str">
            <v/>
          </cell>
          <cell r="N935" t="str">
            <v/>
          </cell>
          <cell r="O935" t="str">
            <v/>
          </cell>
          <cell r="P935" t="str">
            <v/>
          </cell>
          <cell r="Q935" t="str">
            <v/>
          </cell>
          <cell r="T935" t="str">
            <v/>
          </cell>
          <cell r="U935" t="str">
            <v/>
          </cell>
          <cell r="W935" t="str">
            <v/>
          </cell>
          <cell r="X935" t="str">
            <v/>
          </cell>
          <cell r="AB935">
            <v>0</v>
          </cell>
          <cell r="AC935">
            <v>0</v>
          </cell>
          <cell r="AD935">
            <v>0</v>
          </cell>
          <cell r="AJ935">
            <v>0</v>
          </cell>
          <cell r="AK935">
            <v>0</v>
          </cell>
        </row>
        <row r="936">
          <cell r="B936" t="str">
            <v/>
          </cell>
          <cell r="H936" t="str">
            <v/>
          </cell>
          <cell r="J936" t="str">
            <v/>
          </cell>
          <cell r="N936" t="str">
            <v/>
          </cell>
          <cell r="O936" t="str">
            <v/>
          </cell>
          <cell r="P936" t="str">
            <v/>
          </cell>
          <cell r="Q936" t="str">
            <v/>
          </cell>
          <cell r="T936" t="str">
            <v/>
          </cell>
          <cell r="U936" t="str">
            <v/>
          </cell>
          <cell r="W936" t="str">
            <v/>
          </cell>
          <cell r="X936" t="str">
            <v/>
          </cell>
          <cell r="AB936">
            <v>0</v>
          </cell>
          <cell r="AC936">
            <v>0</v>
          </cell>
          <cell r="AD936">
            <v>0</v>
          </cell>
          <cell r="AJ936">
            <v>0</v>
          </cell>
          <cell r="AK936">
            <v>0</v>
          </cell>
        </row>
        <row r="937">
          <cell r="B937" t="str">
            <v/>
          </cell>
          <cell r="H937" t="str">
            <v/>
          </cell>
          <cell r="J937" t="str">
            <v/>
          </cell>
          <cell r="N937" t="str">
            <v/>
          </cell>
          <cell r="O937" t="str">
            <v/>
          </cell>
          <cell r="P937" t="str">
            <v/>
          </cell>
          <cell r="Q937" t="str">
            <v/>
          </cell>
          <cell r="T937" t="str">
            <v/>
          </cell>
          <cell r="U937" t="str">
            <v/>
          </cell>
          <cell r="W937" t="str">
            <v/>
          </cell>
          <cell r="X937" t="str">
            <v/>
          </cell>
          <cell r="AB937">
            <v>0</v>
          </cell>
          <cell r="AC937">
            <v>0</v>
          </cell>
          <cell r="AD937">
            <v>0</v>
          </cell>
          <cell r="AJ937">
            <v>0</v>
          </cell>
          <cell r="AK937">
            <v>0</v>
          </cell>
        </row>
        <row r="938">
          <cell r="B938" t="str">
            <v/>
          </cell>
          <cell r="H938" t="str">
            <v/>
          </cell>
          <cell r="J938" t="str">
            <v/>
          </cell>
          <cell r="N938" t="str">
            <v/>
          </cell>
          <cell r="O938" t="str">
            <v/>
          </cell>
          <cell r="P938" t="str">
            <v/>
          </cell>
          <cell r="Q938" t="str">
            <v/>
          </cell>
          <cell r="T938" t="str">
            <v/>
          </cell>
          <cell r="U938" t="str">
            <v/>
          </cell>
          <cell r="W938" t="str">
            <v/>
          </cell>
          <cell r="X938" t="str">
            <v/>
          </cell>
          <cell r="AB938">
            <v>0</v>
          </cell>
          <cell r="AC938">
            <v>0</v>
          </cell>
          <cell r="AD938">
            <v>0</v>
          </cell>
          <cell r="AJ938">
            <v>0</v>
          </cell>
          <cell r="AK938">
            <v>0</v>
          </cell>
        </row>
        <row r="939">
          <cell r="B939" t="str">
            <v/>
          </cell>
          <cell r="H939" t="str">
            <v/>
          </cell>
          <cell r="J939" t="str">
            <v/>
          </cell>
          <cell r="N939" t="str">
            <v/>
          </cell>
          <cell r="O939" t="str">
            <v/>
          </cell>
          <cell r="P939" t="str">
            <v/>
          </cell>
          <cell r="Q939" t="str">
            <v/>
          </cell>
          <cell r="T939" t="str">
            <v/>
          </cell>
          <cell r="U939" t="str">
            <v/>
          </cell>
          <cell r="W939" t="str">
            <v/>
          </cell>
          <cell r="X939" t="str">
            <v/>
          </cell>
          <cell r="AB939">
            <v>0</v>
          </cell>
          <cell r="AC939">
            <v>0</v>
          </cell>
          <cell r="AD939">
            <v>0</v>
          </cell>
          <cell r="AJ939">
            <v>0</v>
          </cell>
          <cell r="AK939">
            <v>0</v>
          </cell>
        </row>
        <row r="940">
          <cell r="B940" t="str">
            <v/>
          </cell>
          <cell r="H940" t="str">
            <v/>
          </cell>
          <cell r="J940" t="str">
            <v/>
          </cell>
          <cell r="N940" t="str">
            <v/>
          </cell>
          <cell r="O940" t="str">
            <v/>
          </cell>
          <cell r="P940" t="str">
            <v/>
          </cell>
          <cell r="Q940" t="str">
            <v/>
          </cell>
          <cell r="T940" t="str">
            <v/>
          </cell>
          <cell r="U940" t="str">
            <v/>
          </cell>
          <cell r="W940" t="str">
            <v/>
          </cell>
          <cell r="X940" t="str">
            <v/>
          </cell>
          <cell r="AB940">
            <v>0</v>
          </cell>
          <cell r="AC940">
            <v>0</v>
          </cell>
          <cell r="AD940">
            <v>0</v>
          </cell>
          <cell r="AJ940">
            <v>0</v>
          </cell>
          <cell r="AK940">
            <v>0</v>
          </cell>
        </row>
        <row r="941">
          <cell r="B941" t="str">
            <v/>
          </cell>
          <cell r="H941" t="str">
            <v/>
          </cell>
          <cell r="J941" t="str">
            <v/>
          </cell>
          <cell r="N941" t="str">
            <v/>
          </cell>
          <cell r="O941" t="str">
            <v/>
          </cell>
          <cell r="P941" t="str">
            <v/>
          </cell>
          <cell r="Q941" t="str">
            <v/>
          </cell>
          <cell r="T941" t="str">
            <v/>
          </cell>
          <cell r="U941" t="str">
            <v/>
          </cell>
          <cell r="W941" t="str">
            <v/>
          </cell>
          <cell r="X941" t="str">
            <v/>
          </cell>
          <cell r="AB941">
            <v>0</v>
          </cell>
          <cell r="AC941">
            <v>0</v>
          </cell>
          <cell r="AD941">
            <v>0</v>
          </cell>
          <cell r="AJ941">
            <v>0</v>
          </cell>
          <cell r="AK941">
            <v>0</v>
          </cell>
        </row>
        <row r="942">
          <cell r="B942" t="str">
            <v/>
          </cell>
          <cell r="H942" t="str">
            <v/>
          </cell>
          <cell r="J942" t="str">
            <v/>
          </cell>
          <cell r="N942" t="str">
            <v/>
          </cell>
          <cell r="O942" t="str">
            <v/>
          </cell>
          <cell r="P942" t="str">
            <v/>
          </cell>
          <cell r="Q942" t="str">
            <v/>
          </cell>
          <cell r="T942" t="str">
            <v/>
          </cell>
          <cell r="U942" t="str">
            <v/>
          </cell>
          <cell r="W942" t="str">
            <v/>
          </cell>
          <cell r="X942" t="str">
            <v/>
          </cell>
          <cell r="AB942">
            <v>0</v>
          </cell>
          <cell r="AC942">
            <v>0</v>
          </cell>
          <cell r="AD942">
            <v>0</v>
          </cell>
          <cell r="AJ942">
            <v>0</v>
          </cell>
          <cell r="AK942">
            <v>0</v>
          </cell>
        </row>
        <row r="943">
          <cell r="B943" t="str">
            <v/>
          </cell>
          <cell r="H943" t="str">
            <v/>
          </cell>
          <cell r="J943" t="str">
            <v/>
          </cell>
          <cell r="N943" t="str">
            <v/>
          </cell>
          <cell r="O943" t="str">
            <v/>
          </cell>
          <cell r="P943" t="str">
            <v/>
          </cell>
          <cell r="Q943" t="str">
            <v/>
          </cell>
          <cell r="T943" t="str">
            <v/>
          </cell>
          <cell r="U943" t="str">
            <v/>
          </cell>
          <cell r="W943" t="str">
            <v/>
          </cell>
          <cell r="X943" t="str">
            <v/>
          </cell>
          <cell r="AB943">
            <v>0</v>
          </cell>
          <cell r="AC943">
            <v>0</v>
          </cell>
          <cell r="AD943">
            <v>0</v>
          </cell>
          <cell r="AJ943">
            <v>0</v>
          </cell>
          <cell r="AK943">
            <v>0</v>
          </cell>
        </row>
        <row r="944">
          <cell r="B944" t="str">
            <v/>
          </cell>
          <cell r="H944" t="str">
            <v/>
          </cell>
          <cell r="J944" t="str">
            <v/>
          </cell>
          <cell r="N944" t="str">
            <v/>
          </cell>
          <cell r="O944" t="str">
            <v/>
          </cell>
          <cell r="P944" t="str">
            <v/>
          </cell>
          <cell r="Q944" t="str">
            <v/>
          </cell>
          <cell r="T944" t="str">
            <v/>
          </cell>
          <cell r="U944" t="str">
            <v/>
          </cell>
          <cell r="W944" t="str">
            <v/>
          </cell>
          <cell r="X944" t="str">
            <v/>
          </cell>
          <cell r="AB944">
            <v>0</v>
          </cell>
          <cell r="AC944">
            <v>0</v>
          </cell>
          <cell r="AD944">
            <v>0</v>
          </cell>
          <cell r="AJ944">
            <v>0</v>
          </cell>
          <cell r="AK944">
            <v>0</v>
          </cell>
        </row>
        <row r="945">
          <cell r="B945" t="str">
            <v/>
          </cell>
          <cell r="H945" t="str">
            <v/>
          </cell>
          <cell r="J945" t="str">
            <v/>
          </cell>
          <cell r="N945" t="str">
            <v/>
          </cell>
          <cell r="O945" t="str">
            <v/>
          </cell>
          <cell r="P945" t="str">
            <v/>
          </cell>
          <cell r="Q945" t="str">
            <v/>
          </cell>
          <cell r="T945" t="str">
            <v/>
          </cell>
          <cell r="U945" t="str">
            <v/>
          </cell>
          <cell r="W945" t="str">
            <v/>
          </cell>
          <cell r="X945" t="str">
            <v/>
          </cell>
          <cell r="AB945">
            <v>0</v>
          </cell>
          <cell r="AC945">
            <v>0</v>
          </cell>
          <cell r="AD945">
            <v>0</v>
          </cell>
          <cell r="AJ945">
            <v>0</v>
          </cell>
          <cell r="AK945">
            <v>0</v>
          </cell>
        </row>
        <row r="946">
          <cell r="B946" t="str">
            <v/>
          </cell>
          <cell r="H946" t="str">
            <v/>
          </cell>
          <cell r="J946" t="str">
            <v/>
          </cell>
          <cell r="N946" t="str">
            <v/>
          </cell>
          <cell r="O946" t="str">
            <v/>
          </cell>
          <cell r="P946" t="str">
            <v/>
          </cell>
          <cell r="Q946" t="str">
            <v/>
          </cell>
          <cell r="T946" t="str">
            <v/>
          </cell>
          <cell r="U946" t="str">
            <v/>
          </cell>
          <cell r="W946" t="str">
            <v/>
          </cell>
          <cell r="X946" t="str">
            <v/>
          </cell>
          <cell r="AB946">
            <v>0</v>
          </cell>
          <cell r="AC946">
            <v>0</v>
          </cell>
          <cell r="AD946">
            <v>0</v>
          </cell>
          <cell r="AJ946">
            <v>0</v>
          </cell>
          <cell r="AK946">
            <v>0</v>
          </cell>
        </row>
        <row r="947">
          <cell r="B947" t="str">
            <v/>
          </cell>
          <cell r="H947" t="str">
            <v/>
          </cell>
          <cell r="J947" t="str">
            <v/>
          </cell>
          <cell r="N947" t="str">
            <v/>
          </cell>
          <cell r="O947" t="str">
            <v/>
          </cell>
          <cell r="P947" t="str">
            <v/>
          </cell>
          <cell r="Q947" t="str">
            <v/>
          </cell>
          <cell r="T947" t="str">
            <v/>
          </cell>
          <cell r="U947" t="str">
            <v/>
          </cell>
          <cell r="W947" t="str">
            <v/>
          </cell>
          <cell r="X947" t="str">
            <v/>
          </cell>
          <cell r="AB947">
            <v>0</v>
          </cell>
          <cell r="AC947">
            <v>0</v>
          </cell>
          <cell r="AD947">
            <v>0</v>
          </cell>
          <cell r="AJ947">
            <v>0</v>
          </cell>
          <cell r="AK947">
            <v>0</v>
          </cell>
        </row>
        <row r="948">
          <cell r="B948" t="str">
            <v/>
          </cell>
          <cell r="H948" t="str">
            <v/>
          </cell>
          <cell r="J948" t="str">
            <v/>
          </cell>
          <cell r="N948" t="str">
            <v/>
          </cell>
          <cell r="O948" t="str">
            <v/>
          </cell>
          <cell r="P948" t="str">
            <v/>
          </cell>
          <cell r="Q948" t="str">
            <v/>
          </cell>
          <cell r="T948" t="str">
            <v/>
          </cell>
          <cell r="U948" t="str">
            <v/>
          </cell>
          <cell r="W948" t="str">
            <v/>
          </cell>
          <cell r="X948" t="str">
            <v/>
          </cell>
          <cell r="AB948">
            <v>0</v>
          </cell>
          <cell r="AC948">
            <v>0</v>
          </cell>
          <cell r="AD948">
            <v>0</v>
          </cell>
          <cell r="AJ948">
            <v>0</v>
          </cell>
          <cell r="AK948">
            <v>0</v>
          </cell>
        </row>
        <row r="949">
          <cell r="B949" t="str">
            <v/>
          </cell>
          <cell r="H949" t="str">
            <v/>
          </cell>
          <cell r="J949" t="str">
            <v/>
          </cell>
          <cell r="N949" t="str">
            <v/>
          </cell>
          <cell r="O949" t="str">
            <v/>
          </cell>
          <cell r="P949" t="str">
            <v/>
          </cell>
          <cell r="Q949" t="str">
            <v/>
          </cell>
          <cell r="T949" t="str">
            <v/>
          </cell>
          <cell r="U949" t="str">
            <v/>
          </cell>
          <cell r="W949" t="str">
            <v/>
          </cell>
          <cell r="X949" t="str">
            <v/>
          </cell>
          <cell r="AB949">
            <v>0</v>
          </cell>
          <cell r="AC949">
            <v>0</v>
          </cell>
          <cell r="AD949">
            <v>0</v>
          </cell>
          <cell r="AJ949">
            <v>0</v>
          </cell>
          <cell r="AK949">
            <v>0</v>
          </cell>
        </row>
        <row r="950">
          <cell r="B950" t="str">
            <v/>
          </cell>
          <cell r="H950" t="str">
            <v/>
          </cell>
          <cell r="J950" t="str">
            <v/>
          </cell>
          <cell r="N950" t="str">
            <v/>
          </cell>
          <cell r="O950" t="str">
            <v/>
          </cell>
          <cell r="P950" t="str">
            <v/>
          </cell>
          <cell r="Q950" t="str">
            <v/>
          </cell>
          <cell r="T950" t="str">
            <v/>
          </cell>
          <cell r="U950" t="str">
            <v/>
          </cell>
          <cell r="W950" t="str">
            <v/>
          </cell>
          <cell r="X950" t="str">
            <v/>
          </cell>
          <cell r="AB950">
            <v>0</v>
          </cell>
          <cell r="AC950">
            <v>0</v>
          </cell>
          <cell r="AD950">
            <v>0</v>
          </cell>
          <cell r="AJ950">
            <v>0</v>
          </cell>
          <cell r="AK950">
            <v>0</v>
          </cell>
        </row>
        <row r="951">
          <cell r="B951" t="str">
            <v/>
          </cell>
          <cell r="H951" t="str">
            <v/>
          </cell>
          <cell r="J951" t="str">
            <v/>
          </cell>
          <cell r="N951" t="str">
            <v/>
          </cell>
          <cell r="O951" t="str">
            <v/>
          </cell>
          <cell r="P951" t="str">
            <v/>
          </cell>
          <cell r="Q951" t="str">
            <v/>
          </cell>
          <cell r="T951" t="str">
            <v/>
          </cell>
          <cell r="U951" t="str">
            <v/>
          </cell>
          <cell r="W951" t="str">
            <v/>
          </cell>
          <cell r="X951" t="str">
            <v/>
          </cell>
          <cell r="AB951">
            <v>0</v>
          </cell>
          <cell r="AC951">
            <v>0</v>
          </cell>
          <cell r="AD951">
            <v>0</v>
          </cell>
          <cell r="AJ951">
            <v>0</v>
          </cell>
          <cell r="AK951">
            <v>0</v>
          </cell>
        </row>
        <row r="952">
          <cell r="B952" t="str">
            <v/>
          </cell>
          <cell r="H952" t="str">
            <v/>
          </cell>
          <cell r="J952" t="str">
            <v/>
          </cell>
          <cell r="N952" t="str">
            <v/>
          </cell>
          <cell r="O952" t="str">
            <v/>
          </cell>
          <cell r="P952" t="str">
            <v/>
          </cell>
          <cell r="Q952" t="str">
            <v/>
          </cell>
          <cell r="T952" t="str">
            <v/>
          </cell>
          <cell r="U952" t="str">
            <v/>
          </cell>
          <cell r="W952" t="str">
            <v/>
          </cell>
          <cell r="X952" t="str">
            <v/>
          </cell>
          <cell r="AB952">
            <v>0</v>
          </cell>
          <cell r="AC952">
            <v>0</v>
          </cell>
          <cell r="AD952">
            <v>0</v>
          </cell>
          <cell r="AJ952">
            <v>0</v>
          </cell>
          <cell r="AK952">
            <v>0</v>
          </cell>
        </row>
        <row r="953">
          <cell r="B953" t="str">
            <v/>
          </cell>
          <cell r="H953" t="str">
            <v/>
          </cell>
          <cell r="J953" t="str">
            <v/>
          </cell>
          <cell r="N953" t="str">
            <v/>
          </cell>
          <cell r="O953" t="str">
            <v/>
          </cell>
          <cell r="P953" t="str">
            <v/>
          </cell>
          <cell r="Q953" t="str">
            <v/>
          </cell>
          <cell r="T953" t="str">
            <v/>
          </cell>
          <cell r="U953" t="str">
            <v/>
          </cell>
          <cell r="W953" t="str">
            <v/>
          </cell>
          <cell r="X953" t="str">
            <v/>
          </cell>
          <cell r="AB953">
            <v>0</v>
          </cell>
          <cell r="AC953">
            <v>0</v>
          </cell>
          <cell r="AD953">
            <v>0</v>
          </cell>
          <cell r="AJ953">
            <v>0</v>
          </cell>
          <cell r="AK953">
            <v>0</v>
          </cell>
        </row>
        <row r="954">
          <cell r="B954" t="str">
            <v/>
          </cell>
          <cell r="H954" t="str">
            <v/>
          </cell>
          <cell r="J954" t="str">
            <v/>
          </cell>
          <cell r="N954" t="str">
            <v/>
          </cell>
          <cell r="O954" t="str">
            <v/>
          </cell>
          <cell r="P954" t="str">
            <v/>
          </cell>
          <cell r="Q954" t="str">
            <v/>
          </cell>
          <cell r="T954" t="str">
            <v/>
          </cell>
          <cell r="U954" t="str">
            <v/>
          </cell>
          <cell r="W954" t="str">
            <v/>
          </cell>
          <cell r="X954" t="str">
            <v/>
          </cell>
          <cell r="AB954">
            <v>0</v>
          </cell>
          <cell r="AC954">
            <v>0</v>
          </cell>
          <cell r="AD954">
            <v>0</v>
          </cell>
          <cell r="AJ954">
            <v>0</v>
          </cell>
          <cell r="AK954">
            <v>0</v>
          </cell>
        </row>
        <row r="955">
          <cell r="B955" t="str">
            <v/>
          </cell>
          <cell r="H955" t="str">
            <v/>
          </cell>
          <cell r="J955" t="str">
            <v/>
          </cell>
          <cell r="N955" t="str">
            <v/>
          </cell>
          <cell r="O955" t="str">
            <v/>
          </cell>
          <cell r="P955" t="str">
            <v/>
          </cell>
          <cell r="Q955" t="str">
            <v/>
          </cell>
          <cell r="T955" t="str">
            <v/>
          </cell>
          <cell r="U955" t="str">
            <v/>
          </cell>
          <cell r="W955" t="str">
            <v/>
          </cell>
          <cell r="X955" t="str">
            <v/>
          </cell>
          <cell r="AB955">
            <v>0</v>
          </cell>
          <cell r="AC955">
            <v>0</v>
          </cell>
          <cell r="AD955">
            <v>0</v>
          </cell>
          <cell r="AJ955">
            <v>0</v>
          </cell>
          <cell r="AK955">
            <v>0</v>
          </cell>
        </row>
        <row r="956">
          <cell r="B956" t="str">
            <v/>
          </cell>
          <cell r="H956" t="str">
            <v/>
          </cell>
          <cell r="J956" t="str">
            <v/>
          </cell>
          <cell r="N956" t="str">
            <v/>
          </cell>
          <cell r="O956" t="str">
            <v/>
          </cell>
          <cell r="P956" t="str">
            <v/>
          </cell>
          <cell r="Q956" t="str">
            <v/>
          </cell>
          <cell r="T956" t="str">
            <v/>
          </cell>
          <cell r="U956" t="str">
            <v/>
          </cell>
          <cell r="W956" t="str">
            <v/>
          </cell>
          <cell r="X956" t="str">
            <v/>
          </cell>
          <cell r="AB956">
            <v>0</v>
          </cell>
          <cell r="AC956">
            <v>0</v>
          </cell>
          <cell r="AD956">
            <v>0</v>
          </cell>
          <cell r="AJ956">
            <v>0</v>
          </cell>
          <cell r="AK956">
            <v>0</v>
          </cell>
        </row>
        <row r="957">
          <cell r="B957" t="str">
            <v/>
          </cell>
          <cell r="H957" t="str">
            <v/>
          </cell>
          <cell r="J957" t="str">
            <v/>
          </cell>
          <cell r="N957" t="str">
            <v/>
          </cell>
          <cell r="O957" t="str">
            <v/>
          </cell>
          <cell r="P957" t="str">
            <v/>
          </cell>
          <cell r="Q957" t="str">
            <v/>
          </cell>
          <cell r="T957" t="str">
            <v/>
          </cell>
          <cell r="U957" t="str">
            <v/>
          </cell>
          <cell r="W957" t="str">
            <v/>
          </cell>
          <cell r="X957" t="str">
            <v/>
          </cell>
          <cell r="AB957">
            <v>0</v>
          </cell>
          <cell r="AC957">
            <v>0</v>
          </cell>
          <cell r="AD957">
            <v>0</v>
          </cell>
          <cell r="AJ957">
            <v>0</v>
          </cell>
          <cell r="AK957">
            <v>0</v>
          </cell>
        </row>
        <row r="958">
          <cell r="B958" t="str">
            <v/>
          </cell>
          <cell r="H958" t="str">
            <v/>
          </cell>
          <cell r="J958" t="str">
            <v/>
          </cell>
          <cell r="N958" t="str">
            <v/>
          </cell>
          <cell r="O958" t="str">
            <v/>
          </cell>
          <cell r="P958" t="str">
            <v/>
          </cell>
          <cell r="Q958" t="str">
            <v/>
          </cell>
          <cell r="T958" t="str">
            <v/>
          </cell>
          <cell r="U958" t="str">
            <v/>
          </cell>
          <cell r="W958" t="str">
            <v/>
          </cell>
          <cell r="X958" t="str">
            <v/>
          </cell>
          <cell r="AB958">
            <v>0</v>
          </cell>
          <cell r="AC958">
            <v>0</v>
          </cell>
          <cell r="AD958">
            <v>0</v>
          </cell>
          <cell r="AJ958">
            <v>0</v>
          </cell>
          <cell r="AK958">
            <v>0</v>
          </cell>
        </row>
        <row r="959">
          <cell r="B959" t="str">
            <v/>
          </cell>
          <cell r="H959" t="str">
            <v/>
          </cell>
          <cell r="J959" t="str">
            <v/>
          </cell>
          <cell r="N959" t="str">
            <v/>
          </cell>
          <cell r="O959" t="str">
            <v/>
          </cell>
          <cell r="P959" t="str">
            <v/>
          </cell>
          <cell r="Q959" t="str">
            <v/>
          </cell>
          <cell r="T959" t="str">
            <v/>
          </cell>
          <cell r="U959" t="str">
            <v/>
          </cell>
          <cell r="W959" t="str">
            <v/>
          </cell>
          <cell r="X959" t="str">
            <v/>
          </cell>
          <cell r="AB959">
            <v>0</v>
          </cell>
          <cell r="AC959">
            <v>0</v>
          </cell>
          <cell r="AD959">
            <v>0</v>
          </cell>
          <cell r="AJ959">
            <v>0</v>
          </cell>
          <cell r="AK959">
            <v>0</v>
          </cell>
        </row>
        <row r="960">
          <cell r="B960" t="str">
            <v/>
          </cell>
          <cell r="H960" t="str">
            <v/>
          </cell>
          <cell r="J960" t="str">
            <v/>
          </cell>
          <cell r="N960" t="str">
            <v/>
          </cell>
          <cell r="O960" t="str">
            <v/>
          </cell>
          <cell r="P960" t="str">
            <v/>
          </cell>
          <cell r="Q960" t="str">
            <v/>
          </cell>
          <cell r="T960" t="str">
            <v/>
          </cell>
          <cell r="U960" t="str">
            <v/>
          </cell>
          <cell r="W960" t="str">
            <v/>
          </cell>
          <cell r="X960" t="str">
            <v/>
          </cell>
          <cell r="AB960">
            <v>0</v>
          </cell>
          <cell r="AC960">
            <v>0</v>
          </cell>
          <cell r="AD960">
            <v>0</v>
          </cell>
          <cell r="AJ960">
            <v>0</v>
          </cell>
          <cell r="AK960">
            <v>0</v>
          </cell>
        </row>
        <row r="961">
          <cell r="B961" t="str">
            <v/>
          </cell>
          <cell r="H961" t="str">
            <v/>
          </cell>
          <cell r="J961" t="str">
            <v/>
          </cell>
          <cell r="N961" t="str">
            <v/>
          </cell>
          <cell r="O961" t="str">
            <v/>
          </cell>
          <cell r="P961" t="str">
            <v/>
          </cell>
          <cell r="Q961" t="str">
            <v/>
          </cell>
          <cell r="T961" t="str">
            <v/>
          </cell>
          <cell r="U961" t="str">
            <v/>
          </cell>
          <cell r="W961" t="str">
            <v/>
          </cell>
          <cell r="X961" t="str">
            <v/>
          </cell>
          <cell r="AB961">
            <v>0</v>
          </cell>
          <cell r="AC961">
            <v>0</v>
          </cell>
          <cell r="AD961">
            <v>0</v>
          </cell>
          <cell r="AJ961">
            <v>0</v>
          </cell>
          <cell r="AK961">
            <v>0</v>
          </cell>
        </row>
        <row r="962">
          <cell r="B962" t="str">
            <v/>
          </cell>
          <cell r="H962" t="str">
            <v/>
          </cell>
          <cell r="J962" t="str">
            <v/>
          </cell>
          <cell r="N962" t="str">
            <v/>
          </cell>
          <cell r="O962" t="str">
            <v/>
          </cell>
          <cell r="P962" t="str">
            <v/>
          </cell>
          <cell r="Q962" t="str">
            <v/>
          </cell>
          <cell r="T962" t="str">
            <v/>
          </cell>
          <cell r="U962" t="str">
            <v/>
          </cell>
          <cell r="W962" t="str">
            <v/>
          </cell>
          <cell r="X962" t="str">
            <v/>
          </cell>
          <cell r="AB962">
            <v>0</v>
          </cell>
          <cell r="AC962">
            <v>0</v>
          </cell>
          <cell r="AD962">
            <v>0</v>
          </cell>
          <cell r="AJ962">
            <v>0</v>
          </cell>
          <cell r="AK962">
            <v>0</v>
          </cell>
        </row>
        <row r="963">
          <cell r="B963" t="str">
            <v/>
          </cell>
          <cell r="H963" t="str">
            <v/>
          </cell>
          <cell r="J963" t="str">
            <v/>
          </cell>
          <cell r="N963" t="str">
            <v/>
          </cell>
          <cell r="O963" t="str">
            <v/>
          </cell>
          <cell r="P963" t="str">
            <v/>
          </cell>
          <cell r="Q963" t="str">
            <v/>
          </cell>
          <cell r="T963" t="str">
            <v/>
          </cell>
          <cell r="U963" t="str">
            <v/>
          </cell>
          <cell r="W963" t="str">
            <v/>
          </cell>
          <cell r="X963" t="str">
            <v/>
          </cell>
          <cell r="AB963">
            <v>0</v>
          </cell>
          <cell r="AC963">
            <v>0</v>
          </cell>
          <cell r="AD963">
            <v>0</v>
          </cell>
          <cell r="AJ963">
            <v>0</v>
          </cell>
          <cell r="AK963">
            <v>0</v>
          </cell>
        </row>
        <row r="964">
          <cell r="B964" t="str">
            <v/>
          </cell>
          <cell r="H964" t="str">
            <v/>
          </cell>
          <cell r="J964" t="str">
            <v/>
          </cell>
          <cell r="N964" t="str">
            <v/>
          </cell>
          <cell r="O964" t="str">
            <v/>
          </cell>
          <cell r="P964" t="str">
            <v/>
          </cell>
          <cell r="Q964" t="str">
            <v/>
          </cell>
          <cell r="T964" t="str">
            <v/>
          </cell>
          <cell r="U964" t="str">
            <v/>
          </cell>
          <cell r="W964" t="str">
            <v/>
          </cell>
          <cell r="X964" t="str">
            <v/>
          </cell>
          <cell r="AB964">
            <v>0</v>
          </cell>
          <cell r="AC964">
            <v>0</v>
          </cell>
          <cell r="AD964">
            <v>0</v>
          </cell>
          <cell r="AJ964">
            <v>0</v>
          </cell>
          <cell r="AK964">
            <v>0</v>
          </cell>
        </row>
        <row r="965">
          <cell r="B965" t="str">
            <v/>
          </cell>
          <cell r="H965" t="str">
            <v/>
          </cell>
          <cell r="J965" t="str">
            <v/>
          </cell>
          <cell r="N965" t="str">
            <v/>
          </cell>
          <cell r="O965" t="str">
            <v/>
          </cell>
          <cell r="P965" t="str">
            <v/>
          </cell>
          <cell r="Q965" t="str">
            <v/>
          </cell>
          <cell r="T965" t="str">
            <v/>
          </cell>
          <cell r="U965" t="str">
            <v/>
          </cell>
          <cell r="W965" t="str">
            <v/>
          </cell>
          <cell r="X965" t="str">
            <v/>
          </cell>
          <cell r="AB965">
            <v>0</v>
          </cell>
          <cell r="AC965">
            <v>0</v>
          </cell>
          <cell r="AD965">
            <v>0</v>
          </cell>
          <cell r="AJ965">
            <v>0</v>
          </cell>
          <cell r="AK965">
            <v>0</v>
          </cell>
        </row>
        <row r="966">
          <cell r="B966" t="str">
            <v/>
          </cell>
          <cell r="H966" t="str">
            <v/>
          </cell>
          <cell r="J966" t="str">
            <v/>
          </cell>
          <cell r="N966" t="str">
            <v/>
          </cell>
          <cell r="O966" t="str">
            <v/>
          </cell>
          <cell r="P966" t="str">
            <v/>
          </cell>
          <cell r="Q966" t="str">
            <v/>
          </cell>
          <cell r="T966" t="str">
            <v/>
          </cell>
          <cell r="U966" t="str">
            <v/>
          </cell>
          <cell r="W966" t="str">
            <v/>
          </cell>
          <cell r="X966" t="str">
            <v/>
          </cell>
          <cell r="AB966">
            <v>0</v>
          </cell>
          <cell r="AC966">
            <v>0</v>
          </cell>
          <cell r="AD966">
            <v>0</v>
          </cell>
          <cell r="AJ966">
            <v>0</v>
          </cell>
          <cell r="AK966">
            <v>0</v>
          </cell>
        </row>
        <row r="967">
          <cell r="B967" t="str">
            <v/>
          </cell>
          <cell r="H967" t="str">
            <v/>
          </cell>
          <cell r="J967" t="str">
            <v/>
          </cell>
          <cell r="N967" t="str">
            <v/>
          </cell>
          <cell r="O967" t="str">
            <v/>
          </cell>
          <cell r="P967" t="str">
            <v/>
          </cell>
          <cell r="Q967" t="str">
            <v/>
          </cell>
          <cell r="T967" t="str">
            <v/>
          </cell>
          <cell r="U967" t="str">
            <v/>
          </cell>
          <cell r="W967" t="str">
            <v/>
          </cell>
          <cell r="X967" t="str">
            <v/>
          </cell>
          <cell r="AB967">
            <v>0</v>
          </cell>
          <cell r="AC967">
            <v>0</v>
          </cell>
          <cell r="AD967">
            <v>0</v>
          </cell>
          <cell r="AJ967">
            <v>0</v>
          </cell>
          <cell r="AK967">
            <v>0</v>
          </cell>
        </row>
        <row r="968">
          <cell r="B968" t="str">
            <v/>
          </cell>
          <cell r="H968" t="str">
            <v/>
          </cell>
          <cell r="J968" t="str">
            <v/>
          </cell>
          <cell r="N968" t="str">
            <v/>
          </cell>
          <cell r="O968" t="str">
            <v/>
          </cell>
          <cell r="P968" t="str">
            <v/>
          </cell>
          <cell r="Q968" t="str">
            <v/>
          </cell>
          <cell r="T968" t="str">
            <v/>
          </cell>
          <cell r="U968" t="str">
            <v/>
          </cell>
          <cell r="W968" t="str">
            <v/>
          </cell>
          <cell r="X968" t="str">
            <v/>
          </cell>
          <cell r="AB968">
            <v>0</v>
          </cell>
          <cell r="AC968">
            <v>0</v>
          </cell>
          <cell r="AD968">
            <v>0</v>
          </cell>
          <cell r="AJ968">
            <v>0</v>
          </cell>
          <cell r="AK968">
            <v>0</v>
          </cell>
        </row>
        <row r="969">
          <cell r="B969" t="str">
            <v/>
          </cell>
          <cell r="H969" t="str">
            <v/>
          </cell>
          <cell r="J969" t="str">
            <v/>
          </cell>
          <cell r="N969" t="str">
            <v/>
          </cell>
          <cell r="O969" t="str">
            <v/>
          </cell>
          <cell r="P969" t="str">
            <v/>
          </cell>
          <cell r="Q969" t="str">
            <v/>
          </cell>
          <cell r="T969" t="str">
            <v/>
          </cell>
          <cell r="U969" t="str">
            <v/>
          </cell>
          <cell r="W969" t="str">
            <v/>
          </cell>
          <cell r="X969" t="str">
            <v/>
          </cell>
          <cell r="AB969">
            <v>0</v>
          </cell>
          <cell r="AC969">
            <v>0</v>
          </cell>
          <cell r="AD969">
            <v>0</v>
          </cell>
          <cell r="AJ969">
            <v>0</v>
          </cell>
          <cell r="AK969">
            <v>0</v>
          </cell>
        </row>
        <row r="970">
          <cell r="B970" t="str">
            <v/>
          </cell>
          <cell r="H970" t="str">
            <v/>
          </cell>
          <cell r="J970" t="str">
            <v/>
          </cell>
          <cell r="N970" t="str">
            <v/>
          </cell>
          <cell r="O970" t="str">
            <v/>
          </cell>
          <cell r="P970" t="str">
            <v/>
          </cell>
          <cell r="Q970" t="str">
            <v/>
          </cell>
          <cell r="T970" t="str">
            <v/>
          </cell>
          <cell r="U970" t="str">
            <v/>
          </cell>
          <cell r="W970" t="str">
            <v/>
          </cell>
          <cell r="X970" t="str">
            <v/>
          </cell>
          <cell r="AB970">
            <v>0</v>
          </cell>
          <cell r="AC970">
            <v>0</v>
          </cell>
          <cell r="AD970">
            <v>0</v>
          </cell>
          <cell r="AJ970">
            <v>0</v>
          </cell>
          <cell r="AK970">
            <v>0</v>
          </cell>
        </row>
        <row r="971">
          <cell r="B971" t="str">
            <v/>
          </cell>
          <cell r="H971" t="str">
            <v/>
          </cell>
          <cell r="J971" t="str">
            <v/>
          </cell>
          <cell r="N971" t="str">
            <v/>
          </cell>
          <cell r="O971" t="str">
            <v/>
          </cell>
          <cell r="P971" t="str">
            <v/>
          </cell>
          <cell r="Q971" t="str">
            <v/>
          </cell>
          <cell r="T971" t="str">
            <v/>
          </cell>
          <cell r="U971" t="str">
            <v/>
          </cell>
          <cell r="W971" t="str">
            <v/>
          </cell>
          <cell r="X971" t="str">
            <v/>
          </cell>
          <cell r="AB971">
            <v>0</v>
          </cell>
          <cell r="AC971">
            <v>0</v>
          </cell>
          <cell r="AD971">
            <v>0</v>
          </cell>
          <cell r="AJ971">
            <v>0</v>
          </cell>
          <cell r="AK971">
            <v>0</v>
          </cell>
        </row>
        <row r="972">
          <cell r="B972" t="str">
            <v/>
          </cell>
          <cell r="H972" t="str">
            <v/>
          </cell>
          <cell r="J972" t="str">
            <v/>
          </cell>
          <cell r="N972" t="str">
            <v/>
          </cell>
          <cell r="O972" t="str">
            <v/>
          </cell>
          <cell r="P972" t="str">
            <v/>
          </cell>
          <cell r="Q972" t="str">
            <v/>
          </cell>
          <cell r="T972" t="str">
            <v/>
          </cell>
          <cell r="U972" t="str">
            <v/>
          </cell>
          <cell r="W972" t="str">
            <v/>
          </cell>
          <cell r="X972" t="str">
            <v/>
          </cell>
          <cell r="AB972">
            <v>0</v>
          </cell>
          <cell r="AC972">
            <v>0</v>
          </cell>
          <cell r="AD972">
            <v>0</v>
          </cell>
          <cell r="AJ972">
            <v>0</v>
          </cell>
          <cell r="AK972">
            <v>0</v>
          </cell>
        </row>
        <row r="973">
          <cell r="B973" t="str">
            <v/>
          </cell>
          <cell r="H973" t="str">
            <v/>
          </cell>
          <cell r="J973" t="str">
            <v/>
          </cell>
          <cell r="N973" t="str">
            <v/>
          </cell>
          <cell r="O973" t="str">
            <v/>
          </cell>
          <cell r="P973" t="str">
            <v/>
          </cell>
          <cell r="Q973" t="str">
            <v/>
          </cell>
          <cell r="T973" t="str">
            <v/>
          </cell>
          <cell r="U973" t="str">
            <v/>
          </cell>
          <cell r="W973" t="str">
            <v/>
          </cell>
          <cell r="X973" t="str">
            <v/>
          </cell>
          <cell r="AB973">
            <v>0</v>
          </cell>
          <cell r="AC973">
            <v>0</v>
          </cell>
          <cell r="AD973">
            <v>0</v>
          </cell>
          <cell r="AJ973">
            <v>0</v>
          </cell>
          <cell r="AK973">
            <v>0</v>
          </cell>
        </row>
        <row r="974">
          <cell r="B974" t="str">
            <v/>
          </cell>
          <cell r="H974" t="str">
            <v/>
          </cell>
          <cell r="J974" t="str">
            <v/>
          </cell>
          <cell r="N974" t="str">
            <v/>
          </cell>
          <cell r="O974" t="str">
            <v/>
          </cell>
          <cell r="P974" t="str">
            <v/>
          </cell>
          <cell r="Q974" t="str">
            <v/>
          </cell>
          <cell r="T974" t="str">
            <v/>
          </cell>
          <cell r="U974" t="str">
            <v/>
          </cell>
          <cell r="W974" t="str">
            <v/>
          </cell>
          <cell r="X974" t="str">
            <v/>
          </cell>
          <cell r="AB974">
            <v>0</v>
          </cell>
          <cell r="AC974">
            <v>0</v>
          </cell>
          <cell r="AD974">
            <v>0</v>
          </cell>
          <cell r="AJ974">
            <v>0</v>
          </cell>
          <cell r="AK974">
            <v>0</v>
          </cell>
        </row>
        <row r="975">
          <cell r="B975" t="str">
            <v/>
          </cell>
          <cell r="H975" t="str">
            <v/>
          </cell>
          <cell r="J975" t="str">
            <v/>
          </cell>
          <cell r="N975" t="str">
            <v/>
          </cell>
          <cell r="O975" t="str">
            <v/>
          </cell>
          <cell r="P975" t="str">
            <v/>
          </cell>
          <cell r="Q975" t="str">
            <v/>
          </cell>
          <cell r="T975" t="str">
            <v/>
          </cell>
          <cell r="U975" t="str">
            <v/>
          </cell>
          <cell r="W975" t="str">
            <v/>
          </cell>
          <cell r="X975" t="str">
            <v/>
          </cell>
          <cell r="AB975">
            <v>0</v>
          </cell>
          <cell r="AC975">
            <v>0</v>
          </cell>
          <cell r="AD975">
            <v>0</v>
          </cell>
          <cell r="AJ975">
            <v>0</v>
          </cell>
          <cell r="AK975">
            <v>0</v>
          </cell>
        </row>
        <row r="976">
          <cell r="B976" t="str">
            <v/>
          </cell>
          <cell r="H976" t="str">
            <v/>
          </cell>
          <cell r="J976" t="str">
            <v/>
          </cell>
          <cell r="N976" t="str">
            <v/>
          </cell>
          <cell r="O976" t="str">
            <v/>
          </cell>
          <cell r="P976" t="str">
            <v/>
          </cell>
          <cell r="Q976" t="str">
            <v/>
          </cell>
          <cell r="T976" t="str">
            <v/>
          </cell>
          <cell r="U976" t="str">
            <v/>
          </cell>
          <cell r="W976" t="str">
            <v/>
          </cell>
          <cell r="X976" t="str">
            <v/>
          </cell>
          <cell r="AB976">
            <v>0</v>
          </cell>
          <cell r="AC976">
            <v>0</v>
          </cell>
          <cell r="AD976">
            <v>0</v>
          </cell>
          <cell r="AJ976">
            <v>0</v>
          </cell>
          <cell r="AK976">
            <v>0</v>
          </cell>
        </row>
        <row r="977">
          <cell r="B977" t="str">
            <v/>
          </cell>
          <cell r="H977" t="str">
            <v/>
          </cell>
          <cell r="J977" t="str">
            <v/>
          </cell>
          <cell r="N977" t="str">
            <v/>
          </cell>
          <cell r="O977" t="str">
            <v/>
          </cell>
          <cell r="P977" t="str">
            <v/>
          </cell>
          <cell r="Q977" t="str">
            <v/>
          </cell>
          <cell r="T977" t="str">
            <v/>
          </cell>
          <cell r="U977" t="str">
            <v/>
          </cell>
          <cell r="W977" t="str">
            <v/>
          </cell>
          <cell r="X977" t="str">
            <v/>
          </cell>
          <cell r="AB977">
            <v>0</v>
          </cell>
          <cell r="AC977">
            <v>0</v>
          </cell>
          <cell r="AD977">
            <v>0</v>
          </cell>
          <cell r="AJ977">
            <v>0</v>
          </cell>
          <cell r="AK977">
            <v>0</v>
          </cell>
        </row>
        <row r="978">
          <cell r="B978" t="str">
            <v/>
          </cell>
          <cell r="H978" t="str">
            <v/>
          </cell>
          <cell r="J978" t="str">
            <v/>
          </cell>
          <cell r="N978" t="str">
            <v/>
          </cell>
          <cell r="O978" t="str">
            <v/>
          </cell>
          <cell r="P978" t="str">
            <v/>
          </cell>
          <cell r="Q978" t="str">
            <v/>
          </cell>
          <cell r="T978" t="str">
            <v/>
          </cell>
          <cell r="U978" t="str">
            <v/>
          </cell>
          <cell r="W978" t="str">
            <v/>
          </cell>
          <cell r="X978" t="str">
            <v/>
          </cell>
          <cell r="AB978">
            <v>0</v>
          </cell>
          <cell r="AC978">
            <v>0</v>
          </cell>
          <cell r="AD978">
            <v>0</v>
          </cell>
          <cell r="AJ978">
            <v>0</v>
          </cell>
          <cell r="AK978">
            <v>0</v>
          </cell>
        </row>
        <row r="979">
          <cell r="B979" t="str">
            <v/>
          </cell>
          <cell r="H979" t="str">
            <v/>
          </cell>
          <cell r="J979" t="str">
            <v/>
          </cell>
          <cell r="N979" t="str">
            <v/>
          </cell>
          <cell r="O979" t="str">
            <v/>
          </cell>
          <cell r="P979" t="str">
            <v/>
          </cell>
          <cell r="Q979" t="str">
            <v/>
          </cell>
          <cell r="T979" t="str">
            <v/>
          </cell>
          <cell r="U979" t="str">
            <v/>
          </cell>
          <cell r="W979" t="str">
            <v/>
          </cell>
          <cell r="X979" t="str">
            <v/>
          </cell>
          <cell r="AB979">
            <v>0</v>
          </cell>
          <cell r="AC979">
            <v>0</v>
          </cell>
          <cell r="AD979">
            <v>0</v>
          </cell>
          <cell r="AJ979">
            <v>0</v>
          </cell>
          <cell r="AK979">
            <v>0</v>
          </cell>
        </row>
        <row r="980">
          <cell r="B980" t="str">
            <v/>
          </cell>
          <cell r="H980" t="str">
            <v/>
          </cell>
          <cell r="J980" t="str">
            <v/>
          </cell>
          <cell r="N980" t="str">
            <v/>
          </cell>
          <cell r="O980" t="str">
            <v/>
          </cell>
          <cell r="P980" t="str">
            <v/>
          </cell>
          <cell r="Q980" t="str">
            <v/>
          </cell>
          <cell r="T980" t="str">
            <v/>
          </cell>
          <cell r="U980" t="str">
            <v/>
          </cell>
          <cell r="W980" t="str">
            <v/>
          </cell>
          <cell r="X980" t="str">
            <v/>
          </cell>
          <cell r="AB980">
            <v>0</v>
          </cell>
          <cell r="AC980">
            <v>0</v>
          </cell>
          <cell r="AD980">
            <v>0</v>
          </cell>
          <cell r="AJ980">
            <v>0</v>
          </cell>
          <cell r="AK980">
            <v>0</v>
          </cell>
        </row>
        <row r="981">
          <cell r="B981" t="str">
            <v/>
          </cell>
          <cell r="H981" t="str">
            <v/>
          </cell>
          <cell r="J981" t="str">
            <v/>
          </cell>
          <cell r="N981" t="str">
            <v/>
          </cell>
          <cell r="O981" t="str">
            <v/>
          </cell>
          <cell r="P981" t="str">
            <v/>
          </cell>
          <cell r="Q981" t="str">
            <v/>
          </cell>
          <cell r="T981" t="str">
            <v/>
          </cell>
          <cell r="U981" t="str">
            <v/>
          </cell>
          <cell r="W981" t="str">
            <v/>
          </cell>
          <cell r="X981" t="str">
            <v/>
          </cell>
          <cell r="AB981">
            <v>0</v>
          </cell>
          <cell r="AC981">
            <v>0</v>
          </cell>
          <cell r="AD981">
            <v>0</v>
          </cell>
          <cell r="AJ981">
            <v>0</v>
          </cell>
          <cell r="AK981">
            <v>0</v>
          </cell>
        </row>
        <row r="982">
          <cell r="B982" t="str">
            <v/>
          </cell>
          <cell r="H982" t="str">
            <v/>
          </cell>
          <cell r="J982" t="str">
            <v/>
          </cell>
          <cell r="N982" t="str">
            <v/>
          </cell>
          <cell r="O982" t="str">
            <v/>
          </cell>
          <cell r="P982" t="str">
            <v/>
          </cell>
          <cell r="Q982" t="str">
            <v/>
          </cell>
          <cell r="T982" t="str">
            <v/>
          </cell>
          <cell r="U982" t="str">
            <v/>
          </cell>
          <cell r="W982" t="str">
            <v/>
          </cell>
          <cell r="X982" t="str">
            <v/>
          </cell>
          <cell r="AB982">
            <v>0</v>
          </cell>
          <cell r="AC982">
            <v>0</v>
          </cell>
          <cell r="AD982">
            <v>0</v>
          </cell>
          <cell r="AJ982">
            <v>0</v>
          </cell>
          <cell r="AK982">
            <v>0</v>
          </cell>
        </row>
        <row r="983">
          <cell r="B983" t="str">
            <v/>
          </cell>
          <cell r="H983" t="str">
            <v/>
          </cell>
          <cell r="J983" t="str">
            <v/>
          </cell>
          <cell r="N983" t="str">
            <v/>
          </cell>
          <cell r="O983" t="str">
            <v/>
          </cell>
          <cell r="P983" t="str">
            <v/>
          </cell>
          <cell r="Q983" t="str">
            <v/>
          </cell>
          <cell r="T983" t="str">
            <v/>
          </cell>
          <cell r="U983" t="str">
            <v/>
          </cell>
          <cell r="W983" t="str">
            <v/>
          </cell>
          <cell r="X983" t="str">
            <v/>
          </cell>
          <cell r="AB983">
            <v>0</v>
          </cell>
          <cell r="AC983">
            <v>0</v>
          </cell>
          <cell r="AD983">
            <v>0</v>
          </cell>
          <cell r="AJ983">
            <v>0</v>
          </cell>
          <cell r="AK983">
            <v>0</v>
          </cell>
        </row>
        <row r="984">
          <cell r="B984" t="str">
            <v/>
          </cell>
          <cell r="H984" t="str">
            <v/>
          </cell>
          <cell r="J984" t="str">
            <v/>
          </cell>
          <cell r="N984" t="str">
            <v/>
          </cell>
          <cell r="O984" t="str">
            <v/>
          </cell>
          <cell r="P984" t="str">
            <v/>
          </cell>
          <cell r="Q984" t="str">
            <v/>
          </cell>
          <cell r="T984" t="str">
            <v/>
          </cell>
          <cell r="U984" t="str">
            <v/>
          </cell>
          <cell r="W984" t="str">
            <v/>
          </cell>
          <cell r="X984" t="str">
            <v/>
          </cell>
          <cell r="AB984">
            <v>0</v>
          </cell>
          <cell r="AC984">
            <v>0</v>
          </cell>
          <cell r="AD984">
            <v>0</v>
          </cell>
          <cell r="AJ984">
            <v>0</v>
          </cell>
          <cell r="AK984">
            <v>0</v>
          </cell>
        </row>
        <row r="985">
          <cell r="B985" t="str">
            <v/>
          </cell>
          <cell r="H985" t="str">
            <v/>
          </cell>
          <cell r="J985" t="str">
            <v/>
          </cell>
          <cell r="N985" t="str">
            <v/>
          </cell>
          <cell r="O985" t="str">
            <v/>
          </cell>
          <cell r="P985" t="str">
            <v/>
          </cell>
          <cell r="Q985" t="str">
            <v/>
          </cell>
          <cell r="T985" t="str">
            <v/>
          </cell>
          <cell r="U985" t="str">
            <v/>
          </cell>
          <cell r="W985" t="str">
            <v/>
          </cell>
          <cell r="X985" t="str">
            <v/>
          </cell>
          <cell r="AB985">
            <v>0</v>
          </cell>
          <cell r="AC985">
            <v>0</v>
          </cell>
          <cell r="AD985">
            <v>0</v>
          </cell>
          <cell r="AJ985">
            <v>0</v>
          </cell>
          <cell r="AK985">
            <v>0</v>
          </cell>
        </row>
        <row r="986">
          <cell r="B986" t="str">
            <v/>
          </cell>
          <cell r="H986" t="str">
            <v/>
          </cell>
          <cell r="J986" t="str">
            <v/>
          </cell>
          <cell r="N986" t="str">
            <v/>
          </cell>
          <cell r="O986" t="str">
            <v/>
          </cell>
          <cell r="P986" t="str">
            <v/>
          </cell>
          <cell r="Q986" t="str">
            <v/>
          </cell>
          <cell r="T986" t="str">
            <v/>
          </cell>
          <cell r="U986" t="str">
            <v/>
          </cell>
          <cell r="W986" t="str">
            <v/>
          </cell>
          <cell r="X986" t="str">
            <v/>
          </cell>
          <cell r="AB986">
            <v>0</v>
          </cell>
          <cell r="AC986">
            <v>0</v>
          </cell>
          <cell r="AD986">
            <v>0</v>
          </cell>
          <cell r="AJ986">
            <v>0</v>
          </cell>
          <cell r="AK986">
            <v>0</v>
          </cell>
        </row>
        <row r="987">
          <cell r="B987" t="str">
            <v/>
          </cell>
          <cell r="H987" t="str">
            <v/>
          </cell>
          <cell r="J987" t="str">
            <v/>
          </cell>
          <cell r="N987" t="str">
            <v/>
          </cell>
          <cell r="O987" t="str">
            <v/>
          </cell>
          <cell r="P987" t="str">
            <v/>
          </cell>
          <cell r="Q987" t="str">
            <v/>
          </cell>
          <cell r="T987" t="str">
            <v/>
          </cell>
          <cell r="U987" t="str">
            <v/>
          </cell>
          <cell r="W987" t="str">
            <v/>
          </cell>
          <cell r="X987" t="str">
            <v/>
          </cell>
          <cell r="AB987">
            <v>0</v>
          </cell>
          <cell r="AC987">
            <v>0</v>
          </cell>
          <cell r="AD987">
            <v>0</v>
          </cell>
          <cell r="AJ987">
            <v>0</v>
          </cell>
          <cell r="AK987">
            <v>0</v>
          </cell>
        </row>
        <row r="988">
          <cell r="B988" t="str">
            <v/>
          </cell>
          <cell r="H988" t="str">
            <v/>
          </cell>
          <cell r="J988" t="str">
            <v/>
          </cell>
          <cell r="N988" t="str">
            <v/>
          </cell>
          <cell r="O988" t="str">
            <v/>
          </cell>
          <cell r="P988" t="str">
            <v/>
          </cell>
          <cell r="Q988" t="str">
            <v/>
          </cell>
          <cell r="T988" t="str">
            <v/>
          </cell>
          <cell r="U988" t="str">
            <v/>
          </cell>
          <cell r="W988" t="str">
            <v/>
          </cell>
          <cell r="X988" t="str">
            <v/>
          </cell>
          <cell r="AB988">
            <v>0</v>
          </cell>
          <cell r="AC988">
            <v>0</v>
          </cell>
          <cell r="AD988">
            <v>0</v>
          </cell>
          <cell r="AJ988">
            <v>0</v>
          </cell>
          <cell r="AK988">
            <v>0</v>
          </cell>
        </row>
        <row r="989">
          <cell r="B989" t="str">
            <v/>
          </cell>
          <cell r="H989" t="str">
            <v/>
          </cell>
          <cell r="J989" t="str">
            <v/>
          </cell>
          <cell r="N989" t="str">
            <v/>
          </cell>
          <cell r="O989" t="str">
            <v/>
          </cell>
          <cell r="P989" t="str">
            <v/>
          </cell>
          <cell r="Q989" t="str">
            <v/>
          </cell>
          <cell r="T989" t="str">
            <v/>
          </cell>
          <cell r="U989" t="str">
            <v/>
          </cell>
          <cell r="W989" t="str">
            <v/>
          </cell>
          <cell r="X989" t="str">
            <v/>
          </cell>
          <cell r="AB989">
            <v>0</v>
          </cell>
          <cell r="AC989">
            <v>0</v>
          </cell>
          <cell r="AD989">
            <v>0</v>
          </cell>
          <cell r="AJ989">
            <v>0</v>
          </cell>
          <cell r="AK989">
            <v>0</v>
          </cell>
        </row>
        <row r="990">
          <cell r="B990" t="str">
            <v/>
          </cell>
          <cell r="H990" t="str">
            <v/>
          </cell>
          <cell r="J990" t="str">
            <v/>
          </cell>
          <cell r="N990" t="str">
            <v/>
          </cell>
          <cell r="O990" t="str">
            <v/>
          </cell>
          <cell r="P990" t="str">
            <v/>
          </cell>
          <cell r="Q990" t="str">
            <v/>
          </cell>
          <cell r="T990" t="str">
            <v/>
          </cell>
          <cell r="U990" t="str">
            <v/>
          </cell>
          <cell r="W990" t="str">
            <v/>
          </cell>
          <cell r="X990" t="str">
            <v/>
          </cell>
          <cell r="AB990">
            <v>0</v>
          </cell>
          <cell r="AC990">
            <v>0</v>
          </cell>
          <cell r="AD990">
            <v>0</v>
          </cell>
          <cell r="AJ990">
            <v>0</v>
          </cell>
          <cell r="AK990">
            <v>0</v>
          </cell>
        </row>
        <row r="991">
          <cell r="B991" t="str">
            <v/>
          </cell>
          <cell r="H991" t="str">
            <v/>
          </cell>
          <cell r="J991" t="str">
            <v/>
          </cell>
          <cell r="N991" t="str">
            <v/>
          </cell>
          <cell r="O991" t="str">
            <v/>
          </cell>
          <cell r="P991" t="str">
            <v/>
          </cell>
          <cell r="Q991" t="str">
            <v/>
          </cell>
          <cell r="T991" t="str">
            <v/>
          </cell>
          <cell r="U991" t="str">
            <v/>
          </cell>
          <cell r="W991" t="str">
            <v/>
          </cell>
          <cell r="X991" t="str">
            <v/>
          </cell>
          <cell r="AB991">
            <v>0</v>
          </cell>
          <cell r="AC991">
            <v>0</v>
          </cell>
          <cell r="AD991">
            <v>0</v>
          </cell>
          <cell r="AJ991">
            <v>0</v>
          </cell>
          <cell r="AK991">
            <v>0</v>
          </cell>
        </row>
        <row r="992">
          <cell r="B992" t="str">
            <v/>
          </cell>
          <cell r="H992" t="str">
            <v/>
          </cell>
          <cell r="J992" t="str">
            <v/>
          </cell>
          <cell r="N992" t="str">
            <v/>
          </cell>
          <cell r="O992" t="str">
            <v/>
          </cell>
          <cell r="P992" t="str">
            <v/>
          </cell>
          <cell r="Q992" t="str">
            <v/>
          </cell>
          <cell r="T992" t="str">
            <v/>
          </cell>
          <cell r="U992" t="str">
            <v/>
          </cell>
          <cell r="W992" t="str">
            <v/>
          </cell>
          <cell r="X992" t="str">
            <v/>
          </cell>
          <cell r="AB992">
            <v>0</v>
          </cell>
          <cell r="AC992">
            <v>0</v>
          </cell>
          <cell r="AD992">
            <v>0</v>
          </cell>
          <cell r="AJ992">
            <v>0</v>
          </cell>
          <cell r="AK992">
            <v>0</v>
          </cell>
        </row>
        <row r="993">
          <cell r="B993" t="str">
            <v/>
          </cell>
          <cell r="H993" t="str">
            <v/>
          </cell>
          <cell r="J993" t="str">
            <v/>
          </cell>
          <cell r="N993" t="str">
            <v/>
          </cell>
          <cell r="O993" t="str">
            <v/>
          </cell>
          <cell r="P993" t="str">
            <v/>
          </cell>
          <cell r="Q993" t="str">
            <v/>
          </cell>
          <cell r="T993" t="str">
            <v/>
          </cell>
          <cell r="U993" t="str">
            <v/>
          </cell>
          <cell r="W993" t="str">
            <v/>
          </cell>
          <cell r="X993" t="str">
            <v/>
          </cell>
          <cell r="AB993">
            <v>0</v>
          </cell>
          <cell r="AC993">
            <v>0</v>
          </cell>
          <cell r="AD993">
            <v>0</v>
          </cell>
          <cell r="AJ993">
            <v>0</v>
          </cell>
          <cell r="AK993">
            <v>0</v>
          </cell>
        </row>
        <row r="994">
          <cell r="B994" t="str">
            <v/>
          </cell>
          <cell r="H994" t="str">
            <v/>
          </cell>
          <cell r="J994" t="str">
            <v/>
          </cell>
          <cell r="N994" t="str">
            <v/>
          </cell>
          <cell r="O994" t="str">
            <v/>
          </cell>
          <cell r="P994" t="str">
            <v/>
          </cell>
          <cell r="Q994" t="str">
            <v/>
          </cell>
          <cell r="T994" t="str">
            <v/>
          </cell>
          <cell r="U994" t="str">
            <v/>
          </cell>
          <cell r="W994" t="str">
            <v/>
          </cell>
          <cell r="X994" t="str">
            <v/>
          </cell>
          <cell r="AB994">
            <v>0</v>
          </cell>
          <cell r="AC994">
            <v>0</v>
          </cell>
          <cell r="AD994">
            <v>0</v>
          </cell>
          <cell r="AJ994">
            <v>0</v>
          </cell>
          <cell r="AK994">
            <v>0</v>
          </cell>
        </row>
        <row r="995">
          <cell r="B995" t="str">
            <v/>
          </cell>
          <cell r="H995" t="str">
            <v/>
          </cell>
          <cell r="J995" t="str">
            <v/>
          </cell>
          <cell r="N995" t="str">
            <v/>
          </cell>
          <cell r="O995" t="str">
            <v/>
          </cell>
          <cell r="P995" t="str">
            <v/>
          </cell>
          <cell r="Q995" t="str">
            <v/>
          </cell>
          <cell r="T995" t="str">
            <v/>
          </cell>
          <cell r="U995" t="str">
            <v/>
          </cell>
          <cell r="W995" t="str">
            <v/>
          </cell>
          <cell r="X995" t="str">
            <v/>
          </cell>
          <cell r="AB995">
            <v>0</v>
          </cell>
          <cell r="AC995">
            <v>0</v>
          </cell>
          <cell r="AD995">
            <v>0</v>
          </cell>
          <cell r="AJ995">
            <v>0</v>
          </cell>
          <cell r="AK995">
            <v>0</v>
          </cell>
        </row>
        <row r="996">
          <cell r="B996" t="str">
            <v/>
          </cell>
          <cell r="H996" t="str">
            <v/>
          </cell>
          <cell r="J996" t="str">
            <v/>
          </cell>
          <cell r="N996" t="str">
            <v/>
          </cell>
          <cell r="O996" t="str">
            <v/>
          </cell>
          <cell r="P996" t="str">
            <v/>
          </cell>
          <cell r="Q996" t="str">
            <v/>
          </cell>
          <cell r="T996" t="str">
            <v/>
          </cell>
          <cell r="U996" t="str">
            <v/>
          </cell>
          <cell r="W996" t="str">
            <v/>
          </cell>
          <cell r="X996" t="str">
            <v/>
          </cell>
          <cell r="AB996">
            <v>0</v>
          </cell>
          <cell r="AC996">
            <v>0</v>
          </cell>
          <cell r="AD996">
            <v>0</v>
          </cell>
          <cell r="AJ996">
            <v>0</v>
          </cell>
          <cell r="AK996">
            <v>0</v>
          </cell>
        </row>
        <row r="997">
          <cell r="B997" t="str">
            <v/>
          </cell>
          <cell r="H997" t="str">
            <v/>
          </cell>
          <cell r="J997" t="str">
            <v/>
          </cell>
          <cell r="N997" t="str">
            <v/>
          </cell>
          <cell r="O997" t="str">
            <v/>
          </cell>
          <cell r="P997" t="str">
            <v/>
          </cell>
          <cell r="Q997" t="str">
            <v/>
          </cell>
          <cell r="T997" t="str">
            <v/>
          </cell>
          <cell r="U997" t="str">
            <v/>
          </cell>
          <cell r="W997" t="str">
            <v/>
          </cell>
          <cell r="X997" t="str">
            <v/>
          </cell>
          <cell r="AB997">
            <v>0</v>
          </cell>
          <cell r="AC997">
            <v>0</v>
          </cell>
          <cell r="AD997">
            <v>0</v>
          </cell>
          <cell r="AJ997">
            <v>0</v>
          </cell>
          <cell r="AK997">
            <v>0</v>
          </cell>
        </row>
        <row r="998">
          <cell r="B998" t="str">
            <v/>
          </cell>
          <cell r="H998" t="str">
            <v/>
          </cell>
          <cell r="J998" t="str">
            <v/>
          </cell>
          <cell r="N998" t="str">
            <v/>
          </cell>
          <cell r="O998" t="str">
            <v/>
          </cell>
          <cell r="P998" t="str">
            <v/>
          </cell>
          <cell r="Q998" t="str">
            <v/>
          </cell>
          <cell r="T998" t="str">
            <v/>
          </cell>
          <cell r="U998" t="str">
            <v/>
          </cell>
          <cell r="W998" t="str">
            <v/>
          </cell>
          <cell r="X998" t="str">
            <v/>
          </cell>
          <cell r="AB998">
            <v>0</v>
          </cell>
          <cell r="AC998">
            <v>0</v>
          </cell>
          <cell r="AD998">
            <v>0</v>
          </cell>
          <cell r="AJ998">
            <v>0</v>
          </cell>
          <cell r="AK998">
            <v>0</v>
          </cell>
        </row>
        <row r="999">
          <cell r="B999" t="str">
            <v/>
          </cell>
          <cell r="H999" t="str">
            <v/>
          </cell>
          <cell r="J999" t="str">
            <v/>
          </cell>
          <cell r="N999" t="str">
            <v/>
          </cell>
          <cell r="O999" t="str">
            <v/>
          </cell>
          <cell r="P999" t="str">
            <v/>
          </cell>
          <cell r="Q999" t="str">
            <v/>
          </cell>
          <cell r="T999" t="str">
            <v/>
          </cell>
          <cell r="U999" t="str">
            <v/>
          </cell>
          <cell r="W999" t="str">
            <v/>
          </cell>
          <cell r="X999" t="str">
            <v/>
          </cell>
          <cell r="AB999">
            <v>0</v>
          </cell>
          <cell r="AC999">
            <v>0</v>
          </cell>
          <cell r="AD999">
            <v>0</v>
          </cell>
          <cell r="AJ999">
            <v>0</v>
          </cell>
          <cell r="AK999">
            <v>0</v>
          </cell>
        </row>
        <row r="1000">
          <cell r="B1000" t="str">
            <v/>
          </cell>
          <cell r="H1000" t="str">
            <v/>
          </cell>
          <cell r="J1000" t="str">
            <v/>
          </cell>
          <cell r="N1000" t="str">
            <v/>
          </cell>
          <cell r="O1000" t="str">
            <v/>
          </cell>
          <cell r="P1000" t="str">
            <v/>
          </cell>
          <cell r="Q1000" t="str">
            <v/>
          </cell>
          <cell r="T1000" t="str">
            <v/>
          </cell>
          <cell r="U1000" t="str">
            <v/>
          </cell>
          <cell r="W1000" t="str">
            <v/>
          </cell>
          <cell r="X1000" t="str">
            <v/>
          </cell>
          <cell r="AB1000">
            <v>0</v>
          </cell>
          <cell r="AC1000">
            <v>0</v>
          </cell>
          <cell r="AD1000">
            <v>0</v>
          </cell>
          <cell r="AJ1000">
            <v>0</v>
          </cell>
          <cell r="AK1000">
            <v>0</v>
          </cell>
        </row>
        <row r="1001">
          <cell r="B1001" t="str">
            <v/>
          </cell>
          <cell r="H1001" t="str">
            <v/>
          </cell>
          <cell r="J1001" t="str">
            <v/>
          </cell>
          <cell r="N1001" t="str">
            <v/>
          </cell>
          <cell r="O1001" t="str">
            <v/>
          </cell>
          <cell r="P1001" t="str">
            <v/>
          </cell>
          <cell r="Q1001" t="str">
            <v/>
          </cell>
          <cell r="T1001" t="str">
            <v/>
          </cell>
          <cell r="U1001" t="str">
            <v/>
          </cell>
          <cell r="W1001" t="str">
            <v/>
          </cell>
          <cell r="X1001" t="str">
            <v/>
          </cell>
          <cell r="AB1001">
            <v>0</v>
          </cell>
          <cell r="AC1001">
            <v>0</v>
          </cell>
          <cell r="AD1001">
            <v>0</v>
          </cell>
          <cell r="AJ1001">
            <v>0</v>
          </cell>
          <cell r="AK1001">
            <v>0</v>
          </cell>
        </row>
        <row r="1002">
          <cell r="B1002" t="str">
            <v/>
          </cell>
          <cell r="H1002" t="str">
            <v/>
          </cell>
          <cell r="J1002" t="str">
            <v/>
          </cell>
          <cell r="N1002" t="str">
            <v/>
          </cell>
          <cell r="O1002" t="str">
            <v/>
          </cell>
          <cell r="P1002" t="str">
            <v/>
          </cell>
          <cell r="Q1002" t="str">
            <v/>
          </cell>
          <cell r="T1002" t="str">
            <v/>
          </cell>
          <cell r="U1002" t="str">
            <v/>
          </cell>
          <cell r="W1002" t="str">
            <v/>
          </cell>
          <cell r="X1002" t="str">
            <v/>
          </cell>
          <cell r="AB1002">
            <v>0</v>
          </cell>
          <cell r="AC1002">
            <v>0</v>
          </cell>
          <cell r="AD1002">
            <v>0</v>
          </cell>
          <cell r="AJ1002">
            <v>0</v>
          </cell>
          <cell r="AK1002">
            <v>0</v>
          </cell>
        </row>
        <row r="1003">
          <cell r="B1003" t="str">
            <v/>
          </cell>
          <cell r="H1003" t="str">
            <v/>
          </cell>
          <cell r="J1003" t="str">
            <v/>
          </cell>
          <cell r="N1003" t="str">
            <v/>
          </cell>
          <cell r="O1003" t="str">
            <v/>
          </cell>
          <cell r="P1003" t="str">
            <v/>
          </cell>
          <cell r="Q1003" t="str">
            <v/>
          </cell>
          <cell r="T1003" t="str">
            <v/>
          </cell>
          <cell r="U1003" t="str">
            <v/>
          </cell>
          <cell r="W1003" t="str">
            <v/>
          </cell>
          <cell r="X1003" t="str">
            <v/>
          </cell>
          <cell r="AB1003">
            <v>0</v>
          </cell>
          <cell r="AC1003">
            <v>0</v>
          </cell>
          <cell r="AD1003">
            <v>0</v>
          </cell>
          <cell r="AJ1003">
            <v>0</v>
          </cell>
          <cell r="AK1003">
            <v>0</v>
          </cell>
        </row>
        <row r="1004">
          <cell r="B1004" t="str">
            <v/>
          </cell>
          <cell r="H1004" t="str">
            <v/>
          </cell>
          <cell r="J1004" t="str">
            <v/>
          </cell>
          <cell r="N1004" t="str">
            <v/>
          </cell>
          <cell r="O1004" t="str">
            <v/>
          </cell>
          <cell r="P1004" t="str">
            <v/>
          </cell>
          <cell r="Q1004" t="str">
            <v/>
          </cell>
          <cell r="T1004" t="str">
            <v/>
          </cell>
          <cell r="U1004" t="str">
            <v/>
          </cell>
          <cell r="W1004" t="str">
            <v/>
          </cell>
          <cell r="X1004" t="str">
            <v/>
          </cell>
          <cell r="AB1004">
            <v>0</v>
          </cell>
          <cell r="AC1004">
            <v>0</v>
          </cell>
          <cell r="AD1004">
            <v>0</v>
          </cell>
          <cell r="AJ1004">
            <v>0</v>
          </cell>
          <cell r="AK1004">
            <v>0</v>
          </cell>
        </row>
        <row r="1005">
          <cell r="B1005" t="str">
            <v/>
          </cell>
          <cell r="H1005" t="str">
            <v/>
          </cell>
          <cell r="J1005" t="str">
            <v/>
          </cell>
          <cell r="N1005" t="str">
            <v/>
          </cell>
          <cell r="O1005" t="str">
            <v/>
          </cell>
          <cell r="P1005" t="str">
            <v/>
          </cell>
          <cell r="Q1005" t="str">
            <v/>
          </cell>
          <cell r="T1005" t="str">
            <v/>
          </cell>
          <cell r="U1005" t="str">
            <v/>
          </cell>
          <cell r="W1005" t="str">
            <v/>
          </cell>
          <cell r="X1005" t="str">
            <v/>
          </cell>
          <cell r="AB1005">
            <v>0</v>
          </cell>
          <cell r="AC1005">
            <v>0</v>
          </cell>
          <cell r="AD1005">
            <v>0</v>
          </cell>
          <cell r="AJ1005">
            <v>0</v>
          </cell>
          <cell r="AK1005">
            <v>0</v>
          </cell>
        </row>
        <row r="1006">
          <cell r="B1006" t="str">
            <v/>
          </cell>
          <cell r="H1006" t="str">
            <v/>
          </cell>
          <cell r="J1006" t="str">
            <v/>
          </cell>
          <cell r="N1006" t="str">
            <v/>
          </cell>
          <cell r="O1006" t="str">
            <v/>
          </cell>
          <cell r="P1006" t="str">
            <v/>
          </cell>
          <cell r="Q1006" t="str">
            <v/>
          </cell>
          <cell r="T1006" t="str">
            <v/>
          </cell>
          <cell r="U1006" t="str">
            <v/>
          </cell>
          <cell r="W1006" t="str">
            <v/>
          </cell>
          <cell r="X1006" t="str">
            <v/>
          </cell>
          <cell r="AB1006">
            <v>0</v>
          </cell>
          <cell r="AC1006">
            <v>0</v>
          </cell>
          <cell r="AD1006">
            <v>0</v>
          </cell>
          <cell r="AJ1006">
            <v>0</v>
          </cell>
          <cell r="AK1006">
            <v>0</v>
          </cell>
        </row>
        <row r="1007">
          <cell r="B1007" t="str">
            <v/>
          </cell>
          <cell r="H1007" t="str">
            <v/>
          </cell>
          <cell r="J1007" t="str">
            <v/>
          </cell>
          <cell r="N1007" t="str">
            <v/>
          </cell>
          <cell r="O1007" t="str">
            <v/>
          </cell>
          <cell r="P1007" t="str">
            <v/>
          </cell>
          <cell r="Q1007" t="str">
            <v/>
          </cell>
          <cell r="T1007" t="str">
            <v/>
          </cell>
          <cell r="U1007" t="str">
            <v/>
          </cell>
          <cell r="W1007" t="str">
            <v/>
          </cell>
          <cell r="X1007" t="str">
            <v/>
          </cell>
          <cell r="AB1007">
            <v>0</v>
          </cell>
          <cell r="AC1007">
            <v>0</v>
          </cell>
          <cell r="AD1007">
            <v>0</v>
          </cell>
          <cell r="AJ1007">
            <v>0</v>
          </cell>
          <cell r="AK1007">
            <v>0</v>
          </cell>
        </row>
        <row r="1008">
          <cell r="B1008" t="str">
            <v/>
          </cell>
          <cell r="H1008" t="str">
            <v/>
          </cell>
          <cell r="J1008" t="str">
            <v/>
          </cell>
          <cell r="N1008" t="str">
            <v/>
          </cell>
          <cell r="O1008" t="str">
            <v/>
          </cell>
          <cell r="P1008" t="str">
            <v/>
          </cell>
          <cell r="Q1008" t="str">
            <v/>
          </cell>
          <cell r="T1008" t="str">
            <v/>
          </cell>
          <cell r="U1008" t="str">
            <v/>
          </cell>
          <cell r="W1008" t="str">
            <v/>
          </cell>
          <cell r="X1008" t="str">
            <v/>
          </cell>
          <cell r="AB1008">
            <v>0</v>
          </cell>
          <cell r="AC1008">
            <v>0</v>
          </cell>
          <cell r="AD1008">
            <v>0</v>
          </cell>
          <cell r="AJ1008">
            <v>0</v>
          </cell>
          <cell r="AK1008">
            <v>0</v>
          </cell>
        </row>
        <row r="1009">
          <cell r="B1009" t="str">
            <v/>
          </cell>
          <cell r="H1009" t="str">
            <v/>
          </cell>
          <cell r="J1009" t="str">
            <v/>
          </cell>
          <cell r="N1009" t="str">
            <v/>
          </cell>
          <cell r="O1009" t="str">
            <v/>
          </cell>
          <cell r="P1009" t="str">
            <v/>
          </cell>
          <cell r="Q1009" t="str">
            <v/>
          </cell>
          <cell r="T1009" t="str">
            <v/>
          </cell>
          <cell r="U1009" t="str">
            <v/>
          </cell>
          <cell r="W1009" t="str">
            <v/>
          </cell>
          <cell r="X1009" t="str">
            <v/>
          </cell>
          <cell r="AB1009">
            <v>0</v>
          </cell>
          <cell r="AC1009">
            <v>0</v>
          </cell>
          <cell r="AD1009">
            <v>0</v>
          </cell>
          <cell r="AJ1009">
            <v>0</v>
          </cell>
          <cell r="AK1009">
            <v>0</v>
          </cell>
        </row>
        <row r="1010">
          <cell r="B1010" t="str">
            <v/>
          </cell>
          <cell r="H1010" t="str">
            <v/>
          </cell>
          <cell r="J1010" t="str">
            <v/>
          </cell>
          <cell r="N1010" t="str">
            <v/>
          </cell>
          <cell r="O1010" t="str">
            <v/>
          </cell>
          <cell r="P1010" t="str">
            <v/>
          </cell>
          <cell r="Q1010" t="str">
            <v/>
          </cell>
          <cell r="T1010" t="str">
            <v/>
          </cell>
          <cell r="U1010" t="str">
            <v/>
          </cell>
          <cell r="W1010" t="str">
            <v/>
          </cell>
          <cell r="X1010" t="str">
            <v/>
          </cell>
          <cell r="AB1010">
            <v>0</v>
          </cell>
          <cell r="AC1010">
            <v>0</v>
          </cell>
          <cell r="AD1010">
            <v>0</v>
          </cell>
          <cell r="AJ1010">
            <v>0</v>
          </cell>
          <cell r="AK1010">
            <v>0</v>
          </cell>
        </row>
        <row r="1011">
          <cell r="B1011" t="str">
            <v/>
          </cell>
          <cell r="H1011" t="str">
            <v/>
          </cell>
          <cell r="J1011" t="str">
            <v/>
          </cell>
          <cell r="N1011" t="str">
            <v/>
          </cell>
          <cell r="O1011" t="str">
            <v/>
          </cell>
          <cell r="P1011" t="str">
            <v/>
          </cell>
          <cell r="Q1011" t="str">
            <v/>
          </cell>
          <cell r="T1011" t="str">
            <v/>
          </cell>
          <cell r="U1011" t="str">
            <v/>
          </cell>
          <cell r="W1011" t="str">
            <v/>
          </cell>
          <cell r="X1011" t="str">
            <v/>
          </cell>
          <cell r="AB1011">
            <v>0</v>
          </cell>
          <cell r="AC1011">
            <v>0</v>
          </cell>
          <cell r="AD1011">
            <v>0</v>
          </cell>
          <cell r="AJ1011">
            <v>0</v>
          </cell>
          <cell r="AK1011">
            <v>0</v>
          </cell>
        </row>
        <row r="1012">
          <cell r="B1012" t="str">
            <v/>
          </cell>
          <cell r="H1012" t="str">
            <v/>
          </cell>
          <cell r="J1012" t="str">
            <v/>
          </cell>
          <cell r="N1012" t="str">
            <v/>
          </cell>
          <cell r="O1012" t="str">
            <v/>
          </cell>
          <cell r="P1012" t="str">
            <v/>
          </cell>
          <cell r="Q1012" t="str">
            <v/>
          </cell>
          <cell r="T1012" t="str">
            <v/>
          </cell>
          <cell r="U1012" t="str">
            <v/>
          </cell>
          <cell r="W1012" t="str">
            <v/>
          </cell>
          <cell r="X1012" t="str">
            <v/>
          </cell>
          <cell r="AB1012">
            <v>0</v>
          </cell>
          <cell r="AC1012">
            <v>0</v>
          </cell>
          <cell r="AD1012">
            <v>0</v>
          </cell>
          <cell r="AJ1012">
            <v>0</v>
          </cell>
          <cell r="AK1012">
            <v>0</v>
          </cell>
        </row>
        <row r="1013">
          <cell r="B1013" t="str">
            <v/>
          </cell>
          <cell r="H1013" t="str">
            <v/>
          </cell>
          <cell r="J1013" t="str">
            <v/>
          </cell>
          <cell r="N1013" t="str">
            <v/>
          </cell>
          <cell r="O1013" t="str">
            <v/>
          </cell>
          <cell r="P1013" t="str">
            <v/>
          </cell>
          <cell r="Q1013" t="str">
            <v/>
          </cell>
          <cell r="T1013" t="str">
            <v/>
          </cell>
          <cell r="U1013" t="str">
            <v/>
          </cell>
          <cell r="W1013" t="str">
            <v/>
          </cell>
          <cell r="X1013" t="str">
            <v/>
          </cell>
          <cell r="AB1013">
            <v>0</v>
          </cell>
          <cell r="AC1013">
            <v>0</v>
          </cell>
          <cell r="AD1013">
            <v>0</v>
          </cell>
          <cell r="AJ1013">
            <v>0</v>
          </cell>
          <cell r="AK1013">
            <v>0</v>
          </cell>
        </row>
        <row r="1014">
          <cell r="B1014" t="str">
            <v/>
          </cell>
          <cell r="H1014" t="str">
            <v/>
          </cell>
          <cell r="J1014" t="str">
            <v/>
          </cell>
          <cell r="N1014" t="str">
            <v/>
          </cell>
          <cell r="O1014" t="str">
            <v/>
          </cell>
          <cell r="P1014" t="str">
            <v/>
          </cell>
          <cell r="Q1014" t="str">
            <v/>
          </cell>
          <cell r="T1014" t="str">
            <v/>
          </cell>
          <cell r="U1014" t="str">
            <v/>
          </cell>
          <cell r="W1014" t="str">
            <v/>
          </cell>
          <cell r="X1014" t="str">
            <v/>
          </cell>
          <cell r="AB1014">
            <v>0</v>
          </cell>
          <cell r="AC1014">
            <v>0</v>
          </cell>
          <cell r="AD1014">
            <v>0</v>
          </cell>
          <cell r="AJ1014">
            <v>0</v>
          </cell>
          <cell r="AK1014">
            <v>0</v>
          </cell>
        </row>
        <row r="1015">
          <cell r="B1015" t="str">
            <v/>
          </cell>
          <cell r="H1015" t="str">
            <v/>
          </cell>
          <cell r="J1015" t="str">
            <v/>
          </cell>
          <cell r="N1015" t="str">
            <v/>
          </cell>
          <cell r="O1015" t="str">
            <v/>
          </cell>
          <cell r="P1015" t="str">
            <v/>
          </cell>
          <cell r="Q1015" t="str">
            <v/>
          </cell>
          <cell r="T1015" t="str">
            <v/>
          </cell>
          <cell r="U1015" t="str">
            <v/>
          </cell>
          <cell r="W1015" t="str">
            <v/>
          </cell>
          <cell r="X1015" t="str">
            <v/>
          </cell>
          <cell r="AB1015">
            <v>0</v>
          </cell>
          <cell r="AC1015">
            <v>0</v>
          </cell>
          <cell r="AD1015">
            <v>0</v>
          </cell>
          <cell r="AJ1015">
            <v>0</v>
          </cell>
          <cell r="AK1015">
            <v>0</v>
          </cell>
        </row>
        <row r="1016">
          <cell r="B1016" t="str">
            <v/>
          </cell>
          <cell r="H1016" t="str">
            <v/>
          </cell>
          <cell r="J1016" t="str">
            <v/>
          </cell>
          <cell r="N1016" t="str">
            <v/>
          </cell>
          <cell r="O1016" t="str">
            <v/>
          </cell>
          <cell r="P1016" t="str">
            <v/>
          </cell>
          <cell r="Q1016" t="str">
            <v/>
          </cell>
          <cell r="T1016" t="str">
            <v/>
          </cell>
          <cell r="U1016" t="str">
            <v/>
          </cell>
          <cell r="W1016" t="str">
            <v/>
          </cell>
          <cell r="X1016" t="str">
            <v/>
          </cell>
          <cell r="AB1016">
            <v>0</v>
          </cell>
          <cell r="AC1016">
            <v>0</v>
          </cell>
          <cell r="AD1016">
            <v>0</v>
          </cell>
          <cell r="AJ1016">
            <v>0</v>
          </cell>
          <cell r="AK1016">
            <v>0</v>
          </cell>
        </row>
        <row r="1017">
          <cell r="B1017" t="str">
            <v/>
          </cell>
          <cell r="H1017" t="str">
            <v/>
          </cell>
          <cell r="J1017" t="str">
            <v/>
          </cell>
          <cell r="N1017" t="str">
            <v/>
          </cell>
          <cell r="O1017" t="str">
            <v/>
          </cell>
          <cell r="P1017" t="str">
            <v/>
          </cell>
          <cell r="Q1017" t="str">
            <v/>
          </cell>
          <cell r="T1017" t="str">
            <v/>
          </cell>
          <cell r="U1017" t="str">
            <v/>
          </cell>
          <cell r="W1017" t="str">
            <v/>
          </cell>
          <cell r="X1017" t="str">
            <v/>
          </cell>
          <cell r="AB1017">
            <v>0</v>
          </cell>
          <cell r="AC1017">
            <v>0</v>
          </cell>
          <cell r="AD1017">
            <v>0</v>
          </cell>
          <cell r="AJ1017">
            <v>0</v>
          </cell>
          <cell r="AK1017">
            <v>0</v>
          </cell>
        </row>
        <row r="1018">
          <cell r="B1018" t="str">
            <v/>
          </cell>
          <cell r="H1018" t="str">
            <v/>
          </cell>
          <cell r="J1018" t="str">
            <v/>
          </cell>
          <cell r="N1018" t="str">
            <v/>
          </cell>
          <cell r="O1018" t="str">
            <v/>
          </cell>
          <cell r="P1018" t="str">
            <v/>
          </cell>
          <cell r="Q1018" t="str">
            <v/>
          </cell>
          <cell r="T1018" t="str">
            <v/>
          </cell>
          <cell r="U1018" t="str">
            <v/>
          </cell>
          <cell r="W1018" t="str">
            <v/>
          </cell>
          <cell r="X1018" t="str">
            <v/>
          </cell>
          <cell r="AB1018">
            <v>0</v>
          </cell>
          <cell r="AC1018">
            <v>0</v>
          </cell>
          <cell r="AD1018">
            <v>0</v>
          </cell>
          <cell r="AJ1018">
            <v>0</v>
          </cell>
          <cell r="AK1018">
            <v>0</v>
          </cell>
        </row>
        <row r="1019">
          <cell r="B1019" t="str">
            <v/>
          </cell>
          <cell r="H1019" t="str">
            <v/>
          </cell>
          <cell r="J1019" t="str">
            <v/>
          </cell>
          <cell r="N1019" t="str">
            <v/>
          </cell>
          <cell r="O1019" t="str">
            <v/>
          </cell>
          <cell r="P1019" t="str">
            <v/>
          </cell>
          <cell r="Q1019" t="str">
            <v/>
          </cell>
          <cell r="T1019" t="str">
            <v/>
          </cell>
          <cell r="U1019" t="str">
            <v/>
          </cell>
          <cell r="W1019" t="str">
            <v/>
          </cell>
          <cell r="X1019" t="str">
            <v/>
          </cell>
          <cell r="AB1019">
            <v>0</v>
          </cell>
          <cell r="AC1019">
            <v>0</v>
          </cell>
          <cell r="AD1019">
            <v>0</v>
          </cell>
          <cell r="AJ1019">
            <v>0</v>
          </cell>
          <cell r="AK1019">
            <v>0</v>
          </cell>
        </row>
        <row r="1020">
          <cell r="B1020" t="str">
            <v/>
          </cell>
          <cell r="H1020" t="str">
            <v/>
          </cell>
          <cell r="J1020" t="str">
            <v/>
          </cell>
          <cell r="N1020" t="str">
            <v/>
          </cell>
          <cell r="O1020" t="str">
            <v/>
          </cell>
          <cell r="P1020" t="str">
            <v/>
          </cell>
          <cell r="Q1020" t="str">
            <v/>
          </cell>
          <cell r="T1020" t="str">
            <v/>
          </cell>
          <cell r="U1020" t="str">
            <v/>
          </cell>
          <cell r="W1020" t="str">
            <v/>
          </cell>
          <cell r="X1020" t="str">
            <v/>
          </cell>
          <cell r="AB1020">
            <v>0</v>
          </cell>
          <cell r="AC1020">
            <v>0</v>
          </cell>
          <cell r="AD1020">
            <v>0</v>
          </cell>
          <cell r="AJ1020">
            <v>0</v>
          </cell>
          <cell r="AK1020">
            <v>0</v>
          </cell>
        </row>
        <row r="1021">
          <cell r="B1021" t="str">
            <v/>
          </cell>
          <cell r="H1021" t="str">
            <v/>
          </cell>
          <cell r="J1021" t="str">
            <v/>
          </cell>
          <cell r="N1021" t="str">
            <v/>
          </cell>
          <cell r="O1021" t="str">
            <v/>
          </cell>
          <cell r="P1021" t="str">
            <v/>
          </cell>
          <cell r="Q1021" t="str">
            <v/>
          </cell>
          <cell r="T1021" t="str">
            <v/>
          </cell>
          <cell r="U1021" t="str">
            <v/>
          </cell>
          <cell r="W1021" t="str">
            <v/>
          </cell>
          <cell r="X1021" t="str">
            <v/>
          </cell>
          <cell r="AB1021">
            <v>0</v>
          </cell>
          <cell r="AC1021">
            <v>0</v>
          </cell>
          <cell r="AD1021">
            <v>0</v>
          </cell>
          <cell r="AJ1021">
            <v>0</v>
          </cell>
          <cell r="AK1021">
            <v>0</v>
          </cell>
        </row>
        <row r="1022">
          <cell r="B1022" t="str">
            <v/>
          </cell>
          <cell r="H1022" t="str">
            <v/>
          </cell>
          <cell r="J1022" t="str">
            <v/>
          </cell>
          <cell r="N1022" t="str">
            <v/>
          </cell>
          <cell r="O1022" t="str">
            <v/>
          </cell>
          <cell r="P1022" t="str">
            <v/>
          </cell>
          <cell r="Q1022" t="str">
            <v/>
          </cell>
          <cell r="T1022" t="str">
            <v/>
          </cell>
          <cell r="U1022" t="str">
            <v/>
          </cell>
          <cell r="W1022" t="str">
            <v/>
          </cell>
          <cell r="X1022" t="str">
            <v/>
          </cell>
          <cell r="AB1022">
            <v>0</v>
          </cell>
          <cell r="AC1022">
            <v>0</v>
          </cell>
          <cell r="AD1022">
            <v>0</v>
          </cell>
          <cell r="AJ1022">
            <v>0</v>
          </cell>
          <cell r="AK1022">
            <v>0</v>
          </cell>
        </row>
        <row r="1023">
          <cell r="B1023" t="str">
            <v/>
          </cell>
          <cell r="H1023" t="str">
            <v/>
          </cell>
          <cell r="J1023" t="str">
            <v/>
          </cell>
          <cell r="N1023" t="str">
            <v/>
          </cell>
          <cell r="O1023" t="str">
            <v/>
          </cell>
          <cell r="P1023" t="str">
            <v/>
          </cell>
          <cell r="Q1023" t="str">
            <v/>
          </cell>
          <cell r="T1023" t="str">
            <v/>
          </cell>
          <cell r="U1023" t="str">
            <v/>
          </cell>
          <cell r="W1023" t="str">
            <v/>
          </cell>
          <cell r="X1023" t="str">
            <v/>
          </cell>
          <cell r="AB1023">
            <v>0</v>
          </cell>
          <cell r="AC1023">
            <v>0</v>
          </cell>
          <cell r="AD1023">
            <v>0</v>
          </cell>
          <cell r="AJ1023">
            <v>0</v>
          </cell>
          <cell r="AK1023">
            <v>0</v>
          </cell>
        </row>
        <row r="1024">
          <cell r="B1024" t="str">
            <v/>
          </cell>
          <cell r="H1024" t="str">
            <v/>
          </cell>
          <cell r="J1024" t="str">
            <v/>
          </cell>
          <cell r="N1024" t="str">
            <v/>
          </cell>
          <cell r="O1024" t="str">
            <v/>
          </cell>
          <cell r="P1024" t="str">
            <v/>
          </cell>
          <cell r="Q1024" t="str">
            <v/>
          </cell>
          <cell r="T1024" t="str">
            <v/>
          </cell>
          <cell r="U1024" t="str">
            <v/>
          </cell>
          <cell r="W1024" t="str">
            <v/>
          </cell>
          <cell r="X1024" t="str">
            <v/>
          </cell>
          <cell r="AB1024">
            <v>0</v>
          </cell>
          <cell r="AC1024">
            <v>0</v>
          </cell>
          <cell r="AD1024">
            <v>0</v>
          </cell>
          <cell r="AJ1024">
            <v>0</v>
          </cell>
          <cell r="AK1024">
            <v>0</v>
          </cell>
        </row>
        <row r="1025">
          <cell r="B1025" t="str">
            <v/>
          </cell>
          <cell r="H1025" t="str">
            <v/>
          </cell>
          <cell r="J1025" t="str">
            <v/>
          </cell>
          <cell r="N1025" t="str">
            <v/>
          </cell>
          <cell r="O1025" t="str">
            <v/>
          </cell>
          <cell r="P1025" t="str">
            <v/>
          </cell>
          <cell r="Q1025" t="str">
            <v/>
          </cell>
          <cell r="T1025" t="str">
            <v/>
          </cell>
          <cell r="U1025" t="str">
            <v/>
          </cell>
          <cell r="W1025" t="str">
            <v/>
          </cell>
          <cell r="X1025" t="str">
            <v/>
          </cell>
          <cell r="AB1025">
            <v>0</v>
          </cell>
          <cell r="AC1025">
            <v>0</v>
          </cell>
          <cell r="AD1025">
            <v>0</v>
          </cell>
          <cell r="AJ1025">
            <v>0</v>
          </cell>
          <cell r="AK1025">
            <v>0</v>
          </cell>
        </row>
        <row r="1026">
          <cell r="B1026" t="str">
            <v/>
          </cell>
          <cell r="H1026" t="str">
            <v/>
          </cell>
          <cell r="J1026" t="str">
            <v/>
          </cell>
          <cell r="N1026" t="str">
            <v/>
          </cell>
          <cell r="O1026" t="str">
            <v/>
          </cell>
          <cell r="P1026" t="str">
            <v/>
          </cell>
          <cell r="Q1026" t="str">
            <v/>
          </cell>
          <cell r="T1026" t="str">
            <v/>
          </cell>
          <cell r="U1026" t="str">
            <v/>
          </cell>
          <cell r="W1026" t="str">
            <v/>
          </cell>
          <cell r="X1026" t="str">
            <v/>
          </cell>
          <cell r="AB1026">
            <v>0</v>
          </cell>
          <cell r="AC1026">
            <v>0</v>
          </cell>
          <cell r="AD1026">
            <v>0</v>
          </cell>
          <cell r="AJ1026">
            <v>0</v>
          </cell>
          <cell r="AK1026">
            <v>0</v>
          </cell>
        </row>
        <row r="1027">
          <cell r="B1027" t="str">
            <v/>
          </cell>
          <cell r="H1027" t="str">
            <v/>
          </cell>
          <cell r="J1027" t="str">
            <v/>
          </cell>
          <cell r="N1027" t="str">
            <v/>
          </cell>
          <cell r="O1027" t="str">
            <v/>
          </cell>
          <cell r="P1027" t="str">
            <v/>
          </cell>
          <cell r="Q1027" t="str">
            <v/>
          </cell>
          <cell r="T1027" t="str">
            <v/>
          </cell>
          <cell r="U1027" t="str">
            <v/>
          </cell>
          <cell r="W1027" t="str">
            <v/>
          </cell>
          <cell r="X1027" t="str">
            <v/>
          </cell>
          <cell r="AB1027">
            <v>0</v>
          </cell>
          <cell r="AC1027">
            <v>0</v>
          </cell>
          <cell r="AD1027">
            <v>0</v>
          </cell>
          <cell r="AJ1027">
            <v>0</v>
          </cell>
          <cell r="AK1027">
            <v>0</v>
          </cell>
        </row>
        <row r="1028">
          <cell r="B1028" t="str">
            <v/>
          </cell>
          <cell r="H1028" t="str">
            <v/>
          </cell>
          <cell r="J1028" t="str">
            <v/>
          </cell>
          <cell r="N1028" t="str">
            <v/>
          </cell>
          <cell r="O1028" t="str">
            <v/>
          </cell>
          <cell r="P1028" t="str">
            <v/>
          </cell>
          <cell r="Q1028" t="str">
            <v/>
          </cell>
          <cell r="T1028" t="str">
            <v/>
          </cell>
          <cell r="U1028" t="str">
            <v/>
          </cell>
          <cell r="W1028" t="str">
            <v/>
          </cell>
          <cell r="X1028" t="str">
            <v/>
          </cell>
          <cell r="AB1028">
            <v>0</v>
          </cell>
          <cell r="AC1028">
            <v>0</v>
          </cell>
          <cell r="AD1028">
            <v>0</v>
          </cell>
          <cell r="AJ1028">
            <v>0</v>
          </cell>
          <cell r="AK1028">
            <v>0</v>
          </cell>
        </row>
        <row r="1029">
          <cell r="B1029" t="str">
            <v/>
          </cell>
          <cell r="H1029" t="str">
            <v/>
          </cell>
          <cell r="J1029" t="str">
            <v/>
          </cell>
          <cell r="N1029" t="str">
            <v/>
          </cell>
          <cell r="O1029" t="str">
            <v/>
          </cell>
          <cell r="P1029" t="str">
            <v/>
          </cell>
          <cell r="Q1029" t="str">
            <v/>
          </cell>
          <cell r="T1029" t="str">
            <v/>
          </cell>
          <cell r="U1029" t="str">
            <v/>
          </cell>
          <cell r="W1029" t="str">
            <v/>
          </cell>
          <cell r="X1029" t="str">
            <v/>
          </cell>
          <cell r="AB1029">
            <v>0</v>
          </cell>
          <cell r="AC1029">
            <v>0</v>
          </cell>
          <cell r="AD1029">
            <v>0</v>
          </cell>
          <cell r="AJ1029">
            <v>0</v>
          </cell>
          <cell r="AK1029">
            <v>0</v>
          </cell>
        </row>
        <row r="1030">
          <cell r="B1030" t="str">
            <v/>
          </cell>
          <cell r="H1030" t="str">
            <v/>
          </cell>
          <cell r="J1030" t="str">
            <v/>
          </cell>
          <cell r="N1030" t="str">
            <v/>
          </cell>
          <cell r="O1030" t="str">
            <v/>
          </cell>
          <cell r="P1030" t="str">
            <v/>
          </cell>
          <cell r="Q1030" t="str">
            <v/>
          </cell>
          <cell r="T1030" t="str">
            <v/>
          </cell>
          <cell r="U1030" t="str">
            <v/>
          </cell>
          <cell r="W1030" t="str">
            <v/>
          </cell>
          <cell r="X1030" t="str">
            <v/>
          </cell>
          <cell r="AB1030">
            <v>0</v>
          </cell>
          <cell r="AC1030">
            <v>0</v>
          </cell>
          <cell r="AD1030">
            <v>0</v>
          </cell>
          <cell r="AJ1030">
            <v>0</v>
          </cell>
          <cell r="AK1030">
            <v>0</v>
          </cell>
        </row>
        <row r="1031">
          <cell r="B1031" t="str">
            <v/>
          </cell>
          <cell r="H1031" t="str">
            <v/>
          </cell>
          <cell r="J1031" t="str">
            <v/>
          </cell>
          <cell r="N1031" t="str">
            <v/>
          </cell>
          <cell r="O1031" t="str">
            <v/>
          </cell>
          <cell r="P1031" t="str">
            <v/>
          </cell>
          <cell r="Q1031" t="str">
            <v/>
          </cell>
          <cell r="T1031" t="str">
            <v/>
          </cell>
          <cell r="U1031" t="str">
            <v/>
          </cell>
          <cell r="W1031" t="str">
            <v/>
          </cell>
          <cell r="X1031" t="str">
            <v/>
          </cell>
          <cell r="AB1031">
            <v>0</v>
          </cell>
          <cell r="AC1031">
            <v>0</v>
          </cell>
          <cell r="AD1031">
            <v>0</v>
          </cell>
          <cell r="AJ1031">
            <v>0</v>
          </cell>
          <cell r="AK1031">
            <v>0</v>
          </cell>
        </row>
        <row r="1032">
          <cell r="B1032" t="str">
            <v/>
          </cell>
          <cell r="H1032" t="str">
            <v/>
          </cell>
          <cell r="J1032" t="str">
            <v/>
          </cell>
          <cell r="N1032" t="str">
            <v/>
          </cell>
          <cell r="O1032" t="str">
            <v/>
          </cell>
          <cell r="P1032" t="str">
            <v/>
          </cell>
          <cell r="Q1032" t="str">
            <v/>
          </cell>
          <cell r="T1032" t="str">
            <v/>
          </cell>
          <cell r="U1032" t="str">
            <v/>
          </cell>
          <cell r="W1032" t="str">
            <v/>
          </cell>
          <cell r="X1032" t="str">
            <v/>
          </cell>
          <cell r="AB1032">
            <v>0</v>
          </cell>
          <cell r="AC1032">
            <v>0</v>
          </cell>
          <cell r="AD1032">
            <v>0</v>
          </cell>
          <cell r="AJ1032">
            <v>0</v>
          </cell>
          <cell r="AK1032">
            <v>0</v>
          </cell>
        </row>
        <row r="1033">
          <cell r="B1033" t="str">
            <v/>
          </cell>
          <cell r="H1033" t="str">
            <v/>
          </cell>
          <cell r="J1033" t="str">
            <v/>
          </cell>
          <cell r="N1033" t="str">
            <v/>
          </cell>
          <cell r="O1033" t="str">
            <v/>
          </cell>
          <cell r="P1033" t="str">
            <v/>
          </cell>
          <cell r="Q1033" t="str">
            <v/>
          </cell>
          <cell r="T1033" t="str">
            <v/>
          </cell>
          <cell r="U1033" t="str">
            <v/>
          </cell>
          <cell r="W1033" t="str">
            <v/>
          </cell>
          <cell r="X1033" t="str">
            <v/>
          </cell>
          <cell r="AB1033">
            <v>0</v>
          </cell>
          <cell r="AC1033">
            <v>0</v>
          </cell>
          <cell r="AD1033">
            <v>0</v>
          </cell>
          <cell r="AJ1033">
            <v>0</v>
          </cell>
          <cell r="AK1033">
            <v>0</v>
          </cell>
        </row>
        <row r="1034">
          <cell r="B1034" t="str">
            <v/>
          </cell>
          <cell r="H1034" t="str">
            <v/>
          </cell>
          <cell r="J1034" t="str">
            <v/>
          </cell>
          <cell r="N1034" t="str">
            <v/>
          </cell>
          <cell r="O1034" t="str">
            <v/>
          </cell>
          <cell r="P1034" t="str">
            <v/>
          </cell>
          <cell r="Q1034" t="str">
            <v/>
          </cell>
          <cell r="T1034" t="str">
            <v/>
          </cell>
          <cell r="U1034" t="str">
            <v/>
          </cell>
          <cell r="W1034" t="str">
            <v/>
          </cell>
          <cell r="X1034" t="str">
            <v/>
          </cell>
          <cell r="AB1034">
            <v>0</v>
          </cell>
          <cell r="AC1034">
            <v>0</v>
          </cell>
          <cell r="AD1034">
            <v>0</v>
          </cell>
          <cell r="AJ1034">
            <v>0</v>
          </cell>
          <cell r="AK1034">
            <v>0</v>
          </cell>
        </row>
        <row r="1035">
          <cell r="B1035" t="str">
            <v/>
          </cell>
          <cell r="H1035" t="str">
            <v/>
          </cell>
          <cell r="J1035" t="str">
            <v/>
          </cell>
          <cell r="N1035" t="str">
            <v/>
          </cell>
          <cell r="O1035" t="str">
            <v/>
          </cell>
          <cell r="P1035" t="str">
            <v/>
          </cell>
          <cell r="Q1035" t="str">
            <v/>
          </cell>
          <cell r="T1035" t="str">
            <v/>
          </cell>
          <cell r="U1035" t="str">
            <v/>
          </cell>
          <cell r="W1035" t="str">
            <v/>
          </cell>
          <cell r="X1035" t="str">
            <v/>
          </cell>
          <cell r="AB1035">
            <v>0</v>
          </cell>
          <cell r="AC1035">
            <v>0</v>
          </cell>
          <cell r="AD1035">
            <v>0</v>
          </cell>
          <cell r="AJ1035">
            <v>0</v>
          </cell>
          <cell r="AK1035">
            <v>0</v>
          </cell>
        </row>
        <row r="1036">
          <cell r="B1036" t="str">
            <v/>
          </cell>
          <cell r="H1036" t="str">
            <v/>
          </cell>
          <cell r="J1036" t="str">
            <v/>
          </cell>
          <cell r="N1036" t="str">
            <v/>
          </cell>
          <cell r="O1036" t="str">
            <v/>
          </cell>
          <cell r="P1036" t="str">
            <v/>
          </cell>
          <cell r="Q1036" t="str">
            <v/>
          </cell>
          <cell r="T1036" t="str">
            <v/>
          </cell>
          <cell r="U1036" t="str">
            <v/>
          </cell>
          <cell r="W1036" t="str">
            <v/>
          </cell>
          <cell r="X1036" t="str">
            <v/>
          </cell>
          <cell r="AB1036">
            <v>0</v>
          </cell>
          <cell r="AC1036">
            <v>0</v>
          </cell>
          <cell r="AD1036">
            <v>0</v>
          </cell>
          <cell r="AJ1036">
            <v>0</v>
          </cell>
          <cell r="AK1036">
            <v>0</v>
          </cell>
        </row>
        <row r="1037">
          <cell r="B1037" t="str">
            <v/>
          </cell>
          <cell r="H1037" t="str">
            <v/>
          </cell>
          <cell r="J1037" t="str">
            <v/>
          </cell>
          <cell r="N1037" t="str">
            <v/>
          </cell>
          <cell r="O1037" t="str">
            <v/>
          </cell>
          <cell r="P1037" t="str">
            <v/>
          </cell>
          <cell r="Q1037" t="str">
            <v/>
          </cell>
          <cell r="T1037" t="str">
            <v/>
          </cell>
          <cell r="U1037" t="str">
            <v/>
          </cell>
          <cell r="W1037" t="str">
            <v/>
          </cell>
          <cell r="X1037" t="str">
            <v/>
          </cell>
          <cell r="AB1037">
            <v>0</v>
          </cell>
          <cell r="AC1037">
            <v>0</v>
          </cell>
          <cell r="AD1037">
            <v>0</v>
          </cell>
          <cell r="AJ1037">
            <v>0</v>
          </cell>
          <cell r="AK1037">
            <v>0</v>
          </cell>
        </row>
        <row r="1038">
          <cell r="B1038" t="str">
            <v/>
          </cell>
          <cell r="H1038" t="str">
            <v/>
          </cell>
          <cell r="J1038" t="str">
            <v/>
          </cell>
          <cell r="N1038" t="str">
            <v/>
          </cell>
          <cell r="O1038" t="str">
            <v/>
          </cell>
          <cell r="P1038" t="str">
            <v/>
          </cell>
          <cell r="Q1038" t="str">
            <v/>
          </cell>
          <cell r="T1038" t="str">
            <v/>
          </cell>
          <cell r="U1038" t="str">
            <v/>
          </cell>
          <cell r="W1038" t="str">
            <v/>
          </cell>
          <cell r="X1038" t="str">
            <v/>
          </cell>
          <cell r="AB1038">
            <v>0</v>
          </cell>
          <cell r="AC1038">
            <v>0</v>
          </cell>
          <cell r="AD1038">
            <v>0</v>
          </cell>
          <cell r="AJ1038">
            <v>0</v>
          </cell>
          <cell r="AK1038">
            <v>0</v>
          </cell>
        </row>
        <row r="1039">
          <cell r="B1039" t="str">
            <v/>
          </cell>
          <cell r="H1039" t="str">
            <v/>
          </cell>
          <cell r="J1039" t="str">
            <v/>
          </cell>
          <cell r="N1039" t="str">
            <v/>
          </cell>
          <cell r="O1039" t="str">
            <v/>
          </cell>
          <cell r="P1039" t="str">
            <v/>
          </cell>
          <cell r="Q1039" t="str">
            <v/>
          </cell>
          <cell r="T1039" t="str">
            <v/>
          </cell>
          <cell r="U1039" t="str">
            <v/>
          </cell>
          <cell r="W1039" t="str">
            <v/>
          </cell>
          <cell r="X1039" t="str">
            <v/>
          </cell>
          <cell r="AB1039">
            <v>0</v>
          </cell>
          <cell r="AC1039">
            <v>0</v>
          </cell>
          <cell r="AD1039">
            <v>0</v>
          </cell>
          <cell r="AJ1039">
            <v>0</v>
          </cell>
          <cell r="AK1039">
            <v>0</v>
          </cell>
        </row>
        <row r="1040">
          <cell r="B1040" t="str">
            <v/>
          </cell>
          <cell r="H1040" t="str">
            <v/>
          </cell>
          <cell r="J1040" t="str">
            <v/>
          </cell>
          <cell r="N1040" t="str">
            <v/>
          </cell>
          <cell r="O1040" t="str">
            <v/>
          </cell>
          <cell r="P1040" t="str">
            <v/>
          </cell>
          <cell r="Q1040" t="str">
            <v/>
          </cell>
          <cell r="T1040" t="str">
            <v/>
          </cell>
          <cell r="U1040" t="str">
            <v/>
          </cell>
          <cell r="W1040" t="str">
            <v/>
          </cell>
          <cell r="X1040" t="str">
            <v/>
          </cell>
          <cell r="AB1040">
            <v>0</v>
          </cell>
          <cell r="AC1040">
            <v>0</v>
          </cell>
          <cell r="AD1040">
            <v>0</v>
          </cell>
          <cell r="AJ1040">
            <v>0</v>
          </cell>
          <cell r="AK1040">
            <v>0</v>
          </cell>
        </row>
        <row r="1041">
          <cell r="B1041" t="str">
            <v/>
          </cell>
          <cell r="H1041" t="str">
            <v/>
          </cell>
          <cell r="J1041" t="str">
            <v/>
          </cell>
          <cell r="N1041" t="str">
            <v/>
          </cell>
          <cell r="O1041" t="str">
            <v/>
          </cell>
          <cell r="P1041" t="str">
            <v/>
          </cell>
          <cell r="Q1041" t="str">
            <v/>
          </cell>
          <cell r="T1041" t="str">
            <v/>
          </cell>
          <cell r="U1041" t="str">
            <v/>
          </cell>
          <cell r="W1041" t="str">
            <v/>
          </cell>
          <cell r="X1041" t="str">
            <v/>
          </cell>
          <cell r="AB1041">
            <v>0</v>
          </cell>
          <cell r="AC1041">
            <v>0</v>
          </cell>
          <cell r="AD1041">
            <v>0</v>
          </cell>
          <cell r="AJ1041">
            <v>0</v>
          </cell>
          <cell r="AK1041">
            <v>0</v>
          </cell>
        </row>
        <row r="1042">
          <cell r="B1042" t="str">
            <v/>
          </cell>
          <cell r="H1042" t="str">
            <v/>
          </cell>
          <cell r="J1042" t="str">
            <v/>
          </cell>
          <cell r="N1042" t="str">
            <v/>
          </cell>
          <cell r="O1042" t="str">
            <v/>
          </cell>
          <cell r="P1042" t="str">
            <v/>
          </cell>
          <cell r="Q1042" t="str">
            <v/>
          </cell>
          <cell r="T1042" t="str">
            <v/>
          </cell>
          <cell r="U1042" t="str">
            <v/>
          </cell>
          <cell r="W1042" t="str">
            <v/>
          </cell>
          <cell r="X1042" t="str">
            <v/>
          </cell>
          <cell r="AB1042">
            <v>0</v>
          </cell>
          <cell r="AC1042">
            <v>0</v>
          </cell>
          <cell r="AD1042">
            <v>0</v>
          </cell>
          <cell r="AJ1042">
            <v>0</v>
          </cell>
          <cell r="AK1042">
            <v>0</v>
          </cell>
        </row>
        <row r="1043">
          <cell r="B1043" t="str">
            <v/>
          </cell>
          <cell r="H1043" t="str">
            <v/>
          </cell>
          <cell r="J1043" t="str">
            <v/>
          </cell>
          <cell r="N1043" t="str">
            <v/>
          </cell>
          <cell r="O1043" t="str">
            <v/>
          </cell>
          <cell r="P1043" t="str">
            <v/>
          </cell>
          <cell r="Q1043" t="str">
            <v/>
          </cell>
          <cell r="T1043" t="str">
            <v/>
          </cell>
          <cell r="U1043" t="str">
            <v/>
          </cell>
          <cell r="W1043" t="str">
            <v/>
          </cell>
          <cell r="X1043" t="str">
            <v/>
          </cell>
          <cell r="AB1043">
            <v>0</v>
          </cell>
          <cell r="AC1043">
            <v>0</v>
          </cell>
          <cell r="AD1043">
            <v>0</v>
          </cell>
          <cell r="AJ1043">
            <v>0</v>
          </cell>
          <cell r="AK1043">
            <v>0</v>
          </cell>
        </row>
        <row r="1044">
          <cell r="B1044" t="str">
            <v/>
          </cell>
          <cell r="H1044" t="str">
            <v/>
          </cell>
          <cell r="J1044" t="str">
            <v/>
          </cell>
          <cell r="N1044" t="str">
            <v/>
          </cell>
          <cell r="O1044" t="str">
            <v/>
          </cell>
          <cell r="P1044" t="str">
            <v/>
          </cell>
          <cell r="Q1044" t="str">
            <v/>
          </cell>
          <cell r="T1044" t="str">
            <v/>
          </cell>
          <cell r="U1044" t="str">
            <v/>
          </cell>
          <cell r="W1044" t="str">
            <v/>
          </cell>
          <cell r="X1044" t="str">
            <v/>
          </cell>
          <cell r="AB1044">
            <v>0</v>
          </cell>
          <cell r="AC1044">
            <v>0</v>
          </cell>
          <cell r="AD1044">
            <v>0</v>
          </cell>
          <cell r="AJ1044">
            <v>0</v>
          </cell>
          <cell r="AK1044">
            <v>0</v>
          </cell>
        </row>
        <row r="1045">
          <cell r="B1045" t="str">
            <v/>
          </cell>
          <cell r="H1045" t="str">
            <v/>
          </cell>
          <cell r="J1045" t="str">
            <v/>
          </cell>
          <cell r="N1045" t="str">
            <v/>
          </cell>
          <cell r="O1045" t="str">
            <v/>
          </cell>
          <cell r="P1045" t="str">
            <v/>
          </cell>
          <cell r="Q1045" t="str">
            <v/>
          </cell>
          <cell r="T1045" t="str">
            <v/>
          </cell>
          <cell r="U1045" t="str">
            <v/>
          </cell>
          <cell r="W1045" t="str">
            <v/>
          </cell>
          <cell r="X1045" t="str">
            <v/>
          </cell>
          <cell r="AB1045">
            <v>0</v>
          </cell>
          <cell r="AC1045">
            <v>0</v>
          </cell>
          <cell r="AD1045">
            <v>0</v>
          </cell>
          <cell r="AJ1045">
            <v>0</v>
          </cell>
          <cell r="AK1045">
            <v>0</v>
          </cell>
        </row>
        <row r="1046">
          <cell r="B1046" t="str">
            <v/>
          </cell>
          <cell r="H1046" t="str">
            <v/>
          </cell>
          <cell r="J1046" t="str">
            <v/>
          </cell>
          <cell r="N1046" t="str">
            <v/>
          </cell>
          <cell r="O1046" t="str">
            <v/>
          </cell>
          <cell r="P1046" t="str">
            <v/>
          </cell>
          <cell r="Q1046" t="str">
            <v/>
          </cell>
          <cell r="T1046" t="str">
            <v/>
          </cell>
          <cell r="U1046" t="str">
            <v/>
          </cell>
          <cell r="W1046" t="str">
            <v/>
          </cell>
          <cell r="X1046" t="str">
            <v/>
          </cell>
          <cell r="AB1046">
            <v>0</v>
          </cell>
          <cell r="AC1046">
            <v>0</v>
          </cell>
          <cell r="AD1046">
            <v>0</v>
          </cell>
          <cell r="AJ1046">
            <v>0</v>
          </cell>
          <cell r="AK1046">
            <v>0</v>
          </cell>
        </row>
        <row r="1047">
          <cell r="B1047" t="str">
            <v/>
          </cell>
          <cell r="H1047" t="str">
            <v/>
          </cell>
          <cell r="J1047" t="str">
            <v/>
          </cell>
          <cell r="N1047" t="str">
            <v/>
          </cell>
          <cell r="O1047" t="str">
            <v/>
          </cell>
          <cell r="P1047" t="str">
            <v/>
          </cell>
          <cell r="Q1047" t="str">
            <v/>
          </cell>
          <cell r="T1047" t="str">
            <v/>
          </cell>
          <cell r="U1047" t="str">
            <v/>
          </cell>
          <cell r="W1047" t="str">
            <v/>
          </cell>
          <cell r="X1047" t="str">
            <v/>
          </cell>
          <cell r="AB1047">
            <v>0</v>
          </cell>
          <cell r="AC1047">
            <v>0</v>
          </cell>
          <cell r="AD1047">
            <v>0</v>
          </cell>
          <cell r="AJ1047">
            <v>0</v>
          </cell>
          <cell r="AK1047">
            <v>0</v>
          </cell>
        </row>
        <row r="1048">
          <cell r="B1048" t="str">
            <v/>
          </cell>
          <cell r="H1048" t="str">
            <v/>
          </cell>
          <cell r="J1048" t="str">
            <v/>
          </cell>
          <cell r="N1048" t="str">
            <v/>
          </cell>
          <cell r="O1048" t="str">
            <v/>
          </cell>
          <cell r="P1048" t="str">
            <v/>
          </cell>
          <cell r="Q1048" t="str">
            <v/>
          </cell>
          <cell r="T1048" t="str">
            <v/>
          </cell>
          <cell r="U1048" t="str">
            <v/>
          </cell>
          <cell r="W1048" t="str">
            <v/>
          </cell>
          <cell r="X1048" t="str">
            <v/>
          </cell>
          <cell r="AB1048">
            <v>0</v>
          </cell>
          <cell r="AC1048">
            <v>0</v>
          </cell>
          <cell r="AD1048">
            <v>0</v>
          </cell>
          <cell r="AJ1048">
            <v>0</v>
          </cell>
          <cell r="AK1048">
            <v>0</v>
          </cell>
        </row>
        <row r="1049">
          <cell r="B1049" t="str">
            <v/>
          </cell>
          <cell r="H1049" t="str">
            <v/>
          </cell>
          <cell r="J1049" t="str">
            <v/>
          </cell>
          <cell r="N1049" t="str">
            <v/>
          </cell>
          <cell r="O1049" t="str">
            <v/>
          </cell>
          <cell r="P1049" t="str">
            <v/>
          </cell>
          <cell r="Q1049" t="str">
            <v/>
          </cell>
          <cell r="T1049" t="str">
            <v/>
          </cell>
          <cell r="U1049" t="str">
            <v/>
          </cell>
          <cell r="W1049" t="str">
            <v/>
          </cell>
          <cell r="X1049" t="str">
            <v/>
          </cell>
          <cell r="AB1049">
            <v>0</v>
          </cell>
          <cell r="AC1049">
            <v>0</v>
          </cell>
          <cell r="AD1049">
            <v>0</v>
          </cell>
          <cell r="AJ1049">
            <v>0</v>
          </cell>
          <cell r="AK1049">
            <v>0</v>
          </cell>
        </row>
        <row r="1050">
          <cell r="B1050" t="str">
            <v/>
          </cell>
          <cell r="H1050" t="str">
            <v/>
          </cell>
          <cell r="J1050" t="str">
            <v/>
          </cell>
          <cell r="N1050" t="str">
            <v/>
          </cell>
          <cell r="O1050" t="str">
            <v/>
          </cell>
          <cell r="P1050" t="str">
            <v/>
          </cell>
          <cell r="Q1050" t="str">
            <v/>
          </cell>
          <cell r="T1050" t="str">
            <v/>
          </cell>
          <cell r="U1050" t="str">
            <v/>
          </cell>
          <cell r="W1050" t="str">
            <v/>
          </cell>
          <cell r="X1050" t="str">
            <v/>
          </cell>
          <cell r="AB1050">
            <v>0</v>
          </cell>
          <cell r="AC1050">
            <v>0</v>
          </cell>
          <cell r="AD1050">
            <v>0</v>
          </cell>
          <cell r="AJ1050">
            <v>0</v>
          </cell>
          <cell r="AK1050">
            <v>0</v>
          </cell>
        </row>
        <row r="1051">
          <cell r="B1051" t="str">
            <v/>
          </cell>
          <cell r="H1051" t="str">
            <v/>
          </cell>
          <cell r="J1051" t="str">
            <v/>
          </cell>
          <cell r="N1051" t="str">
            <v/>
          </cell>
          <cell r="O1051" t="str">
            <v/>
          </cell>
          <cell r="P1051" t="str">
            <v/>
          </cell>
          <cell r="Q1051" t="str">
            <v/>
          </cell>
          <cell r="T1051" t="str">
            <v/>
          </cell>
          <cell r="U1051" t="str">
            <v/>
          </cell>
          <cell r="W1051" t="str">
            <v/>
          </cell>
          <cell r="X1051" t="str">
            <v/>
          </cell>
          <cell r="AB1051">
            <v>0</v>
          </cell>
          <cell r="AC1051">
            <v>0</v>
          </cell>
          <cell r="AD1051">
            <v>0</v>
          </cell>
          <cell r="AJ1051">
            <v>0</v>
          </cell>
          <cell r="AK1051">
            <v>0</v>
          </cell>
        </row>
        <row r="1052">
          <cell r="B1052" t="str">
            <v/>
          </cell>
          <cell r="H1052" t="str">
            <v/>
          </cell>
          <cell r="J1052" t="str">
            <v/>
          </cell>
          <cell r="N1052" t="str">
            <v/>
          </cell>
          <cell r="O1052" t="str">
            <v/>
          </cell>
          <cell r="P1052" t="str">
            <v/>
          </cell>
          <cell r="Q1052" t="str">
            <v/>
          </cell>
          <cell r="T1052" t="str">
            <v/>
          </cell>
          <cell r="U1052" t="str">
            <v/>
          </cell>
          <cell r="W1052" t="str">
            <v/>
          </cell>
          <cell r="X1052" t="str">
            <v/>
          </cell>
          <cell r="AB1052">
            <v>0</v>
          </cell>
          <cell r="AC1052">
            <v>0</v>
          </cell>
          <cell r="AD1052">
            <v>0</v>
          </cell>
          <cell r="AJ1052">
            <v>0</v>
          </cell>
          <cell r="AK1052">
            <v>0</v>
          </cell>
        </row>
        <row r="1053">
          <cell r="B1053" t="str">
            <v/>
          </cell>
          <cell r="H1053" t="str">
            <v/>
          </cell>
          <cell r="J1053" t="str">
            <v/>
          </cell>
          <cell r="N1053" t="str">
            <v/>
          </cell>
          <cell r="O1053" t="str">
            <v/>
          </cell>
          <cell r="P1053" t="str">
            <v/>
          </cell>
          <cell r="Q1053" t="str">
            <v/>
          </cell>
          <cell r="T1053" t="str">
            <v/>
          </cell>
          <cell r="U1053" t="str">
            <v/>
          </cell>
          <cell r="W1053" t="str">
            <v/>
          </cell>
          <cell r="X1053" t="str">
            <v/>
          </cell>
          <cell r="AB1053">
            <v>0</v>
          </cell>
          <cell r="AC1053">
            <v>0</v>
          </cell>
          <cell r="AD1053">
            <v>0</v>
          </cell>
          <cell r="AJ1053">
            <v>0</v>
          </cell>
          <cell r="AK1053">
            <v>0</v>
          </cell>
        </row>
        <row r="1054">
          <cell r="B1054" t="str">
            <v/>
          </cell>
          <cell r="H1054" t="str">
            <v/>
          </cell>
          <cell r="J1054" t="str">
            <v/>
          </cell>
          <cell r="N1054" t="str">
            <v/>
          </cell>
          <cell r="O1054" t="str">
            <v/>
          </cell>
          <cell r="P1054" t="str">
            <v/>
          </cell>
          <cell r="Q1054" t="str">
            <v/>
          </cell>
          <cell r="T1054" t="str">
            <v/>
          </cell>
          <cell r="U1054" t="str">
            <v/>
          </cell>
          <cell r="W1054" t="str">
            <v/>
          </cell>
          <cell r="X1054" t="str">
            <v/>
          </cell>
          <cell r="AB1054">
            <v>0</v>
          </cell>
          <cell r="AC1054">
            <v>0</v>
          </cell>
          <cell r="AD1054">
            <v>0</v>
          </cell>
          <cell r="AJ1054">
            <v>0</v>
          </cell>
          <cell r="AK1054">
            <v>0</v>
          </cell>
        </row>
        <row r="1055">
          <cell r="B1055" t="str">
            <v/>
          </cell>
          <cell r="H1055" t="str">
            <v/>
          </cell>
          <cell r="J1055" t="str">
            <v/>
          </cell>
          <cell r="N1055" t="str">
            <v/>
          </cell>
          <cell r="O1055" t="str">
            <v/>
          </cell>
          <cell r="P1055" t="str">
            <v/>
          </cell>
          <cell r="Q1055" t="str">
            <v/>
          </cell>
          <cell r="T1055" t="str">
            <v/>
          </cell>
          <cell r="U1055" t="str">
            <v/>
          </cell>
          <cell r="W1055" t="str">
            <v/>
          </cell>
          <cell r="X1055" t="str">
            <v/>
          </cell>
          <cell r="AB1055">
            <v>0</v>
          </cell>
          <cell r="AC1055">
            <v>0</v>
          </cell>
          <cell r="AD1055">
            <v>0</v>
          </cell>
          <cell r="AJ1055">
            <v>0</v>
          </cell>
          <cell r="AK1055">
            <v>0</v>
          </cell>
        </row>
        <row r="1056">
          <cell r="B1056" t="str">
            <v/>
          </cell>
          <cell r="H1056" t="str">
            <v/>
          </cell>
          <cell r="J1056" t="str">
            <v/>
          </cell>
          <cell r="N1056" t="str">
            <v/>
          </cell>
          <cell r="O1056" t="str">
            <v/>
          </cell>
          <cell r="P1056" t="str">
            <v/>
          </cell>
          <cell r="Q1056" t="str">
            <v/>
          </cell>
          <cell r="T1056" t="str">
            <v/>
          </cell>
          <cell r="U1056" t="str">
            <v/>
          </cell>
          <cell r="W1056" t="str">
            <v/>
          </cell>
          <cell r="X1056" t="str">
            <v/>
          </cell>
          <cell r="AB1056">
            <v>0</v>
          </cell>
          <cell r="AC1056">
            <v>0</v>
          </cell>
          <cell r="AD1056">
            <v>0</v>
          </cell>
          <cell r="AJ1056">
            <v>0</v>
          </cell>
          <cell r="AK1056">
            <v>0</v>
          </cell>
        </row>
        <row r="1057">
          <cell r="B1057" t="str">
            <v/>
          </cell>
          <cell r="H1057" t="str">
            <v/>
          </cell>
          <cell r="J1057" t="str">
            <v/>
          </cell>
          <cell r="N1057" t="str">
            <v/>
          </cell>
          <cell r="O1057" t="str">
            <v/>
          </cell>
          <cell r="P1057" t="str">
            <v/>
          </cell>
          <cell r="Q1057" t="str">
            <v/>
          </cell>
          <cell r="T1057" t="str">
            <v/>
          </cell>
          <cell r="U1057" t="str">
            <v/>
          </cell>
          <cell r="W1057" t="str">
            <v/>
          </cell>
          <cell r="X1057" t="str">
            <v/>
          </cell>
          <cell r="AB1057">
            <v>0</v>
          </cell>
          <cell r="AC1057">
            <v>0</v>
          </cell>
          <cell r="AD1057">
            <v>0</v>
          </cell>
          <cell r="AJ1057">
            <v>0</v>
          </cell>
          <cell r="AK1057">
            <v>0</v>
          </cell>
        </row>
        <row r="1058">
          <cell r="B1058" t="str">
            <v/>
          </cell>
          <cell r="H1058" t="str">
            <v/>
          </cell>
          <cell r="J1058" t="str">
            <v/>
          </cell>
          <cell r="N1058" t="str">
            <v/>
          </cell>
          <cell r="O1058" t="str">
            <v/>
          </cell>
          <cell r="P1058" t="str">
            <v/>
          </cell>
          <cell r="Q1058" t="str">
            <v/>
          </cell>
          <cell r="T1058" t="str">
            <v/>
          </cell>
          <cell r="U1058" t="str">
            <v/>
          </cell>
          <cell r="W1058" t="str">
            <v/>
          </cell>
          <cell r="X1058" t="str">
            <v/>
          </cell>
          <cell r="AB1058">
            <v>0</v>
          </cell>
          <cell r="AC1058">
            <v>0</v>
          </cell>
          <cell r="AD1058">
            <v>0</v>
          </cell>
          <cell r="AJ1058">
            <v>0</v>
          </cell>
          <cell r="AK1058">
            <v>0</v>
          </cell>
        </row>
        <row r="1059">
          <cell r="B1059" t="str">
            <v/>
          </cell>
          <cell r="H1059" t="str">
            <v/>
          </cell>
          <cell r="J1059" t="str">
            <v/>
          </cell>
          <cell r="N1059" t="str">
            <v/>
          </cell>
          <cell r="O1059" t="str">
            <v/>
          </cell>
          <cell r="P1059" t="str">
            <v/>
          </cell>
          <cell r="Q1059" t="str">
            <v/>
          </cell>
          <cell r="T1059" t="str">
            <v/>
          </cell>
          <cell r="U1059" t="str">
            <v/>
          </cell>
          <cell r="W1059" t="str">
            <v/>
          </cell>
          <cell r="X1059" t="str">
            <v/>
          </cell>
          <cell r="AB1059">
            <v>0</v>
          </cell>
          <cell r="AC1059">
            <v>0</v>
          </cell>
          <cell r="AD1059">
            <v>0</v>
          </cell>
          <cell r="AJ1059">
            <v>0</v>
          </cell>
          <cell r="AK1059">
            <v>0</v>
          </cell>
        </row>
        <row r="1060">
          <cell r="B1060" t="str">
            <v/>
          </cell>
          <cell r="H1060" t="str">
            <v/>
          </cell>
          <cell r="J1060" t="str">
            <v/>
          </cell>
          <cell r="N1060" t="str">
            <v/>
          </cell>
          <cell r="O1060" t="str">
            <v/>
          </cell>
          <cell r="P1060" t="str">
            <v/>
          </cell>
          <cell r="Q1060" t="str">
            <v/>
          </cell>
          <cell r="T1060" t="str">
            <v/>
          </cell>
          <cell r="U1060" t="str">
            <v/>
          </cell>
          <cell r="W1060" t="str">
            <v/>
          </cell>
          <cell r="X1060" t="str">
            <v/>
          </cell>
          <cell r="AB1060">
            <v>0</v>
          </cell>
          <cell r="AC1060">
            <v>0</v>
          </cell>
          <cell r="AD1060">
            <v>0</v>
          </cell>
          <cell r="AJ1060">
            <v>0</v>
          </cell>
          <cell r="AK1060">
            <v>0</v>
          </cell>
        </row>
        <row r="1061">
          <cell r="B1061" t="str">
            <v/>
          </cell>
          <cell r="H1061" t="str">
            <v/>
          </cell>
          <cell r="J1061" t="str">
            <v/>
          </cell>
          <cell r="N1061" t="str">
            <v/>
          </cell>
          <cell r="O1061" t="str">
            <v/>
          </cell>
          <cell r="P1061" t="str">
            <v/>
          </cell>
          <cell r="Q1061" t="str">
            <v/>
          </cell>
          <cell r="T1061" t="str">
            <v/>
          </cell>
          <cell r="U1061" t="str">
            <v/>
          </cell>
          <cell r="W1061" t="str">
            <v/>
          </cell>
          <cell r="X1061" t="str">
            <v/>
          </cell>
          <cell r="AB1061">
            <v>0</v>
          </cell>
          <cell r="AC1061">
            <v>0</v>
          </cell>
          <cell r="AD1061">
            <v>0</v>
          </cell>
          <cell r="AJ1061">
            <v>0</v>
          </cell>
          <cell r="AK1061">
            <v>0</v>
          </cell>
        </row>
        <row r="1062">
          <cell r="B1062" t="str">
            <v/>
          </cell>
          <cell r="H1062" t="str">
            <v/>
          </cell>
          <cell r="J1062" t="str">
            <v/>
          </cell>
          <cell r="N1062" t="str">
            <v/>
          </cell>
          <cell r="O1062" t="str">
            <v/>
          </cell>
          <cell r="P1062" t="str">
            <v/>
          </cell>
          <cell r="Q1062" t="str">
            <v/>
          </cell>
          <cell r="T1062" t="str">
            <v/>
          </cell>
          <cell r="U1062" t="str">
            <v/>
          </cell>
          <cell r="W1062" t="str">
            <v/>
          </cell>
          <cell r="X1062" t="str">
            <v/>
          </cell>
          <cell r="AB1062">
            <v>0</v>
          </cell>
          <cell r="AC1062">
            <v>0</v>
          </cell>
          <cell r="AD1062">
            <v>0</v>
          </cell>
          <cell r="AJ1062">
            <v>0</v>
          </cell>
          <cell r="AK1062">
            <v>0</v>
          </cell>
        </row>
        <row r="1063">
          <cell r="B1063" t="str">
            <v/>
          </cell>
          <cell r="H1063" t="str">
            <v/>
          </cell>
          <cell r="J1063" t="str">
            <v/>
          </cell>
          <cell r="N1063" t="str">
            <v/>
          </cell>
          <cell r="O1063" t="str">
            <v/>
          </cell>
          <cell r="P1063" t="str">
            <v/>
          </cell>
          <cell r="Q1063" t="str">
            <v/>
          </cell>
          <cell r="T1063" t="str">
            <v/>
          </cell>
          <cell r="U1063" t="str">
            <v/>
          </cell>
          <cell r="W1063" t="str">
            <v/>
          </cell>
          <cell r="X1063" t="str">
            <v/>
          </cell>
          <cell r="AB1063">
            <v>0</v>
          </cell>
          <cell r="AC1063">
            <v>0</v>
          </cell>
          <cell r="AD1063">
            <v>0</v>
          </cell>
          <cell r="AJ1063">
            <v>0</v>
          </cell>
          <cell r="AK1063">
            <v>0</v>
          </cell>
        </row>
        <row r="1064">
          <cell r="B1064" t="str">
            <v/>
          </cell>
          <cell r="H1064" t="str">
            <v/>
          </cell>
          <cell r="J1064" t="str">
            <v/>
          </cell>
          <cell r="N1064" t="str">
            <v/>
          </cell>
          <cell r="O1064" t="str">
            <v/>
          </cell>
          <cell r="P1064" t="str">
            <v/>
          </cell>
          <cell r="Q1064" t="str">
            <v/>
          </cell>
          <cell r="T1064" t="str">
            <v/>
          </cell>
          <cell r="U1064" t="str">
            <v/>
          </cell>
          <cell r="W1064" t="str">
            <v/>
          </cell>
          <cell r="X1064" t="str">
            <v/>
          </cell>
          <cell r="AB1064">
            <v>0</v>
          </cell>
          <cell r="AC1064">
            <v>0</v>
          </cell>
          <cell r="AD1064">
            <v>0</v>
          </cell>
          <cell r="AJ1064">
            <v>0</v>
          </cell>
          <cell r="AK1064">
            <v>0</v>
          </cell>
        </row>
        <row r="1065">
          <cell r="B1065" t="str">
            <v/>
          </cell>
          <cell r="H1065" t="str">
            <v/>
          </cell>
          <cell r="J1065" t="str">
            <v/>
          </cell>
          <cell r="N1065" t="str">
            <v/>
          </cell>
          <cell r="O1065" t="str">
            <v/>
          </cell>
          <cell r="P1065" t="str">
            <v/>
          </cell>
          <cell r="Q1065" t="str">
            <v/>
          </cell>
          <cell r="T1065" t="str">
            <v/>
          </cell>
          <cell r="U1065" t="str">
            <v/>
          </cell>
          <cell r="W1065" t="str">
            <v/>
          </cell>
          <cell r="X1065" t="str">
            <v/>
          </cell>
          <cell r="AB1065">
            <v>0</v>
          </cell>
          <cell r="AC1065">
            <v>0</v>
          </cell>
          <cell r="AD1065">
            <v>0</v>
          </cell>
          <cell r="AJ1065">
            <v>0</v>
          </cell>
          <cell r="AK1065">
            <v>0</v>
          </cell>
        </row>
        <row r="1066">
          <cell r="B1066" t="str">
            <v/>
          </cell>
          <cell r="H1066" t="str">
            <v/>
          </cell>
          <cell r="J1066" t="str">
            <v/>
          </cell>
          <cell r="N1066" t="str">
            <v/>
          </cell>
          <cell r="O1066" t="str">
            <v/>
          </cell>
          <cell r="P1066" t="str">
            <v/>
          </cell>
          <cell r="Q1066" t="str">
            <v/>
          </cell>
          <cell r="T1066" t="str">
            <v/>
          </cell>
          <cell r="U1066" t="str">
            <v/>
          </cell>
          <cell r="W1066" t="str">
            <v/>
          </cell>
          <cell r="X1066" t="str">
            <v/>
          </cell>
          <cell r="AB1066">
            <v>0</v>
          </cell>
          <cell r="AC1066">
            <v>0</v>
          </cell>
          <cell r="AD1066">
            <v>0</v>
          </cell>
          <cell r="AJ1066">
            <v>0</v>
          </cell>
          <cell r="AK1066">
            <v>0</v>
          </cell>
        </row>
        <row r="1067">
          <cell r="B1067" t="str">
            <v/>
          </cell>
          <cell r="H1067" t="str">
            <v/>
          </cell>
          <cell r="J1067" t="str">
            <v/>
          </cell>
          <cell r="N1067" t="str">
            <v/>
          </cell>
          <cell r="O1067" t="str">
            <v/>
          </cell>
          <cell r="P1067" t="str">
            <v/>
          </cell>
          <cell r="Q1067" t="str">
            <v/>
          </cell>
          <cell r="T1067" t="str">
            <v/>
          </cell>
          <cell r="U1067" t="str">
            <v/>
          </cell>
          <cell r="W1067" t="str">
            <v/>
          </cell>
          <cell r="X1067" t="str">
            <v/>
          </cell>
          <cell r="AB1067">
            <v>0</v>
          </cell>
          <cell r="AC1067">
            <v>0</v>
          </cell>
          <cell r="AD1067">
            <v>0</v>
          </cell>
          <cell r="AJ1067">
            <v>0</v>
          </cell>
          <cell r="AK1067">
            <v>0</v>
          </cell>
        </row>
        <row r="1068">
          <cell r="B1068" t="str">
            <v/>
          </cell>
          <cell r="H1068" t="str">
            <v/>
          </cell>
          <cell r="J1068" t="str">
            <v/>
          </cell>
          <cell r="N1068" t="str">
            <v/>
          </cell>
          <cell r="O1068" t="str">
            <v/>
          </cell>
          <cell r="P1068" t="str">
            <v/>
          </cell>
          <cell r="Q1068" t="str">
            <v/>
          </cell>
          <cell r="T1068" t="str">
            <v/>
          </cell>
          <cell r="U1068" t="str">
            <v/>
          </cell>
          <cell r="W1068" t="str">
            <v/>
          </cell>
          <cell r="X1068" t="str">
            <v/>
          </cell>
          <cell r="AB1068">
            <v>0</v>
          </cell>
          <cell r="AC1068">
            <v>0</v>
          </cell>
          <cell r="AD1068">
            <v>0</v>
          </cell>
          <cell r="AJ1068">
            <v>0</v>
          </cell>
          <cell r="AK1068">
            <v>0</v>
          </cell>
        </row>
        <row r="1069">
          <cell r="B1069" t="str">
            <v/>
          </cell>
          <cell r="H1069" t="str">
            <v/>
          </cell>
          <cell r="J1069" t="str">
            <v/>
          </cell>
          <cell r="N1069" t="str">
            <v/>
          </cell>
          <cell r="O1069" t="str">
            <v/>
          </cell>
          <cell r="P1069" t="str">
            <v/>
          </cell>
          <cell r="Q1069" t="str">
            <v/>
          </cell>
          <cell r="T1069" t="str">
            <v/>
          </cell>
          <cell r="U1069" t="str">
            <v/>
          </cell>
          <cell r="W1069" t="str">
            <v/>
          </cell>
          <cell r="X1069" t="str">
            <v/>
          </cell>
          <cell r="AB1069">
            <v>0</v>
          </cell>
          <cell r="AC1069">
            <v>0</v>
          </cell>
          <cell r="AD1069">
            <v>0</v>
          </cell>
          <cell r="AJ1069">
            <v>0</v>
          </cell>
          <cell r="AK1069">
            <v>0</v>
          </cell>
        </row>
        <row r="1070">
          <cell r="B1070" t="str">
            <v/>
          </cell>
          <cell r="H1070" t="str">
            <v/>
          </cell>
          <cell r="J1070" t="str">
            <v/>
          </cell>
          <cell r="N1070" t="str">
            <v/>
          </cell>
          <cell r="O1070" t="str">
            <v/>
          </cell>
          <cell r="P1070" t="str">
            <v/>
          </cell>
          <cell r="Q1070" t="str">
            <v/>
          </cell>
          <cell r="T1070" t="str">
            <v/>
          </cell>
          <cell r="U1070" t="str">
            <v/>
          </cell>
          <cell r="W1070" t="str">
            <v/>
          </cell>
          <cell r="X1070" t="str">
            <v/>
          </cell>
          <cell r="AB1070">
            <v>0</v>
          </cell>
          <cell r="AC1070">
            <v>0</v>
          </cell>
          <cell r="AD1070">
            <v>0</v>
          </cell>
          <cell r="AJ1070">
            <v>0</v>
          </cell>
          <cell r="AK1070">
            <v>0</v>
          </cell>
        </row>
        <row r="1071">
          <cell r="B1071" t="str">
            <v/>
          </cell>
          <cell r="H1071" t="str">
            <v/>
          </cell>
          <cell r="J1071" t="str">
            <v/>
          </cell>
          <cell r="N1071" t="str">
            <v/>
          </cell>
          <cell r="O1071" t="str">
            <v/>
          </cell>
          <cell r="P1071" t="str">
            <v/>
          </cell>
          <cell r="Q1071" t="str">
            <v/>
          </cell>
          <cell r="T1071" t="str">
            <v/>
          </cell>
          <cell r="U1071" t="str">
            <v/>
          </cell>
          <cell r="W1071" t="str">
            <v/>
          </cell>
          <cell r="X1071" t="str">
            <v/>
          </cell>
          <cell r="AB1071">
            <v>0</v>
          </cell>
          <cell r="AC1071">
            <v>0</v>
          </cell>
          <cell r="AD1071">
            <v>0</v>
          </cell>
          <cell r="AJ1071">
            <v>0</v>
          </cell>
          <cell r="AK1071">
            <v>0</v>
          </cell>
        </row>
        <row r="1072">
          <cell r="B1072" t="str">
            <v/>
          </cell>
          <cell r="H1072" t="str">
            <v/>
          </cell>
          <cell r="J1072" t="str">
            <v/>
          </cell>
          <cell r="N1072" t="str">
            <v/>
          </cell>
          <cell r="O1072" t="str">
            <v/>
          </cell>
          <cell r="P1072" t="str">
            <v/>
          </cell>
          <cell r="Q1072" t="str">
            <v/>
          </cell>
          <cell r="T1072" t="str">
            <v/>
          </cell>
          <cell r="U1072" t="str">
            <v/>
          </cell>
          <cell r="W1072" t="str">
            <v/>
          </cell>
          <cell r="X1072" t="str">
            <v/>
          </cell>
          <cell r="AB1072">
            <v>0</v>
          </cell>
          <cell r="AC1072">
            <v>0</v>
          </cell>
          <cell r="AD1072">
            <v>0</v>
          </cell>
          <cell r="AJ1072">
            <v>0</v>
          </cell>
          <cell r="AK1072">
            <v>0</v>
          </cell>
        </row>
        <row r="1073">
          <cell r="B1073" t="str">
            <v/>
          </cell>
          <cell r="H1073" t="str">
            <v/>
          </cell>
          <cell r="J1073" t="str">
            <v/>
          </cell>
          <cell r="N1073" t="str">
            <v/>
          </cell>
          <cell r="O1073" t="str">
            <v/>
          </cell>
          <cell r="P1073" t="str">
            <v/>
          </cell>
          <cell r="Q1073" t="str">
            <v/>
          </cell>
          <cell r="T1073" t="str">
            <v/>
          </cell>
          <cell r="U1073" t="str">
            <v/>
          </cell>
          <cell r="W1073" t="str">
            <v/>
          </cell>
          <cell r="X1073" t="str">
            <v/>
          </cell>
          <cell r="AB1073">
            <v>0</v>
          </cell>
          <cell r="AC1073">
            <v>0</v>
          </cell>
          <cell r="AD1073">
            <v>0</v>
          </cell>
          <cell r="AJ1073">
            <v>0</v>
          </cell>
          <cell r="AK1073">
            <v>0</v>
          </cell>
        </row>
        <row r="1074">
          <cell r="B1074" t="str">
            <v/>
          </cell>
          <cell r="H1074" t="str">
            <v/>
          </cell>
          <cell r="J1074" t="str">
            <v/>
          </cell>
          <cell r="N1074" t="str">
            <v/>
          </cell>
          <cell r="O1074" t="str">
            <v/>
          </cell>
          <cell r="P1074" t="str">
            <v/>
          </cell>
          <cell r="Q1074" t="str">
            <v/>
          </cell>
          <cell r="T1074" t="str">
            <v/>
          </cell>
          <cell r="U1074" t="str">
            <v/>
          </cell>
          <cell r="W1074" t="str">
            <v/>
          </cell>
          <cell r="X1074" t="str">
            <v/>
          </cell>
          <cell r="AB1074">
            <v>0</v>
          </cell>
          <cell r="AC1074">
            <v>0</v>
          </cell>
          <cell r="AD1074">
            <v>0</v>
          </cell>
          <cell r="AJ1074">
            <v>0</v>
          </cell>
          <cell r="AK1074">
            <v>0</v>
          </cell>
        </row>
        <row r="1075">
          <cell r="B1075" t="str">
            <v/>
          </cell>
          <cell r="H1075" t="str">
            <v/>
          </cell>
          <cell r="J1075" t="str">
            <v/>
          </cell>
          <cell r="N1075" t="str">
            <v/>
          </cell>
          <cell r="O1075" t="str">
            <v/>
          </cell>
          <cell r="P1075" t="str">
            <v/>
          </cell>
          <cell r="Q1075" t="str">
            <v/>
          </cell>
          <cell r="T1075" t="str">
            <v/>
          </cell>
          <cell r="U1075" t="str">
            <v/>
          </cell>
          <cell r="W1075" t="str">
            <v/>
          </cell>
          <cell r="X1075" t="str">
            <v/>
          </cell>
          <cell r="AB1075">
            <v>0</v>
          </cell>
          <cell r="AC1075">
            <v>0</v>
          </cell>
          <cell r="AD1075">
            <v>0</v>
          </cell>
          <cell r="AJ1075">
            <v>0</v>
          </cell>
          <cell r="AK1075">
            <v>0</v>
          </cell>
        </row>
        <row r="1076">
          <cell r="B1076" t="str">
            <v/>
          </cell>
          <cell r="H1076" t="str">
            <v/>
          </cell>
          <cell r="J1076" t="str">
            <v/>
          </cell>
          <cell r="N1076" t="str">
            <v/>
          </cell>
          <cell r="O1076" t="str">
            <v/>
          </cell>
          <cell r="P1076" t="str">
            <v/>
          </cell>
          <cell r="Q1076" t="str">
            <v/>
          </cell>
          <cell r="T1076" t="str">
            <v/>
          </cell>
          <cell r="U1076" t="str">
            <v/>
          </cell>
          <cell r="W1076" t="str">
            <v/>
          </cell>
          <cell r="X1076" t="str">
            <v/>
          </cell>
          <cell r="AB1076">
            <v>0</v>
          </cell>
          <cell r="AC1076">
            <v>0</v>
          </cell>
          <cell r="AD1076">
            <v>0</v>
          </cell>
          <cell r="AJ1076">
            <v>0</v>
          </cell>
          <cell r="AK1076">
            <v>0</v>
          </cell>
        </row>
        <row r="1077">
          <cell r="B1077" t="str">
            <v/>
          </cell>
          <cell r="H1077" t="str">
            <v/>
          </cell>
          <cell r="J1077" t="str">
            <v/>
          </cell>
          <cell r="N1077" t="str">
            <v/>
          </cell>
          <cell r="O1077" t="str">
            <v/>
          </cell>
          <cell r="P1077" t="str">
            <v/>
          </cell>
          <cell r="Q1077" t="str">
            <v/>
          </cell>
          <cell r="T1077" t="str">
            <v/>
          </cell>
          <cell r="U1077" t="str">
            <v/>
          </cell>
          <cell r="W1077" t="str">
            <v/>
          </cell>
          <cell r="X1077" t="str">
            <v/>
          </cell>
          <cell r="AB1077">
            <v>0</v>
          </cell>
          <cell r="AC1077">
            <v>0</v>
          </cell>
          <cell r="AD1077">
            <v>0</v>
          </cell>
          <cell r="AJ1077">
            <v>0</v>
          </cell>
          <cell r="AK1077">
            <v>0</v>
          </cell>
        </row>
        <row r="1078">
          <cell r="B1078" t="str">
            <v/>
          </cell>
          <cell r="H1078" t="str">
            <v/>
          </cell>
          <cell r="J1078" t="str">
            <v/>
          </cell>
          <cell r="N1078" t="str">
            <v/>
          </cell>
          <cell r="O1078" t="str">
            <v/>
          </cell>
          <cell r="P1078" t="str">
            <v/>
          </cell>
          <cell r="Q1078" t="str">
            <v/>
          </cell>
          <cell r="T1078" t="str">
            <v/>
          </cell>
          <cell r="U1078" t="str">
            <v/>
          </cell>
          <cell r="W1078" t="str">
            <v/>
          </cell>
          <cell r="X1078" t="str">
            <v/>
          </cell>
          <cell r="AB1078">
            <v>0</v>
          </cell>
          <cell r="AC1078">
            <v>0</v>
          </cell>
          <cell r="AD1078">
            <v>0</v>
          </cell>
          <cell r="AJ1078">
            <v>0</v>
          </cell>
          <cell r="AK1078">
            <v>0</v>
          </cell>
        </row>
        <row r="1079">
          <cell r="B1079" t="str">
            <v/>
          </cell>
          <cell r="H1079" t="str">
            <v/>
          </cell>
          <cell r="J1079" t="str">
            <v/>
          </cell>
          <cell r="N1079" t="str">
            <v/>
          </cell>
          <cell r="O1079" t="str">
            <v/>
          </cell>
          <cell r="P1079" t="str">
            <v/>
          </cell>
          <cell r="Q1079" t="str">
            <v/>
          </cell>
          <cell r="T1079" t="str">
            <v/>
          </cell>
          <cell r="U1079" t="str">
            <v/>
          </cell>
          <cell r="W1079" t="str">
            <v/>
          </cell>
          <cell r="X1079" t="str">
            <v/>
          </cell>
          <cell r="AB1079">
            <v>0</v>
          </cell>
          <cell r="AC1079">
            <v>0</v>
          </cell>
          <cell r="AD1079">
            <v>0</v>
          </cell>
          <cell r="AJ1079">
            <v>0</v>
          </cell>
          <cell r="AK1079">
            <v>0</v>
          </cell>
        </row>
        <row r="1080">
          <cell r="B1080" t="str">
            <v/>
          </cell>
          <cell r="H1080" t="str">
            <v/>
          </cell>
          <cell r="J1080" t="str">
            <v/>
          </cell>
          <cell r="N1080" t="str">
            <v/>
          </cell>
          <cell r="O1080" t="str">
            <v/>
          </cell>
          <cell r="P1080" t="str">
            <v/>
          </cell>
          <cell r="Q1080" t="str">
            <v/>
          </cell>
          <cell r="T1080" t="str">
            <v/>
          </cell>
          <cell r="U1080" t="str">
            <v/>
          </cell>
          <cell r="W1080" t="str">
            <v/>
          </cell>
          <cell r="X1080" t="str">
            <v/>
          </cell>
          <cell r="AB1080">
            <v>0</v>
          </cell>
          <cell r="AC1080">
            <v>0</v>
          </cell>
          <cell r="AD1080">
            <v>0</v>
          </cell>
          <cell r="AJ1080">
            <v>0</v>
          </cell>
          <cell r="AK1080">
            <v>0</v>
          </cell>
        </row>
        <row r="1081">
          <cell r="B1081" t="str">
            <v/>
          </cell>
          <cell r="H1081" t="str">
            <v/>
          </cell>
          <cell r="J1081" t="str">
            <v/>
          </cell>
          <cell r="N1081" t="str">
            <v/>
          </cell>
          <cell r="O1081" t="str">
            <v/>
          </cell>
          <cell r="P1081" t="str">
            <v/>
          </cell>
          <cell r="Q1081" t="str">
            <v/>
          </cell>
          <cell r="T1081" t="str">
            <v/>
          </cell>
          <cell r="U1081" t="str">
            <v/>
          </cell>
          <cell r="W1081" t="str">
            <v/>
          </cell>
          <cell r="X1081" t="str">
            <v/>
          </cell>
          <cell r="AB1081">
            <v>0</v>
          </cell>
          <cell r="AC1081">
            <v>0</v>
          </cell>
          <cell r="AD1081">
            <v>0</v>
          </cell>
          <cell r="AJ1081">
            <v>0</v>
          </cell>
          <cell r="AK1081">
            <v>0</v>
          </cell>
        </row>
        <row r="1082">
          <cell r="B1082" t="str">
            <v/>
          </cell>
          <cell r="H1082" t="str">
            <v/>
          </cell>
          <cell r="J1082" t="str">
            <v/>
          </cell>
          <cell r="N1082" t="str">
            <v/>
          </cell>
          <cell r="O1082" t="str">
            <v/>
          </cell>
          <cell r="P1082" t="str">
            <v/>
          </cell>
          <cell r="Q1082" t="str">
            <v/>
          </cell>
          <cell r="T1082" t="str">
            <v/>
          </cell>
          <cell r="U1082" t="str">
            <v/>
          </cell>
          <cell r="W1082" t="str">
            <v/>
          </cell>
          <cell r="X1082" t="str">
            <v/>
          </cell>
          <cell r="AB1082">
            <v>0</v>
          </cell>
          <cell r="AC1082">
            <v>0</v>
          </cell>
          <cell r="AD1082">
            <v>0</v>
          </cell>
          <cell r="AJ1082">
            <v>0</v>
          </cell>
          <cell r="AK1082">
            <v>0</v>
          </cell>
        </row>
        <row r="1083">
          <cell r="B1083" t="str">
            <v/>
          </cell>
          <cell r="H1083" t="str">
            <v/>
          </cell>
          <cell r="J1083" t="str">
            <v/>
          </cell>
          <cell r="N1083" t="str">
            <v/>
          </cell>
          <cell r="O1083" t="str">
            <v/>
          </cell>
          <cell r="P1083" t="str">
            <v/>
          </cell>
          <cell r="Q1083" t="str">
            <v/>
          </cell>
          <cell r="T1083" t="str">
            <v/>
          </cell>
          <cell r="U1083" t="str">
            <v/>
          </cell>
          <cell r="W1083" t="str">
            <v/>
          </cell>
          <cell r="X1083" t="str">
            <v/>
          </cell>
          <cell r="AB1083">
            <v>0</v>
          </cell>
          <cell r="AC1083">
            <v>0</v>
          </cell>
          <cell r="AD1083">
            <v>0</v>
          </cell>
          <cell r="AJ1083">
            <v>0</v>
          </cell>
          <cell r="AK1083">
            <v>0</v>
          </cell>
        </row>
        <row r="1084">
          <cell r="B1084" t="str">
            <v/>
          </cell>
          <cell r="H1084" t="str">
            <v/>
          </cell>
          <cell r="J1084" t="str">
            <v/>
          </cell>
          <cell r="N1084" t="str">
            <v/>
          </cell>
          <cell r="O1084" t="str">
            <v/>
          </cell>
          <cell r="P1084" t="str">
            <v/>
          </cell>
          <cell r="Q1084" t="str">
            <v/>
          </cell>
          <cell r="T1084" t="str">
            <v/>
          </cell>
          <cell r="U1084" t="str">
            <v/>
          </cell>
          <cell r="W1084" t="str">
            <v/>
          </cell>
          <cell r="X1084" t="str">
            <v/>
          </cell>
          <cell r="AB1084">
            <v>0</v>
          </cell>
          <cell r="AC1084">
            <v>0</v>
          </cell>
          <cell r="AD1084">
            <v>0</v>
          </cell>
          <cell r="AJ1084">
            <v>0</v>
          </cell>
          <cell r="AK1084">
            <v>0</v>
          </cell>
        </row>
        <row r="1085">
          <cell r="B1085" t="str">
            <v/>
          </cell>
          <cell r="H1085" t="str">
            <v/>
          </cell>
          <cell r="J1085" t="str">
            <v/>
          </cell>
          <cell r="N1085" t="str">
            <v/>
          </cell>
          <cell r="O1085" t="str">
            <v/>
          </cell>
          <cell r="P1085" t="str">
            <v/>
          </cell>
          <cell r="Q1085" t="str">
            <v/>
          </cell>
          <cell r="T1085" t="str">
            <v/>
          </cell>
          <cell r="U1085" t="str">
            <v/>
          </cell>
          <cell r="W1085" t="str">
            <v/>
          </cell>
          <cell r="X1085" t="str">
            <v/>
          </cell>
          <cell r="AB1085">
            <v>0</v>
          </cell>
          <cell r="AC1085">
            <v>0</v>
          </cell>
          <cell r="AD1085">
            <v>0</v>
          </cell>
          <cell r="AJ1085">
            <v>0</v>
          </cell>
          <cell r="AK1085">
            <v>0</v>
          </cell>
        </row>
        <row r="1086">
          <cell r="B1086" t="str">
            <v/>
          </cell>
          <cell r="H1086" t="str">
            <v/>
          </cell>
          <cell r="J1086" t="str">
            <v/>
          </cell>
          <cell r="N1086" t="str">
            <v/>
          </cell>
          <cell r="O1086" t="str">
            <v/>
          </cell>
          <cell r="P1086" t="str">
            <v/>
          </cell>
          <cell r="Q1086" t="str">
            <v/>
          </cell>
          <cell r="T1086" t="str">
            <v/>
          </cell>
          <cell r="U1086" t="str">
            <v/>
          </cell>
          <cell r="W1086" t="str">
            <v/>
          </cell>
          <cell r="X1086" t="str">
            <v/>
          </cell>
          <cell r="AB1086">
            <v>0</v>
          </cell>
          <cell r="AC1086">
            <v>0</v>
          </cell>
          <cell r="AD1086">
            <v>0</v>
          </cell>
          <cell r="AJ1086">
            <v>0</v>
          </cell>
          <cell r="AK1086">
            <v>0</v>
          </cell>
        </row>
        <row r="1087">
          <cell r="B1087" t="str">
            <v/>
          </cell>
          <cell r="H1087" t="str">
            <v/>
          </cell>
          <cell r="J1087" t="str">
            <v/>
          </cell>
          <cell r="N1087" t="str">
            <v/>
          </cell>
          <cell r="O1087" t="str">
            <v/>
          </cell>
          <cell r="P1087" t="str">
            <v/>
          </cell>
          <cell r="Q1087" t="str">
            <v/>
          </cell>
          <cell r="T1087" t="str">
            <v/>
          </cell>
          <cell r="U1087" t="str">
            <v/>
          </cell>
          <cell r="W1087" t="str">
            <v/>
          </cell>
          <cell r="X1087" t="str">
            <v/>
          </cell>
          <cell r="AB1087">
            <v>0</v>
          </cell>
          <cell r="AC1087">
            <v>0</v>
          </cell>
          <cell r="AD1087">
            <v>0</v>
          </cell>
          <cell r="AJ1087">
            <v>0</v>
          </cell>
          <cell r="AK1087">
            <v>0</v>
          </cell>
        </row>
        <row r="1088">
          <cell r="B1088" t="str">
            <v/>
          </cell>
          <cell r="H1088" t="str">
            <v/>
          </cell>
          <cell r="J1088" t="str">
            <v/>
          </cell>
          <cell r="N1088" t="str">
            <v/>
          </cell>
          <cell r="O1088" t="str">
            <v/>
          </cell>
          <cell r="P1088" t="str">
            <v/>
          </cell>
          <cell r="Q1088" t="str">
            <v/>
          </cell>
          <cell r="T1088" t="str">
            <v/>
          </cell>
          <cell r="U1088" t="str">
            <v/>
          </cell>
          <cell r="W1088" t="str">
            <v/>
          </cell>
          <cell r="X1088" t="str">
            <v/>
          </cell>
          <cell r="AB1088">
            <v>0</v>
          </cell>
          <cell r="AC1088">
            <v>0</v>
          </cell>
          <cell r="AD1088">
            <v>0</v>
          </cell>
          <cell r="AJ1088">
            <v>0</v>
          </cell>
          <cell r="AK1088">
            <v>0</v>
          </cell>
        </row>
        <row r="1089">
          <cell r="B1089" t="str">
            <v/>
          </cell>
          <cell r="H1089" t="str">
            <v/>
          </cell>
          <cell r="J1089" t="str">
            <v/>
          </cell>
          <cell r="N1089" t="str">
            <v/>
          </cell>
          <cell r="O1089" t="str">
            <v/>
          </cell>
          <cell r="P1089" t="str">
            <v/>
          </cell>
          <cell r="Q1089" t="str">
            <v/>
          </cell>
          <cell r="T1089" t="str">
            <v/>
          </cell>
          <cell r="U1089" t="str">
            <v/>
          </cell>
          <cell r="W1089" t="str">
            <v/>
          </cell>
          <cell r="X1089" t="str">
            <v/>
          </cell>
          <cell r="AB1089">
            <v>0</v>
          </cell>
          <cell r="AC1089">
            <v>0</v>
          </cell>
          <cell r="AD1089">
            <v>0</v>
          </cell>
          <cell r="AJ1089">
            <v>0</v>
          </cell>
          <cell r="AK1089">
            <v>0</v>
          </cell>
        </row>
        <row r="1090">
          <cell r="B1090" t="str">
            <v/>
          </cell>
          <cell r="H1090" t="str">
            <v/>
          </cell>
          <cell r="J1090" t="str">
            <v/>
          </cell>
          <cell r="N1090" t="str">
            <v/>
          </cell>
          <cell r="O1090" t="str">
            <v/>
          </cell>
          <cell r="P1090" t="str">
            <v/>
          </cell>
          <cell r="Q1090" t="str">
            <v/>
          </cell>
          <cell r="T1090" t="str">
            <v/>
          </cell>
          <cell r="U1090" t="str">
            <v/>
          </cell>
          <cell r="W1090" t="str">
            <v/>
          </cell>
          <cell r="X1090" t="str">
            <v/>
          </cell>
          <cell r="AB1090">
            <v>0</v>
          </cell>
          <cell r="AC1090">
            <v>0</v>
          </cell>
          <cell r="AD1090">
            <v>0</v>
          </cell>
          <cell r="AJ1090">
            <v>0</v>
          </cell>
          <cell r="AK1090">
            <v>0</v>
          </cell>
        </row>
        <row r="1091">
          <cell r="B1091" t="str">
            <v/>
          </cell>
          <cell r="H1091" t="str">
            <v/>
          </cell>
          <cell r="J1091" t="str">
            <v/>
          </cell>
          <cell r="N1091" t="str">
            <v/>
          </cell>
          <cell r="O1091" t="str">
            <v/>
          </cell>
          <cell r="P1091" t="str">
            <v/>
          </cell>
          <cell r="Q1091" t="str">
            <v/>
          </cell>
          <cell r="T1091" t="str">
            <v/>
          </cell>
          <cell r="U1091" t="str">
            <v/>
          </cell>
          <cell r="W1091" t="str">
            <v/>
          </cell>
          <cell r="X1091" t="str">
            <v/>
          </cell>
          <cell r="AB1091">
            <v>0</v>
          </cell>
          <cell r="AC1091">
            <v>0</v>
          </cell>
          <cell r="AD1091">
            <v>0</v>
          </cell>
          <cell r="AJ1091">
            <v>0</v>
          </cell>
          <cell r="AK1091">
            <v>0</v>
          </cell>
        </row>
        <row r="1092">
          <cell r="B1092" t="str">
            <v/>
          </cell>
          <cell r="H1092" t="str">
            <v/>
          </cell>
          <cell r="J1092" t="str">
            <v/>
          </cell>
          <cell r="N1092" t="str">
            <v/>
          </cell>
          <cell r="O1092" t="str">
            <v/>
          </cell>
          <cell r="P1092" t="str">
            <v/>
          </cell>
          <cell r="Q1092" t="str">
            <v/>
          </cell>
          <cell r="T1092" t="str">
            <v/>
          </cell>
          <cell r="U1092" t="str">
            <v/>
          </cell>
          <cell r="W1092" t="str">
            <v/>
          </cell>
          <cell r="X1092" t="str">
            <v/>
          </cell>
          <cell r="AB1092">
            <v>0</v>
          </cell>
          <cell r="AC1092">
            <v>0</v>
          </cell>
          <cell r="AD1092">
            <v>0</v>
          </cell>
          <cell r="AJ1092">
            <v>0</v>
          </cell>
          <cell r="AK1092">
            <v>0</v>
          </cell>
        </row>
        <row r="1093">
          <cell r="B1093" t="str">
            <v/>
          </cell>
          <cell r="H1093" t="str">
            <v/>
          </cell>
          <cell r="J1093" t="str">
            <v/>
          </cell>
          <cell r="N1093" t="str">
            <v/>
          </cell>
          <cell r="O1093" t="str">
            <v/>
          </cell>
          <cell r="P1093" t="str">
            <v/>
          </cell>
          <cell r="Q1093" t="str">
            <v/>
          </cell>
          <cell r="T1093" t="str">
            <v/>
          </cell>
          <cell r="U1093" t="str">
            <v/>
          </cell>
          <cell r="W1093" t="str">
            <v/>
          </cell>
          <cell r="X1093" t="str">
            <v/>
          </cell>
          <cell r="AB1093">
            <v>0</v>
          </cell>
          <cell r="AC1093">
            <v>0</v>
          </cell>
          <cell r="AD1093">
            <v>0</v>
          </cell>
          <cell r="AJ1093">
            <v>0</v>
          </cell>
          <cell r="AK1093">
            <v>0</v>
          </cell>
        </row>
        <row r="1094">
          <cell r="B1094" t="str">
            <v/>
          </cell>
          <cell r="H1094" t="str">
            <v/>
          </cell>
          <cell r="J1094" t="str">
            <v/>
          </cell>
          <cell r="N1094" t="str">
            <v/>
          </cell>
          <cell r="O1094" t="str">
            <v/>
          </cell>
          <cell r="P1094" t="str">
            <v/>
          </cell>
          <cell r="Q1094" t="str">
            <v/>
          </cell>
          <cell r="T1094" t="str">
            <v/>
          </cell>
          <cell r="U1094" t="str">
            <v/>
          </cell>
          <cell r="W1094" t="str">
            <v/>
          </cell>
          <cell r="X1094" t="str">
            <v/>
          </cell>
          <cell r="AB1094">
            <v>0</v>
          </cell>
          <cell r="AC1094">
            <v>0</v>
          </cell>
          <cell r="AD1094">
            <v>0</v>
          </cell>
          <cell r="AJ1094">
            <v>0</v>
          </cell>
          <cell r="AK1094">
            <v>0</v>
          </cell>
        </row>
        <row r="1095">
          <cell r="B1095" t="str">
            <v/>
          </cell>
          <cell r="H1095" t="str">
            <v/>
          </cell>
          <cell r="J1095" t="str">
            <v/>
          </cell>
          <cell r="N1095" t="str">
            <v/>
          </cell>
          <cell r="O1095" t="str">
            <v/>
          </cell>
          <cell r="P1095" t="str">
            <v/>
          </cell>
          <cell r="Q1095" t="str">
            <v/>
          </cell>
          <cell r="T1095" t="str">
            <v/>
          </cell>
          <cell r="U1095" t="str">
            <v/>
          </cell>
          <cell r="W1095" t="str">
            <v/>
          </cell>
          <cell r="X1095" t="str">
            <v/>
          </cell>
          <cell r="AB1095">
            <v>0</v>
          </cell>
          <cell r="AC1095">
            <v>0</v>
          </cell>
          <cell r="AD1095">
            <v>0</v>
          </cell>
          <cell r="AJ1095">
            <v>0</v>
          </cell>
          <cell r="AK1095">
            <v>0</v>
          </cell>
        </row>
        <row r="1096">
          <cell r="B1096" t="str">
            <v/>
          </cell>
          <cell r="H1096" t="str">
            <v/>
          </cell>
          <cell r="J1096" t="str">
            <v/>
          </cell>
          <cell r="N1096" t="str">
            <v/>
          </cell>
          <cell r="O1096" t="str">
            <v/>
          </cell>
          <cell r="P1096" t="str">
            <v/>
          </cell>
          <cell r="Q1096" t="str">
            <v/>
          </cell>
          <cell r="T1096" t="str">
            <v/>
          </cell>
          <cell r="U1096" t="str">
            <v/>
          </cell>
          <cell r="W1096" t="str">
            <v/>
          </cell>
          <cell r="X1096" t="str">
            <v/>
          </cell>
          <cell r="AB1096">
            <v>0</v>
          </cell>
          <cell r="AC1096">
            <v>0</v>
          </cell>
          <cell r="AD1096">
            <v>0</v>
          </cell>
          <cell r="AJ1096">
            <v>0</v>
          </cell>
          <cell r="AK1096">
            <v>0</v>
          </cell>
        </row>
        <row r="1097">
          <cell r="B1097" t="str">
            <v/>
          </cell>
          <cell r="H1097" t="str">
            <v/>
          </cell>
          <cell r="J1097" t="str">
            <v/>
          </cell>
          <cell r="N1097" t="str">
            <v/>
          </cell>
          <cell r="O1097" t="str">
            <v/>
          </cell>
          <cell r="P1097" t="str">
            <v/>
          </cell>
          <cell r="Q1097" t="str">
            <v/>
          </cell>
          <cell r="T1097" t="str">
            <v/>
          </cell>
          <cell r="U1097" t="str">
            <v/>
          </cell>
          <cell r="W1097" t="str">
            <v/>
          </cell>
          <cell r="X1097" t="str">
            <v/>
          </cell>
          <cell r="AB1097">
            <v>0</v>
          </cell>
          <cell r="AC1097">
            <v>0</v>
          </cell>
          <cell r="AD1097">
            <v>0</v>
          </cell>
          <cell r="AJ1097">
            <v>0</v>
          </cell>
          <cell r="AK1097">
            <v>0</v>
          </cell>
        </row>
        <row r="1098">
          <cell r="B1098" t="str">
            <v/>
          </cell>
          <cell r="H1098" t="str">
            <v/>
          </cell>
          <cell r="J1098" t="str">
            <v/>
          </cell>
          <cell r="N1098" t="str">
            <v/>
          </cell>
          <cell r="O1098" t="str">
            <v/>
          </cell>
          <cell r="P1098" t="str">
            <v/>
          </cell>
          <cell r="Q1098" t="str">
            <v/>
          </cell>
          <cell r="T1098" t="str">
            <v/>
          </cell>
          <cell r="U1098" t="str">
            <v/>
          </cell>
          <cell r="W1098" t="str">
            <v/>
          </cell>
          <cell r="X1098" t="str">
            <v/>
          </cell>
          <cell r="AB1098">
            <v>0</v>
          </cell>
          <cell r="AC1098">
            <v>0</v>
          </cell>
          <cell r="AD1098">
            <v>0</v>
          </cell>
          <cell r="AJ1098">
            <v>0</v>
          </cell>
          <cell r="AK1098">
            <v>0</v>
          </cell>
        </row>
        <row r="1099">
          <cell r="B1099" t="str">
            <v/>
          </cell>
          <cell r="H1099" t="str">
            <v/>
          </cell>
          <cell r="J1099" t="str">
            <v/>
          </cell>
          <cell r="N1099" t="str">
            <v/>
          </cell>
          <cell r="O1099" t="str">
            <v/>
          </cell>
          <cell r="P1099" t="str">
            <v/>
          </cell>
          <cell r="Q1099" t="str">
            <v/>
          </cell>
          <cell r="T1099" t="str">
            <v/>
          </cell>
          <cell r="U1099" t="str">
            <v/>
          </cell>
          <cell r="W1099" t="str">
            <v/>
          </cell>
          <cell r="X1099" t="str">
            <v/>
          </cell>
          <cell r="AB1099">
            <v>0</v>
          </cell>
          <cell r="AC1099">
            <v>0</v>
          </cell>
          <cell r="AD1099">
            <v>0</v>
          </cell>
          <cell r="AJ1099">
            <v>0</v>
          </cell>
          <cell r="AK1099">
            <v>0</v>
          </cell>
        </row>
        <row r="1100">
          <cell r="B1100" t="str">
            <v/>
          </cell>
          <cell r="H1100" t="str">
            <v/>
          </cell>
          <cell r="J1100" t="str">
            <v/>
          </cell>
          <cell r="N1100" t="str">
            <v/>
          </cell>
          <cell r="O1100" t="str">
            <v/>
          </cell>
          <cell r="P1100" t="str">
            <v/>
          </cell>
          <cell r="Q1100" t="str">
            <v/>
          </cell>
          <cell r="T1100" t="str">
            <v/>
          </cell>
          <cell r="U1100" t="str">
            <v/>
          </cell>
          <cell r="W1100" t="str">
            <v/>
          </cell>
          <cell r="X1100" t="str">
            <v/>
          </cell>
          <cell r="AB1100">
            <v>0</v>
          </cell>
          <cell r="AC1100">
            <v>0</v>
          </cell>
          <cell r="AD1100">
            <v>0</v>
          </cell>
          <cell r="AJ1100">
            <v>0</v>
          </cell>
          <cell r="AK1100">
            <v>0</v>
          </cell>
        </row>
        <row r="1101">
          <cell r="B1101" t="str">
            <v/>
          </cell>
          <cell r="H1101" t="str">
            <v/>
          </cell>
          <cell r="J1101" t="str">
            <v/>
          </cell>
          <cell r="N1101" t="str">
            <v/>
          </cell>
          <cell r="O1101" t="str">
            <v/>
          </cell>
          <cell r="P1101" t="str">
            <v/>
          </cell>
          <cell r="Q1101" t="str">
            <v/>
          </cell>
          <cell r="T1101" t="str">
            <v/>
          </cell>
          <cell r="U1101" t="str">
            <v/>
          </cell>
          <cell r="W1101" t="str">
            <v/>
          </cell>
          <cell r="X1101" t="str">
            <v/>
          </cell>
          <cell r="AB1101">
            <v>0</v>
          </cell>
          <cell r="AC1101">
            <v>0</v>
          </cell>
          <cell r="AD1101">
            <v>0</v>
          </cell>
          <cell r="AJ1101">
            <v>0</v>
          </cell>
          <cell r="AK1101">
            <v>0</v>
          </cell>
        </row>
        <row r="1102">
          <cell r="B1102" t="str">
            <v/>
          </cell>
          <cell r="H1102" t="str">
            <v/>
          </cell>
          <cell r="J1102" t="str">
            <v/>
          </cell>
          <cell r="N1102" t="str">
            <v/>
          </cell>
          <cell r="O1102" t="str">
            <v/>
          </cell>
          <cell r="P1102" t="str">
            <v/>
          </cell>
          <cell r="Q1102" t="str">
            <v/>
          </cell>
          <cell r="T1102" t="str">
            <v/>
          </cell>
          <cell r="U1102" t="str">
            <v/>
          </cell>
          <cell r="W1102" t="str">
            <v/>
          </cell>
          <cell r="X1102" t="str">
            <v/>
          </cell>
          <cell r="AB1102">
            <v>0</v>
          </cell>
          <cell r="AC1102">
            <v>0</v>
          </cell>
          <cell r="AD1102">
            <v>0</v>
          </cell>
          <cell r="AJ1102">
            <v>0</v>
          </cell>
          <cell r="AK1102">
            <v>0</v>
          </cell>
        </row>
        <row r="1103">
          <cell r="B1103" t="str">
            <v/>
          </cell>
          <cell r="H1103" t="str">
            <v/>
          </cell>
          <cell r="J1103" t="str">
            <v/>
          </cell>
          <cell r="N1103" t="str">
            <v/>
          </cell>
          <cell r="O1103" t="str">
            <v/>
          </cell>
          <cell r="P1103" t="str">
            <v/>
          </cell>
          <cell r="Q1103" t="str">
            <v/>
          </cell>
          <cell r="T1103" t="str">
            <v/>
          </cell>
          <cell r="U1103" t="str">
            <v/>
          </cell>
          <cell r="W1103" t="str">
            <v/>
          </cell>
          <cell r="X1103" t="str">
            <v/>
          </cell>
          <cell r="AB1103">
            <v>0</v>
          </cell>
          <cell r="AC1103">
            <v>0</v>
          </cell>
          <cell r="AD1103">
            <v>0</v>
          </cell>
          <cell r="AJ1103">
            <v>0</v>
          </cell>
          <cell r="AK1103">
            <v>0</v>
          </cell>
        </row>
        <row r="1104">
          <cell r="B1104" t="str">
            <v/>
          </cell>
          <cell r="H1104" t="str">
            <v/>
          </cell>
          <cell r="J1104" t="str">
            <v/>
          </cell>
          <cell r="N1104" t="str">
            <v/>
          </cell>
          <cell r="O1104" t="str">
            <v/>
          </cell>
          <cell r="P1104" t="str">
            <v/>
          </cell>
          <cell r="Q1104" t="str">
            <v/>
          </cell>
          <cell r="T1104" t="str">
            <v/>
          </cell>
          <cell r="U1104" t="str">
            <v/>
          </cell>
          <cell r="W1104" t="str">
            <v/>
          </cell>
          <cell r="X1104" t="str">
            <v/>
          </cell>
          <cell r="AB1104">
            <v>0</v>
          </cell>
          <cell r="AC1104">
            <v>0</v>
          </cell>
          <cell r="AD1104">
            <v>0</v>
          </cell>
          <cell r="AJ1104">
            <v>0</v>
          </cell>
          <cell r="AK1104">
            <v>0</v>
          </cell>
        </row>
        <row r="1105">
          <cell r="B1105" t="str">
            <v/>
          </cell>
          <cell r="H1105" t="str">
            <v/>
          </cell>
          <cell r="J1105" t="str">
            <v/>
          </cell>
          <cell r="N1105" t="str">
            <v/>
          </cell>
          <cell r="O1105" t="str">
            <v/>
          </cell>
          <cell r="P1105" t="str">
            <v/>
          </cell>
          <cell r="Q1105" t="str">
            <v/>
          </cell>
          <cell r="T1105" t="str">
            <v/>
          </cell>
          <cell r="U1105" t="str">
            <v/>
          </cell>
          <cell r="W1105" t="str">
            <v/>
          </cell>
          <cell r="X1105" t="str">
            <v/>
          </cell>
          <cell r="AB1105">
            <v>0</v>
          </cell>
          <cell r="AC1105">
            <v>0</v>
          </cell>
          <cell r="AD1105">
            <v>0</v>
          </cell>
          <cell r="AJ1105">
            <v>0</v>
          </cell>
          <cell r="AK1105">
            <v>0</v>
          </cell>
        </row>
        <row r="1106">
          <cell r="B1106" t="str">
            <v/>
          </cell>
          <cell r="H1106" t="str">
            <v/>
          </cell>
          <cell r="J1106" t="str">
            <v/>
          </cell>
          <cell r="N1106" t="str">
            <v/>
          </cell>
          <cell r="O1106" t="str">
            <v/>
          </cell>
          <cell r="P1106" t="str">
            <v/>
          </cell>
          <cell r="Q1106" t="str">
            <v/>
          </cell>
          <cell r="T1106" t="str">
            <v/>
          </cell>
          <cell r="U1106" t="str">
            <v/>
          </cell>
          <cell r="W1106" t="str">
            <v/>
          </cell>
          <cell r="X1106" t="str">
            <v/>
          </cell>
          <cell r="AB1106">
            <v>0</v>
          </cell>
          <cell r="AC1106">
            <v>0</v>
          </cell>
          <cell r="AD1106">
            <v>0</v>
          </cell>
          <cell r="AJ1106">
            <v>0</v>
          </cell>
          <cell r="AK1106">
            <v>0</v>
          </cell>
        </row>
        <row r="1107">
          <cell r="B1107" t="str">
            <v/>
          </cell>
          <cell r="H1107" t="str">
            <v/>
          </cell>
          <cell r="J1107" t="str">
            <v/>
          </cell>
          <cell r="N1107" t="str">
            <v/>
          </cell>
          <cell r="O1107" t="str">
            <v/>
          </cell>
          <cell r="P1107" t="str">
            <v/>
          </cell>
          <cell r="Q1107" t="str">
            <v/>
          </cell>
          <cell r="T1107" t="str">
            <v/>
          </cell>
          <cell r="U1107" t="str">
            <v/>
          </cell>
          <cell r="W1107" t="str">
            <v/>
          </cell>
          <cell r="X1107" t="str">
            <v/>
          </cell>
          <cell r="AB1107">
            <v>0</v>
          </cell>
          <cell r="AC1107">
            <v>0</v>
          </cell>
          <cell r="AD1107">
            <v>0</v>
          </cell>
          <cell r="AJ1107">
            <v>0</v>
          </cell>
          <cell r="AK1107">
            <v>0</v>
          </cell>
        </row>
        <row r="1108">
          <cell r="B1108" t="str">
            <v/>
          </cell>
          <cell r="H1108" t="str">
            <v/>
          </cell>
          <cell r="J1108" t="str">
            <v/>
          </cell>
          <cell r="N1108" t="str">
            <v/>
          </cell>
          <cell r="O1108" t="str">
            <v/>
          </cell>
          <cell r="P1108" t="str">
            <v/>
          </cell>
          <cell r="Q1108" t="str">
            <v/>
          </cell>
          <cell r="T1108" t="str">
            <v/>
          </cell>
          <cell r="U1108" t="str">
            <v/>
          </cell>
          <cell r="W1108" t="str">
            <v/>
          </cell>
          <cell r="X1108" t="str">
            <v/>
          </cell>
          <cell r="AB1108">
            <v>0</v>
          </cell>
          <cell r="AC1108">
            <v>0</v>
          </cell>
          <cell r="AD1108">
            <v>0</v>
          </cell>
          <cell r="AJ1108">
            <v>0</v>
          </cell>
          <cell r="AK1108">
            <v>0</v>
          </cell>
        </row>
        <row r="1109">
          <cell r="B1109" t="str">
            <v/>
          </cell>
          <cell r="H1109" t="str">
            <v/>
          </cell>
          <cell r="J1109" t="str">
            <v/>
          </cell>
          <cell r="N1109" t="str">
            <v/>
          </cell>
          <cell r="O1109" t="str">
            <v/>
          </cell>
          <cell r="P1109" t="str">
            <v/>
          </cell>
          <cell r="Q1109" t="str">
            <v/>
          </cell>
          <cell r="T1109" t="str">
            <v/>
          </cell>
          <cell r="U1109" t="str">
            <v/>
          </cell>
          <cell r="W1109" t="str">
            <v/>
          </cell>
          <cell r="X1109" t="str">
            <v/>
          </cell>
          <cell r="AB1109">
            <v>0</v>
          </cell>
          <cell r="AC1109">
            <v>0</v>
          </cell>
          <cell r="AD1109">
            <v>0</v>
          </cell>
          <cell r="AJ1109">
            <v>0</v>
          </cell>
          <cell r="AK1109">
            <v>0</v>
          </cell>
        </row>
        <row r="1110">
          <cell r="B1110" t="str">
            <v/>
          </cell>
          <cell r="H1110" t="str">
            <v/>
          </cell>
          <cell r="J1110" t="str">
            <v/>
          </cell>
          <cell r="N1110" t="str">
            <v/>
          </cell>
          <cell r="O1110" t="str">
            <v/>
          </cell>
          <cell r="P1110" t="str">
            <v/>
          </cell>
          <cell r="Q1110" t="str">
            <v/>
          </cell>
          <cell r="T1110" t="str">
            <v/>
          </cell>
          <cell r="U1110" t="str">
            <v/>
          </cell>
          <cell r="W1110" t="str">
            <v/>
          </cell>
          <cell r="X1110" t="str">
            <v/>
          </cell>
          <cell r="AB1110">
            <v>0</v>
          </cell>
          <cell r="AC1110">
            <v>0</v>
          </cell>
          <cell r="AD1110">
            <v>0</v>
          </cell>
          <cell r="AJ1110">
            <v>0</v>
          </cell>
          <cell r="AK1110">
            <v>0</v>
          </cell>
        </row>
        <row r="1111">
          <cell r="B1111" t="str">
            <v/>
          </cell>
          <cell r="H1111" t="str">
            <v/>
          </cell>
          <cell r="J1111" t="str">
            <v/>
          </cell>
          <cell r="N1111" t="str">
            <v/>
          </cell>
          <cell r="O1111" t="str">
            <v/>
          </cell>
          <cell r="P1111" t="str">
            <v/>
          </cell>
          <cell r="Q1111" t="str">
            <v/>
          </cell>
          <cell r="T1111" t="str">
            <v/>
          </cell>
          <cell r="U1111" t="str">
            <v/>
          </cell>
          <cell r="W1111" t="str">
            <v/>
          </cell>
          <cell r="X1111" t="str">
            <v/>
          </cell>
          <cell r="AB1111">
            <v>0</v>
          </cell>
          <cell r="AC1111">
            <v>0</v>
          </cell>
          <cell r="AD1111">
            <v>0</v>
          </cell>
          <cell r="AJ1111">
            <v>0</v>
          </cell>
          <cell r="AK1111">
            <v>0</v>
          </cell>
        </row>
        <row r="1112">
          <cell r="B1112" t="str">
            <v/>
          </cell>
          <cell r="H1112" t="str">
            <v/>
          </cell>
          <cell r="J1112" t="str">
            <v/>
          </cell>
          <cell r="N1112" t="str">
            <v/>
          </cell>
          <cell r="O1112" t="str">
            <v/>
          </cell>
          <cell r="P1112" t="str">
            <v/>
          </cell>
          <cell r="Q1112" t="str">
            <v/>
          </cell>
          <cell r="T1112" t="str">
            <v/>
          </cell>
          <cell r="U1112" t="str">
            <v/>
          </cell>
          <cell r="W1112" t="str">
            <v/>
          </cell>
          <cell r="X1112" t="str">
            <v/>
          </cell>
          <cell r="AB1112">
            <v>0</v>
          </cell>
          <cell r="AC1112">
            <v>0</v>
          </cell>
          <cell r="AD1112">
            <v>0</v>
          </cell>
          <cell r="AJ1112">
            <v>0</v>
          </cell>
          <cell r="AK1112">
            <v>0</v>
          </cell>
        </row>
        <row r="1113">
          <cell r="B1113" t="str">
            <v/>
          </cell>
          <cell r="H1113" t="str">
            <v/>
          </cell>
          <cell r="J1113" t="str">
            <v/>
          </cell>
          <cell r="N1113" t="str">
            <v/>
          </cell>
          <cell r="O1113" t="str">
            <v/>
          </cell>
          <cell r="P1113" t="str">
            <v/>
          </cell>
          <cell r="Q1113" t="str">
            <v/>
          </cell>
          <cell r="T1113" t="str">
            <v/>
          </cell>
          <cell r="U1113" t="str">
            <v/>
          </cell>
          <cell r="W1113" t="str">
            <v/>
          </cell>
          <cell r="X1113" t="str">
            <v/>
          </cell>
          <cell r="AB1113">
            <v>0</v>
          </cell>
          <cell r="AC1113">
            <v>0</v>
          </cell>
          <cell r="AD1113">
            <v>0</v>
          </cell>
          <cell r="AJ1113">
            <v>0</v>
          </cell>
          <cell r="AK1113">
            <v>0</v>
          </cell>
        </row>
        <row r="1114">
          <cell r="B1114" t="str">
            <v/>
          </cell>
          <cell r="H1114" t="str">
            <v/>
          </cell>
          <cell r="J1114" t="str">
            <v/>
          </cell>
          <cell r="N1114" t="str">
            <v/>
          </cell>
          <cell r="O1114" t="str">
            <v/>
          </cell>
          <cell r="P1114" t="str">
            <v/>
          </cell>
          <cell r="Q1114" t="str">
            <v/>
          </cell>
          <cell r="T1114" t="str">
            <v/>
          </cell>
          <cell r="U1114" t="str">
            <v/>
          </cell>
          <cell r="W1114" t="str">
            <v/>
          </cell>
          <cell r="X1114" t="str">
            <v/>
          </cell>
          <cell r="AB1114">
            <v>0</v>
          </cell>
          <cell r="AC1114">
            <v>0</v>
          </cell>
          <cell r="AD1114">
            <v>0</v>
          </cell>
          <cell r="AJ1114">
            <v>0</v>
          </cell>
          <cell r="AK1114">
            <v>0</v>
          </cell>
        </row>
        <row r="1115">
          <cell r="B1115" t="str">
            <v/>
          </cell>
          <cell r="H1115" t="str">
            <v/>
          </cell>
          <cell r="J1115" t="str">
            <v/>
          </cell>
          <cell r="N1115" t="str">
            <v/>
          </cell>
          <cell r="O1115" t="str">
            <v/>
          </cell>
          <cell r="P1115" t="str">
            <v/>
          </cell>
          <cell r="Q1115" t="str">
            <v/>
          </cell>
          <cell r="T1115" t="str">
            <v/>
          </cell>
          <cell r="U1115" t="str">
            <v/>
          </cell>
          <cell r="W1115" t="str">
            <v/>
          </cell>
          <cell r="X1115" t="str">
            <v/>
          </cell>
          <cell r="AB1115">
            <v>0</v>
          </cell>
          <cell r="AC1115">
            <v>0</v>
          </cell>
          <cell r="AD1115">
            <v>0</v>
          </cell>
          <cell r="AJ1115">
            <v>0</v>
          </cell>
          <cell r="AK1115">
            <v>0</v>
          </cell>
        </row>
        <row r="1116">
          <cell r="B1116" t="str">
            <v/>
          </cell>
          <cell r="H1116" t="str">
            <v/>
          </cell>
          <cell r="J1116" t="str">
            <v/>
          </cell>
          <cell r="N1116" t="str">
            <v/>
          </cell>
          <cell r="O1116" t="str">
            <v/>
          </cell>
          <cell r="P1116" t="str">
            <v/>
          </cell>
          <cell r="Q1116" t="str">
            <v/>
          </cell>
          <cell r="T1116" t="str">
            <v/>
          </cell>
          <cell r="U1116" t="str">
            <v/>
          </cell>
          <cell r="W1116" t="str">
            <v/>
          </cell>
          <cell r="X1116" t="str">
            <v/>
          </cell>
          <cell r="AB1116">
            <v>0</v>
          </cell>
          <cell r="AC1116">
            <v>0</v>
          </cell>
          <cell r="AD1116">
            <v>0</v>
          </cell>
          <cell r="AJ1116">
            <v>0</v>
          </cell>
          <cell r="AK1116">
            <v>0</v>
          </cell>
        </row>
        <row r="1117">
          <cell r="B1117" t="str">
            <v/>
          </cell>
          <cell r="H1117" t="str">
            <v/>
          </cell>
          <cell r="J1117" t="str">
            <v/>
          </cell>
          <cell r="N1117" t="str">
            <v/>
          </cell>
          <cell r="O1117" t="str">
            <v/>
          </cell>
          <cell r="P1117" t="str">
            <v/>
          </cell>
          <cell r="Q1117" t="str">
            <v/>
          </cell>
          <cell r="T1117" t="str">
            <v/>
          </cell>
          <cell r="U1117" t="str">
            <v/>
          </cell>
          <cell r="W1117" t="str">
            <v/>
          </cell>
          <cell r="X1117" t="str">
            <v/>
          </cell>
          <cell r="AB1117">
            <v>0</v>
          </cell>
          <cell r="AC1117">
            <v>0</v>
          </cell>
          <cell r="AD1117">
            <v>0</v>
          </cell>
          <cell r="AJ1117">
            <v>0</v>
          </cell>
          <cell r="AK1117">
            <v>0</v>
          </cell>
        </row>
        <row r="1118">
          <cell r="B1118" t="str">
            <v/>
          </cell>
          <cell r="H1118" t="str">
            <v/>
          </cell>
          <cell r="J1118" t="str">
            <v/>
          </cell>
          <cell r="N1118" t="str">
            <v/>
          </cell>
          <cell r="O1118" t="str">
            <v/>
          </cell>
          <cell r="P1118" t="str">
            <v/>
          </cell>
          <cell r="Q1118" t="str">
            <v/>
          </cell>
          <cell r="T1118" t="str">
            <v/>
          </cell>
          <cell r="U1118" t="str">
            <v/>
          </cell>
          <cell r="W1118" t="str">
            <v/>
          </cell>
          <cell r="X1118" t="str">
            <v/>
          </cell>
          <cell r="AB1118">
            <v>0</v>
          </cell>
          <cell r="AC1118">
            <v>0</v>
          </cell>
          <cell r="AD1118">
            <v>0</v>
          </cell>
          <cell r="AJ1118">
            <v>0</v>
          </cell>
          <cell r="AK1118">
            <v>0</v>
          </cell>
        </row>
        <row r="1119">
          <cell r="B1119" t="str">
            <v/>
          </cell>
          <cell r="H1119" t="str">
            <v/>
          </cell>
          <cell r="J1119" t="str">
            <v/>
          </cell>
          <cell r="N1119" t="str">
            <v/>
          </cell>
          <cell r="O1119" t="str">
            <v/>
          </cell>
          <cell r="P1119" t="str">
            <v/>
          </cell>
          <cell r="Q1119" t="str">
            <v/>
          </cell>
          <cell r="T1119" t="str">
            <v/>
          </cell>
          <cell r="U1119" t="str">
            <v/>
          </cell>
          <cell r="W1119" t="str">
            <v/>
          </cell>
          <cell r="X1119" t="str">
            <v/>
          </cell>
          <cell r="AB1119">
            <v>0</v>
          </cell>
          <cell r="AC1119">
            <v>0</v>
          </cell>
          <cell r="AD1119">
            <v>0</v>
          </cell>
          <cell r="AJ1119">
            <v>0</v>
          </cell>
          <cell r="AK1119">
            <v>0</v>
          </cell>
        </row>
        <row r="1120">
          <cell r="B1120" t="str">
            <v/>
          </cell>
          <cell r="H1120" t="str">
            <v/>
          </cell>
          <cell r="J1120" t="str">
            <v/>
          </cell>
          <cell r="N1120" t="str">
            <v/>
          </cell>
          <cell r="O1120" t="str">
            <v/>
          </cell>
          <cell r="P1120" t="str">
            <v/>
          </cell>
          <cell r="Q1120" t="str">
            <v/>
          </cell>
          <cell r="T1120" t="str">
            <v/>
          </cell>
          <cell r="U1120" t="str">
            <v/>
          </cell>
          <cell r="W1120" t="str">
            <v/>
          </cell>
          <cell r="X1120" t="str">
            <v/>
          </cell>
          <cell r="AB1120">
            <v>0</v>
          </cell>
          <cell r="AC1120">
            <v>0</v>
          </cell>
          <cell r="AD1120">
            <v>0</v>
          </cell>
          <cell r="AJ1120">
            <v>0</v>
          </cell>
          <cell r="AK1120">
            <v>0</v>
          </cell>
        </row>
        <row r="1121">
          <cell r="B1121" t="str">
            <v/>
          </cell>
          <cell r="H1121" t="str">
            <v/>
          </cell>
          <cell r="J1121" t="str">
            <v/>
          </cell>
          <cell r="N1121" t="str">
            <v/>
          </cell>
          <cell r="O1121" t="str">
            <v/>
          </cell>
          <cell r="P1121" t="str">
            <v/>
          </cell>
          <cell r="Q1121" t="str">
            <v/>
          </cell>
          <cell r="T1121" t="str">
            <v/>
          </cell>
          <cell r="U1121" t="str">
            <v/>
          </cell>
          <cell r="W1121" t="str">
            <v/>
          </cell>
          <cell r="X1121" t="str">
            <v/>
          </cell>
          <cell r="AB1121">
            <v>0</v>
          </cell>
          <cell r="AC1121">
            <v>0</v>
          </cell>
          <cell r="AD1121">
            <v>0</v>
          </cell>
          <cell r="AJ1121">
            <v>0</v>
          </cell>
          <cell r="AK1121">
            <v>0</v>
          </cell>
        </row>
        <row r="1122">
          <cell r="B1122" t="str">
            <v/>
          </cell>
          <cell r="H1122" t="str">
            <v/>
          </cell>
          <cell r="J1122" t="str">
            <v/>
          </cell>
          <cell r="N1122" t="str">
            <v/>
          </cell>
          <cell r="O1122" t="str">
            <v/>
          </cell>
          <cell r="P1122" t="str">
            <v/>
          </cell>
          <cell r="Q1122" t="str">
            <v/>
          </cell>
          <cell r="T1122" t="str">
            <v/>
          </cell>
          <cell r="U1122" t="str">
            <v/>
          </cell>
          <cell r="W1122" t="str">
            <v/>
          </cell>
          <cell r="X1122" t="str">
            <v/>
          </cell>
          <cell r="AB1122">
            <v>0</v>
          </cell>
          <cell r="AC1122">
            <v>0</v>
          </cell>
          <cell r="AD1122">
            <v>0</v>
          </cell>
          <cell r="AJ1122">
            <v>0</v>
          </cell>
          <cell r="AK1122">
            <v>0</v>
          </cell>
        </row>
        <row r="1123">
          <cell r="B1123" t="str">
            <v/>
          </cell>
          <cell r="H1123" t="str">
            <v/>
          </cell>
          <cell r="J1123" t="str">
            <v/>
          </cell>
          <cell r="N1123" t="str">
            <v/>
          </cell>
          <cell r="O1123" t="str">
            <v/>
          </cell>
          <cell r="P1123" t="str">
            <v/>
          </cell>
          <cell r="Q1123" t="str">
            <v/>
          </cell>
          <cell r="T1123" t="str">
            <v/>
          </cell>
          <cell r="U1123" t="str">
            <v/>
          </cell>
          <cell r="W1123" t="str">
            <v/>
          </cell>
          <cell r="X1123" t="str">
            <v/>
          </cell>
          <cell r="AB1123">
            <v>0</v>
          </cell>
          <cell r="AC1123">
            <v>0</v>
          </cell>
          <cell r="AD1123">
            <v>0</v>
          </cell>
          <cell r="AJ1123">
            <v>0</v>
          </cell>
          <cell r="AK1123">
            <v>0</v>
          </cell>
        </row>
        <row r="1124">
          <cell r="B1124" t="str">
            <v/>
          </cell>
          <cell r="H1124" t="str">
            <v/>
          </cell>
          <cell r="J1124" t="str">
            <v/>
          </cell>
          <cell r="N1124" t="str">
            <v/>
          </cell>
          <cell r="O1124" t="str">
            <v/>
          </cell>
          <cell r="P1124" t="str">
            <v/>
          </cell>
          <cell r="Q1124" t="str">
            <v/>
          </cell>
          <cell r="T1124" t="str">
            <v/>
          </cell>
          <cell r="U1124" t="str">
            <v/>
          </cell>
          <cell r="W1124" t="str">
            <v/>
          </cell>
          <cell r="X1124" t="str">
            <v/>
          </cell>
          <cell r="AB1124">
            <v>0</v>
          </cell>
          <cell r="AC1124">
            <v>0</v>
          </cell>
          <cell r="AD1124">
            <v>0</v>
          </cell>
          <cell r="AJ1124">
            <v>0</v>
          </cell>
          <cell r="AK1124">
            <v>0</v>
          </cell>
        </row>
        <row r="1125">
          <cell r="B1125" t="str">
            <v/>
          </cell>
          <cell r="H1125" t="str">
            <v/>
          </cell>
          <cell r="J1125" t="str">
            <v/>
          </cell>
          <cell r="N1125" t="str">
            <v/>
          </cell>
          <cell r="O1125" t="str">
            <v/>
          </cell>
          <cell r="P1125" t="str">
            <v/>
          </cell>
          <cell r="Q1125" t="str">
            <v/>
          </cell>
          <cell r="T1125" t="str">
            <v/>
          </cell>
          <cell r="U1125" t="str">
            <v/>
          </cell>
          <cell r="W1125" t="str">
            <v/>
          </cell>
          <cell r="X1125" t="str">
            <v/>
          </cell>
          <cell r="AB1125">
            <v>0</v>
          </cell>
          <cell r="AC1125">
            <v>0</v>
          </cell>
          <cell r="AD1125">
            <v>0</v>
          </cell>
          <cell r="AJ1125">
            <v>0</v>
          </cell>
          <cell r="AK1125">
            <v>0</v>
          </cell>
        </row>
        <row r="1126">
          <cell r="B1126" t="str">
            <v/>
          </cell>
          <cell r="H1126" t="str">
            <v/>
          </cell>
          <cell r="J1126" t="str">
            <v/>
          </cell>
          <cell r="N1126" t="str">
            <v/>
          </cell>
          <cell r="O1126" t="str">
            <v/>
          </cell>
          <cell r="P1126" t="str">
            <v/>
          </cell>
          <cell r="Q1126" t="str">
            <v/>
          </cell>
          <cell r="T1126" t="str">
            <v/>
          </cell>
          <cell r="U1126" t="str">
            <v/>
          </cell>
          <cell r="W1126" t="str">
            <v/>
          </cell>
          <cell r="X1126" t="str">
            <v/>
          </cell>
          <cell r="AB1126">
            <v>0</v>
          </cell>
          <cell r="AC1126">
            <v>0</v>
          </cell>
          <cell r="AD1126">
            <v>0</v>
          </cell>
          <cell r="AJ1126">
            <v>0</v>
          </cell>
          <cell r="AK1126">
            <v>0</v>
          </cell>
        </row>
        <row r="1127">
          <cell r="B1127" t="str">
            <v/>
          </cell>
          <cell r="H1127" t="str">
            <v/>
          </cell>
          <cell r="J1127" t="str">
            <v/>
          </cell>
          <cell r="N1127" t="str">
            <v/>
          </cell>
          <cell r="O1127" t="str">
            <v/>
          </cell>
          <cell r="P1127" t="str">
            <v/>
          </cell>
          <cell r="Q1127" t="str">
            <v/>
          </cell>
          <cell r="T1127" t="str">
            <v/>
          </cell>
          <cell r="U1127" t="str">
            <v/>
          </cell>
          <cell r="W1127" t="str">
            <v/>
          </cell>
          <cell r="X1127" t="str">
            <v/>
          </cell>
          <cell r="AB1127">
            <v>0</v>
          </cell>
          <cell r="AC1127">
            <v>0</v>
          </cell>
          <cell r="AD1127">
            <v>0</v>
          </cell>
          <cell r="AJ1127">
            <v>0</v>
          </cell>
          <cell r="AK1127">
            <v>0</v>
          </cell>
        </row>
        <row r="1128">
          <cell r="B1128" t="str">
            <v/>
          </cell>
          <cell r="H1128" t="str">
            <v/>
          </cell>
          <cell r="J1128" t="str">
            <v/>
          </cell>
          <cell r="N1128" t="str">
            <v/>
          </cell>
          <cell r="O1128" t="str">
            <v/>
          </cell>
          <cell r="P1128" t="str">
            <v/>
          </cell>
          <cell r="Q1128" t="str">
            <v/>
          </cell>
          <cell r="T1128" t="str">
            <v/>
          </cell>
          <cell r="U1128" t="str">
            <v/>
          </cell>
          <cell r="W1128" t="str">
            <v/>
          </cell>
          <cell r="X1128" t="str">
            <v/>
          </cell>
          <cell r="AB1128">
            <v>0</v>
          </cell>
          <cell r="AC1128">
            <v>0</v>
          </cell>
          <cell r="AD1128">
            <v>0</v>
          </cell>
          <cell r="AJ1128">
            <v>0</v>
          </cell>
          <cell r="AK1128">
            <v>0</v>
          </cell>
        </row>
        <row r="1129">
          <cell r="B1129" t="str">
            <v/>
          </cell>
          <cell r="H1129" t="str">
            <v/>
          </cell>
          <cell r="J1129" t="str">
            <v/>
          </cell>
          <cell r="N1129" t="str">
            <v/>
          </cell>
          <cell r="O1129" t="str">
            <v/>
          </cell>
          <cell r="P1129" t="str">
            <v/>
          </cell>
          <cell r="Q1129" t="str">
            <v/>
          </cell>
          <cell r="T1129" t="str">
            <v/>
          </cell>
          <cell r="U1129" t="str">
            <v/>
          </cell>
          <cell r="W1129" t="str">
            <v/>
          </cell>
          <cell r="X1129" t="str">
            <v/>
          </cell>
          <cell r="AB1129">
            <v>0</v>
          </cell>
          <cell r="AC1129">
            <v>0</v>
          </cell>
          <cell r="AD1129">
            <v>0</v>
          </cell>
          <cell r="AJ1129">
            <v>0</v>
          </cell>
          <cell r="AK1129">
            <v>0</v>
          </cell>
        </row>
        <row r="1130">
          <cell r="B1130" t="str">
            <v/>
          </cell>
          <cell r="H1130" t="str">
            <v/>
          </cell>
          <cell r="J1130" t="str">
            <v/>
          </cell>
          <cell r="N1130" t="str">
            <v/>
          </cell>
          <cell r="O1130" t="str">
            <v/>
          </cell>
          <cell r="P1130" t="str">
            <v/>
          </cell>
          <cell r="Q1130" t="str">
            <v/>
          </cell>
          <cell r="T1130" t="str">
            <v/>
          </cell>
          <cell r="U1130" t="str">
            <v/>
          </cell>
          <cell r="W1130" t="str">
            <v/>
          </cell>
          <cell r="X1130" t="str">
            <v/>
          </cell>
          <cell r="AB1130">
            <v>0</v>
          </cell>
          <cell r="AC1130">
            <v>0</v>
          </cell>
          <cell r="AD1130">
            <v>0</v>
          </cell>
          <cell r="AJ1130">
            <v>0</v>
          </cell>
          <cell r="AK1130">
            <v>0</v>
          </cell>
        </row>
        <row r="1131">
          <cell r="B1131" t="str">
            <v/>
          </cell>
          <cell r="H1131" t="str">
            <v/>
          </cell>
          <cell r="J1131" t="str">
            <v/>
          </cell>
          <cell r="N1131" t="str">
            <v/>
          </cell>
          <cell r="O1131" t="str">
            <v/>
          </cell>
          <cell r="P1131" t="str">
            <v/>
          </cell>
          <cell r="Q1131" t="str">
            <v/>
          </cell>
          <cell r="T1131" t="str">
            <v/>
          </cell>
          <cell r="U1131" t="str">
            <v/>
          </cell>
          <cell r="W1131" t="str">
            <v/>
          </cell>
          <cell r="X1131" t="str">
            <v/>
          </cell>
          <cell r="AB1131">
            <v>0</v>
          </cell>
          <cell r="AC1131">
            <v>0</v>
          </cell>
          <cell r="AD1131">
            <v>0</v>
          </cell>
          <cell r="AJ1131">
            <v>0</v>
          </cell>
          <cell r="AK1131">
            <v>0</v>
          </cell>
        </row>
        <row r="1132">
          <cell r="B1132" t="str">
            <v/>
          </cell>
          <cell r="H1132" t="str">
            <v/>
          </cell>
          <cell r="J1132" t="str">
            <v/>
          </cell>
          <cell r="N1132" t="str">
            <v/>
          </cell>
          <cell r="O1132" t="str">
            <v/>
          </cell>
          <cell r="P1132" t="str">
            <v/>
          </cell>
          <cell r="Q1132" t="str">
            <v/>
          </cell>
          <cell r="T1132" t="str">
            <v/>
          </cell>
          <cell r="U1132" t="str">
            <v/>
          </cell>
          <cell r="W1132" t="str">
            <v/>
          </cell>
          <cell r="X1132" t="str">
            <v/>
          </cell>
          <cell r="AB1132">
            <v>0</v>
          </cell>
          <cell r="AC1132">
            <v>0</v>
          </cell>
          <cell r="AD1132">
            <v>0</v>
          </cell>
          <cell r="AJ1132">
            <v>0</v>
          </cell>
          <cell r="AK1132">
            <v>0</v>
          </cell>
        </row>
        <row r="1133">
          <cell r="B1133" t="str">
            <v/>
          </cell>
          <cell r="H1133" t="str">
            <v/>
          </cell>
          <cell r="J1133" t="str">
            <v/>
          </cell>
          <cell r="N1133" t="str">
            <v/>
          </cell>
          <cell r="O1133" t="str">
            <v/>
          </cell>
          <cell r="P1133" t="str">
            <v/>
          </cell>
          <cell r="Q1133" t="str">
            <v/>
          </cell>
          <cell r="T1133" t="str">
            <v/>
          </cell>
          <cell r="U1133" t="str">
            <v/>
          </cell>
          <cell r="W1133" t="str">
            <v/>
          </cell>
          <cell r="X1133" t="str">
            <v/>
          </cell>
          <cell r="AB1133">
            <v>0</v>
          </cell>
          <cell r="AC1133">
            <v>0</v>
          </cell>
          <cell r="AD1133">
            <v>0</v>
          </cell>
          <cell r="AJ1133">
            <v>0</v>
          </cell>
          <cell r="AK1133">
            <v>0</v>
          </cell>
        </row>
        <row r="1134">
          <cell r="B1134" t="str">
            <v/>
          </cell>
          <cell r="H1134" t="str">
            <v/>
          </cell>
          <cell r="J1134" t="str">
            <v/>
          </cell>
          <cell r="N1134" t="str">
            <v/>
          </cell>
          <cell r="O1134" t="str">
            <v/>
          </cell>
          <cell r="P1134" t="str">
            <v/>
          </cell>
          <cell r="Q1134" t="str">
            <v/>
          </cell>
          <cell r="T1134" t="str">
            <v/>
          </cell>
          <cell r="U1134" t="str">
            <v/>
          </cell>
          <cell r="W1134" t="str">
            <v/>
          </cell>
          <cell r="X1134" t="str">
            <v/>
          </cell>
          <cell r="AB1134">
            <v>0</v>
          </cell>
          <cell r="AC1134">
            <v>0</v>
          </cell>
          <cell r="AD1134">
            <v>0</v>
          </cell>
          <cell r="AJ1134">
            <v>0</v>
          </cell>
          <cell r="AK1134">
            <v>0</v>
          </cell>
        </row>
        <row r="1135">
          <cell r="B1135" t="str">
            <v/>
          </cell>
          <cell r="H1135" t="str">
            <v/>
          </cell>
          <cell r="J1135" t="str">
            <v/>
          </cell>
          <cell r="N1135" t="str">
            <v/>
          </cell>
          <cell r="O1135" t="str">
            <v/>
          </cell>
          <cell r="P1135" t="str">
            <v/>
          </cell>
          <cell r="Q1135" t="str">
            <v/>
          </cell>
          <cell r="T1135" t="str">
            <v/>
          </cell>
          <cell r="U1135" t="str">
            <v/>
          </cell>
          <cell r="W1135" t="str">
            <v/>
          </cell>
          <cell r="X1135" t="str">
            <v/>
          </cell>
          <cell r="AB1135">
            <v>0</v>
          </cell>
          <cell r="AC1135">
            <v>0</v>
          </cell>
          <cell r="AD1135">
            <v>0</v>
          </cell>
          <cell r="AJ1135">
            <v>0</v>
          </cell>
          <cell r="AK1135">
            <v>0</v>
          </cell>
        </row>
        <row r="1136">
          <cell r="B1136" t="str">
            <v/>
          </cell>
          <cell r="H1136" t="str">
            <v/>
          </cell>
          <cell r="J1136" t="str">
            <v/>
          </cell>
          <cell r="N1136" t="str">
            <v/>
          </cell>
          <cell r="O1136" t="str">
            <v/>
          </cell>
          <cell r="P1136" t="str">
            <v/>
          </cell>
          <cell r="Q1136" t="str">
            <v/>
          </cell>
          <cell r="T1136" t="str">
            <v/>
          </cell>
          <cell r="U1136" t="str">
            <v/>
          </cell>
          <cell r="W1136" t="str">
            <v/>
          </cell>
          <cell r="X1136" t="str">
            <v/>
          </cell>
          <cell r="AB1136">
            <v>0</v>
          </cell>
          <cell r="AC1136">
            <v>0</v>
          </cell>
          <cell r="AD1136">
            <v>0</v>
          </cell>
          <cell r="AJ1136">
            <v>0</v>
          </cell>
          <cell r="AK1136">
            <v>0</v>
          </cell>
        </row>
        <row r="1137">
          <cell r="B1137" t="str">
            <v/>
          </cell>
          <cell r="H1137" t="str">
            <v/>
          </cell>
          <cell r="J1137" t="str">
            <v/>
          </cell>
          <cell r="N1137" t="str">
            <v/>
          </cell>
          <cell r="O1137" t="str">
            <v/>
          </cell>
          <cell r="P1137" t="str">
            <v/>
          </cell>
          <cell r="Q1137" t="str">
            <v/>
          </cell>
          <cell r="T1137" t="str">
            <v/>
          </cell>
          <cell r="U1137" t="str">
            <v/>
          </cell>
          <cell r="W1137" t="str">
            <v/>
          </cell>
          <cell r="X1137" t="str">
            <v/>
          </cell>
          <cell r="AB1137">
            <v>0</v>
          </cell>
          <cell r="AC1137">
            <v>0</v>
          </cell>
          <cell r="AD1137">
            <v>0</v>
          </cell>
          <cell r="AJ1137">
            <v>0</v>
          </cell>
          <cell r="AK1137">
            <v>0</v>
          </cell>
        </row>
        <row r="1138">
          <cell r="B1138" t="str">
            <v/>
          </cell>
          <cell r="H1138" t="str">
            <v/>
          </cell>
          <cell r="J1138" t="str">
            <v/>
          </cell>
          <cell r="N1138" t="str">
            <v/>
          </cell>
          <cell r="O1138" t="str">
            <v/>
          </cell>
          <cell r="P1138" t="str">
            <v/>
          </cell>
          <cell r="Q1138" t="str">
            <v/>
          </cell>
          <cell r="T1138" t="str">
            <v/>
          </cell>
          <cell r="U1138" t="str">
            <v/>
          </cell>
          <cell r="W1138" t="str">
            <v/>
          </cell>
          <cell r="X1138" t="str">
            <v/>
          </cell>
          <cell r="AB1138">
            <v>0</v>
          </cell>
          <cell r="AC1138">
            <v>0</v>
          </cell>
          <cell r="AD1138">
            <v>0</v>
          </cell>
          <cell r="AJ1138">
            <v>0</v>
          </cell>
          <cell r="AK1138">
            <v>0</v>
          </cell>
        </row>
        <row r="1139">
          <cell r="B1139" t="str">
            <v/>
          </cell>
          <cell r="H1139" t="str">
            <v/>
          </cell>
          <cell r="J1139" t="str">
            <v/>
          </cell>
          <cell r="N1139" t="str">
            <v/>
          </cell>
          <cell r="O1139" t="str">
            <v/>
          </cell>
          <cell r="P1139" t="str">
            <v/>
          </cell>
          <cell r="Q1139" t="str">
            <v/>
          </cell>
          <cell r="T1139" t="str">
            <v/>
          </cell>
          <cell r="U1139" t="str">
            <v/>
          </cell>
          <cell r="W1139" t="str">
            <v/>
          </cell>
          <cell r="X1139" t="str">
            <v/>
          </cell>
          <cell r="AB1139">
            <v>0</v>
          </cell>
          <cell r="AC1139">
            <v>0</v>
          </cell>
          <cell r="AD1139">
            <v>0</v>
          </cell>
          <cell r="AJ1139">
            <v>0</v>
          </cell>
          <cell r="AK1139">
            <v>0</v>
          </cell>
        </row>
        <row r="1140">
          <cell r="B1140" t="str">
            <v/>
          </cell>
          <cell r="H1140" t="str">
            <v/>
          </cell>
          <cell r="J1140" t="str">
            <v/>
          </cell>
          <cell r="N1140" t="str">
            <v/>
          </cell>
          <cell r="O1140" t="str">
            <v/>
          </cell>
          <cell r="P1140" t="str">
            <v/>
          </cell>
          <cell r="Q1140" t="str">
            <v/>
          </cell>
          <cell r="T1140" t="str">
            <v/>
          </cell>
          <cell r="U1140" t="str">
            <v/>
          </cell>
          <cell r="W1140" t="str">
            <v/>
          </cell>
          <cell r="X1140" t="str">
            <v/>
          </cell>
          <cell r="AB1140">
            <v>0</v>
          </cell>
          <cell r="AC1140">
            <v>0</v>
          </cell>
          <cell r="AD1140">
            <v>0</v>
          </cell>
          <cell r="AJ1140">
            <v>0</v>
          </cell>
          <cell r="AK1140">
            <v>0</v>
          </cell>
        </row>
        <row r="1141">
          <cell r="B1141" t="str">
            <v/>
          </cell>
          <cell r="H1141" t="str">
            <v/>
          </cell>
          <cell r="J1141" t="str">
            <v/>
          </cell>
          <cell r="N1141" t="str">
            <v/>
          </cell>
          <cell r="O1141" t="str">
            <v/>
          </cell>
          <cell r="P1141" t="str">
            <v/>
          </cell>
          <cell r="Q1141" t="str">
            <v/>
          </cell>
          <cell r="T1141" t="str">
            <v/>
          </cell>
          <cell r="U1141" t="str">
            <v/>
          </cell>
          <cell r="W1141" t="str">
            <v/>
          </cell>
          <cell r="X1141" t="str">
            <v/>
          </cell>
          <cell r="AB1141">
            <v>0</v>
          </cell>
          <cell r="AC1141">
            <v>0</v>
          </cell>
          <cell r="AD1141">
            <v>0</v>
          </cell>
          <cell r="AJ1141">
            <v>0</v>
          </cell>
          <cell r="AK1141">
            <v>0</v>
          </cell>
        </row>
        <row r="1142">
          <cell r="B1142" t="str">
            <v/>
          </cell>
          <cell r="H1142" t="str">
            <v/>
          </cell>
          <cell r="J1142" t="str">
            <v/>
          </cell>
          <cell r="N1142" t="str">
            <v/>
          </cell>
          <cell r="O1142" t="str">
            <v/>
          </cell>
          <cell r="P1142" t="str">
            <v/>
          </cell>
          <cell r="Q1142" t="str">
            <v/>
          </cell>
          <cell r="T1142" t="str">
            <v/>
          </cell>
          <cell r="U1142" t="str">
            <v/>
          </cell>
          <cell r="W1142" t="str">
            <v/>
          </cell>
          <cell r="X1142" t="str">
            <v/>
          </cell>
          <cell r="AB1142">
            <v>0</v>
          </cell>
          <cell r="AC1142">
            <v>0</v>
          </cell>
          <cell r="AD1142">
            <v>0</v>
          </cell>
          <cell r="AJ1142">
            <v>0</v>
          </cell>
          <cell r="AK1142">
            <v>0</v>
          </cell>
        </row>
        <row r="1143">
          <cell r="B1143" t="str">
            <v/>
          </cell>
          <cell r="H1143" t="str">
            <v/>
          </cell>
          <cell r="J1143" t="str">
            <v/>
          </cell>
          <cell r="N1143" t="str">
            <v/>
          </cell>
          <cell r="O1143" t="str">
            <v/>
          </cell>
          <cell r="P1143" t="str">
            <v/>
          </cell>
          <cell r="Q1143" t="str">
            <v/>
          </cell>
          <cell r="T1143" t="str">
            <v/>
          </cell>
          <cell r="U1143" t="str">
            <v/>
          </cell>
          <cell r="W1143" t="str">
            <v/>
          </cell>
          <cell r="X1143" t="str">
            <v/>
          </cell>
          <cell r="AB1143">
            <v>0</v>
          </cell>
          <cell r="AC1143">
            <v>0</v>
          </cell>
          <cell r="AD1143">
            <v>0</v>
          </cell>
          <cell r="AJ1143">
            <v>0</v>
          </cell>
          <cell r="AK1143">
            <v>0</v>
          </cell>
        </row>
        <row r="1144">
          <cell r="B1144" t="str">
            <v/>
          </cell>
          <cell r="H1144" t="str">
            <v/>
          </cell>
          <cell r="J1144" t="str">
            <v/>
          </cell>
          <cell r="N1144" t="str">
            <v/>
          </cell>
          <cell r="O1144" t="str">
            <v/>
          </cell>
          <cell r="P1144" t="str">
            <v/>
          </cell>
          <cell r="Q1144" t="str">
            <v/>
          </cell>
          <cell r="T1144" t="str">
            <v/>
          </cell>
          <cell r="U1144" t="str">
            <v/>
          </cell>
          <cell r="W1144" t="str">
            <v/>
          </cell>
          <cell r="X1144" t="str">
            <v/>
          </cell>
          <cell r="AB1144">
            <v>0</v>
          </cell>
          <cell r="AC1144">
            <v>0</v>
          </cell>
          <cell r="AD1144">
            <v>0</v>
          </cell>
          <cell r="AJ1144">
            <v>0</v>
          </cell>
          <cell r="AK1144">
            <v>0</v>
          </cell>
        </row>
        <row r="1145">
          <cell r="B1145" t="str">
            <v/>
          </cell>
          <cell r="H1145" t="str">
            <v/>
          </cell>
          <cell r="J1145" t="str">
            <v/>
          </cell>
          <cell r="N1145" t="str">
            <v/>
          </cell>
          <cell r="O1145" t="str">
            <v/>
          </cell>
          <cell r="P1145" t="str">
            <v/>
          </cell>
          <cell r="Q1145" t="str">
            <v/>
          </cell>
          <cell r="T1145" t="str">
            <v/>
          </cell>
          <cell r="U1145" t="str">
            <v/>
          </cell>
          <cell r="W1145" t="str">
            <v/>
          </cell>
          <cell r="X1145" t="str">
            <v/>
          </cell>
          <cell r="AB1145">
            <v>0</v>
          </cell>
          <cell r="AC1145">
            <v>0</v>
          </cell>
          <cell r="AD1145">
            <v>0</v>
          </cell>
          <cell r="AJ1145">
            <v>0</v>
          </cell>
          <cell r="AK1145">
            <v>0</v>
          </cell>
        </row>
        <row r="1146">
          <cell r="B1146" t="str">
            <v/>
          </cell>
          <cell r="H1146" t="str">
            <v/>
          </cell>
          <cell r="J1146" t="str">
            <v/>
          </cell>
          <cell r="N1146" t="str">
            <v/>
          </cell>
          <cell r="O1146" t="str">
            <v/>
          </cell>
          <cell r="P1146" t="str">
            <v/>
          </cell>
          <cell r="Q1146" t="str">
            <v/>
          </cell>
          <cell r="T1146" t="str">
            <v/>
          </cell>
          <cell r="U1146" t="str">
            <v/>
          </cell>
          <cell r="W1146" t="str">
            <v/>
          </cell>
          <cell r="X1146" t="str">
            <v/>
          </cell>
          <cell r="AB1146">
            <v>0</v>
          </cell>
          <cell r="AC1146">
            <v>0</v>
          </cell>
          <cell r="AD1146">
            <v>0</v>
          </cell>
          <cell r="AJ1146">
            <v>0</v>
          </cell>
          <cell r="AK1146">
            <v>0</v>
          </cell>
        </row>
        <row r="1147">
          <cell r="B1147" t="str">
            <v/>
          </cell>
          <cell r="H1147" t="str">
            <v/>
          </cell>
          <cell r="J1147" t="str">
            <v/>
          </cell>
          <cell r="N1147" t="str">
            <v/>
          </cell>
          <cell r="O1147" t="str">
            <v/>
          </cell>
          <cell r="P1147" t="str">
            <v/>
          </cell>
          <cell r="Q1147" t="str">
            <v/>
          </cell>
          <cell r="T1147" t="str">
            <v/>
          </cell>
          <cell r="U1147" t="str">
            <v/>
          </cell>
          <cell r="W1147" t="str">
            <v/>
          </cell>
          <cell r="X1147" t="str">
            <v/>
          </cell>
          <cell r="AB1147">
            <v>0</v>
          </cell>
          <cell r="AC1147">
            <v>0</v>
          </cell>
          <cell r="AD1147">
            <v>0</v>
          </cell>
          <cell r="AJ1147">
            <v>0</v>
          </cell>
          <cell r="AK1147">
            <v>0</v>
          </cell>
        </row>
        <row r="1148">
          <cell r="B1148" t="str">
            <v/>
          </cell>
          <cell r="H1148" t="str">
            <v/>
          </cell>
          <cell r="J1148" t="str">
            <v/>
          </cell>
          <cell r="N1148" t="str">
            <v/>
          </cell>
          <cell r="O1148" t="str">
            <v/>
          </cell>
          <cell r="P1148" t="str">
            <v/>
          </cell>
          <cell r="Q1148" t="str">
            <v/>
          </cell>
          <cell r="T1148" t="str">
            <v/>
          </cell>
          <cell r="U1148" t="str">
            <v/>
          </cell>
          <cell r="W1148" t="str">
            <v/>
          </cell>
          <cell r="X1148" t="str">
            <v/>
          </cell>
          <cell r="AB1148">
            <v>0</v>
          </cell>
          <cell r="AC1148">
            <v>0</v>
          </cell>
          <cell r="AD1148">
            <v>0</v>
          </cell>
          <cell r="AJ1148">
            <v>0</v>
          </cell>
          <cell r="AK1148">
            <v>0</v>
          </cell>
        </row>
        <row r="1149">
          <cell r="B1149" t="str">
            <v/>
          </cell>
          <cell r="H1149" t="str">
            <v/>
          </cell>
          <cell r="J1149" t="str">
            <v/>
          </cell>
          <cell r="N1149" t="str">
            <v/>
          </cell>
          <cell r="O1149" t="str">
            <v/>
          </cell>
          <cell r="P1149" t="str">
            <v/>
          </cell>
          <cell r="Q1149" t="str">
            <v/>
          </cell>
          <cell r="T1149" t="str">
            <v/>
          </cell>
          <cell r="U1149" t="str">
            <v/>
          </cell>
          <cell r="W1149" t="str">
            <v/>
          </cell>
          <cell r="X1149" t="str">
            <v/>
          </cell>
          <cell r="AB1149">
            <v>0</v>
          </cell>
          <cell r="AC1149">
            <v>0</v>
          </cell>
          <cell r="AD1149">
            <v>0</v>
          </cell>
          <cell r="AJ1149">
            <v>0</v>
          </cell>
          <cell r="AK1149">
            <v>0</v>
          </cell>
        </row>
        <row r="1150">
          <cell r="B1150" t="str">
            <v/>
          </cell>
          <cell r="H1150" t="str">
            <v/>
          </cell>
          <cell r="J1150" t="str">
            <v/>
          </cell>
          <cell r="N1150" t="str">
            <v/>
          </cell>
          <cell r="O1150" t="str">
            <v/>
          </cell>
          <cell r="P1150" t="str">
            <v/>
          </cell>
          <cell r="Q1150" t="str">
            <v/>
          </cell>
          <cell r="T1150" t="str">
            <v/>
          </cell>
          <cell r="U1150" t="str">
            <v/>
          </cell>
          <cell r="W1150" t="str">
            <v/>
          </cell>
          <cell r="X1150" t="str">
            <v/>
          </cell>
          <cell r="AB1150">
            <v>0</v>
          </cell>
          <cell r="AC1150">
            <v>0</v>
          </cell>
          <cell r="AD1150">
            <v>0</v>
          </cell>
          <cell r="AJ1150">
            <v>0</v>
          </cell>
          <cell r="AK1150">
            <v>0</v>
          </cell>
        </row>
        <row r="1151">
          <cell r="B1151" t="str">
            <v/>
          </cell>
          <cell r="H1151" t="str">
            <v/>
          </cell>
          <cell r="J1151" t="str">
            <v/>
          </cell>
          <cell r="N1151" t="str">
            <v/>
          </cell>
          <cell r="O1151" t="str">
            <v/>
          </cell>
          <cell r="P1151" t="str">
            <v/>
          </cell>
          <cell r="Q1151" t="str">
            <v/>
          </cell>
          <cell r="T1151" t="str">
            <v/>
          </cell>
          <cell r="U1151" t="str">
            <v/>
          </cell>
          <cell r="W1151" t="str">
            <v/>
          </cell>
          <cell r="X1151" t="str">
            <v/>
          </cell>
          <cell r="AB1151">
            <v>0</v>
          </cell>
          <cell r="AC1151">
            <v>0</v>
          </cell>
          <cell r="AD1151">
            <v>0</v>
          </cell>
          <cell r="AJ1151">
            <v>0</v>
          </cell>
          <cell r="AK1151">
            <v>0</v>
          </cell>
        </row>
        <row r="1152">
          <cell r="B1152" t="str">
            <v/>
          </cell>
          <cell r="H1152" t="str">
            <v/>
          </cell>
          <cell r="J1152" t="str">
            <v/>
          </cell>
          <cell r="N1152" t="str">
            <v/>
          </cell>
          <cell r="O1152" t="str">
            <v/>
          </cell>
          <cell r="P1152" t="str">
            <v/>
          </cell>
          <cell r="Q1152" t="str">
            <v/>
          </cell>
          <cell r="T1152" t="str">
            <v/>
          </cell>
          <cell r="U1152" t="str">
            <v/>
          </cell>
          <cell r="W1152" t="str">
            <v/>
          </cell>
          <cell r="X1152" t="str">
            <v/>
          </cell>
          <cell r="AB1152">
            <v>0</v>
          </cell>
          <cell r="AC1152">
            <v>0</v>
          </cell>
          <cell r="AD1152">
            <v>0</v>
          </cell>
          <cell r="AJ1152">
            <v>0</v>
          </cell>
          <cell r="AK1152">
            <v>0</v>
          </cell>
        </row>
        <row r="1153">
          <cell r="B1153" t="str">
            <v/>
          </cell>
          <cell r="H1153" t="str">
            <v/>
          </cell>
          <cell r="J1153" t="str">
            <v/>
          </cell>
          <cell r="N1153" t="str">
            <v/>
          </cell>
          <cell r="O1153" t="str">
            <v/>
          </cell>
          <cell r="P1153" t="str">
            <v/>
          </cell>
          <cell r="Q1153" t="str">
            <v/>
          </cell>
          <cell r="T1153" t="str">
            <v/>
          </cell>
          <cell r="U1153" t="str">
            <v/>
          </cell>
          <cell r="W1153" t="str">
            <v/>
          </cell>
          <cell r="X1153" t="str">
            <v/>
          </cell>
          <cell r="AB1153">
            <v>0</v>
          </cell>
          <cell r="AC1153">
            <v>0</v>
          </cell>
          <cell r="AD1153">
            <v>0</v>
          </cell>
          <cell r="AJ1153">
            <v>0</v>
          </cell>
          <cell r="AK1153">
            <v>0</v>
          </cell>
        </row>
        <row r="1154">
          <cell r="B1154" t="str">
            <v/>
          </cell>
          <cell r="H1154" t="str">
            <v/>
          </cell>
          <cell r="J1154" t="str">
            <v/>
          </cell>
          <cell r="N1154" t="str">
            <v/>
          </cell>
          <cell r="O1154" t="str">
            <v/>
          </cell>
          <cell r="P1154" t="str">
            <v/>
          </cell>
          <cell r="Q1154" t="str">
            <v/>
          </cell>
          <cell r="T1154" t="str">
            <v/>
          </cell>
          <cell r="U1154" t="str">
            <v/>
          </cell>
          <cell r="W1154" t="str">
            <v/>
          </cell>
          <cell r="X1154" t="str">
            <v/>
          </cell>
          <cell r="AB1154">
            <v>0</v>
          </cell>
          <cell r="AC1154">
            <v>0</v>
          </cell>
          <cell r="AD1154">
            <v>0</v>
          </cell>
          <cell r="AJ1154">
            <v>0</v>
          </cell>
          <cell r="AK1154">
            <v>0</v>
          </cell>
        </row>
        <row r="1155">
          <cell r="B1155" t="str">
            <v/>
          </cell>
          <cell r="H1155" t="str">
            <v/>
          </cell>
          <cell r="J1155" t="str">
            <v/>
          </cell>
          <cell r="N1155" t="str">
            <v/>
          </cell>
          <cell r="O1155" t="str">
            <v/>
          </cell>
          <cell r="P1155" t="str">
            <v/>
          </cell>
          <cell r="Q1155" t="str">
            <v/>
          </cell>
          <cell r="T1155" t="str">
            <v/>
          </cell>
          <cell r="U1155" t="str">
            <v/>
          </cell>
          <cell r="W1155" t="str">
            <v/>
          </cell>
          <cell r="X1155" t="str">
            <v/>
          </cell>
          <cell r="AB1155">
            <v>0</v>
          </cell>
          <cell r="AC1155">
            <v>0</v>
          </cell>
          <cell r="AD1155">
            <v>0</v>
          </cell>
          <cell r="AJ1155">
            <v>0</v>
          </cell>
          <cell r="AK1155">
            <v>0</v>
          </cell>
        </row>
        <row r="1156">
          <cell r="B1156" t="str">
            <v/>
          </cell>
          <cell r="H1156" t="str">
            <v/>
          </cell>
          <cell r="J1156" t="str">
            <v/>
          </cell>
          <cell r="N1156" t="str">
            <v/>
          </cell>
          <cell r="O1156" t="str">
            <v/>
          </cell>
          <cell r="P1156" t="str">
            <v/>
          </cell>
          <cell r="Q1156" t="str">
            <v/>
          </cell>
          <cell r="T1156" t="str">
            <v/>
          </cell>
          <cell r="U1156" t="str">
            <v/>
          </cell>
          <cell r="W1156" t="str">
            <v/>
          </cell>
          <cell r="X1156" t="str">
            <v/>
          </cell>
          <cell r="AB1156">
            <v>0</v>
          </cell>
          <cell r="AC1156">
            <v>0</v>
          </cell>
          <cell r="AD1156">
            <v>0</v>
          </cell>
          <cell r="AJ1156">
            <v>0</v>
          </cell>
          <cell r="AK1156">
            <v>0</v>
          </cell>
        </row>
        <row r="1157">
          <cell r="B1157" t="str">
            <v/>
          </cell>
          <cell r="H1157" t="str">
            <v/>
          </cell>
          <cell r="J1157" t="str">
            <v/>
          </cell>
          <cell r="N1157" t="str">
            <v/>
          </cell>
          <cell r="O1157" t="str">
            <v/>
          </cell>
          <cell r="P1157" t="str">
            <v/>
          </cell>
          <cell r="Q1157" t="str">
            <v/>
          </cell>
          <cell r="T1157" t="str">
            <v/>
          </cell>
          <cell r="U1157" t="str">
            <v/>
          </cell>
          <cell r="W1157" t="str">
            <v/>
          </cell>
          <cell r="X1157" t="str">
            <v/>
          </cell>
          <cell r="AB1157">
            <v>0</v>
          </cell>
          <cell r="AC1157">
            <v>0</v>
          </cell>
          <cell r="AD1157">
            <v>0</v>
          </cell>
          <cell r="AJ1157">
            <v>0</v>
          </cell>
          <cell r="AK1157">
            <v>0</v>
          </cell>
        </row>
        <row r="1158">
          <cell r="B1158" t="str">
            <v/>
          </cell>
          <cell r="H1158" t="str">
            <v/>
          </cell>
          <cell r="J1158" t="str">
            <v/>
          </cell>
          <cell r="N1158" t="str">
            <v/>
          </cell>
          <cell r="O1158" t="str">
            <v/>
          </cell>
          <cell r="P1158" t="str">
            <v/>
          </cell>
          <cell r="Q1158" t="str">
            <v/>
          </cell>
          <cell r="T1158" t="str">
            <v/>
          </cell>
          <cell r="U1158" t="str">
            <v/>
          </cell>
          <cell r="W1158" t="str">
            <v/>
          </cell>
          <cell r="X1158" t="str">
            <v/>
          </cell>
          <cell r="AB1158">
            <v>0</v>
          </cell>
          <cell r="AC1158">
            <v>0</v>
          </cell>
          <cell r="AD1158">
            <v>0</v>
          </cell>
          <cell r="AJ1158">
            <v>0</v>
          </cell>
          <cell r="AK1158">
            <v>0</v>
          </cell>
        </row>
        <row r="1159">
          <cell r="B1159" t="str">
            <v/>
          </cell>
          <cell r="H1159" t="str">
            <v/>
          </cell>
          <cell r="J1159" t="str">
            <v/>
          </cell>
          <cell r="N1159" t="str">
            <v/>
          </cell>
          <cell r="O1159" t="str">
            <v/>
          </cell>
          <cell r="P1159" t="str">
            <v/>
          </cell>
          <cell r="Q1159" t="str">
            <v/>
          </cell>
          <cell r="T1159" t="str">
            <v/>
          </cell>
          <cell r="U1159" t="str">
            <v/>
          </cell>
          <cell r="W1159" t="str">
            <v/>
          </cell>
          <cell r="X1159" t="str">
            <v/>
          </cell>
          <cell r="AB1159">
            <v>0</v>
          </cell>
          <cell r="AC1159">
            <v>0</v>
          </cell>
          <cell r="AD1159">
            <v>0</v>
          </cell>
          <cell r="AJ1159">
            <v>0</v>
          </cell>
          <cell r="AK1159">
            <v>0</v>
          </cell>
        </row>
        <row r="1160">
          <cell r="B1160" t="str">
            <v/>
          </cell>
          <cell r="H1160" t="str">
            <v/>
          </cell>
          <cell r="J1160" t="str">
            <v/>
          </cell>
          <cell r="N1160" t="str">
            <v/>
          </cell>
          <cell r="O1160" t="str">
            <v/>
          </cell>
          <cell r="P1160" t="str">
            <v/>
          </cell>
          <cell r="Q1160" t="str">
            <v/>
          </cell>
          <cell r="T1160" t="str">
            <v/>
          </cell>
          <cell r="U1160" t="str">
            <v/>
          </cell>
          <cell r="W1160" t="str">
            <v/>
          </cell>
          <cell r="X1160" t="str">
            <v/>
          </cell>
          <cell r="AB1160">
            <v>0</v>
          </cell>
          <cell r="AC1160">
            <v>0</v>
          </cell>
          <cell r="AD1160">
            <v>0</v>
          </cell>
          <cell r="AJ1160">
            <v>0</v>
          </cell>
          <cell r="AK1160">
            <v>0</v>
          </cell>
        </row>
        <row r="1161">
          <cell r="B1161" t="str">
            <v/>
          </cell>
          <cell r="H1161" t="str">
            <v/>
          </cell>
          <cell r="J1161" t="str">
            <v/>
          </cell>
          <cell r="N1161" t="str">
            <v/>
          </cell>
          <cell r="O1161" t="str">
            <v/>
          </cell>
          <cell r="P1161" t="str">
            <v/>
          </cell>
          <cell r="Q1161" t="str">
            <v/>
          </cell>
          <cell r="T1161" t="str">
            <v/>
          </cell>
          <cell r="U1161" t="str">
            <v/>
          </cell>
          <cell r="W1161" t="str">
            <v/>
          </cell>
          <cell r="X1161" t="str">
            <v/>
          </cell>
          <cell r="AB1161">
            <v>0</v>
          </cell>
          <cell r="AC1161">
            <v>0</v>
          </cell>
          <cell r="AD1161">
            <v>0</v>
          </cell>
          <cell r="AJ1161">
            <v>0</v>
          </cell>
          <cell r="AK1161">
            <v>0</v>
          </cell>
        </row>
        <row r="1162">
          <cell r="B1162" t="str">
            <v/>
          </cell>
          <cell r="H1162" t="str">
            <v/>
          </cell>
          <cell r="J1162" t="str">
            <v/>
          </cell>
          <cell r="N1162" t="str">
            <v/>
          </cell>
          <cell r="O1162" t="str">
            <v/>
          </cell>
          <cell r="P1162" t="str">
            <v/>
          </cell>
          <cell r="Q1162" t="str">
            <v/>
          </cell>
          <cell r="T1162" t="str">
            <v/>
          </cell>
          <cell r="U1162" t="str">
            <v/>
          </cell>
          <cell r="W1162" t="str">
            <v/>
          </cell>
          <cell r="X1162" t="str">
            <v/>
          </cell>
          <cell r="AB1162">
            <v>0</v>
          </cell>
          <cell r="AC1162">
            <v>0</v>
          </cell>
          <cell r="AD1162">
            <v>0</v>
          </cell>
          <cell r="AJ1162">
            <v>0</v>
          </cell>
          <cell r="AK1162">
            <v>0</v>
          </cell>
        </row>
        <row r="1163">
          <cell r="B1163" t="str">
            <v/>
          </cell>
          <cell r="H1163" t="str">
            <v/>
          </cell>
          <cell r="J1163" t="str">
            <v/>
          </cell>
          <cell r="N1163" t="str">
            <v/>
          </cell>
          <cell r="O1163" t="str">
            <v/>
          </cell>
          <cell r="P1163" t="str">
            <v/>
          </cell>
          <cell r="Q1163" t="str">
            <v/>
          </cell>
          <cell r="T1163" t="str">
            <v/>
          </cell>
          <cell r="U1163" t="str">
            <v/>
          </cell>
          <cell r="W1163" t="str">
            <v/>
          </cell>
          <cell r="X1163" t="str">
            <v/>
          </cell>
          <cell r="AB1163">
            <v>0</v>
          </cell>
          <cell r="AC1163">
            <v>0</v>
          </cell>
          <cell r="AD1163">
            <v>0</v>
          </cell>
          <cell r="AJ1163">
            <v>0</v>
          </cell>
          <cell r="AK1163">
            <v>0</v>
          </cell>
        </row>
        <row r="1164">
          <cell r="B1164" t="str">
            <v/>
          </cell>
          <cell r="H1164" t="str">
            <v/>
          </cell>
          <cell r="J1164" t="str">
            <v/>
          </cell>
          <cell r="N1164" t="str">
            <v/>
          </cell>
          <cell r="O1164" t="str">
            <v/>
          </cell>
          <cell r="P1164" t="str">
            <v/>
          </cell>
          <cell r="Q1164" t="str">
            <v/>
          </cell>
          <cell r="T1164" t="str">
            <v/>
          </cell>
          <cell r="U1164" t="str">
            <v/>
          </cell>
          <cell r="W1164" t="str">
            <v/>
          </cell>
          <cell r="X1164" t="str">
            <v/>
          </cell>
          <cell r="AB1164">
            <v>0</v>
          </cell>
          <cell r="AC1164">
            <v>0</v>
          </cell>
          <cell r="AD1164">
            <v>0</v>
          </cell>
          <cell r="AJ1164">
            <v>0</v>
          </cell>
          <cell r="AK1164">
            <v>0</v>
          </cell>
        </row>
        <row r="1165">
          <cell r="B1165" t="str">
            <v/>
          </cell>
          <cell r="H1165" t="str">
            <v/>
          </cell>
          <cell r="J1165" t="str">
            <v/>
          </cell>
          <cell r="N1165" t="str">
            <v/>
          </cell>
          <cell r="O1165" t="str">
            <v/>
          </cell>
          <cell r="P1165" t="str">
            <v/>
          </cell>
          <cell r="Q1165" t="str">
            <v/>
          </cell>
          <cell r="T1165" t="str">
            <v/>
          </cell>
          <cell r="U1165" t="str">
            <v/>
          </cell>
          <cell r="W1165" t="str">
            <v/>
          </cell>
          <cell r="X1165" t="str">
            <v/>
          </cell>
          <cell r="AB1165">
            <v>0</v>
          </cell>
          <cell r="AC1165">
            <v>0</v>
          </cell>
          <cell r="AD1165">
            <v>0</v>
          </cell>
          <cell r="AJ1165">
            <v>0</v>
          </cell>
          <cell r="AK1165">
            <v>0</v>
          </cell>
        </row>
        <row r="1166">
          <cell r="B1166" t="str">
            <v/>
          </cell>
          <cell r="H1166" t="str">
            <v/>
          </cell>
          <cell r="J1166" t="str">
            <v/>
          </cell>
          <cell r="N1166" t="str">
            <v/>
          </cell>
          <cell r="O1166" t="str">
            <v/>
          </cell>
          <cell r="P1166" t="str">
            <v/>
          </cell>
          <cell r="Q1166" t="str">
            <v/>
          </cell>
          <cell r="T1166" t="str">
            <v/>
          </cell>
          <cell r="U1166" t="str">
            <v/>
          </cell>
          <cell r="W1166" t="str">
            <v/>
          </cell>
          <cell r="X1166" t="str">
            <v/>
          </cell>
          <cell r="AB1166">
            <v>0</v>
          </cell>
          <cell r="AC1166">
            <v>0</v>
          </cell>
          <cell r="AD1166">
            <v>0</v>
          </cell>
          <cell r="AJ1166">
            <v>0</v>
          </cell>
          <cell r="AK1166">
            <v>0</v>
          </cell>
        </row>
        <row r="1167">
          <cell r="B1167" t="str">
            <v/>
          </cell>
          <cell r="H1167" t="str">
            <v/>
          </cell>
          <cell r="J1167" t="str">
            <v/>
          </cell>
          <cell r="N1167" t="str">
            <v/>
          </cell>
          <cell r="O1167" t="str">
            <v/>
          </cell>
          <cell r="P1167" t="str">
            <v/>
          </cell>
          <cell r="Q1167" t="str">
            <v/>
          </cell>
          <cell r="T1167" t="str">
            <v/>
          </cell>
          <cell r="U1167" t="str">
            <v/>
          </cell>
          <cell r="W1167" t="str">
            <v/>
          </cell>
          <cell r="X1167" t="str">
            <v/>
          </cell>
          <cell r="AB1167">
            <v>0</v>
          </cell>
          <cell r="AC1167">
            <v>0</v>
          </cell>
          <cell r="AD1167">
            <v>0</v>
          </cell>
          <cell r="AJ1167">
            <v>0</v>
          </cell>
          <cell r="AK1167">
            <v>0</v>
          </cell>
        </row>
        <row r="1168">
          <cell r="B1168" t="str">
            <v/>
          </cell>
          <cell r="H1168" t="str">
            <v/>
          </cell>
          <cell r="J1168" t="str">
            <v/>
          </cell>
          <cell r="N1168" t="str">
            <v/>
          </cell>
          <cell r="O1168" t="str">
            <v/>
          </cell>
          <cell r="P1168" t="str">
            <v/>
          </cell>
          <cell r="Q1168" t="str">
            <v/>
          </cell>
          <cell r="T1168" t="str">
            <v/>
          </cell>
          <cell r="U1168" t="str">
            <v/>
          </cell>
          <cell r="W1168" t="str">
            <v/>
          </cell>
          <cell r="X1168" t="str">
            <v/>
          </cell>
          <cell r="AB1168">
            <v>0</v>
          </cell>
          <cell r="AC1168">
            <v>0</v>
          </cell>
          <cell r="AD1168">
            <v>0</v>
          </cell>
          <cell r="AJ1168">
            <v>0</v>
          </cell>
          <cell r="AK1168">
            <v>0</v>
          </cell>
        </row>
        <row r="1169">
          <cell r="B1169" t="str">
            <v/>
          </cell>
          <cell r="H1169" t="str">
            <v/>
          </cell>
          <cell r="J1169" t="str">
            <v/>
          </cell>
          <cell r="N1169" t="str">
            <v/>
          </cell>
          <cell r="O1169" t="str">
            <v/>
          </cell>
          <cell r="P1169" t="str">
            <v/>
          </cell>
          <cell r="Q1169" t="str">
            <v/>
          </cell>
          <cell r="T1169" t="str">
            <v/>
          </cell>
          <cell r="U1169" t="str">
            <v/>
          </cell>
          <cell r="W1169" t="str">
            <v/>
          </cell>
          <cell r="X1169" t="str">
            <v/>
          </cell>
          <cell r="AB1169">
            <v>0</v>
          </cell>
          <cell r="AC1169">
            <v>0</v>
          </cell>
          <cell r="AD1169">
            <v>0</v>
          </cell>
          <cell r="AJ1169">
            <v>0</v>
          </cell>
          <cell r="AK1169">
            <v>0</v>
          </cell>
        </row>
        <row r="1170">
          <cell r="B1170" t="str">
            <v/>
          </cell>
          <cell r="H1170" t="str">
            <v/>
          </cell>
          <cell r="J1170" t="str">
            <v/>
          </cell>
          <cell r="N1170" t="str">
            <v/>
          </cell>
          <cell r="O1170" t="str">
            <v/>
          </cell>
          <cell r="P1170" t="str">
            <v/>
          </cell>
          <cell r="Q1170" t="str">
            <v/>
          </cell>
          <cell r="T1170" t="str">
            <v/>
          </cell>
          <cell r="U1170" t="str">
            <v/>
          </cell>
          <cell r="W1170" t="str">
            <v/>
          </cell>
          <cell r="X1170" t="str">
            <v/>
          </cell>
          <cell r="AB1170">
            <v>0</v>
          </cell>
          <cell r="AC1170">
            <v>0</v>
          </cell>
          <cell r="AD1170">
            <v>0</v>
          </cell>
          <cell r="AJ1170">
            <v>0</v>
          </cell>
          <cell r="AK1170">
            <v>0</v>
          </cell>
        </row>
        <row r="1171">
          <cell r="B1171" t="str">
            <v/>
          </cell>
          <cell r="H1171" t="str">
            <v/>
          </cell>
          <cell r="J1171" t="str">
            <v/>
          </cell>
          <cell r="N1171" t="str">
            <v/>
          </cell>
          <cell r="O1171" t="str">
            <v/>
          </cell>
          <cell r="P1171" t="str">
            <v/>
          </cell>
          <cell r="Q1171" t="str">
            <v/>
          </cell>
          <cell r="T1171" t="str">
            <v/>
          </cell>
          <cell r="U1171" t="str">
            <v/>
          </cell>
          <cell r="W1171" t="str">
            <v/>
          </cell>
          <cell r="X1171" t="str">
            <v/>
          </cell>
          <cell r="AB1171">
            <v>0</v>
          </cell>
          <cell r="AC1171">
            <v>0</v>
          </cell>
          <cell r="AD1171">
            <v>0</v>
          </cell>
          <cell r="AJ1171">
            <v>0</v>
          </cell>
          <cell r="AK1171">
            <v>0</v>
          </cell>
        </row>
        <row r="1172">
          <cell r="B1172" t="str">
            <v/>
          </cell>
          <cell r="H1172" t="str">
            <v/>
          </cell>
          <cell r="J1172" t="str">
            <v/>
          </cell>
          <cell r="N1172" t="str">
            <v/>
          </cell>
          <cell r="O1172" t="str">
            <v/>
          </cell>
          <cell r="P1172" t="str">
            <v/>
          </cell>
          <cell r="Q1172" t="str">
            <v/>
          </cell>
          <cell r="T1172" t="str">
            <v/>
          </cell>
          <cell r="U1172" t="str">
            <v/>
          </cell>
          <cell r="W1172" t="str">
            <v/>
          </cell>
          <cell r="X1172" t="str">
            <v/>
          </cell>
          <cell r="AB1172">
            <v>0</v>
          </cell>
          <cell r="AC1172">
            <v>0</v>
          </cell>
          <cell r="AD1172">
            <v>0</v>
          </cell>
          <cell r="AJ1172">
            <v>0</v>
          </cell>
          <cell r="AK1172">
            <v>0</v>
          </cell>
        </row>
        <row r="1173">
          <cell r="B1173" t="str">
            <v/>
          </cell>
          <cell r="H1173" t="str">
            <v/>
          </cell>
          <cell r="J1173" t="str">
            <v/>
          </cell>
          <cell r="N1173" t="str">
            <v/>
          </cell>
          <cell r="O1173" t="str">
            <v/>
          </cell>
          <cell r="P1173" t="str">
            <v/>
          </cell>
          <cell r="Q1173" t="str">
            <v/>
          </cell>
          <cell r="T1173" t="str">
            <v/>
          </cell>
          <cell r="U1173" t="str">
            <v/>
          </cell>
          <cell r="W1173" t="str">
            <v/>
          </cell>
          <cell r="X1173" t="str">
            <v/>
          </cell>
          <cell r="AB1173">
            <v>0</v>
          </cell>
          <cell r="AC1173">
            <v>0</v>
          </cell>
          <cell r="AD1173">
            <v>0</v>
          </cell>
          <cell r="AJ1173">
            <v>0</v>
          </cell>
          <cell r="AK1173">
            <v>0</v>
          </cell>
        </row>
        <row r="1174">
          <cell r="B1174" t="str">
            <v/>
          </cell>
          <cell r="H1174" t="str">
            <v/>
          </cell>
          <cell r="J1174" t="str">
            <v/>
          </cell>
          <cell r="N1174" t="str">
            <v/>
          </cell>
          <cell r="O1174" t="str">
            <v/>
          </cell>
          <cell r="P1174" t="str">
            <v/>
          </cell>
          <cell r="Q1174" t="str">
            <v/>
          </cell>
          <cell r="T1174" t="str">
            <v/>
          </cell>
          <cell r="U1174" t="str">
            <v/>
          </cell>
          <cell r="W1174" t="str">
            <v/>
          </cell>
          <cell r="X1174" t="str">
            <v/>
          </cell>
          <cell r="AB1174">
            <v>0</v>
          </cell>
          <cell r="AC1174">
            <v>0</v>
          </cell>
          <cell r="AD1174">
            <v>0</v>
          </cell>
          <cell r="AJ1174">
            <v>0</v>
          </cell>
          <cell r="AK1174">
            <v>0</v>
          </cell>
        </row>
        <row r="1175">
          <cell r="B1175" t="str">
            <v/>
          </cell>
          <cell r="H1175" t="str">
            <v/>
          </cell>
          <cell r="J1175" t="str">
            <v/>
          </cell>
          <cell r="N1175" t="str">
            <v/>
          </cell>
          <cell r="O1175" t="str">
            <v/>
          </cell>
          <cell r="P1175" t="str">
            <v/>
          </cell>
          <cell r="Q1175" t="str">
            <v/>
          </cell>
          <cell r="T1175" t="str">
            <v/>
          </cell>
          <cell r="U1175" t="str">
            <v/>
          </cell>
          <cell r="W1175" t="str">
            <v/>
          </cell>
          <cell r="X1175" t="str">
            <v/>
          </cell>
          <cell r="AB1175">
            <v>0</v>
          </cell>
          <cell r="AC1175">
            <v>0</v>
          </cell>
          <cell r="AD1175">
            <v>0</v>
          </cell>
          <cell r="AJ1175">
            <v>0</v>
          </cell>
          <cell r="AK1175">
            <v>0</v>
          </cell>
        </row>
        <row r="1176">
          <cell r="B1176" t="str">
            <v/>
          </cell>
          <cell r="H1176" t="str">
            <v/>
          </cell>
          <cell r="J1176" t="str">
            <v/>
          </cell>
          <cell r="N1176" t="str">
            <v/>
          </cell>
          <cell r="O1176" t="str">
            <v/>
          </cell>
          <cell r="P1176" t="str">
            <v/>
          </cell>
          <cell r="Q1176" t="str">
            <v/>
          </cell>
          <cell r="T1176" t="str">
            <v/>
          </cell>
          <cell r="U1176" t="str">
            <v/>
          </cell>
          <cell r="W1176" t="str">
            <v/>
          </cell>
          <cell r="X1176" t="str">
            <v/>
          </cell>
          <cell r="AB1176">
            <v>0</v>
          </cell>
          <cell r="AC1176">
            <v>0</v>
          </cell>
          <cell r="AD1176">
            <v>0</v>
          </cell>
          <cell r="AJ1176">
            <v>0</v>
          </cell>
          <cell r="AK1176">
            <v>0</v>
          </cell>
        </row>
        <row r="1177">
          <cell r="B1177" t="str">
            <v/>
          </cell>
          <cell r="H1177" t="str">
            <v/>
          </cell>
          <cell r="J1177" t="str">
            <v/>
          </cell>
          <cell r="N1177" t="str">
            <v/>
          </cell>
          <cell r="O1177" t="str">
            <v/>
          </cell>
          <cell r="P1177" t="str">
            <v/>
          </cell>
          <cell r="Q1177" t="str">
            <v/>
          </cell>
          <cell r="T1177" t="str">
            <v/>
          </cell>
          <cell r="U1177" t="str">
            <v/>
          </cell>
          <cell r="W1177" t="str">
            <v/>
          </cell>
          <cell r="X1177" t="str">
            <v/>
          </cell>
          <cell r="AB1177">
            <v>0</v>
          </cell>
          <cell r="AC1177">
            <v>0</v>
          </cell>
          <cell r="AD1177">
            <v>0</v>
          </cell>
          <cell r="AJ1177">
            <v>0</v>
          </cell>
          <cell r="AK1177">
            <v>0</v>
          </cell>
        </row>
        <row r="1178">
          <cell r="B1178" t="str">
            <v/>
          </cell>
          <cell r="H1178" t="str">
            <v/>
          </cell>
          <cell r="J1178" t="str">
            <v/>
          </cell>
          <cell r="N1178" t="str">
            <v/>
          </cell>
          <cell r="O1178" t="str">
            <v/>
          </cell>
          <cell r="P1178" t="str">
            <v/>
          </cell>
          <cell r="Q1178" t="str">
            <v/>
          </cell>
          <cell r="T1178" t="str">
            <v/>
          </cell>
          <cell r="U1178" t="str">
            <v/>
          </cell>
          <cell r="W1178" t="str">
            <v/>
          </cell>
          <cell r="X1178" t="str">
            <v/>
          </cell>
          <cell r="AB1178">
            <v>0</v>
          </cell>
          <cell r="AC1178">
            <v>0</v>
          </cell>
          <cell r="AD1178">
            <v>0</v>
          </cell>
          <cell r="AJ1178">
            <v>0</v>
          </cell>
          <cell r="AK1178">
            <v>0</v>
          </cell>
        </row>
        <row r="1179">
          <cell r="B1179" t="str">
            <v/>
          </cell>
          <cell r="H1179" t="str">
            <v/>
          </cell>
          <cell r="J1179" t="str">
            <v/>
          </cell>
          <cell r="N1179" t="str">
            <v/>
          </cell>
          <cell r="O1179" t="str">
            <v/>
          </cell>
          <cell r="P1179" t="str">
            <v/>
          </cell>
          <cell r="Q1179" t="str">
            <v/>
          </cell>
          <cell r="T1179" t="str">
            <v/>
          </cell>
          <cell r="U1179" t="str">
            <v/>
          </cell>
          <cell r="W1179" t="str">
            <v/>
          </cell>
          <cell r="X1179" t="str">
            <v/>
          </cell>
          <cell r="AB1179">
            <v>0</v>
          </cell>
          <cell r="AC1179">
            <v>0</v>
          </cell>
          <cell r="AD1179">
            <v>0</v>
          </cell>
          <cell r="AJ1179">
            <v>0</v>
          </cell>
          <cell r="AK1179">
            <v>0</v>
          </cell>
        </row>
        <row r="1180">
          <cell r="B1180" t="str">
            <v/>
          </cell>
          <cell r="H1180" t="str">
            <v/>
          </cell>
          <cell r="J1180" t="str">
            <v/>
          </cell>
          <cell r="N1180" t="str">
            <v/>
          </cell>
          <cell r="O1180" t="str">
            <v/>
          </cell>
          <cell r="P1180" t="str">
            <v/>
          </cell>
          <cell r="Q1180" t="str">
            <v/>
          </cell>
          <cell r="T1180" t="str">
            <v/>
          </cell>
          <cell r="U1180" t="str">
            <v/>
          </cell>
          <cell r="W1180" t="str">
            <v/>
          </cell>
          <cell r="X1180" t="str">
            <v/>
          </cell>
          <cell r="AB1180">
            <v>0</v>
          </cell>
          <cell r="AC1180">
            <v>0</v>
          </cell>
          <cell r="AD1180">
            <v>0</v>
          </cell>
          <cell r="AJ1180">
            <v>0</v>
          </cell>
          <cell r="AK1180">
            <v>0</v>
          </cell>
        </row>
        <row r="1181">
          <cell r="B1181" t="str">
            <v/>
          </cell>
          <cell r="H1181" t="str">
            <v/>
          </cell>
          <cell r="J1181" t="str">
            <v/>
          </cell>
          <cell r="N1181" t="str">
            <v/>
          </cell>
          <cell r="O1181" t="str">
            <v/>
          </cell>
          <cell r="P1181" t="str">
            <v/>
          </cell>
          <cell r="Q1181" t="str">
            <v/>
          </cell>
          <cell r="T1181" t="str">
            <v/>
          </cell>
          <cell r="U1181" t="str">
            <v/>
          </cell>
          <cell r="W1181" t="str">
            <v/>
          </cell>
          <cell r="X1181" t="str">
            <v/>
          </cell>
          <cell r="AB1181">
            <v>0</v>
          </cell>
          <cell r="AC1181">
            <v>0</v>
          </cell>
          <cell r="AD1181">
            <v>0</v>
          </cell>
          <cell r="AJ1181">
            <v>0</v>
          </cell>
          <cell r="AK1181">
            <v>0</v>
          </cell>
        </row>
        <row r="1182">
          <cell r="B1182" t="str">
            <v/>
          </cell>
          <cell r="H1182" t="str">
            <v/>
          </cell>
          <cell r="J1182" t="str">
            <v/>
          </cell>
          <cell r="N1182" t="str">
            <v/>
          </cell>
          <cell r="O1182" t="str">
            <v/>
          </cell>
          <cell r="P1182" t="str">
            <v/>
          </cell>
          <cell r="Q1182" t="str">
            <v/>
          </cell>
          <cell r="T1182" t="str">
            <v/>
          </cell>
          <cell r="U1182" t="str">
            <v/>
          </cell>
          <cell r="W1182" t="str">
            <v/>
          </cell>
          <cell r="X1182" t="str">
            <v/>
          </cell>
          <cell r="AB1182">
            <v>0</v>
          </cell>
          <cell r="AC1182">
            <v>0</v>
          </cell>
          <cell r="AD1182">
            <v>0</v>
          </cell>
          <cell r="AJ1182">
            <v>0</v>
          </cell>
          <cell r="AK1182">
            <v>0</v>
          </cell>
        </row>
        <row r="1183">
          <cell r="B1183" t="str">
            <v/>
          </cell>
          <cell r="H1183" t="str">
            <v/>
          </cell>
          <cell r="J1183" t="str">
            <v/>
          </cell>
          <cell r="N1183" t="str">
            <v/>
          </cell>
          <cell r="O1183" t="str">
            <v/>
          </cell>
          <cell r="P1183" t="str">
            <v/>
          </cell>
          <cell r="Q1183" t="str">
            <v/>
          </cell>
          <cell r="T1183" t="str">
            <v/>
          </cell>
          <cell r="U1183" t="str">
            <v/>
          </cell>
          <cell r="W1183" t="str">
            <v/>
          </cell>
          <cell r="X1183" t="str">
            <v/>
          </cell>
          <cell r="AB1183">
            <v>0</v>
          </cell>
          <cell r="AC1183">
            <v>0</v>
          </cell>
          <cell r="AD1183">
            <v>0</v>
          </cell>
          <cell r="AJ1183">
            <v>0</v>
          </cell>
          <cell r="AK1183">
            <v>0</v>
          </cell>
        </row>
        <row r="1184">
          <cell r="B1184" t="str">
            <v/>
          </cell>
          <cell r="H1184" t="str">
            <v/>
          </cell>
          <cell r="J1184" t="str">
            <v/>
          </cell>
          <cell r="N1184" t="str">
            <v/>
          </cell>
          <cell r="O1184" t="str">
            <v/>
          </cell>
          <cell r="P1184" t="str">
            <v/>
          </cell>
          <cell r="Q1184" t="str">
            <v/>
          </cell>
          <cell r="T1184" t="str">
            <v/>
          </cell>
          <cell r="U1184" t="str">
            <v/>
          </cell>
          <cell r="W1184" t="str">
            <v/>
          </cell>
          <cell r="X1184" t="str">
            <v/>
          </cell>
          <cell r="AB1184">
            <v>0</v>
          </cell>
          <cell r="AC1184">
            <v>0</v>
          </cell>
          <cell r="AD1184">
            <v>0</v>
          </cell>
          <cell r="AJ1184">
            <v>0</v>
          </cell>
          <cell r="AK1184">
            <v>0</v>
          </cell>
        </row>
        <row r="1185">
          <cell r="B1185" t="str">
            <v/>
          </cell>
          <cell r="H1185" t="str">
            <v/>
          </cell>
          <cell r="J1185" t="str">
            <v/>
          </cell>
          <cell r="N1185" t="str">
            <v/>
          </cell>
          <cell r="O1185" t="str">
            <v/>
          </cell>
          <cell r="P1185" t="str">
            <v/>
          </cell>
          <cell r="Q1185" t="str">
            <v/>
          </cell>
          <cell r="T1185" t="str">
            <v/>
          </cell>
          <cell r="U1185" t="str">
            <v/>
          </cell>
          <cell r="W1185" t="str">
            <v/>
          </cell>
          <cell r="X1185" t="str">
            <v/>
          </cell>
          <cell r="AB1185">
            <v>0</v>
          </cell>
          <cell r="AC1185">
            <v>0</v>
          </cell>
          <cell r="AD1185">
            <v>0</v>
          </cell>
          <cell r="AJ1185">
            <v>0</v>
          </cell>
          <cell r="AK1185">
            <v>0</v>
          </cell>
        </row>
        <row r="1186">
          <cell r="B1186" t="str">
            <v/>
          </cell>
          <cell r="H1186" t="str">
            <v/>
          </cell>
          <cell r="J1186" t="str">
            <v/>
          </cell>
          <cell r="N1186" t="str">
            <v/>
          </cell>
          <cell r="O1186" t="str">
            <v/>
          </cell>
          <cell r="P1186" t="str">
            <v/>
          </cell>
          <cell r="Q1186" t="str">
            <v/>
          </cell>
          <cell r="T1186" t="str">
            <v/>
          </cell>
          <cell r="U1186" t="str">
            <v/>
          </cell>
          <cell r="W1186" t="str">
            <v/>
          </cell>
          <cell r="X1186" t="str">
            <v/>
          </cell>
          <cell r="AB1186">
            <v>0</v>
          </cell>
          <cell r="AC1186">
            <v>0</v>
          </cell>
          <cell r="AD1186">
            <v>0</v>
          </cell>
          <cell r="AJ1186">
            <v>0</v>
          </cell>
          <cell r="AK1186">
            <v>0</v>
          </cell>
        </row>
        <row r="1187">
          <cell r="B1187" t="str">
            <v/>
          </cell>
          <cell r="H1187" t="str">
            <v/>
          </cell>
          <cell r="J1187" t="str">
            <v/>
          </cell>
          <cell r="N1187" t="str">
            <v/>
          </cell>
          <cell r="O1187" t="str">
            <v/>
          </cell>
          <cell r="P1187" t="str">
            <v/>
          </cell>
          <cell r="Q1187" t="str">
            <v/>
          </cell>
          <cell r="T1187" t="str">
            <v/>
          </cell>
          <cell r="U1187" t="str">
            <v/>
          </cell>
          <cell r="W1187" t="str">
            <v/>
          </cell>
          <cell r="X1187" t="str">
            <v/>
          </cell>
          <cell r="AB1187">
            <v>0</v>
          </cell>
          <cell r="AC1187">
            <v>0</v>
          </cell>
          <cell r="AD1187">
            <v>0</v>
          </cell>
          <cell r="AJ1187">
            <v>0</v>
          </cell>
          <cell r="AK1187">
            <v>0</v>
          </cell>
        </row>
        <row r="1188">
          <cell r="B1188" t="str">
            <v/>
          </cell>
          <cell r="H1188" t="str">
            <v/>
          </cell>
          <cell r="J1188" t="str">
            <v/>
          </cell>
          <cell r="N1188" t="str">
            <v/>
          </cell>
          <cell r="O1188" t="str">
            <v/>
          </cell>
          <cell r="P1188" t="str">
            <v/>
          </cell>
          <cell r="Q1188" t="str">
            <v/>
          </cell>
          <cell r="T1188" t="str">
            <v/>
          </cell>
          <cell r="U1188" t="str">
            <v/>
          </cell>
          <cell r="W1188" t="str">
            <v/>
          </cell>
          <cell r="X1188" t="str">
            <v/>
          </cell>
          <cell r="AB1188">
            <v>0</v>
          </cell>
          <cell r="AC1188">
            <v>0</v>
          </cell>
          <cell r="AD1188">
            <v>0</v>
          </cell>
          <cell r="AJ1188">
            <v>0</v>
          </cell>
          <cell r="AK1188">
            <v>0</v>
          </cell>
        </row>
        <row r="1189">
          <cell r="B1189" t="str">
            <v/>
          </cell>
          <cell r="H1189" t="str">
            <v/>
          </cell>
          <cell r="J1189" t="str">
            <v/>
          </cell>
          <cell r="N1189" t="str">
            <v/>
          </cell>
          <cell r="O1189" t="str">
            <v/>
          </cell>
          <cell r="P1189" t="str">
            <v/>
          </cell>
          <cell r="Q1189" t="str">
            <v/>
          </cell>
          <cell r="T1189" t="str">
            <v/>
          </cell>
          <cell r="U1189" t="str">
            <v/>
          </cell>
          <cell r="W1189" t="str">
            <v/>
          </cell>
          <cell r="X1189" t="str">
            <v/>
          </cell>
          <cell r="AB1189">
            <v>0</v>
          </cell>
          <cell r="AC1189">
            <v>0</v>
          </cell>
          <cell r="AD1189">
            <v>0</v>
          </cell>
          <cell r="AJ1189">
            <v>0</v>
          </cell>
          <cell r="AK1189">
            <v>0</v>
          </cell>
        </row>
        <row r="1190">
          <cell r="B1190" t="str">
            <v/>
          </cell>
          <cell r="H1190" t="str">
            <v/>
          </cell>
          <cell r="J1190" t="str">
            <v/>
          </cell>
          <cell r="N1190" t="str">
            <v/>
          </cell>
          <cell r="O1190" t="str">
            <v/>
          </cell>
          <cell r="P1190" t="str">
            <v/>
          </cell>
          <cell r="Q1190" t="str">
            <v/>
          </cell>
          <cell r="T1190" t="str">
            <v/>
          </cell>
          <cell r="U1190" t="str">
            <v/>
          </cell>
          <cell r="W1190" t="str">
            <v/>
          </cell>
          <cell r="X1190" t="str">
            <v/>
          </cell>
          <cell r="AB1190">
            <v>0</v>
          </cell>
          <cell r="AC1190">
            <v>0</v>
          </cell>
          <cell r="AD1190">
            <v>0</v>
          </cell>
          <cell r="AJ1190">
            <v>0</v>
          </cell>
          <cell r="AK1190">
            <v>0</v>
          </cell>
        </row>
        <row r="1191">
          <cell r="B1191" t="str">
            <v/>
          </cell>
          <cell r="H1191" t="str">
            <v/>
          </cell>
          <cell r="J1191" t="str">
            <v/>
          </cell>
          <cell r="N1191" t="str">
            <v/>
          </cell>
          <cell r="O1191" t="str">
            <v/>
          </cell>
          <cell r="P1191" t="str">
            <v/>
          </cell>
          <cell r="Q1191" t="str">
            <v/>
          </cell>
          <cell r="T1191" t="str">
            <v/>
          </cell>
          <cell r="U1191" t="str">
            <v/>
          </cell>
          <cell r="W1191" t="str">
            <v/>
          </cell>
          <cell r="X1191" t="str">
            <v/>
          </cell>
          <cell r="AB1191">
            <v>0</v>
          </cell>
          <cell r="AC1191">
            <v>0</v>
          </cell>
          <cell r="AD1191">
            <v>0</v>
          </cell>
          <cell r="AJ1191">
            <v>0</v>
          </cell>
          <cell r="AK1191">
            <v>0</v>
          </cell>
        </row>
        <row r="1192">
          <cell r="B1192" t="str">
            <v/>
          </cell>
          <cell r="H1192" t="str">
            <v/>
          </cell>
          <cell r="J1192" t="str">
            <v/>
          </cell>
          <cell r="N1192" t="str">
            <v/>
          </cell>
          <cell r="O1192" t="str">
            <v/>
          </cell>
          <cell r="P1192" t="str">
            <v/>
          </cell>
          <cell r="Q1192" t="str">
            <v/>
          </cell>
          <cell r="T1192" t="str">
            <v/>
          </cell>
          <cell r="U1192" t="str">
            <v/>
          </cell>
          <cell r="W1192" t="str">
            <v/>
          </cell>
          <cell r="X1192" t="str">
            <v/>
          </cell>
          <cell r="AB1192">
            <v>0</v>
          </cell>
          <cell r="AC1192">
            <v>0</v>
          </cell>
          <cell r="AD1192">
            <v>0</v>
          </cell>
          <cell r="AJ1192">
            <v>0</v>
          </cell>
          <cell r="AK1192">
            <v>0</v>
          </cell>
        </row>
        <row r="1193">
          <cell r="B1193" t="str">
            <v/>
          </cell>
          <cell r="H1193" t="str">
            <v/>
          </cell>
          <cell r="J1193" t="str">
            <v/>
          </cell>
          <cell r="N1193" t="str">
            <v/>
          </cell>
          <cell r="O1193" t="str">
            <v/>
          </cell>
          <cell r="P1193" t="str">
            <v/>
          </cell>
          <cell r="Q1193" t="str">
            <v/>
          </cell>
          <cell r="T1193" t="str">
            <v/>
          </cell>
          <cell r="U1193" t="str">
            <v/>
          </cell>
          <cell r="W1193" t="str">
            <v/>
          </cell>
          <cell r="X1193" t="str">
            <v/>
          </cell>
          <cell r="AB1193">
            <v>0</v>
          </cell>
          <cell r="AC1193">
            <v>0</v>
          </cell>
          <cell r="AD1193">
            <v>0</v>
          </cell>
          <cell r="AJ1193">
            <v>0</v>
          </cell>
          <cell r="AK1193">
            <v>0</v>
          </cell>
        </row>
        <row r="1194">
          <cell r="B1194" t="str">
            <v/>
          </cell>
          <cell r="H1194" t="str">
            <v/>
          </cell>
          <cell r="J1194" t="str">
            <v/>
          </cell>
          <cell r="N1194" t="str">
            <v/>
          </cell>
          <cell r="O1194" t="str">
            <v/>
          </cell>
          <cell r="P1194" t="str">
            <v/>
          </cell>
          <cell r="Q1194" t="str">
            <v/>
          </cell>
          <cell r="T1194" t="str">
            <v/>
          </cell>
          <cell r="U1194" t="str">
            <v/>
          </cell>
          <cell r="W1194" t="str">
            <v/>
          </cell>
          <cell r="X1194" t="str">
            <v/>
          </cell>
          <cell r="AB1194">
            <v>0</v>
          </cell>
          <cell r="AC1194">
            <v>0</v>
          </cell>
          <cell r="AD1194">
            <v>0</v>
          </cell>
          <cell r="AJ1194">
            <v>0</v>
          </cell>
          <cell r="AK1194">
            <v>0</v>
          </cell>
        </row>
        <row r="1195">
          <cell r="B1195" t="str">
            <v/>
          </cell>
          <cell r="H1195" t="str">
            <v/>
          </cell>
          <cell r="J1195" t="str">
            <v/>
          </cell>
          <cell r="N1195" t="str">
            <v/>
          </cell>
          <cell r="O1195" t="str">
            <v/>
          </cell>
          <cell r="P1195" t="str">
            <v/>
          </cell>
          <cell r="Q1195" t="str">
            <v/>
          </cell>
          <cell r="T1195" t="str">
            <v/>
          </cell>
          <cell r="U1195" t="str">
            <v/>
          </cell>
          <cell r="W1195" t="str">
            <v/>
          </cell>
          <cell r="X1195" t="str">
            <v/>
          </cell>
          <cell r="AB1195">
            <v>0</v>
          </cell>
          <cell r="AC1195">
            <v>0</v>
          </cell>
          <cell r="AD1195">
            <v>0</v>
          </cell>
          <cell r="AJ1195">
            <v>0</v>
          </cell>
          <cell r="AK1195">
            <v>0</v>
          </cell>
        </row>
        <row r="1196">
          <cell r="B1196" t="str">
            <v/>
          </cell>
          <cell r="H1196" t="str">
            <v/>
          </cell>
          <cell r="J1196" t="str">
            <v/>
          </cell>
          <cell r="N1196" t="str">
            <v/>
          </cell>
          <cell r="O1196" t="str">
            <v/>
          </cell>
          <cell r="P1196" t="str">
            <v/>
          </cell>
          <cell r="Q1196" t="str">
            <v/>
          </cell>
          <cell r="T1196" t="str">
            <v/>
          </cell>
          <cell r="U1196" t="str">
            <v/>
          </cell>
          <cell r="W1196" t="str">
            <v/>
          </cell>
          <cell r="X1196" t="str">
            <v/>
          </cell>
          <cell r="AB1196">
            <v>0</v>
          </cell>
          <cell r="AC1196">
            <v>0</v>
          </cell>
          <cell r="AD1196">
            <v>0</v>
          </cell>
          <cell r="AJ1196">
            <v>0</v>
          </cell>
          <cell r="AK1196">
            <v>0</v>
          </cell>
        </row>
        <row r="1197">
          <cell r="B1197" t="str">
            <v/>
          </cell>
          <cell r="H1197" t="str">
            <v/>
          </cell>
          <cell r="J1197" t="str">
            <v/>
          </cell>
          <cell r="N1197" t="str">
            <v/>
          </cell>
          <cell r="O1197" t="str">
            <v/>
          </cell>
          <cell r="P1197" t="str">
            <v/>
          </cell>
          <cell r="Q1197" t="str">
            <v/>
          </cell>
          <cell r="T1197" t="str">
            <v/>
          </cell>
          <cell r="U1197" t="str">
            <v/>
          </cell>
          <cell r="W1197" t="str">
            <v/>
          </cell>
          <cell r="X1197" t="str">
            <v/>
          </cell>
          <cell r="AB1197">
            <v>0</v>
          </cell>
          <cell r="AC1197">
            <v>0</v>
          </cell>
          <cell r="AD1197">
            <v>0</v>
          </cell>
          <cell r="AJ1197">
            <v>0</v>
          </cell>
          <cell r="AK1197">
            <v>0</v>
          </cell>
        </row>
        <row r="1198">
          <cell r="B1198" t="str">
            <v/>
          </cell>
          <cell r="H1198" t="str">
            <v/>
          </cell>
          <cell r="J1198" t="str">
            <v/>
          </cell>
          <cell r="N1198" t="str">
            <v/>
          </cell>
          <cell r="O1198" t="str">
            <v/>
          </cell>
          <cell r="P1198" t="str">
            <v/>
          </cell>
          <cell r="Q1198" t="str">
            <v/>
          </cell>
          <cell r="T1198" t="str">
            <v/>
          </cell>
          <cell r="U1198" t="str">
            <v/>
          </cell>
          <cell r="W1198" t="str">
            <v/>
          </cell>
          <cell r="X1198" t="str">
            <v/>
          </cell>
          <cell r="AB1198">
            <v>0</v>
          </cell>
          <cell r="AC1198">
            <v>0</v>
          </cell>
          <cell r="AD1198">
            <v>0</v>
          </cell>
          <cell r="AJ1198">
            <v>0</v>
          </cell>
          <cell r="AK1198">
            <v>0</v>
          </cell>
        </row>
        <row r="1199">
          <cell r="B1199" t="str">
            <v/>
          </cell>
          <cell r="H1199" t="str">
            <v/>
          </cell>
          <cell r="J1199" t="str">
            <v/>
          </cell>
          <cell r="N1199" t="str">
            <v/>
          </cell>
          <cell r="O1199" t="str">
            <v/>
          </cell>
          <cell r="P1199" t="str">
            <v/>
          </cell>
          <cell r="Q1199" t="str">
            <v/>
          </cell>
          <cell r="T1199" t="str">
            <v/>
          </cell>
          <cell r="U1199" t="str">
            <v/>
          </cell>
          <cell r="W1199" t="str">
            <v/>
          </cell>
          <cell r="X1199" t="str">
            <v/>
          </cell>
          <cell r="AB1199">
            <v>0</v>
          </cell>
          <cell r="AC1199">
            <v>0</v>
          </cell>
          <cell r="AD1199">
            <v>0</v>
          </cell>
          <cell r="AJ1199">
            <v>0</v>
          </cell>
          <cell r="AK1199">
            <v>0</v>
          </cell>
        </row>
        <row r="1200">
          <cell r="B1200" t="str">
            <v/>
          </cell>
          <cell r="H1200" t="str">
            <v/>
          </cell>
          <cell r="J1200" t="str">
            <v/>
          </cell>
          <cell r="N1200" t="str">
            <v/>
          </cell>
          <cell r="O1200" t="str">
            <v/>
          </cell>
          <cell r="P1200" t="str">
            <v/>
          </cell>
          <cell r="Q1200" t="str">
            <v/>
          </cell>
          <cell r="T1200" t="str">
            <v/>
          </cell>
          <cell r="U1200" t="str">
            <v/>
          </cell>
          <cell r="W1200" t="str">
            <v/>
          </cell>
          <cell r="X1200" t="str">
            <v/>
          </cell>
          <cell r="AB1200">
            <v>0</v>
          </cell>
          <cell r="AC1200">
            <v>0</v>
          </cell>
          <cell r="AD1200">
            <v>0</v>
          </cell>
          <cell r="AJ1200">
            <v>0</v>
          </cell>
          <cell r="AK1200">
            <v>0</v>
          </cell>
        </row>
        <row r="1201">
          <cell r="B1201" t="str">
            <v/>
          </cell>
          <cell r="H1201" t="str">
            <v/>
          </cell>
          <cell r="J1201" t="str">
            <v/>
          </cell>
          <cell r="N1201" t="str">
            <v/>
          </cell>
          <cell r="O1201" t="str">
            <v/>
          </cell>
          <cell r="P1201" t="str">
            <v/>
          </cell>
          <cell r="Q1201" t="str">
            <v/>
          </cell>
          <cell r="T1201" t="str">
            <v/>
          </cell>
          <cell r="U1201" t="str">
            <v/>
          </cell>
          <cell r="W1201" t="str">
            <v/>
          </cell>
          <cell r="X1201" t="str">
            <v/>
          </cell>
          <cell r="AB1201">
            <v>0</v>
          </cell>
          <cell r="AC1201">
            <v>0</v>
          </cell>
          <cell r="AD1201">
            <v>0</v>
          </cell>
          <cell r="AJ1201">
            <v>0</v>
          </cell>
          <cell r="AK1201">
            <v>0</v>
          </cell>
        </row>
        <row r="1202">
          <cell r="B1202" t="str">
            <v/>
          </cell>
          <cell r="H1202" t="str">
            <v/>
          </cell>
          <cell r="J1202" t="str">
            <v/>
          </cell>
          <cell r="N1202" t="str">
            <v/>
          </cell>
          <cell r="O1202" t="str">
            <v/>
          </cell>
          <cell r="P1202" t="str">
            <v/>
          </cell>
          <cell r="Q1202" t="str">
            <v/>
          </cell>
          <cell r="T1202" t="str">
            <v/>
          </cell>
          <cell r="U1202" t="str">
            <v/>
          </cell>
          <cell r="W1202" t="str">
            <v/>
          </cell>
          <cell r="X1202" t="str">
            <v/>
          </cell>
          <cell r="AB1202">
            <v>0</v>
          </cell>
          <cell r="AC1202">
            <v>0</v>
          </cell>
          <cell r="AD1202">
            <v>0</v>
          </cell>
          <cell r="AJ1202">
            <v>0</v>
          </cell>
          <cell r="AK1202">
            <v>0</v>
          </cell>
        </row>
        <row r="1203">
          <cell r="B1203" t="str">
            <v/>
          </cell>
          <cell r="H1203" t="str">
            <v/>
          </cell>
          <cell r="J1203" t="str">
            <v/>
          </cell>
          <cell r="N1203" t="str">
            <v/>
          </cell>
          <cell r="O1203" t="str">
            <v/>
          </cell>
          <cell r="P1203" t="str">
            <v/>
          </cell>
          <cell r="Q1203" t="str">
            <v/>
          </cell>
          <cell r="T1203" t="str">
            <v/>
          </cell>
          <cell r="U1203" t="str">
            <v/>
          </cell>
          <cell r="W1203" t="str">
            <v/>
          </cell>
          <cell r="X1203" t="str">
            <v/>
          </cell>
          <cell r="AB1203">
            <v>0</v>
          </cell>
          <cell r="AC1203">
            <v>0</v>
          </cell>
          <cell r="AD1203">
            <v>0</v>
          </cell>
          <cell r="AJ1203">
            <v>0</v>
          </cell>
          <cell r="AK1203">
            <v>0</v>
          </cell>
        </row>
        <row r="1204">
          <cell r="B1204" t="str">
            <v/>
          </cell>
          <cell r="H1204" t="str">
            <v/>
          </cell>
          <cell r="J1204" t="str">
            <v/>
          </cell>
          <cell r="N1204" t="str">
            <v/>
          </cell>
          <cell r="O1204" t="str">
            <v/>
          </cell>
          <cell r="P1204" t="str">
            <v/>
          </cell>
          <cell r="Q1204" t="str">
            <v/>
          </cell>
          <cell r="T1204" t="str">
            <v/>
          </cell>
          <cell r="U1204" t="str">
            <v/>
          </cell>
          <cell r="W1204" t="str">
            <v/>
          </cell>
          <cell r="X1204" t="str">
            <v/>
          </cell>
          <cell r="AB1204">
            <v>0</v>
          </cell>
          <cell r="AC1204">
            <v>0</v>
          </cell>
          <cell r="AD1204">
            <v>0</v>
          </cell>
          <cell r="AJ1204">
            <v>0</v>
          </cell>
          <cell r="AK1204">
            <v>0</v>
          </cell>
        </row>
        <row r="1205">
          <cell r="B1205" t="str">
            <v/>
          </cell>
          <cell r="H1205" t="str">
            <v/>
          </cell>
          <cell r="J1205" t="str">
            <v/>
          </cell>
          <cell r="N1205" t="str">
            <v/>
          </cell>
          <cell r="O1205" t="str">
            <v/>
          </cell>
          <cell r="P1205" t="str">
            <v/>
          </cell>
          <cell r="Q1205" t="str">
            <v/>
          </cell>
          <cell r="T1205" t="str">
            <v/>
          </cell>
          <cell r="U1205" t="str">
            <v/>
          </cell>
          <cell r="W1205" t="str">
            <v/>
          </cell>
          <cell r="X1205" t="str">
            <v/>
          </cell>
          <cell r="AB1205">
            <v>0</v>
          </cell>
          <cell r="AC1205">
            <v>0</v>
          </cell>
          <cell r="AD1205">
            <v>0</v>
          </cell>
          <cell r="AJ1205">
            <v>0</v>
          </cell>
          <cell r="AK1205">
            <v>0</v>
          </cell>
        </row>
        <row r="1206">
          <cell r="B1206" t="str">
            <v/>
          </cell>
          <cell r="H1206" t="str">
            <v/>
          </cell>
          <cell r="J1206" t="str">
            <v/>
          </cell>
          <cell r="N1206" t="str">
            <v/>
          </cell>
          <cell r="O1206" t="str">
            <v/>
          </cell>
          <cell r="P1206" t="str">
            <v/>
          </cell>
          <cell r="Q1206" t="str">
            <v/>
          </cell>
          <cell r="T1206" t="str">
            <v/>
          </cell>
          <cell r="U1206" t="str">
            <v/>
          </cell>
          <cell r="W1206" t="str">
            <v/>
          </cell>
          <cell r="X1206" t="str">
            <v/>
          </cell>
          <cell r="AB1206">
            <v>0</v>
          </cell>
          <cell r="AC1206">
            <v>0</v>
          </cell>
          <cell r="AD1206">
            <v>0</v>
          </cell>
          <cell r="AJ1206">
            <v>0</v>
          </cell>
          <cell r="AK1206">
            <v>0</v>
          </cell>
        </row>
        <row r="1207">
          <cell r="B1207" t="str">
            <v/>
          </cell>
          <cell r="H1207" t="str">
            <v/>
          </cell>
          <cell r="J1207" t="str">
            <v/>
          </cell>
          <cell r="N1207" t="str">
            <v/>
          </cell>
          <cell r="O1207" t="str">
            <v/>
          </cell>
          <cell r="P1207" t="str">
            <v/>
          </cell>
          <cell r="Q1207" t="str">
            <v/>
          </cell>
          <cell r="T1207" t="str">
            <v/>
          </cell>
          <cell r="U1207" t="str">
            <v/>
          </cell>
          <cell r="W1207" t="str">
            <v/>
          </cell>
          <cell r="X1207" t="str">
            <v/>
          </cell>
          <cell r="AB1207">
            <v>0</v>
          </cell>
          <cell r="AC1207">
            <v>0</v>
          </cell>
          <cell r="AD1207">
            <v>0</v>
          </cell>
          <cell r="AJ1207">
            <v>0</v>
          </cell>
          <cell r="AK1207">
            <v>0</v>
          </cell>
        </row>
        <row r="1208">
          <cell r="B1208" t="str">
            <v/>
          </cell>
          <cell r="H1208" t="str">
            <v/>
          </cell>
          <cell r="J1208" t="str">
            <v/>
          </cell>
          <cell r="N1208" t="str">
            <v/>
          </cell>
          <cell r="O1208" t="str">
            <v/>
          </cell>
          <cell r="P1208" t="str">
            <v/>
          </cell>
          <cell r="Q1208" t="str">
            <v/>
          </cell>
          <cell r="T1208" t="str">
            <v/>
          </cell>
          <cell r="U1208" t="str">
            <v/>
          </cell>
          <cell r="W1208" t="str">
            <v/>
          </cell>
          <cell r="X1208" t="str">
            <v/>
          </cell>
          <cell r="AB1208">
            <v>0</v>
          </cell>
          <cell r="AC1208">
            <v>0</v>
          </cell>
          <cell r="AD1208">
            <v>0</v>
          </cell>
          <cell r="AJ1208">
            <v>0</v>
          </cell>
          <cell r="AK1208">
            <v>0</v>
          </cell>
        </row>
        <row r="1209">
          <cell r="B1209" t="str">
            <v/>
          </cell>
          <cell r="H1209" t="str">
            <v/>
          </cell>
          <cell r="J1209" t="str">
            <v/>
          </cell>
          <cell r="N1209" t="str">
            <v/>
          </cell>
          <cell r="O1209" t="str">
            <v/>
          </cell>
          <cell r="P1209" t="str">
            <v/>
          </cell>
          <cell r="Q1209" t="str">
            <v/>
          </cell>
          <cell r="T1209" t="str">
            <v/>
          </cell>
          <cell r="U1209" t="str">
            <v/>
          </cell>
          <cell r="W1209" t="str">
            <v/>
          </cell>
          <cell r="X1209" t="str">
            <v/>
          </cell>
          <cell r="AB1209">
            <v>0</v>
          </cell>
          <cell r="AC1209">
            <v>0</v>
          </cell>
          <cell r="AD1209">
            <v>0</v>
          </cell>
          <cell r="AJ1209">
            <v>0</v>
          </cell>
          <cell r="AK1209">
            <v>0</v>
          </cell>
        </row>
        <row r="1210">
          <cell r="B1210" t="str">
            <v/>
          </cell>
          <cell r="H1210" t="str">
            <v/>
          </cell>
          <cell r="J1210" t="str">
            <v/>
          </cell>
          <cell r="N1210" t="str">
            <v/>
          </cell>
          <cell r="O1210" t="str">
            <v/>
          </cell>
          <cell r="P1210" t="str">
            <v/>
          </cell>
          <cell r="Q1210" t="str">
            <v/>
          </cell>
          <cell r="T1210" t="str">
            <v/>
          </cell>
          <cell r="U1210" t="str">
            <v/>
          </cell>
          <cell r="W1210" t="str">
            <v/>
          </cell>
          <cell r="X1210" t="str">
            <v/>
          </cell>
          <cell r="AB1210">
            <v>0</v>
          </cell>
          <cell r="AC1210">
            <v>0</v>
          </cell>
          <cell r="AD1210">
            <v>0</v>
          </cell>
          <cell r="AJ1210">
            <v>0</v>
          </cell>
          <cell r="AK1210">
            <v>0</v>
          </cell>
        </row>
        <row r="1211">
          <cell r="B1211" t="str">
            <v/>
          </cell>
          <cell r="H1211" t="str">
            <v/>
          </cell>
          <cell r="J1211" t="str">
            <v/>
          </cell>
          <cell r="N1211" t="str">
            <v/>
          </cell>
          <cell r="O1211" t="str">
            <v/>
          </cell>
          <cell r="P1211" t="str">
            <v/>
          </cell>
          <cell r="Q1211" t="str">
            <v/>
          </cell>
          <cell r="T1211" t="str">
            <v/>
          </cell>
          <cell r="U1211" t="str">
            <v/>
          </cell>
          <cell r="W1211" t="str">
            <v/>
          </cell>
          <cell r="X1211" t="str">
            <v/>
          </cell>
          <cell r="AB1211">
            <v>0</v>
          </cell>
          <cell r="AC1211">
            <v>0</v>
          </cell>
          <cell r="AD1211">
            <v>0</v>
          </cell>
          <cell r="AJ1211">
            <v>0</v>
          </cell>
          <cell r="AK1211">
            <v>0</v>
          </cell>
        </row>
        <row r="1212">
          <cell r="B1212" t="str">
            <v/>
          </cell>
          <cell r="H1212" t="str">
            <v/>
          </cell>
          <cell r="J1212" t="str">
            <v/>
          </cell>
          <cell r="N1212" t="str">
            <v/>
          </cell>
          <cell r="O1212" t="str">
            <v/>
          </cell>
          <cell r="P1212" t="str">
            <v/>
          </cell>
          <cell r="Q1212" t="str">
            <v/>
          </cell>
          <cell r="T1212" t="str">
            <v/>
          </cell>
          <cell r="U1212" t="str">
            <v/>
          </cell>
          <cell r="W1212" t="str">
            <v/>
          </cell>
          <cell r="X1212" t="str">
            <v/>
          </cell>
          <cell r="AB1212">
            <v>0</v>
          </cell>
          <cell r="AC1212">
            <v>0</v>
          </cell>
          <cell r="AD1212">
            <v>0</v>
          </cell>
          <cell r="AJ1212">
            <v>0</v>
          </cell>
          <cell r="AK1212">
            <v>0</v>
          </cell>
        </row>
        <row r="1213">
          <cell r="B1213" t="str">
            <v/>
          </cell>
          <cell r="H1213" t="str">
            <v/>
          </cell>
          <cell r="J1213" t="str">
            <v/>
          </cell>
          <cell r="N1213" t="str">
            <v/>
          </cell>
          <cell r="O1213" t="str">
            <v/>
          </cell>
          <cell r="P1213" t="str">
            <v/>
          </cell>
          <cell r="Q1213" t="str">
            <v/>
          </cell>
          <cell r="T1213" t="str">
            <v/>
          </cell>
          <cell r="U1213" t="str">
            <v/>
          </cell>
          <cell r="W1213" t="str">
            <v/>
          </cell>
          <cell r="X1213" t="str">
            <v/>
          </cell>
          <cell r="AB1213">
            <v>0</v>
          </cell>
          <cell r="AC1213">
            <v>0</v>
          </cell>
          <cell r="AD1213">
            <v>0</v>
          </cell>
          <cell r="AJ1213">
            <v>0</v>
          </cell>
          <cell r="AK1213">
            <v>0</v>
          </cell>
        </row>
        <row r="1214">
          <cell r="B1214" t="str">
            <v/>
          </cell>
          <cell r="H1214" t="str">
            <v/>
          </cell>
          <cell r="J1214" t="str">
            <v/>
          </cell>
          <cell r="N1214" t="str">
            <v/>
          </cell>
          <cell r="O1214" t="str">
            <v/>
          </cell>
          <cell r="P1214" t="str">
            <v/>
          </cell>
          <cell r="Q1214" t="str">
            <v/>
          </cell>
          <cell r="T1214" t="str">
            <v/>
          </cell>
          <cell r="U1214" t="str">
            <v/>
          </cell>
          <cell r="W1214" t="str">
            <v/>
          </cell>
          <cell r="X1214" t="str">
            <v/>
          </cell>
          <cell r="AB1214">
            <v>0</v>
          </cell>
          <cell r="AC1214">
            <v>0</v>
          </cell>
          <cell r="AD1214">
            <v>0</v>
          </cell>
          <cell r="AJ1214">
            <v>0</v>
          </cell>
          <cell r="AK1214">
            <v>0</v>
          </cell>
        </row>
        <row r="1215">
          <cell r="B1215" t="str">
            <v/>
          </cell>
          <cell r="H1215" t="str">
            <v/>
          </cell>
          <cell r="J1215" t="str">
            <v/>
          </cell>
          <cell r="N1215" t="str">
            <v/>
          </cell>
          <cell r="O1215" t="str">
            <v/>
          </cell>
          <cell r="P1215" t="str">
            <v/>
          </cell>
          <cell r="Q1215" t="str">
            <v/>
          </cell>
          <cell r="T1215" t="str">
            <v/>
          </cell>
          <cell r="U1215" t="str">
            <v/>
          </cell>
          <cell r="W1215" t="str">
            <v/>
          </cell>
          <cell r="X1215" t="str">
            <v/>
          </cell>
          <cell r="AB1215">
            <v>0</v>
          </cell>
          <cell r="AC1215">
            <v>0</v>
          </cell>
          <cell r="AD1215">
            <v>0</v>
          </cell>
          <cell r="AJ1215">
            <v>0</v>
          </cell>
          <cell r="AK1215">
            <v>0</v>
          </cell>
        </row>
        <row r="1216">
          <cell r="B1216" t="str">
            <v/>
          </cell>
          <cell r="H1216" t="str">
            <v/>
          </cell>
          <cell r="J1216" t="str">
            <v/>
          </cell>
          <cell r="N1216" t="str">
            <v/>
          </cell>
          <cell r="O1216" t="str">
            <v/>
          </cell>
          <cell r="P1216" t="str">
            <v/>
          </cell>
          <cell r="Q1216" t="str">
            <v/>
          </cell>
          <cell r="T1216" t="str">
            <v/>
          </cell>
          <cell r="U1216" t="str">
            <v/>
          </cell>
          <cell r="W1216" t="str">
            <v/>
          </cell>
          <cell r="X1216" t="str">
            <v/>
          </cell>
          <cell r="AB1216">
            <v>0</v>
          </cell>
          <cell r="AC1216">
            <v>0</v>
          </cell>
          <cell r="AD1216">
            <v>0</v>
          </cell>
          <cell r="AJ1216">
            <v>0</v>
          </cell>
          <cell r="AK1216">
            <v>0</v>
          </cell>
        </row>
        <row r="1217">
          <cell r="B1217" t="str">
            <v/>
          </cell>
          <cell r="H1217" t="str">
            <v/>
          </cell>
          <cell r="J1217" t="str">
            <v/>
          </cell>
          <cell r="N1217" t="str">
            <v/>
          </cell>
          <cell r="O1217" t="str">
            <v/>
          </cell>
          <cell r="P1217" t="str">
            <v/>
          </cell>
          <cell r="Q1217" t="str">
            <v/>
          </cell>
          <cell r="T1217" t="str">
            <v/>
          </cell>
          <cell r="U1217" t="str">
            <v/>
          </cell>
          <cell r="W1217" t="str">
            <v/>
          </cell>
          <cell r="X1217" t="str">
            <v/>
          </cell>
          <cell r="AB1217">
            <v>0</v>
          </cell>
          <cell r="AC1217">
            <v>0</v>
          </cell>
          <cell r="AD1217">
            <v>0</v>
          </cell>
          <cell r="AJ1217">
            <v>0</v>
          </cell>
          <cell r="AK1217">
            <v>0</v>
          </cell>
        </row>
        <row r="1218">
          <cell r="B1218" t="str">
            <v/>
          </cell>
          <cell r="H1218" t="str">
            <v/>
          </cell>
          <cell r="J1218" t="str">
            <v/>
          </cell>
          <cell r="N1218" t="str">
            <v/>
          </cell>
          <cell r="O1218" t="str">
            <v/>
          </cell>
          <cell r="P1218" t="str">
            <v/>
          </cell>
          <cell r="Q1218" t="str">
            <v/>
          </cell>
          <cell r="T1218" t="str">
            <v/>
          </cell>
          <cell r="U1218" t="str">
            <v/>
          </cell>
          <cell r="W1218" t="str">
            <v/>
          </cell>
          <cell r="X1218" t="str">
            <v/>
          </cell>
          <cell r="AB1218">
            <v>0</v>
          </cell>
          <cell r="AC1218">
            <v>0</v>
          </cell>
          <cell r="AD1218">
            <v>0</v>
          </cell>
          <cell r="AJ1218">
            <v>0</v>
          </cell>
          <cell r="AK1218">
            <v>0</v>
          </cell>
        </row>
        <row r="1219">
          <cell r="B1219" t="str">
            <v/>
          </cell>
          <cell r="H1219" t="str">
            <v/>
          </cell>
          <cell r="J1219" t="str">
            <v/>
          </cell>
          <cell r="N1219" t="str">
            <v/>
          </cell>
          <cell r="O1219" t="str">
            <v/>
          </cell>
          <cell r="P1219" t="str">
            <v/>
          </cell>
          <cell r="Q1219" t="str">
            <v/>
          </cell>
          <cell r="T1219" t="str">
            <v/>
          </cell>
          <cell r="U1219" t="str">
            <v/>
          </cell>
          <cell r="W1219" t="str">
            <v/>
          </cell>
          <cell r="X1219" t="str">
            <v/>
          </cell>
          <cell r="AB1219">
            <v>0</v>
          </cell>
          <cell r="AC1219">
            <v>0</v>
          </cell>
          <cell r="AD1219">
            <v>0</v>
          </cell>
          <cell r="AJ1219">
            <v>0</v>
          </cell>
          <cell r="AK1219">
            <v>0</v>
          </cell>
        </row>
        <row r="1220">
          <cell r="B1220" t="str">
            <v/>
          </cell>
          <cell r="H1220" t="str">
            <v/>
          </cell>
          <cell r="J1220" t="str">
            <v/>
          </cell>
          <cell r="N1220" t="str">
            <v/>
          </cell>
          <cell r="O1220" t="str">
            <v/>
          </cell>
          <cell r="P1220" t="str">
            <v/>
          </cell>
          <cell r="Q1220" t="str">
            <v/>
          </cell>
          <cell r="T1220" t="str">
            <v/>
          </cell>
          <cell r="U1220" t="str">
            <v/>
          </cell>
          <cell r="W1220" t="str">
            <v/>
          </cell>
          <cell r="X1220" t="str">
            <v/>
          </cell>
          <cell r="AB1220">
            <v>0</v>
          </cell>
          <cell r="AC1220">
            <v>0</v>
          </cell>
          <cell r="AD1220">
            <v>0</v>
          </cell>
          <cell r="AJ1220">
            <v>0</v>
          </cell>
          <cell r="AK1220">
            <v>0</v>
          </cell>
        </row>
        <row r="1221">
          <cell r="B1221" t="str">
            <v/>
          </cell>
          <cell r="H1221" t="str">
            <v/>
          </cell>
          <cell r="J1221" t="str">
            <v/>
          </cell>
          <cell r="N1221" t="str">
            <v/>
          </cell>
          <cell r="O1221" t="str">
            <v/>
          </cell>
          <cell r="P1221" t="str">
            <v/>
          </cell>
          <cell r="Q1221" t="str">
            <v/>
          </cell>
          <cell r="T1221" t="str">
            <v/>
          </cell>
          <cell r="U1221" t="str">
            <v/>
          </cell>
          <cell r="W1221" t="str">
            <v/>
          </cell>
          <cell r="X1221" t="str">
            <v/>
          </cell>
          <cell r="AB1221">
            <v>0</v>
          </cell>
          <cell r="AC1221">
            <v>0</v>
          </cell>
          <cell r="AD1221">
            <v>0</v>
          </cell>
          <cell r="AJ1221">
            <v>0</v>
          </cell>
          <cell r="AK1221">
            <v>0</v>
          </cell>
        </row>
        <row r="1222">
          <cell r="B1222" t="str">
            <v/>
          </cell>
          <cell r="H1222" t="str">
            <v/>
          </cell>
          <cell r="J1222" t="str">
            <v/>
          </cell>
          <cell r="N1222" t="str">
            <v/>
          </cell>
          <cell r="O1222" t="str">
            <v/>
          </cell>
          <cell r="P1222" t="str">
            <v/>
          </cell>
          <cell r="Q1222" t="str">
            <v/>
          </cell>
          <cell r="T1222" t="str">
            <v/>
          </cell>
          <cell r="U1222" t="str">
            <v/>
          </cell>
          <cell r="W1222" t="str">
            <v/>
          </cell>
          <cell r="X1222" t="str">
            <v/>
          </cell>
          <cell r="AB1222">
            <v>0</v>
          </cell>
          <cell r="AC1222">
            <v>0</v>
          </cell>
          <cell r="AD1222">
            <v>0</v>
          </cell>
          <cell r="AJ1222">
            <v>0</v>
          </cell>
          <cell r="AK1222">
            <v>0</v>
          </cell>
        </row>
        <row r="1223">
          <cell r="B1223" t="str">
            <v/>
          </cell>
          <cell r="H1223" t="str">
            <v/>
          </cell>
          <cell r="J1223" t="str">
            <v/>
          </cell>
          <cell r="N1223" t="str">
            <v/>
          </cell>
          <cell r="O1223" t="str">
            <v/>
          </cell>
          <cell r="P1223" t="str">
            <v/>
          </cell>
          <cell r="Q1223" t="str">
            <v/>
          </cell>
          <cell r="T1223" t="str">
            <v/>
          </cell>
          <cell r="U1223" t="str">
            <v/>
          </cell>
          <cell r="W1223" t="str">
            <v/>
          </cell>
          <cell r="X1223" t="str">
            <v/>
          </cell>
          <cell r="AB1223">
            <v>0</v>
          </cell>
          <cell r="AC1223">
            <v>0</v>
          </cell>
          <cell r="AD1223">
            <v>0</v>
          </cell>
          <cell r="AJ1223">
            <v>0</v>
          </cell>
          <cell r="AK1223">
            <v>0</v>
          </cell>
        </row>
        <row r="1224">
          <cell r="B1224" t="str">
            <v/>
          </cell>
          <cell r="H1224" t="str">
            <v/>
          </cell>
          <cell r="J1224" t="str">
            <v/>
          </cell>
          <cell r="N1224" t="str">
            <v/>
          </cell>
          <cell r="O1224" t="str">
            <v/>
          </cell>
          <cell r="P1224" t="str">
            <v/>
          </cell>
          <cell r="Q1224" t="str">
            <v/>
          </cell>
          <cell r="T1224" t="str">
            <v/>
          </cell>
          <cell r="U1224" t="str">
            <v/>
          </cell>
          <cell r="W1224" t="str">
            <v/>
          </cell>
          <cell r="X1224" t="str">
            <v/>
          </cell>
          <cell r="AB1224">
            <v>0</v>
          </cell>
          <cell r="AC1224">
            <v>0</v>
          </cell>
          <cell r="AD1224">
            <v>0</v>
          </cell>
          <cell r="AJ1224">
            <v>0</v>
          </cell>
          <cell r="AK1224">
            <v>0</v>
          </cell>
        </row>
        <row r="1225">
          <cell r="B1225" t="str">
            <v/>
          </cell>
          <cell r="H1225" t="str">
            <v/>
          </cell>
          <cell r="J1225" t="str">
            <v/>
          </cell>
          <cell r="N1225" t="str">
            <v/>
          </cell>
          <cell r="O1225" t="str">
            <v/>
          </cell>
          <cell r="P1225" t="str">
            <v/>
          </cell>
          <cell r="Q1225" t="str">
            <v/>
          </cell>
          <cell r="T1225" t="str">
            <v/>
          </cell>
          <cell r="U1225" t="str">
            <v/>
          </cell>
          <cell r="W1225" t="str">
            <v/>
          </cell>
          <cell r="X1225" t="str">
            <v/>
          </cell>
          <cell r="AB1225">
            <v>0</v>
          </cell>
          <cell r="AC1225">
            <v>0</v>
          </cell>
          <cell r="AD1225">
            <v>0</v>
          </cell>
          <cell r="AJ1225">
            <v>0</v>
          </cell>
          <cell r="AK1225">
            <v>0</v>
          </cell>
        </row>
        <row r="1226">
          <cell r="B1226" t="str">
            <v/>
          </cell>
          <cell r="H1226" t="str">
            <v/>
          </cell>
          <cell r="J1226" t="str">
            <v/>
          </cell>
          <cell r="N1226" t="str">
            <v/>
          </cell>
          <cell r="O1226" t="str">
            <v/>
          </cell>
          <cell r="P1226" t="str">
            <v/>
          </cell>
          <cell r="Q1226" t="str">
            <v/>
          </cell>
          <cell r="T1226" t="str">
            <v/>
          </cell>
          <cell r="U1226" t="str">
            <v/>
          </cell>
          <cell r="W1226" t="str">
            <v/>
          </cell>
          <cell r="X1226" t="str">
            <v/>
          </cell>
          <cell r="AB1226">
            <v>0</v>
          </cell>
          <cell r="AC1226">
            <v>0</v>
          </cell>
          <cell r="AD1226">
            <v>0</v>
          </cell>
          <cell r="AJ1226">
            <v>0</v>
          </cell>
          <cell r="AK1226">
            <v>0</v>
          </cell>
        </row>
        <row r="1227">
          <cell r="B1227" t="str">
            <v/>
          </cell>
          <cell r="H1227" t="str">
            <v/>
          </cell>
          <cell r="J1227" t="str">
            <v/>
          </cell>
          <cell r="N1227" t="str">
            <v/>
          </cell>
          <cell r="O1227" t="str">
            <v/>
          </cell>
          <cell r="P1227" t="str">
            <v/>
          </cell>
          <cell r="Q1227" t="str">
            <v/>
          </cell>
          <cell r="T1227" t="str">
            <v/>
          </cell>
          <cell r="U1227" t="str">
            <v/>
          </cell>
          <cell r="W1227" t="str">
            <v/>
          </cell>
          <cell r="X1227" t="str">
            <v/>
          </cell>
          <cell r="AB1227">
            <v>0</v>
          </cell>
          <cell r="AC1227">
            <v>0</v>
          </cell>
          <cell r="AD1227">
            <v>0</v>
          </cell>
          <cell r="AJ1227">
            <v>0</v>
          </cell>
          <cell r="AK1227">
            <v>0</v>
          </cell>
        </row>
        <row r="1228">
          <cell r="B1228" t="str">
            <v/>
          </cell>
          <cell r="H1228" t="str">
            <v/>
          </cell>
          <cell r="J1228" t="str">
            <v/>
          </cell>
          <cell r="N1228" t="str">
            <v/>
          </cell>
          <cell r="O1228" t="str">
            <v/>
          </cell>
          <cell r="P1228" t="str">
            <v/>
          </cell>
          <cell r="Q1228" t="str">
            <v/>
          </cell>
          <cell r="T1228" t="str">
            <v/>
          </cell>
          <cell r="U1228" t="str">
            <v/>
          </cell>
          <cell r="W1228" t="str">
            <v/>
          </cell>
          <cell r="X1228" t="str">
            <v/>
          </cell>
          <cell r="AB1228">
            <v>0</v>
          </cell>
          <cell r="AC1228">
            <v>0</v>
          </cell>
          <cell r="AD1228">
            <v>0</v>
          </cell>
          <cell r="AJ1228">
            <v>0</v>
          </cell>
          <cell r="AK1228">
            <v>0</v>
          </cell>
        </row>
        <row r="1229">
          <cell r="B1229" t="str">
            <v/>
          </cell>
          <cell r="H1229" t="str">
            <v/>
          </cell>
          <cell r="J1229" t="str">
            <v/>
          </cell>
          <cell r="N1229" t="str">
            <v/>
          </cell>
          <cell r="O1229" t="str">
            <v/>
          </cell>
          <cell r="P1229" t="str">
            <v/>
          </cell>
          <cell r="Q1229" t="str">
            <v/>
          </cell>
          <cell r="T1229" t="str">
            <v/>
          </cell>
          <cell r="U1229" t="str">
            <v/>
          </cell>
          <cell r="W1229" t="str">
            <v/>
          </cell>
          <cell r="X1229" t="str">
            <v/>
          </cell>
          <cell r="AB1229">
            <v>0</v>
          </cell>
          <cell r="AC1229">
            <v>0</v>
          </cell>
          <cell r="AD1229">
            <v>0</v>
          </cell>
          <cell r="AJ1229">
            <v>0</v>
          </cell>
          <cell r="AK1229">
            <v>0</v>
          </cell>
        </row>
        <row r="1230">
          <cell r="B1230" t="str">
            <v/>
          </cell>
          <cell r="H1230" t="str">
            <v/>
          </cell>
          <cell r="J1230" t="str">
            <v/>
          </cell>
          <cell r="N1230" t="str">
            <v/>
          </cell>
          <cell r="O1230" t="str">
            <v/>
          </cell>
          <cell r="P1230" t="str">
            <v/>
          </cell>
          <cell r="Q1230" t="str">
            <v/>
          </cell>
          <cell r="T1230" t="str">
            <v/>
          </cell>
          <cell r="U1230" t="str">
            <v/>
          </cell>
          <cell r="W1230" t="str">
            <v/>
          </cell>
          <cell r="X1230" t="str">
            <v/>
          </cell>
          <cell r="AB1230">
            <v>0</v>
          </cell>
          <cell r="AC1230">
            <v>0</v>
          </cell>
          <cell r="AD1230">
            <v>0</v>
          </cell>
          <cell r="AJ1230">
            <v>0</v>
          </cell>
          <cell r="AK1230">
            <v>0</v>
          </cell>
        </row>
        <row r="1231">
          <cell r="B1231" t="str">
            <v/>
          </cell>
          <cell r="H1231" t="str">
            <v/>
          </cell>
          <cell r="J1231" t="str">
            <v/>
          </cell>
          <cell r="N1231" t="str">
            <v/>
          </cell>
          <cell r="O1231" t="str">
            <v/>
          </cell>
          <cell r="P1231" t="str">
            <v/>
          </cell>
          <cell r="Q1231" t="str">
            <v/>
          </cell>
          <cell r="T1231" t="str">
            <v/>
          </cell>
          <cell r="U1231" t="str">
            <v/>
          </cell>
          <cell r="W1231" t="str">
            <v/>
          </cell>
          <cell r="X1231" t="str">
            <v/>
          </cell>
          <cell r="AB1231">
            <v>0</v>
          </cell>
          <cell r="AC1231">
            <v>0</v>
          </cell>
          <cell r="AD1231">
            <v>0</v>
          </cell>
          <cell r="AJ1231">
            <v>0</v>
          </cell>
          <cell r="AK1231">
            <v>0</v>
          </cell>
        </row>
        <row r="1232">
          <cell r="B1232" t="str">
            <v/>
          </cell>
          <cell r="H1232" t="str">
            <v/>
          </cell>
          <cell r="J1232" t="str">
            <v/>
          </cell>
          <cell r="N1232" t="str">
            <v/>
          </cell>
          <cell r="O1232" t="str">
            <v/>
          </cell>
          <cell r="P1232" t="str">
            <v/>
          </cell>
          <cell r="Q1232" t="str">
            <v/>
          </cell>
          <cell r="T1232" t="str">
            <v/>
          </cell>
          <cell r="U1232" t="str">
            <v/>
          </cell>
          <cell r="W1232" t="str">
            <v/>
          </cell>
          <cell r="X1232" t="str">
            <v/>
          </cell>
          <cell r="AB1232">
            <v>0</v>
          </cell>
          <cell r="AC1232">
            <v>0</v>
          </cell>
          <cell r="AD1232">
            <v>0</v>
          </cell>
          <cell r="AJ1232">
            <v>0</v>
          </cell>
          <cell r="AK1232">
            <v>0</v>
          </cell>
        </row>
        <row r="1233">
          <cell r="B1233" t="str">
            <v/>
          </cell>
          <cell r="H1233" t="str">
            <v/>
          </cell>
          <cell r="J1233" t="str">
            <v/>
          </cell>
          <cell r="N1233" t="str">
            <v/>
          </cell>
          <cell r="O1233" t="str">
            <v/>
          </cell>
          <cell r="P1233" t="str">
            <v/>
          </cell>
          <cell r="Q1233" t="str">
            <v/>
          </cell>
          <cell r="T1233" t="str">
            <v/>
          </cell>
          <cell r="U1233" t="str">
            <v/>
          </cell>
          <cell r="W1233" t="str">
            <v/>
          </cell>
          <cell r="X1233" t="str">
            <v/>
          </cell>
          <cell r="AB1233">
            <v>0</v>
          </cell>
          <cell r="AC1233">
            <v>0</v>
          </cell>
          <cell r="AD1233">
            <v>0</v>
          </cell>
          <cell r="AJ1233">
            <v>0</v>
          </cell>
          <cell r="AK1233">
            <v>0</v>
          </cell>
        </row>
        <row r="1234">
          <cell r="B1234" t="str">
            <v/>
          </cell>
          <cell r="H1234" t="str">
            <v/>
          </cell>
          <cell r="J1234" t="str">
            <v/>
          </cell>
          <cell r="N1234" t="str">
            <v/>
          </cell>
          <cell r="O1234" t="str">
            <v/>
          </cell>
          <cell r="P1234" t="str">
            <v/>
          </cell>
          <cell r="Q1234" t="str">
            <v/>
          </cell>
          <cell r="T1234" t="str">
            <v/>
          </cell>
          <cell r="U1234" t="str">
            <v/>
          </cell>
          <cell r="W1234" t="str">
            <v/>
          </cell>
          <cell r="X1234" t="str">
            <v/>
          </cell>
          <cell r="AB1234">
            <v>0</v>
          </cell>
          <cell r="AC1234">
            <v>0</v>
          </cell>
          <cell r="AD1234">
            <v>0</v>
          </cell>
          <cell r="AJ1234">
            <v>0</v>
          </cell>
          <cell r="AK1234">
            <v>0</v>
          </cell>
        </row>
        <row r="1235">
          <cell r="B1235" t="str">
            <v/>
          </cell>
          <cell r="H1235" t="str">
            <v/>
          </cell>
          <cell r="J1235" t="str">
            <v/>
          </cell>
          <cell r="N1235" t="str">
            <v/>
          </cell>
          <cell r="O1235" t="str">
            <v/>
          </cell>
          <cell r="P1235" t="str">
            <v/>
          </cell>
          <cell r="Q1235" t="str">
            <v/>
          </cell>
          <cell r="T1235" t="str">
            <v/>
          </cell>
          <cell r="U1235" t="str">
            <v/>
          </cell>
          <cell r="W1235" t="str">
            <v/>
          </cell>
          <cell r="X1235" t="str">
            <v/>
          </cell>
          <cell r="AB1235">
            <v>0</v>
          </cell>
          <cell r="AC1235">
            <v>0</v>
          </cell>
          <cell r="AD1235">
            <v>0</v>
          </cell>
          <cell r="AJ1235">
            <v>0</v>
          </cell>
          <cell r="AK1235">
            <v>0</v>
          </cell>
        </row>
        <row r="1236">
          <cell r="B1236" t="str">
            <v/>
          </cell>
          <cell r="H1236" t="str">
            <v/>
          </cell>
          <cell r="J1236" t="str">
            <v/>
          </cell>
          <cell r="N1236" t="str">
            <v/>
          </cell>
          <cell r="O1236" t="str">
            <v/>
          </cell>
          <cell r="P1236" t="str">
            <v/>
          </cell>
          <cell r="Q1236" t="str">
            <v/>
          </cell>
          <cell r="T1236" t="str">
            <v/>
          </cell>
          <cell r="U1236" t="str">
            <v/>
          </cell>
          <cell r="W1236" t="str">
            <v/>
          </cell>
          <cell r="X1236" t="str">
            <v/>
          </cell>
          <cell r="AB1236">
            <v>0</v>
          </cell>
          <cell r="AC1236">
            <v>0</v>
          </cell>
          <cell r="AD1236">
            <v>0</v>
          </cell>
          <cell r="AJ1236">
            <v>0</v>
          </cell>
          <cell r="AK1236">
            <v>0</v>
          </cell>
        </row>
        <row r="1237">
          <cell r="B1237" t="str">
            <v/>
          </cell>
          <cell r="H1237" t="str">
            <v/>
          </cell>
          <cell r="J1237" t="str">
            <v/>
          </cell>
          <cell r="N1237" t="str">
            <v/>
          </cell>
          <cell r="O1237" t="str">
            <v/>
          </cell>
          <cell r="P1237" t="str">
            <v/>
          </cell>
          <cell r="Q1237" t="str">
            <v/>
          </cell>
          <cell r="T1237" t="str">
            <v/>
          </cell>
          <cell r="U1237" t="str">
            <v/>
          </cell>
          <cell r="W1237" t="str">
            <v/>
          </cell>
          <cell r="X1237" t="str">
            <v/>
          </cell>
          <cell r="AB1237">
            <v>0</v>
          </cell>
          <cell r="AC1237">
            <v>0</v>
          </cell>
          <cell r="AD1237">
            <v>0</v>
          </cell>
          <cell r="AJ1237">
            <v>0</v>
          </cell>
          <cell r="AK1237">
            <v>0</v>
          </cell>
        </row>
        <row r="1238">
          <cell r="B1238" t="str">
            <v/>
          </cell>
          <cell r="H1238" t="str">
            <v/>
          </cell>
          <cell r="J1238" t="str">
            <v/>
          </cell>
          <cell r="N1238" t="str">
            <v/>
          </cell>
          <cell r="O1238" t="str">
            <v/>
          </cell>
          <cell r="P1238" t="str">
            <v/>
          </cell>
          <cell r="Q1238" t="str">
            <v/>
          </cell>
          <cell r="T1238" t="str">
            <v/>
          </cell>
          <cell r="U1238" t="str">
            <v/>
          </cell>
          <cell r="W1238" t="str">
            <v/>
          </cell>
          <cell r="X1238" t="str">
            <v/>
          </cell>
          <cell r="AB1238">
            <v>0</v>
          </cell>
          <cell r="AC1238">
            <v>0</v>
          </cell>
          <cell r="AD1238">
            <v>0</v>
          </cell>
          <cell r="AJ1238">
            <v>0</v>
          </cell>
          <cell r="AK1238">
            <v>0</v>
          </cell>
        </row>
        <row r="1239">
          <cell r="B1239" t="str">
            <v/>
          </cell>
          <cell r="H1239" t="str">
            <v/>
          </cell>
          <cell r="J1239" t="str">
            <v/>
          </cell>
          <cell r="N1239" t="str">
            <v/>
          </cell>
          <cell r="O1239" t="str">
            <v/>
          </cell>
          <cell r="P1239" t="str">
            <v/>
          </cell>
          <cell r="Q1239" t="str">
            <v/>
          </cell>
          <cell r="T1239" t="str">
            <v/>
          </cell>
          <cell r="U1239" t="str">
            <v/>
          </cell>
          <cell r="W1239" t="str">
            <v/>
          </cell>
          <cell r="X1239" t="str">
            <v/>
          </cell>
          <cell r="AB1239">
            <v>0</v>
          </cell>
          <cell r="AC1239">
            <v>0</v>
          </cell>
          <cell r="AD1239">
            <v>0</v>
          </cell>
          <cell r="AJ1239">
            <v>0</v>
          </cell>
          <cell r="AK1239">
            <v>0</v>
          </cell>
        </row>
        <row r="1240">
          <cell r="B1240" t="str">
            <v/>
          </cell>
          <cell r="H1240" t="str">
            <v/>
          </cell>
          <cell r="J1240" t="str">
            <v/>
          </cell>
          <cell r="N1240" t="str">
            <v/>
          </cell>
          <cell r="O1240" t="str">
            <v/>
          </cell>
          <cell r="P1240" t="str">
            <v/>
          </cell>
          <cell r="Q1240" t="str">
            <v/>
          </cell>
          <cell r="T1240" t="str">
            <v/>
          </cell>
          <cell r="U1240" t="str">
            <v/>
          </cell>
          <cell r="W1240" t="str">
            <v/>
          </cell>
          <cell r="X1240" t="str">
            <v/>
          </cell>
          <cell r="AB1240">
            <v>0</v>
          </cell>
          <cell r="AC1240">
            <v>0</v>
          </cell>
          <cell r="AD1240">
            <v>0</v>
          </cell>
          <cell r="AJ1240">
            <v>0</v>
          </cell>
          <cell r="AK1240">
            <v>0</v>
          </cell>
        </row>
        <row r="1241">
          <cell r="B1241" t="str">
            <v/>
          </cell>
          <cell r="H1241" t="str">
            <v/>
          </cell>
          <cell r="J1241" t="str">
            <v/>
          </cell>
          <cell r="N1241" t="str">
            <v/>
          </cell>
          <cell r="O1241" t="str">
            <v/>
          </cell>
          <cell r="P1241" t="str">
            <v/>
          </cell>
          <cell r="Q1241" t="str">
            <v/>
          </cell>
          <cell r="T1241" t="str">
            <v/>
          </cell>
          <cell r="U1241" t="str">
            <v/>
          </cell>
          <cell r="W1241" t="str">
            <v/>
          </cell>
          <cell r="X1241" t="str">
            <v/>
          </cell>
          <cell r="AB1241">
            <v>0</v>
          </cell>
          <cell r="AC1241">
            <v>0</v>
          </cell>
          <cell r="AD1241">
            <v>0</v>
          </cell>
          <cell r="AJ1241">
            <v>0</v>
          </cell>
          <cell r="AK1241">
            <v>0</v>
          </cell>
        </row>
        <row r="1242">
          <cell r="B1242" t="str">
            <v/>
          </cell>
          <cell r="H1242" t="str">
            <v/>
          </cell>
          <cell r="J1242" t="str">
            <v/>
          </cell>
          <cell r="N1242" t="str">
            <v/>
          </cell>
          <cell r="O1242" t="str">
            <v/>
          </cell>
          <cell r="P1242" t="str">
            <v/>
          </cell>
          <cell r="Q1242" t="str">
            <v/>
          </cell>
          <cell r="T1242" t="str">
            <v/>
          </cell>
          <cell r="U1242" t="str">
            <v/>
          </cell>
          <cell r="W1242" t="str">
            <v/>
          </cell>
          <cell r="X1242" t="str">
            <v/>
          </cell>
          <cell r="AB1242">
            <v>0</v>
          </cell>
          <cell r="AC1242">
            <v>0</v>
          </cell>
          <cell r="AD1242">
            <v>0</v>
          </cell>
          <cell r="AJ1242">
            <v>0</v>
          </cell>
          <cell r="AK1242">
            <v>0</v>
          </cell>
        </row>
        <row r="1243">
          <cell r="B1243" t="str">
            <v/>
          </cell>
          <cell r="H1243" t="str">
            <v/>
          </cell>
          <cell r="J1243" t="str">
            <v/>
          </cell>
          <cell r="N1243" t="str">
            <v/>
          </cell>
          <cell r="O1243" t="str">
            <v/>
          </cell>
          <cell r="P1243" t="str">
            <v/>
          </cell>
          <cell r="Q1243" t="str">
            <v/>
          </cell>
          <cell r="T1243" t="str">
            <v/>
          </cell>
          <cell r="U1243" t="str">
            <v/>
          </cell>
          <cell r="W1243" t="str">
            <v/>
          </cell>
          <cell r="X1243" t="str">
            <v/>
          </cell>
          <cell r="AB1243">
            <v>0</v>
          </cell>
          <cell r="AC1243">
            <v>0</v>
          </cell>
          <cell r="AD1243">
            <v>0</v>
          </cell>
          <cell r="AJ1243">
            <v>0</v>
          </cell>
          <cell r="AK1243">
            <v>0</v>
          </cell>
        </row>
        <row r="1244">
          <cell r="B1244" t="str">
            <v/>
          </cell>
          <cell r="H1244" t="str">
            <v/>
          </cell>
          <cell r="J1244" t="str">
            <v/>
          </cell>
          <cell r="N1244" t="str">
            <v/>
          </cell>
          <cell r="O1244" t="str">
            <v/>
          </cell>
          <cell r="P1244" t="str">
            <v/>
          </cell>
          <cell r="Q1244" t="str">
            <v/>
          </cell>
          <cell r="T1244" t="str">
            <v/>
          </cell>
          <cell r="U1244" t="str">
            <v/>
          </cell>
          <cell r="W1244" t="str">
            <v/>
          </cell>
          <cell r="X1244" t="str">
            <v/>
          </cell>
          <cell r="AB1244">
            <v>0</v>
          </cell>
          <cell r="AC1244">
            <v>0</v>
          </cell>
          <cell r="AD1244">
            <v>0</v>
          </cell>
          <cell r="AJ1244">
            <v>0</v>
          </cell>
          <cell r="AK1244">
            <v>0</v>
          </cell>
        </row>
        <row r="1245">
          <cell r="B1245" t="str">
            <v/>
          </cell>
          <cell r="H1245" t="str">
            <v/>
          </cell>
          <cell r="J1245" t="str">
            <v/>
          </cell>
          <cell r="N1245" t="str">
            <v/>
          </cell>
          <cell r="O1245" t="str">
            <v/>
          </cell>
          <cell r="P1245" t="str">
            <v/>
          </cell>
          <cell r="Q1245" t="str">
            <v/>
          </cell>
          <cell r="T1245" t="str">
            <v/>
          </cell>
          <cell r="U1245" t="str">
            <v/>
          </cell>
          <cell r="W1245" t="str">
            <v/>
          </cell>
          <cell r="X1245" t="str">
            <v/>
          </cell>
          <cell r="AB1245">
            <v>0</v>
          </cell>
          <cell r="AC1245">
            <v>0</v>
          </cell>
          <cell r="AD1245">
            <v>0</v>
          </cell>
          <cell r="AJ1245">
            <v>0</v>
          </cell>
          <cell r="AK1245">
            <v>0</v>
          </cell>
        </row>
        <row r="1246">
          <cell r="B1246" t="str">
            <v/>
          </cell>
          <cell r="H1246" t="str">
            <v/>
          </cell>
          <cell r="J1246" t="str">
            <v/>
          </cell>
          <cell r="N1246" t="str">
            <v/>
          </cell>
          <cell r="O1246" t="str">
            <v/>
          </cell>
          <cell r="P1246" t="str">
            <v/>
          </cell>
          <cell r="Q1246" t="str">
            <v/>
          </cell>
          <cell r="T1246" t="str">
            <v/>
          </cell>
          <cell r="U1246" t="str">
            <v/>
          </cell>
          <cell r="W1246" t="str">
            <v/>
          </cell>
          <cell r="X1246" t="str">
            <v/>
          </cell>
          <cell r="AB1246">
            <v>0</v>
          </cell>
          <cell r="AC1246">
            <v>0</v>
          </cell>
          <cell r="AD1246">
            <v>0</v>
          </cell>
          <cell r="AJ1246">
            <v>0</v>
          </cell>
          <cell r="AK1246">
            <v>0</v>
          </cell>
        </row>
        <row r="1247">
          <cell r="B1247" t="str">
            <v/>
          </cell>
          <cell r="H1247" t="str">
            <v/>
          </cell>
          <cell r="J1247" t="str">
            <v/>
          </cell>
          <cell r="N1247" t="str">
            <v/>
          </cell>
          <cell r="O1247" t="str">
            <v/>
          </cell>
          <cell r="P1247" t="str">
            <v/>
          </cell>
          <cell r="Q1247" t="str">
            <v/>
          </cell>
          <cell r="T1247" t="str">
            <v/>
          </cell>
          <cell r="U1247" t="str">
            <v/>
          </cell>
          <cell r="W1247" t="str">
            <v/>
          </cell>
          <cell r="X1247" t="str">
            <v/>
          </cell>
          <cell r="AB1247">
            <v>0</v>
          </cell>
          <cell r="AC1247">
            <v>0</v>
          </cell>
          <cell r="AD1247">
            <v>0</v>
          </cell>
          <cell r="AJ1247">
            <v>0</v>
          </cell>
          <cell r="AK1247">
            <v>0</v>
          </cell>
        </row>
        <row r="1248">
          <cell r="B1248" t="str">
            <v/>
          </cell>
          <cell r="H1248" t="str">
            <v/>
          </cell>
          <cell r="J1248" t="str">
            <v/>
          </cell>
          <cell r="N1248" t="str">
            <v/>
          </cell>
          <cell r="O1248" t="str">
            <v/>
          </cell>
          <cell r="P1248" t="str">
            <v/>
          </cell>
          <cell r="Q1248" t="str">
            <v/>
          </cell>
          <cell r="T1248" t="str">
            <v/>
          </cell>
          <cell r="U1248" t="str">
            <v/>
          </cell>
          <cell r="W1248" t="str">
            <v/>
          </cell>
          <cell r="X1248" t="str">
            <v/>
          </cell>
          <cell r="AB1248">
            <v>0</v>
          </cell>
          <cell r="AC1248">
            <v>0</v>
          </cell>
          <cell r="AD1248">
            <v>0</v>
          </cell>
          <cell r="AJ1248">
            <v>0</v>
          </cell>
          <cell r="AK1248">
            <v>0</v>
          </cell>
        </row>
        <row r="1249">
          <cell r="B1249" t="str">
            <v/>
          </cell>
          <cell r="H1249" t="str">
            <v/>
          </cell>
          <cell r="J1249" t="str">
            <v/>
          </cell>
          <cell r="N1249" t="str">
            <v/>
          </cell>
          <cell r="O1249" t="str">
            <v/>
          </cell>
          <cell r="P1249" t="str">
            <v/>
          </cell>
          <cell r="Q1249" t="str">
            <v/>
          </cell>
          <cell r="T1249" t="str">
            <v/>
          </cell>
          <cell r="U1249" t="str">
            <v/>
          </cell>
          <cell r="W1249" t="str">
            <v/>
          </cell>
          <cell r="X1249" t="str">
            <v/>
          </cell>
          <cell r="AB1249">
            <v>0</v>
          </cell>
          <cell r="AC1249">
            <v>0</v>
          </cell>
          <cell r="AD1249">
            <v>0</v>
          </cell>
          <cell r="AJ1249">
            <v>0</v>
          </cell>
          <cell r="AK1249">
            <v>0</v>
          </cell>
        </row>
        <row r="1250">
          <cell r="B1250" t="str">
            <v/>
          </cell>
          <cell r="H1250" t="str">
            <v/>
          </cell>
          <cell r="J1250" t="str">
            <v/>
          </cell>
          <cell r="N1250" t="str">
            <v/>
          </cell>
          <cell r="O1250" t="str">
            <v/>
          </cell>
          <cell r="P1250" t="str">
            <v/>
          </cell>
          <cell r="Q1250" t="str">
            <v/>
          </cell>
          <cell r="T1250" t="str">
            <v/>
          </cell>
          <cell r="U1250" t="str">
            <v/>
          </cell>
          <cell r="W1250" t="str">
            <v/>
          </cell>
          <cell r="X1250" t="str">
            <v/>
          </cell>
          <cell r="AB1250">
            <v>0</v>
          </cell>
          <cell r="AC1250">
            <v>0</v>
          </cell>
          <cell r="AD1250">
            <v>0</v>
          </cell>
          <cell r="AJ1250">
            <v>0</v>
          </cell>
          <cell r="AK1250">
            <v>0</v>
          </cell>
        </row>
        <row r="1251">
          <cell r="B1251" t="str">
            <v/>
          </cell>
          <cell r="H1251" t="str">
            <v/>
          </cell>
          <cell r="J1251" t="str">
            <v/>
          </cell>
          <cell r="N1251" t="str">
            <v/>
          </cell>
          <cell r="O1251" t="str">
            <v/>
          </cell>
          <cell r="P1251" t="str">
            <v/>
          </cell>
          <cell r="Q1251" t="str">
            <v/>
          </cell>
          <cell r="T1251" t="str">
            <v/>
          </cell>
          <cell r="U1251" t="str">
            <v/>
          </cell>
          <cell r="W1251" t="str">
            <v/>
          </cell>
          <cell r="X1251" t="str">
            <v/>
          </cell>
          <cell r="AB1251">
            <v>0</v>
          </cell>
          <cell r="AC1251">
            <v>0</v>
          </cell>
          <cell r="AD1251">
            <v>0</v>
          </cell>
          <cell r="AJ1251">
            <v>0</v>
          </cell>
          <cell r="AK1251">
            <v>0</v>
          </cell>
        </row>
        <row r="1252">
          <cell r="B1252" t="str">
            <v/>
          </cell>
          <cell r="H1252" t="str">
            <v/>
          </cell>
          <cell r="J1252" t="str">
            <v/>
          </cell>
          <cell r="N1252" t="str">
            <v/>
          </cell>
          <cell r="O1252" t="str">
            <v/>
          </cell>
          <cell r="P1252" t="str">
            <v/>
          </cell>
          <cell r="Q1252" t="str">
            <v/>
          </cell>
          <cell r="T1252" t="str">
            <v/>
          </cell>
          <cell r="U1252" t="str">
            <v/>
          </cell>
          <cell r="W1252" t="str">
            <v/>
          </cell>
          <cell r="X1252" t="str">
            <v/>
          </cell>
          <cell r="AB1252">
            <v>0</v>
          </cell>
          <cell r="AC1252">
            <v>0</v>
          </cell>
          <cell r="AD1252">
            <v>0</v>
          </cell>
          <cell r="AJ1252">
            <v>0</v>
          </cell>
          <cell r="AK1252">
            <v>0</v>
          </cell>
        </row>
        <row r="1253">
          <cell r="B1253" t="str">
            <v/>
          </cell>
          <cell r="H1253" t="str">
            <v/>
          </cell>
          <cell r="J1253" t="str">
            <v/>
          </cell>
          <cell r="N1253" t="str">
            <v/>
          </cell>
          <cell r="O1253" t="str">
            <v/>
          </cell>
          <cell r="P1253" t="str">
            <v/>
          </cell>
          <cell r="Q1253" t="str">
            <v/>
          </cell>
          <cell r="T1253" t="str">
            <v/>
          </cell>
          <cell r="U1253" t="str">
            <v/>
          </cell>
          <cell r="W1253" t="str">
            <v/>
          </cell>
          <cell r="X1253" t="str">
            <v/>
          </cell>
          <cell r="AB1253">
            <v>0</v>
          </cell>
          <cell r="AC1253">
            <v>0</v>
          </cell>
          <cell r="AD1253">
            <v>0</v>
          </cell>
          <cell r="AJ1253">
            <v>0</v>
          </cell>
          <cell r="AK1253">
            <v>0</v>
          </cell>
        </row>
        <row r="1254">
          <cell r="B1254" t="str">
            <v/>
          </cell>
          <cell r="H1254" t="str">
            <v/>
          </cell>
          <cell r="J1254" t="str">
            <v/>
          </cell>
          <cell r="N1254" t="str">
            <v/>
          </cell>
          <cell r="O1254" t="str">
            <v/>
          </cell>
          <cell r="P1254" t="str">
            <v/>
          </cell>
          <cell r="Q1254" t="str">
            <v/>
          </cell>
          <cell r="T1254" t="str">
            <v/>
          </cell>
          <cell r="U1254" t="str">
            <v/>
          </cell>
          <cell r="W1254" t="str">
            <v/>
          </cell>
          <cell r="X1254" t="str">
            <v/>
          </cell>
          <cell r="AB1254">
            <v>0</v>
          </cell>
          <cell r="AC1254">
            <v>0</v>
          </cell>
          <cell r="AD1254">
            <v>0</v>
          </cell>
          <cell r="AJ1254">
            <v>0</v>
          </cell>
          <cell r="AK1254">
            <v>0</v>
          </cell>
        </row>
        <row r="1255">
          <cell r="B1255" t="str">
            <v/>
          </cell>
          <cell r="H1255" t="str">
            <v/>
          </cell>
          <cell r="J1255" t="str">
            <v/>
          </cell>
          <cell r="N1255" t="str">
            <v/>
          </cell>
          <cell r="O1255" t="str">
            <v/>
          </cell>
          <cell r="P1255" t="str">
            <v/>
          </cell>
          <cell r="Q1255" t="str">
            <v/>
          </cell>
          <cell r="T1255" t="str">
            <v/>
          </cell>
          <cell r="U1255" t="str">
            <v/>
          </cell>
          <cell r="W1255" t="str">
            <v/>
          </cell>
          <cell r="X1255" t="str">
            <v/>
          </cell>
          <cell r="AB1255">
            <v>0</v>
          </cell>
          <cell r="AC1255">
            <v>0</v>
          </cell>
          <cell r="AD1255">
            <v>0</v>
          </cell>
          <cell r="AJ1255">
            <v>0</v>
          </cell>
          <cell r="AK1255">
            <v>0</v>
          </cell>
        </row>
        <row r="1256">
          <cell r="B1256" t="str">
            <v/>
          </cell>
          <cell r="H1256" t="str">
            <v/>
          </cell>
          <cell r="J1256" t="str">
            <v/>
          </cell>
          <cell r="N1256" t="str">
            <v/>
          </cell>
          <cell r="O1256" t="str">
            <v/>
          </cell>
          <cell r="P1256" t="str">
            <v/>
          </cell>
          <cell r="Q1256" t="str">
            <v/>
          </cell>
          <cell r="T1256" t="str">
            <v/>
          </cell>
          <cell r="U1256" t="str">
            <v/>
          </cell>
          <cell r="W1256" t="str">
            <v/>
          </cell>
          <cell r="X1256" t="str">
            <v/>
          </cell>
          <cell r="AB1256">
            <v>0</v>
          </cell>
          <cell r="AC1256">
            <v>0</v>
          </cell>
          <cell r="AD1256">
            <v>0</v>
          </cell>
          <cell r="AJ1256">
            <v>0</v>
          </cell>
          <cell r="AK1256">
            <v>0</v>
          </cell>
        </row>
        <row r="1257">
          <cell r="B1257" t="str">
            <v/>
          </cell>
          <cell r="H1257" t="str">
            <v/>
          </cell>
          <cell r="J1257" t="str">
            <v/>
          </cell>
          <cell r="N1257" t="str">
            <v/>
          </cell>
          <cell r="O1257" t="str">
            <v/>
          </cell>
          <cell r="P1257" t="str">
            <v/>
          </cell>
          <cell r="Q1257" t="str">
            <v/>
          </cell>
          <cell r="T1257" t="str">
            <v/>
          </cell>
          <cell r="U1257" t="str">
            <v/>
          </cell>
          <cell r="W1257" t="str">
            <v/>
          </cell>
          <cell r="X1257" t="str">
            <v/>
          </cell>
          <cell r="AB1257">
            <v>0</v>
          </cell>
          <cell r="AC1257">
            <v>0</v>
          </cell>
          <cell r="AD1257">
            <v>0</v>
          </cell>
          <cell r="AJ1257">
            <v>0</v>
          </cell>
          <cell r="AK1257">
            <v>0</v>
          </cell>
        </row>
        <row r="1258">
          <cell r="B1258" t="str">
            <v/>
          </cell>
          <cell r="H1258" t="str">
            <v/>
          </cell>
          <cell r="J1258" t="str">
            <v/>
          </cell>
          <cell r="N1258" t="str">
            <v/>
          </cell>
          <cell r="O1258" t="str">
            <v/>
          </cell>
          <cell r="P1258" t="str">
            <v/>
          </cell>
          <cell r="Q1258" t="str">
            <v/>
          </cell>
          <cell r="T1258" t="str">
            <v/>
          </cell>
          <cell r="U1258" t="str">
            <v/>
          </cell>
          <cell r="W1258" t="str">
            <v/>
          </cell>
          <cell r="X1258" t="str">
            <v/>
          </cell>
          <cell r="AB1258">
            <v>0</v>
          </cell>
          <cell r="AC1258">
            <v>0</v>
          </cell>
          <cell r="AD1258">
            <v>0</v>
          </cell>
          <cell r="AJ1258">
            <v>0</v>
          </cell>
          <cell r="AK1258">
            <v>0</v>
          </cell>
        </row>
        <row r="1259">
          <cell r="B1259" t="str">
            <v/>
          </cell>
          <cell r="H1259" t="str">
            <v/>
          </cell>
          <cell r="J1259" t="str">
            <v/>
          </cell>
          <cell r="N1259" t="str">
            <v/>
          </cell>
          <cell r="O1259" t="str">
            <v/>
          </cell>
          <cell r="P1259" t="str">
            <v/>
          </cell>
          <cell r="Q1259" t="str">
            <v/>
          </cell>
          <cell r="T1259" t="str">
            <v/>
          </cell>
          <cell r="U1259" t="str">
            <v/>
          </cell>
          <cell r="W1259" t="str">
            <v/>
          </cell>
          <cell r="X1259" t="str">
            <v/>
          </cell>
          <cell r="AB1259">
            <v>0</v>
          </cell>
          <cell r="AC1259">
            <v>0</v>
          </cell>
          <cell r="AD1259">
            <v>0</v>
          </cell>
          <cell r="AJ1259">
            <v>0</v>
          </cell>
          <cell r="AK1259">
            <v>0</v>
          </cell>
        </row>
        <row r="1260">
          <cell r="B1260" t="str">
            <v/>
          </cell>
          <cell r="H1260" t="str">
            <v/>
          </cell>
          <cell r="J1260" t="str">
            <v/>
          </cell>
          <cell r="N1260" t="str">
            <v/>
          </cell>
          <cell r="O1260" t="str">
            <v/>
          </cell>
          <cell r="P1260" t="str">
            <v/>
          </cell>
          <cell r="Q1260" t="str">
            <v/>
          </cell>
          <cell r="T1260" t="str">
            <v/>
          </cell>
          <cell r="U1260" t="str">
            <v/>
          </cell>
          <cell r="W1260" t="str">
            <v/>
          </cell>
          <cell r="X1260" t="str">
            <v/>
          </cell>
          <cell r="AB1260">
            <v>0</v>
          </cell>
          <cell r="AC1260">
            <v>0</v>
          </cell>
          <cell r="AD1260">
            <v>0</v>
          </cell>
          <cell r="AJ1260">
            <v>0</v>
          </cell>
          <cell r="AK1260">
            <v>0</v>
          </cell>
        </row>
        <row r="1261">
          <cell r="B1261" t="str">
            <v/>
          </cell>
          <cell r="H1261" t="str">
            <v/>
          </cell>
          <cell r="J1261" t="str">
            <v/>
          </cell>
          <cell r="N1261" t="str">
            <v/>
          </cell>
          <cell r="O1261" t="str">
            <v/>
          </cell>
          <cell r="P1261" t="str">
            <v/>
          </cell>
          <cell r="Q1261" t="str">
            <v/>
          </cell>
          <cell r="T1261" t="str">
            <v/>
          </cell>
          <cell r="U1261" t="str">
            <v/>
          </cell>
          <cell r="W1261" t="str">
            <v/>
          </cell>
          <cell r="X1261" t="str">
            <v/>
          </cell>
          <cell r="AB1261">
            <v>0</v>
          </cell>
          <cell r="AC1261">
            <v>0</v>
          </cell>
          <cell r="AD1261">
            <v>0</v>
          </cell>
          <cell r="AJ1261">
            <v>0</v>
          </cell>
          <cell r="AK1261">
            <v>0</v>
          </cell>
        </row>
        <row r="1262">
          <cell r="B1262" t="str">
            <v/>
          </cell>
          <cell r="H1262" t="str">
            <v/>
          </cell>
          <cell r="J1262" t="str">
            <v/>
          </cell>
          <cell r="N1262" t="str">
            <v/>
          </cell>
          <cell r="O1262" t="str">
            <v/>
          </cell>
          <cell r="P1262" t="str">
            <v/>
          </cell>
          <cell r="Q1262" t="str">
            <v/>
          </cell>
          <cell r="T1262" t="str">
            <v/>
          </cell>
          <cell r="U1262" t="str">
            <v/>
          </cell>
          <cell r="W1262" t="str">
            <v/>
          </cell>
          <cell r="X1262" t="str">
            <v/>
          </cell>
          <cell r="AB1262">
            <v>0</v>
          </cell>
          <cell r="AC1262">
            <v>0</v>
          </cell>
          <cell r="AD1262">
            <v>0</v>
          </cell>
          <cell r="AJ1262">
            <v>0</v>
          </cell>
          <cell r="AK1262">
            <v>0</v>
          </cell>
        </row>
        <row r="1263">
          <cell r="B1263" t="str">
            <v/>
          </cell>
          <cell r="H1263" t="str">
            <v/>
          </cell>
          <cell r="J1263" t="str">
            <v/>
          </cell>
          <cell r="N1263" t="str">
            <v/>
          </cell>
          <cell r="O1263" t="str">
            <v/>
          </cell>
          <cell r="P1263" t="str">
            <v/>
          </cell>
          <cell r="Q1263" t="str">
            <v/>
          </cell>
          <cell r="T1263" t="str">
            <v/>
          </cell>
          <cell r="U1263" t="str">
            <v/>
          </cell>
          <cell r="W1263" t="str">
            <v/>
          </cell>
          <cell r="X1263" t="str">
            <v/>
          </cell>
          <cell r="AB1263">
            <v>0</v>
          </cell>
          <cell r="AC1263">
            <v>0</v>
          </cell>
          <cell r="AD1263">
            <v>0</v>
          </cell>
          <cell r="AJ1263">
            <v>0</v>
          </cell>
          <cell r="AK1263">
            <v>0</v>
          </cell>
        </row>
        <row r="1264">
          <cell r="B1264" t="str">
            <v/>
          </cell>
          <cell r="H1264" t="str">
            <v/>
          </cell>
          <cell r="J1264" t="str">
            <v/>
          </cell>
          <cell r="N1264" t="str">
            <v/>
          </cell>
          <cell r="O1264" t="str">
            <v/>
          </cell>
          <cell r="P1264" t="str">
            <v/>
          </cell>
          <cell r="Q1264" t="str">
            <v/>
          </cell>
          <cell r="T1264" t="str">
            <v/>
          </cell>
          <cell r="U1264" t="str">
            <v/>
          </cell>
          <cell r="W1264" t="str">
            <v/>
          </cell>
          <cell r="X1264" t="str">
            <v/>
          </cell>
          <cell r="AB1264">
            <v>0</v>
          </cell>
          <cell r="AC1264">
            <v>0</v>
          </cell>
          <cell r="AD1264">
            <v>0</v>
          </cell>
          <cell r="AJ1264">
            <v>0</v>
          </cell>
          <cell r="AK1264">
            <v>0</v>
          </cell>
        </row>
        <row r="1265">
          <cell r="B1265" t="str">
            <v/>
          </cell>
          <cell r="H1265" t="str">
            <v/>
          </cell>
          <cell r="J1265" t="str">
            <v/>
          </cell>
          <cell r="N1265" t="str">
            <v/>
          </cell>
          <cell r="O1265" t="str">
            <v/>
          </cell>
          <cell r="P1265" t="str">
            <v/>
          </cell>
          <cell r="Q1265" t="str">
            <v/>
          </cell>
          <cell r="T1265" t="str">
            <v/>
          </cell>
          <cell r="U1265" t="str">
            <v/>
          </cell>
          <cell r="W1265" t="str">
            <v/>
          </cell>
          <cell r="X1265" t="str">
            <v/>
          </cell>
          <cell r="AB1265">
            <v>0</v>
          </cell>
          <cell r="AC1265">
            <v>0</v>
          </cell>
          <cell r="AD1265">
            <v>0</v>
          </cell>
          <cell r="AJ1265">
            <v>0</v>
          </cell>
          <cell r="AK1265">
            <v>0</v>
          </cell>
        </row>
        <row r="1266">
          <cell r="B1266" t="str">
            <v/>
          </cell>
          <cell r="H1266" t="str">
            <v/>
          </cell>
          <cell r="J1266" t="str">
            <v/>
          </cell>
          <cell r="N1266" t="str">
            <v/>
          </cell>
          <cell r="O1266" t="str">
            <v/>
          </cell>
          <cell r="P1266" t="str">
            <v/>
          </cell>
          <cell r="Q1266" t="str">
            <v/>
          </cell>
          <cell r="T1266" t="str">
            <v/>
          </cell>
          <cell r="U1266" t="str">
            <v/>
          </cell>
          <cell r="W1266" t="str">
            <v/>
          </cell>
          <cell r="X1266" t="str">
            <v/>
          </cell>
          <cell r="AB1266">
            <v>0</v>
          </cell>
          <cell r="AC1266">
            <v>0</v>
          </cell>
          <cell r="AD1266">
            <v>0</v>
          </cell>
          <cell r="AJ1266">
            <v>0</v>
          </cell>
          <cell r="AK1266">
            <v>0</v>
          </cell>
        </row>
        <row r="1267">
          <cell r="B1267" t="str">
            <v/>
          </cell>
          <cell r="H1267" t="str">
            <v/>
          </cell>
          <cell r="J1267" t="str">
            <v/>
          </cell>
          <cell r="N1267" t="str">
            <v/>
          </cell>
          <cell r="O1267" t="str">
            <v/>
          </cell>
          <cell r="P1267" t="str">
            <v/>
          </cell>
          <cell r="Q1267" t="str">
            <v/>
          </cell>
          <cell r="T1267" t="str">
            <v/>
          </cell>
          <cell r="U1267" t="str">
            <v/>
          </cell>
          <cell r="W1267" t="str">
            <v/>
          </cell>
          <cell r="X1267" t="str">
            <v/>
          </cell>
          <cell r="AB1267">
            <v>0</v>
          </cell>
          <cell r="AC1267">
            <v>0</v>
          </cell>
          <cell r="AD1267">
            <v>0</v>
          </cell>
          <cell r="AJ1267">
            <v>0</v>
          </cell>
          <cell r="AK1267">
            <v>0</v>
          </cell>
        </row>
        <row r="1268">
          <cell r="B1268" t="str">
            <v/>
          </cell>
          <cell r="H1268" t="str">
            <v/>
          </cell>
          <cell r="J1268" t="str">
            <v/>
          </cell>
          <cell r="N1268" t="str">
            <v/>
          </cell>
          <cell r="O1268" t="str">
            <v/>
          </cell>
          <cell r="P1268" t="str">
            <v/>
          </cell>
          <cell r="Q1268" t="str">
            <v/>
          </cell>
          <cell r="T1268" t="str">
            <v/>
          </cell>
          <cell r="U1268" t="str">
            <v/>
          </cell>
          <cell r="W1268" t="str">
            <v/>
          </cell>
          <cell r="X1268" t="str">
            <v/>
          </cell>
          <cell r="AB1268">
            <v>0</v>
          </cell>
          <cell r="AC1268">
            <v>0</v>
          </cell>
          <cell r="AD1268">
            <v>0</v>
          </cell>
          <cell r="AJ1268">
            <v>0</v>
          </cell>
          <cell r="AK1268">
            <v>0</v>
          </cell>
        </row>
        <row r="1269">
          <cell r="B1269" t="str">
            <v/>
          </cell>
          <cell r="H1269" t="str">
            <v/>
          </cell>
          <cell r="J1269" t="str">
            <v/>
          </cell>
          <cell r="N1269" t="str">
            <v/>
          </cell>
          <cell r="O1269" t="str">
            <v/>
          </cell>
          <cell r="P1269" t="str">
            <v/>
          </cell>
          <cell r="Q1269" t="str">
            <v/>
          </cell>
          <cell r="T1269" t="str">
            <v/>
          </cell>
          <cell r="U1269" t="str">
            <v/>
          </cell>
          <cell r="W1269" t="str">
            <v/>
          </cell>
          <cell r="X1269" t="str">
            <v/>
          </cell>
          <cell r="AB1269">
            <v>0</v>
          </cell>
          <cell r="AC1269">
            <v>0</v>
          </cell>
          <cell r="AD1269">
            <v>0</v>
          </cell>
          <cell r="AJ1269">
            <v>0</v>
          </cell>
          <cell r="AK1269">
            <v>0</v>
          </cell>
        </row>
        <row r="1270">
          <cell r="B1270" t="str">
            <v/>
          </cell>
          <cell r="H1270" t="str">
            <v/>
          </cell>
          <cell r="J1270" t="str">
            <v/>
          </cell>
          <cell r="N1270" t="str">
            <v/>
          </cell>
          <cell r="O1270" t="str">
            <v/>
          </cell>
          <cell r="P1270" t="str">
            <v/>
          </cell>
          <cell r="Q1270" t="str">
            <v/>
          </cell>
          <cell r="T1270" t="str">
            <v/>
          </cell>
          <cell r="U1270" t="str">
            <v/>
          </cell>
          <cell r="W1270" t="str">
            <v/>
          </cell>
          <cell r="X1270" t="str">
            <v/>
          </cell>
          <cell r="AB1270">
            <v>0</v>
          </cell>
          <cell r="AC1270">
            <v>0</v>
          </cell>
          <cell r="AD1270">
            <v>0</v>
          </cell>
          <cell r="AJ1270">
            <v>0</v>
          </cell>
          <cell r="AK1270">
            <v>0</v>
          </cell>
        </row>
        <row r="1271">
          <cell r="B1271" t="str">
            <v/>
          </cell>
          <cell r="H1271" t="str">
            <v/>
          </cell>
          <cell r="J1271" t="str">
            <v/>
          </cell>
          <cell r="N1271" t="str">
            <v/>
          </cell>
          <cell r="O1271" t="str">
            <v/>
          </cell>
          <cell r="P1271" t="str">
            <v/>
          </cell>
          <cell r="Q1271" t="str">
            <v/>
          </cell>
          <cell r="T1271" t="str">
            <v/>
          </cell>
          <cell r="U1271" t="str">
            <v/>
          </cell>
          <cell r="W1271" t="str">
            <v/>
          </cell>
          <cell r="X1271" t="str">
            <v/>
          </cell>
          <cell r="AB1271">
            <v>0</v>
          </cell>
          <cell r="AC1271">
            <v>0</v>
          </cell>
          <cell r="AD1271">
            <v>0</v>
          </cell>
          <cell r="AJ1271">
            <v>0</v>
          </cell>
          <cell r="AK1271">
            <v>0</v>
          </cell>
        </row>
        <row r="1272">
          <cell r="B1272" t="str">
            <v/>
          </cell>
          <cell r="H1272" t="str">
            <v/>
          </cell>
          <cell r="J1272" t="str">
            <v/>
          </cell>
          <cell r="N1272" t="str">
            <v/>
          </cell>
          <cell r="O1272" t="str">
            <v/>
          </cell>
          <cell r="P1272" t="str">
            <v/>
          </cell>
          <cell r="Q1272" t="str">
            <v/>
          </cell>
          <cell r="T1272" t="str">
            <v/>
          </cell>
          <cell r="U1272" t="str">
            <v/>
          </cell>
          <cell r="W1272" t="str">
            <v/>
          </cell>
          <cell r="X1272" t="str">
            <v/>
          </cell>
          <cell r="AB1272">
            <v>0</v>
          </cell>
          <cell r="AC1272">
            <v>0</v>
          </cell>
          <cell r="AD1272">
            <v>0</v>
          </cell>
          <cell r="AJ1272">
            <v>0</v>
          </cell>
          <cell r="AK1272">
            <v>0</v>
          </cell>
        </row>
        <row r="1273">
          <cell r="B1273" t="str">
            <v/>
          </cell>
          <cell r="H1273" t="str">
            <v/>
          </cell>
          <cell r="J1273" t="str">
            <v/>
          </cell>
          <cell r="N1273" t="str">
            <v/>
          </cell>
          <cell r="O1273" t="str">
            <v/>
          </cell>
          <cell r="P1273" t="str">
            <v/>
          </cell>
          <cell r="Q1273" t="str">
            <v/>
          </cell>
          <cell r="T1273" t="str">
            <v/>
          </cell>
          <cell r="U1273" t="str">
            <v/>
          </cell>
          <cell r="W1273" t="str">
            <v/>
          </cell>
          <cell r="X1273" t="str">
            <v/>
          </cell>
          <cell r="AB1273">
            <v>0</v>
          </cell>
          <cell r="AC1273">
            <v>0</v>
          </cell>
          <cell r="AD1273">
            <v>0</v>
          </cell>
          <cell r="AJ1273">
            <v>0</v>
          </cell>
          <cell r="AK1273">
            <v>0</v>
          </cell>
        </row>
        <row r="1274">
          <cell r="B1274" t="str">
            <v/>
          </cell>
          <cell r="H1274" t="str">
            <v/>
          </cell>
          <cell r="J1274" t="str">
            <v/>
          </cell>
          <cell r="N1274" t="str">
            <v/>
          </cell>
          <cell r="O1274" t="str">
            <v/>
          </cell>
          <cell r="P1274" t="str">
            <v/>
          </cell>
          <cell r="Q1274" t="str">
            <v/>
          </cell>
          <cell r="T1274" t="str">
            <v/>
          </cell>
          <cell r="U1274" t="str">
            <v/>
          </cell>
          <cell r="W1274" t="str">
            <v/>
          </cell>
          <cell r="X1274" t="str">
            <v/>
          </cell>
          <cell r="AB1274">
            <v>0</v>
          </cell>
          <cell r="AC1274">
            <v>0</v>
          </cell>
          <cell r="AD1274">
            <v>0</v>
          </cell>
          <cell r="AJ1274">
            <v>0</v>
          </cell>
          <cell r="AK1274">
            <v>0</v>
          </cell>
        </row>
        <row r="1275">
          <cell r="B1275" t="str">
            <v/>
          </cell>
          <cell r="H1275" t="str">
            <v/>
          </cell>
          <cell r="J1275" t="str">
            <v/>
          </cell>
          <cell r="N1275" t="str">
            <v/>
          </cell>
          <cell r="O1275" t="str">
            <v/>
          </cell>
          <cell r="P1275" t="str">
            <v/>
          </cell>
          <cell r="Q1275" t="str">
            <v/>
          </cell>
          <cell r="T1275" t="str">
            <v/>
          </cell>
          <cell r="U1275" t="str">
            <v/>
          </cell>
          <cell r="W1275" t="str">
            <v/>
          </cell>
          <cell r="X1275" t="str">
            <v/>
          </cell>
          <cell r="AB1275">
            <v>0</v>
          </cell>
          <cell r="AC1275">
            <v>0</v>
          </cell>
          <cell r="AD1275">
            <v>0</v>
          </cell>
          <cell r="AJ1275">
            <v>0</v>
          </cell>
          <cell r="AK1275">
            <v>0</v>
          </cell>
        </row>
        <row r="1276">
          <cell r="B1276" t="str">
            <v/>
          </cell>
          <cell r="H1276" t="str">
            <v/>
          </cell>
          <cell r="J1276" t="str">
            <v/>
          </cell>
          <cell r="N1276" t="str">
            <v/>
          </cell>
          <cell r="O1276" t="str">
            <v/>
          </cell>
          <cell r="P1276" t="str">
            <v/>
          </cell>
          <cell r="Q1276" t="str">
            <v/>
          </cell>
          <cell r="T1276" t="str">
            <v/>
          </cell>
          <cell r="U1276" t="str">
            <v/>
          </cell>
          <cell r="W1276" t="str">
            <v/>
          </cell>
          <cell r="X1276" t="str">
            <v/>
          </cell>
          <cell r="AB1276">
            <v>0</v>
          </cell>
          <cell r="AC1276">
            <v>0</v>
          </cell>
          <cell r="AD1276">
            <v>0</v>
          </cell>
          <cell r="AJ1276">
            <v>0</v>
          </cell>
          <cell r="AK1276">
            <v>0</v>
          </cell>
        </row>
        <row r="1277">
          <cell r="B1277" t="str">
            <v/>
          </cell>
          <cell r="H1277" t="str">
            <v/>
          </cell>
          <cell r="J1277" t="str">
            <v/>
          </cell>
          <cell r="N1277" t="str">
            <v/>
          </cell>
          <cell r="O1277" t="str">
            <v/>
          </cell>
          <cell r="P1277" t="str">
            <v/>
          </cell>
          <cell r="Q1277" t="str">
            <v/>
          </cell>
          <cell r="T1277" t="str">
            <v/>
          </cell>
          <cell r="U1277" t="str">
            <v/>
          </cell>
          <cell r="W1277" t="str">
            <v/>
          </cell>
          <cell r="X1277" t="str">
            <v/>
          </cell>
          <cell r="AB1277">
            <v>0</v>
          </cell>
          <cell r="AC1277">
            <v>0</v>
          </cell>
          <cell r="AD1277">
            <v>0</v>
          </cell>
          <cell r="AJ1277">
            <v>0</v>
          </cell>
          <cell r="AK1277">
            <v>0</v>
          </cell>
        </row>
        <row r="1278">
          <cell r="B1278" t="str">
            <v/>
          </cell>
          <cell r="H1278" t="str">
            <v/>
          </cell>
          <cell r="J1278" t="str">
            <v/>
          </cell>
          <cell r="N1278" t="str">
            <v/>
          </cell>
          <cell r="O1278" t="str">
            <v/>
          </cell>
          <cell r="P1278" t="str">
            <v/>
          </cell>
          <cell r="Q1278" t="str">
            <v/>
          </cell>
          <cell r="T1278" t="str">
            <v/>
          </cell>
          <cell r="U1278" t="str">
            <v/>
          </cell>
          <cell r="W1278" t="str">
            <v/>
          </cell>
          <cell r="X1278" t="str">
            <v/>
          </cell>
          <cell r="AB1278">
            <v>0</v>
          </cell>
          <cell r="AC1278">
            <v>0</v>
          </cell>
          <cell r="AD1278">
            <v>0</v>
          </cell>
          <cell r="AJ1278">
            <v>0</v>
          </cell>
          <cell r="AK1278">
            <v>0</v>
          </cell>
        </row>
        <row r="1279">
          <cell r="B1279" t="str">
            <v/>
          </cell>
          <cell r="H1279" t="str">
            <v/>
          </cell>
          <cell r="J1279" t="str">
            <v/>
          </cell>
          <cell r="N1279" t="str">
            <v/>
          </cell>
          <cell r="O1279" t="str">
            <v/>
          </cell>
          <cell r="P1279" t="str">
            <v/>
          </cell>
          <cell r="Q1279" t="str">
            <v/>
          </cell>
          <cell r="T1279" t="str">
            <v/>
          </cell>
          <cell r="U1279" t="str">
            <v/>
          </cell>
          <cell r="W1279" t="str">
            <v/>
          </cell>
          <cell r="X1279" t="str">
            <v/>
          </cell>
          <cell r="AB1279">
            <v>0</v>
          </cell>
          <cell r="AC1279">
            <v>0</v>
          </cell>
          <cell r="AD1279">
            <v>0</v>
          </cell>
          <cell r="AJ1279">
            <v>0</v>
          </cell>
          <cell r="AK1279">
            <v>0</v>
          </cell>
        </row>
        <row r="1280">
          <cell r="B1280" t="str">
            <v/>
          </cell>
          <cell r="H1280" t="str">
            <v/>
          </cell>
          <cell r="J1280" t="str">
            <v/>
          </cell>
          <cell r="N1280" t="str">
            <v/>
          </cell>
          <cell r="O1280" t="str">
            <v/>
          </cell>
          <cell r="P1280" t="str">
            <v/>
          </cell>
          <cell r="Q1280" t="str">
            <v/>
          </cell>
          <cell r="T1280" t="str">
            <v/>
          </cell>
          <cell r="U1280" t="str">
            <v/>
          </cell>
          <cell r="W1280" t="str">
            <v/>
          </cell>
          <cell r="X1280" t="str">
            <v/>
          </cell>
          <cell r="AB1280">
            <v>0</v>
          </cell>
          <cell r="AC1280">
            <v>0</v>
          </cell>
          <cell r="AD1280">
            <v>0</v>
          </cell>
          <cell r="AJ1280">
            <v>0</v>
          </cell>
          <cell r="AK1280">
            <v>0</v>
          </cell>
        </row>
        <row r="1281">
          <cell r="B1281" t="str">
            <v/>
          </cell>
          <cell r="H1281" t="str">
            <v/>
          </cell>
          <cell r="J1281" t="str">
            <v/>
          </cell>
          <cell r="N1281" t="str">
            <v/>
          </cell>
          <cell r="O1281" t="str">
            <v/>
          </cell>
          <cell r="P1281" t="str">
            <v/>
          </cell>
          <cell r="Q1281" t="str">
            <v/>
          </cell>
          <cell r="T1281" t="str">
            <v/>
          </cell>
          <cell r="U1281" t="str">
            <v/>
          </cell>
          <cell r="W1281" t="str">
            <v/>
          </cell>
          <cell r="X1281" t="str">
            <v/>
          </cell>
          <cell r="AB1281">
            <v>0</v>
          </cell>
          <cell r="AC1281">
            <v>0</v>
          </cell>
          <cell r="AD1281">
            <v>0</v>
          </cell>
          <cell r="AJ1281">
            <v>0</v>
          </cell>
          <cell r="AK1281">
            <v>0</v>
          </cell>
        </row>
        <row r="1282">
          <cell r="B1282" t="str">
            <v/>
          </cell>
          <cell r="H1282" t="str">
            <v/>
          </cell>
          <cell r="J1282" t="str">
            <v/>
          </cell>
          <cell r="N1282" t="str">
            <v/>
          </cell>
          <cell r="O1282" t="str">
            <v/>
          </cell>
          <cell r="P1282" t="str">
            <v/>
          </cell>
          <cell r="Q1282" t="str">
            <v/>
          </cell>
          <cell r="T1282" t="str">
            <v/>
          </cell>
          <cell r="U1282" t="str">
            <v/>
          </cell>
          <cell r="W1282" t="str">
            <v/>
          </cell>
          <cell r="X1282" t="str">
            <v/>
          </cell>
          <cell r="AB1282">
            <v>0</v>
          </cell>
          <cell r="AC1282">
            <v>0</v>
          </cell>
          <cell r="AD1282">
            <v>0</v>
          </cell>
          <cell r="AJ1282">
            <v>0</v>
          </cell>
          <cell r="AK1282">
            <v>0</v>
          </cell>
        </row>
        <row r="1283">
          <cell r="B1283" t="str">
            <v/>
          </cell>
          <cell r="H1283" t="str">
            <v/>
          </cell>
          <cell r="J1283" t="str">
            <v/>
          </cell>
          <cell r="N1283" t="str">
            <v/>
          </cell>
          <cell r="O1283" t="str">
            <v/>
          </cell>
          <cell r="P1283" t="str">
            <v/>
          </cell>
          <cell r="Q1283" t="str">
            <v/>
          </cell>
          <cell r="T1283" t="str">
            <v/>
          </cell>
          <cell r="U1283" t="str">
            <v/>
          </cell>
          <cell r="W1283" t="str">
            <v/>
          </cell>
          <cell r="X1283" t="str">
            <v/>
          </cell>
          <cell r="AB1283">
            <v>0</v>
          </cell>
          <cell r="AC1283">
            <v>0</v>
          </cell>
          <cell r="AD1283">
            <v>0</v>
          </cell>
          <cell r="AJ1283">
            <v>0</v>
          </cell>
          <cell r="AK1283">
            <v>0</v>
          </cell>
        </row>
        <row r="1284">
          <cell r="B1284" t="str">
            <v/>
          </cell>
          <cell r="H1284" t="str">
            <v/>
          </cell>
          <cell r="J1284" t="str">
            <v/>
          </cell>
          <cell r="N1284" t="str">
            <v/>
          </cell>
          <cell r="O1284" t="str">
            <v/>
          </cell>
          <cell r="P1284" t="str">
            <v/>
          </cell>
          <cell r="Q1284" t="str">
            <v/>
          </cell>
          <cell r="T1284" t="str">
            <v/>
          </cell>
          <cell r="U1284" t="str">
            <v/>
          </cell>
          <cell r="W1284" t="str">
            <v/>
          </cell>
          <cell r="X1284" t="str">
            <v/>
          </cell>
          <cell r="AB1284">
            <v>0</v>
          </cell>
          <cell r="AC1284">
            <v>0</v>
          </cell>
          <cell r="AD1284">
            <v>0</v>
          </cell>
          <cell r="AJ1284">
            <v>0</v>
          </cell>
          <cell r="AK1284">
            <v>0</v>
          </cell>
        </row>
        <row r="1285">
          <cell r="B1285" t="str">
            <v/>
          </cell>
          <cell r="H1285" t="str">
            <v/>
          </cell>
          <cell r="J1285" t="str">
            <v/>
          </cell>
          <cell r="N1285" t="str">
            <v/>
          </cell>
          <cell r="O1285" t="str">
            <v/>
          </cell>
          <cell r="P1285" t="str">
            <v/>
          </cell>
          <cell r="Q1285" t="str">
            <v/>
          </cell>
          <cell r="T1285" t="str">
            <v/>
          </cell>
          <cell r="U1285" t="str">
            <v/>
          </cell>
          <cell r="W1285" t="str">
            <v/>
          </cell>
          <cell r="X1285" t="str">
            <v/>
          </cell>
          <cell r="AB1285">
            <v>0</v>
          </cell>
          <cell r="AC1285">
            <v>0</v>
          </cell>
          <cell r="AD1285">
            <v>0</v>
          </cell>
          <cell r="AJ1285">
            <v>0</v>
          </cell>
          <cell r="AK1285">
            <v>0</v>
          </cell>
        </row>
        <row r="1286">
          <cell r="B1286" t="str">
            <v/>
          </cell>
          <cell r="H1286" t="str">
            <v/>
          </cell>
          <cell r="J1286" t="str">
            <v/>
          </cell>
          <cell r="N1286" t="str">
            <v/>
          </cell>
          <cell r="O1286" t="str">
            <v/>
          </cell>
          <cell r="P1286" t="str">
            <v/>
          </cell>
          <cell r="Q1286" t="str">
            <v/>
          </cell>
          <cell r="T1286" t="str">
            <v/>
          </cell>
          <cell r="U1286" t="str">
            <v/>
          </cell>
          <cell r="W1286" t="str">
            <v/>
          </cell>
          <cell r="X1286" t="str">
            <v/>
          </cell>
          <cell r="AB1286">
            <v>0</v>
          </cell>
          <cell r="AC1286">
            <v>0</v>
          </cell>
          <cell r="AD1286">
            <v>0</v>
          </cell>
          <cell r="AJ1286">
            <v>0</v>
          </cell>
          <cell r="AK1286">
            <v>0</v>
          </cell>
        </row>
        <row r="1287">
          <cell r="B1287" t="str">
            <v/>
          </cell>
          <cell r="H1287" t="str">
            <v/>
          </cell>
          <cell r="J1287" t="str">
            <v/>
          </cell>
          <cell r="N1287" t="str">
            <v/>
          </cell>
          <cell r="O1287" t="str">
            <v/>
          </cell>
          <cell r="P1287" t="str">
            <v/>
          </cell>
          <cell r="Q1287" t="str">
            <v/>
          </cell>
          <cell r="T1287" t="str">
            <v/>
          </cell>
          <cell r="U1287" t="str">
            <v/>
          </cell>
          <cell r="W1287" t="str">
            <v/>
          </cell>
          <cell r="X1287" t="str">
            <v/>
          </cell>
          <cell r="AB1287">
            <v>0</v>
          </cell>
          <cell r="AC1287">
            <v>0</v>
          </cell>
          <cell r="AD1287">
            <v>0</v>
          </cell>
          <cell r="AJ1287">
            <v>0</v>
          </cell>
          <cell r="AK1287">
            <v>0</v>
          </cell>
        </row>
        <row r="1288">
          <cell r="B1288" t="str">
            <v/>
          </cell>
          <cell r="H1288" t="str">
            <v/>
          </cell>
          <cell r="J1288" t="str">
            <v/>
          </cell>
          <cell r="N1288" t="str">
            <v/>
          </cell>
          <cell r="O1288" t="str">
            <v/>
          </cell>
          <cell r="P1288" t="str">
            <v/>
          </cell>
          <cell r="Q1288" t="str">
            <v/>
          </cell>
          <cell r="T1288" t="str">
            <v/>
          </cell>
          <cell r="U1288" t="str">
            <v/>
          </cell>
          <cell r="W1288" t="str">
            <v/>
          </cell>
          <cell r="X1288" t="str">
            <v/>
          </cell>
          <cell r="AB1288">
            <v>0</v>
          </cell>
          <cell r="AC1288">
            <v>0</v>
          </cell>
          <cell r="AD1288">
            <v>0</v>
          </cell>
          <cell r="AJ1288">
            <v>0</v>
          </cell>
          <cell r="AK1288">
            <v>0</v>
          </cell>
        </row>
        <row r="1289">
          <cell r="B1289" t="str">
            <v/>
          </cell>
          <cell r="H1289" t="str">
            <v/>
          </cell>
          <cell r="J1289" t="str">
            <v/>
          </cell>
          <cell r="N1289" t="str">
            <v/>
          </cell>
          <cell r="O1289" t="str">
            <v/>
          </cell>
          <cell r="P1289" t="str">
            <v/>
          </cell>
          <cell r="Q1289" t="str">
            <v/>
          </cell>
          <cell r="T1289" t="str">
            <v/>
          </cell>
          <cell r="U1289" t="str">
            <v/>
          </cell>
          <cell r="W1289" t="str">
            <v/>
          </cell>
          <cell r="X1289" t="str">
            <v/>
          </cell>
          <cell r="AB1289">
            <v>0</v>
          </cell>
          <cell r="AC1289">
            <v>0</v>
          </cell>
          <cell r="AD1289">
            <v>0</v>
          </cell>
          <cell r="AJ1289">
            <v>0</v>
          </cell>
          <cell r="AK1289">
            <v>0</v>
          </cell>
        </row>
        <row r="1290">
          <cell r="B1290" t="str">
            <v/>
          </cell>
          <cell r="H1290" t="str">
            <v/>
          </cell>
          <cell r="J1290" t="str">
            <v/>
          </cell>
          <cell r="N1290" t="str">
            <v/>
          </cell>
          <cell r="O1290" t="str">
            <v/>
          </cell>
          <cell r="P1290" t="str">
            <v/>
          </cell>
          <cell r="Q1290" t="str">
            <v/>
          </cell>
          <cell r="T1290" t="str">
            <v/>
          </cell>
          <cell r="U1290" t="str">
            <v/>
          </cell>
          <cell r="W1290" t="str">
            <v/>
          </cell>
          <cell r="X1290" t="str">
            <v/>
          </cell>
          <cell r="AB1290">
            <v>0</v>
          </cell>
          <cell r="AC1290">
            <v>0</v>
          </cell>
          <cell r="AD1290">
            <v>0</v>
          </cell>
          <cell r="AJ1290">
            <v>0</v>
          </cell>
          <cell r="AK1290">
            <v>0</v>
          </cell>
        </row>
        <row r="1291">
          <cell r="B1291" t="str">
            <v/>
          </cell>
          <cell r="H1291" t="str">
            <v/>
          </cell>
          <cell r="J1291" t="str">
            <v/>
          </cell>
          <cell r="N1291" t="str">
            <v/>
          </cell>
          <cell r="O1291" t="str">
            <v/>
          </cell>
          <cell r="P1291" t="str">
            <v/>
          </cell>
          <cell r="Q1291" t="str">
            <v/>
          </cell>
          <cell r="T1291" t="str">
            <v/>
          </cell>
          <cell r="U1291" t="str">
            <v/>
          </cell>
          <cell r="W1291" t="str">
            <v/>
          </cell>
          <cell r="X1291" t="str">
            <v/>
          </cell>
          <cell r="AB1291">
            <v>0</v>
          </cell>
          <cell r="AC1291">
            <v>0</v>
          </cell>
          <cell r="AD1291">
            <v>0</v>
          </cell>
          <cell r="AJ1291">
            <v>0</v>
          </cell>
          <cell r="AK1291">
            <v>0</v>
          </cell>
        </row>
        <row r="1292">
          <cell r="B1292" t="str">
            <v/>
          </cell>
          <cell r="H1292" t="str">
            <v/>
          </cell>
          <cell r="J1292" t="str">
            <v/>
          </cell>
          <cell r="N1292" t="str">
            <v/>
          </cell>
          <cell r="O1292" t="str">
            <v/>
          </cell>
          <cell r="P1292" t="str">
            <v/>
          </cell>
          <cell r="Q1292" t="str">
            <v/>
          </cell>
          <cell r="T1292" t="str">
            <v/>
          </cell>
          <cell r="U1292" t="str">
            <v/>
          </cell>
          <cell r="W1292" t="str">
            <v/>
          </cell>
          <cell r="X1292" t="str">
            <v/>
          </cell>
          <cell r="AB1292">
            <v>0</v>
          </cell>
          <cell r="AC1292">
            <v>0</v>
          </cell>
          <cell r="AD1292">
            <v>0</v>
          </cell>
          <cell r="AJ1292">
            <v>0</v>
          </cell>
          <cell r="AK1292">
            <v>0</v>
          </cell>
        </row>
        <row r="1293">
          <cell r="B1293" t="str">
            <v/>
          </cell>
          <cell r="H1293" t="str">
            <v/>
          </cell>
          <cell r="J1293" t="str">
            <v/>
          </cell>
          <cell r="N1293" t="str">
            <v/>
          </cell>
          <cell r="O1293" t="str">
            <v/>
          </cell>
          <cell r="P1293" t="str">
            <v/>
          </cell>
          <cell r="Q1293" t="str">
            <v/>
          </cell>
          <cell r="T1293" t="str">
            <v/>
          </cell>
          <cell r="U1293" t="str">
            <v/>
          </cell>
          <cell r="W1293" t="str">
            <v/>
          </cell>
          <cell r="X1293" t="str">
            <v/>
          </cell>
          <cell r="AB1293">
            <v>0</v>
          </cell>
          <cell r="AC1293">
            <v>0</v>
          </cell>
          <cell r="AD1293">
            <v>0</v>
          </cell>
          <cell r="AJ1293">
            <v>0</v>
          </cell>
          <cell r="AK1293">
            <v>0</v>
          </cell>
        </row>
        <row r="1294">
          <cell r="B1294" t="str">
            <v/>
          </cell>
          <cell r="H1294" t="str">
            <v/>
          </cell>
          <cell r="J1294" t="str">
            <v/>
          </cell>
          <cell r="N1294" t="str">
            <v/>
          </cell>
          <cell r="O1294" t="str">
            <v/>
          </cell>
          <cell r="P1294" t="str">
            <v/>
          </cell>
          <cell r="Q1294" t="str">
            <v/>
          </cell>
          <cell r="T1294" t="str">
            <v/>
          </cell>
          <cell r="U1294" t="str">
            <v/>
          </cell>
          <cell r="W1294" t="str">
            <v/>
          </cell>
          <cell r="X1294" t="str">
            <v/>
          </cell>
          <cell r="AB1294">
            <v>0</v>
          </cell>
          <cell r="AC1294">
            <v>0</v>
          </cell>
          <cell r="AD1294">
            <v>0</v>
          </cell>
          <cell r="AJ1294">
            <v>0</v>
          </cell>
          <cell r="AK1294">
            <v>0</v>
          </cell>
        </row>
        <row r="1295">
          <cell r="B1295" t="str">
            <v/>
          </cell>
          <cell r="H1295" t="str">
            <v/>
          </cell>
          <cell r="J1295" t="str">
            <v/>
          </cell>
          <cell r="N1295" t="str">
            <v/>
          </cell>
          <cell r="O1295" t="str">
            <v/>
          </cell>
          <cell r="P1295" t="str">
            <v/>
          </cell>
          <cell r="Q1295" t="str">
            <v/>
          </cell>
          <cell r="T1295" t="str">
            <v/>
          </cell>
          <cell r="U1295" t="str">
            <v/>
          </cell>
          <cell r="W1295" t="str">
            <v/>
          </cell>
          <cell r="X1295" t="str">
            <v/>
          </cell>
          <cell r="AB1295">
            <v>0</v>
          </cell>
          <cell r="AC1295">
            <v>0</v>
          </cell>
          <cell r="AD1295">
            <v>0</v>
          </cell>
          <cell r="AJ1295">
            <v>0</v>
          </cell>
          <cell r="AK1295">
            <v>0</v>
          </cell>
        </row>
        <row r="1296">
          <cell r="B1296" t="str">
            <v/>
          </cell>
          <cell r="H1296" t="str">
            <v/>
          </cell>
          <cell r="J1296" t="str">
            <v/>
          </cell>
          <cell r="N1296" t="str">
            <v/>
          </cell>
          <cell r="O1296" t="str">
            <v/>
          </cell>
          <cell r="P1296" t="str">
            <v/>
          </cell>
          <cell r="Q1296" t="str">
            <v/>
          </cell>
          <cell r="T1296" t="str">
            <v/>
          </cell>
          <cell r="U1296" t="str">
            <v/>
          </cell>
          <cell r="W1296" t="str">
            <v/>
          </cell>
          <cell r="X1296" t="str">
            <v/>
          </cell>
          <cell r="AB1296">
            <v>0</v>
          </cell>
          <cell r="AC1296">
            <v>0</v>
          </cell>
          <cell r="AD1296">
            <v>0</v>
          </cell>
          <cell r="AJ1296">
            <v>0</v>
          </cell>
          <cell r="AK1296">
            <v>0</v>
          </cell>
        </row>
        <row r="1297">
          <cell r="B1297" t="str">
            <v/>
          </cell>
          <cell r="H1297" t="str">
            <v/>
          </cell>
          <cell r="J1297" t="str">
            <v/>
          </cell>
          <cell r="N1297" t="str">
            <v/>
          </cell>
          <cell r="O1297" t="str">
            <v/>
          </cell>
          <cell r="P1297" t="str">
            <v/>
          </cell>
          <cell r="Q1297" t="str">
            <v/>
          </cell>
          <cell r="T1297" t="str">
            <v/>
          </cell>
          <cell r="U1297" t="str">
            <v/>
          </cell>
          <cell r="W1297" t="str">
            <v/>
          </cell>
          <cell r="X1297" t="str">
            <v/>
          </cell>
          <cell r="AB1297">
            <v>0</v>
          </cell>
          <cell r="AC1297">
            <v>0</v>
          </cell>
          <cell r="AD1297">
            <v>0</v>
          </cell>
          <cell r="AJ1297">
            <v>0</v>
          </cell>
          <cell r="AK1297">
            <v>0</v>
          </cell>
        </row>
        <row r="1298">
          <cell r="B1298" t="str">
            <v/>
          </cell>
          <cell r="H1298" t="str">
            <v/>
          </cell>
          <cell r="J1298" t="str">
            <v/>
          </cell>
          <cell r="N1298" t="str">
            <v/>
          </cell>
          <cell r="O1298" t="str">
            <v/>
          </cell>
          <cell r="P1298" t="str">
            <v/>
          </cell>
          <cell r="Q1298" t="str">
            <v/>
          </cell>
          <cell r="T1298" t="str">
            <v/>
          </cell>
          <cell r="U1298" t="str">
            <v/>
          </cell>
          <cell r="W1298" t="str">
            <v/>
          </cell>
          <cell r="X1298" t="str">
            <v/>
          </cell>
          <cell r="AB1298">
            <v>0</v>
          </cell>
          <cell r="AC1298">
            <v>0</v>
          </cell>
          <cell r="AD1298">
            <v>0</v>
          </cell>
          <cell r="AJ1298">
            <v>0</v>
          </cell>
          <cell r="AK1298">
            <v>0</v>
          </cell>
        </row>
        <row r="1299">
          <cell r="B1299" t="str">
            <v/>
          </cell>
          <cell r="H1299" t="str">
            <v/>
          </cell>
          <cell r="J1299" t="str">
            <v/>
          </cell>
          <cell r="N1299" t="str">
            <v/>
          </cell>
          <cell r="O1299" t="str">
            <v/>
          </cell>
          <cell r="P1299" t="str">
            <v/>
          </cell>
          <cell r="Q1299" t="str">
            <v/>
          </cell>
          <cell r="T1299" t="str">
            <v/>
          </cell>
          <cell r="U1299" t="str">
            <v/>
          </cell>
          <cell r="W1299" t="str">
            <v/>
          </cell>
          <cell r="X1299" t="str">
            <v/>
          </cell>
          <cell r="AB1299">
            <v>0</v>
          </cell>
          <cell r="AC1299">
            <v>0</v>
          </cell>
          <cell r="AD1299">
            <v>0</v>
          </cell>
          <cell r="AJ1299">
            <v>0</v>
          </cell>
          <cell r="AK1299">
            <v>0</v>
          </cell>
        </row>
        <row r="1300">
          <cell r="B1300" t="str">
            <v/>
          </cell>
          <cell r="H1300" t="str">
            <v/>
          </cell>
          <cell r="J1300" t="str">
            <v/>
          </cell>
          <cell r="N1300" t="str">
            <v/>
          </cell>
          <cell r="O1300" t="str">
            <v/>
          </cell>
          <cell r="P1300" t="str">
            <v/>
          </cell>
          <cell r="Q1300" t="str">
            <v/>
          </cell>
          <cell r="T1300" t="str">
            <v/>
          </cell>
          <cell r="U1300" t="str">
            <v/>
          </cell>
          <cell r="W1300" t="str">
            <v/>
          </cell>
          <cell r="X1300" t="str">
            <v/>
          </cell>
          <cell r="AB1300">
            <v>0</v>
          </cell>
          <cell r="AC1300">
            <v>0</v>
          </cell>
          <cell r="AD1300">
            <v>0</v>
          </cell>
          <cell r="AJ1300">
            <v>0</v>
          </cell>
          <cell r="AK1300">
            <v>0</v>
          </cell>
        </row>
        <row r="1301">
          <cell r="B1301" t="str">
            <v/>
          </cell>
          <cell r="H1301" t="str">
            <v/>
          </cell>
          <cell r="J1301" t="str">
            <v/>
          </cell>
          <cell r="N1301" t="str">
            <v/>
          </cell>
          <cell r="O1301" t="str">
            <v/>
          </cell>
          <cell r="P1301" t="str">
            <v/>
          </cell>
          <cell r="Q1301" t="str">
            <v/>
          </cell>
          <cell r="T1301" t="str">
            <v/>
          </cell>
          <cell r="U1301" t="str">
            <v/>
          </cell>
          <cell r="W1301" t="str">
            <v/>
          </cell>
          <cell r="X1301" t="str">
            <v/>
          </cell>
          <cell r="AB1301">
            <v>0</v>
          </cell>
          <cell r="AC1301">
            <v>0</v>
          </cell>
          <cell r="AD1301">
            <v>0</v>
          </cell>
          <cell r="AJ1301">
            <v>0</v>
          </cell>
          <cell r="AK1301">
            <v>0</v>
          </cell>
        </row>
        <row r="1302">
          <cell r="B1302" t="str">
            <v/>
          </cell>
          <cell r="H1302" t="str">
            <v/>
          </cell>
          <cell r="J1302" t="str">
            <v/>
          </cell>
          <cell r="N1302" t="str">
            <v/>
          </cell>
          <cell r="O1302" t="str">
            <v/>
          </cell>
          <cell r="P1302" t="str">
            <v/>
          </cell>
          <cell r="Q1302" t="str">
            <v/>
          </cell>
          <cell r="T1302" t="str">
            <v/>
          </cell>
          <cell r="U1302" t="str">
            <v/>
          </cell>
          <cell r="W1302" t="str">
            <v/>
          </cell>
          <cell r="X1302" t="str">
            <v/>
          </cell>
          <cell r="AB1302">
            <v>0</v>
          </cell>
          <cell r="AC1302">
            <v>0</v>
          </cell>
          <cell r="AD1302">
            <v>0</v>
          </cell>
          <cell r="AJ1302">
            <v>0</v>
          </cell>
          <cell r="AK1302">
            <v>0</v>
          </cell>
        </row>
        <row r="1303">
          <cell r="B1303" t="str">
            <v/>
          </cell>
          <cell r="H1303" t="str">
            <v/>
          </cell>
          <cell r="J1303" t="str">
            <v/>
          </cell>
          <cell r="N1303" t="str">
            <v/>
          </cell>
          <cell r="O1303" t="str">
            <v/>
          </cell>
          <cell r="P1303" t="str">
            <v/>
          </cell>
          <cell r="Q1303" t="str">
            <v/>
          </cell>
          <cell r="T1303" t="str">
            <v/>
          </cell>
          <cell r="U1303" t="str">
            <v/>
          </cell>
          <cell r="W1303" t="str">
            <v/>
          </cell>
          <cell r="X1303" t="str">
            <v/>
          </cell>
          <cell r="AB1303">
            <v>0</v>
          </cell>
          <cell r="AC1303">
            <v>0</v>
          </cell>
          <cell r="AD1303">
            <v>0</v>
          </cell>
          <cell r="AJ1303">
            <v>0</v>
          </cell>
          <cell r="AK1303">
            <v>0</v>
          </cell>
        </row>
        <row r="1304">
          <cell r="B1304" t="str">
            <v/>
          </cell>
          <cell r="H1304" t="str">
            <v/>
          </cell>
          <cell r="J1304" t="str">
            <v/>
          </cell>
          <cell r="N1304" t="str">
            <v/>
          </cell>
          <cell r="O1304" t="str">
            <v/>
          </cell>
          <cell r="P1304" t="str">
            <v/>
          </cell>
          <cell r="Q1304" t="str">
            <v/>
          </cell>
          <cell r="T1304" t="str">
            <v/>
          </cell>
          <cell r="U1304" t="str">
            <v/>
          </cell>
          <cell r="W1304" t="str">
            <v/>
          </cell>
          <cell r="X1304" t="str">
            <v/>
          </cell>
          <cell r="AB1304">
            <v>0</v>
          </cell>
          <cell r="AC1304">
            <v>0</v>
          </cell>
          <cell r="AD1304">
            <v>0</v>
          </cell>
          <cell r="AJ1304">
            <v>0</v>
          </cell>
          <cell r="AK1304">
            <v>0</v>
          </cell>
        </row>
        <row r="1305">
          <cell r="B1305" t="str">
            <v/>
          </cell>
          <cell r="H1305" t="str">
            <v/>
          </cell>
          <cell r="J1305" t="str">
            <v/>
          </cell>
          <cell r="N1305" t="str">
            <v/>
          </cell>
          <cell r="O1305" t="str">
            <v/>
          </cell>
          <cell r="P1305" t="str">
            <v/>
          </cell>
          <cell r="Q1305" t="str">
            <v/>
          </cell>
          <cell r="T1305" t="str">
            <v/>
          </cell>
          <cell r="U1305" t="str">
            <v/>
          </cell>
          <cell r="W1305" t="str">
            <v/>
          </cell>
          <cell r="X1305" t="str">
            <v/>
          </cell>
          <cell r="AB1305">
            <v>0</v>
          </cell>
          <cell r="AC1305">
            <v>0</v>
          </cell>
          <cell r="AD1305">
            <v>0</v>
          </cell>
          <cell r="AJ1305">
            <v>0</v>
          </cell>
          <cell r="AK1305">
            <v>0</v>
          </cell>
        </row>
        <row r="1306">
          <cell r="B1306" t="str">
            <v/>
          </cell>
          <cell r="H1306" t="str">
            <v/>
          </cell>
          <cell r="J1306" t="str">
            <v/>
          </cell>
          <cell r="N1306" t="str">
            <v/>
          </cell>
          <cell r="O1306" t="str">
            <v/>
          </cell>
          <cell r="P1306" t="str">
            <v/>
          </cell>
          <cell r="Q1306" t="str">
            <v/>
          </cell>
          <cell r="T1306" t="str">
            <v/>
          </cell>
          <cell r="U1306" t="str">
            <v/>
          </cell>
          <cell r="W1306" t="str">
            <v/>
          </cell>
          <cell r="X1306" t="str">
            <v/>
          </cell>
          <cell r="AB1306">
            <v>0</v>
          </cell>
          <cell r="AC1306">
            <v>0</v>
          </cell>
          <cell r="AD1306">
            <v>0</v>
          </cell>
          <cell r="AJ1306">
            <v>0</v>
          </cell>
          <cell r="AK1306">
            <v>0</v>
          </cell>
        </row>
        <row r="1307">
          <cell r="B1307" t="str">
            <v/>
          </cell>
          <cell r="H1307" t="str">
            <v/>
          </cell>
          <cell r="J1307" t="str">
            <v/>
          </cell>
          <cell r="N1307" t="str">
            <v/>
          </cell>
          <cell r="O1307" t="str">
            <v/>
          </cell>
          <cell r="P1307" t="str">
            <v/>
          </cell>
          <cell r="Q1307" t="str">
            <v/>
          </cell>
          <cell r="T1307" t="str">
            <v/>
          </cell>
          <cell r="U1307" t="str">
            <v/>
          </cell>
          <cell r="W1307" t="str">
            <v/>
          </cell>
          <cell r="X1307" t="str">
            <v/>
          </cell>
          <cell r="AB1307">
            <v>0</v>
          </cell>
          <cell r="AC1307">
            <v>0</v>
          </cell>
          <cell r="AD1307">
            <v>0</v>
          </cell>
          <cell r="AJ1307">
            <v>0</v>
          </cell>
          <cell r="AK1307">
            <v>0</v>
          </cell>
        </row>
        <row r="1308">
          <cell r="B1308" t="str">
            <v/>
          </cell>
          <cell r="H1308" t="str">
            <v/>
          </cell>
          <cell r="J1308" t="str">
            <v/>
          </cell>
          <cell r="N1308" t="str">
            <v/>
          </cell>
          <cell r="O1308" t="str">
            <v/>
          </cell>
          <cell r="P1308" t="str">
            <v/>
          </cell>
          <cell r="Q1308" t="str">
            <v/>
          </cell>
          <cell r="T1308" t="str">
            <v/>
          </cell>
          <cell r="U1308" t="str">
            <v/>
          </cell>
          <cell r="W1308" t="str">
            <v/>
          </cell>
          <cell r="X1308" t="str">
            <v/>
          </cell>
          <cell r="AB1308">
            <v>0</v>
          </cell>
          <cell r="AC1308">
            <v>0</v>
          </cell>
          <cell r="AD1308">
            <v>0</v>
          </cell>
          <cell r="AJ1308">
            <v>0</v>
          </cell>
          <cell r="AK1308">
            <v>0</v>
          </cell>
        </row>
        <row r="1309">
          <cell r="B1309" t="str">
            <v/>
          </cell>
          <cell r="H1309" t="str">
            <v/>
          </cell>
          <cell r="J1309" t="str">
            <v/>
          </cell>
          <cell r="N1309" t="str">
            <v/>
          </cell>
          <cell r="O1309" t="str">
            <v/>
          </cell>
          <cell r="P1309" t="str">
            <v/>
          </cell>
          <cell r="Q1309" t="str">
            <v/>
          </cell>
          <cell r="T1309" t="str">
            <v/>
          </cell>
          <cell r="U1309" t="str">
            <v/>
          </cell>
          <cell r="W1309" t="str">
            <v/>
          </cell>
          <cell r="X1309" t="str">
            <v/>
          </cell>
          <cell r="AB1309">
            <v>0</v>
          </cell>
          <cell r="AC1309">
            <v>0</v>
          </cell>
          <cell r="AD1309">
            <v>0</v>
          </cell>
          <cell r="AJ1309">
            <v>0</v>
          </cell>
          <cell r="AK1309">
            <v>0</v>
          </cell>
        </row>
        <row r="1310">
          <cell r="B1310" t="str">
            <v/>
          </cell>
          <cell r="H1310" t="str">
            <v/>
          </cell>
          <cell r="J1310" t="str">
            <v/>
          </cell>
          <cell r="N1310" t="str">
            <v/>
          </cell>
          <cell r="O1310" t="str">
            <v/>
          </cell>
          <cell r="P1310" t="str">
            <v/>
          </cell>
          <cell r="Q1310" t="str">
            <v/>
          </cell>
          <cell r="T1310" t="str">
            <v/>
          </cell>
          <cell r="U1310" t="str">
            <v/>
          </cell>
          <cell r="W1310" t="str">
            <v/>
          </cell>
          <cell r="X1310" t="str">
            <v/>
          </cell>
          <cell r="AB1310">
            <v>0</v>
          </cell>
          <cell r="AC1310">
            <v>0</v>
          </cell>
          <cell r="AD1310">
            <v>0</v>
          </cell>
          <cell r="AJ1310">
            <v>0</v>
          </cell>
          <cell r="AK1310">
            <v>0</v>
          </cell>
        </row>
        <row r="1311">
          <cell r="B1311" t="str">
            <v/>
          </cell>
          <cell r="H1311" t="str">
            <v/>
          </cell>
          <cell r="J1311" t="str">
            <v/>
          </cell>
          <cell r="N1311" t="str">
            <v/>
          </cell>
          <cell r="O1311" t="str">
            <v/>
          </cell>
          <cell r="P1311" t="str">
            <v/>
          </cell>
          <cell r="Q1311" t="str">
            <v/>
          </cell>
          <cell r="T1311" t="str">
            <v/>
          </cell>
          <cell r="U1311" t="str">
            <v/>
          </cell>
          <cell r="W1311" t="str">
            <v/>
          </cell>
          <cell r="X1311" t="str">
            <v/>
          </cell>
          <cell r="AB1311">
            <v>0</v>
          </cell>
          <cell r="AC1311">
            <v>0</v>
          </cell>
          <cell r="AD1311">
            <v>0</v>
          </cell>
          <cell r="AJ1311">
            <v>0</v>
          </cell>
          <cell r="AK1311">
            <v>0</v>
          </cell>
        </row>
        <row r="1312">
          <cell r="B1312" t="str">
            <v/>
          </cell>
          <cell r="H1312" t="str">
            <v/>
          </cell>
          <cell r="J1312" t="str">
            <v/>
          </cell>
          <cell r="N1312" t="str">
            <v/>
          </cell>
          <cell r="O1312" t="str">
            <v/>
          </cell>
          <cell r="P1312" t="str">
            <v/>
          </cell>
          <cell r="Q1312" t="str">
            <v/>
          </cell>
          <cell r="T1312" t="str">
            <v/>
          </cell>
          <cell r="U1312" t="str">
            <v/>
          </cell>
          <cell r="W1312" t="str">
            <v/>
          </cell>
          <cell r="X1312" t="str">
            <v/>
          </cell>
          <cell r="AB1312">
            <v>0</v>
          </cell>
          <cell r="AC1312">
            <v>0</v>
          </cell>
          <cell r="AD1312">
            <v>0</v>
          </cell>
          <cell r="AJ1312">
            <v>0</v>
          </cell>
          <cell r="AK1312">
            <v>0</v>
          </cell>
        </row>
        <row r="1313">
          <cell r="B1313" t="str">
            <v/>
          </cell>
          <cell r="H1313" t="str">
            <v/>
          </cell>
          <cell r="J1313" t="str">
            <v/>
          </cell>
          <cell r="N1313" t="str">
            <v/>
          </cell>
          <cell r="O1313" t="str">
            <v/>
          </cell>
          <cell r="P1313" t="str">
            <v/>
          </cell>
          <cell r="Q1313" t="str">
            <v/>
          </cell>
          <cell r="T1313" t="str">
            <v/>
          </cell>
          <cell r="U1313" t="str">
            <v/>
          </cell>
          <cell r="W1313" t="str">
            <v/>
          </cell>
          <cell r="X1313" t="str">
            <v/>
          </cell>
          <cell r="AB1313">
            <v>0</v>
          </cell>
          <cell r="AC1313">
            <v>0</v>
          </cell>
          <cell r="AD1313">
            <v>0</v>
          </cell>
          <cell r="AJ1313">
            <v>0</v>
          </cell>
          <cell r="AK1313">
            <v>0</v>
          </cell>
        </row>
        <row r="1314">
          <cell r="B1314" t="str">
            <v/>
          </cell>
          <cell r="H1314" t="str">
            <v/>
          </cell>
          <cell r="J1314" t="str">
            <v/>
          </cell>
          <cell r="N1314" t="str">
            <v/>
          </cell>
          <cell r="O1314" t="str">
            <v/>
          </cell>
          <cell r="P1314" t="str">
            <v/>
          </cell>
          <cell r="Q1314" t="str">
            <v/>
          </cell>
          <cell r="T1314" t="str">
            <v/>
          </cell>
          <cell r="U1314" t="str">
            <v/>
          </cell>
          <cell r="W1314" t="str">
            <v/>
          </cell>
          <cell r="X1314" t="str">
            <v/>
          </cell>
          <cell r="AB1314">
            <v>0</v>
          </cell>
          <cell r="AC1314">
            <v>0</v>
          </cell>
          <cell r="AD1314">
            <v>0</v>
          </cell>
          <cell r="AJ1314">
            <v>0</v>
          </cell>
          <cell r="AK1314">
            <v>0</v>
          </cell>
        </row>
        <row r="1315">
          <cell r="B1315" t="str">
            <v/>
          </cell>
          <cell r="H1315" t="str">
            <v/>
          </cell>
          <cell r="J1315" t="str">
            <v/>
          </cell>
          <cell r="N1315" t="str">
            <v/>
          </cell>
          <cell r="O1315" t="str">
            <v/>
          </cell>
          <cell r="P1315" t="str">
            <v/>
          </cell>
          <cell r="Q1315" t="str">
            <v/>
          </cell>
          <cell r="T1315" t="str">
            <v/>
          </cell>
          <cell r="U1315" t="str">
            <v/>
          </cell>
          <cell r="W1315" t="str">
            <v/>
          </cell>
          <cell r="X1315" t="str">
            <v/>
          </cell>
          <cell r="AB1315">
            <v>0</v>
          </cell>
          <cell r="AC1315">
            <v>0</v>
          </cell>
          <cell r="AD1315">
            <v>0</v>
          </cell>
          <cell r="AJ1315">
            <v>0</v>
          </cell>
          <cell r="AK1315">
            <v>0</v>
          </cell>
        </row>
        <row r="1316">
          <cell r="B1316" t="str">
            <v/>
          </cell>
          <cell r="H1316" t="str">
            <v/>
          </cell>
          <cell r="J1316" t="str">
            <v/>
          </cell>
          <cell r="N1316" t="str">
            <v/>
          </cell>
          <cell r="O1316" t="str">
            <v/>
          </cell>
          <cell r="P1316" t="str">
            <v/>
          </cell>
          <cell r="Q1316" t="str">
            <v/>
          </cell>
          <cell r="T1316" t="str">
            <v/>
          </cell>
          <cell r="U1316" t="str">
            <v/>
          </cell>
          <cell r="W1316" t="str">
            <v/>
          </cell>
          <cell r="X1316" t="str">
            <v/>
          </cell>
          <cell r="AB1316">
            <v>0</v>
          </cell>
          <cell r="AC1316">
            <v>0</v>
          </cell>
          <cell r="AD1316">
            <v>0</v>
          </cell>
          <cell r="AJ1316">
            <v>0</v>
          </cell>
          <cell r="AK1316">
            <v>0</v>
          </cell>
        </row>
        <row r="1317">
          <cell r="B1317" t="str">
            <v/>
          </cell>
          <cell r="H1317" t="str">
            <v/>
          </cell>
          <cell r="J1317" t="str">
            <v/>
          </cell>
          <cell r="N1317" t="str">
            <v/>
          </cell>
          <cell r="O1317" t="str">
            <v/>
          </cell>
          <cell r="P1317" t="str">
            <v/>
          </cell>
          <cell r="Q1317" t="str">
            <v/>
          </cell>
          <cell r="T1317" t="str">
            <v/>
          </cell>
          <cell r="U1317" t="str">
            <v/>
          </cell>
          <cell r="W1317" t="str">
            <v/>
          </cell>
          <cell r="X1317" t="str">
            <v/>
          </cell>
          <cell r="AB1317">
            <v>0</v>
          </cell>
          <cell r="AC1317">
            <v>0</v>
          </cell>
          <cell r="AD1317">
            <v>0</v>
          </cell>
          <cell r="AJ1317">
            <v>0</v>
          </cell>
          <cell r="AK1317">
            <v>0</v>
          </cell>
        </row>
        <row r="1318">
          <cell r="B1318" t="str">
            <v/>
          </cell>
          <cell r="H1318" t="str">
            <v/>
          </cell>
          <cell r="J1318" t="str">
            <v/>
          </cell>
          <cell r="N1318" t="str">
            <v/>
          </cell>
          <cell r="O1318" t="str">
            <v/>
          </cell>
          <cell r="P1318" t="str">
            <v/>
          </cell>
          <cell r="Q1318" t="str">
            <v/>
          </cell>
          <cell r="T1318" t="str">
            <v/>
          </cell>
          <cell r="U1318" t="str">
            <v/>
          </cell>
          <cell r="W1318" t="str">
            <v/>
          </cell>
          <cell r="X1318" t="str">
            <v/>
          </cell>
          <cell r="AB1318">
            <v>0</v>
          </cell>
          <cell r="AC1318">
            <v>0</v>
          </cell>
          <cell r="AD1318">
            <v>0</v>
          </cell>
          <cell r="AJ1318">
            <v>0</v>
          </cell>
          <cell r="AK1318">
            <v>0</v>
          </cell>
        </row>
        <row r="1319">
          <cell r="B1319" t="str">
            <v/>
          </cell>
          <cell r="H1319" t="str">
            <v/>
          </cell>
          <cell r="J1319" t="str">
            <v/>
          </cell>
          <cell r="N1319" t="str">
            <v/>
          </cell>
          <cell r="O1319" t="str">
            <v/>
          </cell>
          <cell r="P1319" t="str">
            <v/>
          </cell>
          <cell r="Q1319" t="str">
            <v/>
          </cell>
          <cell r="T1319" t="str">
            <v/>
          </cell>
          <cell r="U1319" t="str">
            <v/>
          </cell>
          <cell r="W1319" t="str">
            <v/>
          </cell>
          <cell r="X1319" t="str">
            <v/>
          </cell>
          <cell r="AB1319">
            <v>0</v>
          </cell>
          <cell r="AC1319">
            <v>0</v>
          </cell>
          <cell r="AD1319">
            <v>0</v>
          </cell>
          <cell r="AJ1319">
            <v>0</v>
          </cell>
          <cell r="AK1319">
            <v>0</v>
          </cell>
        </row>
        <row r="1320">
          <cell r="B1320" t="str">
            <v/>
          </cell>
          <cell r="H1320" t="str">
            <v/>
          </cell>
          <cell r="J1320" t="str">
            <v/>
          </cell>
          <cell r="N1320" t="str">
            <v/>
          </cell>
          <cell r="O1320" t="str">
            <v/>
          </cell>
          <cell r="P1320" t="str">
            <v/>
          </cell>
          <cell r="Q1320" t="str">
            <v/>
          </cell>
          <cell r="T1320" t="str">
            <v/>
          </cell>
          <cell r="U1320" t="str">
            <v/>
          </cell>
          <cell r="W1320" t="str">
            <v/>
          </cell>
          <cell r="X1320" t="str">
            <v/>
          </cell>
          <cell r="AB1320">
            <v>0</v>
          </cell>
          <cell r="AC1320">
            <v>0</v>
          </cell>
          <cell r="AD1320">
            <v>0</v>
          </cell>
          <cell r="AJ1320">
            <v>0</v>
          </cell>
          <cell r="AK1320">
            <v>0</v>
          </cell>
        </row>
        <row r="1321">
          <cell r="B1321" t="str">
            <v/>
          </cell>
          <cell r="H1321" t="str">
            <v/>
          </cell>
          <cell r="J1321" t="str">
            <v/>
          </cell>
          <cell r="N1321" t="str">
            <v/>
          </cell>
          <cell r="O1321" t="str">
            <v/>
          </cell>
          <cell r="P1321" t="str">
            <v/>
          </cell>
          <cell r="Q1321" t="str">
            <v/>
          </cell>
          <cell r="T1321" t="str">
            <v/>
          </cell>
          <cell r="U1321" t="str">
            <v/>
          </cell>
          <cell r="W1321" t="str">
            <v/>
          </cell>
          <cell r="X1321" t="str">
            <v/>
          </cell>
          <cell r="AB1321">
            <v>0</v>
          </cell>
          <cell r="AC1321">
            <v>0</v>
          </cell>
          <cell r="AD1321">
            <v>0</v>
          </cell>
          <cell r="AJ1321">
            <v>0</v>
          </cell>
          <cell r="AK1321">
            <v>0</v>
          </cell>
        </row>
        <row r="1322">
          <cell r="B1322" t="str">
            <v/>
          </cell>
          <cell r="H1322" t="str">
            <v/>
          </cell>
          <cell r="J1322" t="str">
            <v/>
          </cell>
          <cell r="N1322" t="str">
            <v/>
          </cell>
          <cell r="O1322" t="str">
            <v/>
          </cell>
          <cell r="P1322" t="str">
            <v/>
          </cell>
          <cell r="Q1322" t="str">
            <v/>
          </cell>
          <cell r="T1322" t="str">
            <v/>
          </cell>
          <cell r="U1322" t="str">
            <v/>
          </cell>
          <cell r="W1322" t="str">
            <v/>
          </cell>
          <cell r="X1322" t="str">
            <v/>
          </cell>
          <cell r="AB1322">
            <v>0</v>
          </cell>
          <cell r="AC1322">
            <v>0</v>
          </cell>
          <cell r="AD1322">
            <v>0</v>
          </cell>
          <cell r="AJ1322">
            <v>0</v>
          </cell>
          <cell r="AK1322">
            <v>0</v>
          </cell>
        </row>
        <row r="1323">
          <cell r="B1323" t="str">
            <v/>
          </cell>
          <cell r="H1323" t="str">
            <v/>
          </cell>
          <cell r="J1323" t="str">
            <v/>
          </cell>
          <cell r="N1323" t="str">
            <v/>
          </cell>
          <cell r="O1323" t="str">
            <v/>
          </cell>
          <cell r="P1323" t="str">
            <v/>
          </cell>
          <cell r="Q1323" t="str">
            <v/>
          </cell>
          <cell r="T1323" t="str">
            <v/>
          </cell>
          <cell r="U1323" t="str">
            <v/>
          </cell>
          <cell r="W1323" t="str">
            <v/>
          </cell>
          <cell r="X1323" t="str">
            <v/>
          </cell>
          <cell r="AB1323">
            <v>0</v>
          </cell>
          <cell r="AC1323">
            <v>0</v>
          </cell>
          <cell r="AD1323">
            <v>0</v>
          </cell>
          <cell r="AJ1323">
            <v>0</v>
          </cell>
          <cell r="AK1323">
            <v>0</v>
          </cell>
        </row>
        <row r="1324">
          <cell r="B1324" t="str">
            <v/>
          </cell>
          <cell r="H1324" t="str">
            <v/>
          </cell>
          <cell r="J1324" t="str">
            <v/>
          </cell>
          <cell r="N1324" t="str">
            <v/>
          </cell>
          <cell r="O1324" t="str">
            <v/>
          </cell>
          <cell r="P1324" t="str">
            <v/>
          </cell>
          <cell r="Q1324" t="str">
            <v/>
          </cell>
          <cell r="T1324" t="str">
            <v/>
          </cell>
          <cell r="U1324" t="str">
            <v/>
          </cell>
          <cell r="W1324" t="str">
            <v/>
          </cell>
          <cell r="X1324" t="str">
            <v/>
          </cell>
          <cell r="AB1324">
            <v>0</v>
          </cell>
          <cell r="AC1324">
            <v>0</v>
          </cell>
          <cell r="AD1324">
            <v>0</v>
          </cell>
          <cell r="AJ1324">
            <v>0</v>
          </cell>
          <cell r="AK1324">
            <v>0</v>
          </cell>
        </row>
        <row r="1325">
          <cell r="B1325" t="str">
            <v/>
          </cell>
          <cell r="H1325" t="str">
            <v/>
          </cell>
          <cell r="J1325" t="str">
            <v/>
          </cell>
          <cell r="N1325" t="str">
            <v/>
          </cell>
          <cell r="O1325" t="str">
            <v/>
          </cell>
          <cell r="P1325" t="str">
            <v/>
          </cell>
          <cell r="Q1325" t="str">
            <v/>
          </cell>
          <cell r="T1325" t="str">
            <v/>
          </cell>
          <cell r="U1325" t="str">
            <v/>
          </cell>
          <cell r="W1325" t="str">
            <v/>
          </cell>
          <cell r="X1325" t="str">
            <v/>
          </cell>
          <cell r="AB1325">
            <v>0</v>
          </cell>
          <cell r="AC1325">
            <v>0</v>
          </cell>
          <cell r="AD1325">
            <v>0</v>
          </cell>
          <cell r="AJ1325">
            <v>0</v>
          </cell>
          <cell r="AK1325">
            <v>0</v>
          </cell>
        </row>
        <row r="1326">
          <cell r="B1326" t="str">
            <v/>
          </cell>
          <cell r="H1326" t="str">
            <v/>
          </cell>
          <cell r="J1326" t="str">
            <v/>
          </cell>
          <cell r="N1326" t="str">
            <v/>
          </cell>
          <cell r="O1326" t="str">
            <v/>
          </cell>
          <cell r="P1326" t="str">
            <v/>
          </cell>
          <cell r="Q1326" t="str">
            <v/>
          </cell>
          <cell r="T1326" t="str">
            <v/>
          </cell>
          <cell r="U1326" t="str">
            <v/>
          </cell>
          <cell r="W1326" t="str">
            <v/>
          </cell>
          <cell r="X1326" t="str">
            <v/>
          </cell>
          <cell r="AB1326">
            <v>0</v>
          </cell>
          <cell r="AC1326">
            <v>0</v>
          </cell>
          <cell r="AD1326">
            <v>0</v>
          </cell>
          <cell r="AJ1326">
            <v>0</v>
          </cell>
          <cell r="AK1326">
            <v>0</v>
          </cell>
        </row>
        <row r="1327">
          <cell r="B1327" t="str">
            <v/>
          </cell>
          <cell r="H1327" t="str">
            <v/>
          </cell>
          <cell r="J1327" t="str">
            <v/>
          </cell>
          <cell r="N1327" t="str">
            <v/>
          </cell>
          <cell r="O1327" t="str">
            <v/>
          </cell>
          <cell r="P1327" t="str">
            <v/>
          </cell>
          <cell r="Q1327" t="str">
            <v/>
          </cell>
          <cell r="T1327" t="str">
            <v/>
          </cell>
          <cell r="U1327" t="str">
            <v/>
          </cell>
          <cell r="W1327" t="str">
            <v/>
          </cell>
          <cell r="X1327" t="str">
            <v/>
          </cell>
          <cell r="AB1327">
            <v>0</v>
          </cell>
          <cell r="AC1327">
            <v>0</v>
          </cell>
          <cell r="AD1327">
            <v>0</v>
          </cell>
          <cell r="AJ1327">
            <v>0</v>
          </cell>
          <cell r="AK1327">
            <v>0</v>
          </cell>
        </row>
        <row r="1328">
          <cell r="B1328" t="str">
            <v/>
          </cell>
          <cell r="H1328" t="str">
            <v/>
          </cell>
          <cell r="J1328" t="str">
            <v/>
          </cell>
          <cell r="N1328" t="str">
            <v/>
          </cell>
          <cell r="O1328" t="str">
            <v/>
          </cell>
          <cell r="P1328" t="str">
            <v/>
          </cell>
          <cell r="Q1328" t="str">
            <v/>
          </cell>
          <cell r="T1328" t="str">
            <v/>
          </cell>
          <cell r="U1328" t="str">
            <v/>
          </cell>
          <cell r="W1328" t="str">
            <v/>
          </cell>
          <cell r="X1328" t="str">
            <v/>
          </cell>
          <cell r="AB1328">
            <v>0</v>
          </cell>
          <cell r="AC1328">
            <v>0</v>
          </cell>
          <cell r="AD1328">
            <v>0</v>
          </cell>
          <cell r="AJ1328">
            <v>0</v>
          </cell>
          <cell r="AK1328">
            <v>0</v>
          </cell>
        </row>
        <row r="1329">
          <cell r="B1329" t="str">
            <v/>
          </cell>
          <cell r="H1329" t="str">
            <v/>
          </cell>
          <cell r="J1329" t="str">
            <v/>
          </cell>
          <cell r="N1329" t="str">
            <v/>
          </cell>
          <cell r="O1329" t="str">
            <v/>
          </cell>
          <cell r="P1329" t="str">
            <v/>
          </cell>
          <cell r="Q1329" t="str">
            <v/>
          </cell>
          <cell r="T1329" t="str">
            <v/>
          </cell>
          <cell r="U1329" t="str">
            <v/>
          </cell>
          <cell r="W1329" t="str">
            <v/>
          </cell>
          <cell r="X1329" t="str">
            <v/>
          </cell>
          <cell r="AB1329">
            <v>0</v>
          </cell>
          <cell r="AC1329">
            <v>0</v>
          </cell>
          <cell r="AD1329">
            <v>0</v>
          </cell>
          <cell r="AJ1329">
            <v>0</v>
          </cell>
          <cell r="AK1329">
            <v>0</v>
          </cell>
        </row>
        <row r="1330">
          <cell r="B1330" t="str">
            <v/>
          </cell>
          <cell r="H1330" t="str">
            <v/>
          </cell>
          <cell r="J1330" t="str">
            <v/>
          </cell>
          <cell r="N1330" t="str">
            <v/>
          </cell>
          <cell r="O1330" t="str">
            <v/>
          </cell>
          <cell r="P1330" t="str">
            <v/>
          </cell>
          <cell r="Q1330" t="str">
            <v/>
          </cell>
          <cell r="T1330" t="str">
            <v/>
          </cell>
          <cell r="U1330" t="str">
            <v/>
          </cell>
          <cell r="W1330" t="str">
            <v/>
          </cell>
          <cell r="X1330" t="str">
            <v/>
          </cell>
          <cell r="AB1330">
            <v>0</v>
          </cell>
          <cell r="AC1330">
            <v>0</v>
          </cell>
          <cell r="AD1330">
            <v>0</v>
          </cell>
          <cell r="AJ1330">
            <v>0</v>
          </cell>
          <cell r="AK1330">
            <v>0</v>
          </cell>
        </row>
        <row r="1331">
          <cell r="B1331" t="str">
            <v/>
          </cell>
          <cell r="H1331" t="str">
            <v/>
          </cell>
          <cell r="J1331" t="str">
            <v/>
          </cell>
          <cell r="N1331" t="str">
            <v/>
          </cell>
          <cell r="O1331" t="str">
            <v/>
          </cell>
          <cell r="P1331" t="str">
            <v/>
          </cell>
          <cell r="Q1331" t="str">
            <v/>
          </cell>
          <cell r="T1331" t="str">
            <v/>
          </cell>
          <cell r="U1331" t="str">
            <v/>
          </cell>
          <cell r="W1331" t="str">
            <v/>
          </cell>
          <cell r="X1331" t="str">
            <v/>
          </cell>
          <cell r="AB1331">
            <v>0</v>
          </cell>
          <cell r="AC1331">
            <v>0</v>
          </cell>
          <cell r="AD1331">
            <v>0</v>
          </cell>
          <cell r="AJ1331">
            <v>0</v>
          </cell>
          <cell r="AK1331">
            <v>0</v>
          </cell>
        </row>
        <row r="1332">
          <cell r="B1332" t="str">
            <v/>
          </cell>
          <cell r="H1332" t="str">
            <v/>
          </cell>
          <cell r="J1332" t="str">
            <v/>
          </cell>
          <cell r="N1332" t="str">
            <v/>
          </cell>
          <cell r="O1332" t="str">
            <v/>
          </cell>
          <cell r="P1332" t="str">
            <v/>
          </cell>
          <cell r="Q1332" t="str">
            <v/>
          </cell>
          <cell r="T1332" t="str">
            <v/>
          </cell>
          <cell r="U1332" t="str">
            <v/>
          </cell>
          <cell r="W1332" t="str">
            <v/>
          </cell>
          <cell r="X1332" t="str">
            <v/>
          </cell>
          <cell r="AB1332">
            <v>0</v>
          </cell>
          <cell r="AC1332">
            <v>0</v>
          </cell>
          <cell r="AD1332">
            <v>0</v>
          </cell>
          <cell r="AJ1332">
            <v>0</v>
          </cell>
          <cell r="AK1332">
            <v>0</v>
          </cell>
        </row>
        <row r="1333">
          <cell r="B1333" t="str">
            <v/>
          </cell>
          <cell r="H1333" t="str">
            <v/>
          </cell>
          <cell r="J1333" t="str">
            <v/>
          </cell>
          <cell r="N1333" t="str">
            <v/>
          </cell>
          <cell r="O1333" t="str">
            <v/>
          </cell>
          <cell r="P1333" t="str">
            <v/>
          </cell>
          <cell r="Q1333" t="str">
            <v/>
          </cell>
          <cell r="T1333" t="str">
            <v/>
          </cell>
          <cell r="U1333" t="str">
            <v/>
          </cell>
          <cell r="W1333" t="str">
            <v/>
          </cell>
          <cell r="X1333" t="str">
            <v/>
          </cell>
          <cell r="AB1333">
            <v>0</v>
          </cell>
          <cell r="AC1333">
            <v>0</v>
          </cell>
          <cell r="AD1333">
            <v>0</v>
          </cell>
          <cell r="AJ1333">
            <v>0</v>
          </cell>
          <cell r="AK1333">
            <v>0</v>
          </cell>
        </row>
        <row r="1334">
          <cell r="B1334" t="str">
            <v/>
          </cell>
          <cell r="H1334" t="str">
            <v/>
          </cell>
          <cell r="J1334" t="str">
            <v/>
          </cell>
          <cell r="N1334" t="str">
            <v/>
          </cell>
          <cell r="O1334" t="str">
            <v/>
          </cell>
          <cell r="P1334" t="str">
            <v/>
          </cell>
          <cell r="Q1334" t="str">
            <v/>
          </cell>
          <cell r="T1334" t="str">
            <v/>
          </cell>
          <cell r="U1334" t="str">
            <v/>
          </cell>
          <cell r="W1334" t="str">
            <v/>
          </cell>
          <cell r="X1334" t="str">
            <v/>
          </cell>
          <cell r="AB1334">
            <v>0</v>
          </cell>
          <cell r="AC1334">
            <v>0</v>
          </cell>
          <cell r="AD1334">
            <v>0</v>
          </cell>
          <cell r="AJ1334">
            <v>0</v>
          </cell>
          <cell r="AK1334">
            <v>0</v>
          </cell>
        </row>
        <row r="1335">
          <cell r="B1335" t="str">
            <v/>
          </cell>
          <cell r="H1335" t="str">
            <v/>
          </cell>
          <cell r="J1335" t="str">
            <v/>
          </cell>
          <cell r="N1335" t="str">
            <v/>
          </cell>
          <cell r="O1335" t="str">
            <v/>
          </cell>
          <cell r="P1335" t="str">
            <v/>
          </cell>
          <cell r="Q1335" t="str">
            <v/>
          </cell>
          <cell r="T1335" t="str">
            <v/>
          </cell>
          <cell r="U1335" t="str">
            <v/>
          </cell>
          <cell r="W1335" t="str">
            <v/>
          </cell>
          <cell r="X1335" t="str">
            <v/>
          </cell>
          <cell r="AB1335">
            <v>0</v>
          </cell>
          <cell r="AC1335">
            <v>0</v>
          </cell>
          <cell r="AD1335">
            <v>0</v>
          </cell>
          <cell r="AJ1335">
            <v>0</v>
          </cell>
          <cell r="AK1335">
            <v>0</v>
          </cell>
        </row>
        <row r="1336">
          <cell r="B1336" t="str">
            <v/>
          </cell>
          <cell r="H1336" t="str">
            <v/>
          </cell>
          <cell r="J1336" t="str">
            <v/>
          </cell>
          <cell r="N1336" t="str">
            <v/>
          </cell>
          <cell r="O1336" t="str">
            <v/>
          </cell>
          <cell r="P1336" t="str">
            <v/>
          </cell>
          <cell r="Q1336" t="str">
            <v/>
          </cell>
          <cell r="T1336" t="str">
            <v/>
          </cell>
          <cell r="U1336" t="str">
            <v/>
          </cell>
          <cell r="W1336" t="str">
            <v/>
          </cell>
          <cell r="X1336" t="str">
            <v/>
          </cell>
          <cell r="AB1336">
            <v>0</v>
          </cell>
          <cell r="AC1336">
            <v>0</v>
          </cell>
          <cell r="AD1336">
            <v>0</v>
          </cell>
          <cell r="AJ1336">
            <v>0</v>
          </cell>
          <cell r="AK1336">
            <v>0</v>
          </cell>
        </row>
        <row r="1337">
          <cell r="B1337" t="str">
            <v/>
          </cell>
          <cell r="H1337" t="str">
            <v/>
          </cell>
          <cell r="J1337" t="str">
            <v/>
          </cell>
          <cell r="N1337" t="str">
            <v/>
          </cell>
          <cell r="O1337" t="str">
            <v/>
          </cell>
          <cell r="P1337" t="str">
            <v/>
          </cell>
          <cell r="Q1337" t="str">
            <v/>
          </cell>
          <cell r="T1337" t="str">
            <v/>
          </cell>
          <cell r="U1337" t="str">
            <v/>
          </cell>
          <cell r="W1337" t="str">
            <v/>
          </cell>
          <cell r="X1337" t="str">
            <v/>
          </cell>
          <cell r="AB1337">
            <v>0</v>
          </cell>
          <cell r="AC1337">
            <v>0</v>
          </cell>
          <cell r="AD1337">
            <v>0</v>
          </cell>
          <cell r="AJ1337">
            <v>0</v>
          </cell>
          <cell r="AK1337">
            <v>0</v>
          </cell>
        </row>
        <row r="1338">
          <cell r="B1338" t="str">
            <v/>
          </cell>
          <cell r="H1338" t="str">
            <v/>
          </cell>
          <cell r="J1338" t="str">
            <v/>
          </cell>
          <cell r="N1338" t="str">
            <v/>
          </cell>
          <cell r="O1338" t="str">
            <v/>
          </cell>
          <cell r="P1338" t="str">
            <v/>
          </cell>
          <cell r="Q1338" t="str">
            <v/>
          </cell>
          <cell r="T1338" t="str">
            <v/>
          </cell>
          <cell r="U1338" t="str">
            <v/>
          </cell>
          <cell r="W1338" t="str">
            <v/>
          </cell>
          <cell r="X1338" t="str">
            <v/>
          </cell>
          <cell r="AB1338">
            <v>0</v>
          </cell>
          <cell r="AC1338">
            <v>0</v>
          </cell>
          <cell r="AD1338">
            <v>0</v>
          </cell>
          <cell r="AJ1338">
            <v>0</v>
          </cell>
          <cell r="AK1338">
            <v>0</v>
          </cell>
        </row>
        <row r="1339">
          <cell r="B1339" t="str">
            <v/>
          </cell>
          <cell r="H1339" t="str">
            <v/>
          </cell>
          <cell r="J1339" t="str">
            <v/>
          </cell>
          <cell r="N1339" t="str">
            <v/>
          </cell>
          <cell r="O1339" t="str">
            <v/>
          </cell>
          <cell r="P1339" t="str">
            <v/>
          </cell>
          <cell r="Q1339" t="str">
            <v/>
          </cell>
          <cell r="T1339" t="str">
            <v/>
          </cell>
          <cell r="U1339" t="str">
            <v/>
          </cell>
          <cell r="W1339" t="str">
            <v/>
          </cell>
          <cell r="X1339" t="str">
            <v/>
          </cell>
          <cell r="AB1339">
            <v>0</v>
          </cell>
          <cell r="AC1339">
            <v>0</v>
          </cell>
          <cell r="AD1339">
            <v>0</v>
          </cell>
          <cell r="AJ1339">
            <v>0</v>
          </cell>
          <cell r="AK1339">
            <v>0</v>
          </cell>
        </row>
        <row r="1340">
          <cell r="B1340" t="str">
            <v/>
          </cell>
          <cell r="H1340" t="str">
            <v/>
          </cell>
          <cell r="J1340" t="str">
            <v/>
          </cell>
          <cell r="N1340" t="str">
            <v/>
          </cell>
          <cell r="O1340" t="str">
            <v/>
          </cell>
          <cell r="P1340" t="str">
            <v/>
          </cell>
          <cell r="Q1340" t="str">
            <v/>
          </cell>
          <cell r="T1340" t="str">
            <v/>
          </cell>
          <cell r="U1340" t="str">
            <v/>
          </cell>
          <cell r="W1340" t="str">
            <v/>
          </cell>
          <cell r="X1340" t="str">
            <v/>
          </cell>
          <cell r="AB1340">
            <v>0</v>
          </cell>
          <cell r="AC1340">
            <v>0</v>
          </cell>
          <cell r="AD1340">
            <v>0</v>
          </cell>
          <cell r="AJ1340">
            <v>0</v>
          </cell>
          <cell r="AK1340">
            <v>0</v>
          </cell>
        </row>
        <row r="1341">
          <cell r="B1341" t="str">
            <v/>
          </cell>
          <cell r="H1341" t="str">
            <v/>
          </cell>
          <cell r="J1341" t="str">
            <v/>
          </cell>
          <cell r="N1341" t="str">
            <v/>
          </cell>
          <cell r="O1341" t="str">
            <v/>
          </cell>
          <cell r="P1341" t="str">
            <v/>
          </cell>
          <cell r="Q1341" t="str">
            <v/>
          </cell>
          <cell r="T1341" t="str">
            <v/>
          </cell>
          <cell r="U1341" t="str">
            <v/>
          </cell>
          <cell r="W1341" t="str">
            <v/>
          </cell>
          <cell r="X1341" t="str">
            <v/>
          </cell>
          <cell r="AB1341">
            <v>0</v>
          </cell>
          <cell r="AC1341">
            <v>0</v>
          </cell>
          <cell r="AD1341">
            <v>0</v>
          </cell>
          <cell r="AJ1341">
            <v>0</v>
          </cell>
          <cell r="AK1341">
            <v>0</v>
          </cell>
        </row>
        <row r="1342">
          <cell r="B1342" t="str">
            <v/>
          </cell>
          <cell r="H1342" t="str">
            <v/>
          </cell>
          <cell r="J1342" t="str">
            <v/>
          </cell>
          <cell r="N1342" t="str">
            <v/>
          </cell>
          <cell r="O1342" t="str">
            <v/>
          </cell>
          <cell r="P1342" t="str">
            <v/>
          </cell>
          <cell r="Q1342" t="str">
            <v/>
          </cell>
          <cell r="T1342" t="str">
            <v/>
          </cell>
          <cell r="U1342" t="str">
            <v/>
          </cell>
          <cell r="W1342" t="str">
            <v/>
          </cell>
          <cell r="X1342" t="str">
            <v/>
          </cell>
          <cell r="AB1342">
            <v>0</v>
          </cell>
          <cell r="AC1342">
            <v>0</v>
          </cell>
          <cell r="AD1342">
            <v>0</v>
          </cell>
          <cell r="AJ1342">
            <v>0</v>
          </cell>
          <cell r="AK1342">
            <v>0</v>
          </cell>
        </row>
        <row r="1343">
          <cell r="B1343" t="str">
            <v/>
          </cell>
          <cell r="H1343" t="str">
            <v/>
          </cell>
          <cell r="J1343" t="str">
            <v/>
          </cell>
          <cell r="N1343" t="str">
            <v/>
          </cell>
          <cell r="O1343" t="str">
            <v/>
          </cell>
          <cell r="P1343" t="str">
            <v/>
          </cell>
          <cell r="Q1343" t="str">
            <v/>
          </cell>
          <cell r="T1343" t="str">
            <v/>
          </cell>
          <cell r="U1343" t="str">
            <v/>
          </cell>
          <cell r="W1343" t="str">
            <v/>
          </cell>
          <cell r="X1343" t="str">
            <v/>
          </cell>
          <cell r="AB1343">
            <v>0</v>
          </cell>
          <cell r="AC1343">
            <v>0</v>
          </cell>
          <cell r="AD1343">
            <v>0</v>
          </cell>
          <cell r="AJ1343">
            <v>0</v>
          </cell>
          <cell r="AK1343">
            <v>0</v>
          </cell>
        </row>
        <row r="1344">
          <cell r="B1344" t="str">
            <v/>
          </cell>
          <cell r="H1344" t="str">
            <v/>
          </cell>
          <cell r="J1344" t="str">
            <v/>
          </cell>
          <cell r="N1344" t="str">
            <v/>
          </cell>
          <cell r="O1344" t="str">
            <v/>
          </cell>
          <cell r="P1344" t="str">
            <v/>
          </cell>
          <cell r="Q1344" t="str">
            <v/>
          </cell>
          <cell r="T1344" t="str">
            <v/>
          </cell>
          <cell r="U1344" t="str">
            <v/>
          </cell>
          <cell r="W1344" t="str">
            <v/>
          </cell>
          <cell r="X1344" t="str">
            <v/>
          </cell>
          <cell r="AB1344">
            <v>0</v>
          </cell>
          <cell r="AC1344">
            <v>0</v>
          </cell>
          <cell r="AD1344">
            <v>0</v>
          </cell>
          <cell r="AJ1344">
            <v>0</v>
          </cell>
          <cell r="AK1344">
            <v>0</v>
          </cell>
        </row>
        <row r="1345">
          <cell r="B1345" t="str">
            <v/>
          </cell>
          <cell r="H1345" t="str">
            <v/>
          </cell>
          <cell r="J1345" t="str">
            <v/>
          </cell>
          <cell r="N1345" t="str">
            <v/>
          </cell>
          <cell r="O1345" t="str">
            <v/>
          </cell>
          <cell r="P1345" t="str">
            <v/>
          </cell>
          <cell r="Q1345" t="str">
            <v/>
          </cell>
          <cell r="T1345" t="str">
            <v/>
          </cell>
          <cell r="U1345" t="str">
            <v/>
          </cell>
          <cell r="W1345" t="str">
            <v/>
          </cell>
          <cell r="X1345" t="str">
            <v/>
          </cell>
          <cell r="AB1345">
            <v>0</v>
          </cell>
          <cell r="AC1345">
            <v>0</v>
          </cell>
          <cell r="AD1345">
            <v>0</v>
          </cell>
          <cell r="AJ1345">
            <v>0</v>
          </cell>
          <cell r="AK1345">
            <v>0</v>
          </cell>
        </row>
        <row r="1346">
          <cell r="B1346" t="str">
            <v/>
          </cell>
          <cell r="H1346" t="str">
            <v/>
          </cell>
          <cell r="J1346" t="str">
            <v/>
          </cell>
          <cell r="N1346" t="str">
            <v/>
          </cell>
          <cell r="O1346" t="str">
            <v/>
          </cell>
          <cell r="P1346" t="str">
            <v/>
          </cell>
          <cell r="Q1346" t="str">
            <v/>
          </cell>
          <cell r="T1346" t="str">
            <v/>
          </cell>
          <cell r="U1346" t="str">
            <v/>
          </cell>
          <cell r="W1346" t="str">
            <v/>
          </cell>
          <cell r="X1346" t="str">
            <v/>
          </cell>
          <cell r="AB1346">
            <v>0</v>
          </cell>
          <cell r="AC1346">
            <v>0</v>
          </cell>
          <cell r="AD1346">
            <v>0</v>
          </cell>
          <cell r="AJ1346">
            <v>0</v>
          </cell>
          <cell r="AK1346">
            <v>0</v>
          </cell>
        </row>
        <row r="1347">
          <cell r="B1347" t="str">
            <v/>
          </cell>
          <cell r="H1347" t="str">
            <v/>
          </cell>
          <cell r="J1347" t="str">
            <v/>
          </cell>
          <cell r="N1347" t="str">
            <v/>
          </cell>
          <cell r="O1347" t="str">
            <v/>
          </cell>
          <cell r="P1347" t="str">
            <v/>
          </cell>
          <cell r="Q1347" t="str">
            <v/>
          </cell>
          <cell r="T1347" t="str">
            <v/>
          </cell>
          <cell r="U1347" t="str">
            <v/>
          </cell>
          <cell r="W1347" t="str">
            <v/>
          </cell>
          <cell r="X1347" t="str">
            <v/>
          </cell>
          <cell r="AB1347">
            <v>0</v>
          </cell>
          <cell r="AC1347">
            <v>0</v>
          </cell>
          <cell r="AD1347">
            <v>0</v>
          </cell>
          <cell r="AJ1347">
            <v>0</v>
          </cell>
          <cell r="AK1347">
            <v>0</v>
          </cell>
        </row>
        <row r="1348">
          <cell r="B1348" t="str">
            <v/>
          </cell>
          <cell r="H1348" t="str">
            <v/>
          </cell>
          <cell r="J1348" t="str">
            <v/>
          </cell>
          <cell r="N1348" t="str">
            <v/>
          </cell>
          <cell r="O1348" t="str">
            <v/>
          </cell>
          <cell r="P1348" t="str">
            <v/>
          </cell>
          <cell r="Q1348" t="str">
            <v/>
          </cell>
          <cell r="T1348" t="str">
            <v/>
          </cell>
          <cell r="U1348" t="str">
            <v/>
          </cell>
          <cell r="W1348" t="str">
            <v/>
          </cell>
          <cell r="X1348" t="str">
            <v/>
          </cell>
          <cell r="AB1348">
            <v>0</v>
          </cell>
          <cell r="AC1348">
            <v>0</v>
          </cell>
          <cell r="AD1348">
            <v>0</v>
          </cell>
          <cell r="AJ1348">
            <v>0</v>
          </cell>
          <cell r="AK1348">
            <v>0</v>
          </cell>
        </row>
        <row r="1349">
          <cell r="B1349" t="str">
            <v/>
          </cell>
          <cell r="H1349" t="str">
            <v/>
          </cell>
          <cell r="J1349" t="str">
            <v/>
          </cell>
          <cell r="N1349" t="str">
            <v/>
          </cell>
          <cell r="O1349" t="str">
            <v/>
          </cell>
          <cell r="P1349" t="str">
            <v/>
          </cell>
          <cell r="Q1349" t="str">
            <v/>
          </cell>
          <cell r="T1349" t="str">
            <v/>
          </cell>
          <cell r="U1349" t="str">
            <v/>
          </cell>
          <cell r="W1349" t="str">
            <v/>
          </cell>
          <cell r="X1349" t="str">
            <v/>
          </cell>
          <cell r="AB1349">
            <v>0</v>
          </cell>
          <cell r="AC1349">
            <v>0</v>
          </cell>
          <cell r="AD1349">
            <v>0</v>
          </cell>
          <cell r="AJ1349">
            <v>0</v>
          </cell>
          <cell r="AK1349">
            <v>0</v>
          </cell>
        </row>
        <row r="1350">
          <cell r="B1350" t="str">
            <v/>
          </cell>
          <cell r="H1350" t="str">
            <v/>
          </cell>
          <cell r="J1350" t="str">
            <v/>
          </cell>
          <cell r="N1350" t="str">
            <v/>
          </cell>
          <cell r="O1350" t="str">
            <v/>
          </cell>
          <cell r="P1350" t="str">
            <v/>
          </cell>
          <cell r="Q1350" t="str">
            <v/>
          </cell>
          <cell r="T1350" t="str">
            <v/>
          </cell>
          <cell r="U1350" t="str">
            <v/>
          </cell>
          <cell r="W1350" t="str">
            <v/>
          </cell>
          <cell r="X1350" t="str">
            <v/>
          </cell>
          <cell r="AB1350">
            <v>0</v>
          </cell>
          <cell r="AC1350">
            <v>0</v>
          </cell>
          <cell r="AD1350">
            <v>0</v>
          </cell>
          <cell r="AJ1350">
            <v>0</v>
          </cell>
          <cell r="AK1350">
            <v>0</v>
          </cell>
        </row>
        <row r="1351">
          <cell r="B1351" t="str">
            <v/>
          </cell>
          <cell r="H1351" t="str">
            <v/>
          </cell>
          <cell r="J1351" t="str">
            <v/>
          </cell>
          <cell r="N1351" t="str">
            <v/>
          </cell>
          <cell r="O1351" t="str">
            <v/>
          </cell>
          <cell r="P1351" t="str">
            <v/>
          </cell>
          <cell r="Q1351" t="str">
            <v/>
          </cell>
          <cell r="T1351" t="str">
            <v/>
          </cell>
          <cell r="U1351" t="str">
            <v/>
          </cell>
          <cell r="W1351" t="str">
            <v/>
          </cell>
          <cell r="X1351" t="str">
            <v/>
          </cell>
          <cell r="AB1351">
            <v>0</v>
          </cell>
          <cell r="AC1351">
            <v>0</v>
          </cell>
          <cell r="AD1351">
            <v>0</v>
          </cell>
          <cell r="AJ1351">
            <v>0</v>
          </cell>
          <cell r="AK1351">
            <v>0</v>
          </cell>
        </row>
        <row r="1352">
          <cell r="B1352" t="str">
            <v/>
          </cell>
          <cell r="H1352" t="str">
            <v/>
          </cell>
          <cell r="J1352" t="str">
            <v/>
          </cell>
          <cell r="N1352" t="str">
            <v/>
          </cell>
          <cell r="O1352" t="str">
            <v/>
          </cell>
          <cell r="P1352" t="str">
            <v/>
          </cell>
          <cell r="Q1352" t="str">
            <v/>
          </cell>
          <cell r="T1352" t="str">
            <v/>
          </cell>
          <cell r="U1352" t="str">
            <v/>
          </cell>
          <cell r="W1352" t="str">
            <v/>
          </cell>
          <cell r="X1352" t="str">
            <v/>
          </cell>
          <cell r="AB1352">
            <v>0</v>
          </cell>
          <cell r="AC1352">
            <v>0</v>
          </cell>
          <cell r="AD1352">
            <v>0</v>
          </cell>
          <cell r="AJ1352">
            <v>0</v>
          </cell>
          <cell r="AK1352">
            <v>0</v>
          </cell>
        </row>
        <row r="1353">
          <cell r="B1353" t="str">
            <v/>
          </cell>
          <cell r="H1353" t="str">
            <v/>
          </cell>
          <cell r="J1353" t="str">
            <v/>
          </cell>
          <cell r="N1353" t="str">
            <v/>
          </cell>
          <cell r="O1353" t="str">
            <v/>
          </cell>
          <cell r="P1353" t="str">
            <v/>
          </cell>
          <cell r="Q1353" t="str">
            <v/>
          </cell>
          <cell r="T1353" t="str">
            <v/>
          </cell>
          <cell r="U1353" t="str">
            <v/>
          </cell>
          <cell r="W1353" t="str">
            <v/>
          </cell>
          <cell r="X1353" t="str">
            <v/>
          </cell>
          <cell r="AB1353">
            <v>0</v>
          </cell>
          <cell r="AC1353">
            <v>0</v>
          </cell>
          <cell r="AD1353">
            <v>0</v>
          </cell>
          <cell r="AJ1353">
            <v>0</v>
          </cell>
          <cell r="AK1353">
            <v>0</v>
          </cell>
        </row>
        <row r="1354">
          <cell r="B1354" t="str">
            <v/>
          </cell>
          <cell r="H1354" t="str">
            <v/>
          </cell>
          <cell r="J1354" t="str">
            <v/>
          </cell>
          <cell r="N1354" t="str">
            <v/>
          </cell>
          <cell r="O1354" t="str">
            <v/>
          </cell>
          <cell r="P1354" t="str">
            <v/>
          </cell>
          <cell r="Q1354" t="str">
            <v/>
          </cell>
          <cell r="T1354" t="str">
            <v/>
          </cell>
          <cell r="U1354" t="str">
            <v/>
          </cell>
          <cell r="W1354" t="str">
            <v/>
          </cell>
          <cell r="X1354" t="str">
            <v/>
          </cell>
          <cell r="AB1354">
            <v>0</v>
          </cell>
          <cell r="AC1354">
            <v>0</v>
          </cell>
          <cell r="AD1354">
            <v>0</v>
          </cell>
          <cell r="AJ1354">
            <v>0</v>
          </cell>
          <cell r="AK1354">
            <v>0</v>
          </cell>
        </row>
        <row r="1355">
          <cell r="B1355" t="str">
            <v/>
          </cell>
          <cell r="H1355" t="str">
            <v/>
          </cell>
          <cell r="J1355" t="str">
            <v/>
          </cell>
          <cell r="N1355" t="str">
            <v/>
          </cell>
          <cell r="O1355" t="str">
            <v/>
          </cell>
          <cell r="P1355" t="str">
            <v/>
          </cell>
          <cell r="Q1355" t="str">
            <v/>
          </cell>
          <cell r="T1355" t="str">
            <v/>
          </cell>
          <cell r="U1355" t="str">
            <v/>
          </cell>
          <cell r="W1355" t="str">
            <v/>
          </cell>
          <cell r="X1355" t="str">
            <v/>
          </cell>
          <cell r="AB1355">
            <v>0</v>
          </cell>
          <cell r="AC1355">
            <v>0</v>
          </cell>
          <cell r="AD1355">
            <v>0</v>
          </cell>
          <cell r="AJ1355">
            <v>0</v>
          </cell>
          <cell r="AK1355">
            <v>0</v>
          </cell>
        </row>
        <row r="1356">
          <cell r="B1356" t="str">
            <v/>
          </cell>
          <cell r="H1356" t="str">
            <v/>
          </cell>
          <cell r="J1356" t="str">
            <v/>
          </cell>
          <cell r="N1356" t="str">
            <v/>
          </cell>
          <cell r="O1356" t="str">
            <v/>
          </cell>
          <cell r="P1356" t="str">
            <v/>
          </cell>
          <cell r="Q1356" t="str">
            <v/>
          </cell>
          <cell r="T1356" t="str">
            <v/>
          </cell>
          <cell r="U1356" t="str">
            <v/>
          </cell>
          <cell r="W1356" t="str">
            <v/>
          </cell>
          <cell r="X1356" t="str">
            <v/>
          </cell>
          <cell r="AB1356">
            <v>0</v>
          </cell>
          <cell r="AC1356">
            <v>0</v>
          </cell>
          <cell r="AD1356">
            <v>0</v>
          </cell>
          <cell r="AJ1356">
            <v>0</v>
          </cell>
          <cell r="AK1356">
            <v>0</v>
          </cell>
        </row>
        <row r="1357">
          <cell r="B1357" t="str">
            <v/>
          </cell>
          <cell r="H1357" t="str">
            <v/>
          </cell>
          <cell r="J1357" t="str">
            <v/>
          </cell>
          <cell r="N1357" t="str">
            <v/>
          </cell>
          <cell r="O1357" t="str">
            <v/>
          </cell>
          <cell r="P1357" t="str">
            <v/>
          </cell>
          <cell r="Q1357" t="str">
            <v/>
          </cell>
          <cell r="T1357" t="str">
            <v/>
          </cell>
          <cell r="U1357" t="str">
            <v/>
          </cell>
          <cell r="W1357" t="str">
            <v/>
          </cell>
          <cell r="X1357" t="str">
            <v/>
          </cell>
          <cell r="AB1357">
            <v>0</v>
          </cell>
          <cell r="AC1357">
            <v>0</v>
          </cell>
          <cell r="AD1357">
            <v>0</v>
          </cell>
          <cell r="AJ1357">
            <v>0</v>
          </cell>
          <cell r="AK1357">
            <v>0</v>
          </cell>
        </row>
        <row r="1358">
          <cell r="B1358" t="str">
            <v/>
          </cell>
          <cell r="H1358" t="str">
            <v/>
          </cell>
          <cell r="J1358" t="str">
            <v/>
          </cell>
          <cell r="N1358" t="str">
            <v/>
          </cell>
          <cell r="O1358" t="str">
            <v/>
          </cell>
          <cell r="P1358" t="str">
            <v/>
          </cell>
          <cell r="Q1358" t="str">
            <v/>
          </cell>
          <cell r="T1358" t="str">
            <v/>
          </cell>
          <cell r="U1358" t="str">
            <v/>
          </cell>
          <cell r="W1358" t="str">
            <v/>
          </cell>
          <cell r="X1358" t="str">
            <v/>
          </cell>
          <cell r="AB1358">
            <v>0</v>
          </cell>
          <cell r="AC1358">
            <v>0</v>
          </cell>
          <cell r="AD1358">
            <v>0</v>
          </cell>
          <cell r="AJ1358">
            <v>0</v>
          </cell>
          <cell r="AK1358">
            <v>0</v>
          </cell>
        </row>
        <row r="1359">
          <cell r="B1359" t="str">
            <v/>
          </cell>
          <cell r="H1359" t="str">
            <v/>
          </cell>
          <cell r="J1359" t="str">
            <v/>
          </cell>
          <cell r="N1359" t="str">
            <v/>
          </cell>
          <cell r="O1359" t="str">
            <v/>
          </cell>
          <cell r="P1359" t="str">
            <v/>
          </cell>
          <cell r="Q1359" t="str">
            <v/>
          </cell>
          <cell r="T1359" t="str">
            <v/>
          </cell>
          <cell r="U1359" t="str">
            <v/>
          </cell>
          <cell r="W1359" t="str">
            <v/>
          </cell>
          <cell r="X1359" t="str">
            <v/>
          </cell>
          <cell r="AB1359">
            <v>0</v>
          </cell>
          <cell r="AC1359">
            <v>0</v>
          </cell>
          <cell r="AD1359">
            <v>0</v>
          </cell>
          <cell r="AJ1359">
            <v>0</v>
          </cell>
          <cell r="AK1359">
            <v>0</v>
          </cell>
        </row>
        <row r="1360">
          <cell r="B1360" t="str">
            <v/>
          </cell>
          <cell r="H1360" t="str">
            <v/>
          </cell>
          <cell r="J1360" t="str">
            <v/>
          </cell>
          <cell r="N1360" t="str">
            <v/>
          </cell>
          <cell r="O1360" t="str">
            <v/>
          </cell>
          <cell r="P1360" t="str">
            <v/>
          </cell>
          <cell r="Q1360" t="str">
            <v/>
          </cell>
          <cell r="T1360" t="str">
            <v/>
          </cell>
          <cell r="U1360" t="str">
            <v/>
          </cell>
          <cell r="W1360" t="str">
            <v/>
          </cell>
          <cell r="X1360" t="str">
            <v/>
          </cell>
          <cell r="AB1360">
            <v>0</v>
          </cell>
          <cell r="AC1360">
            <v>0</v>
          </cell>
          <cell r="AD1360">
            <v>0</v>
          </cell>
          <cell r="AJ1360">
            <v>0</v>
          </cell>
          <cell r="AK1360">
            <v>0</v>
          </cell>
        </row>
        <row r="1361">
          <cell r="B1361" t="str">
            <v/>
          </cell>
          <cell r="H1361" t="str">
            <v/>
          </cell>
          <cell r="J1361" t="str">
            <v/>
          </cell>
          <cell r="N1361" t="str">
            <v/>
          </cell>
          <cell r="O1361" t="str">
            <v/>
          </cell>
          <cell r="P1361" t="str">
            <v/>
          </cell>
          <cell r="Q1361" t="str">
            <v/>
          </cell>
          <cell r="T1361" t="str">
            <v/>
          </cell>
          <cell r="U1361" t="str">
            <v/>
          </cell>
          <cell r="W1361" t="str">
            <v/>
          </cell>
          <cell r="X1361" t="str">
            <v/>
          </cell>
          <cell r="AB1361">
            <v>0</v>
          </cell>
          <cell r="AC1361">
            <v>0</v>
          </cell>
          <cell r="AD1361">
            <v>0</v>
          </cell>
          <cell r="AJ1361">
            <v>0</v>
          </cell>
          <cell r="AK1361">
            <v>0</v>
          </cell>
        </row>
        <row r="1362">
          <cell r="B1362" t="str">
            <v/>
          </cell>
          <cell r="H1362" t="str">
            <v/>
          </cell>
          <cell r="J1362" t="str">
            <v/>
          </cell>
          <cell r="N1362" t="str">
            <v/>
          </cell>
          <cell r="O1362" t="str">
            <v/>
          </cell>
          <cell r="P1362" t="str">
            <v/>
          </cell>
          <cell r="Q1362" t="str">
            <v/>
          </cell>
          <cell r="T1362" t="str">
            <v/>
          </cell>
          <cell r="U1362" t="str">
            <v/>
          </cell>
          <cell r="W1362" t="str">
            <v/>
          </cell>
          <cell r="X1362" t="str">
            <v/>
          </cell>
          <cell r="AB1362">
            <v>0</v>
          </cell>
          <cell r="AC1362">
            <v>0</v>
          </cell>
          <cell r="AD1362">
            <v>0</v>
          </cell>
          <cell r="AJ1362">
            <v>0</v>
          </cell>
          <cell r="AK1362">
            <v>0</v>
          </cell>
        </row>
        <row r="1363">
          <cell r="B1363" t="str">
            <v/>
          </cell>
          <cell r="H1363" t="str">
            <v/>
          </cell>
          <cell r="J1363" t="str">
            <v/>
          </cell>
          <cell r="N1363" t="str">
            <v/>
          </cell>
          <cell r="O1363" t="str">
            <v/>
          </cell>
          <cell r="P1363" t="str">
            <v/>
          </cell>
          <cell r="Q1363" t="str">
            <v/>
          </cell>
          <cell r="T1363" t="str">
            <v/>
          </cell>
          <cell r="U1363" t="str">
            <v/>
          </cell>
          <cell r="W1363" t="str">
            <v/>
          </cell>
          <cell r="X1363" t="str">
            <v/>
          </cell>
          <cell r="AB1363">
            <v>0</v>
          </cell>
          <cell r="AC1363">
            <v>0</v>
          </cell>
          <cell r="AD1363">
            <v>0</v>
          </cell>
          <cell r="AJ1363">
            <v>0</v>
          </cell>
          <cell r="AK1363">
            <v>0</v>
          </cell>
        </row>
        <row r="1364">
          <cell r="B1364" t="str">
            <v/>
          </cell>
          <cell r="H1364" t="str">
            <v/>
          </cell>
          <cell r="J1364" t="str">
            <v/>
          </cell>
          <cell r="N1364" t="str">
            <v/>
          </cell>
          <cell r="O1364" t="str">
            <v/>
          </cell>
          <cell r="P1364" t="str">
            <v/>
          </cell>
          <cell r="Q1364" t="str">
            <v/>
          </cell>
          <cell r="T1364" t="str">
            <v/>
          </cell>
          <cell r="U1364" t="str">
            <v/>
          </cell>
          <cell r="W1364" t="str">
            <v/>
          </cell>
          <cell r="X1364" t="str">
            <v/>
          </cell>
          <cell r="AB1364">
            <v>0</v>
          </cell>
          <cell r="AC1364">
            <v>0</v>
          </cell>
          <cell r="AD1364">
            <v>0</v>
          </cell>
          <cell r="AJ1364">
            <v>0</v>
          </cell>
          <cell r="AK1364">
            <v>0</v>
          </cell>
        </row>
        <row r="1365">
          <cell r="B1365" t="str">
            <v/>
          </cell>
          <cell r="H1365" t="str">
            <v/>
          </cell>
          <cell r="J1365" t="str">
            <v/>
          </cell>
          <cell r="N1365" t="str">
            <v/>
          </cell>
          <cell r="O1365" t="str">
            <v/>
          </cell>
          <cell r="P1365" t="str">
            <v/>
          </cell>
          <cell r="Q1365" t="str">
            <v/>
          </cell>
          <cell r="T1365" t="str">
            <v/>
          </cell>
          <cell r="U1365" t="str">
            <v/>
          </cell>
          <cell r="W1365" t="str">
            <v/>
          </cell>
          <cell r="X1365" t="str">
            <v/>
          </cell>
          <cell r="AB1365">
            <v>0</v>
          </cell>
          <cell r="AC1365">
            <v>0</v>
          </cell>
          <cell r="AD1365">
            <v>0</v>
          </cell>
          <cell r="AJ1365">
            <v>0</v>
          </cell>
          <cell r="AK1365">
            <v>0</v>
          </cell>
        </row>
        <row r="1366">
          <cell r="B1366" t="str">
            <v/>
          </cell>
          <cell r="H1366" t="str">
            <v/>
          </cell>
          <cell r="J1366" t="str">
            <v/>
          </cell>
          <cell r="N1366" t="str">
            <v/>
          </cell>
          <cell r="O1366" t="str">
            <v/>
          </cell>
          <cell r="P1366" t="str">
            <v/>
          </cell>
          <cell r="Q1366" t="str">
            <v/>
          </cell>
          <cell r="T1366" t="str">
            <v/>
          </cell>
          <cell r="U1366" t="str">
            <v/>
          </cell>
          <cell r="W1366" t="str">
            <v/>
          </cell>
          <cell r="X1366" t="str">
            <v/>
          </cell>
          <cell r="AB1366">
            <v>0</v>
          </cell>
          <cell r="AC1366">
            <v>0</v>
          </cell>
          <cell r="AD1366">
            <v>0</v>
          </cell>
          <cell r="AJ1366">
            <v>0</v>
          </cell>
          <cell r="AK1366">
            <v>0</v>
          </cell>
        </row>
        <row r="1367">
          <cell r="B1367" t="str">
            <v/>
          </cell>
          <cell r="H1367" t="str">
            <v/>
          </cell>
          <cell r="J1367" t="str">
            <v/>
          </cell>
          <cell r="N1367" t="str">
            <v/>
          </cell>
          <cell r="O1367" t="str">
            <v/>
          </cell>
          <cell r="P1367" t="str">
            <v/>
          </cell>
          <cell r="Q1367" t="str">
            <v/>
          </cell>
          <cell r="T1367" t="str">
            <v/>
          </cell>
          <cell r="U1367" t="str">
            <v/>
          </cell>
          <cell r="W1367" t="str">
            <v/>
          </cell>
          <cell r="X1367" t="str">
            <v/>
          </cell>
          <cell r="AB1367">
            <v>0</v>
          </cell>
          <cell r="AC1367">
            <v>0</v>
          </cell>
          <cell r="AD1367">
            <v>0</v>
          </cell>
          <cell r="AJ1367">
            <v>0</v>
          </cell>
          <cell r="AK1367">
            <v>0</v>
          </cell>
        </row>
        <row r="1368">
          <cell r="B1368" t="str">
            <v/>
          </cell>
          <cell r="H1368" t="str">
            <v/>
          </cell>
          <cell r="J1368" t="str">
            <v/>
          </cell>
          <cell r="N1368" t="str">
            <v/>
          </cell>
          <cell r="O1368" t="str">
            <v/>
          </cell>
          <cell r="P1368" t="str">
            <v/>
          </cell>
          <cell r="Q1368" t="str">
            <v/>
          </cell>
          <cell r="T1368" t="str">
            <v/>
          </cell>
          <cell r="U1368" t="str">
            <v/>
          </cell>
          <cell r="W1368" t="str">
            <v/>
          </cell>
          <cell r="X1368" t="str">
            <v/>
          </cell>
          <cell r="AB1368">
            <v>0</v>
          </cell>
          <cell r="AC1368">
            <v>0</v>
          </cell>
          <cell r="AD1368">
            <v>0</v>
          </cell>
          <cell r="AJ1368">
            <v>0</v>
          </cell>
          <cell r="AK1368">
            <v>0</v>
          </cell>
        </row>
        <row r="1369">
          <cell r="B1369" t="str">
            <v/>
          </cell>
          <cell r="H1369" t="str">
            <v/>
          </cell>
          <cell r="J1369" t="str">
            <v/>
          </cell>
          <cell r="N1369" t="str">
            <v/>
          </cell>
          <cell r="O1369" t="str">
            <v/>
          </cell>
          <cell r="P1369" t="str">
            <v/>
          </cell>
          <cell r="Q1369" t="str">
            <v/>
          </cell>
          <cell r="T1369" t="str">
            <v/>
          </cell>
          <cell r="U1369" t="str">
            <v/>
          </cell>
          <cell r="W1369" t="str">
            <v/>
          </cell>
          <cell r="X1369" t="str">
            <v/>
          </cell>
          <cell r="AB1369">
            <v>0</v>
          </cell>
          <cell r="AC1369">
            <v>0</v>
          </cell>
          <cell r="AD1369">
            <v>0</v>
          </cell>
          <cell r="AJ1369">
            <v>0</v>
          </cell>
          <cell r="AK1369">
            <v>0</v>
          </cell>
        </row>
        <row r="1370">
          <cell r="B1370" t="str">
            <v/>
          </cell>
          <cell r="H1370" t="str">
            <v/>
          </cell>
          <cell r="J1370" t="str">
            <v/>
          </cell>
          <cell r="N1370" t="str">
            <v/>
          </cell>
          <cell r="O1370" t="str">
            <v/>
          </cell>
          <cell r="P1370" t="str">
            <v/>
          </cell>
          <cell r="Q1370" t="str">
            <v/>
          </cell>
          <cell r="T1370" t="str">
            <v/>
          </cell>
          <cell r="U1370" t="str">
            <v/>
          </cell>
          <cell r="W1370" t="str">
            <v/>
          </cell>
          <cell r="X1370" t="str">
            <v/>
          </cell>
          <cell r="AB1370">
            <v>0</v>
          </cell>
          <cell r="AC1370">
            <v>0</v>
          </cell>
          <cell r="AD1370">
            <v>0</v>
          </cell>
          <cell r="AJ1370">
            <v>0</v>
          </cell>
          <cell r="AK1370">
            <v>0</v>
          </cell>
        </row>
        <row r="1371">
          <cell r="B1371" t="str">
            <v/>
          </cell>
          <cell r="H1371" t="str">
            <v/>
          </cell>
          <cell r="J1371" t="str">
            <v/>
          </cell>
          <cell r="N1371" t="str">
            <v/>
          </cell>
          <cell r="O1371" t="str">
            <v/>
          </cell>
          <cell r="P1371" t="str">
            <v/>
          </cell>
          <cell r="Q1371" t="str">
            <v/>
          </cell>
          <cell r="T1371" t="str">
            <v/>
          </cell>
          <cell r="U1371" t="str">
            <v/>
          </cell>
          <cell r="W1371" t="str">
            <v/>
          </cell>
          <cell r="X1371" t="str">
            <v/>
          </cell>
          <cell r="AB1371">
            <v>0</v>
          </cell>
          <cell r="AC1371">
            <v>0</v>
          </cell>
          <cell r="AD1371">
            <v>0</v>
          </cell>
          <cell r="AJ1371">
            <v>0</v>
          </cell>
          <cell r="AK1371">
            <v>0</v>
          </cell>
        </row>
        <row r="1372">
          <cell r="B1372" t="str">
            <v/>
          </cell>
          <cell r="H1372" t="str">
            <v/>
          </cell>
          <cell r="J1372" t="str">
            <v/>
          </cell>
          <cell r="N1372" t="str">
            <v/>
          </cell>
          <cell r="O1372" t="str">
            <v/>
          </cell>
          <cell r="P1372" t="str">
            <v/>
          </cell>
          <cell r="Q1372" t="str">
            <v/>
          </cell>
          <cell r="T1372" t="str">
            <v/>
          </cell>
          <cell r="U1372" t="str">
            <v/>
          </cell>
          <cell r="W1372" t="str">
            <v/>
          </cell>
          <cell r="X1372" t="str">
            <v/>
          </cell>
          <cell r="AB1372">
            <v>0</v>
          </cell>
          <cell r="AC1372">
            <v>0</v>
          </cell>
          <cell r="AD1372">
            <v>0</v>
          </cell>
          <cell r="AJ1372">
            <v>0</v>
          </cell>
          <cell r="AK1372">
            <v>0</v>
          </cell>
        </row>
        <row r="1373">
          <cell r="B1373" t="str">
            <v/>
          </cell>
          <cell r="H1373" t="str">
            <v/>
          </cell>
          <cell r="J1373" t="str">
            <v/>
          </cell>
          <cell r="N1373" t="str">
            <v/>
          </cell>
          <cell r="O1373" t="str">
            <v/>
          </cell>
          <cell r="P1373" t="str">
            <v/>
          </cell>
          <cell r="Q1373" t="str">
            <v/>
          </cell>
          <cell r="T1373" t="str">
            <v/>
          </cell>
          <cell r="U1373" t="str">
            <v/>
          </cell>
          <cell r="W1373" t="str">
            <v/>
          </cell>
          <cell r="X1373" t="str">
            <v/>
          </cell>
          <cell r="AB1373">
            <v>0</v>
          </cell>
          <cell r="AC1373">
            <v>0</v>
          </cell>
          <cell r="AD1373">
            <v>0</v>
          </cell>
          <cell r="AJ1373">
            <v>0</v>
          </cell>
          <cell r="AK1373">
            <v>0</v>
          </cell>
        </row>
        <row r="1374">
          <cell r="B1374" t="str">
            <v/>
          </cell>
          <cell r="H1374" t="str">
            <v/>
          </cell>
          <cell r="J1374" t="str">
            <v/>
          </cell>
          <cell r="N1374" t="str">
            <v/>
          </cell>
          <cell r="O1374" t="str">
            <v/>
          </cell>
          <cell r="P1374" t="str">
            <v/>
          </cell>
          <cell r="Q1374" t="str">
            <v/>
          </cell>
          <cell r="T1374" t="str">
            <v/>
          </cell>
          <cell r="U1374" t="str">
            <v/>
          </cell>
          <cell r="W1374" t="str">
            <v/>
          </cell>
          <cell r="X1374" t="str">
            <v/>
          </cell>
          <cell r="AB1374">
            <v>0</v>
          </cell>
          <cell r="AC1374">
            <v>0</v>
          </cell>
          <cell r="AD1374">
            <v>0</v>
          </cell>
          <cell r="AJ1374">
            <v>0</v>
          </cell>
          <cell r="AK1374">
            <v>0</v>
          </cell>
        </row>
        <row r="1375">
          <cell r="B1375" t="str">
            <v/>
          </cell>
          <cell r="H1375" t="str">
            <v/>
          </cell>
          <cell r="J1375" t="str">
            <v/>
          </cell>
          <cell r="N1375" t="str">
            <v/>
          </cell>
          <cell r="O1375" t="str">
            <v/>
          </cell>
          <cell r="P1375" t="str">
            <v/>
          </cell>
          <cell r="Q1375" t="str">
            <v/>
          </cell>
          <cell r="T1375" t="str">
            <v/>
          </cell>
          <cell r="U1375" t="str">
            <v/>
          </cell>
          <cell r="W1375" t="str">
            <v/>
          </cell>
          <cell r="X1375" t="str">
            <v/>
          </cell>
          <cell r="AB1375">
            <v>0</v>
          </cell>
          <cell r="AC1375">
            <v>0</v>
          </cell>
          <cell r="AD1375">
            <v>0</v>
          </cell>
          <cell r="AJ1375">
            <v>0</v>
          </cell>
          <cell r="AK1375">
            <v>0</v>
          </cell>
        </row>
        <row r="1376">
          <cell r="B1376" t="str">
            <v/>
          </cell>
          <cell r="H1376" t="str">
            <v/>
          </cell>
          <cell r="J1376" t="str">
            <v/>
          </cell>
          <cell r="N1376" t="str">
            <v/>
          </cell>
          <cell r="O1376" t="str">
            <v/>
          </cell>
          <cell r="P1376" t="str">
            <v/>
          </cell>
          <cell r="Q1376" t="str">
            <v/>
          </cell>
          <cell r="T1376" t="str">
            <v/>
          </cell>
          <cell r="U1376" t="str">
            <v/>
          </cell>
          <cell r="W1376" t="str">
            <v/>
          </cell>
          <cell r="X1376" t="str">
            <v/>
          </cell>
          <cell r="AB1376">
            <v>0</v>
          </cell>
          <cell r="AC1376">
            <v>0</v>
          </cell>
          <cell r="AD1376">
            <v>0</v>
          </cell>
          <cell r="AJ1376">
            <v>0</v>
          </cell>
          <cell r="AK1376">
            <v>0</v>
          </cell>
        </row>
        <row r="1377">
          <cell r="B1377" t="str">
            <v/>
          </cell>
          <cell r="H1377" t="str">
            <v/>
          </cell>
          <cell r="J1377" t="str">
            <v/>
          </cell>
          <cell r="N1377" t="str">
            <v/>
          </cell>
          <cell r="O1377" t="str">
            <v/>
          </cell>
          <cell r="P1377" t="str">
            <v/>
          </cell>
          <cell r="Q1377" t="str">
            <v/>
          </cell>
          <cell r="T1377" t="str">
            <v/>
          </cell>
          <cell r="U1377" t="str">
            <v/>
          </cell>
          <cell r="W1377" t="str">
            <v/>
          </cell>
          <cell r="X1377" t="str">
            <v/>
          </cell>
          <cell r="AB1377">
            <v>0</v>
          </cell>
          <cell r="AC1377">
            <v>0</v>
          </cell>
          <cell r="AD1377">
            <v>0</v>
          </cell>
          <cell r="AJ1377">
            <v>0</v>
          </cell>
          <cell r="AK1377">
            <v>0</v>
          </cell>
        </row>
        <row r="1378">
          <cell r="B1378" t="str">
            <v/>
          </cell>
          <cell r="H1378" t="str">
            <v/>
          </cell>
          <cell r="J1378" t="str">
            <v/>
          </cell>
          <cell r="N1378" t="str">
            <v/>
          </cell>
          <cell r="O1378" t="str">
            <v/>
          </cell>
          <cell r="P1378" t="str">
            <v/>
          </cell>
          <cell r="Q1378" t="str">
            <v/>
          </cell>
          <cell r="T1378" t="str">
            <v/>
          </cell>
          <cell r="U1378" t="str">
            <v/>
          </cell>
          <cell r="W1378" t="str">
            <v/>
          </cell>
          <cell r="X1378" t="str">
            <v/>
          </cell>
          <cell r="AB1378">
            <v>0</v>
          </cell>
          <cell r="AC1378">
            <v>0</v>
          </cell>
          <cell r="AD1378">
            <v>0</v>
          </cell>
          <cell r="AJ1378">
            <v>0</v>
          </cell>
          <cell r="AK1378">
            <v>0</v>
          </cell>
        </row>
        <row r="1379">
          <cell r="B1379" t="str">
            <v/>
          </cell>
          <cell r="H1379" t="str">
            <v/>
          </cell>
          <cell r="J1379" t="str">
            <v/>
          </cell>
          <cell r="N1379" t="str">
            <v/>
          </cell>
          <cell r="O1379" t="str">
            <v/>
          </cell>
          <cell r="P1379" t="str">
            <v/>
          </cell>
          <cell r="Q1379" t="str">
            <v/>
          </cell>
          <cell r="T1379" t="str">
            <v/>
          </cell>
          <cell r="U1379" t="str">
            <v/>
          </cell>
          <cell r="W1379" t="str">
            <v/>
          </cell>
          <cell r="X1379" t="str">
            <v/>
          </cell>
          <cell r="AB1379">
            <v>0</v>
          </cell>
          <cell r="AC1379">
            <v>0</v>
          </cell>
          <cell r="AD1379">
            <v>0</v>
          </cell>
          <cell r="AJ1379">
            <v>0</v>
          </cell>
          <cell r="AK1379">
            <v>0</v>
          </cell>
        </row>
        <row r="1380">
          <cell r="B1380" t="str">
            <v/>
          </cell>
          <cell r="H1380" t="str">
            <v/>
          </cell>
          <cell r="J1380" t="str">
            <v/>
          </cell>
          <cell r="N1380" t="str">
            <v/>
          </cell>
          <cell r="O1380" t="str">
            <v/>
          </cell>
          <cell r="P1380" t="str">
            <v/>
          </cell>
          <cell r="Q1380" t="str">
            <v/>
          </cell>
          <cell r="T1380" t="str">
            <v/>
          </cell>
          <cell r="U1380" t="str">
            <v/>
          </cell>
          <cell r="W1380" t="str">
            <v/>
          </cell>
          <cell r="X1380" t="str">
            <v/>
          </cell>
          <cell r="AB1380">
            <v>0</v>
          </cell>
          <cell r="AC1380">
            <v>0</v>
          </cell>
          <cell r="AD1380">
            <v>0</v>
          </cell>
          <cell r="AJ1380">
            <v>0</v>
          </cell>
          <cell r="AK1380">
            <v>0</v>
          </cell>
        </row>
        <row r="1381">
          <cell r="B1381" t="str">
            <v/>
          </cell>
          <cell r="H1381" t="str">
            <v/>
          </cell>
          <cell r="J1381" t="str">
            <v/>
          </cell>
          <cell r="N1381" t="str">
            <v/>
          </cell>
          <cell r="O1381" t="str">
            <v/>
          </cell>
          <cell r="P1381" t="str">
            <v/>
          </cell>
          <cell r="Q1381" t="str">
            <v/>
          </cell>
          <cell r="T1381" t="str">
            <v/>
          </cell>
          <cell r="U1381" t="str">
            <v/>
          </cell>
          <cell r="W1381" t="str">
            <v/>
          </cell>
          <cell r="X1381" t="str">
            <v/>
          </cell>
          <cell r="AB1381">
            <v>0</v>
          </cell>
          <cell r="AC1381">
            <v>0</v>
          </cell>
          <cell r="AD1381">
            <v>0</v>
          </cell>
          <cell r="AJ1381">
            <v>0</v>
          </cell>
          <cell r="AK1381">
            <v>0</v>
          </cell>
        </row>
        <row r="1382">
          <cell r="B1382" t="str">
            <v/>
          </cell>
          <cell r="H1382" t="str">
            <v/>
          </cell>
          <cell r="J1382" t="str">
            <v/>
          </cell>
          <cell r="N1382" t="str">
            <v/>
          </cell>
          <cell r="O1382" t="str">
            <v/>
          </cell>
          <cell r="P1382" t="str">
            <v/>
          </cell>
          <cell r="Q1382" t="str">
            <v/>
          </cell>
          <cell r="T1382" t="str">
            <v/>
          </cell>
          <cell r="U1382" t="str">
            <v/>
          </cell>
          <cell r="W1382" t="str">
            <v/>
          </cell>
          <cell r="X1382" t="str">
            <v/>
          </cell>
          <cell r="AB1382">
            <v>0</v>
          </cell>
          <cell r="AC1382">
            <v>0</v>
          </cell>
          <cell r="AD1382">
            <v>0</v>
          </cell>
          <cell r="AJ1382">
            <v>0</v>
          </cell>
          <cell r="AK1382">
            <v>0</v>
          </cell>
        </row>
        <row r="1383">
          <cell r="B1383" t="str">
            <v/>
          </cell>
          <cell r="H1383" t="str">
            <v/>
          </cell>
          <cell r="J1383" t="str">
            <v/>
          </cell>
          <cell r="N1383" t="str">
            <v/>
          </cell>
          <cell r="O1383" t="str">
            <v/>
          </cell>
          <cell r="P1383" t="str">
            <v/>
          </cell>
          <cell r="Q1383" t="str">
            <v/>
          </cell>
          <cell r="T1383" t="str">
            <v/>
          </cell>
          <cell r="U1383" t="str">
            <v/>
          </cell>
          <cell r="W1383" t="str">
            <v/>
          </cell>
          <cell r="X1383" t="str">
            <v/>
          </cell>
          <cell r="AB1383">
            <v>0</v>
          </cell>
          <cell r="AC1383">
            <v>0</v>
          </cell>
          <cell r="AD1383">
            <v>0</v>
          </cell>
          <cell r="AJ1383">
            <v>0</v>
          </cell>
          <cell r="AK1383">
            <v>0</v>
          </cell>
        </row>
        <row r="1384">
          <cell r="B1384" t="str">
            <v/>
          </cell>
          <cell r="H1384" t="str">
            <v/>
          </cell>
          <cell r="J1384" t="str">
            <v/>
          </cell>
          <cell r="N1384" t="str">
            <v/>
          </cell>
          <cell r="O1384" t="str">
            <v/>
          </cell>
          <cell r="P1384" t="str">
            <v/>
          </cell>
          <cell r="Q1384" t="str">
            <v/>
          </cell>
          <cell r="T1384" t="str">
            <v/>
          </cell>
          <cell r="U1384" t="str">
            <v/>
          </cell>
          <cell r="W1384" t="str">
            <v/>
          </cell>
          <cell r="X1384" t="str">
            <v/>
          </cell>
          <cell r="AB1384">
            <v>0</v>
          </cell>
          <cell r="AC1384">
            <v>0</v>
          </cell>
          <cell r="AD1384">
            <v>0</v>
          </cell>
          <cell r="AJ1384">
            <v>0</v>
          </cell>
          <cell r="AK1384">
            <v>0</v>
          </cell>
        </row>
        <row r="1385">
          <cell r="B1385" t="str">
            <v/>
          </cell>
          <cell r="H1385" t="str">
            <v/>
          </cell>
          <cell r="J1385" t="str">
            <v/>
          </cell>
          <cell r="N1385" t="str">
            <v/>
          </cell>
          <cell r="O1385" t="str">
            <v/>
          </cell>
          <cell r="P1385" t="str">
            <v/>
          </cell>
          <cell r="Q1385" t="str">
            <v/>
          </cell>
          <cell r="T1385" t="str">
            <v/>
          </cell>
          <cell r="U1385" t="str">
            <v/>
          </cell>
          <cell r="W1385" t="str">
            <v/>
          </cell>
          <cell r="X1385" t="str">
            <v/>
          </cell>
          <cell r="AB1385">
            <v>0</v>
          </cell>
          <cell r="AC1385">
            <v>0</v>
          </cell>
          <cell r="AD1385">
            <v>0</v>
          </cell>
          <cell r="AJ1385">
            <v>0</v>
          </cell>
          <cell r="AK1385">
            <v>0</v>
          </cell>
        </row>
        <row r="1386">
          <cell r="B1386" t="str">
            <v/>
          </cell>
          <cell r="H1386" t="str">
            <v/>
          </cell>
          <cell r="J1386" t="str">
            <v/>
          </cell>
          <cell r="N1386" t="str">
            <v/>
          </cell>
          <cell r="O1386" t="str">
            <v/>
          </cell>
          <cell r="P1386" t="str">
            <v/>
          </cell>
          <cell r="Q1386" t="str">
            <v/>
          </cell>
          <cell r="T1386" t="str">
            <v/>
          </cell>
          <cell r="U1386" t="str">
            <v/>
          </cell>
          <cell r="W1386" t="str">
            <v/>
          </cell>
          <cell r="X1386" t="str">
            <v/>
          </cell>
          <cell r="AB1386">
            <v>0</v>
          </cell>
          <cell r="AC1386">
            <v>0</v>
          </cell>
          <cell r="AD1386">
            <v>0</v>
          </cell>
          <cell r="AJ1386">
            <v>0</v>
          </cell>
          <cell r="AK1386">
            <v>0</v>
          </cell>
        </row>
        <row r="1387">
          <cell r="B1387" t="str">
            <v/>
          </cell>
          <cell r="H1387" t="str">
            <v/>
          </cell>
          <cell r="J1387" t="str">
            <v/>
          </cell>
          <cell r="N1387" t="str">
            <v/>
          </cell>
          <cell r="O1387" t="str">
            <v/>
          </cell>
          <cell r="P1387" t="str">
            <v/>
          </cell>
          <cell r="Q1387" t="str">
            <v/>
          </cell>
          <cell r="T1387" t="str">
            <v/>
          </cell>
          <cell r="U1387" t="str">
            <v/>
          </cell>
          <cell r="W1387" t="str">
            <v/>
          </cell>
          <cell r="X1387" t="str">
            <v/>
          </cell>
          <cell r="AB1387">
            <v>0</v>
          </cell>
          <cell r="AC1387">
            <v>0</v>
          </cell>
          <cell r="AD1387">
            <v>0</v>
          </cell>
          <cell r="AJ1387">
            <v>0</v>
          </cell>
          <cell r="AK1387">
            <v>0</v>
          </cell>
        </row>
        <row r="1388">
          <cell r="B1388" t="str">
            <v/>
          </cell>
          <cell r="H1388" t="str">
            <v/>
          </cell>
          <cell r="J1388" t="str">
            <v/>
          </cell>
          <cell r="N1388" t="str">
            <v/>
          </cell>
          <cell r="O1388" t="str">
            <v/>
          </cell>
          <cell r="P1388" t="str">
            <v/>
          </cell>
          <cell r="Q1388" t="str">
            <v/>
          </cell>
          <cell r="T1388" t="str">
            <v/>
          </cell>
          <cell r="U1388" t="str">
            <v/>
          </cell>
          <cell r="W1388" t="str">
            <v/>
          </cell>
          <cell r="X1388" t="str">
            <v/>
          </cell>
          <cell r="AB1388">
            <v>0</v>
          </cell>
          <cell r="AC1388">
            <v>0</v>
          </cell>
          <cell r="AD1388">
            <v>0</v>
          </cell>
          <cell r="AJ1388">
            <v>0</v>
          </cell>
          <cell r="AK1388">
            <v>0</v>
          </cell>
        </row>
        <row r="1389">
          <cell r="B1389" t="str">
            <v/>
          </cell>
          <cell r="H1389" t="str">
            <v/>
          </cell>
          <cell r="J1389" t="str">
            <v/>
          </cell>
          <cell r="N1389" t="str">
            <v/>
          </cell>
          <cell r="O1389" t="str">
            <v/>
          </cell>
          <cell r="P1389" t="str">
            <v/>
          </cell>
          <cell r="Q1389" t="str">
            <v/>
          </cell>
          <cell r="T1389" t="str">
            <v/>
          </cell>
          <cell r="U1389" t="str">
            <v/>
          </cell>
          <cell r="W1389" t="str">
            <v/>
          </cell>
          <cell r="X1389" t="str">
            <v/>
          </cell>
          <cell r="AB1389">
            <v>0</v>
          </cell>
          <cell r="AC1389">
            <v>0</v>
          </cell>
          <cell r="AD1389">
            <v>0</v>
          </cell>
          <cell r="AJ1389">
            <v>0</v>
          </cell>
          <cell r="AK1389">
            <v>0</v>
          </cell>
        </row>
        <row r="1390">
          <cell r="B1390" t="str">
            <v/>
          </cell>
          <cell r="H1390" t="str">
            <v/>
          </cell>
          <cell r="J1390" t="str">
            <v/>
          </cell>
          <cell r="N1390" t="str">
            <v/>
          </cell>
          <cell r="O1390" t="str">
            <v/>
          </cell>
          <cell r="P1390" t="str">
            <v/>
          </cell>
          <cell r="Q1390" t="str">
            <v/>
          </cell>
          <cell r="T1390" t="str">
            <v/>
          </cell>
          <cell r="U1390" t="str">
            <v/>
          </cell>
          <cell r="W1390" t="str">
            <v/>
          </cell>
          <cell r="X1390" t="str">
            <v/>
          </cell>
          <cell r="AB1390">
            <v>0</v>
          </cell>
          <cell r="AC1390">
            <v>0</v>
          </cell>
          <cell r="AD1390">
            <v>0</v>
          </cell>
          <cell r="AJ1390">
            <v>0</v>
          </cell>
          <cell r="AK1390">
            <v>0</v>
          </cell>
        </row>
        <row r="1391">
          <cell r="B1391" t="str">
            <v/>
          </cell>
          <cell r="H1391" t="str">
            <v/>
          </cell>
          <cell r="J1391" t="str">
            <v/>
          </cell>
          <cell r="N1391" t="str">
            <v/>
          </cell>
          <cell r="O1391" t="str">
            <v/>
          </cell>
          <cell r="P1391" t="str">
            <v/>
          </cell>
          <cell r="Q1391" t="str">
            <v/>
          </cell>
          <cell r="T1391" t="str">
            <v/>
          </cell>
          <cell r="U1391" t="str">
            <v/>
          </cell>
          <cell r="W1391" t="str">
            <v/>
          </cell>
          <cell r="X1391" t="str">
            <v/>
          </cell>
          <cell r="AB1391">
            <v>0</v>
          </cell>
          <cell r="AC1391">
            <v>0</v>
          </cell>
          <cell r="AD1391">
            <v>0</v>
          </cell>
          <cell r="AJ1391">
            <v>0</v>
          </cell>
          <cell r="AK1391">
            <v>0</v>
          </cell>
        </row>
        <row r="1392">
          <cell r="B1392" t="str">
            <v/>
          </cell>
          <cell r="H1392" t="str">
            <v/>
          </cell>
          <cell r="J1392" t="str">
            <v/>
          </cell>
          <cell r="N1392" t="str">
            <v/>
          </cell>
          <cell r="O1392" t="str">
            <v/>
          </cell>
          <cell r="P1392" t="str">
            <v/>
          </cell>
          <cell r="Q1392" t="str">
            <v/>
          </cell>
          <cell r="T1392" t="str">
            <v/>
          </cell>
          <cell r="U1392" t="str">
            <v/>
          </cell>
          <cell r="W1392" t="str">
            <v/>
          </cell>
          <cell r="X1392" t="str">
            <v/>
          </cell>
          <cell r="AB1392">
            <v>0</v>
          </cell>
          <cell r="AC1392">
            <v>0</v>
          </cell>
          <cell r="AD1392">
            <v>0</v>
          </cell>
          <cell r="AJ1392">
            <v>0</v>
          </cell>
          <cell r="AK1392">
            <v>0</v>
          </cell>
        </row>
        <row r="1393">
          <cell r="B1393" t="str">
            <v/>
          </cell>
          <cell r="H1393" t="str">
            <v/>
          </cell>
          <cell r="J1393" t="str">
            <v/>
          </cell>
          <cell r="N1393" t="str">
            <v/>
          </cell>
          <cell r="O1393" t="str">
            <v/>
          </cell>
          <cell r="P1393" t="str">
            <v/>
          </cell>
          <cell r="Q1393" t="str">
            <v/>
          </cell>
          <cell r="T1393" t="str">
            <v/>
          </cell>
          <cell r="U1393" t="str">
            <v/>
          </cell>
          <cell r="W1393" t="str">
            <v/>
          </cell>
          <cell r="X1393" t="str">
            <v/>
          </cell>
          <cell r="AB1393">
            <v>0</v>
          </cell>
          <cell r="AC1393">
            <v>0</v>
          </cell>
          <cell r="AD1393">
            <v>0</v>
          </cell>
          <cell r="AJ1393">
            <v>0</v>
          </cell>
          <cell r="AK1393">
            <v>0</v>
          </cell>
        </row>
        <row r="1394">
          <cell r="B1394" t="str">
            <v/>
          </cell>
          <cell r="H1394" t="str">
            <v/>
          </cell>
          <cell r="J1394" t="str">
            <v/>
          </cell>
          <cell r="N1394" t="str">
            <v/>
          </cell>
          <cell r="O1394" t="str">
            <v/>
          </cell>
          <cell r="P1394" t="str">
            <v/>
          </cell>
          <cell r="Q1394" t="str">
            <v/>
          </cell>
          <cell r="T1394" t="str">
            <v/>
          </cell>
          <cell r="U1394" t="str">
            <v/>
          </cell>
          <cell r="W1394" t="str">
            <v/>
          </cell>
          <cell r="X1394" t="str">
            <v/>
          </cell>
          <cell r="AB1394">
            <v>0</v>
          </cell>
          <cell r="AC1394">
            <v>0</v>
          </cell>
          <cell r="AD1394">
            <v>0</v>
          </cell>
          <cell r="AJ1394">
            <v>0</v>
          </cell>
          <cell r="AK1394">
            <v>0</v>
          </cell>
        </row>
        <row r="1395">
          <cell r="B1395" t="str">
            <v/>
          </cell>
          <cell r="H1395" t="str">
            <v/>
          </cell>
          <cell r="J1395" t="str">
            <v/>
          </cell>
          <cell r="N1395" t="str">
            <v/>
          </cell>
          <cell r="O1395" t="str">
            <v/>
          </cell>
          <cell r="P1395" t="str">
            <v/>
          </cell>
          <cell r="Q1395" t="str">
            <v/>
          </cell>
          <cell r="T1395" t="str">
            <v/>
          </cell>
          <cell r="U1395" t="str">
            <v/>
          </cell>
          <cell r="W1395" t="str">
            <v/>
          </cell>
          <cell r="X1395" t="str">
            <v/>
          </cell>
          <cell r="AB1395">
            <v>0</v>
          </cell>
          <cell r="AC1395">
            <v>0</v>
          </cell>
          <cell r="AD1395">
            <v>0</v>
          </cell>
          <cell r="AJ1395">
            <v>0</v>
          </cell>
          <cell r="AK1395">
            <v>0</v>
          </cell>
        </row>
        <row r="1396">
          <cell r="B1396" t="str">
            <v/>
          </cell>
          <cell r="H1396" t="str">
            <v/>
          </cell>
          <cell r="J1396" t="str">
            <v/>
          </cell>
          <cell r="N1396" t="str">
            <v/>
          </cell>
          <cell r="O1396" t="str">
            <v/>
          </cell>
          <cell r="P1396" t="str">
            <v/>
          </cell>
          <cell r="Q1396" t="str">
            <v/>
          </cell>
          <cell r="T1396" t="str">
            <v/>
          </cell>
          <cell r="U1396" t="str">
            <v/>
          </cell>
          <cell r="W1396" t="str">
            <v/>
          </cell>
          <cell r="X1396" t="str">
            <v/>
          </cell>
          <cell r="AB1396">
            <v>0</v>
          </cell>
          <cell r="AC1396">
            <v>0</v>
          </cell>
          <cell r="AD1396">
            <v>0</v>
          </cell>
          <cell r="AJ1396">
            <v>0</v>
          </cell>
          <cell r="AK1396">
            <v>0</v>
          </cell>
        </row>
        <row r="1397">
          <cell r="B1397" t="str">
            <v/>
          </cell>
          <cell r="H1397" t="str">
            <v/>
          </cell>
          <cell r="J1397" t="str">
            <v/>
          </cell>
          <cell r="N1397" t="str">
            <v/>
          </cell>
          <cell r="O1397" t="str">
            <v/>
          </cell>
          <cell r="P1397" t="str">
            <v/>
          </cell>
          <cell r="Q1397" t="str">
            <v/>
          </cell>
          <cell r="T1397" t="str">
            <v/>
          </cell>
          <cell r="U1397" t="str">
            <v/>
          </cell>
          <cell r="W1397" t="str">
            <v/>
          </cell>
          <cell r="X1397" t="str">
            <v/>
          </cell>
          <cell r="AB1397">
            <v>0</v>
          </cell>
          <cell r="AC1397">
            <v>0</v>
          </cell>
          <cell r="AD1397">
            <v>0</v>
          </cell>
          <cell r="AJ1397">
            <v>0</v>
          </cell>
          <cell r="AK1397">
            <v>0</v>
          </cell>
        </row>
        <row r="1398">
          <cell r="B1398" t="str">
            <v/>
          </cell>
          <cell r="H1398" t="str">
            <v/>
          </cell>
          <cell r="J1398" t="str">
            <v/>
          </cell>
          <cell r="N1398" t="str">
            <v/>
          </cell>
          <cell r="O1398" t="str">
            <v/>
          </cell>
          <cell r="P1398" t="str">
            <v/>
          </cell>
          <cell r="Q1398" t="str">
            <v/>
          </cell>
          <cell r="T1398" t="str">
            <v/>
          </cell>
          <cell r="U1398" t="str">
            <v/>
          </cell>
          <cell r="W1398" t="str">
            <v/>
          </cell>
          <cell r="X1398" t="str">
            <v/>
          </cell>
          <cell r="AB1398">
            <v>0</v>
          </cell>
          <cell r="AC1398">
            <v>0</v>
          </cell>
          <cell r="AD1398">
            <v>0</v>
          </cell>
          <cell r="AJ1398">
            <v>0</v>
          </cell>
          <cell r="AK1398">
            <v>0</v>
          </cell>
        </row>
        <row r="1399">
          <cell r="B1399" t="str">
            <v/>
          </cell>
          <cell r="H1399" t="str">
            <v/>
          </cell>
          <cell r="J1399" t="str">
            <v/>
          </cell>
          <cell r="N1399" t="str">
            <v/>
          </cell>
          <cell r="O1399" t="str">
            <v/>
          </cell>
          <cell r="P1399" t="str">
            <v/>
          </cell>
          <cell r="Q1399" t="str">
            <v/>
          </cell>
          <cell r="T1399" t="str">
            <v/>
          </cell>
          <cell r="U1399" t="str">
            <v/>
          </cell>
          <cell r="W1399" t="str">
            <v/>
          </cell>
          <cell r="X1399" t="str">
            <v/>
          </cell>
          <cell r="AB1399">
            <v>0</v>
          </cell>
          <cell r="AC1399">
            <v>0</v>
          </cell>
          <cell r="AD1399">
            <v>0</v>
          </cell>
          <cell r="AJ1399">
            <v>0</v>
          </cell>
          <cell r="AK1399">
            <v>0</v>
          </cell>
        </row>
        <row r="1400">
          <cell r="B1400" t="str">
            <v/>
          </cell>
          <cell r="H1400" t="str">
            <v/>
          </cell>
          <cell r="J1400" t="str">
            <v/>
          </cell>
          <cell r="N1400" t="str">
            <v/>
          </cell>
          <cell r="O1400" t="str">
            <v/>
          </cell>
          <cell r="P1400" t="str">
            <v/>
          </cell>
          <cell r="Q1400" t="str">
            <v/>
          </cell>
          <cell r="T1400" t="str">
            <v/>
          </cell>
          <cell r="U1400" t="str">
            <v/>
          </cell>
          <cell r="W1400" t="str">
            <v/>
          </cell>
          <cell r="X1400" t="str">
            <v/>
          </cell>
          <cell r="AB1400">
            <v>0</v>
          </cell>
          <cell r="AC1400">
            <v>0</v>
          </cell>
          <cell r="AD1400">
            <v>0</v>
          </cell>
          <cell r="AJ1400">
            <v>0</v>
          </cell>
          <cell r="AK1400">
            <v>0</v>
          </cell>
        </row>
        <row r="1401">
          <cell r="B1401" t="str">
            <v/>
          </cell>
          <cell r="H1401" t="str">
            <v/>
          </cell>
          <cell r="J1401" t="str">
            <v/>
          </cell>
          <cell r="N1401" t="str">
            <v/>
          </cell>
          <cell r="O1401" t="str">
            <v/>
          </cell>
          <cell r="P1401" t="str">
            <v/>
          </cell>
          <cell r="Q1401" t="str">
            <v/>
          </cell>
          <cell r="T1401" t="str">
            <v/>
          </cell>
          <cell r="U1401" t="str">
            <v/>
          </cell>
          <cell r="W1401" t="str">
            <v/>
          </cell>
          <cell r="X1401" t="str">
            <v/>
          </cell>
          <cell r="AB1401">
            <v>0</v>
          </cell>
          <cell r="AC1401">
            <v>0</v>
          </cell>
          <cell r="AD1401">
            <v>0</v>
          </cell>
          <cell r="AJ1401">
            <v>0</v>
          </cell>
          <cell r="AK1401">
            <v>0</v>
          </cell>
        </row>
        <row r="1402">
          <cell r="B1402" t="str">
            <v/>
          </cell>
          <cell r="H1402" t="str">
            <v/>
          </cell>
          <cell r="J1402" t="str">
            <v/>
          </cell>
          <cell r="N1402" t="str">
            <v/>
          </cell>
          <cell r="O1402" t="str">
            <v/>
          </cell>
          <cell r="P1402" t="str">
            <v/>
          </cell>
          <cell r="Q1402" t="str">
            <v/>
          </cell>
          <cell r="T1402" t="str">
            <v/>
          </cell>
          <cell r="U1402" t="str">
            <v/>
          </cell>
          <cell r="W1402" t="str">
            <v/>
          </cell>
          <cell r="X1402" t="str">
            <v/>
          </cell>
          <cell r="AB1402">
            <v>0</v>
          </cell>
          <cell r="AC1402">
            <v>0</v>
          </cell>
          <cell r="AD1402">
            <v>0</v>
          </cell>
          <cell r="AJ1402">
            <v>0</v>
          </cell>
          <cell r="AK1402">
            <v>0</v>
          </cell>
        </row>
        <row r="1403">
          <cell r="B1403" t="str">
            <v/>
          </cell>
          <cell r="H1403" t="str">
            <v/>
          </cell>
          <cell r="J1403" t="str">
            <v/>
          </cell>
          <cell r="N1403" t="str">
            <v/>
          </cell>
          <cell r="O1403" t="str">
            <v/>
          </cell>
          <cell r="P1403" t="str">
            <v/>
          </cell>
          <cell r="Q1403" t="str">
            <v/>
          </cell>
          <cell r="T1403" t="str">
            <v/>
          </cell>
          <cell r="U1403" t="str">
            <v/>
          </cell>
          <cell r="W1403" t="str">
            <v/>
          </cell>
          <cell r="X1403" t="str">
            <v/>
          </cell>
          <cell r="AB1403">
            <v>0</v>
          </cell>
          <cell r="AC1403">
            <v>0</v>
          </cell>
          <cell r="AD1403">
            <v>0</v>
          </cell>
          <cell r="AJ1403">
            <v>0</v>
          </cell>
          <cell r="AK1403">
            <v>0</v>
          </cell>
        </row>
        <row r="1404">
          <cell r="B1404" t="str">
            <v/>
          </cell>
          <cell r="H1404" t="str">
            <v/>
          </cell>
          <cell r="J1404" t="str">
            <v/>
          </cell>
          <cell r="N1404" t="str">
            <v/>
          </cell>
          <cell r="O1404" t="str">
            <v/>
          </cell>
          <cell r="P1404" t="str">
            <v/>
          </cell>
          <cell r="Q1404" t="str">
            <v/>
          </cell>
          <cell r="T1404" t="str">
            <v/>
          </cell>
          <cell r="U1404" t="str">
            <v/>
          </cell>
          <cell r="W1404" t="str">
            <v/>
          </cell>
          <cell r="X1404" t="str">
            <v/>
          </cell>
          <cell r="AB1404">
            <v>0</v>
          </cell>
          <cell r="AC1404">
            <v>0</v>
          </cell>
          <cell r="AD1404">
            <v>0</v>
          </cell>
          <cell r="AJ1404">
            <v>0</v>
          </cell>
          <cell r="AK1404">
            <v>0</v>
          </cell>
        </row>
        <row r="1405">
          <cell r="B1405" t="str">
            <v/>
          </cell>
          <cell r="H1405" t="str">
            <v/>
          </cell>
          <cell r="J1405" t="str">
            <v/>
          </cell>
          <cell r="N1405" t="str">
            <v/>
          </cell>
          <cell r="O1405" t="str">
            <v/>
          </cell>
          <cell r="P1405" t="str">
            <v/>
          </cell>
          <cell r="Q1405" t="str">
            <v/>
          </cell>
          <cell r="T1405" t="str">
            <v/>
          </cell>
          <cell r="U1405" t="str">
            <v/>
          </cell>
          <cell r="W1405" t="str">
            <v/>
          </cell>
          <cell r="X1405" t="str">
            <v/>
          </cell>
          <cell r="AB1405">
            <v>0</v>
          </cell>
          <cell r="AC1405">
            <v>0</v>
          </cell>
          <cell r="AD1405">
            <v>0</v>
          </cell>
          <cell r="AJ1405">
            <v>0</v>
          </cell>
          <cell r="AK1405">
            <v>0</v>
          </cell>
        </row>
        <row r="1406">
          <cell r="B1406" t="str">
            <v/>
          </cell>
          <cell r="H1406" t="str">
            <v/>
          </cell>
          <cell r="J1406" t="str">
            <v/>
          </cell>
          <cell r="N1406" t="str">
            <v/>
          </cell>
          <cell r="O1406" t="str">
            <v/>
          </cell>
          <cell r="P1406" t="str">
            <v/>
          </cell>
          <cell r="Q1406" t="str">
            <v/>
          </cell>
          <cell r="T1406" t="str">
            <v/>
          </cell>
          <cell r="U1406" t="str">
            <v/>
          </cell>
          <cell r="W1406" t="str">
            <v/>
          </cell>
          <cell r="X1406" t="str">
            <v/>
          </cell>
          <cell r="AB1406">
            <v>0</v>
          </cell>
          <cell r="AC1406">
            <v>0</v>
          </cell>
          <cell r="AD1406">
            <v>0</v>
          </cell>
          <cell r="AJ1406">
            <v>0</v>
          </cell>
          <cell r="AK1406">
            <v>0</v>
          </cell>
        </row>
        <row r="1407">
          <cell r="B1407" t="str">
            <v/>
          </cell>
          <cell r="H1407" t="str">
            <v/>
          </cell>
          <cell r="J1407" t="str">
            <v/>
          </cell>
          <cell r="N1407" t="str">
            <v/>
          </cell>
          <cell r="O1407" t="str">
            <v/>
          </cell>
          <cell r="P1407" t="str">
            <v/>
          </cell>
          <cell r="Q1407" t="str">
            <v/>
          </cell>
          <cell r="T1407" t="str">
            <v/>
          </cell>
          <cell r="U1407" t="str">
            <v/>
          </cell>
          <cell r="W1407" t="str">
            <v/>
          </cell>
          <cell r="X1407" t="str">
            <v/>
          </cell>
          <cell r="AB1407">
            <v>0</v>
          </cell>
          <cell r="AC1407">
            <v>0</v>
          </cell>
          <cell r="AD1407">
            <v>0</v>
          </cell>
          <cell r="AJ1407">
            <v>0</v>
          </cell>
          <cell r="AK1407">
            <v>0</v>
          </cell>
        </row>
        <row r="1408">
          <cell r="B1408" t="str">
            <v/>
          </cell>
          <cell r="H1408" t="str">
            <v/>
          </cell>
          <cell r="J1408" t="str">
            <v/>
          </cell>
          <cell r="N1408" t="str">
            <v/>
          </cell>
          <cell r="O1408" t="str">
            <v/>
          </cell>
          <cell r="P1408" t="str">
            <v/>
          </cell>
          <cell r="Q1408" t="str">
            <v/>
          </cell>
          <cell r="T1408" t="str">
            <v/>
          </cell>
          <cell r="U1408" t="str">
            <v/>
          </cell>
          <cell r="W1408" t="str">
            <v/>
          </cell>
          <cell r="X1408" t="str">
            <v/>
          </cell>
          <cell r="AB1408">
            <v>0</v>
          </cell>
          <cell r="AC1408">
            <v>0</v>
          </cell>
          <cell r="AD1408">
            <v>0</v>
          </cell>
          <cell r="AJ1408">
            <v>0</v>
          </cell>
          <cell r="AK1408">
            <v>0</v>
          </cell>
        </row>
        <row r="1409">
          <cell r="B1409" t="str">
            <v/>
          </cell>
          <cell r="H1409" t="str">
            <v/>
          </cell>
          <cell r="J1409" t="str">
            <v/>
          </cell>
          <cell r="N1409" t="str">
            <v/>
          </cell>
          <cell r="O1409" t="str">
            <v/>
          </cell>
          <cell r="P1409" t="str">
            <v/>
          </cell>
          <cell r="Q1409" t="str">
            <v/>
          </cell>
          <cell r="T1409" t="str">
            <v/>
          </cell>
          <cell r="U1409" t="str">
            <v/>
          </cell>
          <cell r="W1409" t="str">
            <v/>
          </cell>
          <cell r="X1409" t="str">
            <v/>
          </cell>
          <cell r="AB1409">
            <v>0</v>
          </cell>
          <cell r="AC1409">
            <v>0</v>
          </cell>
          <cell r="AD1409">
            <v>0</v>
          </cell>
          <cell r="AJ1409">
            <v>0</v>
          </cell>
          <cell r="AK1409">
            <v>0</v>
          </cell>
        </row>
        <row r="1410">
          <cell r="B1410" t="str">
            <v/>
          </cell>
          <cell r="H1410" t="str">
            <v/>
          </cell>
          <cell r="J1410" t="str">
            <v/>
          </cell>
          <cell r="N1410" t="str">
            <v/>
          </cell>
          <cell r="O1410" t="str">
            <v/>
          </cell>
          <cell r="P1410" t="str">
            <v/>
          </cell>
          <cell r="Q1410" t="str">
            <v/>
          </cell>
          <cell r="T1410" t="str">
            <v/>
          </cell>
          <cell r="U1410" t="str">
            <v/>
          </cell>
          <cell r="W1410" t="str">
            <v/>
          </cell>
          <cell r="X1410" t="str">
            <v/>
          </cell>
          <cell r="AB1410">
            <v>0</v>
          </cell>
          <cell r="AC1410">
            <v>0</v>
          </cell>
          <cell r="AD1410">
            <v>0</v>
          </cell>
          <cell r="AJ1410">
            <v>0</v>
          </cell>
          <cell r="AK1410">
            <v>0</v>
          </cell>
        </row>
        <row r="1411">
          <cell r="B1411" t="str">
            <v/>
          </cell>
          <cell r="H1411" t="str">
            <v/>
          </cell>
          <cell r="J1411" t="str">
            <v/>
          </cell>
          <cell r="N1411" t="str">
            <v/>
          </cell>
          <cell r="O1411" t="str">
            <v/>
          </cell>
          <cell r="P1411" t="str">
            <v/>
          </cell>
          <cell r="Q1411" t="str">
            <v/>
          </cell>
          <cell r="T1411" t="str">
            <v/>
          </cell>
          <cell r="U1411" t="str">
            <v/>
          </cell>
          <cell r="W1411" t="str">
            <v/>
          </cell>
          <cell r="X1411" t="str">
            <v/>
          </cell>
          <cell r="AB1411">
            <v>0</v>
          </cell>
          <cell r="AC1411">
            <v>0</v>
          </cell>
          <cell r="AD1411">
            <v>0</v>
          </cell>
          <cell r="AJ1411">
            <v>0</v>
          </cell>
          <cell r="AK1411">
            <v>0</v>
          </cell>
        </row>
        <row r="1412">
          <cell r="B1412" t="str">
            <v/>
          </cell>
          <cell r="H1412" t="str">
            <v/>
          </cell>
          <cell r="J1412" t="str">
            <v/>
          </cell>
          <cell r="N1412" t="str">
            <v/>
          </cell>
          <cell r="O1412" t="str">
            <v/>
          </cell>
          <cell r="P1412" t="str">
            <v/>
          </cell>
          <cell r="Q1412" t="str">
            <v/>
          </cell>
          <cell r="T1412" t="str">
            <v/>
          </cell>
          <cell r="U1412" t="str">
            <v/>
          </cell>
          <cell r="W1412" t="str">
            <v/>
          </cell>
          <cell r="X1412" t="str">
            <v/>
          </cell>
          <cell r="AB1412">
            <v>0</v>
          </cell>
          <cell r="AC1412">
            <v>0</v>
          </cell>
          <cell r="AD1412">
            <v>0</v>
          </cell>
          <cell r="AJ1412">
            <v>0</v>
          </cell>
          <cell r="AK1412">
            <v>0</v>
          </cell>
        </row>
        <row r="1413">
          <cell r="B1413" t="str">
            <v/>
          </cell>
          <cell r="H1413" t="str">
            <v/>
          </cell>
          <cell r="J1413" t="str">
            <v/>
          </cell>
          <cell r="N1413" t="str">
            <v/>
          </cell>
          <cell r="O1413" t="str">
            <v/>
          </cell>
          <cell r="P1413" t="str">
            <v/>
          </cell>
          <cell r="Q1413" t="str">
            <v/>
          </cell>
          <cell r="T1413" t="str">
            <v/>
          </cell>
          <cell r="U1413" t="str">
            <v/>
          </cell>
          <cell r="W1413" t="str">
            <v/>
          </cell>
          <cell r="X1413" t="str">
            <v/>
          </cell>
          <cell r="AB1413">
            <v>0</v>
          </cell>
          <cell r="AC1413">
            <v>0</v>
          </cell>
          <cell r="AD1413">
            <v>0</v>
          </cell>
          <cell r="AJ1413">
            <v>0</v>
          </cell>
          <cell r="AK1413">
            <v>0</v>
          </cell>
        </row>
        <row r="1414">
          <cell r="B1414" t="str">
            <v/>
          </cell>
          <cell r="H1414" t="str">
            <v/>
          </cell>
          <cell r="J1414" t="str">
            <v/>
          </cell>
          <cell r="N1414" t="str">
            <v/>
          </cell>
          <cell r="O1414" t="str">
            <v/>
          </cell>
          <cell r="P1414" t="str">
            <v/>
          </cell>
          <cell r="Q1414" t="str">
            <v/>
          </cell>
          <cell r="T1414" t="str">
            <v/>
          </cell>
          <cell r="U1414" t="str">
            <v/>
          </cell>
          <cell r="W1414" t="str">
            <v/>
          </cell>
          <cell r="X1414" t="str">
            <v/>
          </cell>
          <cell r="AB1414">
            <v>0</v>
          </cell>
          <cell r="AC1414">
            <v>0</v>
          </cell>
          <cell r="AD1414">
            <v>0</v>
          </cell>
          <cell r="AJ1414">
            <v>0</v>
          </cell>
          <cell r="AK1414">
            <v>0</v>
          </cell>
        </row>
        <row r="1415">
          <cell r="B1415" t="str">
            <v/>
          </cell>
          <cell r="H1415" t="str">
            <v/>
          </cell>
          <cell r="J1415" t="str">
            <v/>
          </cell>
          <cell r="N1415" t="str">
            <v/>
          </cell>
          <cell r="O1415" t="str">
            <v/>
          </cell>
          <cell r="P1415" t="str">
            <v/>
          </cell>
          <cell r="Q1415" t="str">
            <v/>
          </cell>
          <cell r="T1415" t="str">
            <v/>
          </cell>
          <cell r="U1415" t="str">
            <v/>
          </cell>
          <cell r="W1415" t="str">
            <v/>
          </cell>
          <cell r="X1415" t="str">
            <v/>
          </cell>
          <cell r="AB1415">
            <v>0</v>
          </cell>
          <cell r="AC1415">
            <v>0</v>
          </cell>
          <cell r="AD1415">
            <v>0</v>
          </cell>
          <cell r="AJ1415">
            <v>0</v>
          </cell>
          <cell r="AK1415">
            <v>0</v>
          </cell>
        </row>
        <row r="1416">
          <cell r="B1416" t="str">
            <v/>
          </cell>
          <cell r="H1416" t="str">
            <v/>
          </cell>
          <cell r="J1416" t="str">
            <v/>
          </cell>
          <cell r="N1416" t="str">
            <v/>
          </cell>
          <cell r="O1416" t="str">
            <v/>
          </cell>
          <cell r="P1416" t="str">
            <v/>
          </cell>
          <cell r="Q1416" t="str">
            <v/>
          </cell>
          <cell r="T1416" t="str">
            <v/>
          </cell>
          <cell r="U1416" t="str">
            <v/>
          </cell>
          <cell r="W1416" t="str">
            <v/>
          </cell>
          <cell r="X1416" t="str">
            <v/>
          </cell>
          <cell r="AB1416">
            <v>0</v>
          </cell>
          <cell r="AC1416">
            <v>0</v>
          </cell>
          <cell r="AD1416">
            <v>0</v>
          </cell>
          <cell r="AJ1416">
            <v>0</v>
          </cell>
          <cell r="AK1416">
            <v>0</v>
          </cell>
        </row>
        <row r="1417">
          <cell r="B1417" t="str">
            <v/>
          </cell>
          <cell r="H1417" t="str">
            <v/>
          </cell>
          <cell r="J1417" t="str">
            <v/>
          </cell>
          <cell r="N1417" t="str">
            <v/>
          </cell>
          <cell r="O1417" t="str">
            <v/>
          </cell>
          <cell r="P1417" t="str">
            <v/>
          </cell>
          <cell r="Q1417" t="str">
            <v/>
          </cell>
          <cell r="T1417" t="str">
            <v/>
          </cell>
          <cell r="U1417" t="str">
            <v/>
          </cell>
          <cell r="W1417" t="str">
            <v/>
          </cell>
          <cell r="X1417" t="str">
            <v/>
          </cell>
          <cell r="AB1417">
            <v>0</v>
          </cell>
          <cell r="AC1417">
            <v>0</v>
          </cell>
          <cell r="AD1417">
            <v>0</v>
          </cell>
          <cell r="AJ1417">
            <v>0</v>
          </cell>
          <cell r="AK1417">
            <v>0</v>
          </cell>
        </row>
        <row r="1418">
          <cell r="B1418" t="str">
            <v/>
          </cell>
          <cell r="H1418" t="str">
            <v/>
          </cell>
          <cell r="J1418" t="str">
            <v/>
          </cell>
          <cell r="N1418" t="str">
            <v/>
          </cell>
          <cell r="O1418" t="str">
            <v/>
          </cell>
          <cell r="P1418" t="str">
            <v/>
          </cell>
          <cell r="Q1418" t="str">
            <v/>
          </cell>
          <cell r="T1418" t="str">
            <v/>
          </cell>
          <cell r="U1418" t="str">
            <v/>
          </cell>
          <cell r="W1418" t="str">
            <v/>
          </cell>
          <cell r="X1418" t="str">
            <v/>
          </cell>
          <cell r="AB1418">
            <v>0</v>
          </cell>
          <cell r="AC1418">
            <v>0</v>
          </cell>
          <cell r="AD1418">
            <v>0</v>
          </cell>
          <cell r="AJ1418">
            <v>0</v>
          </cell>
          <cell r="AK1418">
            <v>0</v>
          </cell>
        </row>
        <row r="1419">
          <cell r="B1419" t="str">
            <v/>
          </cell>
          <cell r="H1419" t="str">
            <v/>
          </cell>
          <cell r="J1419" t="str">
            <v/>
          </cell>
          <cell r="N1419" t="str">
            <v/>
          </cell>
          <cell r="O1419" t="str">
            <v/>
          </cell>
          <cell r="P1419" t="str">
            <v/>
          </cell>
          <cell r="Q1419" t="str">
            <v/>
          </cell>
          <cell r="T1419" t="str">
            <v/>
          </cell>
          <cell r="U1419" t="str">
            <v/>
          </cell>
          <cell r="W1419" t="str">
            <v/>
          </cell>
          <cell r="X1419" t="str">
            <v/>
          </cell>
          <cell r="AB1419">
            <v>0</v>
          </cell>
          <cell r="AC1419">
            <v>0</v>
          </cell>
          <cell r="AD1419">
            <v>0</v>
          </cell>
          <cell r="AJ1419">
            <v>0</v>
          </cell>
          <cell r="AK1419">
            <v>0</v>
          </cell>
        </row>
        <row r="1420">
          <cell r="B1420" t="str">
            <v/>
          </cell>
          <cell r="H1420" t="str">
            <v/>
          </cell>
          <cell r="J1420" t="str">
            <v/>
          </cell>
          <cell r="N1420" t="str">
            <v/>
          </cell>
          <cell r="O1420" t="str">
            <v/>
          </cell>
          <cell r="P1420" t="str">
            <v/>
          </cell>
          <cell r="Q1420" t="str">
            <v/>
          </cell>
          <cell r="T1420" t="str">
            <v/>
          </cell>
          <cell r="U1420" t="str">
            <v/>
          </cell>
          <cell r="W1420" t="str">
            <v/>
          </cell>
          <cell r="X1420" t="str">
            <v/>
          </cell>
          <cell r="AB1420">
            <v>0</v>
          </cell>
          <cell r="AC1420">
            <v>0</v>
          </cell>
          <cell r="AD1420">
            <v>0</v>
          </cell>
          <cell r="AJ1420">
            <v>0</v>
          </cell>
          <cell r="AK1420">
            <v>0</v>
          </cell>
        </row>
        <row r="1421">
          <cell r="B1421" t="str">
            <v/>
          </cell>
          <cell r="H1421" t="str">
            <v/>
          </cell>
          <cell r="J1421" t="str">
            <v/>
          </cell>
          <cell r="N1421" t="str">
            <v/>
          </cell>
          <cell r="O1421" t="str">
            <v/>
          </cell>
          <cell r="P1421" t="str">
            <v/>
          </cell>
          <cell r="Q1421" t="str">
            <v/>
          </cell>
          <cell r="T1421" t="str">
            <v/>
          </cell>
          <cell r="U1421" t="str">
            <v/>
          </cell>
          <cell r="W1421" t="str">
            <v/>
          </cell>
          <cell r="X1421" t="str">
            <v/>
          </cell>
          <cell r="AB1421">
            <v>0</v>
          </cell>
          <cell r="AC1421">
            <v>0</v>
          </cell>
          <cell r="AD1421">
            <v>0</v>
          </cell>
          <cell r="AJ1421">
            <v>0</v>
          </cell>
          <cell r="AK1421">
            <v>0</v>
          </cell>
        </row>
        <row r="1422">
          <cell r="B1422" t="str">
            <v/>
          </cell>
          <cell r="H1422" t="str">
            <v/>
          </cell>
          <cell r="J1422" t="str">
            <v/>
          </cell>
          <cell r="N1422" t="str">
            <v/>
          </cell>
          <cell r="O1422" t="str">
            <v/>
          </cell>
          <cell r="P1422" t="str">
            <v/>
          </cell>
          <cell r="Q1422" t="str">
            <v/>
          </cell>
          <cell r="T1422" t="str">
            <v/>
          </cell>
          <cell r="U1422" t="str">
            <v/>
          </cell>
          <cell r="W1422" t="str">
            <v/>
          </cell>
          <cell r="X1422" t="str">
            <v/>
          </cell>
          <cell r="AB1422">
            <v>0</v>
          </cell>
          <cell r="AC1422">
            <v>0</v>
          </cell>
          <cell r="AD1422">
            <v>0</v>
          </cell>
          <cell r="AJ1422">
            <v>0</v>
          </cell>
          <cell r="AK1422">
            <v>0</v>
          </cell>
        </row>
        <row r="1423">
          <cell r="B1423" t="str">
            <v/>
          </cell>
          <cell r="H1423" t="str">
            <v/>
          </cell>
          <cell r="J1423" t="str">
            <v/>
          </cell>
          <cell r="N1423" t="str">
            <v/>
          </cell>
          <cell r="O1423" t="str">
            <v/>
          </cell>
          <cell r="P1423" t="str">
            <v/>
          </cell>
          <cell r="Q1423" t="str">
            <v/>
          </cell>
          <cell r="T1423" t="str">
            <v/>
          </cell>
          <cell r="U1423" t="str">
            <v/>
          </cell>
          <cell r="W1423" t="str">
            <v/>
          </cell>
          <cell r="X1423" t="str">
            <v/>
          </cell>
          <cell r="AB1423">
            <v>0</v>
          </cell>
          <cell r="AC1423">
            <v>0</v>
          </cell>
          <cell r="AD1423">
            <v>0</v>
          </cell>
          <cell r="AJ1423">
            <v>0</v>
          </cell>
          <cell r="AK1423">
            <v>0</v>
          </cell>
        </row>
        <row r="1424">
          <cell r="B1424" t="str">
            <v/>
          </cell>
          <cell r="H1424" t="str">
            <v/>
          </cell>
          <cell r="J1424" t="str">
            <v/>
          </cell>
          <cell r="N1424" t="str">
            <v/>
          </cell>
          <cell r="O1424" t="str">
            <v/>
          </cell>
          <cell r="P1424" t="str">
            <v/>
          </cell>
          <cell r="Q1424" t="str">
            <v/>
          </cell>
          <cell r="T1424" t="str">
            <v/>
          </cell>
          <cell r="U1424" t="str">
            <v/>
          </cell>
          <cell r="W1424" t="str">
            <v/>
          </cell>
          <cell r="X1424" t="str">
            <v/>
          </cell>
          <cell r="AB1424">
            <v>0</v>
          </cell>
          <cell r="AC1424">
            <v>0</v>
          </cell>
          <cell r="AD1424">
            <v>0</v>
          </cell>
          <cell r="AJ1424">
            <v>0</v>
          </cell>
          <cell r="AK1424">
            <v>0</v>
          </cell>
        </row>
        <row r="1425">
          <cell r="B1425" t="str">
            <v/>
          </cell>
          <cell r="H1425" t="str">
            <v/>
          </cell>
          <cell r="J1425" t="str">
            <v/>
          </cell>
          <cell r="N1425" t="str">
            <v/>
          </cell>
          <cell r="O1425" t="str">
            <v/>
          </cell>
          <cell r="P1425" t="str">
            <v/>
          </cell>
          <cell r="Q1425" t="str">
            <v/>
          </cell>
          <cell r="T1425" t="str">
            <v/>
          </cell>
          <cell r="U1425" t="str">
            <v/>
          </cell>
          <cell r="W1425" t="str">
            <v/>
          </cell>
          <cell r="X1425" t="str">
            <v/>
          </cell>
          <cell r="AB1425">
            <v>0</v>
          </cell>
          <cell r="AC1425">
            <v>0</v>
          </cell>
          <cell r="AD1425">
            <v>0</v>
          </cell>
          <cell r="AJ1425">
            <v>0</v>
          </cell>
          <cell r="AK1425">
            <v>0</v>
          </cell>
        </row>
        <row r="1426">
          <cell r="B1426" t="str">
            <v/>
          </cell>
          <cell r="H1426" t="str">
            <v/>
          </cell>
          <cell r="J1426" t="str">
            <v/>
          </cell>
          <cell r="N1426" t="str">
            <v/>
          </cell>
          <cell r="O1426" t="str">
            <v/>
          </cell>
          <cell r="P1426" t="str">
            <v/>
          </cell>
          <cell r="Q1426" t="str">
            <v/>
          </cell>
          <cell r="T1426" t="str">
            <v/>
          </cell>
          <cell r="U1426" t="str">
            <v/>
          </cell>
          <cell r="W1426" t="str">
            <v/>
          </cell>
          <cell r="X1426" t="str">
            <v/>
          </cell>
          <cell r="AB1426">
            <v>0</v>
          </cell>
          <cell r="AC1426">
            <v>0</v>
          </cell>
          <cell r="AD1426">
            <v>0</v>
          </cell>
          <cell r="AJ1426">
            <v>0</v>
          </cell>
          <cell r="AK1426">
            <v>0</v>
          </cell>
        </row>
        <row r="1427">
          <cell r="B1427" t="str">
            <v/>
          </cell>
          <cell r="H1427" t="str">
            <v/>
          </cell>
          <cell r="J1427" t="str">
            <v/>
          </cell>
          <cell r="N1427" t="str">
            <v/>
          </cell>
          <cell r="O1427" t="str">
            <v/>
          </cell>
          <cell r="P1427" t="str">
            <v/>
          </cell>
          <cell r="Q1427" t="str">
            <v/>
          </cell>
          <cell r="T1427" t="str">
            <v/>
          </cell>
          <cell r="U1427" t="str">
            <v/>
          </cell>
          <cell r="W1427" t="str">
            <v/>
          </cell>
          <cell r="X1427" t="str">
            <v/>
          </cell>
          <cell r="AB1427">
            <v>0</v>
          </cell>
          <cell r="AC1427">
            <v>0</v>
          </cell>
          <cell r="AD1427">
            <v>0</v>
          </cell>
          <cell r="AJ1427">
            <v>0</v>
          </cell>
          <cell r="AK1427">
            <v>0</v>
          </cell>
        </row>
        <row r="1428">
          <cell r="B1428" t="str">
            <v/>
          </cell>
          <cell r="H1428" t="str">
            <v/>
          </cell>
          <cell r="J1428" t="str">
            <v/>
          </cell>
          <cell r="N1428" t="str">
            <v/>
          </cell>
          <cell r="O1428" t="str">
            <v/>
          </cell>
          <cell r="P1428" t="str">
            <v/>
          </cell>
          <cell r="Q1428" t="str">
            <v/>
          </cell>
          <cell r="T1428" t="str">
            <v/>
          </cell>
          <cell r="U1428" t="str">
            <v/>
          </cell>
          <cell r="W1428" t="str">
            <v/>
          </cell>
          <cell r="X1428" t="str">
            <v/>
          </cell>
          <cell r="AB1428">
            <v>0</v>
          </cell>
          <cell r="AC1428">
            <v>0</v>
          </cell>
          <cell r="AD1428">
            <v>0</v>
          </cell>
          <cell r="AJ1428">
            <v>0</v>
          </cell>
          <cell r="AK1428">
            <v>0</v>
          </cell>
        </row>
        <row r="1429">
          <cell r="B1429" t="str">
            <v/>
          </cell>
          <cell r="H1429" t="str">
            <v/>
          </cell>
          <cell r="J1429" t="str">
            <v/>
          </cell>
          <cell r="N1429" t="str">
            <v/>
          </cell>
          <cell r="O1429" t="str">
            <v/>
          </cell>
          <cell r="P1429" t="str">
            <v/>
          </cell>
          <cell r="Q1429" t="str">
            <v/>
          </cell>
          <cell r="T1429" t="str">
            <v/>
          </cell>
          <cell r="U1429" t="str">
            <v/>
          </cell>
          <cell r="W1429" t="str">
            <v/>
          </cell>
          <cell r="X1429" t="str">
            <v/>
          </cell>
          <cell r="AB1429">
            <v>0</v>
          </cell>
          <cell r="AC1429">
            <v>0</v>
          </cell>
          <cell r="AD1429">
            <v>0</v>
          </cell>
          <cell r="AJ1429">
            <v>0</v>
          </cell>
          <cell r="AK1429">
            <v>0</v>
          </cell>
        </row>
        <row r="1430">
          <cell r="B1430" t="str">
            <v/>
          </cell>
          <cell r="H1430" t="str">
            <v/>
          </cell>
          <cell r="J1430" t="str">
            <v/>
          </cell>
          <cell r="N1430" t="str">
            <v/>
          </cell>
          <cell r="O1430" t="str">
            <v/>
          </cell>
          <cell r="P1430" t="str">
            <v/>
          </cell>
          <cell r="Q1430" t="str">
            <v/>
          </cell>
          <cell r="T1430" t="str">
            <v/>
          </cell>
          <cell r="U1430" t="str">
            <v/>
          </cell>
          <cell r="W1430" t="str">
            <v/>
          </cell>
          <cell r="X1430" t="str">
            <v/>
          </cell>
          <cell r="AB1430">
            <v>0</v>
          </cell>
          <cell r="AC1430">
            <v>0</v>
          </cell>
          <cell r="AD1430">
            <v>0</v>
          </cell>
          <cell r="AJ1430">
            <v>0</v>
          </cell>
          <cell r="AK1430">
            <v>0</v>
          </cell>
        </row>
        <row r="1431">
          <cell r="B1431" t="str">
            <v/>
          </cell>
          <cell r="H1431" t="str">
            <v/>
          </cell>
          <cell r="J1431" t="str">
            <v/>
          </cell>
          <cell r="N1431" t="str">
            <v/>
          </cell>
          <cell r="O1431" t="str">
            <v/>
          </cell>
          <cell r="P1431" t="str">
            <v/>
          </cell>
          <cell r="Q1431" t="str">
            <v/>
          </cell>
          <cell r="T1431" t="str">
            <v/>
          </cell>
          <cell r="U1431" t="str">
            <v/>
          </cell>
          <cell r="W1431" t="str">
            <v/>
          </cell>
          <cell r="X1431" t="str">
            <v/>
          </cell>
          <cell r="AB1431">
            <v>0</v>
          </cell>
          <cell r="AC1431">
            <v>0</v>
          </cell>
          <cell r="AD1431">
            <v>0</v>
          </cell>
          <cell r="AJ1431">
            <v>0</v>
          </cell>
          <cell r="AK1431">
            <v>0</v>
          </cell>
        </row>
        <row r="1432">
          <cell r="B1432" t="str">
            <v/>
          </cell>
          <cell r="H1432" t="str">
            <v/>
          </cell>
          <cell r="J1432" t="str">
            <v/>
          </cell>
          <cell r="N1432" t="str">
            <v/>
          </cell>
          <cell r="O1432" t="str">
            <v/>
          </cell>
          <cell r="P1432" t="str">
            <v/>
          </cell>
          <cell r="Q1432" t="str">
            <v/>
          </cell>
          <cell r="T1432" t="str">
            <v/>
          </cell>
          <cell r="U1432" t="str">
            <v/>
          </cell>
          <cell r="W1432" t="str">
            <v/>
          </cell>
          <cell r="X1432" t="str">
            <v/>
          </cell>
          <cell r="AB1432">
            <v>0</v>
          </cell>
          <cell r="AC1432">
            <v>0</v>
          </cell>
          <cell r="AD1432">
            <v>0</v>
          </cell>
          <cell r="AJ1432">
            <v>0</v>
          </cell>
          <cell r="AK1432">
            <v>0</v>
          </cell>
        </row>
        <row r="1433">
          <cell r="B1433" t="str">
            <v/>
          </cell>
          <cell r="H1433" t="str">
            <v/>
          </cell>
          <cell r="J1433" t="str">
            <v/>
          </cell>
          <cell r="N1433" t="str">
            <v/>
          </cell>
          <cell r="O1433" t="str">
            <v/>
          </cell>
          <cell r="P1433" t="str">
            <v/>
          </cell>
          <cell r="Q1433" t="str">
            <v/>
          </cell>
          <cell r="T1433" t="str">
            <v/>
          </cell>
          <cell r="U1433" t="str">
            <v/>
          </cell>
          <cell r="W1433" t="str">
            <v/>
          </cell>
          <cell r="X1433" t="str">
            <v/>
          </cell>
          <cell r="AB1433">
            <v>0</v>
          </cell>
          <cell r="AC1433">
            <v>0</v>
          </cell>
          <cell r="AD1433">
            <v>0</v>
          </cell>
          <cell r="AJ1433">
            <v>0</v>
          </cell>
          <cell r="AK1433">
            <v>0</v>
          </cell>
        </row>
        <row r="1434">
          <cell r="B1434" t="str">
            <v/>
          </cell>
          <cell r="H1434" t="str">
            <v/>
          </cell>
          <cell r="J1434" t="str">
            <v/>
          </cell>
          <cell r="N1434" t="str">
            <v/>
          </cell>
          <cell r="O1434" t="str">
            <v/>
          </cell>
          <cell r="P1434" t="str">
            <v/>
          </cell>
          <cell r="Q1434" t="str">
            <v/>
          </cell>
          <cell r="T1434" t="str">
            <v/>
          </cell>
          <cell r="U1434" t="str">
            <v/>
          </cell>
          <cell r="W1434" t="str">
            <v/>
          </cell>
          <cell r="X1434" t="str">
            <v/>
          </cell>
          <cell r="AB1434">
            <v>0</v>
          </cell>
          <cell r="AC1434">
            <v>0</v>
          </cell>
          <cell r="AD1434">
            <v>0</v>
          </cell>
          <cell r="AJ1434">
            <v>0</v>
          </cell>
          <cell r="AK1434">
            <v>0</v>
          </cell>
        </row>
        <row r="1435">
          <cell r="B1435" t="str">
            <v/>
          </cell>
          <cell r="H1435" t="str">
            <v/>
          </cell>
          <cell r="J1435" t="str">
            <v/>
          </cell>
          <cell r="N1435" t="str">
            <v/>
          </cell>
          <cell r="O1435" t="str">
            <v/>
          </cell>
          <cell r="P1435" t="str">
            <v/>
          </cell>
          <cell r="Q1435" t="str">
            <v/>
          </cell>
          <cell r="T1435" t="str">
            <v/>
          </cell>
          <cell r="U1435" t="str">
            <v/>
          </cell>
          <cell r="W1435" t="str">
            <v/>
          </cell>
          <cell r="X1435" t="str">
            <v/>
          </cell>
          <cell r="AB1435">
            <v>0</v>
          </cell>
          <cell r="AC1435">
            <v>0</v>
          </cell>
          <cell r="AD1435">
            <v>0</v>
          </cell>
          <cell r="AJ1435">
            <v>0</v>
          </cell>
          <cell r="AK1435">
            <v>0</v>
          </cell>
        </row>
        <row r="1436">
          <cell r="B1436" t="str">
            <v/>
          </cell>
          <cell r="H1436" t="str">
            <v/>
          </cell>
          <cell r="J1436" t="str">
            <v/>
          </cell>
          <cell r="N1436" t="str">
            <v/>
          </cell>
          <cell r="O1436" t="str">
            <v/>
          </cell>
          <cell r="P1436" t="str">
            <v/>
          </cell>
          <cell r="Q1436" t="str">
            <v/>
          </cell>
          <cell r="T1436" t="str">
            <v/>
          </cell>
          <cell r="U1436" t="str">
            <v/>
          </cell>
          <cell r="W1436" t="str">
            <v/>
          </cell>
          <cell r="X1436" t="str">
            <v/>
          </cell>
          <cell r="AB1436">
            <v>0</v>
          </cell>
          <cell r="AC1436">
            <v>0</v>
          </cell>
          <cell r="AD1436">
            <v>0</v>
          </cell>
          <cell r="AJ1436">
            <v>0</v>
          </cell>
          <cell r="AK1436">
            <v>0</v>
          </cell>
        </row>
        <row r="1437">
          <cell r="B1437" t="str">
            <v/>
          </cell>
          <cell r="H1437" t="str">
            <v/>
          </cell>
          <cell r="J1437" t="str">
            <v/>
          </cell>
          <cell r="N1437" t="str">
            <v/>
          </cell>
          <cell r="O1437" t="str">
            <v/>
          </cell>
          <cell r="P1437" t="str">
            <v/>
          </cell>
          <cell r="Q1437" t="str">
            <v/>
          </cell>
          <cell r="T1437" t="str">
            <v/>
          </cell>
          <cell r="U1437" t="str">
            <v/>
          </cell>
          <cell r="W1437" t="str">
            <v/>
          </cell>
          <cell r="X1437" t="str">
            <v/>
          </cell>
          <cell r="AB1437">
            <v>0</v>
          </cell>
          <cell r="AC1437">
            <v>0</v>
          </cell>
          <cell r="AD1437">
            <v>0</v>
          </cell>
          <cell r="AJ1437">
            <v>0</v>
          </cell>
          <cell r="AK1437">
            <v>0</v>
          </cell>
        </row>
        <row r="1438">
          <cell r="B1438" t="str">
            <v/>
          </cell>
          <cell r="H1438" t="str">
            <v/>
          </cell>
          <cell r="J1438" t="str">
            <v/>
          </cell>
          <cell r="N1438" t="str">
            <v/>
          </cell>
          <cell r="O1438" t="str">
            <v/>
          </cell>
          <cell r="P1438" t="str">
            <v/>
          </cell>
          <cell r="Q1438" t="str">
            <v/>
          </cell>
          <cell r="T1438" t="str">
            <v/>
          </cell>
          <cell r="U1438" t="str">
            <v/>
          </cell>
          <cell r="W1438" t="str">
            <v/>
          </cell>
          <cell r="X1438" t="str">
            <v/>
          </cell>
          <cell r="AB1438">
            <v>0</v>
          </cell>
          <cell r="AC1438">
            <v>0</v>
          </cell>
          <cell r="AD1438">
            <v>0</v>
          </cell>
          <cell r="AJ1438">
            <v>0</v>
          </cell>
          <cell r="AK1438">
            <v>0</v>
          </cell>
        </row>
        <row r="1439">
          <cell r="B1439" t="str">
            <v/>
          </cell>
          <cell r="H1439" t="str">
            <v/>
          </cell>
          <cell r="J1439" t="str">
            <v/>
          </cell>
          <cell r="N1439" t="str">
            <v/>
          </cell>
          <cell r="O1439" t="str">
            <v/>
          </cell>
          <cell r="P1439" t="str">
            <v/>
          </cell>
          <cell r="Q1439" t="str">
            <v/>
          </cell>
          <cell r="T1439" t="str">
            <v/>
          </cell>
          <cell r="U1439" t="str">
            <v/>
          </cell>
          <cell r="W1439" t="str">
            <v/>
          </cell>
          <cell r="X1439" t="str">
            <v/>
          </cell>
          <cell r="AB1439">
            <v>0</v>
          </cell>
          <cell r="AC1439">
            <v>0</v>
          </cell>
          <cell r="AD1439">
            <v>0</v>
          </cell>
          <cell r="AJ1439">
            <v>0</v>
          </cell>
          <cell r="AK1439">
            <v>0</v>
          </cell>
        </row>
        <row r="1440">
          <cell r="B1440" t="str">
            <v/>
          </cell>
          <cell r="H1440" t="str">
            <v/>
          </cell>
          <cell r="J1440" t="str">
            <v/>
          </cell>
          <cell r="N1440" t="str">
            <v/>
          </cell>
          <cell r="O1440" t="str">
            <v/>
          </cell>
          <cell r="P1440" t="str">
            <v/>
          </cell>
          <cell r="Q1440" t="str">
            <v/>
          </cell>
          <cell r="T1440" t="str">
            <v/>
          </cell>
          <cell r="U1440" t="str">
            <v/>
          </cell>
          <cell r="W1440" t="str">
            <v/>
          </cell>
          <cell r="X1440" t="str">
            <v/>
          </cell>
          <cell r="AB1440">
            <v>0</v>
          </cell>
          <cell r="AC1440">
            <v>0</v>
          </cell>
          <cell r="AD1440">
            <v>0</v>
          </cell>
          <cell r="AJ1440">
            <v>0</v>
          </cell>
          <cell r="AK1440">
            <v>0</v>
          </cell>
        </row>
        <row r="1441">
          <cell r="B1441" t="str">
            <v/>
          </cell>
          <cell r="H1441" t="str">
            <v/>
          </cell>
          <cell r="J1441" t="str">
            <v/>
          </cell>
          <cell r="N1441" t="str">
            <v/>
          </cell>
          <cell r="O1441" t="str">
            <v/>
          </cell>
          <cell r="P1441" t="str">
            <v/>
          </cell>
          <cell r="Q1441" t="str">
            <v/>
          </cell>
          <cell r="T1441" t="str">
            <v/>
          </cell>
          <cell r="U1441" t="str">
            <v/>
          </cell>
          <cell r="W1441" t="str">
            <v/>
          </cell>
          <cell r="X1441" t="str">
            <v/>
          </cell>
          <cell r="AB1441">
            <v>0</v>
          </cell>
          <cell r="AC1441">
            <v>0</v>
          </cell>
          <cell r="AD1441">
            <v>0</v>
          </cell>
          <cell r="AJ1441">
            <v>0</v>
          </cell>
          <cell r="AK1441">
            <v>0</v>
          </cell>
        </row>
        <row r="1442">
          <cell r="B1442" t="str">
            <v/>
          </cell>
          <cell r="H1442" t="str">
            <v/>
          </cell>
          <cell r="J1442" t="str">
            <v/>
          </cell>
          <cell r="N1442" t="str">
            <v/>
          </cell>
          <cell r="O1442" t="str">
            <v/>
          </cell>
          <cell r="P1442" t="str">
            <v/>
          </cell>
          <cell r="Q1442" t="str">
            <v/>
          </cell>
          <cell r="T1442" t="str">
            <v/>
          </cell>
          <cell r="U1442" t="str">
            <v/>
          </cell>
          <cell r="W1442" t="str">
            <v/>
          </cell>
          <cell r="X1442" t="str">
            <v/>
          </cell>
          <cell r="AB1442">
            <v>0</v>
          </cell>
          <cell r="AC1442">
            <v>0</v>
          </cell>
          <cell r="AD1442">
            <v>0</v>
          </cell>
          <cell r="AJ1442">
            <v>0</v>
          </cell>
          <cell r="AK1442">
            <v>0</v>
          </cell>
        </row>
        <row r="1443">
          <cell r="B1443" t="str">
            <v/>
          </cell>
          <cell r="H1443" t="str">
            <v/>
          </cell>
          <cell r="J1443" t="str">
            <v/>
          </cell>
          <cell r="N1443" t="str">
            <v/>
          </cell>
          <cell r="O1443" t="str">
            <v/>
          </cell>
          <cell r="P1443" t="str">
            <v/>
          </cell>
          <cell r="Q1443" t="str">
            <v/>
          </cell>
          <cell r="T1443" t="str">
            <v/>
          </cell>
          <cell r="U1443" t="str">
            <v/>
          </cell>
          <cell r="W1443" t="str">
            <v/>
          </cell>
          <cell r="X1443" t="str">
            <v/>
          </cell>
          <cell r="AB1443">
            <v>0</v>
          </cell>
          <cell r="AC1443">
            <v>0</v>
          </cell>
          <cell r="AD1443">
            <v>0</v>
          </cell>
          <cell r="AJ1443">
            <v>0</v>
          </cell>
          <cell r="AK1443">
            <v>0</v>
          </cell>
        </row>
        <row r="1444">
          <cell r="B1444" t="str">
            <v/>
          </cell>
          <cell r="H1444" t="str">
            <v/>
          </cell>
          <cell r="J1444" t="str">
            <v/>
          </cell>
          <cell r="N1444" t="str">
            <v/>
          </cell>
          <cell r="O1444" t="str">
            <v/>
          </cell>
          <cell r="P1444" t="str">
            <v/>
          </cell>
          <cell r="Q1444" t="str">
            <v/>
          </cell>
          <cell r="T1444" t="str">
            <v/>
          </cell>
          <cell r="U1444" t="str">
            <v/>
          </cell>
          <cell r="W1444" t="str">
            <v/>
          </cell>
          <cell r="X1444" t="str">
            <v/>
          </cell>
          <cell r="AB1444">
            <v>0</v>
          </cell>
          <cell r="AC1444">
            <v>0</v>
          </cell>
          <cell r="AD1444">
            <v>0</v>
          </cell>
          <cell r="AJ1444">
            <v>0</v>
          </cell>
          <cell r="AK1444">
            <v>0</v>
          </cell>
        </row>
        <row r="1445">
          <cell r="B1445" t="str">
            <v/>
          </cell>
          <cell r="H1445" t="str">
            <v/>
          </cell>
          <cell r="J1445" t="str">
            <v/>
          </cell>
          <cell r="N1445" t="str">
            <v/>
          </cell>
          <cell r="O1445" t="str">
            <v/>
          </cell>
          <cell r="P1445" t="str">
            <v/>
          </cell>
          <cell r="Q1445" t="str">
            <v/>
          </cell>
          <cell r="T1445" t="str">
            <v/>
          </cell>
          <cell r="U1445" t="str">
            <v/>
          </cell>
          <cell r="W1445" t="str">
            <v/>
          </cell>
          <cell r="X1445" t="str">
            <v/>
          </cell>
          <cell r="AB1445">
            <v>0</v>
          </cell>
          <cell r="AC1445">
            <v>0</v>
          </cell>
          <cell r="AD1445">
            <v>0</v>
          </cell>
          <cell r="AJ1445">
            <v>0</v>
          </cell>
          <cell r="AK1445">
            <v>0</v>
          </cell>
        </row>
        <row r="1446">
          <cell r="B1446" t="str">
            <v/>
          </cell>
          <cell r="H1446" t="str">
            <v/>
          </cell>
          <cell r="J1446" t="str">
            <v/>
          </cell>
          <cell r="N1446" t="str">
            <v/>
          </cell>
          <cell r="O1446" t="str">
            <v/>
          </cell>
          <cell r="P1446" t="str">
            <v/>
          </cell>
          <cell r="Q1446" t="str">
            <v/>
          </cell>
          <cell r="T1446" t="str">
            <v/>
          </cell>
          <cell r="U1446" t="str">
            <v/>
          </cell>
          <cell r="W1446" t="str">
            <v/>
          </cell>
          <cell r="X1446" t="str">
            <v/>
          </cell>
          <cell r="AB1446">
            <v>0</v>
          </cell>
          <cell r="AC1446">
            <v>0</v>
          </cell>
          <cell r="AD1446">
            <v>0</v>
          </cell>
          <cell r="AJ1446">
            <v>0</v>
          </cell>
          <cell r="AK1446">
            <v>0</v>
          </cell>
        </row>
        <row r="1447">
          <cell r="B1447" t="str">
            <v/>
          </cell>
          <cell r="H1447" t="str">
            <v/>
          </cell>
          <cell r="J1447" t="str">
            <v/>
          </cell>
          <cell r="N1447" t="str">
            <v/>
          </cell>
          <cell r="O1447" t="str">
            <v/>
          </cell>
          <cell r="P1447" t="str">
            <v/>
          </cell>
          <cell r="Q1447" t="str">
            <v/>
          </cell>
          <cell r="T1447" t="str">
            <v/>
          </cell>
          <cell r="U1447" t="str">
            <v/>
          </cell>
          <cell r="W1447" t="str">
            <v/>
          </cell>
          <cell r="X1447" t="str">
            <v/>
          </cell>
          <cell r="AB1447">
            <v>0</v>
          </cell>
          <cell r="AC1447">
            <v>0</v>
          </cell>
          <cell r="AD1447">
            <v>0</v>
          </cell>
          <cell r="AJ1447">
            <v>0</v>
          </cell>
          <cell r="AK1447">
            <v>0</v>
          </cell>
        </row>
        <row r="1448">
          <cell r="B1448" t="str">
            <v/>
          </cell>
          <cell r="H1448" t="str">
            <v/>
          </cell>
          <cell r="J1448" t="str">
            <v/>
          </cell>
          <cell r="N1448" t="str">
            <v/>
          </cell>
          <cell r="O1448" t="str">
            <v/>
          </cell>
          <cell r="P1448" t="str">
            <v/>
          </cell>
          <cell r="Q1448" t="str">
            <v/>
          </cell>
          <cell r="T1448" t="str">
            <v/>
          </cell>
          <cell r="U1448" t="str">
            <v/>
          </cell>
          <cell r="W1448" t="str">
            <v/>
          </cell>
          <cell r="X1448" t="str">
            <v/>
          </cell>
          <cell r="AB1448">
            <v>0</v>
          </cell>
          <cell r="AC1448">
            <v>0</v>
          </cell>
          <cell r="AD1448">
            <v>0</v>
          </cell>
          <cell r="AJ1448">
            <v>0</v>
          </cell>
          <cell r="AK1448">
            <v>0</v>
          </cell>
        </row>
        <row r="1449">
          <cell r="B1449" t="str">
            <v/>
          </cell>
          <cell r="H1449" t="str">
            <v/>
          </cell>
          <cell r="J1449" t="str">
            <v/>
          </cell>
          <cell r="N1449" t="str">
            <v/>
          </cell>
          <cell r="O1449" t="str">
            <v/>
          </cell>
          <cell r="P1449" t="str">
            <v/>
          </cell>
          <cell r="Q1449" t="str">
            <v/>
          </cell>
          <cell r="T1449" t="str">
            <v/>
          </cell>
          <cell r="U1449" t="str">
            <v/>
          </cell>
          <cell r="W1449" t="str">
            <v/>
          </cell>
          <cell r="X1449" t="str">
            <v/>
          </cell>
          <cell r="AB1449">
            <v>0</v>
          </cell>
          <cell r="AC1449">
            <v>0</v>
          </cell>
          <cell r="AD1449">
            <v>0</v>
          </cell>
          <cell r="AJ1449">
            <v>0</v>
          </cell>
          <cell r="AK1449">
            <v>0</v>
          </cell>
        </row>
        <row r="1450">
          <cell r="B1450" t="str">
            <v/>
          </cell>
          <cell r="H1450" t="str">
            <v/>
          </cell>
          <cell r="J1450" t="str">
            <v/>
          </cell>
          <cell r="N1450" t="str">
            <v/>
          </cell>
          <cell r="O1450" t="str">
            <v/>
          </cell>
          <cell r="P1450" t="str">
            <v/>
          </cell>
          <cell r="Q1450" t="str">
            <v/>
          </cell>
          <cell r="T1450" t="str">
            <v/>
          </cell>
          <cell r="U1450" t="str">
            <v/>
          </cell>
          <cell r="W1450" t="str">
            <v/>
          </cell>
          <cell r="X1450" t="str">
            <v/>
          </cell>
          <cell r="AB1450">
            <v>0</v>
          </cell>
          <cell r="AC1450">
            <v>0</v>
          </cell>
          <cell r="AD1450">
            <v>0</v>
          </cell>
          <cell r="AJ1450">
            <v>0</v>
          </cell>
          <cell r="AK1450">
            <v>0</v>
          </cell>
        </row>
        <row r="1451">
          <cell r="B1451" t="str">
            <v/>
          </cell>
          <cell r="H1451" t="str">
            <v/>
          </cell>
          <cell r="J1451" t="str">
            <v/>
          </cell>
          <cell r="N1451" t="str">
            <v/>
          </cell>
          <cell r="O1451" t="str">
            <v/>
          </cell>
          <cell r="P1451" t="str">
            <v/>
          </cell>
          <cell r="Q1451" t="str">
            <v/>
          </cell>
          <cell r="T1451" t="str">
            <v/>
          </cell>
          <cell r="U1451" t="str">
            <v/>
          </cell>
          <cell r="W1451" t="str">
            <v/>
          </cell>
          <cell r="X1451" t="str">
            <v/>
          </cell>
          <cell r="AB1451">
            <v>0</v>
          </cell>
          <cell r="AC1451">
            <v>0</v>
          </cell>
          <cell r="AD1451">
            <v>0</v>
          </cell>
          <cell r="AJ1451">
            <v>0</v>
          </cell>
          <cell r="AK1451">
            <v>0</v>
          </cell>
        </row>
        <row r="1452">
          <cell r="B1452" t="str">
            <v/>
          </cell>
          <cell r="H1452" t="str">
            <v/>
          </cell>
          <cell r="J1452" t="str">
            <v/>
          </cell>
          <cell r="N1452" t="str">
            <v/>
          </cell>
          <cell r="O1452" t="str">
            <v/>
          </cell>
          <cell r="P1452" t="str">
            <v/>
          </cell>
          <cell r="Q1452" t="str">
            <v/>
          </cell>
          <cell r="T1452" t="str">
            <v/>
          </cell>
          <cell r="U1452" t="str">
            <v/>
          </cell>
          <cell r="W1452" t="str">
            <v/>
          </cell>
          <cell r="X1452" t="str">
            <v/>
          </cell>
          <cell r="AB1452">
            <v>0</v>
          </cell>
          <cell r="AC1452">
            <v>0</v>
          </cell>
          <cell r="AD1452">
            <v>0</v>
          </cell>
          <cell r="AJ1452">
            <v>0</v>
          </cell>
          <cell r="AK1452">
            <v>0</v>
          </cell>
        </row>
        <row r="1453">
          <cell r="B1453" t="str">
            <v/>
          </cell>
          <cell r="H1453" t="str">
            <v/>
          </cell>
          <cell r="J1453" t="str">
            <v/>
          </cell>
          <cell r="N1453" t="str">
            <v/>
          </cell>
          <cell r="O1453" t="str">
            <v/>
          </cell>
          <cell r="P1453" t="str">
            <v/>
          </cell>
          <cell r="Q1453" t="str">
            <v/>
          </cell>
          <cell r="T1453" t="str">
            <v/>
          </cell>
          <cell r="U1453" t="str">
            <v/>
          </cell>
          <cell r="W1453" t="str">
            <v/>
          </cell>
          <cell r="X1453" t="str">
            <v/>
          </cell>
          <cell r="AB1453">
            <v>0</v>
          </cell>
          <cell r="AC1453">
            <v>0</v>
          </cell>
          <cell r="AD1453">
            <v>0</v>
          </cell>
          <cell r="AJ1453">
            <v>0</v>
          </cell>
          <cell r="AK1453">
            <v>0</v>
          </cell>
        </row>
        <row r="1454">
          <cell r="B1454" t="str">
            <v/>
          </cell>
          <cell r="H1454" t="str">
            <v/>
          </cell>
          <cell r="J1454" t="str">
            <v/>
          </cell>
          <cell r="N1454" t="str">
            <v/>
          </cell>
          <cell r="O1454" t="str">
            <v/>
          </cell>
          <cell r="P1454" t="str">
            <v/>
          </cell>
          <cell r="Q1454" t="str">
            <v/>
          </cell>
          <cell r="T1454" t="str">
            <v/>
          </cell>
          <cell r="U1454" t="str">
            <v/>
          </cell>
          <cell r="W1454" t="str">
            <v/>
          </cell>
          <cell r="X1454" t="str">
            <v/>
          </cell>
          <cell r="AB1454">
            <v>0</v>
          </cell>
          <cell r="AC1454">
            <v>0</v>
          </cell>
          <cell r="AD1454">
            <v>0</v>
          </cell>
          <cell r="AJ1454">
            <v>0</v>
          </cell>
          <cell r="AK1454">
            <v>0</v>
          </cell>
        </row>
        <row r="1455">
          <cell r="B1455" t="str">
            <v/>
          </cell>
          <cell r="H1455" t="str">
            <v/>
          </cell>
          <cell r="J1455" t="str">
            <v/>
          </cell>
          <cell r="N1455" t="str">
            <v/>
          </cell>
          <cell r="O1455" t="str">
            <v/>
          </cell>
          <cell r="P1455" t="str">
            <v/>
          </cell>
          <cell r="Q1455" t="str">
            <v/>
          </cell>
          <cell r="T1455" t="str">
            <v/>
          </cell>
          <cell r="U1455" t="str">
            <v/>
          </cell>
          <cell r="W1455" t="str">
            <v/>
          </cell>
          <cell r="X1455" t="str">
            <v/>
          </cell>
          <cell r="AB1455">
            <v>0</v>
          </cell>
          <cell r="AC1455">
            <v>0</v>
          </cell>
          <cell r="AD1455">
            <v>0</v>
          </cell>
          <cell r="AJ1455">
            <v>0</v>
          </cell>
          <cell r="AK1455">
            <v>0</v>
          </cell>
        </row>
        <row r="1456">
          <cell r="B1456" t="str">
            <v/>
          </cell>
          <cell r="H1456" t="str">
            <v/>
          </cell>
          <cell r="J1456" t="str">
            <v/>
          </cell>
          <cell r="N1456" t="str">
            <v/>
          </cell>
          <cell r="O1456" t="str">
            <v/>
          </cell>
          <cell r="P1456" t="str">
            <v/>
          </cell>
          <cell r="Q1456" t="str">
            <v/>
          </cell>
          <cell r="T1456" t="str">
            <v/>
          </cell>
          <cell r="U1456" t="str">
            <v/>
          </cell>
          <cell r="W1456" t="str">
            <v/>
          </cell>
          <cell r="X1456" t="str">
            <v/>
          </cell>
          <cell r="AB1456">
            <v>0</v>
          </cell>
          <cell r="AC1456">
            <v>0</v>
          </cell>
          <cell r="AD1456">
            <v>0</v>
          </cell>
          <cell r="AJ1456">
            <v>0</v>
          </cell>
          <cell r="AK1456">
            <v>0</v>
          </cell>
        </row>
        <row r="1457">
          <cell r="B1457" t="str">
            <v/>
          </cell>
          <cell r="H1457" t="str">
            <v/>
          </cell>
          <cell r="J1457" t="str">
            <v/>
          </cell>
          <cell r="N1457" t="str">
            <v/>
          </cell>
          <cell r="O1457" t="str">
            <v/>
          </cell>
          <cell r="P1457" t="str">
            <v/>
          </cell>
          <cell r="Q1457" t="str">
            <v/>
          </cell>
          <cell r="T1457" t="str">
            <v/>
          </cell>
          <cell r="U1457" t="str">
            <v/>
          </cell>
          <cell r="W1457" t="str">
            <v/>
          </cell>
          <cell r="X1457" t="str">
            <v/>
          </cell>
          <cell r="AB1457">
            <v>0</v>
          </cell>
          <cell r="AC1457">
            <v>0</v>
          </cell>
          <cell r="AD1457">
            <v>0</v>
          </cell>
          <cell r="AJ1457">
            <v>0</v>
          </cell>
          <cell r="AK1457">
            <v>0</v>
          </cell>
        </row>
        <row r="1458">
          <cell r="B1458" t="str">
            <v/>
          </cell>
          <cell r="H1458" t="str">
            <v/>
          </cell>
          <cell r="J1458" t="str">
            <v/>
          </cell>
          <cell r="N1458" t="str">
            <v/>
          </cell>
          <cell r="O1458" t="str">
            <v/>
          </cell>
          <cell r="P1458" t="str">
            <v/>
          </cell>
          <cell r="Q1458" t="str">
            <v/>
          </cell>
          <cell r="T1458" t="str">
            <v/>
          </cell>
          <cell r="U1458" t="str">
            <v/>
          </cell>
          <cell r="W1458" t="str">
            <v/>
          </cell>
          <cell r="X1458" t="str">
            <v/>
          </cell>
          <cell r="AB1458">
            <v>0</v>
          </cell>
          <cell r="AC1458">
            <v>0</v>
          </cell>
          <cell r="AD1458">
            <v>0</v>
          </cell>
          <cell r="AJ1458">
            <v>0</v>
          </cell>
          <cell r="AK1458">
            <v>0</v>
          </cell>
        </row>
        <row r="1459">
          <cell r="B1459" t="str">
            <v/>
          </cell>
          <cell r="H1459" t="str">
            <v/>
          </cell>
          <cell r="J1459" t="str">
            <v/>
          </cell>
          <cell r="N1459" t="str">
            <v/>
          </cell>
          <cell r="O1459" t="str">
            <v/>
          </cell>
          <cell r="P1459" t="str">
            <v/>
          </cell>
          <cell r="Q1459" t="str">
            <v/>
          </cell>
          <cell r="T1459" t="str">
            <v/>
          </cell>
          <cell r="U1459" t="str">
            <v/>
          </cell>
          <cell r="W1459" t="str">
            <v/>
          </cell>
          <cell r="X1459" t="str">
            <v/>
          </cell>
          <cell r="AB1459">
            <v>0</v>
          </cell>
          <cell r="AC1459">
            <v>0</v>
          </cell>
          <cell r="AD1459">
            <v>0</v>
          </cell>
          <cell r="AJ1459">
            <v>0</v>
          </cell>
          <cell r="AK1459">
            <v>0</v>
          </cell>
        </row>
        <row r="1460">
          <cell r="B1460" t="str">
            <v/>
          </cell>
          <cell r="H1460" t="str">
            <v/>
          </cell>
          <cell r="J1460" t="str">
            <v/>
          </cell>
          <cell r="N1460" t="str">
            <v/>
          </cell>
          <cell r="O1460" t="str">
            <v/>
          </cell>
          <cell r="P1460" t="str">
            <v/>
          </cell>
          <cell r="Q1460" t="str">
            <v/>
          </cell>
          <cell r="T1460" t="str">
            <v/>
          </cell>
          <cell r="U1460" t="str">
            <v/>
          </cell>
          <cell r="W1460" t="str">
            <v/>
          </cell>
          <cell r="X1460" t="str">
            <v/>
          </cell>
          <cell r="AB1460">
            <v>0</v>
          </cell>
          <cell r="AC1460">
            <v>0</v>
          </cell>
          <cell r="AD1460">
            <v>0</v>
          </cell>
          <cell r="AJ1460">
            <v>0</v>
          </cell>
          <cell r="AK1460">
            <v>0</v>
          </cell>
        </row>
        <row r="1461">
          <cell r="B1461" t="str">
            <v/>
          </cell>
          <cell r="H1461" t="str">
            <v/>
          </cell>
          <cell r="J1461" t="str">
            <v/>
          </cell>
          <cell r="N1461" t="str">
            <v/>
          </cell>
          <cell r="O1461" t="str">
            <v/>
          </cell>
          <cell r="P1461" t="str">
            <v/>
          </cell>
          <cell r="Q1461" t="str">
            <v/>
          </cell>
          <cell r="T1461" t="str">
            <v/>
          </cell>
          <cell r="U1461" t="str">
            <v/>
          </cell>
          <cell r="W1461" t="str">
            <v/>
          </cell>
          <cell r="X1461" t="str">
            <v/>
          </cell>
          <cell r="AB1461">
            <v>0</v>
          </cell>
          <cell r="AC1461">
            <v>0</v>
          </cell>
          <cell r="AD1461">
            <v>0</v>
          </cell>
          <cell r="AJ1461">
            <v>0</v>
          </cell>
          <cell r="AK1461">
            <v>0</v>
          </cell>
        </row>
        <row r="1462">
          <cell r="B1462" t="str">
            <v/>
          </cell>
          <cell r="H1462" t="str">
            <v/>
          </cell>
          <cell r="J1462" t="str">
            <v/>
          </cell>
          <cell r="N1462" t="str">
            <v/>
          </cell>
          <cell r="O1462" t="str">
            <v/>
          </cell>
          <cell r="P1462" t="str">
            <v/>
          </cell>
          <cell r="Q1462" t="str">
            <v/>
          </cell>
          <cell r="T1462" t="str">
            <v/>
          </cell>
          <cell r="U1462" t="str">
            <v/>
          </cell>
          <cell r="W1462" t="str">
            <v/>
          </cell>
          <cell r="X1462" t="str">
            <v/>
          </cell>
          <cell r="AB1462">
            <v>0</v>
          </cell>
          <cell r="AC1462">
            <v>0</v>
          </cell>
          <cell r="AD1462">
            <v>0</v>
          </cell>
          <cell r="AJ1462">
            <v>0</v>
          </cell>
          <cell r="AK1462">
            <v>0</v>
          </cell>
        </row>
        <row r="1463">
          <cell r="B1463" t="str">
            <v/>
          </cell>
          <cell r="H1463" t="str">
            <v/>
          </cell>
          <cell r="J1463" t="str">
            <v/>
          </cell>
          <cell r="N1463" t="str">
            <v/>
          </cell>
          <cell r="O1463" t="str">
            <v/>
          </cell>
          <cell r="P1463" t="str">
            <v/>
          </cell>
          <cell r="Q1463" t="str">
            <v/>
          </cell>
          <cell r="T1463" t="str">
            <v/>
          </cell>
          <cell r="U1463" t="str">
            <v/>
          </cell>
          <cell r="W1463" t="str">
            <v/>
          </cell>
          <cell r="X1463" t="str">
            <v/>
          </cell>
          <cell r="AB1463">
            <v>0</v>
          </cell>
          <cell r="AC1463">
            <v>0</v>
          </cell>
          <cell r="AD1463">
            <v>0</v>
          </cell>
          <cell r="AJ1463">
            <v>0</v>
          </cell>
          <cell r="AK1463">
            <v>0</v>
          </cell>
        </row>
        <row r="1464">
          <cell r="B1464" t="str">
            <v/>
          </cell>
          <cell r="H1464" t="str">
            <v/>
          </cell>
          <cell r="J1464" t="str">
            <v/>
          </cell>
          <cell r="N1464" t="str">
            <v/>
          </cell>
          <cell r="O1464" t="str">
            <v/>
          </cell>
          <cell r="P1464" t="str">
            <v/>
          </cell>
          <cell r="Q1464" t="str">
            <v/>
          </cell>
          <cell r="T1464" t="str">
            <v/>
          </cell>
          <cell r="U1464" t="str">
            <v/>
          </cell>
          <cell r="W1464" t="str">
            <v/>
          </cell>
          <cell r="X1464" t="str">
            <v/>
          </cell>
          <cell r="AB1464">
            <v>0</v>
          </cell>
          <cell r="AC1464">
            <v>0</v>
          </cell>
          <cell r="AD1464">
            <v>0</v>
          </cell>
          <cell r="AJ1464">
            <v>0</v>
          </cell>
          <cell r="AK1464">
            <v>0</v>
          </cell>
        </row>
        <row r="1465">
          <cell r="B1465" t="str">
            <v/>
          </cell>
          <cell r="H1465" t="str">
            <v/>
          </cell>
          <cell r="J1465" t="str">
            <v/>
          </cell>
          <cell r="N1465" t="str">
            <v/>
          </cell>
          <cell r="O1465" t="str">
            <v/>
          </cell>
          <cell r="P1465" t="str">
            <v/>
          </cell>
          <cell r="Q1465" t="str">
            <v/>
          </cell>
          <cell r="T1465" t="str">
            <v/>
          </cell>
          <cell r="U1465" t="str">
            <v/>
          </cell>
          <cell r="W1465" t="str">
            <v/>
          </cell>
          <cell r="X1465" t="str">
            <v/>
          </cell>
          <cell r="AB1465">
            <v>0</v>
          </cell>
          <cell r="AC1465">
            <v>0</v>
          </cell>
          <cell r="AD1465">
            <v>0</v>
          </cell>
          <cell r="AJ1465">
            <v>0</v>
          </cell>
          <cell r="AK1465">
            <v>0</v>
          </cell>
        </row>
        <row r="1466">
          <cell r="B1466" t="str">
            <v/>
          </cell>
          <cell r="H1466" t="str">
            <v/>
          </cell>
          <cell r="J1466" t="str">
            <v/>
          </cell>
          <cell r="N1466" t="str">
            <v/>
          </cell>
          <cell r="O1466" t="str">
            <v/>
          </cell>
          <cell r="P1466" t="str">
            <v/>
          </cell>
          <cell r="Q1466" t="str">
            <v/>
          </cell>
          <cell r="T1466" t="str">
            <v/>
          </cell>
          <cell r="U1466" t="str">
            <v/>
          </cell>
          <cell r="W1466" t="str">
            <v/>
          </cell>
          <cell r="X1466" t="str">
            <v/>
          </cell>
          <cell r="AB1466">
            <v>0</v>
          </cell>
          <cell r="AC1466">
            <v>0</v>
          </cell>
          <cell r="AD1466">
            <v>0</v>
          </cell>
          <cell r="AJ1466">
            <v>0</v>
          </cell>
          <cell r="AK1466">
            <v>0</v>
          </cell>
        </row>
        <row r="1467">
          <cell r="B1467" t="str">
            <v/>
          </cell>
          <cell r="H1467" t="str">
            <v/>
          </cell>
          <cell r="J1467" t="str">
            <v/>
          </cell>
          <cell r="N1467" t="str">
            <v/>
          </cell>
          <cell r="O1467" t="str">
            <v/>
          </cell>
          <cell r="P1467" t="str">
            <v/>
          </cell>
          <cell r="Q1467" t="str">
            <v/>
          </cell>
          <cell r="T1467" t="str">
            <v/>
          </cell>
          <cell r="U1467" t="str">
            <v/>
          </cell>
          <cell r="W1467" t="str">
            <v/>
          </cell>
          <cell r="X1467" t="str">
            <v/>
          </cell>
          <cell r="AB1467">
            <v>0</v>
          </cell>
          <cell r="AC1467">
            <v>0</v>
          </cell>
          <cell r="AD1467">
            <v>0</v>
          </cell>
          <cell r="AJ1467">
            <v>0</v>
          </cell>
          <cell r="AK1467">
            <v>0</v>
          </cell>
        </row>
        <row r="1468">
          <cell r="B1468" t="str">
            <v/>
          </cell>
          <cell r="H1468" t="str">
            <v/>
          </cell>
          <cell r="J1468" t="str">
            <v/>
          </cell>
          <cell r="N1468" t="str">
            <v/>
          </cell>
          <cell r="O1468" t="str">
            <v/>
          </cell>
          <cell r="P1468" t="str">
            <v/>
          </cell>
          <cell r="Q1468" t="str">
            <v/>
          </cell>
          <cell r="T1468" t="str">
            <v/>
          </cell>
          <cell r="U1468" t="str">
            <v/>
          </cell>
          <cell r="W1468" t="str">
            <v/>
          </cell>
          <cell r="X1468" t="str">
            <v/>
          </cell>
          <cell r="AB1468">
            <v>0</v>
          </cell>
          <cell r="AC1468">
            <v>0</v>
          </cell>
          <cell r="AD1468">
            <v>0</v>
          </cell>
          <cell r="AJ1468">
            <v>0</v>
          </cell>
          <cell r="AK1468">
            <v>0</v>
          </cell>
        </row>
        <row r="1469">
          <cell r="B1469" t="str">
            <v/>
          </cell>
          <cell r="H1469" t="str">
            <v/>
          </cell>
          <cell r="J1469" t="str">
            <v/>
          </cell>
          <cell r="N1469" t="str">
            <v/>
          </cell>
          <cell r="O1469" t="str">
            <v/>
          </cell>
          <cell r="P1469" t="str">
            <v/>
          </cell>
          <cell r="Q1469" t="str">
            <v/>
          </cell>
          <cell r="T1469" t="str">
            <v/>
          </cell>
          <cell r="U1469" t="str">
            <v/>
          </cell>
          <cell r="W1469" t="str">
            <v/>
          </cell>
          <cell r="X1469" t="str">
            <v/>
          </cell>
          <cell r="AB1469">
            <v>0</v>
          </cell>
          <cell r="AC1469">
            <v>0</v>
          </cell>
          <cell r="AD1469">
            <v>0</v>
          </cell>
          <cell r="AJ1469">
            <v>0</v>
          </cell>
          <cell r="AK1469">
            <v>0</v>
          </cell>
        </row>
        <row r="1470">
          <cell r="B1470" t="str">
            <v/>
          </cell>
          <cell r="H1470" t="str">
            <v/>
          </cell>
          <cell r="J1470" t="str">
            <v/>
          </cell>
          <cell r="N1470" t="str">
            <v/>
          </cell>
          <cell r="O1470" t="str">
            <v/>
          </cell>
          <cell r="P1470" t="str">
            <v/>
          </cell>
          <cell r="Q1470" t="str">
            <v/>
          </cell>
          <cell r="T1470" t="str">
            <v/>
          </cell>
          <cell r="U1470" t="str">
            <v/>
          </cell>
          <cell r="W1470" t="str">
            <v/>
          </cell>
          <cell r="X1470" t="str">
            <v/>
          </cell>
          <cell r="AB1470">
            <v>0</v>
          </cell>
          <cell r="AC1470">
            <v>0</v>
          </cell>
          <cell r="AD1470">
            <v>0</v>
          </cell>
          <cell r="AJ1470">
            <v>0</v>
          </cell>
          <cell r="AK1470">
            <v>0</v>
          </cell>
        </row>
        <row r="1471">
          <cell r="B1471" t="str">
            <v/>
          </cell>
          <cell r="H1471" t="str">
            <v/>
          </cell>
          <cell r="J1471" t="str">
            <v/>
          </cell>
          <cell r="N1471" t="str">
            <v/>
          </cell>
          <cell r="O1471" t="str">
            <v/>
          </cell>
          <cell r="P1471" t="str">
            <v/>
          </cell>
          <cell r="Q1471" t="str">
            <v/>
          </cell>
          <cell r="T1471" t="str">
            <v/>
          </cell>
          <cell r="U1471" t="str">
            <v/>
          </cell>
          <cell r="W1471" t="str">
            <v/>
          </cell>
          <cell r="X1471" t="str">
            <v/>
          </cell>
          <cell r="AB1471">
            <v>0</v>
          </cell>
          <cell r="AC1471">
            <v>0</v>
          </cell>
          <cell r="AD1471">
            <v>0</v>
          </cell>
          <cell r="AJ1471">
            <v>0</v>
          </cell>
          <cell r="AK1471">
            <v>0</v>
          </cell>
        </row>
        <row r="1472">
          <cell r="B1472" t="str">
            <v/>
          </cell>
          <cell r="H1472" t="str">
            <v/>
          </cell>
          <cell r="J1472" t="str">
            <v/>
          </cell>
          <cell r="N1472" t="str">
            <v/>
          </cell>
          <cell r="O1472" t="str">
            <v/>
          </cell>
          <cell r="P1472" t="str">
            <v/>
          </cell>
          <cell r="Q1472" t="str">
            <v/>
          </cell>
          <cell r="T1472" t="str">
            <v/>
          </cell>
          <cell r="U1472" t="str">
            <v/>
          </cell>
          <cell r="W1472" t="str">
            <v/>
          </cell>
          <cell r="X1472" t="str">
            <v/>
          </cell>
          <cell r="AB1472">
            <v>0</v>
          </cell>
          <cell r="AC1472">
            <v>0</v>
          </cell>
          <cell r="AD1472">
            <v>0</v>
          </cell>
          <cell r="AJ1472">
            <v>0</v>
          </cell>
          <cell r="AK1472">
            <v>0</v>
          </cell>
        </row>
        <row r="1473">
          <cell r="B1473" t="str">
            <v/>
          </cell>
          <cell r="H1473" t="str">
            <v/>
          </cell>
          <cell r="J1473" t="str">
            <v/>
          </cell>
          <cell r="N1473" t="str">
            <v/>
          </cell>
          <cell r="O1473" t="str">
            <v/>
          </cell>
          <cell r="P1473" t="str">
            <v/>
          </cell>
          <cell r="Q1473" t="str">
            <v/>
          </cell>
          <cell r="T1473" t="str">
            <v/>
          </cell>
          <cell r="U1473" t="str">
            <v/>
          </cell>
          <cell r="W1473" t="str">
            <v/>
          </cell>
          <cell r="X1473" t="str">
            <v/>
          </cell>
          <cell r="AB1473">
            <v>0</v>
          </cell>
          <cell r="AC1473">
            <v>0</v>
          </cell>
          <cell r="AD1473">
            <v>0</v>
          </cell>
          <cell r="AJ1473">
            <v>0</v>
          </cell>
          <cell r="AK1473">
            <v>0</v>
          </cell>
        </row>
        <row r="1474">
          <cell r="B1474" t="str">
            <v/>
          </cell>
          <cell r="H1474" t="str">
            <v/>
          </cell>
          <cell r="J1474" t="str">
            <v/>
          </cell>
          <cell r="N1474" t="str">
            <v/>
          </cell>
          <cell r="O1474" t="str">
            <v/>
          </cell>
          <cell r="P1474" t="str">
            <v/>
          </cell>
          <cell r="Q1474" t="str">
            <v/>
          </cell>
          <cell r="T1474" t="str">
            <v/>
          </cell>
          <cell r="U1474" t="str">
            <v/>
          </cell>
          <cell r="W1474" t="str">
            <v/>
          </cell>
          <cell r="X1474" t="str">
            <v/>
          </cell>
          <cell r="AB1474">
            <v>0</v>
          </cell>
          <cell r="AC1474">
            <v>0</v>
          </cell>
          <cell r="AD1474">
            <v>0</v>
          </cell>
          <cell r="AJ1474">
            <v>0</v>
          </cell>
          <cell r="AK1474">
            <v>0</v>
          </cell>
        </row>
        <row r="1475">
          <cell r="B1475" t="str">
            <v/>
          </cell>
          <cell r="H1475" t="str">
            <v/>
          </cell>
          <cell r="J1475" t="str">
            <v/>
          </cell>
          <cell r="N1475" t="str">
            <v/>
          </cell>
          <cell r="O1475" t="str">
            <v/>
          </cell>
          <cell r="P1475" t="str">
            <v/>
          </cell>
          <cell r="Q1475" t="str">
            <v/>
          </cell>
          <cell r="T1475" t="str">
            <v/>
          </cell>
          <cell r="U1475" t="str">
            <v/>
          </cell>
          <cell r="W1475" t="str">
            <v/>
          </cell>
          <cell r="X1475" t="str">
            <v/>
          </cell>
          <cell r="AB1475">
            <v>0</v>
          </cell>
          <cell r="AC1475">
            <v>0</v>
          </cell>
          <cell r="AD1475">
            <v>0</v>
          </cell>
          <cell r="AJ1475">
            <v>0</v>
          </cell>
          <cell r="AK1475">
            <v>0</v>
          </cell>
        </row>
        <row r="1476">
          <cell r="B1476" t="str">
            <v/>
          </cell>
          <cell r="H1476" t="str">
            <v/>
          </cell>
          <cell r="J1476" t="str">
            <v/>
          </cell>
          <cell r="N1476" t="str">
            <v/>
          </cell>
          <cell r="O1476" t="str">
            <v/>
          </cell>
          <cell r="P1476" t="str">
            <v/>
          </cell>
          <cell r="Q1476" t="str">
            <v/>
          </cell>
          <cell r="T1476" t="str">
            <v/>
          </cell>
          <cell r="U1476" t="str">
            <v/>
          </cell>
          <cell r="W1476" t="str">
            <v/>
          </cell>
          <cell r="X1476" t="str">
            <v/>
          </cell>
          <cell r="AB1476">
            <v>0</v>
          </cell>
          <cell r="AC1476">
            <v>0</v>
          </cell>
          <cell r="AD1476">
            <v>0</v>
          </cell>
          <cell r="AJ1476">
            <v>0</v>
          </cell>
          <cell r="AK1476">
            <v>0</v>
          </cell>
        </row>
        <row r="1477">
          <cell r="B1477" t="str">
            <v/>
          </cell>
          <cell r="H1477" t="str">
            <v/>
          </cell>
          <cell r="J1477" t="str">
            <v/>
          </cell>
          <cell r="N1477" t="str">
            <v/>
          </cell>
          <cell r="O1477" t="str">
            <v/>
          </cell>
          <cell r="P1477" t="str">
            <v/>
          </cell>
          <cell r="Q1477" t="str">
            <v/>
          </cell>
          <cell r="T1477" t="str">
            <v/>
          </cell>
          <cell r="U1477" t="str">
            <v/>
          </cell>
          <cell r="W1477" t="str">
            <v/>
          </cell>
          <cell r="X1477" t="str">
            <v/>
          </cell>
          <cell r="AB1477">
            <v>0</v>
          </cell>
          <cell r="AC1477">
            <v>0</v>
          </cell>
          <cell r="AD1477">
            <v>0</v>
          </cell>
          <cell r="AJ1477">
            <v>0</v>
          </cell>
          <cell r="AK1477">
            <v>0</v>
          </cell>
        </row>
        <row r="1478">
          <cell r="B1478" t="str">
            <v/>
          </cell>
          <cell r="H1478" t="str">
            <v/>
          </cell>
          <cell r="J1478" t="str">
            <v/>
          </cell>
          <cell r="N1478" t="str">
            <v/>
          </cell>
          <cell r="O1478" t="str">
            <v/>
          </cell>
          <cell r="P1478" t="str">
            <v/>
          </cell>
          <cell r="Q1478" t="str">
            <v/>
          </cell>
          <cell r="T1478" t="str">
            <v/>
          </cell>
          <cell r="U1478" t="str">
            <v/>
          </cell>
          <cell r="W1478" t="str">
            <v/>
          </cell>
          <cell r="X1478" t="str">
            <v/>
          </cell>
          <cell r="AB1478">
            <v>0</v>
          </cell>
          <cell r="AC1478">
            <v>0</v>
          </cell>
          <cell r="AD1478">
            <v>0</v>
          </cell>
          <cell r="AJ1478">
            <v>0</v>
          </cell>
          <cell r="AK1478">
            <v>0</v>
          </cell>
        </row>
        <row r="1479">
          <cell r="B1479" t="str">
            <v/>
          </cell>
          <cell r="H1479" t="str">
            <v/>
          </cell>
          <cell r="J1479" t="str">
            <v/>
          </cell>
          <cell r="N1479" t="str">
            <v/>
          </cell>
          <cell r="O1479" t="str">
            <v/>
          </cell>
          <cell r="P1479" t="str">
            <v/>
          </cell>
          <cell r="Q1479" t="str">
            <v/>
          </cell>
          <cell r="T1479" t="str">
            <v/>
          </cell>
          <cell r="U1479" t="str">
            <v/>
          </cell>
          <cell r="W1479" t="str">
            <v/>
          </cell>
          <cell r="X1479" t="str">
            <v/>
          </cell>
          <cell r="AB1479">
            <v>0</v>
          </cell>
          <cell r="AC1479">
            <v>0</v>
          </cell>
          <cell r="AD1479">
            <v>0</v>
          </cell>
          <cell r="AJ1479">
            <v>0</v>
          </cell>
          <cell r="AK1479">
            <v>0</v>
          </cell>
        </row>
        <row r="1480">
          <cell r="B1480" t="str">
            <v/>
          </cell>
          <cell r="H1480" t="str">
            <v/>
          </cell>
          <cell r="J1480" t="str">
            <v/>
          </cell>
          <cell r="N1480" t="str">
            <v/>
          </cell>
          <cell r="O1480" t="str">
            <v/>
          </cell>
          <cell r="P1480" t="str">
            <v/>
          </cell>
          <cell r="Q1480" t="str">
            <v/>
          </cell>
          <cell r="T1480" t="str">
            <v/>
          </cell>
          <cell r="U1480" t="str">
            <v/>
          </cell>
          <cell r="W1480" t="str">
            <v/>
          </cell>
          <cell r="X1480" t="str">
            <v/>
          </cell>
          <cell r="AB1480">
            <v>0</v>
          </cell>
          <cell r="AC1480">
            <v>0</v>
          </cell>
          <cell r="AD1480">
            <v>0</v>
          </cell>
          <cell r="AJ1480">
            <v>0</v>
          </cell>
          <cell r="AK1480">
            <v>0</v>
          </cell>
        </row>
        <row r="1481">
          <cell r="B1481" t="str">
            <v/>
          </cell>
          <cell r="H1481" t="str">
            <v/>
          </cell>
          <cell r="J1481" t="str">
            <v/>
          </cell>
          <cell r="N1481" t="str">
            <v/>
          </cell>
          <cell r="O1481" t="str">
            <v/>
          </cell>
          <cell r="P1481" t="str">
            <v/>
          </cell>
          <cell r="Q1481" t="str">
            <v/>
          </cell>
          <cell r="T1481" t="str">
            <v/>
          </cell>
          <cell r="U1481" t="str">
            <v/>
          </cell>
          <cell r="W1481" t="str">
            <v/>
          </cell>
          <cell r="X1481" t="str">
            <v/>
          </cell>
          <cell r="AB1481">
            <v>0</v>
          </cell>
          <cell r="AC1481">
            <v>0</v>
          </cell>
          <cell r="AD1481">
            <v>0</v>
          </cell>
          <cell r="AJ1481">
            <v>0</v>
          </cell>
          <cell r="AK1481">
            <v>0</v>
          </cell>
        </row>
        <row r="1482">
          <cell r="B1482" t="str">
            <v/>
          </cell>
          <cell r="H1482" t="str">
            <v/>
          </cell>
          <cell r="J1482" t="str">
            <v/>
          </cell>
          <cell r="N1482" t="str">
            <v/>
          </cell>
          <cell r="O1482" t="str">
            <v/>
          </cell>
          <cell r="P1482" t="str">
            <v/>
          </cell>
          <cell r="Q1482" t="str">
            <v/>
          </cell>
          <cell r="T1482" t="str">
            <v/>
          </cell>
          <cell r="U1482" t="str">
            <v/>
          </cell>
          <cell r="W1482" t="str">
            <v/>
          </cell>
          <cell r="X1482" t="str">
            <v/>
          </cell>
          <cell r="AB1482">
            <v>0</v>
          </cell>
          <cell r="AC1482">
            <v>0</v>
          </cell>
          <cell r="AD1482">
            <v>0</v>
          </cell>
          <cell r="AJ1482">
            <v>0</v>
          </cell>
          <cell r="AK1482">
            <v>0</v>
          </cell>
        </row>
        <row r="1483">
          <cell r="B1483" t="str">
            <v/>
          </cell>
          <cell r="H1483" t="str">
            <v/>
          </cell>
          <cell r="J1483" t="str">
            <v/>
          </cell>
          <cell r="N1483" t="str">
            <v/>
          </cell>
          <cell r="O1483" t="str">
            <v/>
          </cell>
          <cell r="P1483" t="str">
            <v/>
          </cell>
          <cell r="Q1483" t="str">
            <v/>
          </cell>
          <cell r="T1483" t="str">
            <v/>
          </cell>
          <cell r="U1483" t="str">
            <v/>
          </cell>
          <cell r="W1483" t="str">
            <v/>
          </cell>
          <cell r="X1483" t="str">
            <v/>
          </cell>
          <cell r="AB1483">
            <v>0</v>
          </cell>
          <cell r="AC1483">
            <v>0</v>
          </cell>
          <cell r="AD1483">
            <v>0</v>
          </cell>
          <cell r="AJ1483">
            <v>0</v>
          </cell>
          <cell r="AK1483">
            <v>0</v>
          </cell>
        </row>
        <row r="1484">
          <cell r="B1484" t="str">
            <v/>
          </cell>
          <cell r="H1484" t="str">
            <v/>
          </cell>
          <cell r="J1484" t="str">
            <v/>
          </cell>
          <cell r="N1484" t="str">
            <v/>
          </cell>
          <cell r="O1484" t="str">
            <v/>
          </cell>
          <cell r="P1484" t="str">
            <v/>
          </cell>
          <cell r="Q1484" t="str">
            <v/>
          </cell>
          <cell r="T1484" t="str">
            <v/>
          </cell>
          <cell r="U1484" t="str">
            <v/>
          </cell>
          <cell r="W1484" t="str">
            <v/>
          </cell>
          <cell r="X1484" t="str">
            <v/>
          </cell>
          <cell r="AB1484">
            <v>0</v>
          </cell>
          <cell r="AC1484">
            <v>0</v>
          </cell>
          <cell r="AD1484">
            <v>0</v>
          </cell>
          <cell r="AJ1484">
            <v>0</v>
          </cell>
          <cell r="AK1484">
            <v>0</v>
          </cell>
        </row>
        <row r="1485">
          <cell r="B1485" t="str">
            <v/>
          </cell>
          <cell r="H1485" t="str">
            <v/>
          </cell>
          <cell r="J1485" t="str">
            <v/>
          </cell>
          <cell r="N1485" t="str">
            <v/>
          </cell>
          <cell r="O1485" t="str">
            <v/>
          </cell>
          <cell r="P1485" t="str">
            <v/>
          </cell>
          <cell r="Q1485" t="str">
            <v/>
          </cell>
          <cell r="T1485" t="str">
            <v/>
          </cell>
          <cell r="U1485" t="str">
            <v/>
          </cell>
          <cell r="W1485" t="str">
            <v/>
          </cell>
          <cell r="X1485" t="str">
            <v/>
          </cell>
          <cell r="AB1485">
            <v>0</v>
          </cell>
          <cell r="AC1485">
            <v>0</v>
          </cell>
          <cell r="AD1485">
            <v>0</v>
          </cell>
          <cell r="AJ1485">
            <v>0</v>
          </cell>
          <cell r="AK1485">
            <v>0</v>
          </cell>
        </row>
        <row r="1486">
          <cell r="B1486" t="str">
            <v/>
          </cell>
          <cell r="H1486" t="str">
            <v/>
          </cell>
          <cell r="J1486" t="str">
            <v/>
          </cell>
          <cell r="N1486" t="str">
            <v/>
          </cell>
          <cell r="O1486" t="str">
            <v/>
          </cell>
          <cell r="P1486" t="str">
            <v/>
          </cell>
          <cell r="Q1486" t="str">
            <v/>
          </cell>
          <cell r="T1486" t="str">
            <v/>
          </cell>
          <cell r="U1486" t="str">
            <v/>
          </cell>
          <cell r="W1486" t="str">
            <v/>
          </cell>
          <cell r="X1486" t="str">
            <v/>
          </cell>
          <cell r="AB1486">
            <v>0</v>
          </cell>
          <cell r="AC1486">
            <v>0</v>
          </cell>
          <cell r="AD1486">
            <v>0</v>
          </cell>
          <cell r="AJ1486">
            <v>0</v>
          </cell>
          <cell r="AK1486">
            <v>0</v>
          </cell>
        </row>
        <row r="1487">
          <cell r="B1487" t="str">
            <v/>
          </cell>
          <cell r="H1487" t="str">
            <v/>
          </cell>
          <cell r="J1487" t="str">
            <v/>
          </cell>
          <cell r="N1487" t="str">
            <v/>
          </cell>
          <cell r="O1487" t="str">
            <v/>
          </cell>
          <cell r="P1487" t="str">
            <v/>
          </cell>
          <cell r="Q1487" t="str">
            <v/>
          </cell>
          <cell r="T1487" t="str">
            <v/>
          </cell>
          <cell r="U1487" t="str">
            <v/>
          </cell>
          <cell r="W1487" t="str">
            <v/>
          </cell>
          <cell r="X1487" t="str">
            <v/>
          </cell>
          <cell r="AB1487">
            <v>0</v>
          </cell>
          <cell r="AC1487">
            <v>0</v>
          </cell>
          <cell r="AD1487">
            <v>0</v>
          </cell>
          <cell r="AJ1487">
            <v>0</v>
          </cell>
          <cell r="AK1487">
            <v>0</v>
          </cell>
        </row>
        <row r="1488">
          <cell r="B1488" t="str">
            <v/>
          </cell>
          <cell r="H1488" t="str">
            <v/>
          </cell>
          <cell r="J1488" t="str">
            <v/>
          </cell>
          <cell r="N1488" t="str">
            <v/>
          </cell>
          <cell r="O1488" t="str">
            <v/>
          </cell>
          <cell r="P1488" t="str">
            <v/>
          </cell>
          <cell r="Q1488" t="str">
            <v/>
          </cell>
          <cell r="T1488" t="str">
            <v/>
          </cell>
          <cell r="U1488" t="str">
            <v/>
          </cell>
          <cell r="W1488" t="str">
            <v/>
          </cell>
          <cell r="X1488" t="str">
            <v/>
          </cell>
          <cell r="AB1488">
            <v>0</v>
          </cell>
          <cell r="AC1488">
            <v>0</v>
          </cell>
          <cell r="AD1488">
            <v>0</v>
          </cell>
          <cell r="AJ1488">
            <v>0</v>
          </cell>
          <cell r="AK1488">
            <v>0</v>
          </cell>
        </row>
        <row r="1489">
          <cell r="B1489" t="str">
            <v/>
          </cell>
          <cell r="H1489" t="str">
            <v/>
          </cell>
          <cell r="J1489" t="str">
            <v/>
          </cell>
          <cell r="N1489" t="str">
            <v/>
          </cell>
          <cell r="O1489" t="str">
            <v/>
          </cell>
          <cell r="P1489" t="str">
            <v/>
          </cell>
          <cell r="Q1489" t="str">
            <v/>
          </cell>
          <cell r="T1489" t="str">
            <v/>
          </cell>
          <cell r="U1489" t="str">
            <v/>
          </cell>
          <cell r="W1489" t="str">
            <v/>
          </cell>
          <cell r="X1489" t="str">
            <v/>
          </cell>
          <cell r="AB1489">
            <v>0</v>
          </cell>
          <cell r="AC1489">
            <v>0</v>
          </cell>
          <cell r="AD1489">
            <v>0</v>
          </cell>
          <cell r="AJ1489">
            <v>0</v>
          </cell>
          <cell r="AK1489">
            <v>0</v>
          </cell>
        </row>
        <row r="1490">
          <cell r="B1490" t="str">
            <v/>
          </cell>
          <cell r="H1490" t="str">
            <v/>
          </cell>
          <cell r="J1490" t="str">
            <v/>
          </cell>
          <cell r="N1490" t="str">
            <v/>
          </cell>
          <cell r="O1490" t="str">
            <v/>
          </cell>
          <cell r="P1490" t="str">
            <v/>
          </cell>
          <cell r="Q1490" t="str">
            <v/>
          </cell>
          <cell r="T1490" t="str">
            <v/>
          </cell>
          <cell r="U1490" t="str">
            <v/>
          </cell>
          <cell r="W1490" t="str">
            <v/>
          </cell>
          <cell r="X1490" t="str">
            <v/>
          </cell>
          <cell r="AB1490">
            <v>0</v>
          </cell>
          <cell r="AC1490">
            <v>0</v>
          </cell>
          <cell r="AD1490">
            <v>0</v>
          </cell>
          <cell r="AJ1490">
            <v>0</v>
          </cell>
          <cell r="AK1490">
            <v>0</v>
          </cell>
        </row>
        <row r="1491">
          <cell r="B1491" t="str">
            <v/>
          </cell>
          <cell r="H1491" t="str">
            <v/>
          </cell>
          <cell r="J1491" t="str">
            <v/>
          </cell>
          <cell r="N1491" t="str">
            <v/>
          </cell>
          <cell r="O1491" t="str">
            <v/>
          </cell>
          <cell r="P1491" t="str">
            <v/>
          </cell>
          <cell r="Q1491" t="str">
            <v/>
          </cell>
          <cell r="T1491" t="str">
            <v/>
          </cell>
          <cell r="U1491" t="str">
            <v/>
          </cell>
          <cell r="W1491" t="str">
            <v/>
          </cell>
          <cell r="X1491" t="str">
            <v/>
          </cell>
          <cell r="AB1491">
            <v>0</v>
          </cell>
          <cell r="AC1491">
            <v>0</v>
          </cell>
          <cell r="AD1491">
            <v>0</v>
          </cell>
          <cell r="AJ1491">
            <v>0</v>
          </cell>
          <cell r="AK1491">
            <v>0</v>
          </cell>
        </row>
        <row r="1492">
          <cell r="B1492" t="str">
            <v/>
          </cell>
          <cell r="H1492" t="str">
            <v/>
          </cell>
          <cell r="J1492" t="str">
            <v/>
          </cell>
          <cell r="N1492" t="str">
            <v/>
          </cell>
          <cell r="O1492" t="str">
            <v/>
          </cell>
          <cell r="P1492" t="str">
            <v/>
          </cell>
          <cell r="Q1492" t="str">
            <v/>
          </cell>
          <cell r="T1492" t="str">
            <v/>
          </cell>
          <cell r="U1492" t="str">
            <v/>
          </cell>
          <cell r="W1492" t="str">
            <v/>
          </cell>
          <cell r="X1492" t="str">
            <v/>
          </cell>
          <cell r="AB1492">
            <v>0</v>
          </cell>
          <cell r="AC1492">
            <v>0</v>
          </cell>
          <cell r="AD1492">
            <v>0</v>
          </cell>
          <cell r="AJ1492">
            <v>0</v>
          </cell>
          <cell r="AK1492">
            <v>0</v>
          </cell>
        </row>
        <row r="1493">
          <cell r="B1493" t="str">
            <v/>
          </cell>
          <cell r="H1493" t="str">
            <v/>
          </cell>
          <cell r="J1493" t="str">
            <v/>
          </cell>
          <cell r="N1493" t="str">
            <v/>
          </cell>
          <cell r="O1493" t="str">
            <v/>
          </cell>
          <cell r="P1493" t="str">
            <v/>
          </cell>
          <cell r="Q1493" t="str">
            <v/>
          </cell>
          <cell r="T1493" t="str">
            <v/>
          </cell>
          <cell r="U1493" t="str">
            <v/>
          </cell>
          <cell r="W1493" t="str">
            <v/>
          </cell>
          <cell r="X1493" t="str">
            <v/>
          </cell>
          <cell r="AB1493">
            <v>0</v>
          </cell>
          <cell r="AC1493">
            <v>0</v>
          </cell>
          <cell r="AD1493">
            <v>0</v>
          </cell>
          <cell r="AJ1493">
            <v>0</v>
          </cell>
          <cell r="AK1493">
            <v>0</v>
          </cell>
        </row>
        <row r="1494">
          <cell r="B1494" t="str">
            <v/>
          </cell>
          <cell r="H1494" t="str">
            <v/>
          </cell>
          <cell r="J1494" t="str">
            <v/>
          </cell>
          <cell r="N1494" t="str">
            <v/>
          </cell>
          <cell r="O1494" t="str">
            <v/>
          </cell>
          <cell r="P1494" t="str">
            <v/>
          </cell>
          <cell r="Q1494" t="str">
            <v/>
          </cell>
          <cell r="T1494" t="str">
            <v/>
          </cell>
          <cell r="U1494" t="str">
            <v/>
          </cell>
          <cell r="W1494" t="str">
            <v/>
          </cell>
          <cell r="X1494" t="str">
            <v/>
          </cell>
          <cell r="AB1494">
            <v>0</v>
          </cell>
          <cell r="AC1494">
            <v>0</v>
          </cell>
          <cell r="AD1494">
            <v>0</v>
          </cell>
          <cell r="AJ1494">
            <v>0</v>
          </cell>
          <cell r="AK1494">
            <v>0</v>
          </cell>
        </row>
        <row r="1495">
          <cell r="B1495" t="str">
            <v/>
          </cell>
          <cell r="H1495" t="str">
            <v/>
          </cell>
          <cell r="J1495" t="str">
            <v/>
          </cell>
          <cell r="N1495" t="str">
            <v/>
          </cell>
          <cell r="O1495" t="str">
            <v/>
          </cell>
          <cell r="P1495" t="str">
            <v/>
          </cell>
          <cell r="Q1495" t="str">
            <v/>
          </cell>
          <cell r="T1495" t="str">
            <v/>
          </cell>
          <cell r="U1495" t="str">
            <v/>
          </cell>
          <cell r="W1495" t="str">
            <v/>
          </cell>
          <cell r="X1495" t="str">
            <v/>
          </cell>
          <cell r="AB1495">
            <v>0</v>
          </cell>
          <cell r="AC1495">
            <v>0</v>
          </cell>
          <cell r="AD1495">
            <v>0</v>
          </cell>
          <cell r="AJ1495">
            <v>0</v>
          </cell>
          <cell r="AK1495">
            <v>0</v>
          </cell>
        </row>
        <row r="1496">
          <cell r="B1496" t="str">
            <v/>
          </cell>
          <cell r="H1496" t="str">
            <v/>
          </cell>
          <cell r="J1496" t="str">
            <v/>
          </cell>
          <cell r="N1496" t="str">
            <v/>
          </cell>
          <cell r="O1496" t="str">
            <v/>
          </cell>
          <cell r="P1496" t="str">
            <v/>
          </cell>
          <cell r="Q1496" t="str">
            <v/>
          </cell>
          <cell r="T1496" t="str">
            <v/>
          </cell>
          <cell r="U1496" t="str">
            <v/>
          </cell>
          <cell r="W1496" t="str">
            <v/>
          </cell>
          <cell r="X1496" t="str">
            <v/>
          </cell>
          <cell r="AB1496">
            <v>0</v>
          </cell>
          <cell r="AC1496">
            <v>0</v>
          </cell>
          <cell r="AD1496">
            <v>0</v>
          </cell>
          <cell r="AJ1496">
            <v>0</v>
          </cell>
          <cell r="AK1496">
            <v>0</v>
          </cell>
        </row>
        <row r="1497">
          <cell r="B1497" t="str">
            <v/>
          </cell>
          <cell r="H1497" t="str">
            <v/>
          </cell>
          <cell r="J1497" t="str">
            <v/>
          </cell>
          <cell r="N1497" t="str">
            <v/>
          </cell>
          <cell r="O1497" t="str">
            <v/>
          </cell>
          <cell r="P1497" t="str">
            <v/>
          </cell>
          <cell r="Q1497" t="str">
            <v/>
          </cell>
          <cell r="T1497" t="str">
            <v/>
          </cell>
          <cell r="U1497" t="str">
            <v/>
          </cell>
          <cell r="W1497" t="str">
            <v/>
          </cell>
          <cell r="X1497" t="str">
            <v/>
          </cell>
          <cell r="AB1497">
            <v>0</v>
          </cell>
          <cell r="AC1497">
            <v>0</v>
          </cell>
          <cell r="AD1497">
            <v>0</v>
          </cell>
          <cell r="AJ1497">
            <v>0</v>
          </cell>
          <cell r="AK1497">
            <v>0</v>
          </cell>
        </row>
        <row r="1498">
          <cell r="B1498" t="str">
            <v/>
          </cell>
          <cell r="H1498" t="str">
            <v/>
          </cell>
          <cell r="J1498" t="str">
            <v/>
          </cell>
          <cell r="N1498" t="str">
            <v/>
          </cell>
          <cell r="O1498" t="str">
            <v/>
          </cell>
          <cell r="P1498" t="str">
            <v/>
          </cell>
          <cell r="Q1498" t="str">
            <v/>
          </cell>
          <cell r="T1498" t="str">
            <v/>
          </cell>
          <cell r="U1498" t="str">
            <v/>
          </cell>
          <cell r="W1498" t="str">
            <v/>
          </cell>
          <cell r="X1498" t="str">
            <v/>
          </cell>
          <cell r="AB1498">
            <v>0</v>
          </cell>
          <cell r="AC1498">
            <v>0</v>
          </cell>
          <cell r="AD1498">
            <v>0</v>
          </cell>
          <cell r="AJ1498">
            <v>0</v>
          </cell>
          <cell r="AK1498">
            <v>0</v>
          </cell>
        </row>
        <row r="1499">
          <cell r="B1499" t="str">
            <v/>
          </cell>
          <cell r="H1499" t="str">
            <v/>
          </cell>
          <cell r="J1499" t="str">
            <v/>
          </cell>
          <cell r="N1499" t="str">
            <v/>
          </cell>
          <cell r="O1499" t="str">
            <v/>
          </cell>
          <cell r="P1499" t="str">
            <v/>
          </cell>
          <cell r="Q1499" t="str">
            <v/>
          </cell>
          <cell r="T1499" t="str">
            <v/>
          </cell>
          <cell r="U1499" t="str">
            <v/>
          </cell>
          <cell r="W1499" t="str">
            <v/>
          </cell>
          <cell r="X1499" t="str">
            <v/>
          </cell>
          <cell r="AB1499">
            <v>0</v>
          </cell>
          <cell r="AC1499">
            <v>0</v>
          </cell>
          <cell r="AD1499">
            <v>0</v>
          </cell>
          <cell r="AJ1499">
            <v>0</v>
          </cell>
          <cell r="AK1499">
            <v>0</v>
          </cell>
        </row>
        <row r="1500">
          <cell r="B1500" t="str">
            <v/>
          </cell>
          <cell r="H1500" t="str">
            <v/>
          </cell>
          <cell r="J1500" t="str">
            <v/>
          </cell>
          <cell r="N1500" t="str">
            <v/>
          </cell>
          <cell r="O1500" t="str">
            <v/>
          </cell>
          <cell r="P1500" t="str">
            <v/>
          </cell>
          <cell r="Q1500" t="str">
            <v/>
          </cell>
          <cell r="T1500" t="str">
            <v/>
          </cell>
          <cell r="U1500" t="str">
            <v/>
          </cell>
          <cell r="W1500" t="str">
            <v/>
          </cell>
          <cell r="X1500" t="str">
            <v/>
          </cell>
          <cell r="AB1500">
            <v>0</v>
          </cell>
          <cell r="AC1500">
            <v>0</v>
          </cell>
          <cell r="AD1500">
            <v>0</v>
          </cell>
          <cell r="AJ1500">
            <v>0</v>
          </cell>
          <cell r="AK1500">
            <v>0</v>
          </cell>
        </row>
        <row r="1501">
          <cell r="B1501" t="str">
            <v/>
          </cell>
          <cell r="H1501" t="str">
            <v/>
          </cell>
          <cell r="J1501" t="str">
            <v/>
          </cell>
          <cell r="N1501" t="str">
            <v/>
          </cell>
          <cell r="O1501" t="str">
            <v/>
          </cell>
          <cell r="P1501" t="str">
            <v/>
          </cell>
          <cell r="Q1501" t="str">
            <v/>
          </cell>
          <cell r="T1501" t="str">
            <v/>
          </cell>
          <cell r="U1501" t="str">
            <v/>
          </cell>
          <cell r="W1501" t="str">
            <v/>
          </cell>
          <cell r="X1501" t="str">
            <v/>
          </cell>
          <cell r="AB1501">
            <v>0</v>
          </cell>
          <cell r="AC1501">
            <v>0</v>
          </cell>
          <cell r="AD1501">
            <v>0</v>
          </cell>
          <cell r="AJ1501">
            <v>0</v>
          </cell>
          <cell r="AK1501">
            <v>0</v>
          </cell>
        </row>
        <row r="1502">
          <cell r="B1502" t="str">
            <v/>
          </cell>
          <cell r="H1502" t="str">
            <v/>
          </cell>
          <cell r="J1502" t="str">
            <v/>
          </cell>
          <cell r="N1502" t="str">
            <v/>
          </cell>
          <cell r="O1502" t="str">
            <v/>
          </cell>
          <cell r="P1502" t="str">
            <v/>
          </cell>
          <cell r="Q1502" t="str">
            <v/>
          </cell>
          <cell r="T1502" t="str">
            <v/>
          </cell>
          <cell r="U1502" t="str">
            <v/>
          </cell>
          <cell r="W1502" t="str">
            <v/>
          </cell>
          <cell r="X1502" t="str">
            <v/>
          </cell>
          <cell r="AB1502">
            <v>0</v>
          </cell>
          <cell r="AC1502">
            <v>0</v>
          </cell>
          <cell r="AD1502">
            <v>0</v>
          </cell>
          <cell r="AJ1502">
            <v>0</v>
          </cell>
          <cell r="AK1502">
            <v>0</v>
          </cell>
        </row>
        <row r="1503">
          <cell r="B1503" t="str">
            <v/>
          </cell>
          <cell r="H1503" t="str">
            <v/>
          </cell>
          <cell r="J1503" t="str">
            <v/>
          </cell>
          <cell r="N1503" t="str">
            <v/>
          </cell>
          <cell r="O1503" t="str">
            <v/>
          </cell>
          <cell r="P1503" t="str">
            <v/>
          </cell>
          <cell r="Q1503" t="str">
            <v/>
          </cell>
          <cell r="T1503" t="str">
            <v/>
          </cell>
          <cell r="U1503" t="str">
            <v/>
          </cell>
          <cell r="W1503" t="str">
            <v/>
          </cell>
          <cell r="X1503" t="str">
            <v/>
          </cell>
          <cell r="AB1503">
            <v>0</v>
          </cell>
          <cell r="AC1503">
            <v>0</v>
          </cell>
          <cell r="AD1503">
            <v>0</v>
          </cell>
          <cell r="AJ1503">
            <v>0</v>
          </cell>
          <cell r="AK1503">
            <v>0</v>
          </cell>
        </row>
        <row r="1504">
          <cell r="B1504" t="str">
            <v/>
          </cell>
          <cell r="H1504" t="str">
            <v/>
          </cell>
          <cell r="J1504" t="str">
            <v/>
          </cell>
          <cell r="N1504" t="str">
            <v/>
          </cell>
          <cell r="O1504" t="str">
            <v/>
          </cell>
          <cell r="P1504" t="str">
            <v/>
          </cell>
          <cell r="Q1504" t="str">
            <v/>
          </cell>
          <cell r="T1504" t="str">
            <v/>
          </cell>
          <cell r="U1504" t="str">
            <v/>
          </cell>
          <cell r="W1504" t="str">
            <v/>
          </cell>
          <cell r="X1504" t="str">
            <v/>
          </cell>
          <cell r="AB1504">
            <v>0</v>
          </cell>
          <cell r="AC1504">
            <v>0</v>
          </cell>
          <cell r="AD1504">
            <v>0</v>
          </cell>
          <cell r="AJ1504">
            <v>0</v>
          </cell>
          <cell r="AK1504">
            <v>0</v>
          </cell>
        </row>
        <row r="1505">
          <cell r="B1505" t="str">
            <v/>
          </cell>
          <cell r="H1505" t="str">
            <v/>
          </cell>
          <cell r="J1505" t="str">
            <v/>
          </cell>
          <cell r="N1505" t="str">
            <v/>
          </cell>
          <cell r="O1505" t="str">
            <v/>
          </cell>
          <cell r="P1505" t="str">
            <v/>
          </cell>
          <cell r="Q1505" t="str">
            <v/>
          </cell>
          <cell r="T1505" t="str">
            <v/>
          </cell>
          <cell r="U1505" t="str">
            <v/>
          </cell>
          <cell r="W1505" t="str">
            <v/>
          </cell>
          <cell r="X1505" t="str">
            <v/>
          </cell>
          <cell r="AB1505">
            <v>0</v>
          </cell>
          <cell r="AC1505">
            <v>0</v>
          </cell>
          <cell r="AD1505">
            <v>0</v>
          </cell>
          <cell r="AJ1505">
            <v>0</v>
          </cell>
          <cell r="AK1505">
            <v>0</v>
          </cell>
        </row>
        <row r="1506">
          <cell r="B1506" t="str">
            <v/>
          </cell>
          <cell r="H1506" t="str">
            <v/>
          </cell>
          <cell r="J1506" t="str">
            <v/>
          </cell>
          <cell r="N1506" t="str">
            <v/>
          </cell>
          <cell r="O1506" t="str">
            <v/>
          </cell>
          <cell r="P1506" t="str">
            <v/>
          </cell>
          <cell r="Q1506" t="str">
            <v/>
          </cell>
          <cell r="T1506" t="str">
            <v/>
          </cell>
          <cell r="U1506" t="str">
            <v/>
          </cell>
          <cell r="W1506" t="str">
            <v/>
          </cell>
          <cell r="X1506" t="str">
            <v/>
          </cell>
          <cell r="AB1506">
            <v>0</v>
          </cell>
          <cell r="AC1506">
            <v>0</v>
          </cell>
          <cell r="AD1506">
            <v>0</v>
          </cell>
          <cell r="AJ1506">
            <v>0</v>
          </cell>
          <cell r="AK1506">
            <v>0</v>
          </cell>
        </row>
        <row r="1507">
          <cell r="B1507" t="str">
            <v/>
          </cell>
          <cell r="H1507" t="str">
            <v/>
          </cell>
          <cell r="J1507" t="str">
            <v/>
          </cell>
          <cell r="N1507" t="str">
            <v/>
          </cell>
          <cell r="O1507" t="str">
            <v/>
          </cell>
          <cell r="P1507" t="str">
            <v/>
          </cell>
          <cell r="Q1507" t="str">
            <v/>
          </cell>
          <cell r="T1507" t="str">
            <v/>
          </cell>
          <cell r="U1507" t="str">
            <v/>
          </cell>
          <cell r="W1507" t="str">
            <v/>
          </cell>
          <cell r="X1507" t="str">
            <v/>
          </cell>
          <cell r="AB1507">
            <v>0</v>
          </cell>
          <cell r="AC1507">
            <v>0</v>
          </cell>
          <cell r="AD1507">
            <v>0</v>
          </cell>
          <cell r="AJ1507">
            <v>0</v>
          </cell>
          <cell r="AK1507">
            <v>0</v>
          </cell>
        </row>
        <row r="1508">
          <cell r="B1508" t="str">
            <v/>
          </cell>
          <cell r="H1508" t="str">
            <v/>
          </cell>
          <cell r="J1508" t="str">
            <v/>
          </cell>
          <cell r="N1508" t="str">
            <v/>
          </cell>
          <cell r="O1508" t="str">
            <v/>
          </cell>
          <cell r="P1508" t="str">
            <v/>
          </cell>
          <cell r="Q1508" t="str">
            <v/>
          </cell>
          <cell r="T1508" t="str">
            <v/>
          </cell>
          <cell r="U1508" t="str">
            <v/>
          </cell>
          <cell r="W1508" t="str">
            <v/>
          </cell>
          <cell r="X1508" t="str">
            <v/>
          </cell>
          <cell r="AB1508">
            <v>0</v>
          </cell>
          <cell r="AC1508">
            <v>0</v>
          </cell>
          <cell r="AD1508">
            <v>0</v>
          </cell>
          <cell r="AJ1508">
            <v>0</v>
          </cell>
          <cell r="AK1508">
            <v>0</v>
          </cell>
        </row>
        <row r="1509">
          <cell r="B1509" t="str">
            <v/>
          </cell>
          <cell r="H1509" t="str">
            <v/>
          </cell>
          <cell r="J1509" t="str">
            <v/>
          </cell>
          <cell r="N1509" t="str">
            <v/>
          </cell>
          <cell r="O1509" t="str">
            <v/>
          </cell>
          <cell r="P1509" t="str">
            <v/>
          </cell>
          <cell r="Q1509" t="str">
            <v/>
          </cell>
          <cell r="T1509" t="str">
            <v/>
          </cell>
          <cell r="U1509" t="str">
            <v/>
          </cell>
          <cell r="W1509" t="str">
            <v/>
          </cell>
          <cell r="X1509" t="str">
            <v/>
          </cell>
          <cell r="AB1509">
            <v>0</v>
          </cell>
          <cell r="AC1509">
            <v>0</v>
          </cell>
          <cell r="AD1509">
            <v>0</v>
          </cell>
          <cell r="AJ1509">
            <v>0</v>
          </cell>
          <cell r="AK1509">
            <v>0</v>
          </cell>
        </row>
        <row r="1510">
          <cell r="B1510" t="str">
            <v/>
          </cell>
          <cell r="H1510" t="str">
            <v/>
          </cell>
          <cell r="J1510" t="str">
            <v/>
          </cell>
          <cell r="N1510" t="str">
            <v/>
          </cell>
          <cell r="O1510" t="str">
            <v/>
          </cell>
          <cell r="P1510" t="str">
            <v/>
          </cell>
          <cell r="Q1510" t="str">
            <v/>
          </cell>
          <cell r="T1510" t="str">
            <v/>
          </cell>
          <cell r="U1510" t="str">
            <v/>
          </cell>
          <cell r="W1510" t="str">
            <v/>
          </cell>
          <cell r="X1510" t="str">
            <v/>
          </cell>
          <cell r="AB1510">
            <v>0</v>
          </cell>
          <cell r="AC1510">
            <v>0</v>
          </cell>
          <cell r="AD1510">
            <v>0</v>
          </cell>
          <cell r="AJ1510">
            <v>0</v>
          </cell>
          <cell r="AK1510">
            <v>0</v>
          </cell>
        </row>
        <row r="1511">
          <cell r="B1511" t="str">
            <v/>
          </cell>
          <cell r="H1511" t="str">
            <v/>
          </cell>
          <cell r="J1511" t="str">
            <v/>
          </cell>
          <cell r="N1511" t="str">
            <v/>
          </cell>
          <cell r="O1511" t="str">
            <v/>
          </cell>
          <cell r="P1511" t="str">
            <v/>
          </cell>
          <cell r="Q1511" t="str">
            <v/>
          </cell>
          <cell r="T1511" t="str">
            <v/>
          </cell>
          <cell r="U1511" t="str">
            <v/>
          </cell>
          <cell r="W1511" t="str">
            <v/>
          </cell>
          <cell r="X1511" t="str">
            <v/>
          </cell>
          <cell r="AB1511">
            <v>0</v>
          </cell>
          <cell r="AC1511">
            <v>0</v>
          </cell>
          <cell r="AD1511">
            <v>0</v>
          </cell>
          <cell r="AJ1511">
            <v>0</v>
          </cell>
          <cell r="AK1511">
            <v>0</v>
          </cell>
        </row>
        <row r="1512">
          <cell r="B1512" t="str">
            <v/>
          </cell>
          <cell r="H1512" t="str">
            <v/>
          </cell>
          <cell r="J1512" t="str">
            <v/>
          </cell>
          <cell r="N1512" t="str">
            <v/>
          </cell>
          <cell r="O1512" t="str">
            <v/>
          </cell>
          <cell r="P1512" t="str">
            <v/>
          </cell>
          <cell r="Q1512" t="str">
            <v/>
          </cell>
          <cell r="T1512" t="str">
            <v/>
          </cell>
          <cell r="U1512" t="str">
            <v/>
          </cell>
          <cell r="W1512" t="str">
            <v/>
          </cell>
          <cell r="X1512" t="str">
            <v/>
          </cell>
          <cell r="AB1512">
            <v>0</v>
          </cell>
          <cell r="AC1512">
            <v>0</v>
          </cell>
          <cell r="AD1512">
            <v>0</v>
          </cell>
          <cell r="AJ1512">
            <v>0</v>
          </cell>
          <cell r="AK1512">
            <v>0</v>
          </cell>
        </row>
        <row r="1513">
          <cell r="B1513" t="str">
            <v/>
          </cell>
          <cell r="H1513" t="str">
            <v/>
          </cell>
          <cell r="J1513" t="str">
            <v/>
          </cell>
          <cell r="N1513" t="str">
            <v/>
          </cell>
          <cell r="O1513" t="str">
            <v/>
          </cell>
          <cell r="P1513" t="str">
            <v/>
          </cell>
          <cell r="Q1513" t="str">
            <v/>
          </cell>
          <cell r="T1513" t="str">
            <v/>
          </cell>
          <cell r="U1513" t="str">
            <v/>
          </cell>
          <cell r="W1513" t="str">
            <v/>
          </cell>
          <cell r="X1513" t="str">
            <v/>
          </cell>
          <cell r="AB1513">
            <v>0</v>
          </cell>
          <cell r="AC1513">
            <v>0</v>
          </cell>
          <cell r="AD1513">
            <v>0</v>
          </cell>
          <cell r="AJ1513">
            <v>0</v>
          </cell>
          <cell r="AK1513">
            <v>0</v>
          </cell>
        </row>
        <row r="1514">
          <cell r="B1514" t="str">
            <v/>
          </cell>
          <cell r="H1514" t="str">
            <v/>
          </cell>
          <cell r="J1514" t="str">
            <v/>
          </cell>
          <cell r="N1514" t="str">
            <v/>
          </cell>
          <cell r="O1514" t="str">
            <v/>
          </cell>
          <cell r="P1514" t="str">
            <v/>
          </cell>
          <cell r="Q1514" t="str">
            <v/>
          </cell>
          <cell r="T1514" t="str">
            <v/>
          </cell>
          <cell r="U1514" t="str">
            <v/>
          </cell>
          <cell r="W1514" t="str">
            <v/>
          </cell>
          <cell r="X1514" t="str">
            <v/>
          </cell>
          <cell r="AB1514">
            <v>0</v>
          </cell>
          <cell r="AC1514">
            <v>0</v>
          </cell>
          <cell r="AD1514">
            <v>0</v>
          </cell>
          <cell r="AJ1514">
            <v>0</v>
          </cell>
          <cell r="AK1514">
            <v>0</v>
          </cell>
        </row>
        <row r="1515">
          <cell r="B1515" t="str">
            <v/>
          </cell>
          <cell r="H1515" t="str">
            <v/>
          </cell>
          <cell r="J1515" t="str">
            <v/>
          </cell>
          <cell r="N1515" t="str">
            <v/>
          </cell>
          <cell r="O1515" t="str">
            <v/>
          </cell>
          <cell r="P1515" t="str">
            <v/>
          </cell>
          <cell r="Q1515" t="str">
            <v/>
          </cell>
          <cell r="T1515" t="str">
            <v/>
          </cell>
          <cell r="U1515" t="str">
            <v/>
          </cell>
          <cell r="W1515" t="str">
            <v/>
          </cell>
          <cell r="X1515" t="str">
            <v/>
          </cell>
          <cell r="AB1515">
            <v>0</v>
          </cell>
          <cell r="AC1515">
            <v>0</v>
          </cell>
          <cell r="AD1515">
            <v>0</v>
          </cell>
          <cell r="AJ1515">
            <v>0</v>
          </cell>
          <cell r="AK1515">
            <v>0</v>
          </cell>
        </row>
        <row r="1516">
          <cell r="B1516" t="str">
            <v/>
          </cell>
          <cell r="H1516" t="str">
            <v/>
          </cell>
          <cell r="J1516" t="str">
            <v/>
          </cell>
          <cell r="N1516" t="str">
            <v/>
          </cell>
          <cell r="O1516" t="str">
            <v/>
          </cell>
          <cell r="P1516" t="str">
            <v/>
          </cell>
          <cell r="Q1516" t="str">
            <v/>
          </cell>
          <cell r="T1516" t="str">
            <v/>
          </cell>
          <cell r="U1516" t="str">
            <v/>
          </cell>
          <cell r="W1516" t="str">
            <v/>
          </cell>
          <cell r="X1516" t="str">
            <v/>
          </cell>
          <cell r="AB1516">
            <v>0</v>
          </cell>
          <cell r="AC1516">
            <v>0</v>
          </cell>
          <cell r="AD1516">
            <v>0</v>
          </cell>
          <cell r="AJ1516">
            <v>0</v>
          </cell>
          <cell r="AK1516">
            <v>0</v>
          </cell>
        </row>
        <row r="1517">
          <cell r="B1517" t="str">
            <v/>
          </cell>
          <cell r="H1517" t="str">
            <v/>
          </cell>
          <cell r="J1517" t="str">
            <v/>
          </cell>
          <cell r="N1517" t="str">
            <v/>
          </cell>
          <cell r="O1517" t="str">
            <v/>
          </cell>
          <cell r="P1517" t="str">
            <v/>
          </cell>
          <cell r="Q1517" t="str">
            <v/>
          </cell>
          <cell r="T1517" t="str">
            <v/>
          </cell>
          <cell r="U1517" t="str">
            <v/>
          </cell>
          <cell r="W1517" t="str">
            <v/>
          </cell>
          <cell r="X1517" t="str">
            <v/>
          </cell>
          <cell r="AB1517">
            <v>0</v>
          </cell>
          <cell r="AC1517">
            <v>0</v>
          </cell>
          <cell r="AD1517">
            <v>0</v>
          </cell>
          <cell r="AJ1517">
            <v>0</v>
          </cell>
          <cell r="AK1517">
            <v>0</v>
          </cell>
        </row>
        <row r="1518">
          <cell r="B1518" t="str">
            <v/>
          </cell>
          <cell r="H1518" t="str">
            <v/>
          </cell>
          <cell r="J1518" t="str">
            <v/>
          </cell>
          <cell r="N1518" t="str">
            <v/>
          </cell>
          <cell r="O1518" t="str">
            <v/>
          </cell>
          <cell r="P1518" t="str">
            <v/>
          </cell>
          <cell r="Q1518" t="str">
            <v/>
          </cell>
          <cell r="T1518" t="str">
            <v/>
          </cell>
          <cell r="U1518" t="str">
            <v/>
          </cell>
          <cell r="W1518" t="str">
            <v/>
          </cell>
          <cell r="X1518" t="str">
            <v/>
          </cell>
          <cell r="AB1518">
            <v>0</v>
          </cell>
          <cell r="AC1518">
            <v>0</v>
          </cell>
          <cell r="AD1518">
            <v>0</v>
          </cell>
          <cell r="AJ1518">
            <v>0</v>
          </cell>
          <cell r="AK1518">
            <v>0</v>
          </cell>
        </row>
        <row r="1519">
          <cell r="B1519" t="str">
            <v/>
          </cell>
          <cell r="H1519" t="str">
            <v/>
          </cell>
          <cell r="J1519" t="str">
            <v/>
          </cell>
          <cell r="N1519" t="str">
            <v/>
          </cell>
          <cell r="O1519" t="str">
            <v/>
          </cell>
          <cell r="P1519" t="str">
            <v/>
          </cell>
          <cell r="Q1519" t="str">
            <v/>
          </cell>
          <cell r="T1519" t="str">
            <v/>
          </cell>
          <cell r="U1519" t="str">
            <v/>
          </cell>
          <cell r="W1519" t="str">
            <v/>
          </cell>
          <cell r="X1519" t="str">
            <v/>
          </cell>
          <cell r="AB1519">
            <v>0</v>
          </cell>
          <cell r="AC1519">
            <v>0</v>
          </cell>
          <cell r="AD1519">
            <v>0</v>
          </cell>
          <cell r="AJ1519">
            <v>0</v>
          </cell>
          <cell r="AK1519">
            <v>0</v>
          </cell>
        </row>
        <row r="1520">
          <cell r="B1520" t="str">
            <v/>
          </cell>
          <cell r="H1520" t="str">
            <v/>
          </cell>
          <cell r="J1520" t="str">
            <v/>
          </cell>
          <cell r="N1520" t="str">
            <v/>
          </cell>
          <cell r="O1520" t="str">
            <v/>
          </cell>
          <cell r="P1520" t="str">
            <v/>
          </cell>
          <cell r="Q1520" t="str">
            <v/>
          </cell>
          <cell r="T1520" t="str">
            <v/>
          </cell>
          <cell r="U1520" t="str">
            <v/>
          </cell>
          <cell r="W1520" t="str">
            <v/>
          </cell>
          <cell r="X1520" t="str">
            <v/>
          </cell>
          <cell r="AB1520">
            <v>0</v>
          </cell>
          <cell r="AC1520">
            <v>0</v>
          </cell>
          <cell r="AD1520">
            <v>0</v>
          </cell>
          <cell r="AJ1520">
            <v>0</v>
          </cell>
          <cell r="AK1520">
            <v>0</v>
          </cell>
        </row>
        <row r="1521">
          <cell r="B1521" t="str">
            <v/>
          </cell>
          <cell r="H1521" t="str">
            <v/>
          </cell>
          <cell r="J1521" t="str">
            <v/>
          </cell>
          <cell r="N1521" t="str">
            <v/>
          </cell>
          <cell r="O1521" t="str">
            <v/>
          </cell>
          <cell r="P1521" t="str">
            <v/>
          </cell>
          <cell r="Q1521" t="str">
            <v/>
          </cell>
          <cell r="T1521" t="str">
            <v/>
          </cell>
          <cell r="U1521" t="str">
            <v/>
          </cell>
          <cell r="W1521" t="str">
            <v/>
          </cell>
          <cell r="X1521" t="str">
            <v/>
          </cell>
          <cell r="AB1521">
            <v>0</v>
          </cell>
          <cell r="AC1521">
            <v>0</v>
          </cell>
          <cell r="AD1521">
            <v>0</v>
          </cell>
          <cell r="AJ1521">
            <v>0</v>
          </cell>
          <cell r="AK1521">
            <v>0</v>
          </cell>
        </row>
        <row r="1522">
          <cell r="B1522" t="str">
            <v/>
          </cell>
          <cell r="H1522" t="str">
            <v/>
          </cell>
          <cell r="J1522" t="str">
            <v/>
          </cell>
          <cell r="N1522" t="str">
            <v/>
          </cell>
          <cell r="O1522" t="str">
            <v/>
          </cell>
          <cell r="P1522" t="str">
            <v/>
          </cell>
          <cell r="Q1522" t="str">
            <v/>
          </cell>
          <cell r="T1522" t="str">
            <v/>
          </cell>
          <cell r="U1522" t="str">
            <v/>
          </cell>
          <cell r="W1522" t="str">
            <v/>
          </cell>
          <cell r="X1522" t="str">
            <v/>
          </cell>
          <cell r="AB1522">
            <v>0</v>
          </cell>
          <cell r="AC1522">
            <v>0</v>
          </cell>
          <cell r="AD1522">
            <v>0</v>
          </cell>
          <cell r="AJ1522">
            <v>0</v>
          </cell>
          <cell r="AK1522">
            <v>0</v>
          </cell>
        </row>
        <row r="1523">
          <cell r="B1523" t="str">
            <v/>
          </cell>
          <cell r="H1523" t="str">
            <v/>
          </cell>
          <cell r="J1523" t="str">
            <v/>
          </cell>
          <cell r="N1523" t="str">
            <v/>
          </cell>
          <cell r="O1523" t="str">
            <v/>
          </cell>
          <cell r="P1523" t="str">
            <v/>
          </cell>
          <cell r="Q1523" t="str">
            <v/>
          </cell>
          <cell r="T1523" t="str">
            <v/>
          </cell>
          <cell r="U1523" t="str">
            <v/>
          </cell>
          <cell r="W1523" t="str">
            <v/>
          </cell>
          <cell r="X1523" t="str">
            <v/>
          </cell>
          <cell r="AB1523">
            <v>0</v>
          </cell>
          <cell r="AC1523">
            <v>0</v>
          </cell>
          <cell r="AD1523">
            <v>0</v>
          </cell>
          <cell r="AJ1523">
            <v>0</v>
          </cell>
          <cell r="AK1523">
            <v>0</v>
          </cell>
        </row>
        <row r="1524">
          <cell r="B1524" t="str">
            <v/>
          </cell>
          <cell r="H1524" t="str">
            <v/>
          </cell>
          <cell r="J1524" t="str">
            <v/>
          </cell>
          <cell r="N1524" t="str">
            <v/>
          </cell>
          <cell r="O1524" t="str">
            <v/>
          </cell>
          <cell r="P1524" t="str">
            <v/>
          </cell>
          <cell r="Q1524" t="str">
            <v/>
          </cell>
          <cell r="T1524" t="str">
            <v/>
          </cell>
          <cell r="U1524" t="str">
            <v/>
          </cell>
          <cell r="W1524" t="str">
            <v/>
          </cell>
          <cell r="X1524" t="str">
            <v/>
          </cell>
          <cell r="AB1524">
            <v>0</v>
          </cell>
          <cell r="AC1524">
            <v>0</v>
          </cell>
          <cell r="AD1524">
            <v>0</v>
          </cell>
          <cell r="AJ1524">
            <v>0</v>
          </cell>
          <cell r="AK1524">
            <v>0</v>
          </cell>
        </row>
        <row r="1525">
          <cell r="B1525" t="str">
            <v/>
          </cell>
          <cell r="H1525" t="str">
            <v/>
          </cell>
          <cell r="J1525" t="str">
            <v/>
          </cell>
          <cell r="N1525" t="str">
            <v/>
          </cell>
          <cell r="O1525" t="str">
            <v/>
          </cell>
          <cell r="P1525" t="str">
            <v/>
          </cell>
          <cell r="Q1525" t="str">
            <v/>
          </cell>
          <cell r="T1525" t="str">
            <v/>
          </cell>
          <cell r="U1525" t="str">
            <v/>
          </cell>
          <cell r="W1525" t="str">
            <v/>
          </cell>
          <cell r="X1525" t="str">
            <v/>
          </cell>
          <cell r="AB1525">
            <v>0</v>
          </cell>
          <cell r="AC1525">
            <v>0</v>
          </cell>
          <cell r="AD1525">
            <v>0</v>
          </cell>
          <cell r="AJ1525">
            <v>0</v>
          </cell>
          <cell r="AK1525">
            <v>0</v>
          </cell>
        </row>
        <row r="1526">
          <cell r="B1526" t="str">
            <v/>
          </cell>
          <cell r="H1526" t="str">
            <v/>
          </cell>
          <cell r="J1526" t="str">
            <v/>
          </cell>
          <cell r="N1526" t="str">
            <v/>
          </cell>
          <cell r="O1526" t="str">
            <v/>
          </cell>
          <cell r="P1526" t="str">
            <v/>
          </cell>
          <cell r="Q1526" t="str">
            <v/>
          </cell>
          <cell r="T1526" t="str">
            <v/>
          </cell>
          <cell r="U1526" t="str">
            <v/>
          </cell>
          <cell r="W1526" t="str">
            <v/>
          </cell>
          <cell r="X1526" t="str">
            <v/>
          </cell>
          <cell r="AB1526">
            <v>0</v>
          </cell>
          <cell r="AC1526">
            <v>0</v>
          </cell>
          <cell r="AD1526">
            <v>0</v>
          </cell>
          <cell r="AJ1526">
            <v>0</v>
          </cell>
          <cell r="AK1526">
            <v>0</v>
          </cell>
        </row>
        <row r="1527">
          <cell r="B1527" t="str">
            <v/>
          </cell>
          <cell r="H1527" t="str">
            <v/>
          </cell>
          <cell r="J1527" t="str">
            <v/>
          </cell>
          <cell r="N1527" t="str">
            <v/>
          </cell>
          <cell r="O1527" t="str">
            <v/>
          </cell>
          <cell r="P1527" t="str">
            <v/>
          </cell>
          <cell r="Q1527" t="str">
            <v/>
          </cell>
          <cell r="T1527" t="str">
            <v/>
          </cell>
          <cell r="U1527" t="str">
            <v/>
          </cell>
          <cell r="W1527" t="str">
            <v/>
          </cell>
          <cell r="X1527" t="str">
            <v/>
          </cell>
          <cell r="AB1527">
            <v>0</v>
          </cell>
          <cell r="AC1527">
            <v>0</v>
          </cell>
          <cell r="AD1527">
            <v>0</v>
          </cell>
          <cell r="AJ1527">
            <v>0</v>
          </cell>
          <cell r="AK1527">
            <v>0</v>
          </cell>
        </row>
        <row r="1528">
          <cell r="B1528" t="str">
            <v/>
          </cell>
          <cell r="H1528" t="str">
            <v/>
          </cell>
          <cell r="J1528" t="str">
            <v/>
          </cell>
          <cell r="N1528" t="str">
            <v/>
          </cell>
          <cell r="O1528" t="str">
            <v/>
          </cell>
          <cell r="P1528" t="str">
            <v/>
          </cell>
          <cell r="Q1528" t="str">
            <v/>
          </cell>
          <cell r="T1528" t="str">
            <v/>
          </cell>
          <cell r="U1528" t="str">
            <v/>
          </cell>
          <cell r="W1528" t="str">
            <v/>
          </cell>
          <cell r="X1528" t="str">
            <v/>
          </cell>
          <cell r="AB1528">
            <v>0</v>
          </cell>
          <cell r="AC1528">
            <v>0</v>
          </cell>
          <cell r="AD1528">
            <v>0</v>
          </cell>
          <cell r="AJ1528">
            <v>0</v>
          </cell>
          <cell r="AK1528">
            <v>0</v>
          </cell>
        </row>
        <row r="1529">
          <cell r="B1529" t="str">
            <v/>
          </cell>
          <cell r="H1529" t="str">
            <v/>
          </cell>
          <cell r="J1529" t="str">
            <v/>
          </cell>
          <cell r="N1529" t="str">
            <v/>
          </cell>
          <cell r="O1529" t="str">
            <v/>
          </cell>
          <cell r="P1529" t="str">
            <v/>
          </cell>
          <cell r="Q1529" t="str">
            <v/>
          </cell>
          <cell r="T1529" t="str">
            <v/>
          </cell>
          <cell r="U1529" t="str">
            <v/>
          </cell>
          <cell r="W1529" t="str">
            <v/>
          </cell>
          <cell r="X1529" t="str">
            <v/>
          </cell>
          <cell r="AB1529">
            <v>0</v>
          </cell>
          <cell r="AC1529">
            <v>0</v>
          </cell>
          <cell r="AD1529">
            <v>0</v>
          </cell>
          <cell r="AJ1529">
            <v>0</v>
          </cell>
          <cell r="AK1529">
            <v>0</v>
          </cell>
        </row>
        <row r="1530">
          <cell r="B1530" t="str">
            <v/>
          </cell>
          <cell r="H1530" t="str">
            <v/>
          </cell>
          <cell r="J1530" t="str">
            <v/>
          </cell>
          <cell r="N1530" t="str">
            <v/>
          </cell>
          <cell r="O1530" t="str">
            <v/>
          </cell>
          <cell r="P1530" t="str">
            <v/>
          </cell>
          <cell r="Q1530" t="str">
            <v/>
          </cell>
          <cell r="T1530" t="str">
            <v/>
          </cell>
          <cell r="U1530" t="str">
            <v/>
          </cell>
          <cell r="W1530" t="str">
            <v/>
          </cell>
          <cell r="X1530" t="str">
            <v/>
          </cell>
          <cell r="AB1530">
            <v>0</v>
          </cell>
          <cell r="AC1530">
            <v>0</v>
          </cell>
          <cell r="AD1530">
            <v>0</v>
          </cell>
          <cell r="AJ1530">
            <v>0</v>
          </cell>
          <cell r="AK1530">
            <v>0</v>
          </cell>
        </row>
        <row r="1531">
          <cell r="B1531" t="str">
            <v/>
          </cell>
          <cell r="H1531" t="str">
            <v/>
          </cell>
          <cell r="J1531" t="str">
            <v/>
          </cell>
          <cell r="N1531" t="str">
            <v/>
          </cell>
          <cell r="O1531" t="str">
            <v/>
          </cell>
          <cell r="P1531" t="str">
            <v/>
          </cell>
          <cell r="Q1531" t="str">
            <v/>
          </cell>
          <cell r="T1531" t="str">
            <v/>
          </cell>
          <cell r="U1531" t="str">
            <v/>
          </cell>
          <cell r="W1531" t="str">
            <v/>
          </cell>
          <cell r="X1531" t="str">
            <v/>
          </cell>
          <cell r="AB1531">
            <v>0</v>
          </cell>
          <cell r="AC1531">
            <v>0</v>
          </cell>
          <cell r="AD1531">
            <v>0</v>
          </cell>
          <cell r="AJ1531">
            <v>0</v>
          </cell>
          <cell r="AK1531">
            <v>0</v>
          </cell>
        </row>
        <row r="1532">
          <cell r="B1532" t="str">
            <v/>
          </cell>
          <cell r="H1532" t="str">
            <v/>
          </cell>
          <cell r="J1532" t="str">
            <v/>
          </cell>
          <cell r="N1532" t="str">
            <v/>
          </cell>
          <cell r="O1532" t="str">
            <v/>
          </cell>
          <cell r="P1532" t="str">
            <v/>
          </cell>
          <cell r="Q1532" t="str">
            <v/>
          </cell>
          <cell r="T1532" t="str">
            <v/>
          </cell>
          <cell r="U1532" t="str">
            <v/>
          </cell>
          <cell r="W1532" t="str">
            <v/>
          </cell>
          <cell r="X1532" t="str">
            <v/>
          </cell>
          <cell r="AB1532">
            <v>0</v>
          </cell>
          <cell r="AC1532">
            <v>0</v>
          </cell>
          <cell r="AD1532">
            <v>0</v>
          </cell>
          <cell r="AJ1532">
            <v>0</v>
          </cell>
          <cell r="AK1532">
            <v>0</v>
          </cell>
        </row>
        <row r="1533">
          <cell r="B1533" t="str">
            <v/>
          </cell>
          <cell r="H1533" t="str">
            <v/>
          </cell>
          <cell r="J1533" t="str">
            <v/>
          </cell>
          <cell r="N1533" t="str">
            <v/>
          </cell>
          <cell r="O1533" t="str">
            <v/>
          </cell>
          <cell r="P1533" t="str">
            <v/>
          </cell>
          <cell r="Q1533" t="str">
            <v/>
          </cell>
          <cell r="T1533" t="str">
            <v/>
          </cell>
          <cell r="U1533" t="str">
            <v/>
          </cell>
          <cell r="W1533" t="str">
            <v/>
          </cell>
          <cell r="X1533" t="str">
            <v/>
          </cell>
          <cell r="AB1533">
            <v>0</v>
          </cell>
          <cell r="AC1533">
            <v>0</v>
          </cell>
          <cell r="AD1533">
            <v>0</v>
          </cell>
          <cell r="AJ1533">
            <v>0</v>
          </cell>
          <cell r="AK1533">
            <v>0</v>
          </cell>
        </row>
        <row r="1534">
          <cell r="B1534" t="str">
            <v/>
          </cell>
          <cell r="H1534" t="str">
            <v/>
          </cell>
          <cell r="J1534" t="str">
            <v/>
          </cell>
          <cell r="N1534" t="str">
            <v/>
          </cell>
          <cell r="O1534" t="str">
            <v/>
          </cell>
          <cell r="P1534" t="str">
            <v/>
          </cell>
          <cell r="Q1534" t="str">
            <v/>
          </cell>
          <cell r="T1534" t="str">
            <v/>
          </cell>
          <cell r="U1534" t="str">
            <v/>
          </cell>
          <cell r="W1534" t="str">
            <v/>
          </cell>
          <cell r="X1534" t="str">
            <v/>
          </cell>
          <cell r="AB1534">
            <v>0</v>
          </cell>
          <cell r="AC1534">
            <v>0</v>
          </cell>
          <cell r="AD1534">
            <v>0</v>
          </cell>
          <cell r="AJ1534">
            <v>0</v>
          </cell>
          <cell r="AK1534">
            <v>0</v>
          </cell>
        </row>
        <row r="1535">
          <cell r="B1535" t="str">
            <v/>
          </cell>
          <cell r="H1535" t="str">
            <v/>
          </cell>
          <cell r="J1535" t="str">
            <v/>
          </cell>
          <cell r="N1535" t="str">
            <v/>
          </cell>
          <cell r="O1535" t="str">
            <v/>
          </cell>
          <cell r="P1535" t="str">
            <v/>
          </cell>
          <cell r="Q1535" t="str">
            <v/>
          </cell>
          <cell r="T1535" t="str">
            <v/>
          </cell>
          <cell r="U1535" t="str">
            <v/>
          </cell>
          <cell r="W1535" t="str">
            <v/>
          </cell>
          <cell r="X1535" t="str">
            <v/>
          </cell>
          <cell r="AB1535">
            <v>0</v>
          </cell>
          <cell r="AC1535">
            <v>0</v>
          </cell>
          <cell r="AD1535">
            <v>0</v>
          </cell>
          <cell r="AJ1535">
            <v>0</v>
          </cell>
          <cell r="AK1535">
            <v>0</v>
          </cell>
        </row>
        <row r="1536">
          <cell r="B1536" t="str">
            <v/>
          </cell>
          <cell r="H1536" t="str">
            <v/>
          </cell>
          <cell r="J1536" t="str">
            <v/>
          </cell>
          <cell r="N1536" t="str">
            <v/>
          </cell>
          <cell r="O1536" t="str">
            <v/>
          </cell>
          <cell r="P1536" t="str">
            <v/>
          </cell>
          <cell r="Q1536" t="str">
            <v/>
          </cell>
          <cell r="T1536" t="str">
            <v/>
          </cell>
          <cell r="U1536" t="str">
            <v/>
          </cell>
          <cell r="W1536" t="str">
            <v/>
          </cell>
          <cell r="X1536" t="str">
            <v/>
          </cell>
          <cell r="AB1536">
            <v>0</v>
          </cell>
          <cell r="AC1536">
            <v>0</v>
          </cell>
          <cell r="AD1536">
            <v>0</v>
          </cell>
          <cell r="AJ1536">
            <v>0</v>
          </cell>
          <cell r="AK1536">
            <v>0</v>
          </cell>
        </row>
        <row r="1537">
          <cell r="B1537" t="str">
            <v/>
          </cell>
          <cell r="H1537" t="str">
            <v/>
          </cell>
          <cell r="J1537" t="str">
            <v/>
          </cell>
          <cell r="N1537" t="str">
            <v/>
          </cell>
          <cell r="O1537" t="str">
            <v/>
          </cell>
          <cell r="P1537" t="str">
            <v/>
          </cell>
          <cell r="Q1537" t="str">
            <v/>
          </cell>
          <cell r="T1537" t="str">
            <v/>
          </cell>
          <cell r="U1537" t="str">
            <v/>
          </cell>
          <cell r="W1537" t="str">
            <v/>
          </cell>
          <cell r="X1537" t="str">
            <v/>
          </cell>
          <cell r="AB1537">
            <v>0</v>
          </cell>
          <cell r="AC1537">
            <v>0</v>
          </cell>
          <cell r="AD1537">
            <v>0</v>
          </cell>
          <cell r="AJ1537">
            <v>0</v>
          </cell>
          <cell r="AK1537">
            <v>0</v>
          </cell>
        </row>
        <row r="1538">
          <cell r="B1538" t="str">
            <v/>
          </cell>
          <cell r="H1538" t="str">
            <v/>
          </cell>
          <cell r="J1538" t="str">
            <v/>
          </cell>
          <cell r="N1538" t="str">
            <v/>
          </cell>
          <cell r="O1538" t="str">
            <v/>
          </cell>
          <cell r="P1538" t="str">
            <v/>
          </cell>
          <cell r="Q1538" t="str">
            <v/>
          </cell>
          <cell r="T1538" t="str">
            <v/>
          </cell>
          <cell r="U1538" t="str">
            <v/>
          </cell>
          <cell r="W1538" t="str">
            <v/>
          </cell>
          <cell r="X1538" t="str">
            <v/>
          </cell>
          <cell r="AB1538">
            <v>0</v>
          </cell>
          <cell r="AC1538">
            <v>0</v>
          </cell>
          <cell r="AD1538">
            <v>0</v>
          </cell>
          <cell r="AJ1538">
            <v>0</v>
          </cell>
          <cell r="AK1538">
            <v>0</v>
          </cell>
        </row>
        <row r="1539">
          <cell r="B1539" t="str">
            <v/>
          </cell>
          <cell r="H1539" t="str">
            <v/>
          </cell>
          <cell r="J1539" t="str">
            <v/>
          </cell>
          <cell r="N1539" t="str">
            <v/>
          </cell>
          <cell r="O1539" t="str">
            <v/>
          </cell>
          <cell r="P1539" t="str">
            <v/>
          </cell>
          <cell r="Q1539" t="str">
            <v/>
          </cell>
          <cell r="T1539" t="str">
            <v/>
          </cell>
          <cell r="U1539" t="str">
            <v/>
          </cell>
          <cell r="W1539" t="str">
            <v/>
          </cell>
          <cell r="X1539" t="str">
            <v/>
          </cell>
          <cell r="AB1539">
            <v>0</v>
          </cell>
          <cell r="AC1539">
            <v>0</v>
          </cell>
          <cell r="AD1539">
            <v>0</v>
          </cell>
          <cell r="AJ1539">
            <v>0</v>
          </cell>
          <cell r="AK1539">
            <v>0</v>
          </cell>
        </row>
        <row r="1540">
          <cell r="B1540" t="str">
            <v/>
          </cell>
          <cell r="H1540" t="str">
            <v/>
          </cell>
          <cell r="J1540" t="str">
            <v/>
          </cell>
          <cell r="N1540" t="str">
            <v/>
          </cell>
          <cell r="O1540" t="str">
            <v/>
          </cell>
          <cell r="P1540" t="str">
            <v/>
          </cell>
          <cell r="Q1540" t="str">
            <v/>
          </cell>
          <cell r="T1540" t="str">
            <v/>
          </cell>
          <cell r="U1540" t="str">
            <v/>
          </cell>
          <cell r="W1540" t="str">
            <v/>
          </cell>
          <cell r="X1540" t="str">
            <v/>
          </cell>
          <cell r="AB1540">
            <v>0</v>
          </cell>
          <cell r="AC1540">
            <v>0</v>
          </cell>
          <cell r="AD1540">
            <v>0</v>
          </cell>
          <cell r="AJ1540">
            <v>0</v>
          </cell>
          <cell r="AK1540">
            <v>0</v>
          </cell>
        </row>
        <row r="1541">
          <cell r="B1541" t="str">
            <v/>
          </cell>
          <cell r="H1541" t="str">
            <v/>
          </cell>
          <cell r="J1541" t="str">
            <v/>
          </cell>
          <cell r="N1541" t="str">
            <v/>
          </cell>
          <cell r="O1541" t="str">
            <v/>
          </cell>
          <cell r="P1541" t="str">
            <v/>
          </cell>
          <cell r="Q1541" t="str">
            <v/>
          </cell>
          <cell r="T1541" t="str">
            <v/>
          </cell>
          <cell r="U1541" t="str">
            <v/>
          </cell>
          <cell r="W1541" t="str">
            <v/>
          </cell>
          <cell r="X1541" t="str">
            <v/>
          </cell>
          <cell r="AB1541">
            <v>0</v>
          </cell>
          <cell r="AC1541">
            <v>0</v>
          </cell>
          <cell r="AD1541">
            <v>0</v>
          </cell>
          <cell r="AJ1541">
            <v>0</v>
          </cell>
          <cell r="AK1541">
            <v>0</v>
          </cell>
        </row>
        <row r="1542">
          <cell r="B1542" t="str">
            <v/>
          </cell>
          <cell r="H1542" t="str">
            <v/>
          </cell>
          <cell r="J1542" t="str">
            <v/>
          </cell>
          <cell r="N1542" t="str">
            <v/>
          </cell>
          <cell r="O1542" t="str">
            <v/>
          </cell>
          <cell r="P1542" t="str">
            <v/>
          </cell>
          <cell r="Q1542" t="str">
            <v/>
          </cell>
          <cell r="T1542" t="str">
            <v/>
          </cell>
          <cell r="U1542" t="str">
            <v/>
          </cell>
          <cell r="W1542" t="str">
            <v/>
          </cell>
          <cell r="X1542" t="str">
            <v/>
          </cell>
          <cell r="AB1542">
            <v>0</v>
          </cell>
          <cell r="AC1542">
            <v>0</v>
          </cell>
          <cell r="AD1542">
            <v>0</v>
          </cell>
          <cell r="AJ1542">
            <v>0</v>
          </cell>
          <cell r="AK1542">
            <v>0</v>
          </cell>
        </row>
        <row r="1543">
          <cell r="B1543" t="str">
            <v/>
          </cell>
          <cell r="H1543" t="str">
            <v/>
          </cell>
          <cell r="J1543" t="str">
            <v/>
          </cell>
          <cell r="N1543" t="str">
            <v/>
          </cell>
          <cell r="O1543" t="str">
            <v/>
          </cell>
          <cell r="P1543" t="str">
            <v/>
          </cell>
          <cell r="Q1543" t="str">
            <v/>
          </cell>
          <cell r="T1543" t="str">
            <v/>
          </cell>
          <cell r="U1543" t="str">
            <v/>
          </cell>
          <cell r="W1543" t="str">
            <v/>
          </cell>
          <cell r="X1543" t="str">
            <v/>
          </cell>
          <cell r="AB1543">
            <v>0</v>
          </cell>
          <cell r="AC1543">
            <v>0</v>
          </cell>
          <cell r="AD1543">
            <v>0</v>
          </cell>
          <cell r="AJ1543">
            <v>0</v>
          </cell>
          <cell r="AK1543">
            <v>0</v>
          </cell>
        </row>
        <row r="1544">
          <cell r="B1544" t="str">
            <v/>
          </cell>
          <cell r="H1544" t="str">
            <v/>
          </cell>
          <cell r="J1544" t="str">
            <v/>
          </cell>
          <cell r="N1544" t="str">
            <v/>
          </cell>
          <cell r="O1544" t="str">
            <v/>
          </cell>
          <cell r="P1544" t="str">
            <v/>
          </cell>
          <cell r="Q1544" t="str">
            <v/>
          </cell>
          <cell r="T1544" t="str">
            <v/>
          </cell>
          <cell r="U1544" t="str">
            <v/>
          </cell>
          <cell r="W1544" t="str">
            <v/>
          </cell>
          <cell r="X1544" t="str">
            <v/>
          </cell>
          <cell r="AB1544">
            <v>0</v>
          </cell>
          <cell r="AC1544">
            <v>0</v>
          </cell>
          <cell r="AD1544">
            <v>0</v>
          </cell>
          <cell r="AJ1544">
            <v>0</v>
          </cell>
          <cell r="AK1544">
            <v>0</v>
          </cell>
        </row>
        <row r="1545">
          <cell r="B1545" t="str">
            <v/>
          </cell>
          <cell r="H1545" t="str">
            <v/>
          </cell>
          <cell r="J1545" t="str">
            <v/>
          </cell>
          <cell r="N1545" t="str">
            <v/>
          </cell>
          <cell r="O1545" t="str">
            <v/>
          </cell>
          <cell r="P1545" t="str">
            <v/>
          </cell>
          <cell r="Q1545" t="str">
            <v/>
          </cell>
          <cell r="T1545" t="str">
            <v/>
          </cell>
          <cell r="U1545" t="str">
            <v/>
          </cell>
          <cell r="W1545" t="str">
            <v/>
          </cell>
          <cell r="X1545" t="str">
            <v/>
          </cell>
          <cell r="AB1545">
            <v>0</v>
          </cell>
          <cell r="AC1545">
            <v>0</v>
          </cell>
          <cell r="AD1545">
            <v>0</v>
          </cell>
          <cell r="AJ1545">
            <v>0</v>
          </cell>
          <cell r="AK1545">
            <v>0</v>
          </cell>
        </row>
        <row r="1546">
          <cell r="B1546" t="str">
            <v/>
          </cell>
          <cell r="H1546" t="str">
            <v/>
          </cell>
          <cell r="J1546" t="str">
            <v/>
          </cell>
          <cell r="N1546" t="str">
            <v/>
          </cell>
          <cell r="O1546" t="str">
            <v/>
          </cell>
          <cell r="P1546" t="str">
            <v/>
          </cell>
          <cell r="Q1546" t="str">
            <v/>
          </cell>
          <cell r="T1546" t="str">
            <v/>
          </cell>
          <cell r="U1546" t="str">
            <v/>
          </cell>
          <cell r="W1546" t="str">
            <v/>
          </cell>
          <cell r="X1546" t="str">
            <v/>
          </cell>
          <cell r="AB1546">
            <v>0</v>
          </cell>
          <cell r="AC1546">
            <v>0</v>
          </cell>
          <cell r="AD1546">
            <v>0</v>
          </cell>
          <cell r="AJ1546">
            <v>0</v>
          </cell>
          <cell r="AK1546">
            <v>0</v>
          </cell>
        </row>
        <row r="1547">
          <cell r="B1547" t="str">
            <v/>
          </cell>
          <cell r="H1547" t="str">
            <v/>
          </cell>
          <cell r="J1547" t="str">
            <v/>
          </cell>
          <cell r="N1547" t="str">
            <v/>
          </cell>
          <cell r="O1547" t="str">
            <v/>
          </cell>
          <cell r="P1547" t="str">
            <v/>
          </cell>
          <cell r="Q1547" t="str">
            <v/>
          </cell>
          <cell r="T1547" t="str">
            <v/>
          </cell>
          <cell r="U1547" t="str">
            <v/>
          </cell>
          <cell r="W1547" t="str">
            <v/>
          </cell>
          <cell r="X1547" t="str">
            <v/>
          </cell>
          <cell r="AB1547">
            <v>0</v>
          </cell>
          <cell r="AC1547">
            <v>0</v>
          </cell>
          <cell r="AD1547">
            <v>0</v>
          </cell>
          <cell r="AJ1547">
            <v>0</v>
          </cell>
          <cell r="AK1547">
            <v>0</v>
          </cell>
        </row>
        <row r="1548">
          <cell r="B1548" t="str">
            <v/>
          </cell>
          <cell r="H1548" t="str">
            <v/>
          </cell>
          <cell r="J1548" t="str">
            <v/>
          </cell>
          <cell r="N1548" t="str">
            <v/>
          </cell>
          <cell r="O1548" t="str">
            <v/>
          </cell>
          <cell r="P1548" t="str">
            <v/>
          </cell>
          <cell r="Q1548" t="str">
            <v/>
          </cell>
          <cell r="T1548" t="str">
            <v/>
          </cell>
          <cell r="U1548" t="str">
            <v/>
          </cell>
          <cell r="W1548" t="str">
            <v/>
          </cell>
          <cell r="X1548" t="str">
            <v/>
          </cell>
          <cell r="AB1548">
            <v>0</v>
          </cell>
          <cell r="AC1548">
            <v>0</v>
          </cell>
          <cell r="AD1548">
            <v>0</v>
          </cell>
          <cell r="AJ1548">
            <v>0</v>
          </cell>
          <cell r="AK1548">
            <v>0</v>
          </cell>
        </row>
        <row r="1549">
          <cell r="B1549" t="str">
            <v/>
          </cell>
          <cell r="H1549" t="str">
            <v/>
          </cell>
          <cell r="J1549" t="str">
            <v/>
          </cell>
          <cell r="N1549" t="str">
            <v/>
          </cell>
          <cell r="O1549" t="str">
            <v/>
          </cell>
          <cell r="P1549" t="str">
            <v/>
          </cell>
          <cell r="Q1549" t="str">
            <v/>
          </cell>
          <cell r="T1549" t="str">
            <v/>
          </cell>
          <cell r="U1549" t="str">
            <v/>
          </cell>
          <cell r="W1549" t="str">
            <v/>
          </cell>
          <cell r="X1549" t="str">
            <v/>
          </cell>
          <cell r="AB1549">
            <v>0</v>
          </cell>
          <cell r="AC1549">
            <v>0</v>
          </cell>
          <cell r="AD1549">
            <v>0</v>
          </cell>
          <cell r="AJ1549">
            <v>0</v>
          </cell>
          <cell r="AK1549">
            <v>0</v>
          </cell>
        </row>
        <row r="1550">
          <cell r="B1550" t="str">
            <v/>
          </cell>
          <cell r="H1550" t="str">
            <v/>
          </cell>
          <cell r="J1550" t="str">
            <v/>
          </cell>
          <cell r="N1550" t="str">
            <v/>
          </cell>
          <cell r="O1550" t="str">
            <v/>
          </cell>
          <cell r="P1550" t="str">
            <v/>
          </cell>
          <cell r="Q1550" t="str">
            <v/>
          </cell>
          <cell r="T1550" t="str">
            <v/>
          </cell>
          <cell r="U1550" t="str">
            <v/>
          </cell>
          <cell r="W1550" t="str">
            <v/>
          </cell>
          <cell r="X1550" t="str">
            <v/>
          </cell>
          <cell r="AB1550">
            <v>0</v>
          </cell>
          <cell r="AC1550">
            <v>0</v>
          </cell>
          <cell r="AD1550">
            <v>0</v>
          </cell>
          <cell r="AJ1550">
            <v>0</v>
          </cell>
          <cell r="AK1550">
            <v>0</v>
          </cell>
        </row>
        <row r="1551">
          <cell r="B1551" t="str">
            <v/>
          </cell>
          <cell r="H1551" t="str">
            <v/>
          </cell>
          <cell r="J1551" t="str">
            <v/>
          </cell>
          <cell r="N1551" t="str">
            <v/>
          </cell>
          <cell r="O1551" t="str">
            <v/>
          </cell>
          <cell r="P1551" t="str">
            <v/>
          </cell>
          <cell r="Q1551" t="str">
            <v/>
          </cell>
          <cell r="T1551" t="str">
            <v/>
          </cell>
          <cell r="U1551" t="str">
            <v/>
          </cell>
          <cell r="W1551" t="str">
            <v/>
          </cell>
          <cell r="X1551" t="str">
            <v/>
          </cell>
          <cell r="AB1551">
            <v>0</v>
          </cell>
          <cell r="AC1551">
            <v>0</v>
          </cell>
          <cell r="AD1551">
            <v>0</v>
          </cell>
          <cell r="AJ1551">
            <v>0</v>
          </cell>
          <cell r="AK1551">
            <v>0</v>
          </cell>
        </row>
        <row r="1552">
          <cell r="B1552" t="str">
            <v/>
          </cell>
          <cell r="H1552" t="str">
            <v/>
          </cell>
          <cell r="J1552" t="str">
            <v/>
          </cell>
          <cell r="N1552" t="str">
            <v/>
          </cell>
          <cell r="O1552" t="str">
            <v/>
          </cell>
          <cell r="P1552" t="str">
            <v/>
          </cell>
          <cell r="Q1552" t="str">
            <v/>
          </cell>
          <cell r="T1552" t="str">
            <v/>
          </cell>
          <cell r="U1552" t="str">
            <v/>
          </cell>
          <cell r="W1552" t="str">
            <v/>
          </cell>
          <cell r="X1552" t="str">
            <v/>
          </cell>
          <cell r="AB1552">
            <v>0</v>
          </cell>
          <cell r="AC1552">
            <v>0</v>
          </cell>
          <cell r="AD1552">
            <v>0</v>
          </cell>
          <cell r="AJ1552">
            <v>0</v>
          </cell>
          <cell r="AK1552">
            <v>0</v>
          </cell>
        </row>
        <row r="1553">
          <cell r="B1553" t="str">
            <v/>
          </cell>
          <cell r="H1553" t="str">
            <v/>
          </cell>
          <cell r="J1553" t="str">
            <v/>
          </cell>
          <cell r="N1553" t="str">
            <v/>
          </cell>
          <cell r="O1553" t="str">
            <v/>
          </cell>
          <cell r="P1553" t="str">
            <v/>
          </cell>
          <cell r="Q1553" t="str">
            <v/>
          </cell>
          <cell r="T1553" t="str">
            <v/>
          </cell>
          <cell r="U1553" t="str">
            <v/>
          </cell>
          <cell r="W1553" t="str">
            <v/>
          </cell>
          <cell r="X1553" t="str">
            <v/>
          </cell>
          <cell r="AB1553">
            <v>0</v>
          </cell>
          <cell r="AC1553">
            <v>0</v>
          </cell>
          <cell r="AD1553">
            <v>0</v>
          </cell>
          <cell r="AJ1553">
            <v>0</v>
          </cell>
          <cell r="AK1553">
            <v>0</v>
          </cell>
        </row>
        <row r="1554">
          <cell r="B1554" t="str">
            <v/>
          </cell>
          <cell r="H1554" t="str">
            <v/>
          </cell>
          <cell r="J1554" t="str">
            <v/>
          </cell>
          <cell r="N1554" t="str">
            <v/>
          </cell>
          <cell r="O1554" t="str">
            <v/>
          </cell>
          <cell r="P1554" t="str">
            <v/>
          </cell>
          <cell r="Q1554" t="str">
            <v/>
          </cell>
          <cell r="T1554" t="str">
            <v/>
          </cell>
          <cell r="U1554" t="str">
            <v/>
          </cell>
          <cell r="W1554" t="str">
            <v/>
          </cell>
          <cell r="X1554" t="str">
            <v/>
          </cell>
          <cell r="AB1554">
            <v>0</v>
          </cell>
          <cell r="AC1554">
            <v>0</v>
          </cell>
          <cell r="AD1554">
            <v>0</v>
          </cell>
          <cell r="AJ1554">
            <v>0</v>
          </cell>
          <cell r="AK1554">
            <v>0</v>
          </cell>
        </row>
        <row r="1555">
          <cell r="B1555" t="str">
            <v/>
          </cell>
          <cell r="H1555" t="str">
            <v/>
          </cell>
          <cell r="J1555" t="str">
            <v/>
          </cell>
          <cell r="N1555" t="str">
            <v/>
          </cell>
          <cell r="O1555" t="str">
            <v/>
          </cell>
          <cell r="P1555" t="str">
            <v/>
          </cell>
          <cell r="Q1555" t="str">
            <v/>
          </cell>
          <cell r="T1555" t="str">
            <v/>
          </cell>
          <cell r="U1555" t="str">
            <v/>
          </cell>
          <cell r="W1555" t="str">
            <v/>
          </cell>
          <cell r="X1555" t="str">
            <v/>
          </cell>
          <cell r="AB1555">
            <v>0</v>
          </cell>
          <cell r="AC1555">
            <v>0</v>
          </cell>
          <cell r="AD1555">
            <v>0</v>
          </cell>
          <cell r="AJ1555">
            <v>0</v>
          </cell>
          <cell r="AK1555">
            <v>0</v>
          </cell>
        </row>
        <row r="1556">
          <cell r="B1556" t="str">
            <v/>
          </cell>
          <cell r="H1556" t="str">
            <v/>
          </cell>
          <cell r="J1556" t="str">
            <v/>
          </cell>
          <cell r="N1556" t="str">
            <v/>
          </cell>
          <cell r="O1556" t="str">
            <v/>
          </cell>
          <cell r="P1556" t="str">
            <v/>
          </cell>
          <cell r="Q1556" t="str">
            <v/>
          </cell>
          <cell r="T1556" t="str">
            <v/>
          </cell>
          <cell r="U1556" t="str">
            <v/>
          </cell>
          <cell r="W1556" t="str">
            <v/>
          </cell>
          <cell r="X1556" t="str">
            <v/>
          </cell>
          <cell r="AB1556">
            <v>0</v>
          </cell>
          <cell r="AC1556">
            <v>0</v>
          </cell>
          <cell r="AD1556">
            <v>0</v>
          </cell>
          <cell r="AJ1556">
            <v>0</v>
          </cell>
          <cell r="AK1556">
            <v>0</v>
          </cell>
        </row>
        <row r="1557">
          <cell r="B1557" t="str">
            <v/>
          </cell>
          <cell r="H1557" t="str">
            <v/>
          </cell>
          <cell r="J1557" t="str">
            <v/>
          </cell>
          <cell r="N1557" t="str">
            <v/>
          </cell>
          <cell r="O1557" t="str">
            <v/>
          </cell>
          <cell r="P1557" t="str">
            <v/>
          </cell>
          <cell r="Q1557" t="str">
            <v/>
          </cell>
          <cell r="T1557" t="str">
            <v/>
          </cell>
          <cell r="U1557" t="str">
            <v/>
          </cell>
          <cell r="W1557" t="str">
            <v/>
          </cell>
          <cell r="X1557" t="str">
            <v/>
          </cell>
          <cell r="AB1557">
            <v>0</v>
          </cell>
          <cell r="AC1557">
            <v>0</v>
          </cell>
          <cell r="AD1557">
            <v>0</v>
          </cell>
          <cell r="AJ1557">
            <v>0</v>
          </cell>
          <cell r="AK1557">
            <v>0</v>
          </cell>
        </row>
        <row r="1558">
          <cell r="B1558" t="str">
            <v/>
          </cell>
          <cell r="H1558" t="str">
            <v/>
          </cell>
          <cell r="J1558" t="str">
            <v/>
          </cell>
          <cell r="N1558" t="str">
            <v/>
          </cell>
          <cell r="O1558" t="str">
            <v/>
          </cell>
          <cell r="P1558" t="str">
            <v/>
          </cell>
          <cell r="Q1558" t="str">
            <v/>
          </cell>
          <cell r="T1558" t="str">
            <v/>
          </cell>
          <cell r="U1558" t="str">
            <v/>
          </cell>
          <cell r="W1558" t="str">
            <v/>
          </cell>
          <cell r="X1558" t="str">
            <v/>
          </cell>
          <cell r="AB1558">
            <v>0</v>
          </cell>
          <cell r="AC1558">
            <v>0</v>
          </cell>
          <cell r="AD1558">
            <v>0</v>
          </cell>
          <cell r="AJ1558">
            <v>0</v>
          </cell>
          <cell r="AK1558">
            <v>0</v>
          </cell>
        </row>
        <row r="1559">
          <cell r="B1559" t="str">
            <v/>
          </cell>
          <cell r="H1559" t="str">
            <v/>
          </cell>
          <cell r="J1559" t="str">
            <v/>
          </cell>
          <cell r="N1559" t="str">
            <v/>
          </cell>
          <cell r="O1559" t="str">
            <v/>
          </cell>
          <cell r="P1559" t="str">
            <v/>
          </cell>
          <cell r="Q1559" t="str">
            <v/>
          </cell>
          <cell r="T1559" t="str">
            <v/>
          </cell>
          <cell r="U1559" t="str">
            <v/>
          </cell>
          <cell r="W1559" t="str">
            <v/>
          </cell>
          <cell r="X1559" t="str">
            <v/>
          </cell>
          <cell r="AB1559">
            <v>0</v>
          </cell>
          <cell r="AC1559">
            <v>0</v>
          </cell>
          <cell r="AD1559">
            <v>0</v>
          </cell>
          <cell r="AJ1559">
            <v>0</v>
          </cell>
          <cell r="AK1559">
            <v>0</v>
          </cell>
        </row>
        <row r="1560">
          <cell r="B1560" t="str">
            <v/>
          </cell>
          <cell r="H1560" t="str">
            <v/>
          </cell>
          <cell r="J1560" t="str">
            <v/>
          </cell>
          <cell r="N1560" t="str">
            <v/>
          </cell>
          <cell r="O1560" t="str">
            <v/>
          </cell>
          <cell r="P1560" t="str">
            <v/>
          </cell>
          <cell r="Q1560" t="str">
            <v/>
          </cell>
          <cell r="T1560" t="str">
            <v/>
          </cell>
          <cell r="U1560" t="str">
            <v/>
          </cell>
          <cell r="W1560" t="str">
            <v/>
          </cell>
          <cell r="X1560" t="str">
            <v/>
          </cell>
          <cell r="AB1560">
            <v>0</v>
          </cell>
          <cell r="AC1560">
            <v>0</v>
          </cell>
          <cell r="AD1560">
            <v>0</v>
          </cell>
          <cell r="AJ1560">
            <v>0</v>
          </cell>
          <cell r="AK1560">
            <v>0</v>
          </cell>
        </row>
        <row r="1561">
          <cell r="B1561" t="str">
            <v/>
          </cell>
          <cell r="H1561" t="str">
            <v/>
          </cell>
          <cell r="J1561" t="str">
            <v/>
          </cell>
          <cell r="N1561" t="str">
            <v/>
          </cell>
          <cell r="O1561" t="str">
            <v/>
          </cell>
          <cell r="P1561" t="str">
            <v/>
          </cell>
          <cell r="Q1561" t="str">
            <v/>
          </cell>
          <cell r="T1561" t="str">
            <v/>
          </cell>
          <cell r="U1561" t="str">
            <v/>
          </cell>
          <cell r="W1561" t="str">
            <v/>
          </cell>
          <cell r="X1561" t="str">
            <v/>
          </cell>
          <cell r="AB1561">
            <v>0</v>
          </cell>
          <cell r="AC1561">
            <v>0</v>
          </cell>
          <cell r="AD1561">
            <v>0</v>
          </cell>
          <cell r="AJ1561">
            <v>0</v>
          </cell>
          <cell r="AK1561">
            <v>0</v>
          </cell>
        </row>
        <row r="1562">
          <cell r="B1562" t="str">
            <v/>
          </cell>
          <cell r="H1562" t="str">
            <v/>
          </cell>
          <cell r="J1562" t="str">
            <v/>
          </cell>
          <cell r="N1562" t="str">
            <v/>
          </cell>
          <cell r="O1562" t="str">
            <v/>
          </cell>
          <cell r="P1562" t="str">
            <v/>
          </cell>
          <cell r="Q1562" t="str">
            <v/>
          </cell>
          <cell r="T1562" t="str">
            <v/>
          </cell>
          <cell r="U1562" t="str">
            <v/>
          </cell>
          <cell r="W1562" t="str">
            <v/>
          </cell>
          <cell r="X1562" t="str">
            <v/>
          </cell>
          <cell r="AB1562">
            <v>0</v>
          </cell>
          <cell r="AC1562">
            <v>0</v>
          </cell>
          <cell r="AD1562">
            <v>0</v>
          </cell>
          <cell r="AJ1562">
            <v>0</v>
          </cell>
          <cell r="AK1562">
            <v>0</v>
          </cell>
        </row>
        <row r="1563">
          <cell r="B1563" t="str">
            <v/>
          </cell>
          <cell r="H1563" t="str">
            <v/>
          </cell>
          <cell r="J1563" t="str">
            <v/>
          </cell>
          <cell r="N1563" t="str">
            <v/>
          </cell>
          <cell r="O1563" t="str">
            <v/>
          </cell>
          <cell r="P1563" t="str">
            <v/>
          </cell>
          <cell r="Q1563" t="str">
            <v/>
          </cell>
          <cell r="T1563" t="str">
            <v/>
          </cell>
          <cell r="U1563" t="str">
            <v/>
          </cell>
          <cell r="W1563" t="str">
            <v/>
          </cell>
          <cell r="X1563" t="str">
            <v/>
          </cell>
          <cell r="AB1563">
            <v>0</v>
          </cell>
          <cell r="AC1563">
            <v>0</v>
          </cell>
          <cell r="AD1563">
            <v>0</v>
          </cell>
          <cell r="AJ1563">
            <v>0</v>
          </cell>
          <cell r="AK1563">
            <v>0</v>
          </cell>
        </row>
        <row r="1564">
          <cell r="B1564" t="str">
            <v/>
          </cell>
          <cell r="H1564" t="str">
            <v/>
          </cell>
          <cell r="J1564" t="str">
            <v/>
          </cell>
          <cell r="N1564" t="str">
            <v/>
          </cell>
          <cell r="O1564" t="str">
            <v/>
          </cell>
          <cell r="P1564" t="str">
            <v/>
          </cell>
          <cell r="Q1564" t="str">
            <v/>
          </cell>
          <cell r="T1564" t="str">
            <v/>
          </cell>
          <cell r="U1564" t="str">
            <v/>
          </cell>
          <cell r="W1564" t="str">
            <v/>
          </cell>
          <cell r="X1564" t="str">
            <v/>
          </cell>
          <cell r="AB1564">
            <v>0</v>
          </cell>
          <cell r="AC1564">
            <v>0</v>
          </cell>
          <cell r="AD1564">
            <v>0</v>
          </cell>
          <cell r="AJ1564">
            <v>0</v>
          </cell>
          <cell r="AK1564">
            <v>0</v>
          </cell>
        </row>
        <row r="1565">
          <cell r="B1565" t="str">
            <v/>
          </cell>
          <cell r="H1565" t="str">
            <v/>
          </cell>
          <cell r="J1565" t="str">
            <v/>
          </cell>
          <cell r="N1565" t="str">
            <v/>
          </cell>
          <cell r="O1565" t="str">
            <v/>
          </cell>
          <cell r="P1565" t="str">
            <v/>
          </cell>
          <cell r="Q1565" t="str">
            <v/>
          </cell>
          <cell r="T1565" t="str">
            <v/>
          </cell>
          <cell r="U1565" t="str">
            <v/>
          </cell>
          <cell r="W1565" t="str">
            <v/>
          </cell>
          <cell r="X1565" t="str">
            <v/>
          </cell>
          <cell r="AB1565">
            <v>0</v>
          </cell>
          <cell r="AC1565">
            <v>0</v>
          </cell>
          <cell r="AD1565">
            <v>0</v>
          </cell>
          <cell r="AJ1565">
            <v>0</v>
          </cell>
          <cell r="AK1565">
            <v>0</v>
          </cell>
        </row>
        <row r="1566">
          <cell r="B1566" t="str">
            <v/>
          </cell>
          <cell r="H1566" t="str">
            <v/>
          </cell>
          <cell r="J1566" t="str">
            <v/>
          </cell>
          <cell r="N1566" t="str">
            <v/>
          </cell>
          <cell r="O1566" t="str">
            <v/>
          </cell>
          <cell r="P1566" t="str">
            <v/>
          </cell>
          <cell r="Q1566" t="str">
            <v/>
          </cell>
          <cell r="T1566" t="str">
            <v/>
          </cell>
          <cell r="U1566" t="str">
            <v/>
          </cell>
          <cell r="W1566" t="str">
            <v/>
          </cell>
          <cell r="X1566" t="str">
            <v/>
          </cell>
          <cell r="AB1566">
            <v>0</v>
          </cell>
          <cell r="AC1566">
            <v>0</v>
          </cell>
          <cell r="AD1566">
            <v>0</v>
          </cell>
          <cell r="AJ1566">
            <v>0</v>
          </cell>
          <cell r="AK1566">
            <v>0</v>
          </cell>
        </row>
        <row r="1567">
          <cell r="B1567" t="str">
            <v/>
          </cell>
          <cell r="H1567" t="str">
            <v/>
          </cell>
          <cell r="J1567" t="str">
            <v/>
          </cell>
          <cell r="N1567" t="str">
            <v/>
          </cell>
          <cell r="O1567" t="str">
            <v/>
          </cell>
          <cell r="P1567" t="str">
            <v/>
          </cell>
          <cell r="Q1567" t="str">
            <v/>
          </cell>
          <cell r="T1567" t="str">
            <v/>
          </cell>
          <cell r="U1567" t="str">
            <v/>
          </cell>
          <cell r="W1567" t="str">
            <v/>
          </cell>
          <cell r="X1567" t="str">
            <v/>
          </cell>
          <cell r="AB1567">
            <v>0</v>
          </cell>
          <cell r="AC1567">
            <v>0</v>
          </cell>
          <cell r="AD1567">
            <v>0</v>
          </cell>
          <cell r="AJ1567">
            <v>0</v>
          </cell>
          <cell r="AK1567">
            <v>0</v>
          </cell>
        </row>
        <row r="1568">
          <cell r="B1568" t="str">
            <v/>
          </cell>
          <cell r="H1568" t="str">
            <v/>
          </cell>
          <cell r="J1568" t="str">
            <v/>
          </cell>
          <cell r="N1568" t="str">
            <v/>
          </cell>
          <cell r="O1568" t="str">
            <v/>
          </cell>
          <cell r="P1568" t="str">
            <v/>
          </cell>
          <cell r="Q1568" t="str">
            <v/>
          </cell>
          <cell r="T1568" t="str">
            <v/>
          </cell>
          <cell r="U1568" t="str">
            <v/>
          </cell>
          <cell r="W1568" t="str">
            <v/>
          </cell>
          <cell r="X1568" t="str">
            <v/>
          </cell>
          <cell r="AB1568">
            <v>0</v>
          </cell>
          <cell r="AC1568">
            <v>0</v>
          </cell>
          <cell r="AD1568">
            <v>0</v>
          </cell>
          <cell r="AJ1568">
            <v>0</v>
          </cell>
          <cell r="AK1568">
            <v>0</v>
          </cell>
        </row>
        <row r="1569">
          <cell r="B1569" t="str">
            <v/>
          </cell>
          <cell r="H1569" t="str">
            <v/>
          </cell>
          <cell r="J1569" t="str">
            <v/>
          </cell>
          <cell r="N1569" t="str">
            <v/>
          </cell>
          <cell r="O1569" t="str">
            <v/>
          </cell>
          <cell r="P1569" t="str">
            <v/>
          </cell>
          <cell r="Q1569" t="str">
            <v/>
          </cell>
          <cell r="T1569" t="str">
            <v/>
          </cell>
          <cell r="U1569" t="str">
            <v/>
          </cell>
          <cell r="W1569" t="str">
            <v/>
          </cell>
          <cell r="X1569" t="str">
            <v/>
          </cell>
          <cell r="AB1569">
            <v>0</v>
          </cell>
          <cell r="AC1569">
            <v>0</v>
          </cell>
          <cell r="AD1569">
            <v>0</v>
          </cell>
          <cell r="AJ1569">
            <v>0</v>
          </cell>
          <cell r="AK1569">
            <v>0</v>
          </cell>
        </row>
        <row r="1570">
          <cell r="B1570" t="str">
            <v/>
          </cell>
          <cell r="H1570" t="str">
            <v/>
          </cell>
          <cell r="J1570" t="str">
            <v/>
          </cell>
          <cell r="N1570" t="str">
            <v/>
          </cell>
          <cell r="O1570" t="str">
            <v/>
          </cell>
          <cell r="P1570" t="str">
            <v/>
          </cell>
          <cell r="Q1570" t="str">
            <v/>
          </cell>
          <cell r="T1570" t="str">
            <v/>
          </cell>
          <cell r="U1570" t="str">
            <v/>
          </cell>
          <cell r="W1570" t="str">
            <v/>
          </cell>
          <cell r="X1570" t="str">
            <v/>
          </cell>
          <cell r="AB1570">
            <v>0</v>
          </cell>
          <cell r="AC1570">
            <v>0</v>
          </cell>
          <cell r="AD1570">
            <v>0</v>
          </cell>
          <cell r="AJ1570">
            <v>0</v>
          </cell>
          <cell r="AK1570">
            <v>0</v>
          </cell>
        </row>
        <row r="1571">
          <cell r="B1571" t="str">
            <v/>
          </cell>
          <cell r="H1571" t="str">
            <v/>
          </cell>
          <cell r="J1571" t="str">
            <v/>
          </cell>
          <cell r="N1571" t="str">
            <v/>
          </cell>
          <cell r="O1571" t="str">
            <v/>
          </cell>
          <cell r="P1571" t="str">
            <v/>
          </cell>
          <cell r="Q1571" t="str">
            <v/>
          </cell>
          <cell r="T1571" t="str">
            <v/>
          </cell>
          <cell r="U1571" t="str">
            <v/>
          </cell>
          <cell r="W1571" t="str">
            <v/>
          </cell>
          <cell r="X1571" t="str">
            <v/>
          </cell>
          <cell r="AB1571">
            <v>0</v>
          </cell>
          <cell r="AC1571">
            <v>0</v>
          </cell>
          <cell r="AD1571">
            <v>0</v>
          </cell>
          <cell r="AJ1571">
            <v>0</v>
          </cell>
          <cell r="AK1571">
            <v>0</v>
          </cell>
        </row>
        <row r="1572">
          <cell r="B1572" t="str">
            <v/>
          </cell>
          <cell r="H1572" t="str">
            <v/>
          </cell>
          <cell r="J1572" t="str">
            <v/>
          </cell>
          <cell r="N1572" t="str">
            <v/>
          </cell>
          <cell r="O1572" t="str">
            <v/>
          </cell>
          <cell r="P1572" t="str">
            <v/>
          </cell>
          <cell r="Q1572" t="str">
            <v/>
          </cell>
          <cell r="T1572" t="str">
            <v/>
          </cell>
          <cell r="U1572" t="str">
            <v/>
          </cell>
          <cell r="W1572" t="str">
            <v/>
          </cell>
          <cell r="X1572" t="str">
            <v/>
          </cell>
          <cell r="AB1572">
            <v>0</v>
          </cell>
          <cell r="AC1572">
            <v>0</v>
          </cell>
          <cell r="AD1572">
            <v>0</v>
          </cell>
          <cell r="AJ1572">
            <v>0</v>
          </cell>
          <cell r="AK1572">
            <v>0</v>
          </cell>
        </row>
        <row r="1573">
          <cell r="B1573" t="str">
            <v/>
          </cell>
          <cell r="H1573" t="str">
            <v/>
          </cell>
          <cell r="J1573" t="str">
            <v/>
          </cell>
          <cell r="N1573" t="str">
            <v/>
          </cell>
          <cell r="O1573" t="str">
            <v/>
          </cell>
          <cell r="P1573" t="str">
            <v/>
          </cell>
          <cell r="Q1573" t="str">
            <v/>
          </cell>
          <cell r="T1573" t="str">
            <v/>
          </cell>
          <cell r="U1573" t="str">
            <v/>
          </cell>
          <cell r="W1573" t="str">
            <v/>
          </cell>
          <cell r="X1573" t="str">
            <v/>
          </cell>
          <cell r="AB1573">
            <v>0</v>
          </cell>
          <cell r="AC1573">
            <v>0</v>
          </cell>
          <cell r="AD1573">
            <v>0</v>
          </cell>
          <cell r="AJ1573">
            <v>0</v>
          </cell>
          <cell r="AK1573">
            <v>0</v>
          </cell>
        </row>
        <row r="1574">
          <cell r="B1574" t="str">
            <v/>
          </cell>
          <cell r="H1574" t="str">
            <v/>
          </cell>
          <cell r="J1574" t="str">
            <v/>
          </cell>
          <cell r="N1574" t="str">
            <v/>
          </cell>
          <cell r="O1574" t="str">
            <v/>
          </cell>
          <cell r="P1574" t="str">
            <v/>
          </cell>
          <cell r="Q1574" t="str">
            <v/>
          </cell>
          <cell r="T1574" t="str">
            <v/>
          </cell>
          <cell r="U1574" t="str">
            <v/>
          </cell>
          <cell r="W1574" t="str">
            <v/>
          </cell>
          <cell r="X1574" t="str">
            <v/>
          </cell>
          <cell r="AB1574">
            <v>0</v>
          </cell>
          <cell r="AC1574">
            <v>0</v>
          </cell>
          <cell r="AD1574">
            <v>0</v>
          </cell>
          <cell r="AJ1574">
            <v>0</v>
          </cell>
          <cell r="AK1574">
            <v>0</v>
          </cell>
        </row>
        <row r="1575">
          <cell r="B1575" t="str">
            <v/>
          </cell>
          <cell r="H1575" t="str">
            <v/>
          </cell>
          <cell r="J1575" t="str">
            <v/>
          </cell>
          <cell r="N1575" t="str">
            <v/>
          </cell>
          <cell r="O1575" t="str">
            <v/>
          </cell>
          <cell r="P1575" t="str">
            <v/>
          </cell>
          <cell r="Q1575" t="str">
            <v/>
          </cell>
          <cell r="T1575" t="str">
            <v/>
          </cell>
          <cell r="U1575" t="str">
            <v/>
          </cell>
          <cell r="W1575" t="str">
            <v/>
          </cell>
          <cell r="X1575" t="str">
            <v/>
          </cell>
          <cell r="AB1575">
            <v>0</v>
          </cell>
          <cell r="AC1575">
            <v>0</v>
          </cell>
          <cell r="AD1575">
            <v>0</v>
          </cell>
          <cell r="AJ1575">
            <v>0</v>
          </cell>
          <cell r="AK1575">
            <v>0</v>
          </cell>
        </row>
        <row r="1576">
          <cell r="B1576" t="str">
            <v/>
          </cell>
          <cell r="H1576" t="str">
            <v/>
          </cell>
          <cell r="J1576" t="str">
            <v/>
          </cell>
          <cell r="N1576" t="str">
            <v/>
          </cell>
          <cell r="O1576" t="str">
            <v/>
          </cell>
          <cell r="P1576" t="str">
            <v/>
          </cell>
          <cell r="Q1576" t="str">
            <v/>
          </cell>
          <cell r="T1576" t="str">
            <v/>
          </cell>
          <cell r="U1576" t="str">
            <v/>
          </cell>
          <cell r="W1576" t="str">
            <v/>
          </cell>
          <cell r="X1576" t="str">
            <v/>
          </cell>
          <cell r="AB1576">
            <v>0</v>
          </cell>
          <cell r="AC1576">
            <v>0</v>
          </cell>
          <cell r="AD1576">
            <v>0</v>
          </cell>
          <cell r="AJ1576">
            <v>0</v>
          </cell>
          <cell r="AK1576">
            <v>0</v>
          </cell>
        </row>
        <row r="1577">
          <cell r="B1577" t="str">
            <v/>
          </cell>
          <cell r="H1577" t="str">
            <v/>
          </cell>
          <cell r="J1577" t="str">
            <v/>
          </cell>
          <cell r="N1577" t="str">
            <v/>
          </cell>
          <cell r="O1577" t="str">
            <v/>
          </cell>
          <cell r="P1577" t="str">
            <v/>
          </cell>
          <cell r="Q1577" t="str">
            <v/>
          </cell>
          <cell r="T1577" t="str">
            <v/>
          </cell>
          <cell r="U1577" t="str">
            <v/>
          </cell>
          <cell r="W1577" t="str">
            <v/>
          </cell>
          <cell r="X1577" t="str">
            <v/>
          </cell>
          <cell r="AB1577">
            <v>0</v>
          </cell>
          <cell r="AC1577">
            <v>0</v>
          </cell>
          <cell r="AD1577">
            <v>0</v>
          </cell>
          <cell r="AJ1577">
            <v>0</v>
          </cell>
          <cell r="AK1577">
            <v>0</v>
          </cell>
        </row>
        <row r="1578">
          <cell r="B1578" t="str">
            <v/>
          </cell>
          <cell r="H1578" t="str">
            <v/>
          </cell>
          <cell r="J1578" t="str">
            <v/>
          </cell>
          <cell r="N1578" t="str">
            <v/>
          </cell>
          <cell r="O1578" t="str">
            <v/>
          </cell>
          <cell r="P1578" t="str">
            <v/>
          </cell>
          <cell r="Q1578" t="str">
            <v/>
          </cell>
          <cell r="T1578" t="str">
            <v/>
          </cell>
          <cell r="U1578" t="str">
            <v/>
          </cell>
          <cell r="W1578" t="str">
            <v/>
          </cell>
          <cell r="X1578" t="str">
            <v/>
          </cell>
          <cell r="AB1578">
            <v>0</v>
          </cell>
          <cell r="AC1578">
            <v>0</v>
          </cell>
          <cell r="AD1578">
            <v>0</v>
          </cell>
          <cell r="AJ1578">
            <v>0</v>
          </cell>
          <cell r="AK1578">
            <v>0</v>
          </cell>
        </row>
        <row r="1579">
          <cell r="B1579" t="str">
            <v/>
          </cell>
          <cell r="H1579" t="str">
            <v/>
          </cell>
          <cell r="J1579" t="str">
            <v/>
          </cell>
          <cell r="N1579" t="str">
            <v/>
          </cell>
          <cell r="O1579" t="str">
            <v/>
          </cell>
          <cell r="P1579" t="str">
            <v/>
          </cell>
          <cell r="Q1579" t="str">
            <v/>
          </cell>
          <cell r="T1579" t="str">
            <v/>
          </cell>
          <cell r="U1579" t="str">
            <v/>
          </cell>
          <cell r="W1579" t="str">
            <v/>
          </cell>
          <cell r="X1579" t="str">
            <v/>
          </cell>
          <cell r="AB1579">
            <v>0</v>
          </cell>
          <cell r="AC1579">
            <v>0</v>
          </cell>
          <cell r="AD1579">
            <v>0</v>
          </cell>
          <cell r="AJ1579">
            <v>0</v>
          </cell>
          <cell r="AK1579">
            <v>0</v>
          </cell>
        </row>
        <row r="1580">
          <cell r="B1580" t="str">
            <v/>
          </cell>
          <cell r="H1580" t="str">
            <v/>
          </cell>
          <cell r="J1580" t="str">
            <v/>
          </cell>
          <cell r="N1580" t="str">
            <v/>
          </cell>
          <cell r="O1580" t="str">
            <v/>
          </cell>
          <cell r="P1580" t="str">
            <v/>
          </cell>
          <cell r="Q1580" t="str">
            <v/>
          </cell>
          <cell r="T1580" t="str">
            <v/>
          </cell>
          <cell r="U1580" t="str">
            <v/>
          </cell>
          <cell r="W1580" t="str">
            <v/>
          </cell>
          <cell r="X1580" t="str">
            <v/>
          </cell>
          <cell r="AB1580">
            <v>0</v>
          </cell>
          <cell r="AC1580">
            <v>0</v>
          </cell>
          <cell r="AD1580">
            <v>0</v>
          </cell>
          <cell r="AJ1580">
            <v>0</v>
          </cell>
          <cell r="AK1580">
            <v>0</v>
          </cell>
        </row>
        <row r="1581">
          <cell r="B1581" t="str">
            <v/>
          </cell>
          <cell r="H1581" t="str">
            <v/>
          </cell>
          <cell r="J1581" t="str">
            <v/>
          </cell>
          <cell r="N1581" t="str">
            <v/>
          </cell>
          <cell r="O1581" t="str">
            <v/>
          </cell>
          <cell r="P1581" t="str">
            <v/>
          </cell>
          <cell r="Q1581" t="str">
            <v/>
          </cell>
          <cell r="T1581" t="str">
            <v/>
          </cell>
          <cell r="U1581" t="str">
            <v/>
          </cell>
          <cell r="W1581" t="str">
            <v/>
          </cell>
          <cell r="X1581" t="str">
            <v/>
          </cell>
          <cell r="AB1581">
            <v>0</v>
          </cell>
          <cell r="AC1581">
            <v>0</v>
          </cell>
          <cell r="AD1581">
            <v>0</v>
          </cell>
          <cell r="AJ1581">
            <v>0</v>
          </cell>
          <cell r="AK1581">
            <v>0</v>
          </cell>
        </row>
        <row r="1582">
          <cell r="B1582" t="str">
            <v/>
          </cell>
          <cell r="H1582" t="str">
            <v/>
          </cell>
          <cell r="J1582" t="str">
            <v/>
          </cell>
          <cell r="N1582" t="str">
            <v/>
          </cell>
          <cell r="O1582" t="str">
            <v/>
          </cell>
          <cell r="P1582" t="str">
            <v/>
          </cell>
          <cell r="Q1582" t="str">
            <v/>
          </cell>
          <cell r="T1582" t="str">
            <v/>
          </cell>
          <cell r="U1582" t="str">
            <v/>
          </cell>
          <cell r="W1582" t="str">
            <v/>
          </cell>
          <cell r="X1582" t="str">
            <v/>
          </cell>
          <cell r="AB1582">
            <v>0</v>
          </cell>
          <cell r="AC1582">
            <v>0</v>
          </cell>
          <cell r="AD1582">
            <v>0</v>
          </cell>
          <cell r="AJ1582">
            <v>0</v>
          </cell>
          <cell r="AK1582">
            <v>0</v>
          </cell>
        </row>
        <row r="1583">
          <cell r="B1583" t="str">
            <v/>
          </cell>
          <cell r="H1583" t="str">
            <v/>
          </cell>
          <cell r="J1583" t="str">
            <v/>
          </cell>
          <cell r="N1583" t="str">
            <v/>
          </cell>
          <cell r="O1583" t="str">
            <v/>
          </cell>
          <cell r="P1583" t="str">
            <v/>
          </cell>
          <cell r="Q1583" t="str">
            <v/>
          </cell>
          <cell r="T1583" t="str">
            <v/>
          </cell>
          <cell r="U1583" t="str">
            <v/>
          </cell>
          <cell r="W1583" t="str">
            <v/>
          </cell>
          <cell r="X1583" t="str">
            <v/>
          </cell>
          <cell r="AB1583">
            <v>0</v>
          </cell>
          <cell r="AC1583">
            <v>0</v>
          </cell>
          <cell r="AD1583">
            <v>0</v>
          </cell>
          <cell r="AJ1583">
            <v>0</v>
          </cell>
          <cell r="AK1583">
            <v>0</v>
          </cell>
        </row>
        <row r="1584">
          <cell r="B1584" t="str">
            <v/>
          </cell>
          <cell r="H1584" t="str">
            <v/>
          </cell>
          <cell r="J1584" t="str">
            <v/>
          </cell>
          <cell r="N1584" t="str">
            <v/>
          </cell>
          <cell r="O1584" t="str">
            <v/>
          </cell>
          <cell r="P1584" t="str">
            <v/>
          </cell>
          <cell r="Q1584" t="str">
            <v/>
          </cell>
          <cell r="T1584" t="str">
            <v/>
          </cell>
          <cell r="U1584" t="str">
            <v/>
          </cell>
          <cell r="W1584" t="str">
            <v/>
          </cell>
          <cell r="X1584" t="str">
            <v/>
          </cell>
          <cell r="AB1584">
            <v>0</v>
          </cell>
          <cell r="AC1584">
            <v>0</v>
          </cell>
          <cell r="AD1584">
            <v>0</v>
          </cell>
          <cell r="AJ1584">
            <v>0</v>
          </cell>
          <cell r="AK1584">
            <v>0</v>
          </cell>
        </row>
        <row r="1585">
          <cell r="B1585" t="str">
            <v/>
          </cell>
          <cell r="H1585" t="str">
            <v/>
          </cell>
          <cell r="J1585" t="str">
            <v/>
          </cell>
          <cell r="N1585" t="str">
            <v/>
          </cell>
          <cell r="O1585" t="str">
            <v/>
          </cell>
          <cell r="P1585" t="str">
            <v/>
          </cell>
          <cell r="Q1585" t="str">
            <v/>
          </cell>
          <cell r="T1585" t="str">
            <v/>
          </cell>
          <cell r="U1585" t="str">
            <v/>
          </cell>
          <cell r="W1585" t="str">
            <v/>
          </cell>
          <cell r="X1585" t="str">
            <v/>
          </cell>
          <cell r="AB1585">
            <v>0</v>
          </cell>
          <cell r="AC1585">
            <v>0</v>
          </cell>
          <cell r="AD1585">
            <v>0</v>
          </cell>
          <cell r="AJ1585">
            <v>0</v>
          </cell>
          <cell r="AK1585">
            <v>0</v>
          </cell>
        </row>
        <row r="1586">
          <cell r="B1586" t="str">
            <v/>
          </cell>
          <cell r="H1586" t="str">
            <v/>
          </cell>
          <cell r="J1586" t="str">
            <v/>
          </cell>
          <cell r="N1586" t="str">
            <v/>
          </cell>
          <cell r="O1586" t="str">
            <v/>
          </cell>
          <cell r="P1586" t="str">
            <v/>
          </cell>
          <cell r="Q1586" t="str">
            <v/>
          </cell>
          <cell r="T1586" t="str">
            <v/>
          </cell>
          <cell r="U1586" t="str">
            <v/>
          </cell>
          <cell r="W1586" t="str">
            <v/>
          </cell>
          <cell r="X1586" t="str">
            <v/>
          </cell>
          <cell r="AB1586">
            <v>0</v>
          </cell>
          <cell r="AC1586">
            <v>0</v>
          </cell>
          <cell r="AD1586">
            <v>0</v>
          </cell>
          <cell r="AJ1586">
            <v>0</v>
          </cell>
          <cell r="AK1586">
            <v>0</v>
          </cell>
        </row>
        <row r="1587">
          <cell r="B1587" t="str">
            <v/>
          </cell>
          <cell r="H1587" t="str">
            <v/>
          </cell>
          <cell r="J1587" t="str">
            <v/>
          </cell>
          <cell r="N1587" t="str">
            <v/>
          </cell>
          <cell r="O1587" t="str">
            <v/>
          </cell>
          <cell r="P1587" t="str">
            <v/>
          </cell>
          <cell r="Q1587" t="str">
            <v/>
          </cell>
          <cell r="T1587" t="str">
            <v/>
          </cell>
          <cell r="U1587" t="str">
            <v/>
          </cell>
          <cell r="W1587" t="str">
            <v/>
          </cell>
          <cell r="X1587" t="str">
            <v/>
          </cell>
          <cell r="AB1587">
            <v>0</v>
          </cell>
          <cell r="AC1587">
            <v>0</v>
          </cell>
          <cell r="AD1587">
            <v>0</v>
          </cell>
          <cell r="AJ1587">
            <v>0</v>
          </cell>
          <cell r="AK1587">
            <v>0</v>
          </cell>
        </row>
        <row r="1588">
          <cell r="B1588" t="str">
            <v/>
          </cell>
          <cell r="H1588" t="str">
            <v/>
          </cell>
          <cell r="J1588" t="str">
            <v/>
          </cell>
          <cell r="N1588" t="str">
            <v/>
          </cell>
          <cell r="O1588" t="str">
            <v/>
          </cell>
          <cell r="P1588" t="str">
            <v/>
          </cell>
          <cell r="Q1588" t="str">
            <v/>
          </cell>
          <cell r="T1588" t="str">
            <v/>
          </cell>
          <cell r="U1588" t="str">
            <v/>
          </cell>
          <cell r="W1588" t="str">
            <v/>
          </cell>
          <cell r="X1588" t="str">
            <v/>
          </cell>
          <cell r="AB1588">
            <v>0</v>
          </cell>
          <cell r="AC1588">
            <v>0</v>
          </cell>
          <cell r="AD1588">
            <v>0</v>
          </cell>
          <cell r="AJ1588">
            <v>0</v>
          </cell>
          <cell r="AK1588">
            <v>0</v>
          </cell>
        </row>
        <row r="1589">
          <cell r="B1589" t="str">
            <v/>
          </cell>
          <cell r="H1589" t="str">
            <v/>
          </cell>
          <cell r="J1589" t="str">
            <v/>
          </cell>
          <cell r="N1589" t="str">
            <v/>
          </cell>
          <cell r="O1589" t="str">
            <v/>
          </cell>
          <cell r="P1589" t="str">
            <v/>
          </cell>
          <cell r="Q1589" t="str">
            <v/>
          </cell>
          <cell r="T1589" t="str">
            <v/>
          </cell>
          <cell r="U1589" t="str">
            <v/>
          </cell>
          <cell r="W1589" t="str">
            <v/>
          </cell>
          <cell r="X1589" t="str">
            <v/>
          </cell>
          <cell r="AB1589">
            <v>0</v>
          </cell>
          <cell r="AC1589">
            <v>0</v>
          </cell>
          <cell r="AD1589">
            <v>0</v>
          </cell>
          <cell r="AJ1589">
            <v>0</v>
          </cell>
          <cell r="AK1589">
            <v>0</v>
          </cell>
        </row>
        <row r="1590">
          <cell r="B1590" t="str">
            <v/>
          </cell>
          <cell r="H1590" t="str">
            <v/>
          </cell>
          <cell r="J1590" t="str">
            <v/>
          </cell>
          <cell r="N1590" t="str">
            <v/>
          </cell>
          <cell r="O1590" t="str">
            <v/>
          </cell>
          <cell r="P1590" t="str">
            <v/>
          </cell>
          <cell r="Q1590" t="str">
            <v/>
          </cell>
          <cell r="T1590" t="str">
            <v/>
          </cell>
          <cell r="U1590" t="str">
            <v/>
          </cell>
          <cell r="W1590" t="str">
            <v/>
          </cell>
          <cell r="X1590" t="str">
            <v/>
          </cell>
          <cell r="AB1590">
            <v>0</v>
          </cell>
          <cell r="AC1590">
            <v>0</v>
          </cell>
          <cell r="AD1590">
            <v>0</v>
          </cell>
          <cell r="AJ1590">
            <v>0</v>
          </cell>
          <cell r="AK1590">
            <v>0</v>
          </cell>
        </row>
        <row r="1591">
          <cell r="B1591" t="str">
            <v/>
          </cell>
          <cell r="H1591" t="str">
            <v/>
          </cell>
          <cell r="J1591" t="str">
            <v/>
          </cell>
          <cell r="N1591" t="str">
            <v/>
          </cell>
          <cell r="O1591" t="str">
            <v/>
          </cell>
          <cell r="P1591" t="str">
            <v/>
          </cell>
          <cell r="Q1591" t="str">
            <v/>
          </cell>
          <cell r="T1591" t="str">
            <v/>
          </cell>
          <cell r="U1591" t="str">
            <v/>
          </cell>
          <cell r="W1591" t="str">
            <v/>
          </cell>
          <cell r="X1591" t="str">
            <v/>
          </cell>
          <cell r="AB1591">
            <v>0</v>
          </cell>
          <cell r="AC1591">
            <v>0</v>
          </cell>
          <cell r="AD1591">
            <v>0</v>
          </cell>
          <cell r="AJ1591">
            <v>0</v>
          </cell>
          <cell r="AK1591">
            <v>0</v>
          </cell>
        </row>
        <row r="1592">
          <cell r="B1592" t="str">
            <v/>
          </cell>
          <cell r="H1592" t="str">
            <v/>
          </cell>
          <cell r="J1592" t="str">
            <v/>
          </cell>
          <cell r="N1592" t="str">
            <v/>
          </cell>
          <cell r="O1592" t="str">
            <v/>
          </cell>
          <cell r="P1592" t="str">
            <v/>
          </cell>
          <cell r="Q1592" t="str">
            <v/>
          </cell>
          <cell r="T1592" t="str">
            <v/>
          </cell>
          <cell r="U1592" t="str">
            <v/>
          </cell>
          <cell r="W1592" t="str">
            <v/>
          </cell>
          <cell r="X1592" t="str">
            <v/>
          </cell>
          <cell r="AB1592">
            <v>0</v>
          </cell>
          <cell r="AC1592">
            <v>0</v>
          </cell>
          <cell r="AD1592">
            <v>0</v>
          </cell>
          <cell r="AJ1592">
            <v>0</v>
          </cell>
          <cell r="AK1592">
            <v>0</v>
          </cell>
        </row>
        <row r="1593">
          <cell r="B1593" t="str">
            <v/>
          </cell>
          <cell r="H1593" t="str">
            <v/>
          </cell>
          <cell r="J1593" t="str">
            <v/>
          </cell>
          <cell r="N1593" t="str">
            <v/>
          </cell>
          <cell r="O1593" t="str">
            <v/>
          </cell>
          <cell r="P1593" t="str">
            <v/>
          </cell>
          <cell r="Q1593" t="str">
            <v/>
          </cell>
          <cell r="T1593" t="str">
            <v/>
          </cell>
          <cell r="U1593" t="str">
            <v/>
          </cell>
          <cell r="W1593" t="str">
            <v/>
          </cell>
          <cell r="X1593" t="str">
            <v/>
          </cell>
          <cell r="AB1593">
            <v>0</v>
          </cell>
          <cell r="AC1593">
            <v>0</v>
          </cell>
          <cell r="AD1593">
            <v>0</v>
          </cell>
          <cell r="AJ1593">
            <v>0</v>
          </cell>
          <cell r="AK1593">
            <v>0</v>
          </cell>
        </row>
        <row r="1594">
          <cell r="B1594" t="str">
            <v/>
          </cell>
          <cell r="H1594" t="str">
            <v/>
          </cell>
          <cell r="J1594" t="str">
            <v/>
          </cell>
          <cell r="N1594" t="str">
            <v/>
          </cell>
          <cell r="O1594" t="str">
            <v/>
          </cell>
          <cell r="P1594" t="str">
            <v/>
          </cell>
          <cell r="Q1594" t="str">
            <v/>
          </cell>
          <cell r="T1594" t="str">
            <v/>
          </cell>
          <cell r="U1594" t="str">
            <v/>
          </cell>
          <cell r="W1594" t="str">
            <v/>
          </cell>
          <cell r="X1594" t="str">
            <v/>
          </cell>
          <cell r="AB1594">
            <v>0</v>
          </cell>
          <cell r="AC1594">
            <v>0</v>
          </cell>
          <cell r="AD1594">
            <v>0</v>
          </cell>
          <cell r="AJ1594">
            <v>0</v>
          </cell>
          <cell r="AK1594">
            <v>0</v>
          </cell>
        </row>
        <row r="1595">
          <cell r="B1595" t="str">
            <v/>
          </cell>
          <cell r="H1595" t="str">
            <v/>
          </cell>
          <cell r="J1595" t="str">
            <v/>
          </cell>
          <cell r="N1595" t="str">
            <v/>
          </cell>
          <cell r="O1595" t="str">
            <v/>
          </cell>
          <cell r="P1595" t="str">
            <v/>
          </cell>
          <cell r="Q1595" t="str">
            <v/>
          </cell>
          <cell r="T1595" t="str">
            <v/>
          </cell>
          <cell r="U1595" t="str">
            <v/>
          </cell>
          <cell r="W1595" t="str">
            <v/>
          </cell>
          <cell r="X1595" t="str">
            <v/>
          </cell>
          <cell r="AB1595">
            <v>0</v>
          </cell>
          <cell r="AC1595">
            <v>0</v>
          </cell>
          <cell r="AD1595">
            <v>0</v>
          </cell>
          <cell r="AJ1595">
            <v>0</v>
          </cell>
          <cell r="AK1595">
            <v>0</v>
          </cell>
        </row>
        <row r="1596">
          <cell r="B1596" t="str">
            <v/>
          </cell>
          <cell r="H1596" t="str">
            <v/>
          </cell>
          <cell r="J1596" t="str">
            <v/>
          </cell>
          <cell r="N1596" t="str">
            <v/>
          </cell>
          <cell r="O1596" t="str">
            <v/>
          </cell>
          <cell r="P1596" t="str">
            <v/>
          </cell>
          <cell r="Q1596" t="str">
            <v/>
          </cell>
          <cell r="T1596" t="str">
            <v/>
          </cell>
          <cell r="U1596" t="str">
            <v/>
          </cell>
          <cell r="W1596" t="str">
            <v/>
          </cell>
          <cell r="X1596" t="str">
            <v/>
          </cell>
          <cell r="AB1596">
            <v>0</v>
          </cell>
          <cell r="AC1596">
            <v>0</v>
          </cell>
          <cell r="AD1596">
            <v>0</v>
          </cell>
          <cell r="AJ1596">
            <v>0</v>
          </cell>
          <cell r="AK1596">
            <v>0</v>
          </cell>
        </row>
        <row r="1597">
          <cell r="B1597" t="str">
            <v/>
          </cell>
          <cell r="H1597" t="str">
            <v/>
          </cell>
          <cell r="J1597" t="str">
            <v/>
          </cell>
          <cell r="N1597" t="str">
            <v/>
          </cell>
          <cell r="O1597" t="str">
            <v/>
          </cell>
          <cell r="P1597" t="str">
            <v/>
          </cell>
          <cell r="Q1597" t="str">
            <v/>
          </cell>
          <cell r="T1597" t="str">
            <v/>
          </cell>
          <cell r="U1597" t="str">
            <v/>
          </cell>
          <cell r="W1597" t="str">
            <v/>
          </cell>
          <cell r="X1597" t="str">
            <v/>
          </cell>
          <cell r="AB1597">
            <v>0</v>
          </cell>
          <cell r="AC1597">
            <v>0</v>
          </cell>
          <cell r="AD1597">
            <v>0</v>
          </cell>
          <cell r="AJ1597">
            <v>0</v>
          </cell>
          <cell r="AK1597">
            <v>0</v>
          </cell>
        </row>
        <row r="1598">
          <cell r="B1598" t="str">
            <v/>
          </cell>
          <cell r="H1598" t="str">
            <v/>
          </cell>
          <cell r="J1598" t="str">
            <v/>
          </cell>
          <cell r="N1598" t="str">
            <v/>
          </cell>
          <cell r="O1598" t="str">
            <v/>
          </cell>
          <cell r="P1598" t="str">
            <v/>
          </cell>
          <cell r="Q1598" t="str">
            <v/>
          </cell>
          <cell r="T1598" t="str">
            <v/>
          </cell>
          <cell r="U1598" t="str">
            <v/>
          </cell>
          <cell r="W1598" t="str">
            <v/>
          </cell>
          <cell r="X1598" t="str">
            <v/>
          </cell>
          <cell r="AB1598">
            <v>0</v>
          </cell>
          <cell r="AC1598">
            <v>0</v>
          </cell>
          <cell r="AD1598">
            <v>0</v>
          </cell>
          <cell r="AJ1598">
            <v>0</v>
          </cell>
          <cell r="AK1598">
            <v>0</v>
          </cell>
        </row>
        <row r="1599">
          <cell r="B1599" t="str">
            <v/>
          </cell>
          <cell r="H1599" t="str">
            <v/>
          </cell>
          <cell r="J1599" t="str">
            <v/>
          </cell>
          <cell r="N1599" t="str">
            <v/>
          </cell>
          <cell r="O1599" t="str">
            <v/>
          </cell>
          <cell r="P1599" t="str">
            <v/>
          </cell>
          <cell r="Q1599" t="str">
            <v/>
          </cell>
          <cell r="T1599" t="str">
            <v/>
          </cell>
          <cell r="U1599" t="str">
            <v/>
          </cell>
          <cell r="W1599" t="str">
            <v/>
          </cell>
          <cell r="X1599" t="str">
            <v/>
          </cell>
          <cell r="AB1599">
            <v>0</v>
          </cell>
          <cell r="AC1599">
            <v>0</v>
          </cell>
          <cell r="AD1599">
            <v>0</v>
          </cell>
          <cell r="AJ1599">
            <v>0</v>
          </cell>
          <cell r="AK1599">
            <v>0</v>
          </cell>
        </row>
        <row r="1600">
          <cell r="B1600" t="str">
            <v/>
          </cell>
          <cell r="H1600" t="str">
            <v/>
          </cell>
          <cell r="J1600" t="str">
            <v/>
          </cell>
          <cell r="N1600" t="str">
            <v/>
          </cell>
          <cell r="O1600" t="str">
            <v/>
          </cell>
          <cell r="P1600" t="str">
            <v/>
          </cell>
          <cell r="Q1600" t="str">
            <v/>
          </cell>
          <cell r="T1600" t="str">
            <v/>
          </cell>
          <cell r="U1600" t="str">
            <v/>
          </cell>
          <cell r="W1600" t="str">
            <v/>
          </cell>
          <cell r="X1600" t="str">
            <v/>
          </cell>
          <cell r="AB1600">
            <v>0</v>
          </cell>
          <cell r="AC1600">
            <v>0</v>
          </cell>
          <cell r="AD1600">
            <v>0</v>
          </cell>
          <cell r="AJ1600">
            <v>0</v>
          </cell>
          <cell r="AK1600">
            <v>0</v>
          </cell>
        </row>
        <row r="1601">
          <cell r="B1601" t="str">
            <v/>
          </cell>
          <cell r="H1601" t="str">
            <v/>
          </cell>
          <cell r="J1601" t="str">
            <v/>
          </cell>
          <cell r="N1601" t="str">
            <v/>
          </cell>
          <cell r="O1601" t="str">
            <v/>
          </cell>
          <cell r="P1601" t="str">
            <v/>
          </cell>
          <cell r="Q1601" t="str">
            <v/>
          </cell>
          <cell r="T1601" t="str">
            <v/>
          </cell>
          <cell r="U1601" t="str">
            <v/>
          </cell>
          <cell r="W1601" t="str">
            <v/>
          </cell>
          <cell r="X1601" t="str">
            <v/>
          </cell>
          <cell r="AB1601">
            <v>0</v>
          </cell>
          <cell r="AC1601">
            <v>0</v>
          </cell>
          <cell r="AD1601">
            <v>0</v>
          </cell>
          <cell r="AJ1601">
            <v>0</v>
          </cell>
          <cell r="AK1601">
            <v>0</v>
          </cell>
        </row>
        <row r="1602">
          <cell r="B1602" t="str">
            <v/>
          </cell>
          <cell r="H1602" t="str">
            <v/>
          </cell>
          <cell r="J1602" t="str">
            <v/>
          </cell>
          <cell r="N1602" t="str">
            <v/>
          </cell>
          <cell r="O1602" t="str">
            <v/>
          </cell>
          <cell r="P1602" t="str">
            <v/>
          </cell>
          <cell r="Q1602" t="str">
            <v/>
          </cell>
          <cell r="T1602" t="str">
            <v/>
          </cell>
          <cell r="U1602" t="str">
            <v/>
          </cell>
          <cell r="W1602" t="str">
            <v/>
          </cell>
          <cell r="X1602" t="str">
            <v/>
          </cell>
          <cell r="AB1602">
            <v>0</v>
          </cell>
          <cell r="AC1602">
            <v>0</v>
          </cell>
          <cell r="AD1602">
            <v>0</v>
          </cell>
          <cell r="AJ1602">
            <v>0</v>
          </cell>
          <cell r="AK1602">
            <v>0</v>
          </cell>
        </row>
        <row r="1603">
          <cell r="B1603" t="str">
            <v/>
          </cell>
          <cell r="H1603" t="str">
            <v/>
          </cell>
          <cell r="J1603" t="str">
            <v/>
          </cell>
          <cell r="N1603" t="str">
            <v/>
          </cell>
          <cell r="O1603" t="str">
            <v/>
          </cell>
          <cell r="P1603" t="str">
            <v/>
          </cell>
          <cell r="Q1603" t="str">
            <v/>
          </cell>
          <cell r="T1603" t="str">
            <v/>
          </cell>
          <cell r="U1603" t="str">
            <v/>
          </cell>
          <cell r="W1603" t="str">
            <v/>
          </cell>
          <cell r="X1603" t="str">
            <v/>
          </cell>
          <cell r="AB1603">
            <v>0</v>
          </cell>
          <cell r="AC1603">
            <v>0</v>
          </cell>
          <cell r="AD1603">
            <v>0</v>
          </cell>
          <cell r="AJ1603">
            <v>0</v>
          </cell>
          <cell r="AK1603">
            <v>0</v>
          </cell>
        </row>
        <row r="1604">
          <cell r="B1604" t="str">
            <v/>
          </cell>
          <cell r="H1604" t="str">
            <v/>
          </cell>
          <cell r="J1604" t="str">
            <v/>
          </cell>
          <cell r="N1604" t="str">
            <v/>
          </cell>
          <cell r="O1604" t="str">
            <v/>
          </cell>
          <cell r="P1604" t="str">
            <v/>
          </cell>
          <cell r="Q1604" t="str">
            <v/>
          </cell>
          <cell r="T1604" t="str">
            <v/>
          </cell>
          <cell r="U1604" t="str">
            <v/>
          </cell>
          <cell r="W1604" t="str">
            <v/>
          </cell>
          <cell r="X1604" t="str">
            <v/>
          </cell>
          <cell r="AB1604">
            <v>0</v>
          </cell>
          <cell r="AC1604">
            <v>0</v>
          </cell>
          <cell r="AD1604">
            <v>0</v>
          </cell>
          <cell r="AJ1604">
            <v>0</v>
          </cell>
          <cell r="AK1604">
            <v>0</v>
          </cell>
        </row>
        <row r="1605">
          <cell r="B1605" t="str">
            <v/>
          </cell>
          <cell r="H1605" t="str">
            <v/>
          </cell>
          <cell r="J1605" t="str">
            <v/>
          </cell>
          <cell r="N1605" t="str">
            <v/>
          </cell>
          <cell r="O1605" t="str">
            <v/>
          </cell>
          <cell r="P1605" t="str">
            <v/>
          </cell>
          <cell r="Q1605" t="str">
            <v/>
          </cell>
          <cell r="T1605" t="str">
            <v/>
          </cell>
          <cell r="U1605" t="str">
            <v/>
          </cell>
          <cell r="W1605" t="str">
            <v/>
          </cell>
          <cell r="X1605" t="str">
            <v/>
          </cell>
          <cell r="AB1605">
            <v>0</v>
          </cell>
          <cell r="AC1605">
            <v>0</v>
          </cell>
          <cell r="AD1605">
            <v>0</v>
          </cell>
          <cell r="AJ1605">
            <v>0</v>
          </cell>
          <cell r="AK1605">
            <v>0</v>
          </cell>
        </row>
        <row r="1606">
          <cell r="B1606" t="str">
            <v/>
          </cell>
          <cell r="H1606" t="str">
            <v/>
          </cell>
          <cell r="J1606" t="str">
            <v/>
          </cell>
          <cell r="N1606" t="str">
            <v/>
          </cell>
          <cell r="O1606" t="str">
            <v/>
          </cell>
          <cell r="P1606" t="str">
            <v/>
          </cell>
          <cell r="Q1606" t="str">
            <v/>
          </cell>
          <cell r="T1606" t="str">
            <v/>
          </cell>
          <cell r="U1606" t="str">
            <v/>
          </cell>
          <cell r="W1606" t="str">
            <v/>
          </cell>
          <cell r="X1606" t="str">
            <v/>
          </cell>
          <cell r="AB1606">
            <v>0</v>
          </cell>
          <cell r="AC1606">
            <v>0</v>
          </cell>
          <cell r="AD1606">
            <v>0</v>
          </cell>
          <cell r="AJ1606">
            <v>0</v>
          </cell>
          <cell r="AK1606">
            <v>0</v>
          </cell>
        </row>
        <row r="1607">
          <cell r="B1607" t="str">
            <v/>
          </cell>
          <cell r="H1607" t="str">
            <v/>
          </cell>
          <cell r="J1607" t="str">
            <v/>
          </cell>
          <cell r="N1607" t="str">
            <v/>
          </cell>
          <cell r="O1607" t="str">
            <v/>
          </cell>
          <cell r="P1607" t="str">
            <v/>
          </cell>
          <cell r="Q1607" t="str">
            <v/>
          </cell>
          <cell r="T1607" t="str">
            <v/>
          </cell>
          <cell r="U1607" t="str">
            <v/>
          </cell>
          <cell r="W1607" t="str">
            <v/>
          </cell>
          <cell r="X1607" t="str">
            <v/>
          </cell>
          <cell r="AB1607">
            <v>0</v>
          </cell>
          <cell r="AC1607">
            <v>0</v>
          </cell>
          <cell r="AD1607">
            <v>0</v>
          </cell>
          <cell r="AJ1607">
            <v>0</v>
          </cell>
          <cell r="AK1607">
            <v>0</v>
          </cell>
        </row>
        <row r="1608">
          <cell r="B1608" t="str">
            <v/>
          </cell>
          <cell r="H1608" t="str">
            <v/>
          </cell>
          <cell r="J1608" t="str">
            <v/>
          </cell>
          <cell r="N1608" t="str">
            <v/>
          </cell>
          <cell r="O1608" t="str">
            <v/>
          </cell>
          <cell r="P1608" t="str">
            <v/>
          </cell>
          <cell r="Q1608" t="str">
            <v/>
          </cell>
          <cell r="T1608" t="str">
            <v/>
          </cell>
          <cell r="U1608" t="str">
            <v/>
          </cell>
          <cell r="W1608" t="str">
            <v/>
          </cell>
          <cell r="X1608" t="str">
            <v/>
          </cell>
          <cell r="AB1608">
            <v>0</v>
          </cell>
          <cell r="AC1608">
            <v>0</v>
          </cell>
          <cell r="AD1608">
            <v>0</v>
          </cell>
          <cell r="AJ1608">
            <v>0</v>
          </cell>
          <cell r="AK1608">
            <v>0</v>
          </cell>
        </row>
        <row r="1609">
          <cell r="B1609" t="str">
            <v/>
          </cell>
          <cell r="H1609" t="str">
            <v/>
          </cell>
          <cell r="J1609" t="str">
            <v/>
          </cell>
          <cell r="N1609" t="str">
            <v/>
          </cell>
          <cell r="O1609" t="str">
            <v/>
          </cell>
          <cell r="P1609" t="str">
            <v/>
          </cell>
          <cell r="Q1609" t="str">
            <v/>
          </cell>
          <cell r="T1609" t="str">
            <v/>
          </cell>
          <cell r="U1609" t="str">
            <v/>
          </cell>
          <cell r="W1609" t="str">
            <v/>
          </cell>
          <cell r="X1609" t="str">
            <v/>
          </cell>
          <cell r="AB1609">
            <v>0</v>
          </cell>
          <cell r="AC1609">
            <v>0</v>
          </cell>
          <cell r="AD1609">
            <v>0</v>
          </cell>
          <cell r="AJ1609">
            <v>0</v>
          </cell>
          <cell r="AK1609">
            <v>0</v>
          </cell>
        </row>
        <row r="1610">
          <cell r="B1610" t="str">
            <v/>
          </cell>
          <cell r="H1610" t="str">
            <v/>
          </cell>
          <cell r="J1610" t="str">
            <v/>
          </cell>
          <cell r="N1610" t="str">
            <v/>
          </cell>
          <cell r="O1610" t="str">
            <v/>
          </cell>
          <cell r="P1610" t="str">
            <v/>
          </cell>
          <cell r="Q1610" t="str">
            <v/>
          </cell>
          <cell r="T1610" t="str">
            <v/>
          </cell>
          <cell r="U1610" t="str">
            <v/>
          </cell>
          <cell r="W1610" t="str">
            <v/>
          </cell>
          <cell r="X1610" t="str">
            <v/>
          </cell>
          <cell r="AB1610">
            <v>0</v>
          </cell>
          <cell r="AC1610">
            <v>0</v>
          </cell>
          <cell r="AD1610">
            <v>0</v>
          </cell>
          <cell r="AJ1610">
            <v>0</v>
          </cell>
          <cell r="AK1610">
            <v>0</v>
          </cell>
        </row>
        <row r="1611">
          <cell r="B1611" t="str">
            <v/>
          </cell>
          <cell r="H1611" t="str">
            <v/>
          </cell>
          <cell r="J1611" t="str">
            <v/>
          </cell>
          <cell r="N1611" t="str">
            <v/>
          </cell>
          <cell r="O1611" t="str">
            <v/>
          </cell>
          <cell r="P1611" t="str">
            <v/>
          </cell>
          <cell r="Q1611" t="str">
            <v/>
          </cell>
          <cell r="T1611" t="str">
            <v/>
          </cell>
          <cell r="U1611" t="str">
            <v/>
          </cell>
          <cell r="W1611" t="str">
            <v/>
          </cell>
          <cell r="X1611" t="str">
            <v/>
          </cell>
          <cell r="AB1611">
            <v>0</v>
          </cell>
          <cell r="AC1611">
            <v>0</v>
          </cell>
          <cell r="AD1611">
            <v>0</v>
          </cell>
          <cell r="AJ1611">
            <v>0</v>
          </cell>
          <cell r="AK1611">
            <v>0</v>
          </cell>
        </row>
        <row r="1612">
          <cell r="B1612" t="str">
            <v/>
          </cell>
          <cell r="H1612" t="str">
            <v/>
          </cell>
          <cell r="J1612" t="str">
            <v/>
          </cell>
          <cell r="N1612" t="str">
            <v/>
          </cell>
          <cell r="O1612" t="str">
            <v/>
          </cell>
          <cell r="P1612" t="str">
            <v/>
          </cell>
          <cell r="Q1612" t="str">
            <v/>
          </cell>
          <cell r="T1612" t="str">
            <v/>
          </cell>
          <cell r="U1612" t="str">
            <v/>
          </cell>
          <cell r="W1612" t="str">
            <v/>
          </cell>
          <cell r="X1612" t="str">
            <v/>
          </cell>
          <cell r="AB1612">
            <v>0</v>
          </cell>
          <cell r="AC1612">
            <v>0</v>
          </cell>
          <cell r="AD1612">
            <v>0</v>
          </cell>
          <cell r="AJ1612">
            <v>0</v>
          </cell>
          <cell r="AK1612">
            <v>0</v>
          </cell>
        </row>
        <row r="1613">
          <cell r="B1613" t="str">
            <v/>
          </cell>
          <cell r="H1613" t="str">
            <v/>
          </cell>
          <cell r="J1613" t="str">
            <v/>
          </cell>
          <cell r="N1613" t="str">
            <v/>
          </cell>
          <cell r="O1613" t="str">
            <v/>
          </cell>
          <cell r="P1613" t="str">
            <v/>
          </cell>
          <cell r="Q1613" t="str">
            <v/>
          </cell>
          <cell r="T1613" t="str">
            <v/>
          </cell>
          <cell r="U1613" t="str">
            <v/>
          </cell>
          <cell r="W1613" t="str">
            <v/>
          </cell>
          <cell r="X1613" t="str">
            <v/>
          </cell>
          <cell r="AB1613">
            <v>0</v>
          </cell>
          <cell r="AC1613">
            <v>0</v>
          </cell>
          <cell r="AD1613">
            <v>0</v>
          </cell>
          <cell r="AJ1613">
            <v>0</v>
          </cell>
          <cell r="AK1613">
            <v>0</v>
          </cell>
        </row>
        <row r="1614">
          <cell r="B1614" t="str">
            <v/>
          </cell>
          <cell r="H1614" t="str">
            <v/>
          </cell>
          <cell r="J1614" t="str">
            <v/>
          </cell>
          <cell r="N1614" t="str">
            <v/>
          </cell>
          <cell r="O1614" t="str">
            <v/>
          </cell>
          <cell r="P1614" t="str">
            <v/>
          </cell>
          <cell r="Q1614" t="str">
            <v/>
          </cell>
          <cell r="T1614" t="str">
            <v/>
          </cell>
          <cell r="U1614" t="str">
            <v/>
          </cell>
          <cell r="W1614" t="str">
            <v/>
          </cell>
          <cell r="X1614" t="str">
            <v/>
          </cell>
          <cell r="AB1614">
            <v>0</v>
          </cell>
          <cell r="AC1614">
            <v>0</v>
          </cell>
          <cell r="AD1614">
            <v>0</v>
          </cell>
          <cell r="AJ1614">
            <v>0</v>
          </cell>
          <cell r="AK1614">
            <v>0</v>
          </cell>
        </row>
        <row r="1615">
          <cell r="B1615" t="str">
            <v/>
          </cell>
          <cell r="H1615" t="str">
            <v/>
          </cell>
          <cell r="J1615" t="str">
            <v/>
          </cell>
          <cell r="N1615" t="str">
            <v/>
          </cell>
          <cell r="O1615" t="str">
            <v/>
          </cell>
          <cell r="P1615" t="str">
            <v/>
          </cell>
          <cell r="Q1615" t="str">
            <v/>
          </cell>
          <cell r="T1615" t="str">
            <v/>
          </cell>
          <cell r="U1615" t="str">
            <v/>
          </cell>
          <cell r="W1615" t="str">
            <v/>
          </cell>
          <cell r="X1615" t="str">
            <v/>
          </cell>
          <cell r="AB1615">
            <v>0</v>
          </cell>
          <cell r="AC1615">
            <v>0</v>
          </cell>
          <cell r="AD1615">
            <v>0</v>
          </cell>
          <cell r="AJ1615">
            <v>0</v>
          </cell>
          <cell r="AK1615">
            <v>0</v>
          </cell>
        </row>
        <row r="1616">
          <cell r="B1616" t="str">
            <v/>
          </cell>
          <cell r="H1616" t="str">
            <v/>
          </cell>
          <cell r="J1616" t="str">
            <v/>
          </cell>
          <cell r="N1616" t="str">
            <v/>
          </cell>
          <cell r="O1616" t="str">
            <v/>
          </cell>
          <cell r="P1616" t="str">
            <v/>
          </cell>
          <cell r="Q1616" t="str">
            <v/>
          </cell>
          <cell r="T1616" t="str">
            <v/>
          </cell>
          <cell r="U1616" t="str">
            <v/>
          </cell>
          <cell r="W1616" t="str">
            <v/>
          </cell>
          <cell r="X1616" t="str">
            <v/>
          </cell>
          <cell r="AB1616">
            <v>0</v>
          </cell>
          <cell r="AC1616">
            <v>0</v>
          </cell>
          <cell r="AD1616">
            <v>0</v>
          </cell>
          <cell r="AJ1616">
            <v>0</v>
          </cell>
          <cell r="AK1616">
            <v>0</v>
          </cell>
        </row>
        <row r="1617">
          <cell r="B1617" t="str">
            <v/>
          </cell>
          <cell r="H1617" t="str">
            <v/>
          </cell>
          <cell r="J1617" t="str">
            <v/>
          </cell>
          <cell r="N1617" t="str">
            <v/>
          </cell>
          <cell r="O1617" t="str">
            <v/>
          </cell>
          <cell r="P1617" t="str">
            <v/>
          </cell>
          <cell r="Q1617" t="str">
            <v/>
          </cell>
          <cell r="T1617" t="str">
            <v/>
          </cell>
          <cell r="U1617" t="str">
            <v/>
          </cell>
          <cell r="W1617" t="str">
            <v/>
          </cell>
          <cell r="X1617" t="str">
            <v/>
          </cell>
          <cell r="AB1617">
            <v>0</v>
          </cell>
          <cell r="AC1617">
            <v>0</v>
          </cell>
          <cell r="AD1617">
            <v>0</v>
          </cell>
          <cell r="AJ1617">
            <v>0</v>
          </cell>
          <cell r="AK1617">
            <v>0</v>
          </cell>
        </row>
        <row r="1618">
          <cell r="B1618" t="str">
            <v/>
          </cell>
          <cell r="H1618" t="str">
            <v/>
          </cell>
          <cell r="J1618" t="str">
            <v/>
          </cell>
          <cell r="N1618" t="str">
            <v/>
          </cell>
          <cell r="O1618" t="str">
            <v/>
          </cell>
          <cell r="P1618" t="str">
            <v/>
          </cell>
          <cell r="Q1618" t="str">
            <v/>
          </cell>
          <cell r="T1618" t="str">
            <v/>
          </cell>
          <cell r="U1618" t="str">
            <v/>
          </cell>
          <cell r="W1618" t="str">
            <v/>
          </cell>
          <cell r="X1618" t="str">
            <v/>
          </cell>
          <cell r="AB1618">
            <v>0</v>
          </cell>
          <cell r="AC1618">
            <v>0</v>
          </cell>
          <cell r="AD1618">
            <v>0</v>
          </cell>
          <cell r="AJ1618">
            <v>0</v>
          </cell>
          <cell r="AK1618">
            <v>0</v>
          </cell>
        </row>
        <row r="1619">
          <cell r="B1619" t="str">
            <v/>
          </cell>
          <cell r="H1619" t="str">
            <v/>
          </cell>
          <cell r="J1619" t="str">
            <v/>
          </cell>
          <cell r="N1619" t="str">
            <v/>
          </cell>
          <cell r="O1619" t="str">
            <v/>
          </cell>
          <cell r="P1619" t="str">
            <v/>
          </cell>
          <cell r="Q1619" t="str">
            <v/>
          </cell>
          <cell r="T1619" t="str">
            <v/>
          </cell>
          <cell r="U1619" t="str">
            <v/>
          </cell>
          <cell r="W1619" t="str">
            <v/>
          </cell>
          <cell r="X1619" t="str">
            <v/>
          </cell>
          <cell r="AB1619">
            <v>0</v>
          </cell>
          <cell r="AC1619">
            <v>0</v>
          </cell>
          <cell r="AD1619">
            <v>0</v>
          </cell>
          <cell r="AJ1619">
            <v>0</v>
          </cell>
          <cell r="AK1619">
            <v>0</v>
          </cell>
        </row>
        <row r="1620">
          <cell r="B1620" t="str">
            <v/>
          </cell>
          <cell r="H1620" t="str">
            <v/>
          </cell>
          <cell r="J1620" t="str">
            <v/>
          </cell>
          <cell r="N1620" t="str">
            <v/>
          </cell>
          <cell r="O1620" t="str">
            <v/>
          </cell>
          <cell r="P1620" t="str">
            <v/>
          </cell>
          <cell r="Q1620" t="str">
            <v/>
          </cell>
          <cell r="T1620" t="str">
            <v/>
          </cell>
          <cell r="U1620" t="str">
            <v/>
          </cell>
          <cell r="W1620" t="str">
            <v/>
          </cell>
          <cell r="X1620" t="str">
            <v/>
          </cell>
          <cell r="AB1620">
            <v>0</v>
          </cell>
          <cell r="AC1620">
            <v>0</v>
          </cell>
          <cell r="AD1620">
            <v>0</v>
          </cell>
          <cell r="AJ1620">
            <v>0</v>
          </cell>
          <cell r="AK1620">
            <v>0</v>
          </cell>
        </row>
        <row r="1621">
          <cell r="B1621" t="str">
            <v/>
          </cell>
          <cell r="H1621" t="str">
            <v/>
          </cell>
          <cell r="J1621" t="str">
            <v/>
          </cell>
          <cell r="N1621" t="str">
            <v/>
          </cell>
          <cell r="O1621" t="str">
            <v/>
          </cell>
          <cell r="P1621" t="str">
            <v/>
          </cell>
          <cell r="Q1621" t="str">
            <v/>
          </cell>
          <cell r="T1621" t="str">
            <v/>
          </cell>
          <cell r="U1621" t="str">
            <v/>
          </cell>
          <cell r="W1621" t="str">
            <v/>
          </cell>
          <cell r="X1621" t="str">
            <v/>
          </cell>
          <cell r="AB1621">
            <v>0</v>
          </cell>
          <cell r="AC1621">
            <v>0</v>
          </cell>
          <cell r="AD1621">
            <v>0</v>
          </cell>
          <cell r="AJ1621">
            <v>0</v>
          </cell>
          <cell r="AK1621">
            <v>0</v>
          </cell>
        </row>
        <row r="1622">
          <cell r="B1622" t="str">
            <v/>
          </cell>
          <cell r="H1622" t="str">
            <v/>
          </cell>
          <cell r="J1622" t="str">
            <v/>
          </cell>
          <cell r="N1622" t="str">
            <v/>
          </cell>
          <cell r="O1622" t="str">
            <v/>
          </cell>
          <cell r="P1622" t="str">
            <v/>
          </cell>
          <cell r="Q1622" t="str">
            <v/>
          </cell>
          <cell r="T1622" t="str">
            <v/>
          </cell>
          <cell r="U1622" t="str">
            <v/>
          </cell>
          <cell r="W1622" t="str">
            <v/>
          </cell>
          <cell r="X1622" t="str">
            <v/>
          </cell>
          <cell r="AB1622">
            <v>0</v>
          </cell>
          <cell r="AC1622">
            <v>0</v>
          </cell>
          <cell r="AD1622">
            <v>0</v>
          </cell>
          <cell r="AJ1622">
            <v>0</v>
          </cell>
          <cell r="AK1622">
            <v>0</v>
          </cell>
        </row>
        <row r="1623">
          <cell r="B1623" t="str">
            <v/>
          </cell>
          <cell r="H1623" t="str">
            <v/>
          </cell>
          <cell r="J1623" t="str">
            <v/>
          </cell>
          <cell r="N1623" t="str">
            <v/>
          </cell>
          <cell r="O1623" t="str">
            <v/>
          </cell>
          <cell r="P1623" t="str">
            <v/>
          </cell>
          <cell r="Q1623" t="str">
            <v/>
          </cell>
          <cell r="T1623" t="str">
            <v/>
          </cell>
          <cell r="U1623" t="str">
            <v/>
          </cell>
          <cell r="W1623" t="str">
            <v/>
          </cell>
          <cell r="X1623" t="str">
            <v/>
          </cell>
          <cell r="AB1623">
            <v>0</v>
          </cell>
          <cell r="AC1623">
            <v>0</v>
          </cell>
          <cell r="AD1623">
            <v>0</v>
          </cell>
          <cell r="AJ1623">
            <v>0</v>
          </cell>
          <cell r="AK1623">
            <v>0</v>
          </cell>
        </row>
        <row r="1624">
          <cell r="B1624" t="str">
            <v/>
          </cell>
          <cell r="H1624" t="str">
            <v/>
          </cell>
          <cell r="J1624" t="str">
            <v/>
          </cell>
          <cell r="N1624" t="str">
            <v/>
          </cell>
          <cell r="O1624" t="str">
            <v/>
          </cell>
          <cell r="P1624" t="str">
            <v/>
          </cell>
          <cell r="Q1624" t="str">
            <v/>
          </cell>
          <cell r="T1624" t="str">
            <v/>
          </cell>
          <cell r="U1624" t="str">
            <v/>
          </cell>
          <cell r="W1624" t="str">
            <v/>
          </cell>
          <cell r="X1624" t="str">
            <v/>
          </cell>
          <cell r="AB1624">
            <v>0</v>
          </cell>
          <cell r="AC1624">
            <v>0</v>
          </cell>
          <cell r="AD1624">
            <v>0</v>
          </cell>
          <cell r="AJ1624">
            <v>0</v>
          </cell>
          <cell r="AK1624">
            <v>0</v>
          </cell>
        </row>
        <row r="1625">
          <cell r="B1625" t="str">
            <v/>
          </cell>
          <cell r="H1625" t="str">
            <v/>
          </cell>
          <cell r="J1625" t="str">
            <v/>
          </cell>
          <cell r="N1625" t="str">
            <v/>
          </cell>
          <cell r="O1625" t="str">
            <v/>
          </cell>
          <cell r="P1625" t="str">
            <v/>
          </cell>
          <cell r="Q1625" t="str">
            <v/>
          </cell>
          <cell r="T1625" t="str">
            <v/>
          </cell>
          <cell r="U1625" t="str">
            <v/>
          </cell>
          <cell r="W1625" t="str">
            <v/>
          </cell>
          <cell r="X1625" t="str">
            <v/>
          </cell>
          <cell r="AB1625">
            <v>0</v>
          </cell>
          <cell r="AC1625">
            <v>0</v>
          </cell>
          <cell r="AD1625">
            <v>0</v>
          </cell>
          <cell r="AJ1625">
            <v>0</v>
          </cell>
          <cell r="AK1625">
            <v>0</v>
          </cell>
        </row>
        <row r="1626">
          <cell r="B1626" t="str">
            <v/>
          </cell>
          <cell r="H1626" t="str">
            <v/>
          </cell>
          <cell r="J1626" t="str">
            <v/>
          </cell>
          <cell r="N1626" t="str">
            <v/>
          </cell>
          <cell r="O1626" t="str">
            <v/>
          </cell>
          <cell r="P1626" t="str">
            <v/>
          </cell>
          <cell r="Q1626" t="str">
            <v/>
          </cell>
          <cell r="T1626" t="str">
            <v/>
          </cell>
          <cell r="U1626" t="str">
            <v/>
          </cell>
          <cell r="W1626" t="str">
            <v/>
          </cell>
          <cell r="X1626" t="str">
            <v/>
          </cell>
          <cell r="AB1626">
            <v>0</v>
          </cell>
          <cell r="AC1626">
            <v>0</v>
          </cell>
          <cell r="AD1626">
            <v>0</v>
          </cell>
          <cell r="AJ1626">
            <v>0</v>
          </cell>
          <cell r="AK1626">
            <v>0</v>
          </cell>
        </row>
        <row r="1627">
          <cell r="B1627" t="str">
            <v/>
          </cell>
          <cell r="H1627" t="str">
            <v/>
          </cell>
          <cell r="J1627" t="str">
            <v/>
          </cell>
          <cell r="N1627" t="str">
            <v/>
          </cell>
          <cell r="O1627" t="str">
            <v/>
          </cell>
          <cell r="P1627" t="str">
            <v/>
          </cell>
          <cell r="Q1627" t="str">
            <v/>
          </cell>
          <cell r="T1627" t="str">
            <v/>
          </cell>
          <cell r="U1627" t="str">
            <v/>
          </cell>
          <cell r="W1627" t="str">
            <v/>
          </cell>
          <cell r="X1627" t="str">
            <v/>
          </cell>
          <cell r="AB1627">
            <v>0</v>
          </cell>
          <cell r="AC1627">
            <v>0</v>
          </cell>
          <cell r="AD1627">
            <v>0</v>
          </cell>
          <cell r="AJ1627">
            <v>0</v>
          </cell>
          <cell r="AK1627">
            <v>0</v>
          </cell>
        </row>
        <row r="1628">
          <cell r="B1628" t="str">
            <v/>
          </cell>
          <cell r="H1628" t="str">
            <v/>
          </cell>
          <cell r="J1628" t="str">
            <v/>
          </cell>
          <cell r="N1628" t="str">
            <v/>
          </cell>
          <cell r="O1628" t="str">
            <v/>
          </cell>
          <cell r="P1628" t="str">
            <v/>
          </cell>
          <cell r="Q1628" t="str">
            <v/>
          </cell>
          <cell r="T1628" t="str">
            <v/>
          </cell>
          <cell r="U1628" t="str">
            <v/>
          </cell>
          <cell r="W1628" t="str">
            <v/>
          </cell>
          <cell r="X1628" t="str">
            <v/>
          </cell>
          <cell r="AB1628">
            <v>0</v>
          </cell>
          <cell r="AC1628">
            <v>0</v>
          </cell>
          <cell r="AD1628">
            <v>0</v>
          </cell>
          <cell r="AJ1628">
            <v>0</v>
          </cell>
          <cell r="AK1628">
            <v>0</v>
          </cell>
        </row>
        <row r="1629">
          <cell r="B1629" t="str">
            <v/>
          </cell>
          <cell r="H1629" t="str">
            <v/>
          </cell>
          <cell r="J1629" t="str">
            <v/>
          </cell>
          <cell r="N1629" t="str">
            <v/>
          </cell>
          <cell r="O1629" t="str">
            <v/>
          </cell>
          <cell r="P1629" t="str">
            <v/>
          </cell>
          <cell r="Q1629" t="str">
            <v/>
          </cell>
          <cell r="T1629" t="str">
            <v/>
          </cell>
          <cell r="U1629" t="str">
            <v/>
          </cell>
          <cell r="W1629" t="str">
            <v/>
          </cell>
          <cell r="X1629" t="str">
            <v/>
          </cell>
          <cell r="AB1629">
            <v>0</v>
          </cell>
          <cell r="AC1629">
            <v>0</v>
          </cell>
          <cell r="AD1629">
            <v>0</v>
          </cell>
          <cell r="AJ1629">
            <v>0</v>
          </cell>
          <cell r="AK1629">
            <v>0</v>
          </cell>
        </row>
        <row r="1630">
          <cell r="B1630" t="str">
            <v/>
          </cell>
          <cell r="H1630" t="str">
            <v/>
          </cell>
          <cell r="J1630" t="str">
            <v/>
          </cell>
          <cell r="N1630" t="str">
            <v/>
          </cell>
          <cell r="O1630" t="str">
            <v/>
          </cell>
          <cell r="P1630" t="str">
            <v/>
          </cell>
          <cell r="Q1630" t="str">
            <v/>
          </cell>
          <cell r="T1630" t="str">
            <v/>
          </cell>
          <cell r="U1630" t="str">
            <v/>
          </cell>
          <cell r="W1630" t="str">
            <v/>
          </cell>
          <cell r="X1630" t="str">
            <v/>
          </cell>
          <cell r="AB1630">
            <v>0</v>
          </cell>
          <cell r="AC1630">
            <v>0</v>
          </cell>
          <cell r="AD1630">
            <v>0</v>
          </cell>
          <cell r="AJ1630">
            <v>0</v>
          </cell>
          <cell r="AK1630">
            <v>0</v>
          </cell>
        </row>
        <row r="1631">
          <cell r="B1631" t="str">
            <v/>
          </cell>
          <cell r="H1631" t="str">
            <v/>
          </cell>
          <cell r="J1631" t="str">
            <v/>
          </cell>
          <cell r="N1631" t="str">
            <v/>
          </cell>
          <cell r="O1631" t="str">
            <v/>
          </cell>
          <cell r="P1631" t="str">
            <v/>
          </cell>
          <cell r="Q1631" t="str">
            <v/>
          </cell>
          <cell r="T1631" t="str">
            <v/>
          </cell>
          <cell r="U1631" t="str">
            <v/>
          </cell>
          <cell r="W1631" t="str">
            <v/>
          </cell>
          <cell r="X1631" t="str">
            <v/>
          </cell>
          <cell r="AB1631">
            <v>0</v>
          </cell>
          <cell r="AC1631">
            <v>0</v>
          </cell>
          <cell r="AD1631">
            <v>0</v>
          </cell>
          <cell r="AJ1631">
            <v>0</v>
          </cell>
          <cell r="AK1631">
            <v>0</v>
          </cell>
        </row>
        <row r="1632">
          <cell r="B1632" t="str">
            <v/>
          </cell>
          <cell r="H1632" t="str">
            <v/>
          </cell>
          <cell r="J1632" t="str">
            <v/>
          </cell>
          <cell r="N1632" t="str">
            <v/>
          </cell>
          <cell r="O1632" t="str">
            <v/>
          </cell>
          <cell r="P1632" t="str">
            <v/>
          </cell>
          <cell r="Q1632" t="str">
            <v/>
          </cell>
          <cell r="T1632" t="str">
            <v/>
          </cell>
          <cell r="U1632" t="str">
            <v/>
          </cell>
          <cell r="W1632" t="str">
            <v/>
          </cell>
          <cell r="X1632" t="str">
            <v/>
          </cell>
          <cell r="AB1632">
            <v>0</v>
          </cell>
          <cell r="AC1632">
            <v>0</v>
          </cell>
          <cell r="AD1632">
            <v>0</v>
          </cell>
          <cell r="AJ1632">
            <v>0</v>
          </cell>
          <cell r="AK1632">
            <v>0</v>
          </cell>
        </row>
        <row r="1633">
          <cell r="B1633" t="str">
            <v/>
          </cell>
          <cell r="H1633" t="str">
            <v/>
          </cell>
          <cell r="J1633" t="str">
            <v/>
          </cell>
          <cell r="N1633" t="str">
            <v/>
          </cell>
          <cell r="O1633" t="str">
            <v/>
          </cell>
          <cell r="P1633" t="str">
            <v/>
          </cell>
          <cell r="Q1633" t="str">
            <v/>
          </cell>
          <cell r="T1633" t="str">
            <v/>
          </cell>
          <cell r="U1633" t="str">
            <v/>
          </cell>
          <cell r="W1633" t="str">
            <v/>
          </cell>
          <cell r="X1633" t="str">
            <v/>
          </cell>
          <cell r="AB1633">
            <v>0</v>
          </cell>
          <cell r="AC1633">
            <v>0</v>
          </cell>
          <cell r="AD1633">
            <v>0</v>
          </cell>
          <cell r="AJ1633">
            <v>0</v>
          </cell>
          <cell r="AK1633">
            <v>0</v>
          </cell>
        </row>
        <row r="1634">
          <cell r="B1634" t="str">
            <v/>
          </cell>
          <cell r="H1634" t="str">
            <v/>
          </cell>
          <cell r="J1634" t="str">
            <v/>
          </cell>
          <cell r="N1634" t="str">
            <v/>
          </cell>
          <cell r="O1634" t="str">
            <v/>
          </cell>
          <cell r="P1634" t="str">
            <v/>
          </cell>
          <cell r="Q1634" t="str">
            <v/>
          </cell>
          <cell r="T1634" t="str">
            <v/>
          </cell>
          <cell r="U1634" t="str">
            <v/>
          </cell>
          <cell r="W1634" t="str">
            <v/>
          </cell>
          <cell r="X1634" t="str">
            <v/>
          </cell>
          <cell r="AB1634">
            <v>0</v>
          </cell>
          <cell r="AC1634">
            <v>0</v>
          </cell>
          <cell r="AD1634">
            <v>0</v>
          </cell>
          <cell r="AJ1634">
            <v>0</v>
          </cell>
          <cell r="AK1634">
            <v>0</v>
          </cell>
        </row>
        <row r="1635">
          <cell r="B1635" t="str">
            <v/>
          </cell>
          <cell r="H1635" t="str">
            <v/>
          </cell>
          <cell r="J1635" t="str">
            <v/>
          </cell>
          <cell r="N1635" t="str">
            <v/>
          </cell>
          <cell r="O1635" t="str">
            <v/>
          </cell>
          <cell r="P1635" t="str">
            <v/>
          </cell>
          <cell r="Q1635" t="str">
            <v/>
          </cell>
          <cell r="T1635" t="str">
            <v/>
          </cell>
          <cell r="U1635" t="str">
            <v/>
          </cell>
          <cell r="W1635" t="str">
            <v/>
          </cell>
          <cell r="X1635" t="str">
            <v/>
          </cell>
          <cell r="AB1635">
            <v>0</v>
          </cell>
          <cell r="AC1635">
            <v>0</v>
          </cell>
          <cell r="AD1635">
            <v>0</v>
          </cell>
          <cell r="AJ1635">
            <v>0</v>
          </cell>
          <cell r="AK1635">
            <v>0</v>
          </cell>
        </row>
        <row r="1636">
          <cell r="B1636" t="str">
            <v/>
          </cell>
          <cell r="H1636" t="str">
            <v/>
          </cell>
          <cell r="J1636" t="str">
            <v/>
          </cell>
          <cell r="N1636" t="str">
            <v/>
          </cell>
          <cell r="O1636" t="str">
            <v/>
          </cell>
          <cell r="P1636" t="str">
            <v/>
          </cell>
          <cell r="Q1636" t="str">
            <v/>
          </cell>
          <cell r="T1636" t="str">
            <v/>
          </cell>
          <cell r="U1636" t="str">
            <v/>
          </cell>
          <cell r="W1636" t="str">
            <v/>
          </cell>
          <cell r="X1636" t="str">
            <v/>
          </cell>
          <cell r="AB1636">
            <v>0</v>
          </cell>
          <cell r="AC1636">
            <v>0</v>
          </cell>
          <cell r="AD1636">
            <v>0</v>
          </cell>
          <cell r="AJ1636">
            <v>0</v>
          </cell>
          <cell r="AK1636">
            <v>0</v>
          </cell>
        </row>
        <row r="1637">
          <cell r="B1637" t="str">
            <v/>
          </cell>
          <cell r="H1637" t="str">
            <v/>
          </cell>
          <cell r="J1637" t="str">
            <v/>
          </cell>
          <cell r="N1637" t="str">
            <v/>
          </cell>
          <cell r="O1637" t="str">
            <v/>
          </cell>
          <cell r="P1637" t="str">
            <v/>
          </cell>
          <cell r="Q1637" t="str">
            <v/>
          </cell>
          <cell r="T1637" t="str">
            <v/>
          </cell>
          <cell r="U1637" t="str">
            <v/>
          </cell>
          <cell r="W1637" t="str">
            <v/>
          </cell>
          <cell r="X1637" t="str">
            <v/>
          </cell>
          <cell r="AB1637">
            <v>0</v>
          </cell>
          <cell r="AC1637">
            <v>0</v>
          </cell>
          <cell r="AD1637">
            <v>0</v>
          </cell>
          <cell r="AJ1637">
            <v>0</v>
          </cell>
          <cell r="AK1637">
            <v>0</v>
          </cell>
        </row>
        <row r="1638">
          <cell r="B1638" t="str">
            <v/>
          </cell>
          <cell r="H1638" t="str">
            <v/>
          </cell>
          <cell r="J1638" t="str">
            <v/>
          </cell>
          <cell r="N1638" t="str">
            <v/>
          </cell>
          <cell r="O1638" t="str">
            <v/>
          </cell>
          <cell r="P1638" t="str">
            <v/>
          </cell>
          <cell r="Q1638" t="str">
            <v/>
          </cell>
          <cell r="T1638" t="str">
            <v/>
          </cell>
          <cell r="U1638" t="str">
            <v/>
          </cell>
          <cell r="W1638" t="str">
            <v/>
          </cell>
          <cell r="X1638" t="str">
            <v/>
          </cell>
          <cell r="AB1638">
            <v>0</v>
          </cell>
          <cell r="AC1638">
            <v>0</v>
          </cell>
          <cell r="AD1638">
            <v>0</v>
          </cell>
          <cell r="AJ1638">
            <v>0</v>
          </cell>
          <cell r="AK1638">
            <v>0</v>
          </cell>
        </row>
        <row r="1639">
          <cell r="B1639" t="str">
            <v/>
          </cell>
          <cell r="H1639" t="str">
            <v/>
          </cell>
          <cell r="J1639" t="str">
            <v/>
          </cell>
          <cell r="N1639" t="str">
            <v/>
          </cell>
          <cell r="O1639" t="str">
            <v/>
          </cell>
          <cell r="P1639" t="str">
            <v/>
          </cell>
          <cell r="Q1639" t="str">
            <v/>
          </cell>
          <cell r="T1639" t="str">
            <v/>
          </cell>
          <cell r="U1639" t="str">
            <v/>
          </cell>
          <cell r="W1639" t="str">
            <v/>
          </cell>
          <cell r="X1639" t="str">
            <v/>
          </cell>
          <cell r="AB1639">
            <v>0</v>
          </cell>
          <cell r="AC1639">
            <v>0</v>
          </cell>
          <cell r="AD1639">
            <v>0</v>
          </cell>
          <cell r="AJ1639">
            <v>0</v>
          </cell>
          <cell r="AK1639">
            <v>0</v>
          </cell>
        </row>
        <row r="1640">
          <cell r="B1640" t="str">
            <v/>
          </cell>
          <cell r="H1640" t="str">
            <v/>
          </cell>
          <cell r="J1640" t="str">
            <v/>
          </cell>
          <cell r="N1640" t="str">
            <v/>
          </cell>
          <cell r="O1640" t="str">
            <v/>
          </cell>
          <cell r="P1640" t="str">
            <v/>
          </cell>
          <cell r="Q1640" t="str">
            <v/>
          </cell>
          <cell r="T1640" t="str">
            <v/>
          </cell>
          <cell r="U1640" t="str">
            <v/>
          </cell>
          <cell r="W1640" t="str">
            <v/>
          </cell>
          <cell r="X1640" t="str">
            <v/>
          </cell>
          <cell r="AB1640">
            <v>0</v>
          </cell>
          <cell r="AC1640">
            <v>0</v>
          </cell>
          <cell r="AD1640">
            <v>0</v>
          </cell>
          <cell r="AJ1640">
            <v>0</v>
          </cell>
          <cell r="AK1640">
            <v>0</v>
          </cell>
        </row>
        <row r="1641">
          <cell r="B1641" t="str">
            <v/>
          </cell>
          <cell r="H1641" t="str">
            <v/>
          </cell>
          <cell r="J1641" t="str">
            <v/>
          </cell>
          <cell r="N1641" t="str">
            <v/>
          </cell>
          <cell r="O1641" t="str">
            <v/>
          </cell>
          <cell r="P1641" t="str">
            <v/>
          </cell>
          <cell r="Q1641" t="str">
            <v/>
          </cell>
          <cell r="T1641" t="str">
            <v/>
          </cell>
          <cell r="U1641" t="str">
            <v/>
          </cell>
          <cell r="W1641" t="str">
            <v/>
          </cell>
          <cell r="X1641" t="str">
            <v/>
          </cell>
          <cell r="AB1641">
            <v>0</v>
          </cell>
          <cell r="AC1641">
            <v>0</v>
          </cell>
          <cell r="AD1641">
            <v>0</v>
          </cell>
          <cell r="AJ1641">
            <v>0</v>
          </cell>
          <cell r="AK1641">
            <v>0</v>
          </cell>
        </row>
        <row r="1642">
          <cell r="B1642" t="str">
            <v/>
          </cell>
          <cell r="H1642" t="str">
            <v/>
          </cell>
          <cell r="J1642" t="str">
            <v/>
          </cell>
          <cell r="N1642" t="str">
            <v/>
          </cell>
          <cell r="O1642" t="str">
            <v/>
          </cell>
          <cell r="P1642" t="str">
            <v/>
          </cell>
          <cell r="Q1642" t="str">
            <v/>
          </cell>
          <cell r="T1642" t="str">
            <v/>
          </cell>
          <cell r="U1642" t="str">
            <v/>
          </cell>
          <cell r="W1642" t="str">
            <v/>
          </cell>
          <cell r="X1642" t="str">
            <v/>
          </cell>
          <cell r="AB1642">
            <v>0</v>
          </cell>
          <cell r="AC1642">
            <v>0</v>
          </cell>
          <cell r="AD1642">
            <v>0</v>
          </cell>
          <cell r="AJ1642">
            <v>0</v>
          </cell>
          <cell r="AK1642">
            <v>0</v>
          </cell>
        </row>
        <row r="1643">
          <cell r="B1643" t="str">
            <v/>
          </cell>
          <cell r="H1643" t="str">
            <v/>
          </cell>
          <cell r="J1643" t="str">
            <v/>
          </cell>
          <cell r="N1643" t="str">
            <v/>
          </cell>
          <cell r="O1643" t="str">
            <v/>
          </cell>
          <cell r="P1643" t="str">
            <v/>
          </cell>
          <cell r="Q1643" t="str">
            <v/>
          </cell>
          <cell r="T1643" t="str">
            <v/>
          </cell>
          <cell r="U1643" t="str">
            <v/>
          </cell>
          <cell r="W1643" t="str">
            <v/>
          </cell>
          <cell r="X1643" t="str">
            <v/>
          </cell>
          <cell r="AB1643">
            <v>0</v>
          </cell>
          <cell r="AC1643">
            <v>0</v>
          </cell>
          <cell r="AD1643">
            <v>0</v>
          </cell>
          <cell r="AJ1643">
            <v>0</v>
          </cell>
          <cell r="AK1643">
            <v>0</v>
          </cell>
        </row>
        <row r="1644">
          <cell r="B1644" t="str">
            <v/>
          </cell>
          <cell r="H1644" t="str">
            <v/>
          </cell>
          <cell r="J1644" t="str">
            <v/>
          </cell>
          <cell r="N1644" t="str">
            <v/>
          </cell>
          <cell r="O1644" t="str">
            <v/>
          </cell>
          <cell r="P1644" t="str">
            <v/>
          </cell>
          <cell r="Q1644" t="str">
            <v/>
          </cell>
          <cell r="T1644" t="str">
            <v/>
          </cell>
          <cell r="U1644" t="str">
            <v/>
          </cell>
          <cell r="W1644" t="str">
            <v/>
          </cell>
          <cell r="X1644" t="str">
            <v/>
          </cell>
          <cell r="AB1644">
            <v>0</v>
          </cell>
          <cell r="AC1644">
            <v>0</v>
          </cell>
          <cell r="AD1644">
            <v>0</v>
          </cell>
          <cell r="AJ1644">
            <v>0</v>
          </cell>
          <cell r="AK1644">
            <v>0</v>
          </cell>
        </row>
        <row r="1645">
          <cell r="B1645" t="str">
            <v/>
          </cell>
          <cell r="H1645" t="str">
            <v/>
          </cell>
          <cell r="J1645" t="str">
            <v/>
          </cell>
          <cell r="N1645" t="str">
            <v/>
          </cell>
          <cell r="O1645" t="str">
            <v/>
          </cell>
          <cell r="P1645" t="str">
            <v/>
          </cell>
          <cell r="Q1645" t="str">
            <v/>
          </cell>
          <cell r="T1645" t="str">
            <v/>
          </cell>
          <cell r="U1645" t="str">
            <v/>
          </cell>
          <cell r="W1645" t="str">
            <v/>
          </cell>
          <cell r="X1645" t="str">
            <v/>
          </cell>
          <cell r="AB1645">
            <v>0</v>
          </cell>
          <cell r="AC1645">
            <v>0</v>
          </cell>
          <cell r="AD1645">
            <v>0</v>
          </cell>
          <cell r="AJ1645">
            <v>0</v>
          </cell>
          <cell r="AK1645">
            <v>0</v>
          </cell>
        </row>
        <row r="1646">
          <cell r="B1646" t="str">
            <v/>
          </cell>
          <cell r="H1646" t="str">
            <v/>
          </cell>
          <cell r="J1646" t="str">
            <v/>
          </cell>
          <cell r="N1646" t="str">
            <v/>
          </cell>
          <cell r="O1646" t="str">
            <v/>
          </cell>
          <cell r="P1646" t="str">
            <v/>
          </cell>
          <cell r="Q1646" t="str">
            <v/>
          </cell>
          <cell r="T1646" t="str">
            <v/>
          </cell>
          <cell r="U1646" t="str">
            <v/>
          </cell>
          <cell r="W1646" t="str">
            <v/>
          </cell>
          <cell r="X1646" t="str">
            <v/>
          </cell>
          <cell r="AB1646">
            <v>0</v>
          </cell>
          <cell r="AC1646">
            <v>0</v>
          </cell>
          <cell r="AD1646">
            <v>0</v>
          </cell>
          <cell r="AJ1646">
            <v>0</v>
          </cell>
          <cell r="AK1646">
            <v>0</v>
          </cell>
        </row>
        <row r="1647">
          <cell r="B1647" t="str">
            <v/>
          </cell>
          <cell r="H1647" t="str">
            <v/>
          </cell>
          <cell r="J1647" t="str">
            <v/>
          </cell>
          <cell r="N1647" t="str">
            <v/>
          </cell>
          <cell r="O1647" t="str">
            <v/>
          </cell>
          <cell r="P1647" t="str">
            <v/>
          </cell>
          <cell r="Q1647" t="str">
            <v/>
          </cell>
          <cell r="T1647" t="str">
            <v/>
          </cell>
          <cell r="U1647" t="str">
            <v/>
          </cell>
          <cell r="W1647" t="str">
            <v/>
          </cell>
          <cell r="X1647" t="str">
            <v/>
          </cell>
          <cell r="AB1647">
            <v>0</v>
          </cell>
          <cell r="AC1647">
            <v>0</v>
          </cell>
          <cell r="AD1647">
            <v>0</v>
          </cell>
          <cell r="AJ1647">
            <v>0</v>
          </cell>
          <cell r="AK1647">
            <v>0</v>
          </cell>
        </row>
        <row r="1648">
          <cell r="B1648" t="str">
            <v/>
          </cell>
          <cell r="H1648" t="str">
            <v/>
          </cell>
          <cell r="J1648" t="str">
            <v/>
          </cell>
          <cell r="N1648" t="str">
            <v/>
          </cell>
          <cell r="O1648" t="str">
            <v/>
          </cell>
          <cell r="P1648" t="str">
            <v/>
          </cell>
          <cell r="Q1648" t="str">
            <v/>
          </cell>
          <cell r="T1648" t="str">
            <v/>
          </cell>
          <cell r="U1648" t="str">
            <v/>
          </cell>
          <cell r="W1648" t="str">
            <v/>
          </cell>
          <cell r="X1648" t="str">
            <v/>
          </cell>
          <cell r="AB1648">
            <v>0</v>
          </cell>
          <cell r="AC1648">
            <v>0</v>
          </cell>
          <cell r="AD1648">
            <v>0</v>
          </cell>
          <cell r="AJ1648">
            <v>0</v>
          </cell>
          <cell r="AK1648">
            <v>0</v>
          </cell>
        </row>
        <row r="1649">
          <cell r="B1649" t="str">
            <v/>
          </cell>
          <cell r="H1649" t="str">
            <v/>
          </cell>
          <cell r="J1649" t="str">
            <v/>
          </cell>
          <cell r="N1649" t="str">
            <v/>
          </cell>
          <cell r="O1649" t="str">
            <v/>
          </cell>
          <cell r="P1649" t="str">
            <v/>
          </cell>
          <cell r="Q1649" t="str">
            <v/>
          </cell>
          <cell r="T1649" t="str">
            <v/>
          </cell>
          <cell r="U1649" t="str">
            <v/>
          </cell>
          <cell r="W1649" t="str">
            <v/>
          </cell>
          <cell r="X1649" t="str">
            <v/>
          </cell>
          <cell r="AB1649">
            <v>0</v>
          </cell>
          <cell r="AC1649">
            <v>0</v>
          </cell>
          <cell r="AD1649">
            <v>0</v>
          </cell>
          <cell r="AJ1649">
            <v>0</v>
          </cell>
          <cell r="AK1649">
            <v>0</v>
          </cell>
        </row>
        <row r="1650">
          <cell r="B1650" t="str">
            <v/>
          </cell>
          <cell r="H1650" t="str">
            <v/>
          </cell>
          <cell r="J1650" t="str">
            <v/>
          </cell>
          <cell r="N1650" t="str">
            <v/>
          </cell>
          <cell r="O1650" t="str">
            <v/>
          </cell>
          <cell r="P1650" t="str">
            <v/>
          </cell>
          <cell r="Q1650" t="str">
            <v/>
          </cell>
          <cell r="T1650" t="str">
            <v/>
          </cell>
          <cell r="U1650" t="str">
            <v/>
          </cell>
          <cell r="W1650" t="str">
            <v/>
          </cell>
          <cell r="X1650" t="str">
            <v/>
          </cell>
          <cell r="AB1650">
            <v>0</v>
          </cell>
          <cell r="AC1650">
            <v>0</v>
          </cell>
          <cell r="AD1650">
            <v>0</v>
          </cell>
          <cell r="AJ1650">
            <v>0</v>
          </cell>
          <cell r="AK1650">
            <v>0</v>
          </cell>
        </row>
        <row r="1651">
          <cell r="B1651" t="str">
            <v/>
          </cell>
          <cell r="H1651" t="str">
            <v/>
          </cell>
          <cell r="J1651" t="str">
            <v/>
          </cell>
          <cell r="N1651" t="str">
            <v/>
          </cell>
          <cell r="O1651" t="str">
            <v/>
          </cell>
          <cell r="P1651" t="str">
            <v/>
          </cell>
          <cell r="Q1651" t="str">
            <v/>
          </cell>
          <cell r="T1651" t="str">
            <v/>
          </cell>
          <cell r="U1651" t="str">
            <v/>
          </cell>
          <cell r="W1651" t="str">
            <v/>
          </cell>
          <cell r="X1651" t="str">
            <v/>
          </cell>
          <cell r="AB1651">
            <v>0</v>
          </cell>
          <cell r="AC1651">
            <v>0</v>
          </cell>
          <cell r="AD1651">
            <v>0</v>
          </cell>
          <cell r="AJ1651">
            <v>0</v>
          </cell>
          <cell r="AK1651">
            <v>0</v>
          </cell>
        </row>
        <row r="1652">
          <cell r="B1652" t="str">
            <v/>
          </cell>
          <cell r="H1652" t="str">
            <v/>
          </cell>
          <cell r="J1652" t="str">
            <v/>
          </cell>
          <cell r="N1652" t="str">
            <v/>
          </cell>
          <cell r="O1652" t="str">
            <v/>
          </cell>
          <cell r="P1652" t="str">
            <v/>
          </cell>
          <cell r="Q1652" t="str">
            <v/>
          </cell>
          <cell r="T1652" t="str">
            <v/>
          </cell>
          <cell r="U1652" t="str">
            <v/>
          </cell>
          <cell r="W1652" t="str">
            <v/>
          </cell>
          <cell r="X1652" t="str">
            <v/>
          </cell>
          <cell r="AB1652">
            <v>0</v>
          </cell>
          <cell r="AC1652">
            <v>0</v>
          </cell>
          <cell r="AD1652">
            <v>0</v>
          </cell>
          <cell r="AJ1652">
            <v>0</v>
          </cell>
          <cell r="AK1652">
            <v>0</v>
          </cell>
        </row>
        <row r="1653">
          <cell r="B1653" t="str">
            <v/>
          </cell>
          <cell r="H1653" t="str">
            <v/>
          </cell>
          <cell r="J1653" t="str">
            <v/>
          </cell>
          <cell r="N1653" t="str">
            <v/>
          </cell>
          <cell r="O1653" t="str">
            <v/>
          </cell>
          <cell r="P1653" t="str">
            <v/>
          </cell>
          <cell r="Q1653" t="str">
            <v/>
          </cell>
          <cell r="T1653" t="str">
            <v/>
          </cell>
          <cell r="U1653" t="str">
            <v/>
          </cell>
          <cell r="W1653" t="str">
            <v/>
          </cell>
          <cell r="X1653" t="str">
            <v/>
          </cell>
          <cell r="AB1653">
            <v>0</v>
          </cell>
          <cell r="AC1653">
            <v>0</v>
          </cell>
          <cell r="AD1653">
            <v>0</v>
          </cell>
          <cell r="AJ1653">
            <v>0</v>
          </cell>
          <cell r="AK1653">
            <v>0</v>
          </cell>
        </row>
        <row r="1654">
          <cell r="B1654" t="str">
            <v/>
          </cell>
          <cell r="H1654" t="str">
            <v/>
          </cell>
          <cell r="J1654" t="str">
            <v/>
          </cell>
          <cell r="N1654" t="str">
            <v/>
          </cell>
          <cell r="O1654" t="str">
            <v/>
          </cell>
          <cell r="P1654" t="str">
            <v/>
          </cell>
          <cell r="Q1654" t="str">
            <v/>
          </cell>
          <cell r="T1654" t="str">
            <v/>
          </cell>
          <cell r="U1654" t="str">
            <v/>
          </cell>
          <cell r="W1654" t="str">
            <v/>
          </cell>
          <cell r="X1654" t="str">
            <v/>
          </cell>
          <cell r="AB1654">
            <v>0</v>
          </cell>
          <cell r="AC1654">
            <v>0</v>
          </cell>
          <cell r="AD1654">
            <v>0</v>
          </cell>
          <cell r="AJ1654">
            <v>0</v>
          </cell>
          <cell r="AK1654">
            <v>0</v>
          </cell>
        </row>
        <row r="1655">
          <cell r="B1655" t="str">
            <v/>
          </cell>
          <cell r="H1655" t="str">
            <v/>
          </cell>
          <cell r="J1655" t="str">
            <v/>
          </cell>
          <cell r="N1655" t="str">
            <v/>
          </cell>
          <cell r="O1655" t="str">
            <v/>
          </cell>
          <cell r="P1655" t="str">
            <v/>
          </cell>
          <cell r="Q1655" t="str">
            <v/>
          </cell>
          <cell r="T1655" t="str">
            <v/>
          </cell>
          <cell r="U1655" t="str">
            <v/>
          </cell>
          <cell r="W1655" t="str">
            <v/>
          </cell>
          <cell r="X1655" t="str">
            <v/>
          </cell>
          <cell r="AB1655">
            <v>0</v>
          </cell>
          <cell r="AC1655">
            <v>0</v>
          </cell>
          <cell r="AD1655">
            <v>0</v>
          </cell>
          <cell r="AJ1655">
            <v>0</v>
          </cell>
          <cell r="AK1655">
            <v>0</v>
          </cell>
        </row>
        <row r="1656">
          <cell r="B1656" t="str">
            <v/>
          </cell>
          <cell r="H1656" t="str">
            <v/>
          </cell>
          <cell r="J1656" t="str">
            <v/>
          </cell>
          <cell r="N1656" t="str">
            <v/>
          </cell>
          <cell r="O1656" t="str">
            <v/>
          </cell>
          <cell r="P1656" t="str">
            <v/>
          </cell>
          <cell r="Q1656" t="str">
            <v/>
          </cell>
          <cell r="T1656" t="str">
            <v/>
          </cell>
          <cell r="U1656" t="str">
            <v/>
          </cell>
          <cell r="W1656" t="str">
            <v/>
          </cell>
          <cell r="X1656" t="str">
            <v/>
          </cell>
          <cell r="AB1656">
            <v>0</v>
          </cell>
          <cell r="AC1656">
            <v>0</v>
          </cell>
          <cell r="AD1656">
            <v>0</v>
          </cell>
          <cell r="AJ1656">
            <v>0</v>
          </cell>
          <cell r="AK1656">
            <v>0</v>
          </cell>
        </row>
        <row r="1657">
          <cell r="B1657" t="str">
            <v/>
          </cell>
          <cell r="H1657" t="str">
            <v/>
          </cell>
          <cell r="J1657" t="str">
            <v/>
          </cell>
          <cell r="N1657" t="str">
            <v/>
          </cell>
          <cell r="O1657" t="str">
            <v/>
          </cell>
          <cell r="P1657" t="str">
            <v/>
          </cell>
          <cell r="Q1657" t="str">
            <v/>
          </cell>
          <cell r="T1657" t="str">
            <v/>
          </cell>
          <cell r="U1657" t="str">
            <v/>
          </cell>
          <cell r="W1657" t="str">
            <v/>
          </cell>
          <cell r="X1657" t="str">
            <v/>
          </cell>
          <cell r="AB1657">
            <v>0</v>
          </cell>
          <cell r="AC1657">
            <v>0</v>
          </cell>
          <cell r="AD1657">
            <v>0</v>
          </cell>
          <cell r="AJ1657">
            <v>0</v>
          </cell>
          <cell r="AK1657">
            <v>0</v>
          </cell>
        </row>
        <row r="1658">
          <cell r="B1658" t="str">
            <v/>
          </cell>
          <cell r="H1658" t="str">
            <v/>
          </cell>
          <cell r="J1658" t="str">
            <v/>
          </cell>
          <cell r="N1658" t="str">
            <v/>
          </cell>
          <cell r="O1658" t="str">
            <v/>
          </cell>
          <cell r="P1658" t="str">
            <v/>
          </cell>
          <cell r="Q1658" t="str">
            <v/>
          </cell>
          <cell r="T1658" t="str">
            <v/>
          </cell>
          <cell r="U1658" t="str">
            <v/>
          </cell>
          <cell r="W1658" t="str">
            <v/>
          </cell>
          <cell r="X1658" t="str">
            <v/>
          </cell>
          <cell r="AB1658">
            <v>0</v>
          </cell>
          <cell r="AC1658">
            <v>0</v>
          </cell>
          <cell r="AD1658">
            <v>0</v>
          </cell>
          <cell r="AJ1658">
            <v>0</v>
          </cell>
          <cell r="AK1658">
            <v>0</v>
          </cell>
        </row>
        <row r="1659">
          <cell r="B1659" t="str">
            <v/>
          </cell>
          <cell r="H1659" t="str">
            <v/>
          </cell>
          <cell r="J1659" t="str">
            <v/>
          </cell>
          <cell r="N1659" t="str">
            <v/>
          </cell>
          <cell r="O1659" t="str">
            <v/>
          </cell>
          <cell r="P1659" t="str">
            <v/>
          </cell>
          <cell r="Q1659" t="str">
            <v/>
          </cell>
          <cell r="T1659" t="str">
            <v/>
          </cell>
          <cell r="U1659" t="str">
            <v/>
          </cell>
          <cell r="W1659" t="str">
            <v/>
          </cell>
          <cell r="X1659" t="str">
            <v/>
          </cell>
          <cell r="AB1659">
            <v>0</v>
          </cell>
          <cell r="AC1659">
            <v>0</v>
          </cell>
          <cell r="AD1659">
            <v>0</v>
          </cell>
          <cell r="AJ1659">
            <v>0</v>
          </cell>
          <cell r="AK1659">
            <v>0</v>
          </cell>
        </row>
        <row r="1660">
          <cell r="B1660" t="str">
            <v/>
          </cell>
          <cell r="H1660" t="str">
            <v/>
          </cell>
          <cell r="J1660" t="str">
            <v/>
          </cell>
          <cell r="N1660" t="str">
            <v/>
          </cell>
          <cell r="O1660" t="str">
            <v/>
          </cell>
          <cell r="P1660" t="str">
            <v/>
          </cell>
          <cell r="Q1660" t="str">
            <v/>
          </cell>
          <cell r="T1660" t="str">
            <v/>
          </cell>
          <cell r="U1660" t="str">
            <v/>
          </cell>
          <cell r="W1660" t="str">
            <v/>
          </cell>
          <cell r="X1660" t="str">
            <v/>
          </cell>
          <cell r="AB1660">
            <v>0</v>
          </cell>
          <cell r="AC1660">
            <v>0</v>
          </cell>
          <cell r="AD1660">
            <v>0</v>
          </cell>
          <cell r="AJ1660">
            <v>0</v>
          </cell>
          <cell r="AK1660">
            <v>0</v>
          </cell>
        </row>
        <row r="1661">
          <cell r="B1661" t="str">
            <v/>
          </cell>
          <cell r="H1661" t="str">
            <v/>
          </cell>
          <cell r="J1661" t="str">
            <v/>
          </cell>
          <cell r="N1661" t="str">
            <v/>
          </cell>
          <cell r="O1661" t="str">
            <v/>
          </cell>
          <cell r="P1661" t="str">
            <v/>
          </cell>
          <cell r="Q1661" t="str">
            <v/>
          </cell>
          <cell r="T1661" t="str">
            <v/>
          </cell>
          <cell r="U1661" t="str">
            <v/>
          </cell>
          <cell r="W1661" t="str">
            <v/>
          </cell>
          <cell r="X1661" t="str">
            <v/>
          </cell>
          <cell r="AB1661">
            <v>0</v>
          </cell>
          <cell r="AC1661">
            <v>0</v>
          </cell>
          <cell r="AD1661">
            <v>0</v>
          </cell>
          <cell r="AJ1661">
            <v>0</v>
          </cell>
          <cell r="AK1661">
            <v>0</v>
          </cell>
        </row>
        <row r="1662">
          <cell r="B1662" t="str">
            <v/>
          </cell>
          <cell r="H1662" t="str">
            <v/>
          </cell>
          <cell r="J1662" t="str">
            <v/>
          </cell>
          <cell r="N1662" t="str">
            <v/>
          </cell>
          <cell r="O1662" t="str">
            <v/>
          </cell>
          <cell r="P1662" t="str">
            <v/>
          </cell>
          <cell r="Q1662" t="str">
            <v/>
          </cell>
          <cell r="T1662" t="str">
            <v/>
          </cell>
          <cell r="U1662" t="str">
            <v/>
          </cell>
          <cell r="W1662" t="str">
            <v/>
          </cell>
          <cell r="X1662" t="str">
            <v/>
          </cell>
          <cell r="AB1662">
            <v>0</v>
          </cell>
          <cell r="AC1662">
            <v>0</v>
          </cell>
          <cell r="AD1662">
            <v>0</v>
          </cell>
          <cell r="AJ1662">
            <v>0</v>
          </cell>
          <cell r="AK1662">
            <v>0</v>
          </cell>
        </row>
        <row r="1663">
          <cell r="B1663" t="str">
            <v/>
          </cell>
          <cell r="H1663" t="str">
            <v/>
          </cell>
          <cell r="J1663" t="str">
            <v/>
          </cell>
          <cell r="N1663" t="str">
            <v/>
          </cell>
          <cell r="O1663" t="str">
            <v/>
          </cell>
          <cell r="P1663" t="str">
            <v/>
          </cell>
          <cell r="Q1663" t="str">
            <v/>
          </cell>
          <cell r="T1663" t="str">
            <v/>
          </cell>
          <cell r="U1663" t="str">
            <v/>
          </cell>
          <cell r="W1663" t="str">
            <v/>
          </cell>
          <cell r="X1663" t="str">
            <v/>
          </cell>
          <cell r="AB1663">
            <v>0</v>
          </cell>
          <cell r="AC1663">
            <v>0</v>
          </cell>
          <cell r="AD1663">
            <v>0</v>
          </cell>
          <cell r="AJ1663">
            <v>0</v>
          </cell>
          <cell r="AK1663">
            <v>0</v>
          </cell>
        </row>
        <row r="1664">
          <cell r="B1664" t="str">
            <v/>
          </cell>
          <cell r="H1664" t="str">
            <v/>
          </cell>
          <cell r="J1664" t="str">
            <v/>
          </cell>
          <cell r="N1664" t="str">
            <v/>
          </cell>
          <cell r="O1664" t="str">
            <v/>
          </cell>
          <cell r="P1664" t="str">
            <v/>
          </cell>
          <cell r="Q1664" t="str">
            <v/>
          </cell>
          <cell r="T1664" t="str">
            <v/>
          </cell>
          <cell r="U1664" t="str">
            <v/>
          </cell>
          <cell r="W1664" t="str">
            <v/>
          </cell>
          <cell r="X1664" t="str">
            <v/>
          </cell>
          <cell r="AB1664">
            <v>0</v>
          </cell>
          <cell r="AC1664">
            <v>0</v>
          </cell>
          <cell r="AD1664">
            <v>0</v>
          </cell>
          <cell r="AJ1664">
            <v>0</v>
          </cell>
          <cell r="AK1664">
            <v>0</v>
          </cell>
        </row>
        <row r="1665">
          <cell r="B1665" t="str">
            <v/>
          </cell>
          <cell r="H1665" t="str">
            <v/>
          </cell>
          <cell r="J1665" t="str">
            <v/>
          </cell>
          <cell r="N1665" t="str">
            <v/>
          </cell>
          <cell r="O1665" t="str">
            <v/>
          </cell>
          <cell r="P1665" t="str">
            <v/>
          </cell>
          <cell r="Q1665" t="str">
            <v/>
          </cell>
          <cell r="T1665" t="str">
            <v/>
          </cell>
          <cell r="U1665" t="str">
            <v/>
          </cell>
          <cell r="W1665" t="str">
            <v/>
          </cell>
          <cell r="X1665" t="str">
            <v/>
          </cell>
          <cell r="AB1665">
            <v>0</v>
          </cell>
          <cell r="AC1665">
            <v>0</v>
          </cell>
          <cell r="AD1665">
            <v>0</v>
          </cell>
          <cell r="AJ1665">
            <v>0</v>
          </cell>
          <cell r="AK1665">
            <v>0</v>
          </cell>
        </row>
        <row r="1666">
          <cell r="B1666" t="str">
            <v/>
          </cell>
          <cell r="H1666" t="str">
            <v/>
          </cell>
          <cell r="J1666" t="str">
            <v/>
          </cell>
          <cell r="N1666" t="str">
            <v/>
          </cell>
          <cell r="O1666" t="str">
            <v/>
          </cell>
          <cell r="P1666" t="str">
            <v/>
          </cell>
          <cell r="Q1666" t="str">
            <v/>
          </cell>
          <cell r="T1666" t="str">
            <v/>
          </cell>
          <cell r="U1666" t="str">
            <v/>
          </cell>
          <cell r="W1666" t="str">
            <v/>
          </cell>
          <cell r="X1666" t="str">
            <v/>
          </cell>
          <cell r="AB1666">
            <v>0</v>
          </cell>
          <cell r="AC1666">
            <v>0</v>
          </cell>
          <cell r="AD1666">
            <v>0</v>
          </cell>
          <cell r="AJ1666">
            <v>0</v>
          </cell>
          <cell r="AK1666">
            <v>0</v>
          </cell>
        </row>
        <row r="1667">
          <cell r="B1667" t="str">
            <v/>
          </cell>
          <cell r="H1667" t="str">
            <v/>
          </cell>
          <cell r="J1667" t="str">
            <v/>
          </cell>
          <cell r="N1667" t="str">
            <v/>
          </cell>
          <cell r="O1667" t="str">
            <v/>
          </cell>
          <cell r="P1667" t="str">
            <v/>
          </cell>
          <cell r="Q1667" t="str">
            <v/>
          </cell>
          <cell r="T1667" t="str">
            <v/>
          </cell>
          <cell r="U1667" t="str">
            <v/>
          </cell>
          <cell r="W1667" t="str">
            <v/>
          </cell>
          <cell r="X1667" t="str">
            <v/>
          </cell>
          <cell r="AB1667">
            <v>0</v>
          </cell>
          <cell r="AC1667">
            <v>0</v>
          </cell>
          <cell r="AD1667">
            <v>0</v>
          </cell>
          <cell r="AJ1667">
            <v>0</v>
          </cell>
          <cell r="AK1667">
            <v>0</v>
          </cell>
        </row>
        <row r="1668">
          <cell r="B1668" t="str">
            <v/>
          </cell>
          <cell r="H1668" t="str">
            <v/>
          </cell>
          <cell r="J1668" t="str">
            <v/>
          </cell>
          <cell r="N1668" t="str">
            <v/>
          </cell>
          <cell r="O1668" t="str">
            <v/>
          </cell>
          <cell r="P1668" t="str">
            <v/>
          </cell>
          <cell r="Q1668" t="str">
            <v/>
          </cell>
          <cell r="T1668" t="str">
            <v/>
          </cell>
          <cell r="U1668" t="str">
            <v/>
          </cell>
          <cell r="W1668" t="str">
            <v/>
          </cell>
          <cell r="X1668" t="str">
            <v/>
          </cell>
          <cell r="AB1668">
            <v>0</v>
          </cell>
          <cell r="AC1668">
            <v>0</v>
          </cell>
          <cell r="AD1668">
            <v>0</v>
          </cell>
          <cell r="AJ1668">
            <v>0</v>
          </cell>
          <cell r="AK1668">
            <v>0</v>
          </cell>
        </row>
        <row r="1669">
          <cell r="B1669" t="str">
            <v/>
          </cell>
          <cell r="H1669" t="str">
            <v/>
          </cell>
          <cell r="J1669" t="str">
            <v/>
          </cell>
          <cell r="N1669" t="str">
            <v/>
          </cell>
          <cell r="O1669" t="str">
            <v/>
          </cell>
          <cell r="P1669" t="str">
            <v/>
          </cell>
          <cell r="Q1669" t="str">
            <v/>
          </cell>
          <cell r="T1669" t="str">
            <v/>
          </cell>
          <cell r="U1669" t="str">
            <v/>
          </cell>
          <cell r="W1669" t="str">
            <v/>
          </cell>
          <cell r="X1669" t="str">
            <v/>
          </cell>
          <cell r="AB1669">
            <v>0</v>
          </cell>
          <cell r="AC1669">
            <v>0</v>
          </cell>
          <cell r="AD1669">
            <v>0</v>
          </cell>
          <cell r="AJ1669">
            <v>0</v>
          </cell>
          <cell r="AK1669">
            <v>0</v>
          </cell>
        </row>
        <row r="1670">
          <cell r="B1670" t="str">
            <v/>
          </cell>
          <cell r="H1670" t="str">
            <v/>
          </cell>
          <cell r="J1670" t="str">
            <v/>
          </cell>
          <cell r="N1670" t="str">
            <v/>
          </cell>
          <cell r="O1670" t="str">
            <v/>
          </cell>
          <cell r="P1670" t="str">
            <v/>
          </cell>
          <cell r="Q1670" t="str">
            <v/>
          </cell>
          <cell r="T1670" t="str">
            <v/>
          </cell>
          <cell r="U1670" t="str">
            <v/>
          </cell>
          <cell r="W1670" t="str">
            <v/>
          </cell>
          <cell r="X1670" t="str">
            <v/>
          </cell>
          <cell r="AB1670">
            <v>0</v>
          </cell>
          <cell r="AC1670">
            <v>0</v>
          </cell>
          <cell r="AD1670">
            <v>0</v>
          </cell>
          <cell r="AJ1670">
            <v>0</v>
          </cell>
          <cell r="AK1670">
            <v>0</v>
          </cell>
        </row>
        <row r="1671">
          <cell r="B1671" t="str">
            <v/>
          </cell>
          <cell r="H1671" t="str">
            <v/>
          </cell>
          <cell r="J1671" t="str">
            <v/>
          </cell>
          <cell r="N1671" t="str">
            <v/>
          </cell>
          <cell r="O1671" t="str">
            <v/>
          </cell>
          <cell r="P1671" t="str">
            <v/>
          </cell>
          <cell r="Q1671" t="str">
            <v/>
          </cell>
          <cell r="T1671" t="str">
            <v/>
          </cell>
          <cell r="U1671" t="str">
            <v/>
          </cell>
          <cell r="W1671" t="str">
            <v/>
          </cell>
          <cell r="X1671" t="str">
            <v/>
          </cell>
          <cell r="AB1671">
            <v>0</v>
          </cell>
          <cell r="AC1671">
            <v>0</v>
          </cell>
          <cell r="AD1671">
            <v>0</v>
          </cell>
          <cell r="AJ1671">
            <v>0</v>
          </cell>
          <cell r="AK1671">
            <v>0</v>
          </cell>
        </row>
        <row r="1672">
          <cell r="B1672" t="str">
            <v/>
          </cell>
          <cell r="H1672" t="str">
            <v/>
          </cell>
          <cell r="J1672" t="str">
            <v/>
          </cell>
          <cell r="N1672" t="str">
            <v/>
          </cell>
          <cell r="O1672" t="str">
            <v/>
          </cell>
          <cell r="P1672" t="str">
            <v/>
          </cell>
          <cell r="Q1672" t="str">
            <v/>
          </cell>
          <cell r="T1672" t="str">
            <v/>
          </cell>
          <cell r="U1672" t="str">
            <v/>
          </cell>
          <cell r="W1672" t="str">
            <v/>
          </cell>
          <cell r="X1672" t="str">
            <v/>
          </cell>
          <cell r="AB1672">
            <v>0</v>
          </cell>
          <cell r="AC1672">
            <v>0</v>
          </cell>
          <cell r="AD1672">
            <v>0</v>
          </cell>
          <cell r="AJ1672">
            <v>0</v>
          </cell>
          <cell r="AK1672">
            <v>0</v>
          </cell>
        </row>
        <row r="1673">
          <cell r="B1673" t="str">
            <v/>
          </cell>
          <cell r="H1673" t="str">
            <v/>
          </cell>
          <cell r="J1673" t="str">
            <v/>
          </cell>
          <cell r="N1673" t="str">
            <v/>
          </cell>
          <cell r="O1673" t="str">
            <v/>
          </cell>
          <cell r="P1673" t="str">
            <v/>
          </cell>
          <cell r="Q1673" t="str">
            <v/>
          </cell>
          <cell r="T1673" t="str">
            <v/>
          </cell>
          <cell r="U1673" t="str">
            <v/>
          </cell>
          <cell r="W1673" t="str">
            <v/>
          </cell>
          <cell r="X1673" t="str">
            <v/>
          </cell>
          <cell r="AB1673">
            <v>0</v>
          </cell>
          <cell r="AC1673">
            <v>0</v>
          </cell>
          <cell r="AD1673">
            <v>0</v>
          </cell>
          <cell r="AJ1673">
            <v>0</v>
          </cell>
          <cell r="AK1673">
            <v>0</v>
          </cell>
        </row>
        <row r="1674">
          <cell r="B1674" t="str">
            <v/>
          </cell>
          <cell r="H1674" t="str">
            <v/>
          </cell>
          <cell r="J1674" t="str">
            <v/>
          </cell>
          <cell r="N1674" t="str">
            <v/>
          </cell>
          <cell r="O1674" t="str">
            <v/>
          </cell>
          <cell r="P1674" t="str">
            <v/>
          </cell>
          <cell r="Q1674" t="str">
            <v/>
          </cell>
          <cell r="T1674" t="str">
            <v/>
          </cell>
          <cell r="U1674" t="str">
            <v/>
          </cell>
          <cell r="W1674" t="str">
            <v/>
          </cell>
          <cell r="X1674" t="str">
            <v/>
          </cell>
          <cell r="AB1674">
            <v>0</v>
          </cell>
          <cell r="AC1674">
            <v>0</v>
          </cell>
          <cell r="AD1674">
            <v>0</v>
          </cell>
          <cell r="AJ1674">
            <v>0</v>
          </cell>
          <cell r="AK1674">
            <v>0</v>
          </cell>
        </row>
        <row r="1675">
          <cell r="B1675" t="str">
            <v/>
          </cell>
          <cell r="H1675" t="str">
            <v/>
          </cell>
          <cell r="J1675" t="str">
            <v/>
          </cell>
          <cell r="N1675" t="str">
            <v/>
          </cell>
          <cell r="O1675" t="str">
            <v/>
          </cell>
          <cell r="P1675" t="str">
            <v/>
          </cell>
          <cell r="Q1675" t="str">
            <v/>
          </cell>
          <cell r="T1675" t="str">
            <v/>
          </cell>
          <cell r="U1675" t="str">
            <v/>
          </cell>
          <cell r="W1675" t="str">
            <v/>
          </cell>
          <cell r="X1675" t="str">
            <v/>
          </cell>
          <cell r="AB1675">
            <v>0</v>
          </cell>
          <cell r="AC1675">
            <v>0</v>
          </cell>
          <cell r="AD1675">
            <v>0</v>
          </cell>
          <cell r="AJ1675">
            <v>0</v>
          </cell>
          <cell r="AK1675">
            <v>0</v>
          </cell>
        </row>
        <row r="1676">
          <cell r="B1676" t="str">
            <v/>
          </cell>
          <cell r="H1676" t="str">
            <v/>
          </cell>
          <cell r="J1676" t="str">
            <v/>
          </cell>
          <cell r="N1676" t="str">
            <v/>
          </cell>
          <cell r="O1676" t="str">
            <v/>
          </cell>
          <cell r="P1676" t="str">
            <v/>
          </cell>
          <cell r="Q1676" t="str">
            <v/>
          </cell>
          <cell r="T1676" t="str">
            <v/>
          </cell>
          <cell r="U1676" t="str">
            <v/>
          </cell>
          <cell r="W1676" t="str">
            <v/>
          </cell>
          <cell r="X1676" t="str">
            <v/>
          </cell>
          <cell r="AB1676">
            <v>0</v>
          </cell>
          <cell r="AC1676">
            <v>0</v>
          </cell>
          <cell r="AD1676">
            <v>0</v>
          </cell>
          <cell r="AJ1676">
            <v>0</v>
          </cell>
          <cell r="AK1676">
            <v>0</v>
          </cell>
        </row>
        <row r="1677">
          <cell r="B1677" t="str">
            <v/>
          </cell>
          <cell r="H1677" t="str">
            <v/>
          </cell>
          <cell r="J1677" t="str">
            <v/>
          </cell>
          <cell r="N1677" t="str">
            <v/>
          </cell>
          <cell r="O1677" t="str">
            <v/>
          </cell>
          <cell r="P1677" t="str">
            <v/>
          </cell>
          <cell r="Q1677" t="str">
            <v/>
          </cell>
          <cell r="T1677" t="str">
            <v/>
          </cell>
          <cell r="U1677" t="str">
            <v/>
          </cell>
          <cell r="W1677" t="str">
            <v/>
          </cell>
          <cell r="X1677" t="str">
            <v/>
          </cell>
          <cell r="AB1677">
            <v>0</v>
          </cell>
          <cell r="AC1677">
            <v>0</v>
          </cell>
          <cell r="AD1677">
            <v>0</v>
          </cell>
          <cell r="AJ1677">
            <v>0</v>
          </cell>
          <cell r="AK1677">
            <v>0</v>
          </cell>
        </row>
        <row r="1678">
          <cell r="B1678" t="str">
            <v/>
          </cell>
          <cell r="H1678" t="str">
            <v/>
          </cell>
          <cell r="J1678" t="str">
            <v/>
          </cell>
          <cell r="N1678" t="str">
            <v/>
          </cell>
          <cell r="O1678" t="str">
            <v/>
          </cell>
          <cell r="P1678" t="str">
            <v/>
          </cell>
          <cell r="Q1678" t="str">
            <v/>
          </cell>
          <cell r="T1678" t="str">
            <v/>
          </cell>
          <cell r="U1678" t="str">
            <v/>
          </cell>
          <cell r="W1678" t="str">
            <v/>
          </cell>
          <cell r="X1678" t="str">
            <v/>
          </cell>
          <cell r="AB1678">
            <v>0</v>
          </cell>
          <cell r="AC1678">
            <v>0</v>
          </cell>
          <cell r="AD1678">
            <v>0</v>
          </cell>
          <cell r="AJ1678">
            <v>0</v>
          </cell>
          <cell r="AK1678">
            <v>0</v>
          </cell>
        </row>
        <row r="1679">
          <cell r="B1679" t="str">
            <v/>
          </cell>
          <cell r="H1679" t="str">
            <v/>
          </cell>
          <cell r="J1679" t="str">
            <v/>
          </cell>
          <cell r="N1679" t="str">
            <v/>
          </cell>
          <cell r="O1679" t="str">
            <v/>
          </cell>
          <cell r="P1679" t="str">
            <v/>
          </cell>
          <cell r="Q1679" t="str">
            <v/>
          </cell>
          <cell r="T1679" t="str">
            <v/>
          </cell>
          <cell r="U1679" t="str">
            <v/>
          </cell>
          <cell r="W1679" t="str">
            <v/>
          </cell>
          <cell r="X1679" t="str">
            <v/>
          </cell>
          <cell r="AB1679">
            <v>0</v>
          </cell>
          <cell r="AC1679">
            <v>0</v>
          </cell>
          <cell r="AD1679">
            <v>0</v>
          </cell>
          <cell r="AJ1679">
            <v>0</v>
          </cell>
          <cell r="AK1679">
            <v>0</v>
          </cell>
        </row>
        <row r="1680">
          <cell r="B1680" t="str">
            <v/>
          </cell>
          <cell r="H1680" t="str">
            <v/>
          </cell>
          <cell r="J1680" t="str">
            <v/>
          </cell>
          <cell r="N1680" t="str">
            <v/>
          </cell>
          <cell r="O1680" t="str">
            <v/>
          </cell>
          <cell r="P1680" t="str">
            <v/>
          </cell>
          <cell r="Q1680" t="str">
            <v/>
          </cell>
          <cell r="T1680" t="str">
            <v/>
          </cell>
          <cell r="U1680" t="str">
            <v/>
          </cell>
          <cell r="W1680" t="str">
            <v/>
          </cell>
          <cell r="X1680" t="str">
            <v/>
          </cell>
          <cell r="AB1680">
            <v>0</v>
          </cell>
          <cell r="AC1680">
            <v>0</v>
          </cell>
          <cell r="AD1680">
            <v>0</v>
          </cell>
          <cell r="AJ1680">
            <v>0</v>
          </cell>
          <cell r="AK1680">
            <v>0</v>
          </cell>
        </row>
        <row r="1681">
          <cell r="B1681" t="str">
            <v/>
          </cell>
          <cell r="H1681" t="str">
            <v/>
          </cell>
          <cell r="J1681" t="str">
            <v/>
          </cell>
          <cell r="N1681" t="str">
            <v/>
          </cell>
          <cell r="O1681" t="str">
            <v/>
          </cell>
          <cell r="P1681" t="str">
            <v/>
          </cell>
          <cell r="Q1681" t="str">
            <v/>
          </cell>
          <cell r="T1681" t="str">
            <v/>
          </cell>
          <cell r="U1681" t="str">
            <v/>
          </cell>
          <cell r="W1681" t="str">
            <v/>
          </cell>
          <cell r="X1681" t="str">
            <v/>
          </cell>
          <cell r="AB1681">
            <v>0</v>
          </cell>
          <cell r="AC1681">
            <v>0</v>
          </cell>
          <cell r="AD1681">
            <v>0</v>
          </cell>
          <cell r="AJ1681">
            <v>0</v>
          </cell>
          <cell r="AK1681">
            <v>0</v>
          </cell>
        </row>
        <row r="1682">
          <cell r="B1682" t="str">
            <v/>
          </cell>
          <cell r="H1682" t="str">
            <v/>
          </cell>
          <cell r="J1682" t="str">
            <v/>
          </cell>
          <cell r="N1682" t="str">
            <v/>
          </cell>
          <cell r="O1682" t="str">
            <v/>
          </cell>
          <cell r="P1682" t="str">
            <v/>
          </cell>
          <cell r="Q1682" t="str">
            <v/>
          </cell>
          <cell r="T1682" t="str">
            <v/>
          </cell>
          <cell r="U1682" t="str">
            <v/>
          </cell>
          <cell r="W1682" t="str">
            <v/>
          </cell>
          <cell r="X1682" t="str">
            <v/>
          </cell>
          <cell r="AB1682">
            <v>0</v>
          </cell>
          <cell r="AC1682">
            <v>0</v>
          </cell>
          <cell r="AD1682">
            <v>0</v>
          </cell>
          <cell r="AJ1682">
            <v>0</v>
          </cell>
          <cell r="AK1682">
            <v>0</v>
          </cell>
        </row>
        <row r="1683">
          <cell r="B1683" t="str">
            <v/>
          </cell>
          <cell r="H1683" t="str">
            <v/>
          </cell>
          <cell r="J1683" t="str">
            <v/>
          </cell>
          <cell r="N1683" t="str">
            <v/>
          </cell>
          <cell r="O1683" t="str">
            <v/>
          </cell>
          <cell r="P1683" t="str">
            <v/>
          </cell>
          <cell r="Q1683" t="str">
            <v/>
          </cell>
          <cell r="T1683" t="str">
            <v/>
          </cell>
          <cell r="U1683" t="str">
            <v/>
          </cell>
          <cell r="W1683" t="str">
            <v/>
          </cell>
          <cell r="X1683" t="str">
            <v/>
          </cell>
          <cell r="AB1683">
            <v>0</v>
          </cell>
          <cell r="AC1683">
            <v>0</v>
          </cell>
          <cell r="AD1683">
            <v>0</v>
          </cell>
          <cell r="AJ1683">
            <v>0</v>
          </cell>
          <cell r="AK1683">
            <v>0</v>
          </cell>
        </row>
        <row r="1684">
          <cell r="B1684" t="str">
            <v/>
          </cell>
          <cell r="H1684" t="str">
            <v/>
          </cell>
          <cell r="J1684" t="str">
            <v/>
          </cell>
          <cell r="N1684" t="str">
            <v/>
          </cell>
          <cell r="O1684" t="str">
            <v/>
          </cell>
          <cell r="P1684" t="str">
            <v/>
          </cell>
          <cell r="Q1684" t="str">
            <v/>
          </cell>
          <cell r="T1684" t="str">
            <v/>
          </cell>
          <cell r="U1684" t="str">
            <v/>
          </cell>
          <cell r="W1684" t="str">
            <v/>
          </cell>
          <cell r="X1684" t="str">
            <v/>
          </cell>
          <cell r="AB1684">
            <v>0</v>
          </cell>
          <cell r="AC1684">
            <v>0</v>
          </cell>
          <cell r="AD1684">
            <v>0</v>
          </cell>
          <cell r="AJ1684">
            <v>0</v>
          </cell>
          <cell r="AK1684">
            <v>0</v>
          </cell>
        </row>
        <row r="1685">
          <cell r="B1685" t="str">
            <v/>
          </cell>
          <cell r="H1685" t="str">
            <v/>
          </cell>
          <cell r="J1685" t="str">
            <v/>
          </cell>
          <cell r="N1685" t="str">
            <v/>
          </cell>
          <cell r="O1685" t="str">
            <v/>
          </cell>
          <cell r="P1685" t="str">
            <v/>
          </cell>
          <cell r="Q1685" t="str">
            <v/>
          </cell>
          <cell r="T1685" t="str">
            <v/>
          </cell>
          <cell r="U1685" t="str">
            <v/>
          </cell>
          <cell r="W1685" t="str">
            <v/>
          </cell>
          <cell r="X1685" t="str">
            <v/>
          </cell>
          <cell r="AB1685">
            <v>0</v>
          </cell>
          <cell r="AC1685">
            <v>0</v>
          </cell>
          <cell r="AD1685">
            <v>0</v>
          </cell>
          <cell r="AJ1685">
            <v>0</v>
          </cell>
          <cell r="AK1685">
            <v>0</v>
          </cell>
        </row>
        <row r="1686">
          <cell r="B1686" t="str">
            <v/>
          </cell>
          <cell r="H1686" t="str">
            <v/>
          </cell>
          <cell r="J1686" t="str">
            <v/>
          </cell>
          <cell r="N1686" t="str">
            <v/>
          </cell>
          <cell r="O1686" t="str">
            <v/>
          </cell>
          <cell r="P1686" t="str">
            <v/>
          </cell>
          <cell r="Q1686" t="str">
            <v/>
          </cell>
          <cell r="T1686" t="str">
            <v/>
          </cell>
          <cell r="U1686" t="str">
            <v/>
          </cell>
          <cell r="W1686" t="str">
            <v/>
          </cell>
          <cell r="X1686" t="str">
            <v/>
          </cell>
          <cell r="AB1686">
            <v>0</v>
          </cell>
          <cell r="AC1686">
            <v>0</v>
          </cell>
          <cell r="AD1686">
            <v>0</v>
          </cell>
          <cell r="AJ1686">
            <v>0</v>
          </cell>
          <cell r="AK1686">
            <v>0</v>
          </cell>
        </row>
        <row r="1687">
          <cell r="B1687" t="str">
            <v/>
          </cell>
          <cell r="H1687" t="str">
            <v/>
          </cell>
          <cell r="J1687" t="str">
            <v/>
          </cell>
          <cell r="N1687" t="str">
            <v/>
          </cell>
          <cell r="O1687" t="str">
            <v/>
          </cell>
          <cell r="P1687" t="str">
            <v/>
          </cell>
          <cell r="Q1687" t="str">
            <v/>
          </cell>
          <cell r="T1687" t="str">
            <v/>
          </cell>
          <cell r="U1687" t="str">
            <v/>
          </cell>
          <cell r="W1687" t="str">
            <v/>
          </cell>
          <cell r="X1687" t="str">
            <v/>
          </cell>
          <cell r="AB1687">
            <v>0</v>
          </cell>
          <cell r="AC1687">
            <v>0</v>
          </cell>
          <cell r="AD1687">
            <v>0</v>
          </cell>
          <cell r="AJ1687">
            <v>0</v>
          </cell>
          <cell r="AK1687">
            <v>0</v>
          </cell>
        </row>
        <row r="1688">
          <cell r="B1688" t="str">
            <v/>
          </cell>
          <cell r="H1688" t="str">
            <v/>
          </cell>
          <cell r="J1688" t="str">
            <v/>
          </cell>
          <cell r="N1688" t="str">
            <v/>
          </cell>
          <cell r="O1688" t="str">
            <v/>
          </cell>
          <cell r="P1688" t="str">
            <v/>
          </cell>
          <cell r="Q1688" t="str">
            <v/>
          </cell>
          <cell r="T1688" t="str">
            <v/>
          </cell>
          <cell r="U1688" t="str">
            <v/>
          </cell>
          <cell r="W1688" t="str">
            <v/>
          </cell>
          <cell r="X1688" t="str">
            <v/>
          </cell>
          <cell r="AB1688">
            <v>0</v>
          </cell>
          <cell r="AC1688">
            <v>0</v>
          </cell>
          <cell r="AD1688">
            <v>0</v>
          </cell>
          <cell r="AJ1688">
            <v>0</v>
          </cell>
          <cell r="AK1688">
            <v>0</v>
          </cell>
        </row>
        <row r="1689">
          <cell r="B1689" t="str">
            <v/>
          </cell>
          <cell r="H1689" t="str">
            <v/>
          </cell>
          <cell r="J1689" t="str">
            <v/>
          </cell>
          <cell r="N1689" t="str">
            <v/>
          </cell>
          <cell r="O1689" t="str">
            <v/>
          </cell>
          <cell r="P1689" t="str">
            <v/>
          </cell>
          <cell r="Q1689" t="str">
            <v/>
          </cell>
          <cell r="T1689" t="str">
            <v/>
          </cell>
          <cell r="U1689" t="str">
            <v/>
          </cell>
          <cell r="W1689" t="str">
            <v/>
          </cell>
          <cell r="X1689" t="str">
            <v/>
          </cell>
          <cell r="AB1689">
            <v>0</v>
          </cell>
          <cell r="AC1689">
            <v>0</v>
          </cell>
          <cell r="AD1689">
            <v>0</v>
          </cell>
          <cell r="AJ1689">
            <v>0</v>
          </cell>
          <cell r="AK1689">
            <v>0</v>
          </cell>
        </row>
        <row r="1690">
          <cell r="B1690" t="str">
            <v/>
          </cell>
          <cell r="H1690" t="str">
            <v/>
          </cell>
          <cell r="J1690" t="str">
            <v/>
          </cell>
          <cell r="N1690" t="str">
            <v/>
          </cell>
          <cell r="O1690" t="str">
            <v/>
          </cell>
          <cell r="P1690" t="str">
            <v/>
          </cell>
          <cell r="Q1690" t="str">
            <v/>
          </cell>
          <cell r="T1690" t="str">
            <v/>
          </cell>
          <cell r="U1690" t="str">
            <v/>
          </cell>
          <cell r="W1690" t="str">
            <v/>
          </cell>
          <cell r="X1690" t="str">
            <v/>
          </cell>
          <cell r="AB1690">
            <v>0</v>
          </cell>
          <cell r="AC1690">
            <v>0</v>
          </cell>
          <cell r="AD1690">
            <v>0</v>
          </cell>
          <cell r="AJ1690">
            <v>0</v>
          </cell>
          <cell r="AK1690">
            <v>0</v>
          </cell>
        </row>
        <row r="1691">
          <cell r="B1691" t="str">
            <v/>
          </cell>
          <cell r="H1691" t="str">
            <v/>
          </cell>
          <cell r="J1691" t="str">
            <v/>
          </cell>
          <cell r="N1691" t="str">
            <v/>
          </cell>
          <cell r="O1691" t="str">
            <v/>
          </cell>
          <cell r="P1691" t="str">
            <v/>
          </cell>
          <cell r="Q1691" t="str">
            <v/>
          </cell>
          <cell r="T1691" t="str">
            <v/>
          </cell>
          <cell r="U1691" t="str">
            <v/>
          </cell>
          <cell r="W1691" t="str">
            <v/>
          </cell>
          <cell r="X1691" t="str">
            <v/>
          </cell>
          <cell r="AB1691">
            <v>0</v>
          </cell>
          <cell r="AC1691">
            <v>0</v>
          </cell>
          <cell r="AD1691">
            <v>0</v>
          </cell>
          <cell r="AJ1691">
            <v>0</v>
          </cell>
          <cell r="AK1691">
            <v>0</v>
          </cell>
        </row>
        <row r="1692">
          <cell r="B1692" t="str">
            <v/>
          </cell>
          <cell r="H1692" t="str">
            <v/>
          </cell>
          <cell r="J1692" t="str">
            <v/>
          </cell>
          <cell r="N1692" t="str">
            <v/>
          </cell>
          <cell r="O1692" t="str">
            <v/>
          </cell>
          <cell r="P1692" t="str">
            <v/>
          </cell>
          <cell r="Q1692" t="str">
            <v/>
          </cell>
          <cell r="T1692" t="str">
            <v/>
          </cell>
          <cell r="U1692" t="str">
            <v/>
          </cell>
          <cell r="W1692" t="str">
            <v/>
          </cell>
          <cell r="X1692" t="str">
            <v/>
          </cell>
          <cell r="AB1692">
            <v>0</v>
          </cell>
          <cell r="AC1692">
            <v>0</v>
          </cell>
          <cell r="AD1692">
            <v>0</v>
          </cell>
          <cell r="AJ1692">
            <v>0</v>
          </cell>
          <cell r="AK1692">
            <v>0</v>
          </cell>
        </row>
        <row r="1693">
          <cell r="B1693" t="str">
            <v/>
          </cell>
          <cell r="H1693" t="str">
            <v/>
          </cell>
          <cell r="J1693" t="str">
            <v/>
          </cell>
          <cell r="N1693" t="str">
            <v/>
          </cell>
          <cell r="O1693" t="str">
            <v/>
          </cell>
          <cell r="P1693" t="str">
            <v/>
          </cell>
          <cell r="Q1693" t="str">
            <v/>
          </cell>
          <cell r="T1693" t="str">
            <v/>
          </cell>
          <cell r="U1693" t="str">
            <v/>
          </cell>
          <cell r="W1693" t="str">
            <v/>
          </cell>
          <cell r="X1693" t="str">
            <v/>
          </cell>
          <cell r="AB1693">
            <v>0</v>
          </cell>
          <cell r="AC1693">
            <v>0</v>
          </cell>
          <cell r="AD1693">
            <v>0</v>
          </cell>
          <cell r="AJ1693">
            <v>0</v>
          </cell>
          <cell r="AK1693">
            <v>0</v>
          </cell>
        </row>
        <row r="1694">
          <cell r="B1694" t="str">
            <v/>
          </cell>
          <cell r="H1694" t="str">
            <v/>
          </cell>
          <cell r="J1694" t="str">
            <v/>
          </cell>
          <cell r="N1694" t="str">
            <v/>
          </cell>
          <cell r="O1694" t="str">
            <v/>
          </cell>
          <cell r="P1694" t="str">
            <v/>
          </cell>
          <cell r="Q1694" t="str">
            <v/>
          </cell>
          <cell r="T1694" t="str">
            <v/>
          </cell>
          <cell r="U1694" t="str">
            <v/>
          </cell>
          <cell r="W1694" t="str">
            <v/>
          </cell>
          <cell r="X1694" t="str">
            <v/>
          </cell>
          <cell r="AB1694">
            <v>0</v>
          </cell>
          <cell r="AC1694">
            <v>0</v>
          </cell>
          <cell r="AD1694">
            <v>0</v>
          </cell>
          <cell r="AJ1694">
            <v>0</v>
          </cell>
          <cell r="AK1694">
            <v>0</v>
          </cell>
        </row>
        <row r="1695">
          <cell r="B1695" t="str">
            <v/>
          </cell>
          <cell r="H1695" t="str">
            <v/>
          </cell>
          <cell r="J1695" t="str">
            <v/>
          </cell>
          <cell r="N1695" t="str">
            <v/>
          </cell>
          <cell r="O1695" t="str">
            <v/>
          </cell>
          <cell r="P1695" t="str">
            <v/>
          </cell>
          <cell r="Q1695" t="str">
            <v/>
          </cell>
          <cell r="T1695" t="str">
            <v/>
          </cell>
          <cell r="U1695" t="str">
            <v/>
          </cell>
          <cell r="W1695" t="str">
            <v/>
          </cell>
          <cell r="X1695" t="str">
            <v/>
          </cell>
          <cell r="AB1695">
            <v>0</v>
          </cell>
          <cell r="AC1695">
            <v>0</v>
          </cell>
          <cell r="AD1695">
            <v>0</v>
          </cell>
          <cell r="AJ1695">
            <v>0</v>
          </cell>
          <cell r="AK1695">
            <v>0</v>
          </cell>
        </row>
        <row r="1696">
          <cell r="B1696" t="str">
            <v/>
          </cell>
          <cell r="H1696" t="str">
            <v/>
          </cell>
          <cell r="J1696" t="str">
            <v/>
          </cell>
          <cell r="N1696" t="str">
            <v/>
          </cell>
          <cell r="O1696" t="str">
            <v/>
          </cell>
          <cell r="P1696" t="str">
            <v/>
          </cell>
          <cell r="Q1696" t="str">
            <v/>
          </cell>
          <cell r="T1696" t="str">
            <v/>
          </cell>
          <cell r="U1696" t="str">
            <v/>
          </cell>
          <cell r="W1696" t="str">
            <v/>
          </cell>
          <cell r="X1696" t="str">
            <v/>
          </cell>
          <cell r="AB1696">
            <v>0</v>
          </cell>
          <cell r="AC1696">
            <v>0</v>
          </cell>
          <cell r="AD1696">
            <v>0</v>
          </cell>
          <cell r="AJ1696">
            <v>0</v>
          </cell>
          <cell r="AK1696">
            <v>0</v>
          </cell>
        </row>
        <row r="1697">
          <cell r="B1697" t="str">
            <v/>
          </cell>
          <cell r="H1697" t="str">
            <v/>
          </cell>
          <cell r="J1697" t="str">
            <v/>
          </cell>
          <cell r="N1697" t="str">
            <v/>
          </cell>
          <cell r="O1697" t="str">
            <v/>
          </cell>
          <cell r="P1697" t="str">
            <v/>
          </cell>
          <cell r="Q1697" t="str">
            <v/>
          </cell>
          <cell r="T1697" t="str">
            <v/>
          </cell>
          <cell r="U1697" t="str">
            <v/>
          </cell>
          <cell r="W1697" t="str">
            <v/>
          </cell>
          <cell r="X1697" t="str">
            <v/>
          </cell>
          <cell r="AB1697">
            <v>0</v>
          </cell>
          <cell r="AC1697">
            <v>0</v>
          </cell>
          <cell r="AD1697">
            <v>0</v>
          </cell>
          <cell r="AJ1697">
            <v>0</v>
          </cell>
          <cell r="AK1697">
            <v>0</v>
          </cell>
        </row>
        <row r="1698">
          <cell r="B1698" t="str">
            <v/>
          </cell>
          <cell r="H1698" t="str">
            <v/>
          </cell>
          <cell r="J1698" t="str">
            <v/>
          </cell>
          <cell r="N1698" t="str">
            <v/>
          </cell>
          <cell r="O1698" t="str">
            <v/>
          </cell>
          <cell r="P1698" t="str">
            <v/>
          </cell>
          <cell r="Q1698" t="str">
            <v/>
          </cell>
          <cell r="T1698" t="str">
            <v/>
          </cell>
          <cell r="U1698" t="str">
            <v/>
          </cell>
          <cell r="W1698" t="str">
            <v/>
          </cell>
          <cell r="X1698" t="str">
            <v/>
          </cell>
          <cell r="AB1698">
            <v>0</v>
          </cell>
          <cell r="AC1698">
            <v>0</v>
          </cell>
          <cell r="AD1698">
            <v>0</v>
          </cell>
          <cell r="AJ1698">
            <v>0</v>
          </cell>
          <cell r="AK1698">
            <v>0</v>
          </cell>
        </row>
        <row r="1699">
          <cell r="B1699" t="str">
            <v/>
          </cell>
          <cell r="H1699" t="str">
            <v/>
          </cell>
          <cell r="J1699" t="str">
            <v/>
          </cell>
          <cell r="N1699" t="str">
            <v/>
          </cell>
          <cell r="O1699" t="str">
            <v/>
          </cell>
          <cell r="P1699" t="str">
            <v/>
          </cell>
          <cell r="Q1699" t="str">
            <v/>
          </cell>
          <cell r="T1699" t="str">
            <v/>
          </cell>
          <cell r="U1699" t="str">
            <v/>
          </cell>
          <cell r="W1699" t="str">
            <v/>
          </cell>
          <cell r="X1699" t="str">
            <v/>
          </cell>
          <cell r="AB1699">
            <v>0</v>
          </cell>
          <cell r="AC1699">
            <v>0</v>
          </cell>
          <cell r="AD1699">
            <v>0</v>
          </cell>
          <cell r="AJ1699">
            <v>0</v>
          </cell>
          <cell r="AK1699">
            <v>0</v>
          </cell>
        </row>
        <row r="1700">
          <cell r="B1700" t="str">
            <v/>
          </cell>
          <cell r="H1700" t="str">
            <v/>
          </cell>
          <cell r="J1700" t="str">
            <v/>
          </cell>
          <cell r="N1700" t="str">
            <v/>
          </cell>
          <cell r="O1700" t="str">
            <v/>
          </cell>
          <cell r="P1700" t="str">
            <v/>
          </cell>
          <cell r="Q1700" t="str">
            <v/>
          </cell>
          <cell r="T1700" t="str">
            <v/>
          </cell>
          <cell r="U1700" t="str">
            <v/>
          </cell>
          <cell r="W1700" t="str">
            <v/>
          </cell>
          <cell r="X1700" t="str">
            <v/>
          </cell>
          <cell r="AB1700">
            <v>0</v>
          </cell>
          <cell r="AC1700">
            <v>0</v>
          </cell>
          <cell r="AD1700">
            <v>0</v>
          </cell>
          <cell r="AJ1700">
            <v>0</v>
          </cell>
          <cell r="AK1700">
            <v>0</v>
          </cell>
        </row>
        <row r="1701">
          <cell r="B1701" t="str">
            <v/>
          </cell>
          <cell r="H1701" t="str">
            <v/>
          </cell>
          <cell r="J1701" t="str">
            <v/>
          </cell>
          <cell r="N1701" t="str">
            <v/>
          </cell>
          <cell r="O1701" t="str">
            <v/>
          </cell>
          <cell r="P1701" t="str">
            <v/>
          </cell>
          <cell r="Q1701" t="str">
            <v/>
          </cell>
          <cell r="T1701" t="str">
            <v/>
          </cell>
          <cell r="U1701" t="str">
            <v/>
          </cell>
          <cell r="W1701" t="str">
            <v/>
          </cell>
          <cell r="X1701" t="str">
            <v/>
          </cell>
          <cell r="AB1701">
            <v>0</v>
          </cell>
          <cell r="AC1701">
            <v>0</v>
          </cell>
          <cell r="AD1701">
            <v>0</v>
          </cell>
          <cell r="AJ1701">
            <v>0</v>
          </cell>
          <cell r="AK1701">
            <v>0</v>
          </cell>
        </row>
        <row r="1702">
          <cell r="B1702" t="str">
            <v/>
          </cell>
          <cell r="H1702" t="str">
            <v/>
          </cell>
          <cell r="J1702" t="str">
            <v/>
          </cell>
          <cell r="N1702" t="str">
            <v/>
          </cell>
          <cell r="O1702" t="str">
            <v/>
          </cell>
          <cell r="P1702" t="str">
            <v/>
          </cell>
          <cell r="Q1702" t="str">
            <v/>
          </cell>
          <cell r="T1702" t="str">
            <v/>
          </cell>
          <cell r="U1702" t="str">
            <v/>
          </cell>
          <cell r="W1702" t="str">
            <v/>
          </cell>
          <cell r="X1702" t="str">
            <v/>
          </cell>
          <cell r="AB1702">
            <v>0</v>
          </cell>
          <cell r="AC1702">
            <v>0</v>
          </cell>
          <cell r="AD1702">
            <v>0</v>
          </cell>
          <cell r="AJ1702">
            <v>0</v>
          </cell>
          <cell r="AK1702">
            <v>0</v>
          </cell>
        </row>
        <row r="1703">
          <cell r="B1703" t="str">
            <v/>
          </cell>
          <cell r="H1703" t="str">
            <v/>
          </cell>
          <cell r="J1703" t="str">
            <v/>
          </cell>
          <cell r="N1703" t="str">
            <v/>
          </cell>
          <cell r="O1703" t="str">
            <v/>
          </cell>
          <cell r="P1703" t="str">
            <v/>
          </cell>
          <cell r="Q1703" t="str">
            <v/>
          </cell>
          <cell r="T1703" t="str">
            <v/>
          </cell>
          <cell r="U1703" t="str">
            <v/>
          </cell>
          <cell r="W1703" t="str">
            <v/>
          </cell>
          <cell r="X1703" t="str">
            <v/>
          </cell>
          <cell r="AB1703">
            <v>0</v>
          </cell>
          <cell r="AC1703">
            <v>0</v>
          </cell>
          <cell r="AD1703">
            <v>0</v>
          </cell>
          <cell r="AJ1703">
            <v>0</v>
          </cell>
          <cell r="AK1703">
            <v>0</v>
          </cell>
        </row>
        <row r="1704">
          <cell r="B1704" t="str">
            <v/>
          </cell>
          <cell r="H1704" t="str">
            <v/>
          </cell>
          <cell r="J1704" t="str">
            <v/>
          </cell>
          <cell r="N1704" t="str">
            <v/>
          </cell>
          <cell r="O1704" t="str">
            <v/>
          </cell>
          <cell r="P1704" t="str">
            <v/>
          </cell>
          <cell r="Q1704" t="str">
            <v/>
          </cell>
          <cell r="T1704" t="str">
            <v/>
          </cell>
          <cell r="U1704" t="str">
            <v/>
          </cell>
          <cell r="W1704" t="str">
            <v/>
          </cell>
          <cell r="X1704" t="str">
            <v/>
          </cell>
          <cell r="AB1704">
            <v>0</v>
          </cell>
          <cell r="AC1704">
            <v>0</v>
          </cell>
          <cell r="AD1704">
            <v>0</v>
          </cell>
          <cell r="AJ1704">
            <v>0</v>
          </cell>
          <cell r="AK1704">
            <v>0</v>
          </cell>
        </row>
        <row r="1705">
          <cell r="B1705" t="str">
            <v/>
          </cell>
          <cell r="H1705" t="str">
            <v/>
          </cell>
          <cell r="J1705" t="str">
            <v/>
          </cell>
          <cell r="N1705" t="str">
            <v/>
          </cell>
          <cell r="O1705" t="str">
            <v/>
          </cell>
          <cell r="P1705" t="str">
            <v/>
          </cell>
          <cell r="Q1705" t="str">
            <v/>
          </cell>
          <cell r="T1705" t="str">
            <v/>
          </cell>
          <cell r="U1705" t="str">
            <v/>
          </cell>
          <cell r="W1705" t="str">
            <v/>
          </cell>
          <cell r="X1705" t="str">
            <v/>
          </cell>
          <cell r="AB1705">
            <v>0</v>
          </cell>
          <cell r="AC1705">
            <v>0</v>
          </cell>
          <cell r="AD1705">
            <v>0</v>
          </cell>
          <cell r="AJ1705">
            <v>0</v>
          </cell>
          <cell r="AK1705">
            <v>0</v>
          </cell>
        </row>
        <row r="1706">
          <cell r="B1706" t="str">
            <v/>
          </cell>
          <cell r="H1706" t="str">
            <v/>
          </cell>
          <cell r="J1706" t="str">
            <v/>
          </cell>
          <cell r="N1706" t="str">
            <v/>
          </cell>
          <cell r="O1706" t="str">
            <v/>
          </cell>
          <cell r="P1706" t="str">
            <v/>
          </cell>
          <cell r="Q1706" t="str">
            <v/>
          </cell>
          <cell r="T1706" t="str">
            <v/>
          </cell>
          <cell r="U1706" t="str">
            <v/>
          </cell>
          <cell r="W1706" t="str">
            <v/>
          </cell>
          <cell r="X1706" t="str">
            <v/>
          </cell>
          <cell r="AB1706">
            <v>0</v>
          </cell>
          <cell r="AC1706">
            <v>0</v>
          </cell>
          <cell r="AD1706">
            <v>0</v>
          </cell>
          <cell r="AJ1706">
            <v>0</v>
          </cell>
          <cell r="AK1706">
            <v>0</v>
          </cell>
        </row>
        <row r="1707">
          <cell r="B1707" t="str">
            <v/>
          </cell>
          <cell r="H1707" t="str">
            <v/>
          </cell>
          <cell r="J1707" t="str">
            <v/>
          </cell>
          <cell r="N1707" t="str">
            <v/>
          </cell>
          <cell r="O1707" t="str">
            <v/>
          </cell>
          <cell r="P1707" t="str">
            <v/>
          </cell>
          <cell r="Q1707" t="str">
            <v/>
          </cell>
          <cell r="T1707" t="str">
            <v/>
          </cell>
          <cell r="U1707" t="str">
            <v/>
          </cell>
          <cell r="W1707" t="str">
            <v/>
          </cell>
          <cell r="X1707" t="str">
            <v/>
          </cell>
          <cell r="AB1707">
            <v>0</v>
          </cell>
          <cell r="AC1707">
            <v>0</v>
          </cell>
          <cell r="AD1707">
            <v>0</v>
          </cell>
          <cell r="AJ1707">
            <v>0</v>
          </cell>
          <cell r="AK1707">
            <v>0</v>
          </cell>
        </row>
        <row r="1708">
          <cell r="B1708" t="str">
            <v/>
          </cell>
          <cell r="H1708" t="str">
            <v/>
          </cell>
          <cell r="J1708" t="str">
            <v/>
          </cell>
          <cell r="N1708" t="str">
            <v/>
          </cell>
          <cell r="O1708" t="str">
            <v/>
          </cell>
          <cell r="P1708" t="str">
            <v/>
          </cell>
          <cell r="Q1708" t="str">
            <v/>
          </cell>
          <cell r="T1708" t="str">
            <v/>
          </cell>
          <cell r="U1708" t="str">
            <v/>
          </cell>
          <cell r="W1708" t="str">
            <v/>
          </cell>
          <cell r="X1708" t="str">
            <v/>
          </cell>
          <cell r="AB1708">
            <v>0</v>
          </cell>
          <cell r="AC1708">
            <v>0</v>
          </cell>
          <cell r="AD1708">
            <v>0</v>
          </cell>
          <cell r="AJ1708">
            <v>0</v>
          </cell>
          <cell r="AK1708">
            <v>0</v>
          </cell>
        </row>
        <row r="1709">
          <cell r="B1709" t="str">
            <v/>
          </cell>
          <cell r="H1709" t="str">
            <v/>
          </cell>
          <cell r="J1709" t="str">
            <v/>
          </cell>
          <cell r="N1709" t="str">
            <v/>
          </cell>
          <cell r="O1709" t="str">
            <v/>
          </cell>
          <cell r="P1709" t="str">
            <v/>
          </cell>
          <cell r="Q1709" t="str">
            <v/>
          </cell>
          <cell r="T1709" t="str">
            <v/>
          </cell>
          <cell r="U1709" t="str">
            <v/>
          </cell>
          <cell r="W1709" t="str">
            <v/>
          </cell>
          <cell r="X1709" t="str">
            <v/>
          </cell>
          <cell r="AB1709">
            <v>0</v>
          </cell>
          <cell r="AC1709">
            <v>0</v>
          </cell>
          <cell r="AD1709">
            <v>0</v>
          </cell>
          <cell r="AJ1709">
            <v>0</v>
          </cell>
          <cell r="AK1709">
            <v>0</v>
          </cell>
        </row>
        <row r="1710">
          <cell r="B1710" t="str">
            <v/>
          </cell>
          <cell r="H1710" t="str">
            <v/>
          </cell>
          <cell r="J1710" t="str">
            <v/>
          </cell>
          <cell r="N1710" t="str">
            <v/>
          </cell>
          <cell r="O1710" t="str">
            <v/>
          </cell>
          <cell r="P1710" t="str">
            <v/>
          </cell>
          <cell r="Q1710" t="str">
            <v/>
          </cell>
          <cell r="T1710" t="str">
            <v/>
          </cell>
          <cell r="U1710" t="str">
            <v/>
          </cell>
          <cell r="W1710" t="str">
            <v/>
          </cell>
          <cell r="X1710" t="str">
            <v/>
          </cell>
          <cell r="AB1710">
            <v>0</v>
          </cell>
          <cell r="AC1710">
            <v>0</v>
          </cell>
          <cell r="AD1710">
            <v>0</v>
          </cell>
          <cell r="AJ1710">
            <v>0</v>
          </cell>
          <cell r="AK1710">
            <v>0</v>
          </cell>
        </row>
        <row r="1711">
          <cell r="B1711" t="str">
            <v/>
          </cell>
          <cell r="H1711" t="str">
            <v/>
          </cell>
          <cell r="J1711" t="str">
            <v/>
          </cell>
          <cell r="N1711" t="str">
            <v/>
          </cell>
          <cell r="O1711" t="str">
            <v/>
          </cell>
          <cell r="P1711" t="str">
            <v/>
          </cell>
          <cell r="Q1711" t="str">
            <v/>
          </cell>
          <cell r="T1711" t="str">
            <v/>
          </cell>
          <cell r="U1711" t="str">
            <v/>
          </cell>
          <cell r="W1711" t="str">
            <v/>
          </cell>
          <cell r="X1711" t="str">
            <v/>
          </cell>
          <cell r="AB1711">
            <v>0</v>
          </cell>
          <cell r="AC1711">
            <v>0</v>
          </cell>
          <cell r="AD1711">
            <v>0</v>
          </cell>
          <cell r="AJ1711">
            <v>0</v>
          </cell>
          <cell r="AK1711">
            <v>0</v>
          </cell>
        </row>
        <row r="1712">
          <cell r="B1712" t="str">
            <v/>
          </cell>
          <cell r="H1712" t="str">
            <v/>
          </cell>
          <cell r="J1712" t="str">
            <v/>
          </cell>
          <cell r="N1712" t="str">
            <v/>
          </cell>
          <cell r="O1712" t="str">
            <v/>
          </cell>
          <cell r="P1712" t="str">
            <v/>
          </cell>
          <cell r="Q1712" t="str">
            <v/>
          </cell>
          <cell r="T1712" t="str">
            <v/>
          </cell>
          <cell r="U1712" t="str">
            <v/>
          </cell>
          <cell r="W1712" t="str">
            <v/>
          </cell>
          <cell r="X1712" t="str">
            <v/>
          </cell>
          <cell r="AB1712">
            <v>0</v>
          </cell>
          <cell r="AC1712">
            <v>0</v>
          </cell>
          <cell r="AD1712">
            <v>0</v>
          </cell>
          <cell r="AJ1712">
            <v>0</v>
          </cell>
          <cell r="AK1712">
            <v>0</v>
          </cell>
        </row>
        <row r="1713">
          <cell r="B1713" t="str">
            <v/>
          </cell>
          <cell r="H1713" t="str">
            <v/>
          </cell>
          <cell r="J1713" t="str">
            <v/>
          </cell>
          <cell r="N1713" t="str">
            <v/>
          </cell>
          <cell r="O1713" t="str">
            <v/>
          </cell>
          <cell r="P1713" t="str">
            <v/>
          </cell>
          <cell r="Q1713" t="str">
            <v/>
          </cell>
          <cell r="T1713" t="str">
            <v/>
          </cell>
          <cell r="U1713" t="str">
            <v/>
          </cell>
          <cell r="W1713" t="str">
            <v/>
          </cell>
          <cell r="X1713" t="str">
            <v/>
          </cell>
          <cell r="AB1713">
            <v>0</v>
          </cell>
          <cell r="AC1713">
            <v>0</v>
          </cell>
          <cell r="AD1713">
            <v>0</v>
          </cell>
          <cell r="AJ1713">
            <v>0</v>
          </cell>
          <cell r="AK1713">
            <v>0</v>
          </cell>
        </row>
        <row r="1714">
          <cell r="B1714" t="str">
            <v/>
          </cell>
          <cell r="H1714" t="str">
            <v/>
          </cell>
          <cell r="J1714" t="str">
            <v/>
          </cell>
          <cell r="N1714" t="str">
            <v/>
          </cell>
          <cell r="O1714" t="str">
            <v/>
          </cell>
          <cell r="P1714" t="str">
            <v/>
          </cell>
          <cell r="Q1714" t="str">
            <v/>
          </cell>
          <cell r="T1714" t="str">
            <v/>
          </cell>
          <cell r="U1714" t="str">
            <v/>
          </cell>
          <cell r="W1714" t="str">
            <v/>
          </cell>
          <cell r="X1714" t="str">
            <v/>
          </cell>
          <cell r="AB1714">
            <v>0</v>
          </cell>
          <cell r="AC1714">
            <v>0</v>
          </cell>
          <cell r="AD1714">
            <v>0</v>
          </cell>
          <cell r="AJ1714">
            <v>0</v>
          </cell>
          <cell r="AK1714">
            <v>0</v>
          </cell>
        </row>
        <row r="1715">
          <cell r="B1715" t="str">
            <v/>
          </cell>
          <cell r="H1715" t="str">
            <v/>
          </cell>
          <cell r="J1715" t="str">
            <v/>
          </cell>
          <cell r="N1715" t="str">
            <v/>
          </cell>
          <cell r="O1715" t="str">
            <v/>
          </cell>
          <cell r="P1715" t="str">
            <v/>
          </cell>
          <cell r="Q1715" t="str">
            <v/>
          </cell>
          <cell r="T1715" t="str">
            <v/>
          </cell>
          <cell r="U1715" t="str">
            <v/>
          </cell>
          <cell r="W1715" t="str">
            <v/>
          </cell>
          <cell r="X1715" t="str">
            <v/>
          </cell>
          <cell r="AB1715">
            <v>0</v>
          </cell>
          <cell r="AC1715">
            <v>0</v>
          </cell>
          <cell r="AD1715">
            <v>0</v>
          </cell>
          <cell r="AJ1715">
            <v>0</v>
          </cell>
          <cell r="AK1715">
            <v>0</v>
          </cell>
        </row>
        <row r="1716">
          <cell r="B1716" t="str">
            <v/>
          </cell>
          <cell r="H1716" t="str">
            <v/>
          </cell>
          <cell r="J1716" t="str">
            <v/>
          </cell>
          <cell r="N1716" t="str">
            <v/>
          </cell>
          <cell r="O1716" t="str">
            <v/>
          </cell>
          <cell r="P1716" t="str">
            <v/>
          </cell>
          <cell r="Q1716" t="str">
            <v/>
          </cell>
          <cell r="T1716" t="str">
            <v/>
          </cell>
          <cell r="U1716" t="str">
            <v/>
          </cell>
          <cell r="W1716" t="str">
            <v/>
          </cell>
          <cell r="X1716" t="str">
            <v/>
          </cell>
          <cell r="AB1716">
            <v>0</v>
          </cell>
          <cell r="AC1716">
            <v>0</v>
          </cell>
          <cell r="AD1716">
            <v>0</v>
          </cell>
          <cell r="AJ1716">
            <v>0</v>
          </cell>
          <cell r="AK1716">
            <v>0</v>
          </cell>
        </row>
        <row r="1717">
          <cell r="B1717" t="str">
            <v/>
          </cell>
          <cell r="H1717" t="str">
            <v/>
          </cell>
          <cell r="J1717" t="str">
            <v/>
          </cell>
          <cell r="N1717" t="str">
            <v/>
          </cell>
          <cell r="O1717" t="str">
            <v/>
          </cell>
          <cell r="P1717" t="str">
            <v/>
          </cell>
          <cell r="Q1717" t="str">
            <v/>
          </cell>
          <cell r="T1717" t="str">
            <v/>
          </cell>
          <cell r="U1717" t="str">
            <v/>
          </cell>
          <cell r="W1717" t="str">
            <v/>
          </cell>
          <cell r="X1717" t="str">
            <v/>
          </cell>
          <cell r="AB1717">
            <v>0</v>
          </cell>
          <cell r="AC1717">
            <v>0</v>
          </cell>
          <cell r="AD1717">
            <v>0</v>
          </cell>
          <cell r="AJ1717">
            <v>0</v>
          </cell>
          <cell r="AK1717">
            <v>0</v>
          </cell>
        </row>
        <row r="1718">
          <cell r="B1718" t="str">
            <v/>
          </cell>
          <cell r="H1718" t="str">
            <v/>
          </cell>
          <cell r="J1718" t="str">
            <v/>
          </cell>
          <cell r="N1718" t="str">
            <v/>
          </cell>
          <cell r="O1718" t="str">
            <v/>
          </cell>
          <cell r="P1718" t="str">
            <v/>
          </cell>
          <cell r="Q1718" t="str">
            <v/>
          </cell>
          <cell r="T1718" t="str">
            <v/>
          </cell>
          <cell r="U1718" t="str">
            <v/>
          </cell>
          <cell r="W1718" t="str">
            <v/>
          </cell>
          <cell r="X1718" t="str">
            <v/>
          </cell>
          <cell r="AB1718">
            <v>0</v>
          </cell>
          <cell r="AC1718">
            <v>0</v>
          </cell>
          <cell r="AD1718">
            <v>0</v>
          </cell>
          <cell r="AJ1718">
            <v>0</v>
          </cell>
          <cell r="AK1718">
            <v>0</v>
          </cell>
        </row>
        <row r="1719">
          <cell r="B1719" t="str">
            <v/>
          </cell>
          <cell r="H1719" t="str">
            <v/>
          </cell>
          <cell r="J1719" t="str">
            <v/>
          </cell>
          <cell r="N1719" t="str">
            <v/>
          </cell>
          <cell r="O1719" t="str">
            <v/>
          </cell>
          <cell r="P1719" t="str">
            <v/>
          </cell>
          <cell r="Q1719" t="str">
            <v/>
          </cell>
          <cell r="T1719" t="str">
            <v/>
          </cell>
          <cell r="U1719" t="str">
            <v/>
          </cell>
          <cell r="W1719" t="str">
            <v/>
          </cell>
          <cell r="X1719" t="str">
            <v/>
          </cell>
          <cell r="AB1719">
            <v>0</v>
          </cell>
          <cell r="AC1719">
            <v>0</v>
          </cell>
          <cell r="AD1719">
            <v>0</v>
          </cell>
          <cell r="AJ1719">
            <v>0</v>
          </cell>
          <cell r="AK1719">
            <v>0</v>
          </cell>
        </row>
        <row r="1720">
          <cell r="B1720" t="str">
            <v/>
          </cell>
          <cell r="H1720" t="str">
            <v/>
          </cell>
          <cell r="J1720" t="str">
            <v/>
          </cell>
          <cell r="N1720" t="str">
            <v/>
          </cell>
          <cell r="O1720" t="str">
            <v/>
          </cell>
          <cell r="P1720" t="str">
            <v/>
          </cell>
          <cell r="Q1720" t="str">
            <v/>
          </cell>
          <cell r="T1720" t="str">
            <v/>
          </cell>
          <cell r="U1720" t="str">
            <v/>
          </cell>
          <cell r="W1720" t="str">
            <v/>
          </cell>
          <cell r="X1720" t="str">
            <v/>
          </cell>
          <cell r="AB1720">
            <v>0</v>
          </cell>
          <cell r="AC1720">
            <v>0</v>
          </cell>
          <cell r="AD1720">
            <v>0</v>
          </cell>
          <cell r="AJ1720">
            <v>0</v>
          </cell>
          <cell r="AK1720">
            <v>0</v>
          </cell>
        </row>
        <row r="1721">
          <cell r="B1721" t="str">
            <v/>
          </cell>
          <cell r="H1721" t="str">
            <v/>
          </cell>
          <cell r="J1721" t="str">
            <v/>
          </cell>
          <cell r="N1721" t="str">
            <v/>
          </cell>
          <cell r="O1721" t="str">
            <v/>
          </cell>
          <cell r="P1721" t="str">
            <v/>
          </cell>
          <cell r="Q1721" t="str">
            <v/>
          </cell>
          <cell r="T1721" t="str">
            <v/>
          </cell>
          <cell r="U1721" t="str">
            <v/>
          </cell>
          <cell r="W1721" t="str">
            <v/>
          </cell>
          <cell r="X1721" t="str">
            <v/>
          </cell>
          <cell r="AB1721">
            <v>0</v>
          </cell>
          <cell r="AC1721">
            <v>0</v>
          </cell>
          <cell r="AD1721">
            <v>0</v>
          </cell>
          <cell r="AJ1721">
            <v>0</v>
          </cell>
          <cell r="AK1721">
            <v>0</v>
          </cell>
        </row>
        <row r="1722">
          <cell r="B1722" t="str">
            <v/>
          </cell>
          <cell r="H1722" t="str">
            <v/>
          </cell>
          <cell r="J1722" t="str">
            <v/>
          </cell>
          <cell r="N1722" t="str">
            <v/>
          </cell>
          <cell r="O1722" t="str">
            <v/>
          </cell>
          <cell r="P1722" t="str">
            <v/>
          </cell>
          <cell r="Q1722" t="str">
            <v/>
          </cell>
          <cell r="T1722" t="str">
            <v/>
          </cell>
          <cell r="U1722" t="str">
            <v/>
          </cell>
          <cell r="W1722" t="str">
            <v/>
          </cell>
          <cell r="X1722" t="str">
            <v/>
          </cell>
          <cell r="AB1722">
            <v>0</v>
          </cell>
          <cell r="AC1722">
            <v>0</v>
          </cell>
          <cell r="AD1722">
            <v>0</v>
          </cell>
          <cell r="AJ1722">
            <v>0</v>
          </cell>
          <cell r="AK1722">
            <v>0</v>
          </cell>
        </row>
        <row r="1723">
          <cell r="B1723" t="str">
            <v/>
          </cell>
          <cell r="H1723" t="str">
            <v/>
          </cell>
          <cell r="J1723" t="str">
            <v/>
          </cell>
          <cell r="N1723" t="str">
            <v/>
          </cell>
          <cell r="O1723" t="str">
            <v/>
          </cell>
          <cell r="P1723" t="str">
            <v/>
          </cell>
          <cell r="Q1723" t="str">
            <v/>
          </cell>
          <cell r="T1723" t="str">
            <v/>
          </cell>
          <cell r="U1723" t="str">
            <v/>
          </cell>
          <cell r="W1723" t="str">
            <v/>
          </cell>
          <cell r="X1723" t="str">
            <v/>
          </cell>
          <cell r="AB1723">
            <v>0</v>
          </cell>
          <cell r="AC1723">
            <v>0</v>
          </cell>
          <cell r="AD1723">
            <v>0</v>
          </cell>
          <cell r="AJ1723">
            <v>0</v>
          </cell>
          <cell r="AK1723">
            <v>0</v>
          </cell>
        </row>
        <row r="1724">
          <cell r="B1724" t="str">
            <v/>
          </cell>
          <cell r="H1724" t="str">
            <v/>
          </cell>
          <cell r="J1724" t="str">
            <v/>
          </cell>
          <cell r="N1724" t="str">
            <v/>
          </cell>
          <cell r="O1724" t="str">
            <v/>
          </cell>
          <cell r="P1724" t="str">
            <v/>
          </cell>
          <cell r="Q1724" t="str">
            <v/>
          </cell>
          <cell r="T1724" t="str">
            <v/>
          </cell>
          <cell r="U1724" t="str">
            <v/>
          </cell>
          <cell r="W1724" t="str">
            <v/>
          </cell>
          <cell r="X1724" t="str">
            <v/>
          </cell>
          <cell r="AB1724">
            <v>0</v>
          </cell>
          <cell r="AC1724">
            <v>0</v>
          </cell>
          <cell r="AD1724">
            <v>0</v>
          </cell>
          <cell r="AJ1724">
            <v>0</v>
          </cell>
          <cell r="AK1724">
            <v>0</v>
          </cell>
        </row>
        <row r="1725">
          <cell r="B1725" t="str">
            <v/>
          </cell>
          <cell r="H1725" t="str">
            <v/>
          </cell>
          <cell r="J1725" t="str">
            <v/>
          </cell>
          <cell r="N1725" t="str">
            <v/>
          </cell>
          <cell r="O1725" t="str">
            <v/>
          </cell>
          <cell r="P1725" t="str">
            <v/>
          </cell>
          <cell r="Q1725" t="str">
            <v/>
          </cell>
          <cell r="T1725" t="str">
            <v/>
          </cell>
          <cell r="U1725" t="str">
            <v/>
          </cell>
          <cell r="W1725" t="str">
            <v/>
          </cell>
          <cell r="X1725" t="str">
            <v/>
          </cell>
          <cell r="AB1725">
            <v>0</v>
          </cell>
          <cell r="AC1725">
            <v>0</v>
          </cell>
          <cell r="AD1725">
            <v>0</v>
          </cell>
          <cell r="AJ1725">
            <v>0</v>
          </cell>
          <cell r="AK1725">
            <v>0</v>
          </cell>
        </row>
        <row r="1726">
          <cell r="B1726" t="str">
            <v/>
          </cell>
          <cell r="H1726" t="str">
            <v/>
          </cell>
          <cell r="J1726" t="str">
            <v/>
          </cell>
          <cell r="N1726" t="str">
            <v/>
          </cell>
          <cell r="O1726" t="str">
            <v/>
          </cell>
          <cell r="P1726" t="str">
            <v/>
          </cell>
          <cell r="Q1726" t="str">
            <v/>
          </cell>
          <cell r="T1726" t="str">
            <v/>
          </cell>
          <cell r="U1726" t="str">
            <v/>
          </cell>
          <cell r="W1726" t="str">
            <v/>
          </cell>
          <cell r="X1726" t="str">
            <v/>
          </cell>
          <cell r="AB1726">
            <v>0</v>
          </cell>
          <cell r="AC1726">
            <v>0</v>
          </cell>
          <cell r="AD1726">
            <v>0</v>
          </cell>
          <cell r="AJ1726">
            <v>0</v>
          </cell>
          <cell r="AK1726">
            <v>0</v>
          </cell>
        </row>
        <row r="1727">
          <cell r="B1727" t="str">
            <v/>
          </cell>
          <cell r="H1727" t="str">
            <v/>
          </cell>
          <cell r="J1727" t="str">
            <v/>
          </cell>
          <cell r="N1727" t="str">
            <v/>
          </cell>
          <cell r="O1727" t="str">
            <v/>
          </cell>
          <cell r="P1727" t="str">
            <v/>
          </cell>
          <cell r="Q1727" t="str">
            <v/>
          </cell>
          <cell r="T1727" t="str">
            <v/>
          </cell>
          <cell r="U1727" t="str">
            <v/>
          </cell>
          <cell r="W1727" t="str">
            <v/>
          </cell>
          <cell r="X1727" t="str">
            <v/>
          </cell>
          <cell r="AB1727">
            <v>0</v>
          </cell>
          <cell r="AC1727">
            <v>0</v>
          </cell>
          <cell r="AD1727">
            <v>0</v>
          </cell>
          <cell r="AJ1727">
            <v>0</v>
          </cell>
          <cell r="AK1727">
            <v>0</v>
          </cell>
        </row>
        <row r="1728">
          <cell r="B1728" t="str">
            <v/>
          </cell>
          <cell r="H1728" t="str">
            <v/>
          </cell>
          <cell r="J1728" t="str">
            <v/>
          </cell>
          <cell r="N1728" t="str">
            <v/>
          </cell>
          <cell r="O1728" t="str">
            <v/>
          </cell>
          <cell r="P1728" t="str">
            <v/>
          </cell>
          <cell r="Q1728" t="str">
            <v/>
          </cell>
          <cell r="T1728" t="str">
            <v/>
          </cell>
          <cell r="U1728" t="str">
            <v/>
          </cell>
          <cell r="W1728" t="str">
            <v/>
          </cell>
          <cell r="X1728" t="str">
            <v/>
          </cell>
          <cell r="AB1728">
            <v>0</v>
          </cell>
          <cell r="AC1728">
            <v>0</v>
          </cell>
          <cell r="AD1728">
            <v>0</v>
          </cell>
          <cell r="AJ1728">
            <v>0</v>
          </cell>
          <cell r="AK1728">
            <v>0</v>
          </cell>
        </row>
        <row r="1729">
          <cell r="B1729" t="str">
            <v/>
          </cell>
          <cell r="H1729" t="str">
            <v/>
          </cell>
          <cell r="J1729" t="str">
            <v/>
          </cell>
          <cell r="N1729" t="str">
            <v/>
          </cell>
          <cell r="O1729" t="str">
            <v/>
          </cell>
          <cell r="P1729" t="str">
            <v/>
          </cell>
          <cell r="Q1729" t="str">
            <v/>
          </cell>
          <cell r="T1729" t="str">
            <v/>
          </cell>
          <cell r="U1729" t="str">
            <v/>
          </cell>
          <cell r="W1729" t="str">
            <v/>
          </cell>
          <cell r="X1729" t="str">
            <v/>
          </cell>
          <cell r="AB1729">
            <v>0</v>
          </cell>
          <cell r="AC1729">
            <v>0</v>
          </cell>
          <cell r="AD1729">
            <v>0</v>
          </cell>
          <cell r="AJ1729">
            <v>0</v>
          </cell>
          <cell r="AK1729">
            <v>0</v>
          </cell>
        </row>
        <row r="1730">
          <cell r="B1730" t="str">
            <v/>
          </cell>
          <cell r="H1730" t="str">
            <v/>
          </cell>
          <cell r="J1730" t="str">
            <v/>
          </cell>
          <cell r="N1730" t="str">
            <v/>
          </cell>
          <cell r="O1730" t="str">
            <v/>
          </cell>
          <cell r="P1730" t="str">
            <v/>
          </cell>
          <cell r="Q1730" t="str">
            <v/>
          </cell>
          <cell r="T1730" t="str">
            <v/>
          </cell>
          <cell r="U1730" t="str">
            <v/>
          </cell>
          <cell r="W1730" t="str">
            <v/>
          </cell>
          <cell r="X1730" t="str">
            <v/>
          </cell>
          <cell r="AB1730">
            <v>0</v>
          </cell>
          <cell r="AC1730">
            <v>0</v>
          </cell>
          <cell r="AD1730">
            <v>0</v>
          </cell>
          <cell r="AJ1730">
            <v>0</v>
          </cell>
          <cell r="AK1730">
            <v>0</v>
          </cell>
        </row>
        <row r="1731">
          <cell r="B1731" t="str">
            <v/>
          </cell>
          <cell r="H1731" t="str">
            <v/>
          </cell>
          <cell r="J1731" t="str">
            <v/>
          </cell>
          <cell r="N1731" t="str">
            <v/>
          </cell>
          <cell r="O1731" t="str">
            <v/>
          </cell>
          <cell r="P1731" t="str">
            <v/>
          </cell>
          <cell r="Q1731" t="str">
            <v/>
          </cell>
          <cell r="T1731" t="str">
            <v/>
          </cell>
          <cell r="U1731" t="str">
            <v/>
          </cell>
          <cell r="W1731" t="str">
            <v/>
          </cell>
          <cell r="X1731" t="str">
            <v/>
          </cell>
          <cell r="AB1731">
            <v>0</v>
          </cell>
          <cell r="AC1731">
            <v>0</v>
          </cell>
          <cell r="AD1731">
            <v>0</v>
          </cell>
          <cell r="AJ1731">
            <v>0</v>
          </cell>
          <cell r="AK1731">
            <v>0</v>
          </cell>
        </row>
        <row r="1732">
          <cell r="B1732" t="str">
            <v/>
          </cell>
          <cell r="H1732" t="str">
            <v/>
          </cell>
          <cell r="J1732" t="str">
            <v/>
          </cell>
          <cell r="N1732" t="str">
            <v/>
          </cell>
          <cell r="O1732" t="str">
            <v/>
          </cell>
          <cell r="P1732" t="str">
            <v/>
          </cell>
          <cell r="Q1732" t="str">
            <v/>
          </cell>
          <cell r="T1732" t="str">
            <v/>
          </cell>
          <cell r="U1732" t="str">
            <v/>
          </cell>
          <cell r="W1732" t="str">
            <v/>
          </cell>
          <cell r="X1732" t="str">
            <v/>
          </cell>
          <cell r="AB1732">
            <v>0</v>
          </cell>
          <cell r="AC1732">
            <v>0</v>
          </cell>
          <cell r="AD1732">
            <v>0</v>
          </cell>
          <cell r="AJ1732">
            <v>0</v>
          </cell>
          <cell r="AK1732">
            <v>0</v>
          </cell>
        </row>
        <row r="1733">
          <cell r="B1733" t="str">
            <v/>
          </cell>
          <cell r="H1733" t="str">
            <v/>
          </cell>
          <cell r="J1733" t="str">
            <v/>
          </cell>
          <cell r="N1733" t="str">
            <v/>
          </cell>
          <cell r="O1733" t="str">
            <v/>
          </cell>
          <cell r="P1733" t="str">
            <v/>
          </cell>
          <cell r="Q1733" t="str">
            <v/>
          </cell>
          <cell r="T1733" t="str">
            <v/>
          </cell>
          <cell r="U1733" t="str">
            <v/>
          </cell>
          <cell r="W1733" t="str">
            <v/>
          </cell>
          <cell r="X1733" t="str">
            <v/>
          </cell>
          <cell r="AB1733">
            <v>0</v>
          </cell>
          <cell r="AC1733">
            <v>0</v>
          </cell>
          <cell r="AD1733">
            <v>0</v>
          </cell>
          <cell r="AJ1733">
            <v>0</v>
          </cell>
          <cell r="AK1733">
            <v>0</v>
          </cell>
        </row>
        <row r="1734">
          <cell r="B1734" t="str">
            <v/>
          </cell>
          <cell r="H1734" t="str">
            <v/>
          </cell>
          <cell r="J1734" t="str">
            <v/>
          </cell>
          <cell r="N1734" t="str">
            <v/>
          </cell>
          <cell r="O1734" t="str">
            <v/>
          </cell>
          <cell r="P1734" t="str">
            <v/>
          </cell>
          <cell r="Q1734" t="str">
            <v/>
          </cell>
          <cell r="T1734" t="str">
            <v/>
          </cell>
          <cell r="U1734" t="str">
            <v/>
          </cell>
          <cell r="W1734" t="str">
            <v/>
          </cell>
          <cell r="X1734" t="str">
            <v/>
          </cell>
          <cell r="AB1734">
            <v>0</v>
          </cell>
          <cell r="AC1734">
            <v>0</v>
          </cell>
          <cell r="AD1734">
            <v>0</v>
          </cell>
          <cell r="AJ1734">
            <v>0</v>
          </cell>
          <cell r="AK1734">
            <v>0</v>
          </cell>
        </row>
        <row r="1735">
          <cell r="B1735" t="str">
            <v/>
          </cell>
          <cell r="H1735" t="str">
            <v/>
          </cell>
          <cell r="J1735" t="str">
            <v/>
          </cell>
          <cell r="N1735" t="str">
            <v/>
          </cell>
          <cell r="O1735" t="str">
            <v/>
          </cell>
          <cell r="P1735" t="str">
            <v/>
          </cell>
          <cell r="Q1735" t="str">
            <v/>
          </cell>
          <cell r="T1735" t="str">
            <v/>
          </cell>
          <cell r="U1735" t="str">
            <v/>
          </cell>
          <cell r="W1735" t="str">
            <v/>
          </cell>
          <cell r="X1735" t="str">
            <v/>
          </cell>
          <cell r="AB1735">
            <v>0</v>
          </cell>
          <cell r="AC1735">
            <v>0</v>
          </cell>
          <cell r="AD1735">
            <v>0</v>
          </cell>
          <cell r="AJ1735">
            <v>0</v>
          </cell>
          <cell r="AK1735">
            <v>0</v>
          </cell>
        </row>
        <row r="1736">
          <cell r="B1736" t="str">
            <v/>
          </cell>
          <cell r="H1736" t="str">
            <v/>
          </cell>
          <cell r="J1736" t="str">
            <v/>
          </cell>
          <cell r="N1736" t="str">
            <v/>
          </cell>
          <cell r="O1736" t="str">
            <v/>
          </cell>
          <cell r="P1736" t="str">
            <v/>
          </cell>
          <cell r="Q1736" t="str">
            <v/>
          </cell>
          <cell r="T1736" t="str">
            <v/>
          </cell>
          <cell r="U1736" t="str">
            <v/>
          </cell>
          <cell r="W1736" t="str">
            <v/>
          </cell>
          <cell r="X1736" t="str">
            <v/>
          </cell>
          <cell r="AB1736">
            <v>0</v>
          </cell>
          <cell r="AC1736">
            <v>0</v>
          </cell>
          <cell r="AD1736">
            <v>0</v>
          </cell>
          <cell r="AJ1736">
            <v>0</v>
          </cell>
          <cell r="AK1736">
            <v>0</v>
          </cell>
        </row>
        <row r="1737">
          <cell r="B1737" t="str">
            <v/>
          </cell>
          <cell r="H1737" t="str">
            <v/>
          </cell>
          <cell r="J1737" t="str">
            <v/>
          </cell>
          <cell r="N1737" t="str">
            <v/>
          </cell>
          <cell r="O1737" t="str">
            <v/>
          </cell>
          <cell r="P1737" t="str">
            <v/>
          </cell>
          <cell r="Q1737" t="str">
            <v/>
          </cell>
          <cell r="T1737" t="str">
            <v/>
          </cell>
          <cell r="U1737" t="str">
            <v/>
          </cell>
          <cell r="W1737" t="str">
            <v/>
          </cell>
          <cell r="X1737" t="str">
            <v/>
          </cell>
          <cell r="AB1737">
            <v>0</v>
          </cell>
          <cell r="AC1737">
            <v>0</v>
          </cell>
          <cell r="AD1737">
            <v>0</v>
          </cell>
          <cell r="AJ1737">
            <v>0</v>
          </cell>
          <cell r="AK1737">
            <v>0</v>
          </cell>
        </row>
        <row r="1738">
          <cell r="B1738" t="str">
            <v/>
          </cell>
          <cell r="H1738" t="str">
            <v/>
          </cell>
          <cell r="J1738" t="str">
            <v/>
          </cell>
          <cell r="N1738" t="str">
            <v/>
          </cell>
          <cell r="O1738" t="str">
            <v/>
          </cell>
          <cell r="P1738" t="str">
            <v/>
          </cell>
          <cell r="Q1738" t="str">
            <v/>
          </cell>
          <cell r="T1738" t="str">
            <v/>
          </cell>
          <cell r="U1738" t="str">
            <v/>
          </cell>
          <cell r="W1738" t="str">
            <v/>
          </cell>
          <cell r="X1738" t="str">
            <v/>
          </cell>
          <cell r="AB1738">
            <v>0</v>
          </cell>
          <cell r="AC1738">
            <v>0</v>
          </cell>
          <cell r="AD1738">
            <v>0</v>
          </cell>
          <cell r="AJ1738">
            <v>0</v>
          </cell>
          <cell r="AK1738">
            <v>0</v>
          </cell>
        </row>
        <row r="1739">
          <cell r="B1739" t="str">
            <v/>
          </cell>
          <cell r="H1739" t="str">
            <v/>
          </cell>
          <cell r="J1739" t="str">
            <v/>
          </cell>
          <cell r="N1739" t="str">
            <v/>
          </cell>
          <cell r="O1739" t="str">
            <v/>
          </cell>
          <cell r="P1739" t="str">
            <v/>
          </cell>
          <cell r="Q1739" t="str">
            <v/>
          </cell>
          <cell r="T1739" t="str">
            <v/>
          </cell>
          <cell r="U1739" t="str">
            <v/>
          </cell>
          <cell r="W1739" t="str">
            <v/>
          </cell>
          <cell r="X1739" t="str">
            <v/>
          </cell>
          <cell r="AB1739">
            <v>0</v>
          </cell>
          <cell r="AC1739">
            <v>0</v>
          </cell>
          <cell r="AD1739">
            <v>0</v>
          </cell>
          <cell r="AJ1739">
            <v>0</v>
          </cell>
          <cell r="AK1739">
            <v>0</v>
          </cell>
        </row>
        <row r="1740">
          <cell r="B1740" t="str">
            <v/>
          </cell>
          <cell r="H1740" t="str">
            <v/>
          </cell>
          <cell r="J1740" t="str">
            <v/>
          </cell>
          <cell r="N1740" t="str">
            <v/>
          </cell>
          <cell r="O1740" t="str">
            <v/>
          </cell>
          <cell r="P1740" t="str">
            <v/>
          </cell>
          <cell r="Q1740" t="str">
            <v/>
          </cell>
          <cell r="T1740" t="str">
            <v/>
          </cell>
          <cell r="U1740" t="str">
            <v/>
          </cell>
          <cell r="W1740" t="str">
            <v/>
          </cell>
          <cell r="X1740" t="str">
            <v/>
          </cell>
          <cell r="AB1740">
            <v>0</v>
          </cell>
          <cell r="AC1740">
            <v>0</v>
          </cell>
          <cell r="AD1740">
            <v>0</v>
          </cell>
          <cell r="AJ1740">
            <v>0</v>
          </cell>
          <cell r="AK1740">
            <v>0</v>
          </cell>
        </row>
        <row r="1741">
          <cell r="B1741" t="str">
            <v/>
          </cell>
          <cell r="H1741" t="str">
            <v/>
          </cell>
          <cell r="J1741" t="str">
            <v/>
          </cell>
          <cell r="N1741" t="str">
            <v/>
          </cell>
          <cell r="O1741" t="str">
            <v/>
          </cell>
          <cell r="P1741" t="str">
            <v/>
          </cell>
          <cell r="Q1741" t="str">
            <v/>
          </cell>
          <cell r="T1741" t="str">
            <v/>
          </cell>
          <cell r="U1741" t="str">
            <v/>
          </cell>
          <cell r="W1741" t="str">
            <v/>
          </cell>
          <cell r="X1741" t="str">
            <v/>
          </cell>
          <cell r="AB1741">
            <v>0</v>
          </cell>
          <cell r="AC1741">
            <v>0</v>
          </cell>
          <cell r="AD1741">
            <v>0</v>
          </cell>
          <cell r="AJ1741">
            <v>0</v>
          </cell>
          <cell r="AK1741">
            <v>0</v>
          </cell>
        </row>
        <row r="1742">
          <cell r="B1742" t="str">
            <v/>
          </cell>
          <cell r="H1742" t="str">
            <v/>
          </cell>
          <cell r="J1742" t="str">
            <v/>
          </cell>
          <cell r="N1742" t="str">
            <v/>
          </cell>
          <cell r="O1742" t="str">
            <v/>
          </cell>
          <cell r="P1742" t="str">
            <v/>
          </cell>
          <cell r="Q1742" t="str">
            <v/>
          </cell>
          <cell r="T1742" t="str">
            <v/>
          </cell>
          <cell r="U1742" t="str">
            <v/>
          </cell>
          <cell r="W1742" t="str">
            <v/>
          </cell>
          <cell r="X1742" t="str">
            <v/>
          </cell>
          <cell r="AB1742">
            <v>0</v>
          </cell>
          <cell r="AC1742">
            <v>0</v>
          </cell>
          <cell r="AD1742">
            <v>0</v>
          </cell>
          <cell r="AJ1742">
            <v>0</v>
          </cell>
          <cell r="AK1742">
            <v>0</v>
          </cell>
        </row>
        <row r="1743">
          <cell r="B1743" t="str">
            <v/>
          </cell>
          <cell r="H1743" t="str">
            <v/>
          </cell>
          <cell r="J1743" t="str">
            <v/>
          </cell>
          <cell r="N1743" t="str">
            <v/>
          </cell>
          <cell r="O1743" t="str">
            <v/>
          </cell>
          <cell r="P1743" t="str">
            <v/>
          </cell>
          <cell r="Q1743" t="str">
            <v/>
          </cell>
          <cell r="T1743" t="str">
            <v/>
          </cell>
          <cell r="U1743" t="str">
            <v/>
          </cell>
          <cell r="W1743" t="str">
            <v/>
          </cell>
          <cell r="X1743" t="str">
            <v/>
          </cell>
          <cell r="AB1743">
            <v>0</v>
          </cell>
          <cell r="AC1743">
            <v>0</v>
          </cell>
          <cell r="AD1743">
            <v>0</v>
          </cell>
          <cell r="AJ1743">
            <v>0</v>
          </cell>
          <cell r="AK1743">
            <v>0</v>
          </cell>
        </row>
        <row r="1744">
          <cell r="B1744" t="str">
            <v/>
          </cell>
          <cell r="H1744" t="str">
            <v/>
          </cell>
          <cell r="J1744" t="str">
            <v/>
          </cell>
          <cell r="N1744" t="str">
            <v/>
          </cell>
          <cell r="O1744" t="str">
            <v/>
          </cell>
          <cell r="P1744" t="str">
            <v/>
          </cell>
          <cell r="Q1744" t="str">
            <v/>
          </cell>
          <cell r="T1744" t="str">
            <v/>
          </cell>
          <cell r="U1744" t="str">
            <v/>
          </cell>
          <cell r="W1744" t="str">
            <v/>
          </cell>
          <cell r="X1744" t="str">
            <v/>
          </cell>
          <cell r="AB1744">
            <v>0</v>
          </cell>
          <cell r="AC1744">
            <v>0</v>
          </cell>
          <cell r="AD1744">
            <v>0</v>
          </cell>
          <cell r="AJ1744">
            <v>0</v>
          </cell>
          <cell r="AK1744">
            <v>0</v>
          </cell>
        </row>
        <row r="1745">
          <cell r="B1745" t="str">
            <v/>
          </cell>
          <cell r="H1745" t="str">
            <v/>
          </cell>
          <cell r="J1745" t="str">
            <v/>
          </cell>
          <cell r="N1745" t="str">
            <v/>
          </cell>
          <cell r="O1745" t="str">
            <v/>
          </cell>
          <cell r="P1745" t="str">
            <v/>
          </cell>
          <cell r="Q1745" t="str">
            <v/>
          </cell>
          <cell r="T1745" t="str">
            <v/>
          </cell>
          <cell r="U1745" t="str">
            <v/>
          </cell>
          <cell r="W1745" t="str">
            <v/>
          </cell>
          <cell r="X1745" t="str">
            <v/>
          </cell>
          <cell r="AB1745">
            <v>0</v>
          </cell>
          <cell r="AC1745">
            <v>0</v>
          </cell>
          <cell r="AD1745">
            <v>0</v>
          </cell>
          <cell r="AJ1745">
            <v>0</v>
          </cell>
          <cell r="AK1745">
            <v>0</v>
          </cell>
        </row>
        <row r="1746">
          <cell r="B1746" t="str">
            <v/>
          </cell>
          <cell r="H1746" t="str">
            <v/>
          </cell>
          <cell r="J1746" t="str">
            <v/>
          </cell>
          <cell r="N1746" t="str">
            <v/>
          </cell>
          <cell r="O1746" t="str">
            <v/>
          </cell>
          <cell r="P1746" t="str">
            <v/>
          </cell>
          <cell r="Q1746" t="str">
            <v/>
          </cell>
          <cell r="T1746" t="str">
            <v/>
          </cell>
          <cell r="U1746" t="str">
            <v/>
          </cell>
          <cell r="W1746" t="str">
            <v/>
          </cell>
          <cell r="X1746" t="str">
            <v/>
          </cell>
          <cell r="AB1746">
            <v>0</v>
          </cell>
          <cell r="AC1746">
            <v>0</v>
          </cell>
          <cell r="AD1746">
            <v>0</v>
          </cell>
          <cell r="AJ1746">
            <v>0</v>
          </cell>
          <cell r="AK1746">
            <v>0</v>
          </cell>
        </row>
        <row r="1747">
          <cell r="B1747" t="str">
            <v/>
          </cell>
          <cell r="H1747" t="str">
            <v/>
          </cell>
          <cell r="J1747" t="str">
            <v/>
          </cell>
          <cell r="N1747" t="str">
            <v/>
          </cell>
          <cell r="O1747" t="str">
            <v/>
          </cell>
          <cell r="P1747" t="str">
            <v/>
          </cell>
          <cell r="Q1747" t="str">
            <v/>
          </cell>
          <cell r="T1747" t="str">
            <v/>
          </cell>
          <cell r="U1747" t="str">
            <v/>
          </cell>
          <cell r="W1747" t="str">
            <v/>
          </cell>
          <cell r="X1747" t="str">
            <v/>
          </cell>
          <cell r="AB1747">
            <v>0</v>
          </cell>
          <cell r="AC1747">
            <v>0</v>
          </cell>
          <cell r="AD1747">
            <v>0</v>
          </cell>
          <cell r="AJ1747">
            <v>0</v>
          </cell>
          <cell r="AK1747">
            <v>0</v>
          </cell>
        </row>
        <row r="1748">
          <cell r="B1748" t="str">
            <v/>
          </cell>
          <cell r="H1748" t="str">
            <v/>
          </cell>
          <cell r="J1748" t="str">
            <v/>
          </cell>
          <cell r="N1748" t="str">
            <v/>
          </cell>
          <cell r="O1748" t="str">
            <v/>
          </cell>
          <cell r="P1748" t="str">
            <v/>
          </cell>
          <cell r="Q1748" t="str">
            <v/>
          </cell>
          <cell r="T1748" t="str">
            <v/>
          </cell>
          <cell r="U1748" t="str">
            <v/>
          </cell>
          <cell r="W1748" t="str">
            <v/>
          </cell>
          <cell r="X1748" t="str">
            <v/>
          </cell>
          <cell r="AB1748">
            <v>0</v>
          </cell>
          <cell r="AC1748">
            <v>0</v>
          </cell>
          <cell r="AD1748">
            <v>0</v>
          </cell>
          <cell r="AJ1748">
            <v>0</v>
          </cell>
          <cell r="AK1748">
            <v>0</v>
          </cell>
        </row>
        <row r="1749">
          <cell r="B1749" t="str">
            <v/>
          </cell>
          <cell r="H1749" t="str">
            <v/>
          </cell>
          <cell r="J1749" t="str">
            <v/>
          </cell>
          <cell r="N1749" t="str">
            <v/>
          </cell>
          <cell r="O1749" t="str">
            <v/>
          </cell>
          <cell r="P1749" t="str">
            <v/>
          </cell>
          <cell r="Q1749" t="str">
            <v/>
          </cell>
          <cell r="T1749" t="str">
            <v/>
          </cell>
          <cell r="U1749" t="str">
            <v/>
          </cell>
          <cell r="W1749" t="str">
            <v/>
          </cell>
          <cell r="X1749" t="str">
            <v/>
          </cell>
          <cell r="AB1749">
            <v>0</v>
          </cell>
          <cell r="AC1749">
            <v>0</v>
          </cell>
          <cell r="AD1749">
            <v>0</v>
          </cell>
          <cell r="AJ1749">
            <v>0</v>
          </cell>
          <cell r="AK1749">
            <v>0</v>
          </cell>
        </row>
        <row r="1750">
          <cell r="B1750" t="str">
            <v/>
          </cell>
          <cell r="H1750" t="str">
            <v/>
          </cell>
          <cell r="J1750" t="str">
            <v/>
          </cell>
          <cell r="N1750" t="str">
            <v/>
          </cell>
          <cell r="O1750" t="str">
            <v/>
          </cell>
          <cell r="P1750" t="str">
            <v/>
          </cell>
          <cell r="Q1750" t="str">
            <v/>
          </cell>
          <cell r="T1750" t="str">
            <v/>
          </cell>
          <cell r="U1750" t="str">
            <v/>
          </cell>
          <cell r="W1750" t="str">
            <v/>
          </cell>
          <cell r="X1750" t="str">
            <v/>
          </cell>
          <cell r="AB1750">
            <v>0</v>
          </cell>
          <cell r="AC1750">
            <v>0</v>
          </cell>
          <cell r="AD1750">
            <v>0</v>
          </cell>
          <cell r="AJ1750">
            <v>0</v>
          </cell>
          <cell r="AK1750">
            <v>0</v>
          </cell>
        </row>
        <row r="1751">
          <cell r="B1751" t="str">
            <v/>
          </cell>
          <cell r="H1751" t="str">
            <v/>
          </cell>
          <cell r="J1751" t="str">
            <v/>
          </cell>
          <cell r="N1751" t="str">
            <v/>
          </cell>
          <cell r="O1751" t="str">
            <v/>
          </cell>
          <cell r="P1751" t="str">
            <v/>
          </cell>
          <cell r="Q1751" t="str">
            <v/>
          </cell>
          <cell r="T1751" t="str">
            <v/>
          </cell>
          <cell r="U1751" t="str">
            <v/>
          </cell>
          <cell r="W1751" t="str">
            <v/>
          </cell>
          <cell r="X1751" t="str">
            <v/>
          </cell>
          <cell r="AB1751">
            <v>0</v>
          </cell>
          <cell r="AC1751">
            <v>0</v>
          </cell>
          <cell r="AD1751">
            <v>0</v>
          </cell>
          <cell r="AJ1751">
            <v>0</v>
          </cell>
          <cell r="AK1751">
            <v>0</v>
          </cell>
        </row>
        <row r="1752">
          <cell r="B1752" t="str">
            <v/>
          </cell>
          <cell r="H1752" t="str">
            <v/>
          </cell>
          <cell r="J1752" t="str">
            <v/>
          </cell>
          <cell r="N1752" t="str">
            <v/>
          </cell>
          <cell r="O1752" t="str">
            <v/>
          </cell>
          <cell r="P1752" t="str">
            <v/>
          </cell>
          <cell r="Q1752" t="str">
            <v/>
          </cell>
          <cell r="T1752" t="str">
            <v/>
          </cell>
          <cell r="U1752" t="str">
            <v/>
          </cell>
          <cell r="W1752" t="str">
            <v/>
          </cell>
          <cell r="X1752" t="str">
            <v/>
          </cell>
          <cell r="AB1752">
            <v>0</v>
          </cell>
          <cell r="AC1752">
            <v>0</v>
          </cell>
          <cell r="AD1752">
            <v>0</v>
          </cell>
          <cell r="AJ1752">
            <v>0</v>
          </cell>
          <cell r="AK1752">
            <v>0</v>
          </cell>
        </row>
        <row r="1753">
          <cell r="B1753" t="str">
            <v/>
          </cell>
          <cell r="H1753" t="str">
            <v/>
          </cell>
          <cell r="J1753" t="str">
            <v/>
          </cell>
          <cell r="N1753" t="str">
            <v/>
          </cell>
          <cell r="O1753" t="str">
            <v/>
          </cell>
          <cell r="P1753" t="str">
            <v/>
          </cell>
          <cell r="Q1753" t="str">
            <v/>
          </cell>
          <cell r="T1753" t="str">
            <v/>
          </cell>
          <cell r="U1753" t="str">
            <v/>
          </cell>
          <cell r="W1753" t="str">
            <v/>
          </cell>
          <cell r="X1753" t="str">
            <v/>
          </cell>
          <cell r="AB1753">
            <v>0</v>
          </cell>
          <cell r="AC1753">
            <v>0</v>
          </cell>
          <cell r="AD1753">
            <v>0</v>
          </cell>
          <cell r="AJ1753">
            <v>0</v>
          </cell>
          <cell r="AK1753">
            <v>0</v>
          </cell>
        </row>
        <row r="1754">
          <cell r="B1754" t="str">
            <v/>
          </cell>
          <cell r="H1754" t="str">
            <v/>
          </cell>
          <cell r="J1754" t="str">
            <v/>
          </cell>
          <cell r="N1754" t="str">
            <v/>
          </cell>
          <cell r="O1754" t="str">
            <v/>
          </cell>
          <cell r="P1754" t="str">
            <v/>
          </cell>
          <cell r="Q1754" t="str">
            <v/>
          </cell>
          <cell r="T1754" t="str">
            <v/>
          </cell>
          <cell r="U1754" t="str">
            <v/>
          </cell>
          <cell r="W1754" t="str">
            <v/>
          </cell>
          <cell r="X1754" t="str">
            <v/>
          </cell>
          <cell r="AB1754">
            <v>0</v>
          </cell>
          <cell r="AC1754">
            <v>0</v>
          </cell>
          <cell r="AD1754">
            <v>0</v>
          </cell>
          <cell r="AJ1754">
            <v>0</v>
          </cell>
          <cell r="AK1754">
            <v>0</v>
          </cell>
        </row>
        <row r="1755">
          <cell r="B1755" t="str">
            <v/>
          </cell>
          <cell r="H1755" t="str">
            <v/>
          </cell>
          <cell r="J1755" t="str">
            <v/>
          </cell>
          <cell r="N1755" t="str">
            <v/>
          </cell>
          <cell r="O1755" t="str">
            <v/>
          </cell>
          <cell r="P1755" t="str">
            <v/>
          </cell>
          <cell r="Q1755" t="str">
            <v/>
          </cell>
          <cell r="T1755" t="str">
            <v/>
          </cell>
          <cell r="U1755" t="str">
            <v/>
          </cell>
          <cell r="W1755" t="str">
            <v/>
          </cell>
          <cell r="X1755" t="str">
            <v/>
          </cell>
          <cell r="AB1755">
            <v>0</v>
          </cell>
          <cell r="AC1755">
            <v>0</v>
          </cell>
          <cell r="AD1755">
            <v>0</v>
          </cell>
          <cell r="AJ1755">
            <v>0</v>
          </cell>
          <cell r="AK1755">
            <v>0</v>
          </cell>
        </row>
        <row r="1756">
          <cell r="B1756" t="str">
            <v/>
          </cell>
          <cell r="H1756" t="str">
            <v/>
          </cell>
          <cell r="J1756" t="str">
            <v/>
          </cell>
          <cell r="N1756" t="str">
            <v/>
          </cell>
          <cell r="O1756" t="str">
            <v/>
          </cell>
          <cell r="P1756" t="str">
            <v/>
          </cell>
          <cell r="Q1756" t="str">
            <v/>
          </cell>
          <cell r="T1756" t="str">
            <v/>
          </cell>
          <cell r="U1756" t="str">
            <v/>
          </cell>
          <cell r="W1756" t="str">
            <v/>
          </cell>
          <cell r="X1756" t="str">
            <v/>
          </cell>
          <cell r="AB1756">
            <v>0</v>
          </cell>
          <cell r="AC1756">
            <v>0</v>
          </cell>
          <cell r="AD1756">
            <v>0</v>
          </cell>
          <cell r="AJ1756">
            <v>0</v>
          </cell>
          <cell r="AK1756">
            <v>0</v>
          </cell>
        </row>
        <row r="1757">
          <cell r="B1757" t="str">
            <v/>
          </cell>
          <cell r="H1757" t="str">
            <v/>
          </cell>
          <cell r="J1757" t="str">
            <v/>
          </cell>
          <cell r="N1757" t="str">
            <v/>
          </cell>
          <cell r="O1757" t="str">
            <v/>
          </cell>
          <cell r="P1757" t="str">
            <v/>
          </cell>
          <cell r="Q1757" t="str">
            <v/>
          </cell>
          <cell r="T1757" t="str">
            <v/>
          </cell>
          <cell r="U1757" t="str">
            <v/>
          </cell>
          <cell r="W1757" t="str">
            <v/>
          </cell>
          <cell r="X1757" t="str">
            <v/>
          </cell>
          <cell r="AB1757">
            <v>0</v>
          </cell>
          <cell r="AC1757">
            <v>0</v>
          </cell>
          <cell r="AD1757">
            <v>0</v>
          </cell>
          <cell r="AJ1757">
            <v>0</v>
          </cell>
          <cell r="AK1757">
            <v>0</v>
          </cell>
        </row>
        <row r="1758">
          <cell r="B1758" t="str">
            <v/>
          </cell>
          <cell r="H1758" t="str">
            <v/>
          </cell>
          <cell r="J1758" t="str">
            <v/>
          </cell>
          <cell r="N1758" t="str">
            <v/>
          </cell>
          <cell r="O1758" t="str">
            <v/>
          </cell>
          <cell r="P1758" t="str">
            <v/>
          </cell>
          <cell r="Q1758" t="str">
            <v/>
          </cell>
          <cell r="T1758" t="str">
            <v/>
          </cell>
          <cell r="U1758" t="str">
            <v/>
          </cell>
          <cell r="W1758" t="str">
            <v/>
          </cell>
          <cell r="X1758" t="str">
            <v/>
          </cell>
          <cell r="AB1758">
            <v>0</v>
          </cell>
          <cell r="AC1758">
            <v>0</v>
          </cell>
          <cell r="AD1758">
            <v>0</v>
          </cell>
          <cell r="AJ1758">
            <v>0</v>
          </cell>
          <cell r="AK1758">
            <v>0</v>
          </cell>
        </row>
        <row r="1759">
          <cell r="B1759" t="str">
            <v/>
          </cell>
          <cell r="H1759" t="str">
            <v/>
          </cell>
          <cell r="J1759" t="str">
            <v/>
          </cell>
          <cell r="N1759" t="str">
            <v/>
          </cell>
          <cell r="O1759" t="str">
            <v/>
          </cell>
          <cell r="P1759" t="str">
            <v/>
          </cell>
          <cell r="Q1759" t="str">
            <v/>
          </cell>
          <cell r="T1759" t="str">
            <v/>
          </cell>
          <cell r="U1759" t="str">
            <v/>
          </cell>
          <cell r="W1759" t="str">
            <v/>
          </cell>
          <cell r="X1759" t="str">
            <v/>
          </cell>
          <cell r="AB1759">
            <v>0</v>
          </cell>
          <cell r="AC1759">
            <v>0</v>
          </cell>
          <cell r="AD1759">
            <v>0</v>
          </cell>
          <cell r="AJ1759">
            <v>0</v>
          </cell>
          <cell r="AK1759">
            <v>0</v>
          </cell>
        </row>
        <row r="1760">
          <cell r="B1760" t="str">
            <v/>
          </cell>
          <cell r="H1760" t="str">
            <v/>
          </cell>
          <cell r="J1760" t="str">
            <v/>
          </cell>
          <cell r="N1760" t="str">
            <v/>
          </cell>
          <cell r="O1760" t="str">
            <v/>
          </cell>
          <cell r="P1760" t="str">
            <v/>
          </cell>
          <cell r="Q1760" t="str">
            <v/>
          </cell>
          <cell r="T1760" t="str">
            <v/>
          </cell>
          <cell r="U1760" t="str">
            <v/>
          </cell>
          <cell r="W1760" t="str">
            <v/>
          </cell>
          <cell r="X1760" t="str">
            <v/>
          </cell>
          <cell r="AB1760">
            <v>0</v>
          </cell>
          <cell r="AC1760">
            <v>0</v>
          </cell>
          <cell r="AD1760">
            <v>0</v>
          </cell>
          <cell r="AJ1760">
            <v>0</v>
          </cell>
          <cell r="AK1760">
            <v>0</v>
          </cell>
        </row>
        <row r="1761">
          <cell r="B1761" t="str">
            <v/>
          </cell>
          <cell r="H1761" t="str">
            <v/>
          </cell>
          <cell r="J1761" t="str">
            <v/>
          </cell>
          <cell r="N1761" t="str">
            <v/>
          </cell>
          <cell r="O1761" t="str">
            <v/>
          </cell>
          <cell r="P1761" t="str">
            <v/>
          </cell>
          <cell r="Q1761" t="str">
            <v/>
          </cell>
          <cell r="T1761" t="str">
            <v/>
          </cell>
          <cell r="U1761" t="str">
            <v/>
          </cell>
          <cell r="W1761" t="str">
            <v/>
          </cell>
          <cell r="X1761" t="str">
            <v/>
          </cell>
          <cell r="AB1761">
            <v>0</v>
          </cell>
          <cell r="AC1761">
            <v>0</v>
          </cell>
          <cell r="AD1761">
            <v>0</v>
          </cell>
          <cell r="AJ1761">
            <v>0</v>
          </cell>
          <cell r="AK1761">
            <v>0</v>
          </cell>
        </row>
        <row r="1762">
          <cell r="B1762" t="str">
            <v/>
          </cell>
          <cell r="H1762" t="str">
            <v/>
          </cell>
          <cell r="J1762" t="str">
            <v/>
          </cell>
          <cell r="N1762" t="str">
            <v/>
          </cell>
          <cell r="O1762" t="str">
            <v/>
          </cell>
          <cell r="P1762" t="str">
            <v/>
          </cell>
          <cell r="Q1762" t="str">
            <v/>
          </cell>
          <cell r="T1762" t="str">
            <v/>
          </cell>
          <cell r="U1762" t="str">
            <v/>
          </cell>
          <cell r="W1762" t="str">
            <v/>
          </cell>
          <cell r="X1762" t="str">
            <v/>
          </cell>
          <cell r="AB1762">
            <v>0</v>
          </cell>
          <cell r="AC1762">
            <v>0</v>
          </cell>
          <cell r="AD1762">
            <v>0</v>
          </cell>
          <cell r="AJ1762">
            <v>0</v>
          </cell>
          <cell r="AK1762">
            <v>0</v>
          </cell>
        </row>
        <row r="1763">
          <cell r="B1763" t="str">
            <v/>
          </cell>
          <cell r="H1763" t="str">
            <v/>
          </cell>
          <cell r="J1763" t="str">
            <v/>
          </cell>
          <cell r="N1763" t="str">
            <v/>
          </cell>
          <cell r="O1763" t="str">
            <v/>
          </cell>
          <cell r="P1763" t="str">
            <v/>
          </cell>
          <cell r="Q1763" t="str">
            <v/>
          </cell>
          <cell r="T1763" t="str">
            <v/>
          </cell>
          <cell r="U1763" t="str">
            <v/>
          </cell>
          <cell r="W1763" t="str">
            <v/>
          </cell>
          <cell r="X1763" t="str">
            <v/>
          </cell>
          <cell r="AB1763">
            <v>0</v>
          </cell>
          <cell r="AC1763">
            <v>0</v>
          </cell>
          <cell r="AD1763">
            <v>0</v>
          </cell>
          <cell r="AJ1763">
            <v>0</v>
          </cell>
          <cell r="AK1763">
            <v>0</v>
          </cell>
        </row>
        <row r="1764">
          <cell r="B1764" t="str">
            <v/>
          </cell>
          <cell r="H1764" t="str">
            <v/>
          </cell>
          <cell r="J1764" t="str">
            <v/>
          </cell>
          <cell r="N1764" t="str">
            <v/>
          </cell>
          <cell r="O1764" t="str">
            <v/>
          </cell>
          <cell r="P1764" t="str">
            <v/>
          </cell>
          <cell r="Q1764" t="str">
            <v/>
          </cell>
          <cell r="T1764" t="str">
            <v/>
          </cell>
          <cell r="U1764" t="str">
            <v/>
          </cell>
          <cell r="W1764" t="str">
            <v/>
          </cell>
          <cell r="X1764" t="str">
            <v/>
          </cell>
          <cell r="AB1764">
            <v>0</v>
          </cell>
          <cell r="AC1764">
            <v>0</v>
          </cell>
          <cell r="AD1764">
            <v>0</v>
          </cell>
          <cell r="AJ1764">
            <v>0</v>
          </cell>
          <cell r="AK1764">
            <v>0</v>
          </cell>
        </row>
        <row r="1765">
          <cell r="B1765" t="str">
            <v/>
          </cell>
          <cell r="H1765" t="str">
            <v/>
          </cell>
          <cell r="J1765" t="str">
            <v/>
          </cell>
          <cell r="N1765" t="str">
            <v/>
          </cell>
          <cell r="O1765" t="str">
            <v/>
          </cell>
          <cell r="P1765" t="str">
            <v/>
          </cell>
          <cell r="Q1765" t="str">
            <v/>
          </cell>
          <cell r="T1765" t="str">
            <v/>
          </cell>
          <cell r="U1765" t="str">
            <v/>
          </cell>
          <cell r="W1765" t="str">
            <v/>
          </cell>
          <cell r="X1765" t="str">
            <v/>
          </cell>
          <cell r="AB1765">
            <v>0</v>
          </cell>
          <cell r="AC1765">
            <v>0</v>
          </cell>
          <cell r="AD1765">
            <v>0</v>
          </cell>
          <cell r="AJ1765">
            <v>0</v>
          </cell>
          <cell r="AK1765">
            <v>0</v>
          </cell>
        </row>
        <row r="1766">
          <cell r="B1766" t="str">
            <v/>
          </cell>
          <cell r="H1766" t="str">
            <v/>
          </cell>
          <cell r="J1766" t="str">
            <v/>
          </cell>
          <cell r="N1766" t="str">
            <v/>
          </cell>
          <cell r="O1766" t="str">
            <v/>
          </cell>
          <cell r="P1766" t="str">
            <v/>
          </cell>
          <cell r="Q1766" t="str">
            <v/>
          </cell>
          <cell r="T1766" t="str">
            <v/>
          </cell>
          <cell r="U1766" t="str">
            <v/>
          </cell>
          <cell r="W1766" t="str">
            <v/>
          </cell>
          <cell r="X1766" t="str">
            <v/>
          </cell>
          <cell r="AB1766">
            <v>0</v>
          </cell>
          <cell r="AC1766">
            <v>0</v>
          </cell>
          <cell r="AD1766">
            <v>0</v>
          </cell>
          <cell r="AJ1766">
            <v>0</v>
          </cell>
          <cell r="AK1766">
            <v>0</v>
          </cell>
        </row>
        <row r="1767">
          <cell r="B1767" t="str">
            <v/>
          </cell>
          <cell r="H1767" t="str">
            <v/>
          </cell>
          <cell r="J1767" t="str">
            <v/>
          </cell>
          <cell r="N1767" t="str">
            <v/>
          </cell>
          <cell r="O1767" t="str">
            <v/>
          </cell>
          <cell r="P1767" t="str">
            <v/>
          </cell>
          <cell r="Q1767" t="str">
            <v/>
          </cell>
          <cell r="T1767" t="str">
            <v/>
          </cell>
          <cell r="U1767" t="str">
            <v/>
          </cell>
          <cell r="W1767" t="str">
            <v/>
          </cell>
          <cell r="X1767" t="str">
            <v/>
          </cell>
          <cell r="AB1767">
            <v>0</v>
          </cell>
          <cell r="AC1767">
            <v>0</v>
          </cell>
          <cell r="AD1767">
            <v>0</v>
          </cell>
          <cell r="AJ1767">
            <v>0</v>
          </cell>
          <cell r="AK1767">
            <v>0</v>
          </cell>
        </row>
        <row r="1768">
          <cell r="B1768" t="str">
            <v/>
          </cell>
          <cell r="H1768" t="str">
            <v/>
          </cell>
          <cell r="J1768" t="str">
            <v/>
          </cell>
          <cell r="N1768" t="str">
            <v/>
          </cell>
          <cell r="O1768" t="str">
            <v/>
          </cell>
          <cell r="P1768" t="str">
            <v/>
          </cell>
          <cell r="Q1768" t="str">
            <v/>
          </cell>
          <cell r="T1768" t="str">
            <v/>
          </cell>
          <cell r="U1768" t="str">
            <v/>
          </cell>
          <cell r="W1768" t="str">
            <v/>
          </cell>
          <cell r="X1768" t="str">
            <v/>
          </cell>
          <cell r="AB1768">
            <v>0</v>
          </cell>
          <cell r="AC1768">
            <v>0</v>
          </cell>
          <cell r="AD1768">
            <v>0</v>
          </cell>
          <cell r="AJ1768">
            <v>0</v>
          </cell>
          <cell r="AK1768">
            <v>0</v>
          </cell>
        </row>
        <row r="1769">
          <cell r="B1769" t="str">
            <v/>
          </cell>
          <cell r="H1769" t="str">
            <v/>
          </cell>
          <cell r="J1769" t="str">
            <v/>
          </cell>
          <cell r="N1769" t="str">
            <v/>
          </cell>
          <cell r="O1769" t="str">
            <v/>
          </cell>
          <cell r="P1769" t="str">
            <v/>
          </cell>
          <cell r="Q1769" t="str">
            <v/>
          </cell>
          <cell r="T1769" t="str">
            <v/>
          </cell>
          <cell r="U1769" t="str">
            <v/>
          </cell>
          <cell r="W1769" t="str">
            <v/>
          </cell>
          <cell r="X1769" t="str">
            <v/>
          </cell>
          <cell r="AB1769">
            <v>0</v>
          </cell>
          <cell r="AC1769">
            <v>0</v>
          </cell>
          <cell r="AD1769">
            <v>0</v>
          </cell>
          <cell r="AJ1769">
            <v>0</v>
          </cell>
          <cell r="AK1769">
            <v>0</v>
          </cell>
        </row>
        <row r="1770">
          <cell r="B1770" t="str">
            <v/>
          </cell>
          <cell r="H1770" t="str">
            <v/>
          </cell>
          <cell r="J1770" t="str">
            <v/>
          </cell>
          <cell r="N1770" t="str">
            <v/>
          </cell>
          <cell r="O1770" t="str">
            <v/>
          </cell>
          <cell r="P1770" t="str">
            <v/>
          </cell>
          <cell r="Q1770" t="str">
            <v/>
          </cell>
          <cell r="T1770" t="str">
            <v/>
          </cell>
          <cell r="U1770" t="str">
            <v/>
          </cell>
          <cell r="W1770" t="str">
            <v/>
          </cell>
          <cell r="X1770" t="str">
            <v/>
          </cell>
          <cell r="AB1770">
            <v>0</v>
          </cell>
          <cell r="AC1770">
            <v>0</v>
          </cell>
          <cell r="AD1770">
            <v>0</v>
          </cell>
          <cell r="AJ1770">
            <v>0</v>
          </cell>
          <cell r="AK1770">
            <v>0</v>
          </cell>
        </row>
        <row r="1771">
          <cell r="B1771" t="str">
            <v/>
          </cell>
          <cell r="H1771" t="str">
            <v/>
          </cell>
          <cell r="J1771" t="str">
            <v/>
          </cell>
          <cell r="N1771" t="str">
            <v/>
          </cell>
          <cell r="O1771" t="str">
            <v/>
          </cell>
          <cell r="P1771" t="str">
            <v/>
          </cell>
          <cell r="Q1771" t="str">
            <v/>
          </cell>
          <cell r="T1771" t="str">
            <v/>
          </cell>
          <cell r="U1771" t="str">
            <v/>
          </cell>
          <cell r="W1771" t="str">
            <v/>
          </cell>
          <cell r="X1771" t="str">
            <v/>
          </cell>
          <cell r="AB1771">
            <v>0</v>
          </cell>
          <cell r="AC1771">
            <v>0</v>
          </cell>
          <cell r="AD1771">
            <v>0</v>
          </cell>
          <cell r="AJ1771">
            <v>0</v>
          </cell>
          <cell r="AK1771">
            <v>0</v>
          </cell>
        </row>
        <row r="1772">
          <cell r="B1772" t="str">
            <v/>
          </cell>
          <cell r="H1772" t="str">
            <v/>
          </cell>
          <cell r="J1772" t="str">
            <v/>
          </cell>
          <cell r="N1772" t="str">
            <v/>
          </cell>
          <cell r="O1772" t="str">
            <v/>
          </cell>
          <cell r="P1772" t="str">
            <v/>
          </cell>
          <cell r="Q1772" t="str">
            <v/>
          </cell>
          <cell r="T1772" t="str">
            <v/>
          </cell>
          <cell r="U1772" t="str">
            <v/>
          </cell>
          <cell r="W1772" t="str">
            <v/>
          </cell>
          <cell r="X1772" t="str">
            <v/>
          </cell>
          <cell r="AB1772">
            <v>0</v>
          </cell>
          <cell r="AC1772">
            <v>0</v>
          </cell>
          <cell r="AD1772">
            <v>0</v>
          </cell>
          <cell r="AJ1772">
            <v>0</v>
          </cell>
          <cell r="AK1772">
            <v>0</v>
          </cell>
        </row>
        <row r="1773">
          <cell r="B1773" t="str">
            <v/>
          </cell>
          <cell r="H1773" t="str">
            <v/>
          </cell>
          <cell r="J1773" t="str">
            <v/>
          </cell>
          <cell r="N1773" t="str">
            <v/>
          </cell>
          <cell r="O1773" t="str">
            <v/>
          </cell>
          <cell r="P1773" t="str">
            <v/>
          </cell>
          <cell r="Q1773" t="str">
            <v/>
          </cell>
          <cell r="T1773" t="str">
            <v/>
          </cell>
          <cell r="U1773" t="str">
            <v/>
          </cell>
          <cell r="W1773" t="str">
            <v/>
          </cell>
          <cell r="X1773" t="str">
            <v/>
          </cell>
          <cell r="AB1773">
            <v>0</v>
          </cell>
          <cell r="AC1773">
            <v>0</v>
          </cell>
          <cell r="AD1773">
            <v>0</v>
          </cell>
          <cell r="AJ1773">
            <v>0</v>
          </cell>
          <cell r="AK1773">
            <v>0</v>
          </cell>
        </row>
        <row r="1774">
          <cell r="B1774" t="str">
            <v/>
          </cell>
          <cell r="H1774" t="str">
            <v/>
          </cell>
          <cell r="J1774" t="str">
            <v/>
          </cell>
          <cell r="N1774" t="str">
            <v/>
          </cell>
          <cell r="O1774" t="str">
            <v/>
          </cell>
          <cell r="P1774" t="str">
            <v/>
          </cell>
          <cell r="Q1774" t="str">
            <v/>
          </cell>
          <cell r="T1774" t="str">
            <v/>
          </cell>
          <cell r="U1774" t="str">
            <v/>
          </cell>
          <cell r="W1774" t="str">
            <v/>
          </cell>
          <cell r="X1774" t="str">
            <v/>
          </cell>
          <cell r="AB1774">
            <v>0</v>
          </cell>
          <cell r="AC1774">
            <v>0</v>
          </cell>
          <cell r="AD1774">
            <v>0</v>
          </cell>
          <cell r="AJ1774">
            <v>0</v>
          </cell>
          <cell r="AK1774">
            <v>0</v>
          </cell>
        </row>
        <row r="1775">
          <cell r="B1775" t="str">
            <v/>
          </cell>
          <cell r="H1775" t="str">
            <v/>
          </cell>
          <cell r="J1775" t="str">
            <v/>
          </cell>
          <cell r="N1775" t="str">
            <v/>
          </cell>
          <cell r="O1775" t="str">
            <v/>
          </cell>
          <cell r="P1775" t="str">
            <v/>
          </cell>
          <cell r="Q1775" t="str">
            <v/>
          </cell>
          <cell r="T1775" t="str">
            <v/>
          </cell>
          <cell r="U1775" t="str">
            <v/>
          </cell>
          <cell r="W1775" t="str">
            <v/>
          </cell>
          <cell r="X1775" t="str">
            <v/>
          </cell>
          <cell r="AB1775">
            <v>0</v>
          </cell>
          <cell r="AC1775">
            <v>0</v>
          </cell>
          <cell r="AD1775">
            <v>0</v>
          </cell>
          <cell r="AJ1775">
            <v>0</v>
          </cell>
          <cell r="AK1775">
            <v>0</v>
          </cell>
        </row>
        <row r="1776">
          <cell r="B1776" t="str">
            <v/>
          </cell>
          <cell r="H1776" t="str">
            <v/>
          </cell>
          <cell r="J1776" t="str">
            <v/>
          </cell>
          <cell r="N1776" t="str">
            <v/>
          </cell>
          <cell r="O1776" t="str">
            <v/>
          </cell>
          <cell r="P1776" t="str">
            <v/>
          </cell>
          <cell r="Q1776" t="str">
            <v/>
          </cell>
          <cell r="T1776" t="str">
            <v/>
          </cell>
          <cell r="U1776" t="str">
            <v/>
          </cell>
          <cell r="W1776" t="str">
            <v/>
          </cell>
          <cell r="X1776" t="str">
            <v/>
          </cell>
          <cell r="AB1776">
            <v>0</v>
          </cell>
          <cell r="AC1776">
            <v>0</v>
          </cell>
          <cell r="AD1776">
            <v>0</v>
          </cell>
          <cell r="AJ1776">
            <v>0</v>
          </cell>
          <cell r="AK1776">
            <v>0</v>
          </cell>
        </row>
        <row r="1777">
          <cell r="B1777" t="str">
            <v/>
          </cell>
          <cell r="H1777" t="str">
            <v/>
          </cell>
          <cell r="J1777" t="str">
            <v/>
          </cell>
          <cell r="N1777" t="str">
            <v/>
          </cell>
          <cell r="O1777" t="str">
            <v/>
          </cell>
          <cell r="P1777" t="str">
            <v/>
          </cell>
          <cell r="Q1777" t="str">
            <v/>
          </cell>
          <cell r="T1777" t="str">
            <v/>
          </cell>
          <cell r="U1777" t="str">
            <v/>
          </cell>
          <cell r="W1777" t="str">
            <v/>
          </cell>
          <cell r="X1777" t="str">
            <v/>
          </cell>
          <cell r="AB1777">
            <v>0</v>
          </cell>
          <cell r="AC1777">
            <v>0</v>
          </cell>
          <cell r="AD1777">
            <v>0</v>
          </cell>
          <cell r="AJ1777">
            <v>0</v>
          </cell>
          <cell r="AK1777">
            <v>0</v>
          </cell>
        </row>
        <row r="1778">
          <cell r="B1778" t="str">
            <v/>
          </cell>
          <cell r="H1778" t="str">
            <v/>
          </cell>
          <cell r="J1778" t="str">
            <v/>
          </cell>
          <cell r="N1778" t="str">
            <v/>
          </cell>
          <cell r="O1778" t="str">
            <v/>
          </cell>
          <cell r="P1778" t="str">
            <v/>
          </cell>
          <cell r="Q1778" t="str">
            <v/>
          </cell>
          <cell r="T1778" t="str">
            <v/>
          </cell>
          <cell r="U1778" t="str">
            <v/>
          </cell>
          <cell r="W1778" t="str">
            <v/>
          </cell>
          <cell r="X1778" t="str">
            <v/>
          </cell>
          <cell r="AB1778">
            <v>0</v>
          </cell>
          <cell r="AC1778">
            <v>0</v>
          </cell>
          <cell r="AD1778">
            <v>0</v>
          </cell>
          <cell r="AJ1778">
            <v>0</v>
          </cell>
          <cell r="AK1778">
            <v>0</v>
          </cell>
        </row>
        <row r="1779">
          <cell r="B1779" t="str">
            <v/>
          </cell>
          <cell r="H1779" t="str">
            <v/>
          </cell>
          <cell r="J1779" t="str">
            <v/>
          </cell>
          <cell r="N1779" t="str">
            <v/>
          </cell>
          <cell r="O1779" t="str">
            <v/>
          </cell>
          <cell r="P1779" t="str">
            <v/>
          </cell>
          <cell r="Q1779" t="str">
            <v/>
          </cell>
          <cell r="T1779" t="str">
            <v/>
          </cell>
          <cell r="U1779" t="str">
            <v/>
          </cell>
          <cell r="W1779" t="str">
            <v/>
          </cell>
          <cell r="X1779" t="str">
            <v/>
          </cell>
          <cell r="AB1779">
            <v>0</v>
          </cell>
          <cell r="AC1779">
            <v>0</v>
          </cell>
          <cell r="AD1779">
            <v>0</v>
          </cell>
          <cell r="AJ1779">
            <v>0</v>
          </cell>
          <cell r="AK1779">
            <v>0</v>
          </cell>
        </row>
        <row r="1780">
          <cell r="B1780" t="str">
            <v/>
          </cell>
          <cell r="H1780" t="str">
            <v/>
          </cell>
          <cell r="J1780" t="str">
            <v/>
          </cell>
          <cell r="N1780" t="str">
            <v/>
          </cell>
          <cell r="O1780" t="str">
            <v/>
          </cell>
          <cell r="P1780" t="str">
            <v/>
          </cell>
          <cell r="Q1780" t="str">
            <v/>
          </cell>
          <cell r="T1780" t="str">
            <v/>
          </cell>
          <cell r="U1780" t="str">
            <v/>
          </cell>
          <cell r="W1780" t="str">
            <v/>
          </cell>
          <cell r="X1780" t="str">
            <v/>
          </cell>
          <cell r="AB1780">
            <v>0</v>
          </cell>
          <cell r="AC1780">
            <v>0</v>
          </cell>
          <cell r="AD1780">
            <v>0</v>
          </cell>
          <cell r="AJ1780">
            <v>0</v>
          </cell>
          <cell r="AK1780">
            <v>0</v>
          </cell>
        </row>
        <row r="1781">
          <cell r="B1781" t="str">
            <v/>
          </cell>
          <cell r="H1781" t="str">
            <v/>
          </cell>
          <cell r="J1781" t="str">
            <v/>
          </cell>
          <cell r="N1781" t="str">
            <v/>
          </cell>
          <cell r="O1781" t="str">
            <v/>
          </cell>
          <cell r="P1781" t="str">
            <v/>
          </cell>
          <cell r="Q1781" t="str">
            <v/>
          </cell>
          <cell r="T1781" t="str">
            <v/>
          </cell>
          <cell r="U1781" t="str">
            <v/>
          </cell>
          <cell r="W1781" t="str">
            <v/>
          </cell>
          <cell r="X1781" t="str">
            <v/>
          </cell>
          <cell r="AB1781">
            <v>0</v>
          </cell>
          <cell r="AC1781">
            <v>0</v>
          </cell>
          <cell r="AD1781">
            <v>0</v>
          </cell>
          <cell r="AJ1781">
            <v>0</v>
          </cell>
          <cell r="AK1781">
            <v>0</v>
          </cell>
        </row>
        <row r="1782">
          <cell r="B1782" t="str">
            <v/>
          </cell>
          <cell r="H1782" t="str">
            <v/>
          </cell>
          <cell r="J1782" t="str">
            <v/>
          </cell>
          <cell r="N1782" t="str">
            <v/>
          </cell>
          <cell r="O1782" t="str">
            <v/>
          </cell>
          <cell r="P1782" t="str">
            <v/>
          </cell>
          <cell r="Q1782" t="str">
            <v/>
          </cell>
          <cell r="T1782" t="str">
            <v/>
          </cell>
          <cell r="U1782" t="str">
            <v/>
          </cell>
          <cell r="W1782" t="str">
            <v/>
          </cell>
          <cell r="X1782" t="str">
            <v/>
          </cell>
          <cell r="AB1782">
            <v>0</v>
          </cell>
          <cell r="AC1782">
            <v>0</v>
          </cell>
          <cell r="AD1782">
            <v>0</v>
          </cell>
          <cell r="AJ1782">
            <v>0</v>
          </cell>
          <cell r="AK1782">
            <v>0</v>
          </cell>
        </row>
        <row r="1783">
          <cell r="B1783" t="str">
            <v/>
          </cell>
          <cell r="H1783" t="str">
            <v/>
          </cell>
          <cell r="J1783" t="str">
            <v/>
          </cell>
          <cell r="N1783" t="str">
            <v/>
          </cell>
          <cell r="O1783" t="str">
            <v/>
          </cell>
          <cell r="P1783" t="str">
            <v/>
          </cell>
          <cell r="Q1783" t="str">
            <v/>
          </cell>
          <cell r="T1783" t="str">
            <v/>
          </cell>
          <cell r="U1783" t="str">
            <v/>
          </cell>
          <cell r="W1783" t="str">
            <v/>
          </cell>
          <cell r="X1783" t="str">
            <v/>
          </cell>
          <cell r="AB1783">
            <v>0</v>
          </cell>
          <cell r="AC1783">
            <v>0</v>
          </cell>
          <cell r="AD1783">
            <v>0</v>
          </cell>
          <cell r="AJ1783">
            <v>0</v>
          </cell>
          <cell r="AK1783">
            <v>0</v>
          </cell>
        </row>
        <row r="1784">
          <cell r="B1784" t="str">
            <v/>
          </cell>
          <cell r="H1784" t="str">
            <v/>
          </cell>
          <cell r="J1784" t="str">
            <v/>
          </cell>
          <cell r="N1784" t="str">
            <v/>
          </cell>
          <cell r="O1784" t="str">
            <v/>
          </cell>
          <cell r="P1784" t="str">
            <v/>
          </cell>
          <cell r="Q1784" t="str">
            <v/>
          </cell>
          <cell r="T1784" t="str">
            <v/>
          </cell>
          <cell r="U1784" t="str">
            <v/>
          </cell>
          <cell r="W1784" t="str">
            <v/>
          </cell>
          <cell r="X1784" t="str">
            <v/>
          </cell>
          <cell r="AB1784">
            <v>0</v>
          </cell>
          <cell r="AC1784">
            <v>0</v>
          </cell>
          <cell r="AD1784">
            <v>0</v>
          </cell>
          <cell r="AJ1784">
            <v>0</v>
          </cell>
          <cell r="AK1784">
            <v>0</v>
          </cell>
        </row>
        <row r="1785">
          <cell r="B1785" t="str">
            <v/>
          </cell>
          <cell r="H1785" t="str">
            <v/>
          </cell>
          <cell r="J1785" t="str">
            <v/>
          </cell>
          <cell r="N1785" t="str">
            <v/>
          </cell>
          <cell r="O1785" t="str">
            <v/>
          </cell>
          <cell r="P1785" t="str">
            <v/>
          </cell>
          <cell r="Q1785" t="str">
            <v/>
          </cell>
          <cell r="T1785" t="str">
            <v/>
          </cell>
          <cell r="U1785" t="str">
            <v/>
          </cell>
          <cell r="W1785" t="str">
            <v/>
          </cell>
          <cell r="X1785" t="str">
            <v/>
          </cell>
          <cell r="AB1785">
            <v>0</v>
          </cell>
          <cell r="AC1785">
            <v>0</v>
          </cell>
          <cell r="AD1785">
            <v>0</v>
          </cell>
          <cell r="AJ1785">
            <v>0</v>
          </cell>
          <cell r="AK1785">
            <v>0</v>
          </cell>
        </row>
        <row r="1786">
          <cell r="B1786" t="str">
            <v/>
          </cell>
          <cell r="H1786" t="str">
            <v/>
          </cell>
          <cell r="J1786" t="str">
            <v/>
          </cell>
          <cell r="N1786" t="str">
            <v/>
          </cell>
          <cell r="O1786" t="str">
            <v/>
          </cell>
          <cell r="P1786" t="str">
            <v/>
          </cell>
          <cell r="Q1786" t="str">
            <v/>
          </cell>
          <cell r="T1786" t="str">
            <v/>
          </cell>
          <cell r="U1786" t="str">
            <v/>
          </cell>
          <cell r="W1786" t="str">
            <v/>
          </cell>
          <cell r="X1786" t="str">
            <v/>
          </cell>
          <cell r="AB1786">
            <v>0</v>
          </cell>
          <cell r="AC1786">
            <v>0</v>
          </cell>
          <cell r="AD1786">
            <v>0</v>
          </cell>
          <cell r="AJ1786">
            <v>0</v>
          </cell>
          <cell r="AK1786">
            <v>0</v>
          </cell>
        </row>
        <row r="1787">
          <cell r="B1787" t="str">
            <v/>
          </cell>
          <cell r="H1787" t="str">
            <v/>
          </cell>
          <cell r="J1787" t="str">
            <v/>
          </cell>
          <cell r="N1787" t="str">
            <v/>
          </cell>
          <cell r="O1787" t="str">
            <v/>
          </cell>
          <cell r="P1787" t="str">
            <v/>
          </cell>
          <cell r="Q1787" t="str">
            <v/>
          </cell>
          <cell r="T1787" t="str">
            <v/>
          </cell>
          <cell r="U1787" t="str">
            <v/>
          </cell>
          <cell r="W1787" t="str">
            <v/>
          </cell>
          <cell r="X1787" t="str">
            <v/>
          </cell>
          <cell r="AB1787">
            <v>0</v>
          </cell>
          <cell r="AC1787">
            <v>0</v>
          </cell>
          <cell r="AD1787">
            <v>0</v>
          </cell>
          <cell r="AJ1787">
            <v>0</v>
          </cell>
          <cell r="AK1787">
            <v>0</v>
          </cell>
        </row>
        <row r="1788">
          <cell r="B1788" t="str">
            <v/>
          </cell>
          <cell r="H1788" t="str">
            <v/>
          </cell>
          <cell r="J1788" t="str">
            <v/>
          </cell>
          <cell r="N1788" t="str">
            <v/>
          </cell>
          <cell r="O1788" t="str">
            <v/>
          </cell>
          <cell r="P1788" t="str">
            <v/>
          </cell>
          <cell r="Q1788" t="str">
            <v/>
          </cell>
          <cell r="T1788" t="str">
            <v/>
          </cell>
          <cell r="U1788" t="str">
            <v/>
          </cell>
          <cell r="W1788" t="str">
            <v/>
          </cell>
          <cell r="X1788" t="str">
            <v/>
          </cell>
          <cell r="AB1788">
            <v>0</v>
          </cell>
          <cell r="AC1788">
            <v>0</v>
          </cell>
          <cell r="AD1788">
            <v>0</v>
          </cell>
          <cell r="AJ1788">
            <v>0</v>
          </cell>
          <cell r="AK1788">
            <v>0</v>
          </cell>
        </row>
        <row r="1789">
          <cell r="B1789" t="str">
            <v/>
          </cell>
          <cell r="H1789" t="str">
            <v/>
          </cell>
          <cell r="J1789" t="str">
            <v/>
          </cell>
          <cell r="N1789" t="str">
            <v/>
          </cell>
          <cell r="O1789" t="str">
            <v/>
          </cell>
          <cell r="P1789" t="str">
            <v/>
          </cell>
          <cell r="Q1789" t="str">
            <v/>
          </cell>
          <cell r="T1789" t="str">
            <v/>
          </cell>
          <cell r="U1789" t="str">
            <v/>
          </cell>
          <cell r="W1789" t="str">
            <v/>
          </cell>
          <cell r="X1789" t="str">
            <v/>
          </cell>
          <cell r="AB1789">
            <v>0</v>
          </cell>
          <cell r="AC1789">
            <v>0</v>
          </cell>
          <cell r="AD1789">
            <v>0</v>
          </cell>
          <cell r="AJ1789">
            <v>0</v>
          </cell>
          <cell r="AK1789">
            <v>0</v>
          </cell>
        </row>
        <row r="1790">
          <cell r="B1790" t="str">
            <v/>
          </cell>
          <cell r="H1790" t="str">
            <v/>
          </cell>
          <cell r="J1790" t="str">
            <v/>
          </cell>
          <cell r="N1790" t="str">
            <v/>
          </cell>
          <cell r="O1790" t="str">
            <v/>
          </cell>
          <cell r="P1790" t="str">
            <v/>
          </cell>
          <cell r="Q1790" t="str">
            <v/>
          </cell>
          <cell r="T1790" t="str">
            <v/>
          </cell>
          <cell r="U1790" t="str">
            <v/>
          </cell>
          <cell r="W1790" t="str">
            <v/>
          </cell>
          <cell r="X1790" t="str">
            <v/>
          </cell>
          <cell r="AB1790">
            <v>0</v>
          </cell>
          <cell r="AC1790">
            <v>0</v>
          </cell>
          <cell r="AD1790">
            <v>0</v>
          </cell>
          <cell r="AJ1790">
            <v>0</v>
          </cell>
          <cell r="AK1790">
            <v>0</v>
          </cell>
        </row>
        <row r="1791">
          <cell r="B1791" t="str">
            <v/>
          </cell>
          <cell r="H1791" t="str">
            <v/>
          </cell>
          <cell r="J1791" t="str">
            <v/>
          </cell>
          <cell r="N1791" t="str">
            <v/>
          </cell>
          <cell r="O1791" t="str">
            <v/>
          </cell>
          <cell r="P1791" t="str">
            <v/>
          </cell>
          <cell r="Q1791" t="str">
            <v/>
          </cell>
          <cell r="T1791" t="str">
            <v/>
          </cell>
          <cell r="U1791" t="str">
            <v/>
          </cell>
          <cell r="W1791" t="str">
            <v/>
          </cell>
          <cell r="X1791" t="str">
            <v/>
          </cell>
          <cell r="AB1791">
            <v>0</v>
          </cell>
          <cell r="AC1791">
            <v>0</v>
          </cell>
          <cell r="AD1791">
            <v>0</v>
          </cell>
          <cell r="AJ1791">
            <v>0</v>
          </cell>
          <cell r="AK1791">
            <v>0</v>
          </cell>
        </row>
        <row r="1792">
          <cell r="B1792" t="str">
            <v/>
          </cell>
          <cell r="H1792" t="str">
            <v/>
          </cell>
          <cell r="J1792" t="str">
            <v/>
          </cell>
          <cell r="N1792" t="str">
            <v/>
          </cell>
          <cell r="O1792" t="str">
            <v/>
          </cell>
          <cell r="P1792" t="str">
            <v/>
          </cell>
          <cell r="Q1792" t="str">
            <v/>
          </cell>
          <cell r="T1792" t="str">
            <v/>
          </cell>
          <cell r="U1792" t="str">
            <v/>
          </cell>
          <cell r="W1792" t="str">
            <v/>
          </cell>
          <cell r="X1792" t="str">
            <v/>
          </cell>
          <cell r="AB1792">
            <v>0</v>
          </cell>
          <cell r="AC1792">
            <v>0</v>
          </cell>
          <cell r="AD1792">
            <v>0</v>
          </cell>
          <cell r="AJ1792">
            <v>0</v>
          </cell>
          <cell r="AK1792">
            <v>0</v>
          </cell>
        </row>
        <row r="1793">
          <cell r="B1793" t="str">
            <v/>
          </cell>
          <cell r="H1793" t="str">
            <v/>
          </cell>
          <cell r="J1793" t="str">
            <v/>
          </cell>
          <cell r="N1793" t="str">
            <v/>
          </cell>
          <cell r="O1793" t="str">
            <v/>
          </cell>
          <cell r="P1793" t="str">
            <v/>
          </cell>
          <cell r="Q1793" t="str">
            <v/>
          </cell>
          <cell r="T1793" t="str">
            <v/>
          </cell>
          <cell r="U1793" t="str">
            <v/>
          </cell>
          <cell r="W1793" t="str">
            <v/>
          </cell>
          <cell r="X1793" t="str">
            <v/>
          </cell>
          <cell r="AB1793">
            <v>0</v>
          </cell>
          <cell r="AC1793">
            <v>0</v>
          </cell>
          <cell r="AD1793">
            <v>0</v>
          </cell>
          <cell r="AJ1793">
            <v>0</v>
          </cell>
          <cell r="AK1793">
            <v>0</v>
          </cell>
        </row>
        <row r="1794">
          <cell r="B1794" t="str">
            <v/>
          </cell>
          <cell r="H1794" t="str">
            <v/>
          </cell>
          <cell r="J1794" t="str">
            <v/>
          </cell>
          <cell r="N1794" t="str">
            <v/>
          </cell>
          <cell r="O1794" t="str">
            <v/>
          </cell>
          <cell r="P1794" t="str">
            <v/>
          </cell>
          <cell r="Q1794" t="str">
            <v/>
          </cell>
          <cell r="T1794" t="str">
            <v/>
          </cell>
          <cell r="U1794" t="str">
            <v/>
          </cell>
          <cell r="W1794" t="str">
            <v/>
          </cell>
          <cell r="X1794" t="str">
            <v/>
          </cell>
          <cell r="AB1794">
            <v>0</v>
          </cell>
          <cell r="AC1794">
            <v>0</v>
          </cell>
          <cell r="AD1794">
            <v>0</v>
          </cell>
          <cell r="AJ1794">
            <v>0</v>
          </cell>
          <cell r="AK1794">
            <v>0</v>
          </cell>
        </row>
        <row r="1795">
          <cell r="B1795" t="str">
            <v/>
          </cell>
          <cell r="H1795" t="str">
            <v/>
          </cell>
          <cell r="J1795" t="str">
            <v/>
          </cell>
          <cell r="N1795" t="str">
            <v/>
          </cell>
          <cell r="O1795" t="str">
            <v/>
          </cell>
          <cell r="P1795" t="str">
            <v/>
          </cell>
          <cell r="Q1795" t="str">
            <v/>
          </cell>
          <cell r="T1795" t="str">
            <v/>
          </cell>
          <cell r="U1795" t="str">
            <v/>
          </cell>
          <cell r="W1795" t="str">
            <v/>
          </cell>
          <cell r="X1795" t="str">
            <v/>
          </cell>
          <cell r="AB1795">
            <v>0</v>
          </cell>
          <cell r="AC1795">
            <v>0</v>
          </cell>
          <cell r="AD1795">
            <v>0</v>
          </cell>
          <cell r="AJ1795">
            <v>0</v>
          </cell>
          <cell r="AK1795">
            <v>0</v>
          </cell>
        </row>
        <row r="1796">
          <cell r="B1796" t="str">
            <v/>
          </cell>
          <cell r="H1796" t="str">
            <v/>
          </cell>
          <cell r="J1796" t="str">
            <v/>
          </cell>
          <cell r="N1796" t="str">
            <v/>
          </cell>
          <cell r="O1796" t="str">
            <v/>
          </cell>
          <cell r="P1796" t="str">
            <v/>
          </cell>
          <cell r="Q1796" t="str">
            <v/>
          </cell>
          <cell r="T1796" t="str">
            <v/>
          </cell>
          <cell r="U1796" t="str">
            <v/>
          </cell>
          <cell r="W1796" t="str">
            <v/>
          </cell>
          <cell r="X1796" t="str">
            <v/>
          </cell>
          <cell r="AB1796">
            <v>0</v>
          </cell>
          <cell r="AC1796">
            <v>0</v>
          </cell>
          <cell r="AD1796">
            <v>0</v>
          </cell>
          <cell r="AJ1796">
            <v>0</v>
          </cell>
          <cell r="AK1796">
            <v>0</v>
          </cell>
        </row>
        <row r="1797">
          <cell r="B1797" t="str">
            <v/>
          </cell>
          <cell r="H1797" t="str">
            <v/>
          </cell>
          <cell r="J1797" t="str">
            <v/>
          </cell>
          <cell r="N1797" t="str">
            <v/>
          </cell>
          <cell r="O1797" t="str">
            <v/>
          </cell>
          <cell r="P1797" t="str">
            <v/>
          </cell>
          <cell r="Q1797" t="str">
            <v/>
          </cell>
          <cell r="T1797" t="str">
            <v/>
          </cell>
          <cell r="U1797" t="str">
            <v/>
          </cell>
          <cell r="W1797" t="str">
            <v/>
          </cell>
          <cell r="X1797" t="str">
            <v/>
          </cell>
          <cell r="AB1797">
            <v>0</v>
          </cell>
          <cell r="AC1797">
            <v>0</v>
          </cell>
          <cell r="AD1797">
            <v>0</v>
          </cell>
          <cell r="AJ1797">
            <v>0</v>
          </cell>
          <cell r="AK1797">
            <v>0</v>
          </cell>
        </row>
        <row r="1798">
          <cell r="B1798" t="str">
            <v/>
          </cell>
          <cell r="H1798" t="str">
            <v/>
          </cell>
          <cell r="J1798" t="str">
            <v/>
          </cell>
          <cell r="N1798" t="str">
            <v/>
          </cell>
          <cell r="O1798" t="str">
            <v/>
          </cell>
          <cell r="P1798" t="str">
            <v/>
          </cell>
          <cell r="Q1798" t="str">
            <v/>
          </cell>
          <cell r="T1798" t="str">
            <v/>
          </cell>
          <cell r="U1798" t="str">
            <v/>
          </cell>
          <cell r="W1798" t="str">
            <v/>
          </cell>
          <cell r="X1798" t="str">
            <v/>
          </cell>
          <cell r="AB1798">
            <v>0</v>
          </cell>
          <cell r="AC1798">
            <v>0</v>
          </cell>
          <cell r="AD1798">
            <v>0</v>
          </cell>
          <cell r="AJ1798">
            <v>0</v>
          </cell>
          <cell r="AK1798">
            <v>0</v>
          </cell>
        </row>
        <row r="1799">
          <cell r="B1799" t="str">
            <v/>
          </cell>
          <cell r="H1799" t="str">
            <v/>
          </cell>
          <cell r="J1799" t="str">
            <v/>
          </cell>
          <cell r="N1799" t="str">
            <v/>
          </cell>
          <cell r="O1799" t="str">
            <v/>
          </cell>
          <cell r="P1799" t="str">
            <v/>
          </cell>
          <cell r="Q1799" t="str">
            <v/>
          </cell>
          <cell r="T1799" t="str">
            <v/>
          </cell>
          <cell r="U1799" t="str">
            <v/>
          </cell>
          <cell r="W1799" t="str">
            <v/>
          </cell>
          <cell r="X1799" t="str">
            <v/>
          </cell>
          <cell r="AB1799">
            <v>0</v>
          </cell>
          <cell r="AC1799">
            <v>0</v>
          </cell>
          <cell r="AD1799">
            <v>0</v>
          </cell>
          <cell r="AJ1799">
            <v>0</v>
          </cell>
          <cell r="AK1799">
            <v>0</v>
          </cell>
        </row>
        <row r="1800">
          <cell r="B1800" t="str">
            <v/>
          </cell>
          <cell r="H1800" t="str">
            <v/>
          </cell>
          <cell r="J1800" t="str">
            <v/>
          </cell>
          <cell r="N1800" t="str">
            <v/>
          </cell>
          <cell r="O1800" t="str">
            <v/>
          </cell>
          <cell r="P1800" t="str">
            <v/>
          </cell>
          <cell r="Q1800" t="str">
            <v/>
          </cell>
          <cell r="T1800" t="str">
            <v/>
          </cell>
          <cell r="U1800" t="str">
            <v/>
          </cell>
          <cell r="W1800" t="str">
            <v/>
          </cell>
          <cell r="X1800" t="str">
            <v/>
          </cell>
          <cell r="AB1800">
            <v>0</v>
          </cell>
          <cell r="AC1800">
            <v>0</v>
          </cell>
          <cell r="AD1800">
            <v>0</v>
          </cell>
          <cell r="AJ1800">
            <v>0</v>
          </cell>
          <cell r="AK1800">
            <v>0</v>
          </cell>
        </row>
        <row r="1801">
          <cell r="B1801" t="str">
            <v/>
          </cell>
          <cell r="H1801" t="str">
            <v/>
          </cell>
          <cell r="J1801" t="str">
            <v/>
          </cell>
          <cell r="N1801" t="str">
            <v/>
          </cell>
          <cell r="O1801" t="str">
            <v/>
          </cell>
          <cell r="P1801" t="str">
            <v/>
          </cell>
          <cell r="Q1801" t="str">
            <v/>
          </cell>
          <cell r="T1801" t="str">
            <v/>
          </cell>
          <cell r="U1801" t="str">
            <v/>
          </cell>
          <cell r="W1801" t="str">
            <v/>
          </cell>
          <cell r="X1801" t="str">
            <v/>
          </cell>
          <cell r="AB1801">
            <v>0</v>
          </cell>
          <cell r="AC1801">
            <v>0</v>
          </cell>
          <cell r="AD1801">
            <v>0</v>
          </cell>
          <cell r="AJ1801">
            <v>0</v>
          </cell>
          <cell r="AK1801">
            <v>0</v>
          </cell>
        </row>
        <row r="1802">
          <cell r="B1802" t="str">
            <v/>
          </cell>
          <cell r="H1802" t="str">
            <v/>
          </cell>
          <cell r="J1802" t="str">
            <v/>
          </cell>
          <cell r="N1802" t="str">
            <v/>
          </cell>
          <cell r="O1802" t="str">
            <v/>
          </cell>
          <cell r="P1802" t="str">
            <v/>
          </cell>
          <cell r="Q1802" t="str">
            <v/>
          </cell>
          <cell r="T1802" t="str">
            <v/>
          </cell>
          <cell r="U1802" t="str">
            <v/>
          </cell>
          <cell r="W1802" t="str">
            <v/>
          </cell>
          <cell r="X1802" t="str">
            <v/>
          </cell>
          <cell r="AB1802">
            <v>0</v>
          </cell>
          <cell r="AC1802">
            <v>0</v>
          </cell>
          <cell r="AD1802">
            <v>0</v>
          </cell>
          <cell r="AJ1802">
            <v>0</v>
          </cell>
          <cell r="AK1802">
            <v>0</v>
          </cell>
        </row>
        <row r="1803">
          <cell r="B1803" t="str">
            <v/>
          </cell>
          <cell r="H1803" t="str">
            <v/>
          </cell>
          <cell r="J1803" t="str">
            <v/>
          </cell>
          <cell r="N1803" t="str">
            <v/>
          </cell>
          <cell r="O1803" t="str">
            <v/>
          </cell>
          <cell r="P1803" t="str">
            <v/>
          </cell>
          <cell r="Q1803" t="str">
            <v/>
          </cell>
          <cell r="T1803" t="str">
            <v/>
          </cell>
          <cell r="U1803" t="str">
            <v/>
          </cell>
          <cell r="W1803" t="str">
            <v/>
          </cell>
          <cell r="X1803" t="str">
            <v/>
          </cell>
          <cell r="AB1803">
            <v>0</v>
          </cell>
          <cell r="AC1803">
            <v>0</v>
          </cell>
          <cell r="AD1803">
            <v>0</v>
          </cell>
          <cell r="AJ1803">
            <v>0</v>
          </cell>
          <cell r="AK1803">
            <v>0</v>
          </cell>
        </row>
        <row r="1804">
          <cell r="B1804" t="str">
            <v/>
          </cell>
          <cell r="H1804" t="str">
            <v/>
          </cell>
          <cell r="J1804" t="str">
            <v/>
          </cell>
          <cell r="N1804" t="str">
            <v/>
          </cell>
          <cell r="O1804" t="str">
            <v/>
          </cell>
          <cell r="P1804" t="str">
            <v/>
          </cell>
          <cell r="Q1804" t="str">
            <v/>
          </cell>
          <cell r="T1804" t="str">
            <v/>
          </cell>
          <cell r="U1804" t="str">
            <v/>
          </cell>
          <cell r="W1804" t="str">
            <v/>
          </cell>
          <cell r="X1804" t="str">
            <v/>
          </cell>
          <cell r="AB1804">
            <v>0</v>
          </cell>
          <cell r="AC1804">
            <v>0</v>
          </cell>
          <cell r="AD1804">
            <v>0</v>
          </cell>
          <cell r="AJ1804">
            <v>0</v>
          </cell>
          <cell r="AK1804">
            <v>0</v>
          </cell>
        </row>
        <row r="1805">
          <cell r="B1805" t="str">
            <v/>
          </cell>
          <cell r="H1805" t="str">
            <v/>
          </cell>
          <cell r="J1805" t="str">
            <v/>
          </cell>
          <cell r="N1805" t="str">
            <v/>
          </cell>
          <cell r="O1805" t="str">
            <v/>
          </cell>
          <cell r="P1805" t="str">
            <v/>
          </cell>
          <cell r="Q1805" t="str">
            <v/>
          </cell>
          <cell r="T1805" t="str">
            <v/>
          </cell>
          <cell r="U1805" t="str">
            <v/>
          </cell>
          <cell r="W1805" t="str">
            <v/>
          </cell>
          <cell r="X1805" t="str">
            <v/>
          </cell>
          <cell r="AB1805">
            <v>0</v>
          </cell>
          <cell r="AC1805">
            <v>0</v>
          </cell>
          <cell r="AD1805">
            <v>0</v>
          </cell>
          <cell r="AJ1805">
            <v>0</v>
          </cell>
          <cell r="AK1805">
            <v>0</v>
          </cell>
        </row>
        <row r="1806">
          <cell r="B1806" t="str">
            <v/>
          </cell>
          <cell r="H1806" t="str">
            <v/>
          </cell>
          <cell r="J1806" t="str">
            <v/>
          </cell>
          <cell r="N1806" t="str">
            <v/>
          </cell>
          <cell r="O1806" t="str">
            <v/>
          </cell>
          <cell r="P1806" t="str">
            <v/>
          </cell>
          <cell r="Q1806" t="str">
            <v/>
          </cell>
          <cell r="T1806" t="str">
            <v/>
          </cell>
          <cell r="U1806" t="str">
            <v/>
          </cell>
          <cell r="W1806" t="str">
            <v/>
          </cell>
          <cell r="X1806" t="str">
            <v/>
          </cell>
          <cell r="AB1806">
            <v>0</v>
          </cell>
          <cell r="AC1806">
            <v>0</v>
          </cell>
          <cell r="AD1806">
            <v>0</v>
          </cell>
          <cell r="AJ1806">
            <v>0</v>
          </cell>
          <cell r="AK1806">
            <v>0</v>
          </cell>
        </row>
        <row r="1807">
          <cell r="B1807" t="str">
            <v/>
          </cell>
          <cell r="H1807" t="str">
            <v/>
          </cell>
          <cell r="J1807" t="str">
            <v/>
          </cell>
          <cell r="N1807" t="str">
            <v/>
          </cell>
          <cell r="O1807" t="str">
            <v/>
          </cell>
          <cell r="P1807" t="str">
            <v/>
          </cell>
          <cell r="Q1807" t="str">
            <v/>
          </cell>
          <cell r="T1807" t="str">
            <v/>
          </cell>
          <cell r="U1807" t="str">
            <v/>
          </cell>
          <cell r="W1807" t="str">
            <v/>
          </cell>
          <cell r="X1807" t="str">
            <v/>
          </cell>
          <cell r="AB1807">
            <v>0</v>
          </cell>
          <cell r="AC1807">
            <v>0</v>
          </cell>
          <cell r="AD1807">
            <v>0</v>
          </cell>
          <cell r="AJ1807">
            <v>0</v>
          </cell>
          <cell r="AK1807">
            <v>0</v>
          </cell>
        </row>
        <row r="1808">
          <cell r="B1808" t="str">
            <v/>
          </cell>
          <cell r="H1808" t="str">
            <v/>
          </cell>
          <cell r="J1808" t="str">
            <v/>
          </cell>
          <cell r="N1808" t="str">
            <v/>
          </cell>
          <cell r="O1808" t="str">
            <v/>
          </cell>
          <cell r="P1808" t="str">
            <v/>
          </cell>
          <cell r="Q1808" t="str">
            <v/>
          </cell>
          <cell r="T1808" t="str">
            <v/>
          </cell>
          <cell r="U1808" t="str">
            <v/>
          </cell>
          <cell r="W1808" t="str">
            <v/>
          </cell>
          <cell r="X1808" t="str">
            <v/>
          </cell>
          <cell r="AB1808">
            <v>0</v>
          </cell>
          <cell r="AC1808">
            <v>0</v>
          </cell>
          <cell r="AD1808">
            <v>0</v>
          </cell>
          <cell r="AJ1808">
            <v>0</v>
          </cell>
          <cell r="AK1808">
            <v>0</v>
          </cell>
        </row>
        <row r="1809">
          <cell r="B1809" t="str">
            <v/>
          </cell>
          <cell r="H1809" t="str">
            <v/>
          </cell>
          <cell r="J1809" t="str">
            <v/>
          </cell>
          <cell r="N1809" t="str">
            <v/>
          </cell>
          <cell r="O1809" t="str">
            <v/>
          </cell>
          <cell r="P1809" t="str">
            <v/>
          </cell>
          <cell r="Q1809" t="str">
            <v/>
          </cell>
          <cell r="T1809" t="str">
            <v/>
          </cell>
          <cell r="U1809" t="str">
            <v/>
          </cell>
          <cell r="W1809" t="str">
            <v/>
          </cell>
          <cell r="X1809" t="str">
            <v/>
          </cell>
          <cell r="AB1809">
            <v>0</v>
          </cell>
          <cell r="AC1809">
            <v>0</v>
          </cell>
          <cell r="AD1809">
            <v>0</v>
          </cell>
          <cell r="AJ1809">
            <v>0</v>
          </cell>
          <cell r="AK1809">
            <v>0</v>
          </cell>
        </row>
        <row r="1810">
          <cell r="B1810" t="str">
            <v/>
          </cell>
          <cell r="H1810" t="str">
            <v/>
          </cell>
          <cell r="J1810" t="str">
            <v/>
          </cell>
          <cell r="N1810" t="str">
            <v/>
          </cell>
          <cell r="O1810" t="str">
            <v/>
          </cell>
          <cell r="P1810" t="str">
            <v/>
          </cell>
          <cell r="Q1810" t="str">
            <v/>
          </cell>
          <cell r="T1810" t="str">
            <v/>
          </cell>
          <cell r="U1810" t="str">
            <v/>
          </cell>
          <cell r="W1810" t="str">
            <v/>
          </cell>
          <cell r="X1810" t="str">
            <v/>
          </cell>
          <cell r="AB1810">
            <v>0</v>
          </cell>
          <cell r="AC1810">
            <v>0</v>
          </cell>
          <cell r="AD1810">
            <v>0</v>
          </cell>
          <cell r="AJ1810">
            <v>0</v>
          </cell>
          <cell r="AK1810">
            <v>0</v>
          </cell>
        </row>
        <row r="1811">
          <cell r="B1811" t="str">
            <v/>
          </cell>
          <cell r="H1811" t="str">
            <v/>
          </cell>
          <cell r="J1811" t="str">
            <v/>
          </cell>
          <cell r="N1811" t="str">
            <v/>
          </cell>
          <cell r="O1811" t="str">
            <v/>
          </cell>
          <cell r="P1811" t="str">
            <v/>
          </cell>
          <cell r="Q1811" t="str">
            <v/>
          </cell>
          <cell r="T1811" t="str">
            <v/>
          </cell>
          <cell r="U1811" t="str">
            <v/>
          </cell>
          <cell r="W1811" t="str">
            <v/>
          </cell>
          <cell r="X1811" t="str">
            <v/>
          </cell>
          <cell r="AB1811">
            <v>0</v>
          </cell>
          <cell r="AC1811">
            <v>0</v>
          </cell>
          <cell r="AD1811">
            <v>0</v>
          </cell>
          <cell r="AJ1811">
            <v>0</v>
          </cell>
          <cell r="AK1811">
            <v>0</v>
          </cell>
        </row>
        <row r="1812">
          <cell r="B1812" t="str">
            <v/>
          </cell>
          <cell r="H1812" t="str">
            <v/>
          </cell>
          <cell r="J1812" t="str">
            <v/>
          </cell>
          <cell r="N1812" t="str">
            <v/>
          </cell>
          <cell r="O1812" t="str">
            <v/>
          </cell>
          <cell r="P1812" t="str">
            <v/>
          </cell>
          <cell r="Q1812" t="str">
            <v/>
          </cell>
          <cell r="T1812" t="str">
            <v/>
          </cell>
          <cell r="U1812" t="str">
            <v/>
          </cell>
          <cell r="W1812" t="str">
            <v/>
          </cell>
          <cell r="X1812" t="str">
            <v/>
          </cell>
          <cell r="AB1812">
            <v>0</v>
          </cell>
          <cell r="AC1812">
            <v>0</v>
          </cell>
          <cell r="AD1812">
            <v>0</v>
          </cell>
          <cell r="AJ1812">
            <v>0</v>
          </cell>
          <cell r="AK1812">
            <v>0</v>
          </cell>
        </row>
        <row r="1813">
          <cell r="B1813" t="str">
            <v/>
          </cell>
          <cell r="H1813" t="str">
            <v/>
          </cell>
          <cell r="J1813" t="str">
            <v/>
          </cell>
          <cell r="N1813" t="str">
            <v/>
          </cell>
          <cell r="O1813" t="str">
            <v/>
          </cell>
          <cell r="P1813" t="str">
            <v/>
          </cell>
          <cell r="Q1813" t="str">
            <v/>
          </cell>
          <cell r="T1813" t="str">
            <v/>
          </cell>
          <cell r="U1813" t="str">
            <v/>
          </cell>
          <cell r="W1813" t="str">
            <v/>
          </cell>
          <cell r="X1813" t="str">
            <v/>
          </cell>
          <cell r="AB1813">
            <v>0</v>
          </cell>
          <cell r="AC1813">
            <v>0</v>
          </cell>
          <cell r="AD1813">
            <v>0</v>
          </cell>
          <cell r="AJ1813">
            <v>0</v>
          </cell>
          <cell r="AK1813">
            <v>0</v>
          </cell>
        </row>
        <row r="1814">
          <cell r="B1814" t="str">
            <v/>
          </cell>
          <cell r="H1814" t="str">
            <v/>
          </cell>
          <cell r="J1814" t="str">
            <v/>
          </cell>
          <cell r="N1814" t="str">
            <v/>
          </cell>
          <cell r="O1814" t="str">
            <v/>
          </cell>
          <cell r="P1814" t="str">
            <v/>
          </cell>
          <cell r="Q1814" t="str">
            <v/>
          </cell>
          <cell r="T1814" t="str">
            <v/>
          </cell>
          <cell r="U1814" t="str">
            <v/>
          </cell>
          <cell r="W1814" t="str">
            <v/>
          </cell>
          <cell r="X1814" t="str">
            <v/>
          </cell>
          <cell r="AB1814">
            <v>0</v>
          </cell>
          <cell r="AC1814">
            <v>0</v>
          </cell>
          <cell r="AD1814">
            <v>0</v>
          </cell>
          <cell r="AJ1814">
            <v>0</v>
          </cell>
          <cell r="AK1814">
            <v>0</v>
          </cell>
        </row>
        <row r="1815">
          <cell r="B1815" t="str">
            <v/>
          </cell>
          <cell r="H1815" t="str">
            <v/>
          </cell>
          <cell r="J1815" t="str">
            <v/>
          </cell>
          <cell r="N1815" t="str">
            <v/>
          </cell>
          <cell r="O1815" t="str">
            <v/>
          </cell>
          <cell r="P1815" t="str">
            <v/>
          </cell>
          <cell r="Q1815" t="str">
            <v/>
          </cell>
          <cell r="T1815" t="str">
            <v/>
          </cell>
          <cell r="U1815" t="str">
            <v/>
          </cell>
          <cell r="W1815" t="str">
            <v/>
          </cell>
          <cell r="X1815" t="str">
            <v/>
          </cell>
          <cell r="AB1815">
            <v>0</v>
          </cell>
          <cell r="AC1815">
            <v>0</v>
          </cell>
          <cell r="AD1815">
            <v>0</v>
          </cell>
          <cell r="AJ1815">
            <v>0</v>
          </cell>
          <cell r="AK1815">
            <v>0</v>
          </cell>
        </row>
        <row r="1816">
          <cell r="B1816" t="str">
            <v/>
          </cell>
          <cell r="H1816" t="str">
            <v/>
          </cell>
          <cell r="J1816" t="str">
            <v/>
          </cell>
          <cell r="N1816" t="str">
            <v/>
          </cell>
          <cell r="O1816" t="str">
            <v/>
          </cell>
          <cell r="P1816" t="str">
            <v/>
          </cell>
          <cell r="Q1816" t="str">
            <v/>
          </cell>
          <cell r="T1816" t="str">
            <v/>
          </cell>
          <cell r="U1816" t="str">
            <v/>
          </cell>
          <cell r="W1816" t="str">
            <v/>
          </cell>
          <cell r="X1816" t="str">
            <v/>
          </cell>
          <cell r="AB1816">
            <v>0</v>
          </cell>
          <cell r="AC1816">
            <v>0</v>
          </cell>
          <cell r="AD1816">
            <v>0</v>
          </cell>
          <cell r="AJ1816">
            <v>0</v>
          </cell>
          <cell r="AK1816">
            <v>0</v>
          </cell>
        </row>
        <row r="1817">
          <cell r="B1817" t="str">
            <v/>
          </cell>
          <cell r="H1817" t="str">
            <v/>
          </cell>
          <cell r="J1817" t="str">
            <v/>
          </cell>
          <cell r="N1817" t="str">
            <v/>
          </cell>
          <cell r="O1817" t="str">
            <v/>
          </cell>
          <cell r="P1817" t="str">
            <v/>
          </cell>
          <cell r="Q1817" t="str">
            <v/>
          </cell>
          <cell r="T1817" t="str">
            <v/>
          </cell>
          <cell r="U1817" t="str">
            <v/>
          </cell>
          <cell r="W1817" t="str">
            <v/>
          </cell>
          <cell r="X1817" t="str">
            <v/>
          </cell>
          <cell r="AB1817">
            <v>0</v>
          </cell>
          <cell r="AC1817">
            <v>0</v>
          </cell>
          <cell r="AD1817">
            <v>0</v>
          </cell>
          <cell r="AJ1817">
            <v>0</v>
          </cell>
          <cell r="AK1817">
            <v>0</v>
          </cell>
        </row>
        <row r="1818">
          <cell r="B1818" t="str">
            <v/>
          </cell>
          <cell r="H1818" t="str">
            <v/>
          </cell>
          <cell r="J1818" t="str">
            <v/>
          </cell>
          <cell r="N1818" t="str">
            <v/>
          </cell>
          <cell r="O1818" t="str">
            <v/>
          </cell>
          <cell r="P1818" t="str">
            <v/>
          </cell>
          <cell r="Q1818" t="str">
            <v/>
          </cell>
          <cell r="T1818" t="str">
            <v/>
          </cell>
          <cell r="U1818" t="str">
            <v/>
          </cell>
          <cell r="W1818" t="str">
            <v/>
          </cell>
          <cell r="X1818" t="str">
            <v/>
          </cell>
          <cell r="AB1818">
            <v>0</v>
          </cell>
          <cell r="AC1818">
            <v>0</v>
          </cell>
          <cell r="AD1818">
            <v>0</v>
          </cell>
          <cell r="AJ1818">
            <v>0</v>
          </cell>
          <cell r="AK1818">
            <v>0</v>
          </cell>
        </row>
        <row r="1819">
          <cell r="B1819" t="str">
            <v/>
          </cell>
          <cell r="H1819" t="str">
            <v/>
          </cell>
          <cell r="J1819" t="str">
            <v/>
          </cell>
          <cell r="N1819" t="str">
            <v/>
          </cell>
          <cell r="O1819" t="str">
            <v/>
          </cell>
          <cell r="P1819" t="str">
            <v/>
          </cell>
          <cell r="Q1819" t="str">
            <v/>
          </cell>
          <cell r="T1819" t="str">
            <v/>
          </cell>
          <cell r="U1819" t="str">
            <v/>
          </cell>
          <cell r="W1819" t="str">
            <v/>
          </cell>
          <cell r="X1819" t="str">
            <v/>
          </cell>
          <cell r="AB1819">
            <v>0</v>
          </cell>
          <cell r="AC1819">
            <v>0</v>
          </cell>
          <cell r="AD1819">
            <v>0</v>
          </cell>
          <cell r="AJ1819">
            <v>0</v>
          </cell>
          <cell r="AK1819">
            <v>0</v>
          </cell>
        </row>
        <row r="1820">
          <cell r="B1820" t="str">
            <v/>
          </cell>
          <cell r="H1820" t="str">
            <v/>
          </cell>
          <cell r="J1820" t="str">
            <v/>
          </cell>
          <cell r="N1820" t="str">
            <v/>
          </cell>
          <cell r="O1820" t="str">
            <v/>
          </cell>
          <cell r="P1820" t="str">
            <v/>
          </cell>
          <cell r="Q1820" t="str">
            <v/>
          </cell>
          <cell r="T1820" t="str">
            <v/>
          </cell>
          <cell r="U1820" t="str">
            <v/>
          </cell>
          <cell r="W1820" t="str">
            <v/>
          </cell>
          <cell r="X1820" t="str">
            <v/>
          </cell>
          <cell r="AB1820">
            <v>0</v>
          </cell>
          <cell r="AC1820">
            <v>0</v>
          </cell>
          <cell r="AD1820">
            <v>0</v>
          </cell>
          <cell r="AJ1820">
            <v>0</v>
          </cell>
          <cell r="AK1820">
            <v>0</v>
          </cell>
        </row>
        <row r="1821">
          <cell r="B1821" t="str">
            <v/>
          </cell>
          <cell r="H1821" t="str">
            <v/>
          </cell>
          <cell r="J1821" t="str">
            <v/>
          </cell>
          <cell r="N1821" t="str">
            <v/>
          </cell>
          <cell r="O1821" t="str">
            <v/>
          </cell>
          <cell r="P1821" t="str">
            <v/>
          </cell>
          <cell r="Q1821" t="str">
            <v/>
          </cell>
          <cell r="T1821" t="str">
            <v/>
          </cell>
          <cell r="U1821" t="str">
            <v/>
          </cell>
          <cell r="W1821" t="str">
            <v/>
          </cell>
          <cell r="X1821" t="str">
            <v/>
          </cell>
          <cell r="AB1821">
            <v>0</v>
          </cell>
          <cell r="AC1821">
            <v>0</v>
          </cell>
          <cell r="AD1821">
            <v>0</v>
          </cell>
          <cell r="AJ1821">
            <v>0</v>
          </cell>
          <cell r="AK1821">
            <v>0</v>
          </cell>
        </row>
        <row r="1822">
          <cell r="B1822" t="str">
            <v/>
          </cell>
          <cell r="H1822" t="str">
            <v/>
          </cell>
          <cell r="J1822" t="str">
            <v/>
          </cell>
          <cell r="N1822" t="str">
            <v/>
          </cell>
          <cell r="O1822" t="str">
            <v/>
          </cell>
          <cell r="P1822" t="str">
            <v/>
          </cell>
          <cell r="Q1822" t="str">
            <v/>
          </cell>
          <cell r="T1822" t="str">
            <v/>
          </cell>
          <cell r="U1822" t="str">
            <v/>
          </cell>
          <cell r="W1822" t="str">
            <v/>
          </cell>
          <cell r="X1822" t="str">
            <v/>
          </cell>
          <cell r="AB1822">
            <v>0</v>
          </cell>
          <cell r="AC1822">
            <v>0</v>
          </cell>
          <cell r="AD1822">
            <v>0</v>
          </cell>
          <cell r="AJ1822">
            <v>0</v>
          </cell>
          <cell r="AK1822">
            <v>0</v>
          </cell>
        </row>
        <row r="1823">
          <cell r="B1823" t="str">
            <v/>
          </cell>
          <cell r="H1823" t="str">
            <v/>
          </cell>
          <cell r="J1823" t="str">
            <v/>
          </cell>
          <cell r="N1823" t="str">
            <v/>
          </cell>
          <cell r="O1823" t="str">
            <v/>
          </cell>
          <cell r="P1823" t="str">
            <v/>
          </cell>
          <cell r="Q1823" t="str">
            <v/>
          </cell>
          <cell r="T1823" t="str">
            <v/>
          </cell>
          <cell r="U1823" t="str">
            <v/>
          </cell>
          <cell r="W1823" t="str">
            <v/>
          </cell>
          <cell r="X1823" t="str">
            <v/>
          </cell>
          <cell r="AB1823">
            <v>0</v>
          </cell>
          <cell r="AC1823">
            <v>0</v>
          </cell>
          <cell r="AD1823">
            <v>0</v>
          </cell>
          <cell r="AJ1823">
            <v>0</v>
          </cell>
          <cell r="AK1823">
            <v>0</v>
          </cell>
        </row>
        <row r="1824">
          <cell r="B1824" t="str">
            <v/>
          </cell>
          <cell r="H1824" t="str">
            <v/>
          </cell>
          <cell r="J1824" t="str">
            <v/>
          </cell>
          <cell r="N1824" t="str">
            <v/>
          </cell>
          <cell r="O1824" t="str">
            <v/>
          </cell>
          <cell r="P1824" t="str">
            <v/>
          </cell>
          <cell r="Q1824" t="str">
            <v/>
          </cell>
          <cell r="T1824" t="str">
            <v/>
          </cell>
          <cell r="U1824" t="str">
            <v/>
          </cell>
          <cell r="W1824" t="str">
            <v/>
          </cell>
          <cell r="X1824" t="str">
            <v/>
          </cell>
          <cell r="AB1824">
            <v>0</v>
          </cell>
          <cell r="AC1824">
            <v>0</v>
          </cell>
          <cell r="AD1824">
            <v>0</v>
          </cell>
          <cell r="AJ1824">
            <v>0</v>
          </cell>
          <cell r="AK1824">
            <v>0</v>
          </cell>
        </row>
        <row r="1825">
          <cell r="B1825" t="str">
            <v/>
          </cell>
          <cell r="H1825" t="str">
            <v/>
          </cell>
          <cell r="J1825" t="str">
            <v/>
          </cell>
          <cell r="N1825" t="str">
            <v/>
          </cell>
          <cell r="O1825" t="str">
            <v/>
          </cell>
          <cell r="P1825" t="str">
            <v/>
          </cell>
          <cell r="Q1825" t="str">
            <v/>
          </cell>
          <cell r="T1825" t="str">
            <v/>
          </cell>
          <cell r="U1825" t="str">
            <v/>
          </cell>
          <cell r="W1825" t="str">
            <v/>
          </cell>
          <cell r="X1825" t="str">
            <v/>
          </cell>
          <cell r="AB1825">
            <v>0</v>
          </cell>
          <cell r="AC1825">
            <v>0</v>
          </cell>
          <cell r="AD1825">
            <v>0</v>
          </cell>
          <cell r="AJ1825">
            <v>0</v>
          </cell>
          <cell r="AK1825">
            <v>0</v>
          </cell>
        </row>
        <row r="1826">
          <cell r="B1826" t="str">
            <v/>
          </cell>
          <cell r="H1826" t="str">
            <v/>
          </cell>
          <cell r="J1826" t="str">
            <v/>
          </cell>
          <cell r="N1826" t="str">
            <v/>
          </cell>
          <cell r="O1826" t="str">
            <v/>
          </cell>
          <cell r="P1826" t="str">
            <v/>
          </cell>
          <cell r="Q1826" t="str">
            <v/>
          </cell>
          <cell r="T1826" t="str">
            <v/>
          </cell>
          <cell r="U1826" t="str">
            <v/>
          </cell>
          <cell r="W1826" t="str">
            <v/>
          </cell>
          <cell r="X1826" t="str">
            <v/>
          </cell>
          <cell r="AB1826">
            <v>0</v>
          </cell>
          <cell r="AC1826">
            <v>0</v>
          </cell>
          <cell r="AD1826">
            <v>0</v>
          </cell>
          <cell r="AJ1826">
            <v>0</v>
          </cell>
          <cell r="AK1826">
            <v>0</v>
          </cell>
        </row>
        <row r="1827">
          <cell r="B1827" t="str">
            <v/>
          </cell>
          <cell r="H1827" t="str">
            <v/>
          </cell>
          <cell r="J1827" t="str">
            <v/>
          </cell>
          <cell r="N1827" t="str">
            <v/>
          </cell>
          <cell r="O1827" t="str">
            <v/>
          </cell>
          <cell r="P1827" t="str">
            <v/>
          </cell>
          <cell r="Q1827" t="str">
            <v/>
          </cell>
          <cell r="T1827" t="str">
            <v/>
          </cell>
          <cell r="U1827" t="str">
            <v/>
          </cell>
          <cell r="W1827" t="str">
            <v/>
          </cell>
          <cell r="X1827" t="str">
            <v/>
          </cell>
          <cell r="AB1827">
            <v>0</v>
          </cell>
          <cell r="AC1827">
            <v>0</v>
          </cell>
          <cell r="AD1827">
            <v>0</v>
          </cell>
          <cell r="AJ1827">
            <v>0</v>
          </cell>
          <cell r="AK1827">
            <v>0</v>
          </cell>
        </row>
        <row r="1828">
          <cell r="B1828" t="str">
            <v/>
          </cell>
          <cell r="H1828" t="str">
            <v/>
          </cell>
          <cell r="J1828" t="str">
            <v/>
          </cell>
          <cell r="N1828" t="str">
            <v/>
          </cell>
          <cell r="O1828" t="str">
            <v/>
          </cell>
          <cell r="P1828" t="str">
            <v/>
          </cell>
          <cell r="Q1828" t="str">
            <v/>
          </cell>
          <cell r="T1828" t="str">
            <v/>
          </cell>
          <cell r="U1828" t="str">
            <v/>
          </cell>
          <cell r="W1828" t="str">
            <v/>
          </cell>
          <cell r="X1828" t="str">
            <v/>
          </cell>
          <cell r="AB1828">
            <v>0</v>
          </cell>
          <cell r="AC1828">
            <v>0</v>
          </cell>
          <cell r="AD1828">
            <v>0</v>
          </cell>
          <cell r="AJ1828">
            <v>0</v>
          </cell>
          <cell r="AK1828">
            <v>0</v>
          </cell>
        </row>
        <row r="1829">
          <cell r="B1829" t="str">
            <v/>
          </cell>
          <cell r="H1829" t="str">
            <v/>
          </cell>
          <cell r="J1829" t="str">
            <v/>
          </cell>
          <cell r="N1829" t="str">
            <v/>
          </cell>
          <cell r="O1829" t="str">
            <v/>
          </cell>
          <cell r="P1829" t="str">
            <v/>
          </cell>
          <cell r="Q1829" t="str">
            <v/>
          </cell>
          <cell r="T1829" t="str">
            <v/>
          </cell>
          <cell r="U1829" t="str">
            <v/>
          </cell>
          <cell r="W1829" t="str">
            <v/>
          </cell>
          <cell r="X1829" t="str">
            <v/>
          </cell>
          <cell r="AB1829">
            <v>0</v>
          </cell>
          <cell r="AC1829">
            <v>0</v>
          </cell>
          <cell r="AD1829">
            <v>0</v>
          </cell>
          <cell r="AJ1829">
            <v>0</v>
          </cell>
          <cell r="AK1829">
            <v>0</v>
          </cell>
        </row>
        <row r="1830">
          <cell r="B1830" t="str">
            <v/>
          </cell>
          <cell r="H1830" t="str">
            <v/>
          </cell>
          <cell r="J1830" t="str">
            <v/>
          </cell>
          <cell r="N1830" t="str">
            <v/>
          </cell>
          <cell r="O1830" t="str">
            <v/>
          </cell>
          <cell r="P1830" t="str">
            <v/>
          </cell>
          <cell r="Q1830" t="str">
            <v/>
          </cell>
          <cell r="T1830" t="str">
            <v/>
          </cell>
          <cell r="U1830" t="str">
            <v/>
          </cell>
          <cell r="W1830" t="str">
            <v/>
          </cell>
          <cell r="X1830" t="str">
            <v/>
          </cell>
          <cell r="AB1830">
            <v>0</v>
          </cell>
          <cell r="AC1830">
            <v>0</v>
          </cell>
          <cell r="AD1830">
            <v>0</v>
          </cell>
          <cell r="AJ1830">
            <v>0</v>
          </cell>
          <cell r="AK1830">
            <v>0</v>
          </cell>
        </row>
        <row r="1831">
          <cell r="B1831" t="str">
            <v/>
          </cell>
          <cell r="H1831" t="str">
            <v/>
          </cell>
          <cell r="J1831" t="str">
            <v/>
          </cell>
          <cell r="N1831" t="str">
            <v/>
          </cell>
          <cell r="O1831" t="str">
            <v/>
          </cell>
          <cell r="P1831" t="str">
            <v/>
          </cell>
          <cell r="Q1831" t="str">
            <v/>
          </cell>
          <cell r="T1831" t="str">
            <v/>
          </cell>
          <cell r="U1831" t="str">
            <v/>
          </cell>
          <cell r="W1831" t="str">
            <v/>
          </cell>
          <cell r="X1831" t="str">
            <v/>
          </cell>
          <cell r="AB1831">
            <v>0</v>
          </cell>
          <cell r="AC1831">
            <v>0</v>
          </cell>
          <cell r="AD1831">
            <v>0</v>
          </cell>
          <cell r="AJ1831">
            <v>0</v>
          </cell>
          <cell r="AK1831">
            <v>0</v>
          </cell>
        </row>
        <row r="1832">
          <cell r="B1832" t="str">
            <v/>
          </cell>
          <cell r="H1832" t="str">
            <v/>
          </cell>
          <cell r="J1832" t="str">
            <v/>
          </cell>
          <cell r="N1832" t="str">
            <v/>
          </cell>
          <cell r="O1832" t="str">
            <v/>
          </cell>
          <cell r="P1832" t="str">
            <v/>
          </cell>
          <cell r="Q1832" t="str">
            <v/>
          </cell>
          <cell r="T1832" t="str">
            <v/>
          </cell>
          <cell r="U1832" t="str">
            <v/>
          </cell>
          <cell r="W1832" t="str">
            <v/>
          </cell>
          <cell r="X1832" t="str">
            <v/>
          </cell>
          <cell r="AB1832">
            <v>0</v>
          </cell>
          <cell r="AC1832">
            <v>0</v>
          </cell>
          <cell r="AD1832">
            <v>0</v>
          </cell>
          <cell r="AJ1832">
            <v>0</v>
          </cell>
          <cell r="AK1832">
            <v>0</v>
          </cell>
        </row>
        <row r="1833">
          <cell r="B1833" t="str">
            <v/>
          </cell>
          <cell r="H1833" t="str">
            <v/>
          </cell>
          <cell r="J1833" t="str">
            <v/>
          </cell>
          <cell r="N1833" t="str">
            <v/>
          </cell>
          <cell r="O1833" t="str">
            <v/>
          </cell>
          <cell r="P1833" t="str">
            <v/>
          </cell>
          <cell r="Q1833" t="str">
            <v/>
          </cell>
          <cell r="T1833" t="str">
            <v/>
          </cell>
          <cell r="U1833" t="str">
            <v/>
          </cell>
          <cell r="W1833" t="str">
            <v/>
          </cell>
          <cell r="X1833" t="str">
            <v/>
          </cell>
          <cell r="AB1833">
            <v>0</v>
          </cell>
          <cell r="AC1833">
            <v>0</v>
          </cell>
          <cell r="AD1833">
            <v>0</v>
          </cell>
          <cell r="AJ1833">
            <v>0</v>
          </cell>
          <cell r="AK1833">
            <v>0</v>
          </cell>
        </row>
        <row r="1834">
          <cell r="B1834" t="str">
            <v/>
          </cell>
          <cell r="H1834" t="str">
            <v/>
          </cell>
          <cell r="J1834" t="str">
            <v/>
          </cell>
          <cell r="N1834" t="str">
            <v/>
          </cell>
          <cell r="O1834" t="str">
            <v/>
          </cell>
          <cell r="P1834" t="str">
            <v/>
          </cell>
          <cell r="Q1834" t="str">
            <v/>
          </cell>
          <cell r="T1834" t="str">
            <v/>
          </cell>
          <cell r="U1834" t="str">
            <v/>
          </cell>
          <cell r="W1834" t="str">
            <v/>
          </cell>
          <cell r="X1834" t="str">
            <v/>
          </cell>
          <cell r="AB1834">
            <v>0</v>
          </cell>
          <cell r="AC1834">
            <v>0</v>
          </cell>
          <cell r="AD1834">
            <v>0</v>
          </cell>
          <cell r="AJ1834">
            <v>0</v>
          </cell>
          <cell r="AK1834">
            <v>0</v>
          </cell>
        </row>
        <row r="1835">
          <cell r="B1835" t="str">
            <v/>
          </cell>
          <cell r="H1835" t="str">
            <v/>
          </cell>
          <cell r="J1835" t="str">
            <v/>
          </cell>
          <cell r="N1835" t="str">
            <v/>
          </cell>
          <cell r="O1835" t="str">
            <v/>
          </cell>
          <cell r="P1835" t="str">
            <v/>
          </cell>
          <cell r="Q1835" t="str">
            <v/>
          </cell>
          <cell r="T1835" t="str">
            <v/>
          </cell>
          <cell r="U1835" t="str">
            <v/>
          </cell>
          <cell r="W1835" t="str">
            <v/>
          </cell>
          <cell r="X1835" t="str">
            <v/>
          </cell>
          <cell r="AB1835">
            <v>0</v>
          </cell>
          <cell r="AC1835">
            <v>0</v>
          </cell>
          <cell r="AD1835">
            <v>0</v>
          </cell>
          <cell r="AJ1835">
            <v>0</v>
          </cell>
          <cell r="AK1835">
            <v>0</v>
          </cell>
        </row>
        <row r="1836">
          <cell r="B1836" t="str">
            <v/>
          </cell>
          <cell r="H1836" t="str">
            <v/>
          </cell>
          <cell r="J1836" t="str">
            <v/>
          </cell>
          <cell r="N1836" t="str">
            <v/>
          </cell>
          <cell r="O1836" t="str">
            <v/>
          </cell>
          <cell r="P1836" t="str">
            <v/>
          </cell>
          <cell r="Q1836" t="str">
            <v/>
          </cell>
          <cell r="T1836" t="str">
            <v/>
          </cell>
          <cell r="U1836" t="str">
            <v/>
          </cell>
          <cell r="W1836" t="str">
            <v/>
          </cell>
          <cell r="X1836" t="str">
            <v/>
          </cell>
          <cell r="AB1836">
            <v>0</v>
          </cell>
          <cell r="AC1836">
            <v>0</v>
          </cell>
          <cell r="AD1836">
            <v>0</v>
          </cell>
          <cell r="AJ1836">
            <v>0</v>
          </cell>
          <cell r="AK1836">
            <v>0</v>
          </cell>
        </row>
        <row r="1837">
          <cell r="B1837" t="str">
            <v/>
          </cell>
          <cell r="H1837" t="str">
            <v/>
          </cell>
          <cell r="J1837" t="str">
            <v/>
          </cell>
          <cell r="N1837" t="str">
            <v/>
          </cell>
          <cell r="O1837" t="str">
            <v/>
          </cell>
          <cell r="P1837" t="str">
            <v/>
          </cell>
          <cell r="Q1837" t="str">
            <v/>
          </cell>
          <cell r="T1837" t="str">
            <v/>
          </cell>
          <cell r="U1837" t="str">
            <v/>
          </cell>
          <cell r="W1837" t="str">
            <v/>
          </cell>
          <cell r="X1837" t="str">
            <v/>
          </cell>
          <cell r="AB1837">
            <v>0</v>
          </cell>
          <cell r="AC1837">
            <v>0</v>
          </cell>
          <cell r="AD1837">
            <v>0</v>
          </cell>
          <cell r="AJ1837">
            <v>0</v>
          </cell>
          <cell r="AK1837">
            <v>0</v>
          </cell>
        </row>
        <row r="1838">
          <cell r="B1838" t="str">
            <v/>
          </cell>
          <cell r="H1838" t="str">
            <v/>
          </cell>
          <cell r="J1838" t="str">
            <v/>
          </cell>
          <cell r="N1838" t="str">
            <v/>
          </cell>
          <cell r="O1838" t="str">
            <v/>
          </cell>
          <cell r="P1838" t="str">
            <v/>
          </cell>
          <cell r="Q1838" t="str">
            <v/>
          </cell>
          <cell r="T1838" t="str">
            <v/>
          </cell>
          <cell r="U1838" t="str">
            <v/>
          </cell>
          <cell r="W1838" t="str">
            <v/>
          </cell>
          <cell r="X1838" t="str">
            <v/>
          </cell>
          <cell r="AB1838">
            <v>0</v>
          </cell>
          <cell r="AC1838">
            <v>0</v>
          </cell>
          <cell r="AD1838">
            <v>0</v>
          </cell>
          <cell r="AJ1838">
            <v>0</v>
          </cell>
          <cell r="AK1838">
            <v>0</v>
          </cell>
        </row>
        <row r="1839">
          <cell r="B1839" t="str">
            <v/>
          </cell>
          <cell r="H1839" t="str">
            <v/>
          </cell>
          <cell r="J1839" t="str">
            <v/>
          </cell>
          <cell r="N1839" t="str">
            <v/>
          </cell>
          <cell r="O1839" t="str">
            <v/>
          </cell>
          <cell r="P1839" t="str">
            <v/>
          </cell>
          <cell r="Q1839" t="str">
            <v/>
          </cell>
          <cell r="T1839" t="str">
            <v/>
          </cell>
          <cell r="U1839" t="str">
            <v/>
          </cell>
          <cell r="W1839" t="str">
            <v/>
          </cell>
          <cell r="X1839" t="str">
            <v/>
          </cell>
          <cell r="AB1839">
            <v>0</v>
          </cell>
          <cell r="AC1839">
            <v>0</v>
          </cell>
          <cell r="AD1839">
            <v>0</v>
          </cell>
          <cell r="AJ1839">
            <v>0</v>
          </cell>
          <cell r="AK1839">
            <v>0</v>
          </cell>
        </row>
        <row r="1840">
          <cell r="B1840" t="str">
            <v/>
          </cell>
          <cell r="H1840" t="str">
            <v/>
          </cell>
          <cell r="J1840" t="str">
            <v/>
          </cell>
          <cell r="N1840" t="str">
            <v/>
          </cell>
          <cell r="O1840" t="str">
            <v/>
          </cell>
          <cell r="P1840" t="str">
            <v/>
          </cell>
          <cell r="Q1840" t="str">
            <v/>
          </cell>
          <cell r="T1840" t="str">
            <v/>
          </cell>
          <cell r="U1840" t="str">
            <v/>
          </cell>
          <cell r="W1840" t="str">
            <v/>
          </cell>
          <cell r="X1840" t="str">
            <v/>
          </cell>
          <cell r="AB1840">
            <v>0</v>
          </cell>
          <cell r="AC1840">
            <v>0</v>
          </cell>
          <cell r="AD1840">
            <v>0</v>
          </cell>
          <cell r="AJ1840">
            <v>0</v>
          </cell>
          <cell r="AK1840">
            <v>0</v>
          </cell>
        </row>
        <row r="1841">
          <cell r="B1841" t="str">
            <v/>
          </cell>
          <cell r="H1841" t="str">
            <v/>
          </cell>
          <cell r="J1841" t="str">
            <v/>
          </cell>
          <cell r="N1841" t="str">
            <v/>
          </cell>
          <cell r="O1841" t="str">
            <v/>
          </cell>
          <cell r="P1841" t="str">
            <v/>
          </cell>
          <cell r="Q1841" t="str">
            <v/>
          </cell>
          <cell r="T1841" t="str">
            <v/>
          </cell>
          <cell r="U1841" t="str">
            <v/>
          </cell>
          <cell r="W1841" t="str">
            <v/>
          </cell>
          <cell r="X1841" t="str">
            <v/>
          </cell>
          <cell r="AB1841">
            <v>0</v>
          </cell>
          <cell r="AC1841">
            <v>0</v>
          </cell>
          <cell r="AD1841">
            <v>0</v>
          </cell>
          <cell r="AJ1841">
            <v>0</v>
          </cell>
          <cell r="AK1841">
            <v>0</v>
          </cell>
        </row>
        <row r="1842">
          <cell r="B1842" t="str">
            <v/>
          </cell>
          <cell r="H1842" t="str">
            <v/>
          </cell>
          <cell r="J1842" t="str">
            <v/>
          </cell>
          <cell r="N1842" t="str">
            <v/>
          </cell>
          <cell r="O1842" t="str">
            <v/>
          </cell>
          <cell r="P1842" t="str">
            <v/>
          </cell>
          <cell r="Q1842" t="str">
            <v/>
          </cell>
          <cell r="T1842" t="str">
            <v/>
          </cell>
          <cell r="U1842" t="str">
            <v/>
          </cell>
          <cell r="W1842" t="str">
            <v/>
          </cell>
          <cell r="X1842" t="str">
            <v/>
          </cell>
          <cell r="AB1842">
            <v>0</v>
          </cell>
          <cell r="AC1842">
            <v>0</v>
          </cell>
          <cell r="AD1842">
            <v>0</v>
          </cell>
          <cell r="AJ1842">
            <v>0</v>
          </cell>
          <cell r="AK1842">
            <v>0</v>
          </cell>
        </row>
        <row r="1843">
          <cell r="B1843" t="str">
            <v/>
          </cell>
          <cell r="H1843" t="str">
            <v/>
          </cell>
          <cell r="J1843" t="str">
            <v/>
          </cell>
          <cell r="N1843" t="str">
            <v/>
          </cell>
          <cell r="O1843" t="str">
            <v/>
          </cell>
          <cell r="P1843" t="str">
            <v/>
          </cell>
          <cell r="Q1843" t="str">
            <v/>
          </cell>
          <cell r="T1843" t="str">
            <v/>
          </cell>
          <cell r="U1843" t="str">
            <v/>
          </cell>
          <cell r="W1843" t="str">
            <v/>
          </cell>
          <cell r="X1843" t="str">
            <v/>
          </cell>
          <cell r="AB1843">
            <v>0</v>
          </cell>
          <cell r="AC1843">
            <v>0</v>
          </cell>
          <cell r="AD1843">
            <v>0</v>
          </cell>
          <cell r="AJ1843">
            <v>0</v>
          </cell>
          <cell r="AK1843">
            <v>0</v>
          </cell>
        </row>
        <row r="1844">
          <cell r="B1844" t="str">
            <v/>
          </cell>
          <cell r="H1844" t="str">
            <v/>
          </cell>
          <cell r="J1844" t="str">
            <v/>
          </cell>
          <cell r="N1844" t="str">
            <v/>
          </cell>
          <cell r="O1844" t="str">
            <v/>
          </cell>
          <cell r="P1844" t="str">
            <v/>
          </cell>
          <cell r="Q1844" t="str">
            <v/>
          </cell>
          <cell r="T1844" t="str">
            <v/>
          </cell>
          <cell r="U1844" t="str">
            <v/>
          </cell>
          <cell r="W1844" t="str">
            <v/>
          </cell>
          <cell r="X1844" t="str">
            <v/>
          </cell>
          <cell r="AB1844">
            <v>0</v>
          </cell>
          <cell r="AC1844">
            <v>0</v>
          </cell>
          <cell r="AD1844">
            <v>0</v>
          </cell>
          <cell r="AJ1844">
            <v>0</v>
          </cell>
          <cell r="AK1844">
            <v>0</v>
          </cell>
        </row>
        <row r="1845">
          <cell r="B1845" t="str">
            <v/>
          </cell>
          <cell r="H1845" t="str">
            <v/>
          </cell>
          <cell r="J1845" t="str">
            <v/>
          </cell>
          <cell r="N1845" t="str">
            <v/>
          </cell>
          <cell r="O1845" t="str">
            <v/>
          </cell>
          <cell r="P1845" t="str">
            <v/>
          </cell>
          <cell r="Q1845" t="str">
            <v/>
          </cell>
          <cell r="T1845" t="str">
            <v/>
          </cell>
          <cell r="U1845" t="str">
            <v/>
          </cell>
          <cell r="W1845" t="str">
            <v/>
          </cell>
          <cell r="X1845" t="str">
            <v/>
          </cell>
          <cell r="AB1845">
            <v>0</v>
          </cell>
          <cell r="AC1845">
            <v>0</v>
          </cell>
          <cell r="AD1845">
            <v>0</v>
          </cell>
          <cell r="AJ1845">
            <v>0</v>
          </cell>
          <cell r="AK1845">
            <v>0</v>
          </cell>
        </row>
        <row r="1846">
          <cell r="B1846" t="str">
            <v/>
          </cell>
          <cell r="H1846" t="str">
            <v/>
          </cell>
          <cell r="J1846" t="str">
            <v/>
          </cell>
          <cell r="N1846" t="str">
            <v/>
          </cell>
          <cell r="O1846" t="str">
            <v/>
          </cell>
          <cell r="P1846" t="str">
            <v/>
          </cell>
          <cell r="Q1846" t="str">
            <v/>
          </cell>
          <cell r="T1846" t="str">
            <v/>
          </cell>
          <cell r="U1846" t="str">
            <v/>
          </cell>
          <cell r="W1846" t="str">
            <v/>
          </cell>
          <cell r="X1846" t="str">
            <v/>
          </cell>
          <cell r="AB1846">
            <v>0</v>
          </cell>
          <cell r="AC1846">
            <v>0</v>
          </cell>
          <cell r="AD1846">
            <v>0</v>
          </cell>
          <cell r="AJ1846">
            <v>0</v>
          </cell>
          <cell r="AK1846">
            <v>0</v>
          </cell>
        </row>
        <row r="1847">
          <cell r="B1847" t="str">
            <v/>
          </cell>
          <cell r="H1847" t="str">
            <v/>
          </cell>
          <cell r="J1847" t="str">
            <v/>
          </cell>
          <cell r="N1847" t="str">
            <v/>
          </cell>
          <cell r="O1847" t="str">
            <v/>
          </cell>
          <cell r="P1847" t="str">
            <v/>
          </cell>
          <cell r="Q1847" t="str">
            <v/>
          </cell>
          <cell r="T1847" t="str">
            <v/>
          </cell>
          <cell r="U1847" t="str">
            <v/>
          </cell>
          <cell r="W1847" t="str">
            <v/>
          </cell>
          <cell r="X1847" t="str">
            <v/>
          </cell>
          <cell r="AB1847">
            <v>0</v>
          </cell>
          <cell r="AC1847">
            <v>0</v>
          </cell>
          <cell r="AD1847">
            <v>0</v>
          </cell>
          <cell r="AJ1847">
            <v>0</v>
          </cell>
          <cell r="AK1847">
            <v>0</v>
          </cell>
        </row>
        <row r="1848">
          <cell r="B1848" t="str">
            <v/>
          </cell>
          <cell r="H1848" t="str">
            <v/>
          </cell>
          <cell r="J1848" t="str">
            <v/>
          </cell>
          <cell r="N1848" t="str">
            <v/>
          </cell>
          <cell r="O1848" t="str">
            <v/>
          </cell>
          <cell r="P1848" t="str">
            <v/>
          </cell>
          <cell r="Q1848" t="str">
            <v/>
          </cell>
          <cell r="T1848" t="str">
            <v/>
          </cell>
          <cell r="U1848" t="str">
            <v/>
          </cell>
          <cell r="W1848" t="str">
            <v/>
          </cell>
          <cell r="X1848" t="str">
            <v/>
          </cell>
          <cell r="AB1848">
            <v>0</v>
          </cell>
          <cell r="AC1848">
            <v>0</v>
          </cell>
          <cell r="AD1848">
            <v>0</v>
          </cell>
          <cell r="AJ1848">
            <v>0</v>
          </cell>
          <cell r="AK1848">
            <v>0</v>
          </cell>
        </row>
        <row r="1849">
          <cell r="B1849" t="str">
            <v/>
          </cell>
          <cell r="H1849" t="str">
            <v/>
          </cell>
          <cell r="J1849" t="str">
            <v/>
          </cell>
          <cell r="N1849" t="str">
            <v/>
          </cell>
          <cell r="O1849" t="str">
            <v/>
          </cell>
          <cell r="P1849" t="str">
            <v/>
          </cell>
          <cell r="Q1849" t="str">
            <v/>
          </cell>
          <cell r="T1849" t="str">
            <v/>
          </cell>
          <cell r="U1849" t="str">
            <v/>
          </cell>
          <cell r="W1849" t="str">
            <v/>
          </cell>
          <cell r="X1849" t="str">
            <v/>
          </cell>
          <cell r="AB1849">
            <v>0</v>
          </cell>
          <cell r="AC1849">
            <v>0</v>
          </cell>
          <cell r="AD1849">
            <v>0</v>
          </cell>
          <cell r="AJ1849">
            <v>0</v>
          </cell>
          <cell r="AK1849">
            <v>0</v>
          </cell>
        </row>
        <row r="1850">
          <cell r="B1850" t="str">
            <v/>
          </cell>
          <cell r="H1850" t="str">
            <v/>
          </cell>
          <cell r="J1850" t="str">
            <v/>
          </cell>
          <cell r="N1850" t="str">
            <v/>
          </cell>
          <cell r="O1850" t="str">
            <v/>
          </cell>
          <cell r="P1850" t="str">
            <v/>
          </cell>
          <cell r="Q1850" t="str">
            <v/>
          </cell>
          <cell r="T1850" t="str">
            <v/>
          </cell>
          <cell r="U1850" t="str">
            <v/>
          </cell>
          <cell r="W1850" t="str">
            <v/>
          </cell>
          <cell r="X1850" t="str">
            <v/>
          </cell>
          <cell r="AB1850">
            <v>0</v>
          </cell>
          <cell r="AC1850">
            <v>0</v>
          </cell>
          <cell r="AD1850">
            <v>0</v>
          </cell>
          <cell r="AJ1850">
            <v>0</v>
          </cell>
          <cell r="AK1850">
            <v>0</v>
          </cell>
        </row>
        <row r="1851">
          <cell r="B1851" t="str">
            <v/>
          </cell>
          <cell r="H1851" t="str">
            <v/>
          </cell>
          <cell r="J1851" t="str">
            <v/>
          </cell>
          <cell r="N1851" t="str">
            <v/>
          </cell>
          <cell r="O1851" t="str">
            <v/>
          </cell>
          <cell r="P1851" t="str">
            <v/>
          </cell>
          <cell r="Q1851" t="str">
            <v/>
          </cell>
          <cell r="T1851" t="str">
            <v/>
          </cell>
          <cell r="U1851" t="str">
            <v/>
          </cell>
          <cell r="W1851" t="str">
            <v/>
          </cell>
          <cell r="X1851" t="str">
            <v/>
          </cell>
          <cell r="AB1851">
            <v>0</v>
          </cell>
          <cell r="AC1851">
            <v>0</v>
          </cell>
          <cell r="AD1851">
            <v>0</v>
          </cell>
          <cell r="AJ1851">
            <v>0</v>
          </cell>
          <cell r="AK1851">
            <v>0</v>
          </cell>
        </row>
        <row r="1852">
          <cell r="B1852" t="str">
            <v/>
          </cell>
          <cell r="H1852" t="str">
            <v/>
          </cell>
          <cell r="J1852" t="str">
            <v/>
          </cell>
          <cell r="N1852" t="str">
            <v/>
          </cell>
          <cell r="O1852" t="str">
            <v/>
          </cell>
          <cell r="P1852" t="str">
            <v/>
          </cell>
          <cell r="Q1852" t="str">
            <v/>
          </cell>
          <cell r="T1852" t="str">
            <v/>
          </cell>
          <cell r="U1852" t="str">
            <v/>
          </cell>
          <cell r="W1852" t="str">
            <v/>
          </cell>
          <cell r="X1852" t="str">
            <v/>
          </cell>
          <cell r="AB1852">
            <v>0</v>
          </cell>
          <cell r="AC1852">
            <v>0</v>
          </cell>
          <cell r="AD1852">
            <v>0</v>
          </cell>
          <cell r="AJ1852">
            <v>0</v>
          </cell>
          <cell r="AK1852">
            <v>0</v>
          </cell>
        </row>
        <row r="1853">
          <cell r="B1853" t="str">
            <v/>
          </cell>
          <cell r="H1853" t="str">
            <v/>
          </cell>
          <cell r="J1853" t="str">
            <v/>
          </cell>
          <cell r="N1853" t="str">
            <v/>
          </cell>
          <cell r="O1853" t="str">
            <v/>
          </cell>
          <cell r="P1853" t="str">
            <v/>
          </cell>
          <cell r="Q1853" t="str">
            <v/>
          </cell>
          <cell r="T1853" t="str">
            <v/>
          </cell>
          <cell r="U1853" t="str">
            <v/>
          </cell>
          <cell r="W1853" t="str">
            <v/>
          </cell>
          <cell r="X1853" t="str">
            <v/>
          </cell>
          <cell r="AB1853">
            <v>0</v>
          </cell>
          <cell r="AC1853">
            <v>0</v>
          </cell>
          <cell r="AD1853">
            <v>0</v>
          </cell>
          <cell r="AJ1853">
            <v>0</v>
          </cell>
          <cell r="AK1853">
            <v>0</v>
          </cell>
        </row>
        <row r="1854">
          <cell r="B1854" t="str">
            <v/>
          </cell>
          <cell r="H1854" t="str">
            <v/>
          </cell>
          <cell r="J1854" t="str">
            <v/>
          </cell>
          <cell r="N1854" t="str">
            <v/>
          </cell>
          <cell r="O1854" t="str">
            <v/>
          </cell>
          <cell r="P1854" t="str">
            <v/>
          </cell>
          <cell r="Q1854" t="str">
            <v/>
          </cell>
          <cell r="T1854" t="str">
            <v/>
          </cell>
          <cell r="U1854" t="str">
            <v/>
          </cell>
          <cell r="W1854" t="str">
            <v/>
          </cell>
          <cell r="X1854" t="str">
            <v/>
          </cell>
          <cell r="AB1854">
            <v>0</v>
          </cell>
          <cell r="AC1854">
            <v>0</v>
          </cell>
          <cell r="AD1854">
            <v>0</v>
          </cell>
          <cell r="AJ1854">
            <v>0</v>
          </cell>
          <cell r="AK1854">
            <v>0</v>
          </cell>
        </row>
        <row r="1855">
          <cell r="B1855" t="str">
            <v/>
          </cell>
          <cell r="H1855" t="str">
            <v/>
          </cell>
          <cell r="J1855" t="str">
            <v/>
          </cell>
          <cell r="N1855" t="str">
            <v/>
          </cell>
          <cell r="O1855" t="str">
            <v/>
          </cell>
          <cell r="P1855" t="str">
            <v/>
          </cell>
          <cell r="Q1855" t="str">
            <v/>
          </cell>
          <cell r="T1855" t="str">
            <v/>
          </cell>
          <cell r="U1855" t="str">
            <v/>
          </cell>
          <cell r="W1855" t="str">
            <v/>
          </cell>
          <cell r="X1855" t="str">
            <v/>
          </cell>
          <cell r="AB1855">
            <v>0</v>
          </cell>
          <cell r="AC1855">
            <v>0</v>
          </cell>
          <cell r="AD1855">
            <v>0</v>
          </cell>
          <cell r="AJ1855">
            <v>0</v>
          </cell>
          <cell r="AK1855">
            <v>0</v>
          </cell>
        </row>
        <row r="1856">
          <cell r="B1856" t="str">
            <v/>
          </cell>
          <cell r="H1856" t="str">
            <v/>
          </cell>
          <cell r="J1856" t="str">
            <v/>
          </cell>
          <cell r="N1856" t="str">
            <v/>
          </cell>
          <cell r="O1856" t="str">
            <v/>
          </cell>
          <cell r="P1856" t="str">
            <v/>
          </cell>
          <cell r="Q1856" t="str">
            <v/>
          </cell>
          <cell r="T1856" t="str">
            <v/>
          </cell>
          <cell r="U1856" t="str">
            <v/>
          </cell>
          <cell r="W1856" t="str">
            <v/>
          </cell>
          <cell r="X1856" t="str">
            <v/>
          </cell>
          <cell r="AB1856">
            <v>0</v>
          </cell>
          <cell r="AC1856">
            <v>0</v>
          </cell>
          <cell r="AD1856">
            <v>0</v>
          </cell>
          <cell r="AJ1856">
            <v>0</v>
          </cell>
          <cell r="AK1856">
            <v>0</v>
          </cell>
        </row>
        <row r="1857">
          <cell r="B1857" t="str">
            <v/>
          </cell>
          <cell r="H1857" t="str">
            <v/>
          </cell>
          <cell r="J1857" t="str">
            <v/>
          </cell>
          <cell r="N1857" t="str">
            <v/>
          </cell>
          <cell r="O1857" t="str">
            <v/>
          </cell>
          <cell r="P1857" t="str">
            <v/>
          </cell>
          <cell r="Q1857" t="str">
            <v/>
          </cell>
          <cell r="T1857" t="str">
            <v/>
          </cell>
          <cell r="U1857" t="str">
            <v/>
          </cell>
          <cell r="W1857" t="str">
            <v/>
          </cell>
          <cell r="X1857" t="str">
            <v/>
          </cell>
          <cell r="AB1857">
            <v>0</v>
          </cell>
          <cell r="AC1857">
            <v>0</v>
          </cell>
          <cell r="AD1857">
            <v>0</v>
          </cell>
          <cell r="AJ1857">
            <v>0</v>
          </cell>
          <cell r="AK1857">
            <v>0</v>
          </cell>
        </row>
        <row r="1858">
          <cell r="B1858" t="str">
            <v/>
          </cell>
          <cell r="H1858" t="str">
            <v/>
          </cell>
          <cell r="J1858" t="str">
            <v/>
          </cell>
          <cell r="N1858" t="str">
            <v/>
          </cell>
          <cell r="O1858" t="str">
            <v/>
          </cell>
          <cell r="P1858" t="str">
            <v/>
          </cell>
          <cell r="Q1858" t="str">
            <v/>
          </cell>
          <cell r="T1858" t="str">
            <v/>
          </cell>
          <cell r="U1858" t="str">
            <v/>
          </cell>
          <cell r="W1858" t="str">
            <v/>
          </cell>
          <cell r="X1858" t="str">
            <v/>
          </cell>
          <cell r="AB1858">
            <v>0</v>
          </cell>
          <cell r="AC1858">
            <v>0</v>
          </cell>
          <cell r="AD1858">
            <v>0</v>
          </cell>
          <cell r="AJ1858">
            <v>0</v>
          </cell>
          <cell r="AK1858">
            <v>0</v>
          </cell>
        </row>
        <row r="1859">
          <cell r="B1859" t="str">
            <v/>
          </cell>
          <cell r="H1859" t="str">
            <v/>
          </cell>
          <cell r="J1859" t="str">
            <v/>
          </cell>
          <cell r="N1859" t="str">
            <v/>
          </cell>
          <cell r="O1859" t="str">
            <v/>
          </cell>
          <cell r="P1859" t="str">
            <v/>
          </cell>
          <cell r="Q1859" t="str">
            <v/>
          </cell>
          <cell r="T1859" t="str">
            <v/>
          </cell>
          <cell r="U1859" t="str">
            <v/>
          </cell>
          <cell r="W1859" t="str">
            <v/>
          </cell>
          <cell r="X1859" t="str">
            <v/>
          </cell>
          <cell r="AB1859">
            <v>0</v>
          </cell>
          <cell r="AC1859">
            <v>0</v>
          </cell>
          <cell r="AD1859">
            <v>0</v>
          </cell>
          <cell r="AJ1859">
            <v>0</v>
          </cell>
          <cell r="AK1859">
            <v>0</v>
          </cell>
        </row>
        <row r="1860">
          <cell r="B1860" t="str">
            <v/>
          </cell>
          <cell r="H1860" t="str">
            <v/>
          </cell>
          <cell r="J1860" t="str">
            <v/>
          </cell>
          <cell r="N1860" t="str">
            <v/>
          </cell>
          <cell r="O1860" t="str">
            <v/>
          </cell>
          <cell r="P1860" t="str">
            <v/>
          </cell>
          <cell r="Q1860" t="str">
            <v/>
          </cell>
          <cell r="T1860" t="str">
            <v/>
          </cell>
          <cell r="U1860" t="str">
            <v/>
          </cell>
          <cell r="W1860" t="str">
            <v/>
          </cell>
          <cell r="X1860" t="str">
            <v/>
          </cell>
          <cell r="AB1860">
            <v>0</v>
          </cell>
          <cell r="AC1860">
            <v>0</v>
          </cell>
          <cell r="AD1860">
            <v>0</v>
          </cell>
          <cell r="AJ1860">
            <v>0</v>
          </cell>
          <cell r="AK1860">
            <v>0</v>
          </cell>
        </row>
        <row r="1861">
          <cell r="B1861" t="str">
            <v/>
          </cell>
          <cell r="H1861" t="str">
            <v/>
          </cell>
          <cell r="J1861" t="str">
            <v/>
          </cell>
          <cell r="N1861" t="str">
            <v/>
          </cell>
          <cell r="O1861" t="str">
            <v/>
          </cell>
          <cell r="P1861" t="str">
            <v/>
          </cell>
          <cell r="Q1861" t="str">
            <v/>
          </cell>
          <cell r="T1861" t="str">
            <v/>
          </cell>
          <cell r="U1861" t="str">
            <v/>
          </cell>
          <cell r="W1861" t="str">
            <v/>
          </cell>
          <cell r="X1861" t="str">
            <v/>
          </cell>
          <cell r="AB1861">
            <v>0</v>
          </cell>
          <cell r="AC1861">
            <v>0</v>
          </cell>
          <cell r="AD1861">
            <v>0</v>
          </cell>
          <cell r="AJ1861">
            <v>0</v>
          </cell>
          <cell r="AK1861">
            <v>0</v>
          </cell>
        </row>
        <row r="1862">
          <cell r="B1862" t="str">
            <v/>
          </cell>
          <cell r="H1862" t="str">
            <v/>
          </cell>
          <cell r="J1862" t="str">
            <v/>
          </cell>
          <cell r="N1862" t="str">
            <v/>
          </cell>
          <cell r="O1862" t="str">
            <v/>
          </cell>
          <cell r="P1862" t="str">
            <v/>
          </cell>
          <cell r="Q1862" t="str">
            <v/>
          </cell>
          <cell r="T1862" t="str">
            <v/>
          </cell>
          <cell r="U1862" t="str">
            <v/>
          </cell>
          <cell r="W1862" t="str">
            <v/>
          </cell>
          <cell r="X1862" t="str">
            <v/>
          </cell>
          <cell r="AB1862">
            <v>0</v>
          </cell>
          <cell r="AC1862">
            <v>0</v>
          </cell>
          <cell r="AD1862">
            <v>0</v>
          </cell>
          <cell r="AJ1862">
            <v>0</v>
          </cell>
          <cell r="AK1862">
            <v>0</v>
          </cell>
        </row>
        <row r="1863">
          <cell r="B1863" t="str">
            <v/>
          </cell>
          <cell r="H1863" t="str">
            <v/>
          </cell>
          <cell r="J1863" t="str">
            <v/>
          </cell>
          <cell r="N1863" t="str">
            <v/>
          </cell>
          <cell r="O1863" t="str">
            <v/>
          </cell>
          <cell r="P1863" t="str">
            <v/>
          </cell>
          <cell r="Q1863" t="str">
            <v/>
          </cell>
          <cell r="T1863" t="str">
            <v/>
          </cell>
          <cell r="U1863" t="str">
            <v/>
          </cell>
          <cell r="W1863" t="str">
            <v/>
          </cell>
          <cell r="X1863" t="str">
            <v/>
          </cell>
          <cell r="AB1863">
            <v>0</v>
          </cell>
          <cell r="AC1863">
            <v>0</v>
          </cell>
          <cell r="AD1863">
            <v>0</v>
          </cell>
          <cell r="AJ1863">
            <v>0</v>
          </cell>
          <cell r="AK1863">
            <v>0</v>
          </cell>
        </row>
        <row r="1864">
          <cell r="B1864" t="str">
            <v/>
          </cell>
          <cell r="H1864" t="str">
            <v/>
          </cell>
          <cell r="J1864" t="str">
            <v/>
          </cell>
          <cell r="N1864" t="str">
            <v/>
          </cell>
          <cell r="O1864" t="str">
            <v/>
          </cell>
          <cell r="P1864" t="str">
            <v/>
          </cell>
          <cell r="Q1864" t="str">
            <v/>
          </cell>
          <cell r="T1864" t="str">
            <v/>
          </cell>
          <cell r="U1864" t="str">
            <v/>
          </cell>
          <cell r="W1864" t="str">
            <v/>
          </cell>
          <cell r="X1864" t="str">
            <v/>
          </cell>
          <cell r="AB1864">
            <v>0</v>
          </cell>
          <cell r="AC1864">
            <v>0</v>
          </cell>
          <cell r="AD1864">
            <v>0</v>
          </cell>
          <cell r="AJ1864">
            <v>0</v>
          </cell>
          <cell r="AK1864">
            <v>0</v>
          </cell>
        </row>
        <row r="1865">
          <cell r="B1865" t="str">
            <v/>
          </cell>
          <cell r="H1865" t="str">
            <v/>
          </cell>
          <cell r="J1865" t="str">
            <v/>
          </cell>
          <cell r="N1865" t="str">
            <v/>
          </cell>
          <cell r="O1865" t="str">
            <v/>
          </cell>
          <cell r="P1865" t="str">
            <v/>
          </cell>
          <cell r="Q1865" t="str">
            <v/>
          </cell>
          <cell r="T1865" t="str">
            <v/>
          </cell>
          <cell r="U1865" t="str">
            <v/>
          </cell>
          <cell r="W1865" t="str">
            <v/>
          </cell>
          <cell r="X1865" t="str">
            <v/>
          </cell>
          <cell r="AB1865">
            <v>0</v>
          </cell>
          <cell r="AC1865">
            <v>0</v>
          </cell>
          <cell r="AD1865">
            <v>0</v>
          </cell>
          <cell r="AJ1865">
            <v>0</v>
          </cell>
          <cell r="AK1865">
            <v>0</v>
          </cell>
        </row>
        <row r="1866">
          <cell r="B1866" t="str">
            <v/>
          </cell>
          <cell r="H1866" t="str">
            <v/>
          </cell>
          <cell r="J1866" t="str">
            <v/>
          </cell>
          <cell r="N1866" t="str">
            <v/>
          </cell>
          <cell r="O1866" t="str">
            <v/>
          </cell>
          <cell r="P1866" t="str">
            <v/>
          </cell>
          <cell r="Q1866" t="str">
            <v/>
          </cell>
          <cell r="T1866" t="str">
            <v/>
          </cell>
          <cell r="U1866" t="str">
            <v/>
          </cell>
          <cell r="W1866" t="str">
            <v/>
          </cell>
          <cell r="X1866" t="str">
            <v/>
          </cell>
          <cell r="AB1866">
            <v>0</v>
          </cell>
          <cell r="AC1866">
            <v>0</v>
          </cell>
          <cell r="AD1866">
            <v>0</v>
          </cell>
          <cell r="AJ1866">
            <v>0</v>
          </cell>
          <cell r="AK1866">
            <v>0</v>
          </cell>
        </row>
        <row r="1867">
          <cell r="B1867" t="str">
            <v/>
          </cell>
          <cell r="H1867" t="str">
            <v/>
          </cell>
          <cell r="J1867" t="str">
            <v/>
          </cell>
          <cell r="N1867" t="str">
            <v/>
          </cell>
          <cell r="O1867" t="str">
            <v/>
          </cell>
          <cell r="P1867" t="str">
            <v/>
          </cell>
          <cell r="Q1867" t="str">
            <v/>
          </cell>
          <cell r="T1867" t="str">
            <v/>
          </cell>
          <cell r="U1867" t="str">
            <v/>
          </cell>
          <cell r="W1867" t="str">
            <v/>
          </cell>
          <cell r="X1867" t="str">
            <v/>
          </cell>
          <cell r="AB1867">
            <v>0</v>
          </cell>
          <cell r="AC1867">
            <v>0</v>
          </cell>
          <cell r="AD1867">
            <v>0</v>
          </cell>
          <cell r="AJ1867">
            <v>0</v>
          </cell>
          <cell r="AK1867">
            <v>0</v>
          </cell>
        </row>
        <row r="1868">
          <cell r="B1868" t="str">
            <v/>
          </cell>
          <cell r="H1868" t="str">
            <v/>
          </cell>
          <cell r="J1868" t="str">
            <v/>
          </cell>
          <cell r="N1868" t="str">
            <v/>
          </cell>
          <cell r="O1868" t="str">
            <v/>
          </cell>
          <cell r="P1868" t="str">
            <v/>
          </cell>
          <cell r="Q1868" t="str">
            <v/>
          </cell>
          <cell r="T1868" t="str">
            <v/>
          </cell>
          <cell r="U1868" t="str">
            <v/>
          </cell>
          <cell r="W1868" t="str">
            <v/>
          </cell>
          <cell r="X1868" t="str">
            <v/>
          </cell>
          <cell r="AB1868">
            <v>0</v>
          </cell>
          <cell r="AC1868">
            <v>0</v>
          </cell>
          <cell r="AD1868">
            <v>0</v>
          </cell>
          <cell r="AJ1868">
            <v>0</v>
          </cell>
          <cell r="AK1868">
            <v>0</v>
          </cell>
        </row>
        <row r="1869">
          <cell r="B1869" t="str">
            <v/>
          </cell>
          <cell r="H1869" t="str">
            <v/>
          </cell>
          <cell r="J1869" t="str">
            <v/>
          </cell>
          <cell r="N1869" t="str">
            <v/>
          </cell>
          <cell r="O1869" t="str">
            <v/>
          </cell>
          <cell r="P1869" t="str">
            <v/>
          </cell>
          <cell r="Q1869" t="str">
            <v/>
          </cell>
          <cell r="T1869" t="str">
            <v/>
          </cell>
          <cell r="U1869" t="str">
            <v/>
          </cell>
          <cell r="W1869" t="str">
            <v/>
          </cell>
          <cell r="X1869" t="str">
            <v/>
          </cell>
          <cell r="AB1869">
            <v>0</v>
          </cell>
          <cell r="AC1869">
            <v>0</v>
          </cell>
          <cell r="AD1869">
            <v>0</v>
          </cell>
          <cell r="AJ1869">
            <v>0</v>
          </cell>
          <cell r="AK1869">
            <v>0</v>
          </cell>
        </row>
        <row r="1870">
          <cell r="B1870" t="str">
            <v/>
          </cell>
          <cell r="H1870" t="str">
            <v/>
          </cell>
          <cell r="J1870" t="str">
            <v/>
          </cell>
          <cell r="N1870" t="str">
            <v/>
          </cell>
          <cell r="O1870" t="str">
            <v/>
          </cell>
          <cell r="P1870" t="str">
            <v/>
          </cell>
          <cell r="Q1870" t="str">
            <v/>
          </cell>
          <cell r="T1870" t="str">
            <v/>
          </cell>
          <cell r="U1870" t="str">
            <v/>
          </cell>
          <cell r="W1870" t="str">
            <v/>
          </cell>
          <cell r="X1870" t="str">
            <v/>
          </cell>
          <cell r="AB1870">
            <v>0</v>
          </cell>
          <cell r="AC1870">
            <v>0</v>
          </cell>
          <cell r="AD1870">
            <v>0</v>
          </cell>
          <cell r="AJ1870">
            <v>0</v>
          </cell>
          <cell r="AK1870">
            <v>0</v>
          </cell>
        </row>
        <row r="1871">
          <cell r="B1871" t="str">
            <v/>
          </cell>
          <cell r="H1871" t="str">
            <v/>
          </cell>
          <cell r="J1871" t="str">
            <v/>
          </cell>
          <cell r="N1871" t="str">
            <v/>
          </cell>
          <cell r="O1871" t="str">
            <v/>
          </cell>
          <cell r="P1871" t="str">
            <v/>
          </cell>
          <cell r="Q1871" t="str">
            <v/>
          </cell>
          <cell r="T1871" t="str">
            <v/>
          </cell>
          <cell r="U1871" t="str">
            <v/>
          </cell>
          <cell r="W1871" t="str">
            <v/>
          </cell>
          <cell r="X1871" t="str">
            <v/>
          </cell>
          <cell r="AB1871">
            <v>0</v>
          </cell>
          <cell r="AC1871">
            <v>0</v>
          </cell>
          <cell r="AD1871">
            <v>0</v>
          </cell>
          <cell r="AJ1871">
            <v>0</v>
          </cell>
          <cell r="AK1871">
            <v>0</v>
          </cell>
        </row>
        <row r="1872">
          <cell r="B1872" t="str">
            <v/>
          </cell>
          <cell r="H1872" t="str">
            <v/>
          </cell>
          <cell r="J1872" t="str">
            <v/>
          </cell>
          <cell r="N1872" t="str">
            <v/>
          </cell>
          <cell r="O1872" t="str">
            <v/>
          </cell>
          <cell r="P1872" t="str">
            <v/>
          </cell>
          <cell r="Q1872" t="str">
            <v/>
          </cell>
          <cell r="T1872" t="str">
            <v/>
          </cell>
          <cell r="U1872" t="str">
            <v/>
          </cell>
          <cell r="W1872" t="str">
            <v/>
          </cell>
          <cell r="X1872" t="str">
            <v/>
          </cell>
          <cell r="AB1872">
            <v>0</v>
          </cell>
          <cell r="AC1872">
            <v>0</v>
          </cell>
          <cell r="AD1872">
            <v>0</v>
          </cell>
          <cell r="AJ1872">
            <v>0</v>
          </cell>
          <cell r="AK1872">
            <v>0</v>
          </cell>
        </row>
        <row r="1873">
          <cell r="B1873" t="str">
            <v/>
          </cell>
          <cell r="H1873" t="str">
            <v/>
          </cell>
          <cell r="J1873" t="str">
            <v/>
          </cell>
          <cell r="N1873" t="str">
            <v/>
          </cell>
          <cell r="O1873" t="str">
            <v/>
          </cell>
          <cell r="P1873" t="str">
            <v/>
          </cell>
          <cell r="Q1873" t="str">
            <v/>
          </cell>
          <cell r="T1873" t="str">
            <v/>
          </cell>
          <cell r="U1873" t="str">
            <v/>
          </cell>
          <cell r="W1873" t="str">
            <v/>
          </cell>
          <cell r="X1873" t="str">
            <v/>
          </cell>
          <cell r="AB1873">
            <v>0</v>
          </cell>
          <cell r="AC1873">
            <v>0</v>
          </cell>
          <cell r="AD1873">
            <v>0</v>
          </cell>
          <cell r="AJ1873">
            <v>0</v>
          </cell>
          <cell r="AK1873">
            <v>0</v>
          </cell>
        </row>
        <row r="1874">
          <cell r="B1874" t="str">
            <v/>
          </cell>
          <cell r="H1874" t="str">
            <v/>
          </cell>
          <cell r="J1874" t="str">
            <v/>
          </cell>
          <cell r="N1874" t="str">
            <v/>
          </cell>
          <cell r="O1874" t="str">
            <v/>
          </cell>
          <cell r="P1874" t="str">
            <v/>
          </cell>
          <cell r="Q1874" t="str">
            <v/>
          </cell>
          <cell r="T1874" t="str">
            <v/>
          </cell>
          <cell r="U1874" t="str">
            <v/>
          </cell>
          <cell r="W1874" t="str">
            <v/>
          </cell>
          <cell r="X1874" t="str">
            <v/>
          </cell>
          <cell r="AB1874">
            <v>0</v>
          </cell>
          <cell r="AC1874">
            <v>0</v>
          </cell>
          <cell r="AD1874">
            <v>0</v>
          </cell>
          <cell r="AJ1874">
            <v>0</v>
          </cell>
          <cell r="AK1874">
            <v>0</v>
          </cell>
        </row>
        <row r="1875">
          <cell r="B1875" t="str">
            <v/>
          </cell>
          <cell r="H1875" t="str">
            <v/>
          </cell>
          <cell r="J1875" t="str">
            <v/>
          </cell>
          <cell r="N1875" t="str">
            <v/>
          </cell>
          <cell r="O1875" t="str">
            <v/>
          </cell>
          <cell r="P1875" t="str">
            <v/>
          </cell>
          <cell r="Q1875" t="str">
            <v/>
          </cell>
          <cell r="T1875" t="str">
            <v/>
          </cell>
          <cell r="U1875" t="str">
            <v/>
          </cell>
          <cell r="W1875" t="str">
            <v/>
          </cell>
          <cell r="X1875" t="str">
            <v/>
          </cell>
          <cell r="AB1875">
            <v>0</v>
          </cell>
          <cell r="AC1875">
            <v>0</v>
          </cell>
          <cell r="AD1875">
            <v>0</v>
          </cell>
          <cell r="AJ1875">
            <v>0</v>
          </cell>
          <cell r="AK1875">
            <v>0</v>
          </cell>
        </row>
        <row r="1876">
          <cell r="B1876" t="str">
            <v/>
          </cell>
          <cell r="H1876" t="str">
            <v/>
          </cell>
          <cell r="J1876" t="str">
            <v/>
          </cell>
          <cell r="N1876" t="str">
            <v/>
          </cell>
          <cell r="O1876" t="str">
            <v/>
          </cell>
          <cell r="P1876" t="str">
            <v/>
          </cell>
          <cell r="Q1876" t="str">
            <v/>
          </cell>
          <cell r="T1876" t="str">
            <v/>
          </cell>
          <cell r="U1876" t="str">
            <v/>
          </cell>
          <cell r="W1876" t="str">
            <v/>
          </cell>
          <cell r="X1876" t="str">
            <v/>
          </cell>
          <cell r="AB1876">
            <v>0</v>
          </cell>
          <cell r="AC1876">
            <v>0</v>
          </cell>
          <cell r="AD1876">
            <v>0</v>
          </cell>
          <cell r="AJ1876">
            <v>0</v>
          </cell>
          <cell r="AK1876">
            <v>0</v>
          </cell>
        </row>
        <row r="1877">
          <cell r="B1877" t="str">
            <v/>
          </cell>
          <cell r="H1877" t="str">
            <v/>
          </cell>
          <cell r="J1877" t="str">
            <v/>
          </cell>
          <cell r="N1877" t="str">
            <v/>
          </cell>
          <cell r="O1877" t="str">
            <v/>
          </cell>
          <cell r="P1877" t="str">
            <v/>
          </cell>
          <cell r="Q1877" t="str">
            <v/>
          </cell>
          <cell r="T1877" t="str">
            <v/>
          </cell>
          <cell r="U1877" t="str">
            <v/>
          </cell>
          <cell r="W1877" t="str">
            <v/>
          </cell>
          <cell r="X1877" t="str">
            <v/>
          </cell>
          <cell r="AB1877">
            <v>0</v>
          </cell>
          <cell r="AC1877">
            <v>0</v>
          </cell>
          <cell r="AD1877">
            <v>0</v>
          </cell>
          <cell r="AJ1877">
            <v>0</v>
          </cell>
          <cell r="AK1877">
            <v>0</v>
          </cell>
        </row>
        <row r="1878">
          <cell r="B1878" t="str">
            <v/>
          </cell>
          <cell r="H1878" t="str">
            <v/>
          </cell>
          <cell r="J1878" t="str">
            <v/>
          </cell>
          <cell r="N1878" t="str">
            <v/>
          </cell>
          <cell r="O1878" t="str">
            <v/>
          </cell>
          <cell r="P1878" t="str">
            <v/>
          </cell>
          <cell r="Q1878" t="str">
            <v/>
          </cell>
          <cell r="T1878" t="str">
            <v/>
          </cell>
          <cell r="U1878" t="str">
            <v/>
          </cell>
          <cell r="W1878" t="str">
            <v/>
          </cell>
          <cell r="X1878" t="str">
            <v/>
          </cell>
          <cell r="AB1878">
            <v>0</v>
          </cell>
          <cell r="AC1878">
            <v>0</v>
          </cell>
          <cell r="AD1878">
            <v>0</v>
          </cell>
          <cell r="AJ1878">
            <v>0</v>
          </cell>
          <cell r="AK1878">
            <v>0</v>
          </cell>
        </row>
        <row r="1879">
          <cell r="B1879" t="str">
            <v/>
          </cell>
          <cell r="H1879" t="str">
            <v/>
          </cell>
          <cell r="J1879" t="str">
            <v/>
          </cell>
          <cell r="N1879" t="str">
            <v/>
          </cell>
          <cell r="O1879" t="str">
            <v/>
          </cell>
          <cell r="P1879" t="str">
            <v/>
          </cell>
          <cell r="Q1879" t="str">
            <v/>
          </cell>
          <cell r="T1879" t="str">
            <v/>
          </cell>
          <cell r="U1879" t="str">
            <v/>
          </cell>
          <cell r="W1879" t="str">
            <v/>
          </cell>
          <cell r="X1879" t="str">
            <v/>
          </cell>
          <cell r="AB1879">
            <v>0</v>
          </cell>
          <cell r="AC1879">
            <v>0</v>
          </cell>
          <cell r="AD1879">
            <v>0</v>
          </cell>
          <cell r="AJ1879">
            <v>0</v>
          </cell>
          <cell r="AK1879">
            <v>0</v>
          </cell>
        </row>
        <row r="1880">
          <cell r="B1880" t="str">
            <v/>
          </cell>
          <cell r="H1880" t="str">
            <v/>
          </cell>
          <cell r="J1880" t="str">
            <v/>
          </cell>
          <cell r="N1880" t="str">
            <v/>
          </cell>
          <cell r="O1880" t="str">
            <v/>
          </cell>
          <cell r="P1880" t="str">
            <v/>
          </cell>
          <cell r="Q1880" t="str">
            <v/>
          </cell>
          <cell r="T1880" t="str">
            <v/>
          </cell>
          <cell r="U1880" t="str">
            <v/>
          </cell>
          <cell r="W1880" t="str">
            <v/>
          </cell>
          <cell r="X1880" t="str">
            <v/>
          </cell>
          <cell r="AB1880">
            <v>0</v>
          </cell>
          <cell r="AC1880">
            <v>0</v>
          </cell>
          <cell r="AD1880">
            <v>0</v>
          </cell>
          <cell r="AJ1880">
            <v>0</v>
          </cell>
          <cell r="AK1880">
            <v>0</v>
          </cell>
        </row>
        <row r="1881">
          <cell r="B1881" t="str">
            <v/>
          </cell>
          <cell r="H1881" t="str">
            <v/>
          </cell>
          <cell r="J1881" t="str">
            <v/>
          </cell>
          <cell r="N1881" t="str">
            <v/>
          </cell>
          <cell r="O1881" t="str">
            <v/>
          </cell>
          <cell r="P1881" t="str">
            <v/>
          </cell>
          <cell r="Q1881" t="str">
            <v/>
          </cell>
          <cell r="T1881" t="str">
            <v/>
          </cell>
          <cell r="U1881" t="str">
            <v/>
          </cell>
          <cell r="W1881" t="str">
            <v/>
          </cell>
          <cell r="X1881" t="str">
            <v/>
          </cell>
          <cell r="AB1881">
            <v>0</v>
          </cell>
          <cell r="AC1881">
            <v>0</v>
          </cell>
          <cell r="AD1881">
            <v>0</v>
          </cell>
          <cell r="AJ1881">
            <v>0</v>
          </cell>
          <cell r="AK1881">
            <v>0</v>
          </cell>
        </row>
        <row r="1882">
          <cell r="B1882" t="str">
            <v/>
          </cell>
          <cell r="H1882" t="str">
            <v/>
          </cell>
          <cell r="J1882" t="str">
            <v/>
          </cell>
          <cell r="N1882" t="str">
            <v/>
          </cell>
          <cell r="O1882" t="str">
            <v/>
          </cell>
          <cell r="P1882" t="str">
            <v/>
          </cell>
          <cell r="Q1882" t="str">
            <v/>
          </cell>
          <cell r="T1882" t="str">
            <v/>
          </cell>
          <cell r="U1882" t="str">
            <v/>
          </cell>
          <cell r="W1882" t="str">
            <v/>
          </cell>
          <cell r="X1882" t="str">
            <v/>
          </cell>
          <cell r="AB1882">
            <v>0</v>
          </cell>
          <cell r="AC1882">
            <v>0</v>
          </cell>
          <cell r="AD1882">
            <v>0</v>
          </cell>
          <cell r="AJ1882">
            <v>0</v>
          </cell>
          <cell r="AK1882">
            <v>0</v>
          </cell>
        </row>
        <row r="1883">
          <cell r="B1883" t="str">
            <v/>
          </cell>
          <cell r="H1883" t="str">
            <v/>
          </cell>
          <cell r="J1883" t="str">
            <v/>
          </cell>
          <cell r="N1883" t="str">
            <v/>
          </cell>
          <cell r="O1883" t="str">
            <v/>
          </cell>
          <cell r="P1883" t="str">
            <v/>
          </cell>
          <cell r="Q1883" t="str">
            <v/>
          </cell>
          <cell r="T1883" t="str">
            <v/>
          </cell>
          <cell r="U1883" t="str">
            <v/>
          </cell>
          <cell r="W1883" t="str">
            <v/>
          </cell>
          <cell r="X1883" t="str">
            <v/>
          </cell>
          <cell r="AB1883">
            <v>0</v>
          </cell>
          <cell r="AC1883">
            <v>0</v>
          </cell>
          <cell r="AD1883">
            <v>0</v>
          </cell>
          <cell r="AJ1883">
            <v>0</v>
          </cell>
          <cell r="AK1883">
            <v>0</v>
          </cell>
        </row>
        <row r="1884">
          <cell r="B1884" t="str">
            <v/>
          </cell>
          <cell r="H1884" t="str">
            <v/>
          </cell>
          <cell r="J1884" t="str">
            <v/>
          </cell>
          <cell r="N1884" t="str">
            <v/>
          </cell>
          <cell r="O1884" t="str">
            <v/>
          </cell>
          <cell r="P1884" t="str">
            <v/>
          </cell>
          <cell r="Q1884" t="str">
            <v/>
          </cell>
          <cell r="T1884" t="str">
            <v/>
          </cell>
          <cell r="U1884" t="str">
            <v/>
          </cell>
          <cell r="W1884" t="str">
            <v/>
          </cell>
          <cell r="X1884" t="str">
            <v/>
          </cell>
          <cell r="AB1884">
            <v>0</v>
          </cell>
          <cell r="AC1884">
            <v>0</v>
          </cell>
          <cell r="AD1884">
            <v>0</v>
          </cell>
          <cell r="AJ1884">
            <v>0</v>
          </cell>
          <cell r="AK1884">
            <v>0</v>
          </cell>
        </row>
        <row r="1885">
          <cell r="B1885" t="str">
            <v/>
          </cell>
          <cell r="H1885" t="str">
            <v/>
          </cell>
          <cell r="J1885" t="str">
            <v/>
          </cell>
          <cell r="N1885" t="str">
            <v/>
          </cell>
          <cell r="O1885" t="str">
            <v/>
          </cell>
          <cell r="P1885" t="str">
            <v/>
          </cell>
          <cell r="Q1885" t="str">
            <v/>
          </cell>
          <cell r="T1885" t="str">
            <v/>
          </cell>
          <cell r="U1885" t="str">
            <v/>
          </cell>
          <cell r="W1885" t="str">
            <v/>
          </cell>
          <cell r="X1885" t="str">
            <v/>
          </cell>
          <cell r="AB1885">
            <v>0</v>
          </cell>
          <cell r="AC1885">
            <v>0</v>
          </cell>
          <cell r="AD1885">
            <v>0</v>
          </cell>
          <cell r="AJ1885">
            <v>0</v>
          </cell>
          <cell r="AK1885">
            <v>0</v>
          </cell>
        </row>
        <row r="1886">
          <cell r="B1886" t="str">
            <v/>
          </cell>
          <cell r="H1886" t="str">
            <v/>
          </cell>
          <cell r="J1886" t="str">
            <v/>
          </cell>
          <cell r="N1886" t="str">
            <v/>
          </cell>
          <cell r="O1886" t="str">
            <v/>
          </cell>
          <cell r="P1886" t="str">
            <v/>
          </cell>
          <cell r="Q1886" t="str">
            <v/>
          </cell>
          <cell r="T1886" t="str">
            <v/>
          </cell>
          <cell r="U1886" t="str">
            <v/>
          </cell>
          <cell r="W1886" t="str">
            <v/>
          </cell>
          <cell r="X1886" t="str">
            <v/>
          </cell>
          <cell r="AB1886">
            <v>0</v>
          </cell>
          <cell r="AC1886">
            <v>0</v>
          </cell>
          <cell r="AD1886">
            <v>0</v>
          </cell>
          <cell r="AJ1886">
            <v>0</v>
          </cell>
          <cell r="AK1886">
            <v>0</v>
          </cell>
        </row>
        <row r="1887">
          <cell r="B1887" t="str">
            <v/>
          </cell>
          <cell r="H1887" t="str">
            <v/>
          </cell>
          <cell r="J1887" t="str">
            <v/>
          </cell>
          <cell r="N1887" t="str">
            <v/>
          </cell>
          <cell r="O1887" t="str">
            <v/>
          </cell>
          <cell r="P1887" t="str">
            <v/>
          </cell>
          <cell r="Q1887" t="str">
            <v/>
          </cell>
          <cell r="T1887" t="str">
            <v/>
          </cell>
          <cell r="U1887" t="str">
            <v/>
          </cell>
          <cell r="W1887" t="str">
            <v/>
          </cell>
          <cell r="X1887" t="str">
            <v/>
          </cell>
          <cell r="AB1887">
            <v>0</v>
          </cell>
          <cell r="AC1887">
            <v>0</v>
          </cell>
          <cell r="AD1887">
            <v>0</v>
          </cell>
          <cell r="AJ1887">
            <v>0</v>
          </cell>
          <cell r="AK1887">
            <v>0</v>
          </cell>
        </row>
        <row r="1888">
          <cell r="B1888" t="str">
            <v/>
          </cell>
          <cell r="H1888" t="str">
            <v/>
          </cell>
          <cell r="J1888" t="str">
            <v/>
          </cell>
          <cell r="N1888" t="str">
            <v/>
          </cell>
          <cell r="O1888" t="str">
            <v/>
          </cell>
          <cell r="P1888" t="str">
            <v/>
          </cell>
          <cell r="Q1888" t="str">
            <v/>
          </cell>
          <cell r="T1888" t="str">
            <v/>
          </cell>
          <cell r="U1888" t="str">
            <v/>
          </cell>
          <cell r="W1888" t="str">
            <v/>
          </cell>
          <cell r="X1888" t="str">
            <v/>
          </cell>
          <cell r="AB1888">
            <v>0</v>
          </cell>
          <cell r="AC1888">
            <v>0</v>
          </cell>
          <cell r="AD1888">
            <v>0</v>
          </cell>
          <cell r="AJ1888">
            <v>0</v>
          </cell>
          <cell r="AK1888">
            <v>0</v>
          </cell>
        </row>
        <row r="1889">
          <cell r="B1889" t="str">
            <v/>
          </cell>
          <cell r="H1889" t="str">
            <v/>
          </cell>
          <cell r="J1889" t="str">
            <v/>
          </cell>
          <cell r="N1889" t="str">
            <v/>
          </cell>
          <cell r="O1889" t="str">
            <v/>
          </cell>
          <cell r="P1889" t="str">
            <v/>
          </cell>
          <cell r="Q1889" t="str">
            <v/>
          </cell>
          <cell r="T1889" t="str">
            <v/>
          </cell>
          <cell r="U1889" t="str">
            <v/>
          </cell>
          <cell r="W1889" t="str">
            <v/>
          </cell>
          <cell r="X1889" t="str">
            <v/>
          </cell>
          <cell r="AB1889">
            <v>0</v>
          </cell>
          <cell r="AC1889">
            <v>0</v>
          </cell>
          <cell r="AD1889">
            <v>0</v>
          </cell>
          <cell r="AJ1889">
            <v>0</v>
          </cell>
          <cell r="AK1889">
            <v>0</v>
          </cell>
        </row>
        <row r="1890">
          <cell r="B1890" t="str">
            <v/>
          </cell>
          <cell r="H1890" t="str">
            <v/>
          </cell>
          <cell r="J1890" t="str">
            <v/>
          </cell>
          <cell r="N1890" t="str">
            <v/>
          </cell>
          <cell r="O1890" t="str">
            <v/>
          </cell>
          <cell r="P1890" t="str">
            <v/>
          </cell>
          <cell r="Q1890" t="str">
            <v/>
          </cell>
          <cell r="T1890" t="str">
            <v/>
          </cell>
          <cell r="U1890" t="str">
            <v/>
          </cell>
          <cell r="W1890" t="str">
            <v/>
          </cell>
          <cell r="X1890" t="str">
            <v/>
          </cell>
          <cell r="AB1890">
            <v>0</v>
          </cell>
          <cell r="AC1890">
            <v>0</v>
          </cell>
          <cell r="AD1890">
            <v>0</v>
          </cell>
          <cell r="AJ1890">
            <v>0</v>
          </cell>
          <cell r="AK1890">
            <v>0</v>
          </cell>
        </row>
        <row r="1891">
          <cell r="B1891" t="str">
            <v/>
          </cell>
          <cell r="H1891" t="str">
            <v/>
          </cell>
          <cell r="J1891" t="str">
            <v/>
          </cell>
          <cell r="N1891" t="str">
            <v/>
          </cell>
          <cell r="O1891" t="str">
            <v/>
          </cell>
          <cell r="P1891" t="str">
            <v/>
          </cell>
          <cell r="Q1891" t="str">
            <v/>
          </cell>
          <cell r="T1891" t="str">
            <v/>
          </cell>
          <cell r="U1891" t="str">
            <v/>
          </cell>
          <cell r="W1891" t="str">
            <v/>
          </cell>
          <cell r="X1891" t="str">
            <v/>
          </cell>
          <cell r="AB1891">
            <v>0</v>
          </cell>
          <cell r="AC1891">
            <v>0</v>
          </cell>
          <cell r="AD1891">
            <v>0</v>
          </cell>
          <cell r="AJ1891">
            <v>0</v>
          </cell>
          <cell r="AK1891">
            <v>0</v>
          </cell>
        </row>
        <row r="1892">
          <cell r="B1892" t="str">
            <v/>
          </cell>
          <cell r="H1892" t="str">
            <v/>
          </cell>
          <cell r="J1892" t="str">
            <v/>
          </cell>
          <cell r="N1892" t="str">
            <v/>
          </cell>
          <cell r="O1892" t="str">
            <v/>
          </cell>
          <cell r="P1892" t="str">
            <v/>
          </cell>
          <cell r="Q1892" t="str">
            <v/>
          </cell>
          <cell r="T1892" t="str">
            <v/>
          </cell>
          <cell r="U1892" t="str">
            <v/>
          </cell>
          <cell r="W1892" t="str">
            <v/>
          </cell>
          <cell r="X1892" t="str">
            <v/>
          </cell>
          <cell r="AB1892">
            <v>0</v>
          </cell>
          <cell r="AC1892">
            <v>0</v>
          </cell>
          <cell r="AD1892">
            <v>0</v>
          </cell>
          <cell r="AJ1892">
            <v>0</v>
          </cell>
          <cell r="AK1892">
            <v>0</v>
          </cell>
        </row>
        <row r="1893">
          <cell r="B1893" t="str">
            <v/>
          </cell>
          <cell r="H1893" t="str">
            <v/>
          </cell>
          <cell r="J1893" t="str">
            <v/>
          </cell>
          <cell r="N1893" t="str">
            <v/>
          </cell>
          <cell r="O1893" t="str">
            <v/>
          </cell>
          <cell r="P1893" t="str">
            <v/>
          </cell>
          <cell r="Q1893" t="str">
            <v/>
          </cell>
          <cell r="T1893" t="str">
            <v/>
          </cell>
          <cell r="U1893" t="str">
            <v/>
          </cell>
          <cell r="W1893" t="str">
            <v/>
          </cell>
          <cell r="X1893" t="str">
            <v/>
          </cell>
          <cell r="AB1893">
            <v>0</v>
          </cell>
          <cell r="AC1893">
            <v>0</v>
          </cell>
          <cell r="AD1893">
            <v>0</v>
          </cell>
          <cell r="AJ1893">
            <v>0</v>
          </cell>
          <cell r="AK1893">
            <v>0</v>
          </cell>
        </row>
        <row r="1894">
          <cell r="B1894" t="str">
            <v/>
          </cell>
          <cell r="H1894" t="str">
            <v/>
          </cell>
          <cell r="J1894" t="str">
            <v/>
          </cell>
          <cell r="N1894" t="str">
            <v/>
          </cell>
          <cell r="O1894" t="str">
            <v/>
          </cell>
          <cell r="P1894" t="str">
            <v/>
          </cell>
          <cell r="Q1894" t="str">
            <v/>
          </cell>
          <cell r="T1894" t="str">
            <v/>
          </cell>
          <cell r="U1894" t="str">
            <v/>
          </cell>
          <cell r="W1894" t="str">
            <v/>
          </cell>
          <cell r="X1894" t="str">
            <v/>
          </cell>
          <cell r="AB1894">
            <v>0</v>
          </cell>
          <cell r="AC1894">
            <v>0</v>
          </cell>
          <cell r="AD1894">
            <v>0</v>
          </cell>
          <cell r="AJ1894">
            <v>0</v>
          </cell>
          <cell r="AK1894">
            <v>0</v>
          </cell>
        </row>
        <row r="1895">
          <cell r="B1895" t="str">
            <v/>
          </cell>
          <cell r="H1895" t="str">
            <v/>
          </cell>
          <cell r="J1895" t="str">
            <v/>
          </cell>
          <cell r="N1895" t="str">
            <v/>
          </cell>
          <cell r="O1895" t="str">
            <v/>
          </cell>
          <cell r="P1895" t="str">
            <v/>
          </cell>
          <cell r="Q1895" t="str">
            <v/>
          </cell>
          <cell r="T1895" t="str">
            <v/>
          </cell>
          <cell r="U1895" t="str">
            <v/>
          </cell>
          <cell r="W1895" t="str">
            <v/>
          </cell>
          <cell r="X1895" t="str">
            <v/>
          </cell>
          <cell r="AB1895">
            <v>0</v>
          </cell>
          <cell r="AC1895">
            <v>0</v>
          </cell>
          <cell r="AD1895">
            <v>0</v>
          </cell>
          <cell r="AJ1895">
            <v>0</v>
          </cell>
          <cell r="AK1895">
            <v>0</v>
          </cell>
        </row>
        <row r="1896">
          <cell r="B1896" t="str">
            <v/>
          </cell>
          <cell r="H1896" t="str">
            <v/>
          </cell>
          <cell r="J1896" t="str">
            <v/>
          </cell>
          <cell r="N1896" t="str">
            <v/>
          </cell>
          <cell r="O1896" t="str">
            <v/>
          </cell>
          <cell r="P1896" t="str">
            <v/>
          </cell>
          <cell r="Q1896" t="str">
            <v/>
          </cell>
          <cell r="T1896" t="str">
            <v/>
          </cell>
          <cell r="U1896" t="str">
            <v/>
          </cell>
          <cell r="W1896" t="str">
            <v/>
          </cell>
          <cell r="X1896" t="str">
            <v/>
          </cell>
          <cell r="AB1896">
            <v>0</v>
          </cell>
          <cell r="AC1896">
            <v>0</v>
          </cell>
          <cell r="AD1896">
            <v>0</v>
          </cell>
          <cell r="AJ1896">
            <v>0</v>
          </cell>
          <cell r="AK1896">
            <v>0</v>
          </cell>
        </row>
        <row r="1897">
          <cell r="B1897" t="str">
            <v/>
          </cell>
          <cell r="H1897" t="str">
            <v/>
          </cell>
          <cell r="J1897" t="str">
            <v/>
          </cell>
          <cell r="N1897" t="str">
            <v/>
          </cell>
          <cell r="O1897" t="str">
            <v/>
          </cell>
          <cell r="P1897" t="str">
            <v/>
          </cell>
          <cell r="Q1897" t="str">
            <v/>
          </cell>
          <cell r="T1897" t="str">
            <v/>
          </cell>
          <cell r="U1897" t="str">
            <v/>
          </cell>
          <cell r="W1897" t="str">
            <v/>
          </cell>
          <cell r="X1897" t="str">
            <v/>
          </cell>
          <cell r="AB1897">
            <v>0</v>
          </cell>
          <cell r="AC1897">
            <v>0</v>
          </cell>
          <cell r="AD1897">
            <v>0</v>
          </cell>
          <cell r="AJ1897">
            <v>0</v>
          </cell>
          <cell r="AK1897">
            <v>0</v>
          </cell>
        </row>
        <row r="1898">
          <cell r="B1898" t="str">
            <v/>
          </cell>
          <cell r="H1898" t="str">
            <v/>
          </cell>
          <cell r="J1898" t="str">
            <v/>
          </cell>
          <cell r="N1898" t="str">
            <v/>
          </cell>
          <cell r="O1898" t="str">
            <v/>
          </cell>
          <cell r="P1898" t="str">
            <v/>
          </cell>
          <cell r="Q1898" t="str">
            <v/>
          </cell>
          <cell r="T1898" t="str">
            <v/>
          </cell>
          <cell r="U1898" t="str">
            <v/>
          </cell>
          <cell r="W1898" t="str">
            <v/>
          </cell>
          <cell r="X1898" t="str">
            <v/>
          </cell>
          <cell r="AB1898">
            <v>0</v>
          </cell>
          <cell r="AC1898">
            <v>0</v>
          </cell>
          <cell r="AD1898">
            <v>0</v>
          </cell>
          <cell r="AJ1898">
            <v>0</v>
          </cell>
          <cell r="AK1898">
            <v>0</v>
          </cell>
        </row>
        <row r="1899">
          <cell r="B1899" t="str">
            <v/>
          </cell>
          <cell r="H1899" t="str">
            <v/>
          </cell>
          <cell r="J1899" t="str">
            <v/>
          </cell>
          <cell r="N1899" t="str">
            <v/>
          </cell>
          <cell r="O1899" t="str">
            <v/>
          </cell>
          <cell r="P1899" t="str">
            <v/>
          </cell>
          <cell r="Q1899" t="str">
            <v/>
          </cell>
          <cell r="T1899" t="str">
            <v/>
          </cell>
          <cell r="U1899" t="str">
            <v/>
          </cell>
          <cell r="W1899" t="str">
            <v/>
          </cell>
          <cell r="X1899" t="str">
            <v/>
          </cell>
          <cell r="AB1899">
            <v>0</v>
          </cell>
          <cell r="AC1899">
            <v>0</v>
          </cell>
          <cell r="AD1899">
            <v>0</v>
          </cell>
          <cell r="AJ1899">
            <v>0</v>
          </cell>
          <cell r="AK1899">
            <v>0</v>
          </cell>
        </row>
        <row r="1900">
          <cell r="B1900" t="str">
            <v/>
          </cell>
          <cell r="H1900" t="str">
            <v/>
          </cell>
          <cell r="J1900" t="str">
            <v/>
          </cell>
          <cell r="N1900" t="str">
            <v/>
          </cell>
          <cell r="O1900" t="str">
            <v/>
          </cell>
          <cell r="P1900" t="str">
            <v/>
          </cell>
          <cell r="Q1900" t="str">
            <v/>
          </cell>
          <cell r="T1900" t="str">
            <v/>
          </cell>
          <cell r="U1900" t="str">
            <v/>
          </cell>
          <cell r="W1900" t="str">
            <v/>
          </cell>
          <cell r="X1900" t="str">
            <v/>
          </cell>
          <cell r="AB1900">
            <v>0</v>
          </cell>
          <cell r="AC1900">
            <v>0</v>
          </cell>
          <cell r="AD1900">
            <v>0</v>
          </cell>
          <cell r="AJ1900">
            <v>0</v>
          </cell>
          <cell r="AK1900">
            <v>0</v>
          </cell>
        </row>
        <row r="1901">
          <cell r="B1901" t="str">
            <v/>
          </cell>
          <cell r="H1901" t="str">
            <v/>
          </cell>
          <cell r="J1901" t="str">
            <v/>
          </cell>
          <cell r="N1901" t="str">
            <v/>
          </cell>
          <cell r="O1901" t="str">
            <v/>
          </cell>
          <cell r="P1901" t="str">
            <v/>
          </cell>
          <cell r="Q1901" t="str">
            <v/>
          </cell>
          <cell r="T1901" t="str">
            <v/>
          </cell>
          <cell r="U1901" t="str">
            <v/>
          </cell>
          <cell r="W1901" t="str">
            <v/>
          </cell>
          <cell r="X1901" t="str">
            <v/>
          </cell>
          <cell r="AB1901">
            <v>0</v>
          </cell>
          <cell r="AC1901">
            <v>0</v>
          </cell>
          <cell r="AD1901">
            <v>0</v>
          </cell>
          <cell r="AJ1901">
            <v>0</v>
          </cell>
          <cell r="AK1901">
            <v>0</v>
          </cell>
        </row>
        <row r="1902">
          <cell r="B1902" t="str">
            <v/>
          </cell>
          <cell r="H1902" t="str">
            <v/>
          </cell>
          <cell r="J1902" t="str">
            <v/>
          </cell>
          <cell r="N1902" t="str">
            <v/>
          </cell>
          <cell r="O1902" t="str">
            <v/>
          </cell>
          <cell r="P1902" t="str">
            <v/>
          </cell>
          <cell r="Q1902" t="str">
            <v/>
          </cell>
          <cell r="T1902" t="str">
            <v/>
          </cell>
          <cell r="U1902" t="str">
            <v/>
          </cell>
          <cell r="W1902" t="str">
            <v/>
          </cell>
          <cell r="X1902" t="str">
            <v/>
          </cell>
          <cell r="AB1902">
            <v>0</v>
          </cell>
          <cell r="AC1902">
            <v>0</v>
          </cell>
          <cell r="AD1902">
            <v>0</v>
          </cell>
          <cell r="AJ1902">
            <v>0</v>
          </cell>
          <cell r="AK1902">
            <v>0</v>
          </cell>
        </row>
        <row r="1903">
          <cell r="B1903" t="str">
            <v/>
          </cell>
          <cell r="H1903" t="str">
            <v/>
          </cell>
          <cell r="J1903" t="str">
            <v/>
          </cell>
          <cell r="N1903" t="str">
            <v/>
          </cell>
          <cell r="O1903" t="str">
            <v/>
          </cell>
          <cell r="P1903" t="str">
            <v/>
          </cell>
          <cell r="Q1903" t="str">
            <v/>
          </cell>
          <cell r="T1903" t="str">
            <v/>
          </cell>
          <cell r="U1903" t="str">
            <v/>
          </cell>
          <cell r="W1903" t="str">
            <v/>
          </cell>
          <cell r="X1903" t="str">
            <v/>
          </cell>
          <cell r="AB1903">
            <v>0</v>
          </cell>
          <cell r="AC1903">
            <v>0</v>
          </cell>
          <cell r="AD1903">
            <v>0</v>
          </cell>
          <cell r="AJ1903">
            <v>0</v>
          </cell>
          <cell r="AK1903">
            <v>0</v>
          </cell>
        </row>
        <row r="1904">
          <cell r="B1904" t="str">
            <v/>
          </cell>
          <cell r="H1904" t="str">
            <v/>
          </cell>
          <cell r="J1904" t="str">
            <v/>
          </cell>
          <cell r="N1904" t="str">
            <v/>
          </cell>
          <cell r="O1904" t="str">
            <v/>
          </cell>
          <cell r="P1904" t="str">
            <v/>
          </cell>
          <cell r="Q1904" t="str">
            <v/>
          </cell>
          <cell r="T1904" t="str">
            <v/>
          </cell>
          <cell r="U1904" t="str">
            <v/>
          </cell>
          <cell r="W1904" t="str">
            <v/>
          </cell>
          <cell r="X1904" t="str">
            <v/>
          </cell>
          <cell r="AB1904">
            <v>0</v>
          </cell>
          <cell r="AC1904">
            <v>0</v>
          </cell>
          <cell r="AD1904">
            <v>0</v>
          </cell>
          <cell r="AJ1904">
            <v>0</v>
          </cell>
          <cell r="AK1904">
            <v>0</v>
          </cell>
        </row>
        <row r="1905">
          <cell r="B1905" t="str">
            <v/>
          </cell>
          <cell r="H1905" t="str">
            <v/>
          </cell>
          <cell r="J1905" t="str">
            <v/>
          </cell>
          <cell r="N1905" t="str">
            <v/>
          </cell>
          <cell r="O1905" t="str">
            <v/>
          </cell>
          <cell r="P1905" t="str">
            <v/>
          </cell>
          <cell r="Q1905" t="str">
            <v/>
          </cell>
          <cell r="T1905" t="str">
            <v/>
          </cell>
          <cell r="U1905" t="str">
            <v/>
          </cell>
          <cell r="W1905" t="str">
            <v/>
          </cell>
          <cell r="X1905" t="str">
            <v/>
          </cell>
          <cell r="AB1905">
            <v>0</v>
          </cell>
          <cell r="AC1905">
            <v>0</v>
          </cell>
          <cell r="AD1905">
            <v>0</v>
          </cell>
          <cell r="AJ1905">
            <v>0</v>
          </cell>
          <cell r="AK1905">
            <v>0</v>
          </cell>
        </row>
        <row r="1906">
          <cell r="B1906" t="str">
            <v/>
          </cell>
          <cell r="H1906" t="str">
            <v/>
          </cell>
          <cell r="J1906" t="str">
            <v/>
          </cell>
          <cell r="N1906" t="str">
            <v/>
          </cell>
          <cell r="O1906" t="str">
            <v/>
          </cell>
          <cell r="P1906" t="str">
            <v/>
          </cell>
          <cell r="Q1906" t="str">
            <v/>
          </cell>
          <cell r="T1906" t="str">
            <v/>
          </cell>
          <cell r="U1906" t="str">
            <v/>
          </cell>
          <cell r="W1906" t="str">
            <v/>
          </cell>
          <cell r="X1906" t="str">
            <v/>
          </cell>
          <cell r="AB1906">
            <v>0</v>
          </cell>
          <cell r="AC1906">
            <v>0</v>
          </cell>
          <cell r="AD1906">
            <v>0</v>
          </cell>
          <cell r="AJ1906">
            <v>0</v>
          </cell>
          <cell r="AK1906">
            <v>0</v>
          </cell>
        </row>
        <row r="1907">
          <cell r="B1907" t="str">
            <v/>
          </cell>
          <cell r="H1907" t="str">
            <v/>
          </cell>
          <cell r="J1907" t="str">
            <v/>
          </cell>
          <cell r="N1907" t="str">
            <v/>
          </cell>
          <cell r="O1907" t="str">
            <v/>
          </cell>
          <cell r="P1907" t="str">
            <v/>
          </cell>
          <cell r="Q1907" t="str">
            <v/>
          </cell>
          <cell r="T1907" t="str">
            <v/>
          </cell>
          <cell r="U1907" t="str">
            <v/>
          </cell>
          <cell r="W1907" t="str">
            <v/>
          </cell>
          <cell r="X1907" t="str">
            <v/>
          </cell>
          <cell r="AB1907">
            <v>0</v>
          </cell>
          <cell r="AC1907">
            <v>0</v>
          </cell>
          <cell r="AD1907">
            <v>0</v>
          </cell>
          <cell r="AJ1907">
            <v>0</v>
          </cell>
          <cell r="AK1907">
            <v>0</v>
          </cell>
        </row>
        <row r="1908">
          <cell r="B1908" t="str">
            <v/>
          </cell>
          <cell r="H1908" t="str">
            <v/>
          </cell>
          <cell r="J1908" t="str">
            <v/>
          </cell>
          <cell r="N1908" t="str">
            <v/>
          </cell>
          <cell r="O1908" t="str">
            <v/>
          </cell>
          <cell r="P1908" t="str">
            <v/>
          </cell>
          <cell r="Q1908" t="str">
            <v/>
          </cell>
          <cell r="T1908" t="str">
            <v/>
          </cell>
          <cell r="U1908" t="str">
            <v/>
          </cell>
          <cell r="W1908" t="str">
            <v/>
          </cell>
          <cell r="X1908" t="str">
            <v/>
          </cell>
          <cell r="AB1908">
            <v>0</v>
          </cell>
          <cell r="AC1908">
            <v>0</v>
          </cell>
          <cell r="AD1908">
            <v>0</v>
          </cell>
          <cell r="AJ1908">
            <v>0</v>
          </cell>
          <cell r="AK1908">
            <v>0</v>
          </cell>
        </row>
        <row r="1909">
          <cell r="B1909" t="str">
            <v/>
          </cell>
          <cell r="H1909" t="str">
            <v/>
          </cell>
          <cell r="J1909" t="str">
            <v/>
          </cell>
          <cell r="N1909" t="str">
            <v/>
          </cell>
          <cell r="O1909" t="str">
            <v/>
          </cell>
          <cell r="P1909" t="str">
            <v/>
          </cell>
          <cell r="Q1909" t="str">
            <v/>
          </cell>
          <cell r="T1909" t="str">
            <v/>
          </cell>
          <cell r="U1909" t="str">
            <v/>
          </cell>
          <cell r="W1909" t="str">
            <v/>
          </cell>
          <cell r="X1909" t="str">
            <v/>
          </cell>
          <cell r="AB1909">
            <v>0</v>
          </cell>
          <cell r="AC1909">
            <v>0</v>
          </cell>
          <cell r="AD1909">
            <v>0</v>
          </cell>
          <cell r="AJ1909">
            <v>0</v>
          </cell>
          <cell r="AK1909">
            <v>0</v>
          </cell>
        </row>
        <row r="1910">
          <cell r="B1910" t="str">
            <v/>
          </cell>
          <cell r="H1910" t="str">
            <v/>
          </cell>
          <cell r="J1910" t="str">
            <v/>
          </cell>
          <cell r="N1910" t="str">
            <v/>
          </cell>
          <cell r="O1910" t="str">
            <v/>
          </cell>
          <cell r="P1910" t="str">
            <v/>
          </cell>
          <cell r="Q1910" t="str">
            <v/>
          </cell>
          <cell r="T1910" t="str">
            <v/>
          </cell>
          <cell r="U1910" t="str">
            <v/>
          </cell>
          <cell r="W1910" t="str">
            <v/>
          </cell>
          <cell r="X1910" t="str">
            <v/>
          </cell>
          <cell r="AB1910">
            <v>0</v>
          </cell>
          <cell r="AC1910">
            <v>0</v>
          </cell>
          <cell r="AD1910">
            <v>0</v>
          </cell>
          <cell r="AJ1910">
            <v>0</v>
          </cell>
          <cell r="AK1910">
            <v>0</v>
          </cell>
        </row>
        <row r="1911">
          <cell r="B1911" t="str">
            <v/>
          </cell>
          <cell r="H1911" t="str">
            <v/>
          </cell>
          <cell r="J1911" t="str">
            <v/>
          </cell>
          <cell r="N1911" t="str">
            <v/>
          </cell>
          <cell r="O1911" t="str">
            <v/>
          </cell>
          <cell r="P1911" t="str">
            <v/>
          </cell>
          <cell r="Q1911" t="str">
            <v/>
          </cell>
          <cell r="T1911" t="str">
            <v/>
          </cell>
          <cell r="U1911" t="str">
            <v/>
          </cell>
          <cell r="W1911" t="str">
            <v/>
          </cell>
          <cell r="X1911" t="str">
            <v/>
          </cell>
          <cell r="AB1911">
            <v>0</v>
          </cell>
          <cell r="AC1911">
            <v>0</v>
          </cell>
          <cell r="AD1911">
            <v>0</v>
          </cell>
          <cell r="AJ1911">
            <v>0</v>
          </cell>
          <cell r="AK1911">
            <v>0</v>
          </cell>
        </row>
        <row r="1912">
          <cell r="B1912" t="str">
            <v/>
          </cell>
          <cell r="H1912" t="str">
            <v/>
          </cell>
          <cell r="J1912" t="str">
            <v/>
          </cell>
          <cell r="N1912" t="str">
            <v/>
          </cell>
          <cell r="O1912" t="str">
            <v/>
          </cell>
          <cell r="P1912" t="str">
            <v/>
          </cell>
          <cell r="Q1912" t="str">
            <v/>
          </cell>
          <cell r="T1912" t="str">
            <v/>
          </cell>
          <cell r="U1912" t="str">
            <v/>
          </cell>
          <cell r="W1912" t="str">
            <v/>
          </cell>
          <cell r="X1912" t="str">
            <v/>
          </cell>
          <cell r="AB1912">
            <v>0</v>
          </cell>
          <cell r="AC1912">
            <v>0</v>
          </cell>
          <cell r="AD1912">
            <v>0</v>
          </cell>
          <cell r="AJ1912">
            <v>0</v>
          </cell>
          <cell r="AK1912">
            <v>0</v>
          </cell>
        </row>
        <row r="1913">
          <cell r="B1913" t="str">
            <v/>
          </cell>
          <cell r="H1913" t="str">
            <v/>
          </cell>
          <cell r="J1913" t="str">
            <v/>
          </cell>
          <cell r="N1913" t="str">
            <v/>
          </cell>
          <cell r="O1913" t="str">
            <v/>
          </cell>
          <cell r="P1913" t="str">
            <v/>
          </cell>
          <cell r="Q1913" t="str">
            <v/>
          </cell>
          <cell r="T1913" t="str">
            <v/>
          </cell>
          <cell r="U1913" t="str">
            <v/>
          </cell>
          <cell r="W1913" t="str">
            <v/>
          </cell>
          <cell r="X1913" t="str">
            <v/>
          </cell>
          <cell r="AB1913">
            <v>0</v>
          </cell>
          <cell r="AC1913">
            <v>0</v>
          </cell>
          <cell r="AD1913">
            <v>0</v>
          </cell>
          <cell r="AJ1913">
            <v>0</v>
          </cell>
          <cell r="AK1913">
            <v>0</v>
          </cell>
        </row>
        <row r="1914">
          <cell r="B1914" t="str">
            <v/>
          </cell>
          <cell r="H1914" t="str">
            <v/>
          </cell>
          <cell r="J1914" t="str">
            <v/>
          </cell>
          <cell r="N1914" t="str">
            <v/>
          </cell>
          <cell r="O1914" t="str">
            <v/>
          </cell>
          <cell r="P1914" t="str">
            <v/>
          </cell>
          <cell r="Q1914" t="str">
            <v/>
          </cell>
          <cell r="T1914" t="str">
            <v/>
          </cell>
          <cell r="U1914" t="str">
            <v/>
          </cell>
          <cell r="W1914" t="str">
            <v/>
          </cell>
          <cell r="X1914" t="str">
            <v/>
          </cell>
          <cell r="AB1914">
            <v>0</v>
          </cell>
          <cell r="AC1914">
            <v>0</v>
          </cell>
          <cell r="AD1914">
            <v>0</v>
          </cell>
          <cell r="AJ1914">
            <v>0</v>
          </cell>
          <cell r="AK1914">
            <v>0</v>
          </cell>
        </row>
        <row r="1915">
          <cell r="B1915" t="str">
            <v/>
          </cell>
          <cell r="H1915" t="str">
            <v/>
          </cell>
          <cell r="J1915" t="str">
            <v/>
          </cell>
          <cell r="N1915" t="str">
            <v/>
          </cell>
          <cell r="O1915" t="str">
            <v/>
          </cell>
          <cell r="P1915" t="str">
            <v/>
          </cell>
          <cell r="Q1915" t="str">
            <v/>
          </cell>
          <cell r="T1915" t="str">
            <v/>
          </cell>
          <cell r="U1915" t="str">
            <v/>
          </cell>
          <cell r="W1915" t="str">
            <v/>
          </cell>
          <cell r="X1915" t="str">
            <v/>
          </cell>
          <cell r="AB1915">
            <v>0</v>
          </cell>
          <cell r="AC1915">
            <v>0</v>
          </cell>
          <cell r="AD1915">
            <v>0</v>
          </cell>
          <cell r="AJ1915">
            <v>0</v>
          </cell>
          <cell r="AK1915">
            <v>0</v>
          </cell>
        </row>
        <row r="1916">
          <cell r="B1916" t="str">
            <v/>
          </cell>
          <cell r="H1916" t="str">
            <v/>
          </cell>
          <cell r="J1916" t="str">
            <v/>
          </cell>
          <cell r="N1916" t="str">
            <v/>
          </cell>
          <cell r="O1916" t="str">
            <v/>
          </cell>
          <cell r="P1916" t="str">
            <v/>
          </cell>
          <cell r="Q1916" t="str">
            <v/>
          </cell>
          <cell r="T1916" t="str">
            <v/>
          </cell>
          <cell r="U1916" t="str">
            <v/>
          </cell>
          <cell r="W1916" t="str">
            <v/>
          </cell>
          <cell r="X1916" t="str">
            <v/>
          </cell>
          <cell r="AB1916">
            <v>0</v>
          </cell>
          <cell r="AC1916">
            <v>0</v>
          </cell>
          <cell r="AD1916">
            <v>0</v>
          </cell>
          <cell r="AJ1916">
            <v>0</v>
          </cell>
          <cell r="AK1916">
            <v>0</v>
          </cell>
        </row>
        <row r="1917">
          <cell r="B1917" t="str">
            <v/>
          </cell>
          <cell r="H1917" t="str">
            <v/>
          </cell>
          <cell r="J1917" t="str">
            <v/>
          </cell>
          <cell r="N1917" t="str">
            <v/>
          </cell>
          <cell r="O1917" t="str">
            <v/>
          </cell>
          <cell r="P1917" t="str">
            <v/>
          </cell>
          <cell r="Q1917" t="str">
            <v/>
          </cell>
          <cell r="T1917" t="str">
            <v/>
          </cell>
          <cell r="U1917" t="str">
            <v/>
          </cell>
          <cell r="W1917" t="str">
            <v/>
          </cell>
          <cell r="X1917" t="str">
            <v/>
          </cell>
          <cell r="AB1917">
            <v>0</v>
          </cell>
          <cell r="AC1917">
            <v>0</v>
          </cell>
          <cell r="AD1917">
            <v>0</v>
          </cell>
          <cell r="AJ1917">
            <v>0</v>
          </cell>
          <cell r="AK1917">
            <v>0</v>
          </cell>
        </row>
        <row r="1918">
          <cell r="B1918" t="str">
            <v/>
          </cell>
          <cell r="H1918" t="str">
            <v/>
          </cell>
          <cell r="J1918" t="str">
            <v/>
          </cell>
          <cell r="N1918" t="str">
            <v/>
          </cell>
          <cell r="O1918" t="str">
            <v/>
          </cell>
          <cell r="P1918" t="str">
            <v/>
          </cell>
          <cell r="Q1918" t="str">
            <v/>
          </cell>
          <cell r="T1918" t="str">
            <v/>
          </cell>
          <cell r="U1918" t="str">
            <v/>
          </cell>
          <cell r="W1918" t="str">
            <v/>
          </cell>
          <cell r="X1918" t="str">
            <v/>
          </cell>
          <cell r="AB1918">
            <v>0</v>
          </cell>
          <cell r="AC1918">
            <v>0</v>
          </cell>
          <cell r="AD1918">
            <v>0</v>
          </cell>
          <cell r="AJ1918">
            <v>0</v>
          </cell>
          <cell r="AK1918">
            <v>0</v>
          </cell>
        </row>
        <row r="1919">
          <cell r="B1919" t="str">
            <v/>
          </cell>
          <cell r="H1919" t="str">
            <v/>
          </cell>
          <cell r="J1919" t="str">
            <v/>
          </cell>
          <cell r="N1919" t="str">
            <v/>
          </cell>
          <cell r="O1919" t="str">
            <v/>
          </cell>
          <cell r="P1919" t="str">
            <v/>
          </cell>
          <cell r="Q1919" t="str">
            <v/>
          </cell>
          <cell r="T1919" t="str">
            <v/>
          </cell>
          <cell r="U1919" t="str">
            <v/>
          </cell>
          <cell r="W1919" t="str">
            <v/>
          </cell>
          <cell r="X1919" t="str">
            <v/>
          </cell>
          <cell r="AB1919">
            <v>0</v>
          </cell>
          <cell r="AC1919">
            <v>0</v>
          </cell>
          <cell r="AD1919">
            <v>0</v>
          </cell>
          <cell r="AJ1919">
            <v>0</v>
          </cell>
          <cell r="AK1919">
            <v>0</v>
          </cell>
        </row>
        <row r="1920">
          <cell r="B1920" t="str">
            <v/>
          </cell>
          <cell r="H1920" t="str">
            <v/>
          </cell>
          <cell r="J1920" t="str">
            <v/>
          </cell>
          <cell r="N1920" t="str">
            <v/>
          </cell>
          <cell r="O1920" t="str">
            <v/>
          </cell>
          <cell r="P1920" t="str">
            <v/>
          </cell>
          <cell r="Q1920" t="str">
            <v/>
          </cell>
          <cell r="T1920" t="str">
            <v/>
          </cell>
          <cell r="U1920" t="str">
            <v/>
          </cell>
          <cell r="W1920" t="str">
            <v/>
          </cell>
          <cell r="X1920" t="str">
            <v/>
          </cell>
          <cell r="AB1920">
            <v>0</v>
          </cell>
          <cell r="AC1920">
            <v>0</v>
          </cell>
          <cell r="AD1920">
            <v>0</v>
          </cell>
          <cell r="AJ1920">
            <v>0</v>
          </cell>
          <cell r="AK1920">
            <v>0</v>
          </cell>
        </row>
        <row r="1921">
          <cell r="B1921" t="str">
            <v/>
          </cell>
          <cell r="H1921" t="str">
            <v/>
          </cell>
          <cell r="J1921" t="str">
            <v/>
          </cell>
          <cell r="N1921" t="str">
            <v/>
          </cell>
          <cell r="O1921" t="str">
            <v/>
          </cell>
          <cell r="P1921" t="str">
            <v/>
          </cell>
          <cell r="Q1921" t="str">
            <v/>
          </cell>
          <cell r="T1921" t="str">
            <v/>
          </cell>
          <cell r="U1921" t="str">
            <v/>
          </cell>
          <cell r="W1921" t="str">
            <v/>
          </cell>
          <cell r="X1921" t="str">
            <v/>
          </cell>
          <cell r="AB1921">
            <v>0</v>
          </cell>
          <cell r="AC1921">
            <v>0</v>
          </cell>
          <cell r="AD1921">
            <v>0</v>
          </cell>
          <cell r="AJ1921">
            <v>0</v>
          </cell>
          <cell r="AK1921">
            <v>0</v>
          </cell>
        </row>
        <row r="1922">
          <cell r="B1922" t="str">
            <v/>
          </cell>
          <cell r="H1922" t="str">
            <v/>
          </cell>
          <cell r="J1922" t="str">
            <v/>
          </cell>
          <cell r="N1922" t="str">
            <v/>
          </cell>
          <cell r="O1922" t="str">
            <v/>
          </cell>
          <cell r="P1922" t="str">
            <v/>
          </cell>
          <cell r="Q1922" t="str">
            <v/>
          </cell>
          <cell r="T1922" t="str">
            <v/>
          </cell>
          <cell r="U1922" t="str">
            <v/>
          </cell>
          <cell r="W1922" t="str">
            <v/>
          </cell>
          <cell r="X1922" t="str">
            <v/>
          </cell>
          <cell r="AB1922">
            <v>0</v>
          </cell>
          <cell r="AC1922">
            <v>0</v>
          </cell>
          <cell r="AD1922">
            <v>0</v>
          </cell>
          <cell r="AJ1922">
            <v>0</v>
          </cell>
          <cell r="AK1922">
            <v>0</v>
          </cell>
        </row>
        <row r="1923">
          <cell r="B1923" t="str">
            <v/>
          </cell>
          <cell r="H1923" t="str">
            <v/>
          </cell>
          <cell r="J1923" t="str">
            <v/>
          </cell>
          <cell r="N1923" t="str">
            <v/>
          </cell>
          <cell r="O1923" t="str">
            <v/>
          </cell>
          <cell r="P1923" t="str">
            <v/>
          </cell>
          <cell r="Q1923" t="str">
            <v/>
          </cell>
          <cell r="T1923" t="str">
            <v/>
          </cell>
          <cell r="U1923" t="str">
            <v/>
          </cell>
          <cell r="W1923" t="str">
            <v/>
          </cell>
          <cell r="X1923" t="str">
            <v/>
          </cell>
          <cell r="AB1923">
            <v>0</v>
          </cell>
          <cell r="AC1923">
            <v>0</v>
          </cell>
          <cell r="AD1923">
            <v>0</v>
          </cell>
          <cell r="AJ1923">
            <v>0</v>
          </cell>
          <cell r="AK1923">
            <v>0</v>
          </cell>
        </row>
        <row r="1924">
          <cell r="B1924" t="str">
            <v/>
          </cell>
          <cell r="H1924" t="str">
            <v/>
          </cell>
          <cell r="J1924" t="str">
            <v/>
          </cell>
          <cell r="N1924" t="str">
            <v/>
          </cell>
          <cell r="O1924" t="str">
            <v/>
          </cell>
          <cell r="P1924" t="str">
            <v/>
          </cell>
          <cell r="Q1924" t="str">
            <v/>
          </cell>
          <cell r="T1924" t="str">
            <v/>
          </cell>
          <cell r="U1924" t="str">
            <v/>
          </cell>
          <cell r="W1924" t="str">
            <v/>
          </cell>
          <cell r="X1924" t="str">
            <v/>
          </cell>
          <cell r="AB1924">
            <v>0</v>
          </cell>
          <cell r="AC1924">
            <v>0</v>
          </cell>
          <cell r="AD1924">
            <v>0</v>
          </cell>
          <cell r="AJ1924">
            <v>0</v>
          </cell>
          <cell r="AK1924">
            <v>0</v>
          </cell>
        </row>
        <row r="1925">
          <cell r="B1925" t="str">
            <v/>
          </cell>
          <cell r="H1925" t="str">
            <v/>
          </cell>
          <cell r="J1925" t="str">
            <v/>
          </cell>
          <cell r="N1925" t="str">
            <v/>
          </cell>
          <cell r="O1925" t="str">
            <v/>
          </cell>
          <cell r="P1925" t="str">
            <v/>
          </cell>
          <cell r="Q1925" t="str">
            <v/>
          </cell>
          <cell r="T1925" t="str">
            <v/>
          </cell>
          <cell r="U1925" t="str">
            <v/>
          </cell>
          <cell r="W1925" t="str">
            <v/>
          </cell>
          <cell r="X1925" t="str">
            <v/>
          </cell>
          <cell r="AB1925">
            <v>0</v>
          </cell>
          <cell r="AC1925">
            <v>0</v>
          </cell>
          <cell r="AD1925">
            <v>0</v>
          </cell>
          <cell r="AJ1925">
            <v>0</v>
          </cell>
          <cell r="AK1925">
            <v>0</v>
          </cell>
        </row>
        <row r="1926">
          <cell r="B1926" t="str">
            <v/>
          </cell>
          <cell r="H1926" t="str">
            <v/>
          </cell>
          <cell r="J1926" t="str">
            <v/>
          </cell>
          <cell r="N1926" t="str">
            <v/>
          </cell>
          <cell r="O1926" t="str">
            <v/>
          </cell>
          <cell r="P1926" t="str">
            <v/>
          </cell>
          <cell r="Q1926" t="str">
            <v/>
          </cell>
          <cell r="T1926" t="str">
            <v/>
          </cell>
          <cell r="U1926" t="str">
            <v/>
          </cell>
          <cell r="W1926" t="str">
            <v/>
          </cell>
          <cell r="X1926" t="str">
            <v/>
          </cell>
          <cell r="AB1926">
            <v>0</v>
          </cell>
          <cell r="AC1926">
            <v>0</v>
          </cell>
          <cell r="AD1926">
            <v>0</v>
          </cell>
          <cell r="AJ1926">
            <v>0</v>
          </cell>
          <cell r="AK1926">
            <v>0</v>
          </cell>
        </row>
        <row r="1927">
          <cell r="B1927" t="str">
            <v/>
          </cell>
          <cell r="H1927" t="str">
            <v/>
          </cell>
          <cell r="J1927" t="str">
            <v/>
          </cell>
          <cell r="N1927" t="str">
            <v/>
          </cell>
          <cell r="O1927" t="str">
            <v/>
          </cell>
          <cell r="P1927" t="str">
            <v/>
          </cell>
          <cell r="Q1927" t="str">
            <v/>
          </cell>
          <cell r="T1927" t="str">
            <v/>
          </cell>
          <cell r="U1927" t="str">
            <v/>
          </cell>
          <cell r="W1927" t="str">
            <v/>
          </cell>
          <cell r="X1927" t="str">
            <v/>
          </cell>
          <cell r="AB1927">
            <v>0</v>
          </cell>
          <cell r="AC1927">
            <v>0</v>
          </cell>
          <cell r="AD1927">
            <v>0</v>
          </cell>
          <cell r="AJ1927">
            <v>0</v>
          </cell>
          <cell r="AK1927">
            <v>0</v>
          </cell>
        </row>
        <row r="1928">
          <cell r="B1928" t="str">
            <v/>
          </cell>
          <cell r="H1928" t="str">
            <v/>
          </cell>
          <cell r="J1928" t="str">
            <v/>
          </cell>
          <cell r="N1928" t="str">
            <v/>
          </cell>
          <cell r="O1928" t="str">
            <v/>
          </cell>
          <cell r="P1928" t="str">
            <v/>
          </cell>
          <cell r="Q1928" t="str">
            <v/>
          </cell>
          <cell r="T1928" t="str">
            <v/>
          </cell>
          <cell r="U1928" t="str">
            <v/>
          </cell>
          <cell r="W1928" t="str">
            <v/>
          </cell>
          <cell r="X1928" t="str">
            <v/>
          </cell>
          <cell r="AB1928">
            <v>0</v>
          </cell>
          <cell r="AC1928">
            <v>0</v>
          </cell>
          <cell r="AD1928">
            <v>0</v>
          </cell>
          <cell r="AJ1928">
            <v>0</v>
          </cell>
          <cell r="AK1928">
            <v>0</v>
          </cell>
        </row>
        <row r="1929">
          <cell r="B1929" t="str">
            <v/>
          </cell>
          <cell r="H1929" t="str">
            <v/>
          </cell>
          <cell r="J1929" t="str">
            <v/>
          </cell>
          <cell r="N1929" t="str">
            <v/>
          </cell>
          <cell r="O1929" t="str">
            <v/>
          </cell>
          <cell r="P1929" t="str">
            <v/>
          </cell>
          <cell r="Q1929" t="str">
            <v/>
          </cell>
          <cell r="T1929" t="str">
            <v/>
          </cell>
          <cell r="U1929" t="str">
            <v/>
          </cell>
          <cell r="W1929" t="str">
            <v/>
          </cell>
          <cell r="X1929" t="str">
            <v/>
          </cell>
          <cell r="AB1929">
            <v>0</v>
          </cell>
          <cell r="AC1929">
            <v>0</v>
          </cell>
          <cell r="AD1929">
            <v>0</v>
          </cell>
          <cell r="AJ1929">
            <v>0</v>
          </cell>
          <cell r="AK1929">
            <v>0</v>
          </cell>
        </row>
        <row r="1930">
          <cell r="B1930" t="str">
            <v/>
          </cell>
          <cell r="H1930" t="str">
            <v/>
          </cell>
          <cell r="J1930" t="str">
            <v/>
          </cell>
          <cell r="N1930" t="str">
            <v/>
          </cell>
          <cell r="O1930" t="str">
            <v/>
          </cell>
          <cell r="P1930" t="str">
            <v/>
          </cell>
          <cell r="Q1930" t="str">
            <v/>
          </cell>
          <cell r="T1930" t="str">
            <v/>
          </cell>
          <cell r="U1930" t="str">
            <v/>
          </cell>
          <cell r="W1930" t="str">
            <v/>
          </cell>
          <cell r="X1930" t="str">
            <v/>
          </cell>
          <cell r="AB1930">
            <v>0</v>
          </cell>
          <cell r="AC1930">
            <v>0</v>
          </cell>
          <cell r="AD1930">
            <v>0</v>
          </cell>
          <cell r="AJ1930">
            <v>0</v>
          </cell>
          <cell r="AK1930">
            <v>0</v>
          </cell>
        </row>
        <row r="1931">
          <cell r="B1931" t="str">
            <v/>
          </cell>
          <cell r="H1931" t="str">
            <v/>
          </cell>
          <cell r="J1931" t="str">
            <v/>
          </cell>
          <cell r="N1931" t="str">
            <v/>
          </cell>
          <cell r="O1931" t="str">
            <v/>
          </cell>
          <cell r="P1931" t="str">
            <v/>
          </cell>
          <cell r="Q1931" t="str">
            <v/>
          </cell>
          <cell r="T1931" t="str">
            <v/>
          </cell>
          <cell r="U1931" t="str">
            <v/>
          </cell>
          <cell r="W1931" t="str">
            <v/>
          </cell>
          <cell r="X1931" t="str">
            <v/>
          </cell>
          <cell r="AB1931">
            <v>0</v>
          </cell>
          <cell r="AC1931">
            <v>0</v>
          </cell>
          <cell r="AD1931">
            <v>0</v>
          </cell>
          <cell r="AJ1931">
            <v>0</v>
          </cell>
          <cell r="AK1931">
            <v>0</v>
          </cell>
        </row>
        <row r="1932">
          <cell r="B1932" t="str">
            <v/>
          </cell>
          <cell r="H1932" t="str">
            <v/>
          </cell>
          <cell r="J1932" t="str">
            <v/>
          </cell>
          <cell r="N1932" t="str">
            <v/>
          </cell>
          <cell r="O1932" t="str">
            <v/>
          </cell>
          <cell r="P1932" t="str">
            <v/>
          </cell>
          <cell r="Q1932" t="str">
            <v/>
          </cell>
          <cell r="T1932" t="str">
            <v/>
          </cell>
          <cell r="U1932" t="str">
            <v/>
          </cell>
          <cell r="W1932" t="str">
            <v/>
          </cell>
          <cell r="X1932" t="str">
            <v/>
          </cell>
          <cell r="AB1932">
            <v>0</v>
          </cell>
          <cell r="AC1932">
            <v>0</v>
          </cell>
          <cell r="AD1932">
            <v>0</v>
          </cell>
          <cell r="AJ1932">
            <v>0</v>
          </cell>
          <cell r="AK1932">
            <v>0</v>
          </cell>
        </row>
        <row r="1933">
          <cell r="B1933" t="str">
            <v/>
          </cell>
          <cell r="H1933" t="str">
            <v/>
          </cell>
          <cell r="J1933" t="str">
            <v/>
          </cell>
          <cell r="N1933" t="str">
            <v/>
          </cell>
          <cell r="O1933" t="str">
            <v/>
          </cell>
          <cell r="P1933" t="str">
            <v/>
          </cell>
          <cell r="Q1933" t="str">
            <v/>
          </cell>
          <cell r="T1933" t="str">
            <v/>
          </cell>
          <cell r="U1933" t="str">
            <v/>
          </cell>
          <cell r="W1933" t="str">
            <v/>
          </cell>
          <cell r="X1933" t="str">
            <v/>
          </cell>
          <cell r="AB1933">
            <v>0</v>
          </cell>
          <cell r="AC1933">
            <v>0</v>
          </cell>
          <cell r="AD1933">
            <v>0</v>
          </cell>
          <cell r="AJ1933">
            <v>0</v>
          </cell>
          <cell r="AK1933">
            <v>0</v>
          </cell>
        </row>
        <row r="1934">
          <cell r="B1934" t="str">
            <v/>
          </cell>
          <cell r="H1934" t="str">
            <v/>
          </cell>
          <cell r="J1934" t="str">
            <v/>
          </cell>
          <cell r="N1934" t="str">
            <v/>
          </cell>
          <cell r="O1934" t="str">
            <v/>
          </cell>
          <cell r="P1934" t="str">
            <v/>
          </cell>
          <cell r="Q1934" t="str">
            <v/>
          </cell>
          <cell r="T1934" t="str">
            <v/>
          </cell>
          <cell r="U1934" t="str">
            <v/>
          </cell>
          <cell r="W1934" t="str">
            <v/>
          </cell>
          <cell r="X1934" t="str">
            <v/>
          </cell>
          <cell r="AB1934">
            <v>0</v>
          </cell>
          <cell r="AC1934">
            <v>0</v>
          </cell>
          <cell r="AD1934">
            <v>0</v>
          </cell>
          <cell r="AJ1934">
            <v>0</v>
          </cell>
          <cell r="AK1934">
            <v>0</v>
          </cell>
        </row>
        <row r="1935">
          <cell r="B1935" t="str">
            <v/>
          </cell>
          <cell r="H1935" t="str">
            <v/>
          </cell>
          <cell r="J1935" t="str">
            <v/>
          </cell>
          <cell r="N1935" t="str">
            <v/>
          </cell>
          <cell r="O1935" t="str">
            <v/>
          </cell>
          <cell r="P1935" t="str">
            <v/>
          </cell>
          <cell r="Q1935" t="str">
            <v/>
          </cell>
          <cell r="T1935" t="str">
            <v/>
          </cell>
          <cell r="U1935" t="str">
            <v/>
          </cell>
          <cell r="W1935" t="str">
            <v/>
          </cell>
          <cell r="X1935" t="str">
            <v/>
          </cell>
          <cell r="AB1935">
            <v>0</v>
          </cell>
          <cell r="AC1935">
            <v>0</v>
          </cell>
          <cell r="AD1935">
            <v>0</v>
          </cell>
          <cell r="AJ1935">
            <v>0</v>
          </cell>
          <cell r="AK1935">
            <v>0</v>
          </cell>
        </row>
        <row r="1936">
          <cell r="B1936" t="str">
            <v/>
          </cell>
          <cell r="H1936" t="str">
            <v/>
          </cell>
          <cell r="J1936" t="str">
            <v/>
          </cell>
          <cell r="N1936" t="str">
            <v/>
          </cell>
          <cell r="O1936" t="str">
            <v/>
          </cell>
          <cell r="P1936" t="str">
            <v/>
          </cell>
          <cell r="Q1936" t="str">
            <v/>
          </cell>
          <cell r="T1936" t="str">
            <v/>
          </cell>
          <cell r="U1936" t="str">
            <v/>
          </cell>
          <cell r="W1936" t="str">
            <v/>
          </cell>
          <cell r="X1936" t="str">
            <v/>
          </cell>
          <cell r="AB1936">
            <v>0</v>
          </cell>
          <cell r="AC1936">
            <v>0</v>
          </cell>
          <cell r="AD1936">
            <v>0</v>
          </cell>
          <cell r="AJ1936">
            <v>0</v>
          </cell>
          <cell r="AK1936">
            <v>0</v>
          </cell>
        </row>
        <row r="1937">
          <cell r="B1937" t="str">
            <v/>
          </cell>
          <cell r="H1937" t="str">
            <v/>
          </cell>
          <cell r="J1937" t="str">
            <v/>
          </cell>
          <cell r="N1937" t="str">
            <v/>
          </cell>
          <cell r="O1937" t="str">
            <v/>
          </cell>
          <cell r="P1937" t="str">
            <v/>
          </cell>
          <cell r="Q1937" t="str">
            <v/>
          </cell>
          <cell r="T1937" t="str">
            <v/>
          </cell>
          <cell r="U1937" t="str">
            <v/>
          </cell>
          <cell r="W1937" t="str">
            <v/>
          </cell>
          <cell r="X1937" t="str">
            <v/>
          </cell>
          <cell r="AB1937">
            <v>0</v>
          </cell>
          <cell r="AC1937">
            <v>0</v>
          </cell>
          <cell r="AD1937">
            <v>0</v>
          </cell>
          <cell r="AJ1937">
            <v>0</v>
          </cell>
          <cell r="AK1937">
            <v>0</v>
          </cell>
        </row>
        <row r="1938">
          <cell r="B1938" t="str">
            <v/>
          </cell>
          <cell r="H1938" t="str">
            <v/>
          </cell>
          <cell r="J1938" t="str">
            <v/>
          </cell>
          <cell r="N1938" t="str">
            <v/>
          </cell>
          <cell r="O1938" t="str">
            <v/>
          </cell>
          <cell r="P1938" t="str">
            <v/>
          </cell>
          <cell r="Q1938" t="str">
            <v/>
          </cell>
          <cell r="T1938" t="str">
            <v/>
          </cell>
          <cell r="U1938" t="str">
            <v/>
          </cell>
          <cell r="W1938" t="str">
            <v/>
          </cell>
          <cell r="X1938" t="str">
            <v/>
          </cell>
          <cell r="AB1938">
            <v>0</v>
          </cell>
          <cell r="AC1938">
            <v>0</v>
          </cell>
          <cell r="AD1938">
            <v>0</v>
          </cell>
          <cell r="AJ1938">
            <v>0</v>
          </cell>
          <cell r="AK1938">
            <v>0</v>
          </cell>
        </row>
        <row r="1939">
          <cell r="B1939" t="str">
            <v/>
          </cell>
          <cell r="H1939" t="str">
            <v/>
          </cell>
          <cell r="J1939" t="str">
            <v/>
          </cell>
          <cell r="N1939" t="str">
            <v/>
          </cell>
          <cell r="O1939" t="str">
            <v/>
          </cell>
          <cell r="P1939" t="str">
            <v/>
          </cell>
          <cell r="Q1939" t="str">
            <v/>
          </cell>
          <cell r="T1939" t="str">
            <v/>
          </cell>
          <cell r="U1939" t="str">
            <v/>
          </cell>
          <cell r="W1939" t="str">
            <v/>
          </cell>
          <cell r="X1939" t="str">
            <v/>
          </cell>
          <cell r="AB1939">
            <v>0</v>
          </cell>
          <cell r="AC1939">
            <v>0</v>
          </cell>
          <cell r="AD1939">
            <v>0</v>
          </cell>
          <cell r="AJ1939">
            <v>0</v>
          </cell>
          <cell r="AK1939">
            <v>0</v>
          </cell>
        </row>
        <row r="1940">
          <cell r="B1940" t="str">
            <v/>
          </cell>
          <cell r="H1940" t="str">
            <v/>
          </cell>
          <cell r="J1940" t="str">
            <v/>
          </cell>
          <cell r="N1940" t="str">
            <v/>
          </cell>
          <cell r="O1940" t="str">
            <v/>
          </cell>
          <cell r="P1940" t="str">
            <v/>
          </cell>
          <cell r="Q1940" t="str">
            <v/>
          </cell>
          <cell r="T1940" t="str">
            <v/>
          </cell>
          <cell r="U1940" t="str">
            <v/>
          </cell>
          <cell r="W1940" t="str">
            <v/>
          </cell>
          <cell r="X1940" t="str">
            <v/>
          </cell>
          <cell r="AB1940">
            <v>0</v>
          </cell>
          <cell r="AC1940">
            <v>0</v>
          </cell>
          <cell r="AD1940">
            <v>0</v>
          </cell>
          <cell r="AJ1940">
            <v>0</v>
          </cell>
          <cell r="AK1940">
            <v>0</v>
          </cell>
        </row>
        <row r="1941">
          <cell r="B1941" t="str">
            <v/>
          </cell>
          <cell r="H1941" t="str">
            <v/>
          </cell>
          <cell r="J1941" t="str">
            <v/>
          </cell>
          <cell r="N1941" t="str">
            <v/>
          </cell>
          <cell r="O1941" t="str">
            <v/>
          </cell>
          <cell r="P1941" t="str">
            <v/>
          </cell>
          <cell r="Q1941" t="str">
            <v/>
          </cell>
          <cell r="T1941" t="str">
            <v/>
          </cell>
          <cell r="U1941" t="str">
            <v/>
          </cell>
          <cell r="W1941" t="str">
            <v/>
          </cell>
          <cell r="X1941" t="str">
            <v/>
          </cell>
          <cell r="AB1941">
            <v>0</v>
          </cell>
          <cell r="AC1941">
            <v>0</v>
          </cell>
          <cell r="AD1941">
            <v>0</v>
          </cell>
          <cell r="AJ1941">
            <v>0</v>
          </cell>
          <cell r="AK1941">
            <v>0</v>
          </cell>
        </row>
        <row r="1942">
          <cell r="B1942" t="str">
            <v/>
          </cell>
          <cell r="H1942" t="str">
            <v/>
          </cell>
          <cell r="J1942" t="str">
            <v/>
          </cell>
          <cell r="N1942" t="str">
            <v/>
          </cell>
          <cell r="O1942" t="str">
            <v/>
          </cell>
          <cell r="P1942" t="str">
            <v/>
          </cell>
          <cell r="Q1942" t="str">
            <v/>
          </cell>
          <cell r="T1942" t="str">
            <v/>
          </cell>
          <cell r="U1942" t="str">
            <v/>
          </cell>
          <cell r="W1942" t="str">
            <v/>
          </cell>
          <cell r="X1942" t="str">
            <v/>
          </cell>
          <cell r="AB1942">
            <v>0</v>
          </cell>
          <cell r="AC1942">
            <v>0</v>
          </cell>
          <cell r="AD1942">
            <v>0</v>
          </cell>
          <cell r="AJ1942">
            <v>0</v>
          </cell>
          <cell r="AK1942">
            <v>0</v>
          </cell>
        </row>
        <row r="1943">
          <cell r="B1943" t="str">
            <v/>
          </cell>
          <cell r="H1943" t="str">
            <v/>
          </cell>
          <cell r="J1943" t="str">
            <v/>
          </cell>
          <cell r="N1943" t="str">
            <v/>
          </cell>
          <cell r="O1943" t="str">
            <v/>
          </cell>
          <cell r="P1943" t="str">
            <v/>
          </cell>
          <cell r="Q1943" t="str">
            <v/>
          </cell>
          <cell r="T1943" t="str">
            <v/>
          </cell>
          <cell r="U1943" t="str">
            <v/>
          </cell>
          <cell r="W1943" t="str">
            <v/>
          </cell>
          <cell r="X1943" t="str">
            <v/>
          </cell>
          <cell r="AB1943">
            <v>0</v>
          </cell>
          <cell r="AC1943">
            <v>0</v>
          </cell>
          <cell r="AD1943">
            <v>0</v>
          </cell>
          <cell r="AJ1943">
            <v>0</v>
          </cell>
          <cell r="AK1943">
            <v>0</v>
          </cell>
        </row>
        <row r="1944">
          <cell r="B1944" t="str">
            <v/>
          </cell>
          <cell r="H1944" t="str">
            <v/>
          </cell>
          <cell r="J1944" t="str">
            <v/>
          </cell>
          <cell r="N1944" t="str">
            <v/>
          </cell>
          <cell r="O1944" t="str">
            <v/>
          </cell>
          <cell r="P1944" t="str">
            <v/>
          </cell>
          <cell r="Q1944" t="str">
            <v/>
          </cell>
          <cell r="T1944" t="str">
            <v/>
          </cell>
          <cell r="U1944" t="str">
            <v/>
          </cell>
          <cell r="W1944" t="str">
            <v/>
          </cell>
          <cell r="X1944" t="str">
            <v/>
          </cell>
          <cell r="AB1944">
            <v>0</v>
          </cell>
          <cell r="AC1944">
            <v>0</v>
          </cell>
          <cell r="AD1944">
            <v>0</v>
          </cell>
          <cell r="AJ1944">
            <v>0</v>
          </cell>
          <cell r="AK1944">
            <v>0</v>
          </cell>
        </row>
        <row r="1945">
          <cell r="B1945" t="str">
            <v/>
          </cell>
          <cell r="H1945" t="str">
            <v/>
          </cell>
          <cell r="J1945" t="str">
            <v/>
          </cell>
          <cell r="N1945" t="str">
            <v/>
          </cell>
          <cell r="O1945" t="str">
            <v/>
          </cell>
          <cell r="P1945" t="str">
            <v/>
          </cell>
          <cell r="Q1945" t="str">
            <v/>
          </cell>
          <cell r="T1945" t="str">
            <v/>
          </cell>
          <cell r="U1945" t="str">
            <v/>
          </cell>
          <cell r="W1945" t="str">
            <v/>
          </cell>
          <cell r="X1945" t="str">
            <v/>
          </cell>
          <cell r="AB1945">
            <v>0</v>
          </cell>
          <cell r="AC1945">
            <v>0</v>
          </cell>
          <cell r="AD1945">
            <v>0</v>
          </cell>
          <cell r="AJ1945">
            <v>0</v>
          </cell>
          <cell r="AK1945">
            <v>0</v>
          </cell>
        </row>
        <row r="1946">
          <cell r="B1946" t="str">
            <v/>
          </cell>
          <cell r="H1946" t="str">
            <v/>
          </cell>
          <cell r="J1946" t="str">
            <v/>
          </cell>
          <cell r="N1946" t="str">
            <v/>
          </cell>
          <cell r="O1946" t="str">
            <v/>
          </cell>
          <cell r="P1946" t="str">
            <v/>
          </cell>
          <cell r="Q1946" t="str">
            <v/>
          </cell>
          <cell r="T1946" t="str">
            <v/>
          </cell>
          <cell r="U1946" t="str">
            <v/>
          </cell>
          <cell r="W1946" t="str">
            <v/>
          </cell>
          <cell r="X1946" t="str">
            <v/>
          </cell>
          <cell r="AB1946">
            <v>0</v>
          </cell>
          <cell r="AC1946">
            <v>0</v>
          </cell>
          <cell r="AD1946">
            <v>0</v>
          </cell>
          <cell r="AJ1946">
            <v>0</v>
          </cell>
          <cell r="AK1946">
            <v>0</v>
          </cell>
        </row>
        <row r="1947">
          <cell r="B1947" t="str">
            <v/>
          </cell>
          <cell r="H1947" t="str">
            <v/>
          </cell>
          <cell r="J1947" t="str">
            <v/>
          </cell>
          <cell r="N1947" t="str">
            <v/>
          </cell>
          <cell r="O1947" t="str">
            <v/>
          </cell>
          <cell r="P1947" t="str">
            <v/>
          </cell>
          <cell r="Q1947" t="str">
            <v/>
          </cell>
          <cell r="T1947" t="str">
            <v/>
          </cell>
          <cell r="U1947" t="str">
            <v/>
          </cell>
          <cell r="W1947" t="str">
            <v/>
          </cell>
          <cell r="X1947" t="str">
            <v/>
          </cell>
          <cell r="AB1947">
            <v>0</v>
          </cell>
          <cell r="AC1947">
            <v>0</v>
          </cell>
          <cell r="AD1947">
            <v>0</v>
          </cell>
          <cell r="AJ1947">
            <v>0</v>
          </cell>
          <cell r="AK1947">
            <v>0</v>
          </cell>
        </row>
        <row r="1948">
          <cell r="B1948" t="str">
            <v/>
          </cell>
          <cell r="H1948" t="str">
            <v/>
          </cell>
          <cell r="J1948" t="str">
            <v/>
          </cell>
          <cell r="N1948" t="str">
            <v/>
          </cell>
          <cell r="O1948" t="str">
            <v/>
          </cell>
          <cell r="P1948" t="str">
            <v/>
          </cell>
          <cell r="Q1948" t="str">
            <v/>
          </cell>
          <cell r="T1948" t="str">
            <v/>
          </cell>
          <cell r="U1948" t="str">
            <v/>
          </cell>
          <cell r="W1948" t="str">
            <v/>
          </cell>
          <cell r="X1948" t="str">
            <v/>
          </cell>
          <cell r="AB1948">
            <v>0</v>
          </cell>
          <cell r="AC1948">
            <v>0</v>
          </cell>
          <cell r="AD1948">
            <v>0</v>
          </cell>
          <cell r="AJ1948">
            <v>0</v>
          </cell>
          <cell r="AK1948">
            <v>0</v>
          </cell>
        </row>
        <row r="1949">
          <cell r="B1949" t="str">
            <v/>
          </cell>
          <cell r="H1949" t="str">
            <v/>
          </cell>
          <cell r="J1949" t="str">
            <v/>
          </cell>
          <cell r="N1949" t="str">
            <v/>
          </cell>
          <cell r="O1949" t="str">
            <v/>
          </cell>
          <cell r="P1949" t="str">
            <v/>
          </cell>
          <cell r="Q1949" t="str">
            <v/>
          </cell>
          <cell r="T1949" t="str">
            <v/>
          </cell>
          <cell r="U1949" t="str">
            <v/>
          </cell>
          <cell r="W1949" t="str">
            <v/>
          </cell>
          <cell r="X1949" t="str">
            <v/>
          </cell>
          <cell r="AB1949">
            <v>0</v>
          </cell>
          <cell r="AC1949">
            <v>0</v>
          </cell>
          <cell r="AD1949">
            <v>0</v>
          </cell>
          <cell r="AJ1949">
            <v>0</v>
          </cell>
          <cell r="AK1949">
            <v>0</v>
          </cell>
        </row>
        <row r="1950">
          <cell r="B1950" t="str">
            <v/>
          </cell>
          <cell r="H1950" t="str">
            <v/>
          </cell>
          <cell r="J1950" t="str">
            <v/>
          </cell>
          <cell r="N1950" t="str">
            <v/>
          </cell>
          <cell r="O1950" t="str">
            <v/>
          </cell>
          <cell r="P1950" t="str">
            <v/>
          </cell>
          <cell r="Q1950" t="str">
            <v/>
          </cell>
          <cell r="T1950" t="str">
            <v/>
          </cell>
          <cell r="U1950" t="str">
            <v/>
          </cell>
          <cell r="W1950" t="str">
            <v/>
          </cell>
          <cell r="X1950" t="str">
            <v/>
          </cell>
          <cell r="AB1950">
            <v>0</v>
          </cell>
          <cell r="AC1950">
            <v>0</v>
          </cell>
          <cell r="AD1950">
            <v>0</v>
          </cell>
          <cell r="AJ1950">
            <v>0</v>
          </cell>
          <cell r="AK1950">
            <v>0</v>
          </cell>
        </row>
        <row r="1951">
          <cell r="B1951" t="str">
            <v/>
          </cell>
          <cell r="H1951" t="str">
            <v/>
          </cell>
          <cell r="J1951" t="str">
            <v/>
          </cell>
          <cell r="N1951" t="str">
            <v/>
          </cell>
          <cell r="O1951" t="str">
            <v/>
          </cell>
          <cell r="P1951" t="str">
            <v/>
          </cell>
          <cell r="Q1951" t="str">
            <v/>
          </cell>
          <cell r="T1951" t="str">
            <v/>
          </cell>
          <cell r="U1951" t="str">
            <v/>
          </cell>
          <cell r="W1951" t="str">
            <v/>
          </cell>
          <cell r="X1951" t="str">
            <v/>
          </cell>
          <cell r="AB1951">
            <v>0</v>
          </cell>
          <cell r="AC1951">
            <v>0</v>
          </cell>
          <cell r="AD1951">
            <v>0</v>
          </cell>
          <cell r="AJ1951">
            <v>0</v>
          </cell>
          <cell r="AK1951">
            <v>0</v>
          </cell>
        </row>
        <row r="1952">
          <cell r="B1952" t="str">
            <v/>
          </cell>
          <cell r="H1952" t="str">
            <v/>
          </cell>
          <cell r="J1952" t="str">
            <v/>
          </cell>
          <cell r="N1952" t="str">
            <v/>
          </cell>
          <cell r="O1952" t="str">
            <v/>
          </cell>
          <cell r="P1952" t="str">
            <v/>
          </cell>
          <cell r="Q1952" t="str">
            <v/>
          </cell>
          <cell r="T1952" t="str">
            <v/>
          </cell>
          <cell r="U1952" t="str">
            <v/>
          </cell>
          <cell r="W1952" t="str">
            <v/>
          </cell>
          <cell r="X1952" t="str">
            <v/>
          </cell>
          <cell r="AB1952">
            <v>0</v>
          </cell>
          <cell r="AC1952">
            <v>0</v>
          </cell>
          <cell r="AD1952">
            <v>0</v>
          </cell>
          <cell r="AJ1952">
            <v>0</v>
          </cell>
          <cell r="AK1952">
            <v>0</v>
          </cell>
        </row>
        <row r="1953">
          <cell r="B1953" t="str">
            <v/>
          </cell>
          <cell r="H1953" t="str">
            <v/>
          </cell>
          <cell r="J1953" t="str">
            <v/>
          </cell>
          <cell r="N1953" t="str">
            <v/>
          </cell>
          <cell r="O1953" t="str">
            <v/>
          </cell>
          <cell r="P1953" t="str">
            <v/>
          </cell>
          <cell r="Q1953" t="str">
            <v/>
          </cell>
          <cell r="T1953" t="str">
            <v/>
          </cell>
          <cell r="U1953" t="str">
            <v/>
          </cell>
          <cell r="W1953" t="str">
            <v/>
          </cell>
          <cell r="X1953" t="str">
            <v/>
          </cell>
          <cell r="AB1953">
            <v>0</v>
          </cell>
          <cell r="AC1953">
            <v>0</v>
          </cell>
          <cell r="AD1953">
            <v>0</v>
          </cell>
          <cell r="AJ1953">
            <v>0</v>
          </cell>
          <cell r="AK1953">
            <v>0</v>
          </cell>
        </row>
        <row r="1954">
          <cell r="B1954" t="str">
            <v/>
          </cell>
          <cell r="H1954" t="str">
            <v/>
          </cell>
          <cell r="J1954" t="str">
            <v/>
          </cell>
          <cell r="N1954" t="str">
            <v/>
          </cell>
          <cell r="O1954" t="str">
            <v/>
          </cell>
          <cell r="P1954" t="str">
            <v/>
          </cell>
          <cell r="Q1954" t="str">
            <v/>
          </cell>
          <cell r="T1954" t="str">
            <v/>
          </cell>
          <cell r="U1954" t="str">
            <v/>
          </cell>
          <cell r="W1954" t="str">
            <v/>
          </cell>
          <cell r="X1954" t="str">
            <v/>
          </cell>
          <cell r="AB1954">
            <v>0</v>
          </cell>
          <cell r="AC1954">
            <v>0</v>
          </cell>
          <cell r="AD1954">
            <v>0</v>
          </cell>
          <cell r="AJ1954">
            <v>0</v>
          </cell>
          <cell r="AK1954">
            <v>0</v>
          </cell>
        </row>
        <row r="1955">
          <cell r="B1955" t="str">
            <v/>
          </cell>
          <cell r="H1955" t="str">
            <v/>
          </cell>
          <cell r="J1955" t="str">
            <v/>
          </cell>
          <cell r="N1955" t="str">
            <v/>
          </cell>
          <cell r="O1955" t="str">
            <v/>
          </cell>
          <cell r="P1955" t="str">
            <v/>
          </cell>
          <cell r="Q1955" t="str">
            <v/>
          </cell>
          <cell r="T1955" t="str">
            <v/>
          </cell>
          <cell r="U1955" t="str">
            <v/>
          </cell>
          <cell r="W1955" t="str">
            <v/>
          </cell>
          <cell r="X1955" t="str">
            <v/>
          </cell>
          <cell r="AB1955">
            <v>0</v>
          </cell>
          <cell r="AC1955">
            <v>0</v>
          </cell>
          <cell r="AD1955">
            <v>0</v>
          </cell>
          <cell r="AJ1955">
            <v>0</v>
          </cell>
          <cell r="AK1955">
            <v>0</v>
          </cell>
        </row>
        <row r="1956">
          <cell r="B1956" t="str">
            <v/>
          </cell>
          <cell r="H1956" t="str">
            <v/>
          </cell>
          <cell r="J1956" t="str">
            <v/>
          </cell>
          <cell r="N1956" t="str">
            <v/>
          </cell>
          <cell r="O1956" t="str">
            <v/>
          </cell>
          <cell r="P1956" t="str">
            <v/>
          </cell>
          <cell r="Q1956" t="str">
            <v/>
          </cell>
          <cell r="T1956" t="str">
            <v/>
          </cell>
          <cell r="U1956" t="str">
            <v/>
          </cell>
          <cell r="W1956" t="str">
            <v/>
          </cell>
          <cell r="X1956" t="str">
            <v/>
          </cell>
          <cell r="AB1956">
            <v>0</v>
          </cell>
          <cell r="AC1956">
            <v>0</v>
          </cell>
          <cell r="AD1956">
            <v>0</v>
          </cell>
          <cell r="AJ1956">
            <v>0</v>
          </cell>
          <cell r="AK1956">
            <v>0</v>
          </cell>
        </row>
        <row r="1957">
          <cell r="B1957" t="str">
            <v/>
          </cell>
          <cell r="H1957" t="str">
            <v/>
          </cell>
          <cell r="J1957" t="str">
            <v/>
          </cell>
          <cell r="N1957" t="str">
            <v/>
          </cell>
          <cell r="O1957" t="str">
            <v/>
          </cell>
          <cell r="P1957" t="str">
            <v/>
          </cell>
          <cell r="Q1957" t="str">
            <v/>
          </cell>
          <cell r="T1957" t="str">
            <v/>
          </cell>
          <cell r="U1957" t="str">
            <v/>
          </cell>
          <cell r="W1957" t="str">
            <v/>
          </cell>
          <cell r="X1957" t="str">
            <v/>
          </cell>
          <cell r="AB1957">
            <v>0</v>
          </cell>
          <cell r="AC1957">
            <v>0</v>
          </cell>
          <cell r="AD1957">
            <v>0</v>
          </cell>
          <cell r="AJ1957">
            <v>0</v>
          </cell>
          <cell r="AK1957">
            <v>0</v>
          </cell>
        </row>
        <row r="1958">
          <cell r="B1958" t="str">
            <v/>
          </cell>
          <cell r="H1958" t="str">
            <v/>
          </cell>
          <cell r="J1958" t="str">
            <v/>
          </cell>
          <cell r="N1958" t="str">
            <v/>
          </cell>
          <cell r="O1958" t="str">
            <v/>
          </cell>
          <cell r="P1958" t="str">
            <v/>
          </cell>
          <cell r="Q1958" t="str">
            <v/>
          </cell>
          <cell r="T1958" t="str">
            <v/>
          </cell>
          <cell r="U1958" t="str">
            <v/>
          </cell>
          <cell r="W1958" t="str">
            <v/>
          </cell>
          <cell r="X1958" t="str">
            <v/>
          </cell>
          <cell r="AB1958">
            <v>0</v>
          </cell>
          <cell r="AC1958">
            <v>0</v>
          </cell>
          <cell r="AD1958">
            <v>0</v>
          </cell>
          <cell r="AJ1958">
            <v>0</v>
          </cell>
          <cell r="AK1958">
            <v>0</v>
          </cell>
        </row>
        <row r="1959">
          <cell r="B1959" t="str">
            <v/>
          </cell>
          <cell r="H1959" t="str">
            <v/>
          </cell>
          <cell r="J1959" t="str">
            <v/>
          </cell>
          <cell r="N1959" t="str">
            <v/>
          </cell>
          <cell r="O1959" t="str">
            <v/>
          </cell>
          <cell r="P1959" t="str">
            <v/>
          </cell>
          <cell r="Q1959" t="str">
            <v/>
          </cell>
          <cell r="T1959" t="str">
            <v/>
          </cell>
          <cell r="U1959" t="str">
            <v/>
          </cell>
          <cell r="W1959" t="str">
            <v/>
          </cell>
          <cell r="X1959" t="str">
            <v/>
          </cell>
          <cell r="AB1959">
            <v>0</v>
          </cell>
          <cell r="AC1959">
            <v>0</v>
          </cell>
          <cell r="AD1959">
            <v>0</v>
          </cell>
          <cell r="AJ1959">
            <v>0</v>
          </cell>
          <cell r="AK1959">
            <v>0</v>
          </cell>
        </row>
        <row r="1960">
          <cell r="B1960" t="str">
            <v/>
          </cell>
          <cell r="H1960" t="str">
            <v/>
          </cell>
          <cell r="J1960" t="str">
            <v/>
          </cell>
          <cell r="N1960" t="str">
            <v/>
          </cell>
          <cell r="O1960" t="str">
            <v/>
          </cell>
          <cell r="P1960" t="str">
            <v/>
          </cell>
          <cell r="Q1960" t="str">
            <v/>
          </cell>
          <cell r="T1960" t="str">
            <v/>
          </cell>
          <cell r="U1960" t="str">
            <v/>
          </cell>
          <cell r="W1960" t="str">
            <v/>
          </cell>
          <cell r="X1960" t="str">
            <v/>
          </cell>
          <cell r="AB1960">
            <v>0</v>
          </cell>
          <cell r="AC1960">
            <v>0</v>
          </cell>
          <cell r="AD1960">
            <v>0</v>
          </cell>
          <cell r="AJ1960">
            <v>0</v>
          </cell>
          <cell r="AK1960">
            <v>0</v>
          </cell>
        </row>
        <row r="1961">
          <cell r="B1961" t="str">
            <v/>
          </cell>
          <cell r="H1961" t="str">
            <v/>
          </cell>
          <cell r="J1961" t="str">
            <v/>
          </cell>
          <cell r="N1961" t="str">
            <v/>
          </cell>
          <cell r="O1961" t="str">
            <v/>
          </cell>
          <cell r="P1961" t="str">
            <v/>
          </cell>
          <cell r="Q1961" t="str">
            <v/>
          </cell>
          <cell r="T1961" t="str">
            <v/>
          </cell>
          <cell r="U1961" t="str">
            <v/>
          </cell>
          <cell r="W1961" t="str">
            <v/>
          </cell>
          <cell r="X1961" t="str">
            <v/>
          </cell>
          <cell r="AB1961">
            <v>0</v>
          </cell>
          <cell r="AC1961">
            <v>0</v>
          </cell>
          <cell r="AD1961">
            <v>0</v>
          </cell>
          <cell r="AJ1961">
            <v>0</v>
          </cell>
          <cell r="AK1961">
            <v>0</v>
          </cell>
        </row>
        <row r="1962">
          <cell r="B1962" t="str">
            <v/>
          </cell>
          <cell r="H1962" t="str">
            <v/>
          </cell>
          <cell r="J1962" t="str">
            <v/>
          </cell>
          <cell r="N1962" t="str">
            <v/>
          </cell>
          <cell r="O1962" t="str">
            <v/>
          </cell>
          <cell r="P1962" t="str">
            <v/>
          </cell>
          <cell r="Q1962" t="str">
            <v/>
          </cell>
          <cell r="T1962" t="str">
            <v/>
          </cell>
          <cell r="U1962" t="str">
            <v/>
          </cell>
          <cell r="W1962" t="str">
            <v/>
          </cell>
          <cell r="X1962" t="str">
            <v/>
          </cell>
          <cell r="AB1962">
            <v>0</v>
          </cell>
          <cell r="AC1962">
            <v>0</v>
          </cell>
          <cell r="AD1962">
            <v>0</v>
          </cell>
          <cell r="AJ1962">
            <v>0</v>
          </cell>
          <cell r="AK1962">
            <v>0</v>
          </cell>
        </row>
        <row r="1963">
          <cell r="B1963" t="str">
            <v/>
          </cell>
          <cell r="H1963" t="str">
            <v/>
          </cell>
          <cell r="J1963" t="str">
            <v/>
          </cell>
          <cell r="N1963" t="str">
            <v/>
          </cell>
          <cell r="O1963" t="str">
            <v/>
          </cell>
          <cell r="P1963" t="str">
            <v/>
          </cell>
          <cell r="Q1963" t="str">
            <v/>
          </cell>
          <cell r="T1963" t="str">
            <v/>
          </cell>
          <cell r="U1963" t="str">
            <v/>
          </cell>
          <cell r="W1963" t="str">
            <v/>
          </cell>
          <cell r="X1963" t="str">
            <v/>
          </cell>
          <cell r="AB1963">
            <v>0</v>
          </cell>
          <cell r="AC1963">
            <v>0</v>
          </cell>
          <cell r="AD1963">
            <v>0</v>
          </cell>
          <cell r="AJ1963">
            <v>0</v>
          </cell>
          <cell r="AK1963">
            <v>0</v>
          </cell>
        </row>
        <row r="1964">
          <cell r="B1964" t="str">
            <v/>
          </cell>
          <cell r="H1964" t="str">
            <v/>
          </cell>
          <cell r="J1964" t="str">
            <v/>
          </cell>
          <cell r="N1964" t="str">
            <v/>
          </cell>
          <cell r="O1964" t="str">
            <v/>
          </cell>
          <cell r="P1964" t="str">
            <v/>
          </cell>
          <cell r="Q1964" t="str">
            <v/>
          </cell>
          <cell r="T1964" t="str">
            <v/>
          </cell>
          <cell r="U1964" t="str">
            <v/>
          </cell>
          <cell r="W1964" t="str">
            <v/>
          </cell>
          <cell r="X1964" t="str">
            <v/>
          </cell>
          <cell r="AB1964">
            <v>0</v>
          </cell>
          <cell r="AC1964">
            <v>0</v>
          </cell>
          <cell r="AD1964">
            <v>0</v>
          </cell>
          <cell r="AJ1964">
            <v>0</v>
          </cell>
          <cell r="AK1964">
            <v>0</v>
          </cell>
        </row>
        <row r="1965">
          <cell r="B1965" t="str">
            <v/>
          </cell>
          <cell r="H1965" t="str">
            <v/>
          </cell>
          <cell r="J1965" t="str">
            <v/>
          </cell>
          <cell r="N1965" t="str">
            <v/>
          </cell>
          <cell r="O1965" t="str">
            <v/>
          </cell>
          <cell r="P1965" t="str">
            <v/>
          </cell>
          <cell r="Q1965" t="str">
            <v/>
          </cell>
          <cell r="T1965" t="str">
            <v/>
          </cell>
          <cell r="U1965" t="str">
            <v/>
          </cell>
          <cell r="W1965" t="str">
            <v/>
          </cell>
          <cell r="X1965" t="str">
            <v/>
          </cell>
          <cell r="AB1965">
            <v>0</v>
          </cell>
          <cell r="AC1965">
            <v>0</v>
          </cell>
          <cell r="AD1965">
            <v>0</v>
          </cell>
          <cell r="AJ1965">
            <v>0</v>
          </cell>
          <cell r="AK1965">
            <v>0</v>
          </cell>
        </row>
        <row r="1966">
          <cell r="B1966" t="str">
            <v/>
          </cell>
          <cell r="H1966" t="str">
            <v/>
          </cell>
          <cell r="J1966" t="str">
            <v/>
          </cell>
          <cell r="N1966" t="str">
            <v/>
          </cell>
          <cell r="O1966" t="str">
            <v/>
          </cell>
          <cell r="P1966" t="str">
            <v/>
          </cell>
          <cell r="Q1966" t="str">
            <v/>
          </cell>
          <cell r="T1966" t="str">
            <v/>
          </cell>
          <cell r="U1966" t="str">
            <v/>
          </cell>
          <cell r="W1966" t="str">
            <v/>
          </cell>
          <cell r="X1966" t="str">
            <v/>
          </cell>
          <cell r="AB1966">
            <v>0</v>
          </cell>
          <cell r="AC1966">
            <v>0</v>
          </cell>
          <cell r="AD1966">
            <v>0</v>
          </cell>
          <cell r="AJ1966">
            <v>0</v>
          </cell>
          <cell r="AK1966">
            <v>0</v>
          </cell>
        </row>
        <row r="1967">
          <cell r="B1967" t="str">
            <v/>
          </cell>
          <cell r="H1967" t="str">
            <v/>
          </cell>
          <cell r="J1967" t="str">
            <v/>
          </cell>
          <cell r="N1967" t="str">
            <v/>
          </cell>
          <cell r="O1967" t="str">
            <v/>
          </cell>
          <cell r="P1967" t="str">
            <v/>
          </cell>
          <cell r="Q1967" t="str">
            <v/>
          </cell>
          <cell r="T1967" t="str">
            <v/>
          </cell>
          <cell r="U1967" t="str">
            <v/>
          </cell>
          <cell r="W1967" t="str">
            <v/>
          </cell>
          <cell r="X1967" t="str">
            <v/>
          </cell>
          <cell r="AB1967">
            <v>0</v>
          </cell>
          <cell r="AC1967">
            <v>0</v>
          </cell>
          <cell r="AD1967">
            <v>0</v>
          </cell>
          <cell r="AJ1967">
            <v>0</v>
          </cell>
          <cell r="AK1967">
            <v>0</v>
          </cell>
        </row>
        <row r="1968">
          <cell r="B1968" t="str">
            <v/>
          </cell>
          <cell r="H1968" t="str">
            <v/>
          </cell>
          <cell r="J1968" t="str">
            <v/>
          </cell>
          <cell r="N1968" t="str">
            <v/>
          </cell>
          <cell r="O1968" t="str">
            <v/>
          </cell>
          <cell r="P1968" t="str">
            <v/>
          </cell>
          <cell r="Q1968" t="str">
            <v/>
          </cell>
          <cell r="T1968" t="str">
            <v/>
          </cell>
          <cell r="U1968" t="str">
            <v/>
          </cell>
          <cell r="W1968" t="str">
            <v/>
          </cell>
          <cell r="X1968" t="str">
            <v/>
          </cell>
          <cell r="AB1968">
            <v>0</v>
          </cell>
          <cell r="AC1968">
            <v>0</v>
          </cell>
          <cell r="AD1968">
            <v>0</v>
          </cell>
          <cell r="AJ1968">
            <v>0</v>
          </cell>
          <cell r="AK1968">
            <v>0</v>
          </cell>
        </row>
        <row r="1969">
          <cell r="B1969" t="str">
            <v/>
          </cell>
          <cell r="H1969" t="str">
            <v/>
          </cell>
          <cell r="J1969" t="str">
            <v/>
          </cell>
          <cell r="N1969" t="str">
            <v/>
          </cell>
          <cell r="O1969" t="str">
            <v/>
          </cell>
          <cell r="P1969" t="str">
            <v/>
          </cell>
          <cell r="Q1969" t="str">
            <v/>
          </cell>
          <cell r="T1969" t="str">
            <v/>
          </cell>
          <cell r="U1969" t="str">
            <v/>
          </cell>
          <cell r="W1969" t="str">
            <v/>
          </cell>
          <cell r="X1969" t="str">
            <v/>
          </cell>
          <cell r="AB1969">
            <v>0</v>
          </cell>
          <cell r="AC1969">
            <v>0</v>
          </cell>
          <cell r="AD1969">
            <v>0</v>
          </cell>
          <cell r="AJ1969">
            <v>0</v>
          </cell>
          <cell r="AK1969">
            <v>0</v>
          </cell>
        </row>
        <row r="1970">
          <cell r="B1970" t="str">
            <v/>
          </cell>
          <cell r="H1970" t="str">
            <v/>
          </cell>
          <cell r="J1970" t="str">
            <v/>
          </cell>
          <cell r="N1970" t="str">
            <v/>
          </cell>
          <cell r="O1970" t="str">
            <v/>
          </cell>
          <cell r="P1970" t="str">
            <v/>
          </cell>
          <cell r="Q1970" t="str">
            <v/>
          </cell>
          <cell r="T1970" t="str">
            <v/>
          </cell>
          <cell r="U1970" t="str">
            <v/>
          </cell>
          <cell r="W1970" t="str">
            <v/>
          </cell>
          <cell r="X1970" t="str">
            <v/>
          </cell>
          <cell r="AB1970">
            <v>0</v>
          </cell>
          <cell r="AC1970">
            <v>0</v>
          </cell>
          <cell r="AD1970">
            <v>0</v>
          </cell>
          <cell r="AJ1970">
            <v>0</v>
          </cell>
          <cell r="AK1970">
            <v>0</v>
          </cell>
        </row>
        <row r="1971">
          <cell r="B1971" t="str">
            <v/>
          </cell>
          <cell r="H1971" t="str">
            <v/>
          </cell>
          <cell r="J1971" t="str">
            <v/>
          </cell>
          <cell r="N1971" t="str">
            <v/>
          </cell>
          <cell r="O1971" t="str">
            <v/>
          </cell>
          <cell r="P1971" t="str">
            <v/>
          </cell>
          <cell r="Q1971" t="str">
            <v/>
          </cell>
          <cell r="T1971" t="str">
            <v/>
          </cell>
          <cell r="U1971" t="str">
            <v/>
          </cell>
          <cell r="W1971" t="str">
            <v/>
          </cell>
          <cell r="X1971" t="str">
            <v/>
          </cell>
          <cell r="AB1971">
            <v>0</v>
          </cell>
          <cell r="AC1971">
            <v>0</v>
          </cell>
          <cell r="AD1971">
            <v>0</v>
          </cell>
          <cell r="AJ1971">
            <v>0</v>
          </cell>
          <cell r="AK1971">
            <v>0</v>
          </cell>
        </row>
        <row r="1972">
          <cell r="B1972" t="str">
            <v/>
          </cell>
          <cell r="H1972" t="str">
            <v/>
          </cell>
          <cell r="J1972" t="str">
            <v/>
          </cell>
          <cell r="N1972" t="str">
            <v/>
          </cell>
          <cell r="O1972" t="str">
            <v/>
          </cell>
          <cell r="P1972" t="str">
            <v/>
          </cell>
          <cell r="Q1972" t="str">
            <v/>
          </cell>
          <cell r="T1972" t="str">
            <v/>
          </cell>
          <cell r="U1972" t="str">
            <v/>
          </cell>
          <cell r="W1972" t="str">
            <v/>
          </cell>
          <cell r="X1972" t="str">
            <v/>
          </cell>
          <cell r="AB1972">
            <v>0</v>
          </cell>
          <cell r="AC1972">
            <v>0</v>
          </cell>
          <cell r="AD1972">
            <v>0</v>
          </cell>
          <cell r="AJ1972">
            <v>0</v>
          </cell>
          <cell r="AK1972">
            <v>0</v>
          </cell>
        </row>
        <row r="1973">
          <cell r="B1973" t="str">
            <v/>
          </cell>
          <cell r="H1973" t="str">
            <v/>
          </cell>
          <cell r="J1973" t="str">
            <v/>
          </cell>
          <cell r="N1973" t="str">
            <v/>
          </cell>
          <cell r="O1973" t="str">
            <v/>
          </cell>
          <cell r="P1973" t="str">
            <v/>
          </cell>
          <cell r="Q1973" t="str">
            <v/>
          </cell>
          <cell r="T1973" t="str">
            <v/>
          </cell>
          <cell r="U1973" t="str">
            <v/>
          </cell>
          <cell r="W1973" t="str">
            <v/>
          </cell>
          <cell r="X1973" t="str">
            <v/>
          </cell>
          <cell r="AB1973">
            <v>0</v>
          </cell>
          <cell r="AC1973">
            <v>0</v>
          </cell>
          <cell r="AD1973">
            <v>0</v>
          </cell>
          <cell r="AJ1973">
            <v>0</v>
          </cell>
          <cell r="AK1973">
            <v>0</v>
          </cell>
        </row>
        <row r="1974">
          <cell r="B1974" t="str">
            <v/>
          </cell>
          <cell r="H1974" t="str">
            <v/>
          </cell>
          <cell r="J1974" t="str">
            <v/>
          </cell>
          <cell r="N1974" t="str">
            <v/>
          </cell>
          <cell r="O1974" t="str">
            <v/>
          </cell>
          <cell r="P1974" t="str">
            <v/>
          </cell>
          <cell r="Q1974" t="str">
            <v/>
          </cell>
          <cell r="T1974" t="str">
            <v/>
          </cell>
          <cell r="U1974" t="str">
            <v/>
          </cell>
          <cell r="W1974" t="str">
            <v/>
          </cell>
          <cell r="X1974" t="str">
            <v/>
          </cell>
          <cell r="AB1974">
            <v>0</v>
          </cell>
          <cell r="AC1974">
            <v>0</v>
          </cell>
          <cell r="AD1974">
            <v>0</v>
          </cell>
          <cell r="AJ1974">
            <v>0</v>
          </cell>
          <cell r="AK1974">
            <v>0</v>
          </cell>
        </row>
        <row r="1975">
          <cell r="B1975" t="str">
            <v/>
          </cell>
          <cell r="H1975" t="str">
            <v/>
          </cell>
          <cell r="J1975" t="str">
            <v/>
          </cell>
          <cell r="N1975" t="str">
            <v/>
          </cell>
          <cell r="O1975" t="str">
            <v/>
          </cell>
          <cell r="P1975" t="str">
            <v/>
          </cell>
          <cell r="Q1975" t="str">
            <v/>
          </cell>
          <cell r="T1975" t="str">
            <v/>
          </cell>
          <cell r="U1975" t="str">
            <v/>
          </cell>
          <cell r="W1975" t="str">
            <v/>
          </cell>
          <cell r="X1975" t="str">
            <v/>
          </cell>
          <cell r="AB1975">
            <v>0</v>
          </cell>
          <cell r="AC1975">
            <v>0</v>
          </cell>
          <cell r="AD1975">
            <v>0</v>
          </cell>
          <cell r="AJ1975">
            <v>0</v>
          </cell>
          <cell r="AK1975">
            <v>0</v>
          </cell>
        </row>
        <row r="1976">
          <cell r="B1976" t="str">
            <v/>
          </cell>
          <cell r="H1976" t="str">
            <v/>
          </cell>
          <cell r="J1976" t="str">
            <v/>
          </cell>
          <cell r="N1976" t="str">
            <v/>
          </cell>
          <cell r="O1976" t="str">
            <v/>
          </cell>
          <cell r="P1976" t="str">
            <v/>
          </cell>
          <cell r="Q1976" t="str">
            <v/>
          </cell>
          <cell r="T1976" t="str">
            <v/>
          </cell>
          <cell r="U1976" t="str">
            <v/>
          </cell>
          <cell r="W1976" t="str">
            <v/>
          </cell>
          <cell r="X1976" t="str">
            <v/>
          </cell>
          <cell r="AB1976">
            <v>0</v>
          </cell>
          <cell r="AC1976">
            <v>0</v>
          </cell>
          <cell r="AD1976">
            <v>0</v>
          </cell>
          <cell r="AJ1976">
            <v>0</v>
          </cell>
          <cell r="AK1976">
            <v>0</v>
          </cell>
        </row>
        <row r="1977">
          <cell r="B1977" t="str">
            <v/>
          </cell>
          <cell r="H1977" t="str">
            <v/>
          </cell>
          <cell r="J1977" t="str">
            <v/>
          </cell>
          <cell r="N1977" t="str">
            <v/>
          </cell>
          <cell r="O1977" t="str">
            <v/>
          </cell>
          <cell r="P1977" t="str">
            <v/>
          </cell>
          <cell r="Q1977" t="str">
            <v/>
          </cell>
          <cell r="T1977" t="str">
            <v/>
          </cell>
          <cell r="U1977" t="str">
            <v/>
          </cell>
          <cell r="W1977" t="str">
            <v/>
          </cell>
          <cell r="X1977" t="str">
            <v/>
          </cell>
          <cell r="AB1977">
            <v>0</v>
          </cell>
          <cell r="AC1977">
            <v>0</v>
          </cell>
          <cell r="AD1977">
            <v>0</v>
          </cell>
          <cell r="AJ1977">
            <v>0</v>
          </cell>
          <cell r="AK1977">
            <v>0</v>
          </cell>
        </row>
        <row r="1978">
          <cell r="B1978" t="str">
            <v/>
          </cell>
          <cell r="H1978" t="str">
            <v/>
          </cell>
          <cell r="J1978" t="str">
            <v/>
          </cell>
          <cell r="N1978" t="str">
            <v/>
          </cell>
          <cell r="O1978" t="str">
            <v/>
          </cell>
          <cell r="P1978" t="str">
            <v/>
          </cell>
          <cell r="Q1978" t="str">
            <v/>
          </cell>
          <cell r="T1978" t="str">
            <v/>
          </cell>
          <cell r="U1978" t="str">
            <v/>
          </cell>
          <cell r="W1978" t="str">
            <v/>
          </cell>
          <cell r="X1978" t="str">
            <v/>
          </cell>
          <cell r="AB1978">
            <v>0</v>
          </cell>
          <cell r="AC1978">
            <v>0</v>
          </cell>
          <cell r="AD1978">
            <v>0</v>
          </cell>
          <cell r="AJ1978">
            <v>0</v>
          </cell>
          <cell r="AK1978">
            <v>0</v>
          </cell>
        </row>
        <row r="1979">
          <cell r="B1979" t="str">
            <v/>
          </cell>
          <cell r="H1979" t="str">
            <v/>
          </cell>
          <cell r="J1979" t="str">
            <v/>
          </cell>
          <cell r="N1979" t="str">
            <v/>
          </cell>
          <cell r="O1979" t="str">
            <v/>
          </cell>
          <cell r="P1979" t="str">
            <v/>
          </cell>
          <cell r="Q1979" t="str">
            <v/>
          </cell>
          <cell r="T1979" t="str">
            <v/>
          </cell>
          <cell r="U1979" t="str">
            <v/>
          </cell>
          <cell r="W1979" t="str">
            <v/>
          </cell>
          <cell r="X1979" t="str">
            <v/>
          </cell>
          <cell r="AB1979">
            <v>0</v>
          </cell>
          <cell r="AC1979">
            <v>0</v>
          </cell>
          <cell r="AD1979">
            <v>0</v>
          </cell>
          <cell r="AJ1979">
            <v>0</v>
          </cell>
          <cell r="AK1979">
            <v>0</v>
          </cell>
        </row>
        <row r="1980">
          <cell r="B1980" t="str">
            <v/>
          </cell>
          <cell r="H1980" t="str">
            <v/>
          </cell>
          <cell r="J1980" t="str">
            <v/>
          </cell>
          <cell r="N1980" t="str">
            <v/>
          </cell>
          <cell r="O1980" t="str">
            <v/>
          </cell>
          <cell r="P1980" t="str">
            <v/>
          </cell>
          <cell r="Q1980" t="str">
            <v/>
          </cell>
          <cell r="T1980" t="str">
            <v/>
          </cell>
          <cell r="U1980" t="str">
            <v/>
          </cell>
          <cell r="W1980" t="str">
            <v/>
          </cell>
          <cell r="X1980" t="str">
            <v/>
          </cell>
          <cell r="AB1980">
            <v>0</v>
          </cell>
          <cell r="AC1980">
            <v>0</v>
          </cell>
          <cell r="AD1980">
            <v>0</v>
          </cell>
          <cell r="AJ1980">
            <v>0</v>
          </cell>
          <cell r="AK1980">
            <v>0</v>
          </cell>
        </row>
        <row r="1981">
          <cell r="B1981" t="str">
            <v/>
          </cell>
          <cell r="H1981" t="str">
            <v/>
          </cell>
          <cell r="J1981" t="str">
            <v/>
          </cell>
          <cell r="N1981" t="str">
            <v/>
          </cell>
          <cell r="O1981" t="str">
            <v/>
          </cell>
          <cell r="P1981" t="str">
            <v/>
          </cell>
          <cell r="Q1981" t="str">
            <v/>
          </cell>
          <cell r="T1981" t="str">
            <v/>
          </cell>
          <cell r="U1981" t="str">
            <v/>
          </cell>
          <cell r="W1981" t="str">
            <v/>
          </cell>
          <cell r="X1981" t="str">
            <v/>
          </cell>
          <cell r="AB1981">
            <v>0</v>
          </cell>
          <cell r="AC1981">
            <v>0</v>
          </cell>
          <cell r="AD1981">
            <v>0</v>
          </cell>
          <cell r="AJ1981">
            <v>0</v>
          </cell>
          <cell r="AK1981">
            <v>0</v>
          </cell>
        </row>
        <row r="1982">
          <cell r="B1982" t="str">
            <v/>
          </cell>
          <cell r="H1982" t="str">
            <v/>
          </cell>
          <cell r="J1982" t="str">
            <v/>
          </cell>
          <cell r="N1982" t="str">
            <v/>
          </cell>
          <cell r="O1982" t="str">
            <v/>
          </cell>
          <cell r="P1982" t="str">
            <v/>
          </cell>
          <cell r="Q1982" t="str">
            <v/>
          </cell>
          <cell r="T1982" t="str">
            <v/>
          </cell>
          <cell r="U1982" t="str">
            <v/>
          </cell>
          <cell r="W1982" t="str">
            <v/>
          </cell>
          <cell r="X1982" t="str">
            <v/>
          </cell>
          <cell r="AB1982">
            <v>0</v>
          </cell>
          <cell r="AC1982">
            <v>0</v>
          </cell>
          <cell r="AD1982">
            <v>0</v>
          </cell>
          <cell r="AJ1982">
            <v>0</v>
          </cell>
          <cell r="AK1982">
            <v>0</v>
          </cell>
        </row>
        <row r="1983">
          <cell r="B1983" t="str">
            <v/>
          </cell>
          <cell r="H1983" t="str">
            <v/>
          </cell>
          <cell r="J1983" t="str">
            <v/>
          </cell>
          <cell r="N1983" t="str">
            <v/>
          </cell>
          <cell r="O1983" t="str">
            <v/>
          </cell>
          <cell r="P1983" t="str">
            <v/>
          </cell>
          <cell r="Q1983" t="str">
            <v/>
          </cell>
          <cell r="T1983" t="str">
            <v/>
          </cell>
          <cell r="U1983" t="str">
            <v/>
          </cell>
          <cell r="W1983" t="str">
            <v/>
          </cell>
          <cell r="X1983" t="str">
            <v/>
          </cell>
          <cell r="AB1983">
            <v>0</v>
          </cell>
          <cell r="AC1983">
            <v>0</v>
          </cell>
          <cell r="AD1983">
            <v>0</v>
          </cell>
          <cell r="AJ1983">
            <v>0</v>
          </cell>
          <cell r="AK1983">
            <v>0</v>
          </cell>
        </row>
        <row r="1984">
          <cell r="B1984" t="str">
            <v/>
          </cell>
          <cell r="H1984" t="str">
            <v/>
          </cell>
          <cell r="J1984" t="str">
            <v/>
          </cell>
          <cell r="N1984" t="str">
            <v/>
          </cell>
          <cell r="O1984" t="str">
            <v/>
          </cell>
          <cell r="P1984" t="str">
            <v/>
          </cell>
          <cell r="Q1984" t="str">
            <v/>
          </cell>
          <cell r="T1984" t="str">
            <v/>
          </cell>
          <cell r="U1984" t="str">
            <v/>
          </cell>
          <cell r="W1984" t="str">
            <v/>
          </cell>
          <cell r="X1984" t="str">
            <v/>
          </cell>
          <cell r="AB1984">
            <v>0</v>
          </cell>
          <cell r="AC1984">
            <v>0</v>
          </cell>
          <cell r="AD1984">
            <v>0</v>
          </cell>
          <cell r="AJ1984">
            <v>0</v>
          </cell>
          <cell r="AK1984">
            <v>0</v>
          </cell>
        </row>
        <row r="1985">
          <cell r="B1985" t="str">
            <v/>
          </cell>
          <cell r="H1985" t="str">
            <v/>
          </cell>
          <cell r="J1985" t="str">
            <v/>
          </cell>
          <cell r="N1985" t="str">
            <v/>
          </cell>
          <cell r="O1985" t="str">
            <v/>
          </cell>
          <cell r="P1985" t="str">
            <v/>
          </cell>
          <cell r="Q1985" t="str">
            <v/>
          </cell>
          <cell r="T1985" t="str">
            <v/>
          </cell>
          <cell r="U1985" t="str">
            <v/>
          </cell>
          <cell r="W1985" t="str">
            <v/>
          </cell>
          <cell r="X1985" t="str">
            <v/>
          </cell>
          <cell r="AB1985">
            <v>0</v>
          </cell>
          <cell r="AC1985">
            <v>0</v>
          </cell>
          <cell r="AD1985">
            <v>0</v>
          </cell>
          <cell r="AJ1985">
            <v>0</v>
          </cell>
          <cell r="AK1985">
            <v>0</v>
          </cell>
        </row>
        <row r="1986">
          <cell r="B1986" t="str">
            <v/>
          </cell>
          <cell r="H1986" t="str">
            <v/>
          </cell>
          <cell r="J1986" t="str">
            <v/>
          </cell>
          <cell r="N1986" t="str">
            <v/>
          </cell>
          <cell r="O1986" t="str">
            <v/>
          </cell>
          <cell r="P1986" t="str">
            <v/>
          </cell>
          <cell r="Q1986" t="str">
            <v/>
          </cell>
          <cell r="T1986" t="str">
            <v/>
          </cell>
          <cell r="U1986" t="str">
            <v/>
          </cell>
          <cell r="W1986" t="str">
            <v/>
          </cell>
          <cell r="X1986" t="str">
            <v/>
          </cell>
          <cell r="AB1986">
            <v>0</v>
          </cell>
          <cell r="AC1986">
            <v>0</v>
          </cell>
          <cell r="AD1986">
            <v>0</v>
          </cell>
          <cell r="AJ1986">
            <v>0</v>
          </cell>
          <cell r="AK1986">
            <v>0</v>
          </cell>
        </row>
        <row r="1987">
          <cell r="B1987" t="str">
            <v/>
          </cell>
          <cell r="H1987" t="str">
            <v/>
          </cell>
          <cell r="J1987" t="str">
            <v/>
          </cell>
          <cell r="N1987" t="str">
            <v/>
          </cell>
          <cell r="O1987" t="str">
            <v/>
          </cell>
          <cell r="P1987" t="str">
            <v/>
          </cell>
          <cell r="Q1987" t="str">
            <v/>
          </cell>
          <cell r="T1987" t="str">
            <v/>
          </cell>
          <cell r="U1987" t="str">
            <v/>
          </cell>
          <cell r="W1987" t="str">
            <v/>
          </cell>
          <cell r="X1987" t="str">
            <v/>
          </cell>
          <cell r="AB1987">
            <v>0</v>
          </cell>
          <cell r="AC1987">
            <v>0</v>
          </cell>
          <cell r="AD1987">
            <v>0</v>
          </cell>
          <cell r="AJ1987">
            <v>0</v>
          </cell>
          <cell r="AK1987">
            <v>0</v>
          </cell>
        </row>
        <row r="1988">
          <cell r="B1988" t="str">
            <v/>
          </cell>
          <cell r="H1988" t="str">
            <v/>
          </cell>
          <cell r="J1988" t="str">
            <v/>
          </cell>
          <cell r="N1988" t="str">
            <v/>
          </cell>
          <cell r="O1988" t="str">
            <v/>
          </cell>
          <cell r="P1988" t="str">
            <v/>
          </cell>
          <cell r="Q1988" t="str">
            <v/>
          </cell>
          <cell r="T1988" t="str">
            <v/>
          </cell>
          <cell r="U1988" t="str">
            <v/>
          </cell>
          <cell r="W1988" t="str">
            <v/>
          </cell>
          <cell r="X1988" t="str">
            <v/>
          </cell>
          <cell r="AB1988">
            <v>0</v>
          </cell>
          <cell r="AC1988">
            <v>0</v>
          </cell>
          <cell r="AD1988">
            <v>0</v>
          </cell>
          <cell r="AJ1988">
            <v>0</v>
          </cell>
          <cell r="AK1988">
            <v>0</v>
          </cell>
        </row>
        <row r="1989">
          <cell r="B1989" t="str">
            <v/>
          </cell>
          <cell r="H1989" t="str">
            <v/>
          </cell>
          <cell r="J1989" t="str">
            <v/>
          </cell>
          <cell r="N1989" t="str">
            <v/>
          </cell>
          <cell r="O1989" t="str">
            <v/>
          </cell>
          <cell r="P1989" t="str">
            <v/>
          </cell>
          <cell r="Q1989" t="str">
            <v/>
          </cell>
          <cell r="T1989" t="str">
            <v/>
          </cell>
          <cell r="U1989" t="str">
            <v/>
          </cell>
          <cell r="W1989" t="str">
            <v/>
          </cell>
          <cell r="X1989" t="str">
            <v/>
          </cell>
          <cell r="AB1989">
            <v>0</v>
          </cell>
          <cell r="AC1989">
            <v>0</v>
          </cell>
          <cell r="AD1989">
            <v>0</v>
          </cell>
          <cell r="AJ1989">
            <v>0</v>
          </cell>
          <cell r="AK1989">
            <v>0</v>
          </cell>
        </row>
        <row r="1990">
          <cell r="B1990" t="str">
            <v/>
          </cell>
          <cell r="H1990" t="str">
            <v/>
          </cell>
          <cell r="J1990" t="str">
            <v/>
          </cell>
          <cell r="N1990" t="str">
            <v/>
          </cell>
          <cell r="O1990" t="str">
            <v/>
          </cell>
          <cell r="P1990" t="str">
            <v/>
          </cell>
          <cell r="Q1990" t="str">
            <v/>
          </cell>
          <cell r="T1990" t="str">
            <v/>
          </cell>
          <cell r="U1990" t="str">
            <v/>
          </cell>
          <cell r="W1990" t="str">
            <v/>
          </cell>
          <cell r="X1990" t="str">
            <v/>
          </cell>
          <cell r="AB1990">
            <v>0</v>
          </cell>
          <cell r="AC1990">
            <v>0</v>
          </cell>
          <cell r="AD1990">
            <v>0</v>
          </cell>
          <cell r="AJ1990">
            <v>0</v>
          </cell>
          <cell r="AK1990">
            <v>0</v>
          </cell>
        </row>
        <row r="1991">
          <cell r="B1991" t="str">
            <v/>
          </cell>
          <cell r="H1991" t="str">
            <v/>
          </cell>
          <cell r="J1991" t="str">
            <v/>
          </cell>
          <cell r="N1991" t="str">
            <v/>
          </cell>
          <cell r="O1991" t="str">
            <v/>
          </cell>
          <cell r="P1991" t="str">
            <v/>
          </cell>
          <cell r="Q1991" t="str">
            <v/>
          </cell>
          <cell r="T1991" t="str">
            <v/>
          </cell>
          <cell r="U1991" t="str">
            <v/>
          </cell>
          <cell r="W1991" t="str">
            <v/>
          </cell>
          <cell r="X1991" t="str">
            <v/>
          </cell>
          <cell r="AB1991">
            <v>0</v>
          </cell>
          <cell r="AC1991">
            <v>0</v>
          </cell>
          <cell r="AD1991">
            <v>0</v>
          </cell>
          <cell r="AJ1991">
            <v>0</v>
          </cell>
          <cell r="AK1991">
            <v>0</v>
          </cell>
        </row>
        <row r="1992">
          <cell r="B1992" t="str">
            <v/>
          </cell>
          <cell r="H1992" t="str">
            <v/>
          </cell>
          <cell r="J1992" t="str">
            <v/>
          </cell>
          <cell r="N1992" t="str">
            <v/>
          </cell>
          <cell r="O1992" t="str">
            <v/>
          </cell>
          <cell r="P1992" t="str">
            <v/>
          </cell>
          <cell r="Q1992" t="str">
            <v/>
          </cell>
          <cell r="T1992" t="str">
            <v/>
          </cell>
          <cell r="U1992" t="str">
            <v/>
          </cell>
          <cell r="W1992" t="str">
            <v/>
          </cell>
          <cell r="X1992" t="str">
            <v/>
          </cell>
          <cell r="AB1992">
            <v>0</v>
          </cell>
          <cell r="AC1992">
            <v>0</v>
          </cell>
          <cell r="AD1992">
            <v>0</v>
          </cell>
          <cell r="AJ1992">
            <v>0</v>
          </cell>
          <cell r="AK1992">
            <v>0</v>
          </cell>
        </row>
        <row r="1993">
          <cell r="B1993" t="str">
            <v/>
          </cell>
          <cell r="H1993" t="str">
            <v/>
          </cell>
          <cell r="J1993" t="str">
            <v/>
          </cell>
          <cell r="N1993" t="str">
            <v/>
          </cell>
          <cell r="O1993" t="str">
            <v/>
          </cell>
          <cell r="P1993" t="str">
            <v/>
          </cell>
          <cell r="Q1993" t="str">
            <v/>
          </cell>
          <cell r="T1993" t="str">
            <v/>
          </cell>
          <cell r="U1993" t="str">
            <v/>
          </cell>
          <cell r="W1993" t="str">
            <v/>
          </cell>
          <cell r="X1993" t="str">
            <v/>
          </cell>
          <cell r="AB1993">
            <v>0</v>
          </cell>
          <cell r="AC1993">
            <v>0</v>
          </cell>
          <cell r="AD1993">
            <v>0</v>
          </cell>
          <cell r="AJ1993">
            <v>0</v>
          </cell>
          <cell r="AK1993">
            <v>0</v>
          </cell>
        </row>
        <row r="1994">
          <cell r="B1994" t="str">
            <v/>
          </cell>
          <cell r="H1994" t="str">
            <v/>
          </cell>
          <cell r="J1994" t="str">
            <v/>
          </cell>
          <cell r="N1994" t="str">
            <v/>
          </cell>
          <cell r="O1994" t="str">
            <v/>
          </cell>
          <cell r="P1994" t="str">
            <v/>
          </cell>
          <cell r="Q1994" t="str">
            <v/>
          </cell>
          <cell r="T1994" t="str">
            <v/>
          </cell>
          <cell r="U1994" t="str">
            <v/>
          </cell>
          <cell r="W1994" t="str">
            <v/>
          </cell>
          <cell r="X1994" t="str">
            <v/>
          </cell>
          <cell r="AB1994">
            <v>0</v>
          </cell>
          <cell r="AC1994">
            <v>0</v>
          </cell>
          <cell r="AD1994">
            <v>0</v>
          </cell>
          <cell r="AJ1994">
            <v>0</v>
          </cell>
          <cell r="AK1994">
            <v>0</v>
          </cell>
        </row>
        <row r="1995">
          <cell r="B1995" t="str">
            <v/>
          </cell>
          <cell r="H1995" t="str">
            <v/>
          </cell>
          <cell r="J1995" t="str">
            <v/>
          </cell>
          <cell r="N1995" t="str">
            <v/>
          </cell>
          <cell r="O1995" t="str">
            <v/>
          </cell>
          <cell r="P1995" t="str">
            <v/>
          </cell>
          <cell r="Q1995" t="str">
            <v/>
          </cell>
          <cell r="T1995" t="str">
            <v/>
          </cell>
          <cell r="U1995" t="str">
            <v/>
          </cell>
          <cell r="W1995" t="str">
            <v/>
          </cell>
          <cell r="X1995" t="str">
            <v/>
          </cell>
          <cell r="AB1995">
            <v>0</v>
          </cell>
          <cell r="AC1995">
            <v>0</v>
          </cell>
          <cell r="AD1995">
            <v>0</v>
          </cell>
          <cell r="AJ1995">
            <v>0</v>
          </cell>
          <cell r="AK1995">
            <v>0</v>
          </cell>
        </row>
        <row r="1996">
          <cell r="B1996" t="str">
            <v/>
          </cell>
          <cell r="H1996" t="str">
            <v/>
          </cell>
          <cell r="J1996" t="str">
            <v/>
          </cell>
          <cell r="N1996" t="str">
            <v/>
          </cell>
          <cell r="O1996" t="str">
            <v/>
          </cell>
          <cell r="P1996" t="str">
            <v/>
          </cell>
          <cell r="Q1996" t="str">
            <v/>
          </cell>
          <cell r="T1996" t="str">
            <v/>
          </cell>
          <cell r="U1996" t="str">
            <v/>
          </cell>
          <cell r="W1996" t="str">
            <v/>
          </cell>
          <cell r="X1996" t="str">
            <v/>
          </cell>
          <cell r="AB1996">
            <v>0</v>
          </cell>
          <cell r="AC1996">
            <v>0</v>
          </cell>
          <cell r="AD1996">
            <v>0</v>
          </cell>
          <cell r="AJ1996">
            <v>0</v>
          </cell>
          <cell r="AK1996">
            <v>0</v>
          </cell>
        </row>
        <row r="1997">
          <cell r="B1997" t="str">
            <v/>
          </cell>
          <cell r="H1997" t="str">
            <v/>
          </cell>
          <cell r="J1997" t="str">
            <v/>
          </cell>
          <cell r="N1997" t="str">
            <v/>
          </cell>
          <cell r="O1997" t="str">
            <v/>
          </cell>
          <cell r="P1997" t="str">
            <v/>
          </cell>
          <cell r="Q1997" t="str">
            <v/>
          </cell>
          <cell r="T1997" t="str">
            <v/>
          </cell>
          <cell r="U1997" t="str">
            <v/>
          </cell>
          <cell r="W1997" t="str">
            <v/>
          </cell>
          <cell r="X1997" t="str">
            <v/>
          </cell>
          <cell r="AB1997">
            <v>0</v>
          </cell>
          <cell r="AC1997">
            <v>0</v>
          </cell>
          <cell r="AD1997">
            <v>0</v>
          </cell>
          <cell r="AJ1997">
            <v>0</v>
          </cell>
          <cell r="AK1997">
            <v>0</v>
          </cell>
        </row>
        <row r="1998">
          <cell r="B1998" t="str">
            <v/>
          </cell>
          <cell r="H1998" t="str">
            <v/>
          </cell>
          <cell r="J1998" t="str">
            <v/>
          </cell>
          <cell r="N1998" t="str">
            <v/>
          </cell>
          <cell r="O1998" t="str">
            <v/>
          </cell>
          <cell r="P1998" t="str">
            <v/>
          </cell>
          <cell r="Q1998" t="str">
            <v/>
          </cell>
          <cell r="T1998" t="str">
            <v/>
          </cell>
          <cell r="U1998" t="str">
            <v/>
          </cell>
          <cell r="W1998" t="str">
            <v/>
          </cell>
          <cell r="X1998" t="str">
            <v/>
          </cell>
          <cell r="AB1998">
            <v>0</v>
          </cell>
          <cell r="AC1998">
            <v>0</v>
          </cell>
          <cell r="AD1998">
            <v>0</v>
          </cell>
          <cell r="AJ1998">
            <v>0</v>
          </cell>
          <cell r="AK1998">
            <v>0</v>
          </cell>
        </row>
        <row r="1999">
          <cell r="B1999" t="str">
            <v/>
          </cell>
          <cell r="H1999" t="str">
            <v/>
          </cell>
          <cell r="J1999" t="str">
            <v/>
          </cell>
          <cell r="N1999" t="str">
            <v/>
          </cell>
          <cell r="O1999" t="str">
            <v/>
          </cell>
          <cell r="P1999" t="str">
            <v/>
          </cell>
          <cell r="Q1999" t="str">
            <v/>
          </cell>
          <cell r="T1999" t="str">
            <v/>
          </cell>
          <cell r="U1999" t="str">
            <v/>
          </cell>
          <cell r="W1999" t="str">
            <v/>
          </cell>
          <cell r="X1999" t="str">
            <v/>
          </cell>
          <cell r="AB1999">
            <v>0</v>
          </cell>
          <cell r="AC1999">
            <v>0</v>
          </cell>
          <cell r="AD1999">
            <v>0</v>
          </cell>
          <cell r="AJ1999">
            <v>0</v>
          </cell>
          <cell r="AK1999">
            <v>0</v>
          </cell>
        </row>
        <row r="2000">
          <cell r="B2000" t="str">
            <v/>
          </cell>
          <cell r="H2000" t="str">
            <v/>
          </cell>
          <cell r="J2000" t="str">
            <v/>
          </cell>
          <cell r="N2000" t="str">
            <v/>
          </cell>
          <cell r="O2000" t="str">
            <v/>
          </cell>
          <cell r="P2000" t="str">
            <v/>
          </cell>
          <cell r="Q2000" t="str">
            <v/>
          </cell>
          <cell r="T2000" t="str">
            <v/>
          </cell>
          <cell r="U2000" t="str">
            <v/>
          </cell>
          <cell r="W2000" t="str">
            <v/>
          </cell>
          <cell r="X2000" t="str">
            <v/>
          </cell>
          <cell r="AB2000">
            <v>0</v>
          </cell>
          <cell r="AC2000">
            <v>0</v>
          </cell>
          <cell r="AD2000">
            <v>0</v>
          </cell>
          <cell r="AJ2000">
            <v>0</v>
          </cell>
          <cell r="AK2000">
            <v>0</v>
          </cell>
        </row>
        <row r="2001">
          <cell r="B2001" t="str">
            <v/>
          </cell>
          <cell r="H2001" t="str">
            <v/>
          </cell>
          <cell r="J2001" t="str">
            <v/>
          </cell>
          <cell r="N2001" t="str">
            <v/>
          </cell>
          <cell r="O2001" t="str">
            <v/>
          </cell>
          <cell r="P2001" t="str">
            <v/>
          </cell>
          <cell r="Q2001" t="str">
            <v/>
          </cell>
          <cell r="T2001" t="str">
            <v/>
          </cell>
          <cell r="U2001" t="str">
            <v/>
          </cell>
          <cell r="W2001" t="str">
            <v/>
          </cell>
          <cell r="X2001" t="str">
            <v/>
          </cell>
          <cell r="AB2001">
            <v>0</v>
          </cell>
          <cell r="AC2001">
            <v>0</v>
          </cell>
          <cell r="AD2001">
            <v>0</v>
          </cell>
          <cell r="AJ2001">
            <v>0</v>
          </cell>
          <cell r="AK2001">
            <v>0</v>
          </cell>
        </row>
        <row r="2002">
          <cell r="B2002" t="str">
            <v/>
          </cell>
          <cell r="H2002" t="str">
            <v/>
          </cell>
          <cell r="J2002" t="str">
            <v/>
          </cell>
          <cell r="N2002" t="str">
            <v/>
          </cell>
          <cell r="O2002" t="str">
            <v/>
          </cell>
          <cell r="P2002" t="str">
            <v/>
          </cell>
          <cell r="Q2002" t="str">
            <v/>
          </cell>
          <cell r="T2002" t="str">
            <v/>
          </cell>
          <cell r="U2002" t="str">
            <v/>
          </cell>
          <cell r="W2002" t="str">
            <v/>
          </cell>
          <cell r="X2002" t="str">
            <v/>
          </cell>
          <cell r="AB2002">
            <v>0</v>
          </cell>
          <cell r="AC2002">
            <v>0</v>
          </cell>
          <cell r="AD2002">
            <v>0</v>
          </cell>
          <cell r="AJ2002">
            <v>0</v>
          </cell>
          <cell r="AK2002">
            <v>0</v>
          </cell>
        </row>
        <row r="2003">
          <cell r="B2003" t="str">
            <v/>
          </cell>
          <cell r="H2003" t="str">
            <v/>
          </cell>
          <cell r="J2003" t="str">
            <v/>
          </cell>
          <cell r="N2003" t="str">
            <v/>
          </cell>
          <cell r="O2003" t="str">
            <v/>
          </cell>
          <cell r="P2003" t="str">
            <v/>
          </cell>
          <cell r="Q2003" t="str">
            <v/>
          </cell>
          <cell r="T2003" t="str">
            <v/>
          </cell>
          <cell r="U2003" t="str">
            <v/>
          </cell>
          <cell r="W2003" t="str">
            <v/>
          </cell>
          <cell r="X2003" t="str">
            <v/>
          </cell>
          <cell r="AB2003">
            <v>0</v>
          </cell>
          <cell r="AC2003">
            <v>0</v>
          </cell>
          <cell r="AD2003">
            <v>0</v>
          </cell>
          <cell r="AJ2003">
            <v>0</v>
          </cell>
          <cell r="AK2003">
            <v>0</v>
          </cell>
        </row>
        <row r="2004">
          <cell r="B2004" t="str">
            <v/>
          </cell>
          <cell r="H2004" t="str">
            <v/>
          </cell>
          <cell r="J2004" t="str">
            <v/>
          </cell>
          <cell r="N2004" t="str">
            <v/>
          </cell>
          <cell r="O2004" t="str">
            <v/>
          </cell>
          <cell r="P2004" t="str">
            <v/>
          </cell>
          <cell r="Q2004" t="str">
            <v/>
          </cell>
          <cell r="T2004" t="str">
            <v/>
          </cell>
          <cell r="U2004" t="str">
            <v/>
          </cell>
          <cell r="W2004" t="str">
            <v/>
          </cell>
          <cell r="X2004" t="str">
            <v/>
          </cell>
          <cell r="AB2004">
            <v>0</v>
          </cell>
          <cell r="AC2004">
            <v>0</v>
          </cell>
          <cell r="AD2004">
            <v>0</v>
          </cell>
          <cell r="AJ2004">
            <v>0</v>
          </cell>
          <cell r="AK2004">
            <v>0</v>
          </cell>
        </row>
        <row r="2005">
          <cell r="B2005" t="str">
            <v/>
          </cell>
          <cell r="H2005" t="str">
            <v/>
          </cell>
          <cell r="J2005" t="str">
            <v/>
          </cell>
          <cell r="N2005" t="str">
            <v/>
          </cell>
          <cell r="O2005" t="str">
            <v/>
          </cell>
          <cell r="P2005" t="str">
            <v/>
          </cell>
          <cell r="Q2005" t="str">
            <v/>
          </cell>
          <cell r="T2005" t="str">
            <v/>
          </cell>
          <cell r="U2005" t="str">
            <v/>
          </cell>
          <cell r="W2005" t="str">
            <v/>
          </cell>
          <cell r="X2005" t="str">
            <v/>
          </cell>
          <cell r="AB2005">
            <v>0</v>
          </cell>
          <cell r="AC2005">
            <v>0</v>
          </cell>
          <cell r="AD2005">
            <v>0</v>
          </cell>
          <cell r="AJ2005">
            <v>0</v>
          </cell>
          <cell r="AK2005">
            <v>0</v>
          </cell>
        </row>
        <row r="2006">
          <cell r="B2006" t="str">
            <v/>
          </cell>
          <cell r="H2006" t="str">
            <v/>
          </cell>
          <cell r="J2006" t="str">
            <v/>
          </cell>
          <cell r="N2006" t="str">
            <v/>
          </cell>
          <cell r="O2006" t="str">
            <v/>
          </cell>
          <cell r="P2006" t="str">
            <v/>
          </cell>
          <cell r="Q2006" t="str">
            <v/>
          </cell>
          <cell r="T2006" t="str">
            <v/>
          </cell>
          <cell r="U2006" t="str">
            <v/>
          </cell>
          <cell r="W2006" t="str">
            <v/>
          </cell>
          <cell r="X2006" t="str">
            <v/>
          </cell>
          <cell r="AB2006">
            <v>0</v>
          </cell>
          <cell r="AC2006">
            <v>0</v>
          </cell>
          <cell r="AD2006">
            <v>0</v>
          </cell>
          <cell r="AJ2006">
            <v>0</v>
          </cell>
          <cell r="AK2006">
            <v>0</v>
          </cell>
        </row>
        <row r="2007">
          <cell r="B2007" t="str">
            <v/>
          </cell>
          <cell r="H2007" t="str">
            <v/>
          </cell>
          <cell r="J2007" t="str">
            <v/>
          </cell>
          <cell r="N2007" t="str">
            <v/>
          </cell>
          <cell r="O2007" t="str">
            <v/>
          </cell>
          <cell r="P2007" t="str">
            <v/>
          </cell>
          <cell r="Q2007" t="str">
            <v/>
          </cell>
          <cell r="T2007" t="str">
            <v/>
          </cell>
          <cell r="U2007" t="str">
            <v/>
          </cell>
          <cell r="W2007" t="str">
            <v/>
          </cell>
          <cell r="X2007" t="str">
            <v/>
          </cell>
          <cell r="AB2007">
            <v>0</v>
          </cell>
          <cell r="AC2007">
            <v>0</v>
          </cell>
          <cell r="AD2007">
            <v>0</v>
          </cell>
          <cell r="AJ2007">
            <v>0</v>
          </cell>
          <cell r="AK2007">
            <v>0</v>
          </cell>
        </row>
        <row r="2008">
          <cell r="B2008" t="str">
            <v/>
          </cell>
          <cell r="H2008" t="str">
            <v/>
          </cell>
          <cell r="J2008" t="str">
            <v/>
          </cell>
          <cell r="N2008" t="str">
            <v/>
          </cell>
          <cell r="O2008" t="str">
            <v/>
          </cell>
          <cell r="P2008" t="str">
            <v/>
          </cell>
          <cell r="Q2008" t="str">
            <v/>
          </cell>
          <cell r="T2008" t="str">
            <v/>
          </cell>
          <cell r="U2008" t="str">
            <v/>
          </cell>
          <cell r="W2008" t="str">
            <v/>
          </cell>
          <cell r="X2008" t="str">
            <v/>
          </cell>
          <cell r="AB2008">
            <v>0</v>
          </cell>
          <cell r="AC2008">
            <v>0</v>
          </cell>
          <cell r="AD2008">
            <v>0</v>
          </cell>
          <cell r="AJ2008">
            <v>0</v>
          </cell>
          <cell r="AK2008">
            <v>0</v>
          </cell>
        </row>
        <row r="2009">
          <cell r="B2009" t="str">
            <v/>
          </cell>
          <cell r="H2009" t="str">
            <v/>
          </cell>
          <cell r="J2009" t="str">
            <v/>
          </cell>
          <cell r="N2009" t="str">
            <v/>
          </cell>
          <cell r="O2009" t="str">
            <v/>
          </cell>
          <cell r="P2009" t="str">
            <v/>
          </cell>
          <cell r="Q2009" t="str">
            <v/>
          </cell>
          <cell r="T2009" t="str">
            <v/>
          </cell>
          <cell r="U2009" t="str">
            <v/>
          </cell>
          <cell r="W2009" t="str">
            <v/>
          </cell>
          <cell r="X2009" t="str">
            <v/>
          </cell>
          <cell r="AB2009">
            <v>0</v>
          </cell>
          <cell r="AC2009">
            <v>0</v>
          </cell>
          <cell r="AD2009">
            <v>0</v>
          </cell>
          <cell r="AJ2009">
            <v>0</v>
          </cell>
          <cell r="AK2009">
            <v>0</v>
          </cell>
        </row>
        <row r="2010">
          <cell r="B2010" t="str">
            <v/>
          </cell>
          <cell r="H2010" t="str">
            <v/>
          </cell>
          <cell r="J2010" t="str">
            <v/>
          </cell>
          <cell r="N2010" t="str">
            <v/>
          </cell>
          <cell r="O2010" t="str">
            <v/>
          </cell>
          <cell r="P2010" t="str">
            <v/>
          </cell>
          <cell r="Q2010" t="str">
            <v/>
          </cell>
          <cell r="T2010" t="str">
            <v/>
          </cell>
          <cell r="U2010" t="str">
            <v/>
          </cell>
          <cell r="W2010" t="str">
            <v/>
          </cell>
          <cell r="X2010" t="str">
            <v/>
          </cell>
          <cell r="AB2010">
            <v>0</v>
          </cell>
          <cell r="AC2010">
            <v>0</v>
          </cell>
          <cell r="AD2010">
            <v>0</v>
          </cell>
          <cell r="AJ2010">
            <v>0</v>
          </cell>
          <cell r="AK2010">
            <v>0</v>
          </cell>
        </row>
        <row r="2011">
          <cell r="B2011" t="str">
            <v/>
          </cell>
          <cell r="H2011" t="str">
            <v/>
          </cell>
          <cell r="J2011" t="str">
            <v/>
          </cell>
          <cell r="N2011" t="str">
            <v/>
          </cell>
          <cell r="O2011" t="str">
            <v/>
          </cell>
          <cell r="P2011" t="str">
            <v/>
          </cell>
          <cell r="Q2011" t="str">
            <v/>
          </cell>
          <cell r="T2011" t="str">
            <v/>
          </cell>
          <cell r="U2011" t="str">
            <v/>
          </cell>
          <cell r="W2011" t="str">
            <v/>
          </cell>
          <cell r="X2011" t="str">
            <v/>
          </cell>
          <cell r="AB2011">
            <v>0</v>
          </cell>
          <cell r="AC2011">
            <v>0</v>
          </cell>
          <cell r="AD2011">
            <v>0</v>
          </cell>
          <cell r="AJ2011">
            <v>0</v>
          </cell>
          <cell r="AK2011">
            <v>0</v>
          </cell>
        </row>
        <row r="2012">
          <cell r="B2012" t="str">
            <v/>
          </cell>
          <cell r="H2012" t="str">
            <v/>
          </cell>
          <cell r="J2012" t="str">
            <v/>
          </cell>
          <cell r="N2012" t="str">
            <v/>
          </cell>
          <cell r="O2012" t="str">
            <v/>
          </cell>
          <cell r="P2012" t="str">
            <v/>
          </cell>
          <cell r="Q2012" t="str">
            <v/>
          </cell>
          <cell r="T2012" t="str">
            <v/>
          </cell>
          <cell r="U2012" t="str">
            <v/>
          </cell>
          <cell r="W2012" t="str">
            <v/>
          </cell>
          <cell r="X2012" t="str">
            <v/>
          </cell>
          <cell r="AB2012">
            <v>0</v>
          </cell>
          <cell r="AC2012">
            <v>0</v>
          </cell>
          <cell r="AD2012">
            <v>0</v>
          </cell>
          <cell r="AJ2012">
            <v>0</v>
          </cell>
          <cell r="AK2012">
            <v>0</v>
          </cell>
        </row>
        <row r="2013">
          <cell r="B2013" t="str">
            <v/>
          </cell>
          <cell r="H2013" t="str">
            <v/>
          </cell>
          <cell r="J2013" t="str">
            <v/>
          </cell>
          <cell r="N2013" t="str">
            <v/>
          </cell>
          <cell r="O2013" t="str">
            <v/>
          </cell>
          <cell r="P2013" t="str">
            <v/>
          </cell>
          <cell r="Q2013" t="str">
            <v/>
          </cell>
          <cell r="T2013" t="str">
            <v/>
          </cell>
          <cell r="U2013" t="str">
            <v/>
          </cell>
          <cell r="W2013" t="str">
            <v/>
          </cell>
          <cell r="X2013" t="str">
            <v/>
          </cell>
          <cell r="AB2013">
            <v>0</v>
          </cell>
          <cell r="AC2013">
            <v>0</v>
          </cell>
          <cell r="AD2013">
            <v>0</v>
          </cell>
          <cell r="AJ2013">
            <v>0</v>
          </cell>
          <cell r="AK2013">
            <v>0</v>
          </cell>
        </row>
        <row r="2014">
          <cell r="B2014" t="str">
            <v/>
          </cell>
          <cell r="H2014" t="str">
            <v/>
          </cell>
          <cell r="J2014" t="str">
            <v/>
          </cell>
          <cell r="N2014" t="str">
            <v/>
          </cell>
          <cell r="O2014" t="str">
            <v/>
          </cell>
          <cell r="P2014" t="str">
            <v/>
          </cell>
          <cell r="Q2014" t="str">
            <v/>
          </cell>
          <cell r="T2014" t="str">
            <v/>
          </cell>
          <cell r="U2014" t="str">
            <v/>
          </cell>
          <cell r="W2014" t="str">
            <v/>
          </cell>
          <cell r="X2014" t="str">
            <v/>
          </cell>
          <cell r="AB2014">
            <v>0</v>
          </cell>
          <cell r="AC2014">
            <v>0</v>
          </cell>
          <cell r="AD2014">
            <v>0</v>
          </cell>
          <cell r="AJ2014">
            <v>0</v>
          </cell>
          <cell r="AK2014">
            <v>0</v>
          </cell>
        </row>
        <row r="2015">
          <cell r="B2015" t="str">
            <v/>
          </cell>
          <cell r="H2015" t="str">
            <v/>
          </cell>
          <cell r="J2015" t="str">
            <v/>
          </cell>
          <cell r="N2015" t="str">
            <v/>
          </cell>
          <cell r="O2015" t="str">
            <v/>
          </cell>
          <cell r="P2015" t="str">
            <v/>
          </cell>
          <cell r="Q2015" t="str">
            <v/>
          </cell>
          <cell r="T2015" t="str">
            <v/>
          </cell>
          <cell r="U2015" t="str">
            <v/>
          </cell>
          <cell r="W2015" t="str">
            <v/>
          </cell>
          <cell r="X2015" t="str">
            <v/>
          </cell>
          <cell r="AB2015">
            <v>0</v>
          </cell>
          <cell r="AC2015">
            <v>0</v>
          </cell>
          <cell r="AD2015">
            <v>0</v>
          </cell>
          <cell r="AJ2015">
            <v>0</v>
          </cell>
          <cell r="AK2015">
            <v>0</v>
          </cell>
        </row>
        <row r="2016">
          <cell r="B2016" t="str">
            <v/>
          </cell>
          <cell r="H2016" t="str">
            <v/>
          </cell>
          <cell r="J2016" t="str">
            <v/>
          </cell>
          <cell r="N2016" t="str">
            <v/>
          </cell>
          <cell r="O2016" t="str">
            <v/>
          </cell>
          <cell r="P2016" t="str">
            <v/>
          </cell>
          <cell r="Q2016" t="str">
            <v/>
          </cell>
          <cell r="T2016" t="str">
            <v/>
          </cell>
          <cell r="U2016" t="str">
            <v/>
          </cell>
          <cell r="W2016" t="str">
            <v/>
          </cell>
          <cell r="X2016" t="str">
            <v/>
          </cell>
          <cell r="AB2016">
            <v>0</v>
          </cell>
          <cell r="AC2016">
            <v>0</v>
          </cell>
          <cell r="AD2016">
            <v>0</v>
          </cell>
          <cell r="AJ2016">
            <v>0</v>
          </cell>
          <cell r="AK2016">
            <v>0</v>
          </cell>
        </row>
        <row r="2017">
          <cell r="B2017" t="str">
            <v/>
          </cell>
          <cell r="H2017" t="str">
            <v/>
          </cell>
          <cell r="J2017" t="str">
            <v/>
          </cell>
          <cell r="N2017" t="str">
            <v/>
          </cell>
          <cell r="O2017" t="str">
            <v/>
          </cell>
          <cell r="P2017" t="str">
            <v/>
          </cell>
          <cell r="Q2017" t="str">
            <v/>
          </cell>
          <cell r="T2017" t="str">
            <v/>
          </cell>
          <cell r="U2017" t="str">
            <v/>
          </cell>
          <cell r="W2017" t="str">
            <v/>
          </cell>
          <cell r="X2017" t="str">
            <v/>
          </cell>
          <cell r="AB2017">
            <v>0</v>
          </cell>
          <cell r="AC2017">
            <v>0</v>
          </cell>
          <cell r="AD2017">
            <v>0</v>
          </cell>
          <cell r="AJ2017">
            <v>0</v>
          </cell>
          <cell r="AK2017">
            <v>0</v>
          </cell>
        </row>
        <row r="2018">
          <cell r="B2018" t="str">
            <v/>
          </cell>
          <cell r="H2018" t="str">
            <v/>
          </cell>
          <cell r="J2018" t="str">
            <v/>
          </cell>
          <cell r="N2018" t="str">
            <v/>
          </cell>
          <cell r="O2018" t="str">
            <v/>
          </cell>
          <cell r="P2018" t="str">
            <v/>
          </cell>
          <cell r="Q2018" t="str">
            <v/>
          </cell>
          <cell r="T2018" t="str">
            <v/>
          </cell>
          <cell r="U2018" t="str">
            <v/>
          </cell>
          <cell r="W2018" t="str">
            <v/>
          </cell>
          <cell r="X2018" t="str">
            <v/>
          </cell>
          <cell r="AB2018">
            <v>0</v>
          </cell>
          <cell r="AC2018">
            <v>0</v>
          </cell>
          <cell r="AD2018">
            <v>0</v>
          </cell>
          <cell r="AJ2018">
            <v>0</v>
          </cell>
          <cell r="AK2018">
            <v>0</v>
          </cell>
        </row>
        <row r="2019">
          <cell r="B2019" t="str">
            <v/>
          </cell>
          <cell r="H2019" t="str">
            <v/>
          </cell>
          <cell r="J2019" t="str">
            <v/>
          </cell>
          <cell r="N2019" t="str">
            <v/>
          </cell>
          <cell r="O2019" t="str">
            <v/>
          </cell>
          <cell r="P2019" t="str">
            <v/>
          </cell>
          <cell r="Q2019" t="str">
            <v/>
          </cell>
          <cell r="T2019" t="str">
            <v/>
          </cell>
          <cell r="U2019" t="str">
            <v/>
          </cell>
          <cell r="W2019" t="str">
            <v/>
          </cell>
          <cell r="X2019" t="str">
            <v/>
          </cell>
          <cell r="AB2019">
            <v>0</v>
          </cell>
          <cell r="AC2019">
            <v>0</v>
          </cell>
          <cell r="AD2019">
            <v>0</v>
          </cell>
          <cell r="AJ2019">
            <v>0</v>
          </cell>
          <cell r="AK2019">
            <v>0</v>
          </cell>
        </row>
        <row r="2020">
          <cell r="B2020" t="str">
            <v/>
          </cell>
          <cell r="H2020" t="str">
            <v/>
          </cell>
          <cell r="J2020" t="str">
            <v/>
          </cell>
          <cell r="N2020" t="str">
            <v/>
          </cell>
          <cell r="O2020" t="str">
            <v/>
          </cell>
          <cell r="P2020" t="str">
            <v/>
          </cell>
          <cell r="Q2020" t="str">
            <v/>
          </cell>
          <cell r="T2020" t="str">
            <v/>
          </cell>
          <cell r="U2020" t="str">
            <v/>
          </cell>
          <cell r="W2020" t="str">
            <v/>
          </cell>
          <cell r="X2020" t="str">
            <v/>
          </cell>
          <cell r="AB2020">
            <v>0</v>
          </cell>
          <cell r="AC2020">
            <v>0</v>
          </cell>
          <cell r="AD2020">
            <v>0</v>
          </cell>
          <cell r="AJ2020">
            <v>0</v>
          </cell>
          <cell r="AK2020">
            <v>0</v>
          </cell>
        </row>
        <row r="2021">
          <cell r="B2021" t="str">
            <v/>
          </cell>
          <cell r="H2021" t="str">
            <v/>
          </cell>
          <cell r="J2021" t="str">
            <v/>
          </cell>
          <cell r="N2021" t="str">
            <v/>
          </cell>
          <cell r="O2021" t="str">
            <v/>
          </cell>
          <cell r="P2021" t="str">
            <v/>
          </cell>
          <cell r="Q2021" t="str">
            <v/>
          </cell>
          <cell r="T2021" t="str">
            <v/>
          </cell>
          <cell r="U2021" t="str">
            <v/>
          </cell>
          <cell r="W2021" t="str">
            <v/>
          </cell>
          <cell r="X2021" t="str">
            <v/>
          </cell>
          <cell r="AB2021">
            <v>0</v>
          </cell>
          <cell r="AC2021">
            <v>0</v>
          </cell>
          <cell r="AD2021">
            <v>0</v>
          </cell>
          <cell r="AJ2021">
            <v>0</v>
          </cell>
          <cell r="AK2021">
            <v>0</v>
          </cell>
        </row>
        <row r="2022">
          <cell r="B2022" t="str">
            <v/>
          </cell>
          <cell r="H2022" t="str">
            <v/>
          </cell>
          <cell r="J2022" t="str">
            <v/>
          </cell>
          <cell r="N2022" t="str">
            <v/>
          </cell>
          <cell r="O2022" t="str">
            <v/>
          </cell>
          <cell r="P2022" t="str">
            <v/>
          </cell>
          <cell r="Q2022" t="str">
            <v/>
          </cell>
          <cell r="T2022" t="str">
            <v/>
          </cell>
          <cell r="U2022" t="str">
            <v/>
          </cell>
          <cell r="W2022" t="str">
            <v/>
          </cell>
          <cell r="X2022" t="str">
            <v/>
          </cell>
          <cell r="AB2022">
            <v>0</v>
          </cell>
          <cell r="AC2022">
            <v>0</v>
          </cell>
          <cell r="AD2022">
            <v>0</v>
          </cell>
          <cell r="AJ2022">
            <v>0</v>
          </cell>
          <cell r="AK2022">
            <v>0</v>
          </cell>
        </row>
        <row r="2023">
          <cell r="B2023" t="str">
            <v/>
          </cell>
          <cell r="H2023" t="str">
            <v/>
          </cell>
          <cell r="J2023" t="str">
            <v/>
          </cell>
          <cell r="N2023" t="str">
            <v/>
          </cell>
          <cell r="O2023" t="str">
            <v/>
          </cell>
          <cell r="P2023" t="str">
            <v/>
          </cell>
          <cell r="Q2023" t="str">
            <v/>
          </cell>
          <cell r="T2023" t="str">
            <v/>
          </cell>
          <cell r="U2023" t="str">
            <v/>
          </cell>
          <cell r="W2023" t="str">
            <v/>
          </cell>
          <cell r="X2023" t="str">
            <v/>
          </cell>
          <cell r="AB2023">
            <v>0</v>
          </cell>
          <cell r="AC2023">
            <v>0</v>
          </cell>
          <cell r="AD2023">
            <v>0</v>
          </cell>
          <cell r="AJ2023">
            <v>0</v>
          </cell>
          <cell r="AK2023">
            <v>0</v>
          </cell>
        </row>
        <row r="2024">
          <cell r="B2024" t="str">
            <v/>
          </cell>
          <cell r="H2024" t="str">
            <v/>
          </cell>
          <cell r="J2024" t="str">
            <v/>
          </cell>
          <cell r="N2024" t="str">
            <v/>
          </cell>
          <cell r="O2024" t="str">
            <v/>
          </cell>
          <cell r="P2024" t="str">
            <v/>
          </cell>
          <cell r="Q2024" t="str">
            <v/>
          </cell>
          <cell r="T2024" t="str">
            <v/>
          </cell>
          <cell r="U2024" t="str">
            <v/>
          </cell>
          <cell r="W2024" t="str">
            <v/>
          </cell>
          <cell r="X2024" t="str">
            <v/>
          </cell>
          <cell r="AB2024">
            <v>0</v>
          </cell>
          <cell r="AC2024">
            <v>0</v>
          </cell>
          <cell r="AD2024">
            <v>0</v>
          </cell>
          <cell r="AJ2024">
            <v>0</v>
          </cell>
          <cell r="AK2024">
            <v>0</v>
          </cell>
        </row>
        <row r="2025">
          <cell r="B2025" t="str">
            <v/>
          </cell>
          <cell r="H2025" t="str">
            <v/>
          </cell>
          <cell r="J2025" t="str">
            <v/>
          </cell>
          <cell r="N2025" t="str">
            <v/>
          </cell>
          <cell r="O2025" t="str">
            <v/>
          </cell>
          <cell r="P2025" t="str">
            <v/>
          </cell>
          <cell r="Q2025" t="str">
            <v/>
          </cell>
          <cell r="T2025" t="str">
            <v/>
          </cell>
          <cell r="U2025" t="str">
            <v/>
          </cell>
          <cell r="W2025" t="str">
            <v/>
          </cell>
          <cell r="X2025" t="str">
            <v/>
          </cell>
          <cell r="AB2025">
            <v>0</v>
          </cell>
          <cell r="AC2025">
            <v>0</v>
          </cell>
          <cell r="AD2025">
            <v>0</v>
          </cell>
          <cell r="AJ2025">
            <v>0</v>
          </cell>
          <cell r="AK2025">
            <v>0</v>
          </cell>
        </row>
        <row r="2026">
          <cell r="B2026" t="str">
            <v/>
          </cell>
          <cell r="H2026" t="str">
            <v/>
          </cell>
          <cell r="J2026" t="str">
            <v/>
          </cell>
          <cell r="N2026" t="str">
            <v/>
          </cell>
          <cell r="O2026" t="str">
            <v/>
          </cell>
          <cell r="P2026" t="str">
            <v/>
          </cell>
          <cell r="Q2026" t="str">
            <v/>
          </cell>
          <cell r="T2026" t="str">
            <v/>
          </cell>
          <cell r="U2026" t="str">
            <v/>
          </cell>
          <cell r="W2026" t="str">
            <v/>
          </cell>
          <cell r="X2026" t="str">
            <v/>
          </cell>
          <cell r="AB2026">
            <v>0</v>
          </cell>
          <cell r="AC2026">
            <v>0</v>
          </cell>
          <cell r="AD2026">
            <v>0</v>
          </cell>
          <cell r="AJ2026">
            <v>0</v>
          </cell>
          <cell r="AK2026">
            <v>0</v>
          </cell>
        </row>
        <row r="2027">
          <cell r="B2027" t="str">
            <v/>
          </cell>
          <cell r="H2027" t="str">
            <v/>
          </cell>
          <cell r="J2027" t="str">
            <v/>
          </cell>
          <cell r="N2027" t="str">
            <v/>
          </cell>
          <cell r="O2027" t="str">
            <v/>
          </cell>
          <cell r="P2027" t="str">
            <v/>
          </cell>
          <cell r="Q2027" t="str">
            <v/>
          </cell>
          <cell r="T2027" t="str">
            <v/>
          </cell>
          <cell r="U2027" t="str">
            <v/>
          </cell>
          <cell r="W2027" t="str">
            <v/>
          </cell>
          <cell r="X2027" t="str">
            <v/>
          </cell>
          <cell r="AB2027">
            <v>0</v>
          </cell>
          <cell r="AC2027">
            <v>0</v>
          </cell>
          <cell r="AD2027">
            <v>0</v>
          </cell>
          <cell r="AJ2027">
            <v>0</v>
          </cell>
          <cell r="AK2027">
            <v>0</v>
          </cell>
        </row>
        <row r="2028">
          <cell r="B2028" t="str">
            <v/>
          </cell>
          <cell r="H2028" t="str">
            <v/>
          </cell>
          <cell r="J2028" t="str">
            <v/>
          </cell>
          <cell r="N2028" t="str">
            <v/>
          </cell>
          <cell r="O2028" t="str">
            <v/>
          </cell>
          <cell r="P2028" t="str">
            <v/>
          </cell>
          <cell r="Q2028" t="str">
            <v/>
          </cell>
          <cell r="T2028" t="str">
            <v/>
          </cell>
          <cell r="U2028" t="str">
            <v/>
          </cell>
          <cell r="W2028" t="str">
            <v/>
          </cell>
          <cell r="X2028" t="str">
            <v/>
          </cell>
          <cell r="AB2028">
            <v>0</v>
          </cell>
          <cell r="AC2028">
            <v>0</v>
          </cell>
          <cell r="AD2028">
            <v>0</v>
          </cell>
          <cell r="AJ2028">
            <v>0</v>
          </cell>
          <cell r="AK2028">
            <v>0</v>
          </cell>
        </row>
        <row r="2029">
          <cell r="B2029" t="str">
            <v/>
          </cell>
          <cell r="H2029" t="str">
            <v/>
          </cell>
          <cell r="J2029" t="str">
            <v/>
          </cell>
          <cell r="N2029" t="str">
            <v/>
          </cell>
          <cell r="O2029" t="str">
            <v/>
          </cell>
          <cell r="P2029" t="str">
            <v/>
          </cell>
          <cell r="Q2029" t="str">
            <v/>
          </cell>
          <cell r="T2029" t="str">
            <v/>
          </cell>
          <cell r="U2029" t="str">
            <v/>
          </cell>
          <cell r="W2029" t="str">
            <v/>
          </cell>
          <cell r="X2029" t="str">
            <v/>
          </cell>
          <cell r="AB2029">
            <v>0</v>
          </cell>
          <cell r="AC2029">
            <v>0</v>
          </cell>
          <cell r="AD2029">
            <v>0</v>
          </cell>
          <cell r="AJ2029">
            <v>0</v>
          </cell>
          <cell r="AK2029">
            <v>0</v>
          </cell>
        </row>
        <row r="2030">
          <cell r="B2030" t="str">
            <v/>
          </cell>
          <cell r="H2030" t="str">
            <v/>
          </cell>
          <cell r="J2030" t="str">
            <v/>
          </cell>
          <cell r="N2030" t="str">
            <v/>
          </cell>
          <cell r="O2030" t="str">
            <v/>
          </cell>
          <cell r="P2030" t="str">
            <v/>
          </cell>
          <cell r="Q2030" t="str">
            <v/>
          </cell>
          <cell r="T2030" t="str">
            <v/>
          </cell>
          <cell r="U2030" t="str">
            <v/>
          </cell>
          <cell r="W2030" t="str">
            <v/>
          </cell>
          <cell r="X2030" t="str">
            <v/>
          </cell>
          <cell r="AB2030">
            <v>0</v>
          </cell>
          <cell r="AC2030">
            <v>0</v>
          </cell>
          <cell r="AD2030">
            <v>0</v>
          </cell>
          <cell r="AJ2030">
            <v>0</v>
          </cell>
          <cell r="AK2030">
            <v>0</v>
          </cell>
        </row>
        <row r="2031">
          <cell r="B2031" t="str">
            <v/>
          </cell>
          <cell r="H2031" t="str">
            <v/>
          </cell>
          <cell r="J2031" t="str">
            <v/>
          </cell>
          <cell r="N2031" t="str">
            <v/>
          </cell>
          <cell r="O2031" t="str">
            <v/>
          </cell>
          <cell r="P2031" t="str">
            <v/>
          </cell>
          <cell r="Q2031" t="str">
            <v/>
          </cell>
          <cell r="T2031" t="str">
            <v/>
          </cell>
          <cell r="U2031" t="str">
            <v/>
          </cell>
          <cell r="W2031" t="str">
            <v/>
          </cell>
          <cell r="X2031" t="str">
            <v/>
          </cell>
          <cell r="AB2031">
            <v>0</v>
          </cell>
          <cell r="AC2031">
            <v>0</v>
          </cell>
          <cell r="AD2031">
            <v>0</v>
          </cell>
          <cell r="AJ2031">
            <v>0</v>
          </cell>
          <cell r="AK2031">
            <v>0</v>
          </cell>
        </row>
        <row r="2032">
          <cell r="B2032" t="str">
            <v/>
          </cell>
          <cell r="H2032" t="str">
            <v/>
          </cell>
          <cell r="J2032" t="str">
            <v/>
          </cell>
          <cell r="N2032" t="str">
            <v/>
          </cell>
          <cell r="O2032" t="str">
            <v/>
          </cell>
          <cell r="P2032" t="str">
            <v/>
          </cell>
          <cell r="Q2032" t="str">
            <v/>
          </cell>
          <cell r="T2032" t="str">
            <v/>
          </cell>
          <cell r="U2032" t="str">
            <v/>
          </cell>
          <cell r="W2032" t="str">
            <v/>
          </cell>
          <cell r="X2032" t="str">
            <v/>
          </cell>
          <cell r="AB2032">
            <v>0</v>
          </cell>
          <cell r="AC2032">
            <v>0</v>
          </cell>
          <cell r="AD2032">
            <v>0</v>
          </cell>
          <cell r="AJ2032">
            <v>0</v>
          </cell>
          <cell r="AK2032">
            <v>0</v>
          </cell>
        </row>
        <row r="2033">
          <cell r="B2033" t="str">
            <v/>
          </cell>
          <cell r="H2033" t="str">
            <v/>
          </cell>
          <cell r="J2033" t="str">
            <v/>
          </cell>
          <cell r="N2033" t="str">
            <v/>
          </cell>
          <cell r="O2033" t="str">
            <v/>
          </cell>
          <cell r="P2033" t="str">
            <v/>
          </cell>
          <cell r="Q2033" t="str">
            <v/>
          </cell>
          <cell r="T2033" t="str">
            <v/>
          </cell>
          <cell r="U2033" t="str">
            <v/>
          </cell>
          <cell r="W2033" t="str">
            <v/>
          </cell>
          <cell r="X2033" t="str">
            <v/>
          </cell>
          <cell r="AB2033">
            <v>0</v>
          </cell>
          <cell r="AC2033">
            <v>0</v>
          </cell>
          <cell r="AD2033">
            <v>0</v>
          </cell>
          <cell r="AJ2033">
            <v>0</v>
          </cell>
          <cell r="AK2033">
            <v>0</v>
          </cell>
        </row>
        <row r="2034">
          <cell r="B2034" t="str">
            <v/>
          </cell>
          <cell r="H2034" t="str">
            <v/>
          </cell>
          <cell r="J2034" t="str">
            <v/>
          </cell>
          <cell r="N2034" t="str">
            <v/>
          </cell>
          <cell r="O2034" t="str">
            <v/>
          </cell>
          <cell r="P2034" t="str">
            <v/>
          </cell>
          <cell r="Q2034" t="str">
            <v/>
          </cell>
          <cell r="T2034" t="str">
            <v/>
          </cell>
          <cell r="U2034" t="str">
            <v/>
          </cell>
          <cell r="W2034" t="str">
            <v/>
          </cell>
          <cell r="X2034" t="str">
            <v/>
          </cell>
          <cell r="AB2034">
            <v>0</v>
          </cell>
          <cell r="AC2034">
            <v>0</v>
          </cell>
          <cell r="AD2034">
            <v>0</v>
          </cell>
          <cell r="AJ2034">
            <v>0</v>
          </cell>
          <cell r="AK2034">
            <v>0</v>
          </cell>
        </row>
        <row r="2035">
          <cell r="B2035" t="str">
            <v/>
          </cell>
          <cell r="H2035" t="str">
            <v/>
          </cell>
          <cell r="J2035" t="str">
            <v/>
          </cell>
          <cell r="N2035" t="str">
            <v/>
          </cell>
          <cell r="O2035" t="str">
            <v/>
          </cell>
          <cell r="P2035" t="str">
            <v/>
          </cell>
          <cell r="Q2035" t="str">
            <v/>
          </cell>
          <cell r="T2035" t="str">
            <v/>
          </cell>
          <cell r="U2035" t="str">
            <v/>
          </cell>
          <cell r="W2035" t="str">
            <v/>
          </cell>
          <cell r="X2035" t="str">
            <v/>
          </cell>
          <cell r="AB2035">
            <v>0</v>
          </cell>
          <cell r="AC2035">
            <v>0</v>
          </cell>
          <cell r="AD2035">
            <v>0</v>
          </cell>
          <cell r="AJ2035">
            <v>0</v>
          </cell>
          <cell r="AK2035">
            <v>0</v>
          </cell>
        </row>
        <row r="2036">
          <cell r="B2036" t="str">
            <v/>
          </cell>
          <cell r="H2036" t="str">
            <v/>
          </cell>
          <cell r="J2036" t="str">
            <v/>
          </cell>
          <cell r="N2036" t="str">
            <v/>
          </cell>
          <cell r="O2036" t="str">
            <v/>
          </cell>
          <cell r="P2036" t="str">
            <v/>
          </cell>
          <cell r="Q2036" t="str">
            <v/>
          </cell>
          <cell r="T2036" t="str">
            <v/>
          </cell>
          <cell r="U2036" t="str">
            <v/>
          </cell>
          <cell r="W2036" t="str">
            <v/>
          </cell>
          <cell r="X2036" t="str">
            <v/>
          </cell>
          <cell r="AB2036">
            <v>0</v>
          </cell>
          <cell r="AC2036">
            <v>0</v>
          </cell>
          <cell r="AD2036">
            <v>0</v>
          </cell>
          <cell r="AJ2036">
            <v>0</v>
          </cell>
          <cell r="AK2036">
            <v>0</v>
          </cell>
        </row>
        <row r="2037">
          <cell r="B2037" t="str">
            <v/>
          </cell>
          <cell r="H2037" t="str">
            <v/>
          </cell>
          <cell r="J2037" t="str">
            <v/>
          </cell>
          <cell r="N2037" t="str">
            <v/>
          </cell>
          <cell r="O2037" t="str">
            <v/>
          </cell>
          <cell r="P2037" t="str">
            <v/>
          </cell>
          <cell r="Q2037" t="str">
            <v/>
          </cell>
          <cell r="T2037" t="str">
            <v/>
          </cell>
          <cell r="U2037" t="str">
            <v/>
          </cell>
          <cell r="W2037" t="str">
            <v/>
          </cell>
          <cell r="X2037" t="str">
            <v/>
          </cell>
          <cell r="AB2037">
            <v>0</v>
          </cell>
          <cell r="AC2037">
            <v>0</v>
          </cell>
          <cell r="AD2037">
            <v>0</v>
          </cell>
          <cell r="AJ2037">
            <v>0</v>
          </cell>
          <cell r="AK2037">
            <v>0</v>
          </cell>
        </row>
        <row r="2038">
          <cell r="B2038" t="str">
            <v/>
          </cell>
          <cell r="H2038" t="str">
            <v/>
          </cell>
          <cell r="J2038" t="str">
            <v/>
          </cell>
          <cell r="N2038" t="str">
            <v/>
          </cell>
          <cell r="O2038" t="str">
            <v/>
          </cell>
          <cell r="P2038" t="str">
            <v/>
          </cell>
          <cell r="Q2038" t="str">
            <v/>
          </cell>
          <cell r="T2038" t="str">
            <v/>
          </cell>
          <cell r="U2038" t="str">
            <v/>
          </cell>
          <cell r="W2038" t="str">
            <v/>
          </cell>
          <cell r="X2038" t="str">
            <v/>
          </cell>
          <cell r="AB2038">
            <v>0</v>
          </cell>
          <cell r="AC2038">
            <v>0</v>
          </cell>
          <cell r="AD2038">
            <v>0</v>
          </cell>
          <cell r="AJ2038">
            <v>0</v>
          </cell>
          <cell r="AK2038">
            <v>0</v>
          </cell>
        </row>
        <row r="2039">
          <cell r="B2039" t="str">
            <v/>
          </cell>
          <cell r="H2039" t="str">
            <v/>
          </cell>
          <cell r="J2039" t="str">
            <v/>
          </cell>
          <cell r="N2039" t="str">
            <v/>
          </cell>
          <cell r="O2039" t="str">
            <v/>
          </cell>
          <cell r="P2039" t="str">
            <v/>
          </cell>
          <cell r="Q2039" t="str">
            <v/>
          </cell>
          <cell r="T2039" t="str">
            <v/>
          </cell>
          <cell r="U2039" t="str">
            <v/>
          </cell>
          <cell r="W2039" t="str">
            <v/>
          </cell>
          <cell r="X2039" t="str">
            <v/>
          </cell>
          <cell r="AB2039">
            <v>0</v>
          </cell>
          <cell r="AC2039">
            <v>0</v>
          </cell>
          <cell r="AD2039">
            <v>0</v>
          </cell>
          <cell r="AJ2039">
            <v>0</v>
          </cell>
          <cell r="AK2039">
            <v>0</v>
          </cell>
        </row>
        <row r="2040">
          <cell r="B2040" t="str">
            <v/>
          </cell>
          <cell r="H2040" t="str">
            <v/>
          </cell>
          <cell r="J2040" t="str">
            <v/>
          </cell>
          <cell r="N2040" t="str">
            <v/>
          </cell>
          <cell r="O2040" t="str">
            <v/>
          </cell>
          <cell r="P2040" t="str">
            <v/>
          </cell>
          <cell r="Q2040" t="str">
            <v/>
          </cell>
          <cell r="T2040" t="str">
            <v/>
          </cell>
          <cell r="U2040" t="str">
            <v/>
          </cell>
          <cell r="W2040" t="str">
            <v/>
          </cell>
          <cell r="X2040" t="str">
            <v/>
          </cell>
          <cell r="AB2040">
            <v>0</v>
          </cell>
          <cell r="AC2040">
            <v>0</v>
          </cell>
          <cell r="AD2040">
            <v>0</v>
          </cell>
          <cell r="AJ2040">
            <v>0</v>
          </cell>
          <cell r="AK2040">
            <v>0</v>
          </cell>
        </row>
        <row r="2041">
          <cell r="B2041" t="str">
            <v/>
          </cell>
          <cell r="H2041" t="str">
            <v/>
          </cell>
          <cell r="J2041" t="str">
            <v/>
          </cell>
          <cell r="N2041" t="str">
            <v/>
          </cell>
          <cell r="O2041" t="str">
            <v/>
          </cell>
          <cell r="P2041" t="str">
            <v/>
          </cell>
          <cell r="Q2041" t="str">
            <v/>
          </cell>
          <cell r="T2041" t="str">
            <v/>
          </cell>
          <cell r="U2041" t="str">
            <v/>
          </cell>
          <cell r="W2041" t="str">
            <v/>
          </cell>
          <cell r="X2041" t="str">
            <v/>
          </cell>
          <cell r="AB2041">
            <v>0</v>
          </cell>
          <cell r="AC2041">
            <v>0</v>
          </cell>
          <cell r="AD2041">
            <v>0</v>
          </cell>
          <cell r="AJ2041">
            <v>0</v>
          </cell>
          <cell r="AK2041">
            <v>0</v>
          </cell>
        </row>
        <row r="2042">
          <cell r="B2042" t="str">
            <v/>
          </cell>
          <cell r="H2042" t="str">
            <v/>
          </cell>
          <cell r="J2042" t="str">
            <v/>
          </cell>
          <cell r="N2042" t="str">
            <v/>
          </cell>
          <cell r="O2042" t="str">
            <v/>
          </cell>
          <cell r="P2042" t="str">
            <v/>
          </cell>
          <cell r="Q2042" t="str">
            <v/>
          </cell>
          <cell r="T2042" t="str">
            <v/>
          </cell>
          <cell r="U2042" t="str">
            <v/>
          </cell>
          <cell r="W2042" t="str">
            <v/>
          </cell>
          <cell r="X2042" t="str">
            <v/>
          </cell>
          <cell r="AB2042">
            <v>0</v>
          </cell>
          <cell r="AC2042">
            <v>0</v>
          </cell>
          <cell r="AD2042">
            <v>0</v>
          </cell>
          <cell r="AJ2042">
            <v>0</v>
          </cell>
          <cell r="AK2042">
            <v>0</v>
          </cell>
        </row>
        <row r="2043">
          <cell r="B2043" t="str">
            <v/>
          </cell>
          <cell r="H2043" t="str">
            <v/>
          </cell>
          <cell r="J2043" t="str">
            <v/>
          </cell>
          <cell r="N2043" t="str">
            <v/>
          </cell>
          <cell r="O2043" t="str">
            <v/>
          </cell>
          <cell r="P2043" t="str">
            <v/>
          </cell>
          <cell r="Q2043" t="str">
            <v/>
          </cell>
          <cell r="T2043" t="str">
            <v/>
          </cell>
          <cell r="U2043" t="str">
            <v/>
          </cell>
          <cell r="W2043" t="str">
            <v/>
          </cell>
          <cell r="X2043" t="str">
            <v/>
          </cell>
          <cell r="AB2043">
            <v>0</v>
          </cell>
          <cell r="AC2043">
            <v>0</v>
          </cell>
          <cell r="AD2043">
            <v>0</v>
          </cell>
          <cell r="AJ2043">
            <v>0</v>
          </cell>
          <cell r="AK2043">
            <v>0</v>
          </cell>
        </row>
        <row r="2044">
          <cell r="B2044" t="str">
            <v/>
          </cell>
          <cell r="H2044" t="str">
            <v/>
          </cell>
          <cell r="J2044" t="str">
            <v/>
          </cell>
          <cell r="N2044" t="str">
            <v/>
          </cell>
          <cell r="O2044" t="str">
            <v/>
          </cell>
          <cell r="P2044" t="str">
            <v/>
          </cell>
          <cell r="Q2044" t="str">
            <v/>
          </cell>
          <cell r="T2044" t="str">
            <v/>
          </cell>
          <cell r="U2044" t="str">
            <v/>
          </cell>
          <cell r="W2044" t="str">
            <v/>
          </cell>
          <cell r="X2044" t="str">
            <v/>
          </cell>
          <cell r="AB2044">
            <v>0</v>
          </cell>
          <cell r="AC2044">
            <v>0</v>
          </cell>
          <cell r="AD2044">
            <v>0</v>
          </cell>
          <cell r="AJ2044">
            <v>0</v>
          </cell>
          <cell r="AK2044">
            <v>0</v>
          </cell>
        </row>
        <row r="2045">
          <cell r="B2045" t="str">
            <v/>
          </cell>
          <cell r="H2045" t="str">
            <v/>
          </cell>
          <cell r="J2045" t="str">
            <v/>
          </cell>
          <cell r="N2045" t="str">
            <v/>
          </cell>
          <cell r="O2045" t="str">
            <v/>
          </cell>
          <cell r="P2045" t="str">
            <v/>
          </cell>
          <cell r="Q2045" t="str">
            <v/>
          </cell>
          <cell r="T2045" t="str">
            <v/>
          </cell>
          <cell r="U2045" t="str">
            <v/>
          </cell>
          <cell r="W2045" t="str">
            <v/>
          </cell>
          <cell r="X2045" t="str">
            <v/>
          </cell>
          <cell r="AB2045">
            <v>0</v>
          </cell>
          <cell r="AC2045">
            <v>0</v>
          </cell>
          <cell r="AD2045">
            <v>0</v>
          </cell>
          <cell r="AJ2045">
            <v>0</v>
          </cell>
          <cell r="AK2045">
            <v>0</v>
          </cell>
        </row>
        <row r="2046">
          <cell r="B2046" t="str">
            <v/>
          </cell>
          <cell r="H2046" t="str">
            <v/>
          </cell>
          <cell r="J2046" t="str">
            <v/>
          </cell>
          <cell r="N2046" t="str">
            <v/>
          </cell>
          <cell r="O2046" t="str">
            <v/>
          </cell>
          <cell r="P2046" t="str">
            <v/>
          </cell>
          <cell r="Q2046" t="str">
            <v/>
          </cell>
          <cell r="T2046" t="str">
            <v/>
          </cell>
          <cell r="U2046" t="str">
            <v/>
          </cell>
          <cell r="W2046" t="str">
            <v/>
          </cell>
          <cell r="X2046" t="str">
            <v/>
          </cell>
          <cell r="AB2046">
            <v>0</v>
          </cell>
          <cell r="AC2046">
            <v>0</v>
          </cell>
          <cell r="AD2046">
            <v>0</v>
          </cell>
          <cell r="AJ2046">
            <v>0</v>
          </cell>
          <cell r="AK2046">
            <v>0</v>
          </cell>
        </row>
        <row r="2047">
          <cell r="B2047" t="str">
            <v/>
          </cell>
          <cell r="H2047" t="str">
            <v/>
          </cell>
          <cell r="J2047" t="str">
            <v/>
          </cell>
          <cell r="N2047" t="str">
            <v/>
          </cell>
          <cell r="O2047" t="str">
            <v/>
          </cell>
          <cell r="P2047" t="str">
            <v/>
          </cell>
          <cell r="Q2047" t="str">
            <v/>
          </cell>
          <cell r="T2047" t="str">
            <v/>
          </cell>
          <cell r="U2047" t="str">
            <v/>
          </cell>
          <cell r="W2047" t="str">
            <v/>
          </cell>
          <cell r="X2047" t="str">
            <v/>
          </cell>
          <cell r="AB2047">
            <v>0</v>
          </cell>
          <cell r="AC2047">
            <v>0</v>
          </cell>
          <cell r="AD2047">
            <v>0</v>
          </cell>
          <cell r="AJ2047">
            <v>0</v>
          </cell>
          <cell r="AK2047">
            <v>0</v>
          </cell>
        </row>
        <row r="2048">
          <cell r="B2048" t="str">
            <v/>
          </cell>
          <cell r="H2048" t="str">
            <v/>
          </cell>
          <cell r="J2048" t="str">
            <v/>
          </cell>
          <cell r="N2048" t="str">
            <v/>
          </cell>
          <cell r="O2048" t="str">
            <v/>
          </cell>
          <cell r="P2048" t="str">
            <v/>
          </cell>
          <cell r="Q2048" t="str">
            <v/>
          </cell>
          <cell r="T2048" t="str">
            <v/>
          </cell>
          <cell r="U2048" t="str">
            <v/>
          </cell>
          <cell r="W2048" t="str">
            <v/>
          </cell>
          <cell r="X2048" t="str">
            <v/>
          </cell>
          <cell r="AB2048">
            <v>0</v>
          </cell>
          <cell r="AC2048">
            <v>0</v>
          </cell>
          <cell r="AD2048">
            <v>0</v>
          </cell>
          <cell r="AJ2048">
            <v>0</v>
          </cell>
          <cell r="AK2048">
            <v>0</v>
          </cell>
        </row>
        <row r="2049">
          <cell r="B2049" t="str">
            <v/>
          </cell>
          <cell r="H2049" t="str">
            <v/>
          </cell>
          <cell r="J2049" t="str">
            <v/>
          </cell>
          <cell r="N2049" t="str">
            <v/>
          </cell>
          <cell r="O2049" t="str">
            <v/>
          </cell>
          <cell r="P2049" t="str">
            <v/>
          </cell>
          <cell r="Q2049" t="str">
            <v/>
          </cell>
          <cell r="T2049" t="str">
            <v/>
          </cell>
          <cell r="U2049" t="str">
            <v/>
          </cell>
          <cell r="W2049" t="str">
            <v/>
          </cell>
          <cell r="X2049" t="str">
            <v/>
          </cell>
          <cell r="AB2049">
            <v>0</v>
          </cell>
          <cell r="AC2049">
            <v>0</v>
          </cell>
          <cell r="AD2049">
            <v>0</v>
          </cell>
          <cell r="AJ2049">
            <v>0</v>
          </cell>
          <cell r="AK2049">
            <v>0</v>
          </cell>
        </row>
        <row r="2050">
          <cell r="B2050" t="str">
            <v/>
          </cell>
          <cell r="H2050" t="str">
            <v/>
          </cell>
          <cell r="J2050" t="str">
            <v/>
          </cell>
          <cell r="N2050" t="str">
            <v/>
          </cell>
          <cell r="O2050" t="str">
            <v/>
          </cell>
          <cell r="P2050" t="str">
            <v/>
          </cell>
          <cell r="Q2050" t="str">
            <v/>
          </cell>
          <cell r="T2050" t="str">
            <v/>
          </cell>
          <cell r="U2050" t="str">
            <v/>
          </cell>
          <cell r="W2050" t="str">
            <v/>
          </cell>
          <cell r="X2050" t="str">
            <v/>
          </cell>
          <cell r="AB2050">
            <v>0</v>
          </cell>
          <cell r="AC2050">
            <v>0</v>
          </cell>
          <cell r="AD2050">
            <v>0</v>
          </cell>
          <cell r="AJ2050">
            <v>0</v>
          </cell>
          <cell r="AK2050">
            <v>0</v>
          </cell>
        </row>
        <row r="2051">
          <cell r="B2051" t="str">
            <v/>
          </cell>
          <cell r="H2051" t="str">
            <v/>
          </cell>
          <cell r="J2051" t="str">
            <v/>
          </cell>
          <cell r="N2051" t="str">
            <v/>
          </cell>
          <cell r="O2051" t="str">
            <v/>
          </cell>
          <cell r="P2051" t="str">
            <v/>
          </cell>
          <cell r="Q2051" t="str">
            <v/>
          </cell>
          <cell r="T2051" t="str">
            <v/>
          </cell>
          <cell r="U2051" t="str">
            <v/>
          </cell>
          <cell r="W2051" t="str">
            <v/>
          </cell>
          <cell r="X2051" t="str">
            <v/>
          </cell>
          <cell r="AB2051">
            <v>0</v>
          </cell>
          <cell r="AC2051">
            <v>0</v>
          </cell>
          <cell r="AD2051">
            <v>0</v>
          </cell>
          <cell r="AJ2051">
            <v>0</v>
          </cell>
          <cell r="AK2051">
            <v>0</v>
          </cell>
        </row>
        <row r="2052">
          <cell r="B2052" t="str">
            <v/>
          </cell>
          <cell r="H2052" t="str">
            <v/>
          </cell>
          <cell r="J2052" t="str">
            <v/>
          </cell>
          <cell r="N2052" t="str">
            <v/>
          </cell>
          <cell r="O2052" t="str">
            <v/>
          </cell>
          <cell r="P2052" t="str">
            <v/>
          </cell>
          <cell r="Q2052" t="str">
            <v/>
          </cell>
          <cell r="T2052" t="str">
            <v/>
          </cell>
          <cell r="U2052" t="str">
            <v/>
          </cell>
          <cell r="W2052" t="str">
            <v/>
          </cell>
          <cell r="X2052" t="str">
            <v/>
          </cell>
          <cell r="AB2052">
            <v>0</v>
          </cell>
          <cell r="AC2052">
            <v>0</v>
          </cell>
          <cell r="AD2052">
            <v>0</v>
          </cell>
          <cell r="AJ2052">
            <v>0</v>
          </cell>
          <cell r="AK2052">
            <v>0</v>
          </cell>
        </row>
        <row r="2053">
          <cell r="B2053" t="str">
            <v/>
          </cell>
          <cell r="H2053" t="str">
            <v/>
          </cell>
          <cell r="J2053" t="str">
            <v/>
          </cell>
          <cell r="N2053" t="str">
            <v/>
          </cell>
          <cell r="O2053" t="str">
            <v/>
          </cell>
          <cell r="P2053" t="str">
            <v/>
          </cell>
          <cell r="Q2053" t="str">
            <v/>
          </cell>
          <cell r="T2053" t="str">
            <v/>
          </cell>
          <cell r="U2053" t="str">
            <v/>
          </cell>
          <cell r="W2053" t="str">
            <v/>
          </cell>
          <cell r="X2053" t="str">
            <v/>
          </cell>
          <cell r="AB2053">
            <v>0</v>
          </cell>
          <cell r="AC2053">
            <v>0</v>
          </cell>
          <cell r="AD2053">
            <v>0</v>
          </cell>
          <cell r="AJ2053">
            <v>0</v>
          </cell>
          <cell r="AK2053">
            <v>0</v>
          </cell>
        </row>
        <row r="2054">
          <cell r="B2054" t="str">
            <v/>
          </cell>
          <cell r="H2054" t="str">
            <v/>
          </cell>
          <cell r="J2054" t="str">
            <v/>
          </cell>
          <cell r="N2054" t="str">
            <v/>
          </cell>
          <cell r="O2054" t="str">
            <v/>
          </cell>
          <cell r="P2054" t="str">
            <v/>
          </cell>
          <cell r="Q2054" t="str">
            <v/>
          </cell>
          <cell r="T2054" t="str">
            <v/>
          </cell>
          <cell r="U2054" t="str">
            <v/>
          </cell>
          <cell r="W2054" t="str">
            <v/>
          </cell>
          <cell r="X2054" t="str">
            <v/>
          </cell>
          <cell r="AB2054">
            <v>0</v>
          </cell>
          <cell r="AC2054">
            <v>0</v>
          </cell>
          <cell r="AD2054">
            <v>0</v>
          </cell>
          <cell r="AJ2054">
            <v>0</v>
          </cell>
          <cell r="AK2054">
            <v>0</v>
          </cell>
        </row>
        <row r="2055">
          <cell r="B2055" t="str">
            <v/>
          </cell>
          <cell r="H2055" t="str">
            <v/>
          </cell>
          <cell r="J2055" t="str">
            <v/>
          </cell>
          <cell r="N2055" t="str">
            <v/>
          </cell>
          <cell r="O2055" t="str">
            <v/>
          </cell>
          <cell r="P2055" t="str">
            <v/>
          </cell>
          <cell r="Q2055" t="str">
            <v/>
          </cell>
          <cell r="T2055" t="str">
            <v/>
          </cell>
          <cell r="U2055" t="str">
            <v/>
          </cell>
          <cell r="W2055" t="str">
            <v/>
          </cell>
          <cell r="X2055" t="str">
            <v/>
          </cell>
          <cell r="AB2055">
            <v>0</v>
          </cell>
          <cell r="AC2055">
            <v>0</v>
          </cell>
          <cell r="AD2055">
            <v>0</v>
          </cell>
          <cell r="AJ2055">
            <v>0</v>
          </cell>
          <cell r="AK2055">
            <v>0</v>
          </cell>
        </row>
        <row r="2056">
          <cell r="B2056" t="str">
            <v/>
          </cell>
          <cell r="H2056" t="str">
            <v/>
          </cell>
          <cell r="J2056" t="str">
            <v/>
          </cell>
          <cell r="N2056" t="str">
            <v/>
          </cell>
          <cell r="O2056" t="str">
            <v/>
          </cell>
          <cell r="P2056" t="str">
            <v/>
          </cell>
          <cell r="Q2056" t="str">
            <v/>
          </cell>
          <cell r="T2056" t="str">
            <v/>
          </cell>
          <cell r="U2056" t="str">
            <v/>
          </cell>
          <cell r="W2056" t="str">
            <v/>
          </cell>
          <cell r="X2056" t="str">
            <v/>
          </cell>
          <cell r="AB2056">
            <v>0</v>
          </cell>
          <cell r="AC2056">
            <v>0</v>
          </cell>
          <cell r="AD2056">
            <v>0</v>
          </cell>
          <cell r="AJ2056">
            <v>0</v>
          </cell>
          <cell r="AK2056">
            <v>0</v>
          </cell>
        </row>
        <row r="2057">
          <cell r="B2057" t="str">
            <v/>
          </cell>
          <cell r="H2057" t="str">
            <v/>
          </cell>
          <cell r="J2057" t="str">
            <v/>
          </cell>
          <cell r="N2057" t="str">
            <v/>
          </cell>
          <cell r="O2057" t="str">
            <v/>
          </cell>
          <cell r="P2057" t="str">
            <v/>
          </cell>
          <cell r="Q2057" t="str">
            <v/>
          </cell>
          <cell r="T2057" t="str">
            <v/>
          </cell>
          <cell r="U2057" t="str">
            <v/>
          </cell>
          <cell r="W2057" t="str">
            <v/>
          </cell>
          <cell r="X2057" t="str">
            <v/>
          </cell>
          <cell r="AB2057">
            <v>0</v>
          </cell>
          <cell r="AC2057">
            <v>0</v>
          </cell>
          <cell r="AD2057">
            <v>0</v>
          </cell>
          <cell r="AJ2057">
            <v>0</v>
          </cell>
          <cell r="AK2057">
            <v>0</v>
          </cell>
        </row>
        <row r="2058">
          <cell r="B2058" t="str">
            <v/>
          </cell>
          <cell r="H2058" t="str">
            <v/>
          </cell>
          <cell r="J2058" t="str">
            <v/>
          </cell>
          <cell r="N2058" t="str">
            <v/>
          </cell>
          <cell r="O2058" t="str">
            <v/>
          </cell>
          <cell r="P2058" t="str">
            <v/>
          </cell>
          <cell r="Q2058" t="str">
            <v/>
          </cell>
          <cell r="T2058" t="str">
            <v/>
          </cell>
          <cell r="U2058" t="str">
            <v/>
          </cell>
          <cell r="W2058" t="str">
            <v/>
          </cell>
          <cell r="X2058" t="str">
            <v/>
          </cell>
          <cell r="AB2058">
            <v>0</v>
          </cell>
          <cell r="AC2058">
            <v>0</v>
          </cell>
          <cell r="AD2058">
            <v>0</v>
          </cell>
          <cell r="AJ2058">
            <v>0</v>
          </cell>
          <cell r="AK2058">
            <v>0</v>
          </cell>
        </row>
        <row r="2059">
          <cell r="B2059" t="str">
            <v/>
          </cell>
          <cell r="H2059" t="str">
            <v/>
          </cell>
          <cell r="J2059" t="str">
            <v/>
          </cell>
          <cell r="N2059" t="str">
            <v/>
          </cell>
          <cell r="O2059" t="str">
            <v/>
          </cell>
          <cell r="P2059" t="str">
            <v/>
          </cell>
          <cell r="Q2059" t="str">
            <v/>
          </cell>
          <cell r="T2059" t="str">
            <v/>
          </cell>
          <cell r="U2059" t="str">
            <v/>
          </cell>
          <cell r="W2059" t="str">
            <v/>
          </cell>
          <cell r="X2059" t="str">
            <v/>
          </cell>
          <cell r="AB2059">
            <v>0</v>
          </cell>
          <cell r="AC2059">
            <v>0</v>
          </cell>
          <cell r="AD2059">
            <v>0</v>
          </cell>
          <cell r="AJ2059">
            <v>0</v>
          </cell>
          <cell r="AK2059">
            <v>0</v>
          </cell>
        </row>
        <row r="2060">
          <cell r="B2060" t="str">
            <v/>
          </cell>
          <cell r="H2060" t="str">
            <v/>
          </cell>
          <cell r="J2060" t="str">
            <v/>
          </cell>
          <cell r="N2060" t="str">
            <v/>
          </cell>
          <cell r="O2060" t="str">
            <v/>
          </cell>
          <cell r="P2060" t="str">
            <v/>
          </cell>
          <cell r="Q2060" t="str">
            <v/>
          </cell>
          <cell r="T2060" t="str">
            <v/>
          </cell>
          <cell r="U2060" t="str">
            <v/>
          </cell>
          <cell r="W2060" t="str">
            <v/>
          </cell>
          <cell r="X2060" t="str">
            <v/>
          </cell>
          <cell r="AB2060">
            <v>0</v>
          </cell>
          <cell r="AC2060">
            <v>0</v>
          </cell>
          <cell r="AD2060">
            <v>0</v>
          </cell>
          <cell r="AJ2060">
            <v>0</v>
          </cell>
          <cell r="AK2060">
            <v>0</v>
          </cell>
        </row>
        <row r="2061">
          <cell r="B2061" t="str">
            <v/>
          </cell>
          <cell r="H2061" t="str">
            <v/>
          </cell>
          <cell r="J2061" t="str">
            <v/>
          </cell>
          <cell r="N2061" t="str">
            <v/>
          </cell>
          <cell r="O2061" t="str">
            <v/>
          </cell>
          <cell r="P2061" t="str">
            <v/>
          </cell>
          <cell r="Q2061" t="str">
            <v/>
          </cell>
          <cell r="T2061" t="str">
            <v/>
          </cell>
          <cell r="U2061" t="str">
            <v/>
          </cell>
          <cell r="W2061" t="str">
            <v/>
          </cell>
          <cell r="X2061" t="str">
            <v/>
          </cell>
          <cell r="AB2061">
            <v>0</v>
          </cell>
          <cell r="AC2061">
            <v>0</v>
          </cell>
          <cell r="AD2061">
            <v>0</v>
          </cell>
          <cell r="AJ2061">
            <v>0</v>
          </cell>
          <cell r="AK2061">
            <v>0</v>
          </cell>
        </row>
        <row r="2062">
          <cell r="B2062" t="str">
            <v/>
          </cell>
          <cell r="H2062" t="str">
            <v/>
          </cell>
          <cell r="J2062" t="str">
            <v/>
          </cell>
          <cell r="N2062" t="str">
            <v/>
          </cell>
          <cell r="O2062" t="str">
            <v/>
          </cell>
          <cell r="P2062" t="str">
            <v/>
          </cell>
          <cell r="Q2062" t="str">
            <v/>
          </cell>
          <cell r="T2062" t="str">
            <v/>
          </cell>
          <cell r="U2062" t="str">
            <v/>
          </cell>
          <cell r="W2062" t="str">
            <v/>
          </cell>
          <cell r="X2062" t="str">
            <v/>
          </cell>
          <cell r="AB2062">
            <v>0</v>
          </cell>
          <cell r="AC2062">
            <v>0</v>
          </cell>
          <cell r="AD2062">
            <v>0</v>
          </cell>
          <cell r="AJ2062">
            <v>0</v>
          </cell>
          <cell r="AK2062">
            <v>0</v>
          </cell>
        </row>
        <row r="2063">
          <cell r="B2063" t="str">
            <v/>
          </cell>
          <cell r="H2063" t="str">
            <v/>
          </cell>
          <cell r="J2063" t="str">
            <v/>
          </cell>
          <cell r="N2063" t="str">
            <v/>
          </cell>
          <cell r="O2063" t="str">
            <v/>
          </cell>
          <cell r="P2063" t="str">
            <v/>
          </cell>
          <cell r="Q2063" t="str">
            <v/>
          </cell>
          <cell r="T2063" t="str">
            <v/>
          </cell>
          <cell r="U2063" t="str">
            <v/>
          </cell>
          <cell r="W2063" t="str">
            <v/>
          </cell>
          <cell r="X2063" t="str">
            <v/>
          </cell>
          <cell r="AB2063">
            <v>0</v>
          </cell>
          <cell r="AC2063">
            <v>0</v>
          </cell>
          <cell r="AD2063">
            <v>0</v>
          </cell>
          <cell r="AJ2063">
            <v>0</v>
          </cell>
          <cell r="AK2063">
            <v>0</v>
          </cell>
        </row>
        <row r="2064">
          <cell r="B2064" t="str">
            <v/>
          </cell>
          <cell r="H2064" t="str">
            <v/>
          </cell>
          <cell r="J2064" t="str">
            <v/>
          </cell>
          <cell r="N2064" t="str">
            <v/>
          </cell>
          <cell r="O2064" t="str">
            <v/>
          </cell>
          <cell r="P2064" t="str">
            <v/>
          </cell>
          <cell r="Q2064" t="str">
            <v/>
          </cell>
          <cell r="T2064" t="str">
            <v/>
          </cell>
          <cell r="U2064" t="str">
            <v/>
          </cell>
          <cell r="W2064" t="str">
            <v/>
          </cell>
          <cell r="X2064" t="str">
            <v/>
          </cell>
          <cell r="AB2064">
            <v>0</v>
          </cell>
          <cell r="AC2064">
            <v>0</v>
          </cell>
          <cell r="AD2064">
            <v>0</v>
          </cell>
          <cell r="AJ2064">
            <v>0</v>
          </cell>
          <cell r="AK2064">
            <v>0</v>
          </cell>
        </row>
        <row r="2065">
          <cell r="B2065" t="str">
            <v/>
          </cell>
          <cell r="H2065" t="str">
            <v/>
          </cell>
          <cell r="J2065" t="str">
            <v/>
          </cell>
          <cell r="N2065" t="str">
            <v/>
          </cell>
          <cell r="O2065" t="str">
            <v/>
          </cell>
          <cell r="P2065" t="str">
            <v/>
          </cell>
          <cell r="Q2065" t="str">
            <v/>
          </cell>
          <cell r="T2065" t="str">
            <v/>
          </cell>
          <cell r="U2065" t="str">
            <v/>
          </cell>
          <cell r="W2065" t="str">
            <v/>
          </cell>
          <cell r="X2065" t="str">
            <v/>
          </cell>
          <cell r="AB2065">
            <v>0</v>
          </cell>
          <cell r="AC2065">
            <v>0</v>
          </cell>
          <cell r="AD2065">
            <v>0</v>
          </cell>
          <cell r="AJ2065">
            <v>0</v>
          </cell>
          <cell r="AK2065">
            <v>0</v>
          </cell>
        </row>
        <row r="2066">
          <cell r="B2066" t="str">
            <v/>
          </cell>
          <cell r="H2066" t="str">
            <v/>
          </cell>
          <cell r="J2066" t="str">
            <v/>
          </cell>
          <cell r="N2066" t="str">
            <v/>
          </cell>
          <cell r="O2066" t="str">
            <v/>
          </cell>
          <cell r="P2066" t="str">
            <v/>
          </cell>
          <cell r="Q2066" t="str">
            <v/>
          </cell>
          <cell r="T2066" t="str">
            <v/>
          </cell>
          <cell r="U2066" t="str">
            <v/>
          </cell>
          <cell r="W2066" t="str">
            <v/>
          </cell>
          <cell r="X2066" t="str">
            <v/>
          </cell>
          <cell r="AB2066">
            <v>0</v>
          </cell>
          <cell r="AC2066">
            <v>0</v>
          </cell>
          <cell r="AD2066">
            <v>0</v>
          </cell>
          <cell r="AJ2066">
            <v>0</v>
          </cell>
          <cell r="AK2066">
            <v>0</v>
          </cell>
        </row>
        <row r="2067">
          <cell r="B2067" t="str">
            <v/>
          </cell>
          <cell r="H2067" t="str">
            <v/>
          </cell>
          <cell r="J2067" t="str">
            <v/>
          </cell>
          <cell r="N2067" t="str">
            <v/>
          </cell>
          <cell r="O2067" t="str">
            <v/>
          </cell>
          <cell r="P2067" t="str">
            <v/>
          </cell>
          <cell r="Q2067" t="str">
            <v/>
          </cell>
          <cell r="T2067" t="str">
            <v/>
          </cell>
          <cell r="U2067" t="str">
            <v/>
          </cell>
          <cell r="W2067" t="str">
            <v/>
          </cell>
          <cell r="X2067" t="str">
            <v/>
          </cell>
          <cell r="AB2067">
            <v>0</v>
          </cell>
          <cell r="AC2067">
            <v>0</v>
          </cell>
          <cell r="AD2067">
            <v>0</v>
          </cell>
          <cell r="AJ2067">
            <v>0</v>
          </cell>
          <cell r="AK2067">
            <v>0</v>
          </cell>
        </row>
        <row r="2068">
          <cell r="B2068" t="str">
            <v/>
          </cell>
          <cell r="H2068" t="str">
            <v/>
          </cell>
          <cell r="J2068" t="str">
            <v/>
          </cell>
          <cell r="N2068" t="str">
            <v/>
          </cell>
          <cell r="O2068" t="str">
            <v/>
          </cell>
          <cell r="P2068" t="str">
            <v/>
          </cell>
          <cell r="Q2068" t="str">
            <v/>
          </cell>
          <cell r="T2068" t="str">
            <v/>
          </cell>
          <cell r="U2068" t="str">
            <v/>
          </cell>
          <cell r="W2068" t="str">
            <v/>
          </cell>
          <cell r="X2068" t="str">
            <v/>
          </cell>
          <cell r="AB2068">
            <v>0</v>
          </cell>
          <cell r="AC2068">
            <v>0</v>
          </cell>
          <cell r="AD2068">
            <v>0</v>
          </cell>
          <cell r="AJ2068">
            <v>0</v>
          </cell>
          <cell r="AK2068">
            <v>0</v>
          </cell>
        </row>
        <row r="2069">
          <cell r="B2069" t="str">
            <v/>
          </cell>
          <cell r="H2069" t="str">
            <v/>
          </cell>
          <cell r="J2069" t="str">
            <v/>
          </cell>
          <cell r="N2069" t="str">
            <v/>
          </cell>
          <cell r="O2069" t="str">
            <v/>
          </cell>
          <cell r="P2069" t="str">
            <v/>
          </cell>
          <cell r="Q2069" t="str">
            <v/>
          </cell>
          <cell r="T2069" t="str">
            <v/>
          </cell>
          <cell r="U2069" t="str">
            <v/>
          </cell>
          <cell r="W2069" t="str">
            <v/>
          </cell>
          <cell r="X2069" t="str">
            <v/>
          </cell>
          <cell r="AB2069">
            <v>0</v>
          </cell>
          <cell r="AC2069">
            <v>0</v>
          </cell>
          <cell r="AD2069">
            <v>0</v>
          </cell>
          <cell r="AJ2069">
            <v>0</v>
          </cell>
          <cell r="AK2069">
            <v>0</v>
          </cell>
        </row>
        <row r="2070">
          <cell r="B2070" t="str">
            <v/>
          </cell>
          <cell r="H2070" t="str">
            <v/>
          </cell>
          <cell r="J2070" t="str">
            <v/>
          </cell>
          <cell r="N2070" t="str">
            <v/>
          </cell>
          <cell r="O2070" t="str">
            <v/>
          </cell>
          <cell r="P2070" t="str">
            <v/>
          </cell>
          <cell r="Q2070" t="str">
            <v/>
          </cell>
          <cell r="T2070" t="str">
            <v/>
          </cell>
          <cell r="U2070" t="str">
            <v/>
          </cell>
          <cell r="W2070" t="str">
            <v/>
          </cell>
          <cell r="X2070" t="str">
            <v/>
          </cell>
          <cell r="AB2070">
            <v>0</v>
          </cell>
          <cell r="AC2070">
            <v>0</v>
          </cell>
          <cell r="AD2070">
            <v>0</v>
          </cell>
          <cell r="AJ2070">
            <v>0</v>
          </cell>
          <cell r="AK2070">
            <v>0</v>
          </cell>
        </row>
        <row r="2071">
          <cell r="B2071" t="str">
            <v/>
          </cell>
          <cell r="H2071" t="str">
            <v/>
          </cell>
          <cell r="J2071" t="str">
            <v/>
          </cell>
          <cell r="N2071" t="str">
            <v/>
          </cell>
          <cell r="O2071" t="str">
            <v/>
          </cell>
          <cell r="P2071" t="str">
            <v/>
          </cell>
          <cell r="Q2071" t="str">
            <v/>
          </cell>
          <cell r="T2071" t="str">
            <v/>
          </cell>
          <cell r="U2071" t="str">
            <v/>
          </cell>
          <cell r="W2071" t="str">
            <v/>
          </cell>
          <cell r="X2071" t="str">
            <v/>
          </cell>
          <cell r="AB2071">
            <v>0</v>
          </cell>
          <cell r="AC2071">
            <v>0</v>
          </cell>
          <cell r="AD2071">
            <v>0</v>
          </cell>
          <cell r="AJ2071">
            <v>0</v>
          </cell>
          <cell r="AK2071">
            <v>0</v>
          </cell>
        </row>
        <row r="2072">
          <cell r="B2072" t="str">
            <v/>
          </cell>
          <cell r="H2072" t="str">
            <v/>
          </cell>
          <cell r="J2072" t="str">
            <v/>
          </cell>
          <cell r="N2072" t="str">
            <v/>
          </cell>
          <cell r="O2072" t="str">
            <v/>
          </cell>
          <cell r="P2072" t="str">
            <v/>
          </cell>
          <cell r="Q2072" t="str">
            <v/>
          </cell>
          <cell r="T2072" t="str">
            <v/>
          </cell>
          <cell r="U2072" t="str">
            <v/>
          </cell>
          <cell r="W2072" t="str">
            <v/>
          </cell>
          <cell r="X2072" t="str">
            <v/>
          </cell>
          <cell r="AB2072">
            <v>0</v>
          </cell>
          <cell r="AC2072">
            <v>0</v>
          </cell>
          <cell r="AD2072">
            <v>0</v>
          </cell>
          <cell r="AJ2072">
            <v>0</v>
          </cell>
          <cell r="AK2072">
            <v>0</v>
          </cell>
        </row>
        <row r="2073">
          <cell r="B2073" t="str">
            <v/>
          </cell>
          <cell r="H2073" t="str">
            <v/>
          </cell>
          <cell r="J2073" t="str">
            <v/>
          </cell>
          <cell r="N2073" t="str">
            <v/>
          </cell>
          <cell r="O2073" t="str">
            <v/>
          </cell>
          <cell r="P2073" t="str">
            <v/>
          </cell>
          <cell r="Q2073" t="str">
            <v/>
          </cell>
          <cell r="T2073" t="str">
            <v/>
          </cell>
          <cell r="U2073" t="str">
            <v/>
          </cell>
          <cell r="W2073" t="str">
            <v/>
          </cell>
          <cell r="X2073" t="str">
            <v/>
          </cell>
          <cell r="AB2073">
            <v>0</v>
          </cell>
          <cell r="AC2073">
            <v>0</v>
          </cell>
          <cell r="AD2073">
            <v>0</v>
          </cell>
          <cell r="AJ2073">
            <v>0</v>
          </cell>
          <cell r="AK2073">
            <v>0</v>
          </cell>
        </row>
        <row r="2074">
          <cell r="B2074" t="str">
            <v/>
          </cell>
          <cell r="H2074" t="str">
            <v/>
          </cell>
          <cell r="J2074" t="str">
            <v/>
          </cell>
          <cell r="N2074" t="str">
            <v/>
          </cell>
          <cell r="O2074" t="str">
            <v/>
          </cell>
          <cell r="P2074" t="str">
            <v/>
          </cell>
          <cell r="Q2074" t="str">
            <v/>
          </cell>
          <cell r="T2074" t="str">
            <v/>
          </cell>
          <cell r="U2074" t="str">
            <v/>
          </cell>
          <cell r="W2074" t="str">
            <v/>
          </cell>
          <cell r="X2074" t="str">
            <v/>
          </cell>
          <cell r="AB2074">
            <v>0</v>
          </cell>
          <cell r="AC2074">
            <v>0</v>
          </cell>
          <cell r="AD2074">
            <v>0</v>
          </cell>
          <cell r="AJ2074">
            <v>0</v>
          </cell>
          <cell r="AK2074">
            <v>0</v>
          </cell>
        </row>
        <row r="2075">
          <cell r="B2075" t="str">
            <v/>
          </cell>
          <cell r="H2075" t="str">
            <v/>
          </cell>
          <cell r="J2075" t="str">
            <v/>
          </cell>
          <cell r="N2075" t="str">
            <v/>
          </cell>
          <cell r="O2075" t="str">
            <v/>
          </cell>
          <cell r="P2075" t="str">
            <v/>
          </cell>
          <cell r="Q2075" t="str">
            <v/>
          </cell>
          <cell r="T2075" t="str">
            <v/>
          </cell>
          <cell r="U2075" t="str">
            <v/>
          </cell>
          <cell r="W2075" t="str">
            <v/>
          </cell>
          <cell r="X2075" t="str">
            <v/>
          </cell>
          <cell r="AB2075">
            <v>0</v>
          </cell>
          <cell r="AC2075">
            <v>0</v>
          </cell>
          <cell r="AD2075">
            <v>0</v>
          </cell>
          <cell r="AJ2075">
            <v>0</v>
          </cell>
          <cell r="AK2075">
            <v>0</v>
          </cell>
        </row>
        <row r="2076">
          <cell r="B2076" t="str">
            <v/>
          </cell>
          <cell r="H2076" t="str">
            <v/>
          </cell>
          <cell r="J2076" t="str">
            <v/>
          </cell>
          <cell r="N2076" t="str">
            <v/>
          </cell>
          <cell r="O2076" t="str">
            <v/>
          </cell>
          <cell r="P2076" t="str">
            <v/>
          </cell>
          <cell r="Q2076" t="str">
            <v/>
          </cell>
          <cell r="T2076" t="str">
            <v/>
          </cell>
          <cell r="U2076" t="str">
            <v/>
          </cell>
          <cell r="W2076" t="str">
            <v/>
          </cell>
          <cell r="X2076" t="str">
            <v/>
          </cell>
          <cell r="AB2076">
            <v>0</v>
          </cell>
          <cell r="AC2076">
            <v>0</v>
          </cell>
          <cell r="AD2076">
            <v>0</v>
          </cell>
          <cell r="AJ2076">
            <v>0</v>
          </cell>
          <cell r="AK2076">
            <v>0</v>
          </cell>
        </row>
        <row r="2077">
          <cell r="B2077" t="str">
            <v/>
          </cell>
          <cell r="H2077" t="str">
            <v/>
          </cell>
          <cell r="J2077" t="str">
            <v/>
          </cell>
          <cell r="N2077" t="str">
            <v/>
          </cell>
          <cell r="O2077" t="str">
            <v/>
          </cell>
          <cell r="P2077" t="str">
            <v/>
          </cell>
          <cell r="Q2077" t="str">
            <v/>
          </cell>
          <cell r="T2077" t="str">
            <v/>
          </cell>
          <cell r="U2077" t="str">
            <v/>
          </cell>
          <cell r="W2077" t="str">
            <v/>
          </cell>
          <cell r="X2077" t="str">
            <v/>
          </cell>
          <cell r="AB2077">
            <v>0</v>
          </cell>
          <cell r="AC2077">
            <v>0</v>
          </cell>
          <cell r="AD2077">
            <v>0</v>
          </cell>
          <cell r="AJ2077">
            <v>0</v>
          </cell>
          <cell r="AK2077">
            <v>0</v>
          </cell>
        </row>
        <row r="2078">
          <cell r="B2078" t="str">
            <v/>
          </cell>
          <cell r="H2078" t="str">
            <v/>
          </cell>
          <cell r="J2078" t="str">
            <v/>
          </cell>
          <cell r="N2078" t="str">
            <v/>
          </cell>
          <cell r="O2078" t="str">
            <v/>
          </cell>
          <cell r="P2078" t="str">
            <v/>
          </cell>
          <cell r="Q2078" t="str">
            <v/>
          </cell>
          <cell r="T2078" t="str">
            <v/>
          </cell>
          <cell r="U2078" t="str">
            <v/>
          </cell>
          <cell r="W2078" t="str">
            <v/>
          </cell>
          <cell r="X2078" t="str">
            <v/>
          </cell>
          <cell r="AB2078">
            <v>0</v>
          </cell>
          <cell r="AC2078">
            <v>0</v>
          </cell>
          <cell r="AD2078">
            <v>0</v>
          </cell>
          <cell r="AJ2078">
            <v>0</v>
          </cell>
          <cell r="AK2078">
            <v>0</v>
          </cell>
        </row>
        <row r="2079">
          <cell r="B2079" t="str">
            <v/>
          </cell>
          <cell r="H2079" t="str">
            <v/>
          </cell>
          <cell r="J2079" t="str">
            <v/>
          </cell>
          <cell r="N2079" t="str">
            <v/>
          </cell>
          <cell r="O2079" t="str">
            <v/>
          </cell>
          <cell r="P2079" t="str">
            <v/>
          </cell>
          <cell r="Q2079" t="str">
            <v/>
          </cell>
          <cell r="T2079" t="str">
            <v/>
          </cell>
          <cell r="U2079" t="str">
            <v/>
          </cell>
          <cell r="W2079" t="str">
            <v/>
          </cell>
          <cell r="X2079" t="str">
            <v/>
          </cell>
          <cell r="AB2079">
            <v>0</v>
          </cell>
          <cell r="AC2079">
            <v>0</v>
          </cell>
          <cell r="AD2079">
            <v>0</v>
          </cell>
          <cell r="AJ2079">
            <v>0</v>
          </cell>
          <cell r="AK2079">
            <v>0</v>
          </cell>
        </row>
        <row r="2080">
          <cell r="B2080" t="str">
            <v/>
          </cell>
          <cell r="H2080" t="str">
            <v/>
          </cell>
          <cell r="J2080" t="str">
            <v/>
          </cell>
          <cell r="N2080" t="str">
            <v/>
          </cell>
          <cell r="O2080" t="str">
            <v/>
          </cell>
          <cell r="P2080" t="str">
            <v/>
          </cell>
          <cell r="Q2080" t="str">
            <v/>
          </cell>
          <cell r="T2080" t="str">
            <v/>
          </cell>
          <cell r="U2080" t="str">
            <v/>
          </cell>
          <cell r="W2080" t="str">
            <v/>
          </cell>
          <cell r="X2080" t="str">
            <v/>
          </cell>
          <cell r="AB2080">
            <v>0</v>
          </cell>
          <cell r="AC2080">
            <v>0</v>
          </cell>
          <cell r="AD2080">
            <v>0</v>
          </cell>
          <cell r="AJ2080">
            <v>0</v>
          </cell>
          <cell r="AK2080">
            <v>0</v>
          </cell>
        </row>
        <row r="2081">
          <cell r="B2081" t="str">
            <v/>
          </cell>
          <cell r="H2081" t="str">
            <v/>
          </cell>
          <cell r="J2081" t="str">
            <v/>
          </cell>
          <cell r="N2081" t="str">
            <v/>
          </cell>
          <cell r="O2081" t="str">
            <v/>
          </cell>
          <cell r="P2081" t="str">
            <v/>
          </cell>
          <cell r="Q2081" t="str">
            <v/>
          </cell>
          <cell r="T2081" t="str">
            <v/>
          </cell>
          <cell r="U2081" t="str">
            <v/>
          </cell>
          <cell r="W2081" t="str">
            <v/>
          </cell>
          <cell r="X2081" t="str">
            <v/>
          </cell>
          <cell r="AB2081">
            <v>0</v>
          </cell>
          <cell r="AC2081">
            <v>0</v>
          </cell>
          <cell r="AD2081">
            <v>0</v>
          </cell>
          <cell r="AJ2081">
            <v>0</v>
          </cell>
          <cell r="AK2081">
            <v>0</v>
          </cell>
        </row>
        <row r="2082">
          <cell r="B2082" t="str">
            <v/>
          </cell>
          <cell r="H2082" t="str">
            <v/>
          </cell>
          <cell r="J2082" t="str">
            <v/>
          </cell>
          <cell r="N2082" t="str">
            <v/>
          </cell>
          <cell r="O2082" t="str">
            <v/>
          </cell>
          <cell r="P2082" t="str">
            <v/>
          </cell>
          <cell r="Q2082" t="str">
            <v/>
          </cell>
          <cell r="T2082" t="str">
            <v/>
          </cell>
          <cell r="U2082" t="str">
            <v/>
          </cell>
          <cell r="W2082" t="str">
            <v/>
          </cell>
          <cell r="X2082" t="str">
            <v/>
          </cell>
          <cell r="AB2082">
            <v>0</v>
          </cell>
          <cell r="AC2082">
            <v>0</v>
          </cell>
          <cell r="AD2082">
            <v>0</v>
          </cell>
          <cell r="AJ2082">
            <v>0</v>
          </cell>
          <cell r="AK2082">
            <v>0</v>
          </cell>
        </row>
        <row r="2083">
          <cell r="B2083" t="str">
            <v/>
          </cell>
          <cell r="H2083" t="str">
            <v/>
          </cell>
          <cell r="J2083" t="str">
            <v/>
          </cell>
          <cell r="N2083" t="str">
            <v/>
          </cell>
          <cell r="O2083" t="str">
            <v/>
          </cell>
          <cell r="P2083" t="str">
            <v/>
          </cell>
          <cell r="Q2083" t="str">
            <v/>
          </cell>
          <cell r="T2083" t="str">
            <v/>
          </cell>
          <cell r="U2083" t="str">
            <v/>
          </cell>
          <cell r="W2083" t="str">
            <v/>
          </cell>
          <cell r="X2083" t="str">
            <v/>
          </cell>
          <cell r="AB2083">
            <v>0</v>
          </cell>
          <cell r="AC2083">
            <v>0</v>
          </cell>
          <cell r="AD2083">
            <v>0</v>
          </cell>
          <cell r="AJ2083">
            <v>0</v>
          </cell>
          <cell r="AK2083">
            <v>0</v>
          </cell>
        </row>
        <row r="2084">
          <cell r="B2084" t="str">
            <v/>
          </cell>
          <cell r="H2084" t="str">
            <v/>
          </cell>
          <cell r="J2084" t="str">
            <v/>
          </cell>
          <cell r="N2084" t="str">
            <v/>
          </cell>
          <cell r="O2084" t="str">
            <v/>
          </cell>
          <cell r="P2084" t="str">
            <v/>
          </cell>
          <cell r="Q2084" t="str">
            <v/>
          </cell>
          <cell r="T2084" t="str">
            <v/>
          </cell>
          <cell r="U2084" t="str">
            <v/>
          </cell>
          <cell r="W2084" t="str">
            <v/>
          </cell>
          <cell r="X2084" t="str">
            <v/>
          </cell>
          <cell r="AB2084">
            <v>0</v>
          </cell>
          <cell r="AC2084">
            <v>0</v>
          </cell>
          <cell r="AD2084">
            <v>0</v>
          </cell>
          <cell r="AJ2084">
            <v>0</v>
          </cell>
          <cell r="AK2084">
            <v>0</v>
          </cell>
        </row>
        <row r="2085">
          <cell r="B2085" t="str">
            <v/>
          </cell>
          <cell r="H2085" t="str">
            <v/>
          </cell>
          <cell r="J2085" t="str">
            <v/>
          </cell>
          <cell r="N2085" t="str">
            <v/>
          </cell>
          <cell r="O2085" t="str">
            <v/>
          </cell>
          <cell r="P2085" t="str">
            <v/>
          </cell>
          <cell r="Q2085" t="str">
            <v/>
          </cell>
          <cell r="T2085" t="str">
            <v/>
          </cell>
          <cell r="U2085" t="str">
            <v/>
          </cell>
          <cell r="W2085" t="str">
            <v/>
          </cell>
          <cell r="X2085" t="str">
            <v/>
          </cell>
          <cell r="AB2085">
            <v>0</v>
          </cell>
          <cell r="AC2085">
            <v>0</v>
          </cell>
          <cell r="AD2085">
            <v>0</v>
          </cell>
          <cell r="AJ2085">
            <v>0</v>
          </cell>
          <cell r="AK2085">
            <v>0</v>
          </cell>
        </row>
        <row r="2086">
          <cell r="B2086" t="str">
            <v/>
          </cell>
          <cell r="H2086" t="str">
            <v/>
          </cell>
          <cell r="J2086" t="str">
            <v/>
          </cell>
          <cell r="N2086" t="str">
            <v/>
          </cell>
          <cell r="O2086" t="str">
            <v/>
          </cell>
          <cell r="P2086" t="str">
            <v/>
          </cell>
          <cell r="Q2086" t="str">
            <v/>
          </cell>
          <cell r="T2086" t="str">
            <v/>
          </cell>
          <cell r="U2086" t="str">
            <v/>
          </cell>
          <cell r="W2086" t="str">
            <v/>
          </cell>
          <cell r="X2086" t="str">
            <v/>
          </cell>
          <cell r="AB2086">
            <v>0</v>
          </cell>
          <cell r="AC2086">
            <v>0</v>
          </cell>
          <cell r="AD2086">
            <v>0</v>
          </cell>
          <cell r="AJ2086">
            <v>0</v>
          </cell>
          <cell r="AK2086">
            <v>0</v>
          </cell>
        </row>
        <row r="2087">
          <cell r="B2087" t="str">
            <v/>
          </cell>
          <cell r="H2087" t="str">
            <v/>
          </cell>
          <cell r="J2087" t="str">
            <v/>
          </cell>
          <cell r="N2087" t="str">
            <v/>
          </cell>
          <cell r="O2087" t="str">
            <v/>
          </cell>
          <cell r="P2087" t="str">
            <v/>
          </cell>
          <cell r="Q2087" t="str">
            <v/>
          </cell>
          <cell r="T2087" t="str">
            <v/>
          </cell>
          <cell r="U2087" t="str">
            <v/>
          </cell>
          <cell r="W2087" t="str">
            <v/>
          </cell>
          <cell r="X2087" t="str">
            <v/>
          </cell>
          <cell r="AB2087">
            <v>0</v>
          </cell>
          <cell r="AC2087">
            <v>0</v>
          </cell>
          <cell r="AD2087">
            <v>0</v>
          </cell>
          <cell r="AJ2087">
            <v>0</v>
          </cell>
          <cell r="AK2087">
            <v>0</v>
          </cell>
        </row>
        <row r="2088">
          <cell r="B2088" t="str">
            <v/>
          </cell>
          <cell r="H2088" t="str">
            <v/>
          </cell>
          <cell r="J2088" t="str">
            <v/>
          </cell>
          <cell r="N2088" t="str">
            <v/>
          </cell>
          <cell r="O2088" t="str">
            <v/>
          </cell>
          <cell r="P2088" t="str">
            <v/>
          </cell>
          <cell r="Q2088" t="str">
            <v/>
          </cell>
          <cell r="T2088" t="str">
            <v/>
          </cell>
          <cell r="U2088" t="str">
            <v/>
          </cell>
          <cell r="W2088" t="str">
            <v/>
          </cell>
          <cell r="X2088" t="str">
            <v/>
          </cell>
          <cell r="AB2088">
            <v>0</v>
          </cell>
          <cell r="AC2088">
            <v>0</v>
          </cell>
          <cell r="AD2088">
            <v>0</v>
          </cell>
          <cell r="AJ2088">
            <v>0</v>
          </cell>
          <cell r="AK2088">
            <v>0</v>
          </cell>
        </row>
        <row r="2089">
          <cell r="B2089" t="str">
            <v/>
          </cell>
          <cell r="H2089" t="str">
            <v/>
          </cell>
          <cell r="J2089" t="str">
            <v/>
          </cell>
          <cell r="N2089" t="str">
            <v/>
          </cell>
          <cell r="O2089" t="str">
            <v/>
          </cell>
          <cell r="P2089" t="str">
            <v/>
          </cell>
          <cell r="Q2089" t="str">
            <v/>
          </cell>
          <cell r="T2089" t="str">
            <v/>
          </cell>
          <cell r="U2089" t="str">
            <v/>
          </cell>
          <cell r="W2089" t="str">
            <v/>
          </cell>
          <cell r="X2089" t="str">
            <v/>
          </cell>
          <cell r="AB2089">
            <v>0</v>
          </cell>
          <cell r="AC2089">
            <v>0</v>
          </cell>
          <cell r="AD2089">
            <v>0</v>
          </cell>
          <cell r="AJ2089">
            <v>0</v>
          </cell>
          <cell r="AK2089">
            <v>0</v>
          </cell>
        </row>
        <row r="2090">
          <cell r="B2090" t="str">
            <v/>
          </cell>
          <cell r="H2090" t="str">
            <v/>
          </cell>
          <cell r="J2090" t="str">
            <v/>
          </cell>
          <cell r="N2090" t="str">
            <v/>
          </cell>
          <cell r="O2090" t="str">
            <v/>
          </cell>
          <cell r="P2090" t="str">
            <v/>
          </cell>
          <cell r="Q2090" t="str">
            <v/>
          </cell>
          <cell r="T2090" t="str">
            <v/>
          </cell>
          <cell r="U2090" t="str">
            <v/>
          </cell>
          <cell r="W2090" t="str">
            <v/>
          </cell>
          <cell r="X2090" t="str">
            <v/>
          </cell>
          <cell r="AB2090">
            <v>0</v>
          </cell>
          <cell r="AC2090">
            <v>0</v>
          </cell>
          <cell r="AD2090">
            <v>0</v>
          </cell>
          <cell r="AJ2090">
            <v>0</v>
          </cell>
          <cell r="AK2090">
            <v>0</v>
          </cell>
        </row>
        <row r="2091">
          <cell r="B2091" t="str">
            <v/>
          </cell>
          <cell r="H2091" t="str">
            <v/>
          </cell>
          <cell r="J2091" t="str">
            <v/>
          </cell>
          <cell r="N2091" t="str">
            <v/>
          </cell>
          <cell r="O2091" t="str">
            <v/>
          </cell>
          <cell r="P2091" t="str">
            <v/>
          </cell>
          <cell r="Q2091" t="str">
            <v/>
          </cell>
          <cell r="T2091" t="str">
            <v/>
          </cell>
          <cell r="U2091" t="str">
            <v/>
          </cell>
          <cell r="W2091" t="str">
            <v/>
          </cell>
          <cell r="X2091" t="str">
            <v/>
          </cell>
          <cell r="AB2091">
            <v>0</v>
          </cell>
          <cell r="AC2091">
            <v>0</v>
          </cell>
          <cell r="AD2091">
            <v>0</v>
          </cell>
          <cell r="AJ2091">
            <v>0</v>
          </cell>
          <cell r="AK2091">
            <v>0</v>
          </cell>
        </row>
        <row r="2092">
          <cell r="B2092" t="str">
            <v/>
          </cell>
          <cell r="H2092" t="str">
            <v/>
          </cell>
          <cell r="J2092" t="str">
            <v/>
          </cell>
          <cell r="N2092" t="str">
            <v/>
          </cell>
          <cell r="O2092" t="str">
            <v/>
          </cell>
          <cell r="P2092" t="str">
            <v/>
          </cell>
          <cell r="Q2092" t="str">
            <v/>
          </cell>
          <cell r="T2092" t="str">
            <v/>
          </cell>
          <cell r="U2092" t="str">
            <v/>
          </cell>
          <cell r="W2092" t="str">
            <v/>
          </cell>
          <cell r="X2092" t="str">
            <v/>
          </cell>
          <cell r="AB2092">
            <v>0</v>
          </cell>
          <cell r="AC2092">
            <v>0</v>
          </cell>
          <cell r="AD2092">
            <v>0</v>
          </cell>
          <cell r="AJ2092">
            <v>0</v>
          </cell>
          <cell r="AK2092">
            <v>0</v>
          </cell>
        </row>
        <row r="2093">
          <cell r="B2093" t="str">
            <v/>
          </cell>
          <cell r="H2093" t="str">
            <v/>
          </cell>
          <cell r="J2093" t="str">
            <v/>
          </cell>
          <cell r="N2093" t="str">
            <v/>
          </cell>
          <cell r="O2093" t="str">
            <v/>
          </cell>
          <cell r="P2093" t="str">
            <v/>
          </cell>
          <cell r="Q2093" t="str">
            <v/>
          </cell>
          <cell r="T2093" t="str">
            <v/>
          </cell>
          <cell r="U2093" t="str">
            <v/>
          </cell>
          <cell r="W2093" t="str">
            <v/>
          </cell>
          <cell r="X2093" t="str">
            <v/>
          </cell>
          <cell r="AB2093">
            <v>0</v>
          </cell>
          <cell r="AC2093">
            <v>0</v>
          </cell>
          <cell r="AD2093">
            <v>0</v>
          </cell>
          <cell r="AJ2093">
            <v>0</v>
          </cell>
          <cell r="AK2093">
            <v>0</v>
          </cell>
        </row>
        <row r="2094">
          <cell r="B2094" t="str">
            <v/>
          </cell>
          <cell r="H2094" t="str">
            <v/>
          </cell>
          <cell r="J2094" t="str">
            <v/>
          </cell>
          <cell r="N2094" t="str">
            <v/>
          </cell>
          <cell r="O2094" t="str">
            <v/>
          </cell>
          <cell r="P2094" t="str">
            <v/>
          </cell>
          <cell r="Q2094" t="str">
            <v/>
          </cell>
          <cell r="T2094" t="str">
            <v/>
          </cell>
          <cell r="U2094" t="str">
            <v/>
          </cell>
          <cell r="W2094" t="str">
            <v/>
          </cell>
          <cell r="X2094" t="str">
            <v/>
          </cell>
          <cell r="AB2094">
            <v>0</v>
          </cell>
          <cell r="AC2094">
            <v>0</v>
          </cell>
          <cell r="AD2094">
            <v>0</v>
          </cell>
          <cell r="AJ2094">
            <v>0</v>
          </cell>
          <cell r="AK2094">
            <v>0</v>
          </cell>
        </row>
        <row r="2095">
          <cell r="B2095" t="str">
            <v/>
          </cell>
          <cell r="H2095" t="str">
            <v/>
          </cell>
          <cell r="J2095" t="str">
            <v/>
          </cell>
          <cell r="N2095" t="str">
            <v/>
          </cell>
          <cell r="O2095" t="str">
            <v/>
          </cell>
          <cell r="P2095" t="str">
            <v/>
          </cell>
          <cell r="Q2095" t="str">
            <v/>
          </cell>
          <cell r="T2095" t="str">
            <v/>
          </cell>
          <cell r="U2095" t="str">
            <v/>
          </cell>
          <cell r="W2095" t="str">
            <v/>
          </cell>
          <cell r="X2095" t="str">
            <v/>
          </cell>
          <cell r="AB2095">
            <v>0</v>
          </cell>
          <cell r="AC2095">
            <v>0</v>
          </cell>
          <cell r="AD2095">
            <v>0</v>
          </cell>
          <cell r="AJ2095">
            <v>0</v>
          </cell>
          <cell r="AK2095">
            <v>0</v>
          </cell>
        </row>
        <row r="2096">
          <cell r="B2096" t="str">
            <v/>
          </cell>
          <cell r="H2096" t="str">
            <v/>
          </cell>
          <cell r="J2096" t="str">
            <v/>
          </cell>
          <cell r="N2096" t="str">
            <v/>
          </cell>
          <cell r="O2096" t="str">
            <v/>
          </cell>
          <cell r="P2096" t="str">
            <v/>
          </cell>
          <cell r="Q2096" t="str">
            <v/>
          </cell>
          <cell r="T2096" t="str">
            <v/>
          </cell>
          <cell r="U2096" t="str">
            <v/>
          </cell>
          <cell r="W2096" t="str">
            <v/>
          </cell>
          <cell r="X2096" t="str">
            <v/>
          </cell>
          <cell r="AB2096">
            <v>0</v>
          </cell>
          <cell r="AC2096">
            <v>0</v>
          </cell>
          <cell r="AD2096">
            <v>0</v>
          </cell>
          <cell r="AJ2096">
            <v>0</v>
          </cell>
          <cell r="AK2096">
            <v>0</v>
          </cell>
        </row>
        <row r="2097">
          <cell r="B2097" t="str">
            <v/>
          </cell>
          <cell r="H2097" t="str">
            <v/>
          </cell>
          <cell r="J2097" t="str">
            <v/>
          </cell>
          <cell r="N2097" t="str">
            <v/>
          </cell>
          <cell r="O2097" t="str">
            <v/>
          </cell>
          <cell r="P2097" t="str">
            <v/>
          </cell>
          <cell r="Q2097" t="str">
            <v/>
          </cell>
          <cell r="T2097" t="str">
            <v/>
          </cell>
          <cell r="U2097" t="str">
            <v/>
          </cell>
          <cell r="W2097" t="str">
            <v/>
          </cell>
          <cell r="X2097" t="str">
            <v/>
          </cell>
          <cell r="AB2097">
            <v>0</v>
          </cell>
          <cell r="AC2097">
            <v>0</v>
          </cell>
          <cell r="AD2097">
            <v>0</v>
          </cell>
          <cell r="AJ2097">
            <v>0</v>
          </cell>
          <cell r="AK2097">
            <v>0</v>
          </cell>
        </row>
        <row r="2098">
          <cell r="B2098" t="str">
            <v/>
          </cell>
          <cell r="H2098" t="str">
            <v/>
          </cell>
          <cell r="J2098" t="str">
            <v/>
          </cell>
          <cell r="N2098" t="str">
            <v/>
          </cell>
          <cell r="O2098" t="str">
            <v/>
          </cell>
          <cell r="P2098" t="str">
            <v/>
          </cell>
          <cell r="Q2098" t="str">
            <v/>
          </cell>
          <cell r="T2098" t="str">
            <v/>
          </cell>
          <cell r="U2098" t="str">
            <v/>
          </cell>
          <cell r="W2098" t="str">
            <v/>
          </cell>
          <cell r="X2098" t="str">
            <v/>
          </cell>
          <cell r="AB2098">
            <v>0</v>
          </cell>
          <cell r="AC2098">
            <v>0</v>
          </cell>
          <cell r="AD2098">
            <v>0</v>
          </cell>
          <cell r="AJ2098">
            <v>0</v>
          </cell>
          <cell r="AK2098">
            <v>0</v>
          </cell>
        </row>
        <row r="2099">
          <cell r="B2099" t="str">
            <v/>
          </cell>
          <cell r="H2099" t="str">
            <v/>
          </cell>
          <cell r="J2099" t="str">
            <v/>
          </cell>
          <cell r="N2099" t="str">
            <v/>
          </cell>
          <cell r="O2099" t="str">
            <v/>
          </cell>
          <cell r="P2099" t="str">
            <v/>
          </cell>
          <cell r="Q2099" t="str">
            <v/>
          </cell>
          <cell r="T2099" t="str">
            <v/>
          </cell>
          <cell r="U2099" t="str">
            <v/>
          </cell>
          <cell r="W2099" t="str">
            <v/>
          </cell>
          <cell r="X2099" t="str">
            <v/>
          </cell>
          <cell r="AB2099">
            <v>0</v>
          </cell>
          <cell r="AC2099">
            <v>0</v>
          </cell>
          <cell r="AD2099">
            <v>0</v>
          </cell>
          <cell r="AJ2099">
            <v>0</v>
          </cell>
          <cell r="AK2099">
            <v>0</v>
          </cell>
        </row>
        <row r="2100">
          <cell r="B2100" t="str">
            <v/>
          </cell>
          <cell r="H2100" t="str">
            <v/>
          </cell>
          <cell r="J2100" t="str">
            <v/>
          </cell>
          <cell r="N2100" t="str">
            <v/>
          </cell>
          <cell r="O2100" t="str">
            <v/>
          </cell>
          <cell r="P2100" t="str">
            <v/>
          </cell>
          <cell r="Q2100" t="str">
            <v/>
          </cell>
          <cell r="T2100" t="str">
            <v/>
          </cell>
          <cell r="U2100" t="str">
            <v/>
          </cell>
          <cell r="W2100" t="str">
            <v/>
          </cell>
          <cell r="X2100" t="str">
            <v/>
          </cell>
          <cell r="AB2100">
            <v>0</v>
          </cell>
          <cell r="AC2100">
            <v>0</v>
          </cell>
          <cell r="AD2100">
            <v>0</v>
          </cell>
          <cell r="AJ2100">
            <v>0</v>
          </cell>
          <cell r="AK2100">
            <v>0</v>
          </cell>
        </row>
        <row r="2101">
          <cell r="B2101" t="str">
            <v/>
          </cell>
          <cell r="H2101" t="str">
            <v/>
          </cell>
          <cell r="J2101" t="str">
            <v/>
          </cell>
          <cell r="N2101" t="str">
            <v/>
          </cell>
          <cell r="O2101" t="str">
            <v/>
          </cell>
          <cell r="P2101" t="str">
            <v/>
          </cell>
          <cell r="Q2101" t="str">
            <v/>
          </cell>
          <cell r="T2101" t="str">
            <v/>
          </cell>
          <cell r="U2101" t="str">
            <v/>
          </cell>
          <cell r="W2101" t="str">
            <v/>
          </cell>
          <cell r="X2101" t="str">
            <v/>
          </cell>
          <cell r="AB2101">
            <v>0</v>
          </cell>
          <cell r="AC2101">
            <v>0</v>
          </cell>
          <cell r="AD2101">
            <v>0</v>
          </cell>
          <cell r="AJ2101">
            <v>0</v>
          </cell>
          <cell r="AK2101">
            <v>0</v>
          </cell>
        </row>
        <row r="2102">
          <cell r="B2102" t="str">
            <v/>
          </cell>
          <cell r="H2102" t="str">
            <v/>
          </cell>
          <cell r="J2102" t="str">
            <v/>
          </cell>
          <cell r="N2102" t="str">
            <v/>
          </cell>
          <cell r="O2102" t="str">
            <v/>
          </cell>
          <cell r="P2102" t="str">
            <v/>
          </cell>
          <cell r="Q2102" t="str">
            <v/>
          </cell>
          <cell r="T2102" t="str">
            <v/>
          </cell>
          <cell r="U2102" t="str">
            <v/>
          </cell>
          <cell r="W2102" t="str">
            <v/>
          </cell>
          <cell r="X2102" t="str">
            <v/>
          </cell>
          <cell r="AB2102">
            <v>0</v>
          </cell>
          <cell r="AC2102">
            <v>0</v>
          </cell>
          <cell r="AD2102">
            <v>0</v>
          </cell>
          <cell r="AJ2102">
            <v>0</v>
          </cell>
          <cell r="AK2102">
            <v>0</v>
          </cell>
        </row>
        <row r="2103">
          <cell r="B2103" t="str">
            <v/>
          </cell>
          <cell r="H2103" t="str">
            <v/>
          </cell>
          <cell r="J2103" t="str">
            <v/>
          </cell>
          <cell r="N2103" t="str">
            <v/>
          </cell>
          <cell r="O2103" t="str">
            <v/>
          </cell>
          <cell r="P2103" t="str">
            <v/>
          </cell>
          <cell r="Q2103" t="str">
            <v/>
          </cell>
          <cell r="T2103" t="str">
            <v/>
          </cell>
          <cell r="U2103" t="str">
            <v/>
          </cell>
          <cell r="W2103" t="str">
            <v/>
          </cell>
          <cell r="X2103" t="str">
            <v/>
          </cell>
          <cell r="AB2103">
            <v>0</v>
          </cell>
          <cell r="AC2103">
            <v>0</v>
          </cell>
          <cell r="AD2103">
            <v>0</v>
          </cell>
          <cell r="AJ2103">
            <v>0</v>
          </cell>
          <cell r="AK2103">
            <v>0</v>
          </cell>
        </row>
        <row r="2104">
          <cell r="B2104" t="str">
            <v/>
          </cell>
          <cell r="H2104" t="str">
            <v/>
          </cell>
          <cell r="J2104" t="str">
            <v/>
          </cell>
          <cell r="N2104" t="str">
            <v/>
          </cell>
          <cell r="O2104" t="str">
            <v/>
          </cell>
          <cell r="P2104" t="str">
            <v/>
          </cell>
          <cell r="Q2104" t="str">
            <v/>
          </cell>
          <cell r="T2104" t="str">
            <v/>
          </cell>
          <cell r="U2104" t="str">
            <v/>
          </cell>
          <cell r="W2104" t="str">
            <v/>
          </cell>
          <cell r="X2104" t="str">
            <v/>
          </cell>
          <cell r="AB2104">
            <v>0</v>
          </cell>
          <cell r="AC2104">
            <v>0</v>
          </cell>
          <cell r="AD2104">
            <v>0</v>
          </cell>
          <cell r="AJ2104">
            <v>0</v>
          </cell>
          <cell r="AK2104">
            <v>0</v>
          </cell>
        </row>
        <row r="2105">
          <cell r="B2105" t="str">
            <v/>
          </cell>
          <cell r="H2105" t="str">
            <v/>
          </cell>
          <cell r="J2105" t="str">
            <v/>
          </cell>
          <cell r="N2105" t="str">
            <v/>
          </cell>
          <cell r="O2105" t="str">
            <v/>
          </cell>
          <cell r="P2105" t="str">
            <v/>
          </cell>
          <cell r="Q2105" t="str">
            <v/>
          </cell>
          <cell r="T2105" t="str">
            <v/>
          </cell>
          <cell r="U2105" t="str">
            <v/>
          </cell>
          <cell r="W2105" t="str">
            <v/>
          </cell>
          <cell r="X2105" t="str">
            <v/>
          </cell>
          <cell r="AB2105">
            <v>0</v>
          </cell>
          <cell r="AC2105">
            <v>0</v>
          </cell>
          <cell r="AD2105">
            <v>0</v>
          </cell>
          <cell r="AJ2105">
            <v>0</v>
          </cell>
          <cell r="AK2105">
            <v>0</v>
          </cell>
        </row>
        <row r="2106">
          <cell r="B2106" t="str">
            <v/>
          </cell>
          <cell r="H2106" t="str">
            <v/>
          </cell>
          <cell r="J2106" t="str">
            <v/>
          </cell>
          <cell r="N2106" t="str">
            <v/>
          </cell>
          <cell r="O2106" t="str">
            <v/>
          </cell>
          <cell r="P2106" t="str">
            <v/>
          </cell>
          <cell r="Q2106" t="str">
            <v/>
          </cell>
          <cell r="T2106" t="str">
            <v/>
          </cell>
          <cell r="U2106" t="str">
            <v/>
          </cell>
          <cell r="W2106" t="str">
            <v/>
          </cell>
          <cell r="X2106" t="str">
            <v/>
          </cell>
          <cell r="AB2106">
            <v>0</v>
          </cell>
          <cell r="AC2106">
            <v>0</v>
          </cell>
          <cell r="AD2106">
            <v>0</v>
          </cell>
          <cell r="AJ2106">
            <v>0</v>
          </cell>
          <cell r="AK2106">
            <v>0</v>
          </cell>
        </row>
        <row r="2107">
          <cell r="B2107" t="str">
            <v/>
          </cell>
          <cell r="H2107" t="str">
            <v/>
          </cell>
          <cell r="J2107" t="str">
            <v/>
          </cell>
          <cell r="N2107" t="str">
            <v/>
          </cell>
          <cell r="O2107" t="str">
            <v/>
          </cell>
          <cell r="P2107" t="str">
            <v/>
          </cell>
          <cell r="Q2107" t="str">
            <v/>
          </cell>
          <cell r="T2107" t="str">
            <v/>
          </cell>
          <cell r="U2107" t="str">
            <v/>
          </cell>
          <cell r="W2107" t="str">
            <v/>
          </cell>
          <cell r="X2107" t="str">
            <v/>
          </cell>
          <cell r="AB2107">
            <v>0</v>
          </cell>
          <cell r="AC2107">
            <v>0</v>
          </cell>
          <cell r="AD2107">
            <v>0</v>
          </cell>
          <cell r="AJ2107">
            <v>0</v>
          </cell>
          <cell r="AK2107">
            <v>0</v>
          </cell>
        </row>
        <row r="2108">
          <cell r="B2108" t="str">
            <v/>
          </cell>
          <cell r="H2108" t="str">
            <v/>
          </cell>
          <cell r="J2108" t="str">
            <v/>
          </cell>
          <cell r="N2108" t="str">
            <v/>
          </cell>
          <cell r="O2108" t="str">
            <v/>
          </cell>
          <cell r="P2108" t="str">
            <v/>
          </cell>
          <cell r="Q2108" t="str">
            <v/>
          </cell>
          <cell r="T2108" t="str">
            <v/>
          </cell>
          <cell r="U2108" t="str">
            <v/>
          </cell>
          <cell r="W2108" t="str">
            <v/>
          </cell>
          <cell r="X2108" t="str">
            <v/>
          </cell>
          <cell r="AB2108">
            <v>0</v>
          </cell>
          <cell r="AC2108">
            <v>0</v>
          </cell>
          <cell r="AD2108">
            <v>0</v>
          </cell>
          <cell r="AJ2108">
            <v>0</v>
          </cell>
          <cell r="AK2108">
            <v>0</v>
          </cell>
        </row>
        <row r="2109">
          <cell r="B2109" t="str">
            <v/>
          </cell>
          <cell r="H2109" t="str">
            <v/>
          </cell>
          <cell r="J2109" t="str">
            <v/>
          </cell>
          <cell r="N2109" t="str">
            <v/>
          </cell>
          <cell r="O2109" t="str">
            <v/>
          </cell>
          <cell r="P2109" t="str">
            <v/>
          </cell>
          <cell r="Q2109" t="str">
            <v/>
          </cell>
          <cell r="T2109" t="str">
            <v/>
          </cell>
          <cell r="U2109" t="str">
            <v/>
          </cell>
          <cell r="W2109" t="str">
            <v/>
          </cell>
          <cell r="X2109" t="str">
            <v/>
          </cell>
          <cell r="AB2109">
            <v>0</v>
          </cell>
          <cell r="AC2109">
            <v>0</v>
          </cell>
          <cell r="AD2109">
            <v>0</v>
          </cell>
          <cell r="AJ2109">
            <v>0</v>
          </cell>
          <cell r="AK2109">
            <v>0</v>
          </cell>
        </row>
        <row r="2110">
          <cell r="B2110" t="str">
            <v/>
          </cell>
          <cell r="H2110" t="str">
            <v/>
          </cell>
          <cell r="J2110" t="str">
            <v/>
          </cell>
          <cell r="N2110" t="str">
            <v/>
          </cell>
          <cell r="O2110" t="str">
            <v/>
          </cell>
          <cell r="P2110" t="str">
            <v/>
          </cell>
          <cell r="Q2110" t="str">
            <v/>
          </cell>
          <cell r="T2110" t="str">
            <v/>
          </cell>
          <cell r="U2110" t="str">
            <v/>
          </cell>
          <cell r="W2110" t="str">
            <v/>
          </cell>
          <cell r="X2110" t="str">
            <v/>
          </cell>
          <cell r="AB2110">
            <v>0</v>
          </cell>
          <cell r="AC2110">
            <v>0</v>
          </cell>
          <cell r="AD2110">
            <v>0</v>
          </cell>
          <cell r="AJ2110">
            <v>0</v>
          </cell>
          <cell r="AK2110">
            <v>0</v>
          </cell>
        </row>
        <row r="2111">
          <cell r="B2111" t="str">
            <v/>
          </cell>
          <cell r="H2111" t="str">
            <v/>
          </cell>
          <cell r="J2111" t="str">
            <v/>
          </cell>
          <cell r="N2111" t="str">
            <v/>
          </cell>
          <cell r="O2111" t="str">
            <v/>
          </cell>
          <cell r="P2111" t="str">
            <v/>
          </cell>
          <cell r="Q2111" t="str">
            <v/>
          </cell>
          <cell r="T2111" t="str">
            <v/>
          </cell>
          <cell r="U2111" t="str">
            <v/>
          </cell>
          <cell r="W2111" t="str">
            <v/>
          </cell>
          <cell r="X2111" t="str">
            <v/>
          </cell>
          <cell r="AB2111">
            <v>0</v>
          </cell>
          <cell r="AC2111">
            <v>0</v>
          </cell>
          <cell r="AD2111">
            <v>0</v>
          </cell>
          <cell r="AJ2111">
            <v>0</v>
          </cell>
          <cell r="AK2111">
            <v>0</v>
          </cell>
        </row>
        <row r="2112">
          <cell r="B2112" t="str">
            <v/>
          </cell>
          <cell r="H2112" t="str">
            <v/>
          </cell>
          <cell r="J2112" t="str">
            <v/>
          </cell>
          <cell r="N2112" t="str">
            <v/>
          </cell>
          <cell r="O2112" t="str">
            <v/>
          </cell>
          <cell r="P2112" t="str">
            <v/>
          </cell>
          <cell r="Q2112" t="str">
            <v/>
          </cell>
          <cell r="T2112" t="str">
            <v/>
          </cell>
          <cell r="U2112" t="str">
            <v/>
          </cell>
          <cell r="W2112" t="str">
            <v/>
          </cell>
          <cell r="X2112" t="str">
            <v/>
          </cell>
          <cell r="AB2112">
            <v>0</v>
          </cell>
          <cell r="AC2112">
            <v>0</v>
          </cell>
          <cell r="AD2112">
            <v>0</v>
          </cell>
          <cell r="AJ2112">
            <v>0</v>
          </cell>
          <cell r="AK2112">
            <v>0</v>
          </cell>
        </row>
        <row r="2113">
          <cell r="B2113" t="str">
            <v/>
          </cell>
          <cell r="H2113" t="str">
            <v/>
          </cell>
          <cell r="J2113" t="str">
            <v/>
          </cell>
          <cell r="N2113" t="str">
            <v/>
          </cell>
          <cell r="O2113" t="str">
            <v/>
          </cell>
          <cell r="P2113" t="str">
            <v/>
          </cell>
          <cell r="Q2113" t="str">
            <v/>
          </cell>
          <cell r="T2113" t="str">
            <v/>
          </cell>
          <cell r="U2113" t="str">
            <v/>
          </cell>
          <cell r="W2113" t="str">
            <v/>
          </cell>
          <cell r="X2113" t="str">
            <v/>
          </cell>
          <cell r="AB2113">
            <v>0</v>
          </cell>
          <cell r="AC2113">
            <v>0</v>
          </cell>
          <cell r="AD2113">
            <v>0</v>
          </cell>
          <cell r="AJ2113">
            <v>0</v>
          </cell>
          <cell r="AK2113">
            <v>0</v>
          </cell>
        </row>
        <row r="2114">
          <cell r="B2114" t="str">
            <v/>
          </cell>
          <cell r="H2114" t="str">
            <v/>
          </cell>
          <cell r="J2114" t="str">
            <v/>
          </cell>
          <cell r="N2114" t="str">
            <v/>
          </cell>
          <cell r="O2114" t="str">
            <v/>
          </cell>
          <cell r="P2114" t="str">
            <v/>
          </cell>
          <cell r="Q2114" t="str">
            <v/>
          </cell>
          <cell r="T2114" t="str">
            <v/>
          </cell>
          <cell r="U2114" t="str">
            <v/>
          </cell>
          <cell r="W2114" t="str">
            <v/>
          </cell>
          <cell r="X2114" t="str">
            <v/>
          </cell>
          <cell r="AB2114">
            <v>0</v>
          </cell>
          <cell r="AC2114">
            <v>0</v>
          </cell>
          <cell r="AD2114">
            <v>0</v>
          </cell>
          <cell r="AJ2114">
            <v>0</v>
          </cell>
          <cell r="AK2114">
            <v>0</v>
          </cell>
        </row>
        <row r="2115">
          <cell r="B2115" t="str">
            <v/>
          </cell>
          <cell r="H2115" t="str">
            <v/>
          </cell>
          <cell r="J2115" t="str">
            <v/>
          </cell>
          <cell r="N2115" t="str">
            <v/>
          </cell>
          <cell r="O2115" t="str">
            <v/>
          </cell>
          <cell r="P2115" t="str">
            <v/>
          </cell>
          <cell r="Q2115" t="str">
            <v/>
          </cell>
          <cell r="T2115" t="str">
            <v/>
          </cell>
          <cell r="U2115" t="str">
            <v/>
          </cell>
          <cell r="W2115" t="str">
            <v/>
          </cell>
          <cell r="X2115" t="str">
            <v/>
          </cell>
          <cell r="AB2115">
            <v>0</v>
          </cell>
          <cell r="AC2115">
            <v>0</v>
          </cell>
          <cell r="AD2115">
            <v>0</v>
          </cell>
          <cell r="AJ2115">
            <v>0</v>
          </cell>
          <cell r="AK2115">
            <v>0</v>
          </cell>
        </row>
        <row r="2116">
          <cell r="B2116" t="str">
            <v/>
          </cell>
          <cell r="H2116" t="str">
            <v/>
          </cell>
          <cell r="J2116" t="str">
            <v/>
          </cell>
          <cell r="N2116" t="str">
            <v/>
          </cell>
          <cell r="O2116" t="str">
            <v/>
          </cell>
          <cell r="P2116" t="str">
            <v/>
          </cell>
          <cell r="Q2116" t="str">
            <v/>
          </cell>
          <cell r="T2116" t="str">
            <v/>
          </cell>
          <cell r="U2116" t="str">
            <v/>
          </cell>
          <cell r="W2116" t="str">
            <v/>
          </cell>
          <cell r="X2116" t="str">
            <v/>
          </cell>
          <cell r="AB2116">
            <v>0</v>
          </cell>
          <cell r="AC2116">
            <v>0</v>
          </cell>
          <cell r="AD2116">
            <v>0</v>
          </cell>
          <cell r="AJ2116">
            <v>0</v>
          </cell>
          <cell r="AK2116">
            <v>0</v>
          </cell>
        </row>
        <row r="2117">
          <cell r="B2117" t="str">
            <v/>
          </cell>
          <cell r="H2117" t="str">
            <v/>
          </cell>
          <cell r="J2117" t="str">
            <v/>
          </cell>
          <cell r="N2117" t="str">
            <v/>
          </cell>
          <cell r="O2117" t="str">
            <v/>
          </cell>
          <cell r="P2117" t="str">
            <v/>
          </cell>
          <cell r="Q2117" t="str">
            <v/>
          </cell>
          <cell r="T2117" t="str">
            <v/>
          </cell>
          <cell r="U2117" t="str">
            <v/>
          </cell>
          <cell r="W2117" t="str">
            <v/>
          </cell>
          <cell r="X2117" t="str">
            <v/>
          </cell>
          <cell r="AB2117">
            <v>0</v>
          </cell>
          <cell r="AC2117">
            <v>0</v>
          </cell>
          <cell r="AD2117">
            <v>0</v>
          </cell>
          <cell r="AJ2117">
            <v>0</v>
          </cell>
          <cell r="AK2117">
            <v>0</v>
          </cell>
        </row>
        <row r="2118">
          <cell r="B2118" t="str">
            <v/>
          </cell>
          <cell r="H2118" t="str">
            <v/>
          </cell>
          <cell r="J2118" t="str">
            <v/>
          </cell>
          <cell r="N2118" t="str">
            <v/>
          </cell>
          <cell r="O2118" t="str">
            <v/>
          </cell>
          <cell r="P2118" t="str">
            <v/>
          </cell>
          <cell r="Q2118" t="str">
            <v/>
          </cell>
          <cell r="T2118" t="str">
            <v/>
          </cell>
          <cell r="U2118" t="str">
            <v/>
          </cell>
          <cell r="W2118" t="str">
            <v/>
          </cell>
          <cell r="X2118" t="str">
            <v/>
          </cell>
          <cell r="AB2118">
            <v>0</v>
          </cell>
          <cell r="AC2118">
            <v>0</v>
          </cell>
          <cell r="AD2118">
            <v>0</v>
          </cell>
          <cell r="AJ2118">
            <v>0</v>
          </cell>
          <cell r="AK2118">
            <v>0</v>
          </cell>
        </row>
        <row r="2119">
          <cell r="B2119" t="str">
            <v/>
          </cell>
          <cell r="H2119" t="str">
            <v/>
          </cell>
          <cell r="J2119" t="str">
            <v/>
          </cell>
          <cell r="N2119" t="str">
            <v/>
          </cell>
          <cell r="O2119" t="str">
            <v/>
          </cell>
          <cell r="P2119" t="str">
            <v/>
          </cell>
          <cell r="Q2119" t="str">
            <v/>
          </cell>
          <cell r="T2119" t="str">
            <v/>
          </cell>
          <cell r="U2119" t="str">
            <v/>
          </cell>
          <cell r="W2119" t="str">
            <v/>
          </cell>
          <cell r="X2119" t="str">
            <v/>
          </cell>
          <cell r="AB2119">
            <v>0</v>
          </cell>
          <cell r="AC2119">
            <v>0</v>
          </cell>
          <cell r="AD2119">
            <v>0</v>
          </cell>
          <cell r="AJ2119">
            <v>0</v>
          </cell>
          <cell r="AK2119">
            <v>0</v>
          </cell>
        </row>
        <row r="2120">
          <cell r="B2120" t="str">
            <v/>
          </cell>
          <cell r="H2120" t="str">
            <v/>
          </cell>
          <cell r="J2120" t="str">
            <v/>
          </cell>
          <cell r="N2120" t="str">
            <v/>
          </cell>
          <cell r="O2120" t="str">
            <v/>
          </cell>
          <cell r="P2120" t="str">
            <v/>
          </cell>
          <cell r="Q2120" t="str">
            <v/>
          </cell>
          <cell r="T2120" t="str">
            <v/>
          </cell>
          <cell r="U2120" t="str">
            <v/>
          </cell>
          <cell r="W2120" t="str">
            <v/>
          </cell>
          <cell r="X2120" t="str">
            <v/>
          </cell>
          <cell r="AB2120">
            <v>0</v>
          </cell>
          <cell r="AC2120">
            <v>0</v>
          </cell>
          <cell r="AD2120">
            <v>0</v>
          </cell>
          <cell r="AJ2120">
            <v>0</v>
          </cell>
          <cell r="AK2120">
            <v>0</v>
          </cell>
        </row>
        <row r="2121">
          <cell r="B2121" t="str">
            <v/>
          </cell>
          <cell r="H2121" t="str">
            <v/>
          </cell>
          <cell r="J2121" t="str">
            <v/>
          </cell>
          <cell r="N2121" t="str">
            <v/>
          </cell>
          <cell r="O2121" t="str">
            <v/>
          </cell>
          <cell r="P2121" t="str">
            <v/>
          </cell>
          <cell r="Q2121" t="str">
            <v/>
          </cell>
          <cell r="T2121" t="str">
            <v/>
          </cell>
          <cell r="U2121" t="str">
            <v/>
          </cell>
          <cell r="W2121" t="str">
            <v/>
          </cell>
          <cell r="X2121" t="str">
            <v/>
          </cell>
          <cell r="AB2121">
            <v>0</v>
          </cell>
          <cell r="AC2121">
            <v>0</v>
          </cell>
          <cell r="AD2121">
            <v>0</v>
          </cell>
          <cell r="AJ2121">
            <v>0</v>
          </cell>
          <cell r="AK2121">
            <v>0</v>
          </cell>
        </row>
        <row r="2122">
          <cell r="B2122" t="str">
            <v/>
          </cell>
          <cell r="H2122" t="str">
            <v/>
          </cell>
          <cell r="J2122" t="str">
            <v/>
          </cell>
          <cell r="N2122" t="str">
            <v/>
          </cell>
          <cell r="O2122" t="str">
            <v/>
          </cell>
          <cell r="P2122" t="str">
            <v/>
          </cell>
          <cell r="Q2122" t="str">
            <v/>
          </cell>
          <cell r="T2122" t="str">
            <v/>
          </cell>
          <cell r="U2122" t="str">
            <v/>
          </cell>
          <cell r="W2122" t="str">
            <v/>
          </cell>
          <cell r="X2122" t="str">
            <v/>
          </cell>
          <cell r="AB2122">
            <v>0</v>
          </cell>
          <cell r="AC2122">
            <v>0</v>
          </cell>
          <cell r="AD2122">
            <v>0</v>
          </cell>
          <cell r="AJ2122">
            <v>0</v>
          </cell>
          <cell r="AK2122">
            <v>0</v>
          </cell>
        </row>
        <row r="2123">
          <cell r="B2123" t="str">
            <v/>
          </cell>
          <cell r="H2123" t="str">
            <v/>
          </cell>
          <cell r="J2123" t="str">
            <v/>
          </cell>
          <cell r="N2123" t="str">
            <v/>
          </cell>
          <cell r="O2123" t="str">
            <v/>
          </cell>
          <cell r="P2123" t="str">
            <v/>
          </cell>
          <cell r="Q2123" t="str">
            <v/>
          </cell>
          <cell r="T2123" t="str">
            <v/>
          </cell>
          <cell r="U2123" t="str">
            <v/>
          </cell>
          <cell r="W2123" t="str">
            <v/>
          </cell>
          <cell r="X2123" t="str">
            <v/>
          </cell>
          <cell r="AB2123">
            <v>0</v>
          </cell>
          <cell r="AC2123">
            <v>0</v>
          </cell>
          <cell r="AD2123">
            <v>0</v>
          </cell>
          <cell r="AJ2123">
            <v>0</v>
          </cell>
          <cell r="AK2123">
            <v>0</v>
          </cell>
        </row>
        <row r="2124">
          <cell r="B2124" t="str">
            <v/>
          </cell>
          <cell r="H2124" t="str">
            <v/>
          </cell>
          <cell r="J2124" t="str">
            <v/>
          </cell>
          <cell r="N2124" t="str">
            <v/>
          </cell>
          <cell r="O2124" t="str">
            <v/>
          </cell>
          <cell r="P2124" t="str">
            <v/>
          </cell>
          <cell r="Q2124" t="str">
            <v/>
          </cell>
          <cell r="T2124" t="str">
            <v/>
          </cell>
          <cell r="U2124" t="str">
            <v/>
          </cell>
          <cell r="W2124" t="str">
            <v/>
          </cell>
          <cell r="X2124" t="str">
            <v/>
          </cell>
          <cell r="AB2124">
            <v>0</v>
          </cell>
          <cell r="AC2124">
            <v>0</v>
          </cell>
          <cell r="AD2124">
            <v>0</v>
          </cell>
          <cell r="AJ2124">
            <v>0</v>
          </cell>
          <cell r="AK2124">
            <v>0</v>
          </cell>
        </row>
        <row r="2125">
          <cell r="B2125" t="str">
            <v/>
          </cell>
          <cell r="H2125" t="str">
            <v/>
          </cell>
          <cell r="J2125" t="str">
            <v/>
          </cell>
          <cell r="N2125" t="str">
            <v/>
          </cell>
          <cell r="O2125" t="str">
            <v/>
          </cell>
          <cell r="P2125" t="str">
            <v/>
          </cell>
          <cell r="Q2125" t="str">
            <v/>
          </cell>
          <cell r="T2125" t="str">
            <v/>
          </cell>
          <cell r="U2125" t="str">
            <v/>
          </cell>
          <cell r="W2125" t="str">
            <v/>
          </cell>
          <cell r="X2125" t="str">
            <v/>
          </cell>
          <cell r="AB2125">
            <v>0</v>
          </cell>
          <cell r="AC2125">
            <v>0</v>
          </cell>
          <cell r="AD2125">
            <v>0</v>
          </cell>
          <cell r="AJ2125">
            <v>0</v>
          </cell>
          <cell r="AK2125">
            <v>0</v>
          </cell>
        </row>
        <row r="2126">
          <cell r="B2126" t="str">
            <v/>
          </cell>
          <cell r="H2126" t="str">
            <v/>
          </cell>
          <cell r="J2126" t="str">
            <v/>
          </cell>
          <cell r="N2126" t="str">
            <v/>
          </cell>
          <cell r="O2126" t="str">
            <v/>
          </cell>
          <cell r="P2126" t="str">
            <v/>
          </cell>
          <cell r="Q2126" t="str">
            <v/>
          </cell>
          <cell r="T2126" t="str">
            <v/>
          </cell>
          <cell r="U2126" t="str">
            <v/>
          </cell>
          <cell r="W2126" t="str">
            <v/>
          </cell>
          <cell r="X2126" t="str">
            <v/>
          </cell>
          <cell r="AB2126">
            <v>0</v>
          </cell>
          <cell r="AC2126">
            <v>0</v>
          </cell>
          <cell r="AD2126">
            <v>0</v>
          </cell>
          <cell r="AJ2126">
            <v>0</v>
          </cell>
          <cell r="AK2126">
            <v>0</v>
          </cell>
        </row>
        <row r="2127">
          <cell r="B2127" t="str">
            <v/>
          </cell>
          <cell r="H2127" t="str">
            <v/>
          </cell>
          <cell r="J2127" t="str">
            <v/>
          </cell>
          <cell r="N2127" t="str">
            <v/>
          </cell>
          <cell r="O2127" t="str">
            <v/>
          </cell>
          <cell r="P2127" t="str">
            <v/>
          </cell>
          <cell r="Q2127" t="str">
            <v/>
          </cell>
          <cell r="T2127" t="str">
            <v/>
          </cell>
          <cell r="U2127" t="str">
            <v/>
          </cell>
          <cell r="W2127" t="str">
            <v/>
          </cell>
          <cell r="X2127" t="str">
            <v/>
          </cell>
          <cell r="AB2127">
            <v>0</v>
          </cell>
          <cell r="AC2127">
            <v>0</v>
          </cell>
          <cell r="AD2127">
            <v>0</v>
          </cell>
          <cell r="AJ2127">
            <v>0</v>
          </cell>
          <cell r="AK2127">
            <v>0</v>
          </cell>
        </row>
        <row r="2128">
          <cell r="B2128" t="str">
            <v/>
          </cell>
          <cell r="H2128" t="str">
            <v/>
          </cell>
          <cell r="J2128" t="str">
            <v/>
          </cell>
          <cell r="N2128" t="str">
            <v/>
          </cell>
          <cell r="O2128" t="str">
            <v/>
          </cell>
          <cell r="P2128" t="str">
            <v/>
          </cell>
          <cell r="Q2128" t="str">
            <v/>
          </cell>
          <cell r="T2128" t="str">
            <v/>
          </cell>
          <cell r="U2128" t="str">
            <v/>
          </cell>
          <cell r="W2128" t="str">
            <v/>
          </cell>
          <cell r="X2128" t="str">
            <v/>
          </cell>
          <cell r="AB2128">
            <v>0</v>
          </cell>
          <cell r="AC2128">
            <v>0</v>
          </cell>
          <cell r="AD2128">
            <v>0</v>
          </cell>
          <cell r="AJ2128">
            <v>0</v>
          </cell>
          <cell r="AK2128">
            <v>0</v>
          </cell>
        </row>
        <row r="2129">
          <cell r="B2129" t="str">
            <v/>
          </cell>
          <cell r="H2129" t="str">
            <v/>
          </cell>
          <cell r="J2129" t="str">
            <v/>
          </cell>
          <cell r="N2129" t="str">
            <v/>
          </cell>
          <cell r="O2129" t="str">
            <v/>
          </cell>
          <cell r="P2129" t="str">
            <v/>
          </cell>
          <cell r="Q2129" t="str">
            <v/>
          </cell>
          <cell r="T2129" t="str">
            <v/>
          </cell>
          <cell r="U2129" t="str">
            <v/>
          </cell>
          <cell r="W2129" t="str">
            <v/>
          </cell>
          <cell r="X2129" t="str">
            <v/>
          </cell>
          <cell r="AB2129">
            <v>0</v>
          </cell>
          <cell r="AC2129">
            <v>0</v>
          </cell>
          <cell r="AD2129">
            <v>0</v>
          </cell>
          <cell r="AJ2129">
            <v>0</v>
          </cell>
          <cell r="AK2129">
            <v>0</v>
          </cell>
        </row>
        <row r="2130">
          <cell r="B2130" t="str">
            <v/>
          </cell>
          <cell r="H2130" t="str">
            <v/>
          </cell>
          <cell r="J2130" t="str">
            <v/>
          </cell>
          <cell r="N2130" t="str">
            <v/>
          </cell>
          <cell r="O2130" t="str">
            <v/>
          </cell>
          <cell r="P2130" t="str">
            <v/>
          </cell>
          <cell r="Q2130" t="str">
            <v/>
          </cell>
          <cell r="T2130" t="str">
            <v/>
          </cell>
          <cell r="U2130" t="str">
            <v/>
          </cell>
          <cell r="W2130" t="str">
            <v/>
          </cell>
          <cell r="X2130" t="str">
            <v/>
          </cell>
          <cell r="AB2130">
            <v>0</v>
          </cell>
          <cell r="AC2130">
            <v>0</v>
          </cell>
          <cell r="AD2130">
            <v>0</v>
          </cell>
          <cell r="AJ2130">
            <v>0</v>
          </cell>
          <cell r="AK2130">
            <v>0</v>
          </cell>
        </row>
        <row r="2131">
          <cell r="B2131" t="str">
            <v/>
          </cell>
          <cell r="H2131" t="str">
            <v/>
          </cell>
          <cell r="J2131" t="str">
            <v/>
          </cell>
          <cell r="N2131" t="str">
            <v/>
          </cell>
          <cell r="O2131" t="str">
            <v/>
          </cell>
          <cell r="P2131" t="str">
            <v/>
          </cell>
          <cell r="Q2131" t="str">
            <v/>
          </cell>
          <cell r="T2131" t="str">
            <v/>
          </cell>
          <cell r="U2131" t="str">
            <v/>
          </cell>
          <cell r="W2131" t="str">
            <v/>
          </cell>
          <cell r="X2131" t="str">
            <v/>
          </cell>
          <cell r="AB2131">
            <v>0</v>
          </cell>
          <cell r="AC2131">
            <v>0</v>
          </cell>
          <cell r="AD2131">
            <v>0</v>
          </cell>
          <cell r="AJ2131">
            <v>0</v>
          </cell>
          <cell r="AK2131">
            <v>0</v>
          </cell>
        </row>
        <row r="2132">
          <cell r="B2132" t="str">
            <v/>
          </cell>
          <cell r="H2132" t="str">
            <v/>
          </cell>
          <cell r="J2132" t="str">
            <v/>
          </cell>
          <cell r="N2132" t="str">
            <v/>
          </cell>
          <cell r="O2132" t="str">
            <v/>
          </cell>
          <cell r="P2132" t="str">
            <v/>
          </cell>
          <cell r="Q2132" t="str">
            <v/>
          </cell>
          <cell r="T2132" t="str">
            <v/>
          </cell>
          <cell r="U2132" t="str">
            <v/>
          </cell>
          <cell r="W2132" t="str">
            <v/>
          </cell>
          <cell r="X2132" t="str">
            <v/>
          </cell>
          <cell r="AB2132">
            <v>0</v>
          </cell>
          <cell r="AC2132">
            <v>0</v>
          </cell>
          <cell r="AD2132">
            <v>0</v>
          </cell>
          <cell r="AJ2132">
            <v>0</v>
          </cell>
          <cell r="AK2132">
            <v>0</v>
          </cell>
        </row>
        <row r="2133">
          <cell r="B2133" t="str">
            <v/>
          </cell>
          <cell r="H2133" t="str">
            <v/>
          </cell>
          <cell r="J2133" t="str">
            <v/>
          </cell>
          <cell r="N2133" t="str">
            <v/>
          </cell>
          <cell r="O2133" t="str">
            <v/>
          </cell>
          <cell r="P2133" t="str">
            <v/>
          </cell>
          <cell r="Q2133" t="str">
            <v/>
          </cell>
          <cell r="T2133" t="str">
            <v/>
          </cell>
          <cell r="U2133" t="str">
            <v/>
          </cell>
          <cell r="W2133" t="str">
            <v/>
          </cell>
          <cell r="X2133" t="str">
            <v/>
          </cell>
          <cell r="AB2133">
            <v>0</v>
          </cell>
          <cell r="AC2133">
            <v>0</v>
          </cell>
          <cell r="AD2133">
            <v>0</v>
          </cell>
          <cell r="AJ2133">
            <v>0</v>
          </cell>
          <cell r="AK2133">
            <v>0</v>
          </cell>
        </row>
        <row r="2134">
          <cell r="B2134" t="str">
            <v/>
          </cell>
          <cell r="H2134" t="str">
            <v/>
          </cell>
          <cell r="J2134" t="str">
            <v/>
          </cell>
          <cell r="N2134" t="str">
            <v/>
          </cell>
          <cell r="O2134" t="str">
            <v/>
          </cell>
          <cell r="P2134" t="str">
            <v/>
          </cell>
          <cell r="Q2134" t="str">
            <v/>
          </cell>
          <cell r="T2134" t="str">
            <v/>
          </cell>
          <cell r="U2134" t="str">
            <v/>
          </cell>
          <cell r="W2134" t="str">
            <v/>
          </cell>
          <cell r="X2134" t="str">
            <v/>
          </cell>
          <cell r="AB2134">
            <v>0</v>
          </cell>
          <cell r="AC2134">
            <v>0</v>
          </cell>
          <cell r="AD2134">
            <v>0</v>
          </cell>
          <cell r="AJ2134">
            <v>0</v>
          </cell>
          <cell r="AK2134">
            <v>0</v>
          </cell>
        </row>
        <row r="2135">
          <cell r="B2135" t="str">
            <v/>
          </cell>
          <cell r="H2135" t="str">
            <v/>
          </cell>
          <cell r="J2135" t="str">
            <v/>
          </cell>
          <cell r="N2135" t="str">
            <v/>
          </cell>
          <cell r="O2135" t="str">
            <v/>
          </cell>
          <cell r="P2135" t="str">
            <v/>
          </cell>
          <cell r="Q2135" t="str">
            <v/>
          </cell>
          <cell r="T2135" t="str">
            <v/>
          </cell>
          <cell r="U2135" t="str">
            <v/>
          </cell>
          <cell r="W2135" t="str">
            <v/>
          </cell>
          <cell r="X2135" t="str">
            <v/>
          </cell>
          <cell r="AB2135">
            <v>0</v>
          </cell>
          <cell r="AC2135">
            <v>0</v>
          </cell>
          <cell r="AD2135">
            <v>0</v>
          </cell>
          <cell r="AJ2135">
            <v>0</v>
          </cell>
          <cell r="AK2135">
            <v>0</v>
          </cell>
        </row>
        <row r="2136">
          <cell r="B2136" t="str">
            <v/>
          </cell>
          <cell r="H2136" t="str">
            <v/>
          </cell>
          <cell r="J2136" t="str">
            <v/>
          </cell>
          <cell r="N2136" t="str">
            <v/>
          </cell>
          <cell r="O2136" t="str">
            <v/>
          </cell>
          <cell r="P2136" t="str">
            <v/>
          </cell>
          <cell r="Q2136" t="str">
            <v/>
          </cell>
          <cell r="T2136" t="str">
            <v/>
          </cell>
          <cell r="U2136" t="str">
            <v/>
          </cell>
          <cell r="W2136" t="str">
            <v/>
          </cell>
          <cell r="X2136" t="str">
            <v/>
          </cell>
          <cell r="AB2136">
            <v>0</v>
          </cell>
          <cell r="AC2136">
            <v>0</v>
          </cell>
          <cell r="AD2136">
            <v>0</v>
          </cell>
          <cell r="AJ2136">
            <v>0</v>
          </cell>
          <cell r="AK2136">
            <v>0</v>
          </cell>
        </row>
        <row r="2137">
          <cell r="B2137" t="str">
            <v/>
          </cell>
          <cell r="H2137" t="str">
            <v/>
          </cell>
          <cell r="J2137" t="str">
            <v/>
          </cell>
          <cell r="N2137" t="str">
            <v/>
          </cell>
          <cell r="O2137" t="str">
            <v/>
          </cell>
          <cell r="P2137" t="str">
            <v/>
          </cell>
          <cell r="Q2137" t="str">
            <v/>
          </cell>
          <cell r="T2137" t="str">
            <v/>
          </cell>
          <cell r="U2137" t="str">
            <v/>
          </cell>
          <cell r="W2137" t="str">
            <v/>
          </cell>
          <cell r="X2137" t="str">
            <v/>
          </cell>
          <cell r="AB2137">
            <v>0</v>
          </cell>
          <cell r="AC2137">
            <v>0</v>
          </cell>
          <cell r="AD2137">
            <v>0</v>
          </cell>
          <cell r="AJ2137">
            <v>0</v>
          </cell>
          <cell r="AK2137">
            <v>0</v>
          </cell>
        </row>
        <row r="2138">
          <cell r="B2138" t="str">
            <v/>
          </cell>
          <cell r="H2138" t="str">
            <v/>
          </cell>
          <cell r="J2138" t="str">
            <v/>
          </cell>
          <cell r="N2138" t="str">
            <v/>
          </cell>
          <cell r="O2138" t="str">
            <v/>
          </cell>
          <cell r="P2138" t="str">
            <v/>
          </cell>
          <cell r="Q2138" t="str">
            <v/>
          </cell>
          <cell r="T2138" t="str">
            <v/>
          </cell>
          <cell r="U2138" t="str">
            <v/>
          </cell>
          <cell r="W2138" t="str">
            <v/>
          </cell>
          <cell r="X2138" t="str">
            <v/>
          </cell>
          <cell r="AB2138">
            <v>0</v>
          </cell>
          <cell r="AC2138">
            <v>0</v>
          </cell>
          <cell r="AD2138">
            <v>0</v>
          </cell>
          <cell r="AJ2138">
            <v>0</v>
          </cell>
          <cell r="AK2138">
            <v>0</v>
          </cell>
        </row>
        <row r="2139">
          <cell r="B2139" t="str">
            <v/>
          </cell>
          <cell r="H2139" t="str">
            <v/>
          </cell>
          <cell r="J2139" t="str">
            <v/>
          </cell>
          <cell r="N2139" t="str">
            <v/>
          </cell>
          <cell r="O2139" t="str">
            <v/>
          </cell>
          <cell r="P2139" t="str">
            <v/>
          </cell>
          <cell r="Q2139" t="str">
            <v/>
          </cell>
          <cell r="T2139" t="str">
            <v/>
          </cell>
          <cell r="U2139" t="str">
            <v/>
          </cell>
          <cell r="W2139" t="str">
            <v/>
          </cell>
          <cell r="X2139" t="str">
            <v/>
          </cell>
          <cell r="AB2139">
            <v>0</v>
          </cell>
          <cell r="AC2139">
            <v>0</v>
          </cell>
          <cell r="AD2139">
            <v>0</v>
          </cell>
          <cell r="AJ2139">
            <v>0</v>
          </cell>
          <cell r="AK2139">
            <v>0</v>
          </cell>
        </row>
        <row r="2140">
          <cell r="B2140" t="str">
            <v/>
          </cell>
          <cell r="H2140" t="str">
            <v/>
          </cell>
          <cell r="J2140" t="str">
            <v/>
          </cell>
          <cell r="N2140" t="str">
            <v/>
          </cell>
          <cell r="O2140" t="str">
            <v/>
          </cell>
          <cell r="P2140" t="str">
            <v/>
          </cell>
          <cell r="Q2140" t="str">
            <v/>
          </cell>
          <cell r="T2140" t="str">
            <v/>
          </cell>
          <cell r="U2140" t="str">
            <v/>
          </cell>
          <cell r="W2140" t="str">
            <v/>
          </cell>
          <cell r="X2140" t="str">
            <v/>
          </cell>
          <cell r="AB2140">
            <v>0</v>
          </cell>
          <cell r="AC2140">
            <v>0</v>
          </cell>
          <cell r="AD2140">
            <v>0</v>
          </cell>
          <cell r="AJ2140">
            <v>0</v>
          </cell>
          <cell r="AK2140">
            <v>0</v>
          </cell>
        </row>
        <row r="2141">
          <cell r="B2141" t="str">
            <v/>
          </cell>
          <cell r="H2141" t="str">
            <v/>
          </cell>
          <cell r="J2141" t="str">
            <v/>
          </cell>
          <cell r="N2141" t="str">
            <v/>
          </cell>
          <cell r="O2141" t="str">
            <v/>
          </cell>
          <cell r="P2141" t="str">
            <v/>
          </cell>
          <cell r="Q2141" t="str">
            <v/>
          </cell>
          <cell r="T2141" t="str">
            <v/>
          </cell>
          <cell r="U2141" t="str">
            <v/>
          </cell>
          <cell r="W2141" t="str">
            <v/>
          </cell>
          <cell r="X2141" t="str">
            <v/>
          </cell>
          <cell r="AB2141">
            <v>0</v>
          </cell>
          <cell r="AC2141">
            <v>0</v>
          </cell>
          <cell r="AD2141">
            <v>0</v>
          </cell>
          <cell r="AJ2141">
            <v>0</v>
          </cell>
          <cell r="AK2141">
            <v>0</v>
          </cell>
        </row>
        <row r="2142">
          <cell r="B2142" t="str">
            <v/>
          </cell>
          <cell r="H2142" t="str">
            <v/>
          </cell>
          <cell r="J2142" t="str">
            <v/>
          </cell>
          <cell r="N2142" t="str">
            <v/>
          </cell>
          <cell r="O2142" t="str">
            <v/>
          </cell>
          <cell r="P2142" t="str">
            <v/>
          </cell>
          <cell r="Q2142" t="str">
            <v/>
          </cell>
          <cell r="T2142" t="str">
            <v/>
          </cell>
          <cell r="U2142" t="str">
            <v/>
          </cell>
          <cell r="W2142" t="str">
            <v/>
          </cell>
          <cell r="X2142" t="str">
            <v/>
          </cell>
          <cell r="AB2142">
            <v>0</v>
          </cell>
          <cell r="AC2142">
            <v>0</v>
          </cell>
          <cell r="AD2142">
            <v>0</v>
          </cell>
          <cell r="AJ2142">
            <v>0</v>
          </cell>
          <cell r="AK2142">
            <v>0</v>
          </cell>
        </row>
        <row r="2143">
          <cell r="B2143" t="str">
            <v/>
          </cell>
          <cell r="H2143" t="str">
            <v/>
          </cell>
          <cell r="J2143" t="str">
            <v/>
          </cell>
          <cell r="N2143" t="str">
            <v/>
          </cell>
          <cell r="O2143" t="str">
            <v/>
          </cell>
          <cell r="P2143" t="str">
            <v/>
          </cell>
          <cell r="Q2143" t="str">
            <v/>
          </cell>
          <cell r="T2143" t="str">
            <v/>
          </cell>
          <cell r="U2143" t="str">
            <v/>
          </cell>
          <cell r="W2143" t="str">
            <v/>
          </cell>
          <cell r="X2143" t="str">
            <v/>
          </cell>
          <cell r="AB2143">
            <v>0</v>
          </cell>
          <cell r="AC2143">
            <v>0</v>
          </cell>
          <cell r="AD2143">
            <v>0</v>
          </cell>
          <cell r="AJ2143">
            <v>0</v>
          </cell>
          <cell r="AK2143">
            <v>0</v>
          </cell>
        </row>
        <row r="2144">
          <cell r="B2144" t="str">
            <v/>
          </cell>
          <cell r="H2144" t="str">
            <v/>
          </cell>
          <cell r="J2144" t="str">
            <v/>
          </cell>
          <cell r="N2144" t="str">
            <v/>
          </cell>
          <cell r="O2144" t="str">
            <v/>
          </cell>
          <cell r="P2144" t="str">
            <v/>
          </cell>
          <cell r="Q2144" t="str">
            <v/>
          </cell>
          <cell r="T2144" t="str">
            <v/>
          </cell>
          <cell r="U2144" t="str">
            <v/>
          </cell>
          <cell r="W2144" t="str">
            <v/>
          </cell>
          <cell r="X2144" t="str">
            <v/>
          </cell>
          <cell r="AB2144">
            <v>0</v>
          </cell>
          <cell r="AC2144">
            <v>0</v>
          </cell>
          <cell r="AD2144">
            <v>0</v>
          </cell>
          <cell r="AJ2144">
            <v>0</v>
          </cell>
          <cell r="AK2144">
            <v>0</v>
          </cell>
        </row>
        <row r="2145">
          <cell r="B2145" t="str">
            <v/>
          </cell>
          <cell r="H2145" t="str">
            <v/>
          </cell>
          <cell r="J2145" t="str">
            <v/>
          </cell>
          <cell r="N2145" t="str">
            <v/>
          </cell>
          <cell r="O2145" t="str">
            <v/>
          </cell>
          <cell r="P2145" t="str">
            <v/>
          </cell>
          <cell r="Q2145" t="str">
            <v/>
          </cell>
          <cell r="T2145" t="str">
            <v/>
          </cell>
          <cell r="U2145" t="str">
            <v/>
          </cell>
          <cell r="W2145" t="str">
            <v/>
          </cell>
          <cell r="X2145" t="str">
            <v/>
          </cell>
          <cell r="AB2145">
            <v>0</v>
          </cell>
          <cell r="AC2145">
            <v>0</v>
          </cell>
          <cell r="AD2145">
            <v>0</v>
          </cell>
          <cell r="AJ2145">
            <v>0</v>
          </cell>
          <cell r="AK2145">
            <v>0</v>
          </cell>
        </row>
        <row r="2146">
          <cell r="B2146" t="str">
            <v/>
          </cell>
          <cell r="H2146" t="str">
            <v/>
          </cell>
          <cell r="J2146" t="str">
            <v/>
          </cell>
          <cell r="N2146" t="str">
            <v/>
          </cell>
          <cell r="O2146" t="str">
            <v/>
          </cell>
          <cell r="P2146" t="str">
            <v/>
          </cell>
          <cell r="Q2146" t="str">
            <v/>
          </cell>
          <cell r="T2146" t="str">
            <v/>
          </cell>
          <cell r="U2146" t="str">
            <v/>
          </cell>
          <cell r="W2146" t="str">
            <v/>
          </cell>
          <cell r="X2146" t="str">
            <v/>
          </cell>
          <cell r="AB2146">
            <v>0</v>
          </cell>
          <cell r="AC2146">
            <v>0</v>
          </cell>
          <cell r="AD2146">
            <v>0</v>
          </cell>
          <cell r="AJ2146">
            <v>0</v>
          </cell>
          <cell r="AK2146">
            <v>0</v>
          </cell>
        </row>
        <row r="2147">
          <cell r="B2147" t="str">
            <v/>
          </cell>
          <cell r="H2147" t="str">
            <v/>
          </cell>
          <cell r="J2147" t="str">
            <v/>
          </cell>
          <cell r="N2147" t="str">
            <v/>
          </cell>
          <cell r="O2147" t="str">
            <v/>
          </cell>
          <cell r="P2147" t="str">
            <v/>
          </cell>
          <cell r="Q2147" t="str">
            <v/>
          </cell>
          <cell r="T2147" t="str">
            <v/>
          </cell>
          <cell r="U2147" t="str">
            <v/>
          </cell>
          <cell r="W2147" t="str">
            <v/>
          </cell>
          <cell r="X2147" t="str">
            <v/>
          </cell>
          <cell r="AB2147">
            <v>0</v>
          </cell>
          <cell r="AC2147">
            <v>0</v>
          </cell>
          <cell r="AD2147">
            <v>0</v>
          </cell>
          <cell r="AJ2147">
            <v>0</v>
          </cell>
          <cell r="AK2147">
            <v>0</v>
          </cell>
        </row>
        <row r="2148">
          <cell r="B2148" t="str">
            <v/>
          </cell>
          <cell r="H2148" t="str">
            <v/>
          </cell>
          <cell r="J2148" t="str">
            <v/>
          </cell>
          <cell r="N2148" t="str">
            <v/>
          </cell>
          <cell r="O2148" t="str">
            <v/>
          </cell>
          <cell r="P2148" t="str">
            <v/>
          </cell>
          <cell r="Q2148" t="str">
            <v/>
          </cell>
          <cell r="T2148" t="str">
            <v/>
          </cell>
          <cell r="U2148" t="str">
            <v/>
          </cell>
          <cell r="W2148" t="str">
            <v/>
          </cell>
          <cell r="X2148" t="str">
            <v/>
          </cell>
          <cell r="AB2148">
            <v>0</v>
          </cell>
          <cell r="AC2148">
            <v>0</v>
          </cell>
          <cell r="AD2148">
            <v>0</v>
          </cell>
          <cell r="AJ2148">
            <v>0</v>
          </cell>
          <cell r="AK2148">
            <v>0</v>
          </cell>
        </row>
        <row r="2149">
          <cell r="B2149" t="str">
            <v/>
          </cell>
          <cell r="H2149" t="str">
            <v/>
          </cell>
          <cell r="J2149" t="str">
            <v/>
          </cell>
          <cell r="N2149" t="str">
            <v/>
          </cell>
          <cell r="O2149" t="str">
            <v/>
          </cell>
          <cell r="P2149" t="str">
            <v/>
          </cell>
          <cell r="Q2149" t="str">
            <v/>
          </cell>
          <cell r="T2149" t="str">
            <v/>
          </cell>
          <cell r="U2149" t="str">
            <v/>
          </cell>
          <cell r="W2149" t="str">
            <v/>
          </cell>
          <cell r="X2149" t="str">
            <v/>
          </cell>
          <cell r="AB2149">
            <v>0</v>
          </cell>
          <cell r="AC2149">
            <v>0</v>
          </cell>
          <cell r="AD2149">
            <v>0</v>
          </cell>
          <cell r="AJ2149">
            <v>0</v>
          </cell>
          <cell r="AK2149">
            <v>0</v>
          </cell>
        </row>
        <row r="2150">
          <cell r="B2150" t="str">
            <v/>
          </cell>
          <cell r="H2150" t="str">
            <v/>
          </cell>
          <cell r="J2150" t="str">
            <v/>
          </cell>
          <cell r="N2150" t="str">
            <v/>
          </cell>
          <cell r="O2150" t="str">
            <v/>
          </cell>
          <cell r="P2150" t="str">
            <v/>
          </cell>
          <cell r="Q2150" t="str">
            <v/>
          </cell>
          <cell r="T2150" t="str">
            <v/>
          </cell>
          <cell r="U2150" t="str">
            <v/>
          </cell>
          <cell r="W2150" t="str">
            <v/>
          </cell>
          <cell r="X2150" t="str">
            <v/>
          </cell>
          <cell r="AB2150">
            <v>0</v>
          </cell>
          <cell r="AC2150">
            <v>0</v>
          </cell>
          <cell r="AD2150">
            <v>0</v>
          </cell>
          <cell r="AJ2150">
            <v>0</v>
          </cell>
          <cell r="AK2150">
            <v>0</v>
          </cell>
        </row>
        <row r="2151">
          <cell r="B2151" t="str">
            <v/>
          </cell>
          <cell r="H2151" t="str">
            <v/>
          </cell>
          <cell r="J2151" t="str">
            <v/>
          </cell>
          <cell r="N2151" t="str">
            <v/>
          </cell>
          <cell r="O2151" t="str">
            <v/>
          </cell>
          <cell r="P2151" t="str">
            <v/>
          </cell>
          <cell r="Q2151" t="str">
            <v/>
          </cell>
          <cell r="T2151" t="str">
            <v/>
          </cell>
          <cell r="U2151" t="str">
            <v/>
          </cell>
          <cell r="W2151" t="str">
            <v/>
          </cell>
          <cell r="X2151" t="str">
            <v/>
          </cell>
          <cell r="AB2151">
            <v>0</v>
          </cell>
          <cell r="AC2151">
            <v>0</v>
          </cell>
          <cell r="AD2151">
            <v>0</v>
          </cell>
          <cell r="AJ2151">
            <v>0</v>
          </cell>
          <cell r="AK2151">
            <v>0</v>
          </cell>
        </row>
        <row r="2152">
          <cell r="B2152" t="str">
            <v/>
          </cell>
          <cell r="H2152" t="str">
            <v/>
          </cell>
          <cell r="J2152" t="str">
            <v/>
          </cell>
          <cell r="N2152" t="str">
            <v/>
          </cell>
          <cell r="O2152" t="str">
            <v/>
          </cell>
          <cell r="P2152" t="str">
            <v/>
          </cell>
          <cell r="Q2152" t="str">
            <v/>
          </cell>
          <cell r="T2152" t="str">
            <v/>
          </cell>
          <cell r="U2152" t="str">
            <v/>
          </cell>
          <cell r="W2152" t="str">
            <v/>
          </cell>
          <cell r="X2152" t="str">
            <v/>
          </cell>
          <cell r="AB2152">
            <v>0</v>
          </cell>
          <cell r="AC2152">
            <v>0</v>
          </cell>
          <cell r="AD2152">
            <v>0</v>
          </cell>
          <cell r="AJ2152">
            <v>0</v>
          </cell>
          <cell r="AK2152">
            <v>0</v>
          </cell>
        </row>
        <row r="2153">
          <cell r="B2153" t="str">
            <v/>
          </cell>
          <cell r="H2153" t="str">
            <v/>
          </cell>
          <cell r="J2153" t="str">
            <v/>
          </cell>
          <cell r="N2153" t="str">
            <v/>
          </cell>
          <cell r="O2153" t="str">
            <v/>
          </cell>
          <cell r="P2153" t="str">
            <v/>
          </cell>
          <cell r="Q2153" t="str">
            <v/>
          </cell>
          <cell r="T2153" t="str">
            <v/>
          </cell>
          <cell r="U2153" t="str">
            <v/>
          </cell>
          <cell r="W2153" t="str">
            <v/>
          </cell>
          <cell r="X2153" t="str">
            <v/>
          </cell>
          <cell r="AB2153">
            <v>0</v>
          </cell>
          <cell r="AC2153">
            <v>0</v>
          </cell>
          <cell r="AD2153">
            <v>0</v>
          </cell>
          <cell r="AJ2153">
            <v>0</v>
          </cell>
          <cell r="AK2153">
            <v>0</v>
          </cell>
        </row>
        <row r="2154">
          <cell r="B2154" t="str">
            <v/>
          </cell>
          <cell r="H2154" t="str">
            <v/>
          </cell>
          <cell r="J2154" t="str">
            <v/>
          </cell>
          <cell r="N2154" t="str">
            <v/>
          </cell>
          <cell r="O2154" t="str">
            <v/>
          </cell>
          <cell r="P2154" t="str">
            <v/>
          </cell>
          <cell r="Q2154" t="str">
            <v/>
          </cell>
          <cell r="T2154" t="str">
            <v/>
          </cell>
          <cell r="U2154" t="str">
            <v/>
          </cell>
          <cell r="W2154" t="str">
            <v/>
          </cell>
          <cell r="X2154" t="str">
            <v/>
          </cell>
          <cell r="AB2154">
            <v>0</v>
          </cell>
          <cell r="AC2154">
            <v>0</v>
          </cell>
          <cell r="AD2154">
            <v>0</v>
          </cell>
          <cell r="AJ2154">
            <v>0</v>
          </cell>
          <cell r="AK2154">
            <v>0</v>
          </cell>
        </row>
        <row r="2155">
          <cell r="B2155" t="str">
            <v/>
          </cell>
          <cell r="H2155" t="str">
            <v/>
          </cell>
          <cell r="J2155" t="str">
            <v/>
          </cell>
          <cell r="N2155" t="str">
            <v/>
          </cell>
          <cell r="O2155" t="str">
            <v/>
          </cell>
          <cell r="P2155" t="str">
            <v/>
          </cell>
          <cell r="Q2155" t="str">
            <v/>
          </cell>
          <cell r="T2155" t="str">
            <v/>
          </cell>
          <cell r="U2155" t="str">
            <v/>
          </cell>
          <cell r="W2155" t="str">
            <v/>
          </cell>
          <cell r="X2155" t="str">
            <v/>
          </cell>
          <cell r="AB2155">
            <v>0</v>
          </cell>
          <cell r="AC2155">
            <v>0</v>
          </cell>
          <cell r="AD2155">
            <v>0</v>
          </cell>
          <cell r="AJ2155">
            <v>0</v>
          </cell>
          <cell r="AK2155">
            <v>0</v>
          </cell>
        </row>
        <row r="2156">
          <cell r="B2156" t="str">
            <v/>
          </cell>
          <cell r="H2156" t="str">
            <v/>
          </cell>
          <cell r="J2156" t="str">
            <v/>
          </cell>
          <cell r="N2156" t="str">
            <v/>
          </cell>
          <cell r="O2156" t="str">
            <v/>
          </cell>
          <cell r="P2156" t="str">
            <v/>
          </cell>
          <cell r="Q2156" t="str">
            <v/>
          </cell>
          <cell r="T2156" t="str">
            <v/>
          </cell>
          <cell r="U2156" t="str">
            <v/>
          </cell>
          <cell r="W2156" t="str">
            <v/>
          </cell>
          <cell r="X2156" t="str">
            <v/>
          </cell>
          <cell r="AB2156">
            <v>0</v>
          </cell>
          <cell r="AC2156">
            <v>0</v>
          </cell>
          <cell r="AD2156">
            <v>0</v>
          </cell>
          <cell r="AJ2156">
            <v>0</v>
          </cell>
          <cell r="AK2156">
            <v>0</v>
          </cell>
        </row>
        <row r="2157">
          <cell r="B2157" t="str">
            <v/>
          </cell>
          <cell r="H2157" t="str">
            <v/>
          </cell>
          <cell r="J2157" t="str">
            <v/>
          </cell>
          <cell r="N2157" t="str">
            <v/>
          </cell>
          <cell r="O2157" t="str">
            <v/>
          </cell>
          <cell r="P2157" t="str">
            <v/>
          </cell>
          <cell r="Q2157" t="str">
            <v/>
          </cell>
          <cell r="T2157" t="str">
            <v/>
          </cell>
          <cell r="U2157" t="str">
            <v/>
          </cell>
          <cell r="W2157" t="str">
            <v/>
          </cell>
          <cell r="X2157" t="str">
            <v/>
          </cell>
          <cell r="AB2157">
            <v>0</v>
          </cell>
          <cell r="AC2157">
            <v>0</v>
          </cell>
          <cell r="AD2157">
            <v>0</v>
          </cell>
          <cell r="AJ2157">
            <v>0</v>
          </cell>
          <cell r="AK2157">
            <v>0</v>
          </cell>
        </row>
        <row r="2158">
          <cell r="B2158" t="str">
            <v/>
          </cell>
          <cell r="H2158" t="str">
            <v/>
          </cell>
          <cell r="J2158" t="str">
            <v/>
          </cell>
          <cell r="N2158" t="str">
            <v/>
          </cell>
          <cell r="O2158" t="str">
            <v/>
          </cell>
          <cell r="P2158" t="str">
            <v/>
          </cell>
          <cell r="Q2158" t="str">
            <v/>
          </cell>
          <cell r="T2158" t="str">
            <v/>
          </cell>
          <cell r="U2158" t="str">
            <v/>
          </cell>
          <cell r="W2158" t="str">
            <v/>
          </cell>
          <cell r="X2158" t="str">
            <v/>
          </cell>
          <cell r="AB2158">
            <v>0</v>
          </cell>
          <cell r="AC2158">
            <v>0</v>
          </cell>
          <cell r="AD2158">
            <v>0</v>
          </cell>
          <cell r="AJ2158">
            <v>0</v>
          </cell>
          <cell r="AK2158">
            <v>0</v>
          </cell>
        </row>
        <row r="2159">
          <cell r="B2159" t="str">
            <v/>
          </cell>
          <cell r="H2159" t="str">
            <v/>
          </cell>
          <cell r="J2159" t="str">
            <v/>
          </cell>
          <cell r="N2159" t="str">
            <v/>
          </cell>
          <cell r="O2159" t="str">
            <v/>
          </cell>
          <cell r="P2159" t="str">
            <v/>
          </cell>
          <cell r="Q2159" t="str">
            <v/>
          </cell>
          <cell r="T2159" t="str">
            <v/>
          </cell>
          <cell r="U2159" t="str">
            <v/>
          </cell>
          <cell r="W2159" t="str">
            <v/>
          </cell>
          <cell r="X2159" t="str">
            <v/>
          </cell>
          <cell r="AB2159">
            <v>0</v>
          </cell>
          <cell r="AC2159">
            <v>0</v>
          </cell>
          <cell r="AD2159">
            <v>0</v>
          </cell>
          <cell r="AJ2159">
            <v>0</v>
          </cell>
          <cell r="AK2159">
            <v>0</v>
          </cell>
        </row>
        <row r="2160">
          <cell r="B2160" t="str">
            <v/>
          </cell>
          <cell r="H2160" t="str">
            <v/>
          </cell>
          <cell r="J2160" t="str">
            <v/>
          </cell>
          <cell r="N2160" t="str">
            <v/>
          </cell>
          <cell r="O2160" t="str">
            <v/>
          </cell>
          <cell r="P2160" t="str">
            <v/>
          </cell>
          <cell r="Q2160" t="str">
            <v/>
          </cell>
          <cell r="T2160" t="str">
            <v/>
          </cell>
          <cell r="U2160" t="str">
            <v/>
          </cell>
          <cell r="W2160" t="str">
            <v/>
          </cell>
          <cell r="X2160" t="str">
            <v/>
          </cell>
          <cell r="AB2160">
            <v>0</v>
          </cell>
          <cell r="AC2160">
            <v>0</v>
          </cell>
          <cell r="AD2160">
            <v>0</v>
          </cell>
          <cell r="AJ2160">
            <v>0</v>
          </cell>
          <cell r="AK2160">
            <v>0</v>
          </cell>
        </row>
        <row r="2161">
          <cell r="B2161" t="str">
            <v/>
          </cell>
          <cell r="H2161" t="str">
            <v/>
          </cell>
          <cell r="J2161" t="str">
            <v/>
          </cell>
          <cell r="N2161" t="str">
            <v/>
          </cell>
          <cell r="O2161" t="str">
            <v/>
          </cell>
          <cell r="P2161" t="str">
            <v/>
          </cell>
          <cell r="Q2161" t="str">
            <v/>
          </cell>
          <cell r="T2161" t="str">
            <v/>
          </cell>
          <cell r="U2161" t="str">
            <v/>
          </cell>
          <cell r="W2161" t="str">
            <v/>
          </cell>
          <cell r="X2161" t="str">
            <v/>
          </cell>
          <cell r="AB2161">
            <v>0</v>
          </cell>
          <cell r="AC2161">
            <v>0</v>
          </cell>
          <cell r="AD2161">
            <v>0</v>
          </cell>
          <cell r="AJ2161">
            <v>0</v>
          </cell>
          <cell r="AK2161">
            <v>0</v>
          </cell>
        </row>
        <row r="2162">
          <cell r="B2162" t="str">
            <v/>
          </cell>
          <cell r="H2162" t="str">
            <v/>
          </cell>
          <cell r="J2162" t="str">
            <v/>
          </cell>
          <cell r="N2162" t="str">
            <v/>
          </cell>
          <cell r="O2162" t="str">
            <v/>
          </cell>
          <cell r="P2162" t="str">
            <v/>
          </cell>
          <cell r="Q2162" t="str">
            <v/>
          </cell>
          <cell r="T2162" t="str">
            <v/>
          </cell>
          <cell r="U2162" t="str">
            <v/>
          </cell>
          <cell r="W2162" t="str">
            <v/>
          </cell>
          <cell r="X2162" t="str">
            <v/>
          </cell>
          <cell r="AB2162">
            <v>0</v>
          </cell>
          <cell r="AC2162">
            <v>0</v>
          </cell>
          <cell r="AD2162">
            <v>0</v>
          </cell>
          <cell r="AJ2162">
            <v>0</v>
          </cell>
          <cell r="AK2162">
            <v>0</v>
          </cell>
        </row>
        <row r="2163">
          <cell r="B2163" t="str">
            <v/>
          </cell>
          <cell r="H2163" t="str">
            <v/>
          </cell>
          <cell r="J2163" t="str">
            <v/>
          </cell>
          <cell r="N2163" t="str">
            <v/>
          </cell>
          <cell r="O2163" t="str">
            <v/>
          </cell>
          <cell r="P2163" t="str">
            <v/>
          </cell>
          <cell r="Q2163" t="str">
            <v/>
          </cell>
          <cell r="T2163" t="str">
            <v/>
          </cell>
          <cell r="U2163" t="str">
            <v/>
          </cell>
          <cell r="W2163" t="str">
            <v/>
          </cell>
          <cell r="X2163" t="str">
            <v/>
          </cell>
          <cell r="AB2163">
            <v>0</v>
          </cell>
          <cell r="AC2163">
            <v>0</v>
          </cell>
          <cell r="AD2163">
            <v>0</v>
          </cell>
          <cell r="AJ2163">
            <v>0</v>
          </cell>
          <cell r="AK2163">
            <v>0</v>
          </cell>
        </row>
        <row r="2164">
          <cell r="B2164" t="str">
            <v/>
          </cell>
          <cell r="H2164" t="str">
            <v/>
          </cell>
          <cell r="J2164" t="str">
            <v/>
          </cell>
          <cell r="N2164" t="str">
            <v/>
          </cell>
          <cell r="O2164" t="str">
            <v/>
          </cell>
          <cell r="P2164" t="str">
            <v/>
          </cell>
          <cell r="Q2164" t="str">
            <v/>
          </cell>
          <cell r="T2164" t="str">
            <v/>
          </cell>
          <cell r="U2164" t="str">
            <v/>
          </cell>
          <cell r="W2164" t="str">
            <v/>
          </cell>
          <cell r="X2164" t="str">
            <v/>
          </cell>
          <cell r="AB2164">
            <v>0</v>
          </cell>
          <cell r="AC2164">
            <v>0</v>
          </cell>
          <cell r="AD2164">
            <v>0</v>
          </cell>
          <cell r="AJ2164">
            <v>0</v>
          </cell>
          <cell r="AK2164">
            <v>0</v>
          </cell>
        </row>
        <row r="2165">
          <cell r="B2165" t="str">
            <v/>
          </cell>
          <cell r="H2165" t="str">
            <v/>
          </cell>
          <cell r="J2165" t="str">
            <v/>
          </cell>
          <cell r="N2165" t="str">
            <v/>
          </cell>
          <cell r="O2165" t="str">
            <v/>
          </cell>
          <cell r="P2165" t="str">
            <v/>
          </cell>
          <cell r="Q2165" t="str">
            <v/>
          </cell>
          <cell r="T2165" t="str">
            <v/>
          </cell>
          <cell r="U2165" t="str">
            <v/>
          </cell>
          <cell r="W2165" t="str">
            <v/>
          </cell>
          <cell r="X2165" t="str">
            <v/>
          </cell>
          <cell r="AB2165">
            <v>0</v>
          </cell>
          <cell r="AC2165">
            <v>0</v>
          </cell>
          <cell r="AD2165">
            <v>0</v>
          </cell>
          <cell r="AJ2165">
            <v>0</v>
          </cell>
          <cell r="AK2165">
            <v>0</v>
          </cell>
        </row>
        <row r="2166">
          <cell r="B2166" t="str">
            <v/>
          </cell>
          <cell r="H2166" t="str">
            <v/>
          </cell>
          <cell r="J2166" t="str">
            <v/>
          </cell>
          <cell r="N2166" t="str">
            <v/>
          </cell>
          <cell r="O2166" t="str">
            <v/>
          </cell>
          <cell r="P2166" t="str">
            <v/>
          </cell>
          <cell r="Q2166" t="str">
            <v/>
          </cell>
          <cell r="T2166" t="str">
            <v/>
          </cell>
          <cell r="U2166" t="str">
            <v/>
          </cell>
          <cell r="W2166" t="str">
            <v/>
          </cell>
          <cell r="X2166" t="str">
            <v/>
          </cell>
          <cell r="AB2166">
            <v>0</v>
          </cell>
          <cell r="AC2166">
            <v>0</v>
          </cell>
          <cell r="AD2166">
            <v>0</v>
          </cell>
          <cell r="AJ2166">
            <v>0</v>
          </cell>
          <cell r="AK2166">
            <v>0</v>
          </cell>
        </row>
        <row r="2167">
          <cell r="B2167" t="str">
            <v/>
          </cell>
          <cell r="H2167" t="str">
            <v/>
          </cell>
          <cell r="J2167" t="str">
            <v/>
          </cell>
          <cell r="N2167" t="str">
            <v/>
          </cell>
          <cell r="O2167" t="str">
            <v/>
          </cell>
          <cell r="P2167" t="str">
            <v/>
          </cell>
          <cell r="Q2167" t="str">
            <v/>
          </cell>
          <cell r="T2167" t="str">
            <v/>
          </cell>
          <cell r="U2167" t="str">
            <v/>
          </cell>
          <cell r="W2167" t="str">
            <v/>
          </cell>
          <cell r="X2167" t="str">
            <v/>
          </cell>
          <cell r="AB2167">
            <v>0</v>
          </cell>
          <cell r="AC2167">
            <v>0</v>
          </cell>
          <cell r="AD2167">
            <v>0</v>
          </cell>
          <cell r="AJ2167">
            <v>0</v>
          </cell>
          <cell r="AK2167">
            <v>0</v>
          </cell>
        </row>
        <row r="2168">
          <cell r="B2168" t="str">
            <v/>
          </cell>
          <cell r="H2168" t="str">
            <v/>
          </cell>
          <cell r="J2168" t="str">
            <v/>
          </cell>
          <cell r="N2168" t="str">
            <v/>
          </cell>
          <cell r="O2168" t="str">
            <v/>
          </cell>
          <cell r="P2168" t="str">
            <v/>
          </cell>
          <cell r="Q2168" t="str">
            <v/>
          </cell>
          <cell r="T2168" t="str">
            <v/>
          </cell>
          <cell r="U2168" t="str">
            <v/>
          </cell>
          <cell r="W2168" t="str">
            <v/>
          </cell>
          <cell r="X2168" t="str">
            <v/>
          </cell>
          <cell r="AB2168">
            <v>0</v>
          </cell>
          <cell r="AC2168">
            <v>0</v>
          </cell>
          <cell r="AD2168">
            <v>0</v>
          </cell>
          <cell r="AJ2168">
            <v>0</v>
          </cell>
          <cell r="AK2168">
            <v>0</v>
          </cell>
        </row>
        <row r="2169">
          <cell r="B2169" t="str">
            <v/>
          </cell>
          <cell r="H2169" t="str">
            <v/>
          </cell>
          <cell r="J2169" t="str">
            <v/>
          </cell>
          <cell r="N2169" t="str">
            <v/>
          </cell>
          <cell r="O2169" t="str">
            <v/>
          </cell>
          <cell r="P2169" t="str">
            <v/>
          </cell>
          <cell r="Q2169" t="str">
            <v/>
          </cell>
          <cell r="T2169" t="str">
            <v/>
          </cell>
          <cell r="U2169" t="str">
            <v/>
          </cell>
          <cell r="W2169" t="str">
            <v/>
          </cell>
          <cell r="X2169" t="str">
            <v/>
          </cell>
          <cell r="AB2169">
            <v>0</v>
          </cell>
          <cell r="AC2169">
            <v>0</v>
          </cell>
          <cell r="AD2169">
            <v>0</v>
          </cell>
          <cell r="AJ2169">
            <v>0</v>
          </cell>
          <cell r="AK2169">
            <v>0</v>
          </cell>
        </row>
        <row r="2170">
          <cell r="B2170" t="str">
            <v/>
          </cell>
          <cell r="H2170" t="str">
            <v/>
          </cell>
          <cell r="J2170" t="str">
            <v/>
          </cell>
          <cell r="N2170" t="str">
            <v/>
          </cell>
          <cell r="O2170" t="str">
            <v/>
          </cell>
          <cell r="P2170" t="str">
            <v/>
          </cell>
          <cell r="Q2170" t="str">
            <v/>
          </cell>
          <cell r="T2170" t="str">
            <v/>
          </cell>
          <cell r="U2170" t="str">
            <v/>
          </cell>
          <cell r="W2170" t="str">
            <v/>
          </cell>
          <cell r="X2170" t="str">
            <v/>
          </cell>
          <cell r="AB2170">
            <v>0</v>
          </cell>
          <cell r="AC2170">
            <v>0</v>
          </cell>
          <cell r="AD2170">
            <v>0</v>
          </cell>
          <cell r="AJ2170">
            <v>0</v>
          </cell>
          <cell r="AK2170">
            <v>0</v>
          </cell>
        </row>
        <row r="2171">
          <cell r="B2171" t="str">
            <v/>
          </cell>
          <cell r="H2171" t="str">
            <v/>
          </cell>
          <cell r="J2171" t="str">
            <v/>
          </cell>
          <cell r="N2171" t="str">
            <v/>
          </cell>
          <cell r="O2171" t="str">
            <v/>
          </cell>
          <cell r="P2171" t="str">
            <v/>
          </cell>
          <cell r="Q2171" t="str">
            <v/>
          </cell>
          <cell r="T2171" t="str">
            <v/>
          </cell>
          <cell r="U2171" t="str">
            <v/>
          </cell>
          <cell r="W2171" t="str">
            <v/>
          </cell>
          <cell r="X2171" t="str">
            <v/>
          </cell>
          <cell r="AB2171">
            <v>0</v>
          </cell>
          <cell r="AC2171">
            <v>0</v>
          </cell>
          <cell r="AD2171">
            <v>0</v>
          </cell>
          <cell r="AJ2171">
            <v>0</v>
          </cell>
          <cell r="AK2171">
            <v>0</v>
          </cell>
        </row>
        <row r="2172">
          <cell r="B2172" t="str">
            <v/>
          </cell>
          <cell r="H2172" t="str">
            <v/>
          </cell>
          <cell r="J2172" t="str">
            <v/>
          </cell>
          <cell r="N2172" t="str">
            <v/>
          </cell>
          <cell r="O2172" t="str">
            <v/>
          </cell>
          <cell r="P2172" t="str">
            <v/>
          </cell>
          <cell r="Q2172" t="str">
            <v/>
          </cell>
          <cell r="T2172" t="str">
            <v/>
          </cell>
          <cell r="U2172" t="str">
            <v/>
          </cell>
          <cell r="W2172" t="str">
            <v/>
          </cell>
          <cell r="X2172" t="str">
            <v/>
          </cell>
          <cell r="AB2172">
            <v>0</v>
          </cell>
          <cell r="AC2172">
            <v>0</v>
          </cell>
          <cell r="AD2172">
            <v>0</v>
          </cell>
          <cell r="AJ2172">
            <v>0</v>
          </cell>
          <cell r="AK2172">
            <v>0</v>
          </cell>
        </row>
        <row r="2173">
          <cell r="B2173" t="str">
            <v/>
          </cell>
          <cell r="H2173" t="str">
            <v/>
          </cell>
          <cell r="J2173" t="str">
            <v/>
          </cell>
          <cell r="N2173" t="str">
            <v/>
          </cell>
          <cell r="O2173" t="str">
            <v/>
          </cell>
          <cell r="P2173" t="str">
            <v/>
          </cell>
          <cell r="Q2173" t="str">
            <v/>
          </cell>
          <cell r="T2173" t="str">
            <v/>
          </cell>
          <cell r="U2173" t="str">
            <v/>
          </cell>
          <cell r="W2173" t="str">
            <v/>
          </cell>
          <cell r="X2173" t="str">
            <v/>
          </cell>
          <cell r="AB2173">
            <v>0</v>
          </cell>
          <cell r="AC2173">
            <v>0</v>
          </cell>
          <cell r="AD2173">
            <v>0</v>
          </cell>
          <cell r="AJ2173">
            <v>0</v>
          </cell>
          <cell r="AK2173">
            <v>0</v>
          </cell>
        </row>
        <row r="2174">
          <cell r="B2174" t="str">
            <v/>
          </cell>
          <cell r="H2174" t="str">
            <v/>
          </cell>
          <cell r="J2174" t="str">
            <v/>
          </cell>
          <cell r="N2174" t="str">
            <v/>
          </cell>
          <cell r="O2174" t="str">
            <v/>
          </cell>
          <cell r="P2174" t="str">
            <v/>
          </cell>
          <cell r="Q2174" t="str">
            <v/>
          </cell>
          <cell r="T2174" t="str">
            <v/>
          </cell>
          <cell r="U2174" t="str">
            <v/>
          </cell>
          <cell r="W2174" t="str">
            <v/>
          </cell>
          <cell r="X2174" t="str">
            <v/>
          </cell>
          <cell r="AB2174">
            <v>0</v>
          </cell>
          <cell r="AC2174">
            <v>0</v>
          </cell>
          <cell r="AD2174">
            <v>0</v>
          </cell>
          <cell r="AJ2174">
            <v>0</v>
          </cell>
          <cell r="AK2174">
            <v>0</v>
          </cell>
        </row>
        <row r="2175">
          <cell r="B2175" t="str">
            <v/>
          </cell>
          <cell r="H2175" t="str">
            <v/>
          </cell>
          <cell r="J2175" t="str">
            <v/>
          </cell>
          <cell r="N2175" t="str">
            <v/>
          </cell>
          <cell r="O2175" t="str">
            <v/>
          </cell>
          <cell r="P2175" t="str">
            <v/>
          </cell>
          <cell r="Q2175" t="str">
            <v/>
          </cell>
          <cell r="T2175" t="str">
            <v/>
          </cell>
          <cell r="U2175" t="str">
            <v/>
          </cell>
          <cell r="W2175" t="str">
            <v/>
          </cell>
          <cell r="X2175" t="str">
            <v/>
          </cell>
          <cell r="AB2175">
            <v>0</v>
          </cell>
          <cell r="AC2175">
            <v>0</v>
          </cell>
          <cell r="AD2175">
            <v>0</v>
          </cell>
          <cell r="AJ2175">
            <v>0</v>
          </cell>
          <cell r="AK2175">
            <v>0</v>
          </cell>
        </row>
        <row r="2176">
          <cell r="B2176" t="str">
            <v/>
          </cell>
          <cell r="H2176" t="str">
            <v/>
          </cell>
          <cell r="J2176" t="str">
            <v/>
          </cell>
          <cell r="N2176" t="str">
            <v/>
          </cell>
          <cell r="O2176" t="str">
            <v/>
          </cell>
          <cell r="P2176" t="str">
            <v/>
          </cell>
          <cell r="Q2176" t="str">
            <v/>
          </cell>
          <cell r="T2176" t="str">
            <v/>
          </cell>
          <cell r="U2176" t="str">
            <v/>
          </cell>
          <cell r="W2176" t="str">
            <v/>
          </cell>
          <cell r="X2176" t="str">
            <v/>
          </cell>
          <cell r="AB2176">
            <v>0</v>
          </cell>
          <cell r="AC2176">
            <v>0</v>
          </cell>
          <cell r="AD2176">
            <v>0</v>
          </cell>
          <cell r="AJ2176">
            <v>0</v>
          </cell>
          <cell r="AK2176">
            <v>0</v>
          </cell>
        </row>
        <row r="2177">
          <cell r="B2177" t="str">
            <v/>
          </cell>
          <cell r="H2177" t="str">
            <v/>
          </cell>
          <cell r="J2177" t="str">
            <v/>
          </cell>
          <cell r="N2177" t="str">
            <v/>
          </cell>
          <cell r="O2177" t="str">
            <v/>
          </cell>
          <cell r="P2177" t="str">
            <v/>
          </cell>
          <cell r="Q2177" t="str">
            <v/>
          </cell>
          <cell r="T2177" t="str">
            <v/>
          </cell>
          <cell r="U2177" t="str">
            <v/>
          </cell>
          <cell r="W2177" t="str">
            <v/>
          </cell>
          <cell r="X2177" t="str">
            <v/>
          </cell>
          <cell r="AB2177">
            <v>0</v>
          </cell>
          <cell r="AC2177">
            <v>0</v>
          </cell>
          <cell r="AD2177">
            <v>0</v>
          </cell>
          <cell r="AJ2177">
            <v>0</v>
          </cell>
          <cell r="AK2177">
            <v>0</v>
          </cell>
        </row>
        <row r="2178">
          <cell r="B2178" t="str">
            <v/>
          </cell>
          <cell r="H2178" t="str">
            <v/>
          </cell>
          <cell r="J2178" t="str">
            <v/>
          </cell>
          <cell r="N2178" t="str">
            <v/>
          </cell>
          <cell r="O2178" t="str">
            <v/>
          </cell>
          <cell r="P2178" t="str">
            <v/>
          </cell>
          <cell r="Q2178" t="str">
            <v/>
          </cell>
          <cell r="T2178" t="str">
            <v/>
          </cell>
          <cell r="U2178" t="str">
            <v/>
          </cell>
          <cell r="W2178" t="str">
            <v/>
          </cell>
          <cell r="X2178" t="str">
            <v/>
          </cell>
          <cell r="AB2178">
            <v>0</v>
          </cell>
          <cell r="AC2178">
            <v>0</v>
          </cell>
          <cell r="AD2178">
            <v>0</v>
          </cell>
          <cell r="AJ2178">
            <v>0</v>
          </cell>
          <cell r="AK2178">
            <v>0</v>
          </cell>
        </row>
        <row r="2179">
          <cell r="B2179" t="str">
            <v/>
          </cell>
          <cell r="H2179" t="str">
            <v/>
          </cell>
          <cell r="J2179" t="str">
            <v/>
          </cell>
          <cell r="N2179" t="str">
            <v/>
          </cell>
          <cell r="O2179" t="str">
            <v/>
          </cell>
          <cell r="P2179" t="str">
            <v/>
          </cell>
          <cell r="Q2179" t="str">
            <v/>
          </cell>
          <cell r="T2179" t="str">
            <v/>
          </cell>
          <cell r="U2179" t="str">
            <v/>
          </cell>
          <cell r="W2179" t="str">
            <v/>
          </cell>
          <cell r="X2179" t="str">
            <v/>
          </cell>
          <cell r="AB2179">
            <v>0</v>
          </cell>
          <cell r="AC2179">
            <v>0</v>
          </cell>
          <cell r="AD2179">
            <v>0</v>
          </cell>
          <cell r="AJ2179">
            <v>0</v>
          </cell>
          <cell r="AK2179">
            <v>0</v>
          </cell>
        </row>
        <row r="2180">
          <cell r="B2180" t="str">
            <v/>
          </cell>
          <cell r="H2180" t="str">
            <v/>
          </cell>
          <cell r="J2180" t="str">
            <v/>
          </cell>
          <cell r="N2180" t="str">
            <v/>
          </cell>
          <cell r="O2180" t="str">
            <v/>
          </cell>
          <cell r="P2180" t="str">
            <v/>
          </cell>
          <cell r="Q2180" t="str">
            <v/>
          </cell>
          <cell r="T2180" t="str">
            <v/>
          </cell>
          <cell r="U2180" t="str">
            <v/>
          </cell>
          <cell r="W2180" t="str">
            <v/>
          </cell>
          <cell r="X2180" t="str">
            <v/>
          </cell>
          <cell r="AB2180">
            <v>0</v>
          </cell>
          <cell r="AC2180">
            <v>0</v>
          </cell>
          <cell r="AD2180">
            <v>0</v>
          </cell>
          <cell r="AJ2180">
            <v>0</v>
          </cell>
          <cell r="AK2180">
            <v>0</v>
          </cell>
        </row>
        <row r="2181">
          <cell r="B2181" t="str">
            <v/>
          </cell>
          <cell r="H2181" t="str">
            <v/>
          </cell>
          <cell r="J2181" t="str">
            <v/>
          </cell>
          <cell r="N2181" t="str">
            <v/>
          </cell>
          <cell r="O2181" t="str">
            <v/>
          </cell>
          <cell r="P2181" t="str">
            <v/>
          </cell>
          <cell r="Q2181" t="str">
            <v/>
          </cell>
          <cell r="T2181" t="str">
            <v/>
          </cell>
          <cell r="U2181" t="str">
            <v/>
          </cell>
          <cell r="W2181" t="str">
            <v/>
          </cell>
          <cell r="X2181" t="str">
            <v/>
          </cell>
          <cell r="AB2181">
            <v>0</v>
          </cell>
          <cell r="AC2181">
            <v>0</v>
          </cell>
          <cell r="AD2181">
            <v>0</v>
          </cell>
          <cell r="AJ2181">
            <v>0</v>
          </cell>
          <cell r="AK2181">
            <v>0</v>
          </cell>
        </row>
        <row r="2182">
          <cell r="B2182" t="str">
            <v/>
          </cell>
          <cell r="H2182" t="str">
            <v/>
          </cell>
          <cell r="J2182" t="str">
            <v/>
          </cell>
          <cell r="N2182" t="str">
            <v/>
          </cell>
          <cell r="O2182" t="str">
            <v/>
          </cell>
          <cell r="P2182" t="str">
            <v/>
          </cell>
          <cell r="Q2182" t="str">
            <v/>
          </cell>
          <cell r="T2182" t="str">
            <v/>
          </cell>
          <cell r="U2182" t="str">
            <v/>
          </cell>
          <cell r="W2182" t="str">
            <v/>
          </cell>
          <cell r="X2182" t="str">
            <v/>
          </cell>
          <cell r="AB2182">
            <v>0</v>
          </cell>
          <cell r="AC2182">
            <v>0</v>
          </cell>
          <cell r="AD2182">
            <v>0</v>
          </cell>
          <cell r="AJ2182">
            <v>0</v>
          </cell>
          <cell r="AK2182">
            <v>0</v>
          </cell>
        </row>
        <row r="2183">
          <cell r="B2183" t="str">
            <v/>
          </cell>
          <cell r="H2183" t="str">
            <v/>
          </cell>
          <cell r="J2183" t="str">
            <v/>
          </cell>
          <cell r="N2183" t="str">
            <v/>
          </cell>
          <cell r="O2183" t="str">
            <v/>
          </cell>
          <cell r="P2183" t="str">
            <v/>
          </cell>
          <cell r="Q2183" t="str">
            <v/>
          </cell>
          <cell r="T2183" t="str">
            <v/>
          </cell>
          <cell r="U2183" t="str">
            <v/>
          </cell>
          <cell r="W2183" t="str">
            <v/>
          </cell>
          <cell r="X2183" t="str">
            <v/>
          </cell>
          <cell r="AB2183">
            <v>0</v>
          </cell>
          <cell r="AC2183">
            <v>0</v>
          </cell>
          <cell r="AD2183">
            <v>0</v>
          </cell>
          <cell r="AJ2183">
            <v>0</v>
          </cell>
          <cell r="AK2183">
            <v>0</v>
          </cell>
        </row>
        <row r="2184">
          <cell r="B2184" t="str">
            <v/>
          </cell>
          <cell r="H2184" t="str">
            <v/>
          </cell>
          <cell r="J2184" t="str">
            <v/>
          </cell>
          <cell r="N2184" t="str">
            <v/>
          </cell>
          <cell r="O2184" t="str">
            <v/>
          </cell>
          <cell r="P2184" t="str">
            <v/>
          </cell>
          <cell r="Q2184" t="str">
            <v/>
          </cell>
          <cell r="T2184" t="str">
            <v/>
          </cell>
          <cell r="U2184" t="str">
            <v/>
          </cell>
          <cell r="W2184" t="str">
            <v/>
          </cell>
          <cell r="X2184" t="str">
            <v/>
          </cell>
          <cell r="AB2184">
            <v>0</v>
          </cell>
          <cell r="AC2184">
            <v>0</v>
          </cell>
          <cell r="AD2184">
            <v>0</v>
          </cell>
          <cell r="AJ2184">
            <v>0</v>
          </cell>
          <cell r="AK2184">
            <v>0</v>
          </cell>
        </row>
        <row r="2185">
          <cell r="B2185" t="str">
            <v/>
          </cell>
          <cell r="H2185" t="str">
            <v/>
          </cell>
          <cell r="J2185" t="str">
            <v/>
          </cell>
          <cell r="N2185" t="str">
            <v/>
          </cell>
          <cell r="O2185" t="str">
            <v/>
          </cell>
          <cell r="P2185" t="str">
            <v/>
          </cell>
          <cell r="Q2185" t="str">
            <v/>
          </cell>
          <cell r="T2185" t="str">
            <v/>
          </cell>
          <cell r="U2185" t="str">
            <v/>
          </cell>
          <cell r="W2185" t="str">
            <v/>
          </cell>
          <cell r="X2185" t="str">
            <v/>
          </cell>
          <cell r="AB2185">
            <v>0</v>
          </cell>
          <cell r="AC2185">
            <v>0</v>
          </cell>
          <cell r="AD2185">
            <v>0</v>
          </cell>
          <cell r="AJ2185">
            <v>0</v>
          </cell>
          <cell r="AK2185">
            <v>0</v>
          </cell>
        </row>
        <row r="2186">
          <cell r="B2186" t="str">
            <v/>
          </cell>
          <cell r="H2186" t="str">
            <v/>
          </cell>
          <cell r="J2186" t="str">
            <v/>
          </cell>
          <cell r="N2186" t="str">
            <v/>
          </cell>
          <cell r="O2186" t="str">
            <v/>
          </cell>
          <cell r="P2186" t="str">
            <v/>
          </cell>
          <cell r="Q2186" t="str">
            <v/>
          </cell>
          <cell r="T2186" t="str">
            <v/>
          </cell>
          <cell r="U2186" t="str">
            <v/>
          </cell>
          <cell r="W2186" t="str">
            <v/>
          </cell>
          <cell r="X2186" t="str">
            <v/>
          </cell>
          <cell r="AB2186">
            <v>0</v>
          </cell>
          <cell r="AC2186">
            <v>0</v>
          </cell>
          <cell r="AD2186">
            <v>0</v>
          </cell>
          <cell r="AJ2186">
            <v>0</v>
          </cell>
          <cell r="AK2186">
            <v>0</v>
          </cell>
        </row>
        <row r="2187">
          <cell r="B2187" t="str">
            <v/>
          </cell>
          <cell r="H2187" t="str">
            <v/>
          </cell>
          <cell r="J2187" t="str">
            <v/>
          </cell>
          <cell r="N2187" t="str">
            <v/>
          </cell>
          <cell r="O2187" t="str">
            <v/>
          </cell>
          <cell r="P2187" t="str">
            <v/>
          </cell>
          <cell r="Q2187" t="str">
            <v/>
          </cell>
          <cell r="T2187" t="str">
            <v/>
          </cell>
          <cell r="U2187" t="str">
            <v/>
          </cell>
          <cell r="W2187" t="str">
            <v/>
          </cell>
          <cell r="X2187" t="str">
            <v/>
          </cell>
          <cell r="AB2187">
            <v>0</v>
          </cell>
          <cell r="AC2187">
            <v>0</v>
          </cell>
          <cell r="AD2187">
            <v>0</v>
          </cell>
          <cell r="AJ2187">
            <v>0</v>
          </cell>
          <cell r="AK2187">
            <v>0</v>
          </cell>
        </row>
        <row r="2188">
          <cell r="B2188" t="str">
            <v/>
          </cell>
          <cell r="H2188" t="str">
            <v/>
          </cell>
          <cell r="J2188" t="str">
            <v/>
          </cell>
          <cell r="N2188" t="str">
            <v/>
          </cell>
          <cell r="O2188" t="str">
            <v/>
          </cell>
          <cell r="P2188" t="str">
            <v/>
          </cell>
          <cell r="Q2188" t="str">
            <v/>
          </cell>
          <cell r="T2188" t="str">
            <v/>
          </cell>
          <cell r="U2188" t="str">
            <v/>
          </cell>
          <cell r="W2188" t="str">
            <v/>
          </cell>
          <cell r="X2188" t="str">
            <v/>
          </cell>
          <cell r="AB2188">
            <v>0</v>
          </cell>
          <cell r="AC2188">
            <v>0</v>
          </cell>
          <cell r="AD2188">
            <v>0</v>
          </cell>
          <cell r="AJ2188">
            <v>0</v>
          </cell>
          <cell r="AK2188">
            <v>0</v>
          </cell>
        </row>
        <row r="2189">
          <cell r="B2189" t="str">
            <v/>
          </cell>
          <cell r="H2189" t="str">
            <v/>
          </cell>
          <cell r="J2189" t="str">
            <v/>
          </cell>
          <cell r="N2189" t="str">
            <v/>
          </cell>
          <cell r="O2189" t="str">
            <v/>
          </cell>
          <cell r="P2189" t="str">
            <v/>
          </cell>
          <cell r="Q2189" t="str">
            <v/>
          </cell>
          <cell r="T2189" t="str">
            <v/>
          </cell>
          <cell r="U2189" t="str">
            <v/>
          </cell>
          <cell r="W2189" t="str">
            <v/>
          </cell>
          <cell r="X2189" t="str">
            <v/>
          </cell>
          <cell r="AB2189">
            <v>0</v>
          </cell>
          <cell r="AC2189">
            <v>0</v>
          </cell>
          <cell r="AD2189">
            <v>0</v>
          </cell>
          <cell r="AJ2189">
            <v>0</v>
          </cell>
          <cell r="AK2189">
            <v>0</v>
          </cell>
        </row>
        <row r="2190">
          <cell r="B2190" t="str">
            <v/>
          </cell>
          <cell r="H2190" t="str">
            <v/>
          </cell>
          <cell r="J2190" t="str">
            <v/>
          </cell>
          <cell r="N2190" t="str">
            <v/>
          </cell>
          <cell r="O2190" t="str">
            <v/>
          </cell>
          <cell r="P2190" t="str">
            <v/>
          </cell>
          <cell r="Q2190" t="str">
            <v/>
          </cell>
          <cell r="T2190" t="str">
            <v/>
          </cell>
          <cell r="U2190" t="str">
            <v/>
          </cell>
          <cell r="W2190" t="str">
            <v/>
          </cell>
          <cell r="X2190" t="str">
            <v/>
          </cell>
          <cell r="AB2190">
            <v>0</v>
          </cell>
          <cell r="AC2190">
            <v>0</v>
          </cell>
          <cell r="AD2190">
            <v>0</v>
          </cell>
          <cell r="AJ2190">
            <v>0</v>
          </cell>
          <cell r="AK2190">
            <v>0</v>
          </cell>
        </row>
        <row r="2191">
          <cell r="B2191" t="str">
            <v/>
          </cell>
          <cell r="H2191" t="str">
            <v/>
          </cell>
          <cell r="J2191" t="str">
            <v/>
          </cell>
          <cell r="N2191" t="str">
            <v/>
          </cell>
          <cell r="O2191" t="str">
            <v/>
          </cell>
          <cell r="P2191" t="str">
            <v/>
          </cell>
          <cell r="Q2191" t="str">
            <v/>
          </cell>
          <cell r="T2191" t="str">
            <v/>
          </cell>
          <cell r="U2191" t="str">
            <v/>
          </cell>
          <cell r="W2191" t="str">
            <v/>
          </cell>
          <cell r="X2191" t="str">
            <v/>
          </cell>
          <cell r="AB2191">
            <v>0</v>
          </cell>
          <cell r="AC2191">
            <v>0</v>
          </cell>
          <cell r="AD2191">
            <v>0</v>
          </cell>
          <cell r="AJ2191">
            <v>0</v>
          </cell>
          <cell r="AK2191">
            <v>0</v>
          </cell>
        </row>
        <row r="2192">
          <cell r="B2192" t="str">
            <v/>
          </cell>
          <cell r="H2192" t="str">
            <v/>
          </cell>
          <cell r="J2192" t="str">
            <v/>
          </cell>
          <cell r="N2192" t="str">
            <v/>
          </cell>
          <cell r="O2192" t="str">
            <v/>
          </cell>
          <cell r="P2192" t="str">
            <v/>
          </cell>
          <cell r="Q2192" t="str">
            <v/>
          </cell>
          <cell r="T2192" t="str">
            <v/>
          </cell>
          <cell r="U2192" t="str">
            <v/>
          </cell>
          <cell r="W2192" t="str">
            <v/>
          </cell>
          <cell r="X2192" t="str">
            <v/>
          </cell>
          <cell r="AB2192">
            <v>0</v>
          </cell>
          <cell r="AC2192">
            <v>0</v>
          </cell>
          <cell r="AD2192">
            <v>0</v>
          </cell>
          <cell r="AJ2192">
            <v>0</v>
          </cell>
          <cell r="AK2192">
            <v>0</v>
          </cell>
        </row>
        <row r="2193">
          <cell r="B2193" t="str">
            <v/>
          </cell>
          <cell r="H2193" t="str">
            <v/>
          </cell>
          <cell r="J2193" t="str">
            <v/>
          </cell>
          <cell r="N2193" t="str">
            <v/>
          </cell>
          <cell r="O2193" t="str">
            <v/>
          </cell>
          <cell r="P2193" t="str">
            <v/>
          </cell>
          <cell r="Q2193" t="str">
            <v/>
          </cell>
          <cell r="T2193" t="str">
            <v/>
          </cell>
          <cell r="U2193" t="str">
            <v/>
          </cell>
          <cell r="W2193" t="str">
            <v/>
          </cell>
          <cell r="X2193" t="str">
            <v/>
          </cell>
          <cell r="AB2193">
            <v>0</v>
          </cell>
          <cell r="AC2193">
            <v>0</v>
          </cell>
          <cell r="AD2193">
            <v>0</v>
          </cell>
          <cell r="AJ2193">
            <v>0</v>
          </cell>
          <cell r="AK2193">
            <v>0</v>
          </cell>
        </row>
        <row r="2194">
          <cell r="B2194" t="str">
            <v/>
          </cell>
          <cell r="H2194" t="str">
            <v/>
          </cell>
          <cell r="J2194" t="str">
            <v/>
          </cell>
          <cell r="N2194" t="str">
            <v/>
          </cell>
          <cell r="O2194" t="str">
            <v/>
          </cell>
          <cell r="P2194" t="str">
            <v/>
          </cell>
          <cell r="Q2194" t="str">
            <v/>
          </cell>
          <cell r="T2194" t="str">
            <v/>
          </cell>
          <cell r="U2194" t="str">
            <v/>
          </cell>
          <cell r="W2194" t="str">
            <v/>
          </cell>
          <cell r="X2194" t="str">
            <v/>
          </cell>
          <cell r="AB2194">
            <v>0</v>
          </cell>
          <cell r="AC2194">
            <v>0</v>
          </cell>
          <cell r="AD2194">
            <v>0</v>
          </cell>
          <cell r="AJ2194">
            <v>0</v>
          </cell>
          <cell r="AK2194">
            <v>0</v>
          </cell>
        </row>
        <row r="2195">
          <cell r="B2195" t="str">
            <v/>
          </cell>
          <cell r="H2195" t="str">
            <v/>
          </cell>
          <cell r="J2195" t="str">
            <v/>
          </cell>
          <cell r="N2195" t="str">
            <v/>
          </cell>
          <cell r="O2195" t="str">
            <v/>
          </cell>
          <cell r="P2195" t="str">
            <v/>
          </cell>
          <cell r="Q2195" t="str">
            <v/>
          </cell>
          <cell r="T2195" t="str">
            <v/>
          </cell>
          <cell r="U2195" t="str">
            <v/>
          </cell>
          <cell r="W2195" t="str">
            <v/>
          </cell>
          <cell r="X2195" t="str">
            <v/>
          </cell>
          <cell r="AB2195">
            <v>0</v>
          </cell>
          <cell r="AC2195">
            <v>0</v>
          </cell>
          <cell r="AD2195">
            <v>0</v>
          </cell>
          <cell r="AJ2195">
            <v>0</v>
          </cell>
          <cell r="AK2195">
            <v>0</v>
          </cell>
        </row>
        <row r="2196">
          <cell r="B2196" t="str">
            <v/>
          </cell>
          <cell r="H2196" t="str">
            <v/>
          </cell>
          <cell r="J2196" t="str">
            <v/>
          </cell>
          <cell r="N2196" t="str">
            <v/>
          </cell>
          <cell r="O2196" t="str">
            <v/>
          </cell>
          <cell r="P2196" t="str">
            <v/>
          </cell>
          <cell r="Q2196" t="str">
            <v/>
          </cell>
          <cell r="T2196" t="str">
            <v/>
          </cell>
          <cell r="U2196" t="str">
            <v/>
          </cell>
          <cell r="W2196" t="str">
            <v/>
          </cell>
          <cell r="X2196" t="str">
            <v/>
          </cell>
          <cell r="AB2196">
            <v>0</v>
          </cell>
          <cell r="AC2196">
            <v>0</v>
          </cell>
          <cell r="AD2196">
            <v>0</v>
          </cell>
          <cell r="AJ2196">
            <v>0</v>
          </cell>
          <cell r="AK2196">
            <v>0</v>
          </cell>
        </row>
        <row r="2197">
          <cell r="B2197" t="str">
            <v/>
          </cell>
          <cell r="H2197" t="str">
            <v/>
          </cell>
          <cell r="J2197" t="str">
            <v/>
          </cell>
          <cell r="N2197" t="str">
            <v/>
          </cell>
          <cell r="O2197" t="str">
            <v/>
          </cell>
          <cell r="P2197" t="str">
            <v/>
          </cell>
          <cell r="Q2197" t="str">
            <v/>
          </cell>
          <cell r="T2197" t="str">
            <v/>
          </cell>
          <cell r="U2197" t="str">
            <v/>
          </cell>
          <cell r="W2197" t="str">
            <v/>
          </cell>
          <cell r="X2197" t="str">
            <v/>
          </cell>
          <cell r="AB2197">
            <v>0</v>
          </cell>
          <cell r="AC2197">
            <v>0</v>
          </cell>
          <cell r="AD2197">
            <v>0</v>
          </cell>
          <cell r="AJ2197">
            <v>0</v>
          </cell>
          <cell r="AK2197">
            <v>0</v>
          </cell>
        </row>
        <row r="2198">
          <cell r="B2198" t="str">
            <v/>
          </cell>
          <cell r="H2198" t="str">
            <v/>
          </cell>
          <cell r="J2198" t="str">
            <v/>
          </cell>
          <cell r="N2198" t="str">
            <v/>
          </cell>
          <cell r="O2198" t="str">
            <v/>
          </cell>
          <cell r="P2198" t="str">
            <v/>
          </cell>
          <cell r="Q2198" t="str">
            <v/>
          </cell>
          <cell r="T2198" t="str">
            <v/>
          </cell>
          <cell r="U2198" t="str">
            <v/>
          </cell>
          <cell r="W2198" t="str">
            <v/>
          </cell>
          <cell r="X2198" t="str">
            <v/>
          </cell>
          <cell r="AB2198">
            <v>0</v>
          </cell>
          <cell r="AC2198">
            <v>0</v>
          </cell>
          <cell r="AD2198">
            <v>0</v>
          </cell>
          <cell r="AJ2198">
            <v>0</v>
          </cell>
          <cell r="AK2198">
            <v>0</v>
          </cell>
        </row>
        <row r="2199">
          <cell r="B2199" t="str">
            <v/>
          </cell>
          <cell r="H2199" t="str">
            <v/>
          </cell>
          <cell r="J2199" t="str">
            <v/>
          </cell>
          <cell r="N2199" t="str">
            <v/>
          </cell>
          <cell r="O2199" t="str">
            <v/>
          </cell>
          <cell r="P2199" t="str">
            <v/>
          </cell>
          <cell r="Q2199" t="str">
            <v/>
          </cell>
          <cell r="T2199" t="str">
            <v/>
          </cell>
          <cell r="U2199" t="str">
            <v/>
          </cell>
          <cell r="W2199" t="str">
            <v/>
          </cell>
          <cell r="X2199" t="str">
            <v/>
          </cell>
          <cell r="AB2199">
            <v>0</v>
          </cell>
          <cell r="AC2199">
            <v>0</v>
          </cell>
          <cell r="AD2199">
            <v>0</v>
          </cell>
          <cell r="AJ2199">
            <v>0</v>
          </cell>
          <cell r="AK2199">
            <v>0</v>
          </cell>
        </row>
        <row r="2200">
          <cell r="B2200" t="str">
            <v/>
          </cell>
          <cell r="H2200" t="str">
            <v/>
          </cell>
          <cell r="J2200" t="str">
            <v/>
          </cell>
          <cell r="N2200" t="str">
            <v/>
          </cell>
          <cell r="O2200" t="str">
            <v/>
          </cell>
          <cell r="P2200" t="str">
            <v/>
          </cell>
          <cell r="Q2200" t="str">
            <v/>
          </cell>
          <cell r="T2200" t="str">
            <v/>
          </cell>
          <cell r="U2200" t="str">
            <v/>
          </cell>
          <cell r="W2200" t="str">
            <v/>
          </cell>
          <cell r="X2200" t="str">
            <v/>
          </cell>
          <cell r="AB2200">
            <v>0</v>
          </cell>
          <cell r="AC2200">
            <v>0</v>
          </cell>
          <cell r="AD2200">
            <v>0</v>
          </cell>
          <cell r="AJ2200">
            <v>0</v>
          </cell>
          <cell r="AK2200">
            <v>0</v>
          </cell>
        </row>
        <row r="2201">
          <cell r="B2201" t="str">
            <v/>
          </cell>
          <cell r="H2201" t="str">
            <v/>
          </cell>
          <cell r="J2201" t="str">
            <v/>
          </cell>
          <cell r="N2201" t="str">
            <v/>
          </cell>
          <cell r="O2201" t="str">
            <v/>
          </cell>
          <cell r="P2201" t="str">
            <v/>
          </cell>
          <cell r="Q2201" t="str">
            <v/>
          </cell>
          <cell r="T2201" t="str">
            <v/>
          </cell>
          <cell r="U2201" t="str">
            <v/>
          </cell>
          <cell r="W2201" t="str">
            <v/>
          </cell>
          <cell r="X2201" t="str">
            <v/>
          </cell>
          <cell r="AB2201">
            <v>0</v>
          </cell>
          <cell r="AC2201">
            <v>0</v>
          </cell>
          <cell r="AD2201">
            <v>0</v>
          </cell>
          <cell r="AJ2201">
            <v>0</v>
          </cell>
          <cell r="AK2201">
            <v>0</v>
          </cell>
        </row>
        <row r="2202">
          <cell r="B2202" t="str">
            <v/>
          </cell>
          <cell r="H2202" t="str">
            <v/>
          </cell>
          <cell r="J2202" t="str">
            <v/>
          </cell>
          <cell r="N2202" t="str">
            <v/>
          </cell>
          <cell r="O2202" t="str">
            <v/>
          </cell>
          <cell r="P2202" t="str">
            <v/>
          </cell>
          <cell r="Q2202" t="str">
            <v/>
          </cell>
          <cell r="T2202" t="str">
            <v/>
          </cell>
          <cell r="U2202" t="str">
            <v/>
          </cell>
          <cell r="W2202" t="str">
            <v/>
          </cell>
          <cell r="X2202" t="str">
            <v/>
          </cell>
          <cell r="AB2202">
            <v>0</v>
          </cell>
          <cell r="AC2202">
            <v>0</v>
          </cell>
          <cell r="AD2202">
            <v>0</v>
          </cell>
          <cell r="AJ2202">
            <v>0</v>
          </cell>
          <cell r="AK2202">
            <v>0</v>
          </cell>
        </row>
        <row r="2203">
          <cell r="B2203" t="str">
            <v/>
          </cell>
          <cell r="H2203" t="str">
            <v/>
          </cell>
          <cell r="J2203" t="str">
            <v/>
          </cell>
          <cell r="N2203" t="str">
            <v/>
          </cell>
          <cell r="O2203" t="str">
            <v/>
          </cell>
          <cell r="P2203" t="str">
            <v/>
          </cell>
          <cell r="Q2203" t="str">
            <v/>
          </cell>
          <cell r="T2203" t="str">
            <v/>
          </cell>
          <cell r="U2203" t="str">
            <v/>
          </cell>
          <cell r="W2203" t="str">
            <v/>
          </cell>
          <cell r="X2203" t="str">
            <v/>
          </cell>
          <cell r="AB2203">
            <v>0</v>
          </cell>
          <cell r="AC2203">
            <v>0</v>
          </cell>
          <cell r="AD2203">
            <v>0</v>
          </cell>
          <cell r="AJ2203">
            <v>0</v>
          </cell>
          <cell r="AK2203">
            <v>0</v>
          </cell>
        </row>
        <row r="2204">
          <cell r="B2204" t="str">
            <v/>
          </cell>
          <cell r="H2204" t="str">
            <v/>
          </cell>
          <cell r="J2204" t="str">
            <v/>
          </cell>
          <cell r="N2204" t="str">
            <v/>
          </cell>
          <cell r="O2204" t="str">
            <v/>
          </cell>
          <cell r="P2204" t="str">
            <v/>
          </cell>
          <cell r="Q2204" t="str">
            <v/>
          </cell>
          <cell r="T2204" t="str">
            <v/>
          </cell>
          <cell r="U2204" t="str">
            <v/>
          </cell>
          <cell r="W2204" t="str">
            <v/>
          </cell>
          <cell r="X2204" t="str">
            <v/>
          </cell>
          <cell r="AB2204">
            <v>0</v>
          </cell>
          <cell r="AC2204">
            <v>0</v>
          </cell>
          <cell r="AD2204">
            <v>0</v>
          </cell>
          <cell r="AJ2204">
            <v>0</v>
          </cell>
          <cell r="AK2204">
            <v>0</v>
          </cell>
        </row>
        <row r="2205">
          <cell r="B2205" t="str">
            <v/>
          </cell>
          <cell r="H2205" t="str">
            <v/>
          </cell>
          <cell r="J2205" t="str">
            <v/>
          </cell>
          <cell r="N2205" t="str">
            <v/>
          </cell>
          <cell r="O2205" t="str">
            <v/>
          </cell>
          <cell r="P2205" t="str">
            <v/>
          </cell>
          <cell r="Q2205" t="str">
            <v/>
          </cell>
          <cell r="T2205" t="str">
            <v/>
          </cell>
          <cell r="U2205" t="str">
            <v/>
          </cell>
          <cell r="W2205" t="str">
            <v/>
          </cell>
          <cell r="X2205" t="str">
            <v/>
          </cell>
          <cell r="AB2205">
            <v>0</v>
          </cell>
          <cell r="AC2205">
            <v>0</v>
          </cell>
          <cell r="AD2205">
            <v>0</v>
          </cell>
          <cell r="AJ2205">
            <v>0</v>
          </cell>
          <cell r="AK2205">
            <v>0</v>
          </cell>
        </row>
        <row r="2206">
          <cell r="B2206" t="str">
            <v/>
          </cell>
          <cell r="H2206" t="str">
            <v/>
          </cell>
          <cell r="J2206" t="str">
            <v/>
          </cell>
          <cell r="N2206" t="str">
            <v/>
          </cell>
          <cell r="O2206" t="str">
            <v/>
          </cell>
          <cell r="P2206" t="str">
            <v/>
          </cell>
          <cell r="Q2206" t="str">
            <v/>
          </cell>
          <cell r="T2206" t="str">
            <v/>
          </cell>
          <cell r="U2206" t="str">
            <v/>
          </cell>
          <cell r="W2206" t="str">
            <v/>
          </cell>
          <cell r="X2206" t="str">
            <v/>
          </cell>
          <cell r="AB2206">
            <v>0</v>
          </cell>
          <cell r="AC2206">
            <v>0</v>
          </cell>
          <cell r="AD2206">
            <v>0</v>
          </cell>
          <cell r="AJ2206">
            <v>0</v>
          </cell>
          <cell r="AK2206">
            <v>0</v>
          </cell>
        </row>
        <row r="2207">
          <cell r="B2207" t="str">
            <v/>
          </cell>
          <cell r="H2207" t="str">
            <v/>
          </cell>
          <cell r="J2207" t="str">
            <v/>
          </cell>
          <cell r="N2207" t="str">
            <v/>
          </cell>
          <cell r="O2207" t="str">
            <v/>
          </cell>
          <cell r="P2207" t="str">
            <v/>
          </cell>
          <cell r="Q2207" t="str">
            <v/>
          </cell>
          <cell r="T2207" t="str">
            <v/>
          </cell>
          <cell r="U2207" t="str">
            <v/>
          </cell>
          <cell r="W2207" t="str">
            <v/>
          </cell>
          <cell r="X2207" t="str">
            <v/>
          </cell>
          <cell r="AB2207">
            <v>0</v>
          </cell>
          <cell r="AC2207">
            <v>0</v>
          </cell>
          <cell r="AD2207">
            <v>0</v>
          </cell>
          <cell r="AJ2207">
            <v>0</v>
          </cell>
          <cell r="AK2207">
            <v>0</v>
          </cell>
        </row>
        <row r="2208">
          <cell r="B2208" t="str">
            <v/>
          </cell>
          <cell r="H2208" t="str">
            <v/>
          </cell>
          <cell r="J2208" t="str">
            <v/>
          </cell>
          <cell r="N2208" t="str">
            <v/>
          </cell>
          <cell r="O2208" t="str">
            <v/>
          </cell>
          <cell r="P2208" t="str">
            <v/>
          </cell>
          <cell r="Q2208" t="str">
            <v/>
          </cell>
          <cell r="T2208" t="str">
            <v/>
          </cell>
          <cell r="U2208" t="str">
            <v/>
          </cell>
          <cell r="W2208" t="str">
            <v/>
          </cell>
          <cell r="X2208" t="str">
            <v/>
          </cell>
          <cell r="AB2208">
            <v>0</v>
          </cell>
          <cell r="AC2208">
            <v>0</v>
          </cell>
          <cell r="AD2208">
            <v>0</v>
          </cell>
          <cell r="AJ2208">
            <v>0</v>
          </cell>
          <cell r="AK2208">
            <v>0</v>
          </cell>
        </row>
        <row r="2209">
          <cell r="B2209" t="str">
            <v/>
          </cell>
          <cell r="H2209" t="str">
            <v/>
          </cell>
          <cell r="J2209" t="str">
            <v/>
          </cell>
          <cell r="N2209" t="str">
            <v/>
          </cell>
          <cell r="O2209" t="str">
            <v/>
          </cell>
          <cell r="P2209" t="str">
            <v/>
          </cell>
          <cell r="Q2209" t="str">
            <v/>
          </cell>
          <cell r="T2209" t="str">
            <v/>
          </cell>
          <cell r="U2209" t="str">
            <v/>
          </cell>
          <cell r="W2209" t="str">
            <v/>
          </cell>
          <cell r="X2209" t="str">
            <v/>
          </cell>
          <cell r="AB2209">
            <v>0</v>
          </cell>
          <cell r="AC2209">
            <v>0</v>
          </cell>
          <cell r="AD2209">
            <v>0</v>
          </cell>
          <cell r="AJ2209">
            <v>0</v>
          </cell>
          <cell r="AK2209">
            <v>0</v>
          </cell>
        </row>
        <row r="2210">
          <cell r="B2210" t="str">
            <v/>
          </cell>
          <cell r="H2210" t="str">
            <v/>
          </cell>
          <cell r="J2210" t="str">
            <v/>
          </cell>
          <cell r="N2210" t="str">
            <v/>
          </cell>
          <cell r="O2210" t="str">
            <v/>
          </cell>
          <cell r="P2210" t="str">
            <v/>
          </cell>
          <cell r="Q2210" t="str">
            <v/>
          </cell>
          <cell r="T2210" t="str">
            <v/>
          </cell>
          <cell r="U2210" t="str">
            <v/>
          </cell>
          <cell r="W2210" t="str">
            <v/>
          </cell>
          <cell r="X2210" t="str">
            <v/>
          </cell>
          <cell r="AB2210">
            <v>0</v>
          </cell>
          <cell r="AC2210">
            <v>0</v>
          </cell>
          <cell r="AD2210">
            <v>0</v>
          </cell>
          <cell r="AJ2210">
            <v>0</v>
          </cell>
          <cell r="AK2210">
            <v>0</v>
          </cell>
        </row>
        <row r="2211">
          <cell r="B2211" t="str">
            <v/>
          </cell>
          <cell r="H2211" t="str">
            <v/>
          </cell>
          <cell r="J2211" t="str">
            <v/>
          </cell>
          <cell r="N2211" t="str">
            <v/>
          </cell>
          <cell r="O2211" t="str">
            <v/>
          </cell>
          <cell r="P2211" t="str">
            <v/>
          </cell>
          <cell r="Q2211" t="str">
            <v/>
          </cell>
          <cell r="T2211" t="str">
            <v/>
          </cell>
          <cell r="U2211" t="str">
            <v/>
          </cell>
          <cell r="W2211" t="str">
            <v/>
          </cell>
          <cell r="X2211" t="str">
            <v/>
          </cell>
          <cell r="AB2211">
            <v>0</v>
          </cell>
          <cell r="AC2211">
            <v>0</v>
          </cell>
          <cell r="AD2211">
            <v>0</v>
          </cell>
          <cell r="AJ2211">
            <v>0</v>
          </cell>
          <cell r="AK2211">
            <v>0</v>
          </cell>
        </row>
        <row r="2212">
          <cell r="B2212" t="str">
            <v/>
          </cell>
          <cell r="H2212" t="str">
            <v/>
          </cell>
          <cell r="J2212" t="str">
            <v/>
          </cell>
          <cell r="N2212" t="str">
            <v/>
          </cell>
          <cell r="O2212" t="str">
            <v/>
          </cell>
          <cell r="P2212" t="str">
            <v/>
          </cell>
          <cell r="Q2212" t="str">
            <v/>
          </cell>
          <cell r="T2212" t="str">
            <v/>
          </cell>
          <cell r="U2212" t="str">
            <v/>
          </cell>
          <cell r="W2212" t="str">
            <v/>
          </cell>
          <cell r="X2212" t="str">
            <v/>
          </cell>
          <cell r="AB2212">
            <v>0</v>
          </cell>
          <cell r="AC2212">
            <v>0</v>
          </cell>
          <cell r="AD2212">
            <v>0</v>
          </cell>
          <cell r="AJ2212">
            <v>0</v>
          </cell>
          <cell r="AK2212">
            <v>0</v>
          </cell>
        </row>
        <row r="2213">
          <cell r="B2213" t="str">
            <v/>
          </cell>
          <cell r="H2213" t="str">
            <v/>
          </cell>
          <cell r="J2213" t="str">
            <v/>
          </cell>
          <cell r="N2213" t="str">
            <v/>
          </cell>
          <cell r="O2213" t="str">
            <v/>
          </cell>
          <cell r="P2213" t="str">
            <v/>
          </cell>
          <cell r="Q2213" t="str">
            <v/>
          </cell>
          <cell r="T2213" t="str">
            <v/>
          </cell>
          <cell r="U2213" t="str">
            <v/>
          </cell>
          <cell r="W2213" t="str">
            <v/>
          </cell>
          <cell r="X2213" t="str">
            <v/>
          </cell>
          <cell r="AB2213">
            <v>0</v>
          </cell>
          <cell r="AC2213">
            <v>0</v>
          </cell>
          <cell r="AD2213">
            <v>0</v>
          </cell>
          <cell r="AJ2213">
            <v>0</v>
          </cell>
          <cell r="AK2213">
            <v>0</v>
          </cell>
        </row>
        <row r="2214">
          <cell r="B2214" t="str">
            <v/>
          </cell>
          <cell r="H2214" t="str">
            <v/>
          </cell>
          <cell r="J2214" t="str">
            <v/>
          </cell>
          <cell r="N2214" t="str">
            <v/>
          </cell>
          <cell r="O2214" t="str">
            <v/>
          </cell>
          <cell r="P2214" t="str">
            <v/>
          </cell>
          <cell r="Q2214" t="str">
            <v/>
          </cell>
          <cell r="T2214" t="str">
            <v/>
          </cell>
          <cell r="U2214" t="str">
            <v/>
          </cell>
          <cell r="W2214" t="str">
            <v/>
          </cell>
          <cell r="X2214" t="str">
            <v/>
          </cell>
          <cell r="AB2214">
            <v>0</v>
          </cell>
          <cell r="AC2214">
            <v>0</v>
          </cell>
          <cell r="AD2214">
            <v>0</v>
          </cell>
          <cell r="AJ2214">
            <v>0</v>
          </cell>
          <cell r="AK2214">
            <v>0</v>
          </cell>
        </row>
        <row r="2215">
          <cell r="B2215" t="str">
            <v/>
          </cell>
          <cell r="H2215" t="str">
            <v/>
          </cell>
          <cell r="J2215" t="str">
            <v/>
          </cell>
          <cell r="N2215" t="str">
            <v/>
          </cell>
          <cell r="O2215" t="str">
            <v/>
          </cell>
          <cell r="P2215" t="str">
            <v/>
          </cell>
          <cell r="Q2215" t="str">
            <v/>
          </cell>
          <cell r="T2215" t="str">
            <v/>
          </cell>
          <cell r="U2215" t="str">
            <v/>
          </cell>
          <cell r="W2215" t="str">
            <v/>
          </cell>
          <cell r="X2215" t="str">
            <v/>
          </cell>
          <cell r="AB2215">
            <v>0</v>
          </cell>
          <cell r="AC2215">
            <v>0</v>
          </cell>
          <cell r="AD2215">
            <v>0</v>
          </cell>
          <cell r="AJ2215">
            <v>0</v>
          </cell>
          <cell r="AK2215">
            <v>0</v>
          </cell>
        </row>
        <row r="2216">
          <cell r="B2216" t="str">
            <v/>
          </cell>
          <cell r="H2216" t="str">
            <v/>
          </cell>
          <cell r="J2216" t="str">
            <v/>
          </cell>
          <cell r="N2216" t="str">
            <v/>
          </cell>
          <cell r="O2216" t="str">
            <v/>
          </cell>
          <cell r="P2216" t="str">
            <v/>
          </cell>
          <cell r="Q2216" t="str">
            <v/>
          </cell>
          <cell r="T2216" t="str">
            <v/>
          </cell>
          <cell r="U2216" t="str">
            <v/>
          </cell>
          <cell r="W2216" t="str">
            <v/>
          </cell>
          <cell r="X2216" t="str">
            <v/>
          </cell>
          <cell r="AB2216">
            <v>0</v>
          </cell>
          <cell r="AC2216">
            <v>0</v>
          </cell>
          <cell r="AD2216">
            <v>0</v>
          </cell>
          <cell r="AJ2216">
            <v>0</v>
          </cell>
          <cell r="AK2216">
            <v>0</v>
          </cell>
        </row>
        <row r="2217">
          <cell r="B2217" t="str">
            <v/>
          </cell>
          <cell r="H2217" t="str">
            <v/>
          </cell>
          <cell r="J2217" t="str">
            <v/>
          </cell>
          <cell r="N2217" t="str">
            <v/>
          </cell>
          <cell r="O2217" t="str">
            <v/>
          </cell>
          <cell r="P2217" t="str">
            <v/>
          </cell>
          <cell r="Q2217" t="str">
            <v/>
          </cell>
          <cell r="T2217" t="str">
            <v/>
          </cell>
          <cell r="U2217" t="str">
            <v/>
          </cell>
          <cell r="W2217" t="str">
            <v/>
          </cell>
          <cell r="X2217" t="str">
            <v/>
          </cell>
          <cell r="AB2217">
            <v>0</v>
          </cell>
          <cell r="AC2217">
            <v>0</v>
          </cell>
          <cell r="AD2217">
            <v>0</v>
          </cell>
          <cell r="AJ2217">
            <v>0</v>
          </cell>
          <cell r="AK2217">
            <v>0</v>
          </cell>
        </row>
        <row r="2218">
          <cell r="B2218" t="str">
            <v/>
          </cell>
          <cell r="H2218" t="str">
            <v/>
          </cell>
          <cell r="J2218" t="str">
            <v/>
          </cell>
          <cell r="N2218" t="str">
            <v/>
          </cell>
          <cell r="O2218" t="str">
            <v/>
          </cell>
          <cell r="P2218" t="str">
            <v/>
          </cell>
          <cell r="Q2218" t="str">
            <v/>
          </cell>
          <cell r="T2218" t="str">
            <v/>
          </cell>
          <cell r="U2218" t="str">
            <v/>
          </cell>
          <cell r="W2218" t="str">
            <v/>
          </cell>
          <cell r="X2218" t="str">
            <v/>
          </cell>
          <cell r="AB2218">
            <v>0</v>
          </cell>
          <cell r="AC2218">
            <v>0</v>
          </cell>
          <cell r="AD2218">
            <v>0</v>
          </cell>
          <cell r="AJ2218">
            <v>0</v>
          </cell>
          <cell r="AK2218">
            <v>0</v>
          </cell>
        </row>
        <row r="2219">
          <cell r="B2219" t="str">
            <v/>
          </cell>
          <cell r="H2219" t="str">
            <v/>
          </cell>
          <cell r="J2219" t="str">
            <v/>
          </cell>
          <cell r="N2219" t="str">
            <v/>
          </cell>
          <cell r="O2219" t="str">
            <v/>
          </cell>
          <cell r="P2219" t="str">
            <v/>
          </cell>
          <cell r="Q2219" t="str">
            <v/>
          </cell>
          <cell r="T2219" t="str">
            <v/>
          </cell>
          <cell r="U2219" t="str">
            <v/>
          </cell>
          <cell r="W2219" t="str">
            <v/>
          </cell>
          <cell r="X2219" t="str">
            <v/>
          </cell>
          <cell r="AB2219">
            <v>0</v>
          </cell>
          <cell r="AC2219">
            <v>0</v>
          </cell>
          <cell r="AD2219">
            <v>0</v>
          </cell>
          <cell r="AJ2219">
            <v>0</v>
          </cell>
          <cell r="AK2219">
            <v>0</v>
          </cell>
        </row>
        <row r="2220">
          <cell r="B2220" t="str">
            <v/>
          </cell>
          <cell r="H2220" t="str">
            <v/>
          </cell>
          <cell r="J2220" t="str">
            <v/>
          </cell>
          <cell r="N2220" t="str">
            <v/>
          </cell>
          <cell r="O2220" t="str">
            <v/>
          </cell>
          <cell r="P2220" t="str">
            <v/>
          </cell>
          <cell r="Q2220" t="str">
            <v/>
          </cell>
          <cell r="T2220" t="str">
            <v/>
          </cell>
          <cell r="U2220" t="str">
            <v/>
          </cell>
          <cell r="W2220" t="str">
            <v/>
          </cell>
          <cell r="X2220" t="str">
            <v/>
          </cell>
          <cell r="AB2220">
            <v>0</v>
          </cell>
          <cell r="AC2220">
            <v>0</v>
          </cell>
          <cell r="AD2220">
            <v>0</v>
          </cell>
          <cell r="AJ2220">
            <v>0</v>
          </cell>
          <cell r="AK2220">
            <v>0</v>
          </cell>
        </row>
        <row r="2221">
          <cell r="B2221" t="str">
            <v/>
          </cell>
          <cell r="H2221" t="str">
            <v/>
          </cell>
          <cell r="J2221" t="str">
            <v/>
          </cell>
          <cell r="N2221" t="str">
            <v/>
          </cell>
          <cell r="O2221" t="str">
            <v/>
          </cell>
          <cell r="P2221" t="str">
            <v/>
          </cell>
          <cell r="Q2221" t="str">
            <v/>
          </cell>
          <cell r="T2221" t="str">
            <v/>
          </cell>
          <cell r="U2221" t="str">
            <v/>
          </cell>
          <cell r="W2221" t="str">
            <v/>
          </cell>
          <cell r="X2221" t="str">
            <v/>
          </cell>
          <cell r="AB2221">
            <v>0</v>
          </cell>
          <cell r="AC2221">
            <v>0</v>
          </cell>
          <cell r="AD2221">
            <v>0</v>
          </cell>
          <cell r="AJ2221">
            <v>0</v>
          </cell>
          <cell r="AK2221">
            <v>0</v>
          </cell>
        </row>
        <row r="2222">
          <cell r="B2222" t="str">
            <v/>
          </cell>
          <cell r="H2222" t="str">
            <v/>
          </cell>
          <cell r="J2222" t="str">
            <v/>
          </cell>
          <cell r="N2222" t="str">
            <v/>
          </cell>
          <cell r="O2222" t="str">
            <v/>
          </cell>
          <cell r="P2222" t="str">
            <v/>
          </cell>
          <cell r="Q2222" t="str">
            <v/>
          </cell>
          <cell r="T2222" t="str">
            <v/>
          </cell>
          <cell r="U2222" t="str">
            <v/>
          </cell>
          <cell r="W2222" t="str">
            <v/>
          </cell>
          <cell r="X2222" t="str">
            <v/>
          </cell>
          <cell r="AB2222">
            <v>0</v>
          </cell>
          <cell r="AC2222">
            <v>0</v>
          </cell>
          <cell r="AD2222">
            <v>0</v>
          </cell>
          <cell r="AJ2222">
            <v>0</v>
          </cell>
          <cell r="AK2222">
            <v>0</v>
          </cell>
        </row>
        <row r="2223">
          <cell r="B2223" t="str">
            <v/>
          </cell>
          <cell r="H2223" t="str">
            <v/>
          </cell>
          <cell r="J2223" t="str">
            <v/>
          </cell>
          <cell r="N2223" t="str">
            <v/>
          </cell>
          <cell r="O2223" t="str">
            <v/>
          </cell>
          <cell r="P2223" t="str">
            <v/>
          </cell>
          <cell r="Q2223" t="str">
            <v/>
          </cell>
          <cell r="T2223" t="str">
            <v/>
          </cell>
          <cell r="U2223" t="str">
            <v/>
          </cell>
          <cell r="W2223" t="str">
            <v/>
          </cell>
          <cell r="X2223" t="str">
            <v/>
          </cell>
          <cell r="AB2223">
            <v>0</v>
          </cell>
          <cell r="AC2223">
            <v>0</v>
          </cell>
          <cell r="AD2223">
            <v>0</v>
          </cell>
          <cell r="AJ2223">
            <v>0</v>
          </cell>
          <cell r="AK2223">
            <v>0</v>
          </cell>
        </row>
        <row r="2224">
          <cell r="B2224" t="str">
            <v/>
          </cell>
          <cell r="H2224" t="str">
            <v/>
          </cell>
          <cell r="J2224" t="str">
            <v/>
          </cell>
          <cell r="N2224" t="str">
            <v/>
          </cell>
          <cell r="O2224" t="str">
            <v/>
          </cell>
          <cell r="P2224" t="str">
            <v/>
          </cell>
          <cell r="Q2224" t="str">
            <v/>
          </cell>
          <cell r="T2224" t="str">
            <v/>
          </cell>
          <cell r="U2224" t="str">
            <v/>
          </cell>
          <cell r="W2224" t="str">
            <v/>
          </cell>
          <cell r="X2224" t="str">
            <v/>
          </cell>
          <cell r="AB2224">
            <v>0</v>
          </cell>
          <cell r="AC2224">
            <v>0</v>
          </cell>
          <cell r="AD2224">
            <v>0</v>
          </cell>
          <cell r="AJ2224">
            <v>0</v>
          </cell>
          <cell r="AK2224">
            <v>0</v>
          </cell>
        </row>
        <row r="2225">
          <cell r="B2225" t="str">
            <v/>
          </cell>
          <cell r="H2225" t="str">
            <v/>
          </cell>
          <cell r="J2225" t="str">
            <v/>
          </cell>
          <cell r="N2225" t="str">
            <v/>
          </cell>
          <cell r="O2225" t="str">
            <v/>
          </cell>
          <cell r="P2225" t="str">
            <v/>
          </cell>
          <cell r="Q2225" t="str">
            <v/>
          </cell>
          <cell r="T2225" t="str">
            <v/>
          </cell>
          <cell r="U2225" t="str">
            <v/>
          </cell>
          <cell r="W2225" t="str">
            <v/>
          </cell>
          <cell r="X2225" t="str">
            <v/>
          </cell>
          <cell r="AB2225">
            <v>0</v>
          </cell>
          <cell r="AC2225">
            <v>0</v>
          </cell>
          <cell r="AD2225">
            <v>0</v>
          </cell>
          <cell r="AJ2225">
            <v>0</v>
          </cell>
          <cell r="AK2225">
            <v>0</v>
          </cell>
        </row>
        <row r="2226">
          <cell r="B2226" t="str">
            <v/>
          </cell>
          <cell r="H2226" t="str">
            <v/>
          </cell>
          <cell r="J2226" t="str">
            <v/>
          </cell>
          <cell r="N2226" t="str">
            <v/>
          </cell>
          <cell r="O2226" t="str">
            <v/>
          </cell>
          <cell r="P2226" t="str">
            <v/>
          </cell>
          <cell r="Q2226" t="str">
            <v/>
          </cell>
          <cell r="T2226" t="str">
            <v/>
          </cell>
          <cell r="U2226" t="str">
            <v/>
          </cell>
          <cell r="W2226" t="str">
            <v/>
          </cell>
          <cell r="X2226" t="str">
            <v/>
          </cell>
          <cell r="AB2226">
            <v>0</v>
          </cell>
          <cell r="AC2226">
            <v>0</v>
          </cell>
          <cell r="AD2226">
            <v>0</v>
          </cell>
          <cell r="AJ2226">
            <v>0</v>
          </cell>
          <cell r="AK2226">
            <v>0</v>
          </cell>
        </row>
        <row r="2227">
          <cell r="B2227" t="str">
            <v/>
          </cell>
          <cell r="H2227" t="str">
            <v/>
          </cell>
          <cell r="J2227" t="str">
            <v/>
          </cell>
          <cell r="N2227" t="str">
            <v/>
          </cell>
          <cell r="O2227" t="str">
            <v/>
          </cell>
          <cell r="P2227" t="str">
            <v/>
          </cell>
          <cell r="Q2227" t="str">
            <v/>
          </cell>
          <cell r="T2227" t="str">
            <v/>
          </cell>
          <cell r="U2227" t="str">
            <v/>
          </cell>
          <cell r="W2227" t="str">
            <v/>
          </cell>
          <cell r="X2227" t="str">
            <v/>
          </cell>
          <cell r="AB2227">
            <v>0</v>
          </cell>
          <cell r="AC2227">
            <v>0</v>
          </cell>
          <cell r="AD2227">
            <v>0</v>
          </cell>
          <cell r="AJ2227">
            <v>0</v>
          </cell>
          <cell r="AK2227">
            <v>0</v>
          </cell>
        </row>
        <row r="2228">
          <cell r="B2228" t="str">
            <v/>
          </cell>
          <cell r="H2228" t="str">
            <v/>
          </cell>
          <cell r="J2228" t="str">
            <v/>
          </cell>
          <cell r="N2228" t="str">
            <v/>
          </cell>
          <cell r="O2228" t="str">
            <v/>
          </cell>
          <cell r="P2228" t="str">
            <v/>
          </cell>
          <cell r="Q2228" t="str">
            <v/>
          </cell>
          <cell r="T2228" t="str">
            <v/>
          </cell>
          <cell r="U2228" t="str">
            <v/>
          </cell>
          <cell r="W2228" t="str">
            <v/>
          </cell>
          <cell r="X2228" t="str">
            <v/>
          </cell>
          <cell r="AB2228">
            <v>0</v>
          </cell>
          <cell r="AC2228">
            <v>0</v>
          </cell>
          <cell r="AD2228">
            <v>0</v>
          </cell>
          <cell r="AJ2228">
            <v>0</v>
          </cell>
          <cell r="AK2228">
            <v>0</v>
          </cell>
        </row>
        <row r="2229">
          <cell r="B2229" t="str">
            <v/>
          </cell>
          <cell r="H2229" t="str">
            <v/>
          </cell>
          <cell r="J2229" t="str">
            <v/>
          </cell>
          <cell r="N2229" t="str">
            <v/>
          </cell>
          <cell r="O2229" t="str">
            <v/>
          </cell>
          <cell r="P2229" t="str">
            <v/>
          </cell>
          <cell r="Q2229" t="str">
            <v/>
          </cell>
          <cell r="T2229" t="str">
            <v/>
          </cell>
          <cell r="U2229" t="str">
            <v/>
          </cell>
          <cell r="W2229" t="str">
            <v/>
          </cell>
          <cell r="X2229" t="str">
            <v/>
          </cell>
          <cell r="AB2229">
            <v>0</v>
          </cell>
          <cell r="AC2229">
            <v>0</v>
          </cell>
          <cell r="AD2229">
            <v>0</v>
          </cell>
          <cell r="AJ2229">
            <v>0</v>
          </cell>
          <cell r="AK2229">
            <v>0</v>
          </cell>
        </row>
        <row r="2230">
          <cell r="B2230" t="str">
            <v/>
          </cell>
          <cell r="H2230" t="str">
            <v/>
          </cell>
          <cell r="J2230" t="str">
            <v/>
          </cell>
          <cell r="N2230" t="str">
            <v/>
          </cell>
          <cell r="O2230" t="str">
            <v/>
          </cell>
          <cell r="P2230" t="str">
            <v/>
          </cell>
          <cell r="Q2230" t="str">
            <v/>
          </cell>
          <cell r="T2230" t="str">
            <v/>
          </cell>
          <cell r="U2230" t="str">
            <v/>
          </cell>
          <cell r="W2230" t="str">
            <v/>
          </cell>
          <cell r="X2230" t="str">
            <v/>
          </cell>
          <cell r="AB2230">
            <v>0</v>
          </cell>
          <cell r="AC2230">
            <v>0</v>
          </cell>
          <cell r="AD2230">
            <v>0</v>
          </cell>
          <cell r="AJ2230">
            <v>0</v>
          </cell>
          <cell r="AK2230">
            <v>0</v>
          </cell>
        </row>
        <row r="2231">
          <cell r="B2231" t="str">
            <v/>
          </cell>
          <cell r="H2231" t="str">
            <v/>
          </cell>
          <cell r="J2231" t="str">
            <v/>
          </cell>
          <cell r="N2231" t="str">
            <v/>
          </cell>
          <cell r="O2231" t="str">
            <v/>
          </cell>
          <cell r="P2231" t="str">
            <v/>
          </cell>
          <cell r="Q2231" t="str">
            <v/>
          </cell>
          <cell r="T2231" t="str">
            <v/>
          </cell>
          <cell r="U2231" t="str">
            <v/>
          </cell>
          <cell r="W2231" t="str">
            <v/>
          </cell>
          <cell r="X2231" t="str">
            <v/>
          </cell>
          <cell r="AB2231">
            <v>0</v>
          </cell>
          <cell r="AC2231">
            <v>0</v>
          </cell>
          <cell r="AD2231">
            <v>0</v>
          </cell>
          <cell r="AJ2231">
            <v>0</v>
          </cell>
          <cell r="AK2231">
            <v>0</v>
          </cell>
        </row>
        <row r="2232">
          <cell r="B2232" t="str">
            <v/>
          </cell>
          <cell r="H2232" t="str">
            <v/>
          </cell>
          <cell r="J2232" t="str">
            <v/>
          </cell>
          <cell r="N2232" t="str">
            <v/>
          </cell>
          <cell r="O2232" t="str">
            <v/>
          </cell>
          <cell r="P2232" t="str">
            <v/>
          </cell>
          <cell r="Q2232" t="str">
            <v/>
          </cell>
          <cell r="T2232" t="str">
            <v/>
          </cell>
          <cell r="U2232" t="str">
            <v/>
          </cell>
          <cell r="W2232" t="str">
            <v/>
          </cell>
          <cell r="X2232" t="str">
            <v/>
          </cell>
          <cell r="AB2232">
            <v>0</v>
          </cell>
          <cell r="AC2232">
            <v>0</v>
          </cell>
          <cell r="AD2232">
            <v>0</v>
          </cell>
          <cell r="AJ2232">
            <v>0</v>
          </cell>
          <cell r="AK2232">
            <v>0</v>
          </cell>
        </row>
        <row r="2233">
          <cell r="B2233" t="str">
            <v/>
          </cell>
          <cell r="H2233" t="str">
            <v/>
          </cell>
          <cell r="J2233" t="str">
            <v/>
          </cell>
          <cell r="N2233" t="str">
            <v/>
          </cell>
          <cell r="O2233" t="str">
            <v/>
          </cell>
          <cell r="P2233" t="str">
            <v/>
          </cell>
          <cell r="Q2233" t="str">
            <v/>
          </cell>
          <cell r="T2233" t="str">
            <v/>
          </cell>
          <cell r="U2233" t="str">
            <v/>
          </cell>
          <cell r="W2233" t="str">
            <v/>
          </cell>
          <cell r="X2233" t="str">
            <v/>
          </cell>
          <cell r="AB2233">
            <v>0</v>
          </cell>
          <cell r="AC2233">
            <v>0</v>
          </cell>
          <cell r="AD2233">
            <v>0</v>
          </cell>
          <cell r="AJ2233">
            <v>0</v>
          </cell>
          <cell r="AK2233">
            <v>0</v>
          </cell>
        </row>
        <row r="2234">
          <cell r="B2234" t="str">
            <v/>
          </cell>
          <cell r="H2234" t="str">
            <v/>
          </cell>
          <cell r="J2234" t="str">
            <v/>
          </cell>
          <cell r="N2234" t="str">
            <v/>
          </cell>
          <cell r="O2234" t="str">
            <v/>
          </cell>
          <cell r="P2234" t="str">
            <v/>
          </cell>
          <cell r="Q2234" t="str">
            <v/>
          </cell>
          <cell r="T2234" t="str">
            <v/>
          </cell>
          <cell r="U2234" t="str">
            <v/>
          </cell>
          <cell r="W2234" t="str">
            <v/>
          </cell>
          <cell r="X2234" t="str">
            <v/>
          </cell>
          <cell r="AB2234">
            <v>0</v>
          </cell>
          <cell r="AC2234">
            <v>0</v>
          </cell>
          <cell r="AD2234">
            <v>0</v>
          </cell>
          <cell r="AJ2234">
            <v>0</v>
          </cell>
          <cell r="AK2234">
            <v>0</v>
          </cell>
        </row>
        <row r="2235">
          <cell r="B2235" t="str">
            <v/>
          </cell>
          <cell r="H2235" t="str">
            <v/>
          </cell>
          <cell r="J2235" t="str">
            <v/>
          </cell>
          <cell r="N2235" t="str">
            <v/>
          </cell>
          <cell r="O2235" t="str">
            <v/>
          </cell>
          <cell r="P2235" t="str">
            <v/>
          </cell>
          <cell r="Q2235" t="str">
            <v/>
          </cell>
          <cell r="T2235" t="str">
            <v/>
          </cell>
          <cell r="U2235" t="str">
            <v/>
          </cell>
          <cell r="W2235" t="str">
            <v/>
          </cell>
          <cell r="X2235" t="str">
            <v/>
          </cell>
          <cell r="AB2235">
            <v>0</v>
          </cell>
          <cell r="AC2235">
            <v>0</v>
          </cell>
          <cell r="AD2235">
            <v>0</v>
          </cell>
          <cell r="AJ2235">
            <v>0</v>
          </cell>
          <cell r="AK2235">
            <v>0</v>
          </cell>
        </row>
        <row r="2236">
          <cell r="B2236" t="str">
            <v/>
          </cell>
          <cell r="H2236" t="str">
            <v/>
          </cell>
          <cell r="J2236" t="str">
            <v/>
          </cell>
          <cell r="N2236" t="str">
            <v/>
          </cell>
          <cell r="O2236" t="str">
            <v/>
          </cell>
          <cell r="P2236" t="str">
            <v/>
          </cell>
          <cell r="Q2236" t="str">
            <v/>
          </cell>
          <cell r="T2236" t="str">
            <v/>
          </cell>
          <cell r="U2236" t="str">
            <v/>
          </cell>
          <cell r="W2236" t="str">
            <v/>
          </cell>
          <cell r="X2236" t="str">
            <v/>
          </cell>
          <cell r="AB2236">
            <v>0</v>
          </cell>
          <cell r="AC2236">
            <v>0</v>
          </cell>
          <cell r="AD2236">
            <v>0</v>
          </cell>
          <cell r="AJ2236">
            <v>0</v>
          </cell>
          <cell r="AK2236">
            <v>0</v>
          </cell>
        </row>
        <row r="2237">
          <cell r="B2237" t="str">
            <v/>
          </cell>
          <cell r="H2237" t="str">
            <v/>
          </cell>
          <cell r="J2237" t="str">
            <v/>
          </cell>
          <cell r="N2237" t="str">
            <v/>
          </cell>
          <cell r="O2237" t="str">
            <v/>
          </cell>
          <cell r="P2237" t="str">
            <v/>
          </cell>
          <cell r="Q2237" t="str">
            <v/>
          </cell>
          <cell r="T2237" t="str">
            <v/>
          </cell>
          <cell r="U2237" t="str">
            <v/>
          </cell>
          <cell r="W2237" t="str">
            <v/>
          </cell>
          <cell r="X2237" t="str">
            <v/>
          </cell>
          <cell r="AB2237">
            <v>0</v>
          </cell>
          <cell r="AC2237">
            <v>0</v>
          </cell>
          <cell r="AD2237">
            <v>0</v>
          </cell>
          <cell r="AJ2237">
            <v>0</v>
          </cell>
          <cell r="AK2237">
            <v>0</v>
          </cell>
        </row>
        <row r="2238">
          <cell r="B2238" t="str">
            <v/>
          </cell>
          <cell r="H2238" t="str">
            <v/>
          </cell>
          <cell r="J2238" t="str">
            <v/>
          </cell>
          <cell r="N2238" t="str">
            <v/>
          </cell>
          <cell r="O2238" t="str">
            <v/>
          </cell>
          <cell r="P2238" t="str">
            <v/>
          </cell>
          <cell r="Q2238" t="str">
            <v/>
          </cell>
          <cell r="T2238" t="str">
            <v/>
          </cell>
          <cell r="U2238" t="str">
            <v/>
          </cell>
          <cell r="W2238" t="str">
            <v/>
          </cell>
          <cell r="X2238" t="str">
            <v/>
          </cell>
          <cell r="AB2238">
            <v>0</v>
          </cell>
          <cell r="AC2238">
            <v>0</v>
          </cell>
          <cell r="AD2238">
            <v>0</v>
          </cell>
          <cell r="AJ2238">
            <v>0</v>
          </cell>
          <cell r="AK2238">
            <v>0</v>
          </cell>
        </row>
        <row r="2239">
          <cell r="B2239" t="str">
            <v/>
          </cell>
          <cell r="H2239" t="str">
            <v/>
          </cell>
          <cell r="J2239" t="str">
            <v/>
          </cell>
          <cell r="N2239" t="str">
            <v/>
          </cell>
          <cell r="O2239" t="str">
            <v/>
          </cell>
          <cell r="P2239" t="str">
            <v/>
          </cell>
          <cell r="Q2239" t="str">
            <v/>
          </cell>
          <cell r="T2239" t="str">
            <v/>
          </cell>
          <cell r="U2239" t="str">
            <v/>
          </cell>
          <cell r="W2239" t="str">
            <v/>
          </cell>
          <cell r="X2239" t="str">
            <v/>
          </cell>
          <cell r="AB2239">
            <v>0</v>
          </cell>
          <cell r="AC2239">
            <v>0</v>
          </cell>
          <cell r="AD2239">
            <v>0</v>
          </cell>
          <cell r="AJ2239">
            <v>0</v>
          </cell>
          <cell r="AK2239">
            <v>0</v>
          </cell>
        </row>
        <row r="2240">
          <cell r="B2240" t="str">
            <v/>
          </cell>
          <cell r="H2240" t="str">
            <v/>
          </cell>
          <cell r="J2240" t="str">
            <v/>
          </cell>
          <cell r="N2240" t="str">
            <v/>
          </cell>
          <cell r="O2240" t="str">
            <v/>
          </cell>
          <cell r="P2240" t="str">
            <v/>
          </cell>
          <cell r="Q2240" t="str">
            <v/>
          </cell>
          <cell r="T2240" t="str">
            <v/>
          </cell>
          <cell r="U2240" t="str">
            <v/>
          </cell>
          <cell r="W2240" t="str">
            <v/>
          </cell>
          <cell r="X2240" t="str">
            <v/>
          </cell>
          <cell r="AB2240">
            <v>0</v>
          </cell>
          <cell r="AC2240">
            <v>0</v>
          </cell>
          <cell r="AD2240">
            <v>0</v>
          </cell>
          <cell r="AJ2240">
            <v>0</v>
          </cell>
          <cell r="AK2240">
            <v>0</v>
          </cell>
        </row>
        <row r="2241">
          <cell r="B2241" t="str">
            <v/>
          </cell>
          <cell r="H2241" t="str">
            <v/>
          </cell>
          <cell r="J2241" t="str">
            <v/>
          </cell>
          <cell r="N2241" t="str">
            <v/>
          </cell>
          <cell r="O2241" t="str">
            <v/>
          </cell>
          <cell r="P2241" t="str">
            <v/>
          </cell>
          <cell r="Q2241" t="str">
            <v/>
          </cell>
          <cell r="T2241" t="str">
            <v/>
          </cell>
          <cell r="U2241" t="str">
            <v/>
          </cell>
          <cell r="W2241" t="str">
            <v/>
          </cell>
          <cell r="X2241" t="str">
            <v/>
          </cell>
          <cell r="AB2241">
            <v>0</v>
          </cell>
          <cell r="AC2241">
            <v>0</v>
          </cell>
          <cell r="AD2241">
            <v>0</v>
          </cell>
          <cell r="AJ2241">
            <v>0</v>
          </cell>
          <cell r="AK2241">
            <v>0</v>
          </cell>
        </row>
        <row r="2242">
          <cell r="B2242" t="str">
            <v/>
          </cell>
          <cell r="H2242" t="str">
            <v/>
          </cell>
          <cell r="J2242" t="str">
            <v/>
          </cell>
          <cell r="N2242" t="str">
            <v/>
          </cell>
          <cell r="O2242" t="str">
            <v/>
          </cell>
          <cell r="P2242" t="str">
            <v/>
          </cell>
          <cell r="Q2242" t="str">
            <v/>
          </cell>
          <cell r="T2242" t="str">
            <v/>
          </cell>
          <cell r="U2242" t="str">
            <v/>
          </cell>
          <cell r="W2242" t="str">
            <v/>
          </cell>
          <cell r="X2242" t="str">
            <v/>
          </cell>
          <cell r="AB2242">
            <v>0</v>
          </cell>
          <cell r="AC2242">
            <v>0</v>
          </cell>
          <cell r="AD2242">
            <v>0</v>
          </cell>
          <cell r="AJ2242">
            <v>0</v>
          </cell>
          <cell r="AK2242">
            <v>0</v>
          </cell>
        </row>
        <row r="2243">
          <cell r="B2243" t="str">
            <v/>
          </cell>
          <cell r="H2243" t="str">
            <v/>
          </cell>
          <cell r="J2243" t="str">
            <v/>
          </cell>
          <cell r="N2243" t="str">
            <v/>
          </cell>
          <cell r="O2243" t="str">
            <v/>
          </cell>
          <cell r="P2243" t="str">
            <v/>
          </cell>
          <cell r="Q2243" t="str">
            <v/>
          </cell>
          <cell r="T2243" t="str">
            <v/>
          </cell>
          <cell r="U2243" t="str">
            <v/>
          </cell>
          <cell r="W2243" t="str">
            <v/>
          </cell>
          <cell r="X2243" t="str">
            <v/>
          </cell>
          <cell r="AB2243">
            <v>0</v>
          </cell>
          <cell r="AC2243">
            <v>0</v>
          </cell>
          <cell r="AD2243">
            <v>0</v>
          </cell>
          <cell r="AJ2243">
            <v>0</v>
          </cell>
          <cell r="AK2243">
            <v>0</v>
          </cell>
        </row>
        <row r="2244">
          <cell r="B2244" t="str">
            <v/>
          </cell>
          <cell r="H2244" t="str">
            <v/>
          </cell>
          <cell r="J2244" t="str">
            <v/>
          </cell>
          <cell r="N2244" t="str">
            <v/>
          </cell>
          <cell r="O2244" t="str">
            <v/>
          </cell>
          <cell r="P2244" t="str">
            <v/>
          </cell>
          <cell r="Q2244" t="str">
            <v/>
          </cell>
          <cell r="T2244" t="str">
            <v/>
          </cell>
          <cell r="U2244" t="str">
            <v/>
          </cell>
          <cell r="W2244" t="str">
            <v/>
          </cell>
          <cell r="X2244" t="str">
            <v/>
          </cell>
          <cell r="AB2244">
            <v>0</v>
          </cell>
          <cell r="AC2244">
            <v>0</v>
          </cell>
          <cell r="AD2244">
            <v>0</v>
          </cell>
          <cell r="AJ2244">
            <v>0</v>
          </cell>
          <cell r="AK2244">
            <v>0</v>
          </cell>
        </row>
        <row r="2245">
          <cell r="B2245" t="str">
            <v/>
          </cell>
          <cell r="H2245" t="str">
            <v/>
          </cell>
          <cell r="J2245" t="str">
            <v/>
          </cell>
          <cell r="N2245" t="str">
            <v/>
          </cell>
          <cell r="O2245" t="str">
            <v/>
          </cell>
          <cell r="P2245" t="str">
            <v/>
          </cell>
          <cell r="Q2245" t="str">
            <v/>
          </cell>
          <cell r="T2245" t="str">
            <v/>
          </cell>
          <cell r="U2245" t="str">
            <v/>
          </cell>
          <cell r="W2245" t="str">
            <v/>
          </cell>
          <cell r="X2245" t="str">
            <v/>
          </cell>
          <cell r="AB2245">
            <v>0</v>
          </cell>
          <cell r="AC2245">
            <v>0</v>
          </cell>
          <cell r="AD2245">
            <v>0</v>
          </cell>
          <cell r="AJ2245">
            <v>0</v>
          </cell>
          <cell r="AK2245">
            <v>0</v>
          </cell>
        </row>
        <row r="2246">
          <cell r="B2246" t="str">
            <v/>
          </cell>
          <cell r="H2246" t="str">
            <v/>
          </cell>
          <cell r="J2246" t="str">
            <v/>
          </cell>
          <cell r="N2246" t="str">
            <v/>
          </cell>
          <cell r="O2246" t="str">
            <v/>
          </cell>
          <cell r="P2246" t="str">
            <v/>
          </cell>
          <cell r="Q2246" t="str">
            <v/>
          </cell>
          <cell r="T2246" t="str">
            <v/>
          </cell>
          <cell r="U2246" t="str">
            <v/>
          </cell>
          <cell r="W2246" t="str">
            <v/>
          </cell>
          <cell r="X2246" t="str">
            <v/>
          </cell>
          <cell r="AB2246">
            <v>0</v>
          </cell>
          <cell r="AC2246">
            <v>0</v>
          </cell>
          <cell r="AD2246">
            <v>0</v>
          </cell>
          <cell r="AJ2246">
            <v>0</v>
          </cell>
          <cell r="AK2246">
            <v>0</v>
          </cell>
        </row>
        <row r="2247">
          <cell r="B2247" t="str">
            <v/>
          </cell>
          <cell r="H2247" t="str">
            <v/>
          </cell>
          <cell r="J2247" t="str">
            <v/>
          </cell>
          <cell r="N2247" t="str">
            <v/>
          </cell>
          <cell r="O2247" t="str">
            <v/>
          </cell>
          <cell r="P2247" t="str">
            <v/>
          </cell>
          <cell r="Q2247" t="str">
            <v/>
          </cell>
          <cell r="T2247" t="str">
            <v/>
          </cell>
          <cell r="U2247" t="str">
            <v/>
          </cell>
          <cell r="W2247" t="str">
            <v/>
          </cell>
          <cell r="X2247" t="str">
            <v/>
          </cell>
          <cell r="AB2247">
            <v>0</v>
          </cell>
          <cell r="AC2247">
            <v>0</v>
          </cell>
          <cell r="AD2247">
            <v>0</v>
          </cell>
          <cell r="AJ2247">
            <v>0</v>
          </cell>
          <cell r="AK2247">
            <v>0</v>
          </cell>
        </row>
        <row r="2248">
          <cell r="B2248" t="str">
            <v/>
          </cell>
          <cell r="H2248" t="str">
            <v/>
          </cell>
          <cell r="J2248" t="str">
            <v/>
          </cell>
          <cell r="N2248" t="str">
            <v/>
          </cell>
          <cell r="O2248" t="str">
            <v/>
          </cell>
          <cell r="P2248" t="str">
            <v/>
          </cell>
          <cell r="Q2248" t="str">
            <v/>
          </cell>
          <cell r="T2248" t="str">
            <v/>
          </cell>
          <cell r="U2248" t="str">
            <v/>
          </cell>
          <cell r="W2248" t="str">
            <v/>
          </cell>
          <cell r="X2248" t="str">
            <v/>
          </cell>
          <cell r="AB2248">
            <v>0</v>
          </cell>
          <cell r="AC2248">
            <v>0</v>
          </cell>
          <cell r="AD2248">
            <v>0</v>
          </cell>
          <cell r="AJ2248">
            <v>0</v>
          </cell>
          <cell r="AK2248">
            <v>0</v>
          </cell>
        </row>
        <row r="2249">
          <cell r="B2249" t="str">
            <v/>
          </cell>
          <cell r="H2249" t="str">
            <v/>
          </cell>
          <cell r="J2249" t="str">
            <v/>
          </cell>
          <cell r="N2249" t="str">
            <v/>
          </cell>
          <cell r="O2249" t="str">
            <v/>
          </cell>
          <cell r="P2249" t="str">
            <v/>
          </cell>
          <cell r="Q2249" t="str">
            <v/>
          </cell>
          <cell r="T2249" t="str">
            <v/>
          </cell>
          <cell r="U2249" t="str">
            <v/>
          </cell>
          <cell r="W2249" t="str">
            <v/>
          </cell>
          <cell r="X2249" t="str">
            <v/>
          </cell>
          <cell r="AB2249">
            <v>0</v>
          </cell>
          <cell r="AC2249">
            <v>0</v>
          </cell>
          <cell r="AD2249">
            <v>0</v>
          </cell>
          <cell r="AJ2249">
            <v>0</v>
          </cell>
          <cell r="AK2249">
            <v>0</v>
          </cell>
        </row>
        <row r="2250">
          <cell r="B2250" t="str">
            <v/>
          </cell>
          <cell r="H2250" t="str">
            <v/>
          </cell>
          <cell r="J2250" t="str">
            <v/>
          </cell>
          <cell r="N2250" t="str">
            <v/>
          </cell>
          <cell r="O2250" t="str">
            <v/>
          </cell>
          <cell r="P2250" t="str">
            <v/>
          </cell>
          <cell r="Q2250" t="str">
            <v/>
          </cell>
          <cell r="T2250" t="str">
            <v/>
          </cell>
          <cell r="U2250" t="str">
            <v/>
          </cell>
          <cell r="W2250" t="str">
            <v/>
          </cell>
          <cell r="X2250" t="str">
            <v/>
          </cell>
          <cell r="AB2250">
            <v>0</v>
          </cell>
          <cell r="AC2250">
            <v>0</v>
          </cell>
          <cell r="AD2250">
            <v>0</v>
          </cell>
          <cell r="AJ2250">
            <v>0</v>
          </cell>
          <cell r="AK2250">
            <v>0</v>
          </cell>
        </row>
        <row r="2251">
          <cell r="B2251" t="str">
            <v/>
          </cell>
          <cell r="H2251" t="str">
            <v/>
          </cell>
          <cell r="J2251" t="str">
            <v/>
          </cell>
          <cell r="N2251" t="str">
            <v/>
          </cell>
          <cell r="O2251" t="str">
            <v/>
          </cell>
          <cell r="P2251" t="str">
            <v/>
          </cell>
          <cell r="Q2251" t="str">
            <v/>
          </cell>
          <cell r="T2251" t="str">
            <v/>
          </cell>
          <cell r="U2251" t="str">
            <v/>
          </cell>
          <cell r="W2251" t="str">
            <v/>
          </cell>
          <cell r="X2251" t="str">
            <v/>
          </cell>
          <cell r="AB2251">
            <v>0</v>
          </cell>
          <cell r="AC2251">
            <v>0</v>
          </cell>
          <cell r="AD2251">
            <v>0</v>
          </cell>
          <cell r="AJ2251">
            <v>0</v>
          </cell>
          <cell r="AK2251">
            <v>0</v>
          </cell>
        </row>
        <row r="2252">
          <cell r="B2252" t="str">
            <v/>
          </cell>
          <cell r="H2252" t="str">
            <v/>
          </cell>
          <cell r="J2252" t="str">
            <v/>
          </cell>
          <cell r="N2252" t="str">
            <v/>
          </cell>
          <cell r="O2252" t="str">
            <v/>
          </cell>
          <cell r="P2252" t="str">
            <v/>
          </cell>
          <cell r="Q2252" t="str">
            <v/>
          </cell>
          <cell r="T2252" t="str">
            <v/>
          </cell>
          <cell r="U2252" t="str">
            <v/>
          </cell>
          <cell r="W2252" t="str">
            <v/>
          </cell>
          <cell r="X2252" t="str">
            <v/>
          </cell>
          <cell r="AB2252">
            <v>0</v>
          </cell>
          <cell r="AC2252">
            <v>0</v>
          </cell>
          <cell r="AD2252">
            <v>0</v>
          </cell>
          <cell r="AJ2252">
            <v>0</v>
          </cell>
          <cell r="AK2252">
            <v>0</v>
          </cell>
        </row>
        <row r="2253">
          <cell r="B2253" t="str">
            <v/>
          </cell>
          <cell r="H2253" t="str">
            <v/>
          </cell>
          <cell r="J2253" t="str">
            <v/>
          </cell>
          <cell r="N2253" t="str">
            <v/>
          </cell>
          <cell r="O2253" t="str">
            <v/>
          </cell>
          <cell r="P2253" t="str">
            <v/>
          </cell>
          <cell r="Q2253" t="str">
            <v/>
          </cell>
          <cell r="T2253" t="str">
            <v/>
          </cell>
          <cell r="U2253" t="str">
            <v/>
          </cell>
          <cell r="W2253" t="str">
            <v/>
          </cell>
          <cell r="X2253" t="str">
            <v/>
          </cell>
          <cell r="AB2253">
            <v>0</v>
          </cell>
          <cell r="AC2253">
            <v>0</v>
          </cell>
          <cell r="AD2253">
            <v>0</v>
          </cell>
          <cell r="AJ2253">
            <v>0</v>
          </cell>
          <cell r="AK2253">
            <v>0</v>
          </cell>
        </row>
        <row r="2254">
          <cell r="B2254" t="str">
            <v/>
          </cell>
          <cell r="H2254" t="str">
            <v/>
          </cell>
          <cell r="J2254" t="str">
            <v/>
          </cell>
          <cell r="N2254" t="str">
            <v/>
          </cell>
          <cell r="O2254" t="str">
            <v/>
          </cell>
          <cell r="P2254" t="str">
            <v/>
          </cell>
          <cell r="Q2254" t="str">
            <v/>
          </cell>
          <cell r="T2254" t="str">
            <v/>
          </cell>
          <cell r="U2254" t="str">
            <v/>
          </cell>
          <cell r="W2254" t="str">
            <v/>
          </cell>
          <cell r="X2254" t="str">
            <v/>
          </cell>
          <cell r="AB2254">
            <v>0</v>
          </cell>
          <cell r="AC2254">
            <v>0</v>
          </cell>
          <cell r="AD2254">
            <v>0</v>
          </cell>
          <cell r="AJ2254">
            <v>0</v>
          </cell>
          <cell r="AK2254">
            <v>0</v>
          </cell>
        </row>
        <row r="2255">
          <cell r="B2255" t="str">
            <v/>
          </cell>
          <cell r="H2255" t="str">
            <v/>
          </cell>
          <cell r="J2255" t="str">
            <v/>
          </cell>
          <cell r="N2255" t="str">
            <v/>
          </cell>
          <cell r="O2255" t="str">
            <v/>
          </cell>
          <cell r="P2255" t="str">
            <v/>
          </cell>
          <cell r="Q2255" t="str">
            <v/>
          </cell>
          <cell r="T2255" t="str">
            <v/>
          </cell>
          <cell r="U2255" t="str">
            <v/>
          </cell>
          <cell r="W2255" t="str">
            <v/>
          </cell>
          <cell r="X2255" t="str">
            <v/>
          </cell>
          <cell r="AB2255">
            <v>0</v>
          </cell>
          <cell r="AC2255">
            <v>0</v>
          </cell>
          <cell r="AD2255">
            <v>0</v>
          </cell>
          <cell r="AJ2255">
            <v>0</v>
          </cell>
          <cell r="AK2255">
            <v>0</v>
          </cell>
        </row>
        <row r="2256">
          <cell r="B2256" t="str">
            <v/>
          </cell>
          <cell r="H2256" t="str">
            <v/>
          </cell>
          <cell r="J2256" t="str">
            <v/>
          </cell>
          <cell r="N2256" t="str">
            <v/>
          </cell>
          <cell r="O2256" t="str">
            <v/>
          </cell>
          <cell r="P2256" t="str">
            <v/>
          </cell>
          <cell r="Q2256" t="str">
            <v/>
          </cell>
          <cell r="T2256" t="str">
            <v/>
          </cell>
          <cell r="U2256" t="str">
            <v/>
          </cell>
          <cell r="W2256" t="str">
            <v/>
          </cell>
          <cell r="X2256" t="str">
            <v/>
          </cell>
          <cell r="AB2256">
            <v>0</v>
          </cell>
          <cell r="AC2256">
            <v>0</v>
          </cell>
          <cell r="AD2256">
            <v>0</v>
          </cell>
          <cell r="AJ2256">
            <v>0</v>
          </cell>
          <cell r="AK2256">
            <v>0</v>
          </cell>
        </row>
        <row r="2257">
          <cell r="B2257" t="str">
            <v/>
          </cell>
          <cell r="H2257" t="str">
            <v/>
          </cell>
          <cell r="J2257" t="str">
            <v/>
          </cell>
          <cell r="N2257" t="str">
            <v/>
          </cell>
          <cell r="O2257" t="str">
            <v/>
          </cell>
          <cell r="P2257" t="str">
            <v/>
          </cell>
          <cell r="Q2257" t="str">
            <v/>
          </cell>
          <cell r="T2257" t="str">
            <v/>
          </cell>
          <cell r="U2257" t="str">
            <v/>
          </cell>
          <cell r="W2257" t="str">
            <v/>
          </cell>
          <cell r="X2257" t="str">
            <v/>
          </cell>
          <cell r="AB2257">
            <v>0</v>
          </cell>
          <cell r="AC2257">
            <v>0</v>
          </cell>
          <cell r="AD2257">
            <v>0</v>
          </cell>
          <cell r="AJ2257">
            <v>0</v>
          </cell>
          <cell r="AK2257">
            <v>0</v>
          </cell>
        </row>
        <row r="2258">
          <cell r="B2258" t="str">
            <v/>
          </cell>
          <cell r="H2258" t="str">
            <v/>
          </cell>
          <cell r="J2258" t="str">
            <v/>
          </cell>
          <cell r="N2258" t="str">
            <v/>
          </cell>
          <cell r="O2258" t="str">
            <v/>
          </cell>
          <cell r="P2258" t="str">
            <v/>
          </cell>
          <cell r="Q2258" t="str">
            <v/>
          </cell>
          <cell r="T2258" t="str">
            <v/>
          </cell>
          <cell r="U2258" t="str">
            <v/>
          </cell>
          <cell r="W2258" t="str">
            <v/>
          </cell>
          <cell r="X2258" t="str">
            <v/>
          </cell>
          <cell r="AB2258">
            <v>0</v>
          </cell>
          <cell r="AC2258">
            <v>0</v>
          </cell>
          <cell r="AD2258">
            <v>0</v>
          </cell>
          <cell r="AJ2258">
            <v>0</v>
          </cell>
          <cell r="AK2258">
            <v>0</v>
          </cell>
        </row>
        <row r="2259">
          <cell r="B2259" t="str">
            <v/>
          </cell>
          <cell r="H2259" t="str">
            <v/>
          </cell>
          <cell r="J2259" t="str">
            <v/>
          </cell>
          <cell r="N2259" t="str">
            <v/>
          </cell>
          <cell r="O2259" t="str">
            <v/>
          </cell>
          <cell r="P2259" t="str">
            <v/>
          </cell>
          <cell r="Q2259" t="str">
            <v/>
          </cell>
          <cell r="T2259" t="str">
            <v/>
          </cell>
          <cell r="U2259" t="str">
            <v/>
          </cell>
          <cell r="W2259" t="str">
            <v/>
          </cell>
          <cell r="X2259" t="str">
            <v/>
          </cell>
          <cell r="AB2259">
            <v>0</v>
          </cell>
          <cell r="AC2259">
            <v>0</v>
          </cell>
          <cell r="AD2259">
            <v>0</v>
          </cell>
          <cell r="AJ2259">
            <v>0</v>
          </cell>
          <cell r="AK2259">
            <v>0</v>
          </cell>
        </row>
        <row r="2260">
          <cell r="B2260" t="str">
            <v/>
          </cell>
          <cell r="H2260" t="str">
            <v/>
          </cell>
          <cell r="J2260" t="str">
            <v/>
          </cell>
          <cell r="N2260" t="str">
            <v/>
          </cell>
          <cell r="O2260" t="str">
            <v/>
          </cell>
          <cell r="P2260" t="str">
            <v/>
          </cell>
          <cell r="Q2260" t="str">
            <v/>
          </cell>
          <cell r="T2260" t="str">
            <v/>
          </cell>
          <cell r="U2260" t="str">
            <v/>
          </cell>
          <cell r="W2260" t="str">
            <v/>
          </cell>
          <cell r="X2260" t="str">
            <v/>
          </cell>
          <cell r="AB2260">
            <v>0</v>
          </cell>
          <cell r="AC2260">
            <v>0</v>
          </cell>
          <cell r="AD2260">
            <v>0</v>
          </cell>
          <cell r="AJ2260">
            <v>0</v>
          </cell>
          <cell r="AK2260">
            <v>0</v>
          </cell>
        </row>
        <row r="2261">
          <cell r="B2261" t="str">
            <v/>
          </cell>
          <cell r="H2261" t="str">
            <v/>
          </cell>
          <cell r="J2261" t="str">
            <v/>
          </cell>
          <cell r="N2261" t="str">
            <v/>
          </cell>
          <cell r="O2261" t="str">
            <v/>
          </cell>
          <cell r="P2261" t="str">
            <v/>
          </cell>
          <cell r="Q2261" t="str">
            <v/>
          </cell>
          <cell r="T2261" t="str">
            <v/>
          </cell>
          <cell r="U2261" t="str">
            <v/>
          </cell>
          <cell r="W2261" t="str">
            <v/>
          </cell>
          <cell r="X2261" t="str">
            <v/>
          </cell>
          <cell r="AB2261">
            <v>0</v>
          </cell>
          <cell r="AC2261">
            <v>0</v>
          </cell>
          <cell r="AD2261">
            <v>0</v>
          </cell>
          <cell r="AJ2261">
            <v>0</v>
          </cell>
          <cell r="AK2261">
            <v>0</v>
          </cell>
        </row>
        <row r="2262">
          <cell r="B2262" t="str">
            <v/>
          </cell>
          <cell r="H2262" t="str">
            <v/>
          </cell>
          <cell r="J2262" t="str">
            <v/>
          </cell>
          <cell r="N2262" t="str">
            <v/>
          </cell>
          <cell r="O2262" t="str">
            <v/>
          </cell>
          <cell r="P2262" t="str">
            <v/>
          </cell>
          <cell r="Q2262" t="str">
            <v/>
          </cell>
          <cell r="T2262" t="str">
            <v/>
          </cell>
          <cell r="U2262" t="str">
            <v/>
          </cell>
          <cell r="W2262" t="str">
            <v/>
          </cell>
          <cell r="X2262" t="str">
            <v/>
          </cell>
          <cell r="AB2262">
            <v>0</v>
          </cell>
          <cell r="AC2262">
            <v>0</v>
          </cell>
          <cell r="AD2262">
            <v>0</v>
          </cell>
          <cell r="AJ2262">
            <v>0</v>
          </cell>
          <cell r="AK2262">
            <v>0</v>
          </cell>
        </row>
        <row r="2263">
          <cell r="B2263" t="str">
            <v/>
          </cell>
          <cell r="H2263" t="str">
            <v/>
          </cell>
          <cell r="J2263" t="str">
            <v/>
          </cell>
          <cell r="N2263" t="str">
            <v/>
          </cell>
          <cell r="O2263" t="str">
            <v/>
          </cell>
          <cell r="P2263" t="str">
            <v/>
          </cell>
          <cell r="Q2263" t="str">
            <v/>
          </cell>
          <cell r="T2263" t="str">
            <v/>
          </cell>
          <cell r="U2263" t="str">
            <v/>
          </cell>
          <cell r="W2263" t="str">
            <v/>
          </cell>
          <cell r="X2263" t="str">
            <v/>
          </cell>
          <cell r="AB2263">
            <v>0</v>
          </cell>
          <cell r="AC2263">
            <v>0</v>
          </cell>
          <cell r="AD2263">
            <v>0</v>
          </cell>
          <cell r="AJ2263">
            <v>0</v>
          </cell>
          <cell r="AK2263">
            <v>0</v>
          </cell>
        </row>
        <row r="2264">
          <cell r="B2264" t="str">
            <v/>
          </cell>
          <cell r="H2264" t="str">
            <v/>
          </cell>
          <cell r="J2264" t="str">
            <v/>
          </cell>
          <cell r="N2264" t="str">
            <v/>
          </cell>
          <cell r="O2264" t="str">
            <v/>
          </cell>
          <cell r="P2264" t="str">
            <v/>
          </cell>
          <cell r="Q2264" t="str">
            <v/>
          </cell>
          <cell r="T2264" t="str">
            <v/>
          </cell>
          <cell r="U2264" t="str">
            <v/>
          </cell>
          <cell r="W2264" t="str">
            <v/>
          </cell>
          <cell r="X2264" t="str">
            <v/>
          </cell>
          <cell r="AB2264">
            <v>0</v>
          </cell>
          <cell r="AC2264">
            <v>0</v>
          </cell>
          <cell r="AD2264">
            <v>0</v>
          </cell>
          <cell r="AJ2264">
            <v>0</v>
          </cell>
          <cell r="AK2264">
            <v>0</v>
          </cell>
        </row>
        <row r="2265">
          <cell r="B2265" t="str">
            <v/>
          </cell>
          <cell r="H2265" t="str">
            <v/>
          </cell>
          <cell r="J2265" t="str">
            <v/>
          </cell>
          <cell r="N2265" t="str">
            <v/>
          </cell>
          <cell r="O2265" t="str">
            <v/>
          </cell>
          <cell r="P2265" t="str">
            <v/>
          </cell>
          <cell r="Q2265" t="str">
            <v/>
          </cell>
          <cell r="T2265" t="str">
            <v/>
          </cell>
          <cell r="U2265" t="str">
            <v/>
          </cell>
          <cell r="W2265" t="str">
            <v/>
          </cell>
          <cell r="X2265" t="str">
            <v/>
          </cell>
          <cell r="AB2265">
            <v>0</v>
          </cell>
          <cell r="AC2265">
            <v>0</v>
          </cell>
          <cell r="AD2265">
            <v>0</v>
          </cell>
          <cell r="AJ2265">
            <v>0</v>
          </cell>
          <cell r="AK2265">
            <v>0</v>
          </cell>
        </row>
        <row r="2266">
          <cell r="B2266" t="str">
            <v/>
          </cell>
          <cell r="H2266" t="str">
            <v/>
          </cell>
          <cell r="J2266" t="str">
            <v/>
          </cell>
          <cell r="N2266" t="str">
            <v/>
          </cell>
          <cell r="O2266" t="str">
            <v/>
          </cell>
          <cell r="P2266" t="str">
            <v/>
          </cell>
          <cell r="Q2266" t="str">
            <v/>
          </cell>
          <cell r="T2266" t="str">
            <v/>
          </cell>
          <cell r="U2266" t="str">
            <v/>
          </cell>
          <cell r="W2266" t="str">
            <v/>
          </cell>
          <cell r="X2266" t="str">
            <v/>
          </cell>
          <cell r="AB2266">
            <v>0</v>
          </cell>
          <cell r="AC2266">
            <v>0</v>
          </cell>
          <cell r="AD2266">
            <v>0</v>
          </cell>
          <cell r="AJ2266">
            <v>0</v>
          </cell>
          <cell r="AK2266">
            <v>0</v>
          </cell>
        </row>
        <row r="2267">
          <cell r="B2267" t="str">
            <v/>
          </cell>
          <cell r="H2267" t="str">
            <v/>
          </cell>
          <cell r="J2267" t="str">
            <v/>
          </cell>
          <cell r="N2267" t="str">
            <v/>
          </cell>
          <cell r="O2267" t="str">
            <v/>
          </cell>
          <cell r="P2267" t="str">
            <v/>
          </cell>
          <cell r="Q2267" t="str">
            <v/>
          </cell>
          <cell r="T2267" t="str">
            <v/>
          </cell>
          <cell r="U2267" t="str">
            <v/>
          </cell>
          <cell r="W2267" t="str">
            <v/>
          </cell>
          <cell r="X2267" t="str">
            <v/>
          </cell>
          <cell r="AB2267">
            <v>0</v>
          </cell>
          <cell r="AC2267">
            <v>0</v>
          </cell>
          <cell r="AD2267">
            <v>0</v>
          </cell>
          <cell r="AJ2267">
            <v>0</v>
          </cell>
          <cell r="AK2267">
            <v>0</v>
          </cell>
        </row>
        <row r="2268">
          <cell r="B2268" t="str">
            <v/>
          </cell>
          <cell r="H2268" t="str">
            <v/>
          </cell>
          <cell r="J2268" t="str">
            <v/>
          </cell>
          <cell r="N2268" t="str">
            <v/>
          </cell>
          <cell r="O2268" t="str">
            <v/>
          </cell>
          <cell r="P2268" t="str">
            <v/>
          </cell>
          <cell r="Q2268" t="str">
            <v/>
          </cell>
          <cell r="T2268" t="str">
            <v/>
          </cell>
          <cell r="U2268" t="str">
            <v/>
          </cell>
          <cell r="W2268" t="str">
            <v/>
          </cell>
          <cell r="X2268" t="str">
            <v/>
          </cell>
          <cell r="AB2268">
            <v>0</v>
          </cell>
          <cell r="AC2268">
            <v>0</v>
          </cell>
          <cell r="AD2268">
            <v>0</v>
          </cell>
          <cell r="AJ2268">
            <v>0</v>
          </cell>
          <cell r="AK2268">
            <v>0</v>
          </cell>
        </row>
        <row r="2269">
          <cell r="B2269" t="str">
            <v/>
          </cell>
          <cell r="H2269" t="str">
            <v/>
          </cell>
          <cell r="J2269" t="str">
            <v/>
          </cell>
          <cell r="N2269" t="str">
            <v/>
          </cell>
          <cell r="O2269" t="str">
            <v/>
          </cell>
          <cell r="P2269" t="str">
            <v/>
          </cell>
          <cell r="Q2269" t="str">
            <v/>
          </cell>
          <cell r="T2269" t="str">
            <v/>
          </cell>
          <cell r="U2269" t="str">
            <v/>
          </cell>
          <cell r="W2269" t="str">
            <v/>
          </cell>
          <cell r="X2269" t="str">
            <v/>
          </cell>
          <cell r="AB2269">
            <v>0</v>
          </cell>
          <cell r="AC2269">
            <v>0</v>
          </cell>
          <cell r="AD2269">
            <v>0</v>
          </cell>
          <cell r="AJ2269">
            <v>0</v>
          </cell>
          <cell r="AK2269">
            <v>0</v>
          </cell>
        </row>
        <row r="2270">
          <cell r="B2270" t="str">
            <v/>
          </cell>
          <cell r="H2270" t="str">
            <v/>
          </cell>
          <cell r="J2270" t="str">
            <v/>
          </cell>
          <cell r="N2270" t="str">
            <v/>
          </cell>
          <cell r="O2270" t="str">
            <v/>
          </cell>
          <cell r="P2270" t="str">
            <v/>
          </cell>
          <cell r="Q2270" t="str">
            <v/>
          </cell>
          <cell r="T2270" t="str">
            <v/>
          </cell>
          <cell r="U2270" t="str">
            <v/>
          </cell>
          <cell r="W2270" t="str">
            <v/>
          </cell>
          <cell r="X2270" t="str">
            <v/>
          </cell>
          <cell r="AB2270">
            <v>0</v>
          </cell>
          <cell r="AC2270">
            <v>0</v>
          </cell>
          <cell r="AD2270">
            <v>0</v>
          </cell>
          <cell r="AJ2270">
            <v>0</v>
          </cell>
          <cell r="AK2270">
            <v>0</v>
          </cell>
        </row>
        <row r="2271">
          <cell r="B2271" t="str">
            <v/>
          </cell>
          <cell r="H2271" t="str">
            <v/>
          </cell>
          <cell r="J2271" t="str">
            <v/>
          </cell>
          <cell r="N2271" t="str">
            <v/>
          </cell>
          <cell r="O2271" t="str">
            <v/>
          </cell>
          <cell r="P2271" t="str">
            <v/>
          </cell>
          <cell r="Q2271" t="str">
            <v/>
          </cell>
          <cell r="T2271" t="str">
            <v/>
          </cell>
          <cell r="U2271" t="str">
            <v/>
          </cell>
          <cell r="W2271" t="str">
            <v/>
          </cell>
          <cell r="X2271" t="str">
            <v/>
          </cell>
          <cell r="AB2271">
            <v>0</v>
          </cell>
          <cell r="AC2271">
            <v>0</v>
          </cell>
          <cell r="AD2271">
            <v>0</v>
          </cell>
          <cell r="AJ2271">
            <v>0</v>
          </cell>
          <cell r="AK2271">
            <v>0</v>
          </cell>
        </row>
        <row r="2272">
          <cell r="B2272" t="str">
            <v/>
          </cell>
          <cell r="H2272" t="str">
            <v/>
          </cell>
          <cell r="J2272" t="str">
            <v/>
          </cell>
          <cell r="N2272" t="str">
            <v/>
          </cell>
          <cell r="O2272" t="str">
            <v/>
          </cell>
          <cell r="P2272" t="str">
            <v/>
          </cell>
          <cell r="Q2272" t="str">
            <v/>
          </cell>
          <cell r="T2272" t="str">
            <v/>
          </cell>
          <cell r="U2272" t="str">
            <v/>
          </cell>
          <cell r="W2272" t="str">
            <v/>
          </cell>
          <cell r="X2272" t="str">
            <v/>
          </cell>
          <cell r="AB2272">
            <v>0</v>
          </cell>
          <cell r="AC2272">
            <v>0</v>
          </cell>
          <cell r="AD2272">
            <v>0</v>
          </cell>
          <cell r="AJ2272">
            <v>0</v>
          </cell>
          <cell r="AK2272">
            <v>0</v>
          </cell>
        </row>
        <row r="2273">
          <cell r="B2273" t="str">
            <v/>
          </cell>
          <cell r="H2273" t="str">
            <v/>
          </cell>
          <cell r="J2273" t="str">
            <v/>
          </cell>
          <cell r="N2273" t="str">
            <v/>
          </cell>
          <cell r="O2273" t="str">
            <v/>
          </cell>
          <cell r="P2273" t="str">
            <v/>
          </cell>
          <cell r="Q2273" t="str">
            <v/>
          </cell>
          <cell r="T2273" t="str">
            <v/>
          </cell>
          <cell r="U2273" t="str">
            <v/>
          </cell>
          <cell r="W2273" t="str">
            <v/>
          </cell>
          <cell r="X2273" t="str">
            <v/>
          </cell>
          <cell r="AB2273">
            <v>0</v>
          </cell>
          <cell r="AC2273">
            <v>0</v>
          </cell>
          <cell r="AD2273">
            <v>0</v>
          </cell>
          <cell r="AJ2273">
            <v>0</v>
          </cell>
          <cell r="AK2273">
            <v>0</v>
          </cell>
        </row>
        <row r="2274">
          <cell r="B2274" t="str">
            <v/>
          </cell>
          <cell r="H2274" t="str">
            <v/>
          </cell>
          <cell r="J2274" t="str">
            <v/>
          </cell>
          <cell r="N2274" t="str">
            <v/>
          </cell>
          <cell r="O2274" t="str">
            <v/>
          </cell>
          <cell r="P2274" t="str">
            <v/>
          </cell>
          <cell r="Q2274" t="str">
            <v/>
          </cell>
          <cell r="T2274" t="str">
            <v/>
          </cell>
          <cell r="U2274" t="str">
            <v/>
          </cell>
          <cell r="W2274" t="str">
            <v/>
          </cell>
          <cell r="X2274" t="str">
            <v/>
          </cell>
          <cell r="AB2274">
            <v>0</v>
          </cell>
          <cell r="AC2274">
            <v>0</v>
          </cell>
          <cell r="AD2274">
            <v>0</v>
          </cell>
          <cell r="AJ2274">
            <v>0</v>
          </cell>
          <cell r="AK2274">
            <v>0</v>
          </cell>
        </row>
        <row r="2275">
          <cell r="B2275" t="str">
            <v/>
          </cell>
          <cell r="H2275" t="str">
            <v/>
          </cell>
          <cell r="J2275" t="str">
            <v/>
          </cell>
          <cell r="N2275" t="str">
            <v/>
          </cell>
          <cell r="O2275" t="str">
            <v/>
          </cell>
          <cell r="P2275" t="str">
            <v/>
          </cell>
          <cell r="Q2275" t="str">
            <v/>
          </cell>
          <cell r="T2275" t="str">
            <v/>
          </cell>
          <cell r="U2275" t="str">
            <v/>
          </cell>
          <cell r="W2275" t="str">
            <v/>
          </cell>
          <cell r="X2275" t="str">
            <v/>
          </cell>
          <cell r="AB2275">
            <v>0</v>
          </cell>
          <cell r="AC2275">
            <v>0</v>
          </cell>
          <cell r="AD2275">
            <v>0</v>
          </cell>
          <cell r="AJ2275">
            <v>0</v>
          </cell>
          <cell r="AK2275">
            <v>0</v>
          </cell>
        </row>
        <row r="2276">
          <cell r="B2276" t="str">
            <v/>
          </cell>
          <cell r="H2276" t="str">
            <v/>
          </cell>
          <cell r="J2276" t="str">
            <v/>
          </cell>
          <cell r="N2276" t="str">
            <v/>
          </cell>
          <cell r="O2276" t="str">
            <v/>
          </cell>
          <cell r="P2276" t="str">
            <v/>
          </cell>
          <cell r="Q2276" t="str">
            <v/>
          </cell>
          <cell r="T2276" t="str">
            <v/>
          </cell>
          <cell r="U2276" t="str">
            <v/>
          </cell>
          <cell r="W2276" t="str">
            <v/>
          </cell>
          <cell r="X2276" t="str">
            <v/>
          </cell>
          <cell r="AB2276">
            <v>0</v>
          </cell>
          <cell r="AC2276">
            <v>0</v>
          </cell>
          <cell r="AD2276">
            <v>0</v>
          </cell>
          <cell r="AJ2276">
            <v>0</v>
          </cell>
          <cell r="AK2276">
            <v>0</v>
          </cell>
        </row>
        <row r="2277">
          <cell r="B2277" t="str">
            <v/>
          </cell>
          <cell r="H2277" t="str">
            <v/>
          </cell>
          <cell r="J2277" t="str">
            <v/>
          </cell>
          <cell r="N2277" t="str">
            <v/>
          </cell>
          <cell r="O2277" t="str">
            <v/>
          </cell>
          <cell r="P2277" t="str">
            <v/>
          </cell>
          <cell r="Q2277" t="str">
            <v/>
          </cell>
          <cell r="T2277" t="str">
            <v/>
          </cell>
          <cell r="U2277" t="str">
            <v/>
          </cell>
          <cell r="W2277" t="str">
            <v/>
          </cell>
          <cell r="X2277" t="str">
            <v/>
          </cell>
          <cell r="AB2277">
            <v>0</v>
          </cell>
          <cell r="AC2277">
            <v>0</v>
          </cell>
          <cell r="AD2277">
            <v>0</v>
          </cell>
          <cell r="AJ2277">
            <v>0</v>
          </cell>
          <cell r="AK2277">
            <v>0</v>
          </cell>
        </row>
        <row r="2278">
          <cell r="B2278" t="str">
            <v/>
          </cell>
          <cell r="H2278" t="str">
            <v/>
          </cell>
          <cell r="J2278" t="str">
            <v/>
          </cell>
          <cell r="N2278" t="str">
            <v/>
          </cell>
          <cell r="O2278" t="str">
            <v/>
          </cell>
          <cell r="P2278" t="str">
            <v/>
          </cell>
          <cell r="Q2278" t="str">
            <v/>
          </cell>
          <cell r="T2278" t="str">
            <v/>
          </cell>
          <cell r="U2278" t="str">
            <v/>
          </cell>
          <cell r="W2278" t="str">
            <v/>
          </cell>
          <cell r="X2278" t="str">
            <v/>
          </cell>
          <cell r="AB2278">
            <v>0</v>
          </cell>
          <cell r="AC2278">
            <v>0</v>
          </cell>
          <cell r="AD2278">
            <v>0</v>
          </cell>
          <cell r="AJ2278">
            <v>0</v>
          </cell>
          <cell r="AK2278">
            <v>0</v>
          </cell>
        </row>
        <row r="2279">
          <cell r="B2279" t="str">
            <v/>
          </cell>
          <cell r="H2279" t="str">
            <v/>
          </cell>
          <cell r="J2279" t="str">
            <v/>
          </cell>
          <cell r="N2279" t="str">
            <v/>
          </cell>
          <cell r="O2279" t="str">
            <v/>
          </cell>
          <cell r="P2279" t="str">
            <v/>
          </cell>
          <cell r="Q2279" t="str">
            <v/>
          </cell>
          <cell r="T2279" t="str">
            <v/>
          </cell>
          <cell r="U2279" t="str">
            <v/>
          </cell>
          <cell r="W2279" t="str">
            <v/>
          </cell>
          <cell r="X2279" t="str">
            <v/>
          </cell>
          <cell r="AB2279">
            <v>0</v>
          </cell>
          <cell r="AC2279">
            <v>0</v>
          </cell>
          <cell r="AD2279">
            <v>0</v>
          </cell>
          <cell r="AJ2279">
            <v>0</v>
          </cell>
          <cell r="AK2279">
            <v>0</v>
          </cell>
        </row>
        <row r="2280">
          <cell r="B2280" t="str">
            <v/>
          </cell>
          <cell r="H2280" t="str">
            <v/>
          </cell>
          <cell r="J2280" t="str">
            <v/>
          </cell>
          <cell r="N2280" t="str">
            <v/>
          </cell>
          <cell r="O2280" t="str">
            <v/>
          </cell>
          <cell r="P2280" t="str">
            <v/>
          </cell>
          <cell r="Q2280" t="str">
            <v/>
          </cell>
          <cell r="T2280" t="str">
            <v/>
          </cell>
          <cell r="U2280" t="str">
            <v/>
          </cell>
          <cell r="W2280" t="str">
            <v/>
          </cell>
          <cell r="X2280" t="str">
            <v/>
          </cell>
          <cell r="AB2280">
            <v>0</v>
          </cell>
          <cell r="AC2280">
            <v>0</v>
          </cell>
          <cell r="AD2280">
            <v>0</v>
          </cell>
          <cell r="AJ2280">
            <v>0</v>
          </cell>
          <cell r="AK2280">
            <v>0</v>
          </cell>
        </row>
        <row r="2281">
          <cell r="B2281" t="str">
            <v/>
          </cell>
          <cell r="H2281" t="str">
            <v/>
          </cell>
          <cell r="J2281" t="str">
            <v/>
          </cell>
          <cell r="N2281" t="str">
            <v/>
          </cell>
          <cell r="O2281" t="str">
            <v/>
          </cell>
          <cell r="P2281" t="str">
            <v/>
          </cell>
          <cell r="Q2281" t="str">
            <v/>
          </cell>
          <cell r="T2281" t="str">
            <v/>
          </cell>
          <cell r="U2281" t="str">
            <v/>
          </cell>
          <cell r="W2281" t="str">
            <v/>
          </cell>
          <cell r="X2281" t="str">
            <v/>
          </cell>
          <cell r="AB2281">
            <v>0</v>
          </cell>
          <cell r="AC2281">
            <v>0</v>
          </cell>
          <cell r="AD2281">
            <v>0</v>
          </cell>
          <cell r="AJ2281">
            <v>0</v>
          </cell>
          <cell r="AK2281">
            <v>0</v>
          </cell>
        </row>
        <row r="2282">
          <cell r="B2282" t="str">
            <v/>
          </cell>
          <cell r="H2282" t="str">
            <v/>
          </cell>
          <cell r="J2282" t="str">
            <v/>
          </cell>
          <cell r="N2282" t="str">
            <v/>
          </cell>
          <cell r="O2282" t="str">
            <v/>
          </cell>
          <cell r="P2282" t="str">
            <v/>
          </cell>
          <cell r="Q2282" t="str">
            <v/>
          </cell>
          <cell r="T2282" t="str">
            <v/>
          </cell>
          <cell r="U2282" t="str">
            <v/>
          </cell>
          <cell r="W2282" t="str">
            <v/>
          </cell>
          <cell r="X2282" t="str">
            <v/>
          </cell>
          <cell r="AB2282">
            <v>0</v>
          </cell>
          <cell r="AC2282">
            <v>0</v>
          </cell>
          <cell r="AD2282">
            <v>0</v>
          </cell>
          <cell r="AJ2282">
            <v>0</v>
          </cell>
          <cell r="AK2282">
            <v>0</v>
          </cell>
        </row>
        <row r="2283">
          <cell r="B2283" t="str">
            <v/>
          </cell>
          <cell r="H2283" t="str">
            <v/>
          </cell>
          <cell r="J2283" t="str">
            <v/>
          </cell>
          <cell r="N2283" t="str">
            <v/>
          </cell>
          <cell r="O2283" t="str">
            <v/>
          </cell>
          <cell r="P2283" t="str">
            <v/>
          </cell>
          <cell r="Q2283" t="str">
            <v/>
          </cell>
          <cell r="T2283" t="str">
            <v/>
          </cell>
          <cell r="U2283" t="str">
            <v/>
          </cell>
          <cell r="W2283" t="str">
            <v/>
          </cell>
          <cell r="X2283" t="str">
            <v/>
          </cell>
          <cell r="AB2283">
            <v>0</v>
          </cell>
          <cell r="AC2283">
            <v>0</v>
          </cell>
          <cell r="AD2283">
            <v>0</v>
          </cell>
          <cell r="AJ2283">
            <v>0</v>
          </cell>
          <cell r="AK2283">
            <v>0</v>
          </cell>
        </row>
        <row r="2284">
          <cell r="B2284" t="str">
            <v/>
          </cell>
          <cell r="H2284" t="str">
            <v/>
          </cell>
          <cell r="J2284" t="str">
            <v/>
          </cell>
          <cell r="N2284" t="str">
            <v/>
          </cell>
          <cell r="O2284" t="str">
            <v/>
          </cell>
          <cell r="P2284" t="str">
            <v/>
          </cell>
          <cell r="Q2284" t="str">
            <v/>
          </cell>
          <cell r="T2284" t="str">
            <v/>
          </cell>
          <cell r="U2284" t="str">
            <v/>
          </cell>
          <cell r="W2284" t="str">
            <v/>
          </cell>
          <cell r="X2284" t="str">
            <v/>
          </cell>
          <cell r="AB2284">
            <v>0</v>
          </cell>
          <cell r="AC2284">
            <v>0</v>
          </cell>
          <cell r="AD2284">
            <v>0</v>
          </cell>
          <cell r="AJ2284">
            <v>0</v>
          </cell>
          <cell r="AK2284">
            <v>0</v>
          </cell>
        </row>
        <row r="2285">
          <cell r="B2285" t="str">
            <v/>
          </cell>
          <cell r="H2285" t="str">
            <v/>
          </cell>
          <cell r="J2285" t="str">
            <v/>
          </cell>
          <cell r="N2285" t="str">
            <v/>
          </cell>
          <cell r="O2285" t="str">
            <v/>
          </cell>
          <cell r="P2285" t="str">
            <v/>
          </cell>
          <cell r="Q2285" t="str">
            <v/>
          </cell>
          <cell r="T2285" t="str">
            <v/>
          </cell>
          <cell r="U2285" t="str">
            <v/>
          </cell>
          <cell r="W2285" t="str">
            <v/>
          </cell>
          <cell r="X2285" t="str">
            <v/>
          </cell>
          <cell r="AB2285">
            <v>0</v>
          </cell>
          <cell r="AC2285">
            <v>0</v>
          </cell>
          <cell r="AD2285">
            <v>0</v>
          </cell>
          <cell r="AJ2285">
            <v>0</v>
          </cell>
          <cell r="AK2285">
            <v>0</v>
          </cell>
        </row>
        <row r="2286">
          <cell r="B2286" t="str">
            <v/>
          </cell>
          <cell r="H2286" t="str">
            <v/>
          </cell>
          <cell r="J2286" t="str">
            <v/>
          </cell>
          <cell r="N2286" t="str">
            <v/>
          </cell>
          <cell r="O2286" t="str">
            <v/>
          </cell>
          <cell r="P2286" t="str">
            <v/>
          </cell>
          <cell r="Q2286" t="str">
            <v/>
          </cell>
          <cell r="T2286" t="str">
            <v/>
          </cell>
          <cell r="U2286" t="str">
            <v/>
          </cell>
          <cell r="W2286" t="str">
            <v/>
          </cell>
          <cell r="X2286" t="str">
            <v/>
          </cell>
          <cell r="AB2286">
            <v>0</v>
          </cell>
          <cell r="AC2286">
            <v>0</v>
          </cell>
          <cell r="AD2286">
            <v>0</v>
          </cell>
          <cell r="AJ2286">
            <v>0</v>
          </cell>
          <cell r="AK2286">
            <v>0</v>
          </cell>
        </row>
        <row r="2287">
          <cell r="B2287" t="str">
            <v/>
          </cell>
          <cell r="H2287" t="str">
            <v/>
          </cell>
          <cell r="J2287" t="str">
            <v/>
          </cell>
          <cell r="N2287" t="str">
            <v/>
          </cell>
          <cell r="O2287" t="str">
            <v/>
          </cell>
          <cell r="P2287" t="str">
            <v/>
          </cell>
          <cell r="Q2287" t="str">
            <v/>
          </cell>
          <cell r="T2287" t="str">
            <v/>
          </cell>
          <cell r="U2287" t="str">
            <v/>
          </cell>
          <cell r="W2287" t="str">
            <v/>
          </cell>
          <cell r="X2287" t="str">
            <v/>
          </cell>
          <cell r="AB2287">
            <v>0</v>
          </cell>
          <cell r="AC2287">
            <v>0</v>
          </cell>
          <cell r="AD2287">
            <v>0</v>
          </cell>
          <cell r="AJ2287">
            <v>0</v>
          </cell>
          <cell r="AK2287">
            <v>0</v>
          </cell>
        </row>
        <row r="2288">
          <cell r="B2288" t="str">
            <v/>
          </cell>
          <cell r="H2288" t="str">
            <v/>
          </cell>
          <cell r="J2288" t="str">
            <v/>
          </cell>
          <cell r="N2288" t="str">
            <v/>
          </cell>
          <cell r="O2288" t="str">
            <v/>
          </cell>
          <cell r="P2288" t="str">
            <v/>
          </cell>
          <cell r="Q2288" t="str">
            <v/>
          </cell>
          <cell r="T2288" t="str">
            <v/>
          </cell>
          <cell r="U2288" t="str">
            <v/>
          </cell>
          <cell r="W2288" t="str">
            <v/>
          </cell>
          <cell r="X2288" t="str">
            <v/>
          </cell>
          <cell r="AB2288">
            <v>0</v>
          </cell>
          <cell r="AC2288">
            <v>0</v>
          </cell>
          <cell r="AD2288">
            <v>0</v>
          </cell>
          <cell r="AJ2288">
            <v>0</v>
          </cell>
          <cell r="AK2288">
            <v>0</v>
          </cell>
        </row>
        <row r="2289">
          <cell r="B2289" t="str">
            <v/>
          </cell>
          <cell r="H2289" t="str">
            <v/>
          </cell>
          <cell r="J2289" t="str">
            <v/>
          </cell>
          <cell r="N2289" t="str">
            <v/>
          </cell>
          <cell r="O2289" t="str">
            <v/>
          </cell>
          <cell r="P2289" t="str">
            <v/>
          </cell>
          <cell r="Q2289" t="str">
            <v/>
          </cell>
          <cell r="T2289" t="str">
            <v/>
          </cell>
          <cell r="U2289" t="str">
            <v/>
          </cell>
          <cell r="W2289" t="str">
            <v/>
          </cell>
          <cell r="X2289" t="str">
            <v/>
          </cell>
          <cell r="AB2289">
            <v>0</v>
          </cell>
          <cell r="AC2289">
            <v>0</v>
          </cell>
          <cell r="AD2289">
            <v>0</v>
          </cell>
          <cell r="AJ2289">
            <v>0</v>
          </cell>
          <cell r="AK2289">
            <v>0</v>
          </cell>
        </row>
        <row r="2290">
          <cell r="B2290" t="str">
            <v/>
          </cell>
          <cell r="H2290" t="str">
            <v/>
          </cell>
          <cell r="J2290" t="str">
            <v/>
          </cell>
          <cell r="N2290" t="str">
            <v/>
          </cell>
          <cell r="O2290" t="str">
            <v/>
          </cell>
          <cell r="P2290" t="str">
            <v/>
          </cell>
          <cell r="Q2290" t="str">
            <v/>
          </cell>
          <cell r="T2290" t="str">
            <v/>
          </cell>
          <cell r="U2290" t="str">
            <v/>
          </cell>
          <cell r="W2290" t="str">
            <v/>
          </cell>
          <cell r="X2290" t="str">
            <v/>
          </cell>
          <cell r="AB2290">
            <v>0</v>
          </cell>
          <cell r="AC2290">
            <v>0</v>
          </cell>
          <cell r="AD2290">
            <v>0</v>
          </cell>
          <cell r="AJ2290">
            <v>0</v>
          </cell>
          <cell r="AK2290">
            <v>0</v>
          </cell>
        </row>
        <row r="2291">
          <cell r="B2291" t="str">
            <v/>
          </cell>
          <cell r="H2291" t="str">
            <v/>
          </cell>
          <cell r="J2291" t="str">
            <v/>
          </cell>
          <cell r="N2291" t="str">
            <v/>
          </cell>
          <cell r="O2291" t="str">
            <v/>
          </cell>
          <cell r="P2291" t="str">
            <v/>
          </cell>
          <cell r="Q2291" t="str">
            <v/>
          </cell>
          <cell r="T2291" t="str">
            <v/>
          </cell>
          <cell r="U2291" t="str">
            <v/>
          </cell>
          <cell r="W2291" t="str">
            <v/>
          </cell>
          <cell r="X2291" t="str">
            <v/>
          </cell>
          <cell r="AB2291">
            <v>0</v>
          </cell>
          <cell r="AC2291">
            <v>0</v>
          </cell>
          <cell r="AD2291">
            <v>0</v>
          </cell>
          <cell r="AJ2291">
            <v>0</v>
          </cell>
          <cell r="AK2291">
            <v>0</v>
          </cell>
        </row>
        <row r="2292">
          <cell r="B2292" t="str">
            <v/>
          </cell>
          <cell r="H2292" t="str">
            <v/>
          </cell>
          <cell r="J2292" t="str">
            <v/>
          </cell>
          <cell r="N2292" t="str">
            <v/>
          </cell>
          <cell r="O2292" t="str">
            <v/>
          </cell>
          <cell r="P2292" t="str">
            <v/>
          </cell>
          <cell r="Q2292" t="str">
            <v/>
          </cell>
          <cell r="T2292" t="str">
            <v/>
          </cell>
          <cell r="U2292" t="str">
            <v/>
          </cell>
          <cell r="W2292" t="str">
            <v/>
          </cell>
          <cell r="X2292" t="str">
            <v/>
          </cell>
          <cell r="AB2292">
            <v>0</v>
          </cell>
          <cell r="AC2292">
            <v>0</v>
          </cell>
          <cell r="AD2292">
            <v>0</v>
          </cell>
          <cell r="AJ2292">
            <v>0</v>
          </cell>
          <cell r="AK2292">
            <v>0</v>
          </cell>
        </row>
        <row r="2293">
          <cell r="B2293" t="str">
            <v/>
          </cell>
          <cell r="H2293" t="str">
            <v/>
          </cell>
          <cell r="J2293" t="str">
            <v/>
          </cell>
          <cell r="N2293" t="str">
            <v/>
          </cell>
          <cell r="O2293" t="str">
            <v/>
          </cell>
          <cell r="P2293" t="str">
            <v/>
          </cell>
          <cell r="Q2293" t="str">
            <v/>
          </cell>
          <cell r="T2293" t="str">
            <v/>
          </cell>
          <cell r="U2293" t="str">
            <v/>
          </cell>
          <cell r="W2293" t="str">
            <v/>
          </cell>
          <cell r="X2293" t="str">
            <v/>
          </cell>
          <cell r="AB2293">
            <v>0</v>
          </cell>
          <cell r="AC2293">
            <v>0</v>
          </cell>
          <cell r="AD2293">
            <v>0</v>
          </cell>
          <cell r="AJ2293">
            <v>0</v>
          </cell>
          <cell r="AK2293">
            <v>0</v>
          </cell>
        </row>
        <row r="2294">
          <cell r="B2294" t="str">
            <v/>
          </cell>
          <cell r="H2294" t="str">
            <v/>
          </cell>
          <cell r="J2294" t="str">
            <v/>
          </cell>
          <cell r="N2294" t="str">
            <v/>
          </cell>
          <cell r="O2294" t="str">
            <v/>
          </cell>
          <cell r="P2294" t="str">
            <v/>
          </cell>
          <cell r="Q2294" t="str">
            <v/>
          </cell>
          <cell r="T2294" t="str">
            <v/>
          </cell>
          <cell r="U2294" t="str">
            <v/>
          </cell>
          <cell r="W2294" t="str">
            <v/>
          </cell>
          <cell r="X2294" t="str">
            <v/>
          </cell>
          <cell r="AB2294">
            <v>0</v>
          </cell>
          <cell r="AC2294">
            <v>0</v>
          </cell>
          <cell r="AD2294">
            <v>0</v>
          </cell>
          <cell r="AJ2294">
            <v>0</v>
          </cell>
          <cell r="AK2294">
            <v>0</v>
          </cell>
        </row>
        <row r="2295">
          <cell r="B2295" t="str">
            <v/>
          </cell>
          <cell r="H2295" t="str">
            <v/>
          </cell>
          <cell r="J2295" t="str">
            <v/>
          </cell>
          <cell r="N2295" t="str">
            <v/>
          </cell>
          <cell r="O2295" t="str">
            <v/>
          </cell>
          <cell r="P2295" t="str">
            <v/>
          </cell>
          <cell r="Q2295" t="str">
            <v/>
          </cell>
          <cell r="T2295" t="str">
            <v/>
          </cell>
          <cell r="U2295" t="str">
            <v/>
          </cell>
          <cell r="W2295" t="str">
            <v/>
          </cell>
          <cell r="X2295" t="str">
            <v/>
          </cell>
          <cell r="AB2295">
            <v>0</v>
          </cell>
          <cell r="AC2295">
            <v>0</v>
          </cell>
          <cell r="AD2295">
            <v>0</v>
          </cell>
          <cell r="AJ2295">
            <v>0</v>
          </cell>
          <cell r="AK2295">
            <v>0</v>
          </cell>
        </row>
        <row r="2296">
          <cell r="B2296" t="str">
            <v/>
          </cell>
          <cell r="H2296" t="str">
            <v/>
          </cell>
          <cell r="J2296" t="str">
            <v/>
          </cell>
          <cell r="N2296" t="str">
            <v/>
          </cell>
          <cell r="O2296" t="str">
            <v/>
          </cell>
          <cell r="P2296" t="str">
            <v/>
          </cell>
          <cell r="Q2296" t="str">
            <v/>
          </cell>
          <cell r="T2296" t="str">
            <v/>
          </cell>
          <cell r="U2296" t="str">
            <v/>
          </cell>
          <cell r="W2296" t="str">
            <v/>
          </cell>
          <cell r="X2296" t="str">
            <v/>
          </cell>
          <cell r="AB2296">
            <v>0</v>
          </cell>
          <cell r="AC2296">
            <v>0</v>
          </cell>
          <cell r="AD2296">
            <v>0</v>
          </cell>
          <cell r="AJ2296">
            <v>0</v>
          </cell>
          <cell r="AK2296">
            <v>0</v>
          </cell>
        </row>
        <row r="2297">
          <cell r="B2297" t="str">
            <v/>
          </cell>
          <cell r="H2297" t="str">
            <v/>
          </cell>
          <cell r="J2297" t="str">
            <v/>
          </cell>
          <cell r="N2297" t="str">
            <v/>
          </cell>
          <cell r="O2297" t="str">
            <v/>
          </cell>
          <cell r="P2297" t="str">
            <v/>
          </cell>
          <cell r="Q2297" t="str">
            <v/>
          </cell>
          <cell r="T2297" t="str">
            <v/>
          </cell>
          <cell r="U2297" t="str">
            <v/>
          </cell>
          <cell r="W2297" t="str">
            <v/>
          </cell>
          <cell r="X2297" t="str">
            <v/>
          </cell>
          <cell r="AB2297">
            <v>0</v>
          </cell>
          <cell r="AC2297">
            <v>0</v>
          </cell>
          <cell r="AD2297">
            <v>0</v>
          </cell>
          <cell r="AJ2297">
            <v>0</v>
          </cell>
          <cell r="AK2297">
            <v>0</v>
          </cell>
        </row>
        <row r="2298">
          <cell r="B2298" t="str">
            <v/>
          </cell>
          <cell r="H2298" t="str">
            <v/>
          </cell>
          <cell r="J2298" t="str">
            <v/>
          </cell>
          <cell r="N2298" t="str">
            <v/>
          </cell>
          <cell r="O2298" t="str">
            <v/>
          </cell>
          <cell r="P2298" t="str">
            <v/>
          </cell>
          <cell r="Q2298" t="str">
            <v/>
          </cell>
          <cell r="T2298" t="str">
            <v/>
          </cell>
          <cell r="U2298" t="str">
            <v/>
          </cell>
          <cell r="W2298" t="str">
            <v/>
          </cell>
          <cell r="X2298" t="str">
            <v/>
          </cell>
          <cell r="AB2298">
            <v>0</v>
          </cell>
          <cell r="AC2298">
            <v>0</v>
          </cell>
          <cell r="AD2298">
            <v>0</v>
          </cell>
          <cell r="AJ2298">
            <v>0</v>
          </cell>
          <cell r="AK2298">
            <v>0</v>
          </cell>
        </row>
        <row r="2299">
          <cell r="B2299" t="str">
            <v/>
          </cell>
          <cell r="H2299" t="str">
            <v/>
          </cell>
          <cell r="J2299" t="str">
            <v/>
          </cell>
          <cell r="N2299" t="str">
            <v/>
          </cell>
          <cell r="O2299" t="str">
            <v/>
          </cell>
          <cell r="P2299" t="str">
            <v/>
          </cell>
          <cell r="Q2299" t="str">
            <v/>
          </cell>
          <cell r="T2299" t="str">
            <v/>
          </cell>
          <cell r="U2299" t="str">
            <v/>
          </cell>
          <cell r="W2299" t="str">
            <v/>
          </cell>
          <cell r="X2299" t="str">
            <v/>
          </cell>
          <cell r="AB2299">
            <v>0</v>
          </cell>
          <cell r="AC2299">
            <v>0</v>
          </cell>
          <cell r="AD2299">
            <v>0</v>
          </cell>
          <cell r="AJ2299">
            <v>0</v>
          </cell>
          <cell r="AK2299">
            <v>0</v>
          </cell>
        </row>
        <row r="2300">
          <cell r="B2300" t="str">
            <v/>
          </cell>
          <cell r="H2300" t="str">
            <v/>
          </cell>
          <cell r="J2300" t="str">
            <v/>
          </cell>
          <cell r="N2300" t="str">
            <v/>
          </cell>
          <cell r="O2300" t="str">
            <v/>
          </cell>
          <cell r="P2300" t="str">
            <v/>
          </cell>
          <cell r="Q2300" t="str">
            <v/>
          </cell>
          <cell r="T2300" t="str">
            <v/>
          </cell>
          <cell r="U2300" t="str">
            <v/>
          </cell>
          <cell r="W2300" t="str">
            <v/>
          </cell>
          <cell r="X2300" t="str">
            <v/>
          </cell>
          <cell r="AB2300">
            <v>0</v>
          </cell>
          <cell r="AC2300">
            <v>0</v>
          </cell>
          <cell r="AD2300">
            <v>0</v>
          </cell>
          <cell r="AJ2300">
            <v>0</v>
          </cell>
          <cell r="AK2300">
            <v>0</v>
          </cell>
        </row>
        <row r="2301">
          <cell r="B2301" t="str">
            <v/>
          </cell>
          <cell r="H2301" t="str">
            <v/>
          </cell>
          <cell r="J2301" t="str">
            <v/>
          </cell>
          <cell r="N2301" t="str">
            <v/>
          </cell>
          <cell r="O2301" t="str">
            <v/>
          </cell>
          <cell r="P2301" t="str">
            <v/>
          </cell>
          <cell r="Q2301" t="str">
            <v/>
          </cell>
          <cell r="T2301" t="str">
            <v/>
          </cell>
          <cell r="U2301" t="str">
            <v/>
          </cell>
          <cell r="W2301" t="str">
            <v/>
          </cell>
          <cell r="X2301" t="str">
            <v/>
          </cell>
          <cell r="AB2301">
            <v>0</v>
          </cell>
          <cell r="AC2301">
            <v>0</v>
          </cell>
          <cell r="AD2301">
            <v>0</v>
          </cell>
          <cell r="AJ2301">
            <v>0</v>
          </cell>
          <cell r="AK2301">
            <v>0</v>
          </cell>
        </row>
        <row r="2302">
          <cell r="B2302" t="str">
            <v/>
          </cell>
          <cell r="H2302" t="str">
            <v/>
          </cell>
          <cell r="J2302" t="str">
            <v/>
          </cell>
          <cell r="N2302" t="str">
            <v/>
          </cell>
          <cell r="O2302" t="str">
            <v/>
          </cell>
          <cell r="P2302" t="str">
            <v/>
          </cell>
          <cell r="Q2302" t="str">
            <v/>
          </cell>
          <cell r="T2302" t="str">
            <v/>
          </cell>
          <cell r="U2302" t="str">
            <v/>
          </cell>
          <cell r="W2302" t="str">
            <v/>
          </cell>
          <cell r="X2302" t="str">
            <v/>
          </cell>
          <cell r="AB2302">
            <v>0</v>
          </cell>
          <cell r="AC2302">
            <v>0</v>
          </cell>
          <cell r="AD2302">
            <v>0</v>
          </cell>
          <cell r="AJ2302">
            <v>0</v>
          </cell>
          <cell r="AK2302">
            <v>0</v>
          </cell>
        </row>
        <row r="2303">
          <cell r="B2303" t="str">
            <v/>
          </cell>
          <cell r="H2303" t="str">
            <v/>
          </cell>
          <cell r="J2303" t="str">
            <v/>
          </cell>
          <cell r="N2303" t="str">
            <v/>
          </cell>
          <cell r="O2303" t="str">
            <v/>
          </cell>
          <cell r="P2303" t="str">
            <v/>
          </cell>
          <cell r="Q2303" t="str">
            <v/>
          </cell>
          <cell r="T2303" t="str">
            <v/>
          </cell>
          <cell r="U2303" t="str">
            <v/>
          </cell>
          <cell r="W2303" t="str">
            <v/>
          </cell>
          <cell r="X2303" t="str">
            <v/>
          </cell>
          <cell r="AB2303">
            <v>0</v>
          </cell>
          <cell r="AC2303">
            <v>0</v>
          </cell>
          <cell r="AD2303">
            <v>0</v>
          </cell>
          <cell r="AJ2303">
            <v>0</v>
          </cell>
          <cell r="AK2303">
            <v>0</v>
          </cell>
        </row>
        <row r="2304">
          <cell r="B2304" t="str">
            <v/>
          </cell>
          <cell r="H2304" t="str">
            <v/>
          </cell>
          <cell r="J2304" t="str">
            <v/>
          </cell>
          <cell r="N2304" t="str">
            <v/>
          </cell>
          <cell r="O2304" t="str">
            <v/>
          </cell>
          <cell r="P2304" t="str">
            <v/>
          </cell>
          <cell r="Q2304" t="str">
            <v/>
          </cell>
          <cell r="T2304" t="str">
            <v/>
          </cell>
          <cell r="U2304" t="str">
            <v/>
          </cell>
          <cell r="W2304" t="str">
            <v/>
          </cell>
          <cell r="X2304" t="str">
            <v/>
          </cell>
          <cell r="AB2304">
            <v>0</v>
          </cell>
          <cell r="AC2304">
            <v>0</v>
          </cell>
          <cell r="AD2304">
            <v>0</v>
          </cell>
          <cell r="AJ2304">
            <v>0</v>
          </cell>
          <cell r="AK2304">
            <v>0</v>
          </cell>
        </row>
        <row r="2305">
          <cell r="B2305" t="str">
            <v/>
          </cell>
          <cell r="H2305" t="str">
            <v/>
          </cell>
          <cell r="J2305" t="str">
            <v/>
          </cell>
          <cell r="N2305" t="str">
            <v/>
          </cell>
          <cell r="O2305" t="str">
            <v/>
          </cell>
          <cell r="P2305" t="str">
            <v/>
          </cell>
          <cell r="Q2305" t="str">
            <v/>
          </cell>
          <cell r="T2305" t="str">
            <v/>
          </cell>
          <cell r="U2305" t="str">
            <v/>
          </cell>
          <cell r="W2305" t="str">
            <v/>
          </cell>
          <cell r="X2305" t="str">
            <v/>
          </cell>
          <cell r="AB2305">
            <v>0</v>
          </cell>
          <cell r="AC2305">
            <v>0</v>
          </cell>
          <cell r="AD2305">
            <v>0</v>
          </cell>
          <cell r="AJ2305">
            <v>0</v>
          </cell>
          <cell r="AK2305">
            <v>0</v>
          </cell>
        </row>
        <row r="2306">
          <cell r="B2306" t="str">
            <v/>
          </cell>
          <cell r="H2306" t="str">
            <v/>
          </cell>
          <cell r="J2306" t="str">
            <v/>
          </cell>
          <cell r="N2306" t="str">
            <v/>
          </cell>
          <cell r="O2306" t="str">
            <v/>
          </cell>
          <cell r="P2306" t="str">
            <v/>
          </cell>
          <cell r="Q2306" t="str">
            <v/>
          </cell>
          <cell r="T2306" t="str">
            <v/>
          </cell>
          <cell r="U2306" t="str">
            <v/>
          </cell>
          <cell r="W2306" t="str">
            <v/>
          </cell>
          <cell r="X2306" t="str">
            <v/>
          </cell>
          <cell r="AB2306">
            <v>0</v>
          </cell>
          <cell r="AC2306">
            <v>0</v>
          </cell>
          <cell r="AD2306">
            <v>0</v>
          </cell>
          <cell r="AJ2306">
            <v>0</v>
          </cell>
          <cell r="AK2306">
            <v>0</v>
          </cell>
        </row>
        <row r="2307">
          <cell r="B2307" t="str">
            <v/>
          </cell>
          <cell r="H2307" t="str">
            <v/>
          </cell>
          <cell r="J2307" t="str">
            <v/>
          </cell>
          <cell r="N2307" t="str">
            <v/>
          </cell>
          <cell r="O2307" t="str">
            <v/>
          </cell>
          <cell r="P2307" t="str">
            <v/>
          </cell>
          <cell r="Q2307" t="str">
            <v/>
          </cell>
          <cell r="T2307" t="str">
            <v/>
          </cell>
          <cell r="U2307" t="str">
            <v/>
          </cell>
          <cell r="W2307" t="str">
            <v/>
          </cell>
          <cell r="X2307" t="str">
            <v/>
          </cell>
          <cell r="AB2307">
            <v>0</v>
          </cell>
          <cell r="AC2307">
            <v>0</v>
          </cell>
          <cell r="AD2307">
            <v>0</v>
          </cell>
          <cell r="AJ2307">
            <v>0</v>
          </cell>
          <cell r="AK2307">
            <v>0</v>
          </cell>
        </row>
        <row r="2308">
          <cell r="B2308" t="str">
            <v/>
          </cell>
          <cell r="H2308" t="str">
            <v/>
          </cell>
          <cell r="J2308" t="str">
            <v/>
          </cell>
          <cell r="N2308" t="str">
            <v/>
          </cell>
          <cell r="O2308" t="str">
            <v/>
          </cell>
          <cell r="P2308" t="str">
            <v/>
          </cell>
          <cell r="Q2308" t="str">
            <v/>
          </cell>
          <cell r="T2308" t="str">
            <v/>
          </cell>
          <cell r="U2308" t="str">
            <v/>
          </cell>
          <cell r="W2308" t="str">
            <v/>
          </cell>
          <cell r="X2308" t="str">
            <v/>
          </cell>
          <cell r="AB2308">
            <v>0</v>
          </cell>
          <cell r="AC2308">
            <v>0</v>
          </cell>
          <cell r="AD2308">
            <v>0</v>
          </cell>
          <cell r="AJ2308">
            <v>0</v>
          </cell>
          <cell r="AK2308">
            <v>0</v>
          </cell>
        </row>
        <row r="2309">
          <cell r="B2309" t="str">
            <v/>
          </cell>
          <cell r="H2309" t="str">
            <v/>
          </cell>
          <cell r="J2309" t="str">
            <v/>
          </cell>
          <cell r="N2309" t="str">
            <v/>
          </cell>
          <cell r="O2309" t="str">
            <v/>
          </cell>
          <cell r="P2309" t="str">
            <v/>
          </cell>
          <cell r="Q2309" t="str">
            <v/>
          </cell>
          <cell r="T2309" t="str">
            <v/>
          </cell>
          <cell r="U2309" t="str">
            <v/>
          </cell>
          <cell r="W2309" t="str">
            <v/>
          </cell>
          <cell r="X2309" t="str">
            <v/>
          </cell>
          <cell r="AB2309">
            <v>0</v>
          </cell>
          <cell r="AC2309">
            <v>0</v>
          </cell>
          <cell r="AD2309">
            <v>0</v>
          </cell>
          <cell r="AJ2309">
            <v>0</v>
          </cell>
          <cell r="AK2309">
            <v>0</v>
          </cell>
        </row>
        <row r="2310">
          <cell r="B2310" t="str">
            <v/>
          </cell>
          <cell r="H2310" t="str">
            <v/>
          </cell>
          <cell r="J2310" t="str">
            <v/>
          </cell>
          <cell r="N2310" t="str">
            <v/>
          </cell>
          <cell r="O2310" t="str">
            <v/>
          </cell>
          <cell r="P2310" t="str">
            <v/>
          </cell>
          <cell r="Q2310" t="str">
            <v/>
          </cell>
          <cell r="T2310" t="str">
            <v/>
          </cell>
          <cell r="U2310" t="str">
            <v/>
          </cell>
          <cell r="W2310" t="str">
            <v/>
          </cell>
          <cell r="X2310" t="str">
            <v/>
          </cell>
          <cell r="AB2310">
            <v>0</v>
          </cell>
          <cell r="AC2310">
            <v>0</v>
          </cell>
          <cell r="AD2310">
            <v>0</v>
          </cell>
          <cell r="AJ2310">
            <v>0</v>
          </cell>
          <cell r="AK2310">
            <v>0</v>
          </cell>
        </row>
        <row r="2311">
          <cell r="B2311" t="str">
            <v/>
          </cell>
          <cell r="H2311" t="str">
            <v/>
          </cell>
          <cell r="J2311" t="str">
            <v/>
          </cell>
          <cell r="N2311" t="str">
            <v/>
          </cell>
          <cell r="O2311" t="str">
            <v/>
          </cell>
          <cell r="P2311" t="str">
            <v/>
          </cell>
          <cell r="Q2311" t="str">
            <v/>
          </cell>
          <cell r="T2311" t="str">
            <v/>
          </cell>
          <cell r="U2311" t="str">
            <v/>
          </cell>
          <cell r="W2311" t="str">
            <v/>
          </cell>
          <cell r="X2311" t="str">
            <v/>
          </cell>
          <cell r="AB2311">
            <v>0</v>
          </cell>
          <cell r="AC2311">
            <v>0</v>
          </cell>
          <cell r="AD2311">
            <v>0</v>
          </cell>
          <cell r="AJ2311">
            <v>0</v>
          </cell>
          <cell r="AK2311">
            <v>0</v>
          </cell>
        </row>
        <row r="2312">
          <cell r="B2312" t="str">
            <v/>
          </cell>
          <cell r="H2312" t="str">
            <v/>
          </cell>
          <cell r="J2312" t="str">
            <v/>
          </cell>
          <cell r="N2312" t="str">
            <v/>
          </cell>
          <cell r="O2312" t="str">
            <v/>
          </cell>
          <cell r="P2312" t="str">
            <v/>
          </cell>
          <cell r="Q2312" t="str">
            <v/>
          </cell>
          <cell r="T2312" t="str">
            <v/>
          </cell>
          <cell r="U2312" t="str">
            <v/>
          </cell>
          <cell r="W2312" t="str">
            <v/>
          </cell>
          <cell r="X2312" t="str">
            <v/>
          </cell>
          <cell r="AB2312">
            <v>0</v>
          </cell>
          <cell r="AC2312">
            <v>0</v>
          </cell>
          <cell r="AD2312">
            <v>0</v>
          </cell>
          <cell r="AJ2312">
            <v>0</v>
          </cell>
          <cell r="AK2312">
            <v>0</v>
          </cell>
        </row>
        <row r="2313">
          <cell r="B2313" t="str">
            <v/>
          </cell>
          <cell r="H2313" t="str">
            <v/>
          </cell>
          <cell r="J2313" t="str">
            <v/>
          </cell>
          <cell r="N2313" t="str">
            <v/>
          </cell>
          <cell r="O2313" t="str">
            <v/>
          </cell>
          <cell r="P2313" t="str">
            <v/>
          </cell>
          <cell r="Q2313" t="str">
            <v/>
          </cell>
          <cell r="T2313" t="str">
            <v/>
          </cell>
          <cell r="U2313" t="str">
            <v/>
          </cell>
          <cell r="W2313" t="str">
            <v/>
          </cell>
          <cell r="X2313" t="str">
            <v/>
          </cell>
          <cell r="AB2313">
            <v>0</v>
          </cell>
          <cell r="AC2313">
            <v>0</v>
          </cell>
          <cell r="AD2313">
            <v>0</v>
          </cell>
          <cell r="AJ2313">
            <v>0</v>
          </cell>
          <cell r="AK2313">
            <v>0</v>
          </cell>
        </row>
        <row r="2314">
          <cell r="B2314" t="str">
            <v/>
          </cell>
          <cell r="H2314" t="str">
            <v/>
          </cell>
          <cell r="J2314" t="str">
            <v/>
          </cell>
          <cell r="N2314" t="str">
            <v/>
          </cell>
          <cell r="O2314" t="str">
            <v/>
          </cell>
          <cell r="P2314" t="str">
            <v/>
          </cell>
          <cell r="Q2314" t="str">
            <v/>
          </cell>
          <cell r="T2314" t="str">
            <v/>
          </cell>
          <cell r="U2314" t="str">
            <v/>
          </cell>
          <cell r="W2314" t="str">
            <v/>
          </cell>
          <cell r="X2314" t="str">
            <v/>
          </cell>
          <cell r="AB2314">
            <v>0</v>
          </cell>
          <cell r="AC2314">
            <v>0</v>
          </cell>
          <cell r="AD2314">
            <v>0</v>
          </cell>
          <cell r="AJ2314">
            <v>0</v>
          </cell>
          <cell r="AK2314">
            <v>0</v>
          </cell>
        </row>
        <row r="2315">
          <cell r="B2315" t="str">
            <v/>
          </cell>
          <cell r="H2315" t="str">
            <v/>
          </cell>
          <cell r="J2315" t="str">
            <v/>
          </cell>
          <cell r="N2315" t="str">
            <v/>
          </cell>
          <cell r="O2315" t="str">
            <v/>
          </cell>
          <cell r="P2315" t="str">
            <v/>
          </cell>
          <cell r="Q2315" t="str">
            <v/>
          </cell>
          <cell r="T2315" t="str">
            <v/>
          </cell>
          <cell r="U2315" t="str">
            <v/>
          </cell>
          <cell r="W2315" t="str">
            <v/>
          </cell>
          <cell r="X2315" t="str">
            <v/>
          </cell>
          <cell r="AB2315">
            <v>0</v>
          </cell>
          <cell r="AC2315">
            <v>0</v>
          </cell>
          <cell r="AD2315">
            <v>0</v>
          </cell>
          <cell r="AJ2315">
            <v>0</v>
          </cell>
          <cell r="AK2315">
            <v>0</v>
          </cell>
        </row>
        <row r="2316">
          <cell r="B2316" t="str">
            <v/>
          </cell>
          <cell r="H2316" t="str">
            <v/>
          </cell>
          <cell r="J2316" t="str">
            <v/>
          </cell>
          <cell r="N2316" t="str">
            <v/>
          </cell>
          <cell r="O2316" t="str">
            <v/>
          </cell>
          <cell r="P2316" t="str">
            <v/>
          </cell>
          <cell r="Q2316" t="str">
            <v/>
          </cell>
          <cell r="T2316" t="str">
            <v/>
          </cell>
          <cell r="U2316" t="str">
            <v/>
          </cell>
          <cell r="W2316" t="str">
            <v/>
          </cell>
          <cell r="X2316" t="str">
            <v/>
          </cell>
          <cell r="AB2316">
            <v>0</v>
          </cell>
          <cell r="AC2316">
            <v>0</v>
          </cell>
          <cell r="AD2316">
            <v>0</v>
          </cell>
          <cell r="AJ2316">
            <v>0</v>
          </cell>
          <cell r="AK2316">
            <v>0</v>
          </cell>
        </row>
        <row r="2317">
          <cell r="B2317" t="str">
            <v/>
          </cell>
          <cell r="H2317" t="str">
            <v/>
          </cell>
          <cell r="J2317" t="str">
            <v/>
          </cell>
          <cell r="N2317" t="str">
            <v/>
          </cell>
          <cell r="O2317" t="str">
            <v/>
          </cell>
          <cell r="P2317" t="str">
            <v/>
          </cell>
          <cell r="Q2317" t="str">
            <v/>
          </cell>
          <cell r="T2317" t="str">
            <v/>
          </cell>
          <cell r="U2317" t="str">
            <v/>
          </cell>
          <cell r="W2317" t="str">
            <v/>
          </cell>
          <cell r="X2317" t="str">
            <v/>
          </cell>
          <cell r="AB2317">
            <v>0</v>
          </cell>
          <cell r="AC2317">
            <v>0</v>
          </cell>
          <cell r="AD2317">
            <v>0</v>
          </cell>
          <cell r="AJ2317">
            <v>0</v>
          </cell>
          <cell r="AK2317">
            <v>0</v>
          </cell>
        </row>
        <row r="2318">
          <cell r="B2318" t="str">
            <v/>
          </cell>
          <cell r="H2318" t="str">
            <v/>
          </cell>
          <cell r="J2318" t="str">
            <v/>
          </cell>
          <cell r="N2318" t="str">
            <v/>
          </cell>
          <cell r="O2318" t="str">
            <v/>
          </cell>
          <cell r="P2318" t="str">
            <v/>
          </cell>
          <cell r="Q2318" t="str">
            <v/>
          </cell>
          <cell r="T2318" t="str">
            <v/>
          </cell>
          <cell r="U2318" t="str">
            <v/>
          </cell>
          <cell r="W2318" t="str">
            <v/>
          </cell>
          <cell r="X2318" t="str">
            <v/>
          </cell>
          <cell r="AB2318">
            <v>0</v>
          </cell>
          <cell r="AC2318">
            <v>0</v>
          </cell>
          <cell r="AD2318">
            <v>0</v>
          </cell>
          <cell r="AJ2318">
            <v>0</v>
          </cell>
          <cell r="AK2318">
            <v>0</v>
          </cell>
        </row>
        <row r="2319">
          <cell r="B2319" t="str">
            <v/>
          </cell>
          <cell r="H2319" t="str">
            <v/>
          </cell>
          <cell r="J2319" t="str">
            <v/>
          </cell>
          <cell r="N2319" t="str">
            <v/>
          </cell>
          <cell r="O2319" t="str">
            <v/>
          </cell>
          <cell r="P2319" t="str">
            <v/>
          </cell>
          <cell r="Q2319" t="str">
            <v/>
          </cell>
          <cell r="T2319" t="str">
            <v/>
          </cell>
          <cell r="U2319" t="str">
            <v/>
          </cell>
          <cell r="W2319" t="str">
            <v/>
          </cell>
          <cell r="X2319" t="str">
            <v/>
          </cell>
          <cell r="AB2319">
            <v>0</v>
          </cell>
          <cell r="AC2319">
            <v>0</v>
          </cell>
          <cell r="AD2319">
            <v>0</v>
          </cell>
          <cell r="AJ2319">
            <v>0</v>
          </cell>
          <cell r="AK2319">
            <v>0</v>
          </cell>
        </row>
        <row r="2320">
          <cell r="B2320" t="str">
            <v/>
          </cell>
          <cell r="H2320" t="str">
            <v/>
          </cell>
          <cell r="J2320" t="str">
            <v/>
          </cell>
          <cell r="N2320" t="str">
            <v/>
          </cell>
          <cell r="O2320" t="str">
            <v/>
          </cell>
          <cell r="P2320" t="str">
            <v/>
          </cell>
          <cell r="Q2320" t="str">
            <v/>
          </cell>
          <cell r="T2320" t="str">
            <v/>
          </cell>
          <cell r="U2320" t="str">
            <v/>
          </cell>
          <cell r="W2320" t="str">
            <v/>
          </cell>
          <cell r="X2320" t="str">
            <v/>
          </cell>
          <cell r="AB2320">
            <v>0</v>
          </cell>
          <cell r="AC2320">
            <v>0</v>
          </cell>
          <cell r="AD2320">
            <v>0</v>
          </cell>
          <cell r="AJ2320">
            <v>0</v>
          </cell>
          <cell r="AK2320">
            <v>0</v>
          </cell>
        </row>
        <row r="2321">
          <cell r="B2321" t="str">
            <v/>
          </cell>
          <cell r="H2321" t="str">
            <v/>
          </cell>
          <cell r="J2321" t="str">
            <v/>
          </cell>
          <cell r="N2321" t="str">
            <v/>
          </cell>
          <cell r="O2321" t="str">
            <v/>
          </cell>
          <cell r="P2321" t="str">
            <v/>
          </cell>
          <cell r="Q2321" t="str">
            <v/>
          </cell>
          <cell r="T2321" t="str">
            <v/>
          </cell>
          <cell r="U2321" t="str">
            <v/>
          </cell>
          <cell r="W2321" t="str">
            <v/>
          </cell>
          <cell r="X2321" t="str">
            <v/>
          </cell>
          <cell r="AB2321">
            <v>0</v>
          </cell>
          <cell r="AC2321">
            <v>0</v>
          </cell>
          <cell r="AD2321">
            <v>0</v>
          </cell>
          <cell r="AJ2321">
            <v>0</v>
          </cell>
          <cell r="AK2321">
            <v>0</v>
          </cell>
        </row>
        <row r="2322">
          <cell r="B2322" t="str">
            <v/>
          </cell>
          <cell r="H2322" t="str">
            <v/>
          </cell>
          <cell r="J2322" t="str">
            <v/>
          </cell>
          <cell r="N2322" t="str">
            <v/>
          </cell>
          <cell r="O2322" t="str">
            <v/>
          </cell>
          <cell r="P2322" t="str">
            <v/>
          </cell>
          <cell r="Q2322" t="str">
            <v/>
          </cell>
          <cell r="T2322" t="str">
            <v/>
          </cell>
          <cell r="U2322" t="str">
            <v/>
          </cell>
          <cell r="W2322" t="str">
            <v/>
          </cell>
          <cell r="X2322" t="str">
            <v/>
          </cell>
          <cell r="AB2322">
            <v>0</v>
          </cell>
          <cell r="AC2322">
            <v>0</v>
          </cell>
          <cell r="AD2322">
            <v>0</v>
          </cell>
          <cell r="AJ2322">
            <v>0</v>
          </cell>
          <cell r="AK2322">
            <v>0</v>
          </cell>
        </row>
        <row r="2323">
          <cell r="B2323" t="str">
            <v/>
          </cell>
          <cell r="H2323" t="str">
            <v/>
          </cell>
          <cell r="J2323" t="str">
            <v/>
          </cell>
          <cell r="N2323" t="str">
            <v/>
          </cell>
          <cell r="O2323" t="str">
            <v/>
          </cell>
          <cell r="P2323" t="str">
            <v/>
          </cell>
          <cell r="Q2323" t="str">
            <v/>
          </cell>
          <cell r="T2323" t="str">
            <v/>
          </cell>
          <cell r="U2323" t="str">
            <v/>
          </cell>
          <cell r="W2323" t="str">
            <v/>
          </cell>
          <cell r="X2323" t="str">
            <v/>
          </cell>
          <cell r="AB2323">
            <v>0</v>
          </cell>
          <cell r="AC2323">
            <v>0</v>
          </cell>
          <cell r="AD2323">
            <v>0</v>
          </cell>
          <cell r="AJ2323">
            <v>0</v>
          </cell>
          <cell r="AK2323">
            <v>0</v>
          </cell>
        </row>
        <row r="2324">
          <cell r="B2324" t="str">
            <v/>
          </cell>
          <cell r="H2324" t="str">
            <v/>
          </cell>
          <cell r="J2324" t="str">
            <v/>
          </cell>
          <cell r="N2324" t="str">
            <v/>
          </cell>
          <cell r="O2324" t="str">
            <v/>
          </cell>
          <cell r="P2324" t="str">
            <v/>
          </cell>
          <cell r="Q2324" t="str">
            <v/>
          </cell>
          <cell r="T2324" t="str">
            <v/>
          </cell>
          <cell r="U2324" t="str">
            <v/>
          </cell>
          <cell r="W2324" t="str">
            <v/>
          </cell>
          <cell r="X2324" t="str">
            <v/>
          </cell>
          <cell r="AB2324">
            <v>0</v>
          </cell>
          <cell r="AC2324">
            <v>0</v>
          </cell>
          <cell r="AD2324">
            <v>0</v>
          </cell>
          <cell r="AJ2324">
            <v>0</v>
          </cell>
          <cell r="AK2324">
            <v>0</v>
          </cell>
        </row>
        <row r="2325">
          <cell r="B2325" t="str">
            <v/>
          </cell>
          <cell r="H2325" t="str">
            <v/>
          </cell>
          <cell r="J2325" t="str">
            <v/>
          </cell>
          <cell r="N2325" t="str">
            <v/>
          </cell>
          <cell r="O2325" t="str">
            <v/>
          </cell>
          <cell r="P2325" t="str">
            <v/>
          </cell>
          <cell r="Q2325" t="str">
            <v/>
          </cell>
          <cell r="T2325" t="str">
            <v/>
          </cell>
          <cell r="U2325" t="str">
            <v/>
          </cell>
          <cell r="W2325" t="str">
            <v/>
          </cell>
          <cell r="X2325" t="str">
            <v/>
          </cell>
          <cell r="AB2325">
            <v>0</v>
          </cell>
          <cell r="AC2325">
            <v>0</v>
          </cell>
          <cell r="AD2325">
            <v>0</v>
          </cell>
          <cell r="AJ2325">
            <v>0</v>
          </cell>
          <cell r="AK2325">
            <v>0</v>
          </cell>
        </row>
        <row r="2326">
          <cell r="B2326" t="str">
            <v/>
          </cell>
          <cell r="H2326" t="str">
            <v/>
          </cell>
          <cell r="J2326" t="str">
            <v/>
          </cell>
          <cell r="N2326" t="str">
            <v/>
          </cell>
          <cell r="O2326" t="str">
            <v/>
          </cell>
          <cell r="P2326" t="str">
            <v/>
          </cell>
          <cell r="Q2326" t="str">
            <v/>
          </cell>
          <cell r="T2326" t="str">
            <v/>
          </cell>
          <cell r="U2326" t="str">
            <v/>
          </cell>
          <cell r="W2326" t="str">
            <v/>
          </cell>
          <cell r="X2326" t="str">
            <v/>
          </cell>
          <cell r="AB2326">
            <v>0</v>
          </cell>
          <cell r="AC2326">
            <v>0</v>
          </cell>
          <cell r="AD2326">
            <v>0</v>
          </cell>
          <cell r="AJ2326">
            <v>0</v>
          </cell>
          <cell r="AK2326">
            <v>0</v>
          </cell>
        </row>
        <row r="2327">
          <cell r="B2327" t="str">
            <v/>
          </cell>
          <cell r="H2327" t="str">
            <v/>
          </cell>
          <cell r="J2327" t="str">
            <v/>
          </cell>
          <cell r="N2327" t="str">
            <v/>
          </cell>
          <cell r="O2327" t="str">
            <v/>
          </cell>
          <cell r="P2327" t="str">
            <v/>
          </cell>
          <cell r="Q2327" t="str">
            <v/>
          </cell>
          <cell r="T2327" t="str">
            <v/>
          </cell>
          <cell r="U2327" t="str">
            <v/>
          </cell>
          <cell r="W2327" t="str">
            <v/>
          </cell>
          <cell r="X2327" t="str">
            <v/>
          </cell>
          <cell r="AB2327">
            <v>0</v>
          </cell>
          <cell r="AC2327">
            <v>0</v>
          </cell>
          <cell r="AD2327">
            <v>0</v>
          </cell>
          <cell r="AJ2327">
            <v>0</v>
          </cell>
          <cell r="AK2327">
            <v>0</v>
          </cell>
        </row>
        <row r="2328">
          <cell r="B2328" t="str">
            <v/>
          </cell>
          <cell r="H2328" t="str">
            <v/>
          </cell>
          <cell r="J2328" t="str">
            <v/>
          </cell>
          <cell r="N2328" t="str">
            <v/>
          </cell>
          <cell r="O2328" t="str">
            <v/>
          </cell>
          <cell r="P2328" t="str">
            <v/>
          </cell>
          <cell r="Q2328" t="str">
            <v/>
          </cell>
          <cell r="T2328" t="str">
            <v/>
          </cell>
          <cell r="U2328" t="str">
            <v/>
          </cell>
          <cell r="W2328" t="str">
            <v/>
          </cell>
          <cell r="X2328" t="str">
            <v/>
          </cell>
          <cell r="AB2328">
            <v>0</v>
          </cell>
          <cell r="AC2328">
            <v>0</v>
          </cell>
          <cell r="AD2328">
            <v>0</v>
          </cell>
          <cell r="AJ2328">
            <v>0</v>
          </cell>
          <cell r="AK2328">
            <v>0</v>
          </cell>
        </row>
        <row r="2329">
          <cell r="B2329" t="str">
            <v/>
          </cell>
          <cell r="H2329" t="str">
            <v/>
          </cell>
          <cell r="J2329" t="str">
            <v/>
          </cell>
          <cell r="N2329" t="str">
            <v/>
          </cell>
          <cell r="O2329" t="str">
            <v/>
          </cell>
          <cell r="P2329" t="str">
            <v/>
          </cell>
          <cell r="Q2329" t="str">
            <v/>
          </cell>
          <cell r="T2329" t="str">
            <v/>
          </cell>
          <cell r="U2329" t="str">
            <v/>
          </cell>
          <cell r="W2329" t="str">
            <v/>
          </cell>
          <cell r="X2329" t="str">
            <v/>
          </cell>
          <cell r="AB2329">
            <v>0</v>
          </cell>
          <cell r="AC2329">
            <v>0</v>
          </cell>
          <cell r="AD2329">
            <v>0</v>
          </cell>
          <cell r="AJ2329">
            <v>0</v>
          </cell>
          <cell r="AK2329">
            <v>0</v>
          </cell>
        </row>
        <row r="2330">
          <cell r="B2330" t="str">
            <v/>
          </cell>
          <cell r="H2330" t="str">
            <v/>
          </cell>
          <cell r="J2330" t="str">
            <v/>
          </cell>
          <cell r="N2330" t="str">
            <v/>
          </cell>
          <cell r="O2330" t="str">
            <v/>
          </cell>
          <cell r="P2330" t="str">
            <v/>
          </cell>
          <cell r="Q2330" t="str">
            <v/>
          </cell>
          <cell r="T2330" t="str">
            <v/>
          </cell>
          <cell r="U2330" t="str">
            <v/>
          </cell>
          <cell r="W2330" t="str">
            <v/>
          </cell>
          <cell r="X2330" t="str">
            <v/>
          </cell>
          <cell r="AB2330">
            <v>0</v>
          </cell>
          <cell r="AC2330">
            <v>0</v>
          </cell>
          <cell r="AD2330">
            <v>0</v>
          </cell>
          <cell r="AJ2330">
            <v>0</v>
          </cell>
          <cell r="AK2330">
            <v>0</v>
          </cell>
        </row>
        <row r="2331">
          <cell r="B2331" t="str">
            <v/>
          </cell>
          <cell r="H2331" t="str">
            <v/>
          </cell>
          <cell r="J2331" t="str">
            <v/>
          </cell>
          <cell r="N2331" t="str">
            <v/>
          </cell>
          <cell r="O2331" t="str">
            <v/>
          </cell>
          <cell r="P2331" t="str">
            <v/>
          </cell>
          <cell r="Q2331" t="str">
            <v/>
          </cell>
          <cell r="T2331" t="str">
            <v/>
          </cell>
          <cell r="U2331" t="str">
            <v/>
          </cell>
          <cell r="W2331" t="str">
            <v/>
          </cell>
          <cell r="X2331" t="str">
            <v/>
          </cell>
          <cell r="AB2331">
            <v>0</v>
          </cell>
          <cell r="AC2331">
            <v>0</v>
          </cell>
          <cell r="AD2331">
            <v>0</v>
          </cell>
          <cell r="AJ2331">
            <v>0</v>
          </cell>
          <cell r="AK2331">
            <v>0</v>
          </cell>
        </row>
        <row r="2332">
          <cell r="B2332" t="str">
            <v/>
          </cell>
          <cell r="H2332" t="str">
            <v/>
          </cell>
          <cell r="J2332" t="str">
            <v/>
          </cell>
          <cell r="N2332" t="str">
            <v/>
          </cell>
          <cell r="O2332" t="str">
            <v/>
          </cell>
          <cell r="P2332" t="str">
            <v/>
          </cell>
          <cell r="Q2332" t="str">
            <v/>
          </cell>
          <cell r="T2332" t="str">
            <v/>
          </cell>
          <cell r="U2332" t="str">
            <v/>
          </cell>
          <cell r="W2332" t="str">
            <v/>
          </cell>
          <cell r="X2332" t="str">
            <v/>
          </cell>
          <cell r="AB2332">
            <v>0</v>
          </cell>
          <cell r="AC2332">
            <v>0</v>
          </cell>
          <cell r="AD2332">
            <v>0</v>
          </cell>
          <cell r="AJ2332">
            <v>0</v>
          </cell>
          <cell r="AK2332">
            <v>0</v>
          </cell>
        </row>
        <row r="2333">
          <cell r="B2333" t="str">
            <v/>
          </cell>
          <cell r="H2333" t="str">
            <v/>
          </cell>
          <cell r="J2333" t="str">
            <v/>
          </cell>
          <cell r="N2333" t="str">
            <v/>
          </cell>
          <cell r="O2333" t="str">
            <v/>
          </cell>
          <cell r="P2333" t="str">
            <v/>
          </cell>
          <cell r="Q2333" t="str">
            <v/>
          </cell>
          <cell r="T2333" t="str">
            <v/>
          </cell>
          <cell r="U2333" t="str">
            <v/>
          </cell>
          <cell r="W2333" t="str">
            <v/>
          </cell>
          <cell r="X2333" t="str">
            <v/>
          </cell>
          <cell r="AB2333">
            <v>0</v>
          </cell>
          <cell r="AC2333">
            <v>0</v>
          </cell>
          <cell r="AD2333">
            <v>0</v>
          </cell>
          <cell r="AJ2333">
            <v>0</v>
          </cell>
          <cell r="AK2333">
            <v>0</v>
          </cell>
        </row>
        <row r="2334">
          <cell r="B2334" t="str">
            <v/>
          </cell>
          <cell r="H2334" t="str">
            <v/>
          </cell>
          <cell r="J2334" t="str">
            <v/>
          </cell>
          <cell r="N2334" t="str">
            <v/>
          </cell>
          <cell r="O2334" t="str">
            <v/>
          </cell>
          <cell r="P2334" t="str">
            <v/>
          </cell>
          <cell r="Q2334" t="str">
            <v/>
          </cell>
          <cell r="T2334" t="str">
            <v/>
          </cell>
          <cell r="U2334" t="str">
            <v/>
          </cell>
          <cell r="W2334" t="str">
            <v/>
          </cell>
          <cell r="X2334" t="str">
            <v/>
          </cell>
          <cell r="AB2334">
            <v>0</v>
          </cell>
          <cell r="AC2334">
            <v>0</v>
          </cell>
          <cell r="AD2334">
            <v>0</v>
          </cell>
          <cell r="AJ2334">
            <v>0</v>
          </cell>
          <cell r="AK2334">
            <v>0</v>
          </cell>
        </row>
        <row r="2335">
          <cell r="B2335" t="str">
            <v/>
          </cell>
          <cell r="H2335" t="str">
            <v/>
          </cell>
          <cell r="J2335" t="str">
            <v/>
          </cell>
          <cell r="N2335" t="str">
            <v/>
          </cell>
          <cell r="O2335" t="str">
            <v/>
          </cell>
          <cell r="P2335" t="str">
            <v/>
          </cell>
          <cell r="Q2335" t="str">
            <v/>
          </cell>
          <cell r="T2335" t="str">
            <v/>
          </cell>
          <cell r="U2335" t="str">
            <v/>
          </cell>
          <cell r="W2335" t="str">
            <v/>
          </cell>
          <cell r="X2335" t="str">
            <v/>
          </cell>
          <cell r="AB2335">
            <v>0</v>
          </cell>
          <cell r="AC2335">
            <v>0</v>
          </cell>
          <cell r="AD2335">
            <v>0</v>
          </cell>
          <cell r="AJ2335">
            <v>0</v>
          </cell>
          <cell r="AK2335">
            <v>0</v>
          </cell>
        </row>
        <row r="2336">
          <cell r="B2336" t="str">
            <v/>
          </cell>
          <cell r="H2336" t="str">
            <v/>
          </cell>
          <cell r="J2336" t="str">
            <v/>
          </cell>
          <cell r="N2336" t="str">
            <v/>
          </cell>
          <cell r="O2336" t="str">
            <v/>
          </cell>
          <cell r="P2336" t="str">
            <v/>
          </cell>
          <cell r="Q2336" t="str">
            <v/>
          </cell>
          <cell r="T2336" t="str">
            <v/>
          </cell>
          <cell r="U2336" t="str">
            <v/>
          </cell>
          <cell r="W2336" t="str">
            <v/>
          </cell>
          <cell r="X2336" t="str">
            <v/>
          </cell>
          <cell r="AB2336">
            <v>0</v>
          </cell>
          <cell r="AC2336">
            <v>0</v>
          </cell>
          <cell r="AD2336">
            <v>0</v>
          </cell>
          <cell r="AJ2336">
            <v>0</v>
          </cell>
          <cell r="AK2336">
            <v>0</v>
          </cell>
        </row>
        <row r="2337">
          <cell r="B2337" t="str">
            <v/>
          </cell>
          <cell r="H2337" t="str">
            <v/>
          </cell>
          <cell r="J2337" t="str">
            <v/>
          </cell>
          <cell r="N2337" t="str">
            <v/>
          </cell>
          <cell r="O2337" t="str">
            <v/>
          </cell>
          <cell r="P2337" t="str">
            <v/>
          </cell>
          <cell r="Q2337" t="str">
            <v/>
          </cell>
          <cell r="T2337" t="str">
            <v/>
          </cell>
          <cell r="U2337" t="str">
            <v/>
          </cell>
          <cell r="W2337" t="str">
            <v/>
          </cell>
          <cell r="X2337" t="str">
            <v/>
          </cell>
          <cell r="AB2337">
            <v>0</v>
          </cell>
          <cell r="AC2337">
            <v>0</v>
          </cell>
          <cell r="AD2337">
            <v>0</v>
          </cell>
          <cell r="AJ2337">
            <v>0</v>
          </cell>
          <cell r="AK2337">
            <v>0</v>
          </cell>
        </row>
        <row r="2338">
          <cell r="B2338" t="str">
            <v/>
          </cell>
          <cell r="H2338" t="str">
            <v/>
          </cell>
          <cell r="J2338" t="str">
            <v/>
          </cell>
          <cell r="N2338" t="str">
            <v/>
          </cell>
          <cell r="O2338" t="str">
            <v/>
          </cell>
          <cell r="P2338" t="str">
            <v/>
          </cell>
          <cell r="Q2338" t="str">
            <v/>
          </cell>
          <cell r="T2338" t="str">
            <v/>
          </cell>
          <cell r="U2338" t="str">
            <v/>
          </cell>
          <cell r="W2338" t="str">
            <v/>
          </cell>
          <cell r="X2338" t="str">
            <v/>
          </cell>
          <cell r="AB2338">
            <v>0</v>
          </cell>
          <cell r="AC2338">
            <v>0</v>
          </cell>
          <cell r="AD2338">
            <v>0</v>
          </cell>
          <cell r="AJ2338">
            <v>0</v>
          </cell>
          <cell r="AK2338">
            <v>0</v>
          </cell>
        </row>
        <row r="2339">
          <cell r="B2339" t="str">
            <v/>
          </cell>
          <cell r="H2339" t="str">
            <v/>
          </cell>
          <cell r="J2339" t="str">
            <v/>
          </cell>
          <cell r="N2339" t="str">
            <v/>
          </cell>
          <cell r="O2339" t="str">
            <v/>
          </cell>
          <cell r="P2339" t="str">
            <v/>
          </cell>
          <cell r="Q2339" t="str">
            <v/>
          </cell>
          <cell r="T2339" t="str">
            <v/>
          </cell>
          <cell r="U2339" t="str">
            <v/>
          </cell>
          <cell r="W2339" t="str">
            <v/>
          </cell>
          <cell r="X2339" t="str">
            <v/>
          </cell>
          <cell r="AB2339">
            <v>0</v>
          </cell>
          <cell r="AC2339">
            <v>0</v>
          </cell>
          <cell r="AD2339">
            <v>0</v>
          </cell>
          <cell r="AJ2339">
            <v>0</v>
          </cell>
          <cell r="AK2339">
            <v>0</v>
          </cell>
        </row>
        <row r="2340">
          <cell r="B2340" t="str">
            <v/>
          </cell>
          <cell r="H2340" t="str">
            <v/>
          </cell>
          <cell r="J2340" t="str">
            <v/>
          </cell>
          <cell r="N2340" t="str">
            <v/>
          </cell>
          <cell r="O2340" t="str">
            <v/>
          </cell>
          <cell r="P2340" t="str">
            <v/>
          </cell>
          <cell r="Q2340" t="str">
            <v/>
          </cell>
          <cell r="T2340" t="str">
            <v/>
          </cell>
          <cell r="U2340" t="str">
            <v/>
          </cell>
          <cell r="W2340" t="str">
            <v/>
          </cell>
          <cell r="X2340" t="str">
            <v/>
          </cell>
          <cell r="AB2340">
            <v>0</v>
          </cell>
          <cell r="AC2340">
            <v>0</v>
          </cell>
          <cell r="AD2340">
            <v>0</v>
          </cell>
          <cell r="AJ2340">
            <v>0</v>
          </cell>
          <cell r="AK2340">
            <v>0</v>
          </cell>
        </row>
        <row r="2341">
          <cell r="B2341" t="str">
            <v/>
          </cell>
          <cell r="H2341" t="str">
            <v/>
          </cell>
          <cell r="J2341" t="str">
            <v/>
          </cell>
          <cell r="N2341" t="str">
            <v/>
          </cell>
          <cell r="O2341" t="str">
            <v/>
          </cell>
          <cell r="P2341" t="str">
            <v/>
          </cell>
          <cell r="Q2341" t="str">
            <v/>
          </cell>
          <cell r="T2341" t="str">
            <v/>
          </cell>
          <cell r="U2341" t="str">
            <v/>
          </cell>
          <cell r="W2341" t="str">
            <v/>
          </cell>
          <cell r="X2341" t="str">
            <v/>
          </cell>
          <cell r="AB2341">
            <v>0</v>
          </cell>
          <cell r="AC2341">
            <v>0</v>
          </cell>
          <cell r="AD2341">
            <v>0</v>
          </cell>
          <cell r="AJ2341">
            <v>0</v>
          </cell>
          <cell r="AK2341">
            <v>0</v>
          </cell>
        </row>
        <row r="2342">
          <cell r="B2342" t="str">
            <v/>
          </cell>
          <cell r="H2342" t="str">
            <v/>
          </cell>
          <cell r="J2342" t="str">
            <v/>
          </cell>
          <cell r="N2342" t="str">
            <v/>
          </cell>
          <cell r="O2342" t="str">
            <v/>
          </cell>
          <cell r="P2342" t="str">
            <v/>
          </cell>
          <cell r="Q2342" t="str">
            <v/>
          </cell>
          <cell r="T2342" t="str">
            <v/>
          </cell>
          <cell r="U2342" t="str">
            <v/>
          </cell>
          <cell r="W2342" t="str">
            <v/>
          </cell>
          <cell r="X2342" t="str">
            <v/>
          </cell>
          <cell r="AB2342">
            <v>0</v>
          </cell>
          <cell r="AC2342">
            <v>0</v>
          </cell>
          <cell r="AD2342">
            <v>0</v>
          </cell>
          <cell r="AJ2342">
            <v>0</v>
          </cell>
          <cell r="AK2342">
            <v>0</v>
          </cell>
        </row>
        <row r="2343">
          <cell r="B2343" t="str">
            <v/>
          </cell>
          <cell r="H2343" t="str">
            <v/>
          </cell>
          <cell r="J2343" t="str">
            <v/>
          </cell>
          <cell r="N2343" t="str">
            <v/>
          </cell>
          <cell r="O2343" t="str">
            <v/>
          </cell>
          <cell r="P2343" t="str">
            <v/>
          </cell>
          <cell r="Q2343" t="str">
            <v/>
          </cell>
          <cell r="T2343" t="str">
            <v/>
          </cell>
          <cell r="U2343" t="str">
            <v/>
          </cell>
          <cell r="W2343" t="str">
            <v/>
          </cell>
          <cell r="X2343" t="str">
            <v/>
          </cell>
          <cell r="AB2343">
            <v>0</v>
          </cell>
          <cell r="AC2343">
            <v>0</v>
          </cell>
          <cell r="AD2343">
            <v>0</v>
          </cell>
          <cell r="AJ2343">
            <v>0</v>
          </cell>
          <cell r="AK2343">
            <v>0</v>
          </cell>
        </row>
        <row r="2344">
          <cell r="B2344" t="str">
            <v/>
          </cell>
          <cell r="H2344" t="str">
            <v/>
          </cell>
          <cell r="J2344" t="str">
            <v/>
          </cell>
          <cell r="N2344" t="str">
            <v/>
          </cell>
          <cell r="O2344" t="str">
            <v/>
          </cell>
          <cell r="P2344" t="str">
            <v/>
          </cell>
          <cell r="Q2344" t="str">
            <v/>
          </cell>
          <cell r="T2344" t="str">
            <v/>
          </cell>
          <cell r="U2344" t="str">
            <v/>
          </cell>
          <cell r="W2344" t="str">
            <v/>
          </cell>
          <cell r="X2344" t="str">
            <v/>
          </cell>
          <cell r="AB2344">
            <v>0</v>
          </cell>
          <cell r="AC2344">
            <v>0</v>
          </cell>
          <cell r="AD2344">
            <v>0</v>
          </cell>
          <cell r="AJ2344">
            <v>0</v>
          </cell>
          <cell r="AK2344">
            <v>0</v>
          </cell>
        </row>
        <row r="2345">
          <cell r="B2345" t="str">
            <v/>
          </cell>
          <cell r="H2345" t="str">
            <v/>
          </cell>
          <cell r="J2345" t="str">
            <v/>
          </cell>
          <cell r="N2345" t="str">
            <v/>
          </cell>
          <cell r="O2345" t="str">
            <v/>
          </cell>
          <cell r="P2345" t="str">
            <v/>
          </cell>
          <cell r="Q2345" t="str">
            <v/>
          </cell>
          <cell r="T2345" t="str">
            <v/>
          </cell>
          <cell r="U2345" t="str">
            <v/>
          </cell>
          <cell r="W2345" t="str">
            <v/>
          </cell>
          <cell r="X2345" t="str">
            <v/>
          </cell>
          <cell r="AB2345">
            <v>0</v>
          </cell>
          <cell r="AC2345">
            <v>0</v>
          </cell>
          <cell r="AD2345">
            <v>0</v>
          </cell>
          <cell r="AJ2345">
            <v>0</v>
          </cell>
          <cell r="AK2345">
            <v>0</v>
          </cell>
        </row>
        <row r="2346">
          <cell r="B2346" t="str">
            <v/>
          </cell>
          <cell r="H2346" t="str">
            <v/>
          </cell>
          <cell r="J2346" t="str">
            <v/>
          </cell>
          <cell r="N2346" t="str">
            <v/>
          </cell>
          <cell r="O2346" t="str">
            <v/>
          </cell>
          <cell r="P2346" t="str">
            <v/>
          </cell>
          <cell r="Q2346" t="str">
            <v/>
          </cell>
          <cell r="T2346" t="str">
            <v/>
          </cell>
          <cell r="U2346" t="str">
            <v/>
          </cell>
          <cell r="W2346" t="str">
            <v/>
          </cell>
          <cell r="X2346" t="str">
            <v/>
          </cell>
          <cell r="AB2346">
            <v>0</v>
          </cell>
          <cell r="AC2346">
            <v>0</v>
          </cell>
          <cell r="AD2346">
            <v>0</v>
          </cell>
          <cell r="AJ2346">
            <v>0</v>
          </cell>
          <cell r="AK2346">
            <v>0</v>
          </cell>
        </row>
        <row r="2347">
          <cell r="B2347" t="str">
            <v/>
          </cell>
          <cell r="H2347" t="str">
            <v/>
          </cell>
          <cell r="J2347" t="str">
            <v/>
          </cell>
          <cell r="N2347" t="str">
            <v/>
          </cell>
          <cell r="O2347" t="str">
            <v/>
          </cell>
          <cell r="P2347" t="str">
            <v/>
          </cell>
          <cell r="Q2347" t="str">
            <v/>
          </cell>
          <cell r="T2347" t="str">
            <v/>
          </cell>
          <cell r="U2347" t="str">
            <v/>
          </cell>
          <cell r="W2347" t="str">
            <v/>
          </cell>
          <cell r="X2347" t="str">
            <v/>
          </cell>
          <cell r="AB2347">
            <v>0</v>
          </cell>
          <cell r="AC2347">
            <v>0</v>
          </cell>
          <cell r="AD2347">
            <v>0</v>
          </cell>
          <cell r="AJ2347">
            <v>0</v>
          </cell>
          <cell r="AK2347">
            <v>0</v>
          </cell>
        </row>
        <row r="2348">
          <cell r="B2348" t="str">
            <v/>
          </cell>
          <cell r="H2348" t="str">
            <v/>
          </cell>
          <cell r="J2348" t="str">
            <v/>
          </cell>
          <cell r="N2348" t="str">
            <v/>
          </cell>
          <cell r="O2348" t="str">
            <v/>
          </cell>
          <cell r="P2348" t="str">
            <v/>
          </cell>
          <cell r="Q2348" t="str">
            <v/>
          </cell>
          <cell r="T2348" t="str">
            <v/>
          </cell>
          <cell r="U2348" t="str">
            <v/>
          </cell>
          <cell r="W2348" t="str">
            <v/>
          </cell>
          <cell r="X2348" t="str">
            <v/>
          </cell>
          <cell r="AB2348">
            <v>0</v>
          </cell>
          <cell r="AC2348">
            <v>0</v>
          </cell>
          <cell r="AD2348">
            <v>0</v>
          </cell>
          <cell r="AJ2348">
            <v>0</v>
          </cell>
          <cell r="AK2348">
            <v>0</v>
          </cell>
        </row>
        <row r="2349">
          <cell r="B2349" t="str">
            <v/>
          </cell>
          <cell r="H2349" t="str">
            <v/>
          </cell>
          <cell r="J2349" t="str">
            <v/>
          </cell>
          <cell r="N2349" t="str">
            <v/>
          </cell>
          <cell r="O2349" t="str">
            <v/>
          </cell>
          <cell r="P2349" t="str">
            <v/>
          </cell>
          <cell r="Q2349" t="str">
            <v/>
          </cell>
          <cell r="T2349" t="str">
            <v/>
          </cell>
          <cell r="U2349" t="str">
            <v/>
          </cell>
          <cell r="W2349" t="str">
            <v/>
          </cell>
          <cell r="X2349" t="str">
            <v/>
          </cell>
          <cell r="AB2349">
            <v>0</v>
          </cell>
          <cell r="AC2349">
            <v>0</v>
          </cell>
          <cell r="AD2349">
            <v>0</v>
          </cell>
          <cell r="AJ2349">
            <v>0</v>
          </cell>
          <cell r="AK2349">
            <v>0</v>
          </cell>
        </row>
        <row r="2350">
          <cell r="B2350" t="str">
            <v/>
          </cell>
          <cell r="H2350" t="str">
            <v/>
          </cell>
          <cell r="J2350" t="str">
            <v/>
          </cell>
          <cell r="N2350" t="str">
            <v/>
          </cell>
          <cell r="O2350" t="str">
            <v/>
          </cell>
          <cell r="P2350" t="str">
            <v/>
          </cell>
          <cell r="Q2350" t="str">
            <v/>
          </cell>
          <cell r="T2350" t="str">
            <v/>
          </cell>
          <cell r="U2350" t="str">
            <v/>
          </cell>
          <cell r="W2350" t="str">
            <v/>
          </cell>
          <cell r="X2350" t="str">
            <v/>
          </cell>
          <cell r="AB2350">
            <v>0</v>
          </cell>
          <cell r="AC2350">
            <v>0</v>
          </cell>
          <cell r="AD2350">
            <v>0</v>
          </cell>
          <cell r="AJ2350">
            <v>0</v>
          </cell>
          <cell r="AK2350">
            <v>0</v>
          </cell>
        </row>
        <row r="2351">
          <cell r="B2351" t="str">
            <v/>
          </cell>
          <cell r="H2351" t="str">
            <v/>
          </cell>
          <cell r="J2351" t="str">
            <v/>
          </cell>
          <cell r="N2351" t="str">
            <v/>
          </cell>
          <cell r="O2351" t="str">
            <v/>
          </cell>
          <cell r="P2351" t="str">
            <v/>
          </cell>
          <cell r="Q2351" t="str">
            <v/>
          </cell>
          <cell r="T2351" t="str">
            <v/>
          </cell>
          <cell r="U2351" t="str">
            <v/>
          </cell>
          <cell r="W2351" t="str">
            <v/>
          </cell>
          <cell r="X2351" t="str">
            <v/>
          </cell>
          <cell r="AB2351">
            <v>0</v>
          </cell>
          <cell r="AC2351">
            <v>0</v>
          </cell>
          <cell r="AD2351">
            <v>0</v>
          </cell>
          <cell r="AJ2351">
            <v>0</v>
          </cell>
          <cell r="AK2351">
            <v>0</v>
          </cell>
        </row>
        <row r="2352">
          <cell r="B2352" t="str">
            <v/>
          </cell>
          <cell r="H2352" t="str">
            <v/>
          </cell>
          <cell r="J2352" t="str">
            <v/>
          </cell>
          <cell r="N2352" t="str">
            <v/>
          </cell>
          <cell r="O2352" t="str">
            <v/>
          </cell>
          <cell r="P2352" t="str">
            <v/>
          </cell>
          <cell r="Q2352" t="str">
            <v/>
          </cell>
          <cell r="T2352" t="str">
            <v/>
          </cell>
          <cell r="U2352" t="str">
            <v/>
          </cell>
          <cell r="W2352" t="str">
            <v/>
          </cell>
          <cell r="X2352" t="str">
            <v/>
          </cell>
          <cell r="AB2352">
            <v>0</v>
          </cell>
          <cell r="AC2352">
            <v>0</v>
          </cell>
          <cell r="AD2352">
            <v>0</v>
          </cell>
          <cell r="AJ2352">
            <v>0</v>
          </cell>
          <cell r="AK2352">
            <v>0</v>
          </cell>
        </row>
        <row r="2353">
          <cell r="B2353" t="str">
            <v/>
          </cell>
          <cell r="H2353" t="str">
            <v/>
          </cell>
          <cell r="J2353" t="str">
            <v/>
          </cell>
          <cell r="N2353" t="str">
            <v/>
          </cell>
          <cell r="O2353" t="str">
            <v/>
          </cell>
          <cell r="P2353" t="str">
            <v/>
          </cell>
          <cell r="Q2353" t="str">
            <v/>
          </cell>
          <cell r="T2353" t="str">
            <v/>
          </cell>
          <cell r="U2353" t="str">
            <v/>
          </cell>
          <cell r="W2353" t="str">
            <v/>
          </cell>
          <cell r="X2353" t="str">
            <v/>
          </cell>
          <cell r="AB2353">
            <v>0</v>
          </cell>
          <cell r="AC2353">
            <v>0</v>
          </cell>
          <cell r="AD2353">
            <v>0</v>
          </cell>
          <cell r="AJ2353">
            <v>0</v>
          </cell>
          <cell r="AK2353">
            <v>0</v>
          </cell>
        </row>
        <row r="2354">
          <cell r="B2354" t="str">
            <v/>
          </cell>
          <cell r="H2354" t="str">
            <v/>
          </cell>
          <cell r="J2354" t="str">
            <v/>
          </cell>
          <cell r="N2354" t="str">
            <v/>
          </cell>
          <cell r="O2354" t="str">
            <v/>
          </cell>
          <cell r="P2354" t="str">
            <v/>
          </cell>
          <cell r="Q2354" t="str">
            <v/>
          </cell>
          <cell r="T2354" t="str">
            <v/>
          </cell>
          <cell r="U2354" t="str">
            <v/>
          </cell>
          <cell r="W2354" t="str">
            <v/>
          </cell>
          <cell r="X2354" t="str">
            <v/>
          </cell>
          <cell r="AB2354">
            <v>0</v>
          </cell>
          <cell r="AC2354">
            <v>0</v>
          </cell>
          <cell r="AD2354">
            <v>0</v>
          </cell>
          <cell r="AJ2354">
            <v>0</v>
          </cell>
          <cell r="AK2354">
            <v>0</v>
          </cell>
        </row>
        <row r="2355">
          <cell r="B2355" t="str">
            <v/>
          </cell>
          <cell r="H2355" t="str">
            <v/>
          </cell>
          <cell r="J2355" t="str">
            <v/>
          </cell>
          <cell r="N2355" t="str">
            <v/>
          </cell>
          <cell r="O2355" t="str">
            <v/>
          </cell>
          <cell r="P2355" t="str">
            <v/>
          </cell>
          <cell r="Q2355" t="str">
            <v/>
          </cell>
          <cell r="T2355" t="str">
            <v/>
          </cell>
          <cell r="U2355" t="str">
            <v/>
          </cell>
          <cell r="W2355" t="str">
            <v/>
          </cell>
          <cell r="X2355" t="str">
            <v/>
          </cell>
          <cell r="AB2355">
            <v>0</v>
          </cell>
          <cell r="AC2355">
            <v>0</v>
          </cell>
          <cell r="AD2355">
            <v>0</v>
          </cell>
          <cell r="AJ2355">
            <v>0</v>
          </cell>
          <cell r="AK2355">
            <v>0</v>
          </cell>
        </row>
        <row r="2356">
          <cell r="B2356" t="str">
            <v/>
          </cell>
          <cell r="H2356" t="str">
            <v/>
          </cell>
          <cell r="J2356" t="str">
            <v/>
          </cell>
          <cell r="N2356" t="str">
            <v/>
          </cell>
          <cell r="O2356" t="str">
            <v/>
          </cell>
          <cell r="P2356" t="str">
            <v/>
          </cell>
          <cell r="Q2356" t="str">
            <v/>
          </cell>
          <cell r="T2356" t="str">
            <v/>
          </cell>
          <cell r="U2356" t="str">
            <v/>
          </cell>
          <cell r="W2356" t="str">
            <v/>
          </cell>
          <cell r="X2356" t="str">
            <v/>
          </cell>
          <cell r="AB2356">
            <v>0</v>
          </cell>
          <cell r="AC2356">
            <v>0</v>
          </cell>
          <cell r="AD2356">
            <v>0</v>
          </cell>
          <cell r="AJ2356">
            <v>0</v>
          </cell>
          <cell r="AK2356">
            <v>0</v>
          </cell>
        </row>
        <row r="2357">
          <cell r="B2357" t="str">
            <v/>
          </cell>
          <cell r="H2357" t="str">
            <v/>
          </cell>
          <cell r="J2357" t="str">
            <v/>
          </cell>
          <cell r="N2357" t="str">
            <v/>
          </cell>
          <cell r="O2357" t="str">
            <v/>
          </cell>
          <cell r="P2357" t="str">
            <v/>
          </cell>
          <cell r="Q2357" t="str">
            <v/>
          </cell>
          <cell r="T2357" t="str">
            <v/>
          </cell>
          <cell r="U2357" t="str">
            <v/>
          </cell>
          <cell r="W2357" t="str">
            <v/>
          </cell>
          <cell r="X2357" t="str">
            <v/>
          </cell>
          <cell r="AB2357">
            <v>0</v>
          </cell>
          <cell r="AC2357">
            <v>0</v>
          </cell>
          <cell r="AD2357">
            <v>0</v>
          </cell>
          <cell r="AJ2357">
            <v>0</v>
          </cell>
          <cell r="AK2357">
            <v>0</v>
          </cell>
        </row>
        <row r="2358">
          <cell r="B2358" t="str">
            <v/>
          </cell>
          <cell r="H2358" t="str">
            <v/>
          </cell>
          <cell r="J2358" t="str">
            <v/>
          </cell>
          <cell r="N2358" t="str">
            <v/>
          </cell>
          <cell r="O2358" t="str">
            <v/>
          </cell>
          <cell r="P2358" t="str">
            <v/>
          </cell>
          <cell r="Q2358" t="str">
            <v/>
          </cell>
          <cell r="T2358" t="str">
            <v/>
          </cell>
          <cell r="U2358" t="str">
            <v/>
          </cell>
          <cell r="W2358" t="str">
            <v/>
          </cell>
          <cell r="X2358" t="str">
            <v/>
          </cell>
          <cell r="AB2358">
            <v>0</v>
          </cell>
          <cell r="AC2358">
            <v>0</v>
          </cell>
          <cell r="AD2358">
            <v>0</v>
          </cell>
          <cell r="AJ2358">
            <v>0</v>
          </cell>
          <cell r="AK2358">
            <v>0</v>
          </cell>
        </row>
        <row r="2359">
          <cell r="B2359" t="str">
            <v/>
          </cell>
          <cell r="H2359" t="str">
            <v/>
          </cell>
          <cell r="J2359" t="str">
            <v/>
          </cell>
          <cell r="N2359" t="str">
            <v/>
          </cell>
          <cell r="O2359" t="str">
            <v/>
          </cell>
          <cell r="P2359" t="str">
            <v/>
          </cell>
          <cell r="Q2359" t="str">
            <v/>
          </cell>
          <cell r="T2359" t="str">
            <v/>
          </cell>
          <cell r="U2359" t="str">
            <v/>
          </cell>
          <cell r="W2359" t="str">
            <v/>
          </cell>
          <cell r="X2359" t="str">
            <v/>
          </cell>
          <cell r="AB2359">
            <v>0</v>
          </cell>
          <cell r="AC2359">
            <v>0</v>
          </cell>
          <cell r="AD2359">
            <v>0</v>
          </cell>
          <cell r="AJ2359">
            <v>0</v>
          </cell>
          <cell r="AK2359">
            <v>0</v>
          </cell>
        </row>
        <row r="2360">
          <cell r="B2360" t="str">
            <v/>
          </cell>
          <cell r="H2360" t="str">
            <v/>
          </cell>
          <cell r="J2360" t="str">
            <v/>
          </cell>
          <cell r="N2360" t="str">
            <v/>
          </cell>
          <cell r="O2360" t="str">
            <v/>
          </cell>
          <cell r="P2360" t="str">
            <v/>
          </cell>
          <cell r="Q2360" t="str">
            <v/>
          </cell>
          <cell r="T2360" t="str">
            <v/>
          </cell>
          <cell r="U2360" t="str">
            <v/>
          </cell>
          <cell r="W2360" t="str">
            <v/>
          </cell>
          <cell r="X2360" t="str">
            <v/>
          </cell>
          <cell r="AB2360">
            <v>0</v>
          </cell>
          <cell r="AC2360">
            <v>0</v>
          </cell>
          <cell r="AD2360">
            <v>0</v>
          </cell>
          <cell r="AJ2360">
            <v>0</v>
          </cell>
          <cell r="AK2360">
            <v>0</v>
          </cell>
        </row>
        <row r="2361">
          <cell r="B2361" t="str">
            <v/>
          </cell>
          <cell r="H2361" t="str">
            <v/>
          </cell>
          <cell r="J2361" t="str">
            <v/>
          </cell>
          <cell r="N2361" t="str">
            <v/>
          </cell>
          <cell r="O2361" t="str">
            <v/>
          </cell>
          <cell r="P2361" t="str">
            <v/>
          </cell>
          <cell r="Q2361" t="str">
            <v/>
          </cell>
          <cell r="T2361" t="str">
            <v/>
          </cell>
          <cell r="U2361" t="str">
            <v/>
          </cell>
          <cell r="W2361" t="str">
            <v/>
          </cell>
          <cell r="X2361" t="str">
            <v/>
          </cell>
          <cell r="AB2361">
            <v>0</v>
          </cell>
          <cell r="AC2361">
            <v>0</v>
          </cell>
          <cell r="AD2361">
            <v>0</v>
          </cell>
          <cell r="AJ2361">
            <v>0</v>
          </cell>
          <cell r="AK2361">
            <v>0</v>
          </cell>
        </row>
        <row r="2362">
          <cell r="B2362" t="str">
            <v/>
          </cell>
          <cell r="H2362" t="str">
            <v/>
          </cell>
          <cell r="J2362" t="str">
            <v/>
          </cell>
          <cell r="N2362" t="str">
            <v/>
          </cell>
          <cell r="O2362" t="str">
            <v/>
          </cell>
          <cell r="P2362" t="str">
            <v/>
          </cell>
          <cell r="Q2362" t="str">
            <v/>
          </cell>
          <cell r="T2362" t="str">
            <v/>
          </cell>
          <cell r="U2362" t="str">
            <v/>
          </cell>
          <cell r="W2362" t="str">
            <v/>
          </cell>
          <cell r="X2362" t="str">
            <v/>
          </cell>
          <cell r="AB2362">
            <v>0</v>
          </cell>
          <cell r="AC2362">
            <v>0</v>
          </cell>
          <cell r="AD2362">
            <v>0</v>
          </cell>
          <cell r="AJ2362">
            <v>0</v>
          </cell>
          <cell r="AK2362">
            <v>0</v>
          </cell>
        </row>
        <row r="2363">
          <cell r="B2363" t="str">
            <v/>
          </cell>
          <cell r="H2363" t="str">
            <v/>
          </cell>
          <cell r="J2363" t="str">
            <v/>
          </cell>
          <cell r="N2363" t="str">
            <v/>
          </cell>
          <cell r="O2363" t="str">
            <v/>
          </cell>
          <cell r="P2363" t="str">
            <v/>
          </cell>
          <cell r="Q2363" t="str">
            <v/>
          </cell>
          <cell r="T2363" t="str">
            <v/>
          </cell>
          <cell r="U2363" t="str">
            <v/>
          </cell>
          <cell r="W2363" t="str">
            <v/>
          </cell>
          <cell r="X2363" t="str">
            <v/>
          </cell>
          <cell r="AB2363">
            <v>0</v>
          </cell>
          <cell r="AC2363">
            <v>0</v>
          </cell>
          <cell r="AD2363">
            <v>0</v>
          </cell>
          <cell r="AJ2363">
            <v>0</v>
          </cell>
          <cell r="AK2363">
            <v>0</v>
          </cell>
        </row>
        <row r="2364">
          <cell r="B2364" t="str">
            <v/>
          </cell>
          <cell r="H2364" t="str">
            <v/>
          </cell>
          <cell r="J2364" t="str">
            <v/>
          </cell>
          <cell r="N2364" t="str">
            <v/>
          </cell>
          <cell r="O2364" t="str">
            <v/>
          </cell>
          <cell r="P2364" t="str">
            <v/>
          </cell>
          <cell r="Q2364" t="str">
            <v/>
          </cell>
          <cell r="T2364" t="str">
            <v/>
          </cell>
          <cell r="U2364" t="str">
            <v/>
          </cell>
          <cell r="W2364" t="str">
            <v/>
          </cell>
          <cell r="X2364" t="str">
            <v/>
          </cell>
          <cell r="AB2364">
            <v>0</v>
          </cell>
          <cell r="AC2364">
            <v>0</v>
          </cell>
          <cell r="AD2364">
            <v>0</v>
          </cell>
          <cell r="AJ2364">
            <v>0</v>
          </cell>
          <cell r="AK2364">
            <v>0</v>
          </cell>
        </row>
        <row r="2365">
          <cell r="B2365" t="str">
            <v/>
          </cell>
          <cell r="H2365" t="str">
            <v/>
          </cell>
          <cell r="J2365" t="str">
            <v/>
          </cell>
          <cell r="N2365" t="str">
            <v/>
          </cell>
          <cell r="O2365" t="str">
            <v/>
          </cell>
          <cell r="P2365" t="str">
            <v/>
          </cell>
          <cell r="Q2365" t="str">
            <v/>
          </cell>
          <cell r="T2365" t="str">
            <v/>
          </cell>
          <cell r="U2365" t="str">
            <v/>
          </cell>
          <cell r="W2365" t="str">
            <v/>
          </cell>
          <cell r="X2365" t="str">
            <v/>
          </cell>
          <cell r="AB2365">
            <v>0</v>
          </cell>
          <cell r="AC2365">
            <v>0</v>
          </cell>
          <cell r="AD2365">
            <v>0</v>
          </cell>
          <cell r="AJ2365">
            <v>0</v>
          </cell>
          <cell r="AK2365">
            <v>0</v>
          </cell>
        </row>
        <row r="2366">
          <cell r="B2366" t="str">
            <v/>
          </cell>
          <cell r="H2366" t="str">
            <v/>
          </cell>
          <cell r="J2366" t="str">
            <v/>
          </cell>
          <cell r="N2366" t="str">
            <v/>
          </cell>
          <cell r="O2366" t="str">
            <v/>
          </cell>
          <cell r="P2366" t="str">
            <v/>
          </cell>
          <cell r="Q2366" t="str">
            <v/>
          </cell>
          <cell r="T2366" t="str">
            <v/>
          </cell>
          <cell r="U2366" t="str">
            <v/>
          </cell>
          <cell r="W2366" t="str">
            <v/>
          </cell>
          <cell r="X2366" t="str">
            <v/>
          </cell>
          <cell r="AB2366">
            <v>0</v>
          </cell>
          <cell r="AC2366">
            <v>0</v>
          </cell>
          <cell r="AD2366">
            <v>0</v>
          </cell>
          <cell r="AJ2366">
            <v>0</v>
          </cell>
          <cell r="AK2366">
            <v>0</v>
          </cell>
        </row>
        <row r="2367">
          <cell r="B2367" t="str">
            <v/>
          </cell>
          <cell r="H2367" t="str">
            <v/>
          </cell>
          <cell r="J2367" t="str">
            <v/>
          </cell>
          <cell r="N2367" t="str">
            <v/>
          </cell>
          <cell r="O2367" t="str">
            <v/>
          </cell>
          <cell r="P2367" t="str">
            <v/>
          </cell>
          <cell r="Q2367" t="str">
            <v/>
          </cell>
          <cell r="T2367" t="str">
            <v/>
          </cell>
          <cell r="U2367" t="str">
            <v/>
          </cell>
          <cell r="W2367" t="str">
            <v/>
          </cell>
          <cell r="X2367" t="str">
            <v/>
          </cell>
          <cell r="AB2367">
            <v>0</v>
          </cell>
          <cell r="AC2367">
            <v>0</v>
          </cell>
          <cell r="AD2367">
            <v>0</v>
          </cell>
          <cell r="AJ2367">
            <v>0</v>
          </cell>
          <cell r="AK2367">
            <v>0</v>
          </cell>
        </row>
        <row r="2368">
          <cell r="B2368" t="str">
            <v/>
          </cell>
          <cell r="H2368" t="str">
            <v/>
          </cell>
          <cell r="J2368" t="str">
            <v/>
          </cell>
          <cell r="N2368" t="str">
            <v/>
          </cell>
          <cell r="O2368" t="str">
            <v/>
          </cell>
          <cell r="P2368" t="str">
            <v/>
          </cell>
          <cell r="Q2368" t="str">
            <v/>
          </cell>
          <cell r="T2368" t="str">
            <v/>
          </cell>
          <cell r="U2368" t="str">
            <v/>
          </cell>
          <cell r="W2368" t="str">
            <v/>
          </cell>
          <cell r="X2368" t="str">
            <v/>
          </cell>
          <cell r="AB2368">
            <v>0</v>
          </cell>
          <cell r="AC2368">
            <v>0</v>
          </cell>
          <cell r="AD2368">
            <v>0</v>
          </cell>
          <cell r="AJ2368">
            <v>0</v>
          </cell>
          <cell r="AK2368">
            <v>0</v>
          </cell>
        </row>
        <row r="2369">
          <cell r="B2369" t="str">
            <v/>
          </cell>
          <cell r="H2369" t="str">
            <v/>
          </cell>
          <cell r="J2369" t="str">
            <v/>
          </cell>
          <cell r="N2369" t="str">
            <v/>
          </cell>
          <cell r="O2369" t="str">
            <v/>
          </cell>
          <cell r="P2369" t="str">
            <v/>
          </cell>
          <cell r="Q2369" t="str">
            <v/>
          </cell>
          <cell r="T2369" t="str">
            <v/>
          </cell>
          <cell r="U2369" t="str">
            <v/>
          </cell>
          <cell r="W2369" t="str">
            <v/>
          </cell>
          <cell r="X2369" t="str">
            <v/>
          </cell>
          <cell r="AB2369">
            <v>0</v>
          </cell>
          <cell r="AC2369">
            <v>0</v>
          </cell>
          <cell r="AD2369">
            <v>0</v>
          </cell>
          <cell r="AJ2369">
            <v>0</v>
          </cell>
          <cell r="AK2369">
            <v>0</v>
          </cell>
        </row>
        <row r="2370">
          <cell r="B2370" t="str">
            <v/>
          </cell>
          <cell r="H2370" t="str">
            <v/>
          </cell>
          <cell r="J2370" t="str">
            <v/>
          </cell>
          <cell r="N2370" t="str">
            <v/>
          </cell>
          <cell r="O2370" t="str">
            <v/>
          </cell>
          <cell r="P2370" t="str">
            <v/>
          </cell>
          <cell r="Q2370" t="str">
            <v/>
          </cell>
          <cell r="T2370" t="str">
            <v/>
          </cell>
          <cell r="U2370" t="str">
            <v/>
          </cell>
          <cell r="W2370" t="str">
            <v/>
          </cell>
          <cell r="X2370" t="str">
            <v/>
          </cell>
          <cell r="AB2370">
            <v>0</v>
          </cell>
          <cell r="AC2370">
            <v>0</v>
          </cell>
          <cell r="AD2370">
            <v>0</v>
          </cell>
          <cell r="AJ2370">
            <v>0</v>
          </cell>
          <cell r="AK2370">
            <v>0</v>
          </cell>
        </row>
        <row r="2371">
          <cell r="B2371" t="str">
            <v/>
          </cell>
          <cell r="H2371" t="str">
            <v/>
          </cell>
          <cell r="J2371" t="str">
            <v/>
          </cell>
          <cell r="N2371" t="str">
            <v/>
          </cell>
          <cell r="O2371" t="str">
            <v/>
          </cell>
          <cell r="P2371" t="str">
            <v/>
          </cell>
          <cell r="Q2371" t="str">
            <v/>
          </cell>
          <cell r="T2371" t="str">
            <v/>
          </cell>
          <cell r="U2371" t="str">
            <v/>
          </cell>
          <cell r="W2371" t="str">
            <v/>
          </cell>
          <cell r="X2371" t="str">
            <v/>
          </cell>
          <cell r="AB2371">
            <v>0</v>
          </cell>
          <cell r="AC2371">
            <v>0</v>
          </cell>
          <cell r="AD2371">
            <v>0</v>
          </cell>
          <cell r="AJ2371">
            <v>0</v>
          </cell>
          <cell r="AK2371">
            <v>0</v>
          </cell>
        </row>
        <row r="2372">
          <cell r="B2372" t="str">
            <v/>
          </cell>
          <cell r="H2372" t="str">
            <v/>
          </cell>
          <cell r="J2372" t="str">
            <v/>
          </cell>
          <cell r="N2372" t="str">
            <v/>
          </cell>
          <cell r="O2372" t="str">
            <v/>
          </cell>
          <cell r="P2372" t="str">
            <v/>
          </cell>
          <cell r="Q2372" t="str">
            <v/>
          </cell>
          <cell r="T2372" t="str">
            <v/>
          </cell>
          <cell r="U2372" t="str">
            <v/>
          </cell>
          <cell r="W2372" t="str">
            <v/>
          </cell>
          <cell r="X2372" t="str">
            <v/>
          </cell>
          <cell r="AB2372">
            <v>0</v>
          </cell>
          <cell r="AC2372">
            <v>0</v>
          </cell>
          <cell r="AD2372">
            <v>0</v>
          </cell>
          <cell r="AJ2372">
            <v>0</v>
          </cell>
          <cell r="AK2372">
            <v>0</v>
          </cell>
        </row>
        <row r="2373">
          <cell r="B2373" t="str">
            <v/>
          </cell>
          <cell r="H2373" t="str">
            <v/>
          </cell>
          <cell r="J2373" t="str">
            <v/>
          </cell>
          <cell r="N2373" t="str">
            <v/>
          </cell>
          <cell r="O2373" t="str">
            <v/>
          </cell>
          <cell r="P2373" t="str">
            <v/>
          </cell>
          <cell r="Q2373" t="str">
            <v/>
          </cell>
          <cell r="T2373" t="str">
            <v/>
          </cell>
          <cell r="U2373" t="str">
            <v/>
          </cell>
          <cell r="W2373" t="str">
            <v/>
          </cell>
          <cell r="X2373" t="str">
            <v/>
          </cell>
          <cell r="AB2373">
            <v>0</v>
          </cell>
          <cell r="AC2373">
            <v>0</v>
          </cell>
          <cell r="AD2373">
            <v>0</v>
          </cell>
          <cell r="AJ2373">
            <v>0</v>
          </cell>
          <cell r="AK2373">
            <v>0</v>
          </cell>
        </row>
        <row r="2374">
          <cell r="B2374" t="str">
            <v/>
          </cell>
          <cell r="H2374" t="str">
            <v/>
          </cell>
          <cell r="J2374" t="str">
            <v/>
          </cell>
          <cell r="N2374" t="str">
            <v/>
          </cell>
          <cell r="O2374" t="str">
            <v/>
          </cell>
          <cell r="P2374" t="str">
            <v/>
          </cell>
          <cell r="Q2374" t="str">
            <v/>
          </cell>
          <cell r="T2374" t="str">
            <v/>
          </cell>
          <cell r="U2374" t="str">
            <v/>
          </cell>
          <cell r="W2374" t="str">
            <v/>
          </cell>
          <cell r="X2374" t="str">
            <v/>
          </cell>
          <cell r="AB2374">
            <v>0</v>
          </cell>
          <cell r="AC2374">
            <v>0</v>
          </cell>
          <cell r="AD2374">
            <v>0</v>
          </cell>
          <cell r="AJ2374">
            <v>0</v>
          </cell>
          <cell r="AK2374">
            <v>0</v>
          </cell>
        </row>
        <row r="2375">
          <cell r="B2375" t="str">
            <v/>
          </cell>
          <cell r="H2375" t="str">
            <v/>
          </cell>
          <cell r="J2375" t="str">
            <v/>
          </cell>
          <cell r="N2375" t="str">
            <v/>
          </cell>
          <cell r="O2375" t="str">
            <v/>
          </cell>
          <cell r="P2375" t="str">
            <v/>
          </cell>
          <cell r="Q2375" t="str">
            <v/>
          </cell>
          <cell r="T2375" t="str">
            <v/>
          </cell>
          <cell r="U2375" t="str">
            <v/>
          </cell>
          <cell r="W2375" t="str">
            <v/>
          </cell>
          <cell r="X2375" t="str">
            <v/>
          </cell>
          <cell r="AB2375">
            <v>0</v>
          </cell>
          <cell r="AC2375">
            <v>0</v>
          </cell>
          <cell r="AD2375">
            <v>0</v>
          </cell>
          <cell r="AJ2375">
            <v>0</v>
          </cell>
          <cell r="AK2375">
            <v>0</v>
          </cell>
        </row>
        <row r="2376">
          <cell r="B2376" t="str">
            <v/>
          </cell>
          <cell r="H2376" t="str">
            <v/>
          </cell>
          <cell r="J2376" t="str">
            <v/>
          </cell>
          <cell r="N2376" t="str">
            <v/>
          </cell>
          <cell r="O2376" t="str">
            <v/>
          </cell>
          <cell r="P2376" t="str">
            <v/>
          </cell>
          <cell r="Q2376" t="str">
            <v/>
          </cell>
          <cell r="T2376" t="str">
            <v/>
          </cell>
          <cell r="U2376" t="str">
            <v/>
          </cell>
          <cell r="W2376" t="str">
            <v/>
          </cell>
          <cell r="X2376" t="str">
            <v/>
          </cell>
          <cell r="AB2376">
            <v>0</v>
          </cell>
          <cell r="AC2376">
            <v>0</v>
          </cell>
          <cell r="AD2376">
            <v>0</v>
          </cell>
          <cell r="AJ2376">
            <v>0</v>
          </cell>
          <cell r="AK2376">
            <v>0</v>
          </cell>
        </row>
        <row r="2377">
          <cell r="B2377" t="str">
            <v/>
          </cell>
          <cell r="H2377" t="str">
            <v/>
          </cell>
          <cell r="J2377" t="str">
            <v/>
          </cell>
          <cell r="N2377" t="str">
            <v/>
          </cell>
          <cell r="O2377" t="str">
            <v/>
          </cell>
          <cell r="P2377" t="str">
            <v/>
          </cell>
          <cell r="Q2377" t="str">
            <v/>
          </cell>
          <cell r="T2377" t="str">
            <v/>
          </cell>
          <cell r="U2377" t="str">
            <v/>
          </cell>
          <cell r="W2377" t="str">
            <v/>
          </cell>
          <cell r="X2377" t="str">
            <v/>
          </cell>
          <cell r="AB2377">
            <v>0</v>
          </cell>
          <cell r="AC2377">
            <v>0</v>
          </cell>
          <cell r="AD2377">
            <v>0</v>
          </cell>
          <cell r="AJ2377">
            <v>0</v>
          </cell>
          <cell r="AK2377">
            <v>0</v>
          </cell>
        </row>
        <row r="2378">
          <cell r="B2378" t="str">
            <v/>
          </cell>
          <cell r="H2378" t="str">
            <v/>
          </cell>
          <cell r="J2378" t="str">
            <v/>
          </cell>
          <cell r="N2378" t="str">
            <v/>
          </cell>
          <cell r="O2378" t="str">
            <v/>
          </cell>
          <cell r="P2378" t="str">
            <v/>
          </cell>
          <cell r="Q2378" t="str">
            <v/>
          </cell>
          <cell r="T2378" t="str">
            <v/>
          </cell>
          <cell r="U2378" t="str">
            <v/>
          </cell>
          <cell r="W2378" t="str">
            <v/>
          </cell>
          <cell r="X2378" t="str">
            <v/>
          </cell>
          <cell r="AB2378">
            <v>0</v>
          </cell>
          <cell r="AC2378">
            <v>0</v>
          </cell>
          <cell r="AD2378">
            <v>0</v>
          </cell>
          <cell r="AJ2378">
            <v>0</v>
          </cell>
          <cell r="AK2378">
            <v>0</v>
          </cell>
        </row>
        <row r="2379">
          <cell r="B2379" t="str">
            <v/>
          </cell>
          <cell r="H2379" t="str">
            <v/>
          </cell>
          <cell r="J2379" t="str">
            <v/>
          </cell>
          <cell r="N2379" t="str">
            <v/>
          </cell>
          <cell r="O2379" t="str">
            <v/>
          </cell>
          <cell r="P2379" t="str">
            <v/>
          </cell>
          <cell r="Q2379" t="str">
            <v/>
          </cell>
          <cell r="T2379" t="str">
            <v/>
          </cell>
          <cell r="U2379" t="str">
            <v/>
          </cell>
          <cell r="W2379" t="str">
            <v/>
          </cell>
          <cell r="X2379" t="str">
            <v/>
          </cell>
          <cell r="AB2379">
            <v>0</v>
          </cell>
          <cell r="AC2379">
            <v>0</v>
          </cell>
          <cell r="AD2379">
            <v>0</v>
          </cell>
          <cell r="AJ2379">
            <v>0</v>
          </cell>
          <cell r="AK2379">
            <v>0</v>
          </cell>
        </row>
        <row r="2380">
          <cell r="B2380" t="str">
            <v/>
          </cell>
          <cell r="H2380" t="str">
            <v/>
          </cell>
          <cell r="J2380" t="str">
            <v/>
          </cell>
          <cell r="N2380" t="str">
            <v/>
          </cell>
          <cell r="O2380" t="str">
            <v/>
          </cell>
          <cell r="P2380" t="str">
            <v/>
          </cell>
          <cell r="Q2380" t="str">
            <v/>
          </cell>
          <cell r="T2380" t="str">
            <v/>
          </cell>
          <cell r="U2380" t="str">
            <v/>
          </cell>
          <cell r="W2380" t="str">
            <v/>
          </cell>
          <cell r="X2380" t="str">
            <v/>
          </cell>
          <cell r="AB2380">
            <v>0</v>
          </cell>
          <cell r="AC2380">
            <v>0</v>
          </cell>
          <cell r="AD2380">
            <v>0</v>
          </cell>
          <cell r="AJ2380">
            <v>0</v>
          </cell>
          <cell r="AK2380">
            <v>0</v>
          </cell>
        </row>
        <row r="2381">
          <cell r="B2381" t="str">
            <v/>
          </cell>
          <cell r="H2381" t="str">
            <v/>
          </cell>
          <cell r="J2381" t="str">
            <v/>
          </cell>
          <cell r="N2381" t="str">
            <v/>
          </cell>
          <cell r="O2381" t="str">
            <v/>
          </cell>
          <cell r="P2381" t="str">
            <v/>
          </cell>
          <cell r="Q2381" t="str">
            <v/>
          </cell>
          <cell r="T2381" t="str">
            <v/>
          </cell>
          <cell r="U2381" t="str">
            <v/>
          </cell>
          <cell r="W2381" t="str">
            <v/>
          </cell>
          <cell r="X2381" t="str">
            <v/>
          </cell>
          <cell r="AB2381">
            <v>0</v>
          </cell>
          <cell r="AC2381">
            <v>0</v>
          </cell>
          <cell r="AD2381">
            <v>0</v>
          </cell>
          <cell r="AJ2381">
            <v>0</v>
          </cell>
          <cell r="AK2381">
            <v>0</v>
          </cell>
        </row>
        <row r="2382">
          <cell r="B2382" t="str">
            <v/>
          </cell>
          <cell r="H2382" t="str">
            <v/>
          </cell>
          <cell r="J2382" t="str">
            <v/>
          </cell>
          <cell r="N2382" t="str">
            <v/>
          </cell>
          <cell r="O2382" t="str">
            <v/>
          </cell>
          <cell r="P2382" t="str">
            <v/>
          </cell>
          <cell r="Q2382" t="str">
            <v/>
          </cell>
          <cell r="T2382" t="str">
            <v/>
          </cell>
          <cell r="U2382" t="str">
            <v/>
          </cell>
          <cell r="W2382" t="str">
            <v/>
          </cell>
          <cell r="X2382" t="str">
            <v/>
          </cell>
          <cell r="AB2382">
            <v>0</v>
          </cell>
          <cell r="AC2382">
            <v>0</v>
          </cell>
          <cell r="AD2382">
            <v>0</v>
          </cell>
          <cell r="AJ2382">
            <v>0</v>
          </cell>
          <cell r="AK2382">
            <v>0</v>
          </cell>
        </row>
        <row r="2383">
          <cell r="B2383" t="str">
            <v/>
          </cell>
          <cell r="H2383" t="str">
            <v/>
          </cell>
          <cell r="J2383" t="str">
            <v/>
          </cell>
          <cell r="N2383" t="str">
            <v/>
          </cell>
          <cell r="O2383" t="str">
            <v/>
          </cell>
          <cell r="P2383" t="str">
            <v/>
          </cell>
          <cell r="Q2383" t="str">
            <v/>
          </cell>
          <cell r="T2383" t="str">
            <v/>
          </cell>
          <cell r="U2383" t="str">
            <v/>
          </cell>
          <cell r="W2383" t="str">
            <v/>
          </cell>
          <cell r="X2383" t="str">
            <v/>
          </cell>
          <cell r="AB2383">
            <v>0</v>
          </cell>
          <cell r="AC2383">
            <v>0</v>
          </cell>
          <cell r="AD2383">
            <v>0</v>
          </cell>
          <cell r="AJ2383">
            <v>0</v>
          </cell>
          <cell r="AK2383">
            <v>0</v>
          </cell>
        </row>
        <row r="2384">
          <cell r="B2384" t="str">
            <v/>
          </cell>
          <cell r="H2384" t="str">
            <v/>
          </cell>
          <cell r="J2384" t="str">
            <v/>
          </cell>
          <cell r="N2384" t="str">
            <v/>
          </cell>
          <cell r="O2384" t="str">
            <v/>
          </cell>
          <cell r="P2384" t="str">
            <v/>
          </cell>
          <cell r="Q2384" t="str">
            <v/>
          </cell>
          <cell r="T2384" t="str">
            <v/>
          </cell>
          <cell r="U2384" t="str">
            <v/>
          </cell>
          <cell r="W2384" t="str">
            <v/>
          </cell>
          <cell r="X2384" t="str">
            <v/>
          </cell>
          <cell r="AB2384">
            <v>0</v>
          </cell>
          <cell r="AC2384">
            <v>0</v>
          </cell>
          <cell r="AD2384">
            <v>0</v>
          </cell>
          <cell r="AJ2384">
            <v>0</v>
          </cell>
          <cell r="AK2384">
            <v>0</v>
          </cell>
        </row>
        <row r="2385">
          <cell r="B2385" t="str">
            <v/>
          </cell>
          <cell r="H2385" t="str">
            <v/>
          </cell>
          <cell r="J2385" t="str">
            <v/>
          </cell>
          <cell r="N2385" t="str">
            <v/>
          </cell>
          <cell r="O2385" t="str">
            <v/>
          </cell>
          <cell r="P2385" t="str">
            <v/>
          </cell>
          <cell r="Q2385" t="str">
            <v/>
          </cell>
          <cell r="T2385" t="str">
            <v/>
          </cell>
          <cell r="U2385" t="str">
            <v/>
          </cell>
          <cell r="W2385" t="str">
            <v/>
          </cell>
          <cell r="X2385" t="str">
            <v/>
          </cell>
          <cell r="AB2385">
            <v>0</v>
          </cell>
          <cell r="AC2385">
            <v>0</v>
          </cell>
          <cell r="AD2385">
            <v>0</v>
          </cell>
          <cell r="AJ2385">
            <v>0</v>
          </cell>
          <cell r="AK2385">
            <v>0</v>
          </cell>
        </row>
        <row r="2386">
          <cell r="B2386" t="str">
            <v/>
          </cell>
          <cell r="H2386" t="str">
            <v/>
          </cell>
          <cell r="J2386" t="str">
            <v/>
          </cell>
          <cell r="N2386" t="str">
            <v/>
          </cell>
          <cell r="O2386" t="str">
            <v/>
          </cell>
          <cell r="P2386" t="str">
            <v/>
          </cell>
          <cell r="Q2386" t="str">
            <v/>
          </cell>
          <cell r="T2386" t="str">
            <v/>
          </cell>
          <cell r="U2386" t="str">
            <v/>
          </cell>
          <cell r="W2386" t="str">
            <v/>
          </cell>
          <cell r="X2386" t="str">
            <v/>
          </cell>
          <cell r="AB2386">
            <v>0</v>
          </cell>
          <cell r="AC2386">
            <v>0</v>
          </cell>
          <cell r="AD2386">
            <v>0</v>
          </cell>
          <cell r="AJ2386">
            <v>0</v>
          </cell>
          <cell r="AK2386">
            <v>0</v>
          </cell>
        </row>
        <row r="2387">
          <cell r="B2387" t="str">
            <v/>
          </cell>
          <cell r="H2387" t="str">
            <v/>
          </cell>
          <cell r="J2387" t="str">
            <v/>
          </cell>
          <cell r="N2387" t="str">
            <v/>
          </cell>
          <cell r="O2387" t="str">
            <v/>
          </cell>
          <cell r="P2387" t="str">
            <v/>
          </cell>
          <cell r="Q2387" t="str">
            <v/>
          </cell>
          <cell r="T2387" t="str">
            <v/>
          </cell>
          <cell r="U2387" t="str">
            <v/>
          </cell>
          <cell r="W2387" t="str">
            <v/>
          </cell>
          <cell r="X2387" t="str">
            <v/>
          </cell>
          <cell r="AB2387">
            <v>0</v>
          </cell>
          <cell r="AC2387">
            <v>0</v>
          </cell>
          <cell r="AD2387">
            <v>0</v>
          </cell>
          <cell r="AJ2387">
            <v>0</v>
          </cell>
          <cell r="AK2387">
            <v>0</v>
          </cell>
        </row>
        <row r="2388">
          <cell r="B2388" t="str">
            <v/>
          </cell>
          <cell r="H2388" t="str">
            <v/>
          </cell>
          <cell r="J2388" t="str">
            <v/>
          </cell>
          <cell r="N2388" t="str">
            <v/>
          </cell>
          <cell r="O2388" t="str">
            <v/>
          </cell>
          <cell r="P2388" t="str">
            <v/>
          </cell>
          <cell r="Q2388" t="str">
            <v/>
          </cell>
          <cell r="T2388" t="str">
            <v/>
          </cell>
          <cell r="U2388" t="str">
            <v/>
          </cell>
          <cell r="W2388" t="str">
            <v/>
          </cell>
          <cell r="X2388" t="str">
            <v/>
          </cell>
          <cell r="AB2388">
            <v>0</v>
          </cell>
          <cell r="AC2388">
            <v>0</v>
          </cell>
          <cell r="AD2388">
            <v>0</v>
          </cell>
          <cell r="AJ2388">
            <v>0</v>
          </cell>
          <cell r="AK2388">
            <v>0</v>
          </cell>
        </row>
        <row r="2389">
          <cell r="B2389" t="str">
            <v/>
          </cell>
          <cell r="H2389" t="str">
            <v/>
          </cell>
          <cell r="J2389" t="str">
            <v/>
          </cell>
          <cell r="N2389" t="str">
            <v/>
          </cell>
          <cell r="O2389" t="str">
            <v/>
          </cell>
          <cell r="P2389" t="str">
            <v/>
          </cell>
          <cell r="Q2389" t="str">
            <v/>
          </cell>
          <cell r="T2389" t="str">
            <v/>
          </cell>
          <cell r="U2389" t="str">
            <v/>
          </cell>
          <cell r="W2389" t="str">
            <v/>
          </cell>
          <cell r="X2389" t="str">
            <v/>
          </cell>
          <cell r="AB2389">
            <v>0</v>
          </cell>
          <cell r="AC2389">
            <v>0</v>
          </cell>
          <cell r="AD2389">
            <v>0</v>
          </cell>
          <cell r="AJ2389">
            <v>0</v>
          </cell>
          <cell r="AK2389">
            <v>0</v>
          </cell>
        </row>
        <row r="2390">
          <cell r="B2390" t="str">
            <v/>
          </cell>
          <cell r="H2390" t="str">
            <v/>
          </cell>
          <cell r="J2390" t="str">
            <v/>
          </cell>
          <cell r="N2390" t="str">
            <v/>
          </cell>
          <cell r="O2390" t="str">
            <v/>
          </cell>
          <cell r="P2390" t="str">
            <v/>
          </cell>
          <cell r="Q2390" t="str">
            <v/>
          </cell>
          <cell r="T2390" t="str">
            <v/>
          </cell>
          <cell r="U2390" t="str">
            <v/>
          </cell>
          <cell r="W2390" t="str">
            <v/>
          </cell>
          <cell r="X2390" t="str">
            <v/>
          </cell>
          <cell r="AB2390">
            <v>0</v>
          </cell>
          <cell r="AC2390">
            <v>0</v>
          </cell>
          <cell r="AD2390">
            <v>0</v>
          </cell>
          <cell r="AJ2390">
            <v>0</v>
          </cell>
          <cell r="AK2390">
            <v>0</v>
          </cell>
        </row>
        <row r="2391">
          <cell r="B2391" t="str">
            <v/>
          </cell>
          <cell r="H2391" t="str">
            <v/>
          </cell>
          <cell r="J2391" t="str">
            <v/>
          </cell>
          <cell r="N2391" t="str">
            <v/>
          </cell>
          <cell r="O2391" t="str">
            <v/>
          </cell>
          <cell r="P2391" t="str">
            <v/>
          </cell>
          <cell r="Q2391" t="str">
            <v/>
          </cell>
          <cell r="T2391" t="str">
            <v/>
          </cell>
          <cell r="U2391" t="str">
            <v/>
          </cell>
          <cell r="W2391" t="str">
            <v/>
          </cell>
          <cell r="X2391" t="str">
            <v/>
          </cell>
          <cell r="AB2391">
            <v>0</v>
          </cell>
          <cell r="AC2391">
            <v>0</v>
          </cell>
          <cell r="AD2391">
            <v>0</v>
          </cell>
          <cell r="AJ2391">
            <v>0</v>
          </cell>
          <cell r="AK2391">
            <v>0</v>
          </cell>
        </row>
        <row r="2392">
          <cell r="B2392" t="str">
            <v/>
          </cell>
          <cell r="H2392" t="str">
            <v/>
          </cell>
          <cell r="J2392" t="str">
            <v/>
          </cell>
          <cell r="N2392" t="str">
            <v/>
          </cell>
          <cell r="O2392" t="str">
            <v/>
          </cell>
          <cell r="P2392" t="str">
            <v/>
          </cell>
          <cell r="Q2392" t="str">
            <v/>
          </cell>
          <cell r="T2392" t="str">
            <v/>
          </cell>
          <cell r="U2392" t="str">
            <v/>
          </cell>
          <cell r="W2392" t="str">
            <v/>
          </cell>
          <cell r="X2392" t="str">
            <v/>
          </cell>
          <cell r="AB2392">
            <v>0</v>
          </cell>
          <cell r="AC2392">
            <v>0</v>
          </cell>
          <cell r="AD2392">
            <v>0</v>
          </cell>
          <cell r="AJ2392">
            <v>0</v>
          </cell>
          <cell r="AK2392">
            <v>0</v>
          </cell>
        </row>
        <row r="2393">
          <cell r="B2393" t="str">
            <v/>
          </cell>
          <cell r="H2393" t="str">
            <v/>
          </cell>
          <cell r="J2393" t="str">
            <v/>
          </cell>
          <cell r="N2393" t="str">
            <v/>
          </cell>
          <cell r="O2393" t="str">
            <v/>
          </cell>
          <cell r="P2393" t="str">
            <v/>
          </cell>
          <cell r="Q2393" t="str">
            <v/>
          </cell>
          <cell r="T2393" t="str">
            <v/>
          </cell>
          <cell r="U2393" t="str">
            <v/>
          </cell>
          <cell r="W2393" t="str">
            <v/>
          </cell>
          <cell r="X2393" t="str">
            <v/>
          </cell>
          <cell r="AB2393">
            <v>0</v>
          </cell>
          <cell r="AC2393">
            <v>0</v>
          </cell>
          <cell r="AD2393">
            <v>0</v>
          </cell>
          <cell r="AJ2393">
            <v>0</v>
          </cell>
          <cell r="AK2393">
            <v>0</v>
          </cell>
        </row>
        <row r="2394">
          <cell r="B2394" t="str">
            <v/>
          </cell>
          <cell r="H2394" t="str">
            <v/>
          </cell>
          <cell r="J2394" t="str">
            <v/>
          </cell>
          <cell r="N2394" t="str">
            <v/>
          </cell>
          <cell r="O2394" t="str">
            <v/>
          </cell>
          <cell r="P2394" t="str">
            <v/>
          </cell>
          <cell r="Q2394" t="str">
            <v/>
          </cell>
          <cell r="T2394" t="str">
            <v/>
          </cell>
          <cell r="U2394" t="str">
            <v/>
          </cell>
          <cell r="W2394" t="str">
            <v/>
          </cell>
          <cell r="X2394" t="str">
            <v/>
          </cell>
          <cell r="AB2394">
            <v>0</v>
          </cell>
          <cell r="AC2394">
            <v>0</v>
          </cell>
          <cell r="AD2394">
            <v>0</v>
          </cell>
          <cell r="AJ2394">
            <v>0</v>
          </cell>
          <cell r="AK2394">
            <v>0</v>
          </cell>
        </row>
        <row r="2395">
          <cell r="B2395" t="str">
            <v/>
          </cell>
          <cell r="H2395" t="str">
            <v/>
          </cell>
          <cell r="J2395" t="str">
            <v/>
          </cell>
          <cell r="N2395" t="str">
            <v/>
          </cell>
          <cell r="O2395" t="str">
            <v/>
          </cell>
          <cell r="P2395" t="str">
            <v/>
          </cell>
          <cell r="Q2395" t="str">
            <v/>
          </cell>
          <cell r="T2395" t="str">
            <v/>
          </cell>
          <cell r="U2395" t="str">
            <v/>
          </cell>
          <cell r="W2395" t="str">
            <v/>
          </cell>
          <cell r="X2395" t="str">
            <v/>
          </cell>
          <cell r="AB2395">
            <v>0</v>
          </cell>
          <cell r="AC2395">
            <v>0</v>
          </cell>
          <cell r="AD2395">
            <v>0</v>
          </cell>
          <cell r="AJ2395">
            <v>0</v>
          </cell>
          <cell r="AK2395">
            <v>0</v>
          </cell>
        </row>
        <row r="2396">
          <cell r="B2396" t="str">
            <v/>
          </cell>
          <cell r="H2396" t="str">
            <v/>
          </cell>
          <cell r="J2396" t="str">
            <v/>
          </cell>
          <cell r="N2396" t="str">
            <v/>
          </cell>
          <cell r="O2396" t="str">
            <v/>
          </cell>
          <cell r="P2396" t="str">
            <v/>
          </cell>
          <cell r="Q2396" t="str">
            <v/>
          </cell>
          <cell r="T2396" t="str">
            <v/>
          </cell>
          <cell r="U2396" t="str">
            <v/>
          </cell>
          <cell r="W2396" t="str">
            <v/>
          </cell>
          <cell r="X2396" t="str">
            <v/>
          </cell>
          <cell r="AB2396">
            <v>0</v>
          </cell>
          <cell r="AC2396">
            <v>0</v>
          </cell>
          <cell r="AD2396">
            <v>0</v>
          </cell>
          <cell r="AJ2396">
            <v>0</v>
          </cell>
          <cell r="AK2396">
            <v>0</v>
          </cell>
        </row>
        <row r="2397">
          <cell r="B2397" t="str">
            <v/>
          </cell>
          <cell r="H2397" t="str">
            <v/>
          </cell>
          <cell r="J2397" t="str">
            <v/>
          </cell>
          <cell r="N2397" t="str">
            <v/>
          </cell>
          <cell r="O2397" t="str">
            <v/>
          </cell>
          <cell r="P2397" t="str">
            <v/>
          </cell>
          <cell r="Q2397" t="str">
            <v/>
          </cell>
          <cell r="T2397" t="str">
            <v/>
          </cell>
          <cell r="U2397" t="str">
            <v/>
          </cell>
          <cell r="W2397" t="str">
            <v/>
          </cell>
          <cell r="X2397" t="str">
            <v/>
          </cell>
          <cell r="AB2397">
            <v>0</v>
          </cell>
          <cell r="AC2397">
            <v>0</v>
          </cell>
          <cell r="AD2397">
            <v>0</v>
          </cell>
          <cell r="AJ2397">
            <v>0</v>
          </cell>
          <cell r="AK2397">
            <v>0</v>
          </cell>
        </row>
        <row r="2398">
          <cell r="B2398" t="str">
            <v/>
          </cell>
          <cell r="H2398" t="str">
            <v/>
          </cell>
          <cell r="J2398" t="str">
            <v/>
          </cell>
          <cell r="N2398" t="str">
            <v/>
          </cell>
          <cell r="O2398" t="str">
            <v/>
          </cell>
          <cell r="P2398" t="str">
            <v/>
          </cell>
          <cell r="Q2398" t="str">
            <v/>
          </cell>
          <cell r="T2398" t="str">
            <v/>
          </cell>
          <cell r="U2398" t="str">
            <v/>
          </cell>
          <cell r="W2398" t="str">
            <v/>
          </cell>
          <cell r="X2398" t="str">
            <v/>
          </cell>
          <cell r="AB2398">
            <v>0</v>
          </cell>
          <cell r="AC2398">
            <v>0</v>
          </cell>
          <cell r="AD2398">
            <v>0</v>
          </cell>
          <cell r="AJ2398">
            <v>0</v>
          </cell>
          <cell r="AK2398">
            <v>0</v>
          </cell>
        </row>
        <row r="2399">
          <cell r="B2399" t="str">
            <v/>
          </cell>
          <cell r="H2399" t="str">
            <v/>
          </cell>
          <cell r="J2399" t="str">
            <v/>
          </cell>
          <cell r="N2399" t="str">
            <v/>
          </cell>
          <cell r="O2399" t="str">
            <v/>
          </cell>
          <cell r="P2399" t="str">
            <v/>
          </cell>
          <cell r="Q2399" t="str">
            <v/>
          </cell>
          <cell r="T2399" t="str">
            <v/>
          </cell>
          <cell r="U2399" t="str">
            <v/>
          </cell>
          <cell r="W2399" t="str">
            <v/>
          </cell>
          <cell r="X2399" t="str">
            <v/>
          </cell>
          <cell r="AB2399">
            <v>0</v>
          </cell>
          <cell r="AC2399">
            <v>0</v>
          </cell>
          <cell r="AD2399">
            <v>0</v>
          </cell>
          <cell r="AJ2399">
            <v>0</v>
          </cell>
          <cell r="AK2399">
            <v>0</v>
          </cell>
        </row>
        <row r="2400">
          <cell r="B2400" t="str">
            <v/>
          </cell>
          <cell r="H2400" t="str">
            <v/>
          </cell>
          <cell r="J2400" t="str">
            <v/>
          </cell>
          <cell r="N2400" t="str">
            <v/>
          </cell>
          <cell r="O2400" t="str">
            <v/>
          </cell>
          <cell r="P2400" t="str">
            <v/>
          </cell>
          <cell r="Q2400" t="str">
            <v/>
          </cell>
          <cell r="T2400" t="str">
            <v/>
          </cell>
          <cell r="U2400" t="str">
            <v/>
          </cell>
          <cell r="W2400" t="str">
            <v/>
          </cell>
          <cell r="X2400" t="str">
            <v/>
          </cell>
          <cell r="AB2400">
            <v>0</v>
          </cell>
          <cell r="AC2400">
            <v>0</v>
          </cell>
          <cell r="AD2400">
            <v>0</v>
          </cell>
          <cell r="AJ2400">
            <v>0</v>
          </cell>
          <cell r="AK2400">
            <v>0</v>
          </cell>
        </row>
        <row r="2401">
          <cell r="B2401" t="str">
            <v/>
          </cell>
          <cell r="H2401" t="str">
            <v/>
          </cell>
          <cell r="J2401" t="str">
            <v/>
          </cell>
          <cell r="N2401" t="str">
            <v/>
          </cell>
          <cell r="O2401" t="str">
            <v/>
          </cell>
          <cell r="P2401" t="str">
            <v/>
          </cell>
          <cell r="Q2401" t="str">
            <v/>
          </cell>
          <cell r="T2401" t="str">
            <v/>
          </cell>
          <cell r="U2401" t="str">
            <v/>
          </cell>
          <cell r="W2401" t="str">
            <v/>
          </cell>
          <cell r="X2401" t="str">
            <v/>
          </cell>
          <cell r="AB2401">
            <v>0</v>
          </cell>
          <cell r="AC2401">
            <v>0</v>
          </cell>
          <cell r="AD2401">
            <v>0</v>
          </cell>
          <cell r="AJ2401">
            <v>0</v>
          </cell>
          <cell r="AK2401">
            <v>0</v>
          </cell>
        </row>
        <row r="2402">
          <cell r="B2402" t="str">
            <v/>
          </cell>
          <cell r="H2402" t="str">
            <v/>
          </cell>
          <cell r="J2402" t="str">
            <v/>
          </cell>
          <cell r="N2402" t="str">
            <v/>
          </cell>
          <cell r="O2402" t="str">
            <v/>
          </cell>
          <cell r="P2402" t="str">
            <v/>
          </cell>
          <cell r="Q2402" t="str">
            <v/>
          </cell>
          <cell r="T2402" t="str">
            <v/>
          </cell>
          <cell r="U2402" t="str">
            <v/>
          </cell>
          <cell r="W2402" t="str">
            <v/>
          </cell>
          <cell r="X2402" t="str">
            <v/>
          </cell>
          <cell r="AB2402">
            <v>0</v>
          </cell>
          <cell r="AC2402">
            <v>0</v>
          </cell>
          <cell r="AD2402">
            <v>0</v>
          </cell>
          <cell r="AJ2402">
            <v>0</v>
          </cell>
          <cell r="AK2402">
            <v>0</v>
          </cell>
        </row>
        <row r="2403">
          <cell r="B2403" t="str">
            <v/>
          </cell>
          <cell r="H2403" t="str">
            <v/>
          </cell>
          <cell r="J2403" t="str">
            <v/>
          </cell>
          <cell r="N2403" t="str">
            <v/>
          </cell>
          <cell r="O2403" t="str">
            <v/>
          </cell>
          <cell r="P2403" t="str">
            <v/>
          </cell>
          <cell r="Q2403" t="str">
            <v/>
          </cell>
          <cell r="T2403" t="str">
            <v/>
          </cell>
          <cell r="U2403" t="str">
            <v/>
          </cell>
          <cell r="W2403" t="str">
            <v/>
          </cell>
          <cell r="X2403" t="str">
            <v/>
          </cell>
          <cell r="AB2403">
            <v>0</v>
          </cell>
          <cell r="AC2403">
            <v>0</v>
          </cell>
          <cell r="AD2403">
            <v>0</v>
          </cell>
          <cell r="AJ2403">
            <v>0</v>
          </cell>
          <cell r="AK2403">
            <v>0</v>
          </cell>
        </row>
        <row r="2404">
          <cell r="B2404" t="str">
            <v/>
          </cell>
          <cell r="H2404" t="str">
            <v/>
          </cell>
          <cell r="J2404" t="str">
            <v/>
          </cell>
          <cell r="N2404" t="str">
            <v/>
          </cell>
          <cell r="O2404" t="str">
            <v/>
          </cell>
          <cell r="P2404" t="str">
            <v/>
          </cell>
          <cell r="Q2404" t="str">
            <v/>
          </cell>
          <cell r="T2404" t="str">
            <v/>
          </cell>
          <cell r="U2404" t="str">
            <v/>
          </cell>
          <cell r="W2404" t="str">
            <v/>
          </cell>
          <cell r="X2404" t="str">
            <v/>
          </cell>
          <cell r="AB2404">
            <v>0</v>
          </cell>
          <cell r="AC2404">
            <v>0</v>
          </cell>
          <cell r="AD2404">
            <v>0</v>
          </cell>
          <cell r="AJ2404">
            <v>0</v>
          </cell>
          <cell r="AK2404">
            <v>0</v>
          </cell>
        </row>
        <row r="2405">
          <cell r="B2405" t="str">
            <v/>
          </cell>
          <cell r="H2405" t="str">
            <v/>
          </cell>
          <cell r="J2405" t="str">
            <v/>
          </cell>
          <cell r="N2405" t="str">
            <v/>
          </cell>
          <cell r="O2405" t="str">
            <v/>
          </cell>
          <cell r="P2405" t="str">
            <v/>
          </cell>
          <cell r="Q2405" t="str">
            <v/>
          </cell>
          <cell r="T2405" t="str">
            <v/>
          </cell>
          <cell r="U2405" t="str">
            <v/>
          </cell>
          <cell r="W2405" t="str">
            <v/>
          </cell>
          <cell r="X2405" t="str">
            <v/>
          </cell>
          <cell r="AB2405">
            <v>0</v>
          </cell>
          <cell r="AC2405">
            <v>0</v>
          </cell>
          <cell r="AD2405">
            <v>0</v>
          </cell>
          <cell r="AJ2405">
            <v>0</v>
          </cell>
          <cell r="AK2405">
            <v>0</v>
          </cell>
        </row>
        <row r="2406">
          <cell r="B2406" t="str">
            <v/>
          </cell>
          <cell r="H2406" t="str">
            <v/>
          </cell>
          <cell r="J2406" t="str">
            <v/>
          </cell>
          <cell r="N2406" t="str">
            <v/>
          </cell>
          <cell r="O2406" t="str">
            <v/>
          </cell>
          <cell r="P2406" t="str">
            <v/>
          </cell>
          <cell r="Q2406" t="str">
            <v/>
          </cell>
          <cell r="T2406" t="str">
            <v/>
          </cell>
          <cell r="U2406" t="str">
            <v/>
          </cell>
          <cell r="W2406" t="str">
            <v/>
          </cell>
          <cell r="X2406" t="str">
            <v/>
          </cell>
          <cell r="AB2406">
            <v>0</v>
          </cell>
          <cell r="AC2406">
            <v>0</v>
          </cell>
          <cell r="AD2406">
            <v>0</v>
          </cell>
          <cell r="AJ2406">
            <v>0</v>
          </cell>
          <cell r="AK2406">
            <v>0</v>
          </cell>
        </row>
        <row r="2407">
          <cell r="B2407" t="str">
            <v/>
          </cell>
          <cell r="H2407" t="str">
            <v/>
          </cell>
          <cell r="J2407" t="str">
            <v/>
          </cell>
          <cell r="N2407" t="str">
            <v/>
          </cell>
          <cell r="O2407" t="str">
            <v/>
          </cell>
          <cell r="P2407" t="str">
            <v/>
          </cell>
          <cell r="Q2407" t="str">
            <v/>
          </cell>
          <cell r="T2407" t="str">
            <v/>
          </cell>
          <cell r="U2407" t="str">
            <v/>
          </cell>
          <cell r="W2407" t="str">
            <v/>
          </cell>
          <cell r="X2407" t="str">
            <v/>
          </cell>
          <cell r="AB2407">
            <v>0</v>
          </cell>
          <cell r="AC2407">
            <v>0</v>
          </cell>
          <cell r="AD2407">
            <v>0</v>
          </cell>
          <cell r="AJ2407">
            <v>0</v>
          </cell>
          <cell r="AK2407">
            <v>0</v>
          </cell>
        </row>
        <row r="2408">
          <cell r="B2408" t="str">
            <v/>
          </cell>
          <cell r="H2408" t="str">
            <v/>
          </cell>
          <cell r="J2408" t="str">
            <v/>
          </cell>
          <cell r="N2408" t="str">
            <v/>
          </cell>
          <cell r="O2408" t="str">
            <v/>
          </cell>
          <cell r="P2408" t="str">
            <v/>
          </cell>
          <cell r="Q2408" t="str">
            <v/>
          </cell>
          <cell r="T2408" t="str">
            <v/>
          </cell>
          <cell r="U2408" t="str">
            <v/>
          </cell>
          <cell r="W2408" t="str">
            <v/>
          </cell>
          <cell r="X2408" t="str">
            <v/>
          </cell>
          <cell r="AB2408">
            <v>0</v>
          </cell>
          <cell r="AC2408">
            <v>0</v>
          </cell>
          <cell r="AD2408">
            <v>0</v>
          </cell>
          <cell r="AJ2408">
            <v>0</v>
          </cell>
          <cell r="AK2408">
            <v>0</v>
          </cell>
        </row>
        <row r="2409">
          <cell r="B2409" t="str">
            <v/>
          </cell>
          <cell r="H2409" t="str">
            <v/>
          </cell>
          <cell r="J2409" t="str">
            <v/>
          </cell>
          <cell r="N2409" t="str">
            <v/>
          </cell>
          <cell r="O2409" t="str">
            <v/>
          </cell>
          <cell r="P2409" t="str">
            <v/>
          </cell>
          <cell r="Q2409" t="str">
            <v/>
          </cell>
          <cell r="T2409" t="str">
            <v/>
          </cell>
          <cell r="U2409" t="str">
            <v/>
          </cell>
          <cell r="W2409" t="str">
            <v/>
          </cell>
          <cell r="X2409" t="str">
            <v/>
          </cell>
          <cell r="AB2409">
            <v>0</v>
          </cell>
          <cell r="AC2409">
            <v>0</v>
          </cell>
          <cell r="AD2409">
            <v>0</v>
          </cell>
          <cell r="AJ2409">
            <v>0</v>
          </cell>
          <cell r="AK2409">
            <v>0</v>
          </cell>
        </row>
        <row r="2410">
          <cell r="B2410" t="str">
            <v/>
          </cell>
          <cell r="H2410" t="str">
            <v/>
          </cell>
          <cell r="J2410" t="str">
            <v/>
          </cell>
          <cell r="N2410" t="str">
            <v/>
          </cell>
          <cell r="O2410" t="str">
            <v/>
          </cell>
          <cell r="P2410" t="str">
            <v/>
          </cell>
          <cell r="Q2410" t="str">
            <v/>
          </cell>
          <cell r="T2410" t="str">
            <v/>
          </cell>
          <cell r="U2410" t="str">
            <v/>
          </cell>
          <cell r="W2410" t="str">
            <v/>
          </cell>
          <cell r="X2410" t="str">
            <v/>
          </cell>
          <cell r="AB2410">
            <v>0</v>
          </cell>
          <cell r="AC2410">
            <v>0</v>
          </cell>
          <cell r="AD2410">
            <v>0</v>
          </cell>
          <cell r="AJ2410">
            <v>0</v>
          </cell>
          <cell r="AK2410">
            <v>0</v>
          </cell>
        </row>
        <row r="2411">
          <cell r="B2411" t="str">
            <v/>
          </cell>
          <cell r="H2411" t="str">
            <v/>
          </cell>
          <cell r="J2411" t="str">
            <v/>
          </cell>
          <cell r="N2411" t="str">
            <v/>
          </cell>
          <cell r="O2411" t="str">
            <v/>
          </cell>
          <cell r="P2411" t="str">
            <v/>
          </cell>
          <cell r="Q2411" t="str">
            <v/>
          </cell>
          <cell r="T2411" t="str">
            <v/>
          </cell>
          <cell r="U2411" t="str">
            <v/>
          </cell>
          <cell r="W2411" t="str">
            <v/>
          </cell>
          <cell r="X2411" t="str">
            <v/>
          </cell>
          <cell r="AB2411">
            <v>0</v>
          </cell>
          <cell r="AC2411">
            <v>0</v>
          </cell>
          <cell r="AD2411">
            <v>0</v>
          </cell>
          <cell r="AJ2411">
            <v>0</v>
          </cell>
          <cell r="AK2411">
            <v>0</v>
          </cell>
        </row>
        <row r="2412">
          <cell r="B2412" t="str">
            <v/>
          </cell>
          <cell r="H2412" t="str">
            <v/>
          </cell>
          <cell r="J2412" t="str">
            <v/>
          </cell>
          <cell r="N2412" t="str">
            <v/>
          </cell>
          <cell r="O2412" t="str">
            <v/>
          </cell>
          <cell r="P2412" t="str">
            <v/>
          </cell>
          <cell r="Q2412" t="str">
            <v/>
          </cell>
          <cell r="T2412" t="str">
            <v/>
          </cell>
          <cell r="U2412" t="str">
            <v/>
          </cell>
          <cell r="W2412" t="str">
            <v/>
          </cell>
          <cell r="X2412" t="str">
            <v/>
          </cell>
          <cell r="AB2412">
            <v>0</v>
          </cell>
          <cell r="AC2412">
            <v>0</v>
          </cell>
          <cell r="AD2412">
            <v>0</v>
          </cell>
          <cell r="AJ2412">
            <v>0</v>
          </cell>
          <cell r="AK2412">
            <v>0</v>
          </cell>
        </row>
        <row r="2413">
          <cell r="B2413" t="str">
            <v/>
          </cell>
          <cell r="H2413" t="str">
            <v/>
          </cell>
          <cell r="J2413" t="str">
            <v/>
          </cell>
          <cell r="N2413" t="str">
            <v/>
          </cell>
          <cell r="O2413" t="str">
            <v/>
          </cell>
          <cell r="P2413" t="str">
            <v/>
          </cell>
          <cell r="Q2413" t="str">
            <v/>
          </cell>
          <cell r="T2413" t="str">
            <v/>
          </cell>
          <cell r="U2413" t="str">
            <v/>
          </cell>
          <cell r="W2413" t="str">
            <v/>
          </cell>
          <cell r="X2413" t="str">
            <v/>
          </cell>
          <cell r="AB2413">
            <v>0</v>
          </cell>
          <cell r="AC2413">
            <v>0</v>
          </cell>
          <cell r="AD2413">
            <v>0</v>
          </cell>
          <cell r="AJ2413">
            <v>0</v>
          </cell>
          <cell r="AK2413">
            <v>0</v>
          </cell>
        </row>
        <row r="2414">
          <cell r="B2414" t="str">
            <v/>
          </cell>
          <cell r="H2414" t="str">
            <v/>
          </cell>
          <cell r="J2414" t="str">
            <v/>
          </cell>
          <cell r="N2414" t="str">
            <v/>
          </cell>
          <cell r="O2414" t="str">
            <v/>
          </cell>
          <cell r="P2414" t="str">
            <v/>
          </cell>
          <cell r="Q2414" t="str">
            <v/>
          </cell>
          <cell r="T2414" t="str">
            <v/>
          </cell>
          <cell r="U2414" t="str">
            <v/>
          </cell>
          <cell r="W2414" t="str">
            <v/>
          </cell>
          <cell r="X2414" t="str">
            <v/>
          </cell>
          <cell r="AB2414">
            <v>0</v>
          </cell>
          <cell r="AC2414">
            <v>0</v>
          </cell>
          <cell r="AD2414">
            <v>0</v>
          </cell>
          <cell r="AJ2414">
            <v>0</v>
          </cell>
          <cell r="AK2414">
            <v>0</v>
          </cell>
        </row>
        <row r="2415">
          <cell r="B2415" t="str">
            <v/>
          </cell>
          <cell r="H2415" t="str">
            <v/>
          </cell>
          <cell r="J2415" t="str">
            <v/>
          </cell>
          <cell r="N2415" t="str">
            <v/>
          </cell>
          <cell r="O2415" t="str">
            <v/>
          </cell>
          <cell r="P2415" t="str">
            <v/>
          </cell>
          <cell r="Q2415" t="str">
            <v/>
          </cell>
          <cell r="T2415" t="str">
            <v/>
          </cell>
          <cell r="U2415" t="str">
            <v/>
          </cell>
          <cell r="W2415" t="str">
            <v/>
          </cell>
          <cell r="X2415" t="str">
            <v/>
          </cell>
          <cell r="AB2415">
            <v>0</v>
          </cell>
          <cell r="AC2415">
            <v>0</v>
          </cell>
          <cell r="AD2415">
            <v>0</v>
          </cell>
          <cell r="AJ2415">
            <v>0</v>
          </cell>
          <cell r="AK2415">
            <v>0</v>
          </cell>
        </row>
        <row r="2416">
          <cell r="B2416" t="str">
            <v/>
          </cell>
          <cell r="H2416" t="str">
            <v/>
          </cell>
          <cell r="J2416" t="str">
            <v/>
          </cell>
          <cell r="N2416" t="str">
            <v/>
          </cell>
          <cell r="O2416" t="str">
            <v/>
          </cell>
          <cell r="P2416" t="str">
            <v/>
          </cell>
          <cell r="Q2416" t="str">
            <v/>
          </cell>
          <cell r="T2416" t="str">
            <v/>
          </cell>
          <cell r="U2416" t="str">
            <v/>
          </cell>
          <cell r="W2416" t="str">
            <v/>
          </cell>
          <cell r="X2416" t="str">
            <v/>
          </cell>
          <cell r="AB2416">
            <v>0</v>
          </cell>
          <cell r="AC2416">
            <v>0</v>
          </cell>
          <cell r="AD2416">
            <v>0</v>
          </cell>
          <cell r="AJ2416">
            <v>0</v>
          </cell>
          <cell r="AK2416">
            <v>0</v>
          </cell>
        </row>
        <row r="2417">
          <cell r="B2417" t="str">
            <v/>
          </cell>
          <cell r="H2417" t="str">
            <v/>
          </cell>
          <cell r="J2417" t="str">
            <v/>
          </cell>
          <cell r="N2417" t="str">
            <v/>
          </cell>
          <cell r="O2417" t="str">
            <v/>
          </cell>
          <cell r="P2417" t="str">
            <v/>
          </cell>
          <cell r="Q2417" t="str">
            <v/>
          </cell>
          <cell r="T2417" t="str">
            <v/>
          </cell>
          <cell r="U2417" t="str">
            <v/>
          </cell>
          <cell r="W2417" t="str">
            <v/>
          </cell>
          <cell r="X2417" t="str">
            <v/>
          </cell>
          <cell r="AB2417">
            <v>0</v>
          </cell>
          <cell r="AC2417">
            <v>0</v>
          </cell>
          <cell r="AD2417">
            <v>0</v>
          </cell>
          <cell r="AJ2417">
            <v>0</v>
          </cell>
          <cell r="AK2417">
            <v>0</v>
          </cell>
        </row>
        <row r="2418">
          <cell r="B2418" t="str">
            <v/>
          </cell>
          <cell r="H2418" t="str">
            <v/>
          </cell>
          <cell r="J2418" t="str">
            <v/>
          </cell>
          <cell r="N2418" t="str">
            <v/>
          </cell>
          <cell r="O2418" t="str">
            <v/>
          </cell>
          <cell r="P2418" t="str">
            <v/>
          </cell>
          <cell r="Q2418" t="str">
            <v/>
          </cell>
          <cell r="T2418" t="str">
            <v/>
          </cell>
          <cell r="U2418" t="str">
            <v/>
          </cell>
          <cell r="W2418" t="str">
            <v/>
          </cell>
          <cell r="X2418" t="str">
            <v/>
          </cell>
          <cell r="AB2418">
            <v>0</v>
          </cell>
          <cell r="AC2418">
            <v>0</v>
          </cell>
          <cell r="AD2418">
            <v>0</v>
          </cell>
          <cell r="AJ2418">
            <v>0</v>
          </cell>
          <cell r="AK2418">
            <v>0</v>
          </cell>
        </row>
        <row r="2419">
          <cell r="B2419" t="str">
            <v/>
          </cell>
          <cell r="H2419" t="str">
            <v/>
          </cell>
          <cell r="J2419" t="str">
            <v/>
          </cell>
          <cell r="N2419" t="str">
            <v/>
          </cell>
          <cell r="O2419" t="str">
            <v/>
          </cell>
          <cell r="P2419" t="str">
            <v/>
          </cell>
          <cell r="Q2419" t="str">
            <v/>
          </cell>
          <cell r="T2419" t="str">
            <v/>
          </cell>
          <cell r="U2419" t="str">
            <v/>
          </cell>
          <cell r="W2419" t="str">
            <v/>
          </cell>
          <cell r="X2419" t="str">
            <v/>
          </cell>
          <cell r="AB2419">
            <v>0</v>
          </cell>
          <cell r="AC2419">
            <v>0</v>
          </cell>
          <cell r="AD2419">
            <v>0</v>
          </cell>
          <cell r="AJ2419">
            <v>0</v>
          </cell>
          <cell r="AK2419">
            <v>0</v>
          </cell>
        </row>
        <row r="2420">
          <cell r="B2420" t="str">
            <v/>
          </cell>
          <cell r="H2420" t="str">
            <v/>
          </cell>
          <cell r="J2420" t="str">
            <v/>
          </cell>
          <cell r="N2420" t="str">
            <v/>
          </cell>
          <cell r="O2420" t="str">
            <v/>
          </cell>
          <cell r="P2420" t="str">
            <v/>
          </cell>
          <cell r="Q2420" t="str">
            <v/>
          </cell>
          <cell r="T2420" t="str">
            <v/>
          </cell>
          <cell r="U2420" t="str">
            <v/>
          </cell>
          <cell r="W2420" t="str">
            <v/>
          </cell>
          <cell r="X2420" t="str">
            <v/>
          </cell>
          <cell r="AB2420">
            <v>0</v>
          </cell>
          <cell r="AC2420">
            <v>0</v>
          </cell>
          <cell r="AD2420">
            <v>0</v>
          </cell>
          <cell r="AJ2420">
            <v>0</v>
          </cell>
          <cell r="AK2420">
            <v>0</v>
          </cell>
        </row>
        <row r="2421">
          <cell r="B2421" t="str">
            <v/>
          </cell>
          <cell r="H2421" t="str">
            <v/>
          </cell>
          <cell r="J2421" t="str">
            <v/>
          </cell>
          <cell r="N2421" t="str">
            <v/>
          </cell>
          <cell r="O2421" t="str">
            <v/>
          </cell>
          <cell r="P2421" t="str">
            <v/>
          </cell>
          <cell r="Q2421" t="str">
            <v/>
          </cell>
          <cell r="T2421" t="str">
            <v/>
          </cell>
          <cell r="U2421" t="str">
            <v/>
          </cell>
          <cell r="W2421" t="str">
            <v/>
          </cell>
          <cell r="X2421" t="str">
            <v/>
          </cell>
          <cell r="AB2421">
            <v>0</v>
          </cell>
          <cell r="AC2421">
            <v>0</v>
          </cell>
          <cell r="AD2421">
            <v>0</v>
          </cell>
          <cell r="AJ2421">
            <v>0</v>
          </cell>
          <cell r="AK2421">
            <v>0</v>
          </cell>
        </row>
        <row r="2422">
          <cell r="B2422" t="str">
            <v/>
          </cell>
          <cell r="H2422" t="str">
            <v/>
          </cell>
          <cell r="J2422" t="str">
            <v/>
          </cell>
          <cell r="N2422" t="str">
            <v/>
          </cell>
          <cell r="O2422" t="str">
            <v/>
          </cell>
          <cell r="P2422" t="str">
            <v/>
          </cell>
          <cell r="Q2422" t="str">
            <v/>
          </cell>
          <cell r="T2422" t="str">
            <v/>
          </cell>
          <cell r="U2422" t="str">
            <v/>
          </cell>
          <cell r="W2422" t="str">
            <v/>
          </cell>
          <cell r="X2422" t="str">
            <v/>
          </cell>
          <cell r="AB2422">
            <v>0</v>
          </cell>
          <cell r="AC2422">
            <v>0</v>
          </cell>
          <cell r="AD2422">
            <v>0</v>
          </cell>
          <cell r="AJ2422">
            <v>0</v>
          </cell>
          <cell r="AK2422">
            <v>0</v>
          </cell>
        </row>
        <row r="2423">
          <cell r="B2423" t="str">
            <v/>
          </cell>
          <cell r="H2423" t="str">
            <v/>
          </cell>
          <cell r="J2423" t="str">
            <v/>
          </cell>
          <cell r="N2423" t="str">
            <v/>
          </cell>
          <cell r="O2423" t="str">
            <v/>
          </cell>
          <cell r="P2423" t="str">
            <v/>
          </cell>
          <cell r="Q2423" t="str">
            <v/>
          </cell>
          <cell r="T2423" t="str">
            <v/>
          </cell>
          <cell r="U2423" t="str">
            <v/>
          </cell>
          <cell r="W2423" t="str">
            <v/>
          </cell>
          <cell r="X2423" t="str">
            <v/>
          </cell>
          <cell r="AB2423">
            <v>0</v>
          </cell>
          <cell r="AC2423">
            <v>0</v>
          </cell>
          <cell r="AD2423">
            <v>0</v>
          </cell>
          <cell r="AJ2423">
            <v>0</v>
          </cell>
          <cell r="AK2423">
            <v>0</v>
          </cell>
        </row>
        <row r="2424">
          <cell r="B2424" t="str">
            <v/>
          </cell>
          <cell r="H2424" t="str">
            <v/>
          </cell>
          <cell r="J2424" t="str">
            <v/>
          </cell>
          <cell r="N2424" t="str">
            <v/>
          </cell>
          <cell r="O2424" t="str">
            <v/>
          </cell>
          <cell r="P2424" t="str">
            <v/>
          </cell>
          <cell r="Q2424" t="str">
            <v/>
          </cell>
          <cell r="T2424" t="str">
            <v/>
          </cell>
          <cell r="U2424" t="str">
            <v/>
          </cell>
          <cell r="W2424" t="str">
            <v/>
          </cell>
          <cell r="X2424" t="str">
            <v/>
          </cell>
          <cell r="AB2424">
            <v>0</v>
          </cell>
          <cell r="AC2424">
            <v>0</v>
          </cell>
          <cell r="AD2424">
            <v>0</v>
          </cell>
          <cell r="AJ2424">
            <v>0</v>
          </cell>
          <cell r="AK2424">
            <v>0</v>
          </cell>
        </row>
        <row r="2425">
          <cell r="B2425" t="str">
            <v/>
          </cell>
          <cell r="H2425" t="str">
            <v/>
          </cell>
          <cell r="J2425" t="str">
            <v/>
          </cell>
          <cell r="N2425" t="str">
            <v/>
          </cell>
          <cell r="O2425" t="str">
            <v/>
          </cell>
          <cell r="P2425" t="str">
            <v/>
          </cell>
          <cell r="Q2425" t="str">
            <v/>
          </cell>
          <cell r="T2425" t="str">
            <v/>
          </cell>
          <cell r="U2425" t="str">
            <v/>
          </cell>
          <cell r="W2425" t="str">
            <v/>
          </cell>
          <cell r="X2425" t="str">
            <v/>
          </cell>
          <cell r="AB2425">
            <v>0</v>
          </cell>
          <cell r="AC2425">
            <v>0</v>
          </cell>
          <cell r="AD2425">
            <v>0</v>
          </cell>
          <cell r="AJ2425">
            <v>0</v>
          </cell>
          <cell r="AK2425">
            <v>0</v>
          </cell>
        </row>
        <row r="2426">
          <cell r="B2426" t="str">
            <v/>
          </cell>
          <cell r="H2426" t="str">
            <v/>
          </cell>
          <cell r="J2426" t="str">
            <v/>
          </cell>
          <cell r="N2426" t="str">
            <v/>
          </cell>
          <cell r="O2426" t="str">
            <v/>
          </cell>
          <cell r="P2426" t="str">
            <v/>
          </cell>
          <cell r="Q2426" t="str">
            <v/>
          </cell>
          <cell r="T2426" t="str">
            <v/>
          </cell>
          <cell r="U2426" t="str">
            <v/>
          </cell>
          <cell r="W2426" t="str">
            <v/>
          </cell>
          <cell r="X2426" t="str">
            <v/>
          </cell>
          <cell r="AB2426">
            <v>0</v>
          </cell>
          <cell r="AC2426">
            <v>0</v>
          </cell>
          <cell r="AD2426">
            <v>0</v>
          </cell>
          <cell r="AJ2426">
            <v>0</v>
          </cell>
          <cell r="AK2426">
            <v>0</v>
          </cell>
        </row>
        <row r="2427">
          <cell r="B2427" t="str">
            <v/>
          </cell>
          <cell r="H2427" t="str">
            <v/>
          </cell>
          <cell r="J2427" t="str">
            <v/>
          </cell>
          <cell r="N2427" t="str">
            <v/>
          </cell>
          <cell r="O2427" t="str">
            <v/>
          </cell>
          <cell r="P2427" t="str">
            <v/>
          </cell>
          <cell r="Q2427" t="str">
            <v/>
          </cell>
          <cell r="T2427" t="str">
            <v/>
          </cell>
          <cell r="U2427" t="str">
            <v/>
          </cell>
          <cell r="W2427" t="str">
            <v/>
          </cell>
          <cell r="X2427" t="str">
            <v/>
          </cell>
          <cell r="AB2427">
            <v>0</v>
          </cell>
          <cell r="AC2427">
            <v>0</v>
          </cell>
          <cell r="AD2427">
            <v>0</v>
          </cell>
          <cell r="AJ2427">
            <v>0</v>
          </cell>
          <cell r="AK2427">
            <v>0</v>
          </cell>
        </row>
        <row r="2428">
          <cell r="B2428" t="str">
            <v/>
          </cell>
          <cell r="H2428" t="str">
            <v/>
          </cell>
          <cell r="J2428" t="str">
            <v/>
          </cell>
          <cell r="N2428" t="str">
            <v/>
          </cell>
          <cell r="O2428" t="str">
            <v/>
          </cell>
          <cell r="P2428" t="str">
            <v/>
          </cell>
          <cell r="Q2428" t="str">
            <v/>
          </cell>
          <cell r="T2428" t="str">
            <v/>
          </cell>
          <cell r="U2428" t="str">
            <v/>
          </cell>
          <cell r="W2428" t="str">
            <v/>
          </cell>
          <cell r="X2428" t="str">
            <v/>
          </cell>
          <cell r="AB2428">
            <v>0</v>
          </cell>
          <cell r="AC2428">
            <v>0</v>
          </cell>
          <cell r="AD2428">
            <v>0</v>
          </cell>
          <cell r="AJ2428">
            <v>0</v>
          </cell>
          <cell r="AK2428">
            <v>0</v>
          </cell>
        </row>
        <row r="2429">
          <cell r="B2429" t="str">
            <v/>
          </cell>
          <cell r="H2429" t="str">
            <v/>
          </cell>
          <cell r="J2429" t="str">
            <v/>
          </cell>
          <cell r="N2429" t="str">
            <v/>
          </cell>
          <cell r="O2429" t="str">
            <v/>
          </cell>
          <cell r="P2429" t="str">
            <v/>
          </cell>
          <cell r="Q2429" t="str">
            <v/>
          </cell>
          <cell r="T2429" t="str">
            <v/>
          </cell>
          <cell r="U2429" t="str">
            <v/>
          </cell>
          <cell r="W2429" t="str">
            <v/>
          </cell>
          <cell r="X2429" t="str">
            <v/>
          </cell>
          <cell r="AB2429">
            <v>0</v>
          </cell>
          <cell r="AC2429">
            <v>0</v>
          </cell>
          <cell r="AD2429">
            <v>0</v>
          </cell>
          <cell r="AJ2429">
            <v>0</v>
          </cell>
          <cell r="AK2429">
            <v>0</v>
          </cell>
        </row>
        <row r="2430">
          <cell r="B2430" t="str">
            <v/>
          </cell>
          <cell r="H2430" t="str">
            <v/>
          </cell>
          <cell r="J2430" t="str">
            <v/>
          </cell>
          <cell r="N2430" t="str">
            <v/>
          </cell>
          <cell r="O2430" t="str">
            <v/>
          </cell>
          <cell r="P2430" t="str">
            <v/>
          </cell>
          <cell r="Q2430" t="str">
            <v/>
          </cell>
          <cell r="T2430" t="str">
            <v/>
          </cell>
          <cell r="U2430" t="str">
            <v/>
          </cell>
          <cell r="W2430" t="str">
            <v/>
          </cell>
          <cell r="X2430" t="str">
            <v/>
          </cell>
          <cell r="AB2430">
            <v>0</v>
          </cell>
          <cell r="AC2430">
            <v>0</v>
          </cell>
          <cell r="AD2430">
            <v>0</v>
          </cell>
          <cell r="AJ2430">
            <v>0</v>
          </cell>
          <cell r="AK2430">
            <v>0</v>
          </cell>
        </row>
        <row r="2431">
          <cell r="B2431" t="str">
            <v/>
          </cell>
          <cell r="H2431" t="str">
            <v/>
          </cell>
          <cell r="J2431" t="str">
            <v/>
          </cell>
          <cell r="N2431" t="str">
            <v/>
          </cell>
          <cell r="O2431" t="str">
            <v/>
          </cell>
          <cell r="P2431" t="str">
            <v/>
          </cell>
          <cell r="Q2431" t="str">
            <v/>
          </cell>
          <cell r="T2431" t="str">
            <v/>
          </cell>
          <cell r="U2431" t="str">
            <v/>
          </cell>
          <cell r="W2431" t="str">
            <v/>
          </cell>
          <cell r="X2431" t="str">
            <v/>
          </cell>
          <cell r="AB2431">
            <v>0</v>
          </cell>
          <cell r="AC2431">
            <v>0</v>
          </cell>
          <cell r="AD2431">
            <v>0</v>
          </cell>
          <cell r="AJ2431">
            <v>0</v>
          </cell>
          <cell r="AK2431">
            <v>0</v>
          </cell>
        </row>
        <row r="2432">
          <cell r="B2432" t="str">
            <v/>
          </cell>
          <cell r="H2432" t="str">
            <v/>
          </cell>
          <cell r="J2432" t="str">
            <v/>
          </cell>
          <cell r="N2432" t="str">
            <v/>
          </cell>
          <cell r="O2432" t="str">
            <v/>
          </cell>
          <cell r="P2432" t="str">
            <v/>
          </cell>
          <cell r="Q2432" t="str">
            <v/>
          </cell>
          <cell r="T2432" t="str">
            <v/>
          </cell>
          <cell r="U2432" t="str">
            <v/>
          </cell>
          <cell r="W2432" t="str">
            <v/>
          </cell>
          <cell r="X2432" t="str">
            <v/>
          </cell>
          <cell r="AB2432">
            <v>0</v>
          </cell>
          <cell r="AC2432">
            <v>0</v>
          </cell>
          <cell r="AD2432">
            <v>0</v>
          </cell>
          <cell r="AJ2432">
            <v>0</v>
          </cell>
          <cell r="AK2432">
            <v>0</v>
          </cell>
        </row>
        <row r="2433">
          <cell r="B2433" t="str">
            <v/>
          </cell>
          <cell r="H2433" t="str">
            <v/>
          </cell>
          <cell r="J2433" t="str">
            <v/>
          </cell>
          <cell r="N2433" t="str">
            <v/>
          </cell>
          <cell r="O2433" t="str">
            <v/>
          </cell>
          <cell r="P2433" t="str">
            <v/>
          </cell>
          <cell r="Q2433" t="str">
            <v/>
          </cell>
          <cell r="T2433" t="str">
            <v/>
          </cell>
          <cell r="U2433" t="str">
            <v/>
          </cell>
          <cell r="W2433" t="str">
            <v/>
          </cell>
          <cell r="X2433" t="str">
            <v/>
          </cell>
          <cell r="AB2433">
            <v>0</v>
          </cell>
          <cell r="AC2433">
            <v>0</v>
          </cell>
          <cell r="AD2433">
            <v>0</v>
          </cell>
          <cell r="AJ2433">
            <v>0</v>
          </cell>
          <cell r="AK2433">
            <v>0</v>
          </cell>
        </row>
        <row r="2434">
          <cell r="B2434" t="str">
            <v/>
          </cell>
          <cell r="H2434" t="str">
            <v/>
          </cell>
          <cell r="J2434" t="str">
            <v/>
          </cell>
          <cell r="N2434" t="str">
            <v/>
          </cell>
          <cell r="O2434" t="str">
            <v/>
          </cell>
          <cell r="P2434" t="str">
            <v/>
          </cell>
          <cell r="Q2434" t="str">
            <v/>
          </cell>
          <cell r="T2434" t="str">
            <v/>
          </cell>
          <cell r="U2434" t="str">
            <v/>
          </cell>
          <cell r="W2434" t="str">
            <v/>
          </cell>
          <cell r="X2434" t="str">
            <v/>
          </cell>
          <cell r="AB2434">
            <v>0</v>
          </cell>
          <cell r="AC2434">
            <v>0</v>
          </cell>
          <cell r="AD2434">
            <v>0</v>
          </cell>
          <cell r="AJ2434">
            <v>0</v>
          </cell>
          <cell r="AK2434">
            <v>0</v>
          </cell>
        </row>
        <row r="2435">
          <cell r="B2435" t="str">
            <v/>
          </cell>
          <cell r="H2435" t="str">
            <v/>
          </cell>
          <cell r="J2435" t="str">
            <v/>
          </cell>
          <cell r="N2435" t="str">
            <v/>
          </cell>
          <cell r="O2435" t="str">
            <v/>
          </cell>
          <cell r="P2435" t="str">
            <v/>
          </cell>
          <cell r="Q2435" t="str">
            <v/>
          </cell>
          <cell r="T2435" t="str">
            <v/>
          </cell>
          <cell r="U2435" t="str">
            <v/>
          </cell>
          <cell r="W2435" t="str">
            <v/>
          </cell>
          <cell r="X2435" t="str">
            <v/>
          </cell>
          <cell r="AB2435">
            <v>0</v>
          </cell>
          <cell r="AC2435">
            <v>0</v>
          </cell>
          <cell r="AD2435">
            <v>0</v>
          </cell>
          <cell r="AJ2435">
            <v>0</v>
          </cell>
          <cell r="AK2435">
            <v>0</v>
          </cell>
        </row>
        <row r="2436">
          <cell r="B2436" t="str">
            <v/>
          </cell>
          <cell r="H2436" t="str">
            <v/>
          </cell>
          <cell r="J2436" t="str">
            <v/>
          </cell>
          <cell r="N2436" t="str">
            <v/>
          </cell>
          <cell r="O2436" t="str">
            <v/>
          </cell>
          <cell r="P2436" t="str">
            <v/>
          </cell>
          <cell r="Q2436" t="str">
            <v/>
          </cell>
          <cell r="T2436" t="str">
            <v/>
          </cell>
          <cell r="U2436" t="str">
            <v/>
          </cell>
          <cell r="W2436" t="str">
            <v/>
          </cell>
          <cell r="X2436" t="str">
            <v/>
          </cell>
          <cell r="AB2436">
            <v>0</v>
          </cell>
          <cell r="AC2436">
            <v>0</v>
          </cell>
          <cell r="AD2436">
            <v>0</v>
          </cell>
          <cell r="AJ2436">
            <v>0</v>
          </cell>
          <cell r="AK2436">
            <v>0</v>
          </cell>
        </row>
        <row r="2437">
          <cell r="B2437" t="str">
            <v/>
          </cell>
          <cell r="H2437" t="str">
            <v/>
          </cell>
          <cell r="J2437" t="str">
            <v/>
          </cell>
          <cell r="N2437" t="str">
            <v/>
          </cell>
          <cell r="O2437" t="str">
            <v/>
          </cell>
          <cell r="P2437" t="str">
            <v/>
          </cell>
          <cell r="Q2437" t="str">
            <v/>
          </cell>
          <cell r="T2437" t="str">
            <v/>
          </cell>
          <cell r="U2437" t="str">
            <v/>
          </cell>
          <cell r="W2437" t="str">
            <v/>
          </cell>
          <cell r="X2437" t="str">
            <v/>
          </cell>
          <cell r="AB2437">
            <v>0</v>
          </cell>
          <cell r="AC2437">
            <v>0</v>
          </cell>
          <cell r="AD2437">
            <v>0</v>
          </cell>
          <cell r="AJ2437">
            <v>0</v>
          </cell>
          <cell r="AK2437">
            <v>0</v>
          </cell>
        </row>
        <row r="2438">
          <cell r="B2438" t="str">
            <v/>
          </cell>
          <cell r="H2438" t="str">
            <v/>
          </cell>
          <cell r="J2438" t="str">
            <v/>
          </cell>
          <cell r="N2438" t="str">
            <v/>
          </cell>
          <cell r="O2438" t="str">
            <v/>
          </cell>
          <cell r="P2438" t="str">
            <v/>
          </cell>
          <cell r="Q2438" t="str">
            <v/>
          </cell>
          <cell r="T2438" t="str">
            <v/>
          </cell>
          <cell r="U2438" t="str">
            <v/>
          </cell>
          <cell r="W2438" t="str">
            <v/>
          </cell>
          <cell r="X2438" t="str">
            <v/>
          </cell>
          <cell r="AB2438">
            <v>0</v>
          </cell>
          <cell r="AC2438">
            <v>0</v>
          </cell>
          <cell r="AD2438">
            <v>0</v>
          </cell>
          <cell r="AJ2438">
            <v>0</v>
          </cell>
          <cell r="AK2438">
            <v>0</v>
          </cell>
        </row>
        <row r="2439">
          <cell r="B2439" t="str">
            <v/>
          </cell>
          <cell r="H2439" t="str">
            <v/>
          </cell>
          <cell r="J2439" t="str">
            <v/>
          </cell>
          <cell r="N2439" t="str">
            <v/>
          </cell>
          <cell r="O2439" t="str">
            <v/>
          </cell>
          <cell r="P2439" t="str">
            <v/>
          </cell>
          <cell r="Q2439" t="str">
            <v/>
          </cell>
          <cell r="T2439" t="str">
            <v/>
          </cell>
          <cell r="U2439" t="str">
            <v/>
          </cell>
          <cell r="W2439" t="str">
            <v/>
          </cell>
          <cell r="X2439" t="str">
            <v/>
          </cell>
          <cell r="AB2439">
            <v>0</v>
          </cell>
          <cell r="AC2439">
            <v>0</v>
          </cell>
          <cell r="AD2439">
            <v>0</v>
          </cell>
          <cell r="AJ2439">
            <v>0</v>
          </cell>
          <cell r="AK2439">
            <v>0</v>
          </cell>
        </row>
        <row r="2440">
          <cell r="B2440" t="str">
            <v/>
          </cell>
          <cell r="H2440" t="str">
            <v/>
          </cell>
          <cell r="J2440" t="str">
            <v/>
          </cell>
          <cell r="N2440" t="str">
            <v/>
          </cell>
          <cell r="O2440" t="str">
            <v/>
          </cell>
          <cell r="P2440" t="str">
            <v/>
          </cell>
          <cell r="Q2440" t="str">
            <v/>
          </cell>
          <cell r="T2440" t="str">
            <v/>
          </cell>
          <cell r="U2440" t="str">
            <v/>
          </cell>
          <cell r="W2440" t="str">
            <v/>
          </cell>
          <cell r="X2440" t="str">
            <v/>
          </cell>
          <cell r="AB2440">
            <v>0</v>
          </cell>
          <cell r="AC2440">
            <v>0</v>
          </cell>
          <cell r="AD2440">
            <v>0</v>
          </cell>
          <cell r="AJ2440">
            <v>0</v>
          </cell>
          <cell r="AK2440">
            <v>0</v>
          </cell>
        </row>
        <row r="2441">
          <cell r="B2441" t="str">
            <v/>
          </cell>
          <cell r="H2441" t="str">
            <v/>
          </cell>
          <cell r="J2441" t="str">
            <v/>
          </cell>
          <cell r="N2441" t="str">
            <v/>
          </cell>
          <cell r="O2441" t="str">
            <v/>
          </cell>
          <cell r="P2441" t="str">
            <v/>
          </cell>
          <cell r="Q2441" t="str">
            <v/>
          </cell>
          <cell r="T2441" t="str">
            <v/>
          </cell>
          <cell r="U2441" t="str">
            <v/>
          </cell>
          <cell r="W2441" t="str">
            <v/>
          </cell>
          <cell r="X2441" t="str">
            <v/>
          </cell>
          <cell r="AB2441">
            <v>0</v>
          </cell>
          <cell r="AC2441">
            <v>0</v>
          </cell>
          <cell r="AD2441">
            <v>0</v>
          </cell>
          <cell r="AJ2441">
            <v>0</v>
          </cell>
          <cell r="AK2441">
            <v>0</v>
          </cell>
        </row>
        <row r="2442">
          <cell r="B2442" t="str">
            <v/>
          </cell>
          <cell r="H2442" t="str">
            <v/>
          </cell>
          <cell r="J2442" t="str">
            <v/>
          </cell>
          <cell r="N2442" t="str">
            <v/>
          </cell>
          <cell r="O2442" t="str">
            <v/>
          </cell>
          <cell r="P2442" t="str">
            <v/>
          </cell>
          <cell r="Q2442" t="str">
            <v/>
          </cell>
          <cell r="T2442" t="str">
            <v/>
          </cell>
          <cell r="U2442" t="str">
            <v/>
          </cell>
          <cell r="W2442" t="str">
            <v/>
          </cell>
          <cell r="X2442" t="str">
            <v/>
          </cell>
          <cell r="AB2442">
            <v>0</v>
          </cell>
          <cell r="AC2442">
            <v>0</v>
          </cell>
          <cell r="AD2442">
            <v>0</v>
          </cell>
          <cell r="AJ2442">
            <v>0</v>
          </cell>
          <cell r="AK2442">
            <v>0</v>
          </cell>
        </row>
        <row r="2443">
          <cell r="B2443" t="str">
            <v/>
          </cell>
          <cell r="H2443" t="str">
            <v/>
          </cell>
          <cell r="J2443" t="str">
            <v/>
          </cell>
          <cell r="N2443" t="str">
            <v/>
          </cell>
          <cell r="O2443" t="str">
            <v/>
          </cell>
          <cell r="P2443" t="str">
            <v/>
          </cell>
          <cell r="Q2443" t="str">
            <v/>
          </cell>
          <cell r="T2443" t="str">
            <v/>
          </cell>
          <cell r="U2443" t="str">
            <v/>
          </cell>
          <cell r="W2443" t="str">
            <v/>
          </cell>
          <cell r="X2443" t="str">
            <v/>
          </cell>
          <cell r="AB2443">
            <v>0</v>
          </cell>
          <cell r="AC2443">
            <v>0</v>
          </cell>
          <cell r="AD2443">
            <v>0</v>
          </cell>
          <cell r="AJ2443">
            <v>0</v>
          </cell>
          <cell r="AK2443">
            <v>0</v>
          </cell>
        </row>
        <row r="2444">
          <cell r="B2444" t="str">
            <v/>
          </cell>
          <cell r="H2444" t="str">
            <v/>
          </cell>
          <cell r="J2444" t="str">
            <v/>
          </cell>
          <cell r="N2444" t="str">
            <v/>
          </cell>
          <cell r="O2444" t="str">
            <v/>
          </cell>
          <cell r="P2444" t="str">
            <v/>
          </cell>
          <cell r="Q2444" t="str">
            <v/>
          </cell>
          <cell r="T2444" t="str">
            <v/>
          </cell>
          <cell r="U2444" t="str">
            <v/>
          </cell>
          <cell r="W2444" t="str">
            <v/>
          </cell>
          <cell r="X2444" t="str">
            <v/>
          </cell>
          <cell r="AB2444">
            <v>0</v>
          </cell>
          <cell r="AC2444">
            <v>0</v>
          </cell>
          <cell r="AD2444">
            <v>0</v>
          </cell>
          <cell r="AJ2444">
            <v>0</v>
          </cell>
          <cell r="AK2444">
            <v>0</v>
          </cell>
        </row>
        <row r="2445">
          <cell r="B2445" t="str">
            <v/>
          </cell>
          <cell r="H2445" t="str">
            <v/>
          </cell>
          <cell r="J2445" t="str">
            <v/>
          </cell>
          <cell r="N2445" t="str">
            <v/>
          </cell>
          <cell r="O2445" t="str">
            <v/>
          </cell>
          <cell r="P2445" t="str">
            <v/>
          </cell>
          <cell r="Q2445" t="str">
            <v/>
          </cell>
          <cell r="T2445" t="str">
            <v/>
          </cell>
          <cell r="U2445" t="str">
            <v/>
          </cell>
          <cell r="W2445" t="str">
            <v/>
          </cell>
          <cell r="X2445" t="str">
            <v/>
          </cell>
          <cell r="AB2445">
            <v>0</v>
          </cell>
          <cell r="AC2445">
            <v>0</v>
          </cell>
          <cell r="AD2445">
            <v>0</v>
          </cell>
          <cell r="AJ2445">
            <v>0</v>
          </cell>
          <cell r="AK2445">
            <v>0</v>
          </cell>
        </row>
        <row r="2446">
          <cell r="B2446" t="str">
            <v/>
          </cell>
          <cell r="H2446" t="str">
            <v/>
          </cell>
          <cell r="J2446" t="str">
            <v/>
          </cell>
          <cell r="N2446" t="str">
            <v/>
          </cell>
          <cell r="O2446" t="str">
            <v/>
          </cell>
          <cell r="P2446" t="str">
            <v/>
          </cell>
          <cell r="Q2446" t="str">
            <v/>
          </cell>
          <cell r="T2446" t="str">
            <v/>
          </cell>
          <cell r="U2446" t="str">
            <v/>
          </cell>
          <cell r="W2446" t="str">
            <v/>
          </cell>
          <cell r="X2446" t="str">
            <v/>
          </cell>
          <cell r="AB2446">
            <v>0</v>
          </cell>
          <cell r="AC2446">
            <v>0</v>
          </cell>
          <cell r="AD2446">
            <v>0</v>
          </cell>
          <cell r="AJ2446">
            <v>0</v>
          </cell>
          <cell r="AK2446">
            <v>0</v>
          </cell>
        </row>
        <row r="2447">
          <cell r="B2447" t="str">
            <v/>
          </cell>
          <cell r="H2447" t="str">
            <v/>
          </cell>
          <cell r="J2447" t="str">
            <v/>
          </cell>
          <cell r="N2447" t="str">
            <v/>
          </cell>
          <cell r="O2447" t="str">
            <v/>
          </cell>
          <cell r="P2447" t="str">
            <v/>
          </cell>
          <cell r="Q2447" t="str">
            <v/>
          </cell>
          <cell r="T2447" t="str">
            <v/>
          </cell>
          <cell r="U2447" t="str">
            <v/>
          </cell>
          <cell r="W2447" t="str">
            <v/>
          </cell>
          <cell r="X2447" t="str">
            <v/>
          </cell>
          <cell r="AB2447">
            <v>0</v>
          </cell>
          <cell r="AC2447">
            <v>0</v>
          </cell>
          <cell r="AD2447">
            <v>0</v>
          </cell>
          <cell r="AJ2447">
            <v>0</v>
          </cell>
          <cell r="AK2447">
            <v>0</v>
          </cell>
        </row>
        <row r="2448">
          <cell r="B2448" t="str">
            <v/>
          </cell>
          <cell r="H2448" t="str">
            <v/>
          </cell>
          <cell r="J2448" t="str">
            <v/>
          </cell>
          <cell r="N2448" t="str">
            <v/>
          </cell>
          <cell r="O2448" t="str">
            <v/>
          </cell>
          <cell r="P2448" t="str">
            <v/>
          </cell>
          <cell r="Q2448" t="str">
            <v/>
          </cell>
          <cell r="T2448" t="str">
            <v/>
          </cell>
          <cell r="U2448" t="str">
            <v/>
          </cell>
          <cell r="W2448" t="str">
            <v/>
          </cell>
          <cell r="X2448" t="str">
            <v/>
          </cell>
          <cell r="AB2448">
            <v>0</v>
          </cell>
          <cell r="AC2448">
            <v>0</v>
          </cell>
          <cell r="AD2448">
            <v>0</v>
          </cell>
          <cell r="AJ2448">
            <v>0</v>
          </cell>
          <cell r="AK2448">
            <v>0</v>
          </cell>
        </row>
        <row r="2449">
          <cell r="B2449" t="str">
            <v/>
          </cell>
          <cell r="H2449" t="str">
            <v/>
          </cell>
          <cell r="J2449" t="str">
            <v/>
          </cell>
          <cell r="N2449" t="str">
            <v/>
          </cell>
          <cell r="O2449" t="str">
            <v/>
          </cell>
          <cell r="P2449" t="str">
            <v/>
          </cell>
          <cell r="Q2449" t="str">
            <v/>
          </cell>
          <cell r="T2449" t="str">
            <v/>
          </cell>
          <cell r="U2449" t="str">
            <v/>
          </cell>
          <cell r="W2449" t="str">
            <v/>
          </cell>
          <cell r="X2449" t="str">
            <v/>
          </cell>
          <cell r="AB2449">
            <v>0</v>
          </cell>
          <cell r="AC2449">
            <v>0</v>
          </cell>
          <cell r="AD2449">
            <v>0</v>
          </cell>
          <cell r="AJ2449">
            <v>0</v>
          </cell>
          <cell r="AK2449">
            <v>0</v>
          </cell>
        </row>
        <row r="2450">
          <cell r="B2450" t="str">
            <v/>
          </cell>
          <cell r="H2450" t="str">
            <v/>
          </cell>
          <cell r="J2450" t="str">
            <v/>
          </cell>
          <cell r="N2450" t="str">
            <v/>
          </cell>
          <cell r="O2450" t="str">
            <v/>
          </cell>
          <cell r="P2450" t="str">
            <v/>
          </cell>
          <cell r="Q2450" t="str">
            <v/>
          </cell>
          <cell r="T2450" t="str">
            <v/>
          </cell>
          <cell r="U2450" t="str">
            <v/>
          </cell>
          <cell r="W2450" t="str">
            <v/>
          </cell>
          <cell r="X2450" t="str">
            <v/>
          </cell>
          <cell r="AB2450">
            <v>0</v>
          </cell>
          <cell r="AC2450">
            <v>0</v>
          </cell>
          <cell r="AD2450">
            <v>0</v>
          </cell>
          <cell r="AJ2450">
            <v>0</v>
          </cell>
          <cell r="AK2450">
            <v>0</v>
          </cell>
        </row>
        <row r="2451">
          <cell r="B2451" t="str">
            <v/>
          </cell>
          <cell r="H2451" t="str">
            <v/>
          </cell>
          <cell r="J2451" t="str">
            <v/>
          </cell>
          <cell r="N2451" t="str">
            <v/>
          </cell>
          <cell r="O2451" t="str">
            <v/>
          </cell>
          <cell r="P2451" t="str">
            <v/>
          </cell>
          <cell r="Q2451" t="str">
            <v/>
          </cell>
          <cell r="T2451" t="str">
            <v/>
          </cell>
          <cell r="U2451" t="str">
            <v/>
          </cell>
          <cell r="W2451" t="str">
            <v/>
          </cell>
          <cell r="X2451" t="str">
            <v/>
          </cell>
          <cell r="AB2451">
            <v>0</v>
          </cell>
          <cell r="AC2451">
            <v>0</v>
          </cell>
          <cell r="AD2451">
            <v>0</v>
          </cell>
          <cell r="AJ2451">
            <v>0</v>
          </cell>
          <cell r="AK2451">
            <v>0</v>
          </cell>
        </row>
        <row r="2452">
          <cell r="B2452" t="str">
            <v/>
          </cell>
          <cell r="H2452" t="str">
            <v/>
          </cell>
          <cell r="J2452" t="str">
            <v/>
          </cell>
          <cell r="N2452" t="str">
            <v/>
          </cell>
          <cell r="O2452" t="str">
            <v/>
          </cell>
          <cell r="P2452" t="str">
            <v/>
          </cell>
          <cell r="Q2452" t="str">
            <v/>
          </cell>
          <cell r="T2452" t="str">
            <v/>
          </cell>
          <cell r="U2452" t="str">
            <v/>
          </cell>
          <cell r="W2452" t="str">
            <v/>
          </cell>
          <cell r="X2452" t="str">
            <v/>
          </cell>
          <cell r="AB2452">
            <v>0</v>
          </cell>
          <cell r="AC2452">
            <v>0</v>
          </cell>
          <cell r="AD2452">
            <v>0</v>
          </cell>
          <cell r="AJ2452">
            <v>0</v>
          </cell>
          <cell r="AK2452">
            <v>0</v>
          </cell>
        </row>
        <row r="2453">
          <cell r="B2453" t="str">
            <v/>
          </cell>
          <cell r="H2453" t="str">
            <v/>
          </cell>
          <cell r="J2453" t="str">
            <v/>
          </cell>
          <cell r="N2453" t="str">
            <v/>
          </cell>
          <cell r="O2453" t="str">
            <v/>
          </cell>
          <cell r="P2453" t="str">
            <v/>
          </cell>
          <cell r="Q2453" t="str">
            <v/>
          </cell>
          <cell r="T2453" t="str">
            <v/>
          </cell>
          <cell r="U2453" t="str">
            <v/>
          </cell>
          <cell r="W2453" t="str">
            <v/>
          </cell>
          <cell r="X2453" t="str">
            <v/>
          </cell>
          <cell r="AB2453">
            <v>0</v>
          </cell>
          <cell r="AC2453">
            <v>0</v>
          </cell>
          <cell r="AD2453">
            <v>0</v>
          </cell>
          <cell r="AJ2453">
            <v>0</v>
          </cell>
          <cell r="AK2453">
            <v>0</v>
          </cell>
        </row>
        <row r="2454">
          <cell r="B2454" t="str">
            <v/>
          </cell>
          <cell r="H2454" t="str">
            <v/>
          </cell>
          <cell r="J2454" t="str">
            <v/>
          </cell>
          <cell r="N2454" t="str">
            <v/>
          </cell>
          <cell r="O2454" t="str">
            <v/>
          </cell>
          <cell r="P2454" t="str">
            <v/>
          </cell>
          <cell r="Q2454" t="str">
            <v/>
          </cell>
          <cell r="T2454" t="str">
            <v/>
          </cell>
          <cell r="U2454" t="str">
            <v/>
          </cell>
          <cell r="W2454" t="str">
            <v/>
          </cell>
          <cell r="X2454" t="str">
            <v/>
          </cell>
          <cell r="AB2454">
            <v>0</v>
          </cell>
          <cell r="AC2454">
            <v>0</v>
          </cell>
          <cell r="AD2454">
            <v>0</v>
          </cell>
          <cell r="AJ2454">
            <v>0</v>
          </cell>
          <cell r="AK2454">
            <v>0</v>
          </cell>
        </row>
        <row r="2455">
          <cell r="B2455" t="str">
            <v/>
          </cell>
          <cell r="H2455" t="str">
            <v/>
          </cell>
          <cell r="J2455" t="str">
            <v/>
          </cell>
          <cell r="N2455" t="str">
            <v/>
          </cell>
          <cell r="O2455" t="str">
            <v/>
          </cell>
          <cell r="P2455" t="str">
            <v/>
          </cell>
          <cell r="Q2455" t="str">
            <v/>
          </cell>
          <cell r="T2455" t="str">
            <v/>
          </cell>
          <cell r="U2455" t="str">
            <v/>
          </cell>
          <cell r="W2455" t="str">
            <v/>
          </cell>
          <cell r="X2455" t="str">
            <v/>
          </cell>
          <cell r="AB2455">
            <v>0</v>
          </cell>
          <cell r="AC2455">
            <v>0</v>
          </cell>
          <cell r="AD2455">
            <v>0</v>
          </cell>
          <cell r="AJ2455">
            <v>0</v>
          </cell>
          <cell r="AK2455">
            <v>0</v>
          </cell>
        </row>
        <row r="2456">
          <cell r="B2456" t="str">
            <v/>
          </cell>
          <cell r="H2456" t="str">
            <v/>
          </cell>
          <cell r="J2456" t="str">
            <v/>
          </cell>
          <cell r="N2456" t="str">
            <v/>
          </cell>
          <cell r="O2456" t="str">
            <v/>
          </cell>
          <cell r="P2456" t="str">
            <v/>
          </cell>
          <cell r="Q2456" t="str">
            <v/>
          </cell>
          <cell r="T2456" t="str">
            <v/>
          </cell>
          <cell r="U2456" t="str">
            <v/>
          </cell>
          <cell r="W2456" t="str">
            <v/>
          </cell>
          <cell r="X2456" t="str">
            <v/>
          </cell>
          <cell r="AB2456">
            <v>0</v>
          </cell>
          <cell r="AC2456">
            <v>0</v>
          </cell>
          <cell r="AD2456">
            <v>0</v>
          </cell>
          <cell r="AJ2456">
            <v>0</v>
          </cell>
          <cell r="AK2456">
            <v>0</v>
          </cell>
        </row>
        <row r="2457">
          <cell r="B2457" t="str">
            <v/>
          </cell>
          <cell r="H2457" t="str">
            <v/>
          </cell>
          <cell r="J2457" t="str">
            <v/>
          </cell>
          <cell r="N2457" t="str">
            <v/>
          </cell>
          <cell r="O2457" t="str">
            <v/>
          </cell>
          <cell r="P2457" t="str">
            <v/>
          </cell>
          <cell r="Q2457" t="str">
            <v/>
          </cell>
          <cell r="T2457" t="str">
            <v/>
          </cell>
          <cell r="U2457" t="str">
            <v/>
          </cell>
          <cell r="W2457" t="str">
            <v/>
          </cell>
          <cell r="X2457" t="str">
            <v/>
          </cell>
          <cell r="AB2457">
            <v>0</v>
          </cell>
          <cell r="AC2457">
            <v>0</v>
          </cell>
          <cell r="AD2457">
            <v>0</v>
          </cell>
          <cell r="AJ2457">
            <v>0</v>
          </cell>
          <cell r="AK2457">
            <v>0</v>
          </cell>
        </row>
        <row r="2458">
          <cell r="B2458" t="str">
            <v/>
          </cell>
          <cell r="H2458" t="str">
            <v/>
          </cell>
          <cell r="J2458" t="str">
            <v/>
          </cell>
          <cell r="N2458" t="str">
            <v/>
          </cell>
          <cell r="O2458" t="str">
            <v/>
          </cell>
          <cell r="P2458" t="str">
            <v/>
          </cell>
          <cell r="Q2458" t="str">
            <v/>
          </cell>
          <cell r="T2458" t="str">
            <v/>
          </cell>
          <cell r="U2458" t="str">
            <v/>
          </cell>
          <cell r="W2458" t="str">
            <v/>
          </cell>
          <cell r="X2458" t="str">
            <v/>
          </cell>
          <cell r="AB2458">
            <v>0</v>
          </cell>
          <cell r="AC2458">
            <v>0</v>
          </cell>
          <cell r="AD2458">
            <v>0</v>
          </cell>
          <cell r="AJ2458">
            <v>0</v>
          </cell>
          <cell r="AK2458">
            <v>0</v>
          </cell>
        </row>
        <row r="2459">
          <cell r="B2459" t="str">
            <v/>
          </cell>
          <cell r="H2459" t="str">
            <v/>
          </cell>
          <cell r="J2459" t="str">
            <v/>
          </cell>
          <cell r="N2459" t="str">
            <v/>
          </cell>
          <cell r="O2459" t="str">
            <v/>
          </cell>
          <cell r="P2459" t="str">
            <v/>
          </cell>
          <cell r="Q2459" t="str">
            <v/>
          </cell>
          <cell r="T2459" t="str">
            <v/>
          </cell>
          <cell r="U2459" t="str">
            <v/>
          </cell>
          <cell r="W2459" t="str">
            <v/>
          </cell>
          <cell r="X2459" t="str">
            <v/>
          </cell>
          <cell r="AB2459">
            <v>0</v>
          </cell>
          <cell r="AC2459">
            <v>0</v>
          </cell>
          <cell r="AD2459">
            <v>0</v>
          </cell>
          <cell r="AJ2459">
            <v>0</v>
          </cell>
          <cell r="AK2459">
            <v>0</v>
          </cell>
        </row>
        <row r="2460">
          <cell r="B2460" t="str">
            <v/>
          </cell>
          <cell r="H2460" t="str">
            <v/>
          </cell>
          <cell r="J2460" t="str">
            <v/>
          </cell>
          <cell r="N2460" t="str">
            <v/>
          </cell>
          <cell r="O2460" t="str">
            <v/>
          </cell>
          <cell r="P2460" t="str">
            <v/>
          </cell>
          <cell r="Q2460" t="str">
            <v/>
          </cell>
          <cell r="T2460" t="str">
            <v/>
          </cell>
          <cell r="U2460" t="str">
            <v/>
          </cell>
          <cell r="W2460" t="str">
            <v/>
          </cell>
          <cell r="X2460" t="str">
            <v/>
          </cell>
          <cell r="AB2460">
            <v>0</v>
          </cell>
          <cell r="AC2460">
            <v>0</v>
          </cell>
          <cell r="AD2460">
            <v>0</v>
          </cell>
          <cell r="AJ2460">
            <v>0</v>
          </cell>
          <cell r="AK2460">
            <v>0</v>
          </cell>
        </row>
        <row r="2461">
          <cell r="B2461" t="str">
            <v/>
          </cell>
          <cell r="H2461" t="str">
            <v/>
          </cell>
          <cell r="J2461" t="str">
            <v/>
          </cell>
          <cell r="N2461" t="str">
            <v/>
          </cell>
          <cell r="O2461" t="str">
            <v/>
          </cell>
          <cell r="P2461" t="str">
            <v/>
          </cell>
          <cell r="Q2461" t="str">
            <v/>
          </cell>
          <cell r="T2461" t="str">
            <v/>
          </cell>
          <cell r="U2461" t="str">
            <v/>
          </cell>
          <cell r="W2461" t="str">
            <v/>
          </cell>
          <cell r="X2461" t="str">
            <v/>
          </cell>
          <cell r="AB2461">
            <v>0</v>
          </cell>
          <cell r="AC2461">
            <v>0</v>
          </cell>
          <cell r="AD2461">
            <v>0</v>
          </cell>
          <cell r="AJ2461">
            <v>0</v>
          </cell>
          <cell r="AK2461">
            <v>0</v>
          </cell>
        </row>
        <row r="2462">
          <cell r="B2462" t="str">
            <v/>
          </cell>
          <cell r="H2462" t="str">
            <v/>
          </cell>
          <cell r="J2462" t="str">
            <v/>
          </cell>
          <cell r="N2462" t="str">
            <v/>
          </cell>
          <cell r="O2462" t="str">
            <v/>
          </cell>
          <cell r="P2462" t="str">
            <v/>
          </cell>
          <cell r="Q2462" t="str">
            <v/>
          </cell>
          <cell r="T2462" t="str">
            <v/>
          </cell>
          <cell r="U2462" t="str">
            <v/>
          </cell>
          <cell r="W2462" t="str">
            <v/>
          </cell>
          <cell r="X2462" t="str">
            <v/>
          </cell>
          <cell r="AB2462">
            <v>0</v>
          </cell>
          <cell r="AC2462">
            <v>0</v>
          </cell>
          <cell r="AD2462">
            <v>0</v>
          </cell>
          <cell r="AJ2462">
            <v>0</v>
          </cell>
          <cell r="AK2462">
            <v>0</v>
          </cell>
        </row>
        <row r="2463">
          <cell r="B2463" t="str">
            <v/>
          </cell>
          <cell r="H2463" t="str">
            <v/>
          </cell>
          <cell r="J2463" t="str">
            <v/>
          </cell>
          <cell r="N2463" t="str">
            <v/>
          </cell>
          <cell r="O2463" t="str">
            <v/>
          </cell>
          <cell r="P2463" t="str">
            <v/>
          </cell>
          <cell r="Q2463" t="str">
            <v/>
          </cell>
          <cell r="T2463" t="str">
            <v/>
          </cell>
          <cell r="U2463" t="str">
            <v/>
          </cell>
          <cell r="W2463" t="str">
            <v/>
          </cell>
          <cell r="X2463" t="str">
            <v/>
          </cell>
          <cell r="AB2463">
            <v>0</v>
          </cell>
          <cell r="AC2463">
            <v>0</v>
          </cell>
          <cell r="AD2463">
            <v>0</v>
          </cell>
          <cell r="AJ2463">
            <v>0</v>
          </cell>
          <cell r="AK2463">
            <v>0</v>
          </cell>
        </row>
        <row r="2464">
          <cell r="B2464" t="str">
            <v/>
          </cell>
          <cell r="H2464" t="str">
            <v/>
          </cell>
          <cell r="J2464" t="str">
            <v/>
          </cell>
          <cell r="N2464" t="str">
            <v/>
          </cell>
          <cell r="O2464" t="str">
            <v/>
          </cell>
          <cell r="P2464" t="str">
            <v/>
          </cell>
          <cell r="Q2464" t="str">
            <v/>
          </cell>
          <cell r="T2464" t="str">
            <v/>
          </cell>
          <cell r="U2464" t="str">
            <v/>
          </cell>
          <cell r="W2464" t="str">
            <v/>
          </cell>
          <cell r="X2464" t="str">
            <v/>
          </cell>
          <cell r="AB2464">
            <v>0</v>
          </cell>
          <cell r="AC2464">
            <v>0</v>
          </cell>
          <cell r="AD2464">
            <v>0</v>
          </cell>
          <cell r="AJ2464">
            <v>0</v>
          </cell>
          <cell r="AK2464">
            <v>0</v>
          </cell>
        </row>
        <row r="2465">
          <cell r="B2465" t="str">
            <v/>
          </cell>
          <cell r="H2465" t="str">
            <v/>
          </cell>
          <cell r="J2465" t="str">
            <v/>
          </cell>
          <cell r="N2465" t="str">
            <v/>
          </cell>
          <cell r="O2465" t="str">
            <v/>
          </cell>
          <cell r="P2465" t="str">
            <v/>
          </cell>
          <cell r="Q2465" t="str">
            <v/>
          </cell>
          <cell r="T2465" t="str">
            <v/>
          </cell>
          <cell r="U2465" t="str">
            <v/>
          </cell>
          <cell r="W2465" t="str">
            <v/>
          </cell>
          <cell r="X2465" t="str">
            <v/>
          </cell>
          <cell r="AB2465">
            <v>0</v>
          </cell>
          <cell r="AC2465">
            <v>0</v>
          </cell>
          <cell r="AD2465">
            <v>0</v>
          </cell>
          <cell r="AJ2465">
            <v>0</v>
          </cell>
          <cell r="AK2465">
            <v>0</v>
          </cell>
        </row>
        <row r="2466">
          <cell r="B2466" t="str">
            <v/>
          </cell>
          <cell r="H2466" t="str">
            <v/>
          </cell>
          <cell r="J2466" t="str">
            <v/>
          </cell>
          <cell r="N2466" t="str">
            <v/>
          </cell>
          <cell r="O2466" t="str">
            <v/>
          </cell>
          <cell r="P2466" t="str">
            <v/>
          </cell>
          <cell r="Q2466" t="str">
            <v/>
          </cell>
          <cell r="T2466" t="str">
            <v/>
          </cell>
          <cell r="U2466" t="str">
            <v/>
          </cell>
          <cell r="W2466" t="str">
            <v/>
          </cell>
          <cell r="X2466" t="str">
            <v/>
          </cell>
          <cell r="AB2466">
            <v>0</v>
          </cell>
          <cell r="AC2466">
            <v>0</v>
          </cell>
          <cell r="AD2466">
            <v>0</v>
          </cell>
          <cell r="AJ2466">
            <v>0</v>
          </cell>
          <cell r="AK2466">
            <v>0</v>
          </cell>
        </row>
        <row r="2467">
          <cell r="B2467" t="str">
            <v/>
          </cell>
          <cell r="H2467" t="str">
            <v/>
          </cell>
          <cell r="J2467" t="str">
            <v/>
          </cell>
          <cell r="N2467" t="str">
            <v/>
          </cell>
          <cell r="O2467" t="str">
            <v/>
          </cell>
          <cell r="P2467" t="str">
            <v/>
          </cell>
          <cell r="Q2467" t="str">
            <v/>
          </cell>
          <cell r="T2467" t="str">
            <v/>
          </cell>
          <cell r="U2467" t="str">
            <v/>
          </cell>
          <cell r="W2467" t="str">
            <v/>
          </cell>
          <cell r="X2467" t="str">
            <v/>
          </cell>
          <cell r="AB2467">
            <v>0</v>
          </cell>
          <cell r="AC2467">
            <v>0</v>
          </cell>
          <cell r="AD2467">
            <v>0</v>
          </cell>
          <cell r="AJ2467">
            <v>0</v>
          </cell>
          <cell r="AK2467">
            <v>0</v>
          </cell>
        </row>
        <row r="2468">
          <cell r="B2468" t="str">
            <v/>
          </cell>
          <cell r="H2468" t="str">
            <v/>
          </cell>
          <cell r="J2468" t="str">
            <v/>
          </cell>
          <cell r="N2468" t="str">
            <v/>
          </cell>
          <cell r="O2468" t="str">
            <v/>
          </cell>
          <cell r="P2468" t="str">
            <v/>
          </cell>
          <cell r="Q2468" t="str">
            <v/>
          </cell>
          <cell r="T2468" t="str">
            <v/>
          </cell>
          <cell r="U2468" t="str">
            <v/>
          </cell>
          <cell r="W2468" t="str">
            <v/>
          </cell>
          <cell r="X2468" t="str">
            <v/>
          </cell>
          <cell r="AB2468">
            <v>0</v>
          </cell>
          <cell r="AC2468">
            <v>0</v>
          </cell>
          <cell r="AD2468">
            <v>0</v>
          </cell>
          <cell r="AJ2468">
            <v>0</v>
          </cell>
          <cell r="AK2468">
            <v>0</v>
          </cell>
        </row>
        <row r="2469">
          <cell r="B2469" t="str">
            <v/>
          </cell>
          <cell r="H2469" t="str">
            <v/>
          </cell>
          <cell r="J2469" t="str">
            <v/>
          </cell>
          <cell r="N2469" t="str">
            <v/>
          </cell>
          <cell r="O2469" t="str">
            <v/>
          </cell>
          <cell r="P2469" t="str">
            <v/>
          </cell>
          <cell r="Q2469" t="str">
            <v/>
          </cell>
          <cell r="T2469" t="str">
            <v/>
          </cell>
          <cell r="U2469" t="str">
            <v/>
          </cell>
          <cell r="W2469" t="str">
            <v/>
          </cell>
          <cell r="X2469" t="str">
            <v/>
          </cell>
          <cell r="AB2469">
            <v>0</v>
          </cell>
          <cell r="AC2469">
            <v>0</v>
          </cell>
          <cell r="AD2469">
            <v>0</v>
          </cell>
          <cell r="AJ2469">
            <v>0</v>
          </cell>
          <cell r="AK2469">
            <v>0</v>
          </cell>
        </row>
        <row r="2470">
          <cell r="B2470" t="str">
            <v/>
          </cell>
          <cell r="H2470" t="str">
            <v/>
          </cell>
          <cell r="J2470" t="str">
            <v/>
          </cell>
          <cell r="N2470" t="str">
            <v/>
          </cell>
          <cell r="O2470" t="str">
            <v/>
          </cell>
          <cell r="P2470" t="str">
            <v/>
          </cell>
          <cell r="Q2470" t="str">
            <v/>
          </cell>
          <cell r="T2470" t="str">
            <v/>
          </cell>
          <cell r="U2470" t="str">
            <v/>
          </cell>
          <cell r="W2470" t="str">
            <v/>
          </cell>
          <cell r="X2470" t="str">
            <v/>
          </cell>
          <cell r="AB2470">
            <v>0</v>
          </cell>
          <cell r="AC2470">
            <v>0</v>
          </cell>
          <cell r="AD2470">
            <v>0</v>
          </cell>
          <cell r="AJ2470">
            <v>0</v>
          </cell>
          <cell r="AK2470">
            <v>0</v>
          </cell>
        </row>
        <row r="2471">
          <cell r="B2471" t="str">
            <v/>
          </cell>
          <cell r="H2471" t="str">
            <v/>
          </cell>
          <cell r="J2471" t="str">
            <v/>
          </cell>
          <cell r="N2471" t="str">
            <v/>
          </cell>
          <cell r="O2471" t="str">
            <v/>
          </cell>
          <cell r="P2471" t="str">
            <v/>
          </cell>
          <cell r="Q2471" t="str">
            <v/>
          </cell>
          <cell r="T2471" t="str">
            <v/>
          </cell>
          <cell r="U2471" t="str">
            <v/>
          </cell>
          <cell r="W2471" t="str">
            <v/>
          </cell>
          <cell r="X2471" t="str">
            <v/>
          </cell>
          <cell r="AB2471">
            <v>0</v>
          </cell>
          <cell r="AC2471">
            <v>0</v>
          </cell>
          <cell r="AD2471">
            <v>0</v>
          </cell>
          <cell r="AJ2471">
            <v>0</v>
          </cell>
          <cell r="AK2471">
            <v>0</v>
          </cell>
        </row>
        <row r="2472">
          <cell r="B2472" t="str">
            <v/>
          </cell>
          <cell r="H2472" t="str">
            <v/>
          </cell>
          <cell r="J2472" t="str">
            <v/>
          </cell>
          <cell r="N2472" t="str">
            <v/>
          </cell>
          <cell r="O2472" t="str">
            <v/>
          </cell>
          <cell r="P2472" t="str">
            <v/>
          </cell>
          <cell r="Q2472" t="str">
            <v/>
          </cell>
          <cell r="T2472" t="str">
            <v/>
          </cell>
          <cell r="U2472" t="str">
            <v/>
          </cell>
          <cell r="W2472" t="str">
            <v/>
          </cell>
          <cell r="X2472" t="str">
            <v/>
          </cell>
          <cell r="AB2472">
            <v>0</v>
          </cell>
          <cell r="AC2472">
            <v>0</v>
          </cell>
          <cell r="AD2472">
            <v>0</v>
          </cell>
          <cell r="AJ2472">
            <v>0</v>
          </cell>
          <cell r="AK2472">
            <v>0</v>
          </cell>
        </row>
        <row r="2473">
          <cell r="B2473" t="str">
            <v/>
          </cell>
          <cell r="H2473" t="str">
            <v/>
          </cell>
          <cell r="J2473" t="str">
            <v/>
          </cell>
          <cell r="N2473" t="str">
            <v/>
          </cell>
          <cell r="O2473" t="str">
            <v/>
          </cell>
          <cell r="P2473" t="str">
            <v/>
          </cell>
          <cell r="Q2473" t="str">
            <v/>
          </cell>
          <cell r="T2473" t="str">
            <v/>
          </cell>
          <cell r="U2473" t="str">
            <v/>
          </cell>
          <cell r="W2473" t="str">
            <v/>
          </cell>
          <cell r="X2473" t="str">
            <v/>
          </cell>
          <cell r="AB2473">
            <v>0</v>
          </cell>
          <cell r="AC2473">
            <v>0</v>
          </cell>
          <cell r="AD2473">
            <v>0</v>
          </cell>
          <cell r="AJ2473">
            <v>0</v>
          </cell>
          <cell r="AK2473">
            <v>0</v>
          </cell>
        </row>
        <row r="2474">
          <cell r="B2474" t="str">
            <v/>
          </cell>
          <cell r="H2474" t="str">
            <v/>
          </cell>
          <cell r="J2474" t="str">
            <v/>
          </cell>
          <cell r="N2474" t="str">
            <v/>
          </cell>
          <cell r="O2474" t="str">
            <v/>
          </cell>
          <cell r="P2474" t="str">
            <v/>
          </cell>
          <cell r="Q2474" t="str">
            <v/>
          </cell>
          <cell r="T2474" t="str">
            <v/>
          </cell>
          <cell r="U2474" t="str">
            <v/>
          </cell>
          <cell r="W2474" t="str">
            <v/>
          </cell>
          <cell r="X2474" t="str">
            <v/>
          </cell>
          <cell r="AB2474">
            <v>0</v>
          </cell>
          <cell r="AC2474">
            <v>0</v>
          </cell>
          <cell r="AD2474">
            <v>0</v>
          </cell>
          <cell r="AJ2474">
            <v>0</v>
          </cell>
          <cell r="AK2474">
            <v>0</v>
          </cell>
        </row>
        <row r="2475">
          <cell r="B2475" t="str">
            <v/>
          </cell>
          <cell r="H2475" t="str">
            <v/>
          </cell>
          <cell r="J2475" t="str">
            <v/>
          </cell>
          <cell r="N2475" t="str">
            <v/>
          </cell>
          <cell r="O2475" t="str">
            <v/>
          </cell>
          <cell r="P2475" t="str">
            <v/>
          </cell>
          <cell r="Q2475" t="str">
            <v/>
          </cell>
          <cell r="T2475" t="str">
            <v/>
          </cell>
          <cell r="U2475" t="str">
            <v/>
          </cell>
          <cell r="W2475" t="str">
            <v/>
          </cell>
          <cell r="X2475" t="str">
            <v/>
          </cell>
          <cell r="AB2475">
            <v>0</v>
          </cell>
          <cell r="AC2475">
            <v>0</v>
          </cell>
          <cell r="AD2475">
            <v>0</v>
          </cell>
          <cell r="AJ2475">
            <v>0</v>
          </cell>
          <cell r="AK2475">
            <v>0</v>
          </cell>
        </row>
        <row r="2476">
          <cell r="B2476" t="str">
            <v/>
          </cell>
          <cell r="H2476" t="str">
            <v/>
          </cell>
          <cell r="J2476" t="str">
            <v/>
          </cell>
          <cell r="N2476" t="str">
            <v/>
          </cell>
          <cell r="O2476" t="str">
            <v/>
          </cell>
          <cell r="P2476" t="str">
            <v/>
          </cell>
          <cell r="Q2476" t="str">
            <v/>
          </cell>
          <cell r="T2476" t="str">
            <v/>
          </cell>
          <cell r="U2476" t="str">
            <v/>
          </cell>
          <cell r="W2476" t="str">
            <v/>
          </cell>
          <cell r="X2476" t="str">
            <v/>
          </cell>
          <cell r="AB2476">
            <v>0</v>
          </cell>
          <cell r="AC2476">
            <v>0</v>
          </cell>
          <cell r="AD2476">
            <v>0</v>
          </cell>
          <cell r="AJ2476">
            <v>0</v>
          </cell>
          <cell r="AK2476">
            <v>0</v>
          </cell>
        </row>
        <row r="2477">
          <cell r="B2477" t="str">
            <v/>
          </cell>
          <cell r="H2477" t="str">
            <v/>
          </cell>
          <cell r="J2477" t="str">
            <v/>
          </cell>
          <cell r="N2477" t="str">
            <v/>
          </cell>
          <cell r="O2477" t="str">
            <v/>
          </cell>
          <cell r="P2477" t="str">
            <v/>
          </cell>
          <cell r="Q2477" t="str">
            <v/>
          </cell>
          <cell r="T2477" t="str">
            <v/>
          </cell>
          <cell r="U2477" t="str">
            <v/>
          </cell>
          <cell r="W2477" t="str">
            <v/>
          </cell>
          <cell r="X2477" t="str">
            <v/>
          </cell>
          <cell r="AB2477">
            <v>0</v>
          </cell>
          <cell r="AC2477">
            <v>0</v>
          </cell>
          <cell r="AD2477">
            <v>0</v>
          </cell>
          <cell r="AJ2477">
            <v>0</v>
          </cell>
          <cell r="AK2477">
            <v>0</v>
          </cell>
        </row>
        <row r="2478">
          <cell r="B2478" t="str">
            <v/>
          </cell>
          <cell r="H2478" t="str">
            <v/>
          </cell>
          <cell r="J2478" t="str">
            <v/>
          </cell>
          <cell r="N2478" t="str">
            <v/>
          </cell>
          <cell r="O2478" t="str">
            <v/>
          </cell>
          <cell r="P2478" t="str">
            <v/>
          </cell>
          <cell r="Q2478" t="str">
            <v/>
          </cell>
          <cell r="T2478" t="str">
            <v/>
          </cell>
          <cell r="U2478" t="str">
            <v/>
          </cell>
          <cell r="W2478" t="str">
            <v/>
          </cell>
          <cell r="X2478" t="str">
            <v/>
          </cell>
          <cell r="AB2478">
            <v>0</v>
          </cell>
          <cell r="AC2478">
            <v>0</v>
          </cell>
          <cell r="AD2478">
            <v>0</v>
          </cell>
          <cell r="AJ2478">
            <v>0</v>
          </cell>
          <cell r="AK2478">
            <v>0</v>
          </cell>
        </row>
        <row r="2479">
          <cell r="B2479" t="str">
            <v/>
          </cell>
          <cell r="H2479" t="str">
            <v/>
          </cell>
          <cell r="J2479" t="str">
            <v/>
          </cell>
          <cell r="N2479" t="str">
            <v/>
          </cell>
          <cell r="O2479" t="str">
            <v/>
          </cell>
          <cell r="P2479" t="str">
            <v/>
          </cell>
          <cell r="Q2479" t="str">
            <v/>
          </cell>
          <cell r="T2479" t="str">
            <v/>
          </cell>
          <cell r="U2479" t="str">
            <v/>
          </cell>
          <cell r="W2479" t="str">
            <v/>
          </cell>
          <cell r="X2479" t="str">
            <v/>
          </cell>
          <cell r="AB2479">
            <v>0</v>
          </cell>
          <cell r="AC2479">
            <v>0</v>
          </cell>
          <cell r="AD2479">
            <v>0</v>
          </cell>
          <cell r="AJ2479">
            <v>0</v>
          </cell>
          <cell r="AK2479">
            <v>0</v>
          </cell>
        </row>
        <row r="2480">
          <cell r="B2480" t="str">
            <v/>
          </cell>
          <cell r="H2480" t="str">
            <v/>
          </cell>
          <cell r="J2480" t="str">
            <v/>
          </cell>
          <cell r="N2480" t="str">
            <v/>
          </cell>
          <cell r="O2480" t="str">
            <v/>
          </cell>
          <cell r="P2480" t="str">
            <v/>
          </cell>
          <cell r="Q2480" t="str">
            <v/>
          </cell>
          <cell r="T2480" t="str">
            <v/>
          </cell>
          <cell r="U2480" t="str">
            <v/>
          </cell>
          <cell r="W2480" t="str">
            <v/>
          </cell>
          <cell r="X2480" t="str">
            <v/>
          </cell>
          <cell r="AB2480">
            <v>0</v>
          </cell>
          <cell r="AC2480">
            <v>0</v>
          </cell>
          <cell r="AD2480">
            <v>0</v>
          </cell>
          <cell r="AJ2480">
            <v>0</v>
          </cell>
          <cell r="AK2480">
            <v>0</v>
          </cell>
        </row>
        <row r="2481">
          <cell r="B2481" t="str">
            <v/>
          </cell>
          <cell r="H2481" t="str">
            <v/>
          </cell>
          <cell r="J2481" t="str">
            <v/>
          </cell>
          <cell r="N2481" t="str">
            <v/>
          </cell>
          <cell r="O2481" t="str">
            <v/>
          </cell>
          <cell r="P2481" t="str">
            <v/>
          </cell>
          <cell r="Q2481" t="str">
            <v/>
          </cell>
          <cell r="T2481" t="str">
            <v/>
          </cell>
          <cell r="U2481" t="str">
            <v/>
          </cell>
          <cell r="W2481" t="str">
            <v/>
          </cell>
          <cell r="X2481" t="str">
            <v/>
          </cell>
          <cell r="AB2481">
            <v>0</v>
          </cell>
          <cell r="AC2481">
            <v>0</v>
          </cell>
          <cell r="AD2481">
            <v>0</v>
          </cell>
          <cell r="AJ2481">
            <v>0</v>
          </cell>
          <cell r="AK2481">
            <v>0</v>
          </cell>
        </row>
        <row r="2482">
          <cell r="B2482" t="str">
            <v/>
          </cell>
          <cell r="H2482" t="str">
            <v/>
          </cell>
          <cell r="J2482" t="str">
            <v/>
          </cell>
          <cell r="N2482" t="str">
            <v/>
          </cell>
          <cell r="O2482" t="str">
            <v/>
          </cell>
          <cell r="P2482" t="str">
            <v/>
          </cell>
          <cell r="Q2482" t="str">
            <v/>
          </cell>
          <cell r="T2482" t="str">
            <v/>
          </cell>
          <cell r="U2482" t="str">
            <v/>
          </cell>
          <cell r="W2482" t="str">
            <v/>
          </cell>
          <cell r="X2482" t="str">
            <v/>
          </cell>
          <cell r="AB2482">
            <v>0</v>
          </cell>
          <cell r="AC2482">
            <v>0</v>
          </cell>
          <cell r="AD2482">
            <v>0</v>
          </cell>
          <cell r="AJ2482">
            <v>0</v>
          </cell>
          <cell r="AK2482">
            <v>0</v>
          </cell>
        </row>
        <row r="2483">
          <cell r="B2483" t="str">
            <v/>
          </cell>
          <cell r="H2483" t="str">
            <v/>
          </cell>
          <cell r="J2483" t="str">
            <v/>
          </cell>
          <cell r="N2483" t="str">
            <v/>
          </cell>
          <cell r="O2483" t="str">
            <v/>
          </cell>
          <cell r="P2483" t="str">
            <v/>
          </cell>
          <cell r="Q2483" t="str">
            <v/>
          </cell>
          <cell r="T2483" t="str">
            <v/>
          </cell>
          <cell r="U2483" t="str">
            <v/>
          </cell>
          <cell r="W2483" t="str">
            <v/>
          </cell>
          <cell r="X2483" t="str">
            <v/>
          </cell>
          <cell r="AB2483">
            <v>0</v>
          </cell>
          <cell r="AC2483">
            <v>0</v>
          </cell>
          <cell r="AD2483">
            <v>0</v>
          </cell>
          <cell r="AJ2483">
            <v>0</v>
          </cell>
          <cell r="AK2483">
            <v>0</v>
          </cell>
        </row>
        <row r="2484">
          <cell r="B2484" t="str">
            <v/>
          </cell>
          <cell r="H2484" t="str">
            <v/>
          </cell>
          <cell r="J2484" t="str">
            <v/>
          </cell>
          <cell r="N2484" t="str">
            <v/>
          </cell>
          <cell r="O2484" t="str">
            <v/>
          </cell>
          <cell r="P2484" t="str">
            <v/>
          </cell>
          <cell r="Q2484" t="str">
            <v/>
          </cell>
          <cell r="T2484" t="str">
            <v/>
          </cell>
          <cell r="U2484" t="str">
            <v/>
          </cell>
          <cell r="W2484" t="str">
            <v/>
          </cell>
          <cell r="X2484" t="str">
            <v/>
          </cell>
          <cell r="AB2484">
            <v>0</v>
          </cell>
          <cell r="AC2484">
            <v>0</v>
          </cell>
          <cell r="AD2484">
            <v>0</v>
          </cell>
          <cell r="AJ2484">
            <v>0</v>
          </cell>
          <cell r="AK2484">
            <v>0</v>
          </cell>
        </row>
        <row r="2485">
          <cell r="B2485" t="str">
            <v/>
          </cell>
          <cell r="H2485" t="str">
            <v/>
          </cell>
          <cell r="J2485" t="str">
            <v/>
          </cell>
          <cell r="N2485" t="str">
            <v/>
          </cell>
          <cell r="O2485" t="str">
            <v/>
          </cell>
          <cell r="P2485" t="str">
            <v/>
          </cell>
          <cell r="Q2485" t="str">
            <v/>
          </cell>
          <cell r="T2485" t="str">
            <v/>
          </cell>
          <cell r="U2485" t="str">
            <v/>
          </cell>
          <cell r="W2485" t="str">
            <v/>
          </cell>
          <cell r="X2485" t="str">
            <v/>
          </cell>
          <cell r="AB2485">
            <v>0</v>
          </cell>
          <cell r="AC2485">
            <v>0</v>
          </cell>
          <cell r="AD2485">
            <v>0</v>
          </cell>
          <cell r="AJ2485">
            <v>0</v>
          </cell>
          <cell r="AK2485">
            <v>0</v>
          </cell>
        </row>
        <row r="2486">
          <cell r="B2486" t="str">
            <v/>
          </cell>
          <cell r="H2486" t="str">
            <v/>
          </cell>
          <cell r="J2486" t="str">
            <v/>
          </cell>
          <cell r="N2486" t="str">
            <v/>
          </cell>
          <cell r="O2486" t="str">
            <v/>
          </cell>
          <cell r="P2486" t="str">
            <v/>
          </cell>
          <cell r="Q2486" t="str">
            <v/>
          </cell>
          <cell r="T2486" t="str">
            <v/>
          </cell>
          <cell r="U2486" t="str">
            <v/>
          </cell>
          <cell r="W2486" t="str">
            <v/>
          </cell>
          <cell r="X2486" t="str">
            <v/>
          </cell>
          <cell r="AB2486">
            <v>0</v>
          </cell>
          <cell r="AC2486">
            <v>0</v>
          </cell>
          <cell r="AD2486">
            <v>0</v>
          </cell>
          <cell r="AJ2486">
            <v>0</v>
          </cell>
          <cell r="AK2486">
            <v>0</v>
          </cell>
        </row>
        <row r="2487">
          <cell r="B2487" t="str">
            <v/>
          </cell>
          <cell r="H2487" t="str">
            <v/>
          </cell>
          <cell r="J2487" t="str">
            <v/>
          </cell>
          <cell r="N2487" t="str">
            <v/>
          </cell>
          <cell r="O2487" t="str">
            <v/>
          </cell>
          <cell r="P2487" t="str">
            <v/>
          </cell>
          <cell r="Q2487" t="str">
            <v/>
          </cell>
          <cell r="T2487" t="str">
            <v/>
          </cell>
          <cell r="U2487" t="str">
            <v/>
          </cell>
          <cell r="W2487" t="str">
            <v/>
          </cell>
          <cell r="X2487" t="str">
            <v/>
          </cell>
          <cell r="AB2487">
            <v>0</v>
          </cell>
          <cell r="AC2487">
            <v>0</v>
          </cell>
          <cell r="AD2487">
            <v>0</v>
          </cell>
          <cell r="AJ2487">
            <v>0</v>
          </cell>
          <cell r="AK2487">
            <v>0</v>
          </cell>
        </row>
        <row r="2488">
          <cell r="B2488" t="str">
            <v/>
          </cell>
          <cell r="H2488" t="str">
            <v/>
          </cell>
          <cell r="J2488" t="str">
            <v/>
          </cell>
          <cell r="N2488" t="str">
            <v/>
          </cell>
          <cell r="O2488" t="str">
            <v/>
          </cell>
          <cell r="P2488" t="str">
            <v/>
          </cell>
          <cell r="Q2488" t="str">
            <v/>
          </cell>
          <cell r="T2488" t="str">
            <v/>
          </cell>
          <cell r="U2488" t="str">
            <v/>
          </cell>
          <cell r="W2488" t="str">
            <v/>
          </cell>
          <cell r="X2488" t="str">
            <v/>
          </cell>
          <cell r="AB2488">
            <v>0</v>
          </cell>
          <cell r="AC2488">
            <v>0</v>
          </cell>
          <cell r="AD2488">
            <v>0</v>
          </cell>
          <cell r="AJ2488">
            <v>0</v>
          </cell>
          <cell r="AK2488">
            <v>0</v>
          </cell>
        </row>
        <row r="2489">
          <cell r="B2489" t="str">
            <v/>
          </cell>
          <cell r="H2489" t="str">
            <v/>
          </cell>
          <cell r="J2489" t="str">
            <v/>
          </cell>
          <cell r="N2489" t="str">
            <v/>
          </cell>
          <cell r="O2489" t="str">
            <v/>
          </cell>
          <cell r="P2489" t="str">
            <v/>
          </cell>
          <cell r="Q2489" t="str">
            <v/>
          </cell>
          <cell r="T2489" t="str">
            <v/>
          </cell>
          <cell r="U2489" t="str">
            <v/>
          </cell>
          <cell r="W2489" t="str">
            <v/>
          </cell>
          <cell r="X2489" t="str">
            <v/>
          </cell>
          <cell r="AB2489">
            <v>0</v>
          </cell>
          <cell r="AC2489">
            <v>0</v>
          </cell>
          <cell r="AD2489">
            <v>0</v>
          </cell>
          <cell r="AJ2489">
            <v>0</v>
          </cell>
          <cell r="AK2489">
            <v>0</v>
          </cell>
        </row>
        <row r="2490">
          <cell r="B2490" t="str">
            <v/>
          </cell>
          <cell r="H2490" t="str">
            <v/>
          </cell>
          <cell r="J2490" t="str">
            <v/>
          </cell>
          <cell r="N2490" t="str">
            <v/>
          </cell>
          <cell r="O2490" t="str">
            <v/>
          </cell>
          <cell r="P2490" t="str">
            <v/>
          </cell>
          <cell r="Q2490" t="str">
            <v/>
          </cell>
          <cell r="T2490" t="str">
            <v/>
          </cell>
          <cell r="U2490" t="str">
            <v/>
          </cell>
          <cell r="W2490" t="str">
            <v/>
          </cell>
          <cell r="X2490" t="str">
            <v/>
          </cell>
          <cell r="AB2490">
            <v>0</v>
          </cell>
          <cell r="AC2490">
            <v>0</v>
          </cell>
          <cell r="AD2490">
            <v>0</v>
          </cell>
          <cell r="AJ2490">
            <v>0</v>
          </cell>
          <cell r="AK2490">
            <v>0</v>
          </cell>
        </row>
        <row r="2491">
          <cell r="B2491" t="str">
            <v/>
          </cell>
          <cell r="H2491" t="str">
            <v/>
          </cell>
          <cell r="J2491" t="str">
            <v/>
          </cell>
          <cell r="N2491" t="str">
            <v/>
          </cell>
          <cell r="O2491" t="str">
            <v/>
          </cell>
          <cell r="P2491" t="str">
            <v/>
          </cell>
          <cell r="Q2491" t="str">
            <v/>
          </cell>
          <cell r="T2491" t="str">
            <v/>
          </cell>
          <cell r="U2491" t="str">
            <v/>
          </cell>
          <cell r="W2491" t="str">
            <v/>
          </cell>
          <cell r="X2491" t="str">
            <v/>
          </cell>
          <cell r="AB2491">
            <v>0</v>
          </cell>
          <cell r="AC2491">
            <v>0</v>
          </cell>
          <cell r="AD2491">
            <v>0</v>
          </cell>
          <cell r="AJ2491">
            <v>0</v>
          </cell>
          <cell r="AK2491">
            <v>0</v>
          </cell>
        </row>
        <row r="2492">
          <cell r="B2492" t="str">
            <v/>
          </cell>
          <cell r="H2492" t="str">
            <v/>
          </cell>
          <cell r="J2492" t="str">
            <v/>
          </cell>
          <cell r="N2492" t="str">
            <v/>
          </cell>
          <cell r="O2492" t="str">
            <v/>
          </cell>
          <cell r="P2492" t="str">
            <v/>
          </cell>
          <cell r="Q2492" t="str">
            <v/>
          </cell>
          <cell r="T2492" t="str">
            <v/>
          </cell>
          <cell r="U2492" t="str">
            <v/>
          </cell>
          <cell r="W2492" t="str">
            <v/>
          </cell>
          <cell r="X2492" t="str">
            <v/>
          </cell>
          <cell r="AB2492">
            <v>0</v>
          </cell>
          <cell r="AC2492">
            <v>0</v>
          </cell>
          <cell r="AD2492">
            <v>0</v>
          </cell>
          <cell r="AJ2492">
            <v>0</v>
          </cell>
          <cell r="AK2492">
            <v>0</v>
          </cell>
        </row>
        <row r="2493">
          <cell r="B2493" t="str">
            <v/>
          </cell>
          <cell r="H2493" t="str">
            <v/>
          </cell>
          <cell r="J2493" t="str">
            <v/>
          </cell>
          <cell r="N2493" t="str">
            <v/>
          </cell>
          <cell r="O2493" t="str">
            <v/>
          </cell>
          <cell r="P2493" t="str">
            <v/>
          </cell>
          <cell r="Q2493" t="str">
            <v/>
          </cell>
          <cell r="T2493" t="str">
            <v/>
          </cell>
          <cell r="U2493" t="str">
            <v/>
          </cell>
          <cell r="W2493" t="str">
            <v/>
          </cell>
          <cell r="X2493" t="str">
            <v/>
          </cell>
          <cell r="AB2493">
            <v>0</v>
          </cell>
          <cell r="AC2493">
            <v>0</v>
          </cell>
          <cell r="AD2493">
            <v>0</v>
          </cell>
          <cell r="AJ2493">
            <v>0</v>
          </cell>
          <cell r="AK2493">
            <v>0</v>
          </cell>
        </row>
        <row r="2494">
          <cell r="B2494" t="str">
            <v/>
          </cell>
          <cell r="H2494" t="str">
            <v/>
          </cell>
          <cell r="J2494" t="str">
            <v/>
          </cell>
          <cell r="N2494" t="str">
            <v/>
          </cell>
          <cell r="O2494" t="str">
            <v/>
          </cell>
          <cell r="P2494" t="str">
            <v/>
          </cell>
          <cell r="Q2494" t="str">
            <v/>
          </cell>
          <cell r="T2494" t="str">
            <v/>
          </cell>
          <cell r="U2494" t="str">
            <v/>
          </cell>
          <cell r="W2494" t="str">
            <v/>
          </cell>
          <cell r="X2494" t="str">
            <v/>
          </cell>
          <cell r="AB2494">
            <v>0</v>
          </cell>
          <cell r="AC2494">
            <v>0</v>
          </cell>
          <cell r="AD2494">
            <v>0</v>
          </cell>
          <cell r="AJ2494">
            <v>0</v>
          </cell>
          <cell r="AK2494">
            <v>0</v>
          </cell>
        </row>
        <row r="2495">
          <cell r="B2495" t="str">
            <v/>
          </cell>
          <cell r="H2495" t="str">
            <v/>
          </cell>
          <cell r="J2495" t="str">
            <v/>
          </cell>
          <cell r="N2495" t="str">
            <v/>
          </cell>
          <cell r="O2495" t="str">
            <v/>
          </cell>
          <cell r="P2495" t="str">
            <v/>
          </cell>
          <cell r="Q2495" t="str">
            <v/>
          </cell>
          <cell r="T2495" t="str">
            <v/>
          </cell>
          <cell r="U2495" t="str">
            <v/>
          </cell>
          <cell r="W2495" t="str">
            <v/>
          </cell>
          <cell r="X2495" t="str">
            <v/>
          </cell>
          <cell r="AB2495">
            <v>0</v>
          </cell>
          <cell r="AC2495">
            <v>0</v>
          </cell>
          <cell r="AD2495">
            <v>0</v>
          </cell>
          <cell r="AJ2495">
            <v>0</v>
          </cell>
          <cell r="AK2495">
            <v>0</v>
          </cell>
        </row>
        <row r="2496">
          <cell r="B2496" t="str">
            <v/>
          </cell>
          <cell r="H2496" t="str">
            <v/>
          </cell>
          <cell r="J2496" t="str">
            <v/>
          </cell>
          <cell r="N2496" t="str">
            <v/>
          </cell>
          <cell r="O2496" t="str">
            <v/>
          </cell>
          <cell r="P2496" t="str">
            <v/>
          </cell>
          <cell r="Q2496" t="str">
            <v/>
          </cell>
          <cell r="T2496" t="str">
            <v/>
          </cell>
          <cell r="U2496" t="str">
            <v/>
          </cell>
          <cell r="W2496" t="str">
            <v/>
          </cell>
          <cell r="X2496" t="str">
            <v/>
          </cell>
          <cell r="AB2496">
            <v>0</v>
          </cell>
          <cell r="AC2496">
            <v>0</v>
          </cell>
          <cell r="AD2496">
            <v>0</v>
          </cell>
          <cell r="AJ2496">
            <v>0</v>
          </cell>
          <cell r="AK2496">
            <v>0</v>
          </cell>
        </row>
        <row r="2497">
          <cell r="B2497" t="str">
            <v/>
          </cell>
          <cell r="H2497" t="str">
            <v/>
          </cell>
          <cell r="J2497" t="str">
            <v/>
          </cell>
          <cell r="N2497" t="str">
            <v/>
          </cell>
          <cell r="O2497" t="str">
            <v/>
          </cell>
          <cell r="P2497" t="str">
            <v/>
          </cell>
          <cell r="Q2497" t="str">
            <v/>
          </cell>
          <cell r="T2497" t="str">
            <v/>
          </cell>
          <cell r="U2497" t="str">
            <v/>
          </cell>
          <cell r="W2497" t="str">
            <v/>
          </cell>
          <cell r="X2497" t="str">
            <v/>
          </cell>
          <cell r="AB2497">
            <v>0</v>
          </cell>
          <cell r="AC2497">
            <v>0</v>
          </cell>
          <cell r="AD2497">
            <v>0</v>
          </cell>
          <cell r="AJ2497">
            <v>0</v>
          </cell>
          <cell r="AK2497">
            <v>0</v>
          </cell>
        </row>
        <row r="2498">
          <cell r="B2498" t="str">
            <v/>
          </cell>
          <cell r="H2498" t="str">
            <v/>
          </cell>
          <cell r="J2498" t="str">
            <v/>
          </cell>
          <cell r="N2498" t="str">
            <v/>
          </cell>
          <cell r="O2498" t="str">
            <v/>
          </cell>
          <cell r="P2498" t="str">
            <v/>
          </cell>
          <cell r="Q2498" t="str">
            <v/>
          </cell>
          <cell r="T2498" t="str">
            <v/>
          </cell>
          <cell r="U2498" t="str">
            <v/>
          </cell>
          <cell r="W2498" t="str">
            <v/>
          </cell>
          <cell r="X2498" t="str">
            <v/>
          </cell>
          <cell r="AB2498">
            <v>0</v>
          </cell>
          <cell r="AC2498">
            <v>0</v>
          </cell>
          <cell r="AD2498">
            <v>0</v>
          </cell>
          <cell r="AJ2498">
            <v>0</v>
          </cell>
          <cell r="AK2498">
            <v>0</v>
          </cell>
        </row>
        <row r="2499">
          <cell r="B2499" t="str">
            <v/>
          </cell>
          <cell r="H2499" t="str">
            <v/>
          </cell>
          <cell r="J2499" t="str">
            <v/>
          </cell>
          <cell r="N2499" t="str">
            <v/>
          </cell>
          <cell r="O2499" t="str">
            <v/>
          </cell>
          <cell r="P2499" t="str">
            <v/>
          </cell>
          <cell r="Q2499" t="str">
            <v/>
          </cell>
          <cell r="T2499" t="str">
            <v/>
          </cell>
          <cell r="U2499" t="str">
            <v/>
          </cell>
          <cell r="W2499" t="str">
            <v/>
          </cell>
          <cell r="X2499" t="str">
            <v/>
          </cell>
          <cell r="AB2499">
            <v>0</v>
          </cell>
          <cell r="AC2499">
            <v>0</v>
          </cell>
          <cell r="AD2499">
            <v>0</v>
          </cell>
          <cell r="AJ2499">
            <v>0</v>
          </cell>
          <cell r="AK2499">
            <v>0</v>
          </cell>
        </row>
        <row r="2500">
          <cell r="B2500" t="str">
            <v/>
          </cell>
          <cell r="H2500" t="str">
            <v/>
          </cell>
          <cell r="J2500" t="str">
            <v/>
          </cell>
          <cell r="N2500" t="str">
            <v/>
          </cell>
          <cell r="O2500" t="str">
            <v/>
          </cell>
          <cell r="P2500" t="str">
            <v/>
          </cell>
          <cell r="Q2500" t="str">
            <v/>
          </cell>
          <cell r="T2500" t="str">
            <v/>
          </cell>
          <cell r="U2500" t="str">
            <v/>
          </cell>
          <cell r="W2500" t="str">
            <v/>
          </cell>
          <cell r="X2500" t="str">
            <v/>
          </cell>
          <cell r="AB2500">
            <v>0</v>
          </cell>
          <cell r="AC2500">
            <v>0</v>
          </cell>
          <cell r="AD2500">
            <v>0</v>
          </cell>
          <cell r="AJ2500">
            <v>0</v>
          </cell>
          <cell r="AK2500">
            <v>0</v>
          </cell>
        </row>
        <row r="2501">
          <cell r="B2501" t="str">
            <v/>
          </cell>
          <cell r="H2501" t="str">
            <v/>
          </cell>
          <cell r="J2501" t="str">
            <v/>
          </cell>
          <cell r="N2501" t="str">
            <v/>
          </cell>
          <cell r="O2501" t="str">
            <v/>
          </cell>
          <cell r="P2501" t="str">
            <v/>
          </cell>
          <cell r="Q2501" t="str">
            <v/>
          </cell>
          <cell r="T2501" t="str">
            <v/>
          </cell>
          <cell r="U2501" t="str">
            <v/>
          </cell>
          <cell r="W2501" t="str">
            <v/>
          </cell>
          <cell r="X2501" t="str">
            <v/>
          </cell>
          <cell r="AB2501">
            <v>0</v>
          </cell>
          <cell r="AC2501">
            <v>0</v>
          </cell>
          <cell r="AD2501">
            <v>0</v>
          </cell>
          <cell r="AJ2501">
            <v>0</v>
          </cell>
          <cell r="AK2501">
            <v>0</v>
          </cell>
        </row>
        <row r="2502">
          <cell r="B2502" t="str">
            <v/>
          </cell>
          <cell r="H2502" t="str">
            <v/>
          </cell>
          <cell r="J2502" t="str">
            <v/>
          </cell>
          <cell r="N2502" t="str">
            <v/>
          </cell>
          <cell r="O2502" t="str">
            <v/>
          </cell>
          <cell r="P2502" t="str">
            <v/>
          </cell>
          <cell r="Q2502" t="str">
            <v/>
          </cell>
          <cell r="T2502" t="str">
            <v/>
          </cell>
          <cell r="U2502" t="str">
            <v/>
          </cell>
          <cell r="W2502" t="str">
            <v/>
          </cell>
          <cell r="X2502" t="str">
            <v/>
          </cell>
          <cell r="AB2502">
            <v>0</v>
          </cell>
          <cell r="AC2502">
            <v>0</v>
          </cell>
          <cell r="AD2502">
            <v>0</v>
          </cell>
          <cell r="AJ2502">
            <v>0</v>
          </cell>
          <cell r="AK2502">
            <v>0</v>
          </cell>
        </row>
        <row r="2503">
          <cell r="B2503" t="str">
            <v/>
          </cell>
          <cell r="H2503" t="str">
            <v/>
          </cell>
          <cell r="J2503" t="str">
            <v/>
          </cell>
          <cell r="N2503" t="str">
            <v/>
          </cell>
          <cell r="O2503" t="str">
            <v/>
          </cell>
          <cell r="P2503" t="str">
            <v/>
          </cell>
          <cell r="Q2503" t="str">
            <v/>
          </cell>
          <cell r="T2503" t="str">
            <v/>
          </cell>
          <cell r="U2503" t="str">
            <v/>
          </cell>
          <cell r="W2503" t="str">
            <v/>
          </cell>
          <cell r="X2503" t="str">
            <v/>
          </cell>
          <cell r="AB2503">
            <v>0</v>
          </cell>
          <cell r="AC2503">
            <v>0</v>
          </cell>
          <cell r="AD2503">
            <v>0</v>
          </cell>
          <cell r="AJ2503">
            <v>0</v>
          </cell>
          <cell r="AK2503">
            <v>0</v>
          </cell>
        </row>
        <row r="2504">
          <cell r="B2504" t="str">
            <v/>
          </cell>
          <cell r="H2504" t="str">
            <v/>
          </cell>
          <cell r="J2504" t="str">
            <v/>
          </cell>
          <cell r="N2504" t="str">
            <v/>
          </cell>
          <cell r="O2504" t="str">
            <v/>
          </cell>
          <cell r="P2504" t="str">
            <v/>
          </cell>
          <cell r="Q2504" t="str">
            <v/>
          </cell>
          <cell r="T2504" t="str">
            <v/>
          </cell>
          <cell r="U2504" t="str">
            <v/>
          </cell>
          <cell r="W2504" t="str">
            <v/>
          </cell>
          <cell r="X2504" t="str">
            <v/>
          </cell>
          <cell r="AB2504">
            <v>0</v>
          </cell>
          <cell r="AC2504">
            <v>0</v>
          </cell>
          <cell r="AD2504">
            <v>0</v>
          </cell>
          <cell r="AJ2504">
            <v>0</v>
          </cell>
          <cell r="AK2504">
            <v>0</v>
          </cell>
        </row>
        <row r="2505">
          <cell r="B2505" t="str">
            <v/>
          </cell>
          <cell r="H2505" t="str">
            <v/>
          </cell>
          <cell r="J2505" t="str">
            <v/>
          </cell>
          <cell r="N2505" t="str">
            <v/>
          </cell>
          <cell r="O2505" t="str">
            <v/>
          </cell>
          <cell r="P2505" t="str">
            <v/>
          </cell>
          <cell r="Q2505" t="str">
            <v/>
          </cell>
          <cell r="T2505" t="str">
            <v/>
          </cell>
          <cell r="U2505" t="str">
            <v/>
          </cell>
          <cell r="W2505" t="str">
            <v/>
          </cell>
          <cell r="X2505" t="str">
            <v/>
          </cell>
          <cell r="AB2505">
            <v>0</v>
          </cell>
          <cell r="AC2505">
            <v>0</v>
          </cell>
          <cell r="AD2505">
            <v>0</v>
          </cell>
          <cell r="AJ2505">
            <v>0</v>
          </cell>
          <cell r="AK2505">
            <v>0</v>
          </cell>
        </row>
        <row r="2506">
          <cell r="B2506" t="str">
            <v/>
          </cell>
          <cell r="H2506" t="str">
            <v/>
          </cell>
          <cell r="J2506" t="str">
            <v/>
          </cell>
          <cell r="N2506" t="str">
            <v/>
          </cell>
          <cell r="O2506" t="str">
            <v/>
          </cell>
          <cell r="P2506" t="str">
            <v/>
          </cell>
          <cell r="Q2506" t="str">
            <v/>
          </cell>
          <cell r="T2506" t="str">
            <v/>
          </cell>
          <cell r="U2506" t="str">
            <v/>
          </cell>
          <cell r="W2506" t="str">
            <v/>
          </cell>
          <cell r="X2506" t="str">
            <v/>
          </cell>
          <cell r="AB2506">
            <v>0</v>
          </cell>
          <cell r="AC2506">
            <v>0</v>
          </cell>
          <cell r="AD2506">
            <v>0</v>
          </cell>
          <cell r="AJ2506">
            <v>0</v>
          </cell>
          <cell r="AK2506">
            <v>0</v>
          </cell>
        </row>
        <row r="2507">
          <cell r="B2507" t="str">
            <v/>
          </cell>
          <cell r="H2507" t="str">
            <v/>
          </cell>
          <cell r="J2507" t="str">
            <v/>
          </cell>
          <cell r="N2507" t="str">
            <v/>
          </cell>
          <cell r="O2507" t="str">
            <v/>
          </cell>
          <cell r="P2507" t="str">
            <v/>
          </cell>
          <cell r="Q2507" t="str">
            <v/>
          </cell>
          <cell r="T2507" t="str">
            <v/>
          </cell>
          <cell r="U2507" t="str">
            <v/>
          </cell>
          <cell r="W2507" t="str">
            <v/>
          </cell>
          <cell r="X2507" t="str">
            <v/>
          </cell>
          <cell r="AB2507">
            <v>0</v>
          </cell>
          <cell r="AC2507">
            <v>0</v>
          </cell>
          <cell r="AD2507">
            <v>0</v>
          </cell>
          <cell r="AJ2507">
            <v>0</v>
          </cell>
          <cell r="AK2507">
            <v>0</v>
          </cell>
        </row>
        <row r="2508">
          <cell r="B2508" t="str">
            <v/>
          </cell>
          <cell r="H2508" t="str">
            <v/>
          </cell>
          <cell r="J2508" t="str">
            <v/>
          </cell>
          <cell r="N2508" t="str">
            <v/>
          </cell>
          <cell r="O2508" t="str">
            <v/>
          </cell>
          <cell r="P2508" t="str">
            <v/>
          </cell>
          <cell r="Q2508" t="str">
            <v/>
          </cell>
          <cell r="T2508" t="str">
            <v/>
          </cell>
          <cell r="U2508" t="str">
            <v/>
          </cell>
          <cell r="W2508" t="str">
            <v/>
          </cell>
          <cell r="X2508" t="str">
            <v/>
          </cell>
          <cell r="AB2508">
            <v>0</v>
          </cell>
          <cell r="AC2508">
            <v>0</v>
          </cell>
          <cell r="AD2508">
            <v>0</v>
          </cell>
          <cell r="AJ2508">
            <v>0</v>
          </cell>
          <cell r="AK2508">
            <v>0</v>
          </cell>
        </row>
        <row r="2509">
          <cell r="B2509" t="str">
            <v/>
          </cell>
          <cell r="H2509" t="str">
            <v/>
          </cell>
          <cell r="J2509" t="str">
            <v/>
          </cell>
          <cell r="N2509" t="str">
            <v/>
          </cell>
          <cell r="O2509" t="str">
            <v/>
          </cell>
          <cell r="P2509" t="str">
            <v/>
          </cell>
          <cell r="Q2509" t="str">
            <v/>
          </cell>
          <cell r="T2509" t="str">
            <v/>
          </cell>
          <cell r="U2509" t="str">
            <v/>
          </cell>
          <cell r="W2509" t="str">
            <v/>
          </cell>
          <cell r="X2509" t="str">
            <v/>
          </cell>
          <cell r="AB2509">
            <v>0</v>
          </cell>
          <cell r="AC2509">
            <v>0</v>
          </cell>
          <cell r="AD2509">
            <v>0</v>
          </cell>
          <cell r="AJ2509">
            <v>0</v>
          </cell>
          <cell r="AK2509">
            <v>0</v>
          </cell>
        </row>
        <row r="2510">
          <cell r="B2510" t="str">
            <v/>
          </cell>
          <cell r="H2510" t="str">
            <v/>
          </cell>
          <cell r="J2510" t="str">
            <v/>
          </cell>
          <cell r="N2510" t="str">
            <v/>
          </cell>
          <cell r="O2510" t="str">
            <v/>
          </cell>
          <cell r="P2510" t="str">
            <v/>
          </cell>
          <cell r="Q2510" t="str">
            <v/>
          </cell>
          <cell r="T2510" t="str">
            <v/>
          </cell>
          <cell r="U2510" t="str">
            <v/>
          </cell>
          <cell r="W2510" t="str">
            <v/>
          </cell>
          <cell r="X2510" t="str">
            <v/>
          </cell>
          <cell r="AB2510">
            <v>0</v>
          </cell>
          <cell r="AC2510">
            <v>0</v>
          </cell>
          <cell r="AD2510">
            <v>0</v>
          </cell>
          <cell r="AJ2510">
            <v>0</v>
          </cell>
          <cell r="AK2510">
            <v>0</v>
          </cell>
        </row>
        <row r="2511">
          <cell r="B2511" t="str">
            <v/>
          </cell>
          <cell r="H2511" t="str">
            <v/>
          </cell>
          <cell r="J2511" t="str">
            <v/>
          </cell>
          <cell r="N2511" t="str">
            <v/>
          </cell>
          <cell r="O2511" t="str">
            <v/>
          </cell>
          <cell r="P2511" t="str">
            <v/>
          </cell>
          <cell r="Q2511" t="str">
            <v/>
          </cell>
          <cell r="T2511" t="str">
            <v/>
          </cell>
          <cell r="U2511" t="str">
            <v/>
          </cell>
          <cell r="W2511" t="str">
            <v/>
          </cell>
          <cell r="X2511" t="str">
            <v/>
          </cell>
          <cell r="AB2511">
            <v>0</v>
          </cell>
          <cell r="AC2511">
            <v>0</v>
          </cell>
          <cell r="AD2511">
            <v>0</v>
          </cell>
          <cell r="AJ2511">
            <v>0</v>
          </cell>
          <cell r="AK2511">
            <v>0</v>
          </cell>
        </row>
        <row r="2512">
          <cell r="B2512" t="str">
            <v/>
          </cell>
          <cell r="H2512" t="str">
            <v/>
          </cell>
          <cell r="J2512" t="str">
            <v/>
          </cell>
          <cell r="N2512" t="str">
            <v/>
          </cell>
          <cell r="O2512" t="str">
            <v/>
          </cell>
          <cell r="P2512" t="str">
            <v/>
          </cell>
          <cell r="Q2512" t="str">
            <v/>
          </cell>
          <cell r="T2512" t="str">
            <v/>
          </cell>
          <cell r="U2512" t="str">
            <v/>
          </cell>
          <cell r="W2512" t="str">
            <v/>
          </cell>
          <cell r="X2512" t="str">
            <v/>
          </cell>
          <cell r="AB2512">
            <v>0</v>
          </cell>
          <cell r="AC2512">
            <v>0</v>
          </cell>
          <cell r="AD2512">
            <v>0</v>
          </cell>
          <cell r="AJ2512">
            <v>0</v>
          </cell>
          <cell r="AK2512">
            <v>0</v>
          </cell>
        </row>
        <row r="2513">
          <cell r="B2513" t="str">
            <v/>
          </cell>
          <cell r="H2513" t="str">
            <v/>
          </cell>
          <cell r="J2513" t="str">
            <v/>
          </cell>
          <cell r="N2513" t="str">
            <v/>
          </cell>
          <cell r="O2513" t="str">
            <v/>
          </cell>
          <cell r="P2513" t="str">
            <v/>
          </cell>
          <cell r="Q2513" t="str">
            <v/>
          </cell>
          <cell r="T2513" t="str">
            <v/>
          </cell>
          <cell r="U2513" t="str">
            <v/>
          </cell>
          <cell r="W2513" t="str">
            <v/>
          </cell>
          <cell r="X2513" t="str">
            <v/>
          </cell>
          <cell r="AB2513">
            <v>0</v>
          </cell>
          <cell r="AC2513">
            <v>0</v>
          </cell>
          <cell r="AD2513">
            <v>0</v>
          </cell>
          <cell r="AJ2513">
            <v>0</v>
          </cell>
          <cell r="AK2513">
            <v>0</v>
          </cell>
        </row>
        <row r="2514">
          <cell r="B2514" t="str">
            <v/>
          </cell>
          <cell r="H2514" t="str">
            <v/>
          </cell>
          <cell r="J2514" t="str">
            <v/>
          </cell>
          <cell r="N2514" t="str">
            <v/>
          </cell>
          <cell r="O2514" t="str">
            <v/>
          </cell>
          <cell r="P2514" t="str">
            <v/>
          </cell>
          <cell r="Q2514" t="str">
            <v/>
          </cell>
          <cell r="T2514" t="str">
            <v/>
          </cell>
          <cell r="U2514" t="str">
            <v/>
          </cell>
          <cell r="W2514" t="str">
            <v/>
          </cell>
          <cell r="X2514" t="str">
            <v/>
          </cell>
          <cell r="AB2514">
            <v>0</v>
          </cell>
          <cell r="AC2514">
            <v>0</v>
          </cell>
          <cell r="AD2514">
            <v>0</v>
          </cell>
          <cell r="AJ2514">
            <v>0</v>
          </cell>
          <cell r="AK2514">
            <v>0</v>
          </cell>
        </row>
        <row r="2515">
          <cell r="B2515" t="str">
            <v/>
          </cell>
          <cell r="H2515" t="str">
            <v/>
          </cell>
          <cell r="J2515" t="str">
            <v/>
          </cell>
          <cell r="N2515" t="str">
            <v/>
          </cell>
          <cell r="O2515" t="str">
            <v/>
          </cell>
          <cell r="P2515" t="str">
            <v/>
          </cell>
          <cell r="Q2515" t="str">
            <v/>
          </cell>
          <cell r="T2515" t="str">
            <v/>
          </cell>
          <cell r="U2515" t="str">
            <v/>
          </cell>
          <cell r="W2515" t="str">
            <v/>
          </cell>
          <cell r="X2515" t="str">
            <v/>
          </cell>
          <cell r="AB2515">
            <v>0</v>
          </cell>
          <cell r="AC2515">
            <v>0</v>
          </cell>
          <cell r="AD2515">
            <v>0</v>
          </cell>
          <cell r="AJ2515">
            <v>0</v>
          </cell>
          <cell r="AK2515">
            <v>0</v>
          </cell>
        </row>
        <row r="2516">
          <cell r="B2516" t="str">
            <v/>
          </cell>
          <cell r="H2516" t="str">
            <v/>
          </cell>
          <cell r="J2516" t="str">
            <v/>
          </cell>
          <cell r="N2516" t="str">
            <v/>
          </cell>
          <cell r="O2516" t="str">
            <v/>
          </cell>
          <cell r="P2516" t="str">
            <v/>
          </cell>
          <cell r="Q2516" t="str">
            <v/>
          </cell>
          <cell r="T2516" t="str">
            <v/>
          </cell>
          <cell r="U2516" t="str">
            <v/>
          </cell>
          <cell r="W2516" t="str">
            <v/>
          </cell>
          <cell r="X2516" t="str">
            <v/>
          </cell>
          <cell r="AB2516">
            <v>0</v>
          </cell>
          <cell r="AC2516">
            <v>0</v>
          </cell>
          <cell r="AD2516">
            <v>0</v>
          </cell>
          <cell r="AJ2516">
            <v>0</v>
          </cell>
          <cell r="AK2516">
            <v>0</v>
          </cell>
        </row>
        <row r="2517">
          <cell r="B2517" t="str">
            <v/>
          </cell>
          <cell r="H2517" t="str">
            <v/>
          </cell>
          <cell r="J2517" t="str">
            <v/>
          </cell>
          <cell r="N2517" t="str">
            <v/>
          </cell>
          <cell r="O2517" t="str">
            <v/>
          </cell>
          <cell r="P2517" t="str">
            <v/>
          </cell>
          <cell r="Q2517" t="str">
            <v/>
          </cell>
          <cell r="T2517" t="str">
            <v/>
          </cell>
          <cell r="U2517" t="str">
            <v/>
          </cell>
          <cell r="W2517" t="str">
            <v/>
          </cell>
          <cell r="X2517" t="str">
            <v/>
          </cell>
          <cell r="AB2517">
            <v>0</v>
          </cell>
          <cell r="AC2517">
            <v>0</v>
          </cell>
          <cell r="AD2517">
            <v>0</v>
          </cell>
          <cell r="AJ2517">
            <v>0</v>
          </cell>
          <cell r="AK2517">
            <v>0</v>
          </cell>
        </row>
        <row r="2518">
          <cell r="B2518" t="str">
            <v/>
          </cell>
          <cell r="H2518" t="str">
            <v/>
          </cell>
          <cell r="J2518" t="str">
            <v/>
          </cell>
          <cell r="N2518" t="str">
            <v/>
          </cell>
          <cell r="O2518" t="str">
            <v/>
          </cell>
          <cell r="P2518" t="str">
            <v/>
          </cell>
          <cell r="Q2518" t="str">
            <v/>
          </cell>
          <cell r="T2518" t="str">
            <v/>
          </cell>
          <cell r="U2518" t="str">
            <v/>
          </cell>
          <cell r="W2518" t="str">
            <v/>
          </cell>
          <cell r="X2518" t="str">
            <v/>
          </cell>
          <cell r="AB2518">
            <v>0</v>
          </cell>
          <cell r="AC2518">
            <v>0</v>
          </cell>
          <cell r="AD2518">
            <v>0</v>
          </cell>
          <cell r="AJ2518">
            <v>0</v>
          </cell>
          <cell r="AK2518">
            <v>0</v>
          </cell>
        </row>
        <row r="2519">
          <cell r="B2519" t="str">
            <v/>
          </cell>
          <cell r="H2519" t="str">
            <v/>
          </cell>
          <cell r="J2519" t="str">
            <v/>
          </cell>
          <cell r="N2519" t="str">
            <v/>
          </cell>
          <cell r="O2519" t="str">
            <v/>
          </cell>
          <cell r="P2519" t="str">
            <v/>
          </cell>
          <cell r="Q2519" t="str">
            <v/>
          </cell>
          <cell r="T2519" t="str">
            <v/>
          </cell>
          <cell r="U2519" t="str">
            <v/>
          </cell>
          <cell r="W2519" t="str">
            <v/>
          </cell>
          <cell r="X2519" t="str">
            <v/>
          </cell>
          <cell r="AB2519">
            <v>0</v>
          </cell>
          <cell r="AC2519">
            <v>0</v>
          </cell>
          <cell r="AD2519">
            <v>0</v>
          </cell>
          <cell r="AJ2519">
            <v>0</v>
          </cell>
          <cell r="AK2519">
            <v>0</v>
          </cell>
        </row>
        <row r="2520">
          <cell r="B2520" t="str">
            <v/>
          </cell>
          <cell r="H2520" t="str">
            <v/>
          </cell>
          <cell r="J2520" t="str">
            <v/>
          </cell>
          <cell r="N2520" t="str">
            <v/>
          </cell>
          <cell r="O2520" t="str">
            <v/>
          </cell>
          <cell r="P2520" t="str">
            <v/>
          </cell>
          <cell r="Q2520" t="str">
            <v/>
          </cell>
          <cell r="T2520" t="str">
            <v/>
          </cell>
          <cell r="U2520" t="str">
            <v/>
          </cell>
          <cell r="W2520" t="str">
            <v/>
          </cell>
          <cell r="X2520" t="str">
            <v/>
          </cell>
          <cell r="AB2520">
            <v>0</v>
          </cell>
          <cell r="AC2520">
            <v>0</v>
          </cell>
          <cell r="AD2520">
            <v>0</v>
          </cell>
          <cell r="AJ2520">
            <v>0</v>
          </cell>
          <cell r="AK2520">
            <v>0</v>
          </cell>
        </row>
        <row r="2521">
          <cell r="B2521" t="str">
            <v/>
          </cell>
          <cell r="H2521" t="str">
            <v/>
          </cell>
          <cell r="J2521" t="str">
            <v/>
          </cell>
          <cell r="N2521" t="str">
            <v/>
          </cell>
          <cell r="O2521" t="str">
            <v/>
          </cell>
          <cell r="P2521" t="str">
            <v/>
          </cell>
          <cell r="Q2521" t="str">
            <v/>
          </cell>
          <cell r="T2521" t="str">
            <v/>
          </cell>
          <cell r="U2521" t="str">
            <v/>
          </cell>
          <cell r="W2521" t="str">
            <v/>
          </cell>
          <cell r="X2521" t="str">
            <v/>
          </cell>
          <cell r="AB2521">
            <v>0</v>
          </cell>
          <cell r="AC2521">
            <v>0</v>
          </cell>
          <cell r="AD2521">
            <v>0</v>
          </cell>
          <cell r="AJ2521">
            <v>0</v>
          </cell>
          <cell r="AK2521">
            <v>0</v>
          </cell>
        </row>
        <row r="2522">
          <cell r="B2522" t="str">
            <v/>
          </cell>
          <cell r="H2522" t="str">
            <v/>
          </cell>
          <cell r="J2522" t="str">
            <v/>
          </cell>
          <cell r="N2522" t="str">
            <v/>
          </cell>
          <cell r="O2522" t="str">
            <v/>
          </cell>
          <cell r="P2522" t="str">
            <v/>
          </cell>
          <cell r="Q2522" t="str">
            <v/>
          </cell>
          <cell r="T2522" t="str">
            <v/>
          </cell>
          <cell r="U2522" t="str">
            <v/>
          </cell>
          <cell r="W2522" t="str">
            <v/>
          </cell>
          <cell r="X2522" t="str">
            <v/>
          </cell>
          <cell r="AB2522">
            <v>0</v>
          </cell>
          <cell r="AC2522">
            <v>0</v>
          </cell>
          <cell r="AD2522">
            <v>0</v>
          </cell>
          <cell r="AJ2522">
            <v>0</v>
          </cell>
          <cell r="AK2522">
            <v>0</v>
          </cell>
        </row>
        <row r="2523">
          <cell r="B2523" t="str">
            <v/>
          </cell>
          <cell r="H2523" t="str">
            <v/>
          </cell>
          <cell r="J2523" t="str">
            <v/>
          </cell>
          <cell r="N2523" t="str">
            <v/>
          </cell>
          <cell r="O2523" t="str">
            <v/>
          </cell>
          <cell r="P2523" t="str">
            <v/>
          </cell>
          <cell r="Q2523" t="str">
            <v/>
          </cell>
          <cell r="T2523" t="str">
            <v/>
          </cell>
          <cell r="U2523" t="str">
            <v/>
          </cell>
          <cell r="W2523" t="str">
            <v/>
          </cell>
          <cell r="X2523" t="str">
            <v/>
          </cell>
          <cell r="AB2523">
            <v>0</v>
          </cell>
          <cell r="AC2523">
            <v>0</v>
          </cell>
          <cell r="AD2523">
            <v>0</v>
          </cell>
          <cell r="AJ2523">
            <v>0</v>
          </cell>
          <cell r="AK2523">
            <v>0</v>
          </cell>
        </row>
        <row r="2524">
          <cell r="B2524" t="str">
            <v/>
          </cell>
          <cell r="H2524" t="str">
            <v/>
          </cell>
          <cell r="J2524" t="str">
            <v/>
          </cell>
          <cell r="N2524" t="str">
            <v/>
          </cell>
          <cell r="O2524" t="str">
            <v/>
          </cell>
          <cell r="P2524" t="str">
            <v/>
          </cell>
          <cell r="Q2524" t="str">
            <v/>
          </cell>
          <cell r="T2524" t="str">
            <v/>
          </cell>
          <cell r="U2524" t="str">
            <v/>
          </cell>
          <cell r="W2524" t="str">
            <v/>
          </cell>
          <cell r="X2524" t="str">
            <v/>
          </cell>
          <cell r="AB2524">
            <v>0</v>
          </cell>
          <cell r="AC2524">
            <v>0</v>
          </cell>
          <cell r="AD2524">
            <v>0</v>
          </cell>
          <cell r="AJ2524">
            <v>0</v>
          </cell>
          <cell r="AK2524">
            <v>0</v>
          </cell>
        </row>
        <row r="2525">
          <cell r="B2525" t="str">
            <v/>
          </cell>
          <cell r="H2525" t="str">
            <v/>
          </cell>
          <cell r="J2525" t="str">
            <v/>
          </cell>
          <cell r="N2525" t="str">
            <v/>
          </cell>
          <cell r="O2525" t="str">
            <v/>
          </cell>
          <cell r="P2525" t="str">
            <v/>
          </cell>
          <cell r="Q2525" t="str">
            <v/>
          </cell>
          <cell r="T2525" t="str">
            <v/>
          </cell>
          <cell r="U2525" t="str">
            <v/>
          </cell>
          <cell r="W2525" t="str">
            <v/>
          </cell>
          <cell r="X2525" t="str">
            <v/>
          </cell>
          <cell r="AB2525">
            <v>0</v>
          </cell>
          <cell r="AC2525">
            <v>0</v>
          </cell>
          <cell r="AD2525">
            <v>0</v>
          </cell>
          <cell r="AJ2525">
            <v>0</v>
          </cell>
          <cell r="AK2525">
            <v>0</v>
          </cell>
        </row>
        <row r="2526">
          <cell r="B2526" t="str">
            <v/>
          </cell>
          <cell r="H2526" t="str">
            <v/>
          </cell>
          <cell r="J2526" t="str">
            <v/>
          </cell>
          <cell r="N2526" t="str">
            <v/>
          </cell>
          <cell r="O2526" t="str">
            <v/>
          </cell>
          <cell r="P2526" t="str">
            <v/>
          </cell>
          <cell r="Q2526" t="str">
            <v/>
          </cell>
          <cell r="T2526" t="str">
            <v/>
          </cell>
          <cell r="U2526" t="str">
            <v/>
          </cell>
          <cell r="W2526" t="str">
            <v/>
          </cell>
          <cell r="X2526" t="str">
            <v/>
          </cell>
          <cell r="AB2526">
            <v>0</v>
          </cell>
          <cell r="AC2526">
            <v>0</v>
          </cell>
          <cell r="AD2526">
            <v>0</v>
          </cell>
          <cell r="AJ2526">
            <v>0</v>
          </cell>
          <cell r="AK2526">
            <v>0</v>
          </cell>
        </row>
        <row r="2527">
          <cell r="B2527" t="str">
            <v/>
          </cell>
          <cell r="H2527" t="str">
            <v/>
          </cell>
          <cell r="J2527" t="str">
            <v/>
          </cell>
          <cell r="N2527" t="str">
            <v/>
          </cell>
          <cell r="O2527" t="str">
            <v/>
          </cell>
          <cell r="P2527" t="str">
            <v/>
          </cell>
          <cell r="Q2527" t="str">
            <v/>
          </cell>
          <cell r="T2527" t="str">
            <v/>
          </cell>
          <cell r="U2527" t="str">
            <v/>
          </cell>
          <cell r="W2527" t="str">
            <v/>
          </cell>
          <cell r="X2527" t="str">
            <v/>
          </cell>
          <cell r="AB2527">
            <v>0</v>
          </cell>
          <cell r="AC2527">
            <v>0</v>
          </cell>
          <cell r="AD2527">
            <v>0</v>
          </cell>
          <cell r="AJ2527">
            <v>0</v>
          </cell>
          <cell r="AK2527">
            <v>0</v>
          </cell>
        </row>
        <row r="2528">
          <cell r="B2528" t="str">
            <v/>
          </cell>
          <cell r="H2528" t="str">
            <v/>
          </cell>
          <cell r="J2528" t="str">
            <v/>
          </cell>
          <cell r="N2528" t="str">
            <v/>
          </cell>
          <cell r="O2528" t="str">
            <v/>
          </cell>
          <cell r="P2528" t="str">
            <v/>
          </cell>
          <cell r="Q2528" t="str">
            <v/>
          </cell>
          <cell r="T2528" t="str">
            <v/>
          </cell>
          <cell r="U2528" t="str">
            <v/>
          </cell>
          <cell r="W2528" t="str">
            <v/>
          </cell>
          <cell r="X2528" t="str">
            <v/>
          </cell>
          <cell r="AB2528">
            <v>0</v>
          </cell>
          <cell r="AC2528">
            <v>0</v>
          </cell>
          <cell r="AD2528">
            <v>0</v>
          </cell>
          <cell r="AJ2528">
            <v>0</v>
          </cell>
          <cell r="AK2528">
            <v>0</v>
          </cell>
        </row>
        <row r="2529">
          <cell r="B2529" t="str">
            <v/>
          </cell>
          <cell r="H2529" t="str">
            <v/>
          </cell>
          <cell r="J2529" t="str">
            <v/>
          </cell>
          <cell r="N2529" t="str">
            <v/>
          </cell>
          <cell r="O2529" t="str">
            <v/>
          </cell>
          <cell r="P2529" t="str">
            <v/>
          </cell>
          <cell r="Q2529" t="str">
            <v/>
          </cell>
          <cell r="T2529" t="str">
            <v/>
          </cell>
          <cell r="U2529" t="str">
            <v/>
          </cell>
          <cell r="W2529" t="str">
            <v/>
          </cell>
          <cell r="X2529" t="str">
            <v/>
          </cell>
          <cell r="AB2529">
            <v>0</v>
          </cell>
          <cell r="AC2529">
            <v>0</v>
          </cell>
          <cell r="AD2529">
            <v>0</v>
          </cell>
          <cell r="AJ2529">
            <v>0</v>
          </cell>
          <cell r="AK2529">
            <v>0</v>
          </cell>
        </row>
        <row r="2530">
          <cell r="B2530" t="str">
            <v/>
          </cell>
          <cell r="H2530" t="str">
            <v/>
          </cell>
          <cell r="J2530" t="str">
            <v/>
          </cell>
          <cell r="N2530" t="str">
            <v/>
          </cell>
          <cell r="O2530" t="str">
            <v/>
          </cell>
          <cell r="P2530" t="str">
            <v/>
          </cell>
          <cell r="Q2530" t="str">
            <v/>
          </cell>
          <cell r="T2530" t="str">
            <v/>
          </cell>
          <cell r="U2530" t="str">
            <v/>
          </cell>
          <cell r="W2530" t="str">
            <v/>
          </cell>
          <cell r="X2530" t="str">
            <v/>
          </cell>
          <cell r="AB2530">
            <v>0</v>
          </cell>
          <cell r="AC2530">
            <v>0</v>
          </cell>
          <cell r="AD2530">
            <v>0</v>
          </cell>
          <cell r="AJ2530">
            <v>0</v>
          </cell>
          <cell r="AK2530">
            <v>0</v>
          </cell>
        </row>
        <row r="2531">
          <cell r="B2531" t="str">
            <v/>
          </cell>
          <cell r="H2531" t="str">
            <v/>
          </cell>
          <cell r="J2531" t="str">
            <v/>
          </cell>
          <cell r="N2531" t="str">
            <v/>
          </cell>
          <cell r="O2531" t="str">
            <v/>
          </cell>
          <cell r="P2531" t="str">
            <v/>
          </cell>
          <cell r="Q2531" t="str">
            <v/>
          </cell>
          <cell r="T2531" t="str">
            <v/>
          </cell>
          <cell r="U2531" t="str">
            <v/>
          </cell>
          <cell r="W2531" t="str">
            <v/>
          </cell>
          <cell r="X2531" t="str">
            <v/>
          </cell>
          <cell r="AB2531">
            <v>0</v>
          </cell>
          <cell r="AC2531">
            <v>0</v>
          </cell>
          <cell r="AD2531">
            <v>0</v>
          </cell>
          <cell r="AJ2531">
            <v>0</v>
          </cell>
          <cell r="AK2531">
            <v>0</v>
          </cell>
        </row>
        <row r="2532">
          <cell r="B2532" t="str">
            <v/>
          </cell>
          <cell r="H2532" t="str">
            <v/>
          </cell>
          <cell r="J2532" t="str">
            <v/>
          </cell>
          <cell r="N2532" t="str">
            <v/>
          </cell>
          <cell r="O2532" t="str">
            <v/>
          </cell>
          <cell r="P2532" t="str">
            <v/>
          </cell>
          <cell r="Q2532" t="str">
            <v/>
          </cell>
          <cell r="T2532" t="str">
            <v/>
          </cell>
          <cell r="U2532" t="str">
            <v/>
          </cell>
          <cell r="W2532" t="str">
            <v/>
          </cell>
          <cell r="X2532" t="str">
            <v/>
          </cell>
          <cell r="AB2532">
            <v>0</v>
          </cell>
          <cell r="AC2532">
            <v>0</v>
          </cell>
          <cell r="AD2532">
            <v>0</v>
          </cell>
          <cell r="AJ2532">
            <v>0</v>
          </cell>
          <cell r="AK2532">
            <v>0</v>
          </cell>
        </row>
        <row r="2533">
          <cell r="B2533" t="str">
            <v/>
          </cell>
          <cell r="H2533" t="str">
            <v/>
          </cell>
          <cell r="J2533" t="str">
            <v/>
          </cell>
          <cell r="N2533" t="str">
            <v/>
          </cell>
          <cell r="O2533" t="str">
            <v/>
          </cell>
          <cell r="P2533" t="str">
            <v/>
          </cell>
          <cell r="Q2533" t="str">
            <v/>
          </cell>
          <cell r="T2533" t="str">
            <v/>
          </cell>
          <cell r="U2533" t="str">
            <v/>
          </cell>
          <cell r="W2533" t="str">
            <v/>
          </cell>
          <cell r="X2533" t="str">
            <v/>
          </cell>
          <cell r="AB2533">
            <v>0</v>
          </cell>
          <cell r="AC2533">
            <v>0</v>
          </cell>
          <cell r="AD2533">
            <v>0</v>
          </cell>
          <cell r="AJ2533">
            <v>0</v>
          </cell>
          <cell r="AK2533">
            <v>0</v>
          </cell>
        </row>
        <row r="2534">
          <cell r="B2534" t="str">
            <v/>
          </cell>
          <cell r="H2534" t="str">
            <v/>
          </cell>
          <cell r="J2534" t="str">
            <v/>
          </cell>
          <cell r="N2534" t="str">
            <v/>
          </cell>
          <cell r="O2534" t="str">
            <v/>
          </cell>
          <cell r="P2534" t="str">
            <v/>
          </cell>
          <cell r="Q2534" t="str">
            <v/>
          </cell>
          <cell r="T2534" t="str">
            <v/>
          </cell>
          <cell r="U2534" t="str">
            <v/>
          </cell>
          <cell r="W2534" t="str">
            <v/>
          </cell>
          <cell r="X2534" t="str">
            <v/>
          </cell>
          <cell r="AB2534">
            <v>0</v>
          </cell>
          <cell r="AC2534">
            <v>0</v>
          </cell>
          <cell r="AD2534">
            <v>0</v>
          </cell>
          <cell r="AJ2534">
            <v>0</v>
          </cell>
          <cell r="AK2534">
            <v>0</v>
          </cell>
        </row>
        <row r="2535">
          <cell r="B2535" t="str">
            <v/>
          </cell>
          <cell r="H2535" t="str">
            <v/>
          </cell>
          <cell r="J2535" t="str">
            <v/>
          </cell>
          <cell r="N2535" t="str">
            <v/>
          </cell>
          <cell r="O2535" t="str">
            <v/>
          </cell>
          <cell r="P2535" t="str">
            <v/>
          </cell>
          <cell r="Q2535" t="str">
            <v/>
          </cell>
          <cell r="T2535" t="str">
            <v/>
          </cell>
          <cell r="U2535" t="str">
            <v/>
          </cell>
          <cell r="W2535" t="str">
            <v/>
          </cell>
          <cell r="X2535" t="str">
            <v/>
          </cell>
          <cell r="AB2535">
            <v>0</v>
          </cell>
          <cell r="AC2535">
            <v>0</v>
          </cell>
          <cell r="AD2535">
            <v>0</v>
          </cell>
          <cell r="AJ2535">
            <v>0</v>
          </cell>
          <cell r="AK2535">
            <v>0</v>
          </cell>
        </row>
        <row r="2536">
          <cell r="B2536" t="str">
            <v/>
          </cell>
          <cell r="H2536" t="str">
            <v/>
          </cell>
          <cell r="J2536" t="str">
            <v/>
          </cell>
          <cell r="N2536" t="str">
            <v/>
          </cell>
          <cell r="O2536" t="str">
            <v/>
          </cell>
          <cell r="P2536" t="str">
            <v/>
          </cell>
          <cell r="Q2536" t="str">
            <v/>
          </cell>
          <cell r="T2536" t="str">
            <v/>
          </cell>
          <cell r="U2536" t="str">
            <v/>
          </cell>
          <cell r="W2536" t="str">
            <v/>
          </cell>
          <cell r="X2536" t="str">
            <v/>
          </cell>
          <cell r="AB2536">
            <v>0</v>
          </cell>
          <cell r="AC2536">
            <v>0</v>
          </cell>
          <cell r="AD2536">
            <v>0</v>
          </cell>
          <cell r="AJ2536">
            <v>0</v>
          </cell>
          <cell r="AK2536">
            <v>0</v>
          </cell>
        </row>
        <row r="2537">
          <cell r="B2537" t="str">
            <v/>
          </cell>
          <cell r="H2537" t="str">
            <v/>
          </cell>
          <cell r="J2537" t="str">
            <v/>
          </cell>
          <cell r="N2537" t="str">
            <v/>
          </cell>
          <cell r="O2537" t="str">
            <v/>
          </cell>
          <cell r="P2537" t="str">
            <v/>
          </cell>
          <cell r="Q2537" t="str">
            <v/>
          </cell>
          <cell r="T2537" t="str">
            <v/>
          </cell>
          <cell r="U2537" t="str">
            <v/>
          </cell>
          <cell r="W2537" t="str">
            <v/>
          </cell>
          <cell r="X2537" t="str">
            <v/>
          </cell>
          <cell r="AB2537">
            <v>0</v>
          </cell>
          <cell r="AC2537">
            <v>0</v>
          </cell>
          <cell r="AD2537">
            <v>0</v>
          </cell>
          <cell r="AJ2537">
            <v>0</v>
          </cell>
          <cell r="AK2537">
            <v>0</v>
          </cell>
        </row>
        <row r="2538">
          <cell r="B2538" t="str">
            <v/>
          </cell>
          <cell r="H2538" t="str">
            <v/>
          </cell>
          <cell r="J2538" t="str">
            <v/>
          </cell>
          <cell r="N2538" t="str">
            <v/>
          </cell>
          <cell r="O2538" t="str">
            <v/>
          </cell>
          <cell r="P2538" t="str">
            <v/>
          </cell>
          <cell r="Q2538" t="str">
            <v/>
          </cell>
          <cell r="T2538" t="str">
            <v/>
          </cell>
          <cell r="U2538" t="str">
            <v/>
          </cell>
          <cell r="W2538" t="str">
            <v/>
          </cell>
          <cell r="X2538" t="str">
            <v/>
          </cell>
          <cell r="AB2538">
            <v>0</v>
          </cell>
          <cell r="AC2538">
            <v>0</v>
          </cell>
          <cell r="AD2538">
            <v>0</v>
          </cell>
          <cell r="AJ2538">
            <v>0</v>
          </cell>
          <cell r="AK2538">
            <v>0</v>
          </cell>
        </row>
        <row r="2539">
          <cell r="B2539" t="str">
            <v/>
          </cell>
          <cell r="H2539" t="str">
            <v/>
          </cell>
          <cell r="J2539" t="str">
            <v/>
          </cell>
          <cell r="N2539" t="str">
            <v/>
          </cell>
          <cell r="O2539" t="str">
            <v/>
          </cell>
          <cell r="P2539" t="str">
            <v/>
          </cell>
          <cell r="Q2539" t="str">
            <v/>
          </cell>
          <cell r="T2539" t="str">
            <v/>
          </cell>
          <cell r="U2539" t="str">
            <v/>
          </cell>
          <cell r="W2539" t="str">
            <v/>
          </cell>
          <cell r="X2539" t="str">
            <v/>
          </cell>
          <cell r="AB2539">
            <v>0</v>
          </cell>
          <cell r="AC2539">
            <v>0</v>
          </cell>
          <cell r="AD2539">
            <v>0</v>
          </cell>
          <cell r="AJ2539">
            <v>0</v>
          </cell>
          <cell r="AK2539">
            <v>0</v>
          </cell>
        </row>
        <row r="2540">
          <cell r="B2540" t="str">
            <v/>
          </cell>
          <cell r="H2540" t="str">
            <v/>
          </cell>
          <cell r="J2540" t="str">
            <v/>
          </cell>
          <cell r="N2540" t="str">
            <v/>
          </cell>
          <cell r="O2540" t="str">
            <v/>
          </cell>
          <cell r="P2540" t="str">
            <v/>
          </cell>
          <cell r="Q2540" t="str">
            <v/>
          </cell>
          <cell r="T2540" t="str">
            <v/>
          </cell>
          <cell r="U2540" t="str">
            <v/>
          </cell>
          <cell r="W2540" t="str">
            <v/>
          </cell>
          <cell r="X2540" t="str">
            <v/>
          </cell>
          <cell r="AB2540">
            <v>0</v>
          </cell>
          <cell r="AC2540">
            <v>0</v>
          </cell>
          <cell r="AD2540">
            <v>0</v>
          </cell>
          <cell r="AJ2540">
            <v>0</v>
          </cell>
          <cell r="AK2540">
            <v>0</v>
          </cell>
        </row>
        <row r="2541">
          <cell r="B2541" t="str">
            <v/>
          </cell>
          <cell r="H2541" t="str">
            <v/>
          </cell>
          <cell r="J2541" t="str">
            <v/>
          </cell>
          <cell r="N2541" t="str">
            <v/>
          </cell>
          <cell r="O2541" t="str">
            <v/>
          </cell>
          <cell r="P2541" t="str">
            <v/>
          </cell>
          <cell r="Q2541" t="str">
            <v/>
          </cell>
          <cell r="T2541" t="str">
            <v/>
          </cell>
          <cell r="U2541" t="str">
            <v/>
          </cell>
          <cell r="W2541" t="str">
            <v/>
          </cell>
          <cell r="X2541" t="str">
            <v/>
          </cell>
          <cell r="AB2541">
            <v>0</v>
          </cell>
          <cell r="AC2541">
            <v>0</v>
          </cell>
          <cell r="AD2541">
            <v>0</v>
          </cell>
          <cell r="AJ2541">
            <v>0</v>
          </cell>
          <cell r="AK2541">
            <v>0</v>
          </cell>
        </row>
        <row r="2542">
          <cell r="B2542" t="str">
            <v/>
          </cell>
          <cell r="H2542" t="str">
            <v/>
          </cell>
          <cell r="J2542" t="str">
            <v/>
          </cell>
          <cell r="N2542" t="str">
            <v/>
          </cell>
          <cell r="O2542" t="str">
            <v/>
          </cell>
          <cell r="P2542" t="str">
            <v/>
          </cell>
          <cell r="Q2542" t="str">
            <v/>
          </cell>
          <cell r="T2542" t="str">
            <v/>
          </cell>
          <cell r="U2542" t="str">
            <v/>
          </cell>
          <cell r="W2542" t="str">
            <v/>
          </cell>
          <cell r="X2542" t="str">
            <v/>
          </cell>
          <cell r="AB2542">
            <v>0</v>
          </cell>
          <cell r="AC2542">
            <v>0</v>
          </cell>
          <cell r="AD2542">
            <v>0</v>
          </cell>
          <cell r="AJ2542">
            <v>0</v>
          </cell>
          <cell r="AK2542">
            <v>0</v>
          </cell>
        </row>
        <row r="2543">
          <cell r="B2543" t="str">
            <v/>
          </cell>
          <cell r="H2543" t="str">
            <v/>
          </cell>
          <cell r="J2543" t="str">
            <v/>
          </cell>
          <cell r="N2543" t="str">
            <v/>
          </cell>
          <cell r="O2543" t="str">
            <v/>
          </cell>
          <cell r="P2543" t="str">
            <v/>
          </cell>
          <cell r="Q2543" t="str">
            <v/>
          </cell>
          <cell r="T2543" t="str">
            <v/>
          </cell>
          <cell r="U2543" t="str">
            <v/>
          </cell>
          <cell r="W2543" t="str">
            <v/>
          </cell>
          <cell r="X2543" t="str">
            <v/>
          </cell>
          <cell r="AB2543">
            <v>0</v>
          </cell>
          <cell r="AC2543">
            <v>0</v>
          </cell>
          <cell r="AD2543">
            <v>0</v>
          </cell>
          <cell r="AJ2543">
            <v>0</v>
          </cell>
          <cell r="AK2543">
            <v>0</v>
          </cell>
        </row>
        <row r="2544">
          <cell r="B2544" t="str">
            <v/>
          </cell>
          <cell r="H2544" t="str">
            <v/>
          </cell>
          <cell r="J2544" t="str">
            <v/>
          </cell>
          <cell r="N2544" t="str">
            <v/>
          </cell>
          <cell r="O2544" t="str">
            <v/>
          </cell>
          <cell r="P2544" t="str">
            <v/>
          </cell>
          <cell r="Q2544" t="str">
            <v/>
          </cell>
          <cell r="T2544" t="str">
            <v/>
          </cell>
          <cell r="U2544" t="str">
            <v/>
          </cell>
          <cell r="W2544" t="str">
            <v/>
          </cell>
          <cell r="X2544" t="str">
            <v/>
          </cell>
          <cell r="AB2544">
            <v>0</v>
          </cell>
          <cell r="AC2544">
            <v>0</v>
          </cell>
          <cell r="AD2544">
            <v>0</v>
          </cell>
          <cell r="AJ2544">
            <v>0</v>
          </cell>
          <cell r="AK2544">
            <v>0</v>
          </cell>
        </row>
        <row r="2545">
          <cell r="B2545" t="str">
            <v/>
          </cell>
          <cell r="H2545" t="str">
            <v/>
          </cell>
          <cell r="J2545" t="str">
            <v/>
          </cell>
          <cell r="N2545" t="str">
            <v/>
          </cell>
          <cell r="O2545" t="str">
            <v/>
          </cell>
          <cell r="P2545" t="str">
            <v/>
          </cell>
          <cell r="Q2545" t="str">
            <v/>
          </cell>
          <cell r="T2545" t="str">
            <v/>
          </cell>
          <cell r="U2545" t="str">
            <v/>
          </cell>
          <cell r="W2545" t="str">
            <v/>
          </cell>
          <cell r="X2545" t="str">
            <v/>
          </cell>
          <cell r="AB2545">
            <v>0</v>
          </cell>
          <cell r="AC2545">
            <v>0</v>
          </cell>
          <cell r="AD2545">
            <v>0</v>
          </cell>
          <cell r="AJ2545">
            <v>0</v>
          </cell>
          <cell r="AK2545">
            <v>0</v>
          </cell>
        </row>
        <row r="2546">
          <cell r="B2546" t="str">
            <v/>
          </cell>
          <cell r="H2546" t="str">
            <v/>
          </cell>
          <cell r="J2546" t="str">
            <v/>
          </cell>
          <cell r="N2546" t="str">
            <v/>
          </cell>
          <cell r="O2546" t="str">
            <v/>
          </cell>
          <cell r="P2546" t="str">
            <v/>
          </cell>
          <cell r="Q2546" t="str">
            <v/>
          </cell>
          <cell r="T2546" t="str">
            <v/>
          </cell>
          <cell r="U2546" t="str">
            <v/>
          </cell>
          <cell r="W2546" t="str">
            <v/>
          </cell>
          <cell r="X2546" t="str">
            <v/>
          </cell>
          <cell r="AB2546">
            <v>0</v>
          </cell>
          <cell r="AC2546">
            <v>0</v>
          </cell>
          <cell r="AD2546">
            <v>0</v>
          </cell>
          <cell r="AJ2546">
            <v>0</v>
          </cell>
          <cell r="AK2546">
            <v>0</v>
          </cell>
        </row>
        <row r="2547">
          <cell r="B2547" t="str">
            <v/>
          </cell>
          <cell r="H2547" t="str">
            <v/>
          </cell>
          <cell r="J2547" t="str">
            <v/>
          </cell>
          <cell r="N2547" t="str">
            <v/>
          </cell>
          <cell r="O2547" t="str">
            <v/>
          </cell>
          <cell r="P2547" t="str">
            <v/>
          </cell>
          <cell r="Q2547" t="str">
            <v/>
          </cell>
          <cell r="T2547" t="str">
            <v/>
          </cell>
          <cell r="U2547" t="str">
            <v/>
          </cell>
          <cell r="W2547" t="str">
            <v/>
          </cell>
          <cell r="X2547" t="str">
            <v/>
          </cell>
          <cell r="AB2547">
            <v>0</v>
          </cell>
          <cell r="AC2547">
            <v>0</v>
          </cell>
          <cell r="AD2547">
            <v>0</v>
          </cell>
          <cell r="AJ2547">
            <v>0</v>
          </cell>
          <cell r="AK2547">
            <v>0</v>
          </cell>
        </row>
        <row r="2548">
          <cell r="B2548" t="str">
            <v/>
          </cell>
          <cell r="H2548" t="str">
            <v/>
          </cell>
          <cell r="J2548" t="str">
            <v/>
          </cell>
          <cell r="N2548" t="str">
            <v/>
          </cell>
          <cell r="O2548" t="str">
            <v/>
          </cell>
          <cell r="P2548" t="str">
            <v/>
          </cell>
          <cell r="Q2548" t="str">
            <v/>
          </cell>
          <cell r="T2548" t="str">
            <v/>
          </cell>
          <cell r="U2548" t="str">
            <v/>
          </cell>
          <cell r="W2548" t="str">
            <v/>
          </cell>
          <cell r="X2548" t="str">
            <v/>
          </cell>
          <cell r="AB2548">
            <v>0</v>
          </cell>
          <cell r="AC2548">
            <v>0</v>
          </cell>
          <cell r="AD2548">
            <v>0</v>
          </cell>
          <cell r="AJ2548">
            <v>0</v>
          </cell>
          <cell r="AK2548">
            <v>0</v>
          </cell>
        </row>
        <row r="2549">
          <cell r="B2549" t="str">
            <v/>
          </cell>
          <cell r="H2549" t="str">
            <v/>
          </cell>
          <cell r="J2549" t="str">
            <v/>
          </cell>
          <cell r="N2549" t="str">
            <v/>
          </cell>
          <cell r="O2549" t="str">
            <v/>
          </cell>
          <cell r="P2549" t="str">
            <v/>
          </cell>
          <cell r="Q2549" t="str">
            <v/>
          </cell>
          <cell r="T2549" t="str">
            <v/>
          </cell>
          <cell r="U2549" t="str">
            <v/>
          </cell>
          <cell r="W2549" t="str">
            <v/>
          </cell>
          <cell r="X2549" t="str">
            <v/>
          </cell>
          <cell r="AB2549">
            <v>0</v>
          </cell>
          <cell r="AC2549">
            <v>0</v>
          </cell>
          <cell r="AD2549">
            <v>0</v>
          </cell>
          <cell r="AJ2549">
            <v>0</v>
          </cell>
          <cell r="AK2549">
            <v>0</v>
          </cell>
        </row>
        <row r="2550">
          <cell r="B2550" t="str">
            <v/>
          </cell>
          <cell r="H2550" t="str">
            <v/>
          </cell>
          <cell r="J2550" t="str">
            <v/>
          </cell>
          <cell r="N2550" t="str">
            <v/>
          </cell>
          <cell r="O2550" t="str">
            <v/>
          </cell>
          <cell r="P2550" t="str">
            <v/>
          </cell>
          <cell r="Q2550" t="str">
            <v/>
          </cell>
          <cell r="T2550" t="str">
            <v/>
          </cell>
          <cell r="U2550" t="str">
            <v/>
          </cell>
          <cell r="W2550" t="str">
            <v/>
          </cell>
          <cell r="X2550" t="str">
            <v/>
          </cell>
          <cell r="AB2550">
            <v>0</v>
          </cell>
          <cell r="AC2550">
            <v>0</v>
          </cell>
          <cell r="AD2550">
            <v>0</v>
          </cell>
          <cell r="AJ2550">
            <v>0</v>
          </cell>
          <cell r="AK2550">
            <v>0</v>
          </cell>
        </row>
        <row r="2551">
          <cell r="B2551" t="str">
            <v/>
          </cell>
          <cell r="H2551" t="str">
            <v/>
          </cell>
          <cell r="J2551" t="str">
            <v/>
          </cell>
          <cell r="N2551" t="str">
            <v/>
          </cell>
          <cell r="O2551" t="str">
            <v/>
          </cell>
          <cell r="P2551" t="str">
            <v/>
          </cell>
          <cell r="Q2551" t="str">
            <v/>
          </cell>
          <cell r="T2551" t="str">
            <v/>
          </cell>
          <cell r="U2551" t="str">
            <v/>
          </cell>
          <cell r="W2551" t="str">
            <v/>
          </cell>
          <cell r="X2551" t="str">
            <v/>
          </cell>
          <cell r="AB2551">
            <v>0</v>
          </cell>
          <cell r="AC2551">
            <v>0</v>
          </cell>
          <cell r="AD2551">
            <v>0</v>
          </cell>
          <cell r="AJ2551">
            <v>0</v>
          </cell>
          <cell r="AK2551">
            <v>0</v>
          </cell>
        </row>
        <row r="2552">
          <cell r="B2552" t="str">
            <v/>
          </cell>
          <cell r="H2552" t="str">
            <v/>
          </cell>
          <cell r="J2552" t="str">
            <v/>
          </cell>
          <cell r="N2552" t="str">
            <v/>
          </cell>
          <cell r="O2552" t="str">
            <v/>
          </cell>
          <cell r="P2552" t="str">
            <v/>
          </cell>
          <cell r="Q2552" t="str">
            <v/>
          </cell>
          <cell r="T2552" t="str">
            <v/>
          </cell>
          <cell r="U2552" t="str">
            <v/>
          </cell>
          <cell r="W2552" t="str">
            <v/>
          </cell>
          <cell r="X2552" t="str">
            <v/>
          </cell>
          <cell r="AB2552">
            <v>0</v>
          </cell>
          <cell r="AC2552">
            <v>0</v>
          </cell>
          <cell r="AD2552">
            <v>0</v>
          </cell>
          <cell r="AJ2552">
            <v>0</v>
          </cell>
          <cell r="AK2552">
            <v>0</v>
          </cell>
        </row>
        <row r="2553">
          <cell r="B2553" t="str">
            <v/>
          </cell>
          <cell r="H2553" t="str">
            <v/>
          </cell>
          <cell r="J2553" t="str">
            <v/>
          </cell>
          <cell r="N2553" t="str">
            <v/>
          </cell>
          <cell r="O2553" t="str">
            <v/>
          </cell>
          <cell r="P2553" t="str">
            <v/>
          </cell>
          <cell r="Q2553" t="str">
            <v/>
          </cell>
          <cell r="T2553" t="str">
            <v/>
          </cell>
          <cell r="U2553" t="str">
            <v/>
          </cell>
          <cell r="W2553" t="str">
            <v/>
          </cell>
          <cell r="X2553" t="str">
            <v/>
          </cell>
          <cell r="AB2553">
            <v>0</v>
          </cell>
          <cell r="AC2553">
            <v>0</v>
          </cell>
          <cell r="AD2553">
            <v>0</v>
          </cell>
          <cell r="AJ2553">
            <v>0</v>
          </cell>
          <cell r="AK2553">
            <v>0</v>
          </cell>
        </row>
        <row r="2554">
          <cell r="B2554" t="str">
            <v/>
          </cell>
          <cell r="H2554" t="str">
            <v/>
          </cell>
          <cell r="J2554" t="str">
            <v/>
          </cell>
          <cell r="N2554" t="str">
            <v/>
          </cell>
          <cell r="O2554" t="str">
            <v/>
          </cell>
          <cell r="P2554" t="str">
            <v/>
          </cell>
          <cell r="Q2554" t="str">
            <v/>
          </cell>
          <cell r="T2554" t="str">
            <v/>
          </cell>
          <cell r="U2554" t="str">
            <v/>
          </cell>
          <cell r="W2554" t="str">
            <v/>
          </cell>
          <cell r="X2554" t="str">
            <v/>
          </cell>
          <cell r="AB2554">
            <v>0</v>
          </cell>
          <cell r="AC2554">
            <v>0</v>
          </cell>
          <cell r="AD2554">
            <v>0</v>
          </cell>
          <cell r="AJ2554">
            <v>0</v>
          </cell>
          <cell r="AK2554">
            <v>0</v>
          </cell>
        </row>
        <row r="2555">
          <cell r="B2555" t="str">
            <v/>
          </cell>
          <cell r="H2555" t="str">
            <v/>
          </cell>
          <cell r="J2555" t="str">
            <v/>
          </cell>
          <cell r="N2555" t="str">
            <v/>
          </cell>
          <cell r="O2555" t="str">
            <v/>
          </cell>
          <cell r="P2555" t="str">
            <v/>
          </cell>
          <cell r="Q2555" t="str">
            <v/>
          </cell>
          <cell r="T2555" t="str">
            <v/>
          </cell>
          <cell r="U2555" t="str">
            <v/>
          </cell>
          <cell r="W2555" t="str">
            <v/>
          </cell>
          <cell r="X2555" t="str">
            <v/>
          </cell>
          <cell r="AB2555">
            <v>0</v>
          </cell>
          <cell r="AC2555">
            <v>0</v>
          </cell>
          <cell r="AD2555">
            <v>0</v>
          </cell>
          <cell r="AJ2555">
            <v>0</v>
          </cell>
          <cell r="AK2555">
            <v>0</v>
          </cell>
        </row>
        <row r="2556">
          <cell r="B2556" t="str">
            <v/>
          </cell>
          <cell r="H2556" t="str">
            <v/>
          </cell>
          <cell r="J2556" t="str">
            <v/>
          </cell>
          <cell r="N2556" t="str">
            <v/>
          </cell>
          <cell r="O2556" t="str">
            <v/>
          </cell>
          <cell r="P2556" t="str">
            <v/>
          </cell>
          <cell r="Q2556" t="str">
            <v/>
          </cell>
          <cell r="T2556" t="str">
            <v/>
          </cell>
          <cell r="U2556" t="str">
            <v/>
          </cell>
          <cell r="W2556" t="str">
            <v/>
          </cell>
          <cell r="X2556" t="str">
            <v/>
          </cell>
          <cell r="AB2556">
            <v>0</v>
          </cell>
          <cell r="AC2556">
            <v>0</v>
          </cell>
          <cell r="AD2556">
            <v>0</v>
          </cell>
          <cell r="AJ2556">
            <v>0</v>
          </cell>
          <cell r="AK2556">
            <v>0</v>
          </cell>
        </row>
        <row r="2557">
          <cell r="B2557" t="str">
            <v/>
          </cell>
          <cell r="H2557" t="str">
            <v/>
          </cell>
          <cell r="J2557" t="str">
            <v/>
          </cell>
          <cell r="N2557" t="str">
            <v/>
          </cell>
          <cell r="O2557" t="str">
            <v/>
          </cell>
          <cell r="P2557" t="str">
            <v/>
          </cell>
          <cell r="Q2557" t="str">
            <v/>
          </cell>
          <cell r="T2557" t="str">
            <v/>
          </cell>
          <cell r="U2557" t="str">
            <v/>
          </cell>
          <cell r="W2557" t="str">
            <v/>
          </cell>
          <cell r="X2557" t="str">
            <v/>
          </cell>
          <cell r="AB2557">
            <v>0</v>
          </cell>
          <cell r="AC2557">
            <v>0</v>
          </cell>
          <cell r="AD2557">
            <v>0</v>
          </cell>
          <cell r="AJ2557">
            <v>0</v>
          </cell>
          <cell r="AK2557">
            <v>0</v>
          </cell>
        </row>
        <row r="2558">
          <cell r="B2558" t="str">
            <v/>
          </cell>
          <cell r="H2558" t="str">
            <v/>
          </cell>
          <cell r="J2558" t="str">
            <v/>
          </cell>
          <cell r="N2558" t="str">
            <v/>
          </cell>
          <cell r="O2558" t="str">
            <v/>
          </cell>
          <cell r="P2558" t="str">
            <v/>
          </cell>
          <cell r="Q2558" t="str">
            <v/>
          </cell>
          <cell r="T2558" t="str">
            <v/>
          </cell>
          <cell r="U2558" t="str">
            <v/>
          </cell>
          <cell r="W2558" t="str">
            <v/>
          </cell>
          <cell r="X2558" t="str">
            <v/>
          </cell>
          <cell r="AB2558">
            <v>0</v>
          </cell>
          <cell r="AC2558">
            <v>0</v>
          </cell>
          <cell r="AD2558">
            <v>0</v>
          </cell>
          <cell r="AJ2558">
            <v>0</v>
          </cell>
          <cell r="AK2558">
            <v>0</v>
          </cell>
        </row>
        <row r="2559">
          <cell r="B2559" t="str">
            <v/>
          </cell>
          <cell r="H2559" t="str">
            <v/>
          </cell>
          <cell r="J2559" t="str">
            <v/>
          </cell>
          <cell r="N2559" t="str">
            <v/>
          </cell>
          <cell r="O2559" t="str">
            <v/>
          </cell>
          <cell r="P2559" t="str">
            <v/>
          </cell>
          <cell r="Q2559" t="str">
            <v/>
          </cell>
          <cell r="T2559" t="str">
            <v/>
          </cell>
          <cell r="U2559" t="str">
            <v/>
          </cell>
          <cell r="W2559" t="str">
            <v/>
          </cell>
          <cell r="X2559" t="str">
            <v/>
          </cell>
          <cell r="AB2559">
            <v>0</v>
          </cell>
          <cell r="AC2559">
            <v>0</v>
          </cell>
          <cell r="AD2559">
            <v>0</v>
          </cell>
          <cell r="AJ2559">
            <v>0</v>
          </cell>
          <cell r="AK2559">
            <v>0</v>
          </cell>
        </row>
        <row r="2560">
          <cell r="B2560" t="str">
            <v/>
          </cell>
          <cell r="H2560" t="str">
            <v/>
          </cell>
          <cell r="J2560" t="str">
            <v/>
          </cell>
          <cell r="N2560" t="str">
            <v/>
          </cell>
          <cell r="O2560" t="str">
            <v/>
          </cell>
          <cell r="P2560" t="str">
            <v/>
          </cell>
          <cell r="Q2560" t="str">
            <v/>
          </cell>
          <cell r="T2560" t="str">
            <v/>
          </cell>
          <cell r="U2560" t="str">
            <v/>
          </cell>
          <cell r="W2560" t="str">
            <v/>
          </cell>
          <cell r="X2560" t="str">
            <v/>
          </cell>
          <cell r="AB2560">
            <v>0</v>
          </cell>
          <cell r="AC2560">
            <v>0</v>
          </cell>
          <cell r="AD2560">
            <v>0</v>
          </cell>
          <cell r="AJ2560">
            <v>0</v>
          </cell>
          <cell r="AK2560">
            <v>0</v>
          </cell>
        </row>
        <row r="2561">
          <cell r="B2561" t="str">
            <v/>
          </cell>
          <cell r="H2561" t="str">
            <v/>
          </cell>
          <cell r="J2561" t="str">
            <v/>
          </cell>
          <cell r="N2561" t="str">
            <v/>
          </cell>
          <cell r="O2561" t="str">
            <v/>
          </cell>
          <cell r="P2561" t="str">
            <v/>
          </cell>
          <cell r="Q2561" t="str">
            <v/>
          </cell>
          <cell r="T2561" t="str">
            <v/>
          </cell>
          <cell r="U2561" t="str">
            <v/>
          </cell>
          <cell r="W2561" t="str">
            <v/>
          </cell>
          <cell r="X2561" t="str">
            <v/>
          </cell>
          <cell r="AB2561">
            <v>0</v>
          </cell>
          <cell r="AC2561">
            <v>0</v>
          </cell>
          <cell r="AD2561">
            <v>0</v>
          </cell>
          <cell r="AJ2561">
            <v>0</v>
          </cell>
          <cell r="AK2561">
            <v>0</v>
          </cell>
        </row>
        <row r="2562">
          <cell r="B2562" t="str">
            <v/>
          </cell>
          <cell r="H2562" t="str">
            <v/>
          </cell>
          <cell r="J2562" t="str">
            <v/>
          </cell>
          <cell r="N2562" t="str">
            <v/>
          </cell>
          <cell r="O2562" t="str">
            <v/>
          </cell>
          <cell r="P2562" t="str">
            <v/>
          </cell>
          <cell r="Q2562" t="str">
            <v/>
          </cell>
          <cell r="T2562" t="str">
            <v/>
          </cell>
          <cell r="U2562" t="str">
            <v/>
          </cell>
          <cell r="W2562" t="str">
            <v/>
          </cell>
          <cell r="X2562" t="str">
            <v/>
          </cell>
          <cell r="AB2562">
            <v>0</v>
          </cell>
          <cell r="AC2562">
            <v>0</v>
          </cell>
          <cell r="AD2562">
            <v>0</v>
          </cell>
          <cell r="AJ2562">
            <v>0</v>
          </cell>
          <cell r="AK2562">
            <v>0</v>
          </cell>
        </row>
        <row r="2563">
          <cell r="B2563" t="str">
            <v/>
          </cell>
          <cell r="H2563" t="str">
            <v/>
          </cell>
          <cell r="J2563" t="str">
            <v/>
          </cell>
          <cell r="N2563" t="str">
            <v/>
          </cell>
          <cell r="O2563" t="str">
            <v/>
          </cell>
          <cell r="P2563" t="str">
            <v/>
          </cell>
          <cell r="Q2563" t="str">
            <v/>
          </cell>
          <cell r="T2563" t="str">
            <v/>
          </cell>
          <cell r="U2563" t="str">
            <v/>
          </cell>
          <cell r="W2563" t="str">
            <v/>
          </cell>
          <cell r="X2563" t="str">
            <v/>
          </cell>
          <cell r="AB2563">
            <v>0</v>
          </cell>
          <cell r="AC2563">
            <v>0</v>
          </cell>
          <cell r="AD2563">
            <v>0</v>
          </cell>
          <cell r="AJ2563">
            <v>0</v>
          </cell>
          <cell r="AK2563">
            <v>0</v>
          </cell>
        </row>
        <row r="2564">
          <cell r="B2564" t="str">
            <v/>
          </cell>
          <cell r="H2564" t="str">
            <v/>
          </cell>
          <cell r="J2564" t="str">
            <v/>
          </cell>
          <cell r="N2564" t="str">
            <v/>
          </cell>
          <cell r="O2564" t="str">
            <v/>
          </cell>
          <cell r="P2564" t="str">
            <v/>
          </cell>
          <cell r="Q2564" t="str">
            <v/>
          </cell>
          <cell r="T2564" t="str">
            <v/>
          </cell>
          <cell r="U2564" t="str">
            <v/>
          </cell>
          <cell r="W2564" t="str">
            <v/>
          </cell>
          <cell r="X2564" t="str">
            <v/>
          </cell>
          <cell r="AB2564">
            <v>0</v>
          </cell>
          <cell r="AC2564">
            <v>0</v>
          </cell>
          <cell r="AD2564">
            <v>0</v>
          </cell>
          <cell r="AJ2564">
            <v>0</v>
          </cell>
          <cell r="AK2564">
            <v>0</v>
          </cell>
        </row>
        <row r="2565">
          <cell r="B2565" t="str">
            <v/>
          </cell>
          <cell r="H2565" t="str">
            <v/>
          </cell>
          <cell r="J2565" t="str">
            <v/>
          </cell>
          <cell r="N2565" t="str">
            <v/>
          </cell>
          <cell r="O2565" t="str">
            <v/>
          </cell>
          <cell r="P2565" t="str">
            <v/>
          </cell>
          <cell r="Q2565" t="str">
            <v/>
          </cell>
          <cell r="T2565" t="str">
            <v/>
          </cell>
          <cell r="U2565" t="str">
            <v/>
          </cell>
          <cell r="W2565" t="str">
            <v/>
          </cell>
          <cell r="X2565" t="str">
            <v/>
          </cell>
          <cell r="AB2565">
            <v>0</v>
          </cell>
          <cell r="AC2565">
            <v>0</v>
          </cell>
          <cell r="AD2565">
            <v>0</v>
          </cell>
          <cell r="AJ2565">
            <v>0</v>
          </cell>
          <cell r="AK2565">
            <v>0</v>
          </cell>
        </row>
        <row r="2566">
          <cell r="B2566" t="str">
            <v/>
          </cell>
          <cell r="H2566" t="str">
            <v/>
          </cell>
          <cell r="J2566" t="str">
            <v/>
          </cell>
          <cell r="N2566" t="str">
            <v/>
          </cell>
          <cell r="O2566" t="str">
            <v/>
          </cell>
          <cell r="P2566" t="str">
            <v/>
          </cell>
          <cell r="Q2566" t="str">
            <v/>
          </cell>
          <cell r="T2566" t="str">
            <v/>
          </cell>
          <cell r="U2566" t="str">
            <v/>
          </cell>
          <cell r="W2566" t="str">
            <v/>
          </cell>
          <cell r="X2566" t="str">
            <v/>
          </cell>
          <cell r="AB2566">
            <v>0</v>
          </cell>
          <cell r="AC2566">
            <v>0</v>
          </cell>
          <cell r="AD2566">
            <v>0</v>
          </cell>
          <cell r="AJ2566">
            <v>0</v>
          </cell>
          <cell r="AK2566">
            <v>0</v>
          </cell>
        </row>
        <row r="2567">
          <cell r="B2567" t="str">
            <v/>
          </cell>
          <cell r="H2567" t="str">
            <v/>
          </cell>
          <cell r="J2567" t="str">
            <v/>
          </cell>
          <cell r="N2567" t="str">
            <v/>
          </cell>
          <cell r="O2567" t="str">
            <v/>
          </cell>
          <cell r="P2567" t="str">
            <v/>
          </cell>
          <cell r="Q2567" t="str">
            <v/>
          </cell>
          <cell r="T2567" t="str">
            <v/>
          </cell>
          <cell r="U2567" t="str">
            <v/>
          </cell>
          <cell r="W2567" t="str">
            <v/>
          </cell>
          <cell r="X2567" t="str">
            <v/>
          </cell>
          <cell r="AB2567">
            <v>0</v>
          </cell>
          <cell r="AC2567">
            <v>0</v>
          </cell>
          <cell r="AD2567">
            <v>0</v>
          </cell>
          <cell r="AJ2567">
            <v>0</v>
          </cell>
          <cell r="AK2567">
            <v>0</v>
          </cell>
        </row>
        <row r="2568">
          <cell r="B2568" t="str">
            <v/>
          </cell>
          <cell r="H2568" t="str">
            <v/>
          </cell>
          <cell r="J2568" t="str">
            <v/>
          </cell>
          <cell r="N2568" t="str">
            <v/>
          </cell>
          <cell r="O2568" t="str">
            <v/>
          </cell>
          <cell r="P2568" t="str">
            <v/>
          </cell>
          <cell r="Q2568" t="str">
            <v/>
          </cell>
          <cell r="T2568" t="str">
            <v/>
          </cell>
          <cell r="U2568" t="str">
            <v/>
          </cell>
          <cell r="W2568" t="str">
            <v/>
          </cell>
          <cell r="X2568" t="str">
            <v/>
          </cell>
          <cell r="AB2568">
            <v>0</v>
          </cell>
          <cell r="AC2568">
            <v>0</v>
          </cell>
          <cell r="AD2568">
            <v>0</v>
          </cell>
          <cell r="AJ2568">
            <v>0</v>
          </cell>
          <cell r="AK2568">
            <v>0</v>
          </cell>
        </row>
        <row r="2569">
          <cell r="B2569" t="str">
            <v/>
          </cell>
          <cell r="H2569" t="str">
            <v/>
          </cell>
          <cell r="J2569" t="str">
            <v/>
          </cell>
          <cell r="N2569" t="str">
            <v/>
          </cell>
          <cell r="O2569" t="str">
            <v/>
          </cell>
          <cell r="P2569" t="str">
            <v/>
          </cell>
          <cell r="Q2569" t="str">
            <v/>
          </cell>
          <cell r="T2569" t="str">
            <v/>
          </cell>
          <cell r="U2569" t="str">
            <v/>
          </cell>
          <cell r="W2569" t="str">
            <v/>
          </cell>
          <cell r="X2569" t="str">
            <v/>
          </cell>
          <cell r="AB2569">
            <v>0</v>
          </cell>
          <cell r="AC2569">
            <v>0</v>
          </cell>
          <cell r="AD2569">
            <v>0</v>
          </cell>
          <cell r="AJ2569">
            <v>0</v>
          </cell>
          <cell r="AK2569">
            <v>0</v>
          </cell>
        </row>
        <row r="2570">
          <cell r="B2570" t="str">
            <v/>
          </cell>
          <cell r="H2570" t="str">
            <v/>
          </cell>
          <cell r="J2570" t="str">
            <v/>
          </cell>
          <cell r="N2570" t="str">
            <v/>
          </cell>
          <cell r="O2570" t="str">
            <v/>
          </cell>
          <cell r="P2570" t="str">
            <v/>
          </cell>
          <cell r="Q2570" t="str">
            <v/>
          </cell>
          <cell r="T2570" t="str">
            <v/>
          </cell>
          <cell r="U2570" t="str">
            <v/>
          </cell>
          <cell r="W2570" t="str">
            <v/>
          </cell>
          <cell r="X2570" t="str">
            <v/>
          </cell>
          <cell r="AB2570">
            <v>0</v>
          </cell>
          <cell r="AC2570">
            <v>0</v>
          </cell>
          <cell r="AD2570">
            <v>0</v>
          </cell>
          <cell r="AJ2570">
            <v>0</v>
          </cell>
          <cell r="AK2570">
            <v>0</v>
          </cell>
        </row>
        <row r="2571">
          <cell r="B2571" t="str">
            <v/>
          </cell>
          <cell r="H2571" t="str">
            <v/>
          </cell>
          <cell r="J2571" t="str">
            <v/>
          </cell>
          <cell r="N2571" t="str">
            <v/>
          </cell>
          <cell r="O2571" t="str">
            <v/>
          </cell>
          <cell r="P2571" t="str">
            <v/>
          </cell>
          <cell r="Q2571" t="str">
            <v/>
          </cell>
          <cell r="T2571" t="str">
            <v/>
          </cell>
          <cell r="U2571" t="str">
            <v/>
          </cell>
          <cell r="W2571" t="str">
            <v/>
          </cell>
          <cell r="X2571" t="str">
            <v/>
          </cell>
          <cell r="AB2571">
            <v>0</v>
          </cell>
          <cell r="AC2571">
            <v>0</v>
          </cell>
          <cell r="AD2571">
            <v>0</v>
          </cell>
          <cell r="AJ2571">
            <v>0</v>
          </cell>
          <cell r="AK2571">
            <v>0</v>
          </cell>
        </row>
        <row r="2572">
          <cell r="B2572" t="str">
            <v/>
          </cell>
          <cell r="H2572" t="str">
            <v/>
          </cell>
          <cell r="J2572" t="str">
            <v/>
          </cell>
          <cell r="N2572" t="str">
            <v/>
          </cell>
          <cell r="O2572" t="str">
            <v/>
          </cell>
          <cell r="P2572" t="str">
            <v/>
          </cell>
          <cell r="Q2572" t="str">
            <v/>
          </cell>
          <cell r="T2572" t="str">
            <v/>
          </cell>
          <cell r="U2572" t="str">
            <v/>
          </cell>
          <cell r="W2572" t="str">
            <v/>
          </cell>
          <cell r="X2572" t="str">
            <v/>
          </cell>
          <cell r="AB2572">
            <v>0</v>
          </cell>
          <cell r="AC2572">
            <v>0</v>
          </cell>
          <cell r="AD2572">
            <v>0</v>
          </cell>
          <cell r="AJ2572">
            <v>0</v>
          </cell>
          <cell r="AK2572">
            <v>0</v>
          </cell>
        </row>
        <row r="2573">
          <cell r="B2573" t="str">
            <v/>
          </cell>
          <cell r="H2573" t="str">
            <v/>
          </cell>
          <cell r="J2573" t="str">
            <v/>
          </cell>
          <cell r="N2573" t="str">
            <v/>
          </cell>
          <cell r="O2573" t="str">
            <v/>
          </cell>
          <cell r="P2573" t="str">
            <v/>
          </cell>
          <cell r="Q2573" t="str">
            <v/>
          </cell>
          <cell r="T2573" t="str">
            <v/>
          </cell>
          <cell r="U2573" t="str">
            <v/>
          </cell>
          <cell r="W2573" t="str">
            <v/>
          </cell>
          <cell r="X2573" t="str">
            <v/>
          </cell>
          <cell r="AB2573">
            <v>0</v>
          </cell>
          <cell r="AC2573">
            <v>0</v>
          </cell>
          <cell r="AD2573">
            <v>0</v>
          </cell>
          <cell r="AJ2573">
            <v>0</v>
          </cell>
          <cell r="AK2573">
            <v>0</v>
          </cell>
        </row>
        <row r="2574">
          <cell r="B2574" t="str">
            <v/>
          </cell>
          <cell r="H2574" t="str">
            <v/>
          </cell>
          <cell r="J2574" t="str">
            <v/>
          </cell>
          <cell r="N2574" t="str">
            <v/>
          </cell>
          <cell r="O2574" t="str">
            <v/>
          </cell>
          <cell r="P2574" t="str">
            <v/>
          </cell>
          <cell r="Q2574" t="str">
            <v/>
          </cell>
          <cell r="T2574" t="str">
            <v/>
          </cell>
          <cell r="U2574" t="str">
            <v/>
          </cell>
          <cell r="W2574" t="str">
            <v/>
          </cell>
          <cell r="X2574" t="str">
            <v/>
          </cell>
          <cell r="AB2574">
            <v>0</v>
          </cell>
          <cell r="AC2574">
            <v>0</v>
          </cell>
          <cell r="AD2574">
            <v>0</v>
          </cell>
          <cell r="AJ2574">
            <v>0</v>
          </cell>
          <cell r="AK2574">
            <v>0</v>
          </cell>
        </row>
        <row r="2575">
          <cell r="B2575" t="str">
            <v/>
          </cell>
          <cell r="H2575" t="str">
            <v/>
          </cell>
          <cell r="J2575" t="str">
            <v/>
          </cell>
          <cell r="N2575" t="str">
            <v/>
          </cell>
          <cell r="O2575" t="str">
            <v/>
          </cell>
          <cell r="P2575" t="str">
            <v/>
          </cell>
          <cell r="Q2575" t="str">
            <v/>
          </cell>
          <cell r="T2575" t="str">
            <v/>
          </cell>
          <cell r="U2575" t="str">
            <v/>
          </cell>
          <cell r="W2575" t="str">
            <v/>
          </cell>
          <cell r="X2575" t="str">
            <v/>
          </cell>
          <cell r="AB2575">
            <v>0</v>
          </cell>
          <cell r="AC2575">
            <v>0</v>
          </cell>
          <cell r="AD2575">
            <v>0</v>
          </cell>
          <cell r="AJ2575">
            <v>0</v>
          </cell>
          <cell r="AK2575">
            <v>0</v>
          </cell>
        </row>
        <row r="2576">
          <cell r="B2576" t="str">
            <v/>
          </cell>
          <cell r="H2576" t="str">
            <v/>
          </cell>
          <cell r="J2576" t="str">
            <v/>
          </cell>
          <cell r="N2576" t="str">
            <v/>
          </cell>
          <cell r="O2576" t="str">
            <v/>
          </cell>
          <cell r="P2576" t="str">
            <v/>
          </cell>
          <cell r="Q2576" t="str">
            <v/>
          </cell>
          <cell r="T2576" t="str">
            <v/>
          </cell>
          <cell r="U2576" t="str">
            <v/>
          </cell>
          <cell r="W2576" t="str">
            <v/>
          </cell>
          <cell r="X2576" t="str">
            <v/>
          </cell>
          <cell r="AB2576">
            <v>0</v>
          </cell>
          <cell r="AC2576">
            <v>0</v>
          </cell>
          <cell r="AD2576">
            <v>0</v>
          </cell>
          <cell r="AJ2576">
            <v>0</v>
          </cell>
          <cell r="AK2576">
            <v>0</v>
          </cell>
        </row>
        <row r="2577">
          <cell r="B2577" t="str">
            <v/>
          </cell>
          <cell r="H2577" t="str">
            <v/>
          </cell>
          <cell r="J2577" t="str">
            <v/>
          </cell>
          <cell r="N2577" t="str">
            <v/>
          </cell>
          <cell r="O2577" t="str">
            <v/>
          </cell>
          <cell r="P2577" t="str">
            <v/>
          </cell>
          <cell r="Q2577" t="str">
            <v/>
          </cell>
          <cell r="T2577" t="str">
            <v/>
          </cell>
          <cell r="U2577" t="str">
            <v/>
          </cell>
          <cell r="W2577" t="str">
            <v/>
          </cell>
          <cell r="X2577" t="str">
            <v/>
          </cell>
          <cell r="AB2577">
            <v>0</v>
          </cell>
          <cell r="AC2577">
            <v>0</v>
          </cell>
          <cell r="AD2577">
            <v>0</v>
          </cell>
          <cell r="AJ2577">
            <v>0</v>
          </cell>
          <cell r="AK2577">
            <v>0</v>
          </cell>
        </row>
        <row r="2578">
          <cell r="B2578" t="str">
            <v/>
          </cell>
          <cell r="H2578" t="str">
            <v/>
          </cell>
          <cell r="J2578" t="str">
            <v/>
          </cell>
          <cell r="N2578" t="str">
            <v/>
          </cell>
          <cell r="O2578" t="str">
            <v/>
          </cell>
          <cell r="P2578" t="str">
            <v/>
          </cell>
          <cell r="Q2578" t="str">
            <v/>
          </cell>
          <cell r="T2578" t="str">
            <v/>
          </cell>
          <cell r="U2578" t="str">
            <v/>
          </cell>
          <cell r="W2578" t="str">
            <v/>
          </cell>
          <cell r="X2578" t="str">
            <v/>
          </cell>
          <cell r="AB2578">
            <v>0</v>
          </cell>
          <cell r="AC2578">
            <v>0</v>
          </cell>
          <cell r="AD2578">
            <v>0</v>
          </cell>
          <cell r="AJ2578">
            <v>0</v>
          </cell>
          <cell r="AK2578">
            <v>0</v>
          </cell>
        </row>
        <row r="2579">
          <cell r="B2579" t="str">
            <v/>
          </cell>
          <cell r="H2579" t="str">
            <v/>
          </cell>
          <cell r="J2579" t="str">
            <v/>
          </cell>
          <cell r="N2579" t="str">
            <v/>
          </cell>
          <cell r="O2579" t="str">
            <v/>
          </cell>
          <cell r="P2579" t="str">
            <v/>
          </cell>
          <cell r="Q2579" t="str">
            <v/>
          </cell>
          <cell r="T2579" t="str">
            <v/>
          </cell>
          <cell r="U2579" t="str">
            <v/>
          </cell>
          <cell r="W2579" t="str">
            <v/>
          </cell>
          <cell r="X2579" t="str">
            <v/>
          </cell>
          <cell r="AB2579">
            <v>0</v>
          </cell>
          <cell r="AC2579">
            <v>0</v>
          </cell>
          <cell r="AD2579">
            <v>0</v>
          </cell>
          <cell r="AJ2579">
            <v>0</v>
          </cell>
          <cell r="AK2579">
            <v>0</v>
          </cell>
        </row>
        <row r="2580">
          <cell r="B2580" t="str">
            <v/>
          </cell>
          <cell r="H2580" t="str">
            <v/>
          </cell>
          <cell r="J2580" t="str">
            <v/>
          </cell>
          <cell r="N2580" t="str">
            <v/>
          </cell>
          <cell r="O2580" t="str">
            <v/>
          </cell>
          <cell r="P2580" t="str">
            <v/>
          </cell>
          <cell r="Q2580" t="str">
            <v/>
          </cell>
          <cell r="T2580" t="str">
            <v/>
          </cell>
          <cell r="U2580" t="str">
            <v/>
          </cell>
          <cell r="W2580" t="str">
            <v/>
          </cell>
          <cell r="X2580" t="str">
            <v/>
          </cell>
          <cell r="AB2580">
            <v>0</v>
          </cell>
          <cell r="AC2580">
            <v>0</v>
          </cell>
          <cell r="AD2580">
            <v>0</v>
          </cell>
          <cell r="AJ2580">
            <v>0</v>
          </cell>
          <cell r="AK2580">
            <v>0</v>
          </cell>
        </row>
        <row r="2581">
          <cell r="B2581" t="str">
            <v/>
          </cell>
          <cell r="H2581" t="str">
            <v/>
          </cell>
          <cell r="J2581" t="str">
            <v/>
          </cell>
          <cell r="N2581" t="str">
            <v/>
          </cell>
          <cell r="O2581" t="str">
            <v/>
          </cell>
          <cell r="P2581" t="str">
            <v/>
          </cell>
          <cell r="Q2581" t="str">
            <v/>
          </cell>
          <cell r="T2581" t="str">
            <v/>
          </cell>
          <cell r="U2581" t="str">
            <v/>
          </cell>
          <cell r="W2581" t="str">
            <v/>
          </cell>
          <cell r="X2581" t="str">
            <v/>
          </cell>
          <cell r="AB2581">
            <v>0</v>
          </cell>
          <cell r="AC2581">
            <v>0</v>
          </cell>
          <cell r="AD2581">
            <v>0</v>
          </cell>
          <cell r="AJ2581">
            <v>0</v>
          </cell>
          <cell r="AK2581">
            <v>0</v>
          </cell>
        </row>
        <row r="2582">
          <cell r="B2582" t="str">
            <v/>
          </cell>
          <cell r="H2582" t="str">
            <v/>
          </cell>
          <cell r="J2582" t="str">
            <v/>
          </cell>
          <cell r="N2582" t="str">
            <v/>
          </cell>
          <cell r="O2582" t="str">
            <v/>
          </cell>
          <cell r="P2582" t="str">
            <v/>
          </cell>
          <cell r="Q2582" t="str">
            <v/>
          </cell>
          <cell r="T2582" t="str">
            <v/>
          </cell>
          <cell r="U2582" t="str">
            <v/>
          </cell>
          <cell r="W2582" t="str">
            <v/>
          </cell>
          <cell r="X2582" t="str">
            <v/>
          </cell>
          <cell r="AB2582">
            <v>0</v>
          </cell>
          <cell r="AC2582">
            <v>0</v>
          </cell>
          <cell r="AD2582">
            <v>0</v>
          </cell>
          <cell r="AJ2582">
            <v>0</v>
          </cell>
          <cell r="AK2582">
            <v>0</v>
          </cell>
        </row>
        <row r="2583">
          <cell r="B2583" t="str">
            <v/>
          </cell>
          <cell r="H2583" t="str">
            <v/>
          </cell>
          <cell r="J2583" t="str">
            <v/>
          </cell>
          <cell r="N2583" t="str">
            <v/>
          </cell>
          <cell r="O2583" t="str">
            <v/>
          </cell>
          <cell r="P2583" t="str">
            <v/>
          </cell>
          <cell r="Q2583" t="str">
            <v/>
          </cell>
          <cell r="T2583" t="str">
            <v/>
          </cell>
          <cell r="U2583" t="str">
            <v/>
          </cell>
          <cell r="W2583" t="str">
            <v/>
          </cell>
          <cell r="X2583" t="str">
            <v/>
          </cell>
          <cell r="AB2583">
            <v>0</v>
          </cell>
          <cell r="AC2583">
            <v>0</v>
          </cell>
          <cell r="AD2583">
            <v>0</v>
          </cell>
          <cell r="AJ2583">
            <v>0</v>
          </cell>
          <cell r="AK2583">
            <v>0</v>
          </cell>
        </row>
        <row r="2584">
          <cell r="B2584" t="str">
            <v/>
          </cell>
          <cell r="H2584" t="str">
            <v/>
          </cell>
          <cell r="J2584" t="str">
            <v/>
          </cell>
          <cell r="N2584" t="str">
            <v/>
          </cell>
          <cell r="O2584" t="str">
            <v/>
          </cell>
          <cell r="P2584" t="str">
            <v/>
          </cell>
          <cell r="Q2584" t="str">
            <v/>
          </cell>
          <cell r="T2584" t="str">
            <v/>
          </cell>
          <cell r="U2584" t="str">
            <v/>
          </cell>
          <cell r="W2584" t="str">
            <v/>
          </cell>
          <cell r="X2584" t="str">
            <v/>
          </cell>
          <cell r="AB2584">
            <v>0</v>
          </cell>
          <cell r="AC2584">
            <v>0</v>
          </cell>
          <cell r="AD2584">
            <v>0</v>
          </cell>
          <cell r="AJ2584">
            <v>0</v>
          </cell>
          <cell r="AK2584">
            <v>0</v>
          </cell>
        </row>
        <row r="2585">
          <cell r="B2585" t="str">
            <v/>
          </cell>
          <cell r="H2585" t="str">
            <v/>
          </cell>
          <cell r="J2585" t="str">
            <v/>
          </cell>
          <cell r="N2585" t="str">
            <v/>
          </cell>
          <cell r="O2585" t="str">
            <v/>
          </cell>
          <cell r="P2585" t="str">
            <v/>
          </cell>
          <cell r="Q2585" t="str">
            <v/>
          </cell>
          <cell r="T2585" t="str">
            <v/>
          </cell>
          <cell r="U2585" t="str">
            <v/>
          </cell>
          <cell r="W2585" t="str">
            <v/>
          </cell>
          <cell r="X2585" t="str">
            <v/>
          </cell>
          <cell r="AB2585">
            <v>0</v>
          </cell>
          <cell r="AC2585">
            <v>0</v>
          </cell>
          <cell r="AD2585">
            <v>0</v>
          </cell>
          <cell r="AJ2585">
            <v>0</v>
          </cell>
          <cell r="AK2585">
            <v>0</v>
          </cell>
        </row>
        <row r="2586">
          <cell r="B2586" t="str">
            <v/>
          </cell>
          <cell r="H2586" t="str">
            <v/>
          </cell>
          <cell r="J2586" t="str">
            <v/>
          </cell>
          <cell r="N2586" t="str">
            <v/>
          </cell>
          <cell r="O2586" t="str">
            <v/>
          </cell>
          <cell r="P2586" t="str">
            <v/>
          </cell>
          <cell r="Q2586" t="str">
            <v/>
          </cell>
          <cell r="T2586" t="str">
            <v/>
          </cell>
          <cell r="U2586" t="str">
            <v/>
          </cell>
          <cell r="W2586" t="str">
            <v/>
          </cell>
          <cell r="X2586" t="str">
            <v/>
          </cell>
          <cell r="AB2586">
            <v>0</v>
          </cell>
          <cell r="AC2586">
            <v>0</v>
          </cell>
          <cell r="AD2586">
            <v>0</v>
          </cell>
          <cell r="AJ2586">
            <v>0</v>
          </cell>
          <cell r="AK2586">
            <v>0</v>
          </cell>
        </row>
        <row r="2587">
          <cell r="B2587" t="str">
            <v/>
          </cell>
          <cell r="H2587" t="str">
            <v/>
          </cell>
          <cell r="J2587" t="str">
            <v/>
          </cell>
          <cell r="N2587" t="str">
            <v/>
          </cell>
          <cell r="O2587" t="str">
            <v/>
          </cell>
          <cell r="P2587" t="str">
            <v/>
          </cell>
          <cell r="Q2587" t="str">
            <v/>
          </cell>
          <cell r="T2587" t="str">
            <v/>
          </cell>
          <cell r="U2587" t="str">
            <v/>
          </cell>
          <cell r="W2587" t="str">
            <v/>
          </cell>
          <cell r="X2587" t="str">
            <v/>
          </cell>
          <cell r="AB2587">
            <v>0</v>
          </cell>
          <cell r="AC2587">
            <v>0</v>
          </cell>
          <cell r="AD2587">
            <v>0</v>
          </cell>
          <cell r="AJ2587">
            <v>0</v>
          </cell>
          <cell r="AK2587">
            <v>0</v>
          </cell>
        </row>
        <row r="2588">
          <cell r="B2588" t="str">
            <v/>
          </cell>
          <cell r="H2588" t="str">
            <v/>
          </cell>
          <cell r="J2588" t="str">
            <v/>
          </cell>
          <cell r="N2588" t="str">
            <v/>
          </cell>
          <cell r="O2588" t="str">
            <v/>
          </cell>
          <cell r="P2588" t="str">
            <v/>
          </cell>
          <cell r="Q2588" t="str">
            <v/>
          </cell>
          <cell r="T2588" t="str">
            <v/>
          </cell>
          <cell r="U2588" t="str">
            <v/>
          </cell>
          <cell r="W2588" t="str">
            <v/>
          </cell>
          <cell r="X2588" t="str">
            <v/>
          </cell>
          <cell r="AB2588">
            <v>0</v>
          </cell>
          <cell r="AC2588">
            <v>0</v>
          </cell>
          <cell r="AD2588">
            <v>0</v>
          </cell>
          <cell r="AJ2588">
            <v>0</v>
          </cell>
          <cell r="AK2588">
            <v>0</v>
          </cell>
        </row>
        <row r="2589">
          <cell r="B2589" t="str">
            <v/>
          </cell>
          <cell r="H2589" t="str">
            <v/>
          </cell>
          <cell r="J2589" t="str">
            <v/>
          </cell>
          <cell r="N2589" t="str">
            <v/>
          </cell>
          <cell r="O2589" t="str">
            <v/>
          </cell>
          <cell r="P2589" t="str">
            <v/>
          </cell>
          <cell r="Q2589" t="str">
            <v/>
          </cell>
          <cell r="T2589" t="str">
            <v/>
          </cell>
          <cell r="U2589" t="str">
            <v/>
          </cell>
          <cell r="W2589" t="str">
            <v/>
          </cell>
          <cell r="X2589" t="str">
            <v/>
          </cell>
          <cell r="AB2589">
            <v>0</v>
          </cell>
          <cell r="AC2589">
            <v>0</v>
          </cell>
          <cell r="AD2589">
            <v>0</v>
          </cell>
          <cell r="AJ2589">
            <v>0</v>
          </cell>
          <cell r="AK2589">
            <v>0</v>
          </cell>
        </row>
        <row r="2590">
          <cell r="B2590" t="str">
            <v/>
          </cell>
          <cell r="H2590" t="str">
            <v/>
          </cell>
          <cell r="J2590" t="str">
            <v/>
          </cell>
          <cell r="N2590" t="str">
            <v/>
          </cell>
          <cell r="O2590" t="str">
            <v/>
          </cell>
          <cell r="P2590" t="str">
            <v/>
          </cell>
          <cell r="Q2590" t="str">
            <v/>
          </cell>
          <cell r="T2590" t="str">
            <v/>
          </cell>
          <cell r="U2590" t="str">
            <v/>
          </cell>
          <cell r="W2590" t="str">
            <v/>
          </cell>
          <cell r="X2590" t="str">
            <v/>
          </cell>
          <cell r="AB2590">
            <v>0</v>
          </cell>
          <cell r="AC2590">
            <v>0</v>
          </cell>
          <cell r="AD2590">
            <v>0</v>
          </cell>
          <cell r="AJ2590">
            <v>0</v>
          </cell>
          <cell r="AK2590">
            <v>0</v>
          </cell>
        </row>
        <row r="2591">
          <cell r="B2591" t="str">
            <v/>
          </cell>
          <cell r="H2591" t="str">
            <v/>
          </cell>
          <cell r="J2591" t="str">
            <v/>
          </cell>
          <cell r="N2591" t="str">
            <v/>
          </cell>
          <cell r="O2591" t="str">
            <v/>
          </cell>
          <cell r="P2591" t="str">
            <v/>
          </cell>
          <cell r="Q2591" t="str">
            <v/>
          </cell>
          <cell r="T2591" t="str">
            <v/>
          </cell>
          <cell r="U2591" t="str">
            <v/>
          </cell>
          <cell r="W2591" t="str">
            <v/>
          </cell>
          <cell r="X2591" t="str">
            <v/>
          </cell>
          <cell r="AB2591">
            <v>0</v>
          </cell>
          <cell r="AC2591">
            <v>0</v>
          </cell>
          <cell r="AD2591">
            <v>0</v>
          </cell>
          <cell r="AJ2591">
            <v>0</v>
          </cell>
          <cell r="AK2591">
            <v>0</v>
          </cell>
        </row>
        <row r="2592">
          <cell r="B2592" t="str">
            <v/>
          </cell>
          <cell r="H2592" t="str">
            <v/>
          </cell>
          <cell r="J2592" t="str">
            <v/>
          </cell>
          <cell r="N2592" t="str">
            <v/>
          </cell>
          <cell r="O2592" t="str">
            <v/>
          </cell>
          <cell r="P2592" t="str">
            <v/>
          </cell>
          <cell r="Q2592" t="str">
            <v/>
          </cell>
          <cell r="T2592" t="str">
            <v/>
          </cell>
          <cell r="U2592" t="str">
            <v/>
          </cell>
          <cell r="W2592" t="str">
            <v/>
          </cell>
          <cell r="X2592" t="str">
            <v/>
          </cell>
          <cell r="AB2592">
            <v>0</v>
          </cell>
          <cell r="AC2592">
            <v>0</v>
          </cell>
          <cell r="AD2592">
            <v>0</v>
          </cell>
          <cell r="AJ2592">
            <v>0</v>
          </cell>
          <cell r="AK2592">
            <v>0</v>
          </cell>
        </row>
        <row r="2593">
          <cell r="B2593" t="str">
            <v/>
          </cell>
          <cell r="H2593" t="str">
            <v/>
          </cell>
          <cell r="J2593" t="str">
            <v/>
          </cell>
          <cell r="N2593" t="str">
            <v/>
          </cell>
          <cell r="O2593" t="str">
            <v/>
          </cell>
          <cell r="P2593" t="str">
            <v/>
          </cell>
          <cell r="Q2593" t="str">
            <v/>
          </cell>
          <cell r="T2593" t="str">
            <v/>
          </cell>
          <cell r="U2593" t="str">
            <v/>
          </cell>
          <cell r="W2593" t="str">
            <v/>
          </cell>
          <cell r="X2593" t="str">
            <v/>
          </cell>
          <cell r="AB2593">
            <v>0</v>
          </cell>
          <cell r="AC2593">
            <v>0</v>
          </cell>
          <cell r="AD2593">
            <v>0</v>
          </cell>
          <cell r="AJ2593">
            <v>0</v>
          </cell>
          <cell r="AK2593">
            <v>0</v>
          </cell>
        </row>
        <row r="2594">
          <cell r="B2594" t="str">
            <v/>
          </cell>
          <cell r="H2594" t="str">
            <v/>
          </cell>
          <cell r="J2594" t="str">
            <v/>
          </cell>
          <cell r="N2594" t="str">
            <v/>
          </cell>
          <cell r="O2594" t="str">
            <v/>
          </cell>
          <cell r="P2594" t="str">
            <v/>
          </cell>
          <cell r="Q2594" t="str">
            <v/>
          </cell>
          <cell r="T2594" t="str">
            <v/>
          </cell>
          <cell r="U2594" t="str">
            <v/>
          </cell>
          <cell r="W2594" t="str">
            <v/>
          </cell>
          <cell r="X2594" t="str">
            <v/>
          </cell>
          <cell r="AB2594">
            <v>0</v>
          </cell>
          <cell r="AC2594">
            <v>0</v>
          </cell>
          <cell r="AD2594">
            <v>0</v>
          </cell>
          <cell r="AJ2594">
            <v>0</v>
          </cell>
          <cell r="AK2594">
            <v>0</v>
          </cell>
        </row>
        <row r="2595">
          <cell r="B2595" t="str">
            <v/>
          </cell>
          <cell r="H2595" t="str">
            <v/>
          </cell>
          <cell r="J2595" t="str">
            <v/>
          </cell>
          <cell r="N2595" t="str">
            <v/>
          </cell>
          <cell r="O2595" t="str">
            <v/>
          </cell>
          <cell r="P2595" t="str">
            <v/>
          </cell>
          <cell r="Q2595" t="str">
            <v/>
          </cell>
          <cell r="T2595" t="str">
            <v/>
          </cell>
          <cell r="U2595" t="str">
            <v/>
          </cell>
          <cell r="W2595" t="str">
            <v/>
          </cell>
          <cell r="X2595" t="str">
            <v/>
          </cell>
          <cell r="AB2595">
            <v>0</v>
          </cell>
          <cell r="AC2595">
            <v>0</v>
          </cell>
          <cell r="AD2595">
            <v>0</v>
          </cell>
          <cell r="AJ2595">
            <v>0</v>
          </cell>
          <cell r="AK2595">
            <v>0</v>
          </cell>
        </row>
        <row r="2596">
          <cell r="B2596" t="str">
            <v/>
          </cell>
          <cell r="H2596" t="str">
            <v/>
          </cell>
          <cell r="J2596" t="str">
            <v/>
          </cell>
          <cell r="N2596" t="str">
            <v/>
          </cell>
          <cell r="O2596" t="str">
            <v/>
          </cell>
          <cell r="P2596" t="str">
            <v/>
          </cell>
          <cell r="Q2596" t="str">
            <v/>
          </cell>
          <cell r="T2596" t="str">
            <v/>
          </cell>
          <cell r="U2596" t="str">
            <v/>
          </cell>
          <cell r="W2596" t="str">
            <v/>
          </cell>
          <cell r="X2596" t="str">
            <v/>
          </cell>
          <cell r="AB2596">
            <v>0</v>
          </cell>
          <cell r="AC2596">
            <v>0</v>
          </cell>
          <cell r="AD2596">
            <v>0</v>
          </cell>
          <cell r="AJ2596">
            <v>0</v>
          </cell>
          <cell r="AK2596">
            <v>0</v>
          </cell>
        </row>
        <row r="2597">
          <cell r="B2597" t="str">
            <v/>
          </cell>
          <cell r="H2597" t="str">
            <v/>
          </cell>
          <cell r="J2597" t="str">
            <v/>
          </cell>
          <cell r="N2597" t="str">
            <v/>
          </cell>
          <cell r="O2597" t="str">
            <v/>
          </cell>
          <cell r="P2597" t="str">
            <v/>
          </cell>
          <cell r="Q2597" t="str">
            <v/>
          </cell>
          <cell r="T2597" t="str">
            <v/>
          </cell>
          <cell r="U2597" t="str">
            <v/>
          </cell>
          <cell r="W2597" t="str">
            <v/>
          </cell>
          <cell r="X2597" t="str">
            <v/>
          </cell>
          <cell r="AB2597">
            <v>0</v>
          </cell>
          <cell r="AC2597">
            <v>0</v>
          </cell>
          <cell r="AD2597">
            <v>0</v>
          </cell>
          <cell r="AJ2597">
            <v>0</v>
          </cell>
          <cell r="AK2597">
            <v>0</v>
          </cell>
        </row>
        <row r="2598">
          <cell r="B2598" t="str">
            <v/>
          </cell>
          <cell r="H2598" t="str">
            <v/>
          </cell>
          <cell r="J2598" t="str">
            <v/>
          </cell>
          <cell r="N2598" t="str">
            <v/>
          </cell>
          <cell r="O2598" t="str">
            <v/>
          </cell>
          <cell r="P2598" t="str">
            <v/>
          </cell>
          <cell r="Q2598" t="str">
            <v/>
          </cell>
          <cell r="T2598" t="str">
            <v/>
          </cell>
          <cell r="U2598" t="str">
            <v/>
          </cell>
          <cell r="W2598" t="str">
            <v/>
          </cell>
          <cell r="X2598" t="str">
            <v/>
          </cell>
          <cell r="AB2598">
            <v>0</v>
          </cell>
          <cell r="AC2598">
            <v>0</v>
          </cell>
          <cell r="AD2598">
            <v>0</v>
          </cell>
          <cell r="AJ2598">
            <v>0</v>
          </cell>
          <cell r="AK2598">
            <v>0</v>
          </cell>
        </row>
        <row r="2599">
          <cell r="B2599" t="str">
            <v/>
          </cell>
          <cell r="H2599" t="str">
            <v/>
          </cell>
          <cell r="J2599" t="str">
            <v/>
          </cell>
          <cell r="N2599" t="str">
            <v/>
          </cell>
          <cell r="O2599" t="str">
            <v/>
          </cell>
          <cell r="P2599" t="str">
            <v/>
          </cell>
          <cell r="Q2599" t="str">
            <v/>
          </cell>
          <cell r="T2599" t="str">
            <v/>
          </cell>
          <cell r="U2599" t="str">
            <v/>
          </cell>
          <cell r="W2599" t="str">
            <v/>
          </cell>
          <cell r="X2599" t="str">
            <v/>
          </cell>
          <cell r="AB2599">
            <v>0</v>
          </cell>
          <cell r="AC2599">
            <v>0</v>
          </cell>
          <cell r="AD2599">
            <v>0</v>
          </cell>
          <cell r="AJ2599">
            <v>0</v>
          </cell>
          <cell r="AK2599">
            <v>0</v>
          </cell>
        </row>
        <row r="2600">
          <cell r="B2600" t="str">
            <v/>
          </cell>
          <cell r="H2600" t="str">
            <v/>
          </cell>
          <cell r="J2600" t="str">
            <v/>
          </cell>
          <cell r="N2600" t="str">
            <v/>
          </cell>
          <cell r="O2600" t="str">
            <v/>
          </cell>
          <cell r="P2600" t="str">
            <v/>
          </cell>
          <cell r="Q2600" t="str">
            <v/>
          </cell>
          <cell r="T2600" t="str">
            <v/>
          </cell>
          <cell r="U2600" t="str">
            <v/>
          </cell>
          <cell r="W2600" t="str">
            <v/>
          </cell>
          <cell r="X2600" t="str">
            <v/>
          </cell>
          <cell r="AB2600">
            <v>0</v>
          </cell>
          <cell r="AC2600">
            <v>0</v>
          </cell>
          <cell r="AD2600">
            <v>0</v>
          </cell>
          <cell r="AJ2600">
            <v>0</v>
          </cell>
          <cell r="AK2600">
            <v>0</v>
          </cell>
        </row>
        <row r="2601">
          <cell r="B2601" t="str">
            <v/>
          </cell>
          <cell r="H2601" t="str">
            <v/>
          </cell>
          <cell r="J2601" t="str">
            <v/>
          </cell>
          <cell r="N2601" t="str">
            <v/>
          </cell>
          <cell r="O2601" t="str">
            <v/>
          </cell>
          <cell r="P2601" t="str">
            <v/>
          </cell>
          <cell r="Q2601" t="str">
            <v/>
          </cell>
          <cell r="T2601" t="str">
            <v/>
          </cell>
          <cell r="U2601" t="str">
            <v/>
          </cell>
          <cell r="W2601" t="str">
            <v/>
          </cell>
          <cell r="X2601" t="str">
            <v/>
          </cell>
          <cell r="AB2601">
            <v>0</v>
          </cell>
          <cell r="AC2601">
            <v>0</v>
          </cell>
          <cell r="AD2601">
            <v>0</v>
          </cell>
          <cell r="AJ2601">
            <v>0</v>
          </cell>
          <cell r="AK2601">
            <v>0</v>
          </cell>
        </row>
        <row r="2602">
          <cell r="B2602" t="str">
            <v/>
          </cell>
          <cell r="H2602" t="str">
            <v/>
          </cell>
          <cell r="J2602" t="str">
            <v/>
          </cell>
          <cell r="N2602" t="str">
            <v/>
          </cell>
          <cell r="O2602" t="str">
            <v/>
          </cell>
          <cell r="P2602" t="str">
            <v/>
          </cell>
          <cell r="Q2602" t="str">
            <v/>
          </cell>
          <cell r="T2602" t="str">
            <v/>
          </cell>
          <cell r="U2602" t="str">
            <v/>
          </cell>
          <cell r="W2602" t="str">
            <v/>
          </cell>
          <cell r="X2602" t="str">
            <v/>
          </cell>
          <cell r="AB2602">
            <v>0</v>
          </cell>
          <cell r="AC2602">
            <v>0</v>
          </cell>
          <cell r="AD2602">
            <v>0</v>
          </cell>
          <cell r="AJ2602">
            <v>0</v>
          </cell>
          <cell r="AK2602">
            <v>0</v>
          </cell>
        </row>
        <row r="2603">
          <cell r="B2603" t="str">
            <v/>
          </cell>
          <cell r="H2603" t="str">
            <v/>
          </cell>
          <cell r="J2603" t="str">
            <v/>
          </cell>
          <cell r="N2603" t="str">
            <v/>
          </cell>
          <cell r="O2603" t="str">
            <v/>
          </cell>
          <cell r="P2603" t="str">
            <v/>
          </cell>
          <cell r="Q2603" t="str">
            <v/>
          </cell>
          <cell r="T2603" t="str">
            <v/>
          </cell>
          <cell r="U2603" t="str">
            <v/>
          </cell>
          <cell r="W2603" t="str">
            <v/>
          </cell>
          <cell r="X2603" t="str">
            <v/>
          </cell>
          <cell r="AB2603">
            <v>0</v>
          </cell>
          <cell r="AC2603">
            <v>0</v>
          </cell>
          <cell r="AD2603">
            <v>0</v>
          </cell>
          <cell r="AJ2603">
            <v>0</v>
          </cell>
          <cell r="AK2603">
            <v>0</v>
          </cell>
        </row>
        <row r="2604">
          <cell r="B2604" t="str">
            <v/>
          </cell>
          <cell r="H2604" t="str">
            <v/>
          </cell>
          <cell r="J2604" t="str">
            <v/>
          </cell>
          <cell r="N2604" t="str">
            <v/>
          </cell>
          <cell r="O2604" t="str">
            <v/>
          </cell>
          <cell r="P2604" t="str">
            <v/>
          </cell>
          <cell r="Q2604" t="str">
            <v/>
          </cell>
          <cell r="T2604" t="str">
            <v/>
          </cell>
          <cell r="U2604" t="str">
            <v/>
          </cell>
          <cell r="W2604" t="str">
            <v/>
          </cell>
          <cell r="X2604" t="str">
            <v/>
          </cell>
          <cell r="AB2604">
            <v>0</v>
          </cell>
          <cell r="AC2604">
            <v>0</v>
          </cell>
          <cell r="AD2604">
            <v>0</v>
          </cell>
          <cell r="AJ2604">
            <v>0</v>
          </cell>
          <cell r="AK2604">
            <v>0</v>
          </cell>
        </row>
        <row r="2605">
          <cell r="B2605" t="str">
            <v/>
          </cell>
          <cell r="H2605" t="str">
            <v/>
          </cell>
          <cell r="J2605" t="str">
            <v/>
          </cell>
          <cell r="N2605" t="str">
            <v/>
          </cell>
          <cell r="O2605" t="str">
            <v/>
          </cell>
          <cell r="P2605" t="str">
            <v/>
          </cell>
          <cell r="Q2605" t="str">
            <v/>
          </cell>
          <cell r="T2605" t="str">
            <v/>
          </cell>
          <cell r="U2605" t="str">
            <v/>
          </cell>
          <cell r="W2605" t="str">
            <v/>
          </cell>
          <cell r="X2605" t="str">
            <v/>
          </cell>
          <cell r="AB2605">
            <v>0</v>
          </cell>
          <cell r="AC2605">
            <v>0</v>
          </cell>
          <cell r="AD2605">
            <v>0</v>
          </cell>
          <cell r="AJ2605">
            <v>0</v>
          </cell>
          <cell r="AK2605">
            <v>0</v>
          </cell>
        </row>
        <row r="2606">
          <cell r="B2606" t="str">
            <v/>
          </cell>
          <cell r="H2606" t="str">
            <v/>
          </cell>
          <cell r="J2606" t="str">
            <v/>
          </cell>
          <cell r="N2606" t="str">
            <v/>
          </cell>
          <cell r="O2606" t="str">
            <v/>
          </cell>
          <cell r="P2606" t="str">
            <v/>
          </cell>
          <cell r="Q2606" t="str">
            <v/>
          </cell>
          <cell r="T2606" t="str">
            <v/>
          </cell>
          <cell r="U2606" t="str">
            <v/>
          </cell>
          <cell r="W2606" t="str">
            <v/>
          </cell>
          <cell r="X2606" t="str">
            <v/>
          </cell>
          <cell r="AB2606">
            <v>0</v>
          </cell>
          <cell r="AC2606">
            <v>0</v>
          </cell>
          <cell r="AD2606">
            <v>0</v>
          </cell>
          <cell r="AJ2606">
            <v>0</v>
          </cell>
          <cell r="AK2606">
            <v>0</v>
          </cell>
        </row>
        <row r="2607">
          <cell r="B2607" t="str">
            <v/>
          </cell>
          <cell r="H2607" t="str">
            <v/>
          </cell>
          <cell r="J2607" t="str">
            <v/>
          </cell>
          <cell r="N2607" t="str">
            <v/>
          </cell>
          <cell r="O2607" t="str">
            <v/>
          </cell>
          <cell r="P2607" t="str">
            <v/>
          </cell>
          <cell r="Q2607" t="str">
            <v/>
          </cell>
          <cell r="T2607" t="str">
            <v/>
          </cell>
          <cell r="U2607" t="str">
            <v/>
          </cell>
          <cell r="W2607" t="str">
            <v/>
          </cell>
          <cell r="X2607" t="str">
            <v/>
          </cell>
          <cell r="AB2607">
            <v>0</v>
          </cell>
          <cell r="AC2607">
            <v>0</v>
          </cell>
          <cell r="AD2607">
            <v>0</v>
          </cell>
          <cell r="AJ2607">
            <v>0</v>
          </cell>
          <cell r="AK2607">
            <v>0</v>
          </cell>
        </row>
        <row r="2608">
          <cell r="B2608" t="str">
            <v/>
          </cell>
          <cell r="H2608" t="str">
            <v/>
          </cell>
          <cell r="J2608" t="str">
            <v/>
          </cell>
          <cell r="N2608" t="str">
            <v/>
          </cell>
          <cell r="O2608" t="str">
            <v/>
          </cell>
          <cell r="P2608" t="str">
            <v/>
          </cell>
          <cell r="Q2608" t="str">
            <v/>
          </cell>
          <cell r="T2608" t="str">
            <v/>
          </cell>
          <cell r="U2608" t="str">
            <v/>
          </cell>
          <cell r="W2608" t="str">
            <v/>
          </cell>
          <cell r="X2608" t="str">
            <v/>
          </cell>
          <cell r="AB2608">
            <v>0</v>
          </cell>
          <cell r="AC2608">
            <v>0</v>
          </cell>
          <cell r="AD2608">
            <v>0</v>
          </cell>
          <cell r="AJ2608">
            <v>0</v>
          </cell>
          <cell r="AK2608">
            <v>0</v>
          </cell>
        </row>
        <row r="2609">
          <cell r="B2609" t="str">
            <v/>
          </cell>
          <cell r="H2609" t="str">
            <v/>
          </cell>
          <cell r="J2609" t="str">
            <v/>
          </cell>
          <cell r="N2609" t="str">
            <v/>
          </cell>
          <cell r="O2609" t="str">
            <v/>
          </cell>
          <cell r="P2609" t="str">
            <v/>
          </cell>
          <cell r="Q2609" t="str">
            <v/>
          </cell>
          <cell r="T2609" t="str">
            <v/>
          </cell>
          <cell r="U2609" t="str">
            <v/>
          </cell>
          <cell r="W2609" t="str">
            <v/>
          </cell>
          <cell r="X2609" t="str">
            <v/>
          </cell>
          <cell r="AB2609">
            <v>0</v>
          </cell>
          <cell r="AC2609">
            <v>0</v>
          </cell>
          <cell r="AD2609">
            <v>0</v>
          </cell>
          <cell r="AJ2609">
            <v>0</v>
          </cell>
          <cell r="AK2609">
            <v>0</v>
          </cell>
        </row>
        <row r="2610">
          <cell r="B2610" t="str">
            <v/>
          </cell>
          <cell r="H2610" t="str">
            <v/>
          </cell>
          <cell r="J2610" t="str">
            <v/>
          </cell>
          <cell r="N2610" t="str">
            <v/>
          </cell>
          <cell r="O2610" t="str">
            <v/>
          </cell>
          <cell r="P2610" t="str">
            <v/>
          </cell>
          <cell r="Q2610" t="str">
            <v/>
          </cell>
          <cell r="T2610" t="str">
            <v/>
          </cell>
          <cell r="U2610" t="str">
            <v/>
          </cell>
          <cell r="W2610" t="str">
            <v/>
          </cell>
          <cell r="X2610" t="str">
            <v/>
          </cell>
          <cell r="AB2610">
            <v>0</v>
          </cell>
          <cell r="AC2610">
            <v>0</v>
          </cell>
          <cell r="AD2610">
            <v>0</v>
          </cell>
          <cell r="AJ2610">
            <v>0</v>
          </cell>
          <cell r="AK2610">
            <v>0</v>
          </cell>
        </row>
        <row r="2611">
          <cell r="B2611" t="str">
            <v/>
          </cell>
          <cell r="H2611" t="str">
            <v/>
          </cell>
          <cell r="J2611" t="str">
            <v/>
          </cell>
          <cell r="N2611" t="str">
            <v/>
          </cell>
          <cell r="O2611" t="str">
            <v/>
          </cell>
          <cell r="P2611" t="str">
            <v/>
          </cell>
          <cell r="Q2611" t="str">
            <v/>
          </cell>
          <cell r="T2611" t="str">
            <v/>
          </cell>
          <cell r="U2611" t="str">
            <v/>
          </cell>
          <cell r="W2611" t="str">
            <v/>
          </cell>
          <cell r="X2611" t="str">
            <v/>
          </cell>
          <cell r="AB2611">
            <v>0</v>
          </cell>
          <cell r="AC2611">
            <v>0</v>
          </cell>
          <cell r="AD2611">
            <v>0</v>
          </cell>
          <cell r="AJ2611">
            <v>0</v>
          </cell>
          <cell r="AK2611">
            <v>0</v>
          </cell>
        </row>
        <row r="2612">
          <cell r="B2612" t="str">
            <v/>
          </cell>
          <cell r="H2612" t="str">
            <v/>
          </cell>
          <cell r="J2612" t="str">
            <v/>
          </cell>
          <cell r="N2612" t="str">
            <v/>
          </cell>
          <cell r="O2612" t="str">
            <v/>
          </cell>
          <cell r="P2612" t="str">
            <v/>
          </cell>
          <cell r="Q2612" t="str">
            <v/>
          </cell>
          <cell r="T2612" t="str">
            <v/>
          </cell>
          <cell r="U2612" t="str">
            <v/>
          </cell>
          <cell r="W2612" t="str">
            <v/>
          </cell>
          <cell r="X2612" t="str">
            <v/>
          </cell>
          <cell r="AB2612">
            <v>0</v>
          </cell>
          <cell r="AC2612">
            <v>0</v>
          </cell>
          <cell r="AD2612">
            <v>0</v>
          </cell>
          <cell r="AJ2612">
            <v>0</v>
          </cell>
          <cell r="AK2612">
            <v>0</v>
          </cell>
        </row>
        <row r="2613">
          <cell r="B2613" t="str">
            <v/>
          </cell>
          <cell r="H2613" t="str">
            <v/>
          </cell>
          <cell r="J2613" t="str">
            <v/>
          </cell>
          <cell r="N2613" t="str">
            <v/>
          </cell>
          <cell r="O2613" t="str">
            <v/>
          </cell>
          <cell r="P2613" t="str">
            <v/>
          </cell>
          <cell r="Q2613" t="str">
            <v/>
          </cell>
          <cell r="T2613" t="str">
            <v/>
          </cell>
          <cell r="U2613" t="str">
            <v/>
          </cell>
          <cell r="W2613" t="str">
            <v/>
          </cell>
          <cell r="X2613" t="str">
            <v/>
          </cell>
          <cell r="AB2613">
            <v>0</v>
          </cell>
          <cell r="AC2613">
            <v>0</v>
          </cell>
          <cell r="AD2613">
            <v>0</v>
          </cell>
          <cell r="AJ2613">
            <v>0</v>
          </cell>
          <cell r="AK2613">
            <v>0</v>
          </cell>
        </row>
        <row r="2614">
          <cell r="B2614" t="str">
            <v/>
          </cell>
          <cell r="H2614" t="str">
            <v/>
          </cell>
          <cell r="J2614" t="str">
            <v/>
          </cell>
          <cell r="N2614" t="str">
            <v/>
          </cell>
          <cell r="O2614" t="str">
            <v/>
          </cell>
          <cell r="P2614" t="str">
            <v/>
          </cell>
          <cell r="Q2614" t="str">
            <v/>
          </cell>
          <cell r="T2614" t="str">
            <v/>
          </cell>
          <cell r="U2614" t="str">
            <v/>
          </cell>
          <cell r="W2614" t="str">
            <v/>
          </cell>
          <cell r="X2614" t="str">
            <v/>
          </cell>
          <cell r="AB2614">
            <v>0</v>
          </cell>
          <cell r="AC2614">
            <v>0</v>
          </cell>
          <cell r="AD2614">
            <v>0</v>
          </cell>
          <cell r="AJ2614">
            <v>0</v>
          </cell>
          <cell r="AK2614">
            <v>0</v>
          </cell>
        </row>
        <row r="2615">
          <cell r="B2615" t="str">
            <v/>
          </cell>
          <cell r="H2615" t="str">
            <v/>
          </cell>
          <cell r="J2615" t="str">
            <v/>
          </cell>
          <cell r="N2615" t="str">
            <v/>
          </cell>
          <cell r="O2615" t="str">
            <v/>
          </cell>
          <cell r="P2615" t="str">
            <v/>
          </cell>
          <cell r="Q2615" t="str">
            <v/>
          </cell>
          <cell r="T2615" t="str">
            <v/>
          </cell>
          <cell r="U2615" t="str">
            <v/>
          </cell>
          <cell r="W2615" t="str">
            <v/>
          </cell>
          <cell r="X2615" t="str">
            <v/>
          </cell>
          <cell r="AB2615">
            <v>0</v>
          </cell>
          <cell r="AC2615">
            <v>0</v>
          </cell>
          <cell r="AD2615">
            <v>0</v>
          </cell>
          <cell r="AJ2615">
            <v>0</v>
          </cell>
          <cell r="AK2615">
            <v>0</v>
          </cell>
        </row>
        <row r="2616">
          <cell r="B2616" t="str">
            <v/>
          </cell>
          <cell r="H2616" t="str">
            <v/>
          </cell>
          <cell r="J2616" t="str">
            <v/>
          </cell>
          <cell r="N2616" t="str">
            <v/>
          </cell>
          <cell r="O2616" t="str">
            <v/>
          </cell>
          <cell r="P2616" t="str">
            <v/>
          </cell>
          <cell r="Q2616" t="str">
            <v/>
          </cell>
          <cell r="T2616" t="str">
            <v/>
          </cell>
          <cell r="U2616" t="str">
            <v/>
          </cell>
          <cell r="W2616" t="str">
            <v/>
          </cell>
          <cell r="X2616" t="str">
            <v/>
          </cell>
          <cell r="AB2616">
            <v>0</v>
          </cell>
          <cell r="AC2616">
            <v>0</v>
          </cell>
          <cell r="AD2616">
            <v>0</v>
          </cell>
          <cell r="AJ2616">
            <v>0</v>
          </cell>
          <cell r="AK2616">
            <v>0</v>
          </cell>
        </row>
        <row r="2617">
          <cell r="B2617" t="str">
            <v/>
          </cell>
          <cell r="H2617" t="str">
            <v/>
          </cell>
          <cell r="J2617" t="str">
            <v/>
          </cell>
          <cell r="N2617" t="str">
            <v/>
          </cell>
          <cell r="O2617" t="str">
            <v/>
          </cell>
          <cell r="P2617" t="str">
            <v/>
          </cell>
          <cell r="Q2617" t="str">
            <v/>
          </cell>
          <cell r="T2617" t="str">
            <v/>
          </cell>
          <cell r="U2617" t="str">
            <v/>
          </cell>
          <cell r="W2617" t="str">
            <v/>
          </cell>
          <cell r="X2617" t="str">
            <v/>
          </cell>
          <cell r="AB2617">
            <v>0</v>
          </cell>
          <cell r="AC2617">
            <v>0</v>
          </cell>
          <cell r="AD2617">
            <v>0</v>
          </cell>
          <cell r="AJ2617">
            <v>0</v>
          </cell>
          <cell r="AK2617">
            <v>0</v>
          </cell>
        </row>
        <row r="2618">
          <cell r="B2618" t="str">
            <v/>
          </cell>
          <cell r="H2618" t="str">
            <v/>
          </cell>
          <cell r="J2618" t="str">
            <v/>
          </cell>
          <cell r="N2618" t="str">
            <v/>
          </cell>
          <cell r="O2618" t="str">
            <v/>
          </cell>
          <cell r="P2618" t="str">
            <v/>
          </cell>
          <cell r="Q2618" t="str">
            <v/>
          </cell>
          <cell r="T2618" t="str">
            <v/>
          </cell>
          <cell r="U2618" t="str">
            <v/>
          </cell>
          <cell r="W2618" t="str">
            <v/>
          </cell>
          <cell r="X2618" t="str">
            <v/>
          </cell>
          <cell r="AB2618">
            <v>0</v>
          </cell>
          <cell r="AC2618">
            <v>0</v>
          </cell>
          <cell r="AD2618">
            <v>0</v>
          </cell>
          <cell r="AJ2618">
            <v>0</v>
          </cell>
          <cell r="AK2618">
            <v>0</v>
          </cell>
        </row>
        <row r="2619">
          <cell r="B2619" t="str">
            <v/>
          </cell>
          <cell r="H2619" t="str">
            <v/>
          </cell>
          <cell r="J2619" t="str">
            <v/>
          </cell>
          <cell r="N2619" t="str">
            <v/>
          </cell>
          <cell r="O2619" t="str">
            <v/>
          </cell>
          <cell r="P2619" t="str">
            <v/>
          </cell>
          <cell r="Q2619" t="str">
            <v/>
          </cell>
          <cell r="T2619" t="str">
            <v/>
          </cell>
          <cell r="U2619" t="str">
            <v/>
          </cell>
          <cell r="W2619" t="str">
            <v/>
          </cell>
          <cell r="X2619" t="str">
            <v/>
          </cell>
          <cell r="AB2619">
            <v>0</v>
          </cell>
          <cell r="AC2619">
            <v>0</v>
          </cell>
          <cell r="AD2619">
            <v>0</v>
          </cell>
          <cell r="AJ2619">
            <v>0</v>
          </cell>
          <cell r="AK2619">
            <v>0</v>
          </cell>
        </row>
        <row r="2620">
          <cell r="B2620" t="str">
            <v/>
          </cell>
          <cell r="H2620" t="str">
            <v/>
          </cell>
          <cell r="J2620" t="str">
            <v/>
          </cell>
          <cell r="N2620" t="str">
            <v/>
          </cell>
          <cell r="O2620" t="str">
            <v/>
          </cell>
          <cell r="P2620" t="str">
            <v/>
          </cell>
          <cell r="Q2620" t="str">
            <v/>
          </cell>
          <cell r="T2620" t="str">
            <v/>
          </cell>
          <cell r="U2620" t="str">
            <v/>
          </cell>
          <cell r="W2620" t="str">
            <v/>
          </cell>
          <cell r="X2620" t="str">
            <v/>
          </cell>
          <cell r="AB2620">
            <v>0</v>
          </cell>
          <cell r="AC2620">
            <v>0</v>
          </cell>
          <cell r="AD2620">
            <v>0</v>
          </cell>
          <cell r="AJ2620">
            <v>0</v>
          </cell>
          <cell r="AK2620">
            <v>0</v>
          </cell>
        </row>
        <row r="2621">
          <cell r="B2621" t="str">
            <v/>
          </cell>
          <cell r="H2621" t="str">
            <v/>
          </cell>
          <cell r="J2621" t="str">
            <v/>
          </cell>
          <cell r="N2621" t="str">
            <v/>
          </cell>
          <cell r="O2621" t="str">
            <v/>
          </cell>
          <cell r="P2621" t="str">
            <v/>
          </cell>
          <cell r="Q2621" t="str">
            <v/>
          </cell>
          <cell r="T2621" t="str">
            <v/>
          </cell>
          <cell r="U2621" t="str">
            <v/>
          </cell>
          <cell r="W2621" t="str">
            <v/>
          </cell>
          <cell r="X2621" t="str">
            <v/>
          </cell>
          <cell r="AB2621">
            <v>0</v>
          </cell>
          <cell r="AC2621">
            <v>0</v>
          </cell>
          <cell r="AD2621">
            <v>0</v>
          </cell>
          <cell r="AJ2621">
            <v>0</v>
          </cell>
          <cell r="AK2621">
            <v>0</v>
          </cell>
        </row>
        <row r="2622">
          <cell r="B2622" t="str">
            <v/>
          </cell>
          <cell r="H2622" t="str">
            <v/>
          </cell>
          <cell r="J2622" t="str">
            <v/>
          </cell>
          <cell r="N2622" t="str">
            <v/>
          </cell>
          <cell r="O2622" t="str">
            <v/>
          </cell>
          <cell r="P2622" t="str">
            <v/>
          </cell>
          <cell r="Q2622" t="str">
            <v/>
          </cell>
          <cell r="T2622" t="str">
            <v/>
          </cell>
          <cell r="U2622" t="str">
            <v/>
          </cell>
          <cell r="W2622" t="str">
            <v/>
          </cell>
          <cell r="X2622" t="str">
            <v/>
          </cell>
          <cell r="AB2622">
            <v>0</v>
          </cell>
          <cell r="AC2622">
            <v>0</v>
          </cell>
          <cell r="AD2622">
            <v>0</v>
          </cell>
          <cell r="AJ2622">
            <v>0</v>
          </cell>
          <cell r="AK2622">
            <v>0</v>
          </cell>
        </row>
        <row r="2623">
          <cell r="B2623" t="str">
            <v/>
          </cell>
          <cell r="H2623" t="str">
            <v/>
          </cell>
          <cell r="J2623" t="str">
            <v/>
          </cell>
          <cell r="N2623" t="str">
            <v/>
          </cell>
          <cell r="O2623" t="str">
            <v/>
          </cell>
          <cell r="P2623" t="str">
            <v/>
          </cell>
          <cell r="Q2623" t="str">
            <v/>
          </cell>
          <cell r="T2623" t="str">
            <v/>
          </cell>
          <cell r="U2623" t="str">
            <v/>
          </cell>
          <cell r="W2623" t="str">
            <v/>
          </cell>
          <cell r="X2623" t="str">
            <v/>
          </cell>
          <cell r="AB2623">
            <v>0</v>
          </cell>
          <cell r="AC2623">
            <v>0</v>
          </cell>
          <cell r="AD2623">
            <v>0</v>
          </cell>
          <cell r="AJ2623">
            <v>0</v>
          </cell>
          <cell r="AK2623">
            <v>0</v>
          </cell>
        </row>
        <row r="2624">
          <cell r="B2624" t="str">
            <v/>
          </cell>
          <cell r="H2624" t="str">
            <v/>
          </cell>
          <cell r="J2624" t="str">
            <v/>
          </cell>
          <cell r="N2624" t="str">
            <v/>
          </cell>
          <cell r="O2624" t="str">
            <v/>
          </cell>
          <cell r="P2624" t="str">
            <v/>
          </cell>
          <cell r="Q2624" t="str">
            <v/>
          </cell>
          <cell r="T2624" t="str">
            <v/>
          </cell>
          <cell r="U2624" t="str">
            <v/>
          </cell>
          <cell r="W2624" t="str">
            <v/>
          </cell>
          <cell r="X2624" t="str">
            <v/>
          </cell>
          <cell r="AB2624">
            <v>0</v>
          </cell>
          <cell r="AC2624">
            <v>0</v>
          </cell>
          <cell r="AD2624">
            <v>0</v>
          </cell>
          <cell r="AJ2624">
            <v>0</v>
          </cell>
          <cell r="AK2624">
            <v>0</v>
          </cell>
        </row>
        <row r="2625">
          <cell r="B2625" t="str">
            <v/>
          </cell>
          <cell r="H2625" t="str">
            <v/>
          </cell>
          <cell r="J2625" t="str">
            <v/>
          </cell>
          <cell r="N2625" t="str">
            <v/>
          </cell>
          <cell r="O2625" t="str">
            <v/>
          </cell>
          <cell r="P2625" t="str">
            <v/>
          </cell>
          <cell r="Q2625" t="str">
            <v/>
          </cell>
          <cell r="T2625" t="str">
            <v/>
          </cell>
          <cell r="U2625" t="str">
            <v/>
          </cell>
          <cell r="W2625" t="str">
            <v/>
          </cell>
          <cell r="X2625" t="str">
            <v/>
          </cell>
          <cell r="AB2625">
            <v>0</v>
          </cell>
          <cell r="AC2625">
            <v>0</v>
          </cell>
          <cell r="AD2625">
            <v>0</v>
          </cell>
          <cell r="AJ2625">
            <v>0</v>
          </cell>
          <cell r="AK2625">
            <v>0</v>
          </cell>
        </row>
        <row r="2626">
          <cell r="B2626" t="str">
            <v/>
          </cell>
          <cell r="H2626" t="str">
            <v/>
          </cell>
          <cell r="J2626" t="str">
            <v/>
          </cell>
          <cell r="N2626" t="str">
            <v/>
          </cell>
          <cell r="O2626" t="str">
            <v/>
          </cell>
          <cell r="P2626" t="str">
            <v/>
          </cell>
          <cell r="Q2626" t="str">
            <v/>
          </cell>
          <cell r="T2626" t="str">
            <v/>
          </cell>
          <cell r="U2626" t="str">
            <v/>
          </cell>
          <cell r="W2626" t="str">
            <v/>
          </cell>
          <cell r="X2626" t="str">
            <v/>
          </cell>
          <cell r="AB2626">
            <v>0</v>
          </cell>
          <cell r="AC2626">
            <v>0</v>
          </cell>
          <cell r="AD2626">
            <v>0</v>
          </cell>
          <cell r="AJ2626">
            <v>0</v>
          </cell>
          <cell r="AK2626">
            <v>0</v>
          </cell>
        </row>
        <row r="2627">
          <cell r="B2627" t="str">
            <v/>
          </cell>
          <cell r="H2627" t="str">
            <v/>
          </cell>
          <cell r="J2627" t="str">
            <v/>
          </cell>
          <cell r="N2627" t="str">
            <v/>
          </cell>
          <cell r="O2627" t="str">
            <v/>
          </cell>
          <cell r="P2627" t="str">
            <v/>
          </cell>
          <cell r="Q2627" t="str">
            <v/>
          </cell>
          <cell r="T2627" t="str">
            <v/>
          </cell>
          <cell r="U2627" t="str">
            <v/>
          </cell>
          <cell r="W2627" t="str">
            <v/>
          </cell>
          <cell r="X2627" t="str">
            <v/>
          </cell>
          <cell r="AB2627">
            <v>0</v>
          </cell>
          <cell r="AC2627">
            <v>0</v>
          </cell>
          <cell r="AD2627">
            <v>0</v>
          </cell>
          <cell r="AJ2627">
            <v>0</v>
          </cell>
          <cell r="AK2627">
            <v>0</v>
          </cell>
        </row>
        <row r="2628">
          <cell r="B2628" t="str">
            <v/>
          </cell>
          <cell r="H2628" t="str">
            <v/>
          </cell>
          <cell r="J2628" t="str">
            <v/>
          </cell>
          <cell r="N2628" t="str">
            <v/>
          </cell>
          <cell r="O2628" t="str">
            <v/>
          </cell>
          <cell r="P2628" t="str">
            <v/>
          </cell>
          <cell r="Q2628" t="str">
            <v/>
          </cell>
          <cell r="T2628" t="str">
            <v/>
          </cell>
          <cell r="U2628" t="str">
            <v/>
          </cell>
          <cell r="W2628" t="str">
            <v/>
          </cell>
          <cell r="X2628" t="str">
            <v/>
          </cell>
          <cell r="AB2628">
            <v>0</v>
          </cell>
          <cell r="AC2628">
            <v>0</v>
          </cell>
          <cell r="AD2628">
            <v>0</v>
          </cell>
          <cell r="AJ2628">
            <v>0</v>
          </cell>
          <cell r="AK2628">
            <v>0</v>
          </cell>
        </row>
        <row r="2629">
          <cell r="B2629" t="str">
            <v/>
          </cell>
          <cell r="H2629" t="str">
            <v/>
          </cell>
          <cell r="J2629" t="str">
            <v/>
          </cell>
          <cell r="N2629" t="str">
            <v/>
          </cell>
          <cell r="O2629" t="str">
            <v/>
          </cell>
          <cell r="P2629" t="str">
            <v/>
          </cell>
          <cell r="Q2629" t="str">
            <v/>
          </cell>
          <cell r="T2629" t="str">
            <v/>
          </cell>
          <cell r="U2629" t="str">
            <v/>
          </cell>
          <cell r="W2629" t="str">
            <v/>
          </cell>
          <cell r="X2629" t="str">
            <v/>
          </cell>
          <cell r="AB2629">
            <v>0</v>
          </cell>
          <cell r="AC2629">
            <v>0</v>
          </cell>
          <cell r="AD2629">
            <v>0</v>
          </cell>
          <cell r="AJ2629">
            <v>0</v>
          </cell>
          <cell r="AK2629">
            <v>0</v>
          </cell>
        </row>
        <row r="2630">
          <cell r="B2630" t="str">
            <v/>
          </cell>
          <cell r="H2630" t="str">
            <v/>
          </cell>
          <cell r="J2630" t="str">
            <v/>
          </cell>
          <cell r="N2630" t="str">
            <v/>
          </cell>
          <cell r="O2630" t="str">
            <v/>
          </cell>
          <cell r="P2630" t="str">
            <v/>
          </cell>
          <cell r="Q2630" t="str">
            <v/>
          </cell>
          <cell r="T2630" t="str">
            <v/>
          </cell>
          <cell r="U2630" t="str">
            <v/>
          </cell>
          <cell r="W2630" t="str">
            <v/>
          </cell>
          <cell r="X2630" t="str">
            <v/>
          </cell>
          <cell r="AB2630">
            <v>0</v>
          </cell>
          <cell r="AC2630">
            <v>0</v>
          </cell>
          <cell r="AD2630">
            <v>0</v>
          </cell>
          <cell r="AJ2630">
            <v>0</v>
          </cell>
          <cell r="AK2630">
            <v>0</v>
          </cell>
        </row>
        <row r="2631">
          <cell r="B2631" t="str">
            <v/>
          </cell>
          <cell r="H2631" t="str">
            <v/>
          </cell>
          <cell r="J2631" t="str">
            <v/>
          </cell>
          <cell r="N2631" t="str">
            <v/>
          </cell>
          <cell r="O2631" t="str">
            <v/>
          </cell>
          <cell r="P2631" t="str">
            <v/>
          </cell>
          <cell r="Q2631" t="str">
            <v/>
          </cell>
          <cell r="T2631" t="str">
            <v/>
          </cell>
          <cell r="U2631" t="str">
            <v/>
          </cell>
          <cell r="W2631" t="str">
            <v/>
          </cell>
          <cell r="X2631" t="str">
            <v/>
          </cell>
          <cell r="AB2631">
            <v>0</v>
          </cell>
          <cell r="AC2631">
            <v>0</v>
          </cell>
          <cell r="AD2631">
            <v>0</v>
          </cell>
          <cell r="AJ2631">
            <v>0</v>
          </cell>
          <cell r="AK2631">
            <v>0</v>
          </cell>
        </row>
        <row r="2632">
          <cell r="B2632" t="str">
            <v/>
          </cell>
          <cell r="H2632" t="str">
            <v/>
          </cell>
          <cell r="J2632" t="str">
            <v/>
          </cell>
          <cell r="N2632" t="str">
            <v/>
          </cell>
          <cell r="O2632" t="str">
            <v/>
          </cell>
          <cell r="P2632" t="str">
            <v/>
          </cell>
          <cell r="Q2632" t="str">
            <v/>
          </cell>
          <cell r="T2632" t="str">
            <v/>
          </cell>
          <cell r="U2632" t="str">
            <v/>
          </cell>
          <cell r="W2632" t="str">
            <v/>
          </cell>
          <cell r="X2632" t="str">
            <v/>
          </cell>
          <cell r="AB2632">
            <v>0</v>
          </cell>
          <cell r="AC2632">
            <v>0</v>
          </cell>
          <cell r="AD2632">
            <v>0</v>
          </cell>
          <cell r="AJ2632">
            <v>0</v>
          </cell>
          <cell r="AK2632">
            <v>0</v>
          </cell>
        </row>
        <row r="2633">
          <cell r="B2633" t="str">
            <v/>
          </cell>
          <cell r="H2633" t="str">
            <v/>
          </cell>
          <cell r="J2633" t="str">
            <v/>
          </cell>
          <cell r="N2633" t="str">
            <v/>
          </cell>
          <cell r="O2633" t="str">
            <v/>
          </cell>
          <cell r="P2633" t="str">
            <v/>
          </cell>
          <cell r="Q2633" t="str">
            <v/>
          </cell>
          <cell r="T2633" t="str">
            <v/>
          </cell>
          <cell r="U2633" t="str">
            <v/>
          </cell>
          <cell r="W2633" t="str">
            <v/>
          </cell>
          <cell r="X2633" t="str">
            <v/>
          </cell>
          <cell r="AB2633">
            <v>0</v>
          </cell>
          <cell r="AC2633">
            <v>0</v>
          </cell>
          <cell r="AD2633">
            <v>0</v>
          </cell>
          <cell r="AJ2633">
            <v>0</v>
          </cell>
          <cell r="AK2633">
            <v>0</v>
          </cell>
        </row>
        <row r="2634">
          <cell r="B2634" t="str">
            <v/>
          </cell>
          <cell r="H2634" t="str">
            <v/>
          </cell>
          <cell r="J2634" t="str">
            <v/>
          </cell>
          <cell r="N2634" t="str">
            <v/>
          </cell>
          <cell r="O2634" t="str">
            <v/>
          </cell>
          <cell r="P2634" t="str">
            <v/>
          </cell>
          <cell r="Q2634" t="str">
            <v/>
          </cell>
          <cell r="T2634" t="str">
            <v/>
          </cell>
          <cell r="U2634" t="str">
            <v/>
          </cell>
          <cell r="W2634" t="str">
            <v/>
          </cell>
          <cell r="X2634" t="str">
            <v/>
          </cell>
          <cell r="AB2634">
            <v>0</v>
          </cell>
          <cell r="AC2634">
            <v>0</v>
          </cell>
          <cell r="AD2634">
            <v>0</v>
          </cell>
          <cell r="AJ2634">
            <v>0</v>
          </cell>
          <cell r="AK2634">
            <v>0</v>
          </cell>
        </row>
        <row r="2635">
          <cell r="B2635" t="str">
            <v/>
          </cell>
          <cell r="H2635" t="str">
            <v/>
          </cell>
          <cell r="J2635" t="str">
            <v/>
          </cell>
          <cell r="N2635" t="str">
            <v/>
          </cell>
          <cell r="O2635" t="str">
            <v/>
          </cell>
          <cell r="P2635" t="str">
            <v/>
          </cell>
          <cell r="Q2635" t="str">
            <v/>
          </cell>
          <cell r="T2635" t="str">
            <v/>
          </cell>
          <cell r="U2635" t="str">
            <v/>
          </cell>
          <cell r="W2635" t="str">
            <v/>
          </cell>
          <cell r="X2635" t="str">
            <v/>
          </cell>
          <cell r="AB2635">
            <v>0</v>
          </cell>
          <cell r="AC2635">
            <v>0</v>
          </cell>
          <cell r="AD2635">
            <v>0</v>
          </cell>
          <cell r="AJ2635">
            <v>0</v>
          </cell>
          <cell r="AK2635">
            <v>0</v>
          </cell>
        </row>
        <row r="2636">
          <cell r="B2636" t="str">
            <v/>
          </cell>
          <cell r="H2636" t="str">
            <v/>
          </cell>
          <cell r="J2636" t="str">
            <v/>
          </cell>
          <cell r="N2636" t="str">
            <v/>
          </cell>
          <cell r="O2636" t="str">
            <v/>
          </cell>
          <cell r="P2636" t="str">
            <v/>
          </cell>
          <cell r="Q2636" t="str">
            <v/>
          </cell>
          <cell r="T2636" t="str">
            <v/>
          </cell>
          <cell r="U2636" t="str">
            <v/>
          </cell>
          <cell r="W2636" t="str">
            <v/>
          </cell>
          <cell r="X2636" t="str">
            <v/>
          </cell>
          <cell r="AB2636">
            <v>0</v>
          </cell>
          <cell r="AC2636">
            <v>0</v>
          </cell>
          <cell r="AD2636">
            <v>0</v>
          </cell>
          <cell r="AJ2636">
            <v>0</v>
          </cell>
          <cell r="AK2636">
            <v>0</v>
          </cell>
        </row>
        <row r="2637">
          <cell r="B2637" t="str">
            <v/>
          </cell>
          <cell r="H2637" t="str">
            <v/>
          </cell>
          <cell r="J2637" t="str">
            <v/>
          </cell>
          <cell r="N2637" t="str">
            <v/>
          </cell>
          <cell r="O2637" t="str">
            <v/>
          </cell>
          <cell r="P2637" t="str">
            <v/>
          </cell>
          <cell r="Q2637" t="str">
            <v/>
          </cell>
          <cell r="T2637" t="str">
            <v/>
          </cell>
          <cell r="U2637" t="str">
            <v/>
          </cell>
          <cell r="W2637" t="str">
            <v/>
          </cell>
          <cell r="X2637" t="str">
            <v/>
          </cell>
          <cell r="AB2637">
            <v>0</v>
          </cell>
          <cell r="AC2637">
            <v>0</v>
          </cell>
          <cell r="AD2637">
            <v>0</v>
          </cell>
          <cell r="AJ2637">
            <v>0</v>
          </cell>
          <cell r="AK2637">
            <v>0</v>
          </cell>
        </row>
        <row r="2638">
          <cell r="B2638" t="str">
            <v/>
          </cell>
          <cell r="H2638" t="str">
            <v/>
          </cell>
          <cell r="J2638" t="str">
            <v/>
          </cell>
          <cell r="N2638" t="str">
            <v/>
          </cell>
          <cell r="O2638" t="str">
            <v/>
          </cell>
          <cell r="P2638" t="str">
            <v/>
          </cell>
          <cell r="Q2638" t="str">
            <v/>
          </cell>
          <cell r="T2638" t="str">
            <v/>
          </cell>
          <cell r="U2638" t="str">
            <v/>
          </cell>
          <cell r="W2638" t="str">
            <v/>
          </cell>
          <cell r="X2638" t="str">
            <v/>
          </cell>
          <cell r="AB2638">
            <v>0</v>
          </cell>
          <cell r="AC2638">
            <v>0</v>
          </cell>
          <cell r="AD2638">
            <v>0</v>
          </cell>
          <cell r="AJ2638">
            <v>0</v>
          </cell>
          <cell r="AK2638">
            <v>0</v>
          </cell>
        </row>
        <row r="2639">
          <cell r="B2639" t="str">
            <v/>
          </cell>
          <cell r="H2639" t="str">
            <v/>
          </cell>
          <cell r="J2639" t="str">
            <v/>
          </cell>
          <cell r="N2639" t="str">
            <v/>
          </cell>
          <cell r="O2639" t="str">
            <v/>
          </cell>
          <cell r="P2639" t="str">
            <v/>
          </cell>
          <cell r="Q2639" t="str">
            <v/>
          </cell>
          <cell r="T2639" t="str">
            <v/>
          </cell>
          <cell r="U2639" t="str">
            <v/>
          </cell>
          <cell r="W2639" t="str">
            <v/>
          </cell>
          <cell r="X2639" t="str">
            <v/>
          </cell>
          <cell r="AB2639">
            <v>0</v>
          </cell>
          <cell r="AC2639">
            <v>0</v>
          </cell>
          <cell r="AD2639">
            <v>0</v>
          </cell>
          <cell r="AJ2639">
            <v>0</v>
          </cell>
          <cell r="AK2639">
            <v>0</v>
          </cell>
        </row>
        <row r="2640">
          <cell r="B2640" t="str">
            <v/>
          </cell>
          <cell r="H2640" t="str">
            <v/>
          </cell>
          <cell r="J2640" t="str">
            <v/>
          </cell>
          <cell r="N2640" t="str">
            <v/>
          </cell>
          <cell r="O2640" t="str">
            <v/>
          </cell>
          <cell r="P2640" t="str">
            <v/>
          </cell>
          <cell r="Q2640" t="str">
            <v/>
          </cell>
          <cell r="T2640" t="str">
            <v/>
          </cell>
          <cell r="U2640" t="str">
            <v/>
          </cell>
          <cell r="W2640" t="str">
            <v/>
          </cell>
          <cell r="X2640" t="str">
            <v/>
          </cell>
          <cell r="AB2640">
            <v>0</v>
          </cell>
          <cell r="AC2640">
            <v>0</v>
          </cell>
          <cell r="AD2640">
            <v>0</v>
          </cell>
          <cell r="AJ2640">
            <v>0</v>
          </cell>
          <cell r="AK2640">
            <v>0</v>
          </cell>
        </row>
        <row r="2641">
          <cell r="B2641" t="str">
            <v/>
          </cell>
          <cell r="H2641" t="str">
            <v/>
          </cell>
          <cell r="J2641" t="str">
            <v/>
          </cell>
          <cell r="N2641" t="str">
            <v/>
          </cell>
          <cell r="O2641" t="str">
            <v/>
          </cell>
          <cell r="P2641" t="str">
            <v/>
          </cell>
          <cell r="Q2641" t="str">
            <v/>
          </cell>
          <cell r="T2641" t="str">
            <v/>
          </cell>
          <cell r="U2641" t="str">
            <v/>
          </cell>
          <cell r="W2641" t="str">
            <v/>
          </cell>
          <cell r="X2641" t="str">
            <v/>
          </cell>
          <cell r="AB2641">
            <v>0</v>
          </cell>
          <cell r="AC2641">
            <v>0</v>
          </cell>
          <cell r="AD2641">
            <v>0</v>
          </cell>
          <cell r="AJ2641">
            <v>0</v>
          </cell>
          <cell r="AK2641">
            <v>0</v>
          </cell>
        </row>
        <row r="2642">
          <cell r="B2642" t="str">
            <v/>
          </cell>
          <cell r="H2642" t="str">
            <v/>
          </cell>
          <cell r="J2642" t="str">
            <v/>
          </cell>
          <cell r="N2642" t="str">
            <v/>
          </cell>
          <cell r="O2642" t="str">
            <v/>
          </cell>
          <cell r="P2642" t="str">
            <v/>
          </cell>
          <cell r="Q2642" t="str">
            <v/>
          </cell>
          <cell r="T2642" t="str">
            <v/>
          </cell>
          <cell r="U2642" t="str">
            <v/>
          </cell>
          <cell r="W2642" t="str">
            <v/>
          </cell>
          <cell r="X2642" t="str">
            <v/>
          </cell>
          <cell r="AB2642">
            <v>0</v>
          </cell>
          <cell r="AC2642">
            <v>0</v>
          </cell>
          <cell r="AD2642">
            <v>0</v>
          </cell>
          <cell r="AJ2642">
            <v>0</v>
          </cell>
          <cell r="AK2642">
            <v>0</v>
          </cell>
        </row>
        <row r="2643">
          <cell r="B2643" t="str">
            <v/>
          </cell>
          <cell r="H2643" t="str">
            <v/>
          </cell>
          <cell r="J2643" t="str">
            <v/>
          </cell>
          <cell r="N2643" t="str">
            <v/>
          </cell>
          <cell r="O2643" t="str">
            <v/>
          </cell>
          <cell r="P2643" t="str">
            <v/>
          </cell>
          <cell r="Q2643" t="str">
            <v/>
          </cell>
          <cell r="T2643" t="str">
            <v/>
          </cell>
          <cell r="U2643" t="str">
            <v/>
          </cell>
          <cell r="W2643" t="str">
            <v/>
          </cell>
          <cell r="X2643" t="str">
            <v/>
          </cell>
          <cell r="AB2643">
            <v>0</v>
          </cell>
          <cell r="AC2643">
            <v>0</v>
          </cell>
          <cell r="AD2643">
            <v>0</v>
          </cell>
          <cell r="AJ2643">
            <v>0</v>
          </cell>
          <cell r="AK2643">
            <v>0</v>
          </cell>
        </row>
        <row r="2644">
          <cell r="B2644" t="str">
            <v/>
          </cell>
          <cell r="H2644" t="str">
            <v/>
          </cell>
          <cell r="J2644" t="str">
            <v/>
          </cell>
          <cell r="N2644" t="str">
            <v/>
          </cell>
          <cell r="O2644" t="str">
            <v/>
          </cell>
          <cell r="P2644" t="str">
            <v/>
          </cell>
          <cell r="Q2644" t="str">
            <v/>
          </cell>
          <cell r="T2644" t="str">
            <v/>
          </cell>
          <cell r="U2644" t="str">
            <v/>
          </cell>
          <cell r="W2644" t="str">
            <v/>
          </cell>
          <cell r="X2644" t="str">
            <v/>
          </cell>
          <cell r="AB2644">
            <v>0</v>
          </cell>
          <cell r="AC2644">
            <v>0</v>
          </cell>
          <cell r="AD2644">
            <v>0</v>
          </cell>
          <cell r="AJ2644">
            <v>0</v>
          </cell>
          <cell r="AK2644">
            <v>0</v>
          </cell>
        </row>
        <row r="2645">
          <cell r="B2645" t="str">
            <v/>
          </cell>
          <cell r="H2645" t="str">
            <v/>
          </cell>
          <cell r="J2645" t="str">
            <v/>
          </cell>
          <cell r="N2645" t="str">
            <v/>
          </cell>
          <cell r="O2645" t="str">
            <v/>
          </cell>
          <cell r="P2645" t="str">
            <v/>
          </cell>
          <cell r="Q2645" t="str">
            <v/>
          </cell>
          <cell r="T2645" t="str">
            <v/>
          </cell>
          <cell r="U2645" t="str">
            <v/>
          </cell>
          <cell r="W2645" t="str">
            <v/>
          </cell>
          <cell r="X2645" t="str">
            <v/>
          </cell>
          <cell r="AB2645">
            <v>0</v>
          </cell>
          <cell r="AC2645">
            <v>0</v>
          </cell>
          <cell r="AD2645">
            <v>0</v>
          </cell>
          <cell r="AJ2645">
            <v>0</v>
          </cell>
          <cell r="AK2645">
            <v>0</v>
          </cell>
        </row>
        <row r="2646">
          <cell r="B2646" t="str">
            <v/>
          </cell>
          <cell r="H2646" t="str">
            <v/>
          </cell>
          <cell r="J2646" t="str">
            <v/>
          </cell>
          <cell r="N2646" t="str">
            <v/>
          </cell>
          <cell r="O2646" t="str">
            <v/>
          </cell>
          <cell r="P2646" t="str">
            <v/>
          </cell>
          <cell r="Q2646" t="str">
            <v/>
          </cell>
          <cell r="T2646" t="str">
            <v/>
          </cell>
          <cell r="U2646" t="str">
            <v/>
          </cell>
          <cell r="W2646" t="str">
            <v/>
          </cell>
          <cell r="X2646" t="str">
            <v/>
          </cell>
          <cell r="AB2646">
            <v>0</v>
          </cell>
          <cell r="AC2646">
            <v>0</v>
          </cell>
          <cell r="AD2646">
            <v>0</v>
          </cell>
          <cell r="AJ2646">
            <v>0</v>
          </cell>
          <cell r="AK2646">
            <v>0</v>
          </cell>
        </row>
        <row r="2647">
          <cell r="B2647" t="str">
            <v/>
          </cell>
          <cell r="H2647" t="str">
            <v/>
          </cell>
          <cell r="J2647" t="str">
            <v/>
          </cell>
          <cell r="N2647" t="str">
            <v/>
          </cell>
          <cell r="O2647" t="str">
            <v/>
          </cell>
          <cell r="P2647" t="str">
            <v/>
          </cell>
          <cell r="Q2647" t="str">
            <v/>
          </cell>
          <cell r="T2647" t="str">
            <v/>
          </cell>
          <cell r="U2647" t="str">
            <v/>
          </cell>
          <cell r="W2647" t="str">
            <v/>
          </cell>
          <cell r="X2647" t="str">
            <v/>
          </cell>
          <cell r="AB2647">
            <v>0</v>
          </cell>
          <cell r="AC2647">
            <v>0</v>
          </cell>
          <cell r="AD2647">
            <v>0</v>
          </cell>
          <cell r="AJ2647">
            <v>0</v>
          </cell>
          <cell r="AK2647">
            <v>0</v>
          </cell>
        </row>
        <row r="2648">
          <cell r="B2648" t="str">
            <v/>
          </cell>
          <cell r="H2648" t="str">
            <v/>
          </cell>
          <cell r="J2648" t="str">
            <v/>
          </cell>
          <cell r="N2648" t="str">
            <v/>
          </cell>
          <cell r="O2648" t="str">
            <v/>
          </cell>
          <cell r="P2648" t="str">
            <v/>
          </cell>
          <cell r="Q2648" t="str">
            <v/>
          </cell>
          <cell r="T2648" t="str">
            <v/>
          </cell>
          <cell r="U2648" t="str">
            <v/>
          </cell>
          <cell r="W2648" t="str">
            <v/>
          </cell>
          <cell r="X2648" t="str">
            <v/>
          </cell>
          <cell r="AB2648">
            <v>0</v>
          </cell>
          <cell r="AC2648">
            <v>0</v>
          </cell>
          <cell r="AD2648">
            <v>0</v>
          </cell>
          <cell r="AJ2648">
            <v>0</v>
          </cell>
          <cell r="AK2648">
            <v>0</v>
          </cell>
        </row>
        <row r="2649">
          <cell r="B2649" t="str">
            <v/>
          </cell>
          <cell r="H2649" t="str">
            <v/>
          </cell>
          <cell r="J2649" t="str">
            <v/>
          </cell>
          <cell r="N2649" t="str">
            <v/>
          </cell>
          <cell r="O2649" t="str">
            <v/>
          </cell>
          <cell r="P2649" t="str">
            <v/>
          </cell>
          <cell r="Q2649" t="str">
            <v/>
          </cell>
          <cell r="T2649" t="str">
            <v/>
          </cell>
          <cell r="U2649" t="str">
            <v/>
          </cell>
          <cell r="W2649" t="str">
            <v/>
          </cell>
          <cell r="X2649" t="str">
            <v/>
          </cell>
          <cell r="AB2649">
            <v>0</v>
          </cell>
          <cell r="AC2649">
            <v>0</v>
          </cell>
          <cell r="AD2649">
            <v>0</v>
          </cell>
          <cell r="AJ2649">
            <v>0</v>
          </cell>
          <cell r="AK2649">
            <v>0</v>
          </cell>
        </row>
        <row r="2650">
          <cell r="B2650" t="str">
            <v/>
          </cell>
          <cell r="H2650" t="str">
            <v/>
          </cell>
          <cell r="J2650" t="str">
            <v/>
          </cell>
          <cell r="N2650" t="str">
            <v/>
          </cell>
          <cell r="O2650" t="str">
            <v/>
          </cell>
          <cell r="P2650" t="str">
            <v/>
          </cell>
          <cell r="Q2650" t="str">
            <v/>
          </cell>
          <cell r="T2650" t="str">
            <v/>
          </cell>
          <cell r="U2650" t="str">
            <v/>
          </cell>
          <cell r="W2650" t="str">
            <v/>
          </cell>
          <cell r="X2650" t="str">
            <v/>
          </cell>
          <cell r="AB2650">
            <v>0</v>
          </cell>
          <cell r="AC2650">
            <v>0</v>
          </cell>
          <cell r="AD2650">
            <v>0</v>
          </cell>
          <cell r="AJ2650">
            <v>0</v>
          </cell>
          <cell r="AK2650">
            <v>0</v>
          </cell>
        </row>
        <row r="2651">
          <cell r="B2651" t="str">
            <v/>
          </cell>
          <cell r="H2651" t="str">
            <v/>
          </cell>
          <cell r="J2651" t="str">
            <v/>
          </cell>
          <cell r="N2651" t="str">
            <v/>
          </cell>
          <cell r="O2651" t="str">
            <v/>
          </cell>
          <cell r="P2651" t="str">
            <v/>
          </cell>
          <cell r="Q2651" t="str">
            <v/>
          </cell>
          <cell r="T2651" t="str">
            <v/>
          </cell>
          <cell r="U2651" t="str">
            <v/>
          </cell>
          <cell r="W2651" t="str">
            <v/>
          </cell>
          <cell r="X2651" t="str">
            <v/>
          </cell>
          <cell r="AB2651">
            <v>0</v>
          </cell>
          <cell r="AC2651">
            <v>0</v>
          </cell>
          <cell r="AD2651">
            <v>0</v>
          </cell>
          <cell r="AJ2651">
            <v>0</v>
          </cell>
          <cell r="AK2651">
            <v>0</v>
          </cell>
        </row>
        <row r="2652">
          <cell r="B2652" t="str">
            <v/>
          </cell>
          <cell r="H2652" t="str">
            <v/>
          </cell>
          <cell r="J2652" t="str">
            <v/>
          </cell>
          <cell r="N2652" t="str">
            <v/>
          </cell>
          <cell r="O2652" t="str">
            <v/>
          </cell>
          <cell r="P2652" t="str">
            <v/>
          </cell>
          <cell r="Q2652" t="str">
            <v/>
          </cell>
          <cell r="T2652" t="str">
            <v/>
          </cell>
          <cell r="U2652" t="str">
            <v/>
          </cell>
          <cell r="W2652" t="str">
            <v/>
          </cell>
          <cell r="X2652" t="str">
            <v/>
          </cell>
          <cell r="AB2652">
            <v>0</v>
          </cell>
          <cell r="AC2652">
            <v>0</v>
          </cell>
          <cell r="AD2652">
            <v>0</v>
          </cell>
          <cell r="AJ2652">
            <v>0</v>
          </cell>
          <cell r="AK2652">
            <v>0</v>
          </cell>
        </row>
        <row r="2653">
          <cell r="B2653" t="str">
            <v/>
          </cell>
          <cell r="H2653" t="str">
            <v/>
          </cell>
          <cell r="J2653" t="str">
            <v/>
          </cell>
          <cell r="N2653" t="str">
            <v/>
          </cell>
          <cell r="O2653" t="str">
            <v/>
          </cell>
          <cell r="P2653" t="str">
            <v/>
          </cell>
          <cell r="Q2653" t="str">
            <v/>
          </cell>
          <cell r="T2653" t="str">
            <v/>
          </cell>
          <cell r="U2653" t="str">
            <v/>
          </cell>
          <cell r="W2653" t="str">
            <v/>
          </cell>
          <cell r="X2653" t="str">
            <v/>
          </cell>
          <cell r="AB2653">
            <v>0</v>
          </cell>
          <cell r="AC2653">
            <v>0</v>
          </cell>
          <cell r="AD2653">
            <v>0</v>
          </cell>
          <cell r="AJ2653">
            <v>0</v>
          </cell>
          <cell r="AK2653">
            <v>0</v>
          </cell>
        </row>
        <row r="2654">
          <cell r="B2654" t="str">
            <v/>
          </cell>
          <cell r="H2654" t="str">
            <v/>
          </cell>
          <cell r="J2654" t="str">
            <v/>
          </cell>
          <cell r="N2654" t="str">
            <v/>
          </cell>
          <cell r="O2654" t="str">
            <v/>
          </cell>
          <cell r="P2654" t="str">
            <v/>
          </cell>
          <cell r="Q2654" t="str">
            <v/>
          </cell>
          <cell r="T2654" t="str">
            <v/>
          </cell>
          <cell r="U2654" t="str">
            <v/>
          </cell>
          <cell r="W2654" t="str">
            <v/>
          </cell>
          <cell r="X2654" t="str">
            <v/>
          </cell>
          <cell r="AB2654">
            <v>0</v>
          </cell>
          <cell r="AC2654">
            <v>0</v>
          </cell>
          <cell r="AD2654">
            <v>0</v>
          </cell>
          <cell r="AJ2654">
            <v>0</v>
          </cell>
          <cell r="AK2654">
            <v>0</v>
          </cell>
        </row>
        <row r="2655">
          <cell r="B2655" t="str">
            <v/>
          </cell>
          <cell r="H2655" t="str">
            <v/>
          </cell>
          <cell r="J2655" t="str">
            <v/>
          </cell>
          <cell r="N2655" t="str">
            <v/>
          </cell>
          <cell r="O2655" t="str">
            <v/>
          </cell>
          <cell r="P2655" t="str">
            <v/>
          </cell>
          <cell r="Q2655" t="str">
            <v/>
          </cell>
          <cell r="T2655" t="str">
            <v/>
          </cell>
          <cell r="U2655" t="str">
            <v/>
          </cell>
          <cell r="W2655" t="str">
            <v/>
          </cell>
          <cell r="X2655" t="str">
            <v/>
          </cell>
          <cell r="AB2655">
            <v>0</v>
          </cell>
          <cell r="AC2655">
            <v>0</v>
          </cell>
          <cell r="AD2655">
            <v>0</v>
          </cell>
          <cell r="AJ2655">
            <v>0</v>
          </cell>
          <cell r="AK2655">
            <v>0</v>
          </cell>
        </row>
        <row r="2656">
          <cell r="B2656" t="str">
            <v/>
          </cell>
          <cell r="H2656" t="str">
            <v/>
          </cell>
          <cell r="J2656" t="str">
            <v/>
          </cell>
          <cell r="N2656" t="str">
            <v/>
          </cell>
          <cell r="O2656" t="str">
            <v/>
          </cell>
          <cell r="P2656" t="str">
            <v/>
          </cell>
          <cell r="Q2656" t="str">
            <v/>
          </cell>
          <cell r="T2656" t="str">
            <v/>
          </cell>
          <cell r="U2656" t="str">
            <v/>
          </cell>
          <cell r="W2656" t="str">
            <v/>
          </cell>
          <cell r="X2656" t="str">
            <v/>
          </cell>
          <cell r="AB2656">
            <v>0</v>
          </cell>
          <cell r="AC2656">
            <v>0</v>
          </cell>
          <cell r="AD2656">
            <v>0</v>
          </cell>
          <cell r="AJ2656">
            <v>0</v>
          </cell>
          <cell r="AK2656">
            <v>0</v>
          </cell>
        </row>
        <row r="2657">
          <cell r="B2657" t="str">
            <v/>
          </cell>
          <cell r="H2657" t="str">
            <v/>
          </cell>
          <cell r="J2657" t="str">
            <v/>
          </cell>
          <cell r="N2657" t="str">
            <v/>
          </cell>
          <cell r="O2657" t="str">
            <v/>
          </cell>
          <cell r="P2657" t="str">
            <v/>
          </cell>
          <cell r="Q2657" t="str">
            <v/>
          </cell>
          <cell r="T2657" t="str">
            <v/>
          </cell>
          <cell r="U2657" t="str">
            <v/>
          </cell>
          <cell r="W2657" t="str">
            <v/>
          </cell>
          <cell r="X2657" t="str">
            <v/>
          </cell>
          <cell r="AB2657">
            <v>0</v>
          </cell>
          <cell r="AC2657">
            <v>0</v>
          </cell>
          <cell r="AD2657">
            <v>0</v>
          </cell>
          <cell r="AJ2657">
            <v>0</v>
          </cell>
          <cell r="AK2657">
            <v>0</v>
          </cell>
        </row>
        <row r="2658">
          <cell r="B2658" t="str">
            <v/>
          </cell>
          <cell r="H2658" t="str">
            <v/>
          </cell>
          <cell r="J2658" t="str">
            <v/>
          </cell>
          <cell r="N2658" t="str">
            <v/>
          </cell>
          <cell r="O2658" t="str">
            <v/>
          </cell>
          <cell r="P2658" t="str">
            <v/>
          </cell>
          <cell r="Q2658" t="str">
            <v/>
          </cell>
          <cell r="T2658" t="str">
            <v/>
          </cell>
          <cell r="U2658" t="str">
            <v/>
          </cell>
          <cell r="W2658" t="str">
            <v/>
          </cell>
          <cell r="X2658" t="str">
            <v/>
          </cell>
          <cell r="AB2658">
            <v>0</v>
          </cell>
          <cell r="AC2658">
            <v>0</v>
          </cell>
          <cell r="AD2658">
            <v>0</v>
          </cell>
          <cell r="AJ2658">
            <v>0</v>
          </cell>
          <cell r="AK2658">
            <v>0</v>
          </cell>
        </row>
        <row r="2659">
          <cell r="B2659" t="str">
            <v/>
          </cell>
          <cell r="H2659" t="str">
            <v/>
          </cell>
          <cell r="J2659" t="str">
            <v/>
          </cell>
          <cell r="N2659" t="str">
            <v/>
          </cell>
          <cell r="O2659" t="str">
            <v/>
          </cell>
          <cell r="P2659" t="str">
            <v/>
          </cell>
          <cell r="Q2659" t="str">
            <v/>
          </cell>
          <cell r="T2659" t="str">
            <v/>
          </cell>
          <cell r="U2659" t="str">
            <v/>
          </cell>
          <cell r="W2659" t="str">
            <v/>
          </cell>
          <cell r="X2659" t="str">
            <v/>
          </cell>
          <cell r="AB2659">
            <v>0</v>
          </cell>
          <cell r="AC2659">
            <v>0</v>
          </cell>
          <cell r="AD2659">
            <v>0</v>
          </cell>
          <cell r="AJ2659">
            <v>0</v>
          </cell>
          <cell r="AK2659">
            <v>0</v>
          </cell>
        </row>
        <row r="2660">
          <cell r="B2660" t="str">
            <v/>
          </cell>
          <cell r="H2660" t="str">
            <v/>
          </cell>
          <cell r="J2660" t="str">
            <v/>
          </cell>
          <cell r="N2660" t="str">
            <v/>
          </cell>
          <cell r="O2660" t="str">
            <v/>
          </cell>
          <cell r="P2660" t="str">
            <v/>
          </cell>
          <cell r="Q2660" t="str">
            <v/>
          </cell>
          <cell r="T2660" t="str">
            <v/>
          </cell>
          <cell r="U2660" t="str">
            <v/>
          </cell>
          <cell r="W2660" t="str">
            <v/>
          </cell>
          <cell r="X2660" t="str">
            <v/>
          </cell>
          <cell r="AB2660">
            <v>0</v>
          </cell>
          <cell r="AC2660">
            <v>0</v>
          </cell>
          <cell r="AD2660">
            <v>0</v>
          </cell>
          <cell r="AJ2660">
            <v>0</v>
          </cell>
          <cell r="AK2660">
            <v>0</v>
          </cell>
        </row>
        <row r="2661">
          <cell r="B2661" t="str">
            <v/>
          </cell>
          <cell r="H2661" t="str">
            <v/>
          </cell>
          <cell r="J2661" t="str">
            <v/>
          </cell>
          <cell r="N2661" t="str">
            <v/>
          </cell>
          <cell r="O2661" t="str">
            <v/>
          </cell>
          <cell r="P2661" t="str">
            <v/>
          </cell>
          <cell r="Q2661" t="str">
            <v/>
          </cell>
          <cell r="T2661" t="str">
            <v/>
          </cell>
          <cell r="U2661" t="str">
            <v/>
          </cell>
          <cell r="W2661" t="str">
            <v/>
          </cell>
          <cell r="X2661" t="str">
            <v/>
          </cell>
          <cell r="AB2661">
            <v>0</v>
          </cell>
          <cell r="AC2661">
            <v>0</v>
          </cell>
          <cell r="AD2661">
            <v>0</v>
          </cell>
          <cell r="AJ2661">
            <v>0</v>
          </cell>
          <cell r="AK2661">
            <v>0</v>
          </cell>
        </row>
        <row r="2662">
          <cell r="B2662" t="str">
            <v/>
          </cell>
          <cell r="H2662" t="str">
            <v/>
          </cell>
          <cell r="J2662" t="str">
            <v/>
          </cell>
          <cell r="N2662" t="str">
            <v/>
          </cell>
          <cell r="O2662" t="str">
            <v/>
          </cell>
          <cell r="P2662" t="str">
            <v/>
          </cell>
          <cell r="Q2662" t="str">
            <v/>
          </cell>
          <cell r="T2662" t="str">
            <v/>
          </cell>
          <cell r="U2662" t="str">
            <v/>
          </cell>
          <cell r="W2662" t="str">
            <v/>
          </cell>
          <cell r="X2662" t="str">
            <v/>
          </cell>
          <cell r="AB2662">
            <v>0</v>
          </cell>
          <cell r="AC2662">
            <v>0</v>
          </cell>
          <cell r="AD2662">
            <v>0</v>
          </cell>
          <cell r="AJ2662">
            <v>0</v>
          </cell>
          <cell r="AK2662">
            <v>0</v>
          </cell>
        </row>
        <row r="2663">
          <cell r="B2663" t="str">
            <v/>
          </cell>
          <cell r="H2663" t="str">
            <v/>
          </cell>
          <cell r="J2663" t="str">
            <v/>
          </cell>
          <cell r="N2663" t="str">
            <v/>
          </cell>
          <cell r="O2663" t="str">
            <v/>
          </cell>
          <cell r="P2663" t="str">
            <v/>
          </cell>
          <cell r="Q2663" t="str">
            <v/>
          </cell>
          <cell r="T2663" t="str">
            <v/>
          </cell>
          <cell r="U2663" t="str">
            <v/>
          </cell>
          <cell r="W2663" t="str">
            <v/>
          </cell>
          <cell r="X2663" t="str">
            <v/>
          </cell>
          <cell r="AB2663">
            <v>0</v>
          </cell>
          <cell r="AC2663">
            <v>0</v>
          </cell>
          <cell r="AD2663">
            <v>0</v>
          </cell>
          <cell r="AJ2663">
            <v>0</v>
          </cell>
          <cell r="AK2663">
            <v>0</v>
          </cell>
        </row>
        <row r="2664">
          <cell r="B2664" t="str">
            <v/>
          </cell>
          <cell r="H2664" t="str">
            <v/>
          </cell>
          <cell r="J2664" t="str">
            <v/>
          </cell>
          <cell r="N2664" t="str">
            <v/>
          </cell>
          <cell r="O2664" t="str">
            <v/>
          </cell>
          <cell r="P2664" t="str">
            <v/>
          </cell>
          <cell r="Q2664" t="str">
            <v/>
          </cell>
          <cell r="T2664" t="str">
            <v/>
          </cell>
          <cell r="U2664" t="str">
            <v/>
          </cell>
          <cell r="W2664" t="str">
            <v/>
          </cell>
          <cell r="X2664" t="str">
            <v/>
          </cell>
          <cell r="AB2664">
            <v>0</v>
          </cell>
          <cell r="AC2664">
            <v>0</v>
          </cell>
          <cell r="AD2664">
            <v>0</v>
          </cell>
          <cell r="AJ2664">
            <v>0</v>
          </cell>
          <cell r="AK2664">
            <v>0</v>
          </cell>
        </row>
        <row r="2665">
          <cell r="B2665" t="str">
            <v/>
          </cell>
          <cell r="H2665" t="str">
            <v/>
          </cell>
          <cell r="J2665" t="str">
            <v/>
          </cell>
          <cell r="N2665" t="str">
            <v/>
          </cell>
          <cell r="O2665" t="str">
            <v/>
          </cell>
          <cell r="P2665" t="str">
            <v/>
          </cell>
          <cell r="Q2665" t="str">
            <v/>
          </cell>
          <cell r="T2665" t="str">
            <v/>
          </cell>
          <cell r="U2665" t="str">
            <v/>
          </cell>
          <cell r="W2665" t="str">
            <v/>
          </cell>
          <cell r="X2665" t="str">
            <v/>
          </cell>
          <cell r="AB2665">
            <v>0</v>
          </cell>
          <cell r="AC2665">
            <v>0</v>
          </cell>
          <cell r="AD2665">
            <v>0</v>
          </cell>
          <cell r="AJ2665">
            <v>0</v>
          </cell>
          <cell r="AK2665">
            <v>0</v>
          </cell>
        </row>
        <row r="2666">
          <cell r="B2666" t="str">
            <v/>
          </cell>
          <cell r="H2666" t="str">
            <v/>
          </cell>
          <cell r="J2666" t="str">
            <v/>
          </cell>
          <cell r="N2666" t="str">
            <v/>
          </cell>
          <cell r="O2666" t="str">
            <v/>
          </cell>
          <cell r="P2666" t="str">
            <v/>
          </cell>
          <cell r="Q2666" t="str">
            <v/>
          </cell>
          <cell r="T2666" t="str">
            <v/>
          </cell>
          <cell r="U2666" t="str">
            <v/>
          </cell>
          <cell r="W2666" t="str">
            <v/>
          </cell>
          <cell r="X2666" t="str">
            <v/>
          </cell>
          <cell r="AB2666">
            <v>0</v>
          </cell>
          <cell r="AC2666">
            <v>0</v>
          </cell>
          <cell r="AD2666">
            <v>0</v>
          </cell>
          <cell r="AJ2666">
            <v>0</v>
          </cell>
          <cell r="AK2666">
            <v>0</v>
          </cell>
        </row>
        <row r="2667">
          <cell r="B2667" t="str">
            <v/>
          </cell>
          <cell r="H2667" t="str">
            <v/>
          </cell>
          <cell r="J2667" t="str">
            <v/>
          </cell>
          <cell r="N2667" t="str">
            <v/>
          </cell>
          <cell r="O2667" t="str">
            <v/>
          </cell>
          <cell r="P2667" t="str">
            <v/>
          </cell>
          <cell r="Q2667" t="str">
            <v/>
          </cell>
          <cell r="T2667" t="str">
            <v/>
          </cell>
          <cell r="U2667" t="str">
            <v/>
          </cell>
          <cell r="W2667" t="str">
            <v/>
          </cell>
          <cell r="X2667" t="str">
            <v/>
          </cell>
          <cell r="AB2667">
            <v>0</v>
          </cell>
          <cell r="AC2667">
            <v>0</v>
          </cell>
          <cell r="AD2667">
            <v>0</v>
          </cell>
          <cell r="AJ2667">
            <v>0</v>
          </cell>
          <cell r="AK2667">
            <v>0</v>
          </cell>
        </row>
        <row r="2668">
          <cell r="B2668" t="str">
            <v/>
          </cell>
          <cell r="H2668" t="str">
            <v/>
          </cell>
          <cell r="J2668" t="str">
            <v/>
          </cell>
          <cell r="N2668" t="str">
            <v/>
          </cell>
          <cell r="O2668" t="str">
            <v/>
          </cell>
          <cell r="P2668" t="str">
            <v/>
          </cell>
          <cell r="Q2668" t="str">
            <v/>
          </cell>
          <cell r="T2668" t="str">
            <v/>
          </cell>
          <cell r="U2668" t="str">
            <v/>
          </cell>
          <cell r="W2668" t="str">
            <v/>
          </cell>
          <cell r="X2668" t="str">
            <v/>
          </cell>
          <cell r="AB2668">
            <v>0</v>
          </cell>
          <cell r="AC2668">
            <v>0</v>
          </cell>
          <cell r="AD2668">
            <v>0</v>
          </cell>
          <cell r="AJ2668">
            <v>0</v>
          </cell>
          <cell r="AK2668">
            <v>0</v>
          </cell>
        </row>
        <row r="2669">
          <cell r="B2669" t="str">
            <v/>
          </cell>
          <cell r="H2669" t="str">
            <v/>
          </cell>
          <cell r="J2669" t="str">
            <v/>
          </cell>
          <cell r="N2669" t="str">
            <v/>
          </cell>
          <cell r="O2669" t="str">
            <v/>
          </cell>
          <cell r="P2669" t="str">
            <v/>
          </cell>
          <cell r="Q2669" t="str">
            <v/>
          </cell>
          <cell r="T2669" t="str">
            <v/>
          </cell>
          <cell r="U2669" t="str">
            <v/>
          </cell>
          <cell r="W2669" t="str">
            <v/>
          </cell>
          <cell r="X2669" t="str">
            <v/>
          </cell>
          <cell r="AB2669">
            <v>0</v>
          </cell>
          <cell r="AC2669">
            <v>0</v>
          </cell>
          <cell r="AD2669">
            <v>0</v>
          </cell>
          <cell r="AJ2669">
            <v>0</v>
          </cell>
          <cell r="AK2669">
            <v>0</v>
          </cell>
        </row>
        <row r="2670">
          <cell r="B2670" t="str">
            <v/>
          </cell>
          <cell r="H2670" t="str">
            <v/>
          </cell>
          <cell r="J2670" t="str">
            <v/>
          </cell>
          <cell r="N2670" t="str">
            <v/>
          </cell>
          <cell r="O2670" t="str">
            <v/>
          </cell>
          <cell r="P2670" t="str">
            <v/>
          </cell>
          <cell r="Q2670" t="str">
            <v/>
          </cell>
          <cell r="T2670" t="str">
            <v/>
          </cell>
          <cell r="U2670" t="str">
            <v/>
          </cell>
          <cell r="W2670" t="str">
            <v/>
          </cell>
          <cell r="X2670" t="str">
            <v/>
          </cell>
          <cell r="AB2670">
            <v>0</v>
          </cell>
          <cell r="AC2670">
            <v>0</v>
          </cell>
          <cell r="AD2670">
            <v>0</v>
          </cell>
          <cell r="AJ2670">
            <v>0</v>
          </cell>
          <cell r="AK2670">
            <v>0</v>
          </cell>
        </row>
        <row r="2671">
          <cell r="B2671" t="str">
            <v/>
          </cell>
          <cell r="H2671" t="str">
            <v/>
          </cell>
          <cell r="J2671" t="str">
            <v/>
          </cell>
          <cell r="N2671" t="str">
            <v/>
          </cell>
          <cell r="O2671" t="str">
            <v/>
          </cell>
          <cell r="P2671" t="str">
            <v/>
          </cell>
          <cell r="Q2671" t="str">
            <v/>
          </cell>
          <cell r="T2671" t="str">
            <v/>
          </cell>
          <cell r="U2671" t="str">
            <v/>
          </cell>
          <cell r="W2671" t="str">
            <v/>
          </cell>
          <cell r="X2671" t="str">
            <v/>
          </cell>
          <cell r="AB2671">
            <v>0</v>
          </cell>
          <cell r="AC2671">
            <v>0</v>
          </cell>
          <cell r="AD2671">
            <v>0</v>
          </cell>
          <cell r="AJ2671">
            <v>0</v>
          </cell>
          <cell r="AK2671">
            <v>0</v>
          </cell>
        </row>
        <row r="2672">
          <cell r="B2672" t="str">
            <v/>
          </cell>
          <cell r="H2672" t="str">
            <v/>
          </cell>
          <cell r="J2672" t="str">
            <v/>
          </cell>
          <cell r="N2672" t="str">
            <v/>
          </cell>
          <cell r="O2672" t="str">
            <v/>
          </cell>
          <cell r="P2672" t="str">
            <v/>
          </cell>
          <cell r="Q2672" t="str">
            <v/>
          </cell>
          <cell r="T2672" t="str">
            <v/>
          </cell>
          <cell r="U2672" t="str">
            <v/>
          </cell>
          <cell r="W2672" t="str">
            <v/>
          </cell>
          <cell r="X2672" t="str">
            <v/>
          </cell>
          <cell r="AB2672">
            <v>0</v>
          </cell>
          <cell r="AC2672">
            <v>0</v>
          </cell>
          <cell r="AD2672">
            <v>0</v>
          </cell>
          <cell r="AJ2672">
            <v>0</v>
          </cell>
          <cell r="AK2672">
            <v>0</v>
          </cell>
        </row>
        <row r="2673">
          <cell r="B2673" t="str">
            <v/>
          </cell>
          <cell r="H2673" t="str">
            <v/>
          </cell>
          <cell r="J2673" t="str">
            <v/>
          </cell>
          <cell r="N2673" t="str">
            <v/>
          </cell>
          <cell r="O2673" t="str">
            <v/>
          </cell>
          <cell r="P2673" t="str">
            <v/>
          </cell>
          <cell r="Q2673" t="str">
            <v/>
          </cell>
          <cell r="T2673" t="str">
            <v/>
          </cell>
          <cell r="U2673" t="str">
            <v/>
          </cell>
          <cell r="W2673" t="str">
            <v/>
          </cell>
          <cell r="X2673" t="str">
            <v/>
          </cell>
          <cell r="AB2673">
            <v>0</v>
          </cell>
          <cell r="AC2673">
            <v>0</v>
          </cell>
          <cell r="AD2673">
            <v>0</v>
          </cell>
          <cell r="AJ2673">
            <v>0</v>
          </cell>
          <cell r="AK2673">
            <v>0</v>
          </cell>
        </row>
        <row r="2674">
          <cell r="B2674" t="str">
            <v/>
          </cell>
          <cell r="H2674" t="str">
            <v/>
          </cell>
          <cell r="J2674" t="str">
            <v/>
          </cell>
          <cell r="N2674" t="str">
            <v/>
          </cell>
          <cell r="O2674" t="str">
            <v/>
          </cell>
          <cell r="P2674" t="str">
            <v/>
          </cell>
          <cell r="Q2674" t="str">
            <v/>
          </cell>
          <cell r="T2674" t="str">
            <v/>
          </cell>
          <cell r="U2674" t="str">
            <v/>
          </cell>
          <cell r="W2674" t="str">
            <v/>
          </cell>
          <cell r="X2674" t="str">
            <v/>
          </cell>
          <cell r="AB2674">
            <v>0</v>
          </cell>
          <cell r="AC2674">
            <v>0</v>
          </cell>
          <cell r="AD2674">
            <v>0</v>
          </cell>
          <cell r="AJ2674">
            <v>0</v>
          </cell>
          <cell r="AK2674">
            <v>0</v>
          </cell>
        </row>
        <row r="2675">
          <cell r="B2675" t="str">
            <v/>
          </cell>
          <cell r="H2675" t="str">
            <v/>
          </cell>
          <cell r="J2675" t="str">
            <v/>
          </cell>
          <cell r="N2675" t="str">
            <v/>
          </cell>
          <cell r="O2675" t="str">
            <v/>
          </cell>
          <cell r="P2675" t="str">
            <v/>
          </cell>
          <cell r="Q2675" t="str">
            <v/>
          </cell>
          <cell r="T2675" t="str">
            <v/>
          </cell>
          <cell r="U2675" t="str">
            <v/>
          </cell>
          <cell r="W2675" t="str">
            <v/>
          </cell>
          <cell r="X2675" t="str">
            <v/>
          </cell>
          <cell r="AB2675">
            <v>0</v>
          </cell>
          <cell r="AC2675">
            <v>0</v>
          </cell>
          <cell r="AD2675">
            <v>0</v>
          </cell>
          <cell r="AJ2675">
            <v>0</v>
          </cell>
          <cell r="AK2675">
            <v>0</v>
          </cell>
        </row>
        <row r="2676">
          <cell r="B2676" t="str">
            <v/>
          </cell>
          <cell r="H2676" t="str">
            <v/>
          </cell>
          <cell r="J2676" t="str">
            <v/>
          </cell>
          <cell r="N2676" t="str">
            <v/>
          </cell>
          <cell r="O2676" t="str">
            <v/>
          </cell>
          <cell r="P2676" t="str">
            <v/>
          </cell>
          <cell r="Q2676" t="str">
            <v/>
          </cell>
          <cell r="T2676" t="str">
            <v/>
          </cell>
          <cell r="U2676" t="str">
            <v/>
          </cell>
          <cell r="W2676" t="str">
            <v/>
          </cell>
          <cell r="X2676" t="str">
            <v/>
          </cell>
          <cell r="AB2676">
            <v>0</v>
          </cell>
          <cell r="AC2676">
            <v>0</v>
          </cell>
          <cell r="AD2676">
            <v>0</v>
          </cell>
          <cell r="AJ2676">
            <v>0</v>
          </cell>
          <cell r="AK2676">
            <v>0</v>
          </cell>
        </row>
        <row r="2677">
          <cell r="B2677" t="str">
            <v/>
          </cell>
          <cell r="H2677" t="str">
            <v/>
          </cell>
          <cell r="J2677" t="str">
            <v/>
          </cell>
          <cell r="N2677" t="str">
            <v/>
          </cell>
          <cell r="O2677" t="str">
            <v/>
          </cell>
          <cell r="P2677" t="str">
            <v/>
          </cell>
          <cell r="Q2677" t="str">
            <v/>
          </cell>
          <cell r="T2677" t="str">
            <v/>
          </cell>
          <cell r="U2677" t="str">
            <v/>
          </cell>
          <cell r="W2677" t="str">
            <v/>
          </cell>
          <cell r="X2677" t="str">
            <v/>
          </cell>
          <cell r="AB2677">
            <v>0</v>
          </cell>
          <cell r="AC2677">
            <v>0</v>
          </cell>
          <cell r="AD2677">
            <v>0</v>
          </cell>
          <cell r="AJ2677">
            <v>0</v>
          </cell>
          <cell r="AK2677">
            <v>0</v>
          </cell>
        </row>
        <row r="2678">
          <cell r="B2678" t="str">
            <v/>
          </cell>
          <cell r="H2678" t="str">
            <v/>
          </cell>
          <cell r="J2678" t="str">
            <v/>
          </cell>
          <cell r="N2678" t="str">
            <v/>
          </cell>
          <cell r="O2678" t="str">
            <v/>
          </cell>
          <cell r="P2678" t="str">
            <v/>
          </cell>
          <cell r="Q2678" t="str">
            <v/>
          </cell>
          <cell r="T2678" t="str">
            <v/>
          </cell>
          <cell r="U2678" t="str">
            <v/>
          </cell>
          <cell r="W2678" t="str">
            <v/>
          </cell>
          <cell r="X2678" t="str">
            <v/>
          </cell>
          <cell r="AB2678">
            <v>0</v>
          </cell>
          <cell r="AC2678">
            <v>0</v>
          </cell>
          <cell r="AD2678">
            <v>0</v>
          </cell>
          <cell r="AJ2678">
            <v>0</v>
          </cell>
          <cell r="AK2678">
            <v>0</v>
          </cell>
        </row>
        <row r="2679">
          <cell r="B2679" t="str">
            <v/>
          </cell>
          <cell r="H2679" t="str">
            <v/>
          </cell>
          <cell r="J2679" t="str">
            <v/>
          </cell>
          <cell r="N2679" t="str">
            <v/>
          </cell>
          <cell r="O2679" t="str">
            <v/>
          </cell>
          <cell r="P2679" t="str">
            <v/>
          </cell>
          <cell r="Q2679" t="str">
            <v/>
          </cell>
          <cell r="T2679" t="str">
            <v/>
          </cell>
          <cell r="U2679" t="str">
            <v/>
          </cell>
          <cell r="W2679" t="str">
            <v/>
          </cell>
          <cell r="X2679" t="str">
            <v/>
          </cell>
          <cell r="AB2679">
            <v>0</v>
          </cell>
          <cell r="AC2679">
            <v>0</v>
          </cell>
          <cell r="AD2679">
            <v>0</v>
          </cell>
          <cell r="AJ2679">
            <v>0</v>
          </cell>
          <cell r="AK2679">
            <v>0</v>
          </cell>
        </row>
        <row r="2680">
          <cell r="B2680" t="str">
            <v/>
          </cell>
          <cell r="H2680" t="str">
            <v/>
          </cell>
          <cell r="J2680" t="str">
            <v/>
          </cell>
          <cell r="N2680" t="str">
            <v/>
          </cell>
          <cell r="O2680" t="str">
            <v/>
          </cell>
          <cell r="P2680" t="str">
            <v/>
          </cell>
          <cell r="Q2680" t="str">
            <v/>
          </cell>
          <cell r="T2680" t="str">
            <v/>
          </cell>
          <cell r="U2680" t="str">
            <v/>
          </cell>
          <cell r="W2680" t="str">
            <v/>
          </cell>
          <cell r="X2680" t="str">
            <v/>
          </cell>
          <cell r="AB2680">
            <v>0</v>
          </cell>
          <cell r="AC2680">
            <v>0</v>
          </cell>
          <cell r="AD2680">
            <v>0</v>
          </cell>
          <cell r="AJ2680">
            <v>0</v>
          </cell>
          <cell r="AK2680">
            <v>0</v>
          </cell>
        </row>
        <row r="2681">
          <cell r="B2681" t="str">
            <v/>
          </cell>
          <cell r="H2681" t="str">
            <v/>
          </cell>
          <cell r="J2681" t="str">
            <v/>
          </cell>
          <cell r="N2681" t="str">
            <v/>
          </cell>
          <cell r="O2681" t="str">
            <v/>
          </cell>
          <cell r="P2681" t="str">
            <v/>
          </cell>
          <cell r="Q2681" t="str">
            <v/>
          </cell>
          <cell r="T2681" t="str">
            <v/>
          </cell>
          <cell r="U2681" t="str">
            <v/>
          </cell>
          <cell r="W2681" t="str">
            <v/>
          </cell>
          <cell r="X2681" t="str">
            <v/>
          </cell>
          <cell r="AB2681">
            <v>0</v>
          </cell>
          <cell r="AC2681">
            <v>0</v>
          </cell>
          <cell r="AD2681">
            <v>0</v>
          </cell>
          <cell r="AJ2681">
            <v>0</v>
          </cell>
          <cell r="AK2681">
            <v>0</v>
          </cell>
        </row>
        <row r="2682">
          <cell r="B2682" t="str">
            <v/>
          </cell>
          <cell r="H2682" t="str">
            <v/>
          </cell>
          <cell r="J2682" t="str">
            <v/>
          </cell>
          <cell r="N2682" t="str">
            <v/>
          </cell>
          <cell r="O2682" t="str">
            <v/>
          </cell>
          <cell r="P2682" t="str">
            <v/>
          </cell>
          <cell r="Q2682" t="str">
            <v/>
          </cell>
          <cell r="T2682" t="str">
            <v/>
          </cell>
          <cell r="U2682" t="str">
            <v/>
          </cell>
          <cell r="W2682" t="str">
            <v/>
          </cell>
          <cell r="X2682" t="str">
            <v/>
          </cell>
          <cell r="AB2682">
            <v>0</v>
          </cell>
          <cell r="AC2682">
            <v>0</v>
          </cell>
          <cell r="AD2682">
            <v>0</v>
          </cell>
          <cell r="AJ2682">
            <v>0</v>
          </cell>
          <cell r="AK2682">
            <v>0</v>
          </cell>
        </row>
        <row r="2683">
          <cell r="B2683" t="str">
            <v/>
          </cell>
          <cell r="H2683" t="str">
            <v/>
          </cell>
          <cell r="J2683" t="str">
            <v/>
          </cell>
          <cell r="N2683" t="str">
            <v/>
          </cell>
          <cell r="O2683" t="str">
            <v/>
          </cell>
          <cell r="P2683" t="str">
            <v/>
          </cell>
          <cell r="Q2683" t="str">
            <v/>
          </cell>
          <cell r="T2683" t="str">
            <v/>
          </cell>
          <cell r="U2683" t="str">
            <v/>
          </cell>
          <cell r="W2683" t="str">
            <v/>
          </cell>
          <cell r="X2683" t="str">
            <v/>
          </cell>
          <cell r="AB2683">
            <v>0</v>
          </cell>
          <cell r="AC2683">
            <v>0</v>
          </cell>
          <cell r="AD2683">
            <v>0</v>
          </cell>
          <cell r="AJ2683">
            <v>0</v>
          </cell>
          <cell r="AK2683">
            <v>0</v>
          </cell>
        </row>
        <row r="2684">
          <cell r="B2684" t="str">
            <v/>
          </cell>
          <cell r="H2684" t="str">
            <v/>
          </cell>
          <cell r="J2684" t="str">
            <v/>
          </cell>
          <cell r="N2684" t="str">
            <v/>
          </cell>
          <cell r="O2684" t="str">
            <v/>
          </cell>
          <cell r="P2684" t="str">
            <v/>
          </cell>
          <cell r="Q2684" t="str">
            <v/>
          </cell>
          <cell r="T2684" t="str">
            <v/>
          </cell>
          <cell r="U2684" t="str">
            <v/>
          </cell>
          <cell r="W2684" t="str">
            <v/>
          </cell>
          <cell r="X2684" t="str">
            <v/>
          </cell>
          <cell r="AB2684">
            <v>0</v>
          </cell>
          <cell r="AC2684">
            <v>0</v>
          </cell>
          <cell r="AD2684">
            <v>0</v>
          </cell>
          <cell r="AJ2684">
            <v>0</v>
          </cell>
          <cell r="AK2684">
            <v>0</v>
          </cell>
        </row>
        <row r="2685">
          <cell r="B2685" t="str">
            <v/>
          </cell>
          <cell r="H2685" t="str">
            <v/>
          </cell>
          <cell r="J2685" t="str">
            <v/>
          </cell>
          <cell r="N2685" t="str">
            <v/>
          </cell>
          <cell r="O2685" t="str">
            <v/>
          </cell>
          <cell r="P2685" t="str">
            <v/>
          </cell>
          <cell r="Q2685" t="str">
            <v/>
          </cell>
          <cell r="T2685" t="str">
            <v/>
          </cell>
          <cell r="U2685" t="str">
            <v/>
          </cell>
          <cell r="W2685" t="str">
            <v/>
          </cell>
          <cell r="X2685" t="str">
            <v/>
          </cell>
          <cell r="AB2685">
            <v>0</v>
          </cell>
          <cell r="AC2685">
            <v>0</v>
          </cell>
          <cell r="AD2685">
            <v>0</v>
          </cell>
          <cell r="AJ2685">
            <v>0</v>
          </cell>
          <cell r="AK2685">
            <v>0</v>
          </cell>
        </row>
        <row r="2686">
          <cell r="B2686" t="str">
            <v/>
          </cell>
          <cell r="H2686" t="str">
            <v/>
          </cell>
          <cell r="J2686" t="str">
            <v/>
          </cell>
          <cell r="N2686" t="str">
            <v/>
          </cell>
          <cell r="O2686" t="str">
            <v/>
          </cell>
          <cell r="P2686" t="str">
            <v/>
          </cell>
          <cell r="Q2686" t="str">
            <v/>
          </cell>
          <cell r="T2686" t="str">
            <v/>
          </cell>
          <cell r="U2686" t="str">
            <v/>
          </cell>
          <cell r="W2686" t="str">
            <v/>
          </cell>
          <cell r="X2686" t="str">
            <v/>
          </cell>
          <cell r="AB2686">
            <v>0</v>
          </cell>
          <cell r="AC2686">
            <v>0</v>
          </cell>
          <cell r="AD2686">
            <v>0</v>
          </cell>
          <cell r="AJ2686">
            <v>0</v>
          </cell>
          <cell r="AK2686">
            <v>0</v>
          </cell>
        </row>
        <row r="2687">
          <cell r="B2687" t="str">
            <v/>
          </cell>
          <cell r="H2687" t="str">
            <v/>
          </cell>
          <cell r="J2687" t="str">
            <v/>
          </cell>
          <cell r="N2687" t="str">
            <v/>
          </cell>
          <cell r="O2687" t="str">
            <v/>
          </cell>
          <cell r="P2687" t="str">
            <v/>
          </cell>
          <cell r="Q2687" t="str">
            <v/>
          </cell>
          <cell r="T2687" t="str">
            <v/>
          </cell>
          <cell r="U2687" t="str">
            <v/>
          </cell>
          <cell r="W2687" t="str">
            <v/>
          </cell>
          <cell r="X2687" t="str">
            <v/>
          </cell>
          <cell r="AB2687">
            <v>0</v>
          </cell>
          <cell r="AC2687">
            <v>0</v>
          </cell>
          <cell r="AD2687">
            <v>0</v>
          </cell>
          <cell r="AJ2687">
            <v>0</v>
          </cell>
          <cell r="AK2687">
            <v>0</v>
          </cell>
        </row>
        <row r="2688">
          <cell r="B2688" t="str">
            <v/>
          </cell>
          <cell r="H2688" t="str">
            <v/>
          </cell>
          <cell r="J2688" t="str">
            <v/>
          </cell>
          <cell r="N2688" t="str">
            <v/>
          </cell>
          <cell r="O2688" t="str">
            <v/>
          </cell>
          <cell r="P2688" t="str">
            <v/>
          </cell>
          <cell r="Q2688" t="str">
            <v/>
          </cell>
          <cell r="T2688" t="str">
            <v/>
          </cell>
          <cell r="U2688" t="str">
            <v/>
          </cell>
          <cell r="W2688" t="str">
            <v/>
          </cell>
          <cell r="X2688" t="str">
            <v/>
          </cell>
          <cell r="AB2688">
            <v>0</v>
          </cell>
          <cell r="AC2688">
            <v>0</v>
          </cell>
          <cell r="AD2688">
            <v>0</v>
          </cell>
          <cell r="AJ2688">
            <v>0</v>
          </cell>
          <cell r="AK2688">
            <v>0</v>
          </cell>
        </row>
        <row r="2689">
          <cell r="B2689" t="str">
            <v/>
          </cell>
          <cell r="H2689" t="str">
            <v/>
          </cell>
          <cell r="J2689" t="str">
            <v/>
          </cell>
          <cell r="N2689" t="str">
            <v/>
          </cell>
          <cell r="O2689" t="str">
            <v/>
          </cell>
          <cell r="P2689" t="str">
            <v/>
          </cell>
          <cell r="Q2689" t="str">
            <v/>
          </cell>
          <cell r="T2689" t="str">
            <v/>
          </cell>
          <cell r="U2689" t="str">
            <v/>
          </cell>
          <cell r="W2689" t="str">
            <v/>
          </cell>
          <cell r="X2689" t="str">
            <v/>
          </cell>
          <cell r="AB2689">
            <v>0</v>
          </cell>
          <cell r="AC2689">
            <v>0</v>
          </cell>
          <cell r="AD2689">
            <v>0</v>
          </cell>
          <cell r="AJ2689">
            <v>0</v>
          </cell>
          <cell r="AK2689">
            <v>0</v>
          </cell>
        </row>
        <row r="2690">
          <cell r="B2690" t="str">
            <v/>
          </cell>
          <cell r="H2690" t="str">
            <v/>
          </cell>
          <cell r="J2690" t="str">
            <v/>
          </cell>
          <cell r="N2690" t="str">
            <v/>
          </cell>
          <cell r="O2690" t="str">
            <v/>
          </cell>
          <cell r="P2690" t="str">
            <v/>
          </cell>
          <cell r="Q2690" t="str">
            <v/>
          </cell>
          <cell r="T2690" t="str">
            <v/>
          </cell>
          <cell r="U2690" t="str">
            <v/>
          </cell>
          <cell r="W2690" t="str">
            <v/>
          </cell>
          <cell r="X2690" t="str">
            <v/>
          </cell>
          <cell r="AB2690">
            <v>0</v>
          </cell>
          <cell r="AC2690">
            <v>0</v>
          </cell>
          <cell r="AD2690">
            <v>0</v>
          </cell>
          <cell r="AJ2690">
            <v>0</v>
          </cell>
          <cell r="AK2690">
            <v>0</v>
          </cell>
        </row>
        <row r="2691">
          <cell r="B2691" t="str">
            <v/>
          </cell>
          <cell r="H2691" t="str">
            <v/>
          </cell>
          <cell r="J2691" t="str">
            <v/>
          </cell>
          <cell r="N2691" t="str">
            <v/>
          </cell>
          <cell r="O2691" t="str">
            <v/>
          </cell>
          <cell r="P2691" t="str">
            <v/>
          </cell>
          <cell r="Q2691" t="str">
            <v/>
          </cell>
          <cell r="T2691" t="str">
            <v/>
          </cell>
          <cell r="U2691" t="str">
            <v/>
          </cell>
          <cell r="W2691" t="str">
            <v/>
          </cell>
          <cell r="X2691" t="str">
            <v/>
          </cell>
          <cell r="AB2691">
            <v>0</v>
          </cell>
          <cell r="AC2691">
            <v>0</v>
          </cell>
          <cell r="AD2691">
            <v>0</v>
          </cell>
          <cell r="AJ2691">
            <v>0</v>
          </cell>
          <cell r="AK2691">
            <v>0</v>
          </cell>
        </row>
        <row r="2692">
          <cell r="B2692" t="str">
            <v/>
          </cell>
          <cell r="H2692" t="str">
            <v/>
          </cell>
          <cell r="J2692" t="str">
            <v/>
          </cell>
          <cell r="N2692" t="str">
            <v/>
          </cell>
          <cell r="O2692" t="str">
            <v/>
          </cell>
          <cell r="P2692" t="str">
            <v/>
          </cell>
          <cell r="Q2692" t="str">
            <v/>
          </cell>
          <cell r="T2692" t="str">
            <v/>
          </cell>
          <cell r="U2692" t="str">
            <v/>
          </cell>
          <cell r="W2692" t="str">
            <v/>
          </cell>
          <cell r="X2692" t="str">
            <v/>
          </cell>
          <cell r="AB2692">
            <v>0</v>
          </cell>
          <cell r="AC2692">
            <v>0</v>
          </cell>
          <cell r="AD2692">
            <v>0</v>
          </cell>
          <cell r="AJ2692">
            <v>0</v>
          </cell>
          <cell r="AK2692">
            <v>0</v>
          </cell>
        </row>
        <row r="2693">
          <cell r="B2693" t="str">
            <v/>
          </cell>
          <cell r="H2693" t="str">
            <v/>
          </cell>
          <cell r="J2693" t="str">
            <v/>
          </cell>
          <cell r="N2693" t="str">
            <v/>
          </cell>
          <cell r="O2693" t="str">
            <v/>
          </cell>
          <cell r="P2693" t="str">
            <v/>
          </cell>
          <cell r="Q2693" t="str">
            <v/>
          </cell>
          <cell r="T2693" t="str">
            <v/>
          </cell>
          <cell r="U2693" t="str">
            <v/>
          </cell>
          <cell r="W2693" t="str">
            <v/>
          </cell>
          <cell r="X2693" t="str">
            <v/>
          </cell>
          <cell r="AB2693">
            <v>0</v>
          </cell>
          <cell r="AC2693">
            <v>0</v>
          </cell>
          <cell r="AD2693">
            <v>0</v>
          </cell>
          <cell r="AJ2693">
            <v>0</v>
          </cell>
          <cell r="AK2693">
            <v>0</v>
          </cell>
        </row>
        <row r="2694">
          <cell r="B2694" t="str">
            <v/>
          </cell>
          <cell r="H2694" t="str">
            <v/>
          </cell>
          <cell r="J2694" t="str">
            <v/>
          </cell>
          <cell r="N2694" t="str">
            <v/>
          </cell>
          <cell r="O2694" t="str">
            <v/>
          </cell>
          <cell r="P2694" t="str">
            <v/>
          </cell>
          <cell r="Q2694" t="str">
            <v/>
          </cell>
          <cell r="T2694" t="str">
            <v/>
          </cell>
          <cell r="U2694" t="str">
            <v/>
          </cell>
          <cell r="W2694" t="str">
            <v/>
          </cell>
          <cell r="X2694" t="str">
            <v/>
          </cell>
          <cell r="AB2694">
            <v>0</v>
          </cell>
          <cell r="AC2694">
            <v>0</v>
          </cell>
          <cell r="AD2694">
            <v>0</v>
          </cell>
          <cell r="AJ2694">
            <v>0</v>
          </cell>
          <cell r="AK2694">
            <v>0</v>
          </cell>
        </row>
        <row r="2695">
          <cell r="B2695" t="str">
            <v/>
          </cell>
          <cell r="H2695" t="str">
            <v/>
          </cell>
          <cell r="J2695" t="str">
            <v/>
          </cell>
          <cell r="N2695" t="str">
            <v/>
          </cell>
          <cell r="O2695" t="str">
            <v/>
          </cell>
          <cell r="P2695" t="str">
            <v/>
          </cell>
          <cell r="Q2695" t="str">
            <v/>
          </cell>
          <cell r="T2695" t="str">
            <v/>
          </cell>
          <cell r="U2695" t="str">
            <v/>
          </cell>
          <cell r="W2695" t="str">
            <v/>
          </cell>
          <cell r="X2695" t="str">
            <v/>
          </cell>
          <cell r="AB2695">
            <v>0</v>
          </cell>
          <cell r="AC2695">
            <v>0</v>
          </cell>
          <cell r="AD2695">
            <v>0</v>
          </cell>
          <cell r="AJ2695">
            <v>0</v>
          </cell>
          <cell r="AK2695">
            <v>0</v>
          </cell>
        </row>
        <row r="2696">
          <cell r="B2696" t="str">
            <v/>
          </cell>
          <cell r="H2696" t="str">
            <v/>
          </cell>
          <cell r="J2696" t="str">
            <v/>
          </cell>
          <cell r="N2696" t="str">
            <v/>
          </cell>
          <cell r="O2696" t="str">
            <v/>
          </cell>
          <cell r="P2696" t="str">
            <v/>
          </cell>
          <cell r="Q2696" t="str">
            <v/>
          </cell>
          <cell r="T2696" t="str">
            <v/>
          </cell>
          <cell r="U2696" t="str">
            <v/>
          </cell>
          <cell r="W2696" t="str">
            <v/>
          </cell>
          <cell r="X2696" t="str">
            <v/>
          </cell>
          <cell r="AB2696">
            <v>0</v>
          </cell>
          <cell r="AC2696">
            <v>0</v>
          </cell>
          <cell r="AD2696">
            <v>0</v>
          </cell>
          <cell r="AJ2696">
            <v>0</v>
          </cell>
          <cell r="AK2696">
            <v>0</v>
          </cell>
        </row>
        <row r="2697">
          <cell r="B2697" t="str">
            <v/>
          </cell>
          <cell r="H2697" t="str">
            <v/>
          </cell>
          <cell r="J2697" t="str">
            <v/>
          </cell>
          <cell r="N2697" t="str">
            <v/>
          </cell>
          <cell r="O2697" t="str">
            <v/>
          </cell>
          <cell r="P2697" t="str">
            <v/>
          </cell>
          <cell r="Q2697" t="str">
            <v/>
          </cell>
          <cell r="T2697" t="str">
            <v/>
          </cell>
          <cell r="U2697" t="str">
            <v/>
          </cell>
          <cell r="W2697" t="str">
            <v/>
          </cell>
          <cell r="X2697" t="str">
            <v/>
          </cell>
          <cell r="AB2697">
            <v>0</v>
          </cell>
          <cell r="AC2697">
            <v>0</v>
          </cell>
          <cell r="AD2697">
            <v>0</v>
          </cell>
          <cell r="AJ2697">
            <v>0</v>
          </cell>
          <cell r="AK2697">
            <v>0</v>
          </cell>
        </row>
        <row r="2698">
          <cell r="B2698" t="str">
            <v/>
          </cell>
          <cell r="H2698" t="str">
            <v/>
          </cell>
          <cell r="J2698" t="str">
            <v/>
          </cell>
          <cell r="N2698" t="str">
            <v/>
          </cell>
          <cell r="O2698" t="str">
            <v/>
          </cell>
          <cell r="P2698" t="str">
            <v/>
          </cell>
          <cell r="Q2698" t="str">
            <v/>
          </cell>
          <cell r="T2698" t="str">
            <v/>
          </cell>
          <cell r="U2698" t="str">
            <v/>
          </cell>
          <cell r="W2698" t="str">
            <v/>
          </cell>
          <cell r="X2698" t="str">
            <v/>
          </cell>
          <cell r="AB2698">
            <v>0</v>
          </cell>
          <cell r="AC2698">
            <v>0</v>
          </cell>
          <cell r="AD2698">
            <v>0</v>
          </cell>
          <cell r="AJ2698">
            <v>0</v>
          </cell>
          <cell r="AK2698">
            <v>0</v>
          </cell>
        </row>
        <row r="2699">
          <cell r="B2699" t="str">
            <v/>
          </cell>
          <cell r="H2699" t="str">
            <v/>
          </cell>
          <cell r="J2699" t="str">
            <v/>
          </cell>
          <cell r="N2699" t="str">
            <v/>
          </cell>
          <cell r="O2699" t="str">
            <v/>
          </cell>
          <cell r="P2699" t="str">
            <v/>
          </cell>
          <cell r="Q2699" t="str">
            <v/>
          </cell>
          <cell r="T2699" t="str">
            <v/>
          </cell>
          <cell r="U2699" t="str">
            <v/>
          </cell>
          <cell r="W2699" t="str">
            <v/>
          </cell>
          <cell r="X2699" t="str">
            <v/>
          </cell>
          <cell r="AB2699">
            <v>0</v>
          </cell>
          <cell r="AC2699">
            <v>0</v>
          </cell>
          <cell r="AD2699">
            <v>0</v>
          </cell>
          <cell r="AJ2699">
            <v>0</v>
          </cell>
          <cell r="AK2699">
            <v>0</v>
          </cell>
        </row>
        <row r="2700">
          <cell r="B2700" t="str">
            <v/>
          </cell>
          <cell r="H2700" t="str">
            <v/>
          </cell>
          <cell r="J2700" t="str">
            <v/>
          </cell>
          <cell r="N2700" t="str">
            <v/>
          </cell>
          <cell r="O2700" t="str">
            <v/>
          </cell>
          <cell r="P2700" t="str">
            <v/>
          </cell>
          <cell r="Q2700" t="str">
            <v/>
          </cell>
          <cell r="T2700" t="str">
            <v/>
          </cell>
          <cell r="U2700" t="str">
            <v/>
          </cell>
          <cell r="W2700" t="str">
            <v/>
          </cell>
          <cell r="X2700" t="str">
            <v/>
          </cell>
          <cell r="AB2700">
            <v>0</v>
          </cell>
          <cell r="AC2700">
            <v>0</v>
          </cell>
          <cell r="AD2700">
            <v>0</v>
          </cell>
          <cell r="AJ2700">
            <v>0</v>
          </cell>
          <cell r="AK2700">
            <v>0</v>
          </cell>
        </row>
        <row r="2701">
          <cell r="B2701" t="str">
            <v/>
          </cell>
          <cell r="H2701" t="str">
            <v/>
          </cell>
          <cell r="J2701" t="str">
            <v/>
          </cell>
          <cell r="N2701" t="str">
            <v/>
          </cell>
          <cell r="O2701" t="str">
            <v/>
          </cell>
          <cell r="P2701" t="str">
            <v/>
          </cell>
          <cell r="Q2701" t="str">
            <v/>
          </cell>
          <cell r="T2701" t="str">
            <v/>
          </cell>
          <cell r="U2701" t="str">
            <v/>
          </cell>
          <cell r="W2701" t="str">
            <v/>
          </cell>
          <cell r="X2701" t="str">
            <v/>
          </cell>
          <cell r="AB2701">
            <v>0</v>
          </cell>
          <cell r="AC2701">
            <v>0</v>
          </cell>
          <cell r="AD2701">
            <v>0</v>
          </cell>
          <cell r="AJ2701">
            <v>0</v>
          </cell>
          <cell r="AK2701">
            <v>0</v>
          </cell>
        </row>
        <row r="2702">
          <cell r="B2702" t="str">
            <v/>
          </cell>
          <cell r="H2702" t="str">
            <v/>
          </cell>
          <cell r="J2702" t="str">
            <v/>
          </cell>
          <cell r="N2702" t="str">
            <v/>
          </cell>
          <cell r="O2702" t="str">
            <v/>
          </cell>
          <cell r="P2702" t="str">
            <v/>
          </cell>
          <cell r="Q2702" t="str">
            <v/>
          </cell>
          <cell r="T2702" t="str">
            <v/>
          </cell>
          <cell r="U2702" t="str">
            <v/>
          </cell>
          <cell r="W2702" t="str">
            <v/>
          </cell>
          <cell r="X2702" t="str">
            <v/>
          </cell>
          <cell r="AB2702">
            <v>0</v>
          </cell>
          <cell r="AC2702">
            <v>0</v>
          </cell>
          <cell r="AD2702">
            <v>0</v>
          </cell>
          <cell r="AJ2702">
            <v>0</v>
          </cell>
          <cell r="AK2702">
            <v>0</v>
          </cell>
        </row>
        <row r="2703">
          <cell r="B2703" t="str">
            <v/>
          </cell>
          <cell r="H2703" t="str">
            <v/>
          </cell>
          <cell r="J2703" t="str">
            <v/>
          </cell>
          <cell r="N2703" t="str">
            <v/>
          </cell>
          <cell r="O2703" t="str">
            <v/>
          </cell>
          <cell r="P2703" t="str">
            <v/>
          </cell>
          <cell r="Q2703" t="str">
            <v/>
          </cell>
          <cell r="T2703" t="str">
            <v/>
          </cell>
          <cell r="U2703" t="str">
            <v/>
          </cell>
          <cell r="W2703" t="str">
            <v/>
          </cell>
          <cell r="X2703" t="str">
            <v/>
          </cell>
          <cell r="AB2703">
            <v>0</v>
          </cell>
          <cell r="AC2703">
            <v>0</v>
          </cell>
          <cell r="AD2703">
            <v>0</v>
          </cell>
          <cell r="AJ2703">
            <v>0</v>
          </cell>
          <cell r="AK2703">
            <v>0</v>
          </cell>
        </row>
        <row r="2704">
          <cell r="B2704" t="str">
            <v/>
          </cell>
          <cell r="H2704" t="str">
            <v/>
          </cell>
          <cell r="J2704" t="str">
            <v/>
          </cell>
          <cell r="N2704" t="str">
            <v/>
          </cell>
          <cell r="O2704" t="str">
            <v/>
          </cell>
          <cell r="P2704" t="str">
            <v/>
          </cell>
          <cell r="Q2704" t="str">
            <v/>
          </cell>
          <cell r="T2704" t="str">
            <v/>
          </cell>
          <cell r="U2704" t="str">
            <v/>
          </cell>
          <cell r="W2704" t="str">
            <v/>
          </cell>
          <cell r="X2704" t="str">
            <v/>
          </cell>
          <cell r="AB2704">
            <v>0</v>
          </cell>
          <cell r="AC2704">
            <v>0</v>
          </cell>
          <cell r="AD2704">
            <v>0</v>
          </cell>
          <cell r="AJ2704">
            <v>0</v>
          </cell>
          <cell r="AK2704">
            <v>0</v>
          </cell>
        </row>
        <row r="2705">
          <cell r="B2705" t="str">
            <v/>
          </cell>
          <cell r="H2705" t="str">
            <v/>
          </cell>
          <cell r="J2705" t="str">
            <v/>
          </cell>
          <cell r="N2705" t="str">
            <v/>
          </cell>
          <cell r="O2705" t="str">
            <v/>
          </cell>
          <cell r="P2705" t="str">
            <v/>
          </cell>
          <cell r="Q2705" t="str">
            <v/>
          </cell>
          <cell r="T2705" t="str">
            <v/>
          </cell>
          <cell r="U2705" t="str">
            <v/>
          </cell>
          <cell r="W2705" t="str">
            <v/>
          </cell>
          <cell r="X2705" t="str">
            <v/>
          </cell>
          <cell r="AB2705">
            <v>0</v>
          </cell>
          <cell r="AC2705">
            <v>0</v>
          </cell>
          <cell r="AD2705">
            <v>0</v>
          </cell>
          <cell r="AJ2705">
            <v>0</v>
          </cell>
          <cell r="AK2705">
            <v>0</v>
          </cell>
        </row>
        <row r="2706">
          <cell r="B2706" t="str">
            <v/>
          </cell>
          <cell r="H2706" t="str">
            <v/>
          </cell>
          <cell r="J2706" t="str">
            <v/>
          </cell>
          <cell r="N2706" t="str">
            <v/>
          </cell>
          <cell r="O2706" t="str">
            <v/>
          </cell>
          <cell r="P2706" t="str">
            <v/>
          </cell>
          <cell r="Q2706" t="str">
            <v/>
          </cell>
          <cell r="T2706" t="str">
            <v/>
          </cell>
          <cell r="U2706" t="str">
            <v/>
          </cell>
          <cell r="W2706" t="str">
            <v/>
          </cell>
          <cell r="X2706" t="str">
            <v/>
          </cell>
          <cell r="AB2706">
            <v>0</v>
          </cell>
          <cell r="AC2706">
            <v>0</v>
          </cell>
          <cell r="AD2706">
            <v>0</v>
          </cell>
          <cell r="AJ2706">
            <v>0</v>
          </cell>
          <cell r="AK2706">
            <v>0</v>
          </cell>
        </row>
        <row r="2707">
          <cell r="B2707" t="str">
            <v/>
          </cell>
          <cell r="H2707" t="str">
            <v/>
          </cell>
          <cell r="J2707" t="str">
            <v/>
          </cell>
          <cell r="N2707" t="str">
            <v/>
          </cell>
          <cell r="O2707" t="str">
            <v/>
          </cell>
          <cell r="P2707" t="str">
            <v/>
          </cell>
          <cell r="Q2707" t="str">
            <v/>
          </cell>
          <cell r="T2707" t="str">
            <v/>
          </cell>
          <cell r="U2707" t="str">
            <v/>
          </cell>
          <cell r="W2707" t="str">
            <v/>
          </cell>
          <cell r="X2707" t="str">
            <v/>
          </cell>
          <cell r="AB2707">
            <v>0</v>
          </cell>
          <cell r="AC2707">
            <v>0</v>
          </cell>
          <cell r="AD2707">
            <v>0</v>
          </cell>
          <cell r="AJ2707">
            <v>0</v>
          </cell>
          <cell r="AK2707">
            <v>0</v>
          </cell>
        </row>
        <row r="2708">
          <cell r="B2708" t="str">
            <v/>
          </cell>
          <cell r="H2708" t="str">
            <v/>
          </cell>
          <cell r="J2708" t="str">
            <v/>
          </cell>
          <cell r="N2708" t="str">
            <v/>
          </cell>
          <cell r="O2708" t="str">
            <v/>
          </cell>
          <cell r="P2708" t="str">
            <v/>
          </cell>
          <cell r="Q2708" t="str">
            <v/>
          </cell>
          <cell r="T2708" t="str">
            <v/>
          </cell>
          <cell r="U2708" t="str">
            <v/>
          </cell>
          <cell r="W2708" t="str">
            <v/>
          </cell>
          <cell r="X2708" t="str">
            <v/>
          </cell>
          <cell r="AB2708">
            <v>0</v>
          </cell>
          <cell r="AC2708">
            <v>0</v>
          </cell>
          <cell r="AD2708">
            <v>0</v>
          </cell>
          <cell r="AJ2708">
            <v>0</v>
          </cell>
          <cell r="AK2708">
            <v>0</v>
          </cell>
        </row>
        <row r="2709">
          <cell r="B2709" t="str">
            <v/>
          </cell>
          <cell r="H2709" t="str">
            <v/>
          </cell>
          <cell r="J2709" t="str">
            <v/>
          </cell>
          <cell r="N2709" t="str">
            <v/>
          </cell>
          <cell r="O2709" t="str">
            <v/>
          </cell>
          <cell r="P2709" t="str">
            <v/>
          </cell>
          <cell r="Q2709" t="str">
            <v/>
          </cell>
          <cell r="T2709" t="str">
            <v/>
          </cell>
          <cell r="U2709" t="str">
            <v/>
          </cell>
          <cell r="W2709" t="str">
            <v/>
          </cell>
          <cell r="X2709" t="str">
            <v/>
          </cell>
          <cell r="AB2709">
            <v>0</v>
          </cell>
          <cell r="AC2709">
            <v>0</v>
          </cell>
          <cell r="AD2709">
            <v>0</v>
          </cell>
          <cell r="AJ2709">
            <v>0</v>
          </cell>
          <cell r="AK2709">
            <v>0</v>
          </cell>
        </row>
        <row r="2710">
          <cell r="B2710" t="str">
            <v/>
          </cell>
          <cell r="H2710" t="str">
            <v/>
          </cell>
          <cell r="J2710" t="str">
            <v/>
          </cell>
          <cell r="N2710" t="str">
            <v/>
          </cell>
          <cell r="O2710" t="str">
            <v/>
          </cell>
          <cell r="P2710" t="str">
            <v/>
          </cell>
          <cell r="Q2710" t="str">
            <v/>
          </cell>
          <cell r="T2710" t="str">
            <v/>
          </cell>
          <cell r="U2710" t="str">
            <v/>
          </cell>
          <cell r="W2710" t="str">
            <v/>
          </cell>
          <cell r="X2710" t="str">
            <v/>
          </cell>
          <cell r="AB2710">
            <v>0</v>
          </cell>
          <cell r="AC2710">
            <v>0</v>
          </cell>
          <cell r="AD2710">
            <v>0</v>
          </cell>
          <cell r="AJ2710">
            <v>0</v>
          </cell>
          <cell r="AK2710">
            <v>0</v>
          </cell>
        </row>
        <row r="2711">
          <cell r="B2711" t="str">
            <v/>
          </cell>
          <cell r="H2711" t="str">
            <v/>
          </cell>
          <cell r="J2711" t="str">
            <v/>
          </cell>
          <cell r="N2711" t="str">
            <v/>
          </cell>
          <cell r="O2711" t="str">
            <v/>
          </cell>
          <cell r="P2711" t="str">
            <v/>
          </cell>
          <cell r="Q2711" t="str">
            <v/>
          </cell>
          <cell r="T2711" t="str">
            <v/>
          </cell>
          <cell r="U2711" t="str">
            <v/>
          </cell>
          <cell r="W2711" t="str">
            <v/>
          </cell>
          <cell r="X2711" t="str">
            <v/>
          </cell>
          <cell r="AB2711">
            <v>0</v>
          </cell>
          <cell r="AC2711">
            <v>0</v>
          </cell>
          <cell r="AD2711">
            <v>0</v>
          </cell>
          <cell r="AJ2711">
            <v>0</v>
          </cell>
          <cell r="AK2711">
            <v>0</v>
          </cell>
        </row>
        <row r="2712">
          <cell r="B2712" t="str">
            <v/>
          </cell>
          <cell r="H2712" t="str">
            <v/>
          </cell>
          <cell r="J2712" t="str">
            <v/>
          </cell>
          <cell r="N2712" t="str">
            <v/>
          </cell>
          <cell r="O2712" t="str">
            <v/>
          </cell>
          <cell r="P2712" t="str">
            <v/>
          </cell>
          <cell r="Q2712" t="str">
            <v/>
          </cell>
          <cell r="T2712" t="str">
            <v/>
          </cell>
          <cell r="U2712" t="str">
            <v/>
          </cell>
          <cell r="W2712" t="str">
            <v/>
          </cell>
          <cell r="X2712" t="str">
            <v/>
          </cell>
          <cell r="AB2712">
            <v>0</v>
          </cell>
          <cell r="AC2712">
            <v>0</v>
          </cell>
          <cell r="AD2712">
            <v>0</v>
          </cell>
          <cell r="AJ2712">
            <v>0</v>
          </cell>
          <cell r="AK2712">
            <v>0</v>
          </cell>
        </row>
        <row r="2713">
          <cell r="B2713" t="str">
            <v/>
          </cell>
          <cell r="H2713" t="str">
            <v/>
          </cell>
          <cell r="J2713" t="str">
            <v/>
          </cell>
          <cell r="N2713" t="str">
            <v/>
          </cell>
          <cell r="O2713" t="str">
            <v/>
          </cell>
          <cell r="P2713" t="str">
            <v/>
          </cell>
          <cell r="Q2713" t="str">
            <v/>
          </cell>
          <cell r="T2713" t="str">
            <v/>
          </cell>
          <cell r="U2713" t="str">
            <v/>
          </cell>
          <cell r="W2713" t="str">
            <v/>
          </cell>
          <cell r="X2713" t="str">
            <v/>
          </cell>
          <cell r="AB2713">
            <v>0</v>
          </cell>
          <cell r="AC2713">
            <v>0</v>
          </cell>
          <cell r="AD2713">
            <v>0</v>
          </cell>
          <cell r="AJ2713">
            <v>0</v>
          </cell>
          <cell r="AK2713">
            <v>0</v>
          </cell>
        </row>
        <row r="2714">
          <cell r="B2714" t="str">
            <v/>
          </cell>
          <cell r="H2714" t="str">
            <v/>
          </cell>
          <cell r="J2714" t="str">
            <v/>
          </cell>
          <cell r="N2714" t="str">
            <v/>
          </cell>
          <cell r="O2714" t="str">
            <v/>
          </cell>
          <cell r="P2714" t="str">
            <v/>
          </cell>
          <cell r="Q2714" t="str">
            <v/>
          </cell>
          <cell r="T2714" t="str">
            <v/>
          </cell>
          <cell r="U2714" t="str">
            <v/>
          </cell>
          <cell r="W2714" t="str">
            <v/>
          </cell>
          <cell r="X2714" t="str">
            <v/>
          </cell>
          <cell r="AB2714">
            <v>0</v>
          </cell>
          <cell r="AC2714">
            <v>0</v>
          </cell>
          <cell r="AD2714">
            <v>0</v>
          </cell>
          <cell r="AJ2714">
            <v>0</v>
          </cell>
          <cell r="AK2714">
            <v>0</v>
          </cell>
        </row>
        <row r="2715">
          <cell r="B2715" t="str">
            <v/>
          </cell>
          <cell r="H2715" t="str">
            <v/>
          </cell>
          <cell r="J2715" t="str">
            <v/>
          </cell>
          <cell r="N2715" t="str">
            <v/>
          </cell>
          <cell r="O2715" t="str">
            <v/>
          </cell>
          <cell r="P2715" t="str">
            <v/>
          </cell>
          <cell r="Q2715" t="str">
            <v/>
          </cell>
          <cell r="T2715" t="str">
            <v/>
          </cell>
          <cell r="U2715" t="str">
            <v/>
          </cell>
          <cell r="W2715" t="str">
            <v/>
          </cell>
          <cell r="X2715" t="str">
            <v/>
          </cell>
          <cell r="AB2715">
            <v>0</v>
          </cell>
          <cell r="AC2715">
            <v>0</v>
          </cell>
          <cell r="AD2715">
            <v>0</v>
          </cell>
          <cell r="AJ2715">
            <v>0</v>
          </cell>
          <cell r="AK2715">
            <v>0</v>
          </cell>
        </row>
        <row r="2716">
          <cell r="B2716" t="str">
            <v/>
          </cell>
          <cell r="H2716" t="str">
            <v/>
          </cell>
          <cell r="J2716" t="str">
            <v/>
          </cell>
          <cell r="N2716" t="str">
            <v/>
          </cell>
          <cell r="O2716" t="str">
            <v/>
          </cell>
          <cell r="P2716" t="str">
            <v/>
          </cell>
          <cell r="Q2716" t="str">
            <v/>
          </cell>
          <cell r="T2716" t="str">
            <v/>
          </cell>
          <cell r="U2716" t="str">
            <v/>
          </cell>
          <cell r="W2716" t="str">
            <v/>
          </cell>
          <cell r="X2716" t="str">
            <v/>
          </cell>
          <cell r="AB2716">
            <v>0</v>
          </cell>
          <cell r="AC2716">
            <v>0</v>
          </cell>
          <cell r="AD2716">
            <v>0</v>
          </cell>
          <cell r="AJ2716">
            <v>0</v>
          </cell>
          <cell r="AK2716">
            <v>0</v>
          </cell>
        </row>
        <row r="2717">
          <cell r="B2717" t="str">
            <v/>
          </cell>
          <cell r="H2717" t="str">
            <v/>
          </cell>
          <cell r="J2717" t="str">
            <v/>
          </cell>
          <cell r="N2717" t="str">
            <v/>
          </cell>
          <cell r="O2717" t="str">
            <v/>
          </cell>
          <cell r="P2717" t="str">
            <v/>
          </cell>
          <cell r="Q2717" t="str">
            <v/>
          </cell>
          <cell r="T2717" t="str">
            <v/>
          </cell>
          <cell r="U2717" t="str">
            <v/>
          </cell>
          <cell r="W2717" t="str">
            <v/>
          </cell>
          <cell r="X2717" t="str">
            <v/>
          </cell>
          <cell r="AB2717">
            <v>0</v>
          </cell>
          <cell r="AC2717">
            <v>0</v>
          </cell>
          <cell r="AD2717">
            <v>0</v>
          </cell>
          <cell r="AJ2717">
            <v>0</v>
          </cell>
          <cell r="AK2717">
            <v>0</v>
          </cell>
        </row>
        <row r="2718">
          <cell r="B2718" t="str">
            <v/>
          </cell>
          <cell r="H2718" t="str">
            <v/>
          </cell>
          <cell r="J2718" t="str">
            <v/>
          </cell>
          <cell r="N2718" t="str">
            <v/>
          </cell>
          <cell r="O2718" t="str">
            <v/>
          </cell>
          <cell r="P2718" t="str">
            <v/>
          </cell>
          <cell r="Q2718" t="str">
            <v/>
          </cell>
          <cell r="T2718" t="str">
            <v/>
          </cell>
          <cell r="U2718" t="str">
            <v/>
          </cell>
          <cell r="W2718" t="str">
            <v/>
          </cell>
          <cell r="X2718" t="str">
            <v/>
          </cell>
          <cell r="AB2718">
            <v>0</v>
          </cell>
          <cell r="AC2718">
            <v>0</v>
          </cell>
          <cell r="AD2718">
            <v>0</v>
          </cell>
          <cell r="AJ2718">
            <v>0</v>
          </cell>
          <cell r="AK2718">
            <v>0</v>
          </cell>
        </row>
        <row r="2719">
          <cell r="B2719" t="str">
            <v/>
          </cell>
          <cell r="H2719" t="str">
            <v/>
          </cell>
          <cell r="J2719" t="str">
            <v/>
          </cell>
          <cell r="N2719" t="str">
            <v/>
          </cell>
          <cell r="O2719" t="str">
            <v/>
          </cell>
          <cell r="P2719" t="str">
            <v/>
          </cell>
          <cell r="Q2719" t="str">
            <v/>
          </cell>
          <cell r="T2719" t="str">
            <v/>
          </cell>
          <cell r="U2719" t="str">
            <v/>
          </cell>
          <cell r="W2719" t="str">
            <v/>
          </cell>
          <cell r="X2719" t="str">
            <v/>
          </cell>
          <cell r="AB2719">
            <v>0</v>
          </cell>
          <cell r="AC2719">
            <v>0</v>
          </cell>
          <cell r="AD2719">
            <v>0</v>
          </cell>
          <cell r="AJ2719">
            <v>0</v>
          </cell>
          <cell r="AK2719">
            <v>0</v>
          </cell>
        </row>
        <row r="2720">
          <cell r="B2720" t="str">
            <v/>
          </cell>
          <cell r="H2720" t="str">
            <v/>
          </cell>
          <cell r="J2720" t="str">
            <v/>
          </cell>
          <cell r="N2720" t="str">
            <v/>
          </cell>
          <cell r="O2720" t="str">
            <v/>
          </cell>
          <cell r="P2720" t="str">
            <v/>
          </cell>
          <cell r="Q2720" t="str">
            <v/>
          </cell>
          <cell r="T2720" t="str">
            <v/>
          </cell>
          <cell r="U2720" t="str">
            <v/>
          </cell>
          <cell r="W2720" t="str">
            <v/>
          </cell>
          <cell r="X2720" t="str">
            <v/>
          </cell>
          <cell r="AB2720">
            <v>0</v>
          </cell>
          <cell r="AC2720">
            <v>0</v>
          </cell>
          <cell r="AD2720">
            <v>0</v>
          </cell>
          <cell r="AJ2720">
            <v>0</v>
          </cell>
          <cell r="AK2720">
            <v>0</v>
          </cell>
        </row>
        <row r="2721">
          <cell r="B2721" t="str">
            <v/>
          </cell>
          <cell r="H2721" t="str">
            <v/>
          </cell>
          <cell r="J2721" t="str">
            <v/>
          </cell>
          <cell r="N2721" t="str">
            <v/>
          </cell>
          <cell r="O2721" t="str">
            <v/>
          </cell>
          <cell r="P2721" t="str">
            <v/>
          </cell>
          <cell r="Q2721" t="str">
            <v/>
          </cell>
          <cell r="T2721" t="str">
            <v/>
          </cell>
          <cell r="U2721" t="str">
            <v/>
          </cell>
          <cell r="W2721" t="str">
            <v/>
          </cell>
          <cell r="X2721" t="str">
            <v/>
          </cell>
          <cell r="AB2721">
            <v>0</v>
          </cell>
          <cell r="AC2721">
            <v>0</v>
          </cell>
          <cell r="AD2721">
            <v>0</v>
          </cell>
          <cell r="AJ2721">
            <v>0</v>
          </cell>
          <cell r="AK2721">
            <v>0</v>
          </cell>
        </row>
        <row r="2722">
          <cell r="B2722" t="str">
            <v/>
          </cell>
          <cell r="H2722" t="str">
            <v/>
          </cell>
          <cell r="J2722" t="str">
            <v/>
          </cell>
          <cell r="N2722" t="str">
            <v/>
          </cell>
          <cell r="O2722" t="str">
            <v/>
          </cell>
          <cell r="P2722" t="str">
            <v/>
          </cell>
          <cell r="Q2722" t="str">
            <v/>
          </cell>
          <cell r="T2722" t="str">
            <v/>
          </cell>
          <cell r="U2722" t="str">
            <v/>
          </cell>
          <cell r="W2722" t="str">
            <v/>
          </cell>
          <cell r="X2722" t="str">
            <v/>
          </cell>
          <cell r="AB2722">
            <v>0</v>
          </cell>
          <cell r="AC2722">
            <v>0</v>
          </cell>
          <cell r="AD2722">
            <v>0</v>
          </cell>
          <cell r="AJ2722">
            <v>0</v>
          </cell>
          <cell r="AK2722">
            <v>0</v>
          </cell>
        </row>
        <row r="2723">
          <cell r="B2723" t="str">
            <v/>
          </cell>
          <cell r="H2723" t="str">
            <v/>
          </cell>
          <cell r="J2723" t="str">
            <v/>
          </cell>
          <cell r="N2723" t="str">
            <v/>
          </cell>
          <cell r="O2723" t="str">
            <v/>
          </cell>
          <cell r="P2723" t="str">
            <v/>
          </cell>
          <cell r="Q2723" t="str">
            <v/>
          </cell>
          <cell r="T2723" t="str">
            <v/>
          </cell>
          <cell r="U2723" t="str">
            <v/>
          </cell>
          <cell r="W2723" t="str">
            <v/>
          </cell>
          <cell r="X2723" t="str">
            <v/>
          </cell>
          <cell r="AB2723">
            <v>0</v>
          </cell>
          <cell r="AC2723">
            <v>0</v>
          </cell>
          <cell r="AD2723">
            <v>0</v>
          </cell>
          <cell r="AJ2723">
            <v>0</v>
          </cell>
          <cell r="AK2723">
            <v>0</v>
          </cell>
        </row>
        <row r="2724">
          <cell r="B2724" t="str">
            <v/>
          </cell>
          <cell r="H2724" t="str">
            <v/>
          </cell>
          <cell r="J2724" t="str">
            <v/>
          </cell>
          <cell r="N2724" t="str">
            <v/>
          </cell>
          <cell r="O2724" t="str">
            <v/>
          </cell>
          <cell r="P2724" t="str">
            <v/>
          </cell>
          <cell r="Q2724" t="str">
            <v/>
          </cell>
          <cell r="T2724" t="str">
            <v/>
          </cell>
          <cell r="U2724" t="str">
            <v/>
          </cell>
          <cell r="W2724" t="str">
            <v/>
          </cell>
          <cell r="X2724" t="str">
            <v/>
          </cell>
          <cell r="AB2724">
            <v>0</v>
          </cell>
          <cell r="AC2724">
            <v>0</v>
          </cell>
          <cell r="AD2724">
            <v>0</v>
          </cell>
          <cell r="AJ2724">
            <v>0</v>
          </cell>
          <cell r="AK2724">
            <v>0</v>
          </cell>
        </row>
        <row r="2725">
          <cell r="B2725" t="str">
            <v/>
          </cell>
          <cell r="H2725" t="str">
            <v/>
          </cell>
          <cell r="J2725" t="str">
            <v/>
          </cell>
          <cell r="N2725" t="str">
            <v/>
          </cell>
          <cell r="O2725" t="str">
            <v/>
          </cell>
          <cell r="P2725" t="str">
            <v/>
          </cell>
          <cell r="Q2725" t="str">
            <v/>
          </cell>
          <cell r="T2725" t="str">
            <v/>
          </cell>
          <cell r="U2725" t="str">
            <v/>
          </cell>
          <cell r="W2725" t="str">
            <v/>
          </cell>
          <cell r="X2725" t="str">
            <v/>
          </cell>
          <cell r="AB2725">
            <v>0</v>
          </cell>
          <cell r="AC2725">
            <v>0</v>
          </cell>
          <cell r="AD2725">
            <v>0</v>
          </cell>
          <cell r="AJ2725">
            <v>0</v>
          </cell>
          <cell r="AK2725">
            <v>0</v>
          </cell>
        </row>
        <row r="2726">
          <cell r="B2726" t="str">
            <v/>
          </cell>
          <cell r="H2726" t="str">
            <v/>
          </cell>
          <cell r="J2726" t="str">
            <v/>
          </cell>
          <cell r="N2726" t="str">
            <v/>
          </cell>
          <cell r="O2726" t="str">
            <v/>
          </cell>
          <cell r="P2726" t="str">
            <v/>
          </cell>
          <cell r="Q2726" t="str">
            <v/>
          </cell>
          <cell r="T2726" t="str">
            <v/>
          </cell>
          <cell r="U2726" t="str">
            <v/>
          </cell>
          <cell r="W2726" t="str">
            <v/>
          </cell>
          <cell r="X2726" t="str">
            <v/>
          </cell>
          <cell r="AB2726">
            <v>0</v>
          </cell>
          <cell r="AC2726">
            <v>0</v>
          </cell>
          <cell r="AD2726">
            <v>0</v>
          </cell>
          <cell r="AJ2726">
            <v>0</v>
          </cell>
          <cell r="AK2726">
            <v>0</v>
          </cell>
        </row>
        <row r="2727">
          <cell r="B2727" t="str">
            <v/>
          </cell>
          <cell r="H2727" t="str">
            <v/>
          </cell>
          <cell r="J2727" t="str">
            <v/>
          </cell>
          <cell r="N2727" t="str">
            <v/>
          </cell>
          <cell r="O2727" t="str">
            <v/>
          </cell>
          <cell r="P2727" t="str">
            <v/>
          </cell>
          <cell r="Q2727" t="str">
            <v/>
          </cell>
          <cell r="T2727" t="str">
            <v/>
          </cell>
          <cell r="U2727" t="str">
            <v/>
          </cell>
          <cell r="W2727" t="str">
            <v/>
          </cell>
          <cell r="X2727" t="str">
            <v/>
          </cell>
          <cell r="AB2727">
            <v>0</v>
          </cell>
          <cell r="AC2727">
            <v>0</v>
          </cell>
          <cell r="AD2727">
            <v>0</v>
          </cell>
          <cell r="AJ2727">
            <v>0</v>
          </cell>
          <cell r="AK2727">
            <v>0</v>
          </cell>
        </row>
        <row r="2728">
          <cell r="B2728" t="str">
            <v/>
          </cell>
          <cell r="H2728" t="str">
            <v/>
          </cell>
          <cell r="J2728" t="str">
            <v/>
          </cell>
          <cell r="N2728" t="str">
            <v/>
          </cell>
          <cell r="O2728" t="str">
            <v/>
          </cell>
          <cell r="P2728" t="str">
            <v/>
          </cell>
          <cell r="Q2728" t="str">
            <v/>
          </cell>
          <cell r="T2728" t="str">
            <v/>
          </cell>
          <cell r="U2728" t="str">
            <v/>
          </cell>
          <cell r="W2728" t="str">
            <v/>
          </cell>
          <cell r="X2728" t="str">
            <v/>
          </cell>
          <cell r="AB2728">
            <v>0</v>
          </cell>
          <cell r="AC2728">
            <v>0</v>
          </cell>
          <cell r="AD2728">
            <v>0</v>
          </cell>
          <cell r="AJ2728">
            <v>0</v>
          </cell>
          <cell r="AK2728">
            <v>0</v>
          </cell>
        </row>
        <row r="2729">
          <cell r="B2729" t="str">
            <v/>
          </cell>
          <cell r="H2729" t="str">
            <v/>
          </cell>
          <cell r="J2729" t="str">
            <v/>
          </cell>
          <cell r="N2729" t="str">
            <v/>
          </cell>
          <cell r="O2729" t="str">
            <v/>
          </cell>
          <cell r="P2729" t="str">
            <v/>
          </cell>
          <cell r="Q2729" t="str">
            <v/>
          </cell>
          <cell r="T2729" t="str">
            <v/>
          </cell>
          <cell r="U2729" t="str">
            <v/>
          </cell>
          <cell r="W2729" t="str">
            <v/>
          </cell>
          <cell r="X2729" t="str">
            <v/>
          </cell>
          <cell r="AB2729">
            <v>0</v>
          </cell>
          <cell r="AC2729">
            <v>0</v>
          </cell>
          <cell r="AD2729">
            <v>0</v>
          </cell>
          <cell r="AJ2729">
            <v>0</v>
          </cell>
          <cell r="AK2729">
            <v>0</v>
          </cell>
        </row>
        <row r="2730">
          <cell r="B2730" t="str">
            <v/>
          </cell>
          <cell r="H2730" t="str">
            <v/>
          </cell>
          <cell r="J2730" t="str">
            <v/>
          </cell>
          <cell r="N2730" t="str">
            <v/>
          </cell>
          <cell r="O2730" t="str">
            <v/>
          </cell>
          <cell r="P2730" t="str">
            <v/>
          </cell>
          <cell r="Q2730" t="str">
            <v/>
          </cell>
          <cell r="T2730" t="str">
            <v/>
          </cell>
          <cell r="U2730" t="str">
            <v/>
          </cell>
          <cell r="W2730" t="str">
            <v/>
          </cell>
          <cell r="X2730" t="str">
            <v/>
          </cell>
          <cell r="AB2730">
            <v>0</v>
          </cell>
          <cell r="AC2730">
            <v>0</v>
          </cell>
          <cell r="AD2730">
            <v>0</v>
          </cell>
          <cell r="AJ2730">
            <v>0</v>
          </cell>
          <cell r="AK2730">
            <v>0</v>
          </cell>
        </row>
        <row r="2731">
          <cell r="B2731" t="str">
            <v/>
          </cell>
          <cell r="H2731" t="str">
            <v/>
          </cell>
          <cell r="J2731" t="str">
            <v/>
          </cell>
          <cell r="N2731" t="str">
            <v/>
          </cell>
          <cell r="O2731" t="str">
            <v/>
          </cell>
          <cell r="P2731" t="str">
            <v/>
          </cell>
          <cell r="Q2731" t="str">
            <v/>
          </cell>
          <cell r="T2731" t="str">
            <v/>
          </cell>
          <cell r="U2731" t="str">
            <v/>
          </cell>
          <cell r="W2731" t="str">
            <v/>
          </cell>
          <cell r="X2731" t="str">
            <v/>
          </cell>
          <cell r="AB2731">
            <v>0</v>
          </cell>
          <cell r="AC2731">
            <v>0</v>
          </cell>
          <cell r="AD2731">
            <v>0</v>
          </cell>
          <cell r="AJ2731">
            <v>0</v>
          </cell>
          <cell r="AK2731">
            <v>0</v>
          </cell>
        </row>
        <row r="2732">
          <cell r="B2732" t="str">
            <v/>
          </cell>
          <cell r="H2732" t="str">
            <v/>
          </cell>
          <cell r="J2732" t="str">
            <v/>
          </cell>
          <cell r="N2732" t="str">
            <v/>
          </cell>
          <cell r="O2732" t="str">
            <v/>
          </cell>
          <cell r="P2732" t="str">
            <v/>
          </cell>
          <cell r="Q2732" t="str">
            <v/>
          </cell>
          <cell r="T2732" t="str">
            <v/>
          </cell>
          <cell r="U2732" t="str">
            <v/>
          </cell>
          <cell r="W2732" t="str">
            <v/>
          </cell>
          <cell r="X2732" t="str">
            <v/>
          </cell>
          <cell r="AB2732">
            <v>0</v>
          </cell>
          <cell r="AC2732">
            <v>0</v>
          </cell>
          <cell r="AD2732">
            <v>0</v>
          </cell>
          <cell r="AJ2732">
            <v>0</v>
          </cell>
          <cell r="AK2732">
            <v>0</v>
          </cell>
        </row>
        <row r="2733">
          <cell r="B2733" t="str">
            <v/>
          </cell>
          <cell r="H2733" t="str">
            <v/>
          </cell>
          <cell r="J2733" t="str">
            <v/>
          </cell>
          <cell r="N2733" t="str">
            <v/>
          </cell>
          <cell r="O2733" t="str">
            <v/>
          </cell>
          <cell r="P2733" t="str">
            <v/>
          </cell>
          <cell r="Q2733" t="str">
            <v/>
          </cell>
          <cell r="T2733" t="str">
            <v/>
          </cell>
          <cell r="U2733" t="str">
            <v/>
          </cell>
          <cell r="W2733" t="str">
            <v/>
          </cell>
          <cell r="X2733" t="str">
            <v/>
          </cell>
          <cell r="AB2733">
            <v>0</v>
          </cell>
          <cell r="AC2733">
            <v>0</v>
          </cell>
          <cell r="AD2733">
            <v>0</v>
          </cell>
          <cell r="AJ2733">
            <v>0</v>
          </cell>
          <cell r="AK2733">
            <v>0</v>
          </cell>
        </row>
        <row r="2734">
          <cell r="B2734" t="str">
            <v/>
          </cell>
          <cell r="H2734" t="str">
            <v/>
          </cell>
          <cell r="J2734" t="str">
            <v/>
          </cell>
          <cell r="N2734" t="str">
            <v/>
          </cell>
          <cell r="O2734" t="str">
            <v/>
          </cell>
          <cell r="P2734" t="str">
            <v/>
          </cell>
          <cell r="Q2734" t="str">
            <v/>
          </cell>
          <cell r="T2734" t="str">
            <v/>
          </cell>
          <cell r="U2734" t="str">
            <v/>
          </cell>
          <cell r="W2734" t="str">
            <v/>
          </cell>
          <cell r="X2734" t="str">
            <v/>
          </cell>
          <cell r="AB2734">
            <v>0</v>
          </cell>
          <cell r="AC2734">
            <v>0</v>
          </cell>
          <cell r="AD2734">
            <v>0</v>
          </cell>
          <cell r="AJ2734">
            <v>0</v>
          </cell>
          <cell r="AK2734">
            <v>0</v>
          </cell>
        </row>
        <row r="2735">
          <cell r="B2735" t="str">
            <v/>
          </cell>
          <cell r="H2735" t="str">
            <v/>
          </cell>
          <cell r="J2735" t="str">
            <v/>
          </cell>
          <cell r="N2735" t="str">
            <v/>
          </cell>
          <cell r="O2735" t="str">
            <v/>
          </cell>
          <cell r="P2735" t="str">
            <v/>
          </cell>
          <cell r="Q2735" t="str">
            <v/>
          </cell>
          <cell r="T2735" t="str">
            <v/>
          </cell>
          <cell r="U2735" t="str">
            <v/>
          </cell>
          <cell r="W2735" t="str">
            <v/>
          </cell>
          <cell r="X2735" t="str">
            <v/>
          </cell>
          <cell r="AB2735">
            <v>0</v>
          </cell>
          <cell r="AC2735">
            <v>0</v>
          </cell>
          <cell r="AD2735">
            <v>0</v>
          </cell>
          <cell r="AJ2735">
            <v>0</v>
          </cell>
          <cell r="AK2735">
            <v>0</v>
          </cell>
        </row>
        <row r="2736">
          <cell r="B2736" t="str">
            <v/>
          </cell>
          <cell r="H2736" t="str">
            <v/>
          </cell>
          <cell r="J2736" t="str">
            <v/>
          </cell>
          <cell r="N2736" t="str">
            <v/>
          </cell>
          <cell r="O2736" t="str">
            <v/>
          </cell>
          <cell r="P2736" t="str">
            <v/>
          </cell>
          <cell r="Q2736" t="str">
            <v/>
          </cell>
          <cell r="T2736" t="str">
            <v/>
          </cell>
          <cell r="U2736" t="str">
            <v/>
          </cell>
          <cell r="W2736" t="str">
            <v/>
          </cell>
          <cell r="X2736" t="str">
            <v/>
          </cell>
          <cell r="AB2736">
            <v>0</v>
          </cell>
          <cell r="AC2736">
            <v>0</v>
          </cell>
          <cell r="AD2736">
            <v>0</v>
          </cell>
          <cell r="AJ2736">
            <v>0</v>
          </cell>
          <cell r="AK2736">
            <v>0</v>
          </cell>
        </row>
        <row r="2737">
          <cell r="B2737" t="str">
            <v/>
          </cell>
          <cell r="H2737" t="str">
            <v/>
          </cell>
          <cell r="J2737" t="str">
            <v/>
          </cell>
          <cell r="N2737" t="str">
            <v/>
          </cell>
          <cell r="O2737" t="str">
            <v/>
          </cell>
          <cell r="P2737" t="str">
            <v/>
          </cell>
          <cell r="Q2737" t="str">
            <v/>
          </cell>
          <cell r="T2737" t="str">
            <v/>
          </cell>
          <cell r="U2737" t="str">
            <v/>
          </cell>
          <cell r="W2737" t="str">
            <v/>
          </cell>
          <cell r="X2737" t="str">
            <v/>
          </cell>
          <cell r="AB2737">
            <v>0</v>
          </cell>
          <cell r="AC2737">
            <v>0</v>
          </cell>
          <cell r="AD2737">
            <v>0</v>
          </cell>
          <cell r="AJ2737">
            <v>0</v>
          </cell>
          <cell r="AK2737">
            <v>0</v>
          </cell>
        </row>
        <row r="2738">
          <cell r="B2738" t="str">
            <v/>
          </cell>
          <cell r="H2738" t="str">
            <v/>
          </cell>
          <cell r="J2738" t="str">
            <v/>
          </cell>
          <cell r="N2738" t="str">
            <v/>
          </cell>
          <cell r="O2738" t="str">
            <v/>
          </cell>
          <cell r="P2738" t="str">
            <v/>
          </cell>
          <cell r="Q2738" t="str">
            <v/>
          </cell>
          <cell r="T2738" t="str">
            <v/>
          </cell>
          <cell r="U2738" t="str">
            <v/>
          </cell>
          <cell r="W2738" t="str">
            <v/>
          </cell>
          <cell r="X2738" t="str">
            <v/>
          </cell>
          <cell r="AB2738">
            <v>0</v>
          </cell>
          <cell r="AC2738">
            <v>0</v>
          </cell>
          <cell r="AD2738">
            <v>0</v>
          </cell>
          <cell r="AJ2738">
            <v>0</v>
          </cell>
          <cell r="AK2738">
            <v>0</v>
          </cell>
        </row>
        <row r="2739">
          <cell r="B2739" t="str">
            <v/>
          </cell>
          <cell r="H2739" t="str">
            <v/>
          </cell>
          <cell r="J2739" t="str">
            <v/>
          </cell>
          <cell r="N2739" t="str">
            <v/>
          </cell>
          <cell r="O2739" t="str">
            <v/>
          </cell>
          <cell r="P2739" t="str">
            <v/>
          </cell>
          <cell r="Q2739" t="str">
            <v/>
          </cell>
          <cell r="T2739" t="str">
            <v/>
          </cell>
          <cell r="U2739" t="str">
            <v/>
          </cell>
          <cell r="W2739" t="str">
            <v/>
          </cell>
          <cell r="X2739" t="str">
            <v/>
          </cell>
          <cell r="AB2739">
            <v>0</v>
          </cell>
          <cell r="AC2739">
            <v>0</v>
          </cell>
          <cell r="AD2739">
            <v>0</v>
          </cell>
          <cell r="AJ2739">
            <v>0</v>
          </cell>
          <cell r="AK2739">
            <v>0</v>
          </cell>
        </row>
        <row r="2740">
          <cell r="B2740" t="str">
            <v/>
          </cell>
          <cell r="H2740" t="str">
            <v/>
          </cell>
          <cell r="J2740" t="str">
            <v/>
          </cell>
          <cell r="N2740" t="str">
            <v/>
          </cell>
          <cell r="O2740" t="str">
            <v/>
          </cell>
          <cell r="P2740" t="str">
            <v/>
          </cell>
          <cell r="Q2740" t="str">
            <v/>
          </cell>
          <cell r="T2740" t="str">
            <v/>
          </cell>
          <cell r="U2740" t="str">
            <v/>
          </cell>
          <cell r="W2740" t="str">
            <v/>
          </cell>
          <cell r="X2740" t="str">
            <v/>
          </cell>
          <cell r="AB2740">
            <v>0</v>
          </cell>
          <cell r="AC2740">
            <v>0</v>
          </cell>
          <cell r="AD2740">
            <v>0</v>
          </cell>
          <cell r="AJ2740">
            <v>0</v>
          </cell>
          <cell r="AK2740">
            <v>0</v>
          </cell>
        </row>
        <row r="2741">
          <cell r="B2741" t="str">
            <v/>
          </cell>
          <cell r="H2741" t="str">
            <v/>
          </cell>
          <cell r="J2741" t="str">
            <v/>
          </cell>
          <cell r="N2741" t="str">
            <v/>
          </cell>
          <cell r="O2741" t="str">
            <v/>
          </cell>
          <cell r="P2741" t="str">
            <v/>
          </cell>
          <cell r="Q2741" t="str">
            <v/>
          </cell>
          <cell r="T2741" t="str">
            <v/>
          </cell>
          <cell r="U2741" t="str">
            <v/>
          </cell>
          <cell r="W2741" t="str">
            <v/>
          </cell>
          <cell r="X2741" t="str">
            <v/>
          </cell>
          <cell r="AB2741">
            <v>0</v>
          </cell>
          <cell r="AC2741">
            <v>0</v>
          </cell>
          <cell r="AD2741">
            <v>0</v>
          </cell>
          <cell r="AJ2741">
            <v>0</v>
          </cell>
          <cell r="AK2741">
            <v>0</v>
          </cell>
        </row>
        <row r="2742">
          <cell r="B2742" t="str">
            <v/>
          </cell>
          <cell r="H2742" t="str">
            <v/>
          </cell>
          <cell r="J2742" t="str">
            <v/>
          </cell>
          <cell r="N2742" t="str">
            <v/>
          </cell>
          <cell r="O2742" t="str">
            <v/>
          </cell>
          <cell r="P2742" t="str">
            <v/>
          </cell>
          <cell r="Q2742" t="str">
            <v/>
          </cell>
          <cell r="T2742" t="str">
            <v/>
          </cell>
          <cell r="U2742" t="str">
            <v/>
          </cell>
          <cell r="W2742" t="str">
            <v/>
          </cell>
          <cell r="X2742" t="str">
            <v/>
          </cell>
          <cell r="AB2742">
            <v>0</v>
          </cell>
          <cell r="AC2742">
            <v>0</v>
          </cell>
          <cell r="AD2742">
            <v>0</v>
          </cell>
          <cell r="AJ2742">
            <v>0</v>
          </cell>
          <cell r="AK2742">
            <v>0</v>
          </cell>
        </row>
        <row r="2743">
          <cell r="B2743" t="str">
            <v/>
          </cell>
          <cell r="H2743" t="str">
            <v/>
          </cell>
          <cell r="J2743" t="str">
            <v/>
          </cell>
          <cell r="N2743" t="str">
            <v/>
          </cell>
          <cell r="O2743" t="str">
            <v/>
          </cell>
          <cell r="P2743" t="str">
            <v/>
          </cell>
          <cell r="Q2743" t="str">
            <v/>
          </cell>
          <cell r="T2743" t="str">
            <v/>
          </cell>
          <cell r="U2743" t="str">
            <v/>
          </cell>
          <cell r="W2743" t="str">
            <v/>
          </cell>
          <cell r="X2743" t="str">
            <v/>
          </cell>
          <cell r="AB2743">
            <v>0</v>
          </cell>
          <cell r="AC2743">
            <v>0</v>
          </cell>
          <cell r="AD2743">
            <v>0</v>
          </cell>
          <cell r="AJ2743">
            <v>0</v>
          </cell>
          <cell r="AK2743">
            <v>0</v>
          </cell>
        </row>
        <row r="2744">
          <cell r="B2744" t="str">
            <v/>
          </cell>
          <cell r="H2744" t="str">
            <v/>
          </cell>
          <cell r="J2744" t="str">
            <v/>
          </cell>
          <cell r="N2744" t="str">
            <v/>
          </cell>
          <cell r="O2744" t="str">
            <v/>
          </cell>
          <cell r="P2744" t="str">
            <v/>
          </cell>
          <cell r="Q2744" t="str">
            <v/>
          </cell>
          <cell r="T2744" t="str">
            <v/>
          </cell>
          <cell r="U2744" t="str">
            <v/>
          </cell>
          <cell r="W2744" t="str">
            <v/>
          </cell>
          <cell r="X2744" t="str">
            <v/>
          </cell>
          <cell r="AB2744">
            <v>0</v>
          </cell>
          <cell r="AC2744">
            <v>0</v>
          </cell>
          <cell r="AD2744">
            <v>0</v>
          </cell>
          <cell r="AJ2744">
            <v>0</v>
          </cell>
          <cell r="AK2744">
            <v>0</v>
          </cell>
        </row>
        <row r="2745">
          <cell r="B2745" t="str">
            <v/>
          </cell>
          <cell r="H2745" t="str">
            <v/>
          </cell>
          <cell r="J2745" t="str">
            <v/>
          </cell>
          <cell r="N2745" t="str">
            <v/>
          </cell>
          <cell r="O2745" t="str">
            <v/>
          </cell>
          <cell r="P2745" t="str">
            <v/>
          </cell>
          <cell r="Q2745" t="str">
            <v/>
          </cell>
          <cell r="T2745" t="str">
            <v/>
          </cell>
          <cell r="U2745" t="str">
            <v/>
          </cell>
          <cell r="W2745" t="str">
            <v/>
          </cell>
          <cell r="X2745" t="str">
            <v/>
          </cell>
          <cell r="AB2745">
            <v>0</v>
          </cell>
          <cell r="AC2745">
            <v>0</v>
          </cell>
          <cell r="AD2745">
            <v>0</v>
          </cell>
          <cell r="AJ2745">
            <v>0</v>
          </cell>
          <cell r="AK2745">
            <v>0</v>
          </cell>
        </row>
        <row r="2746">
          <cell r="B2746" t="str">
            <v/>
          </cell>
          <cell r="H2746" t="str">
            <v/>
          </cell>
          <cell r="J2746" t="str">
            <v/>
          </cell>
          <cell r="N2746" t="str">
            <v/>
          </cell>
          <cell r="O2746" t="str">
            <v/>
          </cell>
          <cell r="P2746" t="str">
            <v/>
          </cell>
          <cell r="Q2746" t="str">
            <v/>
          </cell>
          <cell r="T2746" t="str">
            <v/>
          </cell>
          <cell r="U2746" t="str">
            <v/>
          </cell>
          <cell r="W2746" t="str">
            <v/>
          </cell>
          <cell r="X2746" t="str">
            <v/>
          </cell>
          <cell r="AB2746">
            <v>0</v>
          </cell>
          <cell r="AC2746">
            <v>0</v>
          </cell>
          <cell r="AD2746">
            <v>0</v>
          </cell>
          <cell r="AJ2746">
            <v>0</v>
          </cell>
          <cell r="AK2746">
            <v>0</v>
          </cell>
        </row>
        <row r="2747">
          <cell r="B2747" t="str">
            <v/>
          </cell>
          <cell r="H2747" t="str">
            <v/>
          </cell>
          <cell r="J2747" t="str">
            <v/>
          </cell>
          <cell r="N2747" t="str">
            <v/>
          </cell>
          <cell r="O2747" t="str">
            <v/>
          </cell>
          <cell r="P2747" t="str">
            <v/>
          </cell>
          <cell r="Q2747" t="str">
            <v/>
          </cell>
          <cell r="T2747" t="str">
            <v/>
          </cell>
          <cell r="U2747" t="str">
            <v/>
          </cell>
          <cell r="W2747" t="str">
            <v/>
          </cell>
          <cell r="X2747" t="str">
            <v/>
          </cell>
          <cell r="AB2747">
            <v>0</v>
          </cell>
          <cell r="AC2747">
            <v>0</v>
          </cell>
          <cell r="AD2747">
            <v>0</v>
          </cell>
          <cell r="AJ2747">
            <v>0</v>
          </cell>
          <cell r="AK2747">
            <v>0</v>
          </cell>
        </row>
        <row r="2748">
          <cell r="B2748" t="str">
            <v/>
          </cell>
          <cell r="H2748" t="str">
            <v/>
          </cell>
          <cell r="J2748" t="str">
            <v/>
          </cell>
          <cell r="N2748" t="str">
            <v/>
          </cell>
          <cell r="O2748" t="str">
            <v/>
          </cell>
          <cell r="P2748" t="str">
            <v/>
          </cell>
          <cell r="Q2748" t="str">
            <v/>
          </cell>
          <cell r="T2748" t="str">
            <v/>
          </cell>
          <cell r="U2748" t="str">
            <v/>
          </cell>
          <cell r="W2748" t="str">
            <v/>
          </cell>
          <cell r="X2748" t="str">
            <v/>
          </cell>
          <cell r="AB2748">
            <v>0</v>
          </cell>
          <cell r="AC2748">
            <v>0</v>
          </cell>
          <cell r="AD2748">
            <v>0</v>
          </cell>
          <cell r="AJ2748">
            <v>0</v>
          </cell>
          <cell r="AK2748">
            <v>0</v>
          </cell>
        </row>
        <row r="2749">
          <cell r="B2749" t="str">
            <v/>
          </cell>
          <cell r="H2749" t="str">
            <v/>
          </cell>
          <cell r="J2749" t="str">
            <v/>
          </cell>
          <cell r="N2749" t="str">
            <v/>
          </cell>
          <cell r="O2749" t="str">
            <v/>
          </cell>
          <cell r="P2749" t="str">
            <v/>
          </cell>
          <cell r="Q2749" t="str">
            <v/>
          </cell>
          <cell r="T2749" t="str">
            <v/>
          </cell>
          <cell r="U2749" t="str">
            <v/>
          </cell>
          <cell r="W2749" t="str">
            <v/>
          </cell>
          <cell r="X2749" t="str">
            <v/>
          </cell>
          <cell r="AB2749">
            <v>0</v>
          </cell>
          <cell r="AC2749">
            <v>0</v>
          </cell>
          <cell r="AD2749">
            <v>0</v>
          </cell>
          <cell r="AJ2749">
            <v>0</v>
          </cell>
          <cell r="AK2749">
            <v>0</v>
          </cell>
        </row>
        <row r="2750">
          <cell r="B2750" t="str">
            <v/>
          </cell>
          <cell r="H2750" t="str">
            <v/>
          </cell>
          <cell r="J2750" t="str">
            <v/>
          </cell>
          <cell r="N2750" t="str">
            <v/>
          </cell>
          <cell r="O2750" t="str">
            <v/>
          </cell>
          <cell r="P2750" t="str">
            <v/>
          </cell>
          <cell r="Q2750" t="str">
            <v/>
          </cell>
          <cell r="T2750" t="str">
            <v/>
          </cell>
          <cell r="U2750" t="str">
            <v/>
          </cell>
          <cell r="W2750" t="str">
            <v/>
          </cell>
          <cell r="X2750" t="str">
            <v/>
          </cell>
          <cell r="AB2750">
            <v>0</v>
          </cell>
          <cell r="AC2750">
            <v>0</v>
          </cell>
          <cell r="AD2750">
            <v>0</v>
          </cell>
          <cell r="AJ2750">
            <v>0</v>
          </cell>
          <cell r="AK2750">
            <v>0</v>
          </cell>
        </row>
        <row r="2751">
          <cell r="B2751" t="str">
            <v/>
          </cell>
          <cell r="H2751" t="str">
            <v/>
          </cell>
          <cell r="J2751" t="str">
            <v/>
          </cell>
          <cell r="N2751" t="str">
            <v/>
          </cell>
          <cell r="O2751" t="str">
            <v/>
          </cell>
          <cell r="P2751" t="str">
            <v/>
          </cell>
          <cell r="Q2751" t="str">
            <v/>
          </cell>
          <cell r="T2751" t="str">
            <v/>
          </cell>
          <cell r="U2751" t="str">
            <v/>
          </cell>
          <cell r="W2751" t="str">
            <v/>
          </cell>
          <cell r="X2751" t="str">
            <v/>
          </cell>
          <cell r="AB2751">
            <v>0</v>
          </cell>
          <cell r="AC2751">
            <v>0</v>
          </cell>
          <cell r="AD2751">
            <v>0</v>
          </cell>
          <cell r="AJ2751">
            <v>0</v>
          </cell>
          <cell r="AK2751">
            <v>0</v>
          </cell>
        </row>
        <row r="2752">
          <cell r="B2752" t="str">
            <v/>
          </cell>
          <cell r="H2752" t="str">
            <v/>
          </cell>
          <cell r="J2752" t="str">
            <v/>
          </cell>
          <cell r="N2752" t="str">
            <v/>
          </cell>
          <cell r="O2752" t="str">
            <v/>
          </cell>
          <cell r="P2752" t="str">
            <v/>
          </cell>
          <cell r="Q2752" t="str">
            <v/>
          </cell>
          <cell r="T2752" t="str">
            <v/>
          </cell>
          <cell r="U2752" t="str">
            <v/>
          </cell>
          <cell r="W2752" t="str">
            <v/>
          </cell>
          <cell r="X2752" t="str">
            <v/>
          </cell>
          <cell r="AB2752">
            <v>0</v>
          </cell>
          <cell r="AC2752">
            <v>0</v>
          </cell>
          <cell r="AD2752">
            <v>0</v>
          </cell>
          <cell r="AJ2752">
            <v>0</v>
          </cell>
          <cell r="AK2752">
            <v>0</v>
          </cell>
        </row>
        <row r="2753">
          <cell r="B2753" t="str">
            <v/>
          </cell>
          <cell r="H2753" t="str">
            <v/>
          </cell>
          <cell r="J2753" t="str">
            <v/>
          </cell>
          <cell r="N2753" t="str">
            <v/>
          </cell>
          <cell r="O2753" t="str">
            <v/>
          </cell>
          <cell r="P2753" t="str">
            <v/>
          </cell>
          <cell r="Q2753" t="str">
            <v/>
          </cell>
          <cell r="T2753" t="str">
            <v/>
          </cell>
          <cell r="U2753" t="str">
            <v/>
          </cell>
          <cell r="W2753" t="str">
            <v/>
          </cell>
          <cell r="X2753" t="str">
            <v/>
          </cell>
          <cell r="AB2753">
            <v>0</v>
          </cell>
          <cell r="AC2753">
            <v>0</v>
          </cell>
          <cell r="AD2753">
            <v>0</v>
          </cell>
          <cell r="AJ2753">
            <v>0</v>
          </cell>
          <cell r="AK2753">
            <v>0</v>
          </cell>
        </row>
        <row r="2754">
          <cell r="B2754" t="str">
            <v/>
          </cell>
          <cell r="H2754" t="str">
            <v/>
          </cell>
          <cell r="J2754" t="str">
            <v/>
          </cell>
          <cell r="N2754" t="str">
            <v/>
          </cell>
          <cell r="O2754" t="str">
            <v/>
          </cell>
          <cell r="P2754" t="str">
            <v/>
          </cell>
          <cell r="Q2754" t="str">
            <v/>
          </cell>
          <cell r="T2754" t="str">
            <v/>
          </cell>
          <cell r="U2754" t="str">
            <v/>
          </cell>
          <cell r="W2754" t="str">
            <v/>
          </cell>
          <cell r="X2754" t="str">
            <v/>
          </cell>
          <cell r="AB2754">
            <v>0</v>
          </cell>
          <cell r="AC2754">
            <v>0</v>
          </cell>
          <cell r="AD2754">
            <v>0</v>
          </cell>
          <cell r="AJ2754">
            <v>0</v>
          </cell>
          <cell r="AK2754">
            <v>0</v>
          </cell>
        </row>
        <row r="2755">
          <cell r="B2755" t="str">
            <v/>
          </cell>
          <cell r="H2755" t="str">
            <v/>
          </cell>
          <cell r="J2755" t="str">
            <v/>
          </cell>
          <cell r="N2755" t="str">
            <v/>
          </cell>
          <cell r="O2755" t="str">
            <v/>
          </cell>
          <cell r="P2755" t="str">
            <v/>
          </cell>
          <cell r="Q2755" t="str">
            <v/>
          </cell>
          <cell r="T2755" t="str">
            <v/>
          </cell>
          <cell r="U2755" t="str">
            <v/>
          </cell>
          <cell r="W2755" t="str">
            <v/>
          </cell>
          <cell r="X2755" t="str">
            <v/>
          </cell>
          <cell r="AB2755">
            <v>0</v>
          </cell>
          <cell r="AC2755">
            <v>0</v>
          </cell>
          <cell r="AD2755">
            <v>0</v>
          </cell>
          <cell r="AJ2755">
            <v>0</v>
          </cell>
          <cell r="AK2755">
            <v>0</v>
          </cell>
        </row>
        <row r="2756">
          <cell r="B2756" t="str">
            <v/>
          </cell>
          <cell r="H2756" t="str">
            <v/>
          </cell>
          <cell r="J2756" t="str">
            <v/>
          </cell>
          <cell r="N2756" t="str">
            <v/>
          </cell>
          <cell r="O2756" t="str">
            <v/>
          </cell>
          <cell r="P2756" t="str">
            <v/>
          </cell>
          <cell r="Q2756" t="str">
            <v/>
          </cell>
          <cell r="T2756" t="str">
            <v/>
          </cell>
          <cell r="U2756" t="str">
            <v/>
          </cell>
          <cell r="W2756" t="str">
            <v/>
          </cell>
          <cell r="X2756" t="str">
            <v/>
          </cell>
          <cell r="AB2756">
            <v>0</v>
          </cell>
          <cell r="AC2756">
            <v>0</v>
          </cell>
          <cell r="AD2756">
            <v>0</v>
          </cell>
          <cell r="AJ2756">
            <v>0</v>
          </cell>
          <cell r="AK2756">
            <v>0</v>
          </cell>
        </row>
        <row r="2757">
          <cell r="B2757" t="str">
            <v/>
          </cell>
          <cell r="H2757" t="str">
            <v/>
          </cell>
          <cell r="J2757" t="str">
            <v/>
          </cell>
          <cell r="N2757" t="str">
            <v/>
          </cell>
          <cell r="O2757" t="str">
            <v/>
          </cell>
          <cell r="P2757" t="str">
            <v/>
          </cell>
          <cell r="Q2757" t="str">
            <v/>
          </cell>
          <cell r="T2757" t="str">
            <v/>
          </cell>
          <cell r="U2757" t="str">
            <v/>
          </cell>
          <cell r="W2757" t="str">
            <v/>
          </cell>
          <cell r="X2757" t="str">
            <v/>
          </cell>
          <cell r="AB2757">
            <v>0</v>
          </cell>
          <cell r="AC2757">
            <v>0</v>
          </cell>
          <cell r="AD2757">
            <v>0</v>
          </cell>
          <cell r="AJ2757">
            <v>0</v>
          </cell>
          <cell r="AK2757">
            <v>0</v>
          </cell>
        </row>
        <row r="2758">
          <cell r="B2758" t="str">
            <v/>
          </cell>
          <cell r="H2758" t="str">
            <v/>
          </cell>
          <cell r="J2758" t="str">
            <v/>
          </cell>
          <cell r="N2758" t="str">
            <v/>
          </cell>
          <cell r="O2758" t="str">
            <v/>
          </cell>
          <cell r="P2758" t="str">
            <v/>
          </cell>
          <cell r="Q2758" t="str">
            <v/>
          </cell>
          <cell r="T2758" t="str">
            <v/>
          </cell>
          <cell r="U2758" t="str">
            <v/>
          </cell>
          <cell r="W2758" t="str">
            <v/>
          </cell>
          <cell r="X2758" t="str">
            <v/>
          </cell>
          <cell r="AB2758">
            <v>0</v>
          </cell>
          <cell r="AC2758">
            <v>0</v>
          </cell>
          <cell r="AD2758">
            <v>0</v>
          </cell>
          <cell r="AJ2758">
            <v>0</v>
          </cell>
          <cell r="AK2758">
            <v>0</v>
          </cell>
        </row>
        <row r="2759">
          <cell r="B2759" t="str">
            <v/>
          </cell>
          <cell r="H2759" t="str">
            <v/>
          </cell>
          <cell r="J2759" t="str">
            <v/>
          </cell>
          <cell r="N2759" t="str">
            <v/>
          </cell>
          <cell r="O2759" t="str">
            <v/>
          </cell>
          <cell r="P2759" t="str">
            <v/>
          </cell>
          <cell r="Q2759" t="str">
            <v/>
          </cell>
          <cell r="T2759" t="str">
            <v/>
          </cell>
          <cell r="U2759" t="str">
            <v/>
          </cell>
          <cell r="W2759" t="str">
            <v/>
          </cell>
          <cell r="X2759" t="str">
            <v/>
          </cell>
          <cell r="AB2759">
            <v>0</v>
          </cell>
          <cell r="AC2759">
            <v>0</v>
          </cell>
          <cell r="AD2759">
            <v>0</v>
          </cell>
          <cell r="AJ2759">
            <v>0</v>
          </cell>
          <cell r="AK2759">
            <v>0</v>
          </cell>
        </row>
        <row r="2760">
          <cell r="B2760" t="str">
            <v/>
          </cell>
          <cell r="H2760" t="str">
            <v/>
          </cell>
          <cell r="J2760" t="str">
            <v/>
          </cell>
          <cell r="N2760" t="str">
            <v/>
          </cell>
          <cell r="O2760" t="str">
            <v/>
          </cell>
          <cell r="P2760" t="str">
            <v/>
          </cell>
          <cell r="Q2760" t="str">
            <v/>
          </cell>
          <cell r="T2760" t="str">
            <v/>
          </cell>
          <cell r="U2760" t="str">
            <v/>
          </cell>
          <cell r="W2760" t="str">
            <v/>
          </cell>
          <cell r="X2760" t="str">
            <v/>
          </cell>
          <cell r="AB2760">
            <v>0</v>
          </cell>
          <cell r="AC2760">
            <v>0</v>
          </cell>
          <cell r="AD2760">
            <v>0</v>
          </cell>
          <cell r="AJ2760">
            <v>0</v>
          </cell>
          <cell r="AK2760">
            <v>0</v>
          </cell>
        </row>
        <row r="2761">
          <cell r="B2761" t="str">
            <v/>
          </cell>
          <cell r="H2761" t="str">
            <v/>
          </cell>
          <cell r="J2761" t="str">
            <v/>
          </cell>
          <cell r="N2761" t="str">
            <v/>
          </cell>
          <cell r="O2761" t="str">
            <v/>
          </cell>
          <cell r="P2761" t="str">
            <v/>
          </cell>
          <cell r="Q2761" t="str">
            <v/>
          </cell>
          <cell r="T2761" t="str">
            <v/>
          </cell>
          <cell r="U2761" t="str">
            <v/>
          </cell>
          <cell r="W2761" t="str">
            <v/>
          </cell>
          <cell r="X2761" t="str">
            <v/>
          </cell>
          <cell r="AB2761">
            <v>0</v>
          </cell>
          <cell r="AC2761">
            <v>0</v>
          </cell>
          <cell r="AD2761">
            <v>0</v>
          </cell>
          <cell r="AJ2761">
            <v>0</v>
          </cell>
          <cell r="AK2761">
            <v>0</v>
          </cell>
        </row>
        <row r="2762">
          <cell r="B2762" t="str">
            <v/>
          </cell>
          <cell r="H2762" t="str">
            <v/>
          </cell>
          <cell r="J2762" t="str">
            <v/>
          </cell>
          <cell r="N2762" t="str">
            <v/>
          </cell>
          <cell r="O2762" t="str">
            <v/>
          </cell>
          <cell r="P2762" t="str">
            <v/>
          </cell>
          <cell r="Q2762" t="str">
            <v/>
          </cell>
          <cell r="T2762" t="str">
            <v/>
          </cell>
          <cell r="U2762" t="str">
            <v/>
          </cell>
          <cell r="W2762" t="str">
            <v/>
          </cell>
          <cell r="X2762" t="str">
            <v/>
          </cell>
          <cell r="AB2762">
            <v>0</v>
          </cell>
          <cell r="AC2762">
            <v>0</v>
          </cell>
          <cell r="AD2762">
            <v>0</v>
          </cell>
          <cell r="AJ2762">
            <v>0</v>
          </cell>
          <cell r="AK2762">
            <v>0</v>
          </cell>
        </row>
        <row r="2763">
          <cell r="B2763" t="str">
            <v/>
          </cell>
          <cell r="H2763" t="str">
            <v/>
          </cell>
          <cell r="J2763" t="str">
            <v/>
          </cell>
          <cell r="N2763" t="str">
            <v/>
          </cell>
          <cell r="O2763" t="str">
            <v/>
          </cell>
          <cell r="P2763" t="str">
            <v/>
          </cell>
          <cell r="Q2763" t="str">
            <v/>
          </cell>
          <cell r="T2763" t="str">
            <v/>
          </cell>
          <cell r="U2763" t="str">
            <v/>
          </cell>
          <cell r="W2763" t="str">
            <v/>
          </cell>
          <cell r="X2763" t="str">
            <v/>
          </cell>
          <cell r="AB2763">
            <v>0</v>
          </cell>
          <cell r="AC2763">
            <v>0</v>
          </cell>
          <cell r="AD2763">
            <v>0</v>
          </cell>
          <cell r="AJ2763">
            <v>0</v>
          </cell>
          <cell r="AK2763">
            <v>0</v>
          </cell>
        </row>
        <row r="2764">
          <cell r="B2764" t="str">
            <v/>
          </cell>
          <cell r="H2764" t="str">
            <v/>
          </cell>
          <cell r="J2764" t="str">
            <v/>
          </cell>
          <cell r="N2764" t="str">
            <v/>
          </cell>
          <cell r="O2764" t="str">
            <v/>
          </cell>
          <cell r="P2764" t="str">
            <v/>
          </cell>
          <cell r="Q2764" t="str">
            <v/>
          </cell>
          <cell r="T2764" t="str">
            <v/>
          </cell>
          <cell r="U2764" t="str">
            <v/>
          </cell>
          <cell r="W2764" t="str">
            <v/>
          </cell>
          <cell r="X2764" t="str">
            <v/>
          </cell>
          <cell r="AB2764">
            <v>0</v>
          </cell>
          <cell r="AC2764">
            <v>0</v>
          </cell>
          <cell r="AD2764">
            <v>0</v>
          </cell>
          <cell r="AJ2764">
            <v>0</v>
          </cell>
          <cell r="AK2764">
            <v>0</v>
          </cell>
        </row>
        <row r="2765">
          <cell r="B2765" t="str">
            <v/>
          </cell>
          <cell r="H2765" t="str">
            <v/>
          </cell>
          <cell r="J2765" t="str">
            <v/>
          </cell>
          <cell r="N2765" t="str">
            <v/>
          </cell>
          <cell r="O2765" t="str">
            <v/>
          </cell>
          <cell r="P2765" t="str">
            <v/>
          </cell>
          <cell r="Q2765" t="str">
            <v/>
          </cell>
          <cell r="T2765" t="str">
            <v/>
          </cell>
          <cell r="U2765" t="str">
            <v/>
          </cell>
          <cell r="W2765" t="str">
            <v/>
          </cell>
          <cell r="X2765" t="str">
            <v/>
          </cell>
          <cell r="AB2765">
            <v>0</v>
          </cell>
          <cell r="AC2765">
            <v>0</v>
          </cell>
          <cell r="AD2765">
            <v>0</v>
          </cell>
          <cell r="AJ2765">
            <v>0</v>
          </cell>
          <cell r="AK2765">
            <v>0</v>
          </cell>
        </row>
        <row r="2766">
          <cell r="B2766" t="str">
            <v/>
          </cell>
          <cell r="H2766" t="str">
            <v/>
          </cell>
          <cell r="J2766" t="str">
            <v/>
          </cell>
          <cell r="N2766" t="str">
            <v/>
          </cell>
          <cell r="O2766" t="str">
            <v/>
          </cell>
          <cell r="P2766" t="str">
            <v/>
          </cell>
          <cell r="Q2766" t="str">
            <v/>
          </cell>
          <cell r="T2766" t="str">
            <v/>
          </cell>
          <cell r="U2766" t="str">
            <v/>
          </cell>
          <cell r="W2766" t="str">
            <v/>
          </cell>
          <cell r="X2766" t="str">
            <v/>
          </cell>
          <cell r="AB2766">
            <v>0</v>
          </cell>
          <cell r="AC2766">
            <v>0</v>
          </cell>
          <cell r="AD2766">
            <v>0</v>
          </cell>
          <cell r="AJ2766">
            <v>0</v>
          </cell>
          <cell r="AK2766">
            <v>0</v>
          </cell>
        </row>
        <row r="2767">
          <cell r="B2767" t="str">
            <v/>
          </cell>
          <cell r="H2767" t="str">
            <v/>
          </cell>
          <cell r="J2767" t="str">
            <v/>
          </cell>
          <cell r="N2767" t="str">
            <v/>
          </cell>
          <cell r="O2767" t="str">
            <v/>
          </cell>
          <cell r="P2767" t="str">
            <v/>
          </cell>
          <cell r="Q2767" t="str">
            <v/>
          </cell>
          <cell r="T2767" t="str">
            <v/>
          </cell>
          <cell r="U2767" t="str">
            <v/>
          </cell>
          <cell r="W2767" t="str">
            <v/>
          </cell>
          <cell r="X2767" t="str">
            <v/>
          </cell>
          <cell r="AB2767">
            <v>0</v>
          </cell>
          <cell r="AC2767">
            <v>0</v>
          </cell>
          <cell r="AD2767">
            <v>0</v>
          </cell>
          <cell r="AJ2767">
            <v>0</v>
          </cell>
          <cell r="AK2767">
            <v>0</v>
          </cell>
        </row>
        <row r="2768">
          <cell r="B2768" t="str">
            <v/>
          </cell>
          <cell r="H2768" t="str">
            <v/>
          </cell>
          <cell r="J2768" t="str">
            <v/>
          </cell>
          <cell r="N2768" t="str">
            <v/>
          </cell>
          <cell r="O2768" t="str">
            <v/>
          </cell>
          <cell r="P2768" t="str">
            <v/>
          </cell>
          <cell r="Q2768" t="str">
            <v/>
          </cell>
          <cell r="T2768" t="str">
            <v/>
          </cell>
          <cell r="U2768" t="str">
            <v/>
          </cell>
          <cell r="W2768" t="str">
            <v/>
          </cell>
          <cell r="X2768" t="str">
            <v/>
          </cell>
          <cell r="AB2768">
            <v>0</v>
          </cell>
          <cell r="AC2768">
            <v>0</v>
          </cell>
          <cell r="AD2768">
            <v>0</v>
          </cell>
          <cell r="AJ2768">
            <v>0</v>
          </cell>
          <cell r="AK2768">
            <v>0</v>
          </cell>
        </row>
        <row r="2769">
          <cell r="B2769" t="str">
            <v/>
          </cell>
          <cell r="H2769" t="str">
            <v/>
          </cell>
          <cell r="J2769" t="str">
            <v/>
          </cell>
          <cell r="N2769" t="str">
            <v/>
          </cell>
          <cell r="O2769" t="str">
            <v/>
          </cell>
          <cell r="P2769" t="str">
            <v/>
          </cell>
          <cell r="Q2769" t="str">
            <v/>
          </cell>
          <cell r="T2769" t="str">
            <v/>
          </cell>
          <cell r="U2769" t="str">
            <v/>
          </cell>
          <cell r="W2769" t="str">
            <v/>
          </cell>
          <cell r="X2769" t="str">
            <v/>
          </cell>
          <cell r="AB2769">
            <v>0</v>
          </cell>
          <cell r="AC2769">
            <v>0</v>
          </cell>
          <cell r="AD2769">
            <v>0</v>
          </cell>
          <cell r="AJ2769">
            <v>0</v>
          </cell>
          <cell r="AK2769">
            <v>0</v>
          </cell>
        </row>
        <row r="2770">
          <cell r="B2770" t="str">
            <v/>
          </cell>
          <cell r="H2770" t="str">
            <v/>
          </cell>
          <cell r="J2770" t="str">
            <v/>
          </cell>
          <cell r="N2770" t="str">
            <v/>
          </cell>
          <cell r="O2770" t="str">
            <v/>
          </cell>
          <cell r="P2770" t="str">
            <v/>
          </cell>
          <cell r="Q2770" t="str">
            <v/>
          </cell>
          <cell r="T2770" t="str">
            <v/>
          </cell>
          <cell r="U2770" t="str">
            <v/>
          </cell>
          <cell r="W2770" t="str">
            <v/>
          </cell>
          <cell r="X2770" t="str">
            <v/>
          </cell>
          <cell r="AB2770">
            <v>0</v>
          </cell>
          <cell r="AC2770">
            <v>0</v>
          </cell>
          <cell r="AD2770">
            <v>0</v>
          </cell>
          <cell r="AJ2770">
            <v>0</v>
          </cell>
          <cell r="AK2770">
            <v>0</v>
          </cell>
        </row>
        <row r="2771">
          <cell r="B2771" t="str">
            <v/>
          </cell>
          <cell r="H2771" t="str">
            <v/>
          </cell>
          <cell r="J2771" t="str">
            <v/>
          </cell>
          <cell r="N2771" t="str">
            <v/>
          </cell>
          <cell r="O2771" t="str">
            <v/>
          </cell>
          <cell r="P2771" t="str">
            <v/>
          </cell>
          <cell r="Q2771" t="str">
            <v/>
          </cell>
          <cell r="T2771" t="str">
            <v/>
          </cell>
          <cell r="U2771" t="str">
            <v/>
          </cell>
          <cell r="W2771" t="str">
            <v/>
          </cell>
          <cell r="X2771" t="str">
            <v/>
          </cell>
          <cell r="AB2771">
            <v>0</v>
          </cell>
          <cell r="AC2771">
            <v>0</v>
          </cell>
          <cell r="AD2771">
            <v>0</v>
          </cell>
          <cell r="AJ2771">
            <v>0</v>
          </cell>
          <cell r="AK2771">
            <v>0</v>
          </cell>
        </row>
        <row r="2772">
          <cell r="B2772" t="str">
            <v/>
          </cell>
          <cell r="H2772" t="str">
            <v/>
          </cell>
          <cell r="J2772" t="str">
            <v/>
          </cell>
          <cell r="N2772" t="str">
            <v/>
          </cell>
          <cell r="O2772" t="str">
            <v/>
          </cell>
          <cell r="P2772" t="str">
            <v/>
          </cell>
          <cell r="Q2772" t="str">
            <v/>
          </cell>
          <cell r="T2772" t="str">
            <v/>
          </cell>
          <cell r="U2772" t="str">
            <v/>
          </cell>
          <cell r="W2772" t="str">
            <v/>
          </cell>
          <cell r="X2772" t="str">
            <v/>
          </cell>
          <cell r="AB2772">
            <v>0</v>
          </cell>
          <cell r="AC2772">
            <v>0</v>
          </cell>
          <cell r="AD2772">
            <v>0</v>
          </cell>
          <cell r="AJ2772">
            <v>0</v>
          </cell>
          <cell r="AK2772">
            <v>0</v>
          </cell>
        </row>
        <row r="2773">
          <cell r="B2773" t="str">
            <v/>
          </cell>
          <cell r="H2773" t="str">
            <v/>
          </cell>
          <cell r="J2773" t="str">
            <v/>
          </cell>
          <cell r="N2773" t="str">
            <v/>
          </cell>
          <cell r="O2773" t="str">
            <v/>
          </cell>
          <cell r="P2773" t="str">
            <v/>
          </cell>
          <cell r="Q2773" t="str">
            <v/>
          </cell>
          <cell r="T2773" t="str">
            <v/>
          </cell>
          <cell r="U2773" t="str">
            <v/>
          </cell>
          <cell r="W2773" t="str">
            <v/>
          </cell>
          <cell r="X2773" t="str">
            <v/>
          </cell>
          <cell r="AB2773">
            <v>0</v>
          </cell>
          <cell r="AC2773">
            <v>0</v>
          </cell>
          <cell r="AD2773">
            <v>0</v>
          </cell>
          <cell r="AJ2773">
            <v>0</v>
          </cell>
          <cell r="AK2773">
            <v>0</v>
          </cell>
        </row>
        <row r="2774">
          <cell r="B2774" t="str">
            <v/>
          </cell>
          <cell r="H2774" t="str">
            <v/>
          </cell>
          <cell r="J2774" t="str">
            <v/>
          </cell>
          <cell r="N2774" t="str">
            <v/>
          </cell>
          <cell r="O2774" t="str">
            <v/>
          </cell>
          <cell r="P2774" t="str">
            <v/>
          </cell>
          <cell r="Q2774" t="str">
            <v/>
          </cell>
          <cell r="T2774" t="str">
            <v/>
          </cell>
          <cell r="U2774" t="str">
            <v/>
          </cell>
          <cell r="W2774" t="str">
            <v/>
          </cell>
          <cell r="X2774" t="str">
            <v/>
          </cell>
          <cell r="AB2774">
            <v>0</v>
          </cell>
          <cell r="AC2774">
            <v>0</v>
          </cell>
          <cell r="AD2774">
            <v>0</v>
          </cell>
          <cell r="AJ2774">
            <v>0</v>
          </cell>
          <cell r="AK2774">
            <v>0</v>
          </cell>
        </row>
        <row r="2775">
          <cell r="B2775" t="str">
            <v/>
          </cell>
          <cell r="H2775" t="str">
            <v/>
          </cell>
          <cell r="J2775" t="str">
            <v/>
          </cell>
          <cell r="N2775" t="str">
            <v/>
          </cell>
          <cell r="O2775" t="str">
            <v/>
          </cell>
          <cell r="P2775" t="str">
            <v/>
          </cell>
          <cell r="Q2775" t="str">
            <v/>
          </cell>
          <cell r="T2775" t="str">
            <v/>
          </cell>
          <cell r="U2775" t="str">
            <v/>
          </cell>
          <cell r="W2775" t="str">
            <v/>
          </cell>
          <cell r="X2775" t="str">
            <v/>
          </cell>
          <cell r="AB2775">
            <v>0</v>
          </cell>
          <cell r="AC2775">
            <v>0</v>
          </cell>
          <cell r="AD2775">
            <v>0</v>
          </cell>
          <cell r="AJ2775">
            <v>0</v>
          </cell>
          <cell r="AK2775">
            <v>0</v>
          </cell>
        </row>
        <row r="2776">
          <cell r="B2776" t="str">
            <v/>
          </cell>
          <cell r="H2776" t="str">
            <v/>
          </cell>
          <cell r="J2776" t="str">
            <v/>
          </cell>
          <cell r="N2776" t="str">
            <v/>
          </cell>
          <cell r="O2776" t="str">
            <v/>
          </cell>
          <cell r="P2776" t="str">
            <v/>
          </cell>
          <cell r="Q2776" t="str">
            <v/>
          </cell>
          <cell r="T2776" t="str">
            <v/>
          </cell>
          <cell r="U2776" t="str">
            <v/>
          </cell>
          <cell r="W2776" t="str">
            <v/>
          </cell>
          <cell r="X2776" t="str">
            <v/>
          </cell>
          <cell r="AB2776">
            <v>0</v>
          </cell>
          <cell r="AC2776">
            <v>0</v>
          </cell>
          <cell r="AD2776">
            <v>0</v>
          </cell>
          <cell r="AJ2776">
            <v>0</v>
          </cell>
          <cell r="AK2776">
            <v>0</v>
          </cell>
        </row>
        <row r="2777">
          <cell r="B2777" t="str">
            <v/>
          </cell>
          <cell r="H2777" t="str">
            <v/>
          </cell>
          <cell r="J2777" t="str">
            <v/>
          </cell>
          <cell r="N2777" t="str">
            <v/>
          </cell>
          <cell r="O2777" t="str">
            <v/>
          </cell>
          <cell r="P2777" t="str">
            <v/>
          </cell>
          <cell r="Q2777" t="str">
            <v/>
          </cell>
          <cell r="T2777" t="str">
            <v/>
          </cell>
          <cell r="U2777" t="str">
            <v/>
          </cell>
          <cell r="W2777" t="str">
            <v/>
          </cell>
          <cell r="X2777" t="str">
            <v/>
          </cell>
          <cell r="AB2777">
            <v>0</v>
          </cell>
          <cell r="AC2777">
            <v>0</v>
          </cell>
          <cell r="AD2777">
            <v>0</v>
          </cell>
          <cell r="AJ2777">
            <v>0</v>
          </cell>
          <cell r="AK2777">
            <v>0</v>
          </cell>
        </row>
        <row r="2778">
          <cell r="B2778" t="str">
            <v/>
          </cell>
          <cell r="H2778" t="str">
            <v/>
          </cell>
          <cell r="J2778" t="str">
            <v/>
          </cell>
          <cell r="N2778" t="str">
            <v/>
          </cell>
          <cell r="O2778" t="str">
            <v/>
          </cell>
          <cell r="P2778" t="str">
            <v/>
          </cell>
          <cell r="Q2778" t="str">
            <v/>
          </cell>
          <cell r="T2778" t="str">
            <v/>
          </cell>
          <cell r="U2778" t="str">
            <v/>
          </cell>
          <cell r="W2778" t="str">
            <v/>
          </cell>
          <cell r="X2778" t="str">
            <v/>
          </cell>
          <cell r="AB2778">
            <v>0</v>
          </cell>
          <cell r="AC2778">
            <v>0</v>
          </cell>
          <cell r="AD2778">
            <v>0</v>
          </cell>
          <cell r="AJ2778">
            <v>0</v>
          </cell>
          <cell r="AK2778">
            <v>0</v>
          </cell>
        </row>
        <row r="2779">
          <cell r="B2779" t="str">
            <v/>
          </cell>
          <cell r="H2779" t="str">
            <v/>
          </cell>
          <cell r="J2779" t="str">
            <v/>
          </cell>
          <cell r="N2779" t="str">
            <v/>
          </cell>
          <cell r="O2779" t="str">
            <v/>
          </cell>
          <cell r="P2779" t="str">
            <v/>
          </cell>
          <cell r="Q2779" t="str">
            <v/>
          </cell>
          <cell r="T2779" t="str">
            <v/>
          </cell>
          <cell r="U2779" t="str">
            <v/>
          </cell>
          <cell r="W2779" t="str">
            <v/>
          </cell>
          <cell r="X2779" t="str">
            <v/>
          </cell>
          <cell r="AB2779">
            <v>0</v>
          </cell>
          <cell r="AC2779">
            <v>0</v>
          </cell>
          <cell r="AD2779">
            <v>0</v>
          </cell>
          <cell r="AJ2779">
            <v>0</v>
          </cell>
          <cell r="AK2779">
            <v>0</v>
          </cell>
        </row>
        <row r="2780">
          <cell r="B2780" t="str">
            <v/>
          </cell>
          <cell r="H2780" t="str">
            <v/>
          </cell>
          <cell r="J2780" t="str">
            <v/>
          </cell>
          <cell r="N2780" t="str">
            <v/>
          </cell>
          <cell r="O2780" t="str">
            <v/>
          </cell>
          <cell r="P2780" t="str">
            <v/>
          </cell>
          <cell r="Q2780" t="str">
            <v/>
          </cell>
          <cell r="T2780" t="str">
            <v/>
          </cell>
          <cell r="U2780" t="str">
            <v/>
          </cell>
          <cell r="W2780" t="str">
            <v/>
          </cell>
          <cell r="X2780" t="str">
            <v/>
          </cell>
          <cell r="AB2780">
            <v>0</v>
          </cell>
          <cell r="AC2780">
            <v>0</v>
          </cell>
          <cell r="AD2780">
            <v>0</v>
          </cell>
          <cell r="AJ2780">
            <v>0</v>
          </cell>
          <cell r="AK2780">
            <v>0</v>
          </cell>
        </row>
        <row r="2781">
          <cell r="B2781" t="str">
            <v/>
          </cell>
          <cell r="H2781" t="str">
            <v/>
          </cell>
          <cell r="J2781" t="str">
            <v/>
          </cell>
          <cell r="N2781" t="str">
            <v/>
          </cell>
          <cell r="O2781" t="str">
            <v/>
          </cell>
          <cell r="P2781" t="str">
            <v/>
          </cell>
          <cell r="Q2781" t="str">
            <v/>
          </cell>
          <cell r="T2781" t="str">
            <v/>
          </cell>
          <cell r="U2781" t="str">
            <v/>
          </cell>
          <cell r="W2781" t="str">
            <v/>
          </cell>
          <cell r="X2781" t="str">
            <v/>
          </cell>
          <cell r="AB2781">
            <v>0</v>
          </cell>
          <cell r="AC2781">
            <v>0</v>
          </cell>
          <cell r="AD2781">
            <v>0</v>
          </cell>
          <cell r="AJ2781">
            <v>0</v>
          </cell>
          <cell r="AK2781">
            <v>0</v>
          </cell>
        </row>
        <row r="2782">
          <cell r="B2782" t="str">
            <v/>
          </cell>
          <cell r="H2782" t="str">
            <v/>
          </cell>
          <cell r="J2782" t="str">
            <v/>
          </cell>
          <cell r="N2782" t="str">
            <v/>
          </cell>
          <cell r="O2782" t="str">
            <v/>
          </cell>
          <cell r="P2782" t="str">
            <v/>
          </cell>
          <cell r="Q2782" t="str">
            <v/>
          </cell>
          <cell r="T2782" t="str">
            <v/>
          </cell>
          <cell r="U2782" t="str">
            <v/>
          </cell>
          <cell r="W2782" t="str">
            <v/>
          </cell>
          <cell r="X2782" t="str">
            <v/>
          </cell>
          <cell r="AB2782">
            <v>0</v>
          </cell>
          <cell r="AC2782">
            <v>0</v>
          </cell>
          <cell r="AD2782">
            <v>0</v>
          </cell>
          <cell r="AJ2782">
            <v>0</v>
          </cell>
          <cell r="AK2782">
            <v>0</v>
          </cell>
        </row>
        <row r="2783">
          <cell r="B2783" t="str">
            <v/>
          </cell>
          <cell r="H2783" t="str">
            <v/>
          </cell>
          <cell r="J2783" t="str">
            <v/>
          </cell>
          <cell r="N2783" t="str">
            <v/>
          </cell>
          <cell r="O2783" t="str">
            <v/>
          </cell>
          <cell r="P2783" t="str">
            <v/>
          </cell>
          <cell r="Q2783" t="str">
            <v/>
          </cell>
          <cell r="T2783" t="str">
            <v/>
          </cell>
          <cell r="U2783" t="str">
            <v/>
          </cell>
          <cell r="W2783" t="str">
            <v/>
          </cell>
          <cell r="X2783" t="str">
            <v/>
          </cell>
          <cell r="AB2783">
            <v>0</v>
          </cell>
          <cell r="AC2783">
            <v>0</v>
          </cell>
          <cell r="AD2783">
            <v>0</v>
          </cell>
          <cell r="AJ2783">
            <v>0</v>
          </cell>
          <cell r="AK2783">
            <v>0</v>
          </cell>
        </row>
        <row r="2784">
          <cell r="B2784" t="str">
            <v/>
          </cell>
          <cell r="H2784" t="str">
            <v/>
          </cell>
          <cell r="J2784" t="str">
            <v/>
          </cell>
          <cell r="N2784" t="str">
            <v/>
          </cell>
          <cell r="O2784" t="str">
            <v/>
          </cell>
          <cell r="P2784" t="str">
            <v/>
          </cell>
          <cell r="Q2784" t="str">
            <v/>
          </cell>
          <cell r="T2784" t="str">
            <v/>
          </cell>
          <cell r="U2784" t="str">
            <v/>
          </cell>
          <cell r="W2784" t="str">
            <v/>
          </cell>
          <cell r="X2784" t="str">
            <v/>
          </cell>
          <cell r="AB2784">
            <v>0</v>
          </cell>
          <cell r="AC2784">
            <v>0</v>
          </cell>
          <cell r="AD2784">
            <v>0</v>
          </cell>
          <cell r="AJ2784">
            <v>0</v>
          </cell>
          <cell r="AK2784">
            <v>0</v>
          </cell>
        </row>
        <row r="2785">
          <cell r="B2785" t="str">
            <v/>
          </cell>
          <cell r="H2785" t="str">
            <v/>
          </cell>
          <cell r="J2785" t="str">
            <v/>
          </cell>
          <cell r="N2785" t="str">
            <v/>
          </cell>
          <cell r="O2785" t="str">
            <v/>
          </cell>
          <cell r="P2785" t="str">
            <v/>
          </cell>
          <cell r="Q2785" t="str">
            <v/>
          </cell>
          <cell r="T2785" t="str">
            <v/>
          </cell>
          <cell r="U2785" t="str">
            <v/>
          </cell>
          <cell r="W2785" t="str">
            <v/>
          </cell>
          <cell r="X2785" t="str">
            <v/>
          </cell>
          <cell r="AB2785">
            <v>0</v>
          </cell>
          <cell r="AC2785">
            <v>0</v>
          </cell>
          <cell r="AD2785">
            <v>0</v>
          </cell>
          <cell r="AJ2785">
            <v>0</v>
          </cell>
          <cell r="AK2785">
            <v>0</v>
          </cell>
        </row>
        <row r="2786">
          <cell r="B2786" t="str">
            <v/>
          </cell>
          <cell r="H2786" t="str">
            <v/>
          </cell>
          <cell r="J2786" t="str">
            <v/>
          </cell>
          <cell r="N2786" t="str">
            <v/>
          </cell>
          <cell r="O2786" t="str">
            <v/>
          </cell>
          <cell r="P2786" t="str">
            <v/>
          </cell>
          <cell r="Q2786" t="str">
            <v/>
          </cell>
          <cell r="T2786" t="str">
            <v/>
          </cell>
          <cell r="U2786" t="str">
            <v/>
          </cell>
          <cell r="W2786" t="str">
            <v/>
          </cell>
          <cell r="X2786" t="str">
            <v/>
          </cell>
          <cell r="AB2786">
            <v>0</v>
          </cell>
          <cell r="AC2786">
            <v>0</v>
          </cell>
          <cell r="AD2786">
            <v>0</v>
          </cell>
          <cell r="AJ2786">
            <v>0</v>
          </cell>
          <cell r="AK2786">
            <v>0</v>
          </cell>
        </row>
        <row r="2787">
          <cell r="B2787" t="str">
            <v/>
          </cell>
          <cell r="H2787" t="str">
            <v/>
          </cell>
          <cell r="J2787" t="str">
            <v/>
          </cell>
          <cell r="N2787" t="str">
            <v/>
          </cell>
          <cell r="O2787" t="str">
            <v/>
          </cell>
          <cell r="P2787" t="str">
            <v/>
          </cell>
          <cell r="Q2787" t="str">
            <v/>
          </cell>
          <cell r="T2787" t="str">
            <v/>
          </cell>
          <cell r="U2787" t="str">
            <v/>
          </cell>
          <cell r="W2787" t="str">
            <v/>
          </cell>
          <cell r="X2787" t="str">
            <v/>
          </cell>
          <cell r="AB2787">
            <v>0</v>
          </cell>
          <cell r="AC2787">
            <v>0</v>
          </cell>
          <cell r="AD2787">
            <v>0</v>
          </cell>
          <cell r="AJ2787">
            <v>0</v>
          </cell>
          <cell r="AK2787">
            <v>0</v>
          </cell>
        </row>
        <row r="2788">
          <cell r="B2788" t="str">
            <v/>
          </cell>
          <cell r="H2788" t="str">
            <v/>
          </cell>
          <cell r="J2788" t="str">
            <v/>
          </cell>
          <cell r="N2788" t="str">
            <v/>
          </cell>
          <cell r="O2788" t="str">
            <v/>
          </cell>
          <cell r="P2788" t="str">
            <v/>
          </cell>
          <cell r="Q2788" t="str">
            <v/>
          </cell>
          <cell r="T2788" t="str">
            <v/>
          </cell>
          <cell r="U2788" t="str">
            <v/>
          </cell>
          <cell r="W2788" t="str">
            <v/>
          </cell>
          <cell r="X2788" t="str">
            <v/>
          </cell>
          <cell r="AB2788">
            <v>0</v>
          </cell>
          <cell r="AC2788">
            <v>0</v>
          </cell>
          <cell r="AD2788">
            <v>0</v>
          </cell>
          <cell r="AJ2788">
            <v>0</v>
          </cell>
          <cell r="AK2788">
            <v>0</v>
          </cell>
        </row>
        <row r="2789">
          <cell r="B2789" t="str">
            <v/>
          </cell>
          <cell r="H2789" t="str">
            <v/>
          </cell>
          <cell r="J2789" t="str">
            <v/>
          </cell>
          <cell r="N2789" t="str">
            <v/>
          </cell>
          <cell r="O2789" t="str">
            <v/>
          </cell>
          <cell r="P2789" t="str">
            <v/>
          </cell>
          <cell r="Q2789" t="str">
            <v/>
          </cell>
          <cell r="T2789" t="str">
            <v/>
          </cell>
          <cell r="U2789" t="str">
            <v/>
          </cell>
          <cell r="W2789" t="str">
            <v/>
          </cell>
          <cell r="X2789" t="str">
            <v/>
          </cell>
          <cell r="AB2789">
            <v>0</v>
          </cell>
          <cell r="AC2789">
            <v>0</v>
          </cell>
          <cell r="AD2789">
            <v>0</v>
          </cell>
          <cell r="AJ2789">
            <v>0</v>
          </cell>
          <cell r="AK2789">
            <v>0</v>
          </cell>
        </row>
        <row r="2790">
          <cell r="B2790" t="str">
            <v/>
          </cell>
          <cell r="H2790" t="str">
            <v/>
          </cell>
          <cell r="J2790" t="str">
            <v/>
          </cell>
          <cell r="N2790" t="str">
            <v/>
          </cell>
          <cell r="O2790" t="str">
            <v/>
          </cell>
          <cell r="P2790" t="str">
            <v/>
          </cell>
          <cell r="Q2790" t="str">
            <v/>
          </cell>
          <cell r="T2790" t="str">
            <v/>
          </cell>
          <cell r="U2790" t="str">
            <v/>
          </cell>
          <cell r="W2790" t="str">
            <v/>
          </cell>
          <cell r="X2790" t="str">
            <v/>
          </cell>
          <cell r="AB2790">
            <v>0</v>
          </cell>
          <cell r="AC2790">
            <v>0</v>
          </cell>
          <cell r="AD2790">
            <v>0</v>
          </cell>
          <cell r="AJ2790">
            <v>0</v>
          </cell>
          <cell r="AK2790">
            <v>0</v>
          </cell>
        </row>
        <row r="2791">
          <cell r="B2791" t="str">
            <v/>
          </cell>
          <cell r="H2791" t="str">
            <v/>
          </cell>
          <cell r="J2791" t="str">
            <v/>
          </cell>
          <cell r="N2791" t="str">
            <v/>
          </cell>
          <cell r="O2791" t="str">
            <v/>
          </cell>
          <cell r="P2791" t="str">
            <v/>
          </cell>
          <cell r="Q2791" t="str">
            <v/>
          </cell>
          <cell r="T2791" t="str">
            <v/>
          </cell>
          <cell r="U2791" t="str">
            <v/>
          </cell>
          <cell r="W2791" t="str">
            <v/>
          </cell>
          <cell r="X2791" t="str">
            <v/>
          </cell>
          <cell r="AB2791">
            <v>0</v>
          </cell>
          <cell r="AC2791">
            <v>0</v>
          </cell>
          <cell r="AD2791">
            <v>0</v>
          </cell>
          <cell r="AJ2791">
            <v>0</v>
          </cell>
          <cell r="AK2791">
            <v>0</v>
          </cell>
        </row>
        <row r="2792">
          <cell r="B2792" t="str">
            <v/>
          </cell>
          <cell r="H2792" t="str">
            <v/>
          </cell>
          <cell r="J2792" t="str">
            <v/>
          </cell>
          <cell r="N2792" t="str">
            <v/>
          </cell>
          <cell r="O2792" t="str">
            <v/>
          </cell>
          <cell r="P2792" t="str">
            <v/>
          </cell>
          <cell r="Q2792" t="str">
            <v/>
          </cell>
          <cell r="T2792" t="str">
            <v/>
          </cell>
          <cell r="U2792" t="str">
            <v/>
          </cell>
          <cell r="W2792" t="str">
            <v/>
          </cell>
          <cell r="X2792" t="str">
            <v/>
          </cell>
          <cell r="AB2792">
            <v>0</v>
          </cell>
          <cell r="AC2792">
            <v>0</v>
          </cell>
          <cell r="AD2792">
            <v>0</v>
          </cell>
          <cell r="AJ2792">
            <v>0</v>
          </cell>
          <cell r="AK2792">
            <v>0</v>
          </cell>
        </row>
        <row r="2793">
          <cell r="B2793" t="str">
            <v/>
          </cell>
          <cell r="H2793" t="str">
            <v/>
          </cell>
          <cell r="J2793" t="str">
            <v/>
          </cell>
          <cell r="N2793" t="str">
            <v/>
          </cell>
          <cell r="O2793" t="str">
            <v/>
          </cell>
          <cell r="P2793" t="str">
            <v/>
          </cell>
          <cell r="Q2793" t="str">
            <v/>
          </cell>
          <cell r="T2793" t="str">
            <v/>
          </cell>
          <cell r="U2793" t="str">
            <v/>
          </cell>
          <cell r="W2793" t="str">
            <v/>
          </cell>
          <cell r="X2793" t="str">
            <v/>
          </cell>
          <cell r="AB2793">
            <v>0</v>
          </cell>
          <cell r="AC2793">
            <v>0</v>
          </cell>
          <cell r="AD2793">
            <v>0</v>
          </cell>
          <cell r="AJ2793">
            <v>0</v>
          </cell>
          <cell r="AK2793">
            <v>0</v>
          </cell>
        </row>
        <row r="2794">
          <cell r="B2794" t="str">
            <v/>
          </cell>
          <cell r="H2794" t="str">
            <v/>
          </cell>
          <cell r="J2794" t="str">
            <v/>
          </cell>
          <cell r="N2794" t="str">
            <v/>
          </cell>
          <cell r="O2794" t="str">
            <v/>
          </cell>
          <cell r="P2794" t="str">
            <v/>
          </cell>
          <cell r="Q2794" t="str">
            <v/>
          </cell>
          <cell r="T2794" t="str">
            <v/>
          </cell>
          <cell r="U2794" t="str">
            <v/>
          </cell>
          <cell r="W2794" t="str">
            <v/>
          </cell>
          <cell r="X2794" t="str">
            <v/>
          </cell>
          <cell r="AB2794">
            <v>0</v>
          </cell>
          <cell r="AC2794">
            <v>0</v>
          </cell>
          <cell r="AD2794">
            <v>0</v>
          </cell>
          <cell r="AJ2794">
            <v>0</v>
          </cell>
          <cell r="AK2794">
            <v>0</v>
          </cell>
        </row>
        <row r="2795">
          <cell r="B2795" t="str">
            <v/>
          </cell>
          <cell r="H2795" t="str">
            <v/>
          </cell>
          <cell r="J2795" t="str">
            <v/>
          </cell>
          <cell r="N2795" t="str">
            <v/>
          </cell>
          <cell r="O2795" t="str">
            <v/>
          </cell>
          <cell r="P2795" t="str">
            <v/>
          </cell>
          <cell r="Q2795" t="str">
            <v/>
          </cell>
          <cell r="T2795" t="str">
            <v/>
          </cell>
          <cell r="U2795" t="str">
            <v/>
          </cell>
          <cell r="W2795" t="str">
            <v/>
          </cell>
          <cell r="X2795" t="str">
            <v/>
          </cell>
          <cell r="AB2795">
            <v>0</v>
          </cell>
          <cell r="AC2795">
            <v>0</v>
          </cell>
          <cell r="AD2795">
            <v>0</v>
          </cell>
          <cell r="AJ2795">
            <v>0</v>
          </cell>
          <cell r="AK2795">
            <v>0</v>
          </cell>
        </row>
        <row r="2796">
          <cell r="B2796" t="str">
            <v/>
          </cell>
          <cell r="H2796" t="str">
            <v/>
          </cell>
          <cell r="J2796" t="str">
            <v/>
          </cell>
          <cell r="N2796" t="str">
            <v/>
          </cell>
          <cell r="O2796" t="str">
            <v/>
          </cell>
          <cell r="P2796" t="str">
            <v/>
          </cell>
          <cell r="Q2796" t="str">
            <v/>
          </cell>
          <cell r="T2796" t="str">
            <v/>
          </cell>
          <cell r="U2796" t="str">
            <v/>
          </cell>
          <cell r="W2796" t="str">
            <v/>
          </cell>
          <cell r="X2796" t="str">
            <v/>
          </cell>
          <cell r="AB2796">
            <v>0</v>
          </cell>
          <cell r="AC2796">
            <v>0</v>
          </cell>
          <cell r="AD2796">
            <v>0</v>
          </cell>
          <cell r="AJ2796">
            <v>0</v>
          </cell>
          <cell r="AK2796">
            <v>0</v>
          </cell>
        </row>
        <row r="2797">
          <cell r="B2797" t="str">
            <v/>
          </cell>
          <cell r="H2797" t="str">
            <v/>
          </cell>
          <cell r="J2797" t="str">
            <v/>
          </cell>
          <cell r="N2797" t="str">
            <v/>
          </cell>
          <cell r="O2797" t="str">
            <v/>
          </cell>
          <cell r="P2797" t="str">
            <v/>
          </cell>
          <cell r="Q2797" t="str">
            <v/>
          </cell>
          <cell r="T2797" t="str">
            <v/>
          </cell>
          <cell r="U2797" t="str">
            <v/>
          </cell>
          <cell r="W2797" t="str">
            <v/>
          </cell>
          <cell r="X2797" t="str">
            <v/>
          </cell>
          <cell r="AB2797">
            <v>0</v>
          </cell>
          <cell r="AC2797">
            <v>0</v>
          </cell>
          <cell r="AD2797">
            <v>0</v>
          </cell>
          <cell r="AJ2797">
            <v>0</v>
          </cell>
          <cell r="AK2797">
            <v>0</v>
          </cell>
        </row>
        <row r="2798">
          <cell r="B2798" t="str">
            <v/>
          </cell>
          <cell r="H2798" t="str">
            <v/>
          </cell>
          <cell r="J2798" t="str">
            <v/>
          </cell>
          <cell r="N2798" t="str">
            <v/>
          </cell>
          <cell r="O2798" t="str">
            <v/>
          </cell>
          <cell r="P2798" t="str">
            <v/>
          </cell>
          <cell r="Q2798" t="str">
            <v/>
          </cell>
          <cell r="T2798" t="str">
            <v/>
          </cell>
          <cell r="U2798" t="str">
            <v/>
          </cell>
          <cell r="W2798" t="str">
            <v/>
          </cell>
          <cell r="X2798" t="str">
            <v/>
          </cell>
          <cell r="AB2798">
            <v>0</v>
          </cell>
          <cell r="AC2798">
            <v>0</v>
          </cell>
          <cell r="AD2798">
            <v>0</v>
          </cell>
          <cell r="AJ2798">
            <v>0</v>
          </cell>
          <cell r="AK2798">
            <v>0</v>
          </cell>
        </row>
        <row r="2799">
          <cell r="B2799" t="str">
            <v/>
          </cell>
          <cell r="H2799" t="str">
            <v/>
          </cell>
          <cell r="J2799" t="str">
            <v/>
          </cell>
          <cell r="N2799" t="str">
            <v/>
          </cell>
          <cell r="O2799" t="str">
            <v/>
          </cell>
          <cell r="P2799" t="str">
            <v/>
          </cell>
          <cell r="Q2799" t="str">
            <v/>
          </cell>
          <cell r="T2799" t="str">
            <v/>
          </cell>
          <cell r="U2799" t="str">
            <v/>
          </cell>
          <cell r="W2799" t="str">
            <v/>
          </cell>
          <cell r="X2799" t="str">
            <v/>
          </cell>
          <cell r="AB2799">
            <v>0</v>
          </cell>
          <cell r="AC2799">
            <v>0</v>
          </cell>
          <cell r="AD2799">
            <v>0</v>
          </cell>
          <cell r="AJ2799">
            <v>0</v>
          </cell>
          <cell r="AK2799">
            <v>0</v>
          </cell>
        </row>
        <row r="2800">
          <cell r="B2800" t="str">
            <v/>
          </cell>
          <cell r="H2800" t="str">
            <v/>
          </cell>
          <cell r="J2800" t="str">
            <v/>
          </cell>
          <cell r="N2800" t="str">
            <v/>
          </cell>
          <cell r="O2800" t="str">
            <v/>
          </cell>
          <cell r="P2800" t="str">
            <v/>
          </cell>
          <cell r="Q2800" t="str">
            <v/>
          </cell>
          <cell r="T2800" t="str">
            <v/>
          </cell>
          <cell r="U2800" t="str">
            <v/>
          </cell>
          <cell r="W2800" t="str">
            <v/>
          </cell>
          <cell r="X2800" t="str">
            <v/>
          </cell>
          <cell r="AB2800">
            <v>0</v>
          </cell>
          <cell r="AC2800">
            <v>0</v>
          </cell>
          <cell r="AD2800">
            <v>0</v>
          </cell>
          <cell r="AJ2800">
            <v>0</v>
          </cell>
          <cell r="AK2800">
            <v>0</v>
          </cell>
        </row>
        <row r="2801">
          <cell r="B2801" t="str">
            <v/>
          </cell>
          <cell r="H2801" t="str">
            <v/>
          </cell>
          <cell r="J2801" t="str">
            <v/>
          </cell>
          <cell r="N2801" t="str">
            <v/>
          </cell>
          <cell r="O2801" t="str">
            <v/>
          </cell>
          <cell r="P2801" t="str">
            <v/>
          </cell>
          <cell r="Q2801" t="str">
            <v/>
          </cell>
          <cell r="T2801" t="str">
            <v/>
          </cell>
          <cell r="U2801" t="str">
            <v/>
          </cell>
          <cell r="W2801" t="str">
            <v/>
          </cell>
          <cell r="X2801" t="str">
            <v/>
          </cell>
          <cell r="AB2801">
            <v>0</v>
          </cell>
          <cell r="AC2801">
            <v>0</v>
          </cell>
          <cell r="AD2801">
            <v>0</v>
          </cell>
          <cell r="AJ2801">
            <v>0</v>
          </cell>
          <cell r="AK2801">
            <v>0</v>
          </cell>
        </row>
        <row r="2802">
          <cell r="B2802" t="str">
            <v/>
          </cell>
          <cell r="H2802" t="str">
            <v/>
          </cell>
          <cell r="J2802" t="str">
            <v/>
          </cell>
          <cell r="N2802" t="str">
            <v/>
          </cell>
          <cell r="O2802" t="str">
            <v/>
          </cell>
          <cell r="P2802" t="str">
            <v/>
          </cell>
          <cell r="Q2802" t="str">
            <v/>
          </cell>
          <cell r="T2802" t="str">
            <v/>
          </cell>
          <cell r="U2802" t="str">
            <v/>
          </cell>
          <cell r="W2802" t="str">
            <v/>
          </cell>
          <cell r="X2802" t="str">
            <v/>
          </cell>
          <cell r="AB2802">
            <v>0</v>
          </cell>
          <cell r="AC2802">
            <v>0</v>
          </cell>
          <cell r="AD2802">
            <v>0</v>
          </cell>
          <cell r="AJ2802">
            <v>0</v>
          </cell>
          <cell r="AK2802">
            <v>0</v>
          </cell>
        </row>
        <row r="2803">
          <cell r="B2803" t="str">
            <v/>
          </cell>
          <cell r="H2803" t="str">
            <v/>
          </cell>
          <cell r="J2803" t="str">
            <v/>
          </cell>
          <cell r="N2803" t="str">
            <v/>
          </cell>
          <cell r="O2803" t="str">
            <v/>
          </cell>
          <cell r="P2803" t="str">
            <v/>
          </cell>
          <cell r="Q2803" t="str">
            <v/>
          </cell>
          <cell r="T2803" t="str">
            <v/>
          </cell>
          <cell r="U2803" t="str">
            <v/>
          </cell>
          <cell r="W2803" t="str">
            <v/>
          </cell>
          <cell r="X2803" t="str">
            <v/>
          </cell>
          <cell r="AB2803">
            <v>0</v>
          </cell>
          <cell r="AC2803">
            <v>0</v>
          </cell>
          <cell r="AD2803">
            <v>0</v>
          </cell>
          <cell r="AJ2803">
            <v>0</v>
          </cell>
          <cell r="AK2803">
            <v>0</v>
          </cell>
        </row>
        <row r="2804">
          <cell r="B2804" t="str">
            <v/>
          </cell>
          <cell r="H2804" t="str">
            <v/>
          </cell>
          <cell r="J2804" t="str">
            <v/>
          </cell>
          <cell r="N2804" t="str">
            <v/>
          </cell>
          <cell r="O2804" t="str">
            <v/>
          </cell>
          <cell r="P2804" t="str">
            <v/>
          </cell>
          <cell r="Q2804" t="str">
            <v/>
          </cell>
          <cell r="T2804" t="str">
            <v/>
          </cell>
          <cell r="U2804" t="str">
            <v/>
          </cell>
          <cell r="W2804" t="str">
            <v/>
          </cell>
          <cell r="X2804" t="str">
            <v/>
          </cell>
          <cell r="AB2804">
            <v>0</v>
          </cell>
          <cell r="AC2804">
            <v>0</v>
          </cell>
          <cell r="AD2804">
            <v>0</v>
          </cell>
          <cell r="AJ2804">
            <v>0</v>
          </cell>
          <cell r="AK2804">
            <v>0</v>
          </cell>
        </row>
        <row r="2805">
          <cell r="B2805" t="str">
            <v/>
          </cell>
          <cell r="H2805" t="str">
            <v/>
          </cell>
          <cell r="J2805" t="str">
            <v/>
          </cell>
          <cell r="N2805" t="str">
            <v/>
          </cell>
          <cell r="O2805" t="str">
            <v/>
          </cell>
          <cell r="P2805" t="str">
            <v/>
          </cell>
          <cell r="Q2805" t="str">
            <v/>
          </cell>
          <cell r="T2805" t="str">
            <v/>
          </cell>
          <cell r="U2805" t="str">
            <v/>
          </cell>
          <cell r="W2805" t="str">
            <v/>
          </cell>
          <cell r="X2805" t="str">
            <v/>
          </cell>
          <cell r="AB2805">
            <v>0</v>
          </cell>
          <cell r="AC2805">
            <v>0</v>
          </cell>
          <cell r="AD2805">
            <v>0</v>
          </cell>
          <cell r="AJ2805">
            <v>0</v>
          </cell>
          <cell r="AK2805">
            <v>0</v>
          </cell>
        </row>
        <row r="2806">
          <cell r="B2806" t="str">
            <v/>
          </cell>
          <cell r="H2806" t="str">
            <v/>
          </cell>
          <cell r="J2806" t="str">
            <v/>
          </cell>
          <cell r="N2806" t="str">
            <v/>
          </cell>
          <cell r="O2806" t="str">
            <v/>
          </cell>
          <cell r="P2806" t="str">
            <v/>
          </cell>
          <cell r="Q2806" t="str">
            <v/>
          </cell>
          <cell r="T2806" t="str">
            <v/>
          </cell>
          <cell r="U2806" t="str">
            <v/>
          </cell>
          <cell r="W2806" t="str">
            <v/>
          </cell>
          <cell r="X2806" t="str">
            <v/>
          </cell>
          <cell r="AB2806">
            <v>0</v>
          </cell>
          <cell r="AC2806">
            <v>0</v>
          </cell>
          <cell r="AD2806">
            <v>0</v>
          </cell>
          <cell r="AJ2806">
            <v>0</v>
          </cell>
          <cell r="AK2806">
            <v>0</v>
          </cell>
        </row>
        <row r="2807">
          <cell r="B2807" t="str">
            <v/>
          </cell>
          <cell r="H2807" t="str">
            <v/>
          </cell>
          <cell r="J2807" t="str">
            <v/>
          </cell>
          <cell r="N2807" t="str">
            <v/>
          </cell>
          <cell r="O2807" t="str">
            <v/>
          </cell>
          <cell r="P2807" t="str">
            <v/>
          </cell>
          <cell r="Q2807" t="str">
            <v/>
          </cell>
          <cell r="T2807" t="str">
            <v/>
          </cell>
          <cell r="U2807" t="str">
            <v/>
          </cell>
          <cell r="W2807" t="str">
            <v/>
          </cell>
          <cell r="X2807" t="str">
            <v/>
          </cell>
          <cell r="AB2807">
            <v>0</v>
          </cell>
          <cell r="AC2807">
            <v>0</v>
          </cell>
          <cell r="AD2807">
            <v>0</v>
          </cell>
          <cell r="AJ2807">
            <v>0</v>
          </cell>
          <cell r="AK2807">
            <v>0</v>
          </cell>
        </row>
        <row r="2808">
          <cell r="B2808" t="str">
            <v/>
          </cell>
          <cell r="H2808" t="str">
            <v/>
          </cell>
          <cell r="J2808" t="str">
            <v/>
          </cell>
          <cell r="N2808" t="str">
            <v/>
          </cell>
          <cell r="O2808" t="str">
            <v/>
          </cell>
          <cell r="P2808" t="str">
            <v/>
          </cell>
          <cell r="Q2808" t="str">
            <v/>
          </cell>
          <cell r="T2808" t="str">
            <v/>
          </cell>
          <cell r="U2808" t="str">
            <v/>
          </cell>
          <cell r="W2808" t="str">
            <v/>
          </cell>
          <cell r="X2808" t="str">
            <v/>
          </cell>
          <cell r="AB2808">
            <v>0</v>
          </cell>
          <cell r="AC2808">
            <v>0</v>
          </cell>
          <cell r="AD2808">
            <v>0</v>
          </cell>
          <cell r="AJ2808">
            <v>0</v>
          </cell>
          <cell r="AK2808">
            <v>0</v>
          </cell>
        </row>
        <row r="2809">
          <cell r="B2809" t="str">
            <v/>
          </cell>
          <cell r="H2809" t="str">
            <v/>
          </cell>
          <cell r="J2809" t="str">
            <v/>
          </cell>
          <cell r="N2809" t="str">
            <v/>
          </cell>
          <cell r="O2809" t="str">
            <v/>
          </cell>
          <cell r="P2809" t="str">
            <v/>
          </cell>
          <cell r="Q2809" t="str">
            <v/>
          </cell>
          <cell r="T2809" t="str">
            <v/>
          </cell>
          <cell r="U2809" t="str">
            <v/>
          </cell>
          <cell r="W2809" t="str">
            <v/>
          </cell>
          <cell r="X2809" t="str">
            <v/>
          </cell>
          <cell r="AB2809">
            <v>0</v>
          </cell>
          <cell r="AC2809">
            <v>0</v>
          </cell>
          <cell r="AD2809">
            <v>0</v>
          </cell>
          <cell r="AJ2809">
            <v>0</v>
          </cell>
          <cell r="AK2809">
            <v>0</v>
          </cell>
        </row>
        <row r="2810">
          <cell r="B2810" t="str">
            <v/>
          </cell>
          <cell r="H2810" t="str">
            <v/>
          </cell>
          <cell r="J2810" t="str">
            <v/>
          </cell>
          <cell r="N2810" t="str">
            <v/>
          </cell>
          <cell r="O2810" t="str">
            <v/>
          </cell>
          <cell r="P2810" t="str">
            <v/>
          </cell>
          <cell r="Q2810" t="str">
            <v/>
          </cell>
          <cell r="T2810" t="str">
            <v/>
          </cell>
          <cell r="U2810" t="str">
            <v/>
          </cell>
          <cell r="W2810" t="str">
            <v/>
          </cell>
          <cell r="X2810" t="str">
            <v/>
          </cell>
          <cell r="AB2810">
            <v>0</v>
          </cell>
          <cell r="AC2810">
            <v>0</v>
          </cell>
          <cell r="AD2810">
            <v>0</v>
          </cell>
          <cell r="AJ2810">
            <v>0</v>
          </cell>
          <cell r="AK2810">
            <v>0</v>
          </cell>
        </row>
        <row r="2811">
          <cell r="B2811" t="str">
            <v/>
          </cell>
          <cell r="H2811" t="str">
            <v/>
          </cell>
          <cell r="J2811" t="str">
            <v/>
          </cell>
          <cell r="N2811" t="str">
            <v/>
          </cell>
          <cell r="O2811" t="str">
            <v/>
          </cell>
          <cell r="P2811" t="str">
            <v/>
          </cell>
          <cell r="Q2811" t="str">
            <v/>
          </cell>
          <cell r="T2811" t="str">
            <v/>
          </cell>
          <cell r="U2811" t="str">
            <v/>
          </cell>
          <cell r="W2811" t="str">
            <v/>
          </cell>
          <cell r="X2811" t="str">
            <v/>
          </cell>
          <cell r="AB2811">
            <v>0</v>
          </cell>
          <cell r="AC2811">
            <v>0</v>
          </cell>
          <cell r="AD2811">
            <v>0</v>
          </cell>
          <cell r="AJ2811">
            <v>0</v>
          </cell>
          <cell r="AK2811">
            <v>0</v>
          </cell>
        </row>
        <row r="2812">
          <cell r="B2812" t="str">
            <v/>
          </cell>
          <cell r="H2812" t="str">
            <v/>
          </cell>
          <cell r="J2812" t="str">
            <v/>
          </cell>
          <cell r="N2812" t="str">
            <v/>
          </cell>
          <cell r="O2812" t="str">
            <v/>
          </cell>
          <cell r="P2812" t="str">
            <v/>
          </cell>
          <cell r="Q2812" t="str">
            <v/>
          </cell>
          <cell r="T2812" t="str">
            <v/>
          </cell>
          <cell r="U2812" t="str">
            <v/>
          </cell>
          <cell r="W2812" t="str">
            <v/>
          </cell>
          <cell r="X2812" t="str">
            <v/>
          </cell>
          <cell r="AB2812">
            <v>0</v>
          </cell>
          <cell r="AC2812">
            <v>0</v>
          </cell>
          <cell r="AD2812">
            <v>0</v>
          </cell>
          <cell r="AJ2812">
            <v>0</v>
          </cell>
          <cell r="AK2812">
            <v>0</v>
          </cell>
        </row>
        <row r="2813">
          <cell r="B2813" t="str">
            <v/>
          </cell>
          <cell r="H2813" t="str">
            <v/>
          </cell>
          <cell r="J2813" t="str">
            <v/>
          </cell>
          <cell r="N2813" t="str">
            <v/>
          </cell>
          <cell r="O2813" t="str">
            <v/>
          </cell>
          <cell r="P2813" t="str">
            <v/>
          </cell>
          <cell r="Q2813" t="str">
            <v/>
          </cell>
          <cell r="T2813" t="str">
            <v/>
          </cell>
          <cell r="U2813" t="str">
            <v/>
          </cell>
          <cell r="W2813" t="str">
            <v/>
          </cell>
          <cell r="X2813" t="str">
            <v/>
          </cell>
          <cell r="AB2813">
            <v>0</v>
          </cell>
          <cell r="AC2813">
            <v>0</v>
          </cell>
          <cell r="AD2813">
            <v>0</v>
          </cell>
          <cell r="AJ2813">
            <v>0</v>
          </cell>
          <cell r="AK2813">
            <v>0</v>
          </cell>
        </row>
        <row r="2814">
          <cell r="B2814" t="str">
            <v/>
          </cell>
          <cell r="H2814" t="str">
            <v/>
          </cell>
          <cell r="J2814" t="str">
            <v/>
          </cell>
          <cell r="N2814" t="str">
            <v/>
          </cell>
          <cell r="O2814" t="str">
            <v/>
          </cell>
          <cell r="P2814" t="str">
            <v/>
          </cell>
          <cell r="Q2814" t="str">
            <v/>
          </cell>
          <cell r="T2814" t="str">
            <v/>
          </cell>
          <cell r="U2814" t="str">
            <v/>
          </cell>
          <cell r="W2814" t="str">
            <v/>
          </cell>
          <cell r="X2814" t="str">
            <v/>
          </cell>
          <cell r="AB2814">
            <v>0</v>
          </cell>
          <cell r="AC2814">
            <v>0</v>
          </cell>
          <cell r="AD2814">
            <v>0</v>
          </cell>
          <cell r="AJ2814">
            <v>0</v>
          </cell>
          <cell r="AK2814">
            <v>0</v>
          </cell>
        </row>
        <row r="2815">
          <cell r="B2815" t="str">
            <v/>
          </cell>
          <cell r="H2815" t="str">
            <v/>
          </cell>
          <cell r="J2815" t="str">
            <v/>
          </cell>
          <cell r="N2815" t="str">
            <v/>
          </cell>
          <cell r="O2815" t="str">
            <v/>
          </cell>
          <cell r="P2815" t="str">
            <v/>
          </cell>
          <cell r="Q2815" t="str">
            <v/>
          </cell>
          <cell r="T2815" t="str">
            <v/>
          </cell>
          <cell r="U2815" t="str">
            <v/>
          </cell>
          <cell r="W2815" t="str">
            <v/>
          </cell>
          <cell r="X2815" t="str">
            <v/>
          </cell>
          <cell r="AB2815">
            <v>0</v>
          </cell>
          <cell r="AC2815">
            <v>0</v>
          </cell>
          <cell r="AD2815">
            <v>0</v>
          </cell>
          <cell r="AJ2815">
            <v>0</v>
          </cell>
          <cell r="AK2815">
            <v>0</v>
          </cell>
        </row>
        <row r="2816">
          <cell r="B2816" t="str">
            <v/>
          </cell>
          <cell r="H2816" t="str">
            <v/>
          </cell>
          <cell r="J2816" t="str">
            <v/>
          </cell>
          <cell r="N2816" t="str">
            <v/>
          </cell>
          <cell r="O2816" t="str">
            <v/>
          </cell>
          <cell r="P2816" t="str">
            <v/>
          </cell>
          <cell r="Q2816" t="str">
            <v/>
          </cell>
          <cell r="T2816" t="str">
            <v/>
          </cell>
          <cell r="U2816" t="str">
            <v/>
          </cell>
          <cell r="W2816" t="str">
            <v/>
          </cell>
          <cell r="X2816" t="str">
            <v/>
          </cell>
          <cell r="AB2816">
            <v>0</v>
          </cell>
          <cell r="AC2816">
            <v>0</v>
          </cell>
          <cell r="AD2816">
            <v>0</v>
          </cell>
          <cell r="AJ2816">
            <v>0</v>
          </cell>
          <cell r="AK2816">
            <v>0</v>
          </cell>
        </row>
        <row r="2817">
          <cell r="B2817" t="str">
            <v/>
          </cell>
          <cell r="H2817" t="str">
            <v/>
          </cell>
          <cell r="J2817" t="str">
            <v/>
          </cell>
          <cell r="N2817" t="str">
            <v/>
          </cell>
          <cell r="O2817" t="str">
            <v/>
          </cell>
          <cell r="P2817" t="str">
            <v/>
          </cell>
          <cell r="Q2817" t="str">
            <v/>
          </cell>
          <cell r="T2817" t="str">
            <v/>
          </cell>
          <cell r="U2817" t="str">
            <v/>
          </cell>
          <cell r="W2817" t="str">
            <v/>
          </cell>
          <cell r="X2817" t="str">
            <v/>
          </cell>
          <cell r="AB2817">
            <v>0</v>
          </cell>
          <cell r="AC2817">
            <v>0</v>
          </cell>
          <cell r="AD2817">
            <v>0</v>
          </cell>
          <cell r="AJ2817">
            <v>0</v>
          </cell>
          <cell r="AK2817">
            <v>0</v>
          </cell>
        </row>
        <row r="2818">
          <cell r="B2818" t="str">
            <v/>
          </cell>
          <cell r="H2818" t="str">
            <v/>
          </cell>
          <cell r="J2818" t="str">
            <v/>
          </cell>
          <cell r="N2818" t="str">
            <v/>
          </cell>
          <cell r="O2818" t="str">
            <v/>
          </cell>
          <cell r="P2818" t="str">
            <v/>
          </cell>
          <cell r="Q2818" t="str">
            <v/>
          </cell>
          <cell r="T2818" t="str">
            <v/>
          </cell>
          <cell r="U2818" t="str">
            <v/>
          </cell>
          <cell r="W2818" t="str">
            <v/>
          </cell>
          <cell r="X2818" t="str">
            <v/>
          </cell>
          <cell r="AB2818">
            <v>0</v>
          </cell>
          <cell r="AC2818">
            <v>0</v>
          </cell>
          <cell r="AD2818">
            <v>0</v>
          </cell>
          <cell r="AJ2818">
            <v>0</v>
          </cell>
          <cell r="AK2818">
            <v>0</v>
          </cell>
        </row>
        <row r="2819">
          <cell r="B2819" t="str">
            <v/>
          </cell>
          <cell r="H2819" t="str">
            <v/>
          </cell>
          <cell r="J2819" t="str">
            <v/>
          </cell>
          <cell r="N2819" t="str">
            <v/>
          </cell>
          <cell r="O2819" t="str">
            <v/>
          </cell>
          <cell r="P2819" t="str">
            <v/>
          </cell>
          <cell r="Q2819" t="str">
            <v/>
          </cell>
          <cell r="T2819" t="str">
            <v/>
          </cell>
          <cell r="U2819" t="str">
            <v/>
          </cell>
          <cell r="W2819" t="str">
            <v/>
          </cell>
          <cell r="X2819" t="str">
            <v/>
          </cell>
          <cell r="AB2819">
            <v>0</v>
          </cell>
          <cell r="AC2819">
            <v>0</v>
          </cell>
          <cell r="AD2819">
            <v>0</v>
          </cell>
          <cell r="AJ2819">
            <v>0</v>
          </cell>
          <cell r="AK2819">
            <v>0</v>
          </cell>
        </row>
        <row r="2820">
          <cell r="B2820" t="str">
            <v/>
          </cell>
          <cell r="H2820" t="str">
            <v/>
          </cell>
          <cell r="J2820" t="str">
            <v/>
          </cell>
          <cell r="N2820" t="str">
            <v/>
          </cell>
          <cell r="O2820" t="str">
            <v/>
          </cell>
          <cell r="P2820" t="str">
            <v/>
          </cell>
          <cell r="Q2820" t="str">
            <v/>
          </cell>
          <cell r="T2820" t="str">
            <v/>
          </cell>
          <cell r="U2820" t="str">
            <v/>
          </cell>
          <cell r="W2820" t="str">
            <v/>
          </cell>
          <cell r="X2820" t="str">
            <v/>
          </cell>
          <cell r="AB2820">
            <v>0</v>
          </cell>
          <cell r="AC2820">
            <v>0</v>
          </cell>
          <cell r="AD2820">
            <v>0</v>
          </cell>
          <cell r="AJ2820">
            <v>0</v>
          </cell>
          <cell r="AK2820">
            <v>0</v>
          </cell>
        </row>
        <row r="2821">
          <cell r="B2821" t="str">
            <v/>
          </cell>
          <cell r="H2821" t="str">
            <v/>
          </cell>
          <cell r="J2821" t="str">
            <v/>
          </cell>
          <cell r="N2821" t="str">
            <v/>
          </cell>
          <cell r="O2821" t="str">
            <v/>
          </cell>
          <cell r="P2821" t="str">
            <v/>
          </cell>
          <cell r="Q2821" t="str">
            <v/>
          </cell>
          <cell r="T2821" t="str">
            <v/>
          </cell>
          <cell r="U2821" t="str">
            <v/>
          </cell>
          <cell r="W2821" t="str">
            <v/>
          </cell>
          <cell r="X2821" t="str">
            <v/>
          </cell>
          <cell r="AB2821">
            <v>0</v>
          </cell>
          <cell r="AC2821">
            <v>0</v>
          </cell>
          <cell r="AD2821">
            <v>0</v>
          </cell>
          <cell r="AJ2821">
            <v>0</v>
          </cell>
          <cell r="AK2821">
            <v>0</v>
          </cell>
        </row>
        <row r="2822">
          <cell r="B2822" t="str">
            <v/>
          </cell>
          <cell r="H2822" t="str">
            <v/>
          </cell>
          <cell r="J2822" t="str">
            <v/>
          </cell>
          <cell r="N2822" t="str">
            <v/>
          </cell>
          <cell r="O2822" t="str">
            <v/>
          </cell>
          <cell r="P2822" t="str">
            <v/>
          </cell>
          <cell r="Q2822" t="str">
            <v/>
          </cell>
          <cell r="T2822" t="str">
            <v/>
          </cell>
          <cell r="U2822" t="str">
            <v/>
          </cell>
          <cell r="W2822" t="str">
            <v/>
          </cell>
          <cell r="X2822" t="str">
            <v/>
          </cell>
          <cell r="AB2822">
            <v>0</v>
          </cell>
          <cell r="AC2822">
            <v>0</v>
          </cell>
          <cell r="AD2822">
            <v>0</v>
          </cell>
          <cell r="AJ2822">
            <v>0</v>
          </cell>
          <cell r="AK2822">
            <v>0</v>
          </cell>
        </row>
        <row r="2823">
          <cell r="B2823" t="str">
            <v/>
          </cell>
          <cell r="H2823" t="str">
            <v/>
          </cell>
          <cell r="J2823" t="str">
            <v/>
          </cell>
          <cell r="N2823" t="str">
            <v/>
          </cell>
          <cell r="O2823" t="str">
            <v/>
          </cell>
          <cell r="P2823" t="str">
            <v/>
          </cell>
          <cell r="Q2823" t="str">
            <v/>
          </cell>
          <cell r="T2823" t="str">
            <v/>
          </cell>
          <cell r="U2823" t="str">
            <v/>
          </cell>
          <cell r="W2823" t="str">
            <v/>
          </cell>
          <cell r="X2823" t="str">
            <v/>
          </cell>
          <cell r="AB2823">
            <v>0</v>
          </cell>
          <cell r="AC2823">
            <v>0</v>
          </cell>
          <cell r="AD2823">
            <v>0</v>
          </cell>
          <cell r="AJ2823">
            <v>0</v>
          </cell>
          <cell r="AK2823">
            <v>0</v>
          </cell>
        </row>
        <row r="2824">
          <cell r="B2824" t="str">
            <v/>
          </cell>
          <cell r="H2824" t="str">
            <v/>
          </cell>
          <cell r="J2824" t="str">
            <v/>
          </cell>
          <cell r="N2824" t="str">
            <v/>
          </cell>
          <cell r="O2824" t="str">
            <v/>
          </cell>
          <cell r="P2824" t="str">
            <v/>
          </cell>
          <cell r="Q2824" t="str">
            <v/>
          </cell>
          <cell r="T2824" t="str">
            <v/>
          </cell>
          <cell r="U2824" t="str">
            <v/>
          </cell>
          <cell r="W2824" t="str">
            <v/>
          </cell>
          <cell r="X2824" t="str">
            <v/>
          </cell>
          <cell r="AB2824">
            <v>0</v>
          </cell>
          <cell r="AC2824">
            <v>0</v>
          </cell>
          <cell r="AD2824">
            <v>0</v>
          </cell>
          <cell r="AJ2824">
            <v>0</v>
          </cell>
          <cell r="AK2824">
            <v>0</v>
          </cell>
        </row>
        <row r="2825">
          <cell r="B2825" t="str">
            <v/>
          </cell>
          <cell r="H2825" t="str">
            <v/>
          </cell>
          <cell r="J2825" t="str">
            <v/>
          </cell>
          <cell r="N2825" t="str">
            <v/>
          </cell>
          <cell r="O2825" t="str">
            <v/>
          </cell>
          <cell r="P2825" t="str">
            <v/>
          </cell>
          <cell r="Q2825" t="str">
            <v/>
          </cell>
          <cell r="T2825" t="str">
            <v/>
          </cell>
          <cell r="U2825" t="str">
            <v/>
          </cell>
          <cell r="W2825" t="str">
            <v/>
          </cell>
          <cell r="X2825" t="str">
            <v/>
          </cell>
          <cell r="AB2825">
            <v>0</v>
          </cell>
          <cell r="AC2825">
            <v>0</v>
          </cell>
          <cell r="AD2825">
            <v>0</v>
          </cell>
          <cell r="AJ2825">
            <v>0</v>
          </cell>
          <cell r="AK2825">
            <v>0</v>
          </cell>
        </row>
        <row r="2826">
          <cell r="B2826" t="str">
            <v/>
          </cell>
          <cell r="H2826" t="str">
            <v/>
          </cell>
          <cell r="J2826" t="str">
            <v/>
          </cell>
          <cell r="N2826" t="str">
            <v/>
          </cell>
          <cell r="O2826" t="str">
            <v/>
          </cell>
          <cell r="P2826" t="str">
            <v/>
          </cell>
          <cell r="Q2826" t="str">
            <v/>
          </cell>
          <cell r="T2826" t="str">
            <v/>
          </cell>
          <cell r="U2826" t="str">
            <v/>
          </cell>
          <cell r="W2826" t="str">
            <v/>
          </cell>
          <cell r="X2826" t="str">
            <v/>
          </cell>
          <cell r="AB2826">
            <v>0</v>
          </cell>
          <cell r="AC2826">
            <v>0</v>
          </cell>
          <cell r="AD2826">
            <v>0</v>
          </cell>
          <cell r="AJ2826">
            <v>0</v>
          </cell>
          <cell r="AK2826">
            <v>0</v>
          </cell>
        </row>
        <row r="2827">
          <cell r="B2827" t="str">
            <v/>
          </cell>
          <cell r="H2827" t="str">
            <v/>
          </cell>
          <cell r="J2827" t="str">
            <v/>
          </cell>
          <cell r="N2827" t="str">
            <v/>
          </cell>
          <cell r="O2827" t="str">
            <v/>
          </cell>
          <cell r="P2827" t="str">
            <v/>
          </cell>
          <cell r="Q2827" t="str">
            <v/>
          </cell>
          <cell r="T2827" t="str">
            <v/>
          </cell>
          <cell r="U2827" t="str">
            <v/>
          </cell>
          <cell r="W2827" t="str">
            <v/>
          </cell>
          <cell r="X2827" t="str">
            <v/>
          </cell>
          <cell r="AB2827">
            <v>0</v>
          </cell>
          <cell r="AC2827">
            <v>0</v>
          </cell>
          <cell r="AD2827">
            <v>0</v>
          </cell>
          <cell r="AJ2827">
            <v>0</v>
          </cell>
          <cell r="AK2827">
            <v>0</v>
          </cell>
        </row>
        <row r="2828">
          <cell r="B2828" t="str">
            <v/>
          </cell>
          <cell r="H2828" t="str">
            <v/>
          </cell>
          <cell r="J2828" t="str">
            <v/>
          </cell>
          <cell r="N2828" t="str">
            <v/>
          </cell>
          <cell r="O2828" t="str">
            <v/>
          </cell>
          <cell r="P2828" t="str">
            <v/>
          </cell>
          <cell r="Q2828" t="str">
            <v/>
          </cell>
          <cell r="T2828" t="str">
            <v/>
          </cell>
          <cell r="U2828" t="str">
            <v/>
          </cell>
          <cell r="W2828" t="str">
            <v/>
          </cell>
          <cell r="X2828" t="str">
            <v/>
          </cell>
          <cell r="AB2828">
            <v>0</v>
          </cell>
          <cell r="AC2828">
            <v>0</v>
          </cell>
          <cell r="AD2828">
            <v>0</v>
          </cell>
          <cell r="AJ2828">
            <v>0</v>
          </cell>
          <cell r="AK2828">
            <v>0</v>
          </cell>
        </row>
        <row r="2829">
          <cell r="B2829" t="str">
            <v/>
          </cell>
          <cell r="H2829" t="str">
            <v/>
          </cell>
          <cell r="J2829" t="str">
            <v/>
          </cell>
          <cell r="N2829" t="str">
            <v/>
          </cell>
          <cell r="O2829" t="str">
            <v/>
          </cell>
          <cell r="P2829" t="str">
            <v/>
          </cell>
          <cell r="Q2829" t="str">
            <v/>
          </cell>
          <cell r="T2829" t="str">
            <v/>
          </cell>
          <cell r="U2829" t="str">
            <v/>
          </cell>
          <cell r="W2829" t="str">
            <v/>
          </cell>
          <cell r="X2829" t="str">
            <v/>
          </cell>
          <cell r="AB2829">
            <v>0</v>
          </cell>
          <cell r="AC2829">
            <v>0</v>
          </cell>
          <cell r="AD2829">
            <v>0</v>
          </cell>
          <cell r="AJ2829">
            <v>0</v>
          </cell>
          <cell r="AK2829">
            <v>0</v>
          </cell>
        </row>
        <row r="2830">
          <cell r="B2830" t="str">
            <v/>
          </cell>
          <cell r="H2830" t="str">
            <v/>
          </cell>
          <cell r="J2830" t="str">
            <v/>
          </cell>
          <cell r="N2830" t="str">
            <v/>
          </cell>
          <cell r="O2830" t="str">
            <v/>
          </cell>
          <cell r="P2830" t="str">
            <v/>
          </cell>
          <cell r="Q2830" t="str">
            <v/>
          </cell>
          <cell r="T2830" t="str">
            <v/>
          </cell>
          <cell r="U2830" t="str">
            <v/>
          </cell>
          <cell r="W2830" t="str">
            <v/>
          </cell>
          <cell r="X2830" t="str">
            <v/>
          </cell>
          <cell r="AB2830">
            <v>0</v>
          </cell>
          <cell r="AC2830">
            <v>0</v>
          </cell>
          <cell r="AD2830">
            <v>0</v>
          </cell>
          <cell r="AJ2830">
            <v>0</v>
          </cell>
          <cell r="AK2830">
            <v>0</v>
          </cell>
        </row>
        <row r="2831">
          <cell r="B2831" t="str">
            <v/>
          </cell>
          <cell r="H2831" t="str">
            <v/>
          </cell>
          <cell r="J2831" t="str">
            <v/>
          </cell>
          <cell r="N2831" t="str">
            <v/>
          </cell>
          <cell r="O2831" t="str">
            <v/>
          </cell>
          <cell r="P2831" t="str">
            <v/>
          </cell>
          <cell r="Q2831" t="str">
            <v/>
          </cell>
          <cell r="T2831" t="str">
            <v/>
          </cell>
          <cell r="U2831" t="str">
            <v/>
          </cell>
          <cell r="W2831" t="str">
            <v/>
          </cell>
          <cell r="X2831" t="str">
            <v/>
          </cell>
          <cell r="AB2831">
            <v>0</v>
          </cell>
          <cell r="AC2831">
            <v>0</v>
          </cell>
          <cell r="AD2831">
            <v>0</v>
          </cell>
          <cell r="AJ2831">
            <v>0</v>
          </cell>
          <cell r="AK2831">
            <v>0</v>
          </cell>
        </row>
        <row r="2832">
          <cell r="B2832" t="str">
            <v/>
          </cell>
          <cell r="H2832" t="str">
            <v/>
          </cell>
          <cell r="J2832" t="str">
            <v/>
          </cell>
          <cell r="N2832" t="str">
            <v/>
          </cell>
          <cell r="O2832" t="str">
            <v/>
          </cell>
          <cell r="P2832" t="str">
            <v/>
          </cell>
          <cell r="Q2832" t="str">
            <v/>
          </cell>
          <cell r="T2832" t="str">
            <v/>
          </cell>
          <cell r="U2832" t="str">
            <v/>
          </cell>
          <cell r="W2832" t="str">
            <v/>
          </cell>
          <cell r="X2832" t="str">
            <v/>
          </cell>
          <cell r="AB2832">
            <v>0</v>
          </cell>
          <cell r="AC2832">
            <v>0</v>
          </cell>
          <cell r="AD2832">
            <v>0</v>
          </cell>
          <cell r="AJ2832">
            <v>0</v>
          </cell>
          <cell r="AK2832">
            <v>0</v>
          </cell>
        </row>
        <row r="2833">
          <cell r="B2833" t="str">
            <v/>
          </cell>
          <cell r="H2833" t="str">
            <v/>
          </cell>
          <cell r="J2833" t="str">
            <v/>
          </cell>
          <cell r="N2833" t="str">
            <v/>
          </cell>
          <cell r="O2833" t="str">
            <v/>
          </cell>
          <cell r="P2833" t="str">
            <v/>
          </cell>
          <cell r="Q2833" t="str">
            <v/>
          </cell>
          <cell r="T2833" t="str">
            <v/>
          </cell>
          <cell r="U2833" t="str">
            <v/>
          </cell>
          <cell r="W2833" t="str">
            <v/>
          </cell>
          <cell r="X2833" t="str">
            <v/>
          </cell>
          <cell r="AB2833">
            <v>0</v>
          </cell>
          <cell r="AC2833">
            <v>0</v>
          </cell>
          <cell r="AD2833">
            <v>0</v>
          </cell>
          <cell r="AJ2833">
            <v>0</v>
          </cell>
          <cell r="AK2833">
            <v>0</v>
          </cell>
        </row>
        <row r="2834">
          <cell r="B2834" t="str">
            <v/>
          </cell>
          <cell r="H2834" t="str">
            <v/>
          </cell>
          <cell r="J2834" t="str">
            <v/>
          </cell>
          <cell r="N2834" t="str">
            <v/>
          </cell>
          <cell r="O2834" t="str">
            <v/>
          </cell>
          <cell r="P2834" t="str">
            <v/>
          </cell>
          <cell r="Q2834" t="str">
            <v/>
          </cell>
          <cell r="T2834" t="str">
            <v/>
          </cell>
          <cell r="U2834" t="str">
            <v/>
          </cell>
          <cell r="W2834" t="str">
            <v/>
          </cell>
          <cell r="X2834" t="str">
            <v/>
          </cell>
          <cell r="AB2834">
            <v>0</v>
          </cell>
          <cell r="AC2834">
            <v>0</v>
          </cell>
          <cell r="AD2834">
            <v>0</v>
          </cell>
          <cell r="AJ2834">
            <v>0</v>
          </cell>
          <cell r="AK2834">
            <v>0</v>
          </cell>
        </row>
        <row r="2835">
          <cell r="B2835" t="str">
            <v/>
          </cell>
          <cell r="H2835" t="str">
            <v/>
          </cell>
          <cell r="J2835" t="str">
            <v/>
          </cell>
          <cell r="N2835" t="str">
            <v/>
          </cell>
          <cell r="O2835" t="str">
            <v/>
          </cell>
          <cell r="P2835" t="str">
            <v/>
          </cell>
          <cell r="Q2835" t="str">
            <v/>
          </cell>
          <cell r="T2835" t="str">
            <v/>
          </cell>
          <cell r="U2835" t="str">
            <v/>
          </cell>
          <cell r="W2835" t="str">
            <v/>
          </cell>
          <cell r="X2835" t="str">
            <v/>
          </cell>
          <cell r="AB2835">
            <v>0</v>
          </cell>
          <cell r="AC2835">
            <v>0</v>
          </cell>
          <cell r="AD2835">
            <v>0</v>
          </cell>
          <cell r="AJ2835">
            <v>0</v>
          </cell>
          <cell r="AK2835">
            <v>0</v>
          </cell>
        </row>
        <row r="2836">
          <cell r="B2836" t="str">
            <v/>
          </cell>
          <cell r="H2836" t="str">
            <v/>
          </cell>
          <cell r="J2836" t="str">
            <v/>
          </cell>
          <cell r="N2836" t="str">
            <v/>
          </cell>
          <cell r="O2836" t="str">
            <v/>
          </cell>
          <cell r="P2836" t="str">
            <v/>
          </cell>
          <cell r="Q2836" t="str">
            <v/>
          </cell>
          <cell r="T2836" t="str">
            <v/>
          </cell>
          <cell r="U2836" t="str">
            <v/>
          </cell>
          <cell r="W2836" t="str">
            <v/>
          </cell>
          <cell r="X2836" t="str">
            <v/>
          </cell>
          <cell r="AB2836">
            <v>0</v>
          </cell>
          <cell r="AC2836">
            <v>0</v>
          </cell>
          <cell r="AD2836">
            <v>0</v>
          </cell>
          <cell r="AJ2836">
            <v>0</v>
          </cell>
          <cell r="AK2836">
            <v>0</v>
          </cell>
        </row>
        <row r="2837">
          <cell r="B2837" t="str">
            <v/>
          </cell>
          <cell r="H2837" t="str">
            <v/>
          </cell>
          <cell r="J2837" t="str">
            <v/>
          </cell>
          <cell r="N2837" t="str">
            <v/>
          </cell>
          <cell r="O2837" t="str">
            <v/>
          </cell>
          <cell r="P2837" t="str">
            <v/>
          </cell>
          <cell r="Q2837" t="str">
            <v/>
          </cell>
          <cell r="T2837" t="str">
            <v/>
          </cell>
          <cell r="U2837" t="str">
            <v/>
          </cell>
          <cell r="W2837" t="str">
            <v/>
          </cell>
          <cell r="X2837" t="str">
            <v/>
          </cell>
          <cell r="AB2837">
            <v>0</v>
          </cell>
          <cell r="AC2837">
            <v>0</v>
          </cell>
          <cell r="AD2837">
            <v>0</v>
          </cell>
          <cell r="AJ2837">
            <v>0</v>
          </cell>
          <cell r="AK2837">
            <v>0</v>
          </cell>
        </row>
        <row r="2838">
          <cell r="B2838" t="str">
            <v/>
          </cell>
          <cell r="H2838" t="str">
            <v/>
          </cell>
          <cell r="J2838" t="str">
            <v/>
          </cell>
          <cell r="N2838" t="str">
            <v/>
          </cell>
          <cell r="O2838" t="str">
            <v/>
          </cell>
          <cell r="P2838" t="str">
            <v/>
          </cell>
          <cell r="Q2838" t="str">
            <v/>
          </cell>
          <cell r="T2838" t="str">
            <v/>
          </cell>
          <cell r="U2838" t="str">
            <v/>
          </cell>
          <cell r="W2838" t="str">
            <v/>
          </cell>
          <cell r="X2838" t="str">
            <v/>
          </cell>
          <cell r="AB2838">
            <v>0</v>
          </cell>
          <cell r="AC2838">
            <v>0</v>
          </cell>
          <cell r="AD2838">
            <v>0</v>
          </cell>
          <cell r="AJ2838">
            <v>0</v>
          </cell>
          <cell r="AK2838">
            <v>0</v>
          </cell>
        </row>
        <row r="2839">
          <cell r="B2839" t="str">
            <v/>
          </cell>
          <cell r="H2839" t="str">
            <v/>
          </cell>
          <cell r="J2839" t="str">
            <v/>
          </cell>
          <cell r="N2839" t="str">
            <v/>
          </cell>
          <cell r="O2839" t="str">
            <v/>
          </cell>
          <cell r="P2839" t="str">
            <v/>
          </cell>
          <cell r="Q2839" t="str">
            <v/>
          </cell>
          <cell r="T2839" t="str">
            <v/>
          </cell>
          <cell r="U2839" t="str">
            <v/>
          </cell>
          <cell r="W2839" t="str">
            <v/>
          </cell>
          <cell r="X2839" t="str">
            <v/>
          </cell>
          <cell r="AB2839">
            <v>0</v>
          </cell>
          <cell r="AC2839">
            <v>0</v>
          </cell>
          <cell r="AD2839">
            <v>0</v>
          </cell>
          <cell r="AJ2839">
            <v>0</v>
          </cell>
          <cell r="AK2839">
            <v>0</v>
          </cell>
        </row>
        <row r="2840">
          <cell r="B2840" t="str">
            <v/>
          </cell>
          <cell r="H2840" t="str">
            <v/>
          </cell>
          <cell r="J2840" t="str">
            <v/>
          </cell>
          <cell r="N2840" t="str">
            <v/>
          </cell>
          <cell r="O2840" t="str">
            <v/>
          </cell>
          <cell r="P2840" t="str">
            <v/>
          </cell>
          <cell r="Q2840" t="str">
            <v/>
          </cell>
          <cell r="T2840" t="str">
            <v/>
          </cell>
          <cell r="U2840" t="str">
            <v/>
          </cell>
          <cell r="W2840" t="str">
            <v/>
          </cell>
          <cell r="X2840" t="str">
            <v/>
          </cell>
          <cell r="AB2840">
            <v>0</v>
          </cell>
          <cell r="AC2840">
            <v>0</v>
          </cell>
          <cell r="AD2840">
            <v>0</v>
          </cell>
          <cell r="AJ2840">
            <v>0</v>
          </cell>
          <cell r="AK2840">
            <v>0</v>
          </cell>
        </row>
        <row r="2841">
          <cell r="B2841" t="str">
            <v/>
          </cell>
          <cell r="H2841" t="str">
            <v/>
          </cell>
          <cell r="J2841" t="str">
            <v/>
          </cell>
          <cell r="N2841" t="str">
            <v/>
          </cell>
          <cell r="O2841" t="str">
            <v/>
          </cell>
          <cell r="P2841" t="str">
            <v/>
          </cell>
          <cell r="Q2841" t="str">
            <v/>
          </cell>
          <cell r="T2841" t="str">
            <v/>
          </cell>
          <cell r="U2841" t="str">
            <v/>
          </cell>
          <cell r="W2841" t="str">
            <v/>
          </cell>
          <cell r="X2841" t="str">
            <v/>
          </cell>
          <cell r="AB2841">
            <v>0</v>
          </cell>
          <cell r="AC2841">
            <v>0</v>
          </cell>
          <cell r="AD2841">
            <v>0</v>
          </cell>
          <cell r="AJ2841">
            <v>0</v>
          </cell>
          <cell r="AK2841">
            <v>0</v>
          </cell>
        </row>
        <row r="2842">
          <cell r="B2842" t="str">
            <v/>
          </cell>
          <cell r="H2842" t="str">
            <v/>
          </cell>
          <cell r="J2842" t="str">
            <v/>
          </cell>
          <cell r="N2842" t="str">
            <v/>
          </cell>
          <cell r="O2842" t="str">
            <v/>
          </cell>
          <cell r="P2842" t="str">
            <v/>
          </cell>
          <cell r="Q2842" t="str">
            <v/>
          </cell>
          <cell r="T2842" t="str">
            <v/>
          </cell>
          <cell r="U2842" t="str">
            <v/>
          </cell>
          <cell r="W2842" t="str">
            <v/>
          </cell>
          <cell r="X2842" t="str">
            <v/>
          </cell>
          <cell r="AB2842">
            <v>0</v>
          </cell>
          <cell r="AC2842">
            <v>0</v>
          </cell>
          <cell r="AD2842">
            <v>0</v>
          </cell>
          <cell r="AJ2842">
            <v>0</v>
          </cell>
          <cell r="AK2842">
            <v>0</v>
          </cell>
        </row>
        <row r="2843">
          <cell r="B2843" t="str">
            <v/>
          </cell>
          <cell r="H2843" t="str">
            <v/>
          </cell>
          <cell r="J2843" t="str">
            <v/>
          </cell>
          <cell r="N2843" t="str">
            <v/>
          </cell>
          <cell r="O2843" t="str">
            <v/>
          </cell>
          <cell r="P2843" t="str">
            <v/>
          </cell>
          <cell r="Q2843" t="str">
            <v/>
          </cell>
          <cell r="T2843" t="str">
            <v/>
          </cell>
          <cell r="U2843" t="str">
            <v/>
          </cell>
          <cell r="W2843" t="str">
            <v/>
          </cell>
          <cell r="X2843" t="str">
            <v/>
          </cell>
          <cell r="AB2843">
            <v>0</v>
          </cell>
          <cell r="AC2843">
            <v>0</v>
          </cell>
          <cell r="AD2843">
            <v>0</v>
          </cell>
          <cell r="AJ2843">
            <v>0</v>
          </cell>
          <cell r="AK2843">
            <v>0</v>
          </cell>
        </row>
        <row r="2844">
          <cell r="B2844" t="str">
            <v/>
          </cell>
          <cell r="H2844" t="str">
            <v/>
          </cell>
          <cell r="J2844" t="str">
            <v/>
          </cell>
          <cell r="N2844" t="str">
            <v/>
          </cell>
          <cell r="O2844" t="str">
            <v/>
          </cell>
          <cell r="P2844" t="str">
            <v/>
          </cell>
          <cell r="Q2844" t="str">
            <v/>
          </cell>
          <cell r="T2844" t="str">
            <v/>
          </cell>
          <cell r="U2844" t="str">
            <v/>
          </cell>
          <cell r="W2844" t="str">
            <v/>
          </cell>
          <cell r="X2844" t="str">
            <v/>
          </cell>
          <cell r="AB2844">
            <v>0</v>
          </cell>
          <cell r="AC2844">
            <v>0</v>
          </cell>
          <cell r="AD2844">
            <v>0</v>
          </cell>
          <cell r="AJ2844">
            <v>0</v>
          </cell>
          <cell r="AK2844">
            <v>0</v>
          </cell>
        </row>
        <row r="2845">
          <cell r="B2845" t="str">
            <v/>
          </cell>
          <cell r="H2845" t="str">
            <v/>
          </cell>
          <cell r="J2845" t="str">
            <v/>
          </cell>
          <cell r="N2845" t="str">
            <v/>
          </cell>
          <cell r="O2845" t="str">
            <v/>
          </cell>
          <cell r="P2845" t="str">
            <v/>
          </cell>
          <cell r="Q2845" t="str">
            <v/>
          </cell>
          <cell r="T2845" t="str">
            <v/>
          </cell>
          <cell r="U2845" t="str">
            <v/>
          </cell>
          <cell r="W2845" t="str">
            <v/>
          </cell>
          <cell r="X2845" t="str">
            <v/>
          </cell>
          <cell r="AB2845">
            <v>0</v>
          </cell>
          <cell r="AC2845">
            <v>0</v>
          </cell>
          <cell r="AD2845">
            <v>0</v>
          </cell>
          <cell r="AJ2845">
            <v>0</v>
          </cell>
          <cell r="AK2845">
            <v>0</v>
          </cell>
        </row>
        <row r="2846">
          <cell r="B2846" t="str">
            <v/>
          </cell>
          <cell r="H2846" t="str">
            <v/>
          </cell>
          <cell r="J2846" t="str">
            <v/>
          </cell>
          <cell r="N2846" t="str">
            <v/>
          </cell>
          <cell r="O2846" t="str">
            <v/>
          </cell>
          <cell r="P2846" t="str">
            <v/>
          </cell>
          <cell r="Q2846" t="str">
            <v/>
          </cell>
          <cell r="T2846" t="str">
            <v/>
          </cell>
          <cell r="U2846" t="str">
            <v/>
          </cell>
          <cell r="W2846" t="str">
            <v/>
          </cell>
          <cell r="X2846" t="str">
            <v/>
          </cell>
          <cell r="AB2846">
            <v>0</v>
          </cell>
          <cell r="AC2846">
            <v>0</v>
          </cell>
          <cell r="AD2846">
            <v>0</v>
          </cell>
          <cell r="AJ2846">
            <v>0</v>
          </cell>
          <cell r="AK2846">
            <v>0</v>
          </cell>
        </row>
        <row r="2847">
          <cell r="B2847" t="str">
            <v/>
          </cell>
          <cell r="H2847" t="str">
            <v/>
          </cell>
          <cell r="J2847" t="str">
            <v/>
          </cell>
          <cell r="N2847" t="str">
            <v/>
          </cell>
          <cell r="O2847" t="str">
            <v/>
          </cell>
          <cell r="P2847" t="str">
            <v/>
          </cell>
          <cell r="Q2847" t="str">
            <v/>
          </cell>
          <cell r="T2847" t="str">
            <v/>
          </cell>
          <cell r="U2847" t="str">
            <v/>
          </cell>
          <cell r="W2847" t="str">
            <v/>
          </cell>
          <cell r="X2847" t="str">
            <v/>
          </cell>
          <cell r="AB2847">
            <v>0</v>
          </cell>
          <cell r="AC2847">
            <v>0</v>
          </cell>
          <cell r="AD2847">
            <v>0</v>
          </cell>
          <cell r="AJ2847">
            <v>0</v>
          </cell>
          <cell r="AK2847">
            <v>0</v>
          </cell>
        </row>
        <row r="2848">
          <cell r="B2848" t="str">
            <v/>
          </cell>
          <cell r="H2848" t="str">
            <v/>
          </cell>
          <cell r="J2848" t="str">
            <v/>
          </cell>
          <cell r="N2848" t="str">
            <v/>
          </cell>
          <cell r="O2848" t="str">
            <v/>
          </cell>
          <cell r="P2848" t="str">
            <v/>
          </cell>
          <cell r="Q2848" t="str">
            <v/>
          </cell>
          <cell r="T2848" t="str">
            <v/>
          </cell>
          <cell r="U2848" t="str">
            <v/>
          </cell>
          <cell r="W2848" t="str">
            <v/>
          </cell>
          <cell r="X2848" t="str">
            <v/>
          </cell>
          <cell r="AB2848">
            <v>0</v>
          </cell>
          <cell r="AC2848">
            <v>0</v>
          </cell>
          <cell r="AD2848">
            <v>0</v>
          </cell>
          <cell r="AJ2848">
            <v>0</v>
          </cell>
          <cell r="AK2848">
            <v>0</v>
          </cell>
        </row>
        <row r="2849">
          <cell r="B2849" t="str">
            <v/>
          </cell>
          <cell r="H2849" t="str">
            <v/>
          </cell>
          <cell r="J2849" t="str">
            <v/>
          </cell>
          <cell r="N2849" t="str">
            <v/>
          </cell>
          <cell r="O2849" t="str">
            <v/>
          </cell>
          <cell r="P2849" t="str">
            <v/>
          </cell>
          <cell r="Q2849" t="str">
            <v/>
          </cell>
          <cell r="T2849" t="str">
            <v/>
          </cell>
          <cell r="U2849" t="str">
            <v/>
          </cell>
          <cell r="W2849" t="str">
            <v/>
          </cell>
          <cell r="X2849" t="str">
            <v/>
          </cell>
          <cell r="AB2849">
            <v>0</v>
          </cell>
          <cell r="AC2849">
            <v>0</v>
          </cell>
          <cell r="AD2849">
            <v>0</v>
          </cell>
          <cell r="AJ2849">
            <v>0</v>
          </cell>
          <cell r="AK2849">
            <v>0</v>
          </cell>
        </row>
        <row r="2850">
          <cell r="B2850" t="str">
            <v/>
          </cell>
          <cell r="H2850" t="str">
            <v/>
          </cell>
          <cell r="J2850" t="str">
            <v/>
          </cell>
          <cell r="N2850" t="str">
            <v/>
          </cell>
          <cell r="O2850" t="str">
            <v/>
          </cell>
          <cell r="P2850" t="str">
            <v/>
          </cell>
          <cell r="Q2850" t="str">
            <v/>
          </cell>
          <cell r="T2850" t="str">
            <v/>
          </cell>
          <cell r="U2850" t="str">
            <v/>
          </cell>
          <cell r="W2850" t="str">
            <v/>
          </cell>
          <cell r="X2850" t="str">
            <v/>
          </cell>
          <cell r="AB2850">
            <v>0</v>
          </cell>
          <cell r="AC2850">
            <v>0</v>
          </cell>
          <cell r="AD2850">
            <v>0</v>
          </cell>
          <cell r="AJ2850">
            <v>0</v>
          </cell>
          <cell r="AK2850">
            <v>0</v>
          </cell>
        </row>
        <row r="2851">
          <cell r="B2851" t="str">
            <v/>
          </cell>
          <cell r="H2851" t="str">
            <v/>
          </cell>
          <cell r="J2851" t="str">
            <v/>
          </cell>
          <cell r="N2851" t="str">
            <v/>
          </cell>
          <cell r="O2851" t="str">
            <v/>
          </cell>
          <cell r="P2851" t="str">
            <v/>
          </cell>
          <cell r="Q2851" t="str">
            <v/>
          </cell>
          <cell r="T2851" t="str">
            <v/>
          </cell>
          <cell r="U2851" t="str">
            <v/>
          </cell>
          <cell r="W2851" t="str">
            <v/>
          </cell>
          <cell r="X2851" t="str">
            <v/>
          </cell>
          <cell r="AB2851">
            <v>0</v>
          </cell>
          <cell r="AC2851">
            <v>0</v>
          </cell>
          <cell r="AD2851">
            <v>0</v>
          </cell>
          <cell r="AJ2851">
            <v>0</v>
          </cell>
          <cell r="AK2851">
            <v>0</v>
          </cell>
        </row>
        <row r="2852">
          <cell r="B2852" t="str">
            <v/>
          </cell>
          <cell r="H2852" t="str">
            <v/>
          </cell>
          <cell r="J2852" t="str">
            <v/>
          </cell>
          <cell r="N2852" t="str">
            <v/>
          </cell>
          <cell r="O2852" t="str">
            <v/>
          </cell>
          <cell r="P2852" t="str">
            <v/>
          </cell>
          <cell r="Q2852" t="str">
            <v/>
          </cell>
          <cell r="T2852" t="str">
            <v/>
          </cell>
          <cell r="U2852" t="str">
            <v/>
          </cell>
          <cell r="W2852" t="str">
            <v/>
          </cell>
          <cell r="X2852" t="str">
            <v/>
          </cell>
          <cell r="AB2852">
            <v>0</v>
          </cell>
          <cell r="AC2852">
            <v>0</v>
          </cell>
          <cell r="AD2852">
            <v>0</v>
          </cell>
          <cell r="AJ2852">
            <v>0</v>
          </cell>
          <cell r="AK2852">
            <v>0</v>
          </cell>
        </row>
        <row r="2853">
          <cell r="B2853" t="str">
            <v/>
          </cell>
          <cell r="H2853" t="str">
            <v/>
          </cell>
          <cell r="J2853" t="str">
            <v/>
          </cell>
          <cell r="N2853" t="str">
            <v/>
          </cell>
          <cell r="O2853" t="str">
            <v/>
          </cell>
          <cell r="P2853" t="str">
            <v/>
          </cell>
          <cell r="Q2853" t="str">
            <v/>
          </cell>
          <cell r="T2853" t="str">
            <v/>
          </cell>
          <cell r="U2853" t="str">
            <v/>
          </cell>
          <cell r="W2853" t="str">
            <v/>
          </cell>
          <cell r="X2853" t="str">
            <v/>
          </cell>
          <cell r="AB2853">
            <v>0</v>
          </cell>
          <cell r="AC2853">
            <v>0</v>
          </cell>
          <cell r="AD2853">
            <v>0</v>
          </cell>
          <cell r="AJ2853">
            <v>0</v>
          </cell>
          <cell r="AK2853">
            <v>0</v>
          </cell>
        </row>
        <row r="2854">
          <cell r="B2854" t="str">
            <v/>
          </cell>
          <cell r="H2854" t="str">
            <v/>
          </cell>
          <cell r="J2854" t="str">
            <v/>
          </cell>
          <cell r="N2854" t="str">
            <v/>
          </cell>
          <cell r="O2854" t="str">
            <v/>
          </cell>
          <cell r="P2854" t="str">
            <v/>
          </cell>
          <cell r="Q2854" t="str">
            <v/>
          </cell>
          <cell r="T2854" t="str">
            <v/>
          </cell>
          <cell r="U2854" t="str">
            <v/>
          </cell>
          <cell r="W2854" t="str">
            <v/>
          </cell>
          <cell r="X2854" t="str">
            <v/>
          </cell>
          <cell r="AB2854">
            <v>0</v>
          </cell>
          <cell r="AC2854">
            <v>0</v>
          </cell>
          <cell r="AD2854">
            <v>0</v>
          </cell>
          <cell r="AJ2854">
            <v>0</v>
          </cell>
          <cell r="AK2854">
            <v>0</v>
          </cell>
        </row>
        <row r="2855">
          <cell r="B2855" t="str">
            <v/>
          </cell>
          <cell r="H2855" t="str">
            <v/>
          </cell>
          <cell r="J2855" t="str">
            <v/>
          </cell>
          <cell r="N2855" t="str">
            <v/>
          </cell>
          <cell r="O2855" t="str">
            <v/>
          </cell>
          <cell r="P2855" t="str">
            <v/>
          </cell>
          <cell r="Q2855" t="str">
            <v/>
          </cell>
          <cell r="T2855" t="str">
            <v/>
          </cell>
          <cell r="U2855" t="str">
            <v/>
          </cell>
          <cell r="W2855" t="str">
            <v/>
          </cell>
          <cell r="X2855" t="str">
            <v/>
          </cell>
          <cell r="AB2855">
            <v>0</v>
          </cell>
          <cell r="AC2855">
            <v>0</v>
          </cell>
          <cell r="AD2855">
            <v>0</v>
          </cell>
          <cell r="AJ2855">
            <v>0</v>
          </cell>
          <cell r="AK2855">
            <v>0</v>
          </cell>
        </row>
        <row r="2856">
          <cell r="B2856" t="str">
            <v/>
          </cell>
          <cell r="H2856" t="str">
            <v/>
          </cell>
          <cell r="J2856" t="str">
            <v/>
          </cell>
          <cell r="N2856" t="str">
            <v/>
          </cell>
          <cell r="O2856" t="str">
            <v/>
          </cell>
          <cell r="P2856" t="str">
            <v/>
          </cell>
          <cell r="Q2856" t="str">
            <v/>
          </cell>
          <cell r="T2856" t="str">
            <v/>
          </cell>
          <cell r="U2856" t="str">
            <v/>
          </cell>
          <cell r="W2856" t="str">
            <v/>
          </cell>
          <cell r="X2856" t="str">
            <v/>
          </cell>
          <cell r="AB2856">
            <v>0</v>
          </cell>
          <cell r="AC2856">
            <v>0</v>
          </cell>
          <cell r="AD2856">
            <v>0</v>
          </cell>
          <cell r="AJ2856">
            <v>0</v>
          </cell>
          <cell r="AK2856">
            <v>0</v>
          </cell>
        </row>
        <row r="2857">
          <cell r="B2857" t="str">
            <v/>
          </cell>
          <cell r="H2857" t="str">
            <v/>
          </cell>
          <cell r="J2857" t="str">
            <v/>
          </cell>
          <cell r="N2857" t="str">
            <v/>
          </cell>
          <cell r="O2857" t="str">
            <v/>
          </cell>
          <cell r="P2857" t="str">
            <v/>
          </cell>
          <cell r="Q2857" t="str">
            <v/>
          </cell>
          <cell r="T2857" t="str">
            <v/>
          </cell>
          <cell r="U2857" t="str">
            <v/>
          </cell>
          <cell r="W2857" t="str">
            <v/>
          </cell>
          <cell r="X2857" t="str">
            <v/>
          </cell>
          <cell r="AB2857">
            <v>0</v>
          </cell>
          <cell r="AC2857">
            <v>0</v>
          </cell>
          <cell r="AD2857">
            <v>0</v>
          </cell>
          <cell r="AJ2857">
            <v>0</v>
          </cell>
          <cell r="AK2857">
            <v>0</v>
          </cell>
        </row>
        <row r="2858">
          <cell r="B2858" t="str">
            <v/>
          </cell>
          <cell r="H2858" t="str">
            <v/>
          </cell>
          <cell r="J2858" t="str">
            <v/>
          </cell>
          <cell r="N2858" t="str">
            <v/>
          </cell>
          <cell r="O2858" t="str">
            <v/>
          </cell>
          <cell r="P2858" t="str">
            <v/>
          </cell>
          <cell r="Q2858" t="str">
            <v/>
          </cell>
          <cell r="T2858" t="str">
            <v/>
          </cell>
          <cell r="U2858" t="str">
            <v/>
          </cell>
          <cell r="W2858" t="str">
            <v/>
          </cell>
          <cell r="X2858" t="str">
            <v/>
          </cell>
          <cell r="AB2858">
            <v>0</v>
          </cell>
          <cell r="AC2858">
            <v>0</v>
          </cell>
          <cell r="AD2858">
            <v>0</v>
          </cell>
          <cell r="AJ2858">
            <v>0</v>
          </cell>
          <cell r="AK2858">
            <v>0</v>
          </cell>
        </row>
        <row r="2859">
          <cell r="B2859" t="str">
            <v/>
          </cell>
          <cell r="H2859" t="str">
            <v/>
          </cell>
          <cell r="J2859" t="str">
            <v/>
          </cell>
          <cell r="N2859" t="str">
            <v/>
          </cell>
          <cell r="O2859" t="str">
            <v/>
          </cell>
          <cell r="P2859" t="str">
            <v/>
          </cell>
          <cell r="Q2859" t="str">
            <v/>
          </cell>
          <cell r="T2859" t="str">
            <v/>
          </cell>
          <cell r="U2859" t="str">
            <v/>
          </cell>
          <cell r="W2859" t="str">
            <v/>
          </cell>
          <cell r="X2859" t="str">
            <v/>
          </cell>
          <cell r="AB2859">
            <v>0</v>
          </cell>
          <cell r="AC2859">
            <v>0</v>
          </cell>
          <cell r="AD2859">
            <v>0</v>
          </cell>
          <cell r="AJ2859">
            <v>0</v>
          </cell>
          <cell r="AK2859">
            <v>0</v>
          </cell>
        </row>
        <row r="2860">
          <cell r="B2860" t="str">
            <v/>
          </cell>
          <cell r="H2860" t="str">
            <v/>
          </cell>
          <cell r="J2860" t="str">
            <v/>
          </cell>
          <cell r="N2860" t="str">
            <v/>
          </cell>
          <cell r="O2860" t="str">
            <v/>
          </cell>
          <cell r="P2860" t="str">
            <v/>
          </cell>
          <cell r="Q2860" t="str">
            <v/>
          </cell>
          <cell r="T2860" t="str">
            <v/>
          </cell>
          <cell r="U2860" t="str">
            <v/>
          </cell>
          <cell r="W2860" t="str">
            <v/>
          </cell>
          <cell r="X2860" t="str">
            <v/>
          </cell>
          <cell r="AB2860">
            <v>0</v>
          </cell>
          <cell r="AC2860">
            <v>0</v>
          </cell>
          <cell r="AD2860">
            <v>0</v>
          </cell>
          <cell r="AJ2860">
            <v>0</v>
          </cell>
          <cell r="AK2860">
            <v>0</v>
          </cell>
        </row>
        <row r="2861">
          <cell r="B2861" t="str">
            <v/>
          </cell>
          <cell r="H2861" t="str">
            <v/>
          </cell>
          <cell r="J2861" t="str">
            <v/>
          </cell>
          <cell r="N2861" t="str">
            <v/>
          </cell>
          <cell r="O2861" t="str">
            <v/>
          </cell>
          <cell r="P2861" t="str">
            <v/>
          </cell>
          <cell r="Q2861" t="str">
            <v/>
          </cell>
          <cell r="T2861" t="str">
            <v/>
          </cell>
          <cell r="U2861" t="str">
            <v/>
          </cell>
          <cell r="W2861" t="str">
            <v/>
          </cell>
          <cell r="X2861" t="str">
            <v/>
          </cell>
          <cell r="AB2861">
            <v>0</v>
          </cell>
          <cell r="AC2861">
            <v>0</v>
          </cell>
          <cell r="AD2861">
            <v>0</v>
          </cell>
          <cell r="AJ2861">
            <v>0</v>
          </cell>
          <cell r="AK2861">
            <v>0</v>
          </cell>
        </row>
        <row r="2862">
          <cell r="B2862" t="str">
            <v/>
          </cell>
          <cell r="H2862" t="str">
            <v/>
          </cell>
          <cell r="J2862" t="str">
            <v/>
          </cell>
          <cell r="N2862" t="str">
            <v/>
          </cell>
          <cell r="O2862" t="str">
            <v/>
          </cell>
          <cell r="P2862" t="str">
            <v/>
          </cell>
          <cell r="Q2862" t="str">
            <v/>
          </cell>
          <cell r="T2862" t="str">
            <v/>
          </cell>
          <cell r="U2862" t="str">
            <v/>
          </cell>
          <cell r="W2862" t="str">
            <v/>
          </cell>
          <cell r="X2862" t="str">
            <v/>
          </cell>
          <cell r="AB2862">
            <v>0</v>
          </cell>
          <cell r="AC2862">
            <v>0</v>
          </cell>
          <cell r="AD2862">
            <v>0</v>
          </cell>
          <cell r="AJ2862">
            <v>0</v>
          </cell>
          <cell r="AK2862">
            <v>0</v>
          </cell>
        </row>
        <row r="2863">
          <cell r="B2863" t="str">
            <v/>
          </cell>
          <cell r="H2863" t="str">
            <v/>
          </cell>
          <cell r="J2863" t="str">
            <v/>
          </cell>
          <cell r="N2863" t="str">
            <v/>
          </cell>
          <cell r="O2863" t="str">
            <v/>
          </cell>
          <cell r="P2863" t="str">
            <v/>
          </cell>
          <cell r="Q2863" t="str">
            <v/>
          </cell>
          <cell r="T2863" t="str">
            <v/>
          </cell>
          <cell r="U2863" t="str">
            <v/>
          </cell>
          <cell r="W2863" t="str">
            <v/>
          </cell>
          <cell r="X2863" t="str">
            <v/>
          </cell>
          <cell r="AB2863">
            <v>0</v>
          </cell>
          <cell r="AC2863">
            <v>0</v>
          </cell>
          <cell r="AD2863">
            <v>0</v>
          </cell>
          <cell r="AJ2863">
            <v>0</v>
          </cell>
          <cell r="AK2863">
            <v>0</v>
          </cell>
        </row>
        <row r="2864">
          <cell r="B2864" t="str">
            <v/>
          </cell>
          <cell r="H2864" t="str">
            <v/>
          </cell>
          <cell r="J2864" t="str">
            <v/>
          </cell>
          <cell r="N2864" t="str">
            <v/>
          </cell>
          <cell r="O2864" t="str">
            <v/>
          </cell>
          <cell r="P2864" t="str">
            <v/>
          </cell>
          <cell r="Q2864" t="str">
            <v/>
          </cell>
          <cell r="T2864" t="str">
            <v/>
          </cell>
          <cell r="U2864" t="str">
            <v/>
          </cell>
          <cell r="W2864" t="str">
            <v/>
          </cell>
          <cell r="X2864" t="str">
            <v/>
          </cell>
          <cell r="AB2864">
            <v>0</v>
          </cell>
          <cell r="AC2864">
            <v>0</v>
          </cell>
          <cell r="AD2864">
            <v>0</v>
          </cell>
          <cell r="AJ2864">
            <v>0</v>
          </cell>
          <cell r="AK2864">
            <v>0</v>
          </cell>
        </row>
        <row r="2865">
          <cell r="B2865" t="str">
            <v/>
          </cell>
          <cell r="H2865" t="str">
            <v/>
          </cell>
          <cell r="J2865" t="str">
            <v/>
          </cell>
          <cell r="N2865" t="str">
            <v/>
          </cell>
          <cell r="O2865" t="str">
            <v/>
          </cell>
          <cell r="P2865" t="str">
            <v/>
          </cell>
          <cell r="Q2865" t="str">
            <v/>
          </cell>
          <cell r="T2865" t="str">
            <v/>
          </cell>
          <cell r="U2865" t="str">
            <v/>
          </cell>
          <cell r="W2865" t="str">
            <v/>
          </cell>
          <cell r="X2865" t="str">
            <v/>
          </cell>
          <cell r="AB2865">
            <v>0</v>
          </cell>
          <cell r="AC2865">
            <v>0</v>
          </cell>
          <cell r="AD2865">
            <v>0</v>
          </cell>
          <cell r="AJ2865">
            <v>0</v>
          </cell>
          <cell r="AK2865">
            <v>0</v>
          </cell>
        </row>
        <row r="2866">
          <cell r="B2866" t="str">
            <v/>
          </cell>
          <cell r="H2866" t="str">
            <v/>
          </cell>
          <cell r="J2866" t="str">
            <v/>
          </cell>
          <cell r="N2866" t="str">
            <v/>
          </cell>
          <cell r="O2866" t="str">
            <v/>
          </cell>
          <cell r="P2866" t="str">
            <v/>
          </cell>
          <cell r="Q2866" t="str">
            <v/>
          </cell>
          <cell r="T2866" t="str">
            <v/>
          </cell>
          <cell r="U2866" t="str">
            <v/>
          </cell>
          <cell r="W2866" t="str">
            <v/>
          </cell>
          <cell r="X2866" t="str">
            <v/>
          </cell>
          <cell r="AB2866">
            <v>0</v>
          </cell>
          <cell r="AC2866">
            <v>0</v>
          </cell>
          <cell r="AD2866">
            <v>0</v>
          </cell>
          <cell r="AJ2866">
            <v>0</v>
          </cell>
          <cell r="AK2866">
            <v>0</v>
          </cell>
        </row>
        <row r="2867">
          <cell r="B2867" t="str">
            <v/>
          </cell>
          <cell r="H2867" t="str">
            <v/>
          </cell>
          <cell r="J2867" t="str">
            <v/>
          </cell>
          <cell r="N2867" t="str">
            <v/>
          </cell>
          <cell r="O2867" t="str">
            <v/>
          </cell>
          <cell r="P2867" t="str">
            <v/>
          </cell>
          <cell r="Q2867" t="str">
            <v/>
          </cell>
          <cell r="T2867" t="str">
            <v/>
          </cell>
          <cell r="U2867" t="str">
            <v/>
          </cell>
          <cell r="W2867" t="str">
            <v/>
          </cell>
          <cell r="X2867" t="str">
            <v/>
          </cell>
          <cell r="AB2867">
            <v>0</v>
          </cell>
          <cell r="AC2867">
            <v>0</v>
          </cell>
          <cell r="AD2867">
            <v>0</v>
          </cell>
          <cell r="AJ2867">
            <v>0</v>
          </cell>
          <cell r="AK2867">
            <v>0</v>
          </cell>
        </row>
        <row r="2868">
          <cell r="B2868" t="str">
            <v/>
          </cell>
          <cell r="H2868" t="str">
            <v/>
          </cell>
          <cell r="J2868" t="str">
            <v/>
          </cell>
          <cell r="N2868" t="str">
            <v/>
          </cell>
          <cell r="O2868" t="str">
            <v/>
          </cell>
          <cell r="P2868" t="str">
            <v/>
          </cell>
          <cell r="Q2868" t="str">
            <v/>
          </cell>
          <cell r="T2868" t="str">
            <v/>
          </cell>
          <cell r="U2868" t="str">
            <v/>
          </cell>
          <cell r="W2868" t="str">
            <v/>
          </cell>
          <cell r="X2868" t="str">
            <v/>
          </cell>
          <cell r="AB2868">
            <v>0</v>
          </cell>
          <cell r="AC2868">
            <v>0</v>
          </cell>
          <cell r="AD2868">
            <v>0</v>
          </cell>
          <cell r="AJ2868">
            <v>0</v>
          </cell>
          <cell r="AK2868">
            <v>0</v>
          </cell>
        </row>
        <row r="2869">
          <cell r="B2869" t="str">
            <v/>
          </cell>
          <cell r="H2869" t="str">
            <v/>
          </cell>
          <cell r="J2869" t="str">
            <v/>
          </cell>
          <cell r="N2869" t="str">
            <v/>
          </cell>
          <cell r="O2869" t="str">
            <v/>
          </cell>
          <cell r="P2869" t="str">
            <v/>
          </cell>
          <cell r="Q2869" t="str">
            <v/>
          </cell>
          <cell r="T2869" t="str">
            <v/>
          </cell>
          <cell r="U2869" t="str">
            <v/>
          </cell>
          <cell r="W2869" t="str">
            <v/>
          </cell>
          <cell r="X2869" t="str">
            <v/>
          </cell>
          <cell r="AB2869">
            <v>0</v>
          </cell>
          <cell r="AC2869">
            <v>0</v>
          </cell>
          <cell r="AD2869">
            <v>0</v>
          </cell>
          <cell r="AJ2869">
            <v>0</v>
          </cell>
          <cell r="AK2869">
            <v>0</v>
          </cell>
        </row>
        <row r="2870">
          <cell r="B2870" t="str">
            <v/>
          </cell>
          <cell r="H2870" t="str">
            <v/>
          </cell>
          <cell r="J2870" t="str">
            <v/>
          </cell>
          <cell r="N2870" t="str">
            <v/>
          </cell>
          <cell r="O2870" t="str">
            <v/>
          </cell>
          <cell r="P2870" t="str">
            <v/>
          </cell>
          <cell r="Q2870" t="str">
            <v/>
          </cell>
          <cell r="T2870" t="str">
            <v/>
          </cell>
          <cell r="U2870" t="str">
            <v/>
          </cell>
          <cell r="W2870" t="str">
            <v/>
          </cell>
          <cell r="X2870" t="str">
            <v/>
          </cell>
          <cell r="AB2870">
            <v>0</v>
          </cell>
          <cell r="AC2870">
            <v>0</v>
          </cell>
          <cell r="AD2870">
            <v>0</v>
          </cell>
          <cell r="AJ2870">
            <v>0</v>
          </cell>
          <cell r="AK2870">
            <v>0</v>
          </cell>
        </row>
        <row r="2871">
          <cell r="B2871" t="str">
            <v/>
          </cell>
          <cell r="H2871" t="str">
            <v/>
          </cell>
          <cell r="J2871" t="str">
            <v/>
          </cell>
          <cell r="N2871" t="str">
            <v/>
          </cell>
          <cell r="O2871" t="str">
            <v/>
          </cell>
          <cell r="P2871" t="str">
            <v/>
          </cell>
          <cell r="Q2871" t="str">
            <v/>
          </cell>
          <cell r="T2871" t="str">
            <v/>
          </cell>
          <cell r="U2871" t="str">
            <v/>
          </cell>
          <cell r="W2871" t="str">
            <v/>
          </cell>
          <cell r="X2871" t="str">
            <v/>
          </cell>
          <cell r="AB2871">
            <v>0</v>
          </cell>
          <cell r="AC2871">
            <v>0</v>
          </cell>
          <cell r="AD2871">
            <v>0</v>
          </cell>
          <cell r="AJ2871">
            <v>0</v>
          </cell>
          <cell r="AK2871">
            <v>0</v>
          </cell>
        </row>
        <row r="2872">
          <cell r="B2872" t="str">
            <v/>
          </cell>
          <cell r="H2872" t="str">
            <v/>
          </cell>
          <cell r="J2872" t="str">
            <v/>
          </cell>
          <cell r="N2872" t="str">
            <v/>
          </cell>
          <cell r="O2872" t="str">
            <v/>
          </cell>
          <cell r="P2872" t="str">
            <v/>
          </cell>
          <cell r="Q2872" t="str">
            <v/>
          </cell>
          <cell r="T2872" t="str">
            <v/>
          </cell>
          <cell r="U2872" t="str">
            <v/>
          </cell>
          <cell r="W2872" t="str">
            <v/>
          </cell>
          <cell r="X2872" t="str">
            <v/>
          </cell>
          <cell r="AB2872">
            <v>0</v>
          </cell>
          <cell r="AC2872">
            <v>0</v>
          </cell>
          <cell r="AD2872">
            <v>0</v>
          </cell>
          <cell r="AJ2872">
            <v>0</v>
          </cell>
          <cell r="AK2872">
            <v>0</v>
          </cell>
        </row>
        <row r="2873">
          <cell r="B2873" t="str">
            <v/>
          </cell>
          <cell r="H2873" t="str">
            <v/>
          </cell>
          <cell r="J2873" t="str">
            <v/>
          </cell>
          <cell r="N2873" t="str">
            <v/>
          </cell>
          <cell r="O2873" t="str">
            <v/>
          </cell>
          <cell r="P2873" t="str">
            <v/>
          </cell>
          <cell r="Q2873" t="str">
            <v/>
          </cell>
          <cell r="T2873" t="str">
            <v/>
          </cell>
          <cell r="U2873" t="str">
            <v/>
          </cell>
          <cell r="W2873" t="str">
            <v/>
          </cell>
          <cell r="X2873" t="str">
            <v/>
          </cell>
          <cell r="AB2873">
            <v>0</v>
          </cell>
          <cell r="AC2873">
            <v>0</v>
          </cell>
          <cell r="AD2873">
            <v>0</v>
          </cell>
          <cell r="AJ2873">
            <v>0</v>
          </cell>
          <cell r="AK2873">
            <v>0</v>
          </cell>
        </row>
        <row r="2874">
          <cell r="B2874" t="str">
            <v/>
          </cell>
          <cell r="H2874" t="str">
            <v/>
          </cell>
          <cell r="J2874" t="str">
            <v/>
          </cell>
          <cell r="N2874" t="str">
            <v/>
          </cell>
          <cell r="O2874" t="str">
            <v/>
          </cell>
          <cell r="P2874" t="str">
            <v/>
          </cell>
          <cell r="Q2874" t="str">
            <v/>
          </cell>
          <cell r="T2874" t="str">
            <v/>
          </cell>
          <cell r="U2874" t="str">
            <v/>
          </cell>
          <cell r="W2874" t="str">
            <v/>
          </cell>
          <cell r="X2874" t="str">
            <v/>
          </cell>
          <cell r="AB2874">
            <v>0</v>
          </cell>
          <cell r="AC2874">
            <v>0</v>
          </cell>
          <cell r="AD2874">
            <v>0</v>
          </cell>
          <cell r="AJ2874">
            <v>0</v>
          </cell>
          <cell r="AK2874">
            <v>0</v>
          </cell>
        </row>
        <row r="2875">
          <cell r="B2875" t="str">
            <v/>
          </cell>
          <cell r="H2875" t="str">
            <v/>
          </cell>
          <cell r="J2875" t="str">
            <v/>
          </cell>
          <cell r="N2875" t="str">
            <v/>
          </cell>
          <cell r="O2875" t="str">
            <v/>
          </cell>
          <cell r="P2875" t="str">
            <v/>
          </cell>
          <cell r="Q2875" t="str">
            <v/>
          </cell>
          <cell r="T2875" t="str">
            <v/>
          </cell>
          <cell r="U2875" t="str">
            <v/>
          </cell>
          <cell r="W2875" t="str">
            <v/>
          </cell>
          <cell r="X2875" t="str">
            <v/>
          </cell>
          <cell r="AB2875">
            <v>0</v>
          </cell>
          <cell r="AC2875">
            <v>0</v>
          </cell>
          <cell r="AD2875">
            <v>0</v>
          </cell>
          <cell r="AJ2875">
            <v>0</v>
          </cell>
          <cell r="AK2875">
            <v>0</v>
          </cell>
        </row>
        <row r="2876">
          <cell r="B2876" t="str">
            <v/>
          </cell>
          <cell r="H2876" t="str">
            <v/>
          </cell>
          <cell r="J2876" t="str">
            <v/>
          </cell>
          <cell r="N2876" t="str">
            <v/>
          </cell>
          <cell r="O2876" t="str">
            <v/>
          </cell>
          <cell r="P2876" t="str">
            <v/>
          </cell>
          <cell r="Q2876" t="str">
            <v/>
          </cell>
          <cell r="T2876" t="str">
            <v/>
          </cell>
          <cell r="U2876" t="str">
            <v/>
          </cell>
          <cell r="W2876" t="str">
            <v/>
          </cell>
          <cell r="X2876" t="str">
            <v/>
          </cell>
          <cell r="AB2876">
            <v>0</v>
          </cell>
          <cell r="AC2876">
            <v>0</v>
          </cell>
          <cell r="AD2876">
            <v>0</v>
          </cell>
          <cell r="AJ2876">
            <v>0</v>
          </cell>
          <cell r="AK2876">
            <v>0</v>
          </cell>
        </row>
        <row r="2877">
          <cell r="B2877" t="str">
            <v/>
          </cell>
          <cell r="H2877" t="str">
            <v/>
          </cell>
          <cell r="J2877" t="str">
            <v/>
          </cell>
          <cell r="N2877" t="str">
            <v/>
          </cell>
          <cell r="O2877" t="str">
            <v/>
          </cell>
          <cell r="P2877" t="str">
            <v/>
          </cell>
          <cell r="Q2877" t="str">
            <v/>
          </cell>
          <cell r="T2877" t="str">
            <v/>
          </cell>
          <cell r="U2877" t="str">
            <v/>
          </cell>
          <cell r="W2877" t="str">
            <v/>
          </cell>
          <cell r="X2877" t="str">
            <v/>
          </cell>
          <cell r="AB2877">
            <v>0</v>
          </cell>
          <cell r="AC2877">
            <v>0</v>
          </cell>
          <cell r="AD2877">
            <v>0</v>
          </cell>
          <cell r="AJ2877">
            <v>0</v>
          </cell>
          <cell r="AK2877">
            <v>0</v>
          </cell>
        </row>
        <row r="2878">
          <cell r="B2878" t="str">
            <v/>
          </cell>
          <cell r="H2878" t="str">
            <v/>
          </cell>
          <cell r="J2878" t="str">
            <v/>
          </cell>
          <cell r="N2878" t="str">
            <v/>
          </cell>
          <cell r="O2878" t="str">
            <v/>
          </cell>
          <cell r="P2878" t="str">
            <v/>
          </cell>
          <cell r="Q2878" t="str">
            <v/>
          </cell>
          <cell r="T2878" t="str">
            <v/>
          </cell>
          <cell r="U2878" t="str">
            <v/>
          </cell>
          <cell r="W2878" t="str">
            <v/>
          </cell>
          <cell r="X2878" t="str">
            <v/>
          </cell>
          <cell r="AB2878">
            <v>0</v>
          </cell>
          <cell r="AC2878">
            <v>0</v>
          </cell>
          <cell r="AD2878">
            <v>0</v>
          </cell>
          <cell r="AJ2878">
            <v>0</v>
          </cell>
          <cell r="AK2878">
            <v>0</v>
          </cell>
        </row>
        <row r="2879">
          <cell r="B2879" t="str">
            <v/>
          </cell>
          <cell r="H2879" t="str">
            <v/>
          </cell>
          <cell r="J2879" t="str">
            <v/>
          </cell>
          <cell r="N2879" t="str">
            <v/>
          </cell>
          <cell r="O2879" t="str">
            <v/>
          </cell>
          <cell r="P2879" t="str">
            <v/>
          </cell>
          <cell r="Q2879" t="str">
            <v/>
          </cell>
          <cell r="T2879" t="str">
            <v/>
          </cell>
          <cell r="U2879" t="str">
            <v/>
          </cell>
          <cell r="W2879" t="str">
            <v/>
          </cell>
          <cell r="X2879" t="str">
            <v/>
          </cell>
          <cell r="AB2879">
            <v>0</v>
          </cell>
          <cell r="AC2879">
            <v>0</v>
          </cell>
          <cell r="AD2879">
            <v>0</v>
          </cell>
          <cell r="AJ2879">
            <v>0</v>
          </cell>
          <cell r="AK2879">
            <v>0</v>
          </cell>
        </row>
        <row r="2880">
          <cell r="B2880" t="str">
            <v/>
          </cell>
          <cell r="H2880" t="str">
            <v/>
          </cell>
          <cell r="J2880" t="str">
            <v/>
          </cell>
          <cell r="N2880" t="str">
            <v/>
          </cell>
          <cell r="O2880" t="str">
            <v/>
          </cell>
          <cell r="P2880" t="str">
            <v/>
          </cell>
          <cell r="Q2880" t="str">
            <v/>
          </cell>
          <cell r="T2880" t="str">
            <v/>
          </cell>
          <cell r="U2880" t="str">
            <v/>
          </cell>
          <cell r="W2880" t="str">
            <v/>
          </cell>
          <cell r="X2880" t="str">
            <v/>
          </cell>
          <cell r="AB2880">
            <v>0</v>
          </cell>
          <cell r="AC2880">
            <v>0</v>
          </cell>
          <cell r="AD2880">
            <v>0</v>
          </cell>
          <cell r="AJ2880">
            <v>0</v>
          </cell>
          <cell r="AK2880">
            <v>0</v>
          </cell>
        </row>
        <row r="2881">
          <cell r="B2881" t="str">
            <v/>
          </cell>
          <cell r="H2881" t="str">
            <v/>
          </cell>
          <cell r="J2881" t="str">
            <v/>
          </cell>
          <cell r="N2881" t="str">
            <v/>
          </cell>
          <cell r="O2881" t="str">
            <v/>
          </cell>
          <cell r="P2881" t="str">
            <v/>
          </cell>
          <cell r="Q2881" t="str">
            <v/>
          </cell>
          <cell r="T2881" t="str">
            <v/>
          </cell>
          <cell r="U2881" t="str">
            <v/>
          </cell>
          <cell r="W2881" t="str">
            <v/>
          </cell>
          <cell r="X2881" t="str">
            <v/>
          </cell>
          <cell r="AB2881">
            <v>0</v>
          </cell>
          <cell r="AC2881">
            <v>0</v>
          </cell>
          <cell r="AD2881">
            <v>0</v>
          </cell>
          <cell r="AJ2881">
            <v>0</v>
          </cell>
          <cell r="AK2881">
            <v>0</v>
          </cell>
        </row>
        <row r="2882">
          <cell r="B2882" t="str">
            <v/>
          </cell>
          <cell r="H2882" t="str">
            <v/>
          </cell>
          <cell r="J2882" t="str">
            <v/>
          </cell>
          <cell r="N2882" t="str">
            <v/>
          </cell>
          <cell r="O2882" t="str">
            <v/>
          </cell>
          <cell r="P2882" t="str">
            <v/>
          </cell>
          <cell r="Q2882" t="str">
            <v/>
          </cell>
          <cell r="T2882" t="str">
            <v/>
          </cell>
          <cell r="U2882" t="str">
            <v/>
          </cell>
          <cell r="W2882" t="str">
            <v/>
          </cell>
          <cell r="X2882" t="str">
            <v/>
          </cell>
          <cell r="AB2882">
            <v>0</v>
          </cell>
          <cell r="AC2882">
            <v>0</v>
          </cell>
          <cell r="AD2882">
            <v>0</v>
          </cell>
          <cell r="AJ2882">
            <v>0</v>
          </cell>
          <cell r="AK2882">
            <v>0</v>
          </cell>
        </row>
        <row r="2883">
          <cell r="B2883" t="str">
            <v/>
          </cell>
          <cell r="H2883" t="str">
            <v/>
          </cell>
          <cell r="J2883" t="str">
            <v/>
          </cell>
          <cell r="N2883" t="str">
            <v/>
          </cell>
          <cell r="O2883" t="str">
            <v/>
          </cell>
          <cell r="P2883" t="str">
            <v/>
          </cell>
          <cell r="Q2883" t="str">
            <v/>
          </cell>
          <cell r="T2883" t="str">
            <v/>
          </cell>
          <cell r="U2883" t="str">
            <v/>
          </cell>
          <cell r="W2883" t="str">
            <v/>
          </cell>
          <cell r="X2883" t="str">
            <v/>
          </cell>
          <cell r="AB2883">
            <v>0</v>
          </cell>
          <cell r="AC2883">
            <v>0</v>
          </cell>
          <cell r="AD2883">
            <v>0</v>
          </cell>
          <cell r="AJ2883">
            <v>0</v>
          </cell>
          <cell r="AK2883">
            <v>0</v>
          </cell>
        </row>
        <row r="2884">
          <cell r="B2884" t="str">
            <v/>
          </cell>
          <cell r="H2884" t="str">
            <v/>
          </cell>
          <cell r="J2884" t="str">
            <v/>
          </cell>
          <cell r="N2884" t="str">
            <v/>
          </cell>
          <cell r="O2884" t="str">
            <v/>
          </cell>
          <cell r="P2884" t="str">
            <v/>
          </cell>
          <cell r="Q2884" t="str">
            <v/>
          </cell>
          <cell r="T2884" t="str">
            <v/>
          </cell>
          <cell r="U2884" t="str">
            <v/>
          </cell>
          <cell r="W2884" t="str">
            <v/>
          </cell>
          <cell r="X2884" t="str">
            <v/>
          </cell>
          <cell r="AB2884">
            <v>0</v>
          </cell>
          <cell r="AC2884">
            <v>0</v>
          </cell>
          <cell r="AD2884">
            <v>0</v>
          </cell>
          <cell r="AJ2884">
            <v>0</v>
          </cell>
          <cell r="AK2884">
            <v>0</v>
          </cell>
        </row>
        <row r="2885">
          <cell r="B2885" t="str">
            <v/>
          </cell>
          <cell r="H2885" t="str">
            <v/>
          </cell>
          <cell r="J2885" t="str">
            <v/>
          </cell>
          <cell r="N2885" t="str">
            <v/>
          </cell>
          <cell r="O2885" t="str">
            <v/>
          </cell>
          <cell r="P2885" t="str">
            <v/>
          </cell>
          <cell r="Q2885" t="str">
            <v/>
          </cell>
          <cell r="T2885" t="str">
            <v/>
          </cell>
          <cell r="U2885" t="str">
            <v/>
          </cell>
          <cell r="W2885" t="str">
            <v/>
          </cell>
          <cell r="X2885" t="str">
            <v/>
          </cell>
          <cell r="AB2885">
            <v>0</v>
          </cell>
          <cell r="AC2885">
            <v>0</v>
          </cell>
          <cell r="AD2885">
            <v>0</v>
          </cell>
          <cell r="AJ2885">
            <v>0</v>
          </cell>
          <cell r="AK2885">
            <v>0</v>
          </cell>
        </row>
        <row r="2886">
          <cell r="B2886" t="str">
            <v/>
          </cell>
          <cell r="H2886" t="str">
            <v/>
          </cell>
          <cell r="J2886" t="str">
            <v/>
          </cell>
          <cell r="N2886" t="str">
            <v/>
          </cell>
          <cell r="O2886" t="str">
            <v/>
          </cell>
          <cell r="P2886" t="str">
            <v/>
          </cell>
          <cell r="Q2886" t="str">
            <v/>
          </cell>
          <cell r="T2886" t="str">
            <v/>
          </cell>
          <cell r="U2886" t="str">
            <v/>
          </cell>
          <cell r="W2886" t="str">
            <v/>
          </cell>
          <cell r="X2886" t="str">
            <v/>
          </cell>
          <cell r="AB2886">
            <v>0</v>
          </cell>
          <cell r="AC2886">
            <v>0</v>
          </cell>
          <cell r="AD2886">
            <v>0</v>
          </cell>
          <cell r="AJ2886">
            <v>0</v>
          </cell>
          <cell r="AK2886">
            <v>0</v>
          </cell>
        </row>
        <row r="2887">
          <cell r="B2887" t="str">
            <v/>
          </cell>
          <cell r="H2887" t="str">
            <v/>
          </cell>
          <cell r="J2887" t="str">
            <v/>
          </cell>
          <cell r="N2887" t="str">
            <v/>
          </cell>
          <cell r="O2887" t="str">
            <v/>
          </cell>
          <cell r="P2887" t="str">
            <v/>
          </cell>
          <cell r="Q2887" t="str">
            <v/>
          </cell>
          <cell r="T2887" t="str">
            <v/>
          </cell>
          <cell r="U2887" t="str">
            <v/>
          </cell>
          <cell r="W2887" t="str">
            <v/>
          </cell>
          <cell r="X2887" t="str">
            <v/>
          </cell>
          <cell r="AB2887">
            <v>0</v>
          </cell>
          <cell r="AC2887">
            <v>0</v>
          </cell>
          <cell r="AD2887">
            <v>0</v>
          </cell>
          <cell r="AJ2887">
            <v>0</v>
          </cell>
          <cell r="AK2887">
            <v>0</v>
          </cell>
        </row>
        <row r="2888">
          <cell r="B2888" t="str">
            <v/>
          </cell>
          <cell r="H2888" t="str">
            <v/>
          </cell>
          <cell r="J2888" t="str">
            <v/>
          </cell>
          <cell r="N2888" t="str">
            <v/>
          </cell>
          <cell r="O2888" t="str">
            <v/>
          </cell>
          <cell r="P2888" t="str">
            <v/>
          </cell>
          <cell r="Q2888" t="str">
            <v/>
          </cell>
          <cell r="T2888" t="str">
            <v/>
          </cell>
          <cell r="U2888" t="str">
            <v/>
          </cell>
          <cell r="W2888" t="str">
            <v/>
          </cell>
          <cell r="X2888" t="str">
            <v/>
          </cell>
          <cell r="AB2888">
            <v>0</v>
          </cell>
          <cell r="AC2888">
            <v>0</v>
          </cell>
          <cell r="AD2888">
            <v>0</v>
          </cell>
          <cell r="AJ2888">
            <v>0</v>
          </cell>
          <cell r="AK2888">
            <v>0</v>
          </cell>
        </row>
        <row r="2889">
          <cell r="B2889" t="str">
            <v/>
          </cell>
          <cell r="H2889" t="str">
            <v/>
          </cell>
          <cell r="J2889" t="str">
            <v/>
          </cell>
          <cell r="N2889" t="str">
            <v/>
          </cell>
          <cell r="O2889" t="str">
            <v/>
          </cell>
          <cell r="P2889" t="str">
            <v/>
          </cell>
          <cell r="Q2889" t="str">
            <v/>
          </cell>
          <cell r="T2889" t="str">
            <v/>
          </cell>
          <cell r="U2889" t="str">
            <v/>
          </cell>
          <cell r="W2889" t="str">
            <v/>
          </cell>
          <cell r="X2889" t="str">
            <v/>
          </cell>
          <cell r="AB2889">
            <v>0</v>
          </cell>
          <cell r="AC2889">
            <v>0</v>
          </cell>
          <cell r="AD2889">
            <v>0</v>
          </cell>
          <cell r="AJ2889">
            <v>0</v>
          </cell>
          <cell r="AK2889">
            <v>0</v>
          </cell>
        </row>
        <row r="2890">
          <cell r="B2890" t="str">
            <v/>
          </cell>
          <cell r="H2890" t="str">
            <v/>
          </cell>
          <cell r="J2890" t="str">
            <v/>
          </cell>
          <cell r="N2890" t="str">
            <v/>
          </cell>
          <cell r="O2890" t="str">
            <v/>
          </cell>
          <cell r="P2890" t="str">
            <v/>
          </cell>
          <cell r="Q2890" t="str">
            <v/>
          </cell>
          <cell r="T2890" t="str">
            <v/>
          </cell>
          <cell r="U2890" t="str">
            <v/>
          </cell>
          <cell r="W2890" t="str">
            <v/>
          </cell>
          <cell r="X2890" t="str">
            <v/>
          </cell>
          <cell r="AB2890">
            <v>0</v>
          </cell>
          <cell r="AC2890">
            <v>0</v>
          </cell>
          <cell r="AD2890">
            <v>0</v>
          </cell>
          <cell r="AJ2890">
            <v>0</v>
          </cell>
          <cell r="AK2890">
            <v>0</v>
          </cell>
        </row>
        <row r="2891">
          <cell r="B2891" t="str">
            <v/>
          </cell>
          <cell r="H2891" t="str">
            <v/>
          </cell>
          <cell r="J2891" t="str">
            <v/>
          </cell>
          <cell r="N2891" t="str">
            <v/>
          </cell>
          <cell r="O2891" t="str">
            <v/>
          </cell>
          <cell r="P2891" t="str">
            <v/>
          </cell>
          <cell r="Q2891" t="str">
            <v/>
          </cell>
          <cell r="T2891" t="str">
            <v/>
          </cell>
          <cell r="U2891" t="str">
            <v/>
          </cell>
          <cell r="W2891" t="str">
            <v/>
          </cell>
          <cell r="X2891" t="str">
            <v/>
          </cell>
          <cell r="AB2891">
            <v>0</v>
          </cell>
          <cell r="AC2891">
            <v>0</v>
          </cell>
          <cell r="AD2891">
            <v>0</v>
          </cell>
          <cell r="AJ2891">
            <v>0</v>
          </cell>
          <cell r="AK2891">
            <v>0</v>
          </cell>
        </row>
        <row r="2892">
          <cell r="B2892" t="str">
            <v/>
          </cell>
          <cell r="H2892" t="str">
            <v/>
          </cell>
          <cell r="J2892" t="str">
            <v/>
          </cell>
          <cell r="N2892" t="str">
            <v/>
          </cell>
          <cell r="O2892" t="str">
            <v/>
          </cell>
          <cell r="P2892" t="str">
            <v/>
          </cell>
          <cell r="Q2892" t="str">
            <v/>
          </cell>
          <cell r="T2892" t="str">
            <v/>
          </cell>
          <cell r="U2892" t="str">
            <v/>
          </cell>
          <cell r="W2892" t="str">
            <v/>
          </cell>
          <cell r="X2892" t="str">
            <v/>
          </cell>
          <cell r="AB2892">
            <v>0</v>
          </cell>
          <cell r="AC2892">
            <v>0</v>
          </cell>
          <cell r="AD2892">
            <v>0</v>
          </cell>
          <cell r="AJ2892">
            <v>0</v>
          </cell>
          <cell r="AK2892">
            <v>0</v>
          </cell>
        </row>
        <row r="2893">
          <cell r="B2893" t="str">
            <v/>
          </cell>
          <cell r="H2893" t="str">
            <v/>
          </cell>
          <cell r="J2893" t="str">
            <v/>
          </cell>
          <cell r="N2893" t="str">
            <v/>
          </cell>
          <cell r="O2893" t="str">
            <v/>
          </cell>
          <cell r="P2893" t="str">
            <v/>
          </cell>
          <cell r="Q2893" t="str">
            <v/>
          </cell>
          <cell r="T2893" t="str">
            <v/>
          </cell>
          <cell r="U2893" t="str">
            <v/>
          </cell>
          <cell r="W2893" t="str">
            <v/>
          </cell>
          <cell r="X2893" t="str">
            <v/>
          </cell>
          <cell r="AB2893">
            <v>0</v>
          </cell>
          <cell r="AC2893">
            <v>0</v>
          </cell>
          <cell r="AD2893">
            <v>0</v>
          </cell>
          <cell r="AJ2893">
            <v>0</v>
          </cell>
          <cell r="AK2893">
            <v>0</v>
          </cell>
        </row>
        <row r="2894">
          <cell r="B2894" t="str">
            <v/>
          </cell>
          <cell r="H2894" t="str">
            <v/>
          </cell>
          <cell r="J2894" t="str">
            <v/>
          </cell>
          <cell r="N2894" t="str">
            <v/>
          </cell>
          <cell r="O2894" t="str">
            <v/>
          </cell>
          <cell r="P2894" t="str">
            <v/>
          </cell>
          <cell r="Q2894" t="str">
            <v/>
          </cell>
          <cell r="T2894" t="str">
            <v/>
          </cell>
          <cell r="U2894" t="str">
            <v/>
          </cell>
          <cell r="W2894" t="str">
            <v/>
          </cell>
          <cell r="X2894" t="str">
            <v/>
          </cell>
          <cell r="AB2894">
            <v>0</v>
          </cell>
          <cell r="AC2894">
            <v>0</v>
          </cell>
          <cell r="AD2894">
            <v>0</v>
          </cell>
          <cell r="AJ2894">
            <v>0</v>
          </cell>
          <cell r="AK2894">
            <v>0</v>
          </cell>
        </row>
        <row r="2895">
          <cell r="B2895" t="str">
            <v/>
          </cell>
          <cell r="H2895" t="str">
            <v/>
          </cell>
          <cell r="J2895" t="str">
            <v/>
          </cell>
          <cell r="N2895" t="str">
            <v/>
          </cell>
          <cell r="O2895" t="str">
            <v/>
          </cell>
          <cell r="P2895" t="str">
            <v/>
          </cell>
          <cell r="Q2895" t="str">
            <v/>
          </cell>
          <cell r="T2895" t="str">
            <v/>
          </cell>
          <cell r="U2895" t="str">
            <v/>
          </cell>
          <cell r="W2895" t="str">
            <v/>
          </cell>
          <cell r="X2895" t="str">
            <v/>
          </cell>
          <cell r="AB2895">
            <v>0</v>
          </cell>
          <cell r="AC2895">
            <v>0</v>
          </cell>
          <cell r="AD2895">
            <v>0</v>
          </cell>
          <cell r="AJ2895">
            <v>0</v>
          </cell>
          <cell r="AK2895">
            <v>0</v>
          </cell>
        </row>
        <row r="2896">
          <cell r="B2896" t="str">
            <v/>
          </cell>
          <cell r="H2896" t="str">
            <v/>
          </cell>
          <cell r="J2896" t="str">
            <v/>
          </cell>
          <cell r="N2896" t="str">
            <v/>
          </cell>
          <cell r="O2896" t="str">
            <v/>
          </cell>
          <cell r="P2896" t="str">
            <v/>
          </cell>
          <cell r="Q2896" t="str">
            <v/>
          </cell>
          <cell r="T2896" t="str">
            <v/>
          </cell>
          <cell r="U2896" t="str">
            <v/>
          </cell>
          <cell r="W2896" t="str">
            <v/>
          </cell>
          <cell r="X2896" t="str">
            <v/>
          </cell>
          <cell r="AB2896">
            <v>0</v>
          </cell>
          <cell r="AC2896">
            <v>0</v>
          </cell>
          <cell r="AD2896">
            <v>0</v>
          </cell>
          <cell r="AJ2896">
            <v>0</v>
          </cell>
          <cell r="AK2896">
            <v>0</v>
          </cell>
        </row>
        <row r="2897">
          <cell r="B2897" t="str">
            <v/>
          </cell>
          <cell r="H2897" t="str">
            <v/>
          </cell>
          <cell r="J2897" t="str">
            <v/>
          </cell>
          <cell r="N2897" t="str">
            <v/>
          </cell>
          <cell r="O2897" t="str">
            <v/>
          </cell>
          <cell r="P2897" t="str">
            <v/>
          </cell>
          <cell r="Q2897" t="str">
            <v/>
          </cell>
          <cell r="T2897" t="str">
            <v/>
          </cell>
          <cell r="U2897" t="str">
            <v/>
          </cell>
          <cell r="W2897" t="str">
            <v/>
          </cell>
          <cell r="X2897" t="str">
            <v/>
          </cell>
          <cell r="AB2897">
            <v>0</v>
          </cell>
          <cell r="AC2897">
            <v>0</v>
          </cell>
          <cell r="AD2897">
            <v>0</v>
          </cell>
          <cell r="AJ2897">
            <v>0</v>
          </cell>
          <cell r="AK2897">
            <v>0</v>
          </cell>
        </row>
        <row r="2898">
          <cell r="B2898" t="str">
            <v/>
          </cell>
          <cell r="H2898" t="str">
            <v/>
          </cell>
          <cell r="J2898" t="str">
            <v/>
          </cell>
          <cell r="N2898" t="str">
            <v/>
          </cell>
          <cell r="O2898" t="str">
            <v/>
          </cell>
          <cell r="P2898" t="str">
            <v/>
          </cell>
          <cell r="Q2898" t="str">
            <v/>
          </cell>
          <cell r="T2898" t="str">
            <v/>
          </cell>
          <cell r="U2898" t="str">
            <v/>
          </cell>
          <cell r="W2898" t="str">
            <v/>
          </cell>
          <cell r="X2898" t="str">
            <v/>
          </cell>
          <cell r="AB2898">
            <v>0</v>
          </cell>
          <cell r="AC2898">
            <v>0</v>
          </cell>
          <cell r="AD2898">
            <v>0</v>
          </cell>
          <cell r="AJ2898">
            <v>0</v>
          </cell>
          <cell r="AK2898">
            <v>0</v>
          </cell>
        </row>
        <row r="2899">
          <cell r="B2899" t="str">
            <v/>
          </cell>
          <cell r="H2899" t="str">
            <v/>
          </cell>
          <cell r="J2899" t="str">
            <v/>
          </cell>
          <cell r="N2899" t="str">
            <v/>
          </cell>
          <cell r="O2899" t="str">
            <v/>
          </cell>
          <cell r="P2899" t="str">
            <v/>
          </cell>
          <cell r="Q2899" t="str">
            <v/>
          </cell>
          <cell r="T2899" t="str">
            <v/>
          </cell>
          <cell r="U2899" t="str">
            <v/>
          </cell>
          <cell r="W2899" t="str">
            <v/>
          </cell>
          <cell r="X2899" t="str">
            <v/>
          </cell>
          <cell r="AB2899">
            <v>0</v>
          </cell>
          <cell r="AC2899">
            <v>0</v>
          </cell>
          <cell r="AD2899">
            <v>0</v>
          </cell>
          <cell r="AJ2899">
            <v>0</v>
          </cell>
          <cell r="AK2899">
            <v>0</v>
          </cell>
        </row>
        <row r="2900">
          <cell r="B2900" t="str">
            <v/>
          </cell>
          <cell r="H2900" t="str">
            <v/>
          </cell>
          <cell r="J2900" t="str">
            <v/>
          </cell>
          <cell r="N2900" t="str">
            <v/>
          </cell>
          <cell r="O2900" t="str">
            <v/>
          </cell>
          <cell r="P2900" t="str">
            <v/>
          </cell>
          <cell r="Q2900" t="str">
            <v/>
          </cell>
          <cell r="T2900" t="str">
            <v/>
          </cell>
          <cell r="U2900" t="str">
            <v/>
          </cell>
          <cell r="W2900" t="str">
            <v/>
          </cell>
          <cell r="X2900" t="str">
            <v/>
          </cell>
          <cell r="AB2900">
            <v>0</v>
          </cell>
          <cell r="AC2900">
            <v>0</v>
          </cell>
          <cell r="AD2900">
            <v>0</v>
          </cell>
          <cell r="AJ2900">
            <v>0</v>
          </cell>
          <cell r="AK2900">
            <v>0</v>
          </cell>
        </row>
        <row r="2901">
          <cell r="B2901" t="str">
            <v/>
          </cell>
          <cell r="H2901" t="str">
            <v/>
          </cell>
          <cell r="J2901" t="str">
            <v/>
          </cell>
          <cell r="N2901" t="str">
            <v/>
          </cell>
          <cell r="O2901" t="str">
            <v/>
          </cell>
          <cell r="P2901" t="str">
            <v/>
          </cell>
          <cell r="Q2901" t="str">
            <v/>
          </cell>
          <cell r="T2901" t="str">
            <v/>
          </cell>
          <cell r="U2901" t="str">
            <v/>
          </cell>
          <cell r="W2901" t="str">
            <v/>
          </cell>
          <cell r="X2901" t="str">
            <v/>
          </cell>
          <cell r="AB2901">
            <v>0</v>
          </cell>
          <cell r="AC2901">
            <v>0</v>
          </cell>
          <cell r="AD2901">
            <v>0</v>
          </cell>
          <cell r="AJ2901">
            <v>0</v>
          </cell>
          <cell r="AK2901">
            <v>0</v>
          </cell>
        </row>
        <row r="2902">
          <cell r="B2902" t="str">
            <v/>
          </cell>
          <cell r="H2902" t="str">
            <v/>
          </cell>
          <cell r="J2902" t="str">
            <v/>
          </cell>
          <cell r="N2902" t="str">
            <v/>
          </cell>
          <cell r="O2902" t="str">
            <v/>
          </cell>
          <cell r="P2902" t="str">
            <v/>
          </cell>
          <cell r="Q2902" t="str">
            <v/>
          </cell>
          <cell r="T2902" t="str">
            <v/>
          </cell>
          <cell r="U2902" t="str">
            <v/>
          </cell>
          <cell r="W2902" t="str">
            <v/>
          </cell>
          <cell r="X2902" t="str">
            <v/>
          </cell>
          <cell r="AB2902">
            <v>0</v>
          </cell>
          <cell r="AC2902">
            <v>0</v>
          </cell>
          <cell r="AD2902">
            <v>0</v>
          </cell>
          <cell r="AJ2902">
            <v>0</v>
          </cell>
          <cell r="AK2902">
            <v>0</v>
          </cell>
        </row>
        <row r="2903">
          <cell r="B2903" t="str">
            <v/>
          </cell>
          <cell r="H2903" t="str">
            <v/>
          </cell>
          <cell r="J2903" t="str">
            <v/>
          </cell>
          <cell r="N2903" t="str">
            <v/>
          </cell>
          <cell r="O2903" t="str">
            <v/>
          </cell>
          <cell r="P2903" t="str">
            <v/>
          </cell>
          <cell r="Q2903" t="str">
            <v/>
          </cell>
          <cell r="T2903" t="str">
            <v/>
          </cell>
          <cell r="U2903" t="str">
            <v/>
          </cell>
          <cell r="W2903" t="str">
            <v/>
          </cell>
          <cell r="X2903" t="str">
            <v/>
          </cell>
          <cell r="AB2903">
            <v>0</v>
          </cell>
          <cell r="AC2903">
            <v>0</v>
          </cell>
          <cell r="AD2903">
            <v>0</v>
          </cell>
          <cell r="AJ2903">
            <v>0</v>
          </cell>
          <cell r="AK2903">
            <v>0</v>
          </cell>
        </row>
        <row r="2904">
          <cell r="B2904" t="str">
            <v/>
          </cell>
          <cell r="H2904" t="str">
            <v/>
          </cell>
          <cell r="J2904" t="str">
            <v/>
          </cell>
          <cell r="N2904" t="str">
            <v/>
          </cell>
          <cell r="O2904" t="str">
            <v/>
          </cell>
          <cell r="P2904" t="str">
            <v/>
          </cell>
          <cell r="Q2904" t="str">
            <v/>
          </cell>
          <cell r="T2904" t="str">
            <v/>
          </cell>
          <cell r="U2904" t="str">
            <v/>
          </cell>
          <cell r="W2904" t="str">
            <v/>
          </cell>
          <cell r="X2904" t="str">
            <v/>
          </cell>
          <cell r="AB2904">
            <v>0</v>
          </cell>
          <cell r="AC2904">
            <v>0</v>
          </cell>
          <cell r="AD2904">
            <v>0</v>
          </cell>
          <cell r="AJ2904">
            <v>0</v>
          </cell>
          <cell r="AK2904">
            <v>0</v>
          </cell>
        </row>
        <row r="2905">
          <cell r="B2905" t="str">
            <v/>
          </cell>
          <cell r="H2905" t="str">
            <v/>
          </cell>
          <cell r="J2905" t="str">
            <v/>
          </cell>
          <cell r="N2905" t="str">
            <v/>
          </cell>
          <cell r="O2905" t="str">
            <v/>
          </cell>
          <cell r="P2905" t="str">
            <v/>
          </cell>
          <cell r="Q2905" t="str">
            <v/>
          </cell>
          <cell r="T2905" t="str">
            <v/>
          </cell>
          <cell r="U2905" t="str">
            <v/>
          </cell>
          <cell r="W2905" t="str">
            <v/>
          </cell>
          <cell r="X2905" t="str">
            <v/>
          </cell>
          <cell r="AB2905">
            <v>0</v>
          </cell>
          <cell r="AC2905">
            <v>0</v>
          </cell>
          <cell r="AD2905">
            <v>0</v>
          </cell>
          <cell r="AJ2905">
            <v>0</v>
          </cell>
          <cell r="AK2905">
            <v>0</v>
          </cell>
        </row>
        <row r="2906">
          <cell r="B2906" t="str">
            <v/>
          </cell>
          <cell r="H2906" t="str">
            <v/>
          </cell>
          <cell r="J2906" t="str">
            <v/>
          </cell>
          <cell r="N2906" t="str">
            <v/>
          </cell>
          <cell r="O2906" t="str">
            <v/>
          </cell>
          <cell r="P2906" t="str">
            <v/>
          </cell>
          <cell r="Q2906" t="str">
            <v/>
          </cell>
          <cell r="T2906" t="str">
            <v/>
          </cell>
          <cell r="U2906" t="str">
            <v/>
          </cell>
          <cell r="W2906" t="str">
            <v/>
          </cell>
          <cell r="X2906" t="str">
            <v/>
          </cell>
          <cell r="AB2906">
            <v>0</v>
          </cell>
          <cell r="AC2906">
            <v>0</v>
          </cell>
          <cell r="AD2906">
            <v>0</v>
          </cell>
          <cell r="AJ2906">
            <v>0</v>
          </cell>
          <cell r="AK2906">
            <v>0</v>
          </cell>
        </row>
        <row r="2907">
          <cell r="B2907" t="str">
            <v/>
          </cell>
          <cell r="H2907" t="str">
            <v/>
          </cell>
          <cell r="J2907" t="str">
            <v/>
          </cell>
          <cell r="N2907" t="str">
            <v/>
          </cell>
          <cell r="O2907" t="str">
            <v/>
          </cell>
          <cell r="P2907" t="str">
            <v/>
          </cell>
          <cell r="Q2907" t="str">
            <v/>
          </cell>
          <cell r="T2907" t="str">
            <v/>
          </cell>
          <cell r="U2907" t="str">
            <v/>
          </cell>
          <cell r="W2907" t="str">
            <v/>
          </cell>
          <cell r="X2907" t="str">
            <v/>
          </cell>
          <cell r="AB2907">
            <v>0</v>
          </cell>
          <cell r="AC2907">
            <v>0</v>
          </cell>
          <cell r="AD2907">
            <v>0</v>
          </cell>
          <cell r="AJ2907">
            <v>0</v>
          </cell>
          <cell r="AK2907">
            <v>0</v>
          </cell>
        </row>
        <row r="2908">
          <cell r="B2908" t="str">
            <v/>
          </cell>
          <cell r="H2908" t="str">
            <v/>
          </cell>
          <cell r="J2908" t="str">
            <v/>
          </cell>
          <cell r="N2908" t="str">
            <v/>
          </cell>
          <cell r="O2908" t="str">
            <v/>
          </cell>
          <cell r="P2908" t="str">
            <v/>
          </cell>
          <cell r="Q2908" t="str">
            <v/>
          </cell>
          <cell r="T2908" t="str">
            <v/>
          </cell>
          <cell r="U2908" t="str">
            <v/>
          </cell>
          <cell r="W2908" t="str">
            <v/>
          </cell>
          <cell r="X2908" t="str">
            <v/>
          </cell>
          <cell r="AB2908">
            <v>0</v>
          </cell>
          <cell r="AC2908">
            <v>0</v>
          </cell>
          <cell r="AD2908">
            <v>0</v>
          </cell>
          <cell r="AJ2908">
            <v>0</v>
          </cell>
          <cell r="AK2908">
            <v>0</v>
          </cell>
        </row>
        <row r="2909">
          <cell r="B2909" t="str">
            <v/>
          </cell>
          <cell r="H2909" t="str">
            <v/>
          </cell>
          <cell r="J2909" t="str">
            <v/>
          </cell>
          <cell r="N2909" t="str">
            <v/>
          </cell>
          <cell r="O2909" t="str">
            <v/>
          </cell>
          <cell r="P2909" t="str">
            <v/>
          </cell>
          <cell r="Q2909" t="str">
            <v/>
          </cell>
          <cell r="T2909" t="str">
            <v/>
          </cell>
          <cell r="U2909" t="str">
            <v/>
          </cell>
          <cell r="W2909" t="str">
            <v/>
          </cell>
          <cell r="X2909" t="str">
            <v/>
          </cell>
          <cell r="AB2909">
            <v>0</v>
          </cell>
          <cell r="AC2909">
            <v>0</v>
          </cell>
          <cell r="AD2909">
            <v>0</v>
          </cell>
          <cell r="AJ2909">
            <v>0</v>
          </cell>
          <cell r="AK2909">
            <v>0</v>
          </cell>
        </row>
        <row r="2910">
          <cell r="B2910" t="str">
            <v/>
          </cell>
          <cell r="H2910" t="str">
            <v/>
          </cell>
          <cell r="J2910" t="str">
            <v/>
          </cell>
          <cell r="N2910" t="str">
            <v/>
          </cell>
          <cell r="O2910" t="str">
            <v/>
          </cell>
          <cell r="P2910" t="str">
            <v/>
          </cell>
          <cell r="Q2910" t="str">
            <v/>
          </cell>
          <cell r="T2910" t="str">
            <v/>
          </cell>
          <cell r="U2910" t="str">
            <v/>
          </cell>
          <cell r="W2910" t="str">
            <v/>
          </cell>
          <cell r="X2910" t="str">
            <v/>
          </cell>
          <cell r="AB2910">
            <v>0</v>
          </cell>
          <cell r="AC2910">
            <v>0</v>
          </cell>
          <cell r="AD2910">
            <v>0</v>
          </cell>
          <cell r="AJ2910">
            <v>0</v>
          </cell>
          <cell r="AK2910">
            <v>0</v>
          </cell>
        </row>
        <row r="2911">
          <cell r="B2911" t="str">
            <v/>
          </cell>
          <cell r="H2911" t="str">
            <v/>
          </cell>
          <cell r="J2911" t="str">
            <v/>
          </cell>
          <cell r="N2911" t="str">
            <v/>
          </cell>
          <cell r="O2911" t="str">
            <v/>
          </cell>
          <cell r="P2911" t="str">
            <v/>
          </cell>
          <cell r="Q2911" t="str">
            <v/>
          </cell>
          <cell r="T2911" t="str">
            <v/>
          </cell>
          <cell r="U2911" t="str">
            <v/>
          </cell>
          <cell r="W2911" t="str">
            <v/>
          </cell>
          <cell r="X2911" t="str">
            <v/>
          </cell>
          <cell r="AB2911">
            <v>0</v>
          </cell>
          <cell r="AC2911">
            <v>0</v>
          </cell>
          <cell r="AD2911">
            <v>0</v>
          </cell>
          <cell r="AJ2911">
            <v>0</v>
          </cell>
          <cell r="AK2911">
            <v>0</v>
          </cell>
        </row>
        <row r="2912">
          <cell r="B2912" t="str">
            <v/>
          </cell>
          <cell r="H2912" t="str">
            <v/>
          </cell>
          <cell r="J2912" t="str">
            <v/>
          </cell>
          <cell r="N2912" t="str">
            <v/>
          </cell>
          <cell r="O2912" t="str">
            <v/>
          </cell>
          <cell r="P2912" t="str">
            <v/>
          </cell>
          <cell r="Q2912" t="str">
            <v/>
          </cell>
          <cell r="T2912" t="str">
            <v/>
          </cell>
          <cell r="U2912" t="str">
            <v/>
          </cell>
          <cell r="W2912" t="str">
            <v/>
          </cell>
          <cell r="X2912" t="str">
            <v/>
          </cell>
          <cell r="AB2912">
            <v>0</v>
          </cell>
          <cell r="AC2912">
            <v>0</v>
          </cell>
          <cell r="AD2912">
            <v>0</v>
          </cell>
          <cell r="AJ2912">
            <v>0</v>
          </cell>
          <cell r="AK2912">
            <v>0</v>
          </cell>
        </row>
        <row r="2913">
          <cell r="B2913" t="str">
            <v/>
          </cell>
          <cell r="H2913" t="str">
            <v/>
          </cell>
          <cell r="J2913" t="str">
            <v/>
          </cell>
          <cell r="N2913" t="str">
            <v/>
          </cell>
          <cell r="O2913" t="str">
            <v/>
          </cell>
          <cell r="P2913" t="str">
            <v/>
          </cell>
          <cell r="Q2913" t="str">
            <v/>
          </cell>
          <cell r="T2913" t="str">
            <v/>
          </cell>
          <cell r="U2913" t="str">
            <v/>
          </cell>
          <cell r="W2913" t="str">
            <v/>
          </cell>
          <cell r="X2913" t="str">
            <v/>
          </cell>
          <cell r="AB2913">
            <v>0</v>
          </cell>
          <cell r="AC2913">
            <v>0</v>
          </cell>
          <cell r="AD2913">
            <v>0</v>
          </cell>
          <cell r="AJ2913">
            <v>0</v>
          </cell>
          <cell r="AK2913">
            <v>0</v>
          </cell>
        </row>
        <row r="2914">
          <cell r="B2914" t="str">
            <v/>
          </cell>
          <cell r="H2914" t="str">
            <v/>
          </cell>
          <cell r="J2914" t="str">
            <v/>
          </cell>
          <cell r="N2914" t="str">
            <v/>
          </cell>
          <cell r="O2914" t="str">
            <v/>
          </cell>
          <cell r="P2914" t="str">
            <v/>
          </cell>
          <cell r="Q2914" t="str">
            <v/>
          </cell>
          <cell r="T2914" t="str">
            <v/>
          </cell>
          <cell r="U2914" t="str">
            <v/>
          </cell>
          <cell r="W2914" t="str">
            <v/>
          </cell>
          <cell r="X2914" t="str">
            <v/>
          </cell>
          <cell r="AB2914">
            <v>0</v>
          </cell>
          <cell r="AC2914">
            <v>0</v>
          </cell>
          <cell r="AD2914">
            <v>0</v>
          </cell>
          <cell r="AJ2914">
            <v>0</v>
          </cell>
          <cell r="AK2914">
            <v>0</v>
          </cell>
        </row>
        <row r="2915">
          <cell r="B2915" t="str">
            <v/>
          </cell>
          <cell r="H2915" t="str">
            <v/>
          </cell>
          <cell r="J2915" t="str">
            <v/>
          </cell>
          <cell r="N2915" t="str">
            <v/>
          </cell>
          <cell r="O2915" t="str">
            <v/>
          </cell>
          <cell r="P2915" t="str">
            <v/>
          </cell>
          <cell r="Q2915" t="str">
            <v/>
          </cell>
          <cell r="T2915" t="str">
            <v/>
          </cell>
          <cell r="U2915" t="str">
            <v/>
          </cell>
          <cell r="W2915" t="str">
            <v/>
          </cell>
          <cell r="X2915" t="str">
            <v/>
          </cell>
          <cell r="AB2915">
            <v>0</v>
          </cell>
          <cell r="AC2915">
            <v>0</v>
          </cell>
          <cell r="AD2915">
            <v>0</v>
          </cell>
          <cell r="AJ2915">
            <v>0</v>
          </cell>
          <cell r="AK2915">
            <v>0</v>
          </cell>
        </row>
        <row r="2916">
          <cell r="B2916" t="str">
            <v/>
          </cell>
          <cell r="H2916" t="str">
            <v/>
          </cell>
          <cell r="J2916" t="str">
            <v/>
          </cell>
          <cell r="N2916" t="str">
            <v/>
          </cell>
          <cell r="O2916" t="str">
            <v/>
          </cell>
          <cell r="P2916" t="str">
            <v/>
          </cell>
          <cell r="Q2916" t="str">
            <v/>
          </cell>
          <cell r="T2916" t="str">
            <v/>
          </cell>
          <cell r="U2916" t="str">
            <v/>
          </cell>
          <cell r="W2916" t="str">
            <v/>
          </cell>
          <cell r="X2916" t="str">
            <v/>
          </cell>
          <cell r="AB2916">
            <v>0</v>
          </cell>
          <cell r="AC2916">
            <v>0</v>
          </cell>
          <cell r="AD2916">
            <v>0</v>
          </cell>
          <cell r="AJ2916">
            <v>0</v>
          </cell>
          <cell r="AK2916">
            <v>0</v>
          </cell>
        </row>
        <row r="2917">
          <cell r="B2917" t="str">
            <v/>
          </cell>
          <cell r="H2917" t="str">
            <v/>
          </cell>
          <cell r="J2917" t="str">
            <v/>
          </cell>
          <cell r="N2917" t="str">
            <v/>
          </cell>
          <cell r="O2917" t="str">
            <v/>
          </cell>
          <cell r="P2917" t="str">
            <v/>
          </cell>
          <cell r="Q2917" t="str">
            <v/>
          </cell>
          <cell r="T2917" t="str">
            <v/>
          </cell>
          <cell r="U2917" t="str">
            <v/>
          </cell>
          <cell r="W2917" t="str">
            <v/>
          </cell>
          <cell r="X2917" t="str">
            <v/>
          </cell>
          <cell r="AB2917">
            <v>0</v>
          </cell>
          <cell r="AC2917">
            <v>0</v>
          </cell>
          <cell r="AD2917">
            <v>0</v>
          </cell>
          <cell r="AJ2917">
            <v>0</v>
          </cell>
          <cell r="AK2917">
            <v>0</v>
          </cell>
        </row>
        <row r="2918">
          <cell r="B2918" t="str">
            <v/>
          </cell>
          <cell r="H2918" t="str">
            <v/>
          </cell>
          <cell r="J2918" t="str">
            <v/>
          </cell>
          <cell r="N2918" t="str">
            <v/>
          </cell>
          <cell r="O2918" t="str">
            <v/>
          </cell>
          <cell r="P2918" t="str">
            <v/>
          </cell>
          <cell r="Q2918" t="str">
            <v/>
          </cell>
          <cell r="T2918" t="str">
            <v/>
          </cell>
          <cell r="U2918" t="str">
            <v/>
          </cell>
          <cell r="W2918" t="str">
            <v/>
          </cell>
          <cell r="X2918" t="str">
            <v/>
          </cell>
          <cell r="AB2918">
            <v>0</v>
          </cell>
          <cell r="AC2918">
            <v>0</v>
          </cell>
          <cell r="AD2918">
            <v>0</v>
          </cell>
          <cell r="AJ2918">
            <v>0</v>
          </cell>
          <cell r="AK2918">
            <v>0</v>
          </cell>
        </row>
        <row r="2919">
          <cell r="B2919" t="str">
            <v/>
          </cell>
          <cell r="H2919" t="str">
            <v/>
          </cell>
          <cell r="J2919" t="str">
            <v/>
          </cell>
          <cell r="N2919" t="str">
            <v/>
          </cell>
          <cell r="O2919" t="str">
            <v/>
          </cell>
          <cell r="P2919" t="str">
            <v/>
          </cell>
          <cell r="Q2919" t="str">
            <v/>
          </cell>
          <cell r="T2919" t="str">
            <v/>
          </cell>
          <cell r="U2919" t="str">
            <v/>
          </cell>
          <cell r="W2919" t="str">
            <v/>
          </cell>
          <cell r="X2919" t="str">
            <v/>
          </cell>
          <cell r="AB2919">
            <v>0</v>
          </cell>
          <cell r="AC2919">
            <v>0</v>
          </cell>
          <cell r="AD2919">
            <v>0</v>
          </cell>
          <cell r="AJ2919">
            <v>0</v>
          </cell>
          <cell r="AK2919">
            <v>0</v>
          </cell>
        </row>
        <row r="2920">
          <cell r="B2920" t="str">
            <v/>
          </cell>
          <cell r="H2920" t="str">
            <v/>
          </cell>
          <cell r="J2920" t="str">
            <v/>
          </cell>
          <cell r="N2920" t="str">
            <v/>
          </cell>
          <cell r="O2920" t="str">
            <v/>
          </cell>
          <cell r="P2920" t="str">
            <v/>
          </cell>
          <cell r="Q2920" t="str">
            <v/>
          </cell>
          <cell r="T2920" t="str">
            <v/>
          </cell>
          <cell r="U2920" t="str">
            <v/>
          </cell>
          <cell r="W2920" t="str">
            <v/>
          </cell>
          <cell r="X2920" t="str">
            <v/>
          </cell>
          <cell r="AB2920">
            <v>0</v>
          </cell>
          <cell r="AC2920">
            <v>0</v>
          </cell>
          <cell r="AD2920">
            <v>0</v>
          </cell>
          <cell r="AJ2920">
            <v>0</v>
          </cell>
          <cell r="AK2920">
            <v>0</v>
          </cell>
        </row>
        <row r="2921">
          <cell r="B2921" t="str">
            <v/>
          </cell>
          <cell r="H2921" t="str">
            <v/>
          </cell>
          <cell r="J2921" t="str">
            <v/>
          </cell>
          <cell r="N2921" t="str">
            <v/>
          </cell>
          <cell r="O2921" t="str">
            <v/>
          </cell>
          <cell r="P2921" t="str">
            <v/>
          </cell>
          <cell r="Q2921" t="str">
            <v/>
          </cell>
          <cell r="T2921" t="str">
            <v/>
          </cell>
          <cell r="U2921" t="str">
            <v/>
          </cell>
          <cell r="W2921" t="str">
            <v/>
          </cell>
          <cell r="X2921" t="str">
            <v/>
          </cell>
          <cell r="AB2921">
            <v>0</v>
          </cell>
          <cell r="AC2921">
            <v>0</v>
          </cell>
          <cell r="AD2921">
            <v>0</v>
          </cell>
          <cell r="AJ2921">
            <v>0</v>
          </cell>
          <cell r="AK2921">
            <v>0</v>
          </cell>
        </row>
        <row r="2922">
          <cell r="B2922" t="str">
            <v/>
          </cell>
          <cell r="H2922" t="str">
            <v/>
          </cell>
          <cell r="J2922" t="str">
            <v/>
          </cell>
          <cell r="N2922" t="str">
            <v/>
          </cell>
          <cell r="O2922" t="str">
            <v/>
          </cell>
          <cell r="P2922" t="str">
            <v/>
          </cell>
          <cell r="Q2922" t="str">
            <v/>
          </cell>
          <cell r="T2922" t="str">
            <v/>
          </cell>
          <cell r="U2922" t="str">
            <v/>
          </cell>
          <cell r="W2922" t="str">
            <v/>
          </cell>
          <cell r="X2922" t="str">
            <v/>
          </cell>
          <cell r="AB2922">
            <v>0</v>
          </cell>
          <cell r="AC2922">
            <v>0</v>
          </cell>
          <cell r="AD2922">
            <v>0</v>
          </cell>
          <cell r="AJ2922">
            <v>0</v>
          </cell>
          <cell r="AK2922">
            <v>0</v>
          </cell>
        </row>
        <row r="2923">
          <cell r="B2923" t="str">
            <v/>
          </cell>
          <cell r="H2923" t="str">
            <v/>
          </cell>
          <cell r="J2923" t="str">
            <v/>
          </cell>
          <cell r="N2923" t="str">
            <v/>
          </cell>
          <cell r="O2923" t="str">
            <v/>
          </cell>
          <cell r="P2923" t="str">
            <v/>
          </cell>
          <cell r="Q2923" t="str">
            <v/>
          </cell>
          <cell r="T2923" t="str">
            <v/>
          </cell>
          <cell r="U2923" t="str">
            <v/>
          </cell>
          <cell r="W2923" t="str">
            <v/>
          </cell>
          <cell r="X2923" t="str">
            <v/>
          </cell>
          <cell r="AB2923">
            <v>0</v>
          </cell>
          <cell r="AC2923">
            <v>0</v>
          </cell>
          <cell r="AD2923">
            <v>0</v>
          </cell>
          <cell r="AJ2923">
            <v>0</v>
          </cell>
          <cell r="AK2923">
            <v>0</v>
          </cell>
        </row>
        <row r="2924">
          <cell r="B2924" t="str">
            <v/>
          </cell>
          <cell r="H2924" t="str">
            <v/>
          </cell>
          <cell r="J2924" t="str">
            <v/>
          </cell>
          <cell r="N2924" t="str">
            <v/>
          </cell>
          <cell r="O2924" t="str">
            <v/>
          </cell>
          <cell r="P2924" t="str">
            <v/>
          </cell>
          <cell r="Q2924" t="str">
            <v/>
          </cell>
          <cell r="T2924" t="str">
            <v/>
          </cell>
          <cell r="U2924" t="str">
            <v/>
          </cell>
          <cell r="W2924" t="str">
            <v/>
          </cell>
          <cell r="X2924" t="str">
            <v/>
          </cell>
          <cell r="AB2924">
            <v>0</v>
          </cell>
          <cell r="AC2924">
            <v>0</v>
          </cell>
          <cell r="AD2924">
            <v>0</v>
          </cell>
          <cell r="AJ2924">
            <v>0</v>
          </cell>
          <cell r="AK2924">
            <v>0</v>
          </cell>
        </row>
        <row r="2925">
          <cell r="B2925" t="str">
            <v/>
          </cell>
          <cell r="H2925" t="str">
            <v/>
          </cell>
          <cell r="J2925" t="str">
            <v/>
          </cell>
          <cell r="N2925" t="str">
            <v/>
          </cell>
          <cell r="O2925" t="str">
            <v/>
          </cell>
          <cell r="P2925" t="str">
            <v/>
          </cell>
          <cell r="Q2925" t="str">
            <v/>
          </cell>
          <cell r="T2925" t="str">
            <v/>
          </cell>
          <cell r="U2925" t="str">
            <v/>
          </cell>
          <cell r="W2925" t="str">
            <v/>
          </cell>
          <cell r="X2925" t="str">
            <v/>
          </cell>
          <cell r="AB2925">
            <v>0</v>
          </cell>
          <cell r="AC2925">
            <v>0</v>
          </cell>
          <cell r="AD2925">
            <v>0</v>
          </cell>
          <cell r="AJ2925">
            <v>0</v>
          </cell>
          <cell r="AK2925">
            <v>0</v>
          </cell>
        </row>
        <row r="2926">
          <cell r="B2926" t="str">
            <v/>
          </cell>
          <cell r="H2926" t="str">
            <v/>
          </cell>
          <cell r="J2926" t="str">
            <v/>
          </cell>
          <cell r="N2926" t="str">
            <v/>
          </cell>
          <cell r="O2926" t="str">
            <v/>
          </cell>
          <cell r="P2926" t="str">
            <v/>
          </cell>
          <cell r="Q2926" t="str">
            <v/>
          </cell>
          <cell r="T2926" t="str">
            <v/>
          </cell>
          <cell r="U2926" t="str">
            <v/>
          </cell>
          <cell r="W2926" t="str">
            <v/>
          </cell>
          <cell r="X2926" t="str">
            <v/>
          </cell>
          <cell r="AB2926">
            <v>0</v>
          </cell>
          <cell r="AC2926">
            <v>0</v>
          </cell>
          <cell r="AD2926">
            <v>0</v>
          </cell>
          <cell r="AJ2926">
            <v>0</v>
          </cell>
          <cell r="AK2926">
            <v>0</v>
          </cell>
        </row>
        <row r="2927">
          <cell r="B2927" t="str">
            <v/>
          </cell>
          <cell r="H2927" t="str">
            <v/>
          </cell>
          <cell r="J2927" t="str">
            <v/>
          </cell>
          <cell r="N2927" t="str">
            <v/>
          </cell>
          <cell r="O2927" t="str">
            <v/>
          </cell>
          <cell r="P2927" t="str">
            <v/>
          </cell>
          <cell r="Q2927" t="str">
            <v/>
          </cell>
          <cell r="T2927" t="str">
            <v/>
          </cell>
          <cell r="U2927" t="str">
            <v/>
          </cell>
          <cell r="W2927" t="str">
            <v/>
          </cell>
          <cell r="X2927" t="str">
            <v/>
          </cell>
          <cell r="AB2927">
            <v>0</v>
          </cell>
          <cell r="AC2927">
            <v>0</v>
          </cell>
          <cell r="AD2927">
            <v>0</v>
          </cell>
          <cell r="AJ2927">
            <v>0</v>
          </cell>
          <cell r="AK2927">
            <v>0</v>
          </cell>
        </row>
        <row r="2928">
          <cell r="B2928" t="str">
            <v/>
          </cell>
          <cell r="H2928" t="str">
            <v/>
          </cell>
          <cell r="J2928" t="str">
            <v/>
          </cell>
          <cell r="N2928" t="str">
            <v/>
          </cell>
          <cell r="O2928" t="str">
            <v/>
          </cell>
          <cell r="P2928" t="str">
            <v/>
          </cell>
          <cell r="Q2928" t="str">
            <v/>
          </cell>
          <cell r="T2928" t="str">
            <v/>
          </cell>
          <cell r="U2928" t="str">
            <v/>
          </cell>
          <cell r="W2928" t="str">
            <v/>
          </cell>
          <cell r="X2928" t="str">
            <v/>
          </cell>
          <cell r="AB2928">
            <v>0</v>
          </cell>
          <cell r="AC2928">
            <v>0</v>
          </cell>
          <cell r="AD2928">
            <v>0</v>
          </cell>
          <cell r="AJ2928">
            <v>0</v>
          </cell>
          <cell r="AK2928">
            <v>0</v>
          </cell>
        </row>
        <row r="2929">
          <cell r="B2929" t="str">
            <v/>
          </cell>
          <cell r="H2929" t="str">
            <v/>
          </cell>
          <cell r="J2929" t="str">
            <v/>
          </cell>
          <cell r="N2929" t="str">
            <v/>
          </cell>
          <cell r="O2929" t="str">
            <v/>
          </cell>
          <cell r="P2929" t="str">
            <v/>
          </cell>
          <cell r="Q2929" t="str">
            <v/>
          </cell>
          <cell r="T2929" t="str">
            <v/>
          </cell>
          <cell r="U2929" t="str">
            <v/>
          </cell>
          <cell r="W2929" t="str">
            <v/>
          </cell>
          <cell r="X2929" t="str">
            <v/>
          </cell>
          <cell r="AB2929">
            <v>0</v>
          </cell>
          <cell r="AC2929">
            <v>0</v>
          </cell>
          <cell r="AD2929">
            <v>0</v>
          </cell>
          <cell r="AJ2929">
            <v>0</v>
          </cell>
          <cell r="AK2929">
            <v>0</v>
          </cell>
        </row>
        <row r="2930">
          <cell r="B2930" t="str">
            <v/>
          </cell>
          <cell r="H2930" t="str">
            <v/>
          </cell>
          <cell r="J2930" t="str">
            <v/>
          </cell>
          <cell r="N2930" t="str">
            <v/>
          </cell>
          <cell r="O2930" t="str">
            <v/>
          </cell>
          <cell r="P2930" t="str">
            <v/>
          </cell>
          <cell r="Q2930" t="str">
            <v/>
          </cell>
          <cell r="T2930" t="str">
            <v/>
          </cell>
          <cell r="U2930" t="str">
            <v/>
          </cell>
          <cell r="W2930" t="str">
            <v/>
          </cell>
          <cell r="X2930" t="str">
            <v/>
          </cell>
          <cell r="AB2930">
            <v>0</v>
          </cell>
          <cell r="AC2930">
            <v>0</v>
          </cell>
          <cell r="AD2930">
            <v>0</v>
          </cell>
          <cell r="AJ2930">
            <v>0</v>
          </cell>
          <cell r="AK2930">
            <v>0</v>
          </cell>
        </row>
        <row r="2931">
          <cell r="B2931" t="str">
            <v/>
          </cell>
          <cell r="H2931" t="str">
            <v/>
          </cell>
          <cell r="J2931" t="str">
            <v/>
          </cell>
          <cell r="N2931" t="str">
            <v/>
          </cell>
          <cell r="O2931" t="str">
            <v/>
          </cell>
          <cell r="P2931" t="str">
            <v/>
          </cell>
          <cell r="Q2931" t="str">
            <v/>
          </cell>
          <cell r="T2931" t="str">
            <v/>
          </cell>
          <cell r="U2931" t="str">
            <v/>
          </cell>
          <cell r="W2931" t="str">
            <v/>
          </cell>
          <cell r="X2931" t="str">
            <v/>
          </cell>
          <cell r="AB2931">
            <v>0</v>
          </cell>
          <cell r="AC2931">
            <v>0</v>
          </cell>
          <cell r="AD2931">
            <v>0</v>
          </cell>
          <cell r="AJ2931">
            <v>0</v>
          </cell>
          <cell r="AK2931">
            <v>0</v>
          </cell>
        </row>
        <row r="2932">
          <cell r="B2932" t="str">
            <v/>
          </cell>
          <cell r="H2932" t="str">
            <v/>
          </cell>
          <cell r="J2932" t="str">
            <v/>
          </cell>
          <cell r="N2932" t="str">
            <v/>
          </cell>
          <cell r="O2932" t="str">
            <v/>
          </cell>
          <cell r="P2932" t="str">
            <v/>
          </cell>
          <cell r="Q2932" t="str">
            <v/>
          </cell>
          <cell r="T2932" t="str">
            <v/>
          </cell>
          <cell r="U2932" t="str">
            <v/>
          </cell>
          <cell r="W2932" t="str">
            <v/>
          </cell>
          <cell r="X2932" t="str">
            <v/>
          </cell>
          <cell r="AB2932">
            <v>0</v>
          </cell>
          <cell r="AC2932">
            <v>0</v>
          </cell>
          <cell r="AD2932">
            <v>0</v>
          </cell>
          <cell r="AJ2932">
            <v>0</v>
          </cell>
          <cell r="AK2932">
            <v>0</v>
          </cell>
        </row>
        <row r="2933">
          <cell r="B2933" t="str">
            <v/>
          </cell>
          <cell r="H2933" t="str">
            <v/>
          </cell>
          <cell r="J2933" t="str">
            <v/>
          </cell>
          <cell r="N2933" t="str">
            <v/>
          </cell>
          <cell r="O2933" t="str">
            <v/>
          </cell>
          <cell r="P2933" t="str">
            <v/>
          </cell>
          <cell r="Q2933" t="str">
            <v/>
          </cell>
          <cell r="T2933" t="str">
            <v/>
          </cell>
          <cell r="U2933" t="str">
            <v/>
          </cell>
          <cell r="W2933" t="str">
            <v/>
          </cell>
          <cell r="X2933" t="str">
            <v/>
          </cell>
          <cell r="AB2933">
            <v>0</v>
          </cell>
          <cell r="AC2933">
            <v>0</v>
          </cell>
          <cell r="AD2933">
            <v>0</v>
          </cell>
          <cell r="AJ2933">
            <v>0</v>
          </cell>
          <cell r="AK2933">
            <v>0</v>
          </cell>
        </row>
        <row r="2934">
          <cell r="B2934" t="str">
            <v/>
          </cell>
          <cell r="H2934" t="str">
            <v/>
          </cell>
          <cell r="J2934" t="str">
            <v/>
          </cell>
          <cell r="N2934" t="str">
            <v/>
          </cell>
          <cell r="O2934" t="str">
            <v/>
          </cell>
          <cell r="P2934" t="str">
            <v/>
          </cell>
          <cell r="Q2934" t="str">
            <v/>
          </cell>
          <cell r="T2934" t="str">
            <v/>
          </cell>
          <cell r="U2934" t="str">
            <v/>
          </cell>
          <cell r="W2934" t="str">
            <v/>
          </cell>
          <cell r="X2934" t="str">
            <v/>
          </cell>
          <cell r="AB2934">
            <v>0</v>
          </cell>
          <cell r="AC2934">
            <v>0</v>
          </cell>
          <cell r="AD2934">
            <v>0</v>
          </cell>
          <cell r="AJ2934">
            <v>0</v>
          </cell>
          <cell r="AK2934">
            <v>0</v>
          </cell>
        </row>
        <row r="2935">
          <cell r="B2935" t="str">
            <v/>
          </cell>
          <cell r="H2935" t="str">
            <v/>
          </cell>
          <cell r="J2935" t="str">
            <v/>
          </cell>
          <cell r="N2935" t="str">
            <v/>
          </cell>
          <cell r="O2935" t="str">
            <v/>
          </cell>
          <cell r="P2935" t="str">
            <v/>
          </cell>
          <cell r="Q2935" t="str">
            <v/>
          </cell>
          <cell r="T2935" t="str">
            <v/>
          </cell>
          <cell r="U2935" t="str">
            <v/>
          </cell>
          <cell r="W2935" t="str">
            <v/>
          </cell>
          <cell r="X2935" t="str">
            <v/>
          </cell>
          <cell r="AB2935">
            <v>0</v>
          </cell>
          <cell r="AC2935">
            <v>0</v>
          </cell>
          <cell r="AD2935">
            <v>0</v>
          </cell>
          <cell r="AJ2935">
            <v>0</v>
          </cell>
          <cell r="AK2935">
            <v>0</v>
          </cell>
        </row>
        <row r="2936">
          <cell r="B2936" t="str">
            <v/>
          </cell>
          <cell r="H2936" t="str">
            <v/>
          </cell>
          <cell r="J2936" t="str">
            <v/>
          </cell>
          <cell r="N2936" t="str">
            <v/>
          </cell>
          <cell r="O2936" t="str">
            <v/>
          </cell>
          <cell r="P2936" t="str">
            <v/>
          </cell>
          <cell r="Q2936" t="str">
            <v/>
          </cell>
          <cell r="T2936" t="str">
            <v/>
          </cell>
          <cell r="U2936" t="str">
            <v/>
          </cell>
          <cell r="W2936" t="str">
            <v/>
          </cell>
          <cell r="X2936" t="str">
            <v/>
          </cell>
          <cell r="AB2936">
            <v>0</v>
          </cell>
          <cell r="AC2936">
            <v>0</v>
          </cell>
          <cell r="AD2936">
            <v>0</v>
          </cell>
          <cell r="AJ2936">
            <v>0</v>
          </cell>
          <cell r="AK2936">
            <v>0</v>
          </cell>
        </row>
        <row r="2937">
          <cell r="B2937" t="str">
            <v/>
          </cell>
          <cell r="H2937" t="str">
            <v/>
          </cell>
          <cell r="J2937" t="str">
            <v/>
          </cell>
          <cell r="N2937" t="str">
            <v/>
          </cell>
          <cell r="O2937" t="str">
            <v/>
          </cell>
          <cell r="P2937" t="str">
            <v/>
          </cell>
          <cell r="Q2937" t="str">
            <v/>
          </cell>
          <cell r="T2937" t="str">
            <v/>
          </cell>
          <cell r="U2937" t="str">
            <v/>
          </cell>
          <cell r="W2937" t="str">
            <v/>
          </cell>
          <cell r="X2937" t="str">
            <v/>
          </cell>
          <cell r="AB2937">
            <v>0</v>
          </cell>
          <cell r="AC2937">
            <v>0</v>
          </cell>
          <cell r="AD2937">
            <v>0</v>
          </cell>
          <cell r="AJ2937">
            <v>0</v>
          </cell>
          <cell r="AK2937">
            <v>0</v>
          </cell>
        </row>
        <row r="2938">
          <cell r="B2938" t="str">
            <v/>
          </cell>
          <cell r="H2938" t="str">
            <v/>
          </cell>
          <cell r="J2938" t="str">
            <v/>
          </cell>
          <cell r="N2938" t="str">
            <v/>
          </cell>
          <cell r="O2938" t="str">
            <v/>
          </cell>
          <cell r="P2938" t="str">
            <v/>
          </cell>
          <cell r="Q2938" t="str">
            <v/>
          </cell>
          <cell r="T2938" t="str">
            <v/>
          </cell>
          <cell r="U2938" t="str">
            <v/>
          </cell>
          <cell r="W2938" t="str">
            <v/>
          </cell>
          <cell r="X2938" t="str">
            <v/>
          </cell>
          <cell r="AB2938">
            <v>0</v>
          </cell>
          <cell r="AC2938">
            <v>0</v>
          </cell>
          <cell r="AD2938">
            <v>0</v>
          </cell>
          <cell r="AJ2938">
            <v>0</v>
          </cell>
          <cell r="AK2938">
            <v>0</v>
          </cell>
        </row>
        <row r="2939">
          <cell r="B2939" t="str">
            <v/>
          </cell>
          <cell r="H2939" t="str">
            <v/>
          </cell>
          <cell r="J2939" t="str">
            <v/>
          </cell>
          <cell r="N2939" t="str">
            <v/>
          </cell>
          <cell r="O2939" t="str">
            <v/>
          </cell>
          <cell r="P2939" t="str">
            <v/>
          </cell>
          <cell r="Q2939" t="str">
            <v/>
          </cell>
          <cell r="T2939" t="str">
            <v/>
          </cell>
          <cell r="U2939" t="str">
            <v/>
          </cell>
          <cell r="W2939" t="str">
            <v/>
          </cell>
          <cell r="X2939" t="str">
            <v/>
          </cell>
          <cell r="AB2939">
            <v>0</v>
          </cell>
          <cell r="AC2939">
            <v>0</v>
          </cell>
          <cell r="AD2939">
            <v>0</v>
          </cell>
          <cell r="AJ2939">
            <v>0</v>
          </cell>
          <cell r="AK2939">
            <v>0</v>
          </cell>
        </row>
        <row r="2940">
          <cell r="B2940" t="str">
            <v/>
          </cell>
          <cell r="H2940" t="str">
            <v/>
          </cell>
          <cell r="J2940" t="str">
            <v/>
          </cell>
          <cell r="N2940" t="str">
            <v/>
          </cell>
          <cell r="O2940" t="str">
            <v/>
          </cell>
          <cell r="P2940" t="str">
            <v/>
          </cell>
          <cell r="Q2940" t="str">
            <v/>
          </cell>
          <cell r="T2940" t="str">
            <v/>
          </cell>
          <cell r="U2940" t="str">
            <v/>
          </cell>
          <cell r="W2940" t="str">
            <v/>
          </cell>
          <cell r="X2940" t="str">
            <v/>
          </cell>
          <cell r="AB2940">
            <v>0</v>
          </cell>
          <cell r="AC2940">
            <v>0</v>
          </cell>
          <cell r="AD2940">
            <v>0</v>
          </cell>
          <cell r="AJ2940">
            <v>0</v>
          </cell>
          <cell r="AK2940">
            <v>0</v>
          </cell>
        </row>
        <row r="2941">
          <cell r="B2941" t="str">
            <v/>
          </cell>
          <cell r="H2941" t="str">
            <v/>
          </cell>
          <cell r="J2941" t="str">
            <v/>
          </cell>
          <cell r="N2941" t="str">
            <v/>
          </cell>
          <cell r="O2941" t="str">
            <v/>
          </cell>
          <cell r="P2941" t="str">
            <v/>
          </cell>
          <cell r="Q2941" t="str">
            <v/>
          </cell>
          <cell r="T2941" t="str">
            <v/>
          </cell>
          <cell r="U2941" t="str">
            <v/>
          </cell>
          <cell r="W2941" t="str">
            <v/>
          </cell>
          <cell r="X2941" t="str">
            <v/>
          </cell>
          <cell r="AB2941">
            <v>0</v>
          </cell>
          <cell r="AC2941">
            <v>0</v>
          </cell>
          <cell r="AD2941">
            <v>0</v>
          </cell>
          <cell r="AJ2941">
            <v>0</v>
          </cell>
          <cell r="AK2941">
            <v>0</v>
          </cell>
        </row>
        <row r="2942">
          <cell r="B2942" t="str">
            <v/>
          </cell>
          <cell r="H2942" t="str">
            <v/>
          </cell>
          <cell r="J2942" t="str">
            <v/>
          </cell>
          <cell r="N2942" t="str">
            <v/>
          </cell>
          <cell r="O2942" t="str">
            <v/>
          </cell>
          <cell r="P2942" t="str">
            <v/>
          </cell>
          <cell r="Q2942" t="str">
            <v/>
          </cell>
          <cell r="T2942" t="str">
            <v/>
          </cell>
          <cell r="U2942" t="str">
            <v/>
          </cell>
          <cell r="W2942" t="str">
            <v/>
          </cell>
          <cell r="X2942" t="str">
            <v/>
          </cell>
          <cell r="AB2942">
            <v>0</v>
          </cell>
          <cell r="AC2942">
            <v>0</v>
          </cell>
          <cell r="AD2942">
            <v>0</v>
          </cell>
          <cell r="AJ2942">
            <v>0</v>
          </cell>
          <cell r="AK2942">
            <v>0</v>
          </cell>
        </row>
        <row r="2943">
          <cell r="B2943" t="str">
            <v/>
          </cell>
          <cell r="H2943" t="str">
            <v/>
          </cell>
          <cell r="J2943" t="str">
            <v/>
          </cell>
          <cell r="N2943" t="str">
            <v/>
          </cell>
          <cell r="O2943" t="str">
            <v/>
          </cell>
          <cell r="P2943" t="str">
            <v/>
          </cell>
          <cell r="Q2943" t="str">
            <v/>
          </cell>
          <cell r="T2943" t="str">
            <v/>
          </cell>
          <cell r="U2943" t="str">
            <v/>
          </cell>
          <cell r="W2943" t="str">
            <v/>
          </cell>
          <cell r="X2943" t="str">
            <v/>
          </cell>
          <cell r="AB2943">
            <v>0</v>
          </cell>
          <cell r="AC2943">
            <v>0</v>
          </cell>
          <cell r="AD2943">
            <v>0</v>
          </cell>
          <cell r="AJ2943">
            <v>0</v>
          </cell>
          <cell r="AK2943">
            <v>0</v>
          </cell>
        </row>
        <row r="2944">
          <cell r="B2944" t="str">
            <v/>
          </cell>
          <cell r="H2944" t="str">
            <v/>
          </cell>
          <cell r="J2944" t="str">
            <v/>
          </cell>
          <cell r="N2944" t="str">
            <v/>
          </cell>
          <cell r="O2944" t="str">
            <v/>
          </cell>
          <cell r="P2944" t="str">
            <v/>
          </cell>
          <cell r="Q2944" t="str">
            <v/>
          </cell>
          <cell r="T2944" t="str">
            <v/>
          </cell>
          <cell r="U2944" t="str">
            <v/>
          </cell>
          <cell r="W2944" t="str">
            <v/>
          </cell>
          <cell r="X2944" t="str">
            <v/>
          </cell>
          <cell r="AB2944">
            <v>0</v>
          </cell>
          <cell r="AC2944">
            <v>0</v>
          </cell>
          <cell r="AD2944">
            <v>0</v>
          </cell>
          <cell r="AJ2944">
            <v>0</v>
          </cell>
          <cell r="AK2944">
            <v>0</v>
          </cell>
        </row>
        <row r="2945">
          <cell r="B2945" t="str">
            <v/>
          </cell>
          <cell r="H2945" t="str">
            <v/>
          </cell>
          <cell r="J2945" t="str">
            <v/>
          </cell>
          <cell r="N2945" t="str">
            <v/>
          </cell>
          <cell r="O2945" t="str">
            <v/>
          </cell>
          <cell r="P2945" t="str">
            <v/>
          </cell>
          <cell r="Q2945" t="str">
            <v/>
          </cell>
          <cell r="T2945" t="str">
            <v/>
          </cell>
          <cell r="U2945" t="str">
            <v/>
          </cell>
          <cell r="W2945" t="str">
            <v/>
          </cell>
          <cell r="X2945" t="str">
            <v/>
          </cell>
          <cell r="AB2945">
            <v>0</v>
          </cell>
          <cell r="AC2945">
            <v>0</v>
          </cell>
          <cell r="AD2945">
            <v>0</v>
          </cell>
          <cell r="AJ2945">
            <v>0</v>
          </cell>
          <cell r="AK2945">
            <v>0</v>
          </cell>
        </row>
        <row r="2946">
          <cell r="B2946" t="str">
            <v/>
          </cell>
          <cell r="H2946" t="str">
            <v/>
          </cell>
          <cell r="J2946" t="str">
            <v/>
          </cell>
          <cell r="N2946" t="str">
            <v/>
          </cell>
          <cell r="O2946" t="str">
            <v/>
          </cell>
          <cell r="P2946" t="str">
            <v/>
          </cell>
          <cell r="Q2946" t="str">
            <v/>
          </cell>
          <cell r="T2946" t="str">
            <v/>
          </cell>
          <cell r="U2946" t="str">
            <v/>
          </cell>
          <cell r="W2946" t="str">
            <v/>
          </cell>
          <cell r="X2946" t="str">
            <v/>
          </cell>
          <cell r="AB2946">
            <v>0</v>
          </cell>
          <cell r="AC2946">
            <v>0</v>
          </cell>
          <cell r="AD2946">
            <v>0</v>
          </cell>
          <cell r="AJ2946">
            <v>0</v>
          </cell>
          <cell r="AK2946">
            <v>0</v>
          </cell>
        </row>
        <row r="2947">
          <cell r="B2947" t="str">
            <v/>
          </cell>
          <cell r="H2947" t="str">
            <v/>
          </cell>
          <cell r="J2947" t="str">
            <v/>
          </cell>
          <cell r="N2947" t="str">
            <v/>
          </cell>
          <cell r="O2947" t="str">
            <v/>
          </cell>
          <cell r="P2947" t="str">
            <v/>
          </cell>
          <cell r="Q2947" t="str">
            <v/>
          </cell>
          <cell r="T2947" t="str">
            <v/>
          </cell>
          <cell r="U2947" t="str">
            <v/>
          </cell>
          <cell r="W2947" t="str">
            <v/>
          </cell>
          <cell r="X2947" t="str">
            <v/>
          </cell>
          <cell r="AB2947">
            <v>0</v>
          </cell>
          <cell r="AC2947">
            <v>0</v>
          </cell>
          <cell r="AD2947">
            <v>0</v>
          </cell>
          <cell r="AJ2947">
            <v>0</v>
          </cell>
          <cell r="AK2947">
            <v>0</v>
          </cell>
        </row>
        <row r="2948">
          <cell r="B2948" t="str">
            <v/>
          </cell>
          <cell r="H2948" t="str">
            <v/>
          </cell>
          <cell r="J2948" t="str">
            <v/>
          </cell>
          <cell r="N2948" t="str">
            <v/>
          </cell>
          <cell r="O2948" t="str">
            <v/>
          </cell>
          <cell r="P2948" t="str">
            <v/>
          </cell>
          <cell r="Q2948" t="str">
            <v/>
          </cell>
          <cell r="T2948" t="str">
            <v/>
          </cell>
          <cell r="U2948" t="str">
            <v/>
          </cell>
          <cell r="W2948" t="str">
            <v/>
          </cell>
          <cell r="X2948" t="str">
            <v/>
          </cell>
          <cell r="AB2948">
            <v>0</v>
          </cell>
          <cell r="AC2948">
            <v>0</v>
          </cell>
          <cell r="AD2948">
            <v>0</v>
          </cell>
          <cell r="AJ2948">
            <v>0</v>
          </cell>
          <cell r="AK2948">
            <v>0</v>
          </cell>
        </row>
        <row r="2949">
          <cell r="B2949" t="str">
            <v/>
          </cell>
          <cell r="H2949" t="str">
            <v/>
          </cell>
          <cell r="J2949" t="str">
            <v/>
          </cell>
          <cell r="N2949" t="str">
            <v/>
          </cell>
          <cell r="O2949" t="str">
            <v/>
          </cell>
          <cell r="P2949" t="str">
            <v/>
          </cell>
          <cell r="Q2949" t="str">
            <v/>
          </cell>
          <cell r="T2949" t="str">
            <v/>
          </cell>
          <cell r="U2949" t="str">
            <v/>
          </cell>
          <cell r="W2949" t="str">
            <v/>
          </cell>
          <cell r="X2949" t="str">
            <v/>
          </cell>
          <cell r="AB2949">
            <v>0</v>
          </cell>
          <cell r="AC2949">
            <v>0</v>
          </cell>
          <cell r="AD2949">
            <v>0</v>
          </cell>
          <cell r="AJ2949">
            <v>0</v>
          </cell>
          <cell r="AK2949">
            <v>0</v>
          </cell>
        </row>
        <row r="2950">
          <cell r="B2950" t="str">
            <v/>
          </cell>
          <cell r="H2950" t="str">
            <v/>
          </cell>
          <cell r="J2950" t="str">
            <v/>
          </cell>
          <cell r="N2950" t="str">
            <v/>
          </cell>
          <cell r="O2950" t="str">
            <v/>
          </cell>
          <cell r="P2950" t="str">
            <v/>
          </cell>
          <cell r="Q2950" t="str">
            <v/>
          </cell>
          <cell r="T2950" t="str">
            <v/>
          </cell>
          <cell r="U2950" t="str">
            <v/>
          </cell>
          <cell r="W2950" t="str">
            <v/>
          </cell>
          <cell r="X2950" t="str">
            <v/>
          </cell>
          <cell r="AB2950">
            <v>0</v>
          </cell>
          <cell r="AC2950">
            <v>0</v>
          </cell>
          <cell r="AD2950">
            <v>0</v>
          </cell>
          <cell r="AJ2950">
            <v>0</v>
          </cell>
          <cell r="AK2950">
            <v>0</v>
          </cell>
        </row>
        <row r="2951">
          <cell r="B2951" t="str">
            <v/>
          </cell>
          <cell r="H2951" t="str">
            <v/>
          </cell>
          <cell r="J2951" t="str">
            <v/>
          </cell>
          <cell r="N2951" t="str">
            <v/>
          </cell>
          <cell r="O2951" t="str">
            <v/>
          </cell>
          <cell r="P2951" t="str">
            <v/>
          </cell>
          <cell r="Q2951" t="str">
            <v/>
          </cell>
          <cell r="T2951" t="str">
            <v/>
          </cell>
          <cell r="U2951" t="str">
            <v/>
          </cell>
          <cell r="W2951" t="str">
            <v/>
          </cell>
          <cell r="X2951" t="str">
            <v/>
          </cell>
          <cell r="AB2951">
            <v>0</v>
          </cell>
          <cell r="AC2951">
            <v>0</v>
          </cell>
          <cell r="AD2951">
            <v>0</v>
          </cell>
          <cell r="AJ2951">
            <v>0</v>
          </cell>
          <cell r="AK2951">
            <v>0</v>
          </cell>
        </row>
        <row r="2952">
          <cell r="B2952" t="str">
            <v/>
          </cell>
          <cell r="H2952" t="str">
            <v/>
          </cell>
          <cell r="J2952" t="str">
            <v/>
          </cell>
          <cell r="N2952" t="str">
            <v/>
          </cell>
          <cell r="O2952" t="str">
            <v/>
          </cell>
          <cell r="P2952" t="str">
            <v/>
          </cell>
          <cell r="Q2952" t="str">
            <v/>
          </cell>
          <cell r="T2952" t="str">
            <v/>
          </cell>
          <cell r="U2952" t="str">
            <v/>
          </cell>
          <cell r="W2952" t="str">
            <v/>
          </cell>
          <cell r="X2952" t="str">
            <v/>
          </cell>
          <cell r="AB2952">
            <v>0</v>
          </cell>
          <cell r="AC2952">
            <v>0</v>
          </cell>
          <cell r="AD2952">
            <v>0</v>
          </cell>
          <cell r="AJ2952">
            <v>0</v>
          </cell>
          <cell r="AK2952">
            <v>0</v>
          </cell>
        </row>
        <row r="2953">
          <cell r="B2953" t="str">
            <v/>
          </cell>
          <cell r="H2953" t="str">
            <v/>
          </cell>
          <cell r="J2953" t="str">
            <v/>
          </cell>
          <cell r="N2953" t="str">
            <v/>
          </cell>
          <cell r="O2953" t="str">
            <v/>
          </cell>
          <cell r="P2953" t="str">
            <v/>
          </cell>
          <cell r="Q2953" t="str">
            <v/>
          </cell>
          <cell r="T2953" t="str">
            <v/>
          </cell>
          <cell r="U2953" t="str">
            <v/>
          </cell>
          <cell r="W2953" t="str">
            <v/>
          </cell>
          <cell r="X2953" t="str">
            <v/>
          </cell>
          <cell r="AB2953">
            <v>0</v>
          </cell>
          <cell r="AC2953">
            <v>0</v>
          </cell>
          <cell r="AD2953">
            <v>0</v>
          </cell>
          <cell r="AJ2953">
            <v>0</v>
          </cell>
          <cell r="AK2953">
            <v>0</v>
          </cell>
        </row>
        <row r="2954">
          <cell r="B2954" t="str">
            <v/>
          </cell>
          <cell r="H2954" t="str">
            <v/>
          </cell>
          <cell r="J2954" t="str">
            <v/>
          </cell>
          <cell r="N2954" t="str">
            <v/>
          </cell>
          <cell r="O2954" t="str">
            <v/>
          </cell>
          <cell r="P2954" t="str">
            <v/>
          </cell>
          <cell r="Q2954" t="str">
            <v/>
          </cell>
          <cell r="T2954" t="str">
            <v/>
          </cell>
          <cell r="U2954" t="str">
            <v/>
          </cell>
          <cell r="W2954" t="str">
            <v/>
          </cell>
          <cell r="X2954" t="str">
            <v/>
          </cell>
          <cell r="AB2954">
            <v>0</v>
          </cell>
          <cell r="AC2954">
            <v>0</v>
          </cell>
          <cell r="AD2954">
            <v>0</v>
          </cell>
          <cell r="AJ2954">
            <v>0</v>
          </cell>
          <cell r="AK2954">
            <v>0</v>
          </cell>
        </row>
        <row r="2955">
          <cell r="B2955" t="str">
            <v/>
          </cell>
          <cell r="H2955" t="str">
            <v/>
          </cell>
          <cell r="J2955" t="str">
            <v/>
          </cell>
          <cell r="N2955" t="str">
            <v/>
          </cell>
          <cell r="O2955" t="str">
            <v/>
          </cell>
          <cell r="P2955" t="str">
            <v/>
          </cell>
          <cell r="Q2955" t="str">
            <v/>
          </cell>
          <cell r="T2955" t="str">
            <v/>
          </cell>
          <cell r="U2955" t="str">
            <v/>
          </cell>
          <cell r="W2955" t="str">
            <v/>
          </cell>
          <cell r="X2955" t="str">
            <v/>
          </cell>
          <cell r="AB2955">
            <v>0</v>
          </cell>
          <cell r="AC2955">
            <v>0</v>
          </cell>
          <cell r="AD2955">
            <v>0</v>
          </cell>
          <cell r="AJ2955">
            <v>0</v>
          </cell>
          <cell r="AK2955">
            <v>0</v>
          </cell>
        </row>
        <row r="2956">
          <cell r="B2956" t="str">
            <v/>
          </cell>
          <cell r="H2956" t="str">
            <v/>
          </cell>
          <cell r="J2956" t="str">
            <v/>
          </cell>
          <cell r="N2956" t="str">
            <v/>
          </cell>
          <cell r="O2956" t="str">
            <v/>
          </cell>
          <cell r="P2956" t="str">
            <v/>
          </cell>
          <cell r="Q2956" t="str">
            <v/>
          </cell>
          <cell r="T2956" t="str">
            <v/>
          </cell>
          <cell r="U2956" t="str">
            <v/>
          </cell>
          <cell r="W2956" t="str">
            <v/>
          </cell>
          <cell r="X2956" t="str">
            <v/>
          </cell>
          <cell r="AB2956">
            <v>0</v>
          </cell>
          <cell r="AC2956">
            <v>0</v>
          </cell>
          <cell r="AD2956">
            <v>0</v>
          </cell>
          <cell r="AJ2956">
            <v>0</v>
          </cell>
          <cell r="AK2956">
            <v>0</v>
          </cell>
        </row>
        <row r="2957">
          <cell r="B2957" t="str">
            <v/>
          </cell>
          <cell r="H2957" t="str">
            <v/>
          </cell>
          <cell r="J2957" t="str">
            <v/>
          </cell>
          <cell r="N2957" t="str">
            <v/>
          </cell>
          <cell r="O2957" t="str">
            <v/>
          </cell>
          <cell r="P2957" t="str">
            <v/>
          </cell>
          <cell r="Q2957" t="str">
            <v/>
          </cell>
          <cell r="T2957" t="str">
            <v/>
          </cell>
          <cell r="U2957" t="str">
            <v/>
          </cell>
          <cell r="W2957" t="str">
            <v/>
          </cell>
          <cell r="X2957" t="str">
            <v/>
          </cell>
          <cell r="AB2957">
            <v>0</v>
          </cell>
          <cell r="AC2957">
            <v>0</v>
          </cell>
          <cell r="AD2957">
            <v>0</v>
          </cell>
          <cell r="AJ2957">
            <v>0</v>
          </cell>
          <cell r="AK2957">
            <v>0</v>
          </cell>
        </row>
        <row r="2958">
          <cell r="B2958" t="str">
            <v/>
          </cell>
          <cell r="H2958" t="str">
            <v/>
          </cell>
          <cell r="J2958" t="str">
            <v/>
          </cell>
          <cell r="N2958" t="str">
            <v/>
          </cell>
          <cell r="O2958" t="str">
            <v/>
          </cell>
          <cell r="P2958" t="str">
            <v/>
          </cell>
          <cell r="Q2958" t="str">
            <v/>
          </cell>
          <cell r="T2958" t="str">
            <v/>
          </cell>
          <cell r="U2958" t="str">
            <v/>
          </cell>
          <cell r="W2958" t="str">
            <v/>
          </cell>
          <cell r="X2958" t="str">
            <v/>
          </cell>
          <cell r="AB2958">
            <v>0</v>
          </cell>
          <cell r="AC2958">
            <v>0</v>
          </cell>
          <cell r="AD2958">
            <v>0</v>
          </cell>
          <cell r="AJ2958">
            <v>0</v>
          </cell>
          <cell r="AK2958">
            <v>0</v>
          </cell>
        </row>
        <row r="2959">
          <cell r="B2959" t="str">
            <v/>
          </cell>
          <cell r="H2959" t="str">
            <v/>
          </cell>
          <cell r="J2959" t="str">
            <v/>
          </cell>
          <cell r="N2959" t="str">
            <v/>
          </cell>
          <cell r="O2959" t="str">
            <v/>
          </cell>
          <cell r="P2959" t="str">
            <v/>
          </cell>
          <cell r="Q2959" t="str">
            <v/>
          </cell>
          <cell r="T2959" t="str">
            <v/>
          </cell>
          <cell r="U2959" t="str">
            <v/>
          </cell>
          <cell r="W2959" t="str">
            <v/>
          </cell>
          <cell r="X2959" t="str">
            <v/>
          </cell>
          <cell r="AB2959">
            <v>0</v>
          </cell>
          <cell r="AC2959">
            <v>0</v>
          </cell>
          <cell r="AD2959">
            <v>0</v>
          </cell>
          <cell r="AJ2959">
            <v>0</v>
          </cell>
          <cell r="AK2959">
            <v>0</v>
          </cell>
        </row>
        <row r="2960">
          <cell r="B2960" t="str">
            <v/>
          </cell>
          <cell r="H2960" t="str">
            <v/>
          </cell>
          <cell r="J2960" t="str">
            <v/>
          </cell>
          <cell r="N2960" t="str">
            <v/>
          </cell>
          <cell r="O2960" t="str">
            <v/>
          </cell>
          <cell r="P2960" t="str">
            <v/>
          </cell>
          <cell r="Q2960" t="str">
            <v/>
          </cell>
          <cell r="T2960" t="str">
            <v/>
          </cell>
          <cell r="U2960" t="str">
            <v/>
          </cell>
          <cell r="W2960" t="str">
            <v/>
          </cell>
          <cell r="X2960" t="str">
            <v/>
          </cell>
          <cell r="AB2960">
            <v>0</v>
          </cell>
          <cell r="AC2960">
            <v>0</v>
          </cell>
          <cell r="AD2960">
            <v>0</v>
          </cell>
          <cell r="AJ2960">
            <v>0</v>
          </cell>
          <cell r="AK2960">
            <v>0</v>
          </cell>
        </row>
        <row r="2961">
          <cell r="B2961" t="str">
            <v/>
          </cell>
          <cell r="H2961" t="str">
            <v/>
          </cell>
          <cell r="J2961" t="str">
            <v/>
          </cell>
          <cell r="N2961" t="str">
            <v/>
          </cell>
          <cell r="O2961" t="str">
            <v/>
          </cell>
          <cell r="P2961" t="str">
            <v/>
          </cell>
          <cell r="Q2961" t="str">
            <v/>
          </cell>
          <cell r="T2961" t="str">
            <v/>
          </cell>
          <cell r="U2961" t="str">
            <v/>
          </cell>
          <cell r="W2961" t="str">
            <v/>
          </cell>
          <cell r="X2961" t="str">
            <v/>
          </cell>
          <cell r="AB2961">
            <v>0</v>
          </cell>
          <cell r="AC2961">
            <v>0</v>
          </cell>
          <cell r="AD2961">
            <v>0</v>
          </cell>
          <cell r="AJ2961">
            <v>0</v>
          </cell>
          <cell r="AK2961">
            <v>0</v>
          </cell>
        </row>
        <row r="2962">
          <cell r="B2962" t="str">
            <v/>
          </cell>
          <cell r="H2962" t="str">
            <v/>
          </cell>
          <cell r="J2962" t="str">
            <v/>
          </cell>
          <cell r="N2962" t="str">
            <v/>
          </cell>
          <cell r="O2962" t="str">
            <v/>
          </cell>
          <cell r="P2962" t="str">
            <v/>
          </cell>
          <cell r="Q2962" t="str">
            <v/>
          </cell>
          <cell r="T2962" t="str">
            <v/>
          </cell>
          <cell r="U2962" t="str">
            <v/>
          </cell>
          <cell r="W2962" t="str">
            <v/>
          </cell>
          <cell r="X2962" t="str">
            <v/>
          </cell>
          <cell r="AB2962">
            <v>0</v>
          </cell>
          <cell r="AC2962">
            <v>0</v>
          </cell>
          <cell r="AD2962">
            <v>0</v>
          </cell>
          <cell r="AJ2962">
            <v>0</v>
          </cell>
          <cell r="AK2962">
            <v>0</v>
          </cell>
        </row>
        <row r="2963">
          <cell r="B2963" t="str">
            <v/>
          </cell>
          <cell r="H2963" t="str">
            <v/>
          </cell>
          <cell r="J2963" t="str">
            <v/>
          </cell>
          <cell r="N2963" t="str">
            <v/>
          </cell>
          <cell r="O2963" t="str">
            <v/>
          </cell>
          <cell r="P2963" t="str">
            <v/>
          </cell>
          <cell r="Q2963" t="str">
            <v/>
          </cell>
          <cell r="T2963" t="str">
            <v/>
          </cell>
          <cell r="U2963" t="str">
            <v/>
          </cell>
          <cell r="W2963" t="str">
            <v/>
          </cell>
          <cell r="X2963" t="str">
            <v/>
          </cell>
          <cell r="AB2963">
            <v>0</v>
          </cell>
          <cell r="AC2963">
            <v>0</v>
          </cell>
          <cell r="AD2963">
            <v>0</v>
          </cell>
          <cell r="AJ2963">
            <v>0</v>
          </cell>
          <cell r="AK2963">
            <v>0</v>
          </cell>
        </row>
        <row r="2964">
          <cell r="B2964" t="str">
            <v/>
          </cell>
          <cell r="H2964" t="str">
            <v/>
          </cell>
          <cell r="J2964" t="str">
            <v/>
          </cell>
          <cell r="N2964" t="str">
            <v/>
          </cell>
          <cell r="O2964" t="str">
            <v/>
          </cell>
          <cell r="P2964" t="str">
            <v/>
          </cell>
          <cell r="Q2964" t="str">
            <v/>
          </cell>
          <cell r="T2964" t="str">
            <v/>
          </cell>
          <cell r="U2964" t="str">
            <v/>
          </cell>
          <cell r="W2964" t="str">
            <v/>
          </cell>
          <cell r="X2964" t="str">
            <v/>
          </cell>
          <cell r="AB2964">
            <v>0</v>
          </cell>
          <cell r="AC2964">
            <v>0</v>
          </cell>
          <cell r="AD2964">
            <v>0</v>
          </cell>
          <cell r="AJ2964">
            <v>0</v>
          </cell>
          <cell r="AK2964">
            <v>0</v>
          </cell>
        </row>
        <row r="2965">
          <cell r="B2965" t="str">
            <v/>
          </cell>
          <cell r="H2965" t="str">
            <v/>
          </cell>
          <cell r="J2965" t="str">
            <v/>
          </cell>
          <cell r="N2965" t="str">
            <v/>
          </cell>
          <cell r="O2965" t="str">
            <v/>
          </cell>
          <cell r="P2965" t="str">
            <v/>
          </cell>
          <cell r="Q2965" t="str">
            <v/>
          </cell>
          <cell r="T2965" t="str">
            <v/>
          </cell>
          <cell r="U2965" t="str">
            <v/>
          </cell>
          <cell r="W2965" t="str">
            <v/>
          </cell>
          <cell r="X2965" t="str">
            <v/>
          </cell>
          <cell r="AB2965">
            <v>0</v>
          </cell>
          <cell r="AC2965">
            <v>0</v>
          </cell>
          <cell r="AD2965">
            <v>0</v>
          </cell>
          <cell r="AJ2965">
            <v>0</v>
          </cell>
          <cell r="AK2965">
            <v>0</v>
          </cell>
        </row>
        <row r="2966">
          <cell r="B2966" t="str">
            <v/>
          </cell>
          <cell r="H2966" t="str">
            <v/>
          </cell>
          <cell r="J2966" t="str">
            <v/>
          </cell>
          <cell r="N2966" t="str">
            <v/>
          </cell>
          <cell r="O2966" t="str">
            <v/>
          </cell>
          <cell r="P2966" t="str">
            <v/>
          </cell>
          <cell r="Q2966" t="str">
            <v/>
          </cell>
          <cell r="T2966" t="str">
            <v/>
          </cell>
          <cell r="U2966" t="str">
            <v/>
          </cell>
          <cell r="W2966" t="str">
            <v/>
          </cell>
          <cell r="X2966" t="str">
            <v/>
          </cell>
          <cell r="AB2966">
            <v>0</v>
          </cell>
          <cell r="AC2966">
            <v>0</v>
          </cell>
          <cell r="AD2966">
            <v>0</v>
          </cell>
          <cell r="AJ2966">
            <v>0</v>
          </cell>
          <cell r="AK2966">
            <v>0</v>
          </cell>
        </row>
        <row r="2967">
          <cell r="B2967" t="str">
            <v/>
          </cell>
          <cell r="H2967" t="str">
            <v/>
          </cell>
          <cell r="J2967" t="str">
            <v/>
          </cell>
          <cell r="N2967" t="str">
            <v/>
          </cell>
          <cell r="O2967" t="str">
            <v/>
          </cell>
          <cell r="P2967" t="str">
            <v/>
          </cell>
          <cell r="Q2967" t="str">
            <v/>
          </cell>
          <cell r="T2967" t="str">
            <v/>
          </cell>
          <cell r="U2967" t="str">
            <v/>
          </cell>
          <cell r="W2967" t="str">
            <v/>
          </cell>
          <cell r="X2967" t="str">
            <v/>
          </cell>
          <cell r="AB2967">
            <v>0</v>
          </cell>
          <cell r="AC2967">
            <v>0</v>
          </cell>
          <cell r="AD2967">
            <v>0</v>
          </cell>
          <cell r="AJ2967">
            <v>0</v>
          </cell>
          <cell r="AK2967">
            <v>0</v>
          </cell>
        </row>
        <row r="2968">
          <cell r="B2968" t="str">
            <v/>
          </cell>
          <cell r="H2968" t="str">
            <v/>
          </cell>
          <cell r="J2968" t="str">
            <v/>
          </cell>
          <cell r="N2968" t="str">
            <v/>
          </cell>
          <cell r="O2968" t="str">
            <v/>
          </cell>
          <cell r="P2968" t="str">
            <v/>
          </cell>
          <cell r="Q2968" t="str">
            <v/>
          </cell>
          <cell r="T2968" t="str">
            <v/>
          </cell>
          <cell r="U2968" t="str">
            <v/>
          </cell>
          <cell r="W2968" t="str">
            <v/>
          </cell>
          <cell r="X2968" t="str">
            <v/>
          </cell>
          <cell r="AB2968">
            <v>0</v>
          </cell>
          <cell r="AC2968">
            <v>0</v>
          </cell>
          <cell r="AD2968">
            <v>0</v>
          </cell>
          <cell r="AJ2968">
            <v>0</v>
          </cell>
          <cell r="AK2968">
            <v>0</v>
          </cell>
        </row>
        <row r="2969">
          <cell r="B2969" t="str">
            <v/>
          </cell>
          <cell r="H2969" t="str">
            <v/>
          </cell>
          <cell r="J2969" t="str">
            <v/>
          </cell>
          <cell r="N2969" t="str">
            <v/>
          </cell>
          <cell r="O2969" t="str">
            <v/>
          </cell>
          <cell r="P2969" t="str">
            <v/>
          </cell>
          <cell r="Q2969" t="str">
            <v/>
          </cell>
          <cell r="T2969" t="str">
            <v/>
          </cell>
          <cell r="U2969" t="str">
            <v/>
          </cell>
          <cell r="W2969" t="str">
            <v/>
          </cell>
          <cell r="X2969" t="str">
            <v/>
          </cell>
          <cell r="AB2969">
            <v>0</v>
          </cell>
          <cell r="AC2969">
            <v>0</v>
          </cell>
          <cell r="AD2969">
            <v>0</v>
          </cell>
          <cell r="AJ2969">
            <v>0</v>
          </cell>
          <cell r="AK2969">
            <v>0</v>
          </cell>
        </row>
        <row r="2970">
          <cell r="B2970" t="str">
            <v/>
          </cell>
          <cell r="H2970" t="str">
            <v/>
          </cell>
          <cell r="J2970" t="str">
            <v/>
          </cell>
          <cell r="N2970" t="str">
            <v/>
          </cell>
          <cell r="O2970" t="str">
            <v/>
          </cell>
          <cell r="P2970" t="str">
            <v/>
          </cell>
          <cell r="Q2970" t="str">
            <v/>
          </cell>
          <cell r="T2970" t="str">
            <v/>
          </cell>
          <cell r="U2970" t="str">
            <v/>
          </cell>
          <cell r="W2970" t="str">
            <v/>
          </cell>
          <cell r="X2970" t="str">
            <v/>
          </cell>
          <cell r="AB2970">
            <v>0</v>
          </cell>
          <cell r="AC2970">
            <v>0</v>
          </cell>
          <cell r="AD2970">
            <v>0</v>
          </cell>
          <cell r="AJ2970">
            <v>0</v>
          </cell>
          <cell r="AK2970">
            <v>0</v>
          </cell>
        </row>
        <row r="2971">
          <cell r="B2971" t="str">
            <v/>
          </cell>
          <cell r="H2971" t="str">
            <v/>
          </cell>
          <cell r="J2971" t="str">
            <v/>
          </cell>
          <cell r="N2971" t="str">
            <v/>
          </cell>
          <cell r="O2971" t="str">
            <v/>
          </cell>
          <cell r="P2971" t="str">
            <v/>
          </cell>
          <cell r="Q2971" t="str">
            <v/>
          </cell>
          <cell r="T2971" t="str">
            <v/>
          </cell>
          <cell r="U2971" t="str">
            <v/>
          </cell>
          <cell r="W2971" t="str">
            <v/>
          </cell>
          <cell r="X2971" t="str">
            <v/>
          </cell>
          <cell r="AB2971">
            <v>0</v>
          </cell>
          <cell r="AC2971">
            <v>0</v>
          </cell>
          <cell r="AD2971">
            <v>0</v>
          </cell>
          <cell r="AJ2971">
            <v>0</v>
          </cell>
          <cell r="AK2971">
            <v>0</v>
          </cell>
        </row>
        <row r="2972">
          <cell r="B2972" t="str">
            <v/>
          </cell>
          <cell r="H2972" t="str">
            <v/>
          </cell>
          <cell r="J2972" t="str">
            <v/>
          </cell>
          <cell r="N2972" t="str">
            <v/>
          </cell>
          <cell r="O2972" t="str">
            <v/>
          </cell>
          <cell r="P2972" t="str">
            <v/>
          </cell>
          <cell r="Q2972" t="str">
            <v/>
          </cell>
          <cell r="T2972" t="str">
            <v/>
          </cell>
          <cell r="U2972" t="str">
            <v/>
          </cell>
          <cell r="W2972" t="str">
            <v/>
          </cell>
          <cell r="X2972" t="str">
            <v/>
          </cell>
          <cell r="AB2972">
            <v>0</v>
          </cell>
          <cell r="AC2972">
            <v>0</v>
          </cell>
          <cell r="AD2972">
            <v>0</v>
          </cell>
          <cell r="AJ2972">
            <v>0</v>
          </cell>
          <cell r="AK2972">
            <v>0</v>
          </cell>
        </row>
        <row r="2973">
          <cell r="B2973" t="str">
            <v/>
          </cell>
          <cell r="H2973" t="str">
            <v/>
          </cell>
          <cell r="J2973" t="str">
            <v/>
          </cell>
          <cell r="N2973" t="str">
            <v/>
          </cell>
          <cell r="O2973" t="str">
            <v/>
          </cell>
          <cell r="P2973" t="str">
            <v/>
          </cell>
          <cell r="Q2973" t="str">
            <v/>
          </cell>
          <cell r="T2973" t="str">
            <v/>
          </cell>
          <cell r="U2973" t="str">
            <v/>
          </cell>
          <cell r="W2973" t="str">
            <v/>
          </cell>
          <cell r="X2973" t="str">
            <v/>
          </cell>
          <cell r="AB2973">
            <v>0</v>
          </cell>
          <cell r="AC2973">
            <v>0</v>
          </cell>
          <cell r="AD2973">
            <v>0</v>
          </cell>
          <cell r="AJ2973">
            <v>0</v>
          </cell>
          <cell r="AK2973">
            <v>0</v>
          </cell>
        </row>
        <row r="2974">
          <cell r="B2974" t="str">
            <v/>
          </cell>
          <cell r="H2974" t="str">
            <v/>
          </cell>
          <cell r="J2974" t="str">
            <v/>
          </cell>
          <cell r="N2974" t="str">
            <v/>
          </cell>
          <cell r="O2974" t="str">
            <v/>
          </cell>
          <cell r="P2974" t="str">
            <v/>
          </cell>
          <cell r="Q2974" t="str">
            <v/>
          </cell>
          <cell r="T2974" t="str">
            <v/>
          </cell>
          <cell r="U2974" t="str">
            <v/>
          </cell>
          <cell r="W2974" t="str">
            <v/>
          </cell>
          <cell r="X2974" t="str">
            <v/>
          </cell>
          <cell r="AB2974">
            <v>0</v>
          </cell>
          <cell r="AC2974">
            <v>0</v>
          </cell>
          <cell r="AD2974">
            <v>0</v>
          </cell>
          <cell r="AJ2974">
            <v>0</v>
          </cell>
          <cell r="AK2974">
            <v>0</v>
          </cell>
        </row>
        <row r="2975">
          <cell r="B2975" t="str">
            <v/>
          </cell>
          <cell r="H2975" t="str">
            <v/>
          </cell>
          <cell r="J2975" t="str">
            <v/>
          </cell>
          <cell r="N2975" t="str">
            <v/>
          </cell>
          <cell r="O2975" t="str">
            <v/>
          </cell>
          <cell r="P2975" t="str">
            <v/>
          </cell>
          <cell r="Q2975" t="str">
            <v/>
          </cell>
          <cell r="T2975" t="str">
            <v/>
          </cell>
          <cell r="U2975" t="str">
            <v/>
          </cell>
          <cell r="W2975" t="str">
            <v/>
          </cell>
          <cell r="X2975" t="str">
            <v/>
          </cell>
          <cell r="AB2975">
            <v>0</v>
          </cell>
          <cell r="AC2975">
            <v>0</v>
          </cell>
          <cell r="AD2975">
            <v>0</v>
          </cell>
          <cell r="AJ2975">
            <v>0</v>
          </cell>
          <cell r="AK2975">
            <v>0</v>
          </cell>
        </row>
        <row r="2976">
          <cell r="B2976" t="str">
            <v/>
          </cell>
          <cell r="H2976" t="str">
            <v/>
          </cell>
          <cell r="J2976" t="str">
            <v/>
          </cell>
          <cell r="N2976" t="str">
            <v/>
          </cell>
          <cell r="O2976" t="str">
            <v/>
          </cell>
          <cell r="P2976" t="str">
            <v/>
          </cell>
          <cell r="Q2976" t="str">
            <v/>
          </cell>
          <cell r="T2976" t="str">
            <v/>
          </cell>
          <cell r="U2976" t="str">
            <v/>
          </cell>
          <cell r="W2976" t="str">
            <v/>
          </cell>
          <cell r="X2976" t="str">
            <v/>
          </cell>
          <cell r="AB2976">
            <v>0</v>
          </cell>
          <cell r="AC2976">
            <v>0</v>
          </cell>
          <cell r="AD2976">
            <v>0</v>
          </cell>
          <cell r="AJ2976">
            <v>0</v>
          </cell>
          <cell r="AK2976">
            <v>0</v>
          </cell>
        </row>
        <row r="2977">
          <cell r="B2977" t="str">
            <v/>
          </cell>
          <cell r="H2977" t="str">
            <v/>
          </cell>
          <cell r="J2977" t="str">
            <v/>
          </cell>
          <cell r="N2977" t="str">
            <v/>
          </cell>
          <cell r="O2977" t="str">
            <v/>
          </cell>
          <cell r="P2977" t="str">
            <v/>
          </cell>
          <cell r="Q2977" t="str">
            <v/>
          </cell>
          <cell r="T2977" t="str">
            <v/>
          </cell>
          <cell r="U2977" t="str">
            <v/>
          </cell>
          <cell r="W2977" t="str">
            <v/>
          </cell>
          <cell r="X2977" t="str">
            <v/>
          </cell>
          <cell r="AB2977">
            <v>0</v>
          </cell>
          <cell r="AC2977">
            <v>0</v>
          </cell>
          <cell r="AD2977">
            <v>0</v>
          </cell>
          <cell r="AJ2977">
            <v>0</v>
          </cell>
          <cell r="AK2977">
            <v>0</v>
          </cell>
        </row>
        <row r="2978">
          <cell r="B2978" t="str">
            <v/>
          </cell>
          <cell r="H2978" t="str">
            <v/>
          </cell>
          <cell r="J2978" t="str">
            <v/>
          </cell>
          <cell r="N2978" t="str">
            <v/>
          </cell>
          <cell r="O2978" t="str">
            <v/>
          </cell>
          <cell r="P2978" t="str">
            <v/>
          </cell>
          <cell r="Q2978" t="str">
            <v/>
          </cell>
          <cell r="T2978" t="str">
            <v/>
          </cell>
          <cell r="U2978" t="str">
            <v/>
          </cell>
          <cell r="W2978" t="str">
            <v/>
          </cell>
          <cell r="X2978" t="str">
            <v/>
          </cell>
          <cell r="AB2978">
            <v>0</v>
          </cell>
          <cell r="AC2978">
            <v>0</v>
          </cell>
          <cell r="AD2978">
            <v>0</v>
          </cell>
          <cell r="AJ2978">
            <v>0</v>
          </cell>
          <cell r="AK2978">
            <v>0</v>
          </cell>
        </row>
        <row r="2979">
          <cell r="B2979" t="str">
            <v/>
          </cell>
          <cell r="H2979" t="str">
            <v/>
          </cell>
          <cell r="J2979" t="str">
            <v/>
          </cell>
          <cell r="N2979" t="str">
            <v/>
          </cell>
          <cell r="O2979" t="str">
            <v/>
          </cell>
          <cell r="P2979" t="str">
            <v/>
          </cell>
          <cell r="Q2979" t="str">
            <v/>
          </cell>
          <cell r="T2979" t="str">
            <v/>
          </cell>
          <cell r="U2979" t="str">
            <v/>
          </cell>
          <cell r="W2979" t="str">
            <v/>
          </cell>
          <cell r="X2979" t="str">
            <v/>
          </cell>
          <cell r="AB2979">
            <v>0</v>
          </cell>
          <cell r="AC2979">
            <v>0</v>
          </cell>
          <cell r="AD2979">
            <v>0</v>
          </cell>
          <cell r="AJ2979">
            <v>0</v>
          </cell>
          <cell r="AK2979">
            <v>0</v>
          </cell>
        </row>
        <row r="2980">
          <cell r="B2980" t="str">
            <v/>
          </cell>
          <cell r="H2980" t="str">
            <v/>
          </cell>
          <cell r="J2980" t="str">
            <v/>
          </cell>
          <cell r="N2980" t="str">
            <v/>
          </cell>
          <cell r="O2980" t="str">
            <v/>
          </cell>
          <cell r="P2980" t="str">
            <v/>
          </cell>
          <cell r="Q2980" t="str">
            <v/>
          </cell>
          <cell r="T2980" t="str">
            <v/>
          </cell>
          <cell r="U2980" t="str">
            <v/>
          </cell>
          <cell r="W2980" t="str">
            <v/>
          </cell>
          <cell r="X2980" t="str">
            <v/>
          </cell>
          <cell r="AB2980">
            <v>0</v>
          </cell>
          <cell r="AC2980">
            <v>0</v>
          </cell>
          <cell r="AD2980">
            <v>0</v>
          </cell>
          <cell r="AJ2980">
            <v>0</v>
          </cell>
          <cell r="AK2980">
            <v>0</v>
          </cell>
        </row>
        <row r="2981">
          <cell r="B2981" t="str">
            <v/>
          </cell>
          <cell r="H2981" t="str">
            <v/>
          </cell>
          <cell r="J2981" t="str">
            <v/>
          </cell>
          <cell r="N2981" t="str">
            <v/>
          </cell>
          <cell r="O2981" t="str">
            <v/>
          </cell>
          <cell r="P2981" t="str">
            <v/>
          </cell>
          <cell r="Q2981" t="str">
            <v/>
          </cell>
          <cell r="T2981" t="str">
            <v/>
          </cell>
          <cell r="U2981" t="str">
            <v/>
          </cell>
          <cell r="W2981" t="str">
            <v/>
          </cell>
          <cell r="X2981" t="str">
            <v/>
          </cell>
          <cell r="AB2981">
            <v>0</v>
          </cell>
          <cell r="AC2981">
            <v>0</v>
          </cell>
          <cell r="AD2981">
            <v>0</v>
          </cell>
          <cell r="AJ2981">
            <v>0</v>
          </cell>
          <cell r="AK2981">
            <v>0</v>
          </cell>
        </row>
        <row r="2982">
          <cell r="B2982" t="str">
            <v/>
          </cell>
          <cell r="H2982" t="str">
            <v/>
          </cell>
          <cell r="J2982" t="str">
            <v/>
          </cell>
          <cell r="N2982" t="str">
            <v/>
          </cell>
          <cell r="O2982" t="str">
            <v/>
          </cell>
          <cell r="P2982" t="str">
            <v/>
          </cell>
          <cell r="Q2982" t="str">
            <v/>
          </cell>
          <cell r="T2982" t="str">
            <v/>
          </cell>
          <cell r="U2982" t="str">
            <v/>
          </cell>
          <cell r="W2982" t="str">
            <v/>
          </cell>
          <cell r="X2982" t="str">
            <v/>
          </cell>
          <cell r="AB2982">
            <v>0</v>
          </cell>
          <cell r="AC2982">
            <v>0</v>
          </cell>
          <cell r="AD2982">
            <v>0</v>
          </cell>
          <cell r="AJ2982">
            <v>0</v>
          </cell>
          <cell r="AK2982">
            <v>0</v>
          </cell>
        </row>
        <row r="2983">
          <cell r="B2983" t="str">
            <v/>
          </cell>
          <cell r="H2983" t="str">
            <v/>
          </cell>
          <cell r="J2983" t="str">
            <v/>
          </cell>
          <cell r="N2983" t="str">
            <v/>
          </cell>
          <cell r="O2983" t="str">
            <v/>
          </cell>
          <cell r="P2983" t="str">
            <v/>
          </cell>
          <cell r="Q2983" t="str">
            <v/>
          </cell>
          <cell r="T2983" t="str">
            <v/>
          </cell>
          <cell r="U2983" t="str">
            <v/>
          </cell>
          <cell r="W2983" t="str">
            <v/>
          </cell>
          <cell r="X2983" t="str">
            <v/>
          </cell>
          <cell r="AB2983">
            <v>0</v>
          </cell>
          <cell r="AC2983">
            <v>0</v>
          </cell>
          <cell r="AD2983">
            <v>0</v>
          </cell>
          <cell r="AJ2983">
            <v>0</v>
          </cell>
          <cell r="AK2983">
            <v>0</v>
          </cell>
        </row>
        <row r="2984">
          <cell r="B2984" t="str">
            <v/>
          </cell>
          <cell r="H2984" t="str">
            <v/>
          </cell>
          <cell r="J2984" t="str">
            <v/>
          </cell>
          <cell r="N2984" t="str">
            <v/>
          </cell>
          <cell r="O2984" t="str">
            <v/>
          </cell>
          <cell r="P2984" t="str">
            <v/>
          </cell>
          <cell r="Q2984" t="str">
            <v/>
          </cell>
          <cell r="T2984" t="str">
            <v/>
          </cell>
          <cell r="U2984" t="str">
            <v/>
          </cell>
          <cell r="W2984" t="str">
            <v/>
          </cell>
          <cell r="X2984" t="str">
            <v/>
          </cell>
          <cell r="AB2984">
            <v>0</v>
          </cell>
          <cell r="AC2984">
            <v>0</v>
          </cell>
          <cell r="AD2984">
            <v>0</v>
          </cell>
          <cell r="AJ2984">
            <v>0</v>
          </cell>
          <cell r="AK2984">
            <v>0</v>
          </cell>
        </row>
        <row r="2985">
          <cell r="B2985" t="str">
            <v/>
          </cell>
          <cell r="H2985" t="str">
            <v/>
          </cell>
          <cell r="J2985" t="str">
            <v/>
          </cell>
          <cell r="N2985" t="str">
            <v/>
          </cell>
          <cell r="O2985" t="str">
            <v/>
          </cell>
          <cell r="P2985" t="str">
            <v/>
          </cell>
          <cell r="Q2985" t="str">
            <v/>
          </cell>
          <cell r="T2985" t="str">
            <v/>
          </cell>
          <cell r="U2985" t="str">
            <v/>
          </cell>
          <cell r="W2985" t="str">
            <v/>
          </cell>
          <cell r="X2985" t="str">
            <v/>
          </cell>
          <cell r="AB2985">
            <v>0</v>
          </cell>
          <cell r="AC2985">
            <v>0</v>
          </cell>
          <cell r="AD2985">
            <v>0</v>
          </cell>
          <cell r="AJ2985">
            <v>0</v>
          </cell>
          <cell r="AK2985">
            <v>0</v>
          </cell>
        </row>
        <row r="2986">
          <cell r="B2986" t="str">
            <v/>
          </cell>
          <cell r="H2986" t="str">
            <v/>
          </cell>
          <cell r="J2986" t="str">
            <v/>
          </cell>
          <cell r="N2986" t="str">
            <v/>
          </cell>
          <cell r="O2986" t="str">
            <v/>
          </cell>
          <cell r="P2986" t="str">
            <v/>
          </cell>
          <cell r="Q2986" t="str">
            <v/>
          </cell>
          <cell r="T2986" t="str">
            <v/>
          </cell>
          <cell r="U2986" t="str">
            <v/>
          </cell>
          <cell r="W2986" t="str">
            <v/>
          </cell>
          <cell r="X2986" t="str">
            <v/>
          </cell>
          <cell r="AB2986">
            <v>0</v>
          </cell>
          <cell r="AC2986">
            <v>0</v>
          </cell>
          <cell r="AD2986">
            <v>0</v>
          </cell>
          <cell r="AJ2986">
            <v>0</v>
          </cell>
          <cell r="AK2986">
            <v>0</v>
          </cell>
        </row>
        <row r="2987">
          <cell r="B2987" t="str">
            <v/>
          </cell>
          <cell r="H2987" t="str">
            <v/>
          </cell>
          <cell r="J2987" t="str">
            <v/>
          </cell>
          <cell r="N2987" t="str">
            <v/>
          </cell>
          <cell r="O2987" t="str">
            <v/>
          </cell>
          <cell r="P2987" t="str">
            <v/>
          </cell>
          <cell r="Q2987" t="str">
            <v/>
          </cell>
          <cell r="T2987" t="str">
            <v/>
          </cell>
          <cell r="U2987" t="str">
            <v/>
          </cell>
          <cell r="W2987" t="str">
            <v/>
          </cell>
          <cell r="X2987" t="str">
            <v/>
          </cell>
          <cell r="AB2987">
            <v>0</v>
          </cell>
          <cell r="AC2987">
            <v>0</v>
          </cell>
          <cell r="AD2987">
            <v>0</v>
          </cell>
          <cell r="AJ2987">
            <v>0</v>
          </cell>
          <cell r="AK2987">
            <v>0</v>
          </cell>
        </row>
        <row r="2988">
          <cell r="B2988" t="str">
            <v/>
          </cell>
          <cell r="H2988" t="str">
            <v/>
          </cell>
          <cell r="J2988" t="str">
            <v/>
          </cell>
          <cell r="N2988" t="str">
            <v/>
          </cell>
          <cell r="O2988" t="str">
            <v/>
          </cell>
          <cell r="P2988" t="str">
            <v/>
          </cell>
          <cell r="Q2988" t="str">
            <v/>
          </cell>
          <cell r="T2988" t="str">
            <v/>
          </cell>
          <cell r="U2988" t="str">
            <v/>
          </cell>
          <cell r="W2988" t="str">
            <v/>
          </cell>
          <cell r="X2988" t="str">
            <v/>
          </cell>
          <cell r="AB2988">
            <v>0</v>
          </cell>
          <cell r="AC2988">
            <v>0</v>
          </cell>
          <cell r="AD2988">
            <v>0</v>
          </cell>
          <cell r="AJ2988">
            <v>0</v>
          </cell>
          <cell r="AK2988">
            <v>0</v>
          </cell>
        </row>
        <row r="2989">
          <cell r="B2989" t="str">
            <v/>
          </cell>
          <cell r="H2989" t="str">
            <v/>
          </cell>
          <cell r="J2989" t="str">
            <v/>
          </cell>
          <cell r="N2989" t="str">
            <v/>
          </cell>
          <cell r="O2989" t="str">
            <v/>
          </cell>
          <cell r="P2989" t="str">
            <v/>
          </cell>
          <cell r="Q2989" t="str">
            <v/>
          </cell>
          <cell r="T2989" t="str">
            <v/>
          </cell>
          <cell r="U2989" t="str">
            <v/>
          </cell>
          <cell r="W2989" t="str">
            <v/>
          </cell>
          <cell r="X2989" t="str">
            <v/>
          </cell>
          <cell r="AB2989">
            <v>0</v>
          </cell>
          <cell r="AC2989">
            <v>0</v>
          </cell>
          <cell r="AD2989">
            <v>0</v>
          </cell>
          <cell r="AJ2989">
            <v>0</v>
          </cell>
          <cell r="AK2989">
            <v>0</v>
          </cell>
        </row>
        <row r="2990">
          <cell r="B2990" t="str">
            <v/>
          </cell>
          <cell r="H2990" t="str">
            <v/>
          </cell>
          <cell r="J2990" t="str">
            <v/>
          </cell>
          <cell r="N2990" t="str">
            <v/>
          </cell>
          <cell r="O2990" t="str">
            <v/>
          </cell>
          <cell r="P2990" t="str">
            <v/>
          </cell>
          <cell r="Q2990" t="str">
            <v/>
          </cell>
          <cell r="T2990" t="str">
            <v/>
          </cell>
          <cell r="U2990" t="str">
            <v/>
          </cell>
          <cell r="W2990" t="str">
            <v/>
          </cell>
          <cell r="X2990" t="str">
            <v/>
          </cell>
          <cell r="AB2990">
            <v>0</v>
          </cell>
          <cell r="AC2990">
            <v>0</v>
          </cell>
          <cell r="AD2990">
            <v>0</v>
          </cell>
          <cell r="AJ2990">
            <v>0</v>
          </cell>
          <cell r="AK2990">
            <v>0</v>
          </cell>
        </row>
        <row r="2991">
          <cell r="B2991" t="str">
            <v/>
          </cell>
          <cell r="H2991" t="str">
            <v/>
          </cell>
          <cell r="J2991" t="str">
            <v/>
          </cell>
          <cell r="N2991" t="str">
            <v/>
          </cell>
          <cell r="O2991" t="str">
            <v/>
          </cell>
          <cell r="P2991" t="str">
            <v/>
          </cell>
          <cell r="Q2991" t="str">
            <v/>
          </cell>
          <cell r="T2991" t="str">
            <v/>
          </cell>
          <cell r="U2991" t="str">
            <v/>
          </cell>
          <cell r="W2991" t="str">
            <v/>
          </cell>
          <cell r="X2991" t="str">
            <v/>
          </cell>
          <cell r="AB2991">
            <v>0</v>
          </cell>
          <cell r="AC2991">
            <v>0</v>
          </cell>
          <cell r="AD2991">
            <v>0</v>
          </cell>
          <cell r="AJ2991">
            <v>0</v>
          </cell>
          <cell r="AK2991">
            <v>0</v>
          </cell>
        </row>
        <row r="2992">
          <cell r="B2992" t="str">
            <v/>
          </cell>
          <cell r="H2992" t="str">
            <v/>
          </cell>
          <cell r="J2992" t="str">
            <v/>
          </cell>
          <cell r="N2992" t="str">
            <v/>
          </cell>
          <cell r="O2992" t="str">
            <v/>
          </cell>
          <cell r="P2992" t="str">
            <v/>
          </cell>
          <cell r="Q2992" t="str">
            <v/>
          </cell>
          <cell r="T2992" t="str">
            <v/>
          </cell>
          <cell r="U2992" t="str">
            <v/>
          </cell>
          <cell r="W2992" t="str">
            <v/>
          </cell>
          <cell r="X2992" t="str">
            <v/>
          </cell>
          <cell r="AB2992">
            <v>0</v>
          </cell>
          <cell r="AC2992">
            <v>0</v>
          </cell>
          <cell r="AD2992">
            <v>0</v>
          </cell>
          <cell r="AJ2992">
            <v>0</v>
          </cell>
          <cell r="AK2992">
            <v>0</v>
          </cell>
        </row>
        <row r="2993">
          <cell r="B2993" t="str">
            <v/>
          </cell>
          <cell r="H2993" t="str">
            <v/>
          </cell>
          <cell r="J2993" t="str">
            <v/>
          </cell>
          <cell r="N2993" t="str">
            <v/>
          </cell>
          <cell r="O2993" t="str">
            <v/>
          </cell>
          <cell r="P2993" t="str">
            <v/>
          </cell>
          <cell r="Q2993" t="str">
            <v/>
          </cell>
          <cell r="T2993" t="str">
            <v/>
          </cell>
          <cell r="U2993" t="str">
            <v/>
          </cell>
          <cell r="W2993" t="str">
            <v/>
          </cell>
          <cell r="X2993" t="str">
            <v/>
          </cell>
          <cell r="AB2993">
            <v>0</v>
          </cell>
          <cell r="AC2993">
            <v>0</v>
          </cell>
          <cell r="AD2993">
            <v>0</v>
          </cell>
          <cell r="AJ2993">
            <v>0</v>
          </cell>
          <cell r="AK2993">
            <v>0</v>
          </cell>
        </row>
        <row r="2994">
          <cell r="B2994" t="str">
            <v/>
          </cell>
          <cell r="H2994" t="str">
            <v/>
          </cell>
          <cell r="J2994" t="str">
            <v/>
          </cell>
          <cell r="N2994" t="str">
            <v/>
          </cell>
          <cell r="O2994" t="str">
            <v/>
          </cell>
          <cell r="P2994" t="str">
            <v/>
          </cell>
          <cell r="Q2994" t="str">
            <v/>
          </cell>
          <cell r="T2994" t="str">
            <v/>
          </cell>
          <cell r="U2994" t="str">
            <v/>
          </cell>
          <cell r="W2994" t="str">
            <v/>
          </cell>
          <cell r="X2994" t="str">
            <v/>
          </cell>
          <cell r="AB2994">
            <v>0</v>
          </cell>
          <cell r="AC2994">
            <v>0</v>
          </cell>
          <cell r="AD2994">
            <v>0</v>
          </cell>
          <cell r="AJ2994">
            <v>0</v>
          </cell>
          <cell r="AK2994">
            <v>0</v>
          </cell>
        </row>
        <row r="2995">
          <cell r="B2995" t="str">
            <v/>
          </cell>
          <cell r="H2995" t="str">
            <v/>
          </cell>
          <cell r="J2995" t="str">
            <v/>
          </cell>
          <cell r="N2995" t="str">
            <v/>
          </cell>
          <cell r="O2995" t="str">
            <v/>
          </cell>
          <cell r="P2995" t="str">
            <v/>
          </cell>
          <cell r="Q2995" t="str">
            <v/>
          </cell>
          <cell r="T2995" t="str">
            <v/>
          </cell>
          <cell r="U2995" t="str">
            <v/>
          </cell>
          <cell r="W2995" t="str">
            <v/>
          </cell>
          <cell r="X2995" t="str">
            <v/>
          </cell>
          <cell r="AB2995">
            <v>0</v>
          </cell>
          <cell r="AC2995">
            <v>0</v>
          </cell>
          <cell r="AD2995">
            <v>0</v>
          </cell>
          <cell r="AJ2995">
            <v>0</v>
          </cell>
          <cell r="AK2995">
            <v>0</v>
          </cell>
        </row>
        <row r="2996">
          <cell r="B2996" t="str">
            <v/>
          </cell>
          <cell r="H2996" t="str">
            <v/>
          </cell>
          <cell r="J2996" t="str">
            <v/>
          </cell>
          <cell r="N2996" t="str">
            <v/>
          </cell>
          <cell r="O2996" t="str">
            <v/>
          </cell>
          <cell r="P2996" t="str">
            <v/>
          </cell>
          <cell r="Q2996" t="str">
            <v/>
          </cell>
          <cell r="T2996" t="str">
            <v/>
          </cell>
          <cell r="U2996" t="str">
            <v/>
          </cell>
          <cell r="W2996" t="str">
            <v/>
          </cell>
          <cell r="X2996" t="str">
            <v/>
          </cell>
          <cell r="AB2996">
            <v>0</v>
          </cell>
          <cell r="AC2996">
            <v>0</v>
          </cell>
          <cell r="AD2996">
            <v>0</v>
          </cell>
          <cell r="AJ2996">
            <v>0</v>
          </cell>
          <cell r="AK2996">
            <v>0</v>
          </cell>
        </row>
        <row r="2997">
          <cell r="B2997" t="str">
            <v/>
          </cell>
          <cell r="H2997" t="str">
            <v/>
          </cell>
          <cell r="J2997" t="str">
            <v/>
          </cell>
          <cell r="N2997" t="str">
            <v/>
          </cell>
          <cell r="O2997" t="str">
            <v/>
          </cell>
          <cell r="P2997" t="str">
            <v/>
          </cell>
          <cell r="Q2997" t="str">
            <v/>
          </cell>
          <cell r="T2997" t="str">
            <v/>
          </cell>
          <cell r="U2997" t="str">
            <v/>
          </cell>
          <cell r="W2997" t="str">
            <v/>
          </cell>
          <cell r="X2997" t="str">
            <v/>
          </cell>
          <cell r="AB2997">
            <v>0</v>
          </cell>
          <cell r="AC2997">
            <v>0</v>
          </cell>
          <cell r="AD2997">
            <v>0</v>
          </cell>
          <cell r="AJ2997">
            <v>0</v>
          </cell>
          <cell r="AK2997">
            <v>0</v>
          </cell>
        </row>
        <row r="2998">
          <cell r="B2998" t="str">
            <v/>
          </cell>
          <cell r="H2998" t="str">
            <v/>
          </cell>
          <cell r="J2998" t="str">
            <v/>
          </cell>
          <cell r="N2998" t="str">
            <v/>
          </cell>
          <cell r="O2998" t="str">
            <v/>
          </cell>
          <cell r="P2998" t="str">
            <v/>
          </cell>
          <cell r="Q2998" t="str">
            <v/>
          </cell>
          <cell r="T2998" t="str">
            <v/>
          </cell>
          <cell r="U2998" t="str">
            <v/>
          </cell>
          <cell r="W2998" t="str">
            <v/>
          </cell>
          <cell r="X2998" t="str">
            <v/>
          </cell>
          <cell r="AB2998">
            <v>0</v>
          </cell>
          <cell r="AC2998">
            <v>0</v>
          </cell>
          <cell r="AD2998">
            <v>0</v>
          </cell>
          <cell r="AJ2998">
            <v>0</v>
          </cell>
          <cell r="AK2998">
            <v>0</v>
          </cell>
        </row>
        <row r="2999">
          <cell r="B2999" t="str">
            <v/>
          </cell>
          <cell r="H2999" t="str">
            <v/>
          </cell>
          <cell r="J2999" t="str">
            <v/>
          </cell>
          <cell r="N2999" t="str">
            <v/>
          </cell>
          <cell r="O2999" t="str">
            <v/>
          </cell>
          <cell r="P2999" t="str">
            <v/>
          </cell>
          <cell r="Q2999" t="str">
            <v/>
          </cell>
          <cell r="T2999" t="str">
            <v/>
          </cell>
          <cell r="U2999" t="str">
            <v/>
          </cell>
          <cell r="W2999" t="str">
            <v/>
          </cell>
          <cell r="X2999" t="str">
            <v/>
          </cell>
          <cell r="AB2999">
            <v>0</v>
          </cell>
          <cell r="AC2999">
            <v>0</v>
          </cell>
          <cell r="AD2999">
            <v>0</v>
          </cell>
          <cell r="AJ2999">
            <v>0</v>
          </cell>
          <cell r="AK2999">
            <v>0</v>
          </cell>
        </row>
        <row r="3000">
          <cell r="B3000" t="str">
            <v/>
          </cell>
          <cell r="H3000" t="str">
            <v/>
          </cell>
          <cell r="J3000" t="str">
            <v/>
          </cell>
          <cell r="N3000" t="str">
            <v/>
          </cell>
          <cell r="O3000" t="str">
            <v/>
          </cell>
          <cell r="P3000" t="str">
            <v/>
          </cell>
          <cell r="Q3000" t="str">
            <v/>
          </cell>
          <cell r="T3000" t="str">
            <v/>
          </cell>
          <cell r="U3000" t="str">
            <v/>
          </cell>
          <cell r="W3000" t="str">
            <v/>
          </cell>
          <cell r="X3000" t="str">
            <v/>
          </cell>
          <cell r="AB3000">
            <v>0</v>
          </cell>
          <cell r="AC3000">
            <v>0</v>
          </cell>
          <cell r="AD3000">
            <v>0</v>
          </cell>
          <cell r="AJ3000">
            <v>0</v>
          </cell>
          <cell r="AK3000">
            <v>0</v>
          </cell>
        </row>
        <row r="3001">
          <cell r="B3001" t="str">
            <v/>
          </cell>
          <cell r="H3001" t="str">
            <v/>
          </cell>
          <cell r="J3001" t="str">
            <v/>
          </cell>
          <cell r="N3001" t="str">
            <v/>
          </cell>
          <cell r="O3001" t="str">
            <v/>
          </cell>
          <cell r="P3001" t="str">
            <v/>
          </cell>
          <cell r="Q3001" t="str">
            <v/>
          </cell>
          <cell r="T3001" t="str">
            <v/>
          </cell>
          <cell r="U3001" t="str">
            <v/>
          </cell>
          <cell r="W3001" t="str">
            <v/>
          </cell>
          <cell r="X3001" t="str">
            <v/>
          </cell>
          <cell r="AB3001">
            <v>0</v>
          </cell>
          <cell r="AC3001">
            <v>0</v>
          </cell>
          <cell r="AD3001">
            <v>0</v>
          </cell>
          <cell r="AJ3001">
            <v>0</v>
          </cell>
          <cell r="AK3001">
            <v>0</v>
          </cell>
        </row>
        <row r="3002">
          <cell r="B3002" t="str">
            <v/>
          </cell>
          <cell r="H3002" t="str">
            <v/>
          </cell>
          <cell r="J3002" t="str">
            <v/>
          </cell>
          <cell r="N3002" t="str">
            <v/>
          </cell>
          <cell r="O3002" t="str">
            <v/>
          </cell>
          <cell r="P3002" t="str">
            <v/>
          </cell>
          <cell r="Q3002" t="str">
            <v/>
          </cell>
          <cell r="T3002" t="str">
            <v/>
          </cell>
          <cell r="U3002" t="str">
            <v/>
          </cell>
          <cell r="W3002" t="str">
            <v/>
          </cell>
          <cell r="X3002" t="str">
            <v/>
          </cell>
          <cell r="AB3002">
            <v>0</v>
          </cell>
          <cell r="AC3002">
            <v>0</v>
          </cell>
          <cell r="AD3002">
            <v>0</v>
          </cell>
          <cell r="AJ3002">
            <v>0</v>
          </cell>
          <cell r="AK3002">
            <v>0</v>
          </cell>
        </row>
        <row r="3003">
          <cell r="B3003" t="str">
            <v/>
          </cell>
          <cell r="H3003" t="str">
            <v/>
          </cell>
          <cell r="J3003" t="str">
            <v/>
          </cell>
          <cell r="N3003" t="str">
            <v/>
          </cell>
          <cell r="O3003" t="str">
            <v/>
          </cell>
          <cell r="P3003" t="str">
            <v/>
          </cell>
          <cell r="Q3003" t="str">
            <v/>
          </cell>
          <cell r="T3003" t="str">
            <v/>
          </cell>
          <cell r="U3003" t="str">
            <v/>
          </cell>
          <cell r="W3003" t="str">
            <v/>
          </cell>
          <cell r="X3003" t="str">
            <v/>
          </cell>
          <cell r="AB3003">
            <v>0</v>
          </cell>
          <cell r="AC3003">
            <v>0</v>
          </cell>
          <cell r="AD3003">
            <v>0</v>
          </cell>
          <cell r="AJ3003">
            <v>0</v>
          </cell>
          <cell r="AK3003">
            <v>0</v>
          </cell>
        </row>
        <row r="3004">
          <cell r="B3004" t="str">
            <v/>
          </cell>
          <cell r="H3004" t="str">
            <v/>
          </cell>
          <cell r="J3004" t="str">
            <v/>
          </cell>
          <cell r="N3004" t="str">
            <v/>
          </cell>
          <cell r="O3004" t="str">
            <v/>
          </cell>
          <cell r="P3004" t="str">
            <v/>
          </cell>
          <cell r="Q3004" t="str">
            <v/>
          </cell>
          <cell r="T3004" t="str">
            <v/>
          </cell>
          <cell r="U3004" t="str">
            <v/>
          </cell>
          <cell r="W3004" t="str">
            <v/>
          </cell>
          <cell r="X3004" t="str">
            <v/>
          </cell>
          <cell r="AB3004">
            <v>0</v>
          </cell>
          <cell r="AC3004">
            <v>0</v>
          </cell>
          <cell r="AD3004">
            <v>0</v>
          </cell>
          <cell r="AJ3004">
            <v>0</v>
          </cell>
          <cell r="AK3004">
            <v>0</v>
          </cell>
        </row>
        <row r="3005">
          <cell r="B3005" t="str">
            <v/>
          </cell>
          <cell r="H3005" t="str">
            <v/>
          </cell>
          <cell r="J3005" t="str">
            <v/>
          </cell>
          <cell r="N3005" t="str">
            <v/>
          </cell>
          <cell r="O3005" t="str">
            <v/>
          </cell>
          <cell r="P3005" t="str">
            <v/>
          </cell>
          <cell r="Q3005" t="str">
            <v/>
          </cell>
          <cell r="T3005" t="str">
            <v/>
          </cell>
          <cell r="U3005" t="str">
            <v/>
          </cell>
          <cell r="W3005" t="str">
            <v/>
          </cell>
          <cell r="X3005" t="str">
            <v/>
          </cell>
          <cell r="AB3005">
            <v>0</v>
          </cell>
          <cell r="AC3005">
            <v>0</v>
          </cell>
          <cell r="AD3005">
            <v>0</v>
          </cell>
          <cell r="AJ3005">
            <v>0</v>
          </cell>
          <cell r="AK3005">
            <v>0</v>
          </cell>
        </row>
      </sheetData>
      <sheetData sheetId="13">
        <row r="5">
          <cell r="C5" t="str">
            <v/>
          </cell>
          <cell r="D5" t="str">
            <v>26932000001466835871</v>
          </cell>
          <cell r="O5" t="str">
            <v>正常</v>
          </cell>
          <cell r="T5">
            <v>46265.0</v>
          </cell>
          <cell r="U5" t="str">
            <v>中智优力</v>
          </cell>
          <cell r="V5" t="str">
            <v>销项</v>
          </cell>
          <cell r="W5" t="str">
            <v>宁波鹿小白机电有限公司</v>
          </cell>
          <cell r="Y5" t="str">
            <v>应收</v>
          </cell>
          <cell r="AA5" t="str">
            <v/>
          </cell>
          <cell r="AB5">
            <v>9600</v>
          </cell>
          <cell r="AC5">
            <v>0</v>
          </cell>
          <cell r="AI5" t="str">
            <v>中智优力</v>
          </cell>
          <cell r="AJ5" t="str">
            <v/>
          </cell>
          <cell r="AK5">
            <v>9600</v>
          </cell>
          <cell r="AL5">
            <v>9504.95</v>
          </cell>
          <cell r="AM5">
            <v>95.05</v>
          </cell>
        </row>
        <row r="6">
          <cell r="C6" t="str">
            <v/>
          </cell>
          <cell r="D6" t="str">
            <v>26932000001438698391</v>
          </cell>
          <cell r="O6" t="str">
            <v>正常</v>
          </cell>
          <cell r="T6">
            <v>46261.0</v>
          </cell>
          <cell r="U6" t="str">
            <v>中智优力</v>
          </cell>
          <cell r="V6" t="str">
            <v>销项</v>
          </cell>
          <cell r="W6" t="str">
            <v>宁波安程汽车服务有限公司</v>
          </cell>
          <cell r="Y6" t="str">
            <v>应收</v>
          </cell>
          <cell r="AA6" t="str">
            <v/>
          </cell>
          <cell r="AB6">
            <v>21600</v>
          </cell>
          <cell r="AC6">
            <v>0</v>
          </cell>
          <cell r="AI6" t="str">
            <v>中智优力</v>
          </cell>
          <cell r="AJ6" t="str">
            <v/>
          </cell>
          <cell r="AK6">
            <v>21600</v>
          </cell>
          <cell r="AL6">
            <v>21386.14</v>
          </cell>
          <cell r="AM6">
            <v>213.86</v>
          </cell>
        </row>
        <row r="7">
          <cell r="C7" t="str">
            <v/>
          </cell>
          <cell r="D7" t="str">
            <v>26932000001430099371</v>
          </cell>
          <cell r="O7" t="str">
            <v>正常</v>
          </cell>
          <cell r="T7">
            <v>46260.0</v>
          </cell>
          <cell r="U7" t="str">
            <v>中智优力</v>
          </cell>
          <cell r="V7" t="str">
            <v>销项</v>
          </cell>
          <cell r="W7" t="str">
            <v>宁波市华方塑料机械制造有限公司</v>
          </cell>
          <cell r="Y7" t="str">
            <v>应收</v>
          </cell>
          <cell r="AA7" t="str">
            <v/>
          </cell>
          <cell r="AB7">
            <v>10000</v>
          </cell>
          <cell r="AC7">
            <v>0</v>
          </cell>
          <cell r="AI7" t="str">
            <v>中智优力</v>
          </cell>
          <cell r="AJ7" t="str">
            <v/>
          </cell>
          <cell r="AK7">
            <v>10000</v>
          </cell>
          <cell r="AL7">
            <v>9900.99</v>
          </cell>
          <cell r="AM7">
            <v>99.01</v>
          </cell>
        </row>
        <row r="8">
          <cell r="C8" t="str">
            <v/>
          </cell>
          <cell r="D8" t="str">
            <v>26932000001425088306</v>
          </cell>
          <cell r="O8" t="str">
            <v>正常</v>
          </cell>
          <cell r="T8">
            <v>46260.0</v>
          </cell>
          <cell r="U8" t="str">
            <v>中智优力</v>
          </cell>
          <cell r="V8" t="str">
            <v>销项</v>
          </cell>
          <cell r="W8" t="str">
            <v>宁波市华方塑料机械制造有限公司</v>
          </cell>
          <cell r="Y8" t="str">
            <v>应收</v>
          </cell>
          <cell r="AA8" t="str">
            <v/>
          </cell>
          <cell r="AB8">
            <v>-14400</v>
          </cell>
          <cell r="AC8">
            <v>0</v>
          </cell>
          <cell r="AI8" t="str">
            <v>中智优力</v>
          </cell>
          <cell r="AJ8" t="str">
            <v/>
          </cell>
          <cell r="AK8">
            <v>-14400</v>
          </cell>
          <cell r="AL8">
            <v>-14257.43</v>
          </cell>
          <cell r="AM8">
            <v>-142.57</v>
          </cell>
        </row>
        <row r="9">
          <cell r="C9" t="str">
            <v/>
          </cell>
          <cell r="D9" t="str">
            <v>26932000001426280311</v>
          </cell>
          <cell r="O9" t="str">
            <v>已红冲-全额</v>
          </cell>
          <cell r="T9">
            <v>46259.0</v>
          </cell>
          <cell r="U9" t="str">
            <v>中智优力</v>
          </cell>
          <cell r="V9" t="str">
            <v>销项</v>
          </cell>
          <cell r="W9" t="str">
            <v>宁波市华方塑料机械制造有限公司</v>
          </cell>
          <cell r="Y9" t="str">
            <v>应收</v>
          </cell>
          <cell r="AA9" t="str">
            <v/>
          </cell>
          <cell r="AB9">
            <v>14400</v>
          </cell>
          <cell r="AC9">
            <v>0</v>
          </cell>
          <cell r="AI9" t="str">
            <v>中智优力</v>
          </cell>
          <cell r="AJ9" t="str">
            <v/>
          </cell>
          <cell r="AK9">
            <v>14400</v>
          </cell>
          <cell r="AL9">
            <v>14257.43</v>
          </cell>
          <cell r="AM9">
            <v>142.57</v>
          </cell>
        </row>
        <row r="10">
          <cell r="C10" t="str">
            <v/>
          </cell>
          <cell r="D10" t="str">
            <v>26932000001426139581</v>
          </cell>
          <cell r="O10" t="str">
            <v>正常</v>
          </cell>
          <cell r="T10">
            <v>46259.0</v>
          </cell>
          <cell r="U10" t="str">
            <v>中智优力</v>
          </cell>
          <cell r="V10" t="str">
            <v>销项</v>
          </cell>
          <cell r="W10" t="str">
            <v>宁波市昕阳国际贸易有限公司</v>
          </cell>
          <cell r="Y10" t="str">
            <v>应收</v>
          </cell>
          <cell r="AA10" t="str">
            <v/>
          </cell>
          <cell r="AB10">
            <v>6600</v>
          </cell>
          <cell r="AC10">
            <v>0</v>
          </cell>
          <cell r="AI10" t="str">
            <v>中智优力</v>
          </cell>
          <cell r="AJ10" t="str">
            <v/>
          </cell>
          <cell r="AK10">
            <v>6600</v>
          </cell>
          <cell r="AL10">
            <v>6534.65</v>
          </cell>
          <cell r="AM10">
            <v>65.35</v>
          </cell>
        </row>
        <row r="11">
          <cell r="C11" t="str">
            <v/>
          </cell>
          <cell r="D11" t="str">
            <v>26932000001337447926</v>
          </cell>
          <cell r="O11" t="str">
            <v>正常</v>
          </cell>
          <cell r="T11">
            <v>46244.0</v>
          </cell>
          <cell r="U11" t="str">
            <v>中智优力</v>
          </cell>
          <cell r="V11" t="str">
            <v>销项</v>
          </cell>
          <cell r="W11" t="str">
            <v>宁波永程纸制品有限公司</v>
          </cell>
          <cell r="Y11" t="str">
            <v>应收</v>
          </cell>
          <cell r="AA11" t="str">
            <v/>
          </cell>
          <cell r="AB11">
            <v>7200</v>
          </cell>
          <cell r="AC11">
            <v>0</v>
          </cell>
          <cell r="AI11" t="str">
            <v>中智优力</v>
          </cell>
          <cell r="AJ11" t="str">
            <v/>
          </cell>
          <cell r="AK11">
            <v>7200</v>
          </cell>
          <cell r="AL11">
            <v>7128.71</v>
          </cell>
          <cell r="AM11">
            <v>71.29</v>
          </cell>
        </row>
        <row r="12">
          <cell r="C12" t="str">
            <v/>
          </cell>
          <cell r="D12" t="str">
            <v>26932000001323435481</v>
          </cell>
          <cell r="O12" t="str">
            <v>正常</v>
          </cell>
          <cell r="T12">
            <v>46240.0</v>
          </cell>
          <cell r="U12" t="str">
            <v>中智优力</v>
          </cell>
          <cell r="V12" t="str">
            <v>销项</v>
          </cell>
          <cell r="W12" t="str">
            <v>鄞州区福明街道国际汽车城业主委员会</v>
          </cell>
          <cell r="Y12" t="str">
            <v>应收</v>
          </cell>
          <cell r="AA12" t="str">
            <v/>
          </cell>
          <cell r="AB12">
            <v>300</v>
          </cell>
          <cell r="AC12">
            <v>0</v>
          </cell>
          <cell r="AI12" t="str">
            <v>中智优力</v>
          </cell>
          <cell r="AJ12" t="str">
            <v/>
          </cell>
          <cell r="AK12">
            <v>300</v>
          </cell>
          <cell r="AL12">
            <v>297.03</v>
          </cell>
          <cell r="AM12">
            <v>2.97</v>
          </cell>
        </row>
        <row r="13">
          <cell r="C13" t="str">
            <v/>
          </cell>
          <cell r="D13" t="str">
            <v>26932000001309047481</v>
          </cell>
          <cell r="O13" t="str">
            <v>正常</v>
          </cell>
          <cell r="T13">
            <v>46238.0</v>
          </cell>
          <cell r="U13" t="str">
            <v>中智优力</v>
          </cell>
          <cell r="V13" t="str">
            <v>销项</v>
          </cell>
          <cell r="W13" t="str">
            <v>宁波市鄞州瑞益通风设备有限公司</v>
          </cell>
          <cell r="Y13" t="str">
            <v>应收</v>
          </cell>
          <cell r="AA13" t="str">
            <v/>
          </cell>
          <cell r="AB13">
            <v>24000</v>
          </cell>
          <cell r="AC13">
            <v>0</v>
          </cell>
          <cell r="AI13" t="str">
            <v>中智优力</v>
          </cell>
          <cell r="AJ13" t="str">
            <v/>
          </cell>
          <cell r="AK13">
            <v>24000</v>
          </cell>
          <cell r="AL13">
            <v>23762.38</v>
          </cell>
          <cell r="AM13">
            <v>237.62</v>
          </cell>
        </row>
        <row r="14">
          <cell r="C14" t="str">
            <v/>
          </cell>
          <cell r="D14" t="str">
            <v>26932000001301887141</v>
          </cell>
          <cell r="O14" t="str">
            <v>正常</v>
          </cell>
          <cell r="T14">
            <v>46237.0</v>
          </cell>
          <cell r="U14" t="str">
            <v>中智优力</v>
          </cell>
          <cell r="V14" t="str">
            <v>销项</v>
          </cell>
          <cell r="W14" t="str">
            <v>宁波市鄞州五乡晓林五金机械厂</v>
          </cell>
          <cell r="Y14" t="str">
            <v>应收</v>
          </cell>
          <cell r="AA14" t="str">
            <v/>
          </cell>
          <cell r="AB14">
            <v>7200</v>
          </cell>
          <cell r="AC14">
            <v>0</v>
          </cell>
          <cell r="AI14" t="str">
            <v>中智优力</v>
          </cell>
          <cell r="AJ14" t="str">
            <v/>
          </cell>
          <cell r="AK14">
            <v>7200</v>
          </cell>
          <cell r="AL14">
            <v>7128.71</v>
          </cell>
          <cell r="AM14">
            <v>71.29</v>
          </cell>
        </row>
        <row r="15">
          <cell r="C15" t="str">
            <v/>
          </cell>
          <cell r="D15" t="str">
            <v>26932000001301734036</v>
          </cell>
          <cell r="O15" t="str">
            <v>正常</v>
          </cell>
          <cell r="T15">
            <v>46237.0</v>
          </cell>
          <cell r="U15" t="str">
            <v>中智优力</v>
          </cell>
          <cell r="V15" t="str">
            <v>销项</v>
          </cell>
          <cell r="W15" t="str">
            <v>宜柏嘉（宁波）智能科技有限公司</v>
          </cell>
          <cell r="Y15" t="str">
            <v>应收</v>
          </cell>
          <cell r="AA15" t="str">
            <v/>
          </cell>
          <cell r="AB15">
            <v>9000</v>
          </cell>
          <cell r="AC15">
            <v>0</v>
          </cell>
          <cell r="AI15" t="str">
            <v>中智优力</v>
          </cell>
          <cell r="AJ15" t="str">
            <v/>
          </cell>
          <cell r="AK15">
            <v>9000</v>
          </cell>
          <cell r="AL15">
            <v>8910.89</v>
          </cell>
          <cell r="AM15">
            <v>89.11</v>
          </cell>
        </row>
        <row r="16">
          <cell r="C16" t="str">
            <v/>
          </cell>
          <cell r="D16" t="str">
            <v>26932000001301730886</v>
          </cell>
          <cell r="O16" t="str">
            <v>正常</v>
          </cell>
          <cell r="T16">
            <v>46237.0</v>
          </cell>
          <cell r="U16" t="str">
            <v>中智优力</v>
          </cell>
          <cell r="V16" t="str">
            <v>销项</v>
          </cell>
          <cell r="W16" t="str">
            <v>宁波优责标识科技有限公司</v>
          </cell>
          <cell r="Y16" t="str">
            <v>应收</v>
          </cell>
          <cell r="AA16" t="str">
            <v/>
          </cell>
          <cell r="AB16">
            <v>5400</v>
          </cell>
          <cell r="AC16">
            <v>0</v>
          </cell>
          <cell r="AI16" t="str">
            <v>中智优力</v>
          </cell>
          <cell r="AJ16" t="str">
            <v/>
          </cell>
          <cell r="AK16">
            <v>5400</v>
          </cell>
          <cell r="AL16">
            <v>5346.53</v>
          </cell>
          <cell r="AM16">
            <v>53.47</v>
          </cell>
        </row>
        <row r="17">
          <cell r="C17" t="str">
            <v/>
          </cell>
          <cell r="D17" t="str">
            <v>26932000001462963081</v>
          </cell>
          <cell r="O17" t="str">
            <v>正常</v>
          </cell>
          <cell r="T17">
            <v>46265.0</v>
          </cell>
          <cell r="U17" t="str">
            <v>中智优力</v>
          </cell>
          <cell r="V17" t="str">
            <v>进项</v>
          </cell>
          <cell r="W17" t="str">
            <v>宁波市海曙卓瑞通讯器材店</v>
          </cell>
          <cell r="Y17" t="str">
            <v>报销票</v>
          </cell>
          <cell r="AA17" t="str">
            <v/>
          </cell>
          <cell r="AB17">
            <v>0</v>
          </cell>
          <cell r="AC17">
            <v>0</v>
          </cell>
          <cell r="AI17" t="str">
            <v/>
          </cell>
          <cell r="AJ17" t="str">
            <v>中智优力</v>
          </cell>
          <cell r="AK17">
            <v>1190</v>
          </cell>
          <cell r="AL17">
            <v>1178.22</v>
          </cell>
          <cell r="AM17">
            <v>11.78</v>
          </cell>
        </row>
        <row r="18">
          <cell r="C18" t="str">
            <v/>
          </cell>
          <cell r="D18" t="str">
            <v>26932000001461713761</v>
          </cell>
          <cell r="O18" t="str">
            <v>正常</v>
          </cell>
          <cell r="T18">
            <v>46265.0</v>
          </cell>
          <cell r="U18" t="str">
            <v>中智优力</v>
          </cell>
          <cell r="V18" t="str">
            <v>进项</v>
          </cell>
          <cell r="W18" t="str">
            <v>宁波微果食品供应链有限公司</v>
          </cell>
          <cell r="Y18" t="str">
            <v>报销票</v>
          </cell>
          <cell r="AA18" t="str">
            <v/>
          </cell>
          <cell r="AB18">
            <v>0</v>
          </cell>
          <cell r="AC18">
            <v>0</v>
          </cell>
          <cell r="AI18" t="str">
            <v/>
          </cell>
          <cell r="AJ18" t="str">
            <v>中智优力</v>
          </cell>
          <cell r="AK18">
            <v>1000</v>
          </cell>
          <cell r="AL18">
            <v>990.1</v>
          </cell>
          <cell r="AM18">
            <v>9.9</v>
          </cell>
        </row>
        <row r="19">
          <cell r="C19" t="str">
            <v/>
          </cell>
          <cell r="D19" t="str">
            <v>26932000001459788016</v>
          </cell>
          <cell r="O19" t="str">
            <v>正常</v>
          </cell>
          <cell r="T19">
            <v>46264.0</v>
          </cell>
          <cell r="U19" t="str">
            <v>中智优力</v>
          </cell>
          <cell r="V19" t="str">
            <v>进项</v>
          </cell>
          <cell r="W19" t="str">
            <v>宁波市鄞州五乡苗涌食品商行</v>
          </cell>
          <cell r="Y19" t="str">
            <v>报销票</v>
          </cell>
          <cell r="AA19" t="str">
            <v/>
          </cell>
          <cell r="AB19">
            <v>0</v>
          </cell>
          <cell r="AC19">
            <v>0</v>
          </cell>
          <cell r="AI19" t="str">
            <v/>
          </cell>
          <cell r="AJ19" t="str">
            <v>中智优力</v>
          </cell>
          <cell r="AK19">
            <v>186.6</v>
          </cell>
          <cell r="AL19">
            <v>184.75</v>
          </cell>
          <cell r="AM19">
            <v>1.85</v>
          </cell>
        </row>
        <row r="20">
          <cell r="C20" t="str">
            <v/>
          </cell>
          <cell r="D20" t="str">
            <v>26312000005472431431</v>
          </cell>
          <cell r="O20" t="str">
            <v>正常</v>
          </cell>
          <cell r="T20">
            <v>46262.0</v>
          </cell>
          <cell r="U20" t="str">
            <v>中智优力</v>
          </cell>
          <cell r="V20" t="str">
            <v>进项</v>
          </cell>
          <cell r="W20" t="str">
            <v>上海贾斯伯电子商务有限公司</v>
          </cell>
          <cell r="Y20" t="str">
            <v>报销票</v>
          </cell>
          <cell r="AA20" t="str">
            <v/>
          </cell>
          <cell r="AB20">
            <v>0</v>
          </cell>
          <cell r="AC20">
            <v>0</v>
          </cell>
          <cell r="AI20" t="str">
            <v/>
          </cell>
          <cell r="AJ20" t="str">
            <v>中智优力</v>
          </cell>
          <cell r="AK20">
            <v>27.8</v>
          </cell>
          <cell r="AL20">
            <v>27.52</v>
          </cell>
          <cell r="AM20">
            <v>0.28</v>
          </cell>
        </row>
        <row r="21">
          <cell r="C21" t="str">
            <v/>
          </cell>
          <cell r="D21" t="str">
            <v>26932000001446778921</v>
          </cell>
          <cell r="O21" t="str">
            <v>正常</v>
          </cell>
          <cell r="T21">
            <v>46261.0</v>
          </cell>
          <cell r="U21" t="str">
            <v>中智优力</v>
          </cell>
          <cell r="V21" t="str">
            <v>进项</v>
          </cell>
          <cell r="W21" t="str">
            <v>宁波市鄞州新河周卫亚保健按摩店</v>
          </cell>
          <cell r="Y21" t="str">
            <v>报销票</v>
          </cell>
          <cell r="AA21" t="str">
            <v/>
          </cell>
          <cell r="AB21">
            <v>0</v>
          </cell>
          <cell r="AC21">
            <v>0</v>
          </cell>
          <cell r="AI21" t="str">
            <v/>
          </cell>
          <cell r="AJ21" t="str">
            <v>中智优力</v>
          </cell>
          <cell r="AK21">
            <v>599</v>
          </cell>
          <cell r="AL21">
            <v>593.07</v>
          </cell>
          <cell r="AM21">
            <v>5.93</v>
          </cell>
        </row>
        <row r="22">
          <cell r="C22" t="str">
            <v/>
          </cell>
          <cell r="D22" t="str">
            <v>26337000000749263345</v>
          </cell>
          <cell r="O22" t="str">
            <v>正常</v>
          </cell>
          <cell r="T22">
            <v>46261.0</v>
          </cell>
          <cell r="U22" t="str">
            <v>中智优力</v>
          </cell>
          <cell r="V22" t="str">
            <v>进项</v>
          </cell>
          <cell r="W22" t="str">
            <v>浙江高速公路智能收费运营服务有限公司</v>
          </cell>
          <cell r="Y22" t="str">
            <v>报销票</v>
          </cell>
          <cell r="AA22" t="str">
            <v/>
          </cell>
          <cell r="AB22">
            <v>0</v>
          </cell>
          <cell r="AC22">
            <v>0</v>
          </cell>
          <cell r="AI22" t="str">
            <v/>
          </cell>
          <cell r="AJ22" t="str">
            <v>中智优力</v>
          </cell>
          <cell r="AK22">
            <v>-101</v>
          </cell>
          <cell r="AL22">
            <v>-101</v>
          </cell>
          <cell r="AM22">
            <v>0</v>
          </cell>
        </row>
        <row r="23">
          <cell r="C23" t="str">
            <v/>
          </cell>
          <cell r="D23" t="str">
            <v>26332000007376819821</v>
          </cell>
          <cell r="O23" t="str">
            <v>正常</v>
          </cell>
          <cell r="T23">
            <v>46261.0</v>
          </cell>
          <cell r="U23" t="str">
            <v>中智优力</v>
          </cell>
          <cell r="V23" t="str">
            <v>进项</v>
          </cell>
          <cell r="W23" t="str">
            <v>永康市鲜铺餐饮店（个体工商户）</v>
          </cell>
          <cell r="Y23" t="str">
            <v>报销票</v>
          </cell>
          <cell r="AA23" t="str">
            <v/>
          </cell>
          <cell r="AB23">
            <v>0</v>
          </cell>
          <cell r="AC23">
            <v>0</v>
          </cell>
          <cell r="AI23" t="str">
            <v/>
          </cell>
          <cell r="AJ23" t="str">
            <v>中智优力</v>
          </cell>
          <cell r="AK23">
            <v>352</v>
          </cell>
          <cell r="AL23">
            <v>348.51</v>
          </cell>
          <cell r="AM23">
            <v>3.49</v>
          </cell>
        </row>
        <row r="24">
          <cell r="C24" t="str">
            <v/>
          </cell>
          <cell r="D24" t="str">
            <v>26337000000739178332</v>
          </cell>
          <cell r="O24" t="str">
            <v>已红冲-全额</v>
          </cell>
          <cell r="T24">
            <v>46260.0</v>
          </cell>
          <cell r="U24" t="str">
            <v>中智优力</v>
          </cell>
          <cell r="V24" t="str">
            <v>进项</v>
          </cell>
          <cell r="W24" t="str">
            <v>浙江高速公路智能收费运营服务有限公司</v>
          </cell>
          <cell r="Y24" t="str">
            <v>报销票</v>
          </cell>
          <cell r="AA24" t="str">
            <v/>
          </cell>
          <cell r="AB24">
            <v>0</v>
          </cell>
          <cell r="AC24">
            <v>0</v>
          </cell>
          <cell r="AI24" t="str">
            <v/>
          </cell>
          <cell r="AJ24" t="str">
            <v>中智优力</v>
          </cell>
          <cell r="AK24">
            <v>101</v>
          </cell>
          <cell r="AL24">
            <v>101</v>
          </cell>
          <cell r="AM24">
            <v>0</v>
          </cell>
        </row>
        <row r="25">
          <cell r="C25" t="str">
            <v/>
          </cell>
          <cell r="D25" t="str">
            <v>26112000003579582571</v>
          </cell>
          <cell r="O25" t="str">
            <v>正常</v>
          </cell>
          <cell r="T25">
            <v>46260.0</v>
          </cell>
          <cell r="U25" t="str">
            <v>中智优力</v>
          </cell>
          <cell r="V25" t="str">
            <v>进项</v>
          </cell>
          <cell r="W25" t="str">
            <v>北京东奥时代教育科技有限公司</v>
          </cell>
          <cell r="Y25" t="str">
            <v>报销票</v>
          </cell>
          <cell r="AA25" t="str">
            <v/>
          </cell>
          <cell r="AB25">
            <v>0</v>
          </cell>
          <cell r="AC25">
            <v>0</v>
          </cell>
          <cell r="AI25" t="str">
            <v/>
          </cell>
          <cell r="AJ25" t="str">
            <v>中智优力</v>
          </cell>
          <cell r="AK25">
            <v>40</v>
          </cell>
          <cell r="AL25">
            <v>38.83</v>
          </cell>
          <cell r="AM25">
            <v>1.17</v>
          </cell>
        </row>
        <row r="26">
          <cell r="C26" t="str">
            <v/>
          </cell>
          <cell r="D26" t="str">
            <v>26337000000745264580</v>
          </cell>
          <cell r="O26" t="str">
            <v>正常</v>
          </cell>
          <cell r="T26">
            <v>46260.0</v>
          </cell>
          <cell r="U26" t="str">
            <v>中智优力</v>
          </cell>
          <cell r="V26" t="str">
            <v>进项</v>
          </cell>
          <cell r="W26" t="str">
            <v>浙江高速公路智能收费运营服务有限公司</v>
          </cell>
          <cell r="Y26" t="str">
            <v>报销票</v>
          </cell>
          <cell r="AA26" t="str">
            <v/>
          </cell>
          <cell r="AB26">
            <v>0</v>
          </cell>
          <cell r="AC26">
            <v>0</v>
          </cell>
          <cell r="AI26" t="str">
            <v/>
          </cell>
          <cell r="AJ26" t="str">
            <v>中智优力</v>
          </cell>
          <cell r="AK26">
            <v>52</v>
          </cell>
          <cell r="AL26">
            <v>52</v>
          </cell>
          <cell r="AM26">
            <v>0</v>
          </cell>
        </row>
        <row r="27">
          <cell r="C27" t="str">
            <v/>
          </cell>
          <cell r="D27" t="str">
            <v>26442000009703294081</v>
          </cell>
          <cell r="O27" t="str">
            <v>正常</v>
          </cell>
          <cell r="T27">
            <v>46258.0</v>
          </cell>
          <cell r="U27" t="str">
            <v>中智优力</v>
          </cell>
          <cell r="V27" t="str">
            <v>进项</v>
          </cell>
          <cell r="W27" t="str">
            <v>广州市沁艺建材有限公司</v>
          </cell>
          <cell r="Y27" t="str">
            <v>报销票</v>
          </cell>
          <cell r="AA27" t="str">
            <v/>
          </cell>
          <cell r="AB27">
            <v>0</v>
          </cell>
          <cell r="AC27">
            <v>0</v>
          </cell>
          <cell r="AI27" t="str">
            <v/>
          </cell>
          <cell r="AJ27" t="str">
            <v>中智优力</v>
          </cell>
          <cell r="AK27">
            <v>22.9</v>
          </cell>
          <cell r="AL27">
            <v>22.67</v>
          </cell>
          <cell r="AM27">
            <v>0.23</v>
          </cell>
        </row>
        <row r="28">
          <cell r="C28" t="str">
            <v/>
          </cell>
          <cell r="D28" t="str">
            <v>26112000003530625886</v>
          </cell>
          <cell r="O28" t="str">
            <v>正常</v>
          </cell>
          <cell r="T28">
            <v>46258.0</v>
          </cell>
          <cell r="U28" t="str">
            <v>中智优力</v>
          </cell>
          <cell r="V28" t="str">
            <v>进项</v>
          </cell>
          <cell r="W28" t="str">
            <v>北京东奥时代教育科技有限公司</v>
          </cell>
          <cell r="Y28" t="str">
            <v>报销票</v>
          </cell>
          <cell r="AA28" t="str">
            <v/>
          </cell>
          <cell r="AB28">
            <v>0</v>
          </cell>
          <cell r="AC28">
            <v>0</v>
          </cell>
          <cell r="AI28" t="str">
            <v/>
          </cell>
          <cell r="AJ28" t="str">
            <v>中智优力</v>
          </cell>
          <cell r="AK28">
            <v>40</v>
          </cell>
          <cell r="AL28">
            <v>38.83</v>
          </cell>
          <cell r="AM28">
            <v>1.17</v>
          </cell>
        </row>
        <row r="29">
          <cell r="C29" t="str">
            <v/>
          </cell>
          <cell r="D29" t="str">
            <v>26937000000081084214</v>
          </cell>
          <cell r="O29" t="str">
            <v>正常</v>
          </cell>
          <cell r="T29">
            <v>46257.0</v>
          </cell>
          <cell r="U29" t="str">
            <v>中智优力</v>
          </cell>
          <cell r="V29" t="str">
            <v>进项</v>
          </cell>
          <cell r="W29" t="str">
            <v>中海油销售浙江有限公司</v>
          </cell>
          <cell r="Y29" t="str">
            <v>报销票</v>
          </cell>
          <cell r="AA29" t="str">
            <v/>
          </cell>
          <cell r="AB29">
            <v>0</v>
          </cell>
          <cell r="AC29">
            <v>0</v>
          </cell>
          <cell r="AI29" t="str">
            <v/>
          </cell>
          <cell r="AJ29" t="str">
            <v>中智优力</v>
          </cell>
          <cell r="AK29">
            <v>200</v>
          </cell>
          <cell r="AL29">
            <v>176.99</v>
          </cell>
          <cell r="AM29">
            <v>23.01</v>
          </cell>
        </row>
        <row r="30">
          <cell r="C30" t="str">
            <v/>
          </cell>
          <cell r="D30" t="str">
            <v>26342000002668710361</v>
          </cell>
          <cell r="O30" t="str">
            <v>正常</v>
          </cell>
          <cell r="T30">
            <v>46257.0</v>
          </cell>
          <cell r="U30" t="str">
            <v>中智优力</v>
          </cell>
          <cell r="V30" t="str">
            <v>进项</v>
          </cell>
          <cell r="W30" t="str">
            <v>芜湖聚木家居有限公司</v>
          </cell>
          <cell r="Y30" t="str">
            <v>报销票</v>
          </cell>
          <cell r="AA30" t="str">
            <v/>
          </cell>
          <cell r="AB30">
            <v>0</v>
          </cell>
          <cell r="AC30">
            <v>0</v>
          </cell>
          <cell r="AI30" t="str">
            <v/>
          </cell>
          <cell r="AJ30" t="str">
            <v>中智优力</v>
          </cell>
          <cell r="AK30">
            <v>54.05</v>
          </cell>
          <cell r="AL30">
            <v>47.83</v>
          </cell>
          <cell r="AM30">
            <v>6.22</v>
          </cell>
        </row>
        <row r="31">
          <cell r="C31" t="str">
            <v/>
          </cell>
          <cell r="D31" t="str">
            <v>26932000001410160246</v>
          </cell>
          <cell r="O31" t="str">
            <v>正常</v>
          </cell>
          <cell r="T31">
            <v>46256.0</v>
          </cell>
          <cell r="U31" t="str">
            <v>中智优力</v>
          </cell>
          <cell r="V31" t="str">
            <v>进项</v>
          </cell>
          <cell r="W31" t="str">
            <v>宁波高新区扬亿得阳餐饮店（个体工商户）</v>
          </cell>
          <cell r="Y31" t="str">
            <v>报销票</v>
          </cell>
          <cell r="AA31" t="str">
            <v/>
          </cell>
          <cell r="AB31">
            <v>0</v>
          </cell>
          <cell r="AC31">
            <v>0</v>
          </cell>
          <cell r="AI31" t="str">
            <v/>
          </cell>
          <cell r="AJ31" t="str">
            <v>中智优力</v>
          </cell>
          <cell r="AK31">
            <v>526</v>
          </cell>
          <cell r="AL31">
            <v>520.79</v>
          </cell>
          <cell r="AM31">
            <v>5.21</v>
          </cell>
        </row>
        <row r="32">
          <cell r="C32" t="str">
            <v/>
          </cell>
          <cell r="D32" t="str">
            <v>26532000001411642156</v>
          </cell>
          <cell r="O32" t="str">
            <v>正常</v>
          </cell>
          <cell r="T32">
            <v>46256.0</v>
          </cell>
          <cell r="U32" t="str">
            <v>中智优力</v>
          </cell>
          <cell r="V32" t="str">
            <v>进项</v>
          </cell>
          <cell r="W32" t="str">
            <v>昆明艾德商贸有限公司</v>
          </cell>
          <cell r="Y32" t="str">
            <v>报销票</v>
          </cell>
          <cell r="AA32" t="str">
            <v/>
          </cell>
          <cell r="AB32">
            <v>0</v>
          </cell>
          <cell r="AC32">
            <v>0</v>
          </cell>
          <cell r="AI32" t="str">
            <v/>
          </cell>
          <cell r="AJ32" t="str">
            <v>中智优力</v>
          </cell>
          <cell r="AK32">
            <v>29.8</v>
          </cell>
          <cell r="AL32">
            <v>29.8</v>
          </cell>
          <cell r="AM32">
            <v>0</v>
          </cell>
        </row>
        <row r="33">
          <cell r="C33" t="str">
            <v/>
          </cell>
          <cell r="D33" t="str">
            <v>26342000002662141096</v>
          </cell>
          <cell r="O33" t="str">
            <v>正常</v>
          </cell>
          <cell r="T33">
            <v>46256.0</v>
          </cell>
          <cell r="U33" t="str">
            <v>中智优力</v>
          </cell>
          <cell r="V33" t="str">
            <v>进项</v>
          </cell>
          <cell r="W33" t="str">
            <v>合肥市高新区诚延商贸经营部（个体工商户）</v>
          </cell>
          <cell r="Y33" t="str">
            <v>报销票</v>
          </cell>
          <cell r="AA33" t="str">
            <v/>
          </cell>
          <cell r="AB33">
            <v>0</v>
          </cell>
          <cell r="AC33">
            <v>0</v>
          </cell>
          <cell r="AI33" t="str">
            <v/>
          </cell>
          <cell r="AJ33" t="str">
            <v>中智优力</v>
          </cell>
          <cell r="AK33">
            <v>288</v>
          </cell>
          <cell r="AL33">
            <v>285.15</v>
          </cell>
          <cell r="AM33">
            <v>2.85</v>
          </cell>
        </row>
        <row r="34">
          <cell r="C34" t="str">
            <v/>
          </cell>
          <cell r="D34" t="str">
            <v>26934000000048429166</v>
          </cell>
          <cell r="O34" t="str">
            <v>正常</v>
          </cell>
          <cell r="T34">
            <v>46254.0</v>
          </cell>
          <cell r="U34" t="str">
            <v>中智优力</v>
          </cell>
          <cell r="V34" t="str">
            <v>进项</v>
          </cell>
          <cell r="W34" t="str">
            <v>宁波市鄞州五乡肖培餐饮店（个体工商户）</v>
          </cell>
          <cell r="Y34" t="str">
            <v>报销票</v>
          </cell>
          <cell r="AA34" t="str">
            <v/>
          </cell>
          <cell r="AB34">
            <v>0</v>
          </cell>
          <cell r="AC34">
            <v>0</v>
          </cell>
          <cell r="AI34" t="str">
            <v/>
          </cell>
          <cell r="AJ34" t="str">
            <v>中智优力</v>
          </cell>
          <cell r="AK34">
            <v>1043</v>
          </cell>
          <cell r="AL34">
            <v>1032.67</v>
          </cell>
          <cell r="AM34">
            <v>10.33</v>
          </cell>
        </row>
        <row r="35">
          <cell r="C35" t="str">
            <v/>
          </cell>
          <cell r="D35" t="str">
            <v>26937000000081083768</v>
          </cell>
          <cell r="O35" t="str">
            <v>正常</v>
          </cell>
          <cell r="T35">
            <v>46254.0</v>
          </cell>
          <cell r="U35" t="str">
            <v>中智优力</v>
          </cell>
          <cell r="V35" t="str">
            <v>进项</v>
          </cell>
          <cell r="W35" t="str">
            <v>中海油销售浙江有限公司</v>
          </cell>
          <cell r="Y35" t="str">
            <v>报销票</v>
          </cell>
          <cell r="AA35" t="str">
            <v/>
          </cell>
          <cell r="AB35">
            <v>0</v>
          </cell>
          <cell r="AC35">
            <v>0</v>
          </cell>
          <cell r="AI35" t="str">
            <v/>
          </cell>
          <cell r="AJ35" t="str">
            <v>中智优力</v>
          </cell>
          <cell r="AK35">
            <v>1099.46</v>
          </cell>
          <cell r="AL35">
            <v>972.97</v>
          </cell>
          <cell r="AM35">
            <v>126.49</v>
          </cell>
        </row>
        <row r="36">
          <cell r="C36" t="str">
            <v/>
          </cell>
          <cell r="D36" t="str">
            <v>26937000000081083767</v>
          </cell>
          <cell r="O36" t="str">
            <v>正常</v>
          </cell>
          <cell r="T36">
            <v>46254.0</v>
          </cell>
          <cell r="U36" t="str">
            <v>中智优力</v>
          </cell>
          <cell r="V36" t="str">
            <v>进项</v>
          </cell>
          <cell r="W36" t="str">
            <v>中海油销售浙江有限公司</v>
          </cell>
          <cell r="Y36" t="str">
            <v>报销票</v>
          </cell>
          <cell r="AA36" t="str">
            <v/>
          </cell>
          <cell r="AB36">
            <v>0</v>
          </cell>
          <cell r="AC36">
            <v>0</v>
          </cell>
          <cell r="AI36" t="str">
            <v/>
          </cell>
          <cell r="AJ36" t="str">
            <v>中智优力</v>
          </cell>
          <cell r="AK36">
            <v>81</v>
          </cell>
          <cell r="AL36">
            <v>71.68</v>
          </cell>
          <cell r="AM36">
            <v>9.32</v>
          </cell>
        </row>
        <row r="37">
          <cell r="C37" t="str">
            <v/>
          </cell>
          <cell r="D37" t="str">
            <v>26337000000746872489</v>
          </cell>
          <cell r="O37" t="str">
            <v>正常</v>
          </cell>
          <cell r="T37">
            <v>46254.0</v>
          </cell>
          <cell r="U37" t="str">
            <v>中智优力</v>
          </cell>
          <cell r="V37" t="str">
            <v>进项</v>
          </cell>
          <cell r="W37" t="str">
            <v>浙江高速石油发展有限公司</v>
          </cell>
          <cell r="Y37" t="str">
            <v>报销票</v>
          </cell>
          <cell r="AA37" t="str">
            <v/>
          </cell>
          <cell r="AB37">
            <v>0</v>
          </cell>
          <cell r="AC37">
            <v>0</v>
          </cell>
          <cell r="AI37" t="str">
            <v/>
          </cell>
          <cell r="AJ37" t="str">
            <v>中智优力</v>
          </cell>
          <cell r="AK37">
            <v>200</v>
          </cell>
          <cell r="AL37">
            <v>176.99</v>
          </cell>
          <cell r="AM37">
            <v>23.01</v>
          </cell>
        </row>
        <row r="38">
          <cell r="C38" t="str">
            <v/>
          </cell>
          <cell r="D38" t="str">
            <v>26337000000746996305</v>
          </cell>
          <cell r="O38" t="str">
            <v>正常</v>
          </cell>
          <cell r="T38">
            <v>46253.0</v>
          </cell>
          <cell r="U38" t="str">
            <v>中智优力</v>
          </cell>
          <cell r="V38" t="str">
            <v>进项</v>
          </cell>
          <cell r="W38" t="str">
            <v>杭州京东惠景贸易有限公司</v>
          </cell>
          <cell r="Y38" t="str">
            <v>报销票</v>
          </cell>
          <cell r="AA38" t="str">
            <v/>
          </cell>
          <cell r="AB38">
            <v>0</v>
          </cell>
          <cell r="AC38">
            <v>0</v>
          </cell>
          <cell r="AI38" t="str">
            <v/>
          </cell>
          <cell r="AJ38" t="str">
            <v>中智优力</v>
          </cell>
          <cell r="AK38">
            <v>859</v>
          </cell>
          <cell r="AL38">
            <v>760.18</v>
          </cell>
          <cell r="AM38">
            <v>98.82</v>
          </cell>
        </row>
        <row r="39">
          <cell r="C39" t="str">
            <v/>
          </cell>
          <cell r="D39" t="str">
            <v>26934000000048681526</v>
          </cell>
          <cell r="O39" t="str">
            <v>正常</v>
          </cell>
          <cell r="T39">
            <v>46253.0</v>
          </cell>
          <cell r="U39" t="str">
            <v>中智优力</v>
          </cell>
          <cell r="V39" t="str">
            <v>进项</v>
          </cell>
          <cell r="W39" t="str">
            <v>宁波市鄞州五乡唐羽饮品店（个体工商户）</v>
          </cell>
          <cell r="Y39" t="str">
            <v>报销票</v>
          </cell>
          <cell r="AA39" t="str">
            <v/>
          </cell>
          <cell r="AB39">
            <v>0</v>
          </cell>
          <cell r="AC39">
            <v>0</v>
          </cell>
          <cell r="AI39" t="str">
            <v/>
          </cell>
          <cell r="AJ39" t="str">
            <v>中智优力</v>
          </cell>
          <cell r="AK39">
            <v>42</v>
          </cell>
          <cell r="AL39">
            <v>41.58</v>
          </cell>
          <cell r="AM39">
            <v>0.42</v>
          </cell>
        </row>
        <row r="40">
          <cell r="C40" t="str">
            <v/>
          </cell>
          <cell r="D40" t="str">
            <v>26934000000048530476</v>
          </cell>
          <cell r="O40" t="str">
            <v>正常</v>
          </cell>
          <cell r="T40">
            <v>46253.0</v>
          </cell>
          <cell r="U40" t="str">
            <v>中智优力</v>
          </cell>
          <cell r="V40" t="str">
            <v>进项</v>
          </cell>
          <cell r="W40" t="str">
            <v>宁波市鄞州五乡玲冰餐饮店（个体工商户）</v>
          </cell>
          <cell r="Y40" t="str">
            <v>报销票</v>
          </cell>
          <cell r="AA40" t="str">
            <v/>
          </cell>
          <cell r="AB40">
            <v>0</v>
          </cell>
          <cell r="AC40">
            <v>0</v>
          </cell>
          <cell r="AI40" t="str">
            <v/>
          </cell>
          <cell r="AJ40" t="str">
            <v>中智优力</v>
          </cell>
          <cell r="AK40">
            <v>26.85</v>
          </cell>
          <cell r="AL40">
            <v>26.58</v>
          </cell>
          <cell r="AM40">
            <v>0.27</v>
          </cell>
        </row>
        <row r="41">
          <cell r="C41" t="str">
            <v/>
          </cell>
          <cell r="D41" t="str">
            <v>26932000001390446241</v>
          </cell>
          <cell r="O41" t="str">
            <v>正常</v>
          </cell>
          <cell r="T41">
            <v>46253.0</v>
          </cell>
          <cell r="U41" t="str">
            <v>中智优力</v>
          </cell>
          <cell r="V41" t="str">
            <v>进项</v>
          </cell>
          <cell r="W41" t="str">
            <v>宁波浥尘科技有限公司</v>
          </cell>
          <cell r="Y41" t="str">
            <v>报销票</v>
          </cell>
          <cell r="AA41" t="str">
            <v/>
          </cell>
          <cell r="AB41">
            <v>0</v>
          </cell>
          <cell r="AC41">
            <v>0</v>
          </cell>
          <cell r="AI41" t="str">
            <v/>
          </cell>
          <cell r="AJ41" t="str">
            <v>中智优力</v>
          </cell>
          <cell r="AK41">
            <v>165.39</v>
          </cell>
          <cell r="AL41">
            <v>146.36</v>
          </cell>
          <cell r="AM41">
            <v>19.03</v>
          </cell>
        </row>
        <row r="42">
          <cell r="C42" t="str">
            <v/>
          </cell>
          <cell r="D42" t="str">
            <v>26117000001254409869</v>
          </cell>
          <cell r="O42" t="str">
            <v>正常</v>
          </cell>
          <cell r="T42">
            <v>46253.0</v>
          </cell>
          <cell r="U42" t="str">
            <v>中智优力</v>
          </cell>
          <cell r="V42" t="str">
            <v>进项</v>
          </cell>
          <cell r="W42" t="str">
            <v>北京京东叁佰陆拾度电子商务有限公司</v>
          </cell>
          <cell r="Y42" t="str">
            <v>报销票</v>
          </cell>
          <cell r="AA42" t="str">
            <v/>
          </cell>
          <cell r="AB42">
            <v>0</v>
          </cell>
          <cell r="AC42">
            <v>0</v>
          </cell>
          <cell r="AI42" t="str">
            <v/>
          </cell>
          <cell r="AJ42" t="str">
            <v>中智优力</v>
          </cell>
          <cell r="AK42">
            <v>99</v>
          </cell>
          <cell r="AL42">
            <v>93.4</v>
          </cell>
          <cell r="AM42">
            <v>5.6</v>
          </cell>
        </row>
        <row r="43">
          <cell r="C43" t="str">
            <v/>
          </cell>
          <cell r="D43" t="str">
            <v>26352000001947013606</v>
          </cell>
          <cell r="O43" t="str">
            <v>正常</v>
          </cell>
          <cell r="T43">
            <v>46252.0</v>
          </cell>
          <cell r="U43" t="str">
            <v>中智优力</v>
          </cell>
          <cell r="V43" t="str">
            <v>进项</v>
          </cell>
          <cell r="W43" t="str">
            <v>福建喜粮晨食品有限公司</v>
          </cell>
          <cell r="Y43" t="str">
            <v>报销票</v>
          </cell>
          <cell r="AA43" t="str">
            <v/>
          </cell>
          <cell r="AB43">
            <v>0</v>
          </cell>
          <cell r="AC43">
            <v>0</v>
          </cell>
          <cell r="AI43" t="str">
            <v/>
          </cell>
          <cell r="AJ43" t="str">
            <v>中智优力</v>
          </cell>
          <cell r="AK43">
            <v>38.41</v>
          </cell>
          <cell r="AL43">
            <v>33.99</v>
          </cell>
          <cell r="AM43">
            <v>4.42</v>
          </cell>
        </row>
        <row r="44">
          <cell r="C44" t="str">
            <v/>
          </cell>
          <cell r="D44" t="str">
            <v>26317000002897929050</v>
          </cell>
          <cell r="O44" t="str">
            <v>正常</v>
          </cell>
          <cell r="T44">
            <v>46252.0</v>
          </cell>
          <cell r="U44" t="str">
            <v>中智优力</v>
          </cell>
          <cell r="V44" t="str">
            <v>进项</v>
          </cell>
          <cell r="W44" t="str">
            <v>上海三快智送科技有限公司</v>
          </cell>
          <cell r="Y44" t="str">
            <v>报销票</v>
          </cell>
          <cell r="AA44" t="str">
            <v/>
          </cell>
          <cell r="AB44">
            <v>0</v>
          </cell>
          <cell r="AC44">
            <v>0</v>
          </cell>
          <cell r="AI44" t="str">
            <v/>
          </cell>
          <cell r="AJ44" t="str">
            <v>中智优力</v>
          </cell>
          <cell r="AK44">
            <v>2.85</v>
          </cell>
          <cell r="AL44">
            <v>2.69</v>
          </cell>
          <cell r="AM44">
            <v>0.16</v>
          </cell>
        </row>
        <row r="45">
          <cell r="C45" t="str">
            <v/>
          </cell>
          <cell r="D45" t="str">
            <v>26317000002897929032</v>
          </cell>
          <cell r="O45" t="str">
            <v>正常</v>
          </cell>
          <cell r="T45">
            <v>46252.0</v>
          </cell>
          <cell r="U45" t="str">
            <v>中智优力</v>
          </cell>
          <cell r="V45" t="str">
            <v>进项</v>
          </cell>
          <cell r="W45" t="str">
            <v>上海三快智送科技有限公司</v>
          </cell>
          <cell r="Y45" t="str">
            <v>报销票</v>
          </cell>
          <cell r="AA45" t="str">
            <v/>
          </cell>
          <cell r="AB45">
            <v>0</v>
          </cell>
          <cell r="AC45">
            <v>0</v>
          </cell>
          <cell r="AI45" t="str">
            <v/>
          </cell>
          <cell r="AJ45" t="str">
            <v>中智优力</v>
          </cell>
          <cell r="AK45">
            <v>3.3</v>
          </cell>
          <cell r="AL45">
            <v>3.11</v>
          </cell>
          <cell r="AM45">
            <v>0.19</v>
          </cell>
        </row>
        <row r="46">
          <cell r="C46" t="str">
            <v/>
          </cell>
          <cell r="D46" t="str">
            <v>26317000002897929031</v>
          </cell>
          <cell r="O46" t="str">
            <v>正常</v>
          </cell>
          <cell r="T46">
            <v>46252.0</v>
          </cell>
          <cell r="U46" t="str">
            <v>中智优力</v>
          </cell>
          <cell r="V46" t="str">
            <v>进项</v>
          </cell>
          <cell r="W46" t="str">
            <v>上海三快智送科技有限公司</v>
          </cell>
          <cell r="Y46" t="str">
            <v>报销票</v>
          </cell>
          <cell r="AA46" t="str">
            <v/>
          </cell>
          <cell r="AB46">
            <v>0</v>
          </cell>
          <cell r="AC46">
            <v>0</v>
          </cell>
          <cell r="AI46" t="str">
            <v/>
          </cell>
          <cell r="AJ46" t="str">
            <v>中智优力</v>
          </cell>
          <cell r="AK46">
            <v>1.3</v>
          </cell>
          <cell r="AL46">
            <v>1.23</v>
          </cell>
          <cell r="AM46">
            <v>0.07</v>
          </cell>
        </row>
        <row r="47">
          <cell r="C47" t="str">
            <v/>
          </cell>
          <cell r="D47" t="str">
            <v>26317000002897929027</v>
          </cell>
          <cell r="O47" t="str">
            <v>正常</v>
          </cell>
          <cell r="T47">
            <v>46252.0</v>
          </cell>
          <cell r="U47" t="str">
            <v>中智优力</v>
          </cell>
          <cell r="V47" t="str">
            <v>进项</v>
          </cell>
          <cell r="W47" t="str">
            <v>上海三快智送科技有限公司</v>
          </cell>
          <cell r="Y47" t="str">
            <v>报销票</v>
          </cell>
          <cell r="AA47" t="str">
            <v/>
          </cell>
          <cell r="AB47">
            <v>0</v>
          </cell>
          <cell r="AC47">
            <v>0</v>
          </cell>
          <cell r="AI47" t="str">
            <v/>
          </cell>
          <cell r="AJ47" t="str">
            <v>中智优力</v>
          </cell>
          <cell r="AK47">
            <v>2.85</v>
          </cell>
          <cell r="AL47">
            <v>2.69</v>
          </cell>
          <cell r="AM47">
            <v>0.16</v>
          </cell>
        </row>
        <row r="48">
          <cell r="C48" t="str">
            <v/>
          </cell>
          <cell r="D48" t="str">
            <v>26932000001379443726</v>
          </cell>
          <cell r="O48" t="str">
            <v>正常</v>
          </cell>
          <cell r="T48">
            <v>46251.0</v>
          </cell>
          <cell r="U48" t="str">
            <v>中智优力</v>
          </cell>
          <cell r="V48" t="str">
            <v>进项</v>
          </cell>
          <cell r="W48" t="str">
            <v>宁波市鄞州五乡稻草人饭店</v>
          </cell>
          <cell r="Y48" t="str">
            <v>报销票</v>
          </cell>
          <cell r="AA48" t="str">
            <v/>
          </cell>
          <cell r="AB48">
            <v>0</v>
          </cell>
          <cell r="AC48">
            <v>0</v>
          </cell>
          <cell r="AI48" t="str">
            <v/>
          </cell>
          <cell r="AJ48" t="str">
            <v>中智优力</v>
          </cell>
          <cell r="AK48">
            <v>248</v>
          </cell>
          <cell r="AL48">
            <v>245.54</v>
          </cell>
          <cell r="AM48">
            <v>2.46</v>
          </cell>
        </row>
        <row r="49">
          <cell r="C49" t="str">
            <v/>
          </cell>
          <cell r="D49" t="str">
            <v>26932000001377330346</v>
          </cell>
          <cell r="O49" t="str">
            <v>正常</v>
          </cell>
          <cell r="T49">
            <v>46251.0</v>
          </cell>
          <cell r="U49" t="str">
            <v>中智优力</v>
          </cell>
          <cell r="V49" t="str">
            <v>进项</v>
          </cell>
          <cell r="W49" t="str">
            <v>宁波市鄞州五乡稻草人饭店</v>
          </cell>
          <cell r="Y49" t="str">
            <v>报销票</v>
          </cell>
          <cell r="AA49" t="str">
            <v/>
          </cell>
          <cell r="AB49">
            <v>0</v>
          </cell>
          <cell r="AC49">
            <v>0</v>
          </cell>
          <cell r="AI49" t="str">
            <v/>
          </cell>
          <cell r="AJ49" t="str">
            <v>中智优力</v>
          </cell>
          <cell r="AK49">
            <v>-255</v>
          </cell>
          <cell r="AL49">
            <v>-252.48</v>
          </cell>
          <cell r="AM49">
            <v>-2.52</v>
          </cell>
        </row>
        <row r="50">
          <cell r="C50" t="str">
            <v/>
          </cell>
          <cell r="D50" t="str">
            <v>26932000001379857201</v>
          </cell>
          <cell r="O50" t="str">
            <v>已红冲-全额</v>
          </cell>
          <cell r="T50">
            <v>46251.0</v>
          </cell>
          <cell r="U50" t="str">
            <v>中智优力</v>
          </cell>
          <cell r="V50" t="str">
            <v>进项</v>
          </cell>
          <cell r="W50" t="str">
            <v>宁波市鄞州五乡稻草人饭店</v>
          </cell>
          <cell r="Y50" t="str">
            <v>报销票</v>
          </cell>
          <cell r="AA50" t="str">
            <v/>
          </cell>
          <cell r="AB50">
            <v>0</v>
          </cell>
          <cell r="AC50">
            <v>0</v>
          </cell>
          <cell r="AI50" t="str">
            <v/>
          </cell>
          <cell r="AJ50" t="str">
            <v>中智优力</v>
          </cell>
          <cell r="AK50">
            <v>255</v>
          </cell>
          <cell r="AL50">
            <v>252.48</v>
          </cell>
          <cell r="AM50">
            <v>2.52</v>
          </cell>
        </row>
        <row r="51">
          <cell r="C51" t="str">
            <v/>
          </cell>
          <cell r="D51" t="str">
            <v>26112000003440883196</v>
          </cell>
          <cell r="O51" t="str">
            <v>正常</v>
          </cell>
          <cell r="T51">
            <v>46251.0</v>
          </cell>
          <cell r="U51" t="str">
            <v>中智优力</v>
          </cell>
          <cell r="V51" t="str">
            <v>进项</v>
          </cell>
          <cell r="W51" t="str">
            <v>北京泓奥箱包有限公司</v>
          </cell>
          <cell r="Y51" t="str">
            <v>报销票</v>
          </cell>
          <cell r="AA51" t="str">
            <v/>
          </cell>
          <cell r="AB51">
            <v>0</v>
          </cell>
          <cell r="AC51">
            <v>0</v>
          </cell>
          <cell r="AI51" t="str">
            <v/>
          </cell>
          <cell r="AJ51" t="str">
            <v>中智优力</v>
          </cell>
          <cell r="AK51">
            <v>1450</v>
          </cell>
          <cell r="AL51">
            <v>1435.64</v>
          </cell>
          <cell r="AM51">
            <v>14.36</v>
          </cell>
        </row>
        <row r="52">
          <cell r="C52" t="str">
            <v/>
          </cell>
          <cell r="D52" t="str">
            <v>26112000003440207131</v>
          </cell>
          <cell r="O52" t="str">
            <v>正常</v>
          </cell>
          <cell r="T52">
            <v>46251.0</v>
          </cell>
          <cell r="U52" t="str">
            <v>中智优力</v>
          </cell>
          <cell r="V52" t="str">
            <v>进项</v>
          </cell>
          <cell r="W52" t="str">
            <v>北京泓奥箱包有限公司</v>
          </cell>
          <cell r="Y52" t="str">
            <v>报销票</v>
          </cell>
          <cell r="AA52" t="str">
            <v/>
          </cell>
          <cell r="AB52">
            <v>0</v>
          </cell>
          <cell r="AC52">
            <v>0</v>
          </cell>
          <cell r="AI52" t="str">
            <v/>
          </cell>
          <cell r="AJ52" t="str">
            <v>中智优力</v>
          </cell>
          <cell r="AK52">
            <v>1450</v>
          </cell>
          <cell r="AL52">
            <v>1435.64</v>
          </cell>
          <cell r="AM52">
            <v>14.36</v>
          </cell>
        </row>
        <row r="53">
          <cell r="C53" t="str">
            <v/>
          </cell>
          <cell r="D53" t="str">
            <v>26442000009384506536</v>
          </cell>
          <cell r="O53" t="str">
            <v>正常</v>
          </cell>
          <cell r="T53">
            <v>46251.0</v>
          </cell>
          <cell r="U53" t="str">
            <v>中智优力</v>
          </cell>
          <cell r="V53" t="str">
            <v>进项</v>
          </cell>
          <cell r="W53" t="str">
            <v>广州麦和信息科技有限公司</v>
          </cell>
          <cell r="Y53" t="str">
            <v>报销票</v>
          </cell>
          <cell r="AA53" t="str">
            <v/>
          </cell>
          <cell r="AB53">
            <v>0</v>
          </cell>
          <cell r="AC53">
            <v>0</v>
          </cell>
          <cell r="AI53" t="str">
            <v/>
          </cell>
          <cell r="AJ53" t="str">
            <v>中智优力</v>
          </cell>
          <cell r="AK53">
            <v>39.9</v>
          </cell>
          <cell r="AL53">
            <v>36.61</v>
          </cell>
          <cell r="AM53">
            <v>3.29</v>
          </cell>
        </row>
        <row r="54">
          <cell r="C54" t="str">
            <v/>
          </cell>
          <cell r="D54" t="str">
            <v>26932000001371443656</v>
          </cell>
          <cell r="O54" t="str">
            <v>正常</v>
          </cell>
          <cell r="T54">
            <v>46250.0</v>
          </cell>
          <cell r="U54" t="str">
            <v>中智优力</v>
          </cell>
          <cell r="V54" t="str">
            <v>进项</v>
          </cell>
          <cell r="W54" t="str">
            <v>宁波市鄞州五乡稻草人饭店</v>
          </cell>
          <cell r="Y54" t="str">
            <v>报销票</v>
          </cell>
          <cell r="AA54" t="str">
            <v/>
          </cell>
          <cell r="AB54">
            <v>0</v>
          </cell>
          <cell r="AC54">
            <v>0</v>
          </cell>
          <cell r="AI54" t="str">
            <v/>
          </cell>
          <cell r="AJ54" t="str">
            <v>中智优力</v>
          </cell>
          <cell r="AK54">
            <v>400</v>
          </cell>
          <cell r="AL54">
            <v>396.04</v>
          </cell>
          <cell r="AM54">
            <v>3.96</v>
          </cell>
        </row>
        <row r="55">
          <cell r="C55" t="str">
            <v/>
          </cell>
          <cell r="D55" t="str">
            <v>26332000007022948236</v>
          </cell>
          <cell r="O55" t="str">
            <v>正常</v>
          </cell>
          <cell r="T55">
            <v>46249.0</v>
          </cell>
          <cell r="U55" t="str">
            <v>中智优力</v>
          </cell>
          <cell r="V55" t="str">
            <v>进项</v>
          </cell>
          <cell r="W55" t="str">
            <v>龙港市鑫锐制袋厂（个体工商户）</v>
          </cell>
          <cell r="Y55" t="str">
            <v>报销票</v>
          </cell>
          <cell r="AA55" t="str">
            <v/>
          </cell>
          <cell r="AB55">
            <v>0</v>
          </cell>
          <cell r="AC55">
            <v>0</v>
          </cell>
          <cell r="AI55" t="str">
            <v/>
          </cell>
          <cell r="AJ55" t="str">
            <v>中智优力</v>
          </cell>
          <cell r="AK55">
            <v>7.61</v>
          </cell>
          <cell r="AL55">
            <v>7.53</v>
          </cell>
          <cell r="AM55">
            <v>0.08</v>
          </cell>
        </row>
        <row r="56">
          <cell r="C56" t="str">
            <v/>
          </cell>
          <cell r="D56" t="str">
            <v>26937000000081993048</v>
          </cell>
          <cell r="O56" t="str">
            <v>正常</v>
          </cell>
          <cell r="T56">
            <v>46248.0</v>
          </cell>
          <cell r="U56" t="str">
            <v>中智优力</v>
          </cell>
          <cell r="V56" t="str">
            <v>进项</v>
          </cell>
          <cell r="W56" t="str">
            <v>浙江壳牌燃油有限公司宁波分公司</v>
          </cell>
          <cell r="Y56" t="str">
            <v>报销票</v>
          </cell>
          <cell r="AA56" t="str">
            <v/>
          </cell>
          <cell r="AB56">
            <v>0</v>
          </cell>
          <cell r="AC56">
            <v>0</v>
          </cell>
          <cell r="AI56" t="str">
            <v/>
          </cell>
          <cell r="AJ56" t="str">
            <v>中智优力</v>
          </cell>
          <cell r="AK56">
            <v>181.6</v>
          </cell>
          <cell r="AL56">
            <v>160.71</v>
          </cell>
          <cell r="AM56">
            <v>20.89</v>
          </cell>
        </row>
        <row r="57">
          <cell r="C57" t="str">
            <v/>
          </cell>
          <cell r="D57" t="str">
            <v>26932000001360509676</v>
          </cell>
          <cell r="O57" t="str">
            <v>正常</v>
          </cell>
          <cell r="T57">
            <v>46247.0</v>
          </cell>
          <cell r="U57" t="str">
            <v>中智优力</v>
          </cell>
          <cell r="V57" t="str">
            <v>进项</v>
          </cell>
          <cell r="W57" t="str">
            <v>宁波市鄞州五乡微果食品店</v>
          </cell>
          <cell r="Y57" t="str">
            <v>报销票</v>
          </cell>
          <cell r="AA57" t="str">
            <v/>
          </cell>
          <cell r="AB57">
            <v>0</v>
          </cell>
          <cell r="AC57">
            <v>0</v>
          </cell>
          <cell r="AI57" t="str">
            <v/>
          </cell>
          <cell r="AJ57" t="str">
            <v>中智优力</v>
          </cell>
          <cell r="AK57">
            <v>500</v>
          </cell>
          <cell r="AL57">
            <v>495.05</v>
          </cell>
          <cell r="AM57">
            <v>4.95</v>
          </cell>
        </row>
        <row r="58">
          <cell r="C58" t="str">
            <v/>
          </cell>
          <cell r="D58" t="str">
            <v>26932000001356992056</v>
          </cell>
          <cell r="O58" t="str">
            <v>正常</v>
          </cell>
          <cell r="T58">
            <v>46247.0</v>
          </cell>
          <cell r="U58" t="str">
            <v>中智优力</v>
          </cell>
          <cell r="V58" t="str">
            <v>进项</v>
          </cell>
          <cell r="W58" t="str">
            <v>宁波市鄞州五乡微果食品店</v>
          </cell>
          <cell r="Y58" t="str">
            <v>报销票</v>
          </cell>
          <cell r="AA58" t="str">
            <v/>
          </cell>
          <cell r="AB58">
            <v>0</v>
          </cell>
          <cell r="AC58">
            <v>0</v>
          </cell>
          <cell r="AI58" t="str">
            <v/>
          </cell>
          <cell r="AJ58" t="str">
            <v>中智优力</v>
          </cell>
          <cell r="AK58">
            <v>-500</v>
          </cell>
          <cell r="AL58">
            <v>-495.05</v>
          </cell>
          <cell r="AM58">
            <v>-4.95</v>
          </cell>
        </row>
        <row r="59">
          <cell r="C59" t="str">
            <v/>
          </cell>
          <cell r="D59" t="str">
            <v>26932000001360226536</v>
          </cell>
          <cell r="O59" t="str">
            <v>已红冲-全额</v>
          </cell>
          <cell r="T59">
            <v>46247.0</v>
          </cell>
          <cell r="U59" t="str">
            <v>中智优力</v>
          </cell>
          <cell r="V59" t="str">
            <v>进项</v>
          </cell>
          <cell r="W59" t="str">
            <v>宁波市鄞州五乡微果食品店</v>
          </cell>
          <cell r="Y59" t="str">
            <v>报销票</v>
          </cell>
          <cell r="AA59" t="str">
            <v/>
          </cell>
          <cell r="AB59">
            <v>0</v>
          </cell>
          <cell r="AC59">
            <v>0</v>
          </cell>
          <cell r="AI59" t="str">
            <v/>
          </cell>
          <cell r="AJ59" t="str">
            <v>中智优力</v>
          </cell>
          <cell r="AK59">
            <v>500</v>
          </cell>
          <cell r="AL59">
            <v>495.05</v>
          </cell>
          <cell r="AM59">
            <v>4.95</v>
          </cell>
        </row>
        <row r="60">
          <cell r="C60" t="str">
            <v/>
          </cell>
          <cell r="D60" t="str">
            <v>26932000001357551736</v>
          </cell>
          <cell r="O60" t="str">
            <v>正常</v>
          </cell>
          <cell r="T60">
            <v>46247.0</v>
          </cell>
          <cell r="U60" t="str">
            <v>中智优力</v>
          </cell>
          <cell r="V60" t="str">
            <v>进项</v>
          </cell>
          <cell r="W60" t="str">
            <v>宁波工程学院</v>
          </cell>
          <cell r="Y60" t="str">
            <v>报销票</v>
          </cell>
          <cell r="AA60" t="str">
            <v/>
          </cell>
          <cell r="AB60">
            <v>0</v>
          </cell>
          <cell r="AC60">
            <v>0</v>
          </cell>
          <cell r="AI60" t="str">
            <v/>
          </cell>
          <cell r="AJ60" t="str">
            <v>中智优力</v>
          </cell>
          <cell r="AK60">
            <v>1200</v>
          </cell>
          <cell r="AL60">
            <v>1165.05</v>
          </cell>
          <cell r="AM60">
            <v>34.95</v>
          </cell>
        </row>
        <row r="61">
          <cell r="C61" t="str">
            <v/>
          </cell>
          <cell r="D61" t="str">
            <v>26332000006943506781</v>
          </cell>
          <cell r="O61" t="str">
            <v>正常</v>
          </cell>
          <cell r="T61">
            <v>46246.0</v>
          </cell>
          <cell r="U61" t="str">
            <v>中智优力</v>
          </cell>
          <cell r="V61" t="str">
            <v>进项</v>
          </cell>
          <cell r="W61" t="str">
            <v>浙江高速公路智能收费运营服务有限公司</v>
          </cell>
          <cell r="Y61" t="str">
            <v>报销票</v>
          </cell>
          <cell r="AA61" t="str">
            <v/>
          </cell>
          <cell r="AB61">
            <v>0</v>
          </cell>
          <cell r="AC61">
            <v>0</v>
          </cell>
          <cell r="AI61" t="str">
            <v/>
          </cell>
          <cell r="AJ61" t="str">
            <v>中智优力</v>
          </cell>
          <cell r="AK61">
            <v>130</v>
          </cell>
          <cell r="AL61">
            <v>122.64</v>
          </cell>
          <cell r="AM61">
            <v>7.36</v>
          </cell>
        </row>
        <row r="62">
          <cell r="C62" t="str">
            <v/>
          </cell>
          <cell r="D62" t="str">
            <v>26932000001352737306</v>
          </cell>
          <cell r="O62" t="str">
            <v>正常</v>
          </cell>
          <cell r="T62">
            <v>46246.0</v>
          </cell>
          <cell r="U62" t="str">
            <v>中智优力</v>
          </cell>
          <cell r="V62" t="str">
            <v>进项</v>
          </cell>
          <cell r="W62" t="str">
            <v>戚夏瑜</v>
          </cell>
          <cell r="Y62" t="str">
            <v>报销票</v>
          </cell>
          <cell r="AA62" t="str">
            <v/>
          </cell>
          <cell r="AB62">
            <v>0</v>
          </cell>
          <cell r="AC62">
            <v>0</v>
          </cell>
          <cell r="AI62" t="str">
            <v/>
          </cell>
          <cell r="AJ62" t="str">
            <v>中智优力</v>
          </cell>
          <cell r="AK62">
            <v>1560</v>
          </cell>
          <cell r="AL62">
            <v>1560</v>
          </cell>
          <cell r="AM62">
            <v>0</v>
          </cell>
        </row>
        <row r="63">
          <cell r="C63" t="str">
            <v/>
          </cell>
          <cell r="D63" t="str">
            <v>26322000006615866881</v>
          </cell>
          <cell r="O63" t="str">
            <v>正常</v>
          </cell>
          <cell r="T63">
            <v>46246.0</v>
          </cell>
          <cell r="U63" t="str">
            <v>中智优力</v>
          </cell>
          <cell r="V63" t="str">
            <v>进项</v>
          </cell>
          <cell r="W63" t="str">
            <v>江苏恒盛物流有限公司</v>
          </cell>
          <cell r="Y63" t="str">
            <v>报销票</v>
          </cell>
          <cell r="AA63" t="str">
            <v/>
          </cell>
          <cell r="AB63">
            <v>0</v>
          </cell>
          <cell r="AC63">
            <v>0</v>
          </cell>
          <cell r="AI63" t="str">
            <v/>
          </cell>
          <cell r="AJ63" t="str">
            <v>中智优力</v>
          </cell>
          <cell r="AK63">
            <v>37.3</v>
          </cell>
          <cell r="AL63">
            <v>33.01</v>
          </cell>
          <cell r="AM63">
            <v>4.29</v>
          </cell>
        </row>
        <row r="64">
          <cell r="C64" t="str">
            <v/>
          </cell>
          <cell r="D64" t="str">
            <v>26942000000930555556</v>
          </cell>
          <cell r="O64" t="str">
            <v>正常</v>
          </cell>
          <cell r="T64">
            <v>46245.0</v>
          </cell>
          <cell r="U64" t="str">
            <v>中智优力</v>
          </cell>
          <cell r="V64" t="str">
            <v>进项</v>
          </cell>
          <cell r="W64" t="str">
            <v>厦门浔岚百货有限公司</v>
          </cell>
          <cell r="Y64" t="str">
            <v>报销票</v>
          </cell>
          <cell r="AA64" t="str">
            <v/>
          </cell>
          <cell r="AB64">
            <v>0</v>
          </cell>
          <cell r="AC64">
            <v>0</v>
          </cell>
          <cell r="AI64" t="str">
            <v/>
          </cell>
          <cell r="AJ64" t="str">
            <v>中智优力</v>
          </cell>
          <cell r="AK64">
            <v>15.8</v>
          </cell>
          <cell r="AL64">
            <v>15.64</v>
          </cell>
          <cell r="AM64">
            <v>0.16</v>
          </cell>
        </row>
        <row r="65">
          <cell r="C65" t="str">
            <v/>
          </cell>
          <cell r="D65" t="str">
            <v>26332000006904954426</v>
          </cell>
          <cell r="O65" t="str">
            <v>正常</v>
          </cell>
          <cell r="T65">
            <v>46245.0</v>
          </cell>
          <cell r="U65" t="str">
            <v>中智优力</v>
          </cell>
          <cell r="V65" t="str">
            <v>进项</v>
          </cell>
          <cell r="W65" t="str">
            <v>杭州每果时光食品有限公司</v>
          </cell>
          <cell r="Y65" t="str">
            <v>报销票</v>
          </cell>
          <cell r="AA65" t="str">
            <v/>
          </cell>
          <cell r="AB65">
            <v>0</v>
          </cell>
          <cell r="AC65">
            <v>0</v>
          </cell>
          <cell r="AI65" t="str">
            <v/>
          </cell>
          <cell r="AJ65" t="str">
            <v>中智优力</v>
          </cell>
          <cell r="AK65">
            <v>33.8</v>
          </cell>
          <cell r="AL65">
            <v>29.91</v>
          </cell>
          <cell r="AM65">
            <v>3.89</v>
          </cell>
        </row>
        <row r="66">
          <cell r="C66" t="str">
            <v/>
          </cell>
          <cell r="D66" t="str">
            <v>26932000001340516836</v>
          </cell>
          <cell r="O66" t="str">
            <v>正常</v>
          </cell>
          <cell r="T66">
            <v>46244.0</v>
          </cell>
          <cell r="U66" t="str">
            <v>中智优力</v>
          </cell>
          <cell r="V66" t="str">
            <v>进项</v>
          </cell>
          <cell r="W66" t="str">
            <v>宁波市鄞州五乡佳减乘除食品店（个体工商户）</v>
          </cell>
          <cell r="Y66" t="str">
            <v>报销票</v>
          </cell>
          <cell r="AA66" t="str">
            <v/>
          </cell>
          <cell r="AB66">
            <v>0</v>
          </cell>
          <cell r="AC66">
            <v>0</v>
          </cell>
          <cell r="AI66" t="str">
            <v/>
          </cell>
          <cell r="AJ66" t="str">
            <v>中智优力</v>
          </cell>
          <cell r="AK66">
            <v>228.9</v>
          </cell>
          <cell r="AL66">
            <v>226.62</v>
          </cell>
          <cell r="AM66">
            <v>2.28</v>
          </cell>
        </row>
        <row r="67">
          <cell r="C67" t="str">
            <v/>
          </cell>
          <cell r="D67" t="str">
            <v>26342000002535384016</v>
          </cell>
          <cell r="O67" t="str">
            <v>正常</v>
          </cell>
          <cell r="T67">
            <v>46244.0</v>
          </cell>
          <cell r="U67" t="str">
            <v>中智优力</v>
          </cell>
          <cell r="V67" t="str">
            <v>进项</v>
          </cell>
          <cell r="W67" t="str">
            <v>旌德旌诚商贸有限公司</v>
          </cell>
          <cell r="Y67" t="str">
            <v>报销票</v>
          </cell>
          <cell r="AA67" t="str">
            <v/>
          </cell>
          <cell r="AB67">
            <v>0</v>
          </cell>
          <cell r="AC67">
            <v>0</v>
          </cell>
          <cell r="AI67" t="str">
            <v/>
          </cell>
          <cell r="AJ67" t="str">
            <v>中智优力</v>
          </cell>
          <cell r="AK67">
            <v>98.9</v>
          </cell>
          <cell r="AL67">
            <v>96.02</v>
          </cell>
          <cell r="AM67">
            <v>2.88</v>
          </cell>
        </row>
        <row r="68">
          <cell r="C68" t="str">
            <v/>
          </cell>
          <cell r="D68" t="str">
            <v>26332000006850547131</v>
          </cell>
          <cell r="O68" t="str">
            <v>正常</v>
          </cell>
          <cell r="T68">
            <v>46243.0</v>
          </cell>
          <cell r="U68" t="str">
            <v>中智优力</v>
          </cell>
          <cell r="V68" t="str">
            <v>进项</v>
          </cell>
          <cell r="W68" t="str">
            <v>东阳市沐之日用品有限公司</v>
          </cell>
          <cell r="Y68" t="str">
            <v>报销票</v>
          </cell>
          <cell r="AA68" t="str">
            <v/>
          </cell>
          <cell r="AB68">
            <v>0</v>
          </cell>
          <cell r="AC68">
            <v>0</v>
          </cell>
          <cell r="AI68" t="str">
            <v/>
          </cell>
          <cell r="AJ68" t="str">
            <v>中智优力</v>
          </cell>
          <cell r="AK68">
            <v>22.9</v>
          </cell>
          <cell r="AL68">
            <v>20.27</v>
          </cell>
          <cell r="AM68">
            <v>2.63</v>
          </cell>
        </row>
        <row r="69">
          <cell r="C69" t="str">
            <v/>
          </cell>
          <cell r="D69" t="str">
            <v>26532000001331642821</v>
          </cell>
          <cell r="O69" t="str">
            <v>正常</v>
          </cell>
          <cell r="T69">
            <v>46242.0</v>
          </cell>
          <cell r="U69" t="str">
            <v>中智优力</v>
          </cell>
          <cell r="V69" t="str">
            <v>进项</v>
          </cell>
          <cell r="W69" t="str">
            <v>昆明艾德商贸有限公司</v>
          </cell>
          <cell r="Y69" t="str">
            <v>报销票</v>
          </cell>
          <cell r="AA69" t="str">
            <v/>
          </cell>
          <cell r="AB69">
            <v>0</v>
          </cell>
          <cell r="AC69">
            <v>0</v>
          </cell>
          <cell r="AI69" t="str">
            <v/>
          </cell>
          <cell r="AJ69" t="str">
            <v>中智优力</v>
          </cell>
          <cell r="AK69">
            <v>24.8</v>
          </cell>
          <cell r="AL69">
            <v>24.8</v>
          </cell>
          <cell r="AM69">
            <v>0</v>
          </cell>
        </row>
        <row r="70">
          <cell r="C70" t="str">
            <v/>
          </cell>
          <cell r="D70" t="str">
            <v>26932000001329329176</v>
          </cell>
          <cell r="O70" t="str">
            <v>正常</v>
          </cell>
          <cell r="T70">
            <v>46241.0</v>
          </cell>
          <cell r="U70" t="str">
            <v>中智优力</v>
          </cell>
          <cell r="V70" t="str">
            <v>进项</v>
          </cell>
          <cell r="W70" t="str">
            <v>宁波鄞州承燃餐饮有限公司</v>
          </cell>
          <cell r="Y70" t="str">
            <v>报销票</v>
          </cell>
          <cell r="AA70" t="str">
            <v/>
          </cell>
          <cell r="AB70">
            <v>0</v>
          </cell>
          <cell r="AC70">
            <v>0</v>
          </cell>
          <cell r="AI70" t="str">
            <v/>
          </cell>
          <cell r="AJ70" t="str">
            <v>中智优力</v>
          </cell>
          <cell r="AK70">
            <v>466.7</v>
          </cell>
          <cell r="AL70">
            <v>462.08</v>
          </cell>
          <cell r="AM70">
            <v>4.62</v>
          </cell>
        </row>
        <row r="71">
          <cell r="C71" t="str">
            <v/>
          </cell>
          <cell r="D71" t="str">
            <v>26932000001328865211</v>
          </cell>
          <cell r="O71" t="str">
            <v>正常</v>
          </cell>
          <cell r="T71">
            <v>46241.0</v>
          </cell>
          <cell r="U71" t="str">
            <v>中智优力</v>
          </cell>
          <cell r="V71" t="str">
            <v>进项</v>
          </cell>
          <cell r="W71" t="str">
            <v>宁波鄞泰健康管理有限公司</v>
          </cell>
          <cell r="Y71" t="str">
            <v>报销票</v>
          </cell>
          <cell r="AA71" t="str">
            <v/>
          </cell>
          <cell r="AB71">
            <v>0</v>
          </cell>
          <cell r="AC71">
            <v>0</v>
          </cell>
          <cell r="AI71" t="str">
            <v/>
          </cell>
          <cell r="AJ71" t="str">
            <v>中智优力</v>
          </cell>
          <cell r="AK71">
            <v>172</v>
          </cell>
          <cell r="AL71">
            <v>170.3</v>
          </cell>
          <cell r="AM71">
            <v>1.7</v>
          </cell>
        </row>
        <row r="72">
          <cell r="C72" t="str">
            <v/>
          </cell>
          <cell r="D72" t="str">
            <v>26932000001328656681</v>
          </cell>
          <cell r="O72" t="str">
            <v>正常</v>
          </cell>
          <cell r="T72">
            <v>46241.0</v>
          </cell>
          <cell r="U72" t="str">
            <v>中智优力</v>
          </cell>
          <cell r="V72" t="str">
            <v>进项</v>
          </cell>
          <cell r="W72" t="str">
            <v>宁波鄞泰健康管理有限公司</v>
          </cell>
          <cell r="Y72" t="str">
            <v>报销票</v>
          </cell>
          <cell r="AA72" t="str">
            <v/>
          </cell>
          <cell r="AB72">
            <v>0</v>
          </cell>
          <cell r="AC72">
            <v>0</v>
          </cell>
          <cell r="AI72" t="str">
            <v/>
          </cell>
          <cell r="AJ72" t="str">
            <v>中智优力</v>
          </cell>
          <cell r="AK72">
            <v>161</v>
          </cell>
          <cell r="AL72">
            <v>159.41</v>
          </cell>
          <cell r="AM72">
            <v>1.59</v>
          </cell>
        </row>
        <row r="73">
          <cell r="C73" t="str">
            <v/>
          </cell>
          <cell r="D73" t="str">
            <v>26932000001328652991</v>
          </cell>
          <cell r="O73" t="str">
            <v>正常</v>
          </cell>
          <cell r="T73">
            <v>46241.0</v>
          </cell>
          <cell r="U73" t="str">
            <v>中智优力</v>
          </cell>
          <cell r="V73" t="str">
            <v>进项</v>
          </cell>
          <cell r="W73" t="str">
            <v>宁波鄞泰健康管理有限公司</v>
          </cell>
          <cell r="Y73" t="str">
            <v>报销票</v>
          </cell>
          <cell r="AA73" t="str">
            <v/>
          </cell>
          <cell r="AB73">
            <v>0</v>
          </cell>
          <cell r="AC73">
            <v>0</v>
          </cell>
          <cell r="AI73" t="str">
            <v/>
          </cell>
          <cell r="AJ73" t="str">
            <v>中智优力</v>
          </cell>
          <cell r="AK73">
            <v>162</v>
          </cell>
          <cell r="AL73">
            <v>160.4</v>
          </cell>
          <cell r="AM73">
            <v>1.6</v>
          </cell>
        </row>
        <row r="74">
          <cell r="C74" t="str">
            <v/>
          </cell>
          <cell r="D74" t="str">
            <v>26932000001328652016</v>
          </cell>
          <cell r="O74" t="str">
            <v>正常</v>
          </cell>
          <cell r="T74">
            <v>46241.0</v>
          </cell>
          <cell r="U74" t="str">
            <v>中智优力</v>
          </cell>
          <cell r="V74" t="str">
            <v>进项</v>
          </cell>
          <cell r="W74" t="str">
            <v>宁波鄞泰健康管理有限公司</v>
          </cell>
          <cell r="Y74" t="str">
            <v>报销票</v>
          </cell>
          <cell r="AA74" t="str">
            <v/>
          </cell>
          <cell r="AB74">
            <v>0</v>
          </cell>
          <cell r="AC74">
            <v>0</v>
          </cell>
          <cell r="AI74" t="str">
            <v/>
          </cell>
          <cell r="AJ74" t="str">
            <v>中智优力</v>
          </cell>
          <cell r="AK74">
            <v>212</v>
          </cell>
          <cell r="AL74">
            <v>209.9</v>
          </cell>
          <cell r="AM74">
            <v>2.1</v>
          </cell>
        </row>
        <row r="75">
          <cell r="C75" t="str">
            <v/>
          </cell>
          <cell r="D75" t="str">
            <v>26934000000046880281</v>
          </cell>
          <cell r="O75" t="str">
            <v>正常</v>
          </cell>
          <cell r="T75">
            <v>46241.0</v>
          </cell>
          <cell r="U75" t="str">
            <v>中智优力</v>
          </cell>
          <cell r="V75" t="str">
            <v>进项</v>
          </cell>
          <cell r="W75" t="str">
            <v>宁波市鄞州邱隘浪浪柳餐饮店（个体工商户）</v>
          </cell>
          <cell r="Y75" t="str">
            <v>报销票</v>
          </cell>
          <cell r="AA75" t="str">
            <v/>
          </cell>
          <cell r="AB75">
            <v>0</v>
          </cell>
          <cell r="AC75">
            <v>0</v>
          </cell>
          <cell r="AI75" t="str">
            <v/>
          </cell>
          <cell r="AJ75" t="str">
            <v>中智优力</v>
          </cell>
          <cell r="AK75">
            <v>282.07</v>
          </cell>
          <cell r="AL75">
            <v>279.28</v>
          </cell>
          <cell r="AM75">
            <v>2.79</v>
          </cell>
        </row>
        <row r="76">
          <cell r="C76" t="str">
            <v/>
          </cell>
          <cell r="D76" t="str">
            <v>26932000001328189506</v>
          </cell>
          <cell r="O76" t="str">
            <v>正常</v>
          </cell>
          <cell r="T76">
            <v>46241.0</v>
          </cell>
          <cell r="U76" t="str">
            <v>中智优力</v>
          </cell>
          <cell r="V76" t="str">
            <v>进项</v>
          </cell>
          <cell r="W76" t="str">
            <v>宁波市鄞州五乡集金电子商行</v>
          </cell>
          <cell r="Y76" t="str">
            <v>报销票</v>
          </cell>
          <cell r="AA76" t="str">
            <v/>
          </cell>
          <cell r="AB76">
            <v>0</v>
          </cell>
          <cell r="AC76">
            <v>0</v>
          </cell>
          <cell r="AI76" t="str">
            <v/>
          </cell>
          <cell r="AJ76" t="str">
            <v>中智优力</v>
          </cell>
          <cell r="AK76">
            <v>2680</v>
          </cell>
          <cell r="AL76">
            <v>2653.46</v>
          </cell>
          <cell r="AM76">
            <v>26.54</v>
          </cell>
        </row>
        <row r="77">
          <cell r="C77" t="str">
            <v/>
          </cell>
          <cell r="D77" t="str">
            <v>26932000001327170451</v>
          </cell>
          <cell r="O77" t="str">
            <v>正常</v>
          </cell>
          <cell r="T77">
            <v>46241.0</v>
          </cell>
          <cell r="U77" t="str">
            <v>中智优力</v>
          </cell>
          <cell r="V77" t="str">
            <v>进项</v>
          </cell>
          <cell r="W77" t="str">
            <v>宁波市鄞州区伟仔餐饮店（个体工商户）</v>
          </cell>
          <cell r="Y77" t="str">
            <v>报销票</v>
          </cell>
          <cell r="AA77" t="str">
            <v/>
          </cell>
          <cell r="AB77">
            <v>0</v>
          </cell>
          <cell r="AC77">
            <v>0</v>
          </cell>
          <cell r="AI77" t="str">
            <v/>
          </cell>
          <cell r="AJ77" t="str">
            <v>中智优力</v>
          </cell>
          <cell r="AK77">
            <v>132.9</v>
          </cell>
          <cell r="AL77">
            <v>131.58</v>
          </cell>
          <cell r="AM77">
            <v>1.32</v>
          </cell>
        </row>
        <row r="78">
          <cell r="C78" t="str">
            <v/>
          </cell>
          <cell r="D78" t="str">
            <v>26937000000083340783</v>
          </cell>
          <cell r="O78" t="str">
            <v>正常</v>
          </cell>
          <cell r="T78">
            <v>46241.0</v>
          </cell>
          <cell r="U78" t="str">
            <v>中智优力</v>
          </cell>
          <cell r="V78" t="str">
            <v>进项</v>
          </cell>
          <cell r="W78" t="str">
            <v>沃尔玛（浙江）百货有限公司宁波清河路山姆会员商店</v>
          </cell>
          <cell r="Y78" t="str">
            <v>报销票</v>
          </cell>
          <cell r="AA78" t="str">
            <v/>
          </cell>
          <cell r="AB78">
            <v>0</v>
          </cell>
          <cell r="AC78">
            <v>0</v>
          </cell>
          <cell r="AI78" t="str">
            <v/>
          </cell>
          <cell r="AJ78" t="str">
            <v>中智优力</v>
          </cell>
          <cell r="AK78">
            <v>376.3</v>
          </cell>
          <cell r="AL78">
            <v>333</v>
          </cell>
          <cell r="AM78">
            <v>43.3</v>
          </cell>
        </row>
        <row r="79">
          <cell r="C79" t="str">
            <v/>
          </cell>
          <cell r="D79" t="str">
            <v>26322000006493788061</v>
          </cell>
          <cell r="O79" t="str">
            <v>正常</v>
          </cell>
          <cell r="T79">
            <v>46241.0</v>
          </cell>
          <cell r="U79" t="str">
            <v>中智优力</v>
          </cell>
          <cell r="V79" t="str">
            <v>进项</v>
          </cell>
          <cell r="W79" t="str">
            <v>张家港昂菲特贸易有限公司</v>
          </cell>
          <cell r="Y79" t="str">
            <v>报销票</v>
          </cell>
          <cell r="AA79" t="str">
            <v/>
          </cell>
          <cell r="AB79">
            <v>0</v>
          </cell>
          <cell r="AC79">
            <v>0</v>
          </cell>
          <cell r="AI79" t="str">
            <v/>
          </cell>
          <cell r="AJ79" t="str">
            <v>中智优力</v>
          </cell>
          <cell r="AK79">
            <v>29.9</v>
          </cell>
          <cell r="AL79">
            <v>26.46</v>
          </cell>
          <cell r="AM79">
            <v>3.44</v>
          </cell>
        </row>
        <row r="80">
          <cell r="C80" t="str">
            <v/>
          </cell>
          <cell r="D80" t="str">
            <v>26317000002892587097</v>
          </cell>
          <cell r="O80" t="str">
            <v>正常</v>
          </cell>
          <cell r="T80">
            <v>46240.0</v>
          </cell>
          <cell r="U80" t="str">
            <v>中智优力</v>
          </cell>
          <cell r="V80" t="str">
            <v>进项</v>
          </cell>
          <cell r="W80" t="str">
            <v>上海泓弈信息科技有限公司</v>
          </cell>
          <cell r="Y80" t="str">
            <v>报销票</v>
          </cell>
          <cell r="AA80" t="str">
            <v/>
          </cell>
          <cell r="AB80">
            <v>0</v>
          </cell>
          <cell r="AC80">
            <v>0</v>
          </cell>
          <cell r="AI80" t="str">
            <v/>
          </cell>
          <cell r="AJ80" t="str">
            <v>中智优力</v>
          </cell>
          <cell r="AK80">
            <v>5</v>
          </cell>
          <cell r="AL80">
            <v>4.72</v>
          </cell>
          <cell r="AM80">
            <v>0.28</v>
          </cell>
        </row>
        <row r="81">
          <cell r="C81" t="str">
            <v/>
          </cell>
          <cell r="D81" t="str">
            <v>26932000001321228486</v>
          </cell>
          <cell r="O81" t="str">
            <v>正常</v>
          </cell>
          <cell r="T81">
            <v>46240.0</v>
          </cell>
          <cell r="U81" t="str">
            <v>中智优力</v>
          </cell>
          <cell r="V81" t="str">
            <v>进项</v>
          </cell>
          <cell r="W81" t="str">
            <v>宁波市海曙区湘周餐饮店（个体工商户）</v>
          </cell>
          <cell r="Y81" t="str">
            <v>报销票</v>
          </cell>
          <cell r="AA81" t="str">
            <v/>
          </cell>
          <cell r="AB81">
            <v>0</v>
          </cell>
          <cell r="AC81">
            <v>0</v>
          </cell>
          <cell r="AI81" t="str">
            <v/>
          </cell>
          <cell r="AJ81" t="str">
            <v>中智优力</v>
          </cell>
          <cell r="AK81">
            <v>235.45</v>
          </cell>
          <cell r="AL81">
            <v>222.12</v>
          </cell>
          <cell r="AM81">
            <v>13.33</v>
          </cell>
        </row>
        <row r="82">
          <cell r="C82" t="str">
            <v/>
          </cell>
          <cell r="D82" t="str">
            <v>26322000006471354016</v>
          </cell>
          <cell r="O82" t="str">
            <v>正常</v>
          </cell>
          <cell r="T82">
            <v>46240.0</v>
          </cell>
          <cell r="U82" t="str">
            <v>中智优力</v>
          </cell>
          <cell r="V82" t="str">
            <v>进项</v>
          </cell>
          <cell r="W82" t="str">
            <v>常州嘉亿德力文具有限公司</v>
          </cell>
          <cell r="Y82" t="str">
            <v>报销票</v>
          </cell>
          <cell r="AA82" t="str">
            <v/>
          </cell>
          <cell r="AB82">
            <v>0</v>
          </cell>
          <cell r="AC82">
            <v>0</v>
          </cell>
          <cell r="AI82" t="str">
            <v/>
          </cell>
          <cell r="AJ82" t="str">
            <v>中智优力</v>
          </cell>
          <cell r="AK82">
            <v>7.6</v>
          </cell>
          <cell r="AL82">
            <v>6.73</v>
          </cell>
          <cell r="AM82">
            <v>0.87</v>
          </cell>
        </row>
        <row r="83">
          <cell r="C83" t="str">
            <v/>
          </cell>
          <cell r="D83" t="str">
            <v>26342000002494154671</v>
          </cell>
          <cell r="O83" t="str">
            <v>正常</v>
          </cell>
          <cell r="T83">
            <v>46240.0</v>
          </cell>
          <cell r="U83" t="str">
            <v>中智优力</v>
          </cell>
          <cell r="V83" t="str">
            <v>进项</v>
          </cell>
          <cell r="W83" t="str">
            <v>肥西县桃花工业园万翔办公用品经营部</v>
          </cell>
          <cell r="Y83" t="str">
            <v>报销票</v>
          </cell>
          <cell r="AA83" t="str">
            <v/>
          </cell>
          <cell r="AB83">
            <v>0</v>
          </cell>
          <cell r="AC83">
            <v>0</v>
          </cell>
          <cell r="AI83" t="str">
            <v/>
          </cell>
          <cell r="AJ83" t="str">
            <v>中智优力</v>
          </cell>
          <cell r="AK83">
            <v>192</v>
          </cell>
          <cell r="AL83">
            <v>190.1</v>
          </cell>
          <cell r="AM83">
            <v>1.9</v>
          </cell>
        </row>
        <row r="84">
          <cell r="C84" t="str">
            <v/>
          </cell>
          <cell r="D84" t="str">
            <v>26112000003272302846</v>
          </cell>
          <cell r="O84" t="str">
            <v>正常</v>
          </cell>
          <cell r="T84">
            <v>46240.0</v>
          </cell>
          <cell r="U84" t="str">
            <v>中智优力</v>
          </cell>
          <cell r="V84" t="str">
            <v>进项</v>
          </cell>
          <cell r="W84" t="str">
            <v>北京东奥时代教育科技有限公司</v>
          </cell>
          <cell r="Y84" t="str">
            <v>报销票</v>
          </cell>
          <cell r="AA84" t="str">
            <v/>
          </cell>
          <cell r="AB84">
            <v>0</v>
          </cell>
          <cell r="AC84">
            <v>0</v>
          </cell>
          <cell r="AI84" t="str">
            <v/>
          </cell>
          <cell r="AJ84" t="str">
            <v>中智优力</v>
          </cell>
          <cell r="AK84">
            <v>40</v>
          </cell>
          <cell r="AL84">
            <v>38.83</v>
          </cell>
          <cell r="AM84">
            <v>1.17</v>
          </cell>
        </row>
        <row r="85">
          <cell r="C85" t="str">
            <v/>
          </cell>
          <cell r="D85" t="str">
            <v>26317000002887162179</v>
          </cell>
          <cell r="O85" t="str">
            <v>正常</v>
          </cell>
          <cell r="T85">
            <v>46239.0</v>
          </cell>
          <cell r="U85" t="str">
            <v>中智优力</v>
          </cell>
          <cell r="V85" t="str">
            <v>进项</v>
          </cell>
          <cell r="W85" t="str">
            <v>上海泓弈信息科技有限公司</v>
          </cell>
          <cell r="Y85" t="str">
            <v>报销票</v>
          </cell>
          <cell r="AA85" t="str">
            <v/>
          </cell>
          <cell r="AB85">
            <v>0</v>
          </cell>
          <cell r="AC85">
            <v>0</v>
          </cell>
          <cell r="AI85" t="str">
            <v/>
          </cell>
          <cell r="AJ85" t="str">
            <v>中智优力</v>
          </cell>
          <cell r="AK85">
            <v>6.4</v>
          </cell>
          <cell r="AL85">
            <v>6.04</v>
          </cell>
          <cell r="AM85">
            <v>0.36</v>
          </cell>
        </row>
        <row r="86">
          <cell r="C86" t="str">
            <v/>
          </cell>
          <cell r="D86" t="str">
            <v>26442000008977427776</v>
          </cell>
          <cell r="O86" t="str">
            <v>正常</v>
          </cell>
          <cell r="T86">
            <v>46239.0</v>
          </cell>
          <cell r="U86" t="str">
            <v>中智优力</v>
          </cell>
          <cell r="V86" t="str">
            <v>进项</v>
          </cell>
          <cell r="W86" t="str">
            <v>广州超威生物科技有限公司</v>
          </cell>
          <cell r="Y86" t="str">
            <v>报销票</v>
          </cell>
          <cell r="AA86" t="str">
            <v/>
          </cell>
          <cell r="AB86">
            <v>0</v>
          </cell>
          <cell r="AC86">
            <v>0</v>
          </cell>
          <cell r="AI86" t="str">
            <v/>
          </cell>
          <cell r="AJ86" t="str">
            <v>中智优力</v>
          </cell>
          <cell r="AK86">
            <v>36</v>
          </cell>
          <cell r="AL86">
            <v>31.86</v>
          </cell>
          <cell r="AM86">
            <v>4.14</v>
          </cell>
        </row>
        <row r="87">
          <cell r="C87" t="str">
            <v/>
          </cell>
          <cell r="D87" t="str">
            <v>26937000000081081757</v>
          </cell>
          <cell r="O87" t="str">
            <v>正常</v>
          </cell>
          <cell r="T87">
            <v>46239.0</v>
          </cell>
          <cell r="U87" t="str">
            <v>中智优力</v>
          </cell>
          <cell r="V87" t="str">
            <v>进项</v>
          </cell>
          <cell r="W87" t="str">
            <v>中海油销售浙江有限公司</v>
          </cell>
          <cell r="Y87" t="str">
            <v>报销票</v>
          </cell>
          <cell r="AA87" t="str">
            <v/>
          </cell>
          <cell r="AB87">
            <v>0</v>
          </cell>
          <cell r="AC87">
            <v>0</v>
          </cell>
          <cell r="AI87" t="str">
            <v/>
          </cell>
          <cell r="AJ87" t="str">
            <v>中智优力</v>
          </cell>
          <cell r="AK87">
            <v>200</v>
          </cell>
          <cell r="AL87">
            <v>176.99</v>
          </cell>
          <cell r="AM87">
            <v>23.01</v>
          </cell>
        </row>
        <row r="88">
          <cell r="C88" t="str">
            <v/>
          </cell>
          <cell r="D88" t="str">
            <v>26332000006748329841</v>
          </cell>
          <cell r="O88" t="str">
            <v>正常</v>
          </cell>
          <cell r="T88">
            <v>46239.0</v>
          </cell>
          <cell r="U88" t="str">
            <v>中智优力</v>
          </cell>
          <cell r="V88" t="str">
            <v>进项</v>
          </cell>
          <cell r="W88" t="str">
            <v>杭州富阳牙牙家服装店（个体工商户）</v>
          </cell>
          <cell r="Y88" t="str">
            <v>报销票</v>
          </cell>
          <cell r="AA88" t="str">
            <v/>
          </cell>
          <cell r="AB88">
            <v>0</v>
          </cell>
          <cell r="AC88">
            <v>0</v>
          </cell>
          <cell r="AI88" t="str">
            <v/>
          </cell>
          <cell r="AJ88" t="str">
            <v>中智优力</v>
          </cell>
          <cell r="AK88">
            <v>401.5</v>
          </cell>
          <cell r="AL88">
            <v>397.52</v>
          </cell>
          <cell r="AM88">
            <v>3.98</v>
          </cell>
        </row>
        <row r="89">
          <cell r="C89" t="str">
            <v/>
          </cell>
          <cell r="D89" t="str">
            <v>26937000000077240025</v>
          </cell>
          <cell r="O89" t="str">
            <v>正常</v>
          </cell>
          <cell r="T89">
            <v>46239.0</v>
          </cell>
          <cell r="U89" t="str">
            <v>中智优力</v>
          </cell>
          <cell r="V89" t="str">
            <v>进项</v>
          </cell>
          <cell r="W89" t="str">
            <v>中国电信股份有限公司宁波分公司</v>
          </cell>
          <cell r="Y89" t="str">
            <v>应付</v>
          </cell>
          <cell r="AA89" t="str">
            <v/>
          </cell>
          <cell r="AB89">
            <v>0</v>
          </cell>
          <cell r="AC89">
            <v>199</v>
          </cell>
          <cell r="AI89" t="str">
            <v/>
          </cell>
          <cell r="AJ89" t="str">
            <v>中智优力</v>
          </cell>
          <cell r="AK89">
            <v>199</v>
          </cell>
          <cell r="AL89">
            <v>199</v>
          </cell>
          <cell r="AM89">
            <v>0</v>
          </cell>
        </row>
        <row r="90">
          <cell r="C90" t="str">
            <v/>
          </cell>
          <cell r="D90" t="str">
            <v>26112000003245957596</v>
          </cell>
          <cell r="O90" t="str">
            <v>正常</v>
          </cell>
          <cell r="T90">
            <v>46238.0</v>
          </cell>
          <cell r="U90" t="str">
            <v>中智优力</v>
          </cell>
          <cell r="V90" t="str">
            <v>进项</v>
          </cell>
          <cell r="W90" t="str">
            <v>北京泓奥箱包有限公司</v>
          </cell>
          <cell r="Y90" t="str">
            <v>报销票</v>
          </cell>
          <cell r="AA90" t="str">
            <v/>
          </cell>
          <cell r="AB90">
            <v>0</v>
          </cell>
          <cell r="AC90">
            <v>0</v>
          </cell>
          <cell r="AI90" t="str">
            <v/>
          </cell>
          <cell r="AJ90" t="str">
            <v>中智优力</v>
          </cell>
          <cell r="AK90">
            <v>51</v>
          </cell>
          <cell r="AL90">
            <v>50.5</v>
          </cell>
          <cell r="AM90">
            <v>0.5</v>
          </cell>
        </row>
        <row r="91">
          <cell r="C91" t="str">
            <v/>
          </cell>
          <cell r="D91" t="str">
            <v>26342000002465050201</v>
          </cell>
          <cell r="O91" t="str">
            <v>正常</v>
          </cell>
          <cell r="T91">
            <v>46237.0</v>
          </cell>
          <cell r="U91" t="str">
            <v>中智优力</v>
          </cell>
          <cell r="V91" t="str">
            <v>进项</v>
          </cell>
          <cell r="W91" t="str">
            <v>合肥大飘飘贸易有限公司</v>
          </cell>
          <cell r="Y91" t="str">
            <v>报销票</v>
          </cell>
          <cell r="AA91" t="str">
            <v/>
          </cell>
          <cell r="AB91">
            <v>0</v>
          </cell>
          <cell r="AC91">
            <v>0</v>
          </cell>
          <cell r="AI91" t="str">
            <v/>
          </cell>
          <cell r="AJ91" t="str">
            <v>中智优力</v>
          </cell>
          <cell r="AK91">
            <v>36.01</v>
          </cell>
          <cell r="AL91">
            <v>31.87</v>
          </cell>
          <cell r="AM91">
            <v>4.14</v>
          </cell>
        </row>
        <row r="92">
          <cell r="C92" t="str">
            <v/>
          </cell>
          <cell r="D92" t="str">
            <v>26312000004917631951</v>
          </cell>
          <cell r="O92" t="str">
            <v>正常</v>
          </cell>
          <cell r="T92">
            <v>46237.0</v>
          </cell>
          <cell r="U92" t="str">
            <v>中智优力</v>
          </cell>
          <cell r="V92" t="str">
            <v>进项</v>
          </cell>
          <cell r="W92" t="str">
            <v>上海兆洪电器有限公司</v>
          </cell>
          <cell r="Y92" t="str">
            <v>报销票</v>
          </cell>
          <cell r="AA92" t="str">
            <v/>
          </cell>
          <cell r="AB92">
            <v>0</v>
          </cell>
          <cell r="AC92">
            <v>0</v>
          </cell>
          <cell r="AI92" t="str">
            <v/>
          </cell>
          <cell r="AJ92" t="str">
            <v>中智优力</v>
          </cell>
          <cell r="AK92">
            <v>142</v>
          </cell>
          <cell r="AL92">
            <v>125.66</v>
          </cell>
          <cell r="AM92">
            <v>16.34</v>
          </cell>
        </row>
        <row r="93">
          <cell r="C93" t="str">
            <v/>
          </cell>
          <cell r="D93" t="str">
            <v>26937000000079975303</v>
          </cell>
          <cell r="O93" t="str">
            <v>正常</v>
          </cell>
          <cell r="T93">
            <v>46236.0</v>
          </cell>
          <cell r="U93" t="str">
            <v>中智优力</v>
          </cell>
          <cell r="V93" t="str">
            <v>进项</v>
          </cell>
          <cell r="W93" t="str">
            <v>宁波海底捞餐饮管理有限公司第十二分公司</v>
          </cell>
          <cell r="Y93" t="str">
            <v>报销票</v>
          </cell>
          <cell r="AA93" t="str">
            <v/>
          </cell>
          <cell r="AB93">
            <v>0</v>
          </cell>
          <cell r="AC93">
            <v>0</v>
          </cell>
          <cell r="AI93" t="str">
            <v/>
          </cell>
          <cell r="AJ93" t="str">
            <v>中智优力</v>
          </cell>
          <cell r="AK93">
            <v>246</v>
          </cell>
          <cell r="AL93">
            <v>232.08</v>
          </cell>
          <cell r="AM93">
            <v>13.92</v>
          </cell>
        </row>
        <row r="94">
          <cell r="C94" t="str">
            <v/>
          </cell>
          <cell r="D94" t="str">
            <v>26447000001511506920</v>
          </cell>
          <cell r="O94" t="str">
            <v>正常</v>
          </cell>
          <cell r="T94">
            <v>46236.0</v>
          </cell>
          <cell r="U94" t="str">
            <v>中智优力</v>
          </cell>
          <cell r="V94" t="str">
            <v>进项</v>
          </cell>
          <cell r="W94" t="str">
            <v>东莞京东利昇贸易有限公司</v>
          </cell>
          <cell r="Y94" t="str">
            <v>报销票</v>
          </cell>
          <cell r="AA94" t="str">
            <v/>
          </cell>
          <cell r="AB94">
            <v>0</v>
          </cell>
          <cell r="AC94">
            <v>0</v>
          </cell>
          <cell r="AI94" t="str">
            <v/>
          </cell>
          <cell r="AJ94" t="str">
            <v>中智优力</v>
          </cell>
          <cell r="AK94">
            <v>768.98</v>
          </cell>
          <cell r="AL94">
            <v>680.51</v>
          </cell>
          <cell r="AM94">
            <v>88.47</v>
          </cell>
        </row>
        <row r="95">
          <cell r="C95" t="str">
            <v/>
          </cell>
          <cell r="D95" t="str">
            <v>26447000001511506919</v>
          </cell>
          <cell r="O95" t="str">
            <v>正常</v>
          </cell>
          <cell r="T95">
            <v>46236.0</v>
          </cell>
          <cell r="U95" t="str">
            <v>中智优力</v>
          </cell>
          <cell r="V95" t="str">
            <v>进项</v>
          </cell>
          <cell r="W95" t="str">
            <v>东莞京东利昇贸易有限公司</v>
          </cell>
          <cell r="Y95" t="str">
            <v>报销票</v>
          </cell>
          <cell r="AA95" t="str">
            <v/>
          </cell>
          <cell r="AB95">
            <v>0</v>
          </cell>
          <cell r="AC95">
            <v>0</v>
          </cell>
          <cell r="AI95" t="str">
            <v/>
          </cell>
          <cell r="AJ95" t="str">
            <v>中智优力</v>
          </cell>
          <cell r="AK95">
            <v>297.49</v>
          </cell>
          <cell r="AL95">
            <v>263.26</v>
          </cell>
          <cell r="AM95">
            <v>34.23</v>
          </cell>
        </row>
        <row r="96">
          <cell r="C96" t="str">
            <v/>
          </cell>
          <cell r="D96" t="str">
            <v>26952000003279111871</v>
          </cell>
          <cell r="O96" t="str">
            <v>正常</v>
          </cell>
          <cell r="T96">
            <v>46235.0</v>
          </cell>
          <cell r="U96" t="str">
            <v>中智优力</v>
          </cell>
          <cell r="V96" t="str">
            <v>进项</v>
          </cell>
          <cell r="W96" t="str">
            <v>深圳市欢禾实业有限公司</v>
          </cell>
          <cell r="Y96" t="str">
            <v>报销票</v>
          </cell>
          <cell r="AA96" t="str">
            <v/>
          </cell>
          <cell r="AB96">
            <v>0</v>
          </cell>
          <cell r="AC96">
            <v>0</v>
          </cell>
          <cell r="AI96" t="str">
            <v/>
          </cell>
          <cell r="AJ96" t="str">
            <v>中智优力</v>
          </cell>
          <cell r="AK96">
            <v>72.7</v>
          </cell>
          <cell r="AL96">
            <v>66.7</v>
          </cell>
          <cell r="AM96">
            <v>6</v>
          </cell>
        </row>
        <row r="97">
          <cell r="C97" t="str">
            <v/>
          </cell>
          <cell r="D97" t="str">
            <v>26317000002711328253</v>
          </cell>
          <cell r="O97" t="str">
            <v>正常</v>
          </cell>
          <cell r="T97">
            <v>46234.0</v>
          </cell>
          <cell r="U97" t="str">
            <v>中智优力</v>
          </cell>
          <cell r="V97" t="str">
            <v>进项</v>
          </cell>
          <cell r="W97" t="str">
            <v>亿企赢网络科技有限公司</v>
          </cell>
          <cell r="Y97" t="str">
            <v>报销票</v>
          </cell>
          <cell r="AA97" t="str">
            <v/>
          </cell>
          <cell r="AB97">
            <v>0</v>
          </cell>
          <cell r="AC97">
            <v>0</v>
          </cell>
          <cell r="AI97" t="str">
            <v/>
          </cell>
          <cell r="AJ97" t="str">
            <v>中智优力</v>
          </cell>
          <cell r="AK97">
            <v>105</v>
          </cell>
          <cell r="AL97">
            <v>99.06</v>
          </cell>
          <cell r="AM97">
            <v>5.94</v>
          </cell>
        </row>
        <row r="98">
          <cell r="C98" t="str">
            <v/>
          </cell>
          <cell r="D98" t="str">
            <v>26932000001291355596</v>
          </cell>
          <cell r="O98" t="str">
            <v>正常</v>
          </cell>
          <cell r="T98">
            <v>46234.0</v>
          </cell>
          <cell r="U98" t="str">
            <v>优茗</v>
          </cell>
          <cell r="V98" t="str">
            <v>内部</v>
          </cell>
          <cell r="W98" t="str">
            <v>中智优力</v>
          </cell>
          <cell r="Y98" t="str">
            <v>内部</v>
          </cell>
          <cell r="AA98" t="str">
            <v/>
          </cell>
          <cell r="AB98">
            <v>0</v>
          </cell>
          <cell r="AC98">
            <v>0</v>
          </cell>
          <cell r="AI98" t="str">
            <v>优茗</v>
          </cell>
          <cell r="AJ98" t="str">
            <v>中智优力</v>
          </cell>
          <cell r="AK98">
            <v>9000</v>
          </cell>
          <cell r="AL98">
            <v>8910.89</v>
          </cell>
          <cell r="AM98">
            <v>89.11</v>
          </cell>
        </row>
        <row r="99">
          <cell r="C99" t="str">
            <v/>
          </cell>
          <cell r="D99" t="str">
            <v>26502000001546497691</v>
          </cell>
          <cell r="O99" t="str">
            <v>正常</v>
          </cell>
          <cell r="T99">
            <v>46234.0</v>
          </cell>
          <cell r="U99" t="str">
            <v>中智优力</v>
          </cell>
          <cell r="V99" t="str">
            <v>进项</v>
          </cell>
          <cell r="W99" t="str">
            <v>重庆匠达沣餐饮管理有限公司</v>
          </cell>
          <cell r="Y99" t="str">
            <v>报销票</v>
          </cell>
          <cell r="AA99" t="str">
            <v/>
          </cell>
          <cell r="AB99">
            <v>0</v>
          </cell>
          <cell r="AC99">
            <v>0</v>
          </cell>
          <cell r="AI99" t="str">
            <v/>
          </cell>
          <cell r="AJ99" t="str">
            <v>中智优力</v>
          </cell>
          <cell r="AK99">
            <v>280</v>
          </cell>
          <cell r="AL99">
            <v>277.23</v>
          </cell>
          <cell r="AM99">
            <v>2.77</v>
          </cell>
        </row>
        <row r="100">
          <cell r="C100" t="str">
            <v/>
          </cell>
          <cell r="D100" t="str">
            <v>26932000001287680251</v>
          </cell>
          <cell r="O100" t="str">
            <v>正常</v>
          </cell>
          <cell r="T100">
            <v>46234.0</v>
          </cell>
          <cell r="U100" t="str">
            <v>中智优力</v>
          </cell>
          <cell r="V100" t="str">
            <v>进项</v>
          </cell>
          <cell r="W100" t="str">
            <v>宁波市鄞州五乡甬辰餐饮店</v>
          </cell>
          <cell r="Y100" t="str">
            <v>报销票</v>
          </cell>
          <cell r="AA100" t="str">
            <v/>
          </cell>
          <cell r="AB100">
            <v>0</v>
          </cell>
          <cell r="AC100">
            <v>0</v>
          </cell>
          <cell r="AI100" t="str">
            <v/>
          </cell>
          <cell r="AJ100" t="str">
            <v>中智优力</v>
          </cell>
          <cell r="AK100">
            <v>204</v>
          </cell>
          <cell r="AL100">
            <v>201.98</v>
          </cell>
          <cell r="AM100">
            <v>2.02</v>
          </cell>
        </row>
        <row r="101">
          <cell r="C101" t="str">
            <v/>
          </cell>
          <cell r="D101" t="str">
            <v>26932000001287526291</v>
          </cell>
          <cell r="O101" t="str">
            <v>正常</v>
          </cell>
          <cell r="T101">
            <v>46234.0</v>
          </cell>
          <cell r="U101" t="str">
            <v>中智优力</v>
          </cell>
          <cell r="V101" t="str">
            <v>进项</v>
          </cell>
          <cell r="W101" t="str">
            <v>宁波市鄞州五乡甬辰餐饮店</v>
          </cell>
          <cell r="Y101" t="str">
            <v>报销票</v>
          </cell>
          <cell r="AA101" t="str">
            <v/>
          </cell>
          <cell r="AB101">
            <v>0</v>
          </cell>
          <cell r="AC101">
            <v>0</v>
          </cell>
          <cell r="AI101" t="str">
            <v/>
          </cell>
          <cell r="AJ101" t="str">
            <v>中智优力</v>
          </cell>
          <cell r="AK101">
            <v>7400</v>
          </cell>
          <cell r="AL101">
            <v>7326.73</v>
          </cell>
          <cell r="AM101">
            <v>73.27</v>
          </cell>
        </row>
        <row r="102">
          <cell r="C102" t="str">
            <v/>
          </cell>
          <cell r="D102" t="str">
            <v>26932000001284503881</v>
          </cell>
          <cell r="O102" t="str">
            <v>正常</v>
          </cell>
          <cell r="T102">
            <v>46234.0</v>
          </cell>
          <cell r="U102" t="str">
            <v>中智优力</v>
          </cell>
          <cell r="V102" t="str">
            <v>进项</v>
          </cell>
          <cell r="W102" t="str">
            <v>宁波市鄞州五乡甬辰餐饮店</v>
          </cell>
          <cell r="Y102" t="str">
            <v>报销票</v>
          </cell>
          <cell r="AA102" t="str">
            <v/>
          </cell>
          <cell r="AB102">
            <v>0</v>
          </cell>
          <cell r="AC102">
            <v>0</v>
          </cell>
          <cell r="AI102" t="str">
            <v/>
          </cell>
          <cell r="AJ102" t="str">
            <v>中智优力</v>
          </cell>
          <cell r="AK102">
            <v>-7400</v>
          </cell>
          <cell r="AL102">
            <v>-7326.73</v>
          </cell>
          <cell r="AM102">
            <v>-73.27</v>
          </cell>
        </row>
        <row r="103">
          <cell r="C103" t="str">
            <v/>
          </cell>
          <cell r="D103" t="str">
            <v>26932000001287515401</v>
          </cell>
          <cell r="O103" t="str">
            <v>已红冲-全额</v>
          </cell>
          <cell r="T103">
            <v>46234.0</v>
          </cell>
          <cell r="U103" t="str">
            <v>中智优力</v>
          </cell>
          <cell r="V103" t="str">
            <v>进项</v>
          </cell>
          <cell r="W103" t="str">
            <v>宁波市鄞州五乡甬辰餐饮店</v>
          </cell>
          <cell r="Y103" t="str">
            <v>报销票</v>
          </cell>
          <cell r="AA103" t="str">
            <v/>
          </cell>
          <cell r="AB103">
            <v>0</v>
          </cell>
          <cell r="AC103">
            <v>0</v>
          </cell>
          <cell r="AI103" t="str">
            <v/>
          </cell>
          <cell r="AJ103" t="str">
            <v>中智优力</v>
          </cell>
          <cell r="AK103">
            <v>7400</v>
          </cell>
          <cell r="AL103">
            <v>7326.73</v>
          </cell>
          <cell r="AM103">
            <v>73.27</v>
          </cell>
        </row>
        <row r="104">
          <cell r="C104" t="str">
            <v/>
          </cell>
          <cell r="D104" t="str">
            <v>26932000001284202696</v>
          </cell>
          <cell r="O104" t="str">
            <v>正常</v>
          </cell>
          <cell r="T104">
            <v>46234.0</v>
          </cell>
          <cell r="U104" t="str">
            <v>中智优力</v>
          </cell>
          <cell r="V104" t="str">
            <v>进项</v>
          </cell>
          <cell r="W104" t="str">
            <v>宁波市鄞州五乡甬辰餐饮店</v>
          </cell>
          <cell r="Y104" t="str">
            <v>报销票</v>
          </cell>
          <cell r="AA104" t="str">
            <v/>
          </cell>
          <cell r="AB104">
            <v>0</v>
          </cell>
          <cell r="AC104">
            <v>0</v>
          </cell>
          <cell r="AI104" t="str">
            <v/>
          </cell>
          <cell r="AJ104" t="str">
            <v>中智优力</v>
          </cell>
          <cell r="AK104">
            <v>-16000</v>
          </cell>
          <cell r="AL104">
            <v>-15841.58</v>
          </cell>
          <cell r="AM104">
            <v>-158.42</v>
          </cell>
        </row>
        <row r="105">
          <cell r="C105" t="str">
            <v/>
          </cell>
          <cell r="D105" t="str">
            <v>26937000000077219473</v>
          </cell>
          <cell r="O105" t="str">
            <v>正常</v>
          </cell>
          <cell r="T105">
            <v>46234.0</v>
          </cell>
          <cell r="U105" t="str">
            <v>中智优力</v>
          </cell>
          <cell r="V105" t="str">
            <v>进项</v>
          </cell>
          <cell r="W105" t="str">
            <v>中国电信股份有限公司宁波分公司</v>
          </cell>
          <cell r="Y105" t="str">
            <v>应付</v>
          </cell>
          <cell r="AA105" t="str">
            <v/>
          </cell>
          <cell r="AB105">
            <v>0</v>
          </cell>
          <cell r="AC105">
            <v>199</v>
          </cell>
          <cell r="AI105" t="str">
            <v/>
          </cell>
          <cell r="AJ105" t="str">
            <v>中智优力</v>
          </cell>
          <cell r="AK105">
            <v>199</v>
          </cell>
          <cell r="AL105">
            <v>199</v>
          </cell>
          <cell r="AM105">
            <v>0</v>
          </cell>
        </row>
        <row r="106">
          <cell r="C106" t="str">
            <v/>
          </cell>
          <cell r="D106" t="str">
            <v>26932000001287458101</v>
          </cell>
          <cell r="O106" t="str">
            <v>已红冲-全额</v>
          </cell>
          <cell r="T106">
            <v>46234.0</v>
          </cell>
          <cell r="U106" t="str">
            <v>中智优力</v>
          </cell>
          <cell r="V106" t="str">
            <v>进项</v>
          </cell>
          <cell r="W106" t="str">
            <v>宁波市鄞州五乡甬辰餐饮店</v>
          </cell>
          <cell r="Y106" t="str">
            <v>报销票</v>
          </cell>
          <cell r="AA106" t="str">
            <v/>
          </cell>
          <cell r="AB106">
            <v>0</v>
          </cell>
          <cell r="AC106">
            <v>0</v>
          </cell>
          <cell r="AI106" t="str">
            <v/>
          </cell>
          <cell r="AJ106" t="str">
            <v>中智优力</v>
          </cell>
          <cell r="AK106">
            <v>16000</v>
          </cell>
          <cell r="AL106">
            <v>15841.58</v>
          </cell>
          <cell r="AM106">
            <v>158.42</v>
          </cell>
        </row>
        <row r="107">
          <cell r="C107" t="str">
            <v/>
          </cell>
          <cell r="D107" t="str">
            <v>26342000002428169191</v>
          </cell>
          <cell r="O107" t="str">
            <v>正常</v>
          </cell>
          <cell r="T107">
            <v>46234.0</v>
          </cell>
          <cell r="U107" t="str">
            <v>中智优力</v>
          </cell>
          <cell r="V107" t="str">
            <v>进项</v>
          </cell>
          <cell r="W107" t="str">
            <v>肥西县桃花工业园万翔办公用品经营部</v>
          </cell>
          <cell r="Y107" t="str">
            <v>报销票</v>
          </cell>
          <cell r="AA107" t="str">
            <v/>
          </cell>
          <cell r="AB107">
            <v>0</v>
          </cell>
          <cell r="AC107">
            <v>0</v>
          </cell>
          <cell r="AI107" t="str">
            <v/>
          </cell>
          <cell r="AJ107" t="str">
            <v>中智优力</v>
          </cell>
          <cell r="AK107">
            <v>192</v>
          </cell>
          <cell r="AL107">
            <v>190.1</v>
          </cell>
          <cell r="AM107">
            <v>1.9</v>
          </cell>
        </row>
        <row r="108">
          <cell r="C108" t="str">
            <v/>
          </cell>
          <cell r="D108" t="str">
            <v>26112000003179497801</v>
          </cell>
          <cell r="O108" t="str">
            <v>正常</v>
          </cell>
          <cell r="T108">
            <v>46234.0</v>
          </cell>
          <cell r="U108" t="str">
            <v>中智优力</v>
          </cell>
          <cell r="V108" t="str">
            <v>进项</v>
          </cell>
          <cell r="W108" t="str">
            <v>北京东奥时代教育科技有限公司</v>
          </cell>
          <cell r="Y108" t="str">
            <v>报销票</v>
          </cell>
          <cell r="AA108" t="str">
            <v/>
          </cell>
          <cell r="AB108">
            <v>0</v>
          </cell>
          <cell r="AC108">
            <v>0</v>
          </cell>
          <cell r="AI108" t="str">
            <v/>
          </cell>
          <cell r="AJ108" t="str">
            <v>中智优力</v>
          </cell>
          <cell r="AK108">
            <v>40</v>
          </cell>
          <cell r="AL108">
            <v>38.83</v>
          </cell>
          <cell r="AM108">
            <v>1.17</v>
          </cell>
        </row>
        <row r="109">
          <cell r="C109" t="str">
            <v/>
          </cell>
          <cell r="D109" t="str">
            <v>26337000000705815669</v>
          </cell>
          <cell r="O109" t="str">
            <v>正常</v>
          </cell>
          <cell r="T109">
            <v>46234.0</v>
          </cell>
          <cell r="U109" t="str">
            <v>中智优力</v>
          </cell>
          <cell r="V109" t="str">
            <v>进项</v>
          </cell>
          <cell r="W109" t="str">
            <v>杭州京东惠景贸易有限公司</v>
          </cell>
          <cell r="Y109" t="str">
            <v>报销票</v>
          </cell>
          <cell r="AA109" t="str">
            <v/>
          </cell>
          <cell r="AB109">
            <v>0</v>
          </cell>
          <cell r="AC109">
            <v>0</v>
          </cell>
          <cell r="AI109" t="str">
            <v/>
          </cell>
          <cell r="AJ109" t="str">
            <v>中智优力</v>
          </cell>
          <cell r="AK109">
            <v>115.44</v>
          </cell>
          <cell r="AL109">
            <v>102.16</v>
          </cell>
          <cell r="AM109">
            <v>13.28</v>
          </cell>
        </row>
        <row r="110">
          <cell r="C110" t="str">
            <v/>
          </cell>
          <cell r="D110" t="str">
            <v>26337000000705511060</v>
          </cell>
          <cell r="O110" t="str">
            <v>正常</v>
          </cell>
          <cell r="T110">
            <v>46234.0</v>
          </cell>
          <cell r="U110" t="str">
            <v>中智优力</v>
          </cell>
          <cell r="V110" t="str">
            <v>进项</v>
          </cell>
          <cell r="W110" t="str">
            <v>温州腾立贸易有限公司</v>
          </cell>
          <cell r="Y110" t="str">
            <v>报销票</v>
          </cell>
          <cell r="AA110" t="str">
            <v/>
          </cell>
          <cell r="AB110">
            <v>0</v>
          </cell>
          <cell r="AC110">
            <v>0</v>
          </cell>
          <cell r="AI110" t="str">
            <v/>
          </cell>
          <cell r="AJ110" t="str">
            <v>中智优力</v>
          </cell>
          <cell r="AK110">
            <v>57.98</v>
          </cell>
          <cell r="AL110">
            <v>51.31</v>
          </cell>
          <cell r="AM110">
            <v>6.67</v>
          </cell>
        </row>
        <row r="111">
          <cell r="C111" t="str">
            <v/>
          </cell>
          <cell r="D111" t="str">
            <v>26327000001379945928</v>
          </cell>
          <cell r="O111" t="str">
            <v>正常</v>
          </cell>
          <cell r="T111">
            <v>46234.0</v>
          </cell>
          <cell r="U111" t="str">
            <v>中智优力</v>
          </cell>
          <cell r="V111" t="str">
            <v>进项</v>
          </cell>
          <cell r="W111" t="str">
            <v>江苏京东海元贸易有限公司</v>
          </cell>
          <cell r="Y111" t="str">
            <v>报销票</v>
          </cell>
          <cell r="AA111" t="str">
            <v/>
          </cell>
          <cell r="AB111">
            <v>0</v>
          </cell>
          <cell r="AC111">
            <v>0</v>
          </cell>
          <cell r="AI111" t="str">
            <v/>
          </cell>
          <cell r="AJ111" t="str">
            <v>中智优力</v>
          </cell>
          <cell r="AK111">
            <v>122.55</v>
          </cell>
          <cell r="AL111">
            <v>108.45</v>
          </cell>
          <cell r="AM111">
            <v>14.1</v>
          </cell>
        </row>
        <row r="112">
          <cell r="C112" t="str">
            <v/>
          </cell>
          <cell r="D112" t="str">
            <v>26327000001380386778</v>
          </cell>
          <cell r="O112" t="str">
            <v>正常</v>
          </cell>
          <cell r="T112">
            <v>46234.0</v>
          </cell>
          <cell r="U112" t="str">
            <v>中智优力</v>
          </cell>
          <cell r="V112" t="str">
            <v>进项</v>
          </cell>
          <cell r="W112" t="str">
            <v>江苏京东信息技术有限公司</v>
          </cell>
          <cell r="Y112" t="str">
            <v>报销票</v>
          </cell>
          <cell r="AA112" t="str">
            <v/>
          </cell>
          <cell r="AB112">
            <v>0</v>
          </cell>
          <cell r="AC112">
            <v>0</v>
          </cell>
          <cell r="AI112" t="str">
            <v/>
          </cell>
          <cell r="AJ112" t="str">
            <v>中智优力</v>
          </cell>
          <cell r="AK112">
            <v>6</v>
          </cell>
          <cell r="AL112">
            <v>5.66</v>
          </cell>
          <cell r="AM112">
            <v>0.34</v>
          </cell>
        </row>
        <row r="113">
          <cell r="C113" t="str">
            <v/>
          </cell>
          <cell r="D113" t="str">
            <v>26327000001379945922</v>
          </cell>
          <cell r="O113" t="str">
            <v>正常</v>
          </cell>
          <cell r="T113">
            <v>46234.0</v>
          </cell>
          <cell r="U113" t="str">
            <v>中智优力</v>
          </cell>
          <cell r="V113" t="str">
            <v>进项</v>
          </cell>
          <cell r="W113" t="str">
            <v>江苏京东海元贸易有限公司</v>
          </cell>
          <cell r="Y113" t="str">
            <v>报销票</v>
          </cell>
          <cell r="AA113" t="str">
            <v/>
          </cell>
          <cell r="AB113">
            <v>0</v>
          </cell>
          <cell r="AC113">
            <v>0</v>
          </cell>
          <cell r="AI113" t="str">
            <v/>
          </cell>
          <cell r="AJ113" t="str">
            <v>中智优力</v>
          </cell>
          <cell r="AK113">
            <v>78</v>
          </cell>
          <cell r="AL113">
            <v>69.03</v>
          </cell>
          <cell r="AM113">
            <v>8.97</v>
          </cell>
        </row>
        <row r="114">
          <cell r="C114" t="str">
            <v/>
          </cell>
          <cell r="D114" t="str">
            <v/>
          </cell>
          <cell r="O114" t="str">
            <v/>
          </cell>
          <cell r="T114" t="str">
            <v/>
          </cell>
          <cell r="U114" t="str">
            <v/>
          </cell>
          <cell r="V114" t="str">
            <v/>
          </cell>
          <cell r="W114" t="str">
            <v/>
          </cell>
          <cell r="Y114" t="str">
            <v/>
          </cell>
          <cell r="AA114" t="str">
            <v/>
          </cell>
          <cell r="AB114">
            <v>0</v>
          </cell>
          <cell r="AC114">
            <v>0</v>
          </cell>
          <cell r="AI114" t="str">
            <v/>
          </cell>
          <cell r="AJ114" t="str">
            <v/>
          </cell>
          <cell r="AK114">
            <v>0</v>
          </cell>
          <cell r="AL114">
            <v>0</v>
          </cell>
          <cell r="AM114">
            <v>0</v>
          </cell>
        </row>
        <row r="115">
          <cell r="C115" t="str">
            <v/>
          </cell>
          <cell r="D115" t="str">
            <v/>
          </cell>
          <cell r="O115" t="str">
            <v/>
          </cell>
          <cell r="T115" t="str">
            <v/>
          </cell>
          <cell r="U115" t="str">
            <v/>
          </cell>
          <cell r="V115" t="str">
            <v/>
          </cell>
          <cell r="W115" t="str">
            <v/>
          </cell>
          <cell r="Y115" t="str">
            <v/>
          </cell>
          <cell r="AA115" t="str">
            <v/>
          </cell>
          <cell r="AB115">
            <v>0</v>
          </cell>
          <cell r="AC115">
            <v>0</v>
          </cell>
          <cell r="AI115" t="str">
            <v/>
          </cell>
          <cell r="AJ115" t="str">
            <v/>
          </cell>
          <cell r="AK115">
            <v>0</v>
          </cell>
          <cell r="AL115">
            <v>0</v>
          </cell>
          <cell r="AM115">
            <v>0</v>
          </cell>
        </row>
        <row r="116">
          <cell r="C116" t="str">
            <v/>
          </cell>
          <cell r="D116" t="str">
            <v/>
          </cell>
          <cell r="O116" t="str">
            <v/>
          </cell>
          <cell r="T116" t="str">
            <v/>
          </cell>
          <cell r="U116" t="str">
            <v/>
          </cell>
          <cell r="V116" t="str">
            <v/>
          </cell>
          <cell r="W116" t="str">
            <v/>
          </cell>
          <cell r="Y116" t="str">
            <v/>
          </cell>
          <cell r="AA116" t="str">
            <v/>
          </cell>
          <cell r="AB116">
            <v>0</v>
          </cell>
          <cell r="AC116">
            <v>0</v>
          </cell>
          <cell r="AI116" t="str">
            <v/>
          </cell>
          <cell r="AJ116" t="str">
            <v/>
          </cell>
          <cell r="AK116">
            <v>0</v>
          </cell>
          <cell r="AL116">
            <v>0</v>
          </cell>
          <cell r="AM116">
            <v>0</v>
          </cell>
        </row>
        <row r="117">
          <cell r="C117" t="str">
            <v/>
          </cell>
          <cell r="D117" t="str">
            <v/>
          </cell>
          <cell r="O117" t="str">
            <v/>
          </cell>
          <cell r="T117" t="str">
            <v/>
          </cell>
          <cell r="U117" t="str">
            <v/>
          </cell>
          <cell r="V117" t="str">
            <v/>
          </cell>
          <cell r="W117" t="str">
            <v/>
          </cell>
          <cell r="Y117" t="str">
            <v/>
          </cell>
          <cell r="AA117" t="str">
            <v/>
          </cell>
          <cell r="AB117">
            <v>0</v>
          </cell>
          <cell r="AC117">
            <v>0</v>
          </cell>
          <cell r="AI117" t="str">
            <v/>
          </cell>
          <cell r="AJ117" t="str">
            <v/>
          </cell>
          <cell r="AK117">
            <v>0</v>
          </cell>
          <cell r="AL117">
            <v>0</v>
          </cell>
          <cell r="AM117">
            <v>0</v>
          </cell>
        </row>
        <row r="118">
          <cell r="C118" t="str">
            <v/>
          </cell>
          <cell r="D118" t="str">
            <v/>
          </cell>
          <cell r="O118" t="str">
            <v/>
          </cell>
          <cell r="T118" t="str">
            <v/>
          </cell>
          <cell r="U118" t="str">
            <v/>
          </cell>
          <cell r="V118" t="str">
            <v/>
          </cell>
          <cell r="W118" t="str">
            <v/>
          </cell>
          <cell r="Y118" t="str">
            <v/>
          </cell>
          <cell r="AA118" t="str">
            <v/>
          </cell>
          <cell r="AB118">
            <v>0</v>
          </cell>
          <cell r="AC118">
            <v>0</v>
          </cell>
          <cell r="AI118" t="str">
            <v/>
          </cell>
          <cell r="AJ118" t="str">
            <v/>
          </cell>
          <cell r="AK118">
            <v>0</v>
          </cell>
          <cell r="AL118">
            <v>0</v>
          </cell>
          <cell r="AM118">
            <v>0</v>
          </cell>
        </row>
        <row r="119">
          <cell r="C119" t="str">
            <v/>
          </cell>
          <cell r="D119" t="str">
            <v/>
          </cell>
          <cell r="O119" t="str">
            <v/>
          </cell>
          <cell r="T119" t="str">
            <v/>
          </cell>
          <cell r="U119" t="str">
            <v/>
          </cell>
          <cell r="V119" t="str">
            <v/>
          </cell>
          <cell r="W119" t="str">
            <v/>
          </cell>
          <cell r="Y119" t="str">
            <v/>
          </cell>
          <cell r="AA119" t="str">
            <v/>
          </cell>
          <cell r="AB119">
            <v>0</v>
          </cell>
          <cell r="AC119">
            <v>0</v>
          </cell>
          <cell r="AI119" t="str">
            <v/>
          </cell>
          <cell r="AJ119" t="str">
            <v/>
          </cell>
          <cell r="AK119">
            <v>0</v>
          </cell>
          <cell r="AL119">
            <v>0</v>
          </cell>
          <cell r="AM119">
            <v>0</v>
          </cell>
        </row>
        <row r="120">
          <cell r="C120" t="str">
            <v/>
          </cell>
          <cell r="D120" t="str">
            <v/>
          </cell>
          <cell r="O120" t="str">
            <v/>
          </cell>
          <cell r="T120" t="str">
            <v/>
          </cell>
          <cell r="U120" t="str">
            <v/>
          </cell>
          <cell r="V120" t="str">
            <v/>
          </cell>
          <cell r="W120" t="str">
            <v/>
          </cell>
          <cell r="Y120" t="str">
            <v/>
          </cell>
          <cell r="AA120" t="str">
            <v/>
          </cell>
          <cell r="AB120">
            <v>0</v>
          </cell>
          <cell r="AC120">
            <v>0</v>
          </cell>
          <cell r="AI120" t="str">
            <v/>
          </cell>
          <cell r="AJ120" t="str">
            <v/>
          </cell>
          <cell r="AK120">
            <v>0</v>
          </cell>
          <cell r="AL120">
            <v>0</v>
          </cell>
          <cell r="AM120">
            <v>0</v>
          </cell>
        </row>
        <row r="121">
          <cell r="C121" t="str">
            <v/>
          </cell>
          <cell r="D121" t="str">
            <v/>
          </cell>
          <cell r="O121" t="str">
            <v/>
          </cell>
          <cell r="T121" t="str">
            <v/>
          </cell>
          <cell r="U121" t="str">
            <v/>
          </cell>
          <cell r="V121" t="str">
            <v/>
          </cell>
          <cell r="W121" t="str">
            <v/>
          </cell>
          <cell r="Y121" t="str">
            <v/>
          </cell>
          <cell r="AA121" t="str">
            <v/>
          </cell>
          <cell r="AB121">
            <v>0</v>
          </cell>
          <cell r="AC121">
            <v>0</v>
          </cell>
          <cell r="AI121" t="str">
            <v/>
          </cell>
          <cell r="AJ121" t="str">
            <v/>
          </cell>
          <cell r="AK121">
            <v>0</v>
          </cell>
          <cell r="AL121">
            <v>0</v>
          </cell>
          <cell r="AM121">
            <v>0</v>
          </cell>
        </row>
        <row r="122">
          <cell r="C122" t="str">
            <v/>
          </cell>
          <cell r="D122" t="str">
            <v/>
          </cell>
          <cell r="O122" t="str">
            <v/>
          </cell>
          <cell r="T122" t="str">
            <v/>
          </cell>
          <cell r="U122" t="str">
            <v/>
          </cell>
          <cell r="V122" t="str">
            <v/>
          </cell>
          <cell r="W122" t="str">
            <v/>
          </cell>
          <cell r="Y122" t="str">
            <v/>
          </cell>
          <cell r="AA122" t="str">
            <v/>
          </cell>
          <cell r="AB122">
            <v>0</v>
          </cell>
          <cell r="AC122">
            <v>0</v>
          </cell>
          <cell r="AI122" t="str">
            <v/>
          </cell>
          <cell r="AJ122" t="str">
            <v/>
          </cell>
          <cell r="AK122">
            <v>0</v>
          </cell>
          <cell r="AL122">
            <v>0</v>
          </cell>
          <cell r="AM122">
            <v>0</v>
          </cell>
        </row>
        <row r="123">
          <cell r="C123" t="str">
            <v/>
          </cell>
          <cell r="D123" t="str">
            <v/>
          </cell>
          <cell r="O123" t="str">
            <v/>
          </cell>
          <cell r="T123" t="str">
            <v/>
          </cell>
          <cell r="U123" t="str">
            <v/>
          </cell>
          <cell r="V123" t="str">
            <v/>
          </cell>
          <cell r="W123" t="str">
            <v/>
          </cell>
          <cell r="Y123" t="str">
            <v/>
          </cell>
          <cell r="AA123" t="str">
            <v/>
          </cell>
          <cell r="AB123">
            <v>0</v>
          </cell>
          <cell r="AC123">
            <v>0</v>
          </cell>
          <cell r="AI123" t="str">
            <v/>
          </cell>
          <cell r="AJ123" t="str">
            <v/>
          </cell>
          <cell r="AK123">
            <v>0</v>
          </cell>
          <cell r="AL123">
            <v>0</v>
          </cell>
          <cell r="AM123">
            <v>0</v>
          </cell>
        </row>
        <row r="124">
          <cell r="C124" t="str">
            <v/>
          </cell>
          <cell r="D124" t="str">
            <v/>
          </cell>
          <cell r="O124" t="str">
            <v/>
          </cell>
          <cell r="T124" t="str">
            <v/>
          </cell>
          <cell r="U124" t="str">
            <v/>
          </cell>
          <cell r="V124" t="str">
            <v/>
          </cell>
          <cell r="W124" t="str">
            <v/>
          </cell>
          <cell r="Y124" t="str">
            <v/>
          </cell>
          <cell r="AA124" t="str">
            <v/>
          </cell>
          <cell r="AB124">
            <v>0</v>
          </cell>
          <cell r="AC124">
            <v>0</v>
          </cell>
          <cell r="AI124" t="str">
            <v/>
          </cell>
          <cell r="AJ124" t="str">
            <v/>
          </cell>
          <cell r="AK124">
            <v>0</v>
          </cell>
          <cell r="AL124">
            <v>0</v>
          </cell>
          <cell r="AM124">
            <v>0</v>
          </cell>
        </row>
        <row r="125">
          <cell r="C125" t="str">
            <v/>
          </cell>
          <cell r="D125" t="str">
            <v/>
          </cell>
          <cell r="O125" t="str">
            <v/>
          </cell>
          <cell r="T125" t="str">
            <v/>
          </cell>
          <cell r="U125" t="str">
            <v/>
          </cell>
          <cell r="V125" t="str">
            <v/>
          </cell>
          <cell r="W125" t="str">
            <v/>
          </cell>
          <cell r="Y125" t="str">
            <v/>
          </cell>
          <cell r="AA125" t="str">
            <v/>
          </cell>
          <cell r="AB125">
            <v>0</v>
          </cell>
          <cell r="AC125">
            <v>0</v>
          </cell>
          <cell r="AI125" t="str">
            <v/>
          </cell>
          <cell r="AJ125" t="str">
            <v/>
          </cell>
          <cell r="AK125">
            <v>0</v>
          </cell>
          <cell r="AL125">
            <v>0</v>
          </cell>
          <cell r="AM125">
            <v>0</v>
          </cell>
        </row>
        <row r="126">
          <cell r="C126" t="str">
            <v/>
          </cell>
          <cell r="D126" t="str">
            <v/>
          </cell>
          <cell r="O126" t="str">
            <v/>
          </cell>
          <cell r="T126" t="str">
            <v/>
          </cell>
          <cell r="U126" t="str">
            <v/>
          </cell>
          <cell r="V126" t="str">
            <v/>
          </cell>
          <cell r="W126" t="str">
            <v/>
          </cell>
          <cell r="Y126" t="str">
            <v/>
          </cell>
          <cell r="AA126" t="str">
            <v/>
          </cell>
          <cell r="AB126">
            <v>0</v>
          </cell>
          <cell r="AC126">
            <v>0</v>
          </cell>
          <cell r="AI126" t="str">
            <v/>
          </cell>
          <cell r="AJ126" t="str">
            <v/>
          </cell>
          <cell r="AK126">
            <v>0</v>
          </cell>
          <cell r="AL126">
            <v>0</v>
          </cell>
          <cell r="AM126">
            <v>0</v>
          </cell>
        </row>
        <row r="127">
          <cell r="C127" t="str">
            <v/>
          </cell>
          <cell r="D127" t="str">
            <v/>
          </cell>
          <cell r="O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/>
          </cell>
          <cell r="Y127" t="str">
            <v/>
          </cell>
          <cell r="AA127" t="str">
            <v/>
          </cell>
          <cell r="AB127">
            <v>0</v>
          </cell>
          <cell r="AC127">
            <v>0</v>
          </cell>
          <cell r="AI127" t="str">
            <v/>
          </cell>
          <cell r="AJ127" t="str">
            <v/>
          </cell>
          <cell r="AK127">
            <v>0</v>
          </cell>
          <cell r="AL127">
            <v>0</v>
          </cell>
          <cell r="AM127">
            <v>0</v>
          </cell>
        </row>
        <row r="128">
          <cell r="C128" t="str">
            <v/>
          </cell>
          <cell r="D128" t="str">
            <v/>
          </cell>
          <cell r="O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/>
          </cell>
          <cell r="Y128" t="str">
            <v/>
          </cell>
          <cell r="AA128" t="str">
            <v/>
          </cell>
          <cell r="AB128">
            <v>0</v>
          </cell>
          <cell r="AC128">
            <v>0</v>
          </cell>
          <cell r="AI128" t="str">
            <v/>
          </cell>
          <cell r="AJ128" t="str">
            <v/>
          </cell>
          <cell r="AK128">
            <v>0</v>
          </cell>
          <cell r="AL128">
            <v>0</v>
          </cell>
          <cell r="AM128">
            <v>0</v>
          </cell>
        </row>
        <row r="129">
          <cell r="C129" t="str">
            <v/>
          </cell>
          <cell r="D129" t="str">
            <v/>
          </cell>
          <cell r="O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/>
          </cell>
          <cell r="Y129" t="str">
            <v/>
          </cell>
          <cell r="AA129" t="str">
            <v/>
          </cell>
          <cell r="AB129">
            <v>0</v>
          </cell>
          <cell r="AC129">
            <v>0</v>
          </cell>
          <cell r="AI129" t="str">
            <v/>
          </cell>
          <cell r="AJ129" t="str">
            <v/>
          </cell>
          <cell r="AK129">
            <v>0</v>
          </cell>
          <cell r="AL129">
            <v>0</v>
          </cell>
          <cell r="AM129">
            <v>0</v>
          </cell>
        </row>
        <row r="130">
          <cell r="C130" t="str">
            <v/>
          </cell>
          <cell r="D130" t="str">
            <v/>
          </cell>
          <cell r="O130" t="str">
            <v/>
          </cell>
          <cell r="T130" t="str">
            <v/>
          </cell>
          <cell r="U130" t="str">
            <v/>
          </cell>
          <cell r="V130" t="str">
            <v/>
          </cell>
          <cell r="W130" t="str">
            <v/>
          </cell>
          <cell r="Y130" t="str">
            <v/>
          </cell>
          <cell r="AA130" t="str">
            <v/>
          </cell>
          <cell r="AB130">
            <v>0</v>
          </cell>
          <cell r="AC130">
            <v>0</v>
          </cell>
          <cell r="AI130" t="str">
            <v/>
          </cell>
          <cell r="AJ130" t="str">
            <v/>
          </cell>
          <cell r="AK130">
            <v>0</v>
          </cell>
          <cell r="AL130">
            <v>0</v>
          </cell>
          <cell r="AM130">
            <v>0</v>
          </cell>
        </row>
        <row r="131">
          <cell r="C131" t="str">
            <v/>
          </cell>
          <cell r="D131" t="str">
            <v/>
          </cell>
          <cell r="O131" t="str">
            <v/>
          </cell>
          <cell r="T131" t="str">
            <v/>
          </cell>
          <cell r="U131" t="str">
            <v/>
          </cell>
          <cell r="V131" t="str">
            <v/>
          </cell>
          <cell r="W131" t="str">
            <v/>
          </cell>
          <cell r="Y131" t="str">
            <v/>
          </cell>
          <cell r="AA131" t="str">
            <v/>
          </cell>
          <cell r="AB131">
            <v>0</v>
          </cell>
          <cell r="AC131">
            <v>0</v>
          </cell>
          <cell r="AI131" t="str">
            <v/>
          </cell>
          <cell r="AJ131" t="str">
            <v/>
          </cell>
          <cell r="AK131">
            <v>0</v>
          </cell>
          <cell r="AL131">
            <v>0</v>
          </cell>
          <cell r="AM131">
            <v>0</v>
          </cell>
        </row>
        <row r="132">
          <cell r="C132" t="str">
            <v/>
          </cell>
          <cell r="D132" t="str">
            <v/>
          </cell>
          <cell r="O132" t="str">
            <v/>
          </cell>
          <cell r="T132" t="str">
            <v/>
          </cell>
          <cell r="U132" t="str">
            <v/>
          </cell>
          <cell r="V132" t="str">
            <v/>
          </cell>
          <cell r="W132" t="str">
            <v/>
          </cell>
          <cell r="Y132" t="str">
            <v/>
          </cell>
          <cell r="AA132" t="str">
            <v/>
          </cell>
          <cell r="AB132">
            <v>0</v>
          </cell>
          <cell r="AC132">
            <v>0</v>
          </cell>
          <cell r="AI132" t="str">
            <v/>
          </cell>
          <cell r="AJ132" t="str">
            <v/>
          </cell>
          <cell r="AK132">
            <v>0</v>
          </cell>
          <cell r="AL132">
            <v>0</v>
          </cell>
          <cell r="AM132">
            <v>0</v>
          </cell>
        </row>
        <row r="133">
          <cell r="C133" t="str">
            <v/>
          </cell>
          <cell r="D133" t="str">
            <v/>
          </cell>
          <cell r="O133" t="str">
            <v/>
          </cell>
          <cell r="T133" t="str">
            <v/>
          </cell>
          <cell r="U133" t="str">
            <v/>
          </cell>
          <cell r="V133" t="str">
            <v/>
          </cell>
          <cell r="W133" t="str">
            <v/>
          </cell>
          <cell r="Y133" t="str">
            <v/>
          </cell>
          <cell r="AA133" t="str">
            <v/>
          </cell>
          <cell r="AB133">
            <v>0</v>
          </cell>
          <cell r="AC133">
            <v>0</v>
          </cell>
          <cell r="AI133" t="str">
            <v/>
          </cell>
          <cell r="AJ133" t="str">
            <v/>
          </cell>
          <cell r="AK133">
            <v>0</v>
          </cell>
          <cell r="AL133">
            <v>0</v>
          </cell>
          <cell r="AM133">
            <v>0</v>
          </cell>
        </row>
        <row r="134">
          <cell r="C134" t="str">
            <v/>
          </cell>
          <cell r="D134" t="str">
            <v/>
          </cell>
          <cell r="O134" t="str">
            <v/>
          </cell>
          <cell r="T134" t="str">
            <v/>
          </cell>
          <cell r="U134" t="str">
            <v/>
          </cell>
          <cell r="V134" t="str">
            <v/>
          </cell>
          <cell r="W134" t="str">
            <v/>
          </cell>
          <cell r="Y134" t="str">
            <v/>
          </cell>
          <cell r="AA134" t="str">
            <v/>
          </cell>
          <cell r="AB134">
            <v>0</v>
          </cell>
          <cell r="AC134">
            <v>0</v>
          </cell>
          <cell r="AI134" t="str">
            <v/>
          </cell>
          <cell r="AJ134" t="str">
            <v/>
          </cell>
          <cell r="AK134">
            <v>0</v>
          </cell>
          <cell r="AL134">
            <v>0</v>
          </cell>
          <cell r="AM134">
            <v>0</v>
          </cell>
        </row>
        <row r="135">
          <cell r="C135" t="str">
            <v/>
          </cell>
          <cell r="D135" t="str">
            <v/>
          </cell>
          <cell r="O135" t="str">
            <v/>
          </cell>
          <cell r="T135" t="str">
            <v/>
          </cell>
          <cell r="U135" t="str">
            <v/>
          </cell>
          <cell r="V135" t="str">
            <v/>
          </cell>
          <cell r="W135" t="str">
            <v/>
          </cell>
          <cell r="Y135" t="str">
            <v/>
          </cell>
          <cell r="AA135" t="str">
            <v/>
          </cell>
          <cell r="AB135">
            <v>0</v>
          </cell>
          <cell r="AC135">
            <v>0</v>
          </cell>
          <cell r="AI135" t="str">
            <v/>
          </cell>
          <cell r="AJ135" t="str">
            <v/>
          </cell>
          <cell r="AK135">
            <v>0</v>
          </cell>
          <cell r="AL135">
            <v>0</v>
          </cell>
          <cell r="AM135">
            <v>0</v>
          </cell>
        </row>
        <row r="136">
          <cell r="C136" t="str">
            <v/>
          </cell>
          <cell r="D136" t="str">
            <v/>
          </cell>
          <cell r="O136" t="str">
            <v/>
          </cell>
          <cell r="T136" t="str">
            <v/>
          </cell>
          <cell r="U136" t="str">
            <v/>
          </cell>
          <cell r="V136" t="str">
            <v/>
          </cell>
          <cell r="W136" t="str">
            <v/>
          </cell>
          <cell r="Y136" t="str">
            <v/>
          </cell>
          <cell r="AA136" t="str">
            <v/>
          </cell>
          <cell r="AB136">
            <v>0</v>
          </cell>
          <cell r="AC136">
            <v>0</v>
          </cell>
          <cell r="AI136" t="str">
            <v/>
          </cell>
          <cell r="AJ136" t="str">
            <v/>
          </cell>
          <cell r="AK136">
            <v>0</v>
          </cell>
          <cell r="AL136">
            <v>0</v>
          </cell>
          <cell r="AM136">
            <v>0</v>
          </cell>
        </row>
        <row r="137">
          <cell r="C137" t="str">
            <v/>
          </cell>
          <cell r="D137" t="str">
            <v/>
          </cell>
          <cell r="O137" t="str">
            <v/>
          </cell>
          <cell r="T137" t="str">
            <v/>
          </cell>
          <cell r="U137" t="str">
            <v/>
          </cell>
          <cell r="V137" t="str">
            <v/>
          </cell>
          <cell r="W137" t="str">
            <v/>
          </cell>
          <cell r="Y137" t="str">
            <v/>
          </cell>
          <cell r="AA137" t="str">
            <v/>
          </cell>
          <cell r="AB137">
            <v>0</v>
          </cell>
          <cell r="AC137">
            <v>0</v>
          </cell>
          <cell r="AI137" t="str">
            <v/>
          </cell>
          <cell r="AJ137" t="str">
            <v/>
          </cell>
          <cell r="AK137">
            <v>0</v>
          </cell>
          <cell r="AL137">
            <v>0</v>
          </cell>
          <cell r="AM137">
            <v>0</v>
          </cell>
        </row>
        <row r="138">
          <cell r="C138" t="str">
            <v/>
          </cell>
          <cell r="D138" t="str">
            <v/>
          </cell>
          <cell r="O138" t="str">
            <v/>
          </cell>
          <cell r="T138" t="str">
            <v/>
          </cell>
          <cell r="U138" t="str">
            <v/>
          </cell>
          <cell r="V138" t="str">
            <v/>
          </cell>
          <cell r="W138" t="str">
            <v/>
          </cell>
          <cell r="Y138" t="str">
            <v/>
          </cell>
          <cell r="AA138" t="str">
            <v/>
          </cell>
          <cell r="AB138">
            <v>0</v>
          </cell>
          <cell r="AC138">
            <v>0</v>
          </cell>
          <cell r="AI138" t="str">
            <v/>
          </cell>
          <cell r="AJ138" t="str">
            <v/>
          </cell>
          <cell r="AK138">
            <v>0</v>
          </cell>
          <cell r="AL138">
            <v>0</v>
          </cell>
          <cell r="AM138">
            <v>0</v>
          </cell>
        </row>
        <row r="139">
          <cell r="C139" t="str">
            <v/>
          </cell>
          <cell r="D139" t="str">
            <v/>
          </cell>
          <cell r="O139" t="str">
            <v/>
          </cell>
          <cell r="T139" t="str">
            <v/>
          </cell>
          <cell r="U139" t="str">
            <v/>
          </cell>
          <cell r="V139" t="str">
            <v/>
          </cell>
          <cell r="W139" t="str">
            <v/>
          </cell>
          <cell r="Y139" t="str">
            <v/>
          </cell>
          <cell r="AA139" t="str">
            <v/>
          </cell>
          <cell r="AB139">
            <v>0</v>
          </cell>
          <cell r="AC139">
            <v>0</v>
          </cell>
          <cell r="AI139" t="str">
            <v/>
          </cell>
          <cell r="AJ139" t="str">
            <v/>
          </cell>
          <cell r="AK139">
            <v>0</v>
          </cell>
          <cell r="AL139">
            <v>0</v>
          </cell>
          <cell r="AM139">
            <v>0</v>
          </cell>
        </row>
        <row r="140">
          <cell r="C140" t="str">
            <v/>
          </cell>
          <cell r="D140" t="str">
            <v/>
          </cell>
          <cell r="O140" t="str">
            <v/>
          </cell>
          <cell r="T140" t="str">
            <v/>
          </cell>
          <cell r="U140" t="str">
            <v/>
          </cell>
          <cell r="V140" t="str">
            <v/>
          </cell>
          <cell r="W140" t="str">
            <v/>
          </cell>
          <cell r="Y140" t="str">
            <v/>
          </cell>
          <cell r="AA140" t="str">
            <v/>
          </cell>
          <cell r="AB140">
            <v>0</v>
          </cell>
          <cell r="AC140">
            <v>0</v>
          </cell>
          <cell r="AI140" t="str">
            <v/>
          </cell>
          <cell r="AJ140" t="str">
            <v/>
          </cell>
          <cell r="AK140">
            <v>0</v>
          </cell>
          <cell r="AL140">
            <v>0</v>
          </cell>
          <cell r="AM140">
            <v>0</v>
          </cell>
        </row>
        <row r="141">
          <cell r="C141" t="str">
            <v/>
          </cell>
          <cell r="D141" t="str">
            <v/>
          </cell>
          <cell r="O141" t="str">
            <v/>
          </cell>
          <cell r="T141" t="str">
            <v/>
          </cell>
          <cell r="U141" t="str">
            <v/>
          </cell>
          <cell r="V141" t="str">
            <v/>
          </cell>
          <cell r="W141" t="str">
            <v/>
          </cell>
          <cell r="Y141" t="str">
            <v/>
          </cell>
          <cell r="AA141" t="str">
            <v/>
          </cell>
          <cell r="AB141">
            <v>0</v>
          </cell>
          <cell r="AC141">
            <v>0</v>
          </cell>
          <cell r="AI141" t="str">
            <v/>
          </cell>
          <cell r="AJ141" t="str">
            <v/>
          </cell>
          <cell r="AK141">
            <v>0</v>
          </cell>
          <cell r="AL141">
            <v>0</v>
          </cell>
          <cell r="AM141">
            <v>0</v>
          </cell>
        </row>
        <row r="142">
          <cell r="C142" t="str">
            <v/>
          </cell>
          <cell r="D142" t="str">
            <v/>
          </cell>
          <cell r="O142" t="str">
            <v/>
          </cell>
          <cell r="T142" t="str">
            <v/>
          </cell>
          <cell r="U142" t="str">
            <v/>
          </cell>
          <cell r="V142" t="str">
            <v/>
          </cell>
          <cell r="W142" t="str">
            <v/>
          </cell>
          <cell r="Y142" t="str">
            <v/>
          </cell>
          <cell r="AA142" t="str">
            <v/>
          </cell>
          <cell r="AB142">
            <v>0</v>
          </cell>
          <cell r="AC142">
            <v>0</v>
          </cell>
          <cell r="AI142" t="str">
            <v/>
          </cell>
          <cell r="AJ142" t="str">
            <v/>
          </cell>
          <cell r="AK142">
            <v>0</v>
          </cell>
          <cell r="AL142">
            <v>0</v>
          </cell>
          <cell r="AM142">
            <v>0</v>
          </cell>
        </row>
        <row r="143">
          <cell r="C143" t="str">
            <v/>
          </cell>
          <cell r="D143" t="str">
            <v/>
          </cell>
          <cell r="O143" t="str">
            <v/>
          </cell>
          <cell r="T143" t="str">
            <v/>
          </cell>
          <cell r="U143" t="str">
            <v/>
          </cell>
          <cell r="V143" t="str">
            <v/>
          </cell>
          <cell r="W143" t="str">
            <v/>
          </cell>
          <cell r="Y143" t="str">
            <v/>
          </cell>
          <cell r="AA143" t="str">
            <v/>
          </cell>
          <cell r="AB143">
            <v>0</v>
          </cell>
          <cell r="AC143">
            <v>0</v>
          </cell>
          <cell r="AI143" t="str">
            <v/>
          </cell>
          <cell r="AJ143" t="str">
            <v/>
          </cell>
          <cell r="AK143">
            <v>0</v>
          </cell>
          <cell r="AL143">
            <v>0</v>
          </cell>
          <cell r="AM143">
            <v>0</v>
          </cell>
        </row>
        <row r="144">
          <cell r="C144" t="str">
            <v/>
          </cell>
          <cell r="D144" t="str">
            <v/>
          </cell>
          <cell r="O144" t="str">
            <v/>
          </cell>
          <cell r="T144" t="str">
            <v/>
          </cell>
          <cell r="U144" t="str">
            <v/>
          </cell>
          <cell r="V144" t="str">
            <v/>
          </cell>
          <cell r="W144" t="str">
            <v/>
          </cell>
          <cell r="Y144" t="str">
            <v/>
          </cell>
          <cell r="AA144" t="str">
            <v/>
          </cell>
          <cell r="AB144">
            <v>0</v>
          </cell>
          <cell r="AC144">
            <v>0</v>
          </cell>
          <cell r="AI144" t="str">
            <v/>
          </cell>
          <cell r="AJ144" t="str">
            <v/>
          </cell>
          <cell r="AK144">
            <v>0</v>
          </cell>
          <cell r="AL144">
            <v>0</v>
          </cell>
          <cell r="AM144">
            <v>0</v>
          </cell>
        </row>
        <row r="145">
          <cell r="C145" t="str">
            <v/>
          </cell>
          <cell r="D145" t="str">
            <v/>
          </cell>
          <cell r="O145" t="str">
            <v/>
          </cell>
          <cell r="T145" t="str">
            <v/>
          </cell>
          <cell r="U145" t="str">
            <v/>
          </cell>
          <cell r="V145" t="str">
            <v/>
          </cell>
          <cell r="W145" t="str">
            <v/>
          </cell>
          <cell r="Y145" t="str">
            <v/>
          </cell>
          <cell r="AA145" t="str">
            <v/>
          </cell>
          <cell r="AB145">
            <v>0</v>
          </cell>
          <cell r="AC145">
            <v>0</v>
          </cell>
          <cell r="AI145" t="str">
            <v/>
          </cell>
          <cell r="AJ145" t="str">
            <v/>
          </cell>
          <cell r="AK145">
            <v>0</v>
          </cell>
          <cell r="AL145">
            <v>0</v>
          </cell>
          <cell r="AM145">
            <v>0</v>
          </cell>
        </row>
        <row r="146">
          <cell r="C146" t="str">
            <v/>
          </cell>
          <cell r="D146" t="str">
            <v/>
          </cell>
          <cell r="O146" t="str">
            <v/>
          </cell>
          <cell r="T146" t="str">
            <v/>
          </cell>
          <cell r="U146" t="str">
            <v/>
          </cell>
          <cell r="V146" t="str">
            <v/>
          </cell>
          <cell r="W146" t="str">
            <v/>
          </cell>
          <cell r="Y146" t="str">
            <v/>
          </cell>
          <cell r="AA146" t="str">
            <v/>
          </cell>
          <cell r="AB146">
            <v>0</v>
          </cell>
          <cell r="AC146">
            <v>0</v>
          </cell>
          <cell r="AI146" t="str">
            <v/>
          </cell>
          <cell r="AJ146" t="str">
            <v/>
          </cell>
          <cell r="AK146">
            <v>0</v>
          </cell>
          <cell r="AL146">
            <v>0</v>
          </cell>
          <cell r="AM146">
            <v>0</v>
          </cell>
        </row>
        <row r="147">
          <cell r="C147" t="str">
            <v/>
          </cell>
          <cell r="D147" t="str">
            <v/>
          </cell>
          <cell r="O147" t="str">
            <v/>
          </cell>
          <cell r="T147" t="str">
            <v/>
          </cell>
          <cell r="U147" t="str">
            <v/>
          </cell>
          <cell r="V147" t="str">
            <v/>
          </cell>
          <cell r="W147" t="str">
            <v/>
          </cell>
          <cell r="Y147" t="str">
            <v/>
          </cell>
          <cell r="AA147" t="str">
            <v/>
          </cell>
          <cell r="AB147">
            <v>0</v>
          </cell>
          <cell r="AC147">
            <v>0</v>
          </cell>
          <cell r="AI147" t="str">
            <v/>
          </cell>
          <cell r="AJ147" t="str">
            <v/>
          </cell>
          <cell r="AK147">
            <v>0</v>
          </cell>
          <cell r="AL147">
            <v>0</v>
          </cell>
          <cell r="AM147">
            <v>0</v>
          </cell>
        </row>
        <row r="148">
          <cell r="C148" t="str">
            <v/>
          </cell>
          <cell r="D148" t="str">
            <v/>
          </cell>
          <cell r="O148" t="str">
            <v/>
          </cell>
          <cell r="T148" t="str">
            <v/>
          </cell>
          <cell r="U148" t="str">
            <v/>
          </cell>
          <cell r="V148" t="str">
            <v/>
          </cell>
          <cell r="W148" t="str">
            <v/>
          </cell>
          <cell r="Y148" t="str">
            <v/>
          </cell>
          <cell r="AA148" t="str">
            <v/>
          </cell>
          <cell r="AB148">
            <v>0</v>
          </cell>
          <cell r="AC148">
            <v>0</v>
          </cell>
          <cell r="AI148" t="str">
            <v/>
          </cell>
          <cell r="AJ148" t="str">
            <v/>
          </cell>
          <cell r="AK148">
            <v>0</v>
          </cell>
          <cell r="AL148">
            <v>0</v>
          </cell>
          <cell r="AM148">
            <v>0</v>
          </cell>
        </row>
        <row r="149">
          <cell r="C149" t="str">
            <v/>
          </cell>
          <cell r="D149" t="str">
            <v/>
          </cell>
          <cell r="O149" t="str">
            <v/>
          </cell>
          <cell r="T149" t="str">
            <v/>
          </cell>
          <cell r="U149" t="str">
            <v/>
          </cell>
          <cell r="V149" t="str">
            <v/>
          </cell>
          <cell r="W149" t="str">
            <v/>
          </cell>
          <cell r="Y149" t="str">
            <v/>
          </cell>
          <cell r="AA149" t="str">
            <v/>
          </cell>
          <cell r="AB149">
            <v>0</v>
          </cell>
          <cell r="AC149">
            <v>0</v>
          </cell>
          <cell r="AI149" t="str">
            <v/>
          </cell>
          <cell r="AJ149" t="str">
            <v/>
          </cell>
          <cell r="AK149">
            <v>0</v>
          </cell>
          <cell r="AL149">
            <v>0</v>
          </cell>
          <cell r="AM149">
            <v>0</v>
          </cell>
        </row>
        <row r="150">
          <cell r="C150" t="str">
            <v/>
          </cell>
          <cell r="D150" t="str">
            <v/>
          </cell>
          <cell r="O150" t="str">
            <v/>
          </cell>
          <cell r="T150" t="str">
            <v/>
          </cell>
          <cell r="U150" t="str">
            <v/>
          </cell>
          <cell r="V150" t="str">
            <v/>
          </cell>
          <cell r="W150" t="str">
            <v/>
          </cell>
          <cell r="Y150" t="str">
            <v/>
          </cell>
          <cell r="AA150" t="str">
            <v/>
          </cell>
          <cell r="AB150">
            <v>0</v>
          </cell>
          <cell r="AC150">
            <v>0</v>
          </cell>
          <cell r="AI150" t="str">
            <v/>
          </cell>
          <cell r="AJ150" t="str">
            <v/>
          </cell>
          <cell r="AK150">
            <v>0</v>
          </cell>
          <cell r="AL150">
            <v>0</v>
          </cell>
          <cell r="AM150">
            <v>0</v>
          </cell>
        </row>
        <row r="151">
          <cell r="C151" t="str">
            <v/>
          </cell>
          <cell r="D151" t="str">
            <v/>
          </cell>
          <cell r="O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/>
          </cell>
          <cell r="Y151" t="str">
            <v/>
          </cell>
          <cell r="AA151" t="str">
            <v/>
          </cell>
          <cell r="AB151">
            <v>0</v>
          </cell>
          <cell r="AC151">
            <v>0</v>
          </cell>
          <cell r="AI151" t="str">
            <v/>
          </cell>
          <cell r="AJ151" t="str">
            <v/>
          </cell>
          <cell r="AK151">
            <v>0</v>
          </cell>
          <cell r="AL151">
            <v>0</v>
          </cell>
          <cell r="AM151">
            <v>0</v>
          </cell>
        </row>
        <row r="152">
          <cell r="C152" t="str">
            <v/>
          </cell>
          <cell r="D152" t="str">
            <v/>
          </cell>
          <cell r="O152" t="str">
            <v/>
          </cell>
          <cell r="T152" t="str">
            <v/>
          </cell>
          <cell r="U152" t="str">
            <v/>
          </cell>
          <cell r="V152" t="str">
            <v/>
          </cell>
          <cell r="W152" t="str">
            <v/>
          </cell>
          <cell r="Y152" t="str">
            <v/>
          </cell>
          <cell r="AA152" t="str">
            <v/>
          </cell>
          <cell r="AB152">
            <v>0</v>
          </cell>
          <cell r="AC152">
            <v>0</v>
          </cell>
          <cell r="AI152" t="str">
            <v/>
          </cell>
          <cell r="AJ152" t="str">
            <v/>
          </cell>
          <cell r="AK152">
            <v>0</v>
          </cell>
          <cell r="AL152">
            <v>0</v>
          </cell>
          <cell r="AM152">
            <v>0</v>
          </cell>
        </row>
        <row r="153">
          <cell r="C153" t="str">
            <v/>
          </cell>
          <cell r="D153" t="str">
            <v/>
          </cell>
          <cell r="O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/>
          </cell>
          <cell r="Y153" t="str">
            <v/>
          </cell>
          <cell r="AA153" t="str">
            <v/>
          </cell>
          <cell r="AB153">
            <v>0</v>
          </cell>
          <cell r="AC153">
            <v>0</v>
          </cell>
          <cell r="AI153" t="str">
            <v/>
          </cell>
          <cell r="AJ153" t="str">
            <v/>
          </cell>
          <cell r="AK153">
            <v>0</v>
          </cell>
          <cell r="AL153">
            <v>0</v>
          </cell>
          <cell r="AM153">
            <v>0</v>
          </cell>
        </row>
        <row r="154">
          <cell r="C154" t="str">
            <v/>
          </cell>
          <cell r="D154" t="str">
            <v/>
          </cell>
          <cell r="O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/>
          </cell>
          <cell r="Y154" t="str">
            <v/>
          </cell>
          <cell r="AA154" t="str">
            <v/>
          </cell>
          <cell r="AB154">
            <v>0</v>
          </cell>
          <cell r="AC154">
            <v>0</v>
          </cell>
          <cell r="AI154" t="str">
            <v/>
          </cell>
          <cell r="AJ154" t="str">
            <v/>
          </cell>
          <cell r="AK154">
            <v>0</v>
          </cell>
          <cell r="AL154">
            <v>0</v>
          </cell>
          <cell r="AM154">
            <v>0</v>
          </cell>
        </row>
        <row r="155">
          <cell r="C155" t="str">
            <v/>
          </cell>
          <cell r="D155" t="str">
            <v/>
          </cell>
          <cell r="O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/>
          </cell>
          <cell r="Y155" t="str">
            <v/>
          </cell>
          <cell r="AA155" t="str">
            <v/>
          </cell>
          <cell r="AB155">
            <v>0</v>
          </cell>
          <cell r="AC155">
            <v>0</v>
          </cell>
          <cell r="AI155" t="str">
            <v/>
          </cell>
          <cell r="AJ155" t="str">
            <v/>
          </cell>
          <cell r="AK155">
            <v>0</v>
          </cell>
          <cell r="AL155">
            <v>0</v>
          </cell>
          <cell r="AM155">
            <v>0</v>
          </cell>
        </row>
        <row r="156">
          <cell r="C156" t="str">
            <v/>
          </cell>
          <cell r="D156" t="str">
            <v/>
          </cell>
          <cell r="O156" t="str">
            <v/>
          </cell>
          <cell r="T156" t="str">
            <v/>
          </cell>
          <cell r="U156" t="str">
            <v/>
          </cell>
          <cell r="V156" t="str">
            <v/>
          </cell>
          <cell r="W156" t="str">
            <v/>
          </cell>
          <cell r="Y156" t="str">
            <v/>
          </cell>
          <cell r="AA156" t="str">
            <v/>
          </cell>
          <cell r="AB156">
            <v>0</v>
          </cell>
          <cell r="AC156">
            <v>0</v>
          </cell>
          <cell r="AI156" t="str">
            <v/>
          </cell>
          <cell r="AJ156" t="str">
            <v/>
          </cell>
          <cell r="AK156">
            <v>0</v>
          </cell>
          <cell r="AL156">
            <v>0</v>
          </cell>
          <cell r="AM156">
            <v>0</v>
          </cell>
        </row>
        <row r="157">
          <cell r="C157" t="str">
            <v/>
          </cell>
          <cell r="D157" t="str">
            <v/>
          </cell>
          <cell r="O157" t="str">
            <v/>
          </cell>
          <cell r="T157" t="str">
            <v/>
          </cell>
          <cell r="U157" t="str">
            <v/>
          </cell>
          <cell r="V157" t="str">
            <v/>
          </cell>
          <cell r="W157" t="str">
            <v/>
          </cell>
          <cell r="Y157" t="str">
            <v/>
          </cell>
          <cell r="AA157" t="str">
            <v/>
          </cell>
          <cell r="AB157">
            <v>0</v>
          </cell>
          <cell r="AC157">
            <v>0</v>
          </cell>
          <cell r="AI157" t="str">
            <v/>
          </cell>
          <cell r="AJ157" t="str">
            <v/>
          </cell>
          <cell r="AK157">
            <v>0</v>
          </cell>
          <cell r="AL157">
            <v>0</v>
          </cell>
          <cell r="AM157">
            <v>0</v>
          </cell>
        </row>
        <row r="158">
          <cell r="C158" t="str">
            <v/>
          </cell>
          <cell r="D158" t="str">
            <v/>
          </cell>
          <cell r="O158" t="str">
            <v/>
          </cell>
          <cell r="T158" t="str">
            <v/>
          </cell>
          <cell r="U158" t="str">
            <v/>
          </cell>
          <cell r="V158" t="str">
            <v/>
          </cell>
          <cell r="W158" t="str">
            <v/>
          </cell>
          <cell r="Y158" t="str">
            <v/>
          </cell>
          <cell r="AA158" t="str">
            <v/>
          </cell>
          <cell r="AB158">
            <v>0</v>
          </cell>
          <cell r="AC158">
            <v>0</v>
          </cell>
          <cell r="AI158" t="str">
            <v/>
          </cell>
          <cell r="AJ158" t="str">
            <v/>
          </cell>
          <cell r="AK158">
            <v>0</v>
          </cell>
          <cell r="AL158">
            <v>0</v>
          </cell>
          <cell r="AM158">
            <v>0</v>
          </cell>
        </row>
        <row r="159">
          <cell r="C159" t="str">
            <v/>
          </cell>
          <cell r="D159" t="str">
            <v/>
          </cell>
          <cell r="O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/>
          </cell>
          <cell r="Y159" t="str">
            <v/>
          </cell>
          <cell r="AA159" t="str">
            <v/>
          </cell>
          <cell r="AB159">
            <v>0</v>
          </cell>
          <cell r="AC159">
            <v>0</v>
          </cell>
          <cell r="AI159" t="str">
            <v/>
          </cell>
          <cell r="AJ159" t="str">
            <v/>
          </cell>
          <cell r="AK159">
            <v>0</v>
          </cell>
          <cell r="AL159">
            <v>0</v>
          </cell>
          <cell r="AM159">
            <v>0</v>
          </cell>
        </row>
        <row r="160">
          <cell r="C160" t="str">
            <v/>
          </cell>
          <cell r="D160" t="str">
            <v/>
          </cell>
          <cell r="O160" t="str">
            <v/>
          </cell>
          <cell r="T160" t="str">
            <v/>
          </cell>
          <cell r="U160" t="str">
            <v/>
          </cell>
          <cell r="V160" t="str">
            <v/>
          </cell>
          <cell r="W160" t="str">
            <v/>
          </cell>
          <cell r="Y160" t="str">
            <v/>
          </cell>
          <cell r="AA160" t="str">
            <v/>
          </cell>
          <cell r="AB160">
            <v>0</v>
          </cell>
          <cell r="AC160">
            <v>0</v>
          </cell>
          <cell r="AI160" t="str">
            <v/>
          </cell>
          <cell r="AJ160" t="str">
            <v/>
          </cell>
          <cell r="AK160">
            <v>0</v>
          </cell>
          <cell r="AL160">
            <v>0</v>
          </cell>
          <cell r="AM160">
            <v>0</v>
          </cell>
        </row>
        <row r="161">
          <cell r="C161" t="str">
            <v/>
          </cell>
          <cell r="D161" t="str">
            <v/>
          </cell>
          <cell r="O161" t="str">
            <v/>
          </cell>
          <cell r="T161" t="str">
            <v/>
          </cell>
          <cell r="U161" t="str">
            <v/>
          </cell>
          <cell r="V161" t="str">
            <v/>
          </cell>
          <cell r="W161" t="str">
            <v/>
          </cell>
          <cell r="Y161" t="str">
            <v/>
          </cell>
          <cell r="AA161" t="str">
            <v/>
          </cell>
          <cell r="AB161">
            <v>0</v>
          </cell>
          <cell r="AC161">
            <v>0</v>
          </cell>
          <cell r="AI161" t="str">
            <v/>
          </cell>
          <cell r="AJ161" t="str">
            <v/>
          </cell>
          <cell r="AK161">
            <v>0</v>
          </cell>
          <cell r="AL161">
            <v>0</v>
          </cell>
          <cell r="AM161">
            <v>0</v>
          </cell>
        </row>
        <row r="162">
          <cell r="C162" t="str">
            <v/>
          </cell>
          <cell r="D162" t="str">
            <v/>
          </cell>
          <cell r="O162" t="str">
            <v/>
          </cell>
          <cell r="T162" t="str">
            <v/>
          </cell>
          <cell r="U162" t="str">
            <v/>
          </cell>
          <cell r="V162" t="str">
            <v/>
          </cell>
          <cell r="W162" t="str">
            <v/>
          </cell>
          <cell r="Y162" t="str">
            <v/>
          </cell>
          <cell r="AA162" t="str">
            <v/>
          </cell>
          <cell r="AB162">
            <v>0</v>
          </cell>
          <cell r="AC162">
            <v>0</v>
          </cell>
          <cell r="AI162" t="str">
            <v/>
          </cell>
          <cell r="AJ162" t="str">
            <v/>
          </cell>
          <cell r="AK162">
            <v>0</v>
          </cell>
          <cell r="AL162">
            <v>0</v>
          </cell>
          <cell r="AM162">
            <v>0</v>
          </cell>
        </row>
        <row r="163">
          <cell r="C163" t="str">
            <v/>
          </cell>
          <cell r="D163" t="str">
            <v/>
          </cell>
          <cell r="O163" t="str">
            <v/>
          </cell>
          <cell r="T163" t="str">
            <v/>
          </cell>
          <cell r="U163" t="str">
            <v/>
          </cell>
          <cell r="V163" t="str">
            <v/>
          </cell>
          <cell r="W163" t="str">
            <v/>
          </cell>
          <cell r="Y163" t="str">
            <v/>
          </cell>
          <cell r="AA163" t="str">
            <v/>
          </cell>
          <cell r="AB163">
            <v>0</v>
          </cell>
          <cell r="AC163">
            <v>0</v>
          </cell>
          <cell r="AI163" t="str">
            <v/>
          </cell>
          <cell r="AJ163" t="str">
            <v/>
          </cell>
          <cell r="AK163">
            <v>0</v>
          </cell>
          <cell r="AL163">
            <v>0</v>
          </cell>
          <cell r="AM163">
            <v>0</v>
          </cell>
        </row>
        <row r="164">
          <cell r="C164" t="str">
            <v/>
          </cell>
          <cell r="D164" t="str">
            <v/>
          </cell>
          <cell r="O164" t="str">
            <v/>
          </cell>
          <cell r="T164" t="str">
            <v/>
          </cell>
          <cell r="U164" t="str">
            <v/>
          </cell>
          <cell r="V164" t="str">
            <v/>
          </cell>
          <cell r="W164" t="str">
            <v/>
          </cell>
          <cell r="Y164" t="str">
            <v/>
          </cell>
          <cell r="AA164" t="str">
            <v/>
          </cell>
          <cell r="AB164">
            <v>0</v>
          </cell>
          <cell r="AC164">
            <v>0</v>
          </cell>
          <cell r="AI164" t="str">
            <v/>
          </cell>
          <cell r="AJ164" t="str">
            <v/>
          </cell>
          <cell r="AK164">
            <v>0</v>
          </cell>
          <cell r="AL164">
            <v>0</v>
          </cell>
          <cell r="AM164">
            <v>0</v>
          </cell>
        </row>
        <row r="165">
          <cell r="C165" t="str">
            <v/>
          </cell>
          <cell r="D165" t="str">
            <v/>
          </cell>
          <cell r="O165" t="str">
            <v/>
          </cell>
          <cell r="T165" t="str">
            <v/>
          </cell>
          <cell r="U165" t="str">
            <v/>
          </cell>
          <cell r="V165" t="str">
            <v/>
          </cell>
          <cell r="W165" t="str">
            <v/>
          </cell>
          <cell r="Y165" t="str">
            <v/>
          </cell>
          <cell r="AA165" t="str">
            <v/>
          </cell>
          <cell r="AB165">
            <v>0</v>
          </cell>
          <cell r="AC165">
            <v>0</v>
          </cell>
          <cell r="AI165" t="str">
            <v/>
          </cell>
          <cell r="AJ165" t="str">
            <v/>
          </cell>
          <cell r="AK165">
            <v>0</v>
          </cell>
          <cell r="AL165">
            <v>0</v>
          </cell>
          <cell r="AM165">
            <v>0</v>
          </cell>
        </row>
        <row r="166">
          <cell r="C166" t="str">
            <v/>
          </cell>
          <cell r="D166" t="str">
            <v/>
          </cell>
          <cell r="O166" t="str">
            <v/>
          </cell>
          <cell r="T166" t="str">
            <v/>
          </cell>
          <cell r="U166" t="str">
            <v/>
          </cell>
          <cell r="V166" t="str">
            <v/>
          </cell>
          <cell r="W166" t="str">
            <v/>
          </cell>
          <cell r="Y166" t="str">
            <v/>
          </cell>
          <cell r="AA166" t="str">
            <v/>
          </cell>
          <cell r="AB166">
            <v>0</v>
          </cell>
          <cell r="AC166">
            <v>0</v>
          </cell>
          <cell r="AI166" t="str">
            <v/>
          </cell>
          <cell r="AJ166" t="str">
            <v/>
          </cell>
          <cell r="AK166">
            <v>0</v>
          </cell>
          <cell r="AL166">
            <v>0</v>
          </cell>
          <cell r="AM166">
            <v>0</v>
          </cell>
        </row>
        <row r="167">
          <cell r="C167" t="str">
            <v/>
          </cell>
          <cell r="D167" t="str">
            <v/>
          </cell>
          <cell r="O167" t="str">
            <v/>
          </cell>
          <cell r="T167" t="str">
            <v/>
          </cell>
          <cell r="U167" t="str">
            <v/>
          </cell>
          <cell r="V167" t="str">
            <v/>
          </cell>
          <cell r="W167" t="str">
            <v/>
          </cell>
          <cell r="Y167" t="str">
            <v/>
          </cell>
          <cell r="AA167" t="str">
            <v/>
          </cell>
          <cell r="AB167">
            <v>0</v>
          </cell>
          <cell r="AC167">
            <v>0</v>
          </cell>
          <cell r="AI167" t="str">
            <v/>
          </cell>
          <cell r="AJ167" t="str">
            <v/>
          </cell>
          <cell r="AK167">
            <v>0</v>
          </cell>
          <cell r="AL167">
            <v>0</v>
          </cell>
          <cell r="AM167">
            <v>0</v>
          </cell>
        </row>
        <row r="168">
          <cell r="C168" t="str">
            <v/>
          </cell>
          <cell r="D168" t="str">
            <v/>
          </cell>
          <cell r="O168" t="str">
            <v/>
          </cell>
          <cell r="T168" t="str">
            <v/>
          </cell>
          <cell r="U168" t="str">
            <v/>
          </cell>
          <cell r="V168" t="str">
            <v/>
          </cell>
          <cell r="W168" t="str">
            <v/>
          </cell>
          <cell r="Y168" t="str">
            <v/>
          </cell>
          <cell r="AA168" t="str">
            <v/>
          </cell>
          <cell r="AB168">
            <v>0</v>
          </cell>
          <cell r="AC168">
            <v>0</v>
          </cell>
          <cell r="AI168" t="str">
            <v/>
          </cell>
          <cell r="AJ168" t="str">
            <v/>
          </cell>
          <cell r="AK168">
            <v>0</v>
          </cell>
          <cell r="AL168">
            <v>0</v>
          </cell>
          <cell r="AM168">
            <v>0</v>
          </cell>
        </row>
        <row r="169">
          <cell r="C169" t="str">
            <v/>
          </cell>
          <cell r="D169" t="str">
            <v/>
          </cell>
          <cell r="O169" t="str">
            <v/>
          </cell>
          <cell r="T169" t="str">
            <v/>
          </cell>
          <cell r="U169" t="str">
            <v/>
          </cell>
          <cell r="V169" t="str">
            <v/>
          </cell>
          <cell r="W169" t="str">
            <v/>
          </cell>
          <cell r="Y169" t="str">
            <v/>
          </cell>
          <cell r="AA169" t="str">
            <v/>
          </cell>
          <cell r="AB169">
            <v>0</v>
          </cell>
          <cell r="AC169">
            <v>0</v>
          </cell>
          <cell r="AI169" t="str">
            <v/>
          </cell>
          <cell r="AJ169" t="str">
            <v/>
          </cell>
          <cell r="AK169">
            <v>0</v>
          </cell>
          <cell r="AL169">
            <v>0</v>
          </cell>
          <cell r="AM169">
            <v>0</v>
          </cell>
        </row>
        <row r="170">
          <cell r="C170" t="str">
            <v/>
          </cell>
          <cell r="D170" t="str">
            <v/>
          </cell>
          <cell r="O170" t="str">
            <v/>
          </cell>
          <cell r="T170" t="str">
            <v/>
          </cell>
          <cell r="U170" t="str">
            <v/>
          </cell>
          <cell r="V170" t="str">
            <v/>
          </cell>
          <cell r="W170" t="str">
            <v/>
          </cell>
          <cell r="Y170" t="str">
            <v/>
          </cell>
          <cell r="AA170" t="str">
            <v/>
          </cell>
          <cell r="AB170">
            <v>0</v>
          </cell>
          <cell r="AC170">
            <v>0</v>
          </cell>
          <cell r="AI170" t="str">
            <v/>
          </cell>
          <cell r="AJ170" t="str">
            <v/>
          </cell>
          <cell r="AK170">
            <v>0</v>
          </cell>
          <cell r="AL170">
            <v>0</v>
          </cell>
          <cell r="AM170">
            <v>0</v>
          </cell>
        </row>
        <row r="171">
          <cell r="C171" t="str">
            <v/>
          </cell>
          <cell r="D171" t="str">
            <v/>
          </cell>
          <cell r="O171" t="str">
            <v/>
          </cell>
          <cell r="T171" t="str">
            <v/>
          </cell>
          <cell r="U171" t="str">
            <v/>
          </cell>
          <cell r="V171" t="str">
            <v/>
          </cell>
          <cell r="W171" t="str">
            <v/>
          </cell>
          <cell r="Y171" t="str">
            <v/>
          </cell>
          <cell r="AA171" t="str">
            <v/>
          </cell>
          <cell r="AB171">
            <v>0</v>
          </cell>
          <cell r="AC171">
            <v>0</v>
          </cell>
          <cell r="AI171" t="str">
            <v/>
          </cell>
          <cell r="AJ171" t="str">
            <v/>
          </cell>
          <cell r="AK171">
            <v>0</v>
          </cell>
          <cell r="AL171">
            <v>0</v>
          </cell>
          <cell r="AM171">
            <v>0</v>
          </cell>
        </row>
        <row r="172">
          <cell r="C172" t="str">
            <v/>
          </cell>
          <cell r="D172" t="str">
            <v/>
          </cell>
          <cell r="O172" t="str">
            <v/>
          </cell>
          <cell r="T172" t="str">
            <v/>
          </cell>
          <cell r="U172" t="str">
            <v/>
          </cell>
          <cell r="V172" t="str">
            <v/>
          </cell>
          <cell r="W172" t="str">
            <v/>
          </cell>
          <cell r="Y172" t="str">
            <v/>
          </cell>
          <cell r="AA172" t="str">
            <v/>
          </cell>
          <cell r="AB172">
            <v>0</v>
          </cell>
          <cell r="AC172">
            <v>0</v>
          </cell>
          <cell r="AI172" t="str">
            <v/>
          </cell>
          <cell r="AJ172" t="str">
            <v/>
          </cell>
          <cell r="AK172">
            <v>0</v>
          </cell>
          <cell r="AL172">
            <v>0</v>
          </cell>
          <cell r="AM172">
            <v>0</v>
          </cell>
        </row>
        <row r="173">
          <cell r="C173" t="str">
            <v/>
          </cell>
          <cell r="D173" t="str">
            <v/>
          </cell>
          <cell r="O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/>
          </cell>
          <cell r="Y173" t="str">
            <v/>
          </cell>
          <cell r="AA173" t="str">
            <v/>
          </cell>
          <cell r="AB173">
            <v>0</v>
          </cell>
          <cell r="AC173">
            <v>0</v>
          </cell>
          <cell r="AI173" t="str">
            <v/>
          </cell>
          <cell r="AJ173" t="str">
            <v/>
          </cell>
          <cell r="AK173">
            <v>0</v>
          </cell>
          <cell r="AL173">
            <v>0</v>
          </cell>
          <cell r="AM173">
            <v>0</v>
          </cell>
        </row>
        <row r="174">
          <cell r="C174" t="str">
            <v/>
          </cell>
          <cell r="D174" t="str">
            <v/>
          </cell>
          <cell r="O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/>
          </cell>
          <cell r="Y174" t="str">
            <v/>
          </cell>
          <cell r="AA174" t="str">
            <v/>
          </cell>
          <cell r="AB174">
            <v>0</v>
          </cell>
          <cell r="AC174">
            <v>0</v>
          </cell>
          <cell r="AI174" t="str">
            <v/>
          </cell>
          <cell r="AJ174" t="str">
            <v/>
          </cell>
          <cell r="AK174">
            <v>0</v>
          </cell>
          <cell r="AL174">
            <v>0</v>
          </cell>
          <cell r="AM174">
            <v>0</v>
          </cell>
        </row>
        <row r="175">
          <cell r="C175" t="str">
            <v/>
          </cell>
          <cell r="D175" t="str">
            <v/>
          </cell>
          <cell r="O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/>
          </cell>
          <cell r="Y175" t="str">
            <v/>
          </cell>
          <cell r="AA175" t="str">
            <v/>
          </cell>
          <cell r="AB175">
            <v>0</v>
          </cell>
          <cell r="AC175">
            <v>0</v>
          </cell>
          <cell r="AI175" t="str">
            <v/>
          </cell>
          <cell r="AJ175" t="str">
            <v/>
          </cell>
          <cell r="AK175">
            <v>0</v>
          </cell>
          <cell r="AL175">
            <v>0</v>
          </cell>
          <cell r="AM175">
            <v>0</v>
          </cell>
        </row>
        <row r="176">
          <cell r="C176" t="str">
            <v/>
          </cell>
          <cell r="D176" t="str">
            <v/>
          </cell>
          <cell r="O176" t="str">
            <v/>
          </cell>
          <cell r="T176" t="str">
            <v/>
          </cell>
          <cell r="U176" t="str">
            <v/>
          </cell>
          <cell r="V176" t="str">
            <v/>
          </cell>
          <cell r="W176" t="str">
            <v/>
          </cell>
          <cell r="Y176" t="str">
            <v/>
          </cell>
          <cell r="AA176" t="str">
            <v/>
          </cell>
          <cell r="AB176">
            <v>0</v>
          </cell>
          <cell r="AC176">
            <v>0</v>
          </cell>
          <cell r="AI176" t="str">
            <v/>
          </cell>
          <cell r="AJ176" t="str">
            <v/>
          </cell>
          <cell r="AK176">
            <v>0</v>
          </cell>
          <cell r="AL176">
            <v>0</v>
          </cell>
          <cell r="AM176">
            <v>0</v>
          </cell>
        </row>
        <row r="177">
          <cell r="C177" t="str">
            <v/>
          </cell>
          <cell r="D177" t="str">
            <v/>
          </cell>
          <cell r="O177" t="str">
            <v/>
          </cell>
          <cell r="T177" t="str">
            <v/>
          </cell>
          <cell r="U177" t="str">
            <v/>
          </cell>
          <cell r="V177" t="str">
            <v/>
          </cell>
          <cell r="W177" t="str">
            <v/>
          </cell>
          <cell r="Y177" t="str">
            <v/>
          </cell>
          <cell r="AA177" t="str">
            <v/>
          </cell>
          <cell r="AB177">
            <v>0</v>
          </cell>
          <cell r="AC177">
            <v>0</v>
          </cell>
          <cell r="AI177" t="str">
            <v/>
          </cell>
          <cell r="AJ177" t="str">
            <v/>
          </cell>
          <cell r="AK177">
            <v>0</v>
          </cell>
          <cell r="AL177">
            <v>0</v>
          </cell>
          <cell r="AM177">
            <v>0</v>
          </cell>
        </row>
        <row r="178">
          <cell r="C178" t="str">
            <v/>
          </cell>
          <cell r="D178" t="str">
            <v/>
          </cell>
          <cell r="O178" t="str">
            <v/>
          </cell>
          <cell r="T178" t="str">
            <v/>
          </cell>
          <cell r="U178" t="str">
            <v/>
          </cell>
          <cell r="V178" t="str">
            <v/>
          </cell>
          <cell r="W178" t="str">
            <v/>
          </cell>
          <cell r="Y178" t="str">
            <v/>
          </cell>
          <cell r="AA178" t="str">
            <v/>
          </cell>
          <cell r="AB178">
            <v>0</v>
          </cell>
          <cell r="AC178">
            <v>0</v>
          </cell>
          <cell r="AI178" t="str">
            <v/>
          </cell>
          <cell r="AJ178" t="str">
            <v/>
          </cell>
          <cell r="AK178">
            <v>0</v>
          </cell>
          <cell r="AL178">
            <v>0</v>
          </cell>
          <cell r="AM178">
            <v>0</v>
          </cell>
        </row>
        <row r="179">
          <cell r="C179" t="str">
            <v/>
          </cell>
          <cell r="D179" t="str">
            <v/>
          </cell>
          <cell r="O179" t="str">
            <v/>
          </cell>
          <cell r="T179" t="str">
            <v/>
          </cell>
          <cell r="U179" t="str">
            <v/>
          </cell>
          <cell r="V179" t="str">
            <v/>
          </cell>
          <cell r="W179" t="str">
            <v/>
          </cell>
          <cell r="Y179" t="str">
            <v/>
          </cell>
          <cell r="AA179" t="str">
            <v/>
          </cell>
          <cell r="AB179">
            <v>0</v>
          </cell>
          <cell r="AC179">
            <v>0</v>
          </cell>
          <cell r="AI179" t="str">
            <v/>
          </cell>
          <cell r="AJ179" t="str">
            <v/>
          </cell>
          <cell r="AK179">
            <v>0</v>
          </cell>
          <cell r="AL179">
            <v>0</v>
          </cell>
          <cell r="AM179">
            <v>0</v>
          </cell>
        </row>
        <row r="180">
          <cell r="C180" t="str">
            <v/>
          </cell>
          <cell r="D180" t="str">
            <v/>
          </cell>
          <cell r="O180" t="str">
            <v/>
          </cell>
          <cell r="T180" t="str">
            <v/>
          </cell>
          <cell r="U180" t="str">
            <v/>
          </cell>
          <cell r="V180" t="str">
            <v/>
          </cell>
          <cell r="W180" t="str">
            <v/>
          </cell>
          <cell r="Y180" t="str">
            <v/>
          </cell>
          <cell r="AA180" t="str">
            <v/>
          </cell>
          <cell r="AB180">
            <v>0</v>
          </cell>
          <cell r="AC180">
            <v>0</v>
          </cell>
          <cell r="AI180" t="str">
            <v/>
          </cell>
          <cell r="AJ180" t="str">
            <v/>
          </cell>
          <cell r="AK180">
            <v>0</v>
          </cell>
          <cell r="AL180">
            <v>0</v>
          </cell>
          <cell r="AM180">
            <v>0</v>
          </cell>
        </row>
        <row r="181">
          <cell r="C181" t="str">
            <v/>
          </cell>
          <cell r="D181" t="str">
            <v/>
          </cell>
          <cell r="O181" t="str">
            <v/>
          </cell>
          <cell r="T181" t="str">
            <v/>
          </cell>
          <cell r="U181" t="str">
            <v/>
          </cell>
          <cell r="V181" t="str">
            <v/>
          </cell>
          <cell r="W181" t="str">
            <v/>
          </cell>
          <cell r="Y181" t="str">
            <v/>
          </cell>
          <cell r="AA181" t="str">
            <v/>
          </cell>
          <cell r="AB181">
            <v>0</v>
          </cell>
          <cell r="AC181">
            <v>0</v>
          </cell>
          <cell r="AI181" t="str">
            <v/>
          </cell>
          <cell r="AJ181" t="str">
            <v/>
          </cell>
          <cell r="AK181">
            <v>0</v>
          </cell>
          <cell r="AL181">
            <v>0</v>
          </cell>
          <cell r="AM181">
            <v>0</v>
          </cell>
        </row>
        <row r="182">
          <cell r="C182" t="str">
            <v/>
          </cell>
          <cell r="D182" t="str">
            <v/>
          </cell>
          <cell r="O182" t="str">
            <v/>
          </cell>
          <cell r="T182" t="str">
            <v/>
          </cell>
          <cell r="U182" t="str">
            <v/>
          </cell>
          <cell r="V182" t="str">
            <v/>
          </cell>
          <cell r="W182" t="str">
            <v/>
          </cell>
          <cell r="Y182" t="str">
            <v/>
          </cell>
          <cell r="AA182" t="str">
            <v/>
          </cell>
          <cell r="AB182">
            <v>0</v>
          </cell>
          <cell r="AC182">
            <v>0</v>
          </cell>
          <cell r="AI182" t="str">
            <v/>
          </cell>
          <cell r="AJ182" t="str">
            <v/>
          </cell>
          <cell r="AK182">
            <v>0</v>
          </cell>
          <cell r="AL182">
            <v>0</v>
          </cell>
          <cell r="AM182">
            <v>0</v>
          </cell>
        </row>
        <row r="183">
          <cell r="C183" t="str">
            <v/>
          </cell>
          <cell r="D183" t="str">
            <v/>
          </cell>
          <cell r="O183" t="str">
            <v/>
          </cell>
          <cell r="T183" t="str">
            <v/>
          </cell>
          <cell r="U183" t="str">
            <v/>
          </cell>
          <cell r="V183" t="str">
            <v/>
          </cell>
          <cell r="W183" t="str">
            <v/>
          </cell>
          <cell r="Y183" t="str">
            <v/>
          </cell>
          <cell r="AA183" t="str">
            <v/>
          </cell>
          <cell r="AB183">
            <v>0</v>
          </cell>
          <cell r="AC183">
            <v>0</v>
          </cell>
          <cell r="AI183" t="str">
            <v/>
          </cell>
          <cell r="AJ183" t="str">
            <v/>
          </cell>
          <cell r="AK183">
            <v>0</v>
          </cell>
          <cell r="AL183">
            <v>0</v>
          </cell>
          <cell r="AM183">
            <v>0</v>
          </cell>
        </row>
        <row r="184">
          <cell r="C184" t="str">
            <v/>
          </cell>
          <cell r="D184" t="str">
            <v/>
          </cell>
          <cell r="O184" t="str">
            <v/>
          </cell>
          <cell r="T184" t="str">
            <v/>
          </cell>
          <cell r="U184" t="str">
            <v/>
          </cell>
          <cell r="V184" t="str">
            <v/>
          </cell>
          <cell r="W184" t="str">
            <v/>
          </cell>
          <cell r="Y184" t="str">
            <v/>
          </cell>
          <cell r="AA184" t="str">
            <v/>
          </cell>
          <cell r="AB184">
            <v>0</v>
          </cell>
          <cell r="AC184">
            <v>0</v>
          </cell>
          <cell r="AI184" t="str">
            <v/>
          </cell>
          <cell r="AJ184" t="str">
            <v/>
          </cell>
          <cell r="AK184">
            <v>0</v>
          </cell>
          <cell r="AL184">
            <v>0</v>
          </cell>
          <cell r="AM184">
            <v>0</v>
          </cell>
        </row>
        <row r="185">
          <cell r="C185" t="str">
            <v/>
          </cell>
          <cell r="D185" t="str">
            <v/>
          </cell>
          <cell r="O185" t="str">
            <v/>
          </cell>
          <cell r="T185" t="str">
            <v/>
          </cell>
          <cell r="U185" t="str">
            <v/>
          </cell>
          <cell r="V185" t="str">
            <v/>
          </cell>
          <cell r="W185" t="str">
            <v/>
          </cell>
          <cell r="Y185" t="str">
            <v/>
          </cell>
          <cell r="AA185" t="str">
            <v/>
          </cell>
          <cell r="AB185">
            <v>0</v>
          </cell>
          <cell r="AC185">
            <v>0</v>
          </cell>
          <cell r="AI185" t="str">
            <v/>
          </cell>
          <cell r="AJ185" t="str">
            <v/>
          </cell>
          <cell r="AK185">
            <v>0</v>
          </cell>
          <cell r="AL185">
            <v>0</v>
          </cell>
          <cell r="AM185">
            <v>0</v>
          </cell>
        </row>
        <row r="186">
          <cell r="C186" t="str">
            <v/>
          </cell>
          <cell r="D186" t="str">
            <v/>
          </cell>
          <cell r="O186" t="str">
            <v/>
          </cell>
          <cell r="T186" t="str">
            <v/>
          </cell>
          <cell r="U186" t="str">
            <v/>
          </cell>
          <cell r="V186" t="str">
            <v/>
          </cell>
          <cell r="W186" t="str">
            <v/>
          </cell>
          <cell r="Y186" t="str">
            <v/>
          </cell>
          <cell r="AA186" t="str">
            <v/>
          </cell>
          <cell r="AB186">
            <v>0</v>
          </cell>
          <cell r="AC186">
            <v>0</v>
          </cell>
          <cell r="AI186" t="str">
            <v/>
          </cell>
          <cell r="AJ186" t="str">
            <v/>
          </cell>
          <cell r="AK186">
            <v>0</v>
          </cell>
          <cell r="AL186">
            <v>0</v>
          </cell>
          <cell r="AM186">
            <v>0</v>
          </cell>
        </row>
        <row r="187">
          <cell r="C187" t="str">
            <v/>
          </cell>
          <cell r="D187" t="str">
            <v/>
          </cell>
          <cell r="O187" t="str">
            <v/>
          </cell>
          <cell r="T187" t="str">
            <v/>
          </cell>
          <cell r="U187" t="str">
            <v/>
          </cell>
          <cell r="V187" t="str">
            <v/>
          </cell>
          <cell r="W187" t="str">
            <v/>
          </cell>
          <cell r="Y187" t="str">
            <v/>
          </cell>
          <cell r="AA187" t="str">
            <v/>
          </cell>
          <cell r="AB187">
            <v>0</v>
          </cell>
          <cell r="AC187">
            <v>0</v>
          </cell>
          <cell r="AI187" t="str">
            <v/>
          </cell>
          <cell r="AJ187" t="str">
            <v/>
          </cell>
          <cell r="AK187">
            <v>0</v>
          </cell>
          <cell r="AL187">
            <v>0</v>
          </cell>
          <cell r="AM187">
            <v>0</v>
          </cell>
        </row>
        <row r="188">
          <cell r="C188" t="str">
            <v/>
          </cell>
          <cell r="D188" t="str">
            <v/>
          </cell>
          <cell r="O188" t="str">
            <v/>
          </cell>
          <cell r="T188" t="str">
            <v/>
          </cell>
          <cell r="U188" t="str">
            <v/>
          </cell>
          <cell r="V188" t="str">
            <v/>
          </cell>
          <cell r="W188" t="str">
            <v/>
          </cell>
          <cell r="Y188" t="str">
            <v/>
          </cell>
          <cell r="AA188" t="str">
            <v/>
          </cell>
          <cell r="AB188">
            <v>0</v>
          </cell>
          <cell r="AC188">
            <v>0</v>
          </cell>
          <cell r="AI188" t="str">
            <v/>
          </cell>
          <cell r="AJ188" t="str">
            <v/>
          </cell>
          <cell r="AK188">
            <v>0</v>
          </cell>
          <cell r="AL188">
            <v>0</v>
          </cell>
          <cell r="AM188">
            <v>0</v>
          </cell>
        </row>
        <row r="189">
          <cell r="C189" t="str">
            <v/>
          </cell>
          <cell r="D189" t="str">
            <v/>
          </cell>
          <cell r="O189" t="str">
            <v/>
          </cell>
          <cell r="T189" t="str">
            <v/>
          </cell>
          <cell r="U189" t="str">
            <v/>
          </cell>
          <cell r="V189" t="str">
            <v/>
          </cell>
          <cell r="W189" t="str">
            <v/>
          </cell>
          <cell r="Y189" t="str">
            <v/>
          </cell>
          <cell r="AA189" t="str">
            <v/>
          </cell>
          <cell r="AB189">
            <v>0</v>
          </cell>
          <cell r="AC189">
            <v>0</v>
          </cell>
          <cell r="AI189" t="str">
            <v/>
          </cell>
          <cell r="AJ189" t="str">
            <v/>
          </cell>
          <cell r="AK189">
            <v>0</v>
          </cell>
          <cell r="AL189">
            <v>0</v>
          </cell>
          <cell r="AM189">
            <v>0</v>
          </cell>
        </row>
        <row r="190">
          <cell r="C190" t="str">
            <v/>
          </cell>
          <cell r="D190" t="str">
            <v/>
          </cell>
          <cell r="O190" t="str">
            <v/>
          </cell>
          <cell r="T190" t="str">
            <v/>
          </cell>
          <cell r="U190" t="str">
            <v/>
          </cell>
          <cell r="V190" t="str">
            <v/>
          </cell>
          <cell r="W190" t="str">
            <v/>
          </cell>
          <cell r="Y190" t="str">
            <v/>
          </cell>
          <cell r="AA190" t="str">
            <v/>
          </cell>
          <cell r="AB190">
            <v>0</v>
          </cell>
          <cell r="AC190">
            <v>0</v>
          </cell>
          <cell r="AI190" t="str">
            <v/>
          </cell>
          <cell r="AJ190" t="str">
            <v/>
          </cell>
          <cell r="AK190">
            <v>0</v>
          </cell>
          <cell r="AL190">
            <v>0</v>
          </cell>
          <cell r="AM190">
            <v>0</v>
          </cell>
        </row>
        <row r="191">
          <cell r="C191" t="str">
            <v/>
          </cell>
          <cell r="D191" t="str">
            <v/>
          </cell>
          <cell r="O191" t="str">
            <v/>
          </cell>
          <cell r="T191" t="str">
            <v/>
          </cell>
          <cell r="U191" t="str">
            <v/>
          </cell>
          <cell r="V191" t="str">
            <v/>
          </cell>
          <cell r="W191" t="str">
            <v/>
          </cell>
          <cell r="Y191" t="str">
            <v/>
          </cell>
          <cell r="AA191" t="str">
            <v/>
          </cell>
          <cell r="AB191">
            <v>0</v>
          </cell>
          <cell r="AC191">
            <v>0</v>
          </cell>
          <cell r="AI191" t="str">
            <v/>
          </cell>
          <cell r="AJ191" t="str">
            <v/>
          </cell>
          <cell r="AK191">
            <v>0</v>
          </cell>
          <cell r="AL191">
            <v>0</v>
          </cell>
          <cell r="AM191">
            <v>0</v>
          </cell>
        </row>
        <row r="192">
          <cell r="C192" t="str">
            <v/>
          </cell>
          <cell r="D192" t="str">
            <v/>
          </cell>
          <cell r="O192" t="str">
            <v/>
          </cell>
          <cell r="T192" t="str">
            <v/>
          </cell>
          <cell r="U192" t="str">
            <v/>
          </cell>
          <cell r="V192" t="str">
            <v/>
          </cell>
          <cell r="W192" t="str">
            <v/>
          </cell>
          <cell r="Y192" t="str">
            <v/>
          </cell>
          <cell r="AA192" t="str">
            <v/>
          </cell>
          <cell r="AB192">
            <v>0</v>
          </cell>
          <cell r="AC192">
            <v>0</v>
          </cell>
          <cell r="AI192" t="str">
            <v/>
          </cell>
          <cell r="AJ192" t="str">
            <v/>
          </cell>
          <cell r="AK192">
            <v>0</v>
          </cell>
          <cell r="AL192">
            <v>0</v>
          </cell>
          <cell r="AM192">
            <v>0</v>
          </cell>
        </row>
        <row r="193">
          <cell r="C193" t="str">
            <v/>
          </cell>
          <cell r="D193" t="str">
            <v/>
          </cell>
          <cell r="O193" t="str">
            <v/>
          </cell>
          <cell r="T193" t="str">
            <v/>
          </cell>
          <cell r="U193" t="str">
            <v/>
          </cell>
          <cell r="V193" t="str">
            <v/>
          </cell>
          <cell r="W193" t="str">
            <v/>
          </cell>
          <cell r="Y193" t="str">
            <v/>
          </cell>
          <cell r="AA193" t="str">
            <v/>
          </cell>
          <cell r="AB193">
            <v>0</v>
          </cell>
          <cell r="AC193">
            <v>0</v>
          </cell>
          <cell r="AI193" t="str">
            <v/>
          </cell>
          <cell r="AJ193" t="str">
            <v/>
          </cell>
          <cell r="AK193">
            <v>0</v>
          </cell>
          <cell r="AL193">
            <v>0</v>
          </cell>
          <cell r="AM193">
            <v>0</v>
          </cell>
        </row>
        <row r="194">
          <cell r="C194" t="str">
            <v/>
          </cell>
          <cell r="D194" t="str">
            <v/>
          </cell>
          <cell r="O194" t="str">
            <v/>
          </cell>
          <cell r="T194" t="str">
            <v/>
          </cell>
          <cell r="U194" t="str">
            <v/>
          </cell>
          <cell r="V194" t="str">
            <v/>
          </cell>
          <cell r="W194" t="str">
            <v/>
          </cell>
          <cell r="Y194" t="str">
            <v/>
          </cell>
          <cell r="AA194" t="str">
            <v/>
          </cell>
          <cell r="AB194">
            <v>0</v>
          </cell>
          <cell r="AC194">
            <v>0</v>
          </cell>
          <cell r="AI194" t="str">
            <v/>
          </cell>
          <cell r="AJ194" t="str">
            <v/>
          </cell>
          <cell r="AK194">
            <v>0</v>
          </cell>
          <cell r="AL194">
            <v>0</v>
          </cell>
          <cell r="AM194">
            <v>0</v>
          </cell>
        </row>
        <row r="195">
          <cell r="C195" t="str">
            <v/>
          </cell>
          <cell r="D195" t="str">
            <v/>
          </cell>
          <cell r="O195" t="str">
            <v/>
          </cell>
          <cell r="T195" t="str">
            <v/>
          </cell>
          <cell r="U195" t="str">
            <v/>
          </cell>
          <cell r="V195" t="str">
            <v/>
          </cell>
          <cell r="W195" t="str">
            <v/>
          </cell>
          <cell r="Y195" t="str">
            <v/>
          </cell>
          <cell r="AA195" t="str">
            <v/>
          </cell>
          <cell r="AB195">
            <v>0</v>
          </cell>
          <cell r="AC195">
            <v>0</v>
          </cell>
          <cell r="AI195" t="str">
            <v/>
          </cell>
          <cell r="AJ195" t="str">
            <v/>
          </cell>
          <cell r="AK195">
            <v>0</v>
          </cell>
          <cell r="AL195">
            <v>0</v>
          </cell>
          <cell r="AM195">
            <v>0</v>
          </cell>
        </row>
        <row r="196">
          <cell r="C196" t="str">
            <v/>
          </cell>
          <cell r="D196" t="str">
            <v/>
          </cell>
          <cell r="O196" t="str">
            <v/>
          </cell>
          <cell r="T196" t="str">
            <v/>
          </cell>
          <cell r="U196" t="str">
            <v/>
          </cell>
          <cell r="V196" t="str">
            <v/>
          </cell>
          <cell r="W196" t="str">
            <v/>
          </cell>
          <cell r="Y196" t="str">
            <v/>
          </cell>
          <cell r="AA196" t="str">
            <v/>
          </cell>
          <cell r="AB196">
            <v>0</v>
          </cell>
          <cell r="AC196">
            <v>0</v>
          </cell>
          <cell r="AI196" t="str">
            <v/>
          </cell>
          <cell r="AJ196" t="str">
            <v/>
          </cell>
          <cell r="AK196">
            <v>0</v>
          </cell>
          <cell r="AL196">
            <v>0</v>
          </cell>
          <cell r="AM196">
            <v>0</v>
          </cell>
        </row>
        <row r="197">
          <cell r="C197" t="str">
            <v/>
          </cell>
          <cell r="D197" t="str">
            <v/>
          </cell>
          <cell r="O197" t="str">
            <v/>
          </cell>
          <cell r="T197" t="str">
            <v/>
          </cell>
          <cell r="U197" t="str">
            <v/>
          </cell>
          <cell r="V197" t="str">
            <v/>
          </cell>
          <cell r="W197" t="str">
            <v/>
          </cell>
          <cell r="Y197" t="str">
            <v/>
          </cell>
          <cell r="AA197" t="str">
            <v/>
          </cell>
          <cell r="AB197">
            <v>0</v>
          </cell>
          <cell r="AC197">
            <v>0</v>
          </cell>
          <cell r="AI197" t="str">
            <v/>
          </cell>
          <cell r="AJ197" t="str">
            <v/>
          </cell>
          <cell r="AK197">
            <v>0</v>
          </cell>
          <cell r="AL197">
            <v>0</v>
          </cell>
          <cell r="AM197">
            <v>0</v>
          </cell>
        </row>
        <row r="198">
          <cell r="C198" t="str">
            <v/>
          </cell>
          <cell r="D198" t="str">
            <v/>
          </cell>
          <cell r="O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/>
          </cell>
          <cell r="Y198" t="str">
            <v/>
          </cell>
          <cell r="AA198" t="str">
            <v/>
          </cell>
          <cell r="AB198">
            <v>0</v>
          </cell>
          <cell r="AC198">
            <v>0</v>
          </cell>
          <cell r="AI198" t="str">
            <v/>
          </cell>
          <cell r="AJ198" t="str">
            <v/>
          </cell>
          <cell r="AK198">
            <v>0</v>
          </cell>
          <cell r="AL198">
            <v>0</v>
          </cell>
          <cell r="AM198">
            <v>0</v>
          </cell>
        </row>
        <row r="199">
          <cell r="C199" t="str">
            <v/>
          </cell>
          <cell r="D199" t="str">
            <v/>
          </cell>
          <cell r="O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/>
          </cell>
          <cell r="Y199" t="str">
            <v/>
          </cell>
          <cell r="AA199" t="str">
            <v/>
          </cell>
          <cell r="AB199">
            <v>0</v>
          </cell>
          <cell r="AC199">
            <v>0</v>
          </cell>
          <cell r="AI199" t="str">
            <v/>
          </cell>
          <cell r="AJ199" t="str">
            <v/>
          </cell>
          <cell r="AK199">
            <v>0</v>
          </cell>
          <cell r="AL199">
            <v>0</v>
          </cell>
          <cell r="AM199">
            <v>0</v>
          </cell>
        </row>
        <row r="200">
          <cell r="C200" t="str">
            <v/>
          </cell>
          <cell r="D200" t="str">
            <v/>
          </cell>
          <cell r="O200" t="str">
            <v/>
          </cell>
          <cell r="T200" t="str">
            <v/>
          </cell>
          <cell r="U200" t="str">
            <v/>
          </cell>
          <cell r="V200" t="str">
            <v/>
          </cell>
          <cell r="W200" t="str">
            <v/>
          </cell>
          <cell r="Y200" t="str">
            <v/>
          </cell>
          <cell r="AA200" t="str">
            <v/>
          </cell>
          <cell r="AB200">
            <v>0</v>
          </cell>
          <cell r="AC200">
            <v>0</v>
          </cell>
          <cell r="AI200" t="str">
            <v/>
          </cell>
          <cell r="AJ200" t="str">
            <v/>
          </cell>
          <cell r="AK200">
            <v>0</v>
          </cell>
          <cell r="AL200">
            <v>0</v>
          </cell>
          <cell r="AM200">
            <v>0</v>
          </cell>
        </row>
        <row r="201">
          <cell r="C201" t="str">
            <v/>
          </cell>
          <cell r="D201" t="str">
            <v/>
          </cell>
          <cell r="O201" t="str">
            <v/>
          </cell>
          <cell r="T201" t="str">
            <v/>
          </cell>
          <cell r="U201" t="str">
            <v/>
          </cell>
          <cell r="V201" t="str">
            <v/>
          </cell>
          <cell r="W201" t="str">
            <v/>
          </cell>
          <cell r="Y201" t="str">
            <v/>
          </cell>
          <cell r="AA201" t="str">
            <v/>
          </cell>
          <cell r="AB201">
            <v>0</v>
          </cell>
          <cell r="AC201">
            <v>0</v>
          </cell>
          <cell r="AI201" t="str">
            <v/>
          </cell>
          <cell r="AJ201" t="str">
            <v/>
          </cell>
          <cell r="AK201">
            <v>0</v>
          </cell>
          <cell r="AL201">
            <v>0</v>
          </cell>
          <cell r="AM201">
            <v>0</v>
          </cell>
        </row>
        <row r="202">
          <cell r="C202" t="str">
            <v/>
          </cell>
          <cell r="D202" t="str">
            <v/>
          </cell>
          <cell r="O202" t="str">
            <v/>
          </cell>
          <cell r="T202" t="str">
            <v/>
          </cell>
          <cell r="U202" t="str">
            <v/>
          </cell>
          <cell r="V202" t="str">
            <v/>
          </cell>
          <cell r="W202" t="str">
            <v/>
          </cell>
          <cell r="Y202" t="str">
            <v/>
          </cell>
          <cell r="AA202" t="str">
            <v/>
          </cell>
          <cell r="AB202">
            <v>0</v>
          </cell>
          <cell r="AC202">
            <v>0</v>
          </cell>
          <cell r="AI202" t="str">
            <v/>
          </cell>
          <cell r="AJ202" t="str">
            <v/>
          </cell>
          <cell r="AK202">
            <v>0</v>
          </cell>
          <cell r="AL202">
            <v>0</v>
          </cell>
          <cell r="AM202">
            <v>0</v>
          </cell>
        </row>
        <row r="203">
          <cell r="C203" t="str">
            <v/>
          </cell>
          <cell r="D203" t="str">
            <v/>
          </cell>
          <cell r="O203" t="str">
            <v/>
          </cell>
          <cell r="T203" t="str">
            <v/>
          </cell>
          <cell r="U203" t="str">
            <v/>
          </cell>
          <cell r="V203" t="str">
            <v/>
          </cell>
          <cell r="W203" t="str">
            <v/>
          </cell>
          <cell r="Y203" t="str">
            <v/>
          </cell>
          <cell r="AA203" t="str">
            <v/>
          </cell>
          <cell r="AB203">
            <v>0</v>
          </cell>
          <cell r="AC203">
            <v>0</v>
          </cell>
          <cell r="AI203" t="str">
            <v/>
          </cell>
          <cell r="AJ203" t="str">
            <v/>
          </cell>
          <cell r="AK203">
            <v>0</v>
          </cell>
          <cell r="AL203">
            <v>0</v>
          </cell>
          <cell r="AM203">
            <v>0</v>
          </cell>
        </row>
        <row r="204">
          <cell r="C204" t="str">
            <v/>
          </cell>
          <cell r="D204" t="str">
            <v/>
          </cell>
          <cell r="O204" t="str">
            <v/>
          </cell>
          <cell r="T204" t="str">
            <v/>
          </cell>
          <cell r="U204" t="str">
            <v/>
          </cell>
          <cell r="V204" t="str">
            <v/>
          </cell>
          <cell r="W204" t="str">
            <v/>
          </cell>
          <cell r="Y204" t="str">
            <v/>
          </cell>
          <cell r="AA204" t="str">
            <v/>
          </cell>
          <cell r="AB204">
            <v>0</v>
          </cell>
          <cell r="AC204">
            <v>0</v>
          </cell>
          <cell r="AI204" t="str">
            <v/>
          </cell>
          <cell r="AJ204" t="str">
            <v/>
          </cell>
          <cell r="AK204">
            <v>0</v>
          </cell>
          <cell r="AL204">
            <v>0</v>
          </cell>
          <cell r="AM204">
            <v>0</v>
          </cell>
        </row>
        <row r="205">
          <cell r="C205" t="str">
            <v/>
          </cell>
          <cell r="D205" t="str">
            <v/>
          </cell>
          <cell r="O205" t="str">
            <v/>
          </cell>
          <cell r="T205" t="str">
            <v/>
          </cell>
          <cell r="U205" t="str">
            <v/>
          </cell>
          <cell r="V205" t="str">
            <v/>
          </cell>
          <cell r="W205" t="str">
            <v/>
          </cell>
          <cell r="Y205" t="str">
            <v/>
          </cell>
          <cell r="AA205" t="str">
            <v/>
          </cell>
          <cell r="AB205">
            <v>0</v>
          </cell>
          <cell r="AC205">
            <v>0</v>
          </cell>
          <cell r="AI205" t="str">
            <v/>
          </cell>
          <cell r="AJ205" t="str">
            <v/>
          </cell>
          <cell r="AK205">
            <v>0</v>
          </cell>
          <cell r="AL205">
            <v>0</v>
          </cell>
          <cell r="AM205">
            <v>0</v>
          </cell>
        </row>
        <row r="206">
          <cell r="C206" t="str">
            <v/>
          </cell>
          <cell r="D206" t="str">
            <v/>
          </cell>
          <cell r="O206" t="str">
            <v/>
          </cell>
          <cell r="T206" t="str">
            <v/>
          </cell>
          <cell r="U206" t="str">
            <v/>
          </cell>
          <cell r="V206" t="str">
            <v/>
          </cell>
          <cell r="W206" t="str">
            <v/>
          </cell>
          <cell r="Y206" t="str">
            <v/>
          </cell>
          <cell r="AA206" t="str">
            <v/>
          </cell>
          <cell r="AB206">
            <v>0</v>
          </cell>
          <cell r="AC206">
            <v>0</v>
          </cell>
          <cell r="AI206" t="str">
            <v/>
          </cell>
          <cell r="AJ206" t="str">
            <v/>
          </cell>
          <cell r="AK206">
            <v>0</v>
          </cell>
          <cell r="AL206">
            <v>0</v>
          </cell>
          <cell r="AM206">
            <v>0</v>
          </cell>
        </row>
        <row r="207">
          <cell r="C207" t="str">
            <v/>
          </cell>
          <cell r="D207" t="str">
            <v/>
          </cell>
          <cell r="O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/>
          </cell>
          <cell r="Y207" t="str">
            <v/>
          </cell>
          <cell r="AA207" t="str">
            <v/>
          </cell>
          <cell r="AB207">
            <v>0</v>
          </cell>
          <cell r="AC207">
            <v>0</v>
          </cell>
          <cell r="AI207" t="str">
            <v/>
          </cell>
          <cell r="AJ207" t="str">
            <v/>
          </cell>
          <cell r="AK207">
            <v>0</v>
          </cell>
          <cell r="AL207">
            <v>0</v>
          </cell>
          <cell r="AM207">
            <v>0</v>
          </cell>
        </row>
        <row r="208">
          <cell r="C208" t="str">
            <v/>
          </cell>
          <cell r="D208" t="str">
            <v/>
          </cell>
          <cell r="O208" t="str">
            <v/>
          </cell>
          <cell r="T208" t="str">
            <v/>
          </cell>
          <cell r="U208" t="str">
            <v/>
          </cell>
          <cell r="V208" t="str">
            <v/>
          </cell>
          <cell r="W208" t="str">
            <v/>
          </cell>
          <cell r="Y208" t="str">
            <v/>
          </cell>
          <cell r="AA208" t="str">
            <v/>
          </cell>
          <cell r="AB208">
            <v>0</v>
          </cell>
          <cell r="AC208">
            <v>0</v>
          </cell>
          <cell r="AI208" t="str">
            <v/>
          </cell>
          <cell r="AJ208" t="str">
            <v/>
          </cell>
          <cell r="AK208">
            <v>0</v>
          </cell>
          <cell r="AL208">
            <v>0</v>
          </cell>
          <cell r="AM208">
            <v>0</v>
          </cell>
        </row>
        <row r="209">
          <cell r="C209" t="str">
            <v/>
          </cell>
          <cell r="D209" t="str">
            <v/>
          </cell>
          <cell r="O209" t="str">
            <v/>
          </cell>
          <cell r="T209" t="str">
            <v/>
          </cell>
          <cell r="U209" t="str">
            <v/>
          </cell>
          <cell r="V209" t="str">
            <v/>
          </cell>
          <cell r="W209" t="str">
            <v/>
          </cell>
          <cell r="Y209" t="str">
            <v/>
          </cell>
          <cell r="AA209" t="str">
            <v/>
          </cell>
          <cell r="AB209">
            <v>0</v>
          </cell>
          <cell r="AC209">
            <v>0</v>
          </cell>
          <cell r="AI209" t="str">
            <v/>
          </cell>
          <cell r="AJ209" t="str">
            <v/>
          </cell>
          <cell r="AK209">
            <v>0</v>
          </cell>
          <cell r="AL209">
            <v>0</v>
          </cell>
          <cell r="AM209">
            <v>0</v>
          </cell>
        </row>
        <row r="210">
          <cell r="C210" t="str">
            <v/>
          </cell>
          <cell r="D210" t="str">
            <v/>
          </cell>
          <cell r="O210" t="str">
            <v/>
          </cell>
          <cell r="T210" t="str">
            <v/>
          </cell>
          <cell r="U210" t="str">
            <v/>
          </cell>
          <cell r="V210" t="str">
            <v/>
          </cell>
          <cell r="W210" t="str">
            <v/>
          </cell>
          <cell r="Y210" t="str">
            <v/>
          </cell>
          <cell r="AA210" t="str">
            <v/>
          </cell>
          <cell r="AB210">
            <v>0</v>
          </cell>
          <cell r="AC210">
            <v>0</v>
          </cell>
          <cell r="AI210" t="str">
            <v/>
          </cell>
          <cell r="AJ210" t="str">
            <v/>
          </cell>
          <cell r="AK210">
            <v>0</v>
          </cell>
          <cell r="AL210">
            <v>0</v>
          </cell>
          <cell r="AM210">
            <v>0</v>
          </cell>
        </row>
        <row r="211">
          <cell r="C211" t="str">
            <v/>
          </cell>
          <cell r="D211" t="str">
            <v/>
          </cell>
          <cell r="O211" t="str">
            <v/>
          </cell>
          <cell r="T211" t="str">
            <v/>
          </cell>
          <cell r="U211" t="str">
            <v/>
          </cell>
          <cell r="V211" t="str">
            <v/>
          </cell>
          <cell r="W211" t="str">
            <v/>
          </cell>
          <cell r="Y211" t="str">
            <v/>
          </cell>
          <cell r="AA211" t="str">
            <v/>
          </cell>
          <cell r="AB211">
            <v>0</v>
          </cell>
          <cell r="AC211">
            <v>0</v>
          </cell>
          <cell r="AI211" t="str">
            <v/>
          </cell>
          <cell r="AJ211" t="str">
            <v/>
          </cell>
          <cell r="AK211">
            <v>0</v>
          </cell>
          <cell r="AL211">
            <v>0</v>
          </cell>
          <cell r="AM211">
            <v>0</v>
          </cell>
        </row>
        <row r="212">
          <cell r="C212" t="str">
            <v/>
          </cell>
          <cell r="D212" t="str">
            <v/>
          </cell>
          <cell r="O212" t="str">
            <v/>
          </cell>
          <cell r="T212" t="str">
            <v/>
          </cell>
          <cell r="U212" t="str">
            <v/>
          </cell>
          <cell r="V212" t="str">
            <v/>
          </cell>
          <cell r="W212" t="str">
            <v/>
          </cell>
          <cell r="Y212" t="str">
            <v/>
          </cell>
          <cell r="AA212" t="str">
            <v/>
          </cell>
          <cell r="AB212">
            <v>0</v>
          </cell>
          <cell r="AC212">
            <v>0</v>
          </cell>
          <cell r="AI212" t="str">
            <v/>
          </cell>
          <cell r="AJ212" t="str">
            <v/>
          </cell>
          <cell r="AK212">
            <v>0</v>
          </cell>
          <cell r="AL212">
            <v>0</v>
          </cell>
          <cell r="AM212">
            <v>0</v>
          </cell>
        </row>
        <row r="213">
          <cell r="C213" t="str">
            <v/>
          </cell>
          <cell r="D213" t="str">
            <v/>
          </cell>
          <cell r="O213" t="str">
            <v/>
          </cell>
          <cell r="T213" t="str">
            <v/>
          </cell>
          <cell r="U213" t="str">
            <v/>
          </cell>
          <cell r="V213" t="str">
            <v/>
          </cell>
          <cell r="W213" t="str">
            <v/>
          </cell>
          <cell r="Y213" t="str">
            <v/>
          </cell>
          <cell r="AA213" t="str">
            <v/>
          </cell>
          <cell r="AB213">
            <v>0</v>
          </cell>
          <cell r="AC213">
            <v>0</v>
          </cell>
          <cell r="AI213" t="str">
            <v/>
          </cell>
          <cell r="AJ213" t="str">
            <v/>
          </cell>
          <cell r="AK213">
            <v>0</v>
          </cell>
          <cell r="AL213">
            <v>0</v>
          </cell>
          <cell r="AM213">
            <v>0</v>
          </cell>
        </row>
        <row r="214">
          <cell r="C214" t="str">
            <v/>
          </cell>
          <cell r="D214" t="str">
            <v/>
          </cell>
          <cell r="O214" t="str">
            <v/>
          </cell>
          <cell r="T214" t="str">
            <v/>
          </cell>
          <cell r="U214" t="str">
            <v/>
          </cell>
          <cell r="V214" t="str">
            <v/>
          </cell>
          <cell r="W214" t="str">
            <v/>
          </cell>
          <cell r="Y214" t="str">
            <v/>
          </cell>
          <cell r="AA214" t="str">
            <v/>
          </cell>
          <cell r="AB214">
            <v>0</v>
          </cell>
          <cell r="AC214">
            <v>0</v>
          </cell>
          <cell r="AI214" t="str">
            <v/>
          </cell>
          <cell r="AJ214" t="str">
            <v/>
          </cell>
          <cell r="AK214">
            <v>0</v>
          </cell>
          <cell r="AL214">
            <v>0</v>
          </cell>
          <cell r="AM214">
            <v>0</v>
          </cell>
        </row>
        <row r="215">
          <cell r="C215" t="str">
            <v/>
          </cell>
          <cell r="D215" t="str">
            <v/>
          </cell>
          <cell r="O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/>
          </cell>
          <cell r="Y215" t="str">
            <v/>
          </cell>
          <cell r="AA215" t="str">
            <v/>
          </cell>
          <cell r="AB215">
            <v>0</v>
          </cell>
          <cell r="AC215">
            <v>0</v>
          </cell>
          <cell r="AI215" t="str">
            <v/>
          </cell>
          <cell r="AJ215" t="str">
            <v/>
          </cell>
          <cell r="AK215">
            <v>0</v>
          </cell>
          <cell r="AL215">
            <v>0</v>
          </cell>
          <cell r="AM215">
            <v>0</v>
          </cell>
        </row>
        <row r="216">
          <cell r="C216" t="str">
            <v/>
          </cell>
          <cell r="D216" t="str">
            <v/>
          </cell>
          <cell r="O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/>
          </cell>
          <cell r="Y216" t="str">
            <v/>
          </cell>
          <cell r="AA216" t="str">
            <v/>
          </cell>
          <cell r="AB216">
            <v>0</v>
          </cell>
          <cell r="AC216">
            <v>0</v>
          </cell>
          <cell r="AI216" t="str">
            <v/>
          </cell>
          <cell r="AJ216" t="str">
            <v/>
          </cell>
          <cell r="AK216">
            <v>0</v>
          </cell>
          <cell r="AL216">
            <v>0</v>
          </cell>
          <cell r="AM216">
            <v>0</v>
          </cell>
        </row>
        <row r="217">
          <cell r="C217" t="str">
            <v/>
          </cell>
          <cell r="D217" t="str">
            <v/>
          </cell>
          <cell r="O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/>
          </cell>
          <cell r="Y217" t="str">
            <v/>
          </cell>
          <cell r="AA217" t="str">
            <v/>
          </cell>
          <cell r="AB217">
            <v>0</v>
          </cell>
          <cell r="AC217">
            <v>0</v>
          </cell>
          <cell r="AI217" t="str">
            <v/>
          </cell>
          <cell r="AJ217" t="str">
            <v/>
          </cell>
          <cell r="AK217">
            <v>0</v>
          </cell>
          <cell r="AL217">
            <v>0</v>
          </cell>
          <cell r="AM217">
            <v>0</v>
          </cell>
        </row>
        <row r="218">
          <cell r="C218" t="str">
            <v/>
          </cell>
          <cell r="D218" t="str">
            <v/>
          </cell>
          <cell r="O218" t="str">
            <v/>
          </cell>
          <cell r="T218" t="str">
            <v/>
          </cell>
          <cell r="U218" t="str">
            <v/>
          </cell>
          <cell r="V218" t="str">
            <v/>
          </cell>
          <cell r="W218" t="str">
            <v/>
          </cell>
          <cell r="Y218" t="str">
            <v/>
          </cell>
          <cell r="AA218" t="str">
            <v/>
          </cell>
          <cell r="AB218">
            <v>0</v>
          </cell>
          <cell r="AC218">
            <v>0</v>
          </cell>
          <cell r="AI218" t="str">
            <v/>
          </cell>
          <cell r="AJ218" t="str">
            <v/>
          </cell>
          <cell r="AK218">
            <v>0</v>
          </cell>
          <cell r="AL218">
            <v>0</v>
          </cell>
          <cell r="AM218">
            <v>0</v>
          </cell>
        </row>
        <row r="219">
          <cell r="C219" t="str">
            <v/>
          </cell>
          <cell r="D219" t="str">
            <v/>
          </cell>
          <cell r="O219" t="str">
            <v/>
          </cell>
          <cell r="T219" t="str">
            <v/>
          </cell>
          <cell r="U219" t="str">
            <v/>
          </cell>
          <cell r="V219" t="str">
            <v/>
          </cell>
          <cell r="W219" t="str">
            <v/>
          </cell>
          <cell r="Y219" t="str">
            <v/>
          </cell>
          <cell r="AA219" t="str">
            <v/>
          </cell>
          <cell r="AB219">
            <v>0</v>
          </cell>
          <cell r="AC219">
            <v>0</v>
          </cell>
          <cell r="AI219" t="str">
            <v/>
          </cell>
          <cell r="AJ219" t="str">
            <v/>
          </cell>
          <cell r="AK219">
            <v>0</v>
          </cell>
          <cell r="AL219">
            <v>0</v>
          </cell>
          <cell r="AM219">
            <v>0</v>
          </cell>
        </row>
        <row r="220">
          <cell r="C220" t="str">
            <v/>
          </cell>
          <cell r="D220" t="str">
            <v/>
          </cell>
          <cell r="O220" t="str">
            <v/>
          </cell>
          <cell r="T220" t="str">
            <v/>
          </cell>
          <cell r="U220" t="str">
            <v/>
          </cell>
          <cell r="V220" t="str">
            <v/>
          </cell>
          <cell r="W220" t="str">
            <v/>
          </cell>
          <cell r="Y220" t="str">
            <v/>
          </cell>
          <cell r="AA220" t="str">
            <v/>
          </cell>
          <cell r="AB220">
            <v>0</v>
          </cell>
          <cell r="AC220">
            <v>0</v>
          </cell>
          <cell r="AI220" t="str">
            <v/>
          </cell>
          <cell r="AJ220" t="str">
            <v/>
          </cell>
          <cell r="AK220">
            <v>0</v>
          </cell>
          <cell r="AL220">
            <v>0</v>
          </cell>
          <cell r="AM220">
            <v>0</v>
          </cell>
        </row>
        <row r="221">
          <cell r="C221" t="str">
            <v/>
          </cell>
          <cell r="D221" t="str">
            <v/>
          </cell>
          <cell r="O221" t="str">
            <v/>
          </cell>
          <cell r="T221" t="str">
            <v/>
          </cell>
          <cell r="U221" t="str">
            <v/>
          </cell>
          <cell r="V221" t="str">
            <v/>
          </cell>
          <cell r="W221" t="str">
            <v/>
          </cell>
          <cell r="Y221" t="str">
            <v/>
          </cell>
          <cell r="AA221" t="str">
            <v/>
          </cell>
          <cell r="AB221">
            <v>0</v>
          </cell>
          <cell r="AC221">
            <v>0</v>
          </cell>
          <cell r="AI221" t="str">
            <v/>
          </cell>
          <cell r="AJ221" t="str">
            <v/>
          </cell>
          <cell r="AK221">
            <v>0</v>
          </cell>
          <cell r="AL221">
            <v>0</v>
          </cell>
          <cell r="AM221">
            <v>0</v>
          </cell>
        </row>
        <row r="222">
          <cell r="C222" t="str">
            <v/>
          </cell>
          <cell r="D222" t="str">
            <v/>
          </cell>
          <cell r="O222" t="str">
            <v/>
          </cell>
          <cell r="T222" t="str">
            <v/>
          </cell>
          <cell r="U222" t="str">
            <v/>
          </cell>
          <cell r="V222" t="str">
            <v/>
          </cell>
          <cell r="W222" t="str">
            <v/>
          </cell>
          <cell r="Y222" t="str">
            <v/>
          </cell>
          <cell r="AA222" t="str">
            <v/>
          </cell>
          <cell r="AB222">
            <v>0</v>
          </cell>
          <cell r="AC222">
            <v>0</v>
          </cell>
          <cell r="AI222" t="str">
            <v/>
          </cell>
          <cell r="AJ222" t="str">
            <v/>
          </cell>
          <cell r="AK222">
            <v>0</v>
          </cell>
          <cell r="AL222">
            <v>0</v>
          </cell>
          <cell r="AM222">
            <v>0</v>
          </cell>
        </row>
        <row r="223">
          <cell r="C223" t="str">
            <v/>
          </cell>
          <cell r="D223" t="str">
            <v/>
          </cell>
          <cell r="O223" t="str">
            <v/>
          </cell>
          <cell r="T223" t="str">
            <v/>
          </cell>
          <cell r="U223" t="str">
            <v/>
          </cell>
          <cell r="V223" t="str">
            <v/>
          </cell>
          <cell r="W223" t="str">
            <v/>
          </cell>
          <cell r="Y223" t="str">
            <v/>
          </cell>
          <cell r="AA223" t="str">
            <v/>
          </cell>
          <cell r="AB223">
            <v>0</v>
          </cell>
          <cell r="AC223">
            <v>0</v>
          </cell>
          <cell r="AI223" t="str">
            <v/>
          </cell>
          <cell r="AJ223" t="str">
            <v/>
          </cell>
          <cell r="AK223">
            <v>0</v>
          </cell>
          <cell r="AL223">
            <v>0</v>
          </cell>
          <cell r="AM223">
            <v>0</v>
          </cell>
        </row>
        <row r="224">
          <cell r="C224" t="str">
            <v/>
          </cell>
          <cell r="D224" t="str">
            <v/>
          </cell>
          <cell r="O224" t="str">
            <v/>
          </cell>
          <cell r="T224" t="str">
            <v/>
          </cell>
          <cell r="U224" t="str">
            <v/>
          </cell>
          <cell r="V224" t="str">
            <v/>
          </cell>
          <cell r="W224" t="str">
            <v/>
          </cell>
          <cell r="Y224" t="str">
            <v/>
          </cell>
          <cell r="AA224" t="str">
            <v/>
          </cell>
          <cell r="AB224">
            <v>0</v>
          </cell>
          <cell r="AC224">
            <v>0</v>
          </cell>
          <cell r="AI224" t="str">
            <v/>
          </cell>
          <cell r="AJ224" t="str">
            <v/>
          </cell>
          <cell r="AK224">
            <v>0</v>
          </cell>
          <cell r="AL224">
            <v>0</v>
          </cell>
          <cell r="AM224">
            <v>0</v>
          </cell>
        </row>
        <row r="225">
          <cell r="C225" t="str">
            <v/>
          </cell>
          <cell r="D225" t="str">
            <v/>
          </cell>
          <cell r="O225" t="str">
            <v/>
          </cell>
          <cell r="T225" t="str">
            <v/>
          </cell>
          <cell r="U225" t="str">
            <v/>
          </cell>
          <cell r="V225" t="str">
            <v/>
          </cell>
          <cell r="W225" t="str">
            <v/>
          </cell>
          <cell r="Y225" t="str">
            <v/>
          </cell>
          <cell r="AA225" t="str">
            <v/>
          </cell>
          <cell r="AB225">
            <v>0</v>
          </cell>
          <cell r="AC225">
            <v>0</v>
          </cell>
          <cell r="AI225" t="str">
            <v/>
          </cell>
          <cell r="AJ225" t="str">
            <v/>
          </cell>
          <cell r="AK225">
            <v>0</v>
          </cell>
          <cell r="AL225">
            <v>0</v>
          </cell>
          <cell r="AM225">
            <v>0</v>
          </cell>
        </row>
        <row r="226">
          <cell r="C226" t="str">
            <v/>
          </cell>
          <cell r="D226" t="str">
            <v/>
          </cell>
          <cell r="O226" t="str">
            <v/>
          </cell>
          <cell r="T226" t="str">
            <v/>
          </cell>
          <cell r="U226" t="str">
            <v/>
          </cell>
          <cell r="V226" t="str">
            <v/>
          </cell>
          <cell r="W226" t="str">
            <v/>
          </cell>
          <cell r="Y226" t="str">
            <v/>
          </cell>
          <cell r="AA226" t="str">
            <v/>
          </cell>
          <cell r="AB226">
            <v>0</v>
          </cell>
          <cell r="AC226">
            <v>0</v>
          </cell>
          <cell r="AI226" t="str">
            <v/>
          </cell>
          <cell r="AJ226" t="str">
            <v/>
          </cell>
          <cell r="AK226">
            <v>0</v>
          </cell>
          <cell r="AL226">
            <v>0</v>
          </cell>
          <cell r="AM226">
            <v>0</v>
          </cell>
        </row>
        <row r="227">
          <cell r="C227" t="str">
            <v/>
          </cell>
          <cell r="D227" t="str">
            <v/>
          </cell>
          <cell r="O227" t="str">
            <v/>
          </cell>
          <cell r="T227" t="str">
            <v/>
          </cell>
          <cell r="U227" t="str">
            <v/>
          </cell>
          <cell r="V227" t="str">
            <v/>
          </cell>
          <cell r="W227" t="str">
            <v/>
          </cell>
          <cell r="Y227" t="str">
            <v/>
          </cell>
          <cell r="AA227" t="str">
            <v/>
          </cell>
          <cell r="AB227">
            <v>0</v>
          </cell>
          <cell r="AC227">
            <v>0</v>
          </cell>
          <cell r="AI227" t="str">
            <v/>
          </cell>
          <cell r="AJ227" t="str">
            <v/>
          </cell>
          <cell r="AK227">
            <v>0</v>
          </cell>
          <cell r="AL227">
            <v>0</v>
          </cell>
          <cell r="AM227">
            <v>0</v>
          </cell>
        </row>
        <row r="228">
          <cell r="C228" t="str">
            <v/>
          </cell>
          <cell r="D228" t="str">
            <v/>
          </cell>
          <cell r="O228" t="str">
            <v/>
          </cell>
          <cell r="T228" t="str">
            <v/>
          </cell>
          <cell r="U228" t="str">
            <v/>
          </cell>
          <cell r="V228" t="str">
            <v/>
          </cell>
          <cell r="W228" t="str">
            <v/>
          </cell>
          <cell r="Y228" t="str">
            <v/>
          </cell>
          <cell r="AA228" t="str">
            <v/>
          </cell>
          <cell r="AB228">
            <v>0</v>
          </cell>
          <cell r="AC228">
            <v>0</v>
          </cell>
          <cell r="AI228" t="str">
            <v/>
          </cell>
          <cell r="AJ228" t="str">
            <v/>
          </cell>
          <cell r="AK228">
            <v>0</v>
          </cell>
          <cell r="AL228">
            <v>0</v>
          </cell>
          <cell r="AM228">
            <v>0</v>
          </cell>
        </row>
        <row r="229">
          <cell r="C229" t="str">
            <v/>
          </cell>
          <cell r="D229" t="str">
            <v/>
          </cell>
          <cell r="O229" t="str">
            <v/>
          </cell>
          <cell r="T229" t="str">
            <v/>
          </cell>
          <cell r="U229" t="str">
            <v/>
          </cell>
          <cell r="V229" t="str">
            <v/>
          </cell>
          <cell r="W229" t="str">
            <v/>
          </cell>
          <cell r="Y229" t="str">
            <v/>
          </cell>
          <cell r="AA229" t="str">
            <v/>
          </cell>
          <cell r="AB229">
            <v>0</v>
          </cell>
          <cell r="AC229">
            <v>0</v>
          </cell>
          <cell r="AI229" t="str">
            <v/>
          </cell>
          <cell r="AJ229" t="str">
            <v/>
          </cell>
          <cell r="AK229">
            <v>0</v>
          </cell>
          <cell r="AL229">
            <v>0</v>
          </cell>
          <cell r="AM229">
            <v>0</v>
          </cell>
        </row>
        <row r="230">
          <cell r="C230" t="str">
            <v/>
          </cell>
          <cell r="D230" t="str">
            <v/>
          </cell>
          <cell r="O230" t="str">
            <v/>
          </cell>
          <cell r="T230" t="str">
            <v/>
          </cell>
          <cell r="U230" t="str">
            <v/>
          </cell>
          <cell r="V230" t="str">
            <v/>
          </cell>
          <cell r="W230" t="str">
            <v/>
          </cell>
          <cell r="Y230" t="str">
            <v/>
          </cell>
          <cell r="AA230" t="str">
            <v/>
          </cell>
          <cell r="AB230">
            <v>0</v>
          </cell>
          <cell r="AC230">
            <v>0</v>
          </cell>
          <cell r="AI230" t="str">
            <v/>
          </cell>
          <cell r="AJ230" t="str">
            <v/>
          </cell>
          <cell r="AK230">
            <v>0</v>
          </cell>
          <cell r="AL230">
            <v>0</v>
          </cell>
          <cell r="AM230">
            <v>0</v>
          </cell>
        </row>
        <row r="231">
          <cell r="C231" t="str">
            <v/>
          </cell>
          <cell r="D231" t="str">
            <v/>
          </cell>
          <cell r="O231" t="str">
            <v/>
          </cell>
          <cell r="T231" t="str">
            <v/>
          </cell>
          <cell r="U231" t="str">
            <v/>
          </cell>
          <cell r="V231" t="str">
            <v/>
          </cell>
          <cell r="W231" t="str">
            <v/>
          </cell>
          <cell r="Y231" t="str">
            <v/>
          </cell>
          <cell r="AA231" t="str">
            <v/>
          </cell>
          <cell r="AB231">
            <v>0</v>
          </cell>
          <cell r="AC231">
            <v>0</v>
          </cell>
          <cell r="AI231" t="str">
            <v/>
          </cell>
          <cell r="AJ231" t="str">
            <v/>
          </cell>
          <cell r="AK231">
            <v>0</v>
          </cell>
          <cell r="AL231">
            <v>0</v>
          </cell>
          <cell r="AM231">
            <v>0</v>
          </cell>
        </row>
        <row r="232">
          <cell r="C232" t="str">
            <v/>
          </cell>
          <cell r="D232" t="str">
            <v/>
          </cell>
          <cell r="O232" t="str">
            <v/>
          </cell>
          <cell r="T232" t="str">
            <v/>
          </cell>
          <cell r="U232" t="str">
            <v/>
          </cell>
          <cell r="V232" t="str">
            <v/>
          </cell>
          <cell r="W232" t="str">
            <v/>
          </cell>
          <cell r="Y232" t="str">
            <v/>
          </cell>
          <cell r="AA232" t="str">
            <v/>
          </cell>
          <cell r="AB232">
            <v>0</v>
          </cell>
          <cell r="AC232">
            <v>0</v>
          </cell>
          <cell r="AI232" t="str">
            <v/>
          </cell>
          <cell r="AJ232" t="str">
            <v/>
          </cell>
          <cell r="AK232">
            <v>0</v>
          </cell>
          <cell r="AL232">
            <v>0</v>
          </cell>
          <cell r="AM232">
            <v>0</v>
          </cell>
        </row>
        <row r="233">
          <cell r="C233" t="str">
            <v/>
          </cell>
          <cell r="D233" t="str">
            <v/>
          </cell>
          <cell r="O233" t="str">
            <v/>
          </cell>
          <cell r="T233" t="str">
            <v/>
          </cell>
          <cell r="U233" t="str">
            <v/>
          </cell>
          <cell r="V233" t="str">
            <v/>
          </cell>
          <cell r="W233" t="str">
            <v/>
          </cell>
          <cell r="Y233" t="str">
            <v/>
          </cell>
          <cell r="AA233" t="str">
            <v/>
          </cell>
          <cell r="AB233">
            <v>0</v>
          </cell>
          <cell r="AC233">
            <v>0</v>
          </cell>
          <cell r="AI233" t="str">
            <v/>
          </cell>
          <cell r="AJ233" t="str">
            <v/>
          </cell>
          <cell r="AK233">
            <v>0</v>
          </cell>
          <cell r="AL233">
            <v>0</v>
          </cell>
          <cell r="AM233">
            <v>0</v>
          </cell>
        </row>
        <row r="234">
          <cell r="C234" t="str">
            <v/>
          </cell>
          <cell r="D234" t="str">
            <v/>
          </cell>
          <cell r="O234" t="str">
            <v/>
          </cell>
          <cell r="T234" t="str">
            <v/>
          </cell>
          <cell r="U234" t="str">
            <v/>
          </cell>
          <cell r="V234" t="str">
            <v/>
          </cell>
          <cell r="W234" t="str">
            <v/>
          </cell>
          <cell r="Y234" t="str">
            <v/>
          </cell>
          <cell r="AA234" t="str">
            <v/>
          </cell>
          <cell r="AB234">
            <v>0</v>
          </cell>
          <cell r="AC234">
            <v>0</v>
          </cell>
          <cell r="AI234" t="str">
            <v/>
          </cell>
          <cell r="AJ234" t="str">
            <v/>
          </cell>
          <cell r="AK234">
            <v>0</v>
          </cell>
          <cell r="AL234">
            <v>0</v>
          </cell>
          <cell r="AM234">
            <v>0</v>
          </cell>
        </row>
        <row r="235">
          <cell r="C235" t="str">
            <v/>
          </cell>
          <cell r="D235" t="str">
            <v/>
          </cell>
          <cell r="O235" t="str">
            <v/>
          </cell>
          <cell r="T235" t="str">
            <v/>
          </cell>
          <cell r="U235" t="str">
            <v/>
          </cell>
          <cell r="V235" t="str">
            <v/>
          </cell>
          <cell r="W235" t="str">
            <v/>
          </cell>
          <cell r="Y235" t="str">
            <v/>
          </cell>
          <cell r="AA235" t="str">
            <v/>
          </cell>
          <cell r="AB235">
            <v>0</v>
          </cell>
          <cell r="AC235">
            <v>0</v>
          </cell>
          <cell r="AI235" t="str">
            <v/>
          </cell>
          <cell r="AJ235" t="str">
            <v/>
          </cell>
          <cell r="AK235">
            <v>0</v>
          </cell>
          <cell r="AL235">
            <v>0</v>
          </cell>
          <cell r="AM235">
            <v>0</v>
          </cell>
        </row>
        <row r="236">
          <cell r="C236" t="str">
            <v/>
          </cell>
          <cell r="D236" t="str">
            <v/>
          </cell>
          <cell r="O236" t="str">
            <v/>
          </cell>
          <cell r="T236" t="str">
            <v/>
          </cell>
          <cell r="U236" t="str">
            <v/>
          </cell>
          <cell r="V236" t="str">
            <v/>
          </cell>
          <cell r="W236" t="str">
            <v/>
          </cell>
          <cell r="Y236" t="str">
            <v/>
          </cell>
          <cell r="AA236" t="str">
            <v/>
          </cell>
          <cell r="AB236">
            <v>0</v>
          </cell>
          <cell r="AC236">
            <v>0</v>
          </cell>
          <cell r="AI236" t="str">
            <v/>
          </cell>
          <cell r="AJ236" t="str">
            <v/>
          </cell>
          <cell r="AK236">
            <v>0</v>
          </cell>
          <cell r="AL236">
            <v>0</v>
          </cell>
          <cell r="AM236">
            <v>0</v>
          </cell>
        </row>
        <row r="237">
          <cell r="C237" t="str">
            <v/>
          </cell>
          <cell r="D237" t="str">
            <v/>
          </cell>
          <cell r="O237" t="str">
            <v/>
          </cell>
          <cell r="T237" t="str">
            <v/>
          </cell>
          <cell r="U237" t="str">
            <v/>
          </cell>
          <cell r="V237" t="str">
            <v/>
          </cell>
          <cell r="W237" t="str">
            <v/>
          </cell>
          <cell r="Y237" t="str">
            <v/>
          </cell>
          <cell r="AA237" t="str">
            <v/>
          </cell>
          <cell r="AB237">
            <v>0</v>
          </cell>
          <cell r="AC237">
            <v>0</v>
          </cell>
          <cell r="AI237" t="str">
            <v/>
          </cell>
          <cell r="AJ237" t="str">
            <v/>
          </cell>
          <cell r="AK237">
            <v>0</v>
          </cell>
          <cell r="AL237">
            <v>0</v>
          </cell>
          <cell r="AM237">
            <v>0</v>
          </cell>
        </row>
        <row r="238">
          <cell r="C238" t="str">
            <v/>
          </cell>
          <cell r="D238" t="str">
            <v/>
          </cell>
          <cell r="O238" t="str">
            <v/>
          </cell>
          <cell r="T238" t="str">
            <v/>
          </cell>
          <cell r="U238" t="str">
            <v/>
          </cell>
          <cell r="V238" t="str">
            <v/>
          </cell>
          <cell r="W238" t="str">
            <v/>
          </cell>
          <cell r="Y238" t="str">
            <v/>
          </cell>
          <cell r="AA238" t="str">
            <v/>
          </cell>
          <cell r="AB238">
            <v>0</v>
          </cell>
          <cell r="AC238">
            <v>0</v>
          </cell>
          <cell r="AI238" t="str">
            <v/>
          </cell>
          <cell r="AJ238" t="str">
            <v/>
          </cell>
          <cell r="AK238">
            <v>0</v>
          </cell>
          <cell r="AL238">
            <v>0</v>
          </cell>
          <cell r="AM238">
            <v>0</v>
          </cell>
        </row>
        <row r="239">
          <cell r="C239" t="str">
            <v/>
          </cell>
          <cell r="D239" t="str">
            <v/>
          </cell>
          <cell r="O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/>
          </cell>
          <cell r="Y239" t="str">
            <v/>
          </cell>
          <cell r="AA239" t="str">
            <v/>
          </cell>
          <cell r="AB239">
            <v>0</v>
          </cell>
          <cell r="AC239">
            <v>0</v>
          </cell>
          <cell r="AI239" t="str">
            <v/>
          </cell>
          <cell r="AJ239" t="str">
            <v/>
          </cell>
          <cell r="AK239">
            <v>0</v>
          </cell>
          <cell r="AL239">
            <v>0</v>
          </cell>
          <cell r="AM239">
            <v>0</v>
          </cell>
        </row>
        <row r="240">
          <cell r="C240" t="str">
            <v/>
          </cell>
          <cell r="D240" t="str">
            <v/>
          </cell>
          <cell r="O240" t="str">
            <v/>
          </cell>
          <cell r="T240" t="str">
            <v/>
          </cell>
          <cell r="U240" t="str">
            <v/>
          </cell>
          <cell r="V240" t="str">
            <v/>
          </cell>
          <cell r="W240" t="str">
            <v/>
          </cell>
          <cell r="Y240" t="str">
            <v/>
          </cell>
          <cell r="AA240" t="str">
            <v/>
          </cell>
          <cell r="AB240">
            <v>0</v>
          </cell>
          <cell r="AC240">
            <v>0</v>
          </cell>
          <cell r="AI240" t="str">
            <v/>
          </cell>
          <cell r="AJ240" t="str">
            <v/>
          </cell>
          <cell r="AK240">
            <v>0</v>
          </cell>
          <cell r="AL240">
            <v>0</v>
          </cell>
          <cell r="AM240">
            <v>0</v>
          </cell>
        </row>
        <row r="241">
          <cell r="C241" t="str">
            <v/>
          </cell>
          <cell r="D241" t="str">
            <v/>
          </cell>
          <cell r="O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/>
          </cell>
          <cell r="Y241" t="str">
            <v/>
          </cell>
          <cell r="AA241" t="str">
            <v/>
          </cell>
          <cell r="AB241">
            <v>0</v>
          </cell>
          <cell r="AC241">
            <v>0</v>
          </cell>
          <cell r="AI241" t="str">
            <v/>
          </cell>
          <cell r="AJ241" t="str">
            <v/>
          </cell>
          <cell r="AK241">
            <v>0</v>
          </cell>
          <cell r="AL241">
            <v>0</v>
          </cell>
          <cell r="AM241">
            <v>0</v>
          </cell>
        </row>
        <row r="242">
          <cell r="C242" t="str">
            <v/>
          </cell>
          <cell r="D242" t="str">
            <v/>
          </cell>
          <cell r="O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/>
          </cell>
          <cell r="Y242" t="str">
            <v/>
          </cell>
          <cell r="AA242" t="str">
            <v/>
          </cell>
          <cell r="AB242">
            <v>0</v>
          </cell>
          <cell r="AC242">
            <v>0</v>
          </cell>
          <cell r="AI242" t="str">
            <v/>
          </cell>
          <cell r="AJ242" t="str">
            <v/>
          </cell>
          <cell r="AK242">
            <v>0</v>
          </cell>
          <cell r="AL242">
            <v>0</v>
          </cell>
          <cell r="AM242">
            <v>0</v>
          </cell>
        </row>
        <row r="243">
          <cell r="C243" t="str">
            <v/>
          </cell>
          <cell r="D243" t="str">
            <v/>
          </cell>
          <cell r="O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/>
          </cell>
          <cell r="Y243" t="str">
            <v/>
          </cell>
          <cell r="AA243" t="str">
            <v/>
          </cell>
          <cell r="AB243">
            <v>0</v>
          </cell>
          <cell r="AC243">
            <v>0</v>
          </cell>
          <cell r="AI243" t="str">
            <v/>
          </cell>
          <cell r="AJ243" t="str">
            <v/>
          </cell>
          <cell r="AK243">
            <v>0</v>
          </cell>
          <cell r="AL243">
            <v>0</v>
          </cell>
          <cell r="AM243">
            <v>0</v>
          </cell>
        </row>
        <row r="244">
          <cell r="C244" t="str">
            <v/>
          </cell>
          <cell r="D244" t="str">
            <v/>
          </cell>
          <cell r="O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/>
          </cell>
          <cell r="Y244" t="str">
            <v/>
          </cell>
          <cell r="AA244" t="str">
            <v/>
          </cell>
          <cell r="AB244">
            <v>0</v>
          </cell>
          <cell r="AC244">
            <v>0</v>
          </cell>
          <cell r="AI244" t="str">
            <v/>
          </cell>
          <cell r="AJ244" t="str">
            <v/>
          </cell>
          <cell r="AK244">
            <v>0</v>
          </cell>
          <cell r="AL244">
            <v>0</v>
          </cell>
          <cell r="AM244">
            <v>0</v>
          </cell>
        </row>
        <row r="245">
          <cell r="C245" t="str">
            <v/>
          </cell>
          <cell r="D245" t="str">
            <v/>
          </cell>
          <cell r="O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/>
          </cell>
          <cell r="Y245" t="str">
            <v/>
          </cell>
          <cell r="AA245" t="str">
            <v/>
          </cell>
          <cell r="AB245">
            <v>0</v>
          </cell>
          <cell r="AC245">
            <v>0</v>
          </cell>
          <cell r="AI245" t="str">
            <v/>
          </cell>
          <cell r="AJ245" t="str">
            <v/>
          </cell>
          <cell r="AK245">
            <v>0</v>
          </cell>
          <cell r="AL245">
            <v>0</v>
          </cell>
          <cell r="AM245">
            <v>0</v>
          </cell>
        </row>
        <row r="246">
          <cell r="C246" t="str">
            <v/>
          </cell>
          <cell r="D246" t="str">
            <v/>
          </cell>
          <cell r="O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/>
          </cell>
          <cell r="Y246" t="str">
            <v/>
          </cell>
          <cell r="AA246" t="str">
            <v/>
          </cell>
          <cell r="AB246">
            <v>0</v>
          </cell>
          <cell r="AC246">
            <v>0</v>
          </cell>
          <cell r="AI246" t="str">
            <v/>
          </cell>
          <cell r="AJ246" t="str">
            <v/>
          </cell>
          <cell r="AK246">
            <v>0</v>
          </cell>
          <cell r="AL246">
            <v>0</v>
          </cell>
          <cell r="AM246">
            <v>0</v>
          </cell>
        </row>
        <row r="247">
          <cell r="C247" t="str">
            <v/>
          </cell>
          <cell r="D247" t="str">
            <v/>
          </cell>
          <cell r="O247" t="str">
            <v/>
          </cell>
          <cell r="T247" t="str">
            <v/>
          </cell>
          <cell r="U247" t="str">
            <v/>
          </cell>
          <cell r="V247" t="str">
            <v/>
          </cell>
          <cell r="W247" t="str">
            <v/>
          </cell>
          <cell r="Y247" t="str">
            <v/>
          </cell>
          <cell r="AA247" t="str">
            <v/>
          </cell>
          <cell r="AB247">
            <v>0</v>
          </cell>
          <cell r="AC247">
            <v>0</v>
          </cell>
          <cell r="AI247" t="str">
            <v/>
          </cell>
          <cell r="AJ247" t="str">
            <v/>
          </cell>
          <cell r="AK247">
            <v>0</v>
          </cell>
          <cell r="AL247">
            <v>0</v>
          </cell>
          <cell r="AM247">
            <v>0</v>
          </cell>
        </row>
        <row r="248">
          <cell r="C248" t="str">
            <v/>
          </cell>
          <cell r="D248" t="str">
            <v/>
          </cell>
          <cell r="O248" t="str">
            <v/>
          </cell>
          <cell r="T248" t="str">
            <v/>
          </cell>
          <cell r="U248" t="str">
            <v/>
          </cell>
          <cell r="V248" t="str">
            <v/>
          </cell>
          <cell r="W248" t="str">
            <v/>
          </cell>
          <cell r="Y248" t="str">
            <v/>
          </cell>
          <cell r="AA248" t="str">
            <v/>
          </cell>
          <cell r="AB248">
            <v>0</v>
          </cell>
          <cell r="AC248">
            <v>0</v>
          </cell>
          <cell r="AI248" t="str">
            <v/>
          </cell>
          <cell r="AJ248" t="str">
            <v/>
          </cell>
          <cell r="AK248">
            <v>0</v>
          </cell>
          <cell r="AL248">
            <v>0</v>
          </cell>
          <cell r="AM248">
            <v>0</v>
          </cell>
        </row>
        <row r="249">
          <cell r="C249" t="str">
            <v/>
          </cell>
          <cell r="D249" t="str">
            <v/>
          </cell>
          <cell r="O249" t="str">
            <v/>
          </cell>
          <cell r="T249" t="str">
            <v/>
          </cell>
          <cell r="U249" t="str">
            <v/>
          </cell>
          <cell r="V249" t="str">
            <v/>
          </cell>
          <cell r="W249" t="str">
            <v/>
          </cell>
          <cell r="Y249" t="str">
            <v/>
          </cell>
          <cell r="AA249" t="str">
            <v/>
          </cell>
          <cell r="AB249">
            <v>0</v>
          </cell>
          <cell r="AC249">
            <v>0</v>
          </cell>
          <cell r="AI249" t="str">
            <v/>
          </cell>
          <cell r="AJ249" t="str">
            <v/>
          </cell>
          <cell r="AK249">
            <v>0</v>
          </cell>
          <cell r="AL249">
            <v>0</v>
          </cell>
          <cell r="AM249">
            <v>0</v>
          </cell>
        </row>
        <row r="250">
          <cell r="C250" t="str">
            <v/>
          </cell>
          <cell r="D250" t="str">
            <v/>
          </cell>
          <cell r="O250" t="str">
            <v/>
          </cell>
          <cell r="T250" t="str">
            <v/>
          </cell>
          <cell r="U250" t="str">
            <v/>
          </cell>
          <cell r="V250" t="str">
            <v/>
          </cell>
          <cell r="W250" t="str">
            <v/>
          </cell>
          <cell r="Y250" t="str">
            <v/>
          </cell>
          <cell r="AA250" t="str">
            <v/>
          </cell>
          <cell r="AB250">
            <v>0</v>
          </cell>
          <cell r="AC250">
            <v>0</v>
          </cell>
          <cell r="AI250" t="str">
            <v/>
          </cell>
          <cell r="AJ250" t="str">
            <v/>
          </cell>
          <cell r="AK250">
            <v>0</v>
          </cell>
          <cell r="AL250">
            <v>0</v>
          </cell>
          <cell r="AM250">
            <v>0</v>
          </cell>
        </row>
        <row r="251">
          <cell r="C251" t="str">
            <v/>
          </cell>
          <cell r="D251" t="str">
            <v/>
          </cell>
          <cell r="O251" t="str">
            <v/>
          </cell>
          <cell r="T251" t="str">
            <v/>
          </cell>
          <cell r="U251" t="str">
            <v/>
          </cell>
          <cell r="V251" t="str">
            <v/>
          </cell>
          <cell r="W251" t="str">
            <v/>
          </cell>
          <cell r="Y251" t="str">
            <v/>
          </cell>
          <cell r="AA251" t="str">
            <v/>
          </cell>
          <cell r="AB251">
            <v>0</v>
          </cell>
          <cell r="AC251">
            <v>0</v>
          </cell>
          <cell r="AI251" t="str">
            <v/>
          </cell>
          <cell r="AJ251" t="str">
            <v/>
          </cell>
          <cell r="AK251">
            <v>0</v>
          </cell>
          <cell r="AL251">
            <v>0</v>
          </cell>
          <cell r="AM251">
            <v>0</v>
          </cell>
        </row>
        <row r="252">
          <cell r="C252" t="str">
            <v/>
          </cell>
          <cell r="D252" t="str">
            <v/>
          </cell>
          <cell r="O252" t="str">
            <v/>
          </cell>
          <cell r="T252" t="str">
            <v/>
          </cell>
          <cell r="U252" t="str">
            <v/>
          </cell>
          <cell r="V252" t="str">
            <v/>
          </cell>
          <cell r="W252" t="str">
            <v/>
          </cell>
          <cell r="Y252" t="str">
            <v/>
          </cell>
          <cell r="AA252" t="str">
            <v/>
          </cell>
          <cell r="AB252">
            <v>0</v>
          </cell>
          <cell r="AC252">
            <v>0</v>
          </cell>
          <cell r="AI252" t="str">
            <v/>
          </cell>
          <cell r="AJ252" t="str">
            <v/>
          </cell>
          <cell r="AK252">
            <v>0</v>
          </cell>
          <cell r="AL252">
            <v>0</v>
          </cell>
          <cell r="AM252">
            <v>0</v>
          </cell>
        </row>
        <row r="253">
          <cell r="C253" t="str">
            <v/>
          </cell>
          <cell r="D253" t="str">
            <v/>
          </cell>
          <cell r="O253" t="str">
            <v/>
          </cell>
          <cell r="T253" t="str">
            <v/>
          </cell>
          <cell r="U253" t="str">
            <v/>
          </cell>
          <cell r="V253" t="str">
            <v/>
          </cell>
          <cell r="W253" t="str">
            <v/>
          </cell>
          <cell r="Y253" t="str">
            <v/>
          </cell>
          <cell r="AA253" t="str">
            <v/>
          </cell>
          <cell r="AB253">
            <v>0</v>
          </cell>
          <cell r="AC253">
            <v>0</v>
          </cell>
          <cell r="AI253" t="str">
            <v/>
          </cell>
          <cell r="AJ253" t="str">
            <v/>
          </cell>
          <cell r="AK253">
            <v>0</v>
          </cell>
          <cell r="AL253">
            <v>0</v>
          </cell>
          <cell r="AM253">
            <v>0</v>
          </cell>
        </row>
        <row r="254">
          <cell r="C254" t="str">
            <v/>
          </cell>
          <cell r="D254" t="str">
            <v/>
          </cell>
          <cell r="O254" t="str">
            <v/>
          </cell>
          <cell r="T254" t="str">
            <v/>
          </cell>
          <cell r="U254" t="str">
            <v/>
          </cell>
          <cell r="V254" t="str">
            <v/>
          </cell>
          <cell r="W254" t="str">
            <v/>
          </cell>
          <cell r="Y254" t="str">
            <v/>
          </cell>
          <cell r="AA254" t="str">
            <v/>
          </cell>
          <cell r="AB254">
            <v>0</v>
          </cell>
          <cell r="AC254">
            <v>0</v>
          </cell>
          <cell r="AI254" t="str">
            <v/>
          </cell>
          <cell r="AJ254" t="str">
            <v/>
          </cell>
          <cell r="AK254">
            <v>0</v>
          </cell>
          <cell r="AL254">
            <v>0</v>
          </cell>
          <cell r="AM254">
            <v>0</v>
          </cell>
        </row>
        <row r="255">
          <cell r="C255" t="str">
            <v/>
          </cell>
          <cell r="D255" t="str">
            <v/>
          </cell>
          <cell r="O255" t="str">
            <v/>
          </cell>
          <cell r="T255" t="str">
            <v/>
          </cell>
          <cell r="U255" t="str">
            <v/>
          </cell>
          <cell r="V255" t="str">
            <v/>
          </cell>
          <cell r="W255" t="str">
            <v/>
          </cell>
          <cell r="Y255" t="str">
            <v/>
          </cell>
          <cell r="AA255" t="str">
            <v/>
          </cell>
          <cell r="AB255">
            <v>0</v>
          </cell>
          <cell r="AC255">
            <v>0</v>
          </cell>
          <cell r="AI255" t="str">
            <v/>
          </cell>
          <cell r="AJ255" t="str">
            <v/>
          </cell>
          <cell r="AK255">
            <v>0</v>
          </cell>
          <cell r="AL255">
            <v>0</v>
          </cell>
          <cell r="AM255">
            <v>0</v>
          </cell>
        </row>
        <row r="256">
          <cell r="C256" t="str">
            <v/>
          </cell>
          <cell r="D256" t="str">
            <v/>
          </cell>
          <cell r="O256" t="str">
            <v/>
          </cell>
          <cell r="T256" t="str">
            <v/>
          </cell>
          <cell r="U256" t="str">
            <v/>
          </cell>
          <cell r="V256" t="str">
            <v/>
          </cell>
          <cell r="W256" t="str">
            <v/>
          </cell>
          <cell r="Y256" t="str">
            <v/>
          </cell>
          <cell r="AA256" t="str">
            <v/>
          </cell>
          <cell r="AB256">
            <v>0</v>
          </cell>
          <cell r="AC256">
            <v>0</v>
          </cell>
          <cell r="AI256" t="str">
            <v/>
          </cell>
          <cell r="AJ256" t="str">
            <v/>
          </cell>
          <cell r="AK256">
            <v>0</v>
          </cell>
          <cell r="AL256">
            <v>0</v>
          </cell>
          <cell r="AM256">
            <v>0</v>
          </cell>
        </row>
        <row r="257">
          <cell r="C257" t="str">
            <v/>
          </cell>
          <cell r="D257" t="str">
            <v/>
          </cell>
          <cell r="O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/>
          </cell>
          <cell r="Y257" t="str">
            <v/>
          </cell>
          <cell r="AA257" t="str">
            <v/>
          </cell>
          <cell r="AB257">
            <v>0</v>
          </cell>
          <cell r="AC257">
            <v>0</v>
          </cell>
          <cell r="AI257" t="str">
            <v/>
          </cell>
          <cell r="AJ257" t="str">
            <v/>
          </cell>
          <cell r="AK257">
            <v>0</v>
          </cell>
          <cell r="AL257">
            <v>0</v>
          </cell>
          <cell r="AM257">
            <v>0</v>
          </cell>
        </row>
        <row r="258">
          <cell r="C258" t="str">
            <v/>
          </cell>
          <cell r="D258" t="str">
            <v/>
          </cell>
          <cell r="O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/>
          </cell>
          <cell r="Y258" t="str">
            <v/>
          </cell>
          <cell r="AA258" t="str">
            <v/>
          </cell>
          <cell r="AB258">
            <v>0</v>
          </cell>
          <cell r="AC258">
            <v>0</v>
          </cell>
          <cell r="AI258" t="str">
            <v/>
          </cell>
          <cell r="AJ258" t="str">
            <v/>
          </cell>
          <cell r="AK258">
            <v>0</v>
          </cell>
          <cell r="AL258">
            <v>0</v>
          </cell>
          <cell r="AM258">
            <v>0</v>
          </cell>
        </row>
        <row r="259">
          <cell r="C259" t="str">
            <v/>
          </cell>
          <cell r="D259" t="str">
            <v/>
          </cell>
          <cell r="O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/>
          </cell>
          <cell r="Y259" t="str">
            <v/>
          </cell>
          <cell r="AA259" t="str">
            <v/>
          </cell>
          <cell r="AB259">
            <v>0</v>
          </cell>
          <cell r="AC259">
            <v>0</v>
          </cell>
          <cell r="AI259" t="str">
            <v/>
          </cell>
          <cell r="AJ259" t="str">
            <v/>
          </cell>
          <cell r="AK259">
            <v>0</v>
          </cell>
          <cell r="AL259">
            <v>0</v>
          </cell>
          <cell r="AM259">
            <v>0</v>
          </cell>
        </row>
        <row r="260">
          <cell r="C260" t="str">
            <v/>
          </cell>
          <cell r="D260" t="str">
            <v/>
          </cell>
          <cell r="O260" t="str">
            <v/>
          </cell>
          <cell r="T260" t="str">
            <v/>
          </cell>
          <cell r="U260" t="str">
            <v/>
          </cell>
          <cell r="V260" t="str">
            <v/>
          </cell>
          <cell r="W260" t="str">
            <v/>
          </cell>
          <cell r="Y260" t="str">
            <v/>
          </cell>
          <cell r="AA260" t="str">
            <v/>
          </cell>
          <cell r="AB260">
            <v>0</v>
          </cell>
          <cell r="AC260">
            <v>0</v>
          </cell>
          <cell r="AI260" t="str">
            <v/>
          </cell>
          <cell r="AJ260" t="str">
            <v/>
          </cell>
          <cell r="AK260">
            <v>0</v>
          </cell>
          <cell r="AL260">
            <v>0</v>
          </cell>
          <cell r="AM260">
            <v>0</v>
          </cell>
        </row>
        <row r="261">
          <cell r="C261" t="str">
            <v/>
          </cell>
          <cell r="D261" t="str">
            <v/>
          </cell>
          <cell r="O261" t="str">
            <v/>
          </cell>
          <cell r="T261" t="str">
            <v/>
          </cell>
          <cell r="U261" t="str">
            <v/>
          </cell>
          <cell r="V261" t="str">
            <v/>
          </cell>
          <cell r="W261" t="str">
            <v/>
          </cell>
          <cell r="Y261" t="str">
            <v/>
          </cell>
          <cell r="AA261" t="str">
            <v/>
          </cell>
          <cell r="AB261">
            <v>0</v>
          </cell>
          <cell r="AC261">
            <v>0</v>
          </cell>
          <cell r="AI261" t="str">
            <v/>
          </cell>
          <cell r="AJ261" t="str">
            <v/>
          </cell>
          <cell r="AK261">
            <v>0</v>
          </cell>
          <cell r="AL261">
            <v>0</v>
          </cell>
          <cell r="AM261">
            <v>0</v>
          </cell>
        </row>
        <row r="262">
          <cell r="C262" t="str">
            <v/>
          </cell>
          <cell r="D262" t="str">
            <v/>
          </cell>
          <cell r="O262" t="str">
            <v/>
          </cell>
          <cell r="T262" t="str">
            <v/>
          </cell>
          <cell r="U262" t="str">
            <v/>
          </cell>
          <cell r="V262" t="str">
            <v/>
          </cell>
          <cell r="W262" t="str">
            <v/>
          </cell>
          <cell r="Y262" t="str">
            <v/>
          </cell>
          <cell r="AA262" t="str">
            <v/>
          </cell>
          <cell r="AB262">
            <v>0</v>
          </cell>
          <cell r="AC262">
            <v>0</v>
          </cell>
          <cell r="AI262" t="str">
            <v/>
          </cell>
          <cell r="AJ262" t="str">
            <v/>
          </cell>
          <cell r="AK262">
            <v>0</v>
          </cell>
          <cell r="AL262">
            <v>0</v>
          </cell>
          <cell r="AM262">
            <v>0</v>
          </cell>
        </row>
        <row r="263">
          <cell r="C263" t="str">
            <v/>
          </cell>
          <cell r="D263" t="str">
            <v/>
          </cell>
          <cell r="O263" t="str">
            <v/>
          </cell>
          <cell r="T263" t="str">
            <v/>
          </cell>
          <cell r="U263" t="str">
            <v/>
          </cell>
          <cell r="V263" t="str">
            <v/>
          </cell>
          <cell r="W263" t="str">
            <v/>
          </cell>
          <cell r="Y263" t="str">
            <v/>
          </cell>
          <cell r="AA263" t="str">
            <v/>
          </cell>
          <cell r="AB263">
            <v>0</v>
          </cell>
          <cell r="AC263">
            <v>0</v>
          </cell>
          <cell r="AI263" t="str">
            <v/>
          </cell>
          <cell r="AJ263" t="str">
            <v/>
          </cell>
          <cell r="AK263">
            <v>0</v>
          </cell>
          <cell r="AL263">
            <v>0</v>
          </cell>
          <cell r="AM263">
            <v>0</v>
          </cell>
        </row>
        <row r="264">
          <cell r="C264" t="str">
            <v/>
          </cell>
          <cell r="D264" t="str">
            <v/>
          </cell>
          <cell r="O264" t="str">
            <v/>
          </cell>
          <cell r="T264" t="str">
            <v/>
          </cell>
          <cell r="U264" t="str">
            <v/>
          </cell>
          <cell r="V264" t="str">
            <v/>
          </cell>
          <cell r="W264" t="str">
            <v/>
          </cell>
          <cell r="Y264" t="str">
            <v/>
          </cell>
          <cell r="AA264" t="str">
            <v/>
          </cell>
          <cell r="AB264">
            <v>0</v>
          </cell>
          <cell r="AC264">
            <v>0</v>
          </cell>
          <cell r="AI264" t="str">
            <v/>
          </cell>
          <cell r="AJ264" t="str">
            <v/>
          </cell>
          <cell r="AK264">
            <v>0</v>
          </cell>
          <cell r="AL264">
            <v>0</v>
          </cell>
          <cell r="AM264">
            <v>0</v>
          </cell>
        </row>
        <row r="265">
          <cell r="C265" t="str">
            <v/>
          </cell>
          <cell r="D265" t="str">
            <v/>
          </cell>
          <cell r="O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/>
          </cell>
          <cell r="Y265" t="str">
            <v/>
          </cell>
          <cell r="AA265" t="str">
            <v/>
          </cell>
          <cell r="AB265">
            <v>0</v>
          </cell>
          <cell r="AC265">
            <v>0</v>
          </cell>
          <cell r="AI265" t="str">
            <v/>
          </cell>
          <cell r="AJ265" t="str">
            <v/>
          </cell>
          <cell r="AK265">
            <v>0</v>
          </cell>
          <cell r="AL265">
            <v>0</v>
          </cell>
          <cell r="AM265">
            <v>0</v>
          </cell>
        </row>
        <row r="266">
          <cell r="C266" t="str">
            <v/>
          </cell>
          <cell r="D266" t="str">
            <v/>
          </cell>
          <cell r="O266" t="str">
            <v/>
          </cell>
          <cell r="T266" t="str">
            <v/>
          </cell>
          <cell r="U266" t="str">
            <v/>
          </cell>
          <cell r="V266" t="str">
            <v/>
          </cell>
          <cell r="W266" t="str">
            <v/>
          </cell>
          <cell r="Y266" t="str">
            <v/>
          </cell>
          <cell r="AA266" t="str">
            <v/>
          </cell>
          <cell r="AB266">
            <v>0</v>
          </cell>
          <cell r="AC266">
            <v>0</v>
          </cell>
          <cell r="AI266" t="str">
            <v/>
          </cell>
          <cell r="AJ266" t="str">
            <v/>
          </cell>
          <cell r="AK266">
            <v>0</v>
          </cell>
          <cell r="AL266">
            <v>0</v>
          </cell>
          <cell r="AM266">
            <v>0</v>
          </cell>
        </row>
        <row r="267">
          <cell r="C267" t="str">
            <v/>
          </cell>
          <cell r="D267" t="str">
            <v/>
          </cell>
          <cell r="O267" t="str">
            <v/>
          </cell>
          <cell r="T267" t="str">
            <v/>
          </cell>
          <cell r="U267" t="str">
            <v/>
          </cell>
          <cell r="V267" t="str">
            <v/>
          </cell>
          <cell r="W267" t="str">
            <v/>
          </cell>
          <cell r="Y267" t="str">
            <v/>
          </cell>
          <cell r="AA267" t="str">
            <v/>
          </cell>
          <cell r="AB267">
            <v>0</v>
          </cell>
          <cell r="AC267">
            <v>0</v>
          </cell>
          <cell r="AI267" t="str">
            <v/>
          </cell>
          <cell r="AJ267" t="str">
            <v/>
          </cell>
          <cell r="AK267">
            <v>0</v>
          </cell>
          <cell r="AL267">
            <v>0</v>
          </cell>
          <cell r="AM267">
            <v>0</v>
          </cell>
        </row>
        <row r="268">
          <cell r="C268" t="str">
            <v/>
          </cell>
          <cell r="D268" t="str">
            <v/>
          </cell>
          <cell r="O268" t="str">
            <v/>
          </cell>
          <cell r="T268" t="str">
            <v/>
          </cell>
          <cell r="U268" t="str">
            <v/>
          </cell>
          <cell r="V268" t="str">
            <v/>
          </cell>
          <cell r="W268" t="str">
            <v/>
          </cell>
          <cell r="Y268" t="str">
            <v/>
          </cell>
          <cell r="AA268" t="str">
            <v/>
          </cell>
          <cell r="AB268">
            <v>0</v>
          </cell>
          <cell r="AC268">
            <v>0</v>
          </cell>
          <cell r="AI268" t="str">
            <v/>
          </cell>
          <cell r="AJ268" t="str">
            <v/>
          </cell>
          <cell r="AK268">
            <v>0</v>
          </cell>
          <cell r="AL268">
            <v>0</v>
          </cell>
          <cell r="AM268">
            <v>0</v>
          </cell>
        </row>
        <row r="269">
          <cell r="C269" t="str">
            <v/>
          </cell>
          <cell r="D269" t="str">
            <v/>
          </cell>
          <cell r="O269" t="str">
            <v/>
          </cell>
          <cell r="T269" t="str">
            <v/>
          </cell>
          <cell r="U269" t="str">
            <v/>
          </cell>
          <cell r="V269" t="str">
            <v/>
          </cell>
          <cell r="W269" t="str">
            <v/>
          </cell>
          <cell r="Y269" t="str">
            <v/>
          </cell>
          <cell r="AA269" t="str">
            <v/>
          </cell>
          <cell r="AB269">
            <v>0</v>
          </cell>
          <cell r="AC269">
            <v>0</v>
          </cell>
          <cell r="AI269" t="str">
            <v/>
          </cell>
          <cell r="AJ269" t="str">
            <v/>
          </cell>
          <cell r="AK269">
            <v>0</v>
          </cell>
          <cell r="AL269">
            <v>0</v>
          </cell>
          <cell r="AM269">
            <v>0</v>
          </cell>
        </row>
        <row r="270">
          <cell r="C270" t="str">
            <v/>
          </cell>
          <cell r="D270" t="str">
            <v/>
          </cell>
          <cell r="O270" t="str">
            <v/>
          </cell>
          <cell r="T270" t="str">
            <v/>
          </cell>
          <cell r="U270" t="str">
            <v/>
          </cell>
          <cell r="V270" t="str">
            <v/>
          </cell>
          <cell r="W270" t="str">
            <v/>
          </cell>
          <cell r="Y270" t="str">
            <v/>
          </cell>
          <cell r="AA270" t="str">
            <v/>
          </cell>
          <cell r="AB270">
            <v>0</v>
          </cell>
          <cell r="AC270">
            <v>0</v>
          </cell>
          <cell r="AI270" t="str">
            <v/>
          </cell>
          <cell r="AJ270" t="str">
            <v/>
          </cell>
          <cell r="AK270">
            <v>0</v>
          </cell>
          <cell r="AL270">
            <v>0</v>
          </cell>
          <cell r="AM270">
            <v>0</v>
          </cell>
        </row>
        <row r="271">
          <cell r="C271" t="str">
            <v/>
          </cell>
          <cell r="D271" t="str">
            <v/>
          </cell>
          <cell r="O271" t="str">
            <v/>
          </cell>
          <cell r="T271" t="str">
            <v/>
          </cell>
          <cell r="U271" t="str">
            <v/>
          </cell>
          <cell r="V271" t="str">
            <v/>
          </cell>
          <cell r="W271" t="str">
            <v/>
          </cell>
          <cell r="Y271" t="str">
            <v/>
          </cell>
          <cell r="AA271" t="str">
            <v/>
          </cell>
          <cell r="AB271">
            <v>0</v>
          </cell>
          <cell r="AC271">
            <v>0</v>
          </cell>
          <cell r="AI271" t="str">
            <v/>
          </cell>
          <cell r="AJ271" t="str">
            <v/>
          </cell>
          <cell r="AK271">
            <v>0</v>
          </cell>
          <cell r="AL271">
            <v>0</v>
          </cell>
          <cell r="AM271">
            <v>0</v>
          </cell>
        </row>
        <row r="272">
          <cell r="C272" t="str">
            <v/>
          </cell>
          <cell r="D272" t="str">
            <v/>
          </cell>
          <cell r="O272" t="str">
            <v/>
          </cell>
          <cell r="T272" t="str">
            <v/>
          </cell>
          <cell r="U272" t="str">
            <v/>
          </cell>
          <cell r="V272" t="str">
            <v/>
          </cell>
          <cell r="W272" t="str">
            <v/>
          </cell>
          <cell r="Y272" t="str">
            <v/>
          </cell>
          <cell r="AA272" t="str">
            <v/>
          </cell>
          <cell r="AB272">
            <v>0</v>
          </cell>
          <cell r="AC272">
            <v>0</v>
          </cell>
          <cell r="AI272" t="str">
            <v/>
          </cell>
          <cell r="AJ272" t="str">
            <v/>
          </cell>
          <cell r="AK272">
            <v>0</v>
          </cell>
          <cell r="AL272">
            <v>0</v>
          </cell>
          <cell r="AM272">
            <v>0</v>
          </cell>
        </row>
        <row r="273">
          <cell r="C273" t="str">
            <v/>
          </cell>
          <cell r="D273" t="str">
            <v/>
          </cell>
          <cell r="O273" t="str">
            <v/>
          </cell>
          <cell r="T273" t="str">
            <v/>
          </cell>
          <cell r="U273" t="str">
            <v/>
          </cell>
          <cell r="V273" t="str">
            <v/>
          </cell>
          <cell r="W273" t="str">
            <v/>
          </cell>
          <cell r="Y273" t="str">
            <v/>
          </cell>
          <cell r="AA273" t="str">
            <v/>
          </cell>
          <cell r="AB273">
            <v>0</v>
          </cell>
          <cell r="AC273">
            <v>0</v>
          </cell>
          <cell r="AI273" t="str">
            <v/>
          </cell>
          <cell r="AJ273" t="str">
            <v/>
          </cell>
          <cell r="AK273">
            <v>0</v>
          </cell>
          <cell r="AL273">
            <v>0</v>
          </cell>
          <cell r="AM273">
            <v>0</v>
          </cell>
        </row>
        <row r="274">
          <cell r="C274" t="str">
            <v/>
          </cell>
          <cell r="D274" t="str">
            <v/>
          </cell>
          <cell r="O274" t="str">
            <v/>
          </cell>
          <cell r="T274" t="str">
            <v/>
          </cell>
          <cell r="U274" t="str">
            <v/>
          </cell>
          <cell r="V274" t="str">
            <v/>
          </cell>
          <cell r="W274" t="str">
            <v/>
          </cell>
          <cell r="Y274" t="str">
            <v/>
          </cell>
          <cell r="AA274" t="str">
            <v/>
          </cell>
          <cell r="AB274">
            <v>0</v>
          </cell>
          <cell r="AC274">
            <v>0</v>
          </cell>
          <cell r="AI274" t="str">
            <v/>
          </cell>
          <cell r="AJ274" t="str">
            <v/>
          </cell>
          <cell r="AK274">
            <v>0</v>
          </cell>
          <cell r="AL274">
            <v>0</v>
          </cell>
          <cell r="AM274">
            <v>0</v>
          </cell>
        </row>
        <row r="275">
          <cell r="C275" t="str">
            <v/>
          </cell>
          <cell r="D275" t="str">
            <v/>
          </cell>
          <cell r="O275" t="str">
            <v/>
          </cell>
          <cell r="T275" t="str">
            <v/>
          </cell>
          <cell r="U275" t="str">
            <v/>
          </cell>
          <cell r="V275" t="str">
            <v/>
          </cell>
          <cell r="W275" t="str">
            <v/>
          </cell>
          <cell r="Y275" t="str">
            <v/>
          </cell>
          <cell r="AA275" t="str">
            <v/>
          </cell>
          <cell r="AB275">
            <v>0</v>
          </cell>
          <cell r="AC275">
            <v>0</v>
          </cell>
          <cell r="AI275" t="str">
            <v/>
          </cell>
          <cell r="AJ275" t="str">
            <v/>
          </cell>
          <cell r="AK275">
            <v>0</v>
          </cell>
          <cell r="AL275">
            <v>0</v>
          </cell>
          <cell r="AM275">
            <v>0</v>
          </cell>
        </row>
        <row r="276">
          <cell r="C276" t="str">
            <v/>
          </cell>
          <cell r="D276" t="str">
            <v/>
          </cell>
          <cell r="O276" t="str">
            <v/>
          </cell>
          <cell r="T276" t="str">
            <v/>
          </cell>
          <cell r="U276" t="str">
            <v/>
          </cell>
          <cell r="V276" t="str">
            <v/>
          </cell>
          <cell r="W276" t="str">
            <v/>
          </cell>
          <cell r="Y276" t="str">
            <v/>
          </cell>
          <cell r="AA276" t="str">
            <v/>
          </cell>
          <cell r="AB276">
            <v>0</v>
          </cell>
          <cell r="AC276">
            <v>0</v>
          </cell>
          <cell r="AI276" t="str">
            <v/>
          </cell>
          <cell r="AJ276" t="str">
            <v/>
          </cell>
          <cell r="AK276">
            <v>0</v>
          </cell>
          <cell r="AL276">
            <v>0</v>
          </cell>
          <cell r="AM276">
            <v>0</v>
          </cell>
        </row>
        <row r="277">
          <cell r="C277" t="str">
            <v/>
          </cell>
          <cell r="D277" t="str">
            <v/>
          </cell>
          <cell r="O277" t="str">
            <v/>
          </cell>
          <cell r="T277" t="str">
            <v/>
          </cell>
          <cell r="U277" t="str">
            <v/>
          </cell>
          <cell r="V277" t="str">
            <v/>
          </cell>
          <cell r="W277" t="str">
            <v/>
          </cell>
          <cell r="Y277" t="str">
            <v/>
          </cell>
          <cell r="AA277" t="str">
            <v/>
          </cell>
          <cell r="AB277">
            <v>0</v>
          </cell>
          <cell r="AC277">
            <v>0</v>
          </cell>
          <cell r="AI277" t="str">
            <v/>
          </cell>
          <cell r="AJ277" t="str">
            <v/>
          </cell>
          <cell r="AK277">
            <v>0</v>
          </cell>
          <cell r="AL277">
            <v>0</v>
          </cell>
          <cell r="AM277">
            <v>0</v>
          </cell>
        </row>
        <row r="278">
          <cell r="C278" t="str">
            <v/>
          </cell>
          <cell r="D278" t="str">
            <v/>
          </cell>
          <cell r="O278" t="str">
            <v/>
          </cell>
          <cell r="T278" t="str">
            <v/>
          </cell>
          <cell r="U278" t="str">
            <v/>
          </cell>
          <cell r="V278" t="str">
            <v/>
          </cell>
          <cell r="W278" t="str">
            <v/>
          </cell>
          <cell r="Y278" t="str">
            <v/>
          </cell>
          <cell r="AA278" t="str">
            <v/>
          </cell>
          <cell r="AB278">
            <v>0</v>
          </cell>
          <cell r="AC278">
            <v>0</v>
          </cell>
          <cell r="AI278" t="str">
            <v/>
          </cell>
          <cell r="AJ278" t="str">
            <v/>
          </cell>
          <cell r="AK278">
            <v>0</v>
          </cell>
          <cell r="AL278">
            <v>0</v>
          </cell>
          <cell r="AM278">
            <v>0</v>
          </cell>
        </row>
        <row r="279">
          <cell r="C279" t="str">
            <v/>
          </cell>
          <cell r="D279" t="str">
            <v/>
          </cell>
          <cell r="O279" t="str">
            <v/>
          </cell>
          <cell r="T279" t="str">
            <v/>
          </cell>
          <cell r="U279" t="str">
            <v/>
          </cell>
          <cell r="V279" t="str">
            <v/>
          </cell>
          <cell r="W279" t="str">
            <v/>
          </cell>
          <cell r="Y279" t="str">
            <v/>
          </cell>
          <cell r="AA279" t="str">
            <v/>
          </cell>
          <cell r="AB279">
            <v>0</v>
          </cell>
          <cell r="AC279">
            <v>0</v>
          </cell>
          <cell r="AI279" t="str">
            <v/>
          </cell>
          <cell r="AJ279" t="str">
            <v/>
          </cell>
          <cell r="AK279">
            <v>0</v>
          </cell>
          <cell r="AL279">
            <v>0</v>
          </cell>
          <cell r="AM279">
            <v>0</v>
          </cell>
        </row>
        <row r="280">
          <cell r="C280" t="str">
            <v/>
          </cell>
          <cell r="D280" t="str">
            <v/>
          </cell>
          <cell r="O280" t="str">
            <v/>
          </cell>
          <cell r="T280" t="str">
            <v/>
          </cell>
          <cell r="U280" t="str">
            <v/>
          </cell>
          <cell r="V280" t="str">
            <v/>
          </cell>
          <cell r="W280" t="str">
            <v/>
          </cell>
          <cell r="Y280" t="str">
            <v/>
          </cell>
          <cell r="AA280" t="str">
            <v/>
          </cell>
          <cell r="AB280">
            <v>0</v>
          </cell>
          <cell r="AC280">
            <v>0</v>
          </cell>
          <cell r="AI280" t="str">
            <v/>
          </cell>
          <cell r="AJ280" t="str">
            <v/>
          </cell>
          <cell r="AK280">
            <v>0</v>
          </cell>
          <cell r="AL280">
            <v>0</v>
          </cell>
          <cell r="AM280">
            <v>0</v>
          </cell>
        </row>
        <row r="281">
          <cell r="C281" t="str">
            <v/>
          </cell>
          <cell r="D281" t="str">
            <v/>
          </cell>
          <cell r="O281" t="str">
            <v/>
          </cell>
          <cell r="T281" t="str">
            <v/>
          </cell>
          <cell r="U281" t="str">
            <v/>
          </cell>
          <cell r="V281" t="str">
            <v/>
          </cell>
          <cell r="W281" t="str">
            <v/>
          </cell>
          <cell r="Y281" t="str">
            <v/>
          </cell>
          <cell r="AA281" t="str">
            <v/>
          </cell>
          <cell r="AB281">
            <v>0</v>
          </cell>
          <cell r="AC281">
            <v>0</v>
          </cell>
          <cell r="AI281" t="str">
            <v/>
          </cell>
          <cell r="AJ281" t="str">
            <v/>
          </cell>
          <cell r="AK281">
            <v>0</v>
          </cell>
          <cell r="AL281">
            <v>0</v>
          </cell>
          <cell r="AM281">
            <v>0</v>
          </cell>
        </row>
        <row r="282">
          <cell r="C282" t="str">
            <v/>
          </cell>
          <cell r="D282" t="str">
            <v/>
          </cell>
          <cell r="O282" t="str">
            <v/>
          </cell>
          <cell r="T282" t="str">
            <v/>
          </cell>
          <cell r="U282" t="str">
            <v/>
          </cell>
          <cell r="V282" t="str">
            <v/>
          </cell>
          <cell r="W282" t="str">
            <v/>
          </cell>
          <cell r="Y282" t="str">
            <v/>
          </cell>
          <cell r="AA282" t="str">
            <v/>
          </cell>
          <cell r="AB282">
            <v>0</v>
          </cell>
          <cell r="AC282">
            <v>0</v>
          </cell>
          <cell r="AI282" t="str">
            <v/>
          </cell>
          <cell r="AJ282" t="str">
            <v/>
          </cell>
          <cell r="AK282">
            <v>0</v>
          </cell>
          <cell r="AL282">
            <v>0</v>
          </cell>
          <cell r="AM282">
            <v>0</v>
          </cell>
        </row>
        <row r="283">
          <cell r="C283" t="str">
            <v/>
          </cell>
          <cell r="D283" t="str">
            <v/>
          </cell>
          <cell r="O283" t="str">
            <v/>
          </cell>
          <cell r="T283" t="str">
            <v/>
          </cell>
          <cell r="U283" t="str">
            <v/>
          </cell>
          <cell r="V283" t="str">
            <v/>
          </cell>
          <cell r="W283" t="str">
            <v/>
          </cell>
          <cell r="Y283" t="str">
            <v/>
          </cell>
          <cell r="AA283" t="str">
            <v/>
          </cell>
          <cell r="AB283">
            <v>0</v>
          </cell>
          <cell r="AC283">
            <v>0</v>
          </cell>
          <cell r="AI283" t="str">
            <v/>
          </cell>
          <cell r="AJ283" t="str">
            <v/>
          </cell>
          <cell r="AK283">
            <v>0</v>
          </cell>
          <cell r="AL283">
            <v>0</v>
          </cell>
          <cell r="AM283">
            <v>0</v>
          </cell>
        </row>
        <row r="284">
          <cell r="C284" t="str">
            <v/>
          </cell>
          <cell r="D284" t="str">
            <v/>
          </cell>
          <cell r="O284" t="str">
            <v/>
          </cell>
          <cell r="T284" t="str">
            <v/>
          </cell>
          <cell r="U284" t="str">
            <v/>
          </cell>
          <cell r="V284" t="str">
            <v/>
          </cell>
          <cell r="W284" t="str">
            <v/>
          </cell>
          <cell r="Y284" t="str">
            <v/>
          </cell>
          <cell r="AA284" t="str">
            <v/>
          </cell>
          <cell r="AB284">
            <v>0</v>
          </cell>
          <cell r="AC284">
            <v>0</v>
          </cell>
          <cell r="AI284" t="str">
            <v/>
          </cell>
          <cell r="AJ284" t="str">
            <v/>
          </cell>
          <cell r="AK284">
            <v>0</v>
          </cell>
          <cell r="AL284">
            <v>0</v>
          </cell>
          <cell r="AM284">
            <v>0</v>
          </cell>
        </row>
        <row r="285">
          <cell r="C285" t="str">
            <v/>
          </cell>
          <cell r="D285" t="str">
            <v/>
          </cell>
          <cell r="O285" t="str">
            <v/>
          </cell>
          <cell r="T285" t="str">
            <v/>
          </cell>
          <cell r="U285" t="str">
            <v/>
          </cell>
          <cell r="V285" t="str">
            <v/>
          </cell>
          <cell r="W285" t="str">
            <v/>
          </cell>
          <cell r="Y285" t="str">
            <v/>
          </cell>
          <cell r="AA285" t="str">
            <v/>
          </cell>
          <cell r="AB285">
            <v>0</v>
          </cell>
          <cell r="AC285">
            <v>0</v>
          </cell>
          <cell r="AI285" t="str">
            <v/>
          </cell>
          <cell r="AJ285" t="str">
            <v/>
          </cell>
          <cell r="AK285">
            <v>0</v>
          </cell>
          <cell r="AL285">
            <v>0</v>
          </cell>
          <cell r="AM285">
            <v>0</v>
          </cell>
        </row>
        <row r="286">
          <cell r="C286" t="str">
            <v/>
          </cell>
          <cell r="D286" t="str">
            <v/>
          </cell>
          <cell r="O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/>
          </cell>
          <cell r="Y286" t="str">
            <v/>
          </cell>
          <cell r="AA286" t="str">
            <v/>
          </cell>
          <cell r="AB286">
            <v>0</v>
          </cell>
          <cell r="AC286">
            <v>0</v>
          </cell>
          <cell r="AI286" t="str">
            <v/>
          </cell>
          <cell r="AJ286" t="str">
            <v/>
          </cell>
          <cell r="AK286">
            <v>0</v>
          </cell>
          <cell r="AL286">
            <v>0</v>
          </cell>
          <cell r="AM286">
            <v>0</v>
          </cell>
        </row>
        <row r="287">
          <cell r="C287" t="str">
            <v/>
          </cell>
          <cell r="D287" t="str">
            <v/>
          </cell>
          <cell r="O287" t="str">
            <v/>
          </cell>
          <cell r="T287" t="str">
            <v/>
          </cell>
          <cell r="U287" t="str">
            <v/>
          </cell>
          <cell r="V287" t="str">
            <v/>
          </cell>
          <cell r="W287" t="str">
            <v/>
          </cell>
          <cell r="Y287" t="str">
            <v/>
          </cell>
          <cell r="AA287" t="str">
            <v/>
          </cell>
          <cell r="AB287">
            <v>0</v>
          </cell>
          <cell r="AC287">
            <v>0</v>
          </cell>
          <cell r="AI287" t="str">
            <v/>
          </cell>
          <cell r="AJ287" t="str">
            <v/>
          </cell>
          <cell r="AK287">
            <v>0</v>
          </cell>
          <cell r="AL287">
            <v>0</v>
          </cell>
          <cell r="AM287">
            <v>0</v>
          </cell>
        </row>
        <row r="288">
          <cell r="C288" t="str">
            <v/>
          </cell>
          <cell r="D288" t="str">
            <v/>
          </cell>
          <cell r="O288" t="str">
            <v/>
          </cell>
          <cell r="T288" t="str">
            <v/>
          </cell>
          <cell r="U288" t="str">
            <v/>
          </cell>
          <cell r="V288" t="str">
            <v/>
          </cell>
          <cell r="W288" t="str">
            <v/>
          </cell>
          <cell r="Y288" t="str">
            <v/>
          </cell>
          <cell r="AA288" t="str">
            <v/>
          </cell>
          <cell r="AB288">
            <v>0</v>
          </cell>
          <cell r="AC288">
            <v>0</v>
          </cell>
          <cell r="AI288" t="str">
            <v/>
          </cell>
          <cell r="AJ288" t="str">
            <v/>
          </cell>
          <cell r="AK288">
            <v>0</v>
          </cell>
          <cell r="AL288">
            <v>0</v>
          </cell>
          <cell r="AM288">
            <v>0</v>
          </cell>
        </row>
        <row r="289">
          <cell r="C289" t="str">
            <v/>
          </cell>
          <cell r="D289" t="str">
            <v/>
          </cell>
          <cell r="O289" t="str">
            <v/>
          </cell>
          <cell r="T289" t="str">
            <v/>
          </cell>
          <cell r="U289" t="str">
            <v/>
          </cell>
          <cell r="V289" t="str">
            <v/>
          </cell>
          <cell r="W289" t="str">
            <v/>
          </cell>
          <cell r="Y289" t="str">
            <v/>
          </cell>
          <cell r="AA289" t="str">
            <v/>
          </cell>
          <cell r="AB289">
            <v>0</v>
          </cell>
          <cell r="AC289">
            <v>0</v>
          </cell>
          <cell r="AI289" t="str">
            <v/>
          </cell>
          <cell r="AJ289" t="str">
            <v/>
          </cell>
          <cell r="AK289">
            <v>0</v>
          </cell>
          <cell r="AL289">
            <v>0</v>
          </cell>
          <cell r="AM289">
            <v>0</v>
          </cell>
        </row>
        <row r="290">
          <cell r="C290" t="str">
            <v/>
          </cell>
          <cell r="D290" t="str">
            <v/>
          </cell>
          <cell r="O290" t="str">
            <v/>
          </cell>
          <cell r="T290" t="str">
            <v/>
          </cell>
          <cell r="U290" t="str">
            <v/>
          </cell>
          <cell r="V290" t="str">
            <v/>
          </cell>
          <cell r="W290" t="str">
            <v/>
          </cell>
          <cell r="Y290" t="str">
            <v/>
          </cell>
          <cell r="AA290" t="str">
            <v/>
          </cell>
          <cell r="AB290">
            <v>0</v>
          </cell>
          <cell r="AC290">
            <v>0</v>
          </cell>
          <cell r="AI290" t="str">
            <v/>
          </cell>
          <cell r="AJ290" t="str">
            <v/>
          </cell>
          <cell r="AK290">
            <v>0</v>
          </cell>
          <cell r="AL290">
            <v>0</v>
          </cell>
          <cell r="AM290">
            <v>0</v>
          </cell>
        </row>
        <row r="291">
          <cell r="C291" t="str">
            <v/>
          </cell>
          <cell r="D291" t="str">
            <v/>
          </cell>
          <cell r="O291" t="str">
            <v/>
          </cell>
          <cell r="T291" t="str">
            <v/>
          </cell>
          <cell r="U291" t="str">
            <v/>
          </cell>
          <cell r="V291" t="str">
            <v/>
          </cell>
          <cell r="W291" t="str">
            <v/>
          </cell>
          <cell r="Y291" t="str">
            <v/>
          </cell>
          <cell r="AA291" t="str">
            <v/>
          </cell>
          <cell r="AB291">
            <v>0</v>
          </cell>
          <cell r="AC291">
            <v>0</v>
          </cell>
          <cell r="AI291" t="str">
            <v/>
          </cell>
          <cell r="AJ291" t="str">
            <v/>
          </cell>
          <cell r="AK291">
            <v>0</v>
          </cell>
          <cell r="AL291">
            <v>0</v>
          </cell>
          <cell r="AM291">
            <v>0</v>
          </cell>
        </row>
        <row r="292">
          <cell r="C292" t="str">
            <v/>
          </cell>
          <cell r="D292" t="str">
            <v/>
          </cell>
          <cell r="O292" t="str">
            <v/>
          </cell>
          <cell r="T292" t="str">
            <v/>
          </cell>
          <cell r="U292" t="str">
            <v/>
          </cell>
          <cell r="V292" t="str">
            <v/>
          </cell>
          <cell r="W292" t="str">
            <v/>
          </cell>
          <cell r="Y292" t="str">
            <v/>
          </cell>
          <cell r="AA292" t="str">
            <v/>
          </cell>
          <cell r="AB292">
            <v>0</v>
          </cell>
          <cell r="AC292">
            <v>0</v>
          </cell>
          <cell r="AI292" t="str">
            <v/>
          </cell>
          <cell r="AJ292" t="str">
            <v/>
          </cell>
          <cell r="AK292">
            <v>0</v>
          </cell>
          <cell r="AL292">
            <v>0</v>
          </cell>
          <cell r="AM292">
            <v>0</v>
          </cell>
        </row>
        <row r="293">
          <cell r="C293" t="str">
            <v/>
          </cell>
          <cell r="D293" t="str">
            <v/>
          </cell>
          <cell r="O293" t="str">
            <v/>
          </cell>
          <cell r="T293" t="str">
            <v/>
          </cell>
          <cell r="U293" t="str">
            <v/>
          </cell>
          <cell r="V293" t="str">
            <v/>
          </cell>
          <cell r="W293" t="str">
            <v/>
          </cell>
          <cell r="Y293" t="str">
            <v/>
          </cell>
          <cell r="AA293" t="str">
            <v/>
          </cell>
          <cell r="AB293">
            <v>0</v>
          </cell>
          <cell r="AC293">
            <v>0</v>
          </cell>
          <cell r="AI293" t="str">
            <v/>
          </cell>
          <cell r="AJ293" t="str">
            <v/>
          </cell>
          <cell r="AK293">
            <v>0</v>
          </cell>
          <cell r="AL293">
            <v>0</v>
          </cell>
          <cell r="AM293">
            <v>0</v>
          </cell>
        </row>
        <row r="294">
          <cell r="C294" t="str">
            <v/>
          </cell>
          <cell r="D294" t="str">
            <v/>
          </cell>
          <cell r="O294" t="str">
            <v/>
          </cell>
          <cell r="T294" t="str">
            <v/>
          </cell>
          <cell r="U294" t="str">
            <v/>
          </cell>
          <cell r="V294" t="str">
            <v/>
          </cell>
          <cell r="W294" t="str">
            <v/>
          </cell>
          <cell r="Y294" t="str">
            <v/>
          </cell>
          <cell r="AA294" t="str">
            <v/>
          </cell>
          <cell r="AB294">
            <v>0</v>
          </cell>
          <cell r="AC294">
            <v>0</v>
          </cell>
          <cell r="AI294" t="str">
            <v/>
          </cell>
          <cell r="AJ294" t="str">
            <v/>
          </cell>
          <cell r="AK294">
            <v>0</v>
          </cell>
          <cell r="AL294">
            <v>0</v>
          </cell>
          <cell r="AM294">
            <v>0</v>
          </cell>
        </row>
        <row r="295">
          <cell r="C295" t="str">
            <v/>
          </cell>
          <cell r="D295" t="str">
            <v/>
          </cell>
          <cell r="O295" t="str">
            <v/>
          </cell>
          <cell r="T295" t="str">
            <v/>
          </cell>
          <cell r="U295" t="str">
            <v/>
          </cell>
          <cell r="V295" t="str">
            <v/>
          </cell>
          <cell r="W295" t="str">
            <v/>
          </cell>
          <cell r="Y295" t="str">
            <v/>
          </cell>
          <cell r="AA295" t="str">
            <v/>
          </cell>
          <cell r="AB295">
            <v>0</v>
          </cell>
          <cell r="AC295">
            <v>0</v>
          </cell>
          <cell r="AI295" t="str">
            <v/>
          </cell>
          <cell r="AJ295" t="str">
            <v/>
          </cell>
          <cell r="AK295">
            <v>0</v>
          </cell>
          <cell r="AL295">
            <v>0</v>
          </cell>
          <cell r="AM295">
            <v>0</v>
          </cell>
        </row>
        <row r="296">
          <cell r="C296" t="str">
            <v/>
          </cell>
          <cell r="D296" t="str">
            <v/>
          </cell>
          <cell r="O296" t="str">
            <v/>
          </cell>
          <cell r="T296" t="str">
            <v/>
          </cell>
          <cell r="U296" t="str">
            <v/>
          </cell>
          <cell r="V296" t="str">
            <v/>
          </cell>
          <cell r="W296" t="str">
            <v/>
          </cell>
          <cell r="Y296" t="str">
            <v/>
          </cell>
          <cell r="AA296" t="str">
            <v/>
          </cell>
          <cell r="AB296">
            <v>0</v>
          </cell>
          <cell r="AC296">
            <v>0</v>
          </cell>
          <cell r="AI296" t="str">
            <v/>
          </cell>
          <cell r="AJ296" t="str">
            <v/>
          </cell>
          <cell r="AK296">
            <v>0</v>
          </cell>
          <cell r="AL296">
            <v>0</v>
          </cell>
          <cell r="AM296">
            <v>0</v>
          </cell>
        </row>
        <row r="297">
          <cell r="C297" t="str">
            <v/>
          </cell>
          <cell r="D297" t="str">
            <v/>
          </cell>
          <cell r="O297" t="str">
            <v/>
          </cell>
          <cell r="T297" t="str">
            <v/>
          </cell>
          <cell r="U297" t="str">
            <v/>
          </cell>
          <cell r="V297" t="str">
            <v/>
          </cell>
          <cell r="W297" t="str">
            <v/>
          </cell>
          <cell r="Y297" t="str">
            <v/>
          </cell>
          <cell r="AA297" t="str">
            <v/>
          </cell>
          <cell r="AB297">
            <v>0</v>
          </cell>
          <cell r="AC297">
            <v>0</v>
          </cell>
          <cell r="AI297" t="str">
            <v/>
          </cell>
          <cell r="AJ297" t="str">
            <v/>
          </cell>
          <cell r="AK297">
            <v>0</v>
          </cell>
          <cell r="AL297">
            <v>0</v>
          </cell>
          <cell r="AM297">
            <v>0</v>
          </cell>
        </row>
        <row r="298">
          <cell r="C298" t="str">
            <v/>
          </cell>
          <cell r="D298" t="str">
            <v/>
          </cell>
          <cell r="O298" t="str">
            <v/>
          </cell>
          <cell r="T298" t="str">
            <v/>
          </cell>
          <cell r="U298" t="str">
            <v/>
          </cell>
          <cell r="V298" t="str">
            <v/>
          </cell>
          <cell r="W298" t="str">
            <v/>
          </cell>
          <cell r="Y298" t="str">
            <v/>
          </cell>
          <cell r="AA298" t="str">
            <v/>
          </cell>
          <cell r="AB298">
            <v>0</v>
          </cell>
          <cell r="AC298">
            <v>0</v>
          </cell>
          <cell r="AI298" t="str">
            <v/>
          </cell>
          <cell r="AJ298" t="str">
            <v/>
          </cell>
          <cell r="AK298">
            <v>0</v>
          </cell>
          <cell r="AL298">
            <v>0</v>
          </cell>
          <cell r="AM298">
            <v>0</v>
          </cell>
        </row>
        <row r="299">
          <cell r="C299" t="str">
            <v/>
          </cell>
          <cell r="D299" t="str">
            <v/>
          </cell>
          <cell r="O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/>
          </cell>
          <cell r="Y299" t="str">
            <v/>
          </cell>
          <cell r="AA299" t="str">
            <v/>
          </cell>
          <cell r="AB299">
            <v>0</v>
          </cell>
          <cell r="AC299">
            <v>0</v>
          </cell>
          <cell r="AI299" t="str">
            <v/>
          </cell>
          <cell r="AJ299" t="str">
            <v/>
          </cell>
          <cell r="AK299">
            <v>0</v>
          </cell>
          <cell r="AL299">
            <v>0</v>
          </cell>
          <cell r="AM299">
            <v>0</v>
          </cell>
        </row>
        <row r="300">
          <cell r="C300" t="str">
            <v/>
          </cell>
          <cell r="D300" t="str">
            <v/>
          </cell>
          <cell r="O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/>
          </cell>
          <cell r="Y300" t="str">
            <v/>
          </cell>
          <cell r="AA300" t="str">
            <v/>
          </cell>
          <cell r="AB300">
            <v>0</v>
          </cell>
          <cell r="AC300">
            <v>0</v>
          </cell>
          <cell r="AI300" t="str">
            <v/>
          </cell>
          <cell r="AJ300" t="str">
            <v/>
          </cell>
          <cell r="AK300">
            <v>0</v>
          </cell>
          <cell r="AL300">
            <v>0</v>
          </cell>
          <cell r="AM300">
            <v>0</v>
          </cell>
        </row>
        <row r="301">
          <cell r="C301" t="str">
            <v/>
          </cell>
          <cell r="D301" t="str">
            <v/>
          </cell>
          <cell r="O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/>
          </cell>
          <cell r="Y301" t="str">
            <v/>
          </cell>
          <cell r="AA301" t="str">
            <v/>
          </cell>
          <cell r="AB301">
            <v>0</v>
          </cell>
          <cell r="AC301">
            <v>0</v>
          </cell>
          <cell r="AI301" t="str">
            <v/>
          </cell>
          <cell r="AJ301" t="str">
            <v/>
          </cell>
          <cell r="AK301">
            <v>0</v>
          </cell>
          <cell r="AL301">
            <v>0</v>
          </cell>
          <cell r="AM301">
            <v>0</v>
          </cell>
        </row>
        <row r="302">
          <cell r="C302" t="str">
            <v/>
          </cell>
          <cell r="D302" t="str">
            <v/>
          </cell>
          <cell r="O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/>
          </cell>
          <cell r="Y302" t="str">
            <v/>
          </cell>
          <cell r="AA302" t="str">
            <v/>
          </cell>
          <cell r="AB302">
            <v>0</v>
          </cell>
          <cell r="AC302">
            <v>0</v>
          </cell>
          <cell r="AI302" t="str">
            <v/>
          </cell>
          <cell r="AJ302" t="str">
            <v/>
          </cell>
          <cell r="AK302">
            <v>0</v>
          </cell>
          <cell r="AL302">
            <v>0</v>
          </cell>
          <cell r="AM302">
            <v>0</v>
          </cell>
        </row>
        <row r="303">
          <cell r="C303" t="str">
            <v/>
          </cell>
          <cell r="D303" t="str">
            <v/>
          </cell>
          <cell r="O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/>
          </cell>
          <cell r="Y303" t="str">
            <v/>
          </cell>
          <cell r="AA303" t="str">
            <v/>
          </cell>
          <cell r="AB303">
            <v>0</v>
          </cell>
          <cell r="AC303">
            <v>0</v>
          </cell>
          <cell r="AI303" t="str">
            <v/>
          </cell>
          <cell r="AJ303" t="str">
            <v/>
          </cell>
          <cell r="AK303">
            <v>0</v>
          </cell>
          <cell r="AL303">
            <v>0</v>
          </cell>
          <cell r="AM303">
            <v>0</v>
          </cell>
        </row>
        <row r="304">
          <cell r="C304" t="str">
            <v/>
          </cell>
          <cell r="D304" t="str">
            <v/>
          </cell>
          <cell r="O304" t="str">
            <v/>
          </cell>
          <cell r="T304" t="str">
            <v/>
          </cell>
          <cell r="U304" t="str">
            <v/>
          </cell>
          <cell r="V304" t="str">
            <v/>
          </cell>
          <cell r="W304" t="str">
            <v/>
          </cell>
          <cell r="Y304" t="str">
            <v/>
          </cell>
          <cell r="AA304" t="str">
            <v/>
          </cell>
          <cell r="AB304">
            <v>0</v>
          </cell>
          <cell r="AC304">
            <v>0</v>
          </cell>
          <cell r="AI304" t="str">
            <v/>
          </cell>
          <cell r="AJ304" t="str">
            <v/>
          </cell>
          <cell r="AK304">
            <v>0</v>
          </cell>
          <cell r="AL304">
            <v>0</v>
          </cell>
          <cell r="AM304">
            <v>0</v>
          </cell>
        </row>
        <row r="305">
          <cell r="C305" t="str">
            <v/>
          </cell>
          <cell r="D305" t="str">
            <v/>
          </cell>
          <cell r="O305" t="str">
            <v/>
          </cell>
          <cell r="T305" t="str">
            <v/>
          </cell>
          <cell r="U305" t="str">
            <v/>
          </cell>
          <cell r="V305" t="str">
            <v/>
          </cell>
          <cell r="W305" t="str">
            <v/>
          </cell>
          <cell r="Y305" t="str">
            <v/>
          </cell>
          <cell r="AA305" t="str">
            <v/>
          </cell>
          <cell r="AB305">
            <v>0</v>
          </cell>
          <cell r="AC305">
            <v>0</v>
          </cell>
          <cell r="AI305" t="str">
            <v/>
          </cell>
          <cell r="AJ305" t="str">
            <v/>
          </cell>
          <cell r="AK305">
            <v>0</v>
          </cell>
          <cell r="AL305">
            <v>0</v>
          </cell>
          <cell r="AM305">
            <v>0</v>
          </cell>
        </row>
        <row r="306">
          <cell r="C306" t="str">
            <v/>
          </cell>
          <cell r="D306" t="str">
            <v/>
          </cell>
          <cell r="O306" t="str">
            <v/>
          </cell>
          <cell r="T306" t="str">
            <v/>
          </cell>
          <cell r="U306" t="str">
            <v/>
          </cell>
          <cell r="V306" t="str">
            <v/>
          </cell>
          <cell r="W306" t="str">
            <v/>
          </cell>
          <cell r="Y306" t="str">
            <v/>
          </cell>
          <cell r="AA306" t="str">
            <v/>
          </cell>
          <cell r="AB306">
            <v>0</v>
          </cell>
          <cell r="AC306">
            <v>0</v>
          </cell>
          <cell r="AI306" t="str">
            <v/>
          </cell>
          <cell r="AJ306" t="str">
            <v/>
          </cell>
          <cell r="AK306">
            <v>0</v>
          </cell>
          <cell r="AL306">
            <v>0</v>
          </cell>
          <cell r="AM306">
            <v>0</v>
          </cell>
        </row>
        <row r="307">
          <cell r="C307" t="str">
            <v/>
          </cell>
          <cell r="D307" t="str">
            <v/>
          </cell>
          <cell r="O307" t="str">
            <v/>
          </cell>
          <cell r="T307" t="str">
            <v/>
          </cell>
          <cell r="U307" t="str">
            <v/>
          </cell>
          <cell r="V307" t="str">
            <v/>
          </cell>
          <cell r="W307" t="str">
            <v/>
          </cell>
          <cell r="Y307" t="str">
            <v/>
          </cell>
          <cell r="AA307" t="str">
            <v/>
          </cell>
          <cell r="AB307">
            <v>0</v>
          </cell>
          <cell r="AC307">
            <v>0</v>
          </cell>
          <cell r="AI307" t="str">
            <v/>
          </cell>
          <cell r="AJ307" t="str">
            <v/>
          </cell>
          <cell r="AK307">
            <v>0</v>
          </cell>
          <cell r="AL307">
            <v>0</v>
          </cell>
          <cell r="AM307">
            <v>0</v>
          </cell>
        </row>
        <row r="308">
          <cell r="C308" t="str">
            <v/>
          </cell>
          <cell r="D308" t="str">
            <v/>
          </cell>
          <cell r="O308" t="str">
            <v/>
          </cell>
          <cell r="T308" t="str">
            <v/>
          </cell>
          <cell r="U308" t="str">
            <v/>
          </cell>
          <cell r="V308" t="str">
            <v/>
          </cell>
          <cell r="W308" t="str">
            <v/>
          </cell>
          <cell r="Y308" t="str">
            <v/>
          </cell>
          <cell r="AA308" t="str">
            <v/>
          </cell>
          <cell r="AB308">
            <v>0</v>
          </cell>
          <cell r="AC308">
            <v>0</v>
          </cell>
          <cell r="AI308" t="str">
            <v/>
          </cell>
          <cell r="AJ308" t="str">
            <v/>
          </cell>
          <cell r="AK308">
            <v>0</v>
          </cell>
          <cell r="AL308">
            <v>0</v>
          </cell>
          <cell r="AM308">
            <v>0</v>
          </cell>
        </row>
        <row r="309">
          <cell r="C309" t="str">
            <v/>
          </cell>
          <cell r="D309" t="str">
            <v/>
          </cell>
          <cell r="O309" t="str">
            <v/>
          </cell>
          <cell r="T309" t="str">
            <v/>
          </cell>
          <cell r="U309" t="str">
            <v/>
          </cell>
          <cell r="V309" t="str">
            <v/>
          </cell>
          <cell r="W309" t="str">
            <v/>
          </cell>
          <cell r="Y309" t="str">
            <v/>
          </cell>
          <cell r="AA309" t="str">
            <v/>
          </cell>
          <cell r="AB309">
            <v>0</v>
          </cell>
          <cell r="AC309">
            <v>0</v>
          </cell>
          <cell r="AI309" t="str">
            <v/>
          </cell>
          <cell r="AJ309" t="str">
            <v/>
          </cell>
          <cell r="AK309">
            <v>0</v>
          </cell>
          <cell r="AL309">
            <v>0</v>
          </cell>
          <cell r="AM309">
            <v>0</v>
          </cell>
        </row>
        <row r="310">
          <cell r="C310" t="str">
            <v/>
          </cell>
          <cell r="D310" t="str">
            <v/>
          </cell>
          <cell r="O310" t="str">
            <v/>
          </cell>
          <cell r="T310" t="str">
            <v/>
          </cell>
          <cell r="U310" t="str">
            <v/>
          </cell>
          <cell r="V310" t="str">
            <v/>
          </cell>
          <cell r="W310" t="str">
            <v/>
          </cell>
          <cell r="Y310" t="str">
            <v/>
          </cell>
          <cell r="AA310" t="str">
            <v/>
          </cell>
          <cell r="AB310">
            <v>0</v>
          </cell>
          <cell r="AC310">
            <v>0</v>
          </cell>
          <cell r="AI310" t="str">
            <v/>
          </cell>
          <cell r="AJ310" t="str">
            <v/>
          </cell>
          <cell r="AK310">
            <v>0</v>
          </cell>
          <cell r="AL310">
            <v>0</v>
          </cell>
          <cell r="AM310">
            <v>0</v>
          </cell>
        </row>
        <row r="311">
          <cell r="C311" t="str">
            <v/>
          </cell>
          <cell r="D311" t="str">
            <v/>
          </cell>
          <cell r="O311" t="str">
            <v/>
          </cell>
          <cell r="T311" t="str">
            <v/>
          </cell>
          <cell r="U311" t="str">
            <v/>
          </cell>
          <cell r="V311" t="str">
            <v/>
          </cell>
          <cell r="W311" t="str">
            <v/>
          </cell>
          <cell r="Y311" t="str">
            <v/>
          </cell>
          <cell r="AA311" t="str">
            <v/>
          </cell>
          <cell r="AB311">
            <v>0</v>
          </cell>
          <cell r="AC311">
            <v>0</v>
          </cell>
          <cell r="AI311" t="str">
            <v/>
          </cell>
          <cell r="AJ311" t="str">
            <v/>
          </cell>
          <cell r="AK311">
            <v>0</v>
          </cell>
          <cell r="AL311">
            <v>0</v>
          </cell>
          <cell r="AM311">
            <v>0</v>
          </cell>
        </row>
        <row r="312">
          <cell r="C312" t="str">
            <v/>
          </cell>
          <cell r="D312" t="str">
            <v/>
          </cell>
          <cell r="O312" t="str">
            <v/>
          </cell>
          <cell r="T312" t="str">
            <v/>
          </cell>
          <cell r="U312" t="str">
            <v/>
          </cell>
          <cell r="V312" t="str">
            <v/>
          </cell>
          <cell r="W312" t="str">
            <v/>
          </cell>
          <cell r="Y312" t="str">
            <v/>
          </cell>
          <cell r="AA312" t="str">
            <v/>
          </cell>
          <cell r="AB312">
            <v>0</v>
          </cell>
          <cell r="AC312">
            <v>0</v>
          </cell>
          <cell r="AI312" t="str">
            <v/>
          </cell>
          <cell r="AJ312" t="str">
            <v/>
          </cell>
          <cell r="AK312">
            <v>0</v>
          </cell>
          <cell r="AL312">
            <v>0</v>
          </cell>
          <cell r="AM312">
            <v>0</v>
          </cell>
        </row>
        <row r="313">
          <cell r="C313" t="str">
            <v/>
          </cell>
          <cell r="D313" t="str">
            <v/>
          </cell>
          <cell r="O313" t="str">
            <v/>
          </cell>
          <cell r="T313" t="str">
            <v/>
          </cell>
          <cell r="U313" t="str">
            <v/>
          </cell>
          <cell r="V313" t="str">
            <v/>
          </cell>
          <cell r="W313" t="str">
            <v/>
          </cell>
          <cell r="Y313" t="str">
            <v/>
          </cell>
          <cell r="AA313" t="str">
            <v/>
          </cell>
          <cell r="AB313">
            <v>0</v>
          </cell>
          <cell r="AC313">
            <v>0</v>
          </cell>
          <cell r="AI313" t="str">
            <v/>
          </cell>
          <cell r="AJ313" t="str">
            <v/>
          </cell>
          <cell r="AK313">
            <v>0</v>
          </cell>
          <cell r="AL313">
            <v>0</v>
          </cell>
          <cell r="AM313">
            <v>0</v>
          </cell>
        </row>
        <row r="314">
          <cell r="C314" t="str">
            <v/>
          </cell>
          <cell r="D314" t="str">
            <v/>
          </cell>
          <cell r="O314" t="str">
            <v/>
          </cell>
          <cell r="T314" t="str">
            <v/>
          </cell>
          <cell r="U314" t="str">
            <v/>
          </cell>
          <cell r="V314" t="str">
            <v/>
          </cell>
          <cell r="W314" t="str">
            <v/>
          </cell>
          <cell r="Y314" t="str">
            <v/>
          </cell>
          <cell r="AA314" t="str">
            <v/>
          </cell>
          <cell r="AB314">
            <v>0</v>
          </cell>
          <cell r="AC314">
            <v>0</v>
          </cell>
          <cell r="AI314" t="str">
            <v/>
          </cell>
          <cell r="AJ314" t="str">
            <v/>
          </cell>
          <cell r="AK314">
            <v>0</v>
          </cell>
          <cell r="AL314">
            <v>0</v>
          </cell>
          <cell r="AM314">
            <v>0</v>
          </cell>
        </row>
        <row r="315">
          <cell r="C315" t="str">
            <v/>
          </cell>
          <cell r="D315" t="str">
            <v/>
          </cell>
          <cell r="O315" t="str">
            <v/>
          </cell>
          <cell r="T315" t="str">
            <v/>
          </cell>
          <cell r="U315" t="str">
            <v/>
          </cell>
          <cell r="V315" t="str">
            <v/>
          </cell>
          <cell r="W315" t="str">
            <v/>
          </cell>
          <cell r="Y315" t="str">
            <v/>
          </cell>
          <cell r="AA315" t="str">
            <v/>
          </cell>
          <cell r="AB315">
            <v>0</v>
          </cell>
          <cell r="AC315">
            <v>0</v>
          </cell>
          <cell r="AI315" t="str">
            <v/>
          </cell>
          <cell r="AJ315" t="str">
            <v/>
          </cell>
          <cell r="AK315">
            <v>0</v>
          </cell>
          <cell r="AL315">
            <v>0</v>
          </cell>
          <cell r="AM315">
            <v>0</v>
          </cell>
        </row>
        <row r="316">
          <cell r="C316" t="str">
            <v/>
          </cell>
          <cell r="D316" t="str">
            <v/>
          </cell>
          <cell r="O316" t="str">
            <v/>
          </cell>
          <cell r="T316" t="str">
            <v/>
          </cell>
          <cell r="U316" t="str">
            <v/>
          </cell>
          <cell r="V316" t="str">
            <v/>
          </cell>
          <cell r="W316" t="str">
            <v/>
          </cell>
          <cell r="Y316" t="str">
            <v/>
          </cell>
          <cell r="AA316" t="str">
            <v/>
          </cell>
          <cell r="AB316">
            <v>0</v>
          </cell>
          <cell r="AC316">
            <v>0</v>
          </cell>
          <cell r="AI316" t="str">
            <v/>
          </cell>
          <cell r="AJ316" t="str">
            <v/>
          </cell>
          <cell r="AK316">
            <v>0</v>
          </cell>
          <cell r="AL316">
            <v>0</v>
          </cell>
          <cell r="AM316">
            <v>0</v>
          </cell>
        </row>
        <row r="317">
          <cell r="C317" t="str">
            <v/>
          </cell>
          <cell r="D317" t="str">
            <v/>
          </cell>
          <cell r="O317" t="str">
            <v/>
          </cell>
          <cell r="T317" t="str">
            <v/>
          </cell>
          <cell r="U317" t="str">
            <v/>
          </cell>
          <cell r="V317" t="str">
            <v/>
          </cell>
          <cell r="W317" t="str">
            <v/>
          </cell>
          <cell r="Y317" t="str">
            <v/>
          </cell>
          <cell r="AA317" t="str">
            <v/>
          </cell>
          <cell r="AB317">
            <v>0</v>
          </cell>
          <cell r="AC317">
            <v>0</v>
          </cell>
          <cell r="AI317" t="str">
            <v/>
          </cell>
          <cell r="AJ317" t="str">
            <v/>
          </cell>
          <cell r="AK317">
            <v>0</v>
          </cell>
          <cell r="AL317">
            <v>0</v>
          </cell>
          <cell r="AM317">
            <v>0</v>
          </cell>
        </row>
        <row r="318">
          <cell r="C318" t="str">
            <v/>
          </cell>
          <cell r="D318" t="str">
            <v/>
          </cell>
          <cell r="O318" t="str">
            <v/>
          </cell>
          <cell r="T318" t="str">
            <v/>
          </cell>
          <cell r="U318" t="str">
            <v/>
          </cell>
          <cell r="V318" t="str">
            <v/>
          </cell>
          <cell r="W318" t="str">
            <v/>
          </cell>
          <cell r="Y318" t="str">
            <v/>
          </cell>
          <cell r="AA318" t="str">
            <v/>
          </cell>
          <cell r="AB318">
            <v>0</v>
          </cell>
          <cell r="AC318">
            <v>0</v>
          </cell>
          <cell r="AI318" t="str">
            <v/>
          </cell>
          <cell r="AJ318" t="str">
            <v/>
          </cell>
          <cell r="AK318">
            <v>0</v>
          </cell>
          <cell r="AL318">
            <v>0</v>
          </cell>
          <cell r="AM318">
            <v>0</v>
          </cell>
        </row>
        <row r="319">
          <cell r="C319" t="str">
            <v/>
          </cell>
          <cell r="D319" t="str">
            <v/>
          </cell>
          <cell r="O319" t="str">
            <v/>
          </cell>
          <cell r="T319" t="str">
            <v/>
          </cell>
          <cell r="U319" t="str">
            <v/>
          </cell>
          <cell r="V319" t="str">
            <v/>
          </cell>
          <cell r="W319" t="str">
            <v/>
          </cell>
          <cell r="Y319" t="str">
            <v/>
          </cell>
          <cell r="AA319" t="str">
            <v/>
          </cell>
          <cell r="AB319">
            <v>0</v>
          </cell>
          <cell r="AC319">
            <v>0</v>
          </cell>
          <cell r="AI319" t="str">
            <v/>
          </cell>
          <cell r="AJ319" t="str">
            <v/>
          </cell>
          <cell r="AK319">
            <v>0</v>
          </cell>
          <cell r="AL319">
            <v>0</v>
          </cell>
          <cell r="AM319">
            <v>0</v>
          </cell>
        </row>
        <row r="320">
          <cell r="C320" t="str">
            <v/>
          </cell>
          <cell r="D320" t="str">
            <v/>
          </cell>
          <cell r="O320" t="str">
            <v/>
          </cell>
          <cell r="T320" t="str">
            <v/>
          </cell>
          <cell r="U320" t="str">
            <v/>
          </cell>
          <cell r="V320" t="str">
            <v/>
          </cell>
          <cell r="W320" t="str">
            <v/>
          </cell>
          <cell r="Y320" t="str">
            <v/>
          </cell>
          <cell r="AA320" t="str">
            <v/>
          </cell>
          <cell r="AB320">
            <v>0</v>
          </cell>
          <cell r="AC320">
            <v>0</v>
          </cell>
          <cell r="AI320" t="str">
            <v/>
          </cell>
          <cell r="AJ320" t="str">
            <v/>
          </cell>
          <cell r="AK320">
            <v>0</v>
          </cell>
          <cell r="AL320">
            <v>0</v>
          </cell>
          <cell r="AM320">
            <v>0</v>
          </cell>
        </row>
        <row r="321">
          <cell r="C321" t="str">
            <v/>
          </cell>
          <cell r="D321" t="str">
            <v/>
          </cell>
          <cell r="O321" t="str">
            <v/>
          </cell>
          <cell r="T321" t="str">
            <v/>
          </cell>
          <cell r="U321" t="str">
            <v/>
          </cell>
          <cell r="V321" t="str">
            <v/>
          </cell>
          <cell r="W321" t="str">
            <v/>
          </cell>
          <cell r="Y321" t="str">
            <v/>
          </cell>
          <cell r="AA321" t="str">
            <v/>
          </cell>
          <cell r="AB321">
            <v>0</v>
          </cell>
          <cell r="AC321">
            <v>0</v>
          </cell>
          <cell r="AI321" t="str">
            <v/>
          </cell>
          <cell r="AJ321" t="str">
            <v/>
          </cell>
          <cell r="AK321">
            <v>0</v>
          </cell>
          <cell r="AL321">
            <v>0</v>
          </cell>
          <cell r="AM321">
            <v>0</v>
          </cell>
        </row>
        <row r="322">
          <cell r="C322" t="str">
            <v/>
          </cell>
          <cell r="D322" t="str">
            <v/>
          </cell>
          <cell r="O322" t="str">
            <v/>
          </cell>
          <cell r="T322" t="str">
            <v/>
          </cell>
          <cell r="U322" t="str">
            <v/>
          </cell>
          <cell r="V322" t="str">
            <v/>
          </cell>
          <cell r="W322" t="str">
            <v/>
          </cell>
          <cell r="Y322" t="str">
            <v/>
          </cell>
          <cell r="AA322" t="str">
            <v/>
          </cell>
          <cell r="AB322">
            <v>0</v>
          </cell>
          <cell r="AC322">
            <v>0</v>
          </cell>
          <cell r="AI322" t="str">
            <v/>
          </cell>
          <cell r="AJ322" t="str">
            <v/>
          </cell>
          <cell r="AK322">
            <v>0</v>
          </cell>
          <cell r="AL322">
            <v>0</v>
          </cell>
          <cell r="AM322">
            <v>0</v>
          </cell>
        </row>
        <row r="323">
          <cell r="C323" t="str">
            <v/>
          </cell>
          <cell r="D323" t="str">
            <v/>
          </cell>
          <cell r="O323" t="str">
            <v/>
          </cell>
          <cell r="T323" t="str">
            <v/>
          </cell>
          <cell r="U323" t="str">
            <v/>
          </cell>
          <cell r="V323" t="str">
            <v/>
          </cell>
          <cell r="W323" t="str">
            <v/>
          </cell>
          <cell r="Y323" t="str">
            <v/>
          </cell>
          <cell r="AA323" t="str">
            <v/>
          </cell>
          <cell r="AB323">
            <v>0</v>
          </cell>
          <cell r="AC323">
            <v>0</v>
          </cell>
          <cell r="AI323" t="str">
            <v/>
          </cell>
          <cell r="AJ323" t="str">
            <v/>
          </cell>
          <cell r="AK323">
            <v>0</v>
          </cell>
          <cell r="AL323">
            <v>0</v>
          </cell>
          <cell r="AM323">
            <v>0</v>
          </cell>
        </row>
        <row r="324">
          <cell r="C324" t="str">
            <v/>
          </cell>
          <cell r="D324" t="str">
            <v/>
          </cell>
          <cell r="O324" t="str">
            <v/>
          </cell>
          <cell r="T324" t="str">
            <v/>
          </cell>
          <cell r="U324" t="str">
            <v/>
          </cell>
          <cell r="V324" t="str">
            <v/>
          </cell>
          <cell r="W324" t="str">
            <v/>
          </cell>
          <cell r="Y324" t="str">
            <v/>
          </cell>
          <cell r="AA324" t="str">
            <v/>
          </cell>
          <cell r="AB324">
            <v>0</v>
          </cell>
          <cell r="AC324">
            <v>0</v>
          </cell>
          <cell r="AI324" t="str">
            <v/>
          </cell>
          <cell r="AJ324" t="str">
            <v/>
          </cell>
          <cell r="AK324">
            <v>0</v>
          </cell>
          <cell r="AL324">
            <v>0</v>
          </cell>
          <cell r="AM324">
            <v>0</v>
          </cell>
        </row>
        <row r="325">
          <cell r="C325" t="str">
            <v/>
          </cell>
          <cell r="D325" t="str">
            <v/>
          </cell>
          <cell r="O325" t="str">
            <v/>
          </cell>
          <cell r="T325" t="str">
            <v/>
          </cell>
          <cell r="U325" t="str">
            <v/>
          </cell>
          <cell r="V325" t="str">
            <v/>
          </cell>
          <cell r="W325" t="str">
            <v/>
          </cell>
          <cell r="Y325" t="str">
            <v/>
          </cell>
          <cell r="AA325" t="str">
            <v/>
          </cell>
          <cell r="AB325">
            <v>0</v>
          </cell>
          <cell r="AC325">
            <v>0</v>
          </cell>
          <cell r="AI325" t="str">
            <v/>
          </cell>
          <cell r="AJ325" t="str">
            <v/>
          </cell>
          <cell r="AK325">
            <v>0</v>
          </cell>
          <cell r="AL325">
            <v>0</v>
          </cell>
          <cell r="AM325">
            <v>0</v>
          </cell>
        </row>
        <row r="326">
          <cell r="C326" t="str">
            <v/>
          </cell>
          <cell r="D326" t="str">
            <v/>
          </cell>
          <cell r="O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/>
          </cell>
          <cell r="Y326" t="str">
            <v/>
          </cell>
          <cell r="AA326" t="str">
            <v/>
          </cell>
          <cell r="AB326">
            <v>0</v>
          </cell>
          <cell r="AC326">
            <v>0</v>
          </cell>
          <cell r="AI326" t="str">
            <v/>
          </cell>
          <cell r="AJ326" t="str">
            <v/>
          </cell>
          <cell r="AK326">
            <v>0</v>
          </cell>
          <cell r="AL326">
            <v>0</v>
          </cell>
          <cell r="AM326">
            <v>0</v>
          </cell>
        </row>
        <row r="327">
          <cell r="C327" t="str">
            <v/>
          </cell>
          <cell r="D327" t="str">
            <v/>
          </cell>
          <cell r="O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/>
          </cell>
          <cell r="Y327" t="str">
            <v/>
          </cell>
          <cell r="AA327" t="str">
            <v/>
          </cell>
          <cell r="AB327">
            <v>0</v>
          </cell>
          <cell r="AC327">
            <v>0</v>
          </cell>
          <cell r="AI327" t="str">
            <v/>
          </cell>
          <cell r="AJ327" t="str">
            <v/>
          </cell>
          <cell r="AK327">
            <v>0</v>
          </cell>
          <cell r="AL327">
            <v>0</v>
          </cell>
          <cell r="AM327">
            <v>0</v>
          </cell>
        </row>
        <row r="328">
          <cell r="C328" t="str">
            <v/>
          </cell>
          <cell r="D328" t="str">
            <v/>
          </cell>
          <cell r="O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/>
          </cell>
          <cell r="Y328" t="str">
            <v/>
          </cell>
          <cell r="AA328" t="str">
            <v/>
          </cell>
          <cell r="AB328">
            <v>0</v>
          </cell>
          <cell r="AC328">
            <v>0</v>
          </cell>
          <cell r="AI328" t="str">
            <v/>
          </cell>
          <cell r="AJ328" t="str">
            <v/>
          </cell>
          <cell r="AK328">
            <v>0</v>
          </cell>
          <cell r="AL328">
            <v>0</v>
          </cell>
          <cell r="AM328">
            <v>0</v>
          </cell>
        </row>
        <row r="329">
          <cell r="C329" t="str">
            <v/>
          </cell>
          <cell r="D329" t="str">
            <v/>
          </cell>
          <cell r="O329" t="str">
            <v/>
          </cell>
          <cell r="T329" t="str">
            <v/>
          </cell>
          <cell r="U329" t="str">
            <v/>
          </cell>
          <cell r="V329" t="str">
            <v/>
          </cell>
          <cell r="W329" t="str">
            <v/>
          </cell>
          <cell r="Y329" t="str">
            <v/>
          </cell>
          <cell r="AA329" t="str">
            <v/>
          </cell>
          <cell r="AB329">
            <v>0</v>
          </cell>
          <cell r="AC329">
            <v>0</v>
          </cell>
          <cell r="AI329" t="str">
            <v/>
          </cell>
          <cell r="AJ329" t="str">
            <v/>
          </cell>
          <cell r="AK329">
            <v>0</v>
          </cell>
          <cell r="AL329">
            <v>0</v>
          </cell>
          <cell r="AM329">
            <v>0</v>
          </cell>
        </row>
        <row r="330">
          <cell r="C330" t="str">
            <v/>
          </cell>
          <cell r="D330" t="str">
            <v/>
          </cell>
          <cell r="O330" t="str">
            <v/>
          </cell>
          <cell r="T330" t="str">
            <v/>
          </cell>
          <cell r="U330" t="str">
            <v/>
          </cell>
          <cell r="V330" t="str">
            <v/>
          </cell>
          <cell r="W330" t="str">
            <v/>
          </cell>
          <cell r="Y330" t="str">
            <v/>
          </cell>
          <cell r="AA330" t="str">
            <v/>
          </cell>
          <cell r="AB330">
            <v>0</v>
          </cell>
          <cell r="AC330">
            <v>0</v>
          </cell>
          <cell r="AI330" t="str">
            <v/>
          </cell>
          <cell r="AJ330" t="str">
            <v/>
          </cell>
          <cell r="AK330">
            <v>0</v>
          </cell>
          <cell r="AL330">
            <v>0</v>
          </cell>
          <cell r="AM330">
            <v>0</v>
          </cell>
        </row>
        <row r="331">
          <cell r="C331" t="str">
            <v/>
          </cell>
          <cell r="D331" t="str">
            <v/>
          </cell>
          <cell r="O331" t="str">
            <v/>
          </cell>
          <cell r="T331" t="str">
            <v/>
          </cell>
          <cell r="U331" t="str">
            <v/>
          </cell>
          <cell r="V331" t="str">
            <v/>
          </cell>
          <cell r="W331" t="str">
            <v/>
          </cell>
          <cell r="Y331" t="str">
            <v/>
          </cell>
          <cell r="AA331" t="str">
            <v/>
          </cell>
          <cell r="AB331">
            <v>0</v>
          </cell>
          <cell r="AC331">
            <v>0</v>
          </cell>
          <cell r="AI331" t="str">
            <v/>
          </cell>
          <cell r="AJ331" t="str">
            <v/>
          </cell>
          <cell r="AK331">
            <v>0</v>
          </cell>
          <cell r="AL331">
            <v>0</v>
          </cell>
          <cell r="AM331">
            <v>0</v>
          </cell>
        </row>
        <row r="332">
          <cell r="C332" t="str">
            <v/>
          </cell>
          <cell r="D332" t="str">
            <v/>
          </cell>
          <cell r="O332" t="str">
            <v/>
          </cell>
          <cell r="T332" t="str">
            <v/>
          </cell>
          <cell r="U332" t="str">
            <v/>
          </cell>
          <cell r="V332" t="str">
            <v/>
          </cell>
          <cell r="W332" t="str">
            <v/>
          </cell>
          <cell r="Y332" t="str">
            <v/>
          </cell>
          <cell r="AA332" t="str">
            <v/>
          </cell>
          <cell r="AB332">
            <v>0</v>
          </cell>
          <cell r="AC332">
            <v>0</v>
          </cell>
          <cell r="AI332" t="str">
            <v/>
          </cell>
          <cell r="AJ332" t="str">
            <v/>
          </cell>
          <cell r="AK332">
            <v>0</v>
          </cell>
          <cell r="AL332">
            <v>0</v>
          </cell>
          <cell r="AM332">
            <v>0</v>
          </cell>
        </row>
        <row r="333">
          <cell r="C333" t="str">
            <v/>
          </cell>
          <cell r="D333" t="str">
            <v/>
          </cell>
          <cell r="O333" t="str">
            <v/>
          </cell>
          <cell r="T333" t="str">
            <v/>
          </cell>
          <cell r="U333" t="str">
            <v/>
          </cell>
          <cell r="V333" t="str">
            <v/>
          </cell>
          <cell r="W333" t="str">
            <v/>
          </cell>
          <cell r="Y333" t="str">
            <v/>
          </cell>
          <cell r="AA333" t="str">
            <v/>
          </cell>
          <cell r="AB333">
            <v>0</v>
          </cell>
          <cell r="AC333">
            <v>0</v>
          </cell>
          <cell r="AI333" t="str">
            <v/>
          </cell>
          <cell r="AJ333" t="str">
            <v/>
          </cell>
          <cell r="AK333">
            <v>0</v>
          </cell>
          <cell r="AL333">
            <v>0</v>
          </cell>
          <cell r="AM333">
            <v>0</v>
          </cell>
        </row>
        <row r="334">
          <cell r="C334" t="str">
            <v/>
          </cell>
          <cell r="D334" t="str">
            <v/>
          </cell>
          <cell r="O334" t="str">
            <v/>
          </cell>
          <cell r="T334" t="str">
            <v/>
          </cell>
          <cell r="U334" t="str">
            <v/>
          </cell>
          <cell r="V334" t="str">
            <v/>
          </cell>
          <cell r="W334" t="str">
            <v/>
          </cell>
          <cell r="Y334" t="str">
            <v/>
          </cell>
          <cell r="AA334" t="str">
            <v/>
          </cell>
          <cell r="AB334">
            <v>0</v>
          </cell>
          <cell r="AC334">
            <v>0</v>
          </cell>
          <cell r="AI334" t="str">
            <v/>
          </cell>
          <cell r="AJ334" t="str">
            <v/>
          </cell>
          <cell r="AK334">
            <v>0</v>
          </cell>
          <cell r="AL334">
            <v>0</v>
          </cell>
          <cell r="AM334">
            <v>0</v>
          </cell>
        </row>
        <row r="335">
          <cell r="C335" t="str">
            <v/>
          </cell>
          <cell r="D335" t="str">
            <v/>
          </cell>
          <cell r="O335" t="str">
            <v/>
          </cell>
          <cell r="T335" t="str">
            <v/>
          </cell>
          <cell r="U335" t="str">
            <v/>
          </cell>
          <cell r="V335" t="str">
            <v/>
          </cell>
          <cell r="W335" t="str">
            <v/>
          </cell>
          <cell r="Y335" t="str">
            <v/>
          </cell>
          <cell r="AA335" t="str">
            <v/>
          </cell>
          <cell r="AB335">
            <v>0</v>
          </cell>
          <cell r="AC335">
            <v>0</v>
          </cell>
          <cell r="AI335" t="str">
            <v/>
          </cell>
          <cell r="AJ335" t="str">
            <v/>
          </cell>
          <cell r="AK335">
            <v>0</v>
          </cell>
          <cell r="AL335">
            <v>0</v>
          </cell>
          <cell r="AM335">
            <v>0</v>
          </cell>
        </row>
        <row r="336">
          <cell r="C336" t="str">
            <v/>
          </cell>
          <cell r="D336" t="str">
            <v/>
          </cell>
          <cell r="O336" t="str">
            <v/>
          </cell>
          <cell r="T336" t="str">
            <v/>
          </cell>
          <cell r="U336" t="str">
            <v/>
          </cell>
          <cell r="V336" t="str">
            <v/>
          </cell>
          <cell r="W336" t="str">
            <v/>
          </cell>
          <cell r="Y336" t="str">
            <v/>
          </cell>
          <cell r="AA336" t="str">
            <v/>
          </cell>
          <cell r="AB336">
            <v>0</v>
          </cell>
          <cell r="AC336">
            <v>0</v>
          </cell>
          <cell r="AI336" t="str">
            <v/>
          </cell>
          <cell r="AJ336" t="str">
            <v/>
          </cell>
          <cell r="AK336">
            <v>0</v>
          </cell>
          <cell r="AL336">
            <v>0</v>
          </cell>
          <cell r="AM336">
            <v>0</v>
          </cell>
        </row>
        <row r="337">
          <cell r="C337" t="str">
            <v/>
          </cell>
          <cell r="D337" t="str">
            <v/>
          </cell>
          <cell r="O337" t="str">
            <v/>
          </cell>
          <cell r="T337" t="str">
            <v/>
          </cell>
          <cell r="U337" t="str">
            <v/>
          </cell>
          <cell r="V337" t="str">
            <v/>
          </cell>
          <cell r="W337" t="str">
            <v/>
          </cell>
          <cell r="Y337" t="str">
            <v/>
          </cell>
          <cell r="AA337" t="str">
            <v/>
          </cell>
          <cell r="AB337">
            <v>0</v>
          </cell>
          <cell r="AC337">
            <v>0</v>
          </cell>
          <cell r="AI337" t="str">
            <v/>
          </cell>
          <cell r="AJ337" t="str">
            <v/>
          </cell>
          <cell r="AK337">
            <v>0</v>
          </cell>
          <cell r="AL337">
            <v>0</v>
          </cell>
          <cell r="AM337">
            <v>0</v>
          </cell>
        </row>
        <row r="338">
          <cell r="C338" t="str">
            <v/>
          </cell>
          <cell r="D338" t="str">
            <v/>
          </cell>
          <cell r="O338" t="str">
            <v/>
          </cell>
          <cell r="T338" t="str">
            <v/>
          </cell>
          <cell r="U338" t="str">
            <v/>
          </cell>
          <cell r="V338" t="str">
            <v/>
          </cell>
          <cell r="W338" t="str">
            <v/>
          </cell>
          <cell r="Y338" t="str">
            <v/>
          </cell>
          <cell r="AA338" t="str">
            <v/>
          </cell>
          <cell r="AB338">
            <v>0</v>
          </cell>
          <cell r="AC338">
            <v>0</v>
          </cell>
          <cell r="AI338" t="str">
            <v/>
          </cell>
          <cell r="AJ338" t="str">
            <v/>
          </cell>
          <cell r="AK338">
            <v>0</v>
          </cell>
          <cell r="AL338">
            <v>0</v>
          </cell>
          <cell r="AM338">
            <v>0</v>
          </cell>
        </row>
        <row r="339">
          <cell r="C339" t="str">
            <v/>
          </cell>
          <cell r="D339" t="str">
            <v/>
          </cell>
          <cell r="O339" t="str">
            <v/>
          </cell>
          <cell r="T339" t="str">
            <v/>
          </cell>
          <cell r="U339" t="str">
            <v/>
          </cell>
          <cell r="V339" t="str">
            <v/>
          </cell>
          <cell r="W339" t="str">
            <v/>
          </cell>
          <cell r="Y339" t="str">
            <v/>
          </cell>
          <cell r="AA339" t="str">
            <v/>
          </cell>
          <cell r="AB339">
            <v>0</v>
          </cell>
          <cell r="AC339">
            <v>0</v>
          </cell>
          <cell r="AI339" t="str">
            <v/>
          </cell>
          <cell r="AJ339" t="str">
            <v/>
          </cell>
          <cell r="AK339">
            <v>0</v>
          </cell>
          <cell r="AL339">
            <v>0</v>
          </cell>
          <cell r="AM339">
            <v>0</v>
          </cell>
        </row>
        <row r="340">
          <cell r="C340" t="str">
            <v/>
          </cell>
          <cell r="D340" t="str">
            <v/>
          </cell>
          <cell r="O340" t="str">
            <v/>
          </cell>
          <cell r="T340" t="str">
            <v/>
          </cell>
          <cell r="U340" t="str">
            <v/>
          </cell>
          <cell r="V340" t="str">
            <v/>
          </cell>
          <cell r="W340" t="str">
            <v/>
          </cell>
          <cell r="Y340" t="str">
            <v/>
          </cell>
          <cell r="AA340" t="str">
            <v/>
          </cell>
          <cell r="AB340">
            <v>0</v>
          </cell>
          <cell r="AC340">
            <v>0</v>
          </cell>
          <cell r="AI340" t="str">
            <v/>
          </cell>
          <cell r="AJ340" t="str">
            <v/>
          </cell>
          <cell r="AK340">
            <v>0</v>
          </cell>
          <cell r="AL340">
            <v>0</v>
          </cell>
          <cell r="AM340">
            <v>0</v>
          </cell>
        </row>
        <row r="341">
          <cell r="C341" t="str">
            <v/>
          </cell>
          <cell r="D341" t="str">
            <v/>
          </cell>
          <cell r="O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/>
          </cell>
          <cell r="Y341" t="str">
            <v/>
          </cell>
          <cell r="AA341" t="str">
            <v/>
          </cell>
          <cell r="AB341">
            <v>0</v>
          </cell>
          <cell r="AC341">
            <v>0</v>
          </cell>
          <cell r="AI341" t="str">
            <v/>
          </cell>
          <cell r="AJ341" t="str">
            <v/>
          </cell>
          <cell r="AK341">
            <v>0</v>
          </cell>
          <cell r="AL341">
            <v>0</v>
          </cell>
          <cell r="AM341">
            <v>0</v>
          </cell>
        </row>
        <row r="342">
          <cell r="C342" t="str">
            <v/>
          </cell>
          <cell r="D342" t="str">
            <v/>
          </cell>
          <cell r="O342" t="str">
            <v/>
          </cell>
          <cell r="T342" t="str">
            <v/>
          </cell>
          <cell r="U342" t="str">
            <v/>
          </cell>
          <cell r="V342" t="str">
            <v/>
          </cell>
          <cell r="W342" t="str">
            <v/>
          </cell>
          <cell r="Y342" t="str">
            <v/>
          </cell>
          <cell r="AA342" t="str">
            <v/>
          </cell>
          <cell r="AB342">
            <v>0</v>
          </cell>
          <cell r="AC342">
            <v>0</v>
          </cell>
          <cell r="AI342" t="str">
            <v/>
          </cell>
          <cell r="AJ342" t="str">
            <v/>
          </cell>
          <cell r="AK342">
            <v>0</v>
          </cell>
          <cell r="AL342">
            <v>0</v>
          </cell>
          <cell r="AM342">
            <v>0</v>
          </cell>
        </row>
        <row r="343">
          <cell r="C343" t="str">
            <v/>
          </cell>
          <cell r="D343" t="str">
            <v/>
          </cell>
          <cell r="O343" t="str">
            <v/>
          </cell>
          <cell r="T343" t="str">
            <v/>
          </cell>
          <cell r="U343" t="str">
            <v/>
          </cell>
          <cell r="V343" t="str">
            <v/>
          </cell>
          <cell r="W343" t="str">
            <v/>
          </cell>
          <cell r="Y343" t="str">
            <v/>
          </cell>
          <cell r="AA343" t="str">
            <v/>
          </cell>
          <cell r="AB343">
            <v>0</v>
          </cell>
          <cell r="AC343">
            <v>0</v>
          </cell>
          <cell r="AI343" t="str">
            <v/>
          </cell>
          <cell r="AJ343" t="str">
            <v/>
          </cell>
          <cell r="AK343">
            <v>0</v>
          </cell>
          <cell r="AL343">
            <v>0</v>
          </cell>
          <cell r="AM343">
            <v>0</v>
          </cell>
        </row>
        <row r="344">
          <cell r="C344" t="str">
            <v/>
          </cell>
          <cell r="D344" t="str">
            <v/>
          </cell>
          <cell r="O344" t="str">
            <v/>
          </cell>
          <cell r="T344" t="str">
            <v/>
          </cell>
          <cell r="U344" t="str">
            <v/>
          </cell>
          <cell r="V344" t="str">
            <v/>
          </cell>
          <cell r="W344" t="str">
            <v/>
          </cell>
          <cell r="Y344" t="str">
            <v/>
          </cell>
          <cell r="AA344" t="str">
            <v/>
          </cell>
          <cell r="AB344">
            <v>0</v>
          </cell>
          <cell r="AC344">
            <v>0</v>
          </cell>
          <cell r="AI344" t="str">
            <v/>
          </cell>
          <cell r="AJ344" t="str">
            <v/>
          </cell>
          <cell r="AK344">
            <v>0</v>
          </cell>
          <cell r="AL344">
            <v>0</v>
          </cell>
          <cell r="AM344">
            <v>0</v>
          </cell>
        </row>
        <row r="345">
          <cell r="C345" t="str">
            <v/>
          </cell>
          <cell r="D345" t="str">
            <v/>
          </cell>
          <cell r="O345" t="str">
            <v/>
          </cell>
          <cell r="T345" t="str">
            <v/>
          </cell>
          <cell r="U345" t="str">
            <v/>
          </cell>
          <cell r="V345" t="str">
            <v/>
          </cell>
          <cell r="W345" t="str">
            <v/>
          </cell>
          <cell r="Y345" t="str">
            <v/>
          </cell>
          <cell r="AA345" t="str">
            <v/>
          </cell>
          <cell r="AB345">
            <v>0</v>
          </cell>
          <cell r="AC345">
            <v>0</v>
          </cell>
          <cell r="AI345" t="str">
            <v/>
          </cell>
          <cell r="AJ345" t="str">
            <v/>
          </cell>
          <cell r="AK345">
            <v>0</v>
          </cell>
          <cell r="AL345">
            <v>0</v>
          </cell>
          <cell r="AM345">
            <v>0</v>
          </cell>
        </row>
        <row r="346">
          <cell r="C346" t="str">
            <v/>
          </cell>
          <cell r="D346" t="str">
            <v/>
          </cell>
          <cell r="O346" t="str">
            <v/>
          </cell>
          <cell r="T346" t="str">
            <v/>
          </cell>
          <cell r="U346" t="str">
            <v/>
          </cell>
          <cell r="V346" t="str">
            <v/>
          </cell>
          <cell r="W346" t="str">
            <v/>
          </cell>
          <cell r="Y346" t="str">
            <v/>
          </cell>
          <cell r="AA346" t="str">
            <v/>
          </cell>
          <cell r="AB346">
            <v>0</v>
          </cell>
          <cell r="AC346">
            <v>0</v>
          </cell>
          <cell r="AI346" t="str">
            <v/>
          </cell>
          <cell r="AJ346" t="str">
            <v/>
          </cell>
          <cell r="AK346">
            <v>0</v>
          </cell>
          <cell r="AL346">
            <v>0</v>
          </cell>
          <cell r="AM346">
            <v>0</v>
          </cell>
        </row>
        <row r="347">
          <cell r="C347" t="str">
            <v/>
          </cell>
          <cell r="D347" t="str">
            <v/>
          </cell>
          <cell r="O347" t="str">
            <v/>
          </cell>
          <cell r="T347" t="str">
            <v/>
          </cell>
          <cell r="U347" t="str">
            <v/>
          </cell>
          <cell r="V347" t="str">
            <v/>
          </cell>
          <cell r="W347" t="str">
            <v/>
          </cell>
          <cell r="Y347" t="str">
            <v/>
          </cell>
          <cell r="AA347" t="str">
            <v/>
          </cell>
          <cell r="AB347">
            <v>0</v>
          </cell>
          <cell r="AC347">
            <v>0</v>
          </cell>
          <cell r="AI347" t="str">
            <v/>
          </cell>
          <cell r="AJ347" t="str">
            <v/>
          </cell>
          <cell r="AK347">
            <v>0</v>
          </cell>
          <cell r="AL347">
            <v>0</v>
          </cell>
          <cell r="AM347">
            <v>0</v>
          </cell>
        </row>
        <row r="348">
          <cell r="C348" t="str">
            <v/>
          </cell>
          <cell r="D348" t="str">
            <v/>
          </cell>
          <cell r="O348" t="str">
            <v/>
          </cell>
          <cell r="T348" t="str">
            <v/>
          </cell>
          <cell r="U348" t="str">
            <v/>
          </cell>
          <cell r="V348" t="str">
            <v/>
          </cell>
          <cell r="W348" t="str">
            <v/>
          </cell>
          <cell r="Y348" t="str">
            <v/>
          </cell>
          <cell r="AA348" t="str">
            <v/>
          </cell>
          <cell r="AB348">
            <v>0</v>
          </cell>
          <cell r="AC348">
            <v>0</v>
          </cell>
          <cell r="AI348" t="str">
            <v/>
          </cell>
          <cell r="AJ348" t="str">
            <v/>
          </cell>
          <cell r="AK348">
            <v>0</v>
          </cell>
          <cell r="AL348">
            <v>0</v>
          </cell>
          <cell r="AM348">
            <v>0</v>
          </cell>
        </row>
        <row r="349">
          <cell r="C349" t="str">
            <v/>
          </cell>
          <cell r="D349" t="str">
            <v/>
          </cell>
          <cell r="O349" t="str">
            <v/>
          </cell>
          <cell r="T349" t="str">
            <v/>
          </cell>
          <cell r="U349" t="str">
            <v/>
          </cell>
          <cell r="V349" t="str">
            <v/>
          </cell>
          <cell r="W349" t="str">
            <v/>
          </cell>
          <cell r="Y349" t="str">
            <v/>
          </cell>
          <cell r="AA349" t="str">
            <v/>
          </cell>
          <cell r="AB349">
            <v>0</v>
          </cell>
          <cell r="AC349">
            <v>0</v>
          </cell>
          <cell r="AI349" t="str">
            <v/>
          </cell>
          <cell r="AJ349" t="str">
            <v/>
          </cell>
          <cell r="AK349">
            <v>0</v>
          </cell>
          <cell r="AL349">
            <v>0</v>
          </cell>
          <cell r="AM349">
            <v>0</v>
          </cell>
        </row>
        <row r="350">
          <cell r="C350" t="str">
            <v/>
          </cell>
          <cell r="D350" t="str">
            <v/>
          </cell>
          <cell r="O350" t="str">
            <v/>
          </cell>
          <cell r="T350" t="str">
            <v/>
          </cell>
          <cell r="U350" t="str">
            <v/>
          </cell>
          <cell r="V350" t="str">
            <v/>
          </cell>
          <cell r="W350" t="str">
            <v/>
          </cell>
          <cell r="Y350" t="str">
            <v/>
          </cell>
          <cell r="AA350" t="str">
            <v/>
          </cell>
          <cell r="AB350">
            <v>0</v>
          </cell>
          <cell r="AC350">
            <v>0</v>
          </cell>
          <cell r="AI350" t="str">
            <v/>
          </cell>
          <cell r="AJ350" t="str">
            <v/>
          </cell>
          <cell r="AK350">
            <v>0</v>
          </cell>
          <cell r="AL350">
            <v>0</v>
          </cell>
          <cell r="AM350">
            <v>0</v>
          </cell>
        </row>
        <row r="351">
          <cell r="C351" t="str">
            <v/>
          </cell>
          <cell r="D351" t="str">
            <v/>
          </cell>
          <cell r="O351" t="str">
            <v/>
          </cell>
          <cell r="T351" t="str">
            <v/>
          </cell>
          <cell r="U351" t="str">
            <v/>
          </cell>
          <cell r="V351" t="str">
            <v/>
          </cell>
          <cell r="W351" t="str">
            <v/>
          </cell>
          <cell r="Y351" t="str">
            <v/>
          </cell>
          <cell r="AA351" t="str">
            <v/>
          </cell>
          <cell r="AB351">
            <v>0</v>
          </cell>
          <cell r="AC351">
            <v>0</v>
          </cell>
          <cell r="AI351" t="str">
            <v/>
          </cell>
          <cell r="AJ351" t="str">
            <v/>
          </cell>
          <cell r="AK351">
            <v>0</v>
          </cell>
          <cell r="AL351">
            <v>0</v>
          </cell>
          <cell r="AM351">
            <v>0</v>
          </cell>
        </row>
        <row r="352">
          <cell r="C352" t="str">
            <v/>
          </cell>
          <cell r="D352" t="str">
            <v/>
          </cell>
          <cell r="O352" t="str">
            <v/>
          </cell>
          <cell r="T352" t="str">
            <v/>
          </cell>
          <cell r="U352" t="str">
            <v/>
          </cell>
          <cell r="V352" t="str">
            <v/>
          </cell>
          <cell r="W352" t="str">
            <v/>
          </cell>
          <cell r="Y352" t="str">
            <v/>
          </cell>
          <cell r="AA352" t="str">
            <v/>
          </cell>
          <cell r="AB352">
            <v>0</v>
          </cell>
          <cell r="AC352">
            <v>0</v>
          </cell>
          <cell r="AI352" t="str">
            <v/>
          </cell>
          <cell r="AJ352" t="str">
            <v/>
          </cell>
          <cell r="AK352">
            <v>0</v>
          </cell>
          <cell r="AL352">
            <v>0</v>
          </cell>
          <cell r="AM352">
            <v>0</v>
          </cell>
        </row>
        <row r="353">
          <cell r="C353" t="str">
            <v/>
          </cell>
          <cell r="D353" t="str">
            <v/>
          </cell>
          <cell r="O353" t="str">
            <v/>
          </cell>
          <cell r="T353" t="str">
            <v/>
          </cell>
          <cell r="U353" t="str">
            <v/>
          </cell>
          <cell r="V353" t="str">
            <v/>
          </cell>
          <cell r="W353" t="str">
            <v/>
          </cell>
          <cell r="Y353" t="str">
            <v/>
          </cell>
          <cell r="AA353" t="str">
            <v/>
          </cell>
          <cell r="AB353">
            <v>0</v>
          </cell>
          <cell r="AC353">
            <v>0</v>
          </cell>
          <cell r="AI353" t="str">
            <v/>
          </cell>
          <cell r="AJ353" t="str">
            <v/>
          </cell>
          <cell r="AK353">
            <v>0</v>
          </cell>
          <cell r="AL353">
            <v>0</v>
          </cell>
          <cell r="AM353">
            <v>0</v>
          </cell>
        </row>
        <row r="354">
          <cell r="C354" t="str">
            <v/>
          </cell>
          <cell r="D354" t="str">
            <v/>
          </cell>
          <cell r="O354" t="str">
            <v/>
          </cell>
          <cell r="T354" t="str">
            <v/>
          </cell>
          <cell r="U354" t="str">
            <v/>
          </cell>
          <cell r="V354" t="str">
            <v/>
          </cell>
          <cell r="W354" t="str">
            <v/>
          </cell>
          <cell r="Y354" t="str">
            <v/>
          </cell>
          <cell r="AA354" t="str">
            <v/>
          </cell>
          <cell r="AB354">
            <v>0</v>
          </cell>
          <cell r="AC354">
            <v>0</v>
          </cell>
          <cell r="AI354" t="str">
            <v/>
          </cell>
          <cell r="AJ354" t="str">
            <v/>
          </cell>
          <cell r="AK354">
            <v>0</v>
          </cell>
          <cell r="AL354">
            <v>0</v>
          </cell>
          <cell r="AM354">
            <v>0</v>
          </cell>
        </row>
        <row r="355">
          <cell r="C355" t="str">
            <v/>
          </cell>
          <cell r="D355" t="str">
            <v/>
          </cell>
          <cell r="O355" t="str">
            <v/>
          </cell>
          <cell r="T355" t="str">
            <v/>
          </cell>
          <cell r="U355" t="str">
            <v/>
          </cell>
          <cell r="V355" t="str">
            <v/>
          </cell>
          <cell r="W355" t="str">
            <v/>
          </cell>
          <cell r="Y355" t="str">
            <v/>
          </cell>
          <cell r="AA355" t="str">
            <v/>
          </cell>
          <cell r="AB355">
            <v>0</v>
          </cell>
          <cell r="AC355">
            <v>0</v>
          </cell>
          <cell r="AI355" t="str">
            <v/>
          </cell>
          <cell r="AJ355" t="str">
            <v/>
          </cell>
          <cell r="AK355">
            <v>0</v>
          </cell>
          <cell r="AL355">
            <v>0</v>
          </cell>
          <cell r="AM355">
            <v>0</v>
          </cell>
        </row>
        <row r="356">
          <cell r="C356" t="str">
            <v/>
          </cell>
          <cell r="D356" t="str">
            <v/>
          </cell>
          <cell r="O356" t="str">
            <v/>
          </cell>
          <cell r="T356" t="str">
            <v/>
          </cell>
          <cell r="U356" t="str">
            <v/>
          </cell>
          <cell r="V356" t="str">
            <v/>
          </cell>
          <cell r="W356" t="str">
            <v/>
          </cell>
          <cell r="Y356" t="str">
            <v/>
          </cell>
          <cell r="AA356" t="str">
            <v/>
          </cell>
          <cell r="AB356">
            <v>0</v>
          </cell>
          <cell r="AC356">
            <v>0</v>
          </cell>
          <cell r="AI356" t="str">
            <v/>
          </cell>
          <cell r="AJ356" t="str">
            <v/>
          </cell>
          <cell r="AK356">
            <v>0</v>
          </cell>
          <cell r="AL356">
            <v>0</v>
          </cell>
          <cell r="AM356">
            <v>0</v>
          </cell>
        </row>
        <row r="357">
          <cell r="C357" t="str">
            <v/>
          </cell>
          <cell r="D357" t="str">
            <v/>
          </cell>
          <cell r="O357" t="str">
            <v/>
          </cell>
          <cell r="T357" t="str">
            <v/>
          </cell>
          <cell r="U357" t="str">
            <v/>
          </cell>
          <cell r="V357" t="str">
            <v/>
          </cell>
          <cell r="W357" t="str">
            <v/>
          </cell>
          <cell r="Y357" t="str">
            <v/>
          </cell>
          <cell r="AA357" t="str">
            <v/>
          </cell>
          <cell r="AB357">
            <v>0</v>
          </cell>
          <cell r="AC357">
            <v>0</v>
          </cell>
          <cell r="AI357" t="str">
            <v/>
          </cell>
          <cell r="AJ357" t="str">
            <v/>
          </cell>
          <cell r="AK357">
            <v>0</v>
          </cell>
          <cell r="AL357">
            <v>0</v>
          </cell>
          <cell r="AM357">
            <v>0</v>
          </cell>
        </row>
        <row r="358">
          <cell r="C358" t="str">
            <v/>
          </cell>
          <cell r="D358" t="str">
            <v/>
          </cell>
          <cell r="O358" t="str">
            <v/>
          </cell>
          <cell r="T358" t="str">
            <v/>
          </cell>
          <cell r="U358" t="str">
            <v/>
          </cell>
          <cell r="V358" t="str">
            <v/>
          </cell>
          <cell r="W358" t="str">
            <v/>
          </cell>
          <cell r="Y358" t="str">
            <v/>
          </cell>
          <cell r="AA358" t="str">
            <v/>
          </cell>
          <cell r="AB358">
            <v>0</v>
          </cell>
          <cell r="AC358">
            <v>0</v>
          </cell>
          <cell r="AI358" t="str">
            <v/>
          </cell>
          <cell r="AJ358" t="str">
            <v/>
          </cell>
          <cell r="AK358">
            <v>0</v>
          </cell>
          <cell r="AL358">
            <v>0</v>
          </cell>
          <cell r="AM358">
            <v>0</v>
          </cell>
        </row>
        <row r="359">
          <cell r="C359" t="str">
            <v/>
          </cell>
          <cell r="D359" t="str">
            <v/>
          </cell>
          <cell r="O359" t="str">
            <v/>
          </cell>
          <cell r="T359" t="str">
            <v/>
          </cell>
          <cell r="U359" t="str">
            <v/>
          </cell>
          <cell r="V359" t="str">
            <v/>
          </cell>
          <cell r="W359" t="str">
            <v/>
          </cell>
          <cell r="Y359" t="str">
            <v/>
          </cell>
          <cell r="AA359" t="str">
            <v/>
          </cell>
          <cell r="AB359">
            <v>0</v>
          </cell>
          <cell r="AC359">
            <v>0</v>
          </cell>
          <cell r="AI359" t="str">
            <v/>
          </cell>
          <cell r="AJ359" t="str">
            <v/>
          </cell>
          <cell r="AK359">
            <v>0</v>
          </cell>
          <cell r="AL359">
            <v>0</v>
          </cell>
          <cell r="AM359">
            <v>0</v>
          </cell>
        </row>
        <row r="360">
          <cell r="C360" t="str">
            <v/>
          </cell>
          <cell r="D360" t="str">
            <v/>
          </cell>
          <cell r="O360" t="str">
            <v/>
          </cell>
          <cell r="T360" t="str">
            <v/>
          </cell>
          <cell r="U360" t="str">
            <v/>
          </cell>
          <cell r="V360" t="str">
            <v/>
          </cell>
          <cell r="W360" t="str">
            <v/>
          </cell>
          <cell r="Y360" t="str">
            <v/>
          </cell>
          <cell r="AA360" t="str">
            <v/>
          </cell>
          <cell r="AB360">
            <v>0</v>
          </cell>
          <cell r="AC360">
            <v>0</v>
          </cell>
          <cell r="AI360" t="str">
            <v/>
          </cell>
          <cell r="AJ360" t="str">
            <v/>
          </cell>
          <cell r="AK360">
            <v>0</v>
          </cell>
          <cell r="AL360">
            <v>0</v>
          </cell>
          <cell r="AM360">
            <v>0</v>
          </cell>
        </row>
        <row r="361">
          <cell r="C361" t="str">
            <v/>
          </cell>
          <cell r="D361" t="str">
            <v/>
          </cell>
          <cell r="O361" t="str">
            <v/>
          </cell>
          <cell r="T361" t="str">
            <v/>
          </cell>
          <cell r="U361" t="str">
            <v/>
          </cell>
          <cell r="V361" t="str">
            <v/>
          </cell>
          <cell r="W361" t="str">
            <v/>
          </cell>
          <cell r="Y361" t="str">
            <v/>
          </cell>
          <cell r="AA361" t="str">
            <v/>
          </cell>
          <cell r="AB361">
            <v>0</v>
          </cell>
          <cell r="AC361">
            <v>0</v>
          </cell>
          <cell r="AI361" t="str">
            <v/>
          </cell>
          <cell r="AJ361" t="str">
            <v/>
          </cell>
          <cell r="AK361">
            <v>0</v>
          </cell>
          <cell r="AL361">
            <v>0</v>
          </cell>
          <cell r="AM361">
            <v>0</v>
          </cell>
        </row>
        <row r="362">
          <cell r="C362" t="str">
            <v/>
          </cell>
          <cell r="D362" t="str">
            <v/>
          </cell>
          <cell r="O362" t="str">
            <v/>
          </cell>
          <cell r="T362" t="str">
            <v/>
          </cell>
          <cell r="U362" t="str">
            <v/>
          </cell>
          <cell r="V362" t="str">
            <v/>
          </cell>
          <cell r="W362" t="str">
            <v/>
          </cell>
          <cell r="Y362" t="str">
            <v/>
          </cell>
          <cell r="AA362" t="str">
            <v/>
          </cell>
          <cell r="AB362">
            <v>0</v>
          </cell>
          <cell r="AC362">
            <v>0</v>
          </cell>
          <cell r="AI362" t="str">
            <v/>
          </cell>
          <cell r="AJ362" t="str">
            <v/>
          </cell>
          <cell r="AK362">
            <v>0</v>
          </cell>
          <cell r="AL362">
            <v>0</v>
          </cell>
          <cell r="AM362">
            <v>0</v>
          </cell>
        </row>
        <row r="363">
          <cell r="C363" t="str">
            <v/>
          </cell>
          <cell r="D363" t="str">
            <v/>
          </cell>
          <cell r="O363" t="str">
            <v/>
          </cell>
          <cell r="T363" t="str">
            <v/>
          </cell>
          <cell r="U363" t="str">
            <v/>
          </cell>
          <cell r="V363" t="str">
            <v/>
          </cell>
          <cell r="W363" t="str">
            <v/>
          </cell>
          <cell r="Y363" t="str">
            <v/>
          </cell>
          <cell r="AA363" t="str">
            <v/>
          </cell>
          <cell r="AB363">
            <v>0</v>
          </cell>
          <cell r="AC363">
            <v>0</v>
          </cell>
          <cell r="AI363" t="str">
            <v/>
          </cell>
          <cell r="AJ363" t="str">
            <v/>
          </cell>
          <cell r="AK363">
            <v>0</v>
          </cell>
          <cell r="AL363">
            <v>0</v>
          </cell>
          <cell r="AM363">
            <v>0</v>
          </cell>
        </row>
        <row r="364">
          <cell r="C364" t="str">
            <v/>
          </cell>
          <cell r="D364" t="str">
            <v/>
          </cell>
          <cell r="O364" t="str">
            <v/>
          </cell>
          <cell r="T364" t="str">
            <v/>
          </cell>
          <cell r="U364" t="str">
            <v/>
          </cell>
          <cell r="V364" t="str">
            <v/>
          </cell>
          <cell r="W364" t="str">
            <v/>
          </cell>
          <cell r="Y364" t="str">
            <v/>
          </cell>
          <cell r="AA364" t="str">
            <v/>
          </cell>
          <cell r="AB364">
            <v>0</v>
          </cell>
          <cell r="AC364">
            <v>0</v>
          </cell>
          <cell r="AI364" t="str">
            <v/>
          </cell>
          <cell r="AJ364" t="str">
            <v/>
          </cell>
          <cell r="AK364">
            <v>0</v>
          </cell>
          <cell r="AL364">
            <v>0</v>
          </cell>
          <cell r="AM364">
            <v>0</v>
          </cell>
        </row>
        <row r="365">
          <cell r="C365" t="str">
            <v/>
          </cell>
          <cell r="D365" t="str">
            <v/>
          </cell>
          <cell r="O365" t="str">
            <v/>
          </cell>
          <cell r="T365" t="str">
            <v/>
          </cell>
          <cell r="U365" t="str">
            <v/>
          </cell>
          <cell r="V365" t="str">
            <v/>
          </cell>
          <cell r="W365" t="str">
            <v/>
          </cell>
          <cell r="Y365" t="str">
            <v/>
          </cell>
          <cell r="AA365" t="str">
            <v/>
          </cell>
          <cell r="AB365">
            <v>0</v>
          </cell>
          <cell r="AC365">
            <v>0</v>
          </cell>
          <cell r="AI365" t="str">
            <v/>
          </cell>
          <cell r="AJ365" t="str">
            <v/>
          </cell>
          <cell r="AK365">
            <v>0</v>
          </cell>
          <cell r="AL365">
            <v>0</v>
          </cell>
          <cell r="AM365">
            <v>0</v>
          </cell>
        </row>
        <row r="366">
          <cell r="C366" t="str">
            <v/>
          </cell>
          <cell r="D366" t="str">
            <v/>
          </cell>
          <cell r="O366" t="str">
            <v/>
          </cell>
          <cell r="T366" t="str">
            <v/>
          </cell>
          <cell r="U366" t="str">
            <v/>
          </cell>
          <cell r="V366" t="str">
            <v/>
          </cell>
          <cell r="W366" t="str">
            <v/>
          </cell>
          <cell r="Y366" t="str">
            <v/>
          </cell>
          <cell r="AA366" t="str">
            <v/>
          </cell>
          <cell r="AB366">
            <v>0</v>
          </cell>
          <cell r="AC366">
            <v>0</v>
          </cell>
          <cell r="AI366" t="str">
            <v/>
          </cell>
          <cell r="AJ366" t="str">
            <v/>
          </cell>
          <cell r="AK366">
            <v>0</v>
          </cell>
          <cell r="AL366">
            <v>0</v>
          </cell>
          <cell r="AM366">
            <v>0</v>
          </cell>
        </row>
        <row r="367">
          <cell r="C367" t="str">
            <v/>
          </cell>
          <cell r="D367" t="str">
            <v/>
          </cell>
          <cell r="O367" t="str">
            <v/>
          </cell>
          <cell r="T367" t="str">
            <v/>
          </cell>
          <cell r="U367" t="str">
            <v/>
          </cell>
          <cell r="V367" t="str">
            <v/>
          </cell>
          <cell r="W367" t="str">
            <v/>
          </cell>
          <cell r="Y367" t="str">
            <v/>
          </cell>
          <cell r="AA367" t="str">
            <v/>
          </cell>
          <cell r="AB367">
            <v>0</v>
          </cell>
          <cell r="AC367">
            <v>0</v>
          </cell>
          <cell r="AI367" t="str">
            <v/>
          </cell>
          <cell r="AJ367" t="str">
            <v/>
          </cell>
          <cell r="AK367">
            <v>0</v>
          </cell>
          <cell r="AL367">
            <v>0</v>
          </cell>
          <cell r="AM367">
            <v>0</v>
          </cell>
        </row>
        <row r="368">
          <cell r="C368" t="str">
            <v/>
          </cell>
          <cell r="D368" t="str">
            <v/>
          </cell>
          <cell r="O368" t="str">
            <v/>
          </cell>
          <cell r="T368" t="str">
            <v/>
          </cell>
          <cell r="U368" t="str">
            <v/>
          </cell>
          <cell r="V368" t="str">
            <v/>
          </cell>
          <cell r="W368" t="str">
            <v/>
          </cell>
          <cell r="Y368" t="str">
            <v/>
          </cell>
          <cell r="AA368" t="str">
            <v/>
          </cell>
          <cell r="AB368">
            <v>0</v>
          </cell>
          <cell r="AC368">
            <v>0</v>
          </cell>
          <cell r="AI368" t="str">
            <v/>
          </cell>
          <cell r="AJ368" t="str">
            <v/>
          </cell>
          <cell r="AK368">
            <v>0</v>
          </cell>
          <cell r="AL368">
            <v>0</v>
          </cell>
          <cell r="AM368">
            <v>0</v>
          </cell>
        </row>
        <row r="369">
          <cell r="C369" t="str">
            <v/>
          </cell>
          <cell r="D369" t="str">
            <v/>
          </cell>
          <cell r="O369" t="str">
            <v/>
          </cell>
          <cell r="T369" t="str">
            <v/>
          </cell>
          <cell r="U369" t="str">
            <v/>
          </cell>
          <cell r="V369" t="str">
            <v/>
          </cell>
          <cell r="W369" t="str">
            <v/>
          </cell>
          <cell r="Y369" t="str">
            <v/>
          </cell>
          <cell r="AA369" t="str">
            <v/>
          </cell>
          <cell r="AB369">
            <v>0</v>
          </cell>
          <cell r="AC369">
            <v>0</v>
          </cell>
          <cell r="AI369" t="str">
            <v/>
          </cell>
          <cell r="AJ369" t="str">
            <v/>
          </cell>
          <cell r="AK369">
            <v>0</v>
          </cell>
          <cell r="AL369">
            <v>0</v>
          </cell>
          <cell r="AM369">
            <v>0</v>
          </cell>
        </row>
        <row r="370">
          <cell r="C370" t="str">
            <v/>
          </cell>
          <cell r="D370" t="str">
            <v/>
          </cell>
          <cell r="O370" t="str">
            <v/>
          </cell>
          <cell r="T370" t="str">
            <v/>
          </cell>
          <cell r="U370" t="str">
            <v/>
          </cell>
          <cell r="V370" t="str">
            <v/>
          </cell>
          <cell r="W370" t="str">
            <v/>
          </cell>
          <cell r="Y370" t="str">
            <v/>
          </cell>
          <cell r="AA370" t="str">
            <v/>
          </cell>
          <cell r="AB370">
            <v>0</v>
          </cell>
          <cell r="AC370">
            <v>0</v>
          </cell>
          <cell r="AI370" t="str">
            <v/>
          </cell>
          <cell r="AJ370" t="str">
            <v/>
          </cell>
          <cell r="AK370">
            <v>0</v>
          </cell>
          <cell r="AL370">
            <v>0</v>
          </cell>
          <cell r="AM370">
            <v>0</v>
          </cell>
        </row>
        <row r="371">
          <cell r="C371" t="str">
            <v/>
          </cell>
          <cell r="D371" t="str">
            <v/>
          </cell>
          <cell r="O371" t="str">
            <v/>
          </cell>
          <cell r="T371" t="str">
            <v/>
          </cell>
          <cell r="U371" t="str">
            <v/>
          </cell>
          <cell r="V371" t="str">
            <v/>
          </cell>
          <cell r="W371" t="str">
            <v/>
          </cell>
          <cell r="Y371" t="str">
            <v/>
          </cell>
          <cell r="AA371" t="str">
            <v/>
          </cell>
          <cell r="AB371">
            <v>0</v>
          </cell>
          <cell r="AC371">
            <v>0</v>
          </cell>
          <cell r="AI371" t="str">
            <v/>
          </cell>
          <cell r="AJ371" t="str">
            <v/>
          </cell>
          <cell r="AK371">
            <v>0</v>
          </cell>
          <cell r="AL371">
            <v>0</v>
          </cell>
          <cell r="AM371">
            <v>0</v>
          </cell>
        </row>
        <row r="372">
          <cell r="C372" t="str">
            <v/>
          </cell>
          <cell r="D372" t="str">
            <v/>
          </cell>
          <cell r="O372" t="str">
            <v/>
          </cell>
          <cell r="T372" t="str">
            <v/>
          </cell>
          <cell r="U372" t="str">
            <v/>
          </cell>
          <cell r="V372" t="str">
            <v/>
          </cell>
          <cell r="W372" t="str">
            <v/>
          </cell>
          <cell r="Y372" t="str">
            <v/>
          </cell>
          <cell r="AA372" t="str">
            <v/>
          </cell>
          <cell r="AB372">
            <v>0</v>
          </cell>
          <cell r="AC372">
            <v>0</v>
          </cell>
          <cell r="AI372" t="str">
            <v/>
          </cell>
          <cell r="AJ372" t="str">
            <v/>
          </cell>
          <cell r="AK372">
            <v>0</v>
          </cell>
          <cell r="AL372">
            <v>0</v>
          </cell>
          <cell r="AM372">
            <v>0</v>
          </cell>
        </row>
        <row r="373">
          <cell r="C373" t="str">
            <v/>
          </cell>
          <cell r="D373" t="str">
            <v/>
          </cell>
          <cell r="O373" t="str">
            <v/>
          </cell>
          <cell r="T373" t="str">
            <v/>
          </cell>
          <cell r="U373" t="str">
            <v/>
          </cell>
          <cell r="V373" t="str">
            <v/>
          </cell>
          <cell r="W373" t="str">
            <v/>
          </cell>
          <cell r="Y373" t="str">
            <v/>
          </cell>
          <cell r="AA373" t="str">
            <v/>
          </cell>
          <cell r="AB373">
            <v>0</v>
          </cell>
          <cell r="AC373">
            <v>0</v>
          </cell>
          <cell r="AI373" t="str">
            <v/>
          </cell>
          <cell r="AJ373" t="str">
            <v/>
          </cell>
          <cell r="AK373">
            <v>0</v>
          </cell>
          <cell r="AL373">
            <v>0</v>
          </cell>
          <cell r="AM373">
            <v>0</v>
          </cell>
        </row>
        <row r="374">
          <cell r="C374" t="str">
            <v/>
          </cell>
          <cell r="D374" t="str">
            <v/>
          </cell>
          <cell r="O374" t="str">
            <v/>
          </cell>
          <cell r="T374" t="str">
            <v/>
          </cell>
          <cell r="U374" t="str">
            <v/>
          </cell>
          <cell r="V374" t="str">
            <v/>
          </cell>
          <cell r="W374" t="str">
            <v/>
          </cell>
          <cell r="Y374" t="str">
            <v/>
          </cell>
          <cell r="AA374" t="str">
            <v/>
          </cell>
          <cell r="AB374">
            <v>0</v>
          </cell>
          <cell r="AC374">
            <v>0</v>
          </cell>
          <cell r="AI374" t="str">
            <v/>
          </cell>
          <cell r="AJ374" t="str">
            <v/>
          </cell>
          <cell r="AK374">
            <v>0</v>
          </cell>
          <cell r="AL374">
            <v>0</v>
          </cell>
          <cell r="AM374">
            <v>0</v>
          </cell>
        </row>
        <row r="375">
          <cell r="C375" t="str">
            <v/>
          </cell>
          <cell r="D375" t="str">
            <v/>
          </cell>
          <cell r="O375" t="str">
            <v/>
          </cell>
          <cell r="T375" t="str">
            <v/>
          </cell>
          <cell r="U375" t="str">
            <v/>
          </cell>
          <cell r="V375" t="str">
            <v/>
          </cell>
          <cell r="W375" t="str">
            <v/>
          </cell>
          <cell r="Y375" t="str">
            <v/>
          </cell>
          <cell r="AA375" t="str">
            <v/>
          </cell>
          <cell r="AB375">
            <v>0</v>
          </cell>
          <cell r="AC375">
            <v>0</v>
          </cell>
          <cell r="AI375" t="str">
            <v/>
          </cell>
          <cell r="AJ375" t="str">
            <v/>
          </cell>
          <cell r="AK375">
            <v>0</v>
          </cell>
          <cell r="AL375">
            <v>0</v>
          </cell>
          <cell r="AM375">
            <v>0</v>
          </cell>
        </row>
        <row r="376">
          <cell r="C376" t="str">
            <v/>
          </cell>
          <cell r="D376" t="str">
            <v/>
          </cell>
          <cell r="O376" t="str">
            <v/>
          </cell>
          <cell r="T376" t="str">
            <v/>
          </cell>
          <cell r="U376" t="str">
            <v/>
          </cell>
          <cell r="V376" t="str">
            <v/>
          </cell>
          <cell r="W376" t="str">
            <v/>
          </cell>
          <cell r="Y376" t="str">
            <v/>
          </cell>
          <cell r="AA376" t="str">
            <v/>
          </cell>
          <cell r="AB376">
            <v>0</v>
          </cell>
          <cell r="AC376">
            <v>0</v>
          </cell>
          <cell r="AI376" t="str">
            <v/>
          </cell>
          <cell r="AJ376" t="str">
            <v/>
          </cell>
          <cell r="AK376">
            <v>0</v>
          </cell>
          <cell r="AL376">
            <v>0</v>
          </cell>
          <cell r="AM376">
            <v>0</v>
          </cell>
        </row>
        <row r="377">
          <cell r="C377" t="str">
            <v/>
          </cell>
          <cell r="D377" t="str">
            <v/>
          </cell>
          <cell r="O377" t="str">
            <v/>
          </cell>
          <cell r="T377" t="str">
            <v/>
          </cell>
          <cell r="U377" t="str">
            <v/>
          </cell>
          <cell r="V377" t="str">
            <v/>
          </cell>
          <cell r="W377" t="str">
            <v/>
          </cell>
          <cell r="Y377" t="str">
            <v/>
          </cell>
          <cell r="AA377" t="str">
            <v/>
          </cell>
          <cell r="AB377">
            <v>0</v>
          </cell>
          <cell r="AC377">
            <v>0</v>
          </cell>
          <cell r="AI377" t="str">
            <v/>
          </cell>
          <cell r="AJ377" t="str">
            <v/>
          </cell>
          <cell r="AK377">
            <v>0</v>
          </cell>
          <cell r="AL377">
            <v>0</v>
          </cell>
          <cell r="AM377">
            <v>0</v>
          </cell>
        </row>
        <row r="378">
          <cell r="C378" t="str">
            <v/>
          </cell>
          <cell r="D378" t="str">
            <v/>
          </cell>
          <cell r="O378" t="str">
            <v/>
          </cell>
          <cell r="T378" t="str">
            <v/>
          </cell>
          <cell r="U378" t="str">
            <v/>
          </cell>
          <cell r="V378" t="str">
            <v/>
          </cell>
          <cell r="W378" t="str">
            <v/>
          </cell>
          <cell r="Y378" t="str">
            <v/>
          </cell>
          <cell r="AA378" t="str">
            <v/>
          </cell>
          <cell r="AB378">
            <v>0</v>
          </cell>
          <cell r="AC378">
            <v>0</v>
          </cell>
          <cell r="AI378" t="str">
            <v/>
          </cell>
          <cell r="AJ378" t="str">
            <v/>
          </cell>
          <cell r="AK378">
            <v>0</v>
          </cell>
          <cell r="AL378">
            <v>0</v>
          </cell>
          <cell r="AM378">
            <v>0</v>
          </cell>
        </row>
        <row r="379">
          <cell r="C379" t="str">
            <v/>
          </cell>
          <cell r="D379" t="str">
            <v/>
          </cell>
          <cell r="O379" t="str">
            <v/>
          </cell>
          <cell r="T379" t="str">
            <v/>
          </cell>
          <cell r="U379" t="str">
            <v/>
          </cell>
          <cell r="V379" t="str">
            <v/>
          </cell>
          <cell r="W379" t="str">
            <v/>
          </cell>
          <cell r="Y379" t="str">
            <v/>
          </cell>
          <cell r="AA379" t="str">
            <v/>
          </cell>
          <cell r="AB379">
            <v>0</v>
          </cell>
          <cell r="AC379">
            <v>0</v>
          </cell>
          <cell r="AI379" t="str">
            <v/>
          </cell>
          <cell r="AJ379" t="str">
            <v/>
          </cell>
          <cell r="AK379">
            <v>0</v>
          </cell>
          <cell r="AL379">
            <v>0</v>
          </cell>
          <cell r="AM379">
            <v>0</v>
          </cell>
        </row>
        <row r="380">
          <cell r="C380" t="str">
            <v/>
          </cell>
          <cell r="D380" t="str">
            <v/>
          </cell>
          <cell r="O380" t="str">
            <v/>
          </cell>
          <cell r="T380" t="str">
            <v/>
          </cell>
          <cell r="U380" t="str">
            <v/>
          </cell>
          <cell r="V380" t="str">
            <v/>
          </cell>
          <cell r="W380" t="str">
            <v/>
          </cell>
          <cell r="Y380" t="str">
            <v/>
          </cell>
          <cell r="AA380" t="str">
            <v/>
          </cell>
          <cell r="AB380">
            <v>0</v>
          </cell>
          <cell r="AC380">
            <v>0</v>
          </cell>
          <cell r="AI380" t="str">
            <v/>
          </cell>
          <cell r="AJ380" t="str">
            <v/>
          </cell>
          <cell r="AK380">
            <v>0</v>
          </cell>
          <cell r="AL380">
            <v>0</v>
          </cell>
          <cell r="AM380">
            <v>0</v>
          </cell>
        </row>
        <row r="381">
          <cell r="C381" t="str">
            <v/>
          </cell>
          <cell r="D381" t="str">
            <v/>
          </cell>
          <cell r="O381" t="str">
            <v/>
          </cell>
          <cell r="T381" t="str">
            <v/>
          </cell>
          <cell r="U381" t="str">
            <v/>
          </cell>
          <cell r="V381" t="str">
            <v/>
          </cell>
          <cell r="W381" t="str">
            <v/>
          </cell>
          <cell r="Y381" t="str">
            <v/>
          </cell>
          <cell r="AA381" t="str">
            <v/>
          </cell>
          <cell r="AB381">
            <v>0</v>
          </cell>
          <cell r="AC381">
            <v>0</v>
          </cell>
          <cell r="AI381" t="str">
            <v/>
          </cell>
          <cell r="AJ381" t="str">
            <v/>
          </cell>
          <cell r="AK381">
            <v>0</v>
          </cell>
          <cell r="AL381">
            <v>0</v>
          </cell>
          <cell r="AM381">
            <v>0</v>
          </cell>
        </row>
        <row r="382">
          <cell r="C382" t="str">
            <v/>
          </cell>
          <cell r="D382" t="str">
            <v/>
          </cell>
          <cell r="O382" t="str">
            <v/>
          </cell>
          <cell r="T382" t="str">
            <v/>
          </cell>
          <cell r="U382" t="str">
            <v/>
          </cell>
          <cell r="V382" t="str">
            <v/>
          </cell>
          <cell r="W382" t="str">
            <v/>
          </cell>
          <cell r="Y382" t="str">
            <v/>
          </cell>
          <cell r="AA382" t="str">
            <v/>
          </cell>
          <cell r="AB382">
            <v>0</v>
          </cell>
          <cell r="AC382">
            <v>0</v>
          </cell>
          <cell r="AI382" t="str">
            <v/>
          </cell>
          <cell r="AJ382" t="str">
            <v/>
          </cell>
          <cell r="AK382">
            <v>0</v>
          </cell>
          <cell r="AL382">
            <v>0</v>
          </cell>
          <cell r="AM382">
            <v>0</v>
          </cell>
        </row>
        <row r="383">
          <cell r="C383" t="str">
            <v/>
          </cell>
          <cell r="D383" t="str">
            <v/>
          </cell>
          <cell r="O383" t="str">
            <v/>
          </cell>
          <cell r="T383" t="str">
            <v/>
          </cell>
          <cell r="U383" t="str">
            <v/>
          </cell>
          <cell r="V383" t="str">
            <v/>
          </cell>
          <cell r="W383" t="str">
            <v/>
          </cell>
          <cell r="Y383" t="str">
            <v/>
          </cell>
          <cell r="AA383" t="str">
            <v/>
          </cell>
          <cell r="AB383">
            <v>0</v>
          </cell>
          <cell r="AC383">
            <v>0</v>
          </cell>
          <cell r="AI383" t="str">
            <v/>
          </cell>
          <cell r="AJ383" t="str">
            <v/>
          </cell>
          <cell r="AK383">
            <v>0</v>
          </cell>
          <cell r="AL383">
            <v>0</v>
          </cell>
          <cell r="AM383">
            <v>0</v>
          </cell>
        </row>
        <row r="384">
          <cell r="C384" t="str">
            <v/>
          </cell>
          <cell r="D384" t="str">
            <v/>
          </cell>
          <cell r="O384" t="str">
            <v/>
          </cell>
          <cell r="T384" t="str">
            <v/>
          </cell>
          <cell r="U384" t="str">
            <v/>
          </cell>
          <cell r="V384" t="str">
            <v/>
          </cell>
          <cell r="W384" t="str">
            <v/>
          </cell>
          <cell r="Y384" t="str">
            <v/>
          </cell>
          <cell r="AA384" t="str">
            <v/>
          </cell>
          <cell r="AB384">
            <v>0</v>
          </cell>
          <cell r="AC384">
            <v>0</v>
          </cell>
          <cell r="AI384" t="str">
            <v/>
          </cell>
          <cell r="AJ384" t="str">
            <v/>
          </cell>
          <cell r="AK384">
            <v>0</v>
          </cell>
          <cell r="AL384">
            <v>0</v>
          </cell>
          <cell r="AM384">
            <v>0</v>
          </cell>
        </row>
        <row r="385">
          <cell r="C385" t="str">
            <v/>
          </cell>
          <cell r="D385" t="str">
            <v/>
          </cell>
          <cell r="O385" t="str">
            <v/>
          </cell>
          <cell r="T385" t="str">
            <v/>
          </cell>
          <cell r="U385" t="str">
            <v/>
          </cell>
          <cell r="V385" t="str">
            <v/>
          </cell>
          <cell r="W385" t="str">
            <v/>
          </cell>
          <cell r="Y385" t="str">
            <v/>
          </cell>
          <cell r="AA385" t="str">
            <v/>
          </cell>
          <cell r="AB385">
            <v>0</v>
          </cell>
          <cell r="AC385">
            <v>0</v>
          </cell>
          <cell r="AI385" t="str">
            <v/>
          </cell>
          <cell r="AJ385" t="str">
            <v/>
          </cell>
          <cell r="AK385">
            <v>0</v>
          </cell>
          <cell r="AL385">
            <v>0</v>
          </cell>
          <cell r="AM385">
            <v>0</v>
          </cell>
        </row>
        <row r="386">
          <cell r="C386" t="str">
            <v/>
          </cell>
          <cell r="D386" t="str">
            <v/>
          </cell>
          <cell r="O386" t="str">
            <v/>
          </cell>
          <cell r="T386" t="str">
            <v/>
          </cell>
          <cell r="U386" t="str">
            <v/>
          </cell>
          <cell r="V386" t="str">
            <v/>
          </cell>
          <cell r="W386" t="str">
            <v/>
          </cell>
          <cell r="Y386" t="str">
            <v/>
          </cell>
          <cell r="AA386" t="str">
            <v/>
          </cell>
          <cell r="AB386">
            <v>0</v>
          </cell>
          <cell r="AC386">
            <v>0</v>
          </cell>
          <cell r="AI386" t="str">
            <v/>
          </cell>
          <cell r="AJ386" t="str">
            <v/>
          </cell>
          <cell r="AK386">
            <v>0</v>
          </cell>
          <cell r="AL386">
            <v>0</v>
          </cell>
          <cell r="AM386">
            <v>0</v>
          </cell>
        </row>
        <row r="387">
          <cell r="C387" t="str">
            <v/>
          </cell>
          <cell r="D387" t="str">
            <v/>
          </cell>
          <cell r="O387" t="str">
            <v/>
          </cell>
          <cell r="T387" t="str">
            <v/>
          </cell>
          <cell r="U387" t="str">
            <v/>
          </cell>
          <cell r="V387" t="str">
            <v/>
          </cell>
          <cell r="W387" t="str">
            <v/>
          </cell>
          <cell r="Y387" t="str">
            <v/>
          </cell>
          <cell r="AA387" t="str">
            <v/>
          </cell>
          <cell r="AB387">
            <v>0</v>
          </cell>
          <cell r="AC387">
            <v>0</v>
          </cell>
          <cell r="AI387" t="str">
            <v/>
          </cell>
          <cell r="AJ387" t="str">
            <v/>
          </cell>
          <cell r="AK387">
            <v>0</v>
          </cell>
          <cell r="AL387">
            <v>0</v>
          </cell>
          <cell r="AM387">
            <v>0</v>
          </cell>
        </row>
        <row r="388">
          <cell r="C388" t="str">
            <v/>
          </cell>
          <cell r="D388" t="str">
            <v/>
          </cell>
          <cell r="O388" t="str">
            <v/>
          </cell>
          <cell r="T388" t="str">
            <v/>
          </cell>
          <cell r="U388" t="str">
            <v/>
          </cell>
          <cell r="V388" t="str">
            <v/>
          </cell>
          <cell r="W388" t="str">
            <v/>
          </cell>
          <cell r="Y388" t="str">
            <v/>
          </cell>
          <cell r="AA388" t="str">
            <v/>
          </cell>
          <cell r="AB388">
            <v>0</v>
          </cell>
          <cell r="AC388">
            <v>0</v>
          </cell>
          <cell r="AI388" t="str">
            <v/>
          </cell>
          <cell r="AJ388" t="str">
            <v/>
          </cell>
          <cell r="AK388">
            <v>0</v>
          </cell>
          <cell r="AL388">
            <v>0</v>
          </cell>
          <cell r="AM388">
            <v>0</v>
          </cell>
        </row>
        <row r="389">
          <cell r="C389" t="str">
            <v/>
          </cell>
          <cell r="D389" t="str">
            <v/>
          </cell>
          <cell r="O389" t="str">
            <v/>
          </cell>
          <cell r="T389" t="str">
            <v/>
          </cell>
          <cell r="U389" t="str">
            <v/>
          </cell>
          <cell r="V389" t="str">
            <v/>
          </cell>
          <cell r="W389" t="str">
            <v/>
          </cell>
          <cell r="Y389" t="str">
            <v/>
          </cell>
          <cell r="AA389" t="str">
            <v/>
          </cell>
          <cell r="AB389">
            <v>0</v>
          </cell>
          <cell r="AC389">
            <v>0</v>
          </cell>
          <cell r="AI389" t="str">
            <v/>
          </cell>
          <cell r="AJ389" t="str">
            <v/>
          </cell>
          <cell r="AK389">
            <v>0</v>
          </cell>
          <cell r="AL389">
            <v>0</v>
          </cell>
          <cell r="AM389">
            <v>0</v>
          </cell>
        </row>
        <row r="390">
          <cell r="C390" t="str">
            <v/>
          </cell>
          <cell r="D390" t="str">
            <v/>
          </cell>
          <cell r="O390" t="str">
            <v/>
          </cell>
          <cell r="T390" t="str">
            <v/>
          </cell>
          <cell r="U390" t="str">
            <v/>
          </cell>
          <cell r="V390" t="str">
            <v/>
          </cell>
          <cell r="W390" t="str">
            <v/>
          </cell>
          <cell r="Y390" t="str">
            <v/>
          </cell>
          <cell r="AA390" t="str">
            <v/>
          </cell>
          <cell r="AB390">
            <v>0</v>
          </cell>
          <cell r="AC390">
            <v>0</v>
          </cell>
          <cell r="AI390" t="str">
            <v/>
          </cell>
          <cell r="AJ390" t="str">
            <v/>
          </cell>
          <cell r="AK390">
            <v>0</v>
          </cell>
          <cell r="AL390">
            <v>0</v>
          </cell>
          <cell r="AM390">
            <v>0</v>
          </cell>
        </row>
        <row r="391">
          <cell r="C391" t="str">
            <v/>
          </cell>
          <cell r="D391" t="str">
            <v/>
          </cell>
          <cell r="O391" t="str">
            <v/>
          </cell>
          <cell r="T391" t="str">
            <v/>
          </cell>
          <cell r="U391" t="str">
            <v/>
          </cell>
          <cell r="V391" t="str">
            <v/>
          </cell>
          <cell r="W391" t="str">
            <v/>
          </cell>
          <cell r="Y391" t="str">
            <v/>
          </cell>
          <cell r="AA391" t="str">
            <v/>
          </cell>
          <cell r="AB391">
            <v>0</v>
          </cell>
          <cell r="AC391">
            <v>0</v>
          </cell>
          <cell r="AI391" t="str">
            <v/>
          </cell>
          <cell r="AJ391" t="str">
            <v/>
          </cell>
          <cell r="AK391">
            <v>0</v>
          </cell>
          <cell r="AL391">
            <v>0</v>
          </cell>
          <cell r="AM391">
            <v>0</v>
          </cell>
        </row>
        <row r="392">
          <cell r="C392" t="str">
            <v/>
          </cell>
          <cell r="D392" t="str">
            <v/>
          </cell>
          <cell r="O392" t="str">
            <v/>
          </cell>
          <cell r="T392" t="str">
            <v/>
          </cell>
          <cell r="U392" t="str">
            <v/>
          </cell>
          <cell r="V392" t="str">
            <v/>
          </cell>
          <cell r="W392" t="str">
            <v/>
          </cell>
          <cell r="Y392" t="str">
            <v/>
          </cell>
          <cell r="AA392" t="str">
            <v/>
          </cell>
          <cell r="AB392">
            <v>0</v>
          </cell>
          <cell r="AC392">
            <v>0</v>
          </cell>
          <cell r="AI392" t="str">
            <v/>
          </cell>
          <cell r="AJ392" t="str">
            <v/>
          </cell>
          <cell r="AK392">
            <v>0</v>
          </cell>
          <cell r="AL392">
            <v>0</v>
          </cell>
          <cell r="AM392">
            <v>0</v>
          </cell>
        </row>
        <row r="393">
          <cell r="C393" t="str">
            <v/>
          </cell>
          <cell r="D393" t="str">
            <v/>
          </cell>
          <cell r="O393" t="str">
            <v/>
          </cell>
          <cell r="T393" t="str">
            <v/>
          </cell>
          <cell r="U393" t="str">
            <v/>
          </cell>
          <cell r="V393" t="str">
            <v/>
          </cell>
          <cell r="W393" t="str">
            <v/>
          </cell>
          <cell r="Y393" t="str">
            <v/>
          </cell>
          <cell r="AA393" t="str">
            <v/>
          </cell>
          <cell r="AB393">
            <v>0</v>
          </cell>
          <cell r="AC393">
            <v>0</v>
          </cell>
          <cell r="AI393" t="str">
            <v/>
          </cell>
          <cell r="AJ393" t="str">
            <v/>
          </cell>
          <cell r="AK393">
            <v>0</v>
          </cell>
          <cell r="AL393">
            <v>0</v>
          </cell>
          <cell r="AM393">
            <v>0</v>
          </cell>
        </row>
        <row r="394">
          <cell r="C394" t="str">
            <v/>
          </cell>
          <cell r="D394" t="str">
            <v/>
          </cell>
          <cell r="O394" t="str">
            <v/>
          </cell>
          <cell r="T394" t="str">
            <v/>
          </cell>
          <cell r="U394" t="str">
            <v/>
          </cell>
          <cell r="V394" t="str">
            <v/>
          </cell>
          <cell r="W394" t="str">
            <v/>
          </cell>
          <cell r="Y394" t="str">
            <v/>
          </cell>
          <cell r="AA394" t="str">
            <v/>
          </cell>
          <cell r="AB394">
            <v>0</v>
          </cell>
          <cell r="AC394">
            <v>0</v>
          </cell>
          <cell r="AI394" t="str">
            <v/>
          </cell>
          <cell r="AJ394" t="str">
            <v/>
          </cell>
          <cell r="AK394">
            <v>0</v>
          </cell>
          <cell r="AL394">
            <v>0</v>
          </cell>
          <cell r="AM394">
            <v>0</v>
          </cell>
        </row>
        <row r="395">
          <cell r="C395" t="str">
            <v/>
          </cell>
          <cell r="D395" t="str">
            <v/>
          </cell>
          <cell r="O395" t="str">
            <v/>
          </cell>
          <cell r="T395" t="str">
            <v/>
          </cell>
          <cell r="U395" t="str">
            <v/>
          </cell>
          <cell r="V395" t="str">
            <v/>
          </cell>
          <cell r="W395" t="str">
            <v/>
          </cell>
          <cell r="Y395" t="str">
            <v/>
          </cell>
          <cell r="AA395" t="str">
            <v/>
          </cell>
          <cell r="AB395">
            <v>0</v>
          </cell>
          <cell r="AC395">
            <v>0</v>
          </cell>
          <cell r="AI395" t="str">
            <v/>
          </cell>
          <cell r="AJ395" t="str">
            <v/>
          </cell>
          <cell r="AK395">
            <v>0</v>
          </cell>
          <cell r="AL395">
            <v>0</v>
          </cell>
          <cell r="AM395">
            <v>0</v>
          </cell>
        </row>
        <row r="396">
          <cell r="C396" t="str">
            <v/>
          </cell>
          <cell r="D396" t="str">
            <v/>
          </cell>
          <cell r="O396" t="str">
            <v/>
          </cell>
          <cell r="T396" t="str">
            <v/>
          </cell>
          <cell r="U396" t="str">
            <v/>
          </cell>
          <cell r="V396" t="str">
            <v/>
          </cell>
          <cell r="W396" t="str">
            <v/>
          </cell>
          <cell r="Y396" t="str">
            <v/>
          </cell>
          <cell r="AA396" t="str">
            <v/>
          </cell>
          <cell r="AB396">
            <v>0</v>
          </cell>
          <cell r="AC396">
            <v>0</v>
          </cell>
          <cell r="AI396" t="str">
            <v/>
          </cell>
          <cell r="AJ396" t="str">
            <v/>
          </cell>
          <cell r="AK396">
            <v>0</v>
          </cell>
          <cell r="AL396">
            <v>0</v>
          </cell>
          <cell r="AM396">
            <v>0</v>
          </cell>
        </row>
        <row r="397">
          <cell r="C397" t="str">
            <v/>
          </cell>
          <cell r="D397" t="str">
            <v/>
          </cell>
          <cell r="O397" t="str">
            <v/>
          </cell>
          <cell r="T397" t="str">
            <v/>
          </cell>
          <cell r="U397" t="str">
            <v/>
          </cell>
          <cell r="V397" t="str">
            <v/>
          </cell>
          <cell r="W397" t="str">
            <v/>
          </cell>
          <cell r="Y397" t="str">
            <v/>
          </cell>
          <cell r="AA397" t="str">
            <v/>
          </cell>
          <cell r="AB397">
            <v>0</v>
          </cell>
          <cell r="AC397">
            <v>0</v>
          </cell>
          <cell r="AI397" t="str">
            <v/>
          </cell>
          <cell r="AJ397" t="str">
            <v/>
          </cell>
          <cell r="AK397">
            <v>0</v>
          </cell>
          <cell r="AL397">
            <v>0</v>
          </cell>
          <cell r="AM397">
            <v>0</v>
          </cell>
        </row>
        <row r="398">
          <cell r="C398" t="str">
            <v/>
          </cell>
          <cell r="D398" t="str">
            <v/>
          </cell>
          <cell r="O398" t="str">
            <v/>
          </cell>
          <cell r="T398" t="str">
            <v/>
          </cell>
          <cell r="U398" t="str">
            <v/>
          </cell>
          <cell r="V398" t="str">
            <v/>
          </cell>
          <cell r="W398" t="str">
            <v/>
          </cell>
          <cell r="Y398" t="str">
            <v/>
          </cell>
          <cell r="AA398" t="str">
            <v/>
          </cell>
          <cell r="AB398">
            <v>0</v>
          </cell>
          <cell r="AC398">
            <v>0</v>
          </cell>
          <cell r="AI398" t="str">
            <v/>
          </cell>
          <cell r="AJ398" t="str">
            <v/>
          </cell>
          <cell r="AK398">
            <v>0</v>
          </cell>
          <cell r="AL398">
            <v>0</v>
          </cell>
          <cell r="AM398">
            <v>0</v>
          </cell>
        </row>
        <row r="399">
          <cell r="C399" t="str">
            <v/>
          </cell>
          <cell r="D399" t="str">
            <v/>
          </cell>
          <cell r="O399" t="str">
            <v/>
          </cell>
          <cell r="T399" t="str">
            <v/>
          </cell>
          <cell r="U399" t="str">
            <v/>
          </cell>
          <cell r="V399" t="str">
            <v/>
          </cell>
          <cell r="W399" t="str">
            <v/>
          </cell>
          <cell r="Y399" t="str">
            <v/>
          </cell>
          <cell r="AA399" t="str">
            <v/>
          </cell>
          <cell r="AB399">
            <v>0</v>
          </cell>
          <cell r="AC399">
            <v>0</v>
          </cell>
          <cell r="AI399" t="str">
            <v/>
          </cell>
          <cell r="AJ399" t="str">
            <v/>
          </cell>
          <cell r="AK399">
            <v>0</v>
          </cell>
          <cell r="AL399">
            <v>0</v>
          </cell>
          <cell r="AM399">
            <v>0</v>
          </cell>
        </row>
        <row r="400">
          <cell r="C400" t="str">
            <v/>
          </cell>
          <cell r="D400" t="str">
            <v/>
          </cell>
          <cell r="O400" t="str">
            <v/>
          </cell>
          <cell r="T400" t="str">
            <v/>
          </cell>
          <cell r="U400" t="str">
            <v/>
          </cell>
          <cell r="V400" t="str">
            <v/>
          </cell>
          <cell r="W400" t="str">
            <v/>
          </cell>
          <cell r="Y400" t="str">
            <v/>
          </cell>
          <cell r="AA400" t="str">
            <v/>
          </cell>
          <cell r="AB400">
            <v>0</v>
          </cell>
          <cell r="AC400">
            <v>0</v>
          </cell>
          <cell r="AI400" t="str">
            <v/>
          </cell>
          <cell r="AJ400" t="str">
            <v/>
          </cell>
          <cell r="AK400">
            <v>0</v>
          </cell>
          <cell r="AL400">
            <v>0</v>
          </cell>
          <cell r="AM400">
            <v>0</v>
          </cell>
        </row>
        <row r="401">
          <cell r="C401" t="str">
            <v/>
          </cell>
          <cell r="D401" t="str">
            <v/>
          </cell>
          <cell r="O401" t="str">
            <v/>
          </cell>
          <cell r="T401" t="str">
            <v/>
          </cell>
          <cell r="U401" t="str">
            <v/>
          </cell>
          <cell r="V401" t="str">
            <v/>
          </cell>
          <cell r="W401" t="str">
            <v/>
          </cell>
          <cell r="Y401" t="str">
            <v/>
          </cell>
          <cell r="AA401" t="str">
            <v/>
          </cell>
          <cell r="AB401">
            <v>0</v>
          </cell>
          <cell r="AC401">
            <v>0</v>
          </cell>
          <cell r="AI401" t="str">
            <v/>
          </cell>
          <cell r="AJ401" t="str">
            <v/>
          </cell>
          <cell r="AK401">
            <v>0</v>
          </cell>
          <cell r="AL401">
            <v>0</v>
          </cell>
          <cell r="AM401">
            <v>0</v>
          </cell>
        </row>
        <row r="402">
          <cell r="C402" t="str">
            <v/>
          </cell>
          <cell r="D402" t="str">
            <v/>
          </cell>
          <cell r="O402" t="str">
            <v/>
          </cell>
          <cell r="T402" t="str">
            <v/>
          </cell>
          <cell r="U402" t="str">
            <v/>
          </cell>
          <cell r="V402" t="str">
            <v/>
          </cell>
          <cell r="W402" t="str">
            <v/>
          </cell>
          <cell r="Y402" t="str">
            <v/>
          </cell>
          <cell r="AA402" t="str">
            <v/>
          </cell>
          <cell r="AB402">
            <v>0</v>
          </cell>
          <cell r="AC402">
            <v>0</v>
          </cell>
          <cell r="AI402" t="str">
            <v/>
          </cell>
          <cell r="AJ402" t="str">
            <v/>
          </cell>
          <cell r="AK402">
            <v>0</v>
          </cell>
          <cell r="AL402">
            <v>0</v>
          </cell>
          <cell r="AM402">
            <v>0</v>
          </cell>
        </row>
        <row r="403">
          <cell r="C403" t="str">
            <v/>
          </cell>
          <cell r="D403" t="str">
            <v/>
          </cell>
          <cell r="O403" t="str">
            <v/>
          </cell>
          <cell r="T403" t="str">
            <v/>
          </cell>
          <cell r="U403" t="str">
            <v/>
          </cell>
          <cell r="V403" t="str">
            <v/>
          </cell>
          <cell r="W403" t="str">
            <v/>
          </cell>
          <cell r="Y403" t="str">
            <v/>
          </cell>
          <cell r="AA403" t="str">
            <v/>
          </cell>
          <cell r="AB403">
            <v>0</v>
          </cell>
          <cell r="AC403">
            <v>0</v>
          </cell>
          <cell r="AI403" t="str">
            <v/>
          </cell>
          <cell r="AJ403" t="str">
            <v/>
          </cell>
          <cell r="AK403">
            <v>0</v>
          </cell>
          <cell r="AL403">
            <v>0</v>
          </cell>
          <cell r="AM403">
            <v>0</v>
          </cell>
        </row>
        <row r="404">
          <cell r="C404" t="str">
            <v/>
          </cell>
          <cell r="D404" t="str">
            <v/>
          </cell>
          <cell r="O404" t="str">
            <v/>
          </cell>
          <cell r="T404" t="str">
            <v/>
          </cell>
          <cell r="U404" t="str">
            <v/>
          </cell>
          <cell r="V404" t="str">
            <v/>
          </cell>
          <cell r="W404" t="str">
            <v/>
          </cell>
          <cell r="Y404" t="str">
            <v/>
          </cell>
          <cell r="AA404" t="str">
            <v/>
          </cell>
          <cell r="AB404">
            <v>0</v>
          </cell>
          <cell r="AC404">
            <v>0</v>
          </cell>
          <cell r="AI404" t="str">
            <v/>
          </cell>
          <cell r="AJ404" t="str">
            <v/>
          </cell>
          <cell r="AK404">
            <v>0</v>
          </cell>
          <cell r="AL404">
            <v>0</v>
          </cell>
          <cell r="AM404">
            <v>0</v>
          </cell>
        </row>
        <row r="405">
          <cell r="C405" t="str">
            <v/>
          </cell>
          <cell r="D405" t="str">
            <v/>
          </cell>
          <cell r="O405" t="str">
            <v/>
          </cell>
          <cell r="T405" t="str">
            <v/>
          </cell>
          <cell r="U405" t="str">
            <v/>
          </cell>
          <cell r="V405" t="str">
            <v/>
          </cell>
          <cell r="W405" t="str">
            <v/>
          </cell>
          <cell r="Y405" t="str">
            <v/>
          </cell>
          <cell r="AA405" t="str">
            <v/>
          </cell>
          <cell r="AB405">
            <v>0</v>
          </cell>
          <cell r="AC405">
            <v>0</v>
          </cell>
          <cell r="AI405" t="str">
            <v/>
          </cell>
          <cell r="AJ405" t="str">
            <v/>
          </cell>
          <cell r="AK405">
            <v>0</v>
          </cell>
          <cell r="AL405">
            <v>0</v>
          </cell>
          <cell r="AM405">
            <v>0</v>
          </cell>
        </row>
        <row r="406">
          <cell r="C406" t="str">
            <v/>
          </cell>
          <cell r="D406" t="str">
            <v/>
          </cell>
          <cell r="O406" t="str">
            <v/>
          </cell>
          <cell r="T406" t="str">
            <v/>
          </cell>
          <cell r="U406" t="str">
            <v/>
          </cell>
          <cell r="V406" t="str">
            <v/>
          </cell>
          <cell r="W406" t="str">
            <v/>
          </cell>
          <cell r="Y406" t="str">
            <v/>
          </cell>
          <cell r="AA406" t="str">
            <v/>
          </cell>
          <cell r="AB406">
            <v>0</v>
          </cell>
          <cell r="AC406">
            <v>0</v>
          </cell>
          <cell r="AI406" t="str">
            <v/>
          </cell>
          <cell r="AJ406" t="str">
            <v/>
          </cell>
          <cell r="AK406">
            <v>0</v>
          </cell>
          <cell r="AL406">
            <v>0</v>
          </cell>
          <cell r="AM406">
            <v>0</v>
          </cell>
        </row>
        <row r="407">
          <cell r="C407" t="str">
            <v/>
          </cell>
          <cell r="D407" t="str">
            <v/>
          </cell>
          <cell r="O407" t="str">
            <v/>
          </cell>
          <cell r="T407" t="str">
            <v/>
          </cell>
          <cell r="U407" t="str">
            <v/>
          </cell>
          <cell r="V407" t="str">
            <v/>
          </cell>
          <cell r="W407" t="str">
            <v/>
          </cell>
          <cell r="Y407" t="str">
            <v/>
          </cell>
          <cell r="AA407" t="str">
            <v/>
          </cell>
          <cell r="AB407">
            <v>0</v>
          </cell>
          <cell r="AC407">
            <v>0</v>
          </cell>
          <cell r="AI407" t="str">
            <v/>
          </cell>
          <cell r="AJ407" t="str">
            <v/>
          </cell>
          <cell r="AK407">
            <v>0</v>
          </cell>
          <cell r="AL407">
            <v>0</v>
          </cell>
          <cell r="AM407">
            <v>0</v>
          </cell>
        </row>
        <row r="408">
          <cell r="C408" t="str">
            <v/>
          </cell>
          <cell r="D408" t="str">
            <v/>
          </cell>
          <cell r="O408" t="str">
            <v/>
          </cell>
          <cell r="T408" t="str">
            <v/>
          </cell>
          <cell r="U408" t="str">
            <v/>
          </cell>
          <cell r="V408" t="str">
            <v/>
          </cell>
          <cell r="W408" t="str">
            <v/>
          </cell>
          <cell r="Y408" t="str">
            <v/>
          </cell>
          <cell r="AA408" t="str">
            <v/>
          </cell>
          <cell r="AB408">
            <v>0</v>
          </cell>
          <cell r="AC408">
            <v>0</v>
          </cell>
          <cell r="AI408" t="str">
            <v/>
          </cell>
          <cell r="AJ408" t="str">
            <v/>
          </cell>
          <cell r="AK408">
            <v>0</v>
          </cell>
          <cell r="AL408">
            <v>0</v>
          </cell>
          <cell r="AM408">
            <v>0</v>
          </cell>
        </row>
        <row r="409">
          <cell r="C409" t="str">
            <v/>
          </cell>
          <cell r="D409" t="str">
            <v/>
          </cell>
          <cell r="O409" t="str">
            <v/>
          </cell>
          <cell r="T409" t="str">
            <v/>
          </cell>
          <cell r="U409" t="str">
            <v/>
          </cell>
          <cell r="V409" t="str">
            <v/>
          </cell>
          <cell r="W409" t="str">
            <v/>
          </cell>
          <cell r="Y409" t="str">
            <v/>
          </cell>
          <cell r="AA409" t="str">
            <v/>
          </cell>
          <cell r="AB409">
            <v>0</v>
          </cell>
          <cell r="AC409">
            <v>0</v>
          </cell>
          <cell r="AI409" t="str">
            <v/>
          </cell>
          <cell r="AJ409" t="str">
            <v/>
          </cell>
          <cell r="AK409">
            <v>0</v>
          </cell>
          <cell r="AL409">
            <v>0</v>
          </cell>
          <cell r="AM409">
            <v>0</v>
          </cell>
        </row>
        <row r="410">
          <cell r="C410" t="str">
            <v/>
          </cell>
          <cell r="D410" t="str">
            <v/>
          </cell>
          <cell r="O410" t="str">
            <v/>
          </cell>
          <cell r="T410" t="str">
            <v/>
          </cell>
          <cell r="U410" t="str">
            <v/>
          </cell>
          <cell r="V410" t="str">
            <v/>
          </cell>
          <cell r="W410" t="str">
            <v/>
          </cell>
          <cell r="Y410" t="str">
            <v/>
          </cell>
          <cell r="AA410" t="str">
            <v/>
          </cell>
          <cell r="AB410">
            <v>0</v>
          </cell>
          <cell r="AC410">
            <v>0</v>
          </cell>
          <cell r="AI410" t="str">
            <v/>
          </cell>
          <cell r="AJ410" t="str">
            <v/>
          </cell>
          <cell r="AK410">
            <v>0</v>
          </cell>
          <cell r="AL410">
            <v>0</v>
          </cell>
          <cell r="AM410">
            <v>0</v>
          </cell>
        </row>
        <row r="411">
          <cell r="C411" t="str">
            <v/>
          </cell>
          <cell r="D411" t="str">
            <v/>
          </cell>
          <cell r="O411" t="str">
            <v/>
          </cell>
          <cell r="T411" t="str">
            <v/>
          </cell>
          <cell r="U411" t="str">
            <v/>
          </cell>
          <cell r="V411" t="str">
            <v/>
          </cell>
          <cell r="W411" t="str">
            <v/>
          </cell>
          <cell r="Y411" t="str">
            <v/>
          </cell>
          <cell r="AA411" t="str">
            <v/>
          </cell>
          <cell r="AB411">
            <v>0</v>
          </cell>
          <cell r="AC411">
            <v>0</v>
          </cell>
          <cell r="AI411" t="str">
            <v/>
          </cell>
          <cell r="AJ411" t="str">
            <v/>
          </cell>
          <cell r="AK411">
            <v>0</v>
          </cell>
          <cell r="AL411">
            <v>0</v>
          </cell>
          <cell r="AM411">
            <v>0</v>
          </cell>
        </row>
        <row r="412">
          <cell r="C412" t="str">
            <v/>
          </cell>
          <cell r="D412" t="str">
            <v/>
          </cell>
          <cell r="O412" t="str">
            <v/>
          </cell>
          <cell r="T412" t="str">
            <v/>
          </cell>
          <cell r="U412" t="str">
            <v/>
          </cell>
          <cell r="V412" t="str">
            <v/>
          </cell>
          <cell r="W412" t="str">
            <v/>
          </cell>
          <cell r="Y412" t="str">
            <v/>
          </cell>
          <cell r="AA412" t="str">
            <v/>
          </cell>
          <cell r="AB412">
            <v>0</v>
          </cell>
          <cell r="AC412">
            <v>0</v>
          </cell>
          <cell r="AI412" t="str">
            <v/>
          </cell>
          <cell r="AJ412" t="str">
            <v/>
          </cell>
          <cell r="AK412">
            <v>0</v>
          </cell>
          <cell r="AL412">
            <v>0</v>
          </cell>
          <cell r="AM412">
            <v>0</v>
          </cell>
        </row>
        <row r="413">
          <cell r="C413" t="str">
            <v/>
          </cell>
          <cell r="D413" t="str">
            <v/>
          </cell>
          <cell r="O413" t="str">
            <v/>
          </cell>
          <cell r="T413" t="str">
            <v/>
          </cell>
          <cell r="U413" t="str">
            <v/>
          </cell>
          <cell r="V413" t="str">
            <v/>
          </cell>
          <cell r="W413" t="str">
            <v/>
          </cell>
          <cell r="Y413" t="str">
            <v/>
          </cell>
          <cell r="AA413" t="str">
            <v/>
          </cell>
          <cell r="AB413">
            <v>0</v>
          </cell>
          <cell r="AC413">
            <v>0</v>
          </cell>
          <cell r="AI413" t="str">
            <v/>
          </cell>
          <cell r="AJ413" t="str">
            <v/>
          </cell>
          <cell r="AK413">
            <v>0</v>
          </cell>
          <cell r="AL413">
            <v>0</v>
          </cell>
          <cell r="AM413">
            <v>0</v>
          </cell>
        </row>
        <row r="414">
          <cell r="C414" t="str">
            <v/>
          </cell>
          <cell r="D414" t="str">
            <v/>
          </cell>
          <cell r="O414" t="str">
            <v/>
          </cell>
          <cell r="T414" t="str">
            <v/>
          </cell>
          <cell r="U414" t="str">
            <v/>
          </cell>
          <cell r="V414" t="str">
            <v/>
          </cell>
          <cell r="W414" t="str">
            <v/>
          </cell>
          <cell r="Y414" t="str">
            <v/>
          </cell>
          <cell r="AA414" t="str">
            <v/>
          </cell>
          <cell r="AB414">
            <v>0</v>
          </cell>
          <cell r="AC414">
            <v>0</v>
          </cell>
          <cell r="AI414" t="str">
            <v/>
          </cell>
          <cell r="AJ414" t="str">
            <v/>
          </cell>
          <cell r="AK414">
            <v>0</v>
          </cell>
          <cell r="AL414">
            <v>0</v>
          </cell>
          <cell r="AM414">
            <v>0</v>
          </cell>
        </row>
        <row r="415">
          <cell r="C415" t="str">
            <v/>
          </cell>
          <cell r="D415" t="str">
            <v/>
          </cell>
          <cell r="O415" t="str">
            <v/>
          </cell>
          <cell r="T415" t="str">
            <v/>
          </cell>
          <cell r="U415" t="str">
            <v/>
          </cell>
          <cell r="V415" t="str">
            <v/>
          </cell>
          <cell r="W415" t="str">
            <v/>
          </cell>
          <cell r="Y415" t="str">
            <v/>
          </cell>
          <cell r="AA415" t="str">
            <v/>
          </cell>
          <cell r="AB415">
            <v>0</v>
          </cell>
          <cell r="AC415">
            <v>0</v>
          </cell>
          <cell r="AI415" t="str">
            <v/>
          </cell>
          <cell r="AJ415" t="str">
            <v/>
          </cell>
          <cell r="AK415">
            <v>0</v>
          </cell>
          <cell r="AL415">
            <v>0</v>
          </cell>
          <cell r="AM415">
            <v>0</v>
          </cell>
        </row>
        <row r="416">
          <cell r="C416" t="str">
            <v/>
          </cell>
          <cell r="D416" t="str">
            <v/>
          </cell>
          <cell r="O416" t="str">
            <v/>
          </cell>
          <cell r="T416" t="str">
            <v/>
          </cell>
          <cell r="U416" t="str">
            <v/>
          </cell>
          <cell r="V416" t="str">
            <v/>
          </cell>
          <cell r="W416" t="str">
            <v/>
          </cell>
          <cell r="Y416" t="str">
            <v/>
          </cell>
          <cell r="AA416" t="str">
            <v/>
          </cell>
          <cell r="AB416">
            <v>0</v>
          </cell>
          <cell r="AC416">
            <v>0</v>
          </cell>
          <cell r="AI416" t="str">
            <v/>
          </cell>
          <cell r="AJ416" t="str">
            <v/>
          </cell>
          <cell r="AK416">
            <v>0</v>
          </cell>
          <cell r="AL416">
            <v>0</v>
          </cell>
          <cell r="AM416">
            <v>0</v>
          </cell>
        </row>
        <row r="417">
          <cell r="C417" t="str">
            <v/>
          </cell>
          <cell r="D417" t="str">
            <v/>
          </cell>
          <cell r="O417" t="str">
            <v/>
          </cell>
          <cell r="T417" t="str">
            <v/>
          </cell>
          <cell r="U417" t="str">
            <v/>
          </cell>
          <cell r="V417" t="str">
            <v/>
          </cell>
          <cell r="W417" t="str">
            <v/>
          </cell>
          <cell r="Y417" t="str">
            <v/>
          </cell>
          <cell r="AA417" t="str">
            <v/>
          </cell>
          <cell r="AB417">
            <v>0</v>
          </cell>
          <cell r="AC417">
            <v>0</v>
          </cell>
          <cell r="AI417" t="str">
            <v/>
          </cell>
          <cell r="AJ417" t="str">
            <v/>
          </cell>
          <cell r="AK417">
            <v>0</v>
          </cell>
          <cell r="AL417">
            <v>0</v>
          </cell>
          <cell r="AM417">
            <v>0</v>
          </cell>
        </row>
        <row r="418">
          <cell r="C418" t="str">
            <v/>
          </cell>
          <cell r="D418" t="str">
            <v/>
          </cell>
          <cell r="O418" t="str">
            <v/>
          </cell>
          <cell r="T418" t="str">
            <v/>
          </cell>
          <cell r="U418" t="str">
            <v/>
          </cell>
          <cell r="V418" t="str">
            <v/>
          </cell>
          <cell r="W418" t="str">
            <v/>
          </cell>
          <cell r="Y418" t="str">
            <v/>
          </cell>
          <cell r="AA418" t="str">
            <v/>
          </cell>
          <cell r="AB418">
            <v>0</v>
          </cell>
          <cell r="AC418">
            <v>0</v>
          </cell>
          <cell r="AI418" t="str">
            <v/>
          </cell>
          <cell r="AJ418" t="str">
            <v/>
          </cell>
          <cell r="AK418">
            <v>0</v>
          </cell>
          <cell r="AL418">
            <v>0</v>
          </cell>
          <cell r="AM418">
            <v>0</v>
          </cell>
        </row>
        <row r="419">
          <cell r="C419" t="str">
            <v/>
          </cell>
          <cell r="D419" t="str">
            <v/>
          </cell>
          <cell r="O419" t="str">
            <v/>
          </cell>
          <cell r="T419" t="str">
            <v/>
          </cell>
          <cell r="U419" t="str">
            <v/>
          </cell>
          <cell r="V419" t="str">
            <v/>
          </cell>
          <cell r="W419" t="str">
            <v/>
          </cell>
          <cell r="Y419" t="str">
            <v/>
          </cell>
          <cell r="AA419" t="str">
            <v/>
          </cell>
          <cell r="AB419">
            <v>0</v>
          </cell>
          <cell r="AC419">
            <v>0</v>
          </cell>
          <cell r="AI419" t="str">
            <v/>
          </cell>
          <cell r="AJ419" t="str">
            <v/>
          </cell>
          <cell r="AK419">
            <v>0</v>
          </cell>
          <cell r="AL419">
            <v>0</v>
          </cell>
          <cell r="AM419">
            <v>0</v>
          </cell>
        </row>
        <row r="420">
          <cell r="C420" t="str">
            <v/>
          </cell>
          <cell r="D420" t="str">
            <v/>
          </cell>
          <cell r="O420" t="str">
            <v/>
          </cell>
          <cell r="T420" t="str">
            <v/>
          </cell>
          <cell r="U420" t="str">
            <v/>
          </cell>
          <cell r="V420" t="str">
            <v/>
          </cell>
          <cell r="W420" t="str">
            <v/>
          </cell>
          <cell r="Y420" t="str">
            <v/>
          </cell>
          <cell r="AA420" t="str">
            <v/>
          </cell>
          <cell r="AB420">
            <v>0</v>
          </cell>
          <cell r="AC420">
            <v>0</v>
          </cell>
          <cell r="AI420" t="str">
            <v/>
          </cell>
          <cell r="AJ420" t="str">
            <v/>
          </cell>
          <cell r="AK420">
            <v>0</v>
          </cell>
          <cell r="AL420">
            <v>0</v>
          </cell>
          <cell r="AM420">
            <v>0</v>
          </cell>
        </row>
        <row r="421">
          <cell r="C421" t="str">
            <v/>
          </cell>
          <cell r="D421" t="str">
            <v/>
          </cell>
          <cell r="O421" t="str">
            <v/>
          </cell>
          <cell r="T421" t="str">
            <v/>
          </cell>
          <cell r="U421" t="str">
            <v/>
          </cell>
          <cell r="V421" t="str">
            <v/>
          </cell>
          <cell r="W421" t="str">
            <v/>
          </cell>
          <cell r="Y421" t="str">
            <v/>
          </cell>
          <cell r="AA421" t="str">
            <v/>
          </cell>
          <cell r="AB421">
            <v>0</v>
          </cell>
          <cell r="AC421">
            <v>0</v>
          </cell>
          <cell r="AI421" t="str">
            <v/>
          </cell>
          <cell r="AJ421" t="str">
            <v/>
          </cell>
          <cell r="AK421">
            <v>0</v>
          </cell>
          <cell r="AL421">
            <v>0</v>
          </cell>
          <cell r="AM421">
            <v>0</v>
          </cell>
        </row>
        <row r="422">
          <cell r="C422" t="str">
            <v/>
          </cell>
          <cell r="D422" t="str">
            <v/>
          </cell>
          <cell r="O422" t="str">
            <v/>
          </cell>
          <cell r="T422" t="str">
            <v/>
          </cell>
          <cell r="U422" t="str">
            <v/>
          </cell>
          <cell r="V422" t="str">
            <v/>
          </cell>
          <cell r="W422" t="str">
            <v/>
          </cell>
          <cell r="Y422" t="str">
            <v/>
          </cell>
          <cell r="AA422" t="str">
            <v/>
          </cell>
          <cell r="AB422">
            <v>0</v>
          </cell>
          <cell r="AC422">
            <v>0</v>
          </cell>
          <cell r="AI422" t="str">
            <v/>
          </cell>
          <cell r="AJ422" t="str">
            <v/>
          </cell>
          <cell r="AK422">
            <v>0</v>
          </cell>
          <cell r="AL422">
            <v>0</v>
          </cell>
          <cell r="AM422">
            <v>0</v>
          </cell>
        </row>
        <row r="423">
          <cell r="C423" t="str">
            <v/>
          </cell>
          <cell r="D423" t="str">
            <v/>
          </cell>
          <cell r="O423" t="str">
            <v/>
          </cell>
          <cell r="T423" t="str">
            <v/>
          </cell>
          <cell r="U423" t="str">
            <v/>
          </cell>
          <cell r="V423" t="str">
            <v/>
          </cell>
          <cell r="W423" t="str">
            <v/>
          </cell>
          <cell r="Y423" t="str">
            <v/>
          </cell>
          <cell r="AA423" t="str">
            <v/>
          </cell>
          <cell r="AB423">
            <v>0</v>
          </cell>
          <cell r="AC423">
            <v>0</v>
          </cell>
          <cell r="AI423" t="str">
            <v/>
          </cell>
          <cell r="AJ423" t="str">
            <v/>
          </cell>
          <cell r="AK423">
            <v>0</v>
          </cell>
          <cell r="AL423">
            <v>0</v>
          </cell>
          <cell r="AM423">
            <v>0</v>
          </cell>
        </row>
        <row r="424">
          <cell r="C424" t="str">
            <v/>
          </cell>
          <cell r="D424" t="str">
            <v/>
          </cell>
          <cell r="O424" t="str">
            <v/>
          </cell>
          <cell r="T424" t="str">
            <v/>
          </cell>
          <cell r="U424" t="str">
            <v/>
          </cell>
          <cell r="V424" t="str">
            <v/>
          </cell>
          <cell r="W424" t="str">
            <v/>
          </cell>
          <cell r="Y424" t="str">
            <v/>
          </cell>
          <cell r="AA424" t="str">
            <v/>
          </cell>
          <cell r="AB424">
            <v>0</v>
          </cell>
          <cell r="AC424">
            <v>0</v>
          </cell>
          <cell r="AI424" t="str">
            <v/>
          </cell>
          <cell r="AJ424" t="str">
            <v/>
          </cell>
          <cell r="AK424">
            <v>0</v>
          </cell>
          <cell r="AL424">
            <v>0</v>
          </cell>
          <cell r="AM424">
            <v>0</v>
          </cell>
        </row>
        <row r="425">
          <cell r="C425" t="str">
            <v/>
          </cell>
          <cell r="D425" t="str">
            <v/>
          </cell>
          <cell r="O425" t="str">
            <v/>
          </cell>
          <cell r="T425" t="str">
            <v/>
          </cell>
          <cell r="U425" t="str">
            <v/>
          </cell>
          <cell r="V425" t="str">
            <v/>
          </cell>
          <cell r="W425" t="str">
            <v/>
          </cell>
          <cell r="Y425" t="str">
            <v/>
          </cell>
          <cell r="AA425" t="str">
            <v/>
          </cell>
          <cell r="AB425">
            <v>0</v>
          </cell>
          <cell r="AC425">
            <v>0</v>
          </cell>
          <cell r="AI425" t="str">
            <v/>
          </cell>
          <cell r="AJ425" t="str">
            <v/>
          </cell>
          <cell r="AK425">
            <v>0</v>
          </cell>
          <cell r="AL425">
            <v>0</v>
          </cell>
          <cell r="AM425">
            <v>0</v>
          </cell>
        </row>
        <row r="426">
          <cell r="C426" t="str">
            <v/>
          </cell>
          <cell r="D426" t="str">
            <v/>
          </cell>
          <cell r="O426" t="str">
            <v/>
          </cell>
          <cell r="T426" t="str">
            <v/>
          </cell>
          <cell r="U426" t="str">
            <v/>
          </cell>
          <cell r="V426" t="str">
            <v/>
          </cell>
          <cell r="W426" t="str">
            <v/>
          </cell>
          <cell r="Y426" t="str">
            <v/>
          </cell>
          <cell r="AA426" t="str">
            <v/>
          </cell>
          <cell r="AB426">
            <v>0</v>
          </cell>
          <cell r="AC426">
            <v>0</v>
          </cell>
          <cell r="AI426" t="str">
            <v/>
          </cell>
          <cell r="AJ426" t="str">
            <v/>
          </cell>
          <cell r="AK426">
            <v>0</v>
          </cell>
          <cell r="AL426">
            <v>0</v>
          </cell>
          <cell r="AM426">
            <v>0</v>
          </cell>
        </row>
        <row r="427">
          <cell r="C427" t="str">
            <v/>
          </cell>
          <cell r="D427" t="str">
            <v/>
          </cell>
          <cell r="O427" t="str">
            <v/>
          </cell>
          <cell r="T427" t="str">
            <v/>
          </cell>
          <cell r="U427" t="str">
            <v/>
          </cell>
          <cell r="V427" t="str">
            <v/>
          </cell>
          <cell r="W427" t="str">
            <v/>
          </cell>
          <cell r="Y427" t="str">
            <v/>
          </cell>
          <cell r="AA427" t="str">
            <v/>
          </cell>
          <cell r="AB427">
            <v>0</v>
          </cell>
          <cell r="AC427">
            <v>0</v>
          </cell>
          <cell r="AI427" t="str">
            <v/>
          </cell>
          <cell r="AJ427" t="str">
            <v/>
          </cell>
          <cell r="AK427">
            <v>0</v>
          </cell>
          <cell r="AL427">
            <v>0</v>
          </cell>
          <cell r="AM427">
            <v>0</v>
          </cell>
        </row>
        <row r="428">
          <cell r="C428" t="str">
            <v/>
          </cell>
          <cell r="D428" t="str">
            <v/>
          </cell>
          <cell r="O428" t="str">
            <v/>
          </cell>
          <cell r="T428" t="str">
            <v/>
          </cell>
          <cell r="U428" t="str">
            <v/>
          </cell>
          <cell r="V428" t="str">
            <v/>
          </cell>
          <cell r="W428" t="str">
            <v/>
          </cell>
          <cell r="Y428" t="str">
            <v/>
          </cell>
          <cell r="AA428" t="str">
            <v/>
          </cell>
          <cell r="AB428">
            <v>0</v>
          </cell>
          <cell r="AC428">
            <v>0</v>
          </cell>
          <cell r="AI428" t="str">
            <v/>
          </cell>
          <cell r="AJ428" t="str">
            <v/>
          </cell>
          <cell r="AK428">
            <v>0</v>
          </cell>
          <cell r="AL428">
            <v>0</v>
          </cell>
          <cell r="AM428">
            <v>0</v>
          </cell>
        </row>
        <row r="429">
          <cell r="C429" t="str">
            <v/>
          </cell>
          <cell r="D429" t="str">
            <v/>
          </cell>
          <cell r="O429" t="str">
            <v/>
          </cell>
          <cell r="T429" t="str">
            <v/>
          </cell>
          <cell r="U429" t="str">
            <v/>
          </cell>
          <cell r="V429" t="str">
            <v/>
          </cell>
          <cell r="W429" t="str">
            <v/>
          </cell>
          <cell r="Y429" t="str">
            <v/>
          </cell>
          <cell r="AA429" t="str">
            <v/>
          </cell>
          <cell r="AB429">
            <v>0</v>
          </cell>
          <cell r="AC429">
            <v>0</v>
          </cell>
          <cell r="AI429" t="str">
            <v/>
          </cell>
          <cell r="AJ429" t="str">
            <v/>
          </cell>
          <cell r="AK429">
            <v>0</v>
          </cell>
          <cell r="AL429">
            <v>0</v>
          </cell>
          <cell r="AM429">
            <v>0</v>
          </cell>
        </row>
        <row r="430">
          <cell r="C430" t="str">
            <v/>
          </cell>
          <cell r="D430" t="str">
            <v/>
          </cell>
          <cell r="O430" t="str">
            <v/>
          </cell>
          <cell r="T430" t="str">
            <v/>
          </cell>
          <cell r="U430" t="str">
            <v/>
          </cell>
          <cell r="V430" t="str">
            <v/>
          </cell>
          <cell r="W430" t="str">
            <v/>
          </cell>
          <cell r="Y430" t="str">
            <v/>
          </cell>
          <cell r="AA430" t="str">
            <v/>
          </cell>
          <cell r="AB430">
            <v>0</v>
          </cell>
          <cell r="AC430">
            <v>0</v>
          </cell>
          <cell r="AI430" t="str">
            <v/>
          </cell>
          <cell r="AJ430" t="str">
            <v/>
          </cell>
          <cell r="AK430">
            <v>0</v>
          </cell>
          <cell r="AL430">
            <v>0</v>
          </cell>
          <cell r="AM430">
            <v>0</v>
          </cell>
        </row>
        <row r="431">
          <cell r="C431" t="str">
            <v/>
          </cell>
          <cell r="D431" t="str">
            <v/>
          </cell>
          <cell r="O431" t="str">
            <v/>
          </cell>
          <cell r="T431" t="str">
            <v/>
          </cell>
          <cell r="U431" t="str">
            <v/>
          </cell>
          <cell r="V431" t="str">
            <v/>
          </cell>
          <cell r="W431" t="str">
            <v/>
          </cell>
          <cell r="Y431" t="str">
            <v/>
          </cell>
          <cell r="AA431" t="str">
            <v/>
          </cell>
          <cell r="AB431">
            <v>0</v>
          </cell>
          <cell r="AC431">
            <v>0</v>
          </cell>
          <cell r="AI431" t="str">
            <v/>
          </cell>
          <cell r="AJ431" t="str">
            <v/>
          </cell>
          <cell r="AK431">
            <v>0</v>
          </cell>
          <cell r="AL431">
            <v>0</v>
          </cell>
          <cell r="AM431">
            <v>0</v>
          </cell>
        </row>
        <row r="432">
          <cell r="C432" t="str">
            <v/>
          </cell>
          <cell r="D432" t="str">
            <v/>
          </cell>
          <cell r="O432" t="str">
            <v/>
          </cell>
          <cell r="T432" t="str">
            <v/>
          </cell>
          <cell r="U432" t="str">
            <v/>
          </cell>
          <cell r="V432" t="str">
            <v/>
          </cell>
          <cell r="W432" t="str">
            <v/>
          </cell>
          <cell r="Y432" t="str">
            <v/>
          </cell>
          <cell r="AA432" t="str">
            <v/>
          </cell>
          <cell r="AB432">
            <v>0</v>
          </cell>
          <cell r="AC432">
            <v>0</v>
          </cell>
          <cell r="AI432" t="str">
            <v/>
          </cell>
          <cell r="AJ432" t="str">
            <v/>
          </cell>
          <cell r="AK432">
            <v>0</v>
          </cell>
          <cell r="AL432">
            <v>0</v>
          </cell>
          <cell r="AM432">
            <v>0</v>
          </cell>
        </row>
        <row r="433">
          <cell r="C433" t="str">
            <v/>
          </cell>
          <cell r="D433" t="str">
            <v/>
          </cell>
          <cell r="O433" t="str">
            <v/>
          </cell>
          <cell r="T433" t="str">
            <v/>
          </cell>
          <cell r="U433" t="str">
            <v/>
          </cell>
          <cell r="V433" t="str">
            <v/>
          </cell>
          <cell r="W433" t="str">
            <v/>
          </cell>
          <cell r="Y433" t="str">
            <v/>
          </cell>
          <cell r="AA433" t="str">
            <v/>
          </cell>
          <cell r="AB433">
            <v>0</v>
          </cell>
          <cell r="AC433">
            <v>0</v>
          </cell>
          <cell r="AI433" t="str">
            <v/>
          </cell>
          <cell r="AJ433" t="str">
            <v/>
          </cell>
          <cell r="AK433">
            <v>0</v>
          </cell>
          <cell r="AL433">
            <v>0</v>
          </cell>
          <cell r="AM433">
            <v>0</v>
          </cell>
        </row>
        <row r="434">
          <cell r="C434" t="str">
            <v/>
          </cell>
          <cell r="D434" t="str">
            <v/>
          </cell>
          <cell r="O434" t="str">
            <v/>
          </cell>
          <cell r="T434" t="str">
            <v/>
          </cell>
          <cell r="U434" t="str">
            <v/>
          </cell>
          <cell r="V434" t="str">
            <v/>
          </cell>
          <cell r="W434" t="str">
            <v/>
          </cell>
          <cell r="Y434" t="str">
            <v/>
          </cell>
          <cell r="AA434" t="str">
            <v/>
          </cell>
          <cell r="AB434">
            <v>0</v>
          </cell>
          <cell r="AC434">
            <v>0</v>
          </cell>
          <cell r="AI434" t="str">
            <v/>
          </cell>
          <cell r="AJ434" t="str">
            <v/>
          </cell>
          <cell r="AK434">
            <v>0</v>
          </cell>
          <cell r="AL434">
            <v>0</v>
          </cell>
          <cell r="AM434">
            <v>0</v>
          </cell>
        </row>
        <row r="435">
          <cell r="C435" t="str">
            <v/>
          </cell>
          <cell r="D435" t="str">
            <v/>
          </cell>
          <cell r="O435" t="str">
            <v/>
          </cell>
          <cell r="T435" t="str">
            <v/>
          </cell>
          <cell r="U435" t="str">
            <v/>
          </cell>
          <cell r="V435" t="str">
            <v/>
          </cell>
          <cell r="W435" t="str">
            <v/>
          </cell>
          <cell r="Y435" t="str">
            <v/>
          </cell>
          <cell r="AA435" t="str">
            <v/>
          </cell>
          <cell r="AB435">
            <v>0</v>
          </cell>
          <cell r="AC435">
            <v>0</v>
          </cell>
          <cell r="AI435" t="str">
            <v/>
          </cell>
          <cell r="AJ435" t="str">
            <v/>
          </cell>
          <cell r="AK435">
            <v>0</v>
          </cell>
          <cell r="AL435">
            <v>0</v>
          </cell>
          <cell r="AM435">
            <v>0</v>
          </cell>
        </row>
        <row r="436">
          <cell r="C436" t="str">
            <v/>
          </cell>
          <cell r="D436" t="str">
            <v/>
          </cell>
          <cell r="O436" t="str">
            <v/>
          </cell>
          <cell r="T436" t="str">
            <v/>
          </cell>
          <cell r="U436" t="str">
            <v/>
          </cell>
          <cell r="V436" t="str">
            <v/>
          </cell>
          <cell r="W436" t="str">
            <v/>
          </cell>
          <cell r="Y436" t="str">
            <v/>
          </cell>
          <cell r="AA436" t="str">
            <v/>
          </cell>
          <cell r="AB436">
            <v>0</v>
          </cell>
          <cell r="AC436">
            <v>0</v>
          </cell>
          <cell r="AI436" t="str">
            <v/>
          </cell>
          <cell r="AJ436" t="str">
            <v/>
          </cell>
          <cell r="AK436">
            <v>0</v>
          </cell>
          <cell r="AL436">
            <v>0</v>
          </cell>
          <cell r="AM436">
            <v>0</v>
          </cell>
        </row>
        <row r="437">
          <cell r="C437" t="str">
            <v/>
          </cell>
          <cell r="D437" t="str">
            <v/>
          </cell>
          <cell r="O437" t="str">
            <v/>
          </cell>
          <cell r="T437" t="str">
            <v/>
          </cell>
          <cell r="U437" t="str">
            <v/>
          </cell>
          <cell r="V437" t="str">
            <v/>
          </cell>
          <cell r="W437" t="str">
            <v/>
          </cell>
          <cell r="Y437" t="str">
            <v/>
          </cell>
          <cell r="AA437" t="str">
            <v/>
          </cell>
          <cell r="AB437">
            <v>0</v>
          </cell>
          <cell r="AC437">
            <v>0</v>
          </cell>
          <cell r="AI437" t="str">
            <v/>
          </cell>
          <cell r="AJ437" t="str">
            <v/>
          </cell>
          <cell r="AK437">
            <v>0</v>
          </cell>
          <cell r="AL437">
            <v>0</v>
          </cell>
          <cell r="AM437">
            <v>0</v>
          </cell>
        </row>
        <row r="438">
          <cell r="C438" t="str">
            <v/>
          </cell>
          <cell r="D438" t="str">
            <v/>
          </cell>
          <cell r="O438" t="str">
            <v/>
          </cell>
          <cell r="T438" t="str">
            <v/>
          </cell>
          <cell r="U438" t="str">
            <v/>
          </cell>
          <cell r="V438" t="str">
            <v/>
          </cell>
          <cell r="W438" t="str">
            <v/>
          </cell>
          <cell r="Y438" t="str">
            <v/>
          </cell>
          <cell r="AA438" t="str">
            <v/>
          </cell>
          <cell r="AB438">
            <v>0</v>
          </cell>
          <cell r="AC438">
            <v>0</v>
          </cell>
          <cell r="AI438" t="str">
            <v/>
          </cell>
          <cell r="AJ438" t="str">
            <v/>
          </cell>
          <cell r="AK438">
            <v>0</v>
          </cell>
          <cell r="AL438">
            <v>0</v>
          </cell>
          <cell r="AM438">
            <v>0</v>
          </cell>
        </row>
        <row r="439">
          <cell r="C439" t="str">
            <v/>
          </cell>
          <cell r="D439" t="str">
            <v/>
          </cell>
          <cell r="O439" t="str">
            <v/>
          </cell>
          <cell r="T439" t="str">
            <v/>
          </cell>
          <cell r="U439" t="str">
            <v/>
          </cell>
          <cell r="V439" t="str">
            <v/>
          </cell>
          <cell r="W439" t="str">
            <v/>
          </cell>
          <cell r="Y439" t="str">
            <v/>
          </cell>
          <cell r="AA439" t="str">
            <v/>
          </cell>
          <cell r="AB439">
            <v>0</v>
          </cell>
          <cell r="AC439">
            <v>0</v>
          </cell>
          <cell r="AI439" t="str">
            <v/>
          </cell>
          <cell r="AJ439" t="str">
            <v/>
          </cell>
          <cell r="AK439">
            <v>0</v>
          </cell>
          <cell r="AL439">
            <v>0</v>
          </cell>
          <cell r="AM439">
            <v>0</v>
          </cell>
        </row>
        <row r="440">
          <cell r="C440" t="str">
            <v/>
          </cell>
          <cell r="D440" t="str">
            <v/>
          </cell>
          <cell r="O440" t="str">
            <v/>
          </cell>
          <cell r="T440" t="str">
            <v/>
          </cell>
          <cell r="U440" t="str">
            <v/>
          </cell>
          <cell r="V440" t="str">
            <v/>
          </cell>
          <cell r="W440" t="str">
            <v/>
          </cell>
          <cell r="Y440" t="str">
            <v/>
          </cell>
          <cell r="AA440" t="str">
            <v/>
          </cell>
          <cell r="AB440">
            <v>0</v>
          </cell>
          <cell r="AC440">
            <v>0</v>
          </cell>
          <cell r="AI440" t="str">
            <v/>
          </cell>
          <cell r="AJ440" t="str">
            <v/>
          </cell>
          <cell r="AK440">
            <v>0</v>
          </cell>
          <cell r="AL440">
            <v>0</v>
          </cell>
          <cell r="AM440">
            <v>0</v>
          </cell>
        </row>
        <row r="441">
          <cell r="C441" t="str">
            <v/>
          </cell>
          <cell r="D441" t="str">
            <v/>
          </cell>
          <cell r="O441" t="str">
            <v/>
          </cell>
          <cell r="T441" t="str">
            <v/>
          </cell>
          <cell r="U441" t="str">
            <v/>
          </cell>
          <cell r="V441" t="str">
            <v/>
          </cell>
          <cell r="W441" t="str">
            <v/>
          </cell>
          <cell r="Y441" t="str">
            <v/>
          </cell>
          <cell r="AA441" t="str">
            <v/>
          </cell>
          <cell r="AB441">
            <v>0</v>
          </cell>
          <cell r="AC441">
            <v>0</v>
          </cell>
          <cell r="AI441" t="str">
            <v/>
          </cell>
          <cell r="AJ441" t="str">
            <v/>
          </cell>
          <cell r="AK441">
            <v>0</v>
          </cell>
          <cell r="AL441">
            <v>0</v>
          </cell>
          <cell r="AM441">
            <v>0</v>
          </cell>
        </row>
        <row r="442">
          <cell r="C442" t="str">
            <v/>
          </cell>
          <cell r="D442" t="str">
            <v/>
          </cell>
          <cell r="O442" t="str">
            <v/>
          </cell>
          <cell r="T442" t="str">
            <v/>
          </cell>
          <cell r="U442" t="str">
            <v/>
          </cell>
          <cell r="V442" t="str">
            <v/>
          </cell>
          <cell r="W442" t="str">
            <v/>
          </cell>
          <cell r="Y442" t="str">
            <v/>
          </cell>
          <cell r="AA442" t="str">
            <v/>
          </cell>
          <cell r="AB442">
            <v>0</v>
          </cell>
          <cell r="AC442">
            <v>0</v>
          </cell>
          <cell r="AI442" t="str">
            <v/>
          </cell>
          <cell r="AJ442" t="str">
            <v/>
          </cell>
          <cell r="AK442">
            <v>0</v>
          </cell>
          <cell r="AL442">
            <v>0</v>
          </cell>
          <cell r="AM442">
            <v>0</v>
          </cell>
        </row>
        <row r="443">
          <cell r="C443" t="str">
            <v/>
          </cell>
          <cell r="D443" t="str">
            <v/>
          </cell>
          <cell r="O443" t="str">
            <v/>
          </cell>
          <cell r="T443" t="str">
            <v/>
          </cell>
          <cell r="U443" t="str">
            <v/>
          </cell>
          <cell r="V443" t="str">
            <v/>
          </cell>
          <cell r="W443" t="str">
            <v/>
          </cell>
          <cell r="Y443" t="str">
            <v/>
          </cell>
          <cell r="AA443" t="str">
            <v/>
          </cell>
          <cell r="AB443">
            <v>0</v>
          </cell>
          <cell r="AC443">
            <v>0</v>
          </cell>
          <cell r="AI443" t="str">
            <v/>
          </cell>
          <cell r="AJ443" t="str">
            <v/>
          </cell>
          <cell r="AK443">
            <v>0</v>
          </cell>
          <cell r="AL443">
            <v>0</v>
          </cell>
          <cell r="AM443">
            <v>0</v>
          </cell>
        </row>
        <row r="444">
          <cell r="C444" t="str">
            <v/>
          </cell>
          <cell r="D444" t="str">
            <v/>
          </cell>
          <cell r="O444" t="str">
            <v/>
          </cell>
          <cell r="T444" t="str">
            <v/>
          </cell>
          <cell r="U444" t="str">
            <v/>
          </cell>
          <cell r="V444" t="str">
            <v/>
          </cell>
          <cell r="W444" t="str">
            <v/>
          </cell>
          <cell r="Y444" t="str">
            <v/>
          </cell>
          <cell r="AA444" t="str">
            <v/>
          </cell>
          <cell r="AB444">
            <v>0</v>
          </cell>
          <cell r="AC444">
            <v>0</v>
          </cell>
          <cell r="AI444" t="str">
            <v/>
          </cell>
          <cell r="AJ444" t="str">
            <v/>
          </cell>
          <cell r="AK444">
            <v>0</v>
          </cell>
          <cell r="AL444">
            <v>0</v>
          </cell>
          <cell r="AM444">
            <v>0</v>
          </cell>
        </row>
        <row r="445">
          <cell r="C445" t="str">
            <v/>
          </cell>
          <cell r="D445" t="str">
            <v/>
          </cell>
          <cell r="O445" t="str">
            <v/>
          </cell>
          <cell r="T445" t="str">
            <v/>
          </cell>
          <cell r="U445" t="str">
            <v/>
          </cell>
          <cell r="V445" t="str">
            <v/>
          </cell>
          <cell r="W445" t="str">
            <v/>
          </cell>
          <cell r="Y445" t="str">
            <v/>
          </cell>
          <cell r="AA445" t="str">
            <v/>
          </cell>
          <cell r="AB445">
            <v>0</v>
          </cell>
          <cell r="AC445">
            <v>0</v>
          </cell>
          <cell r="AI445" t="str">
            <v/>
          </cell>
          <cell r="AJ445" t="str">
            <v/>
          </cell>
          <cell r="AK445">
            <v>0</v>
          </cell>
          <cell r="AL445">
            <v>0</v>
          </cell>
          <cell r="AM445">
            <v>0</v>
          </cell>
        </row>
        <row r="446">
          <cell r="C446" t="str">
            <v/>
          </cell>
          <cell r="D446" t="str">
            <v/>
          </cell>
          <cell r="O446" t="str">
            <v/>
          </cell>
          <cell r="T446" t="str">
            <v/>
          </cell>
          <cell r="U446" t="str">
            <v/>
          </cell>
          <cell r="V446" t="str">
            <v/>
          </cell>
          <cell r="W446" t="str">
            <v/>
          </cell>
          <cell r="Y446" t="str">
            <v/>
          </cell>
          <cell r="AA446" t="str">
            <v/>
          </cell>
          <cell r="AB446">
            <v>0</v>
          </cell>
          <cell r="AC446">
            <v>0</v>
          </cell>
          <cell r="AI446" t="str">
            <v/>
          </cell>
          <cell r="AJ446" t="str">
            <v/>
          </cell>
          <cell r="AK446">
            <v>0</v>
          </cell>
          <cell r="AL446">
            <v>0</v>
          </cell>
          <cell r="AM446">
            <v>0</v>
          </cell>
        </row>
        <row r="447">
          <cell r="C447" t="str">
            <v/>
          </cell>
          <cell r="D447" t="str">
            <v/>
          </cell>
          <cell r="O447" t="str">
            <v/>
          </cell>
          <cell r="T447" t="str">
            <v/>
          </cell>
          <cell r="U447" t="str">
            <v/>
          </cell>
          <cell r="V447" t="str">
            <v/>
          </cell>
          <cell r="W447" t="str">
            <v/>
          </cell>
          <cell r="Y447" t="str">
            <v/>
          </cell>
          <cell r="AA447" t="str">
            <v/>
          </cell>
          <cell r="AB447">
            <v>0</v>
          </cell>
          <cell r="AC447">
            <v>0</v>
          </cell>
          <cell r="AI447" t="str">
            <v/>
          </cell>
          <cell r="AJ447" t="str">
            <v/>
          </cell>
          <cell r="AK447">
            <v>0</v>
          </cell>
          <cell r="AL447">
            <v>0</v>
          </cell>
          <cell r="AM447">
            <v>0</v>
          </cell>
        </row>
        <row r="448">
          <cell r="C448" t="str">
            <v/>
          </cell>
          <cell r="D448" t="str">
            <v/>
          </cell>
          <cell r="O448" t="str">
            <v/>
          </cell>
          <cell r="T448" t="str">
            <v/>
          </cell>
          <cell r="U448" t="str">
            <v/>
          </cell>
          <cell r="V448" t="str">
            <v/>
          </cell>
          <cell r="W448" t="str">
            <v/>
          </cell>
          <cell r="Y448" t="str">
            <v/>
          </cell>
          <cell r="AA448" t="str">
            <v/>
          </cell>
          <cell r="AB448">
            <v>0</v>
          </cell>
          <cell r="AC448">
            <v>0</v>
          </cell>
          <cell r="AI448" t="str">
            <v/>
          </cell>
          <cell r="AJ448" t="str">
            <v/>
          </cell>
          <cell r="AK448">
            <v>0</v>
          </cell>
          <cell r="AL448">
            <v>0</v>
          </cell>
          <cell r="AM448">
            <v>0</v>
          </cell>
        </row>
        <row r="449">
          <cell r="C449" t="str">
            <v/>
          </cell>
          <cell r="D449" t="str">
            <v/>
          </cell>
          <cell r="O449" t="str">
            <v/>
          </cell>
          <cell r="T449" t="str">
            <v/>
          </cell>
          <cell r="U449" t="str">
            <v/>
          </cell>
          <cell r="V449" t="str">
            <v/>
          </cell>
          <cell r="W449" t="str">
            <v/>
          </cell>
          <cell r="Y449" t="str">
            <v/>
          </cell>
          <cell r="AA449" t="str">
            <v/>
          </cell>
          <cell r="AB449">
            <v>0</v>
          </cell>
          <cell r="AC449">
            <v>0</v>
          </cell>
          <cell r="AI449" t="str">
            <v/>
          </cell>
          <cell r="AJ449" t="str">
            <v/>
          </cell>
          <cell r="AK449">
            <v>0</v>
          </cell>
          <cell r="AL449">
            <v>0</v>
          </cell>
          <cell r="AM449">
            <v>0</v>
          </cell>
        </row>
        <row r="450">
          <cell r="C450" t="str">
            <v/>
          </cell>
          <cell r="D450" t="str">
            <v/>
          </cell>
          <cell r="O450" t="str">
            <v/>
          </cell>
          <cell r="T450" t="str">
            <v/>
          </cell>
          <cell r="U450" t="str">
            <v/>
          </cell>
          <cell r="V450" t="str">
            <v/>
          </cell>
          <cell r="W450" t="str">
            <v/>
          </cell>
          <cell r="Y450" t="str">
            <v/>
          </cell>
          <cell r="AA450" t="str">
            <v/>
          </cell>
          <cell r="AB450">
            <v>0</v>
          </cell>
          <cell r="AC450">
            <v>0</v>
          </cell>
          <cell r="AI450" t="str">
            <v/>
          </cell>
          <cell r="AJ450" t="str">
            <v/>
          </cell>
          <cell r="AK450">
            <v>0</v>
          </cell>
          <cell r="AL450">
            <v>0</v>
          </cell>
          <cell r="AM450">
            <v>0</v>
          </cell>
        </row>
        <row r="451">
          <cell r="C451" t="str">
            <v/>
          </cell>
          <cell r="D451" t="str">
            <v/>
          </cell>
          <cell r="O451" t="str">
            <v/>
          </cell>
          <cell r="T451" t="str">
            <v/>
          </cell>
          <cell r="U451" t="str">
            <v/>
          </cell>
          <cell r="V451" t="str">
            <v/>
          </cell>
          <cell r="W451" t="str">
            <v/>
          </cell>
          <cell r="Y451" t="str">
            <v/>
          </cell>
          <cell r="AA451" t="str">
            <v/>
          </cell>
          <cell r="AB451">
            <v>0</v>
          </cell>
          <cell r="AC451">
            <v>0</v>
          </cell>
          <cell r="AI451" t="str">
            <v/>
          </cell>
          <cell r="AJ451" t="str">
            <v/>
          </cell>
          <cell r="AK451">
            <v>0</v>
          </cell>
          <cell r="AL451">
            <v>0</v>
          </cell>
          <cell r="AM451">
            <v>0</v>
          </cell>
        </row>
        <row r="452">
          <cell r="C452" t="str">
            <v/>
          </cell>
          <cell r="D452" t="str">
            <v/>
          </cell>
          <cell r="O452" t="str">
            <v/>
          </cell>
          <cell r="T452" t="str">
            <v/>
          </cell>
          <cell r="U452" t="str">
            <v/>
          </cell>
          <cell r="V452" t="str">
            <v/>
          </cell>
          <cell r="W452" t="str">
            <v/>
          </cell>
          <cell r="Y452" t="str">
            <v/>
          </cell>
          <cell r="AA452" t="str">
            <v/>
          </cell>
          <cell r="AB452">
            <v>0</v>
          </cell>
          <cell r="AC452">
            <v>0</v>
          </cell>
          <cell r="AI452" t="str">
            <v/>
          </cell>
          <cell r="AJ452" t="str">
            <v/>
          </cell>
          <cell r="AK452">
            <v>0</v>
          </cell>
          <cell r="AL452">
            <v>0</v>
          </cell>
          <cell r="AM452">
            <v>0</v>
          </cell>
        </row>
        <row r="453">
          <cell r="C453" t="str">
            <v/>
          </cell>
          <cell r="D453" t="str">
            <v/>
          </cell>
          <cell r="O453" t="str">
            <v/>
          </cell>
          <cell r="T453" t="str">
            <v/>
          </cell>
          <cell r="U453" t="str">
            <v/>
          </cell>
          <cell r="V453" t="str">
            <v/>
          </cell>
          <cell r="W453" t="str">
            <v/>
          </cell>
          <cell r="Y453" t="str">
            <v/>
          </cell>
          <cell r="AA453" t="str">
            <v/>
          </cell>
          <cell r="AB453">
            <v>0</v>
          </cell>
          <cell r="AC453">
            <v>0</v>
          </cell>
          <cell r="AI453" t="str">
            <v/>
          </cell>
          <cell r="AJ453" t="str">
            <v/>
          </cell>
          <cell r="AK453">
            <v>0</v>
          </cell>
          <cell r="AL453">
            <v>0</v>
          </cell>
          <cell r="AM453">
            <v>0</v>
          </cell>
        </row>
        <row r="454">
          <cell r="C454" t="str">
            <v/>
          </cell>
          <cell r="D454" t="str">
            <v/>
          </cell>
          <cell r="O454" t="str">
            <v/>
          </cell>
          <cell r="T454" t="str">
            <v/>
          </cell>
          <cell r="U454" t="str">
            <v/>
          </cell>
          <cell r="V454" t="str">
            <v/>
          </cell>
          <cell r="W454" t="str">
            <v/>
          </cell>
          <cell r="Y454" t="str">
            <v/>
          </cell>
          <cell r="AA454" t="str">
            <v/>
          </cell>
          <cell r="AB454">
            <v>0</v>
          </cell>
          <cell r="AC454">
            <v>0</v>
          </cell>
          <cell r="AI454" t="str">
            <v/>
          </cell>
          <cell r="AJ454" t="str">
            <v/>
          </cell>
          <cell r="AK454">
            <v>0</v>
          </cell>
          <cell r="AL454">
            <v>0</v>
          </cell>
          <cell r="AM454">
            <v>0</v>
          </cell>
        </row>
        <row r="455">
          <cell r="C455" t="str">
            <v/>
          </cell>
          <cell r="D455" t="str">
            <v/>
          </cell>
          <cell r="O455" t="str">
            <v/>
          </cell>
          <cell r="T455" t="str">
            <v/>
          </cell>
          <cell r="U455" t="str">
            <v/>
          </cell>
          <cell r="V455" t="str">
            <v/>
          </cell>
          <cell r="W455" t="str">
            <v/>
          </cell>
          <cell r="Y455" t="str">
            <v/>
          </cell>
          <cell r="AA455" t="str">
            <v/>
          </cell>
          <cell r="AB455">
            <v>0</v>
          </cell>
          <cell r="AC455">
            <v>0</v>
          </cell>
          <cell r="AI455" t="str">
            <v/>
          </cell>
          <cell r="AJ455" t="str">
            <v/>
          </cell>
          <cell r="AK455">
            <v>0</v>
          </cell>
          <cell r="AL455">
            <v>0</v>
          </cell>
          <cell r="AM455">
            <v>0</v>
          </cell>
        </row>
        <row r="456">
          <cell r="C456" t="str">
            <v/>
          </cell>
          <cell r="D456" t="str">
            <v/>
          </cell>
          <cell r="O456" t="str">
            <v/>
          </cell>
          <cell r="T456" t="str">
            <v/>
          </cell>
          <cell r="U456" t="str">
            <v/>
          </cell>
          <cell r="V456" t="str">
            <v/>
          </cell>
          <cell r="W456" t="str">
            <v/>
          </cell>
          <cell r="Y456" t="str">
            <v/>
          </cell>
          <cell r="AA456" t="str">
            <v/>
          </cell>
          <cell r="AB456">
            <v>0</v>
          </cell>
          <cell r="AC456">
            <v>0</v>
          </cell>
          <cell r="AI456" t="str">
            <v/>
          </cell>
          <cell r="AJ456" t="str">
            <v/>
          </cell>
          <cell r="AK456">
            <v>0</v>
          </cell>
          <cell r="AL456">
            <v>0</v>
          </cell>
          <cell r="AM456">
            <v>0</v>
          </cell>
        </row>
        <row r="457">
          <cell r="C457" t="str">
            <v/>
          </cell>
          <cell r="D457" t="str">
            <v/>
          </cell>
          <cell r="O457" t="str">
            <v/>
          </cell>
          <cell r="T457" t="str">
            <v/>
          </cell>
          <cell r="U457" t="str">
            <v/>
          </cell>
          <cell r="V457" t="str">
            <v/>
          </cell>
          <cell r="W457" t="str">
            <v/>
          </cell>
          <cell r="Y457" t="str">
            <v/>
          </cell>
          <cell r="AA457" t="str">
            <v/>
          </cell>
          <cell r="AB457">
            <v>0</v>
          </cell>
          <cell r="AC457">
            <v>0</v>
          </cell>
          <cell r="AI457" t="str">
            <v/>
          </cell>
          <cell r="AJ457" t="str">
            <v/>
          </cell>
          <cell r="AK457">
            <v>0</v>
          </cell>
          <cell r="AL457">
            <v>0</v>
          </cell>
          <cell r="AM457">
            <v>0</v>
          </cell>
        </row>
        <row r="458">
          <cell r="C458" t="str">
            <v/>
          </cell>
          <cell r="D458" t="str">
            <v/>
          </cell>
          <cell r="O458" t="str">
            <v/>
          </cell>
          <cell r="T458" t="str">
            <v/>
          </cell>
          <cell r="U458" t="str">
            <v/>
          </cell>
          <cell r="V458" t="str">
            <v/>
          </cell>
          <cell r="W458" t="str">
            <v/>
          </cell>
          <cell r="Y458" t="str">
            <v/>
          </cell>
          <cell r="AA458" t="str">
            <v/>
          </cell>
          <cell r="AB458">
            <v>0</v>
          </cell>
          <cell r="AC458">
            <v>0</v>
          </cell>
          <cell r="AI458" t="str">
            <v/>
          </cell>
          <cell r="AJ458" t="str">
            <v/>
          </cell>
          <cell r="AK458">
            <v>0</v>
          </cell>
          <cell r="AL458">
            <v>0</v>
          </cell>
          <cell r="AM458">
            <v>0</v>
          </cell>
        </row>
        <row r="459">
          <cell r="C459" t="str">
            <v/>
          </cell>
          <cell r="D459" t="str">
            <v/>
          </cell>
          <cell r="O459" t="str">
            <v/>
          </cell>
          <cell r="T459" t="str">
            <v/>
          </cell>
          <cell r="U459" t="str">
            <v/>
          </cell>
          <cell r="V459" t="str">
            <v/>
          </cell>
          <cell r="W459" t="str">
            <v/>
          </cell>
          <cell r="Y459" t="str">
            <v/>
          </cell>
          <cell r="AA459" t="str">
            <v/>
          </cell>
          <cell r="AB459">
            <v>0</v>
          </cell>
          <cell r="AC459">
            <v>0</v>
          </cell>
          <cell r="AI459" t="str">
            <v/>
          </cell>
          <cell r="AJ459" t="str">
            <v/>
          </cell>
          <cell r="AK459">
            <v>0</v>
          </cell>
          <cell r="AL459">
            <v>0</v>
          </cell>
          <cell r="AM459">
            <v>0</v>
          </cell>
        </row>
        <row r="460">
          <cell r="C460" t="str">
            <v/>
          </cell>
          <cell r="D460" t="str">
            <v/>
          </cell>
          <cell r="O460" t="str">
            <v/>
          </cell>
          <cell r="T460" t="str">
            <v/>
          </cell>
          <cell r="U460" t="str">
            <v/>
          </cell>
          <cell r="V460" t="str">
            <v/>
          </cell>
          <cell r="W460" t="str">
            <v/>
          </cell>
          <cell r="Y460" t="str">
            <v/>
          </cell>
          <cell r="AA460" t="str">
            <v/>
          </cell>
          <cell r="AB460">
            <v>0</v>
          </cell>
          <cell r="AC460">
            <v>0</v>
          </cell>
          <cell r="AI460" t="str">
            <v/>
          </cell>
          <cell r="AJ460" t="str">
            <v/>
          </cell>
          <cell r="AK460">
            <v>0</v>
          </cell>
          <cell r="AL460">
            <v>0</v>
          </cell>
          <cell r="AM460">
            <v>0</v>
          </cell>
        </row>
        <row r="461">
          <cell r="C461" t="str">
            <v/>
          </cell>
          <cell r="D461" t="str">
            <v/>
          </cell>
          <cell r="O461" t="str">
            <v/>
          </cell>
          <cell r="T461" t="str">
            <v/>
          </cell>
          <cell r="U461" t="str">
            <v/>
          </cell>
          <cell r="V461" t="str">
            <v/>
          </cell>
          <cell r="W461" t="str">
            <v/>
          </cell>
          <cell r="Y461" t="str">
            <v/>
          </cell>
          <cell r="AA461" t="str">
            <v/>
          </cell>
          <cell r="AB461">
            <v>0</v>
          </cell>
          <cell r="AC461">
            <v>0</v>
          </cell>
          <cell r="AI461" t="str">
            <v/>
          </cell>
          <cell r="AJ461" t="str">
            <v/>
          </cell>
          <cell r="AK461">
            <v>0</v>
          </cell>
          <cell r="AL461">
            <v>0</v>
          </cell>
          <cell r="AM461">
            <v>0</v>
          </cell>
        </row>
        <row r="462">
          <cell r="C462" t="str">
            <v/>
          </cell>
          <cell r="D462" t="str">
            <v/>
          </cell>
          <cell r="O462" t="str">
            <v/>
          </cell>
          <cell r="T462" t="str">
            <v/>
          </cell>
          <cell r="U462" t="str">
            <v/>
          </cell>
          <cell r="V462" t="str">
            <v/>
          </cell>
          <cell r="W462" t="str">
            <v/>
          </cell>
          <cell r="Y462" t="str">
            <v/>
          </cell>
          <cell r="AA462" t="str">
            <v/>
          </cell>
          <cell r="AB462">
            <v>0</v>
          </cell>
          <cell r="AC462">
            <v>0</v>
          </cell>
          <cell r="AI462" t="str">
            <v/>
          </cell>
          <cell r="AJ462" t="str">
            <v/>
          </cell>
          <cell r="AK462">
            <v>0</v>
          </cell>
          <cell r="AL462">
            <v>0</v>
          </cell>
          <cell r="AM462">
            <v>0</v>
          </cell>
        </row>
        <row r="463">
          <cell r="C463" t="str">
            <v/>
          </cell>
          <cell r="D463" t="str">
            <v/>
          </cell>
          <cell r="O463" t="str">
            <v/>
          </cell>
          <cell r="T463" t="str">
            <v/>
          </cell>
          <cell r="U463" t="str">
            <v/>
          </cell>
          <cell r="V463" t="str">
            <v/>
          </cell>
          <cell r="W463" t="str">
            <v/>
          </cell>
          <cell r="Y463" t="str">
            <v/>
          </cell>
          <cell r="AA463" t="str">
            <v/>
          </cell>
          <cell r="AB463">
            <v>0</v>
          </cell>
          <cell r="AC463">
            <v>0</v>
          </cell>
          <cell r="AI463" t="str">
            <v/>
          </cell>
          <cell r="AJ463" t="str">
            <v/>
          </cell>
          <cell r="AK463">
            <v>0</v>
          </cell>
          <cell r="AL463">
            <v>0</v>
          </cell>
          <cell r="AM463">
            <v>0</v>
          </cell>
        </row>
        <row r="464">
          <cell r="C464" t="str">
            <v/>
          </cell>
          <cell r="D464" t="str">
            <v/>
          </cell>
          <cell r="O464" t="str">
            <v/>
          </cell>
          <cell r="T464" t="str">
            <v/>
          </cell>
          <cell r="U464" t="str">
            <v/>
          </cell>
          <cell r="V464" t="str">
            <v/>
          </cell>
          <cell r="W464" t="str">
            <v/>
          </cell>
          <cell r="Y464" t="str">
            <v/>
          </cell>
          <cell r="AA464" t="str">
            <v/>
          </cell>
          <cell r="AB464">
            <v>0</v>
          </cell>
          <cell r="AC464">
            <v>0</v>
          </cell>
          <cell r="AI464" t="str">
            <v/>
          </cell>
          <cell r="AJ464" t="str">
            <v/>
          </cell>
          <cell r="AK464">
            <v>0</v>
          </cell>
          <cell r="AL464">
            <v>0</v>
          </cell>
          <cell r="AM464">
            <v>0</v>
          </cell>
        </row>
        <row r="465">
          <cell r="C465" t="str">
            <v/>
          </cell>
          <cell r="D465" t="str">
            <v/>
          </cell>
          <cell r="O465" t="str">
            <v/>
          </cell>
          <cell r="T465" t="str">
            <v/>
          </cell>
          <cell r="U465" t="str">
            <v/>
          </cell>
          <cell r="V465" t="str">
            <v/>
          </cell>
          <cell r="W465" t="str">
            <v/>
          </cell>
          <cell r="Y465" t="str">
            <v/>
          </cell>
          <cell r="AA465" t="str">
            <v/>
          </cell>
          <cell r="AB465">
            <v>0</v>
          </cell>
          <cell r="AC465">
            <v>0</v>
          </cell>
          <cell r="AI465" t="str">
            <v/>
          </cell>
          <cell r="AJ465" t="str">
            <v/>
          </cell>
          <cell r="AK465">
            <v>0</v>
          </cell>
          <cell r="AL465">
            <v>0</v>
          </cell>
          <cell r="AM465">
            <v>0</v>
          </cell>
        </row>
        <row r="466">
          <cell r="C466" t="str">
            <v/>
          </cell>
          <cell r="D466" t="str">
            <v/>
          </cell>
          <cell r="O466" t="str">
            <v/>
          </cell>
          <cell r="T466" t="str">
            <v/>
          </cell>
          <cell r="U466" t="str">
            <v/>
          </cell>
          <cell r="V466" t="str">
            <v/>
          </cell>
          <cell r="W466" t="str">
            <v/>
          </cell>
          <cell r="Y466" t="str">
            <v/>
          </cell>
          <cell r="AA466" t="str">
            <v/>
          </cell>
          <cell r="AB466">
            <v>0</v>
          </cell>
          <cell r="AC466">
            <v>0</v>
          </cell>
          <cell r="AI466" t="str">
            <v/>
          </cell>
          <cell r="AJ466" t="str">
            <v/>
          </cell>
          <cell r="AK466">
            <v>0</v>
          </cell>
          <cell r="AL466">
            <v>0</v>
          </cell>
          <cell r="AM466">
            <v>0</v>
          </cell>
        </row>
        <row r="467">
          <cell r="C467" t="str">
            <v/>
          </cell>
          <cell r="D467" t="str">
            <v/>
          </cell>
          <cell r="O467" t="str">
            <v/>
          </cell>
          <cell r="T467" t="str">
            <v/>
          </cell>
          <cell r="U467" t="str">
            <v/>
          </cell>
          <cell r="V467" t="str">
            <v/>
          </cell>
          <cell r="W467" t="str">
            <v/>
          </cell>
          <cell r="Y467" t="str">
            <v/>
          </cell>
          <cell r="AA467" t="str">
            <v/>
          </cell>
          <cell r="AB467">
            <v>0</v>
          </cell>
          <cell r="AC467">
            <v>0</v>
          </cell>
          <cell r="AI467" t="str">
            <v/>
          </cell>
          <cell r="AJ467" t="str">
            <v/>
          </cell>
          <cell r="AK467">
            <v>0</v>
          </cell>
          <cell r="AL467">
            <v>0</v>
          </cell>
          <cell r="AM467">
            <v>0</v>
          </cell>
        </row>
        <row r="468">
          <cell r="C468" t="str">
            <v/>
          </cell>
          <cell r="D468" t="str">
            <v/>
          </cell>
          <cell r="O468" t="str">
            <v/>
          </cell>
          <cell r="T468" t="str">
            <v/>
          </cell>
          <cell r="U468" t="str">
            <v/>
          </cell>
          <cell r="V468" t="str">
            <v/>
          </cell>
          <cell r="W468" t="str">
            <v/>
          </cell>
          <cell r="Y468" t="str">
            <v/>
          </cell>
          <cell r="AA468" t="str">
            <v/>
          </cell>
          <cell r="AB468">
            <v>0</v>
          </cell>
          <cell r="AC468">
            <v>0</v>
          </cell>
          <cell r="AI468" t="str">
            <v/>
          </cell>
          <cell r="AJ468" t="str">
            <v/>
          </cell>
          <cell r="AK468">
            <v>0</v>
          </cell>
          <cell r="AL468">
            <v>0</v>
          </cell>
          <cell r="AM468">
            <v>0</v>
          </cell>
        </row>
        <row r="469">
          <cell r="C469" t="str">
            <v/>
          </cell>
          <cell r="D469" t="str">
            <v/>
          </cell>
          <cell r="O469" t="str">
            <v/>
          </cell>
          <cell r="T469" t="str">
            <v/>
          </cell>
          <cell r="U469" t="str">
            <v/>
          </cell>
          <cell r="V469" t="str">
            <v/>
          </cell>
          <cell r="W469" t="str">
            <v/>
          </cell>
          <cell r="Y469" t="str">
            <v/>
          </cell>
          <cell r="AA469" t="str">
            <v/>
          </cell>
          <cell r="AB469">
            <v>0</v>
          </cell>
          <cell r="AC469">
            <v>0</v>
          </cell>
          <cell r="AI469" t="str">
            <v/>
          </cell>
          <cell r="AJ469" t="str">
            <v/>
          </cell>
          <cell r="AK469">
            <v>0</v>
          </cell>
          <cell r="AL469">
            <v>0</v>
          </cell>
          <cell r="AM469">
            <v>0</v>
          </cell>
        </row>
        <row r="470">
          <cell r="C470" t="str">
            <v/>
          </cell>
          <cell r="D470" t="str">
            <v/>
          </cell>
          <cell r="O470" t="str">
            <v/>
          </cell>
          <cell r="T470" t="str">
            <v/>
          </cell>
          <cell r="U470" t="str">
            <v/>
          </cell>
          <cell r="V470" t="str">
            <v/>
          </cell>
          <cell r="W470" t="str">
            <v/>
          </cell>
          <cell r="Y470" t="str">
            <v/>
          </cell>
          <cell r="AA470" t="str">
            <v/>
          </cell>
          <cell r="AB470">
            <v>0</v>
          </cell>
          <cell r="AC470">
            <v>0</v>
          </cell>
          <cell r="AI470" t="str">
            <v/>
          </cell>
          <cell r="AJ470" t="str">
            <v/>
          </cell>
          <cell r="AK470">
            <v>0</v>
          </cell>
          <cell r="AL470">
            <v>0</v>
          </cell>
          <cell r="AM470">
            <v>0</v>
          </cell>
        </row>
        <row r="471">
          <cell r="C471" t="str">
            <v/>
          </cell>
          <cell r="D471" t="str">
            <v/>
          </cell>
          <cell r="O471" t="str">
            <v/>
          </cell>
          <cell r="T471" t="str">
            <v/>
          </cell>
          <cell r="U471" t="str">
            <v/>
          </cell>
          <cell r="V471" t="str">
            <v/>
          </cell>
          <cell r="W471" t="str">
            <v/>
          </cell>
          <cell r="Y471" t="str">
            <v/>
          </cell>
          <cell r="AA471" t="str">
            <v/>
          </cell>
          <cell r="AB471">
            <v>0</v>
          </cell>
          <cell r="AC471">
            <v>0</v>
          </cell>
          <cell r="AI471" t="str">
            <v/>
          </cell>
          <cell r="AJ471" t="str">
            <v/>
          </cell>
          <cell r="AK471">
            <v>0</v>
          </cell>
          <cell r="AL471">
            <v>0</v>
          </cell>
          <cell r="AM471">
            <v>0</v>
          </cell>
        </row>
        <row r="472">
          <cell r="C472" t="str">
            <v/>
          </cell>
          <cell r="D472" t="str">
            <v/>
          </cell>
          <cell r="O472" t="str">
            <v/>
          </cell>
          <cell r="T472" t="str">
            <v/>
          </cell>
          <cell r="U472" t="str">
            <v/>
          </cell>
          <cell r="V472" t="str">
            <v/>
          </cell>
          <cell r="W472" t="str">
            <v/>
          </cell>
          <cell r="Y472" t="str">
            <v/>
          </cell>
          <cell r="AA472" t="str">
            <v/>
          </cell>
          <cell r="AB472">
            <v>0</v>
          </cell>
          <cell r="AC472">
            <v>0</v>
          </cell>
          <cell r="AI472" t="str">
            <v/>
          </cell>
          <cell r="AJ472" t="str">
            <v/>
          </cell>
          <cell r="AK472">
            <v>0</v>
          </cell>
          <cell r="AL472">
            <v>0</v>
          </cell>
          <cell r="AM472">
            <v>0</v>
          </cell>
        </row>
        <row r="473">
          <cell r="C473" t="str">
            <v/>
          </cell>
          <cell r="D473" t="str">
            <v/>
          </cell>
          <cell r="O473" t="str">
            <v/>
          </cell>
          <cell r="T473" t="str">
            <v/>
          </cell>
          <cell r="U473" t="str">
            <v/>
          </cell>
          <cell r="V473" t="str">
            <v/>
          </cell>
          <cell r="W473" t="str">
            <v/>
          </cell>
          <cell r="Y473" t="str">
            <v/>
          </cell>
          <cell r="AA473" t="str">
            <v/>
          </cell>
          <cell r="AB473">
            <v>0</v>
          </cell>
          <cell r="AC473">
            <v>0</v>
          </cell>
          <cell r="AI473" t="str">
            <v/>
          </cell>
          <cell r="AJ473" t="str">
            <v/>
          </cell>
          <cell r="AK473">
            <v>0</v>
          </cell>
          <cell r="AL473">
            <v>0</v>
          </cell>
          <cell r="AM473">
            <v>0</v>
          </cell>
        </row>
        <row r="474">
          <cell r="C474" t="str">
            <v/>
          </cell>
          <cell r="D474" t="str">
            <v/>
          </cell>
          <cell r="O474" t="str">
            <v/>
          </cell>
          <cell r="T474" t="str">
            <v/>
          </cell>
          <cell r="U474" t="str">
            <v/>
          </cell>
          <cell r="V474" t="str">
            <v/>
          </cell>
          <cell r="W474" t="str">
            <v/>
          </cell>
          <cell r="Y474" t="str">
            <v/>
          </cell>
          <cell r="AA474" t="str">
            <v/>
          </cell>
          <cell r="AB474">
            <v>0</v>
          </cell>
          <cell r="AC474">
            <v>0</v>
          </cell>
          <cell r="AI474" t="str">
            <v/>
          </cell>
          <cell r="AJ474" t="str">
            <v/>
          </cell>
          <cell r="AK474">
            <v>0</v>
          </cell>
          <cell r="AL474">
            <v>0</v>
          </cell>
          <cell r="AM474">
            <v>0</v>
          </cell>
        </row>
        <row r="475">
          <cell r="C475" t="str">
            <v/>
          </cell>
          <cell r="D475" t="str">
            <v/>
          </cell>
          <cell r="O475" t="str">
            <v/>
          </cell>
          <cell r="T475" t="str">
            <v/>
          </cell>
          <cell r="U475" t="str">
            <v/>
          </cell>
          <cell r="V475" t="str">
            <v/>
          </cell>
          <cell r="W475" t="str">
            <v/>
          </cell>
          <cell r="Y475" t="str">
            <v/>
          </cell>
          <cell r="AA475" t="str">
            <v/>
          </cell>
          <cell r="AB475">
            <v>0</v>
          </cell>
          <cell r="AC475">
            <v>0</v>
          </cell>
          <cell r="AI475" t="str">
            <v/>
          </cell>
          <cell r="AJ475" t="str">
            <v/>
          </cell>
          <cell r="AK475">
            <v>0</v>
          </cell>
          <cell r="AL475">
            <v>0</v>
          </cell>
          <cell r="AM475">
            <v>0</v>
          </cell>
        </row>
        <row r="476">
          <cell r="C476" t="str">
            <v/>
          </cell>
          <cell r="D476" t="str">
            <v/>
          </cell>
          <cell r="O476" t="str">
            <v/>
          </cell>
          <cell r="T476" t="str">
            <v/>
          </cell>
          <cell r="U476" t="str">
            <v/>
          </cell>
          <cell r="V476" t="str">
            <v/>
          </cell>
          <cell r="W476" t="str">
            <v/>
          </cell>
          <cell r="Y476" t="str">
            <v/>
          </cell>
          <cell r="AA476" t="str">
            <v/>
          </cell>
          <cell r="AB476">
            <v>0</v>
          </cell>
          <cell r="AC476">
            <v>0</v>
          </cell>
          <cell r="AI476" t="str">
            <v/>
          </cell>
          <cell r="AJ476" t="str">
            <v/>
          </cell>
          <cell r="AK476">
            <v>0</v>
          </cell>
          <cell r="AL476">
            <v>0</v>
          </cell>
          <cell r="AM476">
            <v>0</v>
          </cell>
        </row>
        <row r="477">
          <cell r="C477" t="str">
            <v/>
          </cell>
          <cell r="D477" t="str">
            <v/>
          </cell>
          <cell r="O477" t="str">
            <v/>
          </cell>
          <cell r="T477" t="str">
            <v/>
          </cell>
          <cell r="U477" t="str">
            <v/>
          </cell>
          <cell r="V477" t="str">
            <v/>
          </cell>
          <cell r="W477" t="str">
            <v/>
          </cell>
          <cell r="Y477" t="str">
            <v/>
          </cell>
          <cell r="AA477" t="str">
            <v/>
          </cell>
          <cell r="AB477">
            <v>0</v>
          </cell>
          <cell r="AC477">
            <v>0</v>
          </cell>
          <cell r="AI477" t="str">
            <v/>
          </cell>
          <cell r="AJ477" t="str">
            <v/>
          </cell>
          <cell r="AK477">
            <v>0</v>
          </cell>
          <cell r="AL477">
            <v>0</v>
          </cell>
          <cell r="AM477">
            <v>0</v>
          </cell>
        </row>
        <row r="478">
          <cell r="C478" t="str">
            <v/>
          </cell>
          <cell r="D478" t="str">
            <v/>
          </cell>
          <cell r="O478" t="str">
            <v/>
          </cell>
          <cell r="T478" t="str">
            <v/>
          </cell>
          <cell r="U478" t="str">
            <v/>
          </cell>
          <cell r="V478" t="str">
            <v/>
          </cell>
          <cell r="W478" t="str">
            <v/>
          </cell>
          <cell r="Y478" t="str">
            <v/>
          </cell>
          <cell r="AA478" t="str">
            <v/>
          </cell>
          <cell r="AB478">
            <v>0</v>
          </cell>
          <cell r="AC478">
            <v>0</v>
          </cell>
          <cell r="AI478" t="str">
            <v/>
          </cell>
          <cell r="AJ478" t="str">
            <v/>
          </cell>
          <cell r="AK478">
            <v>0</v>
          </cell>
          <cell r="AL478">
            <v>0</v>
          </cell>
          <cell r="AM478">
            <v>0</v>
          </cell>
        </row>
        <row r="479">
          <cell r="C479" t="str">
            <v/>
          </cell>
          <cell r="D479" t="str">
            <v/>
          </cell>
          <cell r="O479" t="str">
            <v/>
          </cell>
          <cell r="T479" t="str">
            <v/>
          </cell>
          <cell r="U479" t="str">
            <v/>
          </cell>
          <cell r="V479" t="str">
            <v/>
          </cell>
          <cell r="W479" t="str">
            <v/>
          </cell>
          <cell r="Y479" t="str">
            <v/>
          </cell>
          <cell r="AA479" t="str">
            <v/>
          </cell>
          <cell r="AB479">
            <v>0</v>
          </cell>
          <cell r="AC479">
            <v>0</v>
          </cell>
          <cell r="AI479" t="str">
            <v/>
          </cell>
          <cell r="AJ479" t="str">
            <v/>
          </cell>
          <cell r="AK479">
            <v>0</v>
          </cell>
          <cell r="AL479">
            <v>0</v>
          </cell>
          <cell r="AM479">
            <v>0</v>
          </cell>
        </row>
        <row r="480">
          <cell r="C480" t="str">
            <v/>
          </cell>
          <cell r="D480" t="str">
            <v/>
          </cell>
          <cell r="O480" t="str">
            <v/>
          </cell>
          <cell r="T480" t="str">
            <v/>
          </cell>
          <cell r="U480" t="str">
            <v/>
          </cell>
          <cell r="V480" t="str">
            <v/>
          </cell>
          <cell r="W480" t="str">
            <v/>
          </cell>
          <cell r="Y480" t="str">
            <v/>
          </cell>
          <cell r="AA480" t="str">
            <v/>
          </cell>
          <cell r="AB480">
            <v>0</v>
          </cell>
          <cell r="AC480">
            <v>0</v>
          </cell>
          <cell r="AI480" t="str">
            <v/>
          </cell>
          <cell r="AJ480" t="str">
            <v/>
          </cell>
          <cell r="AK480">
            <v>0</v>
          </cell>
          <cell r="AL480">
            <v>0</v>
          </cell>
          <cell r="AM480">
            <v>0</v>
          </cell>
        </row>
        <row r="481">
          <cell r="C481" t="str">
            <v/>
          </cell>
          <cell r="D481" t="str">
            <v/>
          </cell>
          <cell r="O481" t="str">
            <v/>
          </cell>
          <cell r="T481" t="str">
            <v/>
          </cell>
          <cell r="U481" t="str">
            <v/>
          </cell>
          <cell r="V481" t="str">
            <v/>
          </cell>
          <cell r="W481" t="str">
            <v/>
          </cell>
          <cell r="Y481" t="str">
            <v/>
          </cell>
          <cell r="AA481" t="str">
            <v/>
          </cell>
          <cell r="AB481">
            <v>0</v>
          </cell>
          <cell r="AC481">
            <v>0</v>
          </cell>
          <cell r="AI481" t="str">
            <v/>
          </cell>
          <cell r="AJ481" t="str">
            <v/>
          </cell>
          <cell r="AK481">
            <v>0</v>
          </cell>
          <cell r="AL481">
            <v>0</v>
          </cell>
          <cell r="AM481">
            <v>0</v>
          </cell>
        </row>
        <row r="482">
          <cell r="C482" t="str">
            <v/>
          </cell>
          <cell r="D482" t="str">
            <v/>
          </cell>
          <cell r="O482" t="str">
            <v/>
          </cell>
          <cell r="T482" t="str">
            <v/>
          </cell>
          <cell r="U482" t="str">
            <v/>
          </cell>
          <cell r="V482" t="str">
            <v/>
          </cell>
          <cell r="W482" t="str">
            <v/>
          </cell>
          <cell r="Y482" t="str">
            <v/>
          </cell>
          <cell r="AA482" t="str">
            <v/>
          </cell>
          <cell r="AB482">
            <v>0</v>
          </cell>
          <cell r="AC482">
            <v>0</v>
          </cell>
          <cell r="AI482" t="str">
            <v/>
          </cell>
          <cell r="AJ482" t="str">
            <v/>
          </cell>
          <cell r="AK482">
            <v>0</v>
          </cell>
          <cell r="AL482">
            <v>0</v>
          </cell>
          <cell r="AM482">
            <v>0</v>
          </cell>
        </row>
        <row r="483">
          <cell r="C483" t="str">
            <v/>
          </cell>
          <cell r="D483" t="str">
            <v/>
          </cell>
          <cell r="O483" t="str">
            <v/>
          </cell>
          <cell r="T483" t="str">
            <v/>
          </cell>
          <cell r="U483" t="str">
            <v/>
          </cell>
          <cell r="V483" t="str">
            <v/>
          </cell>
          <cell r="W483" t="str">
            <v/>
          </cell>
          <cell r="Y483" t="str">
            <v/>
          </cell>
          <cell r="AA483" t="str">
            <v/>
          </cell>
          <cell r="AB483">
            <v>0</v>
          </cell>
          <cell r="AC483">
            <v>0</v>
          </cell>
          <cell r="AI483" t="str">
            <v/>
          </cell>
          <cell r="AJ483" t="str">
            <v/>
          </cell>
          <cell r="AK483">
            <v>0</v>
          </cell>
          <cell r="AL483">
            <v>0</v>
          </cell>
          <cell r="AM483">
            <v>0</v>
          </cell>
        </row>
        <row r="484">
          <cell r="C484" t="str">
            <v/>
          </cell>
          <cell r="D484" t="str">
            <v/>
          </cell>
          <cell r="O484" t="str">
            <v/>
          </cell>
          <cell r="T484" t="str">
            <v/>
          </cell>
          <cell r="U484" t="str">
            <v/>
          </cell>
          <cell r="V484" t="str">
            <v/>
          </cell>
          <cell r="W484" t="str">
            <v/>
          </cell>
          <cell r="Y484" t="str">
            <v/>
          </cell>
          <cell r="AA484" t="str">
            <v/>
          </cell>
          <cell r="AB484">
            <v>0</v>
          </cell>
          <cell r="AC484">
            <v>0</v>
          </cell>
          <cell r="AI484" t="str">
            <v/>
          </cell>
          <cell r="AJ484" t="str">
            <v/>
          </cell>
          <cell r="AK484">
            <v>0</v>
          </cell>
          <cell r="AL484">
            <v>0</v>
          </cell>
          <cell r="AM484">
            <v>0</v>
          </cell>
        </row>
        <row r="485">
          <cell r="C485" t="str">
            <v/>
          </cell>
          <cell r="D485" t="str">
            <v/>
          </cell>
          <cell r="O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/>
          </cell>
          <cell r="Y485" t="str">
            <v/>
          </cell>
          <cell r="AA485" t="str">
            <v/>
          </cell>
          <cell r="AB485">
            <v>0</v>
          </cell>
          <cell r="AC485">
            <v>0</v>
          </cell>
          <cell r="AI485" t="str">
            <v/>
          </cell>
          <cell r="AJ485" t="str">
            <v/>
          </cell>
          <cell r="AK485">
            <v>0</v>
          </cell>
          <cell r="AL485">
            <v>0</v>
          </cell>
          <cell r="AM485">
            <v>0</v>
          </cell>
        </row>
        <row r="486">
          <cell r="C486" t="str">
            <v/>
          </cell>
          <cell r="D486" t="str">
            <v/>
          </cell>
          <cell r="O486" t="str">
            <v/>
          </cell>
          <cell r="T486" t="str">
            <v/>
          </cell>
          <cell r="U486" t="str">
            <v/>
          </cell>
          <cell r="V486" t="str">
            <v/>
          </cell>
          <cell r="W486" t="str">
            <v/>
          </cell>
          <cell r="Y486" t="str">
            <v/>
          </cell>
          <cell r="AA486" t="str">
            <v/>
          </cell>
          <cell r="AB486">
            <v>0</v>
          </cell>
          <cell r="AC486">
            <v>0</v>
          </cell>
          <cell r="AI486" t="str">
            <v/>
          </cell>
          <cell r="AJ486" t="str">
            <v/>
          </cell>
          <cell r="AK486">
            <v>0</v>
          </cell>
          <cell r="AL486">
            <v>0</v>
          </cell>
          <cell r="AM486">
            <v>0</v>
          </cell>
        </row>
        <row r="487">
          <cell r="C487" t="str">
            <v/>
          </cell>
          <cell r="D487" t="str">
            <v/>
          </cell>
          <cell r="O487" t="str">
            <v/>
          </cell>
          <cell r="T487" t="str">
            <v/>
          </cell>
          <cell r="U487" t="str">
            <v/>
          </cell>
          <cell r="V487" t="str">
            <v/>
          </cell>
          <cell r="W487" t="str">
            <v/>
          </cell>
          <cell r="Y487" t="str">
            <v/>
          </cell>
          <cell r="AA487" t="str">
            <v/>
          </cell>
          <cell r="AB487">
            <v>0</v>
          </cell>
          <cell r="AC487">
            <v>0</v>
          </cell>
          <cell r="AI487" t="str">
            <v/>
          </cell>
          <cell r="AJ487" t="str">
            <v/>
          </cell>
          <cell r="AK487">
            <v>0</v>
          </cell>
          <cell r="AL487">
            <v>0</v>
          </cell>
          <cell r="AM487">
            <v>0</v>
          </cell>
        </row>
        <row r="488">
          <cell r="C488" t="str">
            <v/>
          </cell>
          <cell r="D488" t="str">
            <v/>
          </cell>
          <cell r="O488" t="str">
            <v/>
          </cell>
          <cell r="T488" t="str">
            <v/>
          </cell>
          <cell r="U488" t="str">
            <v/>
          </cell>
          <cell r="V488" t="str">
            <v/>
          </cell>
          <cell r="W488" t="str">
            <v/>
          </cell>
          <cell r="Y488" t="str">
            <v/>
          </cell>
          <cell r="AA488" t="str">
            <v/>
          </cell>
          <cell r="AB488">
            <v>0</v>
          </cell>
          <cell r="AC488">
            <v>0</v>
          </cell>
          <cell r="AI488" t="str">
            <v/>
          </cell>
          <cell r="AJ488" t="str">
            <v/>
          </cell>
          <cell r="AK488">
            <v>0</v>
          </cell>
          <cell r="AL488">
            <v>0</v>
          </cell>
          <cell r="AM488">
            <v>0</v>
          </cell>
        </row>
        <row r="489">
          <cell r="C489" t="str">
            <v/>
          </cell>
          <cell r="D489" t="str">
            <v/>
          </cell>
          <cell r="O489" t="str">
            <v/>
          </cell>
          <cell r="T489" t="str">
            <v/>
          </cell>
          <cell r="U489" t="str">
            <v/>
          </cell>
          <cell r="V489" t="str">
            <v/>
          </cell>
          <cell r="W489" t="str">
            <v/>
          </cell>
          <cell r="Y489" t="str">
            <v/>
          </cell>
          <cell r="AA489" t="str">
            <v/>
          </cell>
          <cell r="AB489">
            <v>0</v>
          </cell>
          <cell r="AC489">
            <v>0</v>
          </cell>
          <cell r="AI489" t="str">
            <v/>
          </cell>
          <cell r="AJ489" t="str">
            <v/>
          </cell>
          <cell r="AK489">
            <v>0</v>
          </cell>
          <cell r="AL489">
            <v>0</v>
          </cell>
          <cell r="AM489">
            <v>0</v>
          </cell>
        </row>
        <row r="490">
          <cell r="C490" t="str">
            <v/>
          </cell>
          <cell r="D490" t="str">
            <v/>
          </cell>
          <cell r="O490" t="str">
            <v/>
          </cell>
          <cell r="T490" t="str">
            <v/>
          </cell>
          <cell r="U490" t="str">
            <v/>
          </cell>
          <cell r="V490" t="str">
            <v/>
          </cell>
          <cell r="W490" t="str">
            <v/>
          </cell>
          <cell r="Y490" t="str">
            <v/>
          </cell>
          <cell r="AA490" t="str">
            <v/>
          </cell>
          <cell r="AB490">
            <v>0</v>
          </cell>
          <cell r="AC490">
            <v>0</v>
          </cell>
          <cell r="AI490" t="str">
            <v/>
          </cell>
          <cell r="AJ490" t="str">
            <v/>
          </cell>
          <cell r="AK490">
            <v>0</v>
          </cell>
          <cell r="AL490">
            <v>0</v>
          </cell>
          <cell r="AM490">
            <v>0</v>
          </cell>
        </row>
        <row r="491">
          <cell r="C491" t="str">
            <v/>
          </cell>
          <cell r="D491" t="str">
            <v/>
          </cell>
          <cell r="O491" t="str">
            <v/>
          </cell>
          <cell r="T491" t="str">
            <v/>
          </cell>
          <cell r="U491" t="str">
            <v/>
          </cell>
          <cell r="V491" t="str">
            <v/>
          </cell>
          <cell r="W491" t="str">
            <v/>
          </cell>
          <cell r="Y491" t="str">
            <v/>
          </cell>
          <cell r="AA491" t="str">
            <v/>
          </cell>
          <cell r="AB491">
            <v>0</v>
          </cell>
          <cell r="AC491">
            <v>0</v>
          </cell>
          <cell r="AI491" t="str">
            <v/>
          </cell>
          <cell r="AJ491" t="str">
            <v/>
          </cell>
          <cell r="AK491">
            <v>0</v>
          </cell>
          <cell r="AL491">
            <v>0</v>
          </cell>
          <cell r="AM491">
            <v>0</v>
          </cell>
        </row>
        <row r="492">
          <cell r="C492" t="str">
            <v/>
          </cell>
          <cell r="D492" t="str">
            <v/>
          </cell>
          <cell r="O492" t="str">
            <v/>
          </cell>
          <cell r="T492" t="str">
            <v/>
          </cell>
          <cell r="U492" t="str">
            <v/>
          </cell>
          <cell r="V492" t="str">
            <v/>
          </cell>
          <cell r="W492" t="str">
            <v/>
          </cell>
          <cell r="Y492" t="str">
            <v/>
          </cell>
          <cell r="AA492" t="str">
            <v/>
          </cell>
          <cell r="AB492">
            <v>0</v>
          </cell>
          <cell r="AC492">
            <v>0</v>
          </cell>
          <cell r="AI492" t="str">
            <v/>
          </cell>
          <cell r="AJ492" t="str">
            <v/>
          </cell>
          <cell r="AK492">
            <v>0</v>
          </cell>
          <cell r="AL492">
            <v>0</v>
          </cell>
          <cell r="AM492">
            <v>0</v>
          </cell>
        </row>
        <row r="493">
          <cell r="C493" t="str">
            <v/>
          </cell>
          <cell r="D493" t="str">
            <v/>
          </cell>
          <cell r="O493" t="str">
            <v/>
          </cell>
          <cell r="T493" t="str">
            <v/>
          </cell>
          <cell r="U493" t="str">
            <v/>
          </cell>
          <cell r="V493" t="str">
            <v/>
          </cell>
          <cell r="W493" t="str">
            <v/>
          </cell>
          <cell r="Y493" t="str">
            <v/>
          </cell>
          <cell r="AA493" t="str">
            <v/>
          </cell>
          <cell r="AB493">
            <v>0</v>
          </cell>
          <cell r="AC493">
            <v>0</v>
          </cell>
          <cell r="AI493" t="str">
            <v/>
          </cell>
          <cell r="AJ493" t="str">
            <v/>
          </cell>
          <cell r="AK493">
            <v>0</v>
          </cell>
          <cell r="AL493">
            <v>0</v>
          </cell>
          <cell r="AM493">
            <v>0</v>
          </cell>
        </row>
        <row r="494">
          <cell r="C494" t="str">
            <v/>
          </cell>
          <cell r="D494" t="str">
            <v/>
          </cell>
          <cell r="O494" t="str">
            <v/>
          </cell>
          <cell r="T494" t="str">
            <v/>
          </cell>
          <cell r="U494" t="str">
            <v/>
          </cell>
          <cell r="V494" t="str">
            <v/>
          </cell>
          <cell r="W494" t="str">
            <v/>
          </cell>
          <cell r="Y494" t="str">
            <v/>
          </cell>
          <cell r="AA494" t="str">
            <v/>
          </cell>
          <cell r="AB494">
            <v>0</v>
          </cell>
          <cell r="AC494">
            <v>0</v>
          </cell>
          <cell r="AI494" t="str">
            <v/>
          </cell>
          <cell r="AJ494" t="str">
            <v/>
          </cell>
          <cell r="AK494">
            <v>0</v>
          </cell>
          <cell r="AL494">
            <v>0</v>
          </cell>
          <cell r="AM494">
            <v>0</v>
          </cell>
        </row>
        <row r="495">
          <cell r="C495" t="str">
            <v/>
          </cell>
          <cell r="D495" t="str">
            <v/>
          </cell>
          <cell r="O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/>
          </cell>
          <cell r="Y495" t="str">
            <v/>
          </cell>
          <cell r="AA495" t="str">
            <v/>
          </cell>
          <cell r="AB495">
            <v>0</v>
          </cell>
          <cell r="AC495">
            <v>0</v>
          </cell>
          <cell r="AI495" t="str">
            <v/>
          </cell>
          <cell r="AJ495" t="str">
            <v/>
          </cell>
          <cell r="AK495">
            <v>0</v>
          </cell>
          <cell r="AL495">
            <v>0</v>
          </cell>
          <cell r="AM495">
            <v>0</v>
          </cell>
        </row>
        <row r="496">
          <cell r="C496" t="str">
            <v/>
          </cell>
          <cell r="D496" t="str">
            <v/>
          </cell>
          <cell r="O496" t="str">
            <v/>
          </cell>
          <cell r="T496" t="str">
            <v/>
          </cell>
          <cell r="U496" t="str">
            <v/>
          </cell>
          <cell r="V496" t="str">
            <v/>
          </cell>
          <cell r="W496" t="str">
            <v/>
          </cell>
          <cell r="Y496" t="str">
            <v/>
          </cell>
          <cell r="AA496" t="str">
            <v/>
          </cell>
          <cell r="AB496">
            <v>0</v>
          </cell>
          <cell r="AC496">
            <v>0</v>
          </cell>
          <cell r="AI496" t="str">
            <v/>
          </cell>
          <cell r="AJ496" t="str">
            <v/>
          </cell>
          <cell r="AK496">
            <v>0</v>
          </cell>
          <cell r="AL496">
            <v>0</v>
          </cell>
          <cell r="AM496">
            <v>0</v>
          </cell>
        </row>
        <row r="497">
          <cell r="C497" t="str">
            <v/>
          </cell>
          <cell r="D497" t="str">
            <v/>
          </cell>
          <cell r="O497" t="str">
            <v/>
          </cell>
          <cell r="T497" t="str">
            <v/>
          </cell>
          <cell r="U497" t="str">
            <v/>
          </cell>
          <cell r="V497" t="str">
            <v/>
          </cell>
          <cell r="W497" t="str">
            <v/>
          </cell>
          <cell r="Y497" t="str">
            <v/>
          </cell>
          <cell r="AA497" t="str">
            <v/>
          </cell>
          <cell r="AB497">
            <v>0</v>
          </cell>
          <cell r="AC497">
            <v>0</v>
          </cell>
          <cell r="AI497" t="str">
            <v/>
          </cell>
          <cell r="AJ497" t="str">
            <v/>
          </cell>
          <cell r="AK497">
            <v>0</v>
          </cell>
          <cell r="AL497">
            <v>0</v>
          </cell>
          <cell r="AM497">
            <v>0</v>
          </cell>
        </row>
        <row r="498">
          <cell r="C498" t="str">
            <v/>
          </cell>
          <cell r="D498" t="str">
            <v/>
          </cell>
          <cell r="O498" t="str">
            <v/>
          </cell>
          <cell r="T498" t="str">
            <v/>
          </cell>
          <cell r="U498" t="str">
            <v/>
          </cell>
          <cell r="V498" t="str">
            <v/>
          </cell>
          <cell r="W498" t="str">
            <v/>
          </cell>
          <cell r="Y498" t="str">
            <v/>
          </cell>
          <cell r="AA498" t="str">
            <v/>
          </cell>
          <cell r="AB498">
            <v>0</v>
          </cell>
          <cell r="AC498">
            <v>0</v>
          </cell>
          <cell r="AI498" t="str">
            <v/>
          </cell>
          <cell r="AJ498" t="str">
            <v/>
          </cell>
          <cell r="AK498">
            <v>0</v>
          </cell>
          <cell r="AL498">
            <v>0</v>
          </cell>
          <cell r="AM498">
            <v>0</v>
          </cell>
        </row>
        <row r="499">
          <cell r="C499" t="str">
            <v/>
          </cell>
          <cell r="D499" t="str">
            <v/>
          </cell>
          <cell r="O499" t="str">
            <v/>
          </cell>
          <cell r="T499" t="str">
            <v/>
          </cell>
          <cell r="U499" t="str">
            <v/>
          </cell>
          <cell r="V499" t="str">
            <v/>
          </cell>
          <cell r="W499" t="str">
            <v/>
          </cell>
          <cell r="Y499" t="str">
            <v/>
          </cell>
          <cell r="AA499" t="str">
            <v/>
          </cell>
          <cell r="AB499">
            <v>0</v>
          </cell>
          <cell r="AC499">
            <v>0</v>
          </cell>
          <cell r="AI499" t="str">
            <v/>
          </cell>
          <cell r="AJ499" t="str">
            <v/>
          </cell>
          <cell r="AK499">
            <v>0</v>
          </cell>
          <cell r="AL499">
            <v>0</v>
          </cell>
          <cell r="AM499">
            <v>0</v>
          </cell>
        </row>
        <row r="500">
          <cell r="C500" t="str">
            <v/>
          </cell>
          <cell r="D500" t="str">
            <v/>
          </cell>
          <cell r="O500" t="str">
            <v/>
          </cell>
          <cell r="T500" t="str">
            <v/>
          </cell>
          <cell r="U500" t="str">
            <v/>
          </cell>
          <cell r="V500" t="str">
            <v/>
          </cell>
          <cell r="W500" t="str">
            <v/>
          </cell>
          <cell r="Y500" t="str">
            <v/>
          </cell>
          <cell r="AA500" t="str">
            <v/>
          </cell>
          <cell r="AB500">
            <v>0</v>
          </cell>
          <cell r="AC500">
            <v>0</v>
          </cell>
          <cell r="AI500" t="str">
            <v/>
          </cell>
          <cell r="AJ500" t="str">
            <v/>
          </cell>
          <cell r="AK500">
            <v>0</v>
          </cell>
          <cell r="AL500">
            <v>0</v>
          </cell>
          <cell r="AM500">
            <v>0</v>
          </cell>
        </row>
        <row r="501">
          <cell r="C501" t="str">
            <v/>
          </cell>
          <cell r="D501" t="str">
            <v/>
          </cell>
          <cell r="O501" t="str">
            <v/>
          </cell>
          <cell r="T501" t="str">
            <v/>
          </cell>
          <cell r="U501" t="str">
            <v/>
          </cell>
          <cell r="V501" t="str">
            <v/>
          </cell>
          <cell r="W501" t="str">
            <v/>
          </cell>
          <cell r="Y501" t="str">
            <v/>
          </cell>
          <cell r="AA501" t="str">
            <v/>
          </cell>
          <cell r="AB501">
            <v>0</v>
          </cell>
          <cell r="AC501">
            <v>0</v>
          </cell>
          <cell r="AI501" t="str">
            <v/>
          </cell>
          <cell r="AJ501" t="str">
            <v/>
          </cell>
          <cell r="AK501">
            <v>0</v>
          </cell>
          <cell r="AL501">
            <v>0</v>
          </cell>
          <cell r="AM501">
            <v>0</v>
          </cell>
        </row>
        <row r="502">
          <cell r="C502" t="str">
            <v/>
          </cell>
          <cell r="D502" t="str">
            <v/>
          </cell>
          <cell r="O502" t="str">
            <v/>
          </cell>
          <cell r="T502" t="str">
            <v/>
          </cell>
          <cell r="U502" t="str">
            <v/>
          </cell>
          <cell r="V502" t="str">
            <v/>
          </cell>
          <cell r="W502" t="str">
            <v/>
          </cell>
          <cell r="Y502" t="str">
            <v/>
          </cell>
          <cell r="AA502" t="str">
            <v/>
          </cell>
          <cell r="AB502">
            <v>0</v>
          </cell>
          <cell r="AC502">
            <v>0</v>
          </cell>
          <cell r="AI502" t="str">
            <v/>
          </cell>
          <cell r="AJ502" t="str">
            <v/>
          </cell>
          <cell r="AK502">
            <v>0</v>
          </cell>
          <cell r="AL502">
            <v>0</v>
          </cell>
          <cell r="AM502">
            <v>0</v>
          </cell>
        </row>
        <row r="503">
          <cell r="C503" t="str">
            <v/>
          </cell>
          <cell r="D503" t="str">
            <v/>
          </cell>
          <cell r="O503" t="str">
            <v/>
          </cell>
          <cell r="T503" t="str">
            <v/>
          </cell>
          <cell r="U503" t="str">
            <v/>
          </cell>
          <cell r="V503" t="str">
            <v/>
          </cell>
          <cell r="W503" t="str">
            <v/>
          </cell>
          <cell r="Y503" t="str">
            <v/>
          </cell>
          <cell r="AA503" t="str">
            <v/>
          </cell>
          <cell r="AB503">
            <v>0</v>
          </cell>
          <cell r="AC503">
            <v>0</v>
          </cell>
          <cell r="AI503" t="str">
            <v/>
          </cell>
          <cell r="AJ503" t="str">
            <v/>
          </cell>
          <cell r="AK503">
            <v>0</v>
          </cell>
          <cell r="AL503">
            <v>0</v>
          </cell>
          <cell r="AM503">
            <v>0</v>
          </cell>
        </row>
        <row r="504">
          <cell r="C504" t="str">
            <v/>
          </cell>
          <cell r="D504" t="str">
            <v/>
          </cell>
          <cell r="O504" t="str">
            <v/>
          </cell>
          <cell r="T504" t="str">
            <v/>
          </cell>
          <cell r="U504" t="str">
            <v/>
          </cell>
          <cell r="V504" t="str">
            <v/>
          </cell>
          <cell r="W504" t="str">
            <v/>
          </cell>
          <cell r="Y504" t="str">
            <v/>
          </cell>
          <cell r="AA504" t="str">
            <v/>
          </cell>
          <cell r="AB504">
            <v>0</v>
          </cell>
          <cell r="AC504">
            <v>0</v>
          </cell>
          <cell r="AI504" t="str">
            <v/>
          </cell>
          <cell r="AJ504" t="str">
            <v/>
          </cell>
          <cell r="AK504">
            <v>0</v>
          </cell>
          <cell r="AL504">
            <v>0</v>
          </cell>
          <cell r="AM504">
            <v>0</v>
          </cell>
        </row>
        <row r="505">
          <cell r="C505" t="str">
            <v/>
          </cell>
          <cell r="D505" t="str">
            <v/>
          </cell>
          <cell r="O505" t="str">
            <v/>
          </cell>
          <cell r="T505" t="str">
            <v/>
          </cell>
          <cell r="U505" t="str">
            <v/>
          </cell>
          <cell r="V505" t="str">
            <v/>
          </cell>
          <cell r="W505" t="str">
            <v/>
          </cell>
          <cell r="Y505" t="str">
            <v/>
          </cell>
          <cell r="AA505" t="str">
            <v/>
          </cell>
          <cell r="AB505">
            <v>0</v>
          </cell>
          <cell r="AC505">
            <v>0</v>
          </cell>
          <cell r="AI505" t="str">
            <v/>
          </cell>
          <cell r="AJ505" t="str">
            <v/>
          </cell>
          <cell r="AK505">
            <v>0</v>
          </cell>
          <cell r="AL505">
            <v>0</v>
          </cell>
          <cell r="AM505">
            <v>0</v>
          </cell>
        </row>
        <row r="506">
          <cell r="C506" t="str">
            <v/>
          </cell>
          <cell r="D506" t="str">
            <v/>
          </cell>
          <cell r="O506" t="str">
            <v/>
          </cell>
          <cell r="T506" t="str">
            <v/>
          </cell>
          <cell r="U506" t="str">
            <v/>
          </cell>
          <cell r="V506" t="str">
            <v/>
          </cell>
          <cell r="W506" t="str">
            <v/>
          </cell>
          <cell r="Y506" t="str">
            <v/>
          </cell>
          <cell r="AA506" t="str">
            <v/>
          </cell>
          <cell r="AB506">
            <v>0</v>
          </cell>
          <cell r="AC506">
            <v>0</v>
          </cell>
          <cell r="AI506" t="str">
            <v/>
          </cell>
          <cell r="AJ506" t="str">
            <v/>
          </cell>
          <cell r="AK506">
            <v>0</v>
          </cell>
          <cell r="AL506">
            <v>0</v>
          </cell>
          <cell r="AM506">
            <v>0</v>
          </cell>
        </row>
        <row r="507">
          <cell r="C507" t="str">
            <v/>
          </cell>
          <cell r="D507" t="str">
            <v/>
          </cell>
          <cell r="O507" t="str">
            <v/>
          </cell>
          <cell r="T507" t="str">
            <v/>
          </cell>
          <cell r="U507" t="str">
            <v/>
          </cell>
          <cell r="V507" t="str">
            <v/>
          </cell>
          <cell r="W507" t="str">
            <v/>
          </cell>
          <cell r="Y507" t="str">
            <v/>
          </cell>
          <cell r="AA507" t="str">
            <v/>
          </cell>
          <cell r="AB507">
            <v>0</v>
          </cell>
          <cell r="AC507">
            <v>0</v>
          </cell>
          <cell r="AI507" t="str">
            <v/>
          </cell>
          <cell r="AJ507" t="str">
            <v/>
          </cell>
          <cell r="AK507">
            <v>0</v>
          </cell>
          <cell r="AL507">
            <v>0</v>
          </cell>
          <cell r="AM507">
            <v>0</v>
          </cell>
        </row>
        <row r="508">
          <cell r="C508" t="str">
            <v/>
          </cell>
          <cell r="D508" t="str">
            <v/>
          </cell>
          <cell r="O508" t="str">
            <v/>
          </cell>
          <cell r="T508" t="str">
            <v/>
          </cell>
          <cell r="U508" t="str">
            <v/>
          </cell>
          <cell r="V508" t="str">
            <v/>
          </cell>
          <cell r="W508" t="str">
            <v/>
          </cell>
          <cell r="Y508" t="str">
            <v/>
          </cell>
          <cell r="AA508" t="str">
            <v/>
          </cell>
          <cell r="AB508">
            <v>0</v>
          </cell>
          <cell r="AC508">
            <v>0</v>
          </cell>
          <cell r="AI508" t="str">
            <v/>
          </cell>
          <cell r="AJ508" t="str">
            <v/>
          </cell>
          <cell r="AK508">
            <v>0</v>
          </cell>
          <cell r="AL508">
            <v>0</v>
          </cell>
          <cell r="AM508">
            <v>0</v>
          </cell>
        </row>
        <row r="509">
          <cell r="C509" t="str">
            <v/>
          </cell>
          <cell r="D509" t="str">
            <v/>
          </cell>
          <cell r="O509" t="str">
            <v/>
          </cell>
          <cell r="T509" t="str">
            <v/>
          </cell>
          <cell r="U509" t="str">
            <v/>
          </cell>
          <cell r="V509" t="str">
            <v/>
          </cell>
          <cell r="W509" t="str">
            <v/>
          </cell>
          <cell r="Y509" t="str">
            <v/>
          </cell>
          <cell r="AA509" t="str">
            <v/>
          </cell>
          <cell r="AB509">
            <v>0</v>
          </cell>
          <cell r="AC509">
            <v>0</v>
          </cell>
          <cell r="AI509" t="str">
            <v/>
          </cell>
          <cell r="AJ509" t="str">
            <v/>
          </cell>
          <cell r="AK509">
            <v>0</v>
          </cell>
          <cell r="AL509">
            <v>0</v>
          </cell>
          <cell r="AM509">
            <v>0</v>
          </cell>
        </row>
        <row r="510">
          <cell r="C510" t="str">
            <v/>
          </cell>
          <cell r="D510" t="str">
            <v/>
          </cell>
          <cell r="O510" t="str">
            <v/>
          </cell>
          <cell r="T510" t="str">
            <v/>
          </cell>
          <cell r="U510" t="str">
            <v/>
          </cell>
          <cell r="V510" t="str">
            <v/>
          </cell>
          <cell r="W510" t="str">
            <v/>
          </cell>
          <cell r="Y510" t="str">
            <v/>
          </cell>
          <cell r="AA510" t="str">
            <v/>
          </cell>
          <cell r="AB510">
            <v>0</v>
          </cell>
          <cell r="AC510">
            <v>0</v>
          </cell>
          <cell r="AI510" t="str">
            <v/>
          </cell>
          <cell r="AJ510" t="str">
            <v/>
          </cell>
          <cell r="AK510">
            <v>0</v>
          </cell>
          <cell r="AL510">
            <v>0</v>
          </cell>
          <cell r="AM510">
            <v>0</v>
          </cell>
        </row>
        <row r="511">
          <cell r="C511" t="str">
            <v/>
          </cell>
          <cell r="D511" t="str">
            <v/>
          </cell>
          <cell r="O511" t="str">
            <v/>
          </cell>
          <cell r="T511" t="str">
            <v/>
          </cell>
          <cell r="U511" t="str">
            <v/>
          </cell>
          <cell r="V511" t="str">
            <v/>
          </cell>
          <cell r="W511" t="str">
            <v/>
          </cell>
          <cell r="Y511" t="str">
            <v/>
          </cell>
          <cell r="AA511" t="str">
            <v/>
          </cell>
          <cell r="AB511">
            <v>0</v>
          </cell>
          <cell r="AC511">
            <v>0</v>
          </cell>
          <cell r="AI511" t="str">
            <v/>
          </cell>
          <cell r="AJ511" t="str">
            <v/>
          </cell>
          <cell r="AK511">
            <v>0</v>
          </cell>
          <cell r="AL511">
            <v>0</v>
          </cell>
          <cell r="AM511">
            <v>0</v>
          </cell>
        </row>
        <row r="512">
          <cell r="C512" t="str">
            <v/>
          </cell>
          <cell r="D512" t="str">
            <v/>
          </cell>
          <cell r="O512" t="str">
            <v/>
          </cell>
          <cell r="T512" t="str">
            <v/>
          </cell>
          <cell r="U512" t="str">
            <v/>
          </cell>
          <cell r="V512" t="str">
            <v/>
          </cell>
          <cell r="W512" t="str">
            <v/>
          </cell>
          <cell r="Y512" t="str">
            <v/>
          </cell>
          <cell r="AA512" t="str">
            <v/>
          </cell>
          <cell r="AB512">
            <v>0</v>
          </cell>
          <cell r="AC512">
            <v>0</v>
          </cell>
          <cell r="AI512" t="str">
            <v/>
          </cell>
          <cell r="AJ512" t="str">
            <v/>
          </cell>
          <cell r="AK512">
            <v>0</v>
          </cell>
          <cell r="AL512">
            <v>0</v>
          </cell>
          <cell r="AM512">
            <v>0</v>
          </cell>
        </row>
        <row r="513">
          <cell r="C513" t="str">
            <v/>
          </cell>
          <cell r="D513" t="str">
            <v/>
          </cell>
          <cell r="O513" t="str">
            <v/>
          </cell>
          <cell r="T513" t="str">
            <v/>
          </cell>
          <cell r="U513" t="str">
            <v/>
          </cell>
          <cell r="V513" t="str">
            <v/>
          </cell>
          <cell r="W513" t="str">
            <v/>
          </cell>
          <cell r="Y513" t="str">
            <v/>
          </cell>
          <cell r="AA513" t="str">
            <v/>
          </cell>
          <cell r="AB513">
            <v>0</v>
          </cell>
          <cell r="AC513">
            <v>0</v>
          </cell>
          <cell r="AI513" t="str">
            <v/>
          </cell>
          <cell r="AJ513" t="str">
            <v/>
          </cell>
          <cell r="AK513">
            <v>0</v>
          </cell>
          <cell r="AL513">
            <v>0</v>
          </cell>
          <cell r="AM513">
            <v>0</v>
          </cell>
        </row>
        <row r="514">
          <cell r="C514" t="str">
            <v/>
          </cell>
          <cell r="D514" t="str">
            <v/>
          </cell>
          <cell r="O514" t="str">
            <v/>
          </cell>
          <cell r="T514" t="str">
            <v/>
          </cell>
          <cell r="U514" t="str">
            <v/>
          </cell>
          <cell r="V514" t="str">
            <v/>
          </cell>
          <cell r="W514" t="str">
            <v/>
          </cell>
          <cell r="Y514" t="str">
            <v/>
          </cell>
          <cell r="AA514" t="str">
            <v/>
          </cell>
          <cell r="AB514">
            <v>0</v>
          </cell>
          <cell r="AC514">
            <v>0</v>
          </cell>
          <cell r="AI514" t="str">
            <v/>
          </cell>
          <cell r="AJ514" t="str">
            <v/>
          </cell>
          <cell r="AK514">
            <v>0</v>
          </cell>
          <cell r="AL514">
            <v>0</v>
          </cell>
          <cell r="AM514">
            <v>0</v>
          </cell>
        </row>
        <row r="515">
          <cell r="C515" t="str">
            <v/>
          </cell>
          <cell r="D515" t="str">
            <v/>
          </cell>
          <cell r="O515" t="str">
            <v/>
          </cell>
          <cell r="T515" t="str">
            <v/>
          </cell>
          <cell r="U515" t="str">
            <v/>
          </cell>
          <cell r="V515" t="str">
            <v/>
          </cell>
          <cell r="W515" t="str">
            <v/>
          </cell>
          <cell r="Y515" t="str">
            <v/>
          </cell>
          <cell r="AA515" t="str">
            <v/>
          </cell>
          <cell r="AB515">
            <v>0</v>
          </cell>
          <cell r="AC515">
            <v>0</v>
          </cell>
          <cell r="AI515" t="str">
            <v/>
          </cell>
          <cell r="AJ515" t="str">
            <v/>
          </cell>
          <cell r="AK515">
            <v>0</v>
          </cell>
          <cell r="AL515">
            <v>0</v>
          </cell>
          <cell r="AM515">
            <v>0</v>
          </cell>
        </row>
        <row r="516">
          <cell r="C516" t="str">
            <v/>
          </cell>
          <cell r="D516" t="str">
            <v/>
          </cell>
          <cell r="O516" t="str">
            <v/>
          </cell>
          <cell r="T516" t="str">
            <v/>
          </cell>
          <cell r="U516" t="str">
            <v/>
          </cell>
          <cell r="V516" t="str">
            <v/>
          </cell>
          <cell r="W516" t="str">
            <v/>
          </cell>
          <cell r="Y516" t="str">
            <v/>
          </cell>
          <cell r="AA516" t="str">
            <v/>
          </cell>
          <cell r="AB516">
            <v>0</v>
          </cell>
          <cell r="AC516">
            <v>0</v>
          </cell>
          <cell r="AI516" t="str">
            <v/>
          </cell>
          <cell r="AJ516" t="str">
            <v/>
          </cell>
          <cell r="AK516">
            <v>0</v>
          </cell>
          <cell r="AL516">
            <v>0</v>
          </cell>
          <cell r="AM516">
            <v>0</v>
          </cell>
        </row>
        <row r="517">
          <cell r="C517" t="str">
            <v/>
          </cell>
          <cell r="D517" t="str">
            <v/>
          </cell>
          <cell r="O517" t="str">
            <v/>
          </cell>
          <cell r="T517" t="str">
            <v/>
          </cell>
          <cell r="U517" t="str">
            <v/>
          </cell>
          <cell r="V517" t="str">
            <v/>
          </cell>
          <cell r="W517" t="str">
            <v/>
          </cell>
          <cell r="Y517" t="str">
            <v/>
          </cell>
          <cell r="AA517" t="str">
            <v/>
          </cell>
          <cell r="AB517">
            <v>0</v>
          </cell>
          <cell r="AC517">
            <v>0</v>
          </cell>
          <cell r="AI517" t="str">
            <v/>
          </cell>
          <cell r="AJ517" t="str">
            <v/>
          </cell>
          <cell r="AK517">
            <v>0</v>
          </cell>
          <cell r="AL517">
            <v>0</v>
          </cell>
          <cell r="AM517">
            <v>0</v>
          </cell>
        </row>
        <row r="518">
          <cell r="C518" t="str">
            <v/>
          </cell>
          <cell r="D518" t="str">
            <v/>
          </cell>
          <cell r="O518" t="str">
            <v/>
          </cell>
          <cell r="T518" t="str">
            <v/>
          </cell>
          <cell r="U518" t="str">
            <v/>
          </cell>
          <cell r="V518" t="str">
            <v/>
          </cell>
          <cell r="W518" t="str">
            <v/>
          </cell>
          <cell r="Y518" t="str">
            <v/>
          </cell>
          <cell r="AA518" t="str">
            <v/>
          </cell>
          <cell r="AB518">
            <v>0</v>
          </cell>
          <cell r="AC518">
            <v>0</v>
          </cell>
          <cell r="AI518" t="str">
            <v/>
          </cell>
          <cell r="AJ518" t="str">
            <v/>
          </cell>
          <cell r="AK518">
            <v>0</v>
          </cell>
          <cell r="AL518">
            <v>0</v>
          </cell>
          <cell r="AM518">
            <v>0</v>
          </cell>
        </row>
        <row r="519">
          <cell r="C519" t="str">
            <v/>
          </cell>
          <cell r="D519" t="str">
            <v/>
          </cell>
          <cell r="O519" t="str">
            <v/>
          </cell>
          <cell r="T519" t="str">
            <v/>
          </cell>
          <cell r="U519" t="str">
            <v/>
          </cell>
          <cell r="V519" t="str">
            <v/>
          </cell>
          <cell r="W519" t="str">
            <v/>
          </cell>
          <cell r="Y519" t="str">
            <v/>
          </cell>
          <cell r="AA519" t="str">
            <v/>
          </cell>
          <cell r="AB519">
            <v>0</v>
          </cell>
          <cell r="AC519">
            <v>0</v>
          </cell>
          <cell r="AI519" t="str">
            <v/>
          </cell>
          <cell r="AJ519" t="str">
            <v/>
          </cell>
          <cell r="AK519">
            <v>0</v>
          </cell>
          <cell r="AL519">
            <v>0</v>
          </cell>
          <cell r="AM519">
            <v>0</v>
          </cell>
        </row>
        <row r="520">
          <cell r="C520" t="str">
            <v/>
          </cell>
          <cell r="D520" t="str">
            <v/>
          </cell>
          <cell r="O520" t="str">
            <v/>
          </cell>
          <cell r="T520" t="str">
            <v/>
          </cell>
          <cell r="U520" t="str">
            <v/>
          </cell>
          <cell r="V520" t="str">
            <v/>
          </cell>
          <cell r="W520" t="str">
            <v/>
          </cell>
          <cell r="Y520" t="str">
            <v/>
          </cell>
          <cell r="AA520" t="str">
            <v/>
          </cell>
          <cell r="AB520">
            <v>0</v>
          </cell>
          <cell r="AC520">
            <v>0</v>
          </cell>
          <cell r="AI520" t="str">
            <v/>
          </cell>
          <cell r="AJ520" t="str">
            <v/>
          </cell>
          <cell r="AK520">
            <v>0</v>
          </cell>
          <cell r="AL520">
            <v>0</v>
          </cell>
          <cell r="AM520">
            <v>0</v>
          </cell>
        </row>
        <row r="521">
          <cell r="C521" t="str">
            <v/>
          </cell>
          <cell r="D521" t="str">
            <v/>
          </cell>
          <cell r="O521" t="str">
            <v/>
          </cell>
          <cell r="T521" t="str">
            <v/>
          </cell>
          <cell r="U521" t="str">
            <v/>
          </cell>
          <cell r="V521" t="str">
            <v/>
          </cell>
          <cell r="W521" t="str">
            <v/>
          </cell>
          <cell r="Y521" t="str">
            <v/>
          </cell>
          <cell r="AA521" t="str">
            <v/>
          </cell>
          <cell r="AB521">
            <v>0</v>
          </cell>
          <cell r="AC521">
            <v>0</v>
          </cell>
          <cell r="AI521" t="str">
            <v/>
          </cell>
          <cell r="AJ521" t="str">
            <v/>
          </cell>
          <cell r="AK521">
            <v>0</v>
          </cell>
          <cell r="AL521">
            <v>0</v>
          </cell>
          <cell r="AM521">
            <v>0</v>
          </cell>
        </row>
        <row r="522">
          <cell r="C522" t="str">
            <v/>
          </cell>
          <cell r="D522" t="str">
            <v/>
          </cell>
          <cell r="O522" t="str">
            <v/>
          </cell>
          <cell r="T522" t="str">
            <v/>
          </cell>
          <cell r="U522" t="str">
            <v/>
          </cell>
          <cell r="V522" t="str">
            <v/>
          </cell>
          <cell r="W522" t="str">
            <v/>
          </cell>
          <cell r="Y522" t="str">
            <v/>
          </cell>
          <cell r="AA522" t="str">
            <v/>
          </cell>
          <cell r="AB522">
            <v>0</v>
          </cell>
          <cell r="AC522">
            <v>0</v>
          </cell>
          <cell r="AI522" t="str">
            <v/>
          </cell>
          <cell r="AJ522" t="str">
            <v/>
          </cell>
          <cell r="AK522">
            <v>0</v>
          </cell>
          <cell r="AL522">
            <v>0</v>
          </cell>
          <cell r="AM522">
            <v>0</v>
          </cell>
        </row>
        <row r="523">
          <cell r="C523" t="str">
            <v/>
          </cell>
          <cell r="D523" t="str">
            <v/>
          </cell>
          <cell r="O523" t="str">
            <v/>
          </cell>
          <cell r="T523" t="str">
            <v/>
          </cell>
          <cell r="U523" t="str">
            <v/>
          </cell>
          <cell r="V523" t="str">
            <v/>
          </cell>
          <cell r="W523" t="str">
            <v/>
          </cell>
          <cell r="Y523" t="str">
            <v/>
          </cell>
          <cell r="AA523" t="str">
            <v/>
          </cell>
          <cell r="AB523">
            <v>0</v>
          </cell>
          <cell r="AC523">
            <v>0</v>
          </cell>
          <cell r="AI523" t="str">
            <v/>
          </cell>
          <cell r="AJ523" t="str">
            <v/>
          </cell>
          <cell r="AK523">
            <v>0</v>
          </cell>
          <cell r="AL523">
            <v>0</v>
          </cell>
          <cell r="AM523">
            <v>0</v>
          </cell>
        </row>
        <row r="524">
          <cell r="C524" t="str">
            <v/>
          </cell>
          <cell r="D524" t="str">
            <v/>
          </cell>
          <cell r="O524" t="str">
            <v/>
          </cell>
          <cell r="T524" t="str">
            <v/>
          </cell>
          <cell r="U524" t="str">
            <v/>
          </cell>
          <cell r="V524" t="str">
            <v/>
          </cell>
          <cell r="W524" t="str">
            <v/>
          </cell>
          <cell r="Y524" t="str">
            <v/>
          </cell>
          <cell r="AA524" t="str">
            <v/>
          </cell>
          <cell r="AB524">
            <v>0</v>
          </cell>
          <cell r="AC524">
            <v>0</v>
          </cell>
          <cell r="AI524" t="str">
            <v/>
          </cell>
          <cell r="AJ524" t="str">
            <v/>
          </cell>
          <cell r="AK524">
            <v>0</v>
          </cell>
          <cell r="AL524">
            <v>0</v>
          </cell>
          <cell r="AM524">
            <v>0</v>
          </cell>
        </row>
        <row r="525">
          <cell r="C525" t="str">
            <v/>
          </cell>
          <cell r="D525" t="str">
            <v/>
          </cell>
          <cell r="O525" t="str">
            <v/>
          </cell>
          <cell r="T525" t="str">
            <v/>
          </cell>
          <cell r="U525" t="str">
            <v/>
          </cell>
          <cell r="V525" t="str">
            <v/>
          </cell>
          <cell r="W525" t="str">
            <v/>
          </cell>
          <cell r="Y525" t="str">
            <v/>
          </cell>
          <cell r="AA525" t="str">
            <v/>
          </cell>
          <cell r="AB525">
            <v>0</v>
          </cell>
          <cell r="AC525">
            <v>0</v>
          </cell>
          <cell r="AI525" t="str">
            <v/>
          </cell>
          <cell r="AJ525" t="str">
            <v/>
          </cell>
          <cell r="AK525">
            <v>0</v>
          </cell>
          <cell r="AL525">
            <v>0</v>
          </cell>
          <cell r="AM525">
            <v>0</v>
          </cell>
        </row>
        <row r="526">
          <cell r="C526" t="str">
            <v/>
          </cell>
          <cell r="D526" t="str">
            <v/>
          </cell>
          <cell r="O526" t="str">
            <v/>
          </cell>
          <cell r="T526" t="str">
            <v/>
          </cell>
          <cell r="U526" t="str">
            <v/>
          </cell>
          <cell r="V526" t="str">
            <v/>
          </cell>
          <cell r="W526" t="str">
            <v/>
          </cell>
          <cell r="Y526" t="str">
            <v/>
          </cell>
          <cell r="AA526" t="str">
            <v/>
          </cell>
          <cell r="AB526">
            <v>0</v>
          </cell>
          <cell r="AC526">
            <v>0</v>
          </cell>
          <cell r="AI526" t="str">
            <v/>
          </cell>
          <cell r="AJ526" t="str">
            <v/>
          </cell>
          <cell r="AK526">
            <v>0</v>
          </cell>
          <cell r="AL526">
            <v>0</v>
          </cell>
          <cell r="AM526">
            <v>0</v>
          </cell>
        </row>
        <row r="527">
          <cell r="C527" t="str">
            <v/>
          </cell>
          <cell r="D527" t="str">
            <v/>
          </cell>
          <cell r="O527" t="str">
            <v/>
          </cell>
          <cell r="T527" t="str">
            <v/>
          </cell>
          <cell r="U527" t="str">
            <v/>
          </cell>
          <cell r="V527" t="str">
            <v/>
          </cell>
          <cell r="W527" t="str">
            <v/>
          </cell>
          <cell r="Y527" t="str">
            <v/>
          </cell>
          <cell r="AA527" t="str">
            <v/>
          </cell>
          <cell r="AB527">
            <v>0</v>
          </cell>
          <cell r="AC527">
            <v>0</v>
          </cell>
          <cell r="AI527" t="str">
            <v/>
          </cell>
          <cell r="AJ527" t="str">
            <v/>
          </cell>
          <cell r="AK527">
            <v>0</v>
          </cell>
          <cell r="AL527">
            <v>0</v>
          </cell>
          <cell r="AM527">
            <v>0</v>
          </cell>
        </row>
        <row r="528">
          <cell r="C528" t="str">
            <v/>
          </cell>
          <cell r="D528" t="str">
            <v/>
          </cell>
          <cell r="O528" t="str">
            <v/>
          </cell>
          <cell r="T528" t="str">
            <v/>
          </cell>
          <cell r="U528" t="str">
            <v/>
          </cell>
          <cell r="V528" t="str">
            <v/>
          </cell>
          <cell r="W528" t="str">
            <v/>
          </cell>
          <cell r="Y528" t="str">
            <v/>
          </cell>
          <cell r="AA528" t="str">
            <v/>
          </cell>
          <cell r="AB528">
            <v>0</v>
          </cell>
          <cell r="AC528">
            <v>0</v>
          </cell>
          <cell r="AI528" t="str">
            <v/>
          </cell>
          <cell r="AJ528" t="str">
            <v/>
          </cell>
          <cell r="AK528">
            <v>0</v>
          </cell>
          <cell r="AL528">
            <v>0</v>
          </cell>
          <cell r="AM528">
            <v>0</v>
          </cell>
        </row>
        <row r="529">
          <cell r="C529" t="str">
            <v/>
          </cell>
          <cell r="D529" t="str">
            <v/>
          </cell>
          <cell r="O529" t="str">
            <v/>
          </cell>
          <cell r="T529" t="str">
            <v/>
          </cell>
          <cell r="U529" t="str">
            <v/>
          </cell>
          <cell r="V529" t="str">
            <v/>
          </cell>
          <cell r="W529" t="str">
            <v/>
          </cell>
          <cell r="Y529" t="str">
            <v/>
          </cell>
          <cell r="AA529" t="str">
            <v/>
          </cell>
          <cell r="AB529">
            <v>0</v>
          </cell>
          <cell r="AC529">
            <v>0</v>
          </cell>
          <cell r="AI529" t="str">
            <v/>
          </cell>
          <cell r="AJ529" t="str">
            <v/>
          </cell>
          <cell r="AK529">
            <v>0</v>
          </cell>
          <cell r="AL529">
            <v>0</v>
          </cell>
          <cell r="AM529">
            <v>0</v>
          </cell>
        </row>
        <row r="530">
          <cell r="C530" t="str">
            <v/>
          </cell>
          <cell r="D530" t="str">
            <v/>
          </cell>
          <cell r="O530" t="str">
            <v/>
          </cell>
          <cell r="T530" t="str">
            <v/>
          </cell>
          <cell r="U530" t="str">
            <v/>
          </cell>
          <cell r="V530" t="str">
            <v/>
          </cell>
          <cell r="W530" t="str">
            <v/>
          </cell>
          <cell r="Y530" t="str">
            <v/>
          </cell>
          <cell r="AA530" t="str">
            <v/>
          </cell>
          <cell r="AB530">
            <v>0</v>
          </cell>
          <cell r="AC530">
            <v>0</v>
          </cell>
          <cell r="AI530" t="str">
            <v/>
          </cell>
          <cell r="AJ530" t="str">
            <v/>
          </cell>
          <cell r="AK530">
            <v>0</v>
          </cell>
          <cell r="AL530">
            <v>0</v>
          </cell>
          <cell r="AM530">
            <v>0</v>
          </cell>
        </row>
        <row r="531">
          <cell r="C531" t="str">
            <v/>
          </cell>
          <cell r="D531" t="str">
            <v/>
          </cell>
          <cell r="O531" t="str">
            <v/>
          </cell>
          <cell r="T531" t="str">
            <v/>
          </cell>
          <cell r="U531" t="str">
            <v/>
          </cell>
          <cell r="V531" t="str">
            <v/>
          </cell>
          <cell r="W531" t="str">
            <v/>
          </cell>
          <cell r="Y531" t="str">
            <v/>
          </cell>
          <cell r="AA531" t="str">
            <v/>
          </cell>
          <cell r="AB531">
            <v>0</v>
          </cell>
          <cell r="AC531">
            <v>0</v>
          </cell>
          <cell r="AI531" t="str">
            <v/>
          </cell>
          <cell r="AJ531" t="str">
            <v/>
          </cell>
          <cell r="AK531">
            <v>0</v>
          </cell>
          <cell r="AL531">
            <v>0</v>
          </cell>
          <cell r="AM531">
            <v>0</v>
          </cell>
        </row>
        <row r="532">
          <cell r="C532" t="str">
            <v/>
          </cell>
          <cell r="D532" t="str">
            <v/>
          </cell>
          <cell r="O532" t="str">
            <v/>
          </cell>
          <cell r="T532" t="str">
            <v/>
          </cell>
          <cell r="U532" t="str">
            <v/>
          </cell>
          <cell r="V532" t="str">
            <v/>
          </cell>
          <cell r="W532" t="str">
            <v/>
          </cell>
          <cell r="Y532" t="str">
            <v/>
          </cell>
          <cell r="AA532" t="str">
            <v/>
          </cell>
          <cell r="AB532">
            <v>0</v>
          </cell>
          <cell r="AC532">
            <v>0</v>
          </cell>
          <cell r="AI532" t="str">
            <v/>
          </cell>
          <cell r="AJ532" t="str">
            <v/>
          </cell>
          <cell r="AK532">
            <v>0</v>
          </cell>
          <cell r="AL532">
            <v>0</v>
          </cell>
          <cell r="AM532">
            <v>0</v>
          </cell>
        </row>
        <row r="533">
          <cell r="C533" t="str">
            <v/>
          </cell>
          <cell r="D533" t="str">
            <v/>
          </cell>
          <cell r="O533" t="str">
            <v/>
          </cell>
          <cell r="T533" t="str">
            <v/>
          </cell>
          <cell r="U533" t="str">
            <v/>
          </cell>
          <cell r="V533" t="str">
            <v/>
          </cell>
          <cell r="W533" t="str">
            <v/>
          </cell>
          <cell r="Y533" t="str">
            <v/>
          </cell>
          <cell r="AA533" t="str">
            <v/>
          </cell>
          <cell r="AB533">
            <v>0</v>
          </cell>
          <cell r="AC533">
            <v>0</v>
          </cell>
          <cell r="AI533" t="str">
            <v/>
          </cell>
          <cell r="AJ533" t="str">
            <v/>
          </cell>
          <cell r="AK533">
            <v>0</v>
          </cell>
          <cell r="AL533">
            <v>0</v>
          </cell>
          <cell r="AM533">
            <v>0</v>
          </cell>
        </row>
        <row r="534">
          <cell r="C534" t="str">
            <v/>
          </cell>
          <cell r="D534" t="str">
            <v/>
          </cell>
          <cell r="O534" t="str">
            <v/>
          </cell>
          <cell r="T534" t="str">
            <v/>
          </cell>
          <cell r="U534" t="str">
            <v/>
          </cell>
          <cell r="V534" t="str">
            <v/>
          </cell>
          <cell r="W534" t="str">
            <v/>
          </cell>
          <cell r="Y534" t="str">
            <v/>
          </cell>
          <cell r="AA534" t="str">
            <v/>
          </cell>
          <cell r="AB534">
            <v>0</v>
          </cell>
          <cell r="AC534">
            <v>0</v>
          </cell>
          <cell r="AI534" t="str">
            <v/>
          </cell>
          <cell r="AJ534" t="str">
            <v/>
          </cell>
          <cell r="AK534">
            <v>0</v>
          </cell>
          <cell r="AL534">
            <v>0</v>
          </cell>
          <cell r="AM534">
            <v>0</v>
          </cell>
        </row>
        <row r="535">
          <cell r="C535" t="str">
            <v/>
          </cell>
          <cell r="D535" t="str">
            <v/>
          </cell>
          <cell r="O535" t="str">
            <v/>
          </cell>
          <cell r="T535" t="str">
            <v/>
          </cell>
          <cell r="U535" t="str">
            <v/>
          </cell>
          <cell r="V535" t="str">
            <v/>
          </cell>
          <cell r="W535" t="str">
            <v/>
          </cell>
          <cell r="Y535" t="str">
            <v/>
          </cell>
          <cell r="AA535" t="str">
            <v/>
          </cell>
          <cell r="AB535">
            <v>0</v>
          </cell>
          <cell r="AC535">
            <v>0</v>
          </cell>
          <cell r="AI535" t="str">
            <v/>
          </cell>
          <cell r="AJ535" t="str">
            <v/>
          </cell>
          <cell r="AK535">
            <v>0</v>
          </cell>
          <cell r="AL535">
            <v>0</v>
          </cell>
          <cell r="AM535">
            <v>0</v>
          </cell>
        </row>
        <row r="536">
          <cell r="C536" t="str">
            <v/>
          </cell>
          <cell r="D536" t="str">
            <v/>
          </cell>
          <cell r="O536" t="str">
            <v/>
          </cell>
          <cell r="T536" t="str">
            <v/>
          </cell>
          <cell r="U536" t="str">
            <v/>
          </cell>
          <cell r="V536" t="str">
            <v/>
          </cell>
          <cell r="W536" t="str">
            <v/>
          </cell>
          <cell r="Y536" t="str">
            <v/>
          </cell>
          <cell r="AA536" t="str">
            <v/>
          </cell>
          <cell r="AB536">
            <v>0</v>
          </cell>
          <cell r="AC536">
            <v>0</v>
          </cell>
          <cell r="AI536" t="str">
            <v/>
          </cell>
          <cell r="AJ536" t="str">
            <v/>
          </cell>
          <cell r="AK536">
            <v>0</v>
          </cell>
          <cell r="AL536">
            <v>0</v>
          </cell>
          <cell r="AM536">
            <v>0</v>
          </cell>
        </row>
        <row r="537">
          <cell r="C537" t="str">
            <v/>
          </cell>
          <cell r="D537" t="str">
            <v/>
          </cell>
          <cell r="O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/>
          </cell>
          <cell r="Y537" t="str">
            <v/>
          </cell>
          <cell r="AA537" t="str">
            <v/>
          </cell>
          <cell r="AB537">
            <v>0</v>
          </cell>
          <cell r="AC537">
            <v>0</v>
          </cell>
          <cell r="AI537" t="str">
            <v/>
          </cell>
          <cell r="AJ537" t="str">
            <v/>
          </cell>
          <cell r="AK537">
            <v>0</v>
          </cell>
          <cell r="AL537">
            <v>0</v>
          </cell>
          <cell r="AM537">
            <v>0</v>
          </cell>
        </row>
        <row r="538">
          <cell r="C538" t="str">
            <v/>
          </cell>
          <cell r="D538" t="str">
            <v/>
          </cell>
          <cell r="O538" t="str">
            <v/>
          </cell>
          <cell r="T538" t="str">
            <v/>
          </cell>
          <cell r="U538" t="str">
            <v/>
          </cell>
          <cell r="V538" t="str">
            <v/>
          </cell>
          <cell r="W538" t="str">
            <v/>
          </cell>
          <cell r="Y538" t="str">
            <v/>
          </cell>
          <cell r="AA538" t="str">
            <v/>
          </cell>
          <cell r="AB538">
            <v>0</v>
          </cell>
          <cell r="AC538">
            <v>0</v>
          </cell>
          <cell r="AI538" t="str">
            <v/>
          </cell>
          <cell r="AJ538" t="str">
            <v/>
          </cell>
          <cell r="AK538">
            <v>0</v>
          </cell>
          <cell r="AL538">
            <v>0</v>
          </cell>
          <cell r="AM538">
            <v>0</v>
          </cell>
        </row>
        <row r="539">
          <cell r="C539" t="str">
            <v/>
          </cell>
          <cell r="D539" t="str">
            <v/>
          </cell>
          <cell r="O539" t="str">
            <v/>
          </cell>
          <cell r="T539" t="str">
            <v/>
          </cell>
          <cell r="U539" t="str">
            <v/>
          </cell>
          <cell r="V539" t="str">
            <v/>
          </cell>
          <cell r="W539" t="str">
            <v/>
          </cell>
          <cell r="Y539" t="str">
            <v/>
          </cell>
          <cell r="AA539" t="str">
            <v/>
          </cell>
          <cell r="AB539">
            <v>0</v>
          </cell>
          <cell r="AC539">
            <v>0</v>
          </cell>
          <cell r="AI539" t="str">
            <v/>
          </cell>
          <cell r="AJ539" t="str">
            <v/>
          </cell>
          <cell r="AK539">
            <v>0</v>
          </cell>
          <cell r="AL539">
            <v>0</v>
          </cell>
          <cell r="AM539">
            <v>0</v>
          </cell>
        </row>
        <row r="540">
          <cell r="C540" t="str">
            <v/>
          </cell>
          <cell r="D540" t="str">
            <v/>
          </cell>
          <cell r="O540" t="str">
            <v/>
          </cell>
          <cell r="T540" t="str">
            <v/>
          </cell>
          <cell r="U540" t="str">
            <v/>
          </cell>
          <cell r="V540" t="str">
            <v/>
          </cell>
          <cell r="W540" t="str">
            <v/>
          </cell>
          <cell r="Y540" t="str">
            <v/>
          </cell>
          <cell r="AA540" t="str">
            <v/>
          </cell>
          <cell r="AB540">
            <v>0</v>
          </cell>
          <cell r="AC540">
            <v>0</v>
          </cell>
          <cell r="AI540" t="str">
            <v/>
          </cell>
          <cell r="AJ540" t="str">
            <v/>
          </cell>
          <cell r="AK540">
            <v>0</v>
          </cell>
          <cell r="AL540">
            <v>0</v>
          </cell>
          <cell r="AM540">
            <v>0</v>
          </cell>
        </row>
        <row r="541">
          <cell r="C541" t="str">
            <v/>
          </cell>
          <cell r="D541" t="str">
            <v/>
          </cell>
          <cell r="O541" t="str">
            <v/>
          </cell>
          <cell r="T541" t="str">
            <v/>
          </cell>
          <cell r="U541" t="str">
            <v/>
          </cell>
          <cell r="V541" t="str">
            <v/>
          </cell>
          <cell r="W541" t="str">
            <v/>
          </cell>
          <cell r="Y541" t="str">
            <v/>
          </cell>
          <cell r="AA541" t="str">
            <v/>
          </cell>
          <cell r="AB541">
            <v>0</v>
          </cell>
          <cell r="AC541">
            <v>0</v>
          </cell>
          <cell r="AI541" t="str">
            <v/>
          </cell>
          <cell r="AJ541" t="str">
            <v/>
          </cell>
          <cell r="AK541">
            <v>0</v>
          </cell>
          <cell r="AL541">
            <v>0</v>
          </cell>
          <cell r="AM541">
            <v>0</v>
          </cell>
        </row>
        <row r="542">
          <cell r="C542" t="str">
            <v/>
          </cell>
          <cell r="D542" t="str">
            <v/>
          </cell>
          <cell r="O542" t="str">
            <v/>
          </cell>
          <cell r="T542" t="str">
            <v/>
          </cell>
          <cell r="U542" t="str">
            <v/>
          </cell>
          <cell r="V542" t="str">
            <v/>
          </cell>
          <cell r="W542" t="str">
            <v/>
          </cell>
          <cell r="Y542" t="str">
            <v/>
          </cell>
          <cell r="AA542" t="str">
            <v/>
          </cell>
          <cell r="AB542">
            <v>0</v>
          </cell>
          <cell r="AC542">
            <v>0</v>
          </cell>
          <cell r="AI542" t="str">
            <v/>
          </cell>
          <cell r="AJ542" t="str">
            <v/>
          </cell>
          <cell r="AK542">
            <v>0</v>
          </cell>
          <cell r="AL542">
            <v>0</v>
          </cell>
          <cell r="AM542">
            <v>0</v>
          </cell>
        </row>
        <row r="543">
          <cell r="C543" t="str">
            <v/>
          </cell>
          <cell r="D543" t="str">
            <v/>
          </cell>
          <cell r="O543" t="str">
            <v/>
          </cell>
          <cell r="T543" t="str">
            <v/>
          </cell>
          <cell r="U543" t="str">
            <v/>
          </cell>
          <cell r="V543" t="str">
            <v/>
          </cell>
          <cell r="W543" t="str">
            <v/>
          </cell>
          <cell r="Y543" t="str">
            <v/>
          </cell>
          <cell r="AA543" t="str">
            <v/>
          </cell>
          <cell r="AB543">
            <v>0</v>
          </cell>
          <cell r="AC543">
            <v>0</v>
          </cell>
          <cell r="AI543" t="str">
            <v/>
          </cell>
          <cell r="AJ543" t="str">
            <v/>
          </cell>
          <cell r="AK543">
            <v>0</v>
          </cell>
          <cell r="AL543">
            <v>0</v>
          </cell>
          <cell r="AM543">
            <v>0</v>
          </cell>
        </row>
        <row r="544">
          <cell r="C544" t="str">
            <v/>
          </cell>
          <cell r="D544" t="str">
            <v/>
          </cell>
          <cell r="O544" t="str">
            <v/>
          </cell>
          <cell r="T544" t="str">
            <v/>
          </cell>
          <cell r="U544" t="str">
            <v/>
          </cell>
          <cell r="V544" t="str">
            <v/>
          </cell>
          <cell r="W544" t="str">
            <v/>
          </cell>
          <cell r="Y544" t="str">
            <v/>
          </cell>
          <cell r="AA544" t="str">
            <v/>
          </cell>
          <cell r="AB544">
            <v>0</v>
          </cell>
          <cell r="AC544">
            <v>0</v>
          </cell>
          <cell r="AI544" t="str">
            <v/>
          </cell>
          <cell r="AJ544" t="str">
            <v/>
          </cell>
          <cell r="AK544">
            <v>0</v>
          </cell>
          <cell r="AL544">
            <v>0</v>
          </cell>
          <cell r="AM544">
            <v>0</v>
          </cell>
        </row>
        <row r="545">
          <cell r="C545" t="str">
            <v/>
          </cell>
          <cell r="D545" t="str">
            <v/>
          </cell>
          <cell r="O545" t="str">
            <v/>
          </cell>
          <cell r="T545" t="str">
            <v/>
          </cell>
          <cell r="U545" t="str">
            <v/>
          </cell>
          <cell r="V545" t="str">
            <v/>
          </cell>
          <cell r="W545" t="str">
            <v/>
          </cell>
          <cell r="Y545" t="str">
            <v/>
          </cell>
          <cell r="AA545" t="str">
            <v/>
          </cell>
          <cell r="AB545">
            <v>0</v>
          </cell>
          <cell r="AC545">
            <v>0</v>
          </cell>
          <cell r="AI545" t="str">
            <v/>
          </cell>
          <cell r="AJ545" t="str">
            <v/>
          </cell>
          <cell r="AK545">
            <v>0</v>
          </cell>
          <cell r="AL545">
            <v>0</v>
          </cell>
          <cell r="AM545">
            <v>0</v>
          </cell>
        </row>
        <row r="546">
          <cell r="C546" t="str">
            <v/>
          </cell>
          <cell r="D546" t="str">
            <v/>
          </cell>
          <cell r="O546" t="str">
            <v/>
          </cell>
          <cell r="T546" t="str">
            <v/>
          </cell>
          <cell r="U546" t="str">
            <v/>
          </cell>
          <cell r="V546" t="str">
            <v/>
          </cell>
          <cell r="W546" t="str">
            <v/>
          </cell>
          <cell r="Y546" t="str">
            <v/>
          </cell>
          <cell r="AA546" t="str">
            <v/>
          </cell>
          <cell r="AB546">
            <v>0</v>
          </cell>
          <cell r="AC546">
            <v>0</v>
          </cell>
          <cell r="AI546" t="str">
            <v/>
          </cell>
          <cell r="AJ546" t="str">
            <v/>
          </cell>
          <cell r="AK546">
            <v>0</v>
          </cell>
          <cell r="AL546">
            <v>0</v>
          </cell>
          <cell r="AM546">
            <v>0</v>
          </cell>
        </row>
        <row r="547">
          <cell r="C547" t="str">
            <v/>
          </cell>
          <cell r="D547" t="str">
            <v/>
          </cell>
          <cell r="O547" t="str">
            <v/>
          </cell>
          <cell r="T547" t="str">
            <v/>
          </cell>
          <cell r="U547" t="str">
            <v/>
          </cell>
          <cell r="V547" t="str">
            <v/>
          </cell>
          <cell r="W547" t="str">
            <v/>
          </cell>
          <cell r="Y547" t="str">
            <v/>
          </cell>
          <cell r="AA547" t="str">
            <v/>
          </cell>
          <cell r="AB547">
            <v>0</v>
          </cell>
          <cell r="AC547">
            <v>0</v>
          </cell>
          <cell r="AI547" t="str">
            <v/>
          </cell>
          <cell r="AJ547" t="str">
            <v/>
          </cell>
          <cell r="AK547">
            <v>0</v>
          </cell>
          <cell r="AL547">
            <v>0</v>
          </cell>
          <cell r="AM547">
            <v>0</v>
          </cell>
        </row>
        <row r="548">
          <cell r="C548" t="str">
            <v/>
          </cell>
          <cell r="D548" t="str">
            <v/>
          </cell>
          <cell r="O548" t="str">
            <v/>
          </cell>
          <cell r="T548" t="str">
            <v/>
          </cell>
          <cell r="U548" t="str">
            <v/>
          </cell>
          <cell r="V548" t="str">
            <v/>
          </cell>
          <cell r="W548" t="str">
            <v/>
          </cell>
          <cell r="Y548" t="str">
            <v/>
          </cell>
          <cell r="AA548" t="str">
            <v/>
          </cell>
          <cell r="AB548">
            <v>0</v>
          </cell>
          <cell r="AC548">
            <v>0</v>
          </cell>
          <cell r="AI548" t="str">
            <v/>
          </cell>
          <cell r="AJ548" t="str">
            <v/>
          </cell>
          <cell r="AK548">
            <v>0</v>
          </cell>
          <cell r="AL548">
            <v>0</v>
          </cell>
          <cell r="AM548">
            <v>0</v>
          </cell>
        </row>
        <row r="549">
          <cell r="C549" t="str">
            <v/>
          </cell>
          <cell r="D549" t="str">
            <v/>
          </cell>
          <cell r="O549" t="str">
            <v/>
          </cell>
          <cell r="T549" t="str">
            <v/>
          </cell>
          <cell r="U549" t="str">
            <v/>
          </cell>
          <cell r="V549" t="str">
            <v/>
          </cell>
          <cell r="W549" t="str">
            <v/>
          </cell>
          <cell r="Y549" t="str">
            <v/>
          </cell>
          <cell r="AA549" t="str">
            <v/>
          </cell>
          <cell r="AB549">
            <v>0</v>
          </cell>
          <cell r="AC549">
            <v>0</v>
          </cell>
          <cell r="AI549" t="str">
            <v/>
          </cell>
          <cell r="AJ549" t="str">
            <v/>
          </cell>
          <cell r="AK549">
            <v>0</v>
          </cell>
          <cell r="AL549">
            <v>0</v>
          </cell>
          <cell r="AM549">
            <v>0</v>
          </cell>
        </row>
        <row r="550">
          <cell r="C550" t="str">
            <v/>
          </cell>
          <cell r="D550" t="str">
            <v/>
          </cell>
          <cell r="O550" t="str">
            <v/>
          </cell>
          <cell r="T550" t="str">
            <v/>
          </cell>
          <cell r="U550" t="str">
            <v/>
          </cell>
          <cell r="V550" t="str">
            <v/>
          </cell>
          <cell r="W550" t="str">
            <v/>
          </cell>
          <cell r="Y550" t="str">
            <v/>
          </cell>
          <cell r="AA550" t="str">
            <v/>
          </cell>
          <cell r="AB550">
            <v>0</v>
          </cell>
          <cell r="AC550">
            <v>0</v>
          </cell>
          <cell r="AI550" t="str">
            <v/>
          </cell>
          <cell r="AJ550" t="str">
            <v/>
          </cell>
          <cell r="AK550">
            <v>0</v>
          </cell>
          <cell r="AL550">
            <v>0</v>
          </cell>
          <cell r="AM550">
            <v>0</v>
          </cell>
        </row>
        <row r="551">
          <cell r="C551" t="str">
            <v/>
          </cell>
          <cell r="D551" t="str">
            <v/>
          </cell>
          <cell r="O551" t="str">
            <v/>
          </cell>
          <cell r="T551" t="str">
            <v/>
          </cell>
          <cell r="U551" t="str">
            <v/>
          </cell>
          <cell r="V551" t="str">
            <v/>
          </cell>
          <cell r="W551" t="str">
            <v/>
          </cell>
          <cell r="Y551" t="str">
            <v/>
          </cell>
          <cell r="AA551" t="str">
            <v/>
          </cell>
          <cell r="AB551">
            <v>0</v>
          </cell>
          <cell r="AC551">
            <v>0</v>
          </cell>
          <cell r="AI551" t="str">
            <v/>
          </cell>
          <cell r="AJ551" t="str">
            <v/>
          </cell>
          <cell r="AK551">
            <v>0</v>
          </cell>
          <cell r="AL551">
            <v>0</v>
          </cell>
          <cell r="AM551">
            <v>0</v>
          </cell>
        </row>
        <row r="552">
          <cell r="C552" t="str">
            <v/>
          </cell>
          <cell r="D552" t="str">
            <v/>
          </cell>
          <cell r="O552" t="str">
            <v/>
          </cell>
          <cell r="T552" t="str">
            <v/>
          </cell>
          <cell r="U552" t="str">
            <v/>
          </cell>
          <cell r="V552" t="str">
            <v/>
          </cell>
          <cell r="W552" t="str">
            <v/>
          </cell>
          <cell r="Y552" t="str">
            <v/>
          </cell>
          <cell r="AA552" t="str">
            <v/>
          </cell>
          <cell r="AB552">
            <v>0</v>
          </cell>
          <cell r="AC552">
            <v>0</v>
          </cell>
          <cell r="AI552" t="str">
            <v/>
          </cell>
          <cell r="AJ552" t="str">
            <v/>
          </cell>
          <cell r="AK552">
            <v>0</v>
          </cell>
          <cell r="AL552">
            <v>0</v>
          </cell>
          <cell r="AM552">
            <v>0</v>
          </cell>
        </row>
        <row r="553">
          <cell r="C553" t="str">
            <v/>
          </cell>
          <cell r="D553" t="str">
            <v/>
          </cell>
          <cell r="O553" t="str">
            <v/>
          </cell>
          <cell r="T553" t="str">
            <v/>
          </cell>
          <cell r="U553" t="str">
            <v/>
          </cell>
          <cell r="V553" t="str">
            <v/>
          </cell>
          <cell r="W553" t="str">
            <v/>
          </cell>
          <cell r="Y553" t="str">
            <v/>
          </cell>
          <cell r="AA553" t="str">
            <v/>
          </cell>
          <cell r="AB553">
            <v>0</v>
          </cell>
          <cell r="AC553">
            <v>0</v>
          </cell>
          <cell r="AI553" t="str">
            <v/>
          </cell>
          <cell r="AJ553" t="str">
            <v/>
          </cell>
          <cell r="AK553">
            <v>0</v>
          </cell>
          <cell r="AL553">
            <v>0</v>
          </cell>
          <cell r="AM553">
            <v>0</v>
          </cell>
        </row>
        <row r="554">
          <cell r="C554" t="str">
            <v/>
          </cell>
          <cell r="D554" t="str">
            <v/>
          </cell>
          <cell r="O554" t="str">
            <v/>
          </cell>
          <cell r="T554" t="str">
            <v/>
          </cell>
          <cell r="U554" t="str">
            <v/>
          </cell>
          <cell r="V554" t="str">
            <v/>
          </cell>
          <cell r="W554" t="str">
            <v/>
          </cell>
          <cell r="Y554" t="str">
            <v/>
          </cell>
          <cell r="AA554" t="str">
            <v/>
          </cell>
          <cell r="AB554">
            <v>0</v>
          </cell>
          <cell r="AC554">
            <v>0</v>
          </cell>
          <cell r="AI554" t="str">
            <v/>
          </cell>
          <cell r="AJ554" t="str">
            <v/>
          </cell>
          <cell r="AK554">
            <v>0</v>
          </cell>
          <cell r="AL554">
            <v>0</v>
          </cell>
          <cell r="AM554">
            <v>0</v>
          </cell>
        </row>
        <row r="555">
          <cell r="C555" t="str">
            <v/>
          </cell>
          <cell r="D555" t="str">
            <v/>
          </cell>
          <cell r="O555" t="str">
            <v/>
          </cell>
          <cell r="T555" t="str">
            <v/>
          </cell>
          <cell r="U555" t="str">
            <v/>
          </cell>
          <cell r="V555" t="str">
            <v/>
          </cell>
          <cell r="W555" t="str">
            <v/>
          </cell>
          <cell r="Y555" t="str">
            <v/>
          </cell>
          <cell r="AA555" t="str">
            <v/>
          </cell>
          <cell r="AB555">
            <v>0</v>
          </cell>
          <cell r="AC555">
            <v>0</v>
          </cell>
          <cell r="AI555" t="str">
            <v/>
          </cell>
          <cell r="AJ555" t="str">
            <v/>
          </cell>
          <cell r="AK555">
            <v>0</v>
          </cell>
          <cell r="AL555">
            <v>0</v>
          </cell>
          <cell r="AM555">
            <v>0</v>
          </cell>
        </row>
        <row r="556">
          <cell r="C556" t="str">
            <v/>
          </cell>
          <cell r="D556" t="str">
            <v/>
          </cell>
          <cell r="O556" t="str">
            <v/>
          </cell>
          <cell r="T556" t="str">
            <v/>
          </cell>
          <cell r="U556" t="str">
            <v/>
          </cell>
          <cell r="V556" t="str">
            <v/>
          </cell>
          <cell r="W556" t="str">
            <v/>
          </cell>
          <cell r="Y556" t="str">
            <v/>
          </cell>
          <cell r="AA556" t="str">
            <v/>
          </cell>
          <cell r="AB556">
            <v>0</v>
          </cell>
          <cell r="AC556">
            <v>0</v>
          </cell>
          <cell r="AI556" t="str">
            <v/>
          </cell>
          <cell r="AJ556" t="str">
            <v/>
          </cell>
          <cell r="AK556">
            <v>0</v>
          </cell>
          <cell r="AL556">
            <v>0</v>
          </cell>
          <cell r="AM556">
            <v>0</v>
          </cell>
        </row>
        <row r="557">
          <cell r="C557" t="str">
            <v/>
          </cell>
          <cell r="D557" t="str">
            <v/>
          </cell>
          <cell r="O557" t="str">
            <v/>
          </cell>
          <cell r="T557" t="str">
            <v/>
          </cell>
          <cell r="U557" t="str">
            <v/>
          </cell>
          <cell r="V557" t="str">
            <v/>
          </cell>
          <cell r="W557" t="str">
            <v/>
          </cell>
          <cell r="Y557" t="str">
            <v/>
          </cell>
          <cell r="AA557" t="str">
            <v/>
          </cell>
          <cell r="AB557">
            <v>0</v>
          </cell>
          <cell r="AC557">
            <v>0</v>
          </cell>
          <cell r="AI557" t="str">
            <v/>
          </cell>
          <cell r="AJ557" t="str">
            <v/>
          </cell>
          <cell r="AK557">
            <v>0</v>
          </cell>
          <cell r="AL557">
            <v>0</v>
          </cell>
          <cell r="AM557">
            <v>0</v>
          </cell>
        </row>
        <row r="558">
          <cell r="C558" t="str">
            <v/>
          </cell>
          <cell r="D558" t="str">
            <v/>
          </cell>
          <cell r="O558" t="str">
            <v/>
          </cell>
          <cell r="T558" t="str">
            <v/>
          </cell>
          <cell r="U558" t="str">
            <v/>
          </cell>
          <cell r="V558" t="str">
            <v/>
          </cell>
          <cell r="W558" t="str">
            <v/>
          </cell>
          <cell r="Y558" t="str">
            <v/>
          </cell>
          <cell r="AA558" t="str">
            <v/>
          </cell>
          <cell r="AB558">
            <v>0</v>
          </cell>
          <cell r="AC558">
            <v>0</v>
          </cell>
          <cell r="AI558" t="str">
            <v/>
          </cell>
          <cell r="AJ558" t="str">
            <v/>
          </cell>
          <cell r="AK558">
            <v>0</v>
          </cell>
          <cell r="AL558">
            <v>0</v>
          </cell>
          <cell r="AM558">
            <v>0</v>
          </cell>
        </row>
        <row r="559">
          <cell r="C559" t="str">
            <v/>
          </cell>
          <cell r="D559" t="str">
            <v/>
          </cell>
          <cell r="O559" t="str">
            <v/>
          </cell>
          <cell r="T559" t="str">
            <v/>
          </cell>
          <cell r="U559" t="str">
            <v/>
          </cell>
          <cell r="V559" t="str">
            <v/>
          </cell>
          <cell r="W559" t="str">
            <v/>
          </cell>
          <cell r="Y559" t="str">
            <v/>
          </cell>
          <cell r="AA559" t="str">
            <v/>
          </cell>
          <cell r="AB559">
            <v>0</v>
          </cell>
          <cell r="AC559">
            <v>0</v>
          </cell>
          <cell r="AI559" t="str">
            <v/>
          </cell>
          <cell r="AJ559" t="str">
            <v/>
          </cell>
          <cell r="AK559">
            <v>0</v>
          </cell>
          <cell r="AL559">
            <v>0</v>
          </cell>
          <cell r="AM559">
            <v>0</v>
          </cell>
        </row>
        <row r="560">
          <cell r="C560" t="str">
            <v/>
          </cell>
          <cell r="D560" t="str">
            <v/>
          </cell>
          <cell r="O560" t="str">
            <v/>
          </cell>
          <cell r="T560" t="str">
            <v/>
          </cell>
          <cell r="U560" t="str">
            <v/>
          </cell>
          <cell r="V560" t="str">
            <v/>
          </cell>
          <cell r="W560" t="str">
            <v/>
          </cell>
          <cell r="Y560" t="str">
            <v/>
          </cell>
          <cell r="AA560" t="str">
            <v/>
          </cell>
          <cell r="AB560">
            <v>0</v>
          </cell>
          <cell r="AC560">
            <v>0</v>
          </cell>
          <cell r="AI560" t="str">
            <v/>
          </cell>
          <cell r="AJ560" t="str">
            <v/>
          </cell>
          <cell r="AK560">
            <v>0</v>
          </cell>
          <cell r="AL560">
            <v>0</v>
          </cell>
          <cell r="AM560">
            <v>0</v>
          </cell>
        </row>
        <row r="561">
          <cell r="C561" t="str">
            <v/>
          </cell>
          <cell r="D561" t="str">
            <v/>
          </cell>
          <cell r="O561" t="str">
            <v/>
          </cell>
          <cell r="T561" t="str">
            <v/>
          </cell>
          <cell r="U561" t="str">
            <v/>
          </cell>
          <cell r="V561" t="str">
            <v/>
          </cell>
          <cell r="W561" t="str">
            <v/>
          </cell>
          <cell r="Y561" t="str">
            <v/>
          </cell>
          <cell r="AA561" t="str">
            <v/>
          </cell>
          <cell r="AB561">
            <v>0</v>
          </cell>
          <cell r="AC561">
            <v>0</v>
          </cell>
          <cell r="AI561" t="str">
            <v/>
          </cell>
          <cell r="AJ561" t="str">
            <v/>
          </cell>
          <cell r="AK561">
            <v>0</v>
          </cell>
          <cell r="AL561">
            <v>0</v>
          </cell>
          <cell r="AM561">
            <v>0</v>
          </cell>
        </row>
        <row r="562">
          <cell r="C562" t="str">
            <v/>
          </cell>
          <cell r="D562" t="str">
            <v/>
          </cell>
          <cell r="O562" t="str">
            <v/>
          </cell>
          <cell r="T562" t="str">
            <v/>
          </cell>
          <cell r="U562" t="str">
            <v/>
          </cell>
          <cell r="V562" t="str">
            <v/>
          </cell>
          <cell r="W562" t="str">
            <v/>
          </cell>
          <cell r="Y562" t="str">
            <v/>
          </cell>
          <cell r="AA562" t="str">
            <v/>
          </cell>
          <cell r="AB562">
            <v>0</v>
          </cell>
          <cell r="AC562">
            <v>0</v>
          </cell>
          <cell r="AI562" t="str">
            <v/>
          </cell>
          <cell r="AJ562" t="str">
            <v/>
          </cell>
          <cell r="AK562">
            <v>0</v>
          </cell>
          <cell r="AL562">
            <v>0</v>
          </cell>
          <cell r="AM562">
            <v>0</v>
          </cell>
        </row>
        <row r="563">
          <cell r="C563" t="str">
            <v/>
          </cell>
          <cell r="D563" t="str">
            <v/>
          </cell>
          <cell r="O563" t="str">
            <v/>
          </cell>
          <cell r="T563" t="str">
            <v/>
          </cell>
          <cell r="U563" t="str">
            <v/>
          </cell>
          <cell r="V563" t="str">
            <v/>
          </cell>
          <cell r="W563" t="str">
            <v/>
          </cell>
          <cell r="Y563" t="str">
            <v/>
          </cell>
          <cell r="AA563" t="str">
            <v/>
          </cell>
          <cell r="AB563">
            <v>0</v>
          </cell>
          <cell r="AC563">
            <v>0</v>
          </cell>
          <cell r="AI563" t="str">
            <v/>
          </cell>
          <cell r="AJ563" t="str">
            <v/>
          </cell>
          <cell r="AK563">
            <v>0</v>
          </cell>
          <cell r="AL563">
            <v>0</v>
          </cell>
          <cell r="AM563">
            <v>0</v>
          </cell>
        </row>
        <row r="564">
          <cell r="C564" t="str">
            <v/>
          </cell>
          <cell r="D564" t="str">
            <v/>
          </cell>
          <cell r="O564" t="str">
            <v/>
          </cell>
          <cell r="T564" t="str">
            <v/>
          </cell>
          <cell r="U564" t="str">
            <v/>
          </cell>
          <cell r="V564" t="str">
            <v/>
          </cell>
          <cell r="W564" t="str">
            <v/>
          </cell>
          <cell r="Y564" t="str">
            <v/>
          </cell>
          <cell r="AA564" t="str">
            <v/>
          </cell>
          <cell r="AB564">
            <v>0</v>
          </cell>
          <cell r="AC564">
            <v>0</v>
          </cell>
          <cell r="AI564" t="str">
            <v/>
          </cell>
          <cell r="AJ564" t="str">
            <v/>
          </cell>
          <cell r="AK564">
            <v>0</v>
          </cell>
          <cell r="AL564">
            <v>0</v>
          </cell>
          <cell r="AM564">
            <v>0</v>
          </cell>
        </row>
        <row r="565">
          <cell r="C565" t="str">
            <v/>
          </cell>
          <cell r="D565" t="str">
            <v/>
          </cell>
          <cell r="O565" t="str">
            <v/>
          </cell>
          <cell r="T565" t="str">
            <v/>
          </cell>
          <cell r="U565" t="str">
            <v/>
          </cell>
          <cell r="V565" t="str">
            <v/>
          </cell>
          <cell r="W565" t="str">
            <v/>
          </cell>
          <cell r="Y565" t="str">
            <v/>
          </cell>
          <cell r="AA565" t="str">
            <v/>
          </cell>
          <cell r="AB565">
            <v>0</v>
          </cell>
          <cell r="AC565">
            <v>0</v>
          </cell>
          <cell r="AI565" t="str">
            <v/>
          </cell>
          <cell r="AJ565" t="str">
            <v/>
          </cell>
          <cell r="AK565">
            <v>0</v>
          </cell>
          <cell r="AL565">
            <v>0</v>
          </cell>
          <cell r="AM565">
            <v>0</v>
          </cell>
        </row>
        <row r="566">
          <cell r="C566" t="str">
            <v/>
          </cell>
          <cell r="D566" t="str">
            <v/>
          </cell>
          <cell r="O566" t="str">
            <v/>
          </cell>
          <cell r="T566" t="str">
            <v/>
          </cell>
          <cell r="U566" t="str">
            <v/>
          </cell>
          <cell r="V566" t="str">
            <v/>
          </cell>
          <cell r="W566" t="str">
            <v/>
          </cell>
          <cell r="Y566" t="str">
            <v/>
          </cell>
          <cell r="AA566" t="str">
            <v/>
          </cell>
          <cell r="AB566">
            <v>0</v>
          </cell>
          <cell r="AC566">
            <v>0</v>
          </cell>
          <cell r="AI566" t="str">
            <v/>
          </cell>
          <cell r="AJ566" t="str">
            <v/>
          </cell>
          <cell r="AK566">
            <v>0</v>
          </cell>
          <cell r="AL566">
            <v>0</v>
          </cell>
          <cell r="AM566">
            <v>0</v>
          </cell>
        </row>
        <row r="567">
          <cell r="C567" t="str">
            <v/>
          </cell>
          <cell r="D567" t="str">
            <v/>
          </cell>
          <cell r="O567" t="str">
            <v/>
          </cell>
          <cell r="T567" t="str">
            <v/>
          </cell>
          <cell r="U567" t="str">
            <v/>
          </cell>
          <cell r="V567" t="str">
            <v/>
          </cell>
          <cell r="W567" t="str">
            <v/>
          </cell>
          <cell r="Y567" t="str">
            <v/>
          </cell>
          <cell r="AA567" t="str">
            <v/>
          </cell>
          <cell r="AB567">
            <v>0</v>
          </cell>
          <cell r="AC567">
            <v>0</v>
          </cell>
          <cell r="AI567" t="str">
            <v/>
          </cell>
          <cell r="AJ567" t="str">
            <v/>
          </cell>
          <cell r="AK567">
            <v>0</v>
          </cell>
          <cell r="AL567">
            <v>0</v>
          </cell>
          <cell r="AM567">
            <v>0</v>
          </cell>
        </row>
        <row r="568">
          <cell r="C568" t="str">
            <v/>
          </cell>
          <cell r="D568" t="str">
            <v/>
          </cell>
          <cell r="O568" t="str">
            <v/>
          </cell>
          <cell r="T568" t="str">
            <v/>
          </cell>
          <cell r="U568" t="str">
            <v/>
          </cell>
          <cell r="V568" t="str">
            <v/>
          </cell>
          <cell r="W568" t="str">
            <v/>
          </cell>
          <cell r="Y568" t="str">
            <v/>
          </cell>
          <cell r="AA568" t="str">
            <v/>
          </cell>
          <cell r="AB568">
            <v>0</v>
          </cell>
          <cell r="AC568">
            <v>0</v>
          </cell>
          <cell r="AI568" t="str">
            <v/>
          </cell>
          <cell r="AJ568" t="str">
            <v/>
          </cell>
          <cell r="AK568">
            <v>0</v>
          </cell>
          <cell r="AL568">
            <v>0</v>
          </cell>
          <cell r="AM568">
            <v>0</v>
          </cell>
        </row>
        <row r="569">
          <cell r="C569" t="str">
            <v/>
          </cell>
          <cell r="D569" t="str">
            <v/>
          </cell>
          <cell r="O569" t="str">
            <v/>
          </cell>
          <cell r="T569" t="str">
            <v/>
          </cell>
          <cell r="U569" t="str">
            <v/>
          </cell>
          <cell r="V569" t="str">
            <v/>
          </cell>
          <cell r="W569" t="str">
            <v/>
          </cell>
          <cell r="Y569" t="str">
            <v/>
          </cell>
          <cell r="AA569" t="str">
            <v/>
          </cell>
          <cell r="AB569">
            <v>0</v>
          </cell>
          <cell r="AC569">
            <v>0</v>
          </cell>
          <cell r="AI569" t="str">
            <v/>
          </cell>
          <cell r="AJ569" t="str">
            <v/>
          </cell>
          <cell r="AK569">
            <v>0</v>
          </cell>
          <cell r="AL569">
            <v>0</v>
          </cell>
          <cell r="AM569">
            <v>0</v>
          </cell>
        </row>
        <row r="570">
          <cell r="C570" t="str">
            <v/>
          </cell>
          <cell r="D570" t="str">
            <v/>
          </cell>
          <cell r="O570" t="str">
            <v/>
          </cell>
          <cell r="T570" t="str">
            <v/>
          </cell>
          <cell r="U570" t="str">
            <v/>
          </cell>
          <cell r="V570" t="str">
            <v/>
          </cell>
          <cell r="W570" t="str">
            <v/>
          </cell>
          <cell r="Y570" t="str">
            <v/>
          </cell>
          <cell r="AA570" t="str">
            <v/>
          </cell>
          <cell r="AB570">
            <v>0</v>
          </cell>
          <cell r="AC570">
            <v>0</v>
          </cell>
          <cell r="AI570" t="str">
            <v/>
          </cell>
          <cell r="AJ570" t="str">
            <v/>
          </cell>
          <cell r="AK570">
            <v>0</v>
          </cell>
          <cell r="AL570">
            <v>0</v>
          </cell>
          <cell r="AM570">
            <v>0</v>
          </cell>
        </row>
        <row r="571">
          <cell r="C571" t="str">
            <v/>
          </cell>
          <cell r="D571" t="str">
            <v/>
          </cell>
          <cell r="O571" t="str">
            <v/>
          </cell>
          <cell r="T571" t="str">
            <v/>
          </cell>
          <cell r="U571" t="str">
            <v/>
          </cell>
          <cell r="V571" t="str">
            <v/>
          </cell>
          <cell r="W571" t="str">
            <v/>
          </cell>
          <cell r="Y571" t="str">
            <v/>
          </cell>
          <cell r="AA571" t="str">
            <v/>
          </cell>
          <cell r="AB571">
            <v>0</v>
          </cell>
          <cell r="AC571">
            <v>0</v>
          </cell>
          <cell r="AI571" t="str">
            <v/>
          </cell>
          <cell r="AJ571" t="str">
            <v/>
          </cell>
          <cell r="AK571">
            <v>0</v>
          </cell>
          <cell r="AL571">
            <v>0</v>
          </cell>
          <cell r="AM571">
            <v>0</v>
          </cell>
        </row>
        <row r="572">
          <cell r="C572" t="str">
            <v/>
          </cell>
          <cell r="D572" t="str">
            <v/>
          </cell>
          <cell r="O572" t="str">
            <v/>
          </cell>
          <cell r="T572" t="str">
            <v/>
          </cell>
          <cell r="U572" t="str">
            <v/>
          </cell>
          <cell r="V572" t="str">
            <v/>
          </cell>
          <cell r="W572" t="str">
            <v/>
          </cell>
          <cell r="Y572" t="str">
            <v/>
          </cell>
          <cell r="AA572" t="str">
            <v/>
          </cell>
          <cell r="AB572">
            <v>0</v>
          </cell>
          <cell r="AC572">
            <v>0</v>
          </cell>
          <cell r="AI572" t="str">
            <v/>
          </cell>
          <cell r="AJ572" t="str">
            <v/>
          </cell>
          <cell r="AK572">
            <v>0</v>
          </cell>
          <cell r="AL572">
            <v>0</v>
          </cell>
          <cell r="AM572">
            <v>0</v>
          </cell>
        </row>
        <row r="573">
          <cell r="C573" t="str">
            <v/>
          </cell>
          <cell r="D573" t="str">
            <v/>
          </cell>
          <cell r="O573" t="str">
            <v/>
          </cell>
          <cell r="T573" t="str">
            <v/>
          </cell>
          <cell r="U573" t="str">
            <v/>
          </cell>
          <cell r="V573" t="str">
            <v/>
          </cell>
          <cell r="W573" t="str">
            <v/>
          </cell>
          <cell r="Y573" t="str">
            <v/>
          </cell>
          <cell r="AA573" t="str">
            <v/>
          </cell>
          <cell r="AB573">
            <v>0</v>
          </cell>
          <cell r="AC573">
            <v>0</v>
          </cell>
          <cell r="AI573" t="str">
            <v/>
          </cell>
          <cell r="AJ573" t="str">
            <v/>
          </cell>
          <cell r="AK573">
            <v>0</v>
          </cell>
          <cell r="AL573">
            <v>0</v>
          </cell>
          <cell r="AM573">
            <v>0</v>
          </cell>
        </row>
        <row r="574">
          <cell r="C574" t="str">
            <v/>
          </cell>
          <cell r="D574" t="str">
            <v/>
          </cell>
          <cell r="O574" t="str">
            <v/>
          </cell>
          <cell r="T574" t="str">
            <v/>
          </cell>
          <cell r="U574" t="str">
            <v/>
          </cell>
          <cell r="V574" t="str">
            <v/>
          </cell>
          <cell r="W574" t="str">
            <v/>
          </cell>
          <cell r="Y574" t="str">
            <v/>
          </cell>
          <cell r="AA574" t="str">
            <v/>
          </cell>
          <cell r="AB574">
            <v>0</v>
          </cell>
          <cell r="AC574">
            <v>0</v>
          </cell>
          <cell r="AI574" t="str">
            <v/>
          </cell>
          <cell r="AJ574" t="str">
            <v/>
          </cell>
          <cell r="AK574">
            <v>0</v>
          </cell>
          <cell r="AL574">
            <v>0</v>
          </cell>
          <cell r="AM574">
            <v>0</v>
          </cell>
        </row>
        <row r="575">
          <cell r="C575" t="str">
            <v/>
          </cell>
          <cell r="D575" t="str">
            <v/>
          </cell>
          <cell r="O575" t="str">
            <v/>
          </cell>
          <cell r="T575" t="str">
            <v/>
          </cell>
          <cell r="U575" t="str">
            <v/>
          </cell>
          <cell r="V575" t="str">
            <v/>
          </cell>
          <cell r="W575" t="str">
            <v/>
          </cell>
          <cell r="Y575" t="str">
            <v/>
          </cell>
          <cell r="AA575" t="str">
            <v/>
          </cell>
          <cell r="AB575">
            <v>0</v>
          </cell>
          <cell r="AC575">
            <v>0</v>
          </cell>
          <cell r="AI575" t="str">
            <v/>
          </cell>
          <cell r="AJ575" t="str">
            <v/>
          </cell>
          <cell r="AK575">
            <v>0</v>
          </cell>
          <cell r="AL575">
            <v>0</v>
          </cell>
          <cell r="AM575">
            <v>0</v>
          </cell>
        </row>
        <row r="576">
          <cell r="C576" t="str">
            <v/>
          </cell>
          <cell r="D576" t="str">
            <v/>
          </cell>
          <cell r="O576" t="str">
            <v/>
          </cell>
          <cell r="T576" t="str">
            <v/>
          </cell>
          <cell r="U576" t="str">
            <v/>
          </cell>
          <cell r="V576" t="str">
            <v/>
          </cell>
          <cell r="W576" t="str">
            <v/>
          </cell>
          <cell r="Y576" t="str">
            <v/>
          </cell>
          <cell r="AA576" t="str">
            <v/>
          </cell>
          <cell r="AB576">
            <v>0</v>
          </cell>
          <cell r="AC576">
            <v>0</v>
          </cell>
          <cell r="AI576" t="str">
            <v/>
          </cell>
          <cell r="AJ576" t="str">
            <v/>
          </cell>
          <cell r="AK576">
            <v>0</v>
          </cell>
          <cell r="AL576">
            <v>0</v>
          </cell>
          <cell r="AM576">
            <v>0</v>
          </cell>
        </row>
        <row r="577">
          <cell r="C577" t="str">
            <v/>
          </cell>
          <cell r="D577" t="str">
            <v/>
          </cell>
          <cell r="O577" t="str">
            <v/>
          </cell>
          <cell r="T577" t="str">
            <v/>
          </cell>
          <cell r="U577" t="str">
            <v/>
          </cell>
          <cell r="V577" t="str">
            <v/>
          </cell>
          <cell r="W577" t="str">
            <v/>
          </cell>
          <cell r="Y577" t="str">
            <v/>
          </cell>
          <cell r="AA577" t="str">
            <v/>
          </cell>
          <cell r="AB577">
            <v>0</v>
          </cell>
          <cell r="AC577">
            <v>0</v>
          </cell>
          <cell r="AI577" t="str">
            <v/>
          </cell>
          <cell r="AJ577" t="str">
            <v/>
          </cell>
          <cell r="AK577">
            <v>0</v>
          </cell>
          <cell r="AL577">
            <v>0</v>
          </cell>
          <cell r="AM577">
            <v>0</v>
          </cell>
        </row>
        <row r="578">
          <cell r="C578" t="str">
            <v/>
          </cell>
          <cell r="D578" t="str">
            <v/>
          </cell>
          <cell r="O578" t="str">
            <v/>
          </cell>
          <cell r="T578" t="str">
            <v/>
          </cell>
          <cell r="U578" t="str">
            <v/>
          </cell>
          <cell r="V578" t="str">
            <v/>
          </cell>
          <cell r="W578" t="str">
            <v/>
          </cell>
          <cell r="Y578" t="str">
            <v/>
          </cell>
          <cell r="AA578" t="str">
            <v/>
          </cell>
          <cell r="AB578">
            <v>0</v>
          </cell>
          <cell r="AC578">
            <v>0</v>
          </cell>
          <cell r="AI578" t="str">
            <v/>
          </cell>
          <cell r="AJ578" t="str">
            <v/>
          </cell>
          <cell r="AK578">
            <v>0</v>
          </cell>
          <cell r="AL578">
            <v>0</v>
          </cell>
          <cell r="AM578">
            <v>0</v>
          </cell>
        </row>
        <row r="579">
          <cell r="C579" t="str">
            <v/>
          </cell>
          <cell r="D579" t="str">
            <v/>
          </cell>
          <cell r="O579" t="str">
            <v/>
          </cell>
          <cell r="T579" t="str">
            <v/>
          </cell>
          <cell r="U579" t="str">
            <v/>
          </cell>
          <cell r="V579" t="str">
            <v/>
          </cell>
          <cell r="W579" t="str">
            <v/>
          </cell>
          <cell r="Y579" t="str">
            <v/>
          </cell>
          <cell r="AA579" t="str">
            <v/>
          </cell>
          <cell r="AB579">
            <v>0</v>
          </cell>
          <cell r="AC579">
            <v>0</v>
          </cell>
          <cell r="AI579" t="str">
            <v/>
          </cell>
          <cell r="AJ579" t="str">
            <v/>
          </cell>
          <cell r="AK579">
            <v>0</v>
          </cell>
          <cell r="AL579">
            <v>0</v>
          </cell>
          <cell r="AM579">
            <v>0</v>
          </cell>
        </row>
        <row r="580">
          <cell r="C580" t="str">
            <v/>
          </cell>
          <cell r="D580" t="str">
            <v/>
          </cell>
          <cell r="O580" t="str">
            <v/>
          </cell>
          <cell r="T580" t="str">
            <v/>
          </cell>
          <cell r="U580" t="str">
            <v/>
          </cell>
          <cell r="V580" t="str">
            <v/>
          </cell>
          <cell r="W580" t="str">
            <v/>
          </cell>
          <cell r="Y580" t="str">
            <v/>
          </cell>
          <cell r="AA580" t="str">
            <v/>
          </cell>
          <cell r="AB580">
            <v>0</v>
          </cell>
          <cell r="AC580">
            <v>0</v>
          </cell>
          <cell r="AI580" t="str">
            <v/>
          </cell>
          <cell r="AJ580" t="str">
            <v/>
          </cell>
          <cell r="AK580">
            <v>0</v>
          </cell>
          <cell r="AL580">
            <v>0</v>
          </cell>
          <cell r="AM580">
            <v>0</v>
          </cell>
        </row>
        <row r="581">
          <cell r="C581" t="str">
            <v/>
          </cell>
          <cell r="D581" t="str">
            <v/>
          </cell>
          <cell r="O581" t="str">
            <v/>
          </cell>
          <cell r="T581" t="str">
            <v/>
          </cell>
          <cell r="U581" t="str">
            <v/>
          </cell>
          <cell r="V581" t="str">
            <v/>
          </cell>
          <cell r="W581" t="str">
            <v/>
          </cell>
          <cell r="Y581" t="str">
            <v/>
          </cell>
          <cell r="AA581" t="str">
            <v/>
          </cell>
          <cell r="AB581">
            <v>0</v>
          </cell>
          <cell r="AC581">
            <v>0</v>
          </cell>
          <cell r="AI581" t="str">
            <v/>
          </cell>
          <cell r="AJ581" t="str">
            <v/>
          </cell>
          <cell r="AK581">
            <v>0</v>
          </cell>
          <cell r="AL581">
            <v>0</v>
          </cell>
          <cell r="AM581">
            <v>0</v>
          </cell>
        </row>
        <row r="582">
          <cell r="C582" t="str">
            <v/>
          </cell>
          <cell r="D582" t="str">
            <v/>
          </cell>
          <cell r="O582" t="str">
            <v/>
          </cell>
          <cell r="T582" t="str">
            <v/>
          </cell>
          <cell r="U582" t="str">
            <v/>
          </cell>
          <cell r="V582" t="str">
            <v/>
          </cell>
          <cell r="W582" t="str">
            <v/>
          </cell>
          <cell r="Y582" t="str">
            <v/>
          </cell>
          <cell r="AA582" t="str">
            <v/>
          </cell>
          <cell r="AB582">
            <v>0</v>
          </cell>
          <cell r="AC582">
            <v>0</v>
          </cell>
          <cell r="AI582" t="str">
            <v/>
          </cell>
          <cell r="AJ582" t="str">
            <v/>
          </cell>
          <cell r="AK582">
            <v>0</v>
          </cell>
          <cell r="AL582">
            <v>0</v>
          </cell>
          <cell r="AM582">
            <v>0</v>
          </cell>
        </row>
        <row r="583">
          <cell r="C583" t="str">
            <v/>
          </cell>
          <cell r="D583" t="str">
            <v/>
          </cell>
          <cell r="O583" t="str">
            <v/>
          </cell>
          <cell r="T583" t="str">
            <v/>
          </cell>
          <cell r="U583" t="str">
            <v/>
          </cell>
          <cell r="V583" t="str">
            <v/>
          </cell>
          <cell r="W583" t="str">
            <v/>
          </cell>
          <cell r="Y583" t="str">
            <v/>
          </cell>
          <cell r="AA583" t="str">
            <v/>
          </cell>
          <cell r="AB583">
            <v>0</v>
          </cell>
          <cell r="AC583">
            <v>0</v>
          </cell>
          <cell r="AI583" t="str">
            <v/>
          </cell>
          <cell r="AJ583" t="str">
            <v/>
          </cell>
          <cell r="AK583">
            <v>0</v>
          </cell>
          <cell r="AL583">
            <v>0</v>
          </cell>
          <cell r="AM583">
            <v>0</v>
          </cell>
        </row>
        <row r="584">
          <cell r="C584" t="str">
            <v/>
          </cell>
          <cell r="D584" t="str">
            <v/>
          </cell>
          <cell r="O584" t="str">
            <v/>
          </cell>
          <cell r="T584" t="str">
            <v/>
          </cell>
          <cell r="U584" t="str">
            <v/>
          </cell>
          <cell r="V584" t="str">
            <v/>
          </cell>
          <cell r="W584" t="str">
            <v/>
          </cell>
          <cell r="Y584" t="str">
            <v/>
          </cell>
          <cell r="AA584" t="str">
            <v/>
          </cell>
          <cell r="AB584">
            <v>0</v>
          </cell>
          <cell r="AC584">
            <v>0</v>
          </cell>
          <cell r="AI584" t="str">
            <v/>
          </cell>
          <cell r="AJ584" t="str">
            <v/>
          </cell>
          <cell r="AK584">
            <v>0</v>
          </cell>
          <cell r="AL584">
            <v>0</v>
          </cell>
          <cell r="AM584">
            <v>0</v>
          </cell>
        </row>
        <row r="585">
          <cell r="C585" t="str">
            <v/>
          </cell>
          <cell r="D585" t="str">
            <v/>
          </cell>
          <cell r="O585" t="str">
            <v/>
          </cell>
          <cell r="T585" t="str">
            <v/>
          </cell>
          <cell r="U585" t="str">
            <v/>
          </cell>
          <cell r="V585" t="str">
            <v/>
          </cell>
          <cell r="W585" t="str">
            <v/>
          </cell>
          <cell r="Y585" t="str">
            <v/>
          </cell>
          <cell r="AA585" t="str">
            <v/>
          </cell>
          <cell r="AB585">
            <v>0</v>
          </cell>
          <cell r="AC585">
            <v>0</v>
          </cell>
          <cell r="AI585" t="str">
            <v/>
          </cell>
          <cell r="AJ585" t="str">
            <v/>
          </cell>
          <cell r="AK585">
            <v>0</v>
          </cell>
          <cell r="AL585">
            <v>0</v>
          </cell>
          <cell r="AM585">
            <v>0</v>
          </cell>
        </row>
        <row r="586">
          <cell r="C586" t="str">
            <v/>
          </cell>
          <cell r="D586" t="str">
            <v/>
          </cell>
          <cell r="O586" t="str">
            <v/>
          </cell>
          <cell r="T586" t="str">
            <v/>
          </cell>
          <cell r="U586" t="str">
            <v/>
          </cell>
          <cell r="V586" t="str">
            <v/>
          </cell>
          <cell r="W586" t="str">
            <v/>
          </cell>
          <cell r="Y586" t="str">
            <v/>
          </cell>
          <cell r="AA586" t="str">
            <v/>
          </cell>
          <cell r="AB586">
            <v>0</v>
          </cell>
          <cell r="AC586">
            <v>0</v>
          </cell>
          <cell r="AI586" t="str">
            <v/>
          </cell>
          <cell r="AJ586" t="str">
            <v/>
          </cell>
          <cell r="AK586">
            <v>0</v>
          </cell>
          <cell r="AL586">
            <v>0</v>
          </cell>
          <cell r="AM586">
            <v>0</v>
          </cell>
        </row>
        <row r="587">
          <cell r="C587" t="str">
            <v/>
          </cell>
          <cell r="D587" t="str">
            <v/>
          </cell>
          <cell r="O587" t="str">
            <v/>
          </cell>
          <cell r="T587" t="str">
            <v/>
          </cell>
          <cell r="U587" t="str">
            <v/>
          </cell>
          <cell r="V587" t="str">
            <v/>
          </cell>
          <cell r="W587" t="str">
            <v/>
          </cell>
          <cell r="Y587" t="str">
            <v/>
          </cell>
          <cell r="AA587" t="str">
            <v/>
          </cell>
          <cell r="AB587">
            <v>0</v>
          </cell>
          <cell r="AC587">
            <v>0</v>
          </cell>
          <cell r="AI587" t="str">
            <v/>
          </cell>
          <cell r="AJ587" t="str">
            <v/>
          </cell>
          <cell r="AK587">
            <v>0</v>
          </cell>
          <cell r="AL587">
            <v>0</v>
          </cell>
          <cell r="AM587">
            <v>0</v>
          </cell>
        </row>
        <row r="588">
          <cell r="C588" t="str">
            <v/>
          </cell>
          <cell r="D588" t="str">
            <v/>
          </cell>
          <cell r="O588" t="str">
            <v/>
          </cell>
          <cell r="T588" t="str">
            <v/>
          </cell>
          <cell r="U588" t="str">
            <v/>
          </cell>
          <cell r="V588" t="str">
            <v/>
          </cell>
          <cell r="W588" t="str">
            <v/>
          </cell>
          <cell r="Y588" t="str">
            <v/>
          </cell>
          <cell r="AA588" t="str">
            <v/>
          </cell>
          <cell r="AB588">
            <v>0</v>
          </cell>
          <cell r="AC588">
            <v>0</v>
          </cell>
          <cell r="AI588" t="str">
            <v/>
          </cell>
          <cell r="AJ588" t="str">
            <v/>
          </cell>
          <cell r="AK588">
            <v>0</v>
          </cell>
          <cell r="AL588">
            <v>0</v>
          </cell>
          <cell r="AM588">
            <v>0</v>
          </cell>
        </row>
        <row r="589">
          <cell r="C589" t="str">
            <v/>
          </cell>
          <cell r="D589" t="str">
            <v/>
          </cell>
          <cell r="O589" t="str">
            <v/>
          </cell>
          <cell r="T589" t="str">
            <v/>
          </cell>
          <cell r="U589" t="str">
            <v/>
          </cell>
          <cell r="V589" t="str">
            <v/>
          </cell>
          <cell r="W589" t="str">
            <v/>
          </cell>
          <cell r="Y589" t="str">
            <v/>
          </cell>
          <cell r="AA589" t="str">
            <v/>
          </cell>
          <cell r="AB589">
            <v>0</v>
          </cell>
          <cell r="AC589">
            <v>0</v>
          </cell>
          <cell r="AI589" t="str">
            <v/>
          </cell>
          <cell r="AJ589" t="str">
            <v/>
          </cell>
          <cell r="AK589">
            <v>0</v>
          </cell>
          <cell r="AL589">
            <v>0</v>
          </cell>
          <cell r="AM589">
            <v>0</v>
          </cell>
        </row>
        <row r="590">
          <cell r="C590" t="str">
            <v/>
          </cell>
          <cell r="D590" t="str">
            <v/>
          </cell>
          <cell r="O590" t="str">
            <v/>
          </cell>
          <cell r="T590" t="str">
            <v/>
          </cell>
          <cell r="U590" t="str">
            <v/>
          </cell>
          <cell r="V590" t="str">
            <v/>
          </cell>
          <cell r="W590" t="str">
            <v/>
          </cell>
          <cell r="Y590" t="str">
            <v/>
          </cell>
          <cell r="AA590" t="str">
            <v/>
          </cell>
          <cell r="AB590">
            <v>0</v>
          </cell>
          <cell r="AC590">
            <v>0</v>
          </cell>
          <cell r="AI590" t="str">
            <v/>
          </cell>
          <cell r="AJ590" t="str">
            <v/>
          </cell>
          <cell r="AK590">
            <v>0</v>
          </cell>
          <cell r="AL590">
            <v>0</v>
          </cell>
          <cell r="AM590">
            <v>0</v>
          </cell>
        </row>
        <row r="591">
          <cell r="C591" t="str">
            <v/>
          </cell>
          <cell r="D591" t="str">
            <v/>
          </cell>
          <cell r="O591" t="str">
            <v/>
          </cell>
          <cell r="T591" t="str">
            <v/>
          </cell>
          <cell r="U591" t="str">
            <v/>
          </cell>
          <cell r="V591" t="str">
            <v/>
          </cell>
          <cell r="W591" t="str">
            <v/>
          </cell>
          <cell r="Y591" t="str">
            <v/>
          </cell>
          <cell r="AA591" t="str">
            <v/>
          </cell>
          <cell r="AB591">
            <v>0</v>
          </cell>
          <cell r="AC591">
            <v>0</v>
          </cell>
          <cell r="AI591" t="str">
            <v/>
          </cell>
          <cell r="AJ591" t="str">
            <v/>
          </cell>
          <cell r="AK591">
            <v>0</v>
          </cell>
          <cell r="AL591">
            <v>0</v>
          </cell>
          <cell r="AM591">
            <v>0</v>
          </cell>
        </row>
        <row r="592">
          <cell r="C592" t="str">
            <v/>
          </cell>
          <cell r="D592" t="str">
            <v/>
          </cell>
          <cell r="O592" t="str">
            <v/>
          </cell>
          <cell r="T592" t="str">
            <v/>
          </cell>
          <cell r="U592" t="str">
            <v/>
          </cell>
          <cell r="V592" t="str">
            <v/>
          </cell>
          <cell r="W592" t="str">
            <v/>
          </cell>
          <cell r="Y592" t="str">
            <v/>
          </cell>
          <cell r="AA592" t="str">
            <v/>
          </cell>
          <cell r="AB592">
            <v>0</v>
          </cell>
          <cell r="AC592">
            <v>0</v>
          </cell>
          <cell r="AI592" t="str">
            <v/>
          </cell>
          <cell r="AJ592" t="str">
            <v/>
          </cell>
          <cell r="AK592">
            <v>0</v>
          </cell>
          <cell r="AL592">
            <v>0</v>
          </cell>
          <cell r="AM592">
            <v>0</v>
          </cell>
        </row>
        <row r="593">
          <cell r="C593" t="str">
            <v/>
          </cell>
          <cell r="D593" t="str">
            <v/>
          </cell>
          <cell r="O593" t="str">
            <v/>
          </cell>
          <cell r="T593" t="str">
            <v/>
          </cell>
          <cell r="U593" t="str">
            <v/>
          </cell>
          <cell r="V593" t="str">
            <v/>
          </cell>
          <cell r="W593" t="str">
            <v/>
          </cell>
          <cell r="Y593" t="str">
            <v/>
          </cell>
          <cell r="AA593" t="str">
            <v/>
          </cell>
          <cell r="AB593">
            <v>0</v>
          </cell>
          <cell r="AC593">
            <v>0</v>
          </cell>
          <cell r="AI593" t="str">
            <v/>
          </cell>
          <cell r="AJ593" t="str">
            <v/>
          </cell>
          <cell r="AK593">
            <v>0</v>
          </cell>
          <cell r="AL593">
            <v>0</v>
          </cell>
          <cell r="AM593">
            <v>0</v>
          </cell>
        </row>
        <row r="594">
          <cell r="C594" t="str">
            <v/>
          </cell>
          <cell r="D594" t="str">
            <v/>
          </cell>
          <cell r="O594" t="str">
            <v/>
          </cell>
          <cell r="T594" t="str">
            <v/>
          </cell>
          <cell r="U594" t="str">
            <v/>
          </cell>
          <cell r="V594" t="str">
            <v/>
          </cell>
          <cell r="W594" t="str">
            <v/>
          </cell>
          <cell r="Y594" t="str">
            <v/>
          </cell>
          <cell r="AA594" t="str">
            <v/>
          </cell>
          <cell r="AB594">
            <v>0</v>
          </cell>
          <cell r="AC594">
            <v>0</v>
          </cell>
          <cell r="AI594" t="str">
            <v/>
          </cell>
          <cell r="AJ594" t="str">
            <v/>
          </cell>
          <cell r="AK594">
            <v>0</v>
          </cell>
          <cell r="AL594">
            <v>0</v>
          </cell>
          <cell r="AM594">
            <v>0</v>
          </cell>
        </row>
        <row r="595">
          <cell r="C595" t="str">
            <v/>
          </cell>
          <cell r="D595" t="str">
            <v/>
          </cell>
          <cell r="O595" t="str">
            <v/>
          </cell>
          <cell r="T595" t="str">
            <v/>
          </cell>
          <cell r="U595" t="str">
            <v/>
          </cell>
          <cell r="V595" t="str">
            <v/>
          </cell>
          <cell r="W595" t="str">
            <v/>
          </cell>
          <cell r="Y595" t="str">
            <v/>
          </cell>
          <cell r="AA595" t="str">
            <v/>
          </cell>
          <cell r="AB595">
            <v>0</v>
          </cell>
          <cell r="AC595">
            <v>0</v>
          </cell>
          <cell r="AI595" t="str">
            <v/>
          </cell>
          <cell r="AJ595" t="str">
            <v/>
          </cell>
          <cell r="AK595">
            <v>0</v>
          </cell>
          <cell r="AL595">
            <v>0</v>
          </cell>
          <cell r="AM595">
            <v>0</v>
          </cell>
        </row>
        <row r="596">
          <cell r="C596" t="str">
            <v/>
          </cell>
          <cell r="D596" t="str">
            <v/>
          </cell>
          <cell r="O596" t="str">
            <v/>
          </cell>
          <cell r="T596" t="str">
            <v/>
          </cell>
          <cell r="U596" t="str">
            <v/>
          </cell>
          <cell r="V596" t="str">
            <v/>
          </cell>
          <cell r="W596" t="str">
            <v/>
          </cell>
          <cell r="Y596" t="str">
            <v/>
          </cell>
          <cell r="AA596" t="str">
            <v/>
          </cell>
          <cell r="AB596">
            <v>0</v>
          </cell>
          <cell r="AC596">
            <v>0</v>
          </cell>
          <cell r="AI596" t="str">
            <v/>
          </cell>
          <cell r="AJ596" t="str">
            <v/>
          </cell>
          <cell r="AK596">
            <v>0</v>
          </cell>
          <cell r="AL596">
            <v>0</v>
          </cell>
          <cell r="AM596">
            <v>0</v>
          </cell>
        </row>
        <row r="597">
          <cell r="C597" t="str">
            <v/>
          </cell>
          <cell r="D597" t="str">
            <v/>
          </cell>
          <cell r="O597" t="str">
            <v/>
          </cell>
          <cell r="T597" t="str">
            <v/>
          </cell>
          <cell r="U597" t="str">
            <v/>
          </cell>
          <cell r="V597" t="str">
            <v/>
          </cell>
          <cell r="W597" t="str">
            <v/>
          </cell>
          <cell r="Y597" t="str">
            <v/>
          </cell>
          <cell r="AA597" t="str">
            <v/>
          </cell>
          <cell r="AB597">
            <v>0</v>
          </cell>
          <cell r="AC597">
            <v>0</v>
          </cell>
          <cell r="AI597" t="str">
            <v/>
          </cell>
          <cell r="AJ597" t="str">
            <v/>
          </cell>
          <cell r="AK597">
            <v>0</v>
          </cell>
          <cell r="AL597">
            <v>0</v>
          </cell>
          <cell r="AM597">
            <v>0</v>
          </cell>
        </row>
        <row r="598">
          <cell r="C598" t="str">
            <v/>
          </cell>
          <cell r="D598" t="str">
            <v/>
          </cell>
          <cell r="O598" t="str">
            <v/>
          </cell>
          <cell r="T598" t="str">
            <v/>
          </cell>
          <cell r="U598" t="str">
            <v/>
          </cell>
          <cell r="V598" t="str">
            <v/>
          </cell>
          <cell r="W598" t="str">
            <v/>
          </cell>
          <cell r="Y598" t="str">
            <v/>
          </cell>
          <cell r="AA598" t="str">
            <v/>
          </cell>
          <cell r="AB598">
            <v>0</v>
          </cell>
          <cell r="AC598">
            <v>0</v>
          </cell>
          <cell r="AI598" t="str">
            <v/>
          </cell>
          <cell r="AJ598" t="str">
            <v/>
          </cell>
          <cell r="AK598">
            <v>0</v>
          </cell>
          <cell r="AL598">
            <v>0</v>
          </cell>
          <cell r="AM598">
            <v>0</v>
          </cell>
        </row>
        <row r="599">
          <cell r="C599" t="str">
            <v/>
          </cell>
          <cell r="D599" t="str">
            <v/>
          </cell>
          <cell r="O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/>
          </cell>
          <cell r="Y599" t="str">
            <v/>
          </cell>
          <cell r="AA599" t="str">
            <v/>
          </cell>
          <cell r="AB599">
            <v>0</v>
          </cell>
          <cell r="AC599">
            <v>0</v>
          </cell>
          <cell r="AI599" t="str">
            <v/>
          </cell>
          <cell r="AJ599" t="str">
            <v/>
          </cell>
          <cell r="AK599">
            <v>0</v>
          </cell>
          <cell r="AL599">
            <v>0</v>
          </cell>
          <cell r="AM599">
            <v>0</v>
          </cell>
        </row>
        <row r="600">
          <cell r="C600" t="str">
            <v/>
          </cell>
          <cell r="D600" t="str">
            <v/>
          </cell>
          <cell r="O600" t="str">
            <v/>
          </cell>
          <cell r="T600" t="str">
            <v/>
          </cell>
          <cell r="U600" t="str">
            <v/>
          </cell>
          <cell r="V600" t="str">
            <v/>
          </cell>
          <cell r="W600" t="str">
            <v/>
          </cell>
          <cell r="Y600" t="str">
            <v/>
          </cell>
          <cell r="AA600" t="str">
            <v/>
          </cell>
          <cell r="AB600">
            <v>0</v>
          </cell>
          <cell r="AC600">
            <v>0</v>
          </cell>
          <cell r="AI600" t="str">
            <v/>
          </cell>
          <cell r="AJ600" t="str">
            <v/>
          </cell>
          <cell r="AK600">
            <v>0</v>
          </cell>
          <cell r="AL600">
            <v>0</v>
          </cell>
          <cell r="AM600">
            <v>0</v>
          </cell>
        </row>
        <row r="601">
          <cell r="C601" t="str">
            <v/>
          </cell>
          <cell r="D601" t="str">
            <v/>
          </cell>
          <cell r="O601" t="str">
            <v/>
          </cell>
          <cell r="T601" t="str">
            <v/>
          </cell>
          <cell r="U601" t="str">
            <v/>
          </cell>
          <cell r="V601" t="str">
            <v/>
          </cell>
          <cell r="W601" t="str">
            <v/>
          </cell>
          <cell r="Y601" t="str">
            <v/>
          </cell>
          <cell r="AA601" t="str">
            <v/>
          </cell>
          <cell r="AB601">
            <v>0</v>
          </cell>
          <cell r="AC601">
            <v>0</v>
          </cell>
          <cell r="AI601" t="str">
            <v/>
          </cell>
          <cell r="AJ601" t="str">
            <v/>
          </cell>
          <cell r="AK601">
            <v>0</v>
          </cell>
          <cell r="AL601">
            <v>0</v>
          </cell>
          <cell r="AM601">
            <v>0</v>
          </cell>
        </row>
        <row r="602">
          <cell r="C602" t="str">
            <v/>
          </cell>
          <cell r="D602" t="str">
            <v/>
          </cell>
          <cell r="O602" t="str">
            <v/>
          </cell>
          <cell r="T602" t="str">
            <v/>
          </cell>
          <cell r="U602" t="str">
            <v/>
          </cell>
          <cell r="V602" t="str">
            <v/>
          </cell>
          <cell r="W602" t="str">
            <v/>
          </cell>
          <cell r="Y602" t="str">
            <v/>
          </cell>
          <cell r="AA602" t="str">
            <v/>
          </cell>
          <cell r="AB602">
            <v>0</v>
          </cell>
          <cell r="AC602">
            <v>0</v>
          </cell>
          <cell r="AI602" t="str">
            <v/>
          </cell>
          <cell r="AJ602" t="str">
            <v/>
          </cell>
          <cell r="AK602">
            <v>0</v>
          </cell>
          <cell r="AL602">
            <v>0</v>
          </cell>
          <cell r="AM602">
            <v>0</v>
          </cell>
        </row>
        <row r="603">
          <cell r="C603" t="str">
            <v/>
          </cell>
          <cell r="D603" t="str">
            <v/>
          </cell>
          <cell r="O603" t="str">
            <v/>
          </cell>
          <cell r="T603" t="str">
            <v/>
          </cell>
          <cell r="U603" t="str">
            <v/>
          </cell>
          <cell r="V603" t="str">
            <v/>
          </cell>
          <cell r="W603" t="str">
            <v/>
          </cell>
          <cell r="Y603" t="str">
            <v/>
          </cell>
          <cell r="AA603" t="str">
            <v/>
          </cell>
          <cell r="AB603">
            <v>0</v>
          </cell>
          <cell r="AC603">
            <v>0</v>
          </cell>
          <cell r="AI603" t="str">
            <v/>
          </cell>
          <cell r="AJ603" t="str">
            <v/>
          </cell>
          <cell r="AK603">
            <v>0</v>
          </cell>
          <cell r="AL603">
            <v>0</v>
          </cell>
          <cell r="AM603">
            <v>0</v>
          </cell>
        </row>
        <row r="604">
          <cell r="C604" t="str">
            <v/>
          </cell>
          <cell r="D604" t="str">
            <v/>
          </cell>
          <cell r="O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/>
          </cell>
          <cell r="Y604" t="str">
            <v/>
          </cell>
          <cell r="AA604" t="str">
            <v/>
          </cell>
          <cell r="AB604">
            <v>0</v>
          </cell>
          <cell r="AC604">
            <v>0</v>
          </cell>
          <cell r="AI604" t="str">
            <v/>
          </cell>
          <cell r="AJ604" t="str">
            <v/>
          </cell>
          <cell r="AK604">
            <v>0</v>
          </cell>
          <cell r="AL604">
            <v>0</v>
          </cell>
          <cell r="AM604">
            <v>0</v>
          </cell>
        </row>
        <row r="605">
          <cell r="C605" t="str">
            <v/>
          </cell>
          <cell r="D605" t="str">
            <v/>
          </cell>
          <cell r="O605" t="str">
            <v/>
          </cell>
          <cell r="T605" t="str">
            <v/>
          </cell>
          <cell r="U605" t="str">
            <v/>
          </cell>
          <cell r="V605" t="str">
            <v/>
          </cell>
          <cell r="W605" t="str">
            <v/>
          </cell>
          <cell r="Y605" t="str">
            <v/>
          </cell>
          <cell r="AA605" t="str">
            <v/>
          </cell>
          <cell r="AB605">
            <v>0</v>
          </cell>
          <cell r="AC605">
            <v>0</v>
          </cell>
          <cell r="AI605" t="str">
            <v/>
          </cell>
          <cell r="AJ605" t="str">
            <v/>
          </cell>
          <cell r="AK605">
            <v>0</v>
          </cell>
          <cell r="AL605">
            <v>0</v>
          </cell>
          <cell r="AM605">
            <v>0</v>
          </cell>
        </row>
        <row r="606">
          <cell r="C606" t="str">
            <v/>
          </cell>
          <cell r="D606" t="str">
            <v/>
          </cell>
          <cell r="O606" t="str">
            <v/>
          </cell>
          <cell r="T606" t="str">
            <v/>
          </cell>
          <cell r="U606" t="str">
            <v/>
          </cell>
          <cell r="V606" t="str">
            <v/>
          </cell>
          <cell r="W606" t="str">
            <v/>
          </cell>
          <cell r="Y606" t="str">
            <v/>
          </cell>
          <cell r="AA606" t="str">
            <v/>
          </cell>
          <cell r="AB606">
            <v>0</v>
          </cell>
          <cell r="AC606">
            <v>0</v>
          </cell>
          <cell r="AI606" t="str">
            <v/>
          </cell>
          <cell r="AJ606" t="str">
            <v/>
          </cell>
          <cell r="AK606">
            <v>0</v>
          </cell>
          <cell r="AL606">
            <v>0</v>
          </cell>
          <cell r="AM606">
            <v>0</v>
          </cell>
        </row>
        <row r="607">
          <cell r="C607" t="str">
            <v/>
          </cell>
          <cell r="D607" t="str">
            <v/>
          </cell>
          <cell r="O607" t="str">
            <v/>
          </cell>
          <cell r="T607" t="str">
            <v/>
          </cell>
          <cell r="U607" t="str">
            <v/>
          </cell>
          <cell r="V607" t="str">
            <v/>
          </cell>
          <cell r="W607" t="str">
            <v/>
          </cell>
          <cell r="Y607" t="str">
            <v/>
          </cell>
          <cell r="AA607" t="str">
            <v/>
          </cell>
          <cell r="AB607">
            <v>0</v>
          </cell>
          <cell r="AC607">
            <v>0</v>
          </cell>
          <cell r="AI607" t="str">
            <v/>
          </cell>
          <cell r="AJ607" t="str">
            <v/>
          </cell>
          <cell r="AK607">
            <v>0</v>
          </cell>
          <cell r="AL607">
            <v>0</v>
          </cell>
          <cell r="AM607">
            <v>0</v>
          </cell>
        </row>
        <row r="608">
          <cell r="C608" t="str">
            <v/>
          </cell>
          <cell r="D608" t="str">
            <v/>
          </cell>
          <cell r="O608" t="str">
            <v/>
          </cell>
          <cell r="T608" t="str">
            <v/>
          </cell>
          <cell r="U608" t="str">
            <v/>
          </cell>
          <cell r="V608" t="str">
            <v/>
          </cell>
          <cell r="W608" t="str">
            <v/>
          </cell>
          <cell r="Y608" t="str">
            <v/>
          </cell>
          <cell r="AA608" t="str">
            <v/>
          </cell>
          <cell r="AB608">
            <v>0</v>
          </cell>
          <cell r="AC608">
            <v>0</v>
          </cell>
          <cell r="AI608" t="str">
            <v/>
          </cell>
          <cell r="AJ608" t="str">
            <v/>
          </cell>
          <cell r="AK608">
            <v>0</v>
          </cell>
          <cell r="AL608">
            <v>0</v>
          </cell>
          <cell r="AM608">
            <v>0</v>
          </cell>
        </row>
        <row r="609">
          <cell r="C609" t="str">
            <v/>
          </cell>
          <cell r="D609" t="str">
            <v/>
          </cell>
          <cell r="O609" t="str">
            <v/>
          </cell>
          <cell r="T609" t="str">
            <v/>
          </cell>
          <cell r="U609" t="str">
            <v/>
          </cell>
          <cell r="V609" t="str">
            <v/>
          </cell>
          <cell r="W609" t="str">
            <v/>
          </cell>
          <cell r="Y609" t="str">
            <v/>
          </cell>
          <cell r="AA609" t="str">
            <v/>
          </cell>
          <cell r="AB609">
            <v>0</v>
          </cell>
          <cell r="AC609">
            <v>0</v>
          </cell>
          <cell r="AI609" t="str">
            <v/>
          </cell>
          <cell r="AJ609" t="str">
            <v/>
          </cell>
          <cell r="AK609">
            <v>0</v>
          </cell>
          <cell r="AL609">
            <v>0</v>
          </cell>
          <cell r="AM609">
            <v>0</v>
          </cell>
        </row>
        <row r="610">
          <cell r="C610" t="str">
            <v/>
          </cell>
          <cell r="D610" t="str">
            <v/>
          </cell>
          <cell r="O610" t="str">
            <v/>
          </cell>
          <cell r="T610" t="str">
            <v/>
          </cell>
          <cell r="U610" t="str">
            <v/>
          </cell>
          <cell r="V610" t="str">
            <v/>
          </cell>
          <cell r="W610" t="str">
            <v/>
          </cell>
          <cell r="Y610" t="str">
            <v/>
          </cell>
          <cell r="AA610" t="str">
            <v/>
          </cell>
          <cell r="AB610">
            <v>0</v>
          </cell>
          <cell r="AC610">
            <v>0</v>
          </cell>
          <cell r="AI610" t="str">
            <v/>
          </cell>
          <cell r="AJ610" t="str">
            <v/>
          </cell>
          <cell r="AK610">
            <v>0</v>
          </cell>
          <cell r="AL610">
            <v>0</v>
          </cell>
          <cell r="AM610">
            <v>0</v>
          </cell>
        </row>
        <row r="611">
          <cell r="C611" t="str">
            <v/>
          </cell>
          <cell r="D611" t="str">
            <v/>
          </cell>
          <cell r="O611" t="str">
            <v/>
          </cell>
          <cell r="T611" t="str">
            <v/>
          </cell>
          <cell r="U611" t="str">
            <v/>
          </cell>
          <cell r="V611" t="str">
            <v/>
          </cell>
          <cell r="W611" t="str">
            <v/>
          </cell>
          <cell r="Y611" t="str">
            <v/>
          </cell>
          <cell r="AA611" t="str">
            <v/>
          </cell>
          <cell r="AB611">
            <v>0</v>
          </cell>
          <cell r="AC611">
            <v>0</v>
          </cell>
          <cell r="AI611" t="str">
            <v/>
          </cell>
          <cell r="AJ611" t="str">
            <v/>
          </cell>
          <cell r="AK611">
            <v>0</v>
          </cell>
          <cell r="AL611">
            <v>0</v>
          </cell>
          <cell r="AM611">
            <v>0</v>
          </cell>
        </row>
        <row r="612">
          <cell r="C612" t="str">
            <v/>
          </cell>
          <cell r="D612" t="str">
            <v/>
          </cell>
          <cell r="O612" t="str">
            <v/>
          </cell>
          <cell r="T612" t="str">
            <v/>
          </cell>
          <cell r="U612" t="str">
            <v/>
          </cell>
          <cell r="V612" t="str">
            <v/>
          </cell>
          <cell r="W612" t="str">
            <v/>
          </cell>
          <cell r="Y612" t="str">
            <v/>
          </cell>
          <cell r="AA612" t="str">
            <v/>
          </cell>
          <cell r="AB612">
            <v>0</v>
          </cell>
          <cell r="AC612">
            <v>0</v>
          </cell>
          <cell r="AI612" t="str">
            <v/>
          </cell>
          <cell r="AJ612" t="str">
            <v/>
          </cell>
          <cell r="AK612">
            <v>0</v>
          </cell>
          <cell r="AL612">
            <v>0</v>
          </cell>
          <cell r="AM612">
            <v>0</v>
          </cell>
        </row>
        <row r="613">
          <cell r="C613" t="str">
            <v/>
          </cell>
          <cell r="D613" t="str">
            <v/>
          </cell>
          <cell r="O613" t="str">
            <v/>
          </cell>
          <cell r="T613" t="str">
            <v/>
          </cell>
          <cell r="U613" t="str">
            <v/>
          </cell>
          <cell r="V613" t="str">
            <v/>
          </cell>
          <cell r="W613" t="str">
            <v/>
          </cell>
          <cell r="Y613" t="str">
            <v/>
          </cell>
          <cell r="AA613" t="str">
            <v/>
          </cell>
          <cell r="AB613">
            <v>0</v>
          </cell>
          <cell r="AC613">
            <v>0</v>
          </cell>
          <cell r="AI613" t="str">
            <v/>
          </cell>
          <cell r="AJ613" t="str">
            <v/>
          </cell>
          <cell r="AK613">
            <v>0</v>
          </cell>
          <cell r="AL613">
            <v>0</v>
          </cell>
          <cell r="AM613">
            <v>0</v>
          </cell>
        </row>
        <row r="614">
          <cell r="C614" t="str">
            <v/>
          </cell>
          <cell r="D614" t="str">
            <v/>
          </cell>
          <cell r="O614" t="str">
            <v/>
          </cell>
          <cell r="T614" t="str">
            <v/>
          </cell>
          <cell r="U614" t="str">
            <v/>
          </cell>
          <cell r="V614" t="str">
            <v/>
          </cell>
          <cell r="W614" t="str">
            <v/>
          </cell>
          <cell r="Y614" t="str">
            <v/>
          </cell>
          <cell r="AA614" t="str">
            <v/>
          </cell>
          <cell r="AB614">
            <v>0</v>
          </cell>
          <cell r="AC614">
            <v>0</v>
          </cell>
          <cell r="AI614" t="str">
            <v/>
          </cell>
          <cell r="AJ614" t="str">
            <v/>
          </cell>
          <cell r="AK614">
            <v>0</v>
          </cell>
          <cell r="AL614">
            <v>0</v>
          </cell>
          <cell r="AM614">
            <v>0</v>
          </cell>
        </row>
        <row r="615">
          <cell r="C615" t="str">
            <v/>
          </cell>
          <cell r="D615" t="str">
            <v/>
          </cell>
          <cell r="O615" t="str">
            <v/>
          </cell>
          <cell r="T615" t="str">
            <v/>
          </cell>
          <cell r="U615" t="str">
            <v/>
          </cell>
          <cell r="V615" t="str">
            <v/>
          </cell>
          <cell r="W615" t="str">
            <v/>
          </cell>
          <cell r="Y615" t="str">
            <v/>
          </cell>
          <cell r="AA615" t="str">
            <v/>
          </cell>
          <cell r="AB615">
            <v>0</v>
          </cell>
          <cell r="AC615">
            <v>0</v>
          </cell>
          <cell r="AI615" t="str">
            <v/>
          </cell>
          <cell r="AJ615" t="str">
            <v/>
          </cell>
          <cell r="AK615">
            <v>0</v>
          </cell>
          <cell r="AL615">
            <v>0</v>
          </cell>
          <cell r="AM615">
            <v>0</v>
          </cell>
        </row>
        <row r="616">
          <cell r="C616" t="str">
            <v/>
          </cell>
          <cell r="D616" t="str">
            <v/>
          </cell>
          <cell r="O616" t="str">
            <v/>
          </cell>
          <cell r="T616" t="str">
            <v/>
          </cell>
          <cell r="U616" t="str">
            <v/>
          </cell>
          <cell r="V616" t="str">
            <v/>
          </cell>
          <cell r="W616" t="str">
            <v/>
          </cell>
          <cell r="Y616" t="str">
            <v/>
          </cell>
          <cell r="AA616" t="str">
            <v/>
          </cell>
          <cell r="AB616">
            <v>0</v>
          </cell>
          <cell r="AC616">
            <v>0</v>
          </cell>
          <cell r="AI616" t="str">
            <v/>
          </cell>
          <cell r="AJ616" t="str">
            <v/>
          </cell>
          <cell r="AK616">
            <v>0</v>
          </cell>
          <cell r="AL616">
            <v>0</v>
          </cell>
          <cell r="AM616">
            <v>0</v>
          </cell>
        </row>
        <row r="617">
          <cell r="C617" t="str">
            <v/>
          </cell>
          <cell r="D617" t="str">
            <v/>
          </cell>
          <cell r="O617" t="str">
            <v/>
          </cell>
          <cell r="T617" t="str">
            <v/>
          </cell>
          <cell r="U617" t="str">
            <v/>
          </cell>
          <cell r="V617" t="str">
            <v/>
          </cell>
          <cell r="W617" t="str">
            <v/>
          </cell>
          <cell r="Y617" t="str">
            <v/>
          </cell>
          <cell r="AA617" t="str">
            <v/>
          </cell>
          <cell r="AB617">
            <v>0</v>
          </cell>
          <cell r="AC617">
            <v>0</v>
          </cell>
          <cell r="AI617" t="str">
            <v/>
          </cell>
          <cell r="AJ617" t="str">
            <v/>
          </cell>
          <cell r="AK617">
            <v>0</v>
          </cell>
          <cell r="AL617">
            <v>0</v>
          </cell>
          <cell r="AM617">
            <v>0</v>
          </cell>
        </row>
        <row r="618">
          <cell r="C618" t="str">
            <v/>
          </cell>
          <cell r="D618" t="str">
            <v/>
          </cell>
          <cell r="O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/>
          </cell>
          <cell r="Y618" t="str">
            <v/>
          </cell>
          <cell r="AA618" t="str">
            <v/>
          </cell>
          <cell r="AB618">
            <v>0</v>
          </cell>
          <cell r="AC618">
            <v>0</v>
          </cell>
          <cell r="AI618" t="str">
            <v/>
          </cell>
          <cell r="AJ618" t="str">
            <v/>
          </cell>
          <cell r="AK618">
            <v>0</v>
          </cell>
          <cell r="AL618">
            <v>0</v>
          </cell>
          <cell r="AM618">
            <v>0</v>
          </cell>
        </row>
        <row r="619">
          <cell r="C619" t="str">
            <v/>
          </cell>
          <cell r="D619" t="str">
            <v/>
          </cell>
          <cell r="O619" t="str">
            <v/>
          </cell>
          <cell r="T619" t="str">
            <v/>
          </cell>
          <cell r="U619" t="str">
            <v/>
          </cell>
          <cell r="V619" t="str">
            <v/>
          </cell>
          <cell r="W619" t="str">
            <v/>
          </cell>
          <cell r="Y619" t="str">
            <v/>
          </cell>
          <cell r="AA619" t="str">
            <v/>
          </cell>
          <cell r="AB619">
            <v>0</v>
          </cell>
          <cell r="AC619">
            <v>0</v>
          </cell>
          <cell r="AI619" t="str">
            <v/>
          </cell>
          <cell r="AJ619" t="str">
            <v/>
          </cell>
          <cell r="AK619">
            <v>0</v>
          </cell>
          <cell r="AL619">
            <v>0</v>
          </cell>
          <cell r="AM619">
            <v>0</v>
          </cell>
        </row>
        <row r="620">
          <cell r="C620" t="str">
            <v/>
          </cell>
          <cell r="D620" t="str">
            <v/>
          </cell>
          <cell r="O620" t="str">
            <v/>
          </cell>
          <cell r="T620" t="str">
            <v/>
          </cell>
          <cell r="U620" t="str">
            <v/>
          </cell>
          <cell r="V620" t="str">
            <v/>
          </cell>
          <cell r="W620" t="str">
            <v/>
          </cell>
          <cell r="Y620" t="str">
            <v/>
          </cell>
          <cell r="AA620" t="str">
            <v/>
          </cell>
          <cell r="AB620">
            <v>0</v>
          </cell>
          <cell r="AC620">
            <v>0</v>
          </cell>
          <cell r="AI620" t="str">
            <v/>
          </cell>
          <cell r="AJ620" t="str">
            <v/>
          </cell>
          <cell r="AK620">
            <v>0</v>
          </cell>
          <cell r="AL620">
            <v>0</v>
          </cell>
          <cell r="AM620">
            <v>0</v>
          </cell>
        </row>
        <row r="621">
          <cell r="C621" t="str">
            <v/>
          </cell>
          <cell r="D621" t="str">
            <v/>
          </cell>
          <cell r="O621" t="str">
            <v/>
          </cell>
          <cell r="T621" t="str">
            <v/>
          </cell>
          <cell r="U621" t="str">
            <v/>
          </cell>
          <cell r="V621" t="str">
            <v/>
          </cell>
          <cell r="W621" t="str">
            <v/>
          </cell>
          <cell r="Y621" t="str">
            <v/>
          </cell>
          <cell r="AA621" t="str">
            <v/>
          </cell>
          <cell r="AB621">
            <v>0</v>
          </cell>
          <cell r="AC621">
            <v>0</v>
          </cell>
          <cell r="AI621" t="str">
            <v/>
          </cell>
          <cell r="AJ621" t="str">
            <v/>
          </cell>
          <cell r="AK621">
            <v>0</v>
          </cell>
          <cell r="AL621">
            <v>0</v>
          </cell>
          <cell r="AM621">
            <v>0</v>
          </cell>
        </row>
        <row r="622">
          <cell r="C622" t="str">
            <v/>
          </cell>
          <cell r="D622" t="str">
            <v/>
          </cell>
          <cell r="O622" t="str">
            <v/>
          </cell>
          <cell r="T622" t="str">
            <v/>
          </cell>
          <cell r="U622" t="str">
            <v/>
          </cell>
          <cell r="V622" t="str">
            <v/>
          </cell>
          <cell r="W622" t="str">
            <v/>
          </cell>
          <cell r="Y622" t="str">
            <v/>
          </cell>
          <cell r="AA622" t="str">
            <v/>
          </cell>
          <cell r="AB622">
            <v>0</v>
          </cell>
          <cell r="AC622">
            <v>0</v>
          </cell>
          <cell r="AI622" t="str">
            <v/>
          </cell>
          <cell r="AJ622" t="str">
            <v/>
          </cell>
          <cell r="AK622">
            <v>0</v>
          </cell>
          <cell r="AL622">
            <v>0</v>
          </cell>
          <cell r="AM622">
            <v>0</v>
          </cell>
        </row>
        <row r="623">
          <cell r="C623" t="str">
            <v/>
          </cell>
          <cell r="D623" t="str">
            <v/>
          </cell>
          <cell r="O623" t="str">
            <v/>
          </cell>
          <cell r="T623" t="str">
            <v/>
          </cell>
          <cell r="U623" t="str">
            <v/>
          </cell>
          <cell r="V623" t="str">
            <v/>
          </cell>
          <cell r="W623" t="str">
            <v/>
          </cell>
          <cell r="Y623" t="str">
            <v/>
          </cell>
          <cell r="AA623" t="str">
            <v/>
          </cell>
          <cell r="AB623">
            <v>0</v>
          </cell>
          <cell r="AC623">
            <v>0</v>
          </cell>
          <cell r="AI623" t="str">
            <v/>
          </cell>
          <cell r="AJ623" t="str">
            <v/>
          </cell>
          <cell r="AK623">
            <v>0</v>
          </cell>
          <cell r="AL623">
            <v>0</v>
          </cell>
          <cell r="AM623">
            <v>0</v>
          </cell>
        </row>
        <row r="624">
          <cell r="C624" t="str">
            <v/>
          </cell>
          <cell r="D624" t="str">
            <v/>
          </cell>
          <cell r="O624" t="str">
            <v/>
          </cell>
          <cell r="T624" t="str">
            <v/>
          </cell>
          <cell r="U624" t="str">
            <v/>
          </cell>
          <cell r="V624" t="str">
            <v/>
          </cell>
          <cell r="W624" t="str">
            <v/>
          </cell>
          <cell r="Y624" t="str">
            <v/>
          </cell>
          <cell r="AA624" t="str">
            <v/>
          </cell>
          <cell r="AB624">
            <v>0</v>
          </cell>
          <cell r="AC624">
            <v>0</v>
          </cell>
          <cell r="AI624" t="str">
            <v/>
          </cell>
          <cell r="AJ624" t="str">
            <v/>
          </cell>
          <cell r="AK624">
            <v>0</v>
          </cell>
          <cell r="AL624">
            <v>0</v>
          </cell>
          <cell r="AM624">
            <v>0</v>
          </cell>
        </row>
        <row r="625">
          <cell r="C625" t="str">
            <v/>
          </cell>
          <cell r="D625" t="str">
            <v/>
          </cell>
          <cell r="O625" t="str">
            <v/>
          </cell>
          <cell r="T625" t="str">
            <v/>
          </cell>
          <cell r="U625" t="str">
            <v/>
          </cell>
          <cell r="V625" t="str">
            <v/>
          </cell>
          <cell r="W625" t="str">
            <v/>
          </cell>
          <cell r="Y625" t="str">
            <v/>
          </cell>
          <cell r="AA625" t="str">
            <v/>
          </cell>
          <cell r="AB625">
            <v>0</v>
          </cell>
          <cell r="AC625">
            <v>0</v>
          </cell>
          <cell r="AI625" t="str">
            <v/>
          </cell>
          <cell r="AJ625" t="str">
            <v/>
          </cell>
          <cell r="AK625">
            <v>0</v>
          </cell>
          <cell r="AL625">
            <v>0</v>
          </cell>
          <cell r="AM625">
            <v>0</v>
          </cell>
        </row>
        <row r="626">
          <cell r="C626" t="str">
            <v/>
          </cell>
          <cell r="D626" t="str">
            <v/>
          </cell>
          <cell r="O626" t="str">
            <v/>
          </cell>
          <cell r="T626" t="str">
            <v/>
          </cell>
          <cell r="U626" t="str">
            <v/>
          </cell>
          <cell r="V626" t="str">
            <v/>
          </cell>
          <cell r="W626" t="str">
            <v/>
          </cell>
          <cell r="Y626" t="str">
            <v/>
          </cell>
          <cell r="AA626" t="str">
            <v/>
          </cell>
          <cell r="AB626">
            <v>0</v>
          </cell>
          <cell r="AC626">
            <v>0</v>
          </cell>
          <cell r="AI626" t="str">
            <v/>
          </cell>
          <cell r="AJ626" t="str">
            <v/>
          </cell>
          <cell r="AK626">
            <v>0</v>
          </cell>
          <cell r="AL626">
            <v>0</v>
          </cell>
          <cell r="AM626">
            <v>0</v>
          </cell>
        </row>
        <row r="627">
          <cell r="C627" t="str">
            <v/>
          </cell>
          <cell r="D627" t="str">
            <v/>
          </cell>
          <cell r="O627" t="str">
            <v/>
          </cell>
          <cell r="T627" t="str">
            <v/>
          </cell>
          <cell r="U627" t="str">
            <v/>
          </cell>
          <cell r="V627" t="str">
            <v/>
          </cell>
          <cell r="W627" t="str">
            <v/>
          </cell>
          <cell r="Y627" t="str">
            <v/>
          </cell>
          <cell r="AA627" t="str">
            <v/>
          </cell>
          <cell r="AB627">
            <v>0</v>
          </cell>
          <cell r="AC627">
            <v>0</v>
          </cell>
          <cell r="AI627" t="str">
            <v/>
          </cell>
          <cell r="AJ627" t="str">
            <v/>
          </cell>
          <cell r="AK627">
            <v>0</v>
          </cell>
          <cell r="AL627">
            <v>0</v>
          </cell>
          <cell r="AM627">
            <v>0</v>
          </cell>
        </row>
        <row r="628">
          <cell r="C628" t="str">
            <v/>
          </cell>
          <cell r="D628" t="str">
            <v/>
          </cell>
          <cell r="O628" t="str">
            <v/>
          </cell>
          <cell r="T628" t="str">
            <v/>
          </cell>
          <cell r="U628" t="str">
            <v/>
          </cell>
          <cell r="V628" t="str">
            <v/>
          </cell>
          <cell r="W628" t="str">
            <v/>
          </cell>
          <cell r="Y628" t="str">
            <v/>
          </cell>
          <cell r="AA628" t="str">
            <v/>
          </cell>
          <cell r="AB628">
            <v>0</v>
          </cell>
          <cell r="AC628">
            <v>0</v>
          </cell>
          <cell r="AI628" t="str">
            <v/>
          </cell>
          <cell r="AJ628" t="str">
            <v/>
          </cell>
          <cell r="AK628">
            <v>0</v>
          </cell>
          <cell r="AL628">
            <v>0</v>
          </cell>
          <cell r="AM628">
            <v>0</v>
          </cell>
        </row>
        <row r="629">
          <cell r="C629" t="str">
            <v/>
          </cell>
          <cell r="D629" t="str">
            <v/>
          </cell>
          <cell r="O629" t="str">
            <v/>
          </cell>
          <cell r="T629" t="str">
            <v/>
          </cell>
          <cell r="U629" t="str">
            <v/>
          </cell>
          <cell r="V629" t="str">
            <v/>
          </cell>
          <cell r="W629" t="str">
            <v/>
          </cell>
          <cell r="Y629" t="str">
            <v/>
          </cell>
          <cell r="AA629" t="str">
            <v/>
          </cell>
          <cell r="AB629">
            <v>0</v>
          </cell>
          <cell r="AC629">
            <v>0</v>
          </cell>
          <cell r="AI629" t="str">
            <v/>
          </cell>
          <cell r="AJ629" t="str">
            <v/>
          </cell>
          <cell r="AK629">
            <v>0</v>
          </cell>
          <cell r="AL629">
            <v>0</v>
          </cell>
          <cell r="AM629">
            <v>0</v>
          </cell>
        </row>
        <row r="630">
          <cell r="C630" t="str">
            <v/>
          </cell>
          <cell r="D630" t="str">
            <v/>
          </cell>
          <cell r="O630" t="str">
            <v/>
          </cell>
          <cell r="T630" t="str">
            <v/>
          </cell>
          <cell r="U630" t="str">
            <v/>
          </cell>
          <cell r="V630" t="str">
            <v/>
          </cell>
          <cell r="W630" t="str">
            <v/>
          </cell>
          <cell r="Y630" t="str">
            <v/>
          </cell>
          <cell r="AA630" t="str">
            <v/>
          </cell>
          <cell r="AB630">
            <v>0</v>
          </cell>
          <cell r="AC630">
            <v>0</v>
          </cell>
          <cell r="AI630" t="str">
            <v/>
          </cell>
          <cell r="AJ630" t="str">
            <v/>
          </cell>
          <cell r="AK630">
            <v>0</v>
          </cell>
          <cell r="AL630">
            <v>0</v>
          </cell>
          <cell r="AM630">
            <v>0</v>
          </cell>
        </row>
        <row r="631">
          <cell r="C631" t="str">
            <v/>
          </cell>
          <cell r="D631" t="str">
            <v/>
          </cell>
          <cell r="O631" t="str">
            <v/>
          </cell>
          <cell r="T631" t="str">
            <v/>
          </cell>
          <cell r="U631" t="str">
            <v/>
          </cell>
          <cell r="V631" t="str">
            <v/>
          </cell>
          <cell r="W631" t="str">
            <v/>
          </cell>
          <cell r="Y631" t="str">
            <v/>
          </cell>
          <cell r="AA631" t="str">
            <v/>
          </cell>
          <cell r="AB631">
            <v>0</v>
          </cell>
          <cell r="AC631">
            <v>0</v>
          </cell>
          <cell r="AI631" t="str">
            <v/>
          </cell>
          <cell r="AJ631" t="str">
            <v/>
          </cell>
          <cell r="AK631">
            <v>0</v>
          </cell>
          <cell r="AL631">
            <v>0</v>
          </cell>
          <cell r="AM631">
            <v>0</v>
          </cell>
        </row>
        <row r="632">
          <cell r="C632" t="str">
            <v/>
          </cell>
          <cell r="D632" t="str">
            <v/>
          </cell>
          <cell r="O632" t="str">
            <v/>
          </cell>
          <cell r="T632" t="str">
            <v/>
          </cell>
          <cell r="U632" t="str">
            <v/>
          </cell>
          <cell r="V632" t="str">
            <v/>
          </cell>
          <cell r="W632" t="str">
            <v/>
          </cell>
          <cell r="Y632" t="str">
            <v/>
          </cell>
          <cell r="AA632" t="str">
            <v/>
          </cell>
          <cell r="AB632">
            <v>0</v>
          </cell>
          <cell r="AC632">
            <v>0</v>
          </cell>
          <cell r="AI632" t="str">
            <v/>
          </cell>
          <cell r="AJ632" t="str">
            <v/>
          </cell>
          <cell r="AK632">
            <v>0</v>
          </cell>
          <cell r="AL632">
            <v>0</v>
          </cell>
          <cell r="AM632">
            <v>0</v>
          </cell>
        </row>
        <row r="633">
          <cell r="C633" t="str">
            <v/>
          </cell>
          <cell r="D633" t="str">
            <v/>
          </cell>
          <cell r="O633" t="str">
            <v/>
          </cell>
          <cell r="T633" t="str">
            <v/>
          </cell>
          <cell r="U633" t="str">
            <v/>
          </cell>
          <cell r="V633" t="str">
            <v/>
          </cell>
          <cell r="W633" t="str">
            <v/>
          </cell>
          <cell r="Y633" t="str">
            <v/>
          </cell>
          <cell r="AA633" t="str">
            <v/>
          </cell>
          <cell r="AB633">
            <v>0</v>
          </cell>
          <cell r="AC633">
            <v>0</v>
          </cell>
          <cell r="AI633" t="str">
            <v/>
          </cell>
          <cell r="AJ633" t="str">
            <v/>
          </cell>
          <cell r="AK633">
            <v>0</v>
          </cell>
          <cell r="AL633">
            <v>0</v>
          </cell>
          <cell r="AM633">
            <v>0</v>
          </cell>
        </row>
        <row r="634">
          <cell r="C634" t="str">
            <v/>
          </cell>
          <cell r="D634" t="str">
            <v/>
          </cell>
          <cell r="O634" t="str">
            <v/>
          </cell>
          <cell r="T634" t="str">
            <v/>
          </cell>
          <cell r="U634" t="str">
            <v/>
          </cell>
          <cell r="V634" t="str">
            <v/>
          </cell>
          <cell r="W634" t="str">
            <v/>
          </cell>
          <cell r="Y634" t="str">
            <v/>
          </cell>
          <cell r="AA634" t="str">
            <v/>
          </cell>
          <cell r="AB634">
            <v>0</v>
          </cell>
          <cell r="AC634">
            <v>0</v>
          </cell>
          <cell r="AI634" t="str">
            <v/>
          </cell>
          <cell r="AJ634" t="str">
            <v/>
          </cell>
          <cell r="AK634">
            <v>0</v>
          </cell>
          <cell r="AL634">
            <v>0</v>
          </cell>
          <cell r="AM634">
            <v>0</v>
          </cell>
        </row>
        <row r="635">
          <cell r="C635" t="str">
            <v/>
          </cell>
          <cell r="D635" t="str">
            <v/>
          </cell>
          <cell r="O635" t="str">
            <v/>
          </cell>
          <cell r="T635" t="str">
            <v/>
          </cell>
          <cell r="U635" t="str">
            <v/>
          </cell>
          <cell r="V635" t="str">
            <v/>
          </cell>
          <cell r="W635" t="str">
            <v/>
          </cell>
          <cell r="Y635" t="str">
            <v/>
          </cell>
          <cell r="AA635" t="str">
            <v/>
          </cell>
          <cell r="AB635">
            <v>0</v>
          </cell>
          <cell r="AC635">
            <v>0</v>
          </cell>
          <cell r="AI635" t="str">
            <v/>
          </cell>
          <cell r="AJ635" t="str">
            <v/>
          </cell>
          <cell r="AK635">
            <v>0</v>
          </cell>
          <cell r="AL635">
            <v>0</v>
          </cell>
          <cell r="AM635">
            <v>0</v>
          </cell>
        </row>
        <row r="636">
          <cell r="C636" t="str">
            <v/>
          </cell>
          <cell r="D636" t="str">
            <v/>
          </cell>
          <cell r="O636" t="str">
            <v/>
          </cell>
          <cell r="T636" t="str">
            <v/>
          </cell>
          <cell r="U636" t="str">
            <v/>
          </cell>
          <cell r="V636" t="str">
            <v/>
          </cell>
          <cell r="W636" t="str">
            <v/>
          </cell>
          <cell r="Y636" t="str">
            <v/>
          </cell>
          <cell r="AA636" t="str">
            <v/>
          </cell>
          <cell r="AB636">
            <v>0</v>
          </cell>
          <cell r="AC636">
            <v>0</v>
          </cell>
          <cell r="AI636" t="str">
            <v/>
          </cell>
          <cell r="AJ636" t="str">
            <v/>
          </cell>
          <cell r="AK636">
            <v>0</v>
          </cell>
          <cell r="AL636">
            <v>0</v>
          </cell>
          <cell r="AM636">
            <v>0</v>
          </cell>
        </row>
        <row r="637">
          <cell r="C637" t="str">
            <v/>
          </cell>
          <cell r="D637" t="str">
            <v/>
          </cell>
          <cell r="O637" t="str">
            <v/>
          </cell>
          <cell r="T637" t="str">
            <v/>
          </cell>
          <cell r="U637" t="str">
            <v/>
          </cell>
          <cell r="V637" t="str">
            <v/>
          </cell>
          <cell r="W637" t="str">
            <v/>
          </cell>
          <cell r="Y637" t="str">
            <v/>
          </cell>
          <cell r="AA637" t="str">
            <v/>
          </cell>
          <cell r="AB637">
            <v>0</v>
          </cell>
          <cell r="AC637">
            <v>0</v>
          </cell>
          <cell r="AI637" t="str">
            <v/>
          </cell>
          <cell r="AJ637" t="str">
            <v/>
          </cell>
          <cell r="AK637">
            <v>0</v>
          </cell>
          <cell r="AL637">
            <v>0</v>
          </cell>
          <cell r="AM637">
            <v>0</v>
          </cell>
        </row>
        <row r="638">
          <cell r="C638" t="str">
            <v/>
          </cell>
          <cell r="D638" t="str">
            <v/>
          </cell>
          <cell r="O638" t="str">
            <v/>
          </cell>
          <cell r="T638" t="str">
            <v/>
          </cell>
          <cell r="U638" t="str">
            <v/>
          </cell>
          <cell r="V638" t="str">
            <v/>
          </cell>
          <cell r="W638" t="str">
            <v/>
          </cell>
          <cell r="Y638" t="str">
            <v/>
          </cell>
          <cell r="AA638" t="str">
            <v/>
          </cell>
          <cell r="AB638">
            <v>0</v>
          </cell>
          <cell r="AC638">
            <v>0</v>
          </cell>
          <cell r="AI638" t="str">
            <v/>
          </cell>
          <cell r="AJ638" t="str">
            <v/>
          </cell>
          <cell r="AK638">
            <v>0</v>
          </cell>
          <cell r="AL638">
            <v>0</v>
          </cell>
          <cell r="AM638">
            <v>0</v>
          </cell>
        </row>
        <row r="639">
          <cell r="C639" t="str">
            <v/>
          </cell>
          <cell r="D639" t="str">
            <v/>
          </cell>
          <cell r="O639" t="str">
            <v/>
          </cell>
          <cell r="T639" t="str">
            <v/>
          </cell>
          <cell r="U639" t="str">
            <v/>
          </cell>
          <cell r="V639" t="str">
            <v/>
          </cell>
          <cell r="W639" t="str">
            <v/>
          </cell>
          <cell r="Y639" t="str">
            <v/>
          </cell>
          <cell r="AA639" t="str">
            <v/>
          </cell>
          <cell r="AB639">
            <v>0</v>
          </cell>
          <cell r="AC639">
            <v>0</v>
          </cell>
          <cell r="AI639" t="str">
            <v/>
          </cell>
          <cell r="AJ639" t="str">
            <v/>
          </cell>
          <cell r="AK639">
            <v>0</v>
          </cell>
          <cell r="AL639">
            <v>0</v>
          </cell>
          <cell r="AM639">
            <v>0</v>
          </cell>
        </row>
        <row r="640">
          <cell r="C640" t="str">
            <v/>
          </cell>
          <cell r="D640" t="str">
            <v/>
          </cell>
          <cell r="O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/>
          </cell>
          <cell r="Y640" t="str">
            <v/>
          </cell>
          <cell r="AA640" t="str">
            <v/>
          </cell>
          <cell r="AB640">
            <v>0</v>
          </cell>
          <cell r="AC640">
            <v>0</v>
          </cell>
          <cell r="AI640" t="str">
            <v/>
          </cell>
          <cell r="AJ640" t="str">
            <v/>
          </cell>
          <cell r="AK640">
            <v>0</v>
          </cell>
          <cell r="AL640">
            <v>0</v>
          </cell>
          <cell r="AM640">
            <v>0</v>
          </cell>
        </row>
        <row r="641">
          <cell r="C641" t="str">
            <v/>
          </cell>
          <cell r="D641" t="str">
            <v/>
          </cell>
          <cell r="O641" t="str">
            <v/>
          </cell>
          <cell r="T641" t="str">
            <v/>
          </cell>
          <cell r="U641" t="str">
            <v/>
          </cell>
          <cell r="V641" t="str">
            <v/>
          </cell>
          <cell r="W641" t="str">
            <v/>
          </cell>
          <cell r="Y641" t="str">
            <v/>
          </cell>
          <cell r="AA641" t="str">
            <v/>
          </cell>
          <cell r="AB641">
            <v>0</v>
          </cell>
          <cell r="AC641">
            <v>0</v>
          </cell>
          <cell r="AI641" t="str">
            <v/>
          </cell>
          <cell r="AJ641" t="str">
            <v/>
          </cell>
          <cell r="AK641">
            <v>0</v>
          </cell>
          <cell r="AL641">
            <v>0</v>
          </cell>
          <cell r="AM641">
            <v>0</v>
          </cell>
        </row>
        <row r="642">
          <cell r="C642" t="str">
            <v/>
          </cell>
          <cell r="D642" t="str">
            <v/>
          </cell>
          <cell r="O642" t="str">
            <v/>
          </cell>
          <cell r="T642" t="str">
            <v/>
          </cell>
          <cell r="U642" t="str">
            <v/>
          </cell>
          <cell r="V642" t="str">
            <v/>
          </cell>
          <cell r="W642" t="str">
            <v/>
          </cell>
          <cell r="Y642" t="str">
            <v/>
          </cell>
          <cell r="AA642" t="str">
            <v/>
          </cell>
          <cell r="AB642">
            <v>0</v>
          </cell>
          <cell r="AC642">
            <v>0</v>
          </cell>
          <cell r="AI642" t="str">
            <v/>
          </cell>
          <cell r="AJ642" t="str">
            <v/>
          </cell>
          <cell r="AK642">
            <v>0</v>
          </cell>
          <cell r="AL642">
            <v>0</v>
          </cell>
          <cell r="AM642">
            <v>0</v>
          </cell>
        </row>
        <row r="643">
          <cell r="C643" t="str">
            <v/>
          </cell>
          <cell r="D643" t="str">
            <v/>
          </cell>
          <cell r="O643" t="str">
            <v/>
          </cell>
          <cell r="T643" t="str">
            <v/>
          </cell>
          <cell r="U643" t="str">
            <v/>
          </cell>
          <cell r="V643" t="str">
            <v/>
          </cell>
          <cell r="W643" t="str">
            <v/>
          </cell>
          <cell r="Y643" t="str">
            <v/>
          </cell>
          <cell r="AA643" t="str">
            <v/>
          </cell>
          <cell r="AB643">
            <v>0</v>
          </cell>
          <cell r="AC643">
            <v>0</v>
          </cell>
          <cell r="AI643" t="str">
            <v/>
          </cell>
          <cell r="AJ643" t="str">
            <v/>
          </cell>
          <cell r="AK643">
            <v>0</v>
          </cell>
          <cell r="AL643">
            <v>0</v>
          </cell>
          <cell r="AM643">
            <v>0</v>
          </cell>
        </row>
        <row r="644">
          <cell r="C644" t="str">
            <v/>
          </cell>
          <cell r="D644" t="str">
            <v/>
          </cell>
          <cell r="O644" t="str">
            <v/>
          </cell>
          <cell r="T644" t="str">
            <v/>
          </cell>
          <cell r="U644" t="str">
            <v/>
          </cell>
          <cell r="V644" t="str">
            <v/>
          </cell>
          <cell r="W644" t="str">
            <v/>
          </cell>
          <cell r="Y644" t="str">
            <v/>
          </cell>
          <cell r="AA644" t="str">
            <v/>
          </cell>
          <cell r="AB644">
            <v>0</v>
          </cell>
          <cell r="AC644">
            <v>0</v>
          </cell>
          <cell r="AI644" t="str">
            <v/>
          </cell>
          <cell r="AJ644" t="str">
            <v/>
          </cell>
          <cell r="AK644">
            <v>0</v>
          </cell>
          <cell r="AL644">
            <v>0</v>
          </cell>
          <cell r="AM644">
            <v>0</v>
          </cell>
        </row>
        <row r="645">
          <cell r="C645" t="str">
            <v/>
          </cell>
          <cell r="D645" t="str">
            <v/>
          </cell>
          <cell r="O645" t="str">
            <v/>
          </cell>
          <cell r="T645" t="str">
            <v/>
          </cell>
          <cell r="U645" t="str">
            <v/>
          </cell>
          <cell r="V645" t="str">
            <v/>
          </cell>
          <cell r="W645" t="str">
            <v/>
          </cell>
          <cell r="Y645" t="str">
            <v/>
          </cell>
          <cell r="AA645" t="str">
            <v/>
          </cell>
          <cell r="AB645">
            <v>0</v>
          </cell>
          <cell r="AC645">
            <v>0</v>
          </cell>
          <cell r="AI645" t="str">
            <v/>
          </cell>
          <cell r="AJ645" t="str">
            <v/>
          </cell>
          <cell r="AK645">
            <v>0</v>
          </cell>
          <cell r="AL645">
            <v>0</v>
          </cell>
          <cell r="AM645">
            <v>0</v>
          </cell>
        </row>
        <row r="646">
          <cell r="C646" t="str">
            <v/>
          </cell>
          <cell r="D646" t="str">
            <v/>
          </cell>
          <cell r="O646" t="str">
            <v/>
          </cell>
          <cell r="T646" t="str">
            <v/>
          </cell>
          <cell r="U646" t="str">
            <v/>
          </cell>
          <cell r="V646" t="str">
            <v/>
          </cell>
          <cell r="W646" t="str">
            <v/>
          </cell>
          <cell r="Y646" t="str">
            <v/>
          </cell>
          <cell r="AA646" t="str">
            <v/>
          </cell>
          <cell r="AB646">
            <v>0</v>
          </cell>
          <cell r="AC646">
            <v>0</v>
          </cell>
          <cell r="AI646" t="str">
            <v/>
          </cell>
          <cell r="AJ646" t="str">
            <v/>
          </cell>
          <cell r="AK646">
            <v>0</v>
          </cell>
          <cell r="AL646">
            <v>0</v>
          </cell>
          <cell r="AM646">
            <v>0</v>
          </cell>
        </row>
        <row r="647">
          <cell r="C647" t="str">
            <v/>
          </cell>
          <cell r="D647" t="str">
            <v/>
          </cell>
          <cell r="O647" t="str">
            <v/>
          </cell>
          <cell r="T647" t="str">
            <v/>
          </cell>
          <cell r="U647" t="str">
            <v/>
          </cell>
          <cell r="V647" t="str">
            <v/>
          </cell>
          <cell r="W647" t="str">
            <v/>
          </cell>
          <cell r="Y647" t="str">
            <v/>
          </cell>
          <cell r="AA647" t="str">
            <v/>
          </cell>
          <cell r="AB647">
            <v>0</v>
          </cell>
          <cell r="AC647">
            <v>0</v>
          </cell>
          <cell r="AI647" t="str">
            <v/>
          </cell>
          <cell r="AJ647" t="str">
            <v/>
          </cell>
          <cell r="AK647">
            <v>0</v>
          </cell>
          <cell r="AL647">
            <v>0</v>
          </cell>
          <cell r="AM647">
            <v>0</v>
          </cell>
        </row>
        <row r="648">
          <cell r="C648" t="str">
            <v/>
          </cell>
          <cell r="D648" t="str">
            <v/>
          </cell>
          <cell r="O648" t="str">
            <v/>
          </cell>
          <cell r="T648" t="str">
            <v/>
          </cell>
          <cell r="U648" t="str">
            <v/>
          </cell>
          <cell r="V648" t="str">
            <v/>
          </cell>
          <cell r="W648" t="str">
            <v/>
          </cell>
          <cell r="Y648" t="str">
            <v/>
          </cell>
          <cell r="AA648" t="str">
            <v/>
          </cell>
          <cell r="AB648">
            <v>0</v>
          </cell>
          <cell r="AC648">
            <v>0</v>
          </cell>
          <cell r="AI648" t="str">
            <v/>
          </cell>
          <cell r="AJ648" t="str">
            <v/>
          </cell>
          <cell r="AK648">
            <v>0</v>
          </cell>
          <cell r="AL648">
            <v>0</v>
          </cell>
          <cell r="AM648">
            <v>0</v>
          </cell>
        </row>
        <row r="649">
          <cell r="C649" t="str">
            <v/>
          </cell>
          <cell r="D649" t="str">
            <v/>
          </cell>
          <cell r="O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/>
          </cell>
          <cell r="Y649" t="str">
            <v/>
          </cell>
          <cell r="AA649" t="str">
            <v/>
          </cell>
          <cell r="AB649">
            <v>0</v>
          </cell>
          <cell r="AC649">
            <v>0</v>
          </cell>
          <cell r="AI649" t="str">
            <v/>
          </cell>
          <cell r="AJ649" t="str">
            <v/>
          </cell>
          <cell r="AK649">
            <v>0</v>
          </cell>
          <cell r="AL649">
            <v>0</v>
          </cell>
          <cell r="AM649">
            <v>0</v>
          </cell>
        </row>
        <row r="650">
          <cell r="C650" t="str">
            <v/>
          </cell>
          <cell r="D650" t="str">
            <v/>
          </cell>
          <cell r="O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/>
          </cell>
          <cell r="Y650" t="str">
            <v/>
          </cell>
          <cell r="AA650" t="str">
            <v/>
          </cell>
          <cell r="AB650">
            <v>0</v>
          </cell>
          <cell r="AC650">
            <v>0</v>
          </cell>
          <cell r="AI650" t="str">
            <v/>
          </cell>
          <cell r="AJ650" t="str">
            <v/>
          </cell>
          <cell r="AK650">
            <v>0</v>
          </cell>
          <cell r="AL650">
            <v>0</v>
          </cell>
          <cell r="AM650">
            <v>0</v>
          </cell>
        </row>
        <row r="651">
          <cell r="C651" t="str">
            <v/>
          </cell>
          <cell r="D651" t="str">
            <v/>
          </cell>
          <cell r="O651" t="str">
            <v/>
          </cell>
          <cell r="T651" t="str">
            <v/>
          </cell>
          <cell r="U651" t="str">
            <v/>
          </cell>
          <cell r="V651" t="str">
            <v/>
          </cell>
          <cell r="W651" t="str">
            <v/>
          </cell>
          <cell r="Y651" t="str">
            <v/>
          </cell>
          <cell r="AA651" t="str">
            <v/>
          </cell>
          <cell r="AB651">
            <v>0</v>
          </cell>
          <cell r="AC651">
            <v>0</v>
          </cell>
          <cell r="AI651" t="str">
            <v/>
          </cell>
          <cell r="AJ651" t="str">
            <v/>
          </cell>
          <cell r="AK651">
            <v>0</v>
          </cell>
          <cell r="AL651">
            <v>0</v>
          </cell>
          <cell r="AM651">
            <v>0</v>
          </cell>
        </row>
        <row r="652">
          <cell r="C652" t="str">
            <v/>
          </cell>
          <cell r="D652" t="str">
            <v/>
          </cell>
          <cell r="O652" t="str">
            <v/>
          </cell>
          <cell r="T652" t="str">
            <v/>
          </cell>
          <cell r="U652" t="str">
            <v/>
          </cell>
          <cell r="V652" t="str">
            <v/>
          </cell>
          <cell r="W652" t="str">
            <v/>
          </cell>
          <cell r="Y652" t="str">
            <v/>
          </cell>
          <cell r="AA652" t="str">
            <v/>
          </cell>
          <cell r="AB652">
            <v>0</v>
          </cell>
          <cell r="AC652">
            <v>0</v>
          </cell>
          <cell r="AI652" t="str">
            <v/>
          </cell>
          <cell r="AJ652" t="str">
            <v/>
          </cell>
          <cell r="AK652">
            <v>0</v>
          </cell>
          <cell r="AL652">
            <v>0</v>
          </cell>
          <cell r="AM652">
            <v>0</v>
          </cell>
        </row>
        <row r="653">
          <cell r="C653" t="str">
            <v/>
          </cell>
          <cell r="D653" t="str">
            <v/>
          </cell>
          <cell r="O653" t="str">
            <v/>
          </cell>
          <cell r="T653" t="str">
            <v/>
          </cell>
          <cell r="U653" t="str">
            <v/>
          </cell>
          <cell r="V653" t="str">
            <v/>
          </cell>
          <cell r="W653" t="str">
            <v/>
          </cell>
          <cell r="Y653" t="str">
            <v/>
          </cell>
          <cell r="AA653" t="str">
            <v/>
          </cell>
          <cell r="AB653">
            <v>0</v>
          </cell>
          <cell r="AC653">
            <v>0</v>
          </cell>
          <cell r="AI653" t="str">
            <v/>
          </cell>
          <cell r="AJ653" t="str">
            <v/>
          </cell>
          <cell r="AK653">
            <v>0</v>
          </cell>
          <cell r="AL653">
            <v>0</v>
          </cell>
          <cell r="AM653">
            <v>0</v>
          </cell>
        </row>
        <row r="654">
          <cell r="C654" t="str">
            <v/>
          </cell>
          <cell r="D654" t="str">
            <v/>
          </cell>
          <cell r="O654" t="str">
            <v/>
          </cell>
          <cell r="T654" t="str">
            <v/>
          </cell>
          <cell r="U654" t="str">
            <v/>
          </cell>
          <cell r="V654" t="str">
            <v/>
          </cell>
          <cell r="W654" t="str">
            <v/>
          </cell>
          <cell r="Y654" t="str">
            <v/>
          </cell>
          <cell r="AA654" t="str">
            <v/>
          </cell>
          <cell r="AB654">
            <v>0</v>
          </cell>
          <cell r="AC654">
            <v>0</v>
          </cell>
          <cell r="AI654" t="str">
            <v/>
          </cell>
          <cell r="AJ654" t="str">
            <v/>
          </cell>
          <cell r="AK654">
            <v>0</v>
          </cell>
          <cell r="AL654">
            <v>0</v>
          </cell>
          <cell r="AM654">
            <v>0</v>
          </cell>
        </row>
        <row r="655">
          <cell r="C655" t="str">
            <v/>
          </cell>
          <cell r="D655" t="str">
            <v/>
          </cell>
          <cell r="O655" t="str">
            <v/>
          </cell>
          <cell r="T655" t="str">
            <v/>
          </cell>
          <cell r="U655" t="str">
            <v/>
          </cell>
          <cell r="V655" t="str">
            <v/>
          </cell>
          <cell r="W655" t="str">
            <v/>
          </cell>
          <cell r="Y655" t="str">
            <v/>
          </cell>
          <cell r="AA655" t="str">
            <v/>
          </cell>
          <cell r="AB655">
            <v>0</v>
          </cell>
          <cell r="AC655">
            <v>0</v>
          </cell>
          <cell r="AI655" t="str">
            <v/>
          </cell>
          <cell r="AJ655" t="str">
            <v/>
          </cell>
          <cell r="AK655">
            <v>0</v>
          </cell>
          <cell r="AL655">
            <v>0</v>
          </cell>
          <cell r="AM655">
            <v>0</v>
          </cell>
        </row>
        <row r="656">
          <cell r="C656" t="str">
            <v/>
          </cell>
          <cell r="D656" t="str">
            <v/>
          </cell>
          <cell r="O656" t="str">
            <v/>
          </cell>
          <cell r="T656" t="str">
            <v/>
          </cell>
          <cell r="U656" t="str">
            <v/>
          </cell>
          <cell r="V656" t="str">
            <v/>
          </cell>
          <cell r="W656" t="str">
            <v/>
          </cell>
          <cell r="Y656" t="str">
            <v/>
          </cell>
          <cell r="AA656" t="str">
            <v/>
          </cell>
          <cell r="AB656">
            <v>0</v>
          </cell>
          <cell r="AC656">
            <v>0</v>
          </cell>
          <cell r="AI656" t="str">
            <v/>
          </cell>
          <cell r="AJ656" t="str">
            <v/>
          </cell>
          <cell r="AK656">
            <v>0</v>
          </cell>
          <cell r="AL656">
            <v>0</v>
          </cell>
          <cell r="AM656">
            <v>0</v>
          </cell>
        </row>
        <row r="657">
          <cell r="C657" t="str">
            <v/>
          </cell>
          <cell r="D657" t="str">
            <v/>
          </cell>
          <cell r="O657" t="str">
            <v/>
          </cell>
          <cell r="T657" t="str">
            <v/>
          </cell>
          <cell r="U657" t="str">
            <v/>
          </cell>
          <cell r="V657" t="str">
            <v/>
          </cell>
          <cell r="W657" t="str">
            <v/>
          </cell>
          <cell r="Y657" t="str">
            <v/>
          </cell>
          <cell r="AA657" t="str">
            <v/>
          </cell>
          <cell r="AB657">
            <v>0</v>
          </cell>
          <cell r="AC657">
            <v>0</v>
          </cell>
          <cell r="AI657" t="str">
            <v/>
          </cell>
          <cell r="AJ657" t="str">
            <v/>
          </cell>
          <cell r="AK657">
            <v>0</v>
          </cell>
          <cell r="AL657">
            <v>0</v>
          </cell>
          <cell r="AM657">
            <v>0</v>
          </cell>
        </row>
        <row r="658">
          <cell r="C658" t="str">
            <v/>
          </cell>
          <cell r="D658" t="str">
            <v/>
          </cell>
          <cell r="O658" t="str">
            <v/>
          </cell>
          <cell r="T658" t="str">
            <v/>
          </cell>
          <cell r="U658" t="str">
            <v/>
          </cell>
          <cell r="V658" t="str">
            <v/>
          </cell>
          <cell r="W658" t="str">
            <v/>
          </cell>
          <cell r="Y658" t="str">
            <v/>
          </cell>
          <cell r="AA658" t="str">
            <v/>
          </cell>
          <cell r="AB658">
            <v>0</v>
          </cell>
          <cell r="AC658">
            <v>0</v>
          </cell>
          <cell r="AI658" t="str">
            <v/>
          </cell>
          <cell r="AJ658" t="str">
            <v/>
          </cell>
          <cell r="AK658">
            <v>0</v>
          </cell>
          <cell r="AL658">
            <v>0</v>
          </cell>
          <cell r="AM658">
            <v>0</v>
          </cell>
        </row>
        <row r="659">
          <cell r="C659" t="str">
            <v/>
          </cell>
          <cell r="D659" t="str">
            <v/>
          </cell>
          <cell r="O659" t="str">
            <v/>
          </cell>
          <cell r="T659" t="str">
            <v/>
          </cell>
          <cell r="U659" t="str">
            <v/>
          </cell>
          <cell r="V659" t="str">
            <v/>
          </cell>
          <cell r="W659" t="str">
            <v/>
          </cell>
          <cell r="Y659" t="str">
            <v/>
          </cell>
          <cell r="AA659" t="str">
            <v/>
          </cell>
          <cell r="AB659">
            <v>0</v>
          </cell>
          <cell r="AC659">
            <v>0</v>
          </cell>
          <cell r="AI659" t="str">
            <v/>
          </cell>
          <cell r="AJ659" t="str">
            <v/>
          </cell>
          <cell r="AK659">
            <v>0</v>
          </cell>
          <cell r="AL659">
            <v>0</v>
          </cell>
          <cell r="AM659">
            <v>0</v>
          </cell>
        </row>
        <row r="660">
          <cell r="C660" t="str">
            <v/>
          </cell>
          <cell r="D660" t="str">
            <v/>
          </cell>
          <cell r="O660" t="str">
            <v/>
          </cell>
          <cell r="T660" t="str">
            <v/>
          </cell>
          <cell r="U660" t="str">
            <v/>
          </cell>
          <cell r="V660" t="str">
            <v/>
          </cell>
          <cell r="W660" t="str">
            <v/>
          </cell>
          <cell r="Y660" t="str">
            <v/>
          </cell>
          <cell r="AA660" t="str">
            <v/>
          </cell>
          <cell r="AB660">
            <v>0</v>
          </cell>
          <cell r="AC660">
            <v>0</v>
          </cell>
          <cell r="AI660" t="str">
            <v/>
          </cell>
          <cell r="AJ660" t="str">
            <v/>
          </cell>
          <cell r="AK660">
            <v>0</v>
          </cell>
          <cell r="AL660">
            <v>0</v>
          </cell>
          <cell r="AM660">
            <v>0</v>
          </cell>
        </row>
        <row r="661">
          <cell r="C661" t="str">
            <v/>
          </cell>
          <cell r="D661" t="str">
            <v/>
          </cell>
          <cell r="O661" t="str">
            <v/>
          </cell>
          <cell r="T661" t="str">
            <v/>
          </cell>
          <cell r="U661" t="str">
            <v/>
          </cell>
          <cell r="V661" t="str">
            <v/>
          </cell>
          <cell r="W661" t="str">
            <v/>
          </cell>
          <cell r="Y661" t="str">
            <v/>
          </cell>
          <cell r="AA661" t="str">
            <v/>
          </cell>
          <cell r="AB661">
            <v>0</v>
          </cell>
          <cell r="AC661">
            <v>0</v>
          </cell>
          <cell r="AI661" t="str">
            <v/>
          </cell>
          <cell r="AJ661" t="str">
            <v/>
          </cell>
          <cell r="AK661">
            <v>0</v>
          </cell>
          <cell r="AL661">
            <v>0</v>
          </cell>
          <cell r="AM661">
            <v>0</v>
          </cell>
        </row>
        <row r="662">
          <cell r="C662" t="str">
            <v/>
          </cell>
          <cell r="D662" t="str">
            <v/>
          </cell>
          <cell r="O662" t="str">
            <v/>
          </cell>
          <cell r="T662" t="str">
            <v/>
          </cell>
          <cell r="U662" t="str">
            <v/>
          </cell>
          <cell r="V662" t="str">
            <v/>
          </cell>
          <cell r="W662" t="str">
            <v/>
          </cell>
          <cell r="Y662" t="str">
            <v/>
          </cell>
          <cell r="AA662" t="str">
            <v/>
          </cell>
          <cell r="AB662">
            <v>0</v>
          </cell>
          <cell r="AC662">
            <v>0</v>
          </cell>
          <cell r="AI662" t="str">
            <v/>
          </cell>
          <cell r="AJ662" t="str">
            <v/>
          </cell>
          <cell r="AK662">
            <v>0</v>
          </cell>
          <cell r="AL662">
            <v>0</v>
          </cell>
          <cell r="AM662">
            <v>0</v>
          </cell>
        </row>
        <row r="663">
          <cell r="C663" t="str">
            <v/>
          </cell>
          <cell r="D663" t="str">
            <v/>
          </cell>
          <cell r="O663" t="str">
            <v/>
          </cell>
          <cell r="T663" t="str">
            <v/>
          </cell>
          <cell r="U663" t="str">
            <v/>
          </cell>
          <cell r="V663" t="str">
            <v/>
          </cell>
          <cell r="W663" t="str">
            <v/>
          </cell>
          <cell r="Y663" t="str">
            <v/>
          </cell>
          <cell r="AA663" t="str">
            <v/>
          </cell>
          <cell r="AB663">
            <v>0</v>
          </cell>
          <cell r="AC663">
            <v>0</v>
          </cell>
          <cell r="AI663" t="str">
            <v/>
          </cell>
          <cell r="AJ663" t="str">
            <v/>
          </cell>
          <cell r="AK663">
            <v>0</v>
          </cell>
          <cell r="AL663">
            <v>0</v>
          </cell>
          <cell r="AM663">
            <v>0</v>
          </cell>
        </row>
        <row r="664">
          <cell r="C664" t="str">
            <v/>
          </cell>
          <cell r="D664" t="str">
            <v/>
          </cell>
          <cell r="O664" t="str">
            <v/>
          </cell>
          <cell r="T664" t="str">
            <v/>
          </cell>
          <cell r="U664" t="str">
            <v/>
          </cell>
          <cell r="V664" t="str">
            <v/>
          </cell>
          <cell r="W664" t="str">
            <v/>
          </cell>
          <cell r="Y664" t="str">
            <v/>
          </cell>
          <cell r="AA664" t="str">
            <v/>
          </cell>
          <cell r="AB664">
            <v>0</v>
          </cell>
          <cell r="AC664">
            <v>0</v>
          </cell>
          <cell r="AI664" t="str">
            <v/>
          </cell>
          <cell r="AJ664" t="str">
            <v/>
          </cell>
          <cell r="AK664">
            <v>0</v>
          </cell>
          <cell r="AL664">
            <v>0</v>
          </cell>
          <cell r="AM664">
            <v>0</v>
          </cell>
        </row>
        <row r="665">
          <cell r="C665" t="str">
            <v/>
          </cell>
          <cell r="D665" t="str">
            <v/>
          </cell>
          <cell r="O665" t="str">
            <v/>
          </cell>
          <cell r="T665" t="str">
            <v/>
          </cell>
          <cell r="U665" t="str">
            <v/>
          </cell>
          <cell r="V665" t="str">
            <v/>
          </cell>
          <cell r="W665" t="str">
            <v/>
          </cell>
          <cell r="Y665" t="str">
            <v/>
          </cell>
          <cell r="AA665" t="str">
            <v/>
          </cell>
          <cell r="AB665">
            <v>0</v>
          </cell>
          <cell r="AC665">
            <v>0</v>
          </cell>
          <cell r="AI665" t="str">
            <v/>
          </cell>
          <cell r="AJ665" t="str">
            <v/>
          </cell>
          <cell r="AK665">
            <v>0</v>
          </cell>
          <cell r="AL665">
            <v>0</v>
          </cell>
          <cell r="AM665">
            <v>0</v>
          </cell>
        </row>
        <row r="666">
          <cell r="C666" t="str">
            <v/>
          </cell>
          <cell r="D666" t="str">
            <v/>
          </cell>
          <cell r="O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/>
          </cell>
          <cell r="Y666" t="str">
            <v/>
          </cell>
          <cell r="AA666" t="str">
            <v/>
          </cell>
          <cell r="AB666">
            <v>0</v>
          </cell>
          <cell r="AC666">
            <v>0</v>
          </cell>
          <cell r="AI666" t="str">
            <v/>
          </cell>
          <cell r="AJ666" t="str">
            <v/>
          </cell>
          <cell r="AK666">
            <v>0</v>
          </cell>
          <cell r="AL666">
            <v>0</v>
          </cell>
          <cell r="AM666">
            <v>0</v>
          </cell>
        </row>
        <row r="667">
          <cell r="C667" t="str">
            <v/>
          </cell>
          <cell r="D667" t="str">
            <v/>
          </cell>
          <cell r="O667" t="str">
            <v/>
          </cell>
          <cell r="T667" t="str">
            <v/>
          </cell>
          <cell r="U667" t="str">
            <v/>
          </cell>
          <cell r="V667" t="str">
            <v/>
          </cell>
          <cell r="W667" t="str">
            <v/>
          </cell>
          <cell r="Y667" t="str">
            <v/>
          </cell>
          <cell r="AA667" t="str">
            <v/>
          </cell>
          <cell r="AB667">
            <v>0</v>
          </cell>
          <cell r="AC667">
            <v>0</v>
          </cell>
          <cell r="AI667" t="str">
            <v/>
          </cell>
          <cell r="AJ667" t="str">
            <v/>
          </cell>
          <cell r="AK667">
            <v>0</v>
          </cell>
          <cell r="AL667">
            <v>0</v>
          </cell>
          <cell r="AM667">
            <v>0</v>
          </cell>
        </row>
        <row r="668">
          <cell r="C668" t="str">
            <v/>
          </cell>
          <cell r="D668" t="str">
            <v/>
          </cell>
          <cell r="O668" t="str">
            <v/>
          </cell>
          <cell r="T668" t="str">
            <v/>
          </cell>
          <cell r="U668" t="str">
            <v/>
          </cell>
          <cell r="V668" t="str">
            <v/>
          </cell>
          <cell r="W668" t="str">
            <v/>
          </cell>
          <cell r="Y668" t="str">
            <v/>
          </cell>
          <cell r="AA668" t="str">
            <v/>
          </cell>
          <cell r="AB668">
            <v>0</v>
          </cell>
          <cell r="AC668">
            <v>0</v>
          </cell>
          <cell r="AI668" t="str">
            <v/>
          </cell>
          <cell r="AJ668" t="str">
            <v/>
          </cell>
          <cell r="AK668">
            <v>0</v>
          </cell>
          <cell r="AL668">
            <v>0</v>
          </cell>
          <cell r="AM668">
            <v>0</v>
          </cell>
        </row>
        <row r="669">
          <cell r="C669" t="str">
            <v/>
          </cell>
          <cell r="D669" t="str">
            <v/>
          </cell>
          <cell r="O669" t="str">
            <v/>
          </cell>
          <cell r="T669" t="str">
            <v/>
          </cell>
          <cell r="U669" t="str">
            <v/>
          </cell>
          <cell r="V669" t="str">
            <v/>
          </cell>
          <cell r="W669" t="str">
            <v/>
          </cell>
          <cell r="Y669" t="str">
            <v/>
          </cell>
          <cell r="AA669" t="str">
            <v/>
          </cell>
          <cell r="AB669">
            <v>0</v>
          </cell>
          <cell r="AC669">
            <v>0</v>
          </cell>
          <cell r="AI669" t="str">
            <v/>
          </cell>
          <cell r="AJ669" t="str">
            <v/>
          </cell>
          <cell r="AK669">
            <v>0</v>
          </cell>
          <cell r="AL669">
            <v>0</v>
          </cell>
          <cell r="AM669">
            <v>0</v>
          </cell>
        </row>
        <row r="670">
          <cell r="C670" t="str">
            <v/>
          </cell>
          <cell r="D670" t="str">
            <v/>
          </cell>
          <cell r="O670" t="str">
            <v/>
          </cell>
          <cell r="T670" t="str">
            <v/>
          </cell>
          <cell r="U670" t="str">
            <v/>
          </cell>
          <cell r="V670" t="str">
            <v/>
          </cell>
          <cell r="W670" t="str">
            <v/>
          </cell>
          <cell r="Y670" t="str">
            <v/>
          </cell>
          <cell r="AA670" t="str">
            <v/>
          </cell>
          <cell r="AB670">
            <v>0</v>
          </cell>
          <cell r="AC670">
            <v>0</v>
          </cell>
          <cell r="AI670" t="str">
            <v/>
          </cell>
          <cell r="AJ670" t="str">
            <v/>
          </cell>
          <cell r="AK670">
            <v>0</v>
          </cell>
          <cell r="AL670">
            <v>0</v>
          </cell>
          <cell r="AM670">
            <v>0</v>
          </cell>
        </row>
        <row r="671">
          <cell r="C671" t="str">
            <v/>
          </cell>
          <cell r="D671" t="str">
            <v/>
          </cell>
          <cell r="O671" t="str">
            <v/>
          </cell>
          <cell r="T671" t="str">
            <v/>
          </cell>
          <cell r="U671" t="str">
            <v/>
          </cell>
          <cell r="V671" t="str">
            <v/>
          </cell>
          <cell r="W671" t="str">
            <v/>
          </cell>
          <cell r="Y671" t="str">
            <v/>
          </cell>
          <cell r="AA671" t="str">
            <v/>
          </cell>
          <cell r="AB671">
            <v>0</v>
          </cell>
          <cell r="AC671">
            <v>0</v>
          </cell>
          <cell r="AI671" t="str">
            <v/>
          </cell>
          <cell r="AJ671" t="str">
            <v/>
          </cell>
          <cell r="AK671">
            <v>0</v>
          </cell>
          <cell r="AL671">
            <v>0</v>
          </cell>
          <cell r="AM671">
            <v>0</v>
          </cell>
        </row>
        <row r="672">
          <cell r="C672" t="str">
            <v/>
          </cell>
          <cell r="D672" t="str">
            <v/>
          </cell>
          <cell r="O672" t="str">
            <v/>
          </cell>
          <cell r="T672" t="str">
            <v/>
          </cell>
          <cell r="U672" t="str">
            <v/>
          </cell>
          <cell r="V672" t="str">
            <v/>
          </cell>
          <cell r="W672" t="str">
            <v/>
          </cell>
          <cell r="Y672" t="str">
            <v/>
          </cell>
          <cell r="AA672" t="str">
            <v/>
          </cell>
          <cell r="AB672">
            <v>0</v>
          </cell>
          <cell r="AC672">
            <v>0</v>
          </cell>
          <cell r="AI672" t="str">
            <v/>
          </cell>
          <cell r="AJ672" t="str">
            <v/>
          </cell>
          <cell r="AK672">
            <v>0</v>
          </cell>
          <cell r="AL672">
            <v>0</v>
          </cell>
          <cell r="AM672">
            <v>0</v>
          </cell>
        </row>
        <row r="673">
          <cell r="C673" t="str">
            <v/>
          </cell>
          <cell r="D673" t="str">
            <v/>
          </cell>
          <cell r="O673" t="str">
            <v/>
          </cell>
          <cell r="T673" t="str">
            <v/>
          </cell>
          <cell r="U673" t="str">
            <v/>
          </cell>
          <cell r="V673" t="str">
            <v/>
          </cell>
          <cell r="W673" t="str">
            <v/>
          </cell>
          <cell r="Y673" t="str">
            <v/>
          </cell>
          <cell r="AA673" t="str">
            <v/>
          </cell>
          <cell r="AB673">
            <v>0</v>
          </cell>
          <cell r="AC673">
            <v>0</v>
          </cell>
          <cell r="AI673" t="str">
            <v/>
          </cell>
          <cell r="AJ673" t="str">
            <v/>
          </cell>
          <cell r="AK673">
            <v>0</v>
          </cell>
          <cell r="AL673">
            <v>0</v>
          </cell>
          <cell r="AM673">
            <v>0</v>
          </cell>
        </row>
        <row r="674">
          <cell r="C674" t="str">
            <v/>
          </cell>
          <cell r="D674" t="str">
            <v/>
          </cell>
          <cell r="O674" t="str">
            <v/>
          </cell>
          <cell r="T674" t="str">
            <v/>
          </cell>
          <cell r="U674" t="str">
            <v/>
          </cell>
          <cell r="V674" t="str">
            <v/>
          </cell>
          <cell r="W674" t="str">
            <v/>
          </cell>
          <cell r="Y674" t="str">
            <v/>
          </cell>
          <cell r="AA674" t="str">
            <v/>
          </cell>
          <cell r="AB674">
            <v>0</v>
          </cell>
          <cell r="AC674">
            <v>0</v>
          </cell>
          <cell r="AI674" t="str">
            <v/>
          </cell>
          <cell r="AJ674" t="str">
            <v/>
          </cell>
          <cell r="AK674">
            <v>0</v>
          </cell>
          <cell r="AL674">
            <v>0</v>
          </cell>
          <cell r="AM674">
            <v>0</v>
          </cell>
        </row>
        <row r="675">
          <cell r="C675" t="str">
            <v/>
          </cell>
          <cell r="D675" t="str">
            <v/>
          </cell>
          <cell r="O675" t="str">
            <v/>
          </cell>
          <cell r="T675" t="str">
            <v/>
          </cell>
          <cell r="U675" t="str">
            <v/>
          </cell>
          <cell r="V675" t="str">
            <v/>
          </cell>
          <cell r="W675" t="str">
            <v/>
          </cell>
          <cell r="Y675" t="str">
            <v/>
          </cell>
          <cell r="AA675" t="str">
            <v/>
          </cell>
          <cell r="AB675">
            <v>0</v>
          </cell>
          <cell r="AC675">
            <v>0</v>
          </cell>
          <cell r="AI675" t="str">
            <v/>
          </cell>
          <cell r="AJ675" t="str">
            <v/>
          </cell>
          <cell r="AK675">
            <v>0</v>
          </cell>
          <cell r="AL675">
            <v>0</v>
          </cell>
          <cell r="AM675">
            <v>0</v>
          </cell>
        </row>
        <row r="676">
          <cell r="C676" t="str">
            <v/>
          </cell>
          <cell r="D676" t="str">
            <v/>
          </cell>
          <cell r="O676" t="str">
            <v/>
          </cell>
          <cell r="T676" t="str">
            <v/>
          </cell>
          <cell r="U676" t="str">
            <v/>
          </cell>
          <cell r="V676" t="str">
            <v/>
          </cell>
          <cell r="W676" t="str">
            <v/>
          </cell>
          <cell r="Y676" t="str">
            <v/>
          </cell>
          <cell r="AA676" t="str">
            <v/>
          </cell>
          <cell r="AB676">
            <v>0</v>
          </cell>
          <cell r="AC676">
            <v>0</v>
          </cell>
          <cell r="AI676" t="str">
            <v/>
          </cell>
          <cell r="AJ676" t="str">
            <v/>
          </cell>
          <cell r="AK676">
            <v>0</v>
          </cell>
          <cell r="AL676">
            <v>0</v>
          </cell>
          <cell r="AM676">
            <v>0</v>
          </cell>
        </row>
        <row r="677">
          <cell r="C677" t="str">
            <v/>
          </cell>
          <cell r="D677" t="str">
            <v/>
          </cell>
          <cell r="O677" t="str">
            <v/>
          </cell>
          <cell r="T677" t="str">
            <v/>
          </cell>
          <cell r="U677" t="str">
            <v/>
          </cell>
          <cell r="V677" t="str">
            <v/>
          </cell>
          <cell r="W677" t="str">
            <v/>
          </cell>
          <cell r="Y677" t="str">
            <v/>
          </cell>
          <cell r="AA677" t="str">
            <v/>
          </cell>
          <cell r="AB677">
            <v>0</v>
          </cell>
          <cell r="AC677">
            <v>0</v>
          </cell>
          <cell r="AI677" t="str">
            <v/>
          </cell>
          <cell r="AJ677" t="str">
            <v/>
          </cell>
          <cell r="AK677">
            <v>0</v>
          </cell>
          <cell r="AL677">
            <v>0</v>
          </cell>
          <cell r="AM677">
            <v>0</v>
          </cell>
        </row>
        <row r="678">
          <cell r="C678" t="str">
            <v/>
          </cell>
          <cell r="D678" t="str">
            <v/>
          </cell>
          <cell r="O678" t="str">
            <v/>
          </cell>
          <cell r="T678" t="str">
            <v/>
          </cell>
          <cell r="U678" t="str">
            <v/>
          </cell>
          <cell r="V678" t="str">
            <v/>
          </cell>
          <cell r="W678" t="str">
            <v/>
          </cell>
          <cell r="Y678" t="str">
            <v/>
          </cell>
          <cell r="AA678" t="str">
            <v/>
          </cell>
          <cell r="AB678">
            <v>0</v>
          </cell>
          <cell r="AC678">
            <v>0</v>
          </cell>
          <cell r="AI678" t="str">
            <v/>
          </cell>
          <cell r="AJ678" t="str">
            <v/>
          </cell>
          <cell r="AK678">
            <v>0</v>
          </cell>
          <cell r="AL678">
            <v>0</v>
          </cell>
          <cell r="AM678">
            <v>0</v>
          </cell>
        </row>
        <row r="679">
          <cell r="C679" t="str">
            <v/>
          </cell>
          <cell r="D679" t="str">
            <v/>
          </cell>
          <cell r="O679" t="str">
            <v/>
          </cell>
          <cell r="T679" t="str">
            <v/>
          </cell>
          <cell r="U679" t="str">
            <v/>
          </cell>
          <cell r="V679" t="str">
            <v/>
          </cell>
          <cell r="W679" t="str">
            <v/>
          </cell>
          <cell r="Y679" t="str">
            <v/>
          </cell>
          <cell r="AA679" t="str">
            <v/>
          </cell>
          <cell r="AB679">
            <v>0</v>
          </cell>
          <cell r="AC679">
            <v>0</v>
          </cell>
          <cell r="AI679" t="str">
            <v/>
          </cell>
          <cell r="AJ679" t="str">
            <v/>
          </cell>
          <cell r="AK679">
            <v>0</v>
          </cell>
          <cell r="AL679">
            <v>0</v>
          </cell>
          <cell r="AM679">
            <v>0</v>
          </cell>
        </row>
        <row r="680">
          <cell r="C680" t="str">
            <v/>
          </cell>
          <cell r="D680" t="str">
            <v/>
          </cell>
          <cell r="O680" t="str">
            <v/>
          </cell>
          <cell r="T680" t="str">
            <v/>
          </cell>
          <cell r="U680" t="str">
            <v/>
          </cell>
          <cell r="V680" t="str">
            <v/>
          </cell>
          <cell r="W680" t="str">
            <v/>
          </cell>
          <cell r="Y680" t="str">
            <v/>
          </cell>
          <cell r="AA680" t="str">
            <v/>
          </cell>
          <cell r="AB680">
            <v>0</v>
          </cell>
          <cell r="AC680">
            <v>0</v>
          </cell>
          <cell r="AI680" t="str">
            <v/>
          </cell>
          <cell r="AJ680" t="str">
            <v/>
          </cell>
          <cell r="AK680">
            <v>0</v>
          </cell>
          <cell r="AL680">
            <v>0</v>
          </cell>
          <cell r="AM680">
            <v>0</v>
          </cell>
        </row>
        <row r="681">
          <cell r="C681" t="str">
            <v/>
          </cell>
          <cell r="D681" t="str">
            <v/>
          </cell>
          <cell r="O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/>
          </cell>
          <cell r="Y681" t="str">
            <v/>
          </cell>
          <cell r="AA681" t="str">
            <v/>
          </cell>
          <cell r="AB681">
            <v>0</v>
          </cell>
          <cell r="AC681">
            <v>0</v>
          </cell>
          <cell r="AI681" t="str">
            <v/>
          </cell>
          <cell r="AJ681" t="str">
            <v/>
          </cell>
          <cell r="AK681">
            <v>0</v>
          </cell>
          <cell r="AL681">
            <v>0</v>
          </cell>
          <cell r="AM681">
            <v>0</v>
          </cell>
        </row>
        <row r="682">
          <cell r="C682" t="str">
            <v/>
          </cell>
          <cell r="D682" t="str">
            <v/>
          </cell>
          <cell r="O682" t="str">
            <v/>
          </cell>
          <cell r="T682" t="str">
            <v/>
          </cell>
          <cell r="U682" t="str">
            <v/>
          </cell>
          <cell r="V682" t="str">
            <v/>
          </cell>
          <cell r="W682" t="str">
            <v/>
          </cell>
          <cell r="Y682" t="str">
            <v/>
          </cell>
          <cell r="AA682" t="str">
            <v/>
          </cell>
          <cell r="AB682">
            <v>0</v>
          </cell>
          <cell r="AC682">
            <v>0</v>
          </cell>
          <cell r="AI682" t="str">
            <v/>
          </cell>
          <cell r="AJ682" t="str">
            <v/>
          </cell>
          <cell r="AK682">
            <v>0</v>
          </cell>
          <cell r="AL682">
            <v>0</v>
          </cell>
          <cell r="AM682">
            <v>0</v>
          </cell>
        </row>
        <row r="683">
          <cell r="C683" t="str">
            <v/>
          </cell>
          <cell r="D683" t="str">
            <v/>
          </cell>
          <cell r="O683" t="str">
            <v/>
          </cell>
          <cell r="T683" t="str">
            <v/>
          </cell>
          <cell r="U683" t="str">
            <v/>
          </cell>
          <cell r="V683" t="str">
            <v/>
          </cell>
          <cell r="W683" t="str">
            <v/>
          </cell>
          <cell r="Y683" t="str">
            <v/>
          </cell>
          <cell r="AA683" t="str">
            <v/>
          </cell>
          <cell r="AB683">
            <v>0</v>
          </cell>
          <cell r="AC683">
            <v>0</v>
          </cell>
          <cell r="AI683" t="str">
            <v/>
          </cell>
          <cell r="AJ683" t="str">
            <v/>
          </cell>
          <cell r="AK683">
            <v>0</v>
          </cell>
          <cell r="AL683">
            <v>0</v>
          </cell>
          <cell r="AM683">
            <v>0</v>
          </cell>
        </row>
        <row r="684">
          <cell r="C684" t="str">
            <v/>
          </cell>
          <cell r="D684" t="str">
            <v/>
          </cell>
          <cell r="O684" t="str">
            <v/>
          </cell>
          <cell r="T684" t="str">
            <v/>
          </cell>
          <cell r="U684" t="str">
            <v/>
          </cell>
          <cell r="V684" t="str">
            <v/>
          </cell>
          <cell r="W684" t="str">
            <v/>
          </cell>
          <cell r="Y684" t="str">
            <v/>
          </cell>
          <cell r="AA684" t="str">
            <v/>
          </cell>
          <cell r="AB684">
            <v>0</v>
          </cell>
          <cell r="AC684">
            <v>0</v>
          </cell>
          <cell r="AI684" t="str">
            <v/>
          </cell>
          <cell r="AJ684" t="str">
            <v/>
          </cell>
          <cell r="AK684">
            <v>0</v>
          </cell>
          <cell r="AL684">
            <v>0</v>
          </cell>
          <cell r="AM684">
            <v>0</v>
          </cell>
        </row>
        <row r="685">
          <cell r="C685" t="str">
            <v/>
          </cell>
          <cell r="D685" t="str">
            <v/>
          </cell>
          <cell r="O685" t="str">
            <v/>
          </cell>
          <cell r="T685" t="str">
            <v/>
          </cell>
          <cell r="U685" t="str">
            <v/>
          </cell>
          <cell r="V685" t="str">
            <v/>
          </cell>
          <cell r="W685" t="str">
            <v/>
          </cell>
          <cell r="Y685" t="str">
            <v/>
          </cell>
          <cell r="AA685" t="str">
            <v/>
          </cell>
          <cell r="AB685">
            <v>0</v>
          </cell>
          <cell r="AC685">
            <v>0</v>
          </cell>
          <cell r="AI685" t="str">
            <v/>
          </cell>
          <cell r="AJ685" t="str">
            <v/>
          </cell>
          <cell r="AK685">
            <v>0</v>
          </cell>
          <cell r="AL685">
            <v>0</v>
          </cell>
          <cell r="AM685">
            <v>0</v>
          </cell>
        </row>
        <row r="686">
          <cell r="C686" t="str">
            <v/>
          </cell>
          <cell r="D686" t="str">
            <v/>
          </cell>
          <cell r="O686" t="str">
            <v/>
          </cell>
          <cell r="T686" t="str">
            <v/>
          </cell>
          <cell r="U686" t="str">
            <v/>
          </cell>
          <cell r="V686" t="str">
            <v/>
          </cell>
          <cell r="W686" t="str">
            <v/>
          </cell>
          <cell r="Y686" t="str">
            <v/>
          </cell>
          <cell r="AA686" t="str">
            <v/>
          </cell>
          <cell r="AB686">
            <v>0</v>
          </cell>
          <cell r="AC686">
            <v>0</v>
          </cell>
          <cell r="AI686" t="str">
            <v/>
          </cell>
          <cell r="AJ686" t="str">
            <v/>
          </cell>
          <cell r="AK686">
            <v>0</v>
          </cell>
          <cell r="AL686">
            <v>0</v>
          </cell>
          <cell r="AM686">
            <v>0</v>
          </cell>
        </row>
        <row r="687">
          <cell r="C687" t="str">
            <v/>
          </cell>
          <cell r="D687" t="str">
            <v/>
          </cell>
          <cell r="O687" t="str">
            <v/>
          </cell>
          <cell r="T687" t="str">
            <v/>
          </cell>
          <cell r="U687" t="str">
            <v/>
          </cell>
          <cell r="V687" t="str">
            <v/>
          </cell>
          <cell r="W687" t="str">
            <v/>
          </cell>
          <cell r="Y687" t="str">
            <v/>
          </cell>
          <cell r="AA687" t="str">
            <v/>
          </cell>
          <cell r="AB687">
            <v>0</v>
          </cell>
          <cell r="AC687">
            <v>0</v>
          </cell>
          <cell r="AI687" t="str">
            <v/>
          </cell>
          <cell r="AJ687" t="str">
            <v/>
          </cell>
          <cell r="AK687">
            <v>0</v>
          </cell>
          <cell r="AL687">
            <v>0</v>
          </cell>
          <cell r="AM687">
            <v>0</v>
          </cell>
        </row>
        <row r="688">
          <cell r="C688" t="str">
            <v/>
          </cell>
          <cell r="D688" t="str">
            <v/>
          </cell>
          <cell r="O688" t="str">
            <v/>
          </cell>
          <cell r="T688" t="str">
            <v/>
          </cell>
          <cell r="U688" t="str">
            <v/>
          </cell>
          <cell r="V688" t="str">
            <v/>
          </cell>
          <cell r="W688" t="str">
            <v/>
          </cell>
          <cell r="Y688" t="str">
            <v/>
          </cell>
          <cell r="AA688" t="str">
            <v/>
          </cell>
          <cell r="AB688">
            <v>0</v>
          </cell>
          <cell r="AC688">
            <v>0</v>
          </cell>
          <cell r="AI688" t="str">
            <v/>
          </cell>
          <cell r="AJ688" t="str">
            <v/>
          </cell>
          <cell r="AK688">
            <v>0</v>
          </cell>
          <cell r="AL688">
            <v>0</v>
          </cell>
          <cell r="AM688">
            <v>0</v>
          </cell>
        </row>
        <row r="689">
          <cell r="C689" t="str">
            <v/>
          </cell>
          <cell r="D689" t="str">
            <v/>
          </cell>
          <cell r="O689" t="str">
            <v/>
          </cell>
          <cell r="T689" t="str">
            <v/>
          </cell>
          <cell r="U689" t="str">
            <v/>
          </cell>
          <cell r="V689" t="str">
            <v/>
          </cell>
          <cell r="W689" t="str">
            <v/>
          </cell>
          <cell r="Y689" t="str">
            <v/>
          </cell>
          <cell r="AA689" t="str">
            <v/>
          </cell>
          <cell r="AB689">
            <v>0</v>
          </cell>
          <cell r="AC689">
            <v>0</v>
          </cell>
          <cell r="AI689" t="str">
            <v/>
          </cell>
          <cell r="AJ689" t="str">
            <v/>
          </cell>
          <cell r="AK689">
            <v>0</v>
          </cell>
          <cell r="AL689">
            <v>0</v>
          </cell>
          <cell r="AM689">
            <v>0</v>
          </cell>
        </row>
        <row r="690">
          <cell r="C690" t="str">
            <v/>
          </cell>
          <cell r="D690" t="str">
            <v/>
          </cell>
          <cell r="O690" t="str">
            <v/>
          </cell>
          <cell r="T690" t="str">
            <v/>
          </cell>
          <cell r="U690" t="str">
            <v/>
          </cell>
          <cell r="V690" t="str">
            <v/>
          </cell>
          <cell r="W690" t="str">
            <v/>
          </cell>
          <cell r="Y690" t="str">
            <v/>
          </cell>
          <cell r="AA690" t="str">
            <v/>
          </cell>
          <cell r="AB690">
            <v>0</v>
          </cell>
          <cell r="AC690">
            <v>0</v>
          </cell>
          <cell r="AI690" t="str">
            <v/>
          </cell>
          <cell r="AJ690" t="str">
            <v/>
          </cell>
          <cell r="AK690">
            <v>0</v>
          </cell>
          <cell r="AL690">
            <v>0</v>
          </cell>
          <cell r="AM690">
            <v>0</v>
          </cell>
        </row>
        <row r="691">
          <cell r="C691" t="str">
            <v/>
          </cell>
          <cell r="D691" t="str">
            <v/>
          </cell>
          <cell r="O691" t="str">
            <v/>
          </cell>
          <cell r="T691" t="str">
            <v/>
          </cell>
          <cell r="U691" t="str">
            <v/>
          </cell>
          <cell r="V691" t="str">
            <v/>
          </cell>
          <cell r="W691" t="str">
            <v/>
          </cell>
          <cell r="Y691" t="str">
            <v/>
          </cell>
          <cell r="AA691" t="str">
            <v/>
          </cell>
          <cell r="AB691">
            <v>0</v>
          </cell>
          <cell r="AC691">
            <v>0</v>
          </cell>
          <cell r="AI691" t="str">
            <v/>
          </cell>
          <cell r="AJ691" t="str">
            <v/>
          </cell>
          <cell r="AK691">
            <v>0</v>
          </cell>
          <cell r="AL691">
            <v>0</v>
          </cell>
          <cell r="AM691">
            <v>0</v>
          </cell>
        </row>
        <row r="692">
          <cell r="C692" t="str">
            <v/>
          </cell>
          <cell r="D692" t="str">
            <v/>
          </cell>
          <cell r="O692" t="str">
            <v/>
          </cell>
          <cell r="T692" t="str">
            <v/>
          </cell>
          <cell r="U692" t="str">
            <v/>
          </cell>
          <cell r="V692" t="str">
            <v/>
          </cell>
          <cell r="W692" t="str">
            <v/>
          </cell>
          <cell r="Y692" t="str">
            <v/>
          </cell>
          <cell r="AA692" t="str">
            <v/>
          </cell>
          <cell r="AB692">
            <v>0</v>
          </cell>
          <cell r="AC692">
            <v>0</v>
          </cell>
          <cell r="AI692" t="str">
            <v/>
          </cell>
          <cell r="AJ692" t="str">
            <v/>
          </cell>
          <cell r="AK692">
            <v>0</v>
          </cell>
          <cell r="AL692">
            <v>0</v>
          </cell>
          <cell r="AM692">
            <v>0</v>
          </cell>
        </row>
        <row r="693">
          <cell r="C693" t="str">
            <v/>
          </cell>
          <cell r="D693" t="str">
            <v/>
          </cell>
          <cell r="O693" t="str">
            <v/>
          </cell>
          <cell r="T693" t="str">
            <v/>
          </cell>
          <cell r="U693" t="str">
            <v/>
          </cell>
          <cell r="V693" t="str">
            <v/>
          </cell>
          <cell r="W693" t="str">
            <v/>
          </cell>
          <cell r="Y693" t="str">
            <v/>
          </cell>
          <cell r="AA693" t="str">
            <v/>
          </cell>
          <cell r="AB693">
            <v>0</v>
          </cell>
          <cell r="AC693">
            <v>0</v>
          </cell>
          <cell r="AI693" t="str">
            <v/>
          </cell>
          <cell r="AJ693" t="str">
            <v/>
          </cell>
          <cell r="AK693">
            <v>0</v>
          </cell>
          <cell r="AL693">
            <v>0</v>
          </cell>
          <cell r="AM693">
            <v>0</v>
          </cell>
        </row>
        <row r="694">
          <cell r="C694" t="str">
            <v/>
          </cell>
          <cell r="D694" t="str">
            <v/>
          </cell>
          <cell r="O694" t="str">
            <v/>
          </cell>
          <cell r="T694" t="str">
            <v/>
          </cell>
          <cell r="U694" t="str">
            <v/>
          </cell>
          <cell r="V694" t="str">
            <v/>
          </cell>
          <cell r="W694" t="str">
            <v/>
          </cell>
          <cell r="Y694" t="str">
            <v/>
          </cell>
          <cell r="AA694" t="str">
            <v/>
          </cell>
          <cell r="AB694">
            <v>0</v>
          </cell>
          <cell r="AC694">
            <v>0</v>
          </cell>
          <cell r="AI694" t="str">
            <v/>
          </cell>
          <cell r="AJ694" t="str">
            <v/>
          </cell>
          <cell r="AK694">
            <v>0</v>
          </cell>
          <cell r="AL694">
            <v>0</v>
          </cell>
          <cell r="AM694">
            <v>0</v>
          </cell>
        </row>
        <row r="695">
          <cell r="C695" t="str">
            <v/>
          </cell>
          <cell r="D695" t="str">
            <v/>
          </cell>
          <cell r="O695" t="str">
            <v/>
          </cell>
          <cell r="T695" t="str">
            <v/>
          </cell>
          <cell r="U695" t="str">
            <v/>
          </cell>
          <cell r="V695" t="str">
            <v/>
          </cell>
          <cell r="W695" t="str">
            <v/>
          </cell>
          <cell r="Y695" t="str">
            <v/>
          </cell>
          <cell r="AA695" t="str">
            <v/>
          </cell>
          <cell r="AB695">
            <v>0</v>
          </cell>
          <cell r="AC695">
            <v>0</v>
          </cell>
          <cell r="AI695" t="str">
            <v/>
          </cell>
          <cell r="AJ695" t="str">
            <v/>
          </cell>
          <cell r="AK695">
            <v>0</v>
          </cell>
          <cell r="AL695">
            <v>0</v>
          </cell>
          <cell r="AM695">
            <v>0</v>
          </cell>
        </row>
        <row r="696">
          <cell r="C696" t="str">
            <v/>
          </cell>
          <cell r="D696" t="str">
            <v/>
          </cell>
          <cell r="O696" t="str">
            <v/>
          </cell>
          <cell r="T696" t="str">
            <v/>
          </cell>
          <cell r="U696" t="str">
            <v/>
          </cell>
          <cell r="V696" t="str">
            <v/>
          </cell>
          <cell r="W696" t="str">
            <v/>
          </cell>
          <cell r="Y696" t="str">
            <v/>
          </cell>
          <cell r="AA696" t="str">
            <v/>
          </cell>
          <cell r="AB696">
            <v>0</v>
          </cell>
          <cell r="AC696">
            <v>0</v>
          </cell>
          <cell r="AI696" t="str">
            <v/>
          </cell>
          <cell r="AJ696" t="str">
            <v/>
          </cell>
          <cell r="AK696">
            <v>0</v>
          </cell>
          <cell r="AL696">
            <v>0</v>
          </cell>
          <cell r="AM696">
            <v>0</v>
          </cell>
        </row>
        <row r="697">
          <cell r="C697" t="str">
            <v/>
          </cell>
          <cell r="D697" t="str">
            <v/>
          </cell>
          <cell r="O697" t="str">
            <v/>
          </cell>
          <cell r="T697" t="str">
            <v/>
          </cell>
          <cell r="U697" t="str">
            <v/>
          </cell>
          <cell r="V697" t="str">
            <v/>
          </cell>
          <cell r="W697" t="str">
            <v/>
          </cell>
          <cell r="Y697" t="str">
            <v/>
          </cell>
          <cell r="AA697" t="str">
            <v/>
          </cell>
          <cell r="AB697">
            <v>0</v>
          </cell>
          <cell r="AC697">
            <v>0</v>
          </cell>
          <cell r="AI697" t="str">
            <v/>
          </cell>
          <cell r="AJ697" t="str">
            <v/>
          </cell>
          <cell r="AK697">
            <v>0</v>
          </cell>
          <cell r="AL697">
            <v>0</v>
          </cell>
          <cell r="AM697">
            <v>0</v>
          </cell>
        </row>
        <row r="698">
          <cell r="C698" t="str">
            <v/>
          </cell>
          <cell r="D698" t="str">
            <v/>
          </cell>
          <cell r="O698" t="str">
            <v/>
          </cell>
          <cell r="T698" t="str">
            <v/>
          </cell>
          <cell r="U698" t="str">
            <v/>
          </cell>
          <cell r="V698" t="str">
            <v/>
          </cell>
          <cell r="W698" t="str">
            <v/>
          </cell>
          <cell r="Y698" t="str">
            <v/>
          </cell>
          <cell r="AA698" t="str">
            <v/>
          </cell>
          <cell r="AB698">
            <v>0</v>
          </cell>
          <cell r="AC698">
            <v>0</v>
          </cell>
          <cell r="AI698" t="str">
            <v/>
          </cell>
          <cell r="AJ698" t="str">
            <v/>
          </cell>
          <cell r="AK698">
            <v>0</v>
          </cell>
          <cell r="AL698">
            <v>0</v>
          </cell>
          <cell r="AM698">
            <v>0</v>
          </cell>
        </row>
        <row r="699">
          <cell r="C699" t="str">
            <v/>
          </cell>
          <cell r="D699" t="str">
            <v/>
          </cell>
          <cell r="O699" t="str">
            <v/>
          </cell>
          <cell r="T699" t="str">
            <v/>
          </cell>
          <cell r="U699" t="str">
            <v/>
          </cell>
          <cell r="V699" t="str">
            <v/>
          </cell>
          <cell r="W699" t="str">
            <v/>
          </cell>
          <cell r="Y699" t="str">
            <v/>
          </cell>
          <cell r="AA699" t="str">
            <v/>
          </cell>
          <cell r="AB699">
            <v>0</v>
          </cell>
          <cell r="AC699">
            <v>0</v>
          </cell>
          <cell r="AI699" t="str">
            <v/>
          </cell>
          <cell r="AJ699" t="str">
            <v/>
          </cell>
          <cell r="AK699">
            <v>0</v>
          </cell>
          <cell r="AL699">
            <v>0</v>
          </cell>
          <cell r="AM699">
            <v>0</v>
          </cell>
        </row>
        <row r="700">
          <cell r="C700" t="str">
            <v/>
          </cell>
          <cell r="D700" t="str">
            <v/>
          </cell>
          <cell r="O700" t="str">
            <v/>
          </cell>
          <cell r="T700" t="str">
            <v/>
          </cell>
          <cell r="U700" t="str">
            <v/>
          </cell>
          <cell r="V700" t="str">
            <v/>
          </cell>
          <cell r="W700" t="str">
            <v/>
          </cell>
          <cell r="Y700" t="str">
            <v/>
          </cell>
          <cell r="AA700" t="str">
            <v/>
          </cell>
          <cell r="AB700">
            <v>0</v>
          </cell>
          <cell r="AC700">
            <v>0</v>
          </cell>
          <cell r="AI700" t="str">
            <v/>
          </cell>
          <cell r="AJ700" t="str">
            <v/>
          </cell>
          <cell r="AK700">
            <v>0</v>
          </cell>
          <cell r="AL700">
            <v>0</v>
          </cell>
          <cell r="AM700">
            <v>0</v>
          </cell>
        </row>
        <row r="701">
          <cell r="C701" t="str">
            <v/>
          </cell>
          <cell r="D701" t="str">
            <v/>
          </cell>
          <cell r="O701" t="str">
            <v/>
          </cell>
          <cell r="T701" t="str">
            <v/>
          </cell>
          <cell r="U701" t="str">
            <v/>
          </cell>
          <cell r="V701" t="str">
            <v/>
          </cell>
          <cell r="W701" t="str">
            <v/>
          </cell>
          <cell r="Y701" t="str">
            <v/>
          </cell>
          <cell r="AA701" t="str">
            <v/>
          </cell>
          <cell r="AB701">
            <v>0</v>
          </cell>
          <cell r="AC701">
            <v>0</v>
          </cell>
          <cell r="AI701" t="str">
            <v/>
          </cell>
          <cell r="AJ701" t="str">
            <v/>
          </cell>
          <cell r="AK701">
            <v>0</v>
          </cell>
          <cell r="AL701">
            <v>0</v>
          </cell>
          <cell r="AM701">
            <v>0</v>
          </cell>
        </row>
        <row r="702">
          <cell r="C702" t="str">
            <v/>
          </cell>
          <cell r="D702" t="str">
            <v/>
          </cell>
          <cell r="O702" t="str">
            <v/>
          </cell>
          <cell r="T702" t="str">
            <v/>
          </cell>
          <cell r="U702" t="str">
            <v/>
          </cell>
          <cell r="V702" t="str">
            <v/>
          </cell>
          <cell r="W702" t="str">
            <v/>
          </cell>
          <cell r="Y702" t="str">
            <v/>
          </cell>
          <cell r="AA702" t="str">
            <v/>
          </cell>
          <cell r="AB702">
            <v>0</v>
          </cell>
          <cell r="AC702">
            <v>0</v>
          </cell>
          <cell r="AI702" t="str">
            <v/>
          </cell>
          <cell r="AJ702" t="str">
            <v/>
          </cell>
          <cell r="AK702">
            <v>0</v>
          </cell>
          <cell r="AL702">
            <v>0</v>
          </cell>
          <cell r="AM702">
            <v>0</v>
          </cell>
        </row>
        <row r="703">
          <cell r="C703" t="str">
            <v/>
          </cell>
          <cell r="D703" t="str">
            <v/>
          </cell>
          <cell r="O703" t="str">
            <v/>
          </cell>
          <cell r="T703" t="str">
            <v/>
          </cell>
          <cell r="U703" t="str">
            <v/>
          </cell>
          <cell r="V703" t="str">
            <v/>
          </cell>
          <cell r="W703" t="str">
            <v/>
          </cell>
          <cell r="Y703" t="str">
            <v/>
          </cell>
          <cell r="AA703" t="str">
            <v/>
          </cell>
          <cell r="AB703">
            <v>0</v>
          </cell>
          <cell r="AC703">
            <v>0</v>
          </cell>
          <cell r="AI703" t="str">
            <v/>
          </cell>
          <cell r="AJ703" t="str">
            <v/>
          </cell>
          <cell r="AK703">
            <v>0</v>
          </cell>
          <cell r="AL703">
            <v>0</v>
          </cell>
          <cell r="AM703">
            <v>0</v>
          </cell>
        </row>
        <row r="704">
          <cell r="C704" t="str">
            <v/>
          </cell>
          <cell r="D704" t="str">
            <v/>
          </cell>
          <cell r="O704" t="str">
            <v/>
          </cell>
          <cell r="T704" t="str">
            <v/>
          </cell>
          <cell r="U704" t="str">
            <v/>
          </cell>
          <cell r="V704" t="str">
            <v/>
          </cell>
          <cell r="W704" t="str">
            <v/>
          </cell>
          <cell r="Y704" t="str">
            <v/>
          </cell>
          <cell r="AA704" t="str">
            <v/>
          </cell>
          <cell r="AB704">
            <v>0</v>
          </cell>
          <cell r="AC704">
            <v>0</v>
          </cell>
          <cell r="AI704" t="str">
            <v/>
          </cell>
          <cell r="AJ704" t="str">
            <v/>
          </cell>
          <cell r="AK704">
            <v>0</v>
          </cell>
          <cell r="AL704">
            <v>0</v>
          </cell>
          <cell r="AM704">
            <v>0</v>
          </cell>
        </row>
        <row r="705">
          <cell r="C705" t="str">
            <v/>
          </cell>
          <cell r="D705" t="str">
            <v/>
          </cell>
          <cell r="O705" t="str">
            <v/>
          </cell>
          <cell r="T705" t="str">
            <v/>
          </cell>
          <cell r="U705" t="str">
            <v/>
          </cell>
          <cell r="V705" t="str">
            <v/>
          </cell>
          <cell r="W705" t="str">
            <v/>
          </cell>
          <cell r="Y705" t="str">
            <v/>
          </cell>
          <cell r="AA705" t="str">
            <v/>
          </cell>
          <cell r="AB705">
            <v>0</v>
          </cell>
          <cell r="AC705">
            <v>0</v>
          </cell>
          <cell r="AI705" t="str">
            <v/>
          </cell>
          <cell r="AJ705" t="str">
            <v/>
          </cell>
          <cell r="AK705">
            <v>0</v>
          </cell>
          <cell r="AL705">
            <v>0</v>
          </cell>
          <cell r="AM705">
            <v>0</v>
          </cell>
        </row>
        <row r="706">
          <cell r="C706" t="str">
            <v/>
          </cell>
          <cell r="D706" t="str">
            <v/>
          </cell>
          <cell r="O706" t="str">
            <v/>
          </cell>
          <cell r="T706" t="str">
            <v/>
          </cell>
          <cell r="U706" t="str">
            <v/>
          </cell>
          <cell r="V706" t="str">
            <v/>
          </cell>
          <cell r="W706" t="str">
            <v/>
          </cell>
          <cell r="Y706" t="str">
            <v/>
          </cell>
          <cell r="AA706" t="str">
            <v/>
          </cell>
          <cell r="AB706">
            <v>0</v>
          </cell>
          <cell r="AC706">
            <v>0</v>
          </cell>
          <cell r="AI706" t="str">
            <v/>
          </cell>
          <cell r="AJ706" t="str">
            <v/>
          </cell>
          <cell r="AK706">
            <v>0</v>
          </cell>
          <cell r="AL706">
            <v>0</v>
          </cell>
          <cell r="AM706">
            <v>0</v>
          </cell>
        </row>
        <row r="707">
          <cell r="C707" t="str">
            <v/>
          </cell>
          <cell r="D707" t="str">
            <v/>
          </cell>
          <cell r="O707" t="str">
            <v/>
          </cell>
          <cell r="T707" t="str">
            <v/>
          </cell>
          <cell r="U707" t="str">
            <v/>
          </cell>
          <cell r="V707" t="str">
            <v/>
          </cell>
          <cell r="W707" t="str">
            <v/>
          </cell>
          <cell r="Y707" t="str">
            <v/>
          </cell>
          <cell r="AA707" t="str">
            <v/>
          </cell>
          <cell r="AB707">
            <v>0</v>
          </cell>
          <cell r="AC707">
            <v>0</v>
          </cell>
          <cell r="AI707" t="str">
            <v/>
          </cell>
          <cell r="AJ707" t="str">
            <v/>
          </cell>
          <cell r="AK707">
            <v>0</v>
          </cell>
          <cell r="AL707">
            <v>0</v>
          </cell>
          <cell r="AM707">
            <v>0</v>
          </cell>
        </row>
        <row r="708">
          <cell r="C708" t="str">
            <v/>
          </cell>
          <cell r="D708" t="str">
            <v/>
          </cell>
          <cell r="O708" t="str">
            <v/>
          </cell>
          <cell r="T708" t="str">
            <v/>
          </cell>
          <cell r="U708" t="str">
            <v/>
          </cell>
          <cell r="V708" t="str">
            <v/>
          </cell>
          <cell r="W708" t="str">
            <v/>
          </cell>
          <cell r="Y708" t="str">
            <v/>
          </cell>
          <cell r="AA708" t="str">
            <v/>
          </cell>
          <cell r="AB708">
            <v>0</v>
          </cell>
          <cell r="AC708">
            <v>0</v>
          </cell>
          <cell r="AI708" t="str">
            <v/>
          </cell>
          <cell r="AJ708" t="str">
            <v/>
          </cell>
          <cell r="AK708">
            <v>0</v>
          </cell>
          <cell r="AL708">
            <v>0</v>
          </cell>
          <cell r="AM708">
            <v>0</v>
          </cell>
        </row>
        <row r="709">
          <cell r="C709" t="str">
            <v/>
          </cell>
          <cell r="D709" t="str">
            <v/>
          </cell>
          <cell r="O709" t="str">
            <v/>
          </cell>
          <cell r="T709" t="str">
            <v/>
          </cell>
          <cell r="U709" t="str">
            <v/>
          </cell>
          <cell r="V709" t="str">
            <v/>
          </cell>
          <cell r="W709" t="str">
            <v/>
          </cell>
          <cell r="Y709" t="str">
            <v/>
          </cell>
          <cell r="AA709" t="str">
            <v/>
          </cell>
          <cell r="AB709">
            <v>0</v>
          </cell>
          <cell r="AC709">
            <v>0</v>
          </cell>
          <cell r="AI709" t="str">
            <v/>
          </cell>
          <cell r="AJ709" t="str">
            <v/>
          </cell>
          <cell r="AK709">
            <v>0</v>
          </cell>
          <cell r="AL709">
            <v>0</v>
          </cell>
          <cell r="AM709">
            <v>0</v>
          </cell>
        </row>
        <row r="710">
          <cell r="C710" t="str">
            <v/>
          </cell>
          <cell r="D710" t="str">
            <v/>
          </cell>
          <cell r="O710" t="str">
            <v/>
          </cell>
          <cell r="T710" t="str">
            <v/>
          </cell>
          <cell r="U710" t="str">
            <v/>
          </cell>
          <cell r="V710" t="str">
            <v/>
          </cell>
          <cell r="W710" t="str">
            <v/>
          </cell>
          <cell r="Y710" t="str">
            <v/>
          </cell>
          <cell r="AA710" t="str">
            <v/>
          </cell>
          <cell r="AB710">
            <v>0</v>
          </cell>
          <cell r="AC710">
            <v>0</v>
          </cell>
          <cell r="AI710" t="str">
            <v/>
          </cell>
          <cell r="AJ710" t="str">
            <v/>
          </cell>
          <cell r="AK710">
            <v>0</v>
          </cell>
          <cell r="AL710">
            <v>0</v>
          </cell>
          <cell r="AM710">
            <v>0</v>
          </cell>
        </row>
        <row r="711">
          <cell r="C711" t="str">
            <v/>
          </cell>
          <cell r="D711" t="str">
            <v/>
          </cell>
          <cell r="O711" t="str">
            <v/>
          </cell>
          <cell r="T711" t="str">
            <v/>
          </cell>
          <cell r="U711" t="str">
            <v/>
          </cell>
          <cell r="V711" t="str">
            <v/>
          </cell>
          <cell r="W711" t="str">
            <v/>
          </cell>
          <cell r="Y711" t="str">
            <v/>
          </cell>
          <cell r="AA711" t="str">
            <v/>
          </cell>
          <cell r="AB711">
            <v>0</v>
          </cell>
          <cell r="AC711">
            <v>0</v>
          </cell>
          <cell r="AI711" t="str">
            <v/>
          </cell>
          <cell r="AJ711" t="str">
            <v/>
          </cell>
          <cell r="AK711">
            <v>0</v>
          </cell>
          <cell r="AL711">
            <v>0</v>
          </cell>
          <cell r="AM711">
            <v>0</v>
          </cell>
        </row>
        <row r="712">
          <cell r="C712" t="str">
            <v/>
          </cell>
          <cell r="D712" t="str">
            <v/>
          </cell>
          <cell r="O712" t="str">
            <v/>
          </cell>
          <cell r="T712" t="str">
            <v/>
          </cell>
          <cell r="U712" t="str">
            <v/>
          </cell>
          <cell r="V712" t="str">
            <v/>
          </cell>
          <cell r="W712" t="str">
            <v/>
          </cell>
          <cell r="Y712" t="str">
            <v/>
          </cell>
          <cell r="AA712" t="str">
            <v/>
          </cell>
          <cell r="AB712">
            <v>0</v>
          </cell>
          <cell r="AC712">
            <v>0</v>
          </cell>
          <cell r="AI712" t="str">
            <v/>
          </cell>
          <cell r="AJ712" t="str">
            <v/>
          </cell>
          <cell r="AK712">
            <v>0</v>
          </cell>
          <cell r="AL712">
            <v>0</v>
          </cell>
          <cell r="AM712">
            <v>0</v>
          </cell>
        </row>
        <row r="713">
          <cell r="C713" t="str">
            <v/>
          </cell>
          <cell r="D713" t="str">
            <v/>
          </cell>
          <cell r="O713" t="str">
            <v/>
          </cell>
          <cell r="T713" t="str">
            <v/>
          </cell>
          <cell r="U713" t="str">
            <v/>
          </cell>
          <cell r="V713" t="str">
            <v/>
          </cell>
          <cell r="W713" t="str">
            <v/>
          </cell>
          <cell r="Y713" t="str">
            <v/>
          </cell>
          <cell r="AA713" t="str">
            <v/>
          </cell>
          <cell r="AB713">
            <v>0</v>
          </cell>
          <cell r="AC713">
            <v>0</v>
          </cell>
          <cell r="AI713" t="str">
            <v/>
          </cell>
          <cell r="AJ713" t="str">
            <v/>
          </cell>
          <cell r="AK713">
            <v>0</v>
          </cell>
          <cell r="AL713">
            <v>0</v>
          </cell>
          <cell r="AM713">
            <v>0</v>
          </cell>
        </row>
        <row r="714">
          <cell r="C714" t="str">
            <v/>
          </cell>
          <cell r="D714" t="str">
            <v/>
          </cell>
          <cell r="O714" t="str">
            <v/>
          </cell>
          <cell r="T714" t="str">
            <v/>
          </cell>
          <cell r="U714" t="str">
            <v/>
          </cell>
          <cell r="V714" t="str">
            <v/>
          </cell>
          <cell r="W714" t="str">
            <v/>
          </cell>
          <cell r="Y714" t="str">
            <v/>
          </cell>
          <cell r="AA714" t="str">
            <v/>
          </cell>
          <cell r="AB714">
            <v>0</v>
          </cell>
          <cell r="AC714">
            <v>0</v>
          </cell>
          <cell r="AI714" t="str">
            <v/>
          </cell>
          <cell r="AJ714" t="str">
            <v/>
          </cell>
          <cell r="AK714">
            <v>0</v>
          </cell>
          <cell r="AL714">
            <v>0</v>
          </cell>
          <cell r="AM714">
            <v>0</v>
          </cell>
        </row>
        <row r="715">
          <cell r="C715" t="str">
            <v/>
          </cell>
          <cell r="D715" t="str">
            <v/>
          </cell>
          <cell r="O715" t="str">
            <v/>
          </cell>
          <cell r="T715" t="str">
            <v/>
          </cell>
          <cell r="U715" t="str">
            <v/>
          </cell>
          <cell r="V715" t="str">
            <v/>
          </cell>
          <cell r="W715" t="str">
            <v/>
          </cell>
          <cell r="Y715" t="str">
            <v/>
          </cell>
          <cell r="AA715" t="str">
            <v/>
          </cell>
          <cell r="AB715">
            <v>0</v>
          </cell>
          <cell r="AC715">
            <v>0</v>
          </cell>
          <cell r="AI715" t="str">
            <v/>
          </cell>
          <cell r="AJ715" t="str">
            <v/>
          </cell>
          <cell r="AK715">
            <v>0</v>
          </cell>
          <cell r="AL715">
            <v>0</v>
          </cell>
          <cell r="AM715">
            <v>0</v>
          </cell>
        </row>
        <row r="716">
          <cell r="C716" t="str">
            <v/>
          </cell>
          <cell r="D716" t="str">
            <v/>
          </cell>
          <cell r="O716" t="str">
            <v/>
          </cell>
          <cell r="T716" t="str">
            <v/>
          </cell>
          <cell r="U716" t="str">
            <v/>
          </cell>
          <cell r="V716" t="str">
            <v/>
          </cell>
          <cell r="W716" t="str">
            <v/>
          </cell>
          <cell r="Y716" t="str">
            <v/>
          </cell>
          <cell r="AA716" t="str">
            <v/>
          </cell>
          <cell r="AB716">
            <v>0</v>
          </cell>
          <cell r="AC716">
            <v>0</v>
          </cell>
          <cell r="AI716" t="str">
            <v/>
          </cell>
          <cell r="AJ716" t="str">
            <v/>
          </cell>
          <cell r="AK716">
            <v>0</v>
          </cell>
          <cell r="AL716">
            <v>0</v>
          </cell>
          <cell r="AM716">
            <v>0</v>
          </cell>
        </row>
        <row r="717">
          <cell r="C717" t="str">
            <v/>
          </cell>
          <cell r="D717" t="str">
            <v/>
          </cell>
          <cell r="O717" t="str">
            <v/>
          </cell>
          <cell r="T717" t="str">
            <v/>
          </cell>
          <cell r="U717" t="str">
            <v/>
          </cell>
          <cell r="V717" t="str">
            <v/>
          </cell>
          <cell r="W717" t="str">
            <v/>
          </cell>
          <cell r="Y717" t="str">
            <v/>
          </cell>
          <cell r="AA717" t="str">
            <v/>
          </cell>
          <cell r="AB717">
            <v>0</v>
          </cell>
          <cell r="AC717">
            <v>0</v>
          </cell>
          <cell r="AI717" t="str">
            <v/>
          </cell>
          <cell r="AJ717" t="str">
            <v/>
          </cell>
          <cell r="AK717">
            <v>0</v>
          </cell>
          <cell r="AL717">
            <v>0</v>
          </cell>
          <cell r="AM717">
            <v>0</v>
          </cell>
        </row>
        <row r="718">
          <cell r="C718" t="str">
            <v/>
          </cell>
          <cell r="D718" t="str">
            <v/>
          </cell>
          <cell r="O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/>
          </cell>
          <cell r="Y718" t="str">
            <v/>
          </cell>
          <cell r="AA718" t="str">
            <v/>
          </cell>
          <cell r="AB718">
            <v>0</v>
          </cell>
          <cell r="AC718">
            <v>0</v>
          </cell>
          <cell r="AI718" t="str">
            <v/>
          </cell>
          <cell r="AJ718" t="str">
            <v/>
          </cell>
          <cell r="AK718">
            <v>0</v>
          </cell>
          <cell r="AL718">
            <v>0</v>
          </cell>
          <cell r="AM718">
            <v>0</v>
          </cell>
        </row>
        <row r="719">
          <cell r="C719" t="str">
            <v/>
          </cell>
          <cell r="D719" t="str">
            <v/>
          </cell>
          <cell r="O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/>
          </cell>
          <cell r="Y719" t="str">
            <v/>
          </cell>
          <cell r="AA719" t="str">
            <v/>
          </cell>
          <cell r="AB719">
            <v>0</v>
          </cell>
          <cell r="AC719">
            <v>0</v>
          </cell>
          <cell r="AI719" t="str">
            <v/>
          </cell>
          <cell r="AJ719" t="str">
            <v/>
          </cell>
          <cell r="AK719">
            <v>0</v>
          </cell>
          <cell r="AL719">
            <v>0</v>
          </cell>
          <cell r="AM719">
            <v>0</v>
          </cell>
        </row>
        <row r="720">
          <cell r="C720" t="str">
            <v/>
          </cell>
          <cell r="D720" t="str">
            <v/>
          </cell>
          <cell r="O720" t="str">
            <v/>
          </cell>
          <cell r="T720" t="str">
            <v/>
          </cell>
          <cell r="U720" t="str">
            <v/>
          </cell>
          <cell r="V720" t="str">
            <v/>
          </cell>
          <cell r="W720" t="str">
            <v/>
          </cell>
          <cell r="Y720" t="str">
            <v/>
          </cell>
          <cell r="AA720" t="str">
            <v/>
          </cell>
          <cell r="AB720">
            <v>0</v>
          </cell>
          <cell r="AC720">
            <v>0</v>
          </cell>
          <cell r="AI720" t="str">
            <v/>
          </cell>
          <cell r="AJ720" t="str">
            <v/>
          </cell>
          <cell r="AK720">
            <v>0</v>
          </cell>
          <cell r="AL720">
            <v>0</v>
          </cell>
          <cell r="AM720">
            <v>0</v>
          </cell>
        </row>
        <row r="721">
          <cell r="C721" t="str">
            <v/>
          </cell>
          <cell r="D721" t="str">
            <v/>
          </cell>
          <cell r="O721" t="str">
            <v/>
          </cell>
          <cell r="T721" t="str">
            <v/>
          </cell>
          <cell r="U721" t="str">
            <v/>
          </cell>
          <cell r="V721" t="str">
            <v/>
          </cell>
          <cell r="W721" t="str">
            <v/>
          </cell>
          <cell r="Y721" t="str">
            <v/>
          </cell>
          <cell r="AA721" t="str">
            <v/>
          </cell>
          <cell r="AB721">
            <v>0</v>
          </cell>
          <cell r="AC721">
            <v>0</v>
          </cell>
          <cell r="AI721" t="str">
            <v/>
          </cell>
          <cell r="AJ721" t="str">
            <v/>
          </cell>
          <cell r="AK721">
            <v>0</v>
          </cell>
          <cell r="AL721">
            <v>0</v>
          </cell>
          <cell r="AM721">
            <v>0</v>
          </cell>
        </row>
        <row r="722">
          <cell r="C722" t="str">
            <v/>
          </cell>
          <cell r="D722" t="str">
            <v/>
          </cell>
          <cell r="O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/>
          </cell>
          <cell r="Y722" t="str">
            <v/>
          </cell>
          <cell r="AA722" t="str">
            <v/>
          </cell>
          <cell r="AB722">
            <v>0</v>
          </cell>
          <cell r="AC722">
            <v>0</v>
          </cell>
          <cell r="AI722" t="str">
            <v/>
          </cell>
          <cell r="AJ722" t="str">
            <v/>
          </cell>
          <cell r="AK722">
            <v>0</v>
          </cell>
          <cell r="AL722">
            <v>0</v>
          </cell>
          <cell r="AM722">
            <v>0</v>
          </cell>
        </row>
        <row r="723">
          <cell r="C723" t="str">
            <v/>
          </cell>
          <cell r="D723" t="str">
            <v/>
          </cell>
          <cell r="O723" t="str">
            <v/>
          </cell>
          <cell r="T723" t="str">
            <v/>
          </cell>
          <cell r="U723" t="str">
            <v/>
          </cell>
          <cell r="V723" t="str">
            <v/>
          </cell>
          <cell r="W723" t="str">
            <v/>
          </cell>
          <cell r="Y723" t="str">
            <v/>
          </cell>
          <cell r="AA723" t="str">
            <v/>
          </cell>
          <cell r="AB723">
            <v>0</v>
          </cell>
          <cell r="AC723">
            <v>0</v>
          </cell>
          <cell r="AI723" t="str">
            <v/>
          </cell>
          <cell r="AJ723" t="str">
            <v/>
          </cell>
          <cell r="AK723">
            <v>0</v>
          </cell>
          <cell r="AL723">
            <v>0</v>
          </cell>
          <cell r="AM723">
            <v>0</v>
          </cell>
        </row>
        <row r="724">
          <cell r="C724" t="str">
            <v/>
          </cell>
          <cell r="D724" t="str">
            <v/>
          </cell>
          <cell r="O724" t="str">
            <v/>
          </cell>
          <cell r="T724" t="str">
            <v/>
          </cell>
          <cell r="U724" t="str">
            <v/>
          </cell>
          <cell r="V724" t="str">
            <v/>
          </cell>
          <cell r="W724" t="str">
            <v/>
          </cell>
          <cell r="Y724" t="str">
            <v/>
          </cell>
          <cell r="AA724" t="str">
            <v/>
          </cell>
          <cell r="AB724">
            <v>0</v>
          </cell>
          <cell r="AC724">
            <v>0</v>
          </cell>
          <cell r="AI724" t="str">
            <v/>
          </cell>
          <cell r="AJ724" t="str">
            <v/>
          </cell>
          <cell r="AK724">
            <v>0</v>
          </cell>
          <cell r="AL724">
            <v>0</v>
          </cell>
          <cell r="AM724">
            <v>0</v>
          </cell>
        </row>
        <row r="725">
          <cell r="C725" t="str">
            <v/>
          </cell>
          <cell r="D725" t="str">
            <v/>
          </cell>
          <cell r="O725" t="str">
            <v/>
          </cell>
          <cell r="T725" t="str">
            <v/>
          </cell>
          <cell r="U725" t="str">
            <v/>
          </cell>
          <cell r="V725" t="str">
            <v/>
          </cell>
          <cell r="W725" t="str">
            <v/>
          </cell>
          <cell r="Y725" t="str">
            <v/>
          </cell>
          <cell r="AA725" t="str">
            <v/>
          </cell>
          <cell r="AB725">
            <v>0</v>
          </cell>
          <cell r="AC725">
            <v>0</v>
          </cell>
          <cell r="AI725" t="str">
            <v/>
          </cell>
          <cell r="AJ725" t="str">
            <v/>
          </cell>
          <cell r="AK725">
            <v>0</v>
          </cell>
          <cell r="AL725">
            <v>0</v>
          </cell>
          <cell r="AM725">
            <v>0</v>
          </cell>
        </row>
        <row r="726">
          <cell r="C726" t="str">
            <v/>
          </cell>
          <cell r="D726" t="str">
            <v/>
          </cell>
          <cell r="O726" t="str">
            <v/>
          </cell>
          <cell r="T726" t="str">
            <v/>
          </cell>
          <cell r="U726" t="str">
            <v/>
          </cell>
          <cell r="V726" t="str">
            <v/>
          </cell>
          <cell r="W726" t="str">
            <v/>
          </cell>
          <cell r="Y726" t="str">
            <v/>
          </cell>
          <cell r="AA726" t="str">
            <v/>
          </cell>
          <cell r="AB726">
            <v>0</v>
          </cell>
          <cell r="AC726">
            <v>0</v>
          </cell>
          <cell r="AI726" t="str">
            <v/>
          </cell>
          <cell r="AJ726" t="str">
            <v/>
          </cell>
          <cell r="AK726">
            <v>0</v>
          </cell>
          <cell r="AL726">
            <v>0</v>
          </cell>
          <cell r="AM726">
            <v>0</v>
          </cell>
        </row>
        <row r="727">
          <cell r="C727" t="str">
            <v/>
          </cell>
          <cell r="D727" t="str">
            <v/>
          </cell>
          <cell r="O727" t="str">
            <v/>
          </cell>
          <cell r="T727" t="str">
            <v/>
          </cell>
          <cell r="U727" t="str">
            <v/>
          </cell>
          <cell r="V727" t="str">
            <v/>
          </cell>
          <cell r="W727" t="str">
            <v/>
          </cell>
          <cell r="Y727" t="str">
            <v/>
          </cell>
          <cell r="AA727" t="str">
            <v/>
          </cell>
          <cell r="AB727">
            <v>0</v>
          </cell>
          <cell r="AC727">
            <v>0</v>
          </cell>
          <cell r="AI727" t="str">
            <v/>
          </cell>
          <cell r="AJ727" t="str">
            <v/>
          </cell>
          <cell r="AK727">
            <v>0</v>
          </cell>
          <cell r="AL727">
            <v>0</v>
          </cell>
          <cell r="AM727">
            <v>0</v>
          </cell>
        </row>
        <row r="728">
          <cell r="C728" t="str">
            <v/>
          </cell>
          <cell r="D728" t="str">
            <v/>
          </cell>
          <cell r="O728" t="str">
            <v/>
          </cell>
          <cell r="T728" t="str">
            <v/>
          </cell>
          <cell r="U728" t="str">
            <v/>
          </cell>
          <cell r="V728" t="str">
            <v/>
          </cell>
          <cell r="W728" t="str">
            <v/>
          </cell>
          <cell r="Y728" t="str">
            <v/>
          </cell>
          <cell r="AA728" t="str">
            <v/>
          </cell>
          <cell r="AB728">
            <v>0</v>
          </cell>
          <cell r="AC728">
            <v>0</v>
          </cell>
          <cell r="AI728" t="str">
            <v/>
          </cell>
          <cell r="AJ728" t="str">
            <v/>
          </cell>
          <cell r="AK728">
            <v>0</v>
          </cell>
          <cell r="AL728">
            <v>0</v>
          </cell>
          <cell r="AM728">
            <v>0</v>
          </cell>
        </row>
        <row r="729">
          <cell r="C729" t="str">
            <v/>
          </cell>
          <cell r="D729" t="str">
            <v/>
          </cell>
          <cell r="O729" t="str">
            <v/>
          </cell>
          <cell r="T729" t="str">
            <v/>
          </cell>
          <cell r="U729" t="str">
            <v/>
          </cell>
          <cell r="V729" t="str">
            <v/>
          </cell>
          <cell r="W729" t="str">
            <v/>
          </cell>
          <cell r="Y729" t="str">
            <v/>
          </cell>
          <cell r="AA729" t="str">
            <v/>
          </cell>
          <cell r="AB729">
            <v>0</v>
          </cell>
          <cell r="AC729">
            <v>0</v>
          </cell>
          <cell r="AI729" t="str">
            <v/>
          </cell>
          <cell r="AJ729" t="str">
            <v/>
          </cell>
          <cell r="AK729">
            <v>0</v>
          </cell>
          <cell r="AL729">
            <v>0</v>
          </cell>
          <cell r="AM729">
            <v>0</v>
          </cell>
        </row>
        <row r="730">
          <cell r="C730" t="str">
            <v/>
          </cell>
          <cell r="D730" t="str">
            <v/>
          </cell>
          <cell r="O730" t="str">
            <v/>
          </cell>
          <cell r="T730" t="str">
            <v/>
          </cell>
          <cell r="U730" t="str">
            <v/>
          </cell>
          <cell r="V730" t="str">
            <v/>
          </cell>
          <cell r="W730" t="str">
            <v/>
          </cell>
          <cell r="Y730" t="str">
            <v/>
          </cell>
          <cell r="AA730" t="str">
            <v/>
          </cell>
          <cell r="AB730">
            <v>0</v>
          </cell>
          <cell r="AC730">
            <v>0</v>
          </cell>
          <cell r="AI730" t="str">
            <v/>
          </cell>
          <cell r="AJ730" t="str">
            <v/>
          </cell>
          <cell r="AK730">
            <v>0</v>
          </cell>
          <cell r="AL730">
            <v>0</v>
          </cell>
          <cell r="AM730">
            <v>0</v>
          </cell>
        </row>
        <row r="731">
          <cell r="C731" t="str">
            <v/>
          </cell>
          <cell r="D731" t="str">
            <v/>
          </cell>
          <cell r="O731" t="str">
            <v/>
          </cell>
          <cell r="T731" t="str">
            <v/>
          </cell>
          <cell r="U731" t="str">
            <v/>
          </cell>
          <cell r="V731" t="str">
            <v/>
          </cell>
          <cell r="W731" t="str">
            <v/>
          </cell>
          <cell r="Y731" t="str">
            <v/>
          </cell>
          <cell r="AA731" t="str">
            <v/>
          </cell>
          <cell r="AB731">
            <v>0</v>
          </cell>
          <cell r="AC731">
            <v>0</v>
          </cell>
          <cell r="AI731" t="str">
            <v/>
          </cell>
          <cell r="AJ731" t="str">
            <v/>
          </cell>
          <cell r="AK731">
            <v>0</v>
          </cell>
          <cell r="AL731">
            <v>0</v>
          </cell>
          <cell r="AM731">
            <v>0</v>
          </cell>
        </row>
        <row r="732">
          <cell r="C732" t="str">
            <v/>
          </cell>
          <cell r="D732" t="str">
            <v/>
          </cell>
          <cell r="O732" t="str">
            <v/>
          </cell>
          <cell r="T732" t="str">
            <v/>
          </cell>
          <cell r="U732" t="str">
            <v/>
          </cell>
          <cell r="V732" t="str">
            <v/>
          </cell>
          <cell r="W732" t="str">
            <v/>
          </cell>
          <cell r="Y732" t="str">
            <v/>
          </cell>
          <cell r="AA732" t="str">
            <v/>
          </cell>
          <cell r="AB732">
            <v>0</v>
          </cell>
          <cell r="AC732">
            <v>0</v>
          </cell>
          <cell r="AI732" t="str">
            <v/>
          </cell>
          <cell r="AJ732" t="str">
            <v/>
          </cell>
          <cell r="AK732">
            <v>0</v>
          </cell>
          <cell r="AL732">
            <v>0</v>
          </cell>
          <cell r="AM732">
            <v>0</v>
          </cell>
        </row>
        <row r="733">
          <cell r="C733" t="str">
            <v/>
          </cell>
          <cell r="D733" t="str">
            <v/>
          </cell>
          <cell r="O733" t="str">
            <v/>
          </cell>
          <cell r="T733" t="str">
            <v/>
          </cell>
          <cell r="U733" t="str">
            <v/>
          </cell>
          <cell r="V733" t="str">
            <v/>
          </cell>
          <cell r="W733" t="str">
            <v/>
          </cell>
          <cell r="Y733" t="str">
            <v/>
          </cell>
          <cell r="AA733" t="str">
            <v/>
          </cell>
          <cell r="AB733">
            <v>0</v>
          </cell>
          <cell r="AC733">
            <v>0</v>
          </cell>
          <cell r="AI733" t="str">
            <v/>
          </cell>
          <cell r="AJ733" t="str">
            <v/>
          </cell>
          <cell r="AK733">
            <v>0</v>
          </cell>
          <cell r="AL733">
            <v>0</v>
          </cell>
          <cell r="AM733">
            <v>0</v>
          </cell>
        </row>
        <row r="734">
          <cell r="C734" t="str">
            <v/>
          </cell>
          <cell r="D734" t="str">
            <v/>
          </cell>
          <cell r="O734" t="str">
            <v/>
          </cell>
          <cell r="T734" t="str">
            <v/>
          </cell>
          <cell r="U734" t="str">
            <v/>
          </cell>
          <cell r="V734" t="str">
            <v/>
          </cell>
          <cell r="W734" t="str">
            <v/>
          </cell>
          <cell r="Y734" t="str">
            <v/>
          </cell>
          <cell r="AA734" t="str">
            <v/>
          </cell>
          <cell r="AB734">
            <v>0</v>
          </cell>
          <cell r="AC734">
            <v>0</v>
          </cell>
          <cell r="AI734" t="str">
            <v/>
          </cell>
          <cell r="AJ734" t="str">
            <v/>
          </cell>
          <cell r="AK734">
            <v>0</v>
          </cell>
          <cell r="AL734">
            <v>0</v>
          </cell>
          <cell r="AM734">
            <v>0</v>
          </cell>
        </row>
        <row r="735">
          <cell r="C735" t="str">
            <v/>
          </cell>
          <cell r="D735" t="str">
            <v/>
          </cell>
          <cell r="O735" t="str">
            <v/>
          </cell>
          <cell r="T735" t="str">
            <v/>
          </cell>
          <cell r="U735" t="str">
            <v/>
          </cell>
          <cell r="V735" t="str">
            <v/>
          </cell>
          <cell r="W735" t="str">
            <v/>
          </cell>
          <cell r="Y735" t="str">
            <v/>
          </cell>
          <cell r="AA735" t="str">
            <v/>
          </cell>
          <cell r="AB735">
            <v>0</v>
          </cell>
          <cell r="AC735">
            <v>0</v>
          </cell>
          <cell r="AI735" t="str">
            <v/>
          </cell>
          <cell r="AJ735" t="str">
            <v/>
          </cell>
          <cell r="AK735">
            <v>0</v>
          </cell>
          <cell r="AL735">
            <v>0</v>
          </cell>
          <cell r="AM735">
            <v>0</v>
          </cell>
        </row>
        <row r="736">
          <cell r="C736" t="str">
            <v/>
          </cell>
          <cell r="D736" t="str">
            <v/>
          </cell>
          <cell r="O736" t="str">
            <v/>
          </cell>
          <cell r="T736" t="str">
            <v/>
          </cell>
          <cell r="U736" t="str">
            <v/>
          </cell>
          <cell r="V736" t="str">
            <v/>
          </cell>
          <cell r="W736" t="str">
            <v/>
          </cell>
          <cell r="Y736" t="str">
            <v/>
          </cell>
          <cell r="AA736" t="str">
            <v/>
          </cell>
          <cell r="AB736">
            <v>0</v>
          </cell>
          <cell r="AC736">
            <v>0</v>
          </cell>
          <cell r="AI736" t="str">
            <v/>
          </cell>
          <cell r="AJ736" t="str">
            <v/>
          </cell>
          <cell r="AK736">
            <v>0</v>
          </cell>
          <cell r="AL736">
            <v>0</v>
          </cell>
          <cell r="AM736">
            <v>0</v>
          </cell>
        </row>
        <row r="737">
          <cell r="C737" t="str">
            <v/>
          </cell>
          <cell r="D737" t="str">
            <v/>
          </cell>
          <cell r="O737" t="str">
            <v/>
          </cell>
          <cell r="T737" t="str">
            <v/>
          </cell>
          <cell r="U737" t="str">
            <v/>
          </cell>
          <cell r="V737" t="str">
            <v/>
          </cell>
          <cell r="W737" t="str">
            <v/>
          </cell>
          <cell r="Y737" t="str">
            <v/>
          </cell>
          <cell r="AA737" t="str">
            <v/>
          </cell>
          <cell r="AB737">
            <v>0</v>
          </cell>
          <cell r="AC737">
            <v>0</v>
          </cell>
          <cell r="AI737" t="str">
            <v/>
          </cell>
          <cell r="AJ737" t="str">
            <v/>
          </cell>
          <cell r="AK737">
            <v>0</v>
          </cell>
          <cell r="AL737">
            <v>0</v>
          </cell>
          <cell r="AM737">
            <v>0</v>
          </cell>
        </row>
        <row r="738">
          <cell r="C738" t="str">
            <v/>
          </cell>
          <cell r="D738" t="str">
            <v/>
          </cell>
          <cell r="O738" t="str">
            <v/>
          </cell>
          <cell r="T738" t="str">
            <v/>
          </cell>
          <cell r="U738" t="str">
            <v/>
          </cell>
          <cell r="V738" t="str">
            <v/>
          </cell>
          <cell r="W738" t="str">
            <v/>
          </cell>
          <cell r="Y738" t="str">
            <v/>
          </cell>
          <cell r="AA738" t="str">
            <v/>
          </cell>
          <cell r="AB738">
            <v>0</v>
          </cell>
          <cell r="AC738">
            <v>0</v>
          </cell>
          <cell r="AI738" t="str">
            <v/>
          </cell>
          <cell r="AJ738" t="str">
            <v/>
          </cell>
          <cell r="AK738">
            <v>0</v>
          </cell>
          <cell r="AL738">
            <v>0</v>
          </cell>
          <cell r="AM738">
            <v>0</v>
          </cell>
        </row>
        <row r="739">
          <cell r="C739" t="str">
            <v/>
          </cell>
          <cell r="D739" t="str">
            <v/>
          </cell>
          <cell r="O739" t="str">
            <v/>
          </cell>
          <cell r="T739" t="str">
            <v/>
          </cell>
          <cell r="U739" t="str">
            <v/>
          </cell>
          <cell r="V739" t="str">
            <v/>
          </cell>
          <cell r="W739" t="str">
            <v/>
          </cell>
          <cell r="Y739" t="str">
            <v/>
          </cell>
          <cell r="AA739" t="str">
            <v/>
          </cell>
          <cell r="AB739">
            <v>0</v>
          </cell>
          <cell r="AC739">
            <v>0</v>
          </cell>
          <cell r="AI739" t="str">
            <v/>
          </cell>
          <cell r="AJ739" t="str">
            <v/>
          </cell>
          <cell r="AK739">
            <v>0</v>
          </cell>
          <cell r="AL739">
            <v>0</v>
          </cell>
          <cell r="AM739">
            <v>0</v>
          </cell>
        </row>
        <row r="740">
          <cell r="C740" t="str">
            <v/>
          </cell>
          <cell r="D740" t="str">
            <v/>
          </cell>
          <cell r="O740" t="str">
            <v/>
          </cell>
          <cell r="T740" t="str">
            <v/>
          </cell>
          <cell r="U740" t="str">
            <v/>
          </cell>
          <cell r="V740" t="str">
            <v/>
          </cell>
          <cell r="W740" t="str">
            <v/>
          </cell>
          <cell r="Y740" t="str">
            <v/>
          </cell>
          <cell r="AA740" t="str">
            <v/>
          </cell>
          <cell r="AB740">
            <v>0</v>
          </cell>
          <cell r="AC740">
            <v>0</v>
          </cell>
          <cell r="AI740" t="str">
            <v/>
          </cell>
          <cell r="AJ740" t="str">
            <v/>
          </cell>
          <cell r="AK740">
            <v>0</v>
          </cell>
          <cell r="AL740">
            <v>0</v>
          </cell>
          <cell r="AM740">
            <v>0</v>
          </cell>
        </row>
        <row r="741">
          <cell r="C741" t="str">
            <v/>
          </cell>
          <cell r="D741" t="str">
            <v/>
          </cell>
          <cell r="O741" t="str">
            <v/>
          </cell>
          <cell r="T741" t="str">
            <v/>
          </cell>
          <cell r="U741" t="str">
            <v/>
          </cell>
          <cell r="V741" t="str">
            <v/>
          </cell>
          <cell r="W741" t="str">
            <v/>
          </cell>
          <cell r="Y741" t="str">
            <v/>
          </cell>
          <cell r="AA741" t="str">
            <v/>
          </cell>
          <cell r="AB741">
            <v>0</v>
          </cell>
          <cell r="AC741">
            <v>0</v>
          </cell>
          <cell r="AI741" t="str">
            <v/>
          </cell>
          <cell r="AJ741" t="str">
            <v/>
          </cell>
          <cell r="AK741">
            <v>0</v>
          </cell>
          <cell r="AL741">
            <v>0</v>
          </cell>
          <cell r="AM741">
            <v>0</v>
          </cell>
        </row>
        <row r="742">
          <cell r="C742" t="str">
            <v/>
          </cell>
          <cell r="D742" t="str">
            <v/>
          </cell>
          <cell r="O742" t="str">
            <v/>
          </cell>
          <cell r="T742" t="str">
            <v/>
          </cell>
          <cell r="U742" t="str">
            <v/>
          </cell>
          <cell r="V742" t="str">
            <v/>
          </cell>
          <cell r="W742" t="str">
            <v/>
          </cell>
          <cell r="Y742" t="str">
            <v/>
          </cell>
          <cell r="AA742" t="str">
            <v/>
          </cell>
          <cell r="AB742">
            <v>0</v>
          </cell>
          <cell r="AC742">
            <v>0</v>
          </cell>
          <cell r="AI742" t="str">
            <v/>
          </cell>
          <cell r="AJ742" t="str">
            <v/>
          </cell>
          <cell r="AK742">
            <v>0</v>
          </cell>
          <cell r="AL742">
            <v>0</v>
          </cell>
          <cell r="AM742">
            <v>0</v>
          </cell>
        </row>
        <row r="743">
          <cell r="C743" t="str">
            <v/>
          </cell>
          <cell r="D743" t="str">
            <v/>
          </cell>
          <cell r="O743" t="str">
            <v/>
          </cell>
          <cell r="T743" t="str">
            <v/>
          </cell>
          <cell r="U743" t="str">
            <v/>
          </cell>
          <cell r="V743" t="str">
            <v/>
          </cell>
          <cell r="W743" t="str">
            <v/>
          </cell>
          <cell r="Y743" t="str">
            <v/>
          </cell>
          <cell r="AA743" t="str">
            <v/>
          </cell>
          <cell r="AB743">
            <v>0</v>
          </cell>
          <cell r="AC743">
            <v>0</v>
          </cell>
          <cell r="AI743" t="str">
            <v/>
          </cell>
          <cell r="AJ743" t="str">
            <v/>
          </cell>
          <cell r="AK743">
            <v>0</v>
          </cell>
          <cell r="AL743">
            <v>0</v>
          </cell>
          <cell r="AM743">
            <v>0</v>
          </cell>
        </row>
        <row r="744">
          <cell r="C744" t="str">
            <v/>
          </cell>
          <cell r="D744" t="str">
            <v/>
          </cell>
          <cell r="O744" t="str">
            <v/>
          </cell>
          <cell r="T744" t="str">
            <v/>
          </cell>
          <cell r="U744" t="str">
            <v/>
          </cell>
          <cell r="V744" t="str">
            <v/>
          </cell>
          <cell r="W744" t="str">
            <v/>
          </cell>
          <cell r="Y744" t="str">
            <v/>
          </cell>
          <cell r="AA744" t="str">
            <v/>
          </cell>
          <cell r="AB744">
            <v>0</v>
          </cell>
          <cell r="AC744">
            <v>0</v>
          </cell>
          <cell r="AI744" t="str">
            <v/>
          </cell>
          <cell r="AJ744" t="str">
            <v/>
          </cell>
          <cell r="AK744">
            <v>0</v>
          </cell>
          <cell r="AL744">
            <v>0</v>
          </cell>
          <cell r="AM744">
            <v>0</v>
          </cell>
        </row>
        <row r="745">
          <cell r="C745" t="str">
            <v/>
          </cell>
          <cell r="D745" t="str">
            <v/>
          </cell>
          <cell r="O745" t="str">
            <v/>
          </cell>
          <cell r="T745" t="str">
            <v/>
          </cell>
          <cell r="U745" t="str">
            <v/>
          </cell>
          <cell r="V745" t="str">
            <v/>
          </cell>
          <cell r="W745" t="str">
            <v/>
          </cell>
          <cell r="Y745" t="str">
            <v/>
          </cell>
          <cell r="AA745" t="str">
            <v/>
          </cell>
          <cell r="AB745">
            <v>0</v>
          </cell>
          <cell r="AC745">
            <v>0</v>
          </cell>
          <cell r="AI745" t="str">
            <v/>
          </cell>
          <cell r="AJ745" t="str">
            <v/>
          </cell>
          <cell r="AK745">
            <v>0</v>
          </cell>
          <cell r="AL745">
            <v>0</v>
          </cell>
          <cell r="AM745">
            <v>0</v>
          </cell>
        </row>
        <row r="746">
          <cell r="C746" t="str">
            <v/>
          </cell>
          <cell r="D746" t="str">
            <v/>
          </cell>
          <cell r="O746" t="str">
            <v/>
          </cell>
          <cell r="T746" t="str">
            <v/>
          </cell>
          <cell r="U746" t="str">
            <v/>
          </cell>
          <cell r="V746" t="str">
            <v/>
          </cell>
          <cell r="W746" t="str">
            <v/>
          </cell>
          <cell r="Y746" t="str">
            <v/>
          </cell>
          <cell r="AA746" t="str">
            <v/>
          </cell>
          <cell r="AB746">
            <v>0</v>
          </cell>
          <cell r="AC746">
            <v>0</v>
          </cell>
          <cell r="AI746" t="str">
            <v/>
          </cell>
          <cell r="AJ746" t="str">
            <v/>
          </cell>
          <cell r="AK746">
            <v>0</v>
          </cell>
          <cell r="AL746">
            <v>0</v>
          </cell>
          <cell r="AM746">
            <v>0</v>
          </cell>
        </row>
        <row r="747">
          <cell r="C747" t="str">
            <v/>
          </cell>
          <cell r="D747" t="str">
            <v/>
          </cell>
          <cell r="O747" t="str">
            <v/>
          </cell>
          <cell r="T747" t="str">
            <v/>
          </cell>
          <cell r="U747" t="str">
            <v/>
          </cell>
          <cell r="V747" t="str">
            <v/>
          </cell>
          <cell r="W747" t="str">
            <v/>
          </cell>
          <cell r="Y747" t="str">
            <v/>
          </cell>
          <cell r="AA747" t="str">
            <v/>
          </cell>
          <cell r="AB747">
            <v>0</v>
          </cell>
          <cell r="AC747">
            <v>0</v>
          </cell>
          <cell r="AI747" t="str">
            <v/>
          </cell>
          <cell r="AJ747" t="str">
            <v/>
          </cell>
          <cell r="AK747">
            <v>0</v>
          </cell>
          <cell r="AL747">
            <v>0</v>
          </cell>
          <cell r="AM747">
            <v>0</v>
          </cell>
        </row>
        <row r="748">
          <cell r="C748" t="str">
            <v/>
          </cell>
          <cell r="D748" t="str">
            <v/>
          </cell>
          <cell r="O748" t="str">
            <v/>
          </cell>
          <cell r="T748" t="str">
            <v/>
          </cell>
          <cell r="U748" t="str">
            <v/>
          </cell>
          <cell r="V748" t="str">
            <v/>
          </cell>
          <cell r="W748" t="str">
            <v/>
          </cell>
          <cell r="Y748" t="str">
            <v/>
          </cell>
          <cell r="AA748" t="str">
            <v/>
          </cell>
          <cell r="AB748">
            <v>0</v>
          </cell>
          <cell r="AC748">
            <v>0</v>
          </cell>
          <cell r="AI748" t="str">
            <v/>
          </cell>
          <cell r="AJ748" t="str">
            <v/>
          </cell>
          <cell r="AK748">
            <v>0</v>
          </cell>
          <cell r="AL748">
            <v>0</v>
          </cell>
          <cell r="AM748">
            <v>0</v>
          </cell>
        </row>
        <row r="749">
          <cell r="C749" t="str">
            <v/>
          </cell>
          <cell r="D749" t="str">
            <v/>
          </cell>
          <cell r="O749" t="str">
            <v/>
          </cell>
          <cell r="T749" t="str">
            <v/>
          </cell>
          <cell r="U749" t="str">
            <v/>
          </cell>
          <cell r="V749" t="str">
            <v/>
          </cell>
          <cell r="W749" t="str">
            <v/>
          </cell>
          <cell r="Y749" t="str">
            <v/>
          </cell>
          <cell r="AA749" t="str">
            <v/>
          </cell>
          <cell r="AB749">
            <v>0</v>
          </cell>
          <cell r="AC749">
            <v>0</v>
          </cell>
          <cell r="AI749" t="str">
            <v/>
          </cell>
          <cell r="AJ749" t="str">
            <v/>
          </cell>
          <cell r="AK749">
            <v>0</v>
          </cell>
          <cell r="AL749">
            <v>0</v>
          </cell>
          <cell r="AM749">
            <v>0</v>
          </cell>
        </row>
        <row r="750">
          <cell r="C750" t="str">
            <v/>
          </cell>
          <cell r="D750" t="str">
            <v/>
          </cell>
          <cell r="O750" t="str">
            <v/>
          </cell>
          <cell r="T750" t="str">
            <v/>
          </cell>
          <cell r="U750" t="str">
            <v/>
          </cell>
          <cell r="V750" t="str">
            <v/>
          </cell>
          <cell r="W750" t="str">
            <v/>
          </cell>
          <cell r="Y750" t="str">
            <v/>
          </cell>
          <cell r="AA750" t="str">
            <v/>
          </cell>
          <cell r="AB750">
            <v>0</v>
          </cell>
          <cell r="AC750">
            <v>0</v>
          </cell>
          <cell r="AI750" t="str">
            <v/>
          </cell>
          <cell r="AJ750" t="str">
            <v/>
          </cell>
          <cell r="AK750">
            <v>0</v>
          </cell>
          <cell r="AL750">
            <v>0</v>
          </cell>
          <cell r="AM750">
            <v>0</v>
          </cell>
        </row>
        <row r="751">
          <cell r="C751" t="str">
            <v/>
          </cell>
          <cell r="D751" t="str">
            <v/>
          </cell>
          <cell r="O751" t="str">
            <v/>
          </cell>
          <cell r="T751" t="str">
            <v/>
          </cell>
          <cell r="U751" t="str">
            <v/>
          </cell>
          <cell r="V751" t="str">
            <v/>
          </cell>
          <cell r="W751" t="str">
            <v/>
          </cell>
          <cell r="Y751" t="str">
            <v/>
          </cell>
          <cell r="AA751" t="str">
            <v/>
          </cell>
          <cell r="AB751">
            <v>0</v>
          </cell>
          <cell r="AC751">
            <v>0</v>
          </cell>
          <cell r="AI751" t="str">
            <v/>
          </cell>
          <cell r="AJ751" t="str">
            <v/>
          </cell>
          <cell r="AK751">
            <v>0</v>
          </cell>
          <cell r="AL751">
            <v>0</v>
          </cell>
          <cell r="AM751">
            <v>0</v>
          </cell>
        </row>
        <row r="752">
          <cell r="C752" t="str">
            <v/>
          </cell>
          <cell r="D752" t="str">
            <v/>
          </cell>
          <cell r="O752" t="str">
            <v/>
          </cell>
          <cell r="T752" t="str">
            <v/>
          </cell>
          <cell r="U752" t="str">
            <v/>
          </cell>
          <cell r="V752" t="str">
            <v/>
          </cell>
          <cell r="W752" t="str">
            <v/>
          </cell>
          <cell r="Y752" t="str">
            <v/>
          </cell>
          <cell r="AA752" t="str">
            <v/>
          </cell>
          <cell r="AB752">
            <v>0</v>
          </cell>
          <cell r="AC752">
            <v>0</v>
          </cell>
          <cell r="AI752" t="str">
            <v/>
          </cell>
          <cell r="AJ752" t="str">
            <v/>
          </cell>
          <cell r="AK752">
            <v>0</v>
          </cell>
          <cell r="AL752">
            <v>0</v>
          </cell>
          <cell r="AM752">
            <v>0</v>
          </cell>
        </row>
        <row r="753">
          <cell r="C753" t="str">
            <v/>
          </cell>
          <cell r="D753" t="str">
            <v/>
          </cell>
          <cell r="O753" t="str">
            <v/>
          </cell>
          <cell r="T753" t="str">
            <v/>
          </cell>
          <cell r="U753" t="str">
            <v/>
          </cell>
          <cell r="V753" t="str">
            <v/>
          </cell>
          <cell r="W753" t="str">
            <v/>
          </cell>
          <cell r="Y753" t="str">
            <v/>
          </cell>
          <cell r="AA753" t="str">
            <v/>
          </cell>
          <cell r="AB753">
            <v>0</v>
          </cell>
          <cell r="AC753">
            <v>0</v>
          </cell>
          <cell r="AI753" t="str">
            <v/>
          </cell>
          <cell r="AJ753" t="str">
            <v/>
          </cell>
          <cell r="AK753">
            <v>0</v>
          </cell>
          <cell r="AL753">
            <v>0</v>
          </cell>
          <cell r="AM753">
            <v>0</v>
          </cell>
        </row>
        <row r="754">
          <cell r="C754" t="str">
            <v/>
          </cell>
          <cell r="D754" t="str">
            <v/>
          </cell>
          <cell r="O754" t="str">
            <v/>
          </cell>
          <cell r="T754" t="str">
            <v/>
          </cell>
          <cell r="U754" t="str">
            <v/>
          </cell>
          <cell r="V754" t="str">
            <v/>
          </cell>
          <cell r="W754" t="str">
            <v/>
          </cell>
          <cell r="Y754" t="str">
            <v/>
          </cell>
          <cell r="AA754" t="str">
            <v/>
          </cell>
          <cell r="AB754">
            <v>0</v>
          </cell>
          <cell r="AC754">
            <v>0</v>
          </cell>
          <cell r="AI754" t="str">
            <v/>
          </cell>
          <cell r="AJ754" t="str">
            <v/>
          </cell>
          <cell r="AK754">
            <v>0</v>
          </cell>
          <cell r="AL754">
            <v>0</v>
          </cell>
          <cell r="AM754">
            <v>0</v>
          </cell>
        </row>
        <row r="755">
          <cell r="C755" t="str">
            <v/>
          </cell>
          <cell r="D755" t="str">
            <v/>
          </cell>
          <cell r="O755" t="str">
            <v/>
          </cell>
          <cell r="T755" t="str">
            <v/>
          </cell>
          <cell r="U755" t="str">
            <v/>
          </cell>
          <cell r="V755" t="str">
            <v/>
          </cell>
          <cell r="W755" t="str">
            <v/>
          </cell>
          <cell r="Y755" t="str">
            <v/>
          </cell>
          <cell r="AA755" t="str">
            <v/>
          </cell>
          <cell r="AB755">
            <v>0</v>
          </cell>
          <cell r="AC755">
            <v>0</v>
          </cell>
          <cell r="AI755" t="str">
            <v/>
          </cell>
          <cell r="AJ755" t="str">
            <v/>
          </cell>
          <cell r="AK755">
            <v>0</v>
          </cell>
          <cell r="AL755">
            <v>0</v>
          </cell>
          <cell r="AM755">
            <v>0</v>
          </cell>
        </row>
        <row r="756">
          <cell r="C756" t="str">
            <v/>
          </cell>
          <cell r="D756" t="str">
            <v/>
          </cell>
          <cell r="O756" t="str">
            <v/>
          </cell>
          <cell r="T756" t="str">
            <v/>
          </cell>
          <cell r="U756" t="str">
            <v/>
          </cell>
          <cell r="V756" t="str">
            <v/>
          </cell>
          <cell r="W756" t="str">
            <v/>
          </cell>
          <cell r="Y756" t="str">
            <v/>
          </cell>
          <cell r="AA756" t="str">
            <v/>
          </cell>
          <cell r="AB756">
            <v>0</v>
          </cell>
          <cell r="AC756">
            <v>0</v>
          </cell>
          <cell r="AI756" t="str">
            <v/>
          </cell>
          <cell r="AJ756" t="str">
            <v/>
          </cell>
          <cell r="AK756">
            <v>0</v>
          </cell>
          <cell r="AL756">
            <v>0</v>
          </cell>
          <cell r="AM756">
            <v>0</v>
          </cell>
        </row>
        <row r="757">
          <cell r="C757" t="str">
            <v/>
          </cell>
          <cell r="D757" t="str">
            <v/>
          </cell>
          <cell r="O757" t="str">
            <v/>
          </cell>
          <cell r="T757" t="str">
            <v/>
          </cell>
          <cell r="U757" t="str">
            <v/>
          </cell>
          <cell r="V757" t="str">
            <v/>
          </cell>
          <cell r="W757" t="str">
            <v/>
          </cell>
          <cell r="Y757" t="str">
            <v/>
          </cell>
          <cell r="AA757" t="str">
            <v/>
          </cell>
          <cell r="AB757">
            <v>0</v>
          </cell>
          <cell r="AC757">
            <v>0</v>
          </cell>
          <cell r="AI757" t="str">
            <v/>
          </cell>
          <cell r="AJ757" t="str">
            <v/>
          </cell>
          <cell r="AK757">
            <v>0</v>
          </cell>
          <cell r="AL757">
            <v>0</v>
          </cell>
          <cell r="AM757">
            <v>0</v>
          </cell>
        </row>
        <row r="758">
          <cell r="C758" t="str">
            <v/>
          </cell>
          <cell r="D758" t="str">
            <v/>
          </cell>
          <cell r="O758" t="str">
            <v/>
          </cell>
          <cell r="T758" t="str">
            <v/>
          </cell>
          <cell r="U758" t="str">
            <v/>
          </cell>
          <cell r="V758" t="str">
            <v/>
          </cell>
          <cell r="W758" t="str">
            <v/>
          </cell>
          <cell r="Y758" t="str">
            <v/>
          </cell>
          <cell r="AA758" t="str">
            <v/>
          </cell>
          <cell r="AB758">
            <v>0</v>
          </cell>
          <cell r="AC758">
            <v>0</v>
          </cell>
          <cell r="AI758" t="str">
            <v/>
          </cell>
          <cell r="AJ758" t="str">
            <v/>
          </cell>
          <cell r="AK758">
            <v>0</v>
          </cell>
          <cell r="AL758">
            <v>0</v>
          </cell>
          <cell r="AM758">
            <v>0</v>
          </cell>
        </row>
        <row r="759">
          <cell r="C759" t="str">
            <v/>
          </cell>
          <cell r="D759" t="str">
            <v/>
          </cell>
          <cell r="O759" t="str">
            <v/>
          </cell>
          <cell r="T759" t="str">
            <v/>
          </cell>
          <cell r="U759" t="str">
            <v/>
          </cell>
          <cell r="V759" t="str">
            <v/>
          </cell>
          <cell r="W759" t="str">
            <v/>
          </cell>
          <cell r="Y759" t="str">
            <v/>
          </cell>
          <cell r="AA759" t="str">
            <v/>
          </cell>
          <cell r="AB759">
            <v>0</v>
          </cell>
          <cell r="AC759">
            <v>0</v>
          </cell>
          <cell r="AI759" t="str">
            <v/>
          </cell>
          <cell r="AJ759" t="str">
            <v/>
          </cell>
          <cell r="AK759">
            <v>0</v>
          </cell>
          <cell r="AL759">
            <v>0</v>
          </cell>
          <cell r="AM759">
            <v>0</v>
          </cell>
        </row>
        <row r="760">
          <cell r="C760" t="str">
            <v/>
          </cell>
          <cell r="D760" t="str">
            <v/>
          </cell>
          <cell r="O760" t="str">
            <v/>
          </cell>
          <cell r="T760" t="str">
            <v/>
          </cell>
          <cell r="U760" t="str">
            <v/>
          </cell>
          <cell r="V760" t="str">
            <v/>
          </cell>
          <cell r="W760" t="str">
            <v/>
          </cell>
          <cell r="Y760" t="str">
            <v/>
          </cell>
          <cell r="AA760" t="str">
            <v/>
          </cell>
          <cell r="AB760">
            <v>0</v>
          </cell>
          <cell r="AC760">
            <v>0</v>
          </cell>
          <cell r="AI760" t="str">
            <v/>
          </cell>
          <cell r="AJ760" t="str">
            <v/>
          </cell>
          <cell r="AK760">
            <v>0</v>
          </cell>
          <cell r="AL760">
            <v>0</v>
          </cell>
          <cell r="AM760">
            <v>0</v>
          </cell>
        </row>
        <row r="761">
          <cell r="C761" t="str">
            <v/>
          </cell>
          <cell r="D761" t="str">
            <v/>
          </cell>
          <cell r="O761" t="str">
            <v/>
          </cell>
          <cell r="T761" t="str">
            <v/>
          </cell>
          <cell r="U761" t="str">
            <v/>
          </cell>
          <cell r="V761" t="str">
            <v/>
          </cell>
          <cell r="W761" t="str">
            <v/>
          </cell>
          <cell r="Y761" t="str">
            <v/>
          </cell>
          <cell r="AA761" t="str">
            <v/>
          </cell>
          <cell r="AB761">
            <v>0</v>
          </cell>
          <cell r="AC761">
            <v>0</v>
          </cell>
          <cell r="AI761" t="str">
            <v/>
          </cell>
          <cell r="AJ761" t="str">
            <v/>
          </cell>
          <cell r="AK761">
            <v>0</v>
          </cell>
          <cell r="AL761">
            <v>0</v>
          </cell>
          <cell r="AM761">
            <v>0</v>
          </cell>
        </row>
        <row r="762">
          <cell r="C762" t="str">
            <v/>
          </cell>
          <cell r="D762" t="str">
            <v/>
          </cell>
          <cell r="O762" t="str">
            <v/>
          </cell>
          <cell r="T762" t="str">
            <v/>
          </cell>
          <cell r="U762" t="str">
            <v/>
          </cell>
          <cell r="V762" t="str">
            <v/>
          </cell>
          <cell r="W762" t="str">
            <v/>
          </cell>
          <cell r="Y762" t="str">
            <v/>
          </cell>
          <cell r="AA762" t="str">
            <v/>
          </cell>
          <cell r="AB762">
            <v>0</v>
          </cell>
          <cell r="AC762">
            <v>0</v>
          </cell>
          <cell r="AI762" t="str">
            <v/>
          </cell>
          <cell r="AJ762" t="str">
            <v/>
          </cell>
          <cell r="AK762">
            <v>0</v>
          </cell>
          <cell r="AL762">
            <v>0</v>
          </cell>
          <cell r="AM762">
            <v>0</v>
          </cell>
        </row>
        <row r="763">
          <cell r="C763" t="str">
            <v/>
          </cell>
          <cell r="D763" t="str">
            <v/>
          </cell>
          <cell r="O763" t="str">
            <v/>
          </cell>
          <cell r="T763" t="str">
            <v/>
          </cell>
          <cell r="U763" t="str">
            <v/>
          </cell>
          <cell r="V763" t="str">
            <v/>
          </cell>
          <cell r="W763" t="str">
            <v/>
          </cell>
          <cell r="Y763" t="str">
            <v/>
          </cell>
          <cell r="AA763" t="str">
            <v/>
          </cell>
          <cell r="AB763">
            <v>0</v>
          </cell>
          <cell r="AC763">
            <v>0</v>
          </cell>
          <cell r="AI763" t="str">
            <v/>
          </cell>
          <cell r="AJ763" t="str">
            <v/>
          </cell>
          <cell r="AK763">
            <v>0</v>
          </cell>
          <cell r="AL763">
            <v>0</v>
          </cell>
          <cell r="AM763">
            <v>0</v>
          </cell>
        </row>
        <row r="764">
          <cell r="C764" t="str">
            <v/>
          </cell>
          <cell r="D764" t="str">
            <v/>
          </cell>
          <cell r="O764" t="str">
            <v/>
          </cell>
          <cell r="T764" t="str">
            <v/>
          </cell>
          <cell r="U764" t="str">
            <v/>
          </cell>
          <cell r="V764" t="str">
            <v/>
          </cell>
          <cell r="W764" t="str">
            <v/>
          </cell>
          <cell r="Y764" t="str">
            <v/>
          </cell>
          <cell r="AA764" t="str">
            <v/>
          </cell>
          <cell r="AB764">
            <v>0</v>
          </cell>
          <cell r="AC764">
            <v>0</v>
          </cell>
          <cell r="AI764" t="str">
            <v/>
          </cell>
          <cell r="AJ764" t="str">
            <v/>
          </cell>
          <cell r="AK764">
            <v>0</v>
          </cell>
          <cell r="AL764">
            <v>0</v>
          </cell>
          <cell r="AM764">
            <v>0</v>
          </cell>
        </row>
        <row r="765">
          <cell r="C765" t="str">
            <v/>
          </cell>
          <cell r="D765" t="str">
            <v/>
          </cell>
          <cell r="O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/>
          </cell>
          <cell r="Y765" t="str">
            <v/>
          </cell>
          <cell r="AA765" t="str">
            <v/>
          </cell>
          <cell r="AB765">
            <v>0</v>
          </cell>
          <cell r="AC765">
            <v>0</v>
          </cell>
          <cell r="AI765" t="str">
            <v/>
          </cell>
          <cell r="AJ765" t="str">
            <v/>
          </cell>
          <cell r="AK765">
            <v>0</v>
          </cell>
          <cell r="AL765">
            <v>0</v>
          </cell>
          <cell r="AM765">
            <v>0</v>
          </cell>
        </row>
        <row r="766">
          <cell r="C766" t="str">
            <v/>
          </cell>
          <cell r="D766" t="str">
            <v/>
          </cell>
          <cell r="O766" t="str">
            <v/>
          </cell>
          <cell r="T766" t="str">
            <v/>
          </cell>
          <cell r="U766" t="str">
            <v/>
          </cell>
          <cell r="V766" t="str">
            <v/>
          </cell>
          <cell r="W766" t="str">
            <v/>
          </cell>
          <cell r="Y766" t="str">
            <v/>
          </cell>
          <cell r="AA766" t="str">
            <v/>
          </cell>
          <cell r="AB766">
            <v>0</v>
          </cell>
          <cell r="AC766">
            <v>0</v>
          </cell>
          <cell r="AI766" t="str">
            <v/>
          </cell>
          <cell r="AJ766" t="str">
            <v/>
          </cell>
          <cell r="AK766">
            <v>0</v>
          </cell>
          <cell r="AL766">
            <v>0</v>
          </cell>
          <cell r="AM766">
            <v>0</v>
          </cell>
        </row>
        <row r="767">
          <cell r="C767" t="str">
            <v/>
          </cell>
          <cell r="D767" t="str">
            <v/>
          </cell>
          <cell r="O767" t="str">
            <v/>
          </cell>
          <cell r="T767" t="str">
            <v/>
          </cell>
          <cell r="U767" t="str">
            <v/>
          </cell>
          <cell r="V767" t="str">
            <v/>
          </cell>
          <cell r="W767" t="str">
            <v/>
          </cell>
          <cell r="Y767" t="str">
            <v/>
          </cell>
          <cell r="AA767" t="str">
            <v/>
          </cell>
          <cell r="AB767">
            <v>0</v>
          </cell>
          <cell r="AC767">
            <v>0</v>
          </cell>
          <cell r="AI767" t="str">
            <v/>
          </cell>
          <cell r="AJ767" t="str">
            <v/>
          </cell>
          <cell r="AK767">
            <v>0</v>
          </cell>
          <cell r="AL767">
            <v>0</v>
          </cell>
          <cell r="AM767">
            <v>0</v>
          </cell>
        </row>
        <row r="768">
          <cell r="C768" t="str">
            <v/>
          </cell>
          <cell r="D768" t="str">
            <v/>
          </cell>
          <cell r="O768" t="str">
            <v/>
          </cell>
          <cell r="T768" t="str">
            <v/>
          </cell>
          <cell r="U768" t="str">
            <v/>
          </cell>
          <cell r="V768" t="str">
            <v/>
          </cell>
          <cell r="W768" t="str">
            <v/>
          </cell>
          <cell r="Y768" t="str">
            <v/>
          </cell>
          <cell r="AA768" t="str">
            <v/>
          </cell>
          <cell r="AB768">
            <v>0</v>
          </cell>
          <cell r="AC768">
            <v>0</v>
          </cell>
          <cell r="AI768" t="str">
            <v/>
          </cell>
          <cell r="AJ768" t="str">
            <v/>
          </cell>
          <cell r="AK768">
            <v>0</v>
          </cell>
          <cell r="AL768">
            <v>0</v>
          </cell>
          <cell r="AM768">
            <v>0</v>
          </cell>
        </row>
        <row r="769">
          <cell r="C769" t="str">
            <v/>
          </cell>
          <cell r="D769" t="str">
            <v/>
          </cell>
          <cell r="O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/>
          </cell>
          <cell r="Y769" t="str">
            <v/>
          </cell>
          <cell r="AA769" t="str">
            <v/>
          </cell>
          <cell r="AB769">
            <v>0</v>
          </cell>
          <cell r="AC769">
            <v>0</v>
          </cell>
          <cell r="AI769" t="str">
            <v/>
          </cell>
          <cell r="AJ769" t="str">
            <v/>
          </cell>
          <cell r="AK769">
            <v>0</v>
          </cell>
          <cell r="AL769">
            <v>0</v>
          </cell>
          <cell r="AM769">
            <v>0</v>
          </cell>
        </row>
        <row r="770">
          <cell r="C770" t="str">
            <v/>
          </cell>
          <cell r="D770" t="str">
            <v/>
          </cell>
          <cell r="O770" t="str">
            <v/>
          </cell>
          <cell r="T770" t="str">
            <v/>
          </cell>
          <cell r="U770" t="str">
            <v/>
          </cell>
          <cell r="V770" t="str">
            <v/>
          </cell>
          <cell r="W770" t="str">
            <v/>
          </cell>
          <cell r="Y770" t="str">
            <v/>
          </cell>
          <cell r="AA770" t="str">
            <v/>
          </cell>
          <cell r="AB770">
            <v>0</v>
          </cell>
          <cell r="AC770">
            <v>0</v>
          </cell>
          <cell r="AI770" t="str">
            <v/>
          </cell>
          <cell r="AJ770" t="str">
            <v/>
          </cell>
          <cell r="AK770">
            <v>0</v>
          </cell>
          <cell r="AL770">
            <v>0</v>
          </cell>
          <cell r="AM770">
            <v>0</v>
          </cell>
        </row>
        <row r="771">
          <cell r="C771" t="str">
            <v/>
          </cell>
          <cell r="D771" t="str">
            <v/>
          </cell>
          <cell r="O771" t="str">
            <v/>
          </cell>
          <cell r="T771" t="str">
            <v/>
          </cell>
          <cell r="U771" t="str">
            <v/>
          </cell>
          <cell r="V771" t="str">
            <v/>
          </cell>
          <cell r="W771" t="str">
            <v/>
          </cell>
          <cell r="Y771" t="str">
            <v/>
          </cell>
          <cell r="AA771" t="str">
            <v/>
          </cell>
          <cell r="AB771">
            <v>0</v>
          </cell>
          <cell r="AC771">
            <v>0</v>
          </cell>
          <cell r="AI771" t="str">
            <v/>
          </cell>
          <cell r="AJ771" t="str">
            <v/>
          </cell>
          <cell r="AK771">
            <v>0</v>
          </cell>
          <cell r="AL771">
            <v>0</v>
          </cell>
          <cell r="AM771">
            <v>0</v>
          </cell>
        </row>
        <row r="772">
          <cell r="C772" t="str">
            <v/>
          </cell>
          <cell r="D772" t="str">
            <v/>
          </cell>
          <cell r="O772" t="str">
            <v/>
          </cell>
          <cell r="T772" t="str">
            <v/>
          </cell>
          <cell r="U772" t="str">
            <v/>
          </cell>
          <cell r="V772" t="str">
            <v/>
          </cell>
          <cell r="W772" t="str">
            <v/>
          </cell>
          <cell r="Y772" t="str">
            <v/>
          </cell>
          <cell r="AA772" t="str">
            <v/>
          </cell>
          <cell r="AB772">
            <v>0</v>
          </cell>
          <cell r="AC772">
            <v>0</v>
          </cell>
          <cell r="AI772" t="str">
            <v/>
          </cell>
          <cell r="AJ772" t="str">
            <v/>
          </cell>
          <cell r="AK772">
            <v>0</v>
          </cell>
          <cell r="AL772">
            <v>0</v>
          </cell>
          <cell r="AM772">
            <v>0</v>
          </cell>
        </row>
        <row r="773">
          <cell r="C773" t="str">
            <v/>
          </cell>
          <cell r="D773" t="str">
            <v/>
          </cell>
          <cell r="O773" t="str">
            <v/>
          </cell>
          <cell r="T773" t="str">
            <v/>
          </cell>
          <cell r="U773" t="str">
            <v/>
          </cell>
          <cell r="V773" t="str">
            <v/>
          </cell>
          <cell r="W773" t="str">
            <v/>
          </cell>
          <cell r="Y773" t="str">
            <v/>
          </cell>
          <cell r="AA773" t="str">
            <v/>
          </cell>
          <cell r="AB773">
            <v>0</v>
          </cell>
          <cell r="AC773">
            <v>0</v>
          </cell>
          <cell r="AI773" t="str">
            <v/>
          </cell>
          <cell r="AJ773" t="str">
            <v/>
          </cell>
          <cell r="AK773">
            <v>0</v>
          </cell>
          <cell r="AL773">
            <v>0</v>
          </cell>
          <cell r="AM773">
            <v>0</v>
          </cell>
        </row>
        <row r="774">
          <cell r="C774" t="str">
            <v/>
          </cell>
          <cell r="D774" t="str">
            <v/>
          </cell>
          <cell r="O774" t="str">
            <v/>
          </cell>
          <cell r="T774" t="str">
            <v/>
          </cell>
          <cell r="U774" t="str">
            <v/>
          </cell>
          <cell r="V774" t="str">
            <v/>
          </cell>
          <cell r="W774" t="str">
            <v/>
          </cell>
          <cell r="Y774" t="str">
            <v/>
          </cell>
          <cell r="AA774" t="str">
            <v/>
          </cell>
          <cell r="AB774">
            <v>0</v>
          </cell>
          <cell r="AC774">
            <v>0</v>
          </cell>
          <cell r="AI774" t="str">
            <v/>
          </cell>
          <cell r="AJ774" t="str">
            <v/>
          </cell>
          <cell r="AK774">
            <v>0</v>
          </cell>
          <cell r="AL774">
            <v>0</v>
          </cell>
          <cell r="AM774">
            <v>0</v>
          </cell>
        </row>
        <row r="775">
          <cell r="C775" t="str">
            <v/>
          </cell>
          <cell r="D775" t="str">
            <v/>
          </cell>
          <cell r="O775" t="str">
            <v/>
          </cell>
          <cell r="T775" t="str">
            <v/>
          </cell>
          <cell r="U775" t="str">
            <v/>
          </cell>
          <cell r="V775" t="str">
            <v/>
          </cell>
          <cell r="W775" t="str">
            <v/>
          </cell>
          <cell r="Y775" t="str">
            <v/>
          </cell>
          <cell r="AA775" t="str">
            <v/>
          </cell>
          <cell r="AB775">
            <v>0</v>
          </cell>
          <cell r="AC775">
            <v>0</v>
          </cell>
          <cell r="AI775" t="str">
            <v/>
          </cell>
          <cell r="AJ775" t="str">
            <v/>
          </cell>
          <cell r="AK775">
            <v>0</v>
          </cell>
          <cell r="AL775">
            <v>0</v>
          </cell>
          <cell r="AM775">
            <v>0</v>
          </cell>
        </row>
        <row r="776">
          <cell r="C776" t="str">
            <v/>
          </cell>
          <cell r="D776" t="str">
            <v/>
          </cell>
          <cell r="O776" t="str">
            <v/>
          </cell>
          <cell r="T776" t="str">
            <v/>
          </cell>
          <cell r="U776" t="str">
            <v/>
          </cell>
          <cell r="V776" t="str">
            <v/>
          </cell>
          <cell r="W776" t="str">
            <v/>
          </cell>
          <cell r="Y776" t="str">
            <v/>
          </cell>
          <cell r="AA776" t="str">
            <v/>
          </cell>
          <cell r="AB776">
            <v>0</v>
          </cell>
          <cell r="AC776">
            <v>0</v>
          </cell>
          <cell r="AI776" t="str">
            <v/>
          </cell>
          <cell r="AJ776" t="str">
            <v/>
          </cell>
          <cell r="AK776">
            <v>0</v>
          </cell>
          <cell r="AL776">
            <v>0</v>
          </cell>
          <cell r="AM776">
            <v>0</v>
          </cell>
        </row>
        <row r="777">
          <cell r="C777" t="str">
            <v/>
          </cell>
          <cell r="D777" t="str">
            <v/>
          </cell>
          <cell r="O777" t="str">
            <v/>
          </cell>
          <cell r="T777" t="str">
            <v/>
          </cell>
          <cell r="U777" t="str">
            <v/>
          </cell>
          <cell r="V777" t="str">
            <v/>
          </cell>
          <cell r="W777" t="str">
            <v/>
          </cell>
          <cell r="Y777" t="str">
            <v/>
          </cell>
          <cell r="AA777" t="str">
            <v/>
          </cell>
          <cell r="AB777">
            <v>0</v>
          </cell>
          <cell r="AC777">
            <v>0</v>
          </cell>
          <cell r="AI777" t="str">
            <v/>
          </cell>
          <cell r="AJ777" t="str">
            <v/>
          </cell>
          <cell r="AK777">
            <v>0</v>
          </cell>
          <cell r="AL777">
            <v>0</v>
          </cell>
          <cell r="AM777">
            <v>0</v>
          </cell>
        </row>
        <row r="778">
          <cell r="C778" t="str">
            <v/>
          </cell>
          <cell r="D778" t="str">
            <v/>
          </cell>
          <cell r="O778" t="str">
            <v/>
          </cell>
          <cell r="T778" t="str">
            <v/>
          </cell>
          <cell r="U778" t="str">
            <v/>
          </cell>
          <cell r="V778" t="str">
            <v/>
          </cell>
          <cell r="W778" t="str">
            <v/>
          </cell>
          <cell r="Y778" t="str">
            <v/>
          </cell>
          <cell r="AA778" t="str">
            <v/>
          </cell>
          <cell r="AB778">
            <v>0</v>
          </cell>
          <cell r="AC778">
            <v>0</v>
          </cell>
          <cell r="AI778" t="str">
            <v/>
          </cell>
          <cell r="AJ778" t="str">
            <v/>
          </cell>
          <cell r="AK778">
            <v>0</v>
          </cell>
          <cell r="AL778">
            <v>0</v>
          </cell>
          <cell r="AM778">
            <v>0</v>
          </cell>
        </row>
        <row r="779">
          <cell r="C779" t="str">
            <v/>
          </cell>
          <cell r="D779" t="str">
            <v/>
          </cell>
          <cell r="O779" t="str">
            <v/>
          </cell>
          <cell r="T779" t="str">
            <v/>
          </cell>
          <cell r="U779" t="str">
            <v/>
          </cell>
          <cell r="V779" t="str">
            <v/>
          </cell>
          <cell r="W779" t="str">
            <v/>
          </cell>
          <cell r="Y779" t="str">
            <v/>
          </cell>
          <cell r="AA779" t="str">
            <v/>
          </cell>
          <cell r="AB779">
            <v>0</v>
          </cell>
          <cell r="AC779">
            <v>0</v>
          </cell>
          <cell r="AI779" t="str">
            <v/>
          </cell>
          <cell r="AJ779" t="str">
            <v/>
          </cell>
          <cell r="AK779">
            <v>0</v>
          </cell>
          <cell r="AL779">
            <v>0</v>
          </cell>
          <cell r="AM779">
            <v>0</v>
          </cell>
        </row>
        <row r="780">
          <cell r="C780" t="str">
            <v/>
          </cell>
          <cell r="D780" t="str">
            <v/>
          </cell>
          <cell r="O780" t="str">
            <v/>
          </cell>
          <cell r="T780" t="str">
            <v/>
          </cell>
          <cell r="U780" t="str">
            <v/>
          </cell>
          <cell r="V780" t="str">
            <v/>
          </cell>
          <cell r="W780" t="str">
            <v/>
          </cell>
          <cell r="Y780" t="str">
            <v/>
          </cell>
          <cell r="AA780" t="str">
            <v/>
          </cell>
          <cell r="AB780">
            <v>0</v>
          </cell>
          <cell r="AC780">
            <v>0</v>
          </cell>
          <cell r="AI780" t="str">
            <v/>
          </cell>
          <cell r="AJ780" t="str">
            <v/>
          </cell>
          <cell r="AK780">
            <v>0</v>
          </cell>
          <cell r="AL780">
            <v>0</v>
          </cell>
          <cell r="AM780">
            <v>0</v>
          </cell>
        </row>
        <row r="781">
          <cell r="C781" t="str">
            <v/>
          </cell>
          <cell r="D781" t="str">
            <v/>
          </cell>
          <cell r="O781" t="str">
            <v/>
          </cell>
          <cell r="T781" t="str">
            <v/>
          </cell>
          <cell r="U781" t="str">
            <v/>
          </cell>
          <cell r="V781" t="str">
            <v/>
          </cell>
          <cell r="W781" t="str">
            <v/>
          </cell>
          <cell r="Y781" t="str">
            <v/>
          </cell>
          <cell r="AA781" t="str">
            <v/>
          </cell>
          <cell r="AB781">
            <v>0</v>
          </cell>
          <cell r="AC781">
            <v>0</v>
          </cell>
          <cell r="AI781" t="str">
            <v/>
          </cell>
          <cell r="AJ781" t="str">
            <v/>
          </cell>
          <cell r="AK781">
            <v>0</v>
          </cell>
          <cell r="AL781">
            <v>0</v>
          </cell>
          <cell r="AM781">
            <v>0</v>
          </cell>
        </row>
        <row r="782">
          <cell r="C782" t="str">
            <v/>
          </cell>
          <cell r="D782" t="str">
            <v/>
          </cell>
          <cell r="O782" t="str">
            <v/>
          </cell>
          <cell r="T782" t="str">
            <v/>
          </cell>
          <cell r="U782" t="str">
            <v/>
          </cell>
          <cell r="V782" t="str">
            <v/>
          </cell>
          <cell r="W782" t="str">
            <v/>
          </cell>
          <cell r="Y782" t="str">
            <v/>
          </cell>
          <cell r="AA782" t="str">
            <v/>
          </cell>
          <cell r="AB782">
            <v>0</v>
          </cell>
          <cell r="AC782">
            <v>0</v>
          </cell>
          <cell r="AI782" t="str">
            <v/>
          </cell>
          <cell r="AJ782" t="str">
            <v/>
          </cell>
          <cell r="AK782">
            <v>0</v>
          </cell>
          <cell r="AL782">
            <v>0</v>
          </cell>
          <cell r="AM782">
            <v>0</v>
          </cell>
        </row>
        <row r="783">
          <cell r="C783" t="str">
            <v/>
          </cell>
          <cell r="D783" t="str">
            <v/>
          </cell>
          <cell r="O783" t="str">
            <v/>
          </cell>
          <cell r="T783" t="str">
            <v/>
          </cell>
          <cell r="U783" t="str">
            <v/>
          </cell>
          <cell r="V783" t="str">
            <v/>
          </cell>
          <cell r="W783" t="str">
            <v/>
          </cell>
          <cell r="Y783" t="str">
            <v/>
          </cell>
          <cell r="AA783" t="str">
            <v/>
          </cell>
          <cell r="AB783">
            <v>0</v>
          </cell>
          <cell r="AC783">
            <v>0</v>
          </cell>
          <cell r="AI783" t="str">
            <v/>
          </cell>
          <cell r="AJ783" t="str">
            <v/>
          </cell>
          <cell r="AK783">
            <v>0</v>
          </cell>
          <cell r="AL783">
            <v>0</v>
          </cell>
          <cell r="AM783">
            <v>0</v>
          </cell>
        </row>
        <row r="784">
          <cell r="C784" t="str">
            <v/>
          </cell>
          <cell r="D784" t="str">
            <v/>
          </cell>
          <cell r="O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/>
          </cell>
          <cell r="Y784" t="str">
            <v/>
          </cell>
          <cell r="AA784" t="str">
            <v/>
          </cell>
          <cell r="AB784">
            <v>0</v>
          </cell>
          <cell r="AC784">
            <v>0</v>
          </cell>
          <cell r="AI784" t="str">
            <v/>
          </cell>
          <cell r="AJ784" t="str">
            <v/>
          </cell>
          <cell r="AK784">
            <v>0</v>
          </cell>
          <cell r="AL784">
            <v>0</v>
          </cell>
          <cell r="AM784">
            <v>0</v>
          </cell>
        </row>
        <row r="785">
          <cell r="C785" t="str">
            <v/>
          </cell>
          <cell r="D785" t="str">
            <v/>
          </cell>
          <cell r="O785" t="str">
            <v/>
          </cell>
          <cell r="T785" t="str">
            <v/>
          </cell>
          <cell r="U785" t="str">
            <v/>
          </cell>
          <cell r="V785" t="str">
            <v/>
          </cell>
          <cell r="W785" t="str">
            <v/>
          </cell>
          <cell r="Y785" t="str">
            <v/>
          </cell>
          <cell r="AA785" t="str">
            <v/>
          </cell>
          <cell r="AB785">
            <v>0</v>
          </cell>
          <cell r="AC785">
            <v>0</v>
          </cell>
          <cell r="AI785" t="str">
            <v/>
          </cell>
          <cell r="AJ785" t="str">
            <v/>
          </cell>
          <cell r="AK785">
            <v>0</v>
          </cell>
          <cell r="AL785">
            <v>0</v>
          </cell>
          <cell r="AM785">
            <v>0</v>
          </cell>
        </row>
        <row r="786">
          <cell r="C786" t="str">
            <v/>
          </cell>
          <cell r="D786" t="str">
            <v/>
          </cell>
          <cell r="O786" t="str">
            <v/>
          </cell>
          <cell r="T786" t="str">
            <v/>
          </cell>
          <cell r="U786" t="str">
            <v/>
          </cell>
          <cell r="V786" t="str">
            <v/>
          </cell>
          <cell r="W786" t="str">
            <v/>
          </cell>
          <cell r="Y786" t="str">
            <v/>
          </cell>
          <cell r="AA786" t="str">
            <v/>
          </cell>
          <cell r="AB786">
            <v>0</v>
          </cell>
          <cell r="AC786">
            <v>0</v>
          </cell>
          <cell r="AI786" t="str">
            <v/>
          </cell>
          <cell r="AJ786" t="str">
            <v/>
          </cell>
          <cell r="AK786">
            <v>0</v>
          </cell>
          <cell r="AL786">
            <v>0</v>
          </cell>
          <cell r="AM786">
            <v>0</v>
          </cell>
        </row>
        <row r="787">
          <cell r="C787" t="str">
            <v/>
          </cell>
          <cell r="D787" t="str">
            <v/>
          </cell>
          <cell r="O787" t="str">
            <v/>
          </cell>
          <cell r="T787" t="str">
            <v/>
          </cell>
          <cell r="U787" t="str">
            <v/>
          </cell>
          <cell r="V787" t="str">
            <v/>
          </cell>
          <cell r="W787" t="str">
            <v/>
          </cell>
          <cell r="Y787" t="str">
            <v/>
          </cell>
          <cell r="AA787" t="str">
            <v/>
          </cell>
          <cell r="AB787">
            <v>0</v>
          </cell>
          <cell r="AC787">
            <v>0</v>
          </cell>
          <cell r="AI787" t="str">
            <v/>
          </cell>
          <cell r="AJ787" t="str">
            <v/>
          </cell>
          <cell r="AK787">
            <v>0</v>
          </cell>
          <cell r="AL787">
            <v>0</v>
          </cell>
          <cell r="AM787">
            <v>0</v>
          </cell>
        </row>
        <row r="788">
          <cell r="C788" t="str">
            <v/>
          </cell>
          <cell r="D788" t="str">
            <v/>
          </cell>
          <cell r="O788" t="str">
            <v/>
          </cell>
          <cell r="T788" t="str">
            <v/>
          </cell>
          <cell r="U788" t="str">
            <v/>
          </cell>
          <cell r="V788" t="str">
            <v/>
          </cell>
          <cell r="W788" t="str">
            <v/>
          </cell>
          <cell r="Y788" t="str">
            <v/>
          </cell>
          <cell r="AA788" t="str">
            <v/>
          </cell>
          <cell r="AB788">
            <v>0</v>
          </cell>
          <cell r="AC788">
            <v>0</v>
          </cell>
          <cell r="AI788" t="str">
            <v/>
          </cell>
          <cell r="AJ788" t="str">
            <v/>
          </cell>
          <cell r="AK788">
            <v>0</v>
          </cell>
          <cell r="AL788">
            <v>0</v>
          </cell>
          <cell r="AM788">
            <v>0</v>
          </cell>
        </row>
        <row r="789">
          <cell r="C789" t="str">
            <v/>
          </cell>
          <cell r="D789" t="str">
            <v/>
          </cell>
          <cell r="O789" t="str">
            <v/>
          </cell>
          <cell r="T789" t="str">
            <v/>
          </cell>
          <cell r="U789" t="str">
            <v/>
          </cell>
          <cell r="V789" t="str">
            <v/>
          </cell>
          <cell r="W789" t="str">
            <v/>
          </cell>
          <cell r="Y789" t="str">
            <v/>
          </cell>
          <cell r="AA789" t="str">
            <v/>
          </cell>
          <cell r="AB789">
            <v>0</v>
          </cell>
          <cell r="AC789">
            <v>0</v>
          </cell>
          <cell r="AI789" t="str">
            <v/>
          </cell>
          <cell r="AJ789" t="str">
            <v/>
          </cell>
          <cell r="AK789">
            <v>0</v>
          </cell>
          <cell r="AL789">
            <v>0</v>
          </cell>
          <cell r="AM789">
            <v>0</v>
          </cell>
        </row>
        <row r="790">
          <cell r="C790" t="str">
            <v/>
          </cell>
          <cell r="D790" t="str">
            <v/>
          </cell>
          <cell r="O790" t="str">
            <v/>
          </cell>
          <cell r="T790" t="str">
            <v/>
          </cell>
          <cell r="U790" t="str">
            <v/>
          </cell>
          <cell r="V790" t="str">
            <v/>
          </cell>
          <cell r="W790" t="str">
            <v/>
          </cell>
          <cell r="Y790" t="str">
            <v/>
          </cell>
          <cell r="AA790" t="str">
            <v/>
          </cell>
          <cell r="AB790">
            <v>0</v>
          </cell>
          <cell r="AC790">
            <v>0</v>
          </cell>
          <cell r="AI790" t="str">
            <v/>
          </cell>
          <cell r="AJ790" t="str">
            <v/>
          </cell>
          <cell r="AK790">
            <v>0</v>
          </cell>
          <cell r="AL790">
            <v>0</v>
          </cell>
          <cell r="AM790">
            <v>0</v>
          </cell>
        </row>
        <row r="791">
          <cell r="C791" t="str">
            <v/>
          </cell>
          <cell r="D791" t="str">
            <v/>
          </cell>
          <cell r="O791" t="str">
            <v/>
          </cell>
          <cell r="T791" t="str">
            <v/>
          </cell>
          <cell r="U791" t="str">
            <v/>
          </cell>
          <cell r="V791" t="str">
            <v/>
          </cell>
          <cell r="W791" t="str">
            <v/>
          </cell>
          <cell r="Y791" t="str">
            <v/>
          </cell>
          <cell r="AA791" t="str">
            <v/>
          </cell>
          <cell r="AB791">
            <v>0</v>
          </cell>
          <cell r="AC791">
            <v>0</v>
          </cell>
          <cell r="AI791" t="str">
            <v/>
          </cell>
          <cell r="AJ791" t="str">
            <v/>
          </cell>
          <cell r="AK791">
            <v>0</v>
          </cell>
          <cell r="AL791">
            <v>0</v>
          </cell>
          <cell r="AM791">
            <v>0</v>
          </cell>
        </row>
        <row r="792">
          <cell r="C792" t="str">
            <v/>
          </cell>
          <cell r="D792" t="str">
            <v/>
          </cell>
          <cell r="O792" t="str">
            <v/>
          </cell>
          <cell r="T792" t="str">
            <v/>
          </cell>
          <cell r="U792" t="str">
            <v/>
          </cell>
          <cell r="V792" t="str">
            <v/>
          </cell>
          <cell r="W792" t="str">
            <v/>
          </cell>
          <cell r="Y792" t="str">
            <v/>
          </cell>
          <cell r="AA792" t="str">
            <v/>
          </cell>
          <cell r="AB792">
            <v>0</v>
          </cell>
          <cell r="AC792">
            <v>0</v>
          </cell>
          <cell r="AI792" t="str">
            <v/>
          </cell>
          <cell r="AJ792" t="str">
            <v/>
          </cell>
          <cell r="AK792">
            <v>0</v>
          </cell>
          <cell r="AL792">
            <v>0</v>
          </cell>
          <cell r="AM792">
            <v>0</v>
          </cell>
        </row>
        <row r="793">
          <cell r="C793" t="str">
            <v/>
          </cell>
          <cell r="D793" t="str">
            <v/>
          </cell>
          <cell r="O793" t="str">
            <v/>
          </cell>
          <cell r="T793" t="str">
            <v/>
          </cell>
          <cell r="U793" t="str">
            <v/>
          </cell>
          <cell r="V793" t="str">
            <v/>
          </cell>
          <cell r="W793" t="str">
            <v/>
          </cell>
          <cell r="Y793" t="str">
            <v/>
          </cell>
          <cell r="AA793" t="str">
            <v/>
          </cell>
          <cell r="AB793">
            <v>0</v>
          </cell>
          <cell r="AC793">
            <v>0</v>
          </cell>
          <cell r="AI793" t="str">
            <v/>
          </cell>
          <cell r="AJ793" t="str">
            <v/>
          </cell>
          <cell r="AK793">
            <v>0</v>
          </cell>
          <cell r="AL793">
            <v>0</v>
          </cell>
          <cell r="AM793">
            <v>0</v>
          </cell>
        </row>
        <row r="794">
          <cell r="C794" t="str">
            <v/>
          </cell>
          <cell r="D794" t="str">
            <v/>
          </cell>
          <cell r="O794" t="str">
            <v/>
          </cell>
          <cell r="T794" t="str">
            <v/>
          </cell>
          <cell r="U794" t="str">
            <v/>
          </cell>
          <cell r="V794" t="str">
            <v/>
          </cell>
          <cell r="W794" t="str">
            <v/>
          </cell>
          <cell r="Y794" t="str">
            <v/>
          </cell>
          <cell r="AA794" t="str">
            <v/>
          </cell>
          <cell r="AB794">
            <v>0</v>
          </cell>
          <cell r="AC794">
            <v>0</v>
          </cell>
          <cell r="AI794" t="str">
            <v/>
          </cell>
          <cell r="AJ794" t="str">
            <v/>
          </cell>
          <cell r="AK794">
            <v>0</v>
          </cell>
          <cell r="AL794">
            <v>0</v>
          </cell>
          <cell r="AM794">
            <v>0</v>
          </cell>
        </row>
        <row r="795">
          <cell r="C795" t="str">
            <v/>
          </cell>
          <cell r="D795" t="str">
            <v/>
          </cell>
          <cell r="O795" t="str">
            <v/>
          </cell>
          <cell r="T795" t="str">
            <v/>
          </cell>
          <cell r="U795" t="str">
            <v/>
          </cell>
          <cell r="V795" t="str">
            <v/>
          </cell>
          <cell r="W795" t="str">
            <v/>
          </cell>
          <cell r="Y795" t="str">
            <v/>
          </cell>
          <cell r="AA795" t="str">
            <v/>
          </cell>
          <cell r="AB795">
            <v>0</v>
          </cell>
          <cell r="AC795">
            <v>0</v>
          </cell>
          <cell r="AI795" t="str">
            <v/>
          </cell>
          <cell r="AJ795" t="str">
            <v/>
          </cell>
          <cell r="AK795">
            <v>0</v>
          </cell>
          <cell r="AL795">
            <v>0</v>
          </cell>
          <cell r="AM795">
            <v>0</v>
          </cell>
        </row>
        <row r="796">
          <cell r="C796" t="str">
            <v/>
          </cell>
          <cell r="D796" t="str">
            <v/>
          </cell>
          <cell r="O796" t="str">
            <v/>
          </cell>
          <cell r="T796" t="str">
            <v/>
          </cell>
          <cell r="U796" t="str">
            <v/>
          </cell>
          <cell r="V796" t="str">
            <v/>
          </cell>
          <cell r="W796" t="str">
            <v/>
          </cell>
          <cell r="Y796" t="str">
            <v/>
          </cell>
          <cell r="AA796" t="str">
            <v/>
          </cell>
          <cell r="AB796">
            <v>0</v>
          </cell>
          <cell r="AC796">
            <v>0</v>
          </cell>
          <cell r="AI796" t="str">
            <v/>
          </cell>
          <cell r="AJ796" t="str">
            <v/>
          </cell>
          <cell r="AK796">
            <v>0</v>
          </cell>
          <cell r="AL796">
            <v>0</v>
          </cell>
          <cell r="AM796">
            <v>0</v>
          </cell>
        </row>
        <row r="797">
          <cell r="C797" t="str">
            <v/>
          </cell>
          <cell r="D797" t="str">
            <v/>
          </cell>
          <cell r="O797" t="str">
            <v/>
          </cell>
          <cell r="T797" t="str">
            <v/>
          </cell>
          <cell r="U797" t="str">
            <v/>
          </cell>
          <cell r="V797" t="str">
            <v/>
          </cell>
          <cell r="W797" t="str">
            <v/>
          </cell>
          <cell r="Y797" t="str">
            <v/>
          </cell>
          <cell r="AA797" t="str">
            <v/>
          </cell>
          <cell r="AB797">
            <v>0</v>
          </cell>
          <cell r="AC797">
            <v>0</v>
          </cell>
          <cell r="AI797" t="str">
            <v/>
          </cell>
          <cell r="AJ797" t="str">
            <v/>
          </cell>
          <cell r="AK797">
            <v>0</v>
          </cell>
          <cell r="AL797">
            <v>0</v>
          </cell>
          <cell r="AM797">
            <v>0</v>
          </cell>
        </row>
        <row r="798">
          <cell r="C798" t="str">
            <v/>
          </cell>
          <cell r="D798" t="str">
            <v/>
          </cell>
          <cell r="O798" t="str">
            <v/>
          </cell>
          <cell r="T798" t="str">
            <v/>
          </cell>
          <cell r="U798" t="str">
            <v/>
          </cell>
          <cell r="V798" t="str">
            <v/>
          </cell>
          <cell r="W798" t="str">
            <v/>
          </cell>
          <cell r="Y798" t="str">
            <v/>
          </cell>
          <cell r="AA798" t="str">
            <v/>
          </cell>
          <cell r="AB798">
            <v>0</v>
          </cell>
          <cell r="AC798">
            <v>0</v>
          </cell>
          <cell r="AI798" t="str">
            <v/>
          </cell>
          <cell r="AJ798" t="str">
            <v/>
          </cell>
          <cell r="AK798">
            <v>0</v>
          </cell>
          <cell r="AL798">
            <v>0</v>
          </cell>
          <cell r="AM798">
            <v>0</v>
          </cell>
        </row>
        <row r="799">
          <cell r="C799" t="str">
            <v/>
          </cell>
          <cell r="D799" t="str">
            <v/>
          </cell>
          <cell r="O799" t="str">
            <v/>
          </cell>
          <cell r="T799" t="str">
            <v/>
          </cell>
          <cell r="U799" t="str">
            <v/>
          </cell>
          <cell r="V799" t="str">
            <v/>
          </cell>
          <cell r="W799" t="str">
            <v/>
          </cell>
          <cell r="Y799" t="str">
            <v/>
          </cell>
          <cell r="AA799" t="str">
            <v/>
          </cell>
          <cell r="AB799">
            <v>0</v>
          </cell>
          <cell r="AC799">
            <v>0</v>
          </cell>
          <cell r="AI799" t="str">
            <v/>
          </cell>
          <cell r="AJ799" t="str">
            <v/>
          </cell>
          <cell r="AK799">
            <v>0</v>
          </cell>
          <cell r="AL799">
            <v>0</v>
          </cell>
          <cell r="AM799">
            <v>0</v>
          </cell>
        </row>
        <row r="800">
          <cell r="C800" t="str">
            <v/>
          </cell>
          <cell r="D800" t="str">
            <v/>
          </cell>
          <cell r="O800" t="str">
            <v/>
          </cell>
          <cell r="T800" t="str">
            <v/>
          </cell>
          <cell r="U800" t="str">
            <v/>
          </cell>
          <cell r="V800" t="str">
            <v/>
          </cell>
          <cell r="W800" t="str">
            <v/>
          </cell>
          <cell r="Y800" t="str">
            <v/>
          </cell>
          <cell r="AA800" t="str">
            <v/>
          </cell>
          <cell r="AB800">
            <v>0</v>
          </cell>
          <cell r="AC800">
            <v>0</v>
          </cell>
          <cell r="AI800" t="str">
            <v/>
          </cell>
          <cell r="AJ800" t="str">
            <v/>
          </cell>
          <cell r="AK800">
            <v>0</v>
          </cell>
          <cell r="AL800">
            <v>0</v>
          </cell>
          <cell r="AM800">
            <v>0</v>
          </cell>
        </row>
        <row r="801">
          <cell r="C801" t="str">
            <v/>
          </cell>
          <cell r="D801" t="str">
            <v/>
          </cell>
          <cell r="O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/>
          </cell>
          <cell r="Y801" t="str">
            <v/>
          </cell>
          <cell r="AA801" t="str">
            <v/>
          </cell>
          <cell r="AB801">
            <v>0</v>
          </cell>
          <cell r="AC801">
            <v>0</v>
          </cell>
          <cell r="AI801" t="str">
            <v/>
          </cell>
          <cell r="AJ801" t="str">
            <v/>
          </cell>
          <cell r="AK801">
            <v>0</v>
          </cell>
          <cell r="AL801">
            <v>0</v>
          </cell>
          <cell r="AM801">
            <v>0</v>
          </cell>
        </row>
        <row r="802">
          <cell r="C802" t="str">
            <v/>
          </cell>
          <cell r="D802" t="str">
            <v/>
          </cell>
          <cell r="O802" t="str">
            <v/>
          </cell>
          <cell r="T802" t="str">
            <v/>
          </cell>
          <cell r="U802" t="str">
            <v/>
          </cell>
          <cell r="V802" t="str">
            <v/>
          </cell>
          <cell r="W802" t="str">
            <v/>
          </cell>
          <cell r="Y802" t="str">
            <v/>
          </cell>
          <cell r="AA802" t="str">
            <v/>
          </cell>
          <cell r="AB802">
            <v>0</v>
          </cell>
          <cell r="AC802">
            <v>0</v>
          </cell>
          <cell r="AI802" t="str">
            <v/>
          </cell>
          <cell r="AJ802" t="str">
            <v/>
          </cell>
          <cell r="AK802">
            <v>0</v>
          </cell>
          <cell r="AL802">
            <v>0</v>
          </cell>
          <cell r="AM802">
            <v>0</v>
          </cell>
        </row>
        <row r="803">
          <cell r="C803" t="str">
            <v/>
          </cell>
          <cell r="D803" t="str">
            <v/>
          </cell>
          <cell r="O803" t="str">
            <v/>
          </cell>
          <cell r="T803" t="str">
            <v/>
          </cell>
          <cell r="U803" t="str">
            <v/>
          </cell>
          <cell r="V803" t="str">
            <v/>
          </cell>
          <cell r="W803" t="str">
            <v/>
          </cell>
          <cell r="Y803" t="str">
            <v/>
          </cell>
          <cell r="AA803" t="str">
            <v/>
          </cell>
          <cell r="AB803">
            <v>0</v>
          </cell>
          <cell r="AC803">
            <v>0</v>
          </cell>
          <cell r="AI803" t="str">
            <v/>
          </cell>
          <cell r="AJ803" t="str">
            <v/>
          </cell>
          <cell r="AK803">
            <v>0</v>
          </cell>
          <cell r="AL803">
            <v>0</v>
          </cell>
          <cell r="AM803">
            <v>0</v>
          </cell>
        </row>
        <row r="804">
          <cell r="C804" t="str">
            <v/>
          </cell>
          <cell r="D804" t="str">
            <v/>
          </cell>
          <cell r="O804" t="str">
            <v/>
          </cell>
          <cell r="T804" t="str">
            <v/>
          </cell>
          <cell r="U804" t="str">
            <v/>
          </cell>
          <cell r="V804" t="str">
            <v/>
          </cell>
          <cell r="W804" t="str">
            <v/>
          </cell>
          <cell r="Y804" t="str">
            <v/>
          </cell>
          <cell r="AA804" t="str">
            <v/>
          </cell>
          <cell r="AB804">
            <v>0</v>
          </cell>
          <cell r="AC804">
            <v>0</v>
          </cell>
          <cell r="AI804" t="str">
            <v/>
          </cell>
          <cell r="AJ804" t="str">
            <v/>
          </cell>
          <cell r="AK804">
            <v>0</v>
          </cell>
          <cell r="AL804">
            <v>0</v>
          </cell>
          <cell r="AM804">
            <v>0</v>
          </cell>
        </row>
        <row r="805">
          <cell r="C805" t="str">
            <v/>
          </cell>
          <cell r="D805" t="str">
            <v/>
          </cell>
          <cell r="O805" t="str">
            <v/>
          </cell>
          <cell r="T805" t="str">
            <v/>
          </cell>
          <cell r="U805" t="str">
            <v/>
          </cell>
          <cell r="V805" t="str">
            <v/>
          </cell>
          <cell r="W805" t="str">
            <v/>
          </cell>
          <cell r="Y805" t="str">
            <v/>
          </cell>
          <cell r="AA805" t="str">
            <v/>
          </cell>
          <cell r="AB805">
            <v>0</v>
          </cell>
          <cell r="AC805">
            <v>0</v>
          </cell>
          <cell r="AI805" t="str">
            <v/>
          </cell>
          <cell r="AJ805" t="str">
            <v/>
          </cell>
          <cell r="AK805">
            <v>0</v>
          </cell>
          <cell r="AL805">
            <v>0</v>
          </cell>
          <cell r="AM805">
            <v>0</v>
          </cell>
        </row>
        <row r="806">
          <cell r="C806" t="str">
            <v/>
          </cell>
          <cell r="D806" t="str">
            <v/>
          </cell>
          <cell r="O806" t="str">
            <v/>
          </cell>
          <cell r="T806" t="str">
            <v/>
          </cell>
          <cell r="U806" t="str">
            <v/>
          </cell>
          <cell r="V806" t="str">
            <v/>
          </cell>
          <cell r="W806" t="str">
            <v/>
          </cell>
          <cell r="Y806" t="str">
            <v/>
          </cell>
          <cell r="AA806" t="str">
            <v/>
          </cell>
          <cell r="AB806">
            <v>0</v>
          </cell>
          <cell r="AC806">
            <v>0</v>
          </cell>
          <cell r="AI806" t="str">
            <v/>
          </cell>
          <cell r="AJ806" t="str">
            <v/>
          </cell>
          <cell r="AK806">
            <v>0</v>
          </cell>
          <cell r="AL806">
            <v>0</v>
          </cell>
          <cell r="AM806">
            <v>0</v>
          </cell>
        </row>
        <row r="807">
          <cell r="C807" t="str">
            <v/>
          </cell>
          <cell r="D807" t="str">
            <v/>
          </cell>
          <cell r="O807" t="str">
            <v/>
          </cell>
          <cell r="T807" t="str">
            <v/>
          </cell>
          <cell r="U807" t="str">
            <v/>
          </cell>
          <cell r="V807" t="str">
            <v/>
          </cell>
          <cell r="W807" t="str">
            <v/>
          </cell>
          <cell r="Y807" t="str">
            <v/>
          </cell>
          <cell r="AA807" t="str">
            <v/>
          </cell>
          <cell r="AB807">
            <v>0</v>
          </cell>
          <cell r="AC807">
            <v>0</v>
          </cell>
          <cell r="AI807" t="str">
            <v/>
          </cell>
          <cell r="AJ807" t="str">
            <v/>
          </cell>
          <cell r="AK807">
            <v>0</v>
          </cell>
          <cell r="AL807">
            <v>0</v>
          </cell>
          <cell r="AM807">
            <v>0</v>
          </cell>
        </row>
        <row r="808">
          <cell r="C808" t="str">
            <v/>
          </cell>
          <cell r="D808" t="str">
            <v/>
          </cell>
          <cell r="O808" t="str">
            <v/>
          </cell>
          <cell r="T808" t="str">
            <v/>
          </cell>
          <cell r="U808" t="str">
            <v/>
          </cell>
          <cell r="V808" t="str">
            <v/>
          </cell>
          <cell r="W808" t="str">
            <v/>
          </cell>
          <cell r="Y808" t="str">
            <v/>
          </cell>
          <cell r="AA808" t="str">
            <v/>
          </cell>
          <cell r="AB808">
            <v>0</v>
          </cell>
          <cell r="AC808">
            <v>0</v>
          </cell>
          <cell r="AI808" t="str">
            <v/>
          </cell>
          <cell r="AJ808" t="str">
            <v/>
          </cell>
          <cell r="AK808">
            <v>0</v>
          </cell>
          <cell r="AL808">
            <v>0</v>
          </cell>
          <cell r="AM808">
            <v>0</v>
          </cell>
        </row>
        <row r="809">
          <cell r="C809" t="str">
            <v/>
          </cell>
          <cell r="D809" t="str">
            <v/>
          </cell>
          <cell r="O809" t="str">
            <v/>
          </cell>
          <cell r="T809" t="str">
            <v/>
          </cell>
          <cell r="U809" t="str">
            <v/>
          </cell>
          <cell r="V809" t="str">
            <v/>
          </cell>
          <cell r="W809" t="str">
            <v/>
          </cell>
          <cell r="Y809" t="str">
            <v/>
          </cell>
          <cell r="AA809" t="str">
            <v/>
          </cell>
          <cell r="AB809">
            <v>0</v>
          </cell>
          <cell r="AC809">
            <v>0</v>
          </cell>
          <cell r="AI809" t="str">
            <v/>
          </cell>
          <cell r="AJ809" t="str">
            <v/>
          </cell>
          <cell r="AK809">
            <v>0</v>
          </cell>
          <cell r="AL809">
            <v>0</v>
          </cell>
          <cell r="AM809">
            <v>0</v>
          </cell>
        </row>
        <row r="810">
          <cell r="C810" t="str">
            <v/>
          </cell>
          <cell r="D810" t="str">
            <v/>
          </cell>
          <cell r="O810" t="str">
            <v/>
          </cell>
          <cell r="T810" t="str">
            <v/>
          </cell>
          <cell r="U810" t="str">
            <v/>
          </cell>
          <cell r="V810" t="str">
            <v/>
          </cell>
          <cell r="W810" t="str">
            <v/>
          </cell>
          <cell r="Y810" t="str">
            <v/>
          </cell>
          <cell r="AA810" t="str">
            <v/>
          </cell>
          <cell r="AB810">
            <v>0</v>
          </cell>
          <cell r="AC810">
            <v>0</v>
          </cell>
          <cell r="AI810" t="str">
            <v/>
          </cell>
          <cell r="AJ810" t="str">
            <v/>
          </cell>
          <cell r="AK810">
            <v>0</v>
          </cell>
          <cell r="AL810">
            <v>0</v>
          </cell>
          <cell r="AM810">
            <v>0</v>
          </cell>
        </row>
        <row r="811">
          <cell r="C811" t="str">
            <v/>
          </cell>
          <cell r="D811" t="str">
            <v/>
          </cell>
          <cell r="O811" t="str">
            <v/>
          </cell>
          <cell r="T811" t="str">
            <v/>
          </cell>
          <cell r="U811" t="str">
            <v/>
          </cell>
          <cell r="V811" t="str">
            <v/>
          </cell>
          <cell r="W811" t="str">
            <v/>
          </cell>
          <cell r="Y811" t="str">
            <v/>
          </cell>
          <cell r="AA811" t="str">
            <v/>
          </cell>
          <cell r="AB811">
            <v>0</v>
          </cell>
          <cell r="AC811">
            <v>0</v>
          </cell>
          <cell r="AI811" t="str">
            <v/>
          </cell>
          <cell r="AJ811" t="str">
            <v/>
          </cell>
          <cell r="AK811">
            <v>0</v>
          </cell>
          <cell r="AL811">
            <v>0</v>
          </cell>
          <cell r="AM811">
            <v>0</v>
          </cell>
        </row>
        <row r="812">
          <cell r="C812" t="str">
            <v/>
          </cell>
          <cell r="D812" t="str">
            <v/>
          </cell>
          <cell r="O812" t="str">
            <v/>
          </cell>
          <cell r="T812" t="str">
            <v/>
          </cell>
          <cell r="U812" t="str">
            <v/>
          </cell>
          <cell r="V812" t="str">
            <v/>
          </cell>
          <cell r="W812" t="str">
            <v/>
          </cell>
          <cell r="Y812" t="str">
            <v/>
          </cell>
          <cell r="AA812" t="str">
            <v/>
          </cell>
          <cell r="AB812">
            <v>0</v>
          </cell>
          <cell r="AC812">
            <v>0</v>
          </cell>
          <cell r="AI812" t="str">
            <v/>
          </cell>
          <cell r="AJ812" t="str">
            <v/>
          </cell>
          <cell r="AK812">
            <v>0</v>
          </cell>
          <cell r="AL812">
            <v>0</v>
          </cell>
          <cell r="AM812">
            <v>0</v>
          </cell>
        </row>
        <row r="813">
          <cell r="C813" t="str">
            <v/>
          </cell>
          <cell r="D813" t="str">
            <v/>
          </cell>
          <cell r="O813" t="str">
            <v/>
          </cell>
          <cell r="T813" t="str">
            <v/>
          </cell>
          <cell r="U813" t="str">
            <v/>
          </cell>
          <cell r="V813" t="str">
            <v/>
          </cell>
          <cell r="W813" t="str">
            <v/>
          </cell>
          <cell r="Y813" t="str">
            <v/>
          </cell>
          <cell r="AA813" t="str">
            <v/>
          </cell>
          <cell r="AB813">
            <v>0</v>
          </cell>
          <cell r="AC813">
            <v>0</v>
          </cell>
          <cell r="AI813" t="str">
            <v/>
          </cell>
          <cell r="AJ813" t="str">
            <v/>
          </cell>
          <cell r="AK813">
            <v>0</v>
          </cell>
          <cell r="AL813">
            <v>0</v>
          </cell>
          <cell r="AM813">
            <v>0</v>
          </cell>
        </row>
        <row r="814">
          <cell r="C814" t="str">
            <v/>
          </cell>
          <cell r="D814" t="str">
            <v/>
          </cell>
          <cell r="O814" t="str">
            <v/>
          </cell>
          <cell r="T814" t="str">
            <v/>
          </cell>
          <cell r="U814" t="str">
            <v/>
          </cell>
          <cell r="V814" t="str">
            <v/>
          </cell>
          <cell r="W814" t="str">
            <v/>
          </cell>
          <cell r="Y814" t="str">
            <v/>
          </cell>
          <cell r="AA814" t="str">
            <v/>
          </cell>
          <cell r="AB814">
            <v>0</v>
          </cell>
          <cell r="AC814">
            <v>0</v>
          </cell>
          <cell r="AI814" t="str">
            <v/>
          </cell>
          <cell r="AJ814" t="str">
            <v/>
          </cell>
          <cell r="AK814">
            <v>0</v>
          </cell>
          <cell r="AL814">
            <v>0</v>
          </cell>
          <cell r="AM814">
            <v>0</v>
          </cell>
        </row>
        <row r="815">
          <cell r="C815" t="str">
            <v/>
          </cell>
          <cell r="D815" t="str">
            <v/>
          </cell>
          <cell r="O815" t="str">
            <v/>
          </cell>
          <cell r="T815" t="str">
            <v/>
          </cell>
          <cell r="U815" t="str">
            <v/>
          </cell>
          <cell r="V815" t="str">
            <v/>
          </cell>
          <cell r="W815" t="str">
            <v/>
          </cell>
          <cell r="Y815" t="str">
            <v/>
          </cell>
          <cell r="AA815" t="str">
            <v/>
          </cell>
          <cell r="AB815">
            <v>0</v>
          </cell>
          <cell r="AC815">
            <v>0</v>
          </cell>
          <cell r="AI815" t="str">
            <v/>
          </cell>
          <cell r="AJ815" t="str">
            <v/>
          </cell>
          <cell r="AK815">
            <v>0</v>
          </cell>
          <cell r="AL815">
            <v>0</v>
          </cell>
          <cell r="AM815">
            <v>0</v>
          </cell>
        </row>
        <row r="816">
          <cell r="C816" t="str">
            <v/>
          </cell>
          <cell r="D816" t="str">
            <v/>
          </cell>
          <cell r="O816" t="str">
            <v/>
          </cell>
          <cell r="T816" t="str">
            <v/>
          </cell>
          <cell r="U816" t="str">
            <v/>
          </cell>
          <cell r="V816" t="str">
            <v/>
          </cell>
          <cell r="W816" t="str">
            <v/>
          </cell>
          <cell r="Y816" t="str">
            <v/>
          </cell>
          <cell r="AA816" t="str">
            <v/>
          </cell>
          <cell r="AB816">
            <v>0</v>
          </cell>
          <cell r="AC816">
            <v>0</v>
          </cell>
          <cell r="AI816" t="str">
            <v/>
          </cell>
          <cell r="AJ816" t="str">
            <v/>
          </cell>
          <cell r="AK816">
            <v>0</v>
          </cell>
          <cell r="AL816">
            <v>0</v>
          </cell>
          <cell r="AM816">
            <v>0</v>
          </cell>
        </row>
        <row r="817">
          <cell r="C817" t="str">
            <v/>
          </cell>
          <cell r="D817" t="str">
            <v/>
          </cell>
          <cell r="O817" t="str">
            <v/>
          </cell>
          <cell r="T817" t="str">
            <v/>
          </cell>
          <cell r="U817" t="str">
            <v/>
          </cell>
          <cell r="V817" t="str">
            <v/>
          </cell>
          <cell r="W817" t="str">
            <v/>
          </cell>
          <cell r="Y817" t="str">
            <v/>
          </cell>
          <cell r="AA817" t="str">
            <v/>
          </cell>
          <cell r="AB817">
            <v>0</v>
          </cell>
          <cell r="AC817">
            <v>0</v>
          </cell>
          <cell r="AI817" t="str">
            <v/>
          </cell>
          <cell r="AJ817" t="str">
            <v/>
          </cell>
          <cell r="AK817">
            <v>0</v>
          </cell>
          <cell r="AL817">
            <v>0</v>
          </cell>
          <cell r="AM817">
            <v>0</v>
          </cell>
        </row>
        <row r="818">
          <cell r="C818" t="str">
            <v/>
          </cell>
          <cell r="D818" t="str">
            <v/>
          </cell>
          <cell r="O818" t="str">
            <v/>
          </cell>
          <cell r="T818" t="str">
            <v/>
          </cell>
          <cell r="U818" t="str">
            <v/>
          </cell>
          <cell r="V818" t="str">
            <v/>
          </cell>
          <cell r="W818" t="str">
            <v/>
          </cell>
          <cell r="Y818" t="str">
            <v/>
          </cell>
          <cell r="AA818" t="str">
            <v/>
          </cell>
          <cell r="AB818">
            <v>0</v>
          </cell>
          <cell r="AC818">
            <v>0</v>
          </cell>
          <cell r="AI818" t="str">
            <v/>
          </cell>
          <cell r="AJ818" t="str">
            <v/>
          </cell>
          <cell r="AK818">
            <v>0</v>
          </cell>
          <cell r="AL818">
            <v>0</v>
          </cell>
          <cell r="AM818">
            <v>0</v>
          </cell>
        </row>
        <row r="819">
          <cell r="C819" t="str">
            <v/>
          </cell>
          <cell r="D819" t="str">
            <v/>
          </cell>
          <cell r="O819" t="str">
            <v/>
          </cell>
          <cell r="T819" t="str">
            <v/>
          </cell>
          <cell r="U819" t="str">
            <v/>
          </cell>
          <cell r="V819" t="str">
            <v/>
          </cell>
          <cell r="W819" t="str">
            <v/>
          </cell>
          <cell r="Y819" t="str">
            <v/>
          </cell>
          <cell r="AA819" t="str">
            <v/>
          </cell>
          <cell r="AB819">
            <v>0</v>
          </cell>
          <cell r="AC819">
            <v>0</v>
          </cell>
          <cell r="AI819" t="str">
            <v/>
          </cell>
          <cell r="AJ819" t="str">
            <v/>
          </cell>
          <cell r="AK819">
            <v>0</v>
          </cell>
          <cell r="AL819">
            <v>0</v>
          </cell>
          <cell r="AM819">
            <v>0</v>
          </cell>
        </row>
        <row r="820">
          <cell r="C820" t="str">
            <v/>
          </cell>
          <cell r="D820" t="str">
            <v/>
          </cell>
          <cell r="O820" t="str">
            <v/>
          </cell>
          <cell r="T820" t="str">
            <v/>
          </cell>
          <cell r="U820" t="str">
            <v/>
          </cell>
          <cell r="V820" t="str">
            <v/>
          </cell>
          <cell r="W820" t="str">
            <v/>
          </cell>
          <cell r="Y820" t="str">
            <v/>
          </cell>
          <cell r="AA820" t="str">
            <v/>
          </cell>
          <cell r="AB820">
            <v>0</v>
          </cell>
          <cell r="AC820">
            <v>0</v>
          </cell>
          <cell r="AI820" t="str">
            <v/>
          </cell>
          <cell r="AJ820" t="str">
            <v/>
          </cell>
          <cell r="AK820">
            <v>0</v>
          </cell>
          <cell r="AL820">
            <v>0</v>
          </cell>
          <cell r="AM820">
            <v>0</v>
          </cell>
        </row>
        <row r="821">
          <cell r="C821" t="str">
            <v/>
          </cell>
          <cell r="D821" t="str">
            <v/>
          </cell>
          <cell r="O821" t="str">
            <v/>
          </cell>
          <cell r="T821" t="str">
            <v/>
          </cell>
          <cell r="U821" t="str">
            <v/>
          </cell>
          <cell r="V821" t="str">
            <v/>
          </cell>
          <cell r="W821" t="str">
            <v/>
          </cell>
          <cell r="Y821" t="str">
            <v/>
          </cell>
          <cell r="AA821" t="str">
            <v/>
          </cell>
          <cell r="AB821">
            <v>0</v>
          </cell>
          <cell r="AC821">
            <v>0</v>
          </cell>
          <cell r="AI821" t="str">
            <v/>
          </cell>
          <cell r="AJ821" t="str">
            <v/>
          </cell>
          <cell r="AK821">
            <v>0</v>
          </cell>
          <cell r="AL821">
            <v>0</v>
          </cell>
          <cell r="AM821">
            <v>0</v>
          </cell>
        </row>
        <row r="822">
          <cell r="C822" t="str">
            <v/>
          </cell>
          <cell r="D822" t="str">
            <v/>
          </cell>
          <cell r="O822" t="str">
            <v/>
          </cell>
          <cell r="T822" t="str">
            <v/>
          </cell>
          <cell r="U822" t="str">
            <v/>
          </cell>
          <cell r="V822" t="str">
            <v/>
          </cell>
          <cell r="W822" t="str">
            <v/>
          </cell>
          <cell r="Y822" t="str">
            <v/>
          </cell>
          <cell r="AA822" t="str">
            <v/>
          </cell>
          <cell r="AB822">
            <v>0</v>
          </cell>
          <cell r="AC822">
            <v>0</v>
          </cell>
          <cell r="AI822" t="str">
            <v/>
          </cell>
          <cell r="AJ822" t="str">
            <v/>
          </cell>
          <cell r="AK822">
            <v>0</v>
          </cell>
          <cell r="AL822">
            <v>0</v>
          </cell>
          <cell r="AM822">
            <v>0</v>
          </cell>
        </row>
        <row r="823">
          <cell r="C823" t="str">
            <v/>
          </cell>
          <cell r="D823" t="str">
            <v/>
          </cell>
          <cell r="O823" t="str">
            <v/>
          </cell>
          <cell r="T823" t="str">
            <v/>
          </cell>
          <cell r="U823" t="str">
            <v/>
          </cell>
          <cell r="V823" t="str">
            <v/>
          </cell>
          <cell r="W823" t="str">
            <v/>
          </cell>
          <cell r="Y823" t="str">
            <v/>
          </cell>
          <cell r="AA823" t="str">
            <v/>
          </cell>
          <cell r="AB823">
            <v>0</v>
          </cell>
          <cell r="AC823">
            <v>0</v>
          </cell>
          <cell r="AI823" t="str">
            <v/>
          </cell>
          <cell r="AJ823" t="str">
            <v/>
          </cell>
          <cell r="AK823">
            <v>0</v>
          </cell>
          <cell r="AL823">
            <v>0</v>
          </cell>
          <cell r="AM823">
            <v>0</v>
          </cell>
        </row>
        <row r="824">
          <cell r="C824" t="str">
            <v/>
          </cell>
          <cell r="D824" t="str">
            <v/>
          </cell>
          <cell r="O824" t="str">
            <v/>
          </cell>
          <cell r="T824" t="str">
            <v/>
          </cell>
          <cell r="U824" t="str">
            <v/>
          </cell>
          <cell r="V824" t="str">
            <v/>
          </cell>
          <cell r="W824" t="str">
            <v/>
          </cell>
          <cell r="Y824" t="str">
            <v/>
          </cell>
          <cell r="AA824" t="str">
            <v/>
          </cell>
          <cell r="AB824">
            <v>0</v>
          </cell>
          <cell r="AC824">
            <v>0</v>
          </cell>
          <cell r="AI824" t="str">
            <v/>
          </cell>
          <cell r="AJ824" t="str">
            <v/>
          </cell>
          <cell r="AK824">
            <v>0</v>
          </cell>
          <cell r="AL824">
            <v>0</v>
          </cell>
          <cell r="AM824">
            <v>0</v>
          </cell>
        </row>
        <row r="825">
          <cell r="C825" t="str">
            <v/>
          </cell>
          <cell r="D825" t="str">
            <v/>
          </cell>
          <cell r="O825" t="str">
            <v/>
          </cell>
          <cell r="T825" t="str">
            <v/>
          </cell>
          <cell r="U825" t="str">
            <v/>
          </cell>
          <cell r="V825" t="str">
            <v/>
          </cell>
          <cell r="W825" t="str">
            <v/>
          </cell>
          <cell r="Y825" t="str">
            <v/>
          </cell>
          <cell r="AA825" t="str">
            <v/>
          </cell>
          <cell r="AB825">
            <v>0</v>
          </cell>
          <cell r="AC825">
            <v>0</v>
          </cell>
          <cell r="AI825" t="str">
            <v/>
          </cell>
          <cell r="AJ825" t="str">
            <v/>
          </cell>
          <cell r="AK825">
            <v>0</v>
          </cell>
          <cell r="AL825">
            <v>0</v>
          </cell>
          <cell r="AM825">
            <v>0</v>
          </cell>
        </row>
        <row r="826">
          <cell r="C826" t="str">
            <v/>
          </cell>
          <cell r="D826" t="str">
            <v/>
          </cell>
          <cell r="O826" t="str">
            <v/>
          </cell>
          <cell r="T826" t="str">
            <v/>
          </cell>
          <cell r="U826" t="str">
            <v/>
          </cell>
          <cell r="V826" t="str">
            <v/>
          </cell>
          <cell r="W826" t="str">
            <v/>
          </cell>
          <cell r="Y826" t="str">
            <v/>
          </cell>
          <cell r="AA826" t="str">
            <v/>
          </cell>
          <cell r="AB826">
            <v>0</v>
          </cell>
          <cell r="AC826">
            <v>0</v>
          </cell>
          <cell r="AI826" t="str">
            <v/>
          </cell>
          <cell r="AJ826" t="str">
            <v/>
          </cell>
          <cell r="AK826">
            <v>0</v>
          </cell>
          <cell r="AL826">
            <v>0</v>
          </cell>
          <cell r="AM826">
            <v>0</v>
          </cell>
        </row>
        <row r="827">
          <cell r="C827" t="str">
            <v/>
          </cell>
          <cell r="D827" t="str">
            <v/>
          </cell>
          <cell r="O827" t="str">
            <v/>
          </cell>
          <cell r="T827" t="str">
            <v/>
          </cell>
          <cell r="U827" t="str">
            <v/>
          </cell>
          <cell r="V827" t="str">
            <v/>
          </cell>
          <cell r="W827" t="str">
            <v/>
          </cell>
          <cell r="Y827" t="str">
            <v/>
          </cell>
          <cell r="AA827" t="str">
            <v/>
          </cell>
          <cell r="AB827">
            <v>0</v>
          </cell>
          <cell r="AC827">
            <v>0</v>
          </cell>
          <cell r="AI827" t="str">
            <v/>
          </cell>
          <cell r="AJ827" t="str">
            <v/>
          </cell>
          <cell r="AK827">
            <v>0</v>
          </cell>
          <cell r="AL827">
            <v>0</v>
          </cell>
          <cell r="AM827">
            <v>0</v>
          </cell>
        </row>
        <row r="828">
          <cell r="C828" t="str">
            <v/>
          </cell>
          <cell r="D828" t="str">
            <v/>
          </cell>
          <cell r="O828" t="str">
            <v/>
          </cell>
          <cell r="T828" t="str">
            <v/>
          </cell>
          <cell r="U828" t="str">
            <v/>
          </cell>
          <cell r="V828" t="str">
            <v/>
          </cell>
          <cell r="W828" t="str">
            <v/>
          </cell>
          <cell r="Y828" t="str">
            <v/>
          </cell>
          <cell r="AA828" t="str">
            <v/>
          </cell>
          <cell r="AB828">
            <v>0</v>
          </cell>
          <cell r="AC828">
            <v>0</v>
          </cell>
          <cell r="AI828" t="str">
            <v/>
          </cell>
          <cell r="AJ828" t="str">
            <v/>
          </cell>
          <cell r="AK828">
            <v>0</v>
          </cell>
          <cell r="AL828">
            <v>0</v>
          </cell>
          <cell r="AM828">
            <v>0</v>
          </cell>
        </row>
        <row r="829">
          <cell r="C829" t="str">
            <v/>
          </cell>
          <cell r="D829" t="str">
            <v/>
          </cell>
          <cell r="O829" t="str">
            <v/>
          </cell>
          <cell r="T829" t="str">
            <v/>
          </cell>
          <cell r="U829" t="str">
            <v/>
          </cell>
          <cell r="V829" t="str">
            <v/>
          </cell>
          <cell r="W829" t="str">
            <v/>
          </cell>
          <cell r="Y829" t="str">
            <v/>
          </cell>
          <cell r="AA829" t="str">
            <v/>
          </cell>
          <cell r="AB829">
            <v>0</v>
          </cell>
          <cell r="AC829">
            <v>0</v>
          </cell>
          <cell r="AI829" t="str">
            <v/>
          </cell>
          <cell r="AJ829" t="str">
            <v/>
          </cell>
          <cell r="AK829">
            <v>0</v>
          </cell>
          <cell r="AL829">
            <v>0</v>
          </cell>
          <cell r="AM829">
            <v>0</v>
          </cell>
        </row>
        <row r="830">
          <cell r="C830" t="str">
            <v/>
          </cell>
          <cell r="D830" t="str">
            <v/>
          </cell>
          <cell r="O830" t="str">
            <v/>
          </cell>
          <cell r="T830" t="str">
            <v/>
          </cell>
          <cell r="U830" t="str">
            <v/>
          </cell>
          <cell r="V830" t="str">
            <v/>
          </cell>
          <cell r="W830" t="str">
            <v/>
          </cell>
          <cell r="Y830" t="str">
            <v/>
          </cell>
          <cell r="AA830" t="str">
            <v/>
          </cell>
          <cell r="AB830">
            <v>0</v>
          </cell>
          <cell r="AC830">
            <v>0</v>
          </cell>
          <cell r="AI830" t="str">
            <v/>
          </cell>
          <cell r="AJ830" t="str">
            <v/>
          </cell>
          <cell r="AK830">
            <v>0</v>
          </cell>
          <cell r="AL830">
            <v>0</v>
          </cell>
          <cell r="AM830">
            <v>0</v>
          </cell>
        </row>
        <row r="831">
          <cell r="C831" t="str">
            <v/>
          </cell>
          <cell r="D831" t="str">
            <v/>
          </cell>
          <cell r="O831" t="str">
            <v/>
          </cell>
          <cell r="T831" t="str">
            <v/>
          </cell>
          <cell r="U831" t="str">
            <v/>
          </cell>
          <cell r="V831" t="str">
            <v/>
          </cell>
          <cell r="W831" t="str">
            <v/>
          </cell>
          <cell r="Y831" t="str">
            <v/>
          </cell>
          <cell r="AA831" t="str">
            <v/>
          </cell>
          <cell r="AB831">
            <v>0</v>
          </cell>
          <cell r="AC831">
            <v>0</v>
          </cell>
          <cell r="AI831" t="str">
            <v/>
          </cell>
          <cell r="AJ831" t="str">
            <v/>
          </cell>
          <cell r="AK831">
            <v>0</v>
          </cell>
          <cell r="AL831">
            <v>0</v>
          </cell>
          <cell r="AM831">
            <v>0</v>
          </cell>
        </row>
        <row r="832">
          <cell r="C832" t="str">
            <v/>
          </cell>
          <cell r="D832" t="str">
            <v/>
          </cell>
          <cell r="O832" t="str">
            <v/>
          </cell>
          <cell r="T832" t="str">
            <v/>
          </cell>
          <cell r="U832" t="str">
            <v/>
          </cell>
          <cell r="V832" t="str">
            <v/>
          </cell>
          <cell r="W832" t="str">
            <v/>
          </cell>
          <cell r="Y832" t="str">
            <v/>
          </cell>
          <cell r="AA832" t="str">
            <v/>
          </cell>
          <cell r="AB832">
            <v>0</v>
          </cell>
          <cell r="AC832">
            <v>0</v>
          </cell>
          <cell r="AI832" t="str">
            <v/>
          </cell>
          <cell r="AJ832" t="str">
            <v/>
          </cell>
          <cell r="AK832">
            <v>0</v>
          </cell>
          <cell r="AL832">
            <v>0</v>
          </cell>
          <cell r="AM832">
            <v>0</v>
          </cell>
        </row>
        <row r="833">
          <cell r="C833" t="str">
            <v/>
          </cell>
          <cell r="D833" t="str">
            <v/>
          </cell>
          <cell r="O833" t="str">
            <v/>
          </cell>
          <cell r="T833" t="str">
            <v/>
          </cell>
          <cell r="U833" t="str">
            <v/>
          </cell>
          <cell r="V833" t="str">
            <v/>
          </cell>
          <cell r="W833" t="str">
            <v/>
          </cell>
          <cell r="Y833" t="str">
            <v/>
          </cell>
          <cell r="AA833" t="str">
            <v/>
          </cell>
          <cell r="AB833">
            <v>0</v>
          </cell>
          <cell r="AC833">
            <v>0</v>
          </cell>
          <cell r="AI833" t="str">
            <v/>
          </cell>
          <cell r="AJ833" t="str">
            <v/>
          </cell>
          <cell r="AK833">
            <v>0</v>
          </cell>
          <cell r="AL833">
            <v>0</v>
          </cell>
          <cell r="AM833">
            <v>0</v>
          </cell>
        </row>
        <row r="834">
          <cell r="C834" t="str">
            <v/>
          </cell>
          <cell r="D834" t="str">
            <v/>
          </cell>
          <cell r="O834" t="str">
            <v/>
          </cell>
          <cell r="T834" t="str">
            <v/>
          </cell>
          <cell r="U834" t="str">
            <v/>
          </cell>
          <cell r="V834" t="str">
            <v/>
          </cell>
          <cell r="W834" t="str">
            <v/>
          </cell>
          <cell r="Y834" t="str">
            <v/>
          </cell>
          <cell r="AA834" t="str">
            <v/>
          </cell>
          <cell r="AB834">
            <v>0</v>
          </cell>
          <cell r="AC834">
            <v>0</v>
          </cell>
          <cell r="AI834" t="str">
            <v/>
          </cell>
          <cell r="AJ834" t="str">
            <v/>
          </cell>
          <cell r="AK834">
            <v>0</v>
          </cell>
          <cell r="AL834">
            <v>0</v>
          </cell>
          <cell r="AM834">
            <v>0</v>
          </cell>
        </row>
        <row r="835">
          <cell r="C835" t="str">
            <v/>
          </cell>
          <cell r="D835" t="str">
            <v/>
          </cell>
          <cell r="O835" t="str">
            <v/>
          </cell>
          <cell r="T835" t="str">
            <v/>
          </cell>
          <cell r="U835" t="str">
            <v/>
          </cell>
          <cell r="V835" t="str">
            <v/>
          </cell>
          <cell r="W835" t="str">
            <v/>
          </cell>
          <cell r="Y835" t="str">
            <v/>
          </cell>
          <cell r="AA835" t="str">
            <v/>
          </cell>
          <cell r="AB835">
            <v>0</v>
          </cell>
          <cell r="AC835">
            <v>0</v>
          </cell>
          <cell r="AI835" t="str">
            <v/>
          </cell>
          <cell r="AJ835" t="str">
            <v/>
          </cell>
          <cell r="AK835">
            <v>0</v>
          </cell>
          <cell r="AL835">
            <v>0</v>
          </cell>
          <cell r="AM835">
            <v>0</v>
          </cell>
        </row>
        <row r="836">
          <cell r="C836" t="str">
            <v/>
          </cell>
          <cell r="D836" t="str">
            <v/>
          </cell>
          <cell r="O836" t="str">
            <v/>
          </cell>
          <cell r="T836" t="str">
            <v/>
          </cell>
          <cell r="U836" t="str">
            <v/>
          </cell>
          <cell r="V836" t="str">
            <v/>
          </cell>
          <cell r="W836" t="str">
            <v/>
          </cell>
          <cell r="Y836" t="str">
            <v/>
          </cell>
          <cell r="AA836" t="str">
            <v/>
          </cell>
          <cell r="AB836">
            <v>0</v>
          </cell>
          <cell r="AC836">
            <v>0</v>
          </cell>
          <cell r="AI836" t="str">
            <v/>
          </cell>
          <cell r="AJ836" t="str">
            <v/>
          </cell>
          <cell r="AK836">
            <v>0</v>
          </cell>
          <cell r="AL836">
            <v>0</v>
          </cell>
          <cell r="AM836">
            <v>0</v>
          </cell>
        </row>
        <row r="837">
          <cell r="C837" t="str">
            <v/>
          </cell>
          <cell r="D837" t="str">
            <v/>
          </cell>
          <cell r="O837" t="str">
            <v/>
          </cell>
          <cell r="T837" t="str">
            <v/>
          </cell>
          <cell r="U837" t="str">
            <v/>
          </cell>
          <cell r="V837" t="str">
            <v/>
          </cell>
          <cell r="W837" t="str">
            <v/>
          </cell>
          <cell r="Y837" t="str">
            <v/>
          </cell>
          <cell r="AA837" t="str">
            <v/>
          </cell>
          <cell r="AB837">
            <v>0</v>
          </cell>
          <cell r="AC837">
            <v>0</v>
          </cell>
          <cell r="AI837" t="str">
            <v/>
          </cell>
          <cell r="AJ837" t="str">
            <v/>
          </cell>
          <cell r="AK837">
            <v>0</v>
          </cell>
          <cell r="AL837">
            <v>0</v>
          </cell>
          <cell r="AM837">
            <v>0</v>
          </cell>
        </row>
        <row r="838">
          <cell r="C838" t="str">
            <v/>
          </cell>
          <cell r="D838" t="str">
            <v/>
          </cell>
          <cell r="O838" t="str">
            <v/>
          </cell>
          <cell r="T838" t="str">
            <v/>
          </cell>
          <cell r="U838" t="str">
            <v/>
          </cell>
          <cell r="V838" t="str">
            <v/>
          </cell>
          <cell r="W838" t="str">
            <v/>
          </cell>
          <cell r="Y838" t="str">
            <v/>
          </cell>
          <cell r="AA838" t="str">
            <v/>
          </cell>
          <cell r="AB838">
            <v>0</v>
          </cell>
          <cell r="AC838">
            <v>0</v>
          </cell>
          <cell r="AI838" t="str">
            <v/>
          </cell>
          <cell r="AJ838" t="str">
            <v/>
          </cell>
          <cell r="AK838">
            <v>0</v>
          </cell>
          <cell r="AL838">
            <v>0</v>
          </cell>
          <cell r="AM838">
            <v>0</v>
          </cell>
        </row>
        <row r="839">
          <cell r="C839" t="str">
            <v/>
          </cell>
          <cell r="D839" t="str">
            <v/>
          </cell>
          <cell r="O839" t="str">
            <v/>
          </cell>
          <cell r="T839" t="str">
            <v/>
          </cell>
          <cell r="U839" t="str">
            <v/>
          </cell>
          <cell r="V839" t="str">
            <v/>
          </cell>
          <cell r="W839" t="str">
            <v/>
          </cell>
          <cell r="Y839" t="str">
            <v/>
          </cell>
          <cell r="AA839" t="str">
            <v/>
          </cell>
          <cell r="AB839">
            <v>0</v>
          </cell>
          <cell r="AC839">
            <v>0</v>
          </cell>
          <cell r="AI839" t="str">
            <v/>
          </cell>
          <cell r="AJ839" t="str">
            <v/>
          </cell>
          <cell r="AK839">
            <v>0</v>
          </cell>
          <cell r="AL839">
            <v>0</v>
          </cell>
          <cell r="AM839">
            <v>0</v>
          </cell>
        </row>
        <row r="840">
          <cell r="C840" t="str">
            <v/>
          </cell>
          <cell r="D840" t="str">
            <v/>
          </cell>
          <cell r="O840" t="str">
            <v/>
          </cell>
          <cell r="T840" t="str">
            <v/>
          </cell>
          <cell r="U840" t="str">
            <v/>
          </cell>
          <cell r="V840" t="str">
            <v/>
          </cell>
          <cell r="W840" t="str">
            <v/>
          </cell>
          <cell r="Y840" t="str">
            <v/>
          </cell>
          <cell r="AA840" t="str">
            <v/>
          </cell>
          <cell r="AB840">
            <v>0</v>
          </cell>
          <cell r="AC840">
            <v>0</v>
          </cell>
          <cell r="AI840" t="str">
            <v/>
          </cell>
          <cell r="AJ840" t="str">
            <v/>
          </cell>
          <cell r="AK840">
            <v>0</v>
          </cell>
          <cell r="AL840">
            <v>0</v>
          </cell>
          <cell r="AM840">
            <v>0</v>
          </cell>
        </row>
        <row r="841">
          <cell r="C841" t="str">
            <v/>
          </cell>
          <cell r="D841" t="str">
            <v/>
          </cell>
          <cell r="O841" t="str">
            <v/>
          </cell>
          <cell r="T841" t="str">
            <v/>
          </cell>
          <cell r="U841" t="str">
            <v/>
          </cell>
          <cell r="V841" t="str">
            <v/>
          </cell>
          <cell r="W841" t="str">
            <v/>
          </cell>
          <cell r="Y841" t="str">
            <v/>
          </cell>
          <cell r="AA841" t="str">
            <v/>
          </cell>
          <cell r="AB841">
            <v>0</v>
          </cell>
          <cell r="AC841">
            <v>0</v>
          </cell>
          <cell r="AI841" t="str">
            <v/>
          </cell>
          <cell r="AJ841" t="str">
            <v/>
          </cell>
          <cell r="AK841">
            <v>0</v>
          </cell>
          <cell r="AL841">
            <v>0</v>
          </cell>
          <cell r="AM841">
            <v>0</v>
          </cell>
        </row>
        <row r="842">
          <cell r="C842" t="str">
            <v/>
          </cell>
          <cell r="D842" t="str">
            <v/>
          </cell>
          <cell r="O842" t="str">
            <v/>
          </cell>
          <cell r="T842" t="str">
            <v/>
          </cell>
          <cell r="U842" t="str">
            <v/>
          </cell>
          <cell r="V842" t="str">
            <v/>
          </cell>
          <cell r="W842" t="str">
            <v/>
          </cell>
          <cell r="Y842" t="str">
            <v/>
          </cell>
          <cell r="AA842" t="str">
            <v/>
          </cell>
          <cell r="AB842">
            <v>0</v>
          </cell>
          <cell r="AC842">
            <v>0</v>
          </cell>
          <cell r="AI842" t="str">
            <v/>
          </cell>
          <cell r="AJ842" t="str">
            <v/>
          </cell>
          <cell r="AK842">
            <v>0</v>
          </cell>
          <cell r="AL842">
            <v>0</v>
          </cell>
          <cell r="AM842">
            <v>0</v>
          </cell>
        </row>
        <row r="843">
          <cell r="C843" t="str">
            <v/>
          </cell>
          <cell r="D843" t="str">
            <v/>
          </cell>
          <cell r="O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/>
          </cell>
          <cell r="Y843" t="str">
            <v/>
          </cell>
          <cell r="AA843" t="str">
            <v/>
          </cell>
          <cell r="AB843">
            <v>0</v>
          </cell>
          <cell r="AC843">
            <v>0</v>
          </cell>
          <cell r="AI843" t="str">
            <v/>
          </cell>
          <cell r="AJ843" t="str">
            <v/>
          </cell>
          <cell r="AK843">
            <v>0</v>
          </cell>
          <cell r="AL843">
            <v>0</v>
          </cell>
          <cell r="AM843">
            <v>0</v>
          </cell>
        </row>
        <row r="844">
          <cell r="C844" t="str">
            <v/>
          </cell>
          <cell r="D844" t="str">
            <v/>
          </cell>
          <cell r="O844" t="str">
            <v/>
          </cell>
          <cell r="T844" t="str">
            <v/>
          </cell>
          <cell r="U844" t="str">
            <v/>
          </cell>
          <cell r="V844" t="str">
            <v/>
          </cell>
          <cell r="W844" t="str">
            <v/>
          </cell>
          <cell r="Y844" t="str">
            <v/>
          </cell>
          <cell r="AA844" t="str">
            <v/>
          </cell>
          <cell r="AB844">
            <v>0</v>
          </cell>
          <cell r="AC844">
            <v>0</v>
          </cell>
          <cell r="AI844" t="str">
            <v/>
          </cell>
          <cell r="AJ844" t="str">
            <v/>
          </cell>
          <cell r="AK844">
            <v>0</v>
          </cell>
          <cell r="AL844">
            <v>0</v>
          </cell>
          <cell r="AM844">
            <v>0</v>
          </cell>
        </row>
        <row r="845">
          <cell r="C845" t="str">
            <v/>
          </cell>
          <cell r="D845" t="str">
            <v/>
          </cell>
          <cell r="O845" t="str">
            <v/>
          </cell>
          <cell r="T845" t="str">
            <v/>
          </cell>
          <cell r="U845" t="str">
            <v/>
          </cell>
          <cell r="V845" t="str">
            <v/>
          </cell>
          <cell r="W845" t="str">
            <v/>
          </cell>
          <cell r="Y845" t="str">
            <v/>
          </cell>
          <cell r="AA845" t="str">
            <v/>
          </cell>
          <cell r="AB845">
            <v>0</v>
          </cell>
          <cell r="AC845">
            <v>0</v>
          </cell>
          <cell r="AI845" t="str">
            <v/>
          </cell>
          <cell r="AJ845" t="str">
            <v/>
          </cell>
          <cell r="AK845">
            <v>0</v>
          </cell>
          <cell r="AL845">
            <v>0</v>
          </cell>
          <cell r="AM845">
            <v>0</v>
          </cell>
        </row>
        <row r="846">
          <cell r="C846" t="str">
            <v/>
          </cell>
          <cell r="D846" t="str">
            <v/>
          </cell>
          <cell r="O846" t="str">
            <v/>
          </cell>
          <cell r="T846" t="str">
            <v/>
          </cell>
          <cell r="U846" t="str">
            <v/>
          </cell>
          <cell r="V846" t="str">
            <v/>
          </cell>
          <cell r="W846" t="str">
            <v/>
          </cell>
          <cell r="Y846" t="str">
            <v/>
          </cell>
          <cell r="AA846" t="str">
            <v/>
          </cell>
          <cell r="AB846">
            <v>0</v>
          </cell>
          <cell r="AC846">
            <v>0</v>
          </cell>
          <cell r="AI846" t="str">
            <v/>
          </cell>
          <cell r="AJ846" t="str">
            <v/>
          </cell>
          <cell r="AK846">
            <v>0</v>
          </cell>
          <cell r="AL846">
            <v>0</v>
          </cell>
          <cell r="AM846">
            <v>0</v>
          </cell>
        </row>
        <row r="847">
          <cell r="C847" t="str">
            <v/>
          </cell>
          <cell r="D847" t="str">
            <v/>
          </cell>
          <cell r="O847" t="str">
            <v/>
          </cell>
          <cell r="T847" t="str">
            <v/>
          </cell>
          <cell r="U847" t="str">
            <v/>
          </cell>
          <cell r="V847" t="str">
            <v/>
          </cell>
          <cell r="W847" t="str">
            <v/>
          </cell>
          <cell r="Y847" t="str">
            <v/>
          </cell>
          <cell r="AA847" t="str">
            <v/>
          </cell>
          <cell r="AB847">
            <v>0</v>
          </cell>
          <cell r="AC847">
            <v>0</v>
          </cell>
          <cell r="AI847" t="str">
            <v/>
          </cell>
          <cell r="AJ847" t="str">
            <v/>
          </cell>
          <cell r="AK847">
            <v>0</v>
          </cell>
          <cell r="AL847">
            <v>0</v>
          </cell>
          <cell r="AM847">
            <v>0</v>
          </cell>
        </row>
        <row r="848">
          <cell r="C848" t="str">
            <v/>
          </cell>
          <cell r="D848" t="str">
            <v/>
          </cell>
          <cell r="O848" t="str">
            <v/>
          </cell>
          <cell r="T848" t="str">
            <v/>
          </cell>
          <cell r="U848" t="str">
            <v/>
          </cell>
          <cell r="V848" t="str">
            <v/>
          </cell>
          <cell r="W848" t="str">
            <v/>
          </cell>
          <cell r="Y848" t="str">
            <v/>
          </cell>
          <cell r="AA848" t="str">
            <v/>
          </cell>
          <cell r="AB848">
            <v>0</v>
          </cell>
          <cell r="AC848">
            <v>0</v>
          </cell>
          <cell r="AI848" t="str">
            <v/>
          </cell>
          <cell r="AJ848" t="str">
            <v/>
          </cell>
          <cell r="AK848">
            <v>0</v>
          </cell>
          <cell r="AL848">
            <v>0</v>
          </cell>
          <cell r="AM848">
            <v>0</v>
          </cell>
        </row>
        <row r="849">
          <cell r="C849" t="str">
            <v/>
          </cell>
          <cell r="D849" t="str">
            <v/>
          </cell>
          <cell r="O849" t="str">
            <v/>
          </cell>
          <cell r="T849" t="str">
            <v/>
          </cell>
          <cell r="U849" t="str">
            <v/>
          </cell>
          <cell r="V849" t="str">
            <v/>
          </cell>
          <cell r="W849" t="str">
            <v/>
          </cell>
          <cell r="Y849" t="str">
            <v/>
          </cell>
          <cell r="AA849" t="str">
            <v/>
          </cell>
          <cell r="AB849">
            <v>0</v>
          </cell>
          <cell r="AC849">
            <v>0</v>
          </cell>
          <cell r="AI849" t="str">
            <v/>
          </cell>
          <cell r="AJ849" t="str">
            <v/>
          </cell>
          <cell r="AK849">
            <v>0</v>
          </cell>
          <cell r="AL849">
            <v>0</v>
          </cell>
          <cell r="AM849">
            <v>0</v>
          </cell>
        </row>
        <row r="850">
          <cell r="C850" t="str">
            <v/>
          </cell>
          <cell r="D850" t="str">
            <v/>
          </cell>
          <cell r="O850" t="str">
            <v/>
          </cell>
          <cell r="T850" t="str">
            <v/>
          </cell>
          <cell r="U850" t="str">
            <v/>
          </cell>
          <cell r="V850" t="str">
            <v/>
          </cell>
          <cell r="W850" t="str">
            <v/>
          </cell>
          <cell r="Y850" t="str">
            <v/>
          </cell>
          <cell r="AA850" t="str">
            <v/>
          </cell>
          <cell r="AB850">
            <v>0</v>
          </cell>
          <cell r="AC850">
            <v>0</v>
          </cell>
          <cell r="AI850" t="str">
            <v/>
          </cell>
          <cell r="AJ850" t="str">
            <v/>
          </cell>
          <cell r="AK850">
            <v>0</v>
          </cell>
          <cell r="AL850">
            <v>0</v>
          </cell>
          <cell r="AM850">
            <v>0</v>
          </cell>
        </row>
        <row r="851">
          <cell r="C851" t="str">
            <v/>
          </cell>
          <cell r="D851" t="str">
            <v/>
          </cell>
          <cell r="O851" t="str">
            <v/>
          </cell>
          <cell r="T851" t="str">
            <v/>
          </cell>
          <cell r="U851" t="str">
            <v/>
          </cell>
          <cell r="V851" t="str">
            <v/>
          </cell>
          <cell r="W851" t="str">
            <v/>
          </cell>
          <cell r="Y851" t="str">
            <v/>
          </cell>
          <cell r="AA851" t="str">
            <v/>
          </cell>
          <cell r="AB851">
            <v>0</v>
          </cell>
          <cell r="AC851">
            <v>0</v>
          </cell>
          <cell r="AI851" t="str">
            <v/>
          </cell>
          <cell r="AJ851" t="str">
            <v/>
          </cell>
          <cell r="AK851">
            <v>0</v>
          </cell>
          <cell r="AL851">
            <v>0</v>
          </cell>
          <cell r="AM851">
            <v>0</v>
          </cell>
        </row>
        <row r="852">
          <cell r="C852" t="str">
            <v/>
          </cell>
          <cell r="D852" t="str">
            <v/>
          </cell>
          <cell r="O852" t="str">
            <v/>
          </cell>
          <cell r="T852" t="str">
            <v/>
          </cell>
          <cell r="U852" t="str">
            <v/>
          </cell>
          <cell r="V852" t="str">
            <v/>
          </cell>
          <cell r="W852" t="str">
            <v/>
          </cell>
          <cell r="Y852" t="str">
            <v/>
          </cell>
          <cell r="AA852" t="str">
            <v/>
          </cell>
          <cell r="AB852">
            <v>0</v>
          </cell>
          <cell r="AC852">
            <v>0</v>
          </cell>
          <cell r="AI852" t="str">
            <v/>
          </cell>
          <cell r="AJ852" t="str">
            <v/>
          </cell>
          <cell r="AK852">
            <v>0</v>
          </cell>
          <cell r="AL852">
            <v>0</v>
          </cell>
          <cell r="AM852">
            <v>0</v>
          </cell>
        </row>
        <row r="853">
          <cell r="C853" t="str">
            <v/>
          </cell>
          <cell r="D853" t="str">
            <v/>
          </cell>
          <cell r="O853" t="str">
            <v/>
          </cell>
          <cell r="T853" t="str">
            <v/>
          </cell>
          <cell r="U853" t="str">
            <v/>
          </cell>
          <cell r="V853" t="str">
            <v/>
          </cell>
          <cell r="W853" t="str">
            <v/>
          </cell>
          <cell r="Y853" t="str">
            <v/>
          </cell>
          <cell r="AA853" t="str">
            <v/>
          </cell>
          <cell r="AB853">
            <v>0</v>
          </cell>
          <cell r="AC853">
            <v>0</v>
          </cell>
          <cell r="AI853" t="str">
            <v/>
          </cell>
          <cell r="AJ853" t="str">
            <v/>
          </cell>
          <cell r="AK853">
            <v>0</v>
          </cell>
          <cell r="AL853">
            <v>0</v>
          </cell>
          <cell r="AM853">
            <v>0</v>
          </cell>
        </row>
        <row r="854">
          <cell r="C854" t="str">
            <v/>
          </cell>
          <cell r="D854" t="str">
            <v/>
          </cell>
          <cell r="O854" t="str">
            <v/>
          </cell>
          <cell r="T854" t="str">
            <v/>
          </cell>
          <cell r="U854" t="str">
            <v/>
          </cell>
          <cell r="V854" t="str">
            <v/>
          </cell>
          <cell r="W854" t="str">
            <v/>
          </cell>
          <cell r="Y854" t="str">
            <v/>
          </cell>
          <cell r="AA854" t="str">
            <v/>
          </cell>
          <cell r="AB854">
            <v>0</v>
          </cell>
          <cell r="AC854">
            <v>0</v>
          </cell>
          <cell r="AI854" t="str">
            <v/>
          </cell>
          <cell r="AJ854" t="str">
            <v/>
          </cell>
          <cell r="AK854">
            <v>0</v>
          </cell>
          <cell r="AL854">
            <v>0</v>
          </cell>
          <cell r="AM854">
            <v>0</v>
          </cell>
        </row>
        <row r="855">
          <cell r="C855" t="str">
            <v/>
          </cell>
          <cell r="D855" t="str">
            <v/>
          </cell>
          <cell r="O855" t="str">
            <v/>
          </cell>
          <cell r="T855" t="str">
            <v/>
          </cell>
          <cell r="U855" t="str">
            <v/>
          </cell>
          <cell r="V855" t="str">
            <v/>
          </cell>
          <cell r="W855" t="str">
            <v/>
          </cell>
          <cell r="Y855" t="str">
            <v/>
          </cell>
          <cell r="AA855" t="str">
            <v/>
          </cell>
          <cell r="AB855">
            <v>0</v>
          </cell>
          <cell r="AC855">
            <v>0</v>
          </cell>
          <cell r="AI855" t="str">
            <v/>
          </cell>
          <cell r="AJ855" t="str">
            <v/>
          </cell>
          <cell r="AK855">
            <v>0</v>
          </cell>
          <cell r="AL855">
            <v>0</v>
          </cell>
          <cell r="AM855">
            <v>0</v>
          </cell>
        </row>
        <row r="856">
          <cell r="C856" t="str">
            <v/>
          </cell>
          <cell r="D856" t="str">
            <v/>
          </cell>
          <cell r="O856" t="str">
            <v/>
          </cell>
          <cell r="T856" t="str">
            <v/>
          </cell>
          <cell r="U856" t="str">
            <v/>
          </cell>
          <cell r="V856" t="str">
            <v/>
          </cell>
          <cell r="W856" t="str">
            <v/>
          </cell>
          <cell r="Y856" t="str">
            <v/>
          </cell>
          <cell r="AA856" t="str">
            <v/>
          </cell>
          <cell r="AB856">
            <v>0</v>
          </cell>
          <cell r="AC856">
            <v>0</v>
          </cell>
          <cell r="AI856" t="str">
            <v/>
          </cell>
          <cell r="AJ856" t="str">
            <v/>
          </cell>
          <cell r="AK856">
            <v>0</v>
          </cell>
          <cell r="AL856">
            <v>0</v>
          </cell>
          <cell r="AM856">
            <v>0</v>
          </cell>
        </row>
        <row r="857">
          <cell r="C857" t="str">
            <v/>
          </cell>
          <cell r="D857" t="str">
            <v/>
          </cell>
          <cell r="O857" t="str">
            <v/>
          </cell>
          <cell r="T857" t="str">
            <v/>
          </cell>
          <cell r="U857" t="str">
            <v/>
          </cell>
          <cell r="V857" t="str">
            <v/>
          </cell>
          <cell r="W857" t="str">
            <v/>
          </cell>
          <cell r="Y857" t="str">
            <v/>
          </cell>
          <cell r="AA857" t="str">
            <v/>
          </cell>
          <cell r="AB857">
            <v>0</v>
          </cell>
          <cell r="AC857">
            <v>0</v>
          </cell>
          <cell r="AI857" t="str">
            <v/>
          </cell>
          <cell r="AJ857" t="str">
            <v/>
          </cell>
          <cell r="AK857">
            <v>0</v>
          </cell>
          <cell r="AL857">
            <v>0</v>
          </cell>
          <cell r="AM857">
            <v>0</v>
          </cell>
        </row>
        <row r="858">
          <cell r="C858" t="str">
            <v/>
          </cell>
          <cell r="D858" t="str">
            <v/>
          </cell>
          <cell r="O858" t="str">
            <v/>
          </cell>
          <cell r="T858" t="str">
            <v/>
          </cell>
          <cell r="U858" t="str">
            <v/>
          </cell>
          <cell r="V858" t="str">
            <v/>
          </cell>
          <cell r="W858" t="str">
            <v/>
          </cell>
          <cell r="Y858" t="str">
            <v/>
          </cell>
          <cell r="AA858" t="str">
            <v/>
          </cell>
          <cell r="AB858">
            <v>0</v>
          </cell>
          <cell r="AC858">
            <v>0</v>
          </cell>
          <cell r="AI858" t="str">
            <v/>
          </cell>
          <cell r="AJ858" t="str">
            <v/>
          </cell>
          <cell r="AK858">
            <v>0</v>
          </cell>
          <cell r="AL858">
            <v>0</v>
          </cell>
          <cell r="AM858">
            <v>0</v>
          </cell>
        </row>
        <row r="859">
          <cell r="C859" t="str">
            <v/>
          </cell>
          <cell r="D859" t="str">
            <v/>
          </cell>
          <cell r="O859" t="str">
            <v/>
          </cell>
          <cell r="T859" t="str">
            <v/>
          </cell>
          <cell r="U859" t="str">
            <v/>
          </cell>
          <cell r="V859" t="str">
            <v/>
          </cell>
          <cell r="W859" t="str">
            <v/>
          </cell>
          <cell r="Y859" t="str">
            <v/>
          </cell>
          <cell r="AA859" t="str">
            <v/>
          </cell>
          <cell r="AB859">
            <v>0</v>
          </cell>
          <cell r="AC859">
            <v>0</v>
          </cell>
          <cell r="AI859" t="str">
            <v/>
          </cell>
          <cell r="AJ859" t="str">
            <v/>
          </cell>
          <cell r="AK859">
            <v>0</v>
          </cell>
          <cell r="AL859">
            <v>0</v>
          </cell>
          <cell r="AM859">
            <v>0</v>
          </cell>
        </row>
        <row r="860">
          <cell r="C860" t="str">
            <v/>
          </cell>
          <cell r="D860" t="str">
            <v/>
          </cell>
          <cell r="O860" t="str">
            <v/>
          </cell>
          <cell r="T860" t="str">
            <v/>
          </cell>
          <cell r="U860" t="str">
            <v/>
          </cell>
          <cell r="V860" t="str">
            <v/>
          </cell>
          <cell r="W860" t="str">
            <v/>
          </cell>
          <cell r="Y860" t="str">
            <v/>
          </cell>
          <cell r="AA860" t="str">
            <v/>
          </cell>
          <cell r="AB860">
            <v>0</v>
          </cell>
          <cell r="AC860">
            <v>0</v>
          </cell>
          <cell r="AI860" t="str">
            <v/>
          </cell>
          <cell r="AJ860" t="str">
            <v/>
          </cell>
          <cell r="AK860">
            <v>0</v>
          </cell>
          <cell r="AL860">
            <v>0</v>
          </cell>
          <cell r="AM860">
            <v>0</v>
          </cell>
        </row>
        <row r="861">
          <cell r="C861" t="str">
            <v/>
          </cell>
          <cell r="D861" t="str">
            <v/>
          </cell>
          <cell r="O861" t="str">
            <v/>
          </cell>
          <cell r="T861" t="str">
            <v/>
          </cell>
          <cell r="U861" t="str">
            <v/>
          </cell>
          <cell r="V861" t="str">
            <v/>
          </cell>
          <cell r="W861" t="str">
            <v/>
          </cell>
          <cell r="Y861" t="str">
            <v/>
          </cell>
          <cell r="AA861" t="str">
            <v/>
          </cell>
          <cell r="AB861">
            <v>0</v>
          </cell>
          <cell r="AC861">
            <v>0</v>
          </cell>
          <cell r="AI861" t="str">
            <v/>
          </cell>
          <cell r="AJ861" t="str">
            <v/>
          </cell>
          <cell r="AK861">
            <v>0</v>
          </cell>
          <cell r="AL861">
            <v>0</v>
          </cell>
          <cell r="AM861">
            <v>0</v>
          </cell>
        </row>
        <row r="862">
          <cell r="C862" t="str">
            <v/>
          </cell>
          <cell r="D862" t="str">
            <v/>
          </cell>
          <cell r="O862" t="str">
            <v/>
          </cell>
          <cell r="T862" t="str">
            <v/>
          </cell>
          <cell r="U862" t="str">
            <v/>
          </cell>
          <cell r="V862" t="str">
            <v/>
          </cell>
          <cell r="W862" t="str">
            <v/>
          </cell>
          <cell r="Y862" t="str">
            <v/>
          </cell>
          <cell r="AA862" t="str">
            <v/>
          </cell>
          <cell r="AB862">
            <v>0</v>
          </cell>
          <cell r="AC862">
            <v>0</v>
          </cell>
          <cell r="AI862" t="str">
            <v/>
          </cell>
          <cell r="AJ862" t="str">
            <v/>
          </cell>
          <cell r="AK862">
            <v>0</v>
          </cell>
          <cell r="AL862">
            <v>0</v>
          </cell>
          <cell r="AM862">
            <v>0</v>
          </cell>
        </row>
        <row r="863">
          <cell r="C863" t="str">
            <v/>
          </cell>
          <cell r="D863" t="str">
            <v/>
          </cell>
          <cell r="O863" t="str">
            <v/>
          </cell>
          <cell r="T863" t="str">
            <v/>
          </cell>
          <cell r="U863" t="str">
            <v/>
          </cell>
          <cell r="V863" t="str">
            <v/>
          </cell>
          <cell r="W863" t="str">
            <v/>
          </cell>
          <cell r="Y863" t="str">
            <v/>
          </cell>
          <cell r="AA863" t="str">
            <v/>
          </cell>
          <cell r="AB863">
            <v>0</v>
          </cell>
          <cell r="AC863">
            <v>0</v>
          </cell>
          <cell r="AI863" t="str">
            <v/>
          </cell>
          <cell r="AJ863" t="str">
            <v/>
          </cell>
          <cell r="AK863">
            <v>0</v>
          </cell>
          <cell r="AL863">
            <v>0</v>
          </cell>
          <cell r="AM863">
            <v>0</v>
          </cell>
        </row>
        <row r="864">
          <cell r="C864" t="str">
            <v/>
          </cell>
          <cell r="D864" t="str">
            <v/>
          </cell>
          <cell r="O864" t="str">
            <v/>
          </cell>
          <cell r="T864" t="str">
            <v/>
          </cell>
          <cell r="U864" t="str">
            <v/>
          </cell>
          <cell r="V864" t="str">
            <v/>
          </cell>
          <cell r="W864" t="str">
            <v/>
          </cell>
          <cell r="Y864" t="str">
            <v/>
          </cell>
          <cell r="AA864" t="str">
            <v/>
          </cell>
          <cell r="AB864">
            <v>0</v>
          </cell>
          <cell r="AC864">
            <v>0</v>
          </cell>
          <cell r="AI864" t="str">
            <v/>
          </cell>
          <cell r="AJ864" t="str">
            <v/>
          </cell>
          <cell r="AK864">
            <v>0</v>
          </cell>
          <cell r="AL864">
            <v>0</v>
          </cell>
          <cell r="AM864">
            <v>0</v>
          </cell>
        </row>
        <row r="865">
          <cell r="C865" t="str">
            <v/>
          </cell>
          <cell r="D865" t="str">
            <v/>
          </cell>
          <cell r="O865" t="str">
            <v/>
          </cell>
          <cell r="T865" t="str">
            <v/>
          </cell>
          <cell r="U865" t="str">
            <v/>
          </cell>
          <cell r="V865" t="str">
            <v/>
          </cell>
          <cell r="W865" t="str">
            <v/>
          </cell>
          <cell r="Y865" t="str">
            <v/>
          </cell>
          <cell r="AA865" t="str">
            <v/>
          </cell>
          <cell r="AB865">
            <v>0</v>
          </cell>
          <cell r="AC865">
            <v>0</v>
          </cell>
          <cell r="AI865" t="str">
            <v/>
          </cell>
          <cell r="AJ865" t="str">
            <v/>
          </cell>
          <cell r="AK865">
            <v>0</v>
          </cell>
          <cell r="AL865">
            <v>0</v>
          </cell>
          <cell r="AM865">
            <v>0</v>
          </cell>
        </row>
        <row r="866">
          <cell r="C866" t="str">
            <v/>
          </cell>
          <cell r="D866" t="str">
            <v/>
          </cell>
          <cell r="O866" t="str">
            <v/>
          </cell>
          <cell r="T866" t="str">
            <v/>
          </cell>
          <cell r="U866" t="str">
            <v/>
          </cell>
          <cell r="V866" t="str">
            <v/>
          </cell>
          <cell r="W866" t="str">
            <v/>
          </cell>
          <cell r="Y866" t="str">
            <v/>
          </cell>
          <cell r="AA866" t="str">
            <v/>
          </cell>
          <cell r="AB866">
            <v>0</v>
          </cell>
          <cell r="AC866">
            <v>0</v>
          </cell>
          <cell r="AI866" t="str">
            <v/>
          </cell>
          <cell r="AJ866" t="str">
            <v/>
          </cell>
          <cell r="AK866">
            <v>0</v>
          </cell>
          <cell r="AL866">
            <v>0</v>
          </cell>
          <cell r="AM866">
            <v>0</v>
          </cell>
        </row>
        <row r="867">
          <cell r="C867" t="str">
            <v/>
          </cell>
          <cell r="D867" t="str">
            <v/>
          </cell>
          <cell r="O867" t="str">
            <v/>
          </cell>
          <cell r="T867" t="str">
            <v/>
          </cell>
          <cell r="U867" t="str">
            <v/>
          </cell>
          <cell r="V867" t="str">
            <v/>
          </cell>
          <cell r="W867" t="str">
            <v/>
          </cell>
          <cell r="Y867" t="str">
            <v/>
          </cell>
          <cell r="AA867" t="str">
            <v/>
          </cell>
          <cell r="AB867">
            <v>0</v>
          </cell>
          <cell r="AC867">
            <v>0</v>
          </cell>
          <cell r="AI867" t="str">
            <v/>
          </cell>
          <cell r="AJ867" t="str">
            <v/>
          </cell>
          <cell r="AK867">
            <v>0</v>
          </cell>
          <cell r="AL867">
            <v>0</v>
          </cell>
          <cell r="AM867">
            <v>0</v>
          </cell>
        </row>
        <row r="868">
          <cell r="C868" t="str">
            <v/>
          </cell>
          <cell r="D868" t="str">
            <v/>
          </cell>
          <cell r="O868" t="str">
            <v/>
          </cell>
          <cell r="T868" t="str">
            <v/>
          </cell>
          <cell r="U868" t="str">
            <v/>
          </cell>
          <cell r="V868" t="str">
            <v/>
          </cell>
          <cell r="W868" t="str">
            <v/>
          </cell>
          <cell r="Y868" t="str">
            <v/>
          </cell>
          <cell r="AA868" t="str">
            <v/>
          </cell>
          <cell r="AB868">
            <v>0</v>
          </cell>
          <cell r="AC868">
            <v>0</v>
          </cell>
          <cell r="AI868" t="str">
            <v/>
          </cell>
          <cell r="AJ868" t="str">
            <v/>
          </cell>
          <cell r="AK868">
            <v>0</v>
          </cell>
          <cell r="AL868">
            <v>0</v>
          </cell>
          <cell r="AM868">
            <v>0</v>
          </cell>
        </row>
        <row r="869">
          <cell r="C869" t="str">
            <v/>
          </cell>
          <cell r="D869" t="str">
            <v/>
          </cell>
          <cell r="O869" t="str">
            <v/>
          </cell>
          <cell r="T869" t="str">
            <v/>
          </cell>
          <cell r="U869" t="str">
            <v/>
          </cell>
          <cell r="V869" t="str">
            <v/>
          </cell>
          <cell r="W869" t="str">
            <v/>
          </cell>
          <cell r="Y869" t="str">
            <v/>
          </cell>
          <cell r="AA869" t="str">
            <v/>
          </cell>
          <cell r="AB869">
            <v>0</v>
          </cell>
          <cell r="AC869">
            <v>0</v>
          </cell>
          <cell r="AI869" t="str">
            <v/>
          </cell>
          <cell r="AJ869" t="str">
            <v/>
          </cell>
          <cell r="AK869">
            <v>0</v>
          </cell>
          <cell r="AL869">
            <v>0</v>
          </cell>
          <cell r="AM869">
            <v>0</v>
          </cell>
        </row>
        <row r="870">
          <cell r="C870" t="str">
            <v/>
          </cell>
          <cell r="D870" t="str">
            <v/>
          </cell>
          <cell r="O870" t="str">
            <v/>
          </cell>
          <cell r="T870" t="str">
            <v/>
          </cell>
          <cell r="U870" t="str">
            <v/>
          </cell>
          <cell r="V870" t="str">
            <v/>
          </cell>
          <cell r="W870" t="str">
            <v/>
          </cell>
          <cell r="Y870" t="str">
            <v/>
          </cell>
          <cell r="AA870" t="str">
            <v/>
          </cell>
          <cell r="AB870">
            <v>0</v>
          </cell>
          <cell r="AC870">
            <v>0</v>
          </cell>
          <cell r="AI870" t="str">
            <v/>
          </cell>
          <cell r="AJ870" t="str">
            <v/>
          </cell>
          <cell r="AK870">
            <v>0</v>
          </cell>
          <cell r="AL870">
            <v>0</v>
          </cell>
          <cell r="AM870">
            <v>0</v>
          </cell>
        </row>
        <row r="871">
          <cell r="C871" t="str">
            <v/>
          </cell>
          <cell r="D871" t="str">
            <v/>
          </cell>
          <cell r="O871" t="str">
            <v/>
          </cell>
          <cell r="T871" t="str">
            <v/>
          </cell>
          <cell r="U871" t="str">
            <v/>
          </cell>
          <cell r="V871" t="str">
            <v/>
          </cell>
          <cell r="W871" t="str">
            <v/>
          </cell>
          <cell r="Y871" t="str">
            <v/>
          </cell>
          <cell r="AA871" t="str">
            <v/>
          </cell>
          <cell r="AB871">
            <v>0</v>
          </cell>
          <cell r="AC871">
            <v>0</v>
          </cell>
          <cell r="AI871" t="str">
            <v/>
          </cell>
          <cell r="AJ871" t="str">
            <v/>
          </cell>
          <cell r="AK871">
            <v>0</v>
          </cell>
          <cell r="AL871">
            <v>0</v>
          </cell>
          <cell r="AM871">
            <v>0</v>
          </cell>
        </row>
        <row r="872">
          <cell r="C872" t="str">
            <v/>
          </cell>
          <cell r="D872" t="str">
            <v/>
          </cell>
          <cell r="O872" t="str">
            <v/>
          </cell>
          <cell r="T872" t="str">
            <v/>
          </cell>
          <cell r="U872" t="str">
            <v/>
          </cell>
          <cell r="V872" t="str">
            <v/>
          </cell>
          <cell r="W872" t="str">
            <v/>
          </cell>
          <cell r="Y872" t="str">
            <v/>
          </cell>
          <cell r="AA872" t="str">
            <v/>
          </cell>
          <cell r="AB872">
            <v>0</v>
          </cell>
          <cell r="AC872">
            <v>0</v>
          </cell>
          <cell r="AI872" t="str">
            <v/>
          </cell>
          <cell r="AJ872" t="str">
            <v/>
          </cell>
          <cell r="AK872">
            <v>0</v>
          </cell>
          <cell r="AL872">
            <v>0</v>
          </cell>
          <cell r="AM872">
            <v>0</v>
          </cell>
        </row>
        <row r="873">
          <cell r="C873" t="str">
            <v/>
          </cell>
          <cell r="D873" t="str">
            <v/>
          </cell>
          <cell r="O873" t="str">
            <v/>
          </cell>
          <cell r="T873" t="str">
            <v/>
          </cell>
          <cell r="U873" t="str">
            <v/>
          </cell>
          <cell r="V873" t="str">
            <v/>
          </cell>
          <cell r="W873" t="str">
            <v/>
          </cell>
          <cell r="Y873" t="str">
            <v/>
          </cell>
          <cell r="AA873" t="str">
            <v/>
          </cell>
          <cell r="AB873">
            <v>0</v>
          </cell>
          <cell r="AC873">
            <v>0</v>
          </cell>
          <cell r="AI873" t="str">
            <v/>
          </cell>
          <cell r="AJ873" t="str">
            <v/>
          </cell>
          <cell r="AK873">
            <v>0</v>
          </cell>
          <cell r="AL873">
            <v>0</v>
          </cell>
          <cell r="AM873">
            <v>0</v>
          </cell>
        </row>
        <row r="874">
          <cell r="C874" t="str">
            <v/>
          </cell>
          <cell r="D874" t="str">
            <v/>
          </cell>
          <cell r="O874" t="str">
            <v/>
          </cell>
          <cell r="T874" t="str">
            <v/>
          </cell>
          <cell r="U874" t="str">
            <v/>
          </cell>
          <cell r="V874" t="str">
            <v/>
          </cell>
          <cell r="W874" t="str">
            <v/>
          </cell>
          <cell r="Y874" t="str">
            <v/>
          </cell>
          <cell r="AA874" t="str">
            <v/>
          </cell>
          <cell r="AB874">
            <v>0</v>
          </cell>
          <cell r="AC874">
            <v>0</v>
          </cell>
          <cell r="AI874" t="str">
            <v/>
          </cell>
          <cell r="AJ874" t="str">
            <v/>
          </cell>
          <cell r="AK874">
            <v>0</v>
          </cell>
          <cell r="AL874">
            <v>0</v>
          </cell>
          <cell r="AM874">
            <v>0</v>
          </cell>
        </row>
        <row r="875">
          <cell r="C875" t="str">
            <v/>
          </cell>
          <cell r="D875" t="str">
            <v/>
          </cell>
          <cell r="O875" t="str">
            <v/>
          </cell>
          <cell r="T875" t="str">
            <v/>
          </cell>
          <cell r="U875" t="str">
            <v/>
          </cell>
          <cell r="V875" t="str">
            <v/>
          </cell>
          <cell r="W875" t="str">
            <v/>
          </cell>
          <cell r="Y875" t="str">
            <v/>
          </cell>
          <cell r="AA875" t="str">
            <v/>
          </cell>
          <cell r="AB875">
            <v>0</v>
          </cell>
          <cell r="AC875">
            <v>0</v>
          </cell>
          <cell r="AI875" t="str">
            <v/>
          </cell>
          <cell r="AJ875" t="str">
            <v/>
          </cell>
          <cell r="AK875">
            <v>0</v>
          </cell>
          <cell r="AL875">
            <v>0</v>
          </cell>
          <cell r="AM875">
            <v>0</v>
          </cell>
        </row>
        <row r="876">
          <cell r="C876" t="str">
            <v/>
          </cell>
          <cell r="D876" t="str">
            <v/>
          </cell>
          <cell r="O876" t="str">
            <v/>
          </cell>
          <cell r="T876" t="str">
            <v/>
          </cell>
          <cell r="U876" t="str">
            <v/>
          </cell>
          <cell r="V876" t="str">
            <v/>
          </cell>
          <cell r="W876" t="str">
            <v/>
          </cell>
          <cell r="Y876" t="str">
            <v/>
          </cell>
          <cell r="AA876" t="str">
            <v/>
          </cell>
          <cell r="AB876">
            <v>0</v>
          </cell>
          <cell r="AC876">
            <v>0</v>
          </cell>
          <cell r="AI876" t="str">
            <v/>
          </cell>
          <cell r="AJ876" t="str">
            <v/>
          </cell>
          <cell r="AK876">
            <v>0</v>
          </cell>
          <cell r="AL876">
            <v>0</v>
          </cell>
          <cell r="AM876">
            <v>0</v>
          </cell>
        </row>
        <row r="877">
          <cell r="C877" t="str">
            <v/>
          </cell>
          <cell r="D877" t="str">
            <v/>
          </cell>
          <cell r="O877" t="str">
            <v/>
          </cell>
          <cell r="T877" t="str">
            <v/>
          </cell>
          <cell r="U877" t="str">
            <v/>
          </cell>
          <cell r="V877" t="str">
            <v/>
          </cell>
          <cell r="W877" t="str">
            <v/>
          </cell>
          <cell r="Y877" t="str">
            <v/>
          </cell>
          <cell r="AA877" t="str">
            <v/>
          </cell>
          <cell r="AB877">
            <v>0</v>
          </cell>
          <cell r="AC877">
            <v>0</v>
          </cell>
          <cell r="AI877" t="str">
            <v/>
          </cell>
          <cell r="AJ877" t="str">
            <v/>
          </cell>
          <cell r="AK877">
            <v>0</v>
          </cell>
          <cell r="AL877">
            <v>0</v>
          </cell>
          <cell r="AM877">
            <v>0</v>
          </cell>
        </row>
        <row r="878">
          <cell r="C878" t="str">
            <v/>
          </cell>
          <cell r="D878" t="str">
            <v/>
          </cell>
          <cell r="O878" t="str">
            <v/>
          </cell>
          <cell r="T878" t="str">
            <v/>
          </cell>
          <cell r="U878" t="str">
            <v/>
          </cell>
          <cell r="V878" t="str">
            <v/>
          </cell>
          <cell r="W878" t="str">
            <v/>
          </cell>
          <cell r="Y878" t="str">
            <v/>
          </cell>
          <cell r="AA878" t="str">
            <v/>
          </cell>
          <cell r="AB878">
            <v>0</v>
          </cell>
          <cell r="AC878">
            <v>0</v>
          </cell>
          <cell r="AI878" t="str">
            <v/>
          </cell>
          <cell r="AJ878" t="str">
            <v/>
          </cell>
          <cell r="AK878">
            <v>0</v>
          </cell>
          <cell r="AL878">
            <v>0</v>
          </cell>
          <cell r="AM878">
            <v>0</v>
          </cell>
        </row>
        <row r="879">
          <cell r="C879" t="str">
            <v/>
          </cell>
          <cell r="D879" t="str">
            <v/>
          </cell>
          <cell r="O879" t="str">
            <v/>
          </cell>
          <cell r="T879" t="str">
            <v/>
          </cell>
          <cell r="U879" t="str">
            <v/>
          </cell>
          <cell r="V879" t="str">
            <v/>
          </cell>
          <cell r="W879" t="str">
            <v/>
          </cell>
          <cell r="Y879" t="str">
            <v/>
          </cell>
          <cell r="AA879" t="str">
            <v/>
          </cell>
          <cell r="AB879">
            <v>0</v>
          </cell>
          <cell r="AC879">
            <v>0</v>
          </cell>
          <cell r="AI879" t="str">
            <v/>
          </cell>
          <cell r="AJ879" t="str">
            <v/>
          </cell>
          <cell r="AK879">
            <v>0</v>
          </cell>
          <cell r="AL879">
            <v>0</v>
          </cell>
          <cell r="AM879">
            <v>0</v>
          </cell>
        </row>
        <row r="880">
          <cell r="C880" t="str">
            <v/>
          </cell>
          <cell r="D880" t="str">
            <v/>
          </cell>
          <cell r="O880" t="str">
            <v/>
          </cell>
          <cell r="T880" t="str">
            <v/>
          </cell>
          <cell r="U880" t="str">
            <v/>
          </cell>
          <cell r="V880" t="str">
            <v/>
          </cell>
          <cell r="W880" t="str">
            <v/>
          </cell>
          <cell r="Y880" t="str">
            <v/>
          </cell>
          <cell r="AA880" t="str">
            <v/>
          </cell>
          <cell r="AB880">
            <v>0</v>
          </cell>
          <cell r="AC880">
            <v>0</v>
          </cell>
          <cell r="AI880" t="str">
            <v/>
          </cell>
          <cell r="AJ880" t="str">
            <v/>
          </cell>
          <cell r="AK880">
            <v>0</v>
          </cell>
          <cell r="AL880">
            <v>0</v>
          </cell>
          <cell r="AM880">
            <v>0</v>
          </cell>
        </row>
        <row r="881">
          <cell r="C881" t="str">
            <v/>
          </cell>
          <cell r="D881" t="str">
            <v/>
          </cell>
          <cell r="O881" t="str">
            <v/>
          </cell>
          <cell r="T881" t="str">
            <v/>
          </cell>
          <cell r="U881" t="str">
            <v/>
          </cell>
          <cell r="V881" t="str">
            <v/>
          </cell>
          <cell r="W881" t="str">
            <v/>
          </cell>
          <cell r="Y881" t="str">
            <v/>
          </cell>
          <cell r="AA881" t="str">
            <v/>
          </cell>
          <cell r="AB881">
            <v>0</v>
          </cell>
          <cell r="AC881">
            <v>0</v>
          </cell>
          <cell r="AI881" t="str">
            <v/>
          </cell>
          <cell r="AJ881" t="str">
            <v/>
          </cell>
          <cell r="AK881">
            <v>0</v>
          </cell>
          <cell r="AL881">
            <v>0</v>
          </cell>
          <cell r="AM881">
            <v>0</v>
          </cell>
        </row>
        <row r="882">
          <cell r="C882" t="str">
            <v/>
          </cell>
          <cell r="D882" t="str">
            <v/>
          </cell>
          <cell r="O882" t="str">
            <v/>
          </cell>
          <cell r="T882" t="str">
            <v/>
          </cell>
          <cell r="U882" t="str">
            <v/>
          </cell>
          <cell r="V882" t="str">
            <v/>
          </cell>
          <cell r="W882" t="str">
            <v/>
          </cell>
          <cell r="Y882" t="str">
            <v/>
          </cell>
          <cell r="AA882" t="str">
            <v/>
          </cell>
          <cell r="AB882">
            <v>0</v>
          </cell>
          <cell r="AC882">
            <v>0</v>
          </cell>
          <cell r="AI882" t="str">
            <v/>
          </cell>
          <cell r="AJ882" t="str">
            <v/>
          </cell>
          <cell r="AK882">
            <v>0</v>
          </cell>
          <cell r="AL882">
            <v>0</v>
          </cell>
          <cell r="AM882">
            <v>0</v>
          </cell>
        </row>
        <row r="883">
          <cell r="C883" t="str">
            <v/>
          </cell>
          <cell r="D883" t="str">
            <v/>
          </cell>
          <cell r="O883" t="str">
            <v/>
          </cell>
          <cell r="T883" t="str">
            <v/>
          </cell>
          <cell r="U883" t="str">
            <v/>
          </cell>
          <cell r="V883" t="str">
            <v/>
          </cell>
          <cell r="W883" t="str">
            <v/>
          </cell>
          <cell r="Y883" t="str">
            <v/>
          </cell>
          <cell r="AA883" t="str">
            <v/>
          </cell>
          <cell r="AB883">
            <v>0</v>
          </cell>
          <cell r="AC883">
            <v>0</v>
          </cell>
          <cell r="AI883" t="str">
            <v/>
          </cell>
          <cell r="AJ883" t="str">
            <v/>
          </cell>
          <cell r="AK883">
            <v>0</v>
          </cell>
          <cell r="AL883">
            <v>0</v>
          </cell>
          <cell r="AM883">
            <v>0</v>
          </cell>
        </row>
        <row r="884">
          <cell r="C884" t="str">
            <v/>
          </cell>
          <cell r="D884" t="str">
            <v/>
          </cell>
          <cell r="O884" t="str">
            <v/>
          </cell>
          <cell r="T884" t="str">
            <v/>
          </cell>
          <cell r="U884" t="str">
            <v/>
          </cell>
          <cell r="V884" t="str">
            <v/>
          </cell>
          <cell r="W884" t="str">
            <v/>
          </cell>
          <cell r="Y884" t="str">
            <v/>
          </cell>
          <cell r="AA884" t="str">
            <v/>
          </cell>
          <cell r="AB884">
            <v>0</v>
          </cell>
          <cell r="AC884">
            <v>0</v>
          </cell>
          <cell r="AI884" t="str">
            <v/>
          </cell>
          <cell r="AJ884" t="str">
            <v/>
          </cell>
          <cell r="AK884">
            <v>0</v>
          </cell>
          <cell r="AL884">
            <v>0</v>
          </cell>
          <cell r="AM884">
            <v>0</v>
          </cell>
        </row>
        <row r="885">
          <cell r="C885" t="str">
            <v/>
          </cell>
          <cell r="D885" t="str">
            <v/>
          </cell>
          <cell r="O885" t="str">
            <v/>
          </cell>
          <cell r="T885" t="str">
            <v/>
          </cell>
          <cell r="U885" t="str">
            <v/>
          </cell>
          <cell r="V885" t="str">
            <v/>
          </cell>
          <cell r="W885" t="str">
            <v/>
          </cell>
          <cell r="Y885" t="str">
            <v/>
          </cell>
          <cell r="AA885" t="str">
            <v/>
          </cell>
          <cell r="AB885">
            <v>0</v>
          </cell>
          <cell r="AC885">
            <v>0</v>
          </cell>
          <cell r="AI885" t="str">
            <v/>
          </cell>
          <cell r="AJ885" t="str">
            <v/>
          </cell>
          <cell r="AK885">
            <v>0</v>
          </cell>
          <cell r="AL885">
            <v>0</v>
          </cell>
          <cell r="AM885">
            <v>0</v>
          </cell>
        </row>
        <row r="886">
          <cell r="C886" t="str">
            <v/>
          </cell>
          <cell r="D886" t="str">
            <v/>
          </cell>
          <cell r="O886" t="str">
            <v/>
          </cell>
          <cell r="T886" t="str">
            <v/>
          </cell>
          <cell r="U886" t="str">
            <v/>
          </cell>
          <cell r="V886" t="str">
            <v/>
          </cell>
          <cell r="W886" t="str">
            <v/>
          </cell>
          <cell r="Y886" t="str">
            <v/>
          </cell>
          <cell r="AA886" t="str">
            <v/>
          </cell>
          <cell r="AB886">
            <v>0</v>
          </cell>
          <cell r="AC886">
            <v>0</v>
          </cell>
          <cell r="AI886" t="str">
            <v/>
          </cell>
          <cell r="AJ886" t="str">
            <v/>
          </cell>
          <cell r="AK886">
            <v>0</v>
          </cell>
          <cell r="AL886">
            <v>0</v>
          </cell>
          <cell r="AM886">
            <v>0</v>
          </cell>
        </row>
        <row r="887">
          <cell r="C887" t="str">
            <v/>
          </cell>
          <cell r="D887" t="str">
            <v/>
          </cell>
          <cell r="O887" t="str">
            <v/>
          </cell>
          <cell r="T887" t="str">
            <v/>
          </cell>
          <cell r="U887" t="str">
            <v/>
          </cell>
          <cell r="V887" t="str">
            <v/>
          </cell>
          <cell r="W887" t="str">
            <v/>
          </cell>
          <cell r="Y887" t="str">
            <v/>
          </cell>
          <cell r="AA887" t="str">
            <v/>
          </cell>
          <cell r="AB887">
            <v>0</v>
          </cell>
          <cell r="AC887">
            <v>0</v>
          </cell>
          <cell r="AI887" t="str">
            <v/>
          </cell>
          <cell r="AJ887" t="str">
            <v/>
          </cell>
          <cell r="AK887">
            <v>0</v>
          </cell>
          <cell r="AL887">
            <v>0</v>
          </cell>
          <cell r="AM887">
            <v>0</v>
          </cell>
        </row>
        <row r="888">
          <cell r="C888" t="str">
            <v/>
          </cell>
          <cell r="D888" t="str">
            <v/>
          </cell>
          <cell r="O888" t="str">
            <v/>
          </cell>
          <cell r="T888" t="str">
            <v/>
          </cell>
          <cell r="U888" t="str">
            <v/>
          </cell>
          <cell r="V888" t="str">
            <v/>
          </cell>
          <cell r="W888" t="str">
            <v/>
          </cell>
          <cell r="Y888" t="str">
            <v/>
          </cell>
          <cell r="AA888" t="str">
            <v/>
          </cell>
          <cell r="AB888">
            <v>0</v>
          </cell>
          <cell r="AC888">
            <v>0</v>
          </cell>
          <cell r="AI888" t="str">
            <v/>
          </cell>
          <cell r="AJ888" t="str">
            <v/>
          </cell>
          <cell r="AK888">
            <v>0</v>
          </cell>
          <cell r="AL888">
            <v>0</v>
          </cell>
          <cell r="AM888">
            <v>0</v>
          </cell>
        </row>
        <row r="889">
          <cell r="C889" t="str">
            <v/>
          </cell>
          <cell r="D889" t="str">
            <v/>
          </cell>
          <cell r="O889" t="str">
            <v/>
          </cell>
          <cell r="T889" t="str">
            <v/>
          </cell>
          <cell r="U889" t="str">
            <v/>
          </cell>
          <cell r="V889" t="str">
            <v/>
          </cell>
          <cell r="W889" t="str">
            <v/>
          </cell>
          <cell r="Y889" t="str">
            <v/>
          </cell>
          <cell r="AA889" t="str">
            <v/>
          </cell>
          <cell r="AB889">
            <v>0</v>
          </cell>
          <cell r="AC889">
            <v>0</v>
          </cell>
          <cell r="AI889" t="str">
            <v/>
          </cell>
          <cell r="AJ889" t="str">
            <v/>
          </cell>
          <cell r="AK889">
            <v>0</v>
          </cell>
          <cell r="AL889">
            <v>0</v>
          </cell>
          <cell r="AM889">
            <v>0</v>
          </cell>
        </row>
        <row r="890">
          <cell r="C890" t="str">
            <v/>
          </cell>
          <cell r="D890" t="str">
            <v/>
          </cell>
          <cell r="O890" t="str">
            <v/>
          </cell>
          <cell r="T890" t="str">
            <v/>
          </cell>
          <cell r="U890" t="str">
            <v/>
          </cell>
          <cell r="V890" t="str">
            <v/>
          </cell>
          <cell r="W890" t="str">
            <v/>
          </cell>
          <cell r="Y890" t="str">
            <v/>
          </cell>
          <cell r="AA890" t="str">
            <v/>
          </cell>
          <cell r="AB890">
            <v>0</v>
          </cell>
          <cell r="AC890">
            <v>0</v>
          </cell>
          <cell r="AI890" t="str">
            <v/>
          </cell>
          <cell r="AJ890" t="str">
            <v/>
          </cell>
          <cell r="AK890">
            <v>0</v>
          </cell>
          <cell r="AL890">
            <v>0</v>
          </cell>
          <cell r="AM890">
            <v>0</v>
          </cell>
        </row>
        <row r="891">
          <cell r="C891" t="str">
            <v/>
          </cell>
          <cell r="D891" t="str">
            <v/>
          </cell>
          <cell r="O891" t="str">
            <v/>
          </cell>
          <cell r="T891" t="str">
            <v/>
          </cell>
          <cell r="U891" t="str">
            <v/>
          </cell>
          <cell r="V891" t="str">
            <v/>
          </cell>
          <cell r="W891" t="str">
            <v/>
          </cell>
          <cell r="Y891" t="str">
            <v/>
          </cell>
          <cell r="AA891" t="str">
            <v/>
          </cell>
          <cell r="AB891">
            <v>0</v>
          </cell>
          <cell r="AC891">
            <v>0</v>
          </cell>
          <cell r="AI891" t="str">
            <v/>
          </cell>
          <cell r="AJ891" t="str">
            <v/>
          </cell>
          <cell r="AK891">
            <v>0</v>
          </cell>
          <cell r="AL891">
            <v>0</v>
          </cell>
          <cell r="AM891">
            <v>0</v>
          </cell>
        </row>
        <row r="892">
          <cell r="C892" t="str">
            <v/>
          </cell>
          <cell r="D892" t="str">
            <v/>
          </cell>
          <cell r="O892" t="str">
            <v/>
          </cell>
          <cell r="T892" t="str">
            <v/>
          </cell>
          <cell r="U892" t="str">
            <v/>
          </cell>
          <cell r="V892" t="str">
            <v/>
          </cell>
          <cell r="W892" t="str">
            <v/>
          </cell>
          <cell r="Y892" t="str">
            <v/>
          </cell>
          <cell r="AA892" t="str">
            <v/>
          </cell>
          <cell r="AB892">
            <v>0</v>
          </cell>
          <cell r="AC892">
            <v>0</v>
          </cell>
          <cell r="AI892" t="str">
            <v/>
          </cell>
          <cell r="AJ892" t="str">
            <v/>
          </cell>
          <cell r="AK892">
            <v>0</v>
          </cell>
          <cell r="AL892">
            <v>0</v>
          </cell>
          <cell r="AM892">
            <v>0</v>
          </cell>
        </row>
        <row r="893">
          <cell r="C893" t="str">
            <v/>
          </cell>
          <cell r="D893" t="str">
            <v/>
          </cell>
          <cell r="O893" t="str">
            <v/>
          </cell>
          <cell r="T893" t="str">
            <v/>
          </cell>
          <cell r="U893" t="str">
            <v/>
          </cell>
          <cell r="V893" t="str">
            <v/>
          </cell>
          <cell r="W893" t="str">
            <v/>
          </cell>
          <cell r="Y893" t="str">
            <v/>
          </cell>
          <cell r="AA893" t="str">
            <v/>
          </cell>
          <cell r="AB893">
            <v>0</v>
          </cell>
          <cell r="AC893">
            <v>0</v>
          </cell>
          <cell r="AI893" t="str">
            <v/>
          </cell>
          <cell r="AJ893" t="str">
            <v/>
          </cell>
          <cell r="AK893">
            <v>0</v>
          </cell>
          <cell r="AL893">
            <v>0</v>
          </cell>
          <cell r="AM893">
            <v>0</v>
          </cell>
        </row>
        <row r="894">
          <cell r="C894" t="str">
            <v/>
          </cell>
          <cell r="D894" t="str">
            <v/>
          </cell>
          <cell r="O894" t="str">
            <v/>
          </cell>
          <cell r="T894" t="str">
            <v/>
          </cell>
          <cell r="U894" t="str">
            <v/>
          </cell>
          <cell r="V894" t="str">
            <v/>
          </cell>
          <cell r="W894" t="str">
            <v/>
          </cell>
          <cell r="Y894" t="str">
            <v/>
          </cell>
          <cell r="AA894" t="str">
            <v/>
          </cell>
          <cell r="AB894">
            <v>0</v>
          </cell>
          <cell r="AC894">
            <v>0</v>
          </cell>
          <cell r="AI894" t="str">
            <v/>
          </cell>
          <cell r="AJ894" t="str">
            <v/>
          </cell>
          <cell r="AK894">
            <v>0</v>
          </cell>
          <cell r="AL894">
            <v>0</v>
          </cell>
          <cell r="AM894">
            <v>0</v>
          </cell>
        </row>
        <row r="895">
          <cell r="C895" t="str">
            <v/>
          </cell>
          <cell r="D895" t="str">
            <v/>
          </cell>
          <cell r="O895" t="str">
            <v/>
          </cell>
          <cell r="T895" t="str">
            <v/>
          </cell>
          <cell r="U895" t="str">
            <v/>
          </cell>
          <cell r="V895" t="str">
            <v/>
          </cell>
          <cell r="W895" t="str">
            <v/>
          </cell>
          <cell r="Y895" t="str">
            <v/>
          </cell>
          <cell r="AA895" t="str">
            <v/>
          </cell>
          <cell r="AB895">
            <v>0</v>
          </cell>
          <cell r="AC895">
            <v>0</v>
          </cell>
          <cell r="AI895" t="str">
            <v/>
          </cell>
          <cell r="AJ895" t="str">
            <v/>
          </cell>
          <cell r="AK895">
            <v>0</v>
          </cell>
          <cell r="AL895">
            <v>0</v>
          </cell>
          <cell r="AM895">
            <v>0</v>
          </cell>
        </row>
        <row r="896">
          <cell r="C896" t="str">
            <v/>
          </cell>
          <cell r="D896" t="str">
            <v/>
          </cell>
          <cell r="O896" t="str">
            <v/>
          </cell>
          <cell r="T896" t="str">
            <v/>
          </cell>
          <cell r="U896" t="str">
            <v/>
          </cell>
          <cell r="V896" t="str">
            <v/>
          </cell>
          <cell r="W896" t="str">
            <v/>
          </cell>
          <cell r="Y896" t="str">
            <v/>
          </cell>
          <cell r="AA896" t="str">
            <v/>
          </cell>
          <cell r="AB896">
            <v>0</v>
          </cell>
          <cell r="AC896">
            <v>0</v>
          </cell>
          <cell r="AI896" t="str">
            <v/>
          </cell>
          <cell r="AJ896" t="str">
            <v/>
          </cell>
          <cell r="AK896">
            <v>0</v>
          </cell>
          <cell r="AL896">
            <v>0</v>
          </cell>
          <cell r="AM896">
            <v>0</v>
          </cell>
        </row>
        <row r="897">
          <cell r="C897" t="str">
            <v/>
          </cell>
          <cell r="D897" t="str">
            <v/>
          </cell>
          <cell r="O897" t="str">
            <v/>
          </cell>
          <cell r="T897" t="str">
            <v/>
          </cell>
          <cell r="U897" t="str">
            <v/>
          </cell>
          <cell r="V897" t="str">
            <v/>
          </cell>
          <cell r="W897" t="str">
            <v/>
          </cell>
          <cell r="Y897" t="str">
            <v/>
          </cell>
          <cell r="AA897" t="str">
            <v/>
          </cell>
          <cell r="AB897">
            <v>0</v>
          </cell>
          <cell r="AC897">
            <v>0</v>
          </cell>
          <cell r="AI897" t="str">
            <v/>
          </cell>
          <cell r="AJ897" t="str">
            <v/>
          </cell>
          <cell r="AK897">
            <v>0</v>
          </cell>
          <cell r="AL897">
            <v>0</v>
          </cell>
          <cell r="AM897">
            <v>0</v>
          </cell>
        </row>
        <row r="898">
          <cell r="C898" t="str">
            <v/>
          </cell>
          <cell r="D898" t="str">
            <v/>
          </cell>
          <cell r="O898" t="str">
            <v/>
          </cell>
          <cell r="T898" t="str">
            <v/>
          </cell>
          <cell r="U898" t="str">
            <v/>
          </cell>
          <cell r="V898" t="str">
            <v/>
          </cell>
          <cell r="W898" t="str">
            <v/>
          </cell>
          <cell r="Y898" t="str">
            <v/>
          </cell>
          <cell r="AA898" t="str">
            <v/>
          </cell>
          <cell r="AB898">
            <v>0</v>
          </cell>
          <cell r="AC898">
            <v>0</v>
          </cell>
          <cell r="AI898" t="str">
            <v/>
          </cell>
          <cell r="AJ898" t="str">
            <v/>
          </cell>
          <cell r="AK898">
            <v>0</v>
          </cell>
          <cell r="AL898">
            <v>0</v>
          </cell>
          <cell r="AM898">
            <v>0</v>
          </cell>
        </row>
        <row r="899">
          <cell r="C899" t="str">
            <v/>
          </cell>
          <cell r="D899" t="str">
            <v/>
          </cell>
          <cell r="O899" t="str">
            <v/>
          </cell>
          <cell r="T899" t="str">
            <v/>
          </cell>
          <cell r="U899" t="str">
            <v/>
          </cell>
          <cell r="V899" t="str">
            <v/>
          </cell>
          <cell r="W899" t="str">
            <v/>
          </cell>
          <cell r="Y899" t="str">
            <v/>
          </cell>
          <cell r="AA899" t="str">
            <v/>
          </cell>
          <cell r="AB899">
            <v>0</v>
          </cell>
          <cell r="AC899">
            <v>0</v>
          </cell>
          <cell r="AI899" t="str">
            <v/>
          </cell>
          <cell r="AJ899" t="str">
            <v/>
          </cell>
          <cell r="AK899">
            <v>0</v>
          </cell>
          <cell r="AL899">
            <v>0</v>
          </cell>
          <cell r="AM899">
            <v>0</v>
          </cell>
        </row>
        <row r="900">
          <cell r="C900" t="str">
            <v/>
          </cell>
          <cell r="D900" t="str">
            <v/>
          </cell>
          <cell r="O900" t="str">
            <v/>
          </cell>
          <cell r="T900" t="str">
            <v/>
          </cell>
          <cell r="U900" t="str">
            <v/>
          </cell>
          <cell r="V900" t="str">
            <v/>
          </cell>
          <cell r="W900" t="str">
            <v/>
          </cell>
          <cell r="Y900" t="str">
            <v/>
          </cell>
          <cell r="AA900" t="str">
            <v/>
          </cell>
          <cell r="AB900">
            <v>0</v>
          </cell>
          <cell r="AC900">
            <v>0</v>
          </cell>
          <cell r="AI900" t="str">
            <v/>
          </cell>
          <cell r="AJ900" t="str">
            <v/>
          </cell>
          <cell r="AK900">
            <v>0</v>
          </cell>
          <cell r="AL900">
            <v>0</v>
          </cell>
          <cell r="AM900">
            <v>0</v>
          </cell>
        </row>
        <row r="901">
          <cell r="C901" t="str">
            <v/>
          </cell>
          <cell r="D901" t="str">
            <v/>
          </cell>
          <cell r="O901" t="str">
            <v/>
          </cell>
          <cell r="T901" t="str">
            <v/>
          </cell>
          <cell r="U901" t="str">
            <v/>
          </cell>
          <cell r="V901" t="str">
            <v/>
          </cell>
          <cell r="W901" t="str">
            <v/>
          </cell>
          <cell r="Y901" t="str">
            <v/>
          </cell>
          <cell r="AA901" t="str">
            <v/>
          </cell>
          <cell r="AB901">
            <v>0</v>
          </cell>
          <cell r="AC901">
            <v>0</v>
          </cell>
          <cell r="AI901" t="str">
            <v/>
          </cell>
          <cell r="AJ901" t="str">
            <v/>
          </cell>
          <cell r="AK901">
            <v>0</v>
          </cell>
          <cell r="AL901">
            <v>0</v>
          </cell>
          <cell r="AM901">
            <v>0</v>
          </cell>
        </row>
        <row r="902">
          <cell r="C902" t="str">
            <v/>
          </cell>
          <cell r="D902" t="str">
            <v/>
          </cell>
          <cell r="O902" t="str">
            <v/>
          </cell>
          <cell r="T902" t="str">
            <v/>
          </cell>
          <cell r="U902" t="str">
            <v/>
          </cell>
          <cell r="V902" t="str">
            <v/>
          </cell>
          <cell r="W902" t="str">
            <v/>
          </cell>
          <cell r="Y902" t="str">
            <v/>
          </cell>
          <cell r="AA902" t="str">
            <v/>
          </cell>
          <cell r="AB902">
            <v>0</v>
          </cell>
          <cell r="AC902">
            <v>0</v>
          </cell>
          <cell r="AI902" t="str">
            <v/>
          </cell>
          <cell r="AJ902" t="str">
            <v/>
          </cell>
          <cell r="AK902">
            <v>0</v>
          </cell>
          <cell r="AL902">
            <v>0</v>
          </cell>
          <cell r="AM902">
            <v>0</v>
          </cell>
        </row>
        <row r="903">
          <cell r="C903" t="str">
            <v/>
          </cell>
          <cell r="D903" t="str">
            <v/>
          </cell>
          <cell r="O903" t="str">
            <v/>
          </cell>
          <cell r="T903" t="str">
            <v/>
          </cell>
          <cell r="U903" t="str">
            <v/>
          </cell>
          <cell r="V903" t="str">
            <v/>
          </cell>
          <cell r="W903" t="str">
            <v/>
          </cell>
          <cell r="Y903" t="str">
            <v/>
          </cell>
          <cell r="AA903" t="str">
            <v/>
          </cell>
          <cell r="AB903">
            <v>0</v>
          </cell>
          <cell r="AC903">
            <v>0</v>
          </cell>
          <cell r="AI903" t="str">
            <v/>
          </cell>
          <cell r="AJ903" t="str">
            <v/>
          </cell>
          <cell r="AK903">
            <v>0</v>
          </cell>
          <cell r="AL903">
            <v>0</v>
          </cell>
          <cell r="AM903">
            <v>0</v>
          </cell>
        </row>
        <row r="904">
          <cell r="C904" t="str">
            <v/>
          </cell>
          <cell r="D904" t="str">
            <v/>
          </cell>
          <cell r="O904" t="str">
            <v/>
          </cell>
          <cell r="T904" t="str">
            <v/>
          </cell>
          <cell r="U904" t="str">
            <v/>
          </cell>
          <cell r="V904" t="str">
            <v/>
          </cell>
          <cell r="W904" t="str">
            <v/>
          </cell>
          <cell r="Y904" t="str">
            <v/>
          </cell>
          <cell r="AA904" t="str">
            <v/>
          </cell>
          <cell r="AB904">
            <v>0</v>
          </cell>
          <cell r="AC904">
            <v>0</v>
          </cell>
          <cell r="AI904" t="str">
            <v/>
          </cell>
          <cell r="AJ904" t="str">
            <v/>
          </cell>
          <cell r="AK904">
            <v>0</v>
          </cell>
          <cell r="AL904">
            <v>0</v>
          </cell>
          <cell r="AM904">
            <v>0</v>
          </cell>
        </row>
        <row r="905">
          <cell r="C905" t="str">
            <v/>
          </cell>
          <cell r="D905" t="str">
            <v/>
          </cell>
          <cell r="O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/>
          </cell>
          <cell r="Y905" t="str">
            <v/>
          </cell>
          <cell r="AA905" t="str">
            <v/>
          </cell>
          <cell r="AB905">
            <v>0</v>
          </cell>
          <cell r="AC905">
            <v>0</v>
          </cell>
          <cell r="AI905" t="str">
            <v/>
          </cell>
          <cell r="AJ905" t="str">
            <v/>
          </cell>
          <cell r="AK905">
            <v>0</v>
          </cell>
          <cell r="AL905">
            <v>0</v>
          </cell>
          <cell r="AM905">
            <v>0</v>
          </cell>
        </row>
        <row r="906">
          <cell r="C906" t="str">
            <v/>
          </cell>
          <cell r="D906" t="str">
            <v/>
          </cell>
          <cell r="O906" t="str">
            <v/>
          </cell>
          <cell r="T906" t="str">
            <v/>
          </cell>
          <cell r="U906" t="str">
            <v/>
          </cell>
          <cell r="V906" t="str">
            <v/>
          </cell>
          <cell r="W906" t="str">
            <v/>
          </cell>
          <cell r="Y906" t="str">
            <v/>
          </cell>
          <cell r="AA906" t="str">
            <v/>
          </cell>
          <cell r="AB906">
            <v>0</v>
          </cell>
          <cell r="AC906">
            <v>0</v>
          </cell>
          <cell r="AI906" t="str">
            <v/>
          </cell>
          <cell r="AJ906" t="str">
            <v/>
          </cell>
          <cell r="AK906">
            <v>0</v>
          </cell>
          <cell r="AL906">
            <v>0</v>
          </cell>
          <cell r="AM906">
            <v>0</v>
          </cell>
        </row>
        <row r="907">
          <cell r="C907" t="str">
            <v/>
          </cell>
          <cell r="D907" t="str">
            <v/>
          </cell>
          <cell r="O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/>
          </cell>
          <cell r="Y907" t="str">
            <v/>
          </cell>
          <cell r="AA907" t="str">
            <v/>
          </cell>
          <cell r="AB907">
            <v>0</v>
          </cell>
          <cell r="AC907">
            <v>0</v>
          </cell>
          <cell r="AI907" t="str">
            <v/>
          </cell>
          <cell r="AJ907" t="str">
            <v/>
          </cell>
          <cell r="AK907">
            <v>0</v>
          </cell>
          <cell r="AL907">
            <v>0</v>
          </cell>
          <cell r="AM907">
            <v>0</v>
          </cell>
        </row>
        <row r="908">
          <cell r="C908" t="str">
            <v/>
          </cell>
          <cell r="D908" t="str">
            <v/>
          </cell>
          <cell r="O908" t="str">
            <v/>
          </cell>
          <cell r="T908" t="str">
            <v/>
          </cell>
          <cell r="U908" t="str">
            <v/>
          </cell>
          <cell r="V908" t="str">
            <v/>
          </cell>
          <cell r="W908" t="str">
            <v/>
          </cell>
          <cell r="Y908" t="str">
            <v/>
          </cell>
          <cell r="AA908" t="str">
            <v/>
          </cell>
          <cell r="AB908">
            <v>0</v>
          </cell>
          <cell r="AC908">
            <v>0</v>
          </cell>
          <cell r="AI908" t="str">
            <v/>
          </cell>
          <cell r="AJ908" t="str">
            <v/>
          </cell>
          <cell r="AK908">
            <v>0</v>
          </cell>
          <cell r="AL908">
            <v>0</v>
          </cell>
          <cell r="AM908">
            <v>0</v>
          </cell>
        </row>
        <row r="909">
          <cell r="C909" t="str">
            <v/>
          </cell>
          <cell r="D909" t="str">
            <v/>
          </cell>
          <cell r="O909" t="str">
            <v/>
          </cell>
          <cell r="T909" t="str">
            <v/>
          </cell>
          <cell r="U909" t="str">
            <v/>
          </cell>
          <cell r="V909" t="str">
            <v/>
          </cell>
          <cell r="W909" t="str">
            <v/>
          </cell>
          <cell r="Y909" t="str">
            <v/>
          </cell>
          <cell r="AA909" t="str">
            <v/>
          </cell>
          <cell r="AB909">
            <v>0</v>
          </cell>
          <cell r="AC909">
            <v>0</v>
          </cell>
          <cell r="AI909" t="str">
            <v/>
          </cell>
          <cell r="AJ909" t="str">
            <v/>
          </cell>
          <cell r="AK909">
            <v>0</v>
          </cell>
          <cell r="AL909">
            <v>0</v>
          </cell>
          <cell r="AM909">
            <v>0</v>
          </cell>
        </row>
        <row r="910">
          <cell r="C910" t="str">
            <v/>
          </cell>
          <cell r="D910" t="str">
            <v/>
          </cell>
          <cell r="O910" t="str">
            <v/>
          </cell>
          <cell r="T910" t="str">
            <v/>
          </cell>
          <cell r="U910" t="str">
            <v/>
          </cell>
          <cell r="V910" t="str">
            <v/>
          </cell>
          <cell r="W910" t="str">
            <v/>
          </cell>
          <cell r="Y910" t="str">
            <v/>
          </cell>
          <cell r="AA910" t="str">
            <v/>
          </cell>
          <cell r="AB910">
            <v>0</v>
          </cell>
          <cell r="AC910">
            <v>0</v>
          </cell>
          <cell r="AI910" t="str">
            <v/>
          </cell>
          <cell r="AJ910" t="str">
            <v/>
          </cell>
          <cell r="AK910">
            <v>0</v>
          </cell>
          <cell r="AL910">
            <v>0</v>
          </cell>
          <cell r="AM910">
            <v>0</v>
          </cell>
        </row>
        <row r="911">
          <cell r="C911" t="str">
            <v/>
          </cell>
          <cell r="D911" t="str">
            <v/>
          </cell>
          <cell r="O911" t="str">
            <v/>
          </cell>
          <cell r="T911" t="str">
            <v/>
          </cell>
          <cell r="U911" t="str">
            <v/>
          </cell>
          <cell r="V911" t="str">
            <v/>
          </cell>
          <cell r="W911" t="str">
            <v/>
          </cell>
          <cell r="Y911" t="str">
            <v/>
          </cell>
          <cell r="AA911" t="str">
            <v/>
          </cell>
          <cell r="AB911">
            <v>0</v>
          </cell>
          <cell r="AC911">
            <v>0</v>
          </cell>
          <cell r="AI911" t="str">
            <v/>
          </cell>
          <cell r="AJ911" t="str">
            <v/>
          </cell>
          <cell r="AK911">
            <v>0</v>
          </cell>
          <cell r="AL911">
            <v>0</v>
          </cell>
          <cell r="AM911">
            <v>0</v>
          </cell>
        </row>
        <row r="912">
          <cell r="C912" t="str">
            <v/>
          </cell>
          <cell r="D912" t="str">
            <v/>
          </cell>
          <cell r="O912" t="str">
            <v/>
          </cell>
          <cell r="T912" t="str">
            <v/>
          </cell>
          <cell r="U912" t="str">
            <v/>
          </cell>
          <cell r="V912" t="str">
            <v/>
          </cell>
          <cell r="W912" t="str">
            <v/>
          </cell>
          <cell r="Y912" t="str">
            <v/>
          </cell>
          <cell r="AA912" t="str">
            <v/>
          </cell>
          <cell r="AB912">
            <v>0</v>
          </cell>
          <cell r="AC912">
            <v>0</v>
          </cell>
          <cell r="AI912" t="str">
            <v/>
          </cell>
          <cell r="AJ912" t="str">
            <v/>
          </cell>
          <cell r="AK912">
            <v>0</v>
          </cell>
          <cell r="AL912">
            <v>0</v>
          </cell>
          <cell r="AM912">
            <v>0</v>
          </cell>
        </row>
        <row r="913">
          <cell r="C913" t="str">
            <v/>
          </cell>
          <cell r="D913" t="str">
            <v/>
          </cell>
          <cell r="O913" t="str">
            <v/>
          </cell>
          <cell r="T913" t="str">
            <v/>
          </cell>
          <cell r="U913" t="str">
            <v/>
          </cell>
          <cell r="V913" t="str">
            <v/>
          </cell>
          <cell r="W913" t="str">
            <v/>
          </cell>
          <cell r="Y913" t="str">
            <v/>
          </cell>
          <cell r="AA913" t="str">
            <v/>
          </cell>
          <cell r="AB913">
            <v>0</v>
          </cell>
          <cell r="AC913">
            <v>0</v>
          </cell>
          <cell r="AI913" t="str">
            <v/>
          </cell>
          <cell r="AJ913" t="str">
            <v/>
          </cell>
          <cell r="AK913">
            <v>0</v>
          </cell>
          <cell r="AL913">
            <v>0</v>
          </cell>
          <cell r="AM913">
            <v>0</v>
          </cell>
        </row>
        <row r="914">
          <cell r="C914" t="str">
            <v/>
          </cell>
          <cell r="D914" t="str">
            <v/>
          </cell>
          <cell r="O914" t="str">
            <v/>
          </cell>
          <cell r="T914" t="str">
            <v/>
          </cell>
          <cell r="U914" t="str">
            <v/>
          </cell>
          <cell r="V914" t="str">
            <v/>
          </cell>
          <cell r="W914" t="str">
            <v/>
          </cell>
          <cell r="Y914" t="str">
            <v/>
          </cell>
          <cell r="AA914" t="str">
            <v/>
          </cell>
          <cell r="AB914">
            <v>0</v>
          </cell>
          <cell r="AC914">
            <v>0</v>
          </cell>
          <cell r="AI914" t="str">
            <v/>
          </cell>
          <cell r="AJ914" t="str">
            <v/>
          </cell>
          <cell r="AK914">
            <v>0</v>
          </cell>
          <cell r="AL914">
            <v>0</v>
          </cell>
          <cell r="AM914">
            <v>0</v>
          </cell>
        </row>
        <row r="915">
          <cell r="C915" t="str">
            <v/>
          </cell>
          <cell r="D915" t="str">
            <v/>
          </cell>
          <cell r="O915" t="str">
            <v/>
          </cell>
          <cell r="T915" t="str">
            <v/>
          </cell>
          <cell r="U915" t="str">
            <v/>
          </cell>
          <cell r="V915" t="str">
            <v/>
          </cell>
          <cell r="W915" t="str">
            <v/>
          </cell>
          <cell r="Y915" t="str">
            <v/>
          </cell>
          <cell r="AA915" t="str">
            <v/>
          </cell>
          <cell r="AB915">
            <v>0</v>
          </cell>
          <cell r="AC915">
            <v>0</v>
          </cell>
          <cell r="AI915" t="str">
            <v/>
          </cell>
          <cell r="AJ915" t="str">
            <v/>
          </cell>
          <cell r="AK915">
            <v>0</v>
          </cell>
          <cell r="AL915">
            <v>0</v>
          </cell>
          <cell r="AM915">
            <v>0</v>
          </cell>
        </row>
        <row r="916">
          <cell r="C916" t="str">
            <v/>
          </cell>
          <cell r="D916" t="str">
            <v/>
          </cell>
          <cell r="O916" t="str">
            <v/>
          </cell>
          <cell r="T916" t="str">
            <v/>
          </cell>
          <cell r="U916" t="str">
            <v/>
          </cell>
          <cell r="V916" t="str">
            <v/>
          </cell>
          <cell r="W916" t="str">
            <v/>
          </cell>
          <cell r="Y916" t="str">
            <v/>
          </cell>
          <cell r="AA916" t="str">
            <v/>
          </cell>
          <cell r="AB916">
            <v>0</v>
          </cell>
          <cell r="AC916">
            <v>0</v>
          </cell>
          <cell r="AI916" t="str">
            <v/>
          </cell>
          <cell r="AJ916" t="str">
            <v/>
          </cell>
          <cell r="AK916">
            <v>0</v>
          </cell>
          <cell r="AL916">
            <v>0</v>
          </cell>
          <cell r="AM916">
            <v>0</v>
          </cell>
        </row>
        <row r="917">
          <cell r="C917" t="str">
            <v/>
          </cell>
          <cell r="D917" t="str">
            <v/>
          </cell>
          <cell r="O917" t="str">
            <v/>
          </cell>
          <cell r="T917" t="str">
            <v/>
          </cell>
          <cell r="U917" t="str">
            <v/>
          </cell>
          <cell r="V917" t="str">
            <v/>
          </cell>
          <cell r="W917" t="str">
            <v/>
          </cell>
          <cell r="Y917" t="str">
            <v/>
          </cell>
          <cell r="AA917" t="str">
            <v/>
          </cell>
          <cell r="AB917">
            <v>0</v>
          </cell>
          <cell r="AC917">
            <v>0</v>
          </cell>
          <cell r="AI917" t="str">
            <v/>
          </cell>
          <cell r="AJ917" t="str">
            <v/>
          </cell>
          <cell r="AK917">
            <v>0</v>
          </cell>
          <cell r="AL917">
            <v>0</v>
          </cell>
          <cell r="AM917">
            <v>0</v>
          </cell>
        </row>
        <row r="918">
          <cell r="C918" t="str">
            <v/>
          </cell>
          <cell r="D918" t="str">
            <v/>
          </cell>
          <cell r="O918" t="str">
            <v/>
          </cell>
          <cell r="T918" t="str">
            <v/>
          </cell>
          <cell r="U918" t="str">
            <v/>
          </cell>
          <cell r="V918" t="str">
            <v/>
          </cell>
          <cell r="W918" t="str">
            <v/>
          </cell>
          <cell r="Y918" t="str">
            <v/>
          </cell>
          <cell r="AA918" t="str">
            <v/>
          </cell>
          <cell r="AB918">
            <v>0</v>
          </cell>
          <cell r="AC918">
            <v>0</v>
          </cell>
          <cell r="AI918" t="str">
            <v/>
          </cell>
          <cell r="AJ918" t="str">
            <v/>
          </cell>
          <cell r="AK918">
            <v>0</v>
          </cell>
          <cell r="AL918">
            <v>0</v>
          </cell>
          <cell r="AM918">
            <v>0</v>
          </cell>
        </row>
        <row r="919">
          <cell r="C919" t="str">
            <v/>
          </cell>
          <cell r="D919" t="str">
            <v/>
          </cell>
          <cell r="O919" t="str">
            <v/>
          </cell>
          <cell r="T919" t="str">
            <v/>
          </cell>
          <cell r="U919" t="str">
            <v/>
          </cell>
          <cell r="V919" t="str">
            <v/>
          </cell>
          <cell r="W919" t="str">
            <v/>
          </cell>
          <cell r="Y919" t="str">
            <v/>
          </cell>
          <cell r="AA919" t="str">
            <v/>
          </cell>
          <cell r="AB919">
            <v>0</v>
          </cell>
          <cell r="AC919">
            <v>0</v>
          </cell>
          <cell r="AI919" t="str">
            <v/>
          </cell>
          <cell r="AJ919" t="str">
            <v/>
          </cell>
          <cell r="AK919">
            <v>0</v>
          </cell>
          <cell r="AL919">
            <v>0</v>
          </cell>
          <cell r="AM919">
            <v>0</v>
          </cell>
        </row>
        <row r="920">
          <cell r="C920" t="str">
            <v/>
          </cell>
          <cell r="D920" t="str">
            <v/>
          </cell>
          <cell r="O920" t="str">
            <v/>
          </cell>
          <cell r="T920" t="str">
            <v/>
          </cell>
          <cell r="U920" t="str">
            <v/>
          </cell>
          <cell r="V920" t="str">
            <v/>
          </cell>
          <cell r="W920" t="str">
            <v/>
          </cell>
          <cell r="Y920" t="str">
            <v/>
          </cell>
          <cell r="AA920" t="str">
            <v/>
          </cell>
          <cell r="AB920">
            <v>0</v>
          </cell>
          <cell r="AC920">
            <v>0</v>
          </cell>
          <cell r="AI920" t="str">
            <v/>
          </cell>
          <cell r="AJ920" t="str">
            <v/>
          </cell>
          <cell r="AK920">
            <v>0</v>
          </cell>
          <cell r="AL920">
            <v>0</v>
          </cell>
          <cell r="AM920">
            <v>0</v>
          </cell>
        </row>
        <row r="921">
          <cell r="C921" t="str">
            <v/>
          </cell>
          <cell r="D921" t="str">
            <v/>
          </cell>
          <cell r="O921" t="str">
            <v/>
          </cell>
          <cell r="T921" t="str">
            <v/>
          </cell>
          <cell r="U921" t="str">
            <v/>
          </cell>
          <cell r="V921" t="str">
            <v/>
          </cell>
          <cell r="W921" t="str">
            <v/>
          </cell>
          <cell r="Y921" t="str">
            <v/>
          </cell>
          <cell r="AA921" t="str">
            <v/>
          </cell>
          <cell r="AB921">
            <v>0</v>
          </cell>
          <cell r="AC921">
            <v>0</v>
          </cell>
          <cell r="AI921" t="str">
            <v/>
          </cell>
          <cell r="AJ921" t="str">
            <v/>
          </cell>
          <cell r="AK921">
            <v>0</v>
          </cell>
          <cell r="AL921">
            <v>0</v>
          </cell>
          <cell r="AM921">
            <v>0</v>
          </cell>
        </row>
        <row r="922">
          <cell r="C922" t="str">
            <v/>
          </cell>
          <cell r="D922" t="str">
            <v/>
          </cell>
          <cell r="O922" t="str">
            <v/>
          </cell>
          <cell r="T922" t="str">
            <v/>
          </cell>
          <cell r="U922" t="str">
            <v/>
          </cell>
          <cell r="V922" t="str">
            <v/>
          </cell>
          <cell r="W922" t="str">
            <v/>
          </cell>
          <cell r="Y922" t="str">
            <v/>
          </cell>
          <cell r="AA922" t="str">
            <v/>
          </cell>
          <cell r="AB922">
            <v>0</v>
          </cell>
          <cell r="AC922">
            <v>0</v>
          </cell>
          <cell r="AI922" t="str">
            <v/>
          </cell>
          <cell r="AJ922" t="str">
            <v/>
          </cell>
          <cell r="AK922">
            <v>0</v>
          </cell>
          <cell r="AL922">
            <v>0</v>
          </cell>
          <cell r="AM922">
            <v>0</v>
          </cell>
        </row>
        <row r="923">
          <cell r="C923" t="str">
            <v/>
          </cell>
          <cell r="D923" t="str">
            <v/>
          </cell>
          <cell r="O923" t="str">
            <v/>
          </cell>
          <cell r="T923" t="str">
            <v/>
          </cell>
          <cell r="U923" t="str">
            <v/>
          </cell>
          <cell r="V923" t="str">
            <v/>
          </cell>
          <cell r="W923" t="str">
            <v/>
          </cell>
          <cell r="Y923" t="str">
            <v/>
          </cell>
          <cell r="AA923" t="str">
            <v/>
          </cell>
          <cell r="AB923">
            <v>0</v>
          </cell>
          <cell r="AC923">
            <v>0</v>
          </cell>
          <cell r="AI923" t="str">
            <v/>
          </cell>
          <cell r="AJ923" t="str">
            <v/>
          </cell>
          <cell r="AK923">
            <v>0</v>
          </cell>
          <cell r="AL923">
            <v>0</v>
          </cell>
          <cell r="AM923">
            <v>0</v>
          </cell>
        </row>
        <row r="924">
          <cell r="C924" t="str">
            <v/>
          </cell>
          <cell r="D924" t="str">
            <v/>
          </cell>
          <cell r="O924" t="str">
            <v/>
          </cell>
          <cell r="T924" t="str">
            <v/>
          </cell>
          <cell r="U924" t="str">
            <v/>
          </cell>
          <cell r="V924" t="str">
            <v/>
          </cell>
          <cell r="W924" t="str">
            <v/>
          </cell>
          <cell r="Y924" t="str">
            <v/>
          </cell>
          <cell r="AA924" t="str">
            <v/>
          </cell>
          <cell r="AB924">
            <v>0</v>
          </cell>
          <cell r="AC924">
            <v>0</v>
          </cell>
          <cell r="AI924" t="str">
            <v/>
          </cell>
          <cell r="AJ924" t="str">
            <v/>
          </cell>
          <cell r="AK924">
            <v>0</v>
          </cell>
          <cell r="AL924">
            <v>0</v>
          </cell>
          <cell r="AM924">
            <v>0</v>
          </cell>
        </row>
        <row r="925">
          <cell r="C925" t="str">
            <v/>
          </cell>
          <cell r="D925" t="str">
            <v/>
          </cell>
          <cell r="O925" t="str">
            <v/>
          </cell>
          <cell r="T925" t="str">
            <v/>
          </cell>
          <cell r="U925" t="str">
            <v/>
          </cell>
          <cell r="V925" t="str">
            <v/>
          </cell>
          <cell r="W925" t="str">
            <v/>
          </cell>
          <cell r="Y925" t="str">
            <v/>
          </cell>
          <cell r="AA925" t="str">
            <v/>
          </cell>
          <cell r="AB925">
            <v>0</v>
          </cell>
          <cell r="AC925">
            <v>0</v>
          </cell>
          <cell r="AI925" t="str">
            <v/>
          </cell>
          <cell r="AJ925" t="str">
            <v/>
          </cell>
          <cell r="AK925">
            <v>0</v>
          </cell>
          <cell r="AL925">
            <v>0</v>
          </cell>
          <cell r="AM925">
            <v>0</v>
          </cell>
        </row>
        <row r="926">
          <cell r="C926" t="str">
            <v/>
          </cell>
          <cell r="D926" t="str">
            <v/>
          </cell>
          <cell r="O926" t="str">
            <v/>
          </cell>
          <cell r="T926" t="str">
            <v/>
          </cell>
          <cell r="U926" t="str">
            <v/>
          </cell>
          <cell r="V926" t="str">
            <v/>
          </cell>
          <cell r="W926" t="str">
            <v/>
          </cell>
          <cell r="Y926" t="str">
            <v/>
          </cell>
          <cell r="AA926" t="str">
            <v/>
          </cell>
          <cell r="AB926">
            <v>0</v>
          </cell>
          <cell r="AC926">
            <v>0</v>
          </cell>
          <cell r="AI926" t="str">
            <v/>
          </cell>
          <cell r="AJ926" t="str">
            <v/>
          </cell>
          <cell r="AK926">
            <v>0</v>
          </cell>
          <cell r="AL926">
            <v>0</v>
          </cell>
          <cell r="AM926">
            <v>0</v>
          </cell>
        </row>
        <row r="927">
          <cell r="C927" t="str">
            <v/>
          </cell>
          <cell r="D927" t="str">
            <v/>
          </cell>
          <cell r="O927" t="str">
            <v/>
          </cell>
          <cell r="T927" t="str">
            <v/>
          </cell>
          <cell r="U927" t="str">
            <v/>
          </cell>
          <cell r="V927" t="str">
            <v/>
          </cell>
          <cell r="W927" t="str">
            <v/>
          </cell>
          <cell r="Y927" t="str">
            <v/>
          </cell>
          <cell r="AA927" t="str">
            <v/>
          </cell>
          <cell r="AB927">
            <v>0</v>
          </cell>
          <cell r="AC927">
            <v>0</v>
          </cell>
          <cell r="AI927" t="str">
            <v/>
          </cell>
          <cell r="AJ927" t="str">
            <v/>
          </cell>
          <cell r="AK927">
            <v>0</v>
          </cell>
          <cell r="AL927">
            <v>0</v>
          </cell>
          <cell r="AM927">
            <v>0</v>
          </cell>
        </row>
        <row r="928">
          <cell r="C928" t="str">
            <v/>
          </cell>
          <cell r="D928" t="str">
            <v/>
          </cell>
          <cell r="O928" t="str">
            <v/>
          </cell>
          <cell r="T928" t="str">
            <v/>
          </cell>
          <cell r="U928" t="str">
            <v/>
          </cell>
          <cell r="V928" t="str">
            <v/>
          </cell>
          <cell r="W928" t="str">
            <v/>
          </cell>
          <cell r="Y928" t="str">
            <v/>
          </cell>
          <cell r="AA928" t="str">
            <v/>
          </cell>
          <cell r="AB928">
            <v>0</v>
          </cell>
          <cell r="AC928">
            <v>0</v>
          </cell>
          <cell r="AI928" t="str">
            <v/>
          </cell>
          <cell r="AJ928" t="str">
            <v/>
          </cell>
          <cell r="AK928">
            <v>0</v>
          </cell>
          <cell r="AL928">
            <v>0</v>
          </cell>
          <cell r="AM928">
            <v>0</v>
          </cell>
        </row>
        <row r="929">
          <cell r="C929" t="str">
            <v/>
          </cell>
          <cell r="D929" t="str">
            <v/>
          </cell>
          <cell r="O929" t="str">
            <v/>
          </cell>
          <cell r="T929" t="str">
            <v/>
          </cell>
          <cell r="U929" t="str">
            <v/>
          </cell>
          <cell r="V929" t="str">
            <v/>
          </cell>
          <cell r="W929" t="str">
            <v/>
          </cell>
          <cell r="Y929" t="str">
            <v/>
          </cell>
          <cell r="AA929" t="str">
            <v/>
          </cell>
          <cell r="AB929">
            <v>0</v>
          </cell>
          <cell r="AC929">
            <v>0</v>
          </cell>
          <cell r="AI929" t="str">
            <v/>
          </cell>
          <cell r="AJ929" t="str">
            <v/>
          </cell>
          <cell r="AK929">
            <v>0</v>
          </cell>
          <cell r="AL929">
            <v>0</v>
          </cell>
          <cell r="AM929">
            <v>0</v>
          </cell>
        </row>
        <row r="930">
          <cell r="C930" t="str">
            <v/>
          </cell>
          <cell r="D930" t="str">
            <v/>
          </cell>
          <cell r="O930" t="str">
            <v/>
          </cell>
          <cell r="T930" t="str">
            <v/>
          </cell>
          <cell r="U930" t="str">
            <v/>
          </cell>
          <cell r="V930" t="str">
            <v/>
          </cell>
          <cell r="W930" t="str">
            <v/>
          </cell>
          <cell r="Y930" t="str">
            <v/>
          </cell>
          <cell r="AA930" t="str">
            <v/>
          </cell>
          <cell r="AB930">
            <v>0</v>
          </cell>
          <cell r="AC930">
            <v>0</v>
          </cell>
          <cell r="AI930" t="str">
            <v/>
          </cell>
          <cell r="AJ930" t="str">
            <v/>
          </cell>
          <cell r="AK930">
            <v>0</v>
          </cell>
          <cell r="AL930">
            <v>0</v>
          </cell>
          <cell r="AM930">
            <v>0</v>
          </cell>
        </row>
        <row r="931">
          <cell r="C931" t="str">
            <v/>
          </cell>
          <cell r="D931" t="str">
            <v/>
          </cell>
          <cell r="O931" t="str">
            <v/>
          </cell>
          <cell r="T931" t="str">
            <v/>
          </cell>
          <cell r="U931" t="str">
            <v/>
          </cell>
          <cell r="V931" t="str">
            <v/>
          </cell>
          <cell r="W931" t="str">
            <v/>
          </cell>
          <cell r="Y931" t="str">
            <v/>
          </cell>
          <cell r="AA931" t="str">
            <v/>
          </cell>
          <cell r="AB931">
            <v>0</v>
          </cell>
          <cell r="AC931">
            <v>0</v>
          </cell>
          <cell r="AI931" t="str">
            <v/>
          </cell>
          <cell r="AJ931" t="str">
            <v/>
          </cell>
          <cell r="AK931">
            <v>0</v>
          </cell>
          <cell r="AL931">
            <v>0</v>
          </cell>
          <cell r="AM931">
            <v>0</v>
          </cell>
        </row>
        <row r="932">
          <cell r="C932" t="str">
            <v/>
          </cell>
          <cell r="D932" t="str">
            <v/>
          </cell>
          <cell r="O932" t="str">
            <v/>
          </cell>
          <cell r="T932" t="str">
            <v/>
          </cell>
          <cell r="U932" t="str">
            <v/>
          </cell>
          <cell r="V932" t="str">
            <v/>
          </cell>
          <cell r="W932" t="str">
            <v/>
          </cell>
          <cell r="Y932" t="str">
            <v/>
          </cell>
          <cell r="AA932" t="str">
            <v/>
          </cell>
          <cell r="AB932">
            <v>0</v>
          </cell>
          <cell r="AC932">
            <v>0</v>
          </cell>
          <cell r="AI932" t="str">
            <v/>
          </cell>
          <cell r="AJ932" t="str">
            <v/>
          </cell>
          <cell r="AK932">
            <v>0</v>
          </cell>
          <cell r="AL932">
            <v>0</v>
          </cell>
          <cell r="AM932">
            <v>0</v>
          </cell>
        </row>
        <row r="933">
          <cell r="C933" t="str">
            <v/>
          </cell>
          <cell r="D933" t="str">
            <v/>
          </cell>
          <cell r="O933" t="str">
            <v/>
          </cell>
          <cell r="T933" t="str">
            <v/>
          </cell>
          <cell r="U933" t="str">
            <v/>
          </cell>
          <cell r="V933" t="str">
            <v/>
          </cell>
          <cell r="W933" t="str">
            <v/>
          </cell>
          <cell r="Y933" t="str">
            <v/>
          </cell>
          <cell r="AA933" t="str">
            <v/>
          </cell>
          <cell r="AB933">
            <v>0</v>
          </cell>
          <cell r="AC933">
            <v>0</v>
          </cell>
          <cell r="AI933" t="str">
            <v/>
          </cell>
          <cell r="AJ933" t="str">
            <v/>
          </cell>
          <cell r="AK933">
            <v>0</v>
          </cell>
          <cell r="AL933">
            <v>0</v>
          </cell>
          <cell r="AM933">
            <v>0</v>
          </cell>
        </row>
        <row r="934">
          <cell r="C934" t="str">
            <v/>
          </cell>
          <cell r="D934" t="str">
            <v/>
          </cell>
          <cell r="O934" t="str">
            <v/>
          </cell>
          <cell r="T934" t="str">
            <v/>
          </cell>
          <cell r="U934" t="str">
            <v/>
          </cell>
          <cell r="V934" t="str">
            <v/>
          </cell>
          <cell r="W934" t="str">
            <v/>
          </cell>
          <cell r="Y934" t="str">
            <v/>
          </cell>
          <cell r="AA934" t="str">
            <v/>
          </cell>
          <cell r="AB934">
            <v>0</v>
          </cell>
          <cell r="AC934">
            <v>0</v>
          </cell>
          <cell r="AI934" t="str">
            <v/>
          </cell>
          <cell r="AJ934" t="str">
            <v/>
          </cell>
          <cell r="AK934">
            <v>0</v>
          </cell>
          <cell r="AL934">
            <v>0</v>
          </cell>
          <cell r="AM934">
            <v>0</v>
          </cell>
        </row>
        <row r="935">
          <cell r="C935" t="str">
            <v/>
          </cell>
          <cell r="D935" t="str">
            <v/>
          </cell>
          <cell r="O935" t="str">
            <v/>
          </cell>
          <cell r="T935" t="str">
            <v/>
          </cell>
          <cell r="U935" t="str">
            <v/>
          </cell>
          <cell r="V935" t="str">
            <v/>
          </cell>
          <cell r="W935" t="str">
            <v/>
          </cell>
          <cell r="Y935" t="str">
            <v/>
          </cell>
          <cell r="AA935" t="str">
            <v/>
          </cell>
          <cell r="AB935">
            <v>0</v>
          </cell>
          <cell r="AC935">
            <v>0</v>
          </cell>
          <cell r="AI935" t="str">
            <v/>
          </cell>
          <cell r="AJ935" t="str">
            <v/>
          </cell>
          <cell r="AK935">
            <v>0</v>
          </cell>
          <cell r="AL935">
            <v>0</v>
          </cell>
          <cell r="AM935">
            <v>0</v>
          </cell>
        </row>
        <row r="936">
          <cell r="C936" t="str">
            <v/>
          </cell>
          <cell r="D936" t="str">
            <v/>
          </cell>
          <cell r="O936" t="str">
            <v/>
          </cell>
          <cell r="T936" t="str">
            <v/>
          </cell>
          <cell r="U936" t="str">
            <v/>
          </cell>
          <cell r="V936" t="str">
            <v/>
          </cell>
          <cell r="W936" t="str">
            <v/>
          </cell>
          <cell r="Y936" t="str">
            <v/>
          </cell>
          <cell r="AA936" t="str">
            <v/>
          </cell>
          <cell r="AB936">
            <v>0</v>
          </cell>
          <cell r="AC936">
            <v>0</v>
          </cell>
          <cell r="AI936" t="str">
            <v/>
          </cell>
          <cell r="AJ936" t="str">
            <v/>
          </cell>
          <cell r="AK936">
            <v>0</v>
          </cell>
          <cell r="AL936">
            <v>0</v>
          </cell>
          <cell r="AM936">
            <v>0</v>
          </cell>
        </row>
        <row r="937">
          <cell r="C937" t="str">
            <v/>
          </cell>
          <cell r="D937" t="str">
            <v/>
          </cell>
          <cell r="O937" t="str">
            <v/>
          </cell>
          <cell r="T937" t="str">
            <v/>
          </cell>
          <cell r="U937" t="str">
            <v/>
          </cell>
          <cell r="V937" t="str">
            <v/>
          </cell>
          <cell r="W937" t="str">
            <v/>
          </cell>
          <cell r="Y937" t="str">
            <v/>
          </cell>
          <cell r="AA937" t="str">
            <v/>
          </cell>
          <cell r="AB937">
            <v>0</v>
          </cell>
          <cell r="AC937">
            <v>0</v>
          </cell>
          <cell r="AI937" t="str">
            <v/>
          </cell>
          <cell r="AJ937" t="str">
            <v/>
          </cell>
          <cell r="AK937">
            <v>0</v>
          </cell>
          <cell r="AL937">
            <v>0</v>
          </cell>
          <cell r="AM937">
            <v>0</v>
          </cell>
        </row>
        <row r="938">
          <cell r="C938" t="str">
            <v/>
          </cell>
          <cell r="D938" t="str">
            <v/>
          </cell>
          <cell r="O938" t="str">
            <v/>
          </cell>
          <cell r="T938" t="str">
            <v/>
          </cell>
          <cell r="U938" t="str">
            <v/>
          </cell>
          <cell r="V938" t="str">
            <v/>
          </cell>
          <cell r="W938" t="str">
            <v/>
          </cell>
          <cell r="Y938" t="str">
            <v/>
          </cell>
          <cell r="AA938" t="str">
            <v/>
          </cell>
          <cell r="AB938">
            <v>0</v>
          </cell>
          <cell r="AC938">
            <v>0</v>
          </cell>
          <cell r="AI938" t="str">
            <v/>
          </cell>
          <cell r="AJ938" t="str">
            <v/>
          </cell>
          <cell r="AK938">
            <v>0</v>
          </cell>
          <cell r="AL938">
            <v>0</v>
          </cell>
          <cell r="AM938">
            <v>0</v>
          </cell>
        </row>
        <row r="939">
          <cell r="C939" t="str">
            <v/>
          </cell>
          <cell r="D939" t="str">
            <v/>
          </cell>
          <cell r="O939" t="str">
            <v/>
          </cell>
          <cell r="T939" t="str">
            <v/>
          </cell>
          <cell r="U939" t="str">
            <v/>
          </cell>
          <cell r="V939" t="str">
            <v/>
          </cell>
          <cell r="W939" t="str">
            <v/>
          </cell>
          <cell r="Y939" t="str">
            <v/>
          </cell>
          <cell r="AA939" t="str">
            <v/>
          </cell>
          <cell r="AB939">
            <v>0</v>
          </cell>
          <cell r="AC939">
            <v>0</v>
          </cell>
          <cell r="AI939" t="str">
            <v/>
          </cell>
          <cell r="AJ939" t="str">
            <v/>
          </cell>
          <cell r="AK939">
            <v>0</v>
          </cell>
          <cell r="AL939">
            <v>0</v>
          </cell>
          <cell r="AM939">
            <v>0</v>
          </cell>
        </row>
        <row r="940">
          <cell r="C940" t="str">
            <v/>
          </cell>
          <cell r="D940" t="str">
            <v/>
          </cell>
          <cell r="O940" t="str">
            <v/>
          </cell>
          <cell r="T940" t="str">
            <v/>
          </cell>
          <cell r="U940" t="str">
            <v/>
          </cell>
          <cell r="V940" t="str">
            <v/>
          </cell>
          <cell r="W940" t="str">
            <v/>
          </cell>
          <cell r="Y940" t="str">
            <v/>
          </cell>
          <cell r="AA940" t="str">
            <v/>
          </cell>
          <cell r="AB940">
            <v>0</v>
          </cell>
          <cell r="AC940">
            <v>0</v>
          </cell>
          <cell r="AI940" t="str">
            <v/>
          </cell>
          <cell r="AJ940" t="str">
            <v/>
          </cell>
          <cell r="AK940">
            <v>0</v>
          </cell>
          <cell r="AL940">
            <v>0</v>
          </cell>
          <cell r="AM940">
            <v>0</v>
          </cell>
        </row>
        <row r="941">
          <cell r="C941" t="str">
            <v/>
          </cell>
          <cell r="D941" t="str">
            <v/>
          </cell>
          <cell r="O941" t="str">
            <v/>
          </cell>
          <cell r="T941" t="str">
            <v/>
          </cell>
          <cell r="U941" t="str">
            <v/>
          </cell>
          <cell r="V941" t="str">
            <v/>
          </cell>
          <cell r="W941" t="str">
            <v/>
          </cell>
          <cell r="Y941" t="str">
            <v/>
          </cell>
          <cell r="AA941" t="str">
            <v/>
          </cell>
          <cell r="AB941">
            <v>0</v>
          </cell>
          <cell r="AC941">
            <v>0</v>
          </cell>
          <cell r="AI941" t="str">
            <v/>
          </cell>
          <cell r="AJ941" t="str">
            <v/>
          </cell>
          <cell r="AK941">
            <v>0</v>
          </cell>
          <cell r="AL941">
            <v>0</v>
          </cell>
          <cell r="AM941">
            <v>0</v>
          </cell>
        </row>
        <row r="942">
          <cell r="C942" t="str">
            <v/>
          </cell>
          <cell r="D942" t="str">
            <v/>
          </cell>
          <cell r="O942" t="str">
            <v/>
          </cell>
          <cell r="T942" t="str">
            <v/>
          </cell>
          <cell r="U942" t="str">
            <v/>
          </cell>
          <cell r="V942" t="str">
            <v/>
          </cell>
          <cell r="W942" t="str">
            <v/>
          </cell>
          <cell r="Y942" t="str">
            <v/>
          </cell>
          <cell r="AA942" t="str">
            <v/>
          </cell>
          <cell r="AB942">
            <v>0</v>
          </cell>
          <cell r="AC942">
            <v>0</v>
          </cell>
          <cell r="AI942" t="str">
            <v/>
          </cell>
          <cell r="AJ942" t="str">
            <v/>
          </cell>
          <cell r="AK942">
            <v>0</v>
          </cell>
          <cell r="AL942">
            <v>0</v>
          </cell>
          <cell r="AM942">
            <v>0</v>
          </cell>
        </row>
        <row r="943">
          <cell r="C943" t="str">
            <v/>
          </cell>
          <cell r="D943" t="str">
            <v/>
          </cell>
          <cell r="O943" t="str">
            <v/>
          </cell>
          <cell r="T943" t="str">
            <v/>
          </cell>
          <cell r="U943" t="str">
            <v/>
          </cell>
          <cell r="V943" t="str">
            <v/>
          </cell>
          <cell r="W943" t="str">
            <v/>
          </cell>
          <cell r="Y943" t="str">
            <v/>
          </cell>
          <cell r="AA943" t="str">
            <v/>
          </cell>
          <cell r="AB943">
            <v>0</v>
          </cell>
          <cell r="AC943">
            <v>0</v>
          </cell>
          <cell r="AI943" t="str">
            <v/>
          </cell>
          <cell r="AJ943" t="str">
            <v/>
          </cell>
          <cell r="AK943">
            <v>0</v>
          </cell>
          <cell r="AL943">
            <v>0</v>
          </cell>
          <cell r="AM943">
            <v>0</v>
          </cell>
        </row>
        <row r="944">
          <cell r="C944" t="str">
            <v/>
          </cell>
          <cell r="D944" t="str">
            <v/>
          </cell>
          <cell r="O944" t="str">
            <v/>
          </cell>
          <cell r="T944" t="str">
            <v/>
          </cell>
          <cell r="U944" t="str">
            <v/>
          </cell>
          <cell r="V944" t="str">
            <v/>
          </cell>
          <cell r="W944" t="str">
            <v/>
          </cell>
          <cell r="Y944" t="str">
            <v/>
          </cell>
          <cell r="AA944" t="str">
            <v/>
          </cell>
          <cell r="AB944">
            <v>0</v>
          </cell>
          <cell r="AC944">
            <v>0</v>
          </cell>
          <cell r="AI944" t="str">
            <v/>
          </cell>
          <cell r="AJ944" t="str">
            <v/>
          </cell>
          <cell r="AK944">
            <v>0</v>
          </cell>
          <cell r="AL944">
            <v>0</v>
          </cell>
          <cell r="AM944">
            <v>0</v>
          </cell>
        </row>
        <row r="945">
          <cell r="C945" t="str">
            <v/>
          </cell>
          <cell r="D945" t="str">
            <v/>
          </cell>
          <cell r="O945" t="str">
            <v/>
          </cell>
          <cell r="T945" t="str">
            <v/>
          </cell>
          <cell r="U945" t="str">
            <v/>
          </cell>
          <cell r="V945" t="str">
            <v/>
          </cell>
          <cell r="W945" t="str">
            <v/>
          </cell>
          <cell r="Y945" t="str">
            <v/>
          </cell>
          <cell r="AA945" t="str">
            <v/>
          </cell>
          <cell r="AB945">
            <v>0</v>
          </cell>
          <cell r="AC945">
            <v>0</v>
          </cell>
          <cell r="AI945" t="str">
            <v/>
          </cell>
          <cell r="AJ945" t="str">
            <v/>
          </cell>
          <cell r="AK945">
            <v>0</v>
          </cell>
          <cell r="AL945">
            <v>0</v>
          </cell>
          <cell r="AM945">
            <v>0</v>
          </cell>
        </row>
        <row r="946">
          <cell r="C946" t="str">
            <v/>
          </cell>
          <cell r="D946" t="str">
            <v/>
          </cell>
          <cell r="O946" t="str">
            <v/>
          </cell>
          <cell r="T946" t="str">
            <v/>
          </cell>
          <cell r="U946" t="str">
            <v/>
          </cell>
          <cell r="V946" t="str">
            <v/>
          </cell>
          <cell r="W946" t="str">
            <v/>
          </cell>
          <cell r="Y946" t="str">
            <v/>
          </cell>
          <cell r="AA946" t="str">
            <v/>
          </cell>
          <cell r="AB946">
            <v>0</v>
          </cell>
          <cell r="AC946">
            <v>0</v>
          </cell>
          <cell r="AI946" t="str">
            <v/>
          </cell>
          <cell r="AJ946" t="str">
            <v/>
          </cell>
          <cell r="AK946">
            <v>0</v>
          </cell>
          <cell r="AL946">
            <v>0</v>
          </cell>
          <cell r="AM946">
            <v>0</v>
          </cell>
        </row>
        <row r="947">
          <cell r="C947" t="str">
            <v/>
          </cell>
          <cell r="D947" t="str">
            <v/>
          </cell>
          <cell r="O947" t="str">
            <v/>
          </cell>
          <cell r="T947" t="str">
            <v/>
          </cell>
          <cell r="U947" t="str">
            <v/>
          </cell>
          <cell r="V947" t="str">
            <v/>
          </cell>
          <cell r="W947" t="str">
            <v/>
          </cell>
          <cell r="Y947" t="str">
            <v/>
          </cell>
          <cell r="AA947" t="str">
            <v/>
          </cell>
          <cell r="AB947">
            <v>0</v>
          </cell>
          <cell r="AC947">
            <v>0</v>
          </cell>
          <cell r="AI947" t="str">
            <v/>
          </cell>
          <cell r="AJ947" t="str">
            <v/>
          </cell>
          <cell r="AK947">
            <v>0</v>
          </cell>
          <cell r="AL947">
            <v>0</v>
          </cell>
          <cell r="AM947">
            <v>0</v>
          </cell>
        </row>
        <row r="948">
          <cell r="C948" t="str">
            <v/>
          </cell>
          <cell r="D948" t="str">
            <v/>
          </cell>
          <cell r="O948" t="str">
            <v/>
          </cell>
          <cell r="T948" t="str">
            <v/>
          </cell>
          <cell r="U948" t="str">
            <v/>
          </cell>
          <cell r="V948" t="str">
            <v/>
          </cell>
          <cell r="W948" t="str">
            <v/>
          </cell>
          <cell r="Y948" t="str">
            <v/>
          </cell>
          <cell r="AA948" t="str">
            <v/>
          </cell>
          <cell r="AB948">
            <v>0</v>
          </cell>
          <cell r="AC948">
            <v>0</v>
          </cell>
          <cell r="AI948" t="str">
            <v/>
          </cell>
          <cell r="AJ948" t="str">
            <v/>
          </cell>
          <cell r="AK948">
            <v>0</v>
          </cell>
          <cell r="AL948">
            <v>0</v>
          </cell>
          <cell r="AM948">
            <v>0</v>
          </cell>
        </row>
        <row r="949">
          <cell r="C949" t="str">
            <v/>
          </cell>
          <cell r="D949" t="str">
            <v/>
          </cell>
          <cell r="O949" t="str">
            <v/>
          </cell>
          <cell r="T949" t="str">
            <v/>
          </cell>
          <cell r="U949" t="str">
            <v/>
          </cell>
          <cell r="V949" t="str">
            <v/>
          </cell>
          <cell r="W949" t="str">
            <v/>
          </cell>
          <cell r="Y949" t="str">
            <v/>
          </cell>
          <cell r="AA949" t="str">
            <v/>
          </cell>
          <cell r="AB949">
            <v>0</v>
          </cell>
          <cell r="AC949">
            <v>0</v>
          </cell>
          <cell r="AI949" t="str">
            <v/>
          </cell>
          <cell r="AJ949" t="str">
            <v/>
          </cell>
          <cell r="AK949">
            <v>0</v>
          </cell>
          <cell r="AL949">
            <v>0</v>
          </cell>
          <cell r="AM949">
            <v>0</v>
          </cell>
        </row>
        <row r="950">
          <cell r="C950" t="str">
            <v/>
          </cell>
          <cell r="D950" t="str">
            <v/>
          </cell>
          <cell r="O950" t="str">
            <v/>
          </cell>
          <cell r="T950" t="str">
            <v/>
          </cell>
          <cell r="U950" t="str">
            <v/>
          </cell>
          <cell r="V950" t="str">
            <v/>
          </cell>
          <cell r="W950" t="str">
            <v/>
          </cell>
          <cell r="Y950" t="str">
            <v/>
          </cell>
          <cell r="AA950" t="str">
            <v/>
          </cell>
          <cell r="AB950">
            <v>0</v>
          </cell>
          <cell r="AC950">
            <v>0</v>
          </cell>
          <cell r="AI950" t="str">
            <v/>
          </cell>
          <cell r="AJ950" t="str">
            <v/>
          </cell>
          <cell r="AK950">
            <v>0</v>
          </cell>
          <cell r="AL950">
            <v>0</v>
          </cell>
          <cell r="AM950">
            <v>0</v>
          </cell>
        </row>
        <row r="951">
          <cell r="C951" t="str">
            <v/>
          </cell>
          <cell r="D951" t="str">
            <v/>
          </cell>
          <cell r="O951" t="str">
            <v/>
          </cell>
          <cell r="T951" t="str">
            <v/>
          </cell>
          <cell r="U951" t="str">
            <v/>
          </cell>
          <cell r="V951" t="str">
            <v/>
          </cell>
          <cell r="W951" t="str">
            <v/>
          </cell>
          <cell r="Y951" t="str">
            <v/>
          </cell>
          <cell r="AA951" t="str">
            <v/>
          </cell>
          <cell r="AB951">
            <v>0</v>
          </cell>
          <cell r="AC951">
            <v>0</v>
          </cell>
          <cell r="AI951" t="str">
            <v/>
          </cell>
          <cell r="AJ951" t="str">
            <v/>
          </cell>
          <cell r="AK951">
            <v>0</v>
          </cell>
          <cell r="AL951">
            <v>0</v>
          </cell>
          <cell r="AM951">
            <v>0</v>
          </cell>
        </row>
        <row r="952">
          <cell r="C952" t="str">
            <v/>
          </cell>
          <cell r="D952" t="str">
            <v/>
          </cell>
          <cell r="O952" t="str">
            <v/>
          </cell>
          <cell r="T952" t="str">
            <v/>
          </cell>
          <cell r="U952" t="str">
            <v/>
          </cell>
          <cell r="V952" t="str">
            <v/>
          </cell>
          <cell r="W952" t="str">
            <v/>
          </cell>
          <cell r="Y952" t="str">
            <v/>
          </cell>
          <cell r="AA952" t="str">
            <v/>
          </cell>
          <cell r="AB952">
            <v>0</v>
          </cell>
          <cell r="AC952">
            <v>0</v>
          </cell>
          <cell r="AI952" t="str">
            <v/>
          </cell>
          <cell r="AJ952" t="str">
            <v/>
          </cell>
          <cell r="AK952">
            <v>0</v>
          </cell>
          <cell r="AL952">
            <v>0</v>
          </cell>
          <cell r="AM952">
            <v>0</v>
          </cell>
        </row>
        <row r="953">
          <cell r="C953" t="str">
            <v/>
          </cell>
          <cell r="D953" t="str">
            <v/>
          </cell>
          <cell r="O953" t="str">
            <v/>
          </cell>
          <cell r="T953" t="str">
            <v/>
          </cell>
          <cell r="U953" t="str">
            <v/>
          </cell>
          <cell r="V953" t="str">
            <v/>
          </cell>
          <cell r="W953" t="str">
            <v/>
          </cell>
          <cell r="Y953" t="str">
            <v/>
          </cell>
          <cell r="AA953" t="str">
            <v/>
          </cell>
          <cell r="AB953">
            <v>0</v>
          </cell>
          <cell r="AC953">
            <v>0</v>
          </cell>
          <cell r="AI953" t="str">
            <v/>
          </cell>
          <cell r="AJ953" t="str">
            <v/>
          </cell>
          <cell r="AK953">
            <v>0</v>
          </cell>
          <cell r="AL953">
            <v>0</v>
          </cell>
          <cell r="AM953">
            <v>0</v>
          </cell>
        </row>
        <row r="954">
          <cell r="C954" t="str">
            <v/>
          </cell>
          <cell r="D954" t="str">
            <v/>
          </cell>
          <cell r="O954" t="str">
            <v/>
          </cell>
          <cell r="T954" t="str">
            <v/>
          </cell>
          <cell r="U954" t="str">
            <v/>
          </cell>
          <cell r="V954" t="str">
            <v/>
          </cell>
          <cell r="W954" t="str">
            <v/>
          </cell>
          <cell r="Y954" t="str">
            <v/>
          </cell>
          <cell r="AA954" t="str">
            <v/>
          </cell>
          <cell r="AB954">
            <v>0</v>
          </cell>
          <cell r="AC954">
            <v>0</v>
          </cell>
          <cell r="AI954" t="str">
            <v/>
          </cell>
          <cell r="AJ954" t="str">
            <v/>
          </cell>
          <cell r="AK954">
            <v>0</v>
          </cell>
          <cell r="AL954">
            <v>0</v>
          </cell>
          <cell r="AM954">
            <v>0</v>
          </cell>
        </row>
        <row r="955">
          <cell r="C955" t="str">
            <v/>
          </cell>
          <cell r="D955" t="str">
            <v/>
          </cell>
          <cell r="O955" t="str">
            <v/>
          </cell>
          <cell r="T955" t="str">
            <v/>
          </cell>
          <cell r="U955" t="str">
            <v/>
          </cell>
          <cell r="V955" t="str">
            <v/>
          </cell>
          <cell r="W955" t="str">
            <v/>
          </cell>
          <cell r="Y955" t="str">
            <v/>
          </cell>
          <cell r="AA955" t="str">
            <v/>
          </cell>
          <cell r="AB955">
            <v>0</v>
          </cell>
          <cell r="AC955">
            <v>0</v>
          </cell>
          <cell r="AI955" t="str">
            <v/>
          </cell>
          <cell r="AJ955" t="str">
            <v/>
          </cell>
          <cell r="AK955">
            <v>0</v>
          </cell>
          <cell r="AL955">
            <v>0</v>
          </cell>
          <cell r="AM955">
            <v>0</v>
          </cell>
        </row>
        <row r="956">
          <cell r="C956" t="str">
            <v/>
          </cell>
          <cell r="D956" t="str">
            <v/>
          </cell>
          <cell r="O956" t="str">
            <v/>
          </cell>
          <cell r="T956" t="str">
            <v/>
          </cell>
          <cell r="U956" t="str">
            <v/>
          </cell>
          <cell r="V956" t="str">
            <v/>
          </cell>
          <cell r="W956" t="str">
            <v/>
          </cell>
          <cell r="Y956" t="str">
            <v/>
          </cell>
          <cell r="AA956" t="str">
            <v/>
          </cell>
          <cell r="AB956">
            <v>0</v>
          </cell>
          <cell r="AC956">
            <v>0</v>
          </cell>
          <cell r="AI956" t="str">
            <v/>
          </cell>
          <cell r="AJ956" t="str">
            <v/>
          </cell>
          <cell r="AK956">
            <v>0</v>
          </cell>
          <cell r="AL956">
            <v>0</v>
          </cell>
          <cell r="AM956">
            <v>0</v>
          </cell>
        </row>
        <row r="957">
          <cell r="C957" t="str">
            <v/>
          </cell>
          <cell r="D957" t="str">
            <v/>
          </cell>
          <cell r="O957" t="str">
            <v/>
          </cell>
          <cell r="T957" t="str">
            <v/>
          </cell>
          <cell r="U957" t="str">
            <v/>
          </cell>
          <cell r="V957" t="str">
            <v/>
          </cell>
          <cell r="W957" t="str">
            <v/>
          </cell>
          <cell r="Y957" t="str">
            <v/>
          </cell>
          <cell r="AA957" t="str">
            <v/>
          </cell>
          <cell r="AB957">
            <v>0</v>
          </cell>
          <cell r="AC957">
            <v>0</v>
          </cell>
          <cell r="AI957" t="str">
            <v/>
          </cell>
          <cell r="AJ957" t="str">
            <v/>
          </cell>
          <cell r="AK957">
            <v>0</v>
          </cell>
          <cell r="AL957">
            <v>0</v>
          </cell>
          <cell r="AM957">
            <v>0</v>
          </cell>
        </row>
        <row r="958">
          <cell r="C958" t="str">
            <v/>
          </cell>
          <cell r="D958" t="str">
            <v/>
          </cell>
          <cell r="O958" t="str">
            <v/>
          </cell>
          <cell r="T958" t="str">
            <v/>
          </cell>
          <cell r="U958" t="str">
            <v/>
          </cell>
          <cell r="V958" t="str">
            <v/>
          </cell>
          <cell r="W958" t="str">
            <v/>
          </cell>
          <cell r="Y958" t="str">
            <v/>
          </cell>
          <cell r="AA958" t="str">
            <v/>
          </cell>
          <cell r="AB958">
            <v>0</v>
          </cell>
          <cell r="AC958">
            <v>0</v>
          </cell>
          <cell r="AI958" t="str">
            <v/>
          </cell>
          <cell r="AJ958" t="str">
            <v/>
          </cell>
          <cell r="AK958">
            <v>0</v>
          </cell>
          <cell r="AL958">
            <v>0</v>
          </cell>
          <cell r="AM958">
            <v>0</v>
          </cell>
        </row>
        <row r="959">
          <cell r="C959" t="str">
            <v/>
          </cell>
          <cell r="D959" t="str">
            <v/>
          </cell>
          <cell r="O959" t="str">
            <v/>
          </cell>
          <cell r="T959" t="str">
            <v/>
          </cell>
          <cell r="U959" t="str">
            <v/>
          </cell>
          <cell r="V959" t="str">
            <v/>
          </cell>
          <cell r="W959" t="str">
            <v/>
          </cell>
          <cell r="Y959" t="str">
            <v/>
          </cell>
          <cell r="AA959" t="str">
            <v/>
          </cell>
          <cell r="AB959">
            <v>0</v>
          </cell>
          <cell r="AC959">
            <v>0</v>
          </cell>
          <cell r="AI959" t="str">
            <v/>
          </cell>
          <cell r="AJ959" t="str">
            <v/>
          </cell>
          <cell r="AK959">
            <v>0</v>
          </cell>
          <cell r="AL959">
            <v>0</v>
          </cell>
          <cell r="AM959">
            <v>0</v>
          </cell>
        </row>
        <row r="960">
          <cell r="C960" t="str">
            <v/>
          </cell>
          <cell r="D960" t="str">
            <v/>
          </cell>
          <cell r="O960" t="str">
            <v/>
          </cell>
          <cell r="T960" t="str">
            <v/>
          </cell>
          <cell r="U960" t="str">
            <v/>
          </cell>
          <cell r="V960" t="str">
            <v/>
          </cell>
          <cell r="W960" t="str">
            <v/>
          </cell>
          <cell r="Y960" t="str">
            <v/>
          </cell>
          <cell r="AA960" t="str">
            <v/>
          </cell>
          <cell r="AB960">
            <v>0</v>
          </cell>
          <cell r="AC960">
            <v>0</v>
          </cell>
          <cell r="AI960" t="str">
            <v/>
          </cell>
          <cell r="AJ960" t="str">
            <v/>
          </cell>
          <cell r="AK960">
            <v>0</v>
          </cell>
          <cell r="AL960">
            <v>0</v>
          </cell>
          <cell r="AM960">
            <v>0</v>
          </cell>
        </row>
        <row r="961">
          <cell r="C961" t="str">
            <v/>
          </cell>
          <cell r="D961" t="str">
            <v/>
          </cell>
          <cell r="O961" t="str">
            <v/>
          </cell>
          <cell r="T961" t="str">
            <v/>
          </cell>
          <cell r="U961" t="str">
            <v/>
          </cell>
          <cell r="V961" t="str">
            <v/>
          </cell>
          <cell r="W961" t="str">
            <v/>
          </cell>
          <cell r="Y961" t="str">
            <v/>
          </cell>
          <cell r="AA961" t="str">
            <v/>
          </cell>
          <cell r="AB961">
            <v>0</v>
          </cell>
          <cell r="AC961">
            <v>0</v>
          </cell>
          <cell r="AI961" t="str">
            <v/>
          </cell>
          <cell r="AJ961" t="str">
            <v/>
          </cell>
          <cell r="AK961">
            <v>0</v>
          </cell>
          <cell r="AL961">
            <v>0</v>
          </cell>
          <cell r="AM961">
            <v>0</v>
          </cell>
        </row>
        <row r="962">
          <cell r="C962" t="str">
            <v/>
          </cell>
          <cell r="D962" t="str">
            <v/>
          </cell>
          <cell r="O962" t="str">
            <v/>
          </cell>
          <cell r="T962" t="str">
            <v/>
          </cell>
          <cell r="U962" t="str">
            <v/>
          </cell>
          <cell r="V962" t="str">
            <v/>
          </cell>
          <cell r="W962" t="str">
            <v/>
          </cell>
          <cell r="Y962" t="str">
            <v/>
          </cell>
          <cell r="AA962" t="str">
            <v/>
          </cell>
          <cell r="AB962">
            <v>0</v>
          </cell>
          <cell r="AC962">
            <v>0</v>
          </cell>
          <cell r="AI962" t="str">
            <v/>
          </cell>
          <cell r="AJ962" t="str">
            <v/>
          </cell>
          <cell r="AK962">
            <v>0</v>
          </cell>
          <cell r="AL962">
            <v>0</v>
          </cell>
          <cell r="AM962">
            <v>0</v>
          </cell>
        </row>
        <row r="963">
          <cell r="C963" t="str">
            <v/>
          </cell>
          <cell r="D963" t="str">
            <v/>
          </cell>
          <cell r="O963" t="str">
            <v/>
          </cell>
          <cell r="T963" t="str">
            <v/>
          </cell>
          <cell r="U963" t="str">
            <v/>
          </cell>
          <cell r="V963" t="str">
            <v/>
          </cell>
          <cell r="W963" t="str">
            <v/>
          </cell>
          <cell r="Y963" t="str">
            <v/>
          </cell>
          <cell r="AA963" t="str">
            <v/>
          </cell>
          <cell r="AB963">
            <v>0</v>
          </cell>
          <cell r="AC963">
            <v>0</v>
          </cell>
          <cell r="AI963" t="str">
            <v/>
          </cell>
          <cell r="AJ963" t="str">
            <v/>
          </cell>
          <cell r="AK963">
            <v>0</v>
          </cell>
          <cell r="AL963">
            <v>0</v>
          </cell>
          <cell r="AM963">
            <v>0</v>
          </cell>
        </row>
        <row r="964">
          <cell r="C964" t="str">
            <v/>
          </cell>
          <cell r="D964" t="str">
            <v/>
          </cell>
          <cell r="O964" t="str">
            <v/>
          </cell>
          <cell r="T964" t="str">
            <v/>
          </cell>
          <cell r="U964" t="str">
            <v/>
          </cell>
          <cell r="V964" t="str">
            <v/>
          </cell>
          <cell r="W964" t="str">
            <v/>
          </cell>
          <cell r="Y964" t="str">
            <v/>
          </cell>
          <cell r="AA964" t="str">
            <v/>
          </cell>
          <cell r="AB964">
            <v>0</v>
          </cell>
          <cell r="AC964">
            <v>0</v>
          </cell>
          <cell r="AI964" t="str">
            <v/>
          </cell>
          <cell r="AJ964" t="str">
            <v/>
          </cell>
          <cell r="AK964">
            <v>0</v>
          </cell>
          <cell r="AL964">
            <v>0</v>
          </cell>
          <cell r="AM964">
            <v>0</v>
          </cell>
        </row>
        <row r="965">
          <cell r="C965" t="str">
            <v/>
          </cell>
          <cell r="D965" t="str">
            <v/>
          </cell>
          <cell r="O965" t="str">
            <v/>
          </cell>
          <cell r="T965" t="str">
            <v/>
          </cell>
          <cell r="U965" t="str">
            <v/>
          </cell>
          <cell r="V965" t="str">
            <v/>
          </cell>
          <cell r="W965" t="str">
            <v/>
          </cell>
          <cell r="Y965" t="str">
            <v/>
          </cell>
          <cell r="AA965" t="str">
            <v/>
          </cell>
          <cell r="AB965">
            <v>0</v>
          </cell>
          <cell r="AC965">
            <v>0</v>
          </cell>
          <cell r="AI965" t="str">
            <v/>
          </cell>
          <cell r="AJ965" t="str">
            <v/>
          </cell>
          <cell r="AK965">
            <v>0</v>
          </cell>
          <cell r="AL965">
            <v>0</v>
          </cell>
          <cell r="AM965">
            <v>0</v>
          </cell>
        </row>
        <row r="966">
          <cell r="C966" t="str">
            <v/>
          </cell>
          <cell r="D966" t="str">
            <v/>
          </cell>
          <cell r="O966" t="str">
            <v/>
          </cell>
          <cell r="T966" t="str">
            <v/>
          </cell>
          <cell r="U966" t="str">
            <v/>
          </cell>
          <cell r="V966" t="str">
            <v/>
          </cell>
          <cell r="W966" t="str">
            <v/>
          </cell>
          <cell r="Y966" t="str">
            <v/>
          </cell>
          <cell r="AA966" t="str">
            <v/>
          </cell>
          <cell r="AB966">
            <v>0</v>
          </cell>
          <cell r="AC966">
            <v>0</v>
          </cell>
          <cell r="AI966" t="str">
            <v/>
          </cell>
          <cell r="AJ966" t="str">
            <v/>
          </cell>
          <cell r="AK966">
            <v>0</v>
          </cell>
          <cell r="AL966">
            <v>0</v>
          </cell>
          <cell r="AM966">
            <v>0</v>
          </cell>
        </row>
        <row r="967">
          <cell r="C967" t="str">
            <v/>
          </cell>
          <cell r="D967" t="str">
            <v/>
          </cell>
          <cell r="O967" t="str">
            <v/>
          </cell>
          <cell r="T967" t="str">
            <v/>
          </cell>
          <cell r="U967" t="str">
            <v/>
          </cell>
          <cell r="V967" t="str">
            <v/>
          </cell>
          <cell r="W967" t="str">
            <v/>
          </cell>
          <cell r="Y967" t="str">
            <v/>
          </cell>
          <cell r="AA967" t="str">
            <v/>
          </cell>
          <cell r="AB967">
            <v>0</v>
          </cell>
          <cell r="AC967">
            <v>0</v>
          </cell>
          <cell r="AI967" t="str">
            <v/>
          </cell>
          <cell r="AJ967" t="str">
            <v/>
          </cell>
          <cell r="AK967">
            <v>0</v>
          </cell>
          <cell r="AL967">
            <v>0</v>
          </cell>
          <cell r="AM967">
            <v>0</v>
          </cell>
        </row>
        <row r="968">
          <cell r="C968" t="str">
            <v/>
          </cell>
          <cell r="D968" t="str">
            <v/>
          </cell>
          <cell r="O968" t="str">
            <v/>
          </cell>
          <cell r="T968" t="str">
            <v/>
          </cell>
          <cell r="U968" t="str">
            <v/>
          </cell>
          <cell r="V968" t="str">
            <v/>
          </cell>
          <cell r="W968" t="str">
            <v/>
          </cell>
          <cell r="Y968" t="str">
            <v/>
          </cell>
          <cell r="AA968" t="str">
            <v/>
          </cell>
          <cell r="AB968">
            <v>0</v>
          </cell>
          <cell r="AC968">
            <v>0</v>
          </cell>
          <cell r="AI968" t="str">
            <v/>
          </cell>
          <cell r="AJ968" t="str">
            <v/>
          </cell>
          <cell r="AK968">
            <v>0</v>
          </cell>
          <cell r="AL968">
            <v>0</v>
          </cell>
          <cell r="AM968">
            <v>0</v>
          </cell>
        </row>
        <row r="969">
          <cell r="C969" t="str">
            <v/>
          </cell>
          <cell r="D969" t="str">
            <v/>
          </cell>
          <cell r="O969" t="str">
            <v/>
          </cell>
          <cell r="T969" t="str">
            <v/>
          </cell>
          <cell r="U969" t="str">
            <v/>
          </cell>
          <cell r="V969" t="str">
            <v/>
          </cell>
          <cell r="W969" t="str">
            <v/>
          </cell>
          <cell r="Y969" t="str">
            <v/>
          </cell>
          <cell r="AA969" t="str">
            <v/>
          </cell>
          <cell r="AB969">
            <v>0</v>
          </cell>
          <cell r="AC969">
            <v>0</v>
          </cell>
          <cell r="AI969" t="str">
            <v/>
          </cell>
          <cell r="AJ969" t="str">
            <v/>
          </cell>
          <cell r="AK969">
            <v>0</v>
          </cell>
          <cell r="AL969">
            <v>0</v>
          </cell>
          <cell r="AM969">
            <v>0</v>
          </cell>
        </row>
        <row r="970">
          <cell r="C970" t="str">
            <v/>
          </cell>
          <cell r="D970" t="str">
            <v/>
          </cell>
          <cell r="O970" t="str">
            <v/>
          </cell>
          <cell r="T970" t="str">
            <v/>
          </cell>
          <cell r="U970" t="str">
            <v/>
          </cell>
          <cell r="V970" t="str">
            <v/>
          </cell>
          <cell r="W970" t="str">
            <v/>
          </cell>
          <cell r="Y970" t="str">
            <v/>
          </cell>
          <cell r="AA970" t="str">
            <v/>
          </cell>
          <cell r="AB970">
            <v>0</v>
          </cell>
          <cell r="AC970">
            <v>0</v>
          </cell>
          <cell r="AI970" t="str">
            <v/>
          </cell>
          <cell r="AJ970" t="str">
            <v/>
          </cell>
          <cell r="AK970">
            <v>0</v>
          </cell>
          <cell r="AL970">
            <v>0</v>
          </cell>
          <cell r="AM970">
            <v>0</v>
          </cell>
        </row>
        <row r="971">
          <cell r="C971" t="str">
            <v/>
          </cell>
          <cell r="D971" t="str">
            <v/>
          </cell>
          <cell r="O971" t="str">
            <v/>
          </cell>
          <cell r="T971" t="str">
            <v/>
          </cell>
          <cell r="U971" t="str">
            <v/>
          </cell>
          <cell r="V971" t="str">
            <v/>
          </cell>
          <cell r="W971" t="str">
            <v/>
          </cell>
          <cell r="Y971" t="str">
            <v/>
          </cell>
          <cell r="AA971" t="str">
            <v/>
          </cell>
          <cell r="AB971">
            <v>0</v>
          </cell>
          <cell r="AC971">
            <v>0</v>
          </cell>
          <cell r="AI971" t="str">
            <v/>
          </cell>
          <cell r="AJ971" t="str">
            <v/>
          </cell>
          <cell r="AK971">
            <v>0</v>
          </cell>
          <cell r="AL971">
            <v>0</v>
          </cell>
          <cell r="AM971">
            <v>0</v>
          </cell>
        </row>
        <row r="972">
          <cell r="C972" t="str">
            <v/>
          </cell>
          <cell r="D972" t="str">
            <v/>
          </cell>
          <cell r="O972" t="str">
            <v/>
          </cell>
          <cell r="T972" t="str">
            <v/>
          </cell>
          <cell r="U972" t="str">
            <v/>
          </cell>
          <cell r="V972" t="str">
            <v/>
          </cell>
          <cell r="W972" t="str">
            <v/>
          </cell>
          <cell r="Y972" t="str">
            <v/>
          </cell>
          <cell r="AA972" t="str">
            <v/>
          </cell>
          <cell r="AB972">
            <v>0</v>
          </cell>
          <cell r="AC972">
            <v>0</v>
          </cell>
          <cell r="AI972" t="str">
            <v/>
          </cell>
          <cell r="AJ972" t="str">
            <v/>
          </cell>
          <cell r="AK972">
            <v>0</v>
          </cell>
          <cell r="AL972">
            <v>0</v>
          </cell>
          <cell r="AM972">
            <v>0</v>
          </cell>
        </row>
        <row r="973">
          <cell r="C973" t="str">
            <v/>
          </cell>
          <cell r="D973" t="str">
            <v/>
          </cell>
          <cell r="O973" t="str">
            <v/>
          </cell>
          <cell r="T973" t="str">
            <v/>
          </cell>
          <cell r="U973" t="str">
            <v/>
          </cell>
          <cell r="V973" t="str">
            <v/>
          </cell>
          <cell r="W973" t="str">
            <v/>
          </cell>
          <cell r="Y973" t="str">
            <v/>
          </cell>
          <cell r="AA973" t="str">
            <v/>
          </cell>
          <cell r="AB973">
            <v>0</v>
          </cell>
          <cell r="AC973">
            <v>0</v>
          </cell>
          <cell r="AI973" t="str">
            <v/>
          </cell>
          <cell r="AJ973" t="str">
            <v/>
          </cell>
          <cell r="AK973">
            <v>0</v>
          </cell>
          <cell r="AL973">
            <v>0</v>
          </cell>
          <cell r="AM973">
            <v>0</v>
          </cell>
        </row>
        <row r="974">
          <cell r="C974" t="str">
            <v/>
          </cell>
          <cell r="D974" t="str">
            <v/>
          </cell>
          <cell r="O974" t="str">
            <v/>
          </cell>
          <cell r="T974" t="str">
            <v/>
          </cell>
          <cell r="U974" t="str">
            <v/>
          </cell>
          <cell r="V974" t="str">
            <v/>
          </cell>
          <cell r="W974" t="str">
            <v/>
          </cell>
          <cell r="Y974" t="str">
            <v/>
          </cell>
          <cell r="AA974" t="str">
            <v/>
          </cell>
          <cell r="AB974">
            <v>0</v>
          </cell>
          <cell r="AC974">
            <v>0</v>
          </cell>
          <cell r="AI974" t="str">
            <v/>
          </cell>
          <cell r="AJ974" t="str">
            <v/>
          </cell>
          <cell r="AK974">
            <v>0</v>
          </cell>
          <cell r="AL974">
            <v>0</v>
          </cell>
          <cell r="AM974">
            <v>0</v>
          </cell>
        </row>
        <row r="975">
          <cell r="C975" t="str">
            <v/>
          </cell>
          <cell r="D975" t="str">
            <v/>
          </cell>
          <cell r="O975" t="str">
            <v/>
          </cell>
          <cell r="T975" t="str">
            <v/>
          </cell>
          <cell r="U975" t="str">
            <v/>
          </cell>
          <cell r="V975" t="str">
            <v/>
          </cell>
          <cell r="W975" t="str">
            <v/>
          </cell>
          <cell r="Y975" t="str">
            <v/>
          </cell>
          <cell r="AA975" t="str">
            <v/>
          </cell>
          <cell r="AB975">
            <v>0</v>
          </cell>
          <cell r="AC975">
            <v>0</v>
          </cell>
          <cell r="AI975" t="str">
            <v/>
          </cell>
          <cell r="AJ975" t="str">
            <v/>
          </cell>
          <cell r="AK975">
            <v>0</v>
          </cell>
          <cell r="AL975">
            <v>0</v>
          </cell>
          <cell r="AM975">
            <v>0</v>
          </cell>
        </row>
        <row r="976">
          <cell r="C976" t="str">
            <v/>
          </cell>
          <cell r="D976" t="str">
            <v/>
          </cell>
          <cell r="O976" t="str">
            <v/>
          </cell>
          <cell r="T976" t="str">
            <v/>
          </cell>
          <cell r="U976" t="str">
            <v/>
          </cell>
          <cell r="V976" t="str">
            <v/>
          </cell>
          <cell r="W976" t="str">
            <v/>
          </cell>
          <cell r="Y976" t="str">
            <v/>
          </cell>
          <cell r="AA976" t="str">
            <v/>
          </cell>
          <cell r="AB976">
            <v>0</v>
          </cell>
          <cell r="AC976">
            <v>0</v>
          </cell>
          <cell r="AI976" t="str">
            <v/>
          </cell>
          <cell r="AJ976" t="str">
            <v/>
          </cell>
          <cell r="AK976">
            <v>0</v>
          </cell>
          <cell r="AL976">
            <v>0</v>
          </cell>
          <cell r="AM976">
            <v>0</v>
          </cell>
        </row>
        <row r="977">
          <cell r="C977" t="str">
            <v/>
          </cell>
          <cell r="D977" t="str">
            <v/>
          </cell>
          <cell r="O977" t="str">
            <v/>
          </cell>
          <cell r="T977" t="str">
            <v/>
          </cell>
          <cell r="U977" t="str">
            <v/>
          </cell>
          <cell r="V977" t="str">
            <v/>
          </cell>
          <cell r="W977" t="str">
            <v/>
          </cell>
          <cell r="Y977" t="str">
            <v/>
          </cell>
          <cell r="AA977" t="str">
            <v/>
          </cell>
          <cell r="AB977">
            <v>0</v>
          </cell>
          <cell r="AC977">
            <v>0</v>
          </cell>
          <cell r="AI977" t="str">
            <v/>
          </cell>
          <cell r="AJ977" t="str">
            <v/>
          </cell>
          <cell r="AK977">
            <v>0</v>
          </cell>
          <cell r="AL977">
            <v>0</v>
          </cell>
          <cell r="AM977">
            <v>0</v>
          </cell>
        </row>
        <row r="978">
          <cell r="C978" t="str">
            <v/>
          </cell>
          <cell r="D978" t="str">
            <v/>
          </cell>
          <cell r="O978" t="str">
            <v/>
          </cell>
          <cell r="T978" t="str">
            <v/>
          </cell>
          <cell r="U978" t="str">
            <v/>
          </cell>
          <cell r="V978" t="str">
            <v/>
          </cell>
          <cell r="W978" t="str">
            <v/>
          </cell>
          <cell r="Y978" t="str">
            <v/>
          </cell>
          <cell r="AA978" t="str">
            <v/>
          </cell>
          <cell r="AB978">
            <v>0</v>
          </cell>
          <cell r="AC978">
            <v>0</v>
          </cell>
          <cell r="AI978" t="str">
            <v/>
          </cell>
          <cell r="AJ978" t="str">
            <v/>
          </cell>
          <cell r="AK978">
            <v>0</v>
          </cell>
          <cell r="AL978">
            <v>0</v>
          </cell>
          <cell r="AM978">
            <v>0</v>
          </cell>
        </row>
        <row r="979">
          <cell r="C979" t="str">
            <v/>
          </cell>
          <cell r="D979" t="str">
            <v/>
          </cell>
          <cell r="O979" t="str">
            <v/>
          </cell>
          <cell r="T979" t="str">
            <v/>
          </cell>
          <cell r="U979" t="str">
            <v/>
          </cell>
          <cell r="V979" t="str">
            <v/>
          </cell>
          <cell r="W979" t="str">
            <v/>
          </cell>
          <cell r="Y979" t="str">
            <v/>
          </cell>
          <cell r="AA979" t="str">
            <v/>
          </cell>
          <cell r="AB979">
            <v>0</v>
          </cell>
          <cell r="AC979">
            <v>0</v>
          </cell>
          <cell r="AI979" t="str">
            <v/>
          </cell>
          <cell r="AJ979" t="str">
            <v/>
          </cell>
          <cell r="AK979">
            <v>0</v>
          </cell>
          <cell r="AL979">
            <v>0</v>
          </cell>
          <cell r="AM979">
            <v>0</v>
          </cell>
        </row>
        <row r="980">
          <cell r="C980" t="str">
            <v/>
          </cell>
          <cell r="D980" t="str">
            <v/>
          </cell>
          <cell r="O980" t="str">
            <v/>
          </cell>
          <cell r="T980" t="str">
            <v/>
          </cell>
          <cell r="U980" t="str">
            <v/>
          </cell>
          <cell r="V980" t="str">
            <v/>
          </cell>
          <cell r="W980" t="str">
            <v/>
          </cell>
          <cell r="Y980" t="str">
            <v/>
          </cell>
          <cell r="AA980" t="str">
            <v/>
          </cell>
          <cell r="AB980">
            <v>0</v>
          </cell>
          <cell r="AC980">
            <v>0</v>
          </cell>
          <cell r="AI980" t="str">
            <v/>
          </cell>
          <cell r="AJ980" t="str">
            <v/>
          </cell>
          <cell r="AK980">
            <v>0</v>
          </cell>
          <cell r="AL980">
            <v>0</v>
          </cell>
          <cell r="AM980">
            <v>0</v>
          </cell>
        </row>
        <row r="981">
          <cell r="C981" t="str">
            <v/>
          </cell>
          <cell r="D981" t="str">
            <v/>
          </cell>
          <cell r="O981" t="str">
            <v/>
          </cell>
          <cell r="T981" t="str">
            <v/>
          </cell>
          <cell r="U981" t="str">
            <v/>
          </cell>
          <cell r="V981" t="str">
            <v/>
          </cell>
          <cell r="W981" t="str">
            <v/>
          </cell>
          <cell r="Y981" t="str">
            <v/>
          </cell>
          <cell r="AA981" t="str">
            <v/>
          </cell>
          <cell r="AB981">
            <v>0</v>
          </cell>
          <cell r="AC981">
            <v>0</v>
          </cell>
          <cell r="AI981" t="str">
            <v/>
          </cell>
          <cell r="AJ981" t="str">
            <v/>
          </cell>
          <cell r="AK981">
            <v>0</v>
          </cell>
          <cell r="AL981">
            <v>0</v>
          </cell>
          <cell r="AM981">
            <v>0</v>
          </cell>
        </row>
        <row r="982">
          <cell r="C982" t="str">
            <v/>
          </cell>
          <cell r="D982" t="str">
            <v/>
          </cell>
          <cell r="O982" t="str">
            <v/>
          </cell>
          <cell r="T982" t="str">
            <v/>
          </cell>
          <cell r="U982" t="str">
            <v/>
          </cell>
          <cell r="V982" t="str">
            <v/>
          </cell>
          <cell r="W982" t="str">
            <v/>
          </cell>
          <cell r="Y982" t="str">
            <v/>
          </cell>
          <cell r="AA982" t="str">
            <v/>
          </cell>
          <cell r="AB982">
            <v>0</v>
          </cell>
          <cell r="AC982">
            <v>0</v>
          </cell>
          <cell r="AI982" t="str">
            <v/>
          </cell>
          <cell r="AJ982" t="str">
            <v/>
          </cell>
          <cell r="AK982">
            <v>0</v>
          </cell>
          <cell r="AL982">
            <v>0</v>
          </cell>
          <cell r="AM982">
            <v>0</v>
          </cell>
        </row>
        <row r="983">
          <cell r="C983" t="str">
            <v/>
          </cell>
          <cell r="D983" t="str">
            <v/>
          </cell>
          <cell r="O983" t="str">
            <v/>
          </cell>
          <cell r="T983" t="str">
            <v/>
          </cell>
          <cell r="U983" t="str">
            <v/>
          </cell>
          <cell r="V983" t="str">
            <v/>
          </cell>
          <cell r="W983" t="str">
            <v/>
          </cell>
          <cell r="Y983" t="str">
            <v/>
          </cell>
          <cell r="AA983" t="str">
            <v/>
          </cell>
          <cell r="AB983">
            <v>0</v>
          </cell>
          <cell r="AC983">
            <v>0</v>
          </cell>
          <cell r="AI983" t="str">
            <v/>
          </cell>
          <cell r="AJ983" t="str">
            <v/>
          </cell>
          <cell r="AK983">
            <v>0</v>
          </cell>
          <cell r="AL983">
            <v>0</v>
          </cell>
          <cell r="AM983">
            <v>0</v>
          </cell>
        </row>
        <row r="984">
          <cell r="C984" t="str">
            <v/>
          </cell>
          <cell r="D984" t="str">
            <v/>
          </cell>
          <cell r="O984" t="str">
            <v/>
          </cell>
          <cell r="T984" t="str">
            <v/>
          </cell>
          <cell r="U984" t="str">
            <v/>
          </cell>
          <cell r="V984" t="str">
            <v/>
          </cell>
          <cell r="W984" t="str">
            <v/>
          </cell>
          <cell r="Y984" t="str">
            <v/>
          </cell>
          <cell r="AA984" t="str">
            <v/>
          </cell>
          <cell r="AB984">
            <v>0</v>
          </cell>
          <cell r="AC984">
            <v>0</v>
          </cell>
          <cell r="AI984" t="str">
            <v/>
          </cell>
          <cell r="AJ984" t="str">
            <v/>
          </cell>
          <cell r="AK984">
            <v>0</v>
          </cell>
          <cell r="AL984">
            <v>0</v>
          </cell>
          <cell r="AM984">
            <v>0</v>
          </cell>
        </row>
        <row r="985">
          <cell r="C985" t="str">
            <v/>
          </cell>
          <cell r="D985" t="str">
            <v/>
          </cell>
          <cell r="O985" t="str">
            <v/>
          </cell>
          <cell r="T985" t="str">
            <v/>
          </cell>
          <cell r="U985" t="str">
            <v/>
          </cell>
          <cell r="V985" t="str">
            <v/>
          </cell>
          <cell r="W985" t="str">
            <v/>
          </cell>
          <cell r="Y985" t="str">
            <v/>
          </cell>
          <cell r="AA985" t="str">
            <v/>
          </cell>
          <cell r="AB985">
            <v>0</v>
          </cell>
          <cell r="AC985">
            <v>0</v>
          </cell>
          <cell r="AI985" t="str">
            <v/>
          </cell>
          <cell r="AJ985" t="str">
            <v/>
          </cell>
          <cell r="AK985">
            <v>0</v>
          </cell>
          <cell r="AL985">
            <v>0</v>
          </cell>
          <cell r="AM985">
            <v>0</v>
          </cell>
        </row>
        <row r="986">
          <cell r="C986" t="str">
            <v/>
          </cell>
          <cell r="D986" t="str">
            <v/>
          </cell>
          <cell r="O986" t="str">
            <v/>
          </cell>
          <cell r="T986" t="str">
            <v/>
          </cell>
          <cell r="U986" t="str">
            <v/>
          </cell>
          <cell r="V986" t="str">
            <v/>
          </cell>
          <cell r="W986" t="str">
            <v/>
          </cell>
          <cell r="Y986" t="str">
            <v/>
          </cell>
          <cell r="AA986" t="str">
            <v/>
          </cell>
          <cell r="AB986">
            <v>0</v>
          </cell>
          <cell r="AC986">
            <v>0</v>
          </cell>
          <cell r="AI986" t="str">
            <v/>
          </cell>
          <cell r="AJ986" t="str">
            <v/>
          </cell>
          <cell r="AK986">
            <v>0</v>
          </cell>
          <cell r="AL986">
            <v>0</v>
          </cell>
          <cell r="AM986">
            <v>0</v>
          </cell>
        </row>
        <row r="987">
          <cell r="C987" t="str">
            <v/>
          </cell>
          <cell r="D987" t="str">
            <v/>
          </cell>
          <cell r="O987" t="str">
            <v/>
          </cell>
          <cell r="T987" t="str">
            <v/>
          </cell>
          <cell r="U987" t="str">
            <v/>
          </cell>
          <cell r="V987" t="str">
            <v/>
          </cell>
          <cell r="W987" t="str">
            <v/>
          </cell>
          <cell r="Y987" t="str">
            <v/>
          </cell>
          <cell r="AA987" t="str">
            <v/>
          </cell>
          <cell r="AB987">
            <v>0</v>
          </cell>
          <cell r="AC987">
            <v>0</v>
          </cell>
          <cell r="AI987" t="str">
            <v/>
          </cell>
          <cell r="AJ987" t="str">
            <v/>
          </cell>
          <cell r="AK987">
            <v>0</v>
          </cell>
          <cell r="AL987">
            <v>0</v>
          </cell>
          <cell r="AM987">
            <v>0</v>
          </cell>
        </row>
        <row r="988">
          <cell r="C988" t="str">
            <v/>
          </cell>
          <cell r="D988" t="str">
            <v/>
          </cell>
          <cell r="O988" t="str">
            <v/>
          </cell>
          <cell r="T988" t="str">
            <v/>
          </cell>
          <cell r="U988" t="str">
            <v/>
          </cell>
          <cell r="V988" t="str">
            <v/>
          </cell>
          <cell r="W988" t="str">
            <v/>
          </cell>
          <cell r="Y988" t="str">
            <v/>
          </cell>
          <cell r="AA988" t="str">
            <v/>
          </cell>
          <cell r="AB988">
            <v>0</v>
          </cell>
          <cell r="AC988">
            <v>0</v>
          </cell>
          <cell r="AI988" t="str">
            <v/>
          </cell>
          <cell r="AJ988" t="str">
            <v/>
          </cell>
          <cell r="AK988">
            <v>0</v>
          </cell>
          <cell r="AL988">
            <v>0</v>
          </cell>
          <cell r="AM988">
            <v>0</v>
          </cell>
        </row>
        <row r="989">
          <cell r="C989" t="str">
            <v/>
          </cell>
          <cell r="D989" t="str">
            <v/>
          </cell>
          <cell r="O989" t="str">
            <v/>
          </cell>
          <cell r="T989" t="str">
            <v/>
          </cell>
          <cell r="U989" t="str">
            <v/>
          </cell>
          <cell r="V989" t="str">
            <v/>
          </cell>
          <cell r="W989" t="str">
            <v/>
          </cell>
          <cell r="Y989" t="str">
            <v/>
          </cell>
          <cell r="AA989" t="str">
            <v/>
          </cell>
          <cell r="AB989">
            <v>0</v>
          </cell>
          <cell r="AC989">
            <v>0</v>
          </cell>
          <cell r="AI989" t="str">
            <v/>
          </cell>
          <cell r="AJ989" t="str">
            <v/>
          </cell>
          <cell r="AK989">
            <v>0</v>
          </cell>
          <cell r="AL989">
            <v>0</v>
          </cell>
          <cell r="AM989">
            <v>0</v>
          </cell>
        </row>
        <row r="990">
          <cell r="C990" t="str">
            <v/>
          </cell>
          <cell r="D990" t="str">
            <v/>
          </cell>
          <cell r="O990" t="str">
            <v/>
          </cell>
          <cell r="T990" t="str">
            <v/>
          </cell>
          <cell r="U990" t="str">
            <v/>
          </cell>
          <cell r="V990" t="str">
            <v/>
          </cell>
          <cell r="W990" t="str">
            <v/>
          </cell>
          <cell r="Y990" t="str">
            <v/>
          </cell>
          <cell r="AA990" t="str">
            <v/>
          </cell>
          <cell r="AB990">
            <v>0</v>
          </cell>
          <cell r="AC990">
            <v>0</v>
          </cell>
          <cell r="AI990" t="str">
            <v/>
          </cell>
          <cell r="AJ990" t="str">
            <v/>
          </cell>
          <cell r="AK990">
            <v>0</v>
          </cell>
          <cell r="AL990">
            <v>0</v>
          </cell>
          <cell r="AM990">
            <v>0</v>
          </cell>
        </row>
        <row r="991">
          <cell r="C991" t="str">
            <v/>
          </cell>
          <cell r="D991" t="str">
            <v/>
          </cell>
          <cell r="O991" t="str">
            <v/>
          </cell>
          <cell r="T991" t="str">
            <v/>
          </cell>
          <cell r="U991" t="str">
            <v/>
          </cell>
          <cell r="V991" t="str">
            <v/>
          </cell>
          <cell r="W991" t="str">
            <v/>
          </cell>
          <cell r="Y991" t="str">
            <v/>
          </cell>
          <cell r="AA991" t="str">
            <v/>
          </cell>
          <cell r="AB991">
            <v>0</v>
          </cell>
          <cell r="AC991">
            <v>0</v>
          </cell>
          <cell r="AI991" t="str">
            <v/>
          </cell>
          <cell r="AJ991" t="str">
            <v/>
          </cell>
          <cell r="AK991">
            <v>0</v>
          </cell>
          <cell r="AL991">
            <v>0</v>
          </cell>
          <cell r="AM991">
            <v>0</v>
          </cell>
        </row>
        <row r="992">
          <cell r="C992" t="str">
            <v/>
          </cell>
          <cell r="D992" t="str">
            <v/>
          </cell>
          <cell r="O992" t="str">
            <v/>
          </cell>
          <cell r="T992" t="str">
            <v/>
          </cell>
          <cell r="U992" t="str">
            <v/>
          </cell>
          <cell r="V992" t="str">
            <v/>
          </cell>
          <cell r="W992" t="str">
            <v/>
          </cell>
          <cell r="Y992" t="str">
            <v/>
          </cell>
          <cell r="AA992" t="str">
            <v/>
          </cell>
          <cell r="AB992">
            <v>0</v>
          </cell>
          <cell r="AC992">
            <v>0</v>
          </cell>
          <cell r="AI992" t="str">
            <v/>
          </cell>
          <cell r="AJ992" t="str">
            <v/>
          </cell>
          <cell r="AK992">
            <v>0</v>
          </cell>
          <cell r="AL992">
            <v>0</v>
          </cell>
          <cell r="AM992">
            <v>0</v>
          </cell>
        </row>
        <row r="993">
          <cell r="C993" t="str">
            <v/>
          </cell>
          <cell r="D993" t="str">
            <v/>
          </cell>
          <cell r="O993" t="str">
            <v/>
          </cell>
          <cell r="T993" t="str">
            <v/>
          </cell>
          <cell r="U993" t="str">
            <v/>
          </cell>
          <cell r="V993" t="str">
            <v/>
          </cell>
          <cell r="W993" t="str">
            <v/>
          </cell>
          <cell r="Y993" t="str">
            <v/>
          </cell>
          <cell r="AA993" t="str">
            <v/>
          </cell>
          <cell r="AB993">
            <v>0</v>
          </cell>
          <cell r="AC993">
            <v>0</v>
          </cell>
          <cell r="AI993" t="str">
            <v/>
          </cell>
          <cell r="AJ993" t="str">
            <v/>
          </cell>
          <cell r="AK993">
            <v>0</v>
          </cell>
          <cell r="AL993">
            <v>0</v>
          </cell>
          <cell r="AM993">
            <v>0</v>
          </cell>
        </row>
        <row r="994">
          <cell r="C994" t="str">
            <v/>
          </cell>
          <cell r="D994" t="str">
            <v/>
          </cell>
          <cell r="O994" t="str">
            <v/>
          </cell>
          <cell r="T994" t="str">
            <v/>
          </cell>
          <cell r="U994" t="str">
            <v/>
          </cell>
          <cell r="V994" t="str">
            <v/>
          </cell>
          <cell r="W994" t="str">
            <v/>
          </cell>
          <cell r="Y994" t="str">
            <v/>
          </cell>
          <cell r="AA994" t="str">
            <v/>
          </cell>
          <cell r="AB994">
            <v>0</v>
          </cell>
          <cell r="AC994">
            <v>0</v>
          </cell>
          <cell r="AI994" t="str">
            <v/>
          </cell>
          <cell r="AJ994" t="str">
            <v/>
          </cell>
          <cell r="AK994">
            <v>0</v>
          </cell>
          <cell r="AL994">
            <v>0</v>
          </cell>
          <cell r="AM994">
            <v>0</v>
          </cell>
        </row>
        <row r="995">
          <cell r="C995" t="str">
            <v/>
          </cell>
          <cell r="D995" t="str">
            <v/>
          </cell>
          <cell r="O995" t="str">
            <v/>
          </cell>
          <cell r="T995" t="str">
            <v/>
          </cell>
          <cell r="U995" t="str">
            <v/>
          </cell>
          <cell r="V995" t="str">
            <v/>
          </cell>
          <cell r="W995" t="str">
            <v/>
          </cell>
          <cell r="Y995" t="str">
            <v/>
          </cell>
          <cell r="AA995" t="str">
            <v/>
          </cell>
          <cell r="AB995">
            <v>0</v>
          </cell>
          <cell r="AC995">
            <v>0</v>
          </cell>
          <cell r="AI995" t="str">
            <v/>
          </cell>
          <cell r="AJ995" t="str">
            <v/>
          </cell>
          <cell r="AK995">
            <v>0</v>
          </cell>
          <cell r="AL995">
            <v>0</v>
          </cell>
          <cell r="AM995">
            <v>0</v>
          </cell>
        </row>
        <row r="996">
          <cell r="C996" t="str">
            <v/>
          </cell>
          <cell r="D996" t="str">
            <v/>
          </cell>
          <cell r="O996" t="str">
            <v/>
          </cell>
          <cell r="T996" t="str">
            <v/>
          </cell>
          <cell r="U996" t="str">
            <v/>
          </cell>
          <cell r="V996" t="str">
            <v/>
          </cell>
          <cell r="W996" t="str">
            <v/>
          </cell>
          <cell r="Y996" t="str">
            <v/>
          </cell>
          <cell r="AA996" t="str">
            <v/>
          </cell>
          <cell r="AB996">
            <v>0</v>
          </cell>
          <cell r="AC996">
            <v>0</v>
          </cell>
          <cell r="AI996" t="str">
            <v/>
          </cell>
          <cell r="AJ996" t="str">
            <v/>
          </cell>
          <cell r="AK996">
            <v>0</v>
          </cell>
          <cell r="AL996">
            <v>0</v>
          </cell>
          <cell r="AM996">
            <v>0</v>
          </cell>
        </row>
        <row r="997">
          <cell r="C997" t="str">
            <v/>
          </cell>
          <cell r="D997" t="str">
            <v/>
          </cell>
          <cell r="O997" t="str">
            <v/>
          </cell>
          <cell r="T997" t="str">
            <v/>
          </cell>
          <cell r="U997" t="str">
            <v/>
          </cell>
          <cell r="V997" t="str">
            <v/>
          </cell>
          <cell r="W997" t="str">
            <v/>
          </cell>
          <cell r="Y997" t="str">
            <v/>
          </cell>
          <cell r="AA997" t="str">
            <v/>
          </cell>
          <cell r="AB997">
            <v>0</v>
          </cell>
          <cell r="AC997">
            <v>0</v>
          </cell>
          <cell r="AI997" t="str">
            <v/>
          </cell>
          <cell r="AJ997" t="str">
            <v/>
          </cell>
          <cell r="AK997">
            <v>0</v>
          </cell>
          <cell r="AL997">
            <v>0</v>
          </cell>
          <cell r="AM997">
            <v>0</v>
          </cell>
        </row>
        <row r="998">
          <cell r="C998" t="str">
            <v/>
          </cell>
          <cell r="D998" t="str">
            <v/>
          </cell>
          <cell r="O998" t="str">
            <v/>
          </cell>
          <cell r="T998" t="str">
            <v/>
          </cell>
          <cell r="U998" t="str">
            <v/>
          </cell>
          <cell r="V998" t="str">
            <v/>
          </cell>
          <cell r="W998" t="str">
            <v/>
          </cell>
          <cell r="Y998" t="str">
            <v/>
          </cell>
          <cell r="AA998" t="str">
            <v/>
          </cell>
          <cell r="AB998">
            <v>0</v>
          </cell>
          <cell r="AC998">
            <v>0</v>
          </cell>
          <cell r="AI998" t="str">
            <v/>
          </cell>
          <cell r="AJ998" t="str">
            <v/>
          </cell>
          <cell r="AK998">
            <v>0</v>
          </cell>
          <cell r="AL998">
            <v>0</v>
          </cell>
          <cell r="AM998">
            <v>0</v>
          </cell>
        </row>
        <row r="999">
          <cell r="C999" t="str">
            <v/>
          </cell>
          <cell r="D999" t="str">
            <v/>
          </cell>
          <cell r="O999" t="str">
            <v/>
          </cell>
          <cell r="T999" t="str">
            <v/>
          </cell>
          <cell r="U999" t="str">
            <v/>
          </cell>
          <cell r="V999" t="str">
            <v/>
          </cell>
          <cell r="W999" t="str">
            <v/>
          </cell>
          <cell r="Y999" t="str">
            <v/>
          </cell>
          <cell r="AA999" t="str">
            <v/>
          </cell>
          <cell r="AB999">
            <v>0</v>
          </cell>
          <cell r="AC999">
            <v>0</v>
          </cell>
          <cell r="AI999" t="str">
            <v/>
          </cell>
          <cell r="AJ999" t="str">
            <v/>
          </cell>
          <cell r="AK999">
            <v>0</v>
          </cell>
          <cell r="AL999">
            <v>0</v>
          </cell>
          <cell r="AM999">
            <v>0</v>
          </cell>
        </row>
        <row r="1000">
          <cell r="C1000" t="str">
            <v/>
          </cell>
          <cell r="D1000" t="str">
            <v/>
          </cell>
          <cell r="O1000" t="str">
            <v/>
          </cell>
          <cell r="T1000" t="str">
            <v/>
          </cell>
          <cell r="U1000" t="str">
            <v/>
          </cell>
          <cell r="V1000" t="str">
            <v/>
          </cell>
          <cell r="W1000" t="str">
            <v/>
          </cell>
          <cell r="Y1000" t="str">
            <v/>
          </cell>
          <cell r="AA1000" t="str">
            <v/>
          </cell>
          <cell r="AB1000">
            <v>0</v>
          </cell>
          <cell r="AC1000">
            <v>0</v>
          </cell>
          <cell r="AI1000" t="str">
            <v/>
          </cell>
          <cell r="AJ1000" t="str">
            <v/>
          </cell>
          <cell r="AK1000">
            <v>0</v>
          </cell>
          <cell r="AL1000">
            <v>0</v>
          </cell>
          <cell r="AM1000">
            <v>0</v>
          </cell>
        </row>
        <row r="1001">
          <cell r="C1001" t="str">
            <v/>
          </cell>
          <cell r="D1001" t="str">
            <v/>
          </cell>
          <cell r="O1001" t="str">
            <v/>
          </cell>
          <cell r="T1001" t="str">
            <v/>
          </cell>
          <cell r="U1001" t="str">
            <v/>
          </cell>
          <cell r="V1001" t="str">
            <v/>
          </cell>
          <cell r="W1001" t="str">
            <v/>
          </cell>
          <cell r="Y1001" t="str">
            <v/>
          </cell>
          <cell r="AA1001" t="str">
            <v/>
          </cell>
          <cell r="AB1001">
            <v>0</v>
          </cell>
          <cell r="AC1001">
            <v>0</v>
          </cell>
          <cell r="AI1001" t="str">
            <v/>
          </cell>
          <cell r="AJ1001" t="str">
            <v/>
          </cell>
          <cell r="AK1001">
            <v>0</v>
          </cell>
          <cell r="AL1001">
            <v>0</v>
          </cell>
          <cell r="AM1001">
            <v>0</v>
          </cell>
        </row>
        <row r="1002">
          <cell r="C1002" t="str">
            <v/>
          </cell>
          <cell r="D1002" t="str">
            <v/>
          </cell>
          <cell r="O1002" t="str">
            <v/>
          </cell>
          <cell r="T1002" t="str">
            <v/>
          </cell>
          <cell r="U1002" t="str">
            <v/>
          </cell>
          <cell r="V1002" t="str">
            <v/>
          </cell>
          <cell r="W1002" t="str">
            <v/>
          </cell>
          <cell r="Y1002" t="str">
            <v/>
          </cell>
          <cell r="AA1002" t="str">
            <v/>
          </cell>
          <cell r="AB1002">
            <v>0</v>
          </cell>
          <cell r="AC1002">
            <v>0</v>
          </cell>
          <cell r="AI1002" t="str">
            <v/>
          </cell>
          <cell r="AJ1002" t="str">
            <v/>
          </cell>
          <cell r="AK1002">
            <v>0</v>
          </cell>
          <cell r="AL1002">
            <v>0</v>
          </cell>
          <cell r="AM1002">
            <v>0</v>
          </cell>
        </row>
        <row r="1003">
          <cell r="C1003" t="str">
            <v/>
          </cell>
          <cell r="D1003" t="str">
            <v/>
          </cell>
          <cell r="O1003" t="str">
            <v/>
          </cell>
          <cell r="T1003" t="str">
            <v/>
          </cell>
          <cell r="U1003" t="str">
            <v/>
          </cell>
          <cell r="V1003" t="str">
            <v/>
          </cell>
          <cell r="W1003" t="str">
            <v/>
          </cell>
          <cell r="Y1003" t="str">
            <v/>
          </cell>
          <cell r="AA1003" t="str">
            <v/>
          </cell>
          <cell r="AB1003">
            <v>0</v>
          </cell>
          <cell r="AC1003">
            <v>0</v>
          </cell>
          <cell r="AI1003" t="str">
            <v/>
          </cell>
          <cell r="AJ1003" t="str">
            <v/>
          </cell>
          <cell r="AK1003">
            <v>0</v>
          </cell>
          <cell r="AL1003">
            <v>0</v>
          </cell>
          <cell r="AM1003">
            <v>0</v>
          </cell>
        </row>
        <row r="1004">
          <cell r="C1004" t="str">
            <v/>
          </cell>
          <cell r="D1004" t="str">
            <v/>
          </cell>
          <cell r="O1004" t="str">
            <v/>
          </cell>
          <cell r="T1004" t="str">
            <v/>
          </cell>
          <cell r="U1004" t="str">
            <v/>
          </cell>
          <cell r="V1004" t="str">
            <v/>
          </cell>
          <cell r="W1004" t="str">
            <v/>
          </cell>
          <cell r="Y1004" t="str">
            <v/>
          </cell>
          <cell r="AA1004" t="str">
            <v/>
          </cell>
          <cell r="AB1004">
            <v>0</v>
          </cell>
          <cell r="AC1004">
            <v>0</v>
          </cell>
          <cell r="AI1004" t="str">
            <v/>
          </cell>
          <cell r="AJ1004" t="str">
            <v/>
          </cell>
          <cell r="AK1004">
            <v>0</v>
          </cell>
          <cell r="AL1004">
            <v>0</v>
          </cell>
          <cell r="AM1004">
            <v>0</v>
          </cell>
        </row>
        <row r="1005">
          <cell r="C1005" t="str">
            <v/>
          </cell>
          <cell r="D1005" t="str">
            <v/>
          </cell>
          <cell r="O1005" t="str">
            <v/>
          </cell>
          <cell r="T1005" t="str">
            <v/>
          </cell>
          <cell r="U1005" t="str">
            <v/>
          </cell>
          <cell r="V1005" t="str">
            <v/>
          </cell>
          <cell r="W1005" t="str">
            <v/>
          </cell>
          <cell r="Y1005" t="str">
            <v/>
          </cell>
          <cell r="AA1005" t="str">
            <v/>
          </cell>
          <cell r="AB1005">
            <v>0</v>
          </cell>
          <cell r="AC1005">
            <v>0</v>
          </cell>
          <cell r="AI1005" t="str">
            <v/>
          </cell>
          <cell r="AJ1005" t="str">
            <v/>
          </cell>
          <cell r="AK1005">
            <v>0</v>
          </cell>
          <cell r="AL1005">
            <v>0</v>
          </cell>
          <cell r="AM1005">
            <v>0</v>
          </cell>
        </row>
        <row r="1006">
          <cell r="C1006" t="str">
            <v/>
          </cell>
          <cell r="D1006" t="str">
            <v/>
          </cell>
          <cell r="O1006" t="str">
            <v/>
          </cell>
          <cell r="T1006" t="str">
            <v/>
          </cell>
          <cell r="U1006" t="str">
            <v/>
          </cell>
          <cell r="V1006" t="str">
            <v/>
          </cell>
          <cell r="W1006" t="str">
            <v/>
          </cell>
          <cell r="Y1006" t="str">
            <v/>
          </cell>
          <cell r="AA1006" t="str">
            <v/>
          </cell>
          <cell r="AB1006">
            <v>0</v>
          </cell>
          <cell r="AC1006">
            <v>0</v>
          </cell>
          <cell r="AI1006" t="str">
            <v/>
          </cell>
          <cell r="AJ1006" t="str">
            <v/>
          </cell>
          <cell r="AK1006">
            <v>0</v>
          </cell>
          <cell r="AL1006">
            <v>0</v>
          </cell>
          <cell r="AM1006">
            <v>0</v>
          </cell>
        </row>
        <row r="1007">
          <cell r="C1007" t="str">
            <v/>
          </cell>
          <cell r="D1007" t="str">
            <v/>
          </cell>
          <cell r="O1007" t="str">
            <v/>
          </cell>
          <cell r="T1007" t="str">
            <v/>
          </cell>
          <cell r="U1007" t="str">
            <v/>
          </cell>
          <cell r="V1007" t="str">
            <v/>
          </cell>
          <cell r="W1007" t="str">
            <v/>
          </cell>
          <cell r="Y1007" t="str">
            <v/>
          </cell>
          <cell r="AA1007" t="str">
            <v/>
          </cell>
          <cell r="AB1007">
            <v>0</v>
          </cell>
          <cell r="AC1007">
            <v>0</v>
          </cell>
          <cell r="AI1007" t="str">
            <v/>
          </cell>
          <cell r="AJ1007" t="str">
            <v/>
          </cell>
          <cell r="AK1007">
            <v>0</v>
          </cell>
          <cell r="AL1007">
            <v>0</v>
          </cell>
          <cell r="AM1007">
            <v>0</v>
          </cell>
        </row>
        <row r="1008">
          <cell r="C1008" t="str">
            <v/>
          </cell>
          <cell r="D1008" t="str">
            <v/>
          </cell>
          <cell r="O1008" t="str">
            <v/>
          </cell>
          <cell r="T1008" t="str">
            <v/>
          </cell>
          <cell r="U1008" t="str">
            <v/>
          </cell>
          <cell r="V1008" t="str">
            <v/>
          </cell>
          <cell r="W1008" t="str">
            <v/>
          </cell>
          <cell r="Y1008" t="str">
            <v/>
          </cell>
          <cell r="AA1008" t="str">
            <v/>
          </cell>
          <cell r="AB1008">
            <v>0</v>
          </cell>
          <cell r="AC1008">
            <v>0</v>
          </cell>
          <cell r="AI1008" t="str">
            <v/>
          </cell>
          <cell r="AJ1008" t="str">
            <v/>
          </cell>
          <cell r="AK1008">
            <v>0</v>
          </cell>
          <cell r="AL1008">
            <v>0</v>
          </cell>
          <cell r="AM1008">
            <v>0</v>
          </cell>
        </row>
        <row r="1009">
          <cell r="C1009" t="str">
            <v/>
          </cell>
          <cell r="D1009" t="str">
            <v/>
          </cell>
          <cell r="O1009" t="str">
            <v/>
          </cell>
          <cell r="T1009" t="str">
            <v/>
          </cell>
          <cell r="U1009" t="str">
            <v/>
          </cell>
          <cell r="V1009" t="str">
            <v/>
          </cell>
          <cell r="W1009" t="str">
            <v/>
          </cell>
          <cell r="Y1009" t="str">
            <v/>
          </cell>
          <cell r="AA1009" t="str">
            <v/>
          </cell>
          <cell r="AB1009">
            <v>0</v>
          </cell>
          <cell r="AC1009">
            <v>0</v>
          </cell>
          <cell r="AI1009" t="str">
            <v/>
          </cell>
          <cell r="AJ1009" t="str">
            <v/>
          </cell>
          <cell r="AK1009">
            <v>0</v>
          </cell>
          <cell r="AL1009">
            <v>0</v>
          </cell>
          <cell r="AM1009">
            <v>0</v>
          </cell>
        </row>
        <row r="1010">
          <cell r="C1010" t="str">
            <v/>
          </cell>
          <cell r="D1010" t="str">
            <v/>
          </cell>
          <cell r="O1010" t="str">
            <v/>
          </cell>
          <cell r="T1010" t="str">
            <v/>
          </cell>
          <cell r="U1010" t="str">
            <v/>
          </cell>
          <cell r="V1010" t="str">
            <v/>
          </cell>
          <cell r="W1010" t="str">
            <v/>
          </cell>
          <cell r="Y1010" t="str">
            <v/>
          </cell>
          <cell r="AA1010" t="str">
            <v/>
          </cell>
          <cell r="AB1010">
            <v>0</v>
          </cell>
          <cell r="AC1010">
            <v>0</v>
          </cell>
          <cell r="AI1010" t="str">
            <v/>
          </cell>
          <cell r="AJ1010" t="str">
            <v/>
          </cell>
          <cell r="AK1010">
            <v>0</v>
          </cell>
          <cell r="AL1010">
            <v>0</v>
          </cell>
          <cell r="AM1010">
            <v>0</v>
          </cell>
        </row>
        <row r="1011">
          <cell r="C1011" t="str">
            <v/>
          </cell>
          <cell r="D1011" t="str">
            <v/>
          </cell>
          <cell r="O1011" t="str">
            <v/>
          </cell>
          <cell r="T1011" t="str">
            <v/>
          </cell>
          <cell r="U1011" t="str">
            <v/>
          </cell>
          <cell r="V1011" t="str">
            <v/>
          </cell>
          <cell r="W1011" t="str">
            <v/>
          </cell>
          <cell r="Y1011" t="str">
            <v/>
          </cell>
          <cell r="AA1011" t="str">
            <v/>
          </cell>
          <cell r="AB1011">
            <v>0</v>
          </cell>
          <cell r="AC1011">
            <v>0</v>
          </cell>
          <cell r="AI1011" t="str">
            <v/>
          </cell>
          <cell r="AJ1011" t="str">
            <v/>
          </cell>
          <cell r="AK1011">
            <v>0</v>
          </cell>
          <cell r="AL1011">
            <v>0</v>
          </cell>
          <cell r="AM1011">
            <v>0</v>
          </cell>
        </row>
        <row r="1012">
          <cell r="C1012" t="str">
            <v/>
          </cell>
          <cell r="D1012" t="str">
            <v/>
          </cell>
          <cell r="O1012" t="str">
            <v/>
          </cell>
          <cell r="T1012" t="str">
            <v/>
          </cell>
          <cell r="U1012" t="str">
            <v/>
          </cell>
          <cell r="V1012" t="str">
            <v/>
          </cell>
          <cell r="W1012" t="str">
            <v/>
          </cell>
          <cell r="Y1012" t="str">
            <v/>
          </cell>
          <cell r="AA1012" t="str">
            <v/>
          </cell>
          <cell r="AB1012">
            <v>0</v>
          </cell>
          <cell r="AC1012">
            <v>0</v>
          </cell>
          <cell r="AI1012" t="str">
            <v/>
          </cell>
          <cell r="AJ1012" t="str">
            <v/>
          </cell>
          <cell r="AK1012">
            <v>0</v>
          </cell>
          <cell r="AL1012">
            <v>0</v>
          </cell>
          <cell r="AM1012">
            <v>0</v>
          </cell>
        </row>
        <row r="1013">
          <cell r="C1013" t="str">
            <v/>
          </cell>
          <cell r="D1013" t="str">
            <v/>
          </cell>
          <cell r="O1013" t="str">
            <v/>
          </cell>
          <cell r="T1013" t="str">
            <v/>
          </cell>
          <cell r="U1013" t="str">
            <v/>
          </cell>
          <cell r="V1013" t="str">
            <v/>
          </cell>
          <cell r="W1013" t="str">
            <v/>
          </cell>
          <cell r="Y1013" t="str">
            <v/>
          </cell>
          <cell r="AA1013" t="str">
            <v/>
          </cell>
          <cell r="AB1013">
            <v>0</v>
          </cell>
          <cell r="AC1013">
            <v>0</v>
          </cell>
          <cell r="AI1013" t="str">
            <v/>
          </cell>
          <cell r="AJ1013" t="str">
            <v/>
          </cell>
          <cell r="AK1013">
            <v>0</v>
          </cell>
          <cell r="AL1013">
            <v>0</v>
          </cell>
          <cell r="AM1013">
            <v>0</v>
          </cell>
        </row>
        <row r="1014">
          <cell r="C1014" t="str">
            <v/>
          </cell>
          <cell r="D1014" t="str">
            <v/>
          </cell>
          <cell r="O1014" t="str">
            <v/>
          </cell>
          <cell r="T1014" t="str">
            <v/>
          </cell>
          <cell r="U1014" t="str">
            <v/>
          </cell>
          <cell r="V1014" t="str">
            <v/>
          </cell>
          <cell r="W1014" t="str">
            <v/>
          </cell>
          <cell r="Y1014" t="str">
            <v/>
          </cell>
          <cell r="AA1014" t="str">
            <v/>
          </cell>
          <cell r="AB1014">
            <v>0</v>
          </cell>
          <cell r="AC1014">
            <v>0</v>
          </cell>
          <cell r="AI1014" t="str">
            <v/>
          </cell>
          <cell r="AJ1014" t="str">
            <v/>
          </cell>
          <cell r="AK1014">
            <v>0</v>
          </cell>
          <cell r="AL1014">
            <v>0</v>
          </cell>
          <cell r="AM1014">
            <v>0</v>
          </cell>
        </row>
        <row r="1015">
          <cell r="C1015" t="str">
            <v/>
          </cell>
          <cell r="D1015" t="str">
            <v/>
          </cell>
          <cell r="O1015" t="str">
            <v/>
          </cell>
          <cell r="T1015" t="str">
            <v/>
          </cell>
          <cell r="U1015" t="str">
            <v/>
          </cell>
          <cell r="V1015" t="str">
            <v/>
          </cell>
          <cell r="W1015" t="str">
            <v/>
          </cell>
          <cell r="Y1015" t="str">
            <v/>
          </cell>
          <cell r="AA1015" t="str">
            <v/>
          </cell>
          <cell r="AB1015">
            <v>0</v>
          </cell>
          <cell r="AC1015">
            <v>0</v>
          </cell>
          <cell r="AI1015" t="str">
            <v/>
          </cell>
          <cell r="AJ1015" t="str">
            <v/>
          </cell>
          <cell r="AK1015">
            <v>0</v>
          </cell>
          <cell r="AL1015">
            <v>0</v>
          </cell>
          <cell r="AM1015">
            <v>0</v>
          </cell>
        </row>
        <row r="1016">
          <cell r="C1016" t="str">
            <v/>
          </cell>
          <cell r="D1016" t="str">
            <v/>
          </cell>
          <cell r="O1016" t="str">
            <v/>
          </cell>
          <cell r="T1016" t="str">
            <v/>
          </cell>
          <cell r="U1016" t="str">
            <v/>
          </cell>
          <cell r="V1016" t="str">
            <v/>
          </cell>
          <cell r="W1016" t="str">
            <v/>
          </cell>
          <cell r="Y1016" t="str">
            <v/>
          </cell>
          <cell r="AA1016" t="str">
            <v/>
          </cell>
          <cell r="AB1016">
            <v>0</v>
          </cell>
          <cell r="AC1016">
            <v>0</v>
          </cell>
          <cell r="AI1016" t="str">
            <v/>
          </cell>
          <cell r="AJ1016" t="str">
            <v/>
          </cell>
          <cell r="AK1016">
            <v>0</v>
          </cell>
          <cell r="AL1016">
            <v>0</v>
          </cell>
          <cell r="AM1016">
            <v>0</v>
          </cell>
        </row>
        <row r="1017">
          <cell r="C1017" t="str">
            <v/>
          </cell>
          <cell r="D1017" t="str">
            <v/>
          </cell>
          <cell r="O1017" t="str">
            <v/>
          </cell>
          <cell r="T1017" t="str">
            <v/>
          </cell>
          <cell r="U1017" t="str">
            <v/>
          </cell>
          <cell r="V1017" t="str">
            <v/>
          </cell>
          <cell r="W1017" t="str">
            <v/>
          </cell>
          <cell r="Y1017" t="str">
            <v/>
          </cell>
          <cell r="AA1017" t="str">
            <v/>
          </cell>
          <cell r="AB1017">
            <v>0</v>
          </cell>
          <cell r="AC1017">
            <v>0</v>
          </cell>
          <cell r="AI1017" t="str">
            <v/>
          </cell>
          <cell r="AJ1017" t="str">
            <v/>
          </cell>
          <cell r="AK1017">
            <v>0</v>
          </cell>
          <cell r="AL1017">
            <v>0</v>
          </cell>
          <cell r="AM1017">
            <v>0</v>
          </cell>
        </row>
        <row r="1018">
          <cell r="C1018" t="str">
            <v/>
          </cell>
          <cell r="D1018" t="str">
            <v/>
          </cell>
          <cell r="O1018" t="str">
            <v/>
          </cell>
          <cell r="T1018" t="str">
            <v/>
          </cell>
          <cell r="U1018" t="str">
            <v/>
          </cell>
          <cell r="V1018" t="str">
            <v/>
          </cell>
          <cell r="W1018" t="str">
            <v/>
          </cell>
          <cell r="Y1018" t="str">
            <v/>
          </cell>
          <cell r="AA1018" t="str">
            <v/>
          </cell>
          <cell r="AB1018">
            <v>0</v>
          </cell>
          <cell r="AC1018">
            <v>0</v>
          </cell>
          <cell r="AI1018" t="str">
            <v/>
          </cell>
          <cell r="AJ1018" t="str">
            <v/>
          </cell>
          <cell r="AK1018">
            <v>0</v>
          </cell>
          <cell r="AL1018">
            <v>0</v>
          </cell>
          <cell r="AM1018">
            <v>0</v>
          </cell>
        </row>
        <row r="1019">
          <cell r="C1019" t="str">
            <v/>
          </cell>
          <cell r="D1019" t="str">
            <v/>
          </cell>
          <cell r="O1019" t="str">
            <v/>
          </cell>
          <cell r="T1019" t="str">
            <v/>
          </cell>
          <cell r="U1019" t="str">
            <v/>
          </cell>
          <cell r="V1019" t="str">
            <v/>
          </cell>
          <cell r="W1019" t="str">
            <v/>
          </cell>
          <cell r="Y1019" t="str">
            <v/>
          </cell>
          <cell r="AA1019" t="str">
            <v/>
          </cell>
          <cell r="AB1019">
            <v>0</v>
          </cell>
          <cell r="AC1019">
            <v>0</v>
          </cell>
          <cell r="AI1019" t="str">
            <v/>
          </cell>
          <cell r="AJ1019" t="str">
            <v/>
          </cell>
          <cell r="AK1019">
            <v>0</v>
          </cell>
          <cell r="AL1019">
            <v>0</v>
          </cell>
          <cell r="AM1019">
            <v>0</v>
          </cell>
        </row>
        <row r="1020">
          <cell r="C1020" t="str">
            <v/>
          </cell>
          <cell r="D1020" t="str">
            <v/>
          </cell>
          <cell r="O1020" t="str">
            <v/>
          </cell>
          <cell r="T1020" t="str">
            <v/>
          </cell>
          <cell r="U1020" t="str">
            <v/>
          </cell>
          <cell r="V1020" t="str">
            <v/>
          </cell>
          <cell r="W1020" t="str">
            <v/>
          </cell>
          <cell r="Y1020" t="str">
            <v/>
          </cell>
          <cell r="AA1020" t="str">
            <v/>
          </cell>
          <cell r="AB1020">
            <v>0</v>
          </cell>
          <cell r="AC1020">
            <v>0</v>
          </cell>
          <cell r="AI1020" t="str">
            <v/>
          </cell>
          <cell r="AJ1020" t="str">
            <v/>
          </cell>
          <cell r="AK1020">
            <v>0</v>
          </cell>
          <cell r="AL1020">
            <v>0</v>
          </cell>
          <cell r="AM1020">
            <v>0</v>
          </cell>
        </row>
        <row r="1021">
          <cell r="C1021" t="str">
            <v/>
          </cell>
          <cell r="D1021" t="str">
            <v/>
          </cell>
          <cell r="O1021" t="str">
            <v/>
          </cell>
          <cell r="T1021" t="str">
            <v/>
          </cell>
          <cell r="U1021" t="str">
            <v/>
          </cell>
          <cell r="V1021" t="str">
            <v/>
          </cell>
          <cell r="W1021" t="str">
            <v/>
          </cell>
          <cell r="Y1021" t="str">
            <v/>
          </cell>
          <cell r="AA1021" t="str">
            <v/>
          </cell>
          <cell r="AB1021">
            <v>0</v>
          </cell>
          <cell r="AC1021">
            <v>0</v>
          </cell>
          <cell r="AI1021" t="str">
            <v/>
          </cell>
          <cell r="AJ1021" t="str">
            <v/>
          </cell>
          <cell r="AK1021">
            <v>0</v>
          </cell>
          <cell r="AL1021">
            <v>0</v>
          </cell>
          <cell r="AM1021">
            <v>0</v>
          </cell>
        </row>
        <row r="1022">
          <cell r="C1022" t="str">
            <v/>
          </cell>
          <cell r="D1022" t="str">
            <v/>
          </cell>
          <cell r="O1022" t="str">
            <v/>
          </cell>
          <cell r="T1022" t="str">
            <v/>
          </cell>
          <cell r="U1022" t="str">
            <v/>
          </cell>
          <cell r="V1022" t="str">
            <v/>
          </cell>
          <cell r="W1022" t="str">
            <v/>
          </cell>
          <cell r="Y1022" t="str">
            <v/>
          </cell>
          <cell r="AA1022" t="str">
            <v/>
          </cell>
          <cell r="AB1022">
            <v>0</v>
          </cell>
          <cell r="AC1022">
            <v>0</v>
          </cell>
          <cell r="AI1022" t="str">
            <v/>
          </cell>
          <cell r="AJ1022" t="str">
            <v/>
          </cell>
          <cell r="AK1022">
            <v>0</v>
          </cell>
          <cell r="AL1022">
            <v>0</v>
          </cell>
          <cell r="AM1022">
            <v>0</v>
          </cell>
        </row>
        <row r="1023">
          <cell r="C1023" t="str">
            <v/>
          </cell>
          <cell r="D1023" t="str">
            <v/>
          </cell>
          <cell r="O1023" t="str">
            <v/>
          </cell>
          <cell r="T1023" t="str">
            <v/>
          </cell>
          <cell r="U1023" t="str">
            <v/>
          </cell>
          <cell r="V1023" t="str">
            <v/>
          </cell>
          <cell r="W1023" t="str">
            <v/>
          </cell>
          <cell r="Y1023" t="str">
            <v/>
          </cell>
          <cell r="AA1023" t="str">
            <v/>
          </cell>
          <cell r="AB1023">
            <v>0</v>
          </cell>
          <cell r="AC1023">
            <v>0</v>
          </cell>
          <cell r="AI1023" t="str">
            <v/>
          </cell>
          <cell r="AJ1023" t="str">
            <v/>
          </cell>
          <cell r="AK1023">
            <v>0</v>
          </cell>
          <cell r="AL1023">
            <v>0</v>
          </cell>
          <cell r="AM1023">
            <v>0</v>
          </cell>
        </row>
        <row r="1024">
          <cell r="C1024" t="str">
            <v/>
          </cell>
          <cell r="D1024" t="str">
            <v/>
          </cell>
          <cell r="O1024" t="str">
            <v/>
          </cell>
          <cell r="T1024" t="str">
            <v/>
          </cell>
          <cell r="U1024" t="str">
            <v/>
          </cell>
          <cell r="V1024" t="str">
            <v/>
          </cell>
          <cell r="W1024" t="str">
            <v/>
          </cell>
          <cell r="Y1024" t="str">
            <v/>
          </cell>
          <cell r="AA1024" t="str">
            <v/>
          </cell>
          <cell r="AB1024">
            <v>0</v>
          </cell>
          <cell r="AC1024">
            <v>0</v>
          </cell>
          <cell r="AI1024" t="str">
            <v/>
          </cell>
          <cell r="AJ1024" t="str">
            <v/>
          </cell>
          <cell r="AK1024">
            <v>0</v>
          </cell>
          <cell r="AL1024">
            <v>0</v>
          </cell>
          <cell r="AM1024">
            <v>0</v>
          </cell>
        </row>
        <row r="1025">
          <cell r="C1025" t="str">
            <v/>
          </cell>
          <cell r="D1025" t="str">
            <v/>
          </cell>
          <cell r="O1025" t="str">
            <v/>
          </cell>
          <cell r="T1025" t="str">
            <v/>
          </cell>
          <cell r="U1025" t="str">
            <v/>
          </cell>
          <cell r="V1025" t="str">
            <v/>
          </cell>
          <cell r="W1025" t="str">
            <v/>
          </cell>
          <cell r="Y1025" t="str">
            <v/>
          </cell>
          <cell r="AA1025" t="str">
            <v/>
          </cell>
          <cell r="AB1025">
            <v>0</v>
          </cell>
          <cell r="AC1025">
            <v>0</v>
          </cell>
          <cell r="AI1025" t="str">
            <v/>
          </cell>
          <cell r="AJ1025" t="str">
            <v/>
          </cell>
          <cell r="AK1025">
            <v>0</v>
          </cell>
          <cell r="AL1025">
            <v>0</v>
          </cell>
          <cell r="AM1025">
            <v>0</v>
          </cell>
        </row>
        <row r="1026">
          <cell r="C1026" t="str">
            <v/>
          </cell>
          <cell r="D1026" t="str">
            <v/>
          </cell>
          <cell r="O1026" t="str">
            <v/>
          </cell>
          <cell r="T1026" t="str">
            <v/>
          </cell>
          <cell r="U1026" t="str">
            <v/>
          </cell>
          <cell r="V1026" t="str">
            <v/>
          </cell>
          <cell r="W1026" t="str">
            <v/>
          </cell>
          <cell r="Y1026" t="str">
            <v/>
          </cell>
          <cell r="AA1026" t="str">
            <v/>
          </cell>
          <cell r="AB1026">
            <v>0</v>
          </cell>
          <cell r="AC1026">
            <v>0</v>
          </cell>
          <cell r="AI1026" t="str">
            <v/>
          </cell>
          <cell r="AJ1026" t="str">
            <v/>
          </cell>
          <cell r="AK1026">
            <v>0</v>
          </cell>
          <cell r="AL1026">
            <v>0</v>
          </cell>
          <cell r="AM1026">
            <v>0</v>
          </cell>
        </row>
        <row r="1027">
          <cell r="C1027" t="str">
            <v/>
          </cell>
          <cell r="D1027" t="str">
            <v/>
          </cell>
          <cell r="O1027" t="str">
            <v/>
          </cell>
          <cell r="T1027" t="str">
            <v/>
          </cell>
          <cell r="U1027" t="str">
            <v/>
          </cell>
          <cell r="V1027" t="str">
            <v/>
          </cell>
          <cell r="W1027" t="str">
            <v/>
          </cell>
          <cell r="Y1027" t="str">
            <v/>
          </cell>
          <cell r="AA1027" t="str">
            <v/>
          </cell>
          <cell r="AB1027">
            <v>0</v>
          </cell>
          <cell r="AC1027">
            <v>0</v>
          </cell>
          <cell r="AI1027" t="str">
            <v/>
          </cell>
          <cell r="AJ1027" t="str">
            <v/>
          </cell>
          <cell r="AK1027">
            <v>0</v>
          </cell>
          <cell r="AL1027">
            <v>0</v>
          </cell>
          <cell r="AM1027">
            <v>0</v>
          </cell>
        </row>
        <row r="1028">
          <cell r="C1028" t="str">
            <v/>
          </cell>
          <cell r="D1028" t="str">
            <v/>
          </cell>
          <cell r="O1028" t="str">
            <v/>
          </cell>
          <cell r="T1028" t="str">
            <v/>
          </cell>
          <cell r="U1028" t="str">
            <v/>
          </cell>
          <cell r="V1028" t="str">
            <v/>
          </cell>
          <cell r="W1028" t="str">
            <v/>
          </cell>
          <cell r="Y1028" t="str">
            <v/>
          </cell>
          <cell r="AA1028" t="str">
            <v/>
          </cell>
          <cell r="AB1028">
            <v>0</v>
          </cell>
          <cell r="AC1028">
            <v>0</v>
          </cell>
          <cell r="AI1028" t="str">
            <v/>
          </cell>
          <cell r="AJ1028" t="str">
            <v/>
          </cell>
          <cell r="AK1028">
            <v>0</v>
          </cell>
          <cell r="AL1028">
            <v>0</v>
          </cell>
          <cell r="AM1028">
            <v>0</v>
          </cell>
        </row>
        <row r="1029">
          <cell r="C1029" t="str">
            <v/>
          </cell>
          <cell r="D1029" t="str">
            <v/>
          </cell>
          <cell r="O1029" t="str">
            <v/>
          </cell>
          <cell r="T1029" t="str">
            <v/>
          </cell>
          <cell r="U1029" t="str">
            <v/>
          </cell>
          <cell r="V1029" t="str">
            <v/>
          </cell>
          <cell r="W1029" t="str">
            <v/>
          </cell>
          <cell r="Y1029" t="str">
            <v/>
          </cell>
          <cell r="AA1029" t="str">
            <v/>
          </cell>
          <cell r="AB1029">
            <v>0</v>
          </cell>
          <cell r="AC1029">
            <v>0</v>
          </cell>
          <cell r="AI1029" t="str">
            <v/>
          </cell>
          <cell r="AJ1029" t="str">
            <v/>
          </cell>
          <cell r="AK1029">
            <v>0</v>
          </cell>
          <cell r="AL1029">
            <v>0</v>
          </cell>
          <cell r="AM1029">
            <v>0</v>
          </cell>
        </row>
        <row r="1030">
          <cell r="C1030" t="str">
            <v/>
          </cell>
          <cell r="D1030" t="str">
            <v/>
          </cell>
          <cell r="O1030" t="str">
            <v/>
          </cell>
          <cell r="T1030" t="str">
            <v/>
          </cell>
          <cell r="U1030" t="str">
            <v/>
          </cell>
          <cell r="V1030" t="str">
            <v/>
          </cell>
          <cell r="W1030" t="str">
            <v/>
          </cell>
          <cell r="Y1030" t="str">
            <v/>
          </cell>
          <cell r="AA1030" t="str">
            <v/>
          </cell>
          <cell r="AB1030">
            <v>0</v>
          </cell>
          <cell r="AC1030">
            <v>0</v>
          </cell>
          <cell r="AI1030" t="str">
            <v/>
          </cell>
          <cell r="AJ1030" t="str">
            <v/>
          </cell>
          <cell r="AK1030">
            <v>0</v>
          </cell>
          <cell r="AL1030">
            <v>0</v>
          </cell>
          <cell r="AM1030">
            <v>0</v>
          </cell>
        </row>
        <row r="1031">
          <cell r="C1031" t="str">
            <v/>
          </cell>
          <cell r="D1031" t="str">
            <v/>
          </cell>
          <cell r="O1031" t="str">
            <v/>
          </cell>
          <cell r="T1031" t="str">
            <v/>
          </cell>
          <cell r="U1031" t="str">
            <v/>
          </cell>
          <cell r="V1031" t="str">
            <v/>
          </cell>
          <cell r="W1031" t="str">
            <v/>
          </cell>
          <cell r="Y1031" t="str">
            <v/>
          </cell>
          <cell r="AA1031" t="str">
            <v/>
          </cell>
          <cell r="AB1031">
            <v>0</v>
          </cell>
          <cell r="AC1031">
            <v>0</v>
          </cell>
          <cell r="AI1031" t="str">
            <v/>
          </cell>
          <cell r="AJ1031" t="str">
            <v/>
          </cell>
          <cell r="AK1031">
            <v>0</v>
          </cell>
          <cell r="AL1031">
            <v>0</v>
          </cell>
          <cell r="AM1031">
            <v>0</v>
          </cell>
        </row>
        <row r="1032">
          <cell r="C1032" t="str">
            <v/>
          </cell>
          <cell r="D1032" t="str">
            <v/>
          </cell>
          <cell r="O1032" t="str">
            <v/>
          </cell>
          <cell r="T1032" t="str">
            <v/>
          </cell>
          <cell r="U1032" t="str">
            <v/>
          </cell>
          <cell r="V1032" t="str">
            <v/>
          </cell>
          <cell r="W1032" t="str">
            <v/>
          </cell>
          <cell r="Y1032" t="str">
            <v/>
          </cell>
          <cell r="AA1032" t="str">
            <v/>
          </cell>
          <cell r="AB1032">
            <v>0</v>
          </cell>
          <cell r="AC1032">
            <v>0</v>
          </cell>
          <cell r="AI1032" t="str">
            <v/>
          </cell>
          <cell r="AJ1032" t="str">
            <v/>
          </cell>
          <cell r="AK1032">
            <v>0</v>
          </cell>
          <cell r="AL1032">
            <v>0</v>
          </cell>
          <cell r="AM1032">
            <v>0</v>
          </cell>
        </row>
        <row r="1033">
          <cell r="C1033" t="str">
            <v/>
          </cell>
          <cell r="D1033" t="str">
            <v/>
          </cell>
          <cell r="O1033" t="str">
            <v/>
          </cell>
          <cell r="T1033" t="str">
            <v/>
          </cell>
          <cell r="U1033" t="str">
            <v/>
          </cell>
          <cell r="V1033" t="str">
            <v/>
          </cell>
          <cell r="W1033" t="str">
            <v/>
          </cell>
          <cell r="Y1033" t="str">
            <v/>
          </cell>
          <cell r="AA1033" t="str">
            <v/>
          </cell>
          <cell r="AB1033">
            <v>0</v>
          </cell>
          <cell r="AC1033">
            <v>0</v>
          </cell>
          <cell r="AI1033" t="str">
            <v/>
          </cell>
          <cell r="AJ1033" t="str">
            <v/>
          </cell>
          <cell r="AK1033">
            <v>0</v>
          </cell>
          <cell r="AL1033">
            <v>0</v>
          </cell>
          <cell r="AM1033">
            <v>0</v>
          </cell>
        </row>
        <row r="1034">
          <cell r="C1034" t="str">
            <v/>
          </cell>
          <cell r="D1034" t="str">
            <v/>
          </cell>
          <cell r="O1034" t="str">
            <v/>
          </cell>
          <cell r="T1034" t="str">
            <v/>
          </cell>
          <cell r="U1034" t="str">
            <v/>
          </cell>
          <cell r="V1034" t="str">
            <v/>
          </cell>
          <cell r="W1034" t="str">
            <v/>
          </cell>
          <cell r="Y1034" t="str">
            <v/>
          </cell>
          <cell r="AA1034" t="str">
            <v/>
          </cell>
          <cell r="AB1034">
            <v>0</v>
          </cell>
          <cell r="AC1034">
            <v>0</v>
          </cell>
          <cell r="AI1034" t="str">
            <v/>
          </cell>
          <cell r="AJ1034" t="str">
            <v/>
          </cell>
          <cell r="AK1034">
            <v>0</v>
          </cell>
          <cell r="AL1034">
            <v>0</v>
          </cell>
          <cell r="AM1034">
            <v>0</v>
          </cell>
        </row>
        <row r="1035">
          <cell r="C1035" t="str">
            <v/>
          </cell>
          <cell r="D1035" t="str">
            <v/>
          </cell>
          <cell r="O1035" t="str">
            <v/>
          </cell>
          <cell r="T1035" t="str">
            <v/>
          </cell>
          <cell r="U1035" t="str">
            <v/>
          </cell>
          <cell r="V1035" t="str">
            <v/>
          </cell>
          <cell r="W1035" t="str">
            <v/>
          </cell>
          <cell r="Y1035" t="str">
            <v/>
          </cell>
          <cell r="AA1035" t="str">
            <v/>
          </cell>
          <cell r="AB1035">
            <v>0</v>
          </cell>
          <cell r="AC1035">
            <v>0</v>
          </cell>
          <cell r="AI1035" t="str">
            <v/>
          </cell>
          <cell r="AJ1035" t="str">
            <v/>
          </cell>
          <cell r="AK1035">
            <v>0</v>
          </cell>
          <cell r="AL1035">
            <v>0</v>
          </cell>
          <cell r="AM1035">
            <v>0</v>
          </cell>
        </row>
        <row r="1036">
          <cell r="C1036" t="str">
            <v/>
          </cell>
          <cell r="D1036" t="str">
            <v/>
          </cell>
          <cell r="O1036" t="str">
            <v/>
          </cell>
          <cell r="T1036" t="str">
            <v/>
          </cell>
          <cell r="U1036" t="str">
            <v/>
          </cell>
          <cell r="V1036" t="str">
            <v/>
          </cell>
          <cell r="W1036" t="str">
            <v/>
          </cell>
          <cell r="Y1036" t="str">
            <v/>
          </cell>
          <cell r="AA1036" t="str">
            <v/>
          </cell>
          <cell r="AB1036">
            <v>0</v>
          </cell>
          <cell r="AC1036">
            <v>0</v>
          </cell>
          <cell r="AI1036" t="str">
            <v/>
          </cell>
          <cell r="AJ1036" t="str">
            <v/>
          </cell>
          <cell r="AK1036">
            <v>0</v>
          </cell>
          <cell r="AL1036">
            <v>0</v>
          </cell>
          <cell r="AM1036">
            <v>0</v>
          </cell>
        </row>
        <row r="1037">
          <cell r="C1037" t="str">
            <v/>
          </cell>
          <cell r="D1037" t="str">
            <v/>
          </cell>
          <cell r="O1037" t="str">
            <v/>
          </cell>
          <cell r="T1037" t="str">
            <v/>
          </cell>
          <cell r="U1037" t="str">
            <v/>
          </cell>
          <cell r="V1037" t="str">
            <v/>
          </cell>
          <cell r="W1037" t="str">
            <v/>
          </cell>
          <cell r="Y1037" t="str">
            <v/>
          </cell>
          <cell r="AA1037" t="str">
            <v/>
          </cell>
          <cell r="AB1037">
            <v>0</v>
          </cell>
          <cell r="AC1037">
            <v>0</v>
          </cell>
          <cell r="AI1037" t="str">
            <v/>
          </cell>
          <cell r="AJ1037" t="str">
            <v/>
          </cell>
          <cell r="AK1037">
            <v>0</v>
          </cell>
          <cell r="AL1037">
            <v>0</v>
          </cell>
          <cell r="AM1037">
            <v>0</v>
          </cell>
        </row>
        <row r="1038">
          <cell r="C1038" t="str">
            <v/>
          </cell>
          <cell r="D1038" t="str">
            <v/>
          </cell>
          <cell r="O1038" t="str">
            <v/>
          </cell>
          <cell r="T1038" t="str">
            <v/>
          </cell>
          <cell r="U1038" t="str">
            <v/>
          </cell>
          <cell r="V1038" t="str">
            <v/>
          </cell>
          <cell r="W1038" t="str">
            <v/>
          </cell>
          <cell r="Y1038" t="str">
            <v/>
          </cell>
          <cell r="AA1038" t="str">
            <v/>
          </cell>
          <cell r="AB1038">
            <v>0</v>
          </cell>
          <cell r="AC1038">
            <v>0</v>
          </cell>
          <cell r="AI1038" t="str">
            <v/>
          </cell>
          <cell r="AJ1038" t="str">
            <v/>
          </cell>
          <cell r="AK1038">
            <v>0</v>
          </cell>
          <cell r="AL1038">
            <v>0</v>
          </cell>
          <cell r="AM1038">
            <v>0</v>
          </cell>
        </row>
        <row r="1039">
          <cell r="C1039" t="str">
            <v/>
          </cell>
          <cell r="D1039" t="str">
            <v/>
          </cell>
          <cell r="O1039" t="str">
            <v/>
          </cell>
          <cell r="T1039" t="str">
            <v/>
          </cell>
          <cell r="U1039" t="str">
            <v/>
          </cell>
          <cell r="V1039" t="str">
            <v/>
          </cell>
          <cell r="W1039" t="str">
            <v/>
          </cell>
          <cell r="Y1039" t="str">
            <v/>
          </cell>
          <cell r="AA1039" t="str">
            <v/>
          </cell>
          <cell r="AB1039">
            <v>0</v>
          </cell>
          <cell r="AC1039">
            <v>0</v>
          </cell>
          <cell r="AI1039" t="str">
            <v/>
          </cell>
          <cell r="AJ1039" t="str">
            <v/>
          </cell>
          <cell r="AK1039">
            <v>0</v>
          </cell>
          <cell r="AL1039">
            <v>0</v>
          </cell>
          <cell r="AM1039">
            <v>0</v>
          </cell>
        </row>
        <row r="1040">
          <cell r="C1040" t="str">
            <v/>
          </cell>
          <cell r="D1040" t="str">
            <v/>
          </cell>
          <cell r="O1040" t="str">
            <v/>
          </cell>
          <cell r="T1040" t="str">
            <v/>
          </cell>
          <cell r="U1040" t="str">
            <v/>
          </cell>
          <cell r="V1040" t="str">
            <v/>
          </cell>
          <cell r="W1040" t="str">
            <v/>
          </cell>
          <cell r="Y1040" t="str">
            <v/>
          </cell>
          <cell r="AA1040" t="str">
            <v/>
          </cell>
          <cell r="AB1040">
            <v>0</v>
          </cell>
          <cell r="AC1040">
            <v>0</v>
          </cell>
          <cell r="AI1040" t="str">
            <v/>
          </cell>
          <cell r="AJ1040" t="str">
            <v/>
          </cell>
          <cell r="AK1040">
            <v>0</v>
          </cell>
          <cell r="AL1040">
            <v>0</v>
          </cell>
          <cell r="AM1040">
            <v>0</v>
          </cell>
        </row>
        <row r="1041">
          <cell r="C1041" t="str">
            <v/>
          </cell>
          <cell r="D1041" t="str">
            <v/>
          </cell>
          <cell r="O1041" t="str">
            <v/>
          </cell>
          <cell r="T1041" t="str">
            <v/>
          </cell>
          <cell r="U1041" t="str">
            <v/>
          </cell>
          <cell r="V1041" t="str">
            <v/>
          </cell>
          <cell r="W1041" t="str">
            <v/>
          </cell>
          <cell r="Y1041" t="str">
            <v/>
          </cell>
          <cell r="AA1041" t="str">
            <v/>
          </cell>
          <cell r="AB1041">
            <v>0</v>
          </cell>
          <cell r="AC1041">
            <v>0</v>
          </cell>
          <cell r="AI1041" t="str">
            <v/>
          </cell>
          <cell r="AJ1041" t="str">
            <v/>
          </cell>
          <cell r="AK1041">
            <v>0</v>
          </cell>
          <cell r="AL1041">
            <v>0</v>
          </cell>
          <cell r="AM1041">
            <v>0</v>
          </cell>
        </row>
        <row r="1042">
          <cell r="C1042" t="str">
            <v/>
          </cell>
          <cell r="D1042" t="str">
            <v/>
          </cell>
          <cell r="O1042" t="str">
            <v/>
          </cell>
          <cell r="T1042" t="str">
            <v/>
          </cell>
          <cell r="U1042" t="str">
            <v/>
          </cell>
          <cell r="V1042" t="str">
            <v/>
          </cell>
          <cell r="W1042" t="str">
            <v/>
          </cell>
          <cell r="Y1042" t="str">
            <v/>
          </cell>
          <cell r="AA1042" t="str">
            <v/>
          </cell>
          <cell r="AB1042">
            <v>0</v>
          </cell>
          <cell r="AC1042">
            <v>0</v>
          </cell>
          <cell r="AI1042" t="str">
            <v/>
          </cell>
          <cell r="AJ1042" t="str">
            <v/>
          </cell>
          <cell r="AK1042">
            <v>0</v>
          </cell>
          <cell r="AL1042">
            <v>0</v>
          </cell>
          <cell r="AM1042">
            <v>0</v>
          </cell>
        </row>
        <row r="1043">
          <cell r="C1043" t="str">
            <v/>
          </cell>
          <cell r="D1043" t="str">
            <v/>
          </cell>
          <cell r="O1043" t="str">
            <v/>
          </cell>
          <cell r="T1043" t="str">
            <v/>
          </cell>
          <cell r="U1043" t="str">
            <v/>
          </cell>
          <cell r="V1043" t="str">
            <v/>
          </cell>
          <cell r="W1043" t="str">
            <v/>
          </cell>
          <cell r="Y1043" t="str">
            <v/>
          </cell>
          <cell r="AA1043" t="str">
            <v/>
          </cell>
          <cell r="AB1043">
            <v>0</v>
          </cell>
          <cell r="AC1043">
            <v>0</v>
          </cell>
          <cell r="AI1043" t="str">
            <v/>
          </cell>
          <cell r="AJ1043" t="str">
            <v/>
          </cell>
          <cell r="AK1043">
            <v>0</v>
          </cell>
          <cell r="AL1043">
            <v>0</v>
          </cell>
          <cell r="AM1043">
            <v>0</v>
          </cell>
        </row>
        <row r="1044">
          <cell r="C1044" t="str">
            <v/>
          </cell>
          <cell r="D1044" t="str">
            <v/>
          </cell>
          <cell r="O1044" t="str">
            <v/>
          </cell>
          <cell r="T1044" t="str">
            <v/>
          </cell>
          <cell r="U1044" t="str">
            <v/>
          </cell>
          <cell r="V1044" t="str">
            <v/>
          </cell>
          <cell r="W1044" t="str">
            <v/>
          </cell>
          <cell r="Y1044" t="str">
            <v/>
          </cell>
          <cell r="AA1044" t="str">
            <v/>
          </cell>
          <cell r="AB1044">
            <v>0</v>
          </cell>
          <cell r="AC1044">
            <v>0</v>
          </cell>
          <cell r="AI1044" t="str">
            <v/>
          </cell>
          <cell r="AJ1044" t="str">
            <v/>
          </cell>
          <cell r="AK1044">
            <v>0</v>
          </cell>
          <cell r="AL1044">
            <v>0</v>
          </cell>
          <cell r="AM1044">
            <v>0</v>
          </cell>
        </row>
        <row r="1045">
          <cell r="C1045" t="str">
            <v/>
          </cell>
          <cell r="D1045" t="str">
            <v/>
          </cell>
          <cell r="O1045" t="str">
            <v/>
          </cell>
          <cell r="T1045" t="str">
            <v/>
          </cell>
          <cell r="U1045" t="str">
            <v/>
          </cell>
          <cell r="V1045" t="str">
            <v/>
          </cell>
          <cell r="W1045" t="str">
            <v/>
          </cell>
          <cell r="Y1045" t="str">
            <v/>
          </cell>
          <cell r="AA1045" t="str">
            <v/>
          </cell>
          <cell r="AB1045">
            <v>0</v>
          </cell>
          <cell r="AC1045">
            <v>0</v>
          </cell>
          <cell r="AI1045" t="str">
            <v/>
          </cell>
          <cell r="AJ1045" t="str">
            <v/>
          </cell>
          <cell r="AK1045">
            <v>0</v>
          </cell>
          <cell r="AL1045">
            <v>0</v>
          </cell>
          <cell r="AM1045">
            <v>0</v>
          </cell>
        </row>
        <row r="1046">
          <cell r="C1046" t="str">
            <v/>
          </cell>
          <cell r="D1046" t="str">
            <v/>
          </cell>
          <cell r="O1046" t="str">
            <v/>
          </cell>
          <cell r="T1046" t="str">
            <v/>
          </cell>
          <cell r="U1046" t="str">
            <v/>
          </cell>
          <cell r="V1046" t="str">
            <v/>
          </cell>
          <cell r="W1046" t="str">
            <v/>
          </cell>
          <cell r="Y1046" t="str">
            <v/>
          </cell>
          <cell r="AA1046" t="str">
            <v/>
          </cell>
          <cell r="AB1046">
            <v>0</v>
          </cell>
          <cell r="AC1046">
            <v>0</v>
          </cell>
          <cell r="AI1046" t="str">
            <v/>
          </cell>
          <cell r="AJ1046" t="str">
            <v/>
          </cell>
          <cell r="AK1046">
            <v>0</v>
          </cell>
          <cell r="AL1046">
            <v>0</v>
          </cell>
          <cell r="AM1046">
            <v>0</v>
          </cell>
        </row>
        <row r="1047">
          <cell r="C1047" t="str">
            <v/>
          </cell>
          <cell r="D1047" t="str">
            <v/>
          </cell>
          <cell r="O1047" t="str">
            <v/>
          </cell>
          <cell r="T1047" t="str">
            <v/>
          </cell>
          <cell r="U1047" t="str">
            <v/>
          </cell>
          <cell r="V1047" t="str">
            <v/>
          </cell>
          <cell r="W1047" t="str">
            <v/>
          </cell>
          <cell r="Y1047" t="str">
            <v/>
          </cell>
          <cell r="AA1047" t="str">
            <v/>
          </cell>
          <cell r="AB1047">
            <v>0</v>
          </cell>
          <cell r="AC1047">
            <v>0</v>
          </cell>
          <cell r="AI1047" t="str">
            <v/>
          </cell>
          <cell r="AJ1047" t="str">
            <v/>
          </cell>
          <cell r="AK1047">
            <v>0</v>
          </cell>
          <cell r="AL1047">
            <v>0</v>
          </cell>
          <cell r="AM1047">
            <v>0</v>
          </cell>
        </row>
        <row r="1048">
          <cell r="C1048" t="str">
            <v/>
          </cell>
          <cell r="D1048" t="str">
            <v/>
          </cell>
          <cell r="O1048" t="str">
            <v/>
          </cell>
          <cell r="T1048" t="str">
            <v/>
          </cell>
          <cell r="U1048" t="str">
            <v/>
          </cell>
          <cell r="V1048" t="str">
            <v/>
          </cell>
          <cell r="W1048" t="str">
            <v/>
          </cell>
          <cell r="Y1048" t="str">
            <v/>
          </cell>
          <cell r="AA1048" t="str">
            <v/>
          </cell>
          <cell r="AB1048">
            <v>0</v>
          </cell>
          <cell r="AC1048">
            <v>0</v>
          </cell>
          <cell r="AI1048" t="str">
            <v/>
          </cell>
          <cell r="AJ1048" t="str">
            <v/>
          </cell>
          <cell r="AK1048">
            <v>0</v>
          </cell>
          <cell r="AL1048">
            <v>0</v>
          </cell>
          <cell r="AM1048">
            <v>0</v>
          </cell>
        </row>
        <row r="1049">
          <cell r="C1049" t="str">
            <v/>
          </cell>
          <cell r="D1049" t="str">
            <v/>
          </cell>
          <cell r="O1049" t="str">
            <v/>
          </cell>
          <cell r="T1049" t="str">
            <v/>
          </cell>
          <cell r="U1049" t="str">
            <v/>
          </cell>
          <cell r="V1049" t="str">
            <v/>
          </cell>
          <cell r="W1049" t="str">
            <v/>
          </cell>
          <cell r="Y1049" t="str">
            <v/>
          </cell>
          <cell r="AA1049" t="str">
            <v/>
          </cell>
          <cell r="AB1049">
            <v>0</v>
          </cell>
          <cell r="AC1049">
            <v>0</v>
          </cell>
          <cell r="AI1049" t="str">
            <v/>
          </cell>
          <cell r="AJ1049" t="str">
            <v/>
          </cell>
          <cell r="AK1049">
            <v>0</v>
          </cell>
          <cell r="AL1049">
            <v>0</v>
          </cell>
          <cell r="AM1049">
            <v>0</v>
          </cell>
        </row>
        <row r="1050">
          <cell r="C1050" t="str">
            <v/>
          </cell>
          <cell r="D1050" t="str">
            <v/>
          </cell>
          <cell r="O1050" t="str">
            <v/>
          </cell>
          <cell r="T1050" t="str">
            <v/>
          </cell>
          <cell r="U1050" t="str">
            <v/>
          </cell>
          <cell r="V1050" t="str">
            <v/>
          </cell>
          <cell r="W1050" t="str">
            <v/>
          </cell>
          <cell r="Y1050" t="str">
            <v/>
          </cell>
          <cell r="AA1050" t="str">
            <v/>
          </cell>
          <cell r="AB1050">
            <v>0</v>
          </cell>
          <cell r="AC1050">
            <v>0</v>
          </cell>
          <cell r="AI1050" t="str">
            <v/>
          </cell>
          <cell r="AJ1050" t="str">
            <v/>
          </cell>
          <cell r="AK1050">
            <v>0</v>
          </cell>
          <cell r="AL1050">
            <v>0</v>
          </cell>
          <cell r="AM1050">
            <v>0</v>
          </cell>
        </row>
        <row r="1051">
          <cell r="C1051" t="str">
            <v/>
          </cell>
          <cell r="D1051" t="str">
            <v/>
          </cell>
          <cell r="O1051" t="str">
            <v/>
          </cell>
          <cell r="T1051" t="str">
            <v/>
          </cell>
          <cell r="U1051" t="str">
            <v/>
          </cell>
          <cell r="V1051" t="str">
            <v/>
          </cell>
          <cell r="W1051" t="str">
            <v/>
          </cell>
          <cell r="Y1051" t="str">
            <v/>
          </cell>
          <cell r="AA1051" t="str">
            <v/>
          </cell>
          <cell r="AB1051">
            <v>0</v>
          </cell>
          <cell r="AC1051">
            <v>0</v>
          </cell>
          <cell r="AI1051" t="str">
            <v/>
          </cell>
          <cell r="AJ1051" t="str">
            <v/>
          </cell>
          <cell r="AK1051">
            <v>0</v>
          </cell>
          <cell r="AL1051">
            <v>0</v>
          </cell>
          <cell r="AM1051">
            <v>0</v>
          </cell>
        </row>
        <row r="1052">
          <cell r="C1052" t="str">
            <v/>
          </cell>
          <cell r="D1052" t="str">
            <v/>
          </cell>
          <cell r="O1052" t="str">
            <v/>
          </cell>
          <cell r="T1052" t="str">
            <v/>
          </cell>
          <cell r="U1052" t="str">
            <v/>
          </cell>
          <cell r="V1052" t="str">
            <v/>
          </cell>
          <cell r="W1052" t="str">
            <v/>
          </cell>
          <cell r="Y1052" t="str">
            <v/>
          </cell>
          <cell r="AA1052" t="str">
            <v/>
          </cell>
          <cell r="AB1052">
            <v>0</v>
          </cell>
          <cell r="AC1052">
            <v>0</v>
          </cell>
          <cell r="AI1052" t="str">
            <v/>
          </cell>
          <cell r="AJ1052" t="str">
            <v/>
          </cell>
          <cell r="AK1052">
            <v>0</v>
          </cell>
          <cell r="AL1052">
            <v>0</v>
          </cell>
          <cell r="AM1052">
            <v>0</v>
          </cell>
        </row>
        <row r="1053">
          <cell r="C1053" t="str">
            <v/>
          </cell>
          <cell r="D1053" t="str">
            <v/>
          </cell>
          <cell r="O1053" t="str">
            <v/>
          </cell>
          <cell r="T1053" t="str">
            <v/>
          </cell>
          <cell r="U1053" t="str">
            <v/>
          </cell>
          <cell r="V1053" t="str">
            <v/>
          </cell>
          <cell r="W1053" t="str">
            <v/>
          </cell>
          <cell r="Y1053" t="str">
            <v/>
          </cell>
          <cell r="AA1053" t="str">
            <v/>
          </cell>
          <cell r="AB1053">
            <v>0</v>
          </cell>
          <cell r="AC1053">
            <v>0</v>
          </cell>
          <cell r="AI1053" t="str">
            <v/>
          </cell>
          <cell r="AJ1053" t="str">
            <v/>
          </cell>
          <cell r="AK1053">
            <v>0</v>
          </cell>
          <cell r="AL1053">
            <v>0</v>
          </cell>
          <cell r="AM1053">
            <v>0</v>
          </cell>
        </row>
        <row r="1054">
          <cell r="C1054" t="str">
            <v/>
          </cell>
          <cell r="D1054" t="str">
            <v/>
          </cell>
          <cell r="O1054" t="str">
            <v/>
          </cell>
          <cell r="T1054" t="str">
            <v/>
          </cell>
          <cell r="U1054" t="str">
            <v/>
          </cell>
          <cell r="V1054" t="str">
            <v/>
          </cell>
          <cell r="W1054" t="str">
            <v/>
          </cell>
          <cell r="Y1054" t="str">
            <v/>
          </cell>
          <cell r="AA1054" t="str">
            <v/>
          </cell>
          <cell r="AB1054">
            <v>0</v>
          </cell>
          <cell r="AC1054">
            <v>0</v>
          </cell>
          <cell r="AI1054" t="str">
            <v/>
          </cell>
          <cell r="AJ1054" t="str">
            <v/>
          </cell>
          <cell r="AK1054">
            <v>0</v>
          </cell>
          <cell r="AL1054">
            <v>0</v>
          </cell>
          <cell r="AM1054">
            <v>0</v>
          </cell>
        </row>
        <row r="1055">
          <cell r="C1055" t="str">
            <v/>
          </cell>
          <cell r="D1055" t="str">
            <v/>
          </cell>
          <cell r="O1055" t="str">
            <v/>
          </cell>
          <cell r="T1055" t="str">
            <v/>
          </cell>
          <cell r="U1055" t="str">
            <v/>
          </cell>
          <cell r="V1055" t="str">
            <v/>
          </cell>
          <cell r="W1055" t="str">
            <v/>
          </cell>
          <cell r="Y1055" t="str">
            <v/>
          </cell>
          <cell r="AA1055" t="str">
            <v/>
          </cell>
          <cell r="AB1055">
            <v>0</v>
          </cell>
          <cell r="AC1055">
            <v>0</v>
          </cell>
          <cell r="AI1055" t="str">
            <v/>
          </cell>
          <cell r="AJ1055" t="str">
            <v/>
          </cell>
          <cell r="AK1055">
            <v>0</v>
          </cell>
          <cell r="AL1055">
            <v>0</v>
          </cell>
          <cell r="AM1055">
            <v>0</v>
          </cell>
        </row>
        <row r="1056">
          <cell r="C1056" t="str">
            <v/>
          </cell>
          <cell r="D1056" t="str">
            <v/>
          </cell>
          <cell r="O1056" t="str">
            <v/>
          </cell>
          <cell r="T1056" t="str">
            <v/>
          </cell>
          <cell r="U1056" t="str">
            <v/>
          </cell>
          <cell r="V1056" t="str">
            <v/>
          </cell>
          <cell r="W1056" t="str">
            <v/>
          </cell>
          <cell r="Y1056" t="str">
            <v/>
          </cell>
          <cell r="AA1056" t="str">
            <v/>
          </cell>
          <cell r="AB1056">
            <v>0</v>
          </cell>
          <cell r="AC1056">
            <v>0</v>
          </cell>
          <cell r="AI1056" t="str">
            <v/>
          </cell>
          <cell r="AJ1056" t="str">
            <v/>
          </cell>
          <cell r="AK1056">
            <v>0</v>
          </cell>
          <cell r="AL1056">
            <v>0</v>
          </cell>
          <cell r="AM1056">
            <v>0</v>
          </cell>
        </row>
        <row r="1057">
          <cell r="C1057" t="str">
            <v/>
          </cell>
          <cell r="D1057" t="str">
            <v/>
          </cell>
          <cell r="O1057" t="str">
            <v/>
          </cell>
          <cell r="T1057" t="str">
            <v/>
          </cell>
          <cell r="U1057" t="str">
            <v/>
          </cell>
          <cell r="V1057" t="str">
            <v/>
          </cell>
          <cell r="W1057" t="str">
            <v/>
          </cell>
          <cell r="Y1057" t="str">
            <v/>
          </cell>
          <cell r="AA1057" t="str">
            <v/>
          </cell>
          <cell r="AB1057">
            <v>0</v>
          </cell>
          <cell r="AC1057">
            <v>0</v>
          </cell>
          <cell r="AI1057" t="str">
            <v/>
          </cell>
          <cell r="AJ1057" t="str">
            <v/>
          </cell>
          <cell r="AK1057">
            <v>0</v>
          </cell>
          <cell r="AL1057">
            <v>0</v>
          </cell>
          <cell r="AM1057">
            <v>0</v>
          </cell>
        </row>
        <row r="1058">
          <cell r="C1058" t="str">
            <v/>
          </cell>
          <cell r="D1058" t="str">
            <v/>
          </cell>
          <cell r="O1058" t="str">
            <v/>
          </cell>
          <cell r="T1058" t="str">
            <v/>
          </cell>
          <cell r="U1058" t="str">
            <v/>
          </cell>
          <cell r="V1058" t="str">
            <v/>
          </cell>
          <cell r="W1058" t="str">
            <v/>
          </cell>
          <cell r="Y1058" t="str">
            <v/>
          </cell>
          <cell r="AA1058" t="str">
            <v/>
          </cell>
          <cell r="AB1058">
            <v>0</v>
          </cell>
          <cell r="AC1058">
            <v>0</v>
          </cell>
          <cell r="AI1058" t="str">
            <v/>
          </cell>
          <cell r="AJ1058" t="str">
            <v/>
          </cell>
          <cell r="AK1058">
            <v>0</v>
          </cell>
          <cell r="AL1058">
            <v>0</v>
          </cell>
          <cell r="AM1058">
            <v>0</v>
          </cell>
        </row>
        <row r="1059">
          <cell r="C1059" t="str">
            <v/>
          </cell>
          <cell r="D1059" t="str">
            <v/>
          </cell>
          <cell r="O1059" t="str">
            <v/>
          </cell>
          <cell r="T1059" t="str">
            <v/>
          </cell>
          <cell r="U1059" t="str">
            <v/>
          </cell>
          <cell r="V1059" t="str">
            <v/>
          </cell>
          <cell r="W1059" t="str">
            <v/>
          </cell>
          <cell r="Y1059" t="str">
            <v/>
          </cell>
          <cell r="AA1059" t="str">
            <v/>
          </cell>
          <cell r="AB1059">
            <v>0</v>
          </cell>
          <cell r="AC1059">
            <v>0</v>
          </cell>
          <cell r="AI1059" t="str">
            <v/>
          </cell>
          <cell r="AJ1059" t="str">
            <v/>
          </cell>
          <cell r="AK1059">
            <v>0</v>
          </cell>
          <cell r="AL1059">
            <v>0</v>
          </cell>
          <cell r="AM1059">
            <v>0</v>
          </cell>
        </row>
        <row r="1060">
          <cell r="C1060" t="str">
            <v/>
          </cell>
          <cell r="D1060" t="str">
            <v/>
          </cell>
          <cell r="O1060" t="str">
            <v/>
          </cell>
          <cell r="T1060" t="str">
            <v/>
          </cell>
          <cell r="U1060" t="str">
            <v/>
          </cell>
          <cell r="V1060" t="str">
            <v/>
          </cell>
          <cell r="W1060" t="str">
            <v/>
          </cell>
          <cell r="Y1060" t="str">
            <v/>
          </cell>
          <cell r="AA1060" t="str">
            <v/>
          </cell>
          <cell r="AB1060">
            <v>0</v>
          </cell>
          <cell r="AC1060">
            <v>0</v>
          </cell>
          <cell r="AI1060" t="str">
            <v/>
          </cell>
          <cell r="AJ1060" t="str">
            <v/>
          </cell>
          <cell r="AK1060">
            <v>0</v>
          </cell>
          <cell r="AL1060">
            <v>0</v>
          </cell>
          <cell r="AM1060">
            <v>0</v>
          </cell>
        </row>
        <row r="1061">
          <cell r="C1061" t="str">
            <v/>
          </cell>
          <cell r="D1061" t="str">
            <v/>
          </cell>
          <cell r="O1061" t="str">
            <v/>
          </cell>
          <cell r="T1061" t="str">
            <v/>
          </cell>
          <cell r="U1061" t="str">
            <v/>
          </cell>
          <cell r="V1061" t="str">
            <v/>
          </cell>
          <cell r="W1061" t="str">
            <v/>
          </cell>
          <cell r="Y1061" t="str">
            <v/>
          </cell>
          <cell r="AA1061" t="str">
            <v/>
          </cell>
          <cell r="AB1061">
            <v>0</v>
          </cell>
          <cell r="AC1061">
            <v>0</v>
          </cell>
          <cell r="AI1061" t="str">
            <v/>
          </cell>
          <cell r="AJ1061" t="str">
            <v/>
          </cell>
          <cell r="AK1061">
            <v>0</v>
          </cell>
          <cell r="AL1061">
            <v>0</v>
          </cell>
          <cell r="AM1061">
            <v>0</v>
          </cell>
        </row>
        <row r="1062">
          <cell r="C1062" t="str">
            <v/>
          </cell>
          <cell r="D1062" t="str">
            <v/>
          </cell>
          <cell r="O1062" t="str">
            <v/>
          </cell>
          <cell r="T1062" t="str">
            <v/>
          </cell>
          <cell r="U1062" t="str">
            <v/>
          </cell>
          <cell r="V1062" t="str">
            <v/>
          </cell>
          <cell r="W1062" t="str">
            <v/>
          </cell>
          <cell r="Y1062" t="str">
            <v/>
          </cell>
          <cell r="AA1062" t="str">
            <v/>
          </cell>
          <cell r="AB1062">
            <v>0</v>
          </cell>
          <cell r="AC1062">
            <v>0</v>
          </cell>
          <cell r="AI1062" t="str">
            <v/>
          </cell>
          <cell r="AJ1062" t="str">
            <v/>
          </cell>
          <cell r="AK1062">
            <v>0</v>
          </cell>
          <cell r="AL1062">
            <v>0</v>
          </cell>
          <cell r="AM1062">
            <v>0</v>
          </cell>
        </row>
        <row r="1063">
          <cell r="C1063" t="str">
            <v/>
          </cell>
          <cell r="D1063" t="str">
            <v/>
          </cell>
          <cell r="O1063" t="str">
            <v/>
          </cell>
          <cell r="T1063" t="str">
            <v/>
          </cell>
          <cell r="U1063" t="str">
            <v/>
          </cell>
          <cell r="V1063" t="str">
            <v/>
          </cell>
          <cell r="W1063" t="str">
            <v/>
          </cell>
          <cell r="Y1063" t="str">
            <v/>
          </cell>
          <cell r="AA1063" t="str">
            <v/>
          </cell>
          <cell r="AB1063">
            <v>0</v>
          </cell>
          <cell r="AC1063">
            <v>0</v>
          </cell>
          <cell r="AI1063" t="str">
            <v/>
          </cell>
          <cell r="AJ1063" t="str">
            <v/>
          </cell>
          <cell r="AK1063">
            <v>0</v>
          </cell>
          <cell r="AL1063">
            <v>0</v>
          </cell>
          <cell r="AM1063">
            <v>0</v>
          </cell>
        </row>
        <row r="1064">
          <cell r="C1064" t="str">
            <v/>
          </cell>
          <cell r="D1064" t="str">
            <v/>
          </cell>
          <cell r="O1064" t="str">
            <v/>
          </cell>
          <cell r="T1064" t="str">
            <v/>
          </cell>
          <cell r="U1064" t="str">
            <v/>
          </cell>
          <cell r="V1064" t="str">
            <v/>
          </cell>
          <cell r="W1064" t="str">
            <v/>
          </cell>
          <cell r="Y1064" t="str">
            <v/>
          </cell>
          <cell r="AA1064" t="str">
            <v/>
          </cell>
          <cell r="AB1064">
            <v>0</v>
          </cell>
          <cell r="AC1064">
            <v>0</v>
          </cell>
          <cell r="AI1064" t="str">
            <v/>
          </cell>
          <cell r="AJ1064" t="str">
            <v/>
          </cell>
          <cell r="AK1064">
            <v>0</v>
          </cell>
          <cell r="AL1064">
            <v>0</v>
          </cell>
          <cell r="AM1064">
            <v>0</v>
          </cell>
        </row>
        <row r="1065">
          <cell r="C1065" t="str">
            <v/>
          </cell>
          <cell r="D1065" t="str">
            <v/>
          </cell>
          <cell r="O1065" t="str">
            <v/>
          </cell>
          <cell r="T1065" t="str">
            <v/>
          </cell>
          <cell r="U1065" t="str">
            <v/>
          </cell>
          <cell r="V1065" t="str">
            <v/>
          </cell>
          <cell r="W1065" t="str">
            <v/>
          </cell>
          <cell r="Y1065" t="str">
            <v/>
          </cell>
          <cell r="AA1065" t="str">
            <v/>
          </cell>
          <cell r="AB1065">
            <v>0</v>
          </cell>
          <cell r="AC1065">
            <v>0</v>
          </cell>
          <cell r="AI1065" t="str">
            <v/>
          </cell>
          <cell r="AJ1065" t="str">
            <v/>
          </cell>
          <cell r="AK1065">
            <v>0</v>
          </cell>
          <cell r="AL1065">
            <v>0</v>
          </cell>
          <cell r="AM1065">
            <v>0</v>
          </cell>
        </row>
        <row r="1066">
          <cell r="C1066" t="str">
            <v/>
          </cell>
          <cell r="D1066" t="str">
            <v/>
          </cell>
          <cell r="O1066" t="str">
            <v/>
          </cell>
          <cell r="T1066" t="str">
            <v/>
          </cell>
          <cell r="U1066" t="str">
            <v/>
          </cell>
          <cell r="V1066" t="str">
            <v/>
          </cell>
          <cell r="W1066" t="str">
            <v/>
          </cell>
          <cell r="Y1066" t="str">
            <v/>
          </cell>
          <cell r="AA1066" t="str">
            <v/>
          </cell>
          <cell r="AB1066">
            <v>0</v>
          </cell>
          <cell r="AC1066">
            <v>0</v>
          </cell>
          <cell r="AI1066" t="str">
            <v/>
          </cell>
          <cell r="AJ1066" t="str">
            <v/>
          </cell>
          <cell r="AK1066">
            <v>0</v>
          </cell>
          <cell r="AL1066">
            <v>0</v>
          </cell>
          <cell r="AM1066">
            <v>0</v>
          </cell>
        </row>
        <row r="1067">
          <cell r="C1067" t="str">
            <v/>
          </cell>
          <cell r="D1067" t="str">
            <v/>
          </cell>
          <cell r="O1067" t="str">
            <v/>
          </cell>
          <cell r="T1067" t="str">
            <v/>
          </cell>
          <cell r="U1067" t="str">
            <v/>
          </cell>
          <cell r="V1067" t="str">
            <v/>
          </cell>
          <cell r="W1067" t="str">
            <v/>
          </cell>
          <cell r="Y1067" t="str">
            <v/>
          </cell>
          <cell r="AA1067" t="str">
            <v/>
          </cell>
          <cell r="AB1067">
            <v>0</v>
          </cell>
          <cell r="AC1067">
            <v>0</v>
          </cell>
          <cell r="AI1067" t="str">
            <v/>
          </cell>
          <cell r="AJ1067" t="str">
            <v/>
          </cell>
          <cell r="AK1067">
            <v>0</v>
          </cell>
          <cell r="AL1067">
            <v>0</v>
          </cell>
          <cell r="AM1067">
            <v>0</v>
          </cell>
        </row>
        <row r="1068">
          <cell r="C1068" t="str">
            <v/>
          </cell>
          <cell r="D1068" t="str">
            <v/>
          </cell>
          <cell r="O1068" t="str">
            <v/>
          </cell>
          <cell r="T1068" t="str">
            <v/>
          </cell>
          <cell r="U1068" t="str">
            <v/>
          </cell>
          <cell r="V1068" t="str">
            <v/>
          </cell>
          <cell r="W1068" t="str">
            <v/>
          </cell>
          <cell r="Y1068" t="str">
            <v/>
          </cell>
          <cell r="AA1068" t="str">
            <v/>
          </cell>
          <cell r="AB1068">
            <v>0</v>
          </cell>
          <cell r="AC1068">
            <v>0</v>
          </cell>
          <cell r="AI1068" t="str">
            <v/>
          </cell>
          <cell r="AJ1068" t="str">
            <v/>
          </cell>
          <cell r="AK1068">
            <v>0</v>
          </cell>
          <cell r="AL1068">
            <v>0</v>
          </cell>
          <cell r="AM1068">
            <v>0</v>
          </cell>
        </row>
        <row r="1069">
          <cell r="C1069" t="str">
            <v/>
          </cell>
          <cell r="D1069" t="str">
            <v/>
          </cell>
          <cell r="O1069" t="str">
            <v/>
          </cell>
          <cell r="T1069" t="str">
            <v/>
          </cell>
          <cell r="U1069" t="str">
            <v/>
          </cell>
          <cell r="V1069" t="str">
            <v/>
          </cell>
          <cell r="W1069" t="str">
            <v/>
          </cell>
          <cell r="Y1069" t="str">
            <v/>
          </cell>
          <cell r="AA1069" t="str">
            <v/>
          </cell>
          <cell r="AB1069">
            <v>0</v>
          </cell>
          <cell r="AC1069">
            <v>0</v>
          </cell>
          <cell r="AI1069" t="str">
            <v/>
          </cell>
          <cell r="AJ1069" t="str">
            <v/>
          </cell>
          <cell r="AK1069">
            <v>0</v>
          </cell>
          <cell r="AL1069">
            <v>0</v>
          </cell>
          <cell r="AM1069">
            <v>0</v>
          </cell>
        </row>
        <row r="1070">
          <cell r="C1070" t="str">
            <v/>
          </cell>
          <cell r="D1070" t="str">
            <v/>
          </cell>
          <cell r="O1070" t="str">
            <v/>
          </cell>
          <cell r="T1070" t="str">
            <v/>
          </cell>
          <cell r="U1070" t="str">
            <v/>
          </cell>
          <cell r="V1070" t="str">
            <v/>
          </cell>
          <cell r="W1070" t="str">
            <v/>
          </cell>
          <cell r="Y1070" t="str">
            <v/>
          </cell>
          <cell r="AA1070" t="str">
            <v/>
          </cell>
          <cell r="AB1070">
            <v>0</v>
          </cell>
          <cell r="AC1070">
            <v>0</v>
          </cell>
          <cell r="AI1070" t="str">
            <v/>
          </cell>
          <cell r="AJ1070" t="str">
            <v/>
          </cell>
          <cell r="AK1070">
            <v>0</v>
          </cell>
          <cell r="AL1070">
            <v>0</v>
          </cell>
          <cell r="AM1070">
            <v>0</v>
          </cell>
        </row>
        <row r="1071">
          <cell r="C1071" t="str">
            <v/>
          </cell>
          <cell r="D1071" t="str">
            <v/>
          </cell>
          <cell r="O1071" t="str">
            <v/>
          </cell>
          <cell r="T1071" t="str">
            <v/>
          </cell>
          <cell r="U1071" t="str">
            <v/>
          </cell>
          <cell r="V1071" t="str">
            <v/>
          </cell>
          <cell r="W1071" t="str">
            <v/>
          </cell>
          <cell r="Y1071" t="str">
            <v/>
          </cell>
          <cell r="AA1071" t="str">
            <v/>
          </cell>
          <cell r="AB1071">
            <v>0</v>
          </cell>
          <cell r="AC1071">
            <v>0</v>
          </cell>
          <cell r="AI1071" t="str">
            <v/>
          </cell>
          <cell r="AJ1071" t="str">
            <v/>
          </cell>
          <cell r="AK1071">
            <v>0</v>
          </cell>
          <cell r="AL1071">
            <v>0</v>
          </cell>
          <cell r="AM1071">
            <v>0</v>
          </cell>
        </row>
        <row r="1072">
          <cell r="C1072" t="str">
            <v/>
          </cell>
          <cell r="D1072" t="str">
            <v/>
          </cell>
          <cell r="O1072" t="str">
            <v/>
          </cell>
          <cell r="T1072" t="str">
            <v/>
          </cell>
          <cell r="U1072" t="str">
            <v/>
          </cell>
          <cell r="V1072" t="str">
            <v/>
          </cell>
          <cell r="W1072" t="str">
            <v/>
          </cell>
          <cell r="Y1072" t="str">
            <v/>
          </cell>
          <cell r="AA1072" t="str">
            <v/>
          </cell>
          <cell r="AB1072">
            <v>0</v>
          </cell>
          <cell r="AC1072">
            <v>0</v>
          </cell>
          <cell r="AI1072" t="str">
            <v/>
          </cell>
          <cell r="AJ1072" t="str">
            <v/>
          </cell>
          <cell r="AK1072">
            <v>0</v>
          </cell>
          <cell r="AL1072">
            <v>0</v>
          </cell>
          <cell r="AM1072">
            <v>0</v>
          </cell>
        </row>
        <row r="1073">
          <cell r="C1073" t="str">
            <v/>
          </cell>
          <cell r="D1073" t="str">
            <v/>
          </cell>
          <cell r="O1073" t="str">
            <v/>
          </cell>
          <cell r="T1073" t="str">
            <v/>
          </cell>
          <cell r="U1073" t="str">
            <v/>
          </cell>
          <cell r="V1073" t="str">
            <v/>
          </cell>
          <cell r="W1073" t="str">
            <v/>
          </cell>
          <cell r="Y1073" t="str">
            <v/>
          </cell>
          <cell r="AA1073" t="str">
            <v/>
          </cell>
          <cell r="AB1073">
            <v>0</v>
          </cell>
          <cell r="AC1073">
            <v>0</v>
          </cell>
          <cell r="AI1073" t="str">
            <v/>
          </cell>
          <cell r="AJ1073" t="str">
            <v/>
          </cell>
          <cell r="AK1073">
            <v>0</v>
          </cell>
          <cell r="AL1073">
            <v>0</v>
          </cell>
          <cell r="AM1073">
            <v>0</v>
          </cell>
        </row>
        <row r="1074">
          <cell r="C1074" t="str">
            <v/>
          </cell>
          <cell r="D1074" t="str">
            <v/>
          </cell>
          <cell r="O1074" t="str">
            <v/>
          </cell>
          <cell r="T1074" t="str">
            <v/>
          </cell>
          <cell r="U1074" t="str">
            <v/>
          </cell>
          <cell r="V1074" t="str">
            <v/>
          </cell>
          <cell r="W1074" t="str">
            <v/>
          </cell>
          <cell r="Y1074" t="str">
            <v/>
          </cell>
          <cell r="AA1074" t="str">
            <v/>
          </cell>
          <cell r="AB1074">
            <v>0</v>
          </cell>
          <cell r="AC1074">
            <v>0</v>
          </cell>
          <cell r="AI1074" t="str">
            <v/>
          </cell>
          <cell r="AJ1074" t="str">
            <v/>
          </cell>
          <cell r="AK1074">
            <v>0</v>
          </cell>
          <cell r="AL1074">
            <v>0</v>
          </cell>
          <cell r="AM1074">
            <v>0</v>
          </cell>
        </row>
        <row r="1075">
          <cell r="C1075" t="str">
            <v/>
          </cell>
          <cell r="D1075" t="str">
            <v/>
          </cell>
          <cell r="O1075" t="str">
            <v/>
          </cell>
          <cell r="T1075" t="str">
            <v/>
          </cell>
          <cell r="U1075" t="str">
            <v/>
          </cell>
          <cell r="V1075" t="str">
            <v/>
          </cell>
          <cell r="W1075" t="str">
            <v/>
          </cell>
          <cell r="Y1075" t="str">
            <v/>
          </cell>
          <cell r="AA1075" t="str">
            <v/>
          </cell>
          <cell r="AB1075">
            <v>0</v>
          </cell>
          <cell r="AC1075">
            <v>0</v>
          </cell>
          <cell r="AI1075" t="str">
            <v/>
          </cell>
          <cell r="AJ1075" t="str">
            <v/>
          </cell>
          <cell r="AK1075">
            <v>0</v>
          </cell>
          <cell r="AL1075">
            <v>0</v>
          </cell>
          <cell r="AM1075">
            <v>0</v>
          </cell>
        </row>
        <row r="1076">
          <cell r="C1076" t="str">
            <v/>
          </cell>
          <cell r="D1076" t="str">
            <v/>
          </cell>
          <cell r="O1076" t="str">
            <v/>
          </cell>
          <cell r="T1076" t="str">
            <v/>
          </cell>
          <cell r="U1076" t="str">
            <v/>
          </cell>
          <cell r="V1076" t="str">
            <v/>
          </cell>
          <cell r="W1076" t="str">
            <v/>
          </cell>
          <cell r="Y1076" t="str">
            <v/>
          </cell>
          <cell r="AA1076" t="str">
            <v/>
          </cell>
          <cell r="AB1076">
            <v>0</v>
          </cell>
          <cell r="AC1076">
            <v>0</v>
          </cell>
          <cell r="AI1076" t="str">
            <v/>
          </cell>
          <cell r="AJ1076" t="str">
            <v/>
          </cell>
          <cell r="AK1076">
            <v>0</v>
          </cell>
          <cell r="AL1076">
            <v>0</v>
          </cell>
          <cell r="AM1076">
            <v>0</v>
          </cell>
        </row>
        <row r="1077">
          <cell r="C1077" t="str">
            <v/>
          </cell>
          <cell r="D1077" t="str">
            <v/>
          </cell>
          <cell r="O1077" t="str">
            <v/>
          </cell>
          <cell r="T1077" t="str">
            <v/>
          </cell>
          <cell r="U1077" t="str">
            <v/>
          </cell>
          <cell r="V1077" t="str">
            <v/>
          </cell>
          <cell r="W1077" t="str">
            <v/>
          </cell>
          <cell r="Y1077" t="str">
            <v/>
          </cell>
          <cell r="AA1077" t="str">
            <v/>
          </cell>
          <cell r="AB1077">
            <v>0</v>
          </cell>
          <cell r="AC1077">
            <v>0</v>
          </cell>
          <cell r="AI1077" t="str">
            <v/>
          </cell>
          <cell r="AJ1077" t="str">
            <v/>
          </cell>
          <cell r="AK1077">
            <v>0</v>
          </cell>
          <cell r="AL1077">
            <v>0</v>
          </cell>
          <cell r="AM1077">
            <v>0</v>
          </cell>
        </row>
        <row r="1078">
          <cell r="C1078" t="str">
            <v/>
          </cell>
          <cell r="D1078" t="str">
            <v/>
          </cell>
          <cell r="O1078" t="str">
            <v/>
          </cell>
          <cell r="T1078" t="str">
            <v/>
          </cell>
          <cell r="U1078" t="str">
            <v/>
          </cell>
          <cell r="V1078" t="str">
            <v/>
          </cell>
          <cell r="W1078" t="str">
            <v/>
          </cell>
          <cell r="Y1078" t="str">
            <v/>
          </cell>
          <cell r="AA1078" t="str">
            <v/>
          </cell>
          <cell r="AB1078">
            <v>0</v>
          </cell>
          <cell r="AC1078">
            <v>0</v>
          </cell>
          <cell r="AI1078" t="str">
            <v/>
          </cell>
          <cell r="AJ1078" t="str">
            <v/>
          </cell>
          <cell r="AK1078">
            <v>0</v>
          </cell>
          <cell r="AL1078">
            <v>0</v>
          </cell>
          <cell r="AM1078">
            <v>0</v>
          </cell>
        </row>
        <row r="1079">
          <cell r="C1079" t="str">
            <v/>
          </cell>
          <cell r="D1079" t="str">
            <v/>
          </cell>
          <cell r="O1079" t="str">
            <v/>
          </cell>
          <cell r="T1079" t="str">
            <v/>
          </cell>
          <cell r="U1079" t="str">
            <v/>
          </cell>
          <cell r="V1079" t="str">
            <v/>
          </cell>
          <cell r="W1079" t="str">
            <v/>
          </cell>
          <cell r="Y1079" t="str">
            <v/>
          </cell>
          <cell r="AA1079" t="str">
            <v/>
          </cell>
          <cell r="AB1079">
            <v>0</v>
          </cell>
          <cell r="AC1079">
            <v>0</v>
          </cell>
          <cell r="AI1079" t="str">
            <v/>
          </cell>
          <cell r="AJ1079" t="str">
            <v/>
          </cell>
          <cell r="AK1079">
            <v>0</v>
          </cell>
          <cell r="AL1079">
            <v>0</v>
          </cell>
          <cell r="AM1079">
            <v>0</v>
          </cell>
        </row>
        <row r="1080">
          <cell r="C1080" t="str">
            <v/>
          </cell>
          <cell r="D1080" t="str">
            <v/>
          </cell>
          <cell r="O1080" t="str">
            <v/>
          </cell>
          <cell r="T1080" t="str">
            <v/>
          </cell>
          <cell r="U1080" t="str">
            <v/>
          </cell>
          <cell r="V1080" t="str">
            <v/>
          </cell>
          <cell r="W1080" t="str">
            <v/>
          </cell>
          <cell r="Y1080" t="str">
            <v/>
          </cell>
          <cell r="AA1080" t="str">
            <v/>
          </cell>
          <cell r="AB1080">
            <v>0</v>
          </cell>
          <cell r="AC1080">
            <v>0</v>
          </cell>
          <cell r="AI1080" t="str">
            <v/>
          </cell>
          <cell r="AJ1080" t="str">
            <v/>
          </cell>
          <cell r="AK1080">
            <v>0</v>
          </cell>
          <cell r="AL1080">
            <v>0</v>
          </cell>
          <cell r="AM1080">
            <v>0</v>
          </cell>
        </row>
        <row r="1081">
          <cell r="C1081" t="str">
            <v/>
          </cell>
          <cell r="D1081" t="str">
            <v/>
          </cell>
          <cell r="O1081" t="str">
            <v/>
          </cell>
          <cell r="T1081" t="str">
            <v/>
          </cell>
          <cell r="U1081" t="str">
            <v/>
          </cell>
          <cell r="V1081" t="str">
            <v/>
          </cell>
          <cell r="W1081" t="str">
            <v/>
          </cell>
          <cell r="Y1081" t="str">
            <v/>
          </cell>
          <cell r="AA1081" t="str">
            <v/>
          </cell>
          <cell r="AB1081">
            <v>0</v>
          </cell>
          <cell r="AC1081">
            <v>0</v>
          </cell>
          <cell r="AI1081" t="str">
            <v/>
          </cell>
          <cell r="AJ1081" t="str">
            <v/>
          </cell>
          <cell r="AK1081">
            <v>0</v>
          </cell>
          <cell r="AL1081">
            <v>0</v>
          </cell>
          <cell r="AM1081">
            <v>0</v>
          </cell>
        </row>
        <row r="1082">
          <cell r="C1082" t="str">
            <v/>
          </cell>
          <cell r="D1082" t="str">
            <v/>
          </cell>
          <cell r="O1082" t="str">
            <v/>
          </cell>
          <cell r="T1082" t="str">
            <v/>
          </cell>
          <cell r="U1082" t="str">
            <v/>
          </cell>
          <cell r="V1082" t="str">
            <v/>
          </cell>
          <cell r="W1082" t="str">
            <v/>
          </cell>
          <cell r="Y1082" t="str">
            <v/>
          </cell>
          <cell r="AA1082" t="str">
            <v/>
          </cell>
          <cell r="AB1082">
            <v>0</v>
          </cell>
          <cell r="AC1082">
            <v>0</v>
          </cell>
          <cell r="AI1082" t="str">
            <v/>
          </cell>
          <cell r="AJ1082" t="str">
            <v/>
          </cell>
          <cell r="AK1082">
            <v>0</v>
          </cell>
          <cell r="AL1082">
            <v>0</v>
          </cell>
          <cell r="AM1082">
            <v>0</v>
          </cell>
        </row>
        <row r="1083">
          <cell r="C1083" t="str">
            <v/>
          </cell>
          <cell r="D1083" t="str">
            <v/>
          </cell>
          <cell r="O1083" t="str">
            <v/>
          </cell>
          <cell r="T1083" t="str">
            <v/>
          </cell>
          <cell r="U1083" t="str">
            <v/>
          </cell>
          <cell r="V1083" t="str">
            <v/>
          </cell>
          <cell r="W1083" t="str">
            <v/>
          </cell>
          <cell r="Y1083" t="str">
            <v/>
          </cell>
          <cell r="AA1083" t="str">
            <v/>
          </cell>
          <cell r="AB1083">
            <v>0</v>
          </cell>
          <cell r="AC1083">
            <v>0</v>
          </cell>
          <cell r="AI1083" t="str">
            <v/>
          </cell>
          <cell r="AJ1083" t="str">
            <v/>
          </cell>
          <cell r="AK1083">
            <v>0</v>
          </cell>
          <cell r="AL1083">
            <v>0</v>
          </cell>
          <cell r="AM1083">
            <v>0</v>
          </cell>
        </row>
        <row r="1084">
          <cell r="C1084" t="str">
            <v/>
          </cell>
          <cell r="D1084" t="str">
            <v/>
          </cell>
          <cell r="O1084" t="str">
            <v/>
          </cell>
          <cell r="T1084" t="str">
            <v/>
          </cell>
          <cell r="U1084" t="str">
            <v/>
          </cell>
          <cell r="V1084" t="str">
            <v/>
          </cell>
          <cell r="W1084" t="str">
            <v/>
          </cell>
          <cell r="Y1084" t="str">
            <v/>
          </cell>
          <cell r="AA1084" t="str">
            <v/>
          </cell>
          <cell r="AB1084">
            <v>0</v>
          </cell>
          <cell r="AC1084">
            <v>0</v>
          </cell>
          <cell r="AI1084" t="str">
            <v/>
          </cell>
          <cell r="AJ1084" t="str">
            <v/>
          </cell>
          <cell r="AK1084">
            <v>0</v>
          </cell>
          <cell r="AL1084">
            <v>0</v>
          </cell>
          <cell r="AM1084">
            <v>0</v>
          </cell>
        </row>
        <row r="1085">
          <cell r="C1085" t="str">
            <v/>
          </cell>
          <cell r="D1085" t="str">
            <v/>
          </cell>
          <cell r="O1085" t="str">
            <v/>
          </cell>
          <cell r="T1085" t="str">
            <v/>
          </cell>
          <cell r="U1085" t="str">
            <v/>
          </cell>
          <cell r="V1085" t="str">
            <v/>
          </cell>
          <cell r="W1085" t="str">
            <v/>
          </cell>
          <cell r="Y1085" t="str">
            <v/>
          </cell>
          <cell r="AA1085" t="str">
            <v/>
          </cell>
          <cell r="AB1085">
            <v>0</v>
          </cell>
          <cell r="AC1085">
            <v>0</v>
          </cell>
          <cell r="AI1085" t="str">
            <v/>
          </cell>
          <cell r="AJ1085" t="str">
            <v/>
          </cell>
          <cell r="AK1085">
            <v>0</v>
          </cell>
          <cell r="AL1085">
            <v>0</v>
          </cell>
          <cell r="AM1085">
            <v>0</v>
          </cell>
        </row>
        <row r="1086">
          <cell r="C1086" t="str">
            <v/>
          </cell>
          <cell r="D1086" t="str">
            <v/>
          </cell>
          <cell r="O1086" t="str">
            <v/>
          </cell>
          <cell r="T1086" t="str">
            <v/>
          </cell>
          <cell r="U1086" t="str">
            <v/>
          </cell>
          <cell r="V1086" t="str">
            <v/>
          </cell>
          <cell r="W1086" t="str">
            <v/>
          </cell>
          <cell r="Y1086" t="str">
            <v/>
          </cell>
          <cell r="AA1086" t="str">
            <v/>
          </cell>
          <cell r="AB1086">
            <v>0</v>
          </cell>
          <cell r="AC1086">
            <v>0</v>
          </cell>
          <cell r="AI1086" t="str">
            <v/>
          </cell>
          <cell r="AJ1086" t="str">
            <v/>
          </cell>
          <cell r="AK1086">
            <v>0</v>
          </cell>
          <cell r="AL1086">
            <v>0</v>
          </cell>
          <cell r="AM1086">
            <v>0</v>
          </cell>
        </row>
        <row r="1087">
          <cell r="C1087" t="str">
            <v/>
          </cell>
          <cell r="D1087" t="str">
            <v/>
          </cell>
          <cell r="O1087" t="str">
            <v/>
          </cell>
          <cell r="T1087" t="str">
            <v/>
          </cell>
          <cell r="U1087" t="str">
            <v/>
          </cell>
          <cell r="V1087" t="str">
            <v/>
          </cell>
          <cell r="W1087" t="str">
            <v/>
          </cell>
          <cell r="Y1087" t="str">
            <v/>
          </cell>
          <cell r="AA1087" t="str">
            <v/>
          </cell>
          <cell r="AB1087">
            <v>0</v>
          </cell>
          <cell r="AC1087">
            <v>0</v>
          </cell>
          <cell r="AI1087" t="str">
            <v/>
          </cell>
          <cell r="AJ1087" t="str">
            <v/>
          </cell>
          <cell r="AK1087">
            <v>0</v>
          </cell>
          <cell r="AL1087">
            <v>0</v>
          </cell>
          <cell r="AM1087">
            <v>0</v>
          </cell>
        </row>
        <row r="1088">
          <cell r="C1088" t="str">
            <v/>
          </cell>
          <cell r="D1088" t="str">
            <v/>
          </cell>
          <cell r="O1088" t="str">
            <v/>
          </cell>
          <cell r="T1088" t="str">
            <v/>
          </cell>
          <cell r="U1088" t="str">
            <v/>
          </cell>
          <cell r="V1088" t="str">
            <v/>
          </cell>
          <cell r="W1088" t="str">
            <v/>
          </cell>
          <cell r="Y1088" t="str">
            <v/>
          </cell>
          <cell r="AA1088" t="str">
            <v/>
          </cell>
          <cell r="AB1088">
            <v>0</v>
          </cell>
          <cell r="AC1088">
            <v>0</v>
          </cell>
          <cell r="AI1088" t="str">
            <v/>
          </cell>
          <cell r="AJ1088" t="str">
            <v/>
          </cell>
          <cell r="AK1088">
            <v>0</v>
          </cell>
          <cell r="AL1088">
            <v>0</v>
          </cell>
          <cell r="AM1088">
            <v>0</v>
          </cell>
        </row>
        <row r="1089">
          <cell r="C1089" t="str">
            <v/>
          </cell>
          <cell r="D1089" t="str">
            <v/>
          </cell>
          <cell r="O1089" t="str">
            <v/>
          </cell>
          <cell r="T1089" t="str">
            <v/>
          </cell>
          <cell r="U1089" t="str">
            <v/>
          </cell>
          <cell r="V1089" t="str">
            <v/>
          </cell>
          <cell r="W1089" t="str">
            <v/>
          </cell>
          <cell r="Y1089" t="str">
            <v/>
          </cell>
          <cell r="AA1089" t="str">
            <v/>
          </cell>
          <cell r="AB1089">
            <v>0</v>
          </cell>
          <cell r="AC1089">
            <v>0</v>
          </cell>
          <cell r="AI1089" t="str">
            <v/>
          </cell>
          <cell r="AJ1089" t="str">
            <v/>
          </cell>
          <cell r="AK1089">
            <v>0</v>
          </cell>
          <cell r="AL1089">
            <v>0</v>
          </cell>
          <cell r="AM1089">
            <v>0</v>
          </cell>
        </row>
        <row r="1090">
          <cell r="C1090" t="str">
            <v/>
          </cell>
          <cell r="D1090" t="str">
            <v/>
          </cell>
          <cell r="O1090" t="str">
            <v/>
          </cell>
          <cell r="T1090" t="str">
            <v/>
          </cell>
          <cell r="U1090" t="str">
            <v/>
          </cell>
          <cell r="V1090" t="str">
            <v/>
          </cell>
          <cell r="W1090" t="str">
            <v/>
          </cell>
          <cell r="Y1090" t="str">
            <v/>
          </cell>
          <cell r="AA1090" t="str">
            <v/>
          </cell>
          <cell r="AB1090">
            <v>0</v>
          </cell>
          <cell r="AC1090">
            <v>0</v>
          </cell>
          <cell r="AI1090" t="str">
            <v/>
          </cell>
          <cell r="AJ1090" t="str">
            <v/>
          </cell>
          <cell r="AK1090">
            <v>0</v>
          </cell>
          <cell r="AL1090">
            <v>0</v>
          </cell>
          <cell r="AM1090">
            <v>0</v>
          </cell>
        </row>
        <row r="1091">
          <cell r="C1091" t="str">
            <v/>
          </cell>
          <cell r="D1091" t="str">
            <v/>
          </cell>
          <cell r="O1091" t="str">
            <v/>
          </cell>
          <cell r="T1091" t="str">
            <v/>
          </cell>
          <cell r="U1091" t="str">
            <v/>
          </cell>
          <cell r="V1091" t="str">
            <v/>
          </cell>
          <cell r="W1091" t="str">
            <v/>
          </cell>
          <cell r="Y1091" t="str">
            <v/>
          </cell>
          <cell r="AA1091" t="str">
            <v/>
          </cell>
          <cell r="AB1091">
            <v>0</v>
          </cell>
          <cell r="AC1091">
            <v>0</v>
          </cell>
          <cell r="AI1091" t="str">
            <v/>
          </cell>
          <cell r="AJ1091" t="str">
            <v/>
          </cell>
          <cell r="AK1091">
            <v>0</v>
          </cell>
          <cell r="AL1091">
            <v>0</v>
          </cell>
          <cell r="AM1091">
            <v>0</v>
          </cell>
        </row>
        <row r="1092">
          <cell r="C1092" t="str">
            <v/>
          </cell>
          <cell r="D1092" t="str">
            <v/>
          </cell>
          <cell r="O1092" t="str">
            <v/>
          </cell>
          <cell r="T1092" t="str">
            <v/>
          </cell>
          <cell r="U1092" t="str">
            <v/>
          </cell>
          <cell r="V1092" t="str">
            <v/>
          </cell>
          <cell r="W1092" t="str">
            <v/>
          </cell>
          <cell r="Y1092" t="str">
            <v/>
          </cell>
          <cell r="AA1092" t="str">
            <v/>
          </cell>
          <cell r="AB1092">
            <v>0</v>
          </cell>
          <cell r="AC1092">
            <v>0</v>
          </cell>
          <cell r="AI1092" t="str">
            <v/>
          </cell>
          <cell r="AJ1092" t="str">
            <v/>
          </cell>
          <cell r="AK1092">
            <v>0</v>
          </cell>
          <cell r="AL1092">
            <v>0</v>
          </cell>
          <cell r="AM1092">
            <v>0</v>
          </cell>
        </row>
        <row r="1093">
          <cell r="C1093" t="str">
            <v/>
          </cell>
          <cell r="D1093" t="str">
            <v/>
          </cell>
          <cell r="O1093" t="str">
            <v/>
          </cell>
          <cell r="T1093" t="str">
            <v/>
          </cell>
          <cell r="U1093" t="str">
            <v/>
          </cell>
          <cell r="V1093" t="str">
            <v/>
          </cell>
          <cell r="W1093" t="str">
            <v/>
          </cell>
          <cell r="Y1093" t="str">
            <v/>
          </cell>
          <cell r="AA1093" t="str">
            <v/>
          </cell>
          <cell r="AB1093">
            <v>0</v>
          </cell>
          <cell r="AC1093">
            <v>0</v>
          </cell>
          <cell r="AI1093" t="str">
            <v/>
          </cell>
          <cell r="AJ1093" t="str">
            <v/>
          </cell>
          <cell r="AK1093">
            <v>0</v>
          </cell>
          <cell r="AL1093">
            <v>0</v>
          </cell>
          <cell r="AM1093">
            <v>0</v>
          </cell>
        </row>
        <row r="1094">
          <cell r="C1094" t="str">
            <v/>
          </cell>
          <cell r="D1094" t="str">
            <v/>
          </cell>
          <cell r="O1094" t="str">
            <v/>
          </cell>
          <cell r="T1094" t="str">
            <v/>
          </cell>
          <cell r="U1094" t="str">
            <v/>
          </cell>
          <cell r="V1094" t="str">
            <v/>
          </cell>
          <cell r="W1094" t="str">
            <v/>
          </cell>
          <cell r="Y1094" t="str">
            <v/>
          </cell>
          <cell r="AA1094" t="str">
            <v/>
          </cell>
          <cell r="AB1094">
            <v>0</v>
          </cell>
          <cell r="AC1094">
            <v>0</v>
          </cell>
          <cell r="AI1094" t="str">
            <v/>
          </cell>
          <cell r="AJ1094" t="str">
            <v/>
          </cell>
          <cell r="AK1094">
            <v>0</v>
          </cell>
          <cell r="AL1094">
            <v>0</v>
          </cell>
          <cell r="AM1094">
            <v>0</v>
          </cell>
        </row>
        <row r="1095">
          <cell r="C1095" t="str">
            <v/>
          </cell>
          <cell r="D1095" t="str">
            <v/>
          </cell>
          <cell r="O1095" t="str">
            <v/>
          </cell>
          <cell r="T1095" t="str">
            <v/>
          </cell>
          <cell r="U1095" t="str">
            <v/>
          </cell>
          <cell r="V1095" t="str">
            <v/>
          </cell>
          <cell r="W1095" t="str">
            <v/>
          </cell>
          <cell r="Y1095" t="str">
            <v/>
          </cell>
          <cell r="AA1095" t="str">
            <v/>
          </cell>
          <cell r="AB1095">
            <v>0</v>
          </cell>
          <cell r="AC1095">
            <v>0</v>
          </cell>
          <cell r="AI1095" t="str">
            <v/>
          </cell>
          <cell r="AJ1095" t="str">
            <v/>
          </cell>
          <cell r="AK1095">
            <v>0</v>
          </cell>
          <cell r="AL1095">
            <v>0</v>
          </cell>
          <cell r="AM1095">
            <v>0</v>
          </cell>
        </row>
        <row r="1096">
          <cell r="C1096" t="str">
            <v/>
          </cell>
          <cell r="D1096" t="str">
            <v/>
          </cell>
          <cell r="O1096" t="str">
            <v/>
          </cell>
          <cell r="T1096" t="str">
            <v/>
          </cell>
          <cell r="U1096" t="str">
            <v/>
          </cell>
          <cell r="V1096" t="str">
            <v/>
          </cell>
          <cell r="W1096" t="str">
            <v/>
          </cell>
          <cell r="Y1096" t="str">
            <v/>
          </cell>
          <cell r="AA1096" t="str">
            <v/>
          </cell>
          <cell r="AB1096">
            <v>0</v>
          </cell>
          <cell r="AC1096">
            <v>0</v>
          </cell>
          <cell r="AI1096" t="str">
            <v/>
          </cell>
          <cell r="AJ1096" t="str">
            <v/>
          </cell>
          <cell r="AK1096">
            <v>0</v>
          </cell>
          <cell r="AL1096">
            <v>0</v>
          </cell>
          <cell r="AM1096">
            <v>0</v>
          </cell>
        </row>
        <row r="1097">
          <cell r="C1097" t="str">
            <v/>
          </cell>
          <cell r="D1097" t="str">
            <v/>
          </cell>
          <cell r="O1097" t="str">
            <v/>
          </cell>
          <cell r="T1097" t="str">
            <v/>
          </cell>
          <cell r="U1097" t="str">
            <v/>
          </cell>
          <cell r="V1097" t="str">
            <v/>
          </cell>
          <cell r="W1097" t="str">
            <v/>
          </cell>
          <cell r="Y1097" t="str">
            <v/>
          </cell>
          <cell r="AA1097" t="str">
            <v/>
          </cell>
          <cell r="AB1097">
            <v>0</v>
          </cell>
          <cell r="AC1097">
            <v>0</v>
          </cell>
          <cell r="AI1097" t="str">
            <v/>
          </cell>
          <cell r="AJ1097" t="str">
            <v/>
          </cell>
          <cell r="AK1097">
            <v>0</v>
          </cell>
          <cell r="AL1097">
            <v>0</v>
          </cell>
          <cell r="AM1097">
            <v>0</v>
          </cell>
        </row>
        <row r="1098">
          <cell r="C1098" t="str">
            <v/>
          </cell>
          <cell r="D1098" t="str">
            <v/>
          </cell>
          <cell r="O1098" t="str">
            <v/>
          </cell>
          <cell r="T1098" t="str">
            <v/>
          </cell>
          <cell r="U1098" t="str">
            <v/>
          </cell>
          <cell r="V1098" t="str">
            <v/>
          </cell>
          <cell r="W1098" t="str">
            <v/>
          </cell>
          <cell r="Y1098" t="str">
            <v/>
          </cell>
          <cell r="AA1098" t="str">
            <v/>
          </cell>
          <cell r="AB1098">
            <v>0</v>
          </cell>
          <cell r="AC1098">
            <v>0</v>
          </cell>
          <cell r="AI1098" t="str">
            <v/>
          </cell>
          <cell r="AJ1098" t="str">
            <v/>
          </cell>
          <cell r="AK1098">
            <v>0</v>
          </cell>
          <cell r="AL1098">
            <v>0</v>
          </cell>
          <cell r="AM1098">
            <v>0</v>
          </cell>
        </row>
        <row r="1099">
          <cell r="C1099" t="str">
            <v/>
          </cell>
          <cell r="D1099" t="str">
            <v/>
          </cell>
          <cell r="O1099" t="str">
            <v/>
          </cell>
          <cell r="T1099" t="str">
            <v/>
          </cell>
          <cell r="U1099" t="str">
            <v/>
          </cell>
          <cell r="V1099" t="str">
            <v/>
          </cell>
          <cell r="W1099" t="str">
            <v/>
          </cell>
          <cell r="Y1099" t="str">
            <v/>
          </cell>
          <cell r="AA1099" t="str">
            <v/>
          </cell>
          <cell r="AB1099">
            <v>0</v>
          </cell>
          <cell r="AC1099">
            <v>0</v>
          </cell>
          <cell r="AI1099" t="str">
            <v/>
          </cell>
          <cell r="AJ1099" t="str">
            <v/>
          </cell>
          <cell r="AK1099">
            <v>0</v>
          </cell>
          <cell r="AL1099">
            <v>0</v>
          </cell>
          <cell r="AM1099">
            <v>0</v>
          </cell>
        </row>
        <row r="1100">
          <cell r="C1100" t="str">
            <v/>
          </cell>
          <cell r="D1100" t="str">
            <v/>
          </cell>
          <cell r="O1100" t="str">
            <v/>
          </cell>
          <cell r="T1100" t="str">
            <v/>
          </cell>
          <cell r="U1100" t="str">
            <v/>
          </cell>
          <cell r="V1100" t="str">
            <v/>
          </cell>
          <cell r="W1100" t="str">
            <v/>
          </cell>
          <cell r="Y1100" t="str">
            <v/>
          </cell>
          <cell r="AA1100" t="str">
            <v/>
          </cell>
          <cell r="AB1100">
            <v>0</v>
          </cell>
          <cell r="AC1100">
            <v>0</v>
          </cell>
          <cell r="AI1100" t="str">
            <v/>
          </cell>
          <cell r="AJ1100" t="str">
            <v/>
          </cell>
          <cell r="AK1100">
            <v>0</v>
          </cell>
          <cell r="AL1100">
            <v>0</v>
          </cell>
          <cell r="AM1100">
            <v>0</v>
          </cell>
        </row>
        <row r="1101">
          <cell r="C1101" t="str">
            <v/>
          </cell>
          <cell r="D1101" t="str">
            <v/>
          </cell>
          <cell r="O1101" t="str">
            <v/>
          </cell>
          <cell r="T1101" t="str">
            <v/>
          </cell>
          <cell r="U1101" t="str">
            <v/>
          </cell>
          <cell r="V1101" t="str">
            <v/>
          </cell>
          <cell r="W1101" t="str">
            <v/>
          </cell>
          <cell r="Y1101" t="str">
            <v/>
          </cell>
          <cell r="AA1101" t="str">
            <v/>
          </cell>
          <cell r="AB1101">
            <v>0</v>
          </cell>
          <cell r="AC1101">
            <v>0</v>
          </cell>
          <cell r="AI1101" t="str">
            <v/>
          </cell>
          <cell r="AJ1101" t="str">
            <v/>
          </cell>
          <cell r="AK1101">
            <v>0</v>
          </cell>
          <cell r="AL1101">
            <v>0</v>
          </cell>
          <cell r="AM1101">
            <v>0</v>
          </cell>
        </row>
        <row r="1102">
          <cell r="C1102" t="str">
            <v/>
          </cell>
          <cell r="D1102" t="str">
            <v/>
          </cell>
          <cell r="O1102" t="str">
            <v/>
          </cell>
          <cell r="T1102" t="str">
            <v/>
          </cell>
          <cell r="U1102" t="str">
            <v/>
          </cell>
          <cell r="V1102" t="str">
            <v/>
          </cell>
          <cell r="W1102" t="str">
            <v/>
          </cell>
          <cell r="Y1102" t="str">
            <v/>
          </cell>
          <cell r="AA1102" t="str">
            <v/>
          </cell>
          <cell r="AB1102">
            <v>0</v>
          </cell>
          <cell r="AC1102">
            <v>0</v>
          </cell>
          <cell r="AI1102" t="str">
            <v/>
          </cell>
          <cell r="AJ1102" t="str">
            <v/>
          </cell>
          <cell r="AK1102">
            <v>0</v>
          </cell>
          <cell r="AL1102">
            <v>0</v>
          </cell>
          <cell r="AM1102">
            <v>0</v>
          </cell>
        </row>
        <row r="1103">
          <cell r="C1103" t="str">
            <v/>
          </cell>
          <cell r="D1103" t="str">
            <v/>
          </cell>
          <cell r="O1103" t="str">
            <v/>
          </cell>
          <cell r="T1103" t="str">
            <v/>
          </cell>
          <cell r="U1103" t="str">
            <v/>
          </cell>
          <cell r="V1103" t="str">
            <v/>
          </cell>
          <cell r="W1103" t="str">
            <v/>
          </cell>
          <cell r="Y1103" t="str">
            <v/>
          </cell>
          <cell r="AA1103" t="str">
            <v/>
          </cell>
          <cell r="AB1103">
            <v>0</v>
          </cell>
          <cell r="AC1103">
            <v>0</v>
          </cell>
          <cell r="AI1103" t="str">
            <v/>
          </cell>
          <cell r="AJ1103" t="str">
            <v/>
          </cell>
          <cell r="AK1103">
            <v>0</v>
          </cell>
          <cell r="AL1103">
            <v>0</v>
          </cell>
          <cell r="AM1103">
            <v>0</v>
          </cell>
        </row>
        <row r="1104">
          <cell r="C1104" t="str">
            <v/>
          </cell>
          <cell r="D1104" t="str">
            <v/>
          </cell>
          <cell r="O1104" t="str">
            <v/>
          </cell>
          <cell r="T1104" t="str">
            <v/>
          </cell>
          <cell r="U1104" t="str">
            <v/>
          </cell>
          <cell r="V1104" t="str">
            <v/>
          </cell>
          <cell r="W1104" t="str">
            <v/>
          </cell>
          <cell r="Y1104" t="str">
            <v/>
          </cell>
          <cell r="AA1104" t="str">
            <v/>
          </cell>
          <cell r="AB1104">
            <v>0</v>
          </cell>
          <cell r="AC1104">
            <v>0</v>
          </cell>
          <cell r="AI1104" t="str">
            <v/>
          </cell>
          <cell r="AJ1104" t="str">
            <v/>
          </cell>
          <cell r="AK1104">
            <v>0</v>
          </cell>
          <cell r="AL1104">
            <v>0</v>
          </cell>
          <cell r="AM1104">
            <v>0</v>
          </cell>
        </row>
        <row r="1105">
          <cell r="C1105" t="str">
            <v/>
          </cell>
          <cell r="D1105" t="str">
            <v/>
          </cell>
          <cell r="O1105" t="str">
            <v/>
          </cell>
          <cell r="T1105" t="str">
            <v/>
          </cell>
          <cell r="U1105" t="str">
            <v/>
          </cell>
          <cell r="V1105" t="str">
            <v/>
          </cell>
          <cell r="W1105" t="str">
            <v/>
          </cell>
          <cell r="Y1105" t="str">
            <v/>
          </cell>
          <cell r="AA1105" t="str">
            <v/>
          </cell>
          <cell r="AB1105">
            <v>0</v>
          </cell>
          <cell r="AC1105">
            <v>0</v>
          </cell>
          <cell r="AI1105" t="str">
            <v/>
          </cell>
          <cell r="AJ1105" t="str">
            <v/>
          </cell>
          <cell r="AK1105">
            <v>0</v>
          </cell>
          <cell r="AL1105">
            <v>0</v>
          </cell>
          <cell r="AM1105">
            <v>0</v>
          </cell>
        </row>
        <row r="1106">
          <cell r="C1106" t="str">
            <v/>
          </cell>
          <cell r="D1106" t="str">
            <v/>
          </cell>
          <cell r="O1106" t="str">
            <v/>
          </cell>
          <cell r="T1106" t="str">
            <v/>
          </cell>
          <cell r="U1106" t="str">
            <v/>
          </cell>
          <cell r="V1106" t="str">
            <v/>
          </cell>
          <cell r="W1106" t="str">
            <v/>
          </cell>
          <cell r="Y1106" t="str">
            <v/>
          </cell>
          <cell r="AA1106" t="str">
            <v/>
          </cell>
          <cell r="AB1106">
            <v>0</v>
          </cell>
          <cell r="AC1106">
            <v>0</v>
          </cell>
          <cell r="AI1106" t="str">
            <v/>
          </cell>
          <cell r="AJ1106" t="str">
            <v/>
          </cell>
          <cell r="AK1106">
            <v>0</v>
          </cell>
          <cell r="AL1106">
            <v>0</v>
          </cell>
          <cell r="AM1106">
            <v>0</v>
          </cell>
        </row>
        <row r="1107">
          <cell r="C1107" t="str">
            <v/>
          </cell>
          <cell r="D1107" t="str">
            <v/>
          </cell>
          <cell r="O1107" t="str">
            <v/>
          </cell>
          <cell r="T1107" t="str">
            <v/>
          </cell>
          <cell r="U1107" t="str">
            <v/>
          </cell>
          <cell r="V1107" t="str">
            <v/>
          </cell>
          <cell r="W1107" t="str">
            <v/>
          </cell>
          <cell r="Y1107" t="str">
            <v/>
          </cell>
          <cell r="AA1107" t="str">
            <v/>
          </cell>
          <cell r="AB1107">
            <v>0</v>
          </cell>
          <cell r="AC1107">
            <v>0</v>
          </cell>
          <cell r="AI1107" t="str">
            <v/>
          </cell>
          <cell r="AJ1107" t="str">
            <v/>
          </cell>
          <cell r="AK1107">
            <v>0</v>
          </cell>
          <cell r="AL1107">
            <v>0</v>
          </cell>
          <cell r="AM1107">
            <v>0</v>
          </cell>
        </row>
        <row r="1108">
          <cell r="C1108" t="str">
            <v/>
          </cell>
          <cell r="D1108" t="str">
            <v/>
          </cell>
          <cell r="O1108" t="str">
            <v/>
          </cell>
          <cell r="T1108" t="str">
            <v/>
          </cell>
          <cell r="U1108" t="str">
            <v/>
          </cell>
          <cell r="V1108" t="str">
            <v/>
          </cell>
          <cell r="W1108" t="str">
            <v/>
          </cell>
          <cell r="Y1108" t="str">
            <v/>
          </cell>
          <cell r="AA1108" t="str">
            <v/>
          </cell>
          <cell r="AB1108">
            <v>0</v>
          </cell>
          <cell r="AC1108">
            <v>0</v>
          </cell>
          <cell r="AI1108" t="str">
            <v/>
          </cell>
          <cell r="AJ1108" t="str">
            <v/>
          </cell>
          <cell r="AK1108">
            <v>0</v>
          </cell>
          <cell r="AL1108">
            <v>0</v>
          </cell>
          <cell r="AM1108">
            <v>0</v>
          </cell>
        </row>
        <row r="1109">
          <cell r="C1109" t="str">
            <v/>
          </cell>
          <cell r="D1109" t="str">
            <v/>
          </cell>
          <cell r="O1109" t="str">
            <v/>
          </cell>
          <cell r="T1109" t="str">
            <v/>
          </cell>
          <cell r="U1109" t="str">
            <v/>
          </cell>
          <cell r="V1109" t="str">
            <v/>
          </cell>
          <cell r="W1109" t="str">
            <v/>
          </cell>
          <cell r="Y1109" t="str">
            <v/>
          </cell>
          <cell r="AA1109" t="str">
            <v/>
          </cell>
          <cell r="AB1109">
            <v>0</v>
          </cell>
          <cell r="AC1109">
            <v>0</v>
          </cell>
          <cell r="AI1109" t="str">
            <v/>
          </cell>
          <cell r="AJ1109" t="str">
            <v/>
          </cell>
          <cell r="AK1109">
            <v>0</v>
          </cell>
          <cell r="AL1109">
            <v>0</v>
          </cell>
          <cell r="AM1109">
            <v>0</v>
          </cell>
        </row>
        <row r="1110">
          <cell r="C1110" t="str">
            <v/>
          </cell>
          <cell r="D1110" t="str">
            <v/>
          </cell>
          <cell r="O1110" t="str">
            <v/>
          </cell>
          <cell r="T1110" t="str">
            <v/>
          </cell>
          <cell r="U1110" t="str">
            <v/>
          </cell>
          <cell r="V1110" t="str">
            <v/>
          </cell>
          <cell r="W1110" t="str">
            <v/>
          </cell>
          <cell r="Y1110" t="str">
            <v/>
          </cell>
          <cell r="AA1110" t="str">
            <v/>
          </cell>
          <cell r="AB1110">
            <v>0</v>
          </cell>
          <cell r="AC1110">
            <v>0</v>
          </cell>
          <cell r="AI1110" t="str">
            <v/>
          </cell>
          <cell r="AJ1110" t="str">
            <v/>
          </cell>
          <cell r="AK1110">
            <v>0</v>
          </cell>
          <cell r="AL1110">
            <v>0</v>
          </cell>
          <cell r="AM1110">
            <v>0</v>
          </cell>
        </row>
        <row r="1111">
          <cell r="C1111" t="str">
            <v/>
          </cell>
          <cell r="D1111" t="str">
            <v/>
          </cell>
          <cell r="O1111" t="str">
            <v/>
          </cell>
          <cell r="T1111" t="str">
            <v/>
          </cell>
          <cell r="U1111" t="str">
            <v/>
          </cell>
          <cell r="V1111" t="str">
            <v/>
          </cell>
          <cell r="W1111" t="str">
            <v/>
          </cell>
          <cell r="Y1111" t="str">
            <v/>
          </cell>
          <cell r="AA1111" t="str">
            <v/>
          </cell>
          <cell r="AB1111">
            <v>0</v>
          </cell>
          <cell r="AC1111">
            <v>0</v>
          </cell>
          <cell r="AI1111" t="str">
            <v/>
          </cell>
          <cell r="AJ1111" t="str">
            <v/>
          </cell>
          <cell r="AK1111">
            <v>0</v>
          </cell>
          <cell r="AL1111">
            <v>0</v>
          </cell>
          <cell r="AM1111">
            <v>0</v>
          </cell>
        </row>
        <row r="1112">
          <cell r="C1112" t="str">
            <v/>
          </cell>
          <cell r="D1112" t="str">
            <v/>
          </cell>
          <cell r="O1112" t="str">
            <v/>
          </cell>
          <cell r="T1112" t="str">
            <v/>
          </cell>
          <cell r="U1112" t="str">
            <v/>
          </cell>
          <cell r="V1112" t="str">
            <v/>
          </cell>
          <cell r="W1112" t="str">
            <v/>
          </cell>
          <cell r="Y1112" t="str">
            <v/>
          </cell>
          <cell r="AA1112" t="str">
            <v/>
          </cell>
          <cell r="AB1112">
            <v>0</v>
          </cell>
          <cell r="AC1112">
            <v>0</v>
          </cell>
          <cell r="AI1112" t="str">
            <v/>
          </cell>
          <cell r="AJ1112" t="str">
            <v/>
          </cell>
          <cell r="AK1112">
            <v>0</v>
          </cell>
          <cell r="AL1112">
            <v>0</v>
          </cell>
          <cell r="AM1112">
            <v>0</v>
          </cell>
        </row>
        <row r="1113">
          <cell r="C1113" t="str">
            <v/>
          </cell>
          <cell r="D1113" t="str">
            <v/>
          </cell>
          <cell r="O1113" t="str">
            <v/>
          </cell>
          <cell r="T1113" t="str">
            <v/>
          </cell>
          <cell r="U1113" t="str">
            <v/>
          </cell>
          <cell r="V1113" t="str">
            <v/>
          </cell>
          <cell r="W1113" t="str">
            <v/>
          </cell>
          <cell r="Y1113" t="str">
            <v/>
          </cell>
          <cell r="AA1113" t="str">
            <v/>
          </cell>
          <cell r="AB1113">
            <v>0</v>
          </cell>
          <cell r="AC1113">
            <v>0</v>
          </cell>
          <cell r="AI1113" t="str">
            <v/>
          </cell>
          <cell r="AJ1113" t="str">
            <v/>
          </cell>
          <cell r="AK1113">
            <v>0</v>
          </cell>
          <cell r="AL1113">
            <v>0</v>
          </cell>
          <cell r="AM1113">
            <v>0</v>
          </cell>
        </row>
        <row r="1114">
          <cell r="C1114" t="str">
            <v/>
          </cell>
          <cell r="D1114" t="str">
            <v/>
          </cell>
          <cell r="O1114" t="str">
            <v/>
          </cell>
          <cell r="T1114" t="str">
            <v/>
          </cell>
          <cell r="U1114" t="str">
            <v/>
          </cell>
          <cell r="V1114" t="str">
            <v/>
          </cell>
          <cell r="W1114" t="str">
            <v/>
          </cell>
          <cell r="Y1114" t="str">
            <v/>
          </cell>
          <cell r="AA1114" t="str">
            <v/>
          </cell>
          <cell r="AB1114">
            <v>0</v>
          </cell>
          <cell r="AC1114">
            <v>0</v>
          </cell>
          <cell r="AI1114" t="str">
            <v/>
          </cell>
          <cell r="AJ1114" t="str">
            <v/>
          </cell>
          <cell r="AK1114">
            <v>0</v>
          </cell>
          <cell r="AL1114">
            <v>0</v>
          </cell>
          <cell r="AM1114">
            <v>0</v>
          </cell>
        </row>
        <row r="1115">
          <cell r="C1115" t="str">
            <v/>
          </cell>
          <cell r="D1115" t="str">
            <v/>
          </cell>
          <cell r="O1115" t="str">
            <v/>
          </cell>
          <cell r="T1115" t="str">
            <v/>
          </cell>
          <cell r="U1115" t="str">
            <v/>
          </cell>
          <cell r="V1115" t="str">
            <v/>
          </cell>
          <cell r="W1115" t="str">
            <v/>
          </cell>
          <cell r="Y1115" t="str">
            <v/>
          </cell>
          <cell r="AA1115" t="str">
            <v/>
          </cell>
          <cell r="AB1115">
            <v>0</v>
          </cell>
          <cell r="AC1115">
            <v>0</v>
          </cell>
          <cell r="AI1115" t="str">
            <v/>
          </cell>
          <cell r="AJ1115" t="str">
            <v/>
          </cell>
          <cell r="AK1115">
            <v>0</v>
          </cell>
          <cell r="AL1115">
            <v>0</v>
          </cell>
          <cell r="AM1115">
            <v>0</v>
          </cell>
        </row>
        <row r="1116">
          <cell r="C1116" t="str">
            <v/>
          </cell>
          <cell r="D1116" t="str">
            <v/>
          </cell>
          <cell r="O1116" t="str">
            <v/>
          </cell>
          <cell r="T1116" t="str">
            <v/>
          </cell>
          <cell r="U1116" t="str">
            <v/>
          </cell>
          <cell r="V1116" t="str">
            <v/>
          </cell>
          <cell r="W1116" t="str">
            <v/>
          </cell>
          <cell r="Y1116" t="str">
            <v/>
          </cell>
          <cell r="AA1116" t="str">
            <v/>
          </cell>
          <cell r="AB1116">
            <v>0</v>
          </cell>
          <cell r="AC1116">
            <v>0</v>
          </cell>
          <cell r="AI1116" t="str">
            <v/>
          </cell>
          <cell r="AJ1116" t="str">
            <v/>
          </cell>
          <cell r="AK1116">
            <v>0</v>
          </cell>
          <cell r="AL1116">
            <v>0</v>
          </cell>
          <cell r="AM1116">
            <v>0</v>
          </cell>
        </row>
        <row r="1117">
          <cell r="C1117" t="str">
            <v/>
          </cell>
          <cell r="D1117" t="str">
            <v/>
          </cell>
          <cell r="O1117" t="str">
            <v/>
          </cell>
          <cell r="T1117" t="str">
            <v/>
          </cell>
          <cell r="U1117" t="str">
            <v/>
          </cell>
          <cell r="V1117" t="str">
            <v/>
          </cell>
          <cell r="W1117" t="str">
            <v/>
          </cell>
          <cell r="Y1117" t="str">
            <v/>
          </cell>
          <cell r="AA1117" t="str">
            <v/>
          </cell>
          <cell r="AB1117">
            <v>0</v>
          </cell>
          <cell r="AC1117">
            <v>0</v>
          </cell>
          <cell r="AI1117" t="str">
            <v/>
          </cell>
          <cell r="AJ1117" t="str">
            <v/>
          </cell>
          <cell r="AK1117">
            <v>0</v>
          </cell>
          <cell r="AL1117">
            <v>0</v>
          </cell>
          <cell r="AM1117">
            <v>0</v>
          </cell>
        </row>
        <row r="1118">
          <cell r="C1118" t="str">
            <v/>
          </cell>
          <cell r="D1118" t="str">
            <v/>
          </cell>
          <cell r="O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/>
          </cell>
          <cell r="Y1118" t="str">
            <v/>
          </cell>
          <cell r="AA1118" t="str">
            <v/>
          </cell>
          <cell r="AB1118">
            <v>0</v>
          </cell>
          <cell r="AC1118">
            <v>0</v>
          </cell>
          <cell r="AI1118" t="str">
            <v/>
          </cell>
          <cell r="AJ1118" t="str">
            <v/>
          </cell>
          <cell r="AK1118">
            <v>0</v>
          </cell>
          <cell r="AL1118">
            <v>0</v>
          </cell>
          <cell r="AM1118">
            <v>0</v>
          </cell>
        </row>
        <row r="1119">
          <cell r="C1119" t="str">
            <v/>
          </cell>
          <cell r="D1119" t="str">
            <v/>
          </cell>
          <cell r="O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/>
          </cell>
          <cell r="Y1119" t="str">
            <v/>
          </cell>
          <cell r="AA1119" t="str">
            <v/>
          </cell>
          <cell r="AB1119">
            <v>0</v>
          </cell>
          <cell r="AC1119">
            <v>0</v>
          </cell>
          <cell r="AI1119" t="str">
            <v/>
          </cell>
          <cell r="AJ1119" t="str">
            <v/>
          </cell>
          <cell r="AK1119">
            <v>0</v>
          </cell>
          <cell r="AL1119">
            <v>0</v>
          </cell>
          <cell r="AM1119">
            <v>0</v>
          </cell>
        </row>
        <row r="1120">
          <cell r="C1120" t="str">
            <v/>
          </cell>
          <cell r="D1120" t="str">
            <v/>
          </cell>
          <cell r="O1120" t="str">
            <v/>
          </cell>
          <cell r="T1120" t="str">
            <v/>
          </cell>
          <cell r="U1120" t="str">
            <v/>
          </cell>
          <cell r="V1120" t="str">
            <v/>
          </cell>
          <cell r="W1120" t="str">
            <v/>
          </cell>
          <cell r="Y1120" t="str">
            <v/>
          </cell>
          <cell r="AA1120" t="str">
            <v/>
          </cell>
          <cell r="AB1120">
            <v>0</v>
          </cell>
          <cell r="AC1120">
            <v>0</v>
          </cell>
          <cell r="AI1120" t="str">
            <v/>
          </cell>
          <cell r="AJ1120" t="str">
            <v/>
          </cell>
          <cell r="AK1120">
            <v>0</v>
          </cell>
          <cell r="AL1120">
            <v>0</v>
          </cell>
          <cell r="AM1120">
            <v>0</v>
          </cell>
        </row>
        <row r="1121">
          <cell r="C1121" t="str">
            <v/>
          </cell>
          <cell r="D1121" t="str">
            <v/>
          </cell>
          <cell r="O1121" t="str">
            <v/>
          </cell>
          <cell r="T1121" t="str">
            <v/>
          </cell>
          <cell r="U1121" t="str">
            <v/>
          </cell>
          <cell r="V1121" t="str">
            <v/>
          </cell>
          <cell r="W1121" t="str">
            <v/>
          </cell>
          <cell r="Y1121" t="str">
            <v/>
          </cell>
          <cell r="AA1121" t="str">
            <v/>
          </cell>
          <cell r="AB1121">
            <v>0</v>
          </cell>
          <cell r="AC1121">
            <v>0</v>
          </cell>
          <cell r="AI1121" t="str">
            <v/>
          </cell>
          <cell r="AJ1121" t="str">
            <v/>
          </cell>
          <cell r="AK1121">
            <v>0</v>
          </cell>
          <cell r="AL1121">
            <v>0</v>
          </cell>
          <cell r="AM1121">
            <v>0</v>
          </cell>
        </row>
        <row r="1122">
          <cell r="C1122" t="str">
            <v/>
          </cell>
          <cell r="D1122" t="str">
            <v/>
          </cell>
          <cell r="O1122" t="str">
            <v/>
          </cell>
          <cell r="T1122" t="str">
            <v/>
          </cell>
          <cell r="U1122" t="str">
            <v/>
          </cell>
          <cell r="V1122" t="str">
            <v/>
          </cell>
          <cell r="W1122" t="str">
            <v/>
          </cell>
          <cell r="Y1122" t="str">
            <v/>
          </cell>
          <cell r="AA1122" t="str">
            <v/>
          </cell>
          <cell r="AB1122">
            <v>0</v>
          </cell>
          <cell r="AC1122">
            <v>0</v>
          </cell>
          <cell r="AI1122" t="str">
            <v/>
          </cell>
          <cell r="AJ1122" t="str">
            <v/>
          </cell>
          <cell r="AK1122">
            <v>0</v>
          </cell>
          <cell r="AL1122">
            <v>0</v>
          </cell>
          <cell r="AM1122">
            <v>0</v>
          </cell>
        </row>
        <row r="1123">
          <cell r="C1123" t="str">
            <v/>
          </cell>
          <cell r="D1123" t="str">
            <v/>
          </cell>
          <cell r="O1123" t="str">
            <v/>
          </cell>
          <cell r="T1123" t="str">
            <v/>
          </cell>
          <cell r="U1123" t="str">
            <v/>
          </cell>
          <cell r="V1123" t="str">
            <v/>
          </cell>
          <cell r="W1123" t="str">
            <v/>
          </cell>
          <cell r="Y1123" t="str">
            <v/>
          </cell>
          <cell r="AA1123" t="str">
            <v/>
          </cell>
          <cell r="AB1123">
            <v>0</v>
          </cell>
          <cell r="AC1123">
            <v>0</v>
          </cell>
          <cell r="AI1123" t="str">
            <v/>
          </cell>
          <cell r="AJ1123" t="str">
            <v/>
          </cell>
          <cell r="AK1123">
            <v>0</v>
          </cell>
          <cell r="AL1123">
            <v>0</v>
          </cell>
          <cell r="AM1123">
            <v>0</v>
          </cell>
        </row>
        <row r="1124">
          <cell r="C1124" t="str">
            <v/>
          </cell>
          <cell r="D1124" t="str">
            <v/>
          </cell>
          <cell r="O1124" t="str">
            <v/>
          </cell>
          <cell r="T1124" t="str">
            <v/>
          </cell>
          <cell r="U1124" t="str">
            <v/>
          </cell>
          <cell r="V1124" t="str">
            <v/>
          </cell>
          <cell r="W1124" t="str">
            <v/>
          </cell>
          <cell r="Y1124" t="str">
            <v/>
          </cell>
          <cell r="AA1124" t="str">
            <v/>
          </cell>
          <cell r="AB1124">
            <v>0</v>
          </cell>
          <cell r="AC1124">
            <v>0</v>
          </cell>
          <cell r="AI1124" t="str">
            <v/>
          </cell>
          <cell r="AJ1124" t="str">
            <v/>
          </cell>
          <cell r="AK1124">
            <v>0</v>
          </cell>
          <cell r="AL1124">
            <v>0</v>
          </cell>
          <cell r="AM1124">
            <v>0</v>
          </cell>
        </row>
        <row r="1125">
          <cell r="C1125" t="str">
            <v/>
          </cell>
          <cell r="D1125" t="str">
            <v/>
          </cell>
          <cell r="O1125" t="str">
            <v/>
          </cell>
          <cell r="T1125" t="str">
            <v/>
          </cell>
          <cell r="U1125" t="str">
            <v/>
          </cell>
          <cell r="V1125" t="str">
            <v/>
          </cell>
          <cell r="W1125" t="str">
            <v/>
          </cell>
          <cell r="Y1125" t="str">
            <v/>
          </cell>
          <cell r="AA1125" t="str">
            <v/>
          </cell>
          <cell r="AB1125">
            <v>0</v>
          </cell>
          <cell r="AC1125">
            <v>0</v>
          </cell>
          <cell r="AI1125" t="str">
            <v/>
          </cell>
          <cell r="AJ1125" t="str">
            <v/>
          </cell>
          <cell r="AK1125">
            <v>0</v>
          </cell>
          <cell r="AL1125">
            <v>0</v>
          </cell>
          <cell r="AM1125">
            <v>0</v>
          </cell>
        </row>
        <row r="1126">
          <cell r="C1126" t="str">
            <v/>
          </cell>
          <cell r="D1126" t="str">
            <v/>
          </cell>
          <cell r="O1126" t="str">
            <v/>
          </cell>
          <cell r="T1126" t="str">
            <v/>
          </cell>
          <cell r="U1126" t="str">
            <v/>
          </cell>
          <cell r="V1126" t="str">
            <v/>
          </cell>
          <cell r="W1126" t="str">
            <v/>
          </cell>
          <cell r="Y1126" t="str">
            <v/>
          </cell>
          <cell r="AA1126" t="str">
            <v/>
          </cell>
          <cell r="AB1126">
            <v>0</v>
          </cell>
          <cell r="AC1126">
            <v>0</v>
          </cell>
          <cell r="AI1126" t="str">
            <v/>
          </cell>
          <cell r="AJ1126" t="str">
            <v/>
          </cell>
          <cell r="AK1126">
            <v>0</v>
          </cell>
          <cell r="AL1126">
            <v>0</v>
          </cell>
          <cell r="AM1126">
            <v>0</v>
          </cell>
        </row>
        <row r="1127">
          <cell r="C1127" t="str">
            <v/>
          </cell>
          <cell r="D1127" t="str">
            <v/>
          </cell>
          <cell r="O1127" t="str">
            <v/>
          </cell>
          <cell r="T1127" t="str">
            <v/>
          </cell>
          <cell r="U1127" t="str">
            <v/>
          </cell>
          <cell r="V1127" t="str">
            <v/>
          </cell>
          <cell r="W1127" t="str">
            <v/>
          </cell>
          <cell r="Y1127" t="str">
            <v/>
          </cell>
          <cell r="AA1127" t="str">
            <v/>
          </cell>
          <cell r="AB1127">
            <v>0</v>
          </cell>
          <cell r="AC1127">
            <v>0</v>
          </cell>
          <cell r="AI1127" t="str">
            <v/>
          </cell>
          <cell r="AJ1127" t="str">
            <v/>
          </cell>
          <cell r="AK1127">
            <v>0</v>
          </cell>
          <cell r="AL1127">
            <v>0</v>
          </cell>
          <cell r="AM1127">
            <v>0</v>
          </cell>
        </row>
        <row r="1128">
          <cell r="C1128" t="str">
            <v/>
          </cell>
          <cell r="D1128" t="str">
            <v/>
          </cell>
          <cell r="O1128" t="str">
            <v/>
          </cell>
          <cell r="T1128" t="str">
            <v/>
          </cell>
          <cell r="U1128" t="str">
            <v/>
          </cell>
          <cell r="V1128" t="str">
            <v/>
          </cell>
          <cell r="W1128" t="str">
            <v/>
          </cell>
          <cell r="Y1128" t="str">
            <v/>
          </cell>
          <cell r="AA1128" t="str">
            <v/>
          </cell>
          <cell r="AB1128">
            <v>0</v>
          </cell>
          <cell r="AC1128">
            <v>0</v>
          </cell>
          <cell r="AI1128" t="str">
            <v/>
          </cell>
          <cell r="AJ1128" t="str">
            <v/>
          </cell>
          <cell r="AK1128">
            <v>0</v>
          </cell>
          <cell r="AL1128">
            <v>0</v>
          </cell>
          <cell r="AM1128">
            <v>0</v>
          </cell>
        </row>
        <row r="1129">
          <cell r="C1129" t="str">
            <v/>
          </cell>
          <cell r="D1129" t="str">
            <v/>
          </cell>
          <cell r="O1129" t="str">
            <v/>
          </cell>
          <cell r="T1129" t="str">
            <v/>
          </cell>
          <cell r="U1129" t="str">
            <v/>
          </cell>
          <cell r="V1129" t="str">
            <v/>
          </cell>
          <cell r="W1129" t="str">
            <v/>
          </cell>
          <cell r="Y1129" t="str">
            <v/>
          </cell>
          <cell r="AA1129" t="str">
            <v/>
          </cell>
          <cell r="AB1129">
            <v>0</v>
          </cell>
          <cell r="AC1129">
            <v>0</v>
          </cell>
          <cell r="AI1129" t="str">
            <v/>
          </cell>
          <cell r="AJ1129" t="str">
            <v/>
          </cell>
          <cell r="AK1129">
            <v>0</v>
          </cell>
          <cell r="AL1129">
            <v>0</v>
          </cell>
          <cell r="AM1129">
            <v>0</v>
          </cell>
        </row>
        <row r="1130">
          <cell r="C1130" t="str">
            <v/>
          </cell>
          <cell r="D1130" t="str">
            <v/>
          </cell>
          <cell r="O1130" t="str">
            <v/>
          </cell>
          <cell r="T1130" t="str">
            <v/>
          </cell>
          <cell r="U1130" t="str">
            <v/>
          </cell>
          <cell r="V1130" t="str">
            <v/>
          </cell>
          <cell r="W1130" t="str">
            <v/>
          </cell>
          <cell r="Y1130" t="str">
            <v/>
          </cell>
          <cell r="AA1130" t="str">
            <v/>
          </cell>
          <cell r="AB1130">
            <v>0</v>
          </cell>
          <cell r="AC1130">
            <v>0</v>
          </cell>
          <cell r="AI1130" t="str">
            <v/>
          </cell>
          <cell r="AJ1130" t="str">
            <v/>
          </cell>
          <cell r="AK1130">
            <v>0</v>
          </cell>
          <cell r="AL1130">
            <v>0</v>
          </cell>
          <cell r="AM1130">
            <v>0</v>
          </cell>
        </row>
        <row r="1131">
          <cell r="C1131" t="str">
            <v/>
          </cell>
          <cell r="D1131" t="str">
            <v/>
          </cell>
          <cell r="O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/>
          </cell>
          <cell r="Y1131" t="str">
            <v/>
          </cell>
          <cell r="AA1131" t="str">
            <v/>
          </cell>
          <cell r="AB1131">
            <v>0</v>
          </cell>
          <cell r="AC1131">
            <v>0</v>
          </cell>
          <cell r="AI1131" t="str">
            <v/>
          </cell>
          <cell r="AJ1131" t="str">
            <v/>
          </cell>
          <cell r="AK1131">
            <v>0</v>
          </cell>
          <cell r="AL1131">
            <v>0</v>
          </cell>
          <cell r="AM1131">
            <v>0</v>
          </cell>
        </row>
        <row r="1132">
          <cell r="C1132" t="str">
            <v/>
          </cell>
          <cell r="D1132" t="str">
            <v/>
          </cell>
          <cell r="O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/>
          </cell>
          <cell r="Y1132" t="str">
            <v/>
          </cell>
          <cell r="AA1132" t="str">
            <v/>
          </cell>
          <cell r="AB1132">
            <v>0</v>
          </cell>
          <cell r="AC1132">
            <v>0</v>
          </cell>
          <cell r="AI1132" t="str">
            <v/>
          </cell>
          <cell r="AJ1132" t="str">
            <v/>
          </cell>
          <cell r="AK1132">
            <v>0</v>
          </cell>
          <cell r="AL1132">
            <v>0</v>
          </cell>
          <cell r="AM1132">
            <v>0</v>
          </cell>
        </row>
        <row r="1133">
          <cell r="C1133" t="str">
            <v/>
          </cell>
          <cell r="D1133" t="str">
            <v/>
          </cell>
          <cell r="O1133" t="str">
            <v/>
          </cell>
          <cell r="T1133" t="str">
            <v/>
          </cell>
          <cell r="U1133" t="str">
            <v/>
          </cell>
          <cell r="V1133" t="str">
            <v/>
          </cell>
          <cell r="W1133" t="str">
            <v/>
          </cell>
          <cell r="Y1133" t="str">
            <v/>
          </cell>
          <cell r="AA1133" t="str">
            <v/>
          </cell>
          <cell r="AB1133">
            <v>0</v>
          </cell>
          <cell r="AC1133">
            <v>0</v>
          </cell>
          <cell r="AI1133" t="str">
            <v/>
          </cell>
          <cell r="AJ1133" t="str">
            <v/>
          </cell>
          <cell r="AK1133">
            <v>0</v>
          </cell>
          <cell r="AL1133">
            <v>0</v>
          </cell>
          <cell r="AM1133">
            <v>0</v>
          </cell>
        </row>
        <row r="1134">
          <cell r="C1134" t="str">
            <v/>
          </cell>
          <cell r="D1134" t="str">
            <v/>
          </cell>
          <cell r="O1134" t="str">
            <v/>
          </cell>
          <cell r="T1134" t="str">
            <v/>
          </cell>
          <cell r="U1134" t="str">
            <v/>
          </cell>
          <cell r="V1134" t="str">
            <v/>
          </cell>
          <cell r="W1134" t="str">
            <v/>
          </cell>
          <cell r="Y1134" t="str">
            <v/>
          </cell>
          <cell r="AA1134" t="str">
            <v/>
          </cell>
          <cell r="AB1134">
            <v>0</v>
          </cell>
          <cell r="AC1134">
            <v>0</v>
          </cell>
          <cell r="AI1134" t="str">
            <v/>
          </cell>
          <cell r="AJ1134" t="str">
            <v/>
          </cell>
          <cell r="AK1134">
            <v>0</v>
          </cell>
          <cell r="AL1134">
            <v>0</v>
          </cell>
          <cell r="AM1134">
            <v>0</v>
          </cell>
        </row>
        <row r="1135">
          <cell r="C1135" t="str">
            <v/>
          </cell>
          <cell r="D1135" t="str">
            <v/>
          </cell>
          <cell r="O1135" t="str">
            <v/>
          </cell>
          <cell r="T1135" t="str">
            <v/>
          </cell>
          <cell r="U1135" t="str">
            <v/>
          </cell>
          <cell r="V1135" t="str">
            <v/>
          </cell>
          <cell r="W1135" t="str">
            <v/>
          </cell>
          <cell r="Y1135" t="str">
            <v/>
          </cell>
          <cell r="AA1135" t="str">
            <v/>
          </cell>
          <cell r="AB1135">
            <v>0</v>
          </cell>
          <cell r="AC1135">
            <v>0</v>
          </cell>
          <cell r="AI1135" t="str">
            <v/>
          </cell>
          <cell r="AJ1135" t="str">
            <v/>
          </cell>
          <cell r="AK1135">
            <v>0</v>
          </cell>
          <cell r="AL1135">
            <v>0</v>
          </cell>
          <cell r="AM1135">
            <v>0</v>
          </cell>
        </row>
        <row r="1136">
          <cell r="C1136" t="str">
            <v/>
          </cell>
          <cell r="D1136" t="str">
            <v/>
          </cell>
          <cell r="O1136" t="str">
            <v/>
          </cell>
          <cell r="T1136" t="str">
            <v/>
          </cell>
          <cell r="U1136" t="str">
            <v/>
          </cell>
          <cell r="V1136" t="str">
            <v/>
          </cell>
          <cell r="W1136" t="str">
            <v/>
          </cell>
          <cell r="Y1136" t="str">
            <v/>
          </cell>
          <cell r="AA1136" t="str">
            <v/>
          </cell>
          <cell r="AB1136">
            <v>0</v>
          </cell>
          <cell r="AC1136">
            <v>0</v>
          </cell>
          <cell r="AI1136" t="str">
            <v/>
          </cell>
          <cell r="AJ1136" t="str">
            <v/>
          </cell>
          <cell r="AK1136">
            <v>0</v>
          </cell>
          <cell r="AL1136">
            <v>0</v>
          </cell>
          <cell r="AM1136">
            <v>0</v>
          </cell>
        </row>
        <row r="1137">
          <cell r="C1137" t="str">
            <v/>
          </cell>
          <cell r="D1137" t="str">
            <v/>
          </cell>
          <cell r="O1137" t="str">
            <v/>
          </cell>
          <cell r="T1137" t="str">
            <v/>
          </cell>
          <cell r="U1137" t="str">
            <v/>
          </cell>
          <cell r="V1137" t="str">
            <v/>
          </cell>
          <cell r="W1137" t="str">
            <v/>
          </cell>
          <cell r="Y1137" t="str">
            <v/>
          </cell>
          <cell r="AA1137" t="str">
            <v/>
          </cell>
          <cell r="AB1137">
            <v>0</v>
          </cell>
          <cell r="AC1137">
            <v>0</v>
          </cell>
          <cell r="AI1137" t="str">
            <v/>
          </cell>
          <cell r="AJ1137" t="str">
            <v/>
          </cell>
          <cell r="AK1137">
            <v>0</v>
          </cell>
          <cell r="AL1137">
            <v>0</v>
          </cell>
          <cell r="AM1137">
            <v>0</v>
          </cell>
        </row>
        <row r="1138">
          <cell r="C1138" t="str">
            <v/>
          </cell>
          <cell r="D1138" t="str">
            <v/>
          </cell>
          <cell r="O1138" t="str">
            <v/>
          </cell>
          <cell r="T1138" t="str">
            <v/>
          </cell>
          <cell r="U1138" t="str">
            <v/>
          </cell>
          <cell r="V1138" t="str">
            <v/>
          </cell>
          <cell r="W1138" t="str">
            <v/>
          </cell>
          <cell r="Y1138" t="str">
            <v/>
          </cell>
          <cell r="AA1138" t="str">
            <v/>
          </cell>
          <cell r="AB1138">
            <v>0</v>
          </cell>
          <cell r="AC1138">
            <v>0</v>
          </cell>
          <cell r="AI1138" t="str">
            <v/>
          </cell>
          <cell r="AJ1138" t="str">
            <v/>
          </cell>
          <cell r="AK1138">
            <v>0</v>
          </cell>
          <cell r="AL1138">
            <v>0</v>
          </cell>
          <cell r="AM1138">
            <v>0</v>
          </cell>
        </row>
        <row r="1139">
          <cell r="C1139" t="str">
            <v/>
          </cell>
          <cell r="D1139" t="str">
            <v/>
          </cell>
          <cell r="O1139" t="str">
            <v/>
          </cell>
          <cell r="T1139" t="str">
            <v/>
          </cell>
          <cell r="U1139" t="str">
            <v/>
          </cell>
          <cell r="V1139" t="str">
            <v/>
          </cell>
          <cell r="W1139" t="str">
            <v/>
          </cell>
          <cell r="Y1139" t="str">
            <v/>
          </cell>
          <cell r="AA1139" t="str">
            <v/>
          </cell>
          <cell r="AB1139">
            <v>0</v>
          </cell>
          <cell r="AC1139">
            <v>0</v>
          </cell>
          <cell r="AI1139" t="str">
            <v/>
          </cell>
          <cell r="AJ1139" t="str">
            <v/>
          </cell>
          <cell r="AK1139">
            <v>0</v>
          </cell>
          <cell r="AL1139">
            <v>0</v>
          </cell>
          <cell r="AM1139">
            <v>0</v>
          </cell>
        </row>
        <row r="1140">
          <cell r="C1140" t="str">
            <v/>
          </cell>
          <cell r="D1140" t="str">
            <v/>
          </cell>
          <cell r="O1140" t="str">
            <v/>
          </cell>
          <cell r="T1140" t="str">
            <v/>
          </cell>
          <cell r="U1140" t="str">
            <v/>
          </cell>
          <cell r="V1140" t="str">
            <v/>
          </cell>
          <cell r="W1140" t="str">
            <v/>
          </cell>
          <cell r="Y1140" t="str">
            <v/>
          </cell>
          <cell r="AA1140" t="str">
            <v/>
          </cell>
          <cell r="AB1140">
            <v>0</v>
          </cell>
          <cell r="AC1140">
            <v>0</v>
          </cell>
          <cell r="AI1140" t="str">
            <v/>
          </cell>
          <cell r="AJ1140" t="str">
            <v/>
          </cell>
          <cell r="AK1140">
            <v>0</v>
          </cell>
          <cell r="AL1140">
            <v>0</v>
          </cell>
          <cell r="AM1140">
            <v>0</v>
          </cell>
        </row>
        <row r="1141">
          <cell r="C1141" t="str">
            <v/>
          </cell>
          <cell r="D1141" t="str">
            <v/>
          </cell>
          <cell r="O1141" t="str">
            <v/>
          </cell>
          <cell r="T1141" t="str">
            <v/>
          </cell>
          <cell r="U1141" t="str">
            <v/>
          </cell>
          <cell r="V1141" t="str">
            <v/>
          </cell>
          <cell r="W1141" t="str">
            <v/>
          </cell>
          <cell r="Y1141" t="str">
            <v/>
          </cell>
          <cell r="AA1141" t="str">
            <v/>
          </cell>
          <cell r="AB1141">
            <v>0</v>
          </cell>
          <cell r="AC1141">
            <v>0</v>
          </cell>
          <cell r="AI1141" t="str">
            <v/>
          </cell>
          <cell r="AJ1141" t="str">
            <v/>
          </cell>
          <cell r="AK1141">
            <v>0</v>
          </cell>
          <cell r="AL1141">
            <v>0</v>
          </cell>
          <cell r="AM1141">
            <v>0</v>
          </cell>
        </row>
        <row r="1142">
          <cell r="C1142" t="str">
            <v/>
          </cell>
          <cell r="D1142" t="str">
            <v/>
          </cell>
          <cell r="O1142" t="str">
            <v/>
          </cell>
          <cell r="T1142" t="str">
            <v/>
          </cell>
          <cell r="U1142" t="str">
            <v/>
          </cell>
          <cell r="V1142" t="str">
            <v/>
          </cell>
          <cell r="W1142" t="str">
            <v/>
          </cell>
          <cell r="Y1142" t="str">
            <v/>
          </cell>
          <cell r="AA1142" t="str">
            <v/>
          </cell>
          <cell r="AB1142">
            <v>0</v>
          </cell>
          <cell r="AC1142">
            <v>0</v>
          </cell>
          <cell r="AI1142" t="str">
            <v/>
          </cell>
          <cell r="AJ1142" t="str">
            <v/>
          </cell>
          <cell r="AK1142">
            <v>0</v>
          </cell>
          <cell r="AL1142">
            <v>0</v>
          </cell>
          <cell r="AM1142">
            <v>0</v>
          </cell>
        </row>
        <row r="1143">
          <cell r="C1143" t="str">
            <v/>
          </cell>
          <cell r="D1143" t="str">
            <v/>
          </cell>
          <cell r="O1143" t="str">
            <v/>
          </cell>
          <cell r="T1143" t="str">
            <v/>
          </cell>
          <cell r="U1143" t="str">
            <v/>
          </cell>
          <cell r="V1143" t="str">
            <v/>
          </cell>
          <cell r="W1143" t="str">
            <v/>
          </cell>
          <cell r="Y1143" t="str">
            <v/>
          </cell>
          <cell r="AA1143" t="str">
            <v/>
          </cell>
          <cell r="AB1143">
            <v>0</v>
          </cell>
          <cell r="AC1143">
            <v>0</v>
          </cell>
          <cell r="AI1143" t="str">
            <v/>
          </cell>
          <cell r="AJ1143" t="str">
            <v/>
          </cell>
          <cell r="AK1143">
            <v>0</v>
          </cell>
          <cell r="AL1143">
            <v>0</v>
          </cell>
          <cell r="AM1143">
            <v>0</v>
          </cell>
        </row>
        <row r="1144">
          <cell r="C1144" t="str">
            <v/>
          </cell>
          <cell r="D1144" t="str">
            <v/>
          </cell>
          <cell r="O1144" t="str">
            <v/>
          </cell>
          <cell r="T1144" t="str">
            <v/>
          </cell>
          <cell r="U1144" t="str">
            <v/>
          </cell>
          <cell r="V1144" t="str">
            <v/>
          </cell>
          <cell r="W1144" t="str">
            <v/>
          </cell>
          <cell r="Y1144" t="str">
            <v/>
          </cell>
          <cell r="AA1144" t="str">
            <v/>
          </cell>
          <cell r="AB1144">
            <v>0</v>
          </cell>
          <cell r="AC1144">
            <v>0</v>
          </cell>
          <cell r="AI1144" t="str">
            <v/>
          </cell>
          <cell r="AJ1144" t="str">
            <v/>
          </cell>
          <cell r="AK1144">
            <v>0</v>
          </cell>
          <cell r="AL1144">
            <v>0</v>
          </cell>
          <cell r="AM1144">
            <v>0</v>
          </cell>
        </row>
        <row r="1145">
          <cell r="C1145" t="str">
            <v/>
          </cell>
          <cell r="D1145" t="str">
            <v/>
          </cell>
          <cell r="O1145" t="str">
            <v/>
          </cell>
          <cell r="T1145" t="str">
            <v/>
          </cell>
          <cell r="U1145" t="str">
            <v/>
          </cell>
          <cell r="V1145" t="str">
            <v/>
          </cell>
          <cell r="W1145" t="str">
            <v/>
          </cell>
          <cell r="Y1145" t="str">
            <v/>
          </cell>
          <cell r="AA1145" t="str">
            <v/>
          </cell>
          <cell r="AB1145">
            <v>0</v>
          </cell>
          <cell r="AC1145">
            <v>0</v>
          </cell>
          <cell r="AI1145" t="str">
            <v/>
          </cell>
          <cell r="AJ1145" t="str">
            <v/>
          </cell>
          <cell r="AK1145">
            <v>0</v>
          </cell>
          <cell r="AL1145">
            <v>0</v>
          </cell>
          <cell r="AM1145">
            <v>0</v>
          </cell>
        </row>
        <row r="1146">
          <cell r="C1146" t="str">
            <v/>
          </cell>
          <cell r="D1146" t="str">
            <v/>
          </cell>
          <cell r="O1146" t="str">
            <v/>
          </cell>
          <cell r="T1146" t="str">
            <v/>
          </cell>
          <cell r="U1146" t="str">
            <v/>
          </cell>
          <cell r="V1146" t="str">
            <v/>
          </cell>
          <cell r="W1146" t="str">
            <v/>
          </cell>
          <cell r="Y1146" t="str">
            <v/>
          </cell>
          <cell r="AA1146" t="str">
            <v/>
          </cell>
          <cell r="AB1146">
            <v>0</v>
          </cell>
          <cell r="AC1146">
            <v>0</v>
          </cell>
          <cell r="AI1146" t="str">
            <v/>
          </cell>
          <cell r="AJ1146" t="str">
            <v/>
          </cell>
          <cell r="AK1146">
            <v>0</v>
          </cell>
          <cell r="AL1146">
            <v>0</v>
          </cell>
          <cell r="AM1146">
            <v>0</v>
          </cell>
        </row>
        <row r="1147">
          <cell r="C1147" t="str">
            <v/>
          </cell>
          <cell r="D1147" t="str">
            <v/>
          </cell>
          <cell r="O1147" t="str">
            <v/>
          </cell>
          <cell r="T1147" t="str">
            <v/>
          </cell>
          <cell r="U1147" t="str">
            <v/>
          </cell>
          <cell r="V1147" t="str">
            <v/>
          </cell>
          <cell r="W1147" t="str">
            <v/>
          </cell>
          <cell r="Y1147" t="str">
            <v/>
          </cell>
          <cell r="AA1147" t="str">
            <v/>
          </cell>
          <cell r="AB1147">
            <v>0</v>
          </cell>
          <cell r="AC1147">
            <v>0</v>
          </cell>
          <cell r="AI1147" t="str">
            <v/>
          </cell>
          <cell r="AJ1147" t="str">
            <v/>
          </cell>
          <cell r="AK1147">
            <v>0</v>
          </cell>
          <cell r="AL1147">
            <v>0</v>
          </cell>
          <cell r="AM1147">
            <v>0</v>
          </cell>
        </row>
        <row r="1148">
          <cell r="C1148" t="str">
            <v/>
          </cell>
          <cell r="D1148" t="str">
            <v/>
          </cell>
          <cell r="O1148" t="str">
            <v/>
          </cell>
          <cell r="T1148" t="str">
            <v/>
          </cell>
          <cell r="U1148" t="str">
            <v/>
          </cell>
          <cell r="V1148" t="str">
            <v/>
          </cell>
          <cell r="W1148" t="str">
            <v/>
          </cell>
          <cell r="Y1148" t="str">
            <v/>
          </cell>
          <cell r="AA1148" t="str">
            <v/>
          </cell>
          <cell r="AB1148">
            <v>0</v>
          </cell>
          <cell r="AC1148">
            <v>0</v>
          </cell>
          <cell r="AI1148" t="str">
            <v/>
          </cell>
          <cell r="AJ1148" t="str">
            <v/>
          </cell>
          <cell r="AK1148">
            <v>0</v>
          </cell>
          <cell r="AL1148">
            <v>0</v>
          </cell>
          <cell r="AM1148">
            <v>0</v>
          </cell>
        </row>
        <row r="1149">
          <cell r="C1149" t="str">
            <v/>
          </cell>
          <cell r="D1149" t="str">
            <v/>
          </cell>
          <cell r="O1149" t="str">
            <v/>
          </cell>
          <cell r="T1149" t="str">
            <v/>
          </cell>
          <cell r="U1149" t="str">
            <v/>
          </cell>
          <cell r="V1149" t="str">
            <v/>
          </cell>
          <cell r="W1149" t="str">
            <v/>
          </cell>
          <cell r="Y1149" t="str">
            <v/>
          </cell>
          <cell r="AA1149" t="str">
            <v/>
          </cell>
          <cell r="AB1149">
            <v>0</v>
          </cell>
          <cell r="AC1149">
            <v>0</v>
          </cell>
          <cell r="AI1149" t="str">
            <v/>
          </cell>
          <cell r="AJ1149" t="str">
            <v/>
          </cell>
          <cell r="AK1149">
            <v>0</v>
          </cell>
          <cell r="AL1149">
            <v>0</v>
          </cell>
          <cell r="AM1149">
            <v>0</v>
          </cell>
        </row>
        <row r="1150">
          <cell r="C1150" t="str">
            <v/>
          </cell>
          <cell r="D1150" t="str">
            <v/>
          </cell>
          <cell r="O1150" t="str">
            <v/>
          </cell>
          <cell r="T1150" t="str">
            <v/>
          </cell>
          <cell r="U1150" t="str">
            <v/>
          </cell>
          <cell r="V1150" t="str">
            <v/>
          </cell>
          <cell r="W1150" t="str">
            <v/>
          </cell>
          <cell r="Y1150" t="str">
            <v/>
          </cell>
          <cell r="AA1150" t="str">
            <v/>
          </cell>
          <cell r="AB1150">
            <v>0</v>
          </cell>
          <cell r="AC1150">
            <v>0</v>
          </cell>
          <cell r="AI1150" t="str">
            <v/>
          </cell>
          <cell r="AJ1150" t="str">
            <v/>
          </cell>
          <cell r="AK1150">
            <v>0</v>
          </cell>
          <cell r="AL1150">
            <v>0</v>
          </cell>
          <cell r="AM1150">
            <v>0</v>
          </cell>
        </row>
        <row r="1151">
          <cell r="C1151" t="str">
            <v/>
          </cell>
          <cell r="D1151" t="str">
            <v/>
          </cell>
          <cell r="O1151" t="str">
            <v/>
          </cell>
          <cell r="T1151" t="str">
            <v/>
          </cell>
          <cell r="U1151" t="str">
            <v/>
          </cell>
          <cell r="V1151" t="str">
            <v/>
          </cell>
          <cell r="W1151" t="str">
            <v/>
          </cell>
          <cell r="Y1151" t="str">
            <v/>
          </cell>
          <cell r="AA1151" t="str">
            <v/>
          </cell>
          <cell r="AB1151">
            <v>0</v>
          </cell>
          <cell r="AC1151">
            <v>0</v>
          </cell>
          <cell r="AI1151" t="str">
            <v/>
          </cell>
          <cell r="AJ1151" t="str">
            <v/>
          </cell>
          <cell r="AK1151">
            <v>0</v>
          </cell>
          <cell r="AL1151">
            <v>0</v>
          </cell>
          <cell r="AM1151">
            <v>0</v>
          </cell>
        </row>
        <row r="1152">
          <cell r="C1152" t="str">
            <v/>
          </cell>
          <cell r="D1152" t="str">
            <v/>
          </cell>
          <cell r="O1152" t="str">
            <v/>
          </cell>
          <cell r="T1152" t="str">
            <v/>
          </cell>
          <cell r="U1152" t="str">
            <v/>
          </cell>
          <cell r="V1152" t="str">
            <v/>
          </cell>
          <cell r="W1152" t="str">
            <v/>
          </cell>
          <cell r="Y1152" t="str">
            <v/>
          </cell>
          <cell r="AA1152" t="str">
            <v/>
          </cell>
          <cell r="AB1152">
            <v>0</v>
          </cell>
          <cell r="AC1152">
            <v>0</v>
          </cell>
          <cell r="AI1152" t="str">
            <v/>
          </cell>
          <cell r="AJ1152" t="str">
            <v/>
          </cell>
          <cell r="AK1152">
            <v>0</v>
          </cell>
          <cell r="AL1152">
            <v>0</v>
          </cell>
          <cell r="AM1152">
            <v>0</v>
          </cell>
        </row>
        <row r="1153">
          <cell r="C1153" t="str">
            <v/>
          </cell>
          <cell r="D1153" t="str">
            <v/>
          </cell>
          <cell r="O1153" t="str">
            <v/>
          </cell>
          <cell r="T1153" t="str">
            <v/>
          </cell>
          <cell r="U1153" t="str">
            <v/>
          </cell>
          <cell r="V1153" t="str">
            <v/>
          </cell>
          <cell r="W1153" t="str">
            <v/>
          </cell>
          <cell r="Y1153" t="str">
            <v/>
          </cell>
          <cell r="AA1153" t="str">
            <v/>
          </cell>
          <cell r="AB1153">
            <v>0</v>
          </cell>
          <cell r="AC1153">
            <v>0</v>
          </cell>
          <cell r="AI1153" t="str">
            <v/>
          </cell>
          <cell r="AJ1153" t="str">
            <v/>
          </cell>
          <cell r="AK1153">
            <v>0</v>
          </cell>
          <cell r="AL1153">
            <v>0</v>
          </cell>
          <cell r="AM1153">
            <v>0</v>
          </cell>
        </row>
        <row r="1154">
          <cell r="C1154" t="str">
            <v/>
          </cell>
          <cell r="D1154" t="str">
            <v/>
          </cell>
          <cell r="O1154" t="str">
            <v/>
          </cell>
          <cell r="T1154" t="str">
            <v/>
          </cell>
          <cell r="U1154" t="str">
            <v/>
          </cell>
          <cell r="V1154" t="str">
            <v/>
          </cell>
          <cell r="W1154" t="str">
            <v/>
          </cell>
          <cell r="Y1154" t="str">
            <v/>
          </cell>
          <cell r="AA1154" t="str">
            <v/>
          </cell>
          <cell r="AB1154">
            <v>0</v>
          </cell>
          <cell r="AC1154">
            <v>0</v>
          </cell>
          <cell r="AI1154" t="str">
            <v/>
          </cell>
          <cell r="AJ1154" t="str">
            <v/>
          </cell>
          <cell r="AK1154">
            <v>0</v>
          </cell>
          <cell r="AL1154">
            <v>0</v>
          </cell>
          <cell r="AM1154">
            <v>0</v>
          </cell>
        </row>
        <row r="1155">
          <cell r="C1155" t="str">
            <v/>
          </cell>
          <cell r="D1155" t="str">
            <v/>
          </cell>
          <cell r="O1155" t="str">
            <v/>
          </cell>
          <cell r="T1155" t="str">
            <v/>
          </cell>
          <cell r="U1155" t="str">
            <v/>
          </cell>
          <cell r="V1155" t="str">
            <v/>
          </cell>
          <cell r="W1155" t="str">
            <v/>
          </cell>
          <cell r="Y1155" t="str">
            <v/>
          </cell>
          <cell r="AA1155" t="str">
            <v/>
          </cell>
          <cell r="AB1155">
            <v>0</v>
          </cell>
          <cell r="AC1155">
            <v>0</v>
          </cell>
          <cell r="AI1155" t="str">
            <v/>
          </cell>
          <cell r="AJ1155" t="str">
            <v/>
          </cell>
          <cell r="AK1155">
            <v>0</v>
          </cell>
          <cell r="AL1155">
            <v>0</v>
          </cell>
          <cell r="AM1155">
            <v>0</v>
          </cell>
        </row>
        <row r="1156">
          <cell r="C1156" t="str">
            <v/>
          </cell>
          <cell r="D1156" t="str">
            <v/>
          </cell>
          <cell r="O1156" t="str">
            <v/>
          </cell>
          <cell r="T1156" t="str">
            <v/>
          </cell>
          <cell r="U1156" t="str">
            <v/>
          </cell>
          <cell r="V1156" t="str">
            <v/>
          </cell>
          <cell r="W1156" t="str">
            <v/>
          </cell>
          <cell r="Y1156" t="str">
            <v/>
          </cell>
          <cell r="AA1156" t="str">
            <v/>
          </cell>
          <cell r="AB1156">
            <v>0</v>
          </cell>
          <cell r="AC1156">
            <v>0</v>
          </cell>
          <cell r="AI1156" t="str">
            <v/>
          </cell>
          <cell r="AJ1156" t="str">
            <v/>
          </cell>
          <cell r="AK1156">
            <v>0</v>
          </cell>
          <cell r="AL1156">
            <v>0</v>
          </cell>
          <cell r="AM1156">
            <v>0</v>
          </cell>
        </row>
        <row r="1157">
          <cell r="C1157" t="str">
            <v/>
          </cell>
          <cell r="D1157" t="str">
            <v/>
          </cell>
          <cell r="O1157" t="str">
            <v/>
          </cell>
          <cell r="T1157" t="str">
            <v/>
          </cell>
          <cell r="U1157" t="str">
            <v/>
          </cell>
          <cell r="V1157" t="str">
            <v/>
          </cell>
          <cell r="W1157" t="str">
            <v/>
          </cell>
          <cell r="Y1157" t="str">
            <v/>
          </cell>
          <cell r="AA1157" t="str">
            <v/>
          </cell>
          <cell r="AB1157">
            <v>0</v>
          </cell>
          <cell r="AC1157">
            <v>0</v>
          </cell>
          <cell r="AI1157" t="str">
            <v/>
          </cell>
          <cell r="AJ1157" t="str">
            <v/>
          </cell>
          <cell r="AK1157">
            <v>0</v>
          </cell>
          <cell r="AL1157">
            <v>0</v>
          </cell>
          <cell r="AM1157">
            <v>0</v>
          </cell>
        </row>
        <row r="1158">
          <cell r="C1158" t="str">
            <v/>
          </cell>
          <cell r="D1158" t="str">
            <v/>
          </cell>
          <cell r="O1158" t="str">
            <v/>
          </cell>
          <cell r="T1158" t="str">
            <v/>
          </cell>
          <cell r="U1158" t="str">
            <v/>
          </cell>
          <cell r="V1158" t="str">
            <v/>
          </cell>
          <cell r="W1158" t="str">
            <v/>
          </cell>
          <cell r="Y1158" t="str">
            <v/>
          </cell>
          <cell r="AA1158" t="str">
            <v/>
          </cell>
          <cell r="AB1158">
            <v>0</v>
          </cell>
          <cell r="AC1158">
            <v>0</v>
          </cell>
          <cell r="AI1158" t="str">
            <v/>
          </cell>
          <cell r="AJ1158" t="str">
            <v/>
          </cell>
          <cell r="AK1158">
            <v>0</v>
          </cell>
          <cell r="AL1158">
            <v>0</v>
          </cell>
          <cell r="AM1158">
            <v>0</v>
          </cell>
        </row>
        <row r="1159">
          <cell r="C1159" t="str">
            <v/>
          </cell>
          <cell r="D1159" t="str">
            <v/>
          </cell>
          <cell r="O1159" t="str">
            <v/>
          </cell>
          <cell r="T1159" t="str">
            <v/>
          </cell>
          <cell r="U1159" t="str">
            <v/>
          </cell>
          <cell r="V1159" t="str">
            <v/>
          </cell>
          <cell r="W1159" t="str">
            <v/>
          </cell>
          <cell r="Y1159" t="str">
            <v/>
          </cell>
          <cell r="AA1159" t="str">
            <v/>
          </cell>
          <cell r="AB1159">
            <v>0</v>
          </cell>
          <cell r="AC1159">
            <v>0</v>
          </cell>
          <cell r="AI1159" t="str">
            <v/>
          </cell>
          <cell r="AJ1159" t="str">
            <v/>
          </cell>
          <cell r="AK1159">
            <v>0</v>
          </cell>
          <cell r="AL1159">
            <v>0</v>
          </cell>
          <cell r="AM1159">
            <v>0</v>
          </cell>
        </row>
        <row r="1160">
          <cell r="C1160" t="str">
            <v/>
          </cell>
          <cell r="D1160" t="str">
            <v/>
          </cell>
          <cell r="O1160" t="str">
            <v/>
          </cell>
          <cell r="T1160" t="str">
            <v/>
          </cell>
          <cell r="U1160" t="str">
            <v/>
          </cell>
          <cell r="V1160" t="str">
            <v/>
          </cell>
          <cell r="W1160" t="str">
            <v/>
          </cell>
          <cell r="Y1160" t="str">
            <v/>
          </cell>
          <cell r="AA1160" t="str">
            <v/>
          </cell>
          <cell r="AB1160">
            <v>0</v>
          </cell>
          <cell r="AC1160">
            <v>0</v>
          </cell>
          <cell r="AI1160" t="str">
            <v/>
          </cell>
          <cell r="AJ1160" t="str">
            <v/>
          </cell>
          <cell r="AK1160">
            <v>0</v>
          </cell>
          <cell r="AL1160">
            <v>0</v>
          </cell>
          <cell r="AM1160">
            <v>0</v>
          </cell>
        </row>
        <row r="1161">
          <cell r="C1161" t="str">
            <v/>
          </cell>
          <cell r="D1161" t="str">
            <v/>
          </cell>
          <cell r="O1161" t="str">
            <v/>
          </cell>
          <cell r="T1161" t="str">
            <v/>
          </cell>
          <cell r="U1161" t="str">
            <v/>
          </cell>
          <cell r="V1161" t="str">
            <v/>
          </cell>
          <cell r="W1161" t="str">
            <v/>
          </cell>
          <cell r="Y1161" t="str">
            <v/>
          </cell>
          <cell r="AA1161" t="str">
            <v/>
          </cell>
          <cell r="AB1161">
            <v>0</v>
          </cell>
          <cell r="AC1161">
            <v>0</v>
          </cell>
          <cell r="AI1161" t="str">
            <v/>
          </cell>
          <cell r="AJ1161" t="str">
            <v/>
          </cell>
          <cell r="AK1161">
            <v>0</v>
          </cell>
          <cell r="AL1161">
            <v>0</v>
          </cell>
          <cell r="AM1161">
            <v>0</v>
          </cell>
        </row>
        <row r="1162">
          <cell r="C1162" t="str">
            <v/>
          </cell>
          <cell r="D1162" t="str">
            <v/>
          </cell>
          <cell r="O1162" t="str">
            <v/>
          </cell>
          <cell r="T1162" t="str">
            <v/>
          </cell>
          <cell r="U1162" t="str">
            <v/>
          </cell>
          <cell r="V1162" t="str">
            <v/>
          </cell>
          <cell r="W1162" t="str">
            <v/>
          </cell>
          <cell r="Y1162" t="str">
            <v/>
          </cell>
          <cell r="AA1162" t="str">
            <v/>
          </cell>
          <cell r="AB1162">
            <v>0</v>
          </cell>
          <cell r="AC1162">
            <v>0</v>
          </cell>
          <cell r="AI1162" t="str">
            <v/>
          </cell>
          <cell r="AJ1162" t="str">
            <v/>
          </cell>
          <cell r="AK1162">
            <v>0</v>
          </cell>
          <cell r="AL1162">
            <v>0</v>
          </cell>
          <cell r="AM1162">
            <v>0</v>
          </cell>
        </row>
        <row r="1163">
          <cell r="C1163" t="str">
            <v/>
          </cell>
          <cell r="D1163" t="str">
            <v/>
          </cell>
          <cell r="O1163" t="str">
            <v/>
          </cell>
          <cell r="T1163" t="str">
            <v/>
          </cell>
          <cell r="U1163" t="str">
            <v/>
          </cell>
          <cell r="V1163" t="str">
            <v/>
          </cell>
          <cell r="W1163" t="str">
            <v/>
          </cell>
          <cell r="Y1163" t="str">
            <v/>
          </cell>
          <cell r="AA1163" t="str">
            <v/>
          </cell>
          <cell r="AB1163">
            <v>0</v>
          </cell>
          <cell r="AC1163">
            <v>0</v>
          </cell>
          <cell r="AI1163" t="str">
            <v/>
          </cell>
          <cell r="AJ1163" t="str">
            <v/>
          </cell>
          <cell r="AK1163">
            <v>0</v>
          </cell>
          <cell r="AL1163">
            <v>0</v>
          </cell>
          <cell r="AM1163">
            <v>0</v>
          </cell>
        </row>
        <row r="1164">
          <cell r="C1164" t="str">
            <v/>
          </cell>
          <cell r="D1164" t="str">
            <v/>
          </cell>
          <cell r="O1164" t="str">
            <v/>
          </cell>
          <cell r="T1164" t="str">
            <v/>
          </cell>
          <cell r="U1164" t="str">
            <v/>
          </cell>
          <cell r="V1164" t="str">
            <v/>
          </cell>
          <cell r="W1164" t="str">
            <v/>
          </cell>
          <cell r="Y1164" t="str">
            <v/>
          </cell>
          <cell r="AA1164" t="str">
            <v/>
          </cell>
          <cell r="AB1164">
            <v>0</v>
          </cell>
          <cell r="AC1164">
            <v>0</v>
          </cell>
          <cell r="AI1164" t="str">
            <v/>
          </cell>
          <cell r="AJ1164" t="str">
            <v/>
          </cell>
          <cell r="AK1164">
            <v>0</v>
          </cell>
          <cell r="AL1164">
            <v>0</v>
          </cell>
          <cell r="AM1164">
            <v>0</v>
          </cell>
        </row>
        <row r="1165">
          <cell r="C1165" t="str">
            <v/>
          </cell>
          <cell r="D1165" t="str">
            <v/>
          </cell>
          <cell r="O1165" t="str">
            <v/>
          </cell>
          <cell r="T1165" t="str">
            <v/>
          </cell>
          <cell r="U1165" t="str">
            <v/>
          </cell>
          <cell r="V1165" t="str">
            <v/>
          </cell>
          <cell r="W1165" t="str">
            <v/>
          </cell>
          <cell r="Y1165" t="str">
            <v/>
          </cell>
          <cell r="AA1165" t="str">
            <v/>
          </cell>
          <cell r="AB1165">
            <v>0</v>
          </cell>
          <cell r="AC1165">
            <v>0</v>
          </cell>
          <cell r="AI1165" t="str">
            <v/>
          </cell>
          <cell r="AJ1165" t="str">
            <v/>
          </cell>
          <cell r="AK1165">
            <v>0</v>
          </cell>
          <cell r="AL1165">
            <v>0</v>
          </cell>
          <cell r="AM1165">
            <v>0</v>
          </cell>
        </row>
        <row r="1166">
          <cell r="C1166" t="str">
            <v/>
          </cell>
          <cell r="D1166" t="str">
            <v/>
          </cell>
          <cell r="O1166" t="str">
            <v/>
          </cell>
          <cell r="T1166" t="str">
            <v/>
          </cell>
          <cell r="U1166" t="str">
            <v/>
          </cell>
          <cell r="V1166" t="str">
            <v/>
          </cell>
          <cell r="W1166" t="str">
            <v/>
          </cell>
          <cell r="Y1166" t="str">
            <v/>
          </cell>
          <cell r="AA1166" t="str">
            <v/>
          </cell>
          <cell r="AB1166">
            <v>0</v>
          </cell>
          <cell r="AC1166">
            <v>0</v>
          </cell>
          <cell r="AI1166" t="str">
            <v/>
          </cell>
          <cell r="AJ1166" t="str">
            <v/>
          </cell>
          <cell r="AK1166">
            <v>0</v>
          </cell>
          <cell r="AL1166">
            <v>0</v>
          </cell>
          <cell r="AM1166">
            <v>0</v>
          </cell>
        </row>
        <row r="1167">
          <cell r="C1167" t="str">
            <v/>
          </cell>
          <cell r="D1167" t="str">
            <v/>
          </cell>
          <cell r="O1167" t="str">
            <v/>
          </cell>
          <cell r="T1167" t="str">
            <v/>
          </cell>
          <cell r="U1167" t="str">
            <v/>
          </cell>
          <cell r="V1167" t="str">
            <v/>
          </cell>
          <cell r="W1167" t="str">
            <v/>
          </cell>
          <cell r="Y1167" t="str">
            <v/>
          </cell>
          <cell r="AA1167" t="str">
            <v/>
          </cell>
          <cell r="AB1167">
            <v>0</v>
          </cell>
          <cell r="AC1167">
            <v>0</v>
          </cell>
          <cell r="AI1167" t="str">
            <v/>
          </cell>
          <cell r="AJ1167" t="str">
            <v/>
          </cell>
          <cell r="AK1167">
            <v>0</v>
          </cell>
          <cell r="AL1167">
            <v>0</v>
          </cell>
          <cell r="AM1167">
            <v>0</v>
          </cell>
        </row>
        <row r="1168">
          <cell r="C1168" t="str">
            <v/>
          </cell>
          <cell r="D1168" t="str">
            <v/>
          </cell>
          <cell r="O1168" t="str">
            <v/>
          </cell>
          <cell r="T1168" t="str">
            <v/>
          </cell>
          <cell r="U1168" t="str">
            <v/>
          </cell>
          <cell r="V1168" t="str">
            <v/>
          </cell>
          <cell r="W1168" t="str">
            <v/>
          </cell>
          <cell r="Y1168" t="str">
            <v/>
          </cell>
          <cell r="AA1168" t="str">
            <v/>
          </cell>
          <cell r="AB1168">
            <v>0</v>
          </cell>
          <cell r="AC1168">
            <v>0</v>
          </cell>
          <cell r="AI1168" t="str">
            <v/>
          </cell>
          <cell r="AJ1168" t="str">
            <v/>
          </cell>
          <cell r="AK1168">
            <v>0</v>
          </cell>
          <cell r="AL1168">
            <v>0</v>
          </cell>
          <cell r="AM1168">
            <v>0</v>
          </cell>
        </row>
        <row r="1169">
          <cell r="C1169" t="str">
            <v/>
          </cell>
          <cell r="D1169" t="str">
            <v/>
          </cell>
          <cell r="O1169" t="str">
            <v/>
          </cell>
          <cell r="T1169" t="str">
            <v/>
          </cell>
          <cell r="U1169" t="str">
            <v/>
          </cell>
          <cell r="V1169" t="str">
            <v/>
          </cell>
          <cell r="W1169" t="str">
            <v/>
          </cell>
          <cell r="Y1169" t="str">
            <v/>
          </cell>
          <cell r="AA1169" t="str">
            <v/>
          </cell>
          <cell r="AB1169">
            <v>0</v>
          </cell>
          <cell r="AC1169">
            <v>0</v>
          </cell>
          <cell r="AI1169" t="str">
            <v/>
          </cell>
          <cell r="AJ1169" t="str">
            <v/>
          </cell>
          <cell r="AK1169">
            <v>0</v>
          </cell>
          <cell r="AL1169">
            <v>0</v>
          </cell>
          <cell r="AM1169">
            <v>0</v>
          </cell>
        </row>
        <row r="1170">
          <cell r="C1170" t="str">
            <v/>
          </cell>
          <cell r="D1170" t="str">
            <v/>
          </cell>
          <cell r="O1170" t="str">
            <v/>
          </cell>
          <cell r="T1170" t="str">
            <v/>
          </cell>
          <cell r="U1170" t="str">
            <v/>
          </cell>
          <cell r="V1170" t="str">
            <v/>
          </cell>
          <cell r="W1170" t="str">
            <v/>
          </cell>
          <cell r="Y1170" t="str">
            <v/>
          </cell>
          <cell r="AA1170" t="str">
            <v/>
          </cell>
          <cell r="AB1170">
            <v>0</v>
          </cell>
          <cell r="AC1170">
            <v>0</v>
          </cell>
          <cell r="AI1170" t="str">
            <v/>
          </cell>
          <cell r="AJ1170" t="str">
            <v/>
          </cell>
          <cell r="AK1170">
            <v>0</v>
          </cell>
          <cell r="AL1170">
            <v>0</v>
          </cell>
          <cell r="AM1170">
            <v>0</v>
          </cell>
        </row>
        <row r="1171">
          <cell r="C1171" t="str">
            <v/>
          </cell>
          <cell r="D1171" t="str">
            <v/>
          </cell>
          <cell r="O1171" t="str">
            <v/>
          </cell>
          <cell r="T1171" t="str">
            <v/>
          </cell>
          <cell r="U1171" t="str">
            <v/>
          </cell>
          <cell r="V1171" t="str">
            <v/>
          </cell>
          <cell r="W1171" t="str">
            <v/>
          </cell>
          <cell r="Y1171" t="str">
            <v/>
          </cell>
          <cell r="AA1171" t="str">
            <v/>
          </cell>
          <cell r="AB1171">
            <v>0</v>
          </cell>
          <cell r="AC1171">
            <v>0</v>
          </cell>
          <cell r="AI1171" t="str">
            <v/>
          </cell>
          <cell r="AJ1171" t="str">
            <v/>
          </cell>
          <cell r="AK1171">
            <v>0</v>
          </cell>
          <cell r="AL1171">
            <v>0</v>
          </cell>
          <cell r="AM1171">
            <v>0</v>
          </cell>
        </row>
        <row r="1172">
          <cell r="C1172" t="str">
            <v/>
          </cell>
          <cell r="D1172" t="str">
            <v/>
          </cell>
          <cell r="O1172" t="str">
            <v/>
          </cell>
          <cell r="T1172" t="str">
            <v/>
          </cell>
          <cell r="U1172" t="str">
            <v/>
          </cell>
          <cell r="V1172" t="str">
            <v/>
          </cell>
          <cell r="W1172" t="str">
            <v/>
          </cell>
          <cell r="Y1172" t="str">
            <v/>
          </cell>
          <cell r="AA1172" t="str">
            <v/>
          </cell>
          <cell r="AB1172">
            <v>0</v>
          </cell>
          <cell r="AC1172">
            <v>0</v>
          </cell>
          <cell r="AI1172" t="str">
            <v/>
          </cell>
          <cell r="AJ1172" t="str">
            <v/>
          </cell>
          <cell r="AK1172">
            <v>0</v>
          </cell>
          <cell r="AL1172">
            <v>0</v>
          </cell>
          <cell r="AM1172">
            <v>0</v>
          </cell>
        </row>
        <row r="1173">
          <cell r="C1173" t="str">
            <v/>
          </cell>
          <cell r="D1173" t="str">
            <v/>
          </cell>
          <cell r="O1173" t="str">
            <v/>
          </cell>
          <cell r="T1173" t="str">
            <v/>
          </cell>
          <cell r="U1173" t="str">
            <v/>
          </cell>
          <cell r="V1173" t="str">
            <v/>
          </cell>
          <cell r="W1173" t="str">
            <v/>
          </cell>
          <cell r="Y1173" t="str">
            <v/>
          </cell>
          <cell r="AA1173" t="str">
            <v/>
          </cell>
          <cell r="AB1173">
            <v>0</v>
          </cell>
          <cell r="AC1173">
            <v>0</v>
          </cell>
          <cell r="AI1173" t="str">
            <v/>
          </cell>
          <cell r="AJ1173" t="str">
            <v/>
          </cell>
          <cell r="AK1173">
            <v>0</v>
          </cell>
          <cell r="AL1173">
            <v>0</v>
          </cell>
          <cell r="AM1173">
            <v>0</v>
          </cell>
        </row>
        <row r="1174">
          <cell r="C1174" t="str">
            <v/>
          </cell>
          <cell r="D1174" t="str">
            <v/>
          </cell>
          <cell r="O1174" t="str">
            <v/>
          </cell>
          <cell r="T1174" t="str">
            <v/>
          </cell>
          <cell r="U1174" t="str">
            <v/>
          </cell>
          <cell r="V1174" t="str">
            <v/>
          </cell>
          <cell r="W1174" t="str">
            <v/>
          </cell>
          <cell r="Y1174" t="str">
            <v/>
          </cell>
          <cell r="AA1174" t="str">
            <v/>
          </cell>
          <cell r="AB1174">
            <v>0</v>
          </cell>
          <cell r="AC1174">
            <v>0</v>
          </cell>
          <cell r="AI1174" t="str">
            <v/>
          </cell>
          <cell r="AJ1174" t="str">
            <v/>
          </cell>
          <cell r="AK1174">
            <v>0</v>
          </cell>
          <cell r="AL1174">
            <v>0</v>
          </cell>
          <cell r="AM1174">
            <v>0</v>
          </cell>
        </row>
        <row r="1175">
          <cell r="C1175" t="str">
            <v/>
          </cell>
          <cell r="D1175" t="str">
            <v/>
          </cell>
          <cell r="O1175" t="str">
            <v/>
          </cell>
          <cell r="T1175" t="str">
            <v/>
          </cell>
          <cell r="U1175" t="str">
            <v/>
          </cell>
          <cell r="V1175" t="str">
            <v/>
          </cell>
          <cell r="W1175" t="str">
            <v/>
          </cell>
          <cell r="Y1175" t="str">
            <v/>
          </cell>
          <cell r="AA1175" t="str">
            <v/>
          </cell>
          <cell r="AB1175">
            <v>0</v>
          </cell>
          <cell r="AC1175">
            <v>0</v>
          </cell>
          <cell r="AI1175" t="str">
            <v/>
          </cell>
          <cell r="AJ1175" t="str">
            <v/>
          </cell>
          <cell r="AK1175">
            <v>0</v>
          </cell>
          <cell r="AL1175">
            <v>0</v>
          </cell>
          <cell r="AM1175">
            <v>0</v>
          </cell>
        </row>
        <row r="1176">
          <cell r="C1176" t="str">
            <v/>
          </cell>
          <cell r="D1176" t="str">
            <v/>
          </cell>
          <cell r="O1176" t="str">
            <v/>
          </cell>
          <cell r="T1176" t="str">
            <v/>
          </cell>
          <cell r="U1176" t="str">
            <v/>
          </cell>
          <cell r="V1176" t="str">
            <v/>
          </cell>
          <cell r="W1176" t="str">
            <v/>
          </cell>
          <cell r="Y1176" t="str">
            <v/>
          </cell>
          <cell r="AA1176" t="str">
            <v/>
          </cell>
          <cell r="AB1176">
            <v>0</v>
          </cell>
          <cell r="AC1176">
            <v>0</v>
          </cell>
          <cell r="AI1176" t="str">
            <v/>
          </cell>
          <cell r="AJ1176" t="str">
            <v/>
          </cell>
          <cell r="AK1176">
            <v>0</v>
          </cell>
          <cell r="AL1176">
            <v>0</v>
          </cell>
          <cell r="AM1176">
            <v>0</v>
          </cell>
        </row>
        <row r="1177">
          <cell r="C1177" t="str">
            <v/>
          </cell>
          <cell r="D1177" t="str">
            <v/>
          </cell>
          <cell r="O1177" t="str">
            <v/>
          </cell>
          <cell r="T1177" t="str">
            <v/>
          </cell>
          <cell r="U1177" t="str">
            <v/>
          </cell>
          <cell r="V1177" t="str">
            <v/>
          </cell>
          <cell r="W1177" t="str">
            <v/>
          </cell>
          <cell r="Y1177" t="str">
            <v/>
          </cell>
          <cell r="AA1177" t="str">
            <v/>
          </cell>
          <cell r="AB1177">
            <v>0</v>
          </cell>
          <cell r="AC1177">
            <v>0</v>
          </cell>
          <cell r="AI1177" t="str">
            <v/>
          </cell>
          <cell r="AJ1177" t="str">
            <v/>
          </cell>
          <cell r="AK1177">
            <v>0</v>
          </cell>
          <cell r="AL1177">
            <v>0</v>
          </cell>
          <cell r="AM1177">
            <v>0</v>
          </cell>
        </row>
        <row r="1178">
          <cell r="C1178" t="str">
            <v/>
          </cell>
          <cell r="D1178" t="str">
            <v/>
          </cell>
          <cell r="O1178" t="str">
            <v/>
          </cell>
          <cell r="T1178" t="str">
            <v/>
          </cell>
          <cell r="U1178" t="str">
            <v/>
          </cell>
          <cell r="V1178" t="str">
            <v/>
          </cell>
          <cell r="W1178" t="str">
            <v/>
          </cell>
          <cell r="Y1178" t="str">
            <v/>
          </cell>
          <cell r="AA1178" t="str">
            <v/>
          </cell>
          <cell r="AB1178">
            <v>0</v>
          </cell>
          <cell r="AC1178">
            <v>0</v>
          </cell>
          <cell r="AI1178" t="str">
            <v/>
          </cell>
          <cell r="AJ1178" t="str">
            <v/>
          </cell>
          <cell r="AK1178">
            <v>0</v>
          </cell>
          <cell r="AL1178">
            <v>0</v>
          </cell>
          <cell r="AM1178">
            <v>0</v>
          </cell>
        </row>
        <row r="1179">
          <cell r="C1179" t="str">
            <v/>
          </cell>
          <cell r="D1179" t="str">
            <v/>
          </cell>
          <cell r="O1179" t="str">
            <v/>
          </cell>
          <cell r="T1179" t="str">
            <v/>
          </cell>
          <cell r="U1179" t="str">
            <v/>
          </cell>
          <cell r="V1179" t="str">
            <v/>
          </cell>
          <cell r="W1179" t="str">
            <v/>
          </cell>
          <cell r="Y1179" t="str">
            <v/>
          </cell>
          <cell r="AA1179" t="str">
            <v/>
          </cell>
          <cell r="AB1179">
            <v>0</v>
          </cell>
          <cell r="AC1179">
            <v>0</v>
          </cell>
          <cell r="AI1179" t="str">
            <v/>
          </cell>
          <cell r="AJ1179" t="str">
            <v/>
          </cell>
          <cell r="AK1179">
            <v>0</v>
          </cell>
          <cell r="AL1179">
            <v>0</v>
          </cell>
          <cell r="AM1179">
            <v>0</v>
          </cell>
        </row>
        <row r="1180">
          <cell r="C1180" t="str">
            <v/>
          </cell>
          <cell r="D1180" t="str">
            <v/>
          </cell>
          <cell r="O1180" t="str">
            <v/>
          </cell>
          <cell r="T1180" t="str">
            <v/>
          </cell>
          <cell r="U1180" t="str">
            <v/>
          </cell>
          <cell r="V1180" t="str">
            <v/>
          </cell>
          <cell r="W1180" t="str">
            <v/>
          </cell>
          <cell r="Y1180" t="str">
            <v/>
          </cell>
          <cell r="AA1180" t="str">
            <v/>
          </cell>
          <cell r="AB1180">
            <v>0</v>
          </cell>
          <cell r="AC1180">
            <v>0</v>
          </cell>
          <cell r="AI1180" t="str">
            <v/>
          </cell>
          <cell r="AJ1180" t="str">
            <v/>
          </cell>
          <cell r="AK1180">
            <v>0</v>
          </cell>
          <cell r="AL1180">
            <v>0</v>
          </cell>
          <cell r="AM1180">
            <v>0</v>
          </cell>
        </row>
        <row r="1181">
          <cell r="C1181" t="str">
            <v/>
          </cell>
          <cell r="D1181" t="str">
            <v/>
          </cell>
          <cell r="O1181" t="str">
            <v/>
          </cell>
          <cell r="T1181" t="str">
            <v/>
          </cell>
          <cell r="U1181" t="str">
            <v/>
          </cell>
          <cell r="V1181" t="str">
            <v/>
          </cell>
          <cell r="W1181" t="str">
            <v/>
          </cell>
          <cell r="Y1181" t="str">
            <v/>
          </cell>
          <cell r="AA1181" t="str">
            <v/>
          </cell>
          <cell r="AB1181">
            <v>0</v>
          </cell>
          <cell r="AC1181">
            <v>0</v>
          </cell>
          <cell r="AI1181" t="str">
            <v/>
          </cell>
          <cell r="AJ1181" t="str">
            <v/>
          </cell>
          <cell r="AK1181">
            <v>0</v>
          </cell>
          <cell r="AL1181">
            <v>0</v>
          </cell>
          <cell r="AM1181">
            <v>0</v>
          </cell>
        </row>
        <row r="1182">
          <cell r="C1182" t="str">
            <v/>
          </cell>
          <cell r="D1182" t="str">
            <v/>
          </cell>
          <cell r="O1182" t="str">
            <v/>
          </cell>
          <cell r="T1182" t="str">
            <v/>
          </cell>
          <cell r="U1182" t="str">
            <v/>
          </cell>
          <cell r="V1182" t="str">
            <v/>
          </cell>
          <cell r="W1182" t="str">
            <v/>
          </cell>
          <cell r="Y1182" t="str">
            <v/>
          </cell>
          <cell r="AA1182" t="str">
            <v/>
          </cell>
          <cell r="AB1182">
            <v>0</v>
          </cell>
          <cell r="AC1182">
            <v>0</v>
          </cell>
          <cell r="AI1182" t="str">
            <v/>
          </cell>
          <cell r="AJ1182" t="str">
            <v/>
          </cell>
          <cell r="AK1182">
            <v>0</v>
          </cell>
          <cell r="AL1182">
            <v>0</v>
          </cell>
          <cell r="AM1182">
            <v>0</v>
          </cell>
        </row>
        <row r="1183">
          <cell r="C1183" t="str">
            <v/>
          </cell>
          <cell r="D1183" t="str">
            <v/>
          </cell>
          <cell r="O1183" t="str">
            <v/>
          </cell>
          <cell r="T1183" t="str">
            <v/>
          </cell>
          <cell r="U1183" t="str">
            <v/>
          </cell>
          <cell r="V1183" t="str">
            <v/>
          </cell>
          <cell r="W1183" t="str">
            <v/>
          </cell>
          <cell r="Y1183" t="str">
            <v/>
          </cell>
          <cell r="AA1183" t="str">
            <v/>
          </cell>
          <cell r="AB1183">
            <v>0</v>
          </cell>
          <cell r="AC1183">
            <v>0</v>
          </cell>
          <cell r="AI1183" t="str">
            <v/>
          </cell>
          <cell r="AJ1183" t="str">
            <v/>
          </cell>
          <cell r="AK1183">
            <v>0</v>
          </cell>
          <cell r="AL1183">
            <v>0</v>
          </cell>
          <cell r="AM1183">
            <v>0</v>
          </cell>
        </row>
        <row r="1184">
          <cell r="C1184" t="str">
            <v/>
          </cell>
          <cell r="D1184" t="str">
            <v/>
          </cell>
          <cell r="O1184" t="str">
            <v/>
          </cell>
          <cell r="T1184" t="str">
            <v/>
          </cell>
          <cell r="U1184" t="str">
            <v/>
          </cell>
          <cell r="V1184" t="str">
            <v/>
          </cell>
          <cell r="W1184" t="str">
            <v/>
          </cell>
          <cell r="Y1184" t="str">
            <v/>
          </cell>
          <cell r="AA1184" t="str">
            <v/>
          </cell>
          <cell r="AB1184">
            <v>0</v>
          </cell>
          <cell r="AC1184">
            <v>0</v>
          </cell>
          <cell r="AI1184" t="str">
            <v/>
          </cell>
          <cell r="AJ1184" t="str">
            <v/>
          </cell>
          <cell r="AK1184">
            <v>0</v>
          </cell>
          <cell r="AL1184">
            <v>0</v>
          </cell>
          <cell r="AM1184">
            <v>0</v>
          </cell>
        </row>
        <row r="1185">
          <cell r="C1185" t="str">
            <v/>
          </cell>
          <cell r="D1185" t="str">
            <v/>
          </cell>
          <cell r="O1185" t="str">
            <v/>
          </cell>
          <cell r="T1185" t="str">
            <v/>
          </cell>
          <cell r="U1185" t="str">
            <v/>
          </cell>
          <cell r="V1185" t="str">
            <v/>
          </cell>
          <cell r="W1185" t="str">
            <v/>
          </cell>
          <cell r="Y1185" t="str">
            <v/>
          </cell>
          <cell r="AA1185" t="str">
            <v/>
          </cell>
          <cell r="AB1185">
            <v>0</v>
          </cell>
          <cell r="AC1185">
            <v>0</v>
          </cell>
          <cell r="AI1185" t="str">
            <v/>
          </cell>
          <cell r="AJ1185" t="str">
            <v/>
          </cell>
          <cell r="AK1185">
            <v>0</v>
          </cell>
          <cell r="AL1185">
            <v>0</v>
          </cell>
          <cell r="AM1185">
            <v>0</v>
          </cell>
        </row>
        <row r="1186">
          <cell r="C1186" t="str">
            <v/>
          </cell>
          <cell r="D1186" t="str">
            <v/>
          </cell>
          <cell r="O1186" t="str">
            <v/>
          </cell>
          <cell r="T1186" t="str">
            <v/>
          </cell>
          <cell r="U1186" t="str">
            <v/>
          </cell>
          <cell r="V1186" t="str">
            <v/>
          </cell>
          <cell r="W1186" t="str">
            <v/>
          </cell>
          <cell r="Y1186" t="str">
            <v/>
          </cell>
          <cell r="AA1186" t="str">
            <v/>
          </cell>
          <cell r="AB1186">
            <v>0</v>
          </cell>
          <cell r="AC1186">
            <v>0</v>
          </cell>
          <cell r="AI1186" t="str">
            <v/>
          </cell>
          <cell r="AJ1186" t="str">
            <v/>
          </cell>
          <cell r="AK1186">
            <v>0</v>
          </cell>
          <cell r="AL1186">
            <v>0</v>
          </cell>
          <cell r="AM1186">
            <v>0</v>
          </cell>
        </row>
        <row r="1187">
          <cell r="C1187" t="str">
            <v/>
          </cell>
          <cell r="D1187" t="str">
            <v/>
          </cell>
          <cell r="O1187" t="str">
            <v/>
          </cell>
          <cell r="T1187" t="str">
            <v/>
          </cell>
          <cell r="U1187" t="str">
            <v/>
          </cell>
          <cell r="V1187" t="str">
            <v/>
          </cell>
          <cell r="W1187" t="str">
            <v/>
          </cell>
          <cell r="Y1187" t="str">
            <v/>
          </cell>
          <cell r="AA1187" t="str">
            <v/>
          </cell>
          <cell r="AB1187">
            <v>0</v>
          </cell>
          <cell r="AC1187">
            <v>0</v>
          </cell>
          <cell r="AI1187" t="str">
            <v/>
          </cell>
          <cell r="AJ1187" t="str">
            <v/>
          </cell>
          <cell r="AK1187">
            <v>0</v>
          </cell>
          <cell r="AL1187">
            <v>0</v>
          </cell>
          <cell r="AM1187">
            <v>0</v>
          </cell>
        </row>
        <row r="1188">
          <cell r="C1188" t="str">
            <v/>
          </cell>
          <cell r="D1188" t="str">
            <v/>
          </cell>
          <cell r="O1188" t="str">
            <v/>
          </cell>
          <cell r="T1188" t="str">
            <v/>
          </cell>
          <cell r="U1188" t="str">
            <v/>
          </cell>
          <cell r="V1188" t="str">
            <v/>
          </cell>
          <cell r="W1188" t="str">
            <v/>
          </cell>
          <cell r="Y1188" t="str">
            <v/>
          </cell>
          <cell r="AA1188" t="str">
            <v/>
          </cell>
          <cell r="AB1188">
            <v>0</v>
          </cell>
          <cell r="AC1188">
            <v>0</v>
          </cell>
          <cell r="AI1188" t="str">
            <v/>
          </cell>
          <cell r="AJ1188" t="str">
            <v/>
          </cell>
          <cell r="AK1188">
            <v>0</v>
          </cell>
          <cell r="AL1188">
            <v>0</v>
          </cell>
          <cell r="AM1188">
            <v>0</v>
          </cell>
        </row>
        <row r="1189">
          <cell r="C1189" t="str">
            <v/>
          </cell>
          <cell r="D1189" t="str">
            <v/>
          </cell>
          <cell r="O1189" t="str">
            <v/>
          </cell>
          <cell r="T1189" t="str">
            <v/>
          </cell>
          <cell r="U1189" t="str">
            <v/>
          </cell>
          <cell r="V1189" t="str">
            <v/>
          </cell>
          <cell r="W1189" t="str">
            <v/>
          </cell>
          <cell r="Y1189" t="str">
            <v/>
          </cell>
          <cell r="AA1189" t="str">
            <v/>
          </cell>
          <cell r="AB1189">
            <v>0</v>
          </cell>
          <cell r="AC1189">
            <v>0</v>
          </cell>
          <cell r="AI1189" t="str">
            <v/>
          </cell>
          <cell r="AJ1189" t="str">
            <v/>
          </cell>
          <cell r="AK1189">
            <v>0</v>
          </cell>
          <cell r="AL1189">
            <v>0</v>
          </cell>
          <cell r="AM1189">
            <v>0</v>
          </cell>
        </row>
        <row r="1190">
          <cell r="C1190" t="str">
            <v/>
          </cell>
          <cell r="D1190" t="str">
            <v/>
          </cell>
          <cell r="O1190" t="str">
            <v/>
          </cell>
          <cell r="T1190" t="str">
            <v/>
          </cell>
          <cell r="U1190" t="str">
            <v/>
          </cell>
          <cell r="V1190" t="str">
            <v/>
          </cell>
          <cell r="W1190" t="str">
            <v/>
          </cell>
          <cell r="Y1190" t="str">
            <v/>
          </cell>
          <cell r="AA1190" t="str">
            <v/>
          </cell>
          <cell r="AB1190">
            <v>0</v>
          </cell>
          <cell r="AC1190">
            <v>0</v>
          </cell>
          <cell r="AI1190" t="str">
            <v/>
          </cell>
          <cell r="AJ1190" t="str">
            <v/>
          </cell>
          <cell r="AK1190">
            <v>0</v>
          </cell>
          <cell r="AL1190">
            <v>0</v>
          </cell>
          <cell r="AM1190">
            <v>0</v>
          </cell>
        </row>
        <row r="1191">
          <cell r="C1191" t="str">
            <v/>
          </cell>
          <cell r="D1191" t="str">
            <v/>
          </cell>
          <cell r="O1191" t="str">
            <v/>
          </cell>
          <cell r="T1191" t="str">
            <v/>
          </cell>
          <cell r="U1191" t="str">
            <v/>
          </cell>
          <cell r="V1191" t="str">
            <v/>
          </cell>
          <cell r="W1191" t="str">
            <v/>
          </cell>
          <cell r="Y1191" t="str">
            <v/>
          </cell>
          <cell r="AA1191" t="str">
            <v/>
          </cell>
          <cell r="AB1191">
            <v>0</v>
          </cell>
          <cell r="AC1191">
            <v>0</v>
          </cell>
          <cell r="AI1191" t="str">
            <v/>
          </cell>
          <cell r="AJ1191" t="str">
            <v/>
          </cell>
          <cell r="AK1191">
            <v>0</v>
          </cell>
          <cell r="AL1191">
            <v>0</v>
          </cell>
          <cell r="AM1191">
            <v>0</v>
          </cell>
        </row>
        <row r="1192">
          <cell r="C1192" t="str">
            <v/>
          </cell>
          <cell r="D1192" t="str">
            <v/>
          </cell>
          <cell r="O1192" t="str">
            <v/>
          </cell>
          <cell r="T1192" t="str">
            <v/>
          </cell>
          <cell r="U1192" t="str">
            <v/>
          </cell>
          <cell r="V1192" t="str">
            <v/>
          </cell>
          <cell r="W1192" t="str">
            <v/>
          </cell>
          <cell r="Y1192" t="str">
            <v/>
          </cell>
          <cell r="AA1192" t="str">
            <v/>
          </cell>
          <cell r="AB1192">
            <v>0</v>
          </cell>
          <cell r="AC1192">
            <v>0</v>
          </cell>
          <cell r="AI1192" t="str">
            <v/>
          </cell>
          <cell r="AJ1192" t="str">
            <v/>
          </cell>
          <cell r="AK1192">
            <v>0</v>
          </cell>
          <cell r="AL1192">
            <v>0</v>
          </cell>
          <cell r="AM1192">
            <v>0</v>
          </cell>
        </row>
        <row r="1193">
          <cell r="C1193" t="str">
            <v/>
          </cell>
          <cell r="D1193" t="str">
            <v/>
          </cell>
          <cell r="O1193" t="str">
            <v/>
          </cell>
          <cell r="T1193" t="str">
            <v/>
          </cell>
          <cell r="U1193" t="str">
            <v/>
          </cell>
          <cell r="V1193" t="str">
            <v/>
          </cell>
          <cell r="W1193" t="str">
            <v/>
          </cell>
          <cell r="Y1193" t="str">
            <v/>
          </cell>
          <cell r="AA1193" t="str">
            <v/>
          </cell>
          <cell r="AB1193">
            <v>0</v>
          </cell>
          <cell r="AC1193">
            <v>0</v>
          </cell>
          <cell r="AI1193" t="str">
            <v/>
          </cell>
          <cell r="AJ1193" t="str">
            <v/>
          </cell>
          <cell r="AK1193">
            <v>0</v>
          </cell>
          <cell r="AL1193">
            <v>0</v>
          </cell>
          <cell r="AM1193">
            <v>0</v>
          </cell>
        </row>
        <row r="1194">
          <cell r="C1194" t="str">
            <v/>
          </cell>
          <cell r="D1194" t="str">
            <v/>
          </cell>
          <cell r="O1194" t="str">
            <v/>
          </cell>
          <cell r="T1194" t="str">
            <v/>
          </cell>
          <cell r="U1194" t="str">
            <v/>
          </cell>
          <cell r="V1194" t="str">
            <v/>
          </cell>
          <cell r="W1194" t="str">
            <v/>
          </cell>
          <cell r="Y1194" t="str">
            <v/>
          </cell>
          <cell r="AA1194" t="str">
            <v/>
          </cell>
          <cell r="AB1194">
            <v>0</v>
          </cell>
          <cell r="AC1194">
            <v>0</v>
          </cell>
          <cell r="AI1194" t="str">
            <v/>
          </cell>
          <cell r="AJ1194" t="str">
            <v/>
          </cell>
          <cell r="AK1194">
            <v>0</v>
          </cell>
          <cell r="AL1194">
            <v>0</v>
          </cell>
          <cell r="AM1194">
            <v>0</v>
          </cell>
        </row>
        <row r="1195">
          <cell r="C1195" t="str">
            <v/>
          </cell>
          <cell r="D1195" t="str">
            <v/>
          </cell>
          <cell r="O1195" t="str">
            <v/>
          </cell>
          <cell r="T1195" t="str">
            <v/>
          </cell>
          <cell r="U1195" t="str">
            <v/>
          </cell>
          <cell r="V1195" t="str">
            <v/>
          </cell>
          <cell r="W1195" t="str">
            <v/>
          </cell>
          <cell r="Y1195" t="str">
            <v/>
          </cell>
          <cell r="AA1195" t="str">
            <v/>
          </cell>
          <cell r="AB1195">
            <v>0</v>
          </cell>
          <cell r="AC1195">
            <v>0</v>
          </cell>
          <cell r="AI1195" t="str">
            <v/>
          </cell>
          <cell r="AJ1195" t="str">
            <v/>
          </cell>
          <cell r="AK1195">
            <v>0</v>
          </cell>
          <cell r="AL1195">
            <v>0</v>
          </cell>
          <cell r="AM1195">
            <v>0</v>
          </cell>
        </row>
        <row r="1196">
          <cell r="C1196" t="str">
            <v/>
          </cell>
          <cell r="D1196" t="str">
            <v/>
          </cell>
          <cell r="O1196" t="str">
            <v/>
          </cell>
          <cell r="T1196" t="str">
            <v/>
          </cell>
          <cell r="U1196" t="str">
            <v/>
          </cell>
          <cell r="V1196" t="str">
            <v/>
          </cell>
          <cell r="W1196" t="str">
            <v/>
          </cell>
          <cell r="Y1196" t="str">
            <v/>
          </cell>
          <cell r="AA1196" t="str">
            <v/>
          </cell>
          <cell r="AB1196">
            <v>0</v>
          </cell>
          <cell r="AC1196">
            <v>0</v>
          </cell>
          <cell r="AI1196" t="str">
            <v/>
          </cell>
          <cell r="AJ1196" t="str">
            <v/>
          </cell>
          <cell r="AK1196">
            <v>0</v>
          </cell>
          <cell r="AL1196">
            <v>0</v>
          </cell>
          <cell r="AM1196">
            <v>0</v>
          </cell>
        </row>
        <row r="1197">
          <cell r="C1197" t="str">
            <v/>
          </cell>
          <cell r="D1197" t="str">
            <v/>
          </cell>
          <cell r="O1197" t="str">
            <v/>
          </cell>
          <cell r="T1197" t="str">
            <v/>
          </cell>
          <cell r="U1197" t="str">
            <v/>
          </cell>
          <cell r="V1197" t="str">
            <v/>
          </cell>
          <cell r="W1197" t="str">
            <v/>
          </cell>
          <cell r="Y1197" t="str">
            <v/>
          </cell>
          <cell r="AA1197" t="str">
            <v/>
          </cell>
          <cell r="AB1197">
            <v>0</v>
          </cell>
          <cell r="AC1197">
            <v>0</v>
          </cell>
          <cell r="AI1197" t="str">
            <v/>
          </cell>
          <cell r="AJ1197" t="str">
            <v/>
          </cell>
          <cell r="AK1197">
            <v>0</v>
          </cell>
          <cell r="AL1197">
            <v>0</v>
          </cell>
          <cell r="AM1197">
            <v>0</v>
          </cell>
        </row>
        <row r="1198">
          <cell r="C1198" t="str">
            <v/>
          </cell>
          <cell r="D1198" t="str">
            <v/>
          </cell>
          <cell r="O1198" t="str">
            <v/>
          </cell>
          <cell r="T1198" t="str">
            <v/>
          </cell>
          <cell r="U1198" t="str">
            <v/>
          </cell>
          <cell r="V1198" t="str">
            <v/>
          </cell>
          <cell r="W1198" t="str">
            <v/>
          </cell>
          <cell r="Y1198" t="str">
            <v/>
          </cell>
          <cell r="AA1198" t="str">
            <v/>
          </cell>
          <cell r="AB1198">
            <v>0</v>
          </cell>
          <cell r="AC1198">
            <v>0</v>
          </cell>
          <cell r="AI1198" t="str">
            <v/>
          </cell>
          <cell r="AJ1198" t="str">
            <v/>
          </cell>
          <cell r="AK1198">
            <v>0</v>
          </cell>
          <cell r="AL1198">
            <v>0</v>
          </cell>
          <cell r="AM1198">
            <v>0</v>
          </cell>
        </row>
        <row r="1199">
          <cell r="C1199" t="str">
            <v/>
          </cell>
          <cell r="D1199" t="str">
            <v/>
          </cell>
          <cell r="O1199" t="str">
            <v/>
          </cell>
          <cell r="T1199" t="str">
            <v/>
          </cell>
          <cell r="U1199" t="str">
            <v/>
          </cell>
          <cell r="V1199" t="str">
            <v/>
          </cell>
          <cell r="W1199" t="str">
            <v/>
          </cell>
          <cell r="Y1199" t="str">
            <v/>
          </cell>
          <cell r="AA1199" t="str">
            <v/>
          </cell>
          <cell r="AB1199">
            <v>0</v>
          </cell>
          <cell r="AC1199">
            <v>0</v>
          </cell>
          <cell r="AI1199" t="str">
            <v/>
          </cell>
          <cell r="AJ1199" t="str">
            <v/>
          </cell>
          <cell r="AK1199">
            <v>0</v>
          </cell>
          <cell r="AL1199">
            <v>0</v>
          </cell>
          <cell r="AM1199">
            <v>0</v>
          </cell>
        </row>
        <row r="1200">
          <cell r="C1200" t="str">
            <v/>
          </cell>
          <cell r="D1200" t="str">
            <v/>
          </cell>
          <cell r="O1200" t="str">
            <v/>
          </cell>
          <cell r="T1200" t="str">
            <v/>
          </cell>
          <cell r="U1200" t="str">
            <v/>
          </cell>
          <cell r="V1200" t="str">
            <v/>
          </cell>
          <cell r="W1200" t="str">
            <v/>
          </cell>
          <cell r="Y1200" t="str">
            <v/>
          </cell>
          <cell r="AA1200" t="str">
            <v/>
          </cell>
          <cell r="AB1200">
            <v>0</v>
          </cell>
          <cell r="AC1200">
            <v>0</v>
          </cell>
          <cell r="AI1200" t="str">
            <v/>
          </cell>
          <cell r="AJ1200" t="str">
            <v/>
          </cell>
          <cell r="AK1200">
            <v>0</v>
          </cell>
          <cell r="AL1200">
            <v>0</v>
          </cell>
          <cell r="AM1200">
            <v>0</v>
          </cell>
        </row>
        <row r="1201">
          <cell r="C1201" t="str">
            <v/>
          </cell>
          <cell r="D1201" t="str">
            <v/>
          </cell>
          <cell r="O1201" t="str">
            <v/>
          </cell>
          <cell r="T1201" t="str">
            <v/>
          </cell>
          <cell r="U1201" t="str">
            <v/>
          </cell>
          <cell r="V1201" t="str">
            <v/>
          </cell>
          <cell r="W1201" t="str">
            <v/>
          </cell>
          <cell r="Y1201" t="str">
            <v/>
          </cell>
          <cell r="AA1201" t="str">
            <v/>
          </cell>
          <cell r="AB1201">
            <v>0</v>
          </cell>
          <cell r="AC1201">
            <v>0</v>
          </cell>
          <cell r="AI1201" t="str">
            <v/>
          </cell>
          <cell r="AJ1201" t="str">
            <v/>
          </cell>
          <cell r="AK1201">
            <v>0</v>
          </cell>
          <cell r="AL1201">
            <v>0</v>
          </cell>
          <cell r="AM1201">
            <v>0</v>
          </cell>
        </row>
        <row r="1202">
          <cell r="C1202" t="str">
            <v/>
          </cell>
          <cell r="D1202" t="str">
            <v/>
          </cell>
          <cell r="O1202" t="str">
            <v/>
          </cell>
          <cell r="T1202" t="str">
            <v/>
          </cell>
          <cell r="U1202" t="str">
            <v/>
          </cell>
          <cell r="V1202" t="str">
            <v/>
          </cell>
          <cell r="W1202" t="str">
            <v/>
          </cell>
          <cell r="Y1202" t="str">
            <v/>
          </cell>
          <cell r="AA1202" t="str">
            <v/>
          </cell>
          <cell r="AB1202">
            <v>0</v>
          </cell>
          <cell r="AC1202">
            <v>0</v>
          </cell>
          <cell r="AI1202" t="str">
            <v/>
          </cell>
          <cell r="AJ1202" t="str">
            <v/>
          </cell>
          <cell r="AK1202">
            <v>0</v>
          </cell>
          <cell r="AL1202">
            <v>0</v>
          </cell>
          <cell r="AM1202">
            <v>0</v>
          </cell>
        </row>
        <row r="1203">
          <cell r="C1203" t="str">
            <v/>
          </cell>
          <cell r="D1203" t="str">
            <v/>
          </cell>
          <cell r="O1203" t="str">
            <v/>
          </cell>
          <cell r="T1203" t="str">
            <v/>
          </cell>
          <cell r="U1203" t="str">
            <v/>
          </cell>
          <cell r="V1203" t="str">
            <v/>
          </cell>
          <cell r="W1203" t="str">
            <v/>
          </cell>
          <cell r="Y1203" t="str">
            <v/>
          </cell>
          <cell r="AA1203" t="str">
            <v/>
          </cell>
          <cell r="AB1203">
            <v>0</v>
          </cell>
          <cell r="AC1203">
            <v>0</v>
          </cell>
          <cell r="AI1203" t="str">
            <v/>
          </cell>
          <cell r="AJ1203" t="str">
            <v/>
          </cell>
          <cell r="AK1203">
            <v>0</v>
          </cell>
          <cell r="AL1203">
            <v>0</v>
          </cell>
          <cell r="AM1203">
            <v>0</v>
          </cell>
        </row>
        <row r="1204">
          <cell r="C1204" t="str">
            <v/>
          </cell>
          <cell r="D1204" t="str">
            <v/>
          </cell>
          <cell r="O1204" t="str">
            <v/>
          </cell>
          <cell r="T1204" t="str">
            <v/>
          </cell>
          <cell r="U1204" t="str">
            <v/>
          </cell>
          <cell r="V1204" t="str">
            <v/>
          </cell>
          <cell r="W1204" t="str">
            <v/>
          </cell>
          <cell r="Y1204" t="str">
            <v/>
          </cell>
          <cell r="AA1204" t="str">
            <v/>
          </cell>
          <cell r="AB1204">
            <v>0</v>
          </cell>
          <cell r="AC1204">
            <v>0</v>
          </cell>
          <cell r="AI1204" t="str">
            <v/>
          </cell>
          <cell r="AJ1204" t="str">
            <v/>
          </cell>
          <cell r="AK1204">
            <v>0</v>
          </cell>
          <cell r="AL1204">
            <v>0</v>
          </cell>
          <cell r="AM1204">
            <v>0</v>
          </cell>
        </row>
        <row r="1205">
          <cell r="C1205" t="str">
            <v/>
          </cell>
          <cell r="D1205" t="str">
            <v/>
          </cell>
          <cell r="O1205" t="str">
            <v/>
          </cell>
          <cell r="T1205" t="str">
            <v/>
          </cell>
          <cell r="U1205" t="str">
            <v/>
          </cell>
          <cell r="V1205" t="str">
            <v/>
          </cell>
          <cell r="W1205" t="str">
            <v/>
          </cell>
          <cell r="Y1205" t="str">
            <v/>
          </cell>
          <cell r="AA1205" t="str">
            <v/>
          </cell>
          <cell r="AB1205">
            <v>0</v>
          </cell>
          <cell r="AC1205">
            <v>0</v>
          </cell>
          <cell r="AI1205" t="str">
            <v/>
          </cell>
          <cell r="AJ1205" t="str">
            <v/>
          </cell>
          <cell r="AK1205">
            <v>0</v>
          </cell>
          <cell r="AL1205">
            <v>0</v>
          </cell>
          <cell r="AM1205">
            <v>0</v>
          </cell>
        </row>
        <row r="1206">
          <cell r="C1206" t="str">
            <v/>
          </cell>
          <cell r="D1206" t="str">
            <v/>
          </cell>
          <cell r="O1206" t="str">
            <v/>
          </cell>
          <cell r="T1206" t="str">
            <v/>
          </cell>
          <cell r="U1206" t="str">
            <v/>
          </cell>
          <cell r="V1206" t="str">
            <v/>
          </cell>
          <cell r="W1206" t="str">
            <v/>
          </cell>
          <cell r="Y1206" t="str">
            <v/>
          </cell>
          <cell r="AA1206" t="str">
            <v/>
          </cell>
          <cell r="AB1206">
            <v>0</v>
          </cell>
          <cell r="AC1206">
            <v>0</v>
          </cell>
          <cell r="AI1206" t="str">
            <v/>
          </cell>
          <cell r="AJ1206" t="str">
            <v/>
          </cell>
          <cell r="AK1206">
            <v>0</v>
          </cell>
          <cell r="AL1206">
            <v>0</v>
          </cell>
          <cell r="AM1206">
            <v>0</v>
          </cell>
        </row>
        <row r="1207">
          <cell r="C1207" t="str">
            <v/>
          </cell>
          <cell r="D1207" t="str">
            <v/>
          </cell>
          <cell r="O1207" t="str">
            <v/>
          </cell>
          <cell r="T1207" t="str">
            <v/>
          </cell>
          <cell r="U1207" t="str">
            <v/>
          </cell>
          <cell r="V1207" t="str">
            <v/>
          </cell>
          <cell r="W1207" t="str">
            <v/>
          </cell>
          <cell r="Y1207" t="str">
            <v/>
          </cell>
          <cell r="AA1207" t="str">
            <v/>
          </cell>
          <cell r="AB1207">
            <v>0</v>
          </cell>
          <cell r="AC1207">
            <v>0</v>
          </cell>
          <cell r="AI1207" t="str">
            <v/>
          </cell>
          <cell r="AJ1207" t="str">
            <v/>
          </cell>
          <cell r="AK1207">
            <v>0</v>
          </cell>
          <cell r="AL1207">
            <v>0</v>
          </cell>
          <cell r="AM1207">
            <v>0</v>
          </cell>
        </row>
        <row r="1208">
          <cell r="C1208" t="str">
            <v/>
          </cell>
          <cell r="D1208" t="str">
            <v/>
          </cell>
          <cell r="O1208" t="str">
            <v/>
          </cell>
          <cell r="T1208" t="str">
            <v/>
          </cell>
          <cell r="U1208" t="str">
            <v/>
          </cell>
          <cell r="V1208" t="str">
            <v/>
          </cell>
          <cell r="W1208" t="str">
            <v/>
          </cell>
          <cell r="Y1208" t="str">
            <v/>
          </cell>
          <cell r="AA1208" t="str">
            <v/>
          </cell>
          <cell r="AB1208">
            <v>0</v>
          </cell>
          <cell r="AC1208">
            <v>0</v>
          </cell>
          <cell r="AI1208" t="str">
            <v/>
          </cell>
          <cell r="AJ1208" t="str">
            <v/>
          </cell>
          <cell r="AK1208">
            <v>0</v>
          </cell>
          <cell r="AL1208">
            <v>0</v>
          </cell>
          <cell r="AM1208">
            <v>0</v>
          </cell>
        </row>
        <row r="1209">
          <cell r="C1209" t="str">
            <v/>
          </cell>
          <cell r="D1209" t="str">
            <v/>
          </cell>
          <cell r="O1209" t="str">
            <v/>
          </cell>
          <cell r="T1209" t="str">
            <v/>
          </cell>
          <cell r="U1209" t="str">
            <v/>
          </cell>
          <cell r="V1209" t="str">
            <v/>
          </cell>
          <cell r="W1209" t="str">
            <v/>
          </cell>
          <cell r="Y1209" t="str">
            <v/>
          </cell>
          <cell r="AA1209" t="str">
            <v/>
          </cell>
          <cell r="AB1209">
            <v>0</v>
          </cell>
          <cell r="AC1209">
            <v>0</v>
          </cell>
          <cell r="AI1209" t="str">
            <v/>
          </cell>
          <cell r="AJ1209" t="str">
            <v/>
          </cell>
          <cell r="AK1209">
            <v>0</v>
          </cell>
          <cell r="AL1209">
            <v>0</v>
          </cell>
          <cell r="AM1209">
            <v>0</v>
          </cell>
        </row>
        <row r="1210">
          <cell r="C1210" t="str">
            <v/>
          </cell>
          <cell r="D1210" t="str">
            <v/>
          </cell>
          <cell r="O1210" t="str">
            <v/>
          </cell>
          <cell r="T1210" t="str">
            <v/>
          </cell>
          <cell r="U1210" t="str">
            <v/>
          </cell>
          <cell r="V1210" t="str">
            <v/>
          </cell>
          <cell r="W1210" t="str">
            <v/>
          </cell>
          <cell r="Y1210" t="str">
            <v/>
          </cell>
          <cell r="AA1210" t="str">
            <v/>
          </cell>
          <cell r="AB1210">
            <v>0</v>
          </cell>
          <cell r="AC1210">
            <v>0</v>
          </cell>
          <cell r="AI1210" t="str">
            <v/>
          </cell>
          <cell r="AJ1210" t="str">
            <v/>
          </cell>
          <cell r="AK1210">
            <v>0</v>
          </cell>
          <cell r="AL1210">
            <v>0</v>
          </cell>
          <cell r="AM1210">
            <v>0</v>
          </cell>
        </row>
        <row r="1211">
          <cell r="C1211" t="str">
            <v/>
          </cell>
          <cell r="D1211" t="str">
            <v/>
          </cell>
          <cell r="O1211" t="str">
            <v/>
          </cell>
          <cell r="T1211" t="str">
            <v/>
          </cell>
          <cell r="U1211" t="str">
            <v/>
          </cell>
          <cell r="V1211" t="str">
            <v/>
          </cell>
          <cell r="W1211" t="str">
            <v/>
          </cell>
          <cell r="Y1211" t="str">
            <v/>
          </cell>
          <cell r="AA1211" t="str">
            <v/>
          </cell>
          <cell r="AB1211">
            <v>0</v>
          </cell>
          <cell r="AC1211">
            <v>0</v>
          </cell>
          <cell r="AI1211" t="str">
            <v/>
          </cell>
          <cell r="AJ1211" t="str">
            <v/>
          </cell>
          <cell r="AK1211">
            <v>0</v>
          </cell>
          <cell r="AL1211">
            <v>0</v>
          </cell>
          <cell r="AM1211">
            <v>0</v>
          </cell>
        </row>
        <row r="1212">
          <cell r="C1212" t="str">
            <v/>
          </cell>
          <cell r="D1212" t="str">
            <v/>
          </cell>
          <cell r="O1212" t="str">
            <v/>
          </cell>
          <cell r="T1212" t="str">
            <v/>
          </cell>
          <cell r="U1212" t="str">
            <v/>
          </cell>
          <cell r="V1212" t="str">
            <v/>
          </cell>
          <cell r="W1212" t="str">
            <v/>
          </cell>
          <cell r="Y1212" t="str">
            <v/>
          </cell>
          <cell r="AA1212" t="str">
            <v/>
          </cell>
          <cell r="AB1212">
            <v>0</v>
          </cell>
          <cell r="AC1212">
            <v>0</v>
          </cell>
          <cell r="AI1212" t="str">
            <v/>
          </cell>
          <cell r="AJ1212" t="str">
            <v/>
          </cell>
          <cell r="AK1212">
            <v>0</v>
          </cell>
          <cell r="AL1212">
            <v>0</v>
          </cell>
          <cell r="AM1212">
            <v>0</v>
          </cell>
        </row>
        <row r="1213">
          <cell r="C1213" t="str">
            <v/>
          </cell>
          <cell r="D1213" t="str">
            <v/>
          </cell>
          <cell r="O1213" t="str">
            <v/>
          </cell>
          <cell r="T1213" t="str">
            <v/>
          </cell>
          <cell r="U1213" t="str">
            <v/>
          </cell>
          <cell r="V1213" t="str">
            <v/>
          </cell>
          <cell r="W1213" t="str">
            <v/>
          </cell>
          <cell r="Y1213" t="str">
            <v/>
          </cell>
          <cell r="AA1213" t="str">
            <v/>
          </cell>
          <cell r="AB1213">
            <v>0</v>
          </cell>
          <cell r="AC1213">
            <v>0</v>
          </cell>
          <cell r="AI1213" t="str">
            <v/>
          </cell>
          <cell r="AJ1213" t="str">
            <v/>
          </cell>
          <cell r="AK1213">
            <v>0</v>
          </cell>
          <cell r="AL1213">
            <v>0</v>
          </cell>
          <cell r="AM1213">
            <v>0</v>
          </cell>
        </row>
        <row r="1214">
          <cell r="C1214" t="str">
            <v/>
          </cell>
          <cell r="D1214" t="str">
            <v/>
          </cell>
          <cell r="O1214" t="str">
            <v/>
          </cell>
          <cell r="T1214" t="str">
            <v/>
          </cell>
          <cell r="U1214" t="str">
            <v/>
          </cell>
          <cell r="V1214" t="str">
            <v/>
          </cell>
          <cell r="W1214" t="str">
            <v/>
          </cell>
          <cell r="Y1214" t="str">
            <v/>
          </cell>
          <cell r="AA1214" t="str">
            <v/>
          </cell>
          <cell r="AB1214">
            <v>0</v>
          </cell>
          <cell r="AC1214">
            <v>0</v>
          </cell>
          <cell r="AI1214" t="str">
            <v/>
          </cell>
          <cell r="AJ1214" t="str">
            <v/>
          </cell>
          <cell r="AK1214">
            <v>0</v>
          </cell>
          <cell r="AL1214">
            <v>0</v>
          </cell>
          <cell r="AM1214">
            <v>0</v>
          </cell>
        </row>
        <row r="1215">
          <cell r="C1215" t="str">
            <v/>
          </cell>
          <cell r="D1215" t="str">
            <v/>
          </cell>
          <cell r="O1215" t="str">
            <v/>
          </cell>
          <cell r="T1215" t="str">
            <v/>
          </cell>
          <cell r="U1215" t="str">
            <v/>
          </cell>
          <cell r="V1215" t="str">
            <v/>
          </cell>
          <cell r="W1215" t="str">
            <v/>
          </cell>
          <cell r="Y1215" t="str">
            <v/>
          </cell>
          <cell r="AA1215" t="str">
            <v/>
          </cell>
          <cell r="AB1215">
            <v>0</v>
          </cell>
          <cell r="AC1215">
            <v>0</v>
          </cell>
          <cell r="AI1215" t="str">
            <v/>
          </cell>
          <cell r="AJ1215" t="str">
            <v/>
          </cell>
          <cell r="AK1215">
            <v>0</v>
          </cell>
          <cell r="AL1215">
            <v>0</v>
          </cell>
          <cell r="AM1215">
            <v>0</v>
          </cell>
        </row>
        <row r="1216">
          <cell r="C1216" t="str">
            <v/>
          </cell>
          <cell r="D1216" t="str">
            <v/>
          </cell>
          <cell r="O1216" t="str">
            <v/>
          </cell>
          <cell r="T1216" t="str">
            <v/>
          </cell>
          <cell r="U1216" t="str">
            <v/>
          </cell>
          <cell r="V1216" t="str">
            <v/>
          </cell>
          <cell r="W1216" t="str">
            <v/>
          </cell>
          <cell r="Y1216" t="str">
            <v/>
          </cell>
          <cell r="AA1216" t="str">
            <v/>
          </cell>
          <cell r="AB1216">
            <v>0</v>
          </cell>
          <cell r="AC1216">
            <v>0</v>
          </cell>
          <cell r="AI1216" t="str">
            <v/>
          </cell>
          <cell r="AJ1216" t="str">
            <v/>
          </cell>
          <cell r="AK1216">
            <v>0</v>
          </cell>
          <cell r="AL1216">
            <v>0</v>
          </cell>
          <cell r="AM1216">
            <v>0</v>
          </cell>
        </row>
        <row r="1217">
          <cell r="C1217" t="str">
            <v/>
          </cell>
          <cell r="D1217" t="str">
            <v/>
          </cell>
          <cell r="O1217" t="str">
            <v/>
          </cell>
          <cell r="T1217" t="str">
            <v/>
          </cell>
          <cell r="U1217" t="str">
            <v/>
          </cell>
          <cell r="V1217" t="str">
            <v/>
          </cell>
          <cell r="W1217" t="str">
            <v/>
          </cell>
          <cell r="Y1217" t="str">
            <v/>
          </cell>
          <cell r="AA1217" t="str">
            <v/>
          </cell>
          <cell r="AB1217">
            <v>0</v>
          </cell>
          <cell r="AC1217">
            <v>0</v>
          </cell>
          <cell r="AI1217" t="str">
            <v/>
          </cell>
          <cell r="AJ1217" t="str">
            <v/>
          </cell>
          <cell r="AK1217">
            <v>0</v>
          </cell>
          <cell r="AL1217">
            <v>0</v>
          </cell>
          <cell r="AM1217">
            <v>0</v>
          </cell>
        </row>
        <row r="1218">
          <cell r="C1218" t="str">
            <v/>
          </cell>
          <cell r="D1218" t="str">
            <v/>
          </cell>
          <cell r="O1218" t="str">
            <v/>
          </cell>
          <cell r="T1218" t="str">
            <v/>
          </cell>
          <cell r="U1218" t="str">
            <v/>
          </cell>
          <cell r="V1218" t="str">
            <v/>
          </cell>
          <cell r="W1218" t="str">
            <v/>
          </cell>
          <cell r="Y1218" t="str">
            <v/>
          </cell>
          <cell r="AA1218" t="str">
            <v/>
          </cell>
          <cell r="AB1218">
            <v>0</v>
          </cell>
          <cell r="AC1218">
            <v>0</v>
          </cell>
          <cell r="AI1218" t="str">
            <v/>
          </cell>
          <cell r="AJ1218" t="str">
            <v/>
          </cell>
          <cell r="AK1218">
            <v>0</v>
          </cell>
          <cell r="AL1218">
            <v>0</v>
          </cell>
          <cell r="AM1218">
            <v>0</v>
          </cell>
        </row>
        <row r="1219">
          <cell r="C1219" t="str">
            <v/>
          </cell>
          <cell r="D1219" t="str">
            <v/>
          </cell>
          <cell r="O1219" t="str">
            <v/>
          </cell>
          <cell r="T1219" t="str">
            <v/>
          </cell>
          <cell r="U1219" t="str">
            <v/>
          </cell>
          <cell r="V1219" t="str">
            <v/>
          </cell>
          <cell r="W1219" t="str">
            <v/>
          </cell>
          <cell r="Y1219" t="str">
            <v/>
          </cell>
          <cell r="AA1219" t="str">
            <v/>
          </cell>
          <cell r="AB1219">
            <v>0</v>
          </cell>
          <cell r="AC1219">
            <v>0</v>
          </cell>
          <cell r="AI1219" t="str">
            <v/>
          </cell>
          <cell r="AJ1219" t="str">
            <v/>
          </cell>
          <cell r="AK1219">
            <v>0</v>
          </cell>
          <cell r="AL1219">
            <v>0</v>
          </cell>
          <cell r="AM1219">
            <v>0</v>
          </cell>
        </row>
        <row r="1220">
          <cell r="C1220" t="str">
            <v/>
          </cell>
          <cell r="D1220" t="str">
            <v/>
          </cell>
          <cell r="O1220" t="str">
            <v/>
          </cell>
          <cell r="T1220" t="str">
            <v/>
          </cell>
          <cell r="U1220" t="str">
            <v/>
          </cell>
          <cell r="V1220" t="str">
            <v/>
          </cell>
          <cell r="W1220" t="str">
            <v/>
          </cell>
          <cell r="Y1220" t="str">
            <v/>
          </cell>
          <cell r="AA1220" t="str">
            <v/>
          </cell>
          <cell r="AB1220">
            <v>0</v>
          </cell>
          <cell r="AC1220">
            <v>0</v>
          </cell>
          <cell r="AI1220" t="str">
            <v/>
          </cell>
          <cell r="AJ1220" t="str">
            <v/>
          </cell>
          <cell r="AK1220">
            <v>0</v>
          </cell>
          <cell r="AL1220">
            <v>0</v>
          </cell>
          <cell r="AM1220">
            <v>0</v>
          </cell>
        </row>
        <row r="1221">
          <cell r="C1221" t="str">
            <v/>
          </cell>
          <cell r="D1221" t="str">
            <v/>
          </cell>
          <cell r="O1221" t="str">
            <v/>
          </cell>
          <cell r="T1221" t="str">
            <v/>
          </cell>
          <cell r="U1221" t="str">
            <v/>
          </cell>
          <cell r="V1221" t="str">
            <v/>
          </cell>
          <cell r="W1221" t="str">
            <v/>
          </cell>
          <cell r="Y1221" t="str">
            <v/>
          </cell>
          <cell r="AA1221" t="str">
            <v/>
          </cell>
          <cell r="AB1221">
            <v>0</v>
          </cell>
          <cell r="AC1221">
            <v>0</v>
          </cell>
          <cell r="AI1221" t="str">
            <v/>
          </cell>
          <cell r="AJ1221" t="str">
            <v/>
          </cell>
          <cell r="AK1221">
            <v>0</v>
          </cell>
          <cell r="AL1221">
            <v>0</v>
          </cell>
          <cell r="AM1221">
            <v>0</v>
          </cell>
        </row>
        <row r="1222">
          <cell r="C1222" t="str">
            <v/>
          </cell>
          <cell r="D1222" t="str">
            <v/>
          </cell>
          <cell r="O1222" t="str">
            <v/>
          </cell>
          <cell r="T1222" t="str">
            <v/>
          </cell>
          <cell r="U1222" t="str">
            <v/>
          </cell>
          <cell r="V1222" t="str">
            <v/>
          </cell>
          <cell r="W1222" t="str">
            <v/>
          </cell>
          <cell r="Y1222" t="str">
            <v/>
          </cell>
          <cell r="AA1222" t="str">
            <v/>
          </cell>
          <cell r="AB1222">
            <v>0</v>
          </cell>
          <cell r="AC1222">
            <v>0</v>
          </cell>
          <cell r="AI1222" t="str">
            <v/>
          </cell>
          <cell r="AJ1222" t="str">
            <v/>
          </cell>
          <cell r="AK1222">
            <v>0</v>
          </cell>
          <cell r="AL1222">
            <v>0</v>
          </cell>
          <cell r="AM1222">
            <v>0</v>
          </cell>
        </row>
        <row r="1223">
          <cell r="C1223" t="str">
            <v/>
          </cell>
          <cell r="D1223" t="str">
            <v/>
          </cell>
          <cell r="O1223" t="str">
            <v/>
          </cell>
          <cell r="T1223" t="str">
            <v/>
          </cell>
          <cell r="U1223" t="str">
            <v/>
          </cell>
          <cell r="V1223" t="str">
            <v/>
          </cell>
          <cell r="W1223" t="str">
            <v/>
          </cell>
          <cell r="Y1223" t="str">
            <v/>
          </cell>
          <cell r="AA1223" t="str">
            <v/>
          </cell>
          <cell r="AB1223">
            <v>0</v>
          </cell>
          <cell r="AC1223">
            <v>0</v>
          </cell>
          <cell r="AI1223" t="str">
            <v/>
          </cell>
          <cell r="AJ1223" t="str">
            <v/>
          </cell>
          <cell r="AK1223">
            <v>0</v>
          </cell>
          <cell r="AL1223">
            <v>0</v>
          </cell>
          <cell r="AM1223">
            <v>0</v>
          </cell>
        </row>
        <row r="1224">
          <cell r="C1224" t="str">
            <v/>
          </cell>
          <cell r="D1224" t="str">
            <v/>
          </cell>
          <cell r="O1224" t="str">
            <v/>
          </cell>
          <cell r="T1224" t="str">
            <v/>
          </cell>
          <cell r="U1224" t="str">
            <v/>
          </cell>
          <cell r="V1224" t="str">
            <v/>
          </cell>
          <cell r="W1224" t="str">
            <v/>
          </cell>
          <cell r="Y1224" t="str">
            <v/>
          </cell>
          <cell r="AA1224" t="str">
            <v/>
          </cell>
          <cell r="AB1224">
            <v>0</v>
          </cell>
          <cell r="AC1224">
            <v>0</v>
          </cell>
          <cell r="AI1224" t="str">
            <v/>
          </cell>
          <cell r="AJ1224" t="str">
            <v/>
          </cell>
          <cell r="AK1224">
            <v>0</v>
          </cell>
          <cell r="AL1224">
            <v>0</v>
          </cell>
          <cell r="AM1224">
            <v>0</v>
          </cell>
        </row>
        <row r="1225">
          <cell r="C1225" t="str">
            <v/>
          </cell>
          <cell r="D1225" t="str">
            <v/>
          </cell>
          <cell r="O1225" t="str">
            <v/>
          </cell>
          <cell r="T1225" t="str">
            <v/>
          </cell>
          <cell r="U1225" t="str">
            <v/>
          </cell>
          <cell r="V1225" t="str">
            <v/>
          </cell>
          <cell r="W1225" t="str">
            <v/>
          </cell>
          <cell r="Y1225" t="str">
            <v/>
          </cell>
          <cell r="AA1225" t="str">
            <v/>
          </cell>
          <cell r="AB1225">
            <v>0</v>
          </cell>
          <cell r="AC1225">
            <v>0</v>
          </cell>
          <cell r="AI1225" t="str">
            <v/>
          </cell>
          <cell r="AJ1225" t="str">
            <v/>
          </cell>
          <cell r="AK1225">
            <v>0</v>
          </cell>
          <cell r="AL1225">
            <v>0</v>
          </cell>
          <cell r="AM1225">
            <v>0</v>
          </cell>
        </row>
        <row r="1226">
          <cell r="C1226" t="str">
            <v/>
          </cell>
          <cell r="D1226" t="str">
            <v/>
          </cell>
          <cell r="O1226" t="str">
            <v/>
          </cell>
          <cell r="T1226" t="str">
            <v/>
          </cell>
          <cell r="U1226" t="str">
            <v/>
          </cell>
          <cell r="V1226" t="str">
            <v/>
          </cell>
          <cell r="W1226" t="str">
            <v/>
          </cell>
          <cell r="Y1226" t="str">
            <v/>
          </cell>
          <cell r="AA1226" t="str">
            <v/>
          </cell>
          <cell r="AB1226">
            <v>0</v>
          </cell>
          <cell r="AC1226">
            <v>0</v>
          </cell>
          <cell r="AI1226" t="str">
            <v/>
          </cell>
          <cell r="AJ1226" t="str">
            <v/>
          </cell>
          <cell r="AK1226">
            <v>0</v>
          </cell>
          <cell r="AL1226">
            <v>0</v>
          </cell>
          <cell r="AM1226">
            <v>0</v>
          </cell>
        </row>
        <row r="1227">
          <cell r="C1227" t="str">
            <v/>
          </cell>
          <cell r="D1227" t="str">
            <v/>
          </cell>
          <cell r="O1227" t="str">
            <v/>
          </cell>
          <cell r="T1227" t="str">
            <v/>
          </cell>
          <cell r="U1227" t="str">
            <v/>
          </cell>
          <cell r="V1227" t="str">
            <v/>
          </cell>
          <cell r="W1227" t="str">
            <v/>
          </cell>
          <cell r="Y1227" t="str">
            <v/>
          </cell>
          <cell r="AA1227" t="str">
            <v/>
          </cell>
          <cell r="AB1227">
            <v>0</v>
          </cell>
          <cell r="AC1227">
            <v>0</v>
          </cell>
          <cell r="AI1227" t="str">
            <v/>
          </cell>
          <cell r="AJ1227" t="str">
            <v/>
          </cell>
          <cell r="AK1227">
            <v>0</v>
          </cell>
          <cell r="AL1227">
            <v>0</v>
          </cell>
          <cell r="AM1227">
            <v>0</v>
          </cell>
        </row>
        <row r="1228">
          <cell r="C1228" t="str">
            <v/>
          </cell>
          <cell r="D1228" t="str">
            <v/>
          </cell>
          <cell r="O1228" t="str">
            <v/>
          </cell>
          <cell r="T1228" t="str">
            <v/>
          </cell>
          <cell r="U1228" t="str">
            <v/>
          </cell>
          <cell r="V1228" t="str">
            <v/>
          </cell>
          <cell r="W1228" t="str">
            <v/>
          </cell>
          <cell r="Y1228" t="str">
            <v/>
          </cell>
          <cell r="AA1228" t="str">
            <v/>
          </cell>
          <cell r="AB1228">
            <v>0</v>
          </cell>
          <cell r="AC1228">
            <v>0</v>
          </cell>
          <cell r="AI1228" t="str">
            <v/>
          </cell>
          <cell r="AJ1228" t="str">
            <v/>
          </cell>
          <cell r="AK1228">
            <v>0</v>
          </cell>
          <cell r="AL1228">
            <v>0</v>
          </cell>
          <cell r="AM1228">
            <v>0</v>
          </cell>
        </row>
        <row r="1229">
          <cell r="C1229" t="str">
            <v/>
          </cell>
          <cell r="D1229" t="str">
            <v/>
          </cell>
          <cell r="O1229" t="str">
            <v/>
          </cell>
          <cell r="T1229" t="str">
            <v/>
          </cell>
          <cell r="U1229" t="str">
            <v/>
          </cell>
          <cell r="V1229" t="str">
            <v/>
          </cell>
          <cell r="W1229" t="str">
            <v/>
          </cell>
          <cell r="Y1229" t="str">
            <v/>
          </cell>
          <cell r="AA1229" t="str">
            <v/>
          </cell>
          <cell r="AB1229">
            <v>0</v>
          </cell>
          <cell r="AC1229">
            <v>0</v>
          </cell>
          <cell r="AI1229" t="str">
            <v/>
          </cell>
          <cell r="AJ1229" t="str">
            <v/>
          </cell>
          <cell r="AK1229">
            <v>0</v>
          </cell>
          <cell r="AL1229">
            <v>0</v>
          </cell>
          <cell r="AM1229">
            <v>0</v>
          </cell>
        </row>
        <row r="1230">
          <cell r="C1230" t="str">
            <v/>
          </cell>
          <cell r="D1230" t="str">
            <v/>
          </cell>
          <cell r="O1230" t="str">
            <v/>
          </cell>
          <cell r="T1230" t="str">
            <v/>
          </cell>
          <cell r="U1230" t="str">
            <v/>
          </cell>
          <cell r="V1230" t="str">
            <v/>
          </cell>
          <cell r="W1230" t="str">
            <v/>
          </cell>
          <cell r="Y1230" t="str">
            <v/>
          </cell>
          <cell r="AA1230" t="str">
            <v/>
          </cell>
          <cell r="AB1230">
            <v>0</v>
          </cell>
          <cell r="AC1230">
            <v>0</v>
          </cell>
          <cell r="AI1230" t="str">
            <v/>
          </cell>
          <cell r="AJ1230" t="str">
            <v/>
          </cell>
          <cell r="AK1230">
            <v>0</v>
          </cell>
          <cell r="AL1230">
            <v>0</v>
          </cell>
          <cell r="AM1230">
            <v>0</v>
          </cell>
        </row>
        <row r="1231">
          <cell r="C1231" t="str">
            <v/>
          </cell>
          <cell r="D1231" t="str">
            <v/>
          </cell>
          <cell r="O1231" t="str">
            <v/>
          </cell>
          <cell r="T1231" t="str">
            <v/>
          </cell>
          <cell r="U1231" t="str">
            <v/>
          </cell>
          <cell r="V1231" t="str">
            <v/>
          </cell>
          <cell r="W1231" t="str">
            <v/>
          </cell>
          <cell r="Y1231" t="str">
            <v/>
          </cell>
          <cell r="AA1231" t="str">
            <v/>
          </cell>
          <cell r="AB1231">
            <v>0</v>
          </cell>
          <cell r="AC1231">
            <v>0</v>
          </cell>
          <cell r="AI1231" t="str">
            <v/>
          </cell>
          <cell r="AJ1231" t="str">
            <v/>
          </cell>
          <cell r="AK1231">
            <v>0</v>
          </cell>
          <cell r="AL1231">
            <v>0</v>
          </cell>
          <cell r="AM1231">
            <v>0</v>
          </cell>
        </row>
        <row r="1232">
          <cell r="C1232" t="str">
            <v/>
          </cell>
          <cell r="D1232" t="str">
            <v/>
          </cell>
          <cell r="O1232" t="str">
            <v/>
          </cell>
          <cell r="T1232" t="str">
            <v/>
          </cell>
          <cell r="U1232" t="str">
            <v/>
          </cell>
          <cell r="V1232" t="str">
            <v/>
          </cell>
          <cell r="W1232" t="str">
            <v/>
          </cell>
          <cell r="Y1232" t="str">
            <v/>
          </cell>
          <cell r="AA1232" t="str">
            <v/>
          </cell>
          <cell r="AB1232">
            <v>0</v>
          </cell>
          <cell r="AC1232">
            <v>0</v>
          </cell>
          <cell r="AI1232" t="str">
            <v/>
          </cell>
          <cell r="AJ1232" t="str">
            <v/>
          </cell>
          <cell r="AK1232">
            <v>0</v>
          </cell>
          <cell r="AL1232">
            <v>0</v>
          </cell>
          <cell r="AM1232">
            <v>0</v>
          </cell>
        </row>
        <row r="1233">
          <cell r="C1233" t="str">
            <v/>
          </cell>
          <cell r="D1233" t="str">
            <v/>
          </cell>
          <cell r="O1233" t="str">
            <v/>
          </cell>
          <cell r="T1233" t="str">
            <v/>
          </cell>
          <cell r="U1233" t="str">
            <v/>
          </cell>
          <cell r="V1233" t="str">
            <v/>
          </cell>
          <cell r="W1233" t="str">
            <v/>
          </cell>
          <cell r="Y1233" t="str">
            <v/>
          </cell>
          <cell r="AA1233" t="str">
            <v/>
          </cell>
          <cell r="AB1233">
            <v>0</v>
          </cell>
          <cell r="AC1233">
            <v>0</v>
          </cell>
          <cell r="AI1233" t="str">
            <v/>
          </cell>
          <cell r="AJ1233" t="str">
            <v/>
          </cell>
          <cell r="AK1233">
            <v>0</v>
          </cell>
          <cell r="AL1233">
            <v>0</v>
          </cell>
          <cell r="AM1233">
            <v>0</v>
          </cell>
        </row>
        <row r="1234">
          <cell r="C1234" t="str">
            <v/>
          </cell>
          <cell r="D1234" t="str">
            <v/>
          </cell>
          <cell r="O1234" t="str">
            <v/>
          </cell>
          <cell r="T1234" t="str">
            <v/>
          </cell>
          <cell r="U1234" t="str">
            <v/>
          </cell>
          <cell r="V1234" t="str">
            <v/>
          </cell>
          <cell r="W1234" t="str">
            <v/>
          </cell>
          <cell r="Y1234" t="str">
            <v/>
          </cell>
          <cell r="AA1234" t="str">
            <v/>
          </cell>
          <cell r="AB1234">
            <v>0</v>
          </cell>
          <cell r="AC1234">
            <v>0</v>
          </cell>
          <cell r="AI1234" t="str">
            <v/>
          </cell>
          <cell r="AJ1234" t="str">
            <v/>
          </cell>
          <cell r="AK1234">
            <v>0</v>
          </cell>
          <cell r="AL1234">
            <v>0</v>
          </cell>
          <cell r="AM1234">
            <v>0</v>
          </cell>
        </row>
        <row r="1235">
          <cell r="C1235" t="str">
            <v/>
          </cell>
          <cell r="D1235" t="str">
            <v/>
          </cell>
          <cell r="O1235" t="str">
            <v/>
          </cell>
          <cell r="T1235" t="str">
            <v/>
          </cell>
          <cell r="U1235" t="str">
            <v/>
          </cell>
          <cell r="V1235" t="str">
            <v/>
          </cell>
          <cell r="W1235" t="str">
            <v/>
          </cell>
          <cell r="Y1235" t="str">
            <v/>
          </cell>
          <cell r="AA1235" t="str">
            <v/>
          </cell>
          <cell r="AB1235">
            <v>0</v>
          </cell>
          <cell r="AC1235">
            <v>0</v>
          </cell>
          <cell r="AI1235" t="str">
            <v/>
          </cell>
          <cell r="AJ1235" t="str">
            <v/>
          </cell>
          <cell r="AK1235">
            <v>0</v>
          </cell>
          <cell r="AL1235">
            <v>0</v>
          </cell>
          <cell r="AM1235">
            <v>0</v>
          </cell>
        </row>
        <row r="1236">
          <cell r="C1236" t="str">
            <v/>
          </cell>
          <cell r="D1236" t="str">
            <v/>
          </cell>
          <cell r="O1236" t="str">
            <v/>
          </cell>
          <cell r="T1236" t="str">
            <v/>
          </cell>
          <cell r="U1236" t="str">
            <v/>
          </cell>
          <cell r="V1236" t="str">
            <v/>
          </cell>
          <cell r="W1236" t="str">
            <v/>
          </cell>
          <cell r="Y1236" t="str">
            <v/>
          </cell>
          <cell r="AA1236" t="str">
            <v/>
          </cell>
          <cell r="AB1236">
            <v>0</v>
          </cell>
          <cell r="AC1236">
            <v>0</v>
          </cell>
          <cell r="AI1236" t="str">
            <v/>
          </cell>
          <cell r="AJ1236" t="str">
            <v/>
          </cell>
          <cell r="AK1236">
            <v>0</v>
          </cell>
          <cell r="AL1236">
            <v>0</v>
          </cell>
          <cell r="AM1236">
            <v>0</v>
          </cell>
        </row>
        <row r="1237">
          <cell r="C1237" t="str">
            <v/>
          </cell>
          <cell r="D1237" t="str">
            <v/>
          </cell>
          <cell r="O1237" t="str">
            <v/>
          </cell>
          <cell r="T1237" t="str">
            <v/>
          </cell>
          <cell r="U1237" t="str">
            <v/>
          </cell>
          <cell r="V1237" t="str">
            <v/>
          </cell>
          <cell r="W1237" t="str">
            <v/>
          </cell>
          <cell r="Y1237" t="str">
            <v/>
          </cell>
          <cell r="AA1237" t="str">
            <v/>
          </cell>
          <cell r="AB1237">
            <v>0</v>
          </cell>
          <cell r="AC1237">
            <v>0</v>
          </cell>
          <cell r="AI1237" t="str">
            <v/>
          </cell>
          <cell r="AJ1237" t="str">
            <v/>
          </cell>
          <cell r="AK1237">
            <v>0</v>
          </cell>
          <cell r="AL1237">
            <v>0</v>
          </cell>
          <cell r="AM1237">
            <v>0</v>
          </cell>
        </row>
        <row r="1238">
          <cell r="C1238" t="str">
            <v/>
          </cell>
          <cell r="D1238" t="str">
            <v/>
          </cell>
          <cell r="O1238" t="str">
            <v/>
          </cell>
          <cell r="T1238" t="str">
            <v/>
          </cell>
          <cell r="U1238" t="str">
            <v/>
          </cell>
          <cell r="V1238" t="str">
            <v/>
          </cell>
          <cell r="W1238" t="str">
            <v/>
          </cell>
          <cell r="Y1238" t="str">
            <v/>
          </cell>
          <cell r="AA1238" t="str">
            <v/>
          </cell>
          <cell r="AB1238">
            <v>0</v>
          </cell>
          <cell r="AC1238">
            <v>0</v>
          </cell>
          <cell r="AI1238" t="str">
            <v/>
          </cell>
          <cell r="AJ1238" t="str">
            <v/>
          </cell>
          <cell r="AK1238">
            <v>0</v>
          </cell>
          <cell r="AL1238">
            <v>0</v>
          </cell>
          <cell r="AM1238">
            <v>0</v>
          </cell>
        </row>
        <row r="1239">
          <cell r="C1239" t="str">
            <v/>
          </cell>
          <cell r="D1239" t="str">
            <v/>
          </cell>
          <cell r="O1239" t="str">
            <v/>
          </cell>
          <cell r="T1239" t="str">
            <v/>
          </cell>
          <cell r="U1239" t="str">
            <v/>
          </cell>
          <cell r="V1239" t="str">
            <v/>
          </cell>
          <cell r="W1239" t="str">
            <v/>
          </cell>
          <cell r="Y1239" t="str">
            <v/>
          </cell>
          <cell r="AA1239" t="str">
            <v/>
          </cell>
          <cell r="AB1239">
            <v>0</v>
          </cell>
          <cell r="AC1239">
            <v>0</v>
          </cell>
          <cell r="AI1239" t="str">
            <v/>
          </cell>
          <cell r="AJ1239" t="str">
            <v/>
          </cell>
          <cell r="AK1239">
            <v>0</v>
          </cell>
          <cell r="AL1239">
            <v>0</v>
          </cell>
          <cell r="AM1239">
            <v>0</v>
          </cell>
        </row>
        <row r="1240">
          <cell r="C1240" t="str">
            <v/>
          </cell>
          <cell r="D1240" t="str">
            <v/>
          </cell>
          <cell r="O1240" t="str">
            <v/>
          </cell>
          <cell r="T1240" t="str">
            <v/>
          </cell>
          <cell r="U1240" t="str">
            <v/>
          </cell>
          <cell r="V1240" t="str">
            <v/>
          </cell>
          <cell r="W1240" t="str">
            <v/>
          </cell>
          <cell r="Y1240" t="str">
            <v/>
          </cell>
          <cell r="AA1240" t="str">
            <v/>
          </cell>
          <cell r="AB1240">
            <v>0</v>
          </cell>
          <cell r="AC1240">
            <v>0</v>
          </cell>
          <cell r="AI1240" t="str">
            <v/>
          </cell>
          <cell r="AJ1240" t="str">
            <v/>
          </cell>
          <cell r="AK1240">
            <v>0</v>
          </cell>
          <cell r="AL1240">
            <v>0</v>
          </cell>
          <cell r="AM1240">
            <v>0</v>
          </cell>
        </row>
        <row r="1241">
          <cell r="C1241" t="str">
            <v/>
          </cell>
          <cell r="D1241" t="str">
            <v/>
          </cell>
          <cell r="O1241" t="str">
            <v/>
          </cell>
          <cell r="T1241" t="str">
            <v/>
          </cell>
          <cell r="U1241" t="str">
            <v/>
          </cell>
          <cell r="V1241" t="str">
            <v/>
          </cell>
          <cell r="W1241" t="str">
            <v/>
          </cell>
          <cell r="Y1241" t="str">
            <v/>
          </cell>
          <cell r="AA1241" t="str">
            <v/>
          </cell>
          <cell r="AB1241">
            <v>0</v>
          </cell>
          <cell r="AC1241">
            <v>0</v>
          </cell>
          <cell r="AI1241" t="str">
            <v/>
          </cell>
          <cell r="AJ1241" t="str">
            <v/>
          </cell>
          <cell r="AK1241">
            <v>0</v>
          </cell>
          <cell r="AL1241">
            <v>0</v>
          </cell>
          <cell r="AM1241">
            <v>0</v>
          </cell>
        </row>
        <row r="1242">
          <cell r="C1242" t="str">
            <v/>
          </cell>
          <cell r="D1242" t="str">
            <v/>
          </cell>
          <cell r="O1242" t="str">
            <v/>
          </cell>
          <cell r="T1242" t="str">
            <v/>
          </cell>
          <cell r="U1242" t="str">
            <v/>
          </cell>
          <cell r="V1242" t="str">
            <v/>
          </cell>
          <cell r="W1242" t="str">
            <v/>
          </cell>
          <cell r="Y1242" t="str">
            <v/>
          </cell>
          <cell r="AA1242" t="str">
            <v/>
          </cell>
          <cell r="AB1242">
            <v>0</v>
          </cell>
          <cell r="AC1242">
            <v>0</v>
          </cell>
          <cell r="AI1242" t="str">
            <v/>
          </cell>
          <cell r="AJ1242" t="str">
            <v/>
          </cell>
          <cell r="AK1242">
            <v>0</v>
          </cell>
          <cell r="AL1242">
            <v>0</v>
          </cell>
          <cell r="AM1242">
            <v>0</v>
          </cell>
        </row>
        <row r="1243">
          <cell r="C1243" t="str">
            <v/>
          </cell>
          <cell r="D1243" t="str">
            <v/>
          </cell>
          <cell r="O1243" t="str">
            <v/>
          </cell>
          <cell r="T1243" t="str">
            <v/>
          </cell>
          <cell r="U1243" t="str">
            <v/>
          </cell>
          <cell r="V1243" t="str">
            <v/>
          </cell>
          <cell r="W1243" t="str">
            <v/>
          </cell>
          <cell r="Y1243" t="str">
            <v/>
          </cell>
          <cell r="AA1243" t="str">
            <v/>
          </cell>
          <cell r="AB1243">
            <v>0</v>
          </cell>
          <cell r="AC1243">
            <v>0</v>
          </cell>
          <cell r="AI1243" t="str">
            <v/>
          </cell>
          <cell r="AJ1243" t="str">
            <v/>
          </cell>
          <cell r="AK1243">
            <v>0</v>
          </cell>
          <cell r="AL1243">
            <v>0</v>
          </cell>
          <cell r="AM1243">
            <v>0</v>
          </cell>
        </row>
        <row r="1244">
          <cell r="C1244" t="str">
            <v/>
          </cell>
          <cell r="D1244" t="str">
            <v/>
          </cell>
          <cell r="O1244" t="str">
            <v/>
          </cell>
          <cell r="T1244" t="str">
            <v/>
          </cell>
          <cell r="U1244" t="str">
            <v/>
          </cell>
          <cell r="V1244" t="str">
            <v/>
          </cell>
          <cell r="W1244" t="str">
            <v/>
          </cell>
          <cell r="Y1244" t="str">
            <v/>
          </cell>
          <cell r="AA1244" t="str">
            <v/>
          </cell>
          <cell r="AB1244">
            <v>0</v>
          </cell>
          <cell r="AC1244">
            <v>0</v>
          </cell>
          <cell r="AI1244" t="str">
            <v/>
          </cell>
          <cell r="AJ1244" t="str">
            <v/>
          </cell>
          <cell r="AK1244">
            <v>0</v>
          </cell>
          <cell r="AL1244">
            <v>0</v>
          </cell>
          <cell r="AM1244">
            <v>0</v>
          </cell>
        </row>
        <row r="1245">
          <cell r="C1245" t="str">
            <v/>
          </cell>
          <cell r="D1245" t="str">
            <v/>
          </cell>
          <cell r="O1245" t="str">
            <v/>
          </cell>
          <cell r="T1245" t="str">
            <v/>
          </cell>
          <cell r="U1245" t="str">
            <v/>
          </cell>
          <cell r="V1245" t="str">
            <v/>
          </cell>
          <cell r="W1245" t="str">
            <v/>
          </cell>
          <cell r="Y1245" t="str">
            <v/>
          </cell>
          <cell r="AA1245" t="str">
            <v/>
          </cell>
          <cell r="AB1245">
            <v>0</v>
          </cell>
          <cell r="AC1245">
            <v>0</v>
          </cell>
          <cell r="AI1245" t="str">
            <v/>
          </cell>
          <cell r="AJ1245" t="str">
            <v/>
          </cell>
          <cell r="AK1245">
            <v>0</v>
          </cell>
          <cell r="AL1245">
            <v>0</v>
          </cell>
          <cell r="AM1245">
            <v>0</v>
          </cell>
        </row>
        <row r="1246">
          <cell r="C1246" t="str">
            <v/>
          </cell>
          <cell r="D1246" t="str">
            <v/>
          </cell>
          <cell r="O1246" t="str">
            <v/>
          </cell>
          <cell r="T1246" t="str">
            <v/>
          </cell>
          <cell r="U1246" t="str">
            <v/>
          </cell>
          <cell r="V1246" t="str">
            <v/>
          </cell>
          <cell r="W1246" t="str">
            <v/>
          </cell>
          <cell r="Y1246" t="str">
            <v/>
          </cell>
          <cell r="AA1246" t="str">
            <v/>
          </cell>
          <cell r="AB1246">
            <v>0</v>
          </cell>
          <cell r="AC1246">
            <v>0</v>
          </cell>
          <cell r="AI1246" t="str">
            <v/>
          </cell>
          <cell r="AJ1246" t="str">
            <v/>
          </cell>
          <cell r="AK1246">
            <v>0</v>
          </cell>
          <cell r="AL1246">
            <v>0</v>
          </cell>
          <cell r="AM1246">
            <v>0</v>
          </cell>
        </row>
        <row r="1247">
          <cell r="C1247" t="str">
            <v/>
          </cell>
          <cell r="D1247" t="str">
            <v/>
          </cell>
          <cell r="O1247" t="str">
            <v/>
          </cell>
          <cell r="T1247" t="str">
            <v/>
          </cell>
          <cell r="U1247" t="str">
            <v/>
          </cell>
          <cell r="V1247" t="str">
            <v/>
          </cell>
          <cell r="W1247" t="str">
            <v/>
          </cell>
          <cell r="Y1247" t="str">
            <v/>
          </cell>
          <cell r="AA1247" t="str">
            <v/>
          </cell>
          <cell r="AB1247">
            <v>0</v>
          </cell>
          <cell r="AC1247">
            <v>0</v>
          </cell>
          <cell r="AI1247" t="str">
            <v/>
          </cell>
          <cell r="AJ1247" t="str">
            <v/>
          </cell>
          <cell r="AK1247">
            <v>0</v>
          </cell>
          <cell r="AL1247">
            <v>0</v>
          </cell>
          <cell r="AM1247">
            <v>0</v>
          </cell>
        </row>
        <row r="1248">
          <cell r="C1248" t="str">
            <v/>
          </cell>
          <cell r="D1248" t="str">
            <v/>
          </cell>
          <cell r="O1248" t="str">
            <v/>
          </cell>
          <cell r="T1248" t="str">
            <v/>
          </cell>
          <cell r="U1248" t="str">
            <v/>
          </cell>
          <cell r="V1248" t="str">
            <v/>
          </cell>
          <cell r="W1248" t="str">
            <v/>
          </cell>
          <cell r="Y1248" t="str">
            <v/>
          </cell>
          <cell r="AA1248" t="str">
            <v/>
          </cell>
          <cell r="AB1248">
            <v>0</v>
          </cell>
          <cell r="AC1248">
            <v>0</v>
          </cell>
          <cell r="AI1248" t="str">
            <v/>
          </cell>
          <cell r="AJ1248" t="str">
            <v/>
          </cell>
          <cell r="AK1248">
            <v>0</v>
          </cell>
          <cell r="AL1248">
            <v>0</v>
          </cell>
          <cell r="AM1248">
            <v>0</v>
          </cell>
        </row>
        <row r="1249">
          <cell r="C1249" t="str">
            <v/>
          </cell>
          <cell r="D1249" t="str">
            <v/>
          </cell>
          <cell r="O1249" t="str">
            <v/>
          </cell>
          <cell r="T1249" t="str">
            <v/>
          </cell>
          <cell r="U1249" t="str">
            <v/>
          </cell>
          <cell r="V1249" t="str">
            <v/>
          </cell>
          <cell r="W1249" t="str">
            <v/>
          </cell>
          <cell r="Y1249" t="str">
            <v/>
          </cell>
          <cell r="AA1249" t="str">
            <v/>
          </cell>
          <cell r="AB1249">
            <v>0</v>
          </cell>
          <cell r="AC1249">
            <v>0</v>
          </cell>
          <cell r="AI1249" t="str">
            <v/>
          </cell>
          <cell r="AJ1249" t="str">
            <v/>
          </cell>
          <cell r="AK1249">
            <v>0</v>
          </cell>
          <cell r="AL1249">
            <v>0</v>
          </cell>
          <cell r="AM1249">
            <v>0</v>
          </cell>
        </row>
        <row r="1250">
          <cell r="C1250" t="str">
            <v/>
          </cell>
          <cell r="D1250" t="str">
            <v/>
          </cell>
          <cell r="O1250" t="str">
            <v/>
          </cell>
          <cell r="T1250" t="str">
            <v/>
          </cell>
          <cell r="U1250" t="str">
            <v/>
          </cell>
          <cell r="V1250" t="str">
            <v/>
          </cell>
          <cell r="W1250" t="str">
            <v/>
          </cell>
          <cell r="Y1250" t="str">
            <v/>
          </cell>
          <cell r="AA1250" t="str">
            <v/>
          </cell>
          <cell r="AB1250">
            <v>0</v>
          </cell>
          <cell r="AC1250">
            <v>0</v>
          </cell>
          <cell r="AI1250" t="str">
            <v/>
          </cell>
          <cell r="AJ1250" t="str">
            <v/>
          </cell>
          <cell r="AK1250">
            <v>0</v>
          </cell>
          <cell r="AL1250">
            <v>0</v>
          </cell>
          <cell r="AM1250">
            <v>0</v>
          </cell>
        </row>
        <row r="1251">
          <cell r="C1251" t="str">
            <v/>
          </cell>
          <cell r="D1251" t="str">
            <v/>
          </cell>
          <cell r="O1251" t="str">
            <v/>
          </cell>
          <cell r="T1251" t="str">
            <v/>
          </cell>
          <cell r="U1251" t="str">
            <v/>
          </cell>
          <cell r="V1251" t="str">
            <v/>
          </cell>
          <cell r="W1251" t="str">
            <v/>
          </cell>
          <cell r="Y1251" t="str">
            <v/>
          </cell>
          <cell r="AA1251" t="str">
            <v/>
          </cell>
          <cell r="AB1251">
            <v>0</v>
          </cell>
          <cell r="AC1251">
            <v>0</v>
          </cell>
          <cell r="AI1251" t="str">
            <v/>
          </cell>
          <cell r="AJ1251" t="str">
            <v/>
          </cell>
          <cell r="AK1251">
            <v>0</v>
          </cell>
          <cell r="AL1251">
            <v>0</v>
          </cell>
          <cell r="AM1251">
            <v>0</v>
          </cell>
        </row>
        <row r="1252">
          <cell r="C1252" t="str">
            <v/>
          </cell>
          <cell r="D1252" t="str">
            <v/>
          </cell>
          <cell r="O1252" t="str">
            <v/>
          </cell>
          <cell r="T1252" t="str">
            <v/>
          </cell>
          <cell r="U1252" t="str">
            <v/>
          </cell>
          <cell r="V1252" t="str">
            <v/>
          </cell>
          <cell r="W1252" t="str">
            <v/>
          </cell>
          <cell r="Y1252" t="str">
            <v/>
          </cell>
          <cell r="AA1252" t="str">
            <v/>
          </cell>
          <cell r="AB1252">
            <v>0</v>
          </cell>
          <cell r="AC1252">
            <v>0</v>
          </cell>
          <cell r="AI1252" t="str">
            <v/>
          </cell>
          <cell r="AJ1252" t="str">
            <v/>
          </cell>
          <cell r="AK1252">
            <v>0</v>
          </cell>
          <cell r="AL1252">
            <v>0</v>
          </cell>
          <cell r="AM1252">
            <v>0</v>
          </cell>
        </row>
        <row r="1253">
          <cell r="C1253" t="str">
            <v/>
          </cell>
          <cell r="D1253" t="str">
            <v/>
          </cell>
          <cell r="O1253" t="str">
            <v/>
          </cell>
          <cell r="T1253" t="str">
            <v/>
          </cell>
          <cell r="U1253" t="str">
            <v/>
          </cell>
          <cell r="V1253" t="str">
            <v/>
          </cell>
          <cell r="W1253" t="str">
            <v/>
          </cell>
          <cell r="Y1253" t="str">
            <v/>
          </cell>
          <cell r="AA1253" t="str">
            <v/>
          </cell>
          <cell r="AB1253">
            <v>0</v>
          </cell>
          <cell r="AC1253">
            <v>0</v>
          </cell>
          <cell r="AI1253" t="str">
            <v/>
          </cell>
          <cell r="AJ1253" t="str">
            <v/>
          </cell>
          <cell r="AK1253">
            <v>0</v>
          </cell>
          <cell r="AL1253">
            <v>0</v>
          </cell>
          <cell r="AM1253">
            <v>0</v>
          </cell>
        </row>
        <row r="1254">
          <cell r="C1254" t="str">
            <v/>
          </cell>
          <cell r="D1254" t="str">
            <v/>
          </cell>
          <cell r="O1254" t="str">
            <v/>
          </cell>
          <cell r="T1254" t="str">
            <v/>
          </cell>
          <cell r="U1254" t="str">
            <v/>
          </cell>
          <cell r="V1254" t="str">
            <v/>
          </cell>
          <cell r="W1254" t="str">
            <v/>
          </cell>
          <cell r="Y1254" t="str">
            <v/>
          </cell>
          <cell r="AA1254" t="str">
            <v/>
          </cell>
          <cell r="AB1254">
            <v>0</v>
          </cell>
          <cell r="AC1254">
            <v>0</v>
          </cell>
          <cell r="AI1254" t="str">
            <v/>
          </cell>
          <cell r="AJ1254" t="str">
            <v/>
          </cell>
          <cell r="AK1254">
            <v>0</v>
          </cell>
          <cell r="AL1254">
            <v>0</v>
          </cell>
          <cell r="AM1254">
            <v>0</v>
          </cell>
        </row>
        <row r="1255">
          <cell r="C1255" t="str">
            <v/>
          </cell>
          <cell r="D1255" t="str">
            <v/>
          </cell>
          <cell r="O1255" t="str">
            <v/>
          </cell>
          <cell r="T1255" t="str">
            <v/>
          </cell>
          <cell r="U1255" t="str">
            <v/>
          </cell>
          <cell r="V1255" t="str">
            <v/>
          </cell>
          <cell r="W1255" t="str">
            <v/>
          </cell>
          <cell r="Y1255" t="str">
            <v/>
          </cell>
          <cell r="AA1255" t="str">
            <v/>
          </cell>
          <cell r="AB1255">
            <v>0</v>
          </cell>
          <cell r="AC1255">
            <v>0</v>
          </cell>
          <cell r="AI1255" t="str">
            <v/>
          </cell>
          <cell r="AJ1255" t="str">
            <v/>
          </cell>
          <cell r="AK1255">
            <v>0</v>
          </cell>
          <cell r="AL1255">
            <v>0</v>
          </cell>
          <cell r="AM1255">
            <v>0</v>
          </cell>
        </row>
        <row r="1256">
          <cell r="C1256" t="str">
            <v/>
          </cell>
          <cell r="D1256" t="str">
            <v/>
          </cell>
          <cell r="O1256" t="str">
            <v/>
          </cell>
          <cell r="T1256" t="str">
            <v/>
          </cell>
          <cell r="U1256" t="str">
            <v/>
          </cell>
          <cell r="V1256" t="str">
            <v/>
          </cell>
          <cell r="W1256" t="str">
            <v/>
          </cell>
          <cell r="Y1256" t="str">
            <v/>
          </cell>
          <cell r="AA1256" t="str">
            <v/>
          </cell>
          <cell r="AB1256">
            <v>0</v>
          </cell>
          <cell r="AC1256">
            <v>0</v>
          </cell>
          <cell r="AI1256" t="str">
            <v/>
          </cell>
          <cell r="AJ1256" t="str">
            <v/>
          </cell>
          <cell r="AK1256">
            <v>0</v>
          </cell>
          <cell r="AL1256">
            <v>0</v>
          </cell>
          <cell r="AM1256">
            <v>0</v>
          </cell>
        </row>
        <row r="1257">
          <cell r="C1257" t="str">
            <v/>
          </cell>
          <cell r="D1257" t="str">
            <v/>
          </cell>
          <cell r="O1257" t="str">
            <v/>
          </cell>
          <cell r="T1257" t="str">
            <v/>
          </cell>
          <cell r="U1257" t="str">
            <v/>
          </cell>
          <cell r="V1257" t="str">
            <v/>
          </cell>
          <cell r="W1257" t="str">
            <v/>
          </cell>
          <cell r="Y1257" t="str">
            <v/>
          </cell>
          <cell r="AA1257" t="str">
            <v/>
          </cell>
          <cell r="AB1257">
            <v>0</v>
          </cell>
          <cell r="AC1257">
            <v>0</v>
          </cell>
          <cell r="AI1257" t="str">
            <v/>
          </cell>
          <cell r="AJ1257" t="str">
            <v/>
          </cell>
          <cell r="AK1257">
            <v>0</v>
          </cell>
          <cell r="AL1257">
            <v>0</v>
          </cell>
          <cell r="AM1257">
            <v>0</v>
          </cell>
        </row>
        <row r="1258">
          <cell r="C1258" t="str">
            <v/>
          </cell>
          <cell r="D1258" t="str">
            <v/>
          </cell>
          <cell r="O1258" t="str">
            <v/>
          </cell>
          <cell r="T1258" t="str">
            <v/>
          </cell>
          <cell r="U1258" t="str">
            <v/>
          </cell>
          <cell r="V1258" t="str">
            <v/>
          </cell>
          <cell r="W1258" t="str">
            <v/>
          </cell>
          <cell r="Y1258" t="str">
            <v/>
          </cell>
          <cell r="AA1258" t="str">
            <v/>
          </cell>
          <cell r="AB1258">
            <v>0</v>
          </cell>
          <cell r="AC1258">
            <v>0</v>
          </cell>
          <cell r="AI1258" t="str">
            <v/>
          </cell>
          <cell r="AJ1258" t="str">
            <v/>
          </cell>
          <cell r="AK1258">
            <v>0</v>
          </cell>
          <cell r="AL1258">
            <v>0</v>
          </cell>
          <cell r="AM1258">
            <v>0</v>
          </cell>
        </row>
        <row r="1259">
          <cell r="C1259" t="str">
            <v/>
          </cell>
          <cell r="D1259" t="str">
            <v/>
          </cell>
          <cell r="O1259" t="str">
            <v/>
          </cell>
          <cell r="T1259" t="str">
            <v/>
          </cell>
          <cell r="U1259" t="str">
            <v/>
          </cell>
          <cell r="V1259" t="str">
            <v/>
          </cell>
          <cell r="W1259" t="str">
            <v/>
          </cell>
          <cell r="Y1259" t="str">
            <v/>
          </cell>
          <cell r="AA1259" t="str">
            <v/>
          </cell>
          <cell r="AB1259">
            <v>0</v>
          </cell>
          <cell r="AC1259">
            <v>0</v>
          </cell>
          <cell r="AI1259" t="str">
            <v/>
          </cell>
          <cell r="AJ1259" t="str">
            <v/>
          </cell>
          <cell r="AK1259">
            <v>0</v>
          </cell>
          <cell r="AL1259">
            <v>0</v>
          </cell>
          <cell r="AM1259">
            <v>0</v>
          </cell>
        </row>
        <row r="1260">
          <cell r="C1260" t="str">
            <v/>
          </cell>
          <cell r="D1260" t="str">
            <v/>
          </cell>
          <cell r="O1260" t="str">
            <v/>
          </cell>
          <cell r="T1260" t="str">
            <v/>
          </cell>
          <cell r="U1260" t="str">
            <v/>
          </cell>
          <cell r="V1260" t="str">
            <v/>
          </cell>
          <cell r="W1260" t="str">
            <v/>
          </cell>
          <cell r="Y1260" t="str">
            <v/>
          </cell>
          <cell r="AA1260" t="str">
            <v/>
          </cell>
          <cell r="AB1260">
            <v>0</v>
          </cell>
          <cell r="AC1260">
            <v>0</v>
          </cell>
          <cell r="AI1260" t="str">
            <v/>
          </cell>
          <cell r="AJ1260" t="str">
            <v/>
          </cell>
          <cell r="AK1260">
            <v>0</v>
          </cell>
          <cell r="AL1260">
            <v>0</v>
          </cell>
          <cell r="AM1260">
            <v>0</v>
          </cell>
        </row>
        <row r="1261">
          <cell r="C1261" t="str">
            <v/>
          </cell>
          <cell r="D1261" t="str">
            <v/>
          </cell>
          <cell r="O1261" t="str">
            <v/>
          </cell>
          <cell r="T1261" t="str">
            <v/>
          </cell>
          <cell r="U1261" t="str">
            <v/>
          </cell>
          <cell r="V1261" t="str">
            <v/>
          </cell>
          <cell r="W1261" t="str">
            <v/>
          </cell>
          <cell r="Y1261" t="str">
            <v/>
          </cell>
          <cell r="AA1261" t="str">
            <v/>
          </cell>
          <cell r="AB1261">
            <v>0</v>
          </cell>
          <cell r="AC1261">
            <v>0</v>
          </cell>
          <cell r="AI1261" t="str">
            <v/>
          </cell>
          <cell r="AJ1261" t="str">
            <v/>
          </cell>
          <cell r="AK1261">
            <v>0</v>
          </cell>
          <cell r="AL1261">
            <v>0</v>
          </cell>
          <cell r="AM1261">
            <v>0</v>
          </cell>
        </row>
        <row r="1262">
          <cell r="C1262" t="str">
            <v/>
          </cell>
          <cell r="D1262" t="str">
            <v/>
          </cell>
          <cell r="O1262" t="str">
            <v/>
          </cell>
          <cell r="T1262" t="str">
            <v/>
          </cell>
          <cell r="U1262" t="str">
            <v/>
          </cell>
          <cell r="V1262" t="str">
            <v/>
          </cell>
          <cell r="W1262" t="str">
            <v/>
          </cell>
          <cell r="Y1262" t="str">
            <v/>
          </cell>
          <cell r="AA1262" t="str">
            <v/>
          </cell>
          <cell r="AB1262">
            <v>0</v>
          </cell>
          <cell r="AC1262">
            <v>0</v>
          </cell>
          <cell r="AI1262" t="str">
            <v/>
          </cell>
          <cell r="AJ1262" t="str">
            <v/>
          </cell>
          <cell r="AK1262">
            <v>0</v>
          </cell>
          <cell r="AL1262">
            <v>0</v>
          </cell>
          <cell r="AM1262">
            <v>0</v>
          </cell>
        </row>
        <row r="1263">
          <cell r="C1263" t="str">
            <v/>
          </cell>
          <cell r="D1263" t="str">
            <v/>
          </cell>
          <cell r="O1263" t="str">
            <v/>
          </cell>
          <cell r="T1263" t="str">
            <v/>
          </cell>
          <cell r="U1263" t="str">
            <v/>
          </cell>
          <cell r="V1263" t="str">
            <v/>
          </cell>
          <cell r="W1263" t="str">
            <v/>
          </cell>
          <cell r="Y1263" t="str">
            <v/>
          </cell>
          <cell r="AA1263" t="str">
            <v/>
          </cell>
          <cell r="AB1263">
            <v>0</v>
          </cell>
          <cell r="AC1263">
            <v>0</v>
          </cell>
          <cell r="AI1263" t="str">
            <v/>
          </cell>
          <cell r="AJ1263" t="str">
            <v/>
          </cell>
          <cell r="AK1263">
            <v>0</v>
          </cell>
          <cell r="AL1263">
            <v>0</v>
          </cell>
          <cell r="AM1263">
            <v>0</v>
          </cell>
        </row>
        <row r="1264">
          <cell r="C1264" t="str">
            <v/>
          </cell>
          <cell r="D1264" t="str">
            <v/>
          </cell>
          <cell r="O1264" t="str">
            <v/>
          </cell>
          <cell r="T1264" t="str">
            <v/>
          </cell>
          <cell r="U1264" t="str">
            <v/>
          </cell>
          <cell r="V1264" t="str">
            <v/>
          </cell>
          <cell r="W1264" t="str">
            <v/>
          </cell>
          <cell r="Y1264" t="str">
            <v/>
          </cell>
          <cell r="AA1264" t="str">
            <v/>
          </cell>
          <cell r="AB1264">
            <v>0</v>
          </cell>
          <cell r="AC1264">
            <v>0</v>
          </cell>
          <cell r="AI1264" t="str">
            <v/>
          </cell>
          <cell r="AJ1264" t="str">
            <v/>
          </cell>
          <cell r="AK1264">
            <v>0</v>
          </cell>
          <cell r="AL1264">
            <v>0</v>
          </cell>
          <cell r="AM1264">
            <v>0</v>
          </cell>
        </row>
        <row r="1265">
          <cell r="C1265" t="str">
            <v/>
          </cell>
          <cell r="D1265" t="str">
            <v/>
          </cell>
          <cell r="O1265" t="str">
            <v/>
          </cell>
          <cell r="T1265" t="str">
            <v/>
          </cell>
          <cell r="U1265" t="str">
            <v/>
          </cell>
          <cell r="V1265" t="str">
            <v/>
          </cell>
          <cell r="W1265" t="str">
            <v/>
          </cell>
          <cell r="Y1265" t="str">
            <v/>
          </cell>
          <cell r="AA1265" t="str">
            <v/>
          </cell>
          <cell r="AB1265">
            <v>0</v>
          </cell>
          <cell r="AC1265">
            <v>0</v>
          </cell>
          <cell r="AI1265" t="str">
            <v/>
          </cell>
          <cell r="AJ1265" t="str">
            <v/>
          </cell>
          <cell r="AK1265">
            <v>0</v>
          </cell>
          <cell r="AL1265">
            <v>0</v>
          </cell>
          <cell r="AM1265">
            <v>0</v>
          </cell>
        </row>
        <row r="1266">
          <cell r="C1266" t="str">
            <v/>
          </cell>
          <cell r="D1266" t="str">
            <v/>
          </cell>
          <cell r="O1266" t="str">
            <v/>
          </cell>
          <cell r="T1266" t="str">
            <v/>
          </cell>
          <cell r="U1266" t="str">
            <v/>
          </cell>
          <cell r="V1266" t="str">
            <v/>
          </cell>
          <cell r="W1266" t="str">
            <v/>
          </cell>
          <cell r="Y1266" t="str">
            <v/>
          </cell>
          <cell r="AA1266" t="str">
            <v/>
          </cell>
          <cell r="AB1266">
            <v>0</v>
          </cell>
          <cell r="AC1266">
            <v>0</v>
          </cell>
          <cell r="AI1266" t="str">
            <v/>
          </cell>
          <cell r="AJ1266" t="str">
            <v/>
          </cell>
          <cell r="AK1266">
            <v>0</v>
          </cell>
          <cell r="AL1266">
            <v>0</v>
          </cell>
          <cell r="AM1266">
            <v>0</v>
          </cell>
        </row>
        <row r="1267">
          <cell r="C1267" t="str">
            <v/>
          </cell>
          <cell r="D1267" t="str">
            <v/>
          </cell>
          <cell r="O1267" t="str">
            <v/>
          </cell>
          <cell r="T1267" t="str">
            <v/>
          </cell>
          <cell r="U1267" t="str">
            <v/>
          </cell>
          <cell r="V1267" t="str">
            <v/>
          </cell>
          <cell r="W1267" t="str">
            <v/>
          </cell>
          <cell r="Y1267" t="str">
            <v/>
          </cell>
          <cell r="AA1267" t="str">
            <v/>
          </cell>
          <cell r="AB1267">
            <v>0</v>
          </cell>
          <cell r="AC1267">
            <v>0</v>
          </cell>
          <cell r="AI1267" t="str">
            <v/>
          </cell>
          <cell r="AJ1267" t="str">
            <v/>
          </cell>
          <cell r="AK1267">
            <v>0</v>
          </cell>
          <cell r="AL1267">
            <v>0</v>
          </cell>
          <cell r="AM1267">
            <v>0</v>
          </cell>
        </row>
        <row r="1268">
          <cell r="C1268" t="str">
            <v/>
          </cell>
          <cell r="D1268" t="str">
            <v/>
          </cell>
          <cell r="O1268" t="str">
            <v/>
          </cell>
          <cell r="T1268" t="str">
            <v/>
          </cell>
          <cell r="U1268" t="str">
            <v/>
          </cell>
          <cell r="V1268" t="str">
            <v/>
          </cell>
          <cell r="W1268" t="str">
            <v/>
          </cell>
          <cell r="Y1268" t="str">
            <v/>
          </cell>
          <cell r="AA1268" t="str">
            <v/>
          </cell>
          <cell r="AB1268">
            <v>0</v>
          </cell>
          <cell r="AC1268">
            <v>0</v>
          </cell>
          <cell r="AI1268" t="str">
            <v/>
          </cell>
          <cell r="AJ1268" t="str">
            <v/>
          </cell>
          <cell r="AK1268">
            <v>0</v>
          </cell>
          <cell r="AL1268">
            <v>0</v>
          </cell>
          <cell r="AM1268">
            <v>0</v>
          </cell>
        </row>
        <row r="1269">
          <cell r="C1269" t="str">
            <v/>
          </cell>
          <cell r="D1269" t="str">
            <v/>
          </cell>
          <cell r="O1269" t="str">
            <v/>
          </cell>
          <cell r="T1269" t="str">
            <v/>
          </cell>
          <cell r="U1269" t="str">
            <v/>
          </cell>
          <cell r="V1269" t="str">
            <v/>
          </cell>
          <cell r="W1269" t="str">
            <v/>
          </cell>
          <cell r="Y1269" t="str">
            <v/>
          </cell>
          <cell r="AA1269" t="str">
            <v/>
          </cell>
          <cell r="AB1269">
            <v>0</v>
          </cell>
          <cell r="AC1269">
            <v>0</v>
          </cell>
          <cell r="AI1269" t="str">
            <v/>
          </cell>
          <cell r="AJ1269" t="str">
            <v/>
          </cell>
          <cell r="AK1269">
            <v>0</v>
          </cell>
          <cell r="AL1269">
            <v>0</v>
          </cell>
          <cell r="AM1269">
            <v>0</v>
          </cell>
        </row>
        <row r="1270">
          <cell r="C1270" t="str">
            <v/>
          </cell>
          <cell r="D1270" t="str">
            <v/>
          </cell>
          <cell r="O1270" t="str">
            <v/>
          </cell>
          <cell r="T1270" t="str">
            <v/>
          </cell>
          <cell r="U1270" t="str">
            <v/>
          </cell>
          <cell r="V1270" t="str">
            <v/>
          </cell>
          <cell r="W1270" t="str">
            <v/>
          </cell>
          <cell r="Y1270" t="str">
            <v/>
          </cell>
          <cell r="AA1270" t="str">
            <v/>
          </cell>
          <cell r="AB1270">
            <v>0</v>
          </cell>
          <cell r="AC1270">
            <v>0</v>
          </cell>
          <cell r="AI1270" t="str">
            <v/>
          </cell>
          <cell r="AJ1270" t="str">
            <v/>
          </cell>
          <cell r="AK1270">
            <v>0</v>
          </cell>
          <cell r="AL1270">
            <v>0</v>
          </cell>
          <cell r="AM1270">
            <v>0</v>
          </cell>
        </row>
        <row r="1271">
          <cell r="C1271" t="str">
            <v/>
          </cell>
          <cell r="D1271" t="str">
            <v/>
          </cell>
          <cell r="O1271" t="str">
            <v/>
          </cell>
          <cell r="T1271" t="str">
            <v/>
          </cell>
          <cell r="U1271" t="str">
            <v/>
          </cell>
          <cell r="V1271" t="str">
            <v/>
          </cell>
          <cell r="W1271" t="str">
            <v/>
          </cell>
          <cell r="Y1271" t="str">
            <v/>
          </cell>
          <cell r="AA1271" t="str">
            <v/>
          </cell>
          <cell r="AB1271">
            <v>0</v>
          </cell>
          <cell r="AC1271">
            <v>0</v>
          </cell>
          <cell r="AI1271" t="str">
            <v/>
          </cell>
          <cell r="AJ1271" t="str">
            <v/>
          </cell>
          <cell r="AK1271">
            <v>0</v>
          </cell>
          <cell r="AL1271">
            <v>0</v>
          </cell>
          <cell r="AM1271">
            <v>0</v>
          </cell>
        </row>
        <row r="1272">
          <cell r="C1272" t="str">
            <v/>
          </cell>
          <cell r="D1272" t="str">
            <v/>
          </cell>
          <cell r="O1272" t="str">
            <v/>
          </cell>
          <cell r="T1272" t="str">
            <v/>
          </cell>
          <cell r="U1272" t="str">
            <v/>
          </cell>
          <cell r="V1272" t="str">
            <v/>
          </cell>
          <cell r="W1272" t="str">
            <v/>
          </cell>
          <cell r="Y1272" t="str">
            <v/>
          </cell>
          <cell r="AA1272" t="str">
            <v/>
          </cell>
          <cell r="AB1272">
            <v>0</v>
          </cell>
          <cell r="AC1272">
            <v>0</v>
          </cell>
          <cell r="AI1272" t="str">
            <v/>
          </cell>
          <cell r="AJ1272" t="str">
            <v/>
          </cell>
          <cell r="AK1272">
            <v>0</v>
          </cell>
          <cell r="AL1272">
            <v>0</v>
          </cell>
          <cell r="AM1272">
            <v>0</v>
          </cell>
        </row>
        <row r="1273">
          <cell r="C1273" t="str">
            <v/>
          </cell>
          <cell r="D1273" t="str">
            <v/>
          </cell>
          <cell r="O1273" t="str">
            <v/>
          </cell>
          <cell r="T1273" t="str">
            <v/>
          </cell>
          <cell r="U1273" t="str">
            <v/>
          </cell>
          <cell r="V1273" t="str">
            <v/>
          </cell>
          <cell r="W1273" t="str">
            <v/>
          </cell>
          <cell r="Y1273" t="str">
            <v/>
          </cell>
          <cell r="AA1273" t="str">
            <v/>
          </cell>
          <cell r="AB1273">
            <v>0</v>
          </cell>
          <cell r="AC1273">
            <v>0</v>
          </cell>
          <cell r="AI1273" t="str">
            <v/>
          </cell>
          <cell r="AJ1273" t="str">
            <v/>
          </cell>
          <cell r="AK1273">
            <v>0</v>
          </cell>
          <cell r="AL1273">
            <v>0</v>
          </cell>
          <cell r="AM1273">
            <v>0</v>
          </cell>
        </row>
        <row r="1274">
          <cell r="C1274" t="str">
            <v/>
          </cell>
          <cell r="D1274" t="str">
            <v/>
          </cell>
          <cell r="O1274" t="str">
            <v/>
          </cell>
          <cell r="T1274" t="str">
            <v/>
          </cell>
          <cell r="U1274" t="str">
            <v/>
          </cell>
          <cell r="V1274" t="str">
            <v/>
          </cell>
          <cell r="W1274" t="str">
            <v/>
          </cell>
          <cell r="Y1274" t="str">
            <v/>
          </cell>
          <cell r="AA1274" t="str">
            <v/>
          </cell>
          <cell r="AB1274">
            <v>0</v>
          </cell>
          <cell r="AC1274">
            <v>0</v>
          </cell>
          <cell r="AI1274" t="str">
            <v/>
          </cell>
          <cell r="AJ1274" t="str">
            <v/>
          </cell>
          <cell r="AK1274">
            <v>0</v>
          </cell>
          <cell r="AL1274">
            <v>0</v>
          </cell>
          <cell r="AM1274">
            <v>0</v>
          </cell>
        </row>
        <row r="1275">
          <cell r="C1275" t="str">
            <v/>
          </cell>
          <cell r="D1275" t="str">
            <v/>
          </cell>
          <cell r="O1275" t="str">
            <v/>
          </cell>
          <cell r="T1275" t="str">
            <v/>
          </cell>
          <cell r="U1275" t="str">
            <v/>
          </cell>
          <cell r="V1275" t="str">
            <v/>
          </cell>
          <cell r="W1275" t="str">
            <v/>
          </cell>
          <cell r="Y1275" t="str">
            <v/>
          </cell>
          <cell r="AA1275" t="str">
            <v/>
          </cell>
          <cell r="AB1275">
            <v>0</v>
          </cell>
          <cell r="AC1275">
            <v>0</v>
          </cell>
          <cell r="AI1275" t="str">
            <v/>
          </cell>
          <cell r="AJ1275" t="str">
            <v/>
          </cell>
          <cell r="AK1275">
            <v>0</v>
          </cell>
          <cell r="AL1275">
            <v>0</v>
          </cell>
          <cell r="AM1275">
            <v>0</v>
          </cell>
        </row>
        <row r="1276">
          <cell r="C1276" t="str">
            <v/>
          </cell>
          <cell r="D1276" t="str">
            <v/>
          </cell>
          <cell r="O1276" t="str">
            <v/>
          </cell>
          <cell r="T1276" t="str">
            <v/>
          </cell>
          <cell r="U1276" t="str">
            <v/>
          </cell>
          <cell r="V1276" t="str">
            <v/>
          </cell>
          <cell r="W1276" t="str">
            <v/>
          </cell>
          <cell r="Y1276" t="str">
            <v/>
          </cell>
          <cell r="AA1276" t="str">
            <v/>
          </cell>
          <cell r="AB1276">
            <v>0</v>
          </cell>
          <cell r="AC1276">
            <v>0</v>
          </cell>
          <cell r="AI1276" t="str">
            <v/>
          </cell>
          <cell r="AJ1276" t="str">
            <v/>
          </cell>
          <cell r="AK1276">
            <v>0</v>
          </cell>
          <cell r="AL1276">
            <v>0</v>
          </cell>
          <cell r="AM1276">
            <v>0</v>
          </cell>
        </row>
        <row r="1277">
          <cell r="C1277" t="str">
            <v/>
          </cell>
          <cell r="D1277" t="str">
            <v/>
          </cell>
          <cell r="O1277" t="str">
            <v/>
          </cell>
          <cell r="T1277" t="str">
            <v/>
          </cell>
          <cell r="U1277" t="str">
            <v/>
          </cell>
          <cell r="V1277" t="str">
            <v/>
          </cell>
          <cell r="W1277" t="str">
            <v/>
          </cell>
          <cell r="Y1277" t="str">
            <v/>
          </cell>
          <cell r="AA1277" t="str">
            <v/>
          </cell>
          <cell r="AB1277">
            <v>0</v>
          </cell>
          <cell r="AC1277">
            <v>0</v>
          </cell>
          <cell r="AI1277" t="str">
            <v/>
          </cell>
          <cell r="AJ1277" t="str">
            <v/>
          </cell>
          <cell r="AK1277">
            <v>0</v>
          </cell>
          <cell r="AL1277">
            <v>0</v>
          </cell>
          <cell r="AM1277">
            <v>0</v>
          </cell>
        </row>
        <row r="1278">
          <cell r="C1278" t="str">
            <v/>
          </cell>
          <cell r="D1278" t="str">
            <v/>
          </cell>
          <cell r="O1278" t="str">
            <v/>
          </cell>
          <cell r="T1278" t="str">
            <v/>
          </cell>
          <cell r="U1278" t="str">
            <v/>
          </cell>
          <cell r="V1278" t="str">
            <v/>
          </cell>
          <cell r="W1278" t="str">
            <v/>
          </cell>
          <cell r="Y1278" t="str">
            <v/>
          </cell>
          <cell r="AA1278" t="str">
            <v/>
          </cell>
          <cell r="AB1278">
            <v>0</v>
          </cell>
          <cell r="AC1278">
            <v>0</v>
          </cell>
          <cell r="AI1278" t="str">
            <v/>
          </cell>
          <cell r="AJ1278" t="str">
            <v/>
          </cell>
          <cell r="AK1278">
            <v>0</v>
          </cell>
          <cell r="AL1278">
            <v>0</v>
          </cell>
          <cell r="AM1278">
            <v>0</v>
          </cell>
        </row>
        <row r="1279">
          <cell r="C1279" t="str">
            <v/>
          </cell>
          <cell r="D1279" t="str">
            <v/>
          </cell>
          <cell r="O1279" t="str">
            <v/>
          </cell>
          <cell r="T1279" t="str">
            <v/>
          </cell>
          <cell r="U1279" t="str">
            <v/>
          </cell>
          <cell r="V1279" t="str">
            <v/>
          </cell>
          <cell r="W1279" t="str">
            <v/>
          </cell>
          <cell r="Y1279" t="str">
            <v/>
          </cell>
          <cell r="AA1279" t="str">
            <v/>
          </cell>
          <cell r="AB1279">
            <v>0</v>
          </cell>
          <cell r="AC1279">
            <v>0</v>
          </cell>
          <cell r="AI1279" t="str">
            <v/>
          </cell>
          <cell r="AJ1279" t="str">
            <v/>
          </cell>
          <cell r="AK1279">
            <v>0</v>
          </cell>
          <cell r="AL1279">
            <v>0</v>
          </cell>
          <cell r="AM1279">
            <v>0</v>
          </cell>
        </row>
        <row r="1280">
          <cell r="C1280" t="str">
            <v/>
          </cell>
          <cell r="D1280" t="str">
            <v/>
          </cell>
          <cell r="O1280" t="str">
            <v/>
          </cell>
          <cell r="T1280" t="str">
            <v/>
          </cell>
          <cell r="U1280" t="str">
            <v/>
          </cell>
          <cell r="V1280" t="str">
            <v/>
          </cell>
          <cell r="W1280" t="str">
            <v/>
          </cell>
          <cell r="Y1280" t="str">
            <v/>
          </cell>
          <cell r="AA1280" t="str">
            <v/>
          </cell>
          <cell r="AB1280">
            <v>0</v>
          </cell>
          <cell r="AC1280">
            <v>0</v>
          </cell>
          <cell r="AI1280" t="str">
            <v/>
          </cell>
          <cell r="AJ1280" t="str">
            <v/>
          </cell>
          <cell r="AK1280">
            <v>0</v>
          </cell>
          <cell r="AL1280">
            <v>0</v>
          </cell>
          <cell r="AM1280">
            <v>0</v>
          </cell>
        </row>
        <row r="1281">
          <cell r="C1281" t="str">
            <v/>
          </cell>
          <cell r="D1281" t="str">
            <v/>
          </cell>
          <cell r="O1281" t="str">
            <v/>
          </cell>
          <cell r="T1281" t="str">
            <v/>
          </cell>
          <cell r="U1281" t="str">
            <v/>
          </cell>
          <cell r="V1281" t="str">
            <v/>
          </cell>
          <cell r="W1281" t="str">
            <v/>
          </cell>
          <cell r="Y1281" t="str">
            <v/>
          </cell>
          <cell r="AA1281" t="str">
            <v/>
          </cell>
          <cell r="AB1281">
            <v>0</v>
          </cell>
          <cell r="AC1281">
            <v>0</v>
          </cell>
          <cell r="AI1281" t="str">
            <v/>
          </cell>
          <cell r="AJ1281" t="str">
            <v/>
          </cell>
          <cell r="AK1281">
            <v>0</v>
          </cell>
          <cell r="AL1281">
            <v>0</v>
          </cell>
          <cell r="AM1281">
            <v>0</v>
          </cell>
        </row>
        <row r="1282">
          <cell r="C1282" t="str">
            <v/>
          </cell>
          <cell r="D1282" t="str">
            <v/>
          </cell>
          <cell r="O1282" t="str">
            <v/>
          </cell>
          <cell r="T1282" t="str">
            <v/>
          </cell>
          <cell r="U1282" t="str">
            <v/>
          </cell>
          <cell r="V1282" t="str">
            <v/>
          </cell>
          <cell r="W1282" t="str">
            <v/>
          </cell>
          <cell r="Y1282" t="str">
            <v/>
          </cell>
          <cell r="AA1282" t="str">
            <v/>
          </cell>
          <cell r="AB1282">
            <v>0</v>
          </cell>
          <cell r="AC1282">
            <v>0</v>
          </cell>
          <cell r="AI1282" t="str">
            <v/>
          </cell>
          <cell r="AJ1282" t="str">
            <v/>
          </cell>
          <cell r="AK1282">
            <v>0</v>
          </cell>
          <cell r="AL1282">
            <v>0</v>
          </cell>
          <cell r="AM1282">
            <v>0</v>
          </cell>
        </row>
        <row r="1283">
          <cell r="C1283" t="str">
            <v/>
          </cell>
          <cell r="D1283" t="str">
            <v/>
          </cell>
          <cell r="O1283" t="str">
            <v/>
          </cell>
          <cell r="T1283" t="str">
            <v/>
          </cell>
          <cell r="U1283" t="str">
            <v/>
          </cell>
          <cell r="V1283" t="str">
            <v/>
          </cell>
          <cell r="W1283" t="str">
            <v/>
          </cell>
          <cell r="Y1283" t="str">
            <v/>
          </cell>
          <cell r="AA1283" t="str">
            <v/>
          </cell>
          <cell r="AB1283">
            <v>0</v>
          </cell>
          <cell r="AC1283">
            <v>0</v>
          </cell>
          <cell r="AI1283" t="str">
            <v/>
          </cell>
          <cell r="AJ1283" t="str">
            <v/>
          </cell>
          <cell r="AK1283">
            <v>0</v>
          </cell>
          <cell r="AL1283">
            <v>0</v>
          </cell>
          <cell r="AM1283">
            <v>0</v>
          </cell>
        </row>
        <row r="1284">
          <cell r="C1284" t="str">
            <v/>
          </cell>
          <cell r="D1284" t="str">
            <v/>
          </cell>
          <cell r="O1284" t="str">
            <v/>
          </cell>
          <cell r="T1284" t="str">
            <v/>
          </cell>
          <cell r="U1284" t="str">
            <v/>
          </cell>
          <cell r="V1284" t="str">
            <v/>
          </cell>
          <cell r="W1284" t="str">
            <v/>
          </cell>
          <cell r="Y1284" t="str">
            <v/>
          </cell>
          <cell r="AA1284" t="str">
            <v/>
          </cell>
          <cell r="AB1284">
            <v>0</v>
          </cell>
          <cell r="AC1284">
            <v>0</v>
          </cell>
          <cell r="AI1284" t="str">
            <v/>
          </cell>
          <cell r="AJ1284" t="str">
            <v/>
          </cell>
          <cell r="AK1284">
            <v>0</v>
          </cell>
          <cell r="AL1284">
            <v>0</v>
          </cell>
          <cell r="AM1284">
            <v>0</v>
          </cell>
        </row>
        <row r="1285">
          <cell r="C1285" t="str">
            <v/>
          </cell>
          <cell r="D1285" t="str">
            <v/>
          </cell>
          <cell r="O1285" t="str">
            <v/>
          </cell>
          <cell r="T1285" t="str">
            <v/>
          </cell>
          <cell r="U1285" t="str">
            <v/>
          </cell>
          <cell r="V1285" t="str">
            <v/>
          </cell>
          <cell r="W1285" t="str">
            <v/>
          </cell>
          <cell r="Y1285" t="str">
            <v/>
          </cell>
          <cell r="AA1285" t="str">
            <v/>
          </cell>
          <cell r="AB1285">
            <v>0</v>
          </cell>
          <cell r="AC1285">
            <v>0</v>
          </cell>
          <cell r="AI1285" t="str">
            <v/>
          </cell>
          <cell r="AJ1285" t="str">
            <v/>
          </cell>
          <cell r="AK1285">
            <v>0</v>
          </cell>
          <cell r="AL1285">
            <v>0</v>
          </cell>
          <cell r="AM1285">
            <v>0</v>
          </cell>
        </row>
        <row r="1286">
          <cell r="C1286" t="str">
            <v/>
          </cell>
          <cell r="D1286" t="str">
            <v/>
          </cell>
          <cell r="O1286" t="str">
            <v/>
          </cell>
          <cell r="T1286" t="str">
            <v/>
          </cell>
          <cell r="U1286" t="str">
            <v/>
          </cell>
          <cell r="V1286" t="str">
            <v/>
          </cell>
          <cell r="W1286" t="str">
            <v/>
          </cell>
          <cell r="Y1286" t="str">
            <v/>
          </cell>
          <cell r="AA1286" t="str">
            <v/>
          </cell>
          <cell r="AB1286">
            <v>0</v>
          </cell>
          <cell r="AC1286">
            <v>0</v>
          </cell>
          <cell r="AI1286" t="str">
            <v/>
          </cell>
          <cell r="AJ1286" t="str">
            <v/>
          </cell>
          <cell r="AK1286">
            <v>0</v>
          </cell>
          <cell r="AL1286">
            <v>0</v>
          </cell>
          <cell r="AM1286">
            <v>0</v>
          </cell>
        </row>
        <row r="1287">
          <cell r="C1287" t="str">
            <v/>
          </cell>
          <cell r="D1287" t="str">
            <v/>
          </cell>
          <cell r="O1287" t="str">
            <v/>
          </cell>
          <cell r="T1287" t="str">
            <v/>
          </cell>
          <cell r="U1287" t="str">
            <v/>
          </cell>
          <cell r="V1287" t="str">
            <v/>
          </cell>
          <cell r="W1287" t="str">
            <v/>
          </cell>
          <cell r="Y1287" t="str">
            <v/>
          </cell>
          <cell r="AA1287" t="str">
            <v/>
          </cell>
          <cell r="AB1287">
            <v>0</v>
          </cell>
          <cell r="AC1287">
            <v>0</v>
          </cell>
          <cell r="AI1287" t="str">
            <v/>
          </cell>
          <cell r="AJ1287" t="str">
            <v/>
          </cell>
          <cell r="AK1287">
            <v>0</v>
          </cell>
          <cell r="AL1287">
            <v>0</v>
          </cell>
          <cell r="AM1287">
            <v>0</v>
          </cell>
        </row>
        <row r="1288">
          <cell r="C1288" t="str">
            <v/>
          </cell>
          <cell r="D1288" t="str">
            <v/>
          </cell>
          <cell r="O1288" t="str">
            <v/>
          </cell>
          <cell r="T1288" t="str">
            <v/>
          </cell>
          <cell r="U1288" t="str">
            <v/>
          </cell>
          <cell r="V1288" t="str">
            <v/>
          </cell>
          <cell r="W1288" t="str">
            <v/>
          </cell>
          <cell r="Y1288" t="str">
            <v/>
          </cell>
          <cell r="AA1288" t="str">
            <v/>
          </cell>
          <cell r="AB1288">
            <v>0</v>
          </cell>
          <cell r="AC1288">
            <v>0</v>
          </cell>
          <cell r="AI1288" t="str">
            <v/>
          </cell>
          <cell r="AJ1288" t="str">
            <v/>
          </cell>
          <cell r="AK1288">
            <v>0</v>
          </cell>
          <cell r="AL1288">
            <v>0</v>
          </cell>
          <cell r="AM1288">
            <v>0</v>
          </cell>
        </row>
        <row r="1289">
          <cell r="C1289" t="str">
            <v/>
          </cell>
          <cell r="D1289" t="str">
            <v/>
          </cell>
          <cell r="O1289" t="str">
            <v/>
          </cell>
          <cell r="T1289" t="str">
            <v/>
          </cell>
          <cell r="U1289" t="str">
            <v/>
          </cell>
          <cell r="V1289" t="str">
            <v/>
          </cell>
          <cell r="W1289" t="str">
            <v/>
          </cell>
          <cell r="Y1289" t="str">
            <v/>
          </cell>
          <cell r="AA1289" t="str">
            <v/>
          </cell>
          <cell r="AB1289">
            <v>0</v>
          </cell>
          <cell r="AC1289">
            <v>0</v>
          </cell>
          <cell r="AI1289" t="str">
            <v/>
          </cell>
          <cell r="AJ1289" t="str">
            <v/>
          </cell>
          <cell r="AK1289">
            <v>0</v>
          </cell>
          <cell r="AL1289">
            <v>0</v>
          </cell>
          <cell r="AM1289">
            <v>0</v>
          </cell>
        </row>
        <row r="1290">
          <cell r="C1290" t="str">
            <v/>
          </cell>
          <cell r="D1290" t="str">
            <v/>
          </cell>
          <cell r="O1290" t="str">
            <v/>
          </cell>
          <cell r="T1290" t="str">
            <v/>
          </cell>
          <cell r="U1290" t="str">
            <v/>
          </cell>
          <cell r="V1290" t="str">
            <v/>
          </cell>
          <cell r="W1290" t="str">
            <v/>
          </cell>
          <cell r="Y1290" t="str">
            <v/>
          </cell>
          <cell r="AA1290" t="str">
            <v/>
          </cell>
          <cell r="AB1290">
            <v>0</v>
          </cell>
          <cell r="AC1290">
            <v>0</v>
          </cell>
          <cell r="AI1290" t="str">
            <v/>
          </cell>
          <cell r="AJ1290" t="str">
            <v/>
          </cell>
          <cell r="AK1290">
            <v>0</v>
          </cell>
          <cell r="AL1290">
            <v>0</v>
          </cell>
          <cell r="AM1290">
            <v>0</v>
          </cell>
        </row>
        <row r="1291">
          <cell r="C1291" t="str">
            <v/>
          </cell>
          <cell r="D1291" t="str">
            <v/>
          </cell>
          <cell r="O1291" t="str">
            <v/>
          </cell>
          <cell r="T1291" t="str">
            <v/>
          </cell>
          <cell r="U1291" t="str">
            <v/>
          </cell>
          <cell r="V1291" t="str">
            <v/>
          </cell>
          <cell r="W1291" t="str">
            <v/>
          </cell>
          <cell r="Y1291" t="str">
            <v/>
          </cell>
          <cell r="AA1291" t="str">
            <v/>
          </cell>
          <cell r="AB1291">
            <v>0</v>
          </cell>
          <cell r="AC1291">
            <v>0</v>
          </cell>
          <cell r="AI1291" t="str">
            <v/>
          </cell>
          <cell r="AJ1291" t="str">
            <v/>
          </cell>
          <cell r="AK1291">
            <v>0</v>
          </cell>
          <cell r="AL1291">
            <v>0</v>
          </cell>
          <cell r="AM1291">
            <v>0</v>
          </cell>
        </row>
        <row r="1292">
          <cell r="C1292" t="str">
            <v/>
          </cell>
          <cell r="D1292" t="str">
            <v/>
          </cell>
          <cell r="O1292" t="str">
            <v/>
          </cell>
          <cell r="T1292" t="str">
            <v/>
          </cell>
          <cell r="U1292" t="str">
            <v/>
          </cell>
          <cell r="V1292" t="str">
            <v/>
          </cell>
          <cell r="W1292" t="str">
            <v/>
          </cell>
          <cell r="Y1292" t="str">
            <v/>
          </cell>
          <cell r="AA1292" t="str">
            <v/>
          </cell>
          <cell r="AB1292">
            <v>0</v>
          </cell>
          <cell r="AC1292">
            <v>0</v>
          </cell>
          <cell r="AI1292" t="str">
            <v/>
          </cell>
          <cell r="AJ1292" t="str">
            <v/>
          </cell>
          <cell r="AK1292">
            <v>0</v>
          </cell>
          <cell r="AL1292">
            <v>0</v>
          </cell>
          <cell r="AM1292">
            <v>0</v>
          </cell>
        </row>
        <row r="1293">
          <cell r="C1293" t="str">
            <v/>
          </cell>
          <cell r="D1293" t="str">
            <v/>
          </cell>
          <cell r="O1293" t="str">
            <v/>
          </cell>
          <cell r="T1293" t="str">
            <v/>
          </cell>
          <cell r="U1293" t="str">
            <v/>
          </cell>
          <cell r="V1293" t="str">
            <v/>
          </cell>
          <cell r="W1293" t="str">
            <v/>
          </cell>
          <cell r="Y1293" t="str">
            <v/>
          </cell>
          <cell r="AA1293" t="str">
            <v/>
          </cell>
          <cell r="AB1293">
            <v>0</v>
          </cell>
          <cell r="AC1293">
            <v>0</v>
          </cell>
          <cell r="AI1293" t="str">
            <v/>
          </cell>
          <cell r="AJ1293" t="str">
            <v/>
          </cell>
          <cell r="AK1293">
            <v>0</v>
          </cell>
          <cell r="AL1293">
            <v>0</v>
          </cell>
          <cell r="AM1293">
            <v>0</v>
          </cell>
        </row>
        <row r="1294">
          <cell r="C1294" t="str">
            <v/>
          </cell>
          <cell r="D1294" t="str">
            <v/>
          </cell>
          <cell r="O1294" t="str">
            <v/>
          </cell>
          <cell r="T1294" t="str">
            <v/>
          </cell>
          <cell r="U1294" t="str">
            <v/>
          </cell>
          <cell r="V1294" t="str">
            <v/>
          </cell>
          <cell r="W1294" t="str">
            <v/>
          </cell>
          <cell r="Y1294" t="str">
            <v/>
          </cell>
          <cell r="AA1294" t="str">
            <v/>
          </cell>
          <cell r="AB1294">
            <v>0</v>
          </cell>
          <cell r="AC1294">
            <v>0</v>
          </cell>
          <cell r="AI1294" t="str">
            <v/>
          </cell>
          <cell r="AJ1294" t="str">
            <v/>
          </cell>
          <cell r="AK1294">
            <v>0</v>
          </cell>
          <cell r="AL1294">
            <v>0</v>
          </cell>
          <cell r="AM1294">
            <v>0</v>
          </cell>
        </row>
        <row r="1295">
          <cell r="C1295" t="str">
            <v/>
          </cell>
          <cell r="D1295" t="str">
            <v/>
          </cell>
          <cell r="O1295" t="str">
            <v/>
          </cell>
          <cell r="T1295" t="str">
            <v/>
          </cell>
          <cell r="U1295" t="str">
            <v/>
          </cell>
          <cell r="V1295" t="str">
            <v/>
          </cell>
          <cell r="W1295" t="str">
            <v/>
          </cell>
          <cell r="Y1295" t="str">
            <v/>
          </cell>
          <cell r="AA1295" t="str">
            <v/>
          </cell>
          <cell r="AB1295">
            <v>0</v>
          </cell>
          <cell r="AC1295">
            <v>0</v>
          </cell>
          <cell r="AI1295" t="str">
            <v/>
          </cell>
          <cell r="AJ1295" t="str">
            <v/>
          </cell>
          <cell r="AK1295">
            <v>0</v>
          </cell>
          <cell r="AL1295">
            <v>0</v>
          </cell>
          <cell r="AM1295">
            <v>0</v>
          </cell>
        </row>
        <row r="1296">
          <cell r="C1296" t="str">
            <v/>
          </cell>
          <cell r="D1296" t="str">
            <v/>
          </cell>
          <cell r="O1296" t="str">
            <v/>
          </cell>
          <cell r="T1296" t="str">
            <v/>
          </cell>
          <cell r="U1296" t="str">
            <v/>
          </cell>
          <cell r="V1296" t="str">
            <v/>
          </cell>
          <cell r="W1296" t="str">
            <v/>
          </cell>
          <cell r="Y1296" t="str">
            <v/>
          </cell>
          <cell r="AA1296" t="str">
            <v/>
          </cell>
          <cell r="AB1296">
            <v>0</v>
          </cell>
          <cell r="AC1296">
            <v>0</v>
          </cell>
          <cell r="AI1296" t="str">
            <v/>
          </cell>
          <cell r="AJ1296" t="str">
            <v/>
          </cell>
          <cell r="AK1296">
            <v>0</v>
          </cell>
          <cell r="AL1296">
            <v>0</v>
          </cell>
          <cell r="AM1296">
            <v>0</v>
          </cell>
        </row>
        <row r="1297">
          <cell r="C1297" t="str">
            <v/>
          </cell>
          <cell r="D1297" t="str">
            <v/>
          </cell>
          <cell r="O1297" t="str">
            <v/>
          </cell>
          <cell r="T1297" t="str">
            <v/>
          </cell>
          <cell r="U1297" t="str">
            <v/>
          </cell>
          <cell r="V1297" t="str">
            <v/>
          </cell>
          <cell r="W1297" t="str">
            <v/>
          </cell>
          <cell r="Y1297" t="str">
            <v/>
          </cell>
          <cell r="AA1297" t="str">
            <v/>
          </cell>
          <cell r="AB1297">
            <v>0</v>
          </cell>
          <cell r="AC1297">
            <v>0</v>
          </cell>
          <cell r="AI1297" t="str">
            <v/>
          </cell>
          <cell r="AJ1297" t="str">
            <v/>
          </cell>
          <cell r="AK1297">
            <v>0</v>
          </cell>
          <cell r="AL1297">
            <v>0</v>
          </cell>
          <cell r="AM1297">
            <v>0</v>
          </cell>
        </row>
        <row r="1298">
          <cell r="C1298" t="str">
            <v/>
          </cell>
          <cell r="D1298" t="str">
            <v/>
          </cell>
          <cell r="O1298" t="str">
            <v/>
          </cell>
          <cell r="T1298" t="str">
            <v/>
          </cell>
          <cell r="U1298" t="str">
            <v/>
          </cell>
          <cell r="V1298" t="str">
            <v/>
          </cell>
          <cell r="W1298" t="str">
            <v/>
          </cell>
          <cell r="Y1298" t="str">
            <v/>
          </cell>
          <cell r="AA1298" t="str">
            <v/>
          </cell>
          <cell r="AB1298">
            <v>0</v>
          </cell>
          <cell r="AC1298">
            <v>0</v>
          </cell>
          <cell r="AI1298" t="str">
            <v/>
          </cell>
          <cell r="AJ1298" t="str">
            <v/>
          </cell>
          <cell r="AK1298">
            <v>0</v>
          </cell>
          <cell r="AL1298">
            <v>0</v>
          </cell>
          <cell r="AM1298">
            <v>0</v>
          </cell>
        </row>
        <row r="1299">
          <cell r="C1299" t="str">
            <v/>
          </cell>
          <cell r="D1299" t="str">
            <v/>
          </cell>
          <cell r="O1299" t="str">
            <v/>
          </cell>
          <cell r="T1299" t="str">
            <v/>
          </cell>
          <cell r="U1299" t="str">
            <v/>
          </cell>
          <cell r="V1299" t="str">
            <v/>
          </cell>
          <cell r="W1299" t="str">
            <v/>
          </cell>
          <cell r="Y1299" t="str">
            <v/>
          </cell>
          <cell r="AA1299" t="str">
            <v/>
          </cell>
          <cell r="AB1299">
            <v>0</v>
          </cell>
          <cell r="AC1299">
            <v>0</v>
          </cell>
          <cell r="AI1299" t="str">
            <v/>
          </cell>
          <cell r="AJ1299" t="str">
            <v/>
          </cell>
          <cell r="AK1299">
            <v>0</v>
          </cell>
          <cell r="AL1299">
            <v>0</v>
          </cell>
          <cell r="AM1299">
            <v>0</v>
          </cell>
        </row>
        <row r="1300">
          <cell r="C1300" t="str">
            <v/>
          </cell>
          <cell r="D1300" t="str">
            <v/>
          </cell>
          <cell r="O1300" t="str">
            <v/>
          </cell>
          <cell r="T1300" t="str">
            <v/>
          </cell>
          <cell r="U1300" t="str">
            <v/>
          </cell>
          <cell r="V1300" t="str">
            <v/>
          </cell>
          <cell r="W1300" t="str">
            <v/>
          </cell>
          <cell r="Y1300" t="str">
            <v/>
          </cell>
          <cell r="AA1300" t="str">
            <v/>
          </cell>
          <cell r="AB1300">
            <v>0</v>
          </cell>
          <cell r="AC1300">
            <v>0</v>
          </cell>
          <cell r="AI1300" t="str">
            <v/>
          </cell>
          <cell r="AJ1300" t="str">
            <v/>
          </cell>
          <cell r="AK1300">
            <v>0</v>
          </cell>
          <cell r="AL1300">
            <v>0</v>
          </cell>
          <cell r="AM1300">
            <v>0</v>
          </cell>
        </row>
        <row r="1301">
          <cell r="C1301" t="str">
            <v/>
          </cell>
          <cell r="D1301" t="str">
            <v/>
          </cell>
          <cell r="O1301" t="str">
            <v/>
          </cell>
          <cell r="T1301" t="str">
            <v/>
          </cell>
          <cell r="U1301" t="str">
            <v/>
          </cell>
          <cell r="V1301" t="str">
            <v/>
          </cell>
          <cell r="W1301" t="str">
            <v/>
          </cell>
          <cell r="Y1301" t="str">
            <v/>
          </cell>
          <cell r="AA1301" t="str">
            <v/>
          </cell>
          <cell r="AB1301">
            <v>0</v>
          </cell>
          <cell r="AC1301">
            <v>0</v>
          </cell>
          <cell r="AI1301" t="str">
            <v/>
          </cell>
          <cell r="AJ1301" t="str">
            <v/>
          </cell>
          <cell r="AK1301">
            <v>0</v>
          </cell>
          <cell r="AL1301">
            <v>0</v>
          </cell>
          <cell r="AM1301">
            <v>0</v>
          </cell>
        </row>
        <row r="1302">
          <cell r="C1302" t="str">
            <v/>
          </cell>
          <cell r="D1302" t="str">
            <v/>
          </cell>
          <cell r="O1302" t="str">
            <v/>
          </cell>
          <cell r="T1302" t="str">
            <v/>
          </cell>
          <cell r="U1302" t="str">
            <v/>
          </cell>
          <cell r="V1302" t="str">
            <v/>
          </cell>
          <cell r="W1302" t="str">
            <v/>
          </cell>
          <cell r="Y1302" t="str">
            <v/>
          </cell>
          <cell r="AA1302" t="str">
            <v/>
          </cell>
          <cell r="AB1302">
            <v>0</v>
          </cell>
          <cell r="AC1302">
            <v>0</v>
          </cell>
          <cell r="AI1302" t="str">
            <v/>
          </cell>
          <cell r="AJ1302" t="str">
            <v/>
          </cell>
          <cell r="AK1302">
            <v>0</v>
          </cell>
          <cell r="AL1302">
            <v>0</v>
          </cell>
          <cell r="AM1302">
            <v>0</v>
          </cell>
        </row>
        <row r="1303">
          <cell r="C1303" t="str">
            <v/>
          </cell>
          <cell r="D1303" t="str">
            <v/>
          </cell>
          <cell r="O1303" t="str">
            <v/>
          </cell>
          <cell r="T1303" t="str">
            <v/>
          </cell>
          <cell r="U1303" t="str">
            <v/>
          </cell>
          <cell r="V1303" t="str">
            <v/>
          </cell>
          <cell r="W1303" t="str">
            <v/>
          </cell>
          <cell r="Y1303" t="str">
            <v/>
          </cell>
          <cell r="AA1303" t="str">
            <v/>
          </cell>
          <cell r="AB1303">
            <v>0</v>
          </cell>
          <cell r="AC1303">
            <v>0</v>
          </cell>
          <cell r="AI1303" t="str">
            <v/>
          </cell>
          <cell r="AJ1303" t="str">
            <v/>
          </cell>
          <cell r="AK1303">
            <v>0</v>
          </cell>
          <cell r="AL1303">
            <v>0</v>
          </cell>
          <cell r="AM1303">
            <v>0</v>
          </cell>
        </row>
        <row r="1304">
          <cell r="C1304" t="str">
            <v/>
          </cell>
          <cell r="D1304" t="str">
            <v/>
          </cell>
          <cell r="O1304" t="str">
            <v/>
          </cell>
          <cell r="T1304" t="str">
            <v/>
          </cell>
          <cell r="U1304" t="str">
            <v/>
          </cell>
          <cell r="V1304" t="str">
            <v/>
          </cell>
          <cell r="W1304" t="str">
            <v/>
          </cell>
          <cell r="Y1304" t="str">
            <v/>
          </cell>
          <cell r="AA1304" t="str">
            <v/>
          </cell>
          <cell r="AB1304">
            <v>0</v>
          </cell>
          <cell r="AC1304">
            <v>0</v>
          </cell>
          <cell r="AI1304" t="str">
            <v/>
          </cell>
          <cell r="AJ1304" t="str">
            <v/>
          </cell>
          <cell r="AK1304">
            <v>0</v>
          </cell>
          <cell r="AL1304">
            <v>0</v>
          </cell>
          <cell r="AM1304">
            <v>0</v>
          </cell>
        </row>
        <row r="1305">
          <cell r="C1305" t="str">
            <v/>
          </cell>
          <cell r="D1305" t="str">
            <v/>
          </cell>
          <cell r="O1305" t="str">
            <v/>
          </cell>
          <cell r="T1305" t="str">
            <v/>
          </cell>
          <cell r="U1305" t="str">
            <v/>
          </cell>
          <cell r="V1305" t="str">
            <v/>
          </cell>
          <cell r="W1305" t="str">
            <v/>
          </cell>
          <cell r="Y1305" t="str">
            <v/>
          </cell>
          <cell r="AA1305" t="str">
            <v/>
          </cell>
          <cell r="AB1305">
            <v>0</v>
          </cell>
          <cell r="AC1305">
            <v>0</v>
          </cell>
          <cell r="AI1305" t="str">
            <v/>
          </cell>
          <cell r="AJ1305" t="str">
            <v/>
          </cell>
          <cell r="AK1305">
            <v>0</v>
          </cell>
          <cell r="AL1305">
            <v>0</v>
          </cell>
          <cell r="AM1305">
            <v>0</v>
          </cell>
        </row>
        <row r="1306">
          <cell r="C1306" t="str">
            <v/>
          </cell>
          <cell r="D1306" t="str">
            <v/>
          </cell>
          <cell r="O1306" t="str">
            <v/>
          </cell>
          <cell r="T1306" t="str">
            <v/>
          </cell>
          <cell r="U1306" t="str">
            <v/>
          </cell>
          <cell r="V1306" t="str">
            <v/>
          </cell>
          <cell r="W1306" t="str">
            <v/>
          </cell>
          <cell r="Y1306" t="str">
            <v/>
          </cell>
          <cell r="AA1306" t="str">
            <v/>
          </cell>
          <cell r="AB1306">
            <v>0</v>
          </cell>
          <cell r="AC1306">
            <v>0</v>
          </cell>
          <cell r="AI1306" t="str">
            <v/>
          </cell>
          <cell r="AJ1306" t="str">
            <v/>
          </cell>
          <cell r="AK1306">
            <v>0</v>
          </cell>
          <cell r="AL1306">
            <v>0</v>
          </cell>
          <cell r="AM1306">
            <v>0</v>
          </cell>
        </row>
        <row r="1307">
          <cell r="C1307" t="str">
            <v/>
          </cell>
          <cell r="D1307" t="str">
            <v/>
          </cell>
          <cell r="O1307" t="str">
            <v/>
          </cell>
          <cell r="T1307" t="str">
            <v/>
          </cell>
          <cell r="U1307" t="str">
            <v/>
          </cell>
          <cell r="V1307" t="str">
            <v/>
          </cell>
          <cell r="W1307" t="str">
            <v/>
          </cell>
          <cell r="Y1307" t="str">
            <v/>
          </cell>
          <cell r="AA1307" t="str">
            <v/>
          </cell>
          <cell r="AB1307">
            <v>0</v>
          </cell>
          <cell r="AC1307">
            <v>0</v>
          </cell>
          <cell r="AI1307" t="str">
            <v/>
          </cell>
          <cell r="AJ1307" t="str">
            <v/>
          </cell>
          <cell r="AK1307">
            <v>0</v>
          </cell>
          <cell r="AL1307">
            <v>0</v>
          </cell>
          <cell r="AM1307">
            <v>0</v>
          </cell>
        </row>
        <row r="1308">
          <cell r="C1308" t="str">
            <v/>
          </cell>
          <cell r="D1308" t="str">
            <v/>
          </cell>
          <cell r="O1308" t="str">
            <v/>
          </cell>
          <cell r="T1308" t="str">
            <v/>
          </cell>
          <cell r="U1308" t="str">
            <v/>
          </cell>
          <cell r="V1308" t="str">
            <v/>
          </cell>
          <cell r="W1308" t="str">
            <v/>
          </cell>
          <cell r="Y1308" t="str">
            <v/>
          </cell>
          <cell r="AA1308" t="str">
            <v/>
          </cell>
          <cell r="AB1308">
            <v>0</v>
          </cell>
          <cell r="AC1308">
            <v>0</v>
          </cell>
          <cell r="AI1308" t="str">
            <v/>
          </cell>
          <cell r="AJ1308" t="str">
            <v/>
          </cell>
          <cell r="AK1308">
            <v>0</v>
          </cell>
          <cell r="AL1308">
            <v>0</v>
          </cell>
          <cell r="AM1308">
            <v>0</v>
          </cell>
        </row>
        <row r="1309">
          <cell r="C1309" t="str">
            <v/>
          </cell>
          <cell r="D1309" t="str">
            <v/>
          </cell>
          <cell r="O1309" t="str">
            <v/>
          </cell>
          <cell r="T1309" t="str">
            <v/>
          </cell>
          <cell r="U1309" t="str">
            <v/>
          </cell>
          <cell r="V1309" t="str">
            <v/>
          </cell>
          <cell r="W1309" t="str">
            <v/>
          </cell>
          <cell r="Y1309" t="str">
            <v/>
          </cell>
          <cell r="AA1309" t="str">
            <v/>
          </cell>
          <cell r="AB1309">
            <v>0</v>
          </cell>
          <cell r="AC1309">
            <v>0</v>
          </cell>
          <cell r="AI1309" t="str">
            <v/>
          </cell>
          <cell r="AJ1309" t="str">
            <v/>
          </cell>
          <cell r="AK1309">
            <v>0</v>
          </cell>
          <cell r="AL1309">
            <v>0</v>
          </cell>
          <cell r="AM1309">
            <v>0</v>
          </cell>
        </row>
        <row r="1310">
          <cell r="C1310" t="str">
            <v/>
          </cell>
          <cell r="D1310" t="str">
            <v/>
          </cell>
          <cell r="O1310" t="str">
            <v/>
          </cell>
          <cell r="T1310" t="str">
            <v/>
          </cell>
          <cell r="U1310" t="str">
            <v/>
          </cell>
          <cell r="V1310" t="str">
            <v/>
          </cell>
          <cell r="W1310" t="str">
            <v/>
          </cell>
          <cell r="Y1310" t="str">
            <v/>
          </cell>
          <cell r="AA1310" t="str">
            <v/>
          </cell>
          <cell r="AB1310">
            <v>0</v>
          </cell>
          <cell r="AC1310">
            <v>0</v>
          </cell>
          <cell r="AI1310" t="str">
            <v/>
          </cell>
          <cell r="AJ1310" t="str">
            <v/>
          </cell>
          <cell r="AK1310">
            <v>0</v>
          </cell>
          <cell r="AL1310">
            <v>0</v>
          </cell>
          <cell r="AM1310">
            <v>0</v>
          </cell>
        </row>
        <row r="1311">
          <cell r="C1311" t="str">
            <v/>
          </cell>
          <cell r="D1311" t="str">
            <v/>
          </cell>
          <cell r="O1311" t="str">
            <v/>
          </cell>
          <cell r="T1311" t="str">
            <v/>
          </cell>
          <cell r="U1311" t="str">
            <v/>
          </cell>
          <cell r="V1311" t="str">
            <v/>
          </cell>
          <cell r="W1311" t="str">
            <v/>
          </cell>
          <cell r="Y1311" t="str">
            <v/>
          </cell>
          <cell r="AA1311" t="str">
            <v/>
          </cell>
          <cell r="AB1311">
            <v>0</v>
          </cell>
          <cell r="AC1311">
            <v>0</v>
          </cell>
          <cell r="AI1311" t="str">
            <v/>
          </cell>
          <cell r="AJ1311" t="str">
            <v/>
          </cell>
          <cell r="AK1311">
            <v>0</v>
          </cell>
          <cell r="AL1311">
            <v>0</v>
          </cell>
          <cell r="AM1311">
            <v>0</v>
          </cell>
        </row>
        <row r="1312">
          <cell r="C1312" t="str">
            <v/>
          </cell>
          <cell r="D1312" t="str">
            <v/>
          </cell>
          <cell r="O1312" t="str">
            <v/>
          </cell>
          <cell r="T1312" t="str">
            <v/>
          </cell>
          <cell r="U1312" t="str">
            <v/>
          </cell>
          <cell r="V1312" t="str">
            <v/>
          </cell>
          <cell r="W1312" t="str">
            <v/>
          </cell>
          <cell r="Y1312" t="str">
            <v/>
          </cell>
          <cell r="AA1312" t="str">
            <v/>
          </cell>
          <cell r="AB1312">
            <v>0</v>
          </cell>
          <cell r="AC1312">
            <v>0</v>
          </cell>
          <cell r="AI1312" t="str">
            <v/>
          </cell>
          <cell r="AJ1312" t="str">
            <v/>
          </cell>
          <cell r="AK1312">
            <v>0</v>
          </cell>
          <cell r="AL1312">
            <v>0</v>
          </cell>
          <cell r="AM1312">
            <v>0</v>
          </cell>
        </row>
        <row r="1313">
          <cell r="C1313" t="str">
            <v/>
          </cell>
          <cell r="D1313" t="str">
            <v/>
          </cell>
          <cell r="O1313" t="str">
            <v/>
          </cell>
          <cell r="T1313" t="str">
            <v/>
          </cell>
          <cell r="U1313" t="str">
            <v/>
          </cell>
          <cell r="V1313" t="str">
            <v/>
          </cell>
          <cell r="W1313" t="str">
            <v/>
          </cell>
          <cell r="Y1313" t="str">
            <v/>
          </cell>
          <cell r="AA1313" t="str">
            <v/>
          </cell>
          <cell r="AB1313">
            <v>0</v>
          </cell>
          <cell r="AC1313">
            <v>0</v>
          </cell>
          <cell r="AI1313" t="str">
            <v/>
          </cell>
          <cell r="AJ1313" t="str">
            <v/>
          </cell>
          <cell r="AK1313">
            <v>0</v>
          </cell>
          <cell r="AL1313">
            <v>0</v>
          </cell>
          <cell r="AM1313">
            <v>0</v>
          </cell>
        </row>
        <row r="1314">
          <cell r="C1314" t="str">
            <v/>
          </cell>
          <cell r="D1314" t="str">
            <v/>
          </cell>
          <cell r="O1314" t="str">
            <v/>
          </cell>
          <cell r="T1314" t="str">
            <v/>
          </cell>
          <cell r="U1314" t="str">
            <v/>
          </cell>
          <cell r="V1314" t="str">
            <v/>
          </cell>
          <cell r="W1314" t="str">
            <v/>
          </cell>
          <cell r="Y1314" t="str">
            <v/>
          </cell>
          <cell r="AA1314" t="str">
            <v/>
          </cell>
          <cell r="AB1314">
            <v>0</v>
          </cell>
          <cell r="AC1314">
            <v>0</v>
          </cell>
          <cell r="AI1314" t="str">
            <v/>
          </cell>
          <cell r="AJ1314" t="str">
            <v/>
          </cell>
          <cell r="AK1314">
            <v>0</v>
          </cell>
          <cell r="AL1314">
            <v>0</v>
          </cell>
          <cell r="AM1314">
            <v>0</v>
          </cell>
        </row>
        <row r="1315">
          <cell r="C1315" t="str">
            <v/>
          </cell>
          <cell r="D1315" t="str">
            <v/>
          </cell>
          <cell r="O1315" t="str">
            <v/>
          </cell>
          <cell r="T1315" t="str">
            <v/>
          </cell>
          <cell r="U1315" t="str">
            <v/>
          </cell>
          <cell r="V1315" t="str">
            <v/>
          </cell>
          <cell r="W1315" t="str">
            <v/>
          </cell>
          <cell r="Y1315" t="str">
            <v/>
          </cell>
          <cell r="AA1315" t="str">
            <v/>
          </cell>
          <cell r="AB1315">
            <v>0</v>
          </cell>
          <cell r="AC1315">
            <v>0</v>
          </cell>
          <cell r="AI1315" t="str">
            <v/>
          </cell>
          <cell r="AJ1315" t="str">
            <v/>
          </cell>
          <cell r="AK1315">
            <v>0</v>
          </cell>
          <cell r="AL1315">
            <v>0</v>
          </cell>
          <cell r="AM1315">
            <v>0</v>
          </cell>
        </row>
        <row r="1316">
          <cell r="C1316" t="str">
            <v/>
          </cell>
          <cell r="D1316" t="str">
            <v/>
          </cell>
          <cell r="O1316" t="str">
            <v/>
          </cell>
          <cell r="T1316" t="str">
            <v/>
          </cell>
          <cell r="U1316" t="str">
            <v/>
          </cell>
          <cell r="V1316" t="str">
            <v/>
          </cell>
          <cell r="W1316" t="str">
            <v/>
          </cell>
          <cell r="Y1316" t="str">
            <v/>
          </cell>
          <cell r="AA1316" t="str">
            <v/>
          </cell>
          <cell r="AB1316">
            <v>0</v>
          </cell>
          <cell r="AC1316">
            <v>0</v>
          </cell>
          <cell r="AI1316" t="str">
            <v/>
          </cell>
          <cell r="AJ1316" t="str">
            <v/>
          </cell>
          <cell r="AK1316">
            <v>0</v>
          </cell>
          <cell r="AL1316">
            <v>0</v>
          </cell>
          <cell r="AM1316">
            <v>0</v>
          </cell>
        </row>
        <row r="1317">
          <cell r="C1317" t="str">
            <v/>
          </cell>
          <cell r="D1317" t="str">
            <v/>
          </cell>
          <cell r="O1317" t="str">
            <v/>
          </cell>
          <cell r="T1317" t="str">
            <v/>
          </cell>
          <cell r="U1317" t="str">
            <v/>
          </cell>
          <cell r="V1317" t="str">
            <v/>
          </cell>
          <cell r="W1317" t="str">
            <v/>
          </cell>
          <cell r="Y1317" t="str">
            <v/>
          </cell>
          <cell r="AA1317" t="str">
            <v/>
          </cell>
          <cell r="AB1317">
            <v>0</v>
          </cell>
          <cell r="AC1317">
            <v>0</v>
          </cell>
          <cell r="AI1317" t="str">
            <v/>
          </cell>
          <cell r="AJ1317" t="str">
            <v/>
          </cell>
          <cell r="AK1317">
            <v>0</v>
          </cell>
          <cell r="AL1317">
            <v>0</v>
          </cell>
          <cell r="AM1317">
            <v>0</v>
          </cell>
        </row>
        <row r="1318">
          <cell r="C1318" t="str">
            <v/>
          </cell>
          <cell r="D1318" t="str">
            <v/>
          </cell>
          <cell r="O1318" t="str">
            <v/>
          </cell>
          <cell r="T1318" t="str">
            <v/>
          </cell>
          <cell r="U1318" t="str">
            <v/>
          </cell>
          <cell r="V1318" t="str">
            <v/>
          </cell>
          <cell r="W1318" t="str">
            <v/>
          </cell>
          <cell r="Y1318" t="str">
            <v/>
          </cell>
          <cell r="AA1318" t="str">
            <v/>
          </cell>
          <cell r="AB1318">
            <v>0</v>
          </cell>
          <cell r="AC1318">
            <v>0</v>
          </cell>
          <cell r="AI1318" t="str">
            <v/>
          </cell>
          <cell r="AJ1318" t="str">
            <v/>
          </cell>
          <cell r="AK1318">
            <v>0</v>
          </cell>
          <cell r="AL1318">
            <v>0</v>
          </cell>
          <cell r="AM1318">
            <v>0</v>
          </cell>
        </row>
        <row r="1319">
          <cell r="C1319" t="str">
            <v/>
          </cell>
          <cell r="D1319" t="str">
            <v/>
          </cell>
          <cell r="O1319" t="str">
            <v/>
          </cell>
          <cell r="T1319" t="str">
            <v/>
          </cell>
          <cell r="U1319" t="str">
            <v/>
          </cell>
          <cell r="V1319" t="str">
            <v/>
          </cell>
          <cell r="W1319" t="str">
            <v/>
          </cell>
          <cell r="Y1319" t="str">
            <v/>
          </cell>
          <cell r="AA1319" t="str">
            <v/>
          </cell>
          <cell r="AB1319">
            <v>0</v>
          </cell>
          <cell r="AC1319">
            <v>0</v>
          </cell>
          <cell r="AI1319" t="str">
            <v/>
          </cell>
          <cell r="AJ1319" t="str">
            <v/>
          </cell>
          <cell r="AK1319">
            <v>0</v>
          </cell>
          <cell r="AL1319">
            <v>0</v>
          </cell>
          <cell r="AM1319">
            <v>0</v>
          </cell>
        </row>
        <row r="1320">
          <cell r="C1320" t="str">
            <v/>
          </cell>
          <cell r="D1320" t="str">
            <v/>
          </cell>
          <cell r="O1320" t="str">
            <v/>
          </cell>
          <cell r="T1320" t="str">
            <v/>
          </cell>
          <cell r="U1320" t="str">
            <v/>
          </cell>
          <cell r="V1320" t="str">
            <v/>
          </cell>
          <cell r="W1320" t="str">
            <v/>
          </cell>
          <cell r="Y1320" t="str">
            <v/>
          </cell>
          <cell r="AA1320" t="str">
            <v/>
          </cell>
          <cell r="AB1320">
            <v>0</v>
          </cell>
          <cell r="AC1320">
            <v>0</v>
          </cell>
          <cell r="AI1320" t="str">
            <v/>
          </cell>
          <cell r="AJ1320" t="str">
            <v/>
          </cell>
          <cell r="AK1320">
            <v>0</v>
          </cell>
          <cell r="AL1320">
            <v>0</v>
          </cell>
          <cell r="AM1320">
            <v>0</v>
          </cell>
        </row>
        <row r="1321">
          <cell r="C1321" t="str">
            <v/>
          </cell>
          <cell r="D1321" t="str">
            <v/>
          </cell>
          <cell r="O1321" t="str">
            <v/>
          </cell>
          <cell r="T1321" t="str">
            <v/>
          </cell>
          <cell r="U1321" t="str">
            <v/>
          </cell>
          <cell r="V1321" t="str">
            <v/>
          </cell>
          <cell r="W1321" t="str">
            <v/>
          </cell>
          <cell r="Y1321" t="str">
            <v/>
          </cell>
          <cell r="AA1321" t="str">
            <v/>
          </cell>
          <cell r="AB1321">
            <v>0</v>
          </cell>
          <cell r="AC1321">
            <v>0</v>
          </cell>
          <cell r="AI1321" t="str">
            <v/>
          </cell>
          <cell r="AJ1321" t="str">
            <v/>
          </cell>
          <cell r="AK1321">
            <v>0</v>
          </cell>
          <cell r="AL1321">
            <v>0</v>
          </cell>
          <cell r="AM1321">
            <v>0</v>
          </cell>
        </row>
        <row r="1322">
          <cell r="C1322" t="str">
            <v/>
          </cell>
          <cell r="D1322" t="str">
            <v/>
          </cell>
          <cell r="O1322" t="str">
            <v/>
          </cell>
          <cell r="T1322" t="str">
            <v/>
          </cell>
          <cell r="U1322" t="str">
            <v/>
          </cell>
          <cell r="V1322" t="str">
            <v/>
          </cell>
          <cell r="W1322" t="str">
            <v/>
          </cell>
          <cell r="Y1322" t="str">
            <v/>
          </cell>
          <cell r="AA1322" t="str">
            <v/>
          </cell>
          <cell r="AB1322">
            <v>0</v>
          </cell>
          <cell r="AC1322">
            <v>0</v>
          </cell>
          <cell r="AI1322" t="str">
            <v/>
          </cell>
          <cell r="AJ1322" t="str">
            <v/>
          </cell>
          <cell r="AK1322">
            <v>0</v>
          </cell>
          <cell r="AL1322">
            <v>0</v>
          </cell>
          <cell r="AM1322">
            <v>0</v>
          </cell>
        </row>
        <row r="1323">
          <cell r="C1323" t="str">
            <v/>
          </cell>
          <cell r="D1323" t="str">
            <v/>
          </cell>
          <cell r="O1323" t="str">
            <v/>
          </cell>
          <cell r="T1323" t="str">
            <v/>
          </cell>
          <cell r="U1323" t="str">
            <v/>
          </cell>
          <cell r="V1323" t="str">
            <v/>
          </cell>
          <cell r="W1323" t="str">
            <v/>
          </cell>
          <cell r="Y1323" t="str">
            <v/>
          </cell>
          <cell r="AA1323" t="str">
            <v/>
          </cell>
          <cell r="AB1323">
            <v>0</v>
          </cell>
          <cell r="AC1323">
            <v>0</v>
          </cell>
          <cell r="AI1323" t="str">
            <v/>
          </cell>
          <cell r="AJ1323" t="str">
            <v/>
          </cell>
          <cell r="AK1323">
            <v>0</v>
          </cell>
          <cell r="AL1323">
            <v>0</v>
          </cell>
          <cell r="AM1323">
            <v>0</v>
          </cell>
        </row>
        <row r="1324">
          <cell r="C1324" t="str">
            <v/>
          </cell>
          <cell r="D1324" t="str">
            <v/>
          </cell>
          <cell r="O1324" t="str">
            <v/>
          </cell>
          <cell r="T1324" t="str">
            <v/>
          </cell>
          <cell r="U1324" t="str">
            <v/>
          </cell>
          <cell r="V1324" t="str">
            <v/>
          </cell>
          <cell r="W1324" t="str">
            <v/>
          </cell>
          <cell r="Y1324" t="str">
            <v/>
          </cell>
          <cell r="AA1324" t="str">
            <v/>
          </cell>
          <cell r="AB1324">
            <v>0</v>
          </cell>
          <cell r="AC1324">
            <v>0</v>
          </cell>
          <cell r="AI1324" t="str">
            <v/>
          </cell>
          <cell r="AJ1324" t="str">
            <v/>
          </cell>
          <cell r="AK1324">
            <v>0</v>
          </cell>
          <cell r="AL1324">
            <v>0</v>
          </cell>
          <cell r="AM1324">
            <v>0</v>
          </cell>
        </row>
        <row r="1325">
          <cell r="C1325" t="str">
            <v/>
          </cell>
          <cell r="D1325" t="str">
            <v/>
          </cell>
          <cell r="O1325" t="str">
            <v/>
          </cell>
          <cell r="T1325" t="str">
            <v/>
          </cell>
          <cell r="U1325" t="str">
            <v/>
          </cell>
          <cell r="V1325" t="str">
            <v/>
          </cell>
          <cell r="W1325" t="str">
            <v/>
          </cell>
          <cell r="Y1325" t="str">
            <v/>
          </cell>
          <cell r="AA1325" t="str">
            <v/>
          </cell>
          <cell r="AB1325">
            <v>0</v>
          </cell>
          <cell r="AC1325">
            <v>0</v>
          </cell>
          <cell r="AI1325" t="str">
            <v/>
          </cell>
          <cell r="AJ1325" t="str">
            <v/>
          </cell>
          <cell r="AK1325">
            <v>0</v>
          </cell>
          <cell r="AL1325">
            <v>0</v>
          </cell>
          <cell r="AM1325">
            <v>0</v>
          </cell>
        </row>
        <row r="1326">
          <cell r="C1326" t="str">
            <v/>
          </cell>
          <cell r="D1326" t="str">
            <v/>
          </cell>
          <cell r="O1326" t="str">
            <v/>
          </cell>
          <cell r="T1326" t="str">
            <v/>
          </cell>
          <cell r="U1326" t="str">
            <v/>
          </cell>
          <cell r="V1326" t="str">
            <v/>
          </cell>
          <cell r="W1326" t="str">
            <v/>
          </cell>
          <cell r="Y1326" t="str">
            <v/>
          </cell>
          <cell r="AA1326" t="str">
            <v/>
          </cell>
          <cell r="AB1326">
            <v>0</v>
          </cell>
          <cell r="AC1326">
            <v>0</v>
          </cell>
          <cell r="AI1326" t="str">
            <v/>
          </cell>
          <cell r="AJ1326" t="str">
            <v/>
          </cell>
          <cell r="AK1326">
            <v>0</v>
          </cell>
          <cell r="AL1326">
            <v>0</v>
          </cell>
          <cell r="AM1326">
            <v>0</v>
          </cell>
        </row>
        <row r="1327">
          <cell r="C1327" t="str">
            <v/>
          </cell>
          <cell r="D1327" t="str">
            <v/>
          </cell>
          <cell r="O1327" t="str">
            <v/>
          </cell>
          <cell r="T1327" t="str">
            <v/>
          </cell>
          <cell r="U1327" t="str">
            <v/>
          </cell>
          <cell r="V1327" t="str">
            <v/>
          </cell>
          <cell r="W1327" t="str">
            <v/>
          </cell>
          <cell r="Y1327" t="str">
            <v/>
          </cell>
          <cell r="AA1327" t="str">
            <v/>
          </cell>
          <cell r="AB1327">
            <v>0</v>
          </cell>
          <cell r="AC1327">
            <v>0</v>
          </cell>
          <cell r="AI1327" t="str">
            <v/>
          </cell>
          <cell r="AJ1327" t="str">
            <v/>
          </cell>
          <cell r="AK1327">
            <v>0</v>
          </cell>
          <cell r="AL1327">
            <v>0</v>
          </cell>
          <cell r="AM1327">
            <v>0</v>
          </cell>
        </row>
        <row r="1328">
          <cell r="C1328" t="str">
            <v/>
          </cell>
          <cell r="D1328" t="str">
            <v/>
          </cell>
          <cell r="O1328" t="str">
            <v/>
          </cell>
          <cell r="T1328" t="str">
            <v/>
          </cell>
          <cell r="U1328" t="str">
            <v/>
          </cell>
          <cell r="V1328" t="str">
            <v/>
          </cell>
          <cell r="W1328" t="str">
            <v/>
          </cell>
          <cell r="Y1328" t="str">
            <v/>
          </cell>
          <cell r="AA1328" t="str">
            <v/>
          </cell>
          <cell r="AB1328">
            <v>0</v>
          </cell>
          <cell r="AC1328">
            <v>0</v>
          </cell>
          <cell r="AI1328" t="str">
            <v/>
          </cell>
          <cell r="AJ1328" t="str">
            <v/>
          </cell>
          <cell r="AK1328">
            <v>0</v>
          </cell>
          <cell r="AL1328">
            <v>0</v>
          </cell>
          <cell r="AM1328">
            <v>0</v>
          </cell>
        </row>
        <row r="1329">
          <cell r="C1329" t="str">
            <v/>
          </cell>
          <cell r="D1329" t="str">
            <v/>
          </cell>
          <cell r="O1329" t="str">
            <v/>
          </cell>
          <cell r="T1329" t="str">
            <v/>
          </cell>
          <cell r="U1329" t="str">
            <v/>
          </cell>
          <cell r="V1329" t="str">
            <v/>
          </cell>
          <cell r="W1329" t="str">
            <v/>
          </cell>
          <cell r="Y1329" t="str">
            <v/>
          </cell>
          <cell r="AA1329" t="str">
            <v/>
          </cell>
          <cell r="AB1329">
            <v>0</v>
          </cell>
          <cell r="AC1329">
            <v>0</v>
          </cell>
          <cell r="AI1329" t="str">
            <v/>
          </cell>
          <cell r="AJ1329" t="str">
            <v/>
          </cell>
          <cell r="AK1329">
            <v>0</v>
          </cell>
          <cell r="AL1329">
            <v>0</v>
          </cell>
          <cell r="AM1329">
            <v>0</v>
          </cell>
        </row>
        <row r="1330">
          <cell r="C1330" t="str">
            <v/>
          </cell>
          <cell r="D1330" t="str">
            <v/>
          </cell>
          <cell r="O1330" t="str">
            <v/>
          </cell>
          <cell r="T1330" t="str">
            <v/>
          </cell>
          <cell r="U1330" t="str">
            <v/>
          </cell>
          <cell r="V1330" t="str">
            <v/>
          </cell>
          <cell r="W1330" t="str">
            <v/>
          </cell>
          <cell r="Y1330" t="str">
            <v/>
          </cell>
          <cell r="AA1330" t="str">
            <v/>
          </cell>
          <cell r="AB1330">
            <v>0</v>
          </cell>
          <cell r="AC1330">
            <v>0</v>
          </cell>
          <cell r="AI1330" t="str">
            <v/>
          </cell>
          <cell r="AJ1330" t="str">
            <v/>
          </cell>
          <cell r="AK1330">
            <v>0</v>
          </cell>
          <cell r="AL1330">
            <v>0</v>
          </cell>
          <cell r="AM1330">
            <v>0</v>
          </cell>
        </row>
        <row r="1331">
          <cell r="C1331" t="str">
            <v/>
          </cell>
          <cell r="D1331" t="str">
            <v/>
          </cell>
          <cell r="O1331" t="str">
            <v/>
          </cell>
          <cell r="T1331" t="str">
            <v/>
          </cell>
          <cell r="U1331" t="str">
            <v/>
          </cell>
          <cell r="V1331" t="str">
            <v/>
          </cell>
          <cell r="W1331" t="str">
            <v/>
          </cell>
          <cell r="Y1331" t="str">
            <v/>
          </cell>
          <cell r="AA1331" t="str">
            <v/>
          </cell>
          <cell r="AB1331">
            <v>0</v>
          </cell>
          <cell r="AC1331">
            <v>0</v>
          </cell>
          <cell r="AI1331" t="str">
            <v/>
          </cell>
          <cell r="AJ1331" t="str">
            <v/>
          </cell>
          <cell r="AK1331">
            <v>0</v>
          </cell>
          <cell r="AL1331">
            <v>0</v>
          </cell>
          <cell r="AM1331">
            <v>0</v>
          </cell>
        </row>
        <row r="1332">
          <cell r="C1332" t="str">
            <v/>
          </cell>
          <cell r="D1332" t="str">
            <v/>
          </cell>
          <cell r="O1332" t="str">
            <v/>
          </cell>
          <cell r="T1332" t="str">
            <v/>
          </cell>
          <cell r="U1332" t="str">
            <v/>
          </cell>
          <cell r="V1332" t="str">
            <v/>
          </cell>
          <cell r="W1332" t="str">
            <v/>
          </cell>
          <cell r="Y1332" t="str">
            <v/>
          </cell>
          <cell r="AA1332" t="str">
            <v/>
          </cell>
          <cell r="AB1332">
            <v>0</v>
          </cell>
          <cell r="AC1332">
            <v>0</v>
          </cell>
          <cell r="AI1332" t="str">
            <v/>
          </cell>
          <cell r="AJ1332" t="str">
            <v/>
          </cell>
          <cell r="AK1332">
            <v>0</v>
          </cell>
          <cell r="AL1332">
            <v>0</v>
          </cell>
          <cell r="AM1332">
            <v>0</v>
          </cell>
        </row>
        <row r="1333">
          <cell r="C1333" t="str">
            <v/>
          </cell>
          <cell r="D1333" t="str">
            <v/>
          </cell>
          <cell r="O1333" t="str">
            <v/>
          </cell>
          <cell r="T1333" t="str">
            <v/>
          </cell>
          <cell r="U1333" t="str">
            <v/>
          </cell>
          <cell r="V1333" t="str">
            <v/>
          </cell>
          <cell r="W1333" t="str">
            <v/>
          </cell>
          <cell r="Y1333" t="str">
            <v/>
          </cell>
          <cell r="AA1333" t="str">
            <v/>
          </cell>
          <cell r="AB1333">
            <v>0</v>
          </cell>
          <cell r="AC1333">
            <v>0</v>
          </cell>
          <cell r="AI1333" t="str">
            <v/>
          </cell>
          <cell r="AJ1333" t="str">
            <v/>
          </cell>
          <cell r="AK1333">
            <v>0</v>
          </cell>
          <cell r="AL1333">
            <v>0</v>
          </cell>
          <cell r="AM1333">
            <v>0</v>
          </cell>
        </row>
        <row r="1334">
          <cell r="C1334" t="str">
            <v/>
          </cell>
          <cell r="D1334" t="str">
            <v/>
          </cell>
          <cell r="O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/>
          </cell>
          <cell r="Y1334" t="str">
            <v/>
          </cell>
          <cell r="AA1334" t="str">
            <v/>
          </cell>
          <cell r="AB1334">
            <v>0</v>
          </cell>
          <cell r="AC1334">
            <v>0</v>
          </cell>
          <cell r="AI1334" t="str">
            <v/>
          </cell>
          <cell r="AJ1334" t="str">
            <v/>
          </cell>
          <cell r="AK1334">
            <v>0</v>
          </cell>
          <cell r="AL1334">
            <v>0</v>
          </cell>
          <cell r="AM1334">
            <v>0</v>
          </cell>
        </row>
        <row r="1335">
          <cell r="C1335" t="str">
            <v/>
          </cell>
          <cell r="D1335" t="str">
            <v/>
          </cell>
          <cell r="O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/>
          </cell>
          <cell r="Y1335" t="str">
            <v/>
          </cell>
          <cell r="AA1335" t="str">
            <v/>
          </cell>
          <cell r="AB1335">
            <v>0</v>
          </cell>
          <cell r="AC1335">
            <v>0</v>
          </cell>
          <cell r="AI1335" t="str">
            <v/>
          </cell>
          <cell r="AJ1335" t="str">
            <v/>
          </cell>
          <cell r="AK1335">
            <v>0</v>
          </cell>
          <cell r="AL1335">
            <v>0</v>
          </cell>
          <cell r="AM1335">
            <v>0</v>
          </cell>
        </row>
        <row r="1336">
          <cell r="C1336" t="str">
            <v/>
          </cell>
          <cell r="D1336" t="str">
            <v/>
          </cell>
          <cell r="O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/>
          </cell>
          <cell r="Y1336" t="str">
            <v/>
          </cell>
          <cell r="AA1336" t="str">
            <v/>
          </cell>
          <cell r="AB1336">
            <v>0</v>
          </cell>
          <cell r="AC1336">
            <v>0</v>
          </cell>
          <cell r="AI1336" t="str">
            <v/>
          </cell>
          <cell r="AJ1336" t="str">
            <v/>
          </cell>
          <cell r="AK1336">
            <v>0</v>
          </cell>
          <cell r="AL1336">
            <v>0</v>
          </cell>
          <cell r="AM1336">
            <v>0</v>
          </cell>
        </row>
        <row r="1337">
          <cell r="C1337" t="str">
            <v/>
          </cell>
          <cell r="D1337" t="str">
            <v/>
          </cell>
          <cell r="O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/>
          </cell>
          <cell r="Y1337" t="str">
            <v/>
          </cell>
          <cell r="AA1337" t="str">
            <v/>
          </cell>
          <cell r="AB1337">
            <v>0</v>
          </cell>
          <cell r="AC1337">
            <v>0</v>
          </cell>
          <cell r="AI1337" t="str">
            <v/>
          </cell>
          <cell r="AJ1337" t="str">
            <v/>
          </cell>
          <cell r="AK1337">
            <v>0</v>
          </cell>
          <cell r="AL1337">
            <v>0</v>
          </cell>
          <cell r="AM1337">
            <v>0</v>
          </cell>
        </row>
        <row r="1338">
          <cell r="C1338" t="str">
            <v/>
          </cell>
          <cell r="D1338" t="str">
            <v/>
          </cell>
          <cell r="O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/>
          </cell>
          <cell r="Y1338" t="str">
            <v/>
          </cell>
          <cell r="AA1338" t="str">
            <v/>
          </cell>
          <cell r="AB1338">
            <v>0</v>
          </cell>
          <cell r="AC1338">
            <v>0</v>
          </cell>
          <cell r="AI1338" t="str">
            <v/>
          </cell>
          <cell r="AJ1338" t="str">
            <v/>
          </cell>
          <cell r="AK1338">
            <v>0</v>
          </cell>
          <cell r="AL1338">
            <v>0</v>
          </cell>
          <cell r="AM1338">
            <v>0</v>
          </cell>
        </row>
        <row r="1339">
          <cell r="C1339" t="str">
            <v/>
          </cell>
          <cell r="D1339" t="str">
            <v/>
          </cell>
          <cell r="O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/>
          </cell>
          <cell r="Y1339" t="str">
            <v/>
          </cell>
          <cell r="AA1339" t="str">
            <v/>
          </cell>
          <cell r="AB1339">
            <v>0</v>
          </cell>
          <cell r="AC1339">
            <v>0</v>
          </cell>
          <cell r="AI1339" t="str">
            <v/>
          </cell>
          <cell r="AJ1339" t="str">
            <v/>
          </cell>
          <cell r="AK1339">
            <v>0</v>
          </cell>
          <cell r="AL1339">
            <v>0</v>
          </cell>
          <cell r="AM1339">
            <v>0</v>
          </cell>
        </row>
        <row r="1340">
          <cell r="C1340" t="str">
            <v/>
          </cell>
          <cell r="D1340" t="str">
            <v/>
          </cell>
          <cell r="O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/>
          </cell>
          <cell r="Y1340" t="str">
            <v/>
          </cell>
          <cell r="AA1340" t="str">
            <v/>
          </cell>
          <cell r="AB1340">
            <v>0</v>
          </cell>
          <cell r="AC1340">
            <v>0</v>
          </cell>
          <cell r="AI1340" t="str">
            <v/>
          </cell>
          <cell r="AJ1340" t="str">
            <v/>
          </cell>
          <cell r="AK1340">
            <v>0</v>
          </cell>
          <cell r="AL1340">
            <v>0</v>
          </cell>
          <cell r="AM1340">
            <v>0</v>
          </cell>
        </row>
        <row r="1341">
          <cell r="C1341" t="str">
            <v/>
          </cell>
          <cell r="D1341" t="str">
            <v/>
          </cell>
          <cell r="O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/>
          </cell>
          <cell r="Y1341" t="str">
            <v/>
          </cell>
          <cell r="AA1341" t="str">
            <v/>
          </cell>
          <cell r="AB1341">
            <v>0</v>
          </cell>
          <cell r="AC1341">
            <v>0</v>
          </cell>
          <cell r="AI1341" t="str">
            <v/>
          </cell>
          <cell r="AJ1341" t="str">
            <v/>
          </cell>
          <cell r="AK1341">
            <v>0</v>
          </cell>
          <cell r="AL1341">
            <v>0</v>
          </cell>
          <cell r="AM1341">
            <v>0</v>
          </cell>
        </row>
        <row r="1342">
          <cell r="C1342" t="str">
            <v/>
          </cell>
          <cell r="D1342" t="str">
            <v/>
          </cell>
          <cell r="O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/>
          </cell>
          <cell r="Y1342" t="str">
            <v/>
          </cell>
          <cell r="AA1342" t="str">
            <v/>
          </cell>
          <cell r="AB1342">
            <v>0</v>
          </cell>
          <cell r="AC1342">
            <v>0</v>
          </cell>
          <cell r="AI1342" t="str">
            <v/>
          </cell>
          <cell r="AJ1342" t="str">
            <v/>
          </cell>
          <cell r="AK1342">
            <v>0</v>
          </cell>
          <cell r="AL1342">
            <v>0</v>
          </cell>
          <cell r="AM1342">
            <v>0</v>
          </cell>
        </row>
        <row r="1343">
          <cell r="C1343" t="str">
            <v/>
          </cell>
          <cell r="D1343" t="str">
            <v/>
          </cell>
          <cell r="O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/>
          </cell>
          <cell r="Y1343" t="str">
            <v/>
          </cell>
          <cell r="AA1343" t="str">
            <v/>
          </cell>
          <cell r="AB1343">
            <v>0</v>
          </cell>
          <cell r="AC1343">
            <v>0</v>
          </cell>
          <cell r="AI1343" t="str">
            <v/>
          </cell>
          <cell r="AJ1343" t="str">
            <v/>
          </cell>
          <cell r="AK1343">
            <v>0</v>
          </cell>
          <cell r="AL1343">
            <v>0</v>
          </cell>
          <cell r="AM1343">
            <v>0</v>
          </cell>
        </row>
        <row r="1344">
          <cell r="C1344" t="str">
            <v/>
          </cell>
          <cell r="D1344" t="str">
            <v/>
          </cell>
          <cell r="O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/>
          </cell>
          <cell r="Y1344" t="str">
            <v/>
          </cell>
          <cell r="AA1344" t="str">
            <v/>
          </cell>
          <cell r="AB1344">
            <v>0</v>
          </cell>
          <cell r="AC1344">
            <v>0</v>
          </cell>
          <cell r="AI1344" t="str">
            <v/>
          </cell>
          <cell r="AJ1344" t="str">
            <v/>
          </cell>
          <cell r="AK1344">
            <v>0</v>
          </cell>
          <cell r="AL1344">
            <v>0</v>
          </cell>
          <cell r="AM1344">
            <v>0</v>
          </cell>
        </row>
        <row r="1345">
          <cell r="C1345" t="str">
            <v/>
          </cell>
          <cell r="D1345" t="str">
            <v/>
          </cell>
          <cell r="O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/>
          </cell>
          <cell r="Y1345" t="str">
            <v/>
          </cell>
          <cell r="AA1345" t="str">
            <v/>
          </cell>
          <cell r="AB1345">
            <v>0</v>
          </cell>
          <cell r="AC1345">
            <v>0</v>
          </cell>
          <cell r="AI1345" t="str">
            <v/>
          </cell>
          <cell r="AJ1345" t="str">
            <v/>
          </cell>
          <cell r="AK1345">
            <v>0</v>
          </cell>
          <cell r="AL1345">
            <v>0</v>
          </cell>
          <cell r="AM1345">
            <v>0</v>
          </cell>
        </row>
        <row r="1346">
          <cell r="C1346" t="str">
            <v/>
          </cell>
          <cell r="D1346" t="str">
            <v/>
          </cell>
          <cell r="O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/>
          </cell>
          <cell r="Y1346" t="str">
            <v/>
          </cell>
          <cell r="AA1346" t="str">
            <v/>
          </cell>
          <cell r="AB1346">
            <v>0</v>
          </cell>
          <cell r="AC1346">
            <v>0</v>
          </cell>
          <cell r="AI1346" t="str">
            <v/>
          </cell>
          <cell r="AJ1346" t="str">
            <v/>
          </cell>
          <cell r="AK1346">
            <v>0</v>
          </cell>
          <cell r="AL1346">
            <v>0</v>
          </cell>
          <cell r="AM1346">
            <v>0</v>
          </cell>
        </row>
        <row r="1347">
          <cell r="C1347" t="str">
            <v/>
          </cell>
          <cell r="D1347" t="str">
            <v/>
          </cell>
          <cell r="O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/>
          </cell>
          <cell r="Y1347" t="str">
            <v/>
          </cell>
          <cell r="AA1347" t="str">
            <v/>
          </cell>
          <cell r="AB1347">
            <v>0</v>
          </cell>
          <cell r="AC1347">
            <v>0</v>
          </cell>
          <cell r="AI1347" t="str">
            <v/>
          </cell>
          <cell r="AJ1347" t="str">
            <v/>
          </cell>
          <cell r="AK1347">
            <v>0</v>
          </cell>
          <cell r="AL1347">
            <v>0</v>
          </cell>
          <cell r="AM1347">
            <v>0</v>
          </cell>
        </row>
        <row r="1348">
          <cell r="C1348" t="str">
            <v/>
          </cell>
          <cell r="D1348" t="str">
            <v/>
          </cell>
          <cell r="O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/>
          </cell>
          <cell r="Y1348" t="str">
            <v/>
          </cell>
          <cell r="AA1348" t="str">
            <v/>
          </cell>
          <cell r="AB1348">
            <v>0</v>
          </cell>
          <cell r="AC1348">
            <v>0</v>
          </cell>
          <cell r="AI1348" t="str">
            <v/>
          </cell>
          <cell r="AJ1348" t="str">
            <v/>
          </cell>
          <cell r="AK1348">
            <v>0</v>
          </cell>
          <cell r="AL1348">
            <v>0</v>
          </cell>
          <cell r="AM1348">
            <v>0</v>
          </cell>
        </row>
        <row r="1349">
          <cell r="C1349" t="str">
            <v/>
          </cell>
          <cell r="D1349" t="str">
            <v/>
          </cell>
          <cell r="O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/>
          </cell>
          <cell r="Y1349" t="str">
            <v/>
          </cell>
          <cell r="AA1349" t="str">
            <v/>
          </cell>
          <cell r="AB1349">
            <v>0</v>
          </cell>
          <cell r="AC1349">
            <v>0</v>
          </cell>
          <cell r="AI1349" t="str">
            <v/>
          </cell>
          <cell r="AJ1349" t="str">
            <v/>
          </cell>
          <cell r="AK1349">
            <v>0</v>
          </cell>
          <cell r="AL1349">
            <v>0</v>
          </cell>
          <cell r="AM1349">
            <v>0</v>
          </cell>
        </row>
        <row r="1350">
          <cell r="C1350" t="str">
            <v/>
          </cell>
          <cell r="D1350" t="str">
            <v/>
          </cell>
          <cell r="O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/>
          </cell>
          <cell r="Y1350" t="str">
            <v/>
          </cell>
          <cell r="AA1350" t="str">
            <v/>
          </cell>
          <cell r="AB1350">
            <v>0</v>
          </cell>
          <cell r="AC1350">
            <v>0</v>
          </cell>
          <cell r="AI1350" t="str">
            <v/>
          </cell>
          <cell r="AJ1350" t="str">
            <v/>
          </cell>
          <cell r="AK1350">
            <v>0</v>
          </cell>
          <cell r="AL1350">
            <v>0</v>
          </cell>
          <cell r="AM1350">
            <v>0</v>
          </cell>
        </row>
        <row r="1351">
          <cell r="C1351" t="str">
            <v/>
          </cell>
          <cell r="D1351" t="str">
            <v/>
          </cell>
          <cell r="O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/>
          </cell>
          <cell r="Y1351" t="str">
            <v/>
          </cell>
          <cell r="AA1351" t="str">
            <v/>
          </cell>
          <cell r="AB1351">
            <v>0</v>
          </cell>
          <cell r="AC1351">
            <v>0</v>
          </cell>
          <cell r="AI1351" t="str">
            <v/>
          </cell>
          <cell r="AJ1351" t="str">
            <v/>
          </cell>
          <cell r="AK1351">
            <v>0</v>
          </cell>
          <cell r="AL1351">
            <v>0</v>
          </cell>
          <cell r="AM1351">
            <v>0</v>
          </cell>
        </row>
        <row r="1352">
          <cell r="C1352" t="str">
            <v/>
          </cell>
          <cell r="D1352" t="str">
            <v/>
          </cell>
          <cell r="O1352" t="str">
            <v/>
          </cell>
          <cell r="T1352" t="str">
            <v/>
          </cell>
          <cell r="U1352" t="str">
            <v/>
          </cell>
          <cell r="V1352" t="str">
            <v/>
          </cell>
          <cell r="W1352" t="str">
            <v/>
          </cell>
          <cell r="Y1352" t="str">
            <v/>
          </cell>
          <cell r="AA1352" t="str">
            <v/>
          </cell>
          <cell r="AB1352">
            <v>0</v>
          </cell>
          <cell r="AC1352">
            <v>0</v>
          </cell>
          <cell r="AI1352" t="str">
            <v/>
          </cell>
          <cell r="AJ1352" t="str">
            <v/>
          </cell>
          <cell r="AK1352">
            <v>0</v>
          </cell>
          <cell r="AL1352">
            <v>0</v>
          </cell>
          <cell r="AM1352">
            <v>0</v>
          </cell>
        </row>
        <row r="1353">
          <cell r="C1353" t="str">
            <v/>
          </cell>
          <cell r="D1353" t="str">
            <v/>
          </cell>
          <cell r="O1353" t="str">
            <v/>
          </cell>
          <cell r="T1353" t="str">
            <v/>
          </cell>
          <cell r="U1353" t="str">
            <v/>
          </cell>
          <cell r="V1353" t="str">
            <v/>
          </cell>
          <cell r="W1353" t="str">
            <v/>
          </cell>
          <cell r="Y1353" t="str">
            <v/>
          </cell>
          <cell r="AA1353" t="str">
            <v/>
          </cell>
          <cell r="AB1353">
            <v>0</v>
          </cell>
          <cell r="AC1353">
            <v>0</v>
          </cell>
          <cell r="AI1353" t="str">
            <v/>
          </cell>
          <cell r="AJ1353" t="str">
            <v/>
          </cell>
          <cell r="AK1353">
            <v>0</v>
          </cell>
          <cell r="AL1353">
            <v>0</v>
          </cell>
          <cell r="AM1353">
            <v>0</v>
          </cell>
        </row>
        <row r="1354">
          <cell r="C1354" t="str">
            <v/>
          </cell>
          <cell r="D1354" t="str">
            <v/>
          </cell>
          <cell r="O1354" t="str">
            <v/>
          </cell>
          <cell r="T1354" t="str">
            <v/>
          </cell>
          <cell r="U1354" t="str">
            <v/>
          </cell>
          <cell r="V1354" t="str">
            <v/>
          </cell>
          <cell r="W1354" t="str">
            <v/>
          </cell>
          <cell r="Y1354" t="str">
            <v/>
          </cell>
          <cell r="AA1354" t="str">
            <v/>
          </cell>
          <cell r="AB1354">
            <v>0</v>
          </cell>
          <cell r="AC1354">
            <v>0</v>
          </cell>
          <cell r="AI1354" t="str">
            <v/>
          </cell>
          <cell r="AJ1354" t="str">
            <v/>
          </cell>
          <cell r="AK1354">
            <v>0</v>
          </cell>
          <cell r="AL1354">
            <v>0</v>
          </cell>
          <cell r="AM1354">
            <v>0</v>
          </cell>
        </row>
        <row r="1355">
          <cell r="C1355" t="str">
            <v/>
          </cell>
          <cell r="D1355" t="str">
            <v/>
          </cell>
          <cell r="O1355" t="str">
            <v/>
          </cell>
          <cell r="T1355" t="str">
            <v/>
          </cell>
          <cell r="U1355" t="str">
            <v/>
          </cell>
          <cell r="V1355" t="str">
            <v/>
          </cell>
          <cell r="W1355" t="str">
            <v/>
          </cell>
          <cell r="Y1355" t="str">
            <v/>
          </cell>
          <cell r="AA1355" t="str">
            <v/>
          </cell>
          <cell r="AB1355">
            <v>0</v>
          </cell>
          <cell r="AC1355">
            <v>0</v>
          </cell>
          <cell r="AI1355" t="str">
            <v/>
          </cell>
          <cell r="AJ1355" t="str">
            <v/>
          </cell>
          <cell r="AK1355">
            <v>0</v>
          </cell>
          <cell r="AL1355">
            <v>0</v>
          </cell>
          <cell r="AM1355">
            <v>0</v>
          </cell>
        </row>
        <row r="1356">
          <cell r="C1356" t="str">
            <v/>
          </cell>
          <cell r="D1356" t="str">
            <v/>
          </cell>
          <cell r="O1356" t="str">
            <v/>
          </cell>
          <cell r="T1356" t="str">
            <v/>
          </cell>
          <cell r="U1356" t="str">
            <v/>
          </cell>
          <cell r="V1356" t="str">
            <v/>
          </cell>
          <cell r="W1356" t="str">
            <v/>
          </cell>
          <cell r="Y1356" t="str">
            <v/>
          </cell>
          <cell r="AA1356" t="str">
            <v/>
          </cell>
          <cell r="AB1356">
            <v>0</v>
          </cell>
          <cell r="AC1356">
            <v>0</v>
          </cell>
          <cell r="AI1356" t="str">
            <v/>
          </cell>
          <cell r="AJ1356" t="str">
            <v/>
          </cell>
          <cell r="AK1356">
            <v>0</v>
          </cell>
          <cell r="AL1356">
            <v>0</v>
          </cell>
          <cell r="AM1356">
            <v>0</v>
          </cell>
        </row>
        <row r="1357">
          <cell r="C1357" t="str">
            <v/>
          </cell>
          <cell r="D1357" t="str">
            <v/>
          </cell>
          <cell r="O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/>
          </cell>
          <cell r="Y1357" t="str">
            <v/>
          </cell>
          <cell r="AA1357" t="str">
            <v/>
          </cell>
          <cell r="AB1357">
            <v>0</v>
          </cell>
          <cell r="AC1357">
            <v>0</v>
          </cell>
          <cell r="AI1357" t="str">
            <v/>
          </cell>
          <cell r="AJ1357" t="str">
            <v/>
          </cell>
          <cell r="AK1357">
            <v>0</v>
          </cell>
          <cell r="AL1357">
            <v>0</v>
          </cell>
          <cell r="AM1357">
            <v>0</v>
          </cell>
        </row>
        <row r="1358">
          <cell r="C1358" t="str">
            <v/>
          </cell>
          <cell r="D1358" t="str">
            <v/>
          </cell>
          <cell r="O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/>
          </cell>
          <cell r="Y1358" t="str">
            <v/>
          </cell>
          <cell r="AA1358" t="str">
            <v/>
          </cell>
          <cell r="AB1358">
            <v>0</v>
          </cell>
          <cell r="AC1358">
            <v>0</v>
          </cell>
          <cell r="AI1358" t="str">
            <v/>
          </cell>
          <cell r="AJ1358" t="str">
            <v/>
          </cell>
          <cell r="AK1358">
            <v>0</v>
          </cell>
          <cell r="AL1358">
            <v>0</v>
          </cell>
          <cell r="AM1358">
            <v>0</v>
          </cell>
        </row>
        <row r="1359">
          <cell r="C1359" t="str">
            <v/>
          </cell>
          <cell r="D1359" t="str">
            <v/>
          </cell>
          <cell r="O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/>
          </cell>
          <cell r="Y1359" t="str">
            <v/>
          </cell>
          <cell r="AA1359" t="str">
            <v/>
          </cell>
          <cell r="AB1359">
            <v>0</v>
          </cell>
          <cell r="AC1359">
            <v>0</v>
          </cell>
          <cell r="AI1359" t="str">
            <v/>
          </cell>
          <cell r="AJ1359" t="str">
            <v/>
          </cell>
          <cell r="AK1359">
            <v>0</v>
          </cell>
          <cell r="AL1359">
            <v>0</v>
          </cell>
          <cell r="AM1359">
            <v>0</v>
          </cell>
        </row>
        <row r="1360">
          <cell r="C1360" t="str">
            <v/>
          </cell>
          <cell r="D1360" t="str">
            <v/>
          </cell>
          <cell r="O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/>
          </cell>
          <cell r="Y1360" t="str">
            <v/>
          </cell>
          <cell r="AA1360" t="str">
            <v/>
          </cell>
          <cell r="AB1360">
            <v>0</v>
          </cell>
          <cell r="AC1360">
            <v>0</v>
          </cell>
          <cell r="AI1360" t="str">
            <v/>
          </cell>
          <cell r="AJ1360" t="str">
            <v/>
          </cell>
          <cell r="AK1360">
            <v>0</v>
          </cell>
          <cell r="AL1360">
            <v>0</v>
          </cell>
          <cell r="AM1360">
            <v>0</v>
          </cell>
        </row>
        <row r="1361">
          <cell r="C1361" t="str">
            <v/>
          </cell>
          <cell r="D1361" t="str">
            <v/>
          </cell>
          <cell r="O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/>
          </cell>
          <cell r="Y1361" t="str">
            <v/>
          </cell>
          <cell r="AA1361" t="str">
            <v/>
          </cell>
          <cell r="AB1361">
            <v>0</v>
          </cell>
          <cell r="AC1361">
            <v>0</v>
          </cell>
          <cell r="AI1361" t="str">
            <v/>
          </cell>
          <cell r="AJ1361" t="str">
            <v/>
          </cell>
          <cell r="AK1361">
            <v>0</v>
          </cell>
          <cell r="AL1361">
            <v>0</v>
          </cell>
          <cell r="AM1361">
            <v>0</v>
          </cell>
        </row>
        <row r="1362">
          <cell r="C1362" t="str">
            <v/>
          </cell>
          <cell r="D1362" t="str">
            <v/>
          </cell>
          <cell r="O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/>
          </cell>
          <cell r="Y1362" t="str">
            <v/>
          </cell>
          <cell r="AA1362" t="str">
            <v/>
          </cell>
          <cell r="AB1362">
            <v>0</v>
          </cell>
          <cell r="AC1362">
            <v>0</v>
          </cell>
          <cell r="AI1362" t="str">
            <v/>
          </cell>
          <cell r="AJ1362" t="str">
            <v/>
          </cell>
          <cell r="AK1362">
            <v>0</v>
          </cell>
          <cell r="AL1362">
            <v>0</v>
          </cell>
          <cell r="AM1362">
            <v>0</v>
          </cell>
        </row>
        <row r="1363">
          <cell r="C1363" t="str">
            <v/>
          </cell>
          <cell r="D1363" t="str">
            <v/>
          </cell>
          <cell r="O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/>
          </cell>
          <cell r="Y1363" t="str">
            <v/>
          </cell>
          <cell r="AA1363" t="str">
            <v/>
          </cell>
          <cell r="AB1363">
            <v>0</v>
          </cell>
          <cell r="AC1363">
            <v>0</v>
          </cell>
          <cell r="AI1363" t="str">
            <v/>
          </cell>
          <cell r="AJ1363" t="str">
            <v/>
          </cell>
          <cell r="AK1363">
            <v>0</v>
          </cell>
          <cell r="AL1363">
            <v>0</v>
          </cell>
          <cell r="AM1363">
            <v>0</v>
          </cell>
        </row>
        <row r="1364">
          <cell r="C1364" t="str">
            <v/>
          </cell>
          <cell r="D1364" t="str">
            <v/>
          </cell>
          <cell r="O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/>
          </cell>
          <cell r="Y1364" t="str">
            <v/>
          </cell>
          <cell r="AA1364" t="str">
            <v/>
          </cell>
          <cell r="AB1364">
            <v>0</v>
          </cell>
          <cell r="AC1364">
            <v>0</v>
          </cell>
          <cell r="AI1364" t="str">
            <v/>
          </cell>
          <cell r="AJ1364" t="str">
            <v/>
          </cell>
          <cell r="AK1364">
            <v>0</v>
          </cell>
          <cell r="AL1364">
            <v>0</v>
          </cell>
          <cell r="AM1364">
            <v>0</v>
          </cell>
        </row>
        <row r="1365">
          <cell r="C1365" t="str">
            <v/>
          </cell>
          <cell r="D1365" t="str">
            <v/>
          </cell>
          <cell r="O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/>
          </cell>
          <cell r="Y1365" t="str">
            <v/>
          </cell>
          <cell r="AA1365" t="str">
            <v/>
          </cell>
          <cell r="AB1365">
            <v>0</v>
          </cell>
          <cell r="AC1365">
            <v>0</v>
          </cell>
          <cell r="AI1365" t="str">
            <v/>
          </cell>
          <cell r="AJ1365" t="str">
            <v/>
          </cell>
          <cell r="AK1365">
            <v>0</v>
          </cell>
          <cell r="AL1365">
            <v>0</v>
          </cell>
          <cell r="AM1365">
            <v>0</v>
          </cell>
        </row>
        <row r="1366">
          <cell r="C1366" t="str">
            <v/>
          </cell>
          <cell r="D1366" t="str">
            <v/>
          </cell>
          <cell r="O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/>
          </cell>
          <cell r="Y1366" t="str">
            <v/>
          </cell>
          <cell r="AA1366" t="str">
            <v/>
          </cell>
          <cell r="AB1366">
            <v>0</v>
          </cell>
          <cell r="AC1366">
            <v>0</v>
          </cell>
          <cell r="AI1366" t="str">
            <v/>
          </cell>
          <cell r="AJ1366" t="str">
            <v/>
          </cell>
          <cell r="AK1366">
            <v>0</v>
          </cell>
          <cell r="AL1366">
            <v>0</v>
          </cell>
          <cell r="AM1366">
            <v>0</v>
          </cell>
        </row>
        <row r="1367">
          <cell r="C1367" t="str">
            <v/>
          </cell>
          <cell r="D1367" t="str">
            <v/>
          </cell>
          <cell r="O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/>
          </cell>
          <cell r="Y1367" t="str">
            <v/>
          </cell>
          <cell r="AA1367" t="str">
            <v/>
          </cell>
          <cell r="AB1367">
            <v>0</v>
          </cell>
          <cell r="AC1367">
            <v>0</v>
          </cell>
          <cell r="AI1367" t="str">
            <v/>
          </cell>
          <cell r="AJ1367" t="str">
            <v/>
          </cell>
          <cell r="AK1367">
            <v>0</v>
          </cell>
          <cell r="AL1367">
            <v>0</v>
          </cell>
          <cell r="AM1367">
            <v>0</v>
          </cell>
        </row>
        <row r="1368">
          <cell r="C1368" t="str">
            <v/>
          </cell>
          <cell r="D1368" t="str">
            <v/>
          </cell>
          <cell r="O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/>
          </cell>
          <cell r="Y1368" t="str">
            <v/>
          </cell>
          <cell r="AA1368" t="str">
            <v/>
          </cell>
          <cell r="AB1368">
            <v>0</v>
          </cell>
          <cell r="AC1368">
            <v>0</v>
          </cell>
          <cell r="AI1368" t="str">
            <v/>
          </cell>
          <cell r="AJ1368" t="str">
            <v/>
          </cell>
          <cell r="AK1368">
            <v>0</v>
          </cell>
          <cell r="AL1368">
            <v>0</v>
          </cell>
          <cell r="AM1368">
            <v>0</v>
          </cell>
        </row>
        <row r="1369">
          <cell r="C1369" t="str">
            <v/>
          </cell>
          <cell r="D1369" t="str">
            <v/>
          </cell>
          <cell r="O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/>
          </cell>
          <cell r="Y1369" t="str">
            <v/>
          </cell>
          <cell r="AA1369" t="str">
            <v/>
          </cell>
          <cell r="AB1369">
            <v>0</v>
          </cell>
          <cell r="AC1369">
            <v>0</v>
          </cell>
          <cell r="AI1369" t="str">
            <v/>
          </cell>
          <cell r="AJ1369" t="str">
            <v/>
          </cell>
          <cell r="AK1369">
            <v>0</v>
          </cell>
          <cell r="AL1369">
            <v>0</v>
          </cell>
          <cell r="AM1369">
            <v>0</v>
          </cell>
        </row>
        <row r="1370">
          <cell r="C1370" t="str">
            <v/>
          </cell>
          <cell r="D1370" t="str">
            <v/>
          </cell>
          <cell r="O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/>
          </cell>
          <cell r="Y1370" t="str">
            <v/>
          </cell>
          <cell r="AA1370" t="str">
            <v/>
          </cell>
          <cell r="AB1370">
            <v>0</v>
          </cell>
          <cell r="AC1370">
            <v>0</v>
          </cell>
          <cell r="AI1370" t="str">
            <v/>
          </cell>
          <cell r="AJ1370" t="str">
            <v/>
          </cell>
          <cell r="AK1370">
            <v>0</v>
          </cell>
          <cell r="AL1370">
            <v>0</v>
          </cell>
          <cell r="AM1370">
            <v>0</v>
          </cell>
        </row>
        <row r="1371">
          <cell r="C1371" t="str">
            <v/>
          </cell>
          <cell r="D1371" t="str">
            <v/>
          </cell>
          <cell r="O1371" t="str">
            <v/>
          </cell>
          <cell r="T1371" t="str">
            <v/>
          </cell>
          <cell r="U1371" t="str">
            <v/>
          </cell>
          <cell r="V1371" t="str">
            <v/>
          </cell>
          <cell r="W1371" t="str">
            <v/>
          </cell>
          <cell r="Y1371" t="str">
            <v/>
          </cell>
          <cell r="AA1371" t="str">
            <v/>
          </cell>
          <cell r="AB1371">
            <v>0</v>
          </cell>
          <cell r="AC1371">
            <v>0</v>
          </cell>
          <cell r="AI1371" t="str">
            <v/>
          </cell>
          <cell r="AJ1371" t="str">
            <v/>
          </cell>
          <cell r="AK1371">
            <v>0</v>
          </cell>
          <cell r="AL1371">
            <v>0</v>
          </cell>
          <cell r="AM1371">
            <v>0</v>
          </cell>
        </row>
        <row r="1372">
          <cell r="C1372" t="str">
            <v/>
          </cell>
          <cell r="D1372" t="str">
            <v/>
          </cell>
          <cell r="O1372" t="str">
            <v/>
          </cell>
          <cell r="T1372" t="str">
            <v/>
          </cell>
          <cell r="U1372" t="str">
            <v/>
          </cell>
          <cell r="V1372" t="str">
            <v/>
          </cell>
          <cell r="W1372" t="str">
            <v/>
          </cell>
          <cell r="Y1372" t="str">
            <v/>
          </cell>
          <cell r="AA1372" t="str">
            <v/>
          </cell>
          <cell r="AB1372">
            <v>0</v>
          </cell>
          <cell r="AC1372">
            <v>0</v>
          </cell>
          <cell r="AI1372" t="str">
            <v/>
          </cell>
          <cell r="AJ1372" t="str">
            <v/>
          </cell>
          <cell r="AK1372">
            <v>0</v>
          </cell>
          <cell r="AL1372">
            <v>0</v>
          </cell>
          <cell r="AM1372">
            <v>0</v>
          </cell>
        </row>
        <row r="1373">
          <cell r="C1373" t="str">
            <v/>
          </cell>
          <cell r="D1373" t="str">
            <v/>
          </cell>
          <cell r="O1373" t="str">
            <v/>
          </cell>
          <cell r="T1373" t="str">
            <v/>
          </cell>
          <cell r="U1373" t="str">
            <v/>
          </cell>
          <cell r="V1373" t="str">
            <v/>
          </cell>
          <cell r="W1373" t="str">
            <v/>
          </cell>
          <cell r="Y1373" t="str">
            <v/>
          </cell>
          <cell r="AA1373" t="str">
            <v/>
          </cell>
          <cell r="AB1373">
            <v>0</v>
          </cell>
          <cell r="AC1373">
            <v>0</v>
          </cell>
          <cell r="AI1373" t="str">
            <v/>
          </cell>
          <cell r="AJ1373" t="str">
            <v/>
          </cell>
          <cell r="AK1373">
            <v>0</v>
          </cell>
          <cell r="AL1373">
            <v>0</v>
          </cell>
          <cell r="AM1373">
            <v>0</v>
          </cell>
        </row>
        <row r="1374">
          <cell r="C1374" t="str">
            <v/>
          </cell>
          <cell r="D1374" t="str">
            <v/>
          </cell>
          <cell r="O1374" t="str">
            <v/>
          </cell>
          <cell r="T1374" t="str">
            <v/>
          </cell>
          <cell r="U1374" t="str">
            <v/>
          </cell>
          <cell r="V1374" t="str">
            <v/>
          </cell>
          <cell r="W1374" t="str">
            <v/>
          </cell>
          <cell r="Y1374" t="str">
            <v/>
          </cell>
          <cell r="AA1374" t="str">
            <v/>
          </cell>
          <cell r="AB1374">
            <v>0</v>
          </cell>
          <cell r="AC1374">
            <v>0</v>
          </cell>
          <cell r="AI1374" t="str">
            <v/>
          </cell>
          <cell r="AJ1374" t="str">
            <v/>
          </cell>
          <cell r="AK1374">
            <v>0</v>
          </cell>
          <cell r="AL1374">
            <v>0</v>
          </cell>
          <cell r="AM1374">
            <v>0</v>
          </cell>
        </row>
        <row r="1375">
          <cell r="C1375" t="str">
            <v/>
          </cell>
          <cell r="D1375" t="str">
            <v/>
          </cell>
          <cell r="O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/>
          </cell>
          <cell r="Y1375" t="str">
            <v/>
          </cell>
          <cell r="AA1375" t="str">
            <v/>
          </cell>
          <cell r="AB1375">
            <v>0</v>
          </cell>
          <cell r="AC1375">
            <v>0</v>
          </cell>
          <cell r="AI1375" t="str">
            <v/>
          </cell>
          <cell r="AJ1375" t="str">
            <v/>
          </cell>
          <cell r="AK1375">
            <v>0</v>
          </cell>
          <cell r="AL1375">
            <v>0</v>
          </cell>
          <cell r="AM1375">
            <v>0</v>
          </cell>
        </row>
        <row r="1376">
          <cell r="C1376" t="str">
            <v/>
          </cell>
          <cell r="D1376" t="str">
            <v/>
          </cell>
          <cell r="O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/>
          </cell>
          <cell r="Y1376" t="str">
            <v/>
          </cell>
          <cell r="AA1376" t="str">
            <v/>
          </cell>
          <cell r="AB1376">
            <v>0</v>
          </cell>
          <cell r="AC1376">
            <v>0</v>
          </cell>
          <cell r="AI1376" t="str">
            <v/>
          </cell>
          <cell r="AJ1376" t="str">
            <v/>
          </cell>
          <cell r="AK1376">
            <v>0</v>
          </cell>
          <cell r="AL1376">
            <v>0</v>
          </cell>
          <cell r="AM1376">
            <v>0</v>
          </cell>
        </row>
        <row r="1377">
          <cell r="C1377" t="str">
            <v/>
          </cell>
          <cell r="D1377" t="str">
            <v/>
          </cell>
          <cell r="O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/>
          </cell>
          <cell r="Y1377" t="str">
            <v/>
          </cell>
          <cell r="AA1377" t="str">
            <v/>
          </cell>
          <cell r="AB1377">
            <v>0</v>
          </cell>
          <cell r="AC1377">
            <v>0</v>
          </cell>
          <cell r="AI1377" t="str">
            <v/>
          </cell>
          <cell r="AJ1377" t="str">
            <v/>
          </cell>
          <cell r="AK1377">
            <v>0</v>
          </cell>
          <cell r="AL1377">
            <v>0</v>
          </cell>
          <cell r="AM1377">
            <v>0</v>
          </cell>
        </row>
        <row r="1378">
          <cell r="C1378" t="str">
            <v/>
          </cell>
          <cell r="D1378" t="str">
            <v/>
          </cell>
          <cell r="O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/>
          </cell>
          <cell r="Y1378" t="str">
            <v/>
          </cell>
          <cell r="AA1378" t="str">
            <v/>
          </cell>
          <cell r="AB1378">
            <v>0</v>
          </cell>
          <cell r="AC1378">
            <v>0</v>
          </cell>
          <cell r="AI1378" t="str">
            <v/>
          </cell>
          <cell r="AJ1378" t="str">
            <v/>
          </cell>
          <cell r="AK1378">
            <v>0</v>
          </cell>
          <cell r="AL1378">
            <v>0</v>
          </cell>
          <cell r="AM1378">
            <v>0</v>
          </cell>
        </row>
        <row r="1379">
          <cell r="C1379" t="str">
            <v/>
          </cell>
          <cell r="D1379" t="str">
            <v/>
          </cell>
          <cell r="O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/>
          </cell>
          <cell r="Y1379" t="str">
            <v/>
          </cell>
          <cell r="AA1379" t="str">
            <v/>
          </cell>
          <cell r="AB1379">
            <v>0</v>
          </cell>
          <cell r="AC1379">
            <v>0</v>
          </cell>
          <cell r="AI1379" t="str">
            <v/>
          </cell>
          <cell r="AJ1379" t="str">
            <v/>
          </cell>
          <cell r="AK1379">
            <v>0</v>
          </cell>
          <cell r="AL1379">
            <v>0</v>
          </cell>
          <cell r="AM1379">
            <v>0</v>
          </cell>
        </row>
        <row r="1380">
          <cell r="C1380" t="str">
            <v/>
          </cell>
          <cell r="D1380" t="str">
            <v/>
          </cell>
          <cell r="O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/>
          </cell>
          <cell r="Y1380" t="str">
            <v/>
          </cell>
          <cell r="AA1380" t="str">
            <v/>
          </cell>
          <cell r="AB1380">
            <v>0</v>
          </cell>
          <cell r="AC1380">
            <v>0</v>
          </cell>
          <cell r="AI1380" t="str">
            <v/>
          </cell>
          <cell r="AJ1380" t="str">
            <v/>
          </cell>
          <cell r="AK1380">
            <v>0</v>
          </cell>
          <cell r="AL1380">
            <v>0</v>
          </cell>
          <cell r="AM1380">
            <v>0</v>
          </cell>
        </row>
        <row r="1381">
          <cell r="C1381" t="str">
            <v/>
          </cell>
          <cell r="D1381" t="str">
            <v/>
          </cell>
          <cell r="O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/>
          </cell>
          <cell r="Y1381" t="str">
            <v/>
          </cell>
          <cell r="AA1381" t="str">
            <v/>
          </cell>
          <cell r="AB1381">
            <v>0</v>
          </cell>
          <cell r="AC1381">
            <v>0</v>
          </cell>
          <cell r="AI1381" t="str">
            <v/>
          </cell>
          <cell r="AJ1381" t="str">
            <v/>
          </cell>
          <cell r="AK1381">
            <v>0</v>
          </cell>
          <cell r="AL1381">
            <v>0</v>
          </cell>
          <cell r="AM1381">
            <v>0</v>
          </cell>
        </row>
        <row r="1382">
          <cell r="C1382" t="str">
            <v/>
          </cell>
          <cell r="D1382" t="str">
            <v/>
          </cell>
          <cell r="O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/>
          </cell>
          <cell r="Y1382" t="str">
            <v/>
          </cell>
          <cell r="AA1382" t="str">
            <v/>
          </cell>
          <cell r="AB1382">
            <v>0</v>
          </cell>
          <cell r="AC1382">
            <v>0</v>
          </cell>
          <cell r="AI1382" t="str">
            <v/>
          </cell>
          <cell r="AJ1382" t="str">
            <v/>
          </cell>
          <cell r="AK1382">
            <v>0</v>
          </cell>
          <cell r="AL1382">
            <v>0</v>
          </cell>
          <cell r="AM1382">
            <v>0</v>
          </cell>
        </row>
        <row r="1383">
          <cell r="C1383" t="str">
            <v/>
          </cell>
          <cell r="D1383" t="str">
            <v/>
          </cell>
          <cell r="O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/>
          </cell>
          <cell r="Y1383" t="str">
            <v/>
          </cell>
          <cell r="AA1383" t="str">
            <v/>
          </cell>
          <cell r="AB1383">
            <v>0</v>
          </cell>
          <cell r="AC1383">
            <v>0</v>
          </cell>
          <cell r="AI1383" t="str">
            <v/>
          </cell>
          <cell r="AJ1383" t="str">
            <v/>
          </cell>
          <cell r="AK1383">
            <v>0</v>
          </cell>
          <cell r="AL1383">
            <v>0</v>
          </cell>
          <cell r="AM1383">
            <v>0</v>
          </cell>
        </row>
        <row r="1384">
          <cell r="C1384" t="str">
            <v/>
          </cell>
          <cell r="D1384" t="str">
            <v/>
          </cell>
          <cell r="O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/>
          </cell>
          <cell r="Y1384" t="str">
            <v/>
          </cell>
          <cell r="AA1384" t="str">
            <v/>
          </cell>
          <cell r="AB1384">
            <v>0</v>
          </cell>
          <cell r="AC1384">
            <v>0</v>
          </cell>
          <cell r="AI1384" t="str">
            <v/>
          </cell>
          <cell r="AJ1384" t="str">
            <v/>
          </cell>
          <cell r="AK1384">
            <v>0</v>
          </cell>
          <cell r="AL1384">
            <v>0</v>
          </cell>
          <cell r="AM1384">
            <v>0</v>
          </cell>
        </row>
        <row r="1385">
          <cell r="C1385" t="str">
            <v/>
          </cell>
          <cell r="D1385" t="str">
            <v/>
          </cell>
          <cell r="O1385" t="str">
            <v/>
          </cell>
          <cell r="T1385" t="str">
            <v/>
          </cell>
          <cell r="U1385" t="str">
            <v/>
          </cell>
          <cell r="V1385" t="str">
            <v/>
          </cell>
          <cell r="W1385" t="str">
            <v/>
          </cell>
          <cell r="Y1385" t="str">
            <v/>
          </cell>
          <cell r="AA1385" t="str">
            <v/>
          </cell>
          <cell r="AB1385">
            <v>0</v>
          </cell>
          <cell r="AC1385">
            <v>0</v>
          </cell>
          <cell r="AI1385" t="str">
            <v/>
          </cell>
          <cell r="AJ1385" t="str">
            <v/>
          </cell>
          <cell r="AK1385">
            <v>0</v>
          </cell>
          <cell r="AL1385">
            <v>0</v>
          </cell>
          <cell r="AM1385">
            <v>0</v>
          </cell>
        </row>
        <row r="1386">
          <cell r="C1386" t="str">
            <v/>
          </cell>
          <cell r="D1386" t="str">
            <v/>
          </cell>
          <cell r="O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/>
          </cell>
          <cell r="Y1386" t="str">
            <v/>
          </cell>
          <cell r="AA1386" t="str">
            <v/>
          </cell>
          <cell r="AB1386">
            <v>0</v>
          </cell>
          <cell r="AC1386">
            <v>0</v>
          </cell>
          <cell r="AI1386" t="str">
            <v/>
          </cell>
          <cell r="AJ1386" t="str">
            <v/>
          </cell>
          <cell r="AK1386">
            <v>0</v>
          </cell>
          <cell r="AL1386">
            <v>0</v>
          </cell>
          <cell r="AM1386">
            <v>0</v>
          </cell>
        </row>
        <row r="1387">
          <cell r="C1387" t="str">
            <v/>
          </cell>
          <cell r="D1387" t="str">
            <v/>
          </cell>
          <cell r="O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/>
          </cell>
          <cell r="Y1387" t="str">
            <v/>
          </cell>
          <cell r="AA1387" t="str">
            <v/>
          </cell>
          <cell r="AB1387">
            <v>0</v>
          </cell>
          <cell r="AC1387">
            <v>0</v>
          </cell>
          <cell r="AI1387" t="str">
            <v/>
          </cell>
          <cell r="AJ1387" t="str">
            <v/>
          </cell>
          <cell r="AK1387">
            <v>0</v>
          </cell>
          <cell r="AL1387">
            <v>0</v>
          </cell>
          <cell r="AM1387">
            <v>0</v>
          </cell>
        </row>
        <row r="1388">
          <cell r="C1388" t="str">
            <v/>
          </cell>
          <cell r="D1388" t="str">
            <v/>
          </cell>
          <cell r="O1388" t="str">
            <v/>
          </cell>
          <cell r="T1388" t="str">
            <v/>
          </cell>
          <cell r="U1388" t="str">
            <v/>
          </cell>
          <cell r="V1388" t="str">
            <v/>
          </cell>
          <cell r="W1388" t="str">
            <v/>
          </cell>
          <cell r="Y1388" t="str">
            <v/>
          </cell>
          <cell r="AA1388" t="str">
            <v/>
          </cell>
          <cell r="AB1388">
            <v>0</v>
          </cell>
          <cell r="AC1388">
            <v>0</v>
          </cell>
          <cell r="AI1388" t="str">
            <v/>
          </cell>
          <cell r="AJ1388" t="str">
            <v/>
          </cell>
          <cell r="AK1388">
            <v>0</v>
          </cell>
          <cell r="AL1388">
            <v>0</v>
          </cell>
          <cell r="AM1388">
            <v>0</v>
          </cell>
        </row>
        <row r="1389">
          <cell r="C1389" t="str">
            <v/>
          </cell>
          <cell r="D1389" t="str">
            <v/>
          </cell>
          <cell r="O1389" t="str">
            <v/>
          </cell>
          <cell r="T1389" t="str">
            <v/>
          </cell>
          <cell r="U1389" t="str">
            <v/>
          </cell>
          <cell r="V1389" t="str">
            <v/>
          </cell>
          <cell r="W1389" t="str">
            <v/>
          </cell>
          <cell r="Y1389" t="str">
            <v/>
          </cell>
          <cell r="AA1389" t="str">
            <v/>
          </cell>
          <cell r="AB1389">
            <v>0</v>
          </cell>
          <cell r="AC1389">
            <v>0</v>
          </cell>
          <cell r="AI1389" t="str">
            <v/>
          </cell>
          <cell r="AJ1389" t="str">
            <v/>
          </cell>
          <cell r="AK1389">
            <v>0</v>
          </cell>
          <cell r="AL1389">
            <v>0</v>
          </cell>
          <cell r="AM1389">
            <v>0</v>
          </cell>
        </row>
        <row r="1390">
          <cell r="C1390" t="str">
            <v/>
          </cell>
          <cell r="D1390" t="str">
            <v/>
          </cell>
          <cell r="O1390" t="str">
            <v/>
          </cell>
          <cell r="T1390" t="str">
            <v/>
          </cell>
          <cell r="U1390" t="str">
            <v/>
          </cell>
          <cell r="V1390" t="str">
            <v/>
          </cell>
          <cell r="W1390" t="str">
            <v/>
          </cell>
          <cell r="Y1390" t="str">
            <v/>
          </cell>
          <cell r="AA1390" t="str">
            <v/>
          </cell>
          <cell r="AB1390">
            <v>0</v>
          </cell>
          <cell r="AC1390">
            <v>0</v>
          </cell>
          <cell r="AI1390" t="str">
            <v/>
          </cell>
          <cell r="AJ1390" t="str">
            <v/>
          </cell>
          <cell r="AK1390">
            <v>0</v>
          </cell>
          <cell r="AL1390">
            <v>0</v>
          </cell>
          <cell r="AM1390">
            <v>0</v>
          </cell>
        </row>
        <row r="1391">
          <cell r="C1391" t="str">
            <v/>
          </cell>
          <cell r="D1391" t="str">
            <v/>
          </cell>
          <cell r="O1391" t="str">
            <v/>
          </cell>
          <cell r="T1391" t="str">
            <v/>
          </cell>
          <cell r="U1391" t="str">
            <v/>
          </cell>
          <cell r="V1391" t="str">
            <v/>
          </cell>
          <cell r="W1391" t="str">
            <v/>
          </cell>
          <cell r="Y1391" t="str">
            <v/>
          </cell>
          <cell r="AA1391" t="str">
            <v/>
          </cell>
          <cell r="AB1391">
            <v>0</v>
          </cell>
          <cell r="AC1391">
            <v>0</v>
          </cell>
          <cell r="AI1391" t="str">
            <v/>
          </cell>
          <cell r="AJ1391" t="str">
            <v/>
          </cell>
          <cell r="AK1391">
            <v>0</v>
          </cell>
          <cell r="AL1391">
            <v>0</v>
          </cell>
          <cell r="AM1391">
            <v>0</v>
          </cell>
        </row>
        <row r="1392">
          <cell r="C1392" t="str">
            <v/>
          </cell>
          <cell r="D1392" t="str">
            <v/>
          </cell>
          <cell r="O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/>
          </cell>
          <cell r="Y1392" t="str">
            <v/>
          </cell>
          <cell r="AA1392" t="str">
            <v/>
          </cell>
          <cell r="AB1392">
            <v>0</v>
          </cell>
          <cell r="AC1392">
            <v>0</v>
          </cell>
          <cell r="AI1392" t="str">
            <v/>
          </cell>
          <cell r="AJ1392" t="str">
            <v/>
          </cell>
          <cell r="AK1392">
            <v>0</v>
          </cell>
          <cell r="AL1392">
            <v>0</v>
          </cell>
          <cell r="AM1392">
            <v>0</v>
          </cell>
        </row>
        <row r="1393">
          <cell r="C1393" t="str">
            <v/>
          </cell>
          <cell r="D1393" t="str">
            <v/>
          </cell>
          <cell r="O1393" t="str">
            <v/>
          </cell>
          <cell r="T1393" t="str">
            <v/>
          </cell>
          <cell r="U1393" t="str">
            <v/>
          </cell>
          <cell r="V1393" t="str">
            <v/>
          </cell>
          <cell r="W1393" t="str">
            <v/>
          </cell>
          <cell r="Y1393" t="str">
            <v/>
          </cell>
          <cell r="AA1393" t="str">
            <v/>
          </cell>
          <cell r="AB1393">
            <v>0</v>
          </cell>
          <cell r="AC1393">
            <v>0</v>
          </cell>
          <cell r="AI1393" t="str">
            <v/>
          </cell>
          <cell r="AJ1393" t="str">
            <v/>
          </cell>
          <cell r="AK1393">
            <v>0</v>
          </cell>
          <cell r="AL1393">
            <v>0</v>
          </cell>
          <cell r="AM1393">
            <v>0</v>
          </cell>
        </row>
        <row r="1394">
          <cell r="C1394" t="str">
            <v/>
          </cell>
          <cell r="D1394" t="str">
            <v/>
          </cell>
          <cell r="O1394" t="str">
            <v/>
          </cell>
          <cell r="T1394" t="str">
            <v/>
          </cell>
          <cell r="U1394" t="str">
            <v/>
          </cell>
          <cell r="V1394" t="str">
            <v/>
          </cell>
          <cell r="W1394" t="str">
            <v/>
          </cell>
          <cell r="Y1394" t="str">
            <v/>
          </cell>
          <cell r="AA1394" t="str">
            <v/>
          </cell>
          <cell r="AB1394">
            <v>0</v>
          </cell>
          <cell r="AC1394">
            <v>0</v>
          </cell>
          <cell r="AI1394" t="str">
            <v/>
          </cell>
          <cell r="AJ1394" t="str">
            <v/>
          </cell>
          <cell r="AK1394">
            <v>0</v>
          </cell>
          <cell r="AL1394">
            <v>0</v>
          </cell>
          <cell r="AM1394">
            <v>0</v>
          </cell>
        </row>
        <row r="1395">
          <cell r="C1395" t="str">
            <v/>
          </cell>
          <cell r="D1395" t="str">
            <v/>
          </cell>
          <cell r="O1395" t="str">
            <v/>
          </cell>
          <cell r="T1395" t="str">
            <v/>
          </cell>
          <cell r="U1395" t="str">
            <v/>
          </cell>
          <cell r="V1395" t="str">
            <v/>
          </cell>
          <cell r="W1395" t="str">
            <v/>
          </cell>
          <cell r="Y1395" t="str">
            <v/>
          </cell>
          <cell r="AA1395" t="str">
            <v/>
          </cell>
          <cell r="AB1395">
            <v>0</v>
          </cell>
          <cell r="AC1395">
            <v>0</v>
          </cell>
          <cell r="AI1395" t="str">
            <v/>
          </cell>
          <cell r="AJ1395" t="str">
            <v/>
          </cell>
          <cell r="AK1395">
            <v>0</v>
          </cell>
          <cell r="AL1395">
            <v>0</v>
          </cell>
          <cell r="AM1395">
            <v>0</v>
          </cell>
        </row>
        <row r="1396">
          <cell r="C1396" t="str">
            <v/>
          </cell>
          <cell r="D1396" t="str">
            <v/>
          </cell>
          <cell r="O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/>
          </cell>
          <cell r="Y1396" t="str">
            <v/>
          </cell>
          <cell r="AA1396" t="str">
            <v/>
          </cell>
          <cell r="AB1396">
            <v>0</v>
          </cell>
          <cell r="AC1396">
            <v>0</v>
          </cell>
          <cell r="AI1396" t="str">
            <v/>
          </cell>
          <cell r="AJ1396" t="str">
            <v/>
          </cell>
          <cell r="AK1396">
            <v>0</v>
          </cell>
          <cell r="AL1396">
            <v>0</v>
          </cell>
          <cell r="AM1396">
            <v>0</v>
          </cell>
        </row>
        <row r="1397">
          <cell r="C1397" t="str">
            <v/>
          </cell>
          <cell r="D1397" t="str">
            <v/>
          </cell>
          <cell r="O1397" t="str">
            <v/>
          </cell>
          <cell r="T1397" t="str">
            <v/>
          </cell>
          <cell r="U1397" t="str">
            <v/>
          </cell>
          <cell r="V1397" t="str">
            <v/>
          </cell>
          <cell r="W1397" t="str">
            <v/>
          </cell>
          <cell r="Y1397" t="str">
            <v/>
          </cell>
          <cell r="AA1397" t="str">
            <v/>
          </cell>
          <cell r="AB1397">
            <v>0</v>
          </cell>
          <cell r="AC1397">
            <v>0</v>
          </cell>
          <cell r="AI1397" t="str">
            <v/>
          </cell>
          <cell r="AJ1397" t="str">
            <v/>
          </cell>
          <cell r="AK1397">
            <v>0</v>
          </cell>
          <cell r="AL1397">
            <v>0</v>
          </cell>
          <cell r="AM1397">
            <v>0</v>
          </cell>
        </row>
        <row r="1398">
          <cell r="C1398" t="str">
            <v/>
          </cell>
          <cell r="D1398" t="str">
            <v/>
          </cell>
          <cell r="O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/>
          </cell>
          <cell r="Y1398" t="str">
            <v/>
          </cell>
          <cell r="AA1398" t="str">
            <v/>
          </cell>
          <cell r="AB1398">
            <v>0</v>
          </cell>
          <cell r="AC1398">
            <v>0</v>
          </cell>
          <cell r="AI1398" t="str">
            <v/>
          </cell>
          <cell r="AJ1398" t="str">
            <v/>
          </cell>
          <cell r="AK1398">
            <v>0</v>
          </cell>
          <cell r="AL1398">
            <v>0</v>
          </cell>
          <cell r="AM1398">
            <v>0</v>
          </cell>
        </row>
        <row r="1399">
          <cell r="C1399" t="str">
            <v/>
          </cell>
          <cell r="D1399" t="str">
            <v/>
          </cell>
          <cell r="O1399" t="str">
            <v/>
          </cell>
          <cell r="T1399" t="str">
            <v/>
          </cell>
          <cell r="U1399" t="str">
            <v/>
          </cell>
          <cell r="V1399" t="str">
            <v/>
          </cell>
          <cell r="W1399" t="str">
            <v/>
          </cell>
          <cell r="Y1399" t="str">
            <v/>
          </cell>
          <cell r="AA1399" t="str">
            <v/>
          </cell>
          <cell r="AB1399">
            <v>0</v>
          </cell>
          <cell r="AC1399">
            <v>0</v>
          </cell>
          <cell r="AI1399" t="str">
            <v/>
          </cell>
          <cell r="AJ1399" t="str">
            <v/>
          </cell>
          <cell r="AK1399">
            <v>0</v>
          </cell>
          <cell r="AL1399">
            <v>0</v>
          </cell>
          <cell r="AM1399">
            <v>0</v>
          </cell>
        </row>
        <row r="1400">
          <cell r="C1400" t="str">
            <v/>
          </cell>
          <cell r="D1400" t="str">
            <v/>
          </cell>
          <cell r="O1400" t="str">
            <v/>
          </cell>
          <cell r="T1400" t="str">
            <v/>
          </cell>
          <cell r="U1400" t="str">
            <v/>
          </cell>
          <cell r="V1400" t="str">
            <v/>
          </cell>
          <cell r="W1400" t="str">
            <v/>
          </cell>
          <cell r="Y1400" t="str">
            <v/>
          </cell>
          <cell r="AA1400" t="str">
            <v/>
          </cell>
          <cell r="AB1400">
            <v>0</v>
          </cell>
          <cell r="AC1400">
            <v>0</v>
          </cell>
          <cell r="AI1400" t="str">
            <v/>
          </cell>
          <cell r="AJ1400" t="str">
            <v/>
          </cell>
          <cell r="AK1400">
            <v>0</v>
          </cell>
          <cell r="AL1400">
            <v>0</v>
          </cell>
          <cell r="AM1400">
            <v>0</v>
          </cell>
        </row>
        <row r="1401">
          <cell r="C1401" t="str">
            <v/>
          </cell>
          <cell r="D1401" t="str">
            <v/>
          </cell>
          <cell r="O1401" t="str">
            <v/>
          </cell>
          <cell r="T1401" t="str">
            <v/>
          </cell>
          <cell r="U1401" t="str">
            <v/>
          </cell>
          <cell r="V1401" t="str">
            <v/>
          </cell>
          <cell r="W1401" t="str">
            <v/>
          </cell>
          <cell r="Y1401" t="str">
            <v/>
          </cell>
          <cell r="AA1401" t="str">
            <v/>
          </cell>
          <cell r="AB1401">
            <v>0</v>
          </cell>
          <cell r="AC1401">
            <v>0</v>
          </cell>
          <cell r="AI1401" t="str">
            <v/>
          </cell>
          <cell r="AJ1401" t="str">
            <v/>
          </cell>
          <cell r="AK1401">
            <v>0</v>
          </cell>
          <cell r="AL1401">
            <v>0</v>
          </cell>
          <cell r="AM1401">
            <v>0</v>
          </cell>
        </row>
        <row r="1402">
          <cell r="C1402" t="str">
            <v/>
          </cell>
          <cell r="D1402" t="str">
            <v/>
          </cell>
          <cell r="O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/>
          </cell>
          <cell r="Y1402" t="str">
            <v/>
          </cell>
          <cell r="AA1402" t="str">
            <v/>
          </cell>
          <cell r="AB1402">
            <v>0</v>
          </cell>
          <cell r="AC1402">
            <v>0</v>
          </cell>
          <cell r="AI1402" t="str">
            <v/>
          </cell>
          <cell r="AJ1402" t="str">
            <v/>
          </cell>
          <cell r="AK1402">
            <v>0</v>
          </cell>
          <cell r="AL1402">
            <v>0</v>
          </cell>
          <cell r="AM1402">
            <v>0</v>
          </cell>
        </row>
        <row r="1403">
          <cell r="C1403" t="str">
            <v/>
          </cell>
          <cell r="D1403" t="str">
            <v/>
          </cell>
          <cell r="O1403" t="str">
            <v/>
          </cell>
          <cell r="T1403" t="str">
            <v/>
          </cell>
          <cell r="U1403" t="str">
            <v/>
          </cell>
          <cell r="V1403" t="str">
            <v/>
          </cell>
          <cell r="W1403" t="str">
            <v/>
          </cell>
          <cell r="Y1403" t="str">
            <v/>
          </cell>
          <cell r="AA1403" t="str">
            <v/>
          </cell>
          <cell r="AB1403">
            <v>0</v>
          </cell>
          <cell r="AC1403">
            <v>0</v>
          </cell>
          <cell r="AI1403" t="str">
            <v/>
          </cell>
          <cell r="AJ1403" t="str">
            <v/>
          </cell>
          <cell r="AK1403">
            <v>0</v>
          </cell>
          <cell r="AL1403">
            <v>0</v>
          </cell>
          <cell r="AM1403">
            <v>0</v>
          </cell>
        </row>
        <row r="1404">
          <cell r="C1404" t="str">
            <v/>
          </cell>
          <cell r="D1404" t="str">
            <v/>
          </cell>
          <cell r="O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/>
          </cell>
          <cell r="Y1404" t="str">
            <v/>
          </cell>
          <cell r="AA1404" t="str">
            <v/>
          </cell>
          <cell r="AB1404">
            <v>0</v>
          </cell>
          <cell r="AC1404">
            <v>0</v>
          </cell>
          <cell r="AI1404" t="str">
            <v/>
          </cell>
          <cell r="AJ1404" t="str">
            <v/>
          </cell>
          <cell r="AK1404">
            <v>0</v>
          </cell>
          <cell r="AL1404">
            <v>0</v>
          </cell>
          <cell r="AM1404">
            <v>0</v>
          </cell>
        </row>
        <row r="1405">
          <cell r="C1405" t="str">
            <v/>
          </cell>
          <cell r="D1405" t="str">
            <v/>
          </cell>
          <cell r="O1405" t="str">
            <v/>
          </cell>
          <cell r="T1405" t="str">
            <v/>
          </cell>
          <cell r="U1405" t="str">
            <v/>
          </cell>
          <cell r="V1405" t="str">
            <v/>
          </cell>
          <cell r="W1405" t="str">
            <v/>
          </cell>
          <cell r="Y1405" t="str">
            <v/>
          </cell>
          <cell r="AA1405" t="str">
            <v/>
          </cell>
          <cell r="AB1405">
            <v>0</v>
          </cell>
          <cell r="AC1405">
            <v>0</v>
          </cell>
          <cell r="AI1405" t="str">
            <v/>
          </cell>
          <cell r="AJ1405" t="str">
            <v/>
          </cell>
          <cell r="AK1405">
            <v>0</v>
          </cell>
          <cell r="AL1405">
            <v>0</v>
          </cell>
          <cell r="AM1405">
            <v>0</v>
          </cell>
        </row>
        <row r="1406">
          <cell r="C1406" t="str">
            <v/>
          </cell>
          <cell r="D1406" t="str">
            <v/>
          </cell>
          <cell r="O1406" t="str">
            <v/>
          </cell>
          <cell r="T1406" t="str">
            <v/>
          </cell>
          <cell r="U1406" t="str">
            <v/>
          </cell>
          <cell r="V1406" t="str">
            <v/>
          </cell>
          <cell r="W1406" t="str">
            <v/>
          </cell>
          <cell r="Y1406" t="str">
            <v/>
          </cell>
          <cell r="AA1406" t="str">
            <v/>
          </cell>
          <cell r="AB1406">
            <v>0</v>
          </cell>
          <cell r="AC1406">
            <v>0</v>
          </cell>
          <cell r="AI1406" t="str">
            <v/>
          </cell>
          <cell r="AJ1406" t="str">
            <v/>
          </cell>
          <cell r="AK1406">
            <v>0</v>
          </cell>
          <cell r="AL1406">
            <v>0</v>
          </cell>
          <cell r="AM1406">
            <v>0</v>
          </cell>
        </row>
        <row r="1407">
          <cell r="C1407" t="str">
            <v/>
          </cell>
          <cell r="D1407" t="str">
            <v/>
          </cell>
          <cell r="O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/>
          </cell>
          <cell r="Y1407" t="str">
            <v/>
          </cell>
          <cell r="AA1407" t="str">
            <v/>
          </cell>
          <cell r="AB1407">
            <v>0</v>
          </cell>
          <cell r="AC1407">
            <v>0</v>
          </cell>
          <cell r="AI1407" t="str">
            <v/>
          </cell>
          <cell r="AJ1407" t="str">
            <v/>
          </cell>
          <cell r="AK1407">
            <v>0</v>
          </cell>
          <cell r="AL1407">
            <v>0</v>
          </cell>
          <cell r="AM1407">
            <v>0</v>
          </cell>
        </row>
        <row r="1408">
          <cell r="C1408" t="str">
            <v/>
          </cell>
          <cell r="D1408" t="str">
            <v/>
          </cell>
          <cell r="O1408" t="str">
            <v/>
          </cell>
          <cell r="T1408" t="str">
            <v/>
          </cell>
          <cell r="U1408" t="str">
            <v/>
          </cell>
          <cell r="V1408" t="str">
            <v/>
          </cell>
          <cell r="W1408" t="str">
            <v/>
          </cell>
          <cell r="Y1408" t="str">
            <v/>
          </cell>
          <cell r="AA1408" t="str">
            <v/>
          </cell>
          <cell r="AB1408">
            <v>0</v>
          </cell>
          <cell r="AC1408">
            <v>0</v>
          </cell>
          <cell r="AI1408" t="str">
            <v/>
          </cell>
          <cell r="AJ1408" t="str">
            <v/>
          </cell>
          <cell r="AK1408">
            <v>0</v>
          </cell>
          <cell r="AL1408">
            <v>0</v>
          </cell>
          <cell r="AM1408">
            <v>0</v>
          </cell>
        </row>
        <row r="1409">
          <cell r="C1409" t="str">
            <v/>
          </cell>
          <cell r="D1409" t="str">
            <v/>
          </cell>
          <cell r="O1409" t="str">
            <v/>
          </cell>
          <cell r="T1409" t="str">
            <v/>
          </cell>
          <cell r="U1409" t="str">
            <v/>
          </cell>
          <cell r="V1409" t="str">
            <v/>
          </cell>
          <cell r="W1409" t="str">
            <v/>
          </cell>
          <cell r="Y1409" t="str">
            <v/>
          </cell>
          <cell r="AA1409" t="str">
            <v/>
          </cell>
          <cell r="AB1409">
            <v>0</v>
          </cell>
          <cell r="AC1409">
            <v>0</v>
          </cell>
          <cell r="AI1409" t="str">
            <v/>
          </cell>
          <cell r="AJ1409" t="str">
            <v/>
          </cell>
          <cell r="AK1409">
            <v>0</v>
          </cell>
          <cell r="AL1409">
            <v>0</v>
          </cell>
          <cell r="AM1409">
            <v>0</v>
          </cell>
        </row>
        <row r="1410">
          <cell r="C1410" t="str">
            <v/>
          </cell>
          <cell r="D1410" t="str">
            <v/>
          </cell>
          <cell r="O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/>
          </cell>
          <cell r="Y1410" t="str">
            <v/>
          </cell>
          <cell r="AA1410" t="str">
            <v/>
          </cell>
          <cell r="AB1410">
            <v>0</v>
          </cell>
          <cell r="AC1410">
            <v>0</v>
          </cell>
          <cell r="AI1410" t="str">
            <v/>
          </cell>
          <cell r="AJ1410" t="str">
            <v/>
          </cell>
          <cell r="AK1410">
            <v>0</v>
          </cell>
          <cell r="AL1410">
            <v>0</v>
          </cell>
          <cell r="AM1410">
            <v>0</v>
          </cell>
        </row>
        <row r="1411">
          <cell r="C1411" t="str">
            <v/>
          </cell>
          <cell r="D1411" t="str">
            <v/>
          </cell>
          <cell r="O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/>
          </cell>
          <cell r="Y1411" t="str">
            <v/>
          </cell>
          <cell r="AA1411" t="str">
            <v/>
          </cell>
          <cell r="AB1411">
            <v>0</v>
          </cell>
          <cell r="AC1411">
            <v>0</v>
          </cell>
          <cell r="AI1411" t="str">
            <v/>
          </cell>
          <cell r="AJ1411" t="str">
            <v/>
          </cell>
          <cell r="AK1411">
            <v>0</v>
          </cell>
          <cell r="AL1411">
            <v>0</v>
          </cell>
          <cell r="AM1411">
            <v>0</v>
          </cell>
        </row>
        <row r="1412">
          <cell r="C1412" t="str">
            <v/>
          </cell>
          <cell r="D1412" t="str">
            <v/>
          </cell>
          <cell r="O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/>
          </cell>
          <cell r="Y1412" t="str">
            <v/>
          </cell>
          <cell r="AA1412" t="str">
            <v/>
          </cell>
          <cell r="AB1412">
            <v>0</v>
          </cell>
          <cell r="AC1412">
            <v>0</v>
          </cell>
          <cell r="AI1412" t="str">
            <v/>
          </cell>
          <cell r="AJ1412" t="str">
            <v/>
          </cell>
          <cell r="AK1412">
            <v>0</v>
          </cell>
          <cell r="AL1412">
            <v>0</v>
          </cell>
          <cell r="AM1412">
            <v>0</v>
          </cell>
        </row>
        <row r="1413">
          <cell r="C1413" t="str">
            <v/>
          </cell>
          <cell r="D1413" t="str">
            <v/>
          </cell>
          <cell r="O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/>
          </cell>
          <cell r="Y1413" t="str">
            <v/>
          </cell>
          <cell r="AA1413" t="str">
            <v/>
          </cell>
          <cell r="AB1413">
            <v>0</v>
          </cell>
          <cell r="AC1413">
            <v>0</v>
          </cell>
          <cell r="AI1413" t="str">
            <v/>
          </cell>
          <cell r="AJ1413" t="str">
            <v/>
          </cell>
          <cell r="AK1413">
            <v>0</v>
          </cell>
          <cell r="AL1413">
            <v>0</v>
          </cell>
          <cell r="AM1413">
            <v>0</v>
          </cell>
        </row>
        <row r="1414">
          <cell r="C1414" t="str">
            <v/>
          </cell>
          <cell r="D1414" t="str">
            <v/>
          </cell>
          <cell r="O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/>
          </cell>
          <cell r="Y1414" t="str">
            <v/>
          </cell>
          <cell r="AA1414" t="str">
            <v/>
          </cell>
          <cell r="AB1414">
            <v>0</v>
          </cell>
          <cell r="AC1414">
            <v>0</v>
          </cell>
          <cell r="AI1414" t="str">
            <v/>
          </cell>
          <cell r="AJ1414" t="str">
            <v/>
          </cell>
          <cell r="AK1414">
            <v>0</v>
          </cell>
          <cell r="AL1414">
            <v>0</v>
          </cell>
          <cell r="AM1414">
            <v>0</v>
          </cell>
        </row>
        <row r="1415">
          <cell r="C1415" t="str">
            <v/>
          </cell>
          <cell r="D1415" t="str">
            <v/>
          </cell>
          <cell r="O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/>
          </cell>
          <cell r="Y1415" t="str">
            <v/>
          </cell>
          <cell r="AA1415" t="str">
            <v/>
          </cell>
          <cell r="AB1415">
            <v>0</v>
          </cell>
          <cell r="AC1415">
            <v>0</v>
          </cell>
          <cell r="AI1415" t="str">
            <v/>
          </cell>
          <cell r="AJ1415" t="str">
            <v/>
          </cell>
          <cell r="AK1415">
            <v>0</v>
          </cell>
          <cell r="AL1415">
            <v>0</v>
          </cell>
          <cell r="AM1415">
            <v>0</v>
          </cell>
        </row>
        <row r="1416">
          <cell r="C1416" t="str">
            <v/>
          </cell>
          <cell r="D1416" t="str">
            <v/>
          </cell>
          <cell r="O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/>
          </cell>
          <cell r="Y1416" t="str">
            <v/>
          </cell>
          <cell r="AA1416" t="str">
            <v/>
          </cell>
          <cell r="AB1416">
            <v>0</v>
          </cell>
          <cell r="AC1416">
            <v>0</v>
          </cell>
          <cell r="AI1416" t="str">
            <v/>
          </cell>
          <cell r="AJ1416" t="str">
            <v/>
          </cell>
          <cell r="AK1416">
            <v>0</v>
          </cell>
          <cell r="AL1416">
            <v>0</v>
          </cell>
          <cell r="AM1416">
            <v>0</v>
          </cell>
        </row>
        <row r="1417">
          <cell r="C1417" t="str">
            <v/>
          </cell>
          <cell r="D1417" t="str">
            <v/>
          </cell>
          <cell r="O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/>
          </cell>
          <cell r="Y1417" t="str">
            <v/>
          </cell>
          <cell r="AA1417" t="str">
            <v/>
          </cell>
          <cell r="AB1417">
            <v>0</v>
          </cell>
          <cell r="AC1417">
            <v>0</v>
          </cell>
          <cell r="AI1417" t="str">
            <v/>
          </cell>
          <cell r="AJ1417" t="str">
            <v/>
          </cell>
          <cell r="AK1417">
            <v>0</v>
          </cell>
          <cell r="AL1417">
            <v>0</v>
          </cell>
          <cell r="AM1417">
            <v>0</v>
          </cell>
        </row>
        <row r="1418">
          <cell r="C1418" t="str">
            <v/>
          </cell>
          <cell r="D1418" t="str">
            <v/>
          </cell>
          <cell r="O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/>
          </cell>
          <cell r="Y1418" t="str">
            <v/>
          </cell>
          <cell r="AA1418" t="str">
            <v/>
          </cell>
          <cell r="AB1418">
            <v>0</v>
          </cell>
          <cell r="AC1418">
            <v>0</v>
          </cell>
          <cell r="AI1418" t="str">
            <v/>
          </cell>
          <cell r="AJ1418" t="str">
            <v/>
          </cell>
          <cell r="AK1418">
            <v>0</v>
          </cell>
          <cell r="AL1418">
            <v>0</v>
          </cell>
          <cell r="AM1418">
            <v>0</v>
          </cell>
        </row>
        <row r="1419">
          <cell r="C1419" t="str">
            <v/>
          </cell>
          <cell r="D1419" t="str">
            <v/>
          </cell>
          <cell r="O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/>
          </cell>
          <cell r="Y1419" t="str">
            <v/>
          </cell>
          <cell r="AA1419" t="str">
            <v/>
          </cell>
          <cell r="AB1419">
            <v>0</v>
          </cell>
          <cell r="AC1419">
            <v>0</v>
          </cell>
          <cell r="AI1419" t="str">
            <v/>
          </cell>
          <cell r="AJ1419" t="str">
            <v/>
          </cell>
          <cell r="AK1419">
            <v>0</v>
          </cell>
          <cell r="AL1419">
            <v>0</v>
          </cell>
          <cell r="AM1419">
            <v>0</v>
          </cell>
        </row>
        <row r="1420">
          <cell r="C1420" t="str">
            <v/>
          </cell>
          <cell r="D1420" t="str">
            <v/>
          </cell>
          <cell r="O1420" t="str">
            <v/>
          </cell>
          <cell r="T1420" t="str">
            <v/>
          </cell>
          <cell r="U1420" t="str">
            <v/>
          </cell>
          <cell r="V1420" t="str">
            <v/>
          </cell>
          <cell r="W1420" t="str">
            <v/>
          </cell>
          <cell r="Y1420" t="str">
            <v/>
          </cell>
          <cell r="AA1420" t="str">
            <v/>
          </cell>
          <cell r="AB1420">
            <v>0</v>
          </cell>
          <cell r="AC1420">
            <v>0</v>
          </cell>
          <cell r="AI1420" t="str">
            <v/>
          </cell>
          <cell r="AJ1420" t="str">
            <v/>
          </cell>
          <cell r="AK1420">
            <v>0</v>
          </cell>
          <cell r="AL1420">
            <v>0</v>
          </cell>
          <cell r="AM1420">
            <v>0</v>
          </cell>
        </row>
        <row r="1421">
          <cell r="C1421" t="str">
            <v/>
          </cell>
          <cell r="D1421" t="str">
            <v/>
          </cell>
          <cell r="O1421" t="str">
            <v/>
          </cell>
          <cell r="T1421" t="str">
            <v/>
          </cell>
          <cell r="U1421" t="str">
            <v/>
          </cell>
          <cell r="V1421" t="str">
            <v/>
          </cell>
          <cell r="W1421" t="str">
            <v/>
          </cell>
          <cell r="Y1421" t="str">
            <v/>
          </cell>
          <cell r="AA1421" t="str">
            <v/>
          </cell>
          <cell r="AB1421">
            <v>0</v>
          </cell>
          <cell r="AC1421">
            <v>0</v>
          </cell>
          <cell r="AI1421" t="str">
            <v/>
          </cell>
          <cell r="AJ1421" t="str">
            <v/>
          </cell>
          <cell r="AK1421">
            <v>0</v>
          </cell>
          <cell r="AL1421">
            <v>0</v>
          </cell>
          <cell r="AM1421">
            <v>0</v>
          </cell>
        </row>
        <row r="1422">
          <cell r="C1422" t="str">
            <v/>
          </cell>
          <cell r="D1422" t="str">
            <v/>
          </cell>
          <cell r="O1422" t="str">
            <v/>
          </cell>
          <cell r="T1422" t="str">
            <v/>
          </cell>
          <cell r="U1422" t="str">
            <v/>
          </cell>
          <cell r="V1422" t="str">
            <v/>
          </cell>
          <cell r="W1422" t="str">
            <v/>
          </cell>
          <cell r="Y1422" t="str">
            <v/>
          </cell>
          <cell r="AA1422" t="str">
            <v/>
          </cell>
          <cell r="AB1422">
            <v>0</v>
          </cell>
          <cell r="AC1422">
            <v>0</v>
          </cell>
          <cell r="AI1422" t="str">
            <v/>
          </cell>
          <cell r="AJ1422" t="str">
            <v/>
          </cell>
          <cell r="AK1422">
            <v>0</v>
          </cell>
          <cell r="AL1422">
            <v>0</v>
          </cell>
          <cell r="AM1422">
            <v>0</v>
          </cell>
        </row>
        <row r="1423">
          <cell r="C1423" t="str">
            <v/>
          </cell>
          <cell r="D1423" t="str">
            <v/>
          </cell>
          <cell r="O1423" t="str">
            <v/>
          </cell>
          <cell r="T1423" t="str">
            <v/>
          </cell>
          <cell r="U1423" t="str">
            <v/>
          </cell>
          <cell r="V1423" t="str">
            <v/>
          </cell>
          <cell r="W1423" t="str">
            <v/>
          </cell>
          <cell r="Y1423" t="str">
            <v/>
          </cell>
          <cell r="AA1423" t="str">
            <v/>
          </cell>
          <cell r="AB1423">
            <v>0</v>
          </cell>
          <cell r="AC1423">
            <v>0</v>
          </cell>
          <cell r="AI1423" t="str">
            <v/>
          </cell>
          <cell r="AJ1423" t="str">
            <v/>
          </cell>
          <cell r="AK1423">
            <v>0</v>
          </cell>
          <cell r="AL1423">
            <v>0</v>
          </cell>
          <cell r="AM1423">
            <v>0</v>
          </cell>
        </row>
        <row r="1424">
          <cell r="C1424" t="str">
            <v/>
          </cell>
          <cell r="D1424" t="str">
            <v/>
          </cell>
          <cell r="O1424" t="str">
            <v/>
          </cell>
          <cell r="T1424" t="str">
            <v/>
          </cell>
          <cell r="U1424" t="str">
            <v/>
          </cell>
          <cell r="V1424" t="str">
            <v/>
          </cell>
          <cell r="W1424" t="str">
            <v/>
          </cell>
          <cell r="Y1424" t="str">
            <v/>
          </cell>
          <cell r="AA1424" t="str">
            <v/>
          </cell>
          <cell r="AB1424">
            <v>0</v>
          </cell>
          <cell r="AC1424">
            <v>0</v>
          </cell>
          <cell r="AI1424" t="str">
            <v/>
          </cell>
          <cell r="AJ1424" t="str">
            <v/>
          </cell>
          <cell r="AK1424">
            <v>0</v>
          </cell>
          <cell r="AL1424">
            <v>0</v>
          </cell>
          <cell r="AM1424">
            <v>0</v>
          </cell>
        </row>
        <row r="1425">
          <cell r="C1425" t="str">
            <v/>
          </cell>
          <cell r="D1425" t="str">
            <v/>
          </cell>
          <cell r="O1425" t="str">
            <v/>
          </cell>
          <cell r="T1425" t="str">
            <v/>
          </cell>
          <cell r="U1425" t="str">
            <v/>
          </cell>
          <cell r="V1425" t="str">
            <v/>
          </cell>
          <cell r="W1425" t="str">
            <v/>
          </cell>
          <cell r="Y1425" t="str">
            <v/>
          </cell>
          <cell r="AA1425" t="str">
            <v/>
          </cell>
          <cell r="AB1425">
            <v>0</v>
          </cell>
          <cell r="AC1425">
            <v>0</v>
          </cell>
          <cell r="AI1425" t="str">
            <v/>
          </cell>
          <cell r="AJ1425" t="str">
            <v/>
          </cell>
          <cell r="AK1425">
            <v>0</v>
          </cell>
          <cell r="AL1425">
            <v>0</v>
          </cell>
          <cell r="AM1425">
            <v>0</v>
          </cell>
        </row>
        <row r="1426">
          <cell r="C1426" t="str">
            <v/>
          </cell>
          <cell r="D1426" t="str">
            <v/>
          </cell>
          <cell r="O1426" t="str">
            <v/>
          </cell>
          <cell r="T1426" t="str">
            <v/>
          </cell>
          <cell r="U1426" t="str">
            <v/>
          </cell>
          <cell r="V1426" t="str">
            <v/>
          </cell>
          <cell r="W1426" t="str">
            <v/>
          </cell>
          <cell r="Y1426" t="str">
            <v/>
          </cell>
          <cell r="AA1426" t="str">
            <v/>
          </cell>
          <cell r="AB1426">
            <v>0</v>
          </cell>
          <cell r="AC1426">
            <v>0</v>
          </cell>
          <cell r="AI1426" t="str">
            <v/>
          </cell>
          <cell r="AJ1426" t="str">
            <v/>
          </cell>
          <cell r="AK1426">
            <v>0</v>
          </cell>
          <cell r="AL1426">
            <v>0</v>
          </cell>
          <cell r="AM1426">
            <v>0</v>
          </cell>
        </row>
        <row r="1427">
          <cell r="C1427" t="str">
            <v/>
          </cell>
          <cell r="D1427" t="str">
            <v/>
          </cell>
          <cell r="O1427" t="str">
            <v/>
          </cell>
          <cell r="T1427" t="str">
            <v/>
          </cell>
          <cell r="U1427" t="str">
            <v/>
          </cell>
          <cell r="V1427" t="str">
            <v/>
          </cell>
          <cell r="W1427" t="str">
            <v/>
          </cell>
          <cell r="Y1427" t="str">
            <v/>
          </cell>
          <cell r="AA1427" t="str">
            <v/>
          </cell>
          <cell r="AB1427">
            <v>0</v>
          </cell>
          <cell r="AC1427">
            <v>0</v>
          </cell>
          <cell r="AI1427" t="str">
            <v/>
          </cell>
          <cell r="AJ1427" t="str">
            <v/>
          </cell>
          <cell r="AK1427">
            <v>0</v>
          </cell>
          <cell r="AL1427">
            <v>0</v>
          </cell>
          <cell r="AM1427">
            <v>0</v>
          </cell>
        </row>
        <row r="1428">
          <cell r="C1428" t="str">
            <v/>
          </cell>
          <cell r="D1428" t="str">
            <v/>
          </cell>
          <cell r="O1428" t="str">
            <v/>
          </cell>
          <cell r="T1428" t="str">
            <v/>
          </cell>
          <cell r="U1428" t="str">
            <v/>
          </cell>
          <cell r="V1428" t="str">
            <v/>
          </cell>
          <cell r="W1428" t="str">
            <v/>
          </cell>
          <cell r="Y1428" t="str">
            <v/>
          </cell>
          <cell r="AA1428" t="str">
            <v/>
          </cell>
          <cell r="AB1428">
            <v>0</v>
          </cell>
          <cell r="AC1428">
            <v>0</v>
          </cell>
          <cell r="AI1428" t="str">
            <v/>
          </cell>
          <cell r="AJ1428" t="str">
            <v/>
          </cell>
          <cell r="AK1428">
            <v>0</v>
          </cell>
          <cell r="AL1428">
            <v>0</v>
          </cell>
          <cell r="AM1428">
            <v>0</v>
          </cell>
        </row>
        <row r="1429">
          <cell r="C1429" t="str">
            <v/>
          </cell>
          <cell r="D1429" t="str">
            <v/>
          </cell>
          <cell r="O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/>
          </cell>
          <cell r="Y1429" t="str">
            <v/>
          </cell>
          <cell r="AA1429" t="str">
            <v/>
          </cell>
          <cell r="AB1429">
            <v>0</v>
          </cell>
          <cell r="AC1429">
            <v>0</v>
          </cell>
          <cell r="AI1429" t="str">
            <v/>
          </cell>
          <cell r="AJ1429" t="str">
            <v/>
          </cell>
          <cell r="AK1429">
            <v>0</v>
          </cell>
          <cell r="AL1429">
            <v>0</v>
          </cell>
          <cell r="AM1429">
            <v>0</v>
          </cell>
        </row>
        <row r="1430">
          <cell r="C1430" t="str">
            <v/>
          </cell>
          <cell r="D1430" t="str">
            <v/>
          </cell>
          <cell r="O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/>
          </cell>
          <cell r="Y1430" t="str">
            <v/>
          </cell>
          <cell r="AA1430" t="str">
            <v/>
          </cell>
          <cell r="AB1430">
            <v>0</v>
          </cell>
          <cell r="AC1430">
            <v>0</v>
          </cell>
          <cell r="AI1430" t="str">
            <v/>
          </cell>
          <cell r="AJ1430" t="str">
            <v/>
          </cell>
          <cell r="AK1430">
            <v>0</v>
          </cell>
          <cell r="AL1430">
            <v>0</v>
          </cell>
          <cell r="AM1430">
            <v>0</v>
          </cell>
        </row>
        <row r="1431">
          <cell r="C1431" t="str">
            <v/>
          </cell>
          <cell r="D1431" t="str">
            <v/>
          </cell>
          <cell r="O1431" t="str">
            <v/>
          </cell>
          <cell r="T1431" t="str">
            <v/>
          </cell>
          <cell r="U1431" t="str">
            <v/>
          </cell>
          <cell r="V1431" t="str">
            <v/>
          </cell>
          <cell r="W1431" t="str">
            <v/>
          </cell>
          <cell r="Y1431" t="str">
            <v/>
          </cell>
          <cell r="AA1431" t="str">
            <v/>
          </cell>
          <cell r="AB1431">
            <v>0</v>
          </cell>
          <cell r="AC1431">
            <v>0</v>
          </cell>
          <cell r="AI1431" t="str">
            <v/>
          </cell>
          <cell r="AJ1431" t="str">
            <v/>
          </cell>
          <cell r="AK1431">
            <v>0</v>
          </cell>
          <cell r="AL1431">
            <v>0</v>
          </cell>
          <cell r="AM1431">
            <v>0</v>
          </cell>
        </row>
        <row r="1432">
          <cell r="C1432" t="str">
            <v/>
          </cell>
          <cell r="D1432" t="str">
            <v/>
          </cell>
          <cell r="O1432" t="str">
            <v/>
          </cell>
          <cell r="T1432" t="str">
            <v/>
          </cell>
          <cell r="U1432" t="str">
            <v/>
          </cell>
          <cell r="V1432" t="str">
            <v/>
          </cell>
          <cell r="W1432" t="str">
            <v/>
          </cell>
          <cell r="Y1432" t="str">
            <v/>
          </cell>
          <cell r="AA1432" t="str">
            <v/>
          </cell>
          <cell r="AB1432">
            <v>0</v>
          </cell>
          <cell r="AC1432">
            <v>0</v>
          </cell>
          <cell r="AI1432" t="str">
            <v/>
          </cell>
          <cell r="AJ1432" t="str">
            <v/>
          </cell>
          <cell r="AK1432">
            <v>0</v>
          </cell>
          <cell r="AL1432">
            <v>0</v>
          </cell>
          <cell r="AM1432">
            <v>0</v>
          </cell>
        </row>
        <row r="1433">
          <cell r="C1433" t="str">
            <v/>
          </cell>
          <cell r="D1433" t="str">
            <v/>
          </cell>
          <cell r="O1433" t="str">
            <v/>
          </cell>
          <cell r="T1433" t="str">
            <v/>
          </cell>
          <cell r="U1433" t="str">
            <v/>
          </cell>
          <cell r="V1433" t="str">
            <v/>
          </cell>
          <cell r="W1433" t="str">
            <v/>
          </cell>
          <cell r="Y1433" t="str">
            <v/>
          </cell>
          <cell r="AA1433" t="str">
            <v/>
          </cell>
          <cell r="AB1433">
            <v>0</v>
          </cell>
          <cell r="AC1433">
            <v>0</v>
          </cell>
          <cell r="AI1433" t="str">
            <v/>
          </cell>
          <cell r="AJ1433" t="str">
            <v/>
          </cell>
          <cell r="AK1433">
            <v>0</v>
          </cell>
          <cell r="AL1433">
            <v>0</v>
          </cell>
          <cell r="AM1433">
            <v>0</v>
          </cell>
        </row>
        <row r="1434">
          <cell r="C1434" t="str">
            <v/>
          </cell>
          <cell r="D1434" t="str">
            <v/>
          </cell>
          <cell r="O1434" t="str">
            <v/>
          </cell>
          <cell r="T1434" t="str">
            <v/>
          </cell>
          <cell r="U1434" t="str">
            <v/>
          </cell>
          <cell r="V1434" t="str">
            <v/>
          </cell>
          <cell r="W1434" t="str">
            <v/>
          </cell>
          <cell r="Y1434" t="str">
            <v/>
          </cell>
          <cell r="AA1434" t="str">
            <v/>
          </cell>
          <cell r="AB1434">
            <v>0</v>
          </cell>
          <cell r="AC1434">
            <v>0</v>
          </cell>
          <cell r="AI1434" t="str">
            <v/>
          </cell>
          <cell r="AJ1434" t="str">
            <v/>
          </cell>
          <cell r="AK1434">
            <v>0</v>
          </cell>
          <cell r="AL1434">
            <v>0</v>
          </cell>
          <cell r="AM1434">
            <v>0</v>
          </cell>
        </row>
        <row r="1435">
          <cell r="C1435" t="str">
            <v/>
          </cell>
          <cell r="D1435" t="str">
            <v/>
          </cell>
          <cell r="O1435" t="str">
            <v/>
          </cell>
          <cell r="T1435" t="str">
            <v/>
          </cell>
          <cell r="U1435" t="str">
            <v/>
          </cell>
          <cell r="V1435" t="str">
            <v/>
          </cell>
          <cell r="W1435" t="str">
            <v/>
          </cell>
          <cell r="Y1435" t="str">
            <v/>
          </cell>
          <cell r="AA1435" t="str">
            <v/>
          </cell>
          <cell r="AB1435">
            <v>0</v>
          </cell>
          <cell r="AC1435">
            <v>0</v>
          </cell>
          <cell r="AI1435" t="str">
            <v/>
          </cell>
          <cell r="AJ1435" t="str">
            <v/>
          </cell>
          <cell r="AK1435">
            <v>0</v>
          </cell>
          <cell r="AL1435">
            <v>0</v>
          </cell>
          <cell r="AM1435">
            <v>0</v>
          </cell>
        </row>
        <row r="1436">
          <cell r="C1436" t="str">
            <v/>
          </cell>
          <cell r="D1436" t="str">
            <v/>
          </cell>
          <cell r="O1436" t="str">
            <v/>
          </cell>
          <cell r="T1436" t="str">
            <v/>
          </cell>
          <cell r="U1436" t="str">
            <v/>
          </cell>
          <cell r="V1436" t="str">
            <v/>
          </cell>
          <cell r="W1436" t="str">
            <v/>
          </cell>
          <cell r="Y1436" t="str">
            <v/>
          </cell>
          <cell r="AA1436" t="str">
            <v/>
          </cell>
          <cell r="AB1436">
            <v>0</v>
          </cell>
          <cell r="AC1436">
            <v>0</v>
          </cell>
          <cell r="AI1436" t="str">
            <v/>
          </cell>
          <cell r="AJ1436" t="str">
            <v/>
          </cell>
          <cell r="AK1436">
            <v>0</v>
          </cell>
          <cell r="AL1436">
            <v>0</v>
          </cell>
          <cell r="AM1436">
            <v>0</v>
          </cell>
        </row>
        <row r="1437">
          <cell r="C1437" t="str">
            <v/>
          </cell>
          <cell r="D1437" t="str">
            <v/>
          </cell>
          <cell r="O1437" t="str">
            <v/>
          </cell>
          <cell r="T1437" t="str">
            <v/>
          </cell>
          <cell r="U1437" t="str">
            <v/>
          </cell>
          <cell r="V1437" t="str">
            <v/>
          </cell>
          <cell r="W1437" t="str">
            <v/>
          </cell>
          <cell r="Y1437" t="str">
            <v/>
          </cell>
          <cell r="AA1437" t="str">
            <v/>
          </cell>
          <cell r="AB1437">
            <v>0</v>
          </cell>
          <cell r="AC1437">
            <v>0</v>
          </cell>
          <cell r="AI1437" t="str">
            <v/>
          </cell>
          <cell r="AJ1437" t="str">
            <v/>
          </cell>
          <cell r="AK1437">
            <v>0</v>
          </cell>
          <cell r="AL1437">
            <v>0</v>
          </cell>
          <cell r="AM1437">
            <v>0</v>
          </cell>
        </row>
        <row r="1438">
          <cell r="C1438" t="str">
            <v/>
          </cell>
          <cell r="D1438" t="str">
            <v/>
          </cell>
          <cell r="O1438" t="str">
            <v/>
          </cell>
          <cell r="T1438" t="str">
            <v/>
          </cell>
          <cell r="U1438" t="str">
            <v/>
          </cell>
          <cell r="V1438" t="str">
            <v/>
          </cell>
          <cell r="W1438" t="str">
            <v/>
          </cell>
          <cell r="Y1438" t="str">
            <v/>
          </cell>
          <cell r="AA1438" t="str">
            <v/>
          </cell>
          <cell r="AB1438">
            <v>0</v>
          </cell>
          <cell r="AC1438">
            <v>0</v>
          </cell>
          <cell r="AI1438" t="str">
            <v/>
          </cell>
          <cell r="AJ1438" t="str">
            <v/>
          </cell>
          <cell r="AK1438">
            <v>0</v>
          </cell>
          <cell r="AL1438">
            <v>0</v>
          </cell>
          <cell r="AM1438">
            <v>0</v>
          </cell>
        </row>
        <row r="1439">
          <cell r="C1439" t="str">
            <v/>
          </cell>
          <cell r="D1439" t="str">
            <v/>
          </cell>
          <cell r="O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/>
          </cell>
          <cell r="Y1439" t="str">
            <v/>
          </cell>
          <cell r="AA1439" t="str">
            <v/>
          </cell>
          <cell r="AB1439">
            <v>0</v>
          </cell>
          <cell r="AC1439">
            <v>0</v>
          </cell>
          <cell r="AI1439" t="str">
            <v/>
          </cell>
          <cell r="AJ1439" t="str">
            <v/>
          </cell>
          <cell r="AK1439">
            <v>0</v>
          </cell>
          <cell r="AL1439">
            <v>0</v>
          </cell>
          <cell r="AM1439">
            <v>0</v>
          </cell>
        </row>
        <row r="1440">
          <cell r="C1440" t="str">
            <v/>
          </cell>
          <cell r="D1440" t="str">
            <v/>
          </cell>
          <cell r="O1440" t="str">
            <v/>
          </cell>
          <cell r="T1440" t="str">
            <v/>
          </cell>
          <cell r="U1440" t="str">
            <v/>
          </cell>
          <cell r="V1440" t="str">
            <v/>
          </cell>
          <cell r="W1440" t="str">
            <v/>
          </cell>
          <cell r="Y1440" t="str">
            <v/>
          </cell>
          <cell r="AA1440" t="str">
            <v/>
          </cell>
          <cell r="AB1440">
            <v>0</v>
          </cell>
          <cell r="AC1440">
            <v>0</v>
          </cell>
          <cell r="AI1440" t="str">
            <v/>
          </cell>
          <cell r="AJ1440" t="str">
            <v/>
          </cell>
          <cell r="AK1440">
            <v>0</v>
          </cell>
          <cell r="AL1440">
            <v>0</v>
          </cell>
          <cell r="AM1440">
            <v>0</v>
          </cell>
        </row>
        <row r="1441">
          <cell r="C1441" t="str">
            <v/>
          </cell>
          <cell r="D1441" t="str">
            <v/>
          </cell>
          <cell r="O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/>
          </cell>
          <cell r="Y1441" t="str">
            <v/>
          </cell>
          <cell r="AA1441" t="str">
            <v/>
          </cell>
          <cell r="AB1441">
            <v>0</v>
          </cell>
          <cell r="AC1441">
            <v>0</v>
          </cell>
          <cell r="AI1441" t="str">
            <v/>
          </cell>
          <cell r="AJ1441" t="str">
            <v/>
          </cell>
          <cell r="AK1441">
            <v>0</v>
          </cell>
          <cell r="AL1441">
            <v>0</v>
          </cell>
          <cell r="AM1441">
            <v>0</v>
          </cell>
        </row>
        <row r="1442">
          <cell r="C1442" t="str">
            <v/>
          </cell>
          <cell r="D1442" t="str">
            <v/>
          </cell>
          <cell r="O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/>
          </cell>
          <cell r="Y1442" t="str">
            <v/>
          </cell>
          <cell r="AA1442" t="str">
            <v/>
          </cell>
          <cell r="AB1442">
            <v>0</v>
          </cell>
          <cell r="AC1442">
            <v>0</v>
          </cell>
          <cell r="AI1442" t="str">
            <v/>
          </cell>
          <cell r="AJ1442" t="str">
            <v/>
          </cell>
          <cell r="AK1442">
            <v>0</v>
          </cell>
          <cell r="AL1442">
            <v>0</v>
          </cell>
          <cell r="AM1442">
            <v>0</v>
          </cell>
        </row>
        <row r="1443">
          <cell r="C1443" t="str">
            <v/>
          </cell>
          <cell r="D1443" t="str">
            <v/>
          </cell>
          <cell r="O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/>
          </cell>
          <cell r="Y1443" t="str">
            <v/>
          </cell>
          <cell r="AA1443" t="str">
            <v/>
          </cell>
          <cell r="AB1443">
            <v>0</v>
          </cell>
          <cell r="AC1443">
            <v>0</v>
          </cell>
          <cell r="AI1443" t="str">
            <v/>
          </cell>
          <cell r="AJ1443" t="str">
            <v/>
          </cell>
          <cell r="AK1443">
            <v>0</v>
          </cell>
          <cell r="AL1443">
            <v>0</v>
          </cell>
          <cell r="AM1443">
            <v>0</v>
          </cell>
        </row>
        <row r="1444">
          <cell r="C1444" t="str">
            <v/>
          </cell>
          <cell r="D1444" t="str">
            <v/>
          </cell>
          <cell r="O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/>
          </cell>
          <cell r="Y1444" t="str">
            <v/>
          </cell>
          <cell r="AA1444" t="str">
            <v/>
          </cell>
          <cell r="AB1444">
            <v>0</v>
          </cell>
          <cell r="AC1444">
            <v>0</v>
          </cell>
          <cell r="AI1444" t="str">
            <v/>
          </cell>
          <cell r="AJ1444" t="str">
            <v/>
          </cell>
          <cell r="AK1444">
            <v>0</v>
          </cell>
          <cell r="AL1444">
            <v>0</v>
          </cell>
          <cell r="AM1444">
            <v>0</v>
          </cell>
        </row>
        <row r="1445">
          <cell r="C1445" t="str">
            <v/>
          </cell>
          <cell r="D1445" t="str">
            <v/>
          </cell>
          <cell r="O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/>
          </cell>
          <cell r="Y1445" t="str">
            <v/>
          </cell>
          <cell r="AA1445" t="str">
            <v/>
          </cell>
          <cell r="AB1445">
            <v>0</v>
          </cell>
          <cell r="AC1445">
            <v>0</v>
          </cell>
          <cell r="AI1445" t="str">
            <v/>
          </cell>
          <cell r="AJ1445" t="str">
            <v/>
          </cell>
          <cell r="AK1445">
            <v>0</v>
          </cell>
          <cell r="AL1445">
            <v>0</v>
          </cell>
          <cell r="AM1445">
            <v>0</v>
          </cell>
        </row>
        <row r="1446">
          <cell r="C1446" t="str">
            <v/>
          </cell>
          <cell r="D1446" t="str">
            <v/>
          </cell>
          <cell r="O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/>
          </cell>
          <cell r="Y1446" t="str">
            <v/>
          </cell>
          <cell r="AA1446" t="str">
            <v/>
          </cell>
          <cell r="AB1446">
            <v>0</v>
          </cell>
          <cell r="AC1446">
            <v>0</v>
          </cell>
          <cell r="AI1446" t="str">
            <v/>
          </cell>
          <cell r="AJ1446" t="str">
            <v/>
          </cell>
          <cell r="AK1446">
            <v>0</v>
          </cell>
          <cell r="AL1446">
            <v>0</v>
          </cell>
          <cell r="AM1446">
            <v>0</v>
          </cell>
        </row>
        <row r="1447">
          <cell r="C1447" t="str">
            <v/>
          </cell>
          <cell r="D1447" t="str">
            <v/>
          </cell>
          <cell r="O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/>
          </cell>
          <cell r="Y1447" t="str">
            <v/>
          </cell>
          <cell r="AA1447" t="str">
            <v/>
          </cell>
          <cell r="AB1447">
            <v>0</v>
          </cell>
          <cell r="AC1447">
            <v>0</v>
          </cell>
          <cell r="AI1447" t="str">
            <v/>
          </cell>
          <cell r="AJ1447" t="str">
            <v/>
          </cell>
          <cell r="AK1447">
            <v>0</v>
          </cell>
          <cell r="AL1447">
            <v>0</v>
          </cell>
          <cell r="AM1447">
            <v>0</v>
          </cell>
        </row>
        <row r="1448">
          <cell r="C1448" t="str">
            <v/>
          </cell>
          <cell r="D1448" t="str">
            <v/>
          </cell>
          <cell r="O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/>
          </cell>
          <cell r="Y1448" t="str">
            <v/>
          </cell>
          <cell r="AA1448" t="str">
            <v/>
          </cell>
          <cell r="AB1448">
            <v>0</v>
          </cell>
          <cell r="AC1448">
            <v>0</v>
          </cell>
          <cell r="AI1448" t="str">
            <v/>
          </cell>
          <cell r="AJ1448" t="str">
            <v/>
          </cell>
          <cell r="AK1448">
            <v>0</v>
          </cell>
          <cell r="AL1448">
            <v>0</v>
          </cell>
          <cell r="AM1448">
            <v>0</v>
          </cell>
        </row>
        <row r="1449">
          <cell r="C1449" t="str">
            <v/>
          </cell>
          <cell r="D1449" t="str">
            <v/>
          </cell>
          <cell r="O1449" t="str">
            <v/>
          </cell>
          <cell r="T1449" t="str">
            <v/>
          </cell>
          <cell r="U1449" t="str">
            <v/>
          </cell>
          <cell r="V1449" t="str">
            <v/>
          </cell>
          <cell r="W1449" t="str">
            <v/>
          </cell>
          <cell r="Y1449" t="str">
            <v/>
          </cell>
          <cell r="AA1449" t="str">
            <v/>
          </cell>
          <cell r="AB1449">
            <v>0</v>
          </cell>
          <cell r="AC1449">
            <v>0</v>
          </cell>
          <cell r="AI1449" t="str">
            <v/>
          </cell>
          <cell r="AJ1449" t="str">
            <v/>
          </cell>
          <cell r="AK1449">
            <v>0</v>
          </cell>
          <cell r="AL1449">
            <v>0</v>
          </cell>
          <cell r="AM1449">
            <v>0</v>
          </cell>
        </row>
        <row r="1450">
          <cell r="C1450" t="str">
            <v/>
          </cell>
          <cell r="D1450" t="str">
            <v/>
          </cell>
          <cell r="O1450" t="str">
            <v/>
          </cell>
          <cell r="T1450" t="str">
            <v/>
          </cell>
          <cell r="U1450" t="str">
            <v/>
          </cell>
          <cell r="V1450" t="str">
            <v/>
          </cell>
          <cell r="W1450" t="str">
            <v/>
          </cell>
          <cell r="Y1450" t="str">
            <v/>
          </cell>
          <cell r="AA1450" t="str">
            <v/>
          </cell>
          <cell r="AB1450">
            <v>0</v>
          </cell>
          <cell r="AC1450">
            <v>0</v>
          </cell>
          <cell r="AI1450" t="str">
            <v/>
          </cell>
          <cell r="AJ1450" t="str">
            <v/>
          </cell>
          <cell r="AK1450">
            <v>0</v>
          </cell>
          <cell r="AL1450">
            <v>0</v>
          </cell>
          <cell r="AM1450">
            <v>0</v>
          </cell>
        </row>
        <row r="1451">
          <cell r="C1451" t="str">
            <v/>
          </cell>
          <cell r="D1451" t="str">
            <v/>
          </cell>
          <cell r="O1451" t="str">
            <v/>
          </cell>
          <cell r="T1451" t="str">
            <v/>
          </cell>
          <cell r="U1451" t="str">
            <v/>
          </cell>
          <cell r="V1451" t="str">
            <v/>
          </cell>
          <cell r="W1451" t="str">
            <v/>
          </cell>
          <cell r="Y1451" t="str">
            <v/>
          </cell>
          <cell r="AA1451" t="str">
            <v/>
          </cell>
          <cell r="AB1451">
            <v>0</v>
          </cell>
          <cell r="AC1451">
            <v>0</v>
          </cell>
          <cell r="AI1451" t="str">
            <v/>
          </cell>
          <cell r="AJ1451" t="str">
            <v/>
          </cell>
          <cell r="AK1451">
            <v>0</v>
          </cell>
          <cell r="AL1451">
            <v>0</v>
          </cell>
          <cell r="AM1451">
            <v>0</v>
          </cell>
        </row>
        <row r="1452">
          <cell r="C1452" t="str">
            <v/>
          </cell>
          <cell r="D1452" t="str">
            <v/>
          </cell>
          <cell r="O1452" t="str">
            <v/>
          </cell>
          <cell r="T1452" t="str">
            <v/>
          </cell>
          <cell r="U1452" t="str">
            <v/>
          </cell>
          <cell r="V1452" t="str">
            <v/>
          </cell>
          <cell r="W1452" t="str">
            <v/>
          </cell>
          <cell r="Y1452" t="str">
            <v/>
          </cell>
          <cell r="AA1452" t="str">
            <v/>
          </cell>
          <cell r="AB1452">
            <v>0</v>
          </cell>
          <cell r="AC1452">
            <v>0</v>
          </cell>
          <cell r="AI1452" t="str">
            <v/>
          </cell>
          <cell r="AJ1452" t="str">
            <v/>
          </cell>
          <cell r="AK1452">
            <v>0</v>
          </cell>
          <cell r="AL1452">
            <v>0</v>
          </cell>
          <cell r="AM1452">
            <v>0</v>
          </cell>
        </row>
        <row r="1453">
          <cell r="C1453" t="str">
            <v/>
          </cell>
          <cell r="D1453" t="str">
            <v/>
          </cell>
          <cell r="O1453" t="str">
            <v/>
          </cell>
          <cell r="T1453" t="str">
            <v/>
          </cell>
          <cell r="U1453" t="str">
            <v/>
          </cell>
          <cell r="V1453" t="str">
            <v/>
          </cell>
          <cell r="W1453" t="str">
            <v/>
          </cell>
          <cell r="Y1453" t="str">
            <v/>
          </cell>
          <cell r="AA1453" t="str">
            <v/>
          </cell>
          <cell r="AB1453">
            <v>0</v>
          </cell>
          <cell r="AC1453">
            <v>0</v>
          </cell>
          <cell r="AI1453" t="str">
            <v/>
          </cell>
          <cell r="AJ1453" t="str">
            <v/>
          </cell>
          <cell r="AK1453">
            <v>0</v>
          </cell>
          <cell r="AL1453">
            <v>0</v>
          </cell>
          <cell r="AM1453">
            <v>0</v>
          </cell>
        </row>
        <row r="1454">
          <cell r="C1454" t="str">
            <v/>
          </cell>
          <cell r="D1454" t="str">
            <v/>
          </cell>
          <cell r="O1454" t="str">
            <v/>
          </cell>
          <cell r="T1454" t="str">
            <v/>
          </cell>
          <cell r="U1454" t="str">
            <v/>
          </cell>
          <cell r="V1454" t="str">
            <v/>
          </cell>
          <cell r="W1454" t="str">
            <v/>
          </cell>
          <cell r="Y1454" t="str">
            <v/>
          </cell>
          <cell r="AA1454" t="str">
            <v/>
          </cell>
          <cell r="AB1454">
            <v>0</v>
          </cell>
          <cell r="AC1454">
            <v>0</v>
          </cell>
          <cell r="AI1454" t="str">
            <v/>
          </cell>
          <cell r="AJ1454" t="str">
            <v/>
          </cell>
          <cell r="AK1454">
            <v>0</v>
          </cell>
          <cell r="AL1454">
            <v>0</v>
          </cell>
          <cell r="AM1454">
            <v>0</v>
          </cell>
        </row>
        <row r="1455">
          <cell r="C1455" t="str">
            <v/>
          </cell>
          <cell r="D1455" t="str">
            <v/>
          </cell>
          <cell r="O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/>
          </cell>
          <cell r="Y1455" t="str">
            <v/>
          </cell>
          <cell r="AA1455" t="str">
            <v/>
          </cell>
          <cell r="AB1455">
            <v>0</v>
          </cell>
          <cell r="AC1455">
            <v>0</v>
          </cell>
          <cell r="AI1455" t="str">
            <v/>
          </cell>
          <cell r="AJ1455" t="str">
            <v/>
          </cell>
          <cell r="AK1455">
            <v>0</v>
          </cell>
          <cell r="AL1455">
            <v>0</v>
          </cell>
          <cell r="AM1455">
            <v>0</v>
          </cell>
        </row>
        <row r="1456">
          <cell r="C1456" t="str">
            <v/>
          </cell>
          <cell r="D1456" t="str">
            <v/>
          </cell>
          <cell r="O1456" t="str">
            <v/>
          </cell>
          <cell r="T1456" t="str">
            <v/>
          </cell>
          <cell r="U1456" t="str">
            <v/>
          </cell>
          <cell r="V1456" t="str">
            <v/>
          </cell>
          <cell r="W1456" t="str">
            <v/>
          </cell>
          <cell r="Y1456" t="str">
            <v/>
          </cell>
          <cell r="AA1456" t="str">
            <v/>
          </cell>
          <cell r="AB1456">
            <v>0</v>
          </cell>
          <cell r="AC1456">
            <v>0</v>
          </cell>
          <cell r="AI1456" t="str">
            <v/>
          </cell>
          <cell r="AJ1456" t="str">
            <v/>
          </cell>
          <cell r="AK1456">
            <v>0</v>
          </cell>
          <cell r="AL1456">
            <v>0</v>
          </cell>
          <cell r="AM1456">
            <v>0</v>
          </cell>
        </row>
        <row r="1457">
          <cell r="C1457" t="str">
            <v/>
          </cell>
          <cell r="D1457" t="str">
            <v/>
          </cell>
          <cell r="O1457" t="str">
            <v/>
          </cell>
          <cell r="T1457" t="str">
            <v/>
          </cell>
          <cell r="U1457" t="str">
            <v/>
          </cell>
          <cell r="V1457" t="str">
            <v/>
          </cell>
          <cell r="W1457" t="str">
            <v/>
          </cell>
          <cell r="Y1457" t="str">
            <v/>
          </cell>
          <cell r="AA1457" t="str">
            <v/>
          </cell>
          <cell r="AB1457">
            <v>0</v>
          </cell>
          <cell r="AC1457">
            <v>0</v>
          </cell>
          <cell r="AI1457" t="str">
            <v/>
          </cell>
          <cell r="AJ1457" t="str">
            <v/>
          </cell>
          <cell r="AK1457">
            <v>0</v>
          </cell>
          <cell r="AL1457">
            <v>0</v>
          </cell>
          <cell r="AM1457">
            <v>0</v>
          </cell>
        </row>
        <row r="1458">
          <cell r="C1458" t="str">
            <v/>
          </cell>
          <cell r="D1458" t="str">
            <v/>
          </cell>
          <cell r="O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/>
          </cell>
          <cell r="Y1458" t="str">
            <v/>
          </cell>
          <cell r="AA1458" t="str">
            <v/>
          </cell>
          <cell r="AB1458">
            <v>0</v>
          </cell>
          <cell r="AC1458">
            <v>0</v>
          </cell>
          <cell r="AI1458" t="str">
            <v/>
          </cell>
          <cell r="AJ1458" t="str">
            <v/>
          </cell>
          <cell r="AK1458">
            <v>0</v>
          </cell>
          <cell r="AL1458">
            <v>0</v>
          </cell>
          <cell r="AM1458">
            <v>0</v>
          </cell>
        </row>
        <row r="1459">
          <cell r="C1459" t="str">
            <v/>
          </cell>
          <cell r="D1459" t="str">
            <v/>
          </cell>
          <cell r="O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/>
          </cell>
          <cell r="Y1459" t="str">
            <v/>
          </cell>
          <cell r="AA1459" t="str">
            <v/>
          </cell>
          <cell r="AB1459">
            <v>0</v>
          </cell>
          <cell r="AC1459">
            <v>0</v>
          </cell>
          <cell r="AI1459" t="str">
            <v/>
          </cell>
          <cell r="AJ1459" t="str">
            <v/>
          </cell>
          <cell r="AK1459">
            <v>0</v>
          </cell>
          <cell r="AL1459">
            <v>0</v>
          </cell>
          <cell r="AM1459">
            <v>0</v>
          </cell>
        </row>
        <row r="1460">
          <cell r="C1460" t="str">
            <v/>
          </cell>
          <cell r="D1460" t="str">
            <v/>
          </cell>
          <cell r="O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/>
          </cell>
          <cell r="Y1460" t="str">
            <v/>
          </cell>
          <cell r="AA1460" t="str">
            <v/>
          </cell>
          <cell r="AB1460">
            <v>0</v>
          </cell>
          <cell r="AC1460">
            <v>0</v>
          </cell>
          <cell r="AI1460" t="str">
            <v/>
          </cell>
          <cell r="AJ1460" t="str">
            <v/>
          </cell>
          <cell r="AK1460">
            <v>0</v>
          </cell>
          <cell r="AL1460">
            <v>0</v>
          </cell>
          <cell r="AM1460">
            <v>0</v>
          </cell>
        </row>
        <row r="1461">
          <cell r="C1461" t="str">
            <v/>
          </cell>
          <cell r="D1461" t="str">
            <v/>
          </cell>
          <cell r="O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/>
          </cell>
          <cell r="Y1461" t="str">
            <v/>
          </cell>
          <cell r="AA1461" t="str">
            <v/>
          </cell>
          <cell r="AB1461">
            <v>0</v>
          </cell>
          <cell r="AC1461">
            <v>0</v>
          </cell>
          <cell r="AI1461" t="str">
            <v/>
          </cell>
          <cell r="AJ1461" t="str">
            <v/>
          </cell>
          <cell r="AK1461">
            <v>0</v>
          </cell>
          <cell r="AL1461">
            <v>0</v>
          </cell>
          <cell r="AM1461">
            <v>0</v>
          </cell>
        </row>
        <row r="1462">
          <cell r="C1462" t="str">
            <v/>
          </cell>
          <cell r="D1462" t="str">
            <v/>
          </cell>
          <cell r="O1462" t="str">
            <v/>
          </cell>
          <cell r="T1462" t="str">
            <v/>
          </cell>
          <cell r="U1462" t="str">
            <v/>
          </cell>
          <cell r="V1462" t="str">
            <v/>
          </cell>
          <cell r="W1462" t="str">
            <v/>
          </cell>
          <cell r="Y1462" t="str">
            <v/>
          </cell>
          <cell r="AA1462" t="str">
            <v/>
          </cell>
          <cell r="AB1462">
            <v>0</v>
          </cell>
          <cell r="AC1462">
            <v>0</v>
          </cell>
          <cell r="AI1462" t="str">
            <v/>
          </cell>
          <cell r="AJ1462" t="str">
            <v/>
          </cell>
          <cell r="AK1462">
            <v>0</v>
          </cell>
          <cell r="AL1462">
            <v>0</v>
          </cell>
          <cell r="AM1462">
            <v>0</v>
          </cell>
        </row>
        <row r="1463">
          <cell r="C1463" t="str">
            <v/>
          </cell>
          <cell r="D1463" t="str">
            <v/>
          </cell>
          <cell r="O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/>
          </cell>
          <cell r="Y1463" t="str">
            <v/>
          </cell>
          <cell r="AA1463" t="str">
            <v/>
          </cell>
          <cell r="AB1463">
            <v>0</v>
          </cell>
          <cell r="AC1463">
            <v>0</v>
          </cell>
          <cell r="AI1463" t="str">
            <v/>
          </cell>
          <cell r="AJ1463" t="str">
            <v/>
          </cell>
          <cell r="AK1463">
            <v>0</v>
          </cell>
          <cell r="AL1463">
            <v>0</v>
          </cell>
          <cell r="AM1463">
            <v>0</v>
          </cell>
        </row>
        <row r="1464">
          <cell r="C1464" t="str">
            <v/>
          </cell>
          <cell r="D1464" t="str">
            <v/>
          </cell>
          <cell r="O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/>
          </cell>
          <cell r="Y1464" t="str">
            <v/>
          </cell>
          <cell r="AA1464" t="str">
            <v/>
          </cell>
          <cell r="AB1464">
            <v>0</v>
          </cell>
          <cell r="AC1464">
            <v>0</v>
          </cell>
          <cell r="AI1464" t="str">
            <v/>
          </cell>
          <cell r="AJ1464" t="str">
            <v/>
          </cell>
          <cell r="AK1464">
            <v>0</v>
          </cell>
          <cell r="AL1464">
            <v>0</v>
          </cell>
          <cell r="AM1464">
            <v>0</v>
          </cell>
        </row>
        <row r="1465">
          <cell r="C1465" t="str">
            <v/>
          </cell>
          <cell r="D1465" t="str">
            <v/>
          </cell>
          <cell r="O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/>
          </cell>
          <cell r="Y1465" t="str">
            <v/>
          </cell>
          <cell r="AA1465" t="str">
            <v/>
          </cell>
          <cell r="AB1465">
            <v>0</v>
          </cell>
          <cell r="AC1465">
            <v>0</v>
          </cell>
          <cell r="AI1465" t="str">
            <v/>
          </cell>
          <cell r="AJ1465" t="str">
            <v/>
          </cell>
          <cell r="AK1465">
            <v>0</v>
          </cell>
          <cell r="AL1465">
            <v>0</v>
          </cell>
          <cell r="AM1465">
            <v>0</v>
          </cell>
        </row>
        <row r="1466">
          <cell r="C1466" t="str">
            <v/>
          </cell>
          <cell r="D1466" t="str">
            <v/>
          </cell>
          <cell r="O1466" t="str">
            <v/>
          </cell>
          <cell r="T1466" t="str">
            <v/>
          </cell>
          <cell r="U1466" t="str">
            <v/>
          </cell>
          <cell r="V1466" t="str">
            <v/>
          </cell>
          <cell r="W1466" t="str">
            <v/>
          </cell>
          <cell r="Y1466" t="str">
            <v/>
          </cell>
          <cell r="AA1466" t="str">
            <v/>
          </cell>
          <cell r="AB1466">
            <v>0</v>
          </cell>
          <cell r="AC1466">
            <v>0</v>
          </cell>
          <cell r="AI1466" t="str">
            <v/>
          </cell>
          <cell r="AJ1466" t="str">
            <v/>
          </cell>
          <cell r="AK1466">
            <v>0</v>
          </cell>
          <cell r="AL1466">
            <v>0</v>
          </cell>
          <cell r="AM1466">
            <v>0</v>
          </cell>
        </row>
        <row r="1467">
          <cell r="C1467" t="str">
            <v/>
          </cell>
          <cell r="D1467" t="str">
            <v/>
          </cell>
          <cell r="O1467" t="str">
            <v/>
          </cell>
          <cell r="T1467" t="str">
            <v/>
          </cell>
          <cell r="U1467" t="str">
            <v/>
          </cell>
          <cell r="V1467" t="str">
            <v/>
          </cell>
          <cell r="W1467" t="str">
            <v/>
          </cell>
          <cell r="Y1467" t="str">
            <v/>
          </cell>
          <cell r="AA1467" t="str">
            <v/>
          </cell>
          <cell r="AB1467">
            <v>0</v>
          </cell>
          <cell r="AC1467">
            <v>0</v>
          </cell>
          <cell r="AI1467" t="str">
            <v/>
          </cell>
          <cell r="AJ1467" t="str">
            <v/>
          </cell>
          <cell r="AK1467">
            <v>0</v>
          </cell>
          <cell r="AL1467">
            <v>0</v>
          </cell>
          <cell r="AM1467">
            <v>0</v>
          </cell>
        </row>
        <row r="1468">
          <cell r="C1468" t="str">
            <v/>
          </cell>
          <cell r="D1468" t="str">
            <v/>
          </cell>
          <cell r="O1468" t="str">
            <v/>
          </cell>
          <cell r="T1468" t="str">
            <v/>
          </cell>
          <cell r="U1468" t="str">
            <v/>
          </cell>
          <cell r="V1468" t="str">
            <v/>
          </cell>
          <cell r="W1468" t="str">
            <v/>
          </cell>
          <cell r="Y1468" t="str">
            <v/>
          </cell>
          <cell r="AA1468" t="str">
            <v/>
          </cell>
          <cell r="AB1468">
            <v>0</v>
          </cell>
          <cell r="AC1468">
            <v>0</v>
          </cell>
          <cell r="AI1468" t="str">
            <v/>
          </cell>
          <cell r="AJ1468" t="str">
            <v/>
          </cell>
          <cell r="AK1468">
            <v>0</v>
          </cell>
          <cell r="AL1468">
            <v>0</v>
          </cell>
          <cell r="AM1468">
            <v>0</v>
          </cell>
        </row>
        <row r="1469">
          <cell r="C1469" t="str">
            <v/>
          </cell>
          <cell r="D1469" t="str">
            <v/>
          </cell>
          <cell r="O1469" t="str">
            <v/>
          </cell>
          <cell r="T1469" t="str">
            <v/>
          </cell>
          <cell r="U1469" t="str">
            <v/>
          </cell>
          <cell r="V1469" t="str">
            <v/>
          </cell>
          <cell r="W1469" t="str">
            <v/>
          </cell>
          <cell r="Y1469" t="str">
            <v/>
          </cell>
          <cell r="AA1469" t="str">
            <v/>
          </cell>
          <cell r="AB1469">
            <v>0</v>
          </cell>
          <cell r="AC1469">
            <v>0</v>
          </cell>
          <cell r="AI1469" t="str">
            <v/>
          </cell>
          <cell r="AJ1469" t="str">
            <v/>
          </cell>
          <cell r="AK1469">
            <v>0</v>
          </cell>
          <cell r="AL1469">
            <v>0</v>
          </cell>
          <cell r="AM1469">
            <v>0</v>
          </cell>
        </row>
        <row r="1470">
          <cell r="C1470" t="str">
            <v/>
          </cell>
          <cell r="D1470" t="str">
            <v/>
          </cell>
          <cell r="O1470" t="str">
            <v/>
          </cell>
          <cell r="T1470" t="str">
            <v/>
          </cell>
          <cell r="U1470" t="str">
            <v/>
          </cell>
          <cell r="V1470" t="str">
            <v/>
          </cell>
          <cell r="W1470" t="str">
            <v/>
          </cell>
          <cell r="Y1470" t="str">
            <v/>
          </cell>
          <cell r="AA1470" t="str">
            <v/>
          </cell>
          <cell r="AB1470">
            <v>0</v>
          </cell>
          <cell r="AC1470">
            <v>0</v>
          </cell>
          <cell r="AI1470" t="str">
            <v/>
          </cell>
          <cell r="AJ1470" t="str">
            <v/>
          </cell>
          <cell r="AK1470">
            <v>0</v>
          </cell>
          <cell r="AL1470">
            <v>0</v>
          </cell>
          <cell r="AM1470">
            <v>0</v>
          </cell>
        </row>
        <row r="1471">
          <cell r="C1471" t="str">
            <v/>
          </cell>
          <cell r="D1471" t="str">
            <v/>
          </cell>
          <cell r="O1471" t="str">
            <v/>
          </cell>
          <cell r="T1471" t="str">
            <v/>
          </cell>
          <cell r="U1471" t="str">
            <v/>
          </cell>
          <cell r="V1471" t="str">
            <v/>
          </cell>
          <cell r="W1471" t="str">
            <v/>
          </cell>
          <cell r="Y1471" t="str">
            <v/>
          </cell>
          <cell r="AA1471" t="str">
            <v/>
          </cell>
          <cell r="AB1471">
            <v>0</v>
          </cell>
          <cell r="AC1471">
            <v>0</v>
          </cell>
          <cell r="AI1471" t="str">
            <v/>
          </cell>
          <cell r="AJ1471" t="str">
            <v/>
          </cell>
          <cell r="AK1471">
            <v>0</v>
          </cell>
          <cell r="AL1471">
            <v>0</v>
          </cell>
          <cell r="AM1471">
            <v>0</v>
          </cell>
        </row>
        <row r="1472">
          <cell r="C1472" t="str">
            <v/>
          </cell>
          <cell r="D1472" t="str">
            <v/>
          </cell>
          <cell r="O1472" t="str">
            <v/>
          </cell>
          <cell r="T1472" t="str">
            <v/>
          </cell>
          <cell r="U1472" t="str">
            <v/>
          </cell>
          <cell r="V1472" t="str">
            <v/>
          </cell>
          <cell r="W1472" t="str">
            <v/>
          </cell>
          <cell r="Y1472" t="str">
            <v/>
          </cell>
          <cell r="AA1472" t="str">
            <v/>
          </cell>
          <cell r="AB1472">
            <v>0</v>
          </cell>
          <cell r="AC1472">
            <v>0</v>
          </cell>
          <cell r="AI1472" t="str">
            <v/>
          </cell>
          <cell r="AJ1472" t="str">
            <v/>
          </cell>
          <cell r="AK1472">
            <v>0</v>
          </cell>
          <cell r="AL1472">
            <v>0</v>
          </cell>
          <cell r="AM1472">
            <v>0</v>
          </cell>
        </row>
        <row r="1473">
          <cell r="C1473" t="str">
            <v/>
          </cell>
          <cell r="D1473" t="str">
            <v/>
          </cell>
          <cell r="O1473" t="str">
            <v/>
          </cell>
          <cell r="T1473" t="str">
            <v/>
          </cell>
          <cell r="U1473" t="str">
            <v/>
          </cell>
          <cell r="V1473" t="str">
            <v/>
          </cell>
          <cell r="W1473" t="str">
            <v/>
          </cell>
          <cell r="Y1473" t="str">
            <v/>
          </cell>
          <cell r="AA1473" t="str">
            <v/>
          </cell>
          <cell r="AB1473">
            <v>0</v>
          </cell>
          <cell r="AC1473">
            <v>0</v>
          </cell>
          <cell r="AI1473" t="str">
            <v/>
          </cell>
          <cell r="AJ1473" t="str">
            <v/>
          </cell>
          <cell r="AK1473">
            <v>0</v>
          </cell>
          <cell r="AL1473">
            <v>0</v>
          </cell>
          <cell r="AM1473">
            <v>0</v>
          </cell>
        </row>
        <row r="1474">
          <cell r="C1474" t="str">
            <v/>
          </cell>
          <cell r="D1474" t="str">
            <v/>
          </cell>
          <cell r="O1474" t="str">
            <v/>
          </cell>
          <cell r="T1474" t="str">
            <v/>
          </cell>
          <cell r="U1474" t="str">
            <v/>
          </cell>
          <cell r="V1474" t="str">
            <v/>
          </cell>
          <cell r="W1474" t="str">
            <v/>
          </cell>
          <cell r="Y1474" t="str">
            <v/>
          </cell>
          <cell r="AA1474" t="str">
            <v/>
          </cell>
          <cell r="AB1474">
            <v>0</v>
          </cell>
          <cell r="AC1474">
            <v>0</v>
          </cell>
          <cell r="AI1474" t="str">
            <v/>
          </cell>
          <cell r="AJ1474" t="str">
            <v/>
          </cell>
          <cell r="AK1474">
            <v>0</v>
          </cell>
          <cell r="AL1474">
            <v>0</v>
          </cell>
          <cell r="AM1474">
            <v>0</v>
          </cell>
        </row>
        <row r="1475">
          <cell r="C1475" t="str">
            <v/>
          </cell>
          <cell r="D1475" t="str">
            <v/>
          </cell>
          <cell r="O1475" t="str">
            <v/>
          </cell>
          <cell r="T1475" t="str">
            <v/>
          </cell>
          <cell r="U1475" t="str">
            <v/>
          </cell>
          <cell r="V1475" t="str">
            <v/>
          </cell>
          <cell r="W1475" t="str">
            <v/>
          </cell>
          <cell r="Y1475" t="str">
            <v/>
          </cell>
          <cell r="AA1475" t="str">
            <v/>
          </cell>
          <cell r="AB1475">
            <v>0</v>
          </cell>
          <cell r="AC1475">
            <v>0</v>
          </cell>
          <cell r="AI1475" t="str">
            <v/>
          </cell>
          <cell r="AJ1475" t="str">
            <v/>
          </cell>
          <cell r="AK1475">
            <v>0</v>
          </cell>
          <cell r="AL1475">
            <v>0</v>
          </cell>
          <cell r="AM1475">
            <v>0</v>
          </cell>
        </row>
        <row r="1476">
          <cell r="C1476" t="str">
            <v/>
          </cell>
          <cell r="D1476" t="str">
            <v/>
          </cell>
          <cell r="O1476" t="str">
            <v/>
          </cell>
          <cell r="T1476" t="str">
            <v/>
          </cell>
          <cell r="U1476" t="str">
            <v/>
          </cell>
          <cell r="V1476" t="str">
            <v/>
          </cell>
          <cell r="W1476" t="str">
            <v/>
          </cell>
          <cell r="Y1476" t="str">
            <v/>
          </cell>
          <cell r="AA1476" t="str">
            <v/>
          </cell>
          <cell r="AB1476">
            <v>0</v>
          </cell>
          <cell r="AC1476">
            <v>0</v>
          </cell>
          <cell r="AI1476" t="str">
            <v/>
          </cell>
          <cell r="AJ1476" t="str">
            <v/>
          </cell>
          <cell r="AK1476">
            <v>0</v>
          </cell>
          <cell r="AL1476">
            <v>0</v>
          </cell>
          <cell r="AM1476">
            <v>0</v>
          </cell>
        </row>
        <row r="1477">
          <cell r="C1477" t="str">
            <v/>
          </cell>
          <cell r="D1477" t="str">
            <v/>
          </cell>
          <cell r="O1477" t="str">
            <v/>
          </cell>
          <cell r="T1477" t="str">
            <v/>
          </cell>
          <cell r="U1477" t="str">
            <v/>
          </cell>
          <cell r="V1477" t="str">
            <v/>
          </cell>
          <cell r="W1477" t="str">
            <v/>
          </cell>
          <cell r="Y1477" t="str">
            <v/>
          </cell>
          <cell r="AA1477" t="str">
            <v/>
          </cell>
          <cell r="AB1477">
            <v>0</v>
          </cell>
          <cell r="AC1477">
            <v>0</v>
          </cell>
          <cell r="AI1477" t="str">
            <v/>
          </cell>
          <cell r="AJ1477" t="str">
            <v/>
          </cell>
          <cell r="AK1477">
            <v>0</v>
          </cell>
          <cell r="AL1477">
            <v>0</v>
          </cell>
          <cell r="AM1477">
            <v>0</v>
          </cell>
        </row>
        <row r="1478">
          <cell r="C1478" t="str">
            <v/>
          </cell>
          <cell r="D1478" t="str">
            <v/>
          </cell>
          <cell r="O1478" t="str">
            <v/>
          </cell>
          <cell r="T1478" t="str">
            <v/>
          </cell>
          <cell r="U1478" t="str">
            <v/>
          </cell>
          <cell r="V1478" t="str">
            <v/>
          </cell>
          <cell r="W1478" t="str">
            <v/>
          </cell>
          <cell r="Y1478" t="str">
            <v/>
          </cell>
          <cell r="AA1478" t="str">
            <v/>
          </cell>
          <cell r="AB1478">
            <v>0</v>
          </cell>
          <cell r="AC1478">
            <v>0</v>
          </cell>
          <cell r="AI1478" t="str">
            <v/>
          </cell>
          <cell r="AJ1478" t="str">
            <v/>
          </cell>
          <cell r="AK1478">
            <v>0</v>
          </cell>
          <cell r="AL1478">
            <v>0</v>
          </cell>
          <cell r="AM1478">
            <v>0</v>
          </cell>
        </row>
        <row r="1479">
          <cell r="C1479" t="str">
            <v/>
          </cell>
          <cell r="D1479" t="str">
            <v/>
          </cell>
          <cell r="O1479" t="str">
            <v/>
          </cell>
          <cell r="T1479" t="str">
            <v/>
          </cell>
          <cell r="U1479" t="str">
            <v/>
          </cell>
          <cell r="V1479" t="str">
            <v/>
          </cell>
          <cell r="W1479" t="str">
            <v/>
          </cell>
          <cell r="Y1479" t="str">
            <v/>
          </cell>
          <cell r="AA1479" t="str">
            <v/>
          </cell>
          <cell r="AB1479">
            <v>0</v>
          </cell>
          <cell r="AC1479">
            <v>0</v>
          </cell>
          <cell r="AI1479" t="str">
            <v/>
          </cell>
          <cell r="AJ1479" t="str">
            <v/>
          </cell>
          <cell r="AK1479">
            <v>0</v>
          </cell>
          <cell r="AL1479">
            <v>0</v>
          </cell>
          <cell r="AM1479">
            <v>0</v>
          </cell>
        </row>
        <row r="1480">
          <cell r="C1480" t="str">
            <v/>
          </cell>
          <cell r="D1480" t="str">
            <v/>
          </cell>
          <cell r="O1480" t="str">
            <v/>
          </cell>
          <cell r="T1480" t="str">
            <v/>
          </cell>
          <cell r="U1480" t="str">
            <v/>
          </cell>
          <cell r="V1480" t="str">
            <v/>
          </cell>
          <cell r="W1480" t="str">
            <v/>
          </cell>
          <cell r="Y1480" t="str">
            <v/>
          </cell>
          <cell r="AA1480" t="str">
            <v/>
          </cell>
          <cell r="AB1480">
            <v>0</v>
          </cell>
          <cell r="AC1480">
            <v>0</v>
          </cell>
          <cell r="AI1480" t="str">
            <v/>
          </cell>
          <cell r="AJ1480" t="str">
            <v/>
          </cell>
          <cell r="AK1480">
            <v>0</v>
          </cell>
          <cell r="AL1480">
            <v>0</v>
          </cell>
          <cell r="AM1480">
            <v>0</v>
          </cell>
        </row>
        <row r="1481">
          <cell r="C1481" t="str">
            <v/>
          </cell>
          <cell r="D1481" t="str">
            <v/>
          </cell>
          <cell r="O1481" t="str">
            <v/>
          </cell>
          <cell r="T1481" t="str">
            <v/>
          </cell>
          <cell r="U1481" t="str">
            <v/>
          </cell>
          <cell r="V1481" t="str">
            <v/>
          </cell>
          <cell r="W1481" t="str">
            <v/>
          </cell>
          <cell r="Y1481" t="str">
            <v/>
          </cell>
          <cell r="AA1481" t="str">
            <v/>
          </cell>
          <cell r="AB1481">
            <v>0</v>
          </cell>
          <cell r="AC1481">
            <v>0</v>
          </cell>
          <cell r="AI1481" t="str">
            <v/>
          </cell>
          <cell r="AJ1481" t="str">
            <v/>
          </cell>
          <cell r="AK1481">
            <v>0</v>
          </cell>
          <cell r="AL1481">
            <v>0</v>
          </cell>
          <cell r="AM1481">
            <v>0</v>
          </cell>
        </row>
        <row r="1482">
          <cell r="C1482" t="str">
            <v/>
          </cell>
          <cell r="D1482" t="str">
            <v/>
          </cell>
          <cell r="O1482" t="str">
            <v/>
          </cell>
          <cell r="T1482" t="str">
            <v/>
          </cell>
          <cell r="U1482" t="str">
            <v/>
          </cell>
          <cell r="V1482" t="str">
            <v/>
          </cell>
          <cell r="W1482" t="str">
            <v/>
          </cell>
          <cell r="Y1482" t="str">
            <v/>
          </cell>
          <cell r="AA1482" t="str">
            <v/>
          </cell>
          <cell r="AB1482">
            <v>0</v>
          </cell>
          <cell r="AC1482">
            <v>0</v>
          </cell>
          <cell r="AI1482" t="str">
            <v/>
          </cell>
          <cell r="AJ1482" t="str">
            <v/>
          </cell>
          <cell r="AK1482">
            <v>0</v>
          </cell>
          <cell r="AL1482">
            <v>0</v>
          </cell>
          <cell r="AM1482">
            <v>0</v>
          </cell>
        </row>
        <row r="1483">
          <cell r="C1483" t="str">
            <v/>
          </cell>
          <cell r="D1483" t="str">
            <v/>
          </cell>
          <cell r="O1483" t="str">
            <v/>
          </cell>
          <cell r="T1483" t="str">
            <v/>
          </cell>
          <cell r="U1483" t="str">
            <v/>
          </cell>
          <cell r="V1483" t="str">
            <v/>
          </cell>
          <cell r="W1483" t="str">
            <v/>
          </cell>
          <cell r="Y1483" t="str">
            <v/>
          </cell>
          <cell r="AA1483" t="str">
            <v/>
          </cell>
          <cell r="AB1483">
            <v>0</v>
          </cell>
          <cell r="AC1483">
            <v>0</v>
          </cell>
          <cell r="AI1483" t="str">
            <v/>
          </cell>
          <cell r="AJ1483" t="str">
            <v/>
          </cell>
          <cell r="AK1483">
            <v>0</v>
          </cell>
          <cell r="AL1483">
            <v>0</v>
          </cell>
          <cell r="AM1483">
            <v>0</v>
          </cell>
        </row>
        <row r="1484">
          <cell r="C1484" t="str">
            <v/>
          </cell>
          <cell r="D1484" t="str">
            <v/>
          </cell>
          <cell r="O1484" t="str">
            <v/>
          </cell>
          <cell r="T1484" t="str">
            <v/>
          </cell>
          <cell r="U1484" t="str">
            <v/>
          </cell>
          <cell r="V1484" t="str">
            <v/>
          </cell>
          <cell r="W1484" t="str">
            <v/>
          </cell>
          <cell r="Y1484" t="str">
            <v/>
          </cell>
          <cell r="AA1484" t="str">
            <v/>
          </cell>
          <cell r="AB1484">
            <v>0</v>
          </cell>
          <cell r="AC1484">
            <v>0</v>
          </cell>
          <cell r="AI1484" t="str">
            <v/>
          </cell>
          <cell r="AJ1484" t="str">
            <v/>
          </cell>
          <cell r="AK1484">
            <v>0</v>
          </cell>
          <cell r="AL1484">
            <v>0</v>
          </cell>
          <cell r="AM1484">
            <v>0</v>
          </cell>
        </row>
        <row r="1485">
          <cell r="C1485" t="str">
            <v/>
          </cell>
          <cell r="D1485" t="str">
            <v/>
          </cell>
          <cell r="O1485" t="str">
            <v/>
          </cell>
          <cell r="T1485" t="str">
            <v/>
          </cell>
          <cell r="U1485" t="str">
            <v/>
          </cell>
          <cell r="V1485" t="str">
            <v/>
          </cell>
          <cell r="W1485" t="str">
            <v/>
          </cell>
          <cell r="Y1485" t="str">
            <v/>
          </cell>
          <cell r="AA1485" t="str">
            <v/>
          </cell>
          <cell r="AB1485">
            <v>0</v>
          </cell>
          <cell r="AC1485">
            <v>0</v>
          </cell>
          <cell r="AI1485" t="str">
            <v/>
          </cell>
          <cell r="AJ1485" t="str">
            <v/>
          </cell>
          <cell r="AK1485">
            <v>0</v>
          </cell>
          <cell r="AL1485">
            <v>0</v>
          </cell>
          <cell r="AM1485">
            <v>0</v>
          </cell>
        </row>
        <row r="1486">
          <cell r="C1486" t="str">
            <v/>
          </cell>
          <cell r="D1486" t="str">
            <v/>
          </cell>
          <cell r="O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/>
          </cell>
          <cell r="Y1486" t="str">
            <v/>
          </cell>
          <cell r="AA1486" t="str">
            <v/>
          </cell>
          <cell r="AB1486">
            <v>0</v>
          </cell>
          <cell r="AC1486">
            <v>0</v>
          </cell>
          <cell r="AI1486" t="str">
            <v/>
          </cell>
          <cell r="AJ1486" t="str">
            <v/>
          </cell>
          <cell r="AK1486">
            <v>0</v>
          </cell>
          <cell r="AL1486">
            <v>0</v>
          </cell>
          <cell r="AM1486">
            <v>0</v>
          </cell>
        </row>
        <row r="1487">
          <cell r="C1487" t="str">
            <v/>
          </cell>
          <cell r="D1487" t="str">
            <v/>
          </cell>
          <cell r="O1487" t="str">
            <v/>
          </cell>
          <cell r="T1487" t="str">
            <v/>
          </cell>
          <cell r="U1487" t="str">
            <v/>
          </cell>
          <cell r="V1487" t="str">
            <v/>
          </cell>
          <cell r="W1487" t="str">
            <v/>
          </cell>
          <cell r="Y1487" t="str">
            <v/>
          </cell>
          <cell r="AA1487" t="str">
            <v/>
          </cell>
          <cell r="AB1487">
            <v>0</v>
          </cell>
          <cell r="AC1487">
            <v>0</v>
          </cell>
          <cell r="AI1487" t="str">
            <v/>
          </cell>
          <cell r="AJ1487" t="str">
            <v/>
          </cell>
          <cell r="AK1487">
            <v>0</v>
          </cell>
          <cell r="AL1487">
            <v>0</v>
          </cell>
          <cell r="AM1487">
            <v>0</v>
          </cell>
        </row>
        <row r="1488">
          <cell r="C1488" t="str">
            <v/>
          </cell>
          <cell r="D1488" t="str">
            <v/>
          </cell>
          <cell r="O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/>
          </cell>
          <cell r="Y1488" t="str">
            <v/>
          </cell>
          <cell r="AA1488" t="str">
            <v/>
          </cell>
          <cell r="AB1488">
            <v>0</v>
          </cell>
          <cell r="AC1488">
            <v>0</v>
          </cell>
          <cell r="AI1488" t="str">
            <v/>
          </cell>
          <cell r="AJ1488" t="str">
            <v/>
          </cell>
          <cell r="AK1488">
            <v>0</v>
          </cell>
          <cell r="AL1488">
            <v>0</v>
          </cell>
          <cell r="AM1488">
            <v>0</v>
          </cell>
        </row>
        <row r="1489">
          <cell r="C1489" t="str">
            <v/>
          </cell>
          <cell r="D1489" t="str">
            <v/>
          </cell>
          <cell r="O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/>
          </cell>
          <cell r="Y1489" t="str">
            <v/>
          </cell>
          <cell r="AA1489" t="str">
            <v/>
          </cell>
          <cell r="AB1489">
            <v>0</v>
          </cell>
          <cell r="AC1489">
            <v>0</v>
          </cell>
          <cell r="AI1489" t="str">
            <v/>
          </cell>
          <cell r="AJ1489" t="str">
            <v/>
          </cell>
          <cell r="AK1489">
            <v>0</v>
          </cell>
          <cell r="AL1489">
            <v>0</v>
          </cell>
          <cell r="AM1489">
            <v>0</v>
          </cell>
        </row>
        <row r="1490">
          <cell r="C1490" t="str">
            <v/>
          </cell>
          <cell r="D1490" t="str">
            <v/>
          </cell>
          <cell r="O1490" t="str">
            <v/>
          </cell>
          <cell r="T1490" t="str">
            <v/>
          </cell>
          <cell r="U1490" t="str">
            <v/>
          </cell>
          <cell r="V1490" t="str">
            <v/>
          </cell>
          <cell r="W1490" t="str">
            <v/>
          </cell>
          <cell r="Y1490" t="str">
            <v/>
          </cell>
          <cell r="AA1490" t="str">
            <v/>
          </cell>
          <cell r="AB1490">
            <v>0</v>
          </cell>
          <cell r="AC1490">
            <v>0</v>
          </cell>
          <cell r="AI1490" t="str">
            <v/>
          </cell>
          <cell r="AJ1490" t="str">
            <v/>
          </cell>
          <cell r="AK1490">
            <v>0</v>
          </cell>
          <cell r="AL1490">
            <v>0</v>
          </cell>
          <cell r="AM1490">
            <v>0</v>
          </cell>
        </row>
        <row r="1491">
          <cell r="C1491" t="str">
            <v/>
          </cell>
          <cell r="D1491" t="str">
            <v/>
          </cell>
          <cell r="O1491" t="str">
            <v/>
          </cell>
          <cell r="T1491" t="str">
            <v/>
          </cell>
          <cell r="U1491" t="str">
            <v/>
          </cell>
          <cell r="V1491" t="str">
            <v/>
          </cell>
          <cell r="W1491" t="str">
            <v/>
          </cell>
          <cell r="Y1491" t="str">
            <v/>
          </cell>
          <cell r="AA1491" t="str">
            <v/>
          </cell>
          <cell r="AB1491">
            <v>0</v>
          </cell>
          <cell r="AC1491">
            <v>0</v>
          </cell>
          <cell r="AI1491" t="str">
            <v/>
          </cell>
          <cell r="AJ1491" t="str">
            <v/>
          </cell>
          <cell r="AK1491">
            <v>0</v>
          </cell>
          <cell r="AL1491">
            <v>0</v>
          </cell>
          <cell r="AM1491">
            <v>0</v>
          </cell>
        </row>
        <row r="1492">
          <cell r="C1492" t="str">
            <v/>
          </cell>
          <cell r="D1492" t="str">
            <v/>
          </cell>
          <cell r="O1492" t="str">
            <v/>
          </cell>
          <cell r="T1492" t="str">
            <v/>
          </cell>
          <cell r="U1492" t="str">
            <v/>
          </cell>
          <cell r="V1492" t="str">
            <v/>
          </cell>
          <cell r="W1492" t="str">
            <v/>
          </cell>
          <cell r="Y1492" t="str">
            <v/>
          </cell>
          <cell r="AA1492" t="str">
            <v/>
          </cell>
          <cell r="AB1492">
            <v>0</v>
          </cell>
          <cell r="AC1492">
            <v>0</v>
          </cell>
          <cell r="AI1492" t="str">
            <v/>
          </cell>
          <cell r="AJ1492" t="str">
            <v/>
          </cell>
          <cell r="AK1492">
            <v>0</v>
          </cell>
          <cell r="AL1492">
            <v>0</v>
          </cell>
          <cell r="AM1492">
            <v>0</v>
          </cell>
        </row>
        <row r="1493">
          <cell r="C1493" t="str">
            <v/>
          </cell>
          <cell r="D1493" t="str">
            <v/>
          </cell>
          <cell r="O1493" t="str">
            <v/>
          </cell>
          <cell r="T1493" t="str">
            <v/>
          </cell>
          <cell r="U1493" t="str">
            <v/>
          </cell>
          <cell r="V1493" t="str">
            <v/>
          </cell>
          <cell r="W1493" t="str">
            <v/>
          </cell>
          <cell r="Y1493" t="str">
            <v/>
          </cell>
          <cell r="AA1493" t="str">
            <v/>
          </cell>
          <cell r="AB1493">
            <v>0</v>
          </cell>
          <cell r="AC1493">
            <v>0</v>
          </cell>
          <cell r="AI1493" t="str">
            <v/>
          </cell>
          <cell r="AJ1493" t="str">
            <v/>
          </cell>
          <cell r="AK1493">
            <v>0</v>
          </cell>
          <cell r="AL1493">
            <v>0</v>
          </cell>
          <cell r="AM1493">
            <v>0</v>
          </cell>
        </row>
        <row r="1494">
          <cell r="C1494" t="str">
            <v/>
          </cell>
          <cell r="D1494" t="str">
            <v/>
          </cell>
          <cell r="O1494" t="str">
            <v/>
          </cell>
          <cell r="T1494" t="str">
            <v/>
          </cell>
          <cell r="U1494" t="str">
            <v/>
          </cell>
          <cell r="V1494" t="str">
            <v/>
          </cell>
          <cell r="W1494" t="str">
            <v/>
          </cell>
          <cell r="Y1494" t="str">
            <v/>
          </cell>
          <cell r="AA1494" t="str">
            <v/>
          </cell>
          <cell r="AB1494">
            <v>0</v>
          </cell>
          <cell r="AC1494">
            <v>0</v>
          </cell>
          <cell r="AI1494" t="str">
            <v/>
          </cell>
          <cell r="AJ1494" t="str">
            <v/>
          </cell>
          <cell r="AK1494">
            <v>0</v>
          </cell>
          <cell r="AL1494">
            <v>0</v>
          </cell>
          <cell r="AM1494">
            <v>0</v>
          </cell>
        </row>
        <row r="1495">
          <cell r="C1495" t="str">
            <v/>
          </cell>
          <cell r="D1495" t="str">
            <v/>
          </cell>
          <cell r="O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/>
          </cell>
          <cell r="Y1495" t="str">
            <v/>
          </cell>
          <cell r="AA1495" t="str">
            <v/>
          </cell>
          <cell r="AB1495">
            <v>0</v>
          </cell>
          <cell r="AC1495">
            <v>0</v>
          </cell>
          <cell r="AI1495" t="str">
            <v/>
          </cell>
          <cell r="AJ1495" t="str">
            <v/>
          </cell>
          <cell r="AK1495">
            <v>0</v>
          </cell>
          <cell r="AL1495">
            <v>0</v>
          </cell>
          <cell r="AM1495">
            <v>0</v>
          </cell>
        </row>
        <row r="1496">
          <cell r="C1496" t="str">
            <v/>
          </cell>
          <cell r="D1496" t="str">
            <v/>
          </cell>
          <cell r="O1496" t="str">
            <v/>
          </cell>
          <cell r="T1496" t="str">
            <v/>
          </cell>
          <cell r="U1496" t="str">
            <v/>
          </cell>
          <cell r="V1496" t="str">
            <v/>
          </cell>
          <cell r="W1496" t="str">
            <v/>
          </cell>
          <cell r="Y1496" t="str">
            <v/>
          </cell>
          <cell r="AA1496" t="str">
            <v/>
          </cell>
          <cell r="AB1496">
            <v>0</v>
          </cell>
          <cell r="AC1496">
            <v>0</v>
          </cell>
          <cell r="AI1496" t="str">
            <v/>
          </cell>
          <cell r="AJ1496" t="str">
            <v/>
          </cell>
          <cell r="AK1496">
            <v>0</v>
          </cell>
          <cell r="AL1496">
            <v>0</v>
          </cell>
          <cell r="AM1496">
            <v>0</v>
          </cell>
        </row>
        <row r="1497">
          <cell r="C1497" t="str">
            <v/>
          </cell>
          <cell r="D1497" t="str">
            <v/>
          </cell>
          <cell r="O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/>
          </cell>
          <cell r="Y1497" t="str">
            <v/>
          </cell>
          <cell r="AA1497" t="str">
            <v/>
          </cell>
          <cell r="AB1497">
            <v>0</v>
          </cell>
          <cell r="AC1497">
            <v>0</v>
          </cell>
          <cell r="AI1497" t="str">
            <v/>
          </cell>
          <cell r="AJ1497" t="str">
            <v/>
          </cell>
          <cell r="AK1497">
            <v>0</v>
          </cell>
          <cell r="AL1497">
            <v>0</v>
          </cell>
          <cell r="AM1497">
            <v>0</v>
          </cell>
        </row>
        <row r="1498">
          <cell r="C1498" t="str">
            <v/>
          </cell>
          <cell r="D1498" t="str">
            <v/>
          </cell>
          <cell r="O1498" t="str">
            <v/>
          </cell>
          <cell r="T1498" t="str">
            <v/>
          </cell>
          <cell r="U1498" t="str">
            <v/>
          </cell>
          <cell r="V1498" t="str">
            <v/>
          </cell>
          <cell r="W1498" t="str">
            <v/>
          </cell>
          <cell r="Y1498" t="str">
            <v/>
          </cell>
          <cell r="AA1498" t="str">
            <v/>
          </cell>
          <cell r="AB1498">
            <v>0</v>
          </cell>
          <cell r="AC1498">
            <v>0</v>
          </cell>
          <cell r="AI1498" t="str">
            <v/>
          </cell>
          <cell r="AJ1498" t="str">
            <v/>
          </cell>
          <cell r="AK1498">
            <v>0</v>
          </cell>
          <cell r="AL1498">
            <v>0</v>
          </cell>
          <cell r="AM1498">
            <v>0</v>
          </cell>
        </row>
        <row r="1499">
          <cell r="C1499" t="str">
            <v/>
          </cell>
          <cell r="D1499" t="str">
            <v/>
          </cell>
          <cell r="O1499" t="str">
            <v/>
          </cell>
          <cell r="T1499" t="str">
            <v/>
          </cell>
          <cell r="U1499" t="str">
            <v/>
          </cell>
          <cell r="V1499" t="str">
            <v/>
          </cell>
          <cell r="W1499" t="str">
            <v/>
          </cell>
          <cell r="Y1499" t="str">
            <v/>
          </cell>
          <cell r="AA1499" t="str">
            <v/>
          </cell>
          <cell r="AB1499">
            <v>0</v>
          </cell>
          <cell r="AC1499">
            <v>0</v>
          </cell>
          <cell r="AI1499" t="str">
            <v/>
          </cell>
          <cell r="AJ1499" t="str">
            <v/>
          </cell>
          <cell r="AK1499">
            <v>0</v>
          </cell>
          <cell r="AL1499">
            <v>0</v>
          </cell>
          <cell r="AM1499">
            <v>0</v>
          </cell>
        </row>
        <row r="1500">
          <cell r="C1500" t="str">
            <v/>
          </cell>
          <cell r="D1500" t="str">
            <v/>
          </cell>
          <cell r="O1500" t="str">
            <v/>
          </cell>
          <cell r="T1500" t="str">
            <v/>
          </cell>
          <cell r="U1500" t="str">
            <v/>
          </cell>
          <cell r="V1500" t="str">
            <v/>
          </cell>
          <cell r="W1500" t="str">
            <v/>
          </cell>
          <cell r="Y1500" t="str">
            <v/>
          </cell>
          <cell r="AA1500" t="str">
            <v/>
          </cell>
          <cell r="AB1500">
            <v>0</v>
          </cell>
          <cell r="AC1500">
            <v>0</v>
          </cell>
          <cell r="AI1500" t="str">
            <v/>
          </cell>
          <cell r="AJ1500" t="str">
            <v/>
          </cell>
          <cell r="AK1500">
            <v>0</v>
          </cell>
          <cell r="AL1500">
            <v>0</v>
          </cell>
          <cell r="AM1500">
            <v>0</v>
          </cell>
        </row>
        <row r="1501">
          <cell r="C1501" t="str">
            <v/>
          </cell>
          <cell r="D1501" t="str">
            <v/>
          </cell>
          <cell r="O1501" t="str">
            <v/>
          </cell>
          <cell r="T1501" t="str">
            <v/>
          </cell>
          <cell r="U1501" t="str">
            <v/>
          </cell>
          <cell r="V1501" t="str">
            <v/>
          </cell>
          <cell r="W1501" t="str">
            <v/>
          </cell>
          <cell r="Y1501" t="str">
            <v/>
          </cell>
          <cell r="AA1501" t="str">
            <v/>
          </cell>
          <cell r="AB1501">
            <v>0</v>
          </cell>
          <cell r="AC1501">
            <v>0</v>
          </cell>
          <cell r="AI1501" t="str">
            <v/>
          </cell>
          <cell r="AJ1501" t="str">
            <v/>
          </cell>
          <cell r="AK1501">
            <v>0</v>
          </cell>
          <cell r="AL1501">
            <v>0</v>
          </cell>
          <cell r="AM1501">
            <v>0</v>
          </cell>
        </row>
        <row r="1502">
          <cell r="C1502" t="str">
            <v/>
          </cell>
          <cell r="D1502" t="str">
            <v/>
          </cell>
          <cell r="O1502" t="str">
            <v/>
          </cell>
          <cell r="T1502" t="str">
            <v/>
          </cell>
          <cell r="U1502" t="str">
            <v/>
          </cell>
          <cell r="V1502" t="str">
            <v/>
          </cell>
          <cell r="W1502" t="str">
            <v/>
          </cell>
          <cell r="Y1502" t="str">
            <v/>
          </cell>
          <cell r="AA1502" t="str">
            <v/>
          </cell>
          <cell r="AB1502">
            <v>0</v>
          </cell>
          <cell r="AC1502">
            <v>0</v>
          </cell>
          <cell r="AI1502" t="str">
            <v/>
          </cell>
          <cell r="AJ1502" t="str">
            <v/>
          </cell>
          <cell r="AK1502">
            <v>0</v>
          </cell>
          <cell r="AL1502">
            <v>0</v>
          </cell>
          <cell r="AM1502">
            <v>0</v>
          </cell>
        </row>
        <row r="1503">
          <cell r="C1503" t="str">
            <v/>
          </cell>
          <cell r="D1503" t="str">
            <v/>
          </cell>
          <cell r="O1503" t="str">
            <v/>
          </cell>
          <cell r="T1503" t="str">
            <v/>
          </cell>
          <cell r="U1503" t="str">
            <v/>
          </cell>
          <cell r="V1503" t="str">
            <v/>
          </cell>
          <cell r="W1503" t="str">
            <v/>
          </cell>
          <cell r="Y1503" t="str">
            <v/>
          </cell>
          <cell r="AA1503" t="str">
            <v/>
          </cell>
          <cell r="AB1503">
            <v>0</v>
          </cell>
          <cell r="AC1503">
            <v>0</v>
          </cell>
          <cell r="AI1503" t="str">
            <v/>
          </cell>
          <cell r="AJ1503" t="str">
            <v/>
          </cell>
          <cell r="AK1503">
            <v>0</v>
          </cell>
          <cell r="AL1503">
            <v>0</v>
          </cell>
          <cell r="AM1503">
            <v>0</v>
          </cell>
        </row>
        <row r="1504">
          <cell r="C1504" t="str">
            <v/>
          </cell>
          <cell r="D1504" t="str">
            <v/>
          </cell>
          <cell r="O1504" t="str">
            <v/>
          </cell>
          <cell r="T1504" t="str">
            <v/>
          </cell>
          <cell r="U1504" t="str">
            <v/>
          </cell>
          <cell r="V1504" t="str">
            <v/>
          </cell>
          <cell r="W1504" t="str">
            <v/>
          </cell>
          <cell r="Y1504" t="str">
            <v/>
          </cell>
          <cell r="AA1504" t="str">
            <v/>
          </cell>
          <cell r="AB1504">
            <v>0</v>
          </cell>
          <cell r="AC1504">
            <v>0</v>
          </cell>
          <cell r="AI1504" t="str">
            <v/>
          </cell>
          <cell r="AJ1504" t="str">
            <v/>
          </cell>
          <cell r="AK1504">
            <v>0</v>
          </cell>
          <cell r="AL1504">
            <v>0</v>
          </cell>
          <cell r="AM1504">
            <v>0</v>
          </cell>
        </row>
        <row r="1505">
          <cell r="C1505" t="str">
            <v/>
          </cell>
          <cell r="D1505" t="str">
            <v/>
          </cell>
          <cell r="O1505" t="str">
            <v/>
          </cell>
          <cell r="T1505" t="str">
            <v/>
          </cell>
          <cell r="U1505" t="str">
            <v/>
          </cell>
          <cell r="V1505" t="str">
            <v/>
          </cell>
          <cell r="W1505" t="str">
            <v/>
          </cell>
          <cell r="Y1505" t="str">
            <v/>
          </cell>
          <cell r="AA1505" t="str">
            <v/>
          </cell>
          <cell r="AB1505">
            <v>0</v>
          </cell>
          <cell r="AC1505">
            <v>0</v>
          </cell>
          <cell r="AI1505" t="str">
            <v/>
          </cell>
          <cell r="AJ1505" t="str">
            <v/>
          </cell>
          <cell r="AK1505">
            <v>0</v>
          </cell>
          <cell r="AL1505">
            <v>0</v>
          </cell>
          <cell r="AM1505">
            <v>0</v>
          </cell>
        </row>
        <row r="1506">
          <cell r="C1506" t="str">
            <v/>
          </cell>
          <cell r="D1506" t="str">
            <v/>
          </cell>
          <cell r="O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/>
          </cell>
          <cell r="Y1506" t="str">
            <v/>
          </cell>
          <cell r="AA1506" t="str">
            <v/>
          </cell>
          <cell r="AB1506">
            <v>0</v>
          </cell>
          <cell r="AC1506">
            <v>0</v>
          </cell>
          <cell r="AI1506" t="str">
            <v/>
          </cell>
          <cell r="AJ1506" t="str">
            <v/>
          </cell>
          <cell r="AK1506">
            <v>0</v>
          </cell>
          <cell r="AL1506">
            <v>0</v>
          </cell>
          <cell r="AM1506">
            <v>0</v>
          </cell>
        </row>
        <row r="1507">
          <cell r="C1507" t="str">
            <v/>
          </cell>
          <cell r="D1507" t="str">
            <v/>
          </cell>
          <cell r="O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/>
          </cell>
          <cell r="Y1507" t="str">
            <v/>
          </cell>
          <cell r="AA1507" t="str">
            <v/>
          </cell>
          <cell r="AB1507">
            <v>0</v>
          </cell>
          <cell r="AC1507">
            <v>0</v>
          </cell>
          <cell r="AI1507" t="str">
            <v/>
          </cell>
          <cell r="AJ1507" t="str">
            <v/>
          </cell>
          <cell r="AK1507">
            <v>0</v>
          </cell>
          <cell r="AL1507">
            <v>0</v>
          </cell>
          <cell r="AM1507">
            <v>0</v>
          </cell>
        </row>
        <row r="1508">
          <cell r="C1508" t="str">
            <v/>
          </cell>
          <cell r="D1508" t="str">
            <v/>
          </cell>
          <cell r="O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/>
          </cell>
          <cell r="Y1508" t="str">
            <v/>
          </cell>
          <cell r="AA1508" t="str">
            <v/>
          </cell>
          <cell r="AB1508">
            <v>0</v>
          </cell>
          <cell r="AC1508">
            <v>0</v>
          </cell>
          <cell r="AI1508" t="str">
            <v/>
          </cell>
          <cell r="AJ1508" t="str">
            <v/>
          </cell>
          <cell r="AK1508">
            <v>0</v>
          </cell>
          <cell r="AL1508">
            <v>0</v>
          </cell>
          <cell r="AM1508">
            <v>0</v>
          </cell>
        </row>
        <row r="1509">
          <cell r="C1509" t="str">
            <v/>
          </cell>
          <cell r="D1509" t="str">
            <v/>
          </cell>
          <cell r="O1509" t="str">
            <v/>
          </cell>
          <cell r="T1509" t="str">
            <v/>
          </cell>
          <cell r="U1509" t="str">
            <v/>
          </cell>
          <cell r="V1509" t="str">
            <v/>
          </cell>
          <cell r="W1509" t="str">
            <v/>
          </cell>
          <cell r="Y1509" t="str">
            <v/>
          </cell>
          <cell r="AA1509" t="str">
            <v/>
          </cell>
          <cell r="AB1509">
            <v>0</v>
          </cell>
          <cell r="AC1509">
            <v>0</v>
          </cell>
          <cell r="AI1509" t="str">
            <v/>
          </cell>
          <cell r="AJ1509" t="str">
            <v/>
          </cell>
          <cell r="AK1509">
            <v>0</v>
          </cell>
          <cell r="AL1509">
            <v>0</v>
          </cell>
          <cell r="AM1509">
            <v>0</v>
          </cell>
        </row>
        <row r="1510">
          <cell r="C1510" t="str">
            <v/>
          </cell>
          <cell r="D1510" t="str">
            <v/>
          </cell>
          <cell r="O1510" t="str">
            <v/>
          </cell>
          <cell r="T1510" t="str">
            <v/>
          </cell>
          <cell r="U1510" t="str">
            <v/>
          </cell>
          <cell r="V1510" t="str">
            <v/>
          </cell>
          <cell r="W1510" t="str">
            <v/>
          </cell>
          <cell r="Y1510" t="str">
            <v/>
          </cell>
          <cell r="AA1510" t="str">
            <v/>
          </cell>
          <cell r="AB1510">
            <v>0</v>
          </cell>
          <cell r="AC1510">
            <v>0</v>
          </cell>
          <cell r="AI1510" t="str">
            <v/>
          </cell>
          <cell r="AJ1510" t="str">
            <v/>
          </cell>
          <cell r="AK1510">
            <v>0</v>
          </cell>
          <cell r="AL1510">
            <v>0</v>
          </cell>
          <cell r="AM1510">
            <v>0</v>
          </cell>
        </row>
        <row r="1511">
          <cell r="C1511" t="str">
            <v/>
          </cell>
          <cell r="D1511" t="str">
            <v/>
          </cell>
          <cell r="O1511" t="str">
            <v/>
          </cell>
          <cell r="T1511" t="str">
            <v/>
          </cell>
          <cell r="U1511" t="str">
            <v/>
          </cell>
          <cell r="V1511" t="str">
            <v/>
          </cell>
          <cell r="W1511" t="str">
            <v/>
          </cell>
          <cell r="Y1511" t="str">
            <v/>
          </cell>
          <cell r="AA1511" t="str">
            <v/>
          </cell>
          <cell r="AB1511">
            <v>0</v>
          </cell>
          <cell r="AC1511">
            <v>0</v>
          </cell>
          <cell r="AI1511" t="str">
            <v/>
          </cell>
          <cell r="AJ1511" t="str">
            <v/>
          </cell>
          <cell r="AK1511">
            <v>0</v>
          </cell>
          <cell r="AL1511">
            <v>0</v>
          </cell>
          <cell r="AM1511">
            <v>0</v>
          </cell>
        </row>
        <row r="1512">
          <cell r="C1512" t="str">
            <v/>
          </cell>
          <cell r="D1512" t="str">
            <v/>
          </cell>
          <cell r="O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/>
          </cell>
          <cell r="Y1512" t="str">
            <v/>
          </cell>
          <cell r="AA1512" t="str">
            <v/>
          </cell>
          <cell r="AB1512">
            <v>0</v>
          </cell>
          <cell r="AC1512">
            <v>0</v>
          </cell>
          <cell r="AI1512" t="str">
            <v/>
          </cell>
          <cell r="AJ1512" t="str">
            <v/>
          </cell>
          <cell r="AK1512">
            <v>0</v>
          </cell>
          <cell r="AL1512">
            <v>0</v>
          </cell>
          <cell r="AM1512">
            <v>0</v>
          </cell>
        </row>
        <row r="1513">
          <cell r="C1513" t="str">
            <v/>
          </cell>
          <cell r="D1513" t="str">
            <v/>
          </cell>
          <cell r="O1513" t="str">
            <v/>
          </cell>
          <cell r="T1513" t="str">
            <v/>
          </cell>
          <cell r="U1513" t="str">
            <v/>
          </cell>
          <cell r="V1513" t="str">
            <v/>
          </cell>
          <cell r="W1513" t="str">
            <v/>
          </cell>
          <cell r="Y1513" t="str">
            <v/>
          </cell>
          <cell r="AA1513" t="str">
            <v/>
          </cell>
          <cell r="AB1513">
            <v>0</v>
          </cell>
          <cell r="AC1513">
            <v>0</v>
          </cell>
          <cell r="AI1513" t="str">
            <v/>
          </cell>
          <cell r="AJ1513" t="str">
            <v/>
          </cell>
          <cell r="AK1513">
            <v>0</v>
          </cell>
          <cell r="AL1513">
            <v>0</v>
          </cell>
          <cell r="AM1513">
            <v>0</v>
          </cell>
        </row>
        <row r="1514">
          <cell r="C1514" t="str">
            <v/>
          </cell>
          <cell r="D1514" t="str">
            <v/>
          </cell>
          <cell r="O1514" t="str">
            <v/>
          </cell>
          <cell r="T1514" t="str">
            <v/>
          </cell>
          <cell r="U1514" t="str">
            <v/>
          </cell>
          <cell r="V1514" t="str">
            <v/>
          </cell>
          <cell r="W1514" t="str">
            <v/>
          </cell>
          <cell r="Y1514" t="str">
            <v/>
          </cell>
          <cell r="AA1514" t="str">
            <v/>
          </cell>
          <cell r="AB1514">
            <v>0</v>
          </cell>
          <cell r="AC1514">
            <v>0</v>
          </cell>
          <cell r="AI1514" t="str">
            <v/>
          </cell>
          <cell r="AJ1514" t="str">
            <v/>
          </cell>
          <cell r="AK1514">
            <v>0</v>
          </cell>
          <cell r="AL1514">
            <v>0</v>
          </cell>
          <cell r="AM1514">
            <v>0</v>
          </cell>
        </row>
        <row r="1515">
          <cell r="C1515" t="str">
            <v/>
          </cell>
          <cell r="D1515" t="str">
            <v/>
          </cell>
          <cell r="O1515" t="str">
            <v/>
          </cell>
          <cell r="T1515" t="str">
            <v/>
          </cell>
          <cell r="U1515" t="str">
            <v/>
          </cell>
          <cell r="V1515" t="str">
            <v/>
          </cell>
          <cell r="W1515" t="str">
            <v/>
          </cell>
          <cell r="Y1515" t="str">
            <v/>
          </cell>
          <cell r="AA1515" t="str">
            <v/>
          </cell>
          <cell r="AB1515">
            <v>0</v>
          </cell>
          <cell r="AC1515">
            <v>0</v>
          </cell>
          <cell r="AI1515" t="str">
            <v/>
          </cell>
          <cell r="AJ1515" t="str">
            <v/>
          </cell>
          <cell r="AK1515">
            <v>0</v>
          </cell>
          <cell r="AL1515">
            <v>0</v>
          </cell>
          <cell r="AM1515">
            <v>0</v>
          </cell>
        </row>
        <row r="1516">
          <cell r="C1516" t="str">
            <v/>
          </cell>
          <cell r="D1516" t="str">
            <v/>
          </cell>
          <cell r="O1516" t="str">
            <v/>
          </cell>
          <cell r="T1516" t="str">
            <v/>
          </cell>
          <cell r="U1516" t="str">
            <v/>
          </cell>
          <cell r="V1516" t="str">
            <v/>
          </cell>
          <cell r="W1516" t="str">
            <v/>
          </cell>
          <cell r="Y1516" t="str">
            <v/>
          </cell>
          <cell r="AA1516" t="str">
            <v/>
          </cell>
          <cell r="AB1516">
            <v>0</v>
          </cell>
          <cell r="AC1516">
            <v>0</v>
          </cell>
          <cell r="AI1516" t="str">
            <v/>
          </cell>
          <cell r="AJ1516" t="str">
            <v/>
          </cell>
          <cell r="AK1516">
            <v>0</v>
          </cell>
          <cell r="AL1516">
            <v>0</v>
          </cell>
          <cell r="AM1516">
            <v>0</v>
          </cell>
        </row>
        <row r="1517">
          <cell r="C1517" t="str">
            <v/>
          </cell>
          <cell r="D1517" t="str">
            <v/>
          </cell>
          <cell r="O1517" t="str">
            <v/>
          </cell>
          <cell r="T1517" t="str">
            <v/>
          </cell>
          <cell r="U1517" t="str">
            <v/>
          </cell>
          <cell r="V1517" t="str">
            <v/>
          </cell>
          <cell r="W1517" t="str">
            <v/>
          </cell>
          <cell r="Y1517" t="str">
            <v/>
          </cell>
          <cell r="AA1517" t="str">
            <v/>
          </cell>
          <cell r="AB1517">
            <v>0</v>
          </cell>
          <cell r="AC1517">
            <v>0</v>
          </cell>
          <cell r="AI1517" t="str">
            <v/>
          </cell>
          <cell r="AJ1517" t="str">
            <v/>
          </cell>
          <cell r="AK1517">
            <v>0</v>
          </cell>
          <cell r="AL1517">
            <v>0</v>
          </cell>
          <cell r="AM1517">
            <v>0</v>
          </cell>
        </row>
        <row r="1518">
          <cell r="C1518" t="str">
            <v/>
          </cell>
          <cell r="D1518" t="str">
            <v/>
          </cell>
          <cell r="O1518" t="str">
            <v/>
          </cell>
          <cell r="T1518" t="str">
            <v/>
          </cell>
          <cell r="U1518" t="str">
            <v/>
          </cell>
          <cell r="V1518" t="str">
            <v/>
          </cell>
          <cell r="W1518" t="str">
            <v/>
          </cell>
          <cell r="Y1518" t="str">
            <v/>
          </cell>
          <cell r="AA1518" t="str">
            <v/>
          </cell>
          <cell r="AB1518">
            <v>0</v>
          </cell>
          <cell r="AC1518">
            <v>0</v>
          </cell>
          <cell r="AI1518" t="str">
            <v/>
          </cell>
          <cell r="AJ1518" t="str">
            <v/>
          </cell>
          <cell r="AK1518">
            <v>0</v>
          </cell>
          <cell r="AL1518">
            <v>0</v>
          </cell>
          <cell r="AM1518">
            <v>0</v>
          </cell>
        </row>
        <row r="1519">
          <cell r="C1519" t="str">
            <v/>
          </cell>
          <cell r="D1519" t="str">
            <v/>
          </cell>
          <cell r="O1519" t="str">
            <v/>
          </cell>
          <cell r="T1519" t="str">
            <v/>
          </cell>
          <cell r="U1519" t="str">
            <v/>
          </cell>
          <cell r="V1519" t="str">
            <v/>
          </cell>
          <cell r="W1519" t="str">
            <v/>
          </cell>
          <cell r="Y1519" t="str">
            <v/>
          </cell>
          <cell r="AA1519" t="str">
            <v/>
          </cell>
          <cell r="AB1519">
            <v>0</v>
          </cell>
          <cell r="AC1519">
            <v>0</v>
          </cell>
          <cell r="AI1519" t="str">
            <v/>
          </cell>
          <cell r="AJ1519" t="str">
            <v/>
          </cell>
          <cell r="AK1519">
            <v>0</v>
          </cell>
          <cell r="AL1519">
            <v>0</v>
          </cell>
          <cell r="AM1519">
            <v>0</v>
          </cell>
        </row>
        <row r="1520">
          <cell r="C1520" t="str">
            <v/>
          </cell>
          <cell r="D1520" t="str">
            <v/>
          </cell>
          <cell r="O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/>
          </cell>
          <cell r="Y1520" t="str">
            <v/>
          </cell>
          <cell r="AA1520" t="str">
            <v/>
          </cell>
          <cell r="AB1520">
            <v>0</v>
          </cell>
          <cell r="AC1520">
            <v>0</v>
          </cell>
          <cell r="AI1520" t="str">
            <v/>
          </cell>
          <cell r="AJ1520" t="str">
            <v/>
          </cell>
          <cell r="AK1520">
            <v>0</v>
          </cell>
          <cell r="AL1520">
            <v>0</v>
          </cell>
          <cell r="AM1520">
            <v>0</v>
          </cell>
        </row>
        <row r="1521">
          <cell r="C1521" t="str">
            <v/>
          </cell>
          <cell r="D1521" t="str">
            <v/>
          </cell>
          <cell r="O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/>
          </cell>
          <cell r="Y1521" t="str">
            <v/>
          </cell>
          <cell r="AA1521" t="str">
            <v/>
          </cell>
          <cell r="AB1521">
            <v>0</v>
          </cell>
          <cell r="AC1521">
            <v>0</v>
          </cell>
          <cell r="AI1521" t="str">
            <v/>
          </cell>
          <cell r="AJ1521" t="str">
            <v/>
          </cell>
          <cell r="AK1521">
            <v>0</v>
          </cell>
          <cell r="AL1521">
            <v>0</v>
          </cell>
          <cell r="AM1521">
            <v>0</v>
          </cell>
        </row>
        <row r="1522">
          <cell r="C1522" t="str">
            <v/>
          </cell>
          <cell r="D1522" t="str">
            <v/>
          </cell>
          <cell r="O1522" t="str">
            <v/>
          </cell>
          <cell r="T1522" t="str">
            <v/>
          </cell>
          <cell r="U1522" t="str">
            <v/>
          </cell>
          <cell r="V1522" t="str">
            <v/>
          </cell>
          <cell r="W1522" t="str">
            <v/>
          </cell>
          <cell r="Y1522" t="str">
            <v/>
          </cell>
          <cell r="AA1522" t="str">
            <v/>
          </cell>
          <cell r="AB1522">
            <v>0</v>
          </cell>
          <cell r="AC1522">
            <v>0</v>
          </cell>
          <cell r="AI1522" t="str">
            <v/>
          </cell>
          <cell r="AJ1522" t="str">
            <v/>
          </cell>
          <cell r="AK1522">
            <v>0</v>
          </cell>
          <cell r="AL1522">
            <v>0</v>
          </cell>
          <cell r="AM1522">
            <v>0</v>
          </cell>
        </row>
        <row r="1523">
          <cell r="C1523" t="str">
            <v/>
          </cell>
          <cell r="D1523" t="str">
            <v/>
          </cell>
          <cell r="O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/>
          </cell>
          <cell r="Y1523" t="str">
            <v/>
          </cell>
          <cell r="AA1523" t="str">
            <v/>
          </cell>
          <cell r="AB1523">
            <v>0</v>
          </cell>
          <cell r="AC1523">
            <v>0</v>
          </cell>
          <cell r="AI1523" t="str">
            <v/>
          </cell>
          <cell r="AJ1523" t="str">
            <v/>
          </cell>
          <cell r="AK1523">
            <v>0</v>
          </cell>
          <cell r="AL1523">
            <v>0</v>
          </cell>
          <cell r="AM1523">
            <v>0</v>
          </cell>
        </row>
        <row r="1524">
          <cell r="C1524" t="str">
            <v/>
          </cell>
          <cell r="D1524" t="str">
            <v/>
          </cell>
          <cell r="O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/>
          </cell>
          <cell r="Y1524" t="str">
            <v/>
          </cell>
          <cell r="AA1524" t="str">
            <v/>
          </cell>
          <cell r="AB1524">
            <v>0</v>
          </cell>
          <cell r="AC1524">
            <v>0</v>
          </cell>
          <cell r="AI1524" t="str">
            <v/>
          </cell>
          <cell r="AJ1524" t="str">
            <v/>
          </cell>
          <cell r="AK1524">
            <v>0</v>
          </cell>
          <cell r="AL1524">
            <v>0</v>
          </cell>
          <cell r="AM1524">
            <v>0</v>
          </cell>
        </row>
        <row r="1525">
          <cell r="C1525" t="str">
            <v/>
          </cell>
          <cell r="D1525" t="str">
            <v/>
          </cell>
          <cell r="O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/>
          </cell>
          <cell r="Y1525" t="str">
            <v/>
          </cell>
          <cell r="AA1525" t="str">
            <v/>
          </cell>
          <cell r="AB1525">
            <v>0</v>
          </cell>
          <cell r="AC1525">
            <v>0</v>
          </cell>
          <cell r="AI1525" t="str">
            <v/>
          </cell>
          <cell r="AJ1525" t="str">
            <v/>
          </cell>
          <cell r="AK1525">
            <v>0</v>
          </cell>
          <cell r="AL1525">
            <v>0</v>
          </cell>
          <cell r="AM1525">
            <v>0</v>
          </cell>
        </row>
        <row r="1526">
          <cell r="C1526" t="str">
            <v/>
          </cell>
          <cell r="D1526" t="str">
            <v/>
          </cell>
          <cell r="O1526" t="str">
            <v/>
          </cell>
          <cell r="T1526" t="str">
            <v/>
          </cell>
          <cell r="U1526" t="str">
            <v/>
          </cell>
          <cell r="V1526" t="str">
            <v/>
          </cell>
          <cell r="W1526" t="str">
            <v/>
          </cell>
          <cell r="Y1526" t="str">
            <v/>
          </cell>
          <cell r="AA1526" t="str">
            <v/>
          </cell>
          <cell r="AB1526">
            <v>0</v>
          </cell>
          <cell r="AC1526">
            <v>0</v>
          </cell>
          <cell r="AI1526" t="str">
            <v/>
          </cell>
          <cell r="AJ1526" t="str">
            <v/>
          </cell>
          <cell r="AK1526">
            <v>0</v>
          </cell>
          <cell r="AL1526">
            <v>0</v>
          </cell>
          <cell r="AM1526">
            <v>0</v>
          </cell>
        </row>
        <row r="1527">
          <cell r="C1527" t="str">
            <v/>
          </cell>
          <cell r="D1527" t="str">
            <v/>
          </cell>
          <cell r="O1527" t="str">
            <v/>
          </cell>
          <cell r="T1527" t="str">
            <v/>
          </cell>
          <cell r="U1527" t="str">
            <v/>
          </cell>
          <cell r="V1527" t="str">
            <v/>
          </cell>
          <cell r="W1527" t="str">
            <v/>
          </cell>
          <cell r="Y1527" t="str">
            <v/>
          </cell>
          <cell r="AA1527" t="str">
            <v/>
          </cell>
          <cell r="AB1527">
            <v>0</v>
          </cell>
          <cell r="AC1527">
            <v>0</v>
          </cell>
          <cell r="AI1527" t="str">
            <v/>
          </cell>
          <cell r="AJ1527" t="str">
            <v/>
          </cell>
          <cell r="AK1527">
            <v>0</v>
          </cell>
          <cell r="AL1527">
            <v>0</v>
          </cell>
          <cell r="AM1527">
            <v>0</v>
          </cell>
        </row>
        <row r="1528">
          <cell r="C1528" t="str">
            <v/>
          </cell>
          <cell r="D1528" t="str">
            <v/>
          </cell>
          <cell r="O1528" t="str">
            <v/>
          </cell>
          <cell r="T1528" t="str">
            <v/>
          </cell>
          <cell r="U1528" t="str">
            <v/>
          </cell>
          <cell r="V1528" t="str">
            <v/>
          </cell>
          <cell r="W1528" t="str">
            <v/>
          </cell>
          <cell r="Y1528" t="str">
            <v/>
          </cell>
          <cell r="AA1528" t="str">
            <v/>
          </cell>
          <cell r="AB1528">
            <v>0</v>
          </cell>
          <cell r="AC1528">
            <v>0</v>
          </cell>
          <cell r="AI1528" t="str">
            <v/>
          </cell>
          <cell r="AJ1528" t="str">
            <v/>
          </cell>
          <cell r="AK1528">
            <v>0</v>
          </cell>
          <cell r="AL1528">
            <v>0</v>
          </cell>
          <cell r="AM1528">
            <v>0</v>
          </cell>
        </row>
        <row r="1529">
          <cell r="C1529" t="str">
            <v/>
          </cell>
          <cell r="D1529" t="str">
            <v/>
          </cell>
          <cell r="O1529" t="str">
            <v/>
          </cell>
          <cell r="T1529" t="str">
            <v/>
          </cell>
          <cell r="U1529" t="str">
            <v/>
          </cell>
          <cell r="V1529" t="str">
            <v/>
          </cell>
          <cell r="W1529" t="str">
            <v/>
          </cell>
          <cell r="Y1529" t="str">
            <v/>
          </cell>
          <cell r="AA1529" t="str">
            <v/>
          </cell>
          <cell r="AB1529">
            <v>0</v>
          </cell>
          <cell r="AC1529">
            <v>0</v>
          </cell>
          <cell r="AI1529" t="str">
            <v/>
          </cell>
          <cell r="AJ1529" t="str">
            <v/>
          </cell>
          <cell r="AK1529">
            <v>0</v>
          </cell>
          <cell r="AL1529">
            <v>0</v>
          </cell>
          <cell r="AM1529">
            <v>0</v>
          </cell>
        </row>
        <row r="1530">
          <cell r="C1530" t="str">
            <v/>
          </cell>
          <cell r="D1530" t="str">
            <v/>
          </cell>
          <cell r="O1530" t="str">
            <v/>
          </cell>
          <cell r="T1530" t="str">
            <v/>
          </cell>
          <cell r="U1530" t="str">
            <v/>
          </cell>
          <cell r="V1530" t="str">
            <v/>
          </cell>
          <cell r="W1530" t="str">
            <v/>
          </cell>
          <cell r="Y1530" t="str">
            <v/>
          </cell>
          <cell r="AA1530" t="str">
            <v/>
          </cell>
          <cell r="AB1530">
            <v>0</v>
          </cell>
          <cell r="AC1530">
            <v>0</v>
          </cell>
          <cell r="AI1530" t="str">
            <v/>
          </cell>
          <cell r="AJ1530" t="str">
            <v/>
          </cell>
          <cell r="AK1530">
            <v>0</v>
          </cell>
          <cell r="AL1530">
            <v>0</v>
          </cell>
          <cell r="AM1530">
            <v>0</v>
          </cell>
        </row>
        <row r="1531">
          <cell r="C1531" t="str">
            <v/>
          </cell>
          <cell r="D1531" t="str">
            <v/>
          </cell>
          <cell r="O1531" t="str">
            <v/>
          </cell>
          <cell r="T1531" t="str">
            <v/>
          </cell>
          <cell r="U1531" t="str">
            <v/>
          </cell>
          <cell r="V1531" t="str">
            <v/>
          </cell>
          <cell r="W1531" t="str">
            <v/>
          </cell>
          <cell r="Y1531" t="str">
            <v/>
          </cell>
          <cell r="AA1531" t="str">
            <v/>
          </cell>
          <cell r="AB1531">
            <v>0</v>
          </cell>
          <cell r="AC1531">
            <v>0</v>
          </cell>
          <cell r="AI1531" t="str">
            <v/>
          </cell>
          <cell r="AJ1531" t="str">
            <v/>
          </cell>
          <cell r="AK1531">
            <v>0</v>
          </cell>
          <cell r="AL1531">
            <v>0</v>
          </cell>
          <cell r="AM1531">
            <v>0</v>
          </cell>
        </row>
        <row r="1532">
          <cell r="C1532" t="str">
            <v/>
          </cell>
          <cell r="D1532" t="str">
            <v/>
          </cell>
          <cell r="O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/>
          </cell>
          <cell r="Y1532" t="str">
            <v/>
          </cell>
          <cell r="AA1532" t="str">
            <v/>
          </cell>
          <cell r="AB1532">
            <v>0</v>
          </cell>
          <cell r="AC1532">
            <v>0</v>
          </cell>
          <cell r="AI1532" t="str">
            <v/>
          </cell>
          <cell r="AJ1532" t="str">
            <v/>
          </cell>
          <cell r="AK1532">
            <v>0</v>
          </cell>
          <cell r="AL1532">
            <v>0</v>
          </cell>
          <cell r="AM1532">
            <v>0</v>
          </cell>
        </row>
        <row r="1533">
          <cell r="C1533" t="str">
            <v/>
          </cell>
          <cell r="D1533" t="str">
            <v/>
          </cell>
          <cell r="O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/>
          </cell>
          <cell r="Y1533" t="str">
            <v/>
          </cell>
          <cell r="AA1533" t="str">
            <v/>
          </cell>
          <cell r="AB1533">
            <v>0</v>
          </cell>
          <cell r="AC1533">
            <v>0</v>
          </cell>
          <cell r="AI1533" t="str">
            <v/>
          </cell>
          <cell r="AJ1533" t="str">
            <v/>
          </cell>
          <cell r="AK1533">
            <v>0</v>
          </cell>
          <cell r="AL1533">
            <v>0</v>
          </cell>
          <cell r="AM1533">
            <v>0</v>
          </cell>
        </row>
        <row r="1534">
          <cell r="C1534" t="str">
            <v/>
          </cell>
          <cell r="D1534" t="str">
            <v/>
          </cell>
          <cell r="O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/>
          </cell>
          <cell r="Y1534" t="str">
            <v/>
          </cell>
          <cell r="AA1534" t="str">
            <v/>
          </cell>
          <cell r="AB1534">
            <v>0</v>
          </cell>
          <cell r="AC1534">
            <v>0</v>
          </cell>
          <cell r="AI1534" t="str">
            <v/>
          </cell>
          <cell r="AJ1534" t="str">
            <v/>
          </cell>
          <cell r="AK1534">
            <v>0</v>
          </cell>
          <cell r="AL1534">
            <v>0</v>
          </cell>
          <cell r="AM1534">
            <v>0</v>
          </cell>
        </row>
        <row r="1535">
          <cell r="C1535" t="str">
            <v/>
          </cell>
          <cell r="D1535" t="str">
            <v/>
          </cell>
          <cell r="O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/>
          </cell>
          <cell r="Y1535" t="str">
            <v/>
          </cell>
          <cell r="AA1535" t="str">
            <v/>
          </cell>
          <cell r="AB1535">
            <v>0</v>
          </cell>
          <cell r="AC1535">
            <v>0</v>
          </cell>
          <cell r="AI1535" t="str">
            <v/>
          </cell>
          <cell r="AJ1535" t="str">
            <v/>
          </cell>
          <cell r="AK1535">
            <v>0</v>
          </cell>
          <cell r="AL1535">
            <v>0</v>
          </cell>
          <cell r="AM1535">
            <v>0</v>
          </cell>
        </row>
        <row r="1536">
          <cell r="C1536" t="str">
            <v/>
          </cell>
          <cell r="D1536" t="str">
            <v/>
          </cell>
          <cell r="O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/>
          </cell>
          <cell r="Y1536" t="str">
            <v/>
          </cell>
          <cell r="AA1536" t="str">
            <v/>
          </cell>
          <cell r="AB1536">
            <v>0</v>
          </cell>
          <cell r="AC1536">
            <v>0</v>
          </cell>
          <cell r="AI1536" t="str">
            <v/>
          </cell>
          <cell r="AJ1536" t="str">
            <v/>
          </cell>
          <cell r="AK1536">
            <v>0</v>
          </cell>
          <cell r="AL1536">
            <v>0</v>
          </cell>
          <cell r="AM1536">
            <v>0</v>
          </cell>
        </row>
        <row r="1537">
          <cell r="C1537" t="str">
            <v/>
          </cell>
          <cell r="D1537" t="str">
            <v/>
          </cell>
          <cell r="O1537" t="str">
            <v/>
          </cell>
          <cell r="T1537" t="str">
            <v/>
          </cell>
          <cell r="U1537" t="str">
            <v/>
          </cell>
          <cell r="V1537" t="str">
            <v/>
          </cell>
          <cell r="W1537" t="str">
            <v/>
          </cell>
          <cell r="Y1537" t="str">
            <v/>
          </cell>
          <cell r="AA1537" t="str">
            <v/>
          </cell>
          <cell r="AB1537">
            <v>0</v>
          </cell>
          <cell r="AC1537">
            <v>0</v>
          </cell>
          <cell r="AI1537" t="str">
            <v/>
          </cell>
          <cell r="AJ1537" t="str">
            <v/>
          </cell>
          <cell r="AK1537">
            <v>0</v>
          </cell>
          <cell r="AL1537">
            <v>0</v>
          </cell>
          <cell r="AM1537">
            <v>0</v>
          </cell>
        </row>
        <row r="1538">
          <cell r="C1538" t="str">
            <v/>
          </cell>
          <cell r="D1538" t="str">
            <v/>
          </cell>
          <cell r="O1538" t="str">
            <v/>
          </cell>
          <cell r="T1538" t="str">
            <v/>
          </cell>
          <cell r="U1538" t="str">
            <v/>
          </cell>
          <cell r="V1538" t="str">
            <v/>
          </cell>
          <cell r="W1538" t="str">
            <v/>
          </cell>
          <cell r="Y1538" t="str">
            <v/>
          </cell>
          <cell r="AA1538" t="str">
            <v/>
          </cell>
          <cell r="AB1538">
            <v>0</v>
          </cell>
          <cell r="AC1538">
            <v>0</v>
          </cell>
          <cell r="AI1538" t="str">
            <v/>
          </cell>
          <cell r="AJ1538" t="str">
            <v/>
          </cell>
          <cell r="AK1538">
            <v>0</v>
          </cell>
          <cell r="AL1538">
            <v>0</v>
          </cell>
          <cell r="AM1538">
            <v>0</v>
          </cell>
        </row>
        <row r="1539">
          <cell r="C1539" t="str">
            <v/>
          </cell>
          <cell r="D1539" t="str">
            <v/>
          </cell>
          <cell r="O1539" t="str">
            <v/>
          </cell>
          <cell r="T1539" t="str">
            <v/>
          </cell>
          <cell r="U1539" t="str">
            <v/>
          </cell>
          <cell r="V1539" t="str">
            <v/>
          </cell>
          <cell r="W1539" t="str">
            <v/>
          </cell>
          <cell r="Y1539" t="str">
            <v/>
          </cell>
          <cell r="AA1539" t="str">
            <v/>
          </cell>
          <cell r="AB1539">
            <v>0</v>
          </cell>
          <cell r="AC1539">
            <v>0</v>
          </cell>
          <cell r="AI1539" t="str">
            <v/>
          </cell>
          <cell r="AJ1539" t="str">
            <v/>
          </cell>
          <cell r="AK1539">
            <v>0</v>
          </cell>
          <cell r="AL1539">
            <v>0</v>
          </cell>
          <cell r="AM1539">
            <v>0</v>
          </cell>
        </row>
        <row r="1540">
          <cell r="C1540" t="str">
            <v/>
          </cell>
          <cell r="D1540" t="str">
            <v/>
          </cell>
          <cell r="O1540" t="str">
            <v/>
          </cell>
          <cell r="T1540" t="str">
            <v/>
          </cell>
          <cell r="U1540" t="str">
            <v/>
          </cell>
          <cell r="V1540" t="str">
            <v/>
          </cell>
          <cell r="W1540" t="str">
            <v/>
          </cell>
          <cell r="Y1540" t="str">
            <v/>
          </cell>
          <cell r="AA1540" t="str">
            <v/>
          </cell>
          <cell r="AB1540">
            <v>0</v>
          </cell>
          <cell r="AC1540">
            <v>0</v>
          </cell>
          <cell r="AI1540" t="str">
            <v/>
          </cell>
          <cell r="AJ1540" t="str">
            <v/>
          </cell>
          <cell r="AK1540">
            <v>0</v>
          </cell>
          <cell r="AL1540">
            <v>0</v>
          </cell>
          <cell r="AM1540">
            <v>0</v>
          </cell>
        </row>
        <row r="1541">
          <cell r="C1541" t="str">
            <v/>
          </cell>
          <cell r="D1541" t="str">
            <v/>
          </cell>
          <cell r="O1541" t="str">
            <v/>
          </cell>
          <cell r="T1541" t="str">
            <v/>
          </cell>
          <cell r="U1541" t="str">
            <v/>
          </cell>
          <cell r="V1541" t="str">
            <v/>
          </cell>
          <cell r="W1541" t="str">
            <v/>
          </cell>
          <cell r="Y1541" t="str">
            <v/>
          </cell>
          <cell r="AA1541" t="str">
            <v/>
          </cell>
          <cell r="AB1541">
            <v>0</v>
          </cell>
          <cell r="AC1541">
            <v>0</v>
          </cell>
          <cell r="AI1541" t="str">
            <v/>
          </cell>
          <cell r="AJ1541" t="str">
            <v/>
          </cell>
          <cell r="AK1541">
            <v>0</v>
          </cell>
          <cell r="AL1541">
            <v>0</v>
          </cell>
          <cell r="AM1541">
            <v>0</v>
          </cell>
        </row>
        <row r="1542">
          <cell r="C1542" t="str">
            <v/>
          </cell>
          <cell r="D1542" t="str">
            <v/>
          </cell>
          <cell r="O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/>
          </cell>
          <cell r="Y1542" t="str">
            <v/>
          </cell>
          <cell r="AA1542" t="str">
            <v/>
          </cell>
          <cell r="AB1542">
            <v>0</v>
          </cell>
          <cell r="AC1542">
            <v>0</v>
          </cell>
          <cell r="AI1542" t="str">
            <v/>
          </cell>
          <cell r="AJ1542" t="str">
            <v/>
          </cell>
          <cell r="AK1542">
            <v>0</v>
          </cell>
          <cell r="AL1542">
            <v>0</v>
          </cell>
          <cell r="AM1542">
            <v>0</v>
          </cell>
        </row>
        <row r="1543">
          <cell r="C1543" t="str">
            <v/>
          </cell>
          <cell r="D1543" t="str">
            <v/>
          </cell>
          <cell r="O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/>
          </cell>
          <cell r="Y1543" t="str">
            <v/>
          </cell>
          <cell r="AA1543" t="str">
            <v/>
          </cell>
          <cell r="AB1543">
            <v>0</v>
          </cell>
          <cell r="AC1543">
            <v>0</v>
          </cell>
          <cell r="AI1543" t="str">
            <v/>
          </cell>
          <cell r="AJ1543" t="str">
            <v/>
          </cell>
          <cell r="AK1543">
            <v>0</v>
          </cell>
          <cell r="AL1543">
            <v>0</v>
          </cell>
          <cell r="AM1543">
            <v>0</v>
          </cell>
        </row>
        <row r="1544">
          <cell r="C1544" t="str">
            <v/>
          </cell>
          <cell r="D1544" t="str">
            <v/>
          </cell>
          <cell r="O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/>
          </cell>
          <cell r="Y1544" t="str">
            <v/>
          </cell>
          <cell r="AA1544" t="str">
            <v/>
          </cell>
          <cell r="AB1544">
            <v>0</v>
          </cell>
          <cell r="AC1544">
            <v>0</v>
          </cell>
          <cell r="AI1544" t="str">
            <v/>
          </cell>
          <cell r="AJ1544" t="str">
            <v/>
          </cell>
          <cell r="AK1544">
            <v>0</v>
          </cell>
          <cell r="AL1544">
            <v>0</v>
          </cell>
          <cell r="AM1544">
            <v>0</v>
          </cell>
        </row>
        <row r="1545">
          <cell r="C1545" t="str">
            <v/>
          </cell>
          <cell r="D1545" t="str">
            <v/>
          </cell>
          <cell r="O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/>
          </cell>
          <cell r="Y1545" t="str">
            <v/>
          </cell>
          <cell r="AA1545" t="str">
            <v/>
          </cell>
          <cell r="AB1545">
            <v>0</v>
          </cell>
          <cell r="AC1545">
            <v>0</v>
          </cell>
          <cell r="AI1545" t="str">
            <v/>
          </cell>
          <cell r="AJ1545" t="str">
            <v/>
          </cell>
          <cell r="AK1545">
            <v>0</v>
          </cell>
          <cell r="AL1545">
            <v>0</v>
          </cell>
          <cell r="AM1545">
            <v>0</v>
          </cell>
        </row>
        <row r="1546">
          <cell r="C1546" t="str">
            <v/>
          </cell>
          <cell r="D1546" t="str">
            <v/>
          </cell>
          <cell r="O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/>
          </cell>
          <cell r="Y1546" t="str">
            <v/>
          </cell>
          <cell r="AA1546" t="str">
            <v/>
          </cell>
          <cell r="AB1546">
            <v>0</v>
          </cell>
          <cell r="AC1546">
            <v>0</v>
          </cell>
          <cell r="AI1546" t="str">
            <v/>
          </cell>
          <cell r="AJ1546" t="str">
            <v/>
          </cell>
          <cell r="AK1546">
            <v>0</v>
          </cell>
          <cell r="AL1546">
            <v>0</v>
          </cell>
          <cell r="AM1546">
            <v>0</v>
          </cell>
        </row>
        <row r="1547">
          <cell r="C1547" t="str">
            <v/>
          </cell>
          <cell r="D1547" t="str">
            <v/>
          </cell>
          <cell r="O1547" t="str">
            <v/>
          </cell>
          <cell r="T1547" t="str">
            <v/>
          </cell>
          <cell r="U1547" t="str">
            <v/>
          </cell>
          <cell r="V1547" t="str">
            <v/>
          </cell>
          <cell r="W1547" t="str">
            <v/>
          </cell>
          <cell r="Y1547" t="str">
            <v/>
          </cell>
          <cell r="AA1547" t="str">
            <v/>
          </cell>
          <cell r="AB1547">
            <v>0</v>
          </cell>
          <cell r="AC1547">
            <v>0</v>
          </cell>
          <cell r="AI1547" t="str">
            <v/>
          </cell>
          <cell r="AJ1547" t="str">
            <v/>
          </cell>
          <cell r="AK1547">
            <v>0</v>
          </cell>
          <cell r="AL1547">
            <v>0</v>
          </cell>
          <cell r="AM1547">
            <v>0</v>
          </cell>
        </row>
        <row r="1548">
          <cell r="C1548" t="str">
            <v/>
          </cell>
          <cell r="D1548" t="str">
            <v/>
          </cell>
          <cell r="O1548" t="str">
            <v/>
          </cell>
          <cell r="T1548" t="str">
            <v/>
          </cell>
          <cell r="U1548" t="str">
            <v/>
          </cell>
          <cell r="V1548" t="str">
            <v/>
          </cell>
          <cell r="W1548" t="str">
            <v/>
          </cell>
          <cell r="Y1548" t="str">
            <v/>
          </cell>
          <cell r="AA1548" t="str">
            <v/>
          </cell>
          <cell r="AB1548">
            <v>0</v>
          </cell>
          <cell r="AC1548">
            <v>0</v>
          </cell>
          <cell r="AI1548" t="str">
            <v/>
          </cell>
          <cell r="AJ1548" t="str">
            <v/>
          </cell>
          <cell r="AK1548">
            <v>0</v>
          </cell>
          <cell r="AL1548">
            <v>0</v>
          </cell>
          <cell r="AM1548">
            <v>0</v>
          </cell>
        </row>
        <row r="1549">
          <cell r="C1549" t="str">
            <v/>
          </cell>
          <cell r="D1549" t="str">
            <v/>
          </cell>
          <cell r="O1549" t="str">
            <v/>
          </cell>
          <cell r="T1549" t="str">
            <v/>
          </cell>
          <cell r="U1549" t="str">
            <v/>
          </cell>
          <cell r="V1549" t="str">
            <v/>
          </cell>
          <cell r="W1549" t="str">
            <v/>
          </cell>
          <cell r="Y1549" t="str">
            <v/>
          </cell>
          <cell r="AA1549" t="str">
            <v/>
          </cell>
          <cell r="AB1549">
            <v>0</v>
          </cell>
          <cell r="AC1549">
            <v>0</v>
          </cell>
          <cell r="AI1549" t="str">
            <v/>
          </cell>
          <cell r="AJ1549" t="str">
            <v/>
          </cell>
          <cell r="AK1549">
            <v>0</v>
          </cell>
          <cell r="AL1549">
            <v>0</v>
          </cell>
          <cell r="AM1549">
            <v>0</v>
          </cell>
        </row>
        <row r="1550">
          <cell r="C1550" t="str">
            <v/>
          </cell>
          <cell r="D1550" t="str">
            <v/>
          </cell>
          <cell r="O1550" t="str">
            <v/>
          </cell>
          <cell r="T1550" t="str">
            <v/>
          </cell>
          <cell r="U1550" t="str">
            <v/>
          </cell>
          <cell r="V1550" t="str">
            <v/>
          </cell>
          <cell r="W1550" t="str">
            <v/>
          </cell>
          <cell r="Y1550" t="str">
            <v/>
          </cell>
          <cell r="AA1550" t="str">
            <v/>
          </cell>
          <cell r="AB1550">
            <v>0</v>
          </cell>
          <cell r="AC1550">
            <v>0</v>
          </cell>
          <cell r="AI1550" t="str">
            <v/>
          </cell>
          <cell r="AJ1550" t="str">
            <v/>
          </cell>
          <cell r="AK1550">
            <v>0</v>
          </cell>
          <cell r="AL1550">
            <v>0</v>
          </cell>
          <cell r="AM1550">
            <v>0</v>
          </cell>
        </row>
        <row r="1551">
          <cell r="C1551" t="str">
            <v/>
          </cell>
          <cell r="D1551" t="str">
            <v/>
          </cell>
          <cell r="O1551" t="str">
            <v/>
          </cell>
          <cell r="T1551" t="str">
            <v/>
          </cell>
          <cell r="U1551" t="str">
            <v/>
          </cell>
          <cell r="V1551" t="str">
            <v/>
          </cell>
          <cell r="W1551" t="str">
            <v/>
          </cell>
          <cell r="Y1551" t="str">
            <v/>
          </cell>
          <cell r="AA1551" t="str">
            <v/>
          </cell>
          <cell r="AB1551">
            <v>0</v>
          </cell>
          <cell r="AC1551">
            <v>0</v>
          </cell>
          <cell r="AI1551" t="str">
            <v/>
          </cell>
          <cell r="AJ1551" t="str">
            <v/>
          </cell>
          <cell r="AK1551">
            <v>0</v>
          </cell>
          <cell r="AL1551">
            <v>0</v>
          </cell>
          <cell r="AM1551">
            <v>0</v>
          </cell>
        </row>
        <row r="1552">
          <cell r="C1552" t="str">
            <v/>
          </cell>
          <cell r="D1552" t="str">
            <v/>
          </cell>
          <cell r="O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/>
          </cell>
          <cell r="Y1552" t="str">
            <v/>
          </cell>
          <cell r="AA1552" t="str">
            <v/>
          </cell>
          <cell r="AB1552">
            <v>0</v>
          </cell>
          <cell r="AC1552">
            <v>0</v>
          </cell>
          <cell r="AI1552" t="str">
            <v/>
          </cell>
          <cell r="AJ1552" t="str">
            <v/>
          </cell>
          <cell r="AK1552">
            <v>0</v>
          </cell>
          <cell r="AL1552">
            <v>0</v>
          </cell>
          <cell r="AM1552">
            <v>0</v>
          </cell>
        </row>
        <row r="1553">
          <cell r="C1553" t="str">
            <v/>
          </cell>
          <cell r="D1553" t="str">
            <v/>
          </cell>
          <cell r="O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/>
          </cell>
          <cell r="Y1553" t="str">
            <v/>
          </cell>
          <cell r="AA1553" t="str">
            <v/>
          </cell>
          <cell r="AB1553">
            <v>0</v>
          </cell>
          <cell r="AC1553">
            <v>0</v>
          </cell>
          <cell r="AI1553" t="str">
            <v/>
          </cell>
          <cell r="AJ1553" t="str">
            <v/>
          </cell>
          <cell r="AK1553">
            <v>0</v>
          </cell>
          <cell r="AL1553">
            <v>0</v>
          </cell>
          <cell r="AM1553">
            <v>0</v>
          </cell>
        </row>
        <row r="1554">
          <cell r="C1554" t="str">
            <v/>
          </cell>
          <cell r="D1554" t="str">
            <v/>
          </cell>
          <cell r="O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/>
          </cell>
          <cell r="Y1554" t="str">
            <v/>
          </cell>
          <cell r="AA1554" t="str">
            <v/>
          </cell>
          <cell r="AB1554">
            <v>0</v>
          </cell>
          <cell r="AC1554">
            <v>0</v>
          </cell>
          <cell r="AI1554" t="str">
            <v/>
          </cell>
          <cell r="AJ1554" t="str">
            <v/>
          </cell>
          <cell r="AK1554">
            <v>0</v>
          </cell>
          <cell r="AL1554">
            <v>0</v>
          </cell>
          <cell r="AM1554">
            <v>0</v>
          </cell>
        </row>
        <row r="1555">
          <cell r="C1555" t="str">
            <v/>
          </cell>
          <cell r="D1555" t="str">
            <v/>
          </cell>
          <cell r="O1555" t="str">
            <v/>
          </cell>
          <cell r="T1555" t="str">
            <v/>
          </cell>
          <cell r="U1555" t="str">
            <v/>
          </cell>
          <cell r="V1555" t="str">
            <v/>
          </cell>
          <cell r="W1555" t="str">
            <v/>
          </cell>
          <cell r="Y1555" t="str">
            <v/>
          </cell>
          <cell r="AA1555" t="str">
            <v/>
          </cell>
          <cell r="AB1555">
            <v>0</v>
          </cell>
          <cell r="AC1555">
            <v>0</v>
          </cell>
          <cell r="AI1555" t="str">
            <v/>
          </cell>
          <cell r="AJ1555" t="str">
            <v/>
          </cell>
          <cell r="AK1555">
            <v>0</v>
          </cell>
          <cell r="AL1555">
            <v>0</v>
          </cell>
          <cell r="AM1555">
            <v>0</v>
          </cell>
        </row>
        <row r="1556">
          <cell r="C1556" t="str">
            <v/>
          </cell>
          <cell r="D1556" t="str">
            <v/>
          </cell>
          <cell r="O1556" t="str">
            <v/>
          </cell>
          <cell r="T1556" t="str">
            <v/>
          </cell>
          <cell r="U1556" t="str">
            <v/>
          </cell>
          <cell r="V1556" t="str">
            <v/>
          </cell>
          <cell r="W1556" t="str">
            <v/>
          </cell>
          <cell r="Y1556" t="str">
            <v/>
          </cell>
          <cell r="AA1556" t="str">
            <v/>
          </cell>
          <cell r="AB1556">
            <v>0</v>
          </cell>
          <cell r="AC1556">
            <v>0</v>
          </cell>
          <cell r="AI1556" t="str">
            <v/>
          </cell>
          <cell r="AJ1556" t="str">
            <v/>
          </cell>
          <cell r="AK1556">
            <v>0</v>
          </cell>
          <cell r="AL1556">
            <v>0</v>
          </cell>
          <cell r="AM1556">
            <v>0</v>
          </cell>
        </row>
        <row r="1557">
          <cell r="C1557" t="str">
            <v/>
          </cell>
          <cell r="D1557" t="str">
            <v/>
          </cell>
          <cell r="O1557" t="str">
            <v/>
          </cell>
          <cell r="T1557" t="str">
            <v/>
          </cell>
          <cell r="U1557" t="str">
            <v/>
          </cell>
          <cell r="V1557" t="str">
            <v/>
          </cell>
          <cell r="W1557" t="str">
            <v/>
          </cell>
          <cell r="Y1557" t="str">
            <v/>
          </cell>
          <cell r="AA1557" t="str">
            <v/>
          </cell>
          <cell r="AB1557">
            <v>0</v>
          </cell>
          <cell r="AC1557">
            <v>0</v>
          </cell>
          <cell r="AI1557" t="str">
            <v/>
          </cell>
          <cell r="AJ1557" t="str">
            <v/>
          </cell>
          <cell r="AK1557">
            <v>0</v>
          </cell>
          <cell r="AL1557">
            <v>0</v>
          </cell>
          <cell r="AM1557">
            <v>0</v>
          </cell>
        </row>
        <row r="1558">
          <cell r="C1558" t="str">
            <v/>
          </cell>
          <cell r="D1558" t="str">
            <v/>
          </cell>
          <cell r="O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/>
          </cell>
          <cell r="Y1558" t="str">
            <v/>
          </cell>
          <cell r="AA1558" t="str">
            <v/>
          </cell>
          <cell r="AB1558">
            <v>0</v>
          </cell>
          <cell r="AC1558">
            <v>0</v>
          </cell>
          <cell r="AI1558" t="str">
            <v/>
          </cell>
          <cell r="AJ1558" t="str">
            <v/>
          </cell>
          <cell r="AK1558">
            <v>0</v>
          </cell>
          <cell r="AL1558">
            <v>0</v>
          </cell>
          <cell r="AM1558">
            <v>0</v>
          </cell>
        </row>
        <row r="1559">
          <cell r="C1559" t="str">
            <v/>
          </cell>
          <cell r="D1559" t="str">
            <v/>
          </cell>
          <cell r="O1559" t="str">
            <v/>
          </cell>
          <cell r="T1559" t="str">
            <v/>
          </cell>
          <cell r="U1559" t="str">
            <v/>
          </cell>
          <cell r="V1559" t="str">
            <v/>
          </cell>
          <cell r="W1559" t="str">
            <v/>
          </cell>
          <cell r="Y1559" t="str">
            <v/>
          </cell>
          <cell r="AA1559" t="str">
            <v/>
          </cell>
          <cell r="AB1559">
            <v>0</v>
          </cell>
          <cell r="AC1559">
            <v>0</v>
          </cell>
          <cell r="AI1559" t="str">
            <v/>
          </cell>
          <cell r="AJ1559" t="str">
            <v/>
          </cell>
          <cell r="AK1559">
            <v>0</v>
          </cell>
          <cell r="AL1559">
            <v>0</v>
          </cell>
          <cell r="AM1559">
            <v>0</v>
          </cell>
        </row>
        <row r="1560">
          <cell r="C1560" t="str">
            <v/>
          </cell>
          <cell r="D1560" t="str">
            <v/>
          </cell>
          <cell r="O1560" t="str">
            <v/>
          </cell>
          <cell r="T1560" t="str">
            <v/>
          </cell>
          <cell r="U1560" t="str">
            <v/>
          </cell>
          <cell r="V1560" t="str">
            <v/>
          </cell>
          <cell r="W1560" t="str">
            <v/>
          </cell>
          <cell r="Y1560" t="str">
            <v/>
          </cell>
          <cell r="AA1560" t="str">
            <v/>
          </cell>
          <cell r="AB1560">
            <v>0</v>
          </cell>
          <cell r="AC1560">
            <v>0</v>
          </cell>
          <cell r="AI1560" t="str">
            <v/>
          </cell>
          <cell r="AJ1560" t="str">
            <v/>
          </cell>
          <cell r="AK1560">
            <v>0</v>
          </cell>
          <cell r="AL1560">
            <v>0</v>
          </cell>
          <cell r="AM1560">
            <v>0</v>
          </cell>
        </row>
        <row r="1561">
          <cell r="C1561" t="str">
            <v/>
          </cell>
          <cell r="D1561" t="str">
            <v/>
          </cell>
          <cell r="O1561" t="str">
            <v/>
          </cell>
          <cell r="T1561" t="str">
            <v/>
          </cell>
          <cell r="U1561" t="str">
            <v/>
          </cell>
          <cell r="V1561" t="str">
            <v/>
          </cell>
          <cell r="W1561" t="str">
            <v/>
          </cell>
          <cell r="Y1561" t="str">
            <v/>
          </cell>
          <cell r="AA1561" t="str">
            <v/>
          </cell>
          <cell r="AB1561">
            <v>0</v>
          </cell>
          <cell r="AC1561">
            <v>0</v>
          </cell>
          <cell r="AI1561" t="str">
            <v/>
          </cell>
          <cell r="AJ1561" t="str">
            <v/>
          </cell>
          <cell r="AK1561">
            <v>0</v>
          </cell>
          <cell r="AL1561">
            <v>0</v>
          </cell>
          <cell r="AM1561">
            <v>0</v>
          </cell>
        </row>
        <row r="1562">
          <cell r="C1562" t="str">
            <v/>
          </cell>
          <cell r="D1562" t="str">
            <v/>
          </cell>
          <cell r="O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/>
          </cell>
          <cell r="Y1562" t="str">
            <v/>
          </cell>
          <cell r="AA1562" t="str">
            <v/>
          </cell>
          <cell r="AB1562">
            <v>0</v>
          </cell>
          <cell r="AC1562">
            <v>0</v>
          </cell>
          <cell r="AI1562" t="str">
            <v/>
          </cell>
          <cell r="AJ1562" t="str">
            <v/>
          </cell>
          <cell r="AK1562">
            <v>0</v>
          </cell>
          <cell r="AL1562">
            <v>0</v>
          </cell>
          <cell r="AM1562">
            <v>0</v>
          </cell>
        </row>
        <row r="1563">
          <cell r="C1563" t="str">
            <v/>
          </cell>
          <cell r="D1563" t="str">
            <v/>
          </cell>
          <cell r="O1563" t="str">
            <v/>
          </cell>
          <cell r="T1563" t="str">
            <v/>
          </cell>
          <cell r="U1563" t="str">
            <v/>
          </cell>
          <cell r="V1563" t="str">
            <v/>
          </cell>
          <cell r="W1563" t="str">
            <v/>
          </cell>
          <cell r="Y1563" t="str">
            <v/>
          </cell>
          <cell r="AA1563" t="str">
            <v/>
          </cell>
          <cell r="AB1563">
            <v>0</v>
          </cell>
          <cell r="AC1563">
            <v>0</v>
          </cell>
          <cell r="AI1563" t="str">
            <v/>
          </cell>
          <cell r="AJ1563" t="str">
            <v/>
          </cell>
          <cell r="AK1563">
            <v>0</v>
          </cell>
          <cell r="AL1563">
            <v>0</v>
          </cell>
          <cell r="AM1563">
            <v>0</v>
          </cell>
        </row>
        <row r="1564">
          <cell r="C1564" t="str">
            <v/>
          </cell>
          <cell r="D1564" t="str">
            <v/>
          </cell>
          <cell r="O1564" t="str">
            <v/>
          </cell>
          <cell r="T1564" t="str">
            <v/>
          </cell>
          <cell r="U1564" t="str">
            <v/>
          </cell>
          <cell r="V1564" t="str">
            <v/>
          </cell>
          <cell r="W1564" t="str">
            <v/>
          </cell>
          <cell r="Y1564" t="str">
            <v/>
          </cell>
          <cell r="AA1564" t="str">
            <v/>
          </cell>
          <cell r="AB1564">
            <v>0</v>
          </cell>
          <cell r="AC1564">
            <v>0</v>
          </cell>
          <cell r="AI1564" t="str">
            <v/>
          </cell>
          <cell r="AJ1564" t="str">
            <v/>
          </cell>
          <cell r="AK1564">
            <v>0</v>
          </cell>
          <cell r="AL1564">
            <v>0</v>
          </cell>
          <cell r="AM1564">
            <v>0</v>
          </cell>
        </row>
        <row r="1565">
          <cell r="C1565" t="str">
            <v/>
          </cell>
          <cell r="D1565" t="str">
            <v/>
          </cell>
          <cell r="O1565" t="str">
            <v/>
          </cell>
          <cell r="T1565" t="str">
            <v/>
          </cell>
          <cell r="U1565" t="str">
            <v/>
          </cell>
          <cell r="V1565" t="str">
            <v/>
          </cell>
          <cell r="W1565" t="str">
            <v/>
          </cell>
          <cell r="Y1565" t="str">
            <v/>
          </cell>
          <cell r="AA1565" t="str">
            <v/>
          </cell>
          <cell r="AB1565">
            <v>0</v>
          </cell>
          <cell r="AC1565">
            <v>0</v>
          </cell>
          <cell r="AI1565" t="str">
            <v/>
          </cell>
          <cell r="AJ1565" t="str">
            <v/>
          </cell>
          <cell r="AK1565">
            <v>0</v>
          </cell>
          <cell r="AL1565">
            <v>0</v>
          </cell>
          <cell r="AM1565">
            <v>0</v>
          </cell>
        </row>
        <row r="1566">
          <cell r="C1566" t="str">
            <v/>
          </cell>
          <cell r="D1566" t="str">
            <v/>
          </cell>
          <cell r="O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/>
          </cell>
          <cell r="Y1566" t="str">
            <v/>
          </cell>
          <cell r="AA1566" t="str">
            <v/>
          </cell>
          <cell r="AB1566">
            <v>0</v>
          </cell>
          <cell r="AC1566">
            <v>0</v>
          </cell>
          <cell r="AI1566" t="str">
            <v/>
          </cell>
          <cell r="AJ1566" t="str">
            <v/>
          </cell>
          <cell r="AK1566">
            <v>0</v>
          </cell>
          <cell r="AL1566">
            <v>0</v>
          </cell>
          <cell r="AM1566">
            <v>0</v>
          </cell>
        </row>
        <row r="1567">
          <cell r="C1567" t="str">
            <v/>
          </cell>
          <cell r="D1567" t="str">
            <v/>
          </cell>
          <cell r="O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/>
          </cell>
          <cell r="Y1567" t="str">
            <v/>
          </cell>
          <cell r="AA1567" t="str">
            <v/>
          </cell>
          <cell r="AB1567">
            <v>0</v>
          </cell>
          <cell r="AC1567">
            <v>0</v>
          </cell>
          <cell r="AI1567" t="str">
            <v/>
          </cell>
          <cell r="AJ1567" t="str">
            <v/>
          </cell>
          <cell r="AK1567">
            <v>0</v>
          </cell>
          <cell r="AL1567">
            <v>0</v>
          </cell>
          <cell r="AM1567">
            <v>0</v>
          </cell>
        </row>
        <row r="1568">
          <cell r="C1568" t="str">
            <v/>
          </cell>
          <cell r="D1568" t="str">
            <v/>
          </cell>
          <cell r="O1568" t="str">
            <v/>
          </cell>
          <cell r="T1568" t="str">
            <v/>
          </cell>
          <cell r="U1568" t="str">
            <v/>
          </cell>
          <cell r="V1568" t="str">
            <v/>
          </cell>
          <cell r="W1568" t="str">
            <v/>
          </cell>
          <cell r="Y1568" t="str">
            <v/>
          </cell>
          <cell r="AA1568" t="str">
            <v/>
          </cell>
          <cell r="AB1568">
            <v>0</v>
          </cell>
          <cell r="AC1568">
            <v>0</v>
          </cell>
          <cell r="AI1568" t="str">
            <v/>
          </cell>
          <cell r="AJ1568" t="str">
            <v/>
          </cell>
          <cell r="AK1568">
            <v>0</v>
          </cell>
          <cell r="AL1568">
            <v>0</v>
          </cell>
          <cell r="AM1568">
            <v>0</v>
          </cell>
        </row>
        <row r="1569">
          <cell r="C1569" t="str">
            <v/>
          </cell>
          <cell r="D1569" t="str">
            <v/>
          </cell>
          <cell r="O1569" t="str">
            <v/>
          </cell>
          <cell r="T1569" t="str">
            <v/>
          </cell>
          <cell r="U1569" t="str">
            <v/>
          </cell>
          <cell r="V1569" t="str">
            <v/>
          </cell>
          <cell r="W1569" t="str">
            <v/>
          </cell>
          <cell r="Y1569" t="str">
            <v/>
          </cell>
          <cell r="AA1569" t="str">
            <v/>
          </cell>
          <cell r="AB1569">
            <v>0</v>
          </cell>
          <cell r="AC1569">
            <v>0</v>
          </cell>
          <cell r="AI1569" t="str">
            <v/>
          </cell>
          <cell r="AJ1569" t="str">
            <v/>
          </cell>
          <cell r="AK1569">
            <v>0</v>
          </cell>
          <cell r="AL1569">
            <v>0</v>
          </cell>
          <cell r="AM1569">
            <v>0</v>
          </cell>
        </row>
        <row r="1570">
          <cell r="C1570" t="str">
            <v/>
          </cell>
          <cell r="D1570" t="str">
            <v/>
          </cell>
          <cell r="O1570" t="str">
            <v/>
          </cell>
          <cell r="T1570" t="str">
            <v/>
          </cell>
          <cell r="U1570" t="str">
            <v/>
          </cell>
          <cell r="V1570" t="str">
            <v/>
          </cell>
          <cell r="W1570" t="str">
            <v/>
          </cell>
          <cell r="Y1570" t="str">
            <v/>
          </cell>
          <cell r="AA1570" t="str">
            <v/>
          </cell>
          <cell r="AB1570">
            <v>0</v>
          </cell>
          <cell r="AC1570">
            <v>0</v>
          </cell>
          <cell r="AI1570" t="str">
            <v/>
          </cell>
          <cell r="AJ1570" t="str">
            <v/>
          </cell>
          <cell r="AK1570">
            <v>0</v>
          </cell>
          <cell r="AL1570">
            <v>0</v>
          </cell>
          <cell r="AM1570">
            <v>0</v>
          </cell>
        </row>
        <row r="1571">
          <cell r="C1571" t="str">
            <v/>
          </cell>
          <cell r="D1571" t="str">
            <v/>
          </cell>
          <cell r="O1571" t="str">
            <v/>
          </cell>
          <cell r="T1571" t="str">
            <v/>
          </cell>
          <cell r="U1571" t="str">
            <v/>
          </cell>
          <cell r="V1571" t="str">
            <v/>
          </cell>
          <cell r="W1571" t="str">
            <v/>
          </cell>
          <cell r="Y1571" t="str">
            <v/>
          </cell>
          <cell r="AA1571" t="str">
            <v/>
          </cell>
          <cell r="AB1571">
            <v>0</v>
          </cell>
          <cell r="AC1571">
            <v>0</v>
          </cell>
          <cell r="AI1571" t="str">
            <v/>
          </cell>
          <cell r="AJ1571" t="str">
            <v/>
          </cell>
          <cell r="AK1571">
            <v>0</v>
          </cell>
          <cell r="AL1571">
            <v>0</v>
          </cell>
          <cell r="AM1571">
            <v>0</v>
          </cell>
        </row>
        <row r="1572">
          <cell r="C1572" t="str">
            <v/>
          </cell>
          <cell r="D1572" t="str">
            <v/>
          </cell>
          <cell r="O1572" t="str">
            <v/>
          </cell>
          <cell r="T1572" t="str">
            <v/>
          </cell>
          <cell r="U1572" t="str">
            <v/>
          </cell>
          <cell r="V1572" t="str">
            <v/>
          </cell>
          <cell r="W1572" t="str">
            <v/>
          </cell>
          <cell r="Y1572" t="str">
            <v/>
          </cell>
          <cell r="AA1572" t="str">
            <v/>
          </cell>
          <cell r="AB1572">
            <v>0</v>
          </cell>
          <cell r="AC1572">
            <v>0</v>
          </cell>
          <cell r="AI1572" t="str">
            <v/>
          </cell>
          <cell r="AJ1572" t="str">
            <v/>
          </cell>
          <cell r="AK1572">
            <v>0</v>
          </cell>
          <cell r="AL1572">
            <v>0</v>
          </cell>
          <cell r="AM1572">
            <v>0</v>
          </cell>
        </row>
        <row r="1573">
          <cell r="C1573" t="str">
            <v/>
          </cell>
          <cell r="D1573" t="str">
            <v/>
          </cell>
          <cell r="O1573" t="str">
            <v/>
          </cell>
          <cell r="T1573" t="str">
            <v/>
          </cell>
          <cell r="U1573" t="str">
            <v/>
          </cell>
          <cell r="V1573" t="str">
            <v/>
          </cell>
          <cell r="W1573" t="str">
            <v/>
          </cell>
          <cell r="Y1573" t="str">
            <v/>
          </cell>
          <cell r="AA1573" t="str">
            <v/>
          </cell>
          <cell r="AB1573">
            <v>0</v>
          </cell>
          <cell r="AC1573">
            <v>0</v>
          </cell>
          <cell r="AI1573" t="str">
            <v/>
          </cell>
          <cell r="AJ1573" t="str">
            <v/>
          </cell>
          <cell r="AK1573">
            <v>0</v>
          </cell>
          <cell r="AL1573">
            <v>0</v>
          </cell>
          <cell r="AM1573">
            <v>0</v>
          </cell>
        </row>
        <row r="1574">
          <cell r="C1574" t="str">
            <v/>
          </cell>
          <cell r="D1574" t="str">
            <v/>
          </cell>
          <cell r="O1574" t="str">
            <v/>
          </cell>
          <cell r="T1574" t="str">
            <v/>
          </cell>
          <cell r="U1574" t="str">
            <v/>
          </cell>
          <cell r="V1574" t="str">
            <v/>
          </cell>
          <cell r="W1574" t="str">
            <v/>
          </cell>
          <cell r="Y1574" t="str">
            <v/>
          </cell>
          <cell r="AA1574" t="str">
            <v/>
          </cell>
          <cell r="AB1574">
            <v>0</v>
          </cell>
          <cell r="AC1574">
            <v>0</v>
          </cell>
          <cell r="AI1574" t="str">
            <v/>
          </cell>
          <cell r="AJ1574" t="str">
            <v/>
          </cell>
          <cell r="AK1574">
            <v>0</v>
          </cell>
          <cell r="AL1574">
            <v>0</v>
          </cell>
          <cell r="AM1574">
            <v>0</v>
          </cell>
        </row>
        <row r="1575">
          <cell r="C1575" t="str">
            <v/>
          </cell>
          <cell r="D1575" t="str">
            <v/>
          </cell>
          <cell r="O1575" t="str">
            <v/>
          </cell>
          <cell r="T1575" t="str">
            <v/>
          </cell>
          <cell r="U1575" t="str">
            <v/>
          </cell>
          <cell r="V1575" t="str">
            <v/>
          </cell>
          <cell r="W1575" t="str">
            <v/>
          </cell>
          <cell r="Y1575" t="str">
            <v/>
          </cell>
          <cell r="AA1575" t="str">
            <v/>
          </cell>
          <cell r="AB1575">
            <v>0</v>
          </cell>
          <cell r="AC1575">
            <v>0</v>
          </cell>
          <cell r="AI1575" t="str">
            <v/>
          </cell>
          <cell r="AJ1575" t="str">
            <v/>
          </cell>
          <cell r="AK1575">
            <v>0</v>
          </cell>
          <cell r="AL1575">
            <v>0</v>
          </cell>
          <cell r="AM1575">
            <v>0</v>
          </cell>
        </row>
        <row r="1576">
          <cell r="C1576" t="str">
            <v/>
          </cell>
          <cell r="D1576" t="str">
            <v/>
          </cell>
          <cell r="O1576" t="str">
            <v/>
          </cell>
          <cell r="T1576" t="str">
            <v/>
          </cell>
          <cell r="U1576" t="str">
            <v/>
          </cell>
          <cell r="V1576" t="str">
            <v/>
          </cell>
          <cell r="W1576" t="str">
            <v/>
          </cell>
          <cell r="Y1576" t="str">
            <v/>
          </cell>
          <cell r="AA1576" t="str">
            <v/>
          </cell>
          <cell r="AB1576">
            <v>0</v>
          </cell>
          <cell r="AC1576">
            <v>0</v>
          </cell>
          <cell r="AI1576" t="str">
            <v/>
          </cell>
          <cell r="AJ1576" t="str">
            <v/>
          </cell>
          <cell r="AK1576">
            <v>0</v>
          </cell>
          <cell r="AL1576">
            <v>0</v>
          </cell>
          <cell r="AM1576">
            <v>0</v>
          </cell>
        </row>
        <row r="1577">
          <cell r="C1577" t="str">
            <v/>
          </cell>
          <cell r="D1577" t="str">
            <v/>
          </cell>
          <cell r="O1577" t="str">
            <v/>
          </cell>
          <cell r="T1577" t="str">
            <v/>
          </cell>
          <cell r="U1577" t="str">
            <v/>
          </cell>
          <cell r="V1577" t="str">
            <v/>
          </cell>
          <cell r="W1577" t="str">
            <v/>
          </cell>
          <cell r="Y1577" t="str">
            <v/>
          </cell>
          <cell r="AA1577" t="str">
            <v/>
          </cell>
          <cell r="AB1577">
            <v>0</v>
          </cell>
          <cell r="AC1577">
            <v>0</v>
          </cell>
          <cell r="AI1577" t="str">
            <v/>
          </cell>
          <cell r="AJ1577" t="str">
            <v/>
          </cell>
          <cell r="AK1577">
            <v>0</v>
          </cell>
          <cell r="AL1577">
            <v>0</v>
          </cell>
          <cell r="AM1577">
            <v>0</v>
          </cell>
        </row>
        <row r="1578">
          <cell r="C1578" t="str">
            <v/>
          </cell>
          <cell r="D1578" t="str">
            <v/>
          </cell>
          <cell r="O1578" t="str">
            <v/>
          </cell>
          <cell r="T1578" t="str">
            <v/>
          </cell>
          <cell r="U1578" t="str">
            <v/>
          </cell>
          <cell r="V1578" t="str">
            <v/>
          </cell>
          <cell r="W1578" t="str">
            <v/>
          </cell>
          <cell r="Y1578" t="str">
            <v/>
          </cell>
          <cell r="AA1578" t="str">
            <v/>
          </cell>
          <cell r="AB1578">
            <v>0</v>
          </cell>
          <cell r="AC1578">
            <v>0</v>
          </cell>
          <cell r="AI1578" t="str">
            <v/>
          </cell>
          <cell r="AJ1578" t="str">
            <v/>
          </cell>
          <cell r="AK1578">
            <v>0</v>
          </cell>
          <cell r="AL1578">
            <v>0</v>
          </cell>
          <cell r="AM1578">
            <v>0</v>
          </cell>
        </row>
        <row r="1579">
          <cell r="C1579" t="str">
            <v/>
          </cell>
          <cell r="D1579" t="str">
            <v/>
          </cell>
          <cell r="O1579" t="str">
            <v/>
          </cell>
          <cell r="T1579" t="str">
            <v/>
          </cell>
          <cell r="U1579" t="str">
            <v/>
          </cell>
          <cell r="V1579" t="str">
            <v/>
          </cell>
          <cell r="W1579" t="str">
            <v/>
          </cell>
          <cell r="Y1579" t="str">
            <v/>
          </cell>
          <cell r="AA1579" t="str">
            <v/>
          </cell>
          <cell r="AB1579">
            <v>0</v>
          </cell>
          <cell r="AC1579">
            <v>0</v>
          </cell>
          <cell r="AI1579" t="str">
            <v/>
          </cell>
          <cell r="AJ1579" t="str">
            <v/>
          </cell>
          <cell r="AK1579">
            <v>0</v>
          </cell>
          <cell r="AL1579">
            <v>0</v>
          </cell>
          <cell r="AM1579">
            <v>0</v>
          </cell>
        </row>
        <row r="1580">
          <cell r="C1580" t="str">
            <v/>
          </cell>
          <cell r="D1580" t="str">
            <v/>
          </cell>
          <cell r="O1580" t="str">
            <v/>
          </cell>
          <cell r="T1580" t="str">
            <v/>
          </cell>
          <cell r="U1580" t="str">
            <v/>
          </cell>
          <cell r="V1580" t="str">
            <v/>
          </cell>
          <cell r="W1580" t="str">
            <v/>
          </cell>
          <cell r="Y1580" t="str">
            <v/>
          </cell>
          <cell r="AA1580" t="str">
            <v/>
          </cell>
          <cell r="AB1580">
            <v>0</v>
          </cell>
          <cell r="AC1580">
            <v>0</v>
          </cell>
          <cell r="AI1580" t="str">
            <v/>
          </cell>
          <cell r="AJ1580" t="str">
            <v/>
          </cell>
          <cell r="AK1580">
            <v>0</v>
          </cell>
          <cell r="AL1580">
            <v>0</v>
          </cell>
          <cell r="AM1580">
            <v>0</v>
          </cell>
        </row>
        <row r="1581">
          <cell r="C1581" t="str">
            <v/>
          </cell>
          <cell r="D1581" t="str">
            <v/>
          </cell>
          <cell r="O1581" t="str">
            <v/>
          </cell>
          <cell r="T1581" t="str">
            <v/>
          </cell>
          <cell r="U1581" t="str">
            <v/>
          </cell>
          <cell r="V1581" t="str">
            <v/>
          </cell>
          <cell r="W1581" t="str">
            <v/>
          </cell>
          <cell r="Y1581" t="str">
            <v/>
          </cell>
          <cell r="AA1581" t="str">
            <v/>
          </cell>
          <cell r="AB1581">
            <v>0</v>
          </cell>
          <cell r="AC1581">
            <v>0</v>
          </cell>
          <cell r="AI1581" t="str">
            <v/>
          </cell>
          <cell r="AJ1581" t="str">
            <v/>
          </cell>
          <cell r="AK1581">
            <v>0</v>
          </cell>
          <cell r="AL1581">
            <v>0</v>
          </cell>
          <cell r="AM1581">
            <v>0</v>
          </cell>
        </row>
        <row r="1582">
          <cell r="C1582" t="str">
            <v/>
          </cell>
          <cell r="D1582" t="str">
            <v/>
          </cell>
          <cell r="O1582" t="str">
            <v/>
          </cell>
          <cell r="T1582" t="str">
            <v/>
          </cell>
          <cell r="U1582" t="str">
            <v/>
          </cell>
          <cell r="V1582" t="str">
            <v/>
          </cell>
          <cell r="W1582" t="str">
            <v/>
          </cell>
          <cell r="Y1582" t="str">
            <v/>
          </cell>
          <cell r="AA1582" t="str">
            <v/>
          </cell>
          <cell r="AB1582">
            <v>0</v>
          </cell>
          <cell r="AC1582">
            <v>0</v>
          </cell>
          <cell r="AI1582" t="str">
            <v/>
          </cell>
          <cell r="AJ1582" t="str">
            <v/>
          </cell>
          <cell r="AK1582">
            <v>0</v>
          </cell>
          <cell r="AL1582">
            <v>0</v>
          </cell>
          <cell r="AM1582">
            <v>0</v>
          </cell>
        </row>
        <row r="1583">
          <cell r="C1583" t="str">
            <v/>
          </cell>
          <cell r="D1583" t="str">
            <v/>
          </cell>
          <cell r="O1583" t="str">
            <v/>
          </cell>
          <cell r="T1583" t="str">
            <v/>
          </cell>
          <cell r="U1583" t="str">
            <v/>
          </cell>
          <cell r="V1583" t="str">
            <v/>
          </cell>
          <cell r="W1583" t="str">
            <v/>
          </cell>
          <cell r="Y1583" t="str">
            <v/>
          </cell>
          <cell r="AA1583" t="str">
            <v/>
          </cell>
          <cell r="AB1583">
            <v>0</v>
          </cell>
          <cell r="AC1583">
            <v>0</v>
          </cell>
          <cell r="AI1583" t="str">
            <v/>
          </cell>
          <cell r="AJ1583" t="str">
            <v/>
          </cell>
          <cell r="AK1583">
            <v>0</v>
          </cell>
          <cell r="AL1583">
            <v>0</v>
          </cell>
          <cell r="AM1583">
            <v>0</v>
          </cell>
        </row>
        <row r="1584">
          <cell r="C1584" t="str">
            <v/>
          </cell>
          <cell r="D1584" t="str">
            <v/>
          </cell>
          <cell r="O1584" t="str">
            <v/>
          </cell>
          <cell r="T1584" t="str">
            <v/>
          </cell>
          <cell r="U1584" t="str">
            <v/>
          </cell>
          <cell r="V1584" t="str">
            <v/>
          </cell>
          <cell r="W1584" t="str">
            <v/>
          </cell>
          <cell r="Y1584" t="str">
            <v/>
          </cell>
          <cell r="AA1584" t="str">
            <v/>
          </cell>
          <cell r="AB1584">
            <v>0</v>
          </cell>
          <cell r="AC1584">
            <v>0</v>
          </cell>
          <cell r="AI1584" t="str">
            <v/>
          </cell>
          <cell r="AJ1584" t="str">
            <v/>
          </cell>
          <cell r="AK1584">
            <v>0</v>
          </cell>
          <cell r="AL1584">
            <v>0</v>
          </cell>
          <cell r="AM1584">
            <v>0</v>
          </cell>
        </row>
        <row r="1585">
          <cell r="C1585" t="str">
            <v/>
          </cell>
          <cell r="D1585" t="str">
            <v/>
          </cell>
          <cell r="O1585" t="str">
            <v/>
          </cell>
          <cell r="T1585" t="str">
            <v/>
          </cell>
          <cell r="U1585" t="str">
            <v/>
          </cell>
          <cell r="V1585" t="str">
            <v/>
          </cell>
          <cell r="W1585" t="str">
            <v/>
          </cell>
          <cell r="Y1585" t="str">
            <v/>
          </cell>
          <cell r="AA1585" t="str">
            <v/>
          </cell>
          <cell r="AB1585">
            <v>0</v>
          </cell>
          <cell r="AC1585">
            <v>0</v>
          </cell>
          <cell r="AI1585" t="str">
            <v/>
          </cell>
          <cell r="AJ1585" t="str">
            <v/>
          </cell>
          <cell r="AK1585">
            <v>0</v>
          </cell>
          <cell r="AL1585">
            <v>0</v>
          </cell>
          <cell r="AM1585">
            <v>0</v>
          </cell>
        </row>
        <row r="1586">
          <cell r="C1586" t="str">
            <v/>
          </cell>
          <cell r="D1586" t="str">
            <v/>
          </cell>
          <cell r="O1586" t="str">
            <v/>
          </cell>
          <cell r="T1586" t="str">
            <v/>
          </cell>
          <cell r="U1586" t="str">
            <v/>
          </cell>
          <cell r="V1586" t="str">
            <v/>
          </cell>
          <cell r="W1586" t="str">
            <v/>
          </cell>
          <cell r="Y1586" t="str">
            <v/>
          </cell>
          <cell r="AA1586" t="str">
            <v/>
          </cell>
          <cell r="AB1586">
            <v>0</v>
          </cell>
          <cell r="AC1586">
            <v>0</v>
          </cell>
          <cell r="AI1586" t="str">
            <v/>
          </cell>
          <cell r="AJ1586" t="str">
            <v/>
          </cell>
          <cell r="AK1586">
            <v>0</v>
          </cell>
          <cell r="AL1586">
            <v>0</v>
          </cell>
          <cell r="AM1586">
            <v>0</v>
          </cell>
        </row>
        <row r="1587">
          <cell r="C1587" t="str">
            <v/>
          </cell>
          <cell r="D1587" t="str">
            <v/>
          </cell>
          <cell r="O1587" t="str">
            <v/>
          </cell>
          <cell r="T1587" t="str">
            <v/>
          </cell>
          <cell r="U1587" t="str">
            <v/>
          </cell>
          <cell r="V1587" t="str">
            <v/>
          </cell>
          <cell r="W1587" t="str">
            <v/>
          </cell>
          <cell r="Y1587" t="str">
            <v/>
          </cell>
          <cell r="AA1587" t="str">
            <v/>
          </cell>
          <cell r="AB1587">
            <v>0</v>
          </cell>
          <cell r="AC1587">
            <v>0</v>
          </cell>
          <cell r="AI1587" t="str">
            <v/>
          </cell>
          <cell r="AJ1587" t="str">
            <v/>
          </cell>
          <cell r="AK1587">
            <v>0</v>
          </cell>
          <cell r="AL1587">
            <v>0</v>
          </cell>
          <cell r="AM1587">
            <v>0</v>
          </cell>
        </row>
        <row r="1588">
          <cell r="C1588" t="str">
            <v/>
          </cell>
          <cell r="D1588" t="str">
            <v/>
          </cell>
          <cell r="O1588" t="str">
            <v/>
          </cell>
          <cell r="T1588" t="str">
            <v/>
          </cell>
          <cell r="U1588" t="str">
            <v/>
          </cell>
          <cell r="V1588" t="str">
            <v/>
          </cell>
          <cell r="W1588" t="str">
            <v/>
          </cell>
          <cell r="Y1588" t="str">
            <v/>
          </cell>
          <cell r="AA1588" t="str">
            <v/>
          </cell>
          <cell r="AB1588">
            <v>0</v>
          </cell>
          <cell r="AC1588">
            <v>0</v>
          </cell>
          <cell r="AI1588" t="str">
            <v/>
          </cell>
          <cell r="AJ1588" t="str">
            <v/>
          </cell>
          <cell r="AK1588">
            <v>0</v>
          </cell>
          <cell r="AL1588">
            <v>0</v>
          </cell>
          <cell r="AM1588">
            <v>0</v>
          </cell>
        </row>
        <row r="1589">
          <cell r="C1589" t="str">
            <v/>
          </cell>
          <cell r="D1589" t="str">
            <v/>
          </cell>
          <cell r="O1589" t="str">
            <v/>
          </cell>
          <cell r="T1589" t="str">
            <v/>
          </cell>
          <cell r="U1589" t="str">
            <v/>
          </cell>
          <cell r="V1589" t="str">
            <v/>
          </cell>
          <cell r="W1589" t="str">
            <v/>
          </cell>
          <cell r="Y1589" t="str">
            <v/>
          </cell>
          <cell r="AA1589" t="str">
            <v/>
          </cell>
          <cell r="AB1589">
            <v>0</v>
          </cell>
          <cell r="AC1589">
            <v>0</v>
          </cell>
          <cell r="AI1589" t="str">
            <v/>
          </cell>
          <cell r="AJ1589" t="str">
            <v/>
          </cell>
          <cell r="AK1589">
            <v>0</v>
          </cell>
          <cell r="AL1589">
            <v>0</v>
          </cell>
          <cell r="AM1589">
            <v>0</v>
          </cell>
        </row>
        <row r="1590">
          <cell r="C1590" t="str">
            <v/>
          </cell>
          <cell r="D1590" t="str">
            <v/>
          </cell>
          <cell r="O1590" t="str">
            <v/>
          </cell>
          <cell r="T1590" t="str">
            <v/>
          </cell>
          <cell r="U1590" t="str">
            <v/>
          </cell>
          <cell r="V1590" t="str">
            <v/>
          </cell>
          <cell r="W1590" t="str">
            <v/>
          </cell>
          <cell r="Y1590" t="str">
            <v/>
          </cell>
          <cell r="AA1590" t="str">
            <v/>
          </cell>
          <cell r="AB1590">
            <v>0</v>
          </cell>
          <cell r="AC1590">
            <v>0</v>
          </cell>
          <cell r="AI1590" t="str">
            <v/>
          </cell>
          <cell r="AJ1590" t="str">
            <v/>
          </cell>
          <cell r="AK1590">
            <v>0</v>
          </cell>
          <cell r="AL1590">
            <v>0</v>
          </cell>
          <cell r="AM1590">
            <v>0</v>
          </cell>
        </row>
        <row r="1591">
          <cell r="C1591" t="str">
            <v/>
          </cell>
          <cell r="D1591" t="str">
            <v/>
          </cell>
          <cell r="O1591" t="str">
            <v/>
          </cell>
          <cell r="T1591" t="str">
            <v/>
          </cell>
          <cell r="U1591" t="str">
            <v/>
          </cell>
          <cell r="V1591" t="str">
            <v/>
          </cell>
          <cell r="W1591" t="str">
            <v/>
          </cell>
          <cell r="Y1591" t="str">
            <v/>
          </cell>
          <cell r="AA1591" t="str">
            <v/>
          </cell>
          <cell r="AB1591">
            <v>0</v>
          </cell>
          <cell r="AC1591">
            <v>0</v>
          </cell>
          <cell r="AI1591" t="str">
            <v/>
          </cell>
          <cell r="AJ1591" t="str">
            <v/>
          </cell>
          <cell r="AK1591">
            <v>0</v>
          </cell>
          <cell r="AL1591">
            <v>0</v>
          </cell>
          <cell r="AM1591">
            <v>0</v>
          </cell>
        </row>
        <row r="1592">
          <cell r="C1592" t="str">
            <v/>
          </cell>
          <cell r="D1592" t="str">
            <v/>
          </cell>
          <cell r="O1592" t="str">
            <v/>
          </cell>
          <cell r="T1592" t="str">
            <v/>
          </cell>
          <cell r="U1592" t="str">
            <v/>
          </cell>
          <cell r="V1592" t="str">
            <v/>
          </cell>
          <cell r="W1592" t="str">
            <v/>
          </cell>
          <cell r="Y1592" t="str">
            <v/>
          </cell>
          <cell r="AA1592" t="str">
            <v/>
          </cell>
          <cell r="AB1592">
            <v>0</v>
          </cell>
          <cell r="AC1592">
            <v>0</v>
          </cell>
          <cell r="AI1592" t="str">
            <v/>
          </cell>
          <cell r="AJ1592" t="str">
            <v/>
          </cell>
          <cell r="AK1592">
            <v>0</v>
          </cell>
          <cell r="AL1592">
            <v>0</v>
          </cell>
          <cell r="AM1592">
            <v>0</v>
          </cell>
        </row>
        <row r="1593">
          <cell r="C1593" t="str">
            <v/>
          </cell>
          <cell r="D1593" t="str">
            <v/>
          </cell>
          <cell r="O1593" t="str">
            <v/>
          </cell>
          <cell r="T1593" t="str">
            <v/>
          </cell>
          <cell r="U1593" t="str">
            <v/>
          </cell>
          <cell r="V1593" t="str">
            <v/>
          </cell>
          <cell r="W1593" t="str">
            <v/>
          </cell>
          <cell r="Y1593" t="str">
            <v/>
          </cell>
          <cell r="AA1593" t="str">
            <v/>
          </cell>
          <cell r="AB1593">
            <v>0</v>
          </cell>
          <cell r="AC1593">
            <v>0</v>
          </cell>
          <cell r="AI1593" t="str">
            <v/>
          </cell>
          <cell r="AJ1593" t="str">
            <v/>
          </cell>
          <cell r="AK1593">
            <v>0</v>
          </cell>
          <cell r="AL1593">
            <v>0</v>
          </cell>
          <cell r="AM1593">
            <v>0</v>
          </cell>
        </row>
        <row r="1594">
          <cell r="C1594" t="str">
            <v/>
          </cell>
          <cell r="D1594" t="str">
            <v/>
          </cell>
          <cell r="O1594" t="str">
            <v/>
          </cell>
          <cell r="T1594" t="str">
            <v/>
          </cell>
          <cell r="U1594" t="str">
            <v/>
          </cell>
          <cell r="V1594" t="str">
            <v/>
          </cell>
          <cell r="W1594" t="str">
            <v/>
          </cell>
          <cell r="Y1594" t="str">
            <v/>
          </cell>
          <cell r="AA1594" t="str">
            <v/>
          </cell>
          <cell r="AB1594">
            <v>0</v>
          </cell>
          <cell r="AC1594">
            <v>0</v>
          </cell>
          <cell r="AI1594" t="str">
            <v/>
          </cell>
          <cell r="AJ1594" t="str">
            <v/>
          </cell>
          <cell r="AK1594">
            <v>0</v>
          </cell>
          <cell r="AL1594">
            <v>0</v>
          </cell>
          <cell r="AM1594">
            <v>0</v>
          </cell>
        </row>
        <row r="1595">
          <cell r="C1595" t="str">
            <v/>
          </cell>
          <cell r="D1595" t="str">
            <v/>
          </cell>
          <cell r="O1595" t="str">
            <v/>
          </cell>
          <cell r="T1595" t="str">
            <v/>
          </cell>
          <cell r="U1595" t="str">
            <v/>
          </cell>
          <cell r="V1595" t="str">
            <v/>
          </cell>
          <cell r="W1595" t="str">
            <v/>
          </cell>
          <cell r="Y1595" t="str">
            <v/>
          </cell>
          <cell r="AA1595" t="str">
            <v/>
          </cell>
          <cell r="AB1595">
            <v>0</v>
          </cell>
          <cell r="AC1595">
            <v>0</v>
          </cell>
          <cell r="AI1595" t="str">
            <v/>
          </cell>
          <cell r="AJ1595" t="str">
            <v/>
          </cell>
          <cell r="AK1595">
            <v>0</v>
          </cell>
          <cell r="AL1595">
            <v>0</v>
          </cell>
          <cell r="AM1595">
            <v>0</v>
          </cell>
        </row>
        <row r="1596">
          <cell r="C1596" t="str">
            <v/>
          </cell>
          <cell r="D1596" t="str">
            <v/>
          </cell>
          <cell r="O1596" t="str">
            <v/>
          </cell>
          <cell r="T1596" t="str">
            <v/>
          </cell>
          <cell r="U1596" t="str">
            <v/>
          </cell>
          <cell r="V1596" t="str">
            <v/>
          </cell>
          <cell r="W1596" t="str">
            <v/>
          </cell>
          <cell r="Y1596" t="str">
            <v/>
          </cell>
          <cell r="AA1596" t="str">
            <v/>
          </cell>
          <cell r="AB1596">
            <v>0</v>
          </cell>
          <cell r="AC1596">
            <v>0</v>
          </cell>
          <cell r="AI1596" t="str">
            <v/>
          </cell>
          <cell r="AJ1596" t="str">
            <v/>
          </cell>
          <cell r="AK1596">
            <v>0</v>
          </cell>
          <cell r="AL1596">
            <v>0</v>
          </cell>
          <cell r="AM1596">
            <v>0</v>
          </cell>
        </row>
        <row r="1597">
          <cell r="C1597" t="str">
            <v/>
          </cell>
          <cell r="D1597" t="str">
            <v/>
          </cell>
          <cell r="O1597" t="str">
            <v/>
          </cell>
          <cell r="T1597" t="str">
            <v/>
          </cell>
          <cell r="U1597" t="str">
            <v/>
          </cell>
          <cell r="V1597" t="str">
            <v/>
          </cell>
          <cell r="W1597" t="str">
            <v/>
          </cell>
          <cell r="Y1597" t="str">
            <v/>
          </cell>
          <cell r="AA1597" t="str">
            <v/>
          </cell>
          <cell r="AB1597">
            <v>0</v>
          </cell>
          <cell r="AC1597">
            <v>0</v>
          </cell>
          <cell r="AI1597" t="str">
            <v/>
          </cell>
          <cell r="AJ1597" t="str">
            <v/>
          </cell>
          <cell r="AK1597">
            <v>0</v>
          </cell>
          <cell r="AL1597">
            <v>0</v>
          </cell>
          <cell r="AM1597">
            <v>0</v>
          </cell>
        </row>
        <row r="1598">
          <cell r="C1598" t="str">
            <v/>
          </cell>
          <cell r="D1598" t="str">
            <v/>
          </cell>
          <cell r="O1598" t="str">
            <v/>
          </cell>
          <cell r="T1598" t="str">
            <v/>
          </cell>
          <cell r="U1598" t="str">
            <v/>
          </cell>
          <cell r="V1598" t="str">
            <v/>
          </cell>
          <cell r="W1598" t="str">
            <v/>
          </cell>
          <cell r="Y1598" t="str">
            <v/>
          </cell>
          <cell r="AA1598" t="str">
            <v/>
          </cell>
          <cell r="AB1598">
            <v>0</v>
          </cell>
          <cell r="AC1598">
            <v>0</v>
          </cell>
          <cell r="AI1598" t="str">
            <v/>
          </cell>
          <cell r="AJ1598" t="str">
            <v/>
          </cell>
          <cell r="AK1598">
            <v>0</v>
          </cell>
          <cell r="AL1598">
            <v>0</v>
          </cell>
          <cell r="AM1598">
            <v>0</v>
          </cell>
        </row>
        <row r="1599">
          <cell r="C1599" t="str">
            <v/>
          </cell>
          <cell r="D1599" t="str">
            <v/>
          </cell>
          <cell r="O1599" t="str">
            <v/>
          </cell>
          <cell r="T1599" t="str">
            <v/>
          </cell>
          <cell r="U1599" t="str">
            <v/>
          </cell>
          <cell r="V1599" t="str">
            <v/>
          </cell>
          <cell r="W1599" t="str">
            <v/>
          </cell>
          <cell r="Y1599" t="str">
            <v/>
          </cell>
          <cell r="AA1599" t="str">
            <v/>
          </cell>
          <cell r="AB1599">
            <v>0</v>
          </cell>
          <cell r="AC1599">
            <v>0</v>
          </cell>
          <cell r="AI1599" t="str">
            <v/>
          </cell>
          <cell r="AJ1599" t="str">
            <v/>
          </cell>
          <cell r="AK1599">
            <v>0</v>
          </cell>
          <cell r="AL1599">
            <v>0</v>
          </cell>
          <cell r="AM1599">
            <v>0</v>
          </cell>
        </row>
        <row r="1600">
          <cell r="C1600" t="str">
            <v/>
          </cell>
          <cell r="D1600" t="str">
            <v/>
          </cell>
          <cell r="O1600" t="str">
            <v/>
          </cell>
          <cell r="T1600" t="str">
            <v/>
          </cell>
          <cell r="U1600" t="str">
            <v/>
          </cell>
          <cell r="V1600" t="str">
            <v/>
          </cell>
          <cell r="W1600" t="str">
            <v/>
          </cell>
          <cell r="Y1600" t="str">
            <v/>
          </cell>
          <cell r="AA1600" t="str">
            <v/>
          </cell>
          <cell r="AB1600">
            <v>0</v>
          </cell>
          <cell r="AC1600">
            <v>0</v>
          </cell>
          <cell r="AI1600" t="str">
            <v/>
          </cell>
          <cell r="AJ1600" t="str">
            <v/>
          </cell>
          <cell r="AK1600">
            <v>0</v>
          </cell>
          <cell r="AL1600">
            <v>0</v>
          </cell>
          <cell r="AM1600">
            <v>0</v>
          </cell>
        </row>
        <row r="1601">
          <cell r="C1601" t="str">
            <v/>
          </cell>
          <cell r="D1601" t="str">
            <v/>
          </cell>
          <cell r="O1601" t="str">
            <v/>
          </cell>
          <cell r="T1601" t="str">
            <v/>
          </cell>
          <cell r="U1601" t="str">
            <v/>
          </cell>
          <cell r="V1601" t="str">
            <v/>
          </cell>
          <cell r="W1601" t="str">
            <v/>
          </cell>
          <cell r="Y1601" t="str">
            <v/>
          </cell>
          <cell r="AA1601" t="str">
            <v/>
          </cell>
          <cell r="AB1601">
            <v>0</v>
          </cell>
          <cell r="AC1601">
            <v>0</v>
          </cell>
          <cell r="AI1601" t="str">
            <v/>
          </cell>
          <cell r="AJ1601" t="str">
            <v/>
          </cell>
          <cell r="AK1601">
            <v>0</v>
          </cell>
          <cell r="AL1601">
            <v>0</v>
          </cell>
          <cell r="AM1601">
            <v>0</v>
          </cell>
        </row>
        <row r="1602">
          <cell r="C1602" t="str">
            <v/>
          </cell>
          <cell r="D1602" t="str">
            <v/>
          </cell>
          <cell r="O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/>
          </cell>
          <cell r="Y1602" t="str">
            <v/>
          </cell>
          <cell r="AA1602" t="str">
            <v/>
          </cell>
          <cell r="AB1602">
            <v>0</v>
          </cell>
          <cell r="AC1602">
            <v>0</v>
          </cell>
          <cell r="AI1602" t="str">
            <v/>
          </cell>
          <cell r="AJ1602" t="str">
            <v/>
          </cell>
          <cell r="AK1602">
            <v>0</v>
          </cell>
          <cell r="AL1602">
            <v>0</v>
          </cell>
          <cell r="AM1602">
            <v>0</v>
          </cell>
        </row>
        <row r="1603">
          <cell r="C1603" t="str">
            <v/>
          </cell>
          <cell r="D1603" t="str">
            <v/>
          </cell>
          <cell r="O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/>
          </cell>
          <cell r="Y1603" t="str">
            <v/>
          </cell>
          <cell r="AA1603" t="str">
            <v/>
          </cell>
          <cell r="AB1603">
            <v>0</v>
          </cell>
          <cell r="AC1603">
            <v>0</v>
          </cell>
          <cell r="AI1603" t="str">
            <v/>
          </cell>
          <cell r="AJ1603" t="str">
            <v/>
          </cell>
          <cell r="AK1603">
            <v>0</v>
          </cell>
          <cell r="AL1603">
            <v>0</v>
          </cell>
          <cell r="AM1603">
            <v>0</v>
          </cell>
        </row>
        <row r="1604">
          <cell r="C1604" t="str">
            <v/>
          </cell>
          <cell r="D1604" t="str">
            <v/>
          </cell>
          <cell r="O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/>
          </cell>
          <cell r="Y1604" t="str">
            <v/>
          </cell>
          <cell r="AA1604" t="str">
            <v/>
          </cell>
          <cell r="AB1604">
            <v>0</v>
          </cell>
          <cell r="AC1604">
            <v>0</v>
          </cell>
          <cell r="AI1604" t="str">
            <v/>
          </cell>
          <cell r="AJ1604" t="str">
            <v/>
          </cell>
          <cell r="AK1604">
            <v>0</v>
          </cell>
          <cell r="AL1604">
            <v>0</v>
          </cell>
          <cell r="AM1604">
            <v>0</v>
          </cell>
        </row>
        <row r="1605">
          <cell r="C1605" t="str">
            <v/>
          </cell>
          <cell r="D1605" t="str">
            <v/>
          </cell>
          <cell r="O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/>
          </cell>
          <cell r="Y1605" t="str">
            <v/>
          </cell>
          <cell r="AA1605" t="str">
            <v/>
          </cell>
          <cell r="AB1605">
            <v>0</v>
          </cell>
          <cell r="AC1605">
            <v>0</v>
          </cell>
          <cell r="AI1605" t="str">
            <v/>
          </cell>
          <cell r="AJ1605" t="str">
            <v/>
          </cell>
          <cell r="AK1605">
            <v>0</v>
          </cell>
          <cell r="AL1605">
            <v>0</v>
          </cell>
          <cell r="AM1605">
            <v>0</v>
          </cell>
        </row>
        <row r="1606">
          <cell r="C1606" t="str">
            <v/>
          </cell>
          <cell r="D1606" t="str">
            <v/>
          </cell>
          <cell r="O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/>
          </cell>
          <cell r="Y1606" t="str">
            <v/>
          </cell>
          <cell r="AA1606" t="str">
            <v/>
          </cell>
          <cell r="AB1606">
            <v>0</v>
          </cell>
          <cell r="AC1606">
            <v>0</v>
          </cell>
          <cell r="AI1606" t="str">
            <v/>
          </cell>
          <cell r="AJ1606" t="str">
            <v/>
          </cell>
          <cell r="AK1606">
            <v>0</v>
          </cell>
          <cell r="AL1606">
            <v>0</v>
          </cell>
          <cell r="AM1606">
            <v>0</v>
          </cell>
        </row>
        <row r="1607">
          <cell r="C1607" t="str">
            <v/>
          </cell>
          <cell r="D1607" t="str">
            <v/>
          </cell>
          <cell r="O1607" t="str">
            <v/>
          </cell>
          <cell r="T1607" t="str">
            <v/>
          </cell>
          <cell r="U1607" t="str">
            <v/>
          </cell>
          <cell r="V1607" t="str">
            <v/>
          </cell>
          <cell r="W1607" t="str">
            <v/>
          </cell>
          <cell r="Y1607" t="str">
            <v/>
          </cell>
          <cell r="AA1607" t="str">
            <v/>
          </cell>
          <cell r="AB1607">
            <v>0</v>
          </cell>
          <cell r="AC1607">
            <v>0</v>
          </cell>
          <cell r="AI1607" t="str">
            <v/>
          </cell>
          <cell r="AJ1607" t="str">
            <v/>
          </cell>
          <cell r="AK1607">
            <v>0</v>
          </cell>
          <cell r="AL1607">
            <v>0</v>
          </cell>
          <cell r="AM1607">
            <v>0</v>
          </cell>
        </row>
        <row r="1608">
          <cell r="C1608" t="str">
            <v/>
          </cell>
          <cell r="D1608" t="str">
            <v/>
          </cell>
          <cell r="O1608" t="str">
            <v/>
          </cell>
          <cell r="T1608" t="str">
            <v/>
          </cell>
          <cell r="U1608" t="str">
            <v/>
          </cell>
          <cell r="V1608" t="str">
            <v/>
          </cell>
          <cell r="W1608" t="str">
            <v/>
          </cell>
          <cell r="Y1608" t="str">
            <v/>
          </cell>
          <cell r="AA1608" t="str">
            <v/>
          </cell>
          <cell r="AB1608">
            <v>0</v>
          </cell>
          <cell r="AC1608">
            <v>0</v>
          </cell>
          <cell r="AI1608" t="str">
            <v/>
          </cell>
          <cell r="AJ1608" t="str">
            <v/>
          </cell>
          <cell r="AK1608">
            <v>0</v>
          </cell>
          <cell r="AL1608">
            <v>0</v>
          </cell>
          <cell r="AM1608">
            <v>0</v>
          </cell>
        </row>
        <row r="1609">
          <cell r="C1609" t="str">
            <v/>
          </cell>
          <cell r="D1609" t="str">
            <v/>
          </cell>
          <cell r="O1609" t="str">
            <v/>
          </cell>
          <cell r="T1609" t="str">
            <v/>
          </cell>
          <cell r="U1609" t="str">
            <v/>
          </cell>
          <cell r="V1609" t="str">
            <v/>
          </cell>
          <cell r="W1609" t="str">
            <v/>
          </cell>
          <cell r="Y1609" t="str">
            <v/>
          </cell>
          <cell r="AA1609" t="str">
            <v/>
          </cell>
          <cell r="AB1609">
            <v>0</v>
          </cell>
          <cell r="AC1609">
            <v>0</v>
          </cell>
          <cell r="AI1609" t="str">
            <v/>
          </cell>
          <cell r="AJ1609" t="str">
            <v/>
          </cell>
          <cell r="AK1609">
            <v>0</v>
          </cell>
          <cell r="AL1609">
            <v>0</v>
          </cell>
          <cell r="AM1609">
            <v>0</v>
          </cell>
        </row>
        <row r="1610">
          <cell r="C1610" t="str">
            <v/>
          </cell>
          <cell r="D1610" t="str">
            <v/>
          </cell>
          <cell r="O1610" t="str">
            <v/>
          </cell>
          <cell r="T1610" t="str">
            <v/>
          </cell>
          <cell r="U1610" t="str">
            <v/>
          </cell>
          <cell r="V1610" t="str">
            <v/>
          </cell>
          <cell r="W1610" t="str">
            <v/>
          </cell>
          <cell r="Y1610" t="str">
            <v/>
          </cell>
          <cell r="AA1610" t="str">
            <v/>
          </cell>
          <cell r="AB1610">
            <v>0</v>
          </cell>
          <cell r="AC1610">
            <v>0</v>
          </cell>
          <cell r="AI1610" t="str">
            <v/>
          </cell>
          <cell r="AJ1610" t="str">
            <v/>
          </cell>
          <cell r="AK1610">
            <v>0</v>
          </cell>
          <cell r="AL1610">
            <v>0</v>
          </cell>
          <cell r="AM1610">
            <v>0</v>
          </cell>
        </row>
        <row r="1611">
          <cell r="C1611" t="str">
            <v/>
          </cell>
          <cell r="D1611" t="str">
            <v/>
          </cell>
          <cell r="O1611" t="str">
            <v/>
          </cell>
          <cell r="T1611" t="str">
            <v/>
          </cell>
          <cell r="U1611" t="str">
            <v/>
          </cell>
          <cell r="V1611" t="str">
            <v/>
          </cell>
          <cell r="W1611" t="str">
            <v/>
          </cell>
          <cell r="Y1611" t="str">
            <v/>
          </cell>
          <cell r="AA1611" t="str">
            <v/>
          </cell>
          <cell r="AB1611">
            <v>0</v>
          </cell>
          <cell r="AC1611">
            <v>0</v>
          </cell>
          <cell r="AI1611" t="str">
            <v/>
          </cell>
          <cell r="AJ1611" t="str">
            <v/>
          </cell>
          <cell r="AK1611">
            <v>0</v>
          </cell>
          <cell r="AL1611">
            <v>0</v>
          </cell>
          <cell r="AM1611">
            <v>0</v>
          </cell>
        </row>
        <row r="1612">
          <cell r="C1612" t="str">
            <v/>
          </cell>
          <cell r="D1612" t="str">
            <v/>
          </cell>
          <cell r="O1612" t="str">
            <v/>
          </cell>
          <cell r="T1612" t="str">
            <v/>
          </cell>
          <cell r="U1612" t="str">
            <v/>
          </cell>
          <cell r="V1612" t="str">
            <v/>
          </cell>
          <cell r="W1612" t="str">
            <v/>
          </cell>
          <cell r="Y1612" t="str">
            <v/>
          </cell>
          <cell r="AA1612" t="str">
            <v/>
          </cell>
          <cell r="AB1612">
            <v>0</v>
          </cell>
          <cell r="AC1612">
            <v>0</v>
          </cell>
          <cell r="AI1612" t="str">
            <v/>
          </cell>
          <cell r="AJ1612" t="str">
            <v/>
          </cell>
          <cell r="AK1612">
            <v>0</v>
          </cell>
          <cell r="AL1612">
            <v>0</v>
          </cell>
          <cell r="AM1612">
            <v>0</v>
          </cell>
        </row>
        <row r="1613">
          <cell r="C1613" t="str">
            <v/>
          </cell>
          <cell r="D1613" t="str">
            <v/>
          </cell>
          <cell r="O1613" t="str">
            <v/>
          </cell>
          <cell r="T1613" t="str">
            <v/>
          </cell>
          <cell r="U1613" t="str">
            <v/>
          </cell>
          <cell r="V1613" t="str">
            <v/>
          </cell>
          <cell r="W1613" t="str">
            <v/>
          </cell>
          <cell r="Y1613" t="str">
            <v/>
          </cell>
          <cell r="AA1613" t="str">
            <v/>
          </cell>
          <cell r="AB1613">
            <v>0</v>
          </cell>
          <cell r="AC1613">
            <v>0</v>
          </cell>
          <cell r="AI1613" t="str">
            <v/>
          </cell>
          <cell r="AJ1613" t="str">
            <v/>
          </cell>
          <cell r="AK1613">
            <v>0</v>
          </cell>
          <cell r="AL1613">
            <v>0</v>
          </cell>
          <cell r="AM1613">
            <v>0</v>
          </cell>
        </row>
        <row r="1614">
          <cell r="C1614" t="str">
            <v/>
          </cell>
          <cell r="D1614" t="str">
            <v/>
          </cell>
          <cell r="O1614" t="str">
            <v/>
          </cell>
          <cell r="T1614" t="str">
            <v/>
          </cell>
          <cell r="U1614" t="str">
            <v/>
          </cell>
          <cell r="V1614" t="str">
            <v/>
          </cell>
          <cell r="W1614" t="str">
            <v/>
          </cell>
          <cell r="Y1614" t="str">
            <v/>
          </cell>
          <cell r="AA1614" t="str">
            <v/>
          </cell>
          <cell r="AB1614">
            <v>0</v>
          </cell>
          <cell r="AC1614">
            <v>0</v>
          </cell>
          <cell r="AI1614" t="str">
            <v/>
          </cell>
          <cell r="AJ1614" t="str">
            <v/>
          </cell>
          <cell r="AK1614">
            <v>0</v>
          </cell>
          <cell r="AL1614">
            <v>0</v>
          </cell>
          <cell r="AM1614">
            <v>0</v>
          </cell>
        </row>
        <row r="1615">
          <cell r="C1615" t="str">
            <v/>
          </cell>
          <cell r="D1615" t="str">
            <v/>
          </cell>
          <cell r="O1615" t="str">
            <v/>
          </cell>
          <cell r="T1615" t="str">
            <v/>
          </cell>
          <cell r="U1615" t="str">
            <v/>
          </cell>
          <cell r="V1615" t="str">
            <v/>
          </cell>
          <cell r="W1615" t="str">
            <v/>
          </cell>
          <cell r="Y1615" t="str">
            <v/>
          </cell>
          <cell r="AA1615" t="str">
            <v/>
          </cell>
          <cell r="AB1615">
            <v>0</v>
          </cell>
          <cell r="AC1615">
            <v>0</v>
          </cell>
          <cell r="AI1615" t="str">
            <v/>
          </cell>
          <cell r="AJ1615" t="str">
            <v/>
          </cell>
          <cell r="AK1615">
            <v>0</v>
          </cell>
          <cell r="AL1615">
            <v>0</v>
          </cell>
          <cell r="AM1615">
            <v>0</v>
          </cell>
        </row>
        <row r="1616">
          <cell r="C1616" t="str">
            <v/>
          </cell>
          <cell r="D1616" t="str">
            <v/>
          </cell>
          <cell r="O1616" t="str">
            <v/>
          </cell>
          <cell r="T1616" t="str">
            <v/>
          </cell>
          <cell r="U1616" t="str">
            <v/>
          </cell>
          <cell r="V1616" t="str">
            <v/>
          </cell>
          <cell r="W1616" t="str">
            <v/>
          </cell>
          <cell r="Y1616" t="str">
            <v/>
          </cell>
          <cell r="AA1616" t="str">
            <v/>
          </cell>
          <cell r="AB1616">
            <v>0</v>
          </cell>
          <cell r="AC1616">
            <v>0</v>
          </cell>
          <cell r="AI1616" t="str">
            <v/>
          </cell>
          <cell r="AJ1616" t="str">
            <v/>
          </cell>
          <cell r="AK1616">
            <v>0</v>
          </cell>
          <cell r="AL1616">
            <v>0</v>
          </cell>
          <cell r="AM1616">
            <v>0</v>
          </cell>
        </row>
        <row r="1617">
          <cell r="C1617" t="str">
            <v/>
          </cell>
          <cell r="D1617" t="str">
            <v/>
          </cell>
          <cell r="O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/>
          </cell>
          <cell r="Y1617" t="str">
            <v/>
          </cell>
          <cell r="AA1617" t="str">
            <v/>
          </cell>
          <cell r="AB1617">
            <v>0</v>
          </cell>
          <cell r="AC1617">
            <v>0</v>
          </cell>
          <cell r="AI1617" t="str">
            <v/>
          </cell>
          <cell r="AJ1617" t="str">
            <v/>
          </cell>
          <cell r="AK1617">
            <v>0</v>
          </cell>
          <cell r="AL1617">
            <v>0</v>
          </cell>
          <cell r="AM1617">
            <v>0</v>
          </cell>
        </row>
        <row r="1618">
          <cell r="C1618" t="str">
            <v/>
          </cell>
          <cell r="D1618" t="str">
            <v/>
          </cell>
          <cell r="O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/>
          </cell>
          <cell r="Y1618" t="str">
            <v/>
          </cell>
          <cell r="AA1618" t="str">
            <v/>
          </cell>
          <cell r="AB1618">
            <v>0</v>
          </cell>
          <cell r="AC1618">
            <v>0</v>
          </cell>
          <cell r="AI1618" t="str">
            <v/>
          </cell>
          <cell r="AJ1618" t="str">
            <v/>
          </cell>
          <cell r="AK1618">
            <v>0</v>
          </cell>
          <cell r="AL1618">
            <v>0</v>
          </cell>
          <cell r="AM1618">
            <v>0</v>
          </cell>
        </row>
        <row r="1619">
          <cell r="C1619" t="str">
            <v/>
          </cell>
          <cell r="D1619" t="str">
            <v/>
          </cell>
          <cell r="O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/>
          </cell>
          <cell r="Y1619" t="str">
            <v/>
          </cell>
          <cell r="AA1619" t="str">
            <v/>
          </cell>
          <cell r="AB1619">
            <v>0</v>
          </cell>
          <cell r="AC1619">
            <v>0</v>
          </cell>
          <cell r="AI1619" t="str">
            <v/>
          </cell>
          <cell r="AJ1619" t="str">
            <v/>
          </cell>
          <cell r="AK1619">
            <v>0</v>
          </cell>
          <cell r="AL1619">
            <v>0</v>
          </cell>
          <cell r="AM1619">
            <v>0</v>
          </cell>
        </row>
        <row r="1620">
          <cell r="C1620" t="str">
            <v/>
          </cell>
          <cell r="D1620" t="str">
            <v/>
          </cell>
          <cell r="O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/>
          </cell>
          <cell r="Y1620" t="str">
            <v/>
          </cell>
          <cell r="AA1620" t="str">
            <v/>
          </cell>
          <cell r="AB1620">
            <v>0</v>
          </cell>
          <cell r="AC1620">
            <v>0</v>
          </cell>
          <cell r="AI1620" t="str">
            <v/>
          </cell>
          <cell r="AJ1620" t="str">
            <v/>
          </cell>
          <cell r="AK1620">
            <v>0</v>
          </cell>
          <cell r="AL1620">
            <v>0</v>
          </cell>
          <cell r="AM1620">
            <v>0</v>
          </cell>
        </row>
        <row r="1621">
          <cell r="C1621" t="str">
            <v/>
          </cell>
          <cell r="D1621" t="str">
            <v/>
          </cell>
          <cell r="O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/>
          </cell>
          <cell r="Y1621" t="str">
            <v/>
          </cell>
          <cell r="AA1621" t="str">
            <v/>
          </cell>
          <cell r="AB1621">
            <v>0</v>
          </cell>
          <cell r="AC1621">
            <v>0</v>
          </cell>
          <cell r="AI1621" t="str">
            <v/>
          </cell>
          <cell r="AJ1621" t="str">
            <v/>
          </cell>
          <cell r="AK1621">
            <v>0</v>
          </cell>
          <cell r="AL1621">
            <v>0</v>
          </cell>
          <cell r="AM1621">
            <v>0</v>
          </cell>
        </row>
        <row r="1622">
          <cell r="C1622" t="str">
            <v/>
          </cell>
          <cell r="D1622" t="str">
            <v/>
          </cell>
          <cell r="O1622" t="str">
            <v/>
          </cell>
          <cell r="T1622" t="str">
            <v/>
          </cell>
          <cell r="U1622" t="str">
            <v/>
          </cell>
          <cell r="V1622" t="str">
            <v/>
          </cell>
          <cell r="W1622" t="str">
            <v/>
          </cell>
          <cell r="Y1622" t="str">
            <v/>
          </cell>
          <cell r="AA1622" t="str">
            <v/>
          </cell>
          <cell r="AB1622">
            <v>0</v>
          </cell>
          <cell r="AC1622">
            <v>0</v>
          </cell>
          <cell r="AI1622" t="str">
            <v/>
          </cell>
          <cell r="AJ1622" t="str">
            <v/>
          </cell>
          <cell r="AK1622">
            <v>0</v>
          </cell>
          <cell r="AL1622">
            <v>0</v>
          </cell>
          <cell r="AM1622">
            <v>0</v>
          </cell>
        </row>
        <row r="1623">
          <cell r="C1623" t="str">
            <v/>
          </cell>
          <cell r="D1623" t="str">
            <v/>
          </cell>
          <cell r="O1623" t="str">
            <v/>
          </cell>
          <cell r="T1623" t="str">
            <v/>
          </cell>
          <cell r="U1623" t="str">
            <v/>
          </cell>
          <cell r="V1623" t="str">
            <v/>
          </cell>
          <cell r="W1623" t="str">
            <v/>
          </cell>
          <cell r="Y1623" t="str">
            <v/>
          </cell>
          <cell r="AA1623" t="str">
            <v/>
          </cell>
          <cell r="AB1623">
            <v>0</v>
          </cell>
          <cell r="AC1623">
            <v>0</v>
          </cell>
          <cell r="AI1623" t="str">
            <v/>
          </cell>
          <cell r="AJ1623" t="str">
            <v/>
          </cell>
          <cell r="AK1623">
            <v>0</v>
          </cell>
          <cell r="AL1623">
            <v>0</v>
          </cell>
          <cell r="AM1623">
            <v>0</v>
          </cell>
        </row>
        <row r="1624">
          <cell r="C1624" t="str">
            <v/>
          </cell>
          <cell r="D1624" t="str">
            <v/>
          </cell>
          <cell r="O1624" t="str">
            <v/>
          </cell>
          <cell r="T1624" t="str">
            <v/>
          </cell>
          <cell r="U1624" t="str">
            <v/>
          </cell>
          <cell r="V1624" t="str">
            <v/>
          </cell>
          <cell r="W1624" t="str">
            <v/>
          </cell>
          <cell r="Y1624" t="str">
            <v/>
          </cell>
          <cell r="AA1624" t="str">
            <v/>
          </cell>
          <cell r="AB1624">
            <v>0</v>
          </cell>
          <cell r="AC1624">
            <v>0</v>
          </cell>
          <cell r="AI1624" t="str">
            <v/>
          </cell>
          <cell r="AJ1624" t="str">
            <v/>
          </cell>
          <cell r="AK1624">
            <v>0</v>
          </cell>
          <cell r="AL1624">
            <v>0</v>
          </cell>
          <cell r="AM1624">
            <v>0</v>
          </cell>
        </row>
        <row r="1625">
          <cell r="C1625" t="str">
            <v/>
          </cell>
          <cell r="D1625" t="str">
            <v/>
          </cell>
          <cell r="O1625" t="str">
            <v/>
          </cell>
          <cell r="T1625" t="str">
            <v/>
          </cell>
          <cell r="U1625" t="str">
            <v/>
          </cell>
          <cell r="V1625" t="str">
            <v/>
          </cell>
          <cell r="W1625" t="str">
            <v/>
          </cell>
          <cell r="Y1625" t="str">
            <v/>
          </cell>
          <cell r="AA1625" t="str">
            <v/>
          </cell>
          <cell r="AB1625">
            <v>0</v>
          </cell>
          <cell r="AC1625">
            <v>0</v>
          </cell>
          <cell r="AI1625" t="str">
            <v/>
          </cell>
          <cell r="AJ1625" t="str">
            <v/>
          </cell>
          <cell r="AK1625">
            <v>0</v>
          </cell>
          <cell r="AL1625">
            <v>0</v>
          </cell>
          <cell r="AM1625">
            <v>0</v>
          </cell>
        </row>
        <row r="1626">
          <cell r="C1626" t="str">
            <v/>
          </cell>
          <cell r="D1626" t="str">
            <v/>
          </cell>
          <cell r="O1626" t="str">
            <v/>
          </cell>
          <cell r="T1626" t="str">
            <v/>
          </cell>
          <cell r="U1626" t="str">
            <v/>
          </cell>
          <cell r="V1626" t="str">
            <v/>
          </cell>
          <cell r="W1626" t="str">
            <v/>
          </cell>
          <cell r="Y1626" t="str">
            <v/>
          </cell>
          <cell r="AA1626" t="str">
            <v/>
          </cell>
          <cell r="AB1626">
            <v>0</v>
          </cell>
          <cell r="AC1626">
            <v>0</v>
          </cell>
          <cell r="AI1626" t="str">
            <v/>
          </cell>
          <cell r="AJ1626" t="str">
            <v/>
          </cell>
          <cell r="AK1626">
            <v>0</v>
          </cell>
          <cell r="AL1626">
            <v>0</v>
          </cell>
          <cell r="AM1626">
            <v>0</v>
          </cell>
        </row>
        <row r="1627">
          <cell r="C1627" t="str">
            <v/>
          </cell>
          <cell r="D1627" t="str">
            <v/>
          </cell>
          <cell r="O1627" t="str">
            <v/>
          </cell>
          <cell r="T1627" t="str">
            <v/>
          </cell>
          <cell r="U1627" t="str">
            <v/>
          </cell>
          <cell r="V1627" t="str">
            <v/>
          </cell>
          <cell r="W1627" t="str">
            <v/>
          </cell>
          <cell r="Y1627" t="str">
            <v/>
          </cell>
          <cell r="AA1627" t="str">
            <v/>
          </cell>
          <cell r="AB1627">
            <v>0</v>
          </cell>
          <cell r="AC1627">
            <v>0</v>
          </cell>
          <cell r="AI1627" t="str">
            <v/>
          </cell>
          <cell r="AJ1627" t="str">
            <v/>
          </cell>
          <cell r="AK1627">
            <v>0</v>
          </cell>
          <cell r="AL1627">
            <v>0</v>
          </cell>
          <cell r="AM1627">
            <v>0</v>
          </cell>
        </row>
        <row r="1628">
          <cell r="C1628" t="str">
            <v/>
          </cell>
          <cell r="D1628" t="str">
            <v/>
          </cell>
          <cell r="O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/>
          </cell>
          <cell r="Y1628" t="str">
            <v/>
          </cell>
          <cell r="AA1628" t="str">
            <v/>
          </cell>
          <cell r="AB1628">
            <v>0</v>
          </cell>
          <cell r="AC1628">
            <v>0</v>
          </cell>
          <cell r="AI1628" t="str">
            <v/>
          </cell>
          <cell r="AJ1628" t="str">
            <v/>
          </cell>
          <cell r="AK1628">
            <v>0</v>
          </cell>
          <cell r="AL1628">
            <v>0</v>
          </cell>
          <cell r="AM1628">
            <v>0</v>
          </cell>
        </row>
        <row r="1629">
          <cell r="C1629" t="str">
            <v/>
          </cell>
          <cell r="D1629" t="str">
            <v/>
          </cell>
          <cell r="O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/>
          </cell>
          <cell r="Y1629" t="str">
            <v/>
          </cell>
          <cell r="AA1629" t="str">
            <v/>
          </cell>
          <cell r="AB1629">
            <v>0</v>
          </cell>
          <cell r="AC1629">
            <v>0</v>
          </cell>
          <cell r="AI1629" t="str">
            <v/>
          </cell>
          <cell r="AJ1629" t="str">
            <v/>
          </cell>
          <cell r="AK1629">
            <v>0</v>
          </cell>
          <cell r="AL1629">
            <v>0</v>
          </cell>
          <cell r="AM1629">
            <v>0</v>
          </cell>
        </row>
        <row r="1630">
          <cell r="C1630" t="str">
            <v/>
          </cell>
          <cell r="D1630" t="str">
            <v/>
          </cell>
          <cell r="O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/>
          </cell>
          <cell r="Y1630" t="str">
            <v/>
          </cell>
          <cell r="AA1630" t="str">
            <v/>
          </cell>
          <cell r="AB1630">
            <v>0</v>
          </cell>
          <cell r="AC1630">
            <v>0</v>
          </cell>
          <cell r="AI1630" t="str">
            <v/>
          </cell>
          <cell r="AJ1630" t="str">
            <v/>
          </cell>
          <cell r="AK1630">
            <v>0</v>
          </cell>
          <cell r="AL1630">
            <v>0</v>
          </cell>
          <cell r="AM1630">
            <v>0</v>
          </cell>
        </row>
        <row r="1631">
          <cell r="C1631" t="str">
            <v/>
          </cell>
          <cell r="D1631" t="str">
            <v/>
          </cell>
          <cell r="O1631" t="str">
            <v/>
          </cell>
          <cell r="T1631" t="str">
            <v/>
          </cell>
          <cell r="U1631" t="str">
            <v/>
          </cell>
          <cell r="V1631" t="str">
            <v/>
          </cell>
          <cell r="W1631" t="str">
            <v/>
          </cell>
          <cell r="Y1631" t="str">
            <v/>
          </cell>
          <cell r="AA1631" t="str">
            <v/>
          </cell>
          <cell r="AB1631">
            <v>0</v>
          </cell>
          <cell r="AC1631">
            <v>0</v>
          </cell>
          <cell r="AI1631" t="str">
            <v/>
          </cell>
          <cell r="AJ1631" t="str">
            <v/>
          </cell>
          <cell r="AK1631">
            <v>0</v>
          </cell>
          <cell r="AL1631">
            <v>0</v>
          </cell>
          <cell r="AM1631">
            <v>0</v>
          </cell>
        </row>
        <row r="1632">
          <cell r="C1632" t="str">
            <v/>
          </cell>
          <cell r="D1632" t="str">
            <v/>
          </cell>
          <cell r="O1632" t="str">
            <v/>
          </cell>
          <cell r="T1632" t="str">
            <v/>
          </cell>
          <cell r="U1632" t="str">
            <v/>
          </cell>
          <cell r="V1632" t="str">
            <v/>
          </cell>
          <cell r="W1632" t="str">
            <v/>
          </cell>
          <cell r="Y1632" t="str">
            <v/>
          </cell>
          <cell r="AA1632" t="str">
            <v/>
          </cell>
          <cell r="AB1632">
            <v>0</v>
          </cell>
          <cell r="AC1632">
            <v>0</v>
          </cell>
          <cell r="AI1632" t="str">
            <v/>
          </cell>
          <cell r="AJ1632" t="str">
            <v/>
          </cell>
          <cell r="AK1632">
            <v>0</v>
          </cell>
          <cell r="AL1632">
            <v>0</v>
          </cell>
          <cell r="AM1632">
            <v>0</v>
          </cell>
        </row>
        <row r="1633">
          <cell r="C1633" t="str">
            <v/>
          </cell>
          <cell r="D1633" t="str">
            <v/>
          </cell>
          <cell r="O1633" t="str">
            <v/>
          </cell>
          <cell r="T1633" t="str">
            <v/>
          </cell>
          <cell r="U1633" t="str">
            <v/>
          </cell>
          <cell r="V1633" t="str">
            <v/>
          </cell>
          <cell r="W1633" t="str">
            <v/>
          </cell>
          <cell r="Y1633" t="str">
            <v/>
          </cell>
          <cell r="AA1633" t="str">
            <v/>
          </cell>
          <cell r="AB1633">
            <v>0</v>
          </cell>
          <cell r="AC1633">
            <v>0</v>
          </cell>
          <cell r="AI1633" t="str">
            <v/>
          </cell>
          <cell r="AJ1633" t="str">
            <v/>
          </cell>
          <cell r="AK1633">
            <v>0</v>
          </cell>
          <cell r="AL1633">
            <v>0</v>
          </cell>
          <cell r="AM1633">
            <v>0</v>
          </cell>
        </row>
        <row r="1634">
          <cell r="C1634" t="str">
            <v/>
          </cell>
          <cell r="D1634" t="str">
            <v/>
          </cell>
          <cell r="O1634" t="str">
            <v/>
          </cell>
          <cell r="T1634" t="str">
            <v/>
          </cell>
          <cell r="U1634" t="str">
            <v/>
          </cell>
          <cell r="V1634" t="str">
            <v/>
          </cell>
          <cell r="W1634" t="str">
            <v/>
          </cell>
          <cell r="Y1634" t="str">
            <v/>
          </cell>
          <cell r="AA1634" t="str">
            <v/>
          </cell>
          <cell r="AB1634">
            <v>0</v>
          </cell>
          <cell r="AC1634">
            <v>0</v>
          </cell>
          <cell r="AI1634" t="str">
            <v/>
          </cell>
          <cell r="AJ1634" t="str">
            <v/>
          </cell>
          <cell r="AK1634">
            <v>0</v>
          </cell>
          <cell r="AL1634">
            <v>0</v>
          </cell>
          <cell r="AM1634">
            <v>0</v>
          </cell>
        </row>
        <row r="1635">
          <cell r="C1635" t="str">
            <v/>
          </cell>
          <cell r="D1635" t="str">
            <v/>
          </cell>
          <cell r="O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/>
          </cell>
          <cell r="Y1635" t="str">
            <v/>
          </cell>
          <cell r="AA1635" t="str">
            <v/>
          </cell>
          <cell r="AB1635">
            <v>0</v>
          </cell>
          <cell r="AC1635">
            <v>0</v>
          </cell>
          <cell r="AI1635" t="str">
            <v/>
          </cell>
          <cell r="AJ1635" t="str">
            <v/>
          </cell>
          <cell r="AK1635">
            <v>0</v>
          </cell>
          <cell r="AL1635">
            <v>0</v>
          </cell>
          <cell r="AM1635">
            <v>0</v>
          </cell>
        </row>
        <row r="1636">
          <cell r="C1636" t="str">
            <v/>
          </cell>
          <cell r="D1636" t="str">
            <v/>
          </cell>
          <cell r="O1636" t="str">
            <v/>
          </cell>
          <cell r="T1636" t="str">
            <v/>
          </cell>
          <cell r="U1636" t="str">
            <v/>
          </cell>
          <cell r="V1636" t="str">
            <v/>
          </cell>
          <cell r="W1636" t="str">
            <v/>
          </cell>
          <cell r="Y1636" t="str">
            <v/>
          </cell>
          <cell r="AA1636" t="str">
            <v/>
          </cell>
          <cell r="AB1636">
            <v>0</v>
          </cell>
          <cell r="AC1636">
            <v>0</v>
          </cell>
          <cell r="AI1636" t="str">
            <v/>
          </cell>
          <cell r="AJ1636" t="str">
            <v/>
          </cell>
          <cell r="AK1636">
            <v>0</v>
          </cell>
          <cell r="AL1636">
            <v>0</v>
          </cell>
          <cell r="AM1636">
            <v>0</v>
          </cell>
        </row>
        <row r="1637">
          <cell r="C1637" t="str">
            <v/>
          </cell>
          <cell r="D1637" t="str">
            <v/>
          </cell>
          <cell r="O1637" t="str">
            <v/>
          </cell>
          <cell r="T1637" t="str">
            <v/>
          </cell>
          <cell r="U1637" t="str">
            <v/>
          </cell>
          <cell r="V1637" t="str">
            <v/>
          </cell>
          <cell r="W1637" t="str">
            <v/>
          </cell>
          <cell r="Y1637" t="str">
            <v/>
          </cell>
          <cell r="AA1637" t="str">
            <v/>
          </cell>
          <cell r="AB1637">
            <v>0</v>
          </cell>
          <cell r="AC1637">
            <v>0</v>
          </cell>
          <cell r="AI1637" t="str">
            <v/>
          </cell>
          <cell r="AJ1637" t="str">
            <v/>
          </cell>
          <cell r="AK1637">
            <v>0</v>
          </cell>
          <cell r="AL1637">
            <v>0</v>
          </cell>
          <cell r="AM1637">
            <v>0</v>
          </cell>
        </row>
        <row r="1638">
          <cell r="C1638" t="str">
            <v/>
          </cell>
          <cell r="D1638" t="str">
            <v/>
          </cell>
          <cell r="O1638" t="str">
            <v/>
          </cell>
          <cell r="T1638" t="str">
            <v/>
          </cell>
          <cell r="U1638" t="str">
            <v/>
          </cell>
          <cell r="V1638" t="str">
            <v/>
          </cell>
          <cell r="W1638" t="str">
            <v/>
          </cell>
          <cell r="Y1638" t="str">
            <v/>
          </cell>
          <cell r="AA1638" t="str">
            <v/>
          </cell>
          <cell r="AB1638">
            <v>0</v>
          </cell>
          <cell r="AC1638">
            <v>0</v>
          </cell>
          <cell r="AI1638" t="str">
            <v/>
          </cell>
          <cell r="AJ1638" t="str">
            <v/>
          </cell>
          <cell r="AK1638">
            <v>0</v>
          </cell>
          <cell r="AL1638">
            <v>0</v>
          </cell>
          <cell r="AM1638">
            <v>0</v>
          </cell>
        </row>
        <row r="1639">
          <cell r="C1639" t="str">
            <v/>
          </cell>
          <cell r="D1639" t="str">
            <v/>
          </cell>
          <cell r="O1639" t="str">
            <v/>
          </cell>
          <cell r="T1639" t="str">
            <v/>
          </cell>
          <cell r="U1639" t="str">
            <v/>
          </cell>
          <cell r="V1639" t="str">
            <v/>
          </cell>
          <cell r="W1639" t="str">
            <v/>
          </cell>
          <cell r="Y1639" t="str">
            <v/>
          </cell>
          <cell r="AA1639" t="str">
            <v/>
          </cell>
          <cell r="AB1639">
            <v>0</v>
          </cell>
          <cell r="AC1639">
            <v>0</v>
          </cell>
          <cell r="AI1639" t="str">
            <v/>
          </cell>
          <cell r="AJ1639" t="str">
            <v/>
          </cell>
          <cell r="AK1639">
            <v>0</v>
          </cell>
          <cell r="AL1639">
            <v>0</v>
          </cell>
          <cell r="AM1639">
            <v>0</v>
          </cell>
        </row>
        <row r="1640">
          <cell r="C1640" t="str">
            <v/>
          </cell>
          <cell r="D1640" t="str">
            <v/>
          </cell>
          <cell r="O1640" t="str">
            <v/>
          </cell>
          <cell r="T1640" t="str">
            <v/>
          </cell>
          <cell r="U1640" t="str">
            <v/>
          </cell>
          <cell r="V1640" t="str">
            <v/>
          </cell>
          <cell r="W1640" t="str">
            <v/>
          </cell>
          <cell r="Y1640" t="str">
            <v/>
          </cell>
          <cell r="AA1640" t="str">
            <v/>
          </cell>
          <cell r="AB1640">
            <v>0</v>
          </cell>
          <cell r="AC1640">
            <v>0</v>
          </cell>
          <cell r="AI1640" t="str">
            <v/>
          </cell>
          <cell r="AJ1640" t="str">
            <v/>
          </cell>
          <cell r="AK1640">
            <v>0</v>
          </cell>
          <cell r="AL1640">
            <v>0</v>
          </cell>
          <cell r="AM1640">
            <v>0</v>
          </cell>
        </row>
        <row r="1641">
          <cell r="C1641" t="str">
            <v/>
          </cell>
          <cell r="D1641" t="str">
            <v/>
          </cell>
          <cell r="O1641" t="str">
            <v/>
          </cell>
          <cell r="T1641" t="str">
            <v/>
          </cell>
          <cell r="U1641" t="str">
            <v/>
          </cell>
          <cell r="V1641" t="str">
            <v/>
          </cell>
          <cell r="W1641" t="str">
            <v/>
          </cell>
          <cell r="Y1641" t="str">
            <v/>
          </cell>
          <cell r="AA1641" t="str">
            <v/>
          </cell>
          <cell r="AB1641">
            <v>0</v>
          </cell>
          <cell r="AC1641">
            <v>0</v>
          </cell>
          <cell r="AI1641" t="str">
            <v/>
          </cell>
          <cell r="AJ1641" t="str">
            <v/>
          </cell>
          <cell r="AK1641">
            <v>0</v>
          </cell>
          <cell r="AL1641">
            <v>0</v>
          </cell>
          <cell r="AM1641">
            <v>0</v>
          </cell>
        </row>
        <row r="1642">
          <cell r="C1642" t="str">
            <v/>
          </cell>
          <cell r="D1642" t="str">
            <v/>
          </cell>
          <cell r="O1642" t="str">
            <v/>
          </cell>
          <cell r="T1642" t="str">
            <v/>
          </cell>
          <cell r="U1642" t="str">
            <v/>
          </cell>
          <cell r="V1642" t="str">
            <v/>
          </cell>
          <cell r="W1642" t="str">
            <v/>
          </cell>
          <cell r="Y1642" t="str">
            <v/>
          </cell>
          <cell r="AA1642" t="str">
            <v/>
          </cell>
          <cell r="AB1642">
            <v>0</v>
          </cell>
          <cell r="AC1642">
            <v>0</v>
          </cell>
          <cell r="AI1642" t="str">
            <v/>
          </cell>
          <cell r="AJ1642" t="str">
            <v/>
          </cell>
          <cell r="AK1642">
            <v>0</v>
          </cell>
          <cell r="AL1642">
            <v>0</v>
          </cell>
          <cell r="AM1642">
            <v>0</v>
          </cell>
        </row>
        <row r="1643">
          <cell r="C1643" t="str">
            <v/>
          </cell>
          <cell r="D1643" t="str">
            <v/>
          </cell>
          <cell r="O1643" t="str">
            <v/>
          </cell>
          <cell r="T1643" t="str">
            <v/>
          </cell>
          <cell r="U1643" t="str">
            <v/>
          </cell>
          <cell r="V1643" t="str">
            <v/>
          </cell>
          <cell r="W1643" t="str">
            <v/>
          </cell>
          <cell r="Y1643" t="str">
            <v/>
          </cell>
          <cell r="AA1643" t="str">
            <v/>
          </cell>
          <cell r="AB1643">
            <v>0</v>
          </cell>
          <cell r="AC1643">
            <v>0</v>
          </cell>
          <cell r="AI1643" t="str">
            <v/>
          </cell>
          <cell r="AJ1643" t="str">
            <v/>
          </cell>
          <cell r="AK1643">
            <v>0</v>
          </cell>
          <cell r="AL1643">
            <v>0</v>
          </cell>
          <cell r="AM1643">
            <v>0</v>
          </cell>
        </row>
        <row r="1644">
          <cell r="C1644" t="str">
            <v/>
          </cell>
          <cell r="D1644" t="str">
            <v/>
          </cell>
          <cell r="O1644" t="str">
            <v/>
          </cell>
          <cell r="T1644" t="str">
            <v/>
          </cell>
          <cell r="U1644" t="str">
            <v/>
          </cell>
          <cell r="V1644" t="str">
            <v/>
          </cell>
          <cell r="W1644" t="str">
            <v/>
          </cell>
          <cell r="Y1644" t="str">
            <v/>
          </cell>
          <cell r="AA1644" t="str">
            <v/>
          </cell>
          <cell r="AB1644">
            <v>0</v>
          </cell>
          <cell r="AC1644">
            <v>0</v>
          </cell>
          <cell r="AI1644" t="str">
            <v/>
          </cell>
          <cell r="AJ1644" t="str">
            <v/>
          </cell>
          <cell r="AK1644">
            <v>0</v>
          </cell>
          <cell r="AL1644">
            <v>0</v>
          </cell>
          <cell r="AM1644">
            <v>0</v>
          </cell>
        </row>
        <row r="1645">
          <cell r="C1645" t="str">
            <v/>
          </cell>
          <cell r="D1645" t="str">
            <v/>
          </cell>
          <cell r="O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/>
          </cell>
          <cell r="Y1645" t="str">
            <v/>
          </cell>
          <cell r="AA1645" t="str">
            <v/>
          </cell>
          <cell r="AB1645">
            <v>0</v>
          </cell>
          <cell r="AC1645">
            <v>0</v>
          </cell>
          <cell r="AI1645" t="str">
            <v/>
          </cell>
          <cell r="AJ1645" t="str">
            <v/>
          </cell>
          <cell r="AK1645">
            <v>0</v>
          </cell>
          <cell r="AL1645">
            <v>0</v>
          </cell>
          <cell r="AM1645">
            <v>0</v>
          </cell>
        </row>
        <row r="1646">
          <cell r="C1646" t="str">
            <v/>
          </cell>
          <cell r="D1646" t="str">
            <v/>
          </cell>
          <cell r="O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/>
          </cell>
          <cell r="Y1646" t="str">
            <v/>
          </cell>
          <cell r="AA1646" t="str">
            <v/>
          </cell>
          <cell r="AB1646">
            <v>0</v>
          </cell>
          <cell r="AC1646">
            <v>0</v>
          </cell>
          <cell r="AI1646" t="str">
            <v/>
          </cell>
          <cell r="AJ1646" t="str">
            <v/>
          </cell>
          <cell r="AK1646">
            <v>0</v>
          </cell>
          <cell r="AL1646">
            <v>0</v>
          </cell>
          <cell r="AM1646">
            <v>0</v>
          </cell>
        </row>
        <row r="1647">
          <cell r="C1647" t="str">
            <v/>
          </cell>
          <cell r="D1647" t="str">
            <v/>
          </cell>
          <cell r="O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/>
          </cell>
          <cell r="Y1647" t="str">
            <v/>
          </cell>
          <cell r="AA1647" t="str">
            <v/>
          </cell>
          <cell r="AB1647">
            <v>0</v>
          </cell>
          <cell r="AC1647">
            <v>0</v>
          </cell>
          <cell r="AI1647" t="str">
            <v/>
          </cell>
          <cell r="AJ1647" t="str">
            <v/>
          </cell>
          <cell r="AK1647">
            <v>0</v>
          </cell>
          <cell r="AL1647">
            <v>0</v>
          </cell>
          <cell r="AM1647">
            <v>0</v>
          </cell>
        </row>
        <row r="1648">
          <cell r="C1648" t="str">
            <v/>
          </cell>
          <cell r="D1648" t="str">
            <v/>
          </cell>
          <cell r="O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/>
          </cell>
          <cell r="Y1648" t="str">
            <v/>
          </cell>
          <cell r="AA1648" t="str">
            <v/>
          </cell>
          <cell r="AB1648">
            <v>0</v>
          </cell>
          <cell r="AC1648">
            <v>0</v>
          </cell>
          <cell r="AI1648" t="str">
            <v/>
          </cell>
          <cell r="AJ1648" t="str">
            <v/>
          </cell>
          <cell r="AK1648">
            <v>0</v>
          </cell>
          <cell r="AL1648">
            <v>0</v>
          </cell>
          <cell r="AM1648">
            <v>0</v>
          </cell>
        </row>
        <row r="1649">
          <cell r="C1649" t="str">
            <v/>
          </cell>
          <cell r="D1649" t="str">
            <v/>
          </cell>
          <cell r="O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/>
          </cell>
          <cell r="Y1649" t="str">
            <v/>
          </cell>
          <cell r="AA1649" t="str">
            <v/>
          </cell>
          <cell r="AB1649">
            <v>0</v>
          </cell>
          <cell r="AC1649">
            <v>0</v>
          </cell>
          <cell r="AI1649" t="str">
            <v/>
          </cell>
          <cell r="AJ1649" t="str">
            <v/>
          </cell>
          <cell r="AK1649">
            <v>0</v>
          </cell>
          <cell r="AL1649">
            <v>0</v>
          </cell>
          <cell r="AM1649">
            <v>0</v>
          </cell>
        </row>
        <row r="1650">
          <cell r="C1650" t="str">
            <v/>
          </cell>
          <cell r="D1650" t="str">
            <v/>
          </cell>
          <cell r="O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/>
          </cell>
          <cell r="Y1650" t="str">
            <v/>
          </cell>
          <cell r="AA1650" t="str">
            <v/>
          </cell>
          <cell r="AB1650">
            <v>0</v>
          </cell>
          <cell r="AC1650">
            <v>0</v>
          </cell>
          <cell r="AI1650" t="str">
            <v/>
          </cell>
          <cell r="AJ1650" t="str">
            <v/>
          </cell>
          <cell r="AK1650">
            <v>0</v>
          </cell>
          <cell r="AL1650">
            <v>0</v>
          </cell>
          <cell r="AM1650">
            <v>0</v>
          </cell>
        </row>
        <row r="1651">
          <cell r="C1651" t="str">
            <v/>
          </cell>
          <cell r="D1651" t="str">
            <v/>
          </cell>
          <cell r="O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/>
          </cell>
          <cell r="Y1651" t="str">
            <v/>
          </cell>
          <cell r="AA1651" t="str">
            <v/>
          </cell>
          <cell r="AB1651">
            <v>0</v>
          </cell>
          <cell r="AC1651">
            <v>0</v>
          </cell>
          <cell r="AI1651" t="str">
            <v/>
          </cell>
          <cell r="AJ1651" t="str">
            <v/>
          </cell>
          <cell r="AK1651">
            <v>0</v>
          </cell>
          <cell r="AL1651">
            <v>0</v>
          </cell>
          <cell r="AM1651">
            <v>0</v>
          </cell>
        </row>
        <row r="1652">
          <cell r="C1652" t="str">
            <v/>
          </cell>
          <cell r="D1652" t="str">
            <v/>
          </cell>
          <cell r="O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/>
          </cell>
          <cell r="Y1652" t="str">
            <v/>
          </cell>
          <cell r="AA1652" t="str">
            <v/>
          </cell>
          <cell r="AB1652">
            <v>0</v>
          </cell>
          <cell r="AC1652">
            <v>0</v>
          </cell>
          <cell r="AI1652" t="str">
            <v/>
          </cell>
          <cell r="AJ1652" t="str">
            <v/>
          </cell>
          <cell r="AK1652">
            <v>0</v>
          </cell>
          <cell r="AL1652">
            <v>0</v>
          </cell>
          <cell r="AM1652">
            <v>0</v>
          </cell>
        </row>
        <row r="1653">
          <cell r="C1653" t="str">
            <v/>
          </cell>
          <cell r="D1653" t="str">
            <v/>
          </cell>
          <cell r="O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/>
          </cell>
          <cell r="Y1653" t="str">
            <v/>
          </cell>
          <cell r="AA1653" t="str">
            <v/>
          </cell>
          <cell r="AB1653">
            <v>0</v>
          </cell>
          <cell r="AC1653">
            <v>0</v>
          </cell>
          <cell r="AI1653" t="str">
            <v/>
          </cell>
          <cell r="AJ1653" t="str">
            <v/>
          </cell>
          <cell r="AK1653">
            <v>0</v>
          </cell>
          <cell r="AL1653">
            <v>0</v>
          </cell>
          <cell r="AM1653">
            <v>0</v>
          </cell>
        </row>
        <row r="1654">
          <cell r="C1654" t="str">
            <v/>
          </cell>
          <cell r="D1654" t="str">
            <v/>
          </cell>
          <cell r="O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/>
          </cell>
          <cell r="Y1654" t="str">
            <v/>
          </cell>
          <cell r="AA1654" t="str">
            <v/>
          </cell>
          <cell r="AB1654">
            <v>0</v>
          </cell>
          <cell r="AC1654">
            <v>0</v>
          </cell>
          <cell r="AI1654" t="str">
            <v/>
          </cell>
          <cell r="AJ1654" t="str">
            <v/>
          </cell>
          <cell r="AK1654">
            <v>0</v>
          </cell>
          <cell r="AL1654">
            <v>0</v>
          </cell>
          <cell r="AM1654">
            <v>0</v>
          </cell>
        </row>
        <row r="1655">
          <cell r="C1655" t="str">
            <v/>
          </cell>
          <cell r="D1655" t="str">
            <v/>
          </cell>
          <cell r="O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/>
          </cell>
          <cell r="Y1655" t="str">
            <v/>
          </cell>
          <cell r="AA1655" t="str">
            <v/>
          </cell>
          <cell r="AB1655">
            <v>0</v>
          </cell>
          <cell r="AC1655">
            <v>0</v>
          </cell>
          <cell r="AI1655" t="str">
            <v/>
          </cell>
          <cell r="AJ1655" t="str">
            <v/>
          </cell>
          <cell r="AK1655">
            <v>0</v>
          </cell>
          <cell r="AL1655">
            <v>0</v>
          </cell>
          <cell r="AM1655">
            <v>0</v>
          </cell>
        </row>
        <row r="1656">
          <cell r="C1656" t="str">
            <v/>
          </cell>
          <cell r="D1656" t="str">
            <v/>
          </cell>
          <cell r="O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/>
          </cell>
          <cell r="Y1656" t="str">
            <v/>
          </cell>
          <cell r="AA1656" t="str">
            <v/>
          </cell>
          <cell r="AB1656">
            <v>0</v>
          </cell>
          <cell r="AC1656">
            <v>0</v>
          </cell>
          <cell r="AI1656" t="str">
            <v/>
          </cell>
          <cell r="AJ1656" t="str">
            <v/>
          </cell>
          <cell r="AK1656">
            <v>0</v>
          </cell>
          <cell r="AL1656">
            <v>0</v>
          </cell>
          <cell r="AM1656">
            <v>0</v>
          </cell>
        </row>
        <row r="1657">
          <cell r="C1657" t="str">
            <v/>
          </cell>
          <cell r="D1657" t="str">
            <v/>
          </cell>
          <cell r="O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/>
          </cell>
          <cell r="Y1657" t="str">
            <v/>
          </cell>
          <cell r="AA1657" t="str">
            <v/>
          </cell>
          <cell r="AB1657">
            <v>0</v>
          </cell>
          <cell r="AC1657">
            <v>0</v>
          </cell>
          <cell r="AI1657" t="str">
            <v/>
          </cell>
          <cell r="AJ1657" t="str">
            <v/>
          </cell>
          <cell r="AK1657">
            <v>0</v>
          </cell>
          <cell r="AL1657">
            <v>0</v>
          </cell>
          <cell r="AM1657">
            <v>0</v>
          </cell>
        </row>
        <row r="1658">
          <cell r="C1658" t="str">
            <v/>
          </cell>
          <cell r="D1658" t="str">
            <v/>
          </cell>
          <cell r="O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/>
          </cell>
          <cell r="Y1658" t="str">
            <v/>
          </cell>
          <cell r="AA1658" t="str">
            <v/>
          </cell>
          <cell r="AB1658">
            <v>0</v>
          </cell>
          <cell r="AC1658">
            <v>0</v>
          </cell>
          <cell r="AI1658" t="str">
            <v/>
          </cell>
          <cell r="AJ1658" t="str">
            <v/>
          </cell>
          <cell r="AK1658">
            <v>0</v>
          </cell>
          <cell r="AL1658">
            <v>0</v>
          </cell>
          <cell r="AM1658">
            <v>0</v>
          </cell>
        </row>
        <row r="1659">
          <cell r="C1659" t="str">
            <v/>
          </cell>
          <cell r="D1659" t="str">
            <v/>
          </cell>
          <cell r="O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/>
          </cell>
          <cell r="Y1659" t="str">
            <v/>
          </cell>
          <cell r="AA1659" t="str">
            <v/>
          </cell>
          <cell r="AB1659">
            <v>0</v>
          </cell>
          <cell r="AC1659">
            <v>0</v>
          </cell>
          <cell r="AI1659" t="str">
            <v/>
          </cell>
          <cell r="AJ1659" t="str">
            <v/>
          </cell>
          <cell r="AK1659">
            <v>0</v>
          </cell>
          <cell r="AL1659">
            <v>0</v>
          </cell>
          <cell r="AM1659">
            <v>0</v>
          </cell>
        </row>
        <row r="1660">
          <cell r="C1660" t="str">
            <v/>
          </cell>
          <cell r="D1660" t="str">
            <v/>
          </cell>
          <cell r="O1660" t="str">
            <v/>
          </cell>
          <cell r="T1660" t="str">
            <v/>
          </cell>
          <cell r="U1660" t="str">
            <v/>
          </cell>
          <cell r="V1660" t="str">
            <v/>
          </cell>
          <cell r="W1660" t="str">
            <v/>
          </cell>
          <cell r="Y1660" t="str">
            <v/>
          </cell>
          <cell r="AA1660" t="str">
            <v/>
          </cell>
          <cell r="AB1660">
            <v>0</v>
          </cell>
          <cell r="AC1660">
            <v>0</v>
          </cell>
          <cell r="AI1660" t="str">
            <v/>
          </cell>
          <cell r="AJ1660" t="str">
            <v/>
          </cell>
          <cell r="AK1660">
            <v>0</v>
          </cell>
          <cell r="AL1660">
            <v>0</v>
          </cell>
          <cell r="AM1660">
            <v>0</v>
          </cell>
        </row>
        <row r="1661">
          <cell r="C1661" t="str">
            <v/>
          </cell>
          <cell r="D1661" t="str">
            <v/>
          </cell>
          <cell r="O1661" t="str">
            <v/>
          </cell>
          <cell r="T1661" t="str">
            <v/>
          </cell>
          <cell r="U1661" t="str">
            <v/>
          </cell>
          <cell r="V1661" t="str">
            <v/>
          </cell>
          <cell r="W1661" t="str">
            <v/>
          </cell>
          <cell r="Y1661" t="str">
            <v/>
          </cell>
          <cell r="AA1661" t="str">
            <v/>
          </cell>
          <cell r="AB1661">
            <v>0</v>
          </cell>
          <cell r="AC1661">
            <v>0</v>
          </cell>
          <cell r="AI1661" t="str">
            <v/>
          </cell>
          <cell r="AJ1661" t="str">
            <v/>
          </cell>
          <cell r="AK1661">
            <v>0</v>
          </cell>
          <cell r="AL1661">
            <v>0</v>
          </cell>
          <cell r="AM1661">
            <v>0</v>
          </cell>
        </row>
        <row r="1662">
          <cell r="C1662" t="str">
            <v/>
          </cell>
          <cell r="D1662" t="str">
            <v/>
          </cell>
          <cell r="O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/>
          </cell>
          <cell r="Y1662" t="str">
            <v/>
          </cell>
          <cell r="AA1662" t="str">
            <v/>
          </cell>
          <cell r="AB1662">
            <v>0</v>
          </cell>
          <cell r="AC1662">
            <v>0</v>
          </cell>
          <cell r="AI1662" t="str">
            <v/>
          </cell>
          <cell r="AJ1662" t="str">
            <v/>
          </cell>
          <cell r="AK1662">
            <v>0</v>
          </cell>
          <cell r="AL1662">
            <v>0</v>
          </cell>
          <cell r="AM1662">
            <v>0</v>
          </cell>
        </row>
        <row r="1663">
          <cell r="C1663" t="str">
            <v/>
          </cell>
          <cell r="D1663" t="str">
            <v/>
          </cell>
          <cell r="O1663" t="str">
            <v/>
          </cell>
          <cell r="T1663" t="str">
            <v/>
          </cell>
          <cell r="U1663" t="str">
            <v/>
          </cell>
          <cell r="V1663" t="str">
            <v/>
          </cell>
          <cell r="W1663" t="str">
            <v/>
          </cell>
          <cell r="Y1663" t="str">
            <v/>
          </cell>
          <cell r="AA1663" t="str">
            <v/>
          </cell>
          <cell r="AB1663">
            <v>0</v>
          </cell>
          <cell r="AC1663">
            <v>0</v>
          </cell>
          <cell r="AI1663" t="str">
            <v/>
          </cell>
          <cell r="AJ1663" t="str">
            <v/>
          </cell>
          <cell r="AK1663">
            <v>0</v>
          </cell>
          <cell r="AL1663">
            <v>0</v>
          </cell>
          <cell r="AM1663">
            <v>0</v>
          </cell>
        </row>
        <row r="1664">
          <cell r="C1664" t="str">
            <v/>
          </cell>
          <cell r="D1664" t="str">
            <v/>
          </cell>
          <cell r="O1664" t="str">
            <v/>
          </cell>
          <cell r="T1664" t="str">
            <v/>
          </cell>
          <cell r="U1664" t="str">
            <v/>
          </cell>
          <cell r="V1664" t="str">
            <v/>
          </cell>
          <cell r="W1664" t="str">
            <v/>
          </cell>
          <cell r="Y1664" t="str">
            <v/>
          </cell>
          <cell r="AA1664" t="str">
            <v/>
          </cell>
          <cell r="AB1664">
            <v>0</v>
          </cell>
          <cell r="AC1664">
            <v>0</v>
          </cell>
          <cell r="AI1664" t="str">
            <v/>
          </cell>
          <cell r="AJ1664" t="str">
            <v/>
          </cell>
          <cell r="AK1664">
            <v>0</v>
          </cell>
          <cell r="AL1664">
            <v>0</v>
          </cell>
          <cell r="AM1664">
            <v>0</v>
          </cell>
        </row>
        <row r="1665">
          <cell r="C1665" t="str">
            <v/>
          </cell>
          <cell r="D1665" t="str">
            <v/>
          </cell>
          <cell r="O1665" t="str">
            <v/>
          </cell>
          <cell r="T1665" t="str">
            <v/>
          </cell>
          <cell r="U1665" t="str">
            <v/>
          </cell>
          <cell r="V1665" t="str">
            <v/>
          </cell>
          <cell r="W1665" t="str">
            <v/>
          </cell>
          <cell r="Y1665" t="str">
            <v/>
          </cell>
          <cell r="AA1665" t="str">
            <v/>
          </cell>
          <cell r="AB1665">
            <v>0</v>
          </cell>
          <cell r="AC1665">
            <v>0</v>
          </cell>
          <cell r="AI1665" t="str">
            <v/>
          </cell>
          <cell r="AJ1665" t="str">
            <v/>
          </cell>
          <cell r="AK1665">
            <v>0</v>
          </cell>
          <cell r="AL1665">
            <v>0</v>
          </cell>
          <cell r="AM1665">
            <v>0</v>
          </cell>
        </row>
        <row r="1666">
          <cell r="C1666" t="str">
            <v/>
          </cell>
          <cell r="D1666" t="str">
            <v/>
          </cell>
          <cell r="O1666" t="str">
            <v/>
          </cell>
          <cell r="T1666" t="str">
            <v/>
          </cell>
          <cell r="U1666" t="str">
            <v/>
          </cell>
          <cell r="V1666" t="str">
            <v/>
          </cell>
          <cell r="W1666" t="str">
            <v/>
          </cell>
          <cell r="Y1666" t="str">
            <v/>
          </cell>
          <cell r="AA1666" t="str">
            <v/>
          </cell>
          <cell r="AB1666">
            <v>0</v>
          </cell>
          <cell r="AC1666">
            <v>0</v>
          </cell>
          <cell r="AI1666" t="str">
            <v/>
          </cell>
          <cell r="AJ1666" t="str">
            <v/>
          </cell>
          <cell r="AK1666">
            <v>0</v>
          </cell>
          <cell r="AL1666">
            <v>0</v>
          </cell>
          <cell r="AM1666">
            <v>0</v>
          </cell>
        </row>
        <row r="1667">
          <cell r="C1667" t="str">
            <v/>
          </cell>
          <cell r="D1667" t="str">
            <v/>
          </cell>
          <cell r="O1667" t="str">
            <v/>
          </cell>
          <cell r="T1667" t="str">
            <v/>
          </cell>
          <cell r="U1667" t="str">
            <v/>
          </cell>
          <cell r="V1667" t="str">
            <v/>
          </cell>
          <cell r="W1667" t="str">
            <v/>
          </cell>
          <cell r="Y1667" t="str">
            <v/>
          </cell>
          <cell r="AA1667" t="str">
            <v/>
          </cell>
          <cell r="AB1667">
            <v>0</v>
          </cell>
          <cell r="AC1667">
            <v>0</v>
          </cell>
          <cell r="AI1667" t="str">
            <v/>
          </cell>
          <cell r="AJ1667" t="str">
            <v/>
          </cell>
          <cell r="AK1667">
            <v>0</v>
          </cell>
          <cell r="AL1667">
            <v>0</v>
          </cell>
          <cell r="AM1667">
            <v>0</v>
          </cell>
        </row>
        <row r="1668">
          <cell r="C1668" t="str">
            <v/>
          </cell>
          <cell r="D1668" t="str">
            <v/>
          </cell>
          <cell r="O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/>
          </cell>
          <cell r="Y1668" t="str">
            <v/>
          </cell>
          <cell r="AA1668" t="str">
            <v/>
          </cell>
          <cell r="AB1668">
            <v>0</v>
          </cell>
          <cell r="AC1668">
            <v>0</v>
          </cell>
          <cell r="AI1668" t="str">
            <v/>
          </cell>
          <cell r="AJ1668" t="str">
            <v/>
          </cell>
          <cell r="AK1668">
            <v>0</v>
          </cell>
          <cell r="AL1668">
            <v>0</v>
          </cell>
          <cell r="AM1668">
            <v>0</v>
          </cell>
        </row>
        <row r="1669">
          <cell r="C1669" t="str">
            <v/>
          </cell>
          <cell r="D1669" t="str">
            <v/>
          </cell>
          <cell r="O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/>
          </cell>
          <cell r="Y1669" t="str">
            <v/>
          </cell>
          <cell r="AA1669" t="str">
            <v/>
          </cell>
          <cell r="AB1669">
            <v>0</v>
          </cell>
          <cell r="AC1669">
            <v>0</v>
          </cell>
          <cell r="AI1669" t="str">
            <v/>
          </cell>
          <cell r="AJ1669" t="str">
            <v/>
          </cell>
          <cell r="AK1669">
            <v>0</v>
          </cell>
          <cell r="AL1669">
            <v>0</v>
          </cell>
          <cell r="AM1669">
            <v>0</v>
          </cell>
        </row>
        <row r="1670">
          <cell r="C1670" t="str">
            <v/>
          </cell>
          <cell r="D1670" t="str">
            <v/>
          </cell>
          <cell r="O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/>
          </cell>
          <cell r="Y1670" t="str">
            <v/>
          </cell>
          <cell r="AA1670" t="str">
            <v/>
          </cell>
          <cell r="AB1670">
            <v>0</v>
          </cell>
          <cell r="AC1670">
            <v>0</v>
          </cell>
          <cell r="AI1670" t="str">
            <v/>
          </cell>
          <cell r="AJ1670" t="str">
            <v/>
          </cell>
          <cell r="AK1670">
            <v>0</v>
          </cell>
          <cell r="AL1670">
            <v>0</v>
          </cell>
          <cell r="AM1670">
            <v>0</v>
          </cell>
        </row>
        <row r="1671">
          <cell r="C1671" t="str">
            <v/>
          </cell>
          <cell r="D1671" t="str">
            <v/>
          </cell>
          <cell r="O1671" t="str">
            <v/>
          </cell>
          <cell r="T1671" t="str">
            <v/>
          </cell>
          <cell r="U1671" t="str">
            <v/>
          </cell>
          <cell r="V1671" t="str">
            <v/>
          </cell>
          <cell r="W1671" t="str">
            <v/>
          </cell>
          <cell r="Y1671" t="str">
            <v/>
          </cell>
          <cell r="AA1671" t="str">
            <v/>
          </cell>
          <cell r="AB1671">
            <v>0</v>
          </cell>
          <cell r="AC1671">
            <v>0</v>
          </cell>
          <cell r="AI1671" t="str">
            <v/>
          </cell>
          <cell r="AJ1671" t="str">
            <v/>
          </cell>
          <cell r="AK1671">
            <v>0</v>
          </cell>
          <cell r="AL1671">
            <v>0</v>
          </cell>
          <cell r="AM1671">
            <v>0</v>
          </cell>
        </row>
        <row r="1672">
          <cell r="C1672" t="str">
            <v/>
          </cell>
          <cell r="D1672" t="str">
            <v/>
          </cell>
          <cell r="O1672" t="str">
            <v/>
          </cell>
          <cell r="T1672" t="str">
            <v/>
          </cell>
          <cell r="U1672" t="str">
            <v/>
          </cell>
          <cell r="V1672" t="str">
            <v/>
          </cell>
          <cell r="W1672" t="str">
            <v/>
          </cell>
          <cell r="Y1672" t="str">
            <v/>
          </cell>
          <cell r="AA1672" t="str">
            <v/>
          </cell>
          <cell r="AB1672">
            <v>0</v>
          </cell>
          <cell r="AC1672">
            <v>0</v>
          </cell>
          <cell r="AI1672" t="str">
            <v/>
          </cell>
          <cell r="AJ1672" t="str">
            <v/>
          </cell>
          <cell r="AK1672">
            <v>0</v>
          </cell>
          <cell r="AL1672">
            <v>0</v>
          </cell>
          <cell r="AM1672">
            <v>0</v>
          </cell>
        </row>
        <row r="1673">
          <cell r="C1673" t="str">
            <v/>
          </cell>
          <cell r="D1673" t="str">
            <v/>
          </cell>
          <cell r="O1673" t="str">
            <v/>
          </cell>
          <cell r="T1673" t="str">
            <v/>
          </cell>
          <cell r="U1673" t="str">
            <v/>
          </cell>
          <cell r="V1673" t="str">
            <v/>
          </cell>
          <cell r="W1673" t="str">
            <v/>
          </cell>
          <cell r="Y1673" t="str">
            <v/>
          </cell>
          <cell r="AA1673" t="str">
            <v/>
          </cell>
          <cell r="AB1673">
            <v>0</v>
          </cell>
          <cell r="AC1673">
            <v>0</v>
          </cell>
          <cell r="AI1673" t="str">
            <v/>
          </cell>
          <cell r="AJ1673" t="str">
            <v/>
          </cell>
          <cell r="AK1673">
            <v>0</v>
          </cell>
          <cell r="AL1673">
            <v>0</v>
          </cell>
          <cell r="AM1673">
            <v>0</v>
          </cell>
        </row>
        <row r="1674">
          <cell r="C1674" t="str">
            <v/>
          </cell>
          <cell r="D1674" t="str">
            <v/>
          </cell>
          <cell r="O1674" t="str">
            <v/>
          </cell>
          <cell r="T1674" t="str">
            <v/>
          </cell>
          <cell r="U1674" t="str">
            <v/>
          </cell>
          <cell r="V1674" t="str">
            <v/>
          </cell>
          <cell r="W1674" t="str">
            <v/>
          </cell>
          <cell r="Y1674" t="str">
            <v/>
          </cell>
          <cell r="AA1674" t="str">
            <v/>
          </cell>
          <cell r="AB1674">
            <v>0</v>
          </cell>
          <cell r="AC1674">
            <v>0</v>
          </cell>
          <cell r="AI1674" t="str">
            <v/>
          </cell>
          <cell r="AJ1674" t="str">
            <v/>
          </cell>
          <cell r="AK1674">
            <v>0</v>
          </cell>
          <cell r="AL1674">
            <v>0</v>
          </cell>
          <cell r="AM1674">
            <v>0</v>
          </cell>
        </row>
        <row r="1675">
          <cell r="C1675" t="str">
            <v/>
          </cell>
          <cell r="D1675" t="str">
            <v/>
          </cell>
          <cell r="O1675" t="str">
            <v/>
          </cell>
          <cell r="T1675" t="str">
            <v/>
          </cell>
          <cell r="U1675" t="str">
            <v/>
          </cell>
          <cell r="V1675" t="str">
            <v/>
          </cell>
          <cell r="W1675" t="str">
            <v/>
          </cell>
          <cell r="Y1675" t="str">
            <v/>
          </cell>
          <cell r="AA1675" t="str">
            <v/>
          </cell>
          <cell r="AB1675">
            <v>0</v>
          </cell>
          <cell r="AC1675">
            <v>0</v>
          </cell>
          <cell r="AI1675" t="str">
            <v/>
          </cell>
          <cell r="AJ1675" t="str">
            <v/>
          </cell>
          <cell r="AK1675">
            <v>0</v>
          </cell>
          <cell r="AL1675">
            <v>0</v>
          </cell>
          <cell r="AM1675">
            <v>0</v>
          </cell>
        </row>
        <row r="1676">
          <cell r="C1676" t="str">
            <v/>
          </cell>
          <cell r="D1676" t="str">
            <v/>
          </cell>
          <cell r="O1676" t="str">
            <v/>
          </cell>
          <cell r="T1676" t="str">
            <v/>
          </cell>
          <cell r="U1676" t="str">
            <v/>
          </cell>
          <cell r="V1676" t="str">
            <v/>
          </cell>
          <cell r="W1676" t="str">
            <v/>
          </cell>
          <cell r="Y1676" t="str">
            <v/>
          </cell>
          <cell r="AA1676" t="str">
            <v/>
          </cell>
          <cell r="AB1676">
            <v>0</v>
          </cell>
          <cell r="AC1676">
            <v>0</v>
          </cell>
          <cell r="AI1676" t="str">
            <v/>
          </cell>
          <cell r="AJ1676" t="str">
            <v/>
          </cell>
          <cell r="AK1676">
            <v>0</v>
          </cell>
          <cell r="AL1676">
            <v>0</v>
          </cell>
          <cell r="AM1676">
            <v>0</v>
          </cell>
        </row>
        <row r="1677">
          <cell r="C1677" t="str">
            <v/>
          </cell>
          <cell r="D1677" t="str">
            <v/>
          </cell>
          <cell r="O1677" t="str">
            <v/>
          </cell>
          <cell r="T1677" t="str">
            <v/>
          </cell>
          <cell r="U1677" t="str">
            <v/>
          </cell>
          <cell r="V1677" t="str">
            <v/>
          </cell>
          <cell r="W1677" t="str">
            <v/>
          </cell>
          <cell r="Y1677" t="str">
            <v/>
          </cell>
          <cell r="AA1677" t="str">
            <v/>
          </cell>
          <cell r="AB1677">
            <v>0</v>
          </cell>
          <cell r="AC1677">
            <v>0</v>
          </cell>
          <cell r="AI1677" t="str">
            <v/>
          </cell>
          <cell r="AJ1677" t="str">
            <v/>
          </cell>
          <cell r="AK1677">
            <v>0</v>
          </cell>
          <cell r="AL1677">
            <v>0</v>
          </cell>
          <cell r="AM1677">
            <v>0</v>
          </cell>
        </row>
        <row r="1678">
          <cell r="C1678" t="str">
            <v/>
          </cell>
          <cell r="D1678" t="str">
            <v/>
          </cell>
          <cell r="O1678" t="str">
            <v/>
          </cell>
          <cell r="T1678" t="str">
            <v/>
          </cell>
          <cell r="U1678" t="str">
            <v/>
          </cell>
          <cell r="V1678" t="str">
            <v/>
          </cell>
          <cell r="W1678" t="str">
            <v/>
          </cell>
          <cell r="Y1678" t="str">
            <v/>
          </cell>
          <cell r="AA1678" t="str">
            <v/>
          </cell>
          <cell r="AB1678">
            <v>0</v>
          </cell>
          <cell r="AC1678">
            <v>0</v>
          </cell>
          <cell r="AI1678" t="str">
            <v/>
          </cell>
          <cell r="AJ1678" t="str">
            <v/>
          </cell>
          <cell r="AK1678">
            <v>0</v>
          </cell>
          <cell r="AL1678">
            <v>0</v>
          </cell>
          <cell r="AM1678">
            <v>0</v>
          </cell>
        </row>
        <row r="1679">
          <cell r="C1679" t="str">
            <v/>
          </cell>
          <cell r="D1679" t="str">
            <v/>
          </cell>
          <cell r="O1679" t="str">
            <v/>
          </cell>
          <cell r="T1679" t="str">
            <v/>
          </cell>
          <cell r="U1679" t="str">
            <v/>
          </cell>
          <cell r="V1679" t="str">
            <v/>
          </cell>
          <cell r="W1679" t="str">
            <v/>
          </cell>
          <cell r="Y1679" t="str">
            <v/>
          </cell>
          <cell r="AA1679" t="str">
            <v/>
          </cell>
          <cell r="AB1679">
            <v>0</v>
          </cell>
          <cell r="AC1679">
            <v>0</v>
          </cell>
          <cell r="AI1679" t="str">
            <v/>
          </cell>
          <cell r="AJ1679" t="str">
            <v/>
          </cell>
          <cell r="AK1679">
            <v>0</v>
          </cell>
          <cell r="AL1679">
            <v>0</v>
          </cell>
          <cell r="AM1679">
            <v>0</v>
          </cell>
        </row>
        <row r="1680">
          <cell r="C1680" t="str">
            <v/>
          </cell>
          <cell r="D1680" t="str">
            <v/>
          </cell>
          <cell r="O1680" t="str">
            <v/>
          </cell>
          <cell r="T1680" t="str">
            <v/>
          </cell>
          <cell r="U1680" t="str">
            <v/>
          </cell>
          <cell r="V1680" t="str">
            <v/>
          </cell>
          <cell r="W1680" t="str">
            <v/>
          </cell>
          <cell r="Y1680" t="str">
            <v/>
          </cell>
          <cell r="AA1680" t="str">
            <v/>
          </cell>
          <cell r="AB1680">
            <v>0</v>
          </cell>
          <cell r="AC1680">
            <v>0</v>
          </cell>
          <cell r="AI1680" t="str">
            <v/>
          </cell>
          <cell r="AJ1680" t="str">
            <v/>
          </cell>
          <cell r="AK1680">
            <v>0</v>
          </cell>
          <cell r="AL1680">
            <v>0</v>
          </cell>
          <cell r="AM1680">
            <v>0</v>
          </cell>
        </row>
        <row r="1681">
          <cell r="C1681" t="str">
            <v/>
          </cell>
          <cell r="D1681" t="str">
            <v/>
          </cell>
          <cell r="O1681" t="str">
            <v/>
          </cell>
          <cell r="T1681" t="str">
            <v/>
          </cell>
          <cell r="U1681" t="str">
            <v/>
          </cell>
          <cell r="V1681" t="str">
            <v/>
          </cell>
          <cell r="W1681" t="str">
            <v/>
          </cell>
          <cell r="Y1681" t="str">
            <v/>
          </cell>
          <cell r="AA1681" t="str">
            <v/>
          </cell>
          <cell r="AB1681">
            <v>0</v>
          </cell>
          <cell r="AC1681">
            <v>0</v>
          </cell>
          <cell r="AI1681" t="str">
            <v/>
          </cell>
          <cell r="AJ1681" t="str">
            <v/>
          </cell>
          <cell r="AK1681">
            <v>0</v>
          </cell>
          <cell r="AL1681">
            <v>0</v>
          </cell>
          <cell r="AM1681">
            <v>0</v>
          </cell>
        </row>
        <row r="1682">
          <cell r="C1682" t="str">
            <v/>
          </cell>
          <cell r="D1682" t="str">
            <v/>
          </cell>
          <cell r="O1682" t="str">
            <v/>
          </cell>
          <cell r="T1682" t="str">
            <v/>
          </cell>
          <cell r="U1682" t="str">
            <v/>
          </cell>
          <cell r="V1682" t="str">
            <v/>
          </cell>
          <cell r="W1682" t="str">
            <v/>
          </cell>
          <cell r="Y1682" t="str">
            <v/>
          </cell>
          <cell r="AA1682" t="str">
            <v/>
          </cell>
          <cell r="AB1682">
            <v>0</v>
          </cell>
          <cell r="AC1682">
            <v>0</v>
          </cell>
          <cell r="AI1682" t="str">
            <v/>
          </cell>
          <cell r="AJ1682" t="str">
            <v/>
          </cell>
          <cell r="AK1682">
            <v>0</v>
          </cell>
          <cell r="AL1682">
            <v>0</v>
          </cell>
          <cell r="AM1682">
            <v>0</v>
          </cell>
        </row>
        <row r="1683">
          <cell r="C1683" t="str">
            <v/>
          </cell>
          <cell r="D1683" t="str">
            <v/>
          </cell>
          <cell r="O1683" t="str">
            <v/>
          </cell>
          <cell r="T1683" t="str">
            <v/>
          </cell>
          <cell r="U1683" t="str">
            <v/>
          </cell>
          <cell r="V1683" t="str">
            <v/>
          </cell>
          <cell r="W1683" t="str">
            <v/>
          </cell>
          <cell r="Y1683" t="str">
            <v/>
          </cell>
          <cell r="AA1683" t="str">
            <v/>
          </cell>
          <cell r="AB1683">
            <v>0</v>
          </cell>
          <cell r="AC1683">
            <v>0</v>
          </cell>
          <cell r="AI1683" t="str">
            <v/>
          </cell>
          <cell r="AJ1683" t="str">
            <v/>
          </cell>
          <cell r="AK1683">
            <v>0</v>
          </cell>
          <cell r="AL1683">
            <v>0</v>
          </cell>
          <cell r="AM1683">
            <v>0</v>
          </cell>
        </row>
        <row r="1684">
          <cell r="C1684" t="str">
            <v/>
          </cell>
          <cell r="D1684" t="str">
            <v/>
          </cell>
          <cell r="O1684" t="str">
            <v/>
          </cell>
          <cell r="T1684" t="str">
            <v/>
          </cell>
          <cell r="U1684" t="str">
            <v/>
          </cell>
          <cell r="V1684" t="str">
            <v/>
          </cell>
          <cell r="W1684" t="str">
            <v/>
          </cell>
          <cell r="Y1684" t="str">
            <v/>
          </cell>
          <cell r="AA1684" t="str">
            <v/>
          </cell>
          <cell r="AB1684">
            <v>0</v>
          </cell>
          <cell r="AC1684">
            <v>0</v>
          </cell>
          <cell r="AI1684" t="str">
            <v/>
          </cell>
          <cell r="AJ1684" t="str">
            <v/>
          </cell>
          <cell r="AK1684">
            <v>0</v>
          </cell>
          <cell r="AL1684">
            <v>0</v>
          </cell>
          <cell r="AM1684">
            <v>0</v>
          </cell>
        </row>
        <row r="1685">
          <cell r="C1685" t="str">
            <v/>
          </cell>
          <cell r="D1685" t="str">
            <v/>
          </cell>
          <cell r="O1685" t="str">
            <v/>
          </cell>
          <cell r="T1685" t="str">
            <v/>
          </cell>
          <cell r="U1685" t="str">
            <v/>
          </cell>
          <cell r="V1685" t="str">
            <v/>
          </cell>
          <cell r="W1685" t="str">
            <v/>
          </cell>
          <cell r="Y1685" t="str">
            <v/>
          </cell>
          <cell r="AA1685" t="str">
            <v/>
          </cell>
          <cell r="AB1685">
            <v>0</v>
          </cell>
          <cell r="AC1685">
            <v>0</v>
          </cell>
          <cell r="AI1685" t="str">
            <v/>
          </cell>
          <cell r="AJ1685" t="str">
            <v/>
          </cell>
          <cell r="AK1685">
            <v>0</v>
          </cell>
          <cell r="AL1685">
            <v>0</v>
          </cell>
          <cell r="AM1685">
            <v>0</v>
          </cell>
        </row>
        <row r="1686">
          <cell r="C1686" t="str">
            <v/>
          </cell>
          <cell r="D1686" t="str">
            <v/>
          </cell>
          <cell r="O1686" t="str">
            <v/>
          </cell>
          <cell r="T1686" t="str">
            <v/>
          </cell>
          <cell r="U1686" t="str">
            <v/>
          </cell>
          <cell r="V1686" t="str">
            <v/>
          </cell>
          <cell r="W1686" t="str">
            <v/>
          </cell>
          <cell r="Y1686" t="str">
            <v/>
          </cell>
          <cell r="AA1686" t="str">
            <v/>
          </cell>
          <cell r="AB1686">
            <v>0</v>
          </cell>
          <cell r="AC1686">
            <v>0</v>
          </cell>
          <cell r="AI1686" t="str">
            <v/>
          </cell>
          <cell r="AJ1686" t="str">
            <v/>
          </cell>
          <cell r="AK1686">
            <v>0</v>
          </cell>
          <cell r="AL1686">
            <v>0</v>
          </cell>
          <cell r="AM1686">
            <v>0</v>
          </cell>
        </row>
        <row r="1687">
          <cell r="C1687" t="str">
            <v/>
          </cell>
          <cell r="D1687" t="str">
            <v/>
          </cell>
          <cell r="O1687" t="str">
            <v/>
          </cell>
          <cell r="T1687" t="str">
            <v/>
          </cell>
          <cell r="U1687" t="str">
            <v/>
          </cell>
          <cell r="V1687" t="str">
            <v/>
          </cell>
          <cell r="W1687" t="str">
            <v/>
          </cell>
          <cell r="Y1687" t="str">
            <v/>
          </cell>
          <cell r="AA1687" t="str">
            <v/>
          </cell>
          <cell r="AB1687">
            <v>0</v>
          </cell>
          <cell r="AC1687">
            <v>0</v>
          </cell>
          <cell r="AI1687" t="str">
            <v/>
          </cell>
          <cell r="AJ1687" t="str">
            <v/>
          </cell>
          <cell r="AK1687">
            <v>0</v>
          </cell>
          <cell r="AL1687">
            <v>0</v>
          </cell>
          <cell r="AM1687">
            <v>0</v>
          </cell>
        </row>
        <row r="1688">
          <cell r="C1688" t="str">
            <v/>
          </cell>
          <cell r="D1688" t="str">
            <v/>
          </cell>
          <cell r="O1688" t="str">
            <v/>
          </cell>
          <cell r="T1688" t="str">
            <v/>
          </cell>
          <cell r="U1688" t="str">
            <v/>
          </cell>
          <cell r="V1688" t="str">
            <v/>
          </cell>
          <cell r="W1688" t="str">
            <v/>
          </cell>
          <cell r="Y1688" t="str">
            <v/>
          </cell>
          <cell r="AA1688" t="str">
            <v/>
          </cell>
          <cell r="AB1688">
            <v>0</v>
          </cell>
          <cell r="AC1688">
            <v>0</v>
          </cell>
          <cell r="AI1688" t="str">
            <v/>
          </cell>
          <cell r="AJ1688" t="str">
            <v/>
          </cell>
          <cell r="AK1688">
            <v>0</v>
          </cell>
          <cell r="AL1688">
            <v>0</v>
          </cell>
          <cell r="AM1688">
            <v>0</v>
          </cell>
        </row>
        <row r="1689">
          <cell r="C1689" t="str">
            <v/>
          </cell>
          <cell r="D1689" t="str">
            <v/>
          </cell>
          <cell r="O1689" t="str">
            <v/>
          </cell>
          <cell r="T1689" t="str">
            <v/>
          </cell>
          <cell r="U1689" t="str">
            <v/>
          </cell>
          <cell r="V1689" t="str">
            <v/>
          </cell>
          <cell r="W1689" t="str">
            <v/>
          </cell>
          <cell r="Y1689" t="str">
            <v/>
          </cell>
          <cell r="AA1689" t="str">
            <v/>
          </cell>
          <cell r="AB1689">
            <v>0</v>
          </cell>
          <cell r="AC1689">
            <v>0</v>
          </cell>
          <cell r="AI1689" t="str">
            <v/>
          </cell>
          <cell r="AJ1689" t="str">
            <v/>
          </cell>
          <cell r="AK1689">
            <v>0</v>
          </cell>
          <cell r="AL1689">
            <v>0</v>
          </cell>
          <cell r="AM1689">
            <v>0</v>
          </cell>
        </row>
        <row r="1690">
          <cell r="C1690" t="str">
            <v/>
          </cell>
          <cell r="D1690" t="str">
            <v/>
          </cell>
          <cell r="O1690" t="str">
            <v/>
          </cell>
          <cell r="T1690" t="str">
            <v/>
          </cell>
          <cell r="U1690" t="str">
            <v/>
          </cell>
          <cell r="V1690" t="str">
            <v/>
          </cell>
          <cell r="W1690" t="str">
            <v/>
          </cell>
          <cell r="Y1690" t="str">
            <v/>
          </cell>
          <cell r="AA1690" t="str">
            <v/>
          </cell>
          <cell r="AB1690">
            <v>0</v>
          </cell>
          <cell r="AC1690">
            <v>0</v>
          </cell>
          <cell r="AI1690" t="str">
            <v/>
          </cell>
          <cell r="AJ1690" t="str">
            <v/>
          </cell>
          <cell r="AK1690">
            <v>0</v>
          </cell>
          <cell r="AL1690">
            <v>0</v>
          </cell>
          <cell r="AM1690">
            <v>0</v>
          </cell>
        </row>
        <row r="1691">
          <cell r="C1691" t="str">
            <v/>
          </cell>
          <cell r="D1691" t="str">
            <v/>
          </cell>
          <cell r="O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/>
          </cell>
          <cell r="Y1691" t="str">
            <v/>
          </cell>
          <cell r="AA1691" t="str">
            <v/>
          </cell>
          <cell r="AB1691">
            <v>0</v>
          </cell>
          <cell r="AC1691">
            <v>0</v>
          </cell>
          <cell r="AI1691" t="str">
            <v/>
          </cell>
          <cell r="AJ1691" t="str">
            <v/>
          </cell>
          <cell r="AK1691">
            <v>0</v>
          </cell>
          <cell r="AL1691">
            <v>0</v>
          </cell>
          <cell r="AM1691">
            <v>0</v>
          </cell>
        </row>
        <row r="1692">
          <cell r="C1692" t="str">
            <v/>
          </cell>
          <cell r="D1692" t="str">
            <v/>
          </cell>
          <cell r="O1692" t="str">
            <v/>
          </cell>
          <cell r="T1692" t="str">
            <v/>
          </cell>
          <cell r="U1692" t="str">
            <v/>
          </cell>
          <cell r="V1692" t="str">
            <v/>
          </cell>
          <cell r="W1692" t="str">
            <v/>
          </cell>
          <cell r="Y1692" t="str">
            <v/>
          </cell>
          <cell r="AA1692" t="str">
            <v/>
          </cell>
          <cell r="AB1692">
            <v>0</v>
          </cell>
          <cell r="AC1692">
            <v>0</v>
          </cell>
          <cell r="AI1692" t="str">
            <v/>
          </cell>
          <cell r="AJ1692" t="str">
            <v/>
          </cell>
          <cell r="AK1692">
            <v>0</v>
          </cell>
          <cell r="AL1692">
            <v>0</v>
          </cell>
          <cell r="AM1692">
            <v>0</v>
          </cell>
        </row>
        <row r="1693">
          <cell r="C1693" t="str">
            <v/>
          </cell>
          <cell r="D1693" t="str">
            <v/>
          </cell>
          <cell r="O1693" t="str">
            <v/>
          </cell>
          <cell r="T1693" t="str">
            <v/>
          </cell>
          <cell r="U1693" t="str">
            <v/>
          </cell>
          <cell r="V1693" t="str">
            <v/>
          </cell>
          <cell r="W1693" t="str">
            <v/>
          </cell>
          <cell r="Y1693" t="str">
            <v/>
          </cell>
          <cell r="AA1693" t="str">
            <v/>
          </cell>
          <cell r="AB1693">
            <v>0</v>
          </cell>
          <cell r="AC1693">
            <v>0</v>
          </cell>
          <cell r="AI1693" t="str">
            <v/>
          </cell>
          <cell r="AJ1693" t="str">
            <v/>
          </cell>
          <cell r="AK1693">
            <v>0</v>
          </cell>
          <cell r="AL1693">
            <v>0</v>
          </cell>
          <cell r="AM1693">
            <v>0</v>
          </cell>
        </row>
        <row r="1694">
          <cell r="C1694" t="str">
            <v/>
          </cell>
          <cell r="D1694" t="str">
            <v/>
          </cell>
          <cell r="O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/>
          </cell>
          <cell r="Y1694" t="str">
            <v/>
          </cell>
          <cell r="AA1694" t="str">
            <v/>
          </cell>
          <cell r="AB1694">
            <v>0</v>
          </cell>
          <cell r="AC1694">
            <v>0</v>
          </cell>
          <cell r="AI1694" t="str">
            <v/>
          </cell>
          <cell r="AJ1694" t="str">
            <v/>
          </cell>
          <cell r="AK1694">
            <v>0</v>
          </cell>
          <cell r="AL1694">
            <v>0</v>
          </cell>
          <cell r="AM1694">
            <v>0</v>
          </cell>
        </row>
        <row r="1695">
          <cell r="C1695" t="str">
            <v/>
          </cell>
          <cell r="D1695" t="str">
            <v/>
          </cell>
          <cell r="O1695" t="str">
            <v/>
          </cell>
          <cell r="T1695" t="str">
            <v/>
          </cell>
          <cell r="U1695" t="str">
            <v/>
          </cell>
          <cell r="V1695" t="str">
            <v/>
          </cell>
          <cell r="W1695" t="str">
            <v/>
          </cell>
          <cell r="Y1695" t="str">
            <v/>
          </cell>
          <cell r="AA1695" t="str">
            <v/>
          </cell>
          <cell r="AB1695">
            <v>0</v>
          </cell>
          <cell r="AC1695">
            <v>0</v>
          </cell>
          <cell r="AI1695" t="str">
            <v/>
          </cell>
          <cell r="AJ1695" t="str">
            <v/>
          </cell>
          <cell r="AK1695">
            <v>0</v>
          </cell>
          <cell r="AL1695">
            <v>0</v>
          </cell>
          <cell r="AM1695">
            <v>0</v>
          </cell>
        </row>
        <row r="1696">
          <cell r="C1696" t="str">
            <v/>
          </cell>
          <cell r="D1696" t="str">
            <v/>
          </cell>
          <cell r="O1696" t="str">
            <v/>
          </cell>
          <cell r="T1696" t="str">
            <v/>
          </cell>
          <cell r="U1696" t="str">
            <v/>
          </cell>
          <cell r="V1696" t="str">
            <v/>
          </cell>
          <cell r="W1696" t="str">
            <v/>
          </cell>
          <cell r="Y1696" t="str">
            <v/>
          </cell>
          <cell r="AA1696" t="str">
            <v/>
          </cell>
          <cell r="AB1696">
            <v>0</v>
          </cell>
          <cell r="AC1696">
            <v>0</v>
          </cell>
          <cell r="AI1696" t="str">
            <v/>
          </cell>
          <cell r="AJ1696" t="str">
            <v/>
          </cell>
          <cell r="AK1696">
            <v>0</v>
          </cell>
          <cell r="AL1696">
            <v>0</v>
          </cell>
          <cell r="AM1696">
            <v>0</v>
          </cell>
        </row>
        <row r="1697">
          <cell r="C1697" t="str">
            <v/>
          </cell>
          <cell r="D1697" t="str">
            <v/>
          </cell>
          <cell r="O1697" t="str">
            <v/>
          </cell>
          <cell r="T1697" t="str">
            <v/>
          </cell>
          <cell r="U1697" t="str">
            <v/>
          </cell>
          <cell r="V1697" t="str">
            <v/>
          </cell>
          <cell r="W1697" t="str">
            <v/>
          </cell>
          <cell r="Y1697" t="str">
            <v/>
          </cell>
          <cell r="AA1697" t="str">
            <v/>
          </cell>
          <cell r="AB1697">
            <v>0</v>
          </cell>
          <cell r="AC1697">
            <v>0</v>
          </cell>
          <cell r="AI1697" t="str">
            <v/>
          </cell>
          <cell r="AJ1697" t="str">
            <v/>
          </cell>
          <cell r="AK1697">
            <v>0</v>
          </cell>
          <cell r="AL1697">
            <v>0</v>
          </cell>
          <cell r="AM1697">
            <v>0</v>
          </cell>
        </row>
        <row r="1698">
          <cell r="C1698" t="str">
            <v/>
          </cell>
          <cell r="D1698" t="str">
            <v/>
          </cell>
          <cell r="O1698" t="str">
            <v/>
          </cell>
          <cell r="T1698" t="str">
            <v/>
          </cell>
          <cell r="U1698" t="str">
            <v/>
          </cell>
          <cell r="V1698" t="str">
            <v/>
          </cell>
          <cell r="W1698" t="str">
            <v/>
          </cell>
          <cell r="Y1698" t="str">
            <v/>
          </cell>
          <cell r="AA1698" t="str">
            <v/>
          </cell>
          <cell r="AB1698">
            <v>0</v>
          </cell>
          <cell r="AC1698">
            <v>0</v>
          </cell>
          <cell r="AI1698" t="str">
            <v/>
          </cell>
          <cell r="AJ1698" t="str">
            <v/>
          </cell>
          <cell r="AK1698">
            <v>0</v>
          </cell>
          <cell r="AL1698">
            <v>0</v>
          </cell>
          <cell r="AM1698">
            <v>0</v>
          </cell>
        </row>
        <row r="1699">
          <cell r="C1699" t="str">
            <v/>
          </cell>
          <cell r="D1699" t="str">
            <v/>
          </cell>
          <cell r="O1699" t="str">
            <v/>
          </cell>
          <cell r="T1699" t="str">
            <v/>
          </cell>
          <cell r="U1699" t="str">
            <v/>
          </cell>
          <cell r="V1699" t="str">
            <v/>
          </cell>
          <cell r="W1699" t="str">
            <v/>
          </cell>
          <cell r="Y1699" t="str">
            <v/>
          </cell>
          <cell r="AA1699" t="str">
            <v/>
          </cell>
          <cell r="AB1699">
            <v>0</v>
          </cell>
          <cell r="AC1699">
            <v>0</v>
          </cell>
          <cell r="AI1699" t="str">
            <v/>
          </cell>
          <cell r="AJ1699" t="str">
            <v/>
          </cell>
          <cell r="AK1699">
            <v>0</v>
          </cell>
          <cell r="AL1699">
            <v>0</v>
          </cell>
          <cell r="AM1699">
            <v>0</v>
          </cell>
        </row>
        <row r="1700">
          <cell r="C1700" t="str">
            <v/>
          </cell>
          <cell r="D1700" t="str">
            <v/>
          </cell>
          <cell r="O1700" t="str">
            <v/>
          </cell>
          <cell r="T1700" t="str">
            <v/>
          </cell>
          <cell r="U1700" t="str">
            <v/>
          </cell>
          <cell r="V1700" t="str">
            <v/>
          </cell>
          <cell r="W1700" t="str">
            <v/>
          </cell>
          <cell r="Y1700" t="str">
            <v/>
          </cell>
          <cell r="AA1700" t="str">
            <v/>
          </cell>
          <cell r="AB1700">
            <v>0</v>
          </cell>
          <cell r="AC1700">
            <v>0</v>
          </cell>
          <cell r="AI1700" t="str">
            <v/>
          </cell>
          <cell r="AJ1700" t="str">
            <v/>
          </cell>
          <cell r="AK1700">
            <v>0</v>
          </cell>
          <cell r="AL1700">
            <v>0</v>
          </cell>
          <cell r="AM1700">
            <v>0</v>
          </cell>
        </row>
        <row r="1701">
          <cell r="C1701" t="str">
            <v/>
          </cell>
          <cell r="D1701" t="str">
            <v/>
          </cell>
          <cell r="O1701" t="str">
            <v/>
          </cell>
          <cell r="T1701" t="str">
            <v/>
          </cell>
          <cell r="U1701" t="str">
            <v/>
          </cell>
          <cell r="V1701" t="str">
            <v/>
          </cell>
          <cell r="W1701" t="str">
            <v/>
          </cell>
          <cell r="Y1701" t="str">
            <v/>
          </cell>
          <cell r="AA1701" t="str">
            <v/>
          </cell>
          <cell r="AB1701">
            <v>0</v>
          </cell>
          <cell r="AC1701">
            <v>0</v>
          </cell>
          <cell r="AI1701" t="str">
            <v/>
          </cell>
          <cell r="AJ1701" t="str">
            <v/>
          </cell>
          <cell r="AK1701">
            <v>0</v>
          </cell>
          <cell r="AL1701">
            <v>0</v>
          </cell>
          <cell r="AM1701">
            <v>0</v>
          </cell>
        </row>
        <row r="1702">
          <cell r="C1702" t="str">
            <v/>
          </cell>
          <cell r="D1702" t="str">
            <v/>
          </cell>
          <cell r="O1702" t="str">
            <v/>
          </cell>
          <cell r="T1702" t="str">
            <v/>
          </cell>
          <cell r="U1702" t="str">
            <v/>
          </cell>
          <cell r="V1702" t="str">
            <v/>
          </cell>
          <cell r="W1702" t="str">
            <v/>
          </cell>
          <cell r="Y1702" t="str">
            <v/>
          </cell>
          <cell r="AA1702" t="str">
            <v/>
          </cell>
          <cell r="AB1702">
            <v>0</v>
          </cell>
          <cell r="AC1702">
            <v>0</v>
          </cell>
          <cell r="AI1702" t="str">
            <v/>
          </cell>
          <cell r="AJ1702" t="str">
            <v/>
          </cell>
          <cell r="AK1702">
            <v>0</v>
          </cell>
          <cell r="AL1702">
            <v>0</v>
          </cell>
          <cell r="AM1702">
            <v>0</v>
          </cell>
        </row>
        <row r="1703">
          <cell r="C1703" t="str">
            <v/>
          </cell>
          <cell r="D1703" t="str">
            <v/>
          </cell>
          <cell r="O1703" t="str">
            <v/>
          </cell>
          <cell r="T1703" t="str">
            <v/>
          </cell>
          <cell r="U1703" t="str">
            <v/>
          </cell>
          <cell r="V1703" t="str">
            <v/>
          </cell>
          <cell r="W1703" t="str">
            <v/>
          </cell>
          <cell r="Y1703" t="str">
            <v/>
          </cell>
          <cell r="AA1703" t="str">
            <v/>
          </cell>
          <cell r="AB1703">
            <v>0</v>
          </cell>
          <cell r="AC1703">
            <v>0</v>
          </cell>
          <cell r="AI1703" t="str">
            <v/>
          </cell>
          <cell r="AJ1703" t="str">
            <v/>
          </cell>
          <cell r="AK1703">
            <v>0</v>
          </cell>
          <cell r="AL1703">
            <v>0</v>
          </cell>
          <cell r="AM1703">
            <v>0</v>
          </cell>
        </row>
        <row r="1704">
          <cell r="C1704" t="str">
            <v/>
          </cell>
          <cell r="D1704" t="str">
            <v/>
          </cell>
          <cell r="O1704" t="str">
            <v/>
          </cell>
          <cell r="T1704" t="str">
            <v/>
          </cell>
          <cell r="U1704" t="str">
            <v/>
          </cell>
          <cell r="V1704" t="str">
            <v/>
          </cell>
          <cell r="W1704" t="str">
            <v/>
          </cell>
          <cell r="Y1704" t="str">
            <v/>
          </cell>
          <cell r="AA1704" t="str">
            <v/>
          </cell>
          <cell r="AB1704">
            <v>0</v>
          </cell>
          <cell r="AC1704">
            <v>0</v>
          </cell>
          <cell r="AI1704" t="str">
            <v/>
          </cell>
          <cell r="AJ1704" t="str">
            <v/>
          </cell>
          <cell r="AK1704">
            <v>0</v>
          </cell>
          <cell r="AL1704">
            <v>0</v>
          </cell>
          <cell r="AM1704">
            <v>0</v>
          </cell>
        </row>
        <row r="1705">
          <cell r="C1705" t="str">
            <v/>
          </cell>
          <cell r="D1705" t="str">
            <v/>
          </cell>
          <cell r="O1705" t="str">
            <v/>
          </cell>
          <cell r="T1705" t="str">
            <v/>
          </cell>
          <cell r="U1705" t="str">
            <v/>
          </cell>
          <cell r="V1705" t="str">
            <v/>
          </cell>
          <cell r="W1705" t="str">
            <v/>
          </cell>
          <cell r="Y1705" t="str">
            <v/>
          </cell>
          <cell r="AA1705" t="str">
            <v/>
          </cell>
          <cell r="AB1705">
            <v>0</v>
          </cell>
          <cell r="AC1705">
            <v>0</v>
          </cell>
          <cell r="AI1705" t="str">
            <v/>
          </cell>
          <cell r="AJ1705" t="str">
            <v/>
          </cell>
          <cell r="AK1705">
            <v>0</v>
          </cell>
          <cell r="AL1705">
            <v>0</v>
          </cell>
          <cell r="AM1705">
            <v>0</v>
          </cell>
        </row>
        <row r="1706">
          <cell r="C1706" t="str">
            <v/>
          </cell>
          <cell r="D1706" t="str">
            <v/>
          </cell>
          <cell r="O1706" t="str">
            <v/>
          </cell>
          <cell r="T1706" t="str">
            <v/>
          </cell>
          <cell r="U1706" t="str">
            <v/>
          </cell>
          <cell r="V1706" t="str">
            <v/>
          </cell>
          <cell r="W1706" t="str">
            <v/>
          </cell>
          <cell r="Y1706" t="str">
            <v/>
          </cell>
          <cell r="AA1706" t="str">
            <v/>
          </cell>
          <cell r="AB1706">
            <v>0</v>
          </cell>
          <cell r="AC1706">
            <v>0</v>
          </cell>
          <cell r="AI1706" t="str">
            <v/>
          </cell>
          <cell r="AJ1706" t="str">
            <v/>
          </cell>
          <cell r="AK1706">
            <v>0</v>
          </cell>
          <cell r="AL1706">
            <v>0</v>
          </cell>
          <cell r="AM1706">
            <v>0</v>
          </cell>
        </row>
        <row r="1707">
          <cell r="C1707" t="str">
            <v/>
          </cell>
          <cell r="D1707" t="str">
            <v/>
          </cell>
          <cell r="O1707" t="str">
            <v/>
          </cell>
          <cell r="T1707" t="str">
            <v/>
          </cell>
          <cell r="U1707" t="str">
            <v/>
          </cell>
          <cell r="V1707" t="str">
            <v/>
          </cell>
          <cell r="W1707" t="str">
            <v/>
          </cell>
          <cell r="Y1707" t="str">
            <v/>
          </cell>
          <cell r="AA1707" t="str">
            <v/>
          </cell>
          <cell r="AB1707">
            <v>0</v>
          </cell>
          <cell r="AC1707">
            <v>0</v>
          </cell>
          <cell r="AI1707" t="str">
            <v/>
          </cell>
          <cell r="AJ1707" t="str">
            <v/>
          </cell>
          <cell r="AK1707">
            <v>0</v>
          </cell>
          <cell r="AL1707">
            <v>0</v>
          </cell>
          <cell r="AM1707">
            <v>0</v>
          </cell>
        </row>
        <row r="1708">
          <cell r="C1708" t="str">
            <v/>
          </cell>
          <cell r="D1708" t="str">
            <v/>
          </cell>
          <cell r="O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/>
          </cell>
          <cell r="Y1708" t="str">
            <v/>
          </cell>
          <cell r="AA1708" t="str">
            <v/>
          </cell>
          <cell r="AB1708">
            <v>0</v>
          </cell>
          <cell r="AC1708">
            <v>0</v>
          </cell>
          <cell r="AI1708" t="str">
            <v/>
          </cell>
          <cell r="AJ1708" t="str">
            <v/>
          </cell>
          <cell r="AK1708">
            <v>0</v>
          </cell>
          <cell r="AL1708">
            <v>0</v>
          </cell>
          <cell r="AM1708">
            <v>0</v>
          </cell>
        </row>
        <row r="1709">
          <cell r="C1709" t="str">
            <v/>
          </cell>
          <cell r="D1709" t="str">
            <v/>
          </cell>
          <cell r="O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/>
          </cell>
          <cell r="Y1709" t="str">
            <v/>
          </cell>
          <cell r="AA1709" t="str">
            <v/>
          </cell>
          <cell r="AB1709">
            <v>0</v>
          </cell>
          <cell r="AC1709">
            <v>0</v>
          </cell>
          <cell r="AI1709" t="str">
            <v/>
          </cell>
          <cell r="AJ1709" t="str">
            <v/>
          </cell>
          <cell r="AK1709">
            <v>0</v>
          </cell>
          <cell r="AL1709">
            <v>0</v>
          </cell>
          <cell r="AM1709">
            <v>0</v>
          </cell>
        </row>
        <row r="1710">
          <cell r="C1710" t="str">
            <v/>
          </cell>
          <cell r="D1710" t="str">
            <v/>
          </cell>
          <cell r="O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/>
          </cell>
          <cell r="Y1710" t="str">
            <v/>
          </cell>
          <cell r="AA1710" t="str">
            <v/>
          </cell>
          <cell r="AB1710">
            <v>0</v>
          </cell>
          <cell r="AC1710">
            <v>0</v>
          </cell>
          <cell r="AI1710" t="str">
            <v/>
          </cell>
          <cell r="AJ1710" t="str">
            <v/>
          </cell>
          <cell r="AK1710">
            <v>0</v>
          </cell>
          <cell r="AL1710">
            <v>0</v>
          </cell>
          <cell r="AM1710">
            <v>0</v>
          </cell>
        </row>
        <row r="1711">
          <cell r="C1711" t="str">
            <v/>
          </cell>
          <cell r="D1711" t="str">
            <v/>
          </cell>
          <cell r="O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/>
          </cell>
          <cell r="Y1711" t="str">
            <v/>
          </cell>
          <cell r="AA1711" t="str">
            <v/>
          </cell>
          <cell r="AB1711">
            <v>0</v>
          </cell>
          <cell r="AC1711">
            <v>0</v>
          </cell>
          <cell r="AI1711" t="str">
            <v/>
          </cell>
          <cell r="AJ1711" t="str">
            <v/>
          </cell>
          <cell r="AK1711">
            <v>0</v>
          </cell>
          <cell r="AL1711">
            <v>0</v>
          </cell>
          <cell r="AM1711">
            <v>0</v>
          </cell>
        </row>
        <row r="1712">
          <cell r="C1712" t="str">
            <v/>
          </cell>
          <cell r="D1712" t="str">
            <v/>
          </cell>
          <cell r="O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/>
          </cell>
          <cell r="Y1712" t="str">
            <v/>
          </cell>
          <cell r="AA1712" t="str">
            <v/>
          </cell>
          <cell r="AB1712">
            <v>0</v>
          </cell>
          <cell r="AC1712">
            <v>0</v>
          </cell>
          <cell r="AI1712" t="str">
            <v/>
          </cell>
          <cell r="AJ1712" t="str">
            <v/>
          </cell>
          <cell r="AK1712">
            <v>0</v>
          </cell>
          <cell r="AL1712">
            <v>0</v>
          </cell>
          <cell r="AM1712">
            <v>0</v>
          </cell>
        </row>
        <row r="1713">
          <cell r="C1713" t="str">
            <v/>
          </cell>
          <cell r="D1713" t="str">
            <v/>
          </cell>
          <cell r="O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/>
          </cell>
          <cell r="Y1713" t="str">
            <v/>
          </cell>
          <cell r="AA1713" t="str">
            <v/>
          </cell>
          <cell r="AB1713">
            <v>0</v>
          </cell>
          <cell r="AC1713">
            <v>0</v>
          </cell>
          <cell r="AI1713" t="str">
            <v/>
          </cell>
          <cell r="AJ1713" t="str">
            <v/>
          </cell>
          <cell r="AK1713">
            <v>0</v>
          </cell>
          <cell r="AL1713">
            <v>0</v>
          </cell>
          <cell r="AM1713">
            <v>0</v>
          </cell>
        </row>
        <row r="1714">
          <cell r="C1714" t="str">
            <v/>
          </cell>
          <cell r="D1714" t="str">
            <v/>
          </cell>
          <cell r="O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/>
          </cell>
          <cell r="Y1714" t="str">
            <v/>
          </cell>
          <cell r="AA1714" t="str">
            <v/>
          </cell>
          <cell r="AB1714">
            <v>0</v>
          </cell>
          <cell r="AC1714">
            <v>0</v>
          </cell>
          <cell r="AI1714" t="str">
            <v/>
          </cell>
          <cell r="AJ1714" t="str">
            <v/>
          </cell>
          <cell r="AK1714">
            <v>0</v>
          </cell>
          <cell r="AL1714">
            <v>0</v>
          </cell>
          <cell r="AM1714">
            <v>0</v>
          </cell>
        </row>
        <row r="1715">
          <cell r="C1715" t="str">
            <v/>
          </cell>
          <cell r="D1715" t="str">
            <v/>
          </cell>
          <cell r="O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/>
          </cell>
          <cell r="Y1715" t="str">
            <v/>
          </cell>
          <cell r="AA1715" t="str">
            <v/>
          </cell>
          <cell r="AB1715">
            <v>0</v>
          </cell>
          <cell r="AC1715">
            <v>0</v>
          </cell>
          <cell r="AI1715" t="str">
            <v/>
          </cell>
          <cell r="AJ1715" t="str">
            <v/>
          </cell>
          <cell r="AK1715">
            <v>0</v>
          </cell>
          <cell r="AL1715">
            <v>0</v>
          </cell>
          <cell r="AM1715">
            <v>0</v>
          </cell>
        </row>
        <row r="1716">
          <cell r="C1716" t="str">
            <v/>
          </cell>
          <cell r="D1716" t="str">
            <v/>
          </cell>
          <cell r="O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/>
          </cell>
          <cell r="Y1716" t="str">
            <v/>
          </cell>
          <cell r="AA1716" t="str">
            <v/>
          </cell>
          <cell r="AB1716">
            <v>0</v>
          </cell>
          <cell r="AC1716">
            <v>0</v>
          </cell>
          <cell r="AI1716" t="str">
            <v/>
          </cell>
          <cell r="AJ1716" t="str">
            <v/>
          </cell>
          <cell r="AK1716">
            <v>0</v>
          </cell>
          <cell r="AL1716">
            <v>0</v>
          </cell>
          <cell r="AM1716">
            <v>0</v>
          </cell>
        </row>
        <row r="1717">
          <cell r="C1717" t="str">
            <v/>
          </cell>
          <cell r="D1717" t="str">
            <v/>
          </cell>
          <cell r="O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/>
          </cell>
          <cell r="Y1717" t="str">
            <v/>
          </cell>
          <cell r="AA1717" t="str">
            <v/>
          </cell>
          <cell r="AB1717">
            <v>0</v>
          </cell>
          <cell r="AC1717">
            <v>0</v>
          </cell>
          <cell r="AI1717" t="str">
            <v/>
          </cell>
          <cell r="AJ1717" t="str">
            <v/>
          </cell>
          <cell r="AK1717">
            <v>0</v>
          </cell>
          <cell r="AL1717">
            <v>0</v>
          </cell>
          <cell r="AM1717">
            <v>0</v>
          </cell>
        </row>
        <row r="1718">
          <cell r="C1718" t="str">
            <v/>
          </cell>
          <cell r="D1718" t="str">
            <v/>
          </cell>
          <cell r="O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/>
          </cell>
          <cell r="Y1718" t="str">
            <v/>
          </cell>
          <cell r="AA1718" t="str">
            <v/>
          </cell>
          <cell r="AB1718">
            <v>0</v>
          </cell>
          <cell r="AC1718">
            <v>0</v>
          </cell>
          <cell r="AI1718" t="str">
            <v/>
          </cell>
          <cell r="AJ1718" t="str">
            <v/>
          </cell>
          <cell r="AK1718">
            <v>0</v>
          </cell>
          <cell r="AL1718">
            <v>0</v>
          </cell>
          <cell r="AM1718">
            <v>0</v>
          </cell>
        </row>
        <row r="1719">
          <cell r="C1719" t="str">
            <v/>
          </cell>
          <cell r="D1719" t="str">
            <v/>
          </cell>
          <cell r="O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/>
          </cell>
          <cell r="Y1719" t="str">
            <v/>
          </cell>
          <cell r="AA1719" t="str">
            <v/>
          </cell>
          <cell r="AB1719">
            <v>0</v>
          </cell>
          <cell r="AC1719">
            <v>0</v>
          </cell>
          <cell r="AI1719" t="str">
            <v/>
          </cell>
          <cell r="AJ1719" t="str">
            <v/>
          </cell>
          <cell r="AK1719">
            <v>0</v>
          </cell>
          <cell r="AL1719">
            <v>0</v>
          </cell>
          <cell r="AM1719">
            <v>0</v>
          </cell>
        </row>
        <row r="1720">
          <cell r="C1720" t="str">
            <v/>
          </cell>
          <cell r="D1720" t="str">
            <v/>
          </cell>
          <cell r="O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/>
          </cell>
          <cell r="Y1720" t="str">
            <v/>
          </cell>
          <cell r="AA1720" t="str">
            <v/>
          </cell>
          <cell r="AB1720">
            <v>0</v>
          </cell>
          <cell r="AC1720">
            <v>0</v>
          </cell>
          <cell r="AI1720" t="str">
            <v/>
          </cell>
          <cell r="AJ1720" t="str">
            <v/>
          </cell>
          <cell r="AK1720">
            <v>0</v>
          </cell>
          <cell r="AL1720">
            <v>0</v>
          </cell>
          <cell r="AM1720">
            <v>0</v>
          </cell>
        </row>
        <row r="1721">
          <cell r="C1721" t="str">
            <v/>
          </cell>
          <cell r="D1721" t="str">
            <v/>
          </cell>
          <cell r="O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/>
          </cell>
          <cell r="Y1721" t="str">
            <v/>
          </cell>
          <cell r="AA1721" t="str">
            <v/>
          </cell>
          <cell r="AB1721">
            <v>0</v>
          </cell>
          <cell r="AC1721">
            <v>0</v>
          </cell>
          <cell r="AI1721" t="str">
            <v/>
          </cell>
          <cell r="AJ1721" t="str">
            <v/>
          </cell>
          <cell r="AK1721">
            <v>0</v>
          </cell>
          <cell r="AL1721">
            <v>0</v>
          </cell>
          <cell r="AM1721">
            <v>0</v>
          </cell>
        </row>
        <row r="1722">
          <cell r="C1722" t="str">
            <v/>
          </cell>
          <cell r="D1722" t="str">
            <v/>
          </cell>
          <cell r="O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/>
          </cell>
          <cell r="Y1722" t="str">
            <v/>
          </cell>
          <cell r="AA1722" t="str">
            <v/>
          </cell>
          <cell r="AB1722">
            <v>0</v>
          </cell>
          <cell r="AC1722">
            <v>0</v>
          </cell>
          <cell r="AI1722" t="str">
            <v/>
          </cell>
          <cell r="AJ1722" t="str">
            <v/>
          </cell>
          <cell r="AK1722">
            <v>0</v>
          </cell>
          <cell r="AL1722">
            <v>0</v>
          </cell>
          <cell r="AM1722">
            <v>0</v>
          </cell>
        </row>
        <row r="1723">
          <cell r="C1723" t="str">
            <v/>
          </cell>
          <cell r="D1723" t="str">
            <v/>
          </cell>
          <cell r="O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/>
          </cell>
          <cell r="Y1723" t="str">
            <v/>
          </cell>
          <cell r="AA1723" t="str">
            <v/>
          </cell>
          <cell r="AB1723">
            <v>0</v>
          </cell>
          <cell r="AC1723">
            <v>0</v>
          </cell>
          <cell r="AI1723" t="str">
            <v/>
          </cell>
          <cell r="AJ1723" t="str">
            <v/>
          </cell>
          <cell r="AK1723">
            <v>0</v>
          </cell>
          <cell r="AL1723">
            <v>0</v>
          </cell>
          <cell r="AM1723">
            <v>0</v>
          </cell>
        </row>
        <row r="1724">
          <cell r="C1724" t="str">
            <v/>
          </cell>
          <cell r="D1724" t="str">
            <v/>
          </cell>
          <cell r="O1724" t="str">
            <v/>
          </cell>
          <cell r="T1724" t="str">
            <v/>
          </cell>
          <cell r="U1724" t="str">
            <v/>
          </cell>
          <cell r="V1724" t="str">
            <v/>
          </cell>
          <cell r="W1724" t="str">
            <v/>
          </cell>
          <cell r="Y1724" t="str">
            <v/>
          </cell>
          <cell r="AA1724" t="str">
            <v/>
          </cell>
          <cell r="AB1724">
            <v>0</v>
          </cell>
          <cell r="AC1724">
            <v>0</v>
          </cell>
          <cell r="AI1724" t="str">
            <v/>
          </cell>
          <cell r="AJ1724" t="str">
            <v/>
          </cell>
          <cell r="AK1724">
            <v>0</v>
          </cell>
          <cell r="AL1724">
            <v>0</v>
          </cell>
          <cell r="AM1724">
            <v>0</v>
          </cell>
        </row>
        <row r="1725">
          <cell r="C1725" t="str">
            <v/>
          </cell>
          <cell r="D1725" t="str">
            <v/>
          </cell>
          <cell r="O1725" t="str">
            <v/>
          </cell>
          <cell r="T1725" t="str">
            <v/>
          </cell>
          <cell r="U1725" t="str">
            <v/>
          </cell>
          <cell r="V1725" t="str">
            <v/>
          </cell>
          <cell r="W1725" t="str">
            <v/>
          </cell>
          <cell r="Y1725" t="str">
            <v/>
          </cell>
          <cell r="AA1725" t="str">
            <v/>
          </cell>
          <cell r="AB1725">
            <v>0</v>
          </cell>
          <cell r="AC1725">
            <v>0</v>
          </cell>
          <cell r="AI1725" t="str">
            <v/>
          </cell>
          <cell r="AJ1725" t="str">
            <v/>
          </cell>
          <cell r="AK1725">
            <v>0</v>
          </cell>
          <cell r="AL1725">
            <v>0</v>
          </cell>
          <cell r="AM1725">
            <v>0</v>
          </cell>
        </row>
        <row r="1726">
          <cell r="C1726" t="str">
            <v/>
          </cell>
          <cell r="D1726" t="str">
            <v/>
          </cell>
          <cell r="O1726" t="str">
            <v/>
          </cell>
          <cell r="T1726" t="str">
            <v/>
          </cell>
          <cell r="U1726" t="str">
            <v/>
          </cell>
          <cell r="V1726" t="str">
            <v/>
          </cell>
          <cell r="W1726" t="str">
            <v/>
          </cell>
          <cell r="Y1726" t="str">
            <v/>
          </cell>
          <cell r="AA1726" t="str">
            <v/>
          </cell>
          <cell r="AB1726">
            <v>0</v>
          </cell>
          <cell r="AC1726">
            <v>0</v>
          </cell>
          <cell r="AI1726" t="str">
            <v/>
          </cell>
          <cell r="AJ1726" t="str">
            <v/>
          </cell>
          <cell r="AK1726">
            <v>0</v>
          </cell>
          <cell r="AL1726">
            <v>0</v>
          </cell>
          <cell r="AM1726">
            <v>0</v>
          </cell>
        </row>
        <row r="1727">
          <cell r="C1727" t="str">
            <v/>
          </cell>
          <cell r="D1727" t="str">
            <v/>
          </cell>
          <cell r="O1727" t="str">
            <v/>
          </cell>
          <cell r="T1727" t="str">
            <v/>
          </cell>
          <cell r="U1727" t="str">
            <v/>
          </cell>
          <cell r="V1727" t="str">
            <v/>
          </cell>
          <cell r="W1727" t="str">
            <v/>
          </cell>
          <cell r="Y1727" t="str">
            <v/>
          </cell>
          <cell r="AA1727" t="str">
            <v/>
          </cell>
          <cell r="AB1727">
            <v>0</v>
          </cell>
          <cell r="AC1727">
            <v>0</v>
          </cell>
          <cell r="AI1727" t="str">
            <v/>
          </cell>
          <cell r="AJ1727" t="str">
            <v/>
          </cell>
          <cell r="AK1727">
            <v>0</v>
          </cell>
          <cell r="AL1727">
            <v>0</v>
          </cell>
          <cell r="AM1727">
            <v>0</v>
          </cell>
        </row>
        <row r="1728">
          <cell r="C1728" t="str">
            <v/>
          </cell>
          <cell r="D1728" t="str">
            <v/>
          </cell>
          <cell r="O1728" t="str">
            <v/>
          </cell>
          <cell r="T1728" t="str">
            <v/>
          </cell>
          <cell r="U1728" t="str">
            <v/>
          </cell>
          <cell r="V1728" t="str">
            <v/>
          </cell>
          <cell r="W1728" t="str">
            <v/>
          </cell>
          <cell r="Y1728" t="str">
            <v/>
          </cell>
          <cell r="AA1728" t="str">
            <v/>
          </cell>
          <cell r="AB1728">
            <v>0</v>
          </cell>
          <cell r="AC1728">
            <v>0</v>
          </cell>
          <cell r="AI1728" t="str">
            <v/>
          </cell>
          <cell r="AJ1728" t="str">
            <v/>
          </cell>
          <cell r="AK1728">
            <v>0</v>
          </cell>
          <cell r="AL1728">
            <v>0</v>
          </cell>
          <cell r="AM1728">
            <v>0</v>
          </cell>
        </row>
        <row r="1729">
          <cell r="C1729" t="str">
            <v/>
          </cell>
          <cell r="D1729" t="str">
            <v/>
          </cell>
          <cell r="O1729" t="str">
            <v/>
          </cell>
          <cell r="T1729" t="str">
            <v/>
          </cell>
          <cell r="U1729" t="str">
            <v/>
          </cell>
          <cell r="V1729" t="str">
            <v/>
          </cell>
          <cell r="W1729" t="str">
            <v/>
          </cell>
          <cell r="Y1729" t="str">
            <v/>
          </cell>
          <cell r="AA1729" t="str">
            <v/>
          </cell>
          <cell r="AB1729">
            <v>0</v>
          </cell>
          <cell r="AC1729">
            <v>0</v>
          </cell>
          <cell r="AI1729" t="str">
            <v/>
          </cell>
          <cell r="AJ1729" t="str">
            <v/>
          </cell>
          <cell r="AK1729">
            <v>0</v>
          </cell>
          <cell r="AL1729">
            <v>0</v>
          </cell>
          <cell r="AM1729">
            <v>0</v>
          </cell>
        </row>
        <row r="1730">
          <cell r="C1730" t="str">
            <v/>
          </cell>
          <cell r="D1730" t="str">
            <v/>
          </cell>
          <cell r="O1730" t="str">
            <v/>
          </cell>
          <cell r="T1730" t="str">
            <v/>
          </cell>
          <cell r="U1730" t="str">
            <v/>
          </cell>
          <cell r="V1730" t="str">
            <v/>
          </cell>
          <cell r="W1730" t="str">
            <v/>
          </cell>
          <cell r="Y1730" t="str">
            <v/>
          </cell>
          <cell r="AA1730" t="str">
            <v/>
          </cell>
          <cell r="AB1730">
            <v>0</v>
          </cell>
          <cell r="AC1730">
            <v>0</v>
          </cell>
          <cell r="AI1730" t="str">
            <v/>
          </cell>
          <cell r="AJ1730" t="str">
            <v/>
          </cell>
          <cell r="AK1730">
            <v>0</v>
          </cell>
          <cell r="AL1730">
            <v>0</v>
          </cell>
          <cell r="AM1730">
            <v>0</v>
          </cell>
        </row>
        <row r="1731">
          <cell r="C1731" t="str">
            <v/>
          </cell>
          <cell r="D1731" t="str">
            <v/>
          </cell>
          <cell r="O1731" t="str">
            <v/>
          </cell>
          <cell r="T1731" t="str">
            <v/>
          </cell>
          <cell r="U1731" t="str">
            <v/>
          </cell>
          <cell r="V1731" t="str">
            <v/>
          </cell>
          <cell r="W1731" t="str">
            <v/>
          </cell>
          <cell r="Y1731" t="str">
            <v/>
          </cell>
          <cell r="AA1731" t="str">
            <v/>
          </cell>
          <cell r="AB1731">
            <v>0</v>
          </cell>
          <cell r="AC1731">
            <v>0</v>
          </cell>
          <cell r="AI1731" t="str">
            <v/>
          </cell>
          <cell r="AJ1731" t="str">
            <v/>
          </cell>
          <cell r="AK1731">
            <v>0</v>
          </cell>
          <cell r="AL1731">
            <v>0</v>
          </cell>
          <cell r="AM1731">
            <v>0</v>
          </cell>
        </row>
        <row r="1732">
          <cell r="C1732" t="str">
            <v/>
          </cell>
          <cell r="D1732" t="str">
            <v/>
          </cell>
          <cell r="O1732" t="str">
            <v/>
          </cell>
          <cell r="T1732" t="str">
            <v/>
          </cell>
          <cell r="U1732" t="str">
            <v/>
          </cell>
          <cell r="V1732" t="str">
            <v/>
          </cell>
          <cell r="W1732" t="str">
            <v/>
          </cell>
          <cell r="Y1732" t="str">
            <v/>
          </cell>
          <cell r="AA1732" t="str">
            <v/>
          </cell>
          <cell r="AB1732">
            <v>0</v>
          </cell>
          <cell r="AC1732">
            <v>0</v>
          </cell>
          <cell r="AI1732" t="str">
            <v/>
          </cell>
          <cell r="AJ1732" t="str">
            <v/>
          </cell>
          <cell r="AK1732">
            <v>0</v>
          </cell>
          <cell r="AL1732">
            <v>0</v>
          </cell>
          <cell r="AM1732">
            <v>0</v>
          </cell>
        </row>
        <row r="1733">
          <cell r="C1733" t="str">
            <v/>
          </cell>
          <cell r="D1733" t="str">
            <v/>
          </cell>
          <cell r="O1733" t="str">
            <v/>
          </cell>
          <cell r="T1733" t="str">
            <v/>
          </cell>
          <cell r="U1733" t="str">
            <v/>
          </cell>
          <cell r="V1733" t="str">
            <v/>
          </cell>
          <cell r="W1733" t="str">
            <v/>
          </cell>
          <cell r="Y1733" t="str">
            <v/>
          </cell>
          <cell r="AA1733" t="str">
            <v/>
          </cell>
          <cell r="AB1733">
            <v>0</v>
          </cell>
          <cell r="AC1733">
            <v>0</v>
          </cell>
          <cell r="AI1733" t="str">
            <v/>
          </cell>
          <cell r="AJ1733" t="str">
            <v/>
          </cell>
          <cell r="AK1733">
            <v>0</v>
          </cell>
          <cell r="AL1733">
            <v>0</v>
          </cell>
          <cell r="AM1733">
            <v>0</v>
          </cell>
        </row>
        <row r="1734">
          <cell r="C1734" t="str">
            <v/>
          </cell>
          <cell r="D1734" t="str">
            <v/>
          </cell>
          <cell r="O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/>
          </cell>
          <cell r="Y1734" t="str">
            <v/>
          </cell>
          <cell r="AA1734" t="str">
            <v/>
          </cell>
          <cell r="AB1734">
            <v>0</v>
          </cell>
          <cell r="AC1734">
            <v>0</v>
          </cell>
          <cell r="AI1734" t="str">
            <v/>
          </cell>
          <cell r="AJ1734" t="str">
            <v/>
          </cell>
          <cell r="AK1734">
            <v>0</v>
          </cell>
          <cell r="AL1734">
            <v>0</v>
          </cell>
          <cell r="AM1734">
            <v>0</v>
          </cell>
        </row>
        <row r="1735">
          <cell r="C1735" t="str">
            <v/>
          </cell>
          <cell r="D1735" t="str">
            <v/>
          </cell>
          <cell r="O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/>
          </cell>
          <cell r="Y1735" t="str">
            <v/>
          </cell>
          <cell r="AA1735" t="str">
            <v/>
          </cell>
          <cell r="AB1735">
            <v>0</v>
          </cell>
          <cell r="AC1735">
            <v>0</v>
          </cell>
          <cell r="AI1735" t="str">
            <v/>
          </cell>
          <cell r="AJ1735" t="str">
            <v/>
          </cell>
          <cell r="AK1735">
            <v>0</v>
          </cell>
          <cell r="AL1735">
            <v>0</v>
          </cell>
          <cell r="AM1735">
            <v>0</v>
          </cell>
        </row>
        <row r="1736">
          <cell r="C1736" t="str">
            <v/>
          </cell>
          <cell r="D1736" t="str">
            <v/>
          </cell>
          <cell r="O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/>
          </cell>
          <cell r="Y1736" t="str">
            <v/>
          </cell>
          <cell r="AA1736" t="str">
            <v/>
          </cell>
          <cell r="AB1736">
            <v>0</v>
          </cell>
          <cell r="AC1736">
            <v>0</v>
          </cell>
          <cell r="AI1736" t="str">
            <v/>
          </cell>
          <cell r="AJ1736" t="str">
            <v/>
          </cell>
          <cell r="AK1736">
            <v>0</v>
          </cell>
          <cell r="AL1736">
            <v>0</v>
          </cell>
          <cell r="AM1736">
            <v>0</v>
          </cell>
        </row>
        <row r="1737">
          <cell r="C1737" t="str">
            <v/>
          </cell>
          <cell r="D1737" t="str">
            <v/>
          </cell>
          <cell r="O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/>
          </cell>
          <cell r="Y1737" t="str">
            <v/>
          </cell>
          <cell r="AA1737" t="str">
            <v/>
          </cell>
          <cell r="AB1737">
            <v>0</v>
          </cell>
          <cell r="AC1737">
            <v>0</v>
          </cell>
          <cell r="AI1737" t="str">
            <v/>
          </cell>
          <cell r="AJ1737" t="str">
            <v/>
          </cell>
          <cell r="AK1737">
            <v>0</v>
          </cell>
          <cell r="AL1737">
            <v>0</v>
          </cell>
          <cell r="AM1737">
            <v>0</v>
          </cell>
        </row>
        <row r="1738">
          <cell r="C1738" t="str">
            <v/>
          </cell>
          <cell r="D1738" t="str">
            <v/>
          </cell>
          <cell r="O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/>
          </cell>
          <cell r="Y1738" t="str">
            <v/>
          </cell>
          <cell r="AA1738" t="str">
            <v/>
          </cell>
          <cell r="AB1738">
            <v>0</v>
          </cell>
          <cell r="AC1738">
            <v>0</v>
          </cell>
          <cell r="AI1738" t="str">
            <v/>
          </cell>
          <cell r="AJ1738" t="str">
            <v/>
          </cell>
          <cell r="AK1738">
            <v>0</v>
          </cell>
          <cell r="AL1738">
            <v>0</v>
          </cell>
          <cell r="AM1738">
            <v>0</v>
          </cell>
        </row>
        <row r="1739">
          <cell r="C1739" t="str">
            <v/>
          </cell>
          <cell r="D1739" t="str">
            <v/>
          </cell>
          <cell r="O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/>
          </cell>
          <cell r="Y1739" t="str">
            <v/>
          </cell>
          <cell r="AA1739" t="str">
            <v/>
          </cell>
          <cell r="AB1739">
            <v>0</v>
          </cell>
          <cell r="AC1739">
            <v>0</v>
          </cell>
          <cell r="AI1739" t="str">
            <v/>
          </cell>
          <cell r="AJ1739" t="str">
            <v/>
          </cell>
          <cell r="AK1739">
            <v>0</v>
          </cell>
          <cell r="AL1739">
            <v>0</v>
          </cell>
          <cell r="AM1739">
            <v>0</v>
          </cell>
        </row>
        <row r="1740">
          <cell r="C1740" t="str">
            <v/>
          </cell>
          <cell r="D1740" t="str">
            <v/>
          </cell>
          <cell r="O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/>
          </cell>
          <cell r="Y1740" t="str">
            <v/>
          </cell>
          <cell r="AA1740" t="str">
            <v/>
          </cell>
          <cell r="AB1740">
            <v>0</v>
          </cell>
          <cell r="AC1740">
            <v>0</v>
          </cell>
          <cell r="AI1740" t="str">
            <v/>
          </cell>
          <cell r="AJ1740" t="str">
            <v/>
          </cell>
          <cell r="AK1740">
            <v>0</v>
          </cell>
          <cell r="AL1740">
            <v>0</v>
          </cell>
          <cell r="AM1740">
            <v>0</v>
          </cell>
        </row>
        <row r="1741">
          <cell r="C1741" t="str">
            <v/>
          </cell>
          <cell r="D1741" t="str">
            <v/>
          </cell>
          <cell r="O1741" t="str">
            <v/>
          </cell>
          <cell r="T1741" t="str">
            <v/>
          </cell>
          <cell r="U1741" t="str">
            <v/>
          </cell>
          <cell r="V1741" t="str">
            <v/>
          </cell>
          <cell r="W1741" t="str">
            <v/>
          </cell>
          <cell r="Y1741" t="str">
            <v/>
          </cell>
          <cell r="AA1741" t="str">
            <v/>
          </cell>
          <cell r="AB1741">
            <v>0</v>
          </cell>
          <cell r="AC1741">
            <v>0</v>
          </cell>
          <cell r="AI1741" t="str">
            <v/>
          </cell>
          <cell r="AJ1741" t="str">
            <v/>
          </cell>
          <cell r="AK1741">
            <v>0</v>
          </cell>
          <cell r="AL1741">
            <v>0</v>
          </cell>
          <cell r="AM1741">
            <v>0</v>
          </cell>
        </row>
        <row r="1742">
          <cell r="C1742" t="str">
            <v/>
          </cell>
          <cell r="D1742" t="str">
            <v/>
          </cell>
          <cell r="O1742" t="str">
            <v/>
          </cell>
          <cell r="T1742" t="str">
            <v/>
          </cell>
          <cell r="U1742" t="str">
            <v/>
          </cell>
          <cell r="V1742" t="str">
            <v/>
          </cell>
          <cell r="W1742" t="str">
            <v/>
          </cell>
          <cell r="Y1742" t="str">
            <v/>
          </cell>
          <cell r="AA1742" t="str">
            <v/>
          </cell>
          <cell r="AB1742">
            <v>0</v>
          </cell>
          <cell r="AC1742">
            <v>0</v>
          </cell>
          <cell r="AI1742" t="str">
            <v/>
          </cell>
          <cell r="AJ1742" t="str">
            <v/>
          </cell>
          <cell r="AK1742">
            <v>0</v>
          </cell>
          <cell r="AL1742">
            <v>0</v>
          </cell>
          <cell r="AM1742">
            <v>0</v>
          </cell>
        </row>
        <row r="1743">
          <cell r="C1743" t="str">
            <v/>
          </cell>
          <cell r="D1743" t="str">
            <v/>
          </cell>
          <cell r="O1743" t="str">
            <v/>
          </cell>
          <cell r="T1743" t="str">
            <v/>
          </cell>
          <cell r="U1743" t="str">
            <v/>
          </cell>
          <cell r="V1743" t="str">
            <v/>
          </cell>
          <cell r="W1743" t="str">
            <v/>
          </cell>
          <cell r="Y1743" t="str">
            <v/>
          </cell>
          <cell r="AA1743" t="str">
            <v/>
          </cell>
          <cell r="AB1743">
            <v>0</v>
          </cell>
          <cell r="AC1743">
            <v>0</v>
          </cell>
          <cell r="AI1743" t="str">
            <v/>
          </cell>
          <cell r="AJ1743" t="str">
            <v/>
          </cell>
          <cell r="AK1743">
            <v>0</v>
          </cell>
          <cell r="AL1743">
            <v>0</v>
          </cell>
          <cell r="AM1743">
            <v>0</v>
          </cell>
        </row>
        <row r="1744">
          <cell r="C1744" t="str">
            <v/>
          </cell>
          <cell r="D1744" t="str">
            <v/>
          </cell>
          <cell r="O1744" t="str">
            <v/>
          </cell>
          <cell r="T1744" t="str">
            <v/>
          </cell>
          <cell r="U1744" t="str">
            <v/>
          </cell>
          <cell r="V1744" t="str">
            <v/>
          </cell>
          <cell r="W1744" t="str">
            <v/>
          </cell>
          <cell r="Y1744" t="str">
            <v/>
          </cell>
          <cell r="AA1744" t="str">
            <v/>
          </cell>
          <cell r="AB1744">
            <v>0</v>
          </cell>
          <cell r="AC1744">
            <v>0</v>
          </cell>
          <cell r="AI1744" t="str">
            <v/>
          </cell>
          <cell r="AJ1744" t="str">
            <v/>
          </cell>
          <cell r="AK1744">
            <v>0</v>
          </cell>
          <cell r="AL1744">
            <v>0</v>
          </cell>
          <cell r="AM1744">
            <v>0</v>
          </cell>
        </row>
        <row r="1745">
          <cell r="C1745" t="str">
            <v/>
          </cell>
          <cell r="D1745" t="str">
            <v/>
          </cell>
          <cell r="O1745" t="str">
            <v/>
          </cell>
          <cell r="T1745" t="str">
            <v/>
          </cell>
          <cell r="U1745" t="str">
            <v/>
          </cell>
          <cell r="V1745" t="str">
            <v/>
          </cell>
          <cell r="W1745" t="str">
            <v/>
          </cell>
          <cell r="Y1745" t="str">
            <v/>
          </cell>
          <cell r="AA1745" t="str">
            <v/>
          </cell>
          <cell r="AB1745">
            <v>0</v>
          </cell>
          <cell r="AC1745">
            <v>0</v>
          </cell>
          <cell r="AI1745" t="str">
            <v/>
          </cell>
          <cell r="AJ1745" t="str">
            <v/>
          </cell>
          <cell r="AK1745">
            <v>0</v>
          </cell>
          <cell r="AL1745">
            <v>0</v>
          </cell>
          <cell r="AM1745">
            <v>0</v>
          </cell>
        </row>
        <row r="1746">
          <cell r="C1746" t="str">
            <v/>
          </cell>
          <cell r="D1746" t="str">
            <v/>
          </cell>
          <cell r="O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/>
          </cell>
          <cell r="Y1746" t="str">
            <v/>
          </cell>
          <cell r="AA1746" t="str">
            <v/>
          </cell>
          <cell r="AB1746">
            <v>0</v>
          </cell>
          <cell r="AC1746">
            <v>0</v>
          </cell>
          <cell r="AI1746" t="str">
            <v/>
          </cell>
          <cell r="AJ1746" t="str">
            <v/>
          </cell>
          <cell r="AK1746">
            <v>0</v>
          </cell>
          <cell r="AL1746">
            <v>0</v>
          </cell>
          <cell r="AM1746">
            <v>0</v>
          </cell>
        </row>
        <row r="1747">
          <cell r="C1747" t="str">
            <v/>
          </cell>
          <cell r="D1747" t="str">
            <v/>
          </cell>
          <cell r="O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/>
          </cell>
          <cell r="Y1747" t="str">
            <v/>
          </cell>
          <cell r="AA1747" t="str">
            <v/>
          </cell>
          <cell r="AB1747">
            <v>0</v>
          </cell>
          <cell r="AC1747">
            <v>0</v>
          </cell>
          <cell r="AI1747" t="str">
            <v/>
          </cell>
          <cell r="AJ1747" t="str">
            <v/>
          </cell>
          <cell r="AK1747">
            <v>0</v>
          </cell>
          <cell r="AL1747">
            <v>0</v>
          </cell>
          <cell r="AM1747">
            <v>0</v>
          </cell>
        </row>
        <row r="1748">
          <cell r="C1748" t="str">
            <v/>
          </cell>
          <cell r="D1748" t="str">
            <v/>
          </cell>
          <cell r="O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/>
          </cell>
          <cell r="Y1748" t="str">
            <v/>
          </cell>
          <cell r="AA1748" t="str">
            <v/>
          </cell>
          <cell r="AB1748">
            <v>0</v>
          </cell>
          <cell r="AC1748">
            <v>0</v>
          </cell>
          <cell r="AI1748" t="str">
            <v/>
          </cell>
          <cell r="AJ1748" t="str">
            <v/>
          </cell>
          <cell r="AK1748">
            <v>0</v>
          </cell>
          <cell r="AL1748">
            <v>0</v>
          </cell>
          <cell r="AM1748">
            <v>0</v>
          </cell>
        </row>
        <row r="1749">
          <cell r="C1749" t="str">
            <v/>
          </cell>
          <cell r="D1749" t="str">
            <v/>
          </cell>
          <cell r="O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/>
          </cell>
          <cell r="Y1749" t="str">
            <v/>
          </cell>
          <cell r="AA1749" t="str">
            <v/>
          </cell>
          <cell r="AB1749">
            <v>0</v>
          </cell>
          <cell r="AC1749">
            <v>0</v>
          </cell>
          <cell r="AI1749" t="str">
            <v/>
          </cell>
          <cell r="AJ1749" t="str">
            <v/>
          </cell>
          <cell r="AK1749">
            <v>0</v>
          </cell>
          <cell r="AL1749">
            <v>0</v>
          </cell>
          <cell r="AM1749">
            <v>0</v>
          </cell>
        </row>
        <row r="1750">
          <cell r="C1750" t="str">
            <v/>
          </cell>
          <cell r="D1750" t="str">
            <v/>
          </cell>
          <cell r="O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/>
          </cell>
          <cell r="Y1750" t="str">
            <v/>
          </cell>
          <cell r="AA1750" t="str">
            <v/>
          </cell>
          <cell r="AB1750">
            <v>0</v>
          </cell>
          <cell r="AC1750">
            <v>0</v>
          </cell>
          <cell r="AI1750" t="str">
            <v/>
          </cell>
          <cell r="AJ1750" t="str">
            <v/>
          </cell>
          <cell r="AK1750">
            <v>0</v>
          </cell>
          <cell r="AL1750">
            <v>0</v>
          </cell>
          <cell r="AM1750">
            <v>0</v>
          </cell>
        </row>
        <row r="1751">
          <cell r="C1751" t="str">
            <v/>
          </cell>
          <cell r="D1751" t="str">
            <v/>
          </cell>
          <cell r="O1751" t="str">
            <v/>
          </cell>
          <cell r="T1751" t="str">
            <v/>
          </cell>
          <cell r="U1751" t="str">
            <v/>
          </cell>
          <cell r="V1751" t="str">
            <v/>
          </cell>
          <cell r="W1751" t="str">
            <v/>
          </cell>
          <cell r="Y1751" t="str">
            <v/>
          </cell>
          <cell r="AA1751" t="str">
            <v/>
          </cell>
          <cell r="AB1751">
            <v>0</v>
          </cell>
          <cell r="AC1751">
            <v>0</v>
          </cell>
          <cell r="AI1751" t="str">
            <v/>
          </cell>
          <cell r="AJ1751" t="str">
            <v/>
          </cell>
          <cell r="AK1751">
            <v>0</v>
          </cell>
          <cell r="AL1751">
            <v>0</v>
          </cell>
          <cell r="AM1751">
            <v>0</v>
          </cell>
        </row>
        <row r="1752">
          <cell r="C1752" t="str">
            <v/>
          </cell>
          <cell r="D1752" t="str">
            <v/>
          </cell>
          <cell r="O1752" t="str">
            <v/>
          </cell>
          <cell r="T1752" t="str">
            <v/>
          </cell>
          <cell r="U1752" t="str">
            <v/>
          </cell>
          <cell r="V1752" t="str">
            <v/>
          </cell>
          <cell r="W1752" t="str">
            <v/>
          </cell>
          <cell r="Y1752" t="str">
            <v/>
          </cell>
          <cell r="AA1752" t="str">
            <v/>
          </cell>
          <cell r="AB1752">
            <v>0</v>
          </cell>
          <cell r="AC1752">
            <v>0</v>
          </cell>
          <cell r="AI1752" t="str">
            <v/>
          </cell>
          <cell r="AJ1752" t="str">
            <v/>
          </cell>
          <cell r="AK1752">
            <v>0</v>
          </cell>
          <cell r="AL1752">
            <v>0</v>
          </cell>
          <cell r="AM1752">
            <v>0</v>
          </cell>
        </row>
        <row r="1753">
          <cell r="C1753" t="str">
            <v/>
          </cell>
          <cell r="D1753" t="str">
            <v/>
          </cell>
          <cell r="O1753" t="str">
            <v/>
          </cell>
          <cell r="T1753" t="str">
            <v/>
          </cell>
          <cell r="U1753" t="str">
            <v/>
          </cell>
          <cell r="V1753" t="str">
            <v/>
          </cell>
          <cell r="W1753" t="str">
            <v/>
          </cell>
          <cell r="Y1753" t="str">
            <v/>
          </cell>
          <cell r="AA1753" t="str">
            <v/>
          </cell>
          <cell r="AB1753">
            <v>0</v>
          </cell>
          <cell r="AC1753">
            <v>0</v>
          </cell>
          <cell r="AI1753" t="str">
            <v/>
          </cell>
          <cell r="AJ1753" t="str">
            <v/>
          </cell>
          <cell r="AK1753">
            <v>0</v>
          </cell>
          <cell r="AL1753">
            <v>0</v>
          </cell>
          <cell r="AM1753">
            <v>0</v>
          </cell>
        </row>
        <row r="1754">
          <cell r="C1754" t="str">
            <v/>
          </cell>
          <cell r="D1754" t="str">
            <v/>
          </cell>
          <cell r="O1754" t="str">
            <v/>
          </cell>
          <cell r="T1754" t="str">
            <v/>
          </cell>
          <cell r="U1754" t="str">
            <v/>
          </cell>
          <cell r="V1754" t="str">
            <v/>
          </cell>
          <cell r="W1754" t="str">
            <v/>
          </cell>
          <cell r="Y1754" t="str">
            <v/>
          </cell>
          <cell r="AA1754" t="str">
            <v/>
          </cell>
          <cell r="AB1754">
            <v>0</v>
          </cell>
          <cell r="AC1754">
            <v>0</v>
          </cell>
          <cell r="AI1754" t="str">
            <v/>
          </cell>
          <cell r="AJ1754" t="str">
            <v/>
          </cell>
          <cell r="AK1754">
            <v>0</v>
          </cell>
          <cell r="AL1754">
            <v>0</v>
          </cell>
          <cell r="AM1754">
            <v>0</v>
          </cell>
        </row>
        <row r="1755">
          <cell r="C1755" t="str">
            <v/>
          </cell>
          <cell r="D1755" t="str">
            <v/>
          </cell>
          <cell r="O1755" t="str">
            <v/>
          </cell>
          <cell r="T1755" t="str">
            <v/>
          </cell>
          <cell r="U1755" t="str">
            <v/>
          </cell>
          <cell r="V1755" t="str">
            <v/>
          </cell>
          <cell r="W1755" t="str">
            <v/>
          </cell>
          <cell r="Y1755" t="str">
            <v/>
          </cell>
          <cell r="AA1755" t="str">
            <v/>
          </cell>
          <cell r="AB1755">
            <v>0</v>
          </cell>
          <cell r="AC1755">
            <v>0</v>
          </cell>
          <cell r="AI1755" t="str">
            <v/>
          </cell>
          <cell r="AJ1755" t="str">
            <v/>
          </cell>
          <cell r="AK1755">
            <v>0</v>
          </cell>
          <cell r="AL1755">
            <v>0</v>
          </cell>
          <cell r="AM1755">
            <v>0</v>
          </cell>
        </row>
        <row r="1756">
          <cell r="C1756" t="str">
            <v/>
          </cell>
          <cell r="D1756" t="str">
            <v/>
          </cell>
          <cell r="O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/>
          </cell>
          <cell r="Y1756" t="str">
            <v/>
          </cell>
          <cell r="AA1756" t="str">
            <v/>
          </cell>
          <cell r="AB1756">
            <v>0</v>
          </cell>
          <cell r="AC1756">
            <v>0</v>
          </cell>
          <cell r="AI1756" t="str">
            <v/>
          </cell>
          <cell r="AJ1756" t="str">
            <v/>
          </cell>
          <cell r="AK1756">
            <v>0</v>
          </cell>
          <cell r="AL1756">
            <v>0</v>
          </cell>
          <cell r="AM1756">
            <v>0</v>
          </cell>
        </row>
        <row r="1757">
          <cell r="C1757" t="str">
            <v/>
          </cell>
          <cell r="D1757" t="str">
            <v/>
          </cell>
          <cell r="O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/>
          </cell>
          <cell r="Y1757" t="str">
            <v/>
          </cell>
          <cell r="AA1757" t="str">
            <v/>
          </cell>
          <cell r="AB1757">
            <v>0</v>
          </cell>
          <cell r="AC1757">
            <v>0</v>
          </cell>
          <cell r="AI1757" t="str">
            <v/>
          </cell>
          <cell r="AJ1757" t="str">
            <v/>
          </cell>
          <cell r="AK1757">
            <v>0</v>
          </cell>
          <cell r="AL1757">
            <v>0</v>
          </cell>
          <cell r="AM1757">
            <v>0</v>
          </cell>
        </row>
        <row r="1758">
          <cell r="C1758" t="str">
            <v/>
          </cell>
          <cell r="D1758" t="str">
            <v/>
          </cell>
          <cell r="O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/>
          </cell>
          <cell r="Y1758" t="str">
            <v/>
          </cell>
          <cell r="AA1758" t="str">
            <v/>
          </cell>
          <cell r="AB1758">
            <v>0</v>
          </cell>
          <cell r="AC1758">
            <v>0</v>
          </cell>
          <cell r="AI1758" t="str">
            <v/>
          </cell>
          <cell r="AJ1758" t="str">
            <v/>
          </cell>
          <cell r="AK1758">
            <v>0</v>
          </cell>
          <cell r="AL1758">
            <v>0</v>
          </cell>
          <cell r="AM1758">
            <v>0</v>
          </cell>
        </row>
        <row r="1759">
          <cell r="C1759" t="str">
            <v/>
          </cell>
          <cell r="D1759" t="str">
            <v/>
          </cell>
          <cell r="O1759" t="str">
            <v/>
          </cell>
          <cell r="T1759" t="str">
            <v/>
          </cell>
          <cell r="U1759" t="str">
            <v/>
          </cell>
          <cell r="V1759" t="str">
            <v/>
          </cell>
          <cell r="W1759" t="str">
            <v/>
          </cell>
          <cell r="Y1759" t="str">
            <v/>
          </cell>
          <cell r="AA1759" t="str">
            <v/>
          </cell>
          <cell r="AB1759">
            <v>0</v>
          </cell>
          <cell r="AC1759">
            <v>0</v>
          </cell>
          <cell r="AI1759" t="str">
            <v/>
          </cell>
          <cell r="AJ1759" t="str">
            <v/>
          </cell>
          <cell r="AK1759">
            <v>0</v>
          </cell>
          <cell r="AL1759">
            <v>0</v>
          </cell>
          <cell r="AM1759">
            <v>0</v>
          </cell>
        </row>
        <row r="1760">
          <cell r="C1760" t="str">
            <v/>
          </cell>
          <cell r="D1760" t="str">
            <v/>
          </cell>
          <cell r="O1760" t="str">
            <v/>
          </cell>
          <cell r="T1760" t="str">
            <v/>
          </cell>
          <cell r="U1760" t="str">
            <v/>
          </cell>
          <cell r="V1760" t="str">
            <v/>
          </cell>
          <cell r="W1760" t="str">
            <v/>
          </cell>
          <cell r="Y1760" t="str">
            <v/>
          </cell>
          <cell r="AA1760" t="str">
            <v/>
          </cell>
          <cell r="AB1760">
            <v>0</v>
          </cell>
          <cell r="AC1760">
            <v>0</v>
          </cell>
          <cell r="AI1760" t="str">
            <v/>
          </cell>
          <cell r="AJ1760" t="str">
            <v/>
          </cell>
          <cell r="AK1760">
            <v>0</v>
          </cell>
          <cell r="AL1760">
            <v>0</v>
          </cell>
          <cell r="AM1760">
            <v>0</v>
          </cell>
        </row>
        <row r="1761">
          <cell r="C1761" t="str">
            <v/>
          </cell>
          <cell r="D1761" t="str">
            <v/>
          </cell>
          <cell r="O1761" t="str">
            <v/>
          </cell>
          <cell r="T1761" t="str">
            <v/>
          </cell>
          <cell r="U1761" t="str">
            <v/>
          </cell>
          <cell r="V1761" t="str">
            <v/>
          </cell>
          <cell r="W1761" t="str">
            <v/>
          </cell>
          <cell r="Y1761" t="str">
            <v/>
          </cell>
          <cell r="AA1761" t="str">
            <v/>
          </cell>
          <cell r="AB1761">
            <v>0</v>
          </cell>
          <cell r="AC1761">
            <v>0</v>
          </cell>
          <cell r="AI1761" t="str">
            <v/>
          </cell>
          <cell r="AJ1761" t="str">
            <v/>
          </cell>
          <cell r="AK1761">
            <v>0</v>
          </cell>
          <cell r="AL1761">
            <v>0</v>
          </cell>
          <cell r="AM1761">
            <v>0</v>
          </cell>
        </row>
        <row r="1762">
          <cell r="C1762" t="str">
            <v/>
          </cell>
          <cell r="D1762" t="str">
            <v/>
          </cell>
          <cell r="O1762" t="str">
            <v/>
          </cell>
          <cell r="T1762" t="str">
            <v/>
          </cell>
          <cell r="U1762" t="str">
            <v/>
          </cell>
          <cell r="V1762" t="str">
            <v/>
          </cell>
          <cell r="W1762" t="str">
            <v/>
          </cell>
          <cell r="Y1762" t="str">
            <v/>
          </cell>
          <cell r="AA1762" t="str">
            <v/>
          </cell>
          <cell r="AB1762">
            <v>0</v>
          </cell>
          <cell r="AC1762">
            <v>0</v>
          </cell>
          <cell r="AI1762" t="str">
            <v/>
          </cell>
          <cell r="AJ1762" t="str">
            <v/>
          </cell>
          <cell r="AK1762">
            <v>0</v>
          </cell>
          <cell r="AL1762">
            <v>0</v>
          </cell>
          <cell r="AM1762">
            <v>0</v>
          </cell>
        </row>
        <row r="1763">
          <cell r="C1763" t="str">
            <v/>
          </cell>
          <cell r="D1763" t="str">
            <v/>
          </cell>
          <cell r="O1763" t="str">
            <v/>
          </cell>
          <cell r="T1763" t="str">
            <v/>
          </cell>
          <cell r="U1763" t="str">
            <v/>
          </cell>
          <cell r="V1763" t="str">
            <v/>
          </cell>
          <cell r="W1763" t="str">
            <v/>
          </cell>
          <cell r="Y1763" t="str">
            <v/>
          </cell>
          <cell r="AA1763" t="str">
            <v/>
          </cell>
          <cell r="AB1763">
            <v>0</v>
          </cell>
          <cell r="AC1763">
            <v>0</v>
          </cell>
          <cell r="AI1763" t="str">
            <v/>
          </cell>
          <cell r="AJ1763" t="str">
            <v/>
          </cell>
          <cell r="AK1763">
            <v>0</v>
          </cell>
          <cell r="AL1763">
            <v>0</v>
          </cell>
          <cell r="AM1763">
            <v>0</v>
          </cell>
        </row>
        <row r="1764">
          <cell r="C1764" t="str">
            <v/>
          </cell>
          <cell r="D1764" t="str">
            <v/>
          </cell>
          <cell r="O1764" t="str">
            <v/>
          </cell>
          <cell r="T1764" t="str">
            <v/>
          </cell>
          <cell r="U1764" t="str">
            <v/>
          </cell>
          <cell r="V1764" t="str">
            <v/>
          </cell>
          <cell r="W1764" t="str">
            <v/>
          </cell>
          <cell r="Y1764" t="str">
            <v/>
          </cell>
          <cell r="AA1764" t="str">
            <v/>
          </cell>
          <cell r="AB1764">
            <v>0</v>
          </cell>
          <cell r="AC1764">
            <v>0</v>
          </cell>
          <cell r="AI1764" t="str">
            <v/>
          </cell>
          <cell r="AJ1764" t="str">
            <v/>
          </cell>
          <cell r="AK1764">
            <v>0</v>
          </cell>
          <cell r="AL1764">
            <v>0</v>
          </cell>
          <cell r="AM1764">
            <v>0</v>
          </cell>
        </row>
        <row r="1765">
          <cell r="C1765" t="str">
            <v/>
          </cell>
          <cell r="D1765" t="str">
            <v/>
          </cell>
          <cell r="O1765" t="str">
            <v/>
          </cell>
          <cell r="T1765" t="str">
            <v/>
          </cell>
          <cell r="U1765" t="str">
            <v/>
          </cell>
          <cell r="V1765" t="str">
            <v/>
          </cell>
          <cell r="W1765" t="str">
            <v/>
          </cell>
          <cell r="Y1765" t="str">
            <v/>
          </cell>
          <cell r="AA1765" t="str">
            <v/>
          </cell>
          <cell r="AB1765">
            <v>0</v>
          </cell>
          <cell r="AC1765">
            <v>0</v>
          </cell>
          <cell r="AI1765" t="str">
            <v/>
          </cell>
          <cell r="AJ1765" t="str">
            <v/>
          </cell>
          <cell r="AK1765">
            <v>0</v>
          </cell>
          <cell r="AL1765">
            <v>0</v>
          </cell>
          <cell r="AM1765">
            <v>0</v>
          </cell>
        </row>
        <row r="1766">
          <cell r="C1766" t="str">
            <v/>
          </cell>
          <cell r="D1766" t="str">
            <v/>
          </cell>
          <cell r="O1766" t="str">
            <v/>
          </cell>
          <cell r="T1766" t="str">
            <v/>
          </cell>
          <cell r="U1766" t="str">
            <v/>
          </cell>
          <cell r="V1766" t="str">
            <v/>
          </cell>
          <cell r="W1766" t="str">
            <v/>
          </cell>
          <cell r="Y1766" t="str">
            <v/>
          </cell>
          <cell r="AA1766" t="str">
            <v/>
          </cell>
          <cell r="AB1766">
            <v>0</v>
          </cell>
          <cell r="AC1766">
            <v>0</v>
          </cell>
          <cell r="AI1766" t="str">
            <v/>
          </cell>
          <cell r="AJ1766" t="str">
            <v/>
          </cell>
          <cell r="AK1766">
            <v>0</v>
          </cell>
          <cell r="AL1766">
            <v>0</v>
          </cell>
          <cell r="AM1766">
            <v>0</v>
          </cell>
        </row>
        <row r="1767">
          <cell r="C1767" t="str">
            <v/>
          </cell>
          <cell r="D1767" t="str">
            <v/>
          </cell>
          <cell r="O1767" t="str">
            <v/>
          </cell>
          <cell r="T1767" t="str">
            <v/>
          </cell>
          <cell r="U1767" t="str">
            <v/>
          </cell>
          <cell r="V1767" t="str">
            <v/>
          </cell>
          <cell r="W1767" t="str">
            <v/>
          </cell>
          <cell r="Y1767" t="str">
            <v/>
          </cell>
          <cell r="AA1767" t="str">
            <v/>
          </cell>
          <cell r="AB1767">
            <v>0</v>
          </cell>
          <cell r="AC1767">
            <v>0</v>
          </cell>
          <cell r="AI1767" t="str">
            <v/>
          </cell>
          <cell r="AJ1767" t="str">
            <v/>
          </cell>
          <cell r="AK1767">
            <v>0</v>
          </cell>
          <cell r="AL1767">
            <v>0</v>
          </cell>
          <cell r="AM1767">
            <v>0</v>
          </cell>
        </row>
        <row r="1768">
          <cell r="C1768" t="str">
            <v/>
          </cell>
          <cell r="D1768" t="str">
            <v/>
          </cell>
          <cell r="O1768" t="str">
            <v/>
          </cell>
          <cell r="T1768" t="str">
            <v/>
          </cell>
          <cell r="U1768" t="str">
            <v/>
          </cell>
          <cell r="V1768" t="str">
            <v/>
          </cell>
          <cell r="W1768" t="str">
            <v/>
          </cell>
          <cell r="Y1768" t="str">
            <v/>
          </cell>
          <cell r="AA1768" t="str">
            <v/>
          </cell>
          <cell r="AB1768">
            <v>0</v>
          </cell>
          <cell r="AC1768">
            <v>0</v>
          </cell>
          <cell r="AI1768" t="str">
            <v/>
          </cell>
          <cell r="AJ1768" t="str">
            <v/>
          </cell>
          <cell r="AK1768">
            <v>0</v>
          </cell>
          <cell r="AL1768">
            <v>0</v>
          </cell>
          <cell r="AM1768">
            <v>0</v>
          </cell>
        </row>
        <row r="1769">
          <cell r="C1769" t="str">
            <v/>
          </cell>
          <cell r="D1769" t="str">
            <v/>
          </cell>
          <cell r="O1769" t="str">
            <v/>
          </cell>
          <cell r="T1769" t="str">
            <v/>
          </cell>
          <cell r="U1769" t="str">
            <v/>
          </cell>
          <cell r="V1769" t="str">
            <v/>
          </cell>
          <cell r="W1769" t="str">
            <v/>
          </cell>
          <cell r="Y1769" t="str">
            <v/>
          </cell>
          <cell r="AA1769" t="str">
            <v/>
          </cell>
          <cell r="AB1769">
            <v>0</v>
          </cell>
          <cell r="AC1769">
            <v>0</v>
          </cell>
          <cell r="AI1769" t="str">
            <v/>
          </cell>
          <cell r="AJ1769" t="str">
            <v/>
          </cell>
          <cell r="AK1769">
            <v>0</v>
          </cell>
          <cell r="AL1769">
            <v>0</v>
          </cell>
          <cell r="AM1769">
            <v>0</v>
          </cell>
        </row>
        <row r="1770">
          <cell r="C1770" t="str">
            <v/>
          </cell>
          <cell r="D1770" t="str">
            <v/>
          </cell>
          <cell r="O1770" t="str">
            <v/>
          </cell>
          <cell r="T1770" t="str">
            <v/>
          </cell>
          <cell r="U1770" t="str">
            <v/>
          </cell>
          <cell r="V1770" t="str">
            <v/>
          </cell>
          <cell r="W1770" t="str">
            <v/>
          </cell>
          <cell r="Y1770" t="str">
            <v/>
          </cell>
          <cell r="AA1770" t="str">
            <v/>
          </cell>
          <cell r="AB1770">
            <v>0</v>
          </cell>
          <cell r="AC1770">
            <v>0</v>
          </cell>
          <cell r="AI1770" t="str">
            <v/>
          </cell>
          <cell r="AJ1770" t="str">
            <v/>
          </cell>
          <cell r="AK1770">
            <v>0</v>
          </cell>
          <cell r="AL1770">
            <v>0</v>
          </cell>
          <cell r="AM1770">
            <v>0</v>
          </cell>
        </row>
        <row r="1771">
          <cell r="C1771" t="str">
            <v/>
          </cell>
          <cell r="D1771" t="str">
            <v/>
          </cell>
          <cell r="O1771" t="str">
            <v/>
          </cell>
          <cell r="T1771" t="str">
            <v/>
          </cell>
          <cell r="U1771" t="str">
            <v/>
          </cell>
          <cell r="V1771" t="str">
            <v/>
          </cell>
          <cell r="W1771" t="str">
            <v/>
          </cell>
          <cell r="Y1771" t="str">
            <v/>
          </cell>
          <cell r="AA1771" t="str">
            <v/>
          </cell>
          <cell r="AB1771">
            <v>0</v>
          </cell>
          <cell r="AC1771">
            <v>0</v>
          </cell>
          <cell r="AI1771" t="str">
            <v/>
          </cell>
          <cell r="AJ1771" t="str">
            <v/>
          </cell>
          <cell r="AK1771">
            <v>0</v>
          </cell>
          <cell r="AL1771">
            <v>0</v>
          </cell>
          <cell r="AM1771">
            <v>0</v>
          </cell>
        </row>
        <row r="1772">
          <cell r="C1772" t="str">
            <v/>
          </cell>
          <cell r="D1772" t="str">
            <v/>
          </cell>
          <cell r="O1772" t="str">
            <v/>
          </cell>
          <cell r="T1772" t="str">
            <v/>
          </cell>
          <cell r="U1772" t="str">
            <v/>
          </cell>
          <cell r="V1772" t="str">
            <v/>
          </cell>
          <cell r="W1772" t="str">
            <v/>
          </cell>
          <cell r="Y1772" t="str">
            <v/>
          </cell>
          <cell r="AA1772" t="str">
            <v/>
          </cell>
          <cell r="AB1772">
            <v>0</v>
          </cell>
          <cell r="AC1772">
            <v>0</v>
          </cell>
          <cell r="AI1772" t="str">
            <v/>
          </cell>
          <cell r="AJ1772" t="str">
            <v/>
          </cell>
          <cell r="AK1772">
            <v>0</v>
          </cell>
          <cell r="AL1772">
            <v>0</v>
          </cell>
          <cell r="AM1772">
            <v>0</v>
          </cell>
        </row>
        <row r="1773">
          <cell r="C1773" t="str">
            <v/>
          </cell>
          <cell r="D1773" t="str">
            <v/>
          </cell>
          <cell r="O1773" t="str">
            <v/>
          </cell>
          <cell r="T1773" t="str">
            <v/>
          </cell>
          <cell r="U1773" t="str">
            <v/>
          </cell>
          <cell r="V1773" t="str">
            <v/>
          </cell>
          <cell r="W1773" t="str">
            <v/>
          </cell>
          <cell r="Y1773" t="str">
            <v/>
          </cell>
          <cell r="AA1773" t="str">
            <v/>
          </cell>
          <cell r="AB1773">
            <v>0</v>
          </cell>
          <cell r="AC1773">
            <v>0</v>
          </cell>
          <cell r="AI1773" t="str">
            <v/>
          </cell>
          <cell r="AJ1773" t="str">
            <v/>
          </cell>
          <cell r="AK1773">
            <v>0</v>
          </cell>
          <cell r="AL1773">
            <v>0</v>
          </cell>
          <cell r="AM1773">
            <v>0</v>
          </cell>
        </row>
        <row r="1774">
          <cell r="C1774" t="str">
            <v/>
          </cell>
          <cell r="D1774" t="str">
            <v/>
          </cell>
          <cell r="O1774" t="str">
            <v/>
          </cell>
          <cell r="T1774" t="str">
            <v/>
          </cell>
          <cell r="U1774" t="str">
            <v/>
          </cell>
          <cell r="V1774" t="str">
            <v/>
          </cell>
          <cell r="W1774" t="str">
            <v/>
          </cell>
          <cell r="Y1774" t="str">
            <v/>
          </cell>
          <cell r="AA1774" t="str">
            <v/>
          </cell>
          <cell r="AB1774">
            <v>0</v>
          </cell>
          <cell r="AC1774">
            <v>0</v>
          </cell>
          <cell r="AI1774" t="str">
            <v/>
          </cell>
          <cell r="AJ1774" t="str">
            <v/>
          </cell>
          <cell r="AK1774">
            <v>0</v>
          </cell>
          <cell r="AL1774">
            <v>0</v>
          </cell>
          <cell r="AM1774">
            <v>0</v>
          </cell>
        </row>
        <row r="1775">
          <cell r="C1775" t="str">
            <v/>
          </cell>
          <cell r="D1775" t="str">
            <v/>
          </cell>
          <cell r="O1775" t="str">
            <v/>
          </cell>
          <cell r="T1775" t="str">
            <v/>
          </cell>
          <cell r="U1775" t="str">
            <v/>
          </cell>
          <cell r="V1775" t="str">
            <v/>
          </cell>
          <cell r="W1775" t="str">
            <v/>
          </cell>
          <cell r="Y1775" t="str">
            <v/>
          </cell>
          <cell r="AA1775" t="str">
            <v/>
          </cell>
          <cell r="AB1775">
            <v>0</v>
          </cell>
          <cell r="AC1775">
            <v>0</v>
          </cell>
          <cell r="AI1775" t="str">
            <v/>
          </cell>
          <cell r="AJ1775" t="str">
            <v/>
          </cell>
          <cell r="AK1775">
            <v>0</v>
          </cell>
          <cell r="AL1775">
            <v>0</v>
          </cell>
          <cell r="AM1775">
            <v>0</v>
          </cell>
        </row>
        <row r="1776">
          <cell r="C1776" t="str">
            <v/>
          </cell>
          <cell r="D1776" t="str">
            <v/>
          </cell>
          <cell r="O1776" t="str">
            <v/>
          </cell>
          <cell r="T1776" t="str">
            <v/>
          </cell>
          <cell r="U1776" t="str">
            <v/>
          </cell>
          <cell r="V1776" t="str">
            <v/>
          </cell>
          <cell r="W1776" t="str">
            <v/>
          </cell>
          <cell r="Y1776" t="str">
            <v/>
          </cell>
          <cell r="AA1776" t="str">
            <v/>
          </cell>
          <cell r="AB1776">
            <v>0</v>
          </cell>
          <cell r="AC1776">
            <v>0</v>
          </cell>
          <cell r="AI1776" t="str">
            <v/>
          </cell>
          <cell r="AJ1776" t="str">
            <v/>
          </cell>
          <cell r="AK1776">
            <v>0</v>
          </cell>
          <cell r="AL1776">
            <v>0</v>
          </cell>
          <cell r="AM1776">
            <v>0</v>
          </cell>
        </row>
        <row r="1777">
          <cell r="C1777" t="str">
            <v/>
          </cell>
          <cell r="D1777" t="str">
            <v/>
          </cell>
          <cell r="O1777" t="str">
            <v/>
          </cell>
          <cell r="T1777" t="str">
            <v/>
          </cell>
          <cell r="U1777" t="str">
            <v/>
          </cell>
          <cell r="V1777" t="str">
            <v/>
          </cell>
          <cell r="W1777" t="str">
            <v/>
          </cell>
          <cell r="Y1777" t="str">
            <v/>
          </cell>
          <cell r="AA1777" t="str">
            <v/>
          </cell>
          <cell r="AB1777">
            <v>0</v>
          </cell>
          <cell r="AC1777">
            <v>0</v>
          </cell>
          <cell r="AI1777" t="str">
            <v/>
          </cell>
          <cell r="AJ1777" t="str">
            <v/>
          </cell>
          <cell r="AK1777">
            <v>0</v>
          </cell>
          <cell r="AL1777">
            <v>0</v>
          </cell>
          <cell r="AM1777">
            <v>0</v>
          </cell>
        </row>
        <row r="1778">
          <cell r="C1778" t="str">
            <v/>
          </cell>
          <cell r="D1778" t="str">
            <v/>
          </cell>
          <cell r="O1778" t="str">
            <v/>
          </cell>
          <cell r="T1778" t="str">
            <v/>
          </cell>
          <cell r="U1778" t="str">
            <v/>
          </cell>
          <cell r="V1778" t="str">
            <v/>
          </cell>
          <cell r="W1778" t="str">
            <v/>
          </cell>
          <cell r="Y1778" t="str">
            <v/>
          </cell>
          <cell r="AA1778" t="str">
            <v/>
          </cell>
          <cell r="AB1778">
            <v>0</v>
          </cell>
          <cell r="AC1778">
            <v>0</v>
          </cell>
          <cell r="AI1778" t="str">
            <v/>
          </cell>
          <cell r="AJ1778" t="str">
            <v/>
          </cell>
          <cell r="AK1778">
            <v>0</v>
          </cell>
          <cell r="AL1778">
            <v>0</v>
          </cell>
          <cell r="AM1778">
            <v>0</v>
          </cell>
        </row>
        <row r="1779">
          <cell r="C1779" t="str">
            <v/>
          </cell>
          <cell r="D1779" t="str">
            <v/>
          </cell>
          <cell r="O1779" t="str">
            <v/>
          </cell>
          <cell r="T1779" t="str">
            <v/>
          </cell>
          <cell r="U1779" t="str">
            <v/>
          </cell>
          <cell r="V1779" t="str">
            <v/>
          </cell>
          <cell r="W1779" t="str">
            <v/>
          </cell>
          <cell r="Y1779" t="str">
            <v/>
          </cell>
          <cell r="AA1779" t="str">
            <v/>
          </cell>
          <cell r="AB1779">
            <v>0</v>
          </cell>
          <cell r="AC1779">
            <v>0</v>
          </cell>
          <cell r="AI1779" t="str">
            <v/>
          </cell>
          <cell r="AJ1779" t="str">
            <v/>
          </cell>
          <cell r="AK1779">
            <v>0</v>
          </cell>
          <cell r="AL1779">
            <v>0</v>
          </cell>
          <cell r="AM1779">
            <v>0</v>
          </cell>
        </row>
        <row r="1780">
          <cell r="C1780" t="str">
            <v/>
          </cell>
          <cell r="D1780" t="str">
            <v/>
          </cell>
          <cell r="O1780" t="str">
            <v/>
          </cell>
          <cell r="T1780" t="str">
            <v/>
          </cell>
          <cell r="U1780" t="str">
            <v/>
          </cell>
          <cell r="V1780" t="str">
            <v/>
          </cell>
          <cell r="W1780" t="str">
            <v/>
          </cell>
          <cell r="Y1780" t="str">
            <v/>
          </cell>
          <cell r="AA1780" t="str">
            <v/>
          </cell>
          <cell r="AB1780">
            <v>0</v>
          </cell>
          <cell r="AC1780">
            <v>0</v>
          </cell>
          <cell r="AI1780" t="str">
            <v/>
          </cell>
          <cell r="AJ1780" t="str">
            <v/>
          </cell>
          <cell r="AK1780">
            <v>0</v>
          </cell>
          <cell r="AL1780">
            <v>0</v>
          </cell>
          <cell r="AM1780">
            <v>0</v>
          </cell>
        </row>
        <row r="1781">
          <cell r="C1781" t="str">
            <v/>
          </cell>
          <cell r="D1781" t="str">
            <v/>
          </cell>
          <cell r="O1781" t="str">
            <v/>
          </cell>
          <cell r="T1781" t="str">
            <v/>
          </cell>
          <cell r="U1781" t="str">
            <v/>
          </cell>
          <cell r="V1781" t="str">
            <v/>
          </cell>
          <cell r="W1781" t="str">
            <v/>
          </cell>
          <cell r="Y1781" t="str">
            <v/>
          </cell>
          <cell r="AA1781" t="str">
            <v/>
          </cell>
          <cell r="AB1781">
            <v>0</v>
          </cell>
          <cell r="AC1781">
            <v>0</v>
          </cell>
          <cell r="AI1781" t="str">
            <v/>
          </cell>
          <cell r="AJ1781" t="str">
            <v/>
          </cell>
          <cell r="AK1781">
            <v>0</v>
          </cell>
          <cell r="AL1781">
            <v>0</v>
          </cell>
          <cell r="AM1781">
            <v>0</v>
          </cell>
        </row>
        <row r="1782">
          <cell r="C1782" t="str">
            <v/>
          </cell>
          <cell r="D1782" t="str">
            <v/>
          </cell>
          <cell r="O1782" t="str">
            <v/>
          </cell>
          <cell r="T1782" t="str">
            <v/>
          </cell>
          <cell r="U1782" t="str">
            <v/>
          </cell>
          <cell r="V1782" t="str">
            <v/>
          </cell>
          <cell r="W1782" t="str">
            <v/>
          </cell>
          <cell r="Y1782" t="str">
            <v/>
          </cell>
          <cell r="AA1782" t="str">
            <v/>
          </cell>
          <cell r="AB1782">
            <v>0</v>
          </cell>
          <cell r="AC1782">
            <v>0</v>
          </cell>
          <cell r="AI1782" t="str">
            <v/>
          </cell>
          <cell r="AJ1782" t="str">
            <v/>
          </cell>
          <cell r="AK1782">
            <v>0</v>
          </cell>
          <cell r="AL1782">
            <v>0</v>
          </cell>
          <cell r="AM1782">
            <v>0</v>
          </cell>
        </row>
        <row r="1783">
          <cell r="C1783" t="str">
            <v/>
          </cell>
          <cell r="D1783" t="str">
            <v/>
          </cell>
          <cell r="O1783" t="str">
            <v/>
          </cell>
          <cell r="T1783" t="str">
            <v/>
          </cell>
          <cell r="U1783" t="str">
            <v/>
          </cell>
          <cell r="V1783" t="str">
            <v/>
          </cell>
          <cell r="W1783" t="str">
            <v/>
          </cell>
          <cell r="Y1783" t="str">
            <v/>
          </cell>
          <cell r="AA1783" t="str">
            <v/>
          </cell>
          <cell r="AB1783">
            <v>0</v>
          </cell>
          <cell r="AC1783">
            <v>0</v>
          </cell>
          <cell r="AI1783" t="str">
            <v/>
          </cell>
          <cell r="AJ1783" t="str">
            <v/>
          </cell>
          <cell r="AK1783">
            <v>0</v>
          </cell>
          <cell r="AL1783">
            <v>0</v>
          </cell>
          <cell r="AM1783">
            <v>0</v>
          </cell>
        </row>
        <row r="1784">
          <cell r="C1784" t="str">
            <v/>
          </cell>
          <cell r="D1784" t="str">
            <v/>
          </cell>
          <cell r="O1784" t="str">
            <v/>
          </cell>
          <cell r="T1784" t="str">
            <v/>
          </cell>
          <cell r="U1784" t="str">
            <v/>
          </cell>
          <cell r="V1784" t="str">
            <v/>
          </cell>
          <cell r="W1784" t="str">
            <v/>
          </cell>
          <cell r="Y1784" t="str">
            <v/>
          </cell>
          <cell r="AA1784" t="str">
            <v/>
          </cell>
          <cell r="AB1784">
            <v>0</v>
          </cell>
          <cell r="AC1784">
            <v>0</v>
          </cell>
          <cell r="AI1784" t="str">
            <v/>
          </cell>
          <cell r="AJ1784" t="str">
            <v/>
          </cell>
          <cell r="AK1784">
            <v>0</v>
          </cell>
          <cell r="AL1784">
            <v>0</v>
          </cell>
          <cell r="AM1784">
            <v>0</v>
          </cell>
        </row>
        <row r="1785">
          <cell r="C1785" t="str">
            <v/>
          </cell>
          <cell r="D1785" t="str">
            <v/>
          </cell>
          <cell r="O1785" t="str">
            <v/>
          </cell>
          <cell r="T1785" t="str">
            <v/>
          </cell>
          <cell r="U1785" t="str">
            <v/>
          </cell>
          <cell r="V1785" t="str">
            <v/>
          </cell>
          <cell r="W1785" t="str">
            <v/>
          </cell>
          <cell r="Y1785" t="str">
            <v/>
          </cell>
          <cell r="AA1785" t="str">
            <v/>
          </cell>
          <cell r="AB1785">
            <v>0</v>
          </cell>
          <cell r="AC1785">
            <v>0</v>
          </cell>
          <cell r="AI1785" t="str">
            <v/>
          </cell>
          <cell r="AJ1785" t="str">
            <v/>
          </cell>
          <cell r="AK1785">
            <v>0</v>
          </cell>
          <cell r="AL1785">
            <v>0</v>
          </cell>
          <cell r="AM1785">
            <v>0</v>
          </cell>
        </row>
        <row r="1786">
          <cell r="C1786" t="str">
            <v/>
          </cell>
          <cell r="D1786" t="str">
            <v/>
          </cell>
          <cell r="O1786" t="str">
            <v/>
          </cell>
          <cell r="T1786" t="str">
            <v/>
          </cell>
          <cell r="U1786" t="str">
            <v/>
          </cell>
          <cell r="V1786" t="str">
            <v/>
          </cell>
          <cell r="W1786" t="str">
            <v/>
          </cell>
          <cell r="Y1786" t="str">
            <v/>
          </cell>
          <cell r="AA1786" t="str">
            <v/>
          </cell>
          <cell r="AB1786">
            <v>0</v>
          </cell>
          <cell r="AC1786">
            <v>0</v>
          </cell>
          <cell r="AI1786" t="str">
            <v/>
          </cell>
          <cell r="AJ1786" t="str">
            <v/>
          </cell>
          <cell r="AK1786">
            <v>0</v>
          </cell>
          <cell r="AL1786">
            <v>0</v>
          </cell>
          <cell r="AM1786">
            <v>0</v>
          </cell>
        </row>
        <row r="1787">
          <cell r="C1787" t="str">
            <v/>
          </cell>
          <cell r="D1787" t="str">
            <v/>
          </cell>
          <cell r="O1787" t="str">
            <v/>
          </cell>
          <cell r="T1787" t="str">
            <v/>
          </cell>
          <cell r="U1787" t="str">
            <v/>
          </cell>
          <cell r="V1787" t="str">
            <v/>
          </cell>
          <cell r="W1787" t="str">
            <v/>
          </cell>
          <cell r="Y1787" t="str">
            <v/>
          </cell>
          <cell r="AA1787" t="str">
            <v/>
          </cell>
          <cell r="AB1787">
            <v>0</v>
          </cell>
          <cell r="AC1787">
            <v>0</v>
          </cell>
          <cell r="AI1787" t="str">
            <v/>
          </cell>
          <cell r="AJ1787" t="str">
            <v/>
          </cell>
          <cell r="AK1787">
            <v>0</v>
          </cell>
          <cell r="AL1787">
            <v>0</v>
          </cell>
          <cell r="AM1787">
            <v>0</v>
          </cell>
        </row>
        <row r="1788">
          <cell r="C1788" t="str">
            <v/>
          </cell>
          <cell r="D1788" t="str">
            <v/>
          </cell>
          <cell r="O1788" t="str">
            <v/>
          </cell>
          <cell r="T1788" t="str">
            <v/>
          </cell>
          <cell r="U1788" t="str">
            <v/>
          </cell>
          <cell r="V1788" t="str">
            <v/>
          </cell>
          <cell r="W1788" t="str">
            <v/>
          </cell>
          <cell r="Y1788" t="str">
            <v/>
          </cell>
          <cell r="AA1788" t="str">
            <v/>
          </cell>
          <cell r="AB1788">
            <v>0</v>
          </cell>
          <cell r="AC1788">
            <v>0</v>
          </cell>
          <cell r="AI1788" t="str">
            <v/>
          </cell>
          <cell r="AJ1788" t="str">
            <v/>
          </cell>
          <cell r="AK1788">
            <v>0</v>
          </cell>
          <cell r="AL1788">
            <v>0</v>
          </cell>
          <cell r="AM1788">
            <v>0</v>
          </cell>
        </row>
        <row r="1789">
          <cell r="C1789" t="str">
            <v/>
          </cell>
          <cell r="D1789" t="str">
            <v/>
          </cell>
          <cell r="O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/>
          </cell>
          <cell r="Y1789" t="str">
            <v/>
          </cell>
          <cell r="AA1789" t="str">
            <v/>
          </cell>
          <cell r="AB1789">
            <v>0</v>
          </cell>
          <cell r="AC1789">
            <v>0</v>
          </cell>
          <cell r="AI1789" t="str">
            <v/>
          </cell>
          <cell r="AJ1789" t="str">
            <v/>
          </cell>
          <cell r="AK1789">
            <v>0</v>
          </cell>
          <cell r="AL1789">
            <v>0</v>
          </cell>
          <cell r="AM1789">
            <v>0</v>
          </cell>
        </row>
        <row r="1790">
          <cell r="C1790" t="str">
            <v/>
          </cell>
          <cell r="D1790" t="str">
            <v/>
          </cell>
          <cell r="O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/>
          </cell>
          <cell r="Y1790" t="str">
            <v/>
          </cell>
          <cell r="AA1790" t="str">
            <v/>
          </cell>
          <cell r="AB1790">
            <v>0</v>
          </cell>
          <cell r="AC1790">
            <v>0</v>
          </cell>
          <cell r="AI1790" t="str">
            <v/>
          </cell>
          <cell r="AJ1790" t="str">
            <v/>
          </cell>
          <cell r="AK1790">
            <v>0</v>
          </cell>
          <cell r="AL1790">
            <v>0</v>
          </cell>
          <cell r="AM1790">
            <v>0</v>
          </cell>
        </row>
        <row r="1791">
          <cell r="C1791" t="str">
            <v/>
          </cell>
          <cell r="D1791" t="str">
            <v/>
          </cell>
          <cell r="O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/>
          </cell>
          <cell r="Y1791" t="str">
            <v/>
          </cell>
          <cell r="AA1791" t="str">
            <v/>
          </cell>
          <cell r="AB1791">
            <v>0</v>
          </cell>
          <cell r="AC1791">
            <v>0</v>
          </cell>
          <cell r="AI1791" t="str">
            <v/>
          </cell>
          <cell r="AJ1791" t="str">
            <v/>
          </cell>
          <cell r="AK1791">
            <v>0</v>
          </cell>
          <cell r="AL1791">
            <v>0</v>
          </cell>
          <cell r="AM1791">
            <v>0</v>
          </cell>
        </row>
        <row r="1792">
          <cell r="C1792" t="str">
            <v/>
          </cell>
          <cell r="D1792" t="str">
            <v/>
          </cell>
          <cell r="O1792" t="str">
            <v/>
          </cell>
          <cell r="T1792" t="str">
            <v/>
          </cell>
          <cell r="U1792" t="str">
            <v/>
          </cell>
          <cell r="V1792" t="str">
            <v/>
          </cell>
          <cell r="W1792" t="str">
            <v/>
          </cell>
          <cell r="Y1792" t="str">
            <v/>
          </cell>
          <cell r="AA1792" t="str">
            <v/>
          </cell>
          <cell r="AB1792">
            <v>0</v>
          </cell>
          <cell r="AC1792">
            <v>0</v>
          </cell>
          <cell r="AI1792" t="str">
            <v/>
          </cell>
          <cell r="AJ1792" t="str">
            <v/>
          </cell>
          <cell r="AK1792">
            <v>0</v>
          </cell>
          <cell r="AL1792">
            <v>0</v>
          </cell>
          <cell r="AM1792">
            <v>0</v>
          </cell>
        </row>
        <row r="1793">
          <cell r="C1793" t="str">
            <v/>
          </cell>
          <cell r="D1793" t="str">
            <v/>
          </cell>
          <cell r="O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/>
          </cell>
          <cell r="Y1793" t="str">
            <v/>
          </cell>
          <cell r="AA1793" t="str">
            <v/>
          </cell>
          <cell r="AB1793">
            <v>0</v>
          </cell>
          <cell r="AC1793">
            <v>0</v>
          </cell>
          <cell r="AI1793" t="str">
            <v/>
          </cell>
          <cell r="AJ1793" t="str">
            <v/>
          </cell>
          <cell r="AK1793">
            <v>0</v>
          </cell>
          <cell r="AL1793">
            <v>0</v>
          </cell>
          <cell r="AM1793">
            <v>0</v>
          </cell>
        </row>
        <row r="1794">
          <cell r="C1794" t="str">
            <v/>
          </cell>
          <cell r="D1794" t="str">
            <v/>
          </cell>
          <cell r="O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/>
          </cell>
          <cell r="Y1794" t="str">
            <v/>
          </cell>
          <cell r="AA1794" t="str">
            <v/>
          </cell>
          <cell r="AB1794">
            <v>0</v>
          </cell>
          <cell r="AC1794">
            <v>0</v>
          </cell>
          <cell r="AI1794" t="str">
            <v/>
          </cell>
          <cell r="AJ1794" t="str">
            <v/>
          </cell>
          <cell r="AK1794">
            <v>0</v>
          </cell>
          <cell r="AL1794">
            <v>0</v>
          </cell>
          <cell r="AM1794">
            <v>0</v>
          </cell>
        </row>
        <row r="1795">
          <cell r="C1795" t="str">
            <v/>
          </cell>
          <cell r="D1795" t="str">
            <v/>
          </cell>
          <cell r="O1795" t="str">
            <v/>
          </cell>
          <cell r="T1795" t="str">
            <v/>
          </cell>
          <cell r="U1795" t="str">
            <v/>
          </cell>
          <cell r="V1795" t="str">
            <v/>
          </cell>
          <cell r="W1795" t="str">
            <v/>
          </cell>
          <cell r="Y1795" t="str">
            <v/>
          </cell>
          <cell r="AA1795" t="str">
            <v/>
          </cell>
          <cell r="AB1795">
            <v>0</v>
          </cell>
          <cell r="AC1795">
            <v>0</v>
          </cell>
          <cell r="AI1795" t="str">
            <v/>
          </cell>
          <cell r="AJ1795" t="str">
            <v/>
          </cell>
          <cell r="AK1795">
            <v>0</v>
          </cell>
          <cell r="AL1795">
            <v>0</v>
          </cell>
          <cell r="AM1795">
            <v>0</v>
          </cell>
        </row>
        <row r="1796">
          <cell r="C1796" t="str">
            <v/>
          </cell>
          <cell r="D1796" t="str">
            <v/>
          </cell>
          <cell r="O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/>
          </cell>
          <cell r="Y1796" t="str">
            <v/>
          </cell>
          <cell r="AA1796" t="str">
            <v/>
          </cell>
          <cell r="AB1796">
            <v>0</v>
          </cell>
          <cell r="AC1796">
            <v>0</v>
          </cell>
          <cell r="AI1796" t="str">
            <v/>
          </cell>
          <cell r="AJ1796" t="str">
            <v/>
          </cell>
          <cell r="AK1796">
            <v>0</v>
          </cell>
          <cell r="AL1796">
            <v>0</v>
          </cell>
          <cell r="AM1796">
            <v>0</v>
          </cell>
        </row>
        <row r="1797">
          <cell r="C1797" t="str">
            <v/>
          </cell>
          <cell r="D1797" t="str">
            <v/>
          </cell>
          <cell r="O1797" t="str">
            <v/>
          </cell>
          <cell r="T1797" t="str">
            <v/>
          </cell>
          <cell r="U1797" t="str">
            <v/>
          </cell>
          <cell r="V1797" t="str">
            <v/>
          </cell>
          <cell r="W1797" t="str">
            <v/>
          </cell>
          <cell r="Y1797" t="str">
            <v/>
          </cell>
          <cell r="AA1797" t="str">
            <v/>
          </cell>
          <cell r="AB1797">
            <v>0</v>
          </cell>
          <cell r="AC1797">
            <v>0</v>
          </cell>
          <cell r="AI1797" t="str">
            <v/>
          </cell>
          <cell r="AJ1797" t="str">
            <v/>
          </cell>
          <cell r="AK1797">
            <v>0</v>
          </cell>
          <cell r="AL1797">
            <v>0</v>
          </cell>
          <cell r="AM1797">
            <v>0</v>
          </cell>
        </row>
        <row r="1798">
          <cell r="C1798" t="str">
            <v/>
          </cell>
          <cell r="D1798" t="str">
            <v/>
          </cell>
          <cell r="O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/>
          </cell>
          <cell r="Y1798" t="str">
            <v/>
          </cell>
          <cell r="AA1798" t="str">
            <v/>
          </cell>
          <cell r="AB1798">
            <v>0</v>
          </cell>
          <cell r="AC1798">
            <v>0</v>
          </cell>
          <cell r="AI1798" t="str">
            <v/>
          </cell>
          <cell r="AJ1798" t="str">
            <v/>
          </cell>
          <cell r="AK1798">
            <v>0</v>
          </cell>
          <cell r="AL1798">
            <v>0</v>
          </cell>
          <cell r="AM1798">
            <v>0</v>
          </cell>
        </row>
        <row r="1799">
          <cell r="C1799" t="str">
            <v/>
          </cell>
          <cell r="D1799" t="str">
            <v/>
          </cell>
          <cell r="O1799" t="str">
            <v/>
          </cell>
          <cell r="T1799" t="str">
            <v/>
          </cell>
          <cell r="U1799" t="str">
            <v/>
          </cell>
          <cell r="V1799" t="str">
            <v/>
          </cell>
          <cell r="W1799" t="str">
            <v/>
          </cell>
          <cell r="Y1799" t="str">
            <v/>
          </cell>
          <cell r="AA1799" t="str">
            <v/>
          </cell>
          <cell r="AB1799">
            <v>0</v>
          </cell>
          <cell r="AC1799">
            <v>0</v>
          </cell>
          <cell r="AI1799" t="str">
            <v/>
          </cell>
          <cell r="AJ1799" t="str">
            <v/>
          </cell>
          <cell r="AK1799">
            <v>0</v>
          </cell>
          <cell r="AL1799">
            <v>0</v>
          </cell>
          <cell r="AM1799">
            <v>0</v>
          </cell>
        </row>
        <row r="1800">
          <cell r="C1800" t="str">
            <v/>
          </cell>
          <cell r="D1800" t="str">
            <v/>
          </cell>
          <cell r="O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/>
          </cell>
          <cell r="Y1800" t="str">
            <v/>
          </cell>
          <cell r="AA1800" t="str">
            <v/>
          </cell>
          <cell r="AB1800">
            <v>0</v>
          </cell>
          <cell r="AC1800">
            <v>0</v>
          </cell>
          <cell r="AI1800" t="str">
            <v/>
          </cell>
          <cell r="AJ1800" t="str">
            <v/>
          </cell>
          <cell r="AK1800">
            <v>0</v>
          </cell>
          <cell r="AL1800">
            <v>0</v>
          </cell>
          <cell r="AM1800">
            <v>0</v>
          </cell>
        </row>
        <row r="1801">
          <cell r="C1801" t="str">
            <v/>
          </cell>
          <cell r="D1801" t="str">
            <v/>
          </cell>
          <cell r="O1801" t="str">
            <v/>
          </cell>
          <cell r="T1801" t="str">
            <v/>
          </cell>
          <cell r="U1801" t="str">
            <v/>
          </cell>
          <cell r="V1801" t="str">
            <v/>
          </cell>
          <cell r="W1801" t="str">
            <v/>
          </cell>
          <cell r="Y1801" t="str">
            <v/>
          </cell>
          <cell r="AA1801" t="str">
            <v/>
          </cell>
          <cell r="AB1801">
            <v>0</v>
          </cell>
          <cell r="AC1801">
            <v>0</v>
          </cell>
          <cell r="AI1801" t="str">
            <v/>
          </cell>
          <cell r="AJ1801" t="str">
            <v/>
          </cell>
          <cell r="AK1801">
            <v>0</v>
          </cell>
          <cell r="AL1801">
            <v>0</v>
          </cell>
          <cell r="AM1801">
            <v>0</v>
          </cell>
        </row>
        <row r="1802">
          <cell r="C1802" t="str">
            <v/>
          </cell>
          <cell r="D1802" t="str">
            <v/>
          </cell>
          <cell r="O1802" t="str">
            <v/>
          </cell>
          <cell r="T1802" t="str">
            <v/>
          </cell>
          <cell r="U1802" t="str">
            <v/>
          </cell>
          <cell r="V1802" t="str">
            <v/>
          </cell>
          <cell r="W1802" t="str">
            <v/>
          </cell>
          <cell r="Y1802" t="str">
            <v/>
          </cell>
          <cell r="AA1802" t="str">
            <v/>
          </cell>
          <cell r="AB1802">
            <v>0</v>
          </cell>
          <cell r="AC1802">
            <v>0</v>
          </cell>
          <cell r="AI1802" t="str">
            <v/>
          </cell>
          <cell r="AJ1802" t="str">
            <v/>
          </cell>
          <cell r="AK1802">
            <v>0</v>
          </cell>
          <cell r="AL1802">
            <v>0</v>
          </cell>
          <cell r="AM1802">
            <v>0</v>
          </cell>
        </row>
        <row r="1803">
          <cell r="C1803" t="str">
            <v/>
          </cell>
          <cell r="D1803" t="str">
            <v/>
          </cell>
          <cell r="O1803" t="str">
            <v/>
          </cell>
          <cell r="T1803" t="str">
            <v/>
          </cell>
          <cell r="U1803" t="str">
            <v/>
          </cell>
          <cell r="V1803" t="str">
            <v/>
          </cell>
          <cell r="W1803" t="str">
            <v/>
          </cell>
          <cell r="Y1803" t="str">
            <v/>
          </cell>
          <cell r="AA1803" t="str">
            <v/>
          </cell>
          <cell r="AB1803">
            <v>0</v>
          </cell>
          <cell r="AC1803">
            <v>0</v>
          </cell>
          <cell r="AI1803" t="str">
            <v/>
          </cell>
          <cell r="AJ1803" t="str">
            <v/>
          </cell>
          <cell r="AK1803">
            <v>0</v>
          </cell>
          <cell r="AL1803">
            <v>0</v>
          </cell>
          <cell r="AM1803">
            <v>0</v>
          </cell>
        </row>
        <row r="1804">
          <cell r="C1804" t="str">
            <v/>
          </cell>
          <cell r="D1804" t="str">
            <v/>
          </cell>
          <cell r="O1804" t="str">
            <v/>
          </cell>
          <cell r="T1804" t="str">
            <v/>
          </cell>
          <cell r="U1804" t="str">
            <v/>
          </cell>
          <cell r="V1804" t="str">
            <v/>
          </cell>
          <cell r="W1804" t="str">
            <v/>
          </cell>
          <cell r="Y1804" t="str">
            <v/>
          </cell>
          <cell r="AA1804" t="str">
            <v/>
          </cell>
          <cell r="AB1804">
            <v>0</v>
          </cell>
          <cell r="AC1804">
            <v>0</v>
          </cell>
          <cell r="AI1804" t="str">
            <v/>
          </cell>
          <cell r="AJ1804" t="str">
            <v/>
          </cell>
          <cell r="AK1804">
            <v>0</v>
          </cell>
          <cell r="AL1804">
            <v>0</v>
          </cell>
          <cell r="AM1804">
            <v>0</v>
          </cell>
        </row>
        <row r="1805">
          <cell r="C1805" t="str">
            <v/>
          </cell>
          <cell r="D1805" t="str">
            <v/>
          </cell>
          <cell r="O1805" t="str">
            <v/>
          </cell>
          <cell r="T1805" t="str">
            <v/>
          </cell>
          <cell r="U1805" t="str">
            <v/>
          </cell>
          <cell r="V1805" t="str">
            <v/>
          </cell>
          <cell r="W1805" t="str">
            <v/>
          </cell>
          <cell r="Y1805" t="str">
            <v/>
          </cell>
          <cell r="AA1805" t="str">
            <v/>
          </cell>
          <cell r="AB1805">
            <v>0</v>
          </cell>
          <cell r="AC1805">
            <v>0</v>
          </cell>
          <cell r="AI1805" t="str">
            <v/>
          </cell>
          <cell r="AJ1805" t="str">
            <v/>
          </cell>
          <cell r="AK1805">
            <v>0</v>
          </cell>
          <cell r="AL1805">
            <v>0</v>
          </cell>
          <cell r="AM1805">
            <v>0</v>
          </cell>
        </row>
        <row r="1806">
          <cell r="C1806" t="str">
            <v/>
          </cell>
          <cell r="D1806" t="str">
            <v/>
          </cell>
          <cell r="O1806" t="str">
            <v/>
          </cell>
          <cell r="T1806" t="str">
            <v/>
          </cell>
          <cell r="U1806" t="str">
            <v/>
          </cell>
          <cell r="V1806" t="str">
            <v/>
          </cell>
          <cell r="W1806" t="str">
            <v/>
          </cell>
          <cell r="Y1806" t="str">
            <v/>
          </cell>
          <cell r="AA1806" t="str">
            <v/>
          </cell>
          <cell r="AB1806">
            <v>0</v>
          </cell>
          <cell r="AC1806">
            <v>0</v>
          </cell>
          <cell r="AI1806" t="str">
            <v/>
          </cell>
          <cell r="AJ1806" t="str">
            <v/>
          </cell>
          <cell r="AK1806">
            <v>0</v>
          </cell>
          <cell r="AL1806">
            <v>0</v>
          </cell>
          <cell r="AM1806">
            <v>0</v>
          </cell>
        </row>
        <row r="1807">
          <cell r="C1807" t="str">
            <v/>
          </cell>
          <cell r="D1807" t="str">
            <v/>
          </cell>
          <cell r="O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/>
          </cell>
          <cell r="Y1807" t="str">
            <v/>
          </cell>
          <cell r="AA1807" t="str">
            <v/>
          </cell>
          <cell r="AB1807">
            <v>0</v>
          </cell>
          <cell r="AC1807">
            <v>0</v>
          </cell>
          <cell r="AI1807" t="str">
            <v/>
          </cell>
          <cell r="AJ1807" t="str">
            <v/>
          </cell>
          <cell r="AK1807">
            <v>0</v>
          </cell>
          <cell r="AL1807">
            <v>0</v>
          </cell>
          <cell r="AM1807">
            <v>0</v>
          </cell>
        </row>
        <row r="1808">
          <cell r="C1808" t="str">
            <v/>
          </cell>
          <cell r="D1808" t="str">
            <v/>
          </cell>
          <cell r="O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/>
          </cell>
          <cell r="Y1808" t="str">
            <v/>
          </cell>
          <cell r="AA1808" t="str">
            <v/>
          </cell>
          <cell r="AB1808">
            <v>0</v>
          </cell>
          <cell r="AC1808">
            <v>0</v>
          </cell>
          <cell r="AI1808" t="str">
            <v/>
          </cell>
          <cell r="AJ1808" t="str">
            <v/>
          </cell>
          <cell r="AK1808">
            <v>0</v>
          </cell>
          <cell r="AL1808">
            <v>0</v>
          </cell>
          <cell r="AM1808">
            <v>0</v>
          </cell>
        </row>
        <row r="1809">
          <cell r="C1809" t="str">
            <v/>
          </cell>
          <cell r="D1809" t="str">
            <v/>
          </cell>
          <cell r="O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/>
          </cell>
          <cell r="Y1809" t="str">
            <v/>
          </cell>
          <cell r="AA1809" t="str">
            <v/>
          </cell>
          <cell r="AB1809">
            <v>0</v>
          </cell>
          <cell r="AC1809">
            <v>0</v>
          </cell>
          <cell r="AI1809" t="str">
            <v/>
          </cell>
          <cell r="AJ1809" t="str">
            <v/>
          </cell>
          <cell r="AK1809">
            <v>0</v>
          </cell>
          <cell r="AL1809">
            <v>0</v>
          </cell>
          <cell r="AM1809">
            <v>0</v>
          </cell>
        </row>
        <row r="1810">
          <cell r="C1810" t="str">
            <v/>
          </cell>
          <cell r="D1810" t="str">
            <v/>
          </cell>
          <cell r="O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/>
          </cell>
          <cell r="Y1810" t="str">
            <v/>
          </cell>
          <cell r="AA1810" t="str">
            <v/>
          </cell>
          <cell r="AB1810">
            <v>0</v>
          </cell>
          <cell r="AC1810">
            <v>0</v>
          </cell>
          <cell r="AI1810" t="str">
            <v/>
          </cell>
          <cell r="AJ1810" t="str">
            <v/>
          </cell>
          <cell r="AK1810">
            <v>0</v>
          </cell>
          <cell r="AL1810">
            <v>0</v>
          </cell>
          <cell r="AM1810">
            <v>0</v>
          </cell>
        </row>
        <row r="1811">
          <cell r="C1811" t="str">
            <v/>
          </cell>
          <cell r="D1811" t="str">
            <v/>
          </cell>
          <cell r="O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/>
          </cell>
          <cell r="Y1811" t="str">
            <v/>
          </cell>
          <cell r="AA1811" t="str">
            <v/>
          </cell>
          <cell r="AB1811">
            <v>0</v>
          </cell>
          <cell r="AC1811">
            <v>0</v>
          </cell>
          <cell r="AI1811" t="str">
            <v/>
          </cell>
          <cell r="AJ1811" t="str">
            <v/>
          </cell>
          <cell r="AK1811">
            <v>0</v>
          </cell>
          <cell r="AL1811">
            <v>0</v>
          </cell>
          <cell r="AM1811">
            <v>0</v>
          </cell>
        </row>
        <row r="1812">
          <cell r="C1812" t="str">
            <v/>
          </cell>
          <cell r="D1812" t="str">
            <v/>
          </cell>
          <cell r="O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/>
          </cell>
          <cell r="Y1812" t="str">
            <v/>
          </cell>
          <cell r="AA1812" t="str">
            <v/>
          </cell>
          <cell r="AB1812">
            <v>0</v>
          </cell>
          <cell r="AC1812">
            <v>0</v>
          </cell>
          <cell r="AI1812" t="str">
            <v/>
          </cell>
          <cell r="AJ1812" t="str">
            <v/>
          </cell>
          <cell r="AK1812">
            <v>0</v>
          </cell>
          <cell r="AL1812">
            <v>0</v>
          </cell>
          <cell r="AM1812">
            <v>0</v>
          </cell>
        </row>
        <row r="1813">
          <cell r="C1813" t="str">
            <v/>
          </cell>
          <cell r="D1813" t="str">
            <v/>
          </cell>
          <cell r="O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/>
          </cell>
          <cell r="Y1813" t="str">
            <v/>
          </cell>
          <cell r="AA1813" t="str">
            <v/>
          </cell>
          <cell r="AB1813">
            <v>0</v>
          </cell>
          <cell r="AC1813">
            <v>0</v>
          </cell>
          <cell r="AI1813" t="str">
            <v/>
          </cell>
          <cell r="AJ1813" t="str">
            <v/>
          </cell>
          <cell r="AK1813">
            <v>0</v>
          </cell>
          <cell r="AL1813">
            <v>0</v>
          </cell>
          <cell r="AM1813">
            <v>0</v>
          </cell>
        </row>
        <row r="1814">
          <cell r="C1814" t="str">
            <v/>
          </cell>
          <cell r="D1814" t="str">
            <v/>
          </cell>
          <cell r="O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/>
          </cell>
          <cell r="Y1814" t="str">
            <v/>
          </cell>
          <cell r="AA1814" t="str">
            <v/>
          </cell>
          <cell r="AB1814">
            <v>0</v>
          </cell>
          <cell r="AC1814">
            <v>0</v>
          </cell>
          <cell r="AI1814" t="str">
            <v/>
          </cell>
          <cell r="AJ1814" t="str">
            <v/>
          </cell>
          <cell r="AK1814">
            <v>0</v>
          </cell>
          <cell r="AL1814">
            <v>0</v>
          </cell>
          <cell r="AM1814">
            <v>0</v>
          </cell>
        </row>
        <row r="1815">
          <cell r="C1815" t="str">
            <v/>
          </cell>
          <cell r="D1815" t="str">
            <v/>
          </cell>
          <cell r="O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/>
          </cell>
          <cell r="Y1815" t="str">
            <v/>
          </cell>
          <cell r="AA1815" t="str">
            <v/>
          </cell>
          <cell r="AB1815">
            <v>0</v>
          </cell>
          <cell r="AC1815">
            <v>0</v>
          </cell>
          <cell r="AI1815" t="str">
            <v/>
          </cell>
          <cell r="AJ1815" t="str">
            <v/>
          </cell>
          <cell r="AK1815">
            <v>0</v>
          </cell>
          <cell r="AL1815">
            <v>0</v>
          </cell>
          <cell r="AM1815">
            <v>0</v>
          </cell>
        </row>
        <row r="1816">
          <cell r="C1816" t="str">
            <v/>
          </cell>
          <cell r="D1816" t="str">
            <v/>
          </cell>
          <cell r="O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/>
          </cell>
          <cell r="Y1816" t="str">
            <v/>
          </cell>
          <cell r="AA1816" t="str">
            <v/>
          </cell>
          <cell r="AB1816">
            <v>0</v>
          </cell>
          <cell r="AC1816">
            <v>0</v>
          </cell>
          <cell r="AI1816" t="str">
            <v/>
          </cell>
          <cell r="AJ1816" t="str">
            <v/>
          </cell>
          <cell r="AK1816">
            <v>0</v>
          </cell>
          <cell r="AL1816">
            <v>0</v>
          </cell>
          <cell r="AM1816">
            <v>0</v>
          </cell>
        </row>
        <row r="1817">
          <cell r="C1817" t="str">
            <v/>
          </cell>
          <cell r="D1817" t="str">
            <v/>
          </cell>
          <cell r="O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/>
          </cell>
          <cell r="Y1817" t="str">
            <v/>
          </cell>
          <cell r="AA1817" t="str">
            <v/>
          </cell>
          <cell r="AB1817">
            <v>0</v>
          </cell>
          <cell r="AC1817">
            <v>0</v>
          </cell>
          <cell r="AI1817" t="str">
            <v/>
          </cell>
          <cell r="AJ1817" t="str">
            <v/>
          </cell>
          <cell r="AK1817">
            <v>0</v>
          </cell>
          <cell r="AL1817">
            <v>0</v>
          </cell>
          <cell r="AM1817">
            <v>0</v>
          </cell>
        </row>
        <row r="1818">
          <cell r="C1818" t="str">
            <v/>
          </cell>
          <cell r="D1818" t="str">
            <v/>
          </cell>
          <cell r="O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/>
          </cell>
          <cell r="Y1818" t="str">
            <v/>
          </cell>
          <cell r="AA1818" t="str">
            <v/>
          </cell>
          <cell r="AB1818">
            <v>0</v>
          </cell>
          <cell r="AC1818">
            <v>0</v>
          </cell>
          <cell r="AI1818" t="str">
            <v/>
          </cell>
          <cell r="AJ1818" t="str">
            <v/>
          </cell>
          <cell r="AK1818">
            <v>0</v>
          </cell>
          <cell r="AL1818">
            <v>0</v>
          </cell>
          <cell r="AM1818">
            <v>0</v>
          </cell>
        </row>
        <row r="1819">
          <cell r="C1819" t="str">
            <v/>
          </cell>
          <cell r="D1819" t="str">
            <v/>
          </cell>
          <cell r="O1819" t="str">
            <v/>
          </cell>
          <cell r="T1819" t="str">
            <v/>
          </cell>
          <cell r="U1819" t="str">
            <v/>
          </cell>
          <cell r="V1819" t="str">
            <v/>
          </cell>
          <cell r="W1819" t="str">
            <v/>
          </cell>
          <cell r="Y1819" t="str">
            <v/>
          </cell>
          <cell r="AA1819" t="str">
            <v/>
          </cell>
          <cell r="AB1819">
            <v>0</v>
          </cell>
          <cell r="AC1819">
            <v>0</v>
          </cell>
          <cell r="AI1819" t="str">
            <v/>
          </cell>
          <cell r="AJ1819" t="str">
            <v/>
          </cell>
          <cell r="AK1819">
            <v>0</v>
          </cell>
          <cell r="AL1819">
            <v>0</v>
          </cell>
          <cell r="AM1819">
            <v>0</v>
          </cell>
        </row>
        <row r="1820">
          <cell r="C1820" t="str">
            <v/>
          </cell>
          <cell r="D1820" t="str">
            <v/>
          </cell>
          <cell r="O1820" t="str">
            <v/>
          </cell>
          <cell r="T1820" t="str">
            <v/>
          </cell>
          <cell r="U1820" t="str">
            <v/>
          </cell>
          <cell r="V1820" t="str">
            <v/>
          </cell>
          <cell r="W1820" t="str">
            <v/>
          </cell>
          <cell r="Y1820" t="str">
            <v/>
          </cell>
          <cell r="AA1820" t="str">
            <v/>
          </cell>
          <cell r="AB1820">
            <v>0</v>
          </cell>
          <cell r="AC1820">
            <v>0</v>
          </cell>
          <cell r="AI1820" t="str">
            <v/>
          </cell>
          <cell r="AJ1820" t="str">
            <v/>
          </cell>
          <cell r="AK1820">
            <v>0</v>
          </cell>
          <cell r="AL1820">
            <v>0</v>
          </cell>
          <cell r="AM1820">
            <v>0</v>
          </cell>
        </row>
        <row r="1821">
          <cell r="C1821" t="str">
            <v/>
          </cell>
          <cell r="D1821" t="str">
            <v/>
          </cell>
          <cell r="O1821" t="str">
            <v/>
          </cell>
          <cell r="T1821" t="str">
            <v/>
          </cell>
          <cell r="U1821" t="str">
            <v/>
          </cell>
          <cell r="V1821" t="str">
            <v/>
          </cell>
          <cell r="W1821" t="str">
            <v/>
          </cell>
          <cell r="Y1821" t="str">
            <v/>
          </cell>
          <cell r="AA1821" t="str">
            <v/>
          </cell>
          <cell r="AB1821">
            <v>0</v>
          </cell>
          <cell r="AC1821">
            <v>0</v>
          </cell>
          <cell r="AI1821" t="str">
            <v/>
          </cell>
          <cell r="AJ1821" t="str">
            <v/>
          </cell>
          <cell r="AK1821">
            <v>0</v>
          </cell>
          <cell r="AL1821">
            <v>0</v>
          </cell>
          <cell r="AM1821">
            <v>0</v>
          </cell>
        </row>
        <row r="1822">
          <cell r="C1822" t="str">
            <v/>
          </cell>
          <cell r="D1822" t="str">
            <v/>
          </cell>
          <cell r="O1822" t="str">
            <v/>
          </cell>
          <cell r="T1822" t="str">
            <v/>
          </cell>
          <cell r="U1822" t="str">
            <v/>
          </cell>
          <cell r="V1822" t="str">
            <v/>
          </cell>
          <cell r="W1822" t="str">
            <v/>
          </cell>
          <cell r="Y1822" t="str">
            <v/>
          </cell>
          <cell r="AA1822" t="str">
            <v/>
          </cell>
          <cell r="AB1822">
            <v>0</v>
          </cell>
          <cell r="AC1822">
            <v>0</v>
          </cell>
          <cell r="AI1822" t="str">
            <v/>
          </cell>
          <cell r="AJ1822" t="str">
            <v/>
          </cell>
          <cell r="AK1822">
            <v>0</v>
          </cell>
          <cell r="AL1822">
            <v>0</v>
          </cell>
          <cell r="AM1822">
            <v>0</v>
          </cell>
        </row>
        <row r="1823">
          <cell r="C1823" t="str">
            <v/>
          </cell>
          <cell r="D1823" t="str">
            <v/>
          </cell>
          <cell r="O1823" t="str">
            <v/>
          </cell>
          <cell r="T1823" t="str">
            <v/>
          </cell>
          <cell r="U1823" t="str">
            <v/>
          </cell>
          <cell r="V1823" t="str">
            <v/>
          </cell>
          <cell r="W1823" t="str">
            <v/>
          </cell>
          <cell r="Y1823" t="str">
            <v/>
          </cell>
          <cell r="AA1823" t="str">
            <v/>
          </cell>
          <cell r="AB1823">
            <v>0</v>
          </cell>
          <cell r="AC1823">
            <v>0</v>
          </cell>
          <cell r="AI1823" t="str">
            <v/>
          </cell>
          <cell r="AJ1823" t="str">
            <v/>
          </cell>
          <cell r="AK1823">
            <v>0</v>
          </cell>
          <cell r="AL1823">
            <v>0</v>
          </cell>
          <cell r="AM1823">
            <v>0</v>
          </cell>
        </row>
        <row r="1824">
          <cell r="C1824" t="str">
            <v/>
          </cell>
          <cell r="D1824" t="str">
            <v/>
          </cell>
          <cell r="O1824" t="str">
            <v/>
          </cell>
          <cell r="T1824" t="str">
            <v/>
          </cell>
          <cell r="U1824" t="str">
            <v/>
          </cell>
          <cell r="V1824" t="str">
            <v/>
          </cell>
          <cell r="W1824" t="str">
            <v/>
          </cell>
          <cell r="Y1824" t="str">
            <v/>
          </cell>
          <cell r="AA1824" t="str">
            <v/>
          </cell>
          <cell r="AB1824">
            <v>0</v>
          </cell>
          <cell r="AC1824">
            <v>0</v>
          </cell>
          <cell r="AI1824" t="str">
            <v/>
          </cell>
          <cell r="AJ1824" t="str">
            <v/>
          </cell>
          <cell r="AK1824">
            <v>0</v>
          </cell>
          <cell r="AL1824">
            <v>0</v>
          </cell>
          <cell r="AM1824">
            <v>0</v>
          </cell>
        </row>
        <row r="1825">
          <cell r="C1825" t="str">
            <v/>
          </cell>
          <cell r="D1825" t="str">
            <v/>
          </cell>
          <cell r="O1825" t="str">
            <v/>
          </cell>
          <cell r="T1825" t="str">
            <v/>
          </cell>
          <cell r="U1825" t="str">
            <v/>
          </cell>
          <cell r="V1825" t="str">
            <v/>
          </cell>
          <cell r="W1825" t="str">
            <v/>
          </cell>
          <cell r="Y1825" t="str">
            <v/>
          </cell>
          <cell r="AA1825" t="str">
            <v/>
          </cell>
          <cell r="AB1825">
            <v>0</v>
          </cell>
          <cell r="AC1825">
            <v>0</v>
          </cell>
          <cell r="AI1825" t="str">
            <v/>
          </cell>
          <cell r="AJ1825" t="str">
            <v/>
          </cell>
          <cell r="AK1825">
            <v>0</v>
          </cell>
          <cell r="AL1825">
            <v>0</v>
          </cell>
          <cell r="AM1825">
            <v>0</v>
          </cell>
        </row>
        <row r="1826">
          <cell r="C1826" t="str">
            <v/>
          </cell>
          <cell r="D1826" t="str">
            <v/>
          </cell>
          <cell r="O1826" t="str">
            <v/>
          </cell>
          <cell r="T1826" t="str">
            <v/>
          </cell>
          <cell r="U1826" t="str">
            <v/>
          </cell>
          <cell r="V1826" t="str">
            <v/>
          </cell>
          <cell r="W1826" t="str">
            <v/>
          </cell>
          <cell r="Y1826" t="str">
            <v/>
          </cell>
          <cell r="AA1826" t="str">
            <v/>
          </cell>
          <cell r="AB1826">
            <v>0</v>
          </cell>
          <cell r="AC1826">
            <v>0</v>
          </cell>
          <cell r="AI1826" t="str">
            <v/>
          </cell>
          <cell r="AJ1826" t="str">
            <v/>
          </cell>
          <cell r="AK1826">
            <v>0</v>
          </cell>
          <cell r="AL1826">
            <v>0</v>
          </cell>
          <cell r="AM1826">
            <v>0</v>
          </cell>
        </row>
        <row r="1827">
          <cell r="C1827" t="str">
            <v/>
          </cell>
          <cell r="D1827" t="str">
            <v/>
          </cell>
          <cell r="O1827" t="str">
            <v/>
          </cell>
          <cell r="T1827" t="str">
            <v/>
          </cell>
          <cell r="U1827" t="str">
            <v/>
          </cell>
          <cell r="V1827" t="str">
            <v/>
          </cell>
          <cell r="W1827" t="str">
            <v/>
          </cell>
          <cell r="Y1827" t="str">
            <v/>
          </cell>
          <cell r="AA1827" t="str">
            <v/>
          </cell>
          <cell r="AB1827">
            <v>0</v>
          </cell>
          <cell r="AC1827">
            <v>0</v>
          </cell>
          <cell r="AI1827" t="str">
            <v/>
          </cell>
          <cell r="AJ1827" t="str">
            <v/>
          </cell>
          <cell r="AK1827">
            <v>0</v>
          </cell>
          <cell r="AL1827">
            <v>0</v>
          </cell>
          <cell r="AM1827">
            <v>0</v>
          </cell>
        </row>
        <row r="1828">
          <cell r="C1828" t="str">
            <v/>
          </cell>
          <cell r="D1828" t="str">
            <v/>
          </cell>
          <cell r="O1828" t="str">
            <v/>
          </cell>
          <cell r="T1828" t="str">
            <v/>
          </cell>
          <cell r="U1828" t="str">
            <v/>
          </cell>
          <cell r="V1828" t="str">
            <v/>
          </cell>
          <cell r="W1828" t="str">
            <v/>
          </cell>
          <cell r="Y1828" t="str">
            <v/>
          </cell>
          <cell r="AA1828" t="str">
            <v/>
          </cell>
          <cell r="AB1828">
            <v>0</v>
          </cell>
          <cell r="AC1828">
            <v>0</v>
          </cell>
          <cell r="AI1828" t="str">
            <v/>
          </cell>
          <cell r="AJ1828" t="str">
            <v/>
          </cell>
          <cell r="AK1828">
            <v>0</v>
          </cell>
          <cell r="AL1828">
            <v>0</v>
          </cell>
          <cell r="AM1828">
            <v>0</v>
          </cell>
        </row>
        <row r="1829">
          <cell r="C1829" t="str">
            <v/>
          </cell>
          <cell r="D1829" t="str">
            <v/>
          </cell>
          <cell r="O1829" t="str">
            <v/>
          </cell>
          <cell r="T1829" t="str">
            <v/>
          </cell>
          <cell r="U1829" t="str">
            <v/>
          </cell>
          <cell r="V1829" t="str">
            <v/>
          </cell>
          <cell r="W1829" t="str">
            <v/>
          </cell>
          <cell r="Y1829" t="str">
            <v/>
          </cell>
          <cell r="AA1829" t="str">
            <v/>
          </cell>
          <cell r="AB1829">
            <v>0</v>
          </cell>
          <cell r="AC1829">
            <v>0</v>
          </cell>
          <cell r="AI1829" t="str">
            <v/>
          </cell>
          <cell r="AJ1829" t="str">
            <v/>
          </cell>
          <cell r="AK1829">
            <v>0</v>
          </cell>
          <cell r="AL1829">
            <v>0</v>
          </cell>
          <cell r="AM1829">
            <v>0</v>
          </cell>
        </row>
        <row r="1830">
          <cell r="C1830" t="str">
            <v/>
          </cell>
          <cell r="D1830" t="str">
            <v/>
          </cell>
          <cell r="O1830" t="str">
            <v/>
          </cell>
          <cell r="T1830" t="str">
            <v/>
          </cell>
          <cell r="U1830" t="str">
            <v/>
          </cell>
          <cell r="V1830" t="str">
            <v/>
          </cell>
          <cell r="W1830" t="str">
            <v/>
          </cell>
          <cell r="Y1830" t="str">
            <v/>
          </cell>
          <cell r="AA1830" t="str">
            <v/>
          </cell>
          <cell r="AB1830">
            <v>0</v>
          </cell>
          <cell r="AC1830">
            <v>0</v>
          </cell>
          <cell r="AI1830" t="str">
            <v/>
          </cell>
          <cell r="AJ1830" t="str">
            <v/>
          </cell>
          <cell r="AK1830">
            <v>0</v>
          </cell>
          <cell r="AL1830">
            <v>0</v>
          </cell>
          <cell r="AM1830">
            <v>0</v>
          </cell>
        </row>
        <row r="1831">
          <cell r="C1831" t="str">
            <v/>
          </cell>
          <cell r="D1831" t="str">
            <v/>
          </cell>
          <cell r="O1831" t="str">
            <v/>
          </cell>
          <cell r="T1831" t="str">
            <v/>
          </cell>
          <cell r="U1831" t="str">
            <v/>
          </cell>
          <cell r="V1831" t="str">
            <v/>
          </cell>
          <cell r="W1831" t="str">
            <v/>
          </cell>
          <cell r="Y1831" t="str">
            <v/>
          </cell>
          <cell r="AA1831" t="str">
            <v/>
          </cell>
          <cell r="AB1831">
            <v>0</v>
          </cell>
          <cell r="AC1831">
            <v>0</v>
          </cell>
          <cell r="AI1831" t="str">
            <v/>
          </cell>
          <cell r="AJ1831" t="str">
            <v/>
          </cell>
          <cell r="AK1831">
            <v>0</v>
          </cell>
          <cell r="AL1831">
            <v>0</v>
          </cell>
          <cell r="AM1831">
            <v>0</v>
          </cell>
        </row>
        <row r="1832">
          <cell r="C1832" t="str">
            <v/>
          </cell>
          <cell r="D1832" t="str">
            <v/>
          </cell>
          <cell r="O1832" t="str">
            <v/>
          </cell>
          <cell r="T1832" t="str">
            <v/>
          </cell>
          <cell r="U1832" t="str">
            <v/>
          </cell>
          <cell r="V1832" t="str">
            <v/>
          </cell>
          <cell r="W1832" t="str">
            <v/>
          </cell>
          <cell r="Y1832" t="str">
            <v/>
          </cell>
          <cell r="AA1832" t="str">
            <v/>
          </cell>
          <cell r="AB1832">
            <v>0</v>
          </cell>
          <cell r="AC1832">
            <v>0</v>
          </cell>
          <cell r="AI1832" t="str">
            <v/>
          </cell>
          <cell r="AJ1832" t="str">
            <v/>
          </cell>
          <cell r="AK1832">
            <v>0</v>
          </cell>
          <cell r="AL1832">
            <v>0</v>
          </cell>
          <cell r="AM1832">
            <v>0</v>
          </cell>
        </row>
        <row r="1833">
          <cell r="C1833" t="str">
            <v/>
          </cell>
          <cell r="D1833" t="str">
            <v/>
          </cell>
          <cell r="O1833" t="str">
            <v/>
          </cell>
          <cell r="T1833" t="str">
            <v/>
          </cell>
          <cell r="U1833" t="str">
            <v/>
          </cell>
          <cell r="V1833" t="str">
            <v/>
          </cell>
          <cell r="W1833" t="str">
            <v/>
          </cell>
          <cell r="Y1833" t="str">
            <v/>
          </cell>
          <cell r="AA1833" t="str">
            <v/>
          </cell>
          <cell r="AB1833">
            <v>0</v>
          </cell>
          <cell r="AC1833">
            <v>0</v>
          </cell>
          <cell r="AI1833" t="str">
            <v/>
          </cell>
          <cell r="AJ1833" t="str">
            <v/>
          </cell>
          <cell r="AK1833">
            <v>0</v>
          </cell>
          <cell r="AL1833">
            <v>0</v>
          </cell>
          <cell r="AM1833">
            <v>0</v>
          </cell>
        </row>
        <row r="1834">
          <cell r="C1834" t="str">
            <v/>
          </cell>
          <cell r="D1834" t="str">
            <v/>
          </cell>
          <cell r="O1834" t="str">
            <v/>
          </cell>
          <cell r="T1834" t="str">
            <v/>
          </cell>
          <cell r="U1834" t="str">
            <v/>
          </cell>
          <cell r="V1834" t="str">
            <v/>
          </cell>
          <cell r="W1834" t="str">
            <v/>
          </cell>
          <cell r="Y1834" t="str">
            <v/>
          </cell>
          <cell r="AA1834" t="str">
            <v/>
          </cell>
          <cell r="AB1834">
            <v>0</v>
          </cell>
          <cell r="AC1834">
            <v>0</v>
          </cell>
          <cell r="AI1834" t="str">
            <v/>
          </cell>
          <cell r="AJ1834" t="str">
            <v/>
          </cell>
          <cell r="AK1834">
            <v>0</v>
          </cell>
          <cell r="AL1834">
            <v>0</v>
          </cell>
          <cell r="AM1834">
            <v>0</v>
          </cell>
        </row>
        <row r="1835">
          <cell r="C1835" t="str">
            <v/>
          </cell>
          <cell r="D1835" t="str">
            <v/>
          </cell>
          <cell r="O1835" t="str">
            <v/>
          </cell>
          <cell r="T1835" t="str">
            <v/>
          </cell>
          <cell r="U1835" t="str">
            <v/>
          </cell>
          <cell r="V1835" t="str">
            <v/>
          </cell>
          <cell r="W1835" t="str">
            <v/>
          </cell>
          <cell r="Y1835" t="str">
            <v/>
          </cell>
          <cell r="AA1835" t="str">
            <v/>
          </cell>
          <cell r="AB1835">
            <v>0</v>
          </cell>
          <cell r="AC1835">
            <v>0</v>
          </cell>
          <cell r="AI1835" t="str">
            <v/>
          </cell>
          <cell r="AJ1835" t="str">
            <v/>
          </cell>
          <cell r="AK1835">
            <v>0</v>
          </cell>
          <cell r="AL1835">
            <v>0</v>
          </cell>
          <cell r="AM1835">
            <v>0</v>
          </cell>
        </row>
        <row r="1836">
          <cell r="C1836" t="str">
            <v/>
          </cell>
          <cell r="D1836" t="str">
            <v/>
          </cell>
          <cell r="O1836" t="str">
            <v/>
          </cell>
          <cell r="T1836" t="str">
            <v/>
          </cell>
          <cell r="U1836" t="str">
            <v/>
          </cell>
          <cell r="V1836" t="str">
            <v/>
          </cell>
          <cell r="W1836" t="str">
            <v/>
          </cell>
          <cell r="Y1836" t="str">
            <v/>
          </cell>
          <cell r="AA1836" t="str">
            <v/>
          </cell>
          <cell r="AB1836">
            <v>0</v>
          </cell>
          <cell r="AC1836">
            <v>0</v>
          </cell>
          <cell r="AI1836" t="str">
            <v/>
          </cell>
          <cell r="AJ1836" t="str">
            <v/>
          </cell>
          <cell r="AK1836">
            <v>0</v>
          </cell>
          <cell r="AL1836">
            <v>0</v>
          </cell>
          <cell r="AM1836">
            <v>0</v>
          </cell>
        </row>
        <row r="1837">
          <cell r="C1837" t="str">
            <v/>
          </cell>
          <cell r="D1837" t="str">
            <v/>
          </cell>
          <cell r="O1837" t="str">
            <v/>
          </cell>
          <cell r="T1837" t="str">
            <v/>
          </cell>
          <cell r="U1837" t="str">
            <v/>
          </cell>
          <cell r="V1837" t="str">
            <v/>
          </cell>
          <cell r="W1837" t="str">
            <v/>
          </cell>
          <cell r="Y1837" t="str">
            <v/>
          </cell>
          <cell r="AA1837" t="str">
            <v/>
          </cell>
          <cell r="AB1837">
            <v>0</v>
          </cell>
          <cell r="AC1837">
            <v>0</v>
          </cell>
          <cell r="AI1837" t="str">
            <v/>
          </cell>
          <cell r="AJ1837" t="str">
            <v/>
          </cell>
          <cell r="AK1837">
            <v>0</v>
          </cell>
          <cell r="AL1837">
            <v>0</v>
          </cell>
          <cell r="AM1837">
            <v>0</v>
          </cell>
        </row>
        <row r="1838">
          <cell r="C1838" t="str">
            <v/>
          </cell>
          <cell r="D1838" t="str">
            <v/>
          </cell>
          <cell r="O1838" t="str">
            <v/>
          </cell>
          <cell r="T1838" t="str">
            <v/>
          </cell>
          <cell r="U1838" t="str">
            <v/>
          </cell>
          <cell r="V1838" t="str">
            <v/>
          </cell>
          <cell r="W1838" t="str">
            <v/>
          </cell>
          <cell r="Y1838" t="str">
            <v/>
          </cell>
          <cell r="AA1838" t="str">
            <v/>
          </cell>
          <cell r="AB1838">
            <v>0</v>
          </cell>
          <cell r="AC1838">
            <v>0</v>
          </cell>
          <cell r="AI1838" t="str">
            <v/>
          </cell>
          <cell r="AJ1838" t="str">
            <v/>
          </cell>
          <cell r="AK1838">
            <v>0</v>
          </cell>
          <cell r="AL1838">
            <v>0</v>
          </cell>
          <cell r="AM1838">
            <v>0</v>
          </cell>
        </row>
        <row r="1839">
          <cell r="C1839" t="str">
            <v/>
          </cell>
          <cell r="D1839" t="str">
            <v/>
          </cell>
          <cell r="O1839" t="str">
            <v/>
          </cell>
          <cell r="T1839" t="str">
            <v/>
          </cell>
          <cell r="U1839" t="str">
            <v/>
          </cell>
          <cell r="V1839" t="str">
            <v/>
          </cell>
          <cell r="W1839" t="str">
            <v/>
          </cell>
          <cell r="Y1839" t="str">
            <v/>
          </cell>
          <cell r="AA1839" t="str">
            <v/>
          </cell>
          <cell r="AB1839">
            <v>0</v>
          </cell>
          <cell r="AC1839">
            <v>0</v>
          </cell>
          <cell r="AI1839" t="str">
            <v/>
          </cell>
          <cell r="AJ1839" t="str">
            <v/>
          </cell>
          <cell r="AK1839">
            <v>0</v>
          </cell>
          <cell r="AL1839">
            <v>0</v>
          </cell>
          <cell r="AM1839">
            <v>0</v>
          </cell>
        </row>
        <row r="1840">
          <cell r="C1840" t="str">
            <v/>
          </cell>
          <cell r="D1840" t="str">
            <v/>
          </cell>
          <cell r="O1840" t="str">
            <v/>
          </cell>
          <cell r="T1840" t="str">
            <v/>
          </cell>
          <cell r="U1840" t="str">
            <v/>
          </cell>
          <cell r="V1840" t="str">
            <v/>
          </cell>
          <cell r="W1840" t="str">
            <v/>
          </cell>
          <cell r="Y1840" t="str">
            <v/>
          </cell>
          <cell r="AA1840" t="str">
            <v/>
          </cell>
          <cell r="AB1840">
            <v>0</v>
          </cell>
          <cell r="AC1840">
            <v>0</v>
          </cell>
          <cell r="AI1840" t="str">
            <v/>
          </cell>
          <cell r="AJ1840" t="str">
            <v/>
          </cell>
          <cell r="AK1840">
            <v>0</v>
          </cell>
          <cell r="AL1840">
            <v>0</v>
          </cell>
          <cell r="AM1840">
            <v>0</v>
          </cell>
        </row>
        <row r="1841">
          <cell r="C1841" t="str">
            <v/>
          </cell>
          <cell r="D1841" t="str">
            <v/>
          </cell>
          <cell r="O1841" t="str">
            <v/>
          </cell>
          <cell r="T1841" t="str">
            <v/>
          </cell>
          <cell r="U1841" t="str">
            <v/>
          </cell>
          <cell r="V1841" t="str">
            <v/>
          </cell>
          <cell r="W1841" t="str">
            <v/>
          </cell>
          <cell r="Y1841" t="str">
            <v/>
          </cell>
          <cell r="AA1841" t="str">
            <v/>
          </cell>
          <cell r="AB1841">
            <v>0</v>
          </cell>
          <cell r="AC1841">
            <v>0</v>
          </cell>
          <cell r="AI1841" t="str">
            <v/>
          </cell>
          <cell r="AJ1841" t="str">
            <v/>
          </cell>
          <cell r="AK1841">
            <v>0</v>
          </cell>
          <cell r="AL1841">
            <v>0</v>
          </cell>
          <cell r="AM1841">
            <v>0</v>
          </cell>
        </row>
        <row r="1842">
          <cell r="C1842" t="str">
            <v/>
          </cell>
          <cell r="D1842" t="str">
            <v/>
          </cell>
          <cell r="O1842" t="str">
            <v/>
          </cell>
          <cell r="T1842" t="str">
            <v/>
          </cell>
          <cell r="U1842" t="str">
            <v/>
          </cell>
          <cell r="V1842" t="str">
            <v/>
          </cell>
          <cell r="W1842" t="str">
            <v/>
          </cell>
          <cell r="Y1842" t="str">
            <v/>
          </cell>
          <cell r="AA1842" t="str">
            <v/>
          </cell>
          <cell r="AB1842">
            <v>0</v>
          </cell>
          <cell r="AC1842">
            <v>0</v>
          </cell>
          <cell r="AI1842" t="str">
            <v/>
          </cell>
          <cell r="AJ1842" t="str">
            <v/>
          </cell>
          <cell r="AK1842">
            <v>0</v>
          </cell>
          <cell r="AL1842">
            <v>0</v>
          </cell>
          <cell r="AM1842">
            <v>0</v>
          </cell>
        </row>
        <row r="1843">
          <cell r="C1843" t="str">
            <v/>
          </cell>
          <cell r="D1843" t="str">
            <v/>
          </cell>
          <cell r="O1843" t="str">
            <v/>
          </cell>
          <cell r="T1843" t="str">
            <v/>
          </cell>
          <cell r="U1843" t="str">
            <v/>
          </cell>
          <cell r="V1843" t="str">
            <v/>
          </cell>
          <cell r="W1843" t="str">
            <v/>
          </cell>
          <cell r="Y1843" t="str">
            <v/>
          </cell>
          <cell r="AA1843" t="str">
            <v/>
          </cell>
          <cell r="AB1843">
            <v>0</v>
          </cell>
          <cell r="AC1843">
            <v>0</v>
          </cell>
          <cell r="AI1843" t="str">
            <v/>
          </cell>
          <cell r="AJ1843" t="str">
            <v/>
          </cell>
          <cell r="AK1843">
            <v>0</v>
          </cell>
          <cell r="AL1843">
            <v>0</v>
          </cell>
          <cell r="AM1843">
            <v>0</v>
          </cell>
        </row>
        <row r="1844">
          <cell r="C1844" t="str">
            <v/>
          </cell>
          <cell r="D1844" t="str">
            <v/>
          </cell>
          <cell r="O1844" t="str">
            <v/>
          </cell>
          <cell r="T1844" t="str">
            <v/>
          </cell>
          <cell r="U1844" t="str">
            <v/>
          </cell>
          <cell r="V1844" t="str">
            <v/>
          </cell>
          <cell r="W1844" t="str">
            <v/>
          </cell>
          <cell r="Y1844" t="str">
            <v/>
          </cell>
          <cell r="AA1844" t="str">
            <v/>
          </cell>
          <cell r="AB1844">
            <v>0</v>
          </cell>
          <cell r="AC1844">
            <v>0</v>
          </cell>
          <cell r="AI1844" t="str">
            <v/>
          </cell>
          <cell r="AJ1844" t="str">
            <v/>
          </cell>
          <cell r="AK1844">
            <v>0</v>
          </cell>
          <cell r="AL1844">
            <v>0</v>
          </cell>
          <cell r="AM1844">
            <v>0</v>
          </cell>
        </row>
        <row r="1845">
          <cell r="C1845" t="str">
            <v/>
          </cell>
          <cell r="D1845" t="str">
            <v/>
          </cell>
          <cell r="O1845" t="str">
            <v/>
          </cell>
          <cell r="T1845" t="str">
            <v/>
          </cell>
          <cell r="U1845" t="str">
            <v/>
          </cell>
          <cell r="V1845" t="str">
            <v/>
          </cell>
          <cell r="W1845" t="str">
            <v/>
          </cell>
          <cell r="Y1845" t="str">
            <v/>
          </cell>
          <cell r="AA1845" t="str">
            <v/>
          </cell>
          <cell r="AB1845">
            <v>0</v>
          </cell>
          <cell r="AC1845">
            <v>0</v>
          </cell>
          <cell r="AI1845" t="str">
            <v/>
          </cell>
          <cell r="AJ1845" t="str">
            <v/>
          </cell>
          <cell r="AK1845">
            <v>0</v>
          </cell>
          <cell r="AL1845">
            <v>0</v>
          </cell>
          <cell r="AM1845">
            <v>0</v>
          </cell>
        </row>
        <row r="1846">
          <cell r="C1846" t="str">
            <v/>
          </cell>
          <cell r="D1846" t="str">
            <v/>
          </cell>
          <cell r="O1846" t="str">
            <v/>
          </cell>
          <cell r="T1846" t="str">
            <v/>
          </cell>
          <cell r="U1846" t="str">
            <v/>
          </cell>
          <cell r="V1846" t="str">
            <v/>
          </cell>
          <cell r="W1846" t="str">
            <v/>
          </cell>
          <cell r="Y1846" t="str">
            <v/>
          </cell>
          <cell r="AA1846" t="str">
            <v/>
          </cell>
          <cell r="AB1846">
            <v>0</v>
          </cell>
          <cell r="AC1846">
            <v>0</v>
          </cell>
          <cell r="AI1846" t="str">
            <v/>
          </cell>
          <cell r="AJ1846" t="str">
            <v/>
          </cell>
          <cell r="AK1846">
            <v>0</v>
          </cell>
          <cell r="AL1846">
            <v>0</v>
          </cell>
          <cell r="AM1846">
            <v>0</v>
          </cell>
        </row>
        <row r="1847">
          <cell r="C1847" t="str">
            <v/>
          </cell>
          <cell r="D1847" t="str">
            <v/>
          </cell>
          <cell r="O1847" t="str">
            <v/>
          </cell>
          <cell r="T1847" t="str">
            <v/>
          </cell>
          <cell r="U1847" t="str">
            <v/>
          </cell>
          <cell r="V1847" t="str">
            <v/>
          </cell>
          <cell r="W1847" t="str">
            <v/>
          </cell>
          <cell r="Y1847" t="str">
            <v/>
          </cell>
          <cell r="AA1847" t="str">
            <v/>
          </cell>
          <cell r="AB1847">
            <v>0</v>
          </cell>
          <cell r="AC1847">
            <v>0</v>
          </cell>
          <cell r="AI1847" t="str">
            <v/>
          </cell>
          <cell r="AJ1847" t="str">
            <v/>
          </cell>
          <cell r="AK1847">
            <v>0</v>
          </cell>
          <cell r="AL1847">
            <v>0</v>
          </cell>
          <cell r="AM1847">
            <v>0</v>
          </cell>
        </row>
        <row r="1848">
          <cell r="C1848" t="str">
            <v/>
          </cell>
          <cell r="D1848" t="str">
            <v/>
          </cell>
          <cell r="O1848" t="str">
            <v/>
          </cell>
          <cell r="T1848" t="str">
            <v/>
          </cell>
          <cell r="U1848" t="str">
            <v/>
          </cell>
          <cell r="V1848" t="str">
            <v/>
          </cell>
          <cell r="W1848" t="str">
            <v/>
          </cell>
          <cell r="Y1848" t="str">
            <v/>
          </cell>
          <cell r="AA1848" t="str">
            <v/>
          </cell>
          <cell r="AB1848">
            <v>0</v>
          </cell>
          <cell r="AC1848">
            <v>0</v>
          </cell>
          <cell r="AI1848" t="str">
            <v/>
          </cell>
          <cell r="AJ1848" t="str">
            <v/>
          </cell>
          <cell r="AK1848">
            <v>0</v>
          </cell>
          <cell r="AL1848">
            <v>0</v>
          </cell>
          <cell r="AM1848">
            <v>0</v>
          </cell>
        </row>
        <row r="1849">
          <cell r="C1849" t="str">
            <v/>
          </cell>
          <cell r="D1849" t="str">
            <v/>
          </cell>
          <cell r="O1849" t="str">
            <v/>
          </cell>
          <cell r="T1849" t="str">
            <v/>
          </cell>
          <cell r="U1849" t="str">
            <v/>
          </cell>
          <cell r="V1849" t="str">
            <v/>
          </cell>
          <cell r="W1849" t="str">
            <v/>
          </cell>
          <cell r="Y1849" t="str">
            <v/>
          </cell>
          <cell r="AA1849" t="str">
            <v/>
          </cell>
          <cell r="AB1849">
            <v>0</v>
          </cell>
          <cell r="AC1849">
            <v>0</v>
          </cell>
          <cell r="AI1849" t="str">
            <v/>
          </cell>
          <cell r="AJ1849" t="str">
            <v/>
          </cell>
          <cell r="AK1849">
            <v>0</v>
          </cell>
          <cell r="AL1849">
            <v>0</v>
          </cell>
          <cell r="AM1849">
            <v>0</v>
          </cell>
        </row>
        <row r="1850">
          <cell r="C1850" t="str">
            <v/>
          </cell>
          <cell r="D1850" t="str">
            <v/>
          </cell>
          <cell r="O1850" t="str">
            <v/>
          </cell>
          <cell r="T1850" t="str">
            <v/>
          </cell>
          <cell r="U1850" t="str">
            <v/>
          </cell>
          <cell r="V1850" t="str">
            <v/>
          </cell>
          <cell r="W1850" t="str">
            <v/>
          </cell>
          <cell r="Y1850" t="str">
            <v/>
          </cell>
          <cell r="AA1850" t="str">
            <v/>
          </cell>
          <cell r="AB1850">
            <v>0</v>
          </cell>
          <cell r="AC1850">
            <v>0</v>
          </cell>
          <cell r="AI1850" t="str">
            <v/>
          </cell>
          <cell r="AJ1850" t="str">
            <v/>
          </cell>
          <cell r="AK1850">
            <v>0</v>
          </cell>
          <cell r="AL1850">
            <v>0</v>
          </cell>
          <cell r="AM1850">
            <v>0</v>
          </cell>
        </row>
        <row r="1851">
          <cell r="C1851" t="str">
            <v/>
          </cell>
          <cell r="D1851" t="str">
            <v/>
          </cell>
          <cell r="O1851" t="str">
            <v/>
          </cell>
          <cell r="T1851" t="str">
            <v/>
          </cell>
          <cell r="U1851" t="str">
            <v/>
          </cell>
          <cell r="V1851" t="str">
            <v/>
          </cell>
          <cell r="W1851" t="str">
            <v/>
          </cell>
          <cell r="Y1851" t="str">
            <v/>
          </cell>
          <cell r="AA1851" t="str">
            <v/>
          </cell>
          <cell r="AB1851">
            <v>0</v>
          </cell>
          <cell r="AC1851">
            <v>0</v>
          </cell>
          <cell r="AI1851" t="str">
            <v/>
          </cell>
          <cell r="AJ1851" t="str">
            <v/>
          </cell>
          <cell r="AK1851">
            <v>0</v>
          </cell>
          <cell r="AL1851">
            <v>0</v>
          </cell>
          <cell r="AM1851">
            <v>0</v>
          </cell>
        </row>
        <row r="1852">
          <cell r="C1852" t="str">
            <v/>
          </cell>
          <cell r="D1852" t="str">
            <v/>
          </cell>
          <cell r="O1852" t="str">
            <v/>
          </cell>
          <cell r="T1852" t="str">
            <v/>
          </cell>
          <cell r="U1852" t="str">
            <v/>
          </cell>
          <cell r="V1852" t="str">
            <v/>
          </cell>
          <cell r="W1852" t="str">
            <v/>
          </cell>
          <cell r="Y1852" t="str">
            <v/>
          </cell>
          <cell r="AA1852" t="str">
            <v/>
          </cell>
          <cell r="AB1852">
            <v>0</v>
          </cell>
          <cell r="AC1852">
            <v>0</v>
          </cell>
          <cell r="AI1852" t="str">
            <v/>
          </cell>
          <cell r="AJ1852" t="str">
            <v/>
          </cell>
          <cell r="AK1852">
            <v>0</v>
          </cell>
          <cell r="AL1852">
            <v>0</v>
          </cell>
          <cell r="AM1852">
            <v>0</v>
          </cell>
        </row>
        <row r="1853">
          <cell r="C1853" t="str">
            <v/>
          </cell>
          <cell r="D1853" t="str">
            <v/>
          </cell>
          <cell r="O1853" t="str">
            <v/>
          </cell>
          <cell r="T1853" t="str">
            <v/>
          </cell>
          <cell r="U1853" t="str">
            <v/>
          </cell>
          <cell r="V1853" t="str">
            <v/>
          </cell>
          <cell r="W1853" t="str">
            <v/>
          </cell>
          <cell r="Y1853" t="str">
            <v/>
          </cell>
          <cell r="AA1853" t="str">
            <v/>
          </cell>
          <cell r="AB1853">
            <v>0</v>
          </cell>
          <cell r="AC1853">
            <v>0</v>
          </cell>
          <cell r="AI1853" t="str">
            <v/>
          </cell>
          <cell r="AJ1853" t="str">
            <v/>
          </cell>
          <cell r="AK1853">
            <v>0</v>
          </cell>
          <cell r="AL1853">
            <v>0</v>
          </cell>
          <cell r="AM1853">
            <v>0</v>
          </cell>
        </row>
        <row r="1854">
          <cell r="C1854" t="str">
            <v/>
          </cell>
          <cell r="D1854" t="str">
            <v/>
          </cell>
          <cell r="O1854" t="str">
            <v/>
          </cell>
          <cell r="T1854" t="str">
            <v/>
          </cell>
          <cell r="U1854" t="str">
            <v/>
          </cell>
          <cell r="V1854" t="str">
            <v/>
          </cell>
          <cell r="W1854" t="str">
            <v/>
          </cell>
          <cell r="Y1854" t="str">
            <v/>
          </cell>
          <cell r="AA1854" t="str">
            <v/>
          </cell>
          <cell r="AB1854">
            <v>0</v>
          </cell>
          <cell r="AC1854">
            <v>0</v>
          </cell>
          <cell r="AI1854" t="str">
            <v/>
          </cell>
          <cell r="AJ1854" t="str">
            <v/>
          </cell>
          <cell r="AK1854">
            <v>0</v>
          </cell>
          <cell r="AL1854">
            <v>0</v>
          </cell>
          <cell r="AM1854">
            <v>0</v>
          </cell>
        </row>
        <row r="1855">
          <cell r="C1855" t="str">
            <v/>
          </cell>
          <cell r="D1855" t="str">
            <v/>
          </cell>
          <cell r="O1855" t="str">
            <v/>
          </cell>
          <cell r="T1855" t="str">
            <v/>
          </cell>
          <cell r="U1855" t="str">
            <v/>
          </cell>
          <cell r="V1855" t="str">
            <v/>
          </cell>
          <cell r="W1855" t="str">
            <v/>
          </cell>
          <cell r="Y1855" t="str">
            <v/>
          </cell>
          <cell r="AA1855" t="str">
            <v/>
          </cell>
          <cell r="AB1855">
            <v>0</v>
          </cell>
          <cell r="AC1855">
            <v>0</v>
          </cell>
          <cell r="AI1855" t="str">
            <v/>
          </cell>
          <cell r="AJ1855" t="str">
            <v/>
          </cell>
          <cell r="AK1855">
            <v>0</v>
          </cell>
          <cell r="AL1855">
            <v>0</v>
          </cell>
          <cell r="AM1855">
            <v>0</v>
          </cell>
        </row>
        <row r="1856">
          <cell r="C1856" t="str">
            <v/>
          </cell>
          <cell r="D1856" t="str">
            <v/>
          </cell>
          <cell r="O1856" t="str">
            <v/>
          </cell>
          <cell r="T1856" t="str">
            <v/>
          </cell>
          <cell r="U1856" t="str">
            <v/>
          </cell>
          <cell r="V1856" t="str">
            <v/>
          </cell>
          <cell r="W1856" t="str">
            <v/>
          </cell>
          <cell r="Y1856" t="str">
            <v/>
          </cell>
          <cell r="AA1856" t="str">
            <v/>
          </cell>
          <cell r="AB1856">
            <v>0</v>
          </cell>
          <cell r="AC1856">
            <v>0</v>
          </cell>
          <cell r="AI1856" t="str">
            <v/>
          </cell>
          <cell r="AJ1856" t="str">
            <v/>
          </cell>
          <cell r="AK1856">
            <v>0</v>
          </cell>
          <cell r="AL1856">
            <v>0</v>
          </cell>
          <cell r="AM1856">
            <v>0</v>
          </cell>
        </row>
        <row r="1857">
          <cell r="C1857" t="str">
            <v/>
          </cell>
          <cell r="D1857" t="str">
            <v/>
          </cell>
          <cell r="O1857" t="str">
            <v/>
          </cell>
          <cell r="T1857" t="str">
            <v/>
          </cell>
          <cell r="U1857" t="str">
            <v/>
          </cell>
          <cell r="V1857" t="str">
            <v/>
          </cell>
          <cell r="W1857" t="str">
            <v/>
          </cell>
          <cell r="Y1857" t="str">
            <v/>
          </cell>
          <cell r="AA1857" t="str">
            <v/>
          </cell>
          <cell r="AB1857">
            <v>0</v>
          </cell>
          <cell r="AC1857">
            <v>0</v>
          </cell>
          <cell r="AI1857" t="str">
            <v/>
          </cell>
          <cell r="AJ1857" t="str">
            <v/>
          </cell>
          <cell r="AK1857">
            <v>0</v>
          </cell>
          <cell r="AL1857">
            <v>0</v>
          </cell>
          <cell r="AM1857">
            <v>0</v>
          </cell>
        </row>
        <row r="1858">
          <cell r="C1858" t="str">
            <v/>
          </cell>
          <cell r="D1858" t="str">
            <v/>
          </cell>
          <cell r="O1858" t="str">
            <v/>
          </cell>
          <cell r="T1858" t="str">
            <v/>
          </cell>
          <cell r="U1858" t="str">
            <v/>
          </cell>
          <cell r="V1858" t="str">
            <v/>
          </cell>
          <cell r="W1858" t="str">
            <v/>
          </cell>
          <cell r="Y1858" t="str">
            <v/>
          </cell>
          <cell r="AA1858" t="str">
            <v/>
          </cell>
          <cell r="AB1858">
            <v>0</v>
          </cell>
          <cell r="AC1858">
            <v>0</v>
          </cell>
          <cell r="AI1858" t="str">
            <v/>
          </cell>
          <cell r="AJ1858" t="str">
            <v/>
          </cell>
          <cell r="AK1858">
            <v>0</v>
          </cell>
          <cell r="AL1858">
            <v>0</v>
          </cell>
          <cell r="AM1858">
            <v>0</v>
          </cell>
        </row>
        <row r="1859">
          <cell r="C1859" t="str">
            <v/>
          </cell>
          <cell r="D1859" t="str">
            <v/>
          </cell>
          <cell r="O1859" t="str">
            <v/>
          </cell>
          <cell r="T1859" t="str">
            <v/>
          </cell>
          <cell r="U1859" t="str">
            <v/>
          </cell>
          <cell r="V1859" t="str">
            <v/>
          </cell>
          <cell r="W1859" t="str">
            <v/>
          </cell>
          <cell r="Y1859" t="str">
            <v/>
          </cell>
          <cell r="AA1859" t="str">
            <v/>
          </cell>
          <cell r="AB1859">
            <v>0</v>
          </cell>
          <cell r="AC1859">
            <v>0</v>
          </cell>
          <cell r="AI1859" t="str">
            <v/>
          </cell>
          <cell r="AJ1859" t="str">
            <v/>
          </cell>
          <cell r="AK1859">
            <v>0</v>
          </cell>
          <cell r="AL1859">
            <v>0</v>
          </cell>
          <cell r="AM1859">
            <v>0</v>
          </cell>
        </row>
        <row r="1860">
          <cell r="C1860" t="str">
            <v/>
          </cell>
          <cell r="D1860" t="str">
            <v/>
          </cell>
          <cell r="O1860" t="str">
            <v/>
          </cell>
          <cell r="T1860" t="str">
            <v/>
          </cell>
          <cell r="U1860" t="str">
            <v/>
          </cell>
          <cell r="V1860" t="str">
            <v/>
          </cell>
          <cell r="W1860" t="str">
            <v/>
          </cell>
          <cell r="Y1860" t="str">
            <v/>
          </cell>
          <cell r="AA1860" t="str">
            <v/>
          </cell>
          <cell r="AB1860">
            <v>0</v>
          </cell>
          <cell r="AC1860">
            <v>0</v>
          </cell>
          <cell r="AI1860" t="str">
            <v/>
          </cell>
          <cell r="AJ1860" t="str">
            <v/>
          </cell>
          <cell r="AK1860">
            <v>0</v>
          </cell>
          <cell r="AL1860">
            <v>0</v>
          </cell>
          <cell r="AM1860">
            <v>0</v>
          </cell>
        </row>
        <row r="1861">
          <cell r="C1861" t="str">
            <v/>
          </cell>
          <cell r="D1861" t="str">
            <v/>
          </cell>
          <cell r="O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/>
          </cell>
          <cell r="Y1861" t="str">
            <v/>
          </cell>
          <cell r="AA1861" t="str">
            <v/>
          </cell>
          <cell r="AB1861">
            <v>0</v>
          </cell>
          <cell r="AC1861">
            <v>0</v>
          </cell>
          <cell r="AI1861" t="str">
            <v/>
          </cell>
          <cell r="AJ1861" t="str">
            <v/>
          </cell>
          <cell r="AK1861">
            <v>0</v>
          </cell>
          <cell r="AL1861">
            <v>0</v>
          </cell>
          <cell r="AM1861">
            <v>0</v>
          </cell>
        </row>
        <row r="1862">
          <cell r="C1862" t="str">
            <v/>
          </cell>
          <cell r="D1862" t="str">
            <v/>
          </cell>
          <cell r="O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/>
          </cell>
          <cell r="Y1862" t="str">
            <v/>
          </cell>
          <cell r="AA1862" t="str">
            <v/>
          </cell>
          <cell r="AB1862">
            <v>0</v>
          </cell>
          <cell r="AC1862">
            <v>0</v>
          </cell>
          <cell r="AI1862" t="str">
            <v/>
          </cell>
          <cell r="AJ1862" t="str">
            <v/>
          </cell>
          <cell r="AK1862">
            <v>0</v>
          </cell>
          <cell r="AL1862">
            <v>0</v>
          </cell>
          <cell r="AM1862">
            <v>0</v>
          </cell>
        </row>
        <row r="1863">
          <cell r="C1863" t="str">
            <v/>
          </cell>
          <cell r="D1863" t="str">
            <v/>
          </cell>
          <cell r="O1863" t="str">
            <v/>
          </cell>
          <cell r="T1863" t="str">
            <v/>
          </cell>
          <cell r="U1863" t="str">
            <v/>
          </cell>
          <cell r="V1863" t="str">
            <v/>
          </cell>
          <cell r="W1863" t="str">
            <v/>
          </cell>
          <cell r="Y1863" t="str">
            <v/>
          </cell>
          <cell r="AA1863" t="str">
            <v/>
          </cell>
          <cell r="AB1863">
            <v>0</v>
          </cell>
          <cell r="AC1863">
            <v>0</v>
          </cell>
          <cell r="AI1863" t="str">
            <v/>
          </cell>
          <cell r="AJ1863" t="str">
            <v/>
          </cell>
          <cell r="AK1863">
            <v>0</v>
          </cell>
          <cell r="AL1863">
            <v>0</v>
          </cell>
          <cell r="AM1863">
            <v>0</v>
          </cell>
        </row>
        <row r="1864">
          <cell r="C1864" t="str">
            <v/>
          </cell>
          <cell r="D1864" t="str">
            <v/>
          </cell>
          <cell r="O1864" t="str">
            <v/>
          </cell>
          <cell r="T1864" t="str">
            <v/>
          </cell>
          <cell r="U1864" t="str">
            <v/>
          </cell>
          <cell r="V1864" t="str">
            <v/>
          </cell>
          <cell r="W1864" t="str">
            <v/>
          </cell>
          <cell r="Y1864" t="str">
            <v/>
          </cell>
          <cell r="AA1864" t="str">
            <v/>
          </cell>
          <cell r="AB1864">
            <v>0</v>
          </cell>
          <cell r="AC1864">
            <v>0</v>
          </cell>
          <cell r="AI1864" t="str">
            <v/>
          </cell>
          <cell r="AJ1864" t="str">
            <v/>
          </cell>
          <cell r="AK1864">
            <v>0</v>
          </cell>
          <cell r="AL1864">
            <v>0</v>
          </cell>
          <cell r="AM1864">
            <v>0</v>
          </cell>
        </row>
        <row r="1865">
          <cell r="C1865" t="str">
            <v/>
          </cell>
          <cell r="D1865" t="str">
            <v/>
          </cell>
          <cell r="O1865" t="str">
            <v/>
          </cell>
          <cell r="T1865" t="str">
            <v/>
          </cell>
          <cell r="U1865" t="str">
            <v/>
          </cell>
          <cell r="V1865" t="str">
            <v/>
          </cell>
          <cell r="W1865" t="str">
            <v/>
          </cell>
          <cell r="Y1865" t="str">
            <v/>
          </cell>
          <cell r="AA1865" t="str">
            <v/>
          </cell>
          <cell r="AB1865">
            <v>0</v>
          </cell>
          <cell r="AC1865">
            <v>0</v>
          </cell>
          <cell r="AI1865" t="str">
            <v/>
          </cell>
          <cell r="AJ1865" t="str">
            <v/>
          </cell>
          <cell r="AK1865">
            <v>0</v>
          </cell>
          <cell r="AL1865">
            <v>0</v>
          </cell>
          <cell r="AM1865">
            <v>0</v>
          </cell>
        </row>
        <row r="1866">
          <cell r="C1866" t="str">
            <v/>
          </cell>
          <cell r="D1866" t="str">
            <v/>
          </cell>
          <cell r="O1866" t="str">
            <v/>
          </cell>
          <cell r="T1866" t="str">
            <v/>
          </cell>
          <cell r="U1866" t="str">
            <v/>
          </cell>
          <cell r="V1866" t="str">
            <v/>
          </cell>
          <cell r="W1866" t="str">
            <v/>
          </cell>
          <cell r="Y1866" t="str">
            <v/>
          </cell>
          <cell r="AA1866" t="str">
            <v/>
          </cell>
          <cell r="AB1866">
            <v>0</v>
          </cell>
          <cell r="AC1866">
            <v>0</v>
          </cell>
          <cell r="AI1866" t="str">
            <v/>
          </cell>
          <cell r="AJ1866" t="str">
            <v/>
          </cell>
          <cell r="AK1866">
            <v>0</v>
          </cell>
          <cell r="AL1866">
            <v>0</v>
          </cell>
          <cell r="AM1866">
            <v>0</v>
          </cell>
        </row>
        <row r="1867">
          <cell r="C1867" t="str">
            <v/>
          </cell>
          <cell r="D1867" t="str">
            <v/>
          </cell>
          <cell r="O1867" t="str">
            <v/>
          </cell>
          <cell r="T1867" t="str">
            <v/>
          </cell>
          <cell r="U1867" t="str">
            <v/>
          </cell>
          <cell r="V1867" t="str">
            <v/>
          </cell>
          <cell r="W1867" t="str">
            <v/>
          </cell>
          <cell r="Y1867" t="str">
            <v/>
          </cell>
          <cell r="AA1867" t="str">
            <v/>
          </cell>
          <cell r="AB1867">
            <v>0</v>
          </cell>
          <cell r="AC1867">
            <v>0</v>
          </cell>
          <cell r="AI1867" t="str">
            <v/>
          </cell>
          <cell r="AJ1867" t="str">
            <v/>
          </cell>
          <cell r="AK1867">
            <v>0</v>
          </cell>
          <cell r="AL1867">
            <v>0</v>
          </cell>
          <cell r="AM1867">
            <v>0</v>
          </cell>
        </row>
        <row r="1868">
          <cell r="C1868" t="str">
            <v/>
          </cell>
          <cell r="D1868" t="str">
            <v/>
          </cell>
          <cell r="O1868" t="str">
            <v/>
          </cell>
          <cell r="T1868" t="str">
            <v/>
          </cell>
          <cell r="U1868" t="str">
            <v/>
          </cell>
          <cell r="V1868" t="str">
            <v/>
          </cell>
          <cell r="W1868" t="str">
            <v/>
          </cell>
          <cell r="Y1868" t="str">
            <v/>
          </cell>
          <cell r="AA1868" t="str">
            <v/>
          </cell>
          <cell r="AB1868">
            <v>0</v>
          </cell>
          <cell r="AC1868">
            <v>0</v>
          </cell>
          <cell r="AI1868" t="str">
            <v/>
          </cell>
          <cell r="AJ1868" t="str">
            <v/>
          </cell>
          <cell r="AK1868">
            <v>0</v>
          </cell>
          <cell r="AL1868">
            <v>0</v>
          </cell>
          <cell r="AM1868">
            <v>0</v>
          </cell>
        </row>
        <row r="1869">
          <cell r="C1869" t="str">
            <v/>
          </cell>
          <cell r="D1869" t="str">
            <v/>
          </cell>
          <cell r="O1869" t="str">
            <v/>
          </cell>
          <cell r="T1869" t="str">
            <v/>
          </cell>
          <cell r="U1869" t="str">
            <v/>
          </cell>
          <cell r="V1869" t="str">
            <v/>
          </cell>
          <cell r="W1869" t="str">
            <v/>
          </cell>
          <cell r="Y1869" t="str">
            <v/>
          </cell>
          <cell r="AA1869" t="str">
            <v/>
          </cell>
          <cell r="AB1869">
            <v>0</v>
          </cell>
          <cell r="AC1869">
            <v>0</v>
          </cell>
          <cell r="AI1869" t="str">
            <v/>
          </cell>
          <cell r="AJ1869" t="str">
            <v/>
          </cell>
          <cell r="AK1869">
            <v>0</v>
          </cell>
          <cell r="AL1869">
            <v>0</v>
          </cell>
          <cell r="AM1869">
            <v>0</v>
          </cell>
        </row>
        <row r="1870">
          <cell r="C1870" t="str">
            <v/>
          </cell>
          <cell r="D1870" t="str">
            <v/>
          </cell>
          <cell r="O1870" t="str">
            <v/>
          </cell>
          <cell r="T1870" t="str">
            <v/>
          </cell>
          <cell r="U1870" t="str">
            <v/>
          </cell>
          <cell r="V1870" t="str">
            <v/>
          </cell>
          <cell r="W1870" t="str">
            <v/>
          </cell>
          <cell r="Y1870" t="str">
            <v/>
          </cell>
          <cell r="AA1870" t="str">
            <v/>
          </cell>
          <cell r="AB1870">
            <v>0</v>
          </cell>
          <cell r="AC1870">
            <v>0</v>
          </cell>
          <cell r="AI1870" t="str">
            <v/>
          </cell>
          <cell r="AJ1870" t="str">
            <v/>
          </cell>
          <cell r="AK1870">
            <v>0</v>
          </cell>
          <cell r="AL1870">
            <v>0</v>
          </cell>
          <cell r="AM1870">
            <v>0</v>
          </cell>
        </row>
        <row r="1871">
          <cell r="C1871" t="str">
            <v/>
          </cell>
          <cell r="D1871" t="str">
            <v/>
          </cell>
          <cell r="O1871" t="str">
            <v/>
          </cell>
          <cell r="T1871" t="str">
            <v/>
          </cell>
          <cell r="U1871" t="str">
            <v/>
          </cell>
          <cell r="V1871" t="str">
            <v/>
          </cell>
          <cell r="W1871" t="str">
            <v/>
          </cell>
          <cell r="Y1871" t="str">
            <v/>
          </cell>
          <cell r="AA1871" t="str">
            <v/>
          </cell>
          <cell r="AB1871">
            <v>0</v>
          </cell>
          <cell r="AC1871">
            <v>0</v>
          </cell>
          <cell r="AI1871" t="str">
            <v/>
          </cell>
          <cell r="AJ1871" t="str">
            <v/>
          </cell>
          <cell r="AK1871">
            <v>0</v>
          </cell>
          <cell r="AL1871">
            <v>0</v>
          </cell>
          <cell r="AM1871">
            <v>0</v>
          </cell>
        </row>
        <row r="1872">
          <cell r="C1872" t="str">
            <v/>
          </cell>
          <cell r="D1872" t="str">
            <v/>
          </cell>
          <cell r="O1872" t="str">
            <v/>
          </cell>
          <cell r="T1872" t="str">
            <v/>
          </cell>
          <cell r="U1872" t="str">
            <v/>
          </cell>
          <cell r="V1872" t="str">
            <v/>
          </cell>
          <cell r="W1872" t="str">
            <v/>
          </cell>
          <cell r="Y1872" t="str">
            <v/>
          </cell>
          <cell r="AA1872" t="str">
            <v/>
          </cell>
          <cell r="AB1872">
            <v>0</v>
          </cell>
          <cell r="AC1872">
            <v>0</v>
          </cell>
          <cell r="AI1872" t="str">
            <v/>
          </cell>
          <cell r="AJ1872" t="str">
            <v/>
          </cell>
          <cell r="AK1872">
            <v>0</v>
          </cell>
          <cell r="AL1872">
            <v>0</v>
          </cell>
          <cell r="AM1872">
            <v>0</v>
          </cell>
        </row>
        <row r="1873">
          <cell r="C1873" t="str">
            <v/>
          </cell>
          <cell r="D1873" t="str">
            <v/>
          </cell>
          <cell r="O1873" t="str">
            <v/>
          </cell>
          <cell r="T1873" t="str">
            <v/>
          </cell>
          <cell r="U1873" t="str">
            <v/>
          </cell>
          <cell r="V1873" t="str">
            <v/>
          </cell>
          <cell r="W1873" t="str">
            <v/>
          </cell>
          <cell r="Y1873" t="str">
            <v/>
          </cell>
          <cell r="AA1873" t="str">
            <v/>
          </cell>
          <cell r="AB1873">
            <v>0</v>
          </cell>
          <cell r="AC1873">
            <v>0</v>
          </cell>
          <cell r="AI1873" t="str">
            <v/>
          </cell>
          <cell r="AJ1873" t="str">
            <v/>
          </cell>
          <cell r="AK1873">
            <v>0</v>
          </cell>
          <cell r="AL1873">
            <v>0</v>
          </cell>
          <cell r="AM1873">
            <v>0</v>
          </cell>
        </row>
        <row r="1874">
          <cell r="C1874" t="str">
            <v/>
          </cell>
          <cell r="D1874" t="str">
            <v/>
          </cell>
          <cell r="O1874" t="str">
            <v/>
          </cell>
          <cell r="T1874" t="str">
            <v/>
          </cell>
          <cell r="U1874" t="str">
            <v/>
          </cell>
          <cell r="V1874" t="str">
            <v/>
          </cell>
          <cell r="W1874" t="str">
            <v/>
          </cell>
          <cell r="Y1874" t="str">
            <v/>
          </cell>
          <cell r="AA1874" t="str">
            <v/>
          </cell>
          <cell r="AB1874">
            <v>0</v>
          </cell>
          <cell r="AC1874">
            <v>0</v>
          </cell>
          <cell r="AI1874" t="str">
            <v/>
          </cell>
          <cell r="AJ1874" t="str">
            <v/>
          </cell>
          <cell r="AK1874">
            <v>0</v>
          </cell>
          <cell r="AL1874">
            <v>0</v>
          </cell>
          <cell r="AM1874">
            <v>0</v>
          </cell>
        </row>
        <row r="1875">
          <cell r="C1875" t="str">
            <v/>
          </cell>
          <cell r="D1875" t="str">
            <v/>
          </cell>
          <cell r="O1875" t="str">
            <v/>
          </cell>
          <cell r="T1875" t="str">
            <v/>
          </cell>
          <cell r="U1875" t="str">
            <v/>
          </cell>
          <cell r="V1875" t="str">
            <v/>
          </cell>
          <cell r="W1875" t="str">
            <v/>
          </cell>
          <cell r="Y1875" t="str">
            <v/>
          </cell>
          <cell r="AA1875" t="str">
            <v/>
          </cell>
          <cell r="AB1875">
            <v>0</v>
          </cell>
          <cell r="AC1875">
            <v>0</v>
          </cell>
          <cell r="AI1875" t="str">
            <v/>
          </cell>
          <cell r="AJ1875" t="str">
            <v/>
          </cell>
          <cell r="AK1875">
            <v>0</v>
          </cell>
          <cell r="AL1875">
            <v>0</v>
          </cell>
          <cell r="AM1875">
            <v>0</v>
          </cell>
        </row>
        <row r="1876">
          <cell r="C1876" t="str">
            <v/>
          </cell>
          <cell r="D1876" t="str">
            <v/>
          </cell>
          <cell r="O1876" t="str">
            <v/>
          </cell>
          <cell r="T1876" t="str">
            <v/>
          </cell>
          <cell r="U1876" t="str">
            <v/>
          </cell>
          <cell r="V1876" t="str">
            <v/>
          </cell>
          <cell r="W1876" t="str">
            <v/>
          </cell>
          <cell r="Y1876" t="str">
            <v/>
          </cell>
          <cell r="AA1876" t="str">
            <v/>
          </cell>
          <cell r="AB1876">
            <v>0</v>
          </cell>
          <cell r="AC1876">
            <v>0</v>
          </cell>
          <cell r="AI1876" t="str">
            <v/>
          </cell>
          <cell r="AJ1876" t="str">
            <v/>
          </cell>
          <cell r="AK1876">
            <v>0</v>
          </cell>
          <cell r="AL1876">
            <v>0</v>
          </cell>
          <cell r="AM1876">
            <v>0</v>
          </cell>
        </row>
        <row r="1877">
          <cell r="C1877" t="str">
            <v/>
          </cell>
          <cell r="D1877" t="str">
            <v/>
          </cell>
          <cell r="O1877" t="str">
            <v/>
          </cell>
          <cell r="T1877" t="str">
            <v/>
          </cell>
          <cell r="U1877" t="str">
            <v/>
          </cell>
          <cell r="V1877" t="str">
            <v/>
          </cell>
          <cell r="W1877" t="str">
            <v/>
          </cell>
          <cell r="Y1877" t="str">
            <v/>
          </cell>
          <cell r="AA1877" t="str">
            <v/>
          </cell>
          <cell r="AB1877">
            <v>0</v>
          </cell>
          <cell r="AC1877">
            <v>0</v>
          </cell>
          <cell r="AI1877" t="str">
            <v/>
          </cell>
          <cell r="AJ1877" t="str">
            <v/>
          </cell>
          <cell r="AK1877">
            <v>0</v>
          </cell>
          <cell r="AL1877">
            <v>0</v>
          </cell>
          <cell r="AM1877">
            <v>0</v>
          </cell>
        </row>
        <row r="1878">
          <cell r="C1878" t="str">
            <v/>
          </cell>
          <cell r="D1878" t="str">
            <v/>
          </cell>
          <cell r="O1878" t="str">
            <v/>
          </cell>
          <cell r="T1878" t="str">
            <v/>
          </cell>
          <cell r="U1878" t="str">
            <v/>
          </cell>
          <cell r="V1878" t="str">
            <v/>
          </cell>
          <cell r="W1878" t="str">
            <v/>
          </cell>
          <cell r="Y1878" t="str">
            <v/>
          </cell>
          <cell r="AA1878" t="str">
            <v/>
          </cell>
          <cell r="AB1878">
            <v>0</v>
          </cell>
          <cell r="AC1878">
            <v>0</v>
          </cell>
          <cell r="AI1878" t="str">
            <v/>
          </cell>
          <cell r="AJ1878" t="str">
            <v/>
          </cell>
          <cell r="AK1878">
            <v>0</v>
          </cell>
          <cell r="AL1878">
            <v>0</v>
          </cell>
          <cell r="AM1878">
            <v>0</v>
          </cell>
        </row>
        <row r="1879">
          <cell r="C1879" t="str">
            <v/>
          </cell>
          <cell r="D1879" t="str">
            <v/>
          </cell>
          <cell r="O1879" t="str">
            <v/>
          </cell>
          <cell r="T1879" t="str">
            <v/>
          </cell>
          <cell r="U1879" t="str">
            <v/>
          </cell>
          <cell r="V1879" t="str">
            <v/>
          </cell>
          <cell r="W1879" t="str">
            <v/>
          </cell>
          <cell r="Y1879" t="str">
            <v/>
          </cell>
          <cell r="AA1879" t="str">
            <v/>
          </cell>
          <cell r="AB1879">
            <v>0</v>
          </cell>
          <cell r="AC1879">
            <v>0</v>
          </cell>
          <cell r="AI1879" t="str">
            <v/>
          </cell>
          <cell r="AJ1879" t="str">
            <v/>
          </cell>
          <cell r="AK1879">
            <v>0</v>
          </cell>
          <cell r="AL1879">
            <v>0</v>
          </cell>
          <cell r="AM1879">
            <v>0</v>
          </cell>
        </row>
        <row r="1880">
          <cell r="C1880" t="str">
            <v/>
          </cell>
          <cell r="D1880" t="str">
            <v/>
          </cell>
          <cell r="O1880" t="str">
            <v/>
          </cell>
          <cell r="T1880" t="str">
            <v/>
          </cell>
          <cell r="U1880" t="str">
            <v/>
          </cell>
          <cell r="V1880" t="str">
            <v/>
          </cell>
          <cell r="W1880" t="str">
            <v/>
          </cell>
          <cell r="Y1880" t="str">
            <v/>
          </cell>
          <cell r="AA1880" t="str">
            <v/>
          </cell>
          <cell r="AB1880">
            <v>0</v>
          </cell>
          <cell r="AC1880">
            <v>0</v>
          </cell>
          <cell r="AI1880" t="str">
            <v/>
          </cell>
          <cell r="AJ1880" t="str">
            <v/>
          </cell>
          <cell r="AK1880">
            <v>0</v>
          </cell>
          <cell r="AL1880">
            <v>0</v>
          </cell>
          <cell r="AM1880">
            <v>0</v>
          </cell>
        </row>
        <row r="1881">
          <cell r="C1881" t="str">
            <v/>
          </cell>
          <cell r="D1881" t="str">
            <v/>
          </cell>
          <cell r="O1881" t="str">
            <v/>
          </cell>
          <cell r="T1881" t="str">
            <v/>
          </cell>
          <cell r="U1881" t="str">
            <v/>
          </cell>
          <cell r="V1881" t="str">
            <v/>
          </cell>
          <cell r="W1881" t="str">
            <v/>
          </cell>
          <cell r="Y1881" t="str">
            <v/>
          </cell>
          <cell r="AA1881" t="str">
            <v/>
          </cell>
          <cell r="AB1881">
            <v>0</v>
          </cell>
          <cell r="AC1881">
            <v>0</v>
          </cell>
          <cell r="AI1881" t="str">
            <v/>
          </cell>
          <cell r="AJ1881" t="str">
            <v/>
          </cell>
          <cell r="AK1881">
            <v>0</v>
          </cell>
          <cell r="AL1881">
            <v>0</v>
          </cell>
          <cell r="AM1881">
            <v>0</v>
          </cell>
        </row>
        <row r="1882">
          <cell r="C1882" t="str">
            <v/>
          </cell>
          <cell r="D1882" t="str">
            <v/>
          </cell>
          <cell r="O1882" t="str">
            <v/>
          </cell>
          <cell r="T1882" t="str">
            <v/>
          </cell>
          <cell r="U1882" t="str">
            <v/>
          </cell>
          <cell r="V1882" t="str">
            <v/>
          </cell>
          <cell r="W1882" t="str">
            <v/>
          </cell>
          <cell r="Y1882" t="str">
            <v/>
          </cell>
          <cell r="AA1882" t="str">
            <v/>
          </cell>
          <cell r="AB1882">
            <v>0</v>
          </cell>
          <cell r="AC1882">
            <v>0</v>
          </cell>
          <cell r="AI1882" t="str">
            <v/>
          </cell>
          <cell r="AJ1882" t="str">
            <v/>
          </cell>
          <cell r="AK1882">
            <v>0</v>
          </cell>
          <cell r="AL1882">
            <v>0</v>
          </cell>
          <cell r="AM1882">
            <v>0</v>
          </cell>
        </row>
        <row r="1883">
          <cell r="C1883" t="str">
            <v/>
          </cell>
          <cell r="D1883" t="str">
            <v/>
          </cell>
          <cell r="O1883" t="str">
            <v/>
          </cell>
          <cell r="T1883" t="str">
            <v/>
          </cell>
          <cell r="U1883" t="str">
            <v/>
          </cell>
          <cell r="V1883" t="str">
            <v/>
          </cell>
          <cell r="W1883" t="str">
            <v/>
          </cell>
          <cell r="Y1883" t="str">
            <v/>
          </cell>
          <cell r="AA1883" t="str">
            <v/>
          </cell>
          <cell r="AB1883">
            <v>0</v>
          </cell>
          <cell r="AC1883">
            <v>0</v>
          </cell>
          <cell r="AI1883" t="str">
            <v/>
          </cell>
          <cell r="AJ1883" t="str">
            <v/>
          </cell>
          <cell r="AK1883">
            <v>0</v>
          </cell>
          <cell r="AL1883">
            <v>0</v>
          </cell>
          <cell r="AM1883">
            <v>0</v>
          </cell>
        </row>
        <row r="1884">
          <cell r="C1884" t="str">
            <v/>
          </cell>
          <cell r="D1884" t="str">
            <v/>
          </cell>
          <cell r="O1884" t="str">
            <v/>
          </cell>
          <cell r="T1884" t="str">
            <v/>
          </cell>
          <cell r="U1884" t="str">
            <v/>
          </cell>
          <cell r="V1884" t="str">
            <v/>
          </cell>
          <cell r="W1884" t="str">
            <v/>
          </cell>
          <cell r="Y1884" t="str">
            <v/>
          </cell>
          <cell r="AA1884" t="str">
            <v/>
          </cell>
          <cell r="AB1884">
            <v>0</v>
          </cell>
          <cell r="AC1884">
            <v>0</v>
          </cell>
          <cell r="AI1884" t="str">
            <v/>
          </cell>
          <cell r="AJ1884" t="str">
            <v/>
          </cell>
          <cell r="AK1884">
            <v>0</v>
          </cell>
          <cell r="AL1884">
            <v>0</v>
          </cell>
          <cell r="AM1884">
            <v>0</v>
          </cell>
        </row>
        <row r="1885">
          <cell r="C1885" t="str">
            <v/>
          </cell>
          <cell r="D1885" t="str">
            <v/>
          </cell>
          <cell r="O1885" t="str">
            <v/>
          </cell>
          <cell r="T1885" t="str">
            <v/>
          </cell>
          <cell r="U1885" t="str">
            <v/>
          </cell>
          <cell r="V1885" t="str">
            <v/>
          </cell>
          <cell r="W1885" t="str">
            <v/>
          </cell>
          <cell r="Y1885" t="str">
            <v/>
          </cell>
          <cell r="AA1885" t="str">
            <v/>
          </cell>
          <cell r="AB1885">
            <v>0</v>
          </cell>
          <cell r="AC1885">
            <v>0</v>
          </cell>
          <cell r="AI1885" t="str">
            <v/>
          </cell>
          <cell r="AJ1885" t="str">
            <v/>
          </cell>
          <cell r="AK1885">
            <v>0</v>
          </cell>
          <cell r="AL1885">
            <v>0</v>
          </cell>
          <cell r="AM1885">
            <v>0</v>
          </cell>
        </row>
        <row r="1886">
          <cell r="C1886" t="str">
            <v/>
          </cell>
          <cell r="D1886" t="str">
            <v/>
          </cell>
          <cell r="O1886" t="str">
            <v/>
          </cell>
          <cell r="T1886" t="str">
            <v/>
          </cell>
          <cell r="U1886" t="str">
            <v/>
          </cell>
          <cell r="V1886" t="str">
            <v/>
          </cell>
          <cell r="W1886" t="str">
            <v/>
          </cell>
          <cell r="Y1886" t="str">
            <v/>
          </cell>
          <cell r="AA1886" t="str">
            <v/>
          </cell>
          <cell r="AB1886">
            <v>0</v>
          </cell>
          <cell r="AC1886">
            <v>0</v>
          </cell>
          <cell r="AI1886" t="str">
            <v/>
          </cell>
          <cell r="AJ1886" t="str">
            <v/>
          </cell>
          <cell r="AK1886">
            <v>0</v>
          </cell>
          <cell r="AL1886">
            <v>0</v>
          </cell>
          <cell r="AM1886">
            <v>0</v>
          </cell>
        </row>
        <row r="1887">
          <cell r="C1887" t="str">
            <v/>
          </cell>
          <cell r="D1887" t="str">
            <v/>
          </cell>
          <cell r="O1887" t="str">
            <v/>
          </cell>
          <cell r="T1887" t="str">
            <v/>
          </cell>
          <cell r="U1887" t="str">
            <v/>
          </cell>
          <cell r="V1887" t="str">
            <v/>
          </cell>
          <cell r="W1887" t="str">
            <v/>
          </cell>
          <cell r="Y1887" t="str">
            <v/>
          </cell>
          <cell r="AA1887" t="str">
            <v/>
          </cell>
          <cell r="AB1887">
            <v>0</v>
          </cell>
          <cell r="AC1887">
            <v>0</v>
          </cell>
          <cell r="AI1887" t="str">
            <v/>
          </cell>
          <cell r="AJ1887" t="str">
            <v/>
          </cell>
          <cell r="AK1887">
            <v>0</v>
          </cell>
          <cell r="AL1887">
            <v>0</v>
          </cell>
          <cell r="AM1887">
            <v>0</v>
          </cell>
        </row>
        <row r="1888">
          <cell r="C1888" t="str">
            <v/>
          </cell>
          <cell r="D1888" t="str">
            <v/>
          </cell>
          <cell r="O1888" t="str">
            <v/>
          </cell>
          <cell r="T1888" t="str">
            <v/>
          </cell>
          <cell r="U1888" t="str">
            <v/>
          </cell>
          <cell r="V1888" t="str">
            <v/>
          </cell>
          <cell r="W1888" t="str">
            <v/>
          </cell>
          <cell r="Y1888" t="str">
            <v/>
          </cell>
          <cell r="AA1888" t="str">
            <v/>
          </cell>
          <cell r="AB1888">
            <v>0</v>
          </cell>
          <cell r="AC1888">
            <v>0</v>
          </cell>
          <cell r="AI1888" t="str">
            <v/>
          </cell>
          <cell r="AJ1888" t="str">
            <v/>
          </cell>
          <cell r="AK1888">
            <v>0</v>
          </cell>
          <cell r="AL1888">
            <v>0</v>
          </cell>
          <cell r="AM1888">
            <v>0</v>
          </cell>
        </row>
        <row r="1889">
          <cell r="C1889" t="str">
            <v/>
          </cell>
          <cell r="D1889" t="str">
            <v/>
          </cell>
          <cell r="O1889" t="str">
            <v/>
          </cell>
          <cell r="T1889" t="str">
            <v/>
          </cell>
          <cell r="U1889" t="str">
            <v/>
          </cell>
          <cell r="V1889" t="str">
            <v/>
          </cell>
          <cell r="W1889" t="str">
            <v/>
          </cell>
          <cell r="Y1889" t="str">
            <v/>
          </cell>
          <cell r="AA1889" t="str">
            <v/>
          </cell>
          <cell r="AB1889">
            <v>0</v>
          </cell>
          <cell r="AC1889">
            <v>0</v>
          </cell>
          <cell r="AI1889" t="str">
            <v/>
          </cell>
          <cell r="AJ1889" t="str">
            <v/>
          </cell>
          <cell r="AK1889">
            <v>0</v>
          </cell>
          <cell r="AL1889">
            <v>0</v>
          </cell>
          <cell r="AM1889">
            <v>0</v>
          </cell>
        </row>
        <row r="1890">
          <cell r="C1890" t="str">
            <v/>
          </cell>
          <cell r="D1890" t="str">
            <v/>
          </cell>
          <cell r="O1890" t="str">
            <v/>
          </cell>
          <cell r="T1890" t="str">
            <v/>
          </cell>
          <cell r="U1890" t="str">
            <v/>
          </cell>
          <cell r="V1890" t="str">
            <v/>
          </cell>
          <cell r="W1890" t="str">
            <v/>
          </cell>
          <cell r="Y1890" t="str">
            <v/>
          </cell>
          <cell r="AA1890" t="str">
            <v/>
          </cell>
          <cell r="AB1890">
            <v>0</v>
          </cell>
          <cell r="AC1890">
            <v>0</v>
          </cell>
          <cell r="AI1890" t="str">
            <v/>
          </cell>
          <cell r="AJ1890" t="str">
            <v/>
          </cell>
          <cell r="AK1890">
            <v>0</v>
          </cell>
          <cell r="AL1890">
            <v>0</v>
          </cell>
          <cell r="AM1890">
            <v>0</v>
          </cell>
        </row>
        <row r="1891">
          <cell r="C1891" t="str">
            <v/>
          </cell>
          <cell r="D1891" t="str">
            <v/>
          </cell>
          <cell r="O1891" t="str">
            <v/>
          </cell>
          <cell r="T1891" t="str">
            <v/>
          </cell>
          <cell r="U1891" t="str">
            <v/>
          </cell>
          <cell r="V1891" t="str">
            <v/>
          </cell>
          <cell r="W1891" t="str">
            <v/>
          </cell>
          <cell r="Y1891" t="str">
            <v/>
          </cell>
          <cell r="AA1891" t="str">
            <v/>
          </cell>
          <cell r="AB1891">
            <v>0</v>
          </cell>
          <cell r="AC1891">
            <v>0</v>
          </cell>
          <cell r="AI1891" t="str">
            <v/>
          </cell>
          <cell r="AJ1891" t="str">
            <v/>
          </cell>
          <cell r="AK1891">
            <v>0</v>
          </cell>
          <cell r="AL1891">
            <v>0</v>
          </cell>
          <cell r="AM1891">
            <v>0</v>
          </cell>
        </row>
        <row r="1892">
          <cell r="C1892" t="str">
            <v/>
          </cell>
          <cell r="D1892" t="str">
            <v/>
          </cell>
          <cell r="O1892" t="str">
            <v/>
          </cell>
          <cell r="T1892" t="str">
            <v/>
          </cell>
          <cell r="U1892" t="str">
            <v/>
          </cell>
          <cell r="V1892" t="str">
            <v/>
          </cell>
          <cell r="W1892" t="str">
            <v/>
          </cell>
          <cell r="Y1892" t="str">
            <v/>
          </cell>
          <cell r="AA1892" t="str">
            <v/>
          </cell>
          <cell r="AB1892">
            <v>0</v>
          </cell>
          <cell r="AC1892">
            <v>0</v>
          </cell>
          <cell r="AI1892" t="str">
            <v/>
          </cell>
          <cell r="AJ1892" t="str">
            <v/>
          </cell>
          <cell r="AK1892">
            <v>0</v>
          </cell>
          <cell r="AL1892">
            <v>0</v>
          </cell>
          <cell r="AM1892">
            <v>0</v>
          </cell>
        </row>
        <row r="1893">
          <cell r="C1893" t="str">
            <v/>
          </cell>
          <cell r="D1893" t="str">
            <v/>
          </cell>
          <cell r="O1893" t="str">
            <v/>
          </cell>
          <cell r="T1893" t="str">
            <v/>
          </cell>
          <cell r="U1893" t="str">
            <v/>
          </cell>
          <cell r="V1893" t="str">
            <v/>
          </cell>
          <cell r="W1893" t="str">
            <v/>
          </cell>
          <cell r="Y1893" t="str">
            <v/>
          </cell>
          <cell r="AA1893" t="str">
            <v/>
          </cell>
          <cell r="AB1893">
            <v>0</v>
          </cell>
          <cell r="AC1893">
            <v>0</v>
          </cell>
          <cell r="AI1893" t="str">
            <v/>
          </cell>
          <cell r="AJ1893" t="str">
            <v/>
          </cell>
          <cell r="AK1893">
            <v>0</v>
          </cell>
          <cell r="AL1893">
            <v>0</v>
          </cell>
          <cell r="AM1893">
            <v>0</v>
          </cell>
        </row>
        <row r="1894">
          <cell r="C1894" t="str">
            <v/>
          </cell>
          <cell r="D1894" t="str">
            <v/>
          </cell>
          <cell r="O1894" t="str">
            <v/>
          </cell>
          <cell r="T1894" t="str">
            <v/>
          </cell>
          <cell r="U1894" t="str">
            <v/>
          </cell>
          <cell r="V1894" t="str">
            <v/>
          </cell>
          <cell r="W1894" t="str">
            <v/>
          </cell>
          <cell r="Y1894" t="str">
            <v/>
          </cell>
          <cell r="AA1894" t="str">
            <v/>
          </cell>
          <cell r="AB1894">
            <v>0</v>
          </cell>
          <cell r="AC1894">
            <v>0</v>
          </cell>
          <cell r="AI1894" t="str">
            <v/>
          </cell>
          <cell r="AJ1894" t="str">
            <v/>
          </cell>
          <cell r="AK1894">
            <v>0</v>
          </cell>
          <cell r="AL1894">
            <v>0</v>
          </cell>
          <cell r="AM1894">
            <v>0</v>
          </cell>
        </row>
        <row r="1895">
          <cell r="C1895" t="str">
            <v/>
          </cell>
          <cell r="D1895" t="str">
            <v/>
          </cell>
          <cell r="O1895" t="str">
            <v/>
          </cell>
          <cell r="T1895" t="str">
            <v/>
          </cell>
          <cell r="U1895" t="str">
            <v/>
          </cell>
          <cell r="V1895" t="str">
            <v/>
          </cell>
          <cell r="W1895" t="str">
            <v/>
          </cell>
          <cell r="Y1895" t="str">
            <v/>
          </cell>
          <cell r="AA1895" t="str">
            <v/>
          </cell>
          <cell r="AB1895">
            <v>0</v>
          </cell>
          <cell r="AC1895">
            <v>0</v>
          </cell>
          <cell r="AI1895" t="str">
            <v/>
          </cell>
          <cell r="AJ1895" t="str">
            <v/>
          </cell>
          <cell r="AK1895">
            <v>0</v>
          </cell>
          <cell r="AL1895">
            <v>0</v>
          </cell>
          <cell r="AM1895">
            <v>0</v>
          </cell>
        </row>
        <row r="1896">
          <cell r="C1896" t="str">
            <v/>
          </cell>
          <cell r="D1896" t="str">
            <v/>
          </cell>
          <cell r="O1896" t="str">
            <v/>
          </cell>
          <cell r="T1896" t="str">
            <v/>
          </cell>
          <cell r="U1896" t="str">
            <v/>
          </cell>
          <cell r="V1896" t="str">
            <v/>
          </cell>
          <cell r="W1896" t="str">
            <v/>
          </cell>
          <cell r="Y1896" t="str">
            <v/>
          </cell>
          <cell r="AA1896" t="str">
            <v/>
          </cell>
          <cell r="AB1896">
            <v>0</v>
          </cell>
          <cell r="AC1896">
            <v>0</v>
          </cell>
          <cell r="AI1896" t="str">
            <v/>
          </cell>
          <cell r="AJ1896" t="str">
            <v/>
          </cell>
          <cell r="AK1896">
            <v>0</v>
          </cell>
          <cell r="AL1896">
            <v>0</v>
          </cell>
          <cell r="AM1896">
            <v>0</v>
          </cell>
        </row>
        <row r="1897">
          <cell r="C1897" t="str">
            <v/>
          </cell>
          <cell r="D1897" t="str">
            <v/>
          </cell>
          <cell r="O1897" t="str">
            <v/>
          </cell>
          <cell r="T1897" t="str">
            <v/>
          </cell>
          <cell r="U1897" t="str">
            <v/>
          </cell>
          <cell r="V1897" t="str">
            <v/>
          </cell>
          <cell r="W1897" t="str">
            <v/>
          </cell>
          <cell r="Y1897" t="str">
            <v/>
          </cell>
          <cell r="AA1897" t="str">
            <v/>
          </cell>
          <cell r="AB1897">
            <v>0</v>
          </cell>
          <cell r="AC1897">
            <v>0</v>
          </cell>
          <cell r="AI1897" t="str">
            <v/>
          </cell>
          <cell r="AJ1897" t="str">
            <v/>
          </cell>
          <cell r="AK1897">
            <v>0</v>
          </cell>
          <cell r="AL1897">
            <v>0</v>
          </cell>
          <cell r="AM1897">
            <v>0</v>
          </cell>
        </row>
        <row r="1898">
          <cell r="C1898" t="str">
            <v/>
          </cell>
          <cell r="D1898" t="str">
            <v/>
          </cell>
          <cell r="O1898" t="str">
            <v/>
          </cell>
          <cell r="T1898" t="str">
            <v/>
          </cell>
          <cell r="U1898" t="str">
            <v/>
          </cell>
          <cell r="V1898" t="str">
            <v/>
          </cell>
          <cell r="W1898" t="str">
            <v/>
          </cell>
          <cell r="Y1898" t="str">
            <v/>
          </cell>
          <cell r="AA1898" t="str">
            <v/>
          </cell>
          <cell r="AB1898">
            <v>0</v>
          </cell>
          <cell r="AC1898">
            <v>0</v>
          </cell>
          <cell r="AI1898" t="str">
            <v/>
          </cell>
          <cell r="AJ1898" t="str">
            <v/>
          </cell>
          <cell r="AK1898">
            <v>0</v>
          </cell>
          <cell r="AL1898">
            <v>0</v>
          </cell>
          <cell r="AM1898">
            <v>0</v>
          </cell>
        </row>
        <row r="1899">
          <cell r="C1899" t="str">
            <v/>
          </cell>
          <cell r="D1899" t="str">
            <v/>
          </cell>
          <cell r="O1899" t="str">
            <v/>
          </cell>
          <cell r="T1899" t="str">
            <v/>
          </cell>
          <cell r="U1899" t="str">
            <v/>
          </cell>
          <cell r="V1899" t="str">
            <v/>
          </cell>
          <cell r="W1899" t="str">
            <v/>
          </cell>
          <cell r="Y1899" t="str">
            <v/>
          </cell>
          <cell r="AA1899" t="str">
            <v/>
          </cell>
          <cell r="AB1899">
            <v>0</v>
          </cell>
          <cell r="AC1899">
            <v>0</v>
          </cell>
          <cell r="AI1899" t="str">
            <v/>
          </cell>
          <cell r="AJ1899" t="str">
            <v/>
          </cell>
          <cell r="AK1899">
            <v>0</v>
          </cell>
          <cell r="AL1899">
            <v>0</v>
          </cell>
          <cell r="AM1899">
            <v>0</v>
          </cell>
        </row>
        <row r="1900">
          <cell r="C1900" t="str">
            <v/>
          </cell>
          <cell r="D1900" t="str">
            <v/>
          </cell>
          <cell r="O1900" t="str">
            <v/>
          </cell>
          <cell r="T1900" t="str">
            <v/>
          </cell>
          <cell r="U1900" t="str">
            <v/>
          </cell>
          <cell r="V1900" t="str">
            <v/>
          </cell>
          <cell r="W1900" t="str">
            <v/>
          </cell>
          <cell r="Y1900" t="str">
            <v/>
          </cell>
          <cell r="AA1900" t="str">
            <v/>
          </cell>
          <cell r="AB1900">
            <v>0</v>
          </cell>
          <cell r="AC1900">
            <v>0</v>
          </cell>
          <cell r="AI1900" t="str">
            <v/>
          </cell>
          <cell r="AJ1900" t="str">
            <v/>
          </cell>
          <cell r="AK1900">
            <v>0</v>
          </cell>
          <cell r="AL1900">
            <v>0</v>
          </cell>
          <cell r="AM1900">
            <v>0</v>
          </cell>
        </row>
        <row r="1901">
          <cell r="C1901" t="str">
            <v/>
          </cell>
          <cell r="D1901" t="str">
            <v/>
          </cell>
          <cell r="O1901" t="str">
            <v/>
          </cell>
          <cell r="T1901" t="str">
            <v/>
          </cell>
          <cell r="U1901" t="str">
            <v/>
          </cell>
          <cell r="V1901" t="str">
            <v/>
          </cell>
          <cell r="W1901" t="str">
            <v/>
          </cell>
          <cell r="Y1901" t="str">
            <v/>
          </cell>
          <cell r="AA1901" t="str">
            <v/>
          </cell>
          <cell r="AB1901">
            <v>0</v>
          </cell>
          <cell r="AC1901">
            <v>0</v>
          </cell>
          <cell r="AI1901" t="str">
            <v/>
          </cell>
          <cell r="AJ1901" t="str">
            <v/>
          </cell>
          <cell r="AK1901">
            <v>0</v>
          </cell>
          <cell r="AL1901">
            <v>0</v>
          </cell>
          <cell r="AM1901">
            <v>0</v>
          </cell>
        </row>
        <row r="1902">
          <cell r="C1902" t="str">
            <v/>
          </cell>
          <cell r="D1902" t="str">
            <v/>
          </cell>
          <cell r="O1902" t="str">
            <v/>
          </cell>
          <cell r="T1902" t="str">
            <v/>
          </cell>
          <cell r="U1902" t="str">
            <v/>
          </cell>
          <cell r="V1902" t="str">
            <v/>
          </cell>
          <cell r="W1902" t="str">
            <v/>
          </cell>
          <cell r="Y1902" t="str">
            <v/>
          </cell>
          <cell r="AA1902" t="str">
            <v/>
          </cell>
          <cell r="AB1902">
            <v>0</v>
          </cell>
          <cell r="AC1902">
            <v>0</v>
          </cell>
          <cell r="AI1902" t="str">
            <v/>
          </cell>
          <cell r="AJ1902" t="str">
            <v/>
          </cell>
          <cell r="AK1902">
            <v>0</v>
          </cell>
          <cell r="AL1902">
            <v>0</v>
          </cell>
          <cell r="AM1902">
            <v>0</v>
          </cell>
        </row>
        <row r="1903">
          <cell r="C1903" t="str">
            <v/>
          </cell>
          <cell r="D1903" t="str">
            <v/>
          </cell>
          <cell r="O1903" t="str">
            <v/>
          </cell>
          <cell r="T1903" t="str">
            <v/>
          </cell>
          <cell r="U1903" t="str">
            <v/>
          </cell>
          <cell r="V1903" t="str">
            <v/>
          </cell>
          <cell r="W1903" t="str">
            <v/>
          </cell>
          <cell r="Y1903" t="str">
            <v/>
          </cell>
          <cell r="AA1903" t="str">
            <v/>
          </cell>
          <cell r="AB1903">
            <v>0</v>
          </cell>
          <cell r="AC1903">
            <v>0</v>
          </cell>
          <cell r="AI1903" t="str">
            <v/>
          </cell>
          <cell r="AJ1903" t="str">
            <v/>
          </cell>
          <cell r="AK1903">
            <v>0</v>
          </cell>
          <cell r="AL1903">
            <v>0</v>
          </cell>
          <cell r="AM1903">
            <v>0</v>
          </cell>
        </row>
        <row r="1904">
          <cell r="C1904" t="str">
            <v/>
          </cell>
          <cell r="D1904" t="str">
            <v/>
          </cell>
          <cell r="O1904" t="str">
            <v/>
          </cell>
          <cell r="T1904" t="str">
            <v/>
          </cell>
          <cell r="U1904" t="str">
            <v/>
          </cell>
          <cell r="V1904" t="str">
            <v/>
          </cell>
          <cell r="W1904" t="str">
            <v/>
          </cell>
          <cell r="Y1904" t="str">
            <v/>
          </cell>
          <cell r="AA1904" t="str">
            <v/>
          </cell>
          <cell r="AB1904">
            <v>0</v>
          </cell>
          <cell r="AC1904">
            <v>0</v>
          </cell>
          <cell r="AI1904" t="str">
            <v/>
          </cell>
          <cell r="AJ1904" t="str">
            <v/>
          </cell>
          <cell r="AK1904">
            <v>0</v>
          </cell>
          <cell r="AL1904">
            <v>0</v>
          </cell>
          <cell r="AM1904">
            <v>0</v>
          </cell>
        </row>
        <row r="1905">
          <cell r="C1905" t="str">
            <v/>
          </cell>
          <cell r="D1905" t="str">
            <v/>
          </cell>
          <cell r="O1905" t="str">
            <v/>
          </cell>
          <cell r="T1905" t="str">
            <v/>
          </cell>
          <cell r="U1905" t="str">
            <v/>
          </cell>
          <cell r="V1905" t="str">
            <v/>
          </cell>
          <cell r="W1905" t="str">
            <v/>
          </cell>
          <cell r="Y1905" t="str">
            <v/>
          </cell>
          <cell r="AA1905" t="str">
            <v/>
          </cell>
          <cell r="AB1905">
            <v>0</v>
          </cell>
          <cell r="AC1905">
            <v>0</v>
          </cell>
          <cell r="AI1905" t="str">
            <v/>
          </cell>
          <cell r="AJ1905" t="str">
            <v/>
          </cell>
          <cell r="AK1905">
            <v>0</v>
          </cell>
          <cell r="AL1905">
            <v>0</v>
          </cell>
          <cell r="AM1905">
            <v>0</v>
          </cell>
        </row>
        <row r="1906">
          <cell r="C1906" t="str">
            <v/>
          </cell>
          <cell r="D1906" t="str">
            <v/>
          </cell>
          <cell r="O1906" t="str">
            <v/>
          </cell>
          <cell r="T1906" t="str">
            <v/>
          </cell>
          <cell r="U1906" t="str">
            <v/>
          </cell>
          <cell r="V1906" t="str">
            <v/>
          </cell>
          <cell r="W1906" t="str">
            <v/>
          </cell>
          <cell r="Y1906" t="str">
            <v/>
          </cell>
          <cell r="AA1906" t="str">
            <v/>
          </cell>
          <cell r="AB1906">
            <v>0</v>
          </cell>
          <cell r="AC1906">
            <v>0</v>
          </cell>
          <cell r="AI1906" t="str">
            <v/>
          </cell>
          <cell r="AJ1906" t="str">
            <v/>
          </cell>
          <cell r="AK1906">
            <v>0</v>
          </cell>
          <cell r="AL1906">
            <v>0</v>
          </cell>
          <cell r="AM1906">
            <v>0</v>
          </cell>
        </row>
        <row r="1907">
          <cell r="C1907" t="str">
            <v/>
          </cell>
          <cell r="D1907" t="str">
            <v/>
          </cell>
          <cell r="O1907" t="str">
            <v/>
          </cell>
          <cell r="T1907" t="str">
            <v/>
          </cell>
          <cell r="U1907" t="str">
            <v/>
          </cell>
          <cell r="V1907" t="str">
            <v/>
          </cell>
          <cell r="W1907" t="str">
            <v/>
          </cell>
          <cell r="Y1907" t="str">
            <v/>
          </cell>
          <cell r="AA1907" t="str">
            <v/>
          </cell>
          <cell r="AB1907">
            <v>0</v>
          </cell>
          <cell r="AC1907">
            <v>0</v>
          </cell>
          <cell r="AI1907" t="str">
            <v/>
          </cell>
          <cell r="AJ1907" t="str">
            <v/>
          </cell>
          <cell r="AK1907">
            <v>0</v>
          </cell>
          <cell r="AL1907">
            <v>0</v>
          </cell>
          <cell r="AM1907">
            <v>0</v>
          </cell>
        </row>
        <row r="1908">
          <cell r="C1908" t="str">
            <v/>
          </cell>
          <cell r="D1908" t="str">
            <v/>
          </cell>
          <cell r="O1908" t="str">
            <v/>
          </cell>
          <cell r="T1908" t="str">
            <v/>
          </cell>
          <cell r="U1908" t="str">
            <v/>
          </cell>
          <cell r="V1908" t="str">
            <v/>
          </cell>
          <cell r="W1908" t="str">
            <v/>
          </cell>
          <cell r="Y1908" t="str">
            <v/>
          </cell>
          <cell r="AA1908" t="str">
            <v/>
          </cell>
          <cell r="AB1908">
            <v>0</v>
          </cell>
          <cell r="AC1908">
            <v>0</v>
          </cell>
          <cell r="AI1908" t="str">
            <v/>
          </cell>
          <cell r="AJ1908" t="str">
            <v/>
          </cell>
          <cell r="AK1908">
            <v>0</v>
          </cell>
          <cell r="AL1908">
            <v>0</v>
          </cell>
          <cell r="AM1908">
            <v>0</v>
          </cell>
        </row>
        <row r="1909">
          <cell r="C1909" t="str">
            <v/>
          </cell>
          <cell r="D1909" t="str">
            <v/>
          </cell>
          <cell r="O1909" t="str">
            <v/>
          </cell>
          <cell r="T1909" t="str">
            <v/>
          </cell>
          <cell r="U1909" t="str">
            <v/>
          </cell>
          <cell r="V1909" t="str">
            <v/>
          </cell>
          <cell r="W1909" t="str">
            <v/>
          </cell>
          <cell r="Y1909" t="str">
            <v/>
          </cell>
          <cell r="AA1909" t="str">
            <v/>
          </cell>
          <cell r="AB1909">
            <v>0</v>
          </cell>
          <cell r="AC1909">
            <v>0</v>
          </cell>
          <cell r="AI1909" t="str">
            <v/>
          </cell>
          <cell r="AJ1909" t="str">
            <v/>
          </cell>
          <cell r="AK1909">
            <v>0</v>
          </cell>
          <cell r="AL1909">
            <v>0</v>
          </cell>
          <cell r="AM1909">
            <v>0</v>
          </cell>
        </row>
        <row r="1910">
          <cell r="C1910" t="str">
            <v/>
          </cell>
          <cell r="D1910" t="str">
            <v/>
          </cell>
          <cell r="O1910" t="str">
            <v/>
          </cell>
          <cell r="T1910" t="str">
            <v/>
          </cell>
          <cell r="U1910" t="str">
            <v/>
          </cell>
          <cell r="V1910" t="str">
            <v/>
          </cell>
          <cell r="W1910" t="str">
            <v/>
          </cell>
          <cell r="Y1910" t="str">
            <v/>
          </cell>
          <cell r="AA1910" t="str">
            <v/>
          </cell>
          <cell r="AB1910">
            <v>0</v>
          </cell>
          <cell r="AC1910">
            <v>0</v>
          </cell>
          <cell r="AI1910" t="str">
            <v/>
          </cell>
          <cell r="AJ1910" t="str">
            <v/>
          </cell>
          <cell r="AK1910">
            <v>0</v>
          </cell>
          <cell r="AL1910">
            <v>0</v>
          </cell>
          <cell r="AM1910">
            <v>0</v>
          </cell>
        </row>
        <row r="1911">
          <cell r="C1911" t="str">
            <v/>
          </cell>
          <cell r="D1911" t="str">
            <v/>
          </cell>
          <cell r="O1911" t="str">
            <v/>
          </cell>
          <cell r="T1911" t="str">
            <v/>
          </cell>
          <cell r="U1911" t="str">
            <v/>
          </cell>
          <cell r="V1911" t="str">
            <v/>
          </cell>
          <cell r="W1911" t="str">
            <v/>
          </cell>
          <cell r="Y1911" t="str">
            <v/>
          </cell>
          <cell r="AA1911" t="str">
            <v/>
          </cell>
          <cell r="AB1911">
            <v>0</v>
          </cell>
          <cell r="AC1911">
            <v>0</v>
          </cell>
          <cell r="AI1911" t="str">
            <v/>
          </cell>
          <cell r="AJ1911" t="str">
            <v/>
          </cell>
          <cell r="AK1911">
            <v>0</v>
          </cell>
          <cell r="AL1911">
            <v>0</v>
          </cell>
          <cell r="AM1911">
            <v>0</v>
          </cell>
        </row>
        <row r="1912">
          <cell r="C1912" t="str">
            <v/>
          </cell>
          <cell r="D1912" t="str">
            <v/>
          </cell>
          <cell r="O1912" t="str">
            <v/>
          </cell>
          <cell r="T1912" t="str">
            <v/>
          </cell>
          <cell r="U1912" t="str">
            <v/>
          </cell>
          <cell r="V1912" t="str">
            <v/>
          </cell>
          <cell r="W1912" t="str">
            <v/>
          </cell>
          <cell r="Y1912" t="str">
            <v/>
          </cell>
          <cell r="AA1912" t="str">
            <v/>
          </cell>
          <cell r="AB1912">
            <v>0</v>
          </cell>
          <cell r="AC1912">
            <v>0</v>
          </cell>
          <cell r="AI1912" t="str">
            <v/>
          </cell>
          <cell r="AJ1912" t="str">
            <v/>
          </cell>
          <cell r="AK1912">
            <v>0</v>
          </cell>
          <cell r="AL1912">
            <v>0</v>
          </cell>
          <cell r="AM1912">
            <v>0</v>
          </cell>
        </row>
        <row r="1913">
          <cell r="C1913" t="str">
            <v/>
          </cell>
          <cell r="D1913" t="str">
            <v/>
          </cell>
          <cell r="O1913" t="str">
            <v/>
          </cell>
          <cell r="T1913" t="str">
            <v/>
          </cell>
          <cell r="U1913" t="str">
            <v/>
          </cell>
          <cell r="V1913" t="str">
            <v/>
          </cell>
          <cell r="W1913" t="str">
            <v/>
          </cell>
          <cell r="Y1913" t="str">
            <v/>
          </cell>
          <cell r="AA1913" t="str">
            <v/>
          </cell>
          <cell r="AB1913">
            <v>0</v>
          </cell>
          <cell r="AC1913">
            <v>0</v>
          </cell>
          <cell r="AI1913" t="str">
            <v/>
          </cell>
          <cell r="AJ1913" t="str">
            <v/>
          </cell>
          <cell r="AK1913">
            <v>0</v>
          </cell>
          <cell r="AL1913">
            <v>0</v>
          </cell>
          <cell r="AM1913">
            <v>0</v>
          </cell>
        </row>
        <row r="1914">
          <cell r="C1914" t="str">
            <v/>
          </cell>
          <cell r="D1914" t="str">
            <v/>
          </cell>
          <cell r="O1914" t="str">
            <v/>
          </cell>
          <cell r="T1914" t="str">
            <v/>
          </cell>
          <cell r="U1914" t="str">
            <v/>
          </cell>
          <cell r="V1914" t="str">
            <v/>
          </cell>
          <cell r="W1914" t="str">
            <v/>
          </cell>
          <cell r="Y1914" t="str">
            <v/>
          </cell>
          <cell r="AA1914" t="str">
            <v/>
          </cell>
          <cell r="AB1914">
            <v>0</v>
          </cell>
          <cell r="AC1914">
            <v>0</v>
          </cell>
          <cell r="AI1914" t="str">
            <v/>
          </cell>
          <cell r="AJ1914" t="str">
            <v/>
          </cell>
          <cell r="AK1914">
            <v>0</v>
          </cell>
          <cell r="AL1914">
            <v>0</v>
          </cell>
          <cell r="AM1914">
            <v>0</v>
          </cell>
        </row>
        <row r="1915">
          <cell r="C1915" t="str">
            <v/>
          </cell>
          <cell r="D1915" t="str">
            <v/>
          </cell>
          <cell r="O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/>
          </cell>
          <cell r="Y1915" t="str">
            <v/>
          </cell>
          <cell r="AA1915" t="str">
            <v/>
          </cell>
          <cell r="AB1915">
            <v>0</v>
          </cell>
          <cell r="AC1915">
            <v>0</v>
          </cell>
          <cell r="AI1915" t="str">
            <v/>
          </cell>
          <cell r="AJ1915" t="str">
            <v/>
          </cell>
          <cell r="AK1915">
            <v>0</v>
          </cell>
          <cell r="AL1915">
            <v>0</v>
          </cell>
          <cell r="AM1915">
            <v>0</v>
          </cell>
        </row>
        <row r="1916">
          <cell r="C1916" t="str">
            <v/>
          </cell>
          <cell r="D1916" t="str">
            <v/>
          </cell>
          <cell r="O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/>
          </cell>
          <cell r="Y1916" t="str">
            <v/>
          </cell>
          <cell r="AA1916" t="str">
            <v/>
          </cell>
          <cell r="AB1916">
            <v>0</v>
          </cell>
          <cell r="AC1916">
            <v>0</v>
          </cell>
          <cell r="AI1916" t="str">
            <v/>
          </cell>
          <cell r="AJ1916" t="str">
            <v/>
          </cell>
          <cell r="AK1916">
            <v>0</v>
          </cell>
          <cell r="AL1916">
            <v>0</v>
          </cell>
          <cell r="AM1916">
            <v>0</v>
          </cell>
        </row>
        <row r="1917">
          <cell r="C1917" t="str">
            <v/>
          </cell>
          <cell r="D1917" t="str">
            <v/>
          </cell>
          <cell r="O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/>
          </cell>
          <cell r="Y1917" t="str">
            <v/>
          </cell>
          <cell r="AA1917" t="str">
            <v/>
          </cell>
          <cell r="AB1917">
            <v>0</v>
          </cell>
          <cell r="AC1917">
            <v>0</v>
          </cell>
          <cell r="AI1917" t="str">
            <v/>
          </cell>
          <cell r="AJ1917" t="str">
            <v/>
          </cell>
          <cell r="AK1917">
            <v>0</v>
          </cell>
          <cell r="AL1917">
            <v>0</v>
          </cell>
          <cell r="AM1917">
            <v>0</v>
          </cell>
        </row>
        <row r="1918">
          <cell r="C1918" t="str">
            <v/>
          </cell>
          <cell r="D1918" t="str">
            <v/>
          </cell>
          <cell r="O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/>
          </cell>
          <cell r="Y1918" t="str">
            <v/>
          </cell>
          <cell r="AA1918" t="str">
            <v/>
          </cell>
          <cell r="AB1918">
            <v>0</v>
          </cell>
          <cell r="AC1918">
            <v>0</v>
          </cell>
          <cell r="AI1918" t="str">
            <v/>
          </cell>
          <cell r="AJ1918" t="str">
            <v/>
          </cell>
          <cell r="AK1918">
            <v>0</v>
          </cell>
          <cell r="AL1918">
            <v>0</v>
          </cell>
          <cell r="AM1918">
            <v>0</v>
          </cell>
        </row>
        <row r="1919">
          <cell r="C1919" t="str">
            <v/>
          </cell>
          <cell r="D1919" t="str">
            <v/>
          </cell>
          <cell r="O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/>
          </cell>
          <cell r="Y1919" t="str">
            <v/>
          </cell>
          <cell r="AA1919" t="str">
            <v/>
          </cell>
          <cell r="AB1919">
            <v>0</v>
          </cell>
          <cell r="AC1919">
            <v>0</v>
          </cell>
          <cell r="AI1919" t="str">
            <v/>
          </cell>
          <cell r="AJ1919" t="str">
            <v/>
          </cell>
          <cell r="AK1919">
            <v>0</v>
          </cell>
          <cell r="AL1919">
            <v>0</v>
          </cell>
          <cell r="AM1919">
            <v>0</v>
          </cell>
        </row>
        <row r="1920">
          <cell r="C1920" t="str">
            <v/>
          </cell>
          <cell r="D1920" t="str">
            <v/>
          </cell>
          <cell r="O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/>
          </cell>
          <cell r="Y1920" t="str">
            <v/>
          </cell>
          <cell r="AA1920" t="str">
            <v/>
          </cell>
          <cell r="AB1920">
            <v>0</v>
          </cell>
          <cell r="AC1920">
            <v>0</v>
          </cell>
          <cell r="AI1920" t="str">
            <v/>
          </cell>
          <cell r="AJ1920" t="str">
            <v/>
          </cell>
          <cell r="AK1920">
            <v>0</v>
          </cell>
          <cell r="AL1920">
            <v>0</v>
          </cell>
          <cell r="AM1920">
            <v>0</v>
          </cell>
        </row>
        <row r="1921">
          <cell r="C1921" t="str">
            <v/>
          </cell>
          <cell r="D1921" t="str">
            <v/>
          </cell>
          <cell r="O1921" t="str">
            <v/>
          </cell>
          <cell r="T1921" t="str">
            <v/>
          </cell>
          <cell r="U1921" t="str">
            <v/>
          </cell>
          <cell r="V1921" t="str">
            <v/>
          </cell>
          <cell r="W1921" t="str">
            <v/>
          </cell>
          <cell r="Y1921" t="str">
            <v/>
          </cell>
          <cell r="AA1921" t="str">
            <v/>
          </cell>
          <cell r="AB1921">
            <v>0</v>
          </cell>
          <cell r="AC1921">
            <v>0</v>
          </cell>
          <cell r="AI1921" t="str">
            <v/>
          </cell>
          <cell r="AJ1921" t="str">
            <v/>
          </cell>
          <cell r="AK1921">
            <v>0</v>
          </cell>
          <cell r="AL1921">
            <v>0</v>
          </cell>
          <cell r="AM1921">
            <v>0</v>
          </cell>
        </row>
        <row r="1922">
          <cell r="C1922" t="str">
            <v/>
          </cell>
          <cell r="D1922" t="str">
            <v/>
          </cell>
          <cell r="O1922" t="str">
            <v/>
          </cell>
          <cell r="T1922" t="str">
            <v/>
          </cell>
          <cell r="U1922" t="str">
            <v/>
          </cell>
          <cell r="V1922" t="str">
            <v/>
          </cell>
          <cell r="W1922" t="str">
            <v/>
          </cell>
          <cell r="Y1922" t="str">
            <v/>
          </cell>
          <cell r="AA1922" t="str">
            <v/>
          </cell>
          <cell r="AB1922">
            <v>0</v>
          </cell>
          <cell r="AC1922">
            <v>0</v>
          </cell>
          <cell r="AI1922" t="str">
            <v/>
          </cell>
          <cell r="AJ1922" t="str">
            <v/>
          </cell>
          <cell r="AK1922">
            <v>0</v>
          </cell>
          <cell r="AL1922">
            <v>0</v>
          </cell>
          <cell r="AM1922">
            <v>0</v>
          </cell>
        </row>
        <row r="1923">
          <cell r="C1923" t="str">
            <v/>
          </cell>
          <cell r="D1923" t="str">
            <v/>
          </cell>
          <cell r="O1923" t="str">
            <v/>
          </cell>
          <cell r="T1923" t="str">
            <v/>
          </cell>
          <cell r="U1923" t="str">
            <v/>
          </cell>
          <cell r="V1923" t="str">
            <v/>
          </cell>
          <cell r="W1923" t="str">
            <v/>
          </cell>
          <cell r="Y1923" t="str">
            <v/>
          </cell>
          <cell r="AA1923" t="str">
            <v/>
          </cell>
          <cell r="AB1923">
            <v>0</v>
          </cell>
          <cell r="AC1923">
            <v>0</v>
          </cell>
          <cell r="AI1923" t="str">
            <v/>
          </cell>
          <cell r="AJ1923" t="str">
            <v/>
          </cell>
          <cell r="AK1923">
            <v>0</v>
          </cell>
          <cell r="AL1923">
            <v>0</v>
          </cell>
          <cell r="AM1923">
            <v>0</v>
          </cell>
        </row>
        <row r="1924">
          <cell r="C1924" t="str">
            <v/>
          </cell>
          <cell r="D1924" t="str">
            <v/>
          </cell>
          <cell r="O1924" t="str">
            <v/>
          </cell>
          <cell r="T1924" t="str">
            <v/>
          </cell>
          <cell r="U1924" t="str">
            <v/>
          </cell>
          <cell r="V1924" t="str">
            <v/>
          </cell>
          <cell r="W1924" t="str">
            <v/>
          </cell>
          <cell r="Y1924" t="str">
            <v/>
          </cell>
          <cell r="AA1924" t="str">
            <v/>
          </cell>
          <cell r="AB1924">
            <v>0</v>
          </cell>
          <cell r="AC1924">
            <v>0</v>
          </cell>
          <cell r="AI1924" t="str">
            <v/>
          </cell>
          <cell r="AJ1924" t="str">
            <v/>
          </cell>
          <cell r="AK1924">
            <v>0</v>
          </cell>
          <cell r="AL1924">
            <v>0</v>
          </cell>
          <cell r="AM1924">
            <v>0</v>
          </cell>
        </row>
        <row r="1925">
          <cell r="C1925" t="str">
            <v/>
          </cell>
          <cell r="D1925" t="str">
            <v/>
          </cell>
          <cell r="O1925" t="str">
            <v/>
          </cell>
          <cell r="T1925" t="str">
            <v/>
          </cell>
          <cell r="U1925" t="str">
            <v/>
          </cell>
          <cell r="V1925" t="str">
            <v/>
          </cell>
          <cell r="W1925" t="str">
            <v/>
          </cell>
          <cell r="Y1925" t="str">
            <v/>
          </cell>
          <cell r="AA1925" t="str">
            <v/>
          </cell>
          <cell r="AB1925">
            <v>0</v>
          </cell>
          <cell r="AC1925">
            <v>0</v>
          </cell>
          <cell r="AI1925" t="str">
            <v/>
          </cell>
          <cell r="AJ1925" t="str">
            <v/>
          </cell>
          <cell r="AK1925">
            <v>0</v>
          </cell>
          <cell r="AL1925">
            <v>0</v>
          </cell>
          <cell r="AM1925">
            <v>0</v>
          </cell>
        </row>
        <row r="1926">
          <cell r="C1926" t="str">
            <v/>
          </cell>
          <cell r="D1926" t="str">
            <v/>
          </cell>
          <cell r="O1926" t="str">
            <v/>
          </cell>
          <cell r="T1926" t="str">
            <v/>
          </cell>
          <cell r="U1926" t="str">
            <v/>
          </cell>
          <cell r="V1926" t="str">
            <v/>
          </cell>
          <cell r="W1926" t="str">
            <v/>
          </cell>
          <cell r="Y1926" t="str">
            <v/>
          </cell>
          <cell r="AA1926" t="str">
            <v/>
          </cell>
          <cell r="AB1926">
            <v>0</v>
          </cell>
          <cell r="AC1926">
            <v>0</v>
          </cell>
          <cell r="AI1926" t="str">
            <v/>
          </cell>
          <cell r="AJ1926" t="str">
            <v/>
          </cell>
          <cell r="AK1926">
            <v>0</v>
          </cell>
          <cell r="AL1926">
            <v>0</v>
          </cell>
          <cell r="AM1926">
            <v>0</v>
          </cell>
        </row>
        <row r="1927">
          <cell r="C1927" t="str">
            <v/>
          </cell>
          <cell r="D1927" t="str">
            <v/>
          </cell>
          <cell r="O1927" t="str">
            <v/>
          </cell>
          <cell r="T1927" t="str">
            <v/>
          </cell>
          <cell r="U1927" t="str">
            <v/>
          </cell>
          <cell r="V1927" t="str">
            <v/>
          </cell>
          <cell r="W1927" t="str">
            <v/>
          </cell>
          <cell r="Y1927" t="str">
            <v/>
          </cell>
          <cell r="AA1927" t="str">
            <v/>
          </cell>
          <cell r="AB1927">
            <v>0</v>
          </cell>
          <cell r="AC1927">
            <v>0</v>
          </cell>
          <cell r="AI1927" t="str">
            <v/>
          </cell>
          <cell r="AJ1927" t="str">
            <v/>
          </cell>
          <cell r="AK1927">
            <v>0</v>
          </cell>
          <cell r="AL1927">
            <v>0</v>
          </cell>
          <cell r="AM1927">
            <v>0</v>
          </cell>
        </row>
        <row r="1928">
          <cell r="C1928" t="str">
            <v/>
          </cell>
          <cell r="D1928" t="str">
            <v/>
          </cell>
          <cell r="O1928" t="str">
            <v/>
          </cell>
          <cell r="T1928" t="str">
            <v/>
          </cell>
          <cell r="U1928" t="str">
            <v/>
          </cell>
          <cell r="V1928" t="str">
            <v/>
          </cell>
          <cell r="W1928" t="str">
            <v/>
          </cell>
          <cell r="Y1928" t="str">
            <v/>
          </cell>
          <cell r="AA1928" t="str">
            <v/>
          </cell>
          <cell r="AB1928">
            <v>0</v>
          </cell>
          <cell r="AC1928">
            <v>0</v>
          </cell>
          <cell r="AI1928" t="str">
            <v/>
          </cell>
          <cell r="AJ1928" t="str">
            <v/>
          </cell>
          <cell r="AK1928">
            <v>0</v>
          </cell>
          <cell r="AL1928">
            <v>0</v>
          </cell>
          <cell r="AM1928">
            <v>0</v>
          </cell>
        </row>
        <row r="1929">
          <cell r="C1929" t="str">
            <v/>
          </cell>
          <cell r="D1929" t="str">
            <v/>
          </cell>
          <cell r="O1929" t="str">
            <v/>
          </cell>
          <cell r="T1929" t="str">
            <v/>
          </cell>
          <cell r="U1929" t="str">
            <v/>
          </cell>
          <cell r="V1929" t="str">
            <v/>
          </cell>
          <cell r="W1929" t="str">
            <v/>
          </cell>
          <cell r="Y1929" t="str">
            <v/>
          </cell>
          <cell r="AA1929" t="str">
            <v/>
          </cell>
          <cell r="AB1929">
            <v>0</v>
          </cell>
          <cell r="AC1929">
            <v>0</v>
          </cell>
          <cell r="AI1929" t="str">
            <v/>
          </cell>
          <cell r="AJ1929" t="str">
            <v/>
          </cell>
          <cell r="AK1929">
            <v>0</v>
          </cell>
          <cell r="AL1929">
            <v>0</v>
          </cell>
          <cell r="AM1929">
            <v>0</v>
          </cell>
        </row>
        <row r="1930">
          <cell r="C1930" t="str">
            <v/>
          </cell>
          <cell r="D1930" t="str">
            <v/>
          </cell>
          <cell r="O1930" t="str">
            <v/>
          </cell>
          <cell r="T1930" t="str">
            <v/>
          </cell>
          <cell r="U1930" t="str">
            <v/>
          </cell>
          <cell r="V1930" t="str">
            <v/>
          </cell>
          <cell r="W1930" t="str">
            <v/>
          </cell>
          <cell r="Y1930" t="str">
            <v/>
          </cell>
          <cell r="AA1930" t="str">
            <v/>
          </cell>
          <cell r="AB1930">
            <v>0</v>
          </cell>
          <cell r="AC1930">
            <v>0</v>
          </cell>
          <cell r="AI1930" t="str">
            <v/>
          </cell>
          <cell r="AJ1930" t="str">
            <v/>
          </cell>
          <cell r="AK1930">
            <v>0</v>
          </cell>
          <cell r="AL1930">
            <v>0</v>
          </cell>
          <cell r="AM1930">
            <v>0</v>
          </cell>
        </row>
        <row r="1931">
          <cell r="C1931" t="str">
            <v/>
          </cell>
          <cell r="D1931" t="str">
            <v/>
          </cell>
          <cell r="O1931" t="str">
            <v/>
          </cell>
          <cell r="T1931" t="str">
            <v/>
          </cell>
          <cell r="U1931" t="str">
            <v/>
          </cell>
          <cell r="V1931" t="str">
            <v/>
          </cell>
          <cell r="W1931" t="str">
            <v/>
          </cell>
          <cell r="Y1931" t="str">
            <v/>
          </cell>
          <cell r="AA1931" t="str">
            <v/>
          </cell>
          <cell r="AB1931">
            <v>0</v>
          </cell>
          <cell r="AC1931">
            <v>0</v>
          </cell>
          <cell r="AI1931" t="str">
            <v/>
          </cell>
          <cell r="AJ1931" t="str">
            <v/>
          </cell>
          <cell r="AK1931">
            <v>0</v>
          </cell>
          <cell r="AL1931">
            <v>0</v>
          </cell>
          <cell r="AM1931">
            <v>0</v>
          </cell>
        </row>
        <row r="1932">
          <cell r="C1932" t="str">
            <v/>
          </cell>
          <cell r="D1932" t="str">
            <v/>
          </cell>
          <cell r="O1932" t="str">
            <v/>
          </cell>
          <cell r="T1932" t="str">
            <v/>
          </cell>
          <cell r="U1932" t="str">
            <v/>
          </cell>
          <cell r="V1932" t="str">
            <v/>
          </cell>
          <cell r="W1932" t="str">
            <v/>
          </cell>
          <cell r="Y1932" t="str">
            <v/>
          </cell>
          <cell r="AA1932" t="str">
            <v/>
          </cell>
          <cell r="AB1932">
            <v>0</v>
          </cell>
          <cell r="AC1932">
            <v>0</v>
          </cell>
          <cell r="AI1932" t="str">
            <v/>
          </cell>
          <cell r="AJ1932" t="str">
            <v/>
          </cell>
          <cell r="AK1932">
            <v>0</v>
          </cell>
          <cell r="AL1932">
            <v>0</v>
          </cell>
          <cell r="AM1932">
            <v>0</v>
          </cell>
        </row>
        <row r="1933">
          <cell r="C1933" t="str">
            <v/>
          </cell>
          <cell r="D1933" t="str">
            <v/>
          </cell>
          <cell r="O1933" t="str">
            <v/>
          </cell>
          <cell r="T1933" t="str">
            <v/>
          </cell>
          <cell r="U1933" t="str">
            <v/>
          </cell>
          <cell r="V1933" t="str">
            <v/>
          </cell>
          <cell r="W1933" t="str">
            <v/>
          </cell>
          <cell r="Y1933" t="str">
            <v/>
          </cell>
          <cell r="AA1933" t="str">
            <v/>
          </cell>
          <cell r="AB1933">
            <v>0</v>
          </cell>
          <cell r="AC1933">
            <v>0</v>
          </cell>
          <cell r="AI1933" t="str">
            <v/>
          </cell>
          <cell r="AJ1933" t="str">
            <v/>
          </cell>
          <cell r="AK1933">
            <v>0</v>
          </cell>
          <cell r="AL1933">
            <v>0</v>
          </cell>
          <cell r="AM1933">
            <v>0</v>
          </cell>
        </row>
        <row r="1934">
          <cell r="C1934" t="str">
            <v/>
          </cell>
          <cell r="D1934" t="str">
            <v/>
          </cell>
          <cell r="O1934" t="str">
            <v/>
          </cell>
          <cell r="T1934" t="str">
            <v/>
          </cell>
          <cell r="U1934" t="str">
            <v/>
          </cell>
          <cell r="V1934" t="str">
            <v/>
          </cell>
          <cell r="W1934" t="str">
            <v/>
          </cell>
          <cell r="Y1934" t="str">
            <v/>
          </cell>
          <cell r="AA1934" t="str">
            <v/>
          </cell>
          <cell r="AB1934">
            <v>0</v>
          </cell>
          <cell r="AC1934">
            <v>0</v>
          </cell>
          <cell r="AI1934" t="str">
            <v/>
          </cell>
          <cell r="AJ1934" t="str">
            <v/>
          </cell>
          <cell r="AK1934">
            <v>0</v>
          </cell>
          <cell r="AL1934">
            <v>0</v>
          </cell>
          <cell r="AM1934">
            <v>0</v>
          </cell>
        </row>
        <row r="1935">
          <cell r="C1935" t="str">
            <v/>
          </cell>
          <cell r="D1935" t="str">
            <v/>
          </cell>
          <cell r="O1935" t="str">
            <v/>
          </cell>
          <cell r="T1935" t="str">
            <v/>
          </cell>
          <cell r="U1935" t="str">
            <v/>
          </cell>
          <cell r="V1935" t="str">
            <v/>
          </cell>
          <cell r="W1935" t="str">
            <v/>
          </cell>
          <cell r="Y1935" t="str">
            <v/>
          </cell>
          <cell r="AA1935" t="str">
            <v/>
          </cell>
          <cell r="AB1935">
            <v>0</v>
          </cell>
          <cell r="AC1935">
            <v>0</v>
          </cell>
          <cell r="AI1935" t="str">
            <v/>
          </cell>
          <cell r="AJ1935" t="str">
            <v/>
          </cell>
          <cell r="AK1935">
            <v>0</v>
          </cell>
          <cell r="AL1935">
            <v>0</v>
          </cell>
          <cell r="AM1935">
            <v>0</v>
          </cell>
        </row>
        <row r="1936">
          <cell r="C1936" t="str">
            <v/>
          </cell>
          <cell r="D1936" t="str">
            <v/>
          </cell>
          <cell r="O1936" t="str">
            <v/>
          </cell>
          <cell r="T1936" t="str">
            <v/>
          </cell>
          <cell r="U1936" t="str">
            <v/>
          </cell>
          <cell r="V1936" t="str">
            <v/>
          </cell>
          <cell r="W1936" t="str">
            <v/>
          </cell>
          <cell r="Y1936" t="str">
            <v/>
          </cell>
          <cell r="AA1936" t="str">
            <v/>
          </cell>
          <cell r="AB1936">
            <v>0</v>
          </cell>
          <cell r="AC1936">
            <v>0</v>
          </cell>
          <cell r="AI1936" t="str">
            <v/>
          </cell>
          <cell r="AJ1936" t="str">
            <v/>
          </cell>
          <cell r="AK1936">
            <v>0</v>
          </cell>
          <cell r="AL1936">
            <v>0</v>
          </cell>
          <cell r="AM1936">
            <v>0</v>
          </cell>
        </row>
        <row r="1937">
          <cell r="C1937" t="str">
            <v/>
          </cell>
          <cell r="D1937" t="str">
            <v/>
          </cell>
          <cell r="O1937" t="str">
            <v/>
          </cell>
          <cell r="T1937" t="str">
            <v/>
          </cell>
          <cell r="U1937" t="str">
            <v/>
          </cell>
          <cell r="V1937" t="str">
            <v/>
          </cell>
          <cell r="W1937" t="str">
            <v/>
          </cell>
          <cell r="Y1937" t="str">
            <v/>
          </cell>
          <cell r="AA1937" t="str">
            <v/>
          </cell>
          <cell r="AB1937">
            <v>0</v>
          </cell>
          <cell r="AC1937">
            <v>0</v>
          </cell>
          <cell r="AI1937" t="str">
            <v/>
          </cell>
          <cell r="AJ1937" t="str">
            <v/>
          </cell>
          <cell r="AK1937">
            <v>0</v>
          </cell>
          <cell r="AL1937">
            <v>0</v>
          </cell>
          <cell r="AM1937">
            <v>0</v>
          </cell>
        </row>
        <row r="1938">
          <cell r="C1938" t="str">
            <v/>
          </cell>
          <cell r="D1938" t="str">
            <v/>
          </cell>
          <cell r="O1938" t="str">
            <v/>
          </cell>
          <cell r="T1938" t="str">
            <v/>
          </cell>
          <cell r="U1938" t="str">
            <v/>
          </cell>
          <cell r="V1938" t="str">
            <v/>
          </cell>
          <cell r="W1938" t="str">
            <v/>
          </cell>
          <cell r="Y1938" t="str">
            <v/>
          </cell>
          <cell r="AA1938" t="str">
            <v/>
          </cell>
          <cell r="AB1938">
            <v>0</v>
          </cell>
          <cell r="AC1938">
            <v>0</v>
          </cell>
          <cell r="AI1938" t="str">
            <v/>
          </cell>
          <cell r="AJ1938" t="str">
            <v/>
          </cell>
          <cell r="AK1938">
            <v>0</v>
          </cell>
          <cell r="AL1938">
            <v>0</v>
          </cell>
          <cell r="AM1938">
            <v>0</v>
          </cell>
        </row>
        <row r="1939">
          <cell r="C1939" t="str">
            <v/>
          </cell>
          <cell r="D1939" t="str">
            <v/>
          </cell>
          <cell r="O1939" t="str">
            <v/>
          </cell>
          <cell r="T1939" t="str">
            <v/>
          </cell>
          <cell r="U1939" t="str">
            <v/>
          </cell>
          <cell r="V1939" t="str">
            <v/>
          </cell>
          <cell r="W1939" t="str">
            <v/>
          </cell>
          <cell r="Y1939" t="str">
            <v/>
          </cell>
          <cell r="AA1939" t="str">
            <v/>
          </cell>
          <cell r="AB1939">
            <v>0</v>
          </cell>
          <cell r="AC1939">
            <v>0</v>
          </cell>
          <cell r="AI1939" t="str">
            <v/>
          </cell>
          <cell r="AJ1939" t="str">
            <v/>
          </cell>
          <cell r="AK1939">
            <v>0</v>
          </cell>
          <cell r="AL1939">
            <v>0</v>
          </cell>
          <cell r="AM1939">
            <v>0</v>
          </cell>
        </row>
        <row r="1940">
          <cell r="C1940" t="str">
            <v/>
          </cell>
          <cell r="D1940" t="str">
            <v/>
          </cell>
          <cell r="O1940" t="str">
            <v/>
          </cell>
          <cell r="T1940" t="str">
            <v/>
          </cell>
          <cell r="U1940" t="str">
            <v/>
          </cell>
          <cell r="V1940" t="str">
            <v/>
          </cell>
          <cell r="W1940" t="str">
            <v/>
          </cell>
          <cell r="Y1940" t="str">
            <v/>
          </cell>
          <cell r="AA1940" t="str">
            <v/>
          </cell>
          <cell r="AB1940">
            <v>0</v>
          </cell>
          <cell r="AC1940">
            <v>0</v>
          </cell>
          <cell r="AI1940" t="str">
            <v/>
          </cell>
          <cell r="AJ1940" t="str">
            <v/>
          </cell>
          <cell r="AK1940">
            <v>0</v>
          </cell>
          <cell r="AL1940">
            <v>0</v>
          </cell>
          <cell r="AM1940">
            <v>0</v>
          </cell>
        </row>
        <row r="1941">
          <cell r="C1941" t="str">
            <v/>
          </cell>
          <cell r="D1941" t="str">
            <v/>
          </cell>
          <cell r="O1941" t="str">
            <v/>
          </cell>
          <cell r="T1941" t="str">
            <v/>
          </cell>
          <cell r="U1941" t="str">
            <v/>
          </cell>
          <cell r="V1941" t="str">
            <v/>
          </cell>
          <cell r="W1941" t="str">
            <v/>
          </cell>
          <cell r="Y1941" t="str">
            <v/>
          </cell>
          <cell r="AA1941" t="str">
            <v/>
          </cell>
          <cell r="AB1941">
            <v>0</v>
          </cell>
          <cell r="AC1941">
            <v>0</v>
          </cell>
          <cell r="AI1941" t="str">
            <v/>
          </cell>
          <cell r="AJ1941" t="str">
            <v/>
          </cell>
          <cell r="AK1941">
            <v>0</v>
          </cell>
          <cell r="AL1941">
            <v>0</v>
          </cell>
          <cell r="AM1941">
            <v>0</v>
          </cell>
        </row>
        <row r="1942">
          <cell r="C1942" t="str">
            <v/>
          </cell>
          <cell r="D1942" t="str">
            <v/>
          </cell>
          <cell r="O1942" t="str">
            <v/>
          </cell>
          <cell r="T1942" t="str">
            <v/>
          </cell>
          <cell r="U1942" t="str">
            <v/>
          </cell>
          <cell r="V1942" t="str">
            <v/>
          </cell>
          <cell r="W1942" t="str">
            <v/>
          </cell>
          <cell r="Y1942" t="str">
            <v/>
          </cell>
          <cell r="AA1942" t="str">
            <v/>
          </cell>
          <cell r="AB1942">
            <v>0</v>
          </cell>
          <cell r="AC1942">
            <v>0</v>
          </cell>
          <cell r="AI1942" t="str">
            <v/>
          </cell>
          <cell r="AJ1942" t="str">
            <v/>
          </cell>
          <cell r="AK1942">
            <v>0</v>
          </cell>
          <cell r="AL1942">
            <v>0</v>
          </cell>
          <cell r="AM1942">
            <v>0</v>
          </cell>
        </row>
        <row r="1943">
          <cell r="C1943" t="str">
            <v/>
          </cell>
          <cell r="D1943" t="str">
            <v/>
          </cell>
          <cell r="O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/>
          </cell>
          <cell r="Y1943" t="str">
            <v/>
          </cell>
          <cell r="AA1943" t="str">
            <v/>
          </cell>
          <cell r="AB1943">
            <v>0</v>
          </cell>
          <cell r="AC1943">
            <v>0</v>
          </cell>
          <cell r="AI1943" t="str">
            <v/>
          </cell>
          <cell r="AJ1943" t="str">
            <v/>
          </cell>
          <cell r="AK1943">
            <v>0</v>
          </cell>
          <cell r="AL1943">
            <v>0</v>
          </cell>
          <cell r="AM1943">
            <v>0</v>
          </cell>
        </row>
        <row r="1944">
          <cell r="C1944" t="str">
            <v/>
          </cell>
          <cell r="D1944" t="str">
            <v/>
          </cell>
          <cell r="O1944" t="str">
            <v/>
          </cell>
          <cell r="T1944" t="str">
            <v/>
          </cell>
          <cell r="U1944" t="str">
            <v/>
          </cell>
          <cell r="V1944" t="str">
            <v/>
          </cell>
          <cell r="W1944" t="str">
            <v/>
          </cell>
          <cell r="Y1944" t="str">
            <v/>
          </cell>
          <cell r="AA1944" t="str">
            <v/>
          </cell>
          <cell r="AB1944">
            <v>0</v>
          </cell>
          <cell r="AC1944">
            <v>0</v>
          </cell>
          <cell r="AI1944" t="str">
            <v/>
          </cell>
          <cell r="AJ1944" t="str">
            <v/>
          </cell>
          <cell r="AK1944">
            <v>0</v>
          </cell>
          <cell r="AL1944">
            <v>0</v>
          </cell>
          <cell r="AM1944">
            <v>0</v>
          </cell>
        </row>
        <row r="1945">
          <cell r="C1945" t="str">
            <v/>
          </cell>
          <cell r="D1945" t="str">
            <v/>
          </cell>
          <cell r="O1945" t="str">
            <v/>
          </cell>
          <cell r="T1945" t="str">
            <v/>
          </cell>
          <cell r="U1945" t="str">
            <v/>
          </cell>
          <cell r="V1945" t="str">
            <v/>
          </cell>
          <cell r="W1945" t="str">
            <v/>
          </cell>
          <cell r="Y1945" t="str">
            <v/>
          </cell>
          <cell r="AA1945" t="str">
            <v/>
          </cell>
          <cell r="AB1945">
            <v>0</v>
          </cell>
          <cell r="AC1945">
            <v>0</v>
          </cell>
          <cell r="AI1945" t="str">
            <v/>
          </cell>
          <cell r="AJ1945" t="str">
            <v/>
          </cell>
          <cell r="AK1945">
            <v>0</v>
          </cell>
          <cell r="AL1945">
            <v>0</v>
          </cell>
          <cell r="AM1945">
            <v>0</v>
          </cell>
        </row>
        <row r="1946">
          <cell r="C1946" t="str">
            <v/>
          </cell>
          <cell r="D1946" t="str">
            <v/>
          </cell>
          <cell r="O1946" t="str">
            <v/>
          </cell>
          <cell r="T1946" t="str">
            <v/>
          </cell>
          <cell r="U1946" t="str">
            <v/>
          </cell>
          <cell r="V1946" t="str">
            <v/>
          </cell>
          <cell r="W1946" t="str">
            <v/>
          </cell>
          <cell r="Y1946" t="str">
            <v/>
          </cell>
          <cell r="AA1946" t="str">
            <v/>
          </cell>
          <cell r="AB1946">
            <v>0</v>
          </cell>
          <cell r="AC1946">
            <v>0</v>
          </cell>
          <cell r="AI1946" t="str">
            <v/>
          </cell>
          <cell r="AJ1946" t="str">
            <v/>
          </cell>
          <cell r="AK1946">
            <v>0</v>
          </cell>
          <cell r="AL1946">
            <v>0</v>
          </cell>
          <cell r="AM1946">
            <v>0</v>
          </cell>
        </row>
        <row r="1947">
          <cell r="C1947" t="str">
            <v/>
          </cell>
          <cell r="D1947" t="str">
            <v/>
          </cell>
          <cell r="O1947" t="str">
            <v/>
          </cell>
          <cell r="T1947" t="str">
            <v/>
          </cell>
          <cell r="U1947" t="str">
            <v/>
          </cell>
          <cell r="V1947" t="str">
            <v/>
          </cell>
          <cell r="W1947" t="str">
            <v/>
          </cell>
          <cell r="Y1947" t="str">
            <v/>
          </cell>
          <cell r="AA1947" t="str">
            <v/>
          </cell>
          <cell r="AB1947">
            <v>0</v>
          </cell>
          <cell r="AC1947">
            <v>0</v>
          </cell>
          <cell r="AI1947" t="str">
            <v/>
          </cell>
          <cell r="AJ1947" t="str">
            <v/>
          </cell>
          <cell r="AK1947">
            <v>0</v>
          </cell>
          <cell r="AL1947">
            <v>0</v>
          </cell>
          <cell r="AM1947">
            <v>0</v>
          </cell>
        </row>
        <row r="1948">
          <cell r="C1948" t="str">
            <v/>
          </cell>
          <cell r="D1948" t="str">
            <v/>
          </cell>
          <cell r="O1948" t="str">
            <v/>
          </cell>
          <cell r="T1948" t="str">
            <v/>
          </cell>
          <cell r="U1948" t="str">
            <v/>
          </cell>
          <cell r="V1948" t="str">
            <v/>
          </cell>
          <cell r="W1948" t="str">
            <v/>
          </cell>
          <cell r="Y1948" t="str">
            <v/>
          </cell>
          <cell r="AA1948" t="str">
            <v/>
          </cell>
          <cell r="AB1948">
            <v>0</v>
          </cell>
          <cell r="AC1948">
            <v>0</v>
          </cell>
          <cell r="AI1948" t="str">
            <v/>
          </cell>
          <cell r="AJ1948" t="str">
            <v/>
          </cell>
          <cell r="AK1948">
            <v>0</v>
          </cell>
          <cell r="AL1948">
            <v>0</v>
          </cell>
          <cell r="AM1948">
            <v>0</v>
          </cell>
        </row>
        <row r="1949">
          <cell r="C1949" t="str">
            <v/>
          </cell>
          <cell r="D1949" t="str">
            <v/>
          </cell>
          <cell r="O1949" t="str">
            <v/>
          </cell>
          <cell r="T1949" t="str">
            <v/>
          </cell>
          <cell r="U1949" t="str">
            <v/>
          </cell>
          <cell r="V1949" t="str">
            <v/>
          </cell>
          <cell r="W1949" t="str">
            <v/>
          </cell>
          <cell r="Y1949" t="str">
            <v/>
          </cell>
          <cell r="AA1949" t="str">
            <v/>
          </cell>
          <cell r="AB1949">
            <v>0</v>
          </cell>
          <cell r="AC1949">
            <v>0</v>
          </cell>
          <cell r="AI1949" t="str">
            <v/>
          </cell>
          <cell r="AJ1949" t="str">
            <v/>
          </cell>
          <cell r="AK1949">
            <v>0</v>
          </cell>
          <cell r="AL1949">
            <v>0</v>
          </cell>
          <cell r="AM1949">
            <v>0</v>
          </cell>
        </row>
        <row r="1950">
          <cell r="C1950" t="str">
            <v/>
          </cell>
          <cell r="D1950" t="str">
            <v/>
          </cell>
          <cell r="O1950" t="str">
            <v/>
          </cell>
          <cell r="T1950" t="str">
            <v/>
          </cell>
          <cell r="U1950" t="str">
            <v/>
          </cell>
          <cell r="V1950" t="str">
            <v/>
          </cell>
          <cell r="W1950" t="str">
            <v/>
          </cell>
          <cell r="Y1950" t="str">
            <v/>
          </cell>
          <cell r="AA1950" t="str">
            <v/>
          </cell>
          <cell r="AB1950">
            <v>0</v>
          </cell>
          <cell r="AC1950">
            <v>0</v>
          </cell>
          <cell r="AI1950" t="str">
            <v/>
          </cell>
          <cell r="AJ1950" t="str">
            <v/>
          </cell>
          <cell r="AK1950">
            <v>0</v>
          </cell>
          <cell r="AL1950">
            <v>0</v>
          </cell>
          <cell r="AM1950">
            <v>0</v>
          </cell>
        </row>
        <row r="1951">
          <cell r="C1951" t="str">
            <v/>
          </cell>
          <cell r="D1951" t="str">
            <v/>
          </cell>
          <cell r="O1951" t="str">
            <v/>
          </cell>
          <cell r="T1951" t="str">
            <v/>
          </cell>
          <cell r="U1951" t="str">
            <v/>
          </cell>
          <cell r="V1951" t="str">
            <v/>
          </cell>
          <cell r="W1951" t="str">
            <v/>
          </cell>
          <cell r="Y1951" t="str">
            <v/>
          </cell>
          <cell r="AA1951" t="str">
            <v/>
          </cell>
          <cell r="AB1951">
            <v>0</v>
          </cell>
          <cell r="AC1951">
            <v>0</v>
          </cell>
          <cell r="AI1951" t="str">
            <v/>
          </cell>
          <cell r="AJ1951" t="str">
            <v/>
          </cell>
          <cell r="AK1951">
            <v>0</v>
          </cell>
          <cell r="AL1951">
            <v>0</v>
          </cell>
          <cell r="AM1951">
            <v>0</v>
          </cell>
        </row>
        <row r="1952">
          <cell r="C1952" t="str">
            <v/>
          </cell>
          <cell r="D1952" t="str">
            <v/>
          </cell>
          <cell r="O1952" t="str">
            <v/>
          </cell>
          <cell r="T1952" t="str">
            <v/>
          </cell>
          <cell r="U1952" t="str">
            <v/>
          </cell>
          <cell r="V1952" t="str">
            <v/>
          </cell>
          <cell r="W1952" t="str">
            <v/>
          </cell>
          <cell r="Y1952" t="str">
            <v/>
          </cell>
          <cell r="AA1952" t="str">
            <v/>
          </cell>
          <cell r="AB1952">
            <v>0</v>
          </cell>
          <cell r="AC1952">
            <v>0</v>
          </cell>
          <cell r="AI1952" t="str">
            <v/>
          </cell>
          <cell r="AJ1952" t="str">
            <v/>
          </cell>
          <cell r="AK1952">
            <v>0</v>
          </cell>
          <cell r="AL1952">
            <v>0</v>
          </cell>
          <cell r="AM1952">
            <v>0</v>
          </cell>
        </row>
        <row r="1953">
          <cell r="C1953" t="str">
            <v/>
          </cell>
          <cell r="D1953" t="str">
            <v/>
          </cell>
          <cell r="O1953" t="str">
            <v/>
          </cell>
          <cell r="T1953" t="str">
            <v/>
          </cell>
          <cell r="U1953" t="str">
            <v/>
          </cell>
          <cell r="V1953" t="str">
            <v/>
          </cell>
          <cell r="W1953" t="str">
            <v/>
          </cell>
          <cell r="Y1953" t="str">
            <v/>
          </cell>
          <cell r="AA1953" t="str">
            <v/>
          </cell>
          <cell r="AB1953">
            <v>0</v>
          </cell>
          <cell r="AC1953">
            <v>0</v>
          </cell>
          <cell r="AI1953" t="str">
            <v/>
          </cell>
          <cell r="AJ1953" t="str">
            <v/>
          </cell>
          <cell r="AK1953">
            <v>0</v>
          </cell>
          <cell r="AL1953">
            <v>0</v>
          </cell>
          <cell r="AM1953">
            <v>0</v>
          </cell>
        </row>
        <row r="1954">
          <cell r="C1954" t="str">
            <v/>
          </cell>
          <cell r="D1954" t="str">
            <v/>
          </cell>
          <cell r="O1954" t="str">
            <v/>
          </cell>
          <cell r="T1954" t="str">
            <v/>
          </cell>
          <cell r="U1954" t="str">
            <v/>
          </cell>
          <cell r="V1954" t="str">
            <v/>
          </cell>
          <cell r="W1954" t="str">
            <v/>
          </cell>
          <cell r="Y1954" t="str">
            <v/>
          </cell>
          <cell r="AA1954" t="str">
            <v/>
          </cell>
          <cell r="AB1954">
            <v>0</v>
          </cell>
          <cell r="AC1954">
            <v>0</v>
          </cell>
          <cell r="AI1954" t="str">
            <v/>
          </cell>
          <cell r="AJ1954" t="str">
            <v/>
          </cell>
          <cell r="AK1954">
            <v>0</v>
          </cell>
          <cell r="AL1954">
            <v>0</v>
          </cell>
          <cell r="AM1954">
            <v>0</v>
          </cell>
        </row>
        <row r="1955">
          <cell r="C1955" t="str">
            <v/>
          </cell>
          <cell r="D1955" t="str">
            <v/>
          </cell>
          <cell r="O1955" t="str">
            <v/>
          </cell>
          <cell r="T1955" t="str">
            <v/>
          </cell>
          <cell r="U1955" t="str">
            <v/>
          </cell>
          <cell r="V1955" t="str">
            <v/>
          </cell>
          <cell r="W1955" t="str">
            <v/>
          </cell>
          <cell r="Y1955" t="str">
            <v/>
          </cell>
          <cell r="AA1955" t="str">
            <v/>
          </cell>
          <cell r="AB1955">
            <v>0</v>
          </cell>
          <cell r="AC1955">
            <v>0</v>
          </cell>
          <cell r="AI1955" t="str">
            <v/>
          </cell>
          <cell r="AJ1955" t="str">
            <v/>
          </cell>
          <cell r="AK1955">
            <v>0</v>
          </cell>
          <cell r="AL1955">
            <v>0</v>
          </cell>
          <cell r="AM1955">
            <v>0</v>
          </cell>
        </row>
        <row r="1956">
          <cell r="C1956" t="str">
            <v/>
          </cell>
          <cell r="D1956" t="str">
            <v/>
          </cell>
          <cell r="O1956" t="str">
            <v/>
          </cell>
          <cell r="T1956" t="str">
            <v/>
          </cell>
          <cell r="U1956" t="str">
            <v/>
          </cell>
          <cell r="V1956" t="str">
            <v/>
          </cell>
          <cell r="W1956" t="str">
            <v/>
          </cell>
          <cell r="Y1956" t="str">
            <v/>
          </cell>
          <cell r="AA1956" t="str">
            <v/>
          </cell>
          <cell r="AB1956">
            <v>0</v>
          </cell>
          <cell r="AC1956">
            <v>0</v>
          </cell>
          <cell r="AI1956" t="str">
            <v/>
          </cell>
          <cell r="AJ1956" t="str">
            <v/>
          </cell>
          <cell r="AK1956">
            <v>0</v>
          </cell>
          <cell r="AL1956">
            <v>0</v>
          </cell>
          <cell r="AM1956">
            <v>0</v>
          </cell>
        </row>
        <row r="1957">
          <cell r="C1957" t="str">
            <v/>
          </cell>
          <cell r="D1957" t="str">
            <v/>
          </cell>
          <cell r="O1957" t="str">
            <v/>
          </cell>
          <cell r="T1957" t="str">
            <v/>
          </cell>
          <cell r="U1957" t="str">
            <v/>
          </cell>
          <cell r="V1957" t="str">
            <v/>
          </cell>
          <cell r="W1957" t="str">
            <v/>
          </cell>
          <cell r="Y1957" t="str">
            <v/>
          </cell>
          <cell r="AA1957" t="str">
            <v/>
          </cell>
          <cell r="AB1957">
            <v>0</v>
          </cell>
          <cell r="AC1957">
            <v>0</v>
          </cell>
          <cell r="AI1957" t="str">
            <v/>
          </cell>
          <cell r="AJ1957" t="str">
            <v/>
          </cell>
          <cell r="AK1957">
            <v>0</v>
          </cell>
          <cell r="AL1957">
            <v>0</v>
          </cell>
          <cell r="AM1957">
            <v>0</v>
          </cell>
        </row>
        <row r="1958">
          <cell r="C1958" t="str">
            <v/>
          </cell>
          <cell r="D1958" t="str">
            <v/>
          </cell>
          <cell r="O1958" t="str">
            <v/>
          </cell>
          <cell r="T1958" t="str">
            <v/>
          </cell>
          <cell r="U1958" t="str">
            <v/>
          </cell>
          <cell r="V1958" t="str">
            <v/>
          </cell>
          <cell r="W1958" t="str">
            <v/>
          </cell>
          <cell r="Y1958" t="str">
            <v/>
          </cell>
          <cell r="AA1958" t="str">
            <v/>
          </cell>
          <cell r="AB1958">
            <v>0</v>
          </cell>
          <cell r="AC1958">
            <v>0</v>
          </cell>
          <cell r="AI1958" t="str">
            <v/>
          </cell>
          <cell r="AJ1958" t="str">
            <v/>
          </cell>
          <cell r="AK1958">
            <v>0</v>
          </cell>
          <cell r="AL1958">
            <v>0</v>
          </cell>
          <cell r="AM1958">
            <v>0</v>
          </cell>
        </row>
        <row r="1959">
          <cell r="C1959" t="str">
            <v/>
          </cell>
          <cell r="D1959" t="str">
            <v/>
          </cell>
          <cell r="O1959" t="str">
            <v/>
          </cell>
          <cell r="T1959" t="str">
            <v/>
          </cell>
          <cell r="U1959" t="str">
            <v/>
          </cell>
          <cell r="V1959" t="str">
            <v/>
          </cell>
          <cell r="W1959" t="str">
            <v/>
          </cell>
          <cell r="Y1959" t="str">
            <v/>
          </cell>
          <cell r="AA1959" t="str">
            <v/>
          </cell>
          <cell r="AB1959">
            <v>0</v>
          </cell>
          <cell r="AC1959">
            <v>0</v>
          </cell>
          <cell r="AI1959" t="str">
            <v/>
          </cell>
          <cell r="AJ1959" t="str">
            <v/>
          </cell>
          <cell r="AK1959">
            <v>0</v>
          </cell>
          <cell r="AL1959">
            <v>0</v>
          </cell>
          <cell r="AM1959">
            <v>0</v>
          </cell>
        </row>
        <row r="1960">
          <cell r="C1960" t="str">
            <v/>
          </cell>
          <cell r="D1960" t="str">
            <v/>
          </cell>
          <cell r="O1960" t="str">
            <v/>
          </cell>
          <cell r="T1960" t="str">
            <v/>
          </cell>
          <cell r="U1960" t="str">
            <v/>
          </cell>
          <cell r="V1960" t="str">
            <v/>
          </cell>
          <cell r="W1960" t="str">
            <v/>
          </cell>
          <cell r="Y1960" t="str">
            <v/>
          </cell>
          <cell r="AA1960" t="str">
            <v/>
          </cell>
          <cell r="AB1960">
            <v>0</v>
          </cell>
          <cell r="AC1960">
            <v>0</v>
          </cell>
          <cell r="AI1960" t="str">
            <v/>
          </cell>
          <cell r="AJ1960" t="str">
            <v/>
          </cell>
          <cell r="AK1960">
            <v>0</v>
          </cell>
          <cell r="AL1960">
            <v>0</v>
          </cell>
          <cell r="AM1960">
            <v>0</v>
          </cell>
        </row>
        <row r="1961">
          <cell r="C1961" t="str">
            <v/>
          </cell>
          <cell r="D1961" t="str">
            <v/>
          </cell>
          <cell r="O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/>
          </cell>
          <cell r="Y1961" t="str">
            <v/>
          </cell>
          <cell r="AA1961" t="str">
            <v/>
          </cell>
          <cell r="AB1961">
            <v>0</v>
          </cell>
          <cell r="AC1961">
            <v>0</v>
          </cell>
          <cell r="AI1961" t="str">
            <v/>
          </cell>
          <cell r="AJ1961" t="str">
            <v/>
          </cell>
          <cell r="AK1961">
            <v>0</v>
          </cell>
          <cell r="AL1961">
            <v>0</v>
          </cell>
          <cell r="AM1961">
            <v>0</v>
          </cell>
        </row>
        <row r="1962">
          <cell r="C1962" t="str">
            <v/>
          </cell>
          <cell r="D1962" t="str">
            <v/>
          </cell>
          <cell r="O1962" t="str">
            <v/>
          </cell>
          <cell r="T1962" t="str">
            <v/>
          </cell>
          <cell r="U1962" t="str">
            <v/>
          </cell>
          <cell r="V1962" t="str">
            <v/>
          </cell>
          <cell r="W1962" t="str">
            <v/>
          </cell>
          <cell r="Y1962" t="str">
            <v/>
          </cell>
          <cell r="AA1962" t="str">
            <v/>
          </cell>
          <cell r="AB1962">
            <v>0</v>
          </cell>
          <cell r="AC1962">
            <v>0</v>
          </cell>
          <cell r="AI1962" t="str">
            <v/>
          </cell>
          <cell r="AJ1962" t="str">
            <v/>
          </cell>
          <cell r="AK1962">
            <v>0</v>
          </cell>
          <cell r="AL1962">
            <v>0</v>
          </cell>
          <cell r="AM1962">
            <v>0</v>
          </cell>
        </row>
        <row r="1963">
          <cell r="C1963" t="str">
            <v/>
          </cell>
          <cell r="D1963" t="str">
            <v/>
          </cell>
          <cell r="O1963" t="str">
            <v/>
          </cell>
          <cell r="T1963" t="str">
            <v/>
          </cell>
          <cell r="U1963" t="str">
            <v/>
          </cell>
          <cell r="V1963" t="str">
            <v/>
          </cell>
          <cell r="W1963" t="str">
            <v/>
          </cell>
          <cell r="Y1963" t="str">
            <v/>
          </cell>
          <cell r="AA1963" t="str">
            <v/>
          </cell>
          <cell r="AB1963">
            <v>0</v>
          </cell>
          <cell r="AC1963">
            <v>0</v>
          </cell>
          <cell r="AI1963" t="str">
            <v/>
          </cell>
          <cell r="AJ1963" t="str">
            <v/>
          </cell>
          <cell r="AK1963">
            <v>0</v>
          </cell>
          <cell r="AL1963">
            <v>0</v>
          </cell>
          <cell r="AM1963">
            <v>0</v>
          </cell>
        </row>
        <row r="1964">
          <cell r="C1964" t="str">
            <v/>
          </cell>
          <cell r="D1964" t="str">
            <v/>
          </cell>
          <cell r="O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/>
          </cell>
          <cell r="Y1964" t="str">
            <v/>
          </cell>
          <cell r="AA1964" t="str">
            <v/>
          </cell>
          <cell r="AB1964">
            <v>0</v>
          </cell>
          <cell r="AC1964">
            <v>0</v>
          </cell>
          <cell r="AI1964" t="str">
            <v/>
          </cell>
          <cell r="AJ1964" t="str">
            <v/>
          </cell>
          <cell r="AK1964">
            <v>0</v>
          </cell>
          <cell r="AL1964">
            <v>0</v>
          </cell>
          <cell r="AM1964">
            <v>0</v>
          </cell>
        </row>
        <row r="1965">
          <cell r="C1965" t="str">
            <v/>
          </cell>
          <cell r="D1965" t="str">
            <v/>
          </cell>
          <cell r="O1965" t="str">
            <v/>
          </cell>
          <cell r="T1965" t="str">
            <v/>
          </cell>
          <cell r="U1965" t="str">
            <v/>
          </cell>
          <cell r="V1965" t="str">
            <v/>
          </cell>
          <cell r="W1965" t="str">
            <v/>
          </cell>
          <cell r="Y1965" t="str">
            <v/>
          </cell>
          <cell r="AA1965" t="str">
            <v/>
          </cell>
          <cell r="AB1965">
            <v>0</v>
          </cell>
          <cell r="AC1965">
            <v>0</v>
          </cell>
          <cell r="AI1965" t="str">
            <v/>
          </cell>
          <cell r="AJ1965" t="str">
            <v/>
          </cell>
          <cell r="AK1965">
            <v>0</v>
          </cell>
          <cell r="AL1965">
            <v>0</v>
          </cell>
          <cell r="AM1965">
            <v>0</v>
          </cell>
        </row>
        <row r="1966">
          <cell r="C1966" t="str">
            <v/>
          </cell>
          <cell r="D1966" t="str">
            <v/>
          </cell>
          <cell r="O1966" t="str">
            <v/>
          </cell>
          <cell r="T1966" t="str">
            <v/>
          </cell>
          <cell r="U1966" t="str">
            <v/>
          </cell>
          <cell r="V1966" t="str">
            <v/>
          </cell>
          <cell r="W1966" t="str">
            <v/>
          </cell>
          <cell r="Y1966" t="str">
            <v/>
          </cell>
          <cell r="AA1966" t="str">
            <v/>
          </cell>
          <cell r="AB1966">
            <v>0</v>
          </cell>
          <cell r="AC1966">
            <v>0</v>
          </cell>
          <cell r="AI1966" t="str">
            <v/>
          </cell>
          <cell r="AJ1966" t="str">
            <v/>
          </cell>
          <cell r="AK1966">
            <v>0</v>
          </cell>
          <cell r="AL1966">
            <v>0</v>
          </cell>
          <cell r="AM1966">
            <v>0</v>
          </cell>
        </row>
        <row r="1967">
          <cell r="C1967" t="str">
            <v/>
          </cell>
          <cell r="D1967" t="str">
            <v/>
          </cell>
          <cell r="O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/>
          </cell>
          <cell r="Y1967" t="str">
            <v/>
          </cell>
          <cell r="AA1967" t="str">
            <v/>
          </cell>
          <cell r="AB1967">
            <v>0</v>
          </cell>
          <cell r="AC1967">
            <v>0</v>
          </cell>
          <cell r="AI1967" t="str">
            <v/>
          </cell>
          <cell r="AJ1967" t="str">
            <v/>
          </cell>
          <cell r="AK1967">
            <v>0</v>
          </cell>
          <cell r="AL1967">
            <v>0</v>
          </cell>
          <cell r="AM1967">
            <v>0</v>
          </cell>
        </row>
        <row r="1968">
          <cell r="C1968" t="str">
            <v/>
          </cell>
          <cell r="D1968" t="str">
            <v/>
          </cell>
          <cell r="O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/>
          </cell>
          <cell r="Y1968" t="str">
            <v/>
          </cell>
          <cell r="AA1968" t="str">
            <v/>
          </cell>
          <cell r="AB1968">
            <v>0</v>
          </cell>
          <cell r="AC1968">
            <v>0</v>
          </cell>
          <cell r="AI1968" t="str">
            <v/>
          </cell>
          <cell r="AJ1968" t="str">
            <v/>
          </cell>
          <cell r="AK1968">
            <v>0</v>
          </cell>
          <cell r="AL1968">
            <v>0</v>
          </cell>
          <cell r="AM1968">
            <v>0</v>
          </cell>
        </row>
        <row r="1969">
          <cell r="C1969" t="str">
            <v/>
          </cell>
          <cell r="D1969" t="str">
            <v/>
          </cell>
          <cell r="O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/>
          </cell>
          <cell r="Y1969" t="str">
            <v/>
          </cell>
          <cell r="AA1969" t="str">
            <v/>
          </cell>
          <cell r="AB1969">
            <v>0</v>
          </cell>
          <cell r="AC1969">
            <v>0</v>
          </cell>
          <cell r="AI1969" t="str">
            <v/>
          </cell>
          <cell r="AJ1969" t="str">
            <v/>
          </cell>
          <cell r="AK1969">
            <v>0</v>
          </cell>
          <cell r="AL1969">
            <v>0</v>
          </cell>
          <cell r="AM1969">
            <v>0</v>
          </cell>
        </row>
        <row r="1970">
          <cell r="C1970" t="str">
            <v/>
          </cell>
          <cell r="D1970" t="str">
            <v/>
          </cell>
          <cell r="O1970" t="str">
            <v/>
          </cell>
          <cell r="T1970" t="str">
            <v/>
          </cell>
          <cell r="U1970" t="str">
            <v/>
          </cell>
          <cell r="V1970" t="str">
            <v/>
          </cell>
          <cell r="W1970" t="str">
            <v/>
          </cell>
          <cell r="Y1970" t="str">
            <v/>
          </cell>
          <cell r="AA1970" t="str">
            <v/>
          </cell>
          <cell r="AB1970">
            <v>0</v>
          </cell>
          <cell r="AC1970">
            <v>0</v>
          </cell>
          <cell r="AI1970" t="str">
            <v/>
          </cell>
          <cell r="AJ1970" t="str">
            <v/>
          </cell>
          <cell r="AK1970">
            <v>0</v>
          </cell>
          <cell r="AL1970">
            <v>0</v>
          </cell>
          <cell r="AM1970">
            <v>0</v>
          </cell>
        </row>
        <row r="1971">
          <cell r="C1971" t="str">
            <v/>
          </cell>
          <cell r="D1971" t="str">
            <v/>
          </cell>
          <cell r="O1971" t="str">
            <v/>
          </cell>
          <cell r="T1971" t="str">
            <v/>
          </cell>
          <cell r="U1971" t="str">
            <v/>
          </cell>
          <cell r="V1971" t="str">
            <v/>
          </cell>
          <cell r="W1971" t="str">
            <v/>
          </cell>
          <cell r="Y1971" t="str">
            <v/>
          </cell>
          <cell r="AA1971" t="str">
            <v/>
          </cell>
          <cell r="AB1971">
            <v>0</v>
          </cell>
          <cell r="AC1971">
            <v>0</v>
          </cell>
          <cell r="AI1971" t="str">
            <v/>
          </cell>
          <cell r="AJ1971" t="str">
            <v/>
          </cell>
          <cell r="AK1971">
            <v>0</v>
          </cell>
          <cell r="AL1971">
            <v>0</v>
          </cell>
          <cell r="AM1971">
            <v>0</v>
          </cell>
        </row>
        <row r="1972">
          <cell r="C1972" t="str">
            <v/>
          </cell>
          <cell r="D1972" t="str">
            <v/>
          </cell>
          <cell r="O1972" t="str">
            <v/>
          </cell>
          <cell r="T1972" t="str">
            <v/>
          </cell>
          <cell r="U1972" t="str">
            <v/>
          </cell>
          <cell r="V1972" t="str">
            <v/>
          </cell>
          <cell r="W1972" t="str">
            <v/>
          </cell>
          <cell r="Y1972" t="str">
            <v/>
          </cell>
          <cell r="AA1972" t="str">
            <v/>
          </cell>
          <cell r="AB1972">
            <v>0</v>
          </cell>
          <cell r="AC1972">
            <v>0</v>
          </cell>
          <cell r="AI1972" t="str">
            <v/>
          </cell>
          <cell r="AJ1972" t="str">
            <v/>
          </cell>
          <cell r="AK1972">
            <v>0</v>
          </cell>
          <cell r="AL1972">
            <v>0</v>
          </cell>
          <cell r="AM1972">
            <v>0</v>
          </cell>
        </row>
        <row r="1973">
          <cell r="C1973" t="str">
            <v/>
          </cell>
          <cell r="D1973" t="str">
            <v/>
          </cell>
          <cell r="O1973" t="str">
            <v/>
          </cell>
          <cell r="T1973" t="str">
            <v/>
          </cell>
          <cell r="U1973" t="str">
            <v/>
          </cell>
          <cell r="V1973" t="str">
            <v/>
          </cell>
          <cell r="W1973" t="str">
            <v/>
          </cell>
          <cell r="Y1973" t="str">
            <v/>
          </cell>
          <cell r="AA1973" t="str">
            <v/>
          </cell>
          <cell r="AB1973">
            <v>0</v>
          </cell>
          <cell r="AC1973">
            <v>0</v>
          </cell>
          <cell r="AI1973" t="str">
            <v/>
          </cell>
          <cell r="AJ1973" t="str">
            <v/>
          </cell>
          <cell r="AK1973">
            <v>0</v>
          </cell>
          <cell r="AL1973">
            <v>0</v>
          </cell>
          <cell r="AM1973">
            <v>0</v>
          </cell>
        </row>
        <row r="1974">
          <cell r="C1974" t="str">
            <v/>
          </cell>
          <cell r="D1974" t="str">
            <v/>
          </cell>
          <cell r="O1974" t="str">
            <v/>
          </cell>
          <cell r="T1974" t="str">
            <v/>
          </cell>
          <cell r="U1974" t="str">
            <v/>
          </cell>
          <cell r="V1974" t="str">
            <v/>
          </cell>
          <cell r="W1974" t="str">
            <v/>
          </cell>
          <cell r="Y1974" t="str">
            <v/>
          </cell>
          <cell r="AA1974" t="str">
            <v/>
          </cell>
          <cell r="AB1974">
            <v>0</v>
          </cell>
          <cell r="AC1974">
            <v>0</v>
          </cell>
          <cell r="AI1974" t="str">
            <v/>
          </cell>
          <cell r="AJ1974" t="str">
            <v/>
          </cell>
          <cell r="AK1974">
            <v>0</v>
          </cell>
          <cell r="AL1974">
            <v>0</v>
          </cell>
          <cell r="AM1974">
            <v>0</v>
          </cell>
        </row>
        <row r="1975">
          <cell r="C1975" t="str">
            <v/>
          </cell>
          <cell r="D1975" t="str">
            <v/>
          </cell>
          <cell r="O1975" t="str">
            <v/>
          </cell>
          <cell r="T1975" t="str">
            <v/>
          </cell>
          <cell r="U1975" t="str">
            <v/>
          </cell>
          <cell r="V1975" t="str">
            <v/>
          </cell>
          <cell r="W1975" t="str">
            <v/>
          </cell>
          <cell r="Y1975" t="str">
            <v/>
          </cell>
          <cell r="AA1975" t="str">
            <v/>
          </cell>
          <cell r="AB1975">
            <v>0</v>
          </cell>
          <cell r="AC1975">
            <v>0</v>
          </cell>
          <cell r="AI1975" t="str">
            <v/>
          </cell>
          <cell r="AJ1975" t="str">
            <v/>
          </cell>
          <cell r="AK1975">
            <v>0</v>
          </cell>
          <cell r="AL1975">
            <v>0</v>
          </cell>
          <cell r="AM1975">
            <v>0</v>
          </cell>
        </row>
        <row r="1976">
          <cell r="C1976" t="str">
            <v/>
          </cell>
          <cell r="D1976" t="str">
            <v/>
          </cell>
          <cell r="O1976" t="str">
            <v/>
          </cell>
          <cell r="T1976" t="str">
            <v/>
          </cell>
          <cell r="U1976" t="str">
            <v/>
          </cell>
          <cell r="V1976" t="str">
            <v/>
          </cell>
          <cell r="W1976" t="str">
            <v/>
          </cell>
          <cell r="Y1976" t="str">
            <v/>
          </cell>
          <cell r="AA1976" t="str">
            <v/>
          </cell>
          <cell r="AB1976">
            <v>0</v>
          </cell>
          <cell r="AC1976">
            <v>0</v>
          </cell>
          <cell r="AI1976" t="str">
            <v/>
          </cell>
          <cell r="AJ1976" t="str">
            <v/>
          </cell>
          <cell r="AK1976">
            <v>0</v>
          </cell>
          <cell r="AL1976">
            <v>0</v>
          </cell>
          <cell r="AM1976">
            <v>0</v>
          </cell>
        </row>
        <row r="1977">
          <cell r="C1977" t="str">
            <v/>
          </cell>
          <cell r="D1977" t="str">
            <v/>
          </cell>
          <cell r="O1977" t="str">
            <v/>
          </cell>
          <cell r="T1977" t="str">
            <v/>
          </cell>
          <cell r="U1977" t="str">
            <v/>
          </cell>
          <cell r="V1977" t="str">
            <v/>
          </cell>
          <cell r="W1977" t="str">
            <v/>
          </cell>
          <cell r="Y1977" t="str">
            <v/>
          </cell>
          <cell r="AA1977" t="str">
            <v/>
          </cell>
          <cell r="AB1977">
            <v>0</v>
          </cell>
          <cell r="AC1977">
            <v>0</v>
          </cell>
          <cell r="AI1977" t="str">
            <v/>
          </cell>
          <cell r="AJ1977" t="str">
            <v/>
          </cell>
          <cell r="AK1977">
            <v>0</v>
          </cell>
          <cell r="AL1977">
            <v>0</v>
          </cell>
          <cell r="AM1977">
            <v>0</v>
          </cell>
        </row>
        <row r="1978">
          <cell r="C1978" t="str">
            <v/>
          </cell>
          <cell r="D1978" t="str">
            <v/>
          </cell>
          <cell r="O1978" t="str">
            <v/>
          </cell>
          <cell r="T1978" t="str">
            <v/>
          </cell>
          <cell r="U1978" t="str">
            <v/>
          </cell>
          <cell r="V1978" t="str">
            <v/>
          </cell>
          <cell r="W1978" t="str">
            <v/>
          </cell>
          <cell r="Y1978" t="str">
            <v/>
          </cell>
          <cell r="AA1978" t="str">
            <v/>
          </cell>
          <cell r="AB1978">
            <v>0</v>
          </cell>
          <cell r="AC1978">
            <v>0</v>
          </cell>
          <cell r="AI1978" t="str">
            <v/>
          </cell>
          <cell r="AJ1978" t="str">
            <v/>
          </cell>
          <cell r="AK1978">
            <v>0</v>
          </cell>
          <cell r="AL1978">
            <v>0</v>
          </cell>
          <cell r="AM1978">
            <v>0</v>
          </cell>
        </row>
        <row r="1979">
          <cell r="C1979" t="str">
            <v/>
          </cell>
          <cell r="D1979" t="str">
            <v/>
          </cell>
          <cell r="O1979" t="str">
            <v/>
          </cell>
          <cell r="T1979" t="str">
            <v/>
          </cell>
          <cell r="U1979" t="str">
            <v/>
          </cell>
          <cell r="V1979" t="str">
            <v/>
          </cell>
          <cell r="W1979" t="str">
            <v/>
          </cell>
          <cell r="Y1979" t="str">
            <v/>
          </cell>
          <cell r="AA1979" t="str">
            <v/>
          </cell>
          <cell r="AB1979">
            <v>0</v>
          </cell>
          <cell r="AC1979">
            <v>0</v>
          </cell>
          <cell r="AI1979" t="str">
            <v/>
          </cell>
          <cell r="AJ1979" t="str">
            <v/>
          </cell>
          <cell r="AK1979">
            <v>0</v>
          </cell>
          <cell r="AL1979">
            <v>0</v>
          </cell>
          <cell r="AM1979">
            <v>0</v>
          </cell>
        </row>
        <row r="1980">
          <cell r="C1980" t="str">
            <v/>
          </cell>
          <cell r="D1980" t="str">
            <v/>
          </cell>
          <cell r="O1980" t="str">
            <v/>
          </cell>
          <cell r="T1980" t="str">
            <v/>
          </cell>
          <cell r="U1980" t="str">
            <v/>
          </cell>
          <cell r="V1980" t="str">
            <v/>
          </cell>
          <cell r="W1980" t="str">
            <v/>
          </cell>
          <cell r="Y1980" t="str">
            <v/>
          </cell>
          <cell r="AA1980" t="str">
            <v/>
          </cell>
          <cell r="AB1980">
            <v>0</v>
          </cell>
          <cell r="AC1980">
            <v>0</v>
          </cell>
          <cell r="AI1980" t="str">
            <v/>
          </cell>
          <cell r="AJ1980" t="str">
            <v/>
          </cell>
          <cell r="AK1980">
            <v>0</v>
          </cell>
          <cell r="AL1980">
            <v>0</v>
          </cell>
          <cell r="AM1980">
            <v>0</v>
          </cell>
        </row>
        <row r="1981">
          <cell r="C1981" t="str">
            <v/>
          </cell>
          <cell r="D1981" t="str">
            <v/>
          </cell>
          <cell r="O1981" t="str">
            <v/>
          </cell>
          <cell r="T1981" t="str">
            <v/>
          </cell>
          <cell r="U1981" t="str">
            <v/>
          </cell>
          <cell r="V1981" t="str">
            <v/>
          </cell>
          <cell r="W1981" t="str">
            <v/>
          </cell>
          <cell r="Y1981" t="str">
            <v/>
          </cell>
          <cell r="AA1981" t="str">
            <v/>
          </cell>
          <cell r="AB1981">
            <v>0</v>
          </cell>
          <cell r="AC1981">
            <v>0</v>
          </cell>
          <cell r="AI1981" t="str">
            <v/>
          </cell>
          <cell r="AJ1981" t="str">
            <v/>
          </cell>
          <cell r="AK1981">
            <v>0</v>
          </cell>
          <cell r="AL1981">
            <v>0</v>
          </cell>
          <cell r="AM1981">
            <v>0</v>
          </cell>
        </row>
        <row r="1982">
          <cell r="C1982" t="str">
            <v/>
          </cell>
          <cell r="D1982" t="str">
            <v/>
          </cell>
          <cell r="O1982" t="str">
            <v/>
          </cell>
          <cell r="T1982" t="str">
            <v/>
          </cell>
          <cell r="U1982" t="str">
            <v/>
          </cell>
          <cell r="V1982" t="str">
            <v/>
          </cell>
          <cell r="W1982" t="str">
            <v/>
          </cell>
          <cell r="Y1982" t="str">
            <v/>
          </cell>
          <cell r="AA1982" t="str">
            <v/>
          </cell>
          <cell r="AB1982">
            <v>0</v>
          </cell>
          <cell r="AC1982">
            <v>0</v>
          </cell>
          <cell r="AI1982" t="str">
            <v/>
          </cell>
          <cell r="AJ1982" t="str">
            <v/>
          </cell>
          <cell r="AK1982">
            <v>0</v>
          </cell>
          <cell r="AL1982">
            <v>0</v>
          </cell>
          <cell r="AM1982">
            <v>0</v>
          </cell>
        </row>
        <row r="1983">
          <cell r="C1983" t="str">
            <v/>
          </cell>
          <cell r="D1983" t="str">
            <v/>
          </cell>
          <cell r="O1983" t="str">
            <v/>
          </cell>
          <cell r="T1983" t="str">
            <v/>
          </cell>
          <cell r="U1983" t="str">
            <v/>
          </cell>
          <cell r="V1983" t="str">
            <v/>
          </cell>
          <cell r="W1983" t="str">
            <v/>
          </cell>
          <cell r="Y1983" t="str">
            <v/>
          </cell>
          <cell r="AA1983" t="str">
            <v/>
          </cell>
          <cell r="AB1983">
            <v>0</v>
          </cell>
          <cell r="AC1983">
            <v>0</v>
          </cell>
          <cell r="AI1983" t="str">
            <v/>
          </cell>
          <cell r="AJ1983" t="str">
            <v/>
          </cell>
          <cell r="AK1983">
            <v>0</v>
          </cell>
          <cell r="AL1983">
            <v>0</v>
          </cell>
          <cell r="AM1983">
            <v>0</v>
          </cell>
        </row>
        <row r="1984">
          <cell r="C1984" t="str">
            <v/>
          </cell>
          <cell r="D1984" t="str">
            <v/>
          </cell>
          <cell r="O1984" t="str">
            <v/>
          </cell>
          <cell r="T1984" t="str">
            <v/>
          </cell>
          <cell r="U1984" t="str">
            <v/>
          </cell>
          <cell r="V1984" t="str">
            <v/>
          </cell>
          <cell r="W1984" t="str">
            <v/>
          </cell>
          <cell r="Y1984" t="str">
            <v/>
          </cell>
          <cell r="AA1984" t="str">
            <v/>
          </cell>
          <cell r="AB1984">
            <v>0</v>
          </cell>
          <cell r="AC1984">
            <v>0</v>
          </cell>
          <cell r="AI1984" t="str">
            <v/>
          </cell>
          <cell r="AJ1984" t="str">
            <v/>
          </cell>
          <cell r="AK1984">
            <v>0</v>
          </cell>
          <cell r="AL1984">
            <v>0</v>
          </cell>
          <cell r="AM1984">
            <v>0</v>
          </cell>
        </row>
        <row r="1985">
          <cell r="C1985" t="str">
            <v/>
          </cell>
          <cell r="D1985" t="str">
            <v/>
          </cell>
          <cell r="O1985" t="str">
            <v/>
          </cell>
          <cell r="T1985" t="str">
            <v/>
          </cell>
          <cell r="U1985" t="str">
            <v/>
          </cell>
          <cell r="V1985" t="str">
            <v/>
          </cell>
          <cell r="W1985" t="str">
            <v/>
          </cell>
          <cell r="Y1985" t="str">
            <v/>
          </cell>
          <cell r="AA1985" t="str">
            <v/>
          </cell>
          <cell r="AB1985">
            <v>0</v>
          </cell>
          <cell r="AC1985">
            <v>0</v>
          </cell>
          <cell r="AI1985" t="str">
            <v/>
          </cell>
          <cell r="AJ1985" t="str">
            <v/>
          </cell>
          <cell r="AK1985">
            <v>0</v>
          </cell>
          <cell r="AL1985">
            <v>0</v>
          </cell>
          <cell r="AM1985">
            <v>0</v>
          </cell>
        </row>
        <row r="1986">
          <cell r="C1986" t="str">
            <v/>
          </cell>
          <cell r="D1986" t="str">
            <v/>
          </cell>
          <cell r="O1986" t="str">
            <v/>
          </cell>
          <cell r="T1986" t="str">
            <v/>
          </cell>
          <cell r="U1986" t="str">
            <v/>
          </cell>
          <cell r="V1986" t="str">
            <v/>
          </cell>
          <cell r="W1986" t="str">
            <v/>
          </cell>
          <cell r="Y1986" t="str">
            <v/>
          </cell>
          <cell r="AA1986" t="str">
            <v/>
          </cell>
          <cell r="AB1986">
            <v>0</v>
          </cell>
          <cell r="AC1986">
            <v>0</v>
          </cell>
          <cell r="AI1986" t="str">
            <v/>
          </cell>
          <cell r="AJ1986" t="str">
            <v/>
          </cell>
          <cell r="AK1986">
            <v>0</v>
          </cell>
          <cell r="AL1986">
            <v>0</v>
          </cell>
          <cell r="AM1986">
            <v>0</v>
          </cell>
        </row>
        <row r="1987">
          <cell r="C1987" t="str">
            <v/>
          </cell>
          <cell r="D1987" t="str">
            <v/>
          </cell>
          <cell r="O1987" t="str">
            <v/>
          </cell>
          <cell r="T1987" t="str">
            <v/>
          </cell>
          <cell r="U1987" t="str">
            <v/>
          </cell>
          <cell r="V1987" t="str">
            <v/>
          </cell>
          <cell r="W1987" t="str">
            <v/>
          </cell>
          <cell r="Y1987" t="str">
            <v/>
          </cell>
          <cell r="AA1987" t="str">
            <v/>
          </cell>
          <cell r="AB1987">
            <v>0</v>
          </cell>
          <cell r="AC1987">
            <v>0</v>
          </cell>
          <cell r="AI1987" t="str">
            <v/>
          </cell>
          <cell r="AJ1987" t="str">
            <v/>
          </cell>
          <cell r="AK1987">
            <v>0</v>
          </cell>
          <cell r="AL1987">
            <v>0</v>
          </cell>
          <cell r="AM1987">
            <v>0</v>
          </cell>
        </row>
        <row r="1988">
          <cell r="C1988" t="str">
            <v/>
          </cell>
          <cell r="D1988" t="str">
            <v/>
          </cell>
          <cell r="O1988" t="str">
            <v/>
          </cell>
          <cell r="T1988" t="str">
            <v/>
          </cell>
          <cell r="U1988" t="str">
            <v/>
          </cell>
          <cell r="V1988" t="str">
            <v/>
          </cell>
          <cell r="W1988" t="str">
            <v/>
          </cell>
          <cell r="Y1988" t="str">
            <v/>
          </cell>
          <cell r="AA1988" t="str">
            <v/>
          </cell>
          <cell r="AB1988">
            <v>0</v>
          </cell>
          <cell r="AC1988">
            <v>0</v>
          </cell>
          <cell r="AI1988" t="str">
            <v/>
          </cell>
          <cell r="AJ1988" t="str">
            <v/>
          </cell>
          <cell r="AK1988">
            <v>0</v>
          </cell>
          <cell r="AL1988">
            <v>0</v>
          </cell>
          <cell r="AM1988">
            <v>0</v>
          </cell>
        </row>
        <row r="1989">
          <cell r="C1989" t="str">
            <v/>
          </cell>
          <cell r="D1989" t="str">
            <v/>
          </cell>
          <cell r="O1989" t="str">
            <v/>
          </cell>
          <cell r="T1989" t="str">
            <v/>
          </cell>
          <cell r="U1989" t="str">
            <v/>
          </cell>
          <cell r="V1989" t="str">
            <v/>
          </cell>
          <cell r="W1989" t="str">
            <v/>
          </cell>
          <cell r="Y1989" t="str">
            <v/>
          </cell>
          <cell r="AA1989" t="str">
            <v/>
          </cell>
          <cell r="AB1989">
            <v>0</v>
          </cell>
          <cell r="AC1989">
            <v>0</v>
          </cell>
          <cell r="AI1989" t="str">
            <v/>
          </cell>
          <cell r="AJ1989" t="str">
            <v/>
          </cell>
          <cell r="AK1989">
            <v>0</v>
          </cell>
          <cell r="AL1989">
            <v>0</v>
          </cell>
          <cell r="AM1989">
            <v>0</v>
          </cell>
        </row>
        <row r="1990">
          <cell r="C1990" t="str">
            <v/>
          </cell>
          <cell r="D1990" t="str">
            <v/>
          </cell>
          <cell r="O1990" t="str">
            <v/>
          </cell>
          <cell r="T1990" t="str">
            <v/>
          </cell>
          <cell r="U1990" t="str">
            <v/>
          </cell>
          <cell r="V1990" t="str">
            <v/>
          </cell>
          <cell r="W1990" t="str">
            <v/>
          </cell>
          <cell r="Y1990" t="str">
            <v/>
          </cell>
          <cell r="AA1990" t="str">
            <v/>
          </cell>
          <cell r="AB1990">
            <v>0</v>
          </cell>
          <cell r="AC1990">
            <v>0</v>
          </cell>
          <cell r="AI1990" t="str">
            <v/>
          </cell>
          <cell r="AJ1990" t="str">
            <v/>
          </cell>
          <cell r="AK1990">
            <v>0</v>
          </cell>
          <cell r="AL1990">
            <v>0</v>
          </cell>
          <cell r="AM1990">
            <v>0</v>
          </cell>
        </row>
        <row r="1991">
          <cell r="C1991" t="str">
            <v/>
          </cell>
          <cell r="D1991" t="str">
            <v/>
          </cell>
          <cell r="O1991" t="str">
            <v/>
          </cell>
          <cell r="T1991" t="str">
            <v/>
          </cell>
          <cell r="U1991" t="str">
            <v/>
          </cell>
          <cell r="V1991" t="str">
            <v/>
          </cell>
          <cell r="W1991" t="str">
            <v/>
          </cell>
          <cell r="Y1991" t="str">
            <v/>
          </cell>
          <cell r="AA1991" t="str">
            <v/>
          </cell>
          <cell r="AB1991">
            <v>0</v>
          </cell>
          <cell r="AC1991">
            <v>0</v>
          </cell>
          <cell r="AI1991" t="str">
            <v/>
          </cell>
          <cell r="AJ1991" t="str">
            <v/>
          </cell>
          <cell r="AK1991">
            <v>0</v>
          </cell>
          <cell r="AL1991">
            <v>0</v>
          </cell>
          <cell r="AM1991">
            <v>0</v>
          </cell>
        </row>
        <row r="1992">
          <cell r="C1992" t="str">
            <v/>
          </cell>
          <cell r="D1992" t="str">
            <v/>
          </cell>
          <cell r="O1992" t="str">
            <v/>
          </cell>
          <cell r="T1992" t="str">
            <v/>
          </cell>
          <cell r="U1992" t="str">
            <v/>
          </cell>
          <cell r="V1992" t="str">
            <v/>
          </cell>
          <cell r="W1992" t="str">
            <v/>
          </cell>
          <cell r="Y1992" t="str">
            <v/>
          </cell>
          <cell r="AA1992" t="str">
            <v/>
          </cell>
          <cell r="AB1992">
            <v>0</v>
          </cell>
          <cell r="AC1992">
            <v>0</v>
          </cell>
          <cell r="AI1992" t="str">
            <v/>
          </cell>
          <cell r="AJ1992" t="str">
            <v/>
          </cell>
          <cell r="AK1992">
            <v>0</v>
          </cell>
          <cell r="AL1992">
            <v>0</v>
          </cell>
          <cell r="AM1992">
            <v>0</v>
          </cell>
        </row>
        <row r="1993">
          <cell r="C1993" t="str">
            <v/>
          </cell>
          <cell r="D1993" t="str">
            <v/>
          </cell>
          <cell r="O1993" t="str">
            <v/>
          </cell>
          <cell r="T1993" t="str">
            <v/>
          </cell>
          <cell r="U1993" t="str">
            <v/>
          </cell>
          <cell r="V1993" t="str">
            <v/>
          </cell>
          <cell r="W1993" t="str">
            <v/>
          </cell>
          <cell r="Y1993" t="str">
            <v/>
          </cell>
          <cell r="AA1993" t="str">
            <v/>
          </cell>
          <cell r="AB1993">
            <v>0</v>
          </cell>
          <cell r="AC1993">
            <v>0</v>
          </cell>
          <cell r="AI1993" t="str">
            <v/>
          </cell>
          <cell r="AJ1993" t="str">
            <v/>
          </cell>
          <cell r="AK1993">
            <v>0</v>
          </cell>
          <cell r="AL1993">
            <v>0</v>
          </cell>
          <cell r="AM1993">
            <v>0</v>
          </cell>
        </row>
        <row r="1994">
          <cell r="C1994" t="str">
            <v/>
          </cell>
          <cell r="D1994" t="str">
            <v/>
          </cell>
          <cell r="O1994" t="str">
            <v/>
          </cell>
          <cell r="T1994" t="str">
            <v/>
          </cell>
          <cell r="U1994" t="str">
            <v/>
          </cell>
          <cell r="V1994" t="str">
            <v/>
          </cell>
          <cell r="W1994" t="str">
            <v/>
          </cell>
          <cell r="Y1994" t="str">
            <v/>
          </cell>
          <cell r="AA1994" t="str">
            <v/>
          </cell>
          <cell r="AB1994">
            <v>0</v>
          </cell>
          <cell r="AC1994">
            <v>0</v>
          </cell>
          <cell r="AI1994" t="str">
            <v/>
          </cell>
          <cell r="AJ1994" t="str">
            <v/>
          </cell>
          <cell r="AK1994">
            <v>0</v>
          </cell>
          <cell r="AL1994">
            <v>0</v>
          </cell>
          <cell r="AM1994">
            <v>0</v>
          </cell>
        </row>
        <row r="1995">
          <cell r="C1995" t="str">
            <v/>
          </cell>
          <cell r="D1995" t="str">
            <v/>
          </cell>
          <cell r="O1995" t="str">
            <v/>
          </cell>
          <cell r="T1995" t="str">
            <v/>
          </cell>
          <cell r="U1995" t="str">
            <v/>
          </cell>
          <cell r="V1995" t="str">
            <v/>
          </cell>
          <cell r="W1995" t="str">
            <v/>
          </cell>
          <cell r="Y1995" t="str">
            <v/>
          </cell>
          <cell r="AA1995" t="str">
            <v/>
          </cell>
          <cell r="AB1995">
            <v>0</v>
          </cell>
          <cell r="AC1995">
            <v>0</v>
          </cell>
          <cell r="AI1995" t="str">
            <v/>
          </cell>
          <cell r="AJ1995" t="str">
            <v/>
          </cell>
          <cell r="AK1995">
            <v>0</v>
          </cell>
          <cell r="AL1995">
            <v>0</v>
          </cell>
          <cell r="AM1995">
            <v>0</v>
          </cell>
        </row>
        <row r="1996">
          <cell r="C1996" t="str">
            <v/>
          </cell>
          <cell r="D1996" t="str">
            <v/>
          </cell>
          <cell r="O1996" t="str">
            <v/>
          </cell>
          <cell r="T1996" t="str">
            <v/>
          </cell>
          <cell r="U1996" t="str">
            <v/>
          </cell>
          <cell r="V1996" t="str">
            <v/>
          </cell>
          <cell r="W1996" t="str">
            <v/>
          </cell>
          <cell r="Y1996" t="str">
            <v/>
          </cell>
          <cell r="AA1996" t="str">
            <v/>
          </cell>
          <cell r="AB1996">
            <v>0</v>
          </cell>
          <cell r="AC1996">
            <v>0</v>
          </cell>
          <cell r="AI1996" t="str">
            <v/>
          </cell>
          <cell r="AJ1996" t="str">
            <v/>
          </cell>
          <cell r="AK1996">
            <v>0</v>
          </cell>
          <cell r="AL1996">
            <v>0</v>
          </cell>
          <cell r="AM1996">
            <v>0</v>
          </cell>
        </row>
        <row r="1997">
          <cell r="C1997" t="str">
            <v/>
          </cell>
          <cell r="D1997" t="str">
            <v/>
          </cell>
          <cell r="O1997" t="str">
            <v/>
          </cell>
          <cell r="T1997" t="str">
            <v/>
          </cell>
          <cell r="U1997" t="str">
            <v/>
          </cell>
          <cell r="V1997" t="str">
            <v/>
          </cell>
          <cell r="W1997" t="str">
            <v/>
          </cell>
          <cell r="Y1997" t="str">
            <v/>
          </cell>
          <cell r="AA1997" t="str">
            <v/>
          </cell>
          <cell r="AB1997">
            <v>0</v>
          </cell>
          <cell r="AC1997">
            <v>0</v>
          </cell>
          <cell r="AI1997" t="str">
            <v/>
          </cell>
          <cell r="AJ1997" t="str">
            <v/>
          </cell>
          <cell r="AK1997">
            <v>0</v>
          </cell>
          <cell r="AL1997">
            <v>0</v>
          </cell>
          <cell r="AM1997">
            <v>0</v>
          </cell>
        </row>
        <row r="1998">
          <cell r="C1998" t="str">
            <v/>
          </cell>
          <cell r="D1998" t="str">
            <v/>
          </cell>
          <cell r="O1998" t="str">
            <v/>
          </cell>
          <cell r="T1998" t="str">
            <v/>
          </cell>
          <cell r="U1998" t="str">
            <v/>
          </cell>
          <cell r="V1998" t="str">
            <v/>
          </cell>
          <cell r="W1998" t="str">
            <v/>
          </cell>
          <cell r="Y1998" t="str">
            <v/>
          </cell>
          <cell r="AA1998" t="str">
            <v/>
          </cell>
          <cell r="AB1998">
            <v>0</v>
          </cell>
          <cell r="AC1998">
            <v>0</v>
          </cell>
          <cell r="AI1998" t="str">
            <v/>
          </cell>
          <cell r="AJ1998" t="str">
            <v/>
          </cell>
          <cell r="AK1998">
            <v>0</v>
          </cell>
          <cell r="AL1998">
            <v>0</v>
          </cell>
          <cell r="AM1998">
            <v>0</v>
          </cell>
        </row>
        <row r="1999">
          <cell r="C1999" t="str">
            <v/>
          </cell>
          <cell r="D1999" t="str">
            <v/>
          </cell>
          <cell r="O1999" t="str">
            <v/>
          </cell>
          <cell r="T1999" t="str">
            <v/>
          </cell>
          <cell r="U1999" t="str">
            <v/>
          </cell>
          <cell r="V1999" t="str">
            <v/>
          </cell>
          <cell r="W1999" t="str">
            <v/>
          </cell>
          <cell r="Y1999" t="str">
            <v/>
          </cell>
          <cell r="AA1999" t="str">
            <v/>
          </cell>
          <cell r="AB1999">
            <v>0</v>
          </cell>
          <cell r="AC1999">
            <v>0</v>
          </cell>
          <cell r="AI1999" t="str">
            <v/>
          </cell>
          <cell r="AJ1999" t="str">
            <v/>
          </cell>
          <cell r="AK1999">
            <v>0</v>
          </cell>
          <cell r="AL1999">
            <v>0</v>
          </cell>
          <cell r="AM1999">
            <v>0</v>
          </cell>
        </row>
        <row r="2000">
          <cell r="C2000" t="str">
            <v/>
          </cell>
          <cell r="D2000" t="str">
            <v/>
          </cell>
          <cell r="O2000" t="str">
            <v/>
          </cell>
          <cell r="T2000" t="str">
            <v/>
          </cell>
          <cell r="U2000" t="str">
            <v/>
          </cell>
          <cell r="V2000" t="str">
            <v/>
          </cell>
          <cell r="W2000" t="str">
            <v/>
          </cell>
          <cell r="Y2000" t="str">
            <v/>
          </cell>
          <cell r="AA2000" t="str">
            <v/>
          </cell>
          <cell r="AB2000">
            <v>0</v>
          </cell>
          <cell r="AC2000">
            <v>0</v>
          </cell>
          <cell r="AI2000" t="str">
            <v/>
          </cell>
          <cell r="AJ2000" t="str">
            <v/>
          </cell>
          <cell r="AK2000">
            <v>0</v>
          </cell>
          <cell r="AL2000">
            <v>0</v>
          </cell>
          <cell r="AM2000">
            <v>0</v>
          </cell>
        </row>
        <row r="2001">
          <cell r="C2001" t="str">
            <v/>
          </cell>
          <cell r="D2001" t="str">
            <v/>
          </cell>
          <cell r="O2001" t="str">
            <v/>
          </cell>
          <cell r="T2001" t="str">
            <v/>
          </cell>
          <cell r="U2001" t="str">
            <v/>
          </cell>
          <cell r="V2001" t="str">
            <v/>
          </cell>
          <cell r="W2001" t="str">
            <v/>
          </cell>
          <cell r="Y2001" t="str">
            <v/>
          </cell>
          <cell r="AA2001" t="str">
            <v/>
          </cell>
          <cell r="AB2001">
            <v>0</v>
          </cell>
          <cell r="AC2001">
            <v>0</v>
          </cell>
          <cell r="AI2001" t="str">
            <v/>
          </cell>
          <cell r="AJ2001" t="str">
            <v/>
          </cell>
          <cell r="AK2001">
            <v>0</v>
          </cell>
          <cell r="AL2001">
            <v>0</v>
          </cell>
          <cell r="AM2001">
            <v>0</v>
          </cell>
        </row>
        <row r="2002">
          <cell r="C2002" t="str">
            <v/>
          </cell>
          <cell r="D2002" t="str">
            <v/>
          </cell>
          <cell r="O2002" t="str">
            <v/>
          </cell>
          <cell r="T2002" t="str">
            <v/>
          </cell>
          <cell r="U2002" t="str">
            <v/>
          </cell>
          <cell r="V2002" t="str">
            <v/>
          </cell>
          <cell r="W2002" t="str">
            <v/>
          </cell>
          <cell r="Y2002" t="str">
            <v/>
          </cell>
          <cell r="AA2002" t="str">
            <v/>
          </cell>
          <cell r="AB2002">
            <v>0</v>
          </cell>
          <cell r="AC2002">
            <v>0</v>
          </cell>
          <cell r="AI2002" t="str">
            <v/>
          </cell>
          <cell r="AJ2002" t="str">
            <v/>
          </cell>
          <cell r="AK2002">
            <v>0</v>
          </cell>
          <cell r="AL2002">
            <v>0</v>
          </cell>
          <cell r="AM2002">
            <v>0</v>
          </cell>
        </row>
        <row r="2003">
          <cell r="C2003" t="str">
            <v/>
          </cell>
          <cell r="D2003" t="str">
            <v/>
          </cell>
          <cell r="O2003" t="str">
            <v/>
          </cell>
          <cell r="T2003" t="str">
            <v/>
          </cell>
          <cell r="U2003" t="str">
            <v/>
          </cell>
          <cell r="V2003" t="str">
            <v/>
          </cell>
          <cell r="W2003" t="str">
            <v/>
          </cell>
          <cell r="Y2003" t="str">
            <v/>
          </cell>
          <cell r="AA2003" t="str">
            <v/>
          </cell>
          <cell r="AB2003">
            <v>0</v>
          </cell>
          <cell r="AC2003">
            <v>0</v>
          </cell>
          <cell r="AI2003" t="str">
            <v/>
          </cell>
          <cell r="AJ2003" t="str">
            <v/>
          </cell>
          <cell r="AK2003">
            <v>0</v>
          </cell>
          <cell r="AL2003">
            <v>0</v>
          </cell>
          <cell r="AM2003">
            <v>0</v>
          </cell>
        </row>
        <row r="2004">
          <cell r="C2004" t="str">
            <v/>
          </cell>
          <cell r="D2004" t="str">
            <v/>
          </cell>
          <cell r="O2004" t="str">
            <v/>
          </cell>
          <cell r="T2004" t="str">
            <v/>
          </cell>
          <cell r="U2004" t="str">
            <v/>
          </cell>
          <cell r="V2004" t="str">
            <v/>
          </cell>
          <cell r="W2004" t="str">
            <v/>
          </cell>
          <cell r="Y2004" t="str">
            <v/>
          </cell>
          <cell r="AA2004" t="str">
            <v/>
          </cell>
          <cell r="AB2004">
            <v>0</v>
          </cell>
          <cell r="AC2004">
            <v>0</v>
          </cell>
          <cell r="AI2004" t="str">
            <v/>
          </cell>
          <cell r="AJ2004" t="str">
            <v/>
          </cell>
          <cell r="AK2004">
            <v>0</v>
          </cell>
          <cell r="AL2004">
            <v>0</v>
          </cell>
          <cell r="AM2004">
            <v>0</v>
          </cell>
        </row>
      </sheetData>
      <sheetData sheetId="14" refreshError="1"/>
      <sheetData sheetId="15">
        <row r="1">
          <cell r="B1">
            <v>1</v>
          </cell>
        </row>
        <row r="2">
          <cell r="B2">
            <v>46289.0</v>
          </cell>
        </row>
        <row r="3">
          <cell r="B3">
            <v>138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H22"/>
  <sheetViews>
    <sheetView showGridLines="0" tabSelected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2" customHeight="1">
      <c r="A1" s="1" t="inlineStr">
        <is>
          <t>财税代理 · 多公司收支管理 ② 汇总报表（只看，不用录入）</t>
        </is>
      </c>
    </row>
    <row r="2" ht="40" customHeight="1">
      <c r="A2" s="2" t="inlineStr">
        <is>
          <t>💡 这本的数都取自【A065-1_流水发票导入.xlsx】（两本放同一个文件夹）。打开时 Excel/WPS 问「是否更新链接 / 启用内容」选「更新」，或者先打开 ① 那本再打开这本，数就是最新的。每张报表顶上的黄格子选公司（或全部）、年份、日期。这本里隐藏的「资金台帐 / 发票导入 / 基础资料 / 往来单位」是取数用的，别改。</t>
        </is>
      </c>
    </row>
    <row r="4" ht="28" customHeight="1">
      <c r="A4" s="3" t="inlineStr">
        <is>
          <t>数据到</t>
        </is>
      </c>
      <c r="B4" s="4">
        <f>_辅助!$B$2</f>
        <v>46289.0</v>
      </c>
      <c r="C4" s="3" t="inlineStr">
        <is>
          <t>资金台帐</t>
        </is>
      </c>
      <c r="D4" s="5" t="str">
        <f>_辅助!$B$3&amp;" 笔"</f>
        <v>138 笔</v>
      </c>
      <c r="E4" s="3" t="inlineStr">
        <is>
          <t>待处理（✗）</t>
        </is>
      </c>
      <c r="F4" s="5" t="str">
        <f>COUNTIF(资金台帐!$X$6:$X$3005,"✗*")&amp;" 笔"</f>
        <v>69 笔</v>
      </c>
      <c r="G4" s="3" t="inlineStr">
        <is>
          <t>录入表校验 ✗</t>
        </is>
      </c>
      <c r="H4" s="5" t="str">
        <f>_辅助!$B$1&amp;" 项"</f>
        <v>1 项</v>
      </c>
    </row>
    <row r="6" ht="24" customHeight="1">
      <c r="A6" s="3" t="inlineStr">
        <is>
          <t>公司</t>
        </is>
      </c>
      <c r="B6" s="6" t="inlineStr">
        <is>
          <t>全部</t>
        </is>
      </c>
      <c r="D6" s="3" t="inlineStr">
        <is>
          <t>年份</t>
        </is>
      </c>
      <c r="E6" s="6" t="n">
        <v>2026</v>
      </c>
    </row>
    <row r="8">
      <c r="A8" s="7" t="inlineStr">
        <is>
          <t>本年收入</t>
        </is>
      </c>
      <c r="B8" s="7" t="inlineStr">
        <is>
          <t>变动利润</t>
        </is>
      </c>
      <c r="C8" s="7" t="inlineStr">
        <is>
          <t>利润</t>
        </is>
      </c>
      <c r="D8" s="7" t="inlineStr">
        <is>
          <t>本年新增客户</t>
        </is>
      </c>
      <c r="E8" s="7" t="inlineStr">
        <is>
          <t>资金余额（现在）</t>
        </is>
      </c>
      <c r="F8" s="7" t="inlineStr">
        <is>
          <t>客户欠款＊</t>
        </is>
      </c>
      <c r="G8" s="7" t="inlineStr">
        <is>
          <t>欠供应商＊</t>
        </is>
      </c>
      <c r="H8" s="7" t="inlineStr">
        <is>
          <t>内部往来对不上</t>
        </is>
      </c>
    </row>
    <row r="9" ht="32" customHeight="1">
      <c r="A9" s="8">
        <f>ROUND(SUMIFS(资金台帐!$AB$6:$AB$3005,资金台帐!$U$6:$U$3005,"收入",资金台帐!$BH$6:$BH$3005,IF($B$6="全部","&gt;0",IFERROR(MATCH($B$6,基础资料!$B$5:$B$12,0),-1)),资金台帐!$N$6:$N$3005,"&gt;="&amp;DATE($E$6,1,1),资金台帐!$N$6:$N$3005,"&lt;"&amp;DATE($E$6+1,1,1))-SUMIFS(资金台帐!$AC$6:$AC$3005,资金台帐!$U$6:$U$3005,"收入",资金台帐!$BH$6:$BH$3005,IF($B$6="全部","&gt;0",IFERROR(MATCH($B$6,基础资料!$B$5:$B$12,0),-1)),资金台帐!$N$6:$N$3005,"&gt;="&amp;DATE($E$6,1,1),资金台帐!$N$6:$N$3005,"&lt;"&amp;DATE($E$6+1,1,1)),2)</f>
        <v>302613.62</v>
      </c>
      <c r="B9" s="8">
        <f>ROUND(SUMIFS(资金台帐!$AB$6:$AB$3005,资金台帐!$U$6:$U$3005,"收入",资金台帐!$BH$6:$BH$3005,IF($B$6="全部","&gt;0",IFERROR(MATCH($B$6,基础资料!$B$5:$B$12,0),-1)),资金台帐!$N$6:$N$3005,"&gt;="&amp;DATE($E$6,1,1),资金台帐!$N$6:$N$3005,"&lt;"&amp;DATE($E$6+1,1,1))-SUMIFS(资金台帐!$AC$6:$AC$3005,资金台帐!$U$6:$U$3005,"收入",资金台帐!$BH$6:$BH$3005,IF($B$6="全部","&gt;0",IFERROR(MATCH($B$6,基础资料!$B$5:$B$12,0),-1)),资金台帐!$N$6:$N$3005,"&gt;="&amp;DATE($E$6,1,1),资金台帐!$N$6:$N$3005,"&lt;"&amp;DATE($E$6+1,1,1))-(SUMIFS(资金台帐!$AC$6:$AC$3005,资金台帐!$U$6:$U$3005,"变动成本",资金台帐!$BH$6:$BH$3005,IF($B$6="全部","&gt;0",IFERROR(MATCH($B$6,基础资料!$B$5:$B$12,0),-1)),资金台帐!$N$6:$N$3005,"&gt;="&amp;DATE($E$6,1,1),资金台帐!$N$6:$N$3005,"&lt;"&amp;DATE($E$6+1,1,1))-SUMIFS(资金台帐!$AB$6:$AB$3005,资金台帐!$U$6:$U$3005,"变动成本",资金台帐!$BH$6:$BH$3005,IF($B$6="全部","&gt;0",IFERROR(MATCH($B$6,基础资料!$B$5:$B$12,0),-1)),资金台帐!$N$6:$N$3005,"&gt;="&amp;DATE($E$6,1,1),资金台帐!$N$6:$N$3005,"&lt;"&amp;DATE($E$6+1,1,1))),2)</f>
        <v>232675.67</v>
      </c>
      <c r="C9" s="8">
        <f>ROUND(SUMIFS(资金台帐!$AB$6:$AB$3005,资金台帐!$U$6:$U$3005,"收入",资金台帐!$BH$6:$BH$3005,IF($B$6="全部","&gt;0",IFERROR(MATCH($B$6,基础资料!$B$5:$B$12,0),-1)),资金台帐!$N$6:$N$3005,"&gt;="&amp;DATE($E$6,1,1),资金台帐!$N$6:$N$3005,"&lt;"&amp;DATE($E$6+1,1,1))-SUMIFS(资金台帐!$AC$6:$AC$3005,资金台帐!$U$6:$U$3005,"收入",资金台帐!$BH$6:$BH$3005,IF($B$6="全部","&gt;0",IFERROR(MATCH($B$6,基础资料!$B$5:$B$12,0),-1)),资金台帐!$N$6:$N$3005,"&gt;="&amp;DATE($E$6,1,1),资金台帐!$N$6:$N$3005,"&lt;"&amp;DATE($E$6+1,1,1))-(SUMIFS(资金台帐!$AC$6:$AC$3005,资金台帐!$U$6:$U$3005,"变动成本",资金台帐!$BH$6:$BH$3005,IF($B$6="全部","&gt;0",IFERROR(MATCH($B$6,基础资料!$B$5:$B$12,0),-1)),资金台帐!$N$6:$N$3005,"&gt;="&amp;DATE($E$6,1,1),资金台帐!$N$6:$N$3005,"&lt;"&amp;DATE($E$6+1,1,1))-SUMIFS(资金台帐!$AB$6:$AB$3005,资金台帐!$U$6:$U$3005,"变动成本",资金台帐!$BH$6:$BH$3005,IF($B$6="全部","&gt;0",IFERROR(MATCH($B$6,基础资料!$B$5:$B$12,0),-1)),资金台帐!$N$6:$N$3005,"&gt;="&amp;DATE($E$6,1,1),资金台帐!$N$6:$N$3005,"&lt;"&amp;DATE($E$6+1,1,1)))-(SUMIFS(资金台帐!$AC$6:$AC$3005,资金台帐!$U$6:$U$3005,"固定成本",资金台帐!$BH$6:$BH$3005,IF($B$6="全部","&gt;0",IFERROR(MATCH($B$6,基础资料!$B$5:$B$12,0),-1)),资金台帐!$N$6:$N$3005,"&gt;="&amp;DATE($E$6,1,1),资金台帐!$N$6:$N$3005,"&lt;"&amp;DATE($E$6+1,1,1))-SUMIFS(资金台帐!$AB$6:$AB$3005,资金台帐!$U$6:$U$3005,"固定成本",资金台帐!$BH$6:$BH$3005,IF($B$6="全部","&gt;0",IFERROR(MATCH($B$6,基础资料!$B$5:$B$12,0),-1)),资金台帐!$N$6:$N$3005,"&gt;="&amp;DATE($E$6,1,1),资金台帐!$N$6:$N$3005,"&lt;"&amp;DATE($E$6+1,1,1))),2)</f>
        <v>232675.67</v>
      </c>
      <c r="D9" s="9">
        <f>COUNTIFS(资金台帐!$T$6:$T$3005,"新增",资金台帐!$AB$6:$AB$3005,"&gt;0",资金台帐!$BH$6:$BH$3005,IF($B$6="全部","&gt;0",IFERROR(MATCH($B$6,基础资料!$B$5:$B$12,0),-1)),资金台帐!$N$6:$N$3005,"&gt;="&amp;DATE($E$6,1,1),资金台帐!$N$6:$N$3005,"&lt;"&amp;DATE($E$6+1,1,1))</f>
        <v>21</v>
      </c>
      <c r="E9" s="8">
        <f>ROUND(SUMIFS(基础资料!$N$5:$N$24,基础资料!$J$5:$J$24,IF($B$6="全部","?*",$B$6))+SUMIFS(资金台帐!$AD$6:$AD$3005,资金台帐!$BH$6:$BH$3005,IF($B$6="全部","&gt;0",IFERROR(MATCH($B$6,基础资料!$B$5:$B$12,0),-1))),2)</f>
        <v>488916.86</v>
      </c>
      <c r="F9" s="8">
        <f>ROUND(SUMIF(应收应付汇总!$G$6:$G$606,"&gt;0"),2)</f>
        <v>81300</v>
      </c>
      <c r="G9" s="8">
        <f>ROUND(SUMIF(应收应付汇总!$K$6:$K$606,"&gt;0"),2)</f>
        <v>183.71</v>
      </c>
      <c r="H9" s="10">
        <f>COUNTIF(内部往来!$B$18:$I$25,"差*")/2+COUNTIF(内部往来!$C$39:$C$46,"✗*")</f>
        <v>2</v>
      </c>
    </row>
    <row r="10">
      <c r="A10" s="11" t="inlineStr">
        <is>
          <t>收入、利润、新增客户按上面选的公司和年份；资金余额是所选公司所有账户到现在；＊客户欠款、欠供应商按【应收应付汇总】里选的公司、年份（年底余额，只加正数）；内部往来对不上的看【内部往来】②和最下面。</t>
        </is>
      </c>
    </row>
    <row r="12">
      <c r="A12" s="12" t="inlineStr">
        <is>
          <t>表格导航（点表名直接跳过去）</t>
        </is>
      </c>
      <c r="B12" s="13" t="n"/>
      <c r="C12" s="13" t="n"/>
      <c r="D12" s="13" t="n"/>
      <c r="E12" s="13" t="n"/>
      <c r="F12" s="13" t="n"/>
      <c r="G12" s="13" t="n"/>
      <c r="H12" s="14" t="n"/>
    </row>
    <row r="13">
      <c r="A13" s="15" t="inlineStr">
        <is>
          <t>表名</t>
        </is>
      </c>
      <c r="B13" s="15" t="inlineStr">
        <is>
          <t>干什么的</t>
        </is>
      </c>
      <c r="C13" s="13" t="n"/>
      <c r="D13" s="13" t="n"/>
      <c r="E13" s="14" t="n"/>
      <c r="F13" s="15" t="inlineStr">
        <is>
          <t>你要做什么</t>
        </is>
      </c>
      <c r="G13" s="13" t="n"/>
      <c r="H13" s="14" t="n"/>
    </row>
    <row r="14" ht="30" customHeight="1">
      <c r="A14" s="16" t="inlineStr">
        <is>
          <t>收支汇总表</t>
        </is>
      </c>
      <c r="B14" s="17" t="inlineStr">
        <is>
          <t>「收支类型」× 1～12 月：收入、变动成本、变动利润、固定成本、利润</t>
        </is>
      </c>
      <c r="C14" s="18" t="n"/>
      <c r="D14" s="18" t="n"/>
      <c r="E14" s="18" t="n"/>
      <c r="F14" s="19" t="inlineStr">
        <is>
          <t>选公司、年份看</t>
        </is>
      </c>
      <c r="G14" s="18" t="n"/>
      <c r="H14" s="18" t="n"/>
    </row>
    <row r="15" ht="30" customHeight="1">
      <c r="A15" s="16" t="inlineStr">
        <is>
          <t>简易现金流量表</t>
        </is>
      </c>
      <c r="B15" s="17" t="inlineStr">
        <is>
          <t>业务口径的简易现金流量表（经营 / 投资 / 筹资往来），跟账户余额核对</t>
        </is>
      </c>
      <c r="C15" s="18" t="n"/>
      <c r="D15" s="18" t="n"/>
      <c r="E15" s="18" t="n"/>
      <c r="F15" s="19" t="inlineStr">
        <is>
          <t>选公司、年份看</t>
        </is>
      </c>
      <c r="G15" s="18" t="n"/>
      <c r="H15" s="18" t="n"/>
    </row>
    <row r="16" ht="30" customHeight="1">
      <c r="A16" s="16" t="inlineStr">
        <is>
          <t>资金余额表</t>
        </is>
      </c>
      <c r="B16" s="17" t="inlineStr">
        <is>
          <t>每个账户期初、收、支、期末，跟银行余额核对</t>
        </is>
      </c>
      <c r="C16" s="18" t="n"/>
      <c r="D16" s="18" t="n"/>
      <c r="E16" s="18" t="n"/>
      <c r="F16" s="19" t="inlineStr">
        <is>
          <t>选公司、起止日期看</t>
        </is>
      </c>
      <c r="G16" s="18" t="n"/>
      <c r="H16" s="18" t="n"/>
    </row>
    <row r="17" ht="30" customHeight="1">
      <c r="A17" s="16" t="inlineStr">
        <is>
          <t>费用统计</t>
        </is>
      </c>
      <c r="B17" s="17" t="inlineStr">
        <is>
          <t>收入、各项费用按公司对比</t>
        </is>
      </c>
      <c r="C17" s="18" t="n"/>
      <c r="D17" s="18" t="n"/>
      <c r="E17" s="18" t="n"/>
      <c r="F17" s="19" t="inlineStr">
        <is>
          <t>选年份、月份范围看</t>
        </is>
      </c>
      <c r="G17" s="18" t="n"/>
      <c r="H17" s="18" t="n"/>
    </row>
    <row r="18" ht="30" customHeight="1">
      <c r="A18" s="16" t="inlineStr">
        <is>
          <t>客户收入统计</t>
        </is>
      </c>
      <c r="B18" s="17" t="inlineStr">
        <is>
          <t>每月新增客户、新增/续费收入；每个客户首次来款、续费、应收</t>
        </is>
      </c>
      <c r="C18" s="18" t="n"/>
      <c r="D18" s="18" t="n"/>
      <c r="E18" s="18" t="n"/>
      <c r="F18" s="19" t="inlineStr">
        <is>
          <t>选公司、年份看</t>
        </is>
      </c>
      <c r="G18" s="18" t="n"/>
      <c r="H18" s="18" t="n"/>
    </row>
    <row r="19" ht="30" customHeight="1">
      <c r="A19" s="16" t="inlineStr">
        <is>
          <t>应收应付汇总</t>
        </is>
      </c>
      <c r="B19" s="17" t="inlineStr">
        <is>
          <t>每个往来单位的应收、应付、其他往来（借款押金）</t>
        </is>
      </c>
      <c r="C19" s="18" t="n"/>
      <c r="D19" s="18" t="n"/>
      <c r="E19" s="18" t="n"/>
      <c r="F19" s="19" t="inlineStr">
        <is>
          <t>选公司、年份看</t>
        </is>
      </c>
      <c r="G19" s="18" t="n"/>
      <c r="H19" s="18" t="n"/>
    </row>
    <row r="20" ht="30" customHeight="1">
      <c r="A20" s="16" t="inlineStr">
        <is>
          <t>往来对账单</t>
        </is>
      </c>
      <c r="B20" s="17" t="inlineStr">
        <is>
          <t>给某个客户/供应商的对账单：发票、收付款逐笔带余额</t>
        </is>
      </c>
      <c r="C20" s="18" t="n"/>
      <c r="D20" s="18" t="n"/>
      <c r="E20" s="18" t="n"/>
      <c r="F20" s="19" t="inlineStr">
        <is>
          <t>选公司、单位、起止日期</t>
        </is>
      </c>
      <c r="G20" s="18" t="n"/>
      <c r="H20" s="18" t="n"/>
    </row>
    <row r="21" ht="30" customHeight="1">
      <c r="A21" s="16" t="inlineStr">
        <is>
          <t>内部往来</t>
        </is>
      </c>
      <c r="B21" s="17" t="inlineStr">
        <is>
          <t>几家公司之间划转的钱谁欠谁、两边对不对得上；自家之间开的票</t>
        </is>
      </c>
      <c r="C21" s="18" t="n"/>
      <c r="D21" s="18" t="n"/>
      <c r="E21" s="18" t="n"/>
      <c r="F21" s="19" t="inlineStr">
        <is>
          <t>选截止日看</t>
        </is>
      </c>
      <c r="G21" s="18" t="n"/>
      <c r="H21" s="18" t="n"/>
    </row>
    <row r="22" ht="30" customHeight="1">
      <c r="A22" s="16" t="inlineStr">
        <is>
          <t>发票汇总</t>
        </is>
      </c>
      <c r="B22" s="17" t="inlineStr">
        <is>
          <t>每月销项、进项发票金额，对照同月收付款</t>
        </is>
      </c>
      <c r="C22" s="18" t="n"/>
      <c r="D22" s="18" t="n"/>
      <c r="E22" s="18" t="n"/>
      <c r="F22" s="19" t="inlineStr">
        <is>
          <t>选公司、年份看</t>
        </is>
      </c>
      <c r="G22" s="18" t="n"/>
      <c r="H22" s="18" t="n"/>
    </row>
  </sheetData>
  <mergeCells count="24">
    <mergeCell ref="F20:H20"/>
    <mergeCell ref="F21:H21"/>
    <mergeCell ref="F18:H18"/>
    <mergeCell ref="B15:E15"/>
    <mergeCell ref="F17:H17"/>
    <mergeCell ref="B20:E20"/>
    <mergeCell ref="A1:H1"/>
    <mergeCell ref="F22:H22"/>
    <mergeCell ref="F13:H13"/>
    <mergeCell ref="B16:E16"/>
    <mergeCell ref="B22:E22"/>
    <mergeCell ref="A12:H12"/>
    <mergeCell ref="B18:E18"/>
    <mergeCell ref="F14:H14"/>
    <mergeCell ref="A2:H2"/>
    <mergeCell ref="B21:E21"/>
    <mergeCell ref="B14:E14"/>
    <mergeCell ref="F16:H16"/>
    <mergeCell ref="B17:E17"/>
    <mergeCell ref="F19:H19"/>
    <mergeCell ref="B13:E13"/>
    <mergeCell ref="A10:H10"/>
    <mergeCell ref="B19:E19"/>
    <mergeCell ref="F15:H15"/>
  </mergeCells>
  <dataValidations count="2">
    <dataValidation sqref="B6" showDropDown="0" showInputMessage="0" showErrorMessage="0" allowBlank="1" type="list">
      <formula1>=_辅助!$A$1:$A$9</formula1>
    </dataValidation>
    <dataValidation sqref="E6" showDropDown="0" showInputMessage="0" showErrorMessage="0" allowBlank="1" type="list">
      <formula1>"2024,2025,2026,2027,2028,2029,2030"</formula1>
    </dataValidation>
  </dataValidations>
  <hyperlinks>
    <hyperlink ref="A14" location="'收支汇总表'!A1" display="收支汇总表"/>
    <hyperlink ref="A15" location="'简易现金流量表'!A1" display="简易现金流量表"/>
    <hyperlink ref="A16" location="'资金余额表'!A1" display="资金余额表"/>
    <hyperlink ref="A17" location="'费用统计'!A1" display="费用统计"/>
    <hyperlink ref="A18" location="'客户收入统计'!A1" display="客户收入统计"/>
    <hyperlink ref="A19" location="'应收应付汇总'!A1" display="应收应付汇总"/>
    <hyperlink ref="A20" location="'往来对账单'!A1" display="往来对账单"/>
    <hyperlink ref="A21" location="'内部往来'!A1" display="内部往来"/>
    <hyperlink ref="A22" location="'发票汇总'!A1" display="发票汇总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Q54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3" customWidth="1" min="15" max="15"/>
    <col width="8" customWidth="1" min="16" max="16"/>
    <col hidden="1" width="4" customWidth="1" min="17" max="17"/>
  </cols>
  <sheetData>
    <row r="1" ht="33" customHeight="1">
      <c r="A1" s="20" t="inlineStr">
        <is>
          <t>收 支 汇 总 表（收支类型 × 1～12 月 · 按资金台帐实收实付）</t>
        </is>
      </c>
    </row>
    <row r="2" ht="38" customHeight="1">
      <c r="A2" s="2" t="inlineStr">
        <is>
          <t>💡 选公司、年份。行就是「收支类型」：收入 → 变动成本 → 变动利润 → 固定成本 → 利润，下面是其他支出、实收资本、投资、往来。收入类＝收进来减退出去；成本费用类＝付出去减退回来。账户互转、内部公司之间划转不算收入支出（最下面单列）。</t>
        </is>
      </c>
    </row>
    <row r="3" ht="24" customHeight="1">
      <c r="B3" s="3" t="inlineStr">
        <is>
          <t>公司</t>
        </is>
      </c>
      <c r="C3" s="6" t="inlineStr">
        <is>
          <t>全部</t>
        </is>
      </c>
      <c r="E3" s="3" t="inlineStr">
        <is>
          <t>年份</t>
        </is>
      </c>
      <c r="F3" s="6" t="n">
        <v>2026</v>
      </c>
    </row>
    <row r="4" ht="34" customHeight="1">
      <c r="A4" s="21" t="inlineStr">
        <is>
          <t>收支类型</t>
        </is>
      </c>
      <c r="B4" s="21" t="inlineStr">
        <is>
          <t>项目</t>
        </is>
      </c>
      <c r="C4" s="21" t="inlineStr">
        <is>
          <t>1月</t>
        </is>
      </c>
      <c r="D4" s="21" t="inlineStr">
        <is>
          <t>2月</t>
        </is>
      </c>
      <c r="E4" s="21" t="inlineStr">
        <is>
          <t>3月</t>
        </is>
      </c>
      <c r="F4" s="21" t="inlineStr">
        <is>
          <t>4月</t>
        </is>
      </c>
      <c r="G4" s="21" t="inlineStr">
        <is>
          <t>5月</t>
        </is>
      </c>
      <c r="H4" s="21" t="inlineStr">
        <is>
          <t>6月</t>
        </is>
      </c>
      <c r="I4" s="21" t="inlineStr">
        <is>
          <t>7月</t>
        </is>
      </c>
      <c r="J4" s="21" t="inlineStr">
        <is>
          <t>8月</t>
        </is>
      </c>
      <c r="K4" s="21" t="inlineStr">
        <is>
          <t>9月</t>
        </is>
      </c>
      <c r="L4" s="21" t="inlineStr">
        <is>
          <t>10月</t>
        </is>
      </c>
      <c r="M4" s="21" t="inlineStr">
        <is>
          <t>11月</t>
        </is>
      </c>
      <c r="N4" s="21" t="inlineStr">
        <is>
          <t>12月</t>
        </is>
      </c>
      <c r="O4" s="21" t="inlineStr">
        <is>
          <t>全年合计</t>
        </is>
      </c>
      <c r="P4" s="21" t="inlineStr">
        <is>
          <t>占收入</t>
        </is>
      </c>
      <c r="Q4" s="22" t="inlineStr">
        <is>
          <t>项目名</t>
        </is>
      </c>
    </row>
    <row r="5">
      <c r="A5" s="23" t="inlineStr">
        <is>
          <t>收入</t>
        </is>
      </c>
      <c r="B5" s="24" t="str">
        <f>IF(基础资料!$W$5="",基础资料!$U$5&amp;"",基础资料!$W$5&amp;"")</f>
        <v>项目</v>
      </c>
      <c r="C5" s="25">
        <f t="shared" ref="C5:C14" si="0">ROUND(SUMIFS(资金台帐!$AD$6:$AD$3005,资金台帐!$T$6:$T$3005,$Q5,资金台帐!$U$6:$U$3005,"收入",资金台帐!$BH$6:$BH$3005,IF($C$3="全部","&gt;0",IFERROR(MATCH($C$3,基础资料!$B$5:$B$12,0),-1)),资金台帐!$BG$6:$BG$3005,$F$3*100+1),2)</f>
        <v>0</v>
      </c>
      <c r="D5" s="25">
        <f t="shared" ref="D5:D14" si="2">ROUND(SUMIFS(资金台帐!$AD$6:$AD$3005,资金台帐!$T$6:$T$3005,$Q5,资金台帐!$U$6:$U$3005,"收入",资金台帐!$BH$6:$BH$3005,IF($C$3="全部","&gt;0",IFERROR(MATCH($C$3,基础资料!$B$5:$B$12,0),-1)),资金台帐!$BG$6:$BG$3005,$F$3*100+2),2)</f>
        <v>0</v>
      </c>
      <c r="E5" s="25">
        <f t="shared" ref="E5:E14" si="4">ROUND(SUMIFS(资金台帐!$AD$6:$AD$3005,资金台帐!$T$6:$T$3005,$Q5,资金台帐!$U$6:$U$3005,"收入",资金台帐!$BH$6:$BH$3005,IF($C$3="全部","&gt;0",IFERROR(MATCH($C$3,基础资料!$B$5:$B$12,0),-1)),资金台帐!$BG$6:$BG$3005,$F$3*100+3),2)</f>
        <v>0</v>
      </c>
      <c r="F5" s="25">
        <f t="shared" ref="F5:F14" si="6">ROUND(SUMIFS(资金台帐!$AD$6:$AD$3005,资金台帐!$T$6:$T$3005,$Q5,资金台帐!$U$6:$U$3005,"收入",资金台帐!$BH$6:$BH$3005,IF($C$3="全部","&gt;0",IFERROR(MATCH($C$3,基础资料!$B$5:$B$12,0),-1)),资金台帐!$BG$6:$BG$3005,$F$3*100+4),2)</f>
        <v>0</v>
      </c>
      <c r="G5" s="25">
        <f t="shared" ref="G5:G14" si="8">ROUND(SUMIFS(资金台帐!$AD$6:$AD$3005,资金台帐!$T$6:$T$3005,$Q5,资金台帐!$U$6:$U$3005,"收入",资金台帐!$BH$6:$BH$3005,IF($C$3="全部","&gt;0",IFERROR(MATCH($C$3,基础资料!$B$5:$B$12,0),-1)),资金台帐!$BG$6:$BG$3005,$F$3*100+5),2)</f>
        <v>0</v>
      </c>
      <c r="H5" s="25">
        <f t="shared" ref="H5:H14" si="10">ROUND(SUMIFS(资金台帐!$AD$6:$AD$3005,资金台帐!$T$6:$T$3005,$Q5,资金台帐!$U$6:$U$3005,"收入",资金台帐!$BH$6:$BH$3005,IF($C$3="全部","&gt;0",IFERROR(MATCH($C$3,基础资料!$B$5:$B$12,0),-1)),资金台帐!$BG$6:$BG$3005,$F$3*100+6),2)</f>
        <v>0</v>
      </c>
      <c r="I5" s="25">
        <f t="shared" ref="I5:I14" si="12">ROUND(SUMIFS(资金台帐!$AD$6:$AD$3005,资金台帐!$T$6:$T$3005,$Q5,资金台帐!$U$6:$U$3005,"收入",资金台帐!$BH$6:$BH$3005,IF($C$3="全部","&gt;0",IFERROR(MATCH($C$3,基础资料!$B$5:$B$12,0),-1)),资金台帐!$BG$6:$BG$3005,$F$3*100+7),2)</f>
        <v>0</v>
      </c>
      <c r="J5" s="25">
        <f t="shared" ref="J5:J14" si="14">ROUND(SUMIFS(资金台帐!$AD$6:$AD$3005,资金台帐!$T$6:$T$3005,$Q5,资金台帐!$U$6:$U$3005,"收入",资金台帐!$BH$6:$BH$3005,IF($C$3="全部","&gt;0",IFERROR(MATCH($C$3,基础资料!$B$5:$B$12,0),-1)),资金台帐!$BG$6:$BG$3005,$F$3*100+8),2)</f>
        <v>0</v>
      </c>
      <c r="K5" s="25">
        <f t="shared" ref="K5:K14" si="16">ROUND(SUMIFS(资金台帐!$AD$6:$AD$3005,资金台帐!$T$6:$T$3005,$Q5,资金台帐!$U$6:$U$3005,"收入",资金台帐!$BH$6:$BH$3005,IF($C$3="全部","&gt;0",IFERROR(MATCH($C$3,基础资料!$B$5:$B$12,0),-1)),资金台帐!$BG$6:$BG$3005,$F$3*100+9),2)</f>
        <v>0</v>
      </c>
      <c r="L5" s="25">
        <f t="shared" ref="L5:L14" si="18">ROUND(SUMIFS(资金台帐!$AD$6:$AD$3005,资金台帐!$T$6:$T$3005,$Q5,资金台帐!$U$6:$U$3005,"收入",资金台帐!$BH$6:$BH$3005,IF($C$3="全部","&gt;0",IFERROR(MATCH($C$3,基础资料!$B$5:$B$12,0),-1)),资金台帐!$BG$6:$BG$3005,$F$3*100+10),2)</f>
        <v>0</v>
      </c>
      <c r="M5" s="25">
        <f t="shared" ref="M5:M14" si="20">ROUND(SUMIFS(资金台帐!$AD$6:$AD$3005,资金台帐!$T$6:$T$3005,$Q5,资金台帐!$U$6:$U$3005,"收入",资金台帐!$BH$6:$BH$3005,IF($C$3="全部","&gt;0",IFERROR(MATCH($C$3,基础资料!$B$5:$B$12,0),-1)),资金台帐!$BG$6:$BG$3005,$F$3*100+11),2)</f>
        <v>0</v>
      </c>
      <c r="N5" s="25">
        <f t="shared" ref="N5:N14" si="22">ROUND(SUMIFS(资金台帐!$AD$6:$AD$3005,资金台帐!$T$6:$T$3005,$Q5,资金台帐!$U$6:$U$3005,"收入",资金台帐!$BH$6:$BH$3005,IF($C$3="全部","&gt;0",IFERROR(MATCH($C$3,基础资料!$B$5:$B$12,0),-1)),资金台帐!$BG$6:$BG$3005,$F$3*100+12),2)</f>
        <v>0</v>
      </c>
      <c r="O5" s="26">
        <f t="shared" ref="O5:O15" si="24">ROUND(SUM(C5:N5),2)</f>
        <v>0</v>
      </c>
      <c r="P5" s="27">
        <f t="shared" ref="P5:P48" si="27">IF(N($O$16)=0,"",O5/$O$16)</f>
        <v>0</v>
      </c>
      <c r="Q5" s="22" t="str">
        <f>基础资料!$U$5&amp;""</f>
        <v>项目</v>
      </c>
    </row>
    <row r="6">
      <c r="A6" s="18" t="n"/>
      <c r="B6" s="24" t="str">
        <f>IF(基础资料!$W$6="",基础资料!$U$6&amp;"",基础资料!$W$6&amp;"")</f>
        <v>续费</v>
      </c>
      <c r="C6" s="25">
        <f t="shared" si="0"/>
        <v>0</v>
      </c>
      <c r="D6" s="25">
        <f t="shared" si="2"/>
        <v>0</v>
      </c>
      <c r="E6" s="25">
        <f t="shared" si="4"/>
        <v>0</v>
      </c>
      <c r="F6" s="25">
        <f t="shared" si="6"/>
        <v>0</v>
      </c>
      <c r="G6" s="25">
        <f t="shared" si="8"/>
        <v>0</v>
      </c>
      <c r="H6" s="25">
        <f t="shared" si="10"/>
        <v>0</v>
      </c>
      <c r="I6" s="25">
        <f t="shared" si="12"/>
        <v>0</v>
      </c>
      <c r="J6" s="25">
        <f t="shared" si="14"/>
        <v>0</v>
      </c>
      <c r="K6" s="25">
        <f t="shared" si="16"/>
        <v>0</v>
      </c>
      <c r="L6" s="25">
        <f t="shared" si="18"/>
        <v>0</v>
      </c>
      <c r="M6" s="25">
        <f t="shared" si="20"/>
        <v>0</v>
      </c>
      <c r="N6" s="25">
        <f t="shared" si="22"/>
        <v>0</v>
      </c>
      <c r="O6" s="26">
        <f t="shared" si="24"/>
        <v>0</v>
      </c>
      <c r="P6" s="27">
        <f t="shared" si="27"/>
        <v>0</v>
      </c>
      <c r="Q6" s="22" t="str">
        <f>基础资料!$U$6&amp;""</f>
        <v>续费</v>
      </c>
    </row>
    <row r="7">
      <c r="A7" s="18" t="n"/>
      <c r="B7" s="24" t="str">
        <f>IF(基础资料!$W$7="",基础资料!$U$7&amp;"",基础资料!$W$7&amp;"")</f>
        <v>新增</v>
      </c>
      <c r="C7" s="25">
        <f t="shared" si="0"/>
        <v>0</v>
      </c>
      <c r="D7" s="25">
        <f t="shared" si="2"/>
        <v>0</v>
      </c>
      <c r="E7" s="25">
        <f t="shared" si="4"/>
        <v>0</v>
      </c>
      <c r="F7" s="25">
        <f t="shared" si="6"/>
        <v>0</v>
      </c>
      <c r="G7" s="25">
        <f t="shared" si="8"/>
        <v>0</v>
      </c>
      <c r="H7" s="25">
        <f t="shared" si="10"/>
        <v>131600</v>
      </c>
      <c r="I7" s="25">
        <f t="shared" si="12"/>
        <v>0</v>
      </c>
      <c r="J7" s="25">
        <f t="shared" si="14"/>
        <v>0</v>
      </c>
      <c r="K7" s="25">
        <f t="shared" si="16"/>
        <v>171000</v>
      </c>
      <c r="L7" s="25">
        <f t="shared" si="18"/>
        <v>0</v>
      </c>
      <c r="M7" s="25">
        <f t="shared" si="20"/>
        <v>0</v>
      </c>
      <c r="N7" s="25">
        <f t="shared" si="22"/>
        <v>0</v>
      </c>
      <c r="O7" s="26">
        <f t="shared" si="24"/>
        <v>302600</v>
      </c>
      <c r="P7" s="27">
        <f t="shared" si="27"/>
        <v>0.999954992111723</v>
      </c>
      <c r="Q7" s="22" t="str">
        <f>基础资料!$U$7&amp;""</f>
        <v>新增</v>
      </c>
    </row>
    <row r="8">
      <c r="A8" s="18" t="n"/>
      <c r="B8" s="24" t="str">
        <f>IF(基础资料!$W$8="",基础资料!$U$8&amp;"",基础资料!$W$8&amp;"")</f>
        <v>代办</v>
      </c>
      <c r="C8" s="25">
        <f t="shared" si="0"/>
        <v>0</v>
      </c>
      <c r="D8" s="25">
        <f t="shared" si="2"/>
        <v>0</v>
      </c>
      <c r="E8" s="25">
        <f t="shared" si="4"/>
        <v>0</v>
      </c>
      <c r="F8" s="25">
        <f t="shared" si="6"/>
        <v>0</v>
      </c>
      <c r="G8" s="25">
        <f t="shared" si="8"/>
        <v>0</v>
      </c>
      <c r="H8" s="25">
        <f t="shared" si="10"/>
        <v>0</v>
      </c>
      <c r="I8" s="25">
        <f t="shared" si="12"/>
        <v>0</v>
      </c>
      <c r="J8" s="25">
        <f t="shared" si="14"/>
        <v>0</v>
      </c>
      <c r="K8" s="25">
        <f t="shared" si="16"/>
        <v>0</v>
      </c>
      <c r="L8" s="25">
        <f t="shared" si="18"/>
        <v>0</v>
      </c>
      <c r="M8" s="25">
        <f t="shared" si="20"/>
        <v>0</v>
      </c>
      <c r="N8" s="25">
        <f t="shared" si="22"/>
        <v>0</v>
      </c>
      <c r="O8" s="26">
        <f t="shared" si="24"/>
        <v>0</v>
      </c>
      <c r="P8" s="27">
        <f t="shared" si="27"/>
        <v>0</v>
      </c>
      <c r="Q8" s="22" t="str">
        <f>基础资料!$U$8&amp;""</f>
        <v>代办</v>
      </c>
    </row>
    <row r="9">
      <c r="A9" s="18" t="n"/>
      <c r="B9" s="24" t="str">
        <f>IF(基础资料!$W$9="",基础资料!$U$9&amp;"",基础资料!$W$9&amp;"")</f>
        <v>刻章</v>
      </c>
      <c r="C9" s="25">
        <f t="shared" si="0"/>
        <v>0</v>
      </c>
      <c r="D9" s="25">
        <f t="shared" si="2"/>
        <v>0</v>
      </c>
      <c r="E9" s="25">
        <f t="shared" si="4"/>
        <v>0</v>
      </c>
      <c r="F9" s="25">
        <f t="shared" si="6"/>
        <v>0</v>
      </c>
      <c r="G9" s="25">
        <f t="shared" si="8"/>
        <v>0</v>
      </c>
      <c r="H9" s="25">
        <f t="shared" si="10"/>
        <v>0</v>
      </c>
      <c r="I9" s="25">
        <f t="shared" si="12"/>
        <v>0</v>
      </c>
      <c r="J9" s="25">
        <f t="shared" si="14"/>
        <v>0</v>
      </c>
      <c r="K9" s="25">
        <f t="shared" si="16"/>
        <v>0</v>
      </c>
      <c r="L9" s="25">
        <f t="shared" si="18"/>
        <v>0</v>
      </c>
      <c r="M9" s="25">
        <f t="shared" si="20"/>
        <v>0</v>
      </c>
      <c r="N9" s="25">
        <f t="shared" si="22"/>
        <v>0</v>
      </c>
      <c r="O9" s="26">
        <f t="shared" si="24"/>
        <v>0</v>
      </c>
      <c r="P9" s="27">
        <f t="shared" si="27"/>
        <v>0</v>
      </c>
      <c r="Q9" s="22" t="str">
        <f>基础资料!$U$9&amp;""</f>
        <v>刻章</v>
      </c>
    </row>
    <row r="10">
      <c r="A10" s="18" t="n"/>
      <c r="B10" s="24" t="str">
        <f>IF(基础资料!$W$10="",基础资料!$U$10&amp;"",基础资料!$W$10&amp;"")</f>
        <v>场地</v>
      </c>
      <c r="C10" s="25">
        <f t="shared" si="0"/>
        <v>0</v>
      </c>
      <c r="D10" s="25">
        <f t="shared" si="2"/>
        <v>0</v>
      </c>
      <c r="E10" s="25">
        <f t="shared" si="4"/>
        <v>0</v>
      </c>
      <c r="F10" s="25">
        <f t="shared" si="6"/>
        <v>0</v>
      </c>
      <c r="G10" s="25">
        <f t="shared" si="8"/>
        <v>0</v>
      </c>
      <c r="H10" s="25">
        <f t="shared" si="10"/>
        <v>0</v>
      </c>
      <c r="I10" s="25">
        <f t="shared" si="12"/>
        <v>0</v>
      </c>
      <c r="J10" s="25">
        <f t="shared" si="14"/>
        <v>0</v>
      </c>
      <c r="K10" s="25">
        <f t="shared" si="16"/>
        <v>0</v>
      </c>
      <c r="L10" s="25">
        <f t="shared" si="18"/>
        <v>0</v>
      </c>
      <c r="M10" s="25">
        <f t="shared" si="20"/>
        <v>0</v>
      </c>
      <c r="N10" s="25">
        <f t="shared" si="22"/>
        <v>0</v>
      </c>
      <c r="O10" s="26">
        <f t="shared" si="24"/>
        <v>0</v>
      </c>
      <c r="P10" s="27">
        <f t="shared" si="27"/>
        <v>0</v>
      </c>
      <c r="Q10" s="22" t="str">
        <f>基础资料!$U$10&amp;""</f>
        <v>场地</v>
      </c>
    </row>
    <row r="11">
      <c r="A11" s="18" t="n"/>
      <c r="B11" s="24" t="str">
        <f>IF(基础资料!$W$11="",基础资料!$U$11&amp;"",基础资料!$W$11&amp;"")</f>
        <v>办证</v>
      </c>
      <c r="C11" s="25">
        <f t="shared" si="0"/>
        <v>0</v>
      </c>
      <c r="D11" s="25">
        <f t="shared" si="2"/>
        <v>0</v>
      </c>
      <c r="E11" s="25">
        <f t="shared" si="4"/>
        <v>0</v>
      </c>
      <c r="F11" s="25">
        <f t="shared" si="6"/>
        <v>0</v>
      </c>
      <c r="G11" s="25">
        <f t="shared" si="8"/>
        <v>0</v>
      </c>
      <c r="H11" s="25">
        <f t="shared" si="10"/>
        <v>0</v>
      </c>
      <c r="I11" s="25">
        <f t="shared" si="12"/>
        <v>0</v>
      </c>
      <c r="J11" s="25">
        <f t="shared" si="14"/>
        <v>0</v>
      </c>
      <c r="K11" s="25">
        <f t="shared" si="16"/>
        <v>0</v>
      </c>
      <c r="L11" s="25">
        <f t="shared" si="18"/>
        <v>0</v>
      </c>
      <c r="M11" s="25">
        <f t="shared" si="20"/>
        <v>0</v>
      </c>
      <c r="N11" s="25">
        <f t="shared" si="22"/>
        <v>0</v>
      </c>
      <c r="O11" s="26">
        <f t="shared" si="24"/>
        <v>0</v>
      </c>
      <c r="P11" s="27">
        <f t="shared" si="27"/>
        <v>0</v>
      </c>
      <c r="Q11" s="22" t="str">
        <f>基础资料!$U$11&amp;""</f>
        <v>办证</v>
      </c>
    </row>
    <row r="12">
      <c r="A12" s="18" t="n"/>
      <c r="B12" s="24" t="str">
        <f>IF(基础资料!$W$12="",基础资料!$U$12&amp;"",基础资料!$W$12&amp;"")</f>
        <v>转介绍</v>
      </c>
      <c r="C12" s="25">
        <f t="shared" si="0"/>
        <v>0</v>
      </c>
      <c r="D12" s="25">
        <f t="shared" si="2"/>
        <v>0</v>
      </c>
      <c r="E12" s="25">
        <f t="shared" si="4"/>
        <v>0</v>
      </c>
      <c r="F12" s="25">
        <f t="shared" si="6"/>
        <v>0</v>
      </c>
      <c r="G12" s="25">
        <f t="shared" si="8"/>
        <v>0</v>
      </c>
      <c r="H12" s="25">
        <f t="shared" si="10"/>
        <v>0</v>
      </c>
      <c r="I12" s="25">
        <f t="shared" si="12"/>
        <v>0</v>
      </c>
      <c r="J12" s="25">
        <f t="shared" si="14"/>
        <v>0</v>
      </c>
      <c r="K12" s="25">
        <f t="shared" si="16"/>
        <v>0</v>
      </c>
      <c r="L12" s="25">
        <f t="shared" si="18"/>
        <v>0</v>
      </c>
      <c r="M12" s="25">
        <f t="shared" si="20"/>
        <v>0</v>
      </c>
      <c r="N12" s="25">
        <f t="shared" si="22"/>
        <v>0</v>
      </c>
      <c r="O12" s="26">
        <f t="shared" si="24"/>
        <v>0</v>
      </c>
      <c r="P12" s="27">
        <f t="shared" si="27"/>
        <v>0</v>
      </c>
      <c r="Q12" s="22" t="str">
        <f>基础资料!$U$12&amp;""</f>
        <v>转介绍</v>
      </c>
    </row>
    <row r="13">
      <c r="A13" s="18" t="n"/>
      <c r="B13" s="24" t="str">
        <f>IF(基础资料!$W$13="",基础资料!$U$13&amp;"",基础资料!$W$13&amp;"")</f>
        <v>园区返税</v>
      </c>
      <c r="C13" s="25">
        <f t="shared" si="0"/>
        <v>0</v>
      </c>
      <c r="D13" s="25">
        <f t="shared" si="2"/>
        <v>0</v>
      </c>
      <c r="E13" s="25">
        <f t="shared" si="4"/>
        <v>0</v>
      </c>
      <c r="F13" s="25">
        <f t="shared" si="6"/>
        <v>0</v>
      </c>
      <c r="G13" s="25">
        <f t="shared" si="8"/>
        <v>0</v>
      </c>
      <c r="H13" s="25">
        <f t="shared" si="10"/>
        <v>0</v>
      </c>
      <c r="I13" s="25">
        <f t="shared" si="12"/>
        <v>0</v>
      </c>
      <c r="J13" s="25">
        <f t="shared" si="14"/>
        <v>0</v>
      </c>
      <c r="K13" s="25">
        <f t="shared" si="16"/>
        <v>0</v>
      </c>
      <c r="L13" s="25">
        <f t="shared" si="18"/>
        <v>0</v>
      </c>
      <c r="M13" s="25">
        <f t="shared" si="20"/>
        <v>0</v>
      </c>
      <c r="N13" s="25">
        <f t="shared" si="22"/>
        <v>0</v>
      </c>
      <c r="O13" s="26">
        <f t="shared" si="24"/>
        <v>0</v>
      </c>
      <c r="P13" s="27">
        <f t="shared" si="27"/>
        <v>0</v>
      </c>
      <c r="Q13" s="22" t="str">
        <f>基础资料!$U$13&amp;""</f>
        <v>园区返税</v>
      </c>
    </row>
    <row r="14">
      <c r="A14" s="18" t="n"/>
      <c r="B14" s="24" t="str">
        <f>IF(基础资料!$W$14="",基础资料!$U$14&amp;"",基础资料!$W$14&amp;"")</f>
        <v>咨询服务</v>
      </c>
      <c r="C14" s="25">
        <f t="shared" si="0"/>
        <v>0</v>
      </c>
      <c r="D14" s="25">
        <f t="shared" si="2"/>
        <v>0</v>
      </c>
      <c r="E14" s="25">
        <f t="shared" si="4"/>
        <v>0</v>
      </c>
      <c r="F14" s="25">
        <f t="shared" si="6"/>
        <v>0</v>
      </c>
      <c r="G14" s="25">
        <f t="shared" si="8"/>
        <v>0</v>
      </c>
      <c r="H14" s="25">
        <f t="shared" si="10"/>
        <v>0</v>
      </c>
      <c r="I14" s="25">
        <f t="shared" si="12"/>
        <v>0</v>
      </c>
      <c r="J14" s="25">
        <f t="shared" si="14"/>
        <v>0</v>
      </c>
      <c r="K14" s="25">
        <f t="shared" si="16"/>
        <v>0</v>
      </c>
      <c r="L14" s="25">
        <f t="shared" si="18"/>
        <v>0</v>
      </c>
      <c r="M14" s="25">
        <f t="shared" si="20"/>
        <v>0</v>
      </c>
      <c r="N14" s="25">
        <f t="shared" si="22"/>
        <v>0</v>
      </c>
      <c r="O14" s="26">
        <f t="shared" si="24"/>
        <v>0</v>
      </c>
      <c r="P14" s="27">
        <f t="shared" si="27"/>
        <v>0</v>
      </c>
      <c r="Q14" s="22" t="str">
        <f>基础资料!$U$14&amp;""</f>
        <v>咨询服务</v>
      </c>
    </row>
    <row r="15">
      <c r="A15" s="18" t="n"/>
      <c r="B15" s="24" t="str">
        <f>IF(COUNTIFS(基础资料!$V$5:$V$64,"收入",基础资料!$U$5:$U$64,"?*")&gt;11,"其他（含新加项目）","其他")</f>
        <v>其他</v>
      </c>
      <c r="C15" s="25">
        <f>ROUND(SUMIFS(资金台帐!$AD$6:$AD$3005,资金台帐!$U$6:$U$3005,"收入",资金台帐!$BH$6:$BH$3005,IF($C$3="全部","&gt;0",IFERROR(MATCH($C$3,基础资料!$B$5:$B$12,0),-1)),资金台帐!$BG$6:$BG$3005,$F$3*100+1)-SUM(C5:C14),2)</f>
        <v>0</v>
      </c>
      <c r="D15" s="25">
        <f>ROUND(SUMIFS(资金台帐!$AD$6:$AD$3005,资金台帐!$U$6:$U$3005,"收入",资金台帐!$BH$6:$BH$3005,IF($C$3="全部","&gt;0",IFERROR(MATCH($C$3,基础资料!$B$5:$B$12,0),-1)),资金台帐!$BG$6:$BG$3005,$F$3*100+2)-SUM(D5:D14),2)</f>
        <v>0</v>
      </c>
      <c r="E15" s="25">
        <f>ROUND(SUMIFS(资金台帐!$AD$6:$AD$3005,资金台帐!$U$6:$U$3005,"收入",资金台帐!$BH$6:$BH$3005,IF($C$3="全部","&gt;0",IFERROR(MATCH($C$3,基础资料!$B$5:$B$12,0),-1)),资金台帐!$BG$6:$BG$3005,$F$3*100+3)-SUM(E5:E14),2)</f>
        <v>0</v>
      </c>
      <c r="F15" s="25">
        <f>ROUND(SUMIFS(资金台帐!$AD$6:$AD$3005,资金台帐!$U$6:$U$3005,"收入",资金台帐!$BH$6:$BH$3005,IF($C$3="全部","&gt;0",IFERROR(MATCH($C$3,基础资料!$B$5:$B$12,0),-1)),资金台帐!$BG$6:$BG$3005,$F$3*100+4)-SUM(F5:F14),2)</f>
        <v>0</v>
      </c>
      <c r="G15" s="25">
        <f>ROUND(SUMIFS(资金台帐!$AD$6:$AD$3005,资金台帐!$U$6:$U$3005,"收入",资金台帐!$BH$6:$BH$3005,IF($C$3="全部","&gt;0",IFERROR(MATCH($C$3,基础资料!$B$5:$B$12,0),-1)),资金台帐!$BG$6:$BG$3005,$F$3*100+5)-SUM(G5:G14),2)</f>
        <v>0</v>
      </c>
      <c r="H15" s="25">
        <f>ROUND(SUMIFS(资金台帐!$AD$6:$AD$3005,资金台帐!$U$6:$U$3005,"收入",资金台帐!$BH$6:$BH$3005,IF($C$3="全部","&gt;0",IFERROR(MATCH($C$3,基础资料!$B$5:$B$12,0),-1)),资金台帐!$BG$6:$BG$3005,$F$3*100+6)-SUM(H5:H14),2)</f>
        <v>13.62</v>
      </c>
      <c r="I15" s="25">
        <f>ROUND(SUMIFS(资金台帐!$AD$6:$AD$3005,资金台帐!$U$6:$U$3005,"收入",资金台帐!$BH$6:$BH$3005,IF($C$3="全部","&gt;0",IFERROR(MATCH($C$3,基础资料!$B$5:$B$12,0),-1)),资金台帐!$BG$6:$BG$3005,$F$3*100+7)-SUM(I5:I14),2)</f>
        <v>0</v>
      </c>
      <c r="J15" s="25">
        <f>ROUND(SUMIFS(资金台帐!$AD$6:$AD$3005,资金台帐!$U$6:$U$3005,"收入",资金台帐!$BH$6:$BH$3005,IF($C$3="全部","&gt;0",IFERROR(MATCH($C$3,基础资料!$B$5:$B$12,0),-1)),资金台帐!$BG$6:$BG$3005,$F$3*100+8)-SUM(J5:J14),2)</f>
        <v>0</v>
      </c>
      <c r="K15" s="25">
        <f>ROUND(SUMIFS(资金台帐!$AD$6:$AD$3005,资金台帐!$U$6:$U$3005,"收入",资金台帐!$BH$6:$BH$3005,IF($C$3="全部","&gt;0",IFERROR(MATCH($C$3,基础资料!$B$5:$B$12,0),-1)),资金台帐!$BG$6:$BG$3005,$F$3*100+9)-SUM(K5:K14),2)</f>
        <v>0</v>
      </c>
      <c r="L15" s="25">
        <f>ROUND(SUMIFS(资金台帐!$AD$6:$AD$3005,资金台帐!$U$6:$U$3005,"收入",资金台帐!$BH$6:$BH$3005,IF($C$3="全部","&gt;0",IFERROR(MATCH($C$3,基础资料!$B$5:$B$12,0),-1)),资金台帐!$BG$6:$BG$3005,$F$3*100+10)-SUM(L5:L14),2)</f>
        <v>0</v>
      </c>
      <c r="M15" s="25">
        <f>ROUND(SUMIFS(资金台帐!$AD$6:$AD$3005,资金台帐!$U$6:$U$3005,"收入",资金台帐!$BH$6:$BH$3005,IF($C$3="全部","&gt;0",IFERROR(MATCH($C$3,基础资料!$B$5:$B$12,0),-1)),资金台帐!$BG$6:$BG$3005,$F$3*100+11)-SUM(M5:M14),2)</f>
        <v>0</v>
      </c>
      <c r="N15" s="25">
        <f>ROUND(SUMIFS(资金台帐!$AD$6:$AD$3005,资金台帐!$U$6:$U$3005,"收入",资金台帐!$BH$6:$BH$3005,IF($C$3="全部","&gt;0",IFERROR(MATCH($C$3,基础资料!$B$5:$B$12,0),-1)),资金台帐!$BG$6:$BG$3005,$F$3*100+12)-SUM(N5:N14),2)</f>
        <v>0</v>
      </c>
      <c r="O15" s="26">
        <f t="shared" si="24"/>
        <v>13.62</v>
      </c>
      <c r="P15" s="27">
        <f t="shared" si="27"/>
        <v>4.50078882768066e-05</v>
      </c>
      <c r="Q15" s="22" t="str">
        <f>基础资料!$U$15&amp;""</f>
        <v>其他收入</v>
      </c>
    </row>
    <row r="16">
      <c r="A16" s="18" t="n"/>
      <c r="B16" s="28" t="inlineStr">
        <is>
          <t>小计</t>
        </is>
      </c>
      <c r="C16" s="29">
        <f>ROUND(SUM(C5:C15),2)</f>
        <v>0</v>
      </c>
      <c r="D16" s="29">
        <f>ROUND(SUM(D5:D15),2)</f>
        <v>0</v>
      </c>
      <c r="E16" s="29">
        <f>ROUND(SUM(E5:E15),2)</f>
        <v>0</v>
      </c>
      <c r="F16" s="29">
        <f>ROUND(SUM(F5:F15),2)</f>
        <v>0</v>
      </c>
      <c r="G16" s="29">
        <f>ROUND(SUM(G5:G15),2)</f>
        <v>0</v>
      </c>
      <c r="H16" s="29">
        <f>ROUND(SUM(H5:H15),2)</f>
        <v>131613.62</v>
      </c>
      <c r="I16" s="29">
        <f>ROUND(SUM(I5:I15),2)</f>
        <v>0</v>
      </c>
      <c r="J16" s="29">
        <f>ROUND(SUM(J5:J15),2)</f>
        <v>0</v>
      </c>
      <c r="K16" s="29">
        <f>ROUND(SUM(K5:K15),2)</f>
        <v>171000</v>
      </c>
      <c r="L16" s="29">
        <f>ROUND(SUM(L5:L15),2)</f>
        <v>0</v>
      </c>
      <c r="M16" s="29">
        <f>ROUND(SUM(M5:M15),2)</f>
        <v>0</v>
      </c>
      <c r="N16" s="29">
        <f>ROUND(SUM(N5:N15),2)</f>
        <v>0</v>
      </c>
      <c r="O16" s="29">
        <f>ROUND(SUM(O5:O15),2)</f>
        <v>302613.62</v>
      </c>
      <c r="P16" s="27">
        <f t="shared" si="27"/>
        <v>1</v>
      </c>
    </row>
    <row r="17">
      <c r="A17" s="30" t="inlineStr">
        <is>
          <t>变动成本</t>
        </is>
      </c>
      <c r="B17" s="31" t="str">
        <f>IF(基础资料!$W$16="",基础资料!$U$16&amp;"",基础资料!$W$16&amp;"")</f>
        <v>人工-工资</v>
      </c>
      <c r="C17" s="32">
        <f t="shared" ref="C17:C32" si="1">ROUND(-SUMIFS(资金台帐!$AD$6:$AD$3005,资金台帐!$T$6:$T$3005,$Q17,资金台帐!$U$6:$U$3005,"变动成本",资金台帐!$BH$6:$BH$3005,IF($C$3="全部","&gt;0",IFERROR(MATCH($C$3,基础资料!$B$5:$B$12,0),-1)),资金台帐!$BG$6:$BG$3005,$F$3*100+1),2)</f>
        <v>0</v>
      </c>
      <c r="D17" s="32">
        <f t="shared" ref="D17:D32" si="3">ROUND(-SUMIFS(资金台帐!$AD$6:$AD$3005,资金台帐!$T$6:$T$3005,$Q17,资金台帐!$U$6:$U$3005,"变动成本",资金台帐!$BH$6:$BH$3005,IF($C$3="全部","&gt;0",IFERROR(MATCH($C$3,基础资料!$B$5:$B$12,0),-1)),资金台帐!$BG$6:$BG$3005,$F$3*100+2),2)</f>
        <v>0</v>
      </c>
      <c r="E17" s="32">
        <f t="shared" ref="E17:E32" si="5">ROUND(-SUMIFS(资金台帐!$AD$6:$AD$3005,资金台帐!$T$6:$T$3005,$Q17,资金台帐!$U$6:$U$3005,"变动成本",资金台帐!$BH$6:$BH$3005,IF($C$3="全部","&gt;0",IFERROR(MATCH($C$3,基础资料!$B$5:$B$12,0),-1)),资金台帐!$BG$6:$BG$3005,$F$3*100+3),2)</f>
        <v>0</v>
      </c>
      <c r="F17" s="32">
        <f t="shared" ref="F17:F32" si="7">ROUND(-SUMIFS(资金台帐!$AD$6:$AD$3005,资金台帐!$T$6:$T$3005,$Q17,资金台帐!$U$6:$U$3005,"变动成本",资金台帐!$BH$6:$BH$3005,IF($C$3="全部","&gt;0",IFERROR(MATCH($C$3,基础资料!$B$5:$B$12,0),-1)),资金台帐!$BG$6:$BG$3005,$F$3*100+4),2)</f>
        <v>0</v>
      </c>
      <c r="G17" s="32">
        <f t="shared" ref="G17:G32" si="9">ROUND(-SUMIFS(资金台帐!$AD$6:$AD$3005,资金台帐!$T$6:$T$3005,$Q17,资金台帐!$U$6:$U$3005,"变动成本",资金台帐!$BH$6:$BH$3005,IF($C$3="全部","&gt;0",IFERROR(MATCH($C$3,基础资料!$B$5:$B$12,0),-1)),资金台帐!$BG$6:$BG$3005,$F$3*100+5),2)</f>
        <v>0</v>
      </c>
      <c r="H17" s="32">
        <f t="shared" ref="H17:H32" si="11">ROUND(-SUMIFS(资金台帐!$AD$6:$AD$3005,资金台帐!$T$6:$T$3005,$Q17,资金台帐!$U$6:$U$3005,"变动成本",资金台帐!$BH$6:$BH$3005,IF($C$3="全部","&gt;0",IFERROR(MATCH($C$3,基础资料!$B$5:$B$12,0),-1)),资金台帐!$BG$6:$BG$3005,$F$3*100+6),2)</f>
        <v>18774.82</v>
      </c>
      <c r="I17" s="32">
        <f t="shared" ref="I17:I32" si="13">ROUND(-SUMIFS(资金台帐!$AD$6:$AD$3005,资金台帐!$T$6:$T$3005,$Q17,资金台帐!$U$6:$U$3005,"变动成本",资金台帐!$BH$6:$BH$3005,IF($C$3="全部","&gt;0",IFERROR(MATCH($C$3,基础资料!$B$5:$B$12,0),-1)),资金台帐!$BG$6:$BG$3005,$F$3*100+7),2)</f>
        <v>1101.45</v>
      </c>
      <c r="J17" s="32">
        <f t="shared" ref="J17:J32" si="15">ROUND(-SUMIFS(资金台帐!$AD$6:$AD$3005,资金台帐!$T$6:$T$3005,$Q17,资金台帐!$U$6:$U$3005,"变动成本",资金台帐!$BH$6:$BH$3005,IF($C$3="全部","&gt;0",IFERROR(MATCH($C$3,基础资料!$B$5:$B$12,0),-1)),资金台帐!$BG$6:$BG$3005,$F$3*100+8),2)</f>
        <v>0</v>
      </c>
      <c r="K17" s="32">
        <f t="shared" ref="K17:K32" si="17">ROUND(-SUMIFS(资金台帐!$AD$6:$AD$3005,资金台帐!$T$6:$T$3005,$Q17,资金台帐!$U$6:$U$3005,"变动成本",资金台帐!$BH$6:$BH$3005,IF($C$3="全部","&gt;0",IFERROR(MATCH($C$3,基础资料!$B$5:$B$12,0),-1)),资金台帐!$BG$6:$BG$3005,$F$3*100+9),2)</f>
        <v>0</v>
      </c>
      <c r="L17" s="32">
        <f t="shared" ref="L17:L32" si="19">ROUND(-SUMIFS(资金台帐!$AD$6:$AD$3005,资金台帐!$T$6:$T$3005,$Q17,资金台帐!$U$6:$U$3005,"变动成本",资金台帐!$BH$6:$BH$3005,IF($C$3="全部","&gt;0",IFERROR(MATCH($C$3,基础资料!$B$5:$B$12,0),-1)),资金台帐!$BG$6:$BG$3005,$F$3*100+10),2)</f>
        <v>0</v>
      </c>
      <c r="M17" s="32">
        <f t="shared" ref="M17:M32" si="21">ROUND(-SUMIFS(资金台帐!$AD$6:$AD$3005,资金台帐!$T$6:$T$3005,$Q17,资金台帐!$U$6:$U$3005,"变动成本",资金台帐!$BH$6:$BH$3005,IF($C$3="全部","&gt;0",IFERROR(MATCH($C$3,基础资料!$B$5:$B$12,0),-1)),资金台帐!$BG$6:$BG$3005,$F$3*100+11),2)</f>
        <v>0</v>
      </c>
      <c r="N17" s="32">
        <f t="shared" ref="N17:N32" si="23">ROUND(-SUMIFS(资金台帐!$AD$6:$AD$3005,资金台帐!$T$6:$T$3005,$Q17,资金台帐!$U$6:$U$3005,"变动成本",资金台帐!$BH$6:$BH$3005,IF($C$3="全部","&gt;0",IFERROR(MATCH($C$3,基础资料!$B$5:$B$12,0),-1)),资金台帐!$BG$6:$BG$3005,$F$3*100+12),2)</f>
        <v>0</v>
      </c>
      <c r="O17" s="33">
        <f t="shared" ref="O17:O33" si="25">ROUND(SUM(C17:N17),2)</f>
        <v>19876.27</v>
      </c>
      <c r="P17" s="27">
        <f t="shared" si="27"/>
        <v>0.0656820073068754</v>
      </c>
      <c r="Q17" s="22" t="str">
        <f>基础资料!$U$16&amp;""</f>
        <v>人工-工资</v>
      </c>
    </row>
    <row r="18">
      <c r="A18" s="18" t="n"/>
      <c r="B18" s="31" t="str">
        <f>IF(基础资料!$W$17="",基础资料!$U$17&amp;"",基础资料!$W$17&amp;"")</f>
        <v>人工-社保</v>
      </c>
      <c r="C18" s="32">
        <f t="shared" si="1"/>
        <v>0</v>
      </c>
      <c r="D18" s="32">
        <f t="shared" si="3"/>
        <v>0</v>
      </c>
      <c r="E18" s="32">
        <f t="shared" si="5"/>
        <v>0</v>
      </c>
      <c r="F18" s="32">
        <f t="shared" si="7"/>
        <v>0</v>
      </c>
      <c r="G18" s="32">
        <f t="shared" si="9"/>
        <v>0</v>
      </c>
      <c r="H18" s="32">
        <f t="shared" si="11"/>
        <v>16857.94</v>
      </c>
      <c r="I18" s="32">
        <f t="shared" si="13"/>
        <v>0</v>
      </c>
      <c r="J18" s="32">
        <f t="shared" si="15"/>
        <v>0</v>
      </c>
      <c r="K18" s="32">
        <f t="shared" si="17"/>
        <v>0</v>
      </c>
      <c r="L18" s="32">
        <f t="shared" si="19"/>
        <v>0</v>
      </c>
      <c r="M18" s="32">
        <f t="shared" si="21"/>
        <v>0</v>
      </c>
      <c r="N18" s="32">
        <f t="shared" si="23"/>
        <v>0</v>
      </c>
      <c r="O18" s="33">
        <f t="shared" si="25"/>
        <v>16857.94</v>
      </c>
      <c r="P18" s="27">
        <f t="shared" si="27"/>
        <v>0.0557078032376732</v>
      </c>
      <c r="Q18" s="22" t="str">
        <f>基础资料!$U$17&amp;""</f>
        <v>人工-社保</v>
      </c>
    </row>
    <row r="19">
      <c r="A19" s="18" t="n"/>
      <c r="B19" s="31" t="str">
        <f>IF(基础资料!$W$18="",基础资料!$U$18&amp;"",基础资料!$W$18&amp;"")</f>
        <v>人工-福利</v>
      </c>
      <c r="C19" s="32">
        <f t="shared" si="1"/>
        <v>0</v>
      </c>
      <c r="D19" s="32">
        <f t="shared" si="3"/>
        <v>0</v>
      </c>
      <c r="E19" s="32">
        <f t="shared" si="5"/>
        <v>0</v>
      </c>
      <c r="F19" s="32">
        <f t="shared" si="7"/>
        <v>0</v>
      </c>
      <c r="G19" s="32">
        <f t="shared" si="9"/>
        <v>0</v>
      </c>
      <c r="H19" s="32">
        <f t="shared" si="11"/>
        <v>0</v>
      </c>
      <c r="I19" s="32">
        <f t="shared" si="13"/>
        <v>0</v>
      </c>
      <c r="J19" s="32">
        <f t="shared" si="15"/>
        <v>0</v>
      </c>
      <c r="K19" s="32">
        <f t="shared" si="17"/>
        <v>0</v>
      </c>
      <c r="L19" s="32">
        <f t="shared" si="19"/>
        <v>0</v>
      </c>
      <c r="M19" s="32">
        <f t="shared" si="21"/>
        <v>0</v>
      </c>
      <c r="N19" s="32">
        <f t="shared" si="23"/>
        <v>0</v>
      </c>
      <c r="O19" s="33">
        <f t="shared" si="25"/>
        <v>0</v>
      </c>
      <c r="P19" s="27">
        <f t="shared" si="27"/>
        <v>0</v>
      </c>
      <c r="Q19" s="22" t="str">
        <f>基础资料!$U$18&amp;""</f>
        <v>人工-福利</v>
      </c>
    </row>
    <row r="20">
      <c r="A20" s="18" t="n"/>
      <c r="B20" s="31" t="str">
        <f>IF(基础资料!$W$19="",基础资料!$U$19&amp;"",基础资料!$W$19&amp;"")</f>
        <v>税金</v>
      </c>
      <c r="C20" s="32">
        <f t="shared" si="1"/>
        <v>0</v>
      </c>
      <c r="D20" s="32">
        <f t="shared" si="3"/>
        <v>0</v>
      </c>
      <c r="E20" s="32">
        <f t="shared" si="5"/>
        <v>0</v>
      </c>
      <c r="F20" s="32">
        <f t="shared" si="7"/>
        <v>0</v>
      </c>
      <c r="G20" s="32">
        <f t="shared" si="9"/>
        <v>18.75</v>
      </c>
      <c r="H20" s="32">
        <f t="shared" si="11"/>
        <v>5350</v>
      </c>
      <c r="I20" s="32">
        <f t="shared" si="13"/>
        <v>1789.97</v>
      </c>
      <c r="J20" s="32">
        <f t="shared" si="15"/>
        <v>1789.97</v>
      </c>
      <c r="K20" s="32">
        <f t="shared" si="17"/>
        <v>23950.74</v>
      </c>
      <c r="L20" s="32">
        <f t="shared" si="19"/>
        <v>0</v>
      </c>
      <c r="M20" s="32">
        <f t="shared" si="21"/>
        <v>0</v>
      </c>
      <c r="N20" s="32">
        <f t="shared" si="23"/>
        <v>0</v>
      </c>
      <c r="O20" s="33">
        <f t="shared" si="25"/>
        <v>32899.43</v>
      </c>
      <c r="P20" s="27">
        <f t="shared" si="27"/>
        <v>0.108717611586683</v>
      </c>
      <c r="Q20" s="22" t="str">
        <f>基础资料!$U$19&amp;""</f>
        <v>税金</v>
      </c>
    </row>
    <row r="21">
      <c r="A21" s="18" t="n"/>
      <c r="B21" s="31" t="str">
        <f>IF(基础资料!$W$20="",基础资料!$U$20&amp;"",基础资料!$W$20&amp;"")</f>
        <v>差旅费</v>
      </c>
      <c r="C21" s="32">
        <f t="shared" si="1"/>
        <v>0</v>
      </c>
      <c r="D21" s="32">
        <f t="shared" si="3"/>
        <v>0</v>
      </c>
      <c r="E21" s="32">
        <f t="shared" si="5"/>
        <v>0</v>
      </c>
      <c r="F21" s="32">
        <f t="shared" si="7"/>
        <v>0</v>
      </c>
      <c r="G21" s="32">
        <f t="shared" si="9"/>
        <v>0</v>
      </c>
      <c r="H21" s="32">
        <f t="shared" si="11"/>
        <v>0</v>
      </c>
      <c r="I21" s="32">
        <f t="shared" si="13"/>
        <v>0</v>
      </c>
      <c r="J21" s="32">
        <f t="shared" si="15"/>
        <v>0</v>
      </c>
      <c r="K21" s="32">
        <f t="shared" si="17"/>
        <v>0</v>
      </c>
      <c r="L21" s="32">
        <f t="shared" si="19"/>
        <v>0</v>
      </c>
      <c r="M21" s="32">
        <f t="shared" si="21"/>
        <v>0</v>
      </c>
      <c r="N21" s="32">
        <f t="shared" si="23"/>
        <v>0</v>
      </c>
      <c r="O21" s="33">
        <f t="shared" si="25"/>
        <v>0</v>
      </c>
      <c r="P21" s="27">
        <f t="shared" si="27"/>
        <v>0</v>
      </c>
      <c r="Q21" s="22" t="str">
        <f>基础资料!$U$20&amp;""</f>
        <v>差旅费</v>
      </c>
    </row>
    <row r="22">
      <c r="A22" s="18" t="n"/>
      <c r="B22" s="31" t="str">
        <f>IF(基础资料!$W$21="",基础资料!$U$21&amp;"",基础资料!$W$21&amp;"")</f>
        <v>培训费</v>
      </c>
      <c r="C22" s="32">
        <f t="shared" si="1"/>
        <v>0</v>
      </c>
      <c r="D22" s="32">
        <f t="shared" si="3"/>
        <v>0</v>
      </c>
      <c r="E22" s="32">
        <f t="shared" si="5"/>
        <v>0</v>
      </c>
      <c r="F22" s="32">
        <f t="shared" si="7"/>
        <v>0</v>
      </c>
      <c r="G22" s="32">
        <f t="shared" si="9"/>
        <v>0</v>
      </c>
      <c r="H22" s="32">
        <f t="shared" si="11"/>
        <v>0</v>
      </c>
      <c r="I22" s="32">
        <f t="shared" si="13"/>
        <v>0</v>
      </c>
      <c r="J22" s="32">
        <f t="shared" si="15"/>
        <v>0</v>
      </c>
      <c r="K22" s="32">
        <f t="shared" si="17"/>
        <v>0</v>
      </c>
      <c r="L22" s="32">
        <f t="shared" si="19"/>
        <v>0</v>
      </c>
      <c r="M22" s="32">
        <f t="shared" si="21"/>
        <v>0</v>
      </c>
      <c r="N22" s="32">
        <f t="shared" si="23"/>
        <v>0</v>
      </c>
      <c r="O22" s="33">
        <f t="shared" si="25"/>
        <v>0</v>
      </c>
      <c r="P22" s="27">
        <f t="shared" si="27"/>
        <v>0</v>
      </c>
      <c r="Q22" s="22" t="str">
        <f>基础资料!$U$21&amp;""</f>
        <v>培训费</v>
      </c>
    </row>
    <row r="23">
      <c r="A23" s="18" t="n"/>
      <c r="B23" s="31" t="str">
        <f>IF(基础资料!$W$22="",基础资料!$U$22&amp;"",基础资料!$W$22&amp;"")</f>
        <v>银行手续费</v>
      </c>
      <c r="C23" s="32">
        <f t="shared" si="1"/>
        <v>0</v>
      </c>
      <c r="D23" s="32">
        <f t="shared" si="3"/>
        <v>0</v>
      </c>
      <c r="E23" s="32">
        <f t="shared" si="5"/>
        <v>0</v>
      </c>
      <c r="F23" s="32">
        <f t="shared" si="7"/>
        <v>0</v>
      </c>
      <c r="G23" s="32">
        <f t="shared" si="9"/>
        <v>0</v>
      </c>
      <c r="H23" s="32">
        <f t="shared" si="11"/>
        <v>0</v>
      </c>
      <c r="I23" s="32">
        <f t="shared" si="13"/>
        <v>0</v>
      </c>
      <c r="J23" s="32">
        <f t="shared" si="15"/>
        <v>1</v>
      </c>
      <c r="K23" s="32">
        <f t="shared" si="17"/>
        <v>29.02</v>
      </c>
      <c r="L23" s="32">
        <f t="shared" si="19"/>
        <v>0</v>
      </c>
      <c r="M23" s="32">
        <f t="shared" si="21"/>
        <v>0</v>
      </c>
      <c r="N23" s="32">
        <f t="shared" si="23"/>
        <v>0</v>
      </c>
      <c r="O23" s="33">
        <f t="shared" si="25"/>
        <v>30.02</v>
      </c>
      <c r="P23" s="27">
        <f t="shared" si="27"/>
        <v>9.92024086688497e-05</v>
      </c>
      <c r="Q23" s="22" t="str">
        <f>基础资料!$U$22&amp;""</f>
        <v>银行手续费</v>
      </c>
    </row>
    <row r="24">
      <c r="A24" s="18" t="n"/>
      <c r="B24" s="31" t="str">
        <f>IF(基础资料!$W$23="",基础资料!$U$23&amp;"",基础资料!$W$23&amp;"")</f>
        <v>刻章费用</v>
      </c>
      <c r="C24" s="32">
        <f t="shared" si="1"/>
        <v>0</v>
      </c>
      <c r="D24" s="32">
        <f t="shared" si="3"/>
        <v>0</v>
      </c>
      <c r="E24" s="32">
        <f t="shared" si="5"/>
        <v>0</v>
      </c>
      <c r="F24" s="32">
        <f t="shared" si="7"/>
        <v>0</v>
      </c>
      <c r="G24" s="32">
        <f t="shared" si="9"/>
        <v>0</v>
      </c>
      <c r="H24" s="32">
        <f t="shared" si="11"/>
        <v>0</v>
      </c>
      <c r="I24" s="32">
        <f t="shared" si="13"/>
        <v>0</v>
      </c>
      <c r="J24" s="32">
        <f t="shared" si="15"/>
        <v>0</v>
      </c>
      <c r="K24" s="32">
        <f t="shared" si="17"/>
        <v>0</v>
      </c>
      <c r="L24" s="32">
        <f t="shared" si="19"/>
        <v>0</v>
      </c>
      <c r="M24" s="32">
        <f t="shared" si="21"/>
        <v>0</v>
      </c>
      <c r="N24" s="32">
        <f t="shared" si="23"/>
        <v>0</v>
      </c>
      <c r="O24" s="33">
        <f t="shared" si="25"/>
        <v>0</v>
      </c>
      <c r="P24" s="27">
        <f t="shared" si="27"/>
        <v>0</v>
      </c>
      <c r="Q24" s="22" t="str">
        <f>基础资料!$U$23&amp;""</f>
        <v>刻章费用</v>
      </c>
    </row>
    <row r="25">
      <c r="A25" s="18" t="n"/>
      <c r="B25" s="31" t="str">
        <f>IF(基础资料!$W$24="",基础资料!$U$24&amp;"",基础资料!$W$24&amp;"")</f>
        <v>办公费用</v>
      </c>
      <c r="C25" s="32">
        <f t="shared" si="1"/>
        <v>0</v>
      </c>
      <c r="D25" s="32">
        <f t="shared" si="3"/>
        <v>0</v>
      </c>
      <c r="E25" s="32">
        <f t="shared" si="5"/>
        <v>0</v>
      </c>
      <c r="F25" s="32">
        <f t="shared" si="7"/>
        <v>0</v>
      </c>
      <c r="G25" s="32">
        <f t="shared" si="9"/>
        <v>0</v>
      </c>
      <c r="H25" s="32">
        <f t="shared" si="11"/>
        <v>0</v>
      </c>
      <c r="I25" s="32">
        <f t="shared" si="13"/>
        <v>0</v>
      </c>
      <c r="J25" s="32">
        <f t="shared" si="15"/>
        <v>0</v>
      </c>
      <c r="K25" s="32">
        <f t="shared" si="17"/>
        <v>214.29</v>
      </c>
      <c r="L25" s="32">
        <f t="shared" si="19"/>
        <v>0</v>
      </c>
      <c r="M25" s="32">
        <f t="shared" si="21"/>
        <v>0</v>
      </c>
      <c r="N25" s="32">
        <f t="shared" si="23"/>
        <v>0</v>
      </c>
      <c r="O25" s="33">
        <f t="shared" si="25"/>
        <v>214.29</v>
      </c>
      <c r="P25" s="27">
        <f t="shared" si="27"/>
        <v>0.000708130717976276</v>
      </c>
      <c r="Q25" s="22" t="str">
        <f>基础资料!$U$24&amp;""</f>
        <v>办公费用</v>
      </c>
    </row>
    <row r="26">
      <c r="A26" s="18" t="n"/>
      <c r="B26" s="31" t="str">
        <f>IF(基础资料!$W$25="",基础资料!$U$25&amp;"",基础资料!$W$25&amp;"")</f>
        <v>固定资产</v>
      </c>
      <c r="C26" s="32">
        <f t="shared" si="1"/>
        <v>0</v>
      </c>
      <c r="D26" s="32">
        <f t="shared" si="3"/>
        <v>0</v>
      </c>
      <c r="E26" s="32">
        <f t="shared" si="5"/>
        <v>0</v>
      </c>
      <c r="F26" s="32">
        <f t="shared" si="7"/>
        <v>0</v>
      </c>
      <c r="G26" s="32">
        <f t="shared" si="9"/>
        <v>0</v>
      </c>
      <c r="H26" s="32">
        <f t="shared" si="11"/>
        <v>0</v>
      </c>
      <c r="I26" s="32">
        <f t="shared" si="13"/>
        <v>0</v>
      </c>
      <c r="J26" s="32">
        <f t="shared" si="15"/>
        <v>0</v>
      </c>
      <c r="K26" s="32">
        <f t="shared" si="17"/>
        <v>0</v>
      </c>
      <c r="L26" s="32">
        <f t="shared" si="19"/>
        <v>0</v>
      </c>
      <c r="M26" s="32">
        <f t="shared" si="21"/>
        <v>0</v>
      </c>
      <c r="N26" s="32">
        <f t="shared" si="23"/>
        <v>0</v>
      </c>
      <c r="O26" s="33">
        <f t="shared" si="25"/>
        <v>0</v>
      </c>
      <c r="P26" s="27">
        <f t="shared" si="27"/>
        <v>0</v>
      </c>
      <c r="Q26" s="22" t="str">
        <f>基础资料!$U$25&amp;""</f>
        <v>固定资产</v>
      </c>
    </row>
    <row r="27">
      <c r="A27" s="18" t="n"/>
      <c r="B27" s="31" t="str">
        <f>IF(基础资料!$W$26="",基础资料!$U$26&amp;"",基础资料!$W$26&amp;"")</f>
        <v>汽车费用</v>
      </c>
      <c r="C27" s="32">
        <f t="shared" si="1"/>
        <v>0</v>
      </c>
      <c r="D27" s="32">
        <f t="shared" si="3"/>
        <v>0</v>
      </c>
      <c r="E27" s="32">
        <f t="shared" si="5"/>
        <v>0</v>
      </c>
      <c r="F27" s="32">
        <f t="shared" si="7"/>
        <v>0</v>
      </c>
      <c r="G27" s="32">
        <f t="shared" si="9"/>
        <v>0</v>
      </c>
      <c r="H27" s="32">
        <f t="shared" si="11"/>
        <v>0</v>
      </c>
      <c r="I27" s="32">
        <f t="shared" si="13"/>
        <v>60</v>
      </c>
      <c r="J27" s="32">
        <f t="shared" si="15"/>
        <v>0</v>
      </c>
      <c r="K27" s="32">
        <f t="shared" si="17"/>
        <v>0</v>
      </c>
      <c r="L27" s="32">
        <f t="shared" si="19"/>
        <v>0</v>
      </c>
      <c r="M27" s="32">
        <f t="shared" si="21"/>
        <v>0</v>
      </c>
      <c r="N27" s="32">
        <f t="shared" si="23"/>
        <v>0</v>
      </c>
      <c r="O27" s="33">
        <f t="shared" si="25"/>
        <v>60</v>
      </c>
      <c r="P27" s="27">
        <f t="shared" si="27"/>
        <v>0.000198272635580646</v>
      </c>
      <c r="Q27" s="22" t="str">
        <f>基础资料!$U$26&amp;""</f>
        <v>汽车费用</v>
      </c>
    </row>
    <row r="28">
      <c r="A28" s="18" t="n"/>
      <c r="B28" s="31" t="str">
        <f>IF(基础资料!$W$27="",基础资料!$U$27&amp;"",基础资料!$W$27&amp;"")</f>
        <v>交际支出</v>
      </c>
      <c r="C28" s="32">
        <f t="shared" si="1"/>
        <v>0</v>
      </c>
      <c r="D28" s="32">
        <f t="shared" si="3"/>
        <v>0</v>
      </c>
      <c r="E28" s="32">
        <f t="shared" si="5"/>
        <v>0</v>
      </c>
      <c r="F28" s="32">
        <f t="shared" si="7"/>
        <v>0</v>
      </c>
      <c r="G28" s="32">
        <f t="shared" si="9"/>
        <v>0</v>
      </c>
      <c r="H28" s="32">
        <f t="shared" si="11"/>
        <v>0</v>
      </c>
      <c r="I28" s="32">
        <f t="shared" si="13"/>
        <v>0</v>
      </c>
      <c r="J28" s="32">
        <f t="shared" si="15"/>
        <v>0</v>
      </c>
      <c r="K28" s="32">
        <f t="shared" si="17"/>
        <v>0</v>
      </c>
      <c r="L28" s="32">
        <f t="shared" si="19"/>
        <v>0</v>
      </c>
      <c r="M28" s="32">
        <f t="shared" si="21"/>
        <v>0</v>
      </c>
      <c r="N28" s="32">
        <f t="shared" si="23"/>
        <v>0</v>
      </c>
      <c r="O28" s="33">
        <f t="shared" si="25"/>
        <v>0</v>
      </c>
      <c r="P28" s="27">
        <f t="shared" si="27"/>
        <v>0</v>
      </c>
      <c r="Q28" s="22" t="str">
        <f>基础资料!$U$27&amp;""</f>
        <v>交际支出</v>
      </c>
    </row>
    <row r="29">
      <c r="A29" s="18" t="n"/>
      <c r="B29" s="31" t="str">
        <f>IF(基础资料!$W$28="",基础资料!$U$28&amp;"",基础资料!$W$28&amp;"")</f>
        <v>佣金支出</v>
      </c>
      <c r="C29" s="32">
        <f t="shared" si="1"/>
        <v>0</v>
      </c>
      <c r="D29" s="32">
        <f t="shared" si="3"/>
        <v>0</v>
      </c>
      <c r="E29" s="32">
        <f t="shared" si="5"/>
        <v>0</v>
      </c>
      <c r="F29" s="32">
        <f t="shared" si="7"/>
        <v>0</v>
      </c>
      <c r="G29" s="32">
        <f t="shared" si="9"/>
        <v>0</v>
      </c>
      <c r="H29" s="32">
        <f t="shared" si="11"/>
        <v>0</v>
      </c>
      <c r="I29" s="32">
        <f t="shared" si="13"/>
        <v>0</v>
      </c>
      <c r="J29" s="32">
        <f t="shared" si="15"/>
        <v>0</v>
      </c>
      <c r="K29" s="32">
        <f t="shared" si="17"/>
        <v>0</v>
      </c>
      <c r="L29" s="32">
        <f t="shared" si="19"/>
        <v>0</v>
      </c>
      <c r="M29" s="32">
        <f t="shared" si="21"/>
        <v>0</v>
      </c>
      <c r="N29" s="32">
        <f t="shared" si="23"/>
        <v>0</v>
      </c>
      <c r="O29" s="33">
        <f t="shared" si="25"/>
        <v>0</v>
      </c>
      <c r="P29" s="27">
        <f t="shared" si="27"/>
        <v>0</v>
      </c>
      <c r="Q29" s="22" t="str">
        <f>基础资料!$U$28&amp;""</f>
        <v>佣金支出</v>
      </c>
    </row>
    <row r="30">
      <c r="A30" s="18" t="n"/>
      <c r="B30" s="31" t="str">
        <f>IF(基础资料!$W$29="",基础资料!$U$29&amp;"",基础资料!$W$29&amp;"")</f>
        <v>营销费用</v>
      </c>
      <c r="C30" s="32">
        <f t="shared" si="1"/>
        <v>0</v>
      </c>
      <c r="D30" s="32">
        <f t="shared" si="3"/>
        <v>0</v>
      </c>
      <c r="E30" s="32">
        <f t="shared" si="5"/>
        <v>0</v>
      </c>
      <c r="F30" s="32">
        <f t="shared" si="7"/>
        <v>0</v>
      </c>
      <c r="G30" s="32">
        <f t="shared" si="9"/>
        <v>0</v>
      </c>
      <c r="H30" s="32">
        <f t="shared" si="11"/>
        <v>0</v>
      </c>
      <c r="I30" s="32">
        <f t="shared" si="13"/>
        <v>0</v>
      </c>
      <c r="J30" s="32">
        <f t="shared" si="15"/>
        <v>0</v>
      </c>
      <c r="K30" s="32">
        <f t="shared" si="17"/>
        <v>0</v>
      </c>
      <c r="L30" s="32">
        <f t="shared" si="19"/>
        <v>0</v>
      </c>
      <c r="M30" s="32">
        <f t="shared" si="21"/>
        <v>0</v>
      </c>
      <c r="N30" s="32">
        <f t="shared" si="23"/>
        <v>0</v>
      </c>
      <c r="O30" s="33">
        <f t="shared" si="25"/>
        <v>0</v>
      </c>
      <c r="P30" s="27">
        <f t="shared" si="27"/>
        <v>0</v>
      </c>
      <c r="Q30" s="22" t="str">
        <f>基础资料!$U$29&amp;""</f>
        <v>营销费用</v>
      </c>
    </row>
    <row r="31">
      <c r="A31" s="18" t="n"/>
      <c r="B31" s="31" t="str">
        <f>IF(基础资料!$W$30="",基础资料!$U$30&amp;"",基础资料!$W$30&amp;"")</f>
        <v>地址成本</v>
      </c>
      <c r="C31" s="32">
        <f t="shared" si="1"/>
        <v>0</v>
      </c>
      <c r="D31" s="32">
        <f t="shared" si="3"/>
        <v>0</v>
      </c>
      <c r="E31" s="32">
        <f t="shared" si="5"/>
        <v>0</v>
      </c>
      <c r="F31" s="32">
        <f t="shared" si="7"/>
        <v>0</v>
      </c>
      <c r="G31" s="32">
        <f t="shared" si="9"/>
        <v>0</v>
      </c>
      <c r="H31" s="32">
        <f t="shared" si="11"/>
        <v>0</v>
      </c>
      <c r="I31" s="32">
        <f t="shared" si="13"/>
        <v>0</v>
      </c>
      <c r="J31" s="32">
        <f t="shared" si="15"/>
        <v>0</v>
      </c>
      <c r="K31" s="32">
        <f t="shared" si="17"/>
        <v>0</v>
      </c>
      <c r="L31" s="32">
        <f t="shared" si="19"/>
        <v>0</v>
      </c>
      <c r="M31" s="32">
        <f t="shared" si="21"/>
        <v>0</v>
      </c>
      <c r="N31" s="32">
        <f t="shared" si="23"/>
        <v>0</v>
      </c>
      <c r="O31" s="33">
        <f t="shared" si="25"/>
        <v>0</v>
      </c>
      <c r="P31" s="27">
        <f t="shared" si="27"/>
        <v>0</v>
      </c>
      <c r="Q31" s="22" t="str">
        <f>基础资料!$U$30&amp;""</f>
        <v>地址成本</v>
      </c>
    </row>
    <row r="32">
      <c r="A32" s="18" t="n"/>
      <c r="B32" s="31" t="str">
        <f>IF(基础资料!$W$31="",基础资料!$U$31&amp;"",基础资料!$W$31&amp;"")</f>
        <v>项目成本</v>
      </c>
      <c r="C32" s="32">
        <f t="shared" si="1"/>
        <v>0</v>
      </c>
      <c r="D32" s="32">
        <f t="shared" si="3"/>
        <v>0</v>
      </c>
      <c r="E32" s="32">
        <f t="shared" si="5"/>
        <v>0</v>
      </c>
      <c r="F32" s="32">
        <f t="shared" si="7"/>
        <v>0</v>
      </c>
      <c r="G32" s="32">
        <f t="shared" si="9"/>
        <v>0</v>
      </c>
      <c r="H32" s="32">
        <f t="shared" si="11"/>
        <v>0</v>
      </c>
      <c r="I32" s="32">
        <f t="shared" si="13"/>
        <v>0</v>
      </c>
      <c r="J32" s="32">
        <f t="shared" si="15"/>
        <v>0</v>
      </c>
      <c r="K32" s="32">
        <f t="shared" si="17"/>
        <v>0</v>
      </c>
      <c r="L32" s="32">
        <f t="shared" si="19"/>
        <v>0</v>
      </c>
      <c r="M32" s="32">
        <f t="shared" si="21"/>
        <v>0</v>
      </c>
      <c r="N32" s="32">
        <f t="shared" si="23"/>
        <v>0</v>
      </c>
      <c r="O32" s="33">
        <f t="shared" si="25"/>
        <v>0</v>
      </c>
      <c r="P32" s="27">
        <f t="shared" si="27"/>
        <v>0</v>
      </c>
      <c r="Q32" s="22" t="str">
        <f>基础资料!$U$31&amp;""</f>
        <v>项目成本</v>
      </c>
    </row>
    <row r="33">
      <c r="A33" s="18" t="n"/>
      <c r="B33" s="31" t="str">
        <f>IF(COUNTIFS(基础资料!$V$5:$V$64,"变动成本",基础资料!$U$5:$U$64,"?*")&gt;17,"其他（含新加项目）","其他")</f>
        <v>其他</v>
      </c>
      <c r="C33" s="32">
        <f>ROUND(-SUMIFS(资金台帐!$AD$6:$AD$3005,资金台帐!$U$6:$U$3005,"变动成本",资金台帐!$BH$6:$BH$3005,IF($C$3="全部","&gt;0",IFERROR(MATCH($C$3,基础资料!$B$5:$B$12,0),-1)),资金台帐!$BG$6:$BG$3005,$F$3*100+1)-SUM(C17:C32),2)</f>
        <v>0</v>
      </c>
      <c r="D33" s="32">
        <f>ROUND(-SUMIFS(资金台帐!$AD$6:$AD$3005,资金台帐!$U$6:$U$3005,"变动成本",资金台帐!$BH$6:$BH$3005,IF($C$3="全部","&gt;0",IFERROR(MATCH($C$3,基础资料!$B$5:$B$12,0),-1)),资金台帐!$BG$6:$BG$3005,$F$3*100+2)-SUM(D17:D32),2)</f>
        <v>0</v>
      </c>
      <c r="E33" s="32">
        <f>ROUND(-SUMIFS(资金台帐!$AD$6:$AD$3005,资金台帐!$U$6:$U$3005,"变动成本",资金台帐!$BH$6:$BH$3005,IF($C$3="全部","&gt;0",IFERROR(MATCH($C$3,基础资料!$B$5:$B$12,0),-1)),资金台帐!$BG$6:$BG$3005,$F$3*100+3)-SUM(E17:E32),2)</f>
        <v>0</v>
      </c>
      <c r="F33" s="32">
        <f>ROUND(-SUMIFS(资金台帐!$AD$6:$AD$3005,资金台帐!$U$6:$U$3005,"变动成本",资金台帐!$BH$6:$BH$3005,IF($C$3="全部","&gt;0",IFERROR(MATCH($C$3,基础资料!$B$5:$B$12,0),-1)),资金台帐!$BG$6:$BG$3005,$F$3*100+4)-SUM(F17:F32),2)</f>
        <v>0</v>
      </c>
      <c r="G33" s="32">
        <f>ROUND(-SUMIFS(资金台帐!$AD$6:$AD$3005,资金台帐!$U$6:$U$3005,"变动成本",资金台帐!$BH$6:$BH$3005,IF($C$3="全部","&gt;0",IFERROR(MATCH($C$3,基础资料!$B$5:$B$12,0),-1)),资金台帐!$BG$6:$BG$3005,$F$3*100+5)-SUM(G17:G32),2)</f>
        <v>0</v>
      </c>
      <c r="H33" s="32">
        <f>ROUND(-SUMIFS(资金台帐!$AD$6:$AD$3005,资金台帐!$U$6:$U$3005,"变动成本",资金台帐!$BH$6:$BH$3005,IF($C$3="全部","&gt;0",IFERROR(MATCH($C$3,基础资料!$B$5:$B$12,0),-1)),资金台帐!$BG$6:$BG$3005,$F$3*100+6)-SUM(H17:H32),2)</f>
        <v>0</v>
      </c>
      <c r="I33" s="32">
        <f>ROUND(-SUMIFS(资金台帐!$AD$6:$AD$3005,资金台帐!$U$6:$U$3005,"变动成本",资金台帐!$BH$6:$BH$3005,IF($C$3="全部","&gt;0",IFERROR(MATCH($C$3,基础资料!$B$5:$B$12,0),-1)),资金台帐!$BG$6:$BG$3005,$F$3*100+7)-SUM(I17:I32),2)</f>
        <v>0</v>
      </c>
      <c r="J33" s="32">
        <f>ROUND(-SUMIFS(资金台帐!$AD$6:$AD$3005,资金台帐!$U$6:$U$3005,"变动成本",资金台帐!$BH$6:$BH$3005,IF($C$3="全部","&gt;0",IFERROR(MATCH($C$3,基础资料!$B$5:$B$12,0),-1)),资金台帐!$BG$6:$BG$3005,$F$3*100+8)-SUM(J17:J32),2)</f>
        <v>0</v>
      </c>
      <c r="K33" s="32">
        <f>ROUND(-SUMIFS(资金台帐!$AD$6:$AD$3005,资金台帐!$U$6:$U$3005,"变动成本",资金台帐!$BH$6:$BH$3005,IF($C$3="全部","&gt;0",IFERROR(MATCH($C$3,基础资料!$B$5:$B$12,0),-1)),资金台帐!$BG$6:$BG$3005,$F$3*100+9)-SUM(K17:K32),2)</f>
        <v>0</v>
      </c>
      <c r="L33" s="32">
        <f>ROUND(-SUMIFS(资金台帐!$AD$6:$AD$3005,资金台帐!$U$6:$U$3005,"变动成本",资金台帐!$BH$6:$BH$3005,IF($C$3="全部","&gt;0",IFERROR(MATCH($C$3,基础资料!$B$5:$B$12,0),-1)),资金台帐!$BG$6:$BG$3005,$F$3*100+10)-SUM(L17:L32),2)</f>
        <v>0</v>
      </c>
      <c r="M33" s="32">
        <f>ROUND(-SUMIFS(资金台帐!$AD$6:$AD$3005,资金台帐!$U$6:$U$3005,"变动成本",资金台帐!$BH$6:$BH$3005,IF($C$3="全部","&gt;0",IFERROR(MATCH($C$3,基础资料!$B$5:$B$12,0),-1)),资金台帐!$BG$6:$BG$3005,$F$3*100+11)-SUM(M17:M32),2)</f>
        <v>0</v>
      </c>
      <c r="N33" s="32">
        <f>ROUND(-SUMIFS(资金台帐!$AD$6:$AD$3005,资金台帐!$U$6:$U$3005,"变动成本",资金台帐!$BH$6:$BH$3005,IF($C$3="全部","&gt;0",IFERROR(MATCH($C$3,基础资料!$B$5:$B$12,0),-1)),资金台帐!$BG$6:$BG$3005,$F$3*100+12)-SUM(N17:N32),2)</f>
        <v>0</v>
      </c>
      <c r="O33" s="33">
        <f t="shared" si="25"/>
        <v>0</v>
      </c>
      <c r="P33" s="27">
        <f t="shared" si="27"/>
        <v>0</v>
      </c>
      <c r="Q33" s="22" t="str">
        <f>基础资料!$U$32&amp;""</f>
        <v>其他成本</v>
      </c>
    </row>
    <row r="34">
      <c r="A34" s="18" t="n"/>
      <c r="B34" s="34" t="inlineStr">
        <is>
          <t>变动成本小计</t>
        </is>
      </c>
      <c r="C34" s="35">
        <f>ROUND(SUM(C17:C33),2)</f>
        <v>0</v>
      </c>
      <c r="D34" s="35">
        <f>ROUND(SUM(D17:D33),2)</f>
        <v>0</v>
      </c>
      <c r="E34" s="35">
        <f>ROUND(SUM(E17:E33),2)</f>
        <v>0</v>
      </c>
      <c r="F34" s="35">
        <f>ROUND(SUM(F17:F33),2)</f>
        <v>0</v>
      </c>
      <c r="G34" s="35">
        <f>ROUND(SUM(G17:G33),2)</f>
        <v>18.75</v>
      </c>
      <c r="H34" s="35">
        <f>ROUND(SUM(H17:H33),2)</f>
        <v>40982.76</v>
      </c>
      <c r="I34" s="35">
        <f>ROUND(SUM(I17:I33),2)</f>
        <v>2951.42</v>
      </c>
      <c r="J34" s="35">
        <f>ROUND(SUM(J17:J33),2)</f>
        <v>1790.97</v>
      </c>
      <c r="K34" s="35">
        <f>ROUND(SUM(K17:K33),2)</f>
        <v>24194.05</v>
      </c>
      <c r="L34" s="35">
        <f>ROUND(SUM(L17:L33),2)</f>
        <v>0</v>
      </c>
      <c r="M34" s="35">
        <f>ROUND(SUM(M17:M33),2)</f>
        <v>0</v>
      </c>
      <c r="N34" s="35">
        <f>ROUND(SUM(N17:N33),2)</f>
        <v>0</v>
      </c>
      <c r="O34" s="35">
        <f>ROUND(SUM(O17:O33),2)</f>
        <v>69937.95</v>
      </c>
      <c r="P34" s="27">
        <f t="shared" si="27"/>
        <v>0.231113027893457</v>
      </c>
    </row>
    <row r="35">
      <c r="A35" s="18" t="n"/>
      <c r="B35" s="36" t="inlineStr">
        <is>
          <t>变动利润</t>
        </is>
      </c>
      <c r="C35" s="37">
        <f>ROUND(C16-C34,2)</f>
        <v>0</v>
      </c>
      <c r="D35" s="37">
        <f>ROUND(D16-D34,2)</f>
        <v>0</v>
      </c>
      <c r="E35" s="37">
        <f>ROUND(E16-E34,2)</f>
        <v>0</v>
      </c>
      <c r="F35" s="37">
        <f>ROUND(F16-F34,2)</f>
        <v>0</v>
      </c>
      <c r="G35" s="37">
        <f>ROUND(G16-G34,2)</f>
        <v>-18.75</v>
      </c>
      <c r="H35" s="37">
        <f>ROUND(H16-H34,2)</f>
        <v>90630.86</v>
      </c>
      <c r="I35" s="37">
        <f>ROUND(I16-I34,2)</f>
        <v>-2951.42</v>
      </c>
      <c r="J35" s="37">
        <f>ROUND(J16-J34,2)</f>
        <v>-1790.97</v>
      </c>
      <c r="K35" s="37">
        <f>ROUND(K16-K34,2)</f>
        <v>146805.95</v>
      </c>
      <c r="L35" s="37">
        <f>ROUND(L16-L34,2)</f>
        <v>0</v>
      </c>
      <c r="M35" s="37">
        <f>ROUND(M16-M34,2)</f>
        <v>0</v>
      </c>
      <c r="N35" s="37">
        <f>ROUND(N16-N34,2)</f>
        <v>0</v>
      </c>
      <c r="O35" s="37">
        <f>ROUND(O16-O34,2)</f>
        <v>232675.67</v>
      </c>
      <c r="P35" s="27">
        <f t="shared" si="27"/>
        <v>0.768886972106543</v>
      </c>
    </row>
    <row r="36">
      <c r="A36" s="38" t="inlineStr">
        <is>
          <t>固定成本</t>
        </is>
      </c>
      <c r="B36" s="39" t="str">
        <f>IF(基础资料!$W$33="",基础资料!$U$33&amp;"",基础资料!$W$33&amp;"")</f>
        <v>店面租金</v>
      </c>
      <c r="C36" s="40">
        <f>ROUND(-SUMIFS(资金台帐!$AD$6:$AD$3005,资金台帐!$T$6:$T$3005,$Q36,资金台帐!$U$6:$U$3005,"固定成本",资金台帐!$BH$6:$BH$3005,IF($C$3="全部","&gt;0",IFERROR(MATCH($C$3,基础资料!$B$5:$B$12,0),-1)),资金台帐!$BG$6:$BG$3005,$F$3*100+1),2)</f>
        <v>0</v>
      </c>
      <c r="D36" s="40">
        <f>ROUND(-SUMIFS(资金台帐!$AD$6:$AD$3005,资金台帐!$T$6:$T$3005,$Q36,资金台帐!$U$6:$U$3005,"固定成本",资金台帐!$BH$6:$BH$3005,IF($C$3="全部","&gt;0",IFERROR(MATCH($C$3,基础资料!$B$5:$B$12,0),-1)),资金台帐!$BG$6:$BG$3005,$F$3*100+2),2)</f>
        <v>0</v>
      </c>
      <c r="E36" s="40">
        <f>ROUND(-SUMIFS(资金台帐!$AD$6:$AD$3005,资金台帐!$T$6:$T$3005,$Q36,资金台帐!$U$6:$U$3005,"固定成本",资金台帐!$BH$6:$BH$3005,IF($C$3="全部","&gt;0",IFERROR(MATCH($C$3,基础资料!$B$5:$B$12,0),-1)),资金台帐!$BG$6:$BG$3005,$F$3*100+3),2)</f>
        <v>0</v>
      </c>
      <c r="F36" s="40">
        <f>ROUND(-SUMIFS(资金台帐!$AD$6:$AD$3005,资金台帐!$T$6:$T$3005,$Q36,资金台帐!$U$6:$U$3005,"固定成本",资金台帐!$BH$6:$BH$3005,IF($C$3="全部","&gt;0",IFERROR(MATCH($C$3,基础资料!$B$5:$B$12,0),-1)),资金台帐!$BG$6:$BG$3005,$F$3*100+4),2)</f>
        <v>0</v>
      </c>
      <c r="G36" s="40">
        <f>ROUND(-SUMIFS(资金台帐!$AD$6:$AD$3005,资金台帐!$T$6:$T$3005,$Q36,资金台帐!$U$6:$U$3005,"固定成本",资金台帐!$BH$6:$BH$3005,IF($C$3="全部","&gt;0",IFERROR(MATCH($C$3,基础资料!$B$5:$B$12,0),-1)),资金台帐!$BG$6:$BG$3005,$F$3*100+5),2)</f>
        <v>0</v>
      </c>
      <c r="H36" s="40">
        <f>ROUND(-SUMIFS(资金台帐!$AD$6:$AD$3005,资金台帐!$T$6:$T$3005,$Q36,资金台帐!$U$6:$U$3005,"固定成本",资金台帐!$BH$6:$BH$3005,IF($C$3="全部","&gt;0",IFERROR(MATCH($C$3,基础资料!$B$5:$B$12,0),-1)),资金台帐!$BG$6:$BG$3005,$F$3*100+6),2)</f>
        <v>0</v>
      </c>
      <c r="I36" s="40">
        <f>ROUND(-SUMIFS(资金台帐!$AD$6:$AD$3005,资金台帐!$T$6:$T$3005,$Q36,资金台帐!$U$6:$U$3005,"固定成本",资金台帐!$BH$6:$BH$3005,IF($C$3="全部","&gt;0",IFERROR(MATCH($C$3,基础资料!$B$5:$B$12,0),-1)),资金台帐!$BG$6:$BG$3005,$F$3*100+7),2)</f>
        <v>0</v>
      </c>
      <c r="J36" s="40">
        <f>ROUND(-SUMIFS(资金台帐!$AD$6:$AD$3005,资金台帐!$T$6:$T$3005,$Q36,资金台帐!$U$6:$U$3005,"固定成本",资金台帐!$BH$6:$BH$3005,IF($C$3="全部","&gt;0",IFERROR(MATCH($C$3,基础资料!$B$5:$B$12,0),-1)),资金台帐!$BG$6:$BG$3005,$F$3*100+8),2)</f>
        <v>0</v>
      </c>
      <c r="K36" s="40">
        <f>ROUND(-SUMIFS(资金台帐!$AD$6:$AD$3005,资金台帐!$T$6:$T$3005,$Q36,资金台帐!$U$6:$U$3005,"固定成本",资金台帐!$BH$6:$BH$3005,IF($C$3="全部","&gt;0",IFERROR(MATCH($C$3,基础资料!$B$5:$B$12,0),-1)),资金台帐!$BG$6:$BG$3005,$F$3*100+9),2)</f>
        <v>0</v>
      </c>
      <c r="L36" s="40">
        <f>ROUND(-SUMIFS(资金台帐!$AD$6:$AD$3005,资金台帐!$T$6:$T$3005,$Q36,资金台帐!$U$6:$U$3005,"固定成本",资金台帐!$BH$6:$BH$3005,IF($C$3="全部","&gt;0",IFERROR(MATCH($C$3,基础资料!$B$5:$B$12,0),-1)),资金台帐!$BG$6:$BG$3005,$F$3*100+10),2)</f>
        <v>0</v>
      </c>
      <c r="M36" s="40">
        <f>ROUND(-SUMIFS(资金台帐!$AD$6:$AD$3005,资金台帐!$T$6:$T$3005,$Q36,资金台帐!$U$6:$U$3005,"固定成本",资金台帐!$BH$6:$BH$3005,IF($C$3="全部","&gt;0",IFERROR(MATCH($C$3,基础资料!$B$5:$B$12,0),-1)),资金台帐!$BG$6:$BG$3005,$F$3*100+11),2)</f>
        <v>0</v>
      </c>
      <c r="N36" s="40">
        <f>ROUND(-SUMIFS(资金台帐!$AD$6:$AD$3005,资金台帐!$T$6:$T$3005,$Q36,资金台帐!$U$6:$U$3005,"固定成本",资金台帐!$BH$6:$BH$3005,IF($C$3="全部","&gt;0",IFERROR(MATCH($C$3,基础资料!$B$5:$B$12,0),-1)),资金台帐!$BG$6:$BG$3005,$F$3*100+12),2)</f>
        <v>0</v>
      </c>
      <c r="O36" s="41">
        <f>ROUND(SUM(C36:N36),2)</f>
        <v>0</v>
      </c>
      <c r="P36" s="27">
        <f t="shared" si="27"/>
        <v>0</v>
      </c>
      <c r="Q36" s="22" t="str">
        <f>基础资料!$U$33&amp;""</f>
        <v>店面租金</v>
      </c>
    </row>
    <row r="37">
      <c r="A37" s="18" t="n"/>
      <c r="B37" s="39" t="str">
        <f>IF(基础资料!$W$34="",基础资料!$U$34&amp;"",基础资料!$W$34&amp;"")</f>
        <v>装修成本</v>
      </c>
      <c r="C37" s="40">
        <f>ROUND(-SUMIFS(资金台帐!$AD$6:$AD$3005,资金台帐!$T$6:$T$3005,$Q37,资金台帐!$U$6:$U$3005,"固定成本",资金台帐!$BH$6:$BH$3005,IF($C$3="全部","&gt;0",IFERROR(MATCH($C$3,基础资料!$B$5:$B$12,0),-1)),资金台帐!$BG$6:$BG$3005,$F$3*100+1),2)</f>
        <v>0</v>
      </c>
      <c r="D37" s="40">
        <f>ROUND(-SUMIFS(资金台帐!$AD$6:$AD$3005,资金台帐!$T$6:$T$3005,$Q37,资金台帐!$U$6:$U$3005,"固定成本",资金台帐!$BH$6:$BH$3005,IF($C$3="全部","&gt;0",IFERROR(MATCH($C$3,基础资料!$B$5:$B$12,0),-1)),资金台帐!$BG$6:$BG$3005,$F$3*100+2),2)</f>
        <v>0</v>
      </c>
      <c r="E37" s="40">
        <f>ROUND(-SUMIFS(资金台帐!$AD$6:$AD$3005,资金台帐!$T$6:$T$3005,$Q37,资金台帐!$U$6:$U$3005,"固定成本",资金台帐!$BH$6:$BH$3005,IF($C$3="全部","&gt;0",IFERROR(MATCH($C$3,基础资料!$B$5:$B$12,0),-1)),资金台帐!$BG$6:$BG$3005,$F$3*100+3),2)</f>
        <v>0</v>
      </c>
      <c r="F37" s="40">
        <f>ROUND(-SUMIFS(资金台帐!$AD$6:$AD$3005,资金台帐!$T$6:$T$3005,$Q37,资金台帐!$U$6:$U$3005,"固定成本",资金台帐!$BH$6:$BH$3005,IF($C$3="全部","&gt;0",IFERROR(MATCH($C$3,基础资料!$B$5:$B$12,0),-1)),资金台帐!$BG$6:$BG$3005,$F$3*100+4),2)</f>
        <v>0</v>
      </c>
      <c r="G37" s="40">
        <f>ROUND(-SUMIFS(资金台帐!$AD$6:$AD$3005,资金台帐!$T$6:$T$3005,$Q37,资金台帐!$U$6:$U$3005,"固定成本",资金台帐!$BH$6:$BH$3005,IF($C$3="全部","&gt;0",IFERROR(MATCH($C$3,基础资料!$B$5:$B$12,0),-1)),资金台帐!$BG$6:$BG$3005,$F$3*100+5),2)</f>
        <v>0</v>
      </c>
      <c r="H37" s="40">
        <f>ROUND(-SUMIFS(资金台帐!$AD$6:$AD$3005,资金台帐!$T$6:$T$3005,$Q37,资金台帐!$U$6:$U$3005,"固定成本",资金台帐!$BH$6:$BH$3005,IF($C$3="全部","&gt;0",IFERROR(MATCH($C$3,基础资料!$B$5:$B$12,0),-1)),资金台帐!$BG$6:$BG$3005,$F$3*100+6),2)</f>
        <v>0</v>
      </c>
      <c r="I37" s="40">
        <f>ROUND(-SUMIFS(资金台帐!$AD$6:$AD$3005,资金台帐!$T$6:$T$3005,$Q37,资金台帐!$U$6:$U$3005,"固定成本",资金台帐!$BH$6:$BH$3005,IF($C$3="全部","&gt;0",IFERROR(MATCH($C$3,基础资料!$B$5:$B$12,0),-1)),资金台帐!$BG$6:$BG$3005,$F$3*100+7),2)</f>
        <v>0</v>
      </c>
      <c r="J37" s="40">
        <f>ROUND(-SUMIFS(资金台帐!$AD$6:$AD$3005,资金台帐!$T$6:$T$3005,$Q37,资金台帐!$U$6:$U$3005,"固定成本",资金台帐!$BH$6:$BH$3005,IF($C$3="全部","&gt;0",IFERROR(MATCH($C$3,基础资料!$B$5:$B$12,0),-1)),资金台帐!$BG$6:$BG$3005,$F$3*100+8),2)</f>
        <v>0</v>
      </c>
      <c r="K37" s="40">
        <f>ROUND(-SUMIFS(资金台帐!$AD$6:$AD$3005,资金台帐!$T$6:$T$3005,$Q37,资金台帐!$U$6:$U$3005,"固定成本",资金台帐!$BH$6:$BH$3005,IF($C$3="全部","&gt;0",IFERROR(MATCH($C$3,基础资料!$B$5:$B$12,0),-1)),资金台帐!$BG$6:$BG$3005,$F$3*100+9),2)</f>
        <v>0</v>
      </c>
      <c r="L37" s="40">
        <f>ROUND(-SUMIFS(资金台帐!$AD$6:$AD$3005,资金台帐!$T$6:$T$3005,$Q37,资金台帐!$U$6:$U$3005,"固定成本",资金台帐!$BH$6:$BH$3005,IF($C$3="全部","&gt;0",IFERROR(MATCH($C$3,基础资料!$B$5:$B$12,0),-1)),资金台帐!$BG$6:$BG$3005,$F$3*100+10),2)</f>
        <v>0</v>
      </c>
      <c r="M37" s="40">
        <f>ROUND(-SUMIFS(资金台帐!$AD$6:$AD$3005,资金台帐!$T$6:$T$3005,$Q37,资金台帐!$U$6:$U$3005,"固定成本",资金台帐!$BH$6:$BH$3005,IF($C$3="全部","&gt;0",IFERROR(MATCH($C$3,基础资料!$B$5:$B$12,0),-1)),资金台帐!$BG$6:$BG$3005,$F$3*100+11),2)</f>
        <v>0</v>
      </c>
      <c r="N37" s="40">
        <f>ROUND(-SUMIFS(资金台帐!$AD$6:$AD$3005,资金台帐!$T$6:$T$3005,$Q37,资金台帐!$U$6:$U$3005,"固定成本",资金台帐!$BH$6:$BH$3005,IF($C$3="全部","&gt;0",IFERROR(MATCH($C$3,基础资料!$B$5:$B$12,0),-1)),资金台帐!$BG$6:$BG$3005,$F$3*100+12),2)</f>
        <v>0</v>
      </c>
      <c r="O37" s="41">
        <f>ROUND(SUM(C37:N37),2)</f>
        <v>0</v>
      </c>
      <c r="P37" s="27">
        <f t="shared" si="27"/>
        <v>0</v>
      </c>
      <c r="Q37" s="22" t="str">
        <f>基础资料!$U$34&amp;""</f>
        <v>装修成本</v>
      </c>
    </row>
    <row r="38">
      <c r="A38" s="18" t="n"/>
      <c r="B38" s="39" t="str">
        <f>IF(COUNTIFS(基础资料!$V$5:$V$64,"固定成本",基础资料!$U$5:$U$64,"?*")&gt;2,"其他（含新加项目）","其他")</f>
        <v>其他</v>
      </c>
      <c r="C38" s="40">
        <f>ROUND(-SUMIFS(资金台帐!$AD$6:$AD$3005,资金台帐!$U$6:$U$3005,"固定成本",资金台帐!$BH$6:$BH$3005,IF($C$3="全部","&gt;0",IFERROR(MATCH($C$3,基础资料!$B$5:$B$12,0),-1)),资金台帐!$BG$6:$BG$3005,$F$3*100+1)-SUM(C36:C37),2)</f>
        <v>0</v>
      </c>
      <c r="D38" s="40">
        <f>ROUND(-SUMIFS(资金台帐!$AD$6:$AD$3005,资金台帐!$U$6:$U$3005,"固定成本",资金台帐!$BH$6:$BH$3005,IF($C$3="全部","&gt;0",IFERROR(MATCH($C$3,基础资料!$B$5:$B$12,0),-1)),资金台帐!$BG$6:$BG$3005,$F$3*100+2)-SUM(D36:D37),2)</f>
        <v>0</v>
      </c>
      <c r="E38" s="40">
        <f>ROUND(-SUMIFS(资金台帐!$AD$6:$AD$3005,资金台帐!$U$6:$U$3005,"固定成本",资金台帐!$BH$6:$BH$3005,IF($C$3="全部","&gt;0",IFERROR(MATCH($C$3,基础资料!$B$5:$B$12,0),-1)),资金台帐!$BG$6:$BG$3005,$F$3*100+3)-SUM(E36:E37),2)</f>
        <v>0</v>
      </c>
      <c r="F38" s="40">
        <f>ROUND(-SUMIFS(资金台帐!$AD$6:$AD$3005,资金台帐!$U$6:$U$3005,"固定成本",资金台帐!$BH$6:$BH$3005,IF($C$3="全部","&gt;0",IFERROR(MATCH($C$3,基础资料!$B$5:$B$12,0),-1)),资金台帐!$BG$6:$BG$3005,$F$3*100+4)-SUM(F36:F37),2)</f>
        <v>0</v>
      </c>
      <c r="G38" s="40">
        <f>ROUND(-SUMIFS(资金台帐!$AD$6:$AD$3005,资金台帐!$U$6:$U$3005,"固定成本",资金台帐!$BH$6:$BH$3005,IF($C$3="全部","&gt;0",IFERROR(MATCH($C$3,基础资料!$B$5:$B$12,0),-1)),资金台帐!$BG$6:$BG$3005,$F$3*100+5)-SUM(G36:G37),2)</f>
        <v>0</v>
      </c>
      <c r="H38" s="40">
        <f>ROUND(-SUMIFS(资金台帐!$AD$6:$AD$3005,资金台帐!$U$6:$U$3005,"固定成本",资金台帐!$BH$6:$BH$3005,IF($C$3="全部","&gt;0",IFERROR(MATCH($C$3,基础资料!$B$5:$B$12,0),-1)),资金台帐!$BG$6:$BG$3005,$F$3*100+6)-SUM(H36:H37),2)</f>
        <v>0</v>
      </c>
      <c r="I38" s="40">
        <f>ROUND(-SUMIFS(资金台帐!$AD$6:$AD$3005,资金台帐!$U$6:$U$3005,"固定成本",资金台帐!$BH$6:$BH$3005,IF($C$3="全部","&gt;0",IFERROR(MATCH($C$3,基础资料!$B$5:$B$12,0),-1)),资金台帐!$BG$6:$BG$3005,$F$3*100+7)-SUM(I36:I37),2)</f>
        <v>0</v>
      </c>
      <c r="J38" s="40">
        <f>ROUND(-SUMIFS(资金台帐!$AD$6:$AD$3005,资金台帐!$U$6:$U$3005,"固定成本",资金台帐!$BH$6:$BH$3005,IF($C$3="全部","&gt;0",IFERROR(MATCH($C$3,基础资料!$B$5:$B$12,0),-1)),资金台帐!$BG$6:$BG$3005,$F$3*100+8)-SUM(J36:J37),2)</f>
        <v>0</v>
      </c>
      <c r="K38" s="40">
        <f>ROUND(-SUMIFS(资金台帐!$AD$6:$AD$3005,资金台帐!$U$6:$U$3005,"固定成本",资金台帐!$BH$6:$BH$3005,IF($C$3="全部","&gt;0",IFERROR(MATCH($C$3,基础资料!$B$5:$B$12,0),-1)),资金台帐!$BG$6:$BG$3005,$F$3*100+9)-SUM(K36:K37),2)</f>
        <v>0</v>
      </c>
      <c r="L38" s="40">
        <f>ROUND(-SUMIFS(资金台帐!$AD$6:$AD$3005,资金台帐!$U$6:$U$3005,"固定成本",资金台帐!$BH$6:$BH$3005,IF($C$3="全部","&gt;0",IFERROR(MATCH($C$3,基础资料!$B$5:$B$12,0),-1)),资金台帐!$BG$6:$BG$3005,$F$3*100+10)-SUM(L36:L37),2)</f>
        <v>0</v>
      </c>
      <c r="M38" s="40">
        <f>ROUND(-SUMIFS(资金台帐!$AD$6:$AD$3005,资金台帐!$U$6:$U$3005,"固定成本",资金台帐!$BH$6:$BH$3005,IF($C$3="全部","&gt;0",IFERROR(MATCH($C$3,基础资料!$B$5:$B$12,0),-1)),资金台帐!$BG$6:$BG$3005,$F$3*100+11)-SUM(M36:M37),2)</f>
        <v>0</v>
      </c>
      <c r="N38" s="40">
        <f>ROUND(-SUMIFS(资金台帐!$AD$6:$AD$3005,资金台帐!$U$6:$U$3005,"固定成本",资金台帐!$BH$6:$BH$3005,IF($C$3="全部","&gt;0",IFERROR(MATCH($C$3,基础资料!$B$5:$B$12,0),-1)),资金台帐!$BG$6:$BG$3005,$F$3*100+12)-SUM(N36:N37),2)</f>
        <v>0</v>
      </c>
      <c r="O38" s="41">
        <f>ROUND(SUM(C38:N38),2)</f>
        <v>0</v>
      </c>
      <c r="P38" s="27">
        <f t="shared" si="27"/>
        <v>0</v>
      </c>
    </row>
    <row r="39">
      <c r="A39" s="18" t="n"/>
      <c r="B39" s="34" t="inlineStr">
        <is>
          <t>固定成本小计</t>
        </is>
      </c>
      <c r="C39" s="35">
        <f>ROUND(SUM(C36:C38),2)</f>
        <v>0</v>
      </c>
      <c r="D39" s="35">
        <f>ROUND(SUM(D36:D38),2)</f>
        <v>0</v>
      </c>
      <c r="E39" s="35">
        <f>ROUND(SUM(E36:E38),2)</f>
        <v>0</v>
      </c>
      <c r="F39" s="35">
        <f>ROUND(SUM(F36:F38),2)</f>
        <v>0</v>
      </c>
      <c r="G39" s="35">
        <f>ROUND(SUM(G36:G38),2)</f>
        <v>0</v>
      </c>
      <c r="H39" s="35">
        <f>ROUND(SUM(H36:H38),2)</f>
        <v>0</v>
      </c>
      <c r="I39" s="35">
        <f>ROUND(SUM(I36:I38),2)</f>
        <v>0</v>
      </c>
      <c r="J39" s="35">
        <f>ROUND(SUM(J36:J38),2)</f>
        <v>0</v>
      </c>
      <c r="K39" s="35">
        <f>ROUND(SUM(K36:K38),2)</f>
        <v>0</v>
      </c>
      <c r="L39" s="35">
        <f>ROUND(SUM(L36:L38),2)</f>
        <v>0</v>
      </c>
      <c r="M39" s="35">
        <f>ROUND(SUM(M36:M38),2)</f>
        <v>0</v>
      </c>
      <c r="N39" s="35">
        <f>ROUND(SUM(N36:N38),2)</f>
        <v>0</v>
      </c>
      <c r="O39" s="35">
        <f>ROUND(SUM(O36:O38),2)</f>
        <v>0</v>
      </c>
      <c r="P39" s="27">
        <f t="shared" si="27"/>
        <v>0</v>
      </c>
    </row>
    <row r="40">
      <c r="A40" s="18" t="n"/>
      <c r="B40" s="36" t="inlineStr">
        <is>
          <t>利润</t>
        </is>
      </c>
      <c r="C40" s="37">
        <f>ROUND(C35-C39,2)</f>
        <v>0</v>
      </c>
      <c r="D40" s="37">
        <f>ROUND(D35-D39,2)</f>
        <v>0</v>
      </c>
      <c r="E40" s="37">
        <f>ROUND(E35-E39,2)</f>
        <v>0</v>
      </c>
      <c r="F40" s="37">
        <f>ROUND(F35-F39,2)</f>
        <v>0</v>
      </c>
      <c r="G40" s="37">
        <f>ROUND(G35-G39,2)</f>
        <v>-18.75</v>
      </c>
      <c r="H40" s="37">
        <f>ROUND(H35-H39,2)</f>
        <v>90630.86</v>
      </c>
      <c r="I40" s="37">
        <f>ROUND(I35-I39,2)</f>
        <v>-2951.42</v>
      </c>
      <c r="J40" s="37">
        <f>ROUND(J35-J39,2)</f>
        <v>-1790.97</v>
      </c>
      <c r="K40" s="37">
        <f>ROUND(K35-K39,2)</f>
        <v>146805.95</v>
      </c>
      <c r="L40" s="37">
        <f>ROUND(L35-L39,2)</f>
        <v>0</v>
      </c>
      <c r="M40" s="37">
        <f>ROUND(M35-M39,2)</f>
        <v>0</v>
      </c>
      <c r="N40" s="37">
        <f>ROUND(N35-N39,2)</f>
        <v>0</v>
      </c>
      <c r="O40" s="37">
        <f>ROUND(O35-O39,2)</f>
        <v>232675.67</v>
      </c>
      <c r="P40" s="27">
        <f t="shared" si="27"/>
        <v>0.768886972106543</v>
      </c>
    </row>
    <row r="41">
      <c r="A41" s="42" t="inlineStr">
        <is>
          <t>其他支出</t>
        </is>
      </c>
      <c r="B41" s="43" t="str">
        <f>IF(基础资料!$W$35="",基础资料!$U$35&amp;"",基础资料!$W$35&amp;"")</f>
        <v>工资挂靠</v>
      </c>
      <c r="C41" s="44">
        <f>ROUND(-SUMIFS(资金台帐!$AD$6:$AD$3005,资金台帐!$T$6:$T$3005,$Q41,资金台帐!$U$6:$U$3005,"其他支出",资金台帐!$BH$6:$BH$3005,IF($C$3="全部","&gt;0",IFERROR(MATCH($C$3,基础资料!$B$5:$B$12,0),-1)),资金台帐!$BG$6:$BG$3005,$F$3*100+1),2)</f>
        <v>0</v>
      </c>
      <c r="D41" s="44">
        <f>ROUND(-SUMIFS(资金台帐!$AD$6:$AD$3005,资金台帐!$T$6:$T$3005,$Q41,资金台帐!$U$6:$U$3005,"其他支出",资金台帐!$BH$6:$BH$3005,IF($C$3="全部","&gt;0",IFERROR(MATCH($C$3,基础资料!$B$5:$B$12,0),-1)),资金台帐!$BG$6:$BG$3005,$F$3*100+2),2)</f>
        <v>0</v>
      </c>
      <c r="E41" s="44">
        <f>ROUND(-SUMIFS(资金台帐!$AD$6:$AD$3005,资金台帐!$T$6:$T$3005,$Q41,资金台帐!$U$6:$U$3005,"其他支出",资金台帐!$BH$6:$BH$3005,IF($C$3="全部","&gt;0",IFERROR(MATCH($C$3,基础资料!$B$5:$B$12,0),-1)),资金台帐!$BG$6:$BG$3005,$F$3*100+3),2)</f>
        <v>0</v>
      </c>
      <c r="F41" s="44">
        <f>ROUND(-SUMIFS(资金台帐!$AD$6:$AD$3005,资金台帐!$T$6:$T$3005,$Q41,资金台帐!$U$6:$U$3005,"其他支出",资金台帐!$BH$6:$BH$3005,IF($C$3="全部","&gt;0",IFERROR(MATCH($C$3,基础资料!$B$5:$B$12,0),-1)),资金台帐!$BG$6:$BG$3005,$F$3*100+4),2)</f>
        <v>0</v>
      </c>
      <c r="G41" s="44">
        <f>ROUND(-SUMIFS(资金台帐!$AD$6:$AD$3005,资金台帐!$T$6:$T$3005,$Q41,资金台帐!$U$6:$U$3005,"其他支出",资金台帐!$BH$6:$BH$3005,IF($C$3="全部","&gt;0",IFERROR(MATCH($C$3,基础资料!$B$5:$B$12,0),-1)),资金台帐!$BG$6:$BG$3005,$F$3*100+5),2)</f>
        <v>0</v>
      </c>
      <c r="H41" s="44">
        <f>ROUND(-SUMIFS(资金台帐!$AD$6:$AD$3005,资金台帐!$T$6:$T$3005,$Q41,资金台帐!$U$6:$U$3005,"其他支出",资金台帐!$BH$6:$BH$3005,IF($C$3="全部","&gt;0",IFERROR(MATCH($C$3,基础资料!$B$5:$B$12,0),-1)),资金台帐!$BG$6:$BG$3005,$F$3*100+6),2)</f>
        <v>0</v>
      </c>
      <c r="I41" s="44">
        <f>ROUND(-SUMIFS(资金台帐!$AD$6:$AD$3005,资金台帐!$T$6:$T$3005,$Q41,资金台帐!$U$6:$U$3005,"其他支出",资金台帐!$BH$6:$BH$3005,IF($C$3="全部","&gt;0",IFERROR(MATCH($C$3,基础资料!$B$5:$B$12,0),-1)),资金台帐!$BG$6:$BG$3005,$F$3*100+7),2)</f>
        <v>0</v>
      </c>
      <c r="J41" s="44">
        <f>ROUND(-SUMIFS(资金台帐!$AD$6:$AD$3005,资金台帐!$T$6:$T$3005,$Q41,资金台帐!$U$6:$U$3005,"其他支出",资金台帐!$BH$6:$BH$3005,IF($C$3="全部","&gt;0",IFERROR(MATCH($C$3,基础资料!$B$5:$B$12,0),-1)),资金台帐!$BG$6:$BG$3005,$F$3*100+8),2)</f>
        <v>0</v>
      </c>
      <c r="K41" s="44">
        <f>ROUND(-SUMIFS(资金台帐!$AD$6:$AD$3005,资金台帐!$T$6:$T$3005,$Q41,资金台帐!$U$6:$U$3005,"其他支出",资金台帐!$BH$6:$BH$3005,IF($C$3="全部","&gt;0",IFERROR(MATCH($C$3,基础资料!$B$5:$B$12,0),-1)),资金台帐!$BG$6:$BG$3005,$F$3*100+9),2)</f>
        <v>0</v>
      </c>
      <c r="L41" s="44">
        <f>ROUND(-SUMIFS(资金台帐!$AD$6:$AD$3005,资金台帐!$T$6:$T$3005,$Q41,资金台帐!$U$6:$U$3005,"其他支出",资金台帐!$BH$6:$BH$3005,IF($C$3="全部","&gt;0",IFERROR(MATCH($C$3,基础资料!$B$5:$B$12,0),-1)),资金台帐!$BG$6:$BG$3005,$F$3*100+10),2)</f>
        <v>0</v>
      </c>
      <c r="M41" s="44">
        <f>ROUND(-SUMIFS(资金台帐!$AD$6:$AD$3005,资金台帐!$T$6:$T$3005,$Q41,资金台帐!$U$6:$U$3005,"其他支出",资金台帐!$BH$6:$BH$3005,IF($C$3="全部","&gt;0",IFERROR(MATCH($C$3,基础资料!$B$5:$B$12,0),-1)),资金台帐!$BG$6:$BG$3005,$F$3*100+11),2)</f>
        <v>0</v>
      </c>
      <c r="N41" s="44">
        <f>ROUND(-SUMIFS(资金台帐!$AD$6:$AD$3005,资金台帐!$T$6:$T$3005,$Q41,资金台帐!$U$6:$U$3005,"其他支出",资金台帐!$BH$6:$BH$3005,IF($C$3="全部","&gt;0",IFERROR(MATCH($C$3,基础资料!$B$5:$B$12,0),-1)),资金台帐!$BG$6:$BG$3005,$F$3*100+12),2)</f>
        <v>0</v>
      </c>
      <c r="O41" s="45">
        <f t="shared" ref="O41:O44" si="26">ROUND(SUM(C41:N41),2)</f>
        <v>0</v>
      </c>
      <c r="P41" s="27">
        <f t="shared" si="27"/>
        <v>0</v>
      </c>
      <c r="Q41" s="22" t="str">
        <f>基础资料!$U$35&amp;""</f>
        <v>工资挂靠</v>
      </c>
    </row>
    <row r="42">
      <c r="A42" s="18" t="n"/>
      <c r="B42" s="43" t="str">
        <f>IF(基础资料!$W$36="",基础资料!$U$36&amp;"",基础资料!$W$36&amp;"")</f>
        <v>社保挂靠</v>
      </c>
      <c r="C42" s="44">
        <f>ROUND(-SUMIFS(资金台帐!$AD$6:$AD$3005,资金台帐!$T$6:$T$3005,$Q42,资金台帐!$U$6:$U$3005,"其他支出",资金台帐!$BH$6:$BH$3005,IF($C$3="全部","&gt;0",IFERROR(MATCH($C$3,基础资料!$B$5:$B$12,0),-1)),资金台帐!$BG$6:$BG$3005,$F$3*100+1),2)</f>
        <v>0</v>
      </c>
      <c r="D42" s="44">
        <f>ROUND(-SUMIFS(资金台帐!$AD$6:$AD$3005,资金台帐!$T$6:$T$3005,$Q42,资金台帐!$U$6:$U$3005,"其他支出",资金台帐!$BH$6:$BH$3005,IF($C$3="全部","&gt;0",IFERROR(MATCH($C$3,基础资料!$B$5:$B$12,0),-1)),资金台帐!$BG$6:$BG$3005,$F$3*100+2),2)</f>
        <v>0</v>
      </c>
      <c r="E42" s="44">
        <f>ROUND(-SUMIFS(资金台帐!$AD$6:$AD$3005,资金台帐!$T$6:$T$3005,$Q42,资金台帐!$U$6:$U$3005,"其他支出",资金台帐!$BH$6:$BH$3005,IF($C$3="全部","&gt;0",IFERROR(MATCH($C$3,基础资料!$B$5:$B$12,0),-1)),资金台帐!$BG$6:$BG$3005,$F$3*100+3),2)</f>
        <v>0</v>
      </c>
      <c r="F42" s="44">
        <f>ROUND(-SUMIFS(资金台帐!$AD$6:$AD$3005,资金台帐!$T$6:$T$3005,$Q42,资金台帐!$U$6:$U$3005,"其他支出",资金台帐!$BH$6:$BH$3005,IF($C$3="全部","&gt;0",IFERROR(MATCH($C$3,基础资料!$B$5:$B$12,0),-1)),资金台帐!$BG$6:$BG$3005,$F$3*100+4),2)</f>
        <v>0</v>
      </c>
      <c r="G42" s="44">
        <f>ROUND(-SUMIFS(资金台帐!$AD$6:$AD$3005,资金台帐!$T$6:$T$3005,$Q42,资金台帐!$U$6:$U$3005,"其他支出",资金台帐!$BH$6:$BH$3005,IF($C$3="全部","&gt;0",IFERROR(MATCH($C$3,基础资料!$B$5:$B$12,0),-1)),资金台帐!$BG$6:$BG$3005,$F$3*100+5),2)</f>
        <v>0</v>
      </c>
      <c r="H42" s="44">
        <f>ROUND(-SUMIFS(资金台帐!$AD$6:$AD$3005,资金台帐!$T$6:$T$3005,$Q42,资金台帐!$U$6:$U$3005,"其他支出",资金台帐!$BH$6:$BH$3005,IF($C$3="全部","&gt;0",IFERROR(MATCH($C$3,基础资料!$B$5:$B$12,0),-1)),资金台帐!$BG$6:$BG$3005,$F$3*100+6),2)</f>
        <v>0</v>
      </c>
      <c r="I42" s="44">
        <f>ROUND(-SUMIFS(资金台帐!$AD$6:$AD$3005,资金台帐!$T$6:$T$3005,$Q42,资金台帐!$U$6:$U$3005,"其他支出",资金台帐!$BH$6:$BH$3005,IF($C$3="全部","&gt;0",IFERROR(MATCH($C$3,基础资料!$B$5:$B$12,0),-1)),资金台帐!$BG$6:$BG$3005,$F$3*100+7),2)</f>
        <v>0</v>
      </c>
      <c r="J42" s="44">
        <f>ROUND(-SUMIFS(资金台帐!$AD$6:$AD$3005,资金台帐!$T$6:$T$3005,$Q42,资金台帐!$U$6:$U$3005,"其他支出",资金台帐!$BH$6:$BH$3005,IF($C$3="全部","&gt;0",IFERROR(MATCH($C$3,基础资料!$B$5:$B$12,0),-1)),资金台帐!$BG$6:$BG$3005,$F$3*100+8),2)</f>
        <v>0</v>
      </c>
      <c r="K42" s="44">
        <f>ROUND(-SUMIFS(资金台帐!$AD$6:$AD$3005,资金台帐!$T$6:$T$3005,$Q42,资金台帐!$U$6:$U$3005,"其他支出",资金台帐!$BH$6:$BH$3005,IF($C$3="全部","&gt;0",IFERROR(MATCH($C$3,基础资料!$B$5:$B$12,0),-1)),资金台帐!$BG$6:$BG$3005,$F$3*100+9),2)</f>
        <v>0</v>
      </c>
      <c r="L42" s="44">
        <f>ROUND(-SUMIFS(资金台帐!$AD$6:$AD$3005,资金台帐!$T$6:$T$3005,$Q42,资金台帐!$U$6:$U$3005,"其他支出",资金台帐!$BH$6:$BH$3005,IF($C$3="全部","&gt;0",IFERROR(MATCH($C$3,基础资料!$B$5:$B$12,0),-1)),资金台帐!$BG$6:$BG$3005,$F$3*100+10),2)</f>
        <v>0</v>
      </c>
      <c r="M42" s="44">
        <f>ROUND(-SUMIFS(资金台帐!$AD$6:$AD$3005,资金台帐!$T$6:$T$3005,$Q42,资金台帐!$U$6:$U$3005,"其他支出",资金台帐!$BH$6:$BH$3005,IF($C$3="全部","&gt;0",IFERROR(MATCH($C$3,基础资料!$B$5:$B$12,0),-1)),资金台帐!$BG$6:$BG$3005,$F$3*100+11),2)</f>
        <v>0</v>
      </c>
      <c r="N42" s="44">
        <f>ROUND(-SUMIFS(资金台帐!$AD$6:$AD$3005,资金台帐!$T$6:$T$3005,$Q42,资金台帐!$U$6:$U$3005,"其他支出",资金台帐!$BH$6:$BH$3005,IF($C$3="全部","&gt;0",IFERROR(MATCH($C$3,基础资料!$B$5:$B$12,0),-1)),资金台帐!$BG$6:$BG$3005,$F$3*100+12),2)</f>
        <v>0</v>
      </c>
      <c r="O42" s="45">
        <f t="shared" si="26"/>
        <v>0</v>
      </c>
      <c r="P42" s="27">
        <f t="shared" si="27"/>
        <v>0</v>
      </c>
      <c r="Q42" s="22" t="str">
        <f>基础资料!$U$36&amp;""</f>
        <v>社保挂靠</v>
      </c>
    </row>
    <row r="43">
      <c r="A43" s="18" t="n"/>
      <c r="B43" s="43" t="str">
        <f>IF(基础资料!$W$37="",基础资料!$U$37&amp;"",基础资料!$W$37&amp;"")</f>
        <v>贷款利息</v>
      </c>
      <c r="C43" s="44">
        <f>ROUND(-SUMIFS(资金台帐!$AD$6:$AD$3005,资金台帐!$T$6:$T$3005,$Q43,资金台帐!$U$6:$U$3005,"其他支出",资金台帐!$BH$6:$BH$3005,IF($C$3="全部","&gt;0",IFERROR(MATCH($C$3,基础资料!$B$5:$B$12,0),-1)),资金台帐!$BG$6:$BG$3005,$F$3*100+1),2)</f>
        <v>0</v>
      </c>
      <c r="D43" s="44">
        <f>ROUND(-SUMIFS(资金台帐!$AD$6:$AD$3005,资金台帐!$T$6:$T$3005,$Q43,资金台帐!$U$6:$U$3005,"其他支出",资金台帐!$BH$6:$BH$3005,IF($C$3="全部","&gt;0",IFERROR(MATCH($C$3,基础资料!$B$5:$B$12,0),-1)),资金台帐!$BG$6:$BG$3005,$F$3*100+2),2)</f>
        <v>0</v>
      </c>
      <c r="E43" s="44">
        <f>ROUND(-SUMIFS(资金台帐!$AD$6:$AD$3005,资金台帐!$T$6:$T$3005,$Q43,资金台帐!$U$6:$U$3005,"其他支出",资金台帐!$BH$6:$BH$3005,IF($C$3="全部","&gt;0",IFERROR(MATCH($C$3,基础资料!$B$5:$B$12,0),-1)),资金台帐!$BG$6:$BG$3005,$F$3*100+3),2)</f>
        <v>0</v>
      </c>
      <c r="F43" s="44">
        <f>ROUND(-SUMIFS(资金台帐!$AD$6:$AD$3005,资金台帐!$T$6:$T$3005,$Q43,资金台帐!$U$6:$U$3005,"其他支出",资金台帐!$BH$6:$BH$3005,IF($C$3="全部","&gt;0",IFERROR(MATCH($C$3,基础资料!$B$5:$B$12,0),-1)),资金台帐!$BG$6:$BG$3005,$F$3*100+4),2)</f>
        <v>0</v>
      </c>
      <c r="G43" s="44">
        <f>ROUND(-SUMIFS(资金台帐!$AD$6:$AD$3005,资金台帐!$T$6:$T$3005,$Q43,资金台帐!$U$6:$U$3005,"其他支出",资金台帐!$BH$6:$BH$3005,IF($C$3="全部","&gt;0",IFERROR(MATCH($C$3,基础资料!$B$5:$B$12,0),-1)),资金台帐!$BG$6:$BG$3005,$F$3*100+5),2)</f>
        <v>0</v>
      </c>
      <c r="H43" s="44">
        <f>ROUND(-SUMIFS(资金台帐!$AD$6:$AD$3005,资金台帐!$T$6:$T$3005,$Q43,资金台帐!$U$6:$U$3005,"其他支出",资金台帐!$BH$6:$BH$3005,IF($C$3="全部","&gt;0",IFERROR(MATCH($C$3,基础资料!$B$5:$B$12,0),-1)),资金台帐!$BG$6:$BG$3005,$F$3*100+6),2)</f>
        <v>0</v>
      </c>
      <c r="I43" s="44">
        <f>ROUND(-SUMIFS(资金台帐!$AD$6:$AD$3005,资金台帐!$T$6:$T$3005,$Q43,资金台帐!$U$6:$U$3005,"其他支出",资金台帐!$BH$6:$BH$3005,IF($C$3="全部","&gt;0",IFERROR(MATCH($C$3,基础资料!$B$5:$B$12,0),-1)),资金台帐!$BG$6:$BG$3005,$F$3*100+7),2)</f>
        <v>0</v>
      </c>
      <c r="J43" s="44">
        <f>ROUND(-SUMIFS(资金台帐!$AD$6:$AD$3005,资金台帐!$T$6:$T$3005,$Q43,资金台帐!$U$6:$U$3005,"其他支出",资金台帐!$BH$6:$BH$3005,IF($C$3="全部","&gt;0",IFERROR(MATCH($C$3,基础资料!$B$5:$B$12,0),-1)),资金台帐!$BG$6:$BG$3005,$F$3*100+8),2)</f>
        <v>0</v>
      </c>
      <c r="K43" s="44">
        <f>ROUND(-SUMIFS(资金台帐!$AD$6:$AD$3005,资金台帐!$T$6:$T$3005,$Q43,资金台帐!$U$6:$U$3005,"其他支出",资金台帐!$BH$6:$BH$3005,IF($C$3="全部","&gt;0",IFERROR(MATCH($C$3,基础资料!$B$5:$B$12,0),-1)),资金台帐!$BG$6:$BG$3005,$F$3*100+9),2)</f>
        <v>0</v>
      </c>
      <c r="L43" s="44">
        <f>ROUND(-SUMIFS(资金台帐!$AD$6:$AD$3005,资金台帐!$T$6:$T$3005,$Q43,资金台帐!$U$6:$U$3005,"其他支出",资金台帐!$BH$6:$BH$3005,IF($C$3="全部","&gt;0",IFERROR(MATCH($C$3,基础资料!$B$5:$B$12,0),-1)),资金台帐!$BG$6:$BG$3005,$F$3*100+10),2)</f>
        <v>0</v>
      </c>
      <c r="M43" s="44">
        <f>ROUND(-SUMIFS(资金台帐!$AD$6:$AD$3005,资金台帐!$T$6:$T$3005,$Q43,资金台帐!$U$6:$U$3005,"其他支出",资金台帐!$BH$6:$BH$3005,IF($C$3="全部","&gt;0",IFERROR(MATCH($C$3,基础资料!$B$5:$B$12,0),-1)),资金台帐!$BG$6:$BG$3005,$F$3*100+11),2)</f>
        <v>0</v>
      </c>
      <c r="N43" s="44">
        <f>ROUND(-SUMIFS(资金台帐!$AD$6:$AD$3005,资金台帐!$T$6:$T$3005,$Q43,资金台帐!$U$6:$U$3005,"其他支出",资金台帐!$BH$6:$BH$3005,IF($C$3="全部","&gt;0",IFERROR(MATCH($C$3,基础资料!$B$5:$B$12,0),-1)),资金台帐!$BG$6:$BG$3005,$F$3*100+12),2)</f>
        <v>0</v>
      </c>
      <c r="O43" s="45">
        <f t="shared" si="26"/>
        <v>0</v>
      </c>
      <c r="P43" s="27">
        <f t="shared" si="27"/>
        <v>0</v>
      </c>
      <c r="Q43" s="22" t="str">
        <f>基础资料!$U$37&amp;""</f>
        <v>贷款利息</v>
      </c>
    </row>
    <row r="44">
      <c r="A44" s="18" t="n"/>
      <c r="B44" s="43" t="str">
        <f>IF(COUNTIFS(基础资料!$V$5:$V$64,"其他支出",基础资料!$U$5:$U$64,"?*")&gt;3,"其他（含新加项目）","其他")</f>
        <v>其他</v>
      </c>
      <c r="C44" s="44">
        <f>ROUND(-SUMIFS(资金台帐!$AD$6:$AD$3005,资金台帐!$U$6:$U$3005,"其他支出",资金台帐!$BH$6:$BH$3005,IF($C$3="全部","&gt;0",IFERROR(MATCH($C$3,基础资料!$B$5:$B$12,0),-1)),资金台帐!$BG$6:$BG$3005,$F$3*100+1)-SUM(C41:C43),2)</f>
        <v>0</v>
      </c>
      <c r="D44" s="44">
        <f>ROUND(-SUMIFS(资金台帐!$AD$6:$AD$3005,资金台帐!$U$6:$U$3005,"其他支出",资金台帐!$BH$6:$BH$3005,IF($C$3="全部","&gt;0",IFERROR(MATCH($C$3,基础资料!$B$5:$B$12,0),-1)),资金台帐!$BG$6:$BG$3005,$F$3*100+2)-SUM(D41:D43),2)</f>
        <v>0</v>
      </c>
      <c r="E44" s="44">
        <f>ROUND(-SUMIFS(资金台帐!$AD$6:$AD$3005,资金台帐!$U$6:$U$3005,"其他支出",资金台帐!$BH$6:$BH$3005,IF($C$3="全部","&gt;0",IFERROR(MATCH($C$3,基础资料!$B$5:$B$12,0),-1)),资金台帐!$BG$6:$BG$3005,$F$3*100+3)-SUM(E41:E43),2)</f>
        <v>0</v>
      </c>
      <c r="F44" s="44">
        <f>ROUND(-SUMIFS(资金台帐!$AD$6:$AD$3005,资金台帐!$U$6:$U$3005,"其他支出",资金台帐!$BH$6:$BH$3005,IF($C$3="全部","&gt;0",IFERROR(MATCH($C$3,基础资料!$B$5:$B$12,0),-1)),资金台帐!$BG$6:$BG$3005,$F$3*100+4)-SUM(F41:F43),2)</f>
        <v>0</v>
      </c>
      <c r="G44" s="44">
        <f>ROUND(-SUMIFS(资金台帐!$AD$6:$AD$3005,资金台帐!$U$6:$U$3005,"其他支出",资金台帐!$BH$6:$BH$3005,IF($C$3="全部","&gt;0",IFERROR(MATCH($C$3,基础资料!$B$5:$B$12,0),-1)),资金台帐!$BG$6:$BG$3005,$F$3*100+5)-SUM(G41:G43),2)</f>
        <v>0</v>
      </c>
      <c r="H44" s="44">
        <f>ROUND(-SUMIFS(资金台帐!$AD$6:$AD$3005,资金台帐!$U$6:$U$3005,"其他支出",资金台帐!$BH$6:$BH$3005,IF($C$3="全部","&gt;0",IFERROR(MATCH($C$3,基础资料!$B$5:$B$12,0),-1)),资金台帐!$BG$6:$BG$3005,$F$3*100+6)-SUM(H41:H43),2)</f>
        <v>0</v>
      </c>
      <c r="I44" s="44">
        <f>ROUND(-SUMIFS(资金台帐!$AD$6:$AD$3005,资金台帐!$U$6:$U$3005,"其他支出",资金台帐!$BH$6:$BH$3005,IF($C$3="全部","&gt;0",IFERROR(MATCH($C$3,基础资料!$B$5:$B$12,0),-1)),资金台帐!$BG$6:$BG$3005,$F$3*100+7)-SUM(I41:I43),2)</f>
        <v>0</v>
      </c>
      <c r="J44" s="44">
        <f>ROUND(-SUMIFS(资金台帐!$AD$6:$AD$3005,资金台帐!$U$6:$U$3005,"其他支出",资金台帐!$BH$6:$BH$3005,IF($C$3="全部","&gt;0",IFERROR(MATCH($C$3,基础资料!$B$5:$B$12,0),-1)),资金台帐!$BG$6:$BG$3005,$F$3*100+8)-SUM(J41:J43),2)</f>
        <v>0</v>
      </c>
      <c r="K44" s="44">
        <f>ROUND(-SUMIFS(资金台帐!$AD$6:$AD$3005,资金台帐!$U$6:$U$3005,"其他支出",资金台帐!$BH$6:$BH$3005,IF($C$3="全部","&gt;0",IFERROR(MATCH($C$3,基础资料!$B$5:$B$12,0),-1)),资金台帐!$BG$6:$BG$3005,$F$3*100+9)-SUM(K41:K43),2)</f>
        <v>0</v>
      </c>
      <c r="L44" s="44">
        <f>ROUND(-SUMIFS(资金台帐!$AD$6:$AD$3005,资金台帐!$U$6:$U$3005,"其他支出",资金台帐!$BH$6:$BH$3005,IF($C$3="全部","&gt;0",IFERROR(MATCH($C$3,基础资料!$B$5:$B$12,0),-1)),资金台帐!$BG$6:$BG$3005,$F$3*100+10)-SUM(L41:L43),2)</f>
        <v>0</v>
      </c>
      <c r="M44" s="44">
        <f>ROUND(-SUMIFS(资金台帐!$AD$6:$AD$3005,资金台帐!$U$6:$U$3005,"其他支出",资金台帐!$BH$6:$BH$3005,IF($C$3="全部","&gt;0",IFERROR(MATCH($C$3,基础资料!$B$5:$B$12,0),-1)),资金台帐!$BG$6:$BG$3005,$F$3*100+11)-SUM(M41:M43),2)</f>
        <v>0</v>
      </c>
      <c r="N44" s="44">
        <f>ROUND(-SUMIFS(资金台帐!$AD$6:$AD$3005,资金台帐!$U$6:$U$3005,"其他支出",资金台帐!$BH$6:$BH$3005,IF($C$3="全部","&gt;0",IFERROR(MATCH($C$3,基础资料!$B$5:$B$12,0),-1)),资金台帐!$BG$6:$BG$3005,$F$3*100+12)-SUM(N41:N43),2)</f>
        <v>0</v>
      </c>
      <c r="O44" s="45">
        <f t="shared" si="26"/>
        <v>0</v>
      </c>
      <c r="P44" s="27">
        <f t="shared" si="27"/>
        <v>0</v>
      </c>
    </row>
    <row r="45">
      <c r="A45" s="18" t="n"/>
      <c r="B45" s="34" t="inlineStr">
        <is>
          <t>其他支出小计</t>
        </is>
      </c>
      <c r="C45" s="35">
        <f>ROUND(SUM(C41:C44),2)</f>
        <v>0</v>
      </c>
      <c r="D45" s="35">
        <f>ROUND(SUM(D41:D44),2)</f>
        <v>0</v>
      </c>
      <c r="E45" s="35">
        <f>ROUND(SUM(E41:E44),2)</f>
        <v>0</v>
      </c>
      <c r="F45" s="35">
        <f>ROUND(SUM(F41:F44),2)</f>
        <v>0</v>
      </c>
      <c r="G45" s="35">
        <f>ROUND(SUM(G41:G44),2)</f>
        <v>0</v>
      </c>
      <c r="H45" s="35">
        <f>ROUND(SUM(H41:H44),2)</f>
        <v>0</v>
      </c>
      <c r="I45" s="35">
        <f>ROUND(SUM(I41:I44),2)</f>
        <v>0</v>
      </c>
      <c r="J45" s="35">
        <f>ROUND(SUM(J41:J44),2)</f>
        <v>0</v>
      </c>
      <c r="K45" s="35">
        <f>ROUND(SUM(K41:K44),2)</f>
        <v>0</v>
      </c>
      <c r="L45" s="35">
        <f>ROUND(SUM(L41:L44),2)</f>
        <v>0</v>
      </c>
      <c r="M45" s="35">
        <f>ROUND(SUM(M41:M44),2)</f>
        <v>0</v>
      </c>
      <c r="N45" s="35">
        <f>ROUND(SUM(N41:N44),2)</f>
        <v>0</v>
      </c>
      <c r="O45" s="35">
        <f>ROUND(SUM(O41:O44),2)</f>
        <v>0</v>
      </c>
      <c r="P45" s="27">
        <f t="shared" si="27"/>
        <v>0</v>
      </c>
    </row>
    <row r="46">
      <c r="A46" s="42" t="inlineStr">
        <is>
          <t>收到为准</t>
        </is>
      </c>
      <c r="B46" s="43" t="inlineStr">
        <is>
          <t>实收资本</t>
        </is>
      </c>
      <c r="C46" s="44">
        <f>ROUND(SUMIFS(资金台帐!$AD$6:$AD$3005,资金台帐!$U$6:$U$3005,"收到为准",资金台帐!$BH$6:$BH$3005,IF($C$3="全部","&gt;0",IFERROR(MATCH($C$3,基础资料!$B$5:$B$12,0),-1)),资金台帐!$BG$6:$BG$3005,$F$3*100+1),2)</f>
        <v>0</v>
      </c>
      <c r="D46" s="44">
        <f>ROUND(SUMIFS(资金台帐!$AD$6:$AD$3005,资金台帐!$U$6:$U$3005,"收到为准",资金台帐!$BH$6:$BH$3005,IF($C$3="全部","&gt;0",IFERROR(MATCH($C$3,基础资料!$B$5:$B$12,0),-1)),资金台帐!$BG$6:$BG$3005,$F$3*100+2),2)</f>
        <v>0</v>
      </c>
      <c r="E46" s="44">
        <f>ROUND(SUMIFS(资金台帐!$AD$6:$AD$3005,资金台帐!$U$6:$U$3005,"收到为准",资金台帐!$BH$6:$BH$3005,IF($C$3="全部","&gt;0",IFERROR(MATCH($C$3,基础资料!$B$5:$B$12,0),-1)),资金台帐!$BG$6:$BG$3005,$F$3*100+3),2)</f>
        <v>0</v>
      </c>
      <c r="F46" s="44">
        <f>ROUND(SUMIFS(资金台帐!$AD$6:$AD$3005,资金台帐!$U$6:$U$3005,"收到为准",资金台帐!$BH$6:$BH$3005,IF($C$3="全部","&gt;0",IFERROR(MATCH($C$3,基础资料!$B$5:$B$12,0),-1)),资金台帐!$BG$6:$BG$3005,$F$3*100+4),2)</f>
        <v>0</v>
      </c>
      <c r="G46" s="44">
        <f>ROUND(SUMIFS(资金台帐!$AD$6:$AD$3005,资金台帐!$U$6:$U$3005,"收到为准",资金台帐!$BH$6:$BH$3005,IF($C$3="全部","&gt;0",IFERROR(MATCH($C$3,基础资料!$B$5:$B$12,0),-1)),资金台帐!$BG$6:$BG$3005,$F$3*100+5),2)</f>
        <v>0</v>
      </c>
      <c r="H46" s="44">
        <f>ROUND(SUMIFS(资金台帐!$AD$6:$AD$3005,资金台帐!$U$6:$U$3005,"收到为准",资金台帐!$BH$6:$BH$3005,IF($C$3="全部","&gt;0",IFERROR(MATCH($C$3,基础资料!$B$5:$B$12,0),-1)),资金台帐!$BG$6:$BG$3005,$F$3*100+6),2)</f>
        <v>0</v>
      </c>
      <c r="I46" s="44">
        <f>ROUND(SUMIFS(资金台帐!$AD$6:$AD$3005,资金台帐!$U$6:$U$3005,"收到为准",资金台帐!$BH$6:$BH$3005,IF($C$3="全部","&gt;0",IFERROR(MATCH($C$3,基础资料!$B$5:$B$12,0),-1)),资金台帐!$BG$6:$BG$3005,$F$3*100+7),2)</f>
        <v>0</v>
      </c>
      <c r="J46" s="44">
        <f>ROUND(SUMIFS(资金台帐!$AD$6:$AD$3005,资金台帐!$U$6:$U$3005,"收到为准",资金台帐!$BH$6:$BH$3005,IF($C$3="全部","&gt;0",IFERROR(MATCH($C$3,基础资料!$B$5:$B$12,0),-1)),资金台帐!$BG$6:$BG$3005,$F$3*100+8),2)</f>
        <v>0</v>
      </c>
      <c r="K46" s="44">
        <f>ROUND(SUMIFS(资金台帐!$AD$6:$AD$3005,资金台帐!$U$6:$U$3005,"收到为准",资金台帐!$BH$6:$BH$3005,IF($C$3="全部","&gt;0",IFERROR(MATCH($C$3,基础资料!$B$5:$B$12,0),-1)),资金台帐!$BG$6:$BG$3005,$F$3*100+9),2)</f>
        <v>0</v>
      </c>
      <c r="L46" s="44">
        <f>ROUND(SUMIFS(资金台帐!$AD$6:$AD$3005,资金台帐!$U$6:$U$3005,"收到为准",资金台帐!$BH$6:$BH$3005,IF($C$3="全部","&gt;0",IFERROR(MATCH($C$3,基础资料!$B$5:$B$12,0),-1)),资金台帐!$BG$6:$BG$3005,$F$3*100+10),2)</f>
        <v>0</v>
      </c>
      <c r="M46" s="44">
        <f>ROUND(SUMIFS(资金台帐!$AD$6:$AD$3005,资金台帐!$U$6:$U$3005,"收到为准",资金台帐!$BH$6:$BH$3005,IF($C$3="全部","&gt;0",IFERROR(MATCH($C$3,基础资料!$B$5:$B$12,0),-1)),资金台帐!$BG$6:$BG$3005,$F$3*100+11),2)</f>
        <v>0</v>
      </c>
      <c r="N46" s="44">
        <f>ROUND(SUMIFS(资金台帐!$AD$6:$AD$3005,资金台帐!$U$6:$U$3005,"收到为准",资金台帐!$BH$6:$BH$3005,IF($C$3="全部","&gt;0",IFERROR(MATCH($C$3,基础资料!$B$5:$B$12,0),-1)),资金台帐!$BG$6:$BG$3005,$F$3*100+12),2)</f>
        <v>0</v>
      </c>
      <c r="O46" s="45">
        <f>ROUND(SUM(C46:N46),2)</f>
        <v>0</v>
      </c>
      <c r="P46" s="27">
        <f t="shared" si="27"/>
        <v>0</v>
      </c>
    </row>
    <row r="47">
      <c r="A47" s="42" t="inlineStr">
        <is>
          <t>支出为准</t>
        </is>
      </c>
      <c r="B47" s="43" t="inlineStr">
        <is>
          <t>投资</t>
        </is>
      </c>
      <c r="C47" s="44">
        <f>ROUND(-SUMIFS(资金台帐!$AD$6:$AD$3005,资金台帐!$U$6:$U$3005,"支出为准",资金台帐!$BH$6:$BH$3005,IF($C$3="全部","&gt;0",IFERROR(MATCH($C$3,基础资料!$B$5:$B$12,0),-1)),资金台帐!$BG$6:$BG$3005,$F$3*100+1),2)</f>
        <v>0</v>
      </c>
      <c r="D47" s="44">
        <f>ROUND(-SUMIFS(资金台帐!$AD$6:$AD$3005,资金台帐!$U$6:$U$3005,"支出为准",资金台帐!$BH$6:$BH$3005,IF($C$3="全部","&gt;0",IFERROR(MATCH($C$3,基础资料!$B$5:$B$12,0),-1)),资金台帐!$BG$6:$BG$3005,$F$3*100+2),2)</f>
        <v>0</v>
      </c>
      <c r="E47" s="44">
        <f>ROUND(-SUMIFS(资金台帐!$AD$6:$AD$3005,资金台帐!$U$6:$U$3005,"支出为准",资金台帐!$BH$6:$BH$3005,IF($C$3="全部","&gt;0",IFERROR(MATCH($C$3,基础资料!$B$5:$B$12,0),-1)),资金台帐!$BG$6:$BG$3005,$F$3*100+3),2)</f>
        <v>0</v>
      </c>
      <c r="F47" s="44">
        <f>ROUND(-SUMIFS(资金台帐!$AD$6:$AD$3005,资金台帐!$U$6:$U$3005,"支出为准",资金台帐!$BH$6:$BH$3005,IF($C$3="全部","&gt;0",IFERROR(MATCH($C$3,基础资料!$B$5:$B$12,0),-1)),资金台帐!$BG$6:$BG$3005,$F$3*100+4),2)</f>
        <v>0</v>
      </c>
      <c r="G47" s="44">
        <f>ROUND(-SUMIFS(资金台帐!$AD$6:$AD$3005,资金台帐!$U$6:$U$3005,"支出为准",资金台帐!$BH$6:$BH$3005,IF($C$3="全部","&gt;0",IFERROR(MATCH($C$3,基础资料!$B$5:$B$12,0),-1)),资金台帐!$BG$6:$BG$3005,$F$3*100+5),2)</f>
        <v>0</v>
      </c>
      <c r="H47" s="44">
        <f>ROUND(-SUMIFS(资金台帐!$AD$6:$AD$3005,资金台帐!$U$6:$U$3005,"支出为准",资金台帐!$BH$6:$BH$3005,IF($C$3="全部","&gt;0",IFERROR(MATCH($C$3,基础资料!$B$5:$B$12,0),-1)),资金台帐!$BG$6:$BG$3005,$F$3*100+6),2)</f>
        <v>0</v>
      </c>
      <c r="I47" s="44">
        <f>ROUND(-SUMIFS(资金台帐!$AD$6:$AD$3005,资金台帐!$U$6:$U$3005,"支出为准",资金台帐!$BH$6:$BH$3005,IF($C$3="全部","&gt;0",IFERROR(MATCH($C$3,基础资料!$B$5:$B$12,0),-1)),资金台帐!$BG$6:$BG$3005,$F$3*100+7),2)</f>
        <v>0</v>
      </c>
      <c r="J47" s="44">
        <f>ROUND(-SUMIFS(资金台帐!$AD$6:$AD$3005,资金台帐!$U$6:$U$3005,"支出为准",资金台帐!$BH$6:$BH$3005,IF($C$3="全部","&gt;0",IFERROR(MATCH($C$3,基础资料!$B$5:$B$12,0),-1)),资金台帐!$BG$6:$BG$3005,$F$3*100+8),2)</f>
        <v>0</v>
      </c>
      <c r="K47" s="44">
        <f>ROUND(-SUMIFS(资金台帐!$AD$6:$AD$3005,资金台帐!$U$6:$U$3005,"支出为准",资金台帐!$BH$6:$BH$3005,IF($C$3="全部","&gt;0",IFERROR(MATCH($C$3,基础资料!$B$5:$B$12,0),-1)),资金台帐!$BG$6:$BG$3005,$F$3*100+9),2)</f>
        <v>0</v>
      </c>
      <c r="L47" s="44">
        <f>ROUND(-SUMIFS(资金台帐!$AD$6:$AD$3005,资金台帐!$U$6:$U$3005,"支出为准",资金台帐!$BH$6:$BH$3005,IF($C$3="全部","&gt;0",IFERROR(MATCH($C$3,基础资料!$B$5:$B$12,0),-1)),资金台帐!$BG$6:$BG$3005,$F$3*100+10),2)</f>
        <v>0</v>
      </c>
      <c r="M47" s="44">
        <f>ROUND(-SUMIFS(资金台帐!$AD$6:$AD$3005,资金台帐!$U$6:$U$3005,"支出为准",资金台帐!$BH$6:$BH$3005,IF($C$3="全部","&gt;0",IFERROR(MATCH($C$3,基础资料!$B$5:$B$12,0),-1)),资金台帐!$BG$6:$BG$3005,$F$3*100+11),2)</f>
        <v>0</v>
      </c>
      <c r="N47" s="44">
        <f>ROUND(-SUMIFS(资金台帐!$AD$6:$AD$3005,资金台帐!$U$6:$U$3005,"支出为准",资金台帐!$BH$6:$BH$3005,IF($C$3="全部","&gt;0",IFERROR(MATCH($C$3,基础资料!$B$5:$B$12,0),-1)),资金台帐!$BG$6:$BG$3005,$F$3*100+12),2)</f>
        <v>0</v>
      </c>
      <c r="O47" s="45">
        <f>ROUND(SUM(C47:N47),2)</f>
        <v>0</v>
      </c>
      <c r="P47" s="27">
        <f t="shared" si="27"/>
        <v>0</v>
      </c>
    </row>
    <row r="48">
      <c r="A48" s="42" t="inlineStr"/>
      <c r="B48" s="43" t="inlineStr">
        <is>
          <t>往来（净收入）</t>
        </is>
      </c>
      <c r="C48" s="44">
        <f>ROUND(SUMIFS(资金台帐!$AD$6:$AD$3005,资金台帐!$U$6:$U$3005,"往来",资金台帐!$BH$6:$BH$3005,IF($C$3="全部","&gt;0",IFERROR(MATCH($C$3,基础资料!$B$5:$B$12,0),-1)),资金台帐!$BG$6:$BG$3005,$F$3*100+1),2)</f>
        <v>0</v>
      </c>
      <c r="D48" s="44">
        <f>ROUND(SUMIFS(资金台帐!$AD$6:$AD$3005,资金台帐!$U$6:$U$3005,"往来",资金台帐!$BH$6:$BH$3005,IF($C$3="全部","&gt;0",IFERROR(MATCH($C$3,基础资料!$B$5:$B$12,0),-1)),资金台帐!$BG$6:$BG$3005,$F$3*100+2),2)</f>
        <v>0</v>
      </c>
      <c r="E48" s="44">
        <f>ROUND(SUMIFS(资金台帐!$AD$6:$AD$3005,资金台帐!$U$6:$U$3005,"往来",资金台帐!$BH$6:$BH$3005,IF($C$3="全部","&gt;0",IFERROR(MATCH($C$3,基础资料!$B$5:$B$12,0),-1)),资金台帐!$BG$6:$BG$3005,$F$3*100+3),2)</f>
        <v>0</v>
      </c>
      <c r="F48" s="44">
        <f>ROUND(SUMIFS(资金台帐!$AD$6:$AD$3005,资金台帐!$U$6:$U$3005,"往来",资金台帐!$BH$6:$BH$3005,IF($C$3="全部","&gt;0",IFERROR(MATCH($C$3,基础资料!$B$5:$B$12,0),-1)),资金台帐!$BG$6:$BG$3005,$F$3*100+4),2)</f>
        <v>0</v>
      </c>
      <c r="G48" s="44">
        <f>ROUND(SUMIFS(资金台帐!$AD$6:$AD$3005,资金台帐!$U$6:$U$3005,"往来",资金台帐!$BH$6:$BH$3005,IF($C$3="全部","&gt;0",IFERROR(MATCH($C$3,基础资料!$B$5:$B$12,0),-1)),资金台帐!$BG$6:$BG$3005,$F$3*100+5),2)</f>
        <v>0</v>
      </c>
      <c r="H48" s="44">
        <f>ROUND(SUMIFS(资金台帐!$AD$6:$AD$3005,资金台帐!$U$6:$U$3005,"往来",资金台帐!$BH$6:$BH$3005,IF($C$3="全部","&gt;0",IFERROR(MATCH($C$3,基础资料!$B$5:$B$12,0),-1)),资金台帐!$BG$6:$BG$3005,$F$3*100+6),2)</f>
        <v>0</v>
      </c>
      <c r="I48" s="44">
        <f>ROUND(SUMIFS(资金台帐!$AD$6:$AD$3005,资金台帐!$U$6:$U$3005,"往来",资金台帐!$BH$6:$BH$3005,IF($C$3="全部","&gt;0",IFERROR(MATCH($C$3,基础资料!$B$5:$B$12,0),-1)),资金台帐!$BG$6:$BG$3005,$F$3*100+7),2)</f>
        <v>0</v>
      </c>
      <c r="J48" s="44">
        <f>ROUND(SUMIFS(资金台帐!$AD$6:$AD$3005,资金台帐!$U$6:$U$3005,"往来",资金台帐!$BH$6:$BH$3005,IF($C$3="全部","&gt;0",IFERROR(MATCH($C$3,基础资料!$B$5:$B$12,0),-1)),资金台帐!$BG$6:$BG$3005,$F$3*100+8),2)</f>
        <v>0</v>
      </c>
      <c r="K48" s="44">
        <f>ROUND(SUMIFS(资金台帐!$AD$6:$AD$3005,资金台帐!$U$6:$U$3005,"往来",资金台帐!$BH$6:$BH$3005,IF($C$3="全部","&gt;0",IFERROR(MATCH($C$3,基础资料!$B$5:$B$12,0),-1)),资金台帐!$BG$6:$BG$3005,$F$3*100+9),2)</f>
        <v>0</v>
      </c>
      <c r="L48" s="44">
        <f>ROUND(SUMIFS(资金台帐!$AD$6:$AD$3005,资金台帐!$U$6:$U$3005,"往来",资金台帐!$BH$6:$BH$3005,IF($C$3="全部","&gt;0",IFERROR(MATCH($C$3,基础资料!$B$5:$B$12,0),-1)),资金台帐!$BG$6:$BG$3005,$F$3*100+10),2)</f>
        <v>0</v>
      </c>
      <c r="M48" s="44">
        <f>ROUND(SUMIFS(资金台帐!$AD$6:$AD$3005,资金台帐!$U$6:$U$3005,"往来",资金台帐!$BH$6:$BH$3005,IF($C$3="全部","&gt;0",IFERROR(MATCH($C$3,基础资料!$B$5:$B$12,0),-1)),资金台帐!$BG$6:$BG$3005,$F$3*100+11),2)</f>
        <v>0</v>
      </c>
      <c r="N48" s="44">
        <f>ROUND(SUMIFS(资金台帐!$AD$6:$AD$3005,资金台帐!$U$6:$U$3005,"往来",资金台帐!$BH$6:$BH$3005,IF($C$3="全部","&gt;0",IFERROR(MATCH($C$3,基础资料!$B$5:$B$12,0),-1)),资金台帐!$BG$6:$BG$3005,$F$3*100+12),2)</f>
        <v>0</v>
      </c>
      <c r="O48" s="45">
        <f>ROUND(SUM(C48:N48),2)</f>
        <v>0</v>
      </c>
      <c r="P48" s="27">
        <f t="shared" si="27"/>
        <v>0</v>
      </c>
    </row>
    <row r="49"/>
    <row r="50">
      <c r="A50" s="46" t="inlineStr">
        <is>
          <t>参考</t>
        </is>
      </c>
      <c r="B50" s="47" t="inlineStr">
        <is>
          <t>内部划转（净收入）</t>
        </is>
      </c>
      <c r="C50" s="48">
        <f>ROUND(SUMIFS(资金台帐!$AD$6:$AD$3005,资金台帐!$U$6:$U$3005,"内部划转",资金台帐!$BH$6:$BH$3005,IF($C$3="全部","&gt;0",IFERROR(MATCH($C$3,基础资料!$B$5:$B$12,0),-1)),资金台帐!$BG$6:$BG$3005,$F$3*100+1),2)</f>
        <v>0</v>
      </c>
      <c r="D50" s="48">
        <f>ROUND(SUMIFS(资金台帐!$AD$6:$AD$3005,资金台帐!$U$6:$U$3005,"内部划转",资金台帐!$BH$6:$BH$3005,IF($C$3="全部","&gt;0",IFERROR(MATCH($C$3,基础资料!$B$5:$B$12,0),-1)),资金台帐!$BG$6:$BG$3005,$F$3*100+2),2)</f>
        <v>0</v>
      </c>
      <c r="E50" s="48">
        <f>ROUND(SUMIFS(资金台帐!$AD$6:$AD$3005,资金台帐!$U$6:$U$3005,"内部划转",资金台帐!$BH$6:$BH$3005,IF($C$3="全部","&gt;0",IFERROR(MATCH($C$3,基础资料!$B$5:$B$12,0),-1)),资金台帐!$BG$6:$BG$3005,$F$3*100+3),2)</f>
        <v>0</v>
      </c>
      <c r="F50" s="48">
        <f>ROUND(SUMIFS(资金台帐!$AD$6:$AD$3005,资金台帐!$U$6:$U$3005,"内部划转",资金台帐!$BH$6:$BH$3005,IF($C$3="全部","&gt;0",IFERROR(MATCH($C$3,基础资料!$B$5:$B$12,0),-1)),资金台帐!$BG$6:$BG$3005,$F$3*100+4),2)</f>
        <v>0</v>
      </c>
      <c r="G50" s="48">
        <f>ROUND(SUMIFS(资金台帐!$AD$6:$AD$3005,资金台帐!$U$6:$U$3005,"内部划转",资金台帐!$BH$6:$BH$3005,IF($C$3="全部","&gt;0",IFERROR(MATCH($C$3,基础资料!$B$5:$B$12,0),-1)),资金台帐!$BG$6:$BG$3005,$F$3*100+5),2)</f>
        <v>0</v>
      </c>
      <c r="H50" s="48">
        <f>ROUND(SUMIFS(资金台帐!$AD$6:$AD$3005,资金台帐!$U$6:$U$3005,"内部划转",资金台帐!$BH$6:$BH$3005,IF($C$3="全部","&gt;0",IFERROR(MATCH($C$3,基础资料!$B$5:$B$12,0),-1)),资金台帐!$BG$6:$BG$3005,$F$3*100+6),2)</f>
        <v>0</v>
      </c>
      <c r="I50" s="48">
        <f>ROUND(SUMIFS(资金台帐!$AD$6:$AD$3005,资金台帐!$U$6:$U$3005,"内部划转",资金台帐!$BH$6:$BH$3005,IF($C$3="全部","&gt;0",IFERROR(MATCH($C$3,基础资料!$B$5:$B$12,0),-1)),资金台帐!$BG$6:$BG$3005,$F$3*100+7),2)</f>
        <v>11000</v>
      </c>
      <c r="J50" s="48">
        <f>ROUND(SUMIFS(资金台帐!$AD$6:$AD$3005,资金台帐!$U$6:$U$3005,"内部划转",资金台帐!$BH$6:$BH$3005,IF($C$3="全部","&gt;0",IFERROR(MATCH($C$3,基础资料!$B$5:$B$12,0),-1)),资金台帐!$BG$6:$BG$3005,$F$3*100+8),2)</f>
        <v>1000000</v>
      </c>
      <c r="K50" s="48">
        <f>ROUND(SUMIFS(资金台帐!$AD$6:$AD$3005,资金台帐!$U$6:$U$3005,"内部划转",资金台帐!$BH$6:$BH$3005,IF($C$3="全部","&gt;0",IFERROR(MATCH($C$3,基础资料!$B$5:$B$12,0),-1)),资金台帐!$BG$6:$BG$3005,$F$3*100+9),2)</f>
        <v>0</v>
      </c>
      <c r="L50" s="48">
        <f>ROUND(SUMIFS(资金台帐!$AD$6:$AD$3005,资金台帐!$U$6:$U$3005,"内部划转",资金台帐!$BH$6:$BH$3005,IF($C$3="全部","&gt;0",IFERROR(MATCH($C$3,基础资料!$B$5:$B$12,0),-1)),资金台帐!$BG$6:$BG$3005,$F$3*100+10),2)</f>
        <v>0</v>
      </c>
      <c r="M50" s="48">
        <f>ROUND(SUMIFS(资金台帐!$AD$6:$AD$3005,资金台帐!$U$6:$U$3005,"内部划转",资金台帐!$BH$6:$BH$3005,IF($C$3="全部","&gt;0",IFERROR(MATCH($C$3,基础资料!$B$5:$B$12,0),-1)),资金台帐!$BG$6:$BG$3005,$F$3*100+11),2)</f>
        <v>0</v>
      </c>
      <c r="N50" s="48">
        <f>ROUND(SUMIFS(资金台帐!$AD$6:$AD$3005,资金台帐!$U$6:$U$3005,"内部划转",资金台帐!$BH$6:$BH$3005,IF($C$3="全部","&gt;0",IFERROR(MATCH($C$3,基础资料!$B$5:$B$12,0),-1)),资金台帐!$BG$6:$BG$3005,$F$3*100+12),2)</f>
        <v>0</v>
      </c>
      <c r="O50" s="49">
        <f>ROUND(SUM(C50:N50),2)</f>
        <v>1011000</v>
      </c>
      <c r="P50" s="27">
        <f>IF(N($O$16)=0,"",O50/$O$16)</f>
        <v>3.34089390953388</v>
      </c>
    </row>
    <row r="51">
      <c r="A51" s="46" t="inlineStr">
        <is>
          <t>参考</t>
        </is>
      </c>
      <c r="B51" s="47" t="inlineStr">
        <is>
          <t>账户互转（应为 0）</t>
        </is>
      </c>
      <c r="C51" s="48">
        <f>ROUND(SUMIFS(资金台帐!$AD$6:$AD$3005,资金台帐!$U$6:$U$3005,"账户互转",资金台帐!$BH$6:$BH$3005,IF($C$3="全部","&gt;0",IFERROR(MATCH($C$3,基础资料!$B$5:$B$12,0),-1)),资金台帐!$BG$6:$BG$3005,$F$3*100+1),2)</f>
        <v>0</v>
      </c>
      <c r="D51" s="48">
        <f>ROUND(SUMIFS(资金台帐!$AD$6:$AD$3005,资金台帐!$U$6:$U$3005,"账户互转",资金台帐!$BH$6:$BH$3005,IF($C$3="全部","&gt;0",IFERROR(MATCH($C$3,基础资料!$B$5:$B$12,0),-1)),资金台帐!$BG$6:$BG$3005,$F$3*100+2),2)</f>
        <v>0</v>
      </c>
      <c r="E51" s="48">
        <f>ROUND(SUMIFS(资金台帐!$AD$6:$AD$3005,资金台帐!$U$6:$U$3005,"账户互转",资金台帐!$BH$6:$BH$3005,IF($C$3="全部","&gt;0",IFERROR(MATCH($C$3,基础资料!$B$5:$B$12,0),-1)),资金台帐!$BG$6:$BG$3005,$F$3*100+3),2)</f>
        <v>0</v>
      </c>
      <c r="F51" s="48">
        <f>ROUND(SUMIFS(资金台帐!$AD$6:$AD$3005,资金台帐!$U$6:$U$3005,"账户互转",资金台帐!$BH$6:$BH$3005,IF($C$3="全部","&gt;0",IFERROR(MATCH($C$3,基础资料!$B$5:$B$12,0),-1)),资金台帐!$BG$6:$BG$3005,$F$3*100+4),2)</f>
        <v>0</v>
      </c>
      <c r="G51" s="48">
        <f>ROUND(SUMIFS(资金台帐!$AD$6:$AD$3005,资金台帐!$U$6:$U$3005,"账户互转",资金台帐!$BH$6:$BH$3005,IF($C$3="全部","&gt;0",IFERROR(MATCH($C$3,基础资料!$B$5:$B$12,0),-1)),资金台帐!$BG$6:$BG$3005,$F$3*100+5),2)</f>
        <v>0</v>
      </c>
      <c r="H51" s="48">
        <f>ROUND(SUMIFS(资金台帐!$AD$6:$AD$3005,资金台帐!$U$6:$U$3005,"账户互转",资金台帐!$BH$6:$BH$3005,IF($C$3="全部","&gt;0",IFERROR(MATCH($C$3,基础资料!$B$5:$B$12,0),-1)),资金台帐!$BG$6:$BG$3005,$F$3*100+6),2)</f>
        <v>0</v>
      </c>
      <c r="I51" s="48">
        <f>ROUND(SUMIFS(资金台帐!$AD$6:$AD$3005,资金台帐!$U$6:$U$3005,"账户互转",资金台帐!$BH$6:$BH$3005,IF($C$3="全部","&gt;0",IFERROR(MATCH($C$3,基础资料!$B$5:$B$12,0),-1)),资金台帐!$BG$6:$BG$3005,$F$3*100+7),2)</f>
        <v>0</v>
      </c>
      <c r="J51" s="48">
        <f>ROUND(SUMIFS(资金台帐!$AD$6:$AD$3005,资金台帐!$U$6:$U$3005,"账户互转",资金台帐!$BH$6:$BH$3005,IF($C$3="全部","&gt;0",IFERROR(MATCH($C$3,基础资料!$B$5:$B$12,0),-1)),资金台帐!$BG$6:$BG$3005,$F$3*100+8),2)</f>
        <v>0</v>
      </c>
      <c r="K51" s="48">
        <f>ROUND(SUMIFS(资金台帐!$AD$6:$AD$3005,资金台帐!$U$6:$U$3005,"账户互转",资金台帐!$BH$6:$BH$3005,IF($C$3="全部","&gt;0",IFERROR(MATCH($C$3,基础资料!$B$5:$B$12,0),-1)),资金台帐!$BG$6:$BG$3005,$F$3*100+9),2)</f>
        <v>-54976.4</v>
      </c>
      <c r="L51" s="48">
        <f>ROUND(SUMIFS(资金台帐!$AD$6:$AD$3005,资金台帐!$U$6:$U$3005,"账户互转",资金台帐!$BH$6:$BH$3005,IF($C$3="全部","&gt;0",IFERROR(MATCH($C$3,基础资料!$B$5:$B$12,0),-1)),资金台帐!$BG$6:$BG$3005,$F$3*100+10),2)</f>
        <v>0</v>
      </c>
      <c r="M51" s="48">
        <f>ROUND(SUMIFS(资金台帐!$AD$6:$AD$3005,资金台帐!$U$6:$U$3005,"账户互转",资金台帐!$BH$6:$BH$3005,IF($C$3="全部","&gt;0",IFERROR(MATCH($C$3,基础资料!$B$5:$B$12,0),-1)),资金台帐!$BG$6:$BG$3005,$F$3*100+11),2)</f>
        <v>0</v>
      </c>
      <c r="N51" s="48">
        <f>ROUND(SUMIFS(资金台帐!$AD$6:$AD$3005,资金台帐!$U$6:$U$3005,"账户互转",资金台帐!$BH$6:$BH$3005,IF($C$3="全部","&gt;0",IFERROR(MATCH($C$3,基础资料!$B$5:$B$12,0),-1)),资金台帐!$BG$6:$BG$3005,$F$3*100+12),2)</f>
        <v>0</v>
      </c>
      <c r="O51" s="49">
        <f>ROUND(SUM(C51:N51),2)</f>
        <v>-54976.4</v>
      </c>
      <c r="P51" s="27">
        <f>IF(N($O$16)=0,"",O51/$O$16)</f>
        <v>-0.181671928712264</v>
      </c>
    </row>
    <row r="52">
      <c r="A52" s="46" t="inlineStr">
        <is>
          <t>参考</t>
        </is>
      </c>
      <c r="B52" s="47" t="inlineStr">
        <is>
          <t>未定收支项目</t>
        </is>
      </c>
      <c r="C52" s="50">
        <f>ROUND(SUMIFS(资金台帐!$AD$6:$AD$3005,资金台帐!$BH$6:$BH$3005,IF($C$3="全部","&gt;0",IFERROR(MATCH($C$3,基础资料!$B$5:$B$12,0),-1)),资金台帐!$BG$6:$BG$3005,$F$3*100+1)-SUMIFS(资金台帐!$AD$6:$AD$3005,资金台帐!$U$6:$U$3005,"?*",资金台帐!$BH$6:$BH$3005,IF($C$3="全部","&gt;0",IFERROR(MATCH($C$3,基础资料!$B$5:$B$12,0),-1)),资金台帐!$BG$6:$BG$3005,$F$3*100+1)+SUMIFS(资金台帐!$AD$6:$AD$3005,资金台帐!$U$6:$U$3005,"？",资金台帐!$BH$6:$BH$3005,IF($C$3="全部","&gt;0",IFERROR(MATCH($C$3,基础资料!$B$5:$B$12,0),-1)),资金台帐!$BG$6:$BG$3005,$F$3*100+1),2)</f>
        <v>0</v>
      </c>
      <c r="D52" s="50">
        <f>ROUND(SUMIFS(资金台帐!$AD$6:$AD$3005,资金台帐!$BH$6:$BH$3005,IF($C$3="全部","&gt;0",IFERROR(MATCH($C$3,基础资料!$B$5:$B$12,0),-1)),资金台帐!$BG$6:$BG$3005,$F$3*100+2)-SUMIFS(资金台帐!$AD$6:$AD$3005,资金台帐!$U$6:$U$3005,"?*",资金台帐!$BH$6:$BH$3005,IF($C$3="全部","&gt;0",IFERROR(MATCH($C$3,基础资料!$B$5:$B$12,0),-1)),资金台帐!$BG$6:$BG$3005,$F$3*100+2)+SUMIFS(资金台帐!$AD$6:$AD$3005,资金台帐!$U$6:$U$3005,"？",资金台帐!$BH$6:$BH$3005,IF($C$3="全部","&gt;0",IFERROR(MATCH($C$3,基础资料!$B$5:$B$12,0),-1)),资金台帐!$BG$6:$BG$3005,$F$3*100+2),2)</f>
        <v>0</v>
      </c>
      <c r="E52" s="50">
        <f>ROUND(SUMIFS(资金台帐!$AD$6:$AD$3005,资金台帐!$BH$6:$BH$3005,IF($C$3="全部","&gt;0",IFERROR(MATCH($C$3,基础资料!$B$5:$B$12,0),-1)),资金台帐!$BG$6:$BG$3005,$F$3*100+3)-SUMIFS(资金台帐!$AD$6:$AD$3005,资金台帐!$U$6:$U$3005,"?*",资金台帐!$BH$6:$BH$3005,IF($C$3="全部","&gt;0",IFERROR(MATCH($C$3,基础资料!$B$5:$B$12,0),-1)),资金台帐!$BG$6:$BG$3005,$F$3*100+3)+SUMIFS(资金台帐!$AD$6:$AD$3005,资金台帐!$U$6:$U$3005,"？",资金台帐!$BH$6:$BH$3005,IF($C$3="全部","&gt;0",IFERROR(MATCH($C$3,基础资料!$B$5:$B$12,0),-1)),资金台帐!$BG$6:$BG$3005,$F$3*100+3),2)</f>
        <v>0</v>
      </c>
      <c r="F52" s="50">
        <f>ROUND(SUMIFS(资金台帐!$AD$6:$AD$3005,资金台帐!$BH$6:$BH$3005,IF($C$3="全部","&gt;0",IFERROR(MATCH($C$3,基础资料!$B$5:$B$12,0),-1)),资金台帐!$BG$6:$BG$3005,$F$3*100+4)-SUMIFS(资金台帐!$AD$6:$AD$3005,资金台帐!$U$6:$U$3005,"?*",资金台帐!$BH$6:$BH$3005,IF($C$3="全部","&gt;0",IFERROR(MATCH($C$3,基础资料!$B$5:$B$12,0),-1)),资金台帐!$BG$6:$BG$3005,$F$3*100+4)+SUMIFS(资金台帐!$AD$6:$AD$3005,资金台帐!$U$6:$U$3005,"？",资金台帐!$BH$6:$BH$3005,IF($C$3="全部","&gt;0",IFERROR(MATCH($C$3,基础资料!$B$5:$B$12,0),-1)),资金台帐!$BG$6:$BG$3005,$F$3*100+4),2)</f>
        <v>0</v>
      </c>
      <c r="G52" s="50">
        <f>ROUND(SUMIFS(资金台帐!$AD$6:$AD$3005,资金台帐!$BH$6:$BH$3005,IF($C$3="全部","&gt;0",IFERROR(MATCH($C$3,基础资料!$B$5:$B$12,0),-1)),资金台帐!$BG$6:$BG$3005,$F$3*100+5)-SUMIFS(资金台帐!$AD$6:$AD$3005,资金台帐!$U$6:$U$3005,"?*",资金台帐!$BH$6:$BH$3005,IF($C$3="全部","&gt;0",IFERROR(MATCH($C$3,基础资料!$B$5:$B$12,0),-1)),资金台帐!$BG$6:$BG$3005,$F$3*100+5)+SUMIFS(资金台帐!$AD$6:$AD$3005,资金台帐!$U$6:$U$3005,"？",资金台帐!$BH$6:$BH$3005,IF($C$3="全部","&gt;0",IFERROR(MATCH($C$3,基础资料!$B$5:$B$12,0),-1)),资金台帐!$BG$6:$BG$3005,$F$3*100+5),2)</f>
        <v>0</v>
      </c>
      <c r="H52" s="50">
        <f>ROUND(SUMIFS(资金台帐!$AD$6:$AD$3005,资金台帐!$BH$6:$BH$3005,IF($C$3="全部","&gt;0",IFERROR(MATCH($C$3,基础资料!$B$5:$B$12,0),-1)),资金台帐!$BG$6:$BG$3005,$F$3*100+6)-SUMIFS(资金台帐!$AD$6:$AD$3005,资金台帐!$U$6:$U$3005,"?*",资金台帐!$BH$6:$BH$3005,IF($C$3="全部","&gt;0",IFERROR(MATCH($C$3,基础资料!$B$5:$B$12,0),-1)),资金台帐!$BG$6:$BG$3005,$F$3*100+6)+SUMIFS(资金台帐!$AD$6:$AD$3005,资金台帐!$U$6:$U$3005,"？",资金台帐!$BH$6:$BH$3005,IF($C$3="全部","&gt;0",IFERROR(MATCH($C$3,基础资料!$B$5:$B$12,0),-1)),资金台帐!$BG$6:$BG$3005,$F$3*100+6),2)</f>
        <v>-21274.44</v>
      </c>
      <c r="I52" s="50">
        <f>ROUND(SUMIFS(资金台帐!$AD$6:$AD$3005,资金台帐!$BH$6:$BH$3005,IF($C$3="全部","&gt;0",IFERROR(MATCH($C$3,基础资料!$B$5:$B$12,0),-1)),资金台帐!$BG$6:$BG$3005,$F$3*100+7)-SUMIFS(资金台帐!$AD$6:$AD$3005,资金台帐!$U$6:$U$3005,"?*",资金台帐!$BH$6:$BH$3005,IF($C$3="全部","&gt;0",IFERROR(MATCH($C$3,基础资料!$B$5:$B$12,0),-1)),资金台帐!$BG$6:$BG$3005,$F$3*100+7)+SUMIFS(资金台帐!$AD$6:$AD$3005,资金台帐!$U$6:$U$3005,"？",资金台帐!$BH$6:$BH$3005,IF($C$3="全部","&gt;0",IFERROR(MATCH($C$3,基础资料!$B$5:$B$12,0),-1)),资金台帐!$BG$6:$BG$3005,$F$3*100+7),2)</f>
        <v>-16888.14</v>
      </c>
      <c r="J52" s="50">
        <f>ROUND(SUMIFS(资金台帐!$AD$6:$AD$3005,资金台帐!$BH$6:$BH$3005,IF($C$3="全部","&gt;0",IFERROR(MATCH($C$3,基础资料!$B$5:$B$12,0),-1)),资金台帐!$BG$6:$BG$3005,$F$3*100+8)-SUMIFS(资金台帐!$AD$6:$AD$3005,资金台帐!$U$6:$U$3005,"?*",资金台帐!$BH$6:$BH$3005,IF($C$3="全部","&gt;0",IFERROR(MATCH($C$3,基础资料!$B$5:$B$12,0),-1)),资金台帐!$BG$6:$BG$3005,$F$3*100+8)+SUMIFS(资金台帐!$AD$6:$AD$3005,资金台帐!$U$6:$U$3005,"？",资金台帐!$BH$6:$BH$3005,IF($C$3="全部","&gt;0",IFERROR(MATCH($C$3,基础资料!$B$5:$B$12,0),-1)),资金台帐!$BG$6:$BG$3005,$F$3*100+8),2)</f>
        <v>-1000000</v>
      </c>
      <c r="K52" s="50">
        <f>ROUND(SUMIFS(资金台帐!$AD$6:$AD$3005,资金台帐!$BH$6:$BH$3005,IF($C$3="全部","&gt;0",IFERROR(MATCH($C$3,基础资料!$B$5:$B$12,0),-1)),资金台帐!$BG$6:$BG$3005,$F$3*100+9)-SUMIFS(资金台帐!$AD$6:$AD$3005,资金台帐!$U$6:$U$3005,"?*",资金台帐!$BH$6:$BH$3005,IF($C$3="全部","&gt;0",IFERROR(MATCH($C$3,基础资料!$B$5:$B$12,0),-1)),资金台帐!$BG$6:$BG$3005,$F$3*100+9)+SUMIFS(资金台帐!$AD$6:$AD$3005,资金台帐!$U$6:$U$3005,"？",资金台帐!$BH$6:$BH$3005,IF($C$3="全部","&gt;0",IFERROR(MATCH($C$3,基础资料!$B$5:$B$12,0),-1)),资金台帐!$BG$6:$BG$3005,$F$3*100+9),2)</f>
        <v>-45090.88</v>
      </c>
      <c r="L52" s="50">
        <f>ROUND(SUMIFS(资金台帐!$AD$6:$AD$3005,资金台帐!$BH$6:$BH$3005,IF($C$3="全部","&gt;0",IFERROR(MATCH($C$3,基础资料!$B$5:$B$12,0),-1)),资金台帐!$BG$6:$BG$3005,$F$3*100+10)-SUMIFS(资金台帐!$AD$6:$AD$3005,资金台帐!$U$6:$U$3005,"?*",资金台帐!$BH$6:$BH$3005,IF($C$3="全部","&gt;0",IFERROR(MATCH($C$3,基础资料!$B$5:$B$12,0),-1)),资金台帐!$BG$6:$BG$3005,$F$3*100+10)+SUMIFS(资金台帐!$AD$6:$AD$3005,资金台帐!$U$6:$U$3005,"？",资金台帐!$BH$6:$BH$3005,IF($C$3="全部","&gt;0",IFERROR(MATCH($C$3,基础资料!$B$5:$B$12,0),-1)),资金台帐!$BG$6:$BG$3005,$F$3*100+10),2)</f>
        <v>0</v>
      </c>
      <c r="M52" s="50">
        <f>ROUND(SUMIFS(资金台帐!$AD$6:$AD$3005,资金台帐!$BH$6:$BH$3005,IF($C$3="全部","&gt;0",IFERROR(MATCH($C$3,基础资料!$B$5:$B$12,0),-1)),资金台帐!$BG$6:$BG$3005,$F$3*100+11)-SUMIFS(资金台帐!$AD$6:$AD$3005,资金台帐!$U$6:$U$3005,"?*",资金台帐!$BH$6:$BH$3005,IF($C$3="全部","&gt;0",IFERROR(MATCH($C$3,基础资料!$B$5:$B$12,0),-1)),资金台帐!$BG$6:$BG$3005,$F$3*100+11)+SUMIFS(资金台帐!$AD$6:$AD$3005,资金台帐!$U$6:$U$3005,"？",资金台帐!$BH$6:$BH$3005,IF($C$3="全部","&gt;0",IFERROR(MATCH($C$3,基础资料!$B$5:$B$12,0),-1)),资金台帐!$BG$6:$BG$3005,$F$3*100+11),2)</f>
        <v>0</v>
      </c>
      <c r="N52" s="50">
        <f>ROUND(SUMIFS(资金台帐!$AD$6:$AD$3005,资金台帐!$BH$6:$BH$3005,IF($C$3="全部","&gt;0",IFERROR(MATCH($C$3,基础资料!$B$5:$B$12,0),-1)),资金台帐!$BG$6:$BG$3005,$F$3*100+12)-SUMIFS(资金台帐!$AD$6:$AD$3005,资金台帐!$U$6:$U$3005,"?*",资金台帐!$BH$6:$BH$3005,IF($C$3="全部","&gt;0",IFERROR(MATCH($C$3,基础资料!$B$5:$B$12,0),-1)),资金台帐!$BG$6:$BG$3005,$F$3*100+12)+SUMIFS(资金台帐!$AD$6:$AD$3005,资金台帐!$U$6:$U$3005,"？",资金台帐!$BH$6:$BH$3005,IF($C$3="全部","&gt;0",IFERROR(MATCH($C$3,基础资料!$B$5:$B$12,0),-1)),资金台帐!$BG$6:$BG$3005,$F$3*100+12),2)</f>
        <v>0</v>
      </c>
      <c r="O52" s="50">
        <f>ROUND(SUM(C52:N52),2)</f>
        <v>-1083253.46</v>
      </c>
      <c r="P52" s="27">
        <f>IF(N($O$16)=0,"",O52/$O$16)</f>
        <v>-3.57965864193423</v>
      </c>
    </row>
    <row r="54">
      <c r="A54" s="11" t="inlineStr">
        <is>
          <t>说明：「未定收支项目」是资金台帐里还没分类的收付（净额，红字），分好类就会进到上面对应的行；在【基础资料】③ 新加的项目算进同一类的「其他」行（名字后面会标「含新加项目」），小计、利润都是全的；「占收入」＝全年合计 ÷ 收入小计。</t>
        </is>
      </c>
    </row>
  </sheetData>
  <mergeCells count="6">
    <mergeCell ref="A1:P1"/>
    <mergeCell ref="A41:A45"/>
    <mergeCell ref="A36:A40"/>
    <mergeCell ref="A17:A35"/>
    <mergeCell ref="A5:A16"/>
    <mergeCell ref="A2:P2"/>
  </mergeCells>
  <dataValidations count="2">
    <dataValidation sqref="C3" showDropDown="0" showInputMessage="1" showErrorMessage="0" allowBlank="1" promptTitle="提示" prompt="选一家公司，或「全部」" type="list">
      <formula1>=_辅助!$A$1:$A$9</formula1>
    </dataValidation>
    <dataValidation sqref="F3" showDropDown="0" showInputMessage="0" showErrorMessage="0" allowBlank="1" type="list">
      <formula1>"2024,2025,2026,2027,2028,2029,2030"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N50"/>
  <sheetViews>
    <sheetView showGridLines="0" tabSelected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3" customWidth="1" min="14" max="14"/>
  </cols>
  <sheetData>
    <row r="1" ht="33" customHeight="1">
      <c r="A1" s="20" t="inlineStr">
        <is>
          <t>简 易 现 金 流 量 表（业务口径 · 按资金台帐）</t>
        </is>
      </c>
    </row>
    <row r="2" ht="38" customHeight="1">
      <c r="A2" s="2" t="inlineStr">
        <is>
          <t>💡 不是税务那张现金流量表，是看「钱从哪来、花到哪去」的业务表：期初资金 ＋ 经营（收入 − 成本费用）＋ 投资 ＋ 筹资往来 ＝ 期末资金。最下面一行跟账户余额核对。选公司看单家时，自家公司之间的内部划转算流入流出；选「全部」时内部划转两边抵掉。</t>
        </is>
      </c>
    </row>
    <row r="3" ht="24" customHeight="1">
      <c r="B3" s="3" t="inlineStr">
        <is>
          <t>公司</t>
        </is>
      </c>
      <c r="C3" s="6" t="inlineStr">
        <is>
          <t>全部</t>
        </is>
      </c>
      <c r="E3" s="3" t="inlineStr">
        <is>
          <t>年份</t>
        </is>
      </c>
      <c r="F3" s="6" t="n">
        <v>2026</v>
      </c>
    </row>
    <row r="4" ht="34" customHeight="1">
      <c r="A4" s="21" t="inlineStr">
        <is>
          <t>项　　目</t>
        </is>
      </c>
      <c r="B4" s="21" t="inlineStr">
        <is>
          <t>1月</t>
        </is>
      </c>
      <c r="C4" s="21" t="inlineStr">
        <is>
          <t>2月</t>
        </is>
      </c>
      <c r="D4" s="21" t="inlineStr">
        <is>
          <t>3月</t>
        </is>
      </c>
      <c r="E4" s="21" t="inlineStr">
        <is>
          <t>4月</t>
        </is>
      </c>
      <c r="F4" s="21" t="inlineStr">
        <is>
          <t>5月</t>
        </is>
      </c>
      <c r="G4" s="21" t="inlineStr">
        <is>
          <t>6月</t>
        </is>
      </c>
      <c r="H4" s="21" t="inlineStr">
        <is>
          <t>7月</t>
        </is>
      </c>
      <c r="I4" s="21" t="inlineStr">
        <is>
          <t>8月</t>
        </is>
      </c>
      <c r="J4" s="21" t="inlineStr">
        <is>
          <t>9月</t>
        </is>
      </c>
      <c r="K4" s="21" t="inlineStr">
        <is>
          <t>10月</t>
        </is>
      </c>
      <c r="L4" s="21" t="inlineStr">
        <is>
          <t>11月</t>
        </is>
      </c>
      <c r="M4" s="21" t="inlineStr">
        <is>
          <t>12月</t>
        </is>
      </c>
      <c r="N4" s="21" t="inlineStr">
        <is>
          <t>全年</t>
        </is>
      </c>
    </row>
    <row r="5">
      <c r="A5" s="51" t="inlineStr">
        <is>
          <t>一、期初资金余额</t>
        </is>
      </c>
      <c r="B5" s="37">
        <f>ROUND((SUMIFS(基础资料!$N$5:$N$24,基础资料!$J$5:$J$24,IF($C$3="全部","?*",$C$3))-SUMIFS(基础资料!$N$5:$N$24,基础资料!$J$5:$J$24,IF($C$3="全部","?*",$C$3),基础资料!$O$5:$O$24,"&gt;="&amp;DATE($F$3,1,1))+SUMIFS(资金台帐!$AD$6:$AD$3005,资金台帐!$BH$6:$BH$3005,IF($C$3="全部","&gt;0",IFERROR(MATCH($C$3,基础资料!$B$5:$B$12,0),-1)),资金台帐!$N$6:$N$3005,"&lt;"&amp;DATE($F$3,1,1))),2)</f>
        <v>0</v>
      </c>
      <c r="C5" s="37">
        <f>B24</f>
        <v>0</v>
      </c>
      <c r="D5" s="37">
        <f>C24</f>
        <v>0</v>
      </c>
      <c r="E5" s="37">
        <f>D24</f>
        <v>0</v>
      </c>
      <c r="F5" s="37">
        <f>E24</f>
        <v>0</v>
      </c>
      <c r="G5" s="37">
        <f>F24</f>
        <v>30039.32</v>
      </c>
      <c r="H5" s="37">
        <f>G24</f>
        <v>204348.06</v>
      </c>
      <c r="I5" s="37">
        <f>H24</f>
        <v>206255.11</v>
      </c>
      <c r="J5" s="37">
        <f>I24</f>
        <v>204464.14</v>
      </c>
      <c r="K5" s="37">
        <f>J24</f>
        <v>488916.86</v>
      </c>
      <c r="L5" s="37">
        <f>K24</f>
        <v>488916.86</v>
      </c>
      <c r="M5" s="37">
        <f>L24</f>
        <v>488916.86</v>
      </c>
      <c r="N5" s="37">
        <f>ROUND((SUMIFS(基础资料!$N$5:$N$24,基础资料!$J$5:$J$24,IF($C$3="全部","?*",$C$3))-SUMIFS(基础资料!$N$5:$N$24,基础资料!$J$5:$J$24,IF($C$3="全部","?*",$C$3),基础资料!$O$5:$O$24,"&gt;="&amp;DATE($F$3,1,1))+SUMIFS(资金台帐!$AD$6:$AD$3005,资金台帐!$BH$6:$BH$3005,IF($C$3="全部","&gt;0",IFERROR(MATCH($C$3,基础资料!$B$5:$B$12,0),-1)),资金台帐!$N$6:$N$3005,"&lt;"&amp;DATE($F$3,1,1))),2)</f>
        <v>0</v>
      </c>
    </row>
    <row r="6">
      <c r="A6" s="52" t="inlineStr">
        <is>
          <t xml:space="preserve">　　加：本期新建账户的建账余额</t>
        </is>
      </c>
      <c r="B6" s="53">
        <f>ROUND(SUMIFS(基础资料!$N$5:$N$24,基础资料!$J$5:$J$24,IF($C$3="全部","?*",$C$3),基础资料!$O$5:$O$24,"&gt;="&amp;DATE($F$3,1,1),基础资料!$O$5:$O$24,"&lt;"&amp;DATE($F$3,2,1)),2)</f>
        <v>0</v>
      </c>
      <c r="C6" s="53">
        <f>ROUND(SUMIFS(基础资料!$N$5:$N$24,基础资料!$J$5:$J$24,IF($C$3="全部","?*",$C$3),基础资料!$O$5:$O$24,"&gt;="&amp;DATE($F$3,2,1),基础资料!$O$5:$O$24,"&lt;"&amp;DATE($F$3,3,1)),2)</f>
        <v>0</v>
      </c>
      <c r="D6" s="53">
        <f>ROUND(SUMIFS(基础资料!$N$5:$N$24,基础资料!$J$5:$J$24,IF($C$3="全部","?*",$C$3),基础资料!$O$5:$O$24,"&gt;="&amp;DATE($F$3,3,1),基础资料!$O$5:$O$24,"&lt;"&amp;DATE($F$3,4,1)),2)</f>
        <v>0</v>
      </c>
      <c r="E6" s="53">
        <f>ROUND(SUMIFS(基础资料!$N$5:$N$24,基础资料!$J$5:$J$24,IF($C$3="全部","?*",$C$3),基础资料!$O$5:$O$24,"&gt;="&amp;DATE($F$3,4,1),基础资料!$O$5:$O$24,"&lt;"&amp;DATE($F$3,5,1)),2)</f>
        <v>0</v>
      </c>
      <c r="F6" s="53">
        <f>ROUND(SUMIFS(基础资料!$N$5:$N$24,基础资料!$J$5:$J$24,IF($C$3="全部","?*",$C$3),基础资料!$O$5:$O$24,"&gt;="&amp;DATE($F$3,5,1),基础资料!$O$5:$O$24,"&lt;"&amp;DATE($F$3,6,1)),2)</f>
        <v>30058.07</v>
      </c>
      <c r="G6" s="53">
        <f>ROUND(SUMIFS(基础资料!$N$5:$N$24,基础资料!$J$5:$J$24,IF($C$3="全部","?*",$C$3),基础资料!$O$5:$O$24,"&gt;="&amp;DATE($F$3,6,1),基础资料!$O$5:$O$24,"&lt;"&amp;DATE($F$3,7,1)),2)</f>
        <v>104952.32</v>
      </c>
      <c r="H6" s="53">
        <f>ROUND(SUMIFS(基础资料!$N$5:$N$24,基础资料!$J$5:$J$24,IF($C$3="全部","?*",$C$3),基础资料!$O$5:$O$24,"&gt;="&amp;DATE($F$3,7,1),基础资料!$O$5:$O$24,"&lt;"&amp;DATE($F$3,8,1)),2)</f>
        <v>10746.61</v>
      </c>
      <c r="I6" s="53">
        <f>ROUND(SUMIFS(基础资料!$N$5:$N$24,基础资料!$J$5:$J$24,IF($C$3="全部","?*",$C$3),基础资料!$O$5:$O$24,"&gt;="&amp;DATE($F$3,8,1),基础资料!$O$5:$O$24,"&lt;"&amp;DATE($F$3,9,1)),2)</f>
        <v>0</v>
      </c>
      <c r="J6" s="53">
        <f>ROUND(SUMIFS(基础资料!$N$5:$N$24,基础资料!$J$5:$J$24,IF($C$3="全部","?*",$C$3),基础资料!$O$5:$O$24,"&gt;="&amp;DATE($F$3,9,1),基础资料!$O$5:$O$24,"&lt;"&amp;DATE($F$3,10,1)),2)</f>
        <v>237714.05</v>
      </c>
      <c r="K6" s="53">
        <f>ROUND(SUMIFS(基础资料!$N$5:$N$24,基础资料!$J$5:$J$24,IF($C$3="全部","?*",$C$3),基础资料!$O$5:$O$24,"&gt;="&amp;DATE($F$3,10,1),基础资料!$O$5:$O$24,"&lt;"&amp;DATE($F$3,11,1)),2)</f>
        <v>0</v>
      </c>
      <c r="L6" s="53">
        <f>ROUND(SUMIFS(基础资料!$N$5:$N$24,基础资料!$J$5:$J$24,IF($C$3="全部","?*",$C$3),基础资料!$O$5:$O$24,"&gt;="&amp;DATE($F$3,11,1),基础资料!$O$5:$O$24,"&lt;"&amp;DATE($F$3,12,1)),2)</f>
        <v>0</v>
      </c>
      <c r="M6" s="53">
        <f>ROUND(SUMIFS(基础资料!$N$5:$N$24,基础资料!$J$5:$J$24,IF($C$3="全部","?*",$C$3),基础资料!$O$5:$O$24,"&gt;="&amp;DATE($F$3,12,1),基础资料!$O$5:$O$24,"&lt;"&amp;DATE($F$3,13,1)),2)</f>
        <v>0</v>
      </c>
      <c r="N6" s="53">
        <f>ROUND(SUM(B6:M6),2)</f>
        <v>383471.05</v>
      </c>
    </row>
    <row r="7">
      <c r="A7" s="54" t="inlineStr">
        <is>
          <t>二、经营活动</t>
        </is>
      </c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</row>
    <row r="8">
      <c r="A8" s="52" t="inlineStr">
        <is>
          <t xml:space="preserve">　　收入回款（收入类）</t>
        </is>
      </c>
      <c r="B8" s="53">
        <f>ROUND(SUMIFS(资金台帐!$AD$6:$AD$3005,资金台帐!$U$6:$U$3005,"收入",资金台帐!$BH$6:$BH$3005,IF($C$3="全部","&gt;0",IFERROR(MATCH($C$3,基础资料!$B$5:$B$12,0),-1)),资金台帐!$BG$6:$BG$3005,$F$3*100+1),2)</f>
        <v>0</v>
      </c>
      <c r="C8" s="53">
        <f>ROUND(SUMIFS(资金台帐!$AD$6:$AD$3005,资金台帐!$U$6:$U$3005,"收入",资金台帐!$BH$6:$BH$3005,IF($C$3="全部","&gt;0",IFERROR(MATCH($C$3,基础资料!$B$5:$B$12,0),-1)),资金台帐!$BG$6:$BG$3005,$F$3*100+2),2)</f>
        <v>0</v>
      </c>
      <c r="D8" s="53">
        <f>ROUND(SUMIFS(资金台帐!$AD$6:$AD$3005,资金台帐!$U$6:$U$3005,"收入",资金台帐!$BH$6:$BH$3005,IF($C$3="全部","&gt;0",IFERROR(MATCH($C$3,基础资料!$B$5:$B$12,0),-1)),资金台帐!$BG$6:$BG$3005,$F$3*100+3),2)</f>
        <v>0</v>
      </c>
      <c r="E8" s="53">
        <f>ROUND(SUMIFS(资金台帐!$AD$6:$AD$3005,资金台帐!$U$6:$U$3005,"收入",资金台帐!$BH$6:$BH$3005,IF($C$3="全部","&gt;0",IFERROR(MATCH($C$3,基础资料!$B$5:$B$12,0),-1)),资金台帐!$BG$6:$BG$3005,$F$3*100+4),2)</f>
        <v>0</v>
      </c>
      <c r="F8" s="53">
        <f>ROUND(SUMIFS(资金台帐!$AD$6:$AD$3005,资金台帐!$U$6:$U$3005,"收入",资金台帐!$BH$6:$BH$3005,IF($C$3="全部","&gt;0",IFERROR(MATCH($C$3,基础资料!$B$5:$B$12,0),-1)),资金台帐!$BG$6:$BG$3005,$F$3*100+5),2)</f>
        <v>0</v>
      </c>
      <c r="G8" s="53">
        <f>ROUND(SUMIFS(资金台帐!$AD$6:$AD$3005,资金台帐!$U$6:$U$3005,"收入",资金台帐!$BH$6:$BH$3005,IF($C$3="全部","&gt;0",IFERROR(MATCH($C$3,基础资料!$B$5:$B$12,0),-1)),资金台帐!$BG$6:$BG$3005,$F$3*100+6),2)</f>
        <v>131613.62</v>
      </c>
      <c r="H8" s="53">
        <f>ROUND(SUMIFS(资金台帐!$AD$6:$AD$3005,资金台帐!$U$6:$U$3005,"收入",资金台帐!$BH$6:$BH$3005,IF($C$3="全部","&gt;0",IFERROR(MATCH($C$3,基础资料!$B$5:$B$12,0),-1)),资金台帐!$BG$6:$BG$3005,$F$3*100+7),2)</f>
        <v>0</v>
      </c>
      <c r="I8" s="53">
        <f>ROUND(SUMIFS(资金台帐!$AD$6:$AD$3005,资金台帐!$U$6:$U$3005,"收入",资金台帐!$BH$6:$BH$3005,IF($C$3="全部","&gt;0",IFERROR(MATCH($C$3,基础资料!$B$5:$B$12,0),-1)),资金台帐!$BG$6:$BG$3005,$F$3*100+8),2)</f>
        <v>0</v>
      </c>
      <c r="J8" s="53">
        <f>ROUND(SUMIFS(资金台帐!$AD$6:$AD$3005,资金台帐!$U$6:$U$3005,"收入",资金台帐!$BH$6:$BH$3005,IF($C$3="全部","&gt;0",IFERROR(MATCH($C$3,基础资料!$B$5:$B$12,0),-1)),资金台帐!$BG$6:$BG$3005,$F$3*100+9),2)</f>
        <v>171000</v>
      </c>
      <c r="K8" s="53">
        <f>ROUND(SUMIFS(资金台帐!$AD$6:$AD$3005,资金台帐!$U$6:$U$3005,"收入",资金台帐!$BH$6:$BH$3005,IF($C$3="全部","&gt;0",IFERROR(MATCH($C$3,基础资料!$B$5:$B$12,0),-1)),资金台帐!$BG$6:$BG$3005,$F$3*100+10),2)</f>
        <v>0</v>
      </c>
      <c r="L8" s="53">
        <f>ROUND(SUMIFS(资金台帐!$AD$6:$AD$3005,资金台帐!$U$6:$U$3005,"收入",资金台帐!$BH$6:$BH$3005,IF($C$3="全部","&gt;0",IFERROR(MATCH($C$3,基础资料!$B$5:$B$12,0),-1)),资金台帐!$BG$6:$BG$3005,$F$3*100+11),2)</f>
        <v>0</v>
      </c>
      <c r="M8" s="53">
        <f>ROUND(SUMIFS(资金台帐!$AD$6:$AD$3005,资金台帐!$U$6:$U$3005,"收入",资金台帐!$BH$6:$BH$3005,IF($C$3="全部","&gt;0",IFERROR(MATCH($C$3,基础资料!$B$5:$B$12,0),-1)),资金台帐!$BG$6:$BG$3005,$F$3*100+12),2)</f>
        <v>0</v>
      </c>
      <c r="N8" s="53">
        <f t="shared" ref="N8:N11" si="0">ROUND(SUM(B8:M8),2)</f>
        <v>302613.62</v>
      </c>
    </row>
    <row r="9">
      <c r="A9" s="52" t="inlineStr">
        <is>
          <t xml:space="preserve">　　支付变动成本</t>
        </is>
      </c>
      <c r="B9" s="53">
        <f>ROUND(-SUMIFS(资金台帐!$AD$6:$AD$3005,资金台帐!$U$6:$U$3005,"变动成本",资金台帐!$BH$6:$BH$3005,IF($C$3="全部","&gt;0",IFERROR(MATCH($C$3,基础资料!$B$5:$B$12,0),-1)),资金台帐!$BG$6:$BG$3005,$F$3*100+1),2)</f>
        <v>0</v>
      </c>
      <c r="C9" s="53">
        <f>ROUND(-SUMIFS(资金台帐!$AD$6:$AD$3005,资金台帐!$U$6:$U$3005,"变动成本",资金台帐!$BH$6:$BH$3005,IF($C$3="全部","&gt;0",IFERROR(MATCH($C$3,基础资料!$B$5:$B$12,0),-1)),资金台帐!$BG$6:$BG$3005,$F$3*100+2),2)</f>
        <v>0</v>
      </c>
      <c r="D9" s="53">
        <f>ROUND(-SUMIFS(资金台帐!$AD$6:$AD$3005,资金台帐!$U$6:$U$3005,"变动成本",资金台帐!$BH$6:$BH$3005,IF($C$3="全部","&gt;0",IFERROR(MATCH($C$3,基础资料!$B$5:$B$12,0),-1)),资金台帐!$BG$6:$BG$3005,$F$3*100+3),2)</f>
        <v>0</v>
      </c>
      <c r="E9" s="53">
        <f>ROUND(-SUMIFS(资金台帐!$AD$6:$AD$3005,资金台帐!$U$6:$U$3005,"变动成本",资金台帐!$BH$6:$BH$3005,IF($C$3="全部","&gt;0",IFERROR(MATCH($C$3,基础资料!$B$5:$B$12,0),-1)),资金台帐!$BG$6:$BG$3005,$F$3*100+4),2)</f>
        <v>0</v>
      </c>
      <c r="F9" s="53">
        <f>ROUND(-SUMIFS(资金台帐!$AD$6:$AD$3005,资金台帐!$U$6:$U$3005,"变动成本",资金台帐!$BH$6:$BH$3005,IF($C$3="全部","&gt;0",IFERROR(MATCH($C$3,基础资料!$B$5:$B$12,0),-1)),资金台帐!$BG$6:$BG$3005,$F$3*100+5),2)</f>
        <v>18.75</v>
      </c>
      <c r="G9" s="53">
        <f>ROUND(-SUMIFS(资金台帐!$AD$6:$AD$3005,资金台帐!$U$6:$U$3005,"变动成本",资金台帐!$BH$6:$BH$3005,IF($C$3="全部","&gt;0",IFERROR(MATCH($C$3,基础资料!$B$5:$B$12,0),-1)),资金台帐!$BG$6:$BG$3005,$F$3*100+6),2)</f>
        <v>40982.76</v>
      </c>
      <c r="H9" s="53">
        <f>ROUND(-SUMIFS(资金台帐!$AD$6:$AD$3005,资金台帐!$U$6:$U$3005,"变动成本",资金台帐!$BH$6:$BH$3005,IF($C$3="全部","&gt;0",IFERROR(MATCH($C$3,基础资料!$B$5:$B$12,0),-1)),资金台帐!$BG$6:$BG$3005,$F$3*100+7),2)</f>
        <v>2951.42</v>
      </c>
      <c r="I9" s="53">
        <f>ROUND(-SUMIFS(资金台帐!$AD$6:$AD$3005,资金台帐!$U$6:$U$3005,"变动成本",资金台帐!$BH$6:$BH$3005,IF($C$3="全部","&gt;0",IFERROR(MATCH($C$3,基础资料!$B$5:$B$12,0),-1)),资金台帐!$BG$6:$BG$3005,$F$3*100+8),2)</f>
        <v>1790.97</v>
      </c>
      <c r="J9" s="53">
        <f>ROUND(-SUMIFS(资金台帐!$AD$6:$AD$3005,资金台帐!$U$6:$U$3005,"变动成本",资金台帐!$BH$6:$BH$3005,IF($C$3="全部","&gt;0",IFERROR(MATCH($C$3,基础资料!$B$5:$B$12,0),-1)),资金台帐!$BG$6:$BG$3005,$F$3*100+9),2)</f>
        <v>24194.05</v>
      </c>
      <c r="K9" s="53">
        <f>ROUND(-SUMIFS(资金台帐!$AD$6:$AD$3005,资金台帐!$U$6:$U$3005,"变动成本",资金台帐!$BH$6:$BH$3005,IF($C$3="全部","&gt;0",IFERROR(MATCH($C$3,基础资料!$B$5:$B$12,0),-1)),资金台帐!$BG$6:$BG$3005,$F$3*100+10),2)</f>
        <v>0</v>
      </c>
      <c r="L9" s="53">
        <f>ROUND(-SUMIFS(资金台帐!$AD$6:$AD$3005,资金台帐!$U$6:$U$3005,"变动成本",资金台帐!$BH$6:$BH$3005,IF($C$3="全部","&gt;0",IFERROR(MATCH($C$3,基础资料!$B$5:$B$12,0),-1)),资金台帐!$BG$6:$BG$3005,$F$3*100+11),2)</f>
        <v>0</v>
      </c>
      <c r="M9" s="53">
        <f>ROUND(-SUMIFS(资金台帐!$AD$6:$AD$3005,资金台帐!$U$6:$U$3005,"变动成本",资金台帐!$BH$6:$BH$3005,IF($C$3="全部","&gt;0",IFERROR(MATCH($C$3,基础资料!$B$5:$B$12,0),-1)),资金台帐!$BG$6:$BG$3005,$F$3*100+12),2)</f>
        <v>0</v>
      </c>
      <c r="N9" s="53">
        <f t="shared" si="0"/>
        <v>69937.95</v>
      </c>
    </row>
    <row r="10">
      <c r="A10" s="52" t="inlineStr">
        <is>
          <t xml:space="preserve">　　支付固定成本</t>
        </is>
      </c>
      <c r="B10" s="53">
        <f>ROUND(-SUMIFS(资金台帐!$AD$6:$AD$3005,资金台帐!$U$6:$U$3005,"固定成本",资金台帐!$BH$6:$BH$3005,IF($C$3="全部","&gt;0",IFERROR(MATCH($C$3,基础资料!$B$5:$B$12,0),-1)),资金台帐!$BG$6:$BG$3005,$F$3*100+1),2)</f>
        <v>0</v>
      </c>
      <c r="C10" s="53">
        <f>ROUND(-SUMIFS(资金台帐!$AD$6:$AD$3005,资金台帐!$U$6:$U$3005,"固定成本",资金台帐!$BH$6:$BH$3005,IF($C$3="全部","&gt;0",IFERROR(MATCH($C$3,基础资料!$B$5:$B$12,0),-1)),资金台帐!$BG$6:$BG$3005,$F$3*100+2),2)</f>
        <v>0</v>
      </c>
      <c r="D10" s="53">
        <f>ROUND(-SUMIFS(资金台帐!$AD$6:$AD$3005,资金台帐!$U$6:$U$3005,"固定成本",资金台帐!$BH$6:$BH$3005,IF($C$3="全部","&gt;0",IFERROR(MATCH($C$3,基础资料!$B$5:$B$12,0),-1)),资金台帐!$BG$6:$BG$3005,$F$3*100+3),2)</f>
        <v>0</v>
      </c>
      <c r="E10" s="53">
        <f>ROUND(-SUMIFS(资金台帐!$AD$6:$AD$3005,资金台帐!$U$6:$U$3005,"固定成本",资金台帐!$BH$6:$BH$3005,IF($C$3="全部","&gt;0",IFERROR(MATCH($C$3,基础资料!$B$5:$B$12,0),-1)),资金台帐!$BG$6:$BG$3005,$F$3*100+4),2)</f>
        <v>0</v>
      </c>
      <c r="F10" s="53">
        <f>ROUND(-SUMIFS(资金台帐!$AD$6:$AD$3005,资金台帐!$U$6:$U$3005,"固定成本",资金台帐!$BH$6:$BH$3005,IF($C$3="全部","&gt;0",IFERROR(MATCH($C$3,基础资料!$B$5:$B$12,0),-1)),资金台帐!$BG$6:$BG$3005,$F$3*100+5),2)</f>
        <v>0</v>
      </c>
      <c r="G10" s="53">
        <f>ROUND(-SUMIFS(资金台帐!$AD$6:$AD$3005,资金台帐!$U$6:$U$3005,"固定成本",资金台帐!$BH$6:$BH$3005,IF($C$3="全部","&gt;0",IFERROR(MATCH($C$3,基础资料!$B$5:$B$12,0),-1)),资金台帐!$BG$6:$BG$3005,$F$3*100+6),2)</f>
        <v>0</v>
      </c>
      <c r="H10" s="53">
        <f>ROUND(-SUMIFS(资金台帐!$AD$6:$AD$3005,资金台帐!$U$6:$U$3005,"固定成本",资金台帐!$BH$6:$BH$3005,IF($C$3="全部","&gt;0",IFERROR(MATCH($C$3,基础资料!$B$5:$B$12,0),-1)),资金台帐!$BG$6:$BG$3005,$F$3*100+7),2)</f>
        <v>0</v>
      </c>
      <c r="I10" s="53">
        <f>ROUND(-SUMIFS(资金台帐!$AD$6:$AD$3005,资金台帐!$U$6:$U$3005,"固定成本",资金台帐!$BH$6:$BH$3005,IF($C$3="全部","&gt;0",IFERROR(MATCH($C$3,基础资料!$B$5:$B$12,0),-1)),资金台帐!$BG$6:$BG$3005,$F$3*100+8),2)</f>
        <v>0</v>
      </c>
      <c r="J10" s="53">
        <f>ROUND(-SUMIFS(资金台帐!$AD$6:$AD$3005,资金台帐!$U$6:$U$3005,"固定成本",资金台帐!$BH$6:$BH$3005,IF($C$3="全部","&gt;0",IFERROR(MATCH($C$3,基础资料!$B$5:$B$12,0),-1)),资金台帐!$BG$6:$BG$3005,$F$3*100+9),2)</f>
        <v>0</v>
      </c>
      <c r="K10" s="53">
        <f>ROUND(-SUMIFS(资金台帐!$AD$6:$AD$3005,资金台帐!$U$6:$U$3005,"固定成本",资金台帐!$BH$6:$BH$3005,IF($C$3="全部","&gt;0",IFERROR(MATCH($C$3,基础资料!$B$5:$B$12,0),-1)),资金台帐!$BG$6:$BG$3005,$F$3*100+10),2)</f>
        <v>0</v>
      </c>
      <c r="L10" s="53">
        <f>ROUND(-SUMIFS(资金台帐!$AD$6:$AD$3005,资金台帐!$U$6:$U$3005,"固定成本",资金台帐!$BH$6:$BH$3005,IF($C$3="全部","&gt;0",IFERROR(MATCH($C$3,基础资料!$B$5:$B$12,0),-1)),资金台帐!$BG$6:$BG$3005,$F$3*100+11),2)</f>
        <v>0</v>
      </c>
      <c r="M10" s="53">
        <f>ROUND(-SUMIFS(资金台帐!$AD$6:$AD$3005,资金台帐!$U$6:$U$3005,"固定成本",资金台帐!$BH$6:$BH$3005,IF($C$3="全部","&gt;0",IFERROR(MATCH($C$3,基础资料!$B$5:$B$12,0),-1)),资金台帐!$BG$6:$BG$3005,$F$3*100+12),2)</f>
        <v>0</v>
      </c>
      <c r="N10" s="53">
        <f t="shared" si="0"/>
        <v>0</v>
      </c>
    </row>
    <row r="11">
      <c r="A11" s="52" t="inlineStr">
        <is>
          <t xml:space="preserve">　　其他支出（挂靠、贷款利息）</t>
        </is>
      </c>
      <c r="B11" s="53">
        <f>ROUND(-SUMIFS(资金台帐!$AD$6:$AD$3005,资金台帐!$U$6:$U$3005,"其他支出",资金台帐!$BH$6:$BH$3005,IF($C$3="全部","&gt;0",IFERROR(MATCH($C$3,基础资料!$B$5:$B$12,0),-1)),资金台帐!$BG$6:$BG$3005,$F$3*100+1),2)</f>
        <v>0</v>
      </c>
      <c r="C11" s="53">
        <f>ROUND(-SUMIFS(资金台帐!$AD$6:$AD$3005,资金台帐!$U$6:$U$3005,"其他支出",资金台帐!$BH$6:$BH$3005,IF($C$3="全部","&gt;0",IFERROR(MATCH($C$3,基础资料!$B$5:$B$12,0),-1)),资金台帐!$BG$6:$BG$3005,$F$3*100+2),2)</f>
        <v>0</v>
      </c>
      <c r="D11" s="53">
        <f>ROUND(-SUMIFS(资金台帐!$AD$6:$AD$3005,资金台帐!$U$6:$U$3005,"其他支出",资金台帐!$BH$6:$BH$3005,IF($C$3="全部","&gt;0",IFERROR(MATCH($C$3,基础资料!$B$5:$B$12,0),-1)),资金台帐!$BG$6:$BG$3005,$F$3*100+3),2)</f>
        <v>0</v>
      </c>
      <c r="E11" s="53">
        <f>ROUND(-SUMIFS(资金台帐!$AD$6:$AD$3005,资金台帐!$U$6:$U$3005,"其他支出",资金台帐!$BH$6:$BH$3005,IF($C$3="全部","&gt;0",IFERROR(MATCH($C$3,基础资料!$B$5:$B$12,0),-1)),资金台帐!$BG$6:$BG$3005,$F$3*100+4),2)</f>
        <v>0</v>
      </c>
      <c r="F11" s="53">
        <f>ROUND(-SUMIFS(资金台帐!$AD$6:$AD$3005,资金台帐!$U$6:$U$3005,"其他支出",资金台帐!$BH$6:$BH$3005,IF($C$3="全部","&gt;0",IFERROR(MATCH($C$3,基础资料!$B$5:$B$12,0),-1)),资金台帐!$BG$6:$BG$3005,$F$3*100+5),2)</f>
        <v>0</v>
      </c>
      <c r="G11" s="53">
        <f>ROUND(-SUMIFS(资金台帐!$AD$6:$AD$3005,资金台帐!$U$6:$U$3005,"其他支出",资金台帐!$BH$6:$BH$3005,IF($C$3="全部","&gt;0",IFERROR(MATCH($C$3,基础资料!$B$5:$B$12,0),-1)),资金台帐!$BG$6:$BG$3005,$F$3*100+6),2)</f>
        <v>0</v>
      </c>
      <c r="H11" s="53">
        <f>ROUND(-SUMIFS(资金台帐!$AD$6:$AD$3005,资金台帐!$U$6:$U$3005,"其他支出",资金台帐!$BH$6:$BH$3005,IF($C$3="全部","&gt;0",IFERROR(MATCH($C$3,基础资料!$B$5:$B$12,0),-1)),资金台帐!$BG$6:$BG$3005,$F$3*100+7),2)</f>
        <v>0</v>
      </c>
      <c r="I11" s="53">
        <f>ROUND(-SUMIFS(资金台帐!$AD$6:$AD$3005,资金台帐!$U$6:$U$3005,"其他支出",资金台帐!$BH$6:$BH$3005,IF($C$3="全部","&gt;0",IFERROR(MATCH($C$3,基础资料!$B$5:$B$12,0),-1)),资金台帐!$BG$6:$BG$3005,$F$3*100+8),2)</f>
        <v>0</v>
      </c>
      <c r="J11" s="53">
        <f>ROUND(-SUMIFS(资金台帐!$AD$6:$AD$3005,资金台帐!$U$6:$U$3005,"其他支出",资金台帐!$BH$6:$BH$3005,IF($C$3="全部","&gt;0",IFERROR(MATCH($C$3,基础资料!$B$5:$B$12,0),-1)),资金台帐!$BG$6:$BG$3005,$F$3*100+9),2)</f>
        <v>0</v>
      </c>
      <c r="K11" s="53">
        <f>ROUND(-SUMIFS(资金台帐!$AD$6:$AD$3005,资金台帐!$U$6:$U$3005,"其他支出",资金台帐!$BH$6:$BH$3005,IF($C$3="全部","&gt;0",IFERROR(MATCH($C$3,基础资料!$B$5:$B$12,0),-1)),资金台帐!$BG$6:$BG$3005,$F$3*100+10),2)</f>
        <v>0</v>
      </c>
      <c r="L11" s="53">
        <f>ROUND(-SUMIFS(资金台帐!$AD$6:$AD$3005,资金台帐!$U$6:$U$3005,"其他支出",资金台帐!$BH$6:$BH$3005,IF($C$3="全部","&gt;0",IFERROR(MATCH($C$3,基础资料!$B$5:$B$12,0),-1)),资金台帐!$BG$6:$BG$3005,$F$3*100+11),2)</f>
        <v>0</v>
      </c>
      <c r="M11" s="53">
        <f>ROUND(-SUMIFS(资金台帐!$AD$6:$AD$3005,资金台帐!$U$6:$U$3005,"其他支出",资金台帐!$BH$6:$BH$3005,IF($C$3="全部","&gt;0",IFERROR(MATCH($C$3,基础资料!$B$5:$B$12,0),-1)),资金台帐!$BG$6:$BG$3005,$F$3*100+12),2)</f>
        <v>0</v>
      </c>
      <c r="N11" s="53">
        <f t="shared" si="0"/>
        <v>0</v>
      </c>
    </row>
    <row r="12">
      <c r="A12" s="51" t="inlineStr">
        <is>
          <t xml:space="preserve">　经营活动净流量</t>
        </is>
      </c>
      <c r="B12" s="37">
        <f>ROUND(B8+-B9+-B10+-B11,2)</f>
        <v>0</v>
      </c>
      <c r="C12" s="37">
        <f>ROUND(C8+-C9+-C10+-C11,2)</f>
        <v>0</v>
      </c>
      <c r="D12" s="37">
        <f>ROUND(D8+-D9+-D10+-D11,2)</f>
        <v>0</v>
      </c>
      <c r="E12" s="37">
        <f>ROUND(E8+-E9+-E10+-E11,2)</f>
        <v>0</v>
      </c>
      <c r="F12" s="37">
        <f>ROUND(F8+-F9+-F10+-F11,2)</f>
        <v>-18.75</v>
      </c>
      <c r="G12" s="37">
        <f>ROUND(G8+-G9+-G10+-G11,2)</f>
        <v>90630.86</v>
      </c>
      <c r="H12" s="37">
        <f>ROUND(H8+-H9+-H10+-H11,2)</f>
        <v>-2951.42</v>
      </c>
      <c r="I12" s="37">
        <f>ROUND(I8+-I9+-I10+-I11,2)</f>
        <v>-1790.97</v>
      </c>
      <c r="J12" s="37">
        <f>ROUND(J8+-J9+-J10+-J11,2)</f>
        <v>146805.95</v>
      </c>
      <c r="K12" s="37">
        <f>ROUND(K8+-K9+-K10+-K11,2)</f>
        <v>0</v>
      </c>
      <c r="L12" s="37">
        <f>ROUND(L8+-L9+-L10+-L11,2)</f>
        <v>0</v>
      </c>
      <c r="M12" s="37">
        <f>ROUND(M8+-M9+-M10+-M11,2)</f>
        <v>0</v>
      </c>
      <c r="N12" s="37">
        <f>ROUND(N8+-N9+-N10+-N11,2)</f>
        <v>232675.67</v>
      </c>
    </row>
    <row r="13">
      <c r="A13" s="54" t="inlineStr">
        <is>
          <t>三、投资活动</t>
        </is>
      </c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</row>
    <row r="14">
      <c r="A14" s="52" t="inlineStr">
        <is>
          <t xml:space="preserve">　　投资支出（支出为准）</t>
        </is>
      </c>
      <c r="B14" s="53">
        <f>ROUND(-SUMIFS(资金台帐!$AD$6:$AD$3005,资金台帐!$U$6:$U$3005,"支出为准",资金台帐!$BH$6:$BH$3005,IF($C$3="全部","&gt;0",IFERROR(MATCH($C$3,基础资料!$B$5:$B$12,0),-1)),资金台帐!$BG$6:$BG$3005,$F$3*100+1),2)</f>
        <v>0</v>
      </c>
      <c r="C14" s="53">
        <f>ROUND(-SUMIFS(资金台帐!$AD$6:$AD$3005,资金台帐!$U$6:$U$3005,"支出为准",资金台帐!$BH$6:$BH$3005,IF($C$3="全部","&gt;0",IFERROR(MATCH($C$3,基础资料!$B$5:$B$12,0),-1)),资金台帐!$BG$6:$BG$3005,$F$3*100+2),2)</f>
        <v>0</v>
      </c>
      <c r="D14" s="53">
        <f>ROUND(-SUMIFS(资金台帐!$AD$6:$AD$3005,资金台帐!$U$6:$U$3005,"支出为准",资金台帐!$BH$6:$BH$3005,IF($C$3="全部","&gt;0",IFERROR(MATCH($C$3,基础资料!$B$5:$B$12,0),-1)),资金台帐!$BG$6:$BG$3005,$F$3*100+3),2)</f>
        <v>0</v>
      </c>
      <c r="E14" s="53">
        <f>ROUND(-SUMIFS(资金台帐!$AD$6:$AD$3005,资金台帐!$U$6:$U$3005,"支出为准",资金台帐!$BH$6:$BH$3005,IF($C$3="全部","&gt;0",IFERROR(MATCH($C$3,基础资料!$B$5:$B$12,0),-1)),资金台帐!$BG$6:$BG$3005,$F$3*100+4),2)</f>
        <v>0</v>
      </c>
      <c r="F14" s="53">
        <f>ROUND(-SUMIFS(资金台帐!$AD$6:$AD$3005,资金台帐!$U$6:$U$3005,"支出为准",资金台帐!$BH$6:$BH$3005,IF($C$3="全部","&gt;0",IFERROR(MATCH($C$3,基础资料!$B$5:$B$12,0),-1)),资金台帐!$BG$6:$BG$3005,$F$3*100+5),2)</f>
        <v>0</v>
      </c>
      <c r="G14" s="53">
        <f>ROUND(-SUMIFS(资金台帐!$AD$6:$AD$3005,资金台帐!$U$6:$U$3005,"支出为准",资金台帐!$BH$6:$BH$3005,IF($C$3="全部","&gt;0",IFERROR(MATCH($C$3,基础资料!$B$5:$B$12,0),-1)),资金台帐!$BG$6:$BG$3005,$F$3*100+6),2)</f>
        <v>0</v>
      </c>
      <c r="H14" s="53">
        <f>ROUND(-SUMIFS(资金台帐!$AD$6:$AD$3005,资金台帐!$U$6:$U$3005,"支出为准",资金台帐!$BH$6:$BH$3005,IF($C$3="全部","&gt;0",IFERROR(MATCH($C$3,基础资料!$B$5:$B$12,0),-1)),资金台帐!$BG$6:$BG$3005,$F$3*100+7),2)</f>
        <v>0</v>
      </c>
      <c r="I14" s="53">
        <f>ROUND(-SUMIFS(资金台帐!$AD$6:$AD$3005,资金台帐!$U$6:$U$3005,"支出为准",资金台帐!$BH$6:$BH$3005,IF($C$3="全部","&gt;0",IFERROR(MATCH($C$3,基础资料!$B$5:$B$12,0),-1)),资金台帐!$BG$6:$BG$3005,$F$3*100+8),2)</f>
        <v>0</v>
      </c>
      <c r="J14" s="53">
        <f>ROUND(-SUMIFS(资金台帐!$AD$6:$AD$3005,资金台帐!$U$6:$U$3005,"支出为准",资金台帐!$BH$6:$BH$3005,IF($C$3="全部","&gt;0",IFERROR(MATCH($C$3,基础资料!$B$5:$B$12,0),-1)),资金台帐!$BG$6:$BG$3005,$F$3*100+9),2)</f>
        <v>0</v>
      </c>
      <c r="K14" s="53">
        <f>ROUND(-SUMIFS(资金台帐!$AD$6:$AD$3005,资金台帐!$U$6:$U$3005,"支出为准",资金台帐!$BH$6:$BH$3005,IF($C$3="全部","&gt;0",IFERROR(MATCH($C$3,基础资料!$B$5:$B$12,0),-1)),资金台帐!$BG$6:$BG$3005,$F$3*100+10),2)</f>
        <v>0</v>
      </c>
      <c r="L14" s="53">
        <f>ROUND(-SUMIFS(资金台帐!$AD$6:$AD$3005,资金台帐!$U$6:$U$3005,"支出为准",资金台帐!$BH$6:$BH$3005,IF($C$3="全部","&gt;0",IFERROR(MATCH($C$3,基础资料!$B$5:$B$12,0),-1)),资金台帐!$BG$6:$BG$3005,$F$3*100+11),2)</f>
        <v>0</v>
      </c>
      <c r="M14" s="53">
        <f>ROUND(-SUMIFS(资金台帐!$AD$6:$AD$3005,资金台帐!$U$6:$U$3005,"支出为准",资金台帐!$BH$6:$BH$3005,IF($C$3="全部","&gt;0",IFERROR(MATCH($C$3,基础资料!$B$5:$B$12,0),-1)),资金台帐!$BG$6:$BG$3005,$F$3*100+12),2)</f>
        <v>0</v>
      </c>
      <c r="N14" s="53">
        <f>ROUND(SUM(B14:M14),2)</f>
        <v>0</v>
      </c>
    </row>
    <row r="15">
      <c r="A15" s="51" t="inlineStr">
        <is>
          <t xml:space="preserve">　投资活动净流量</t>
        </is>
      </c>
      <c r="B15" s="37">
        <f>ROUND(-B14,2)</f>
        <v>0</v>
      </c>
      <c r="C15" s="37">
        <f>ROUND(-C14,2)</f>
        <v>0</v>
      </c>
      <c r="D15" s="37">
        <f>ROUND(-D14,2)</f>
        <v>0</v>
      </c>
      <c r="E15" s="37">
        <f>ROUND(-E14,2)</f>
        <v>0</v>
      </c>
      <c r="F15" s="37">
        <f>ROUND(-F14,2)</f>
        <v>0</v>
      </c>
      <c r="G15" s="37">
        <f>ROUND(-G14,2)</f>
        <v>0</v>
      </c>
      <c r="H15" s="37">
        <f>ROUND(-H14,2)</f>
        <v>0</v>
      </c>
      <c r="I15" s="37">
        <f>ROUND(-I14,2)</f>
        <v>0</v>
      </c>
      <c r="J15" s="37">
        <f>ROUND(-J14,2)</f>
        <v>0</v>
      </c>
      <c r="K15" s="37">
        <f>ROUND(-K14,2)</f>
        <v>0</v>
      </c>
      <c r="L15" s="37">
        <f>ROUND(-L14,2)</f>
        <v>0</v>
      </c>
      <c r="M15" s="37">
        <f>ROUND(-M14,2)</f>
        <v>0</v>
      </c>
      <c r="N15" s="37">
        <f>ROUND(-N14,2)</f>
        <v>0</v>
      </c>
    </row>
    <row r="16">
      <c r="A16" s="54" t="inlineStr">
        <is>
          <t>四、筹资及往来</t>
        </is>
      </c>
      <c r="B16" s="55" t="n"/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</row>
    <row r="17">
      <c r="A17" s="52" t="inlineStr">
        <is>
          <t xml:space="preserve">　　实收资本（收到为准）</t>
        </is>
      </c>
      <c r="B17" s="53">
        <f>ROUND(SUMIFS(资金台帐!$AD$6:$AD$3005,资金台帐!$U$6:$U$3005,"收到为准",资金台帐!$BH$6:$BH$3005,IF($C$3="全部","&gt;0",IFERROR(MATCH($C$3,基础资料!$B$5:$B$12,0),-1)),资金台帐!$BG$6:$BG$3005,$F$3*100+1),2)</f>
        <v>0</v>
      </c>
      <c r="C17" s="53">
        <f>ROUND(SUMIFS(资金台帐!$AD$6:$AD$3005,资金台帐!$U$6:$U$3005,"收到为准",资金台帐!$BH$6:$BH$3005,IF($C$3="全部","&gt;0",IFERROR(MATCH($C$3,基础资料!$B$5:$B$12,0),-1)),资金台帐!$BG$6:$BG$3005,$F$3*100+2),2)</f>
        <v>0</v>
      </c>
      <c r="D17" s="53">
        <f>ROUND(SUMIFS(资金台帐!$AD$6:$AD$3005,资金台帐!$U$6:$U$3005,"收到为准",资金台帐!$BH$6:$BH$3005,IF($C$3="全部","&gt;0",IFERROR(MATCH($C$3,基础资料!$B$5:$B$12,0),-1)),资金台帐!$BG$6:$BG$3005,$F$3*100+3),2)</f>
        <v>0</v>
      </c>
      <c r="E17" s="53">
        <f>ROUND(SUMIFS(资金台帐!$AD$6:$AD$3005,资金台帐!$U$6:$U$3005,"收到为准",资金台帐!$BH$6:$BH$3005,IF($C$3="全部","&gt;0",IFERROR(MATCH($C$3,基础资料!$B$5:$B$12,0),-1)),资金台帐!$BG$6:$BG$3005,$F$3*100+4),2)</f>
        <v>0</v>
      </c>
      <c r="F17" s="53">
        <f>ROUND(SUMIFS(资金台帐!$AD$6:$AD$3005,资金台帐!$U$6:$U$3005,"收到为准",资金台帐!$BH$6:$BH$3005,IF($C$3="全部","&gt;0",IFERROR(MATCH($C$3,基础资料!$B$5:$B$12,0),-1)),资金台帐!$BG$6:$BG$3005,$F$3*100+5),2)</f>
        <v>0</v>
      </c>
      <c r="G17" s="53">
        <f>ROUND(SUMIFS(资金台帐!$AD$6:$AD$3005,资金台帐!$U$6:$U$3005,"收到为准",资金台帐!$BH$6:$BH$3005,IF($C$3="全部","&gt;0",IFERROR(MATCH($C$3,基础资料!$B$5:$B$12,0),-1)),资金台帐!$BG$6:$BG$3005,$F$3*100+6),2)</f>
        <v>0</v>
      </c>
      <c r="H17" s="53">
        <f>ROUND(SUMIFS(资金台帐!$AD$6:$AD$3005,资金台帐!$U$6:$U$3005,"收到为准",资金台帐!$BH$6:$BH$3005,IF($C$3="全部","&gt;0",IFERROR(MATCH($C$3,基础资料!$B$5:$B$12,0),-1)),资金台帐!$BG$6:$BG$3005,$F$3*100+7),2)</f>
        <v>0</v>
      </c>
      <c r="I17" s="53">
        <f>ROUND(SUMIFS(资金台帐!$AD$6:$AD$3005,资金台帐!$U$6:$U$3005,"收到为准",资金台帐!$BH$6:$BH$3005,IF($C$3="全部","&gt;0",IFERROR(MATCH($C$3,基础资料!$B$5:$B$12,0),-1)),资金台帐!$BG$6:$BG$3005,$F$3*100+8),2)</f>
        <v>0</v>
      </c>
      <c r="J17" s="53">
        <f>ROUND(SUMIFS(资金台帐!$AD$6:$AD$3005,资金台帐!$U$6:$U$3005,"收到为准",资金台帐!$BH$6:$BH$3005,IF($C$3="全部","&gt;0",IFERROR(MATCH($C$3,基础资料!$B$5:$B$12,0),-1)),资金台帐!$BG$6:$BG$3005,$F$3*100+9),2)</f>
        <v>0</v>
      </c>
      <c r="K17" s="53">
        <f>ROUND(SUMIFS(资金台帐!$AD$6:$AD$3005,资金台帐!$U$6:$U$3005,"收到为准",资金台帐!$BH$6:$BH$3005,IF($C$3="全部","&gt;0",IFERROR(MATCH($C$3,基础资料!$B$5:$B$12,0),-1)),资金台帐!$BG$6:$BG$3005,$F$3*100+10),2)</f>
        <v>0</v>
      </c>
      <c r="L17" s="53">
        <f>ROUND(SUMIFS(资金台帐!$AD$6:$AD$3005,资金台帐!$U$6:$U$3005,"收到为准",资金台帐!$BH$6:$BH$3005,IF($C$3="全部","&gt;0",IFERROR(MATCH($C$3,基础资料!$B$5:$B$12,0),-1)),资金台帐!$BG$6:$BG$3005,$F$3*100+11),2)</f>
        <v>0</v>
      </c>
      <c r="M17" s="53">
        <f>ROUND(SUMIFS(资金台帐!$AD$6:$AD$3005,资金台帐!$U$6:$U$3005,"收到为准",资金台帐!$BH$6:$BH$3005,IF($C$3="全部","&gt;0",IFERROR(MATCH($C$3,基础资料!$B$5:$B$12,0),-1)),资金台帐!$BG$6:$BG$3005,$F$3*100+12),2)</f>
        <v>0</v>
      </c>
      <c r="N17" s="53">
        <f t="shared" ref="N17:N20" si="1">ROUND(SUM(B17:M17),2)</f>
        <v>0</v>
      </c>
    </row>
    <row r="18">
      <c r="A18" s="52" t="inlineStr">
        <is>
          <t xml:space="preserve">　　往来款净流入（借款、押金等）</t>
        </is>
      </c>
      <c r="B18" s="53">
        <f>ROUND(SUMIFS(资金台帐!$AD$6:$AD$3005,资金台帐!$U$6:$U$3005,"往来",资金台帐!$BH$6:$BH$3005,IF($C$3="全部","&gt;0",IFERROR(MATCH($C$3,基础资料!$B$5:$B$12,0),-1)),资金台帐!$BG$6:$BG$3005,$F$3*100+1),2)</f>
        <v>0</v>
      </c>
      <c r="C18" s="53">
        <f>ROUND(SUMIFS(资金台帐!$AD$6:$AD$3005,资金台帐!$U$6:$U$3005,"往来",资金台帐!$BH$6:$BH$3005,IF($C$3="全部","&gt;0",IFERROR(MATCH($C$3,基础资料!$B$5:$B$12,0),-1)),资金台帐!$BG$6:$BG$3005,$F$3*100+2),2)</f>
        <v>0</v>
      </c>
      <c r="D18" s="53">
        <f>ROUND(SUMIFS(资金台帐!$AD$6:$AD$3005,资金台帐!$U$6:$U$3005,"往来",资金台帐!$BH$6:$BH$3005,IF($C$3="全部","&gt;0",IFERROR(MATCH($C$3,基础资料!$B$5:$B$12,0),-1)),资金台帐!$BG$6:$BG$3005,$F$3*100+3),2)</f>
        <v>0</v>
      </c>
      <c r="E18" s="53">
        <f>ROUND(SUMIFS(资金台帐!$AD$6:$AD$3005,资金台帐!$U$6:$U$3005,"往来",资金台帐!$BH$6:$BH$3005,IF($C$3="全部","&gt;0",IFERROR(MATCH($C$3,基础资料!$B$5:$B$12,0),-1)),资金台帐!$BG$6:$BG$3005,$F$3*100+4),2)</f>
        <v>0</v>
      </c>
      <c r="F18" s="53">
        <f>ROUND(SUMIFS(资金台帐!$AD$6:$AD$3005,资金台帐!$U$6:$U$3005,"往来",资金台帐!$BH$6:$BH$3005,IF($C$3="全部","&gt;0",IFERROR(MATCH($C$3,基础资料!$B$5:$B$12,0),-1)),资金台帐!$BG$6:$BG$3005,$F$3*100+5),2)</f>
        <v>0</v>
      </c>
      <c r="G18" s="53">
        <f>ROUND(SUMIFS(资金台帐!$AD$6:$AD$3005,资金台帐!$U$6:$U$3005,"往来",资金台帐!$BH$6:$BH$3005,IF($C$3="全部","&gt;0",IFERROR(MATCH($C$3,基础资料!$B$5:$B$12,0),-1)),资金台帐!$BG$6:$BG$3005,$F$3*100+6),2)</f>
        <v>0</v>
      </c>
      <c r="H18" s="53">
        <f>ROUND(SUMIFS(资金台帐!$AD$6:$AD$3005,资金台帐!$U$6:$U$3005,"往来",资金台帐!$BH$6:$BH$3005,IF($C$3="全部","&gt;0",IFERROR(MATCH($C$3,基础资料!$B$5:$B$12,0),-1)),资金台帐!$BG$6:$BG$3005,$F$3*100+7),2)</f>
        <v>0</v>
      </c>
      <c r="I18" s="53">
        <f>ROUND(SUMIFS(资金台帐!$AD$6:$AD$3005,资金台帐!$U$6:$U$3005,"往来",资金台帐!$BH$6:$BH$3005,IF($C$3="全部","&gt;0",IFERROR(MATCH($C$3,基础资料!$B$5:$B$12,0),-1)),资金台帐!$BG$6:$BG$3005,$F$3*100+8),2)</f>
        <v>0</v>
      </c>
      <c r="J18" s="53">
        <f>ROUND(SUMIFS(资金台帐!$AD$6:$AD$3005,资金台帐!$U$6:$U$3005,"往来",资金台帐!$BH$6:$BH$3005,IF($C$3="全部","&gt;0",IFERROR(MATCH($C$3,基础资料!$B$5:$B$12,0),-1)),资金台帐!$BG$6:$BG$3005,$F$3*100+9),2)</f>
        <v>0</v>
      </c>
      <c r="K18" s="53">
        <f>ROUND(SUMIFS(资金台帐!$AD$6:$AD$3005,资金台帐!$U$6:$U$3005,"往来",资金台帐!$BH$6:$BH$3005,IF($C$3="全部","&gt;0",IFERROR(MATCH($C$3,基础资料!$B$5:$B$12,0),-1)),资金台帐!$BG$6:$BG$3005,$F$3*100+10),2)</f>
        <v>0</v>
      </c>
      <c r="L18" s="53">
        <f>ROUND(SUMIFS(资金台帐!$AD$6:$AD$3005,资金台帐!$U$6:$U$3005,"往来",资金台帐!$BH$6:$BH$3005,IF($C$3="全部","&gt;0",IFERROR(MATCH($C$3,基础资料!$B$5:$B$12,0),-1)),资金台帐!$BG$6:$BG$3005,$F$3*100+11),2)</f>
        <v>0</v>
      </c>
      <c r="M18" s="53">
        <f>ROUND(SUMIFS(资金台帐!$AD$6:$AD$3005,资金台帐!$U$6:$U$3005,"往来",资金台帐!$BH$6:$BH$3005,IF($C$3="全部","&gt;0",IFERROR(MATCH($C$3,基础资料!$B$5:$B$12,0),-1)),资金台帐!$BG$6:$BG$3005,$F$3*100+12),2)</f>
        <v>0</v>
      </c>
      <c r="N18" s="53">
        <f t="shared" si="1"/>
        <v>0</v>
      </c>
    </row>
    <row r="19">
      <c r="A19" s="52" t="inlineStr">
        <is>
          <t xml:space="preserve">　　内部公司划转净流入</t>
        </is>
      </c>
      <c r="B19" s="53">
        <f>ROUND(SUMIFS(资金台帐!$AD$6:$AD$3005,资金台帐!$U$6:$U$3005,"内部划转",资金台帐!$BH$6:$BH$3005,IF($C$3="全部","&gt;0",IFERROR(MATCH($C$3,基础资料!$B$5:$B$12,0),-1)),资金台帐!$BG$6:$BG$3005,$F$3*100+1),2)</f>
        <v>0</v>
      </c>
      <c r="C19" s="53">
        <f>ROUND(SUMIFS(资金台帐!$AD$6:$AD$3005,资金台帐!$U$6:$U$3005,"内部划转",资金台帐!$BH$6:$BH$3005,IF($C$3="全部","&gt;0",IFERROR(MATCH($C$3,基础资料!$B$5:$B$12,0),-1)),资金台帐!$BG$6:$BG$3005,$F$3*100+2),2)</f>
        <v>0</v>
      </c>
      <c r="D19" s="53">
        <f>ROUND(SUMIFS(资金台帐!$AD$6:$AD$3005,资金台帐!$U$6:$U$3005,"内部划转",资金台帐!$BH$6:$BH$3005,IF($C$3="全部","&gt;0",IFERROR(MATCH($C$3,基础资料!$B$5:$B$12,0),-1)),资金台帐!$BG$6:$BG$3005,$F$3*100+3),2)</f>
        <v>0</v>
      </c>
      <c r="E19" s="53">
        <f>ROUND(SUMIFS(资金台帐!$AD$6:$AD$3005,资金台帐!$U$6:$U$3005,"内部划转",资金台帐!$BH$6:$BH$3005,IF($C$3="全部","&gt;0",IFERROR(MATCH($C$3,基础资料!$B$5:$B$12,0),-1)),资金台帐!$BG$6:$BG$3005,$F$3*100+4),2)</f>
        <v>0</v>
      </c>
      <c r="F19" s="53">
        <f>ROUND(SUMIFS(资金台帐!$AD$6:$AD$3005,资金台帐!$U$6:$U$3005,"内部划转",资金台帐!$BH$6:$BH$3005,IF($C$3="全部","&gt;0",IFERROR(MATCH($C$3,基础资料!$B$5:$B$12,0),-1)),资金台帐!$BG$6:$BG$3005,$F$3*100+5),2)</f>
        <v>0</v>
      </c>
      <c r="G19" s="53">
        <f>ROUND(SUMIFS(资金台帐!$AD$6:$AD$3005,资金台帐!$U$6:$U$3005,"内部划转",资金台帐!$BH$6:$BH$3005,IF($C$3="全部","&gt;0",IFERROR(MATCH($C$3,基础资料!$B$5:$B$12,0),-1)),资金台帐!$BG$6:$BG$3005,$F$3*100+6),2)</f>
        <v>0</v>
      </c>
      <c r="H19" s="53">
        <f>ROUND(SUMIFS(资金台帐!$AD$6:$AD$3005,资金台帐!$U$6:$U$3005,"内部划转",资金台帐!$BH$6:$BH$3005,IF($C$3="全部","&gt;0",IFERROR(MATCH($C$3,基础资料!$B$5:$B$12,0),-1)),资金台帐!$BG$6:$BG$3005,$F$3*100+7),2)</f>
        <v>11000</v>
      </c>
      <c r="I19" s="53">
        <f>ROUND(SUMIFS(资金台帐!$AD$6:$AD$3005,资金台帐!$U$6:$U$3005,"内部划转",资金台帐!$BH$6:$BH$3005,IF($C$3="全部","&gt;0",IFERROR(MATCH($C$3,基础资料!$B$5:$B$12,0),-1)),资金台帐!$BG$6:$BG$3005,$F$3*100+8),2)</f>
        <v>1000000</v>
      </c>
      <c r="J19" s="53">
        <f>ROUND(SUMIFS(资金台帐!$AD$6:$AD$3005,资金台帐!$U$6:$U$3005,"内部划转",资金台帐!$BH$6:$BH$3005,IF($C$3="全部","&gt;0",IFERROR(MATCH($C$3,基础资料!$B$5:$B$12,0),-1)),资金台帐!$BG$6:$BG$3005,$F$3*100+9),2)</f>
        <v>0</v>
      </c>
      <c r="K19" s="53">
        <f>ROUND(SUMIFS(资金台帐!$AD$6:$AD$3005,资金台帐!$U$6:$U$3005,"内部划转",资金台帐!$BH$6:$BH$3005,IF($C$3="全部","&gt;0",IFERROR(MATCH($C$3,基础资料!$B$5:$B$12,0),-1)),资金台帐!$BG$6:$BG$3005,$F$3*100+10),2)</f>
        <v>0</v>
      </c>
      <c r="L19" s="53">
        <f>ROUND(SUMIFS(资金台帐!$AD$6:$AD$3005,资金台帐!$U$6:$U$3005,"内部划转",资金台帐!$BH$6:$BH$3005,IF($C$3="全部","&gt;0",IFERROR(MATCH($C$3,基础资料!$B$5:$B$12,0),-1)),资金台帐!$BG$6:$BG$3005,$F$3*100+11),2)</f>
        <v>0</v>
      </c>
      <c r="M19" s="53">
        <f>ROUND(SUMIFS(资金台帐!$AD$6:$AD$3005,资金台帐!$U$6:$U$3005,"内部划转",资金台帐!$BH$6:$BH$3005,IF($C$3="全部","&gt;0",IFERROR(MATCH($C$3,基础资料!$B$5:$B$12,0),-1)),资金台帐!$BG$6:$BG$3005,$F$3*100+12),2)</f>
        <v>0</v>
      </c>
      <c r="N19" s="53">
        <f t="shared" si="1"/>
        <v>1011000</v>
      </c>
    </row>
    <row r="20">
      <c r="A20" s="52" t="inlineStr">
        <is>
          <t xml:space="preserve">　　账户互转（同公司，应为 0）</t>
        </is>
      </c>
      <c r="B20" s="53">
        <f>ROUND(SUMIFS(资金台帐!$AD$6:$AD$3005,资金台帐!$U$6:$U$3005,"账户互转",资金台帐!$BH$6:$BH$3005,IF($C$3="全部","&gt;0",IFERROR(MATCH($C$3,基础资料!$B$5:$B$12,0),-1)),资金台帐!$BG$6:$BG$3005,$F$3*100+1),2)</f>
        <v>0</v>
      </c>
      <c r="C20" s="53">
        <f>ROUND(SUMIFS(资金台帐!$AD$6:$AD$3005,资金台帐!$U$6:$U$3005,"账户互转",资金台帐!$BH$6:$BH$3005,IF($C$3="全部","&gt;0",IFERROR(MATCH($C$3,基础资料!$B$5:$B$12,0),-1)),资金台帐!$BG$6:$BG$3005,$F$3*100+2),2)</f>
        <v>0</v>
      </c>
      <c r="D20" s="53">
        <f>ROUND(SUMIFS(资金台帐!$AD$6:$AD$3005,资金台帐!$U$6:$U$3005,"账户互转",资金台帐!$BH$6:$BH$3005,IF($C$3="全部","&gt;0",IFERROR(MATCH($C$3,基础资料!$B$5:$B$12,0),-1)),资金台帐!$BG$6:$BG$3005,$F$3*100+3),2)</f>
        <v>0</v>
      </c>
      <c r="E20" s="53">
        <f>ROUND(SUMIFS(资金台帐!$AD$6:$AD$3005,资金台帐!$U$6:$U$3005,"账户互转",资金台帐!$BH$6:$BH$3005,IF($C$3="全部","&gt;0",IFERROR(MATCH($C$3,基础资料!$B$5:$B$12,0),-1)),资金台帐!$BG$6:$BG$3005,$F$3*100+4),2)</f>
        <v>0</v>
      </c>
      <c r="F20" s="53">
        <f>ROUND(SUMIFS(资金台帐!$AD$6:$AD$3005,资金台帐!$U$6:$U$3005,"账户互转",资金台帐!$BH$6:$BH$3005,IF($C$3="全部","&gt;0",IFERROR(MATCH($C$3,基础资料!$B$5:$B$12,0),-1)),资金台帐!$BG$6:$BG$3005,$F$3*100+5),2)</f>
        <v>0</v>
      </c>
      <c r="G20" s="53">
        <f>ROUND(SUMIFS(资金台帐!$AD$6:$AD$3005,资金台帐!$U$6:$U$3005,"账户互转",资金台帐!$BH$6:$BH$3005,IF($C$3="全部","&gt;0",IFERROR(MATCH($C$3,基础资料!$B$5:$B$12,0),-1)),资金台帐!$BG$6:$BG$3005,$F$3*100+6),2)</f>
        <v>0</v>
      </c>
      <c r="H20" s="53">
        <f>ROUND(SUMIFS(资金台帐!$AD$6:$AD$3005,资金台帐!$U$6:$U$3005,"账户互转",资金台帐!$BH$6:$BH$3005,IF($C$3="全部","&gt;0",IFERROR(MATCH($C$3,基础资料!$B$5:$B$12,0),-1)),资金台帐!$BG$6:$BG$3005,$F$3*100+7),2)</f>
        <v>0</v>
      </c>
      <c r="I20" s="53">
        <f>ROUND(SUMIFS(资金台帐!$AD$6:$AD$3005,资金台帐!$U$6:$U$3005,"账户互转",资金台帐!$BH$6:$BH$3005,IF($C$3="全部","&gt;0",IFERROR(MATCH($C$3,基础资料!$B$5:$B$12,0),-1)),资金台帐!$BG$6:$BG$3005,$F$3*100+8),2)</f>
        <v>0</v>
      </c>
      <c r="J20" s="53">
        <f>ROUND(SUMIFS(资金台帐!$AD$6:$AD$3005,资金台帐!$U$6:$U$3005,"账户互转",资金台帐!$BH$6:$BH$3005,IF($C$3="全部","&gt;0",IFERROR(MATCH($C$3,基础资料!$B$5:$B$12,0),-1)),资金台帐!$BG$6:$BG$3005,$F$3*100+9),2)</f>
        <v>-54976.4</v>
      </c>
      <c r="K20" s="53">
        <f>ROUND(SUMIFS(资金台帐!$AD$6:$AD$3005,资金台帐!$U$6:$U$3005,"账户互转",资金台帐!$BH$6:$BH$3005,IF($C$3="全部","&gt;0",IFERROR(MATCH($C$3,基础资料!$B$5:$B$12,0),-1)),资金台帐!$BG$6:$BG$3005,$F$3*100+10),2)</f>
        <v>0</v>
      </c>
      <c r="L20" s="53">
        <f>ROUND(SUMIFS(资金台帐!$AD$6:$AD$3005,资金台帐!$U$6:$U$3005,"账户互转",资金台帐!$BH$6:$BH$3005,IF($C$3="全部","&gt;0",IFERROR(MATCH($C$3,基础资料!$B$5:$B$12,0),-1)),资金台帐!$BG$6:$BG$3005,$F$3*100+11),2)</f>
        <v>0</v>
      </c>
      <c r="M20" s="53">
        <f>ROUND(SUMIFS(资金台帐!$AD$6:$AD$3005,资金台帐!$U$6:$U$3005,"账户互转",资金台帐!$BH$6:$BH$3005,IF($C$3="全部","&gt;0",IFERROR(MATCH($C$3,基础资料!$B$5:$B$12,0),-1)),资金台帐!$BG$6:$BG$3005,$F$3*100+12),2)</f>
        <v>0</v>
      </c>
      <c r="N20" s="53">
        <f t="shared" si="1"/>
        <v>-54976.4</v>
      </c>
    </row>
    <row r="21">
      <c r="A21" s="51" t="inlineStr">
        <is>
          <t xml:space="preserve">　筹资及往来净流量</t>
        </is>
      </c>
      <c r="B21" s="37">
        <f>ROUND(B17+B18+B19+B20,2)</f>
        <v>0</v>
      </c>
      <c r="C21" s="37">
        <f>ROUND(C17+C18+C19+C20,2)</f>
        <v>0</v>
      </c>
      <c r="D21" s="37">
        <f>ROUND(D17+D18+D19+D20,2)</f>
        <v>0</v>
      </c>
      <c r="E21" s="37">
        <f>ROUND(E17+E18+E19+E20,2)</f>
        <v>0</v>
      </c>
      <c r="F21" s="37">
        <f>ROUND(F17+F18+F19+F20,2)</f>
        <v>0</v>
      </c>
      <c r="G21" s="37">
        <f>ROUND(G17+G18+G19+G20,2)</f>
        <v>0</v>
      </c>
      <c r="H21" s="37">
        <f>ROUND(H17+H18+H19+H20,2)</f>
        <v>11000</v>
      </c>
      <c r="I21" s="37">
        <f>ROUND(I17+I18+I19+I20,2)</f>
        <v>1000000</v>
      </c>
      <c r="J21" s="37">
        <f>ROUND(J17+J18+J19+J20,2)</f>
        <v>-54976.4</v>
      </c>
      <c r="K21" s="37">
        <f>ROUND(K17+K18+K19+K20,2)</f>
        <v>0</v>
      </c>
      <c r="L21" s="37">
        <f>ROUND(L17+L18+L19+L20,2)</f>
        <v>0</v>
      </c>
      <c r="M21" s="37">
        <f>ROUND(M17+M18+M19+M20,2)</f>
        <v>0</v>
      </c>
      <c r="N21" s="37">
        <f>ROUND(N17+N18+N19+N20,2)</f>
        <v>956023.6</v>
      </c>
    </row>
    <row r="22">
      <c r="A22" s="52" t="inlineStr">
        <is>
          <t>五、还没分类的收支（资金台帐收支项目空着的）</t>
        </is>
      </c>
      <c r="B22" s="53">
        <f>ROUND(SUMIFS(资金台帐!$AD$6:$AD$3005,资金台帐!$BH$6:$BH$3005,IF($C$3="全部","&gt;0",IFERROR(MATCH($C$3,基础资料!$B$5:$B$12,0),-1)),资金台帐!$BG$6:$BG$3005,$F$3*100+1)-SUMIFS(资金台帐!$AD$6:$AD$3005,资金台帐!$U$6:$U$3005,"?*",资金台帐!$BH$6:$BH$3005,IF($C$3="全部","&gt;0",IFERROR(MATCH($C$3,基础资料!$B$5:$B$12,0),-1)),资金台帐!$BG$6:$BG$3005,$F$3*100+1)+SUMIFS(资金台帐!$AD$6:$AD$3005,资金台帐!$U$6:$U$3005,"？",资金台帐!$BH$6:$BH$3005,IF($C$3="全部","&gt;0",IFERROR(MATCH($C$3,基础资料!$B$5:$B$12,0),-1)),资金台帐!$BG$6:$BG$3005,$F$3*100+1),2)</f>
        <v>0</v>
      </c>
      <c r="C22" s="53">
        <f>ROUND(SUMIFS(资金台帐!$AD$6:$AD$3005,资金台帐!$BH$6:$BH$3005,IF($C$3="全部","&gt;0",IFERROR(MATCH($C$3,基础资料!$B$5:$B$12,0),-1)),资金台帐!$BG$6:$BG$3005,$F$3*100+2)-SUMIFS(资金台帐!$AD$6:$AD$3005,资金台帐!$U$6:$U$3005,"?*",资金台帐!$BH$6:$BH$3005,IF($C$3="全部","&gt;0",IFERROR(MATCH($C$3,基础资料!$B$5:$B$12,0),-1)),资金台帐!$BG$6:$BG$3005,$F$3*100+2)+SUMIFS(资金台帐!$AD$6:$AD$3005,资金台帐!$U$6:$U$3005,"？",资金台帐!$BH$6:$BH$3005,IF($C$3="全部","&gt;0",IFERROR(MATCH($C$3,基础资料!$B$5:$B$12,0),-1)),资金台帐!$BG$6:$BG$3005,$F$3*100+2),2)</f>
        <v>0</v>
      </c>
      <c r="D22" s="53">
        <f>ROUND(SUMIFS(资金台帐!$AD$6:$AD$3005,资金台帐!$BH$6:$BH$3005,IF($C$3="全部","&gt;0",IFERROR(MATCH($C$3,基础资料!$B$5:$B$12,0),-1)),资金台帐!$BG$6:$BG$3005,$F$3*100+3)-SUMIFS(资金台帐!$AD$6:$AD$3005,资金台帐!$U$6:$U$3005,"?*",资金台帐!$BH$6:$BH$3005,IF($C$3="全部","&gt;0",IFERROR(MATCH($C$3,基础资料!$B$5:$B$12,0),-1)),资金台帐!$BG$6:$BG$3005,$F$3*100+3)+SUMIFS(资金台帐!$AD$6:$AD$3005,资金台帐!$U$6:$U$3005,"？",资金台帐!$BH$6:$BH$3005,IF($C$3="全部","&gt;0",IFERROR(MATCH($C$3,基础资料!$B$5:$B$12,0),-1)),资金台帐!$BG$6:$BG$3005,$F$3*100+3),2)</f>
        <v>0</v>
      </c>
      <c r="E22" s="53">
        <f>ROUND(SUMIFS(资金台帐!$AD$6:$AD$3005,资金台帐!$BH$6:$BH$3005,IF($C$3="全部","&gt;0",IFERROR(MATCH($C$3,基础资料!$B$5:$B$12,0),-1)),资金台帐!$BG$6:$BG$3005,$F$3*100+4)-SUMIFS(资金台帐!$AD$6:$AD$3005,资金台帐!$U$6:$U$3005,"?*",资金台帐!$BH$6:$BH$3005,IF($C$3="全部","&gt;0",IFERROR(MATCH($C$3,基础资料!$B$5:$B$12,0),-1)),资金台帐!$BG$6:$BG$3005,$F$3*100+4)+SUMIFS(资金台帐!$AD$6:$AD$3005,资金台帐!$U$6:$U$3005,"？",资金台帐!$BH$6:$BH$3005,IF($C$3="全部","&gt;0",IFERROR(MATCH($C$3,基础资料!$B$5:$B$12,0),-1)),资金台帐!$BG$6:$BG$3005,$F$3*100+4),2)</f>
        <v>0</v>
      </c>
      <c r="F22" s="53">
        <f>ROUND(SUMIFS(资金台帐!$AD$6:$AD$3005,资金台帐!$BH$6:$BH$3005,IF($C$3="全部","&gt;0",IFERROR(MATCH($C$3,基础资料!$B$5:$B$12,0),-1)),资金台帐!$BG$6:$BG$3005,$F$3*100+5)-SUMIFS(资金台帐!$AD$6:$AD$3005,资金台帐!$U$6:$U$3005,"?*",资金台帐!$BH$6:$BH$3005,IF($C$3="全部","&gt;0",IFERROR(MATCH($C$3,基础资料!$B$5:$B$12,0),-1)),资金台帐!$BG$6:$BG$3005,$F$3*100+5)+SUMIFS(资金台帐!$AD$6:$AD$3005,资金台帐!$U$6:$U$3005,"？",资金台帐!$BH$6:$BH$3005,IF($C$3="全部","&gt;0",IFERROR(MATCH($C$3,基础资料!$B$5:$B$12,0),-1)),资金台帐!$BG$6:$BG$3005,$F$3*100+5),2)</f>
        <v>0</v>
      </c>
      <c r="G22" s="53">
        <f>ROUND(SUMIFS(资金台帐!$AD$6:$AD$3005,资金台帐!$BH$6:$BH$3005,IF($C$3="全部","&gt;0",IFERROR(MATCH($C$3,基础资料!$B$5:$B$12,0),-1)),资金台帐!$BG$6:$BG$3005,$F$3*100+6)-SUMIFS(资金台帐!$AD$6:$AD$3005,资金台帐!$U$6:$U$3005,"?*",资金台帐!$BH$6:$BH$3005,IF($C$3="全部","&gt;0",IFERROR(MATCH($C$3,基础资料!$B$5:$B$12,0),-1)),资金台帐!$BG$6:$BG$3005,$F$3*100+6)+SUMIFS(资金台帐!$AD$6:$AD$3005,资金台帐!$U$6:$U$3005,"？",资金台帐!$BH$6:$BH$3005,IF($C$3="全部","&gt;0",IFERROR(MATCH($C$3,基础资料!$B$5:$B$12,0),-1)),资金台帐!$BG$6:$BG$3005,$F$3*100+6),2)</f>
        <v>-21274.44</v>
      </c>
      <c r="H22" s="53">
        <f>ROUND(SUMIFS(资金台帐!$AD$6:$AD$3005,资金台帐!$BH$6:$BH$3005,IF($C$3="全部","&gt;0",IFERROR(MATCH($C$3,基础资料!$B$5:$B$12,0),-1)),资金台帐!$BG$6:$BG$3005,$F$3*100+7)-SUMIFS(资金台帐!$AD$6:$AD$3005,资金台帐!$U$6:$U$3005,"?*",资金台帐!$BH$6:$BH$3005,IF($C$3="全部","&gt;0",IFERROR(MATCH($C$3,基础资料!$B$5:$B$12,0),-1)),资金台帐!$BG$6:$BG$3005,$F$3*100+7)+SUMIFS(资金台帐!$AD$6:$AD$3005,资金台帐!$U$6:$U$3005,"？",资金台帐!$BH$6:$BH$3005,IF($C$3="全部","&gt;0",IFERROR(MATCH($C$3,基础资料!$B$5:$B$12,0),-1)),资金台帐!$BG$6:$BG$3005,$F$3*100+7),2)</f>
        <v>-16888.14</v>
      </c>
      <c r="I22" s="53">
        <f>ROUND(SUMIFS(资金台帐!$AD$6:$AD$3005,资金台帐!$BH$6:$BH$3005,IF($C$3="全部","&gt;0",IFERROR(MATCH($C$3,基础资料!$B$5:$B$12,0),-1)),资金台帐!$BG$6:$BG$3005,$F$3*100+8)-SUMIFS(资金台帐!$AD$6:$AD$3005,资金台帐!$U$6:$U$3005,"?*",资金台帐!$BH$6:$BH$3005,IF($C$3="全部","&gt;0",IFERROR(MATCH($C$3,基础资料!$B$5:$B$12,0),-1)),资金台帐!$BG$6:$BG$3005,$F$3*100+8)+SUMIFS(资金台帐!$AD$6:$AD$3005,资金台帐!$U$6:$U$3005,"？",资金台帐!$BH$6:$BH$3005,IF($C$3="全部","&gt;0",IFERROR(MATCH($C$3,基础资料!$B$5:$B$12,0),-1)),资金台帐!$BG$6:$BG$3005,$F$3*100+8),2)</f>
        <v>-1000000</v>
      </c>
      <c r="J22" s="53">
        <f>ROUND(SUMIFS(资金台帐!$AD$6:$AD$3005,资金台帐!$BH$6:$BH$3005,IF($C$3="全部","&gt;0",IFERROR(MATCH($C$3,基础资料!$B$5:$B$12,0),-1)),资金台帐!$BG$6:$BG$3005,$F$3*100+9)-SUMIFS(资金台帐!$AD$6:$AD$3005,资金台帐!$U$6:$U$3005,"?*",资金台帐!$BH$6:$BH$3005,IF($C$3="全部","&gt;0",IFERROR(MATCH($C$3,基础资料!$B$5:$B$12,0),-1)),资金台帐!$BG$6:$BG$3005,$F$3*100+9)+SUMIFS(资金台帐!$AD$6:$AD$3005,资金台帐!$U$6:$U$3005,"？",资金台帐!$BH$6:$BH$3005,IF($C$3="全部","&gt;0",IFERROR(MATCH($C$3,基础资料!$B$5:$B$12,0),-1)),资金台帐!$BG$6:$BG$3005,$F$3*100+9),2)</f>
        <v>-45090.88</v>
      </c>
      <c r="K22" s="53">
        <f>ROUND(SUMIFS(资金台帐!$AD$6:$AD$3005,资金台帐!$BH$6:$BH$3005,IF($C$3="全部","&gt;0",IFERROR(MATCH($C$3,基础资料!$B$5:$B$12,0),-1)),资金台帐!$BG$6:$BG$3005,$F$3*100+10)-SUMIFS(资金台帐!$AD$6:$AD$3005,资金台帐!$U$6:$U$3005,"?*",资金台帐!$BH$6:$BH$3005,IF($C$3="全部","&gt;0",IFERROR(MATCH($C$3,基础资料!$B$5:$B$12,0),-1)),资金台帐!$BG$6:$BG$3005,$F$3*100+10)+SUMIFS(资金台帐!$AD$6:$AD$3005,资金台帐!$U$6:$U$3005,"？",资金台帐!$BH$6:$BH$3005,IF($C$3="全部","&gt;0",IFERROR(MATCH($C$3,基础资料!$B$5:$B$12,0),-1)),资金台帐!$BG$6:$BG$3005,$F$3*100+10),2)</f>
        <v>0</v>
      </c>
      <c r="L22" s="53">
        <f>ROUND(SUMIFS(资金台帐!$AD$6:$AD$3005,资金台帐!$BH$6:$BH$3005,IF($C$3="全部","&gt;0",IFERROR(MATCH($C$3,基础资料!$B$5:$B$12,0),-1)),资金台帐!$BG$6:$BG$3005,$F$3*100+11)-SUMIFS(资金台帐!$AD$6:$AD$3005,资金台帐!$U$6:$U$3005,"?*",资金台帐!$BH$6:$BH$3005,IF($C$3="全部","&gt;0",IFERROR(MATCH($C$3,基础资料!$B$5:$B$12,0),-1)),资金台帐!$BG$6:$BG$3005,$F$3*100+11)+SUMIFS(资金台帐!$AD$6:$AD$3005,资金台帐!$U$6:$U$3005,"？",资金台帐!$BH$6:$BH$3005,IF($C$3="全部","&gt;0",IFERROR(MATCH($C$3,基础资料!$B$5:$B$12,0),-1)),资金台帐!$BG$6:$BG$3005,$F$3*100+11),2)</f>
        <v>0</v>
      </c>
      <c r="M22" s="53">
        <f>ROUND(SUMIFS(资金台帐!$AD$6:$AD$3005,资金台帐!$BH$6:$BH$3005,IF($C$3="全部","&gt;0",IFERROR(MATCH($C$3,基础资料!$B$5:$B$12,0),-1)),资金台帐!$BG$6:$BG$3005,$F$3*100+12)-SUMIFS(资金台帐!$AD$6:$AD$3005,资金台帐!$U$6:$U$3005,"?*",资金台帐!$BH$6:$BH$3005,IF($C$3="全部","&gt;0",IFERROR(MATCH($C$3,基础资料!$B$5:$B$12,0),-1)),资金台帐!$BG$6:$BG$3005,$F$3*100+12)+SUMIFS(资金台帐!$AD$6:$AD$3005,资金台帐!$U$6:$U$3005,"？",资金台帐!$BH$6:$BH$3005,IF($C$3="全部","&gt;0",IFERROR(MATCH($C$3,基础资料!$B$5:$B$12,0),-1)),资金台帐!$BG$6:$BG$3005,$F$3*100+12),2)</f>
        <v>0</v>
      </c>
      <c r="N22" s="53">
        <f>ROUND(SUM(B22:M22),2)</f>
        <v>-1083253.46</v>
      </c>
    </row>
    <row r="23">
      <c r="A23" s="51" t="inlineStr">
        <is>
          <t>六、本期资金净增加</t>
        </is>
      </c>
      <c r="B23" s="37">
        <f>ROUND(B12+B15+B21+B22,2)</f>
        <v>0</v>
      </c>
      <c r="C23" s="37">
        <f>ROUND(C12+C15+C21+C22,2)</f>
        <v>0</v>
      </c>
      <c r="D23" s="37">
        <f>ROUND(D12+D15+D21+D22,2)</f>
        <v>0</v>
      </c>
      <c r="E23" s="37">
        <f>ROUND(E12+E15+E21+E22,2)</f>
        <v>0</v>
      </c>
      <c r="F23" s="37">
        <f>ROUND(F12+F15+F21+F22,2)</f>
        <v>-18.75</v>
      </c>
      <c r="G23" s="37">
        <f>ROUND(G12+G15+G21+G22,2)</f>
        <v>69356.42</v>
      </c>
      <c r="H23" s="37">
        <f>ROUND(H12+H15+H21+H22,2)</f>
        <v>-8839.56</v>
      </c>
      <c r="I23" s="37">
        <f>ROUND(I12+I15+I21+I22,2)</f>
        <v>-1790.97</v>
      </c>
      <c r="J23" s="37">
        <f>ROUND(J12+J15+J21+J22,2)</f>
        <v>46738.67</v>
      </c>
      <c r="K23" s="37">
        <f>ROUND(K12+K15+K21+K22,2)</f>
        <v>0</v>
      </c>
      <c r="L23" s="37">
        <f>ROUND(L12+L15+L21+L22,2)</f>
        <v>0</v>
      </c>
      <c r="M23" s="37">
        <f>ROUND(M12+M15+M21+M22,2)</f>
        <v>0</v>
      </c>
      <c r="N23" s="37">
        <f>ROUND(N12+N15+N21+N22,2)</f>
        <v>105445.81</v>
      </c>
    </row>
    <row r="24">
      <c r="A24" s="51" t="inlineStr">
        <is>
          <t>七、期末资金余额</t>
        </is>
      </c>
      <c r="B24" s="37">
        <f>ROUND(B5+B6+B23,2)</f>
        <v>0</v>
      </c>
      <c r="C24" s="37">
        <f>ROUND(C5+C6+C23,2)</f>
        <v>0</v>
      </c>
      <c r="D24" s="37">
        <f>ROUND(D5+D6+D23,2)</f>
        <v>0</v>
      </c>
      <c r="E24" s="37">
        <f>ROUND(E5+E6+E23,2)</f>
        <v>0</v>
      </c>
      <c r="F24" s="37">
        <f>ROUND(F5+F6+F23,2)</f>
        <v>30039.32</v>
      </c>
      <c r="G24" s="37">
        <f>ROUND(G5+G6+G23,2)</f>
        <v>204348.06</v>
      </c>
      <c r="H24" s="37">
        <f>ROUND(H5+H6+H23,2)</f>
        <v>206255.11</v>
      </c>
      <c r="I24" s="37">
        <f>ROUND(I5+I6+I23,2)</f>
        <v>204464.14</v>
      </c>
      <c r="J24" s="37">
        <f>ROUND(J5+J6+J23,2)</f>
        <v>488916.86</v>
      </c>
      <c r="K24" s="37">
        <f>ROUND(K5+K6+K23,2)</f>
        <v>488916.86</v>
      </c>
      <c r="L24" s="37">
        <f>ROUND(L5+L6+L23,2)</f>
        <v>488916.86</v>
      </c>
      <c r="M24" s="37">
        <f>ROUND(M5+M6+M23,2)</f>
        <v>488916.86</v>
      </c>
      <c r="N24" s="37">
        <f>ROUND(N5+N6+N23,2)</f>
        <v>488916.86</v>
      </c>
    </row>
    <row r="25">
      <c r="A25" s="52" t="inlineStr">
        <is>
          <t>核对：各账户余额合计</t>
        </is>
      </c>
      <c r="B25" s="53">
        <f>ROUND(SUM(B31:B50)+SUMIFS(资金台帐!$AD$6:$AD$3005,资金台帐!$BH$6:$BH$3005,IF($C$3="全部","&gt;0",IFERROR(MATCH($C$3,基础资料!$B$5:$B$12,0),-1)),资金台帐!$N$6:$N$3005,"&lt;"&amp;DATE($F$3,2,1)),2)</f>
        <v>0</v>
      </c>
      <c r="C25" s="53">
        <f>ROUND(SUM(C31:C50)+SUMIFS(资金台帐!$AD$6:$AD$3005,资金台帐!$BH$6:$BH$3005,IF($C$3="全部","&gt;0",IFERROR(MATCH($C$3,基础资料!$B$5:$B$12,0),-1)),资金台帐!$N$6:$N$3005,"&lt;"&amp;DATE($F$3,3,1)),2)</f>
        <v>0</v>
      </c>
      <c r="D25" s="53">
        <f>ROUND(SUM(D31:D50)+SUMIFS(资金台帐!$AD$6:$AD$3005,资金台帐!$BH$6:$BH$3005,IF($C$3="全部","&gt;0",IFERROR(MATCH($C$3,基础资料!$B$5:$B$12,0),-1)),资金台帐!$N$6:$N$3005,"&lt;"&amp;DATE($F$3,4,1)),2)</f>
        <v>0</v>
      </c>
      <c r="E25" s="53">
        <f>ROUND(SUM(E31:E50)+SUMIFS(资金台帐!$AD$6:$AD$3005,资金台帐!$BH$6:$BH$3005,IF($C$3="全部","&gt;0",IFERROR(MATCH($C$3,基础资料!$B$5:$B$12,0),-1)),资金台帐!$N$6:$N$3005,"&lt;"&amp;DATE($F$3,5,1)),2)</f>
        <v>0</v>
      </c>
      <c r="F25" s="53">
        <f>ROUND(SUM(F31:F50)+SUMIFS(资金台帐!$AD$6:$AD$3005,资金台帐!$BH$6:$BH$3005,IF($C$3="全部","&gt;0",IFERROR(MATCH($C$3,基础资料!$B$5:$B$12,0),-1)),资金台帐!$N$6:$N$3005,"&lt;"&amp;DATE($F$3,6,1)),2)</f>
        <v>30039.32</v>
      </c>
      <c r="G25" s="53">
        <f>ROUND(SUM(G31:G50)+SUMIFS(资金台帐!$AD$6:$AD$3005,资金台帐!$BH$6:$BH$3005,IF($C$3="全部","&gt;0",IFERROR(MATCH($C$3,基础资料!$B$5:$B$12,0),-1)),资金台帐!$N$6:$N$3005,"&lt;"&amp;DATE($F$3,7,1)),2)</f>
        <v>204348.06</v>
      </c>
      <c r="H25" s="53">
        <f>ROUND(SUM(H31:H50)+SUMIFS(资金台帐!$AD$6:$AD$3005,资金台帐!$BH$6:$BH$3005,IF($C$3="全部","&gt;0",IFERROR(MATCH($C$3,基础资料!$B$5:$B$12,0),-1)),资金台帐!$N$6:$N$3005,"&lt;"&amp;DATE($F$3,8,1)),2)</f>
        <v>206255.11</v>
      </c>
      <c r="I25" s="53">
        <f>ROUND(SUM(I31:I50)+SUMIFS(资金台帐!$AD$6:$AD$3005,资金台帐!$BH$6:$BH$3005,IF($C$3="全部","&gt;0",IFERROR(MATCH($C$3,基础资料!$B$5:$B$12,0),-1)),资金台帐!$N$6:$N$3005,"&lt;"&amp;DATE($F$3,9,1)),2)</f>
        <v>204464.14</v>
      </c>
      <c r="J25" s="53">
        <f>ROUND(SUM(J31:J50)+SUMIFS(资金台帐!$AD$6:$AD$3005,资金台帐!$BH$6:$BH$3005,IF($C$3="全部","&gt;0",IFERROR(MATCH($C$3,基础资料!$B$5:$B$12,0),-1)),资金台帐!$N$6:$N$3005,"&lt;"&amp;DATE($F$3,10,1)),2)</f>
        <v>488916.86</v>
      </c>
      <c r="K25" s="53">
        <f>ROUND(SUM(K31:K50)+SUMIFS(资金台帐!$AD$6:$AD$3005,资金台帐!$BH$6:$BH$3005,IF($C$3="全部","&gt;0",IFERROR(MATCH($C$3,基础资料!$B$5:$B$12,0),-1)),资金台帐!$N$6:$N$3005,"&lt;"&amp;DATE($F$3,11,1)),2)</f>
        <v>488916.86</v>
      </c>
      <c r="L25" s="53">
        <f>ROUND(SUM(L31:L50)+SUMIFS(资金台帐!$AD$6:$AD$3005,资金台帐!$BH$6:$BH$3005,IF($C$3="全部","&gt;0",IFERROR(MATCH($C$3,基础资料!$B$5:$B$12,0),-1)),资金台帐!$N$6:$N$3005,"&lt;"&amp;DATE($F$3,12,1)),2)</f>
        <v>488916.86</v>
      </c>
      <c r="M25" s="53">
        <f>ROUND(SUM(M31:M50)+SUMIFS(资金台帐!$AD$6:$AD$3005,资金台帐!$BH$6:$BH$3005,IF($C$3="全部","&gt;0",IFERROR(MATCH($C$3,基础资料!$B$5:$B$12,0),-1)),资金台帐!$N$6:$N$3005,"&lt;"&amp;DATE($F$3,13,1)),2)</f>
        <v>488916.86</v>
      </c>
      <c r="N25" s="53">
        <f>ROUND(SUM(N31:N50)+SUMIFS(资金台帐!$AD$6:$AD$3005,资金台帐!$BH$6:$BH$3005,IF($C$3="全部","&gt;0",IFERROR(MATCH($C$3,基础资料!$B$5:$B$12,0),-1)),资金台帐!$N$6:$N$3005,"&lt;"&amp;DATE($F$3+1,1,1)),2)</f>
        <v>488916.86</v>
      </c>
    </row>
    <row r="26">
      <c r="A26" s="52" t="inlineStr"/>
      <c r="B26" s="56" t="str">
        <f>IF(ABS(B24-B25)&lt;0.01,"✓","✗ 差 "&amp;TEXT(B24-B25,"#,##0.00"))</f>
        <v>✓</v>
      </c>
      <c r="C26" s="56" t="str">
        <f>IF(ABS(C24-C25)&lt;0.01,"✓","✗ 差 "&amp;TEXT(C24-C25,"#,##0.00"))</f>
        <v>✓</v>
      </c>
      <c r="D26" s="56" t="str">
        <f>IF(ABS(D24-D25)&lt;0.01,"✓","✗ 差 "&amp;TEXT(D24-D25,"#,##0.00"))</f>
        <v>✓</v>
      </c>
      <c r="E26" s="56" t="str">
        <f>IF(ABS(E24-E25)&lt;0.01,"✓","✗ 差 "&amp;TEXT(E24-E25,"#,##0.00"))</f>
        <v>✓</v>
      </c>
      <c r="F26" s="56" t="str">
        <f>IF(ABS(F24-F25)&lt;0.01,"✓","✗ 差 "&amp;TEXT(F24-F25,"#,##0.00"))</f>
        <v>✓</v>
      </c>
      <c r="G26" s="56" t="str">
        <f>IF(ABS(G24-G25)&lt;0.01,"✓","✗ 差 "&amp;TEXT(G24-G25,"#,##0.00"))</f>
        <v>✓</v>
      </c>
      <c r="H26" s="56" t="str">
        <f>IF(ABS(H24-H25)&lt;0.01,"✓","✗ 差 "&amp;TEXT(H24-H25,"#,##0.00"))</f>
        <v>✓</v>
      </c>
      <c r="I26" s="56" t="str">
        <f>IF(ABS(I24-I25)&lt;0.01,"✓","✗ 差 "&amp;TEXT(I24-I25,"#,##0.00"))</f>
        <v>✓</v>
      </c>
      <c r="J26" s="56" t="str">
        <f>IF(ABS(J24-J25)&lt;0.01,"✓","✗ 差 "&amp;TEXT(J24-J25,"#,##0.00"))</f>
        <v>✓</v>
      </c>
      <c r="K26" s="56" t="str">
        <f>IF(ABS(K24-K25)&lt;0.01,"✓","✗ 差 "&amp;TEXT(K24-K25,"#,##0.00"))</f>
        <v>✓</v>
      </c>
      <c r="L26" s="56" t="str">
        <f>IF(ABS(L24-L25)&lt;0.01,"✓","✗ 差 "&amp;TEXT(L24-L25,"#,##0.00"))</f>
        <v>✓</v>
      </c>
      <c r="M26" s="56" t="str">
        <f>IF(ABS(M24-M25)&lt;0.01,"✓","✗ 差 "&amp;TEXT(M24-M25,"#,##0.00"))</f>
        <v>✓</v>
      </c>
      <c r="N26" s="56" t="str">
        <f>IF(ABS(N24-N25)&lt;0.01,"✓","✗ 差 "&amp;TEXT(N24-N25,"#,##0.00"))</f>
        <v>✓</v>
      </c>
    </row>
    <row r="28">
      <c r="A28" s="11" t="inlineStr">
        <is>
          <t>「全年」列：期初＝1 月 1 日的余额，期末＝12 月 31 日的余额。第一年建账的账户，建账余额在「加：本期新建账户」这行。「核对」不按期初日期算：账户在期末前有流水就把期初余额算进去——对不上（✗）多半是【基础资料】里期初日期填晚了，或者有流水日期看不懂。</t>
        </is>
      </c>
    </row>
    <row r="31" hidden="1">
      <c r="A31" s="22" t="str">
        <f>基础资料!$I$5&amp;""</f>
        <v>农行2896</v>
      </c>
      <c r="B31" s="22">
        <f>IF(OR(基础资料!$I$5="",基础资料!$J$5="",AND($C$3&lt;&gt;"全部",基础资料!$J$5&lt;&gt;$C$3)),0,IF(OR(N(基础资料!$O$5)=0,N(基础资料!$O$5)&lt;DATE($F$3,2,1),COUNTIFS(资金台帐!$B$6:$B$3005,基础资料!$I$5,资金台帐!$N$6:$N$3005,"&lt;"&amp;DATE($F$3,2,1))&gt;0),N(基础资料!$N$5),0))</f>
        <v>0</v>
      </c>
      <c r="C31" s="22">
        <f>IF(OR(基础资料!$I$5="",基础资料!$J$5="",AND($C$3&lt;&gt;"全部",基础资料!$J$5&lt;&gt;$C$3)),0,IF(OR(N(基础资料!$O$5)=0,N(基础资料!$O$5)&lt;DATE($F$3,3,1),COUNTIFS(资金台帐!$B$6:$B$3005,基础资料!$I$5,资金台帐!$N$6:$N$3005,"&lt;"&amp;DATE($F$3,3,1))&gt;0),N(基础资料!$N$5),0))</f>
        <v>0</v>
      </c>
      <c r="D31" s="22">
        <f>IF(OR(基础资料!$I$5="",基础资料!$J$5="",AND($C$3&lt;&gt;"全部",基础资料!$J$5&lt;&gt;$C$3)),0,IF(OR(N(基础资料!$O$5)=0,N(基础资料!$O$5)&lt;DATE($F$3,4,1),COUNTIFS(资金台帐!$B$6:$B$3005,基础资料!$I$5,资金台帐!$N$6:$N$3005,"&lt;"&amp;DATE($F$3,4,1))&gt;0),N(基础资料!$N$5),0))</f>
        <v>0</v>
      </c>
      <c r="E31" s="22">
        <f>IF(OR(基础资料!$I$5="",基础资料!$J$5="",AND($C$3&lt;&gt;"全部",基础资料!$J$5&lt;&gt;$C$3)),0,IF(OR(N(基础资料!$O$5)=0,N(基础资料!$O$5)&lt;DATE($F$3,5,1),COUNTIFS(资金台帐!$B$6:$B$3005,基础资料!$I$5,资金台帐!$N$6:$N$3005,"&lt;"&amp;DATE($F$3,5,1))&gt;0),N(基础资料!$N$5),0))</f>
        <v>0</v>
      </c>
      <c r="F31" s="22">
        <f>IF(OR(基础资料!$I$5="",基础资料!$J$5="",AND($C$3&lt;&gt;"全部",基础资料!$J$5&lt;&gt;$C$3)),0,IF(OR(N(基础资料!$O$5)=0,N(基础资料!$O$5)&lt;DATE($F$3,6,1),COUNTIFS(资金台帐!$B$6:$B$3005,基础资料!$I$5,资金台帐!$N$6:$N$3005,"&lt;"&amp;DATE($F$3,6,1))&gt;0),N(基础资料!$N$5),0))</f>
        <v>0</v>
      </c>
      <c r="G31" s="22">
        <f>IF(OR(基础资料!$I$5="",基础资料!$J$5="",AND($C$3&lt;&gt;"全部",基础资料!$J$5&lt;&gt;$C$3)),0,IF(OR(N(基础资料!$O$5)=0,N(基础资料!$O$5)&lt;DATE($F$3,7,1),COUNTIFS(资金台帐!$B$6:$B$3005,基础资料!$I$5,资金台帐!$N$6:$N$3005,"&lt;"&amp;DATE($F$3,7,1))&gt;0),N(基础资料!$N$5),0))</f>
        <v>0</v>
      </c>
      <c r="H31" s="22">
        <f>IF(OR(基础资料!$I$5="",基础资料!$J$5="",AND($C$3&lt;&gt;"全部",基础资料!$J$5&lt;&gt;$C$3)),0,IF(OR(N(基础资料!$O$5)=0,N(基础资料!$O$5)&lt;DATE($F$3,8,1),COUNTIFS(资金台帐!$B$6:$B$3005,基础资料!$I$5,资金台帐!$N$6:$N$3005,"&lt;"&amp;DATE($F$3,8,1))&gt;0),N(基础资料!$N$5),0))</f>
        <v>0</v>
      </c>
      <c r="I31" s="22">
        <f>IF(OR(基础资料!$I$5="",基础资料!$J$5="",AND($C$3&lt;&gt;"全部",基础资料!$J$5&lt;&gt;$C$3)),0,IF(OR(N(基础资料!$O$5)=0,N(基础资料!$O$5)&lt;DATE($F$3,9,1),COUNTIFS(资金台帐!$B$6:$B$3005,基础资料!$I$5,资金台帐!$N$6:$N$3005,"&lt;"&amp;DATE($F$3,9,1))&gt;0),N(基础资料!$N$5),0))</f>
        <v>0</v>
      </c>
      <c r="J31" s="22">
        <f>IF(OR(基础资料!$I$5="",基础资料!$J$5="",AND($C$3&lt;&gt;"全部",基础资料!$J$5&lt;&gt;$C$3)),0,IF(OR(N(基础资料!$O$5)=0,N(基础资料!$O$5)&lt;DATE($F$3,10,1),COUNTIFS(资金台帐!$B$6:$B$3005,基础资料!$I$5,资金台帐!$N$6:$N$3005,"&lt;"&amp;DATE($F$3,10,1))&gt;0),N(基础资料!$N$5),0))</f>
        <v>195212.65</v>
      </c>
      <c r="K31" s="22">
        <f>IF(OR(基础资料!$I$5="",基础资料!$J$5="",AND($C$3&lt;&gt;"全部",基础资料!$J$5&lt;&gt;$C$3)),0,IF(OR(N(基础资料!$O$5)=0,N(基础资料!$O$5)&lt;DATE($F$3,11,1),COUNTIFS(资金台帐!$B$6:$B$3005,基础资料!$I$5,资金台帐!$N$6:$N$3005,"&lt;"&amp;DATE($F$3,11,1))&gt;0),N(基础资料!$N$5),0))</f>
        <v>195212.65</v>
      </c>
      <c r="L31" s="22">
        <f>IF(OR(基础资料!$I$5="",基础资料!$J$5="",AND($C$3&lt;&gt;"全部",基础资料!$J$5&lt;&gt;$C$3)),0,IF(OR(N(基础资料!$O$5)=0,N(基础资料!$O$5)&lt;DATE($F$3,12,1),COUNTIFS(资金台帐!$B$6:$B$3005,基础资料!$I$5,资金台帐!$N$6:$N$3005,"&lt;"&amp;DATE($F$3,12,1))&gt;0),N(基础资料!$N$5),0))</f>
        <v>195212.65</v>
      </c>
      <c r="M31" s="22">
        <f>IF(OR(基础资料!$I$5="",基础资料!$J$5="",AND($C$3&lt;&gt;"全部",基础资料!$J$5&lt;&gt;$C$3)),0,IF(OR(N(基础资料!$O$5)=0,N(基础资料!$O$5)&lt;DATE($F$3,13,1),COUNTIFS(资金台帐!$B$6:$B$3005,基础资料!$I$5,资金台帐!$N$6:$N$3005,"&lt;"&amp;DATE($F$3,13,1))&gt;0),N(基础资料!$N$5),0))</f>
        <v>195212.65</v>
      </c>
      <c r="N31" s="22">
        <f>IF(OR(基础资料!$I$5="",基础资料!$J$5="",AND($C$3&lt;&gt;"全部",基础资料!$J$5&lt;&gt;$C$3)),0,IF(OR(N(基础资料!$O$5)=0,N(基础资料!$O$5)&lt;DATE($F$3+1,1,1),COUNTIFS(资金台帐!$B$6:$B$3005,基础资料!$I$5,资金台帐!$N$6:$N$3005,"&lt;"&amp;DATE($F$3+1,1,1))&gt;0),N(基础资料!$N$5),0))</f>
        <v>195212.65</v>
      </c>
    </row>
    <row r="32" hidden="1">
      <c r="A32" s="22" t="str">
        <f>基础资料!$I$6&amp;""</f>
        <v>工行（新开户）</v>
      </c>
      <c r="B32" s="22">
        <f>IF(OR(基础资料!$I$6="",基础资料!$J$6="",AND($C$3&lt;&gt;"全部",基础资料!$J$6&lt;&gt;$C$3)),0,IF(OR(N(基础资料!$O$6)=0,N(基础资料!$O$6)&lt;DATE($F$3,2,1),COUNTIFS(资金台帐!$B$6:$B$3005,基础资料!$I$6,资金台帐!$N$6:$N$3005,"&lt;"&amp;DATE($F$3,2,1))&gt;0),N(基础资料!$N$6),0))</f>
        <v>0</v>
      </c>
      <c r="C32" s="22">
        <f>IF(OR(基础资料!$I$6="",基础资料!$J$6="",AND($C$3&lt;&gt;"全部",基础资料!$J$6&lt;&gt;$C$3)),0,IF(OR(N(基础资料!$O$6)=0,N(基础资料!$O$6)&lt;DATE($F$3,3,1),COUNTIFS(资金台帐!$B$6:$B$3005,基础资料!$I$6,资金台帐!$N$6:$N$3005,"&lt;"&amp;DATE($F$3,3,1))&gt;0),N(基础资料!$N$6),0))</f>
        <v>0</v>
      </c>
      <c r="D32" s="22">
        <f>IF(OR(基础资料!$I$6="",基础资料!$J$6="",AND($C$3&lt;&gt;"全部",基础资料!$J$6&lt;&gt;$C$3)),0,IF(OR(N(基础资料!$O$6)=0,N(基础资料!$O$6)&lt;DATE($F$3,4,1),COUNTIFS(资金台帐!$B$6:$B$3005,基础资料!$I$6,资金台帐!$N$6:$N$3005,"&lt;"&amp;DATE($F$3,4,1))&gt;0),N(基础资料!$N$6),0))</f>
        <v>0</v>
      </c>
      <c r="E32" s="22">
        <f>IF(OR(基础资料!$I$6="",基础资料!$J$6="",AND($C$3&lt;&gt;"全部",基础资料!$J$6&lt;&gt;$C$3)),0,IF(OR(N(基础资料!$O$6)=0,N(基础资料!$O$6)&lt;DATE($F$3,5,1),COUNTIFS(资金台帐!$B$6:$B$3005,基础资料!$I$6,资金台帐!$N$6:$N$3005,"&lt;"&amp;DATE($F$3,5,1))&gt;0),N(基础资料!$N$6),0))</f>
        <v>0</v>
      </c>
      <c r="F32" s="22">
        <f>IF(OR(基础资料!$I$6="",基础资料!$J$6="",AND($C$3&lt;&gt;"全部",基础资料!$J$6&lt;&gt;$C$3)),0,IF(OR(N(基础资料!$O$6)=0,N(基础资料!$O$6)&lt;DATE($F$3,6,1),COUNTIFS(资金台帐!$B$6:$B$3005,基础资料!$I$6,资金台帐!$N$6:$N$3005,"&lt;"&amp;DATE($F$3,6,1))&gt;0),N(基础资料!$N$6),0))</f>
        <v>0</v>
      </c>
      <c r="G32" s="22">
        <f>IF(OR(基础资料!$I$6="",基础资料!$J$6="",AND($C$3&lt;&gt;"全部",基础资料!$J$6&lt;&gt;$C$3)),0,IF(OR(N(基础资料!$O$6)=0,N(基础资料!$O$6)&lt;DATE($F$3,7,1),COUNTIFS(资金台帐!$B$6:$B$3005,基础资料!$I$6,资金台帐!$N$6:$N$3005,"&lt;"&amp;DATE($F$3,7,1))&gt;0),N(基础资料!$N$6),0))</f>
        <v>0</v>
      </c>
      <c r="H32" s="22">
        <f>IF(OR(基础资料!$I$6="",基础资料!$J$6="",AND($C$3&lt;&gt;"全部",基础资料!$J$6&lt;&gt;$C$3)),0,IF(OR(N(基础资料!$O$6)=0,N(基础资料!$O$6)&lt;DATE($F$3,8,1),COUNTIFS(资金台帐!$B$6:$B$3005,基础资料!$I$6,资金台帐!$N$6:$N$3005,"&lt;"&amp;DATE($F$3,8,1))&gt;0),N(基础资料!$N$6),0))</f>
        <v>0</v>
      </c>
      <c r="I32" s="22">
        <f>IF(OR(基础资料!$I$6="",基础资料!$J$6="",AND($C$3&lt;&gt;"全部",基础资料!$J$6&lt;&gt;$C$3)),0,IF(OR(N(基础资料!$O$6)=0,N(基础资料!$O$6)&lt;DATE($F$3,9,1),COUNTIFS(资金台帐!$B$6:$B$3005,基础资料!$I$6,资金台帐!$N$6:$N$3005,"&lt;"&amp;DATE($F$3,9,1))&gt;0),N(基础资料!$N$6),0))</f>
        <v>0</v>
      </c>
      <c r="J32" s="22">
        <f>IF(OR(基础资料!$I$6="",基础资料!$J$6="",AND($C$3&lt;&gt;"全部",基础资料!$J$6&lt;&gt;$C$3)),0,IF(OR(N(基础资料!$O$6)=0,N(基础资料!$O$6)&lt;DATE($F$3,10,1),COUNTIFS(资金台帐!$B$6:$B$3005,基础资料!$I$6,资金台帐!$N$6:$N$3005,"&lt;"&amp;DATE($F$3,10,1))&gt;0),N(基础资料!$N$6),0))</f>
        <v>0</v>
      </c>
      <c r="K32" s="22">
        <f>IF(OR(基础资料!$I$6="",基础资料!$J$6="",AND($C$3&lt;&gt;"全部",基础资料!$J$6&lt;&gt;$C$3)),0,IF(OR(N(基础资料!$O$6)=0,N(基础资料!$O$6)&lt;DATE($F$3,11,1),COUNTIFS(资金台帐!$B$6:$B$3005,基础资料!$I$6,资金台帐!$N$6:$N$3005,"&lt;"&amp;DATE($F$3,11,1))&gt;0),N(基础资料!$N$6),0))</f>
        <v>0</v>
      </c>
      <c r="L32" s="22">
        <f>IF(OR(基础资料!$I$6="",基础资料!$J$6="",AND($C$3&lt;&gt;"全部",基础资料!$J$6&lt;&gt;$C$3)),0,IF(OR(N(基础资料!$O$6)=0,N(基础资料!$O$6)&lt;DATE($F$3,12,1),COUNTIFS(资金台帐!$B$6:$B$3005,基础资料!$I$6,资金台帐!$N$6:$N$3005,"&lt;"&amp;DATE($F$3,12,1))&gt;0),N(基础资料!$N$6),0))</f>
        <v>0</v>
      </c>
      <c r="M32" s="22">
        <f>IF(OR(基础资料!$I$6="",基础资料!$J$6="",AND($C$3&lt;&gt;"全部",基础资料!$J$6&lt;&gt;$C$3)),0,IF(OR(N(基础资料!$O$6)=0,N(基础资料!$O$6)&lt;DATE($F$3,13,1),COUNTIFS(资金台帐!$B$6:$B$3005,基础资料!$I$6,资金台帐!$N$6:$N$3005,"&lt;"&amp;DATE($F$3,13,1))&gt;0),N(基础资料!$N$6),0))</f>
        <v>0</v>
      </c>
      <c r="N32" s="22">
        <f>IF(OR(基础资料!$I$6="",基础资料!$J$6="",AND($C$3&lt;&gt;"全部",基础资料!$J$6&lt;&gt;$C$3)),0,IF(OR(N(基础资料!$O$6)=0,N(基础资料!$O$6)&lt;DATE($F$3+1,1,1),COUNTIFS(资金台帐!$B$6:$B$3005,基础资料!$I$6,资金台帐!$N$6:$N$3005,"&lt;"&amp;DATE($F$3+1,1,1))&gt;0),N(基础资料!$N$6),0))</f>
        <v>0</v>
      </c>
    </row>
    <row r="33" hidden="1">
      <c r="A33" s="22" t="str">
        <f>基础资料!$I$7&amp;""</f>
        <v>鄞州农商9654</v>
      </c>
      <c r="B33" s="22">
        <f>IF(OR(基础资料!$I$7="",基础资料!$J$7="",AND($C$3&lt;&gt;"全部",基础资料!$J$7&lt;&gt;$C$3)),0,IF(OR(N(基础资料!$O$7)=0,N(基础资料!$O$7)&lt;DATE($F$3,2,1),COUNTIFS(资金台帐!$B$6:$B$3005,基础资料!$I$7,资金台帐!$N$6:$N$3005,"&lt;"&amp;DATE($F$3,2,1))&gt;0),N(基础资料!$N$7),0))</f>
        <v>0</v>
      </c>
      <c r="C33" s="22">
        <f>IF(OR(基础资料!$I$7="",基础资料!$J$7="",AND($C$3&lt;&gt;"全部",基础资料!$J$7&lt;&gt;$C$3)),0,IF(OR(N(基础资料!$O$7)=0,N(基础资料!$O$7)&lt;DATE($F$3,3,1),COUNTIFS(资金台帐!$B$6:$B$3005,基础资料!$I$7,资金台帐!$N$6:$N$3005,"&lt;"&amp;DATE($F$3,3,1))&gt;0),N(基础资料!$N$7),0))</f>
        <v>0</v>
      </c>
      <c r="D33" s="22">
        <f>IF(OR(基础资料!$I$7="",基础资料!$J$7="",AND($C$3&lt;&gt;"全部",基础资料!$J$7&lt;&gt;$C$3)),0,IF(OR(N(基础资料!$O$7)=0,N(基础资料!$O$7)&lt;DATE($F$3,4,1),COUNTIFS(资金台帐!$B$6:$B$3005,基础资料!$I$7,资金台帐!$N$6:$N$3005,"&lt;"&amp;DATE($F$3,4,1))&gt;0),N(基础资料!$N$7),0))</f>
        <v>0</v>
      </c>
      <c r="E33" s="22">
        <f>IF(OR(基础资料!$I$7="",基础资料!$J$7="",AND($C$3&lt;&gt;"全部",基础资料!$J$7&lt;&gt;$C$3)),0,IF(OR(N(基础资料!$O$7)=0,N(基础资料!$O$7)&lt;DATE($F$3,5,1),COUNTIFS(资金台帐!$B$6:$B$3005,基础资料!$I$7,资金台帐!$N$6:$N$3005,"&lt;"&amp;DATE($F$3,5,1))&gt;0),N(基础资料!$N$7),0))</f>
        <v>0</v>
      </c>
      <c r="F33" s="22">
        <f>IF(OR(基础资料!$I$7="",基础资料!$J$7="",AND($C$3&lt;&gt;"全部",基础资料!$J$7&lt;&gt;$C$3)),0,IF(OR(N(基础资料!$O$7)=0,N(基础资料!$O$7)&lt;DATE($F$3,6,1),COUNTIFS(资金台帐!$B$6:$B$3005,基础资料!$I$7,资金台帐!$N$6:$N$3005,"&lt;"&amp;DATE($F$3,6,1))&gt;0),N(基础资料!$N$7),0))</f>
        <v>0</v>
      </c>
      <c r="G33" s="22">
        <f>IF(OR(基础资料!$I$7="",基础资料!$J$7="",AND($C$3&lt;&gt;"全部",基础资料!$J$7&lt;&gt;$C$3)),0,IF(OR(N(基础资料!$O$7)=0,N(基础资料!$O$7)&lt;DATE($F$3,7,1),COUNTIFS(资金台帐!$B$6:$B$3005,基础资料!$I$7,资金台帐!$N$6:$N$3005,"&lt;"&amp;DATE($F$3,7,1))&gt;0),N(基础资料!$N$7),0))</f>
        <v>43581.2</v>
      </c>
      <c r="H33" s="22">
        <f>IF(OR(基础资料!$I$7="",基础资料!$J$7="",AND($C$3&lt;&gt;"全部",基础资料!$J$7&lt;&gt;$C$3)),0,IF(OR(N(基础资料!$O$7)=0,N(基础资料!$O$7)&lt;DATE($F$3,8,1),COUNTIFS(资金台帐!$B$6:$B$3005,基础资料!$I$7,资金台帐!$N$6:$N$3005,"&lt;"&amp;DATE($F$3,8,1))&gt;0),N(基础资料!$N$7),0))</f>
        <v>43581.2</v>
      </c>
      <c r="I33" s="22">
        <f>IF(OR(基础资料!$I$7="",基础资料!$J$7="",AND($C$3&lt;&gt;"全部",基础资料!$J$7&lt;&gt;$C$3)),0,IF(OR(N(基础资料!$O$7)=0,N(基础资料!$O$7)&lt;DATE($F$3,9,1),COUNTIFS(资金台帐!$B$6:$B$3005,基础资料!$I$7,资金台帐!$N$6:$N$3005,"&lt;"&amp;DATE($F$3,9,1))&gt;0),N(基础资料!$N$7),0))</f>
        <v>43581.2</v>
      </c>
      <c r="J33" s="22">
        <f>IF(OR(基础资料!$I$7="",基础资料!$J$7="",AND($C$3&lt;&gt;"全部",基础资料!$J$7&lt;&gt;$C$3)),0,IF(OR(N(基础资料!$O$7)=0,N(基础资料!$O$7)&lt;DATE($F$3,10,1),COUNTIFS(资金台帐!$B$6:$B$3005,基础资料!$I$7,资金台帐!$N$6:$N$3005,"&lt;"&amp;DATE($F$3,10,1))&gt;0),N(基础资料!$N$7),0))</f>
        <v>43581.2</v>
      </c>
      <c r="K33" s="22">
        <f>IF(OR(基础资料!$I$7="",基础资料!$J$7="",AND($C$3&lt;&gt;"全部",基础资料!$J$7&lt;&gt;$C$3)),0,IF(OR(N(基础资料!$O$7)=0,N(基础资料!$O$7)&lt;DATE($F$3,11,1),COUNTIFS(资金台帐!$B$6:$B$3005,基础资料!$I$7,资金台帐!$N$6:$N$3005,"&lt;"&amp;DATE($F$3,11,1))&gt;0),N(基础资料!$N$7),0))</f>
        <v>43581.2</v>
      </c>
      <c r="L33" s="22">
        <f>IF(OR(基础资料!$I$7="",基础资料!$J$7="",AND($C$3&lt;&gt;"全部",基础资料!$J$7&lt;&gt;$C$3)),0,IF(OR(N(基础资料!$O$7)=0,N(基础资料!$O$7)&lt;DATE($F$3,12,1),COUNTIFS(资金台帐!$B$6:$B$3005,基础资料!$I$7,资金台帐!$N$6:$N$3005,"&lt;"&amp;DATE($F$3,12,1))&gt;0),N(基础资料!$N$7),0))</f>
        <v>43581.2</v>
      </c>
      <c r="M33" s="22">
        <f>IF(OR(基础资料!$I$7="",基础资料!$J$7="",AND($C$3&lt;&gt;"全部",基础资料!$J$7&lt;&gt;$C$3)),0,IF(OR(N(基础资料!$O$7)=0,N(基础资料!$O$7)&lt;DATE($F$3,13,1),COUNTIFS(资金台帐!$B$6:$B$3005,基础资料!$I$7,资金台帐!$N$6:$N$3005,"&lt;"&amp;DATE($F$3,13,1))&gt;0),N(基础资料!$N$7),0))</f>
        <v>43581.2</v>
      </c>
      <c r="N33" s="22">
        <f>IF(OR(基础资料!$I$7="",基础资料!$J$7="",AND($C$3&lt;&gt;"全部",基础资料!$J$7&lt;&gt;$C$3)),0,IF(OR(N(基础资料!$O$7)=0,N(基础资料!$O$7)&lt;DATE($F$3+1,1,1),COUNTIFS(资金台帐!$B$6:$B$3005,基础资料!$I$7,资金台帐!$N$6:$N$3005,"&lt;"&amp;DATE($F$3+1,1,1))&gt;0),N(基础资料!$N$7),0))</f>
        <v>43581.2</v>
      </c>
    </row>
    <row r="34" hidden="1">
      <c r="A34" s="22" t="str">
        <f>基础资料!$I$8&amp;""</f>
        <v>农行8240</v>
      </c>
      <c r="B34" s="22">
        <f>IF(OR(基础资料!$I$8="",基础资料!$J$8="",AND($C$3&lt;&gt;"全部",基础资料!$J$8&lt;&gt;$C$3)),0,IF(OR(N(基础资料!$O$8)=0,N(基础资料!$O$8)&lt;DATE($F$3,2,1),COUNTIFS(资金台帐!$B$6:$B$3005,基础资料!$I$8,资金台帐!$N$6:$N$3005,"&lt;"&amp;DATE($F$3,2,1))&gt;0),N(基础资料!$N$8),0))</f>
        <v>0</v>
      </c>
      <c r="C34" s="22">
        <f>IF(OR(基础资料!$I$8="",基础资料!$J$8="",AND($C$3&lt;&gt;"全部",基础资料!$J$8&lt;&gt;$C$3)),0,IF(OR(N(基础资料!$O$8)=0,N(基础资料!$O$8)&lt;DATE($F$3,3,1),COUNTIFS(资金台帐!$B$6:$B$3005,基础资料!$I$8,资金台帐!$N$6:$N$3005,"&lt;"&amp;DATE($F$3,3,1))&gt;0),N(基础资料!$N$8),0))</f>
        <v>0</v>
      </c>
      <c r="D34" s="22">
        <f>IF(OR(基础资料!$I$8="",基础资料!$J$8="",AND($C$3&lt;&gt;"全部",基础资料!$J$8&lt;&gt;$C$3)),0,IF(OR(N(基础资料!$O$8)=0,N(基础资料!$O$8)&lt;DATE($F$3,4,1),COUNTIFS(资金台帐!$B$6:$B$3005,基础资料!$I$8,资金台帐!$N$6:$N$3005,"&lt;"&amp;DATE($F$3,4,1))&gt;0),N(基础资料!$N$8),0))</f>
        <v>0</v>
      </c>
      <c r="E34" s="22">
        <f>IF(OR(基础资料!$I$8="",基础资料!$J$8="",AND($C$3&lt;&gt;"全部",基础资料!$J$8&lt;&gt;$C$3)),0,IF(OR(N(基础资料!$O$8)=0,N(基础资料!$O$8)&lt;DATE($F$3,5,1),COUNTIFS(资金台帐!$B$6:$B$3005,基础资料!$I$8,资金台帐!$N$6:$N$3005,"&lt;"&amp;DATE($F$3,5,1))&gt;0),N(基础资料!$N$8),0))</f>
        <v>0</v>
      </c>
      <c r="F34" s="22">
        <f>IF(OR(基础资料!$I$8="",基础资料!$J$8="",AND($C$3&lt;&gt;"全部",基础资料!$J$8&lt;&gt;$C$3)),0,IF(OR(N(基础资料!$O$8)=0,N(基础资料!$O$8)&lt;DATE($F$3,6,1),COUNTIFS(资金台帐!$B$6:$B$3005,基础资料!$I$8,资金台帐!$N$6:$N$3005,"&lt;"&amp;DATE($F$3,6,1))&gt;0),N(基础资料!$N$8),0))</f>
        <v>0</v>
      </c>
      <c r="G34" s="22">
        <f>IF(OR(基础资料!$I$8="",基础资料!$J$8="",AND($C$3&lt;&gt;"全部",基础资料!$J$8&lt;&gt;$C$3)),0,IF(OR(N(基础资料!$O$8)=0,N(基础资料!$O$8)&lt;DATE($F$3,7,1),COUNTIFS(资金台帐!$B$6:$B$3005,基础资料!$I$8,资金台帐!$N$6:$N$3005,"&lt;"&amp;DATE($F$3,7,1))&gt;0),N(基础资料!$N$8),0))</f>
        <v>0</v>
      </c>
      <c r="H34" s="22">
        <f>IF(OR(基础资料!$I$8="",基础资料!$J$8="",AND($C$3&lt;&gt;"全部",基础资料!$J$8&lt;&gt;$C$3)),0,IF(OR(N(基础资料!$O$8)=0,N(基础资料!$O$8)&lt;DATE($F$3,8,1),COUNTIFS(资金台帐!$B$6:$B$3005,基础资料!$I$8,资金台帐!$N$6:$N$3005,"&lt;"&amp;DATE($F$3,8,1))&gt;0),N(基础资料!$N$8),0))</f>
        <v>10746.61</v>
      </c>
      <c r="I34" s="22">
        <f>IF(OR(基础资料!$I$8="",基础资料!$J$8="",AND($C$3&lt;&gt;"全部",基础资料!$J$8&lt;&gt;$C$3)),0,IF(OR(N(基础资料!$O$8)=0,N(基础资料!$O$8)&lt;DATE($F$3,9,1),COUNTIFS(资金台帐!$B$6:$B$3005,基础资料!$I$8,资金台帐!$N$6:$N$3005,"&lt;"&amp;DATE($F$3,9,1))&gt;0),N(基础资料!$N$8),0))</f>
        <v>10746.61</v>
      </c>
      <c r="J34" s="22">
        <f>IF(OR(基础资料!$I$8="",基础资料!$J$8="",AND($C$3&lt;&gt;"全部",基础资料!$J$8&lt;&gt;$C$3)),0,IF(OR(N(基础资料!$O$8)=0,N(基础资料!$O$8)&lt;DATE($F$3,10,1),COUNTIFS(资金台帐!$B$6:$B$3005,基础资料!$I$8,资金台帐!$N$6:$N$3005,"&lt;"&amp;DATE($F$3,10,1))&gt;0),N(基础资料!$N$8),0))</f>
        <v>10746.61</v>
      </c>
      <c r="K34" s="22">
        <f>IF(OR(基础资料!$I$8="",基础资料!$J$8="",AND($C$3&lt;&gt;"全部",基础资料!$J$8&lt;&gt;$C$3)),0,IF(OR(N(基础资料!$O$8)=0,N(基础资料!$O$8)&lt;DATE($F$3,11,1),COUNTIFS(资金台帐!$B$6:$B$3005,基础资料!$I$8,资金台帐!$N$6:$N$3005,"&lt;"&amp;DATE($F$3,11,1))&gt;0),N(基础资料!$N$8),0))</f>
        <v>10746.61</v>
      </c>
      <c r="L34" s="22">
        <f>IF(OR(基础资料!$I$8="",基础资料!$J$8="",AND($C$3&lt;&gt;"全部",基础资料!$J$8&lt;&gt;$C$3)),0,IF(OR(N(基础资料!$O$8)=0,N(基础资料!$O$8)&lt;DATE($F$3,12,1),COUNTIFS(资金台帐!$B$6:$B$3005,基础资料!$I$8,资金台帐!$N$6:$N$3005,"&lt;"&amp;DATE($F$3,12,1))&gt;0),N(基础资料!$N$8),0))</f>
        <v>10746.61</v>
      </c>
      <c r="M34" s="22">
        <f>IF(OR(基础资料!$I$8="",基础资料!$J$8="",AND($C$3&lt;&gt;"全部",基础资料!$J$8&lt;&gt;$C$3)),0,IF(OR(N(基础资料!$O$8)=0,N(基础资料!$O$8)&lt;DATE($F$3,13,1),COUNTIFS(资金台帐!$B$6:$B$3005,基础资料!$I$8,资金台帐!$N$6:$N$3005,"&lt;"&amp;DATE($F$3,13,1))&gt;0),N(基础资料!$N$8),0))</f>
        <v>10746.61</v>
      </c>
      <c r="N34" s="22">
        <f>IF(OR(基础资料!$I$8="",基础资料!$J$8="",AND($C$3&lt;&gt;"全部",基础资料!$J$8&lt;&gt;$C$3)),0,IF(OR(N(基础资料!$O$8)=0,N(基础资料!$O$8)&lt;DATE($F$3+1,1,1),COUNTIFS(资金台帐!$B$6:$B$3005,基础资料!$I$8,资金台帐!$N$6:$N$3005,"&lt;"&amp;DATE($F$3+1,1,1))&gt;0),N(基础资料!$N$8),0))</f>
        <v>10746.61</v>
      </c>
    </row>
    <row r="35" hidden="1">
      <c r="A35" s="22" t="str">
        <f>基础资料!$I$9&amp;""</f>
        <v>农行7705</v>
      </c>
      <c r="B35" s="22">
        <f>IF(OR(基础资料!$I$9="",基础资料!$J$9="",AND($C$3&lt;&gt;"全部",基础资料!$J$9&lt;&gt;$C$3)),0,IF(OR(N(基础资料!$O$9)=0,N(基础资料!$O$9)&lt;DATE($F$3,2,1),COUNTIFS(资金台帐!$B$6:$B$3005,基础资料!$I$9,资金台帐!$N$6:$N$3005,"&lt;"&amp;DATE($F$3,2,1))&gt;0),N(基础资料!$N$9),0))</f>
        <v>0</v>
      </c>
      <c r="C35" s="22">
        <f>IF(OR(基础资料!$I$9="",基础资料!$J$9="",AND($C$3&lt;&gt;"全部",基础资料!$J$9&lt;&gt;$C$3)),0,IF(OR(N(基础资料!$O$9)=0,N(基础资料!$O$9)&lt;DATE($F$3,3,1),COUNTIFS(资金台帐!$B$6:$B$3005,基础资料!$I$9,资金台帐!$N$6:$N$3005,"&lt;"&amp;DATE($F$3,3,1))&gt;0),N(基础资料!$N$9),0))</f>
        <v>0</v>
      </c>
      <c r="D35" s="22">
        <f>IF(OR(基础资料!$I$9="",基础资料!$J$9="",AND($C$3&lt;&gt;"全部",基础资料!$J$9&lt;&gt;$C$3)),0,IF(OR(N(基础资料!$O$9)=0,N(基础资料!$O$9)&lt;DATE($F$3,4,1),COUNTIFS(资金台帐!$B$6:$B$3005,基础资料!$I$9,资金台帐!$N$6:$N$3005,"&lt;"&amp;DATE($F$3,4,1))&gt;0),N(基础资料!$N$9),0))</f>
        <v>0</v>
      </c>
      <c r="E35" s="22">
        <f>IF(OR(基础资料!$I$9="",基础资料!$J$9="",AND($C$3&lt;&gt;"全部",基础资料!$J$9&lt;&gt;$C$3)),0,IF(OR(N(基础资料!$O$9)=0,N(基础资料!$O$9)&lt;DATE($F$3,5,1),COUNTIFS(资金台帐!$B$6:$B$3005,基础资料!$I$9,资金台帐!$N$6:$N$3005,"&lt;"&amp;DATE($F$3,5,1))&gt;0),N(基础资料!$N$9),0))</f>
        <v>0</v>
      </c>
      <c r="F35" s="22">
        <f>IF(OR(基础资料!$I$9="",基础资料!$J$9="",AND($C$3&lt;&gt;"全部",基础资料!$J$9&lt;&gt;$C$3)),0,IF(OR(N(基础资料!$O$9)=0,N(基础资料!$O$9)&lt;DATE($F$3,6,1),COUNTIFS(资金台帐!$B$6:$B$3005,基础资料!$I$9,资金台帐!$N$6:$N$3005,"&lt;"&amp;DATE($F$3,6,1))&gt;0),N(基础资料!$N$9),0))</f>
        <v>0</v>
      </c>
      <c r="G35" s="22">
        <f>IF(OR(基础资料!$I$9="",基础资料!$J$9="",AND($C$3&lt;&gt;"全部",基础资料!$J$9&lt;&gt;$C$3)),0,IF(OR(N(基础资料!$O$9)=0,N(基础资料!$O$9)&lt;DATE($F$3,7,1),COUNTIFS(资金台帐!$B$6:$B$3005,基础资料!$I$9,资金台帐!$N$6:$N$3005,"&lt;"&amp;DATE($F$3,7,1))&gt;0),N(基础资料!$N$9),0))</f>
        <v>61371.12</v>
      </c>
      <c r="H35" s="22">
        <f>IF(OR(基础资料!$I$9="",基础资料!$J$9="",AND($C$3&lt;&gt;"全部",基础资料!$J$9&lt;&gt;$C$3)),0,IF(OR(N(基础资料!$O$9)=0,N(基础资料!$O$9)&lt;DATE($F$3,8,1),COUNTIFS(资金台帐!$B$6:$B$3005,基础资料!$I$9,资金台帐!$N$6:$N$3005,"&lt;"&amp;DATE($F$3,8,1))&gt;0),N(基础资料!$N$9),0))</f>
        <v>61371.12</v>
      </c>
      <c r="I35" s="22">
        <f>IF(OR(基础资料!$I$9="",基础资料!$J$9="",AND($C$3&lt;&gt;"全部",基础资料!$J$9&lt;&gt;$C$3)),0,IF(OR(N(基础资料!$O$9)=0,N(基础资料!$O$9)&lt;DATE($F$3,9,1),COUNTIFS(资金台帐!$B$6:$B$3005,基础资料!$I$9,资金台帐!$N$6:$N$3005,"&lt;"&amp;DATE($F$3,9,1))&gt;0),N(基础资料!$N$9),0))</f>
        <v>61371.12</v>
      </c>
      <c r="J35" s="22">
        <f>IF(OR(基础资料!$I$9="",基础资料!$J$9="",AND($C$3&lt;&gt;"全部",基础资料!$J$9&lt;&gt;$C$3)),0,IF(OR(N(基础资料!$O$9)=0,N(基础资料!$O$9)&lt;DATE($F$3,10,1),COUNTIFS(资金台帐!$B$6:$B$3005,基础资料!$I$9,资金台帐!$N$6:$N$3005,"&lt;"&amp;DATE($F$3,10,1))&gt;0),N(基础资料!$N$9),0))</f>
        <v>61371.12</v>
      </c>
      <c r="K35" s="22">
        <f>IF(OR(基础资料!$I$9="",基础资料!$J$9="",AND($C$3&lt;&gt;"全部",基础资料!$J$9&lt;&gt;$C$3)),0,IF(OR(N(基础资料!$O$9)=0,N(基础资料!$O$9)&lt;DATE($F$3,11,1),COUNTIFS(资金台帐!$B$6:$B$3005,基础资料!$I$9,资金台帐!$N$6:$N$3005,"&lt;"&amp;DATE($F$3,11,1))&gt;0),N(基础资料!$N$9),0))</f>
        <v>61371.12</v>
      </c>
      <c r="L35" s="22">
        <f>IF(OR(基础资料!$I$9="",基础资料!$J$9="",AND($C$3&lt;&gt;"全部",基础资料!$J$9&lt;&gt;$C$3)),0,IF(OR(N(基础资料!$O$9)=0,N(基础资料!$O$9)&lt;DATE($F$3,12,1),COUNTIFS(资金台帐!$B$6:$B$3005,基础资料!$I$9,资金台帐!$N$6:$N$3005,"&lt;"&amp;DATE($F$3,12,1))&gt;0),N(基础资料!$N$9),0))</f>
        <v>61371.12</v>
      </c>
      <c r="M35" s="22">
        <f>IF(OR(基础资料!$I$9="",基础资料!$J$9="",AND($C$3&lt;&gt;"全部",基础资料!$J$9&lt;&gt;$C$3)),0,IF(OR(N(基础资料!$O$9)=0,N(基础资料!$O$9)&lt;DATE($F$3,13,1),COUNTIFS(资金台帐!$B$6:$B$3005,基础资料!$I$9,资金台帐!$N$6:$N$3005,"&lt;"&amp;DATE($F$3,13,1))&gt;0),N(基础资料!$N$9),0))</f>
        <v>61371.12</v>
      </c>
      <c r="N35" s="22">
        <f>IF(OR(基础资料!$I$9="",基础资料!$J$9="",AND($C$3&lt;&gt;"全部",基础资料!$J$9&lt;&gt;$C$3)),0,IF(OR(N(基础资料!$O$9)=0,N(基础资料!$O$9)&lt;DATE($F$3+1,1,1),COUNTIFS(资金台帐!$B$6:$B$3005,基础资料!$I$9,资金台帐!$N$6:$N$3005,"&lt;"&amp;DATE($F$3+1,1,1))&gt;0),N(基础资料!$N$9),0))</f>
        <v>61371.12</v>
      </c>
    </row>
    <row r="36" hidden="1">
      <c r="A36" s="22" t="str">
        <f>基础资料!$I$10&amp;""</f>
        <v>飞鲸对公户</v>
      </c>
      <c r="B36" s="22">
        <f>IF(OR(基础资料!$I$10="",基础资料!$J$10="",AND($C$3&lt;&gt;"全部",基础资料!$J$10&lt;&gt;$C$3)),0,IF(OR(N(基础资料!$O$10)=0,N(基础资料!$O$10)&lt;DATE($F$3,2,1),COUNTIFS(资金台帐!$B$6:$B$3005,基础资料!$I$10,资金台帐!$N$6:$N$3005,"&lt;"&amp;DATE($F$3,2,1))&gt;0),N(基础资料!$N$10),0))</f>
        <v>0</v>
      </c>
      <c r="C36" s="22">
        <f>IF(OR(基础资料!$I$10="",基础资料!$J$10="",AND($C$3&lt;&gt;"全部",基础资料!$J$10&lt;&gt;$C$3)),0,IF(OR(N(基础资料!$O$10)=0,N(基础资料!$O$10)&lt;DATE($F$3,3,1),COUNTIFS(资金台帐!$B$6:$B$3005,基础资料!$I$10,资金台帐!$N$6:$N$3005,"&lt;"&amp;DATE($F$3,3,1))&gt;0),N(基础资料!$N$10),0))</f>
        <v>0</v>
      </c>
      <c r="D36" s="22">
        <f>IF(OR(基础资料!$I$10="",基础资料!$J$10="",AND($C$3&lt;&gt;"全部",基础资料!$J$10&lt;&gt;$C$3)),0,IF(OR(N(基础资料!$O$10)=0,N(基础资料!$O$10)&lt;DATE($F$3,4,1),COUNTIFS(资金台帐!$B$6:$B$3005,基础资料!$I$10,资金台帐!$N$6:$N$3005,"&lt;"&amp;DATE($F$3,4,1))&gt;0),N(基础资料!$N$10),0))</f>
        <v>0</v>
      </c>
      <c r="E36" s="22">
        <f>IF(OR(基础资料!$I$10="",基础资料!$J$10="",AND($C$3&lt;&gt;"全部",基础资料!$J$10&lt;&gt;$C$3)),0,IF(OR(N(基础资料!$O$10)=0,N(基础资料!$O$10)&lt;DATE($F$3,5,1),COUNTIFS(资金台帐!$B$6:$B$3005,基础资料!$I$10,资金台帐!$N$6:$N$3005,"&lt;"&amp;DATE($F$3,5,1))&gt;0),N(基础资料!$N$10),0))</f>
        <v>0</v>
      </c>
      <c r="F36" s="22">
        <f>IF(OR(基础资料!$I$10="",基础资料!$J$10="",AND($C$3&lt;&gt;"全部",基础资料!$J$10&lt;&gt;$C$3)),0,IF(OR(N(基础资料!$O$10)=0,N(基础资料!$O$10)&lt;DATE($F$3,6,1),COUNTIFS(资金台帐!$B$6:$B$3005,基础资料!$I$10,资金台帐!$N$6:$N$3005,"&lt;"&amp;DATE($F$3,6,1))&gt;0),N(基础资料!$N$10),0))</f>
        <v>30058.07</v>
      </c>
      <c r="G36" s="22">
        <f>IF(OR(基础资料!$I$10="",基础资料!$J$10="",AND($C$3&lt;&gt;"全部",基础资料!$J$10&lt;&gt;$C$3)),0,IF(OR(N(基础资料!$O$10)=0,N(基础资料!$O$10)&lt;DATE($F$3,7,1),COUNTIFS(资金台帐!$B$6:$B$3005,基础资料!$I$10,资金台帐!$N$6:$N$3005,"&lt;"&amp;DATE($F$3,7,1))&gt;0),N(基础资料!$N$10),0))</f>
        <v>30058.07</v>
      </c>
      <c r="H36" s="22">
        <f>IF(OR(基础资料!$I$10="",基础资料!$J$10="",AND($C$3&lt;&gt;"全部",基础资料!$J$10&lt;&gt;$C$3)),0,IF(OR(N(基础资料!$O$10)=0,N(基础资料!$O$10)&lt;DATE($F$3,8,1),COUNTIFS(资金台帐!$B$6:$B$3005,基础资料!$I$10,资金台帐!$N$6:$N$3005,"&lt;"&amp;DATE($F$3,8,1))&gt;0),N(基础资料!$N$10),0))</f>
        <v>30058.07</v>
      </c>
      <c r="I36" s="22">
        <f>IF(OR(基础资料!$I$10="",基础资料!$J$10="",AND($C$3&lt;&gt;"全部",基础资料!$J$10&lt;&gt;$C$3)),0,IF(OR(N(基础资料!$O$10)=0,N(基础资料!$O$10)&lt;DATE($F$3,9,1),COUNTIFS(资金台帐!$B$6:$B$3005,基础资料!$I$10,资金台帐!$N$6:$N$3005,"&lt;"&amp;DATE($F$3,9,1))&gt;0),N(基础资料!$N$10),0))</f>
        <v>30058.07</v>
      </c>
      <c r="J36" s="22">
        <f>IF(OR(基础资料!$I$10="",基础资料!$J$10="",AND($C$3&lt;&gt;"全部",基础资料!$J$10&lt;&gt;$C$3)),0,IF(OR(N(基础资料!$O$10)=0,N(基础资料!$O$10)&lt;DATE($F$3,10,1),COUNTIFS(资金台帐!$B$6:$B$3005,基础资料!$I$10,资金台帐!$N$6:$N$3005,"&lt;"&amp;DATE($F$3,10,1))&gt;0),N(基础资料!$N$10),0))</f>
        <v>30058.07</v>
      </c>
      <c r="K36" s="22">
        <f>IF(OR(基础资料!$I$10="",基础资料!$J$10="",AND($C$3&lt;&gt;"全部",基础资料!$J$10&lt;&gt;$C$3)),0,IF(OR(N(基础资料!$O$10)=0,N(基础资料!$O$10)&lt;DATE($F$3,11,1),COUNTIFS(资金台帐!$B$6:$B$3005,基础资料!$I$10,资金台帐!$N$6:$N$3005,"&lt;"&amp;DATE($F$3,11,1))&gt;0),N(基础资料!$N$10),0))</f>
        <v>30058.07</v>
      </c>
      <c r="L36" s="22">
        <f>IF(OR(基础资料!$I$10="",基础资料!$J$10="",AND($C$3&lt;&gt;"全部",基础资料!$J$10&lt;&gt;$C$3)),0,IF(OR(N(基础资料!$O$10)=0,N(基础资料!$O$10)&lt;DATE($F$3,12,1),COUNTIFS(资金台帐!$B$6:$B$3005,基础资料!$I$10,资金台帐!$N$6:$N$3005,"&lt;"&amp;DATE($F$3,12,1))&gt;0),N(基础资料!$N$10),0))</f>
        <v>30058.07</v>
      </c>
      <c r="M36" s="22">
        <f>IF(OR(基础资料!$I$10="",基础资料!$J$10="",AND($C$3&lt;&gt;"全部",基础资料!$J$10&lt;&gt;$C$3)),0,IF(OR(N(基础资料!$O$10)=0,N(基础资料!$O$10)&lt;DATE($F$3,13,1),COUNTIFS(资金台帐!$B$6:$B$3005,基础资料!$I$10,资金台帐!$N$6:$N$3005,"&lt;"&amp;DATE($F$3,13,1))&gt;0),N(基础资料!$N$10),0))</f>
        <v>30058.07</v>
      </c>
      <c r="N36" s="22">
        <f>IF(OR(基础资料!$I$10="",基础资料!$J$10="",AND($C$3&lt;&gt;"全部",基础资料!$J$10&lt;&gt;$C$3)),0,IF(OR(N(基础资料!$O$10)=0,N(基础资料!$O$10)&lt;DATE($F$3+1,1,1),COUNTIFS(资金台帐!$B$6:$B$3005,基础资料!$I$10,资金台帐!$N$6:$N$3005,"&lt;"&amp;DATE($F$3+1,1,1))&gt;0),N(基础资料!$N$10),0))</f>
        <v>30058.07</v>
      </c>
    </row>
    <row r="37" hidden="1">
      <c r="A37" s="22" t="str">
        <f>基础资料!$I$11&amp;""</f>
        <v>微信-汪优丽</v>
      </c>
      <c r="B37" s="22">
        <f>IF(OR(基础资料!$I$11="",基础资料!$J$11="",AND($C$3&lt;&gt;"全部",基础资料!$J$11&lt;&gt;$C$3)),0,IF(OR(N(基础资料!$O$11)=0,N(基础资料!$O$11)&lt;DATE($F$3,2,1),COUNTIFS(资金台帐!$B$6:$B$3005,基础资料!$I$11,资金台帐!$N$6:$N$3005,"&lt;"&amp;DATE($F$3,2,1))&gt;0),N(基础资料!$N$11),0))</f>
        <v>0</v>
      </c>
      <c r="C37" s="22">
        <f>IF(OR(基础资料!$I$11="",基础资料!$J$11="",AND($C$3&lt;&gt;"全部",基础资料!$J$11&lt;&gt;$C$3)),0,IF(OR(N(基础资料!$O$11)=0,N(基础资料!$O$11)&lt;DATE($F$3,3,1),COUNTIFS(资金台帐!$B$6:$B$3005,基础资料!$I$11,资金台帐!$N$6:$N$3005,"&lt;"&amp;DATE($F$3,3,1))&gt;0),N(基础资料!$N$11),0))</f>
        <v>0</v>
      </c>
      <c r="D37" s="22">
        <f>IF(OR(基础资料!$I$11="",基础资料!$J$11="",AND($C$3&lt;&gt;"全部",基础资料!$J$11&lt;&gt;$C$3)),0,IF(OR(N(基础资料!$O$11)=0,N(基础资料!$O$11)&lt;DATE($F$3,4,1),COUNTIFS(资金台帐!$B$6:$B$3005,基础资料!$I$11,资金台帐!$N$6:$N$3005,"&lt;"&amp;DATE($F$3,4,1))&gt;0),N(基础资料!$N$11),0))</f>
        <v>0</v>
      </c>
      <c r="E37" s="22">
        <f>IF(OR(基础资料!$I$11="",基础资料!$J$11="",AND($C$3&lt;&gt;"全部",基础资料!$J$11&lt;&gt;$C$3)),0,IF(OR(N(基础资料!$O$11)=0,N(基础资料!$O$11)&lt;DATE($F$3,5,1),COUNTIFS(资金台帐!$B$6:$B$3005,基础资料!$I$11,资金台帐!$N$6:$N$3005,"&lt;"&amp;DATE($F$3,5,1))&gt;0),N(基础资料!$N$11),0))</f>
        <v>0</v>
      </c>
      <c r="F37" s="22">
        <f>IF(OR(基础资料!$I$11="",基础资料!$J$11="",AND($C$3&lt;&gt;"全部",基础资料!$J$11&lt;&gt;$C$3)),0,IF(OR(N(基础资料!$O$11)=0,N(基础资料!$O$11)&lt;DATE($F$3,6,1),COUNTIFS(资金台帐!$B$6:$B$3005,基础资料!$I$11,资金台帐!$N$6:$N$3005,"&lt;"&amp;DATE($F$3,6,1))&gt;0),N(基础资料!$N$11),0))</f>
        <v>0</v>
      </c>
      <c r="G37" s="22">
        <f>IF(OR(基础资料!$I$11="",基础资料!$J$11="",AND($C$3&lt;&gt;"全部",基础资料!$J$11&lt;&gt;$C$3)),0,IF(OR(N(基础资料!$O$11)=0,N(基础资料!$O$11)&lt;DATE($F$3,7,1),COUNTIFS(资金台帐!$B$6:$B$3005,基础资料!$I$11,资金台帐!$N$6:$N$3005,"&lt;"&amp;DATE($F$3,7,1))&gt;0),N(基础资料!$N$11),0))</f>
        <v>0</v>
      </c>
      <c r="H37" s="22">
        <f>IF(OR(基础资料!$I$11="",基础资料!$J$11="",AND($C$3&lt;&gt;"全部",基础资料!$J$11&lt;&gt;$C$3)),0,IF(OR(N(基础资料!$O$11)=0,N(基础资料!$O$11)&lt;DATE($F$3,8,1),COUNTIFS(资金台帐!$B$6:$B$3005,基础资料!$I$11,资金台帐!$N$6:$N$3005,"&lt;"&amp;DATE($F$3,8,1))&gt;0),N(基础资料!$N$11),0))</f>
        <v>0</v>
      </c>
      <c r="I37" s="22">
        <f>IF(OR(基础资料!$I$11="",基础资料!$J$11="",AND($C$3&lt;&gt;"全部",基础资料!$J$11&lt;&gt;$C$3)),0,IF(OR(N(基础资料!$O$11)=0,N(基础资料!$O$11)&lt;DATE($F$3,9,1),COUNTIFS(资金台帐!$B$6:$B$3005,基础资料!$I$11,资金台帐!$N$6:$N$3005,"&lt;"&amp;DATE($F$3,9,1))&gt;0),N(基础资料!$N$11),0))</f>
        <v>0</v>
      </c>
      <c r="J37" s="22">
        <f>IF(OR(基础资料!$I$11="",基础资料!$J$11="",AND($C$3&lt;&gt;"全部",基础资料!$J$11&lt;&gt;$C$3)),0,IF(OR(N(基础资料!$O$11)=0,N(基础资料!$O$11)&lt;DATE($F$3,10,1),COUNTIFS(资金台帐!$B$6:$B$3005,基础资料!$I$11,资金台帐!$N$6:$N$3005,"&lt;"&amp;DATE($F$3,10,1))&gt;0),N(基础资料!$N$11),0))</f>
        <v>0</v>
      </c>
      <c r="K37" s="22">
        <f>IF(OR(基础资料!$I$11="",基础资料!$J$11="",AND($C$3&lt;&gt;"全部",基础资料!$J$11&lt;&gt;$C$3)),0,IF(OR(N(基础资料!$O$11)=0,N(基础资料!$O$11)&lt;DATE($F$3,11,1),COUNTIFS(资金台帐!$B$6:$B$3005,基础资料!$I$11,资金台帐!$N$6:$N$3005,"&lt;"&amp;DATE($F$3,11,1))&gt;0),N(基础资料!$N$11),0))</f>
        <v>0</v>
      </c>
      <c r="L37" s="22">
        <f>IF(OR(基础资料!$I$11="",基础资料!$J$11="",AND($C$3&lt;&gt;"全部",基础资料!$J$11&lt;&gt;$C$3)),0,IF(OR(N(基础资料!$O$11)=0,N(基础资料!$O$11)&lt;DATE($F$3,12,1),COUNTIFS(资金台帐!$B$6:$B$3005,基础资料!$I$11,资金台帐!$N$6:$N$3005,"&lt;"&amp;DATE($F$3,12,1))&gt;0),N(基础资料!$N$11),0))</f>
        <v>0</v>
      </c>
      <c r="M37" s="22">
        <f>IF(OR(基础资料!$I$11="",基础资料!$J$11="",AND($C$3&lt;&gt;"全部",基础资料!$J$11&lt;&gt;$C$3)),0,IF(OR(N(基础资料!$O$11)=0,N(基础资料!$O$11)&lt;DATE($F$3,13,1),COUNTIFS(资金台帐!$B$6:$B$3005,基础资料!$I$11,资金台帐!$N$6:$N$3005,"&lt;"&amp;DATE($F$3,13,1))&gt;0),N(基础资料!$N$11),0))</f>
        <v>0</v>
      </c>
      <c r="N37" s="22">
        <f>IF(OR(基础资料!$I$11="",基础资料!$J$11="",AND($C$3&lt;&gt;"全部",基础资料!$J$11&lt;&gt;$C$3)),0,IF(OR(N(基础资料!$O$11)=0,N(基础资料!$O$11)&lt;DATE($F$3+1,1,1),COUNTIFS(资金台帐!$B$6:$B$3005,基础资料!$I$11,资金台帐!$N$6:$N$3005,"&lt;"&amp;DATE($F$3+1,1,1))&gt;0),N(基础资料!$N$11),0))</f>
        <v>0</v>
      </c>
    </row>
    <row r="38" hidden="1">
      <c r="A38" s="22" t="str">
        <f>基础资料!$I$12&amp;""</f>
        <v>微信商户0744</v>
      </c>
      <c r="B38" s="22">
        <f>IF(OR(基础资料!$I$12="",基础资料!$J$12="",AND($C$3&lt;&gt;"全部",基础资料!$J$12&lt;&gt;$C$3)),0,IF(OR(N(基础资料!$O$12)=0,N(基础资料!$O$12)&lt;DATE($F$3,2,1),COUNTIFS(资金台帐!$B$6:$B$3005,基础资料!$I$12,资金台帐!$N$6:$N$3005,"&lt;"&amp;DATE($F$3,2,1))&gt;0),N(基础资料!$N$12),0))</f>
        <v>0</v>
      </c>
      <c r="C38" s="22">
        <f>IF(OR(基础资料!$I$12="",基础资料!$J$12="",AND($C$3&lt;&gt;"全部",基础资料!$J$12&lt;&gt;$C$3)),0,IF(OR(N(基础资料!$O$12)=0,N(基础资料!$O$12)&lt;DATE($F$3,3,1),COUNTIFS(资金台帐!$B$6:$B$3005,基础资料!$I$12,资金台帐!$N$6:$N$3005,"&lt;"&amp;DATE($F$3,3,1))&gt;0),N(基础资料!$N$12),0))</f>
        <v>0</v>
      </c>
      <c r="D38" s="22">
        <f>IF(OR(基础资料!$I$12="",基础资料!$J$12="",AND($C$3&lt;&gt;"全部",基础资料!$J$12&lt;&gt;$C$3)),0,IF(OR(N(基础资料!$O$12)=0,N(基础资料!$O$12)&lt;DATE($F$3,4,1),COUNTIFS(资金台帐!$B$6:$B$3005,基础资料!$I$12,资金台帐!$N$6:$N$3005,"&lt;"&amp;DATE($F$3,4,1))&gt;0),N(基础资料!$N$12),0))</f>
        <v>0</v>
      </c>
      <c r="E38" s="22">
        <f>IF(OR(基础资料!$I$12="",基础资料!$J$12="",AND($C$3&lt;&gt;"全部",基础资料!$J$12&lt;&gt;$C$3)),0,IF(OR(N(基础资料!$O$12)=0,N(基础资料!$O$12)&lt;DATE($F$3,5,1),COUNTIFS(资金台帐!$B$6:$B$3005,基础资料!$I$12,资金台帐!$N$6:$N$3005,"&lt;"&amp;DATE($F$3,5,1))&gt;0),N(基础资料!$N$12),0))</f>
        <v>0</v>
      </c>
      <c r="F38" s="22">
        <f>IF(OR(基础资料!$I$12="",基础资料!$J$12="",AND($C$3&lt;&gt;"全部",基础资料!$J$12&lt;&gt;$C$3)),0,IF(OR(N(基础资料!$O$12)=0,N(基础资料!$O$12)&lt;DATE($F$3,6,1),COUNTIFS(资金台帐!$B$6:$B$3005,基础资料!$I$12,资金台帐!$N$6:$N$3005,"&lt;"&amp;DATE($F$3,6,1))&gt;0),N(基础资料!$N$12),0))</f>
        <v>0</v>
      </c>
      <c r="G38" s="22">
        <f>IF(OR(基础资料!$I$12="",基础资料!$J$12="",AND($C$3&lt;&gt;"全部",基础资料!$J$12&lt;&gt;$C$3)),0,IF(OR(N(基础资料!$O$12)=0,N(基础资料!$O$12)&lt;DATE($F$3,7,1),COUNTIFS(资金台帐!$B$6:$B$3005,基础资料!$I$12,资金台帐!$N$6:$N$3005,"&lt;"&amp;DATE($F$3,7,1))&gt;0),N(基础资料!$N$12),0))</f>
        <v>0</v>
      </c>
      <c r="H38" s="22">
        <f>IF(OR(基础资料!$I$12="",基础资料!$J$12="",AND($C$3&lt;&gt;"全部",基础资料!$J$12&lt;&gt;$C$3)),0,IF(OR(N(基础资料!$O$12)=0,N(基础资料!$O$12)&lt;DATE($F$3,8,1),COUNTIFS(资金台帐!$B$6:$B$3005,基础资料!$I$12,资金台帐!$N$6:$N$3005,"&lt;"&amp;DATE($F$3,8,1))&gt;0),N(基础资料!$N$12),0))</f>
        <v>0</v>
      </c>
      <c r="I38" s="22">
        <f>IF(OR(基础资料!$I$12="",基础资料!$J$12="",AND($C$3&lt;&gt;"全部",基础资料!$J$12&lt;&gt;$C$3)),0,IF(OR(N(基础资料!$O$12)=0,N(基础资料!$O$12)&lt;DATE($F$3,9,1),COUNTIFS(资金台帐!$B$6:$B$3005,基础资料!$I$12,资金台帐!$N$6:$N$3005,"&lt;"&amp;DATE($F$3,9,1))&gt;0),N(基础资料!$N$12),0))</f>
        <v>0</v>
      </c>
      <c r="J38" s="22">
        <f>IF(OR(基础资料!$I$12="",基础资料!$J$12="",AND($C$3&lt;&gt;"全部",基础资料!$J$12&lt;&gt;$C$3)),0,IF(OR(N(基础资料!$O$12)=0,N(基础资料!$O$12)&lt;DATE($F$3,10,1),COUNTIFS(资金台帐!$B$6:$B$3005,基础资料!$I$12,资金台帐!$N$6:$N$3005,"&lt;"&amp;DATE($F$3,10,1))&gt;0),N(基础资料!$N$12),0))</f>
        <v>42501.4</v>
      </c>
      <c r="K38" s="22">
        <f>IF(OR(基础资料!$I$12="",基础资料!$J$12="",AND($C$3&lt;&gt;"全部",基础资料!$J$12&lt;&gt;$C$3)),0,IF(OR(N(基础资料!$O$12)=0,N(基础资料!$O$12)&lt;DATE($F$3,11,1),COUNTIFS(资金台帐!$B$6:$B$3005,基础资料!$I$12,资金台帐!$N$6:$N$3005,"&lt;"&amp;DATE($F$3,11,1))&gt;0),N(基础资料!$N$12),0))</f>
        <v>42501.4</v>
      </c>
      <c r="L38" s="22">
        <f>IF(OR(基础资料!$I$12="",基础资料!$J$12="",AND($C$3&lt;&gt;"全部",基础资料!$J$12&lt;&gt;$C$3)),0,IF(OR(N(基础资料!$O$12)=0,N(基础资料!$O$12)&lt;DATE($F$3,12,1),COUNTIFS(资金台帐!$B$6:$B$3005,基础资料!$I$12,资金台帐!$N$6:$N$3005,"&lt;"&amp;DATE($F$3,12,1))&gt;0),N(基础资料!$N$12),0))</f>
        <v>42501.4</v>
      </c>
      <c r="M38" s="22">
        <f>IF(OR(基础资料!$I$12="",基础资料!$J$12="",AND($C$3&lt;&gt;"全部",基础资料!$J$12&lt;&gt;$C$3)),0,IF(OR(N(基础资料!$O$12)=0,N(基础资料!$O$12)&lt;DATE($F$3,13,1),COUNTIFS(资金台帐!$B$6:$B$3005,基础资料!$I$12,资金台帐!$N$6:$N$3005,"&lt;"&amp;DATE($F$3,13,1))&gt;0),N(基础资料!$N$12),0))</f>
        <v>42501.4</v>
      </c>
      <c r="N38" s="22">
        <f>IF(OR(基础资料!$I$12="",基础资料!$J$12="",AND($C$3&lt;&gt;"全部",基础资料!$J$12&lt;&gt;$C$3)),0,IF(OR(N(基础资料!$O$12)=0,N(基础资料!$O$12)&lt;DATE($F$3+1,1,1),COUNTIFS(资金台帐!$B$6:$B$3005,基础资料!$I$12,资金台帐!$N$6:$N$3005,"&lt;"&amp;DATE($F$3+1,1,1))&gt;0),N(基础资料!$N$12),0))</f>
        <v>42501.4</v>
      </c>
    </row>
    <row r="39" hidden="1">
      <c r="A39" s="22">
        <f>基础资料!$I$13&amp;""</f>
      </c>
      <c r="B39" s="22">
        <f>IF(OR(基础资料!$I$13="",基础资料!$J$13="",AND($C$3&lt;&gt;"全部",基础资料!$J$13&lt;&gt;$C$3)),0,IF(OR(N(基础资料!$O$13)=0,N(基础资料!$O$13)&lt;DATE($F$3,2,1),COUNTIFS(资金台帐!$B$6:$B$3005,基础资料!$I$13,资金台帐!$N$6:$N$3005,"&lt;"&amp;DATE($F$3,2,1))&gt;0),N(基础资料!$N$13),0))</f>
        <v>0</v>
      </c>
      <c r="C39" s="22">
        <f>IF(OR(基础资料!$I$13="",基础资料!$J$13="",AND($C$3&lt;&gt;"全部",基础资料!$J$13&lt;&gt;$C$3)),0,IF(OR(N(基础资料!$O$13)=0,N(基础资料!$O$13)&lt;DATE($F$3,3,1),COUNTIFS(资金台帐!$B$6:$B$3005,基础资料!$I$13,资金台帐!$N$6:$N$3005,"&lt;"&amp;DATE($F$3,3,1))&gt;0),N(基础资料!$N$13),0))</f>
        <v>0</v>
      </c>
      <c r="D39" s="22">
        <f>IF(OR(基础资料!$I$13="",基础资料!$J$13="",AND($C$3&lt;&gt;"全部",基础资料!$J$13&lt;&gt;$C$3)),0,IF(OR(N(基础资料!$O$13)=0,N(基础资料!$O$13)&lt;DATE($F$3,4,1),COUNTIFS(资金台帐!$B$6:$B$3005,基础资料!$I$13,资金台帐!$N$6:$N$3005,"&lt;"&amp;DATE($F$3,4,1))&gt;0),N(基础资料!$N$13),0))</f>
        <v>0</v>
      </c>
      <c r="E39" s="22">
        <f>IF(OR(基础资料!$I$13="",基础资料!$J$13="",AND($C$3&lt;&gt;"全部",基础资料!$J$13&lt;&gt;$C$3)),0,IF(OR(N(基础资料!$O$13)=0,N(基础资料!$O$13)&lt;DATE($F$3,5,1),COUNTIFS(资金台帐!$B$6:$B$3005,基础资料!$I$13,资金台帐!$N$6:$N$3005,"&lt;"&amp;DATE($F$3,5,1))&gt;0),N(基础资料!$N$13),0))</f>
        <v>0</v>
      </c>
      <c r="F39" s="22">
        <f>IF(OR(基础资料!$I$13="",基础资料!$J$13="",AND($C$3&lt;&gt;"全部",基础资料!$J$13&lt;&gt;$C$3)),0,IF(OR(N(基础资料!$O$13)=0,N(基础资料!$O$13)&lt;DATE($F$3,6,1),COUNTIFS(资金台帐!$B$6:$B$3005,基础资料!$I$13,资金台帐!$N$6:$N$3005,"&lt;"&amp;DATE($F$3,6,1))&gt;0),N(基础资料!$N$13),0))</f>
        <v>0</v>
      </c>
      <c r="G39" s="22">
        <f>IF(OR(基础资料!$I$13="",基础资料!$J$13="",AND($C$3&lt;&gt;"全部",基础资料!$J$13&lt;&gt;$C$3)),0,IF(OR(N(基础资料!$O$13)=0,N(基础资料!$O$13)&lt;DATE($F$3,7,1),COUNTIFS(资金台帐!$B$6:$B$3005,基础资料!$I$13,资金台帐!$N$6:$N$3005,"&lt;"&amp;DATE($F$3,7,1))&gt;0),N(基础资料!$N$13),0))</f>
        <v>0</v>
      </c>
      <c r="H39" s="22">
        <f>IF(OR(基础资料!$I$13="",基础资料!$J$13="",AND($C$3&lt;&gt;"全部",基础资料!$J$13&lt;&gt;$C$3)),0,IF(OR(N(基础资料!$O$13)=0,N(基础资料!$O$13)&lt;DATE($F$3,8,1),COUNTIFS(资金台帐!$B$6:$B$3005,基础资料!$I$13,资金台帐!$N$6:$N$3005,"&lt;"&amp;DATE($F$3,8,1))&gt;0),N(基础资料!$N$13),0))</f>
        <v>0</v>
      </c>
      <c r="I39" s="22">
        <f>IF(OR(基础资料!$I$13="",基础资料!$J$13="",AND($C$3&lt;&gt;"全部",基础资料!$J$13&lt;&gt;$C$3)),0,IF(OR(N(基础资料!$O$13)=0,N(基础资料!$O$13)&lt;DATE($F$3,9,1),COUNTIFS(资金台帐!$B$6:$B$3005,基础资料!$I$13,资金台帐!$N$6:$N$3005,"&lt;"&amp;DATE($F$3,9,1))&gt;0),N(基础资料!$N$13),0))</f>
        <v>0</v>
      </c>
      <c r="J39" s="22">
        <f>IF(OR(基础资料!$I$13="",基础资料!$J$13="",AND($C$3&lt;&gt;"全部",基础资料!$J$13&lt;&gt;$C$3)),0,IF(OR(N(基础资料!$O$13)=0,N(基础资料!$O$13)&lt;DATE($F$3,10,1),COUNTIFS(资金台帐!$B$6:$B$3005,基础资料!$I$13,资金台帐!$N$6:$N$3005,"&lt;"&amp;DATE($F$3,10,1))&gt;0),N(基础资料!$N$13),0))</f>
        <v>0</v>
      </c>
      <c r="K39" s="22">
        <f>IF(OR(基础资料!$I$13="",基础资料!$J$13="",AND($C$3&lt;&gt;"全部",基础资料!$J$13&lt;&gt;$C$3)),0,IF(OR(N(基础资料!$O$13)=0,N(基础资料!$O$13)&lt;DATE($F$3,11,1),COUNTIFS(资金台帐!$B$6:$B$3005,基础资料!$I$13,资金台帐!$N$6:$N$3005,"&lt;"&amp;DATE($F$3,11,1))&gt;0),N(基础资料!$N$13),0))</f>
        <v>0</v>
      </c>
      <c r="L39" s="22">
        <f>IF(OR(基础资料!$I$13="",基础资料!$J$13="",AND($C$3&lt;&gt;"全部",基础资料!$J$13&lt;&gt;$C$3)),0,IF(OR(N(基础资料!$O$13)=0,N(基础资料!$O$13)&lt;DATE($F$3,12,1),COUNTIFS(资金台帐!$B$6:$B$3005,基础资料!$I$13,资金台帐!$N$6:$N$3005,"&lt;"&amp;DATE($F$3,12,1))&gt;0),N(基础资料!$N$13),0))</f>
        <v>0</v>
      </c>
      <c r="M39" s="22">
        <f>IF(OR(基础资料!$I$13="",基础资料!$J$13="",AND($C$3&lt;&gt;"全部",基础资料!$J$13&lt;&gt;$C$3)),0,IF(OR(N(基础资料!$O$13)=0,N(基础资料!$O$13)&lt;DATE($F$3,13,1),COUNTIFS(资金台帐!$B$6:$B$3005,基础资料!$I$13,资金台帐!$N$6:$N$3005,"&lt;"&amp;DATE($F$3,13,1))&gt;0),N(基础资料!$N$13),0))</f>
        <v>0</v>
      </c>
      <c r="N39" s="22">
        <f>IF(OR(基础资料!$I$13="",基础资料!$J$13="",AND($C$3&lt;&gt;"全部",基础资料!$J$13&lt;&gt;$C$3)),0,IF(OR(N(基础资料!$O$13)=0,N(基础资料!$O$13)&lt;DATE($F$3+1,1,1),COUNTIFS(资金台帐!$B$6:$B$3005,基础资料!$I$13,资金台帐!$N$6:$N$3005,"&lt;"&amp;DATE($F$3+1,1,1))&gt;0),N(基础资料!$N$13),0))</f>
        <v>0</v>
      </c>
    </row>
    <row r="40" hidden="1">
      <c r="A40" s="22">
        <f>基础资料!$I$14&amp;""</f>
      </c>
      <c r="B40" s="22">
        <f>IF(OR(基础资料!$I$14="",基础资料!$J$14="",AND($C$3&lt;&gt;"全部",基础资料!$J$14&lt;&gt;$C$3)),0,IF(OR(N(基础资料!$O$14)=0,N(基础资料!$O$14)&lt;DATE($F$3,2,1),COUNTIFS(资金台帐!$B$6:$B$3005,基础资料!$I$14,资金台帐!$N$6:$N$3005,"&lt;"&amp;DATE($F$3,2,1))&gt;0),N(基础资料!$N$14),0))</f>
        <v>0</v>
      </c>
      <c r="C40" s="22">
        <f>IF(OR(基础资料!$I$14="",基础资料!$J$14="",AND($C$3&lt;&gt;"全部",基础资料!$J$14&lt;&gt;$C$3)),0,IF(OR(N(基础资料!$O$14)=0,N(基础资料!$O$14)&lt;DATE($F$3,3,1),COUNTIFS(资金台帐!$B$6:$B$3005,基础资料!$I$14,资金台帐!$N$6:$N$3005,"&lt;"&amp;DATE($F$3,3,1))&gt;0),N(基础资料!$N$14),0))</f>
        <v>0</v>
      </c>
      <c r="D40" s="22">
        <f>IF(OR(基础资料!$I$14="",基础资料!$J$14="",AND($C$3&lt;&gt;"全部",基础资料!$J$14&lt;&gt;$C$3)),0,IF(OR(N(基础资料!$O$14)=0,N(基础资料!$O$14)&lt;DATE($F$3,4,1),COUNTIFS(资金台帐!$B$6:$B$3005,基础资料!$I$14,资金台帐!$N$6:$N$3005,"&lt;"&amp;DATE($F$3,4,1))&gt;0),N(基础资料!$N$14),0))</f>
        <v>0</v>
      </c>
      <c r="E40" s="22">
        <f>IF(OR(基础资料!$I$14="",基础资料!$J$14="",AND($C$3&lt;&gt;"全部",基础资料!$J$14&lt;&gt;$C$3)),0,IF(OR(N(基础资料!$O$14)=0,N(基础资料!$O$14)&lt;DATE($F$3,5,1),COUNTIFS(资金台帐!$B$6:$B$3005,基础资料!$I$14,资金台帐!$N$6:$N$3005,"&lt;"&amp;DATE($F$3,5,1))&gt;0),N(基础资料!$N$14),0))</f>
        <v>0</v>
      </c>
      <c r="F40" s="22">
        <f>IF(OR(基础资料!$I$14="",基础资料!$J$14="",AND($C$3&lt;&gt;"全部",基础资料!$J$14&lt;&gt;$C$3)),0,IF(OR(N(基础资料!$O$14)=0,N(基础资料!$O$14)&lt;DATE($F$3,6,1),COUNTIFS(资金台帐!$B$6:$B$3005,基础资料!$I$14,资金台帐!$N$6:$N$3005,"&lt;"&amp;DATE($F$3,6,1))&gt;0),N(基础资料!$N$14),0))</f>
        <v>0</v>
      </c>
      <c r="G40" s="22">
        <f>IF(OR(基础资料!$I$14="",基础资料!$J$14="",AND($C$3&lt;&gt;"全部",基础资料!$J$14&lt;&gt;$C$3)),0,IF(OR(N(基础资料!$O$14)=0,N(基础资料!$O$14)&lt;DATE($F$3,7,1),COUNTIFS(资金台帐!$B$6:$B$3005,基础资料!$I$14,资金台帐!$N$6:$N$3005,"&lt;"&amp;DATE($F$3,7,1))&gt;0),N(基础资料!$N$14),0))</f>
        <v>0</v>
      </c>
      <c r="H40" s="22">
        <f>IF(OR(基础资料!$I$14="",基础资料!$J$14="",AND($C$3&lt;&gt;"全部",基础资料!$J$14&lt;&gt;$C$3)),0,IF(OR(N(基础资料!$O$14)=0,N(基础资料!$O$14)&lt;DATE($F$3,8,1),COUNTIFS(资金台帐!$B$6:$B$3005,基础资料!$I$14,资金台帐!$N$6:$N$3005,"&lt;"&amp;DATE($F$3,8,1))&gt;0),N(基础资料!$N$14),0))</f>
        <v>0</v>
      </c>
      <c r="I40" s="22">
        <f>IF(OR(基础资料!$I$14="",基础资料!$J$14="",AND($C$3&lt;&gt;"全部",基础资料!$J$14&lt;&gt;$C$3)),0,IF(OR(N(基础资料!$O$14)=0,N(基础资料!$O$14)&lt;DATE($F$3,9,1),COUNTIFS(资金台帐!$B$6:$B$3005,基础资料!$I$14,资金台帐!$N$6:$N$3005,"&lt;"&amp;DATE($F$3,9,1))&gt;0),N(基础资料!$N$14),0))</f>
        <v>0</v>
      </c>
      <c r="J40" s="22">
        <f>IF(OR(基础资料!$I$14="",基础资料!$J$14="",AND($C$3&lt;&gt;"全部",基础资料!$J$14&lt;&gt;$C$3)),0,IF(OR(N(基础资料!$O$14)=0,N(基础资料!$O$14)&lt;DATE($F$3,10,1),COUNTIFS(资金台帐!$B$6:$B$3005,基础资料!$I$14,资金台帐!$N$6:$N$3005,"&lt;"&amp;DATE($F$3,10,1))&gt;0),N(基础资料!$N$14),0))</f>
        <v>0</v>
      </c>
      <c r="K40" s="22">
        <f>IF(OR(基础资料!$I$14="",基础资料!$J$14="",AND($C$3&lt;&gt;"全部",基础资料!$J$14&lt;&gt;$C$3)),0,IF(OR(N(基础资料!$O$14)=0,N(基础资料!$O$14)&lt;DATE($F$3,11,1),COUNTIFS(资金台帐!$B$6:$B$3005,基础资料!$I$14,资金台帐!$N$6:$N$3005,"&lt;"&amp;DATE($F$3,11,1))&gt;0),N(基础资料!$N$14),0))</f>
        <v>0</v>
      </c>
      <c r="L40" s="22">
        <f>IF(OR(基础资料!$I$14="",基础资料!$J$14="",AND($C$3&lt;&gt;"全部",基础资料!$J$14&lt;&gt;$C$3)),0,IF(OR(N(基础资料!$O$14)=0,N(基础资料!$O$14)&lt;DATE($F$3,12,1),COUNTIFS(资金台帐!$B$6:$B$3005,基础资料!$I$14,资金台帐!$N$6:$N$3005,"&lt;"&amp;DATE($F$3,12,1))&gt;0),N(基础资料!$N$14),0))</f>
        <v>0</v>
      </c>
      <c r="M40" s="22">
        <f>IF(OR(基础资料!$I$14="",基础资料!$J$14="",AND($C$3&lt;&gt;"全部",基础资料!$J$14&lt;&gt;$C$3)),0,IF(OR(N(基础资料!$O$14)=0,N(基础资料!$O$14)&lt;DATE($F$3,13,1),COUNTIFS(资金台帐!$B$6:$B$3005,基础资料!$I$14,资金台帐!$N$6:$N$3005,"&lt;"&amp;DATE($F$3,13,1))&gt;0),N(基础资料!$N$14),0))</f>
        <v>0</v>
      </c>
      <c r="N40" s="22">
        <f>IF(OR(基础资料!$I$14="",基础资料!$J$14="",AND($C$3&lt;&gt;"全部",基础资料!$J$14&lt;&gt;$C$3)),0,IF(OR(N(基础资料!$O$14)=0,N(基础资料!$O$14)&lt;DATE($F$3+1,1,1),COUNTIFS(资金台帐!$B$6:$B$3005,基础资料!$I$14,资金台帐!$N$6:$N$3005,"&lt;"&amp;DATE($F$3+1,1,1))&gt;0),N(基础资料!$N$14),0))</f>
        <v>0</v>
      </c>
    </row>
    <row r="41" hidden="1">
      <c r="A41" s="22">
        <f>基础资料!$I$15&amp;""</f>
      </c>
      <c r="B41" s="22">
        <f>IF(OR(基础资料!$I$15="",基础资料!$J$15="",AND($C$3&lt;&gt;"全部",基础资料!$J$15&lt;&gt;$C$3)),0,IF(OR(N(基础资料!$O$15)=0,N(基础资料!$O$15)&lt;DATE($F$3,2,1),COUNTIFS(资金台帐!$B$6:$B$3005,基础资料!$I$15,资金台帐!$N$6:$N$3005,"&lt;"&amp;DATE($F$3,2,1))&gt;0),N(基础资料!$N$15),0))</f>
        <v>0</v>
      </c>
      <c r="C41" s="22">
        <f>IF(OR(基础资料!$I$15="",基础资料!$J$15="",AND($C$3&lt;&gt;"全部",基础资料!$J$15&lt;&gt;$C$3)),0,IF(OR(N(基础资料!$O$15)=0,N(基础资料!$O$15)&lt;DATE($F$3,3,1),COUNTIFS(资金台帐!$B$6:$B$3005,基础资料!$I$15,资金台帐!$N$6:$N$3005,"&lt;"&amp;DATE($F$3,3,1))&gt;0),N(基础资料!$N$15),0))</f>
        <v>0</v>
      </c>
      <c r="D41" s="22">
        <f>IF(OR(基础资料!$I$15="",基础资料!$J$15="",AND($C$3&lt;&gt;"全部",基础资料!$J$15&lt;&gt;$C$3)),0,IF(OR(N(基础资料!$O$15)=0,N(基础资料!$O$15)&lt;DATE($F$3,4,1),COUNTIFS(资金台帐!$B$6:$B$3005,基础资料!$I$15,资金台帐!$N$6:$N$3005,"&lt;"&amp;DATE($F$3,4,1))&gt;0),N(基础资料!$N$15),0))</f>
        <v>0</v>
      </c>
      <c r="E41" s="22">
        <f>IF(OR(基础资料!$I$15="",基础资料!$J$15="",AND($C$3&lt;&gt;"全部",基础资料!$J$15&lt;&gt;$C$3)),0,IF(OR(N(基础资料!$O$15)=0,N(基础资料!$O$15)&lt;DATE($F$3,5,1),COUNTIFS(资金台帐!$B$6:$B$3005,基础资料!$I$15,资金台帐!$N$6:$N$3005,"&lt;"&amp;DATE($F$3,5,1))&gt;0),N(基础资料!$N$15),0))</f>
        <v>0</v>
      </c>
      <c r="F41" s="22">
        <f>IF(OR(基础资料!$I$15="",基础资料!$J$15="",AND($C$3&lt;&gt;"全部",基础资料!$J$15&lt;&gt;$C$3)),0,IF(OR(N(基础资料!$O$15)=0,N(基础资料!$O$15)&lt;DATE($F$3,6,1),COUNTIFS(资金台帐!$B$6:$B$3005,基础资料!$I$15,资金台帐!$N$6:$N$3005,"&lt;"&amp;DATE($F$3,6,1))&gt;0),N(基础资料!$N$15),0))</f>
        <v>0</v>
      </c>
      <c r="G41" s="22">
        <f>IF(OR(基础资料!$I$15="",基础资料!$J$15="",AND($C$3&lt;&gt;"全部",基础资料!$J$15&lt;&gt;$C$3)),0,IF(OR(N(基础资料!$O$15)=0,N(基础资料!$O$15)&lt;DATE($F$3,7,1),COUNTIFS(资金台帐!$B$6:$B$3005,基础资料!$I$15,资金台帐!$N$6:$N$3005,"&lt;"&amp;DATE($F$3,7,1))&gt;0),N(基础资料!$N$15),0))</f>
        <v>0</v>
      </c>
      <c r="H41" s="22">
        <f>IF(OR(基础资料!$I$15="",基础资料!$J$15="",AND($C$3&lt;&gt;"全部",基础资料!$J$15&lt;&gt;$C$3)),0,IF(OR(N(基础资料!$O$15)=0,N(基础资料!$O$15)&lt;DATE($F$3,8,1),COUNTIFS(资金台帐!$B$6:$B$3005,基础资料!$I$15,资金台帐!$N$6:$N$3005,"&lt;"&amp;DATE($F$3,8,1))&gt;0),N(基础资料!$N$15),0))</f>
        <v>0</v>
      </c>
      <c r="I41" s="22">
        <f>IF(OR(基础资料!$I$15="",基础资料!$J$15="",AND($C$3&lt;&gt;"全部",基础资料!$J$15&lt;&gt;$C$3)),0,IF(OR(N(基础资料!$O$15)=0,N(基础资料!$O$15)&lt;DATE($F$3,9,1),COUNTIFS(资金台帐!$B$6:$B$3005,基础资料!$I$15,资金台帐!$N$6:$N$3005,"&lt;"&amp;DATE($F$3,9,1))&gt;0),N(基础资料!$N$15),0))</f>
        <v>0</v>
      </c>
      <c r="J41" s="22">
        <f>IF(OR(基础资料!$I$15="",基础资料!$J$15="",AND($C$3&lt;&gt;"全部",基础资料!$J$15&lt;&gt;$C$3)),0,IF(OR(N(基础资料!$O$15)=0,N(基础资料!$O$15)&lt;DATE($F$3,10,1),COUNTIFS(资金台帐!$B$6:$B$3005,基础资料!$I$15,资金台帐!$N$6:$N$3005,"&lt;"&amp;DATE($F$3,10,1))&gt;0),N(基础资料!$N$15),0))</f>
        <v>0</v>
      </c>
      <c r="K41" s="22">
        <f>IF(OR(基础资料!$I$15="",基础资料!$J$15="",AND($C$3&lt;&gt;"全部",基础资料!$J$15&lt;&gt;$C$3)),0,IF(OR(N(基础资料!$O$15)=0,N(基础资料!$O$15)&lt;DATE($F$3,11,1),COUNTIFS(资金台帐!$B$6:$B$3005,基础资料!$I$15,资金台帐!$N$6:$N$3005,"&lt;"&amp;DATE($F$3,11,1))&gt;0),N(基础资料!$N$15),0))</f>
        <v>0</v>
      </c>
      <c r="L41" s="22">
        <f>IF(OR(基础资料!$I$15="",基础资料!$J$15="",AND($C$3&lt;&gt;"全部",基础资料!$J$15&lt;&gt;$C$3)),0,IF(OR(N(基础资料!$O$15)=0,N(基础资料!$O$15)&lt;DATE($F$3,12,1),COUNTIFS(资金台帐!$B$6:$B$3005,基础资料!$I$15,资金台帐!$N$6:$N$3005,"&lt;"&amp;DATE($F$3,12,1))&gt;0),N(基础资料!$N$15),0))</f>
        <v>0</v>
      </c>
      <c r="M41" s="22">
        <f>IF(OR(基础资料!$I$15="",基础资料!$J$15="",AND($C$3&lt;&gt;"全部",基础资料!$J$15&lt;&gt;$C$3)),0,IF(OR(N(基础资料!$O$15)=0,N(基础资料!$O$15)&lt;DATE($F$3,13,1),COUNTIFS(资金台帐!$B$6:$B$3005,基础资料!$I$15,资金台帐!$N$6:$N$3005,"&lt;"&amp;DATE($F$3,13,1))&gt;0),N(基础资料!$N$15),0))</f>
        <v>0</v>
      </c>
      <c r="N41" s="22">
        <f>IF(OR(基础资料!$I$15="",基础资料!$J$15="",AND($C$3&lt;&gt;"全部",基础资料!$J$15&lt;&gt;$C$3)),0,IF(OR(N(基础资料!$O$15)=0,N(基础资料!$O$15)&lt;DATE($F$3+1,1,1),COUNTIFS(资金台帐!$B$6:$B$3005,基础资料!$I$15,资金台帐!$N$6:$N$3005,"&lt;"&amp;DATE($F$3+1,1,1))&gt;0),N(基础资料!$N$15),0))</f>
        <v>0</v>
      </c>
    </row>
    <row r="42" hidden="1">
      <c r="A42" s="22">
        <f>基础资料!$I$16&amp;""</f>
      </c>
      <c r="B42" s="22">
        <f>IF(OR(基础资料!$I$16="",基础资料!$J$16="",AND($C$3&lt;&gt;"全部",基础资料!$J$16&lt;&gt;$C$3)),0,IF(OR(N(基础资料!$O$16)=0,N(基础资料!$O$16)&lt;DATE($F$3,2,1),COUNTIFS(资金台帐!$B$6:$B$3005,基础资料!$I$16,资金台帐!$N$6:$N$3005,"&lt;"&amp;DATE($F$3,2,1))&gt;0),N(基础资料!$N$16),0))</f>
        <v>0</v>
      </c>
      <c r="C42" s="22">
        <f>IF(OR(基础资料!$I$16="",基础资料!$J$16="",AND($C$3&lt;&gt;"全部",基础资料!$J$16&lt;&gt;$C$3)),0,IF(OR(N(基础资料!$O$16)=0,N(基础资料!$O$16)&lt;DATE($F$3,3,1),COUNTIFS(资金台帐!$B$6:$B$3005,基础资料!$I$16,资金台帐!$N$6:$N$3005,"&lt;"&amp;DATE($F$3,3,1))&gt;0),N(基础资料!$N$16),0))</f>
        <v>0</v>
      </c>
      <c r="D42" s="22">
        <f>IF(OR(基础资料!$I$16="",基础资料!$J$16="",AND($C$3&lt;&gt;"全部",基础资料!$J$16&lt;&gt;$C$3)),0,IF(OR(N(基础资料!$O$16)=0,N(基础资料!$O$16)&lt;DATE($F$3,4,1),COUNTIFS(资金台帐!$B$6:$B$3005,基础资料!$I$16,资金台帐!$N$6:$N$3005,"&lt;"&amp;DATE($F$3,4,1))&gt;0),N(基础资料!$N$16),0))</f>
        <v>0</v>
      </c>
      <c r="E42" s="22">
        <f>IF(OR(基础资料!$I$16="",基础资料!$J$16="",AND($C$3&lt;&gt;"全部",基础资料!$J$16&lt;&gt;$C$3)),0,IF(OR(N(基础资料!$O$16)=0,N(基础资料!$O$16)&lt;DATE($F$3,5,1),COUNTIFS(资金台帐!$B$6:$B$3005,基础资料!$I$16,资金台帐!$N$6:$N$3005,"&lt;"&amp;DATE($F$3,5,1))&gt;0),N(基础资料!$N$16),0))</f>
        <v>0</v>
      </c>
      <c r="F42" s="22">
        <f>IF(OR(基础资料!$I$16="",基础资料!$J$16="",AND($C$3&lt;&gt;"全部",基础资料!$J$16&lt;&gt;$C$3)),0,IF(OR(N(基础资料!$O$16)=0,N(基础资料!$O$16)&lt;DATE($F$3,6,1),COUNTIFS(资金台帐!$B$6:$B$3005,基础资料!$I$16,资金台帐!$N$6:$N$3005,"&lt;"&amp;DATE($F$3,6,1))&gt;0),N(基础资料!$N$16),0))</f>
        <v>0</v>
      </c>
      <c r="G42" s="22">
        <f>IF(OR(基础资料!$I$16="",基础资料!$J$16="",AND($C$3&lt;&gt;"全部",基础资料!$J$16&lt;&gt;$C$3)),0,IF(OR(N(基础资料!$O$16)=0,N(基础资料!$O$16)&lt;DATE($F$3,7,1),COUNTIFS(资金台帐!$B$6:$B$3005,基础资料!$I$16,资金台帐!$N$6:$N$3005,"&lt;"&amp;DATE($F$3,7,1))&gt;0),N(基础资料!$N$16),0))</f>
        <v>0</v>
      </c>
      <c r="H42" s="22">
        <f>IF(OR(基础资料!$I$16="",基础资料!$J$16="",AND($C$3&lt;&gt;"全部",基础资料!$J$16&lt;&gt;$C$3)),0,IF(OR(N(基础资料!$O$16)=0,N(基础资料!$O$16)&lt;DATE($F$3,8,1),COUNTIFS(资金台帐!$B$6:$B$3005,基础资料!$I$16,资金台帐!$N$6:$N$3005,"&lt;"&amp;DATE($F$3,8,1))&gt;0),N(基础资料!$N$16),0))</f>
        <v>0</v>
      </c>
      <c r="I42" s="22">
        <f>IF(OR(基础资料!$I$16="",基础资料!$J$16="",AND($C$3&lt;&gt;"全部",基础资料!$J$16&lt;&gt;$C$3)),0,IF(OR(N(基础资料!$O$16)=0,N(基础资料!$O$16)&lt;DATE($F$3,9,1),COUNTIFS(资金台帐!$B$6:$B$3005,基础资料!$I$16,资金台帐!$N$6:$N$3005,"&lt;"&amp;DATE($F$3,9,1))&gt;0),N(基础资料!$N$16),0))</f>
        <v>0</v>
      </c>
      <c r="J42" s="22">
        <f>IF(OR(基础资料!$I$16="",基础资料!$J$16="",AND($C$3&lt;&gt;"全部",基础资料!$J$16&lt;&gt;$C$3)),0,IF(OR(N(基础资料!$O$16)=0,N(基础资料!$O$16)&lt;DATE($F$3,10,1),COUNTIFS(资金台帐!$B$6:$B$3005,基础资料!$I$16,资金台帐!$N$6:$N$3005,"&lt;"&amp;DATE($F$3,10,1))&gt;0),N(基础资料!$N$16),0))</f>
        <v>0</v>
      </c>
      <c r="K42" s="22">
        <f>IF(OR(基础资料!$I$16="",基础资料!$J$16="",AND($C$3&lt;&gt;"全部",基础资料!$J$16&lt;&gt;$C$3)),0,IF(OR(N(基础资料!$O$16)=0,N(基础资料!$O$16)&lt;DATE($F$3,11,1),COUNTIFS(资金台帐!$B$6:$B$3005,基础资料!$I$16,资金台帐!$N$6:$N$3005,"&lt;"&amp;DATE($F$3,11,1))&gt;0),N(基础资料!$N$16),0))</f>
        <v>0</v>
      </c>
      <c r="L42" s="22">
        <f>IF(OR(基础资料!$I$16="",基础资料!$J$16="",AND($C$3&lt;&gt;"全部",基础资料!$J$16&lt;&gt;$C$3)),0,IF(OR(N(基础资料!$O$16)=0,N(基础资料!$O$16)&lt;DATE($F$3,12,1),COUNTIFS(资金台帐!$B$6:$B$3005,基础资料!$I$16,资金台帐!$N$6:$N$3005,"&lt;"&amp;DATE($F$3,12,1))&gt;0),N(基础资料!$N$16),0))</f>
        <v>0</v>
      </c>
      <c r="M42" s="22">
        <f>IF(OR(基础资料!$I$16="",基础资料!$J$16="",AND($C$3&lt;&gt;"全部",基础资料!$J$16&lt;&gt;$C$3)),0,IF(OR(N(基础资料!$O$16)=0,N(基础资料!$O$16)&lt;DATE($F$3,13,1),COUNTIFS(资金台帐!$B$6:$B$3005,基础资料!$I$16,资金台帐!$N$6:$N$3005,"&lt;"&amp;DATE($F$3,13,1))&gt;0),N(基础资料!$N$16),0))</f>
        <v>0</v>
      </c>
      <c r="N42" s="22">
        <f>IF(OR(基础资料!$I$16="",基础资料!$J$16="",AND($C$3&lt;&gt;"全部",基础资料!$J$16&lt;&gt;$C$3)),0,IF(OR(N(基础资料!$O$16)=0,N(基础资料!$O$16)&lt;DATE($F$3+1,1,1),COUNTIFS(资金台帐!$B$6:$B$3005,基础资料!$I$16,资金台帐!$N$6:$N$3005,"&lt;"&amp;DATE($F$3+1,1,1))&gt;0),N(基础资料!$N$16),0))</f>
        <v>0</v>
      </c>
    </row>
    <row r="43" hidden="1">
      <c r="A43" s="22">
        <f>基础资料!$I$17&amp;""</f>
      </c>
      <c r="B43" s="22">
        <f>IF(OR(基础资料!$I$17="",基础资料!$J$17="",AND($C$3&lt;&gt;"全部",基础资料!$J$17&lt;&gt;$C$3)),0,IF(OR(N(基础资料!$O$17)=0,N(基础资料!$O$17)&lt;DATE($F$3,2,1),COUNTIFS(资金台帐!$B$6:$B$3005,基础资料!$I$17,资金台帐!$N$6:$N$3005,"&lt;"&amp;DATE($F$3,2,1))&gt;0),N(基础资料!$N$17),0))</f>
        <v>0</v>
      </c>
      <c r="C43" s="22">
        <f>IF(OR(基础资料!$I$17="",基础资料!$J$17="",AND($C$3&lt;&gt;"全部",基础资料!$J$17&lt;&gt;$C$3)),0,IF(OR(N(基础资料!$O$17)=0,N(基础资料!$O$17)&lt;DATE($F$3,3,1),COUNTIFS(资金台帐!$B$6:$B$3005,基础资料!$I$17,资金台帐!$N$6:$N$3005,"&lt;"&amp;DATE($F$3,3,1))&gt;0),N(基础资料!$N$17),0))</f>
        <v>0</v>
      </c>
      <c r="D43" s="22">
        <f>IF(OR(基础资料!$I$17="",基础资料!$J$17="",AND($C$3&lt;&gt;"全部",基础资料!$J$17&lt;&gt;$C$3)),0,IF(OR(N(基础资料!$O$17)=0,N(基础资料!$O$17)&lt;DATE($F$3,4,1),COUNTIFS(资金台帐!$B$6:$B$3005,基础资料!$I$17,资金台帐!$N$6:$N$3005,"&lt;"&amp;DATE($F$3,4,1))&gt;0),N(基础资料!$N$17),0))</f>
        <v>0</v>
      </c>
      <c r="E43" s="22">
        <f>IF(OR(基础资料!$I$17="",基础资料!$J$17="",AND($C$3&lt;&gt;"全部",基础资料!$J$17&lt;&gt;$C$3)),0,IF(OR(N(基础资料!$O$17)=0,N(基础资料!$O$17)&lt;DATE($F$3,5,1),COUNTIFS(资金台帐!$B$6:$B$3005,基础资料!$I$17,资金台帐!$N$6:$N$3005,"&lt;"&amp;DATE($F$3,5,1))&gt;0),N(基础资料!$N$17),0))</f>
        <v>0</v>
      </c>
      <c r="F43" s="22">
        <f>IF(OR(基础资料!$I$17="",基础资料!$J$17="",AND($C$3&lt;&gt;"全部",基础资料!$J$17&lt;&gt;$C$3)),0,IF(OR(N(基础资料!$O$17)=0,N(基础资料!$O$17)&lt;DATE($F$3,6,1),COUNTIFS(资金台帐!$B$6:$B$3005,基础资料!$I$17,资金台帐!$N$6:$N$3005,"&lt;"&amp;DATE($F$3,6,1))&gt;0),N(基础资料!$N$17),0))</f>
        <v>0</v>
      </c>
      <c r="G43" s="22">
        <f>IF(OR(基础资料!$I$17="",基础资料!$J$17="",AND($C$3&lt;&gt;"全部",基础资料!$J$17&lt;&gt;$C$3)),0,IF(OR(N(基础资料!$O$17)=0,N(基础资料!$O$17)&lt;DATE($F$3,7,1),COUNTIFS(资金台帐!$B$6:$B$3005,基础资料!$I$17,资金台帐!$N$6:$N$3005,"&lt;"&amp;DATE($F$3,7,1))&gt;0),N(基础资料!$N$17),0))</f>
        <v>0</v>
      </c>
      <c r="H43" s="22">
        <f>IF(OR(基础资料!$I$17="",基础资料!$J$17="",AND($C$3&lt;&gt;"全部",基础资料!$J$17&lt;&gt;$C$3)),0,IF(OR(N(基础资料!$O$17)=0,N(基础资料!$O$17)&lt;DATE($F$3,8,1),COUNTIFS(资金台帐!$B$6:$B$3005,基础资料!$I$17,资金台帐!$N$6:$N$3005,"&lt;"&amp;DATE($F$3,8,1))&gt;0),N(基础资料!$N$17),0))</f>
        <v>0</v>
      </c>
      <c r="I43" s="22">
        <f>IF(OR(基础资料!$I$17="",基础资料!$J$17="",AND($C$3&lt;&gt;"全部",基础资料!$J$17&lt;&gt;$C$3)),0,IF(OR(N(基础资料!$O$17)=0,N(基础资料!$O$17)&lt;DATE($F$3,9,1),COUNTIFS(资金台帐!$B$6:$B$3005,基础资料!$I$17,资金台帐!$N$6:$N$3005,"&lt;"&amp;DATE($F$3,9,1))&gt;0),N(基础资料!$N$17),0))</f>
        <v>0</v>
      </c>
      <c r="J43" s="22">
        <f>IF(OR(基础资料!$I$17="",基础资料!$J$17="",AND($C$3&lt;&gt;"全部",基础资料!$J$17&lt;&gt;$C$3)),0,IF(OR(N(基础资料!$O$17)=0,N(基础资料!$O$17)&lt;DATE($F$3,10,1),COUNTIFS(资金台帐!$B$6:$B$3005,基础资料!$I$17,资金台帐!$N$6:$N$3005,"&lt;"&amp;DATE($F$3,10,1))&gt;0),N(基础资料!$N$17),0))</f>
        <v>0</v>
      </c>
      <c r="K43" s="22">
        <f>IF(OR(基础资料!$I$17="",基础资料!$J$17="",AND($C$3&lt;&gt;"全部",基础资料!$J$17&lt;&gt;$C$3)),0,IF(OR(N(基础资料!$O$17)=0,N(基础资料!$O$17)&lt;DATE($F$3,11,1),COUNTIFS(资金台帐!$B$6:$B$3005,基础资料!$I$17,资金台帐!$N$6:$N$3005,"&lt;"&amp;DATE($F$3,11,1))&gt;0),N(基础资料!$N$17),0))</f>
        <v>0</v>
      </c>
      <c r="L43" s="22">
        <f>IF(OR(基础资料!$I$17="",基础资料!$J$17="",AND($C$3&lt;&gt;"全部",基础资料!$J$17&lt;&gt;$C$3)),0,IF(OR(N(基础资料!$O$17)=0,N(基础资料!$O$17)&lt;DATE($F$3,12,1),COUNTIFS(资金台帐!$B$6:$B$3005,基础资料!$I$17,资金台帐!$N$6:$N$3005,"&lt;"&amp;DATE($F$3,12,1))&gt;0),N(基础资料!$N$17),0))</f>
        <v>0</v>
      </c>
      <c r="M43" s="22">
        <f>IF(OR(基础资料!$I$17="",基础资料!$J$17="",AND($C$3&lt;&gt;"全部",基础资料!$J$17&lt;&gt;$C$3)),0,IF(OR(N(基础资料!$O$17)=0,N(基础资料!$O$17)&lt;DATE($F$3,13,1),COUNTIFS(资金台帐!$B$6:$B$3005,基础资料!$I$17,资金台帐!$N$6:$N$3005,"&lt;"&amp;DATE($F$3,13,1))&gt;0),N(基础资料!$N$17),0))</f>
        <v>0</v>
      </c>
      <c r="N43" s="22">
        <f>IF(OR(基础资料!$I$17="",基础资料!$J$17="",AND($C$3&lt;&gt;"全部",基础资料!$J$17&lt;&gt;$C$3)),0,IF(OR(N(基础资料!$O$17)=0,N(基础资料!$O$17)&lt;DATE($F$3+1,1,1),COUNTIFS(资金台帐!$B$6:$B$3005,基础资料!$I$17,资金台帐!$N$6:$N$3005,"&lt;"&amp;DATE($F$3+1,1,1))&gt;0),N(基础资料!$N$17),0))</f>
        <v>0</v>
      </c>
    </row>
    <row r="44" hidden="1">
      <c r="A44" s="22">
        <f>基础资料!$I$18&amp;""</f>
      </c>
      <c r="B44" s="22">
        <f>IF(OR(基础资料!$I$18="",基础资料!$J$18="",AND($C$3&lt;&gt;"全部",基础资料!$J$18&lt;&gt;$C$3)),0,IF(OR(N(基础资料!$O$18)=0,N(基础资料!$O$18)&lt;DATE($F$3,2,1),COUNTIFS(资金台帐!$B$6:$B$3005,基础资料!$I$18,资金台帐!$N$6:$N$3005,"&lt;"&amp;DATE($F$3,2,1))&gt;0),N(基础资料!$N$18),0))</f>
        <v>0</v>
      </c>
      <c r="C44" s="22">
        <f>IF(OR(基础资料!$I$18="",基础资料!$J$18="",AND($C$3&lt;&gt;"全部",基础资料!$J$18&lt;&gt;$C$3)),0,IF(OR(N(基础资料!$O$18)=0,N(基础资料!$O$18)&lt;DATE($F$3,3,1),COUNTIFS(资金台帐!$B$6:$B$3005,基础资料!$I$18,资金台帐!$N$6:$N$3005,"&lt;"&amp;DATE($F$3,3,1))&gt;0),N(基础资料!$N$18),0))</f>
        <v>0</v>
      </c>
      <c r="D44" s="22">
        <f>IF(OR(基础资料!$I$18="",基础资料!$J$18="",AND($C$3&lt;&gt;"全部",基础资料!$J$18&lt;&gt;$C$3)),0,IF(OR(N(基础资料!$O$18)=0,N(基础资料!$O$18)&lt;DATE($F$3,4,1),COUNTIFS(资金台帐!$B$6:$B$3005,基础资料!$I$18,资金台帐!$N$6:$N$3005,"&lt;"&amp;DATE($F$3,4,1))&gt;0),N(基础资料!$N$18),0))</f>
        <v>0</v>
      </c>
      <c r="E44" s="22">
        <f>IF(OR(基础资料!$I$18="",基础资料!$J$18="",AND($C$3&lt;&gt;"全部",基础资料!$J$18&lt;&gt;$C$3)),0,IF(OR(N(基础资料!$O$18)=0,N(基础资料!$O$18)&lt;DATE($F$3,5,1),COUNTIFS(资金台帐!$B$6:$B$3005,基础资料!$I$18,资金台帐!$N$6:$N$3005,"&lt;"&amp;DATE($F$3,5,1))&gt;0),N(基础资料!$N$18),0))</f>
        <v>0</v>
      </c>
      <c r="F44" s="22">
        <f>IF(OR(基础资料!$I$18="",基础资料!$J$18="",AND($C$3&lt;&gt;"全部",基础资料!$J$18&lt;&gt;$C$3)),0,IF(OR(N(基础资料!$O$18)=0,N(基础资料!$O$18)&lt;DATE($F$3,6,1),COUNTIFS(资金台帐!$B$6:$B$3005,基础资料!$I$18,资金台帐!$N$6:$N$3005,"&lt;"&amp;DATE($F$3,6,1))&gt;0),N(基础资料!$N$18),0))</f>
        <v>0</v>
      </c>
      <c r="G44" s="22">
        <f>IF(OR(基础资料!$I$18="",基础资料!$J$18="",AND($C$3&lt;&gt;"全部",基础资料!$J$18&lt;&gt;$C$3)),0,IF(OR(N(基础资料!$O$18)=0,N(基础资料!$O$18)&lt;DATE($F$3,7,1),COUNTIFS(资金台帐!$B$6:$B$3005,基础资料!$I$18,资金台帐!$N$6:$N$3005,"&lt;"&amp;DATE($F$3,7,1))&gt;0),N(基础资料!$N$18),0))</f>
        <v>0</v>
      </c>
      <c r="H44" s="22">
        <f>IF(OR(基础资料!$I$18="",基础资料!$J$18="",AND($C$3&lt;&gt;"全部",基础资料!$J$18&lt;&gt;$C$3)),0,IF(OR(N(基础资料!$O$18)=0,N(基础资料!$O$18)&lt;DATE($F$3,8,1),COUNTIFS(资金台帐!$B$6:$B$3005,基础资料!$I$18,资金台帐!$N$6:$N$3005,"&lt;"&amp;DATE($F$3,8,1))&gt;0),N(基础资料!$N$18),0))</f>
        <v>0</v>
      </c>
      <c r="I44" s="22">
        <f>IF(OR(基础资料!$I$18="",基础资料!$J$18="",AND($C$3&lt;&gt;"全部",基础资料!$J$18&lt;&gt;$C$3)),0,IF(OR(N(基础资料!$O$18)=0,N(基础资料!$O$18)&lt;DATE($F$3,9,1),COUNTIFS(资金台帐!$B$6:$B$3005,基础资料!$I$18,资金台帐!$N$6:$N$3005,"&lt;"&amp;DATE($F$3,9,1))&gt;0),N(基础资料!$N$18),0))</f>
        <v>0</v>
      </c>
      <c r="J44" s="22">
        <f>IF(OR(基础资料!$I$18="",基础资料!$J$18="",AND($C$3&lt;&gt;"全部",基础资料!$J$18&lt;&gt;$C$3)),0,IF(OR(N(基础资料!$O$18)=0,N(基础资料!$O$18)&lt;DATE($F$3,10,1),COUNTIFS(资金台帐!$B$6:$B$3005,基础资料!$I$18,资金台帐!$N$6:$N$3005,"&lt;"&amp;DATE($F$3,10,1))&gt;0),N(基础资料!$N$18),0))</f>
        <v>0</v>
      </c>
      <c r="K44" s="22">
        <f>IF(OR(基础资料!$I$18="",基础资料!$J$18="",AND($C$3&lt;&gt;"全部",基础资料!$J$18&lt;&gt;$C$3)),0,IF(OR(N(基础资料!$O$18)=0,N(基础资料!$O$18)&lt;DATE($F$3,11,1),COUNTIFS(资金台帐!$B$6:$B$3005,基础资料!$I$18,资金台帐!$N$6:$N$3005,"&lt;"&amp;DATE($F$3,11,1))&gt;0),N(基础资料!$N$18),0))</f>
        <v>0</v>
      </c>
      <c r="L44" s="22">
        <f>IF(OR(基础资料!$I$18="",基础资料!$J$18="",AND($C$3&lt;&gt;"全部",基础资料!$J$18&lt;&gt;$C$3)),0,IF(OR(N(基础资料!$O$18)=0,N(基础资料!$O$18)&lt;DATE($F$3,12,1),COUNTIFS(资金台帐!$B$6:$B$3005,基础资料!$I$18,资金台帐!$N$6:$N$3005,"&lt;"&amp;DATE($F$3,12,1))&gt;0),N(基础资料!$N$18),0))</f>
        <v>0</v>
      </c>
      <c r="M44" s="22">
        <f>IF(OR(基础资料!$I$18="",基础资料!$J$18="",AND($C$3&lt;&gt;"全部",基础资料!$J$18&lt;&gt;$C$3)),0,IF(OR(N(基础资料!$O$18)=0,N(基础资料!$O$18)&lt;DATE($F$3,13,1),COUNTIFS(资金台帐!$B$6:$B$3005,基础资料!$I$18,资金台帐!$N$6:$N$3005,"&lt;"&amp;DATE($F$3,13,1))&gt;0),N(基础资料!$N$18),0))</f>
        <v>0</v>
      </c>
      <c r="N44" s="22">
        <f>IF(OR(基础资料!$I$18="",基础资料!$J$18="",AND($C$3&lt;&gt;"全部",基础资料!$J$18&lt;&gt;$C$3)),0,IF(OR(N(基础资料!$O$18)=0,N(基础资料!$O$18)&lt;DATE($F$3+1,1,1),COUNTIFS(资金台帐!$B$6:$B$3005,基础资料!$I$18,资金台帐!$N$6:$N$3005,"&lt;"&amp;DATE($F$3+1,1,1))&gt;0),N(基础资料!$N$18),0))</f>
        <v>0</v>
      </c>
    </row>
    <row r="45" hidden="1">
      <c r="A45" s="22">
        <f>基础资料!$I$19&amp;""</f>
      </c>
      <c r="B45" s="22">
        <f>IF(OR(基础资料!$I$19="",基础资料!$J$19="",AND($C$3&lt;&gt;"全部",基础资料!$J$19&lt;&gt;$C$3)),0,IF(OR(N(基础资料!$O$19)=0,N(基础资料!$O$19)&lt;DATE($F$3,2,1),COUNTIFS(资金台帐!$B$6:$B$3005,基础资料!$I$19,资金台帐!$N$6:$N$3005,"&lt;"&amp;DATE($F$3,2,1))&gt;0),N(基础资料!$N$19),0))</f>
        <v>0</v>
      </c>
      <c r="C45" s="22">
        <f>IF(OR(基础资料!$I$19="",基础资料!$J$19="",AND($C$3&lt;&gt;"全部",基础资料!$J$19&lt;&gt;$C$3)),0,IF(OR(N(基础资料!$O$19)=0,N(基础资料!$O$19)&lt;DATE($F$3,3,1),COUNTIFS(资金台帐!$B$6:$B$3005,基础资料!$I$19,资金台帐!$N$6:$N$3005,"&lt;"&amp;DATE($F$3,3,1))&gt;0),N(基础资料!$N$19),0))</f>
        <v>0</v>
      </c>
      <c r="D45" s="22">
        <f>IF(OR(基础资料!$I$19="",基础资料!$J$19="",AND($C$3&lt;&gt;"全部",基础资料!$J$19&lt;&gt;$C$3)),0,IF(OR(N(基础资料!$O$19)=0,N(基础资料!$O$19)&lt;DATE($F$3,4,1),COUNTIFS(资金台帐!$B$6:$B$3005,基础资料!$I$19,资金台帐!$N$6:$N$3005,"&lt;"&amp;DATE($F$3,4,1))&gt;0),N(基础资料!$N$19),0))</f>
        <v>0</v>
      </c>
      <c r="E45" s="22">
        <f>IF(OR(基础资料!$I$19="",基础资料!$J$19="",AND($C$3&lt;&gt;"全部",基础资料!$J$19&lt;&gt;$C$3)),0,IF(OR(N(基础资料!$O$19)=0,N(基础资料!$O$19)&lt;DATE($F$3,5,1),COUNTIFS(资金台帐!$B$6:$B$3005,基础资料!$I$19,资金台帐!$N$6:$N$3005,"&lt;"&amp;DATE($F$3,5,1))&gt;0),N(基础资料!$N$19),0))</f>
        <v>0</v>
      </c>
      <c r="F45" s="22">
        <f>IF(OR(基础资料!$I$19="",基础资料!$J$19="",AND($C$3&lt;&gt;"全部",基础资料!$J$19&lt;&gt;$C$3)),0,IF(OR(N(基础资料!$O$19)=0,N(基础资料!$O$19)&lt;DATE($F$3,6,1),COUNTIFS(资金台帐!$B$6:$B$3005,基础资料!$I$19,资金台帐!$N$6:$N$3005,"&lt;"&amp;DATE($F$3,6,1))&gt;0),N(基础资料!$N$19),0))</f>
        <v>0</v>
      </c>
      <c r="G45" s="22">
        <f>IF(OR(基础资料!$I$19="",基础资料!$J$19="",AND($C$3&lt;&gt;"全部",基础资料!$J$19&lt;&gt;$C$3)),0,IF(OR(N(基础资料!$O$19)=0,N(基础资料!$O$19)&lt;DATE($F$3,7,1),COUNTIFS(资金台帐!$B$6:$B$3005,基础资料!$I$19,资金台帐!$N$6:$N$3005,"&lt;"&amp;DATE($F$3,7,1))&gt;0),N(基础资料!$N$19),0))</f>
        <v>0</v>
      </c>
      <c r="H45" s="22">
        <f>IF(OR(基础资料!$I$19="",基础资料!$J$19="",AND($C$3&lt;&gt;"全部",基础资料!$J$19&lt;&gt;$C$3)),0,IF(OR(N(基础资料!$O$19)=0,N(基础资料!$O$19)&lt;DATE($F$3,8,1),COUNTIFS(资金台帐!$B$6:$B$3005,基础资料!$I$19,资金台帐!$N$6:$N$3005,"&lt;"&amp;DATE($F$3,8,1))&gt;0),N(基础资料!$N$19),0))</f>
        <v>0</v>
      </c>
      <c r="I45" s="22">
        <f>IF(OR(基础资料!$I$19="",基础资料!$J$19="",AND($C$3&lt;&gt;"全部",基础资料!$J$19&lt;&gt;$C$3)),0,IF(OR(N(基础资料!$O$19)=0,N(基础资料!$O$19)&lt;DATE($F$3,9,1),COUNTIFS(资金台帐!$B$6:$B$3005,基础资料!$I$19,资金台帐!$N$6:$N$3005,"&lt;"&amp;DATE($F$3,9,1))&gt;0),N(基础资料!$N$19),0))</f>
        <v>0</v>
      </c>
      <c r="J45" s="22">
        <f>IF(OR(基础资料!$I$19="",基础资料!$J$19="",AND($C$3&lt;&gt;"全部",基础资料!$J$19&lt;&gt;$C$3)),0,IF(OR(N(基础资料!$O$19)=0,N(基础资料!$O$19)&lt;DATE($F$3,10,1),COUNTIFS(资金台帐!$B$6:$B$3005,基础资料!$I$19,资金台帐!$N$6:$N$3005,"&lt;"&amp;DATE($F$3,10,1))&gt;0),N(基础资料!$N$19),0))</f>
        <v>0</v>
      </c>
      <c r="K45" s="22">
        <f>IF(OR(基础资料!$I$19="",基础资料!$J$19="",AND($C$3&lt;&gt;"全部",基础资料!$J$19&lt;&gt;$C$3)),0,IF(OR(N(基础资料!$O$19)=0,N(基础资料!$O$19)&lt;DATE($F$3,11,1),COUNTIFS(资金台帐!$B$6:$B$3005,基础资料!$I$19,资金台帐!$N$6:$N$3005,"&lt;"&amp;DATE($F$3,11,1))&gt;0),N(基础资料!$N$19),0))</f>
        <v>0</v>
      </c>
      <c r="L45" s="22">
        <f>IF(OR(基础资料!$I$19="",基础资料!$J$19="",AND($C$3&lt;&gt;"全部",基础资料!$J$19&lt;&gt;$C$3)),0,IF(OR(N(基础资料!$O$19)=0,N(基础资料!$O$19)&lt;DATE($F$3,12,1),COUNTIFS(资金台帐!$B$6:$B$3005,基础资料!$I$19,资金台帐!$N$6:$N$3005,"&lt;"&amp;DATE($F$3,12,1))&gt;0),N(基础资料!$N$19),0))</f>
        <v>0</v>
      </c>
      <c r="M45" s="22">
        <f>IF(OR(基础资料!$I$19="",基础资料!$J$19="",AND($C$3&lt;&gt;"全部",基础资料!$J$19&lt;&gt;$C$3)),0,IF(OR(N(基础资料!$O$19)=0,N(基础资料!$O$19)&lt;DATE($F$3,13,1),COUNTIFS(资金台帐!$B$6:$B$3005,基础资料!$I$19,资金台帐!$N$6:$N$3005,"&lt;"&amp;DATE($F$3,13,1))&gt;0),N(基础资料!$N$19),0))</f>
        <v>0</v>
      </c>
      <c r="N45" s="22">
        <f>IF(OR(基础资料!$I$19="",基础资料!$J$19="",AND($C$3&lt;&gt;"全部",基础资料!$J$19&lt;&gt;$C$3)),0,IF(OR(N(基础资料!$O$19)=0,N(基础资料!$O$19)&lt;DATE($F$3+1,1,1),COUNTIFS(资金台帐!$B$6:$B$3005,基础资料!$I$19,资金台帐!$N$6:$N$3005,"&lt;"&amp;DATE($F$3+1,1,1))&gt;0),N(基础资料!$N$19),0))</f>
        <v>0</v>
      </c>
    </row>
    <row r="46" hidden="1">
      <c r="A46" s="22">
        <f>基础资料!$I$20&amp;""</f>
      </c>
      <c r="B46" s="22">
        <f>IF(OR(基础资料!$I$20="",基础资料!$J$20="",AND($C$3&lt;&gt;"全部",基础资料!$J$20&lt;&gt;$C$3)),0,IF(OR(N(基础资料!$O$20)=0,N(基础资料!$O$20)&lt;DATE($F$3,2,1),COUNTIFS(资金台帐!$B$6:$B$3005,基础资料!$I$20,资金台帐!$N$6:$N$3005,"&lt;"&amp;DATE($F$3,2,1))&gt;0),N(基础资料!$N$20),0))</f>
        <v>0</v>
      </c>
      <c r="C46" s="22">
        <f>IF(OR(基础资料!$I$20="",基础资料!$J$20="",AND($C$3&lt;&gt;"全部",基础资料!$J$20&lt;&gt;$C$3)),0,IF(OR(N(基础资料!$O$20)=0,N(基础资料!$O$20)&lt;DATE($F$3,3,1),COUNTIFS(资金台帐!$B$6:$B$3005,基础资料!$I$20,资金台帐!$N$6:$N$3005,"&lt;"&amp;DATE($F$3,3,1))&gt;0),N(基础资料!$N$20),0))</f>
        <v>0</v>
      </c>
      <c r="D46" s="22">
        <f>IF(OR(基础资料!$I$20="",基础资料!$J$20="",AND($C$3&lt;&gt;"全部",基础资料!$J$20&lt;&gt;$C$3)),0,IF(OR(N(基础资料!$O$20)=0,N(基础资料!$O$20)&lt;DATE($F$3,4,1),COUNTIFS(资金台帐!$B$6:$B$3005,基础资料!$I$20,资金台帐!$N$6:$N$3005,"&lt;"&amp;DATE($F$3,4,1))&gt;0),N(基础资料!$N$20),0))</f>
        <v>0</v>
      </c>
      <c r="E46" s="22">
        <f>IF(OR(基础资料!$I$20="",基础资料!$J$20="",AND($C$3&lt;&gt;"全部",基础资料!$J$20&lt;&gt;$C$3)),0,IF(OR(N(基础资料!$O$20)=0,N(基础资料!$O$20)&lt;DATE($F$3,5,1),COUNTIFS(资金台帐!$B$6:$B$3005,基础资料!$I$20,资金台帐!$N$6:$N$3005,"&lt;"&amp;DATE($F$3,5,1))&gt;0),N(基础资料!$N$20),0))</f>
        <v>0</v>
      </c>
      <c r="F46" s="22">
        <f>IF(OR(基础资料!$I$20="",基础资料!$J$20="",AND($C$3&lt;&gt;"全部",基础资料!$J$20&lt;&gt;$C$3)),0,IF(OR(N(基础资料!$O$20)=0,N(基础资料!$O$20)&lt;DATE($F$3,6,1),COUNTIFS(资金台帐!$B$6:$B$3005,基础资料!$I$20,资金台帐!$N$6:$N$3005,"&lt;"&amp;DATE($F$3,6,1))&gt;0),N(基础资料!$N$20),0))</f>
        <v>0</v>
      </c>
      <c r="G46" s="22">
        <f>IF(OR(基础资料!$I$20="",基础资料!$J$20="",AND($C$3&lt;&gt;"全部",基础资料!$J$20&lt;&gt;$C$3)),0,IF(OR(N(基础资料!$O$20)=0,N(基础资料!$O$20)&lt;DATE($F$3,7,1),COUNTIFS(资金台帐!$B$6:$B$3005,基础资料!$I$20,资金台帐!$N$6:$N$3005,"&lt;"&amp;DATE($F$3,7,1))&gt;0),N(基础资料!$N$20),0))</f>
        <v>0</v>
      </c>
      <c r="H46" s="22">
        <f>IF(OR(基础资料!$I$20="",基础资料!$J$20="",AND($C$3&lt;&gt;"全部",基础资料!$J$20&lt;&gt;$C$3)),0,IF(OR(N(基础资料!$O$20)=0,N(基础资料!$O$20)&lt;DATE($F$3,8,1),COUNTIFS(资金台帐!$B$6:$B$3005,基础资料!$I$20,资金台帐!$N$6:$N$3005,"&lt;"&amp;DATE($F$3,8,1))&gt;0),N(基础资料!$N$20),0))</f>
        <v>0</v>
      </c>
      <c r="I46" s="22">
        <f>IF(OR(基础资料!$I$20="",基础资料!$J$20="",AND($C$3&lt;&gt;"全部",基础资料!$J$20&lt;&gt;$C$3)),0,IF(OR(N(基础资料!$O$20)=0,N(基础资料!$O$20)&lt;DATE($F$3,9,1),COUNTIFS(资金台帐!$B$6:$B$3005,基础资料!$I$20,资金台帐!$N$6:$N$3005,"&lt;"&amp;DATE($F$3,9,1))&gt;0),N(基础资料!$N$20),0))</f>
        <v>0</v>
      </c>
      <c r="J46" s="22">
        <f>IF(OR(基础资料!$I$20="",基础资料!$J$20="",AND($C$3&lt;&gt;"全部",基础资料!$J$20&lt;&gt;$C$3)),0,IF(OR(N(基础资料!$O$20)=0,N(基础资料!$O$20)&lt;DATE($F$3,10,1),COUNTIFS(资金台帐!$B$6:$B$3005,基础资料!$I$20,资金台帐!$N$6:$N$3005,"&lt;"&amp;DATE($F$3,10,1))&gt;0),N(基础资料!$N$20),0))</f>
        <v>0</v>
      </c>
      <c r="K46" s="22">
        <f>IF(OR(基础资料!$I$20="",基础资料!$J$20="",AND($C$3&lt;&gt;"全部",基础资料!$J$20&lt;&gt;$C$3)),0,IF(OR(N(基础资料!$O$20)=0,N(基础资料!$O$20)&lt;DATE($F$3,11,1),COUNTIFS(资金台帐!$B$6:$B$3005,基础资料!$I$20,资金台帐!$N$6:$N$3005,"&lt;"&amp;DATE($F$3,11,1))&gt;0),N(基础资料!$N$20),0))</f>
        <v>0</v>
      </c>
      <c r="L46" s="22">
        <f>IF(OR(基础资料!$I$20="",基础资料!$J$20="",AND($C$3&lt;&gt;"全部",基础资料!$J$20&lt;&gt;$C$3)),0,IF(OR(N(基础资料!$O$20)=0,N(基础资料!$O$20)&lt;DATE($F$3,12,1),COUNTIFS(资金台帐!$B$6:$B$3005,基础资料!$I$20,资金台帐!$N$6:$N$3005,"&lt;"&amp;DATE($F$3,12,1))&gt;0),N(基础资料!$N$20),0))</f>
        <v>0</v>
      </c>
      <c r="M46" s="22">
        <f>IF(OR(基础资料!$I$20="",基础资料!$J$20="",AND($C$3&lt;&gt;"全部",基础资料!$J$20&lt;&gt;$C$3)),0,IF(OR(N(基础资料!$O$20)=0,N(基础资料!$O$20)&lt;DATE($F$3,13,1),COUNTIFS(资金台帐!$B$6:$B$3005,基础资料!$I$20,资金台帐!$N$6:$N$3005,"&lt;"&amp;DATE($F$3,13,1))&gt;0),N(基础资料!$N$20),0))</f>
        <v>0</v>
      </c>
      <c r="N46" s="22">
        <f>IF(OR(基础资料!$I$20="",基础资料!$J$20="",AND($C$3&lt;&gt;"全部",基础资料!$J$20&lt;&gt;$C$3)),0,IF(OR(N(基础资料!$O$20)=0,N(基础资料!$O$20)&lt;DATE($F$3+1,1,1),COUNTIFS(资金台帐!$B$6:$B$3005,基础资料!$I$20,资金台帐!$N$6:$N$3005,"&lt;"&amp;DATE($F$3+1,1,1))&gt;0),N(基础资料!$N$20),0))</f>
        <v>0</v>
      </c>
    </row>
    <row r="47" hidden="1">
      <c r="A47" s="22">
        <f>基础资料!$I$21&amp;""</f>
      </c>
      <c r="B47" s="22">
        <f>IF(OR(基础资料!$I$21="",基础资料!$J$21="",AND($C$3&lt;&gt;"全部",基础资料!$J$21&lt;&gt;$C$3)),0,IF(OR(N(基础资料!$O$21)=0,N(基础资料!$O$21)&lt;DATE($F$3,2,1),COUNTIFS(资金台帐!$B$6:$B$3005,基础资料!$I$21,资金台帐!$N$6:$N$3005,"&lt;"&amp;DATE($F$3,2,1))&gt;0),N(基础资料!$N$21),0))</f>
        <v>0</v>
      </c>
      <c r="C47" s="22">
        <f>IF(OR(基础资料!$I$21="",基础资料!$J$21="",AND($C$3&lt;&gt;"全部",基础资料!$J$21&lt;&gt;$C$3)),0,IF(OR(N(基础资料!$O$21)=0,N(基础资料!$O$21)&lt;DATE($F$3,3,1),COUNTIFS(资金台帐!$B$6:$B$3005,基础资料!$I$21,资金台帐!$N$6:$N$3005,"&lt;"&amp;DATE($F$3,3,1))&gt;0),N(基础资料!$N$21),0))</f>
        <v>0</v>
      </c>
      <c r="D47" s="22">
        <f>IF(OR(基础资料!$I$21="",基础资料!$J$21="",AND($C$3&lt;&gt;"全部",基础资料!$J$21&lt;&gt;$C$3)),0,IF(OR(N(基础资料!$O$21)=0,N(基础资料!$O$21)&lt;DATE($F$3,4,1),COUNTIFS(资金台帐!$B$6:$B$3005,基础资料!$I$21,资金台帐!$N$6:$N$3005,"&lt;"&amp;DATE($F$3,4,1))&gt;0),N(基础资料!$N$21),0))</f>
        <v>0</v>
      </c>
      <c r="E47" s="22">
        <f>IF(OR(基础资料!$I$21="",基础资料!$J$21="",AND($C$3&lt;&gt;"全部",基础资料!$J$21&lt;&gt;$C$3)),0,IF(OR(N(基础资料!$O$21)=0,N(基础资料!$O$21)&lt;DATE($F$3,5,1),COUNTIFS(资金台帐!$B$6:$B$3005,基础资料!$I$21,资金台帐!$N$6:$N$3005,"&lt;"&amp;DATE($F$3,5,1))&gt;0),N(基础资料!$N$21),0))</f>
        <v>0</v>
      </c>
      <c r="F47" s="22">
        <f>IF(OR(基础资料!$I$21="",基础资料!$J$21="",AND($C$3&lt;&gt;"全部",基础资料!$J$21&lt;&gt;$C$3)),0,IF(OR(N(基础资料!$O$21)=0,N(基础资料!$O$21)&lt;DATE($F$3,6,1),COUNTIFS(资金台帐!$B$6:$B$3005,基础资料!$I$21,资金台帐!$N$6:$N$3005,"&lt;"&amp;DATE($F$3,6,1))&gt;0),N(基础资料!$N$21),0))</f>
        <v>0</v>
      </c>
      <c r="G47" s="22">
        <f>IF(OR(基础资料!$I$21="",基础资料!$J$21="",AND($C$3&lt;&gt;"全部",基础资料!$J$21&lt;&gt;$C$3)),0,IF(OR(N(基础资料!$O$21)=0,N(基础资料!$O$21)&lt;DATE($F$3,7,1),COUNTIFS(资金台帐!$B$6:$B$3005,基础资料!$I$21,资金台帐!$N$6:$N$3005,"&lt;"&amp;DATE($F$3,7,1))&gt;0),N(基础资料!$N$21),0))</f>
        <v>0</v>
      </c>
      <c r="H47" s="22">
        <f>IF(OR(基础资料!$I$21="",基础资料!$J$21="",AND($C$3&lt;&gt;"全部",基础资料!$J$21&lt;&gt;$C$3)),0,IF(OR(N(基础资料!$O$21)=0,N(基础资料!$O$21)&lt;DATE($F$3,8,1),COUNTIFS(资金台帐!$B$6:$B$3005,基础资料!$I$21,资金台帐!$N$6:$N$3005,"&lt;"&amp;DATE($F$3,8,1))&gt;0),N(基础资料!$N$21),0))</f>
        <v>0</v>
      </c>
      <c r="I47" s="22">
        <f>IF(OR(基础资料!$I$21="",基础资料!$J$21="",AND($C$3&lt;&gt;"全部",基础资料!$J$21&lt;&gt;$C$3)),0,IF(OR(N(基础资料!$O$21)=0,N(基础资料!$O$21)&lt;DATE($F$3,9,1),COUNTIFS(资金台帐!$B$6:$B$3005,基础资料!$I$21,资金台帐!$N$6:$N$3005,"&lt;"&amp;DATE($F$3,9,1))&gt;0),N(基础资料!$N$21),0))</f>
        <v>0</v>
      </c>
      <c r="J47" s="22">
        <f>IF(OR(基础资料!$I$21="",基础资料!$J$21="",AND($C$3&lt;&gt;"全部",基础资料!$J$21&lt;&gt;$C$3)),0,IF(OR(N(基础资料!$O$21)=0,N(基础资料!$O$21)&lt;DATE($F$3,10,1),COUNTIFS(资金台帐!$B$6:$B$3005,基础资料!$I$21,资金台帐!$N$6:$N$3005,"&lt;"&amp;DATE($F$3,10,1))&gt;0),N(基础资料!$N$21),0))</f>
        <v>0</v>
      </c>
      <c r="K47" s="22">
        <f>IF(OR(基础资料!$I$21="",基础资料!$J$21="",AND($C$3&lt;&gt;"全部",基础资料!$J$21&lt;&gt;$C$3)),0,IF(OR(N(基础资料!$O$21)=0,N(基础资料!$O$21)&lt;DATE($F$3,11,1),COUNTIFS(资金台帐!$B$6:$B$3005,基础资料!$I$21,资金台帐!$N$6:$N$3005,"&lt;"&amp;DATE($F$3,11,1))&gt;0),N(基础资料!$N$21),0))</f>
        <v>0</v>
      </c>
      <c r="L47" s="22">
        <f>IF(OR(基础资料!$I$21="",基础资料!$J$21="",AND($C$3&lt;&gt;"全部",基础资料!$J$21&lt;&gt;$C$3)),0,IF(OR(N(基础资料!$O$21)=0,N(基础资料!$O$21)&lt;DATE($F$3,12,1),COUNTIFS(资金台帐!$B$6:$B$3005,基础资料!$I$21,资金台帐!$N$6:$N$3005,"&lt;"&amp;DATE($F$3,12,1))&gt;0),N(基础资料!$N$21),0))</f>
        <v>0</v>
      </c>
      <c r="M47" s="22">
        <f>IF(OR(基础资料!$I$21="",基础资料!$J$21="",AND($C$3&lt;&gt;"全部",基础资料!$J$21&lt;&gt;$C$3)),0,IF(OR(N(基础资料!$O$21)=0,N(基础资料!$O$21)&lt;DATE($F$3,13,1),COUNTIFS(资金台帐!$B$6:$B$3005,基础资料!$I$21,资金台帐!$N$6:$N$3005,"&lt;"&amp;DATE($F$3,13,1))&gt;0),N(基础资料!$N$21),0))</f>
        <v>0</v>
      </c>
      <c r="N47" s="22">
        <f>IF(OR(基础资料!$I$21="",基础资料!$J$21="",AND($C$3&lt;&gt;"全部",基础资料!$J$21&lt;&gt;$C$3)),0,IF(OR(N(基础资料!$O$21)=0,N(基础资料!$O$21)&lt;DATE($F$3+1,1,1),COUNTIFS(资金台帐!$B$6:$B$3005,基础资料!$I$21,资金台帐!$N$6:$N$3005,"&lt;"&amp;DATE($F$3+1,1,1))&gt;0),N(基础资料!$N$21),0))</f>
        <v>0</v>
      </c>
    </row>
    <row r="48" hidden="1">
      <c r="A48" s="22">
        <f>基础资料!$I$22&amp;""</f>
      </c>
      <c r="B48" s="22">
        <f>IF(OR(基础资料!$I$22="",基础资料!$J$22="",AND($C$3&lt;&gt;"全部",基础资料!$J$22&lt;&gt;$C$3)),0,IF(OR(N(基础资料!$O$22)=0,N(基础资料!$O$22)&lt;DATE($F$3,2,1),COUNTIFS(资金台帐!$B$6:$B$3005,基础资料!$I$22,资金台帐!$N$6:$N$3005,"&lt;"&amp;DATE($F$3,2,1))&gt;0),N(基础资料!$N$22),0))</f>
        <v>0</v>
      </c>
      <c r="C48" s="22">
        <f>IF(OR(基础资料!$I$22="",基础资料!$J$22="",AND($C$3&lt;&gt;"全部",基础资料!$J$22&lt;&gt;$C$3)),0,IF(OR(N(基础资料!$O$22)=0,N(基础资料!$O$22)&lt;DATE($F$3,3,1),COUNTIFS(资金台帐!$B$6:$B$3005,基础资料!$I$22,资金台帐!$N$6:$N$3005,"&lt;"&amp;DATE($F$3,3,1))&gt;0),N(基础资料!$N$22),0))</f>
        <v>0</v>
      </c>
      <c r="D48" s="22">
        <f>IF(OR(基础资料!$I$22="",基础资料!$J$22="",AND($C$3&lt;&gt;"全部",基础资料!$J$22&lt;&gt;$C$3)),0,IF(OR(N(基础资料!$O$22)=0,N(基础资料!$O$22)&lt;DATE($F$3,4,1),COUNTIFS(资金台帐!$B$6:$B$3005,基础资料!$I$22,资金台帐!$N$6:$N$3005,"&lt;"&amp;DATE($F$3,4,1))&gt;0),N(基础资料!$N$22),0))</f>
        <v>0</v>
      </c>
      <c r="E48" s="22">
        <f>IF(OR(基础资料!$I$22="",基础资料!$J$22="",AND($C$3&lt;&gt;"全部",基础资料!$J$22&lt;&gt;$C$3)),0,IF(OR(N(基础资料!$O$22)=0,N(基础资料!$O$22)&lt;DATE($F$3,5,1),COUNTIFS(资金台帐!$B$6:$B$3005,基础资料!$I$22,资金台帐!$N$6:$N$3005,"&lt;"&amp;DATE($F$3,5,1))&gt;0),N(基础资料!$N$22),0))</f>
        <v>0</v>
      </c>
      <c r="F48" s="22">
        <f>IF(OR(基础资料!$I$22="",基础资料!$J$22="",AND($C$3&lt;&gt;"全部",基础资料!$J$22&lt;&gt;$C$3)),0,IF(OR(N(基础资料!$O$22)=0,N(基础资料!$O$22)&lt;DATE($F$3,6,1),COUNTIFS(资金台帐!$B$6:$B$3005,基础资料!$I$22,资金台帐!$N$6:$N$3005,"&lt;"&amp;DATE($F$3,6,1))&gt;0),N(基础资料!$N$22),0))</f>
        <v>0</v>
      </c>
      <c r="G48" s="22">
        <f>IF(OR(基础资料!$I$22="",基础资料!$J$22="",AND($C$3&lt;&gt;"全部",基础资料!$J$22&lt;&gt;$C$3)),0,IF(OR(N(基础资料!$O$22)=0,N(基础资料!$O$22)&lt;DATE($F$3,7,1),COUNTIFS(资金台帐!$B$6:$B$3005,基础资料!$I$22,资金台帐!$N$6:$N$3005,"&lt;"&amp;DATE($F$3,7,1))&gt;0),N(基础资料!$N$22),0))</f>
        <v>0</v>
      </c>
      <c r="H48" s="22">
        <f>IF(OR(基础资料!$I$22="",基础资料!$J$22="",AND($C$3&lt;&gt;"全部",基础资料!$J$22&lt;&gt;$C$3)),0,IF(OR(N(基础资料!$O$22)=0,N(基础资料!$O$22)&lt;DATE($F$3,8,1),COUNTIFS(资金台帐!$B$6:$B$3005,基础资料!$I$22,资金台帐!$N$6:$N$3005,"&lt;"&amp;DATE($F$3,8,1))&gt;0),N(基础资料!$N$22),0))</f>
        <v>0</v>
      </c>
      <c r="I48" s="22">
        <f>IF(OR(基础资料!$I$22="",基础资料!$J$22="",AND($C$3&lt;&gt;"全部",基础资料!$J$22&lt;&gt;$C$3)),0,IF(OR(N(基础资料!$O$22)=0,N(基础资料!$O$22)&lt;DATE($F$3,9,1),COUNTIFS(资金台帐!$B$6:$B$3005,基础资料!$I$22,资金台帐!$N$6:$N$3005,"&lt;"&amp;DATE($F$3,9,1))&gt;0),N(基础资料!$N$22),0))</f>
        <v>0</v>
      </c>
      <c r="J48" s="22">
        <f>IF(OR(基础资料!$I$22="",基础资料!$J$22="",AND($C$3&lt;&gt;"全部",基础资料!$J$22&lt;&gt;$C$3)),0,IF(OR(N(基础资料!$O$22)=0,N(基础资料!$O$22)&lt;DATE($F$3,10,1),COUNTIFS(资金台帐!$B$6:$B$3005,基础资料!$I$22,资金台帐!$N$6:$N$3005,"&lt;"&amp;DATE($F$3,10,1))&gt;0),N(基础资料!$N$22),0))</f>
        <v>0</v>
      </c>
      <c r="K48" s="22">
        <f>IF(OR(基础资料!$I$22="",基础资料!$J$22="",AND($C$3&lt;&gt;"全部",基础资料!$J$22&lt;&gt;$C$3)),0,IF(OR(N(基础资料!$O$22)=0,N(基础资料!$O$22)&lt;DATE($F$3,11,1),COUNTIFS(资金台帐!$B$6:$B$3005,基础资料!$I$22,资金台帐!$N$6:$N$3005,"&lt;"&amp;DATE($F$3,11,1))&gt;0),N(基础资料!$N$22),0))</f>
        <v>0</v>
      </c>
      <c r="L48" s="22">
        <f>IF(OR(基础资料!$I$22="",基础资料!$J$22="",AND($C$3&lt;&gt;"全部",基础资料!$J$22&lt;&gt;$C$3)),0,IF(OR(N(基础资料!$O$22)=0,N(基础资料!$O$22)&lt;DATE($F$3,12,1),COUNTIFS(资金台帐!$B$6:$B$3005,基础资料!$I$22,资金台帐!$N$6:$N$3005,"&lt;"&amp;DATE($F$3,12,1))&gt;0),N(基础资料!$N$22),0))</f>
        <v>0</v>
      </c>
      <c r="M48" s="22">
        <f>IF(OR(基础资料!$I$22="",基础资料!$J$22="",AND($C$3&lt;&gt;"全部",基础资料!$J$22&lt;&gt;$C$3)),0,IF(OR(N(基础资料!$O$22)=0,N(基础资料!$O$22)&lt;DATE($F$3,13,1),COUNTIFS(资金台帐!$B$6:$B$3005,基础资料!$I$22,资金台帐!$N$6:$N$3005,"&lt;"&amp;DATE($F$3,13,1))&gt;0),N(基础资料!$N$22),0))</f>
        <v>0</v>
      </c>
      <c r="N48" s="22">
        <f>IF(OR(基础资料!$I$22="",基础资料!$J$22="",AND($C$3&lt;&gt;"全部",基础资料!$J$22&lt;&gt;$C$3)),0,IF(OR(N(基础资料!$O$22)=0,N(基础资料!$O$22)&lt;DATE($F$3+1,1,1),COUNTIFS(资金台帐!$B$6:$B$3005,基础资料!$I$22,资金台帐!$N$6:$N$3005,"&lt;"&amp;DATE($F$3+1,1,1))&gt;0),N(基础资料!$N$22),0))</f>
        <v>0</v>
      </c>
    </row>
    <row r="49" hidden="1">
      <c r="A49" s="22">
        <f>基础资料!$I$23&amp;""</f>
      </c>
      <c r="B49" s="22">
        <f>IF(OR(基础资料!$I$23="",基础资料!$J$23="",AND($C$3&lt;&gt;"全部",基础资料!$J$23&lt;&gt;$C$3)),0,IF(OR(N(基础资料!$O$23)=0,N(基础资料!$O$23)&lt;DATE($F$3,2,1),COUNTIFS(资金台帐!$B$6:$B$3005,基础资料!$I$23,资金台帐!$N$6:$N$3005,"&lt;"&amp;DATE($F$3,2,1))&gt;0),N(基础资料!$N$23),0))</f>
        <v>0</v>
      </c>
      <c r="C49" s="22">
        <f>IF(OR(基础资料!$I$23="",基础资料!$J$23="",AND($C$3&lt;&gt;"全部",基础资料!$J$23&lt;&gt;$C$3)),0,IF(OR(N(基础资料!$O$23)=0,N(基础资料!$O$23)&lt;DATE($F$3,3,1),COUNTIFS(资金台帐!$B$6:$B$3005,基础资料!$I$23,资金台帐!$N$6:$N$3005,"&lt;"&amp;DATE($F$3,3,1))&gt;0),N(基础资料!$N$23),0))</f>
        <v>0</v>
      </c>
      <c r="D49" s="22">
        <f>IF(OR(基础资料!$I$23="",基础资料!$J$23="",AND($C$3&lt;&gt;"全部",基础资料!$J$23&lt;&gt;$C$3)),0,IF(OR(N(基础资料!$O$23)=0,N(基础资料!$O$23)&lt;DATE($F$3,4,1),COUNTIFS(资金台帐!$B$6:$B$3005,基础资料!$I$23,资金台帐!$N$6:$N$3005,"&lt;"&amp;DATE($F$3,4,1))&gt;0),N(基础资料!$N$23),0))</f>
        <v>0</v>
      </c>
      <c r="E49" s="22">
        <f>IF(OR(基础资料!$I$23="",基础资料!$J$23="",AND($C$3&lt;&gt;"全部",基础资料!$J$23&lt;&gt;$C$3)),0,IF(OR(N(基础资料!$O$23)=0,N(基础资料!$O$23)&lt;DATE($F$3,5,1),COUNTIFS(资金台帐!$B$6:$B$3005,基础资料!$I$23,资金台帐!$N$6:$N$3005,"&lt;"&amp;DATE($F$3,5,1))&gt;0),N(基础资料!$N$23),0))</f>
        <v>0</v>
      </c>
      <c r="F49" s="22">
        <f>IF(OR(基础资料!$I$23="",基础资料!$J$23="",AND($C$3&lt;&gt;"全部",基础资料!$J$23&lt;&gt;$C$3)),0,IF(OR(N(基础资料!$O$23)=0,N(基础资料!$O$23)&lt;DATE($F$3,6,1),COUNTIFS(资金台帐!$B$6:$B$3005,基础资料!$I$23,资金台帐!$N$6:$N$3005,"&lt;"&amp;DATE($F$3,6,1))&gt;0),N(基础资料!$N$23),0))</f>
        <v>0</v>
      </c>
      <c r="G49" s="22">
        <f>IF(OR(基础资料!$I$23="",基础资料!$J$23="",AND($C$3&lt;&gt;"全部",基础资料!$J$23&lt;&gt;$C$3)),0,IF(OR(N(基础资料!$O$23)=0,N(基础资料!$O$23)&lt;DATE($F$3,7,1),COUNTIFS(资金台帐!$B$6:$B$3005,基础资料!$I$23,资金台帐!$N$6:$N$3005,"&lt;"&amp;DATE($F$3,7,1))&gt;0),N(基础资料!$N$23),0))</f>
        <v>0</v>
      </c>
      <c r="H49" s="22">
        <f>IF(OR(基础资料!$I$23="",基础资料!$J$23="",AND($C$3&lt;&gt;"全部",基础资料!$J$23&lt;&gt;$C$3)),0,IF(OR(N(基础资料!$O$23)=0,N(基础资料!$O$23)&lt;DATE($F$3,8,1),COUNTIFS(资金台帐!$B$6:$B$3005,基础资料!$I$23,资金台帐!$N$6:$N$3005,"&lt;"&amp;DATE($F$3,8,1))&gt;0),N(基础资料!$N$23),0))</f>
        <v>0</v>
      </c>
      <c r="I49" s="22">
        <f>IF(OR(基础资料!$I$23="",基础资料!$J$23="",AND($C$3&lt;&gt;"全部",基础资料!$J$23&lt;&gt;$C$3)),0,IF(OR(N(基础资料!$O$23)=0,N(基础资料!$O$23)&lt;DATE($F$3,9,1),COUNTIFS(资金台帐!$B$6:$B$3005,基础资料!$I$23,资金台帐!$N$6:$N$3005,"&lt;"&amp;DATE($F$3,9,1))&gt;0),N(基础资料!$N$23),0))</f>
        <v>0</v>
      </c>
      <c r="J49" s="22">
        <f>IF(OR(基础资料!$I$23="",基础资料!$J$23="",AND($C$3&lt;&gt;"全部",基础资料!$J$23&lt;&gt;$C$3)),0,IF(OR(N(基础资料!$O$23)=0,N(基础资料!$O$23)&lt;DATE($F$3,10,1),COUNTIFS(资金台帐!$B$6:$B$3005,基础资料!$I$23,资金台帐!$N$6:$N$3005,"&lt;"&amp;DATE($F$3,10,1))&gt;0),N(基础资料!$N$23),0))</f>
        <v>0</v>
      </c>
      <c r="K49" s="22">
        <f>IF(OR(基础资料!$I$23="",基础资料!$J$23="",AND($C$3&lt;&gt;"全部",基础资料!$J$23&lt;&gt;$C$3)),0,IF(OR(N(基础资料!$O$23)=0,N(基础资料!$O$23)&lt;DATE($F$3,11,1),COUNTIFS(资金台帐!$B$6:$B$3005,基础资料!$I$23,资金台帐!$N$6:$N$3005,"&lt;"&amp;DATE($F$3,11,1))&gt;0),N(基础资料!$N$23),0))</f>
        <v>0</v>
      </c>
      <c r="L49" s="22">
        <f>IF(OR(基础资料!$I$23="",基础资料!$J$23="",AND($C$3&lt;&gt;"全部",基础资料!$J$23&lt;&gt;$C$3)),0,IF(OR(N(基础资料!$O$23)=0,N(基础资料!$O$23)&lt;DATE($F$3,12,1),COUNTIFS(资金台帐!$B$6:$B$3005,基础资料!$I$23,资金台帐!$N$6:$N$3005,"&lt;"&amp;DATE($F$3,12,1))&gt;0),N(基础资料!$N$23),0))</f>
        <v>0</v>
      </c>
      <c r="M49" s="22">
        <f>IF(OR(基础资料!$I$23="",基础资料!$J$23="",AND($C$3&lt;&gt;"全部",基础资料!$J$23&lt;&gt;$C$3)),0,IF(OR(N(基础资料!$O$23)=0,N(基础资料!$O$23)&lt;DATE($F$3,13,1),COUNTIFS(资金台帐!$B$6:$B$3005,基础资料!$I$23,资金台帐!$N$6:$N$3005,"&lt;"&amp;DATE($F$3,13,1))&gt;0),N(基础资料!$N$23),0))</f>
        <v>0</v>
      </c>
      <c r="N49" s="22">
        <f>IF(OR(基础资料!$I$23="",基础资料!$J$23="",AND($C$3&lt;&gt;"全部",基础资料!$J$23&lt;&gt;$C$3)),0,IF(OR(N(基础资料!$O$23)=0,N(基础资料!$O$23)&lt;DATE($F$3+1,1,1),COUNTIFS(资金台帐!$B$6:$B$3005,基础资料!$I$23,资金台帐!$N$6:$N$3005,"&lt;"&amp;DATE($F$3+1,1,1))&gt;0),N(基础资料!$N$23),0))</f>
        <v>0</v>
      </c>
    </row>
    <row r="50" hidden="1">
      <c r="A50" s="22">
        <f>基础资料!$I$24&amp;""</f>
      </c>
      <c r="B50" s="22">
        <f>IF(OR(基础资料!$I$24="",基础资料!$J$24="",AND($C$3&lt;&gt;"全部",基础资料!$J$24&lt;&gt;$C$3)),0,IF(OR(N(基础资料!$O$24)=0,N(基础资料!$O$24)&lt;DATE($F$3,2,1),COUNTIFS(资金台帐!$B$6:$B$3005,基础资料!$I$24,资金台帐!$N$6:$N$3005,"&lt;"&amp;DATE($F$3,2,1))&gt;0),N(基础资料!$N$24),0))</f>
        <v>0</v>
      </c>
      <c r="C50" s="22">
        <f>IF(OR(基础资料!$I$24="",基础资料!$J$24="",AND($C$3&lt;&gt;"全部",基础资料!$J$24&lt;&gt;$C$3)),0,IF(OR(N(基础资料!$O$24)=0,N(基础资料!$O$24)&lt;DATE($F$3,3,1),COUNTIFS(资金台帐!$B$6:$B$3005,基础资料!$I$24,资金台帐!$N$6:$N$3005,"&lt;"&amp;DATE($F$3,3,1))&gt;0),N(基础资料!$N$24),0))</f>
        <v>0</v>
      </c>
      <c r="D50" s="22">
        <f>IF(OR(基础资料!$I$24="",基础资料!$J$24="",AND($C$3&lt;&gt;"全部",基础资料!$J$24&lt;&gt;$C$3)),0,IF(OR(N(基础资料!$O$24)=0,N(基础资料!$O$24)&lt;DATE($F$3,4,1),COUNTIFS(资金台帐!$B$6:$B$3005,基础资料!$I$24,资金台帐!$N$6:$N$3005,"&lt;"&amp;DATE($F$3,4,1))&gt;0),N(基础资料!$N$24),0))</f>
        <v>0</v>
      </c>
      <c r="E50" s="22">
        <f>IF(OR(基础资料!$I$24="",基础资料!$J$24="",AND($C$3&lt;&gt;"全部",基础资料!$J$24&lt;&gt;$C$3)),0,IF(OR(N(基础资料!$O$24)=0,N(基础资料!$O$24)&lt;DATE($F$3,5,1),COUNTIFS(资金台帐!$B$6:$B$3005,基础资料!$I$24,资金台帐!$N$6:$N$3005,"&lt;"&amp;DATE($F$3,5,1))&gt;0),N(基础资料!$N$24),0))</f>
        <v>0</v>
      </c>
      <c r="F50" s="22">
        <f>IF(OR(基础资料!$I$24="",基础资料!$J$24="",AND($C$3&lt;&gt;"全部",基础资料!$J$24&lt;&gt;$C$3)),0,IF(OR(N(基础资料!$O$24)=0,N(基础资料!$O$24)&lt;DATE($F$3,6,1),COUNTIFS(资金台帐!$B$6:$B$3005,基础资料!$I$24,资金台帐!$N$6:$N$3005,"&lt;"&amp;DATE($F$3,6,1))&gt;0),N(基础资料!$N$24),0))</f>
        <v>0</v>
      </c>
      <c r="G50" s="22">
        <f>IF(OR(基础资料!$I$24="",基础资料!$J$24="",AND($C$3&lt;&gt;"全部",基础资料!$J$24&lt;&gt;$C$3)),0,IF(OR(N(基础资料!$O$24)=0,N(基础资料!$O$24)&lt;DATE($F$3,7,1),COUNTIFS(资金台帐!$B$6:$B$3005,基础资料!$I$24,资金台帐!$N$6:$N$3005,"&lt;"&amp;DATE($F$3,7,1))&gt;0),N(基础资料!$N$24),0))</f>
        <v>0</v>
      </c>
      <c r="H50" s="22">
        <f>IF(OR(基础资料!$I$24="",基础资料!$J$24="",AND($C$3&lt;&gt;"全部",基础资料!$J$24&lt;&gt;$C$3)),0,IF(OR(N(基础资料!$O$24)=0,N(基础资料!$O$24)&lt;DATE($F$3,8,1),COUNTIFS(资金台帐!$B$6:$B$3005,基础资料!$I$24,资金台帐!$N$6:$N$3005,"&lt;"&amp;DATE($F$3,8,1))&gt;0),N(基础资料!$N$24),0))</f>
        <v>0</v>
      </c>
      <c r="I50" s="22">
        <f>IF(OR(基础资料!$I$24="",基础资料!$J$24="",AND($C$3&lt;&gt;"全部",基础资料!$J$24&lt;&gt;$C$3)),0,IF(OR(N(基础资料!$O$24)=0,N(基础资料!$O$24)&lt;DATE($F$3,9,1),COUNTIFS(资金台帐!$B$6:$B$3005,基础资料!$I$24,资金台帐!$N$6:$N$3005,"&lt;"&amp;DATE($F$3,9,1))&gt;0),N(基础资料!$N$24),0))</f>
        <v>0</v>
      </c>
      <c r="J50" s="22">
        <f>IF(OR(基础资料!$I$24="",基础资料!$J$24="",AND($C$3&lt;&gt;"全部",基础资料!$J$24&lt;&gt;$C$3)),0,IF(OR(N(基础资料!$O$24)=0,N(基础资料!$O$24)&lt;DATE($F$3,10,1),COUNTIFS(资金台帐!$B$6:$B$3005,基础资料!$I$24,资金台帐!$N$6:$N$3005,"&lt;"&amp;DATE($F$3,10,1))&gt;0),N(基础资料!$N$24),0))</f>
        <v>0</v>
      </c>
      <c r="K50" s="22">
        <f>IF(OR(基础资料!$I$24="",基础资料!$J$24="",AND($C$3&lt;&gt;"全部",基础资料!$J$24&lt;&gt;$C$3)),0,IF(OR(N(基础资料!$O$24)=0,N(基础资料!$O$24)&lt;DATE($F$3,11,1),COUNTIFS(资金台帐!$B$6:$B$3005,基础资料!$I$24,资金台帐!$N$6:$N$3005,"&lt;"&amp;DATE($F$3,11,1))&gt;0),N(基础资料!$N$24),0))</f>
        <v>0</v>
      </c>
      <c r="L50" s="22">
        <f>IF(OR(基础资料!$I$24="",基础资料!$J$24="",AND($C$3&lt;&gt;"全部",基础资料!$J$24&lt;&gt;$C$3)),0,IF(OR(N(基础资料!$O$24)=0,N(基础资料!$O$24)&lt;DATE($F$3,12,1),COUNTIFS(资金台帐!$B$6:$B$3005,基础资料!$I$24,资金台帐!$N$6:$N$3005,"&lt;"&amp;DATE($F$3,12,1))&gt;0),N(基础资料!$N$24),0))</f>
        <v>0</v>
      </c>
      <c r="M50" s="22">
        <f>IF(OR(基础资料!$I$24="",基础资料!$J$24="",AND($C$3&lt;&gt;"全部",基础资料!$J$24&lt;&gt;$C$3)),0,IF(OR(N(基础资料!$O$24)=0,N(基础资料!$O$24)&lt;DATE($F$3,13,1),COUNTIFS(资金台帐!$B$6:$B$3005,基础资料!$I$24,资金台帐!$N$6:$N$3005,"&lt;"&amp;DATE($F$3,13,1))&gt;0),N(基础资料!$N$24),0))</f>
        <v>0</v>
      </c>
      <c r="N50" s="22">
        <f>IF(OR(基础资料!$I$24="",基础资料!$J$24="",AND($C$3&lt;&gt;"全部",基础资料!$J$24&lt;&gt;$C$3)),0,IF(OR(N(基础资料!$O$24)=0,N(基础资料!$O$24)&lt;DATE($F$3+1,1,1),COUNTIFS(资金台帐!$B$6:$B$3005,基础资料!$I$24,资金台帐!$N$6:$N$3005,"&lt;"&amp;DATE($F$3+1,1,1))&gt;0),N(基础资料!$N$24),0))</f>
        <v>0</v>
      </c>
    </row>
  </sheetData>
  <mergeCells count="2">
    <mergeCell ref="A2:N2"/>
    <mergeCell ref="A1:N1"/>
  </mergeCells>
  <dataValidations count="2">
    <dataValidation sqref="C3" showDropDown="0" showInputMessage="1" showErrorMessage="0" allowBlank="1" promptTitle="提示" prompt="选一家公司，或「全部」" type="list">
      <formula1>=_辅助!$A$1:$A$9</formula1>
    </dataValidation>
    <dataValidation sqref="F3" showDropDown="0" showInputMessage="0" showErrorMessage="0" allowBlank="1" type="list">
      <formula1>"2024,2025,2026,2027,2028,2029,2030"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M37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8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6" customWidth="1" min="11" max="11"/>
  </cols>
  <sheetData>
    <row r="1" ht="33" customHeight="1">
      <c r="A1" s="20" t="inlineStr">
        <is>
          <t>资 金 余 额 表（每个账户 · 期初 ＋ 收 − 支 ＝ 期末）</t>
        </is>
      </c>
    </row>
    <row r="2" ht="38" customHeight="1">
      <c r="A2" s="2" t="inlineStr">
        <is>
          <t>💡 选公司和起止日期（不填＝不限）。期初＝建账期初余额 ＋ 起始日之前的收支（起止日期中间才建账的账户，期初就是建账余额）。「银行核对」看资金台帐里带了银行余额的行：算出来的即时余额跟银行给的对不上的有几笔。下面按公司合计。</t>
        </is>
      </c>
    </row>
    <row r="3">
      <c r="B3" s="3" t="inlineStr">
        <is>
          <t>公司</t>
        </is>
      </c>
      <c r="C3" s="6" t="inlineStr">
        <is>
          <t>全部</t>
        </is>
      </c>
      <c r="E3" s="3" t="inlineStr">
        <is>
          <t>起始日</t>
        </is>
      </c>
      <c r="F3" s="57" t="n">
        <v>46023</v>
      </c>
      <c r="H3" s="3" t="inlineStr">
        <is>
          <t>截止日</t>
        </is>
      </c>
      <c r="I3" s="57" t="n"/>
      <c r="M3" s="22">
        <f>IF(N($F$3)&gt;0,$F$3,1)</f>
        <v>46023.0</v>
      </c>
    </row>
    <row r="4">
      <c r="M4" s="22">
        <f>IF(N($I$3)&gt;0,$I$3+1,2958466)</f>
        <v>2958466</v>
      </c>
    </row>
    <row r="5" ht="34" customHeight="1">
      <c r="A5" s="21" t="inlineStr">
        <is>
          <t>序号</t>
        </is>
      </c>
      <c r="B5" s="21" t="inlineStr">
        <is>
          <t>账户</t>
        </is>
      </c>
      <c r="C5" s="21" t="inlineStr">
        <is>
          <t>所属公司</t>
        </is>
      </c>
      <c r="D5" s="21" t="inlineStr">
        <is>
          <t>类型</t>
        </is>
      </c>
      <c r="E5" s="21" t="inlineStr">
        <is>
          <t>账号</t>
        </is>
      </c>
      <c r="F5" s="21" t="inlineStr">
        <is>
          <t>期初余额</t>
        </is>
      </c>
      <c r="G5" s="21" t="inlineStr">
        <is>
          <t>本期收入</t>
        </is>
      </c>
      <c r="H5" s="21" t="inlineStr">
        <is>
          <t>本期支出</t>
        </is>
      </c>
      <c r="I5" s="21" t="inlineStr">
        <is>
          <t>期末余额</t>
        </is>
      </c>
      <c r="J5" s="21" t="inlineStr">
        <is>
          <t>最后一笔</t>
        </is>
      </c>
      <c r="K5" s="21" t="inlineStr">
        <is>
          <t>银行核对</t>
        </is>
      </c>
    </row>
    <row r="6">
      <c r="A6" s="56">
        <f>IF(AND(基础资料!$I$5&lt;&gt;"",OR($C$3="全部",基础资料!$J$5=$C$3)),1,"")</f>
        <v>1</v>
      </c>
      <c r="B6" s="58" t="str">
        <f>IF(AND(基础资料!$I$5&lt;&gt;"",OR($C$3="全部",基础资料!$J$5=$C$3)),基础资料!$I$5,"")</f>
        <v>农行2896</v>
      </c>
      <c r="C6" s="56" t="str">
        <f>IF(AND(基础资料!$I$5&lt;&gt;"",OR($C$3="全部",基础资料!$J$5=$C$3)),基础资料!$J$5&amp;"","")</f>
        <v>中智优力</v>
      </c>
      <c r="D6" s="56" t="str">
        <f>IF(AND(基础资料!$I$5&lt;&gt;"",OR($C$3="全部",基础资料!$J$5=$C$3)),基础资料!$K$5&amp;"","")</f>
        <v>银行</v>
      </c>
      <c r="E6" s="56" t="str">
        <f>IF(AND(基础资料!$I$5&lt;&gt;"",OR($C$3="全部",基础资料!$J$5=$C$3)),基础资料!$L$5&amp;"","")</f>
        <v>39-408001040012896</v>
      </c>
      <c r="F6" s="53">
        <f>IF($B6="","",ROUND(IF(N(基础资料!$O$5)&gt;=$M$4,0,N(基础资料!$N$5))+SUMIFS(资金台帐!$AD$6:$AD$3005,资金台帐!$B$6:$B$3005,$B6,资金台帐!$N$6:$N$3005,"&lt;"&amp;$M$3),2))</f>
        <v>195212.65</v>
      </c>
      <c r="G6" s="53">
        <f t="shared" ref="G6:G25" si="1">IF($B6="","",ROUND(SUMIFS(资金台帐!$AB$6:$AB$3005,资金台帐!$B$6:$B$3005,$B6,资金台帐!$N$6:$N$3005,"&gt;="&amp;$M$3,资金台帐!$N$6:$N$3005,"&lt;"&amp;$M$4),2))</f>
        <v>181000</v>
      </c>
      <c r="H6" s="53">
        <f t="shared" ref="H6:H25" si="3">IF($B6="","",ROUND(SUMIFS(资金台帐!$AC$6:$AC$3005,资金台帐!$B$6:$B$3005,$B6,资金台帐!$N$6:$N$3005,"&gt;="&amp;$M$3,资金台帐!$N$6:$N$3005,"&lt;"&amp;$M$4),2))</f>
        <v>90178.54</v>
      </c>
      <c r="I6" s="59">
        <f t="shared" ref="I6:I25" si="5">IF($B6="","",ROUND(F6+G6-H6,2))</f>
        <v>286034.11</v>
      </c>
      <c r="J6" s="60">
        <f>IF($B6="","",基础资料!$Q$5)</f>
        <v>46279.0</v>
      </c>
      <c r="K6" s="56" t="str">
        <f t="shared" ref="K6:K25" si="7">IF($B6="","",IF(COUNTIFS(资金台帐!$B$6:$B$3005,$B6,资金台帐!$W$6:$W$3005,"差*")=0,IF(COUNTIFS(资金台帐!$B$6:$B$3005,$B6,资金台帐!$W$6:$W$3005,"✓")=0,"（没带银行余额）","✓ 跟银行一致"),"✗ "&amp;COUNTIFS(资金台帐!$B$6:$B$3005,$B6,资金台帐!$W$6:$W$3005,"差*")&amp;" 笔对不上"))</f>
        <v>✓ 跟银行一致</v>
      </c>
    </row>
    <row r="7">
      <c r="A7" s="56">
        <f>IF(AND(基础资料!$I$6&lt;&gt;"",OR($C$3="全部",基础资料!$J$6=$C$3)),2,"")</f>
        <v>2</v>
      </c>
      <c r="B7" s="58" t="str">
        <f>IF(AND(基础资料!$I$6&lt;&gt;"",OR($C$3="全部",基础资料!$J$6=$C$3)),基础资料!$I$6,"")</f>
        <v>工行（新开户）</v>
      </c>
      <c r="C7" s="56">
        <f>IF(AND(基础资料!$I$6&lt;&gt;"",OR($C$3="全部",基础资料!$J$6=$C$3)),基础资料!$J$6&amp;"","")</f>
      </c>
      <c r="D7" s="56" t="str">
        <f>IF(AND(基础资料!$I$6&lt;&gt;"",OR($C$3="全部",基础资料!$J$6=$C$3)),基础资料!$K$6&amp;"","")</f>
        <v>银行</v>
      </c>
      <c r="E7" s="56">
        <f>IF(AND(基础资料!$I$6&lt;&gt;"",OR($C$3="全部",基础资料!$J$6=$C$3)),基础资料!$L$6&amp;"","")</f>
      </c>
      <c r="F7" s="53">
        <f>IF($B7="","",ROUND(IF(N(基础资料!$O$6)&gt;=$M$4,0,N(基础资料!$N$6))+SUMIFS(资金台帐!$AD$6:$AD$3005,资金台帐!$B$6:$B$3005,$B7,资金台帐!$N$6:$N$3005,"&lt;"&amp;$M$3),2))</f>
        <v>0</v>
      </c>
      <c r="G7" s="53">
        <f t="shared" si="1"/>
        <v>0</v>
      </c>
      <c r="H7" s="53">
        <f t="shared" si="3"/>
        <v>0</v>
      </c>
      <c r="I7" s="59">
        <f t="shared" si="5"/>
        <v>0</v>
      </c>
      <c r="J7" s="60">
        <f>IF($B7="","",基础资料!$Q$6)</f>
      </c>
      <c r="K7" s="56" t="str">
        <f t="shared" si="7"/>
        <v>（没带银行余额）</v>
      </c>
    </row>
    <row r="8">
      <c r="A8" s="56">
        <f>IF(AND(基础资料!$I$7&lt;&gt;"",OR($C$3="全部",基础资料!$J$7=$C$3)),3,"")</f>
        <v>3</v>
      </c>
      <c r="B8" s="58" t="str">
        <f>IF(AND(基础资料!$I$7&lt;&gt;"",OR($C$3="全部",基础资料!$J$7=$C$3)),基础资料!$I$7,"")</f>
        <v>鄞州农商9654</v>
      </c>
      <c r="C8" s="56" t="str">
        <f>IF(AND(基础资料!$I$7&lt;&gt;"",OR($C$3="全部",基础资料!$J$7=$C$3)),基础资料!$J$7&amp;"","")</f>
        <v>中慧优力</v>
      </c>
      <c r="D8" s="56" t="str">
        <f>IF(AND(基础资料!$I$7&lt;&gt;"",OR($C$3="全部",基础资料!$J$7=$C$3)),基础资料!$K$7&amp;"","")</f>
        <v>银行</v>
      </c>
      <c r="E8" s="56" t="str">
        <f>IF(AND(基础资料!$I$7&lt;&gt;"",OR($C$3="全部",基础资料!$J$7=$C$3)),基础资料!$L$7&amp;"","")</f>
        <v>81170101302269654</v>
      </c>
      <c r="F8" s="53">
        <f>IF($B8="","",ROUND(IF(N(基础资料!$O$7)&gt;=$M$4,0,N(基础资料!$N$7))+SUMIFS(资金台帐!$AD$6:$AD$3005,资金台帐!$B$6:$B$3005,$B8,资金台帐!$N$6:$N$3005,"&lt;"&amp;$M$3),2))</f>
        <v>43581.2</v>
      </c>
      <c r="G8" s="53">
        <f t="shared" si="1"/>
        <v>66805.45</v>
      </c>
      <c r="H8" s="53">
        <f t="shared" si="3"/>
        <v>38612.76</v>
      </c>
      <c r="I8" s="59">
        <f t="shared" si="5"/>
        <v>71773.89</v>
      </c>
      <c r="J8" s="60">
        <f>IF($B8="","",基础资料!$Q$7)</f>
        <v>46199.0</v>
      </c>
      <c r="K8" s="56" t="str">
        <f t="shared" si="7"/>
        <v>✓ 跟银行一致</v>
      </c>
    </row>
    <row r="9">
      <c r="A9" s="56">
        <f>IF(AND(基础资料!$I$8&lt;&gt;"",OR($C$3="全部",基础资料!$J$8=$C$3)),4,"")</f>
        <v>4</v>
      </c>
      <c r="B9" s="58" t="str">
        <f>IF(AND(基础资料!$I$8&lt;&gt;"",OR($C$3="全部",基础资料!$J$8=$C$3)),基础资料!$I$8,"")</f>
        <v>农行8240</v>
      </c>
      <c r="C9" s="56" t="str">
        <f>IF(AND(基础资料!$I$8&lt;&gt;"",OR($C$3="全部",基础资料!$J$8=$C$3)),基础资料!$J$8&amp;"","")</f>
        <v>优茗</v>
      </c>
      <c r="D9" s="56" t="str">
        <f>IF(AND(基础资料!$I$8&lt;&gt;"",OR($C$3="全部",基础资料!$J$8=$C$3)),基础资料!$K$8&amp;"","")</f>
        <v>银行</v>
      </c>
      <c r="E9" s="56" t="str">
        <f>IF(AND(基础资料!$I$8&lt;&gt;"",OR($C$3="全部",基础资料!$J$8=$C$3)),基础资料!$L$8&amp;"","")</f>
        <v>39408001040018240</v>
      </c>
      <c r="F9" s="53">
        <f>IF($B9="","",ROUND(IF(N(基础资料!$O$8)&gt;=$M$4,0,N(基础资料!$N$8))+SUMIFS(资金台帐!$AD$6:$AD$3005,资金台帐!$B$6:$B$3005,$B9,资金台帐!$N$6:$N$3005,"&lt;"&amp;$M$3),2))</f>
        <v>10746.61</v>
      </c>
      <c r="G9" s="53">
        <f t="shared" si="1"/>
        <v>2011000</v>
      </c>
      <c r="H9" s="53">
        <f t="shared" si="3"/>
        <v>2005370.91</v>
      </c>
      <c r="I9" s="59">
        <f t="shared" si="5"/>
        <v>16375.7</v>
      </c>
      <c r="J9" s="60">
        <f>IF($B9="","",基础资料!$Q$8)</f>
        <v>46279.0</v>
      </c>
      <c r="K9" s="56" t="str">
        <f t="shared" si="7"/>
        <v>✓ 跟银行一致</v>
      </c>
    </row>
    <row r="10">
      <c r="A10" s="56">
        <f>IF(AND(基础资料!$I$9&lt;&gt;"",OR($C$3="全部",基础资料!$J$9=$C$3)),5,"")</f>
        <v>5</v>
      </c>
      <c r="B10" s="58" t="str">
        <f>IF(AND(基础资料!$I$9&lt;&gt;"",OR($C$3="全部",基础资料!$J$9=$C$3)),基础资料!$I$9,"")</f>
        <v>农行7705</v>
      </c>
      <c r="C10" s="56" t="str">
        <f>IF(AND(基础资料!$I$9&lt;&gt;"",OR($C$3="全部",基础资料!$J$9=$C$3)),基础资料!$J$9&amp;"","")</f>
        <v>琴馨</v>
      </c>
      <c r="D10" s="56" t="str">
        <f>IF(AND(基础资料!$I$9&lt;&gt;"",OR($C$3="全部",基础资料!$J$9=$C$3)),基础资料!$K$9&amp;"","")</f>
        <v>银行</v>
      </c>
      <c r="E10" s="56" t="str">
        <f>IF(AND(基础资料!$I$9&lt;&gt;"",OR($C$3="全部",基础资料!$J$9=$C$3)),基础资料!$L$9&amp;"","")</f>
        <v>39408001040017705</v>
      </c>
      <c r="F10" s="53">
        <f>IF($B10="","",ROUND(IF(N(基础资料!$O$9)&gt;=$M$4,0,N(基础资料!$N$9))+SUMIFS(资金台帐!$AD$6:$AD$3005,资金台帐!$B$6:$B$3005,$B10,资金台帐!$N$6:$N$3005,"&lt;"&amp;$M$3),2))</f>
        <v>61371.12</v>
      </c>
      <c r="G10" s="53">
        <f t="shared" si="1"/>
        <v>64808.17</v>
      </c>
      <c r="H10" s="53">
        <f t="shared" si="3"/>
        <v>23644.44</v>
      </c>
      <c r="I10" s="59">
        <f t="shared" si="5"/>
        <v>102534.85</v>
      </c>
      <c r="J10" s="60">
        <f>IF($B10="","",基础资料!$Q$9)</f>
        <v>46203.0</v>
      </c>
      <c r="K10" s="56" t="str">
        <f t="shared" si="7"/>
        <v>✓ 跟银行一致</v>
      </c>
    </row>
    <row r="11">
      <c r="A11" s="56">
        <f>IF(AND(基础资料!$I$10&lt;&gt;"",OR($C$3="全部",基础资料!$J$10=$C$3)),6,"")</f>
        <v>6</v>
      </c>
      <c r="B11" s="58" t="str">
        <f>IF(AND(基础资料!$I$10&lt;&gt;"",OR($C$3="全部",基础资料!$J$10=$C$3)),基础资料!$I$10,"")</f>
        <v>飞鲸对公户</v>
      </c>
      <c r="C11" s="56" t="str">
        <f>IF(AND(基础资料!$I$10&lt;&gt;"",OR($C$3="全部",基础资料!$J$10=$C$3)),基础资料!$J$10&amp;"","")</f>
        <v>飞鲸</v>
      </c>
      <c r="D11" s="56" t="str">
        <f>IF(AND(基础资料!$I$10&lt;&gt;"",OR($C$3="全部",基础资料!$J$10=$C$3)),基础资料!$K$10&amp;"","")</f>
        <v>银行</v>
      </c>
      <c r="E11" s="56">
        <f>IF(AND(基础资料!$I$10&lt;&gt;"",OR($C$3="全部",基础资料!$J$10=$C$3)),基础资料!$L$10&amp;"","")</f>
      </c>
      <c r="F11" s="53">
        <f>IF($B11="","",ROUND(IF(N(基础资料!$O$10)&gt;=$M$4,0,N(基础资料!$N$10))+SUMIFS(资金台帐!$AD$6:$AD$3005,资金台帐!$B$6:$B$3005,$B11,资金台帐!$N$6:$N$3005,"&lt;"&amp;$M$3),2))</f>
        <v>30058.07</v>
      </c>
      <c r="G11" s="53">
        <f t="shared" si="1"/>
        <v>0</v>
      </c>
      <c r="H11" s="53">
        <f t="shared" si="3"/>
        <v>18.75</v>
      </c>
      <c r="I11" s="59">
        <f t="shared" si="5"/>
        <v>30039.32</v>
      </c>
      <c r="J11" s="60">
        <f>IF($B11="","",基础资料!$Q$10)</f>
        <v>46149.0</v>
      </c>
      <c r="K11" s="56" t="str">
        <f t="shared" si="7"/>
        <v>✓ 跟银行一致</v>
      </c>
    </row>
    <row r="12">
      <c r="A12" s="56">
        <f>IF(AND(基础资料!$I$11&lt;&gt;"",OR($C$3="全部",基础资料!$J$11=$C$3)),7,"")</f>
        <v>7</v>
      </c>
      <c r="B12" s="58" t="str">
        <f>IF(AND(基础资料!$I$11&lt;&gt;"",OR($C$3="全部",基础资料!$J$11=$C$3)),基础资料!$I$11,"")</f>
        <v>微信-汪优丽</v>
      </c>
      <c r="C12" s="56" t="str">
        <f>IF(AND(基础资料!$I$11&lt;&gt;"",OR($C$3="全部",基础资料!$J$11=$C$3)),基础资料!$J$11&amp;"","")</f>
        <v>中智优力</v>
      </c>
      <c r="D12" s="56" t="str">
        <f>IF(AND(基础资料!$I$11&lt;&gt;"",OR($C$3="全部",基础资料!$J$11=$C$3)),基础资料!$K$11&amp;"","")</f>
        <v>微信</v>
      </c>
      <c r="E12" s="56">
        <f>IF(AND(基础资料!$I$11&lt;&gt;"",OR($C$3="全部",基础资料!$J$11=$C$3)),基础资料!$L$11&amp;"","")</f>
      </c>
      <c r="F12" s="53">
        <f>IF($B12="","",ROUND(IF(N(基础资料!$O$11)&gt;=$M$4,0,N(基础资料!$N$11))+SUMIFS(资金台帐!$AD$6:$AD$3005,资金台帐!$B$6:$B$3005,$B12,资金台帐!$N$6:$N$3005,"&lt;"&amp;$M$3),2))</f>
        <v>0</v>
      </c>
      <c r="G12" s="53">
        <f t="shared" si="1"/>
        <v>27015</v>
      </c>
      <c r="H12" s="53">
        <f t="shared" si="3"/>
        <v>45064.59</v>
      </c>
      <c r="I12" s="59">
        <f t="shared" si="5"/>
        <v>-18049.59</v>
      </c>
      <c r="J12" s="60">
        <f>IF($B12="","",基础资料!$Q$11)</f>
        <v>46233.0</v>
      </c>
      <c r="K12" s="56" t="str">
        <f t="shared" si="7"/>
        <v>（没带银行余额）</v>
      </c>
    </row>
    <row r="13">
      <c r="A13" s="56">
        <f>IF(AND(基础资料!$I$12&lt;&gt;"",OR($C$3="全部",基础资料!$J$12=$C$3)),8,"")</f>
        <v>8</v>
      </c>
      <c r="B13" s="58" t="str">
        <f>IF(AND(基础资料!$I$12&lt;&gt;"",OR($C$3="全部",基础资料!$J$12=$C$3)),基础资料!$I$12,"")</f>
        <v>微信商户0744</v>
      </c>
      <c r="C13" s="56" t="str">
        <f>IF(AND(基础资料!$I$12&lt;&gt;"",OR($C$3="全部",基础资料!$J$12=$C$3)),基础资料!$J$12&amp;"","")</f>
        <v>中智优力</v>
      </c>
      <c r="D13" s="56" t="str">
        <f>IF(AND(基础资料!$I$12&lt;&gt;"",OR($C$3="全部",基础资料!$J$12=$C$3)),基础资料!$K$12&amp;"","")</f>
        <v>微信</v>
      </c>
      <c r="E13" s="56" t="str">
        <f>IF(AND(基础资料!$I$12&lt;&gt;"",OR($C$3="全部",基础资料!$J$12=$C$3)),基础资料!$L$12&amp;"","")</f>
        <v>1707250744</v>
      </c>
      <c r="F13" s="53">
        <f>IF($B13="","",ROUND(IF(N(基础资料!$O$12)&gt;=$M$4,0,N(基础资料!$N$12))+SUMIFS(资金台帐!$AD$6:$AD$3005,资金台帐!$B$6:$B$3005,$B13,资金台帐!$N$6:$N$3005,"&lt;"&amp;$M$3),2))</f>
        <v>42501.4</v>
      </c>
      <c r="G13" s="53">
        <f t="shared" si="1"/>
        <v>12709</v>
      </c>
      <c r="H13" s="53">
        <f t="shared" si="3"/>
        <v>55001.82</v>
      </c>
      <c r="I13" s="59">
        <f t="shared" si="5"/>
        <v>208.58</v>
      </c>
      <c r="J13" s="60">
        <f>IF($B13="","",基础资料!$Q$12)</f>
        <v>46289.0</v>
      </c>
      <c r="K13" s="56" t="str">
        <f t="shared" si="7"/>
        <v>✓ 跟银行一致</v>
      </c>
    </row>
    <row r="14">
      <c r="A14" s="56">
        <f>IF(AND(基础资料!$I$13&lt;&gt;"",OR($C$3="全部",基础资料!$J$13=$C$3)),9,"")</f>
      </c>
      <c r="B14" s="58">
        <f>IF(AND(基础资料!$I$13&lt;&gt;"",OR($C$3="全部",基础资料!$J$13=$C$3)),基础资料!$I$13,"")</f>
      </c>
      <c r="C14" s="56">
        <f>IF(AND(基础资料!$I$13&lt;&gt;"",OR($C$3="全部",基础资料!$J$13=$C$3)),基础资料!$J$13&amp;"","")</f>
      </c>
      <c r="D14" s="56">
        <f>IF(AND(基础资料!$I$13&lt;&gt;"",OR($C$3="全部",基础资料!$J$13=$C$3)),基础资料!$K$13&amp;"","")</f>
      </c>
      <c r="E14" s="56">
        <f>IF(AND(基础资料!$I$13&lt;&gt;"",OR($C$3="全部",基础资料!$J$13=$C$3)),基础资料!$L$13&amp;"","")</f>
      </c>
      <c r="F14" s="53">
        <f>IF($B14="","",ROUND(IF(N(基础资料!$O$13)&gt;=$M$4,0,N(基础资料!$N$13))+SUMIFS(资金台帐!$AD$6:$AD$3005,资金台帐!$B$6:$B$3005,$B14,资金台帐!$N$6:$N$3005,"&lt;"&amp;$M$3),2))</f>
      </c>
      <c r="G14" s="53">
        <f t="shared" si="1"/>
      </c>
      <c r="H14" s="53">
        <f t="shared" si="3"/>
      </c>
      <c r="I14" s="59">
        <f t="shared" si="5"/>
      </c>
      <c r="J14" s="60">
        <f>IF($B14="","",基础资料!$Q$13)</f>
      </c>
      <c r="K14" s="56">
        <f t="shared" si="7"/>
      </c>
    </row>
    <row r="15">
      <c r="A15" s="56">
        <f>IF(AND(基础资料!$I$14&lt;&gt;"",OR($C$3="全部",基础资料!$J$14=$C$3)),10,"")</f>
      </c>
      <c r="B15" s="58">
        <f>IF(AND(基础资料!$I$14&lt;&gt;"",OR($C$3="全部",基础资料!$J$14=$C$3)),基础资料!$I$14,"")</f>
      </c>
      <c r="C15" s="56">
        <f>IF(AND(基础资料!$I$14&lt;&gt;"",OR($C$3="全部",基础资料!$J$14=$C$3)),基础资料!$J$14&amp;"","")</f>
      </c>
      <c r="D15" s="56">
        <f>IF(AND(基础资料!$I$14&lt;&gt;"",OR($C$3="全部",基础资料!$J$14=$C$3)),基础资料!$K$14&amp;"","")</f>
      </c>
      <c r="E15" s="56">
        <f>IF(AND(基础资料!$I$14&lt;&gt;"",OR($C$3="全部",基础资料!$J$14=$C$3)),基础资料!$L$14&amp;"","")</f>
      </c>
      <c r="F15" s="53">
        <f>IF($B15="","",ROUND(IF(N(基础资料!$O$14)&gt;=$M$4,0,N(基础资料!$N$14))+SUMIFS(资金台帐!$AD$6:$AD$3005,资金台帐!$B$6:$B$3005,$B15,资金台帐!$N$6:$N$3005,"&lt;"&amp;$M$3),2))</f>
      </c>
      <c r="G15" s="53">
        <f t="shared" si="1"/>
      </c>
      <c r="H15" s="53">
        <f t="shared" si="3"/>
      </c>
      <c r="I15" s="59">
        <f t="shared" si="5"/>
      </c>
      <c r="J15" s="60">
        <f>IF($B15="","",基础资料!$Q$14)</f>
      </c>
      <c r="K15" s="56">
        <f t="shared" si="7"/>
      </c>
    </row>
    <row r="16">
      <c r="A16" s="56">
        <f>IF(AND(基础资料!$I$15&lt;&gt;"",OR($C$3="全部",基础资料!$J$15=$C$3)),11,"")</f>
      </c>
      <c r="B16" s="58">
        <f>IF(AND(基础资料!$I$15&lt;&gt;"",OR($C$3="全部",基础资料!$J$15=$C$3)),基础资料!$I$15,"")</f>
      </c>
      <c r="C16" s="56">
        <f>IF(AND(基础资料!$I$15&lt;&gt;"",OR($C$3="全部",基础资料!$J$15=$C$3)),基础资料!$J$15&amp;"","")</f>
      </c>
      <c r="D16" s="56">
        <f>IF(AND(基础资料!$I$15&lt;&gt;"",OR($C$3="全部",基础资料!$J$15=$C$3)),基础资料!$K$15&amp;"","")</f>
      </c>
      <c r="E16" s="56">
        <f>IF(AND(基础资料!$I$15&lt;&gt;"",OR($C$3="全部",基础资料!$J$15=$C$3)),基础资料!$L$15&amp;"","")</f>
      </c>
      <c r="F16" s="53">
        <f>IF($B16="","",ROUND(IF(N(基础资料!$O$15)&gt;=$M$4,0,N(基础资料!$N$15))+SUMIFS(资金台帐!$AD$6:$AD$3005,资金台帐!$B$6:$B$3005,$B16,资金台帐!$N$6:$N$3005,"&lt;"&amp;$M$3),2))</f>
      </c>
      <c r="G16" s="53">
        <f t="shared" si="1"/>
      </c>
      <c r="H16" s="53">
        <f t="shared" si="3"/>
      </c>
      <c r="I16" s="59">
        <f t="shared" si="5"/>
      </c>
      <c r="J16" s="60">
        <f>IF($B16="","",基础资料!$Q$15)</f>
      </c>
      <c r="K16" s="56">
        <f t="shared" si="7"/>
      </c>
    </row>
    <row r="17">
      <c r="A17" s="56">
        <f>IF(AND(基础资料!$I$16&lt;&gt;"",OR($C$3="全部",基础资料!$J$16=$C$3)),12,"")</f>
      </c>
      <c r="B17" s="58">
        <f>IF(AND(基础资料!$I$16&lt;&gt;"",OR($C$3="全部",基础资料!$J$16=$C$3)),基础资料!$I$16,"")</f>
      </c>
      <c r="C17" s="56">
        <f>IF(AND(基础资料!$I$16&lt;&gt;"",OR($C$3="全部",基础资料!$J$16=$C$3)),基础资料!$J$16&amp;"","")</f>
      </c>
      <c r="D17" s="56">
        <f>IF(AND(基础资料!$I$16&lt;&gt;"",OR($C$3="全部",基础资料!$J$16=$C$3)),基础资料!$K$16&amp;"","")</f>
      </c>
      <c r="E17" s="56">
        <f>IF(AND(基础资料!$I$16&lt;&gt;"",OR($C$3="全部",基础资料!$J$16=$C$3)),基础资料!$L$16&amp;"","")</f>
      </c>
      <c r="F17" s="53">
        <f>IF($B17="","",ROUND(IF(N(基础资料!$O$16)&gt;=$M$4,0,N(基础资料!$N$16))+SUMIFS(资金台帐!$AD$6:$AD$3005,资金台帐!$B$6:$B$3005,$B17,资金台帐!$N$6:$N$3005,"&lt;"&amp;$M$3),2))</f>
      </c>
      <c r="G17" s="53">
        <f t="shared" si="1"/>
      </c>
      <c r="H17" s="53">
        <f t="shared" si="3"/>
      </c>
      <c r="I17" s="59">
        <f t="shared" si="5"/>
      </c>
      <c r="J17" s="60">
        <f>IF($B17="","",基础资料!$Q$16)</f>
      </c>
      <c r="K17" s="56">
        <f t="shared" si="7"/>
      </c>
    </row>
    <row r="18">
      <c r="A18" s="56">
        <f>IF(AND(基础资料!$I$17&lt;&gt;"",OR($C$3="全部",基础资料!$J$17=$C$3)),13,"")</f>
      </c>
      <c r="B18" s="58">
        <f>IF(AND(基础资料!$I$17&lt;&gt;"",OR($C$3="全部",基础资料!$J$17=$C$3)),基础资料!$I$17,"")</f>
      </c>
      <c r="C18" s="56">
        <f>IF(AND(基础资料!$I$17&lt;&gt;"",OR($C$3="全部",基础资料!$J$17=$C$3)),基础资料!$J$17&amp;"","")</f>
      </c>
      <c r="D18" s="56">
        <f>IF(AND(基础资料!$I$17&lt;&gt;"",OR($C$3="全部",基础资料!$J$17=$C$3)),基础资料!$K$17&amp;"","")</f>
      </c>
      <c r="E18" s="56">
        <f>IF(AND(基础资料!$I$17&lt;&gt;"",OR($C$3="全部",基础资料!$J$17=$C$3)),基础资料!$L$17&amp;"","")</f>
      </c>
      <c r="F18" s="53">
        <f>IF($B18="","",ROUND(IF(N(基础资料!$O$17)&gt;=$M$4,0,N(基础资料!$N$17))+SUMIFS(资金台帐!$AD$6:$AD$3005,资金台帐!$B$6:$B$3005,$B18,资金台帐!$N$6:$N$3005,"&lt;"&amp;$M$3),2))</f>
      </c>
      <c r="G18" s="53">
        <f t="shared" si="1"/>
      </c>
      <c r="H18" s="53">
        <f t="shared" si="3"/>
      </c>
      <c r="I18" s="59">
        <f t="shared" si="5"/>
      </c>
      <c r="J18" s="60">
        <f>IF($B18="","",基础资料!$Q$17)</f>
      </c>
      <c r="K18" s="56">
        <f t="shared" si="7"/>
      </c>
    </row>
    <row r="19">
      <c r="A19" s="56">
        <f>IF(AND(基础资料!$I$18&lt;&gt;"",OR($C$3="全部",基础资料!$J$18=$C$3)),14,"")</f>
      </c>
      <c r="B19" s="58">
        <f>IF(AND(基础资料!$I$18&lt;&gt;"",OR($C$3="全部",基础资料!$J$18=$C$3)),基础资料!$I$18,"")</f>
      </c>
      <c r="C19" s="56">
        <f>IF(AND(基础资料!$I$18&lt;&gt;"",OR($C$3="全部",基础资料!$J$18=$C$3)),基础资料!$J$18&amp;"","")</f>
      </c>
      <c r="D19" s="56">
        <f>IF(AND(基础资料!$I$18&lt;&gt;"",OR($C$3="全部",基础资料!$J$18=$C$3)),基础资料!$K$18&amp;"","")</f>
      </c>
      <c r="E19" s="56">
        <f>IF(AND(基础资料!$I$18&lt;&gt;"",OR($C$3="全部",基础资料!$J$18=$C$3)),基础资料!$L$18&amp;"","")</f>
      </c>
      <c r="F19" s="53">
        <f>IF($B19="","",ROUND(IF(N(基础资料!$O$18)&gt;=$M$4,0,N(基础资料!$N$18))+SUMIFS(资金台帐!$AD$6:$AD$3005,资金台帐!$B$6:$B$3005,$B19,资金台帐!$N$6:$N$3005,"&lt;"&amp;$M$3),2))</f>
      </c>
      <c r="G19" s="53">
        <f t="shared" si="1"/>
      </c>
      <c r="H19" s="53">
        <f t="shared" si="3"/>
      </c>
      <c r="I19" s="59">
        <f t="shared" si="5"/>
      </c>
      <c r="J19" s="60">
        <f>IF($B19="","",基础资料!$Q$18)</f>
      </c>
      <c r="K19" s="56">
        <f t="shared" si="7"/>
      </c>
    </row>
    <row r="20">
      <c r="A20" s="56">
        <f>IF(AND(基础资料!$I$19&lt;&gt;"",OR($C$3="全部",基础资料!$J$19=$C$3)),15,"")</f>
      </c>
      <c r="B20" s="58">
        <f>IF(AND(基础资料!$I$19&lt;&gt;"",OR($C$3="全部",基础资料!$J$19=$C$3)),基础资料!$I$19,"")</f>
      </c>
      <c r="C20" s="56">
        <f>IF(AND(基础资料!$I$19&lt;&gt;"",OR($C$3="全部",基础资料!$J$19=$C$3)),基础资料!$J$19&amp;"","")</f>
      </c>
      <c r="D20" s="56">
        <f>IF(AND(基础资料!$I$19&lt;&gt;"",OR($C$3="全部",基础资料!$J$19=$C$3)),基础资料!$K$19&amp;"","")</f>
      </c>
      <c r="E20" s="56">
        <f>IF(AND(基础资料!$I$19&lt;&gt;"",OR($C$3="全部",基础资料!$J$19=$C$3)),基础资料!$L$19&amp;"","")</f>
      </c>
      <c r="F20" s="53">
        <f>IF($B20="","",ROUND(IF(N(基础资料!$O$19)&gt;=$M$4,0,N(基础资料!$N$19))+SUMIFS(资金台帐!$AD$6:$AD$3005,资金台帐!$B$6:$B$3005,$B20,资金台帐!$N$6:$N$3005,"&lt;"&amp;$M$3),2))</f>
      </c>
      <c r="G20" s="53">
        <f t="shared" si="1"/>
      </c>
      <c r="H20" s="53">
        <f t="shared" si="3"/>
      </c>
      <c r="I20" s="59">
        <f t="shared" si="5"/>
      </c>
      <c r="J20" s="60">
        <f>IF($B20="","",基础资料!$Q$19)</f>
      </c>
      <c r="K20" s="56">
        <f t="shared" si="7"/>
      </c>
    </row>
    <row r="21">
      <c r="A21" s="56">
        <f>IF(AND(基础资料!$I$20&lt;&gt;"",OR($C$3="全部",基础资料!$J$20=$C$3)),16,"")</f>
      </c>
      <c r="B21" s="58">
        <f>IF(AND(基础资料!$I$20&lt;&gt;"",OR($C$3="全部",基础资料!$J$20=$C$3)),基础资料!$I$20,"")</f>
      </c>
      <c r="C21" s="56">
        <f>IF(AND(基础资料!$I$20&lt;&gt;"",OR($C$3="全部",基础资料!$J$20=$C$3)),基础资料!$J$20&amp;"","")</f>
      </c>
      <c r="D21" s="56">
        <f>IF(AND(基础资料!$I$20&lt;&gt;"",OR($C$3="全部",基础资料!$J$20=$C$3)),基础资料!$K$20&amp;"","")</f>
      </c>
      <c r="E21" s="56">
        <f>IF(AND(基础资料!$I$20&lt;&gt;"",OR($C$3="全部",基础资料!$J$20=$C$3)),基础资料!$L$20&amp;"","")</f>
      </c>
      <c r="F21" s="53">
        <f>IF($B21="","",ROUND(IF(N(基础资料!$O$20)&gt;=$M$4,0,N(基础资料!$N$20))+SUMIFS(资金台帐!$AD$6:$AD$3005,资金台帐!$B$6:$B$3005,$B21,资金台帐!$N$6:$N$3005,"&lt;"&amp;$M$3),2))</f>
      </c>
      <c r="G21" s="53">
        <f t="shared" si="1"/>
      </c>
      <c r="H21" s="53">
        <f t="shared" si="3"/>
      </c>
      <c r="I21" s="59">
        <f t="shared" si="5"/>
      </c>
      <c r="J21" s="60">
        <f>IF($B21="","",基础资料!$Q$20)</f>
      </c>
      <c r="K21" s="56">
        <f t="shared" si="7"/>
      </c>
    </row>
    <row r="22">
      <c r="A22" s="56">
        <f>IF(AND(基础资料!$I$21&lt;&gt;"",OR($C$3="全部",基础资料!$J$21=$C$3)),17,"")</f>
      </c>
      <c r="B22" s="58">
        <f>IF(AND(基础资料!$I$21&lt;&gt;"",OR($C$3="全部",基础资料!$J$21=$C$3)),基础资料!$I$21,"")</f>
      </c>
      <c r="C22" s="56">
        <f>IF(AND(基础资料!$I$21&lt;&gt;"",OR($C$3="全部",基础资料!$J$21=$C$3)),基础资料!$J$21&amp;"","")</f>
      </c>
      <c r="D22" s="56">
        <f>IF(AND(基础资料!$I$21&lt;&gt;"",OR($C$3="全部",基础资料!$J$21=$C$3)),基础资料!$K$21&amp;"","")</f>
      </c>
      <c r="E22" s="56">
        <f>IF(AND(基础资料!$I$21&lt;&gt;"",OR($C$3="全部",基础资料!$J$21=$C$3)),基础资料!$L$21&amp;"","")</f>
      </c>
      <c r="F22" s="53">
        <f>IF($B22="","",ROUND(IF(N(基础资料!$O$21)&gt;=$M$4,0,N(基础资料!$N$21))+SUMIFS(资金台帐!$AD$6:$AD$3005,资金台帐!$B$6:$B$3005,$B22,资金台帐!$N$6:$N$3005,"&lt;"&amp;$M$3),2))</f>
      </c>
      <c r="G22" s="53">
        <f t="shared" si="1"/>
      </c>
      <c r="H22" s="53">
        <f t="shared" si="3"/>
      </c>
      <c r="I22" s="59">
        <f t="shared" si="5"/>
      </c>
      <c r="J22" s="60">
        <f>IF($B22="","",基础资料!$Q$21)</f>
      </c>
      <c r="K22" s="56">
        <f t="shared" si="7"/>
      </c>
    </row>
    <row r="23">
      <c r="A23" s="56">
        <f>IF(AND(基础资料!$I$22&lt;&gt;"",OR($C$3="全部",基础资料!$J$22=$C$3)),18,"")</f>
      </c>
      <c r="B23" s="58">
        <f>IF(AND(基础资料!$I$22&lt;&gt;"",OR($C$3="全部",基础资料!$J$22=$C$3)),基础资料!$I$22,"")</f>
      </c>
      <c r="C23" s="56">
        <f>IF(AND(基础资料!$I$22&lt;&gt;"",OR($C$3="全部",基础资料!$J$22=$C$3)),基础资料!$J$22&amp;"","")</f>
      </c>
      <c r="D23" s="56">
        <f>IF(AND(基础资料!$I$22&lt;&gt;"",OR($C$3="全部",基础资料!$J$22=$C$3)),基础资料!$K$22&amp;"","")</f>
      </c>
      <c r="E23" s="56">
        <f>IF(AND(基础资料!$I$22&lt;&gt;"",OR($C$3="全部",基础资料!$J$22=$C$3)),基础资料!$L$22&amp;"","")</f>
      </c>
      <c r="F23" s="53">
        <f>IF($B23="","",ROUND(IF(N(基础资料!$O$22)&gt;=$M$4,0,N(基础资料!$N$22))+SUMIFS(资金台帐!$AD$6:$AD$3005,资金台帐!$B$6:$B$3005,$B23,资金台帐!$N$6:$N$3005,"&lt;"&amp;$M$3),2))</f>
      </c>
      <c r="G23" s="53">
        <f t="shared" si="1"/>
      </c>
      <c r="H23" s="53">
        <f t="shared" si="3"/>
      </c>
      <c r="I23" s="59">
        <f t="shared" si="5"/>
      </c>
      <c r="J23" s="60">
        <f>IF($B23="","",基础资料!$Q$22)</f>
      </c>
      <c r="K23" s="56">
        <f t="shared" si="7"/>
      </c>
    </row>
    <row r="24">
      <c r="A24" s="56">
        <f>IF(AND(基础资料!$I$23&lt;&gt;"",OR($C$3="全部",基础资料!$J$23=$C$3)),19,"")</f>
      </c>
      <c r="B24" s="58">
        <f>IF(AND(基础资料!$I$23&lt;&gt;"",OR($C$3="全部",基础资料!$J$23=$C$3)),基础资料!$I$23,"")</f>
      </c>
      <c r="C24" s="56">
        <f>IF(AND(基础资料!$I$23&lt;&gt;"",OR($C$3="全部",基础资料!$J$23=$C$3)),基础资料!$J$23&amp;"","")</f>
      </c>
      <c r="D24" s="56">
        <f>IF(AND(基础资料!$I$23&lt;&gt;"",OR($C$3="全部",基础资料!$J$23=$C$3)),基础资料!$K$23&amp;"","")</f>
      </c>
      <c r="E24" s="56">
        <f>IF(AND(基础资料!$I$23&lt;&gt;"",OR($C$3="全部",基础资料!$J$23=$C$3)),基础资料!$L$23&amp;"","")</f>
      </c>
      <c r="F24" s="53">
        <f>IF($B24="","",ROUND(IF(N(基础资料!$O$23)&gt;=$M$4,0,N(基础资料!$N$23))+SUMIFS(资金台帐!$AD$6:$AD$3005,资金台帐!$B$6:$B$3005,$B24,资金台帐!$N$6:$N$3005,"&lt;"&amp;$M$3),2))</f>
      </c>
      <c r="G24" s="53">
        <f t="shared" si="1"/>
      </c>
      <c r="H24" s="53">
        <f t="shared" si="3"/>
      </c>
      <c r="I24" s="59">
        <f t="shared" si="5"/>
      </c>
      <c r="J24" s="60">
        <f>IF($B24="","",基础资料!$Q$23)</f>
      </c>
      <c r="K24" s="56">
        <f t="shared" si="7"/>
      </c>
    </row>
    <row r="25">
      <c r="A25" s="56">
        <f>IF(AND(基础资料!$I$24&lt;&gt;"",OR($C$3="全部",基础资料!$J$24=$C$3)),20,"")</f>
      </c>
      <c r="B25" s="58">
        <f>IF(AND(基础资料!$I$24&lt;&gt;"",OR($C$3="全部",基础资料!$J$24=$C$3)),基础资料!$I$24,"")</f>
      </c>
      <c r="C25" s="56">
        <f>IF(AND(基础资料!$I$24&lt;&gt;"",OR($C$3="全部",基础资料!$J$24=$C$3)),基础资料!$J$24&amp;"","")</f>
      </c>
      <c r="D25" s="56">
        <f>IF(AND(基础资料!$I$24&lt;&gt;"",OR($C$3="全部",基础资料!$J$24=$C$3)),基础资料!$K$24&amp;"","")</f>
      </c>
      <c r="E25" s="56">
        <f>IF(AND(基础资料!$I$24&lt;&gt;"",OR($C$3="全部",基础资料!$J$24=$C$3)),基础资料!$L$24&amp;"","")</f>
      </c>
      <c r="F25" s="53">
        <f>IF($B25="","",ROUND(IF(N(基础资料!$O$24)&gt;=$M$4,0,N(基础资料!$N$24))+SUMIFS(资金台帐!$AD$6:$AD$3005,资金台帐!$B$6:$B$3005,$B25,资金台帐!$N$6:$N$3005,"&lt;"&amp;$M$3),2))</f>
      </c>
      <c r="G25" s="53">
        <f t="shared" si="1"/>
      </c>
      <c r="H25" s="53">
        <f t="shared" si="3"/>
      </c>
      <c r="I25" s="59">
        <f t="shared" si="5"/>
      </c>
      <c r="J25" s="60">
        <f>IF($B25="","",基础资料!$Q$24)</f>
      </c>
      <c r="K25" s="56">
        <f t="shared" si="7"/>
      </c>
    </row>
    <row r="26">
      <c r="A26" s="61" t="inlineStr">
        <is>
          <t>合计</t>
        </is>
      </c>
      <c r="B26" s="13" t="n"/>
      <c r="C26" s="13" t="n"/>
      <c r="D26" s="13" t="n"/>
      <c r="E26" s="14" t="n"/>
      <c r="F26" s="37">
        <f>ROUND(SUM(F6:F25),2)</f>
        <v>383471.05</v>
      </c>
      <c r="G26" s="37">
        <f>ROUND(SUM(G6:G25),2)</f>
        <v>2363337.62</v>
      </c>
      <c r="H26" s="37">
        <f>ROUND(SUM(H6:H25),2)</f>
        <v>2257891.81</v>
      </c>
      <c r="I26" s="37">
        <f>ROUND(SUM(I6:I25),2)</f>
        <v>488916.86</v>
      </c>
    </row>
    <row r="28">
      <c r="A28" s="62" t="inlineStr">
        <is>
          <t>按公司合计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34" customHeight="1">
      <c r="A29" s="21" t="inlineStr">
        <is>
          <t>序号</t>
        </is>
      </c>
      <c r="B29" s="21" t="inlineStr">
        <is>
          <t>公司</t>
        </is>
      </c>
      <c r="F29" s="21" t="inlineStr">
        <is>
          <t>期初余额</t>
        </is>
      </c>
      <c r="G29" s="21" t="inlineStr">
        <is>
          <t>本期收入</t>
        </is>
      </c>
      <c r="H29" s="21" t="inlineStr">
        <is>
          <t>本期支出</t>
        </is>
      </c>
      <c r="I29" s="21" t="inlineStr">
        <is>
          <t>期末余额</t>
        </is>
      </c>
    </row>
    <row r="30">
      <c r="A30" s="56" t="n">
        <v>1</v>
      </c>
      <c r="B30" s="58" t="str">
        <f>IF(基础资料!$B$5="","",基础资料!$B$5)</f>
        <v>中智优力</v>
      </c>
      <c r="F30" s="53">
        <f t="shared" ref="F30:F37" si="0">IF($B30="","",ROUND(SUMIFS(F$6:F$25,$C$6:$C$25,$B30),2))</f>
        <v>237714.05</v>
      </c>
      <c r="G30" s="53">
        <f t="shared" ref="G30:G37" si="2">IF($B30="","",ROUND(SUMIFS(G$6:G$25,$C$6:$C$25,$B30),2))</f>
        <v>220724</v>
      </c>
      <c r="H30" s="53">
        <f t="shared" ref="H30:H37" si="4">IF($B30="","",ROUND(SUMIFS(H$6:H$25,$C$6:$C$25,$B30),2))</f>
        <v>190244.95</v>
      </c>
      <c r="I30" s="53">
        <f t="shared" ref="I30:I37" si="6">IF($B30="","",ROUND(SUMIFS(I$6:I$25,$C$6:$C$25,$B30),2))</f>
        <v>268193.1</v>
      </c>
    </row>
    <row r="31">
      <c r="A31" s="56" t="n">
        <v>2</v>
      </c>
      <c r="B31" s="58" t="str">
        <f>IF(基础资料!$B$6="","",基础资料!$B$6)</f>
        <v>中慧优力</v>
      </c>
      <c r="F31" s="53">
        <f t="shared" si="0"/>
        <v>43581.2</v>
      </c>
      <c r="G31" s="53">
        <f t="shared" si="2"/>
        <v>66805.45</v>
      </c>
      <c r="H31" s="53">
        <f t="shared" si="4"/>
        <v>38612.76</v>
      </c>
      <c r="I31" s="53">
        <f t="shared" si="6"/>
        <v>71773.89</v>
      </c>
    </row>
    <row r="32">
      <c r="A32" s="56" t="n">
        <v>3</v>
      </c>
      <c r="B32" s="58" t="str">
        <f>IF(基础资料!$B$7="","",基础资料!$B$7)</f>
        <v>琴馨</v>
      </c>
      <c r="F32" s="53">
        <f t="shared" si="0"/>
        <v>61371.12</v>
      </c>
      <c r="G32" s="53">
        <f t="shared" si="2"/>
        <v>64808.17</v>
      </c>
      <c r="H32" s="53">
        <f t="shared" si="4"/>
        <v>23644.44</v>
      </c>
      <c r="I32" s="53">
        <f t="shared" si="6"/>
        <v>102534.85</v>
      </c>
    </row>
    <row r="33">
      <c r="A33" s="56" t="n">
        <v>4</v>
      </c>
      <c r="B33" s="58" t="str">
        <f>IF(基础资料!$B$8="","",基础资料!$B$8)</f>
        <v>优茗</v>
      </c>
      <c r="F33" s="53">
        <f t="shared" si="0"/>
        <v>10746.61</v>
      </c>
      <c r="G33" s="53">
        <f t="shared" si="2"/>
        <v>2011000</v>
      </c>
      <c r="H33" s="53">
        <f t="shared" si="4"/>
        <v>2005370.91</v>
      </c>
      <c r="I33" s="53">
        <f t="shared" si="6"/>
        <v>16375.7</v>
      </c>
    </row>
    <row r="34">
      <c r="A34" s="56" t="n">
        <v>5</v>
      </c>
      <c r="B34" s="58" t="str">
        <f>IF(基础资料!$B$9="","",基础资料!$B$9)</f>
        <v>飞鲸</v>
      </c>
      <c r="F34" s="53">
        <f t="shared" si="0"/>
        <v>30058.07</v>
      </c>
      <c r="G34" s="53">
        <f t="shared" si="2"/>
        <v>0</v>
      </c>
      <c r="H34" s="53">
        <f t="shared" si="4"/>
        <v>18.75</v>
      </c>
      <c r="I34" s="53">
        <f t="shared" si="6"/>
        <v>30039.32</v>
      </c>
    </row>
    <row r="35">
      <c r="A35" s="56" t="n">
        <v>6</v>
      </c>
      <c r="B35" s="58">
        <f>IF(基础资料!$B$10="","",基础资料!$B$10)</f>
      </c>
      <c r="F35" s="53">
        <f t="shared" si="0"/>
      </c>
      <c r="G35" s="53">
        <f t="shared" si="2"/>
      </c>
      <c r="H35" s="53">
        <f t="shared" si="4"/>
      </c>
      <c r="I35" s="53">
        <f t="shared" si="6"/>
      </c>
    </row>
    <row r="36">
      <c r="A36" s="56" t="n">
        <v>7</v>
      </c>
      <c r="B36" s="58">
        <f>IF(基础资料!$B$11="","",基础资料!$B$11)</f>
      </c>
      <c r="F36" s="53">
        <f t="shared" si="0"/>
      </c>
      <c r="G36" s="53">
        <f t="shared" si="2"/>
      </c>
      <c r="H36" s="53">
        <f t="shared" si="4"/>
      </c>
      <c r="I36" s="53">
        <f t="shared" si="6"/>
      </c>
    </row>
    <row r="37">
      <c r="A37" s="56" t="n">
        <v>8</v>
      </c>
      <c r="B37" s="58">
        <f>IF(基础资料!$B$12="","",基础资料!$B$12)</f>
      </c>
      <c r="F37" s="53">
        <f t="shared" si="0"/>
      </c>
      <c r="G37" s="53">
        <f t="shared" si="2"/>
      </c>
      <c r="H37" s="53">
        <f t="shared" si="4"/>
      </c>
      <c r="I37" s="53">
        <f t="shared" si="6"/>
      </c>
    </row>
  </sheetData>
  <mergeCells count="12">
    <mergeCell ref="B31:E31"/>
    <mergeCell ref="A26:E26"/>
    <mergeCell ref="B35:E35"/>
    <mergeCell ref="A28:I28"/>
    <mergeCell ref="B37:E37"/>
    <mergeCell ref="B30:E30"/>
    <mergeCell ref="A2:K2"/>
    <mergeCell ref="B33:E33"/>
    <mergeCell ref="B34:E34"/>
    <mergeCell ref="A1:K1"/>
    <mergeCell ref="B36:E36"/>
    <mergeCell ref="B32:E32"/>
  </mergeCells>
  <dataValidations count="1">
    <dataValidation sqref="C3" showDropDown="0" showInputMessage="0" showErrorMessage="0" allowBlank="1" type="list">
      <formula1>=_辅助!$A$1:$A$9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L46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hidden="1" width="4" customWidth="1" min="12" max="12"/>
  </cols>
  <sheetData>
    <row r="1" ht="33" customHeight="1">
      <c r="A1" s="20" t="inlineStr">
        <is>
          <t>费 用 统 计（按公司对比 · 收入、成本费用、利润）</t>
        </is>
      </c>
    </row>
    <row r="2" ht="38" customHeight="1">
      <c r="A2" s="2" t="inlineStr">
        <is>
          <t>💡 选年份和月份范围（比如 1～12 是全年，9～9 是 9 月），每家公司一列，最右是几家合计。费用＝付出去减退回来。要看某一项费用的每一笔：到【资金台帐】「收支项目」那列点筛选。</t>
        </is>
      </c>
    </row>
    <row r="3">
      <c r="B3" s="3" t="inlineStr">
        <is>
          <t>年份</t>
        </is>
      </c>
      <c r="C3" s="6" t="n">
        <v>2026</v>
      </c>
      <c r="E3" s="3" t="inlineStr">
        <is>
          <t>从几月</t>
        </is>
      </c>
      <c r="F3" s="6" t="n">
        <v>1</v>
      </c>
      <c r="H3" s="3" t="inlineStr">
        <is>
          <t>到几月</t>
        </is>
      </c>
      <c r="I3" s="6" t="n">
        <v>12</v>
      </c>
    </row>
    <row r="4" ht="34" customHeight="1">
      <c r="A4" s="21" t="inlineStr">
        <is>
          <t>类别</t>
        </is>
      </c>
      <c r="B4" s="21" t="inlineStr">
        <is>
          <t>项目</t>
        </is>
      </c>
      <c r="C4" s="21" t="str">
        <f>IF(基础资料!$B$5="","",基础资料!$B$5)</f>
        <v>中智优力</v>
      </c>
      <c r="D4" s="21" t="str">
        <f>IF(基础资料!$B$6="","",基础资料!$B$6)</f>
        <v>中慧优力</v>
      </c>
      <c r="E4" s="21" t="str">
        <f>IF(基础资料!$B$7="","",基础资料!$B$7)</f>
        <v>琴馨</v>
      </c>
      <c r="F4" s="21" t="str">
        <f>IF(基础资料!$B$8="","",基础资料!$B$8)</f>
        <v>优茗</v>
      </c>
      <c r="G4" s="21" t="str">
        <f>IF(基础资料!$B$9="","",基础资料!$B$9)</f>
        <v>飞鲸</v>
      </c>
      <c r="H4" s="21">
        <f>IF(基础资料!$B$10="","",基础资料!$B$10)</f>
      </c>
      <c r="I4" s="21">
        <f>IF(基础资料!$B$11="","",基础资料!$B$11)</f>
      </c>
      <c r="J4" s="21">
        <f>IF(基础资料!$B$12="","",基础资料!$B$12)</f>
      </c>
      <c r="K4" s="21" t="inlineStr">
        <is>
          <t>合计</t>
        </is>
      </c>
      <c r="L4" s="22" t="inlineStr">
        <is>
          <t>项目名</t>
        </is>
      </c>
    </row>
    <row r="5">
      <c r="A5" s="23" t="inlineStr">
        <is>
          <t>收入</t>
        </is>
      </c>
      <c r="B5" s="24" t="str">
        <f>IF(基础资料!$W$5="",基础资料!$U$5&amp;"",基础资料!$W$5&amp;"")</f>
        <v>项目</v>
      </c>
      <c r="C5" s="25">
        <f t="shared" ref="C5:C14" si="0">IF(C$4="","",ROUND(SUMIFS(资金台帐!$AD$6:$AD$3005,资金台帐!$T$6:$T$3005,$L5,资金台帐!$U$6:$U$3005,"收入",资金台帐!$BH$6:$BH$3005,1,资金台帐!$BG$6:$BG$3005,"&gt;="&amp;($C$3*100+$F$3),资金台帐!$BG$6:$BG$3005,"&lt;="&amp;($C$3*100+$I$3)),2))</f>
        <v>0</v>
      </c>
      <c r="D5" s="25">
        <f t="shared" ref="D5:D14" si="2">IF(D$4="","",ROUND(SUMIFS(资金台帐!$AD$6:$AD$3005,资金台帐!$T$6:$T$3005,$L5,资金台帐!$U$6:$U$3005,"收入",资金台帐!$BH$6:$BH$3005,2,资金台帐!$BG$6:$BG$3005,"&gt;="&amp;($C$3*100+$F$3),资金台帐!$BG$6:$BG$3005,"&lt;="&amp;($C$3*100+$I$3)),2))</f>
        <v>0</v>
      </c>
      <c r="E5" s="25">
        <f t="shared" ref="E5:E14" si="4">IF(E$4="","",ROUND(SUMIFS(资金台帐!$AD$6:$AD$3005,资金台帐!$T$6:$T$3005,$L5,资金台帐!$U$6:$U$3005,"收入",资金台帐!$BH$6:$BH$3005,3,资金台帐!$BG$6:$BG$3005,"&gt;="&amp;($C$3*100+$F$3),资金台帐!$BG$6:$BG$3005,"&lt;="&amp;($C$3*100+$I$3)),2))</f>
        <v>0</v>
      </c>
      <c r="F5" s="25">
        <f t="shared" ref="F5:F14" si="6">IF(F$4="","",ROUND(SUMIFS(资金台帐!$AD$6:$AD$3005,资金台帐!$T$6:$T$3005,$L5,资金台帐!$U$6:$U$3005,"收入",资金台帐!$BH$6:$BH$3005,4,资金台帐!$BG$6:$BG$3005,"&gt;="&amp;($C$3*100+$F$3),资金台帐!$BG$6:$BG$3005,"&lt;="&amp;($C$3*100+$I$3)),2))</f>
        <v>0</v>
      </c>
      <c r="G5" s="25">
        <f t="shared" ref="G5:G14" si="8">IF(G$4="","",ROUND(SUMIFS(资金台帐!$AD$6:$AD$3005,资金台帐!$T$6:$T$3005,$L5,资金台帐!$U$6:$U$3005,"收入",资金台帐!$BH$6:$BH$3005,5,资金台帐!$BG$6:$BG$3005,"&gt;="&amp;($C$3*100+$F$3),资金台帐!$BG$6:$BG$3005,"&lt;="&amp;($C$3*100+$I$3)),2))</f>
        <v>0</v>
      </c>
      <c r="H5" s="25">
        <f t="shared" ref="H5:H14" si="10">IF(H$4="","",ROUND(SUMIFS(资金台帐!$AD$6:$AD$3005,资金台帐!$T$6:$T$3005,$L5,资金台帐!$U$6:$U$3005,"收入",资金台帐!$BH$6:$BH$3005,6,资金台帐!$BG$6:$BG$3005,"&gt;="&amp;($C$3*100+$F$3),资金台帐!$BG$6:$BG$3005,"&lt;="&amp;($C$3*100+$I$3)),2))</f>
      </c>
      <c r="I5" s="25">
        <f t="shared" ref="I5:I14" si="12">IF(I$4="","",ROUND(SUMIFS(资金台帐!$AD$6:$AD$3005,资金台帐!$T$6:$T$3005,$L5,资金台帐!$U$6:$U$3005,"收入",资金台帐!$BH$6:$BH$3005,7,资金台帐!$BG$6:$BG$3005,"&gt;="&amp;($C$3*100+$F$3),资金台帐!$BG$6:$BG$3005,"&lt;="&amp;($C$3*100+$I$3)),2))</f>
      </c>
      <c r="J5" s="25">
        <f t="shared" ref="J5:J14" si="14">IF(J$4="","",ROUND(SUMIFS(资金台帐!$AD$6:$AD$3005,资金台帐!$T$6:$T$3005,$L5,资金台帐!$U$6:$U$3005,"收入",资金台帐!$BH$6:$BH$3005,8,资金台帐!$BG$6:$BG$3005,"&gt;="&amp;($C$3*100+$F$3),资金台帐!$BG$6:$BG$3005,"&lt;="&amp;($C$3*100+$I$3)),2))</f>
      </c>
      <c r="K5" s="26">
        <f t="shared" ref="K5:K15" si="16">ROUND(SUM(C5:J5),2)</f>
        <v>0</v>
      </c>
      <c r="L5" s="22" t="str">
        <f>基础资料!$U$5&amp;""</f>
        <v>项目</v>
      </c>
    </row>
    <row r="6">
      <c r="A6" s="18" t="n"/>
      <c r="B6" s="24" t="str">
        <f>IF(基础资料!$W$6="",基础资料!$U$6&amp;"",基础资料!$W$6&amp;"")</f>
        <v>续费</v>
      </c>
      <c r="C6" s="25">
        <f t="shared" si="0"/>
        <v>0</v>
      </c>
      <c r="D6" s="25">
        <f t="shared" si="2"/>
        <v>0</v>
      </c>
      <c r="E6" s="25">
        <f t="shared" si="4"/>
        <v>0</v>
      </c>
      <c r="F6" s="25">
        <f t="shared" si="6"/>
        <v>0</v>
      </c>
      <c r="G6" s="25">
        <f t="shared" si="8"/>
        <v>0</v>
      </c>
      <c r="H6" s="25">
        <f t="shared" si="10"/>
      </c>
      <c r="I6" s="25">
        <f t="shared" si="12"/>
      </c>
      <c r="J6" s="25">
        <f t="shared" si="14"/>
      </c>
      <c r="K6" s="26">
        <f t="shared" si="16"/>
        <v>0</v>
      </c>
      <c r="L6" s="22" t="str">
        <f>基础资料!$U$6&amp;""</f>
        <v>续费</v>
      </c>
    </row>
    <row r="7">
      <c r="A7" s="18" t="n"/>
      <c r="B7" s="24" t="str">
        <f>IF(基础资料!$W$7="",基础资料!$U$7&amp;"",基础资料!$W$7&amp;"")</f>
        <v>新增</v>
      </c>
      <c r="C7" s="25">
        <f t="shared" si="0"/>
        <v>171000</v>
      </c>
      <c r="D7" s="25">
        <f t="shared" si="2"/>
        <v>66800</v>
      </c>
      <c r="E7" s="25">
        <f t="shared" si="4"/>
        <v>64800</v>
      </c>
      <c r="F7" s="25">
        <f t="shared" si="6"/>
        <v>0</v>
      </c>
      <c r="G7" s="25">
        <f t="shared" si="8"/>
        <v>0</v>
      </c>
      <c r="H7" s="25">
        <f t="shared" si="10"/>
      </c>
      <c r="I7" s="25">
        <f t="shared" si="12"/>
      </c>
      <c r="J7" s="25">
        <f t="shared" si="14"/>
      </c>
      <c r="K7" s="26">
        <f t="shared" si="16"/>
        <v>302600</v>
      </c>
      <c r="L7" s="22" t="str">
        <f>基础资料!$U$7&amp;""</f>
        <v>新增</v>
      </c>
    </row>
    <row r="8">
      <c r="A8" s="18" t="n"/>
      <c r="B8" s="24" t="str">
        <f>IF(基础资料!$W$8="",基础资料!$U$8&amp;"",基础资料!$W$8&amp;"")</f>
        <v>代办</v>
      </c>
      <c r="C8" s="25">
        <f t="shared" si="0"/>
        <v>0</v>
      </c>
      <c r="D8" s="25">
        <f t="shared" si="2"/>
        <v>0</v>
      </c>
      <c r="E8" s="25">
        <f t="shared" si="4"/>
        <v>0</v>
      </c>
      <c r="F8" s="25">
        <f t="shared" si="6"/>
        <v>0</v>
      </c>
      <c r="G8" s="25">
        <f t="shared" si="8"/>
        <v>0</v>
      </c>
      <c r="H8" s="25">
        <f t="shared" si="10"/>
      </c>
      <c r="I8" s="25">
        <f t="shared" si="12"/>
      </c>
      <c r="J8" s="25">
        <f t="shared" si="14"/>
      </c>
      <c r="K8" s="26">
        <f t="shared" si="16"/>
        <v>0</v>
      </c>
      <c r="L8" s="22" t="str">
        <f>基础资料!$U$8&amp;""</f>
        <v>代办</v>
      </c>
    </row>
    <row r="9">
      <c r="A9" s="18" t="n"/>
      <c r="B9" s="24" t="str">
        <f>IF(基础资料!$W$9="",基础资料!$U$9&amp;"",基础资料!$W$9&amp;"")</f>
        <v>刻章</v>
      </c>
      <c r="C9" s="25">
        <f t="shared" si="0"/>
        <v>0</v>
      </c>
      <c r="D9" s="25">
        <f t="shared" si="2"/>
        <v>0</v>
      </c>
      <c r="E9" s="25">
        <f t="shared" si="4"/>
        <v>0</v>
      </c>
      <c r="F9" s="25">
        <f t="shared" si="6"/>
        <v>0</v>
      </c>
      <c r="G9" s="25">
        <f t="shared" si="8"/>
        <v>0</v>
      </c>
      <c r="H9" s="25">
        <f t="shared" si="10"/>
      </c>
      <c r="I9" s="25">
        <f t="shared" si="12"/>
      </c>
      <c r="J9" s="25">
        <f t="shared" si="14"/>
      </c>
      <c r="K9" s="26">
        <f t="shared" si="16"/>
        <v>0</v>
      </c>
      <c r="L9" s="22" t="str">
        <f>基础资料!$U$9&amp;""</f>
        <v>刻章</v>
      </c>
    </row>
    <row r="10">
      <c r="A10" s="18" t="n"/>
      <c r="B10" s="24" t="str">
        <f>IF(基础资料!$W$10="",基础资料!$U$10&amp;"",基础资料!$W$10&amp;"")</f>
        <v>场地</v>
      </c>
      <c r="C10" s="25">
        <f t="shared" si="0"/>
        <v>0</v>
      </c>
      <c r="D10" s="25">
        <f t="shared" si="2"/>
        <v>0</v>
      </c>
      <c r="E10" s="25">
        <f t="shared" si="4"/>
        <v>0</v>
      </c>
      <c r="F10" s="25">
        <f t="shared" si="6"/>
        <v>0</v>
      </c>
      <c r="G10" s="25">
        <f t="shared" si="8"/>
        <v>0</v>
      </c>
      <c r="H10" s="25">
        <f t="shared" si="10"/>
      </c>
      <c r="I10" s="25">
        <f t="shared" si="12"/>
      </c>
      <c r="J10" s="25">
        <f t="shared" si="14"/>
      </c>
      <c r="K10" s="26">
        <f t="shared" si="16"/>
        <v>0</v>
      </c>
      <c r="L10" s="22" t="str">
        <f>基础资料!$U$10&amp;""</f>
        <v>场地</v>
      </c>
    </row>
    <row r="11">
      <c r="A11" s="18" t="n"/>
      <c r="B11" s="24" t="str">
        <f>IF(基础资料!$W$11="",基础资料!$U$11&amp;"",基础资料!$W$11&amp;"")</f>
        <v>办证</v>
      </c>
      <c r="C11" s="25">
        <f t="shared" si="0"/>
        <v>0</v>
      </c>
      <c r="D11" s="25">
        <f t="shared" si="2"/>
        <v>0</v>
      </c>
      <c r="E11" s="25">
        <f t="shared" si="4"/>
        <v>0</v>
      </c>
      <c r="F11" s="25">
        <f t="shared" si="6"/>
        <v>0</v>
      </c>
      <c r="G11" s="25">
        <f t="shared" si="8"/>
        <v>0</v>
      </c>
      <c r="H11" s="25">
        <f t="shared" si="10"/>
      </c>
      <c r="I11" s="25">
        <f t="shared" si="12"/>
      </c>
      <c r="J11" s="25">
        <f t="shared" si="14"/>
      </c>
      <c r="K11" s="26">
        <f t="shared" si="16"/>
        <v>0</v>
      </c>
      <c r="L11" s="22" t="str">
        <f>基础资料!$U$11&amp;""</f>
        <v>办证</v>
      </c>
    </row>
    <row r="12">
      <c r="A12" s="18" t="n"/>
      <c r="B12" s="24" t="str">
        <f>IF(基础资料!$W$12="",基础资料!$U$12&amp;"",基础资料!$W$12&amp;"")</f>
        <v>转介绍</v>
      </c>
      <c r="C12" s="25">
        <f t="shared" si="0"/>
        <v>0</v>
      </c>
      <c r="D12" s="25">
        <f t="shared" si="2"/>
        <v>0</v>
      </c>
      <c r="E12" s="25">
        <f t="shared" si="4"/>
        <v>0</v>
      </c>
      <c r="F12" s="25">
        <f t="shared" si="6"/>
        <v>0</v>
      </c>
      <c r="G12" s="25">
        <f t="shared" si="8"/>
        <v>0</v>
      </c>
      <c r="H12" s="25">
        <f t="shared" si="10"/>
      </c>
      <c r="I12" s="25">
        <f t="shared" si="12"/>
      </c>
      <c r="J12" s="25">
        <f t="shared" si="14"/>
      </c>
      <c r="K12" s="26">
        <f t="shared" si="16"/>
        <v>0</v>
      </c>
      <c r="L12" s="22" t="str">
        <f>基础资料!$U$12&amp;""</f>
        <v>转介绍</v>
      </c>
    </row>
    <row r="13">
      <c r="A13" s="18" t="n"/>
      <c r="B13" s="24" t="str">
        <f>IF(基础资料!$W$13="",基础资料!$U$13&amp;"",基础资料!$W$13&amp;"")</f>
        <v>园区返税</v>
      </c>
      <c r="C13" s="25">
        <f t="shared" si="0"/>
        <v>0</v>
      </c>
      <c r="D13" s="25">
        <f t="shared" si="2"/>
        <v>0</v>
      </c>
      <c r="E13" s="25">
        <f t="shared" si="4"/>
        <v>0</v>
      </c>
      <c r="F13" s="25">
        <f t="shared" si="6"/>
        <v>0</v>
      </c>
      <c r="G13" s="25">
        <f t="shared" si="8"/>
        <v>0</v>
      </c>
      <c r="H13" s="25">
        <f t="shared" si="10"/>
      </c>
      <c r="I13" s="25">
        <f t="shared" si="12"/>
      </c>
      <c r="J13" s="25">
        <f t="shared" si="14"/>
      </c>
      <c r="K13" s="26">
        <f t="shared" si="16"/>
        <v>0</v>
      </c>
      <c r="L13" s="22" t="str">
        <f>基础资料!$U$13&amp;""</f>
        <v>园区返税</v>
      </c>
    </row>
    <row r="14">
      <c r="A14" s="18" t="n"/>
      <c r="B14" s="24" t="str">
        <f>IF(基础资料!$W$14="",基础资料!$U$14&amp;"",基础资料!$W$14&amp;"")</f>
        <v>咨询服务</v>
      </c>
      <c r="C14" s="25">
        <f t="shared" si="0"/>
        <v>0</v>
      </c>
      <c r="D14" s="25">
        <f t="shared" si="2"/>
        <v>0</v>
      </c>
      <c r="E14" s="25">
        <f t="shared" si="4"/>
        <v>0</v>
      </c>
      <c r="F14" s="25">
        <f t="shared" si="6"/>
        <v>0</v>
      </c>
      <c r="G14" s="25">
        <f t="shared" si="8"/>
        <v>0</v>
      </c>
      <c r="H14" s="25">
        <f t="shared" si="10"/>
      </c>
      <c r="I14" s="25">
        <f t="shared" si="12"/>
      </c>
      <c r="J14" s="25">
        <f t="shared" si="14"/>
      </c>
      <c r="K14" s="26">
        <f t="shared" si="16"/>
        <v>0</v>
      </c>
      <c r="L14" s="22" t="str">
        <f>基础资料!$U$14&amp;""</f>
        <v>咨询服务</v>
      </c>
    </row>
    <row r="15">
      <c r="A15" s="18" t="n"/>
      <c r="B15" s="24" t="str">
        <f>IF(COUNTIFS(基础资料!$V$5:$V$64,"收入",基础资料!$U$5:$U$64,"?*")&gt;11,"其他（含新加项目）","其他")</f>
        <v>其他</v>
      </c>
      <c r="C15" s="25">
        <f>IF(C$4="","",ROUND(SUMIFS(资金台帐!$AD$6:$AD$3005,资金台帐!$U$6:$U$3005,"收入",资金台帐!$BH$6:$BH$3005,1,资金台帐!$BG$6:$BG$3005,"&gt;="&amp;($C$3*100+$F$3),资金台帐!$BG$6:$BG$3005,"&lt;="&amp;($C$3*100+$I$3))-SUM(C5:C14),2))</f>
        <v>0</v>
      </c>
      <c r="D15" s="25">
        <f>IF(D$4="","",ROUND(SUMIFS(资金台帐!$AD$6:$AD$3005,资金台帐!$U$6:$U$3005,"收入",资金台帐!$BH$6:$BH$3005,2,资金台帐!$BG$6:$BG$3005,"&gt;="&amp;($C$3*100+$F$3),资金台帐!$BG$6:$BG$3005,"&lt;="&amp;($C$3*100+$I$3))-SUM(D5:D14),2))</f>
        <v>5.45</v>
      </c>
      <c r="E15" s="25">
        <f>IF(E$4="","",ROUND(SUMIFS(资金台帐!$AD$6:$AD$3005,资金台帐!$U$6:$U$3005,"收入",资金台帐!$BH$6:$BH$3005,3,资金台帐!$BG$6:$BG$3005,"&gt;="&amp;($C$3*100+$F$3),资金台帐!$BG$6:$BG$3005,"&lt;="&amp;($C$3*100+$I$3))-SUM(E5:E14),2))</f>
        <v>8.17</v>
      </c>
      <c r="F15" s="25">
        <f>IF(F$4="","",ROUND(SUMIFS(资金台帐!$AD$6:$AD$3005,资金台帐!$U$6:$U$3005,"收入",资金台帐!$BH$6:$BH$3005,4,资金台帐!$BG$6:$BG$3005,"&gt;="&amp;($C$3*100+$F$3),资金台帐!$BG$6:$BG$3005,"&lt;="&amp;($C$3*100+$I$3))-SUM(F5:F14),2))</f>
        <v>0</v>
      </c>
      <c r="G15" s="25">
        <f>IF(G$4="","",ROUND(SUMIFS(资金台帐!$AD$6:$AD$3005,资金台帐!$U$6:$U$3005,"收入",资金台帐!$BH$6:$BH$3005,5,资金台帐!$BG$6:$BG$3005,"&gt;="&amp;($C$3*100+$F$3),资金台帐!$BG$6:$BG$3005,"&lt;="&amp;($C$3*100+$I$3))-SUM(G5:G14),2))</f>
        <v>0</v>
      </c>
      <c r="H15" s="25">
        <f>IF(H$4="","",ROUND(SUMIFS(资金台帐!$AD$6:$AD$3005,资金台帐!$U$6:$U$3005,"收入",资金台帐!$BH$6:$BH$3005,6,资金台帐!$BG$6:$BG$3005,"&gt;="&amp;($C$3*100+$F$3),资金台帐!$BG$6:$BG$3005,"&lt;="&amp;($C$3*100+$I$3))-SUM(H5:H14),2))</f>
      </c>
      <c r="I15" s="25">
        <f>IF(I$4="","",ROUND(SUMIFS(资金台帐!$AD$6:$AD$3005,资金台帐!$U$6:$U$3005,"收入",资金台帐!$BH$6:$BH$3005,7,资金台帐!$BG$6:$BG$3005,"&gt;="&amp;($C$3*100+$F$3),资金台帐!$BG$6:$BG$3005,"&lt;="&amp;($C$3*100+$I$3))-SUM(I5:I14),2))</f>
      </c>
      <c r="J15" s="25">
        <f>IF(J$4="","",ROUND(SUMIFS(资金台帐!$AD$6:$AD$3005,资金台帐!$U$6:$U$3005,"收入",资金台帐!$BH$6:$BH$3005,8,资金台帐!$BG$6:$BG$3005,"&gt;="&amp;($C$3*100+$F$3),资金台帐!$BG$6:$BG$3005,"&lt;="&amp;($C$3*100+$I$3))-SUM(J5:J14),2))</f>
      </c>
      <c r="K15" s="26">
        <f t="shared" si="16"/>
        <v>13.62</v>
      </c>
      <c r="L15" s="22" t="str">
        <f>基础资料!$U$15&amp;""</f>
        <v>其他收入</v>
      </c>
    </row>
    <row r="16">
      <c r="A16" s="18" t="n"/>
      <c r="B16" s="63" t="inlineStr">
        <is>
          <t>收入合计</t>
        </is>
      </c>
      <c r="C16" s="33">
        <f>ROUND(SUM(C5:C15),2)</f>
        <v>171000</v>
      </c>
      <c r="D16" s="33">
        <f>ROUND(SUM(D5:D15),2)</f>
        <v>66805.45</v>
      </c>
      <c r="E16" s="33">
        <f>ROUND(SUM(E5:E15),2)</f>
        <v>64808.17</v>
      </c>
      <c r="F16" s="33">
        <f>ROUND(SUM(F5:F15),2)</f>
        <v>0</v>
      </c>
      <c r="G16" s="33">
        <f>ROUND(SUM(G5:G15),2)</f>
        <v>0</v>
      </c>
      <c r="H16" s="33">
        <f>ROUND(SUM(H5:H15),2)</f>
        <v>0</v>
      </c>
      <c r="I16" s="33">
        <f>ROUND(SUM(I5:I15),2)</f>
        <v>0</v>
      </c>
      <c r="J16" s="33">
        <f>ROUND(SUM(J5:J15),2)</f>
        <v>0</v>
      </c>
      <c r="K16" s="33">
        <f>ROUND(SUM(K5:K15),2)</f>
        <v>302613.62</v>
      </c>
    </row>
    <row r="17">
      <c r="A17" s="30" t="inlineStr">
        <is>
          <t>变动成本</t>
        </is>
      </c>
      <c r="B17" s="31" t="str">
        <f>IF(基础资料!$W$16="",基础资料!$U$16&amp;"",基础资料!$W$16&amp;"")</f>
        <v>人工-工资</v>
      </c>
      <c r="C17" s="32">
        <f t="shared" ref="C17:C32" si="1">IF(C$4="","",ROUND(-SUMIFS(资金台帐!$AD$6:$AD$3005,资金台帐!$T$6:$T$3005,$L17,资金台帐!$U$6:$U$3005,"变动成本",资金台帐!$BH$6:$BH$3005,1,资金台帐!$BG$6:$BG$3005,"&gt;="&amp;($C$3*100+$F$3),资金台帐!$BG$6:$BG$3005,"&lt;="&amp;($C$3*100+$I$3)),2))</f>
        <v>1101.45</v>
      </c>
      <c r="D17" s="32">
        <f t="shared" ref="D17:D32" si="3">IF(D$4="","",ROUND(-SUMIFS(资金台帐!$AD$6:$AD$3005,资金台帐!$T$6:$T$3005,$L17,资金台帐!$U$6:$U$3005,"变动成本",资金台帐!$BH$6:$BH$3005,2,资金台帐!$BG$6:$BG$3005,"&gt;="&amp;($C$3*100+$F$3),资金台帐!$BG$6:$BG$3005,"&lt;="&amp;($C$3*100+$I$3)),2))</f>
        <v>18774.82</v>
      </c>
      <c r="E17" s="32">
        <f t="shared" ref="E17:E32" si="5">IF(E$4="","",ROUND(-SUMIFS(资金台帐!$AD$6:$AD$3005,资金台帐!$T$6:$T$3005,$L17,资金台帐!$U$6:$U$3005,"变动成本",资金台帐!$BH$6:$BH$3005,3,资金台帐!$BG$6:$BG$3005,"&gt;="&amp;($C$3*100+$F$3),资金台帐!$BG$6:$BG$3005,"&lt;="&amp;($C$3*100+$I$3)),2))</f>
        <v>0</v>
      </c>
      <c r="F17" s="32">
        <f t="shared" ref="F17:F32" si="7">IF(F$4="","",ROUND(-SUMIFS(资金台帐!$AD$6:$AD$3005,资金台帐!$T$6:$T$3005,$L17,资金台帐!$U$6:$U$3005,"变动成本",资金台帐!$BH$6:$BH$3005,4,资金台帐!$BG$6:$BG$3005,"&gt;="&amp;($C$3*100+$F$3),资金台帐!$BG$6:$BG$3005,"&lt;="&amp;($C$3*100+$I$3)),2))</f>
        <v>0</v>
      </c>
      <c r="G17" s="32">
        <f t="shared" ref="G17:G32" si="9">IF(G$4="","",ROUND(-SUMIFS(资金台帐!$AD$6:$AD$3005,资金台帐!$T$6:$T$3005,$L17,资金台帐!$U$6:$U$3005,"变动成本",资金台帐!$BH$6:$BH$3005,5,资金台帐!$BG$6:$BG$3005,"&gt;="&amp;($C$3*100+$F$3),资金台帐!$BG$6:$BG$3005,"&lt;="&amp;($C$3*100+$I$3)),2))</f>
        <v>0</v>
      </c>
      <c r="H17" s="32">
        <f t="shared" ref="H17:H32" si="11">IF(H$4="","",ROUND(-SUMIFS(资金台帐!$AD$6:$AD$3005,资金台帐!$T$6:$T$3005,$L17,资金台帐!$U$6:$U$3005,"变动成本",资金台帐!$BH$6:$BH$3005,6,资金台帐!$BG$6:$BG$3005,"&gt;="&amp;($C$3*100+$F$3),资金台帐!$BG$6:$BG$3005,"&lt;="&amp;($C$3*100+$I$3)),2))</f>
      </c>
      <c r="I17" s="32">
        <f t="shared" ref="I17:I32" si="13">IF(I$4="","",ROUND(-SUMIFS(资金台帐!$AD$6:$AD$3005,资金台帐!$T$6:$T$3005,$L17,资金台帐!$U$6:$U$3005,"变动成本",资金台帐!$BH$6:$BH$3005,7,资金台帐!$BG$6:$BG$3005,"&gt;="&amp;($C$3*100+$F$3),资金台帐!$BG$6:$BG$3005,"&lt;="&amp;($C$3*100+$I$3)),2))</f>
      </c>
      <c r="J17" s="32">
        <f t="shared" ref="J17:J32" si="15">IF(J$4="","",ROUND(-SUMIFS(资金台帐!$AD$6:$AD$3005,资金台帐!$T$6:$T$3005,$L17,资金台帐!$U$6:$U$3005,"变动成本",资金台帐!$BH$6:$BH$3005,8,资金台帐!$BG$6:$BG$3005,"&gt;="&amp;($C$3*100+$F$3),资金台帐!$BG$6:$BG$3005,"&lt;="&amp;($C$3*100+$I$3)),2))</f>
      </c>
      <c r="K17" s="33">
        <f t="shared" ref="K17:K33" si="17">ROUND(SUM(C17:J17),2)</f>
        <v>19876.27</v>
      </c>
      <c r="L17" s="22" t="str">
        <f>基础资料!$U$16&amp;""</f>
        <v>人工-工资</v>
      </c>
    </row>
    <row r="18">
      <c r="A18" s="18" t="n"/>
      <c r="B18" s="31" t="str">
        <f>IF(基础资料!$W$17="",基础资料!$U$17&amp;"",基础资料!$W$17&amp;"")</f>
        <v>人工-社保</v>
      </c>
      <c r="C18" s="32">
        <f t="shared" si="1"/>
        <v>0</v>
      </c>
      <c r="D18" s="32">
        <f t="shared" si="3"/>
        <v>16357.94</v>
      </c>
      <c r="E18" s="32">
        <f t="shared" si="5"/>
        <v>500</v>
      </c>
      <c r="F18" s="32">
        <f t="shared" si="7"/>
        <v>0</v>
      </c>
      <c r="G18" s="32">
        <f t="shared" si="9"/>
        <v>0</v>
      </c>
      <c r="H18" s="32">
        <f t="shared" si="11"/>
      </c>
      <c r="I18" s="32">
        <f t="shared" si="13"/>
      </c>
      <c r="J18" s="32">
        <f t="shared" si="15"/>
      </c>
      <c r="K18" s="33">
        <f t="shared" si="17"/>
        <v>16857.94</v>
      </c>
      <c r="L18" s="22" t="str">
        <f>基础资料!$U$17&amp;""</f>
        <v>人工-社保</v>
      </c>
    </row>
    <row r="19">
      <c r="A19" s="18" t="n"/>
      <c r="B19" s="31" t="str">
        <f>IF(基础资料!$W$18="",基础资料!$U$18&amp;"",基础资料!$W$18&amp;"")</f>
        <v>人工-福利</v>
      </c>
      <c r="C19" s="32">
        <f t="shared" si="1"/>
        <v>0</v>
      </c>
      <c r="D19" s="32">
        <f t="shared" si="3"/>
        <v>0</v>
      </c>
      <c r="E19" s="32">
        <f t="shared" si="5"/>
        <v>0</v>
      </c>
      <c r="F19" s="32">
        <f t="shared" si="7"/>
        <v>0</v>
      </c>
      <c r="G19" s="32">
        <f t="shared" si="9"/>
        <v>0</v>
      </c>
      <c r="H19" s="32">
        <f t="shared" si="11"/>
      </c>
      <c r="I19" s="32">
        <f t="shared" si="13"/>
      </c>
      <c r="J19" s="32">
        <f t="shared" si="15"/>
      </c>
      <c r="K19" s="33">
        <f t="shared" si="17"/>
        <v>0</v>
      </c>
      <c r="L19" s="22" t="str">
        <f>基础资料!$U$18&amp;""</f>
        <v>人工-福利</v>
      </c>
    </row>
    <row r="20">
      <c r="A20" s="18" t="n"/>
      <c r="B20" s="31" t="str">
        <f>IF(基础资料!$W$19="",基础资料!$U$19&amp;"",基础资料!$W$19&amp;"")</f>
        <v>税金</v>
      </c>
      <c r="C20" s="32">
        <f t="shared" si="1"/>
        <v>22160.77</v>
      </c>
      <c r="D20" s="32">
        <f t="shared" si="3"/>
        <v>0</v>
      </c>
      <c r="E20" s="32">
        <f t="shared" si="5"/>
        <v>5350</v>
      </c>
      <c r="F20" s="32">
        <f t="shared" si="7"/>
        <v>5369.91</v>
      </c>
      <c r="G20" s="32">
        <f t="shared" si="9"/>
        <v>18.75</v>
      </c>
      <c r="H20" s="32">
        <f t="shared" si="11"/>
      </c>
      <c r="I20" s="32">
        <f t="shared" si="13"/>
      </c>
      <c r="J20" s="32">
        <f t="shared" si="15"/>
      </c>
      <c r="K20" s="33">
        <f t="shared" si="17"/>
        <v>32899.43</v>
      </c>
      <c r="L20" s="22" t="str">
        <f>基础资料!$U$19&amp;""</f>
        <v>税金</v>
      </c>
    </row>
    <row r="21">
      <c r="A21" s="18" t="n"/>
      <c r="B21" s="31" t="str">
        <f>IF(基础资料!$W$20="",基础资料!$U$20&amp;"",基础资料!$W$20&amp;"")</f>
        <v>差旅费</v>
      </c>
      <c r="C21" s="32">
        <f t="shared" si="1"/>
        <v>0</v>
      </c>
      <c r="D21" s="32">
        <f t="shared" si="3"/>
        <v>0</v>
      </c>
      <c r="E21" s="32">
        <f t="shared" si="5"/>
        <v>0</v>
      </c>
      <c r="F21" s="32">
        <f t="shared" si="7"/>
        <v>0</v>
      </c>
      <c r="G21" s="32">
        <f t="shared" si="9"/>
        <v>0</v>
      </c>
      <c r="H21" s="32">
        <f t="shared" si="11"/>
      </c>
      <c r="I21" s="32">
        <f t="shared" si="13"/>
      </c>
      <c r="J21" s="32">
        <f t="shared" si="15"/>
      </c>
      <c r="K21" s="33">
        <f t="shared" si="17"/>
        <v>0</v>
      </c>
      <c r="L21" s="22" t="str">
        <f>基础资料!$U$20&amp;""</f>
        <v>差旅费</v>
      </c>
    </row>
    <row r="22">
      <c r="A22" s="18" t="n"/>
      <c r="B22" s="31" t="str">
        <f>IF(基础资料!$W$21="",基础资料!$U$21&amp;"",基础资料!$W$21&amp;"")</f>
        <v>培训费</v>
      </c>
      <c r="C22" s="32">
        <f t="shared" si="1"/>
        <v>0</v>
      </c>
      <c r="D22" s="32">
        <f t="shared" si="3"/>
        <v>0</v>
      </c>
      <c r="E22" s="32">
        <f t="shared" si="5"/>
        <v>0</v>
      </c>
      <c r="F22" s="32">
        <f t="shared" si="7"/>
        <v>0</v>
      </c>
      <c r="G22" s="32">
        <f t="shared" si="9"/>
        <v>0</v>
      </c>
      <c r="H22" s="32">
        <f t="shared" si="11"/>
      </c>
      <c r="I22" s="32">
        <f t="shared" si="13"/>
      </c>
      <c r="J22" s="32">
        <f t="shared" si="15"/>
      </c>
      <c r="K22" s="33">
        <f t="shared" si="17"/>
        <v>0</v>
      </c>
      <c r="L22" s="22" t="str">
        <f>基础资料!$U$21&amp;""</f>
        <v>培训费</v>
      </c>
    </row>
    <row r="23">
      <c r="A23" s="18" t="n"/>
      <c r="B23" s="31" t="str">
        <f>IF(基础资料!$W$22="",基础资料!$U$22&amp;"",基础资料!$W$22&amp;"")</f>
        <v>银行手续费</v>
      </c>
      <c r="C23" s="32">
        <f t="shared" si="1"/>
        <v>29.02</v>
      </c>
      <c r="D23" s="32">
        <f t="shared" si="3"/>
        <v>0</v>
      </c>
      <c r="E23" s="32">
        <f t="shared" si="5"/>
        <v>0</v>
      </c>
      <c r="F23" s="32">
        <f t="shared" si="7"/>
        <v>1</v>
      </c>
      <c r="G23" s="32">
        <f t="shared" si="9"/>
        <v>0</v>
      </c>
      <c r="H23" s="32">
        <f t="shared" si="11"/>
      </c>
      <c r="I23" s="32">
        <f t="shared" si="13"/>
      </c>
      <c r="J23" s="32">
        <f t="shared" si="15"/>
      </c>
      <c r="K23" s="33">
        <f t="shared" si="17"/>
        <v>30.02</v>
      </c>
      <c r="L23" s="22" t="str">
        <f>基础资料!$U$22&amp;""</f>
        <v>银行手续费</v>
      </c>
    </row>
    <row r="24">
      <c r="A24" s="18" t="n"/>
      <c r="B24" s="31" t="str">
        <f>IF(基础资料!$W$23="",基础资料!$U$23&amp;"",基础资料!$W$23&amp;"")</f>
        <v>刻章费用</v>
      </c>
      <c r="C24" s="32">
        <f t="shared" si="1"/>
        <v>0</v>
      </c>
      <c r="D24" s="32">
        <f t="shared" si="3"/>
        <v>0</v>
      </c>
      <c r="E24" s="32">
        <f t="shared" si="5"/>
        <v>0</v>
      </c>
      <c r="F24" s="32">
        <f t="shared" si="7"/>
        <v>0</v>
      </c>
      <c r="G24" s="32">
        <f t="shared" si="9"/>
        <v>0</v>
      </c>
      <c r="H24" s="32">
        <f t="shared" si="11"/>
      </c>
      <c r="I24" s="32">
        <f t="shared" si="13"/>
      </c>
      <c r="J24" s="32">
        <f t="shared" si="15"/>
      </c>
      <c r="K24" s="33">
        <f t="shared" si="17"/>
        <v>0</v>
      </c>
      <c r="L24" s="22" t="str">
        <f>基础资料!$U$23&amp;""</f>
        <v>刻章费用</v>
      </c>
    </row>
    <row r="25">
      <c r="A25" s="18" t="n"/>
      <c r="B25" s="31" t="str">
        <f>IF(基础资料!$W$24="",基础资料!$U$24&amp;"",基础资料!$W$24&amp;"")</f>
        <v>办公费用</v>
      </c>
      <c r="C25" s="32">
        <f t="shared" si="1"/>
        <v>214.29</v>
      </c>
      <c r="D25" s="32">
        <f t="shared" si="3"/>
        <v>0</v>
      </c>
      <c r="E25" s="32">
        <f t="shared" si="5"/>
        <v>0</v>
      </c>
      <c r="F25" s="32">
        <f t="shared" si="7"/>
        <v>0</v>
      </c>
      <c r="G25" s="32">
        <f t="shared" si="9"/>
        <v>0</v>
      </c>
      <c r="H25" s="32">
        <f t="shared" si="11"/>
      </c>
      <c r="I25" s="32">
        <f t="shared" si="13"/>
      </c>
      <c r="J25" s="32">
        <f t="shared" si="15"/>
      </c>
      <c r="K25" s="33">
        <f t="shared" si="17"/>
        <v>214.29</v>
      </c>
      <c r="L25" s="22" t="str">
        <f>基础资料!$U$24&amp;""</f>
        <v>办公费用</v>
      </c>
    </row>
    <row r="26">
      <c r="A26" s="18" t="n"/>
      <c r="B26" s="31" t="str">
        <f>IF(基础资料!$W$25="",基础资料!$U$25&amp;"",基础资料!$W$25&amp;"")</f>
        <v>固定资产</v>
      </c>
      <c r="C26" s="32">
        <f t="shared" si="1"/>
        <v>0</v>
      </c>
      <c r="D26" s="32">
        <f t="shared" si="3"/>
        <v>0</v>
      </c>
      <c r="E26" s="32">
        <f t="shared" si="5"/>
        <v>0</v>
      </c>
      <c r="F26" s="32">
        <f t="shared" si="7"/>
        <v>0</v>
      </c>
      <c r="G26" s="32">
        <f t="shared" si="9"/>
        <v>0</v>
      </c>
      <c r="H26" s="32">
        <f t="shared" si="11"/>
      </c>
      <c r="I26" s="32">
        <f t="shared" si="13"/>
      </c>
      <c r="J26" s="32">
        <f t="shared" si="15"/>
      </c>
      <c r="K26" s="33">
        <f t="shared" si="17"/>
        <v>0</v>
      </c>
      <c r="L26" s="22" t="str">
        <f>基础资料!$U$25&amp;""</f>
        <v>固定资产</v>
      </c>
    </row>
    <row r="27">
      <c r="A27" s="18" t="n"/>
      <c r="B27" s="31" t="str">
        <f>IF(基础资料!$W$26="",基础资料!$U$26&amp;"",基础资料!$W$26&amp;"")</f>
        <v>汽车费用</v>
      </c>
      <c r="C27" s="32">
        <f t="shared" si="1"/>
        <v>60</v>
      </c>
      <c r="D27" s="32">
        <f t="shared" si="3"/>
        <v>0</v>
      </c>
      <c r="E27" s="32">
        <f t="shared" si="5"/>
        <v>0</v>
      </c>
      <c r="F27" s="32">
        <f t="shared" si="7"/>
        <v>0</v>
      </c>
      <c r="G27" s="32">
        <f t="shared" si="9"/>
        <v>0</v>
      </c>
      <c r="H27" s="32">
        <f t="shared" si="11"/>
      </c>
      <c r="I27" s="32">
        <f t="shared" si="13"/>
      </c>
      <c r="J27" s="32">
        <f t="shared" si="15"/>
      </c>
      <c r="K27" s="33">
        <f t="shared" si="17"/>
        <v>60</v>
      </c>
      <c r="L27" s="22" t="str">
        <f>基础资料!$U$26&amp;""</f>
        <v>汽车费用</v>
      </c>
    </row>
    <row r="28">
      <c r="A28" s="18" t="n"/>
      <c r="B28" s="31" t="str">
        <f>IF(基础资料!$W$27="",基础资料!$U$27&amp;"",基础资料!$W$27&amp;"")</f>
        <v>交际支出</v>
      </c>
      <c r="C28" s="32">
        <f t="shared" si="1"/>
        <v>0</v>
      </c>
      <c r="D28" s="32">
        <f t="shared" si="3"/>
        <v>0</v>
      </c>
      <c r="E28" s="32">
        <f t="shared" si="5"/>
        <v>0</v>
      </c>
      <c r="F28" s="32">
        <f t="shared" si="7"/>
        <v>0</v>
      </c>
      <c r="G28" s="32">
        <f t="shared" si="9"/>
        <v>0</v>
      </c>
      <c r="H28" s="32">
        <f t="shared" si="11"/>
      </c>
      <c r="I28" s="32">
        <f t="shared" si="13"/>
      </c>
      <c r="J28" s="32">
        <f t="shared" si="15"/>
      </c>
      <c r="K28" s="33">
        <f t="shared" si="17"/>
        <v>0</v>
      </c>
      <c r="L28" s="22" t="str">
        <f>基础资料!$U$27&amp;""</f>
        <v>交际支出</v>
      </c>
    </row>
    <row r="29">
      <c r="A29" s="18" t="n"/>
      <c r="B29" s="31" t="str">
        <f>IF(基础资料!$W$28="",基础资料!$U$28&amp;"",基础资料!$W$28&amp;"")</f>
        <v>佣金支出</v>
      </c>
      <c r="C29" s="32">
        <f t="shared" si="1"/>
        <v>0</v>
      </c>
      <c r="D29" s="32">
        <f t="shared" si="3"/>
        <v>0</v>
      </c>
      <c r="E29" s="32">
        <f t="shared" si="5"/>
        <v>0</v>
      </c>
      <c r="F29" s="32">
        <f t="shared" si="7"/>
        <v>0</v>
      </c>
      <c r="G29" s="32">
        <f t="shared" si="9"/>
        <v>0</v>
      </c>
      <c r="H29" s="32">
        <f t="shared" si="11"/>
      </c>
      <c r="I29" s="32">
        <f t="shared" si="13"/>
      </c>
      <c r="J29" s="32">
        <f t="shared" si="15"/>
      </c>
      <c r="K29" s="33">
        <f t="shared" si="17"/>
        <v>0</v>
      </c>
      <c r="L29" s="22" t="str">
        <f>基础资料!$U$28&amp;""</f>
        <v>佣金支出</v>
      </c>
    </row>
    <row r="30">
      <c r="A30" s="18" t="n"/>
      <c r="B30" s="31" t="str">
        <f>IF(基础资料!$W$29="",基础资料!$U$29&amp;"",基础资料!$W$29&amp;"")</f>
        <v>营销费用</v>
      </c>
      <c r="C30" s="32">
        <f t="shared" si="1"/>
        <v>0</v>
      </c>
      <c r="D30" s="32">
        <f t="shared" si="3"/>
        <v>0</v>
      </c>
      <c r="E30" s="32">
        <f t="shared" si="5"/>
        <v>0</v>
      </c>
      <c r="F30" s="32">
        <f t="shared" si="7"/>
        <v>0</v>
      </c>
      <c r="G30" s="32">
        <f t="shared" si="9"/>
        <v>0</v>
      </c>
      <c r="H30" s="32">
        <f t="shared" si="11"/>
      </c>
      <c r="I30" s="32">
        <f t="shared" si="13"/>
      </c>
      <c r="J30" s="32">
        <f t="shared" si="15"/>
      </c>
      <c r="K30" s="33">
        <f t="shared" si="17"/>
        <v>0</v>
      </c>
      <c r="L30" s="22" t="str">
        <f>基础资料!$U$29&amp;""</f>
        <v>营销费用</v>
      </c>
    </row>
    <row r="31">
      <c r="A31" s="18" t="n"/>
      <c r="B31" s="31" t="str">
        <f>IF(基础资料!$W$30="",基础资料!$U$30&amp;"",基础资料!$W$30&amp;"")</f>
        <v>地址成本</v>
      </c>
      <c r="C31" s="32">
        <f t="shared" si="1"/>
        <v>0</v>
      </c>
      <c r="D31" s="32">
        <f t="shared" si="3"/>
        <v>0</v>
      </c>
      <c r="E31" s="32">
        <f t="shared" si="5"/>
        <v>0</v>
      </c>
      <c r="F31" s="32">
        <f t="shared" si="7"/>
        <v>0</v>
      </c>
      <c r="G31" s="32">
        <f t="shared" si="9"/>
        <v>0</v>
      </c>
      <c r="H31" s="32">
        <f t="shared" si="11"/>
      </c>
      <c r="I31" s="32">
        <f t="shared" si="13"/>
      </c>
      <c r="J31" s="32">
        <f t="shared" si="15"/>
      </c>
      <c r="K31" s="33">
        <f t="shared" si="17"/>
        <v>0</v>
      </c>
      <c r="L31" s="22" t="str">
        <f>基础资料!$U$30&amp;""</f>
        <v>地址成本</v>
      </c>
    </row>
    <row r="32">
      <c r="A32" s="18" t="n"/>
      <c r="B32" s="31" t="str">
        <f>IF(基础资料!$W$31="",基础资料!$U$31&amp;"",基础资料!$W$31&amp;"")</f>
        <v>项目成本</v>
      </c>
      <c r="C32" s="32">
        <f t="shared" si="1"/>
        <v>0</v>
      </c>
      <c r="D32" s="32">
        <f t="shared" si="3"/>
        <v>0</v>
      </c>
      <c r="E32" s="32">
        <f t="shared" si="5"/>
        <v>0</v>
      </c>
      <c r="F32" s="32">
        <f t="shared" si="7"/>
        <v>0</v>
      </c>
      <c r="G32" s="32">
        <f t="shared" si="9"/>
        <v>0</v>
      </c>
      <c r="H32" s="32">
        <f t="shared" si="11"/>
      </c>
      <c r="I32" s="32">
        <f t="shared" si="13"/>
      </c>
      <c r="J32" s="32">
        <f t="shared" si="15"/>
      </c>
      <c r="K32" s="33">
        <f t="shared" si="17"/>
        <v>0</v>
      </c>
      <c r="L32" s="22" t="str">
        <f>基础资料!$U$31&amp;""</f>
        <v>项目成本</v>
      </c>
    </row>
    <row r="33">
      <c r="A33" s="18" t="n"/>
      <c r="B33" s="31" t="str">
        <f>IF(COUNTIFS(基础资料!$V$5:$V$64,"变动成本",基础资料!$U$5:$U$64,"?*")&gt;17,"其他（含新加项目）","其他")</f>
        <v>其他</v>
      </c>
      <c r="C33" s="32">
        <f>IF(C$4="","",ROUND(-SUMIFS(资金台帐!$AD$6:$AD$3005,资金台帐!$U$6:$U$3005,"变动成本",资金台帐!$BH$6:$BH$3005,1,资金台帐!$BG$6:$BG$3005,"&gt;="&amp;($C$3*100+$F$3),资金台帐!$BG$6:$BG$3005,"&lt;="&amp;($C$3*100+$I$3))-SUM(C17:C32),2))</f>
        <v>0</v>
      </c>
      <c r="D33" s="32">
        <f>IF(D$4="","",ROUND(-SUMIFS(资金台帐!$AD$6:$AD$3005,资金台帐!$U$6:$U$3005,"变动成本",资金台帐!$BH$6:$BH$3005,2,资金台帐!$BG$6:$BG$3005,"&gt;="&amp;($C$3*100+$F$3),资金台帐!$BG$6:$BG$3005,"&lt;="&amp;($C$3*100+$I$3))-SUM(D17:D32),2))</f>
        <v>0</v>
      </c>
      <c r="E33" s="32">
        <f>IF(E$4="","",ROUND(-SUMIFS(资金台帐!$AD$6:$AD$3005,资金台帐!$U$6:$U$3005,"变动成本",资金台帐!$BH$6:$BH$3005,3,资金台帐!$BG$6:$BG$3005,"&gt;="&amp;($C$3*100+$F$3),资金台帐!$BG$6:$BG$3005,"&lt;="&amp;($C$3*100+$I$3))-SUM(E17:E32),2))</f>
        <v>0</v>
      </c>
      <c r="F33" s="32">
        <f>IF(F$4="","",ROUND(-SUMIFS(资金台帐!$AD$6:$AD$3005,资金台帐!$U$6:$U$3005,"变动成本",资金台帐!$BH$6:$BH$3005,4,资金台帐!$BG$6:$BG$3005,"&gt;="&amp;($C$3*100+$F$3),资金台帐!$BG$6:$BG$3005,"&lt;="&amp;($C$3*100+$I$3))-SUM(F17:F32),2))</f>
        <v>0</v>
      </c>
      <c r="G33" s="32">
        <f>IF(G$4="","",ROUND(-SUMIFS(资金台帐!$AD$6:$AD$3005,资金台帐!$U$6:$U$3005,"变动成本",资金台帐!$BH$6:$BH$3005,5,资金台帐!$BG$6:$BG$3005,"&gt;="&amp;($C$3*100+$F$3),资金台帐!$BG$6:$BG$3005,"&lt;="&amp;($C$3*100+$I$3))-SUM(G17:G32),2))</f>
        <v>0</v>
      </c>
      <c r="H33" s="32">
        <f>IF(H$4="","",ROUND(-SUMIFS(资金台帐!$AD$6:$AD$3005,资金台帐!$U$6:$U$3005,"变动成本",资金台帐!$BH$6:$BH$3005,6,资金台帐!$BG$6:$BG$3005,"&gt;="&amp;($C$3*100+$F$3),资金台帐!$BG$6:$BG$3005,"&lt;="&amp;($C$3*100+$I$3))-SUM(H17:H32),2))</f>
      </c>
      <c r="I33" s="32">
        <f>IF(I$4="","",ROUND(-SUMIFS(资金台帐!$AD$6:$AD$3005,资金台帐!$U$6:$U$3005,"变动成本",资金台帐!$BH$6:$BH$3005,7,资金台帐!$BG$6:$BG$3005,"&gt;="&amp;($C$3*100+$F$3),资金台帐!$BG$6:$BG$3005,"&lt;="&amp;($C$3*100+$I$3))-SUM(I17:I32),2))</f>
      </c>
      <c r="J33" s="32">
        <f>IF(J$4="","",ROUND(-SUMIFS(资金台帐!$AD$6:$AD$3005,资金台帐!$U$6:$U$3005,"变动成本",资金台帐!$BH$6:$BH$3005,8,资金台帐!$BG$6:$BG$3005,"&gt;="&amp;($C$3*100+$F$3),资金台帐!$BG$6:$BG$3005,"&lt;="&amp;($C$3*100+$I$3))-SUM(J17:J32),2))</f>
      </c>
      <c r="K33" s="33">
        <f t="shared" si="17"/>
        <v>0</v>
      </c>
      <c r="L33" s="22" t="str">
        <f>基础资料!$U$32&amp;""</f>
        <v>其他成本</v>
      </c>
    </row>
    <row r="34">
      <c r="A34" s="18" t="n"/>
      <c r="B34" s="63" t="inlineStr">
        <is>
          <t>变动成本小计</t>
        </is>
      </c>
      <c r="C34" s="33">
        <f>ROUND(SUM(C17:C33),2)</f>
        <v>23565.53</v>
      </c>
      <c r="D34" s="33">
        <f>ROUND(SUM(D17:D33),2)</f>
        <v>35132.76</v>
      </c>
      <c r="E34" s="33">
        <f>ROUND(SUM(E17:E33),2)</f>
        <v>5850</v>
      </c>
      <c r="F34" s="33">
        <f>ROUND(SUM(F17:F33),2)</f>
        <v>5370.91</v>
      </c>
      <c r="G34" s="33">
        <f>ROUND(SUM(G17:G33),2)</f>
        <v>18.75</v>
      </c>
      <c r="H34" s="33">
        <f>ROUND(SUM(H17:H33),2)</f>
        <v>0</v>
      </c>
      <c r="I34" s="33">
        <f>ROUND(SUM(I17:I33),2)</f>
        <v>0</v>
      </c>
      <c r="J34" s="33">
        <f>ROUND(SUM(J17:J33),2)</f>
        <v>0</v>
      </c>
      <c r="K34" s="33">
        <f>ROUND(SUM(K17:K33),2)</f>
        <v>69937.95</v>
      </c>
    </row>
    <row r="35">
      <c r="A35" s="38" t="inlineStr">
        <is>
          <t>固定成本</t>
        </is>
      </c>
      <c r="B35" s="39" t="str">
        <f>IF(基础资料!$W$33="",基础资料!$U$33&amp;"",基础资料!$W$33&amp;"")</f>
        <v>店面租金</v>
      </c>
      <c r="C35" s="40">
        <f>IF(C$4="","",ROUND(-SUMIFS(资金台帐!$AD$6:$AD$3005,资金台帐!$T$6:$T$3005,$L35,资金台帐!$U$6:$U$3005,"固定成本",资金台帐!$BH$6:$BH$3005,1,资金台帐!$BG$6:$BG$3005,"&gt;="&amp;($C$3*100+$F$3),资金台帐!$BG$6:$BG$3005,"&lt;="&amp;($C$3*100+$I$3)),2))</f>
        <v>0</v>
      </c>
      <c r="D35" s="40">
        <f>IF(D$4="","",ROUND(-SUMIFS(资金台帐!$AD$6:$AD$3005,资金台帐!$T$6:$T$3005,$L35,资金台帐!$U$6:$U$3005,"固定成本",资金台帐!$BH$6:$BH$3005,2,资金台帐!$BG$6:$BG$3005,"&gt;="&amp;($C$3*100+$F$3),资金台帐!$BG$6:$BG$3005,"&lt;="&amp;($C$3*100+$I$3)),2))</f>
        <v>0</v>
      </c>
      <c r="E35" s="40">
        <f>IF(E$4="","",ROUND(-SUMIFS(资金台帐!$AD$6:$AD$3005,资金台帐!$T$6:$T$3005,$L35,资金台帐!$U$6:$U$3005,"固定成本",资金台帐!$BH$6:$BH$3005,3,资金台帐!$BG$6:$BG$3005,"&gt;="&amp;($C$3*100+$F$3),资金台帐!$BG$6:$BG$3005,"&lt;="&amp;($C$3*100+$I$3)),2))</f>
        <v>0</v>
      </c>
      <c r="F35" s="40">
        <f>IF(F$4="","",ROUND(-SUMIFS(资金台帐!$AD$6:$AD$3005,资金台帐!$T$6:$T$3005,$L35,资金台帐!$U$6:$U$3005,"固定成本",资金台帐!$BH$6:$BH$3005,4,资金台帐!$BG$6:$BG$3005,"&gt;="&amp;($C$3*100+$F$3),资金台帐!$BG$6:$BG$3005,"&lt;="&amp;($C$3*100+$I$3)),2))</f>
        <v>0</v>
      </c>
      <c r="G35" s="40">
        <f>IF(G$4="","",ROUND(-SUMIFS(资金台帐!$AD$6:$AD$3005,资金台帐!$T$6:$T$3005,$L35,资金台帐!$U$6:$U$3005,"固定成本",资金台帐!$BH$6:$BH$3005,5,资金台帐!$BG$6:$BG$3005,"&gt;="&amp;($C$3*100+$F$3),资金台帐!$BG$6:$BG$3005,"&lt;="&amp;($C$3*100+$I$3)),2))</f>
        <v>0</v>
      </c>
      <c r="H35" s="40">
        <f>IF(H$4="","",ROUND(-SUMIFS(资金台帐!$AD$6:$AD$3005,资金台帐!$T$6:$T$3005,$L35,资金台帐!$U$6:$U$3005,"固定成本",资金台帐!$BH$6:$BH$3005,6,资金台帐!$BG$6:$BG$3005,"&gt;="&amp;($C$3*100+$F$3),资金台帐!$BG$6:$BG$3005,"&lt;="&amp;($C$3*100+$I$3)),2))</f>
      </c>
      <c r="I35" s="40">
        <f>IF(I$4="","",ROUND(-SUMIFS(资金台帐!$AD$6:$AD$3005,资金台帐!$T$6:$T$3005,$L35,资金台帐!$U$6:$U$3005,"固定成本",资金台帐!$BH$6:$BH$3005,7,资金台帐!$BG$6:$BG$3005,"&gt;="&amp;($C$3*100+$F$3),资金台帐!$BG$6:$BG$3005,"&lt;="&amp;($C$3*100+$I$3)),2))</f>
      </c>
      <c r="J35" s="40">
        <f>IF(J$4="","",ROUND(-SUMIFS(资金台帐!$AD$6:$AD$3005,资金台帐!$T$6:$T$3005,$L35,资金台帐!$U$6:$U$3005,"固定成本",资金台帐!$BH$6:$BH$3005,8,资金台帐!$BG$6:$BG$3005,"&gt;="&amp;($C$3*100+$F$3),资金台帐!$BG$6:$BG$3005,"&lt;="&amp;($C$3*100+$I$3)),2))</f>
      </c>
      <c r="K35" s="41">
        <f>ROUND(SUM(C35:J35),2)</f>
        <v>0</v>
      </c>
      <c r="L35" s="22" t="str">
        <f>基础资料!$U$33&amp;""</f>
        <v>店面租金</v>
      </c>
    </row>
    <row r="36">
      <c r="A36" s="18" t="n"/>
      <c r="B36" s="39" t="str">
        <f>IF(基础资料!$W$34="",基础资料!$U$34&amp;"",基础资料!$W$34&amp;"")</f>
        <v>装修成本</v>
      </c>
      <c r="C36" s="40">
        <f>IF(C$4="","",ROUND(-SUMIFS(资金台帐!$AD$6:$AD$3005,资金台帐!$T$6:$T$3005,$L36,资金台帐!$U$6:$U$3005,"固定成本",资金台帐!$BH$6:$BH$3005,1,资金台帐!$BG$6:$BG$3005,"&gt;="&amp;($C$3*100+$F$3),资金台帐!$BG$6:$BG$3005,"&lt;="&amp;($C$3*100+$I$3)),2))</f>
        <v>0</v>
      </c>
      <c r="D36" s="40">
        <f>IF(D$4="","",ROUND(-SUMIFS(资金台帐!$AD$6:$AD$3005,资金台帐!$T$6:$T$3005,$L36,资金台帐!$U$6:$U$3005,"固定成本",资金台帐!$BH$6:$BH$3005,2,资金台帐!$BG$6:$BG$3005,"&gt;="&amp;($C$3*100+$F$3),资金台帐!$BG$6:$BG$3005,"&lt;="&amp;($C$3*100+$I$3)),2))</f>
        <v>0</v>
      </c>
      <c r="E36" s="40">
        <f>IF(E$4="","",ROUND(-SUMIFS(资金台帐!$AD$6:$AD$3005,资金台帐!$T$6:$T$3005,$L36,资金台帐!$U$6:$U$3005,"固定成本",资金台帐!$BH$6:$BH$3005,3,资金台帐!$BG$6:$BG$3005,"&gt;="&amp;($C$3*100+$F$3),资金台帐!$BG$6:$BG$3005,"&lt;="&amp;($C$3*100+$I$3)),2))</f>
        <v>0</v>
      </c>
      <c r="F36" s="40">
        <f>IF(F$4="","",ROUND(-SUMIFS(资金台帐!$AD$6:$AD$3005,资金台帐!$T$6:$T$3005,$L36,资金台帐!$U$6:$U$3005,"固定成本",资金台帐!$BH$6:$BH$3005,4,资金台帐!$BG$6:$BG$3005,"&gt;="&amp;($C$3*100+$F$3),资金台帐!$BG$6:$BG$3005,"&lt;="&amp;($C$3*100+$I$3)),2))</f>
        <v>0</v>
      </c>
      <c r="G36" s="40">
        <f>IF(G$4="","",ROUND(-SUMIFS(资金台帐!$AD$6:$AD$3005,资金台帐!$T$6:$T$3005,$L36,资金台帐!$U$6:$U$3005,"固定成本",资金台帐!$BH$6:$BH$3005,5,资金台帐!$BG$6:$BG$3005,"&gt;="&amp;($C$3*100+$F$3),资金台帐!$BG$6:$BG$3005,"&lt;="&amp;($C$3*100+$I$3)),2))</f>
        <v>0</v>
      </c>
      <c r="H36" s="40">
        <f>IF(H$4="","",ROUND(-SUMIFS(资金台帐!$AD$6:$AD$3005,资金台帐!$T$6:$T$3005,$L36,资金台帐!$U$6:$U$3005,"固定成本",资金台帐!$BH$6:$BH$3005,6,资金台帐!$BG$6:$BG$3005,"&gt;="&amp;($C$3*100+$F$3),资金台帐!$BG$6:$BG$3005,"&lt;="&amp;($C$3*100+$I$3)),2))</f>
      </c>
      <c r="I36" s="40">
        <f>IF(I$4="","",ROUND(-SUMIFS(资金台帐!$AD$6:$AD$3005,资金台帐!$T$6:$T$3005,$L36,资金台帐!$U$6:$U$3005,"固定成本",资金台帐!$BH$6:$BH$3005,7,资金台帐!$BG$6:$BG$3005,"&gt;="&amp;($C$3*100+$F$3),资金台帐!$BG$6:$BG$3005,"&lt;="&amp;($C$3*100+$I$3)),2))</f>
      </c>
      <c r="J36" s="40">
        <f>IF(J$4="","",ROUND(-SUMIFS(资金台帐!$AD$6:$AD$3005,资金台帐!$T$6:$T$3005,$L36,资金台帐!$U$6:$U$3005,"固定成本",资金台帐!$BH$6:$BH$3005,8,资金台帐!$BG$6:$BG$3005,"&gt;="&amp;($C$3*100+$F$3),资金台帐!$BG$6:$BG$3005,"&lt;="&amp;($C$3*100+$I$3)),2))</f>
      </c>
      <c r="K36" s="41">
        <f>ROUND(SUM(C36:J36),2)</f>
        <v>0</v>
      </c>
      <c r="L36" s="22" t="str">
        <f>基础资料!$U$34&amp;""</f>
        <v>装修成本</v>
      </c>
    </row>
    <row r="37">
      <c r="A37" s="18" t="n"/>
      <c r="B37" s="39" t="str">
        <f>IF(COUNTIFS(基础资料!$V$5:$V$64,"固定成本",基础资料!$U$5:$U$64,"?*")&gt;2,"其他（含新加项目）","其他")</f>
        <v>其他</v>
      </c>
      <c r="C37" s="40">
        <f>IF(C$4="","",ROUND(-SUMIFS(资金台帐!$AD$6:$AD$3005,资金台帐!$U$6:$U$3005,"固定成本",资金台帐!$BH$6:$BH$3005,1,资金台帐!$BG$6:$BG$3005,"&gt;="&amp;($C$3*100+$F$3),资金台帐!$BG$6:$BG$3005,"&lt;="&amp;($C$3*100+$I$3))-SUM(C35:C36),2))</f>
        <v>0</v>
      </c>
      <c r="D37" s="40">
        <f>IF(D$4="","",ROUND(-SUMIFS(资金台帐!$AD$6:$AD$3005,资金台帐!$U$6:$U$3005,"固定成本",资金台帐!$BH$6:$BH$3005,2,资金台帐!$BG$6:$BG$3005,"&gt;="&amp;($C$3*100+$F$3),资金台帐!$BG$6:$BG$3005,"&lt;="&amp;($C$3*100+$I$3))-SUM(D35:D36),2))</f>
        <v>0</v>
      </c>
      <c r="E37" s="40">
        <f>IF(E$4="","",ROUND(-SUMIFS(资金台帐!$AD$6:$AD$3005,资金台帐!$U$6:$U$3005,"固定成本",资金台帐!$BH$6:$BH$3005,3,资金台帐!$BG$6:$BG$3005,"&gt;="&amp;($C$3*100+$F$3),资金台帐!$BG$6:$BG$3005,"&lt;="&amp;($C$3*100+$I$3))-SUM(E35:E36),2))</f>
        <v>0</v>
      </c>
      <c r="F37" s="40">
        <f>IF(F$4="","",ROUND(-SUMIFS(资金台帐!$AD$6:$AD$3005,资金台帐!$U$6:$U$3005,"固定成本",资金台帐!$BH$6:$BH$3005,4,资金台帐!$BG$6:$BG$3005,"&gt;="&amp;($C$3*100+$F$3),资金台帐!$BG$6:$BG$3005,"&lt;="&amp;($C$3*100+$I$3))-SUM(F35:F36),2))</f>
        <v>0</v>
      </c>
      <c r="G37" s="40">
        <f>IF(G$4="","",ROUND(-SUMIFS(资金台帐!$AD$6:$AD$3005,资金台帐!$U$6:$U$3005,"固定成本",资金台帐!$BH$6:$BH$3005,5,资金台帐!$BG$6:$BG$3005,"&gt;="&amp;($C$3*100+$F$3),资金台帐!$BG$6:$BG$3005,"&lt;="&amp;($C$3*100+$I$3))-SUM(G35:G36),2))</f>
        <v>0</v>
      </c>
      <c r="H37" s="40">
        <f>IF(H$4="","",ROUND(-SUMIFS(资金台帐!$AD$6:$AD$3005,资金台帐!$U$6:$U$3005,"固定成本",资金台帐!$BH$6:$BH$3005,6,资金台帐!$BG$6:$BG$3005,"&gt;="&amp;($C$3*100+$F$3),资金台帐!$BG$6:$BG$3005,"&lt;="&amp;($C$3*100+$I$3))-SUM(H35:H36),2))</f>
      </c>
      <c r="I37" s="40">
        <f>IF(I$4="","",ROUND(-SUMIFS(资金台帐!$AD$6:$AD$3005,资金台帐!$U$6:$U$3005,"固定成本",资金台帐!$BH$6:$BH$3005,7,资金台帐!$BG$6:$BG$3005,"&gt;="&amp;($C$3*100+$F$3),资金台帐!$BG$6:$BG$3005,"&lt;="&amp;($C$3*100+$I$3))-SUM(I35:I36),2))</f>
      </c>
      <c r="J37" s="40">
        <f>IF(J$4="","",ROUND(-SUMIFS(资金台帐!$AD$6:$AD$3005,资金台帐!$U$6:$U$3005,"固定成本",资金台帐!$BH$6:$BH$3005,8,资金台帐!$BG$6:$BG$3005,"&gt;="&amp;($C$3*100+$F$3),资金台帐!$BG$6:$BG$3005,"&lt;="&amp;($C$3*100+$I$3))-SUM(J35:J36),2))</f>
      </c>
      <c r="K37" s="41">
        <f>ROUND(SUM(C37:J37),2)</f>
        <v>0</v>
      </c>
      <c r="L37" s="22" t="n"/>
    </row>
    <row r="38">
      <c r="A38" s="18" t="n"/>
      <c r="B38" s="63" t="inlineStr">
        <is>
          <t>固定成本小计</t>
        </is>
      </c>
      <c r="C38" s="33">
        <f>ROUND(SUM(C35:C37),2)</f>
        <v>0</v>
      </c>
      <c r="D38" s="33">
        <f>ROUND(SUM(D35:D37),2)</f>
        <v>0</v>
      </c>
      <c r="E38" s="33">
        <f>ROUND(SUM(E35:E37),2)</f>
        <v>0</v>
      </c>
      <c r="F38" s="33">
        <f>ROUND(SUM(F35:F37),2)</f>
        <v>0</v>
      </c>
      <c r="G38" s="33">
        <f>ROUND(SUM(G35:G37),2)</f>
        <v>0</v>
      </c>
      <c r="H38" s="33">
        <f>ROUND(SUM(H35:H37),2)</f>
        <v>0</v>
      </c>
      <c r="I38" s="33">
        <f>ROUND(SUM(I35:I37),2)</f>
        <v>0</v>
      </c>
      <c r="J38" s="33">
        <f>ROUND(SUM(J35:J37),2)</f>
        <v>0</v>
      </c>
      <c r="K38" s="33">
        <f>ROUND(SUM(K35:K37),2)</f>
        <v>0</v>
      </c>
    </row>
    <row r="39">
      <c r="A39" s="42" t="inlineStr">
        <is>
          <t>其他支出</t>
        </is>
      </c>
      <c r="B39" s="43" t="str">
        <f>IF(基础资料!$W$35="",基础资料!$U$35&amp;"",基础资料!$W$35&amp;"")</f>
        <v>工资挂靠</v>
      </c>
      <c r="C39" s="44">
        <f>IF(C$4="","",ROUND(-SUMIFS(资金台帐!$AD$6:$AD$3005,资金台帐!$T$6:$T$3005,$L39,资金台帐!$U$6:$U$3005,"其他支出",资金台帐!$BH$6:$BH$3005,1,资金台帐!$BG$6:$BG$3005,"&gt;="&amp;($C$3*100+$F$3),资金台帐!$BG$6:$BG$3005,"&lt;="&amp;($C$3*100+$I$3)),2))</f>
        <v>0</v>
      </c>
      <c r="D39" s="44">
        <f>IF(D$4="","",ROUND(-SUMIFS(资金台帐!$AD$6:$AD$3005,资金台帐!$T$6:$T$3005,$L39,资金台帐!$U$6:$U$3005,"其他支出",资金台帐!$BH$6:$BH$3005,2,资金台帐!$BG$6:$BG$3005,"&gt;="&amp;($C$3*100+$F$3),资金台帐!$BG$6:$BG$3005,"&lt;="&amp;($C$3*100+$I$3)),2))</f>
        <v>0</v>
      </c>
      <c r="E39" s="44">
        <f>IF(E$4="","",ROUND(-SUMIFS(资金台帐!$AD$6:$AD$3005,资金台帐!$T$6:$T$3005,$L39,资金台帐!$U$6:$U$3005,"其他支出",资金台帐!$BH$6:$BH$3005,3,资金台帐!$BG$6:$BG$3005,"&gt;="&amp;($C$3*100+$F$3),资金台帐!$BG$6:$BG$3005,"&lt;="&amp;($C$3*100+$I$3)),2))</f>
        <v>0</v>
      </c>
      <c r="F39" s="44">
        <f>IF(F$4="","",ROUND(-SUMIFS(资金台帐!$AD$6:$AD$3005,资金台帐!$T$6:$T$3005,$L39,资金台帐!$U$6:$U$3005,"其他支出",资金台帐!$BH$6:$BH$3005,4,资金台帐!$BG$6:$BG$3005,"&gt;="&amp;($C$3*100+$F$3),资金台帐!$BG$6:$BG$3005,"&lt;="&amp;($C$3*100+$I$3)),2))</f>
        <v>0</v>
      </c>
      <c r="G39" s="44">
        <f>IF(G$4="","",ROUND(-SUMIFS(资金台帐!$AD$6:$AD$3005,资金台帐!$T$6:$T$3005,$L39,资金台帐!$U$6:$U$3005,"其他支出",资金台帐!$BH$6:$BH$3005,5,资金台帐!$BG$6:$BG$3005,"&gt;="&amp;($C$3*100+$F$3),资金台帐!$BG$6:$BG$3005,"&lt;="&amp;($C$3*100+$I$3)),2))</f>
        <v>0</v>
      </c>
      <c r="H39" s="44">
        <f>IF(H$4="","",ROUND(-SUMIFS(资金台帐!$AD$6:$AD$3005,资金台帐!$T$6:$T$3005,$L39,资金台帐!$U$6:$U$3005,"其他支出",资金台帐!$BH$6:$BH$3005,6,资金台帐!$BG$6:$BG$3005,"&gt;="&amp;($C$3*100+$F$3),资金台帐!$BG$6:$BG$3005,"&lt;="&amp;($C$3*100+$I$3)),2))</f>
      </c>
      <c r="I39" s="44">
        <f>IF(I$4="","",ROUND(-SUMIFS(资金台帐!$AD$6:$AD$3005,资金台帐!$T$6:$T$3005,$L39,资金台帐!$U$6:$U$3005,"其他支出",资金台帐!$BH$6:$BH$3005,7,资金台帐!$BG$6:$BG$3005,"&gt;="&amp;($C$3*100+$F$3),资金台帐!$BG$6:$BG$3005,"&lt;="&amp;($C$3*100+$I$3)),2))</f>
      </c>
      <c r="J39" s="44">
        <f>IF(J$4="","",ROUND(-SUMIFS(资金台帐!$AD$6:$AD$3005,资金台帐!$T$6:$T$3005,$L39,资金台帐!$U$6:$U$3005,"其他支出",资金台帐!$BH$6:$BH$3005,8,资金台帐!$BG$6:$BG$3005,"&gt;="&amp;($C$3*100+$F$3),资金台帐!$BG$6:$BG$3005,"&lt;="&amp;($C$3*100+$I$3)),2))</f>
      </c>
      <c r="K39" s="45">
        <f t="shared" ref="K39:K42" si="18">ROUND(SUM(C39:J39),2)</f>
        <v>0</v>
      </c>
      <c r="L39" s="22" t="str">
        <f>基础资料!$U$35&amp;""</f>
        <v>工资挂靠</v>
      </c>
    </row>
    <row r="40">
      <c r="A40" s="18" t="n"/>
      <c r="B40" s="43" t="str">
        <f>IF(基础资料!$W$36="",基础资料!$U$36&amp;"",基础资料!$W$36&amp;"")</f>
        <v>社保挂靠</v>
      </c>
      <c r="C40" s="44">
        <f>IF(C$4="","",ROUND(-SUMIFS(资金台帐!$AD$6:$AD$3005,资金台帐!$T$6:$T$3005,$L40,资金台帐!$U$6:$U$3005,"其他支出",资金台帐!$BH$6:$BH$3005,1,资金台帐!$BG$6:$BG$3005,"&gt;="&amp;($C$3*100+$F$3),资金台帐!$BG$6:$BG$3005,"&lt;="&amp;($C$3*100+$I$3)),2))</f>
        <v>0</v>
      </c>
      <c r="D40" s="44">
        <f>IF(D$4="","",ROUND(-SUMIFS(资金台帐!$AD$6:$AD$3005,资金台帐!$T$6:$T$3005,$L40,资金台帐!$U$6:$U$3005,"其他支出",资金台帐!$BH$6:$BH$3005,2,资金台帐!$BG$6:$BG$3005,"&gt;="&amp;($C$3*100+$F$3),资金台帐!$BG$6:$BG$3005,"&lt;="&amp;($C$3*100+$I$3)),2))</f>
        <v>0</v>
      </c>
      <c r="E40" s="44">
        <f>IF(E$4="","",ROUND(-SUMIFS(资金台帐!$AD$6:$AD$3005,资金台帐!$T$6:$T$3005,$L40,资金台帐!$U$6:$U$3005,"其他支出",资金台帐!$BH$6:$BH$3005,3,资金台帐!$BG$6:$BG$3005,"&gt;="&amp;($C$3*100+$F$3),资金台帐!$BG$6:$BG$3005,"&lt;="&amp;($C$3*100+$I$3)),2))</f>
        <v>0</v>
      </c>
      <c r="F40" s="44">
        <f>IF(F$4="","",ROUND(-SUMIFS(资金台帐!$AD$6:$AD$3005,资金台帐!$T$6:$T$3005,$L40,资金台帐!$U$6:$U$3005,"其他支出",资金台帐!$BH$6:$BH$3005,4,资金台帐!$BG$6:$BG$3005,"&gt;="&amp;($C$3*100+$F$3),资金台帐!$BG$6:$BG$3005,"&lt;="&amp;($C$3*100+$I$3)),2))</f>
        <v>0</v>
      </c>
      <c r="G40" s="44">
        <f>IF(G$4="","",ROUND(-SUMIFS(资金台帐!$AD$6:$AD$3005,资金台帐!$T$6:$T$3005,$L40,资金台帐!$U$6:$U$3005,"其他支出",资金台帐!$BH$6:$BH$3005,5,资金台帐!$BG$6:$BG$3005,"&gt;="&amp;($C$3*100+$F$3),资金台帐!$BG$6:$BG$3005,"&lt;="&amp;($C$3*100+$I$3)),2))</f>
        <v>0</v>
      </c>
      <c r="H40" s="44">
        <f>IF(H$4="","",ROUND(-SUMIFS(资金台帐!$AD$6:$AD$3005,资金台帐!$T$6:$T$3005,$L40,资金台帐!$U$6:$U$3005,"其他支出",资金台帐!$BH$6:$BH$3005,6,资金台帐!$BG$6:$BG$3005,"&gt;="&amp;($C$3*100+$F$3),资金台帐!$BG$6:$BG$3005,"&lt;="&amp;($C$3*100+$I$3)),2))</f>
      </c>
      <c r="I40" s="44">
        <f>IF(I$4="","",ROUND(-SUMIFS(资金台帐!$AD$6:$AD$3005,资金台帐!$T$6:$T$3005,$L40,资金台帐!$U$6:$U$3005,"其他支出",资金台帐!$BH$6:$BH$3005,7,资金台帐!$BG$6:$BG$3005,"&gt;="&amp;($C$3*100+$F$3),资金台帐!$BG$6:$BG$3005,"&lt;="&amp;($C$3*100+$I$3)),2))</f>
      </c>
      <c r="J40" s="44">
        <f>IF(J$4="","",ROUND(-SUMIFS(资金台帐!$AD$6:$AD$3005,资金台帐!$T$6:$T$3005,$L40,资金台帐!$U$6:$U$3005,"其他支出",资金台帐!$BH$6:$BH$3005,8,资金台帐!$BG$6:$BG$3005,"&gt;="&amp;($C$3*100+$F$3),资金台帐!$BG$6:$BG$3005,"&lt;="&amp;($C$3*100+$I$3)),2))</f>
      </c>
      <c r="K40" s="45">
        <f t="shared" si="18"/>
        <v>0</v>
      </c>
      <c r="L40" s="22" t="str">
        <f>基础资料!$U$36&amp;""</f>
        <v>社保挂靠</v>
      </c>
    </row>
    <row r="41">
      <c r="A41" s="18" t="n"/>
      <c r="B41" s="43" t="str">
        <f>IF(基础资料!$W$37="",基础资料!$U$37&amp;"",基础资料!$W$37&amp;"")</f>
        <v>贷款利息</v>
      </c>
      <c r="C41" s="44">
        <f>IF(C$4="","",ROUND(-SUMIFS(资金台帐!$AD$6:$AD$3005,资金台帐!$T$6:$T$3005,$L41,资金台帐!$U$6:$U$3005,"其他支出",资金台帐!$BH$6:$BH$3005,1,资金台帐!$BG$6:$BG$3005,"&gt;="&amp;($C$3*100+$F$3),资金台帐!$BG$6:$BG$3005,"&lt;="&amp;($C$3*100+$I$3)),2))</f>
        <v>0</v>
      </c>
      <c r="D41" s="44">
        <f>IF(D$4="","",ROUND(-SUMIFS(资金台帐!$AD$6:$AD$3005,资金台帐!$T$6:$T$3005,$L41,资金台帐!$U$6:$U$3005,"其他支出",资金台帐!$BH$6:$BH$3005,2,资金台帐!$BG$6:$BG$3005,"&gt;="&amp;($C$3*100+$F$3),资金台帐!$BG$6:$BG$3005,"&lt;="&amp;($C$3*100+$I$3)),2))</f>
        <v>0</v>
      </c>
      <c r="E41" s="44">
        <f>IF(E$4="","",ROUND(-SUMIFS(资金台帐!$AD$6:$AD$3005,资金台帐!$T$6:$T$3005,$L41,资金台帐!$U$6:$U$3005,"其他支出",资金台帐!$BH$6:$BH$3005,3,资金台帐!$BG$6:$BG$3005,"&gt;="&amp;($C$3*100+$F$3),资金台帐!$BG$6:$BG$3005,"&lt;="&amp;($C$3*100+$I$3)),2))</f>
        <v>0</v>
      </c>
      <c r="F41" s="44">
        <f>IF(F$4="","",ROUND(-SUMIFS(资金台帐!$AD$6:$AD$3005,资金台帐!$T$6:$T$3005,$L41,资金台帐!$U$6:$U$3005,"其他支出",资金台帐!$BH$6:$BH$3005,4,资金台帐!$BG$6:$BG$3005,"&gt;="&amp;($C$3*100+$F$3),资金台帐!$BG$6:$BG$3005,"&lt;="&amp;($C$3*100+$I$3)),2))</f>
        <v>0</v>
      </c>
      <c r="G41" s="44">
        <f>IF(G$4="","",ROUND(-SUMIFS(资金台帐!$AD$6:$AD$3005,资金台帐!$T$6:$T$3005,$L41,资金台帐!$U$6:$U$3005,"其他支出",资金台帐!$BH$6:$BH$3005,5,资金台帐!$BG$6:$BG$3005,"&gt;="&amp;($C$3*100+$F$3),资金台帐!$BG$6:$BG$3005,"&lt;="&amp;($C$3*100+$I$3)),2))</f>
        <v>0</v>
      </c>
      <c r="H41" s="44">
        <f>IF(H$4="","",ROUND(-SUMIFS(资金台帐!$AD$6:$AD$3005,资金台帐!$T$6:$T$3005,$L41,资金台帐!$U$6:$U$3005,"其他支出",资金台帐!$BH$6:$BH$3005,6,资金台帐!$BG$6:$BG$3005,"&gt;="&amp;($C$3*100+$F$3),资金台帐!$BG$6:$BG$3005,"&lt;="&amp;($C$3*100+$I$3)),2))</f>
      </c>
      <c r="I41" s="44">
        <f>IF(I$4="","",ROUND(-SUMIFS(资金台帐!$AD$6:$AD$3005,资金台帐!$T$6:$T$3005,$L41,资金台帐!$U$6:$U$3005,"其他支出",资金台帐!$BH$6:$BH$3005,7,资金台帐!$BG$6:$BG$3005,"&gt;="&amp;($C$3*100+$F$3),资金台帐!$BG$6:$BG$3005,"&lt;="&amp;($C$3*100+$I$3)),2))</f>
      </c>
      <c r="J41" s="44">
        <f>IF(J$4="","",ROUND(-SUMIFS(资金台帐!$AD$6:$AD$3005,资金台帐!$T$6:$T$3005,$L41,资金台帐!$U$6:$U$3005,"其他支出",资金台帐!$BH$6:$BH$3005,8,资金台帐!$BG$6:$BG$3005,"&gt;="&amp;($C$3*100+$F$3),资金台帐!$BG$6:$BG$3005,"&lt;="&amp;($C$3*100+$I$3)),2))</f>
      </c>
      <c r="K41" s="45">
        <f t="shared" si="18"/>
        <v>0</v>
      </c>
      <c r="L41" s="22" t="str">
        <f>基础资料!$U$37&amp;""</f>
        <v>贷款利息</v>
      </c>
    </row>
    <row r="42">
      <c r="A42" s="18" t="n"/>
      <c r="B42" s="43" t="str">
        <f>IF(COUNTIFS(基础资料!$V$5:$V$64,"其他支出",基础资料!$U$5:$U$64,"?*")&gt;3,"其他（含新加项目）","其他")</f>
        <v>其他</v>
      </c>
      <c r="C42" s="44">
        <f>IF(C$4="","",ROUND(-SUMIFS(资金台帐!$AD$6:$AD$3005,资金台帐!$U$6:$U$3005,"其他支出",资金台帐!$BH$6:$BH$3005,1,资金台帐!$BG$6:$BG$3005,"&gt;="&amp;($C$3*100+$F$3),资金台帐!$BG$6:$BG$3005,"&lt;="&amp;($C$3*100+$I$3))-SUM(C39:C41),2))</f>
        <v>0</v>
      </c>
      <c r="D42" s="44">
        <f>IF(D$4="","",ROUND(-SUMIFS(资金台帐!$AD$6:$AD$3005,资金台帐!$U$6:$U$3005,"其他支出",资金台帐!$BH$6:$BH$3005,2,资金台帐!$BG$6:$BG$3005,"&gt;="&amp;($C$3*100+$F$3),资金台帐!$BG$6:$BG$3005,"&lt;="&amp;($C$3*100+$I$3))-SUM(D39:D41),2))</f>
        <v>0</v>
      </c>
      <c r="E42" s="44">
        <f>IF(E$4="","",ROUND(-SUMIFS(资金台帐!$AD$6:$AD$3005,资金台帐!$U$6:$U$3005,"其他支出",资金台帐!$BH$6:$BH$3005,3,资金台帐!$BG$6:$BG$3005,"&gt;="&amp;($C$3*100+$F$3),资金台帐!$BG$6:$BG$3005,"&lt;="&amp;($C$3*100+$I$3))-SUM(E39:E41),2))</f>
        <v>0</v>
      </c>
      <c r="F42" s="44">
        <f>IF(F$4="","",ROUND(-SUMIFS(资金台帐!$AD$6:$AD$3005,资金台帐!$U$6:$U$3005,"其他支出",资金台帐!$BH$6:$BH$3005,4,资金台帐!$BG$6:$BG$3005,"&gt;="&amp;($C$3*100+$F$3),资金台帐!$BG$6:$BG$3005,"&lt;="&amp;($C$3*100+$I$3))-SUM(F39:F41),2))</f>
        <v>0</v>
      </c>
      <c r="G42" s="44">
        <f>IF(G$4="","",ROUND(-SUMIFS(资金台帐!$AD$6:$AD$3005,资金台帐!$U$6:$U$3005,"其他支出",资金台帐!$BH$6:$BH$3005,5,资金台帐!$BG$6:$BG$3005,"&gt;="&amp;($C$3*100+$F$3),资金台帐!$BG$6:$BG$3005,"&lt;="&amp;($C$3*100+$I$3))-SUM(G39:G41),2))</f>
        <v>0</v>
      </c>
      <c r="H42" s="44">
        <f>IF(H$4="","",ROUND(-SUMIFS(资金台帐!$AD$6:$AD$3005,资金台帐!$U$6:$U$3005,"其他支出",资金台帐!$BH$6:$BH$3005,6,资金台帐!$BG$6:$BG$3005,"&gt;="&amp;($C$3*100+$F$3),资金台帐!$BG$6:$BG$3005,"&lt;="&amp;($C$3*100+$I$3))-SUM(H39:H41),2))</f>
      </c>
      <c r="I42" s="44">
        <f>IF(I$4="","",ROUND(-SUMIFS(资金台帐!$AD$6:$AD$3005,资金台帐!$U$6:$U$3005,"其他支出",资金台帐!$BH$6:$BH$3005,7,资金台帐!$BG$6:$BG$3005,"&gt;="&amp;($C$3*100+$F$3),资金台帐!$BG$6:$BG$3005,"&lt;="&amp;($C$3*100+$I$3))-SUM(I39:I41),2))</f>
      </c>
      <c r="J42" s="44">
        <f>IF(J$4="","",ROUND(-SUMIFS(资金台帐!$AD$6:$AD$3005,资金台帐!$U$6:$U$3005,"其他支出",资金台帐!$BH$6:$BH$3005,8,资金台帐!$BG$6:$BG$3005,"&gt;="&amp;($C$3*100+$F$3),资金台帐!$BG$6:$BG$3005,"&lt;="&amp;($C$3*100+$I$3))-SUM(J39:J41),2))</f>
      </c>
      <c r="K42" s="45">
        <f t="shared" si="18"/>
        <v>0</v>
      </c>
      <c r="L42" s="22" t="n"/>
    </row>
    <row r="43">
      <c r="A43" s="18" t="n"/>
      <c r="B43" s="63" t="inlineStr">
        <is>
          <t>其他支出小计</t>
        </is>
      </c>
      <c r="C43" s="33">
        <f>ROUND(SUM(C39:C42),2)</f>
        <v>0</v>
      </c>
      <c r="D43" s="33">
        <f>ROUND(SUM(D39:D42),2)</f>
        <v>0</v>
      </c>
      <c r="E43" s="33">
        <f>ROUND(SUM(E39:E42),2)</f>
        <v>0</v>
      </c>
      <c r="F43" s="33">
        <f>ROUND(SUM(F39:F42),2)</f>
        <v>0</v>
      </c>
      <c r="G43" s="33">
        <f>ROUND(SUM(G39:G42),2)</f>
        <v>0</v>
      </c>
      <c r="H43" s="33">
        <f>ROUND(SUM(H39:H42),2)</f>
        <v>0</v>
      </c>
      <c r="I43" s="33">
        <f>ROUND(SUM(I39:I42),2)</f>
        <v>0</v>
      </c>
      <c r="J43" s="33">
        <f>ROUND(SUM(J39:J42),2)</f>
        <v>0</v>
      </c>
      <c r="K43" s="33">
        <f>ROUND(SUM(K39:K42),2)</f>
        <v>0</v>
      </c>
    </row>
    <row r="44">
      <c r="A44" s="36" t="inlineStr">
        <is>
          <t>变动利润</t>
        </is>
      </c>
      <c r="B44" s="18" t="n"/>
      <c r="C44" s="37">
        <f>ROUND(C16-C34,2)</f>
        <v>147434.47</v>
      </c>
      <c r="D44" s="37">
        <f>ROUND(D16-D34,2)</f>
        <v>31672.69</v>
      </c>
      <c r="E44" s="37">
        <f>ROUND(E16-E34,2)</f>
        <v>58958.17</v>
      </c>
      <c r="F44" s="37">
        <f>ROUND(F16-F34,2)</f>
        <v>-5370.91</v>
      </c>
      <c r="G44" s="37">
        <f>ROUND(G16-G34,2)</f>
        <v>-18.75</v>
      </c>
      <c r="H44" s="37">
        <f>ROUND(H16-H34,2)</f>
        <v>0</v>
      </c>
      <c r="I44" s="37">
        <f>ROUND(I16-I34,2)</f>
        <v>0</v>
      </c>
      <c r="J44" s="37">
        <f>ROUND(J16-J34,2)</f>
        <v>0</v>
      </c>
      <c r="K44" s="37">
        <f>ROUND(K16-K34,2)</f>
        <v>232675.67</v>
      </c>
    </row>
    <row r="45">
      <c r="A45" s="36" t="inlineStr">
        <is>
          <t>利润</t>
        </is>
      </c>
      <c r="B45" s="18" t="n"/>
      <c r="C45" s="37">
        <f>ROUND(C16-C34-C38,2)</f>
        <v>147434.47</v>
      </c>
      <c r="D45" s="37">
        <f>ROUND(D16-D34-D38,2)</f>
        <v>31672.69</v>
      </c>
      <c r="E45" s="37">
        <f>ROUND(E16-E34-E38,2)</f>
        <v>58958.17</v>
      </c>
      <c r="F45" s="37">
        <f>ROUND(F16-F34-F38,2)</f>
        <v>-5370.91</v>
      </c>
      <c r="G45" s="37">
        <f>ROUND(G16-G34-G38,2)</f>
        <v>-18.75</v>
      </c>
      <c r="H45" s="37">
        <f>ROUND(H16-H34-H38,2)</f>
        <v>0</v>
      </c>
      <c r="I45" s="37">
        <f>ROUND(I16-I34-I38,2)</f>
        <v>0</v>
      </c>
      <c r="J45" s="37">
        <f>ROUND(J16-J34-J38,2)</f>
        <v>0</v>
      </c>
      <c r="K45" s="37">
        <f>ROUND(K16-K34-K38,2)</f>
        <v>232675.67</v>
      </c>
    </row>
    <row r="46">
      <c r="A46" s="36" t="inlineStr">
        <is>
          <t>利润（再扣其他支出）</t>
        </is>
      </c>
      <c r="B46" s="18" t="n"/>
      <c r="C46" s="37">
        <f>ROUND(C16-C34-C38-C43,2)</f>
        <v>147434.47</v>
      </c>
      <c r="D46" s="37">
        <f>ROUND(D16-D34-D38-D43,2)</f>
        <v>31672.69</v>
      </c>
      <c r="E46" s="37">
        <f>ROUND(E16-E34-E38-E43,2)</f>
        <v>58958.17</v>
      </c>
      <c r="F46" s="37">
        <f>ROUND(F16-F34-F38-F43,2)</f>
        <v>-5370.91</v>
      </c>
      <c r="G46" s="37">
        <f>ROUND(G16-G34-G38-G43,2)</f>
        <v>-18.75</v>
      </c>
      <c r="H46" s="37">
        <f>ROUND(H16-H34-H38-H43,2)</f>
        <v>0</v>
      </c>
      <c r="I46" s="37">
        <f>ROUND(I16-I34-I38-I43,2)</f>
        <v>0</v>
      </c>
      <c r="J46" s="37">
        <f>ROUND(J16-J34-J38-J43,2)</f>
        <v>0</v>
      </c>
      <c r="K46" s="37">
        <f>ROUND(K16-K34-K38-K43,2)</f>
        <v>232675.67</v>
      </c>
    </row>
  </sheetData>
  <mergeCells count="9">
    <mergeCell ref="A17:A34"/>
    <mergeCell ref="A39:A43"/>
    <mergeCell ref="A45:B45"/>
    <mergeCell ref="A2:K2"/>
    <mergeCell ref="A46:B46"/>
    <mergeCell ref="A44:B44"/>
    <mergeCell ref="A35:A38"/>
    <mergeCell ref="A1:K1"/>
    <mergeCell ref="A5:A16"/>
  </mergeCells>
  <dataValidations count="3">
    <dataValidation sqref="C3" showDropDown="0" showInputMessage="0" showErrorMessage="0" allowBlank="1" type="list">
      <formula1>"2024,2025,2026,2027,2028,2029,2030"</formula1>
    </dataValidation>
    <dataValidation sqref="F3" showDropDown="0" showInputMessage="0" showErrorMessage="0" allowBlank="1" type="list">
      <formula1>"1,2,3,4,5,6,7,8,9,10,11,12"</formula1>
    </dataValidation>
    <dataValidation sqref="I3" showDropDown="0" showInputMessage="0" showErrorMessage="0" allowBlank="1" type="list">
      <formula1>"1,2,3,4,5,6,7,8,9,10,11,12"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Q613"/>
  <sheetViews>
    <sheetView showGridLines="0" tabSelected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2" customWidth="1" min="13" max="13"/>
    <col width="13" customWidth="1" min="14" max="14"/>
    <col hidden="1" width="4" customWidth="1" min="15" max="15"/>
    <col hidden="1" width="4" customWidth="1" min="16" max="16"/>
    <col hidden="1" width="4" customWidth="1" min="17" max="17"/>
  </cols>
  <sheetData>
    <row r="1" ht="33" customHeight="1">
      <c r="A1" s="20" t="inlineStr">
        <is>
          <t>客 户 收 入 统 计（新增 · 续费 · 每月新客户）</t>
        </is>
      </c>
    </row>
    <row r="2" ht="38" customHeight="1">
      <c r="A2" s="2" t="inlineStr">
        <is>
          <t>💡 同一家公司第一次收到这个客户的钱＝「新增」，以后＝「续费」（在资金台帐自动认，个别不对的在资金台帐 L 列改）。上面是每个月新增了几个客户、新增和续费各收了多少；下面每个客户一行：首次来款、今年新增/续费/其他项目、累计收款、开票和应收余额。</t>
        </is>
      </c>
    </row>
    <row r="3" ht="24" customHeight="1">
      <c r="B3" s="3" t="inlineStr">
        <is>
          <t>公司</t>
        </is>
      </c>
      <c r="C3" s="6" t="inlineStr">
        <is>
          <t>全部</t>
        </is>
      </c>
      <c r="E3" s="3" t="inlineStr">
        <is>
          <t>年份</t>
        </is>
      </c>
      <c r="F3" s="6" t="n">
        <v>2026</v>
      </c>
    </row>
    <row r="4" ht="34" customHeight="1">
      <c r="A4" s="64" t="inlineStr">
        <is>
          <t>项目</t>
        </is>
      </c>
      <c r="B4" s="21" t="inlineStr">
        <is>
          <t>1月</t>
        </is>
      </c>
      <c r="C4" s="21" t="inlineStr">
        <is>
          <t>2月</t>
        </is>
      </c>
      <c r="D4" s="21" t="inlineStr">
        <is>
          <t>3月</t>
        </is>
      </c>
      <c r="E4" s="21" t="inlineStr">
        <is>
          <t>4月</t>
        </is>
      </c>
      <c r="F4" s="21" t="inlineStr">
        <is>
          <t>5月</t>
        </is>
      </c>
      <c r="G4" s="21" t="inlineStr">
        <is>
          <t>6月</t>
        </is>
      </c>
      <c r="H4" s="21" t="inlineStr">
        <is>
          <t>7月</t>
        </is>
      </c>
      <c r="I4" s="21" t="inlineStr">
        <is>
          <t>8月</t>
        </is>
      </c>
      <c r="J4" s="21" t="inlineStr">
        <is>
          <t>9月</t>
        </is>
      </c>
      <c r="K4" s="21" t="inlineStr">
        <is>
          <t>10月</t>
        </is>
      </c>
      <c r="L4" s="21" t="inlineStr">
        <is>
          <t>11月</t>
        </is>
      </c>
      <c r="M4" s="21" t="inlineStr">
        <is>
          <t>12月</t>
        </is>
      </c>
      <c r="N4" s="21" t="inlineStr">
        <is>
          <t>全年</t>
        </is>
      </c>
    </row>
    <row r="5">
      <c r="A5" s="63" t="inlineStr">
        <is>
          <t>新增客户数</t>
        </is>
      </c>
      <c r="B5" s="65">
        <f>COUNTIFS(资金台帐!$T$6:$T$3005,"新增",资金台帐!$AB$6:$AB$3005,"&gt;0",资金台帐!$BH$6:$BH$3005,IF($C$3="全部","&gt;0",IFERROR(MATCH($C$3,基础资料!$B$5:$B$12,0),-1)),资金台帐!$BG$6:$BG$3005,$F$3*100+1)</f>
        <v>0</v>
      </c>
      <c r="C5" s="65">
        <f>COUNTIFS(资金台帐!$T$6:$T$3005,"新增",资金台帐!$AB$6:$AB$3005,"&gt;0",资金台帐!$BH$6:$BH$3005,IF($C$3="全部","&gt;0",IFERROR(MATCH($C$3,基础资料!$B$5:$B$12,0),-1)),资金台帐!$BG$6:$BG$3005,$F$3*100+2)</f>
        <v>0</v>
      </c>
      <c r="D5" s="65">
        <f>COUNTIFS(资金台帐!$T$6:$T$3005,"新增",资金台帐!$AB$6:$AB$3005,"&gt;0",资金台帐!$BH$6:$BH$3005,IF($C$3="全部","&gt;0",IFERROR(MATCH($C$3,基础资料!$B$5:$B$12,0),-1)),资金台帐!$BG$6:$BG$3005,$F$3*100+3)</f>
        <v>0</v>
      </c>
      <c r="E5" s="65">
        <f>COUNTIFS(资金台帐!$T$6:$T$3005,"新增",资金台帐!$AB$6:$AB$3005,"&gt;0",资金台帐!$BH$6:$BH$3005,IF($C$3="全部","&gt;0",IFERROR(MATCH($C$3,基础资料!$B$5:$B$12,0),-1)),资金台帐!$BG$6:$BG$3005,$F$3*100+4)</f>
        <v>0</v>
      </c>
      <c r="F5" s="65">
        <f>COUNTIFS(资金台帐!$T$6:$T$3005,"新增",资金台帐!$AB$6:$AB$3005,"&gt;0",资金台帐!$BH$6:$BH$3005,IF($C$3="全部","&gt;0",IFERROR(MATCH($C$3,基础资料!$B$5:$B$12,0),-1)),资金台帐!$BG$6:$BG$3005,$F$3*100+5)</f>
        <v>0</v>
      </c>
      <c r="G5" s="65">
        <f>COUNTIFS(资金台帐!$T$6:$T$3005,"新增",资金台帐!$AB$6:$AB$3005,"&gt;0",资金台帐!$BH$6:$BH$3005,IF($C$3="全部","&gt;0",IFERROR(MATCH($C$3,基础资料!$B$5:$B$12,0),-1)),资金台帐!$BG$6:$BG$3005,$F$3*100+6)</f>
        <v>8</v>
      </c>
      <c r="H5" s="65">
        <f>COUNTIFS(资金台帐!$T$6:$T$3005,"新增",资金台帐!$AB$6:$AB$3005,"&gt;0",资金台帐!$BH$6:$BH$3005,IF($C$3="全部","&gt;0",IFERROR(MATCH($C$3,基础资料!$B$5:$B$12,0),-1)),资金台帐!$BG$6:$BG$3005,$F$3*100+7)</f>
        <v>0</v>
      </c>
      <c r="I5" s="65">
        <f>COUNTIFS(资金台帐!$T$6:$T$3005,"新增",资金台帐!$AB$6:$AB$3005,"&gt;0",资金台帐!$BH$6:$BH$3005,IF($C$3="全部","&gt;0",IFERROR(MATCH($C$3,基础资料!$B$5:$B$12,0),-1)),资金台帐!$BG$6:$BG$3005,$F$3*100+8)</f>
        <v>0</v>
      </c>
      <c r="J5" s="65">
        <f>COUNTIFS(资金台帐!$T$6:$T$3005,"新增",资金台帐!$AB$6:$AB$3005,"&gt;0",资金台帐!$BH$6:$BH$3005,IF($C$3="全部","&gt;0",IFERROR(MATCH($C$3,基础资料!$B$5:$B$12,0),-1)),资金台帐!$BG$6:$BG$3005,$F$3*100+9)</f>
        <v>13</v>
      </c>
      <c r="K5" s="65">
        <f>COUNTIFS(资金台帐!$T$6:$T$3005,"新增",资金台帐!$AB$6:$AB$3005,"&gt;0",资金台帐!$BH$6:$BH$3005,IF($C$3="全部","&gt;0",IFERROR(MATCH($C$3,基础资料!$B$5:$B$12,0),-1)),资金台帐!$BG$6:$BG$3005,$F$3*100+10)</f>
        <v>0</v>
      </c>
      <c r="L5" s="65">
        <f>COUNTIFS(资金台帐!$T$6:$T$3005,"新增",资金台帐!$AB$6:$AB$3005,"&gt;0",资金台帐!$BH$6:$BH$3005,IF($C$3="全部","&gt;0",IFERROR(MATCH($C$3,基础资料!$B$5:$B$12,0),-1)),资金台帐!$BG$6:$BG$3005,$F$3*100+11)</f>
        <v>0</v>
      </c>
      <c r="M5" s="65">
        <f>COUNTIFS(资金台帐!$T$6:$T$3005,"新增",资金台帐!$AB$6:$AB$3005,"&gt;0",资金台帐!$BH$6:$BH$3005,IF($C$3="全部","&gt;0",IFERROR(MATCH($C$3,基础资料!$B$5:$B$12,0),-1)),资金台帐!$BG$6:$BG$3005,$F$3*100+12)</f>
        <v>0</v>
      </c>
      <c r="N5" s="65">
        <f>ROUND(SUM(B5:M5),2)</f>
        <v>21</v>
      </c>
    </row>
    <row r="6">
      <c r="A6" s="63" t="inlineStr">
        <is>
          <t>新增收入</t>
        </is>
      </c>
      <c r="B6" s="53">
        <f>ROUND(SUMIFS(资金台帐!$AD$6:$AD$3005,资金台帐!$T$6:$T$3005,"新增",资金台帐!$BH$6:$BH$3005,IF($C$3="全部","&gt;0",IFERROR(MATCH($C$3,基础资料!$B$5:$B$12,0),-1)),资金台帐!$BG$6:$BG$3005,$F$3*100+1),2)</f>
        <v>0</v>
      </c>
      <c r="C6" s="53">
        <f>ROUND(SUMIFS(资金台帐!$AD$6:$AD$3005,资金台帐!$T$6:$T$3005,"新增",资金台帐!$BH$6:$BH$3005,IF($C$3="全部","&gt;0",IFERROR(MATCH($C$3,基础资料!$B$5:$B$12,0),-1)),资金台帐!$BG$6:$BG$3005,$F$3*100+2),2)</f>
        <v>0</v>
      </c>
      <c r="D6" s="53">
        <f>ROUND(SUMIFS(资金台帐!$AD$6:$AD$3005,资金台帐!$T$6:$T$3005,"新增",资金台帐!$BH$6:$BH$3005,IF($C$3="全部","&gt;0",IFERROR(MATCH($C$3,基础资料!$B$5:$B$12,0),-1)),资金台帐!$BG$6:$BG$3005,$F$3*100+3),2)</f>
        <v>0</v>
      </c>
      <c r="E6" s="53">
        <f>ROUND(SUMIFS(资金台帐!$AD$6:$AD$3005,资金台帐!$T$6:$T$3005,"新增",资金台帐!$BH$6:$BH$3005,IF($C$3="全部","&gt;0",IFERROR(MATCH($C$3,基础资料!$B$5:$B$12,0),-1)),资金台帐!$BG$6:$BG$3005,$F$3*100+4),2)</f>
        <v>0</v>
      </c>
      <c r="F6" s="53">
        <f>ROUND(SUMIFS(资金台帐!$AD$6:$AD$3005,资金台帐!$T$6:$T$3005,"新增",资金台帐!$BH$6:$BH$3005,IF($C$3="全部","&gt;0",IFERROR(MATCH($C$3,基础资料!$B$5:$B$12,0),-1)),资金台帐!$BG$6:$BG$3005,$F$3*100+5),2)</f>
        <v>0</v>
      </c>
      <c r="G6" s="53">
        <f>ROUND(SUMIFS(资金台帐!$AD$6:$AD$3005,资金台帐!$T$6:$T$3005,"新增",资金台帐!$BH$6:$BH$3005,IF($C$3="全部","&gt;0",IFERROR(MATCH($C$3,基础资料!$B$5:$B$12,0),-1)),资金台帐!$BG$6:$BG$3005,$F$3*100+6),2)</f>
        <v>131600</v>
      </c>
      <c r="H6" s="53">
        <f>ROUND(SUMIFS(资金台帐!$AD$6:$AD$3005,资金台帐!$T$6:$T$3005,"新增",资金台帐!$BH$6:$BH$3005,IF($C$3="全部","&gt;0",IFERROR(MATCH($C$3,基础资料!$B$5:$B$12,0),-1)),资金台帐!$BG$6:$BG$3005,$F$3*100+7),2)</f>
        <v>0</v>
      </c>
      <c r="I6" s="53">
        <f>ROUND(SUMIFS(资金台帐!$AD$6:$AD$3005,资金台帐!$T$6:$T$3005,"新增",资金台帐!$BH$6:$BH$3005,IF($C$3="全部","&gt;0",IFERROR(MATCH($C$3,基础资料!$B$5:$B$12,0),-1)),资金台帐!$BG$6:$BG$3005,$F$3*100+8),2)</f>
        <v>0</v>
      </c>
      <c r="J6" s="53">
        <f>ROUND(SUMIFS(资金台帐!$AD$6:$AD$3005,资金台帐!$T$6:$T$3005,"新增",资金台帐!$BH$6:$BH$3005,IF($C$3="全部","&gt;0",IFERROR(MATCH($C$3,基础资料!$B$5:$B$12,0),-1)),资金台帐!$BG$6:$BG$3005,$F$3*100+9),2)</f>
        <v>171000</v>
      </c>
      <c r="K6" s="53">
        <f>ROUND(SUMIFS(资金台帐!$AD$6:$AD$3005,资金台帐!$T$6:$T$3005,"新增",资金台帐!$BH$6:$BH$3005,IF($C$3="全部","&gt;0",IFERROR(MATCH($C$3,基础资料!$B$5:$B$12,0),-1)),资金台帐!$BG$6:$BG$3005,$F$3*100+10),2)</f>
        <v>0</v>
      </c>
      <c r="L6" s="53">
        <f>ROUND(SUMIFS(资金台帐!$AD$6:$AD$3005,资金台帐!$T$6:$T$3005,"新增",资金台帐!$BH$6:$BH$3005,IF($C$3="全部","&gt;0",IFERROR(MATCH($C$3,基础资料!$B$5:$B$12,0),-1)),资金台帐!$BG$6:$BG$3005,$F$3*100+11),2)</f>
        <v>0</v>
      </c>
      <c r="M6" s="53">
        <f>ROUND(SUMIFS(资金台帐!$AD$6:$AD$3005,资金台帐!$T$6:$T$3005,"新增",资金台帐!$BH$6:$BH$3005,IF($C$3="全部","&gt;0",IFERROR(MATCH($C$3,基础资料!$B$5:$B$12,0),-1)),资金台帐!$BG$6:$BG$3005,$F$3*100+12),2)</f>
        <v>0</v>
      </c>
      <c r="N6" s="53">
        <f>ROUND(SUM(B6:M6),2)</f>
        <v>302600</v>
      </c>
    </row>
    <row r="7">
      <c r="A7" s="63" t="inlineStr">
        <is>
          <t>续费收入</t>
        </is>
      </c>
      <c r="B7" s="53">
        <f>ROUND(SUMIFS(资金台帐!$AD$6:$AD$3005,资金台帐!$T$6:$T$3005,"续费",资金台帐!$BH$6:$BH$3005,IF($C$3="全部","&gt;0",IFERROR(MATCH($C$3,基础资料!$B$5:$B$12,0),-1)),资金台帐!$BG$6:$BG$3005,$F$3*100+1),2)</f>
        <v>0</v>
      </c>
      <c r="C7" s="53">
        <f>ROUND(SUMIFS(资金台帐!$AD$6:$AD$3005,资金台帐!$T$6:$T$3005,"续费",资金台帐!$BH$6:$BH$3005,IF($C$3="全部","&gt;0",IFERROR(MATCH($C$3,基础资料!$B$5:$B$12,0),-1)),资金台帐!$BG$6:$BG$3005,$F$3*100+2),2)</f>
        <v>0</v>
      </c>
      <c r="D7" s="53">
        <f>ROUND(SUMIFS(资金台帐!$AD$6:$AD$3005,资金台帐!$T$6:$T$3005,"续费",资金台帐!$BH$6:$BH$3005,IF($C$3="全部","&gt;0",IFERROR(MATCH($C$3,基础资料!$B$5:$B$12,0),-1)),资金台帐!$BG$6:$BG$3005,$F$3*100+3),2)</f>
        <v>0</v>
      </c>
      <c r="E7" s="53">
        <f>ROUND(SUMIFS(资金台帐!$AD$6:$AD$3005,资金台帐!$T$6:$T$3005,"续费",资金台帐!$BH$6:$BH$3005,IF($C$3="全部","&gt;0",IFERROR(MATCH($C$3,基础资料!$B$5:$B$12,0),-1)),资金台帐!$BG$6:$BG$3005,$F$3*100+4),2)</f>
        <v>0</v>
      </c>
      <c r="F7" s="53">
        <f>ROUND(SUMIFS(资金台帐!$AD$6:$AD$3005,资金台帐!$T$6:$T$3005,"续费",资金台帐!$BH$6:$BH$3005,IF($C$3="全部","&gt;0",IFERROR(MATCH($C$3,基础资料!$B$5:$B$12,0),-1)),资金台帐!$BG$6:$BG$3005,$F$3*100+5),2)</f>
        <v>0</v>
      </c>
      <c r="G7" s="53">
        <f>ROUND(SUMIFS(资金台帐!$AD$6:$AD$3005,资金台帐!$T$6:$T$3005,"续费",资金台帐!$BH$6:$BH$3005,IF($C$3="全部","&gt;0",IFERROR(MATCH($C$3,基础资料!$B$5:$B$12,0),-1)),资金台帐!$BG$6:$BG$3005,$F$3*100+6),2)</f>
        <v>0</v>
      </c>
      <c r="H7" s="53">
        <f>ROUND(SUMIFS(资金台帐!$AD$6:$AD$3005,资金台帐!$T$6:$T$3005,"续费",资金台帐!$BH$6:$BH$3005,IF($C$3="全部","&gt;0",IFERROR(MATCH($C$3,基础资料!$B$5:$B$12,0),-1)),资金台帐!$BG$6:$BG$3005,$F$3*100+7),2)</f>
        <v>0</v>
      </c>
      <c r="I7" s="53">
        <f>ROUND(SUMIFS(资金台帐!$AD$6:$AD$3005,资金台帐!$T$6:$T$3005,"续费",资金台帐!$BH$6:$BH$3005,IF($C$3="全部","&gt;0",IFERROR(MATCH($C$3,基础资料!$B$5:$B$12,0),-1)),资金台帐!$BG$6:$BG$3005,$F$3*100+8),2)</f>
        <v>0</v>
      </c>
      <c r="J7" s="53">
        <f>ROUND(SUMIFS(资金台帐!$AD$6:$AD$3005,资金台帐!$T$6:$T$3005,"续费",资金台帐!$BH$6:$BH$3005,IF($C$3="全部","&gt;0",IFERROR(MATCH($C$3,基础资料!$B$5:$B$12,0),-1)),资金台帐!$BG$6:$BG$3005,$F$3*100+9),2)</f>
        <v>0</v>
      </c>
      <c r="K7" s="53">
        <f>ROUND(SUMIFS(资金台帐!$AD$6:$AD$3005,资金台帐!$T$6:$T$3005,"续费",资金台帐!$BH$6:$BH$3005,IF($C$3="全部","&gt;0",IFERROR(MATCH($C$3,基础资料!$B$5:$B$12,0),-1)),资金台帐!$BG$6:$BG$3005,$F$3*100+10),2)</f>
        <v>0</v>
      </c>
      <c r="L7" s="53">
        <f>ROUND(SUMIFS(资金台帐!$AD$6:$AD$3005,资金台帐!$T$6:$T$3005,"续费",资金台帐!$BH$6:$BH$3005,IF($C$3="全部","&gt;0",IFERROR(MATCH($C$3,基础资料!$B$5:$B$12,0),-1)),资金台帐!$BG$6:$BG$3005,$F$3*100+11),2)</f>
        <v>0</v>
      </c>
      <c r="M7" s="53">
        <f>ROUND(SUMIFS(资金台帐!$AD$6:$AD$3005,资金台帐!$T$6:$T$3005,"续费",资金台帐!$BH$6:$BH$3005,IF($C$3="全部","&gt;0",IFERROR(MATCH($C$3,基础资料!$B$5:$B$12,0),-1)),资金台帐!$BG$6:$BG$3005,$F$3*100+12),2)</f>
        <v>0</v>
      </c>
      <c r="N7" s="53">
        <f>ROUND(SUM(B7:M7),2)</f>
        <v>0</v>
      </c>
    </row>
    <row r="8">
      <c r="A8" s="63" t="inlineStr">
        <is>
          <t>其他收入项目</t>
        </is>
      </c>
      <c r="B8" s="53">
        <f>ROUND(B9-B6-B7,2)</f>
        <v>0</v>
      </c>
      <c r="C8" s="53">
        <f>ROUND(C9-C6-C7,2)</f>
        <v>0</v>
      </c>
      <c r="D8" s="53">
        <f>ROUND(D9-D6-D7,2)</f>
        <v>0</v>
      </c>
      <c r="E8" s="53">
        <f>ROUND(E9-E6-E7,2)</f>
        <v>0</v>
      </c>
      <c r="F8" s="53">
        <f>ROUND(F9-F6-F7,2)</f>
        <v>0</v>
      </c>
      <c r="G8" s="53">
        <f>ROUND(G9-G6-G7,2)</f>
        <v>13.62</v>
      </c>
      <c r="H8" s="53">
        <f>ROUND(H9-H6-H7,2)</f>
        <v>0</v>
      </c>
      <c r="I8" s="53">
        <f>ROUND(I9-I6-I7,2)</f>
        <v>0</v>
      </c>
      <c r="J8" s="53">
        <f>ROUND(J9-J6-J7,2)</f>
        <v>0</v>
      </c>
      <c r="K8" s="53">
        <f>ROUND(K9-K6-K7,2)</f>
        <v>0</v>
      </c>
      <c r="L8" s="53">
        <f>ROUND(L9-L6-L7,2)</f>
        <v>0</v>
      </c>
      <c r="M8" s="53">
        <f>ROUND(M9-M6-M7,2)</f>
        <v>0</v>
      </c>
      <c r="N8" s="53">
        <f>ROUND(N9-N6-N7,2)</f>
        <v>13.62</v>
      </c>
    </row>
    <row r="9">
      <c r="A9" s="63" t="inlineStr">
        <is>
          <t>收入合计</t>
        </is>
      </c>
      <c r="B9" s="59">
        <f>ROUND(SUMIFS(资金台帐!$AD$6:$AD$3005,资金台帐!$U$6:$U$3005,"收入",资金台帐!$BH$6:$BH$3005,IF($C$3="全部","&gt;0",IFERROR(MATCH($C$3,基础资料!$B$5:$B$12,0),-1)),资金台帐!$BG$6:$BG$3005,$F$3*100+1),2)</f>
        <v>0</v>
      </c>
      <c r="C9" s="59">
        <f>ROUND(SUMIFS(资金台帐!$AD$6:$AD$3005,资金台帐!$U$6:$U$3005,"收入",资金台帐!$BH$6:$BH$3005,IF($C$3="全部","&gt;0",IFERROR(MATCH($C$3,基础资料!$B$5:$B$12,0),-1)),资金台帐!$BG$6:$BG$3005,$F$3*100+2),2)</f>
        <v>0</v>
      </c>
      <c r="D9" s="59">
        <f>ROUND(SUMIFS(资金台帐!$AD$6:$AD$3005,资金台帐!$U$6:$U$3005,"收入",资金台帐!$BH$6:$BH$3005,IF($C$3="全部","&gt;0",IFERROR(MATCH($C$3,基础资料!$B$5:$B$12,0),-1)),资金台帐!$BG$6:$BG$3005,$F$3*100+3),2)</f>
        <v>0</v>
      </c>
      <c r="E9" s="59">
        <f>ROUND(SUMIFS(资金台帐!$AD$6:$AD$3005,资金台帐!$U$6:$U$3005,"收入",资金台帐!$BH$6:$BH$3005,IF($C$3="全部","&gt;0",IFERROR(MATCH($C$3,基础资料!$B$5:$B$12,0),-1)),资金台帐!$BG$6:$BG$3005,$F$3*100+4),2)</f>
        <v>0</v>
      </c>
      <c r="F9" s="59">
        <f>ROUND(SUMIFS(资金台帐!$AD$6:$AD$3005,资金台帐!$U$6:$U$3005,"收入",资金台帐!$BH$6:$BH$3005,IF($C$3="全部","&gt;0",IFERROR(MATCH($C$3,基础资料!$B$5:$B$12,0),-1)),资金台帐!$BG$6:$BG$3005,$F$3*100+5),2)</f>
        <v>0</v>
      </c>
      <c r="G9" s="59">
        <f>ROUND(SUMIFS(资金台帐!$AD$6:$AD$3005,资金台帐!$U$6:$U$3005,"收入",资金台帐!$BH$6:$BH$3005,IF($C$3="全部","&gt;0",IFERROR(MATCH($C$3,基础资料!$B$5:$B$12,0),-1)),资金台帐!$BG$6:$BG$3005,$F$3*100+6),2)</f>
        <v>131613.62</v>
      </c>
      <c r="H9" s="59">
        <f>ROUND(SUMIFS(资金台帐!$AD$6:$AD$3005,资金台帐!$U$6:$U$3005,"收入",资金台帐!$BH$6:$BH$3005,IF($C$3="全部","&gt;0",IFERROR(MATCH($C$3,基础资料!$B$5:$B$12,0),-1)),资金台帐!$BG$6:$BG$3005,$F$3*100+7),2)</f>
        <v>0</v>
      </c>
      <c r="I9" s="59">
        <f>ROUND(SUMIFS(资金台帐!$AD$6:$AD$3005,资金台帐!$U$6:$U$3005,"收入",资金台帐!$BH$6:$BH$3005,IF($C$3="全部","&gt;0",IFERROR(MATCH($C$3,基础资料!$B$5:$B$12,0),-1)),资金台帐!$BG$6:$BG$3005,$F$3*100+8),2)</f>
        <v>0</v>
      </c>
      <c r="J9" s="59">
        <f>ROUND(SUMIFS(资金台帐!$AD$6:$AD$3005,资金台帐!$U$6:$U$3005,"收入",资金台帐!$BH$6:$BH$3005,IF($C$3="全部","&gt;0",IFERROR(MATCH($C$3,基础资料!$B$5:$B$12,0),-1)),资金台帐!$BG$6:$BG$3005,$F$3*100+9),2)</f>
        <v>171000</v>
      </c>
      <c r="K9" s="59">
        <f>ROUND(SUMIFS(资金台帐!$AD$6:$AD$3005,资金台帐!$U$6:$U$3005,"收入",资金台帐!$BH$6:$BH$3005,IF($C$3="全部","&gt;0",IFERROR(MATCH($C$3,基础资料!$B$5:$B$12,0),-1)),资金台帐!$BG$6:$BG$3005,$F$3*100+10),2)</f>
        <v>0</v>
      </c>
      <c r="L9" s="59">
        <f>ROUND(SUMIFS(资金台帐!$AD$6:$AD$3005,资金台帐!$U$6:$U$3005,"收入",资金台帐!$BH$6:$BH$3005,IF($C$3="全部","&gt;0",IFERROR(MATCH($C$3,基础资料!$B$5:$B$12,0),-1)),资金台帐!$BG$6:$BG$3005,$F$3*100+11),2)</f>
        <v>0</v>
      </c>
      <c r="M9" s="59">
        <f>ROUND(SUMIFS(资金台帐!$AD$6:$AD$3005,资金台帐!$U$6:$U$3005,"收入",资金台帐!$BH$6:$BH$3005,IF($C$3="全部","&gt;0",IFERROR(MATCH($C$3,基础资料!$B$5:$B$12,0),-1)),资金台帐!$BG$6:$BG$3005,$F$3*100+12),2)</f>
        <v>0</v>
      </c>
      <c r="N9" s="59">
        <f>ROUND(SUM(B9:M9),2)</f>
        <v>302613.62</v>
      </c>
    </row>
    <row r="12">
      <c r="A12" s="62" t="inlineStr">
        <is>
          <t>每个客户（【往来单位】里类型是「客户」的，按登记顺序）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4" customHeight="1">
      <c r="A13" s="21" t="inlineStr">
        <is>
          <t>序号</t>
        </is>
      </c>
      <c r="B13" s="21" t="inlineStr">
        <is>
          <t>客户</t>
        </is>
      </c>
      <c r="C13" s="21" t="inlineStr">
        <is>
          <t>首次来款</t>
        </is>
      </c>
      <c r="D13" s="21" t="inlineStr">
        <is>
          <t>最近来款</t>
        </is>
      </c>
      <c r="E13" s="21" t="inlineStr">
        <is>
          <t>本年新增</t>
        </is>
      </c>
      <c r="F13" s="21" t="inlineStr">
        <is>
          <t>本年续费</t>
        </is>
      </c>
      <c r="G13" s="21" t="inlineStr">
        <is>
          <t>本年其他项目</t>
        </is>
      </c>
      <c r="H13" s="21" t="inlineStr">
        <is>
          <t>本年收入合计</t>
        </is>
      </c>
      <c r="I13" s="21" t="inlineStr">
        <is>
          <t>累计收款
（到年底）</t>
        </is>
      </c>
      <c r="J13" s="21" t="inlineStr">
        <is>
          <t>本年开票</t>
        </is>
      </c>
      <c r="K13" s="21" t="inlineStr">
        <is>
          <t>应收余额
（到年底）</t>
        </is>
      </c>
      <c r="L13" s="21" t="inlineStr">
        <is>
          <t>本年笔数</t>
        </is>
      </c>
      <c r="M13" s="21" t="inlineStr">
        <is>
          <t>状态</t>
        </is>
      </c>
      <c r="N13" s="21" t="inlineStr">
        <is>
          <t>备注</t>
        </is>
      </c>
    </row>
    <row r="14">
      <c r="A14" s="56">
        <f>IF($B14="","",1)</f>
        <v>1</v>
      </c>
      <c r="B14" s="66" t="str">
        <f>IF(1&gt;$Q$613,"",INDEX(往来单位!$B$4:$B$603,MATCH(1,$Q$14:$Q$613,0)))</f>
        <v>宁波鹿小白机电有限公司</v>
      </c>
      <c r="C14" s="67">
        <f t="shared" ref="C14:C613" si="0">IF($B14="","",_xlfn.MINIFS(资金台帐!$N$6:$N$3005,资金台帐!$P$6:$P$3005,$O14,资金台帐!$BH$6:$BH$3005,IF($C$3="全部","&gt;0",IFERROR(MATCH($C$3,基础资料!$B$5:$B$12,0),-1)),资金台帐!$AB$6:$AB$3005,"&gt;0",资金台帐!$U$6:$U$3005,"收入",资金台帐!$N$6:$N$3005,"&lt;"&amp;DATE($F$3+1,1,1)))</f>
        <v>46266.0</v>
      </c>
      <c r="D14" s="60">
        <f t="shared" ref="D14:D613" si="1">IF(OR($B14="",N(C14)=0),"",_xlfn.MAXIFS(资金台帐!$N$6:$N$3005,资金台帐!$P$6:$P$3005,$O14,资金台帐!$BH$6:$BH$3005,IF($C$3="全部","&gt;0",IFERROR(MATCH($C$3,基础资料!$B$5:$B$12,0),-1)),资金台帐!$AB$6:$AB$3005,"&gt;0",资金台帐!$U$6:$U$3005,"收入",资金台帐!$N$6:$N$3005,"&lt;"&amp;DATE($F$3+1,1,1)))</f>
        <v>46266.0</v>
      </c>
      <c r="E14" s="53">
        <f t="shared" ref="E14:E613" si="2">IF($B14="","",ROUND(SUMIFS(资金台帐!$AD$6:$AD$3005,资金台帐!$P$6:$P$3005,$O14,资金台帐!$BH$6:$BH$3005,IF($C$3="全部","&gt;0",IFERROR(MATCH($C$3,基础资料!$B$5:$B$12,0),-1)),资金台帐!$N$6:$N$3005,"&gt;="&amp;DATE($F$3,1,1),资金台帐!$N$6:$N$3005,"&lt;"&amp;DATE($F$3+1,1,1),资金台帐!$T$6:$T$3005,"新增"),2))</f>
        <v>9600</v>
      </c>
      <c r="F14" s="53">
        <f t="shared" ref="F14:F613" si="3">IF($B14="","",ROUND(SUMIFS(资金台帐!$AD$6:$AD$3005,资金台帐!$P$6:$P$3005,$O14,资金台帐!$BH$6:$BH$3005,IF($C$3="全部","&gt;0",IFERROR(MATCH($C$3,基础资料!$B$5:$B$12,0),-1)),资金台帐!$N$6:$N$3005,"&gt;="&amp;DATE($F$3,1,1),资金台帐!$N$6:$N$3005,"&lt;"&amp;DATE($F$3+1,1,1),资金台帐!$T$6:$T$3005,"续费"),2))</f>
        <v>0</v>
      </c>
      <c r="G14" s="53">
        <f t="shared" ref="G14:G613" si="4">IF($B14="","",ROUND(H14-E14-F14,2))</f>
        <v>0</v>
      </c>
      <c r="H14" s="59">
        <f t="shared" ref="H14:H613" si="5">IF($B14="","",ROUND(SUMIFS(资金台帐!$AD$6:$AD$3005,资金台帐!$P$6:$P$3005,$O14,资金台帐!$BH$6:$BH$3005,IF($C$3="全部","&gt;0",IFERROR(MATCH($C$3,基础资料!$B$5:$B$12,0),-1)),资金台帐!$N$6:$N$3005,"&gt;="&amp;DATE($F$3,1,1),资金台帐!$N$6:$N$3005,"&lt;"&amp;DATE($F$3+1,1,1),资金台帐!$U$6:$U$3005,"收入"),2))</f>
        <v>9600</v>
      </c>
      <c r="I14" s="53">
        <f t="shared" ref="I14:I613" si="6">IF($B14="","",ROUND(SUMIFS(资金台帐!$AD$6:$AD$3005,资金台帐!$P$6:$P$3005,$O14,资金台帐!$BH$6:$BH$3005,IF($C$3="全部","&gt;0",IFERROR(MATCH($C$3,基础资料!$B$5:$B$12,0),-1)),资金台帐!$N$6:$N$3005,"&lt;"&amp;DATE($F$3+1,1,1),资金台帐!$U$6:$U$3005,"收入"),2))</f>
        <v>9600</v>
      </c>
      <c r="J14" s="53">
        <f t="shared" ref="J14:J613" si="7">IF($B14="","",ROUND(SUMIFS(发票导入!$AB$5:$AB$2004,发票导入!$W$5:$W$2004,$O14,发票导入!$U$5:$U$2004,IF($C$3="全部","?*",$C$3),发票导入!$T$5:$T$2004,"&gt;="&amp;DATE($F$3,1,1),发票导入!$T$5:$T$2004,"&lt;"&amp;DATE($F$3+1,1,1)),2))</f>
        <v>9600</v>
      </c>
      <c r="K14" s="53">
        <f t="shared" ref="K14:K613" si="8">IF($B14="","",ROUND(SUMIFS(基础资料!$AH$5:$AH$204,基础资料!$AG$5:$AG$204,$O14,基础资料!$AF$5:$AF$204,IF($C$3="全部","?*",$C$3))+SUMIFS(发票导入!$AB$5:$AB$2004,发票导入!$W$5:$W$2004,$O14,发票导入!$U$5:$U$2004,IF($C$3="全部","?*",$C$3),发票导入!$T$5:$T$2004,"&lt;"&amp;DATE($F$3+1,1,1))-I14,2))</f>
        <v>0</v>
      </c>
      <c r="L14" s="68">
        <f t="shared" ref="L14:L613" si="9">IF($B14="","",COUNTIFS(资金台帐!$P$6:$P$3005,$O14,资金台帐!$BH$6:$BH$3005,IF($C$3="全部","&gt;0",IFERROR(MATCH($C$3,基础资料!$B$5:$B$12,0),-1)),资金台帐!$N$6:$N$3005,"&gt;="&amp;DATE($F$3,1,1),资金台帐!$N$6:$N$3005,"&lt;"&amp;DATE($F$3+1,1,1),资金台帐!$AB$6:$AB$3005,"&gt;0",资金台帐!$U$6:$U$3005,"收入"))</f>
        <v>1</v>
      </c>
      <c r="M14" s="56" t="str">
        <f t="shared" ref="M14:M613" si="10">IF($B14="","",IF(N(C14)=0,"还没来过款",IF(E14&gt;0,"本年新客户",IF(D14&lt;DATE($F$3,1,1),"今年没来款",""))))</f>
        <v>本年新客户</v>
      </c>
      <c r="N14" s="69">
        <f t="shared" ref="N14:N613" si="11">IF($B14="","",IF(K14&lt;0,"已收款未开票/预收",IF(K14&gt;0,"开了票还没收齐","")))</f>
      </c>
      <c r="O14" s="22" t="str">
        <f t="shared" ref="O14:O613" si="12">SUBSTITUTE(SUBSTITUTE(SUBSTITUTE($B14,"~","~~"),"*","~*"),"?","~?")</f>
        <v>宁波鹿小白机电有限公司</v>
      </c>
      <c r="P14" s="22">
        <f>IF(往来单位!$C$4="客户",1,0)</f>
        <v>1</v>
      </c>
      <c r="Q14" s="22">
        <f>P14</f>
        <v>1</v>
      </c>
    </row>
    <row r="15">
      <c r="A15" s="56">
        <f>IF($B15="","",2)</f>
        <v>2</v>
      </c>
      <c r="B15" s="66" t="str">
        <f>IF(2&gt;$Q$613,"",INDEX(往来单位!$B$4:$B$603,MATCH(2,$Q$14:$Q$613,0)))</f>
        <v>宁波安程汽车服务有限公司</v>
      </c>
      <c r="C15" s="67">
        <f t="shared" si="0"/>
        <v>0.0</v>
      </c>
      <c r="D15" s="60">
        <f t="shared" si="1"/>
      </c>
      <c r="E15" s="53">
        <f t="shared" si="2"/>
        <v>0</v>
      </c>
      <c r="F15" s="53">
        <f t="shared" si="3"/>
        <v>0</v>
      </c>
      <c r="G15" s="53">
        <f t="shared" si="4"/>
        <v>0</v>
      </c>
      <c r="H15" s="59">
        <f t="shared" si="5"/>
        <v>0</v>
      </c>
      <c r="I15" s="53">
        <f t="shared" si="6"/>
        <v>0</v>
      </c>
      <c r="J15" s="53">
        <f t="shared" si="7"/>
        <v>21600</v>
      </c>
      <c r="K15" s="53">
        <f t="shared" si="8"/>
        <v>21600</v>
      </c>
      <c r="L15" s="68">
        <f t="shared" si="9"/>
        <v>0</v>
      </c>
      <c r="M15" s="56" t="str">
        <f t="shared" si="10"/>
        <v>还没来过款</v>
      </c>
      <c r="N15" s="69" t="str">
        <f t="shared" si="11"/>
        <v>开了票还没收齐</v>
      </c>
      <c r="O15" s="22" t="str">
        <f t="shared" si="12"/>
        <v>宁波安程汽车服务有限公司</v>
      </c>
      <c r="P15" s="22">
        <f>IF(往来单位!$C$5="客户",1,0)</f>
        <v>1</v>
      </c>
      <c r="Q15" s="22">
        <f t="shared" ref="Q15:Q613" si="13">N(Q14)+P15</f>
        <v>2</v>
      </c>
    </row>
    <row r="16">
      <c r="A16" s="56">
        <f>IF($B16="","",3)</f>
        <v>3</v>
      </c>
      <c r="B16" s="66" t="str">
        <f>IF(3&gt;$Q$613,"",INDEX(往来单位!$B$4:$B$603,MATCH(3,$Q$14:$Q$613,0)))</f>
        <v>宁波市华方塑料机械制造有限公司</v>
      </c>
      <c r="C16" s="67">
        <f t="shared" si="0"/>
        <v>46279.0</v>
      </c>
      <c r="D16" s="60">
        <f t="shared" si="1"/>
        <v>46279.0</v>
      </c>
      <c r="E16" s="53">
        <f t="shared" si="2"/>
        <v>10000</v>
      </c>
      <c r="F16" s="53">
        <f t="shared" si="3"/>
        <v>0</v>
      </c>
      <c r="G16" s="53">
        <f t="shared" si="4"/>
        <v>0</v>
      </c>
      <c r="H16" s="59">
        <f t="shared" si="5"/>
        <v>10000</v>
      </c>
      <c r="I16" s="53">
        <f t="shared" si="6"/>
        <v>10000</v>
      </c>
      <c r="J16" s="53">
        <f t="shared" si="7"/>
        <v>10000</v>
      </c>
      <c r="K16" s="53">
        <f t="shared" si="8"/>
        <v>0</v>
      </c>
      <c r="L16" s="68">
        <f t="shared" si="9"/>
        <v>1</v>
      </c>
      <c r="M16" s="56" t="str">
        <f t="shared" si="10"/>
        <v>本年新客户</v>
      </c>
      <c r="N16" s="69">
        <f t="shared" si="11"/>
      </c>
      <c r="O16" s="22" t="str">
        <f t="shared" si="12"/>
        <v>宁波市华方塑料机械制造有限公司</v>
      </c>
      <c r="P16" s="22">
        <f>IF(往来单位!$C$6="客户",1,0)</f>
        <v>1</v>
      </c>
      <c r="Q16" s="22">
        <f t="shared" si="13"/>
        <v>3</v>
      </c>
    </row>
    <row r="17">
      <c r="A17" s="56">
        <f>IF($B17="","",4)</f>
        <v>4</v>
      </c>
      <c r="B17" s="66" t="str">
        <f>IF(4&gt;$Q$613,"",INDEX(往来单位!$B$4:$B$603,MATCH(4,$Q$14:$Q$613,0)))</f>
        <v>宁波市昕阳国际贸易有限公司</v>
      </c>
      <c r="C17" s="67">
        <f t="shared" si="0"/>
        <v>0.0</v>
      </c>
      <c r="D17" s="60">
        <f t="shared" si="1"/>
      </c>
      <c r="E17" s="53">
        <f t="shared" si="2"/>
        <v>0</v>
      </c>
      <c r="F17" s="53">
        <f t="shared" si="3"/>
        <v>0</v>
      </c>
      <c r="G17" s="53">
        <f t="shared" si="4"/>
        <v>0</v>
      </c>
      <c r="H17" s="59">
        <f t="shared" si="5"/>
        <v>0</v>
      </c>
      <c r="I17" s="53">
        <f t="shared" si="6"/>
        <v>0</v>
      </c>
      <c r="J17" s="53">
        <f t="shared" si="7"/>
        <v>6600</v>
      </c>
      <c r="K17" s="53">
        <f t="shared" si="8"/>
        <v>6600</v>
      </c>
      <c r="L17" s="68">
        <f t="shared" si="9"/>
        <v>0</v>
      </c>
      <c r="M17" s="56" t="str">
        <f t="shared" si="10"/>
        <v>还没来过款</v>
      </c>
      <c r="N17" s="69" t="str">
        <f t="shared" si="11"/>
        <v>开了票还没收齐</v>
      </c>
      <c r="O17" s="22" t="str">
        <f t="shared" si="12"/>
        <v>宁波市昕阳国际贸易有限公司</v>
      </c>
      <c r="P17" s="22">
        <f>IF(往来单位!$C$7="客户",1,0)</f>
        <v>1</v>
      </c>
      <c r="Q17" s="22">
        <f t="shared" si="13"/>
        <v>4</v>
      </c>
    </row>
    <row r="18">
      <c r="A18" s="56">
        <f>IF($B18="","",5)</f>
        <v>5</v>
      </c>
      <c r="B18" s="66" t="str">
        <f>IF(5&gt;$Q$613,"",INDEX(往来单位!$B$4:$B$603,MATCH(5,$Q$14:$Q$613,0)))</f>
        <v>宁波永程纸制品有限公司</v>
      </c>
      <c r="C18" s="67">
        <f t="shared" si="0"/>
        <v>0.0</v>
      </c>
      <c r="D18" s="60">
        <f t="shared" si="1"/>
      </c>
      <c r="E18" s="53">
        <f t="shared" si="2"/>
        <v>0</v>
      </c>
      <c r="F18" s="53">
        <f t="shared" si="3"/>
        <v>0</v>
      </c>
      <c r="G18" s="53">
        <f t="shared" si="4"/>
        <v>0</v>
      </c>
      <c r="H18" s="59">
        <f t="shared" si="5"/>
        <v>0</v>
      </c>
      <c r="I18" s="53">
        <f t="shared" si="6"/>
        <v>0</v>
      </c>
      <c r="J18" s="53">
        <f t="shared" si="7"/>
        <v>7200</v>
      </c>
      <c r="K18" s="53">
        <f t="shared" si="8"/>
        <v>7200</v>
      </c>
      <c r="L18" s="68">
        <f t="shared" si="9"/>
        <v>0</v>
      </c>
      <c r="M18" s="56" t="str">
        <f t="shared" si="10"/>
        <v>还没来过款</v>
      </c>
      <c r="N18" s="69" t="str">
        <f t="shared" si="11"/>
        <v>开了票还没收齐</v>
      </c>
      <c r="O18" s="22" t="str">
        <f t="shared" si="12"/>
        <v>宁波永程纸制品有限公司</v>
      </c>
      <c r="P18" s="22">
        <f>IF(往来单位!$C$8="客户",1,0)</f>
        <v>1</v>
      </c>
      <c r="Q18" s="22">
        <f t="shared" si="13"/>
        <v>5</v>
      </c>
    </row>
    <row r="19">
      <c r="A19" s="56">
        <f>IF($B19="","",6)</f>
        <v>6</v>
      </c>
      <c r="B19" s="66" t="str">
        <f>IF(6&gt;$Q$613,"",INDEX(往来单位!$B$4:$B$603,MATCH(6,$Q$14:$Q$613,0)))</f>
        <v>鄞州区福明街道国际汽车城业主委员会</v>
      </c>
      <c r="C19" s="67">
        <f t="shared" si="0"/>
        <v>0.0</v>
      </c>
      <c r="D19" s="60">
        <f t="shared" si="1"/>
      </c>
      <c r="E19" s="53">
        <f t="shared" si="2"/>
        <v>0</v>
      </c>
      <c r="F19" s="53">
        <f t="shared" si="3"/>
        <v>0</v>
      </c>
      <c r="G19" s="53">
        <f t="shared" si="4"/>
        <v>0</v>
      </c>
      <c r="H19" s="59">
        <f t="shared" si="5"/>
        <v>0</v>
      </c>
      <c r="I19" s="53">
        <f t="shared" si="6"/>
        <v>0</v>
      </c>
      <c r="J19" s="53">
        <f t="shared" si="7"/>
        <v>300</v>
      </c>
      <c r="K19" s="53">
        <f t="shared" si="8"/>
        <v>300</v>
      </c>
      <c r="L19" s="68">
        <f t="shared" si="9"/>
        <v>0</v>
      </c>
      <c r="M19" s="56" t="str">
        <f t="shared" si="10"/>
        <v>还没来过款</v>
      </c>
      <c r="N19" s="69" t="str">
        <f t="shared" si="11"/>
        <v>开了票还没收齐</v>
      </c>
      <c r="O19" s="22" t="str">
        <f t="shared" si="12"/>
        <v>鄞州区福明街道国际汽车城业主委员会</v>
      </c>
      <c r="P19" s="22">
        <f>IF(往来单位!$C$9="客户",1,0)</f>
        <v>1</v>
      </c>
      <c r="Q19" s="22">
        <f t="shared" si="13"/>
        <v>6</v>
      </c>
    </row>
    <row r="20">
      <c r="A20" s="56">
        <f>IF($B20="","",7)</f>
        <v>7</v>
      </c>
      <c r="B20" s="66" t="str">
        <f>IF(7&gt;$Q$613,"",INDEX(往来单位!$B$4:$B$603,MATCH(7,$Q$14:$Q$613,0)))</f>
        <v>宁波市鄞州瑞益通风设备有限公司</v>
      </c>
      <c r="C20" s="67">
        <f t="shared" si="0"/>
        <v>0.0</v>
      </c>
      <c r="D20" s="60">
        <f t="shared" si="1"/>
      </c>
      <c r="E20" s="53">
        <f t="shared" si="2"/>
        <v>0</v>
      </c>
      <c r="F20" s="53">
        <f t="shared" si="3"/>
        <v>0</v>
      </c>
      <c r="G20" s="53">
        <f t="shared" si="4"/>
        <v>0</v>
      </c>
      <c r="H20" s="59">
        <f t="shared" si="5"/>
        <v>0</v>
      </c>
      <c r="I20" s="53">
        <f t="shared" si="6"/>
        <v>0</v>
      </c>
      <c r="J20" s="53">
        <f t="shared" si="7"/>
        <v>24000</v>
      </c>
      <c r="K20" s="53">
        <f t="shared" si="8"/>
        <v>24000</v>
      </c>
      <c r="L20" s="68">
        <f t="shared" si="9"/>
        <v>0</v>
      </c>
      <c r="M20" s="56" t="str">
        <f t="shared" si="10"/>
        <v>还没来过款</v>
      </c>
      <c r="N20" s="69" t="str">
        <f t="shared" si="11"/>
        <v>开了票还没收齐</v>
      </c>
      <c r="O20" s="22" t="str">
        <f t="shared" si="12"/>
        <v>宁波市鄞州瑞益通风设备有限公司</v>
      </c>
      <c r="P20" s="22">
        <f>IF(往来单位!$C$10="客户",1,0)</f>
        <v>1</v>
      </c>
      <c r="Q20" s="22">
        <f t="shared" si="13"/>
        <v>7</v>
      </c>
    </row>
    <row r="21">
      <c r="A21" s="56">
        <f>IF($B21="","",8)</f>
        <v>8</v>
      </c>
      <c r="B21" s="66" t="str">
        <f>IF(8&gt;$Q$613,"",INDEX(往来单位!$B$4:$B$603,MATCH(8,$Q$14:$Q$613,0)))</f>
        <v>宁波市鄞州五乡晓林五金机械厂</v>
      </c>
      <c r="C21" s="67">
        <f t="shared" si="0"/>
        <v>0.0</v>
      </c>
      <c r="D21" s="60">
        <f t="shared" si="1"/>
      </c>
      <c r="E21" s="53">
        <f t="shared" si="2"/>
        <v>0</v>
      </c>
      <c r="F21" s="53">
        <f t="shared" si="3"/>
        <v>0</v>
      </c>
      <c r="G21" s="53">
        <f t="shared" si="4"/>
        <v>0</v>
      </c>
      <c r="H21" s="59">
        <f t="shared" si="5"/>
        <v>0</v>
      </c>
      <c r="I21" s="53">
        <f t="shared" si="6"/>
        <v>0</v>
      </c>
      <c r="J21" s="53">
        <f t="shared" si="7"/>
        <v>7200</v>
      </c>
      <c r="K21" s="53">
        <f t="shared" si="8"/>
        <v>7200</v>
      </c>
      <c r="L21" s="68">
        <f t="shared" si="9"/>
        <v>0</v>
      </c>
      <c r="M21" s="56" t="str">
        <f t="shared" si="10"/>
        <v>还没来过款</v>
      </c>
      <c r="N21" s="69" t="str">
        <f t="shared" si="11"/>
        <v>开了票还没收齐</v>
      </c>
      <c r="O21" s="22" t="str">
        <f t="shared" si="12"/>
        <v>宁波市鄞州五乡晓林五金机械厂</v>
      </c>
      <c r="P21" s="22">
        <f>IF(往来单位!$C$11="客户",1,0)</f>
        <v>1</v>
      </c>
      <c r="Q21" s="22">
        <f t="shared" si="13"/>
        <v>8</v>
      </c>
    </row>
    <row r="22">
      <c r="A22" s="56">
        <f>IF($B22="","",9)</f>
        <v>9</v>
      </c>
      <c r="B22" s="66" t="str">
        <f>IF(9&gt;$Q$613,"",INDEX(往来单位!$B$4:$B$603,MATCH(9,$Q$14:$Q$613,0)))</f>
        <v>宜柏嘉（宁波）智能科技有限公司</v>
      </c>
      <c r="C22" s="67">
        <f t="shared" si="0"/>
        <v>0.0</v>
      </c>
      <c r="D22" s="60">
        <f t="shared" si="1"/>
      </c>
      <c r="E22" s="53">
        <f t="shared" si="2"/>
        <v>0</v>
      </c>
      <c r="F22" s="53">
        <f t="shared" si="3"/>
        <v>0</v>
      </c>
      <c r="G22" s="53">
        <f t="shared" si="4"/>
        <v>0</v>
      </c>
      <c r="H22" s="59">
        <f t="shared" si="5"/>
        <v>0</v>
      </c>
      <c r="I22" s="53">
        <f t="shared" si="6"/>
        <v>0</v>
      </c>
      <c r="J22" s="53">
        <f t="shared" si="7"/>
        <v>9000</v>
      </c>
      <c r="K22" s="53">
        <f t="shared" si="8"/>
        <v>9000</v>
      </c>
      <c r="L22" s="68">
        <f t="shared" si="9"/>
        <v>0</v>
      </c>
      <c r="M22" s="56" t="str">
        <f t="shared" si="10"/>
        <v>还没来过款</v>
      </c>
      <c r="N22" s="69" t="str">
        <f t="shared" si="11"/>
        <v>开了票还没收齐</v>
      </c>
      <c r="O22" s="22" t="str">
        <f t="shared" si="12"/>
        <v>宜柏嘉（宁波）智能科技有限公司</v>
      </c>
      <c r="P22" s="22">
        <f>IF(往来单位!$C$12="客户",1,0)</f>
        <v>1</v>
      </c>
      <c r="Q22" s="22">
        <f t="shared" si="13"/>
        <v>9</v>
      </c>
    </row>
    <row r="23">
      <c r="A23" s="56">
        <f>IF($B23="","",10)</f>
        <v>10</v>
      </c>
      <c r="B23" s="66" t="str">
        <f>IF(10&gt;$Q$613,"",INDEX(往来单位!$B$4:$B$603,MATCH(10,$Q$14:$Q$613,0)))</f>
        <v>宁波优责标识科技有限公司</v>
      </c>
      <c r="C23" s="67">
        <f t="shared" si="0"/>
        <v>0.0</v>
      </c>
      <c r="D23" s="60">
        <f t="shared" si="1"/>
      </c>
      <c r="E23" s="53">
        <f t="shared" si="2"/>
        <v>0</v>
      </c>
      <c r="F23" s="53">
        <f t="shared" si="3"/>
        <v>0</v>
      </c>
      <c r="G23" s="53">
        <f t="shared" si="4"/>
        <v>0</v>
      </c>
      <c r="H23" s="59">
        <f t="shared" si="5"/>
        <v>0</v>
      </c>
      <c r="I23" s="53">
        <f t="shared" si="6"/>
        <v>0</v>
      </c>
      <c r="J23" s="53">
        <f t="shared" si="7"/>
        <v>5400</v>
      </c>
      <c r="K23" s="53">
        <f t="shared" si="8"/>
        <v>5400</v>
      </c>
      <c r="L23" s="68">
        <f t="shared" si="9"/>
        <v>0</v>
      </c>
      <c r="M23" s="56" t="str">
        <f t="shared" si="10"/>
        <v>还没来过款</v>
      </c>
      <c r="N23" s="69" t="str">
        <f t="shared" si="11"/>
        <v>开了票还没收齐</v>
      </c>
      <c r="O23" s="22" t="str">
        <f t="shared" si="12"/>
        <v>宁波优责标识科技有限公司</v>
      </c>
      <c r="P23" s="22">
        <f>IF(往来单位!$C$13="客户",1,0)</f>
        <v>1</v>
      </c>
      <c r="Q23" s="22">
        <f t="shared" si="13"/>
        <v>10</v>
      </c>
    </row>
    <row r="24">
      <c r="A24" s="56">
        <f>IF($B24="","",11)</f>
        <v>11</v>
      </c>
      <c r="B24" s="66" t="str">
        <f>IF(11&gt;$Q$613,"",INDEX(往来单位!$B$4:$B$603,MATCH(11,$Q$14:$Q$613,0)))</f>
        <v>宁波新鹏机械有限公司</v>
      </c>
      <c r="C24" s="67">
        <f t="shared" si="0"/>
        <v>46267.0</v>
      </c>
      <c r="D24" s="60">
        <f t="shared" si="1"/>
        <v>46267.0</v>
      </c>
      <c r="E24" s="53">
        <f t="shared" si="2"/>
        <v>6000</v>
      </c>
      <c r="F24" s="53">
        <f t="shared" si="3"/>
        <v>0</v>
      </c>
      <c r="G24" s="53">
        <f t="shared" si="4"/>
        <v>0</v>
      </c>
      <c r="H24" s="59">
        <f t="shared" si="5"/>
        <v>6000</v>
      </c>
      <c r="I24" s="53">
        <f t="shared" si="6"/>
        <v>6000</v>
      </c>
      <c r="J24" s="53">
        <f t="shared" si="7"/>
        <v>0</v>
      </c>
      <c r="K24" s="53">
        <f t="shared" si="8"/>
        <v>-6000</v>
      </c>
      <c r="L24" s="68">
        <f t="shared" si="9"/>
        <v>1</v>
      </c>
      <c r="M24" s="56" t="str">
        <f t="shared" si="10"/>
        <v>本年新客户</v>
      </c>
      <c r="N24" s="69" t="str">
        <f t="shared" si="11"/>
        <v>已收款未开票/预收</v>
      </c>
      <c r="O24" s="22" t="str">
        <f t="shared" si="12"/>
        <v>宁波新鹏机械有限公司</v>
      </c>
      <c r="P24" s="22">
        <f>IF(往来单位!$C$14="客户",1,0)</f>
        <v>1</v>
      </c>
      <c r="Q24" s="22">
        <f t="shared" si="13"/>
        <v>11</v>
      </c>
    </row>
    <row r="25">
      <c r="A25" s="56">
        <f>IF($B25="","",12)</f>
        <v>12</v>
      </c>
      <c r="B25" s="66" t="str">
        <f>IF(12&gt;$Q$613,"",INDEX(往来单位!$B$4:$B$603,MATCH(12,$Q$14:$Q$613,0)))</f>
        <v>宁波恒杰工业锁闭技术有限公司</v>
      </c>
      <c r="C25" s="67">
        <f t="shared" si="0"/>
        <v>46268.0</v>
      </c>
      <c r="D25" s="60">
        <f t="shared" si="1"/>
        <v>46268.0</v>
      </c>
      <c r="E25" s="53">
        <f t="shared" si="2"/>
        <v>68800</v>
      </c>
      <c r="F25" s="53">
        <f t="shared" si="3"/>
        <v>0</v>
      </c>
      <c r="G25" s="53">
        <f t="shared" si="4"/>
        <v>0</v>
      </c>
      <c r="H25" s="59">
        <f t="shared" si="5"/>
        <v>68800</v>
      </c>
      <c r="I25" s="53">
        <f t="shared" si="6"/>
        <v>68800</v>
      </c>
      <c r="J25" s="53">
        <f t="shared" si="7"/>
        <v>0</v>
      </c>
      <c r="K25" s="53">
        <f t="shared" si="8"/>
        <v>-68800</v>
      </c>
      <c r="L25" s="68">
        <f t="shared" si="9"/>
        <v>1</v>
      </c>
      <c r="M25" s="56" t="str">
        <f t="shared" si="10"/>
        <v>本年新客户</v>
      </c>
      <c r="N25" s="69" t="str">
        <f t="shared" si="11"/>
        <v>已收款未开票/预收</v>
      </c>
      <c r="O25" s="22" t="str">
        <f t="shared" si="12"/>
        <v>宁波恒杰工业锁闭技术有限公司</v>
      </c>
      <c r="P25" s="22">
        <f>IF(往来单位!$C$15="客户",1,0)</f>
        <v>1</v>
      </c>
      <c r="Q25" s="22">
        <f t="shared" si="13"/>
        <v>12</v>
      </c>
    </row>
    <row r="26">
      <c r="A26" s="56">
        <f>IF($B26="","",13)</f>
        <v>13</v>
      </c>
      <c r="B26" s="66" t="str">
        <f>IF(13&gt;$Q$613,"",INDEX(往来单位!$B$4:$B$603,MATCH(13,$Q$14:$Q$613,0)))</f>
        <v>宁波绮绘印花有限公司</v>
      </c>
      <c r="C26" s="67">
        <f t="shared" si="0"/>
        <v>46268.0</v>
      </c>
      <c r="D26" s="60">
        <f t="shared" si="1"/>
        <v>46268.0</v>
      </c>
      <c r="E26" s="53">
        <f t="shared" si="2"/>
        <v>8000</v>
      </c>
      <c r="F26" s="53">
        <f t="shared" si="3"/>
        <v>0</v>
      </c>
      <c r="G26" s="53">
        <f t="shared" si="4"/>
        <v>0</v>
      </c>
      <c r="H26" s="59">
        <f t="shared" si="5"/>
        <v>8000</v>
      </c>
      <c r="I26" s="53">
        <f t="shared" si="6"/>
        <v>8000</v>
      </c>
      <c r="J26" s="53">
        <f t="shared" si="7"/>
        <v>0</v>
      </c>
      <c r="K26" s="53">
        <f t="shared" si="8"/>
        <v>-8000</v>
      </c>
      <c r="L26" s="68">
        <f t="shared" si="9"/>
        <v>1</v>
      </c>
      <c r="M26" s="56" t="str">
        <f t="shared" si="10"/>
        <v>本年新客户</v>
      </c>
      <c r="N26" s="69" t="str">
        <f t="shared" si="11"/>
        <v>已收款未开票/预收</v>
      </c>
      <c r="O26" s="22" t="str">
        <f t="shared" si="12"/>
        <v>宁波绮绘印花有限公司</v>
      </c>
      <c r="P26" s="22">
        <f>IF(往来单位!$C$16="客户",1,0)</f>
        <v>1</v>
      </c>
      <c r="Q26" s="22">
        <f t="shared" si="13"/>
        <v>13</v>
      </c>
    </row>
    <row r="27">
      <c r="A27" s="56">
        <f>IF($B27="","",14)</f>
        <v>14</v>
      </c>
      <c r="B27" s="66" t="str">
        <f>IF(14&gt;$Q$613,"",INDEX(往来单位!$B$4:$B$603,MATCH(14,$Q$14:$Q$613,0)))</f>
        <v>浙江省成套工程有限公司鄞州分公司</v>
      </c>
      <c r="C27" s="67">
        <f t="shared" si="0"/>
        <v>46272.0</v>
      </c>
      <c r="D27" s="60">
        <f t="shared" si="1"/>
        <v>46272.0</v>
      </c>
      <c r="E27" s="53">
        <f t="shared" si="2"/>
        <v>1800</v>
      </c>
      <c r="F27" s="53">
        <f t="shared" si="3"/>
        <v>0</v>
      </c>
      <c r="G27" s="53">
        <f t="shared" si="4"/>
        <v>0</v>
      </c>
      <c r="H27" s="59">
        <f t="shared" si="5"/>
        <v>1800</v>
      </c>
      <c r="I27" s="53">
        <f t="shared" si="6"/>
        <v>1800</v>
      </c>
      <c r="J27" s="53">
        <f t="shared" si="7"/>
        <v>0</v>
      </c>
      <c r="K27" s="53">
        <f t="shared" si="8"/>
        <v>-1800</v>
      </c>
      <c r="L27" s="68">
        <f t="shared" si="9"/>
        <v>1</v>
      </c>
      <c r="M27" s="56" t="str">
        <f t="shared" si="10"/>
        <v>本年新客户</v>
      </c>
      <c r="N27" s="69" t="str">
        <f t="shared" si="11"/>
        <v>已收款未开票/预收</v>
      </c>
      <c r="O27" s="22" t="str">
        <f t="shared" si="12"/>
        <v>浙江省成套工程有限公司鄞州分公司</v>
      </c>
      <c r="P27" s="22">
        <f>IF(往来单位!$C$17="客户",1,0)</f>
        <v>1</v>
      </c>
      <c r="Q27" s="22">
        <f t="shared" si="13"/>
        <v>14</v>
      </c>
    </row>
    <row r="28">
      <c r="A28" s="56">
        <f>IF($B28="","",15)</f>
        <v>15</v>
      </c>
      <c r="B28" s="66" t="str">
        <f>IF(15&gt;$Q$613,"",INDEX(往来单位!$B$4:$B$603,MATCH(15,$Q$14:$Q$613,0)))</f>
        <v>宁波市吉安商会</v>
      </c>
      <c r="C28" s="67">
        <f t="shared" si="0"/>
        <v>46273.0</v>
      </c>
      <c r="D28" s="60">
        <f t="shared" si="1"/>
        <v>46273.0</v>
      </c>
      <c r="E28" s="53">
        <f t="shared" si="2"/>
        <v>500</v>
      </c>
      <c r="F28" s="53">
        <f t="shared" si="3"/>
        <v>0</v>
      </c>
      <c r="G28" s="53">
        <f t="shared" si="4"/>
        <v>0</v>
      </c>
      <c r="H28" s="59">
        <f t="shared" si="5"/>
        <v>500</v>
      </c>
      <c r="I28" s="53">
        <f t="shared" si="6"/>
        <v>500</v>
      </c>
      <c r="J28" s="53">
        <f t="shared" si="7"/>
        <v>0</v>
      </c>
      <c r="K28" s="53">
        <f t="shared" si="8"/>
        <v>-500</v>
      </c>
      <c r="L28" s="68">
        <f t="shared" si="9"/>
        <v>1</v>
      </c>
      <c r="M28" s="56" t="str">
        <f t="shared" si="10"/>
        <v>本年新客户</v>
      </c>
      <c r="N28" s="69" t="str">
        <f t="shared" si="11"/>
        <v>已收款未开票/预收</v>
      </c>
      <c r="O28" s="22" t="str">
        <f t="shared" si="12"/>
        <v>宁波市吉安商会</v>
      </c>
      <c r="P28" s="22">
        <f>IF(往来单位!$C$18="客户",1,0)</f>
        <v>1</v>
      </c>
      <c r="Q28" s="22">
        <f t="shared" si="13"/>
        <v>15</v>
      </c>
    </row>
    <row r="29">
      <c r="A29" s="56">
        <f>IF($B29="","",16)</f>
        <v>16</v>
      </c>
      <c r="B29" s="66" t="str">
        <f>IF(16&gt;$Q$613,"",INDEX(往来单位!$B$4:$B$603,MATCH(16,$Q$14:$Q$613,0)))</f>
        <v>宁波绵菡电子有限公司</v>
      </c>
      <c r="C29" s="67">
        <f t="shared" si="0"/>
        <v>46274.0</v>
      </c>
      <c r="D29" s="60">
        <f t="shared" si="1"/>
        <v>46274.0</v>
      </c>
      <c r="E29" s="53">
        <f t="shared" si="2"/>
        <v>3000</v>
      </c>
      <c r="F29" s="53">
        <f t="shared" si="3"/>
        <v>0</v>
      </c>
      <c r="G29" s="53">
        <f t="shared" si="4"/>
        <v>0</v>
      </c>
      <c r="H29" s="59">
        <f t="shared" si="5"/>
        <v>3000</v>
      </c>
      <c r="I29" s="53">
        <f t="shared" si="6"/>
        <v>3000</v>
      </c>
      <c r="J29" s="53">
        <f t="shared" si="7"/>
        <v>0</v>
      </c>
      <c r="K29" s="53">
        <f t="shared" si="8"/>
        <v>-3000</v>
      </c>
      <c r="L29" s="68">
        <f t="shared" si="9"/>
        <v>1</v>
      </c>
      <c r="M29" s="56" t="str">
        <f t="shared" si="10"/>
        <v>本年新客户</v>
      </c>
      <c r="N29" s="69" t="str">
        <f t="shared" si="11"/>
        <v>已收款未开票/预收</v>
      </c>
      <c r="O29" s="22" t="str">
        <f t="shared" si="12"/>
        <v>宁波绵菡电子有限公司</v>
      </c>
      <c r="P29" s="22">
        <f>IF(往来单位!$C$19="客户",1,0)</f>
        <v>1</v>
      </c>
      <c r="Q29" s="22">
        <f t="shared" si="13"/>
        <v>16</v>
      </c>
    </row>
    <row r="30">
      <c r="A30" s="56">
        <f>IF($B30="","",17)</f>
        <v>17</v>
      </c>
      <c r="B30" s="66" t="str">
        <f>IF(17&gt;$Q$613,"",INDEX(往来单位!$B$4:$B$603,MATCH(17,$Q$14:$Q$613,0)))</f>
        <v>宁波启定塑料制品有限公司</v>
      </c>
      <c r="C30" s="67">
        <f t="shared" si="0"/>
        <v>46276.0</v>
      </c>
      <c r="D30" s="60">
        <f t="shared" si="1"/>
        <v>46276.0</v>
      </c>
      <c r="E30" s="53">
        <f t="shared" si="2"/>
        <v>300</v>
      </c>
      <c r="F30" s="53">
        <f t="shared" si="3"/>
        <v>0</v>
      </c>
      <c r="G30" s="53">
        <f t="shared" si="4"/>
        <v>0</v>
      </c>
      <c r="H30" s="59">
        <f t="shared" si="5"/>
        <v>300</v>
      </c>
      <c r="I30" s="53">
        <f t="shared" si="6"/>
        <v>300</v>
      </c>
      <c r="J30" s="53">
        <f t="shared" si="7"/>
        <v>0</v>
      </c>
      <c r="K30" s="53">
        <f t="shared" si="8"/>
        <v>-300</v>
      </c>
      <c r="L30" s="68">
        <f t="shared" si="9"/>
        <v>1</v>
      </c>
      <c r="M30" s="56" t="str">
        <f t="shared" si="10"/>
        <v>本年新客户</v>
      </c>
      <c r="N30" s="69" t="str">
        <f t="shared" si="11"/>
        <v>已收款未开票/预收</v>
      </c>
      <c r="O30" s="22" t="str">
        <f t="shared" si="12"/>
        <v>宁波启定塑料制品有限公司</v>
      </c>
      <c r="P30" s="22">
        <f>IF(往来单位!$C$20="客户",1,0)</f>
        <v>1</v>
      </c>
      <c r="Q30" s="22">
        <f t="shared" si="13"/>
        <v>17</v>
      </c>
    </row>
    <row r="31">
      <c r="A31" s="56">
        <f>IF($B31="","",18)</f>
        <v>18</v>
      </c>
      <c r="B31" s="66" t="str">
        <f>IF(18&gt;$Q$613,"",INDEX(往来单位!$B$4:$B$603,MATCH(18,$Q$14:$Q$613,0)))</f>
        <v>宁波佳协永立服饰有限公司</v>
      </c>
      <c r="C31" s="67">
        <f t="shared" si="0"/>
        <v>46276.0</v>
      </c>
      <c r="D31" s="60">
        <f t="shared" si="1"/>
        <v>46276.0</v>
      </c>
      <c r="E31" s="53">
        <f t="shared" si="2"/>
        <v>54000</v>
      </c>
      <c r="F31" s="53">
        <f t="shared" si="3"/>
        <v>0</v>
      </c>
      <c r="G31" s="53">
        <f t="shared" si="4"/>
        <v>0</v>
      </c>
      <c r="H31" s="59">
        <f t="shared" si="5"/>
        <v>54000</v>
      </c>
      <c r="I31" s="53">
        <f t="shared" si="6"/>
        <v>54000</v>
      </c>
      <c r="J31" s="53">
        <f t="shared" si="7"/>
        <v>0</v>
      </c>
      <c r="K31" s="53">
        <f t="shared" si="8"/>
        <v>-54000</v>
      </c>
      <c r="L31" s="68">
        <f t="shared" si="9"/>
        <v>1</v>
      </c>
      <c r="M31" s="56" t="str">
        <f t="shared" si="10"/>
        <v>本年新客户</v>
      </c>
      <c r="N31" s="69" t="str">
        <f t="shared" si="11"/>
        <v>已收款未开票/预收</v>
      </c>
      <c r="O31" s="22" t="str">
        <f t="shared" si="12"/>
        <v>宁波佳协永立服饰有限公司</v>
      </c>
      <c r="P31" s="22">
        <f>IF(往来单位!$C$21="客户",1,0)</f>
        <v>1</v>
      </c>
      <c r="Q31" s="22">
        <f t="shared" si="13"/>
        <v>18</v>
      </c>
    </row>
    <row r="32">
      <c r="A32" s="56">
        <f>IF($B32="","",19)</f>
        <v>19</v>
      </c>
      <c r="B32" s="66" t="str">
        <f>IF(19&gt;$Q$613,"",INDEX(往来单位!$B$4:$B$603,MATCH(19,$Q$14:$Q$613,0)))</f>
        <v>宁波市鄞州烈盛电子有限公司</v>
      </c>
      <c r="C32" s="67">
        <f t="shared" si="0"/>
        <v>46278.0</v>
      </c>
      <c r="D32" s="60">
        <f t="shared" si="1"/>
        <v>46278.0</v>
      </c>
      <c r="E32" s="53">
        <f t="shared" si="2"/>
        <v>2000</v>
      </c>
      <c r="F32" s="53">
        <f t="shared" si="3"/>
        <v>0</v>
      </c>
      <c r="G32" s="53">
        <f t="shared" si="4"/>
        <v>0</v>
      </c>
      <c r="H32" s="59">
        <f t="shared" si="5"/>
        <v>2000</v>
      </c>
      <c r="I32" s="53">
        <f t="shared" si="6"/>
        <v>2000</v>
      </c>
      <c r="J32" s="53">
        <f t="shared" si="7"/>
        <v>0</v>
      </c>
      <c r="K32" s="53">
        <f t="shared" si="8"/>
        <v>-2000</v>
      </c>
      <c r="L32" s="68">
        <f t="shared" si="9"/>
        <v>1</v>
      </c>
      <c r="M32" s="56" t="str">
        <f t="shared" si="10"/>
        <v>本年新客户</v>
      </c>
      <c r="N32" s="69" t="str">
        <f t="shared" si="11"/>
        <v>已收款未开票/预收</v>
      </c>
      <c r="O32" s="22" t="str">
        <f t="shared" si="12"/>
        <v>宁波市鄞州烈盛电子有限公司</v>
      </c>
      <c r="P32" s="22">
        <f>IF(往来单位!$C$22="客户",1,0)</f>
        <v>1</v>
      </c>
      <c r="Q32" s="22">
        <f t="shared" si="13"/>
        <v>19</v>
      </c>
    </row>
    <row r="33">
      <c r="A33" s="56">
        <f>IF($B33="","",20)</f>
        <v>20</v>
      </c>
      <c r="B33" s="66" t="str">
        <f>IF(20&gt;$Q$613,"",INDEX(往来单位!$B$4:$B$603,MATCH(20,$Q$14:$Q$613,0)))</f>
        <v>宁波盛晞钛金科技有限公司</v>
      </c>
      <c r="C33" s="67">
        <f t="shared" si="0"/>
        <v>46278.0</v>
      </c>
      <c r="D33" s="60">
        <f t="shared" si="1"/>
        <v>46278.0</v>
      </c>
      <c r="E33" s="53">
        <f t="shared" si="2"/>
        <v>1000</v>
      </c>
      <c r="F33" s="53">
        <f t="shared" si="3"/>
        <v>0</v>
      </c>
      <c r="G33" s="53">
        <f t="shared" si="4"/>
        <v>0</v>
      </c>
      <c r="H33" s="59">
        <f t="shared" si="5"/>
        <v>1000</v>
      </c>
      <c r="I33" s="53">
        <f t="shared" si="6"/>
        <v>1000</v>
      </c>
      <c r="J33" s="53">
        <f t="shared" si="7"/>
        <v>0</v>
      </c>
      <c r="K33" s="53">
        <f t="shared" si="8"/>
        <v>-1000</v>
      </c>
      <c r="L33" s="68">
        <f t="shared" si="9"/>
        <v>1</v>
      </c>
      <c r="M33" s="56" t="str">
        <f t="shared" si="10"/>
        <v>本年新客户</v>
      </c>
      <c r="N33" s="69" t="str">
        <f t="shared" si="11"/>
        <v>已收款未开票/预收</v>
      </c>
      <c r="O33" s="22" t="str">
        <f t="shared" si="12"/>
        <v>宁波盛晞钛金科技有限公司</v>
      </c>
      <c r="P33" s="22">
        <f>IF(往来单位!$C$23="客户",1,0)</f>
        <v>1</v>
      </c>
      <c r="Q33" s="22">
        <f t="shared" si="13"/>
        <v>20</v>
      </c>
    </row>
    <row r="34">
      <c r="A34" s="56">
        <f>IF($B34="","",21)</f>
        <v>21</v>
      </c>
      <c r="B34" s="66" t="str">
        <f>IF(21&gt;$Q$613,"",INDEX(往来单位!$B$4:$B$603,MATCH(21,$Q$14:$Q$613,0)))</f>
        <v>宁波恒世通实业有限公司</v>
      </c>
      <c r="C34" s="67">
        <f t="shared" si="0"/>
        <v>46188.0</v>
      </c>
      <c r="D34" s="60">
        <f t="shared" si="1"/>
        <v>46279.0</v>
      </c>
      <c r="E34" s="53">
        <f t="shared" si="2"/>
        <v>56000</v>
      </c>
      <c r="F34" s="53">
        <f t="shared" si="3"/>
        <v>0</v>
      </c>
      <c r="G34" s="53">
        <f t="shared" si="4"/>
        <v>0</v>
      </c>
      <c r="H34" s="59">
        <f t="shared" si="5"/>
        <v>56000</v>
      </c>
      <c r="I34" s="53">
        <f t="shared" si="6"/>
        <v>56000</v>
      </c>
      <c r="J34" s="53">
        <f t="shared" si="7"/>
        <v>0</v>
      </c>
      <c r="K34" s="53">
        <f t="shared" si="8"/>
        <v>-56000</v>
      </c>
      <c r="L34" s="68">
        <f t="shared" si="9"/>
        <v>2</v>
      </c>
      <c r="M34" s="56" t="str">
        <f t="shared" si="10"/>
        <v>本年新客户</v>
      </c>
      <c r="N34" s="69" t="str">
        <f t="shared" si="11"/>
        <v>已收款未开票/预收</v>
      </c>
      <c r="O34" s="22" t="str">
        <f t="shared" si="12"/>
        <v>宁波恒世通实业有限公司</v>
      </c>
      <c r="P34" s="22">
        <f>IF(往来单位!$C$24="客户",1,0)</f>
        <v>1</v>
      </c>
      <c r="Q34" s="22">
        <f t="shared" si="13"/>
        <v>21</v>
      </c>
    </row>
    <row r="35">
      <c r="A35" s="56">
        <f>IF($B35="","",22)</f>
        <v>22</v>
      </c>
      <c r="B35" s="66" t="str">
        <f>IF(22&gt;$Q$613,"",INDEX(往来单位!$B$4:$B$603,MATCH(22,$Q$14:$Q$613,0)))</f>
        <v>宁波市鄞州钱路新材料有限公司</v>
      </c>
      <c r="C35" s="67">
        <f t="shared" si="0"/>
        <v>46199.0</v>
      </c>
      <c r="D35" s="60">
        <f t="shared" si="1"/>
        <v>46199.0</v>
      </c>
      <c r="E35" s="53">
        <f t="shared" si="2"/>
        <v>16800</v>
      </c>
      <c r="F35" s="53">
        <f t="shared" si="3"/>
        <v>0</v>
      </c>
      <c r="G35" s="53">
        <f t="shared" si="4"/>
        <v>0</v>
      </c>
      <c r="H35" s="59">
        <f t="shared" si="5"/>
        <v>16800</v>
      </c>
      <c r="I35" s="53">
        <f t="shared" si="6"/>
        <v>16800</v>
      </c>
      <c r="J35" s="53">
        <f t="shared" si="7"/>
        <v>0</v>
      </c>
      <c r="K35" s="53">
        <f t="shared" si="8"/>
        <v>-16800</v>
      </c>
      <c r="L35" s="68">
        <f t="shared" si="9"/>
        <v>1</v>
      </c>
      <c r="M35" s="56" t="str">
        <f t="shared" si="10"/>
        <v>本年新客户</v>
      </c>
      <c r="N35" s="69" t="str">
        <f t="shared" si="11"/>
        <v>已收款未开票/预收</v>
      </c>
      <c r="O35" s="22" t="str">
        <f t="shared" si="12"/>
        <v>宁波市鄞州钱路新材料有限公司</v>
      </c>
      <c r="P35" s="22">
        <f>IF(往来单位!$C$25="客户",1,0)</f>
        <v>0</v>
      </c>
      <c r="Q35" s="22">
        <f t="shared" si="13"/>
        <v>21</v>
      </c>
    </row>
    <row r="36">
      <c r="A36" s="56">
        <f>IF($B36="","",23)</f>
        <v>23</v>
      </c>
      <c r="B36" s="66" t="str">
        <f>IF(23&gt;$Q$613,"",INDEX(往来单位!$B$4:$B$603,MATCH(23,$Q$14:$Q$613,0)))</f>
        <v>上海康驻达科技有限公司</v>
      </c>
      <c r="C36" s="67">
        <f t="shared" si="0"/>
        <v>46178.0</v>
      </c>
      <c r="D36" s="60">
        <f t="shared" si="1"/>
        <v>46178.0</v>
      </c>
      <c r="E36" s="53">
        <f t="shared" si="2"/>
        <v>46000</v>
      </c>
      <c r="F36" s="53">
        <f t="shared" si="3"/>
        <v>0</v>
      </c>
      <c r="G36" s="53">
        <f t="shared" si="4"/>
        <v>0</v>
      </c>
      <c r="H36" s="59">
        <f t="shared" si="5"/>
        <v>46000</v>
      </c>
      <c r="I36" s="53">
        <f t="shared" si="6"/>
        <v>46000</v>
      </c>
      <c r="J36" s="53">
        <f t="shared" si="7"/>
        <v>0</v>
      </c>
      <c r="K36" s="53">
        <f t="shared" si="8"/>
        <v>-46000</v>
      </c>
      <c r="L36" s="68">
        <f t="shared" si="9"/>
        <v>1</v>
      </c>
      <c r="M36" s="56" t="str">
        <f t="shared" si="10"/>
        <v>本年新客户</v>
      </c>
      <c r="N36" s="69" t="str">
        <f t="shared" si="11"/>
        <v>已收款未开票/预收</v>
      </c>
      <c r="O36" s="22" t="str">
        <f t="shared" si="12"/>
        <v>上海康驻达科技有限公司</v>
      </c>
      <c r="P36" s="22">
        <f>IF(往来单位!$C$26="客户",1,0)</f>
        <v>0</v>
      </c>
      <c r="Q36" s="22">
        <f t="shared" si="13"/>
        <v>21</v>
      </c>
    </row>
    <row r="37">
      <c r="A37" s="56">
        <f>IF($B37="","",24)</f>
        <v>24</v>
      </c>
      <c r="B37" s="66" t="str">
        <f>IF(24&gt;$Q$613,"",INDEX(往来单位!$B$4:$B$603,MATCH(24,$Q$14:$Q$613,0)))</f>
        <v>思佰科（宁波）工程服务有限公司</v>
      </c>
      <c r="C37" s="67">
        <f t="shared" si="0"/>
        <v>46181.0</v>
      </c>
      <c r="D37" s="60">
        <f t="shared" si="1"/>
        <v>46181.0</v>
      </c>
      <c r="E37" s="53">
        <f t="shared" si="2"/>
        <v>2000</v>
      </c>
      <c r="F37" s="53">
        <f t="shared" si="3"/>
        <v>0</v>
      </c>
      <c r="G37" s="53">
        <f t="shared" si="4"/>
        <v>0</v>
      </c>
      <c r="H37" s="59">
        <f t="shared" si="5"/>
        <v>2000</v>
      </c>
      <c r="I37" s="53">
        <f t="shared" si="6"/>
        <v>2000</v>
      </c>
      <c r="J37" s="53">
        <f t="shared" si="7"/>
        <v>0</v>
      </c>
      <c r="K37" s="53">
        <f t="shared" si="8"/>
        <v>-2000</v>
      </c>
      <c r="L37" s="68">
        <f t="shared" si="9"/>
        <v>1</v>
      </c>
      <c r="M37" s="56" t="str">
        <f t="shared" si="10"/>
        <v>本年新客户</v>
      </c>
      <c r="N37" s="69" t="str">
        <f t="shared" si="11"/>
        <v>已收款未开票/预收</v>
      </c>
      <c r="O37" s="22" t="str">
        <f t="shared" si="12"/>
        <v>思佰科（宁波）工程服务有限公司</v>
      </c>
      <c r="P37" s="22">
        <f>IF(往来单位!$C$27="客户",1,0)</f>
        <v>1</v>
      </c>
      <c r="Q37" s="22">
        <f t="shared" si="13"/>
        <v>22</v>
      </c>
    </row>
    <row r="38">
      <c r="A38" s="56">
        <f>IF($B38="","",25)</f>
        <v>25</v>
      </c>
      <c r="B38" s="66" t="str">
        <f>IF(25&gt;$Q$613,"",INDEX(往来单位!$B$4:$B$603,MATCH(25,$Q$14:$Q$613,0)))</f>
        <v>宁波宫泽精密机械有限公司</v>
      </c>
      <c r="C38" s="67">
        <f t="shared" si="0"/>
        <v>46199.0</v>
      </c>
      <c r="D38" s="60">
        <f t="shared" si="1"/>
        <v>46199.0</v>
      </c>
      <c r="E38" s="53">
        <f t="shared" si="2"/>
        <v>15000</v>
      </c>
      <c r="F38" s="53">
        <f t="shared" si="3"/>
        <v>0</v>
      </c>
      <c r="G38" s="53">
        <f t="shared" si="4"/>
        <v>0</v>
      </c>
      <c r="H38" s="59">
        <f t="shared" si="5"/>
        <v>15000</v>
      </c>
      <c r="I38" s="53">
        <f t="shared" si="6"/>
        <v>15000</v>
      </c>
      <c r="J38" s="53">
        <f t="shared" si="7"/>
        <v>0</v>
      </c>
      <c r="K38" s="53">
        <f t="shared" si="8"/>
        <v>-15000</v>
      </c>
      <c r="L38" s="68">
        <f t="shared" si="9"/>
        <v>1</v>
      </c>
      <c r="M38" s="56" t="str">
        <f t="shared" si="10"/>
        <v>本年新客户</v>
      </c>
      <c r="N38" s="69" t="str">
        <f t="shared" si="11"/>
        <v>已收款未开票/预收</v>
      </c>
      <c r="O38" s="22" t="str">
        <f t="shared" si="12"/>
        <v>宁波宫泽精密机械有限公司</v>
      </c>
      <c r="P38" s="22">
        <f>IF(往来单位!$C$28="客户",1,0)</f>
        <v>1</v>
      </c>
      <c r="Q38" s="22">
        <f t="shared" si="13"/>
        <v>23</v>
      </c>
    </row>
    <row r="39">
      <c r="A39" s="56">
        <f>IF($B39="","",26)</f>
        <v>26</v>
      </c>
      <c r="B39" s="66" t="str">
        <f>IF(26&gt;$Q$613,"",INDEX(往来单位!$B$4:$B$603,MATCH(26,$Q$14:$Q$613,0)))</f>
        <v>苏州工业园区猫受屋百货零售店（个体工商户）</v>
      </c>
      <c r="C39" s="67">
        <f t="shared" si="0"/>
        <v>46203.0</v>
      </c>
      <c r="D39" s="60">
        <f t="shared" si="1"/>
        <v>46203.0</v>
      </c>
      <c r="E39" s="53">
        <f t="shared" si="2"/>
        <v>600</v>
      </c>
      <c r="F39" s="53">
        <f t="shared" si="3"/>
        <v>0</v>
      </c>
      <c r="G39" s="53">
        <f t="shared" si="4"/>
        <v>0</v>
      </c>
      <c r="H39" s="59">
        <f t="shared" si="5"/>
        <v>600</v>
      </c>
      <c r="I39" s="53">
        <f t="shared" si="6"/>
        <v>600</v>
      </c>
      <c r="J39" s="53">
        <f t="shared" si="7"/>
        <v>0</v>
      </c>
      <c r="K39" s="53">
        <f t="shared" si="8"/>
        <v>-600</v>
      </c>
      <c r="L39" s="68">
        <f t="shared" si="9"/>
        <v>1</v>
      </c>
      <c r="M39" s="56" t="str">
        <f t="shared" si="10"/>
        <v>本年新客户</v>
      </c>
      <c r="N39" s="69" t="str">
        <f t="shared" si="11"/>
        <v>已收款未开票/预收</v>
      </c>
      <c r="O39" s="22" t="str">
        <f t="shared" si="12"/>
        <v>苏州工业园区猫受屋百货零售店（个体工商户）</v>
      </c>
      <c r="P39" s="22">
        <f>IF(往来单位!$C$29="客户",1,0)</f>
        <v>1</v>
      </c>
      <c r="Q39" s="22">
        <f t="shared" si="13"/>
        <v>24</v>
      </c>
    </row>
    <row r="40">
      <c r="A40" s="56">
        <f>IF($B40="","",27)</f>
        <v>27</v>
      </c>
      <c r="B40" s="66" t="str">
        <f>IF(27&gt;$Q$613,"",INDEX(往来单位!$B$4:$B$603,MATCH(27,$Q$14:$Q$613,0)))</f>
        <v>秦淮区猫受屋百货零售店（个体工商户）</v>
      </c>
      <c r="C40" s="67">
        <f t="shared" si="0"/>
        <v>46203.0</v>
      </c>
      <c r="D40" s="60">
        <f t="shared" si="1"/>
        <v>46203.0</v>
      </c>
      <c r="E40" s="53">
        <f t="shared" si="2"/>
        <v>600</v>
      </c>
      <c r="F40" s="53">
        <f t="shared" si="3"/>
        <v>0</v>
      </c>
      <c r="G40" s="53">
        <f t="shared" si="4"/>
        <v>0</v>
      </c>
      <c r="H40" s="59">
        <f t="shared" si="5"/>
        <v>600</v>
      </c>
      <c r="I40" s="53">
        <f t="shared" si="6"/>
        <v>600</v>
      </c>
      <c r="J40" s="53">
        <f t="shared" si="7"/>
        <v>0</v>
      </c>
      <c r="K40" s="53">
        <f t="shared" si="8"/>
        <v>-600</v>
      </c>
      <c r="L40" s="68">
        <f t="shared" si="9"/>
        <v>1</v>
      </c>
      <c r="M40" s="56" t="str">
        <f t="shared" si="10"/>
        <v>本年新客户</v>
      </c>
      <c r="N40" s="69" t="str">
        <f t="shared" si="11"/>
        <v>已收款未开票/预收</v>
      </c>
      <c r="O40" s="22" t="str">
        <f t="shared" si="12"/>
        <v>秦淮区猫受屋百货零售店（个体工商户）</v>
      </c>
      <c r="P40" s="22">
        <f>IF(往来单位!$C$30="客户",1,0)</f>
        <v>1</v>
      </c>
      <c r="Q40" s="22">
        <f t="shared" si="13"/>
        <v>25</v>
      </c>
    </row>
    <row r="41">
      <c r="A41" s="56">
        <f>IF($B41="","",28)</f>
        <v>28</v>
      </c>
      <c r="B41" s="66" t="str">
        <f>IF(28&gt;$Q$613,"",INDEX(往来单位!$B$4:$B$603,MATCH(28,$Q$14:$Q$613,0)))</f>
        <v>西安市雁塔区谷的猫百货零售店（个体工商户）</v>
      </c>
      <c r="C41" s="67">
        <f t="shared" si="0"/>
        <v>46203.0</v>
      </c>
      <c r="D41" s="60">
        <f t="shared" si="1"/>
        <v>46203.0</v>
      </c>
      <c r="E41" s="53">
        <f t="shared" si="2"/>
        <v>600</v>
      </c>
      <c r="F41" s="53">
        <f t="shared" si="3"/>
        <v>0</v>
      </c>
      <c r="G41" s="53">
        <f t="shared" si="4"/>
        <v>0</v>
      </c>
      <c r="H41" s="59">
        <f t="shared" si="5"/>
        <v>600</v>
      </c>
      <c r="I41" s="53">
        <f t="shared" si="6"/>
        <v>600</v>
      </c>
      <c r="J41" s="53">
        <f t="shared" si="7"/>
        <v>0</v>
      </c>
      <c r="K41" s="53">
        <f t="shared" si="8"/>
        <v>-600</v>
      </c>
      <c r="L41" s="68">
        <f t="shared" si="9"/>
        <v>1</v>
      </c>
      <c r="M41" s="56" t="str">
        <f t="shared" si="10"/>
        <v>本年新客户</v>
      </c>
      <c r="N41" s="69" t="str">
        <f t="shared" si="11"/>
        <v>已收款未开票/预收</v>
      </c>
      <c r="O41" s="22" t="str">
        <f t="shared" si="12"/>
        <v>西安市雁塔区谷的猫百货零售店（个体工商户）</v>
      </c>
      <c r="P41" s="22">
        <f>IF(往来单位!$C$31="客户",1,0)</f>
        <v>1</v>
      </c>
      <c r="Q41" s="22">
        <f t="shared" si="13"/>
        <v>26</v>
      </c>
    </row>
    <row r="42">
      <c r="A42" s="56">
        <f>IF($B42="","",29)</f>
      </c>
      <c r="B42" s="66">
        <f>IF(29&gt;$Q$613,"",INDEX(往来单位!$B$4:$B$603,MATCH(29,$Q$14:$Q$613,0)))</f>
      </c>
      <c r="C42" s="67">
        <f t="shared" si="0"/>
      </c>
      <c r="D42" s="60">
        <f t="shared" si="1"/>
      </c>
      <c r="E42" s="53">
        <f t="shared" si="2"/>
      </c>
      <c r="F42" s="53">
        <f t="shared" si="3"/>
      </c>
      <c r="G42" s="53">
        <f t="shared" si="4"/>
      </c>
      <c r="H42" s="59">
        <f t="shared" si="5"/>
      </c>
      <c r="I42" s="53">
        <f t="shared" si="6"/>
      </c>
      <c r="J42" s="53">
        <f t="shared" si="7"/>
      </c>
      <c r="K42" s="53">
        <f t="shared" si="8"/>
      </c>
      <c r="L42" s="68">
        <f t="shared" si="9"/>
      </c>
      <c r="M42" s="56">
        <f t="shared" si="10"/>
      </c>
      <c r="N42" s="69">
        <f t="shared" si="11"/>
      </c>
      <c r="O42" s="22">
        <f t="shared" si="12"/>
      </c>
      <c r="P42" s="22">
        <f>IF(往来单位!$C$32="客户",1,0)</f>
        <v>1</v>
      </c>
      <c r="Q42" s="22">
        <f t="shared" si="13"/>
        <v>27</v>
      </c>
    </row>
    <row r="43">
      <c r="A43" s="56">
        <f>IF($B43="","",30)</f>
      </c>
      <c r="B43" s="66">
        <f>IF(30&gt;$Q$613,"",INDEX(往来单位!$B$4:$B$603,MATCH(30,$Q$14:$Q$613,0)))</f>
      </c>
      <c r="C43" s="67">
        <f t="shared" si="0"/>
      </c>
      <c r="D43" s="60">
        <f t="shared" si="1"/>
      </c>
      <c r="E43" s="53">
        <f t="shared" si="2"/>
      </c>
      <c r="F43" s="53">
        <f t="shared" si="3"/>
      </c>
      <c r="G43" s="53">
        <f t="shared" si="4"/>
      </c>
      <c r="H43" s="59">
        <f t="shared" si="5"/>
      </c>
      <c r="I43" s="53">
        <f t="shared" si="6"/>
      </c>
      <c r="J43" s="53">
        <f t="shared" si="7"/>
      </c>
      <c r="K43" s="53">
        <f t="shared" si="8"/>
      </c>
      <c r="L43" s="68">
        <f t="shared" si="9"/>
      </c>
      <c r="M43" s="56">
        <f t="shared" si="10"/>
      </c>
      <c r="N43" s="69">
        <f t="shared" si="11"/>
      </c>
      <c r="O43" s="22">
        <f t="shared" si="12"/>
      </c>
      <c r="P43" s="22">
        <f>IF(往来单位!$C$33="客户",1,0)</f>
        <v>1</v>
      </c>
      <c r="Q43" s="22">
        <f t="shared" si="13"/>
        <v>28</v>
      </c>
    </row>
    <row r="44">
      <c r="A44" s="56">
        <f>IF($B44="","",31)</f>
      </c>
      <c r="B44" s="66">
        <f>IF(31&gt;$Q$613,"",INDEX(往来单位!$B$4:$B$603,MATCH(31,$Q$14:$Q$613,0)))</f>
      </c>
      <c r="C44" s="67">
        <f t="shared" si="0"/>
      </c>
      <c r="D44" s="60">
        <f t="shared" si="1"/>
      </c>
      <c r="E44" s="53">
        <f t="shared" si="2"/>
      </c>
      <c r="F44" s="53">
        <f t="shared" si="3"/>
      </c>
      <c r="G44" s="53">
        <f t="shared" si="4"/>
      </c>
      <c r="H44" s="59">
        <f t="shared" si="5"/>
      </c>
      <c r="I44" s="53">
        <f t="shared" si="6"/>
      </c>
      <c r="J44" s="53">
        <f t="shared" si="7"/>
      </c>
      <c r="K44" s="53">
        <f t="shared" si="8"/>
      </c>
      <c r="L44" s="68">
        <f t="shared" si="9"/>
      </c>
      <c r="M44" s="56">
        <f t="shared" si="10"/>
      </c>
      <c r="N44" s="69">
        <f t="shared" si="11"/>
      </c>
      <c r="O44" s="22">
        <f t="shared" si="12"/>
      </c>
      <c r="P44" s="22">
        <f>IF(往来单位!$C$34="客户",1,0)</f>
        <v>0</v>
      </c>
      <c r="Q44" s="22">
        <f t="shared" si="13"/>
        <v>28</v>
      </c>
    </row>
    <row r="45">
      <c r="A45" s="56">
        <f>IF($B45="","",32)</f>
      </c>
      <c r="B45" s="66">
        <f>IF(32&gt;$Q$613,"",INDEX(往来单位!$B$4:$B$603,MATCH(32,$Q$14:$Q$613,0)))</f>
      </c>
      <c r="C45" s="67">
        <f t="shared" si="0"/>
      </c>
      <c r="D45" s="60">
        <f t="shared" si="1"/>
      </c>
      <c r="E45" s="53">
        <f t="shared" si="2"/>
      </c>
      <c r="F45" s="53">
        <f t="shared" si="3"/>
      </c>
      <c r="G45" s="53">
        <f t="shared" si="4"/>
      </c>
      <c r="H45" s="59">
        <f t="shared" si="5"/>
      </c>
      <c r="I45" s="53">
        <f t="shared" si="6"/>
      </c>
      <c r="J45" s="53">
        <f t="shared" si="7"/>
      </c>
      <c r="K45" s="53">
        <f t="shared" si="8"/>
      </c>
      <c r="L45" s="68">
        <f t="shared" si="9"/>
      </c>
      <c r="M45" s="56">
        <f t="shared" si="10"/>
      </c>
      <c r="N45" s="69">
        <f t="shared" si="11"/>
      </c>
      <c r="O45" s="22">
        <f t="shared" si="12"/>
      </c>
      <c r="P45" s="22">
        <f>IF(往来单位!$C$35="客户",1,0)</f>
        <v>0</v>
      </c>
      <c r="Q45" s="22">
        <f t="shared" si="13"/>
        <v>28</v>
      </c>
    </row>
    <row r="46">
      <c r="A46" s="56">
        <f>IF($B46="","",33)</f>
      </c>
      <c r="B46" s="66">
        <f>IF(33&gt;$Q$613,"",INDEX(往来单位!$B$4:$B$603,MATCH(33,$Q$14:$Q$613,0)))</f>
      </c>
      <c r="C46" s="67">
        <f t="shared" si="0"/>
      </c>
      <c r="D46" s="60">
        <f t="shared" si="1"/>
      </c>
      <c r="E46" s="53">
        <f t="shared" si="2"/>
      </c>
      <c r="F46" s="53">
        <f t="shared" si="3"/>
      </c>
      <c r="G46" s="53">
        <f t="shared" si="4"/>
      </c>
      <c r="H46" s="59">
        <f t="shared" si="5"/>
      </c>
      <c r="I46" s="53">
        <f t="shared" si="6"/>
      </c>
      <c r="J46" s="53">
        <f t="shared" si="7"/>
      </c>
      <c r="K46" s="53">
        <f t="shared" si="8"/>
      </c>
      <c r="L46" s="68">
        <f t="shared" si="9"/>
      </c>
      <c r="M46" s="56">
        <f t="shared" si="10"/>
      </c>
      <c r="N46" s="69">
        <f t="shared" si="11"/>
      </c>
      <c r="O46" s="22">
        <f t="shared" si="12"/>
      </c>
      <c r="P46" s="22">
        <f>IF(往来单位!$C$36="客户",1,0)</f>
        <v>0</v>
      </c>
      <c r="Q46" s="22">
        <f t="shared" si="13"/>
        <v>28</v>
      </c>
    </row>
    <row r="47">
      <c r="A47" s="56">
        <f>IF($B47="","",34)</f>
      </c>
      <c r="B47" s="66">
        <f>IF(34&gt;$Q$613,"",INDEX(往来单位!$B$4:$B$603,MATCH(34,$Q$14:$Q$613,0)))</f>
      </c>
      <c r="C47" s="67">
        <f t="shared" si="0"/>
      </c>
      <c r="D47" s="60">
        <f t="shared" si="1"/>
      </c>
      <c r="E47" s="53">
        <f t="shared" si="2"/>
      </c>
      <c r="F47" s="53">
        <f t="shared" si="3"/>
      </c>
      <c r="G47" s="53">
        <f t="shared" si="4"/>
      </c>
      <c r="H47" s="59">
        <f t="shared" si="5"/>
      </c>
      <c r="I47" s="53">
        <f t="shared" si="6"/>
      </c>
      <c r="J47" s="53">
        <f t="shared" si="7"/>
      </c>
      <c r="K47" s="53">
        <f t="shared" si="8"/>
      </c>
      <c r="L47" s="68">
        <f t="shared" si="9"/>
      </c>
      <c r="M47" s="56">
        <f t="shared" si="10"/>
      </c>
      <c r="N47" s="69">
        <f t="shared" si="11"/>
      </c>
      <c r="O47" s="22">
        <f t="shared" si="12"/>
      </c>
      <c r="P47" s="22">
        <f>IF(往来单位!$C$37="客户",1,0)</f>
        <v>0</v>
      </c>
      <c r="Q47" s="22">
        <f t="shared" si="13"/>
        <v>28</v>
      </c>
    </row>
    <row r="48">
      <c r="A48" s="56">
        <f>IF($B48="","",35)</f>
      </c>
      <c r="B48" s="66">
        <f>IF(35&gt;$Q$613,"",INDEX(往来单位!$B$4:$B$603,MATCH(35,$Q$14:$Q$613,0)))</f>
      </c>
      <c r="C48" s="67">
        <f t="shared" si="0"/>
      </c>
      <c r="D48" s="60">
        <f t="shared" si="1"/>
      </c>
      <c r="E48" s="53">
        <f t="shared" si="2"/>
      </c>
      <c r="F48" s="53">
        <f t="shared" si="3"/>
      </c>
      <c r="G48" s="53">
        <f t="shared" si="4"/>
      </c>
      <c r="H48" s="59">
        <f t="shared" si="5"/>
      </c>
      <c r="I48" s="53">
        <f t="shared" si="6"/>
      </c>
      <c r="J48" s="53">
        <f t="shared" si="7"/>
      </c>
      <c r="K48" s="53">
        <f t="shared" si="8"/>
      </c>
      <c r="L48" s="68">
        <f t="shared" si="9"/>
      </c>
      <c r="M48" s="56">
        <f t="shared" si="10"/>
      </c>
      <c r="N48" s="69">
        <f t="shared" si="11"/>
      </c>
      <c r="O48" s="22">
        <f t="shared" si="12"/>
      </c>
      <c r="P48" s="22">
        <f>IF(往来单位!$C$38="客户",1,0)</f>
        <v>0</v>
      </c>
      <c r="Q48" s="22">
        <f t="shared" si="13"/>
        <v>28</v>
      </c>
    </row>
    <row r="49">
      <c r="A49" s="56">
        <f>IF($B49="","",36)</f>
      </c>
      <c r="B49" s="66">
        <f>IF(36&gt;$Q$613,"",INDEX(往来单位!$B$4:$B$603,MATCH(36,$Q$14:$Q$613,0)))</f>
      </c>
      <c r="C49" s="67">
        <f t="shared" si="0"/>
      </c>
      <c r="D49" s="60">
        <f t="shared" si="1"/>
      </c>
      <c r="E49" s="53">
        <f t="shared" si="2"/>
      </c>
      <c r="F49" s="53">
        <f t="shared" si="3"/>
      </c>
      <c r="G49" s="53">
        <f t="shared" si="4"/>
      </c>
      <c r="H49" s="59">
        <f t="shared" si="5"/>
      </c>
      <c r="I49" s="53">
        <f t="shared" si="6"/>
      </c>
      <c r="J49" s="53">
        <f t="shared" si="7"/>
      </c>
      <c r="K49" s="53">
        <f t="shared" si="8"/>
      </c>
      <c r="L49" s="68">
        <f t="shared" si="9"/>
      </c>
      <c r="M49" s="56">
        <f t="shared" si="10"/>
      </c>
      <c r="N49" s="69">
        <f t="shared" si="11"/>
      </c>
      <c r="O49" s="22">
        <f t="shared" si="12"/>
      </c>
      <c r="P49" s="22">
        <f>IF(往来单位!$C$39="客户",1,0)</f>
        <v>0</v>
      </c>
      <c r="Q49" s="22">
        <f t="shared" si="13"/>
        <v>28</v>
      </c>
    </row>
    <row r="50">
      <c r="A50" s="56">
        <f>IF($B50="","",37)</f>
      </c>
      <c r="B50" s="66">
        <f>IF(37&gt;$Q$613,"",INDEX(往来单位!$B$4:$B$603,MATCH(37,$Q$14:$Q$613,0)))</f>
      </c>
      <c r="C50" s="67">
        <f t="shared" si="0"/>
      </c>
      <c r="D50" s="60">
        <f t="shared" si="1"/>
      </c>
      <c r="E50" s="53">
        <f t="shared" si="2"/>
      </c>
      <c r="F50" s="53">
        <f t="shared" si="3"/>
      </c>
      <c r="G50" s="53">
        <f t="shared" si="4"/>
      </c>
      <c r="H50" s="59">
        <f t="shared" si="5"/>
      </c>
      <c r="I50" s="53">
        <f t="shared" si="6"/>
      </c>
      <c r="J50" s="53">
        <f t="shared" si="7"/>
      </c>
      <c r="K50" s="53">
        <f t="shared" si="8"/>
      </c>
      <c r="L50" s="68">
        <f t="shared" si="9"/>
      </c>
      <c r="M50" s="56">
        <f t="shared" si="10"/>
      </c>
      <c r="N50" s="69">
        <f t="shared" si="11"/>
      </c>
      <c r="O50" s="22">
        <f t="shared" si="12"/>
      </c>
      <c r="P50" s="22">
        <f>IF(往来单位!$C$40="客户",1,0)</f>
        <v>0</v>
      </c>
      <c r="Q50" s="22">
        <f t="shared" si="13"/>
        <v>28</v>
      </c>
    </row>
    <row r="51">
      <c r="A51" s="56">
        <f>IF($B51="","",38)</f>
      </c>
      <c r="B51" s="66">
        <f>IF(38&gt;$Q$613,"",INDEX(往来单位!$B$4:$B$603,MATCH(38,$Q$14:$Q$613,0)))</f>
      </c>
      <c r="C51" s="67">
        <f t="shared" si="0"/>
      </c>
      <c r="D51" s="60">
        <f t="shared" si="1"/>
      </c>
      <c r="E51" s="53">
        <f t="shared" si="2"/>
      </c>
      <c r="F51" s="53">
        <f t="shared" si="3"/>
      </c>
      <c r="G51" s="53">
        <f t="shared" si="4"/>
      </c>
      <c r="H51" s="59">
        <f t="shared" si="5"/>
      </c>
      <c r="I51" s="53">
        <f t="shared" si="6"/>
      </c>
      <c r="J51" s="53">
        <f t="shared" si="7"/>
      </c>
      <c r="K51" s="53">
        <f t="shared" si="8"/>
      </c>
      <c r="L51" s="68">
        <f t="shared" si="9"/>
      </c>
      <c r="M51" s="56">
        <f t="shared" si="10"/>
      </c>
      <c r="N51" s="69">
        <f t="shared" si="11"/>
      </c>
      <c r="O51" s="22">
        <f t="shared" si="12"/>
      </c>
      <c r="P51" s="22">
        <f>IF(往来单位!$C$41="客户",1,0)</f>
        <v>0</v>
      </c>
      <c r="Q51" s="22">
        <f t="shared" si="13"/>
        <v>28</v>
      </c>
    </row>
    <row r="52">
      <c r="A52" s="56">
        <f>IF($B52="","",39)</f>
      </c>
      <c r="B52" s="66">
        <f>IF(39&gt;$Q$613,"",INDEX(往来单位!$B$4:$B$603,MATCH(39,$Q$14:$Q$613,0)))</f>
      </c>
      <c r="C52" s="67">
        <f t="shared" si="0"/>
      </c>
      <c r="D52" s="60">
        <f t="shared" si="1"/>
      </c>
      <c r="E52" s="53">
        <f t="shared" si="2"/>
      </c>
      <c r="F52" s="53">
        <f t="shared" si="3"/>
      </c>
      <c r="G52" s="53">
        <f t="shared" si="4"/>
      </c>
      <c r="H52" s="59">
        <f t="shared" si="5"/>
      </c>
      <c r="I52" s="53">
        <f t="shared" si="6"/>
      </c>
      <c r="J52" s="53">
        <f t="shared" si="7"/>
      </c>
      <c r="K52" s="53">
        <f t="shared" si="8"/>
      </c>
      <c r="L52" s="68">
        <f t="shared" si="9"/>
      </c>
      <c r="M52" s="56">
        <f t="shared" si="10"/>
      </c>
      <c r="N52" s="69">
        <f t="shared" si="11"/>
      </c>
      <c r="O52" s="22">
        <f t="shared" si="12"/>
      </c>
      <c r="P52" s="22">
        <f>IF(往来单位!$C$42="客户",1,0)</f>
        <v>0</v>
      </c>
      <c r="Q52" s="22">
        <f t="shared" si="13"/>
        <v>28</v>
      </c>
    </row>
    <row r="53">
      <c r="A53" s="56">
        <f>IF($B53="","",40)</f>
      </c>
      <c r="B53" s="66">
        <f>IF(40&gt;$Q$613,"",INDEX(往来单位!$B$4:$B$603,MATCH(40,$Q$14:$Q$613,0)))</f>
      </c>
      <c r="C53" s="67">
        <f t="shared" si="0"/>
      </c>
      <c r="D53" s="60">
        <f t="shared" si="1"/>
      </c>
      <c r="E53" s="53">
        <f t="shared" si="2"/>
      </c>
      <c r="F53" s="53">
        <f t="shared" si="3"/>
      </c>
      <c r="G53" s="53">
        <f t="shared" si="4"/>
      </c>
      <c r="H53" s="59">
        <f t="shared" si="5"/>
      </c>
      <c r="I53" s="53">
        <f t="shared" si="6"/>
      </c>
      <c r="J53" s="53">
        <f t="shared" si="7"/>
      </c>
      <c r="K53" s="53">
        <f t="shared" si="8"/>
      </c>
      <c r="L53" s="68">
        <f t="shared" si="9"/>
      </c>
      <c r="M53" s="56">
        <f t="shared" si="10"/>
      </c>
      <c r="N53" s="69">
        <f t="shared" si="11"/>
      </c>
      <c r="O53" s="22">
        <f t="shared" si="12"/>
      </c>
      <c r="P53" s="22">
        <f>IF(往来单位!$C$43="客户",1,0)</f>
        <v>0</v>
      </c>
      <c r="Q53" s="22">
        <f t="shared" si="13"/>
        <v>28</v>
      </c>
    </row>
    <row r="54">
      <c r="A54" s="56">
        <f>IF($B54="","",41)</f>
      </c>
      <c r="B54" s="66">
        <f>IF(41&gt;$Q$613,"",INDEX(往来单位!$B$4:$B$603,MATCH(41,$Q$14:$Q$613,0)))</f>
      </c>
      <c r="C54" s="67">
        <f t="shared" si="0"/>
      </c>
      <c r="D54" s="60">
        <f t="shared" si="1"/>
      </c>
      <c r="E54" s="53">
        <f t="shared" si="2"/>
      </c>
      <c r="F54" s="53">
        <f t="shared" si="3"/>
      </c>
      <c r="G54" s="53">
        <f t="shared" si="4"/>
      </c>
      <c r="H54" s="59">
        <f t="shared" si="5"/>
      </c>
      <c r="I54" s="53">
        <f t="shared" si="6"/>
      </c>
      <c r="J54" s="53">
        <f t="shared" si="7"/>
      </c>
      <c r="K54" s="53">
        <f t="shared" si="8"/>
      </c>
      <c r="L54" s="68">
        <f t="shared" si="9"/>
      </c>
      <c r="M54" s="56">
        <f t="shared" si="10"/>
      </c>
      <c r="N54" s="69">
        <f t="shared" si="11"/>
      </c>
      <c r="O54" s="22">
        <f t="shared" si="12"/>
      </c>
      <c r="P54" s="22">
        <f>IF(往来单位!$C$44="客户",1,0)</f>
        <v>0</v>
      </c>
      <c r="Q54" s="22">
        <f t="shared" si="13"/>
        <v>28</v>
      </c>
    </row>
    <row r="55">
      <c r="A55" s="56">
        <f>IF($B55="","",42)</f>
      </c>
      <c r="B55" s="66">
        <f>IF(42&gt;$Q$613,"",INDEX(往来单位!$B$4:$B$603,MATCH(42,$Q$14:$Q$613,0)))</f>
      </c>
      <c r="C55" s="67">
        <f t="shared" si="0"/>
      </c>
      <c r="D55" s="60">
        <f t="shared" si="1"/>
      </c>
      <c r="E55" s="53">
        <f t="shared" si="2"/>
      </c>
      <c r="F55" s="53">
        <f t="shared" si="3"/>
      </c>
      <c r="G55" s="53">
        <f t="shared" si="4"/>
      </c>
      <c r="H55" s="59">
        <f t="shared" si="5"/>
      </c>
      <c r="I55" s="53">
        <f t="shared" si="6"/>
      </c>
      <c r="J55" s="53">
        <f t="shared" si="7"/>
      </c>
      <c r="K55" s="53">
        <f t="shared" si="8"/>
      </c>
      <c r="L55" s="68">
        <f t="shared" si="9"/>
      </c>
      <c r="M55" s="56">
        <f t="shared" si="10"/>
      </c>
      <c r="N55" s="69">
        <f t="shared" si="11"/>
      </c>
      <c r="O55" s="22">
        <f t="shared" si="12"/>
      </c>
      <c r="P55" s="22">
        <f>IF(往来单位!$C$45="客户",1,0)</f>
        <v>0</v>
      </c>
      <c r="Q55" s="22">
        <f t="shared" si="13"/>
        <v>28</v>
      </c>
    </row>
    <row r="56">
      <c r="A56" s="56">
        <f>IF($B56="","",43)</f>
      </c>
      <c r="B56" s="66">
        <f>IF(43&gt;$Q$613,"",INDEX(往来单位!$B$4:$B$603,MATCH(43,$Q$14:$Q$613,0)))</f>
      </c>
      <c r="C56" s="67">
        <f t="shared" si="0"/>
      </c>
      <c r="D56" s="60">
        <f t="shared" si="1"/>
      </c>
      <c r="E56" s="53">
        <f t="shared" si="2"/>
      </c>
      <c r="F56" s="53">
        <f t="shared" si="3"/>
      </c>
      <c r="G56" s="53">
        <f t="shared" si="4"/>
      </c>
      <c r="H56" s="59">
        <f t="shared" si="5"/>
      </c>
      <c r="I56" s="53">
        <f t="shared" si="6"/>
      </c>
      <c r="J56" s="53">
        <f t="shared" si="7"/>
      </c>
      <c r="K56" s="53">
        <f t="shared" si="8"/>
      </c>
      <c r="L56" s="68">
        <f t="shared" si="9"/>
      </c>
      <c r="M56" s="56">
        <f t="shared" si="10"/>
      </c>
      <c r="N56" s="69">
        <f t="shared" si="11"/>
      </c>
      <c r="O56" s="22">
        <f t="shared" si="12"/>
      </c>
      <c r="P56" s="22">
        <f>IF(往来单位!$C$46="客户",1,0)</f>
        <v>0</v>
      </c>
      <c r="Q56" s="22">
        <f t="shared" si="13"/>
        <v>28</v>
      </c>
    </row>
    <row r="57">
      <c r="A57" s="56">
        <f>IF($B57="","",44)</f>
      </c>
      <c r="B57" s="66">
        <f>IF(44&gt;$Q$613,"",INDEX(往来单位!$B$4:$B$603,MATCH(44,$Q$14:$Q$613,0)))</f>
      </c>
      <c r="C57" s="67">
        <f t="shared" si="0"/>
      </c>
      <c r="D57" s="60">
        <f t="shared" si="1"/>
      </c>
      <c r="E57" s="53">
        <f t="shared" si="2"/>
      </c>
      <c r="F57" s="53">
        <f t="shared" si="3"/>
      </c>
      <c r="G57" s="53">
        <f t="shared" si="4"/>
      </c>
      <c r="H57" s="59">
        <f t="shared" si="5"/>
      </c>
      <c r="I57" s="53">
        <f t="shared" si="6"/>
      </c>
      <c r="J57" s="53">
        <f t="shared" si="7"/>
      </c>
      <c r="K57" s="53">
        <f t="shared" si="8"/>
      </c>
      <c r="L57" s="68">
        <f t="shared" si="9"/>
      </c>
      <c r="M57" s="56">
        <f t="shared" si="10"/>
      </c>
      <c r="N57" s="69">
        <f t="shared" si="11"/>
      </c>
      <c r="O57" s="22">
        <f t="shared" si="12"/>
      </c>
      <c r="P57" s="22">
        <f>IF(往来单位!$C$47="客户",1,0)</f>
        <v>0</v>
      </c>
      <c r="Q57" s="22">
        <f t="shared" si="13"/>
        <v>28</v>
      </c>
    </row>
    <row r="58">
      <c r="A58" s="56">
        <f>IF($B58="","",45)</f>
      </c>
      <c r="B58" s="66">
        <f>IF(45&gt;$Q$613,"",INDEX(往来单位!$B$4:$B$603,MATCH(45,$Q$14:$Q$613,0)))</f>
      </c>
      <c r="C58" s="67">
        <f t="shared" si="0"/>
      </c>
      <c r="D58" s="60">
        <f t="shared" si="1"/>
      </c>
      <c r="E58" s="53">
        <f t="shared" si="2"/>
      </c>
      <c r="F58" s="53">
        <f t="shared" si="3"/>
      </c>
      <c r="G58" s="53">
        <f t="shared" si="4"/>
      </c>
      <c r="H58" s="59">
        <f t="shared" si="5"/>
      </c>
      <c r="I58" s="53">
        <f t="shared" si="6"/>
      </c>
      <c r="J58" s="53">
        <f t="shared" si="7"/>
      </c>
      <c r="K58" s="53">
        <f t="shared" si="8"/>
      </c>
      <c r="L58" s="68">
        <f t="shared" si="9"/>
      </c>
      <c r="M58" s="56">
        <f t="shared" si="10"/>
      </c>
      <c r="N58" s="69">
        <f t="shared" si="11"/>
      </c>
      <c r="O58" s="22">
        <f t="shared" si="12"/>
      </c>
      <c r="P58" s="22">
        <f>IF(往来单位!$C$48="客户",1,0)</f>
        <v>0</v>
      </c>
      <c r="Q58" s="22">
        <f t="shared" si="13"/>
        <v>28</v>
      </c>
    </row>
    <row r="59">
      <c r="A59" s="56">
        <f>IF($B59="","",46)</f>
      </c>
      <c r="B59" s="66">
        <f>IF(46&gt;$Q$613,"",INDEX(往来单位!$B$4:$B$603,MATCH(46,$Q$14:$Q$613,0)))</f>
      </c>
      <c r="C59" s="67">
        <f t="shared" si="0"/>
      </c>
      <c r="D59" s="60">
        <f t="shared" si="1"/>
      </c>
      <c r="E59" s="53">
        <f t="shared" si="2"/>
      </c>
      <c r="F59" s="53">
        <f t="shared" si="3"/>
      </c>
      <c r="G59" s="53">
        <f t="shared" si="4"/>
      </c>
      <c r="H59" s="59">
        <f t="shared" si="5"/>
      </c>
      <c r="I59" s="53">
        <f t="shared" si="6"/>
      </c>
      <c r="J59" s="53">
        <f t="shared" si="7"/>
      </c>
      <c r="K59" s="53">
        <f t="shared" si="8"/>
      </c>
      <c r="L59" s="68">
        <f t="shared" si="9"/>
      </c>
      <c r="M59" s="56">
        <f t="shared" si="10"/>
      </c>
      <c r="N59" s="69">
        <f t="shared" si="11"/>
      </c>
      <c r="O59" s="22">
        <f t="shared" si="12"/>
      </c>
      <c r="P59" s="22">
        <f>IF(往来单位!$C$49="客户",1,0)</f>
        <v>0</v>
      </c>
      <c r="Q59" s="22">
        <f t="shared" si="13"/>
        <v>28</v>
      </c>
    </row>
    <row r="60">
      <c r="A60" s="56">
        <f>IF($B60="","",47)</f>
      </c>
      <c r="B60" s="66">
        <f>IF(47&gt;$Q$613,"",INDEX(往来单位!$B$4:$B$603,MATCH(47,$Q$14:$Q$613,0)))</f>
      </c>
      <c r="C60" s="67">
        <f t="shared" si="0"/>
      </c>
      <c r="D60" s="60">
        <f t="shared" si="1"/>
      </c>
      <c r="E60" s="53">
        <f t="shared" si="2"/>
      </c>
      <c r="F60" s="53">
        <f t="shared" si="3"/>
      </c>
      <c r="G60" s="53">
        <f t="shared" si="4"/>
      </c>
      <c r="H60" s="59">
        <f t="shared" si="5"/>
      </c>
      <c r="I60" s="53">
        <f t="shared" si="6"/>
      </c>
      <c r="J60" s="53">
        <f t="shared" si="7"/>
      </c>
      <c r="K60" s="53">
        <f t="shared" si="8"/>
      </c>
      <c r="L60" s="68">
        <f t="shared" si="9"/>
      </c>
      <c r="M60" s="56">
        <f t="shared" si="10"/>
      </c>
      <c r="N60" s="69">
        <f t="shared" si="11"/>
      </c>
      <c r="O60" s="22">
        <f t="shared" si="12"/>
      </c>
      <c r="P60" s="22">
        <f>IF(往来单位!$C$50="客户",1,0)</f>
        <v>0</v>
      </c>
      <c r="Q60" s="22">
        <f t="shared" si="13"/>
        <v>28</v>
      </c>
    </row>
    <row r="61">
      <c r="A61" s="56">
        <f>IF($B61="","",48)</f>
      </c>
      <c r="B61" s="66">
        <f>IF(48&gt;$Q$613,"",INDEX(往来单位!$B$4:$B$603,MATCH(48,$Q$14:$Q$613,0)))</f>
      </c>
      <c r="C61" s="67">
        <f t="shared" si="0"/>
      </c>
      <c r="D61" s="60">
        <f t="shared" si="1"/>
      </c>
      <c r="E61" s="53">
        <f t="shared" si="2"/>
      </c>
      <c r="F61" s="53">
        <f t="shared" si="3"/>
      </c>
      <c r="G61" s="53">
        <f t="shared" si="4"/>
      </c>
      <c r="H61" s="59">
        <f t="shared" si="5"/>
      </c>
      <c r="I61" s="53">
        <f t="shared" si="6"/>
      </c>
      <c r="J61" s="53">
        <f t="shared" si="7"/>
      </c>
      <c r="K61" s="53">
        <f t="shared" si="8"/>
      </c>
      <c r="L61" s="68">
        <f t="shared" si="9"/>
      </c>
      <c r="M61" s="56">
        <f t="shared" si="10"/>
      </c>
      <c r="N61" s="69">
        <f t="shared" si="11"/>
      </c>
      <c r="O61" s="22">
        <f t="shared" si="12"/>
      </c>
      <c r="P61" s="22">
        <f>IF(往来单位!$C$51="客户",1,0)</f>
        <v>0</v>
      </c>
      <c r="Q61" s="22">
        <f t="shared" si="13"/>
        <v>28</v>
      </c>
    </row>
    <row r="62">
      <c r="A62" s="56">
        <f>IF($B62="","",49)</f>
      </c>
      <c r="B62" s="66">
        <f>IF(49&gt;$Q$613,"",INDEX(往来单位!$B$4:$B$603,MATCH(49,$Q$14:$Q$613,0)))</f>
      </c>
      <c r="C62" s="67">
        <f t="shared" si="0"/>
      </c>
      <c r="D62" s="60">
        <f t="shared" si="1"/>
      </c>
      <c r="E62" s="53">
        <f t="shared" si="2"/>
      </c>
      <c r="F62" s="53">
        <f t="shared" si="3"/>
      </c>
      <c r="G62" s="53">
        <f t="shared" si="4"/>
      </c>
      <c r="H62" s="59">
        <f t="shared" si="5"/>
      </c>
      <c r="I62" s="53">
        <f t="shared" si="6"/>
      </c>
      <c r="J62" s="53">
        <f t="shared" si="7"/>
      </c>
      <c r="K62" s="53">
        <f t="shared" si="8"/>
      </c>
      <c r="L62" s="68">
        <f t="shared" si="9"/>
      </c>
      <c r="M62" s="56">
        <f t="shared" si="10"/>
      </c>
      <c r="N62" s="69">
        <f t="shared" si="11"/>
      </c>
      <c r="O62" s="22">
        <f t="shared" si="12"/>
      </c>
      <c r="P62" s="22">
        <f>IF(往来单位!$C$52="客户",1,0)</f>
        <v>0</v>
      </c>
      <c r="Q62" s="22">
        <f t="shared" si="13"/>
        <v>28</v>
      </c>
    </row>
    <row r="63">
      <c r="A63" s="56">
        <f>IF($B63="","",50)</f>
      </c>
      <c r="B63" s="66">
        <f>IF(50&gt;$Q$613,"",INDEX(往来单位!$B$4:$B$603,MATCH(50,$Q$14:$Q$613,0)))</f>
      </c>
      <c r="C63" s="67">
        <f t="shared" si="0"/>
      </c>
      <c r="D63" s="60">
        <f t="shared" si="1"/>
      </c>
      <c r="E63" s="53">
        <f t="shared" si="2"/>
      </c>
      <c r="F63" s="53">
        <f t="shared" si="3"/>
      </c>
      <c r="G63" s="53">
        <f t="shared" si="4"/>
      </c>
      <c r="H63" s="59">
        <f t="shared" si="5"/>
      </c>
      <c r="I63" s="53">
        <f t="shared" si="6"/>
      </c>
      <c r="J63" s="53">
        <f t="shared" si="7"/>
      </c>
      <c r="K63" s="53">
        <f t="shared" si="8"/>
      </c>
      <c r="L63" s="68">
        <f t="shared" si="9"/>
      </c>
      <c r="M63" s="56">
        <f t="shared" si="10"/>
      </c>
      <c r="N63" s="69">
        <f t="shared" si="11"/>
      </c>
      <c r="O63" s="22">
        <f t="shared" si="12"/>
      </c>
      <c r="P63" s="22">
        <f>IF(往来单位!$C$53="客户",1,0)</f>
        <v>0</v>
      </c>
      <c r="Q63" s="22">
        <f t="shared" si="13"/>
        <v>28</v>
      </c>
    </row>
    <row r="64">
      <c r="A64" s="56">
        <f>IF($B64="","",51)</f>
      </c>
      <c r="B64" s="66">
        <f>IF(51&gt;$Q$613,"",INDEX(往来单位!$B$4:$B$603,MATCH(51,$Q$14:$Q$613,0)))</f>
      </c>
      <c r="C64" s="67">
        <f t="shared" si="0"/>
      </c>
      <c r="D64" s="60">
        <f t="shared" si="1"/>
      </c>
      <c r="E64" s="53">
        <f t="shared" si="2"/>
      </c>
      <c r="F64" s="53">
        <f t="shared" si="3"/>
      </c>
      <c r="G64" s="53">
        <f t="shared" si="4"/>
      </c>
      <c r="H64" s="59">
        <f t="shared" si="5"/>
      </c>
      <c r="I64" s="53">
        <f t="shared" si="6"/>
      </c>
      <c r="J64" s="53">
        <f t="shared" si="7"/>
      </c>
      <c r="K64" s="53">
        <f t="shared" si="8"/>
      </c>
      <c r="L64" s="68">
        <f t="shared" si="9"/>
      </c>
      <c r="M64" s="56">
        <f t="shared" si="10"/>
      </c>
      <c r="N64" s="69">
        <f t="shared" si="11"/>
      </c>
      <c r="O64" s="22">
        <f t="shared" si="12"/>
      </c>
      <c r="P64" s="22">
        <f>IF(往来单位!$C$54="客户",1,0)</f>
        <v>0</v>
      </c>
      <c r="Q64" s="22">
        <f t="shared" si="13"/>
        <v>28</v>
      </c>
    </row>
    <row r="65">
      <c r="A65" s="56">
        <f>IF($B65="","",52)</f>
      </c>
      <c r="B65" s="66">
        <f>IF(52&gt;$Q$613,"",INDEX(往来单位!$B$4:$B$603,MATCH(52,$Q$14:$Q$613,0)))</f>
      </c>
      <c r="C65" s="67">
        <f t="shared" si="0"/>
      </c>
      <c r="D65" s="60">
        <f t="shared" si="1"/>
      </c>
      <c r="E65" s="53">
        <f t="shared" si="2"/>
      </c>
      <c r="F65" s="53">
        <f t="shared" si="3"/>
      </c>
      <c r="G65" s="53">
        <f t="shared" si="4"/>
      </c>
      <c r="H65" s="59">
        <f t="shared" si="5"/>
      </c>
      <c r="I65" s="53">
        <f t="shared" si="6"/>
      </c>
      <c r="J65" s="53">
        <f t="shared" si="7"/>
      </c>
      <c r="K65" s="53">
        <f t="shared" si="8"/>
      </c>
      <c r="L65" s="68">
        <f t="shared" si="9"/>
      </c>
      <c r="M65" s="56">
        <f t="shared" si="10"/>
      </c>
      <c r="N65" s="69">
        <f t="shared" si="11"/>
      </c>
      <c r="O65" s="22">
        <f t="shared" si="12"/>
      </c>
      <c r="P65" s="22">
        <f>IF(往来单位!$C$55="客户",1,0)</f>
        <v>0</v>
      </c>
      <c r="Q65" s="22">
        <f t="shared" si="13"/>
        <v>28</v>
      </c>
    </row>
    <row r="66">
      <c r="A66" s="56">
        <f>IF($B66="","",53)</f>
      </c>
      <c r="B66" s="66">
        <f>IF(53&gt;$Q$613,"",INDEX(往来单位!$B$4:$B$603,MATCH(53,$Q$14:$Q$613,0)))</f>
      </c>
      <c r="C66" s="67">
        <f t="shared" si="0"/>
      </c>
      <c r="D66" s="60">
        <f t="shared" si="1"/>
      </c>
      <c r="E66" s="53">
        <f t="shared" si="2"/>
      </c>
      <c r="F66" s="53">
        <f t="shared" si="3"/>
      </c>
      <c r="G66" s="53">
        <f t="shared" si="4"/>
      </c>
      <c r="H66" s="59">
        <f t="shared" si="5"/>
      </c>
      <c r="I66" s="53">
        <f t="shared" si="6"/>
      </c>
      <c r="J66" s="53">
        <f t="shared" si="7"/>
      </c>
      <c r="K66" s="53">
        <f t="shared" si="8"/>
      </c>
      <c r="L66" s="68">
        <f t="shared" si="9"/>
      </c>
      <c r="M66" s="56">
        <f t="shared" si="10"/>
      </c>
      <c r="N66" s="69">
        <f t="shared" si="11"/>
      </c>
      <c r="O66" s="22">
        <f t="shared" si="12"/>
      </c>
      <c r="P66" s="22">
        <f>IF(往来单位!$C$56="客户",1,0)</f>
        <v>0</v>
      </c>
      <c r="Q66" s="22">
        <f t="shared" si="13"/>
        <v>28</v>
      </c>
    </row>
    <row r="67">
      <c r="A67" s="56">
        <f>IF($B67="","",54)</f>
      </c>
      <c r="B67" s="66">
        <f>IF(54&gt;$Q$613,"",INDEX(往来单位!$B$4:$B$603,MATCH(54,$Q$14:$Q$613,0)))</f>
      </c>
      <c r="C67" s="67">
        <f t="shared" si="0"/>
      </c>
      <c r="D67" s="60">
        <f t="shared" si="1"/>
      </c>
      <c r="E67" s="53">
        <f t="shared" si="2"/>
      </c>
      <c r="F67" s="53">
        <f t="shared" si="3"/>
      </c>
      <c r="G67" s="53">
        <f t="shared" si="4"/>
      </c>
      <c r="H67" s="59">
        <f t="shared" si="5"/>
      </c>
      <c r="I67" s="53">
        <f t="shared" si="6"/>
      </c>
      <c r="J67" s="53">
        <f t="shared" si="7"/>
      </c>
      <c r="K67" s="53">
        <f t="shared" si="8"/>
      </c>
      <c r="L67" s="68">
        <f t="shared" si="9"/>
      </c>
      <c r="M67" s="56">
        <f t="shared" si="10"/>
      </c>
      <c r="N67" s="69">
        <f t="shared" si="11"/>
      </c>
      <c r="O67" s="22">
        <f t="shared" si="12"/>
      </c>
      <c r="P67" s="22">
        <f>IF(往来单位!$C$57="客户",1,0)</f>
        <v>0</v>
      </c>
      <c r="Q67" s="22">
        <f t="shared" si="13"/>
        <v>28</v>
      </c>
    </row>
    <row r="68">
      <c r="A68" s="56">
        <f>IF($B68="","",55)</f>
      </c>
      <c r="B68" s="66">
        <f>IF(55&gt;$Q$613,"",INDEX(往来单位!$B$4:$B$603,MATCH(55,$Q$14:$Q$613,0)))</f>
      </c>
      <c r="C68" s="67">
        <f t="shared" si="0"/>
      </c>
      <c r="D68" s="60">
        <f t="shared" si="1"/>
      </c>
      <c r="E68" s="53">
        <f t="shared" si="2"/>
      </c>
      <c r="F68" s="53">
        <f t="shared" si="3"/>
      </c>
      <c r="G68" s="53">
        <f t="shared" si="4"/>
      </c>
      <c r="H68" s="59">
        <f t="shared" si="5"/>
      </c>
      <c r="I68" s="53">
        <f t="shared" si="6"/>
      </c>
      <c r="J68" s="53">
        <f t="shared" si="7"/>
      </c>
      <c r="K68" s="53">
        <f t="shared" si="8"/>
      </c>
      <c r="L68" s="68">
        <f t="shared" si="9"/>
      </c>
      <c r="M68" s="56">
        <f t="shared" si="10"/>
      </c>
      <c r="N68" s="69">
        <f t="shared" si="11"/>
      </c>
      <c r="O68" s="22">
        <f t="shared" si="12"/>
      </c>
      <c r="P68" s="22">
        <f>IF(往来单位!$C$58="客户",1,0)</f>
        <v>0</v>
      </c>
      <c r="Q68" s="22">
        <f t="shared" si="13"/>
        <v>28</v>
      </c>
    </row>
    <row r="69">
      <c r="A69" s="56">
        <f>IF($B69="","",56)</f>
      </c>
      <c r="B69" s="66">
        <f>IF(56&gt;$Q$613,"",INDEX(往来单位!$B$4:$B$603,MATCH(56,$Q$14:$Q$613,0)))</f>
      </c>
      <c r="C69" s="67">
        <f t="shared" si="0"/>
      </c>
      <c r="D69" s="60">
        <f t="shared" si="1"/>
      </c>
      <c r="E69" s="53">
        <f t="shared" si="2"/>
      </c>
      <c r="F69" s="53">
        <f t="shared" si="3"/>
      </c>
      <c r="G69" s="53">
        <f t="shared" si="4"/>
      </c>
      <c r="H69" s="59">
        <f t="shared" si="5"/>
      </c>
      <c r="I69" s="53">
        <f t="shared" si="6"/>
      </c>
      <c r="J69" s="53">
        <f t="shared" si="7"/>
      </c>
      <c r="K69" s="53">
        <f t="shared" si="8"/>
      </c>
      <c r="L69" s="68">
        <f t="shared" si="9"/>
      </c>
      <c r="M69" s="56">
        <f t="shared" si="10"/>
      </c>
      <c r="N69" s="69">
        <f t="shared" si="11"/>
      </c>
      <c r="O69" s="22">
        <f t="shared" si="12"/>
      </c>
      <c r="P69" s="22">
        <f>IF(往来单位!$C$59="客户",1,0)</f>
        <v>0</v>
      </c>
      <c r="Q69" s="22">
        <f t="shared" si="13"/>
        <v>28</v>
      </c>
    </row>
    <row r="70">
      <c r="A70" s="56">
        <f>IF($B70="","",57)</f>
      </c>
      <c r="B70" s="66">
        <f>IF(57&gt;$Q$613,"",INDEX(往来单位!$B$4:$B$603,MATCH(57,$Q$14:$Q$613,0)))</f>
      </c>
      <c r="C70" s="67">
        <f t="shared" si="0"/>
      </c>
      <c r="D70" s="60">
        <f t="shared" si="1"/>
      </c>
      <c r="E70" s="53">
        <f t="shared" si="2"/>
      </c>
      <c r="F70" s="53">
        <f t="shared" si="3"/>
      </c>
      <c r="G70" s="53">
        <f t="shared" si="4"/>
      </c>
      <c r="H70" s="59">
        <f t="shared" si="5"/>
      </c>
      <c r="I70" s="53">
        <f t="shared" si="6"/>
      </c>
      <c r="J70" s="53">
        <f t="shared" si="7"/>
      </c>
      <c r="K70" s="53">
        <f t="shared" si="8"/>
      </c>
      <c r="L70" s="68">
        <f t="shared" si="9"/>
      </c>
      <c r="M70" s="56">
        <f t="shared" si="10"/>
      </c>
      <c r="N70" s="69">
        <f t="shared" si="11"/>
      </c>
      <c r="O70" s="22">
        <f t="shared" si="12"/>
      </c>
      <c r="P70" s="22">
        <f>IF(往来单位!$C$60="客户",1,0)</f>
        <v>0</v>
      </c>
      <c r="Q70" s="22">
        <f t="shared" si="13"/>
        <v>28</v>
      </c>
    </row>
    <row r="71">
      <c r="A71" s="56">
        <f>IF($B71="","",58)</f>
      </c>
      <c r="B71" s="66">
        <f>IF(58&gt;$Q$613,"",INDEX(往来单位!$B$4:$B$603,MATCH(58,$Q$14:$Q$613,0)))</f>
      </c>
      <c r="C71" s="67">
        <f t="shared" si="0"/>
      </c>
      <c r="D71" s="60">
        <f t="shared" si="1"/>
      </c>
      <c r="E71" s="53">
        <f t="shared" si="2"/>
      </c>
      <c r="F71" s="53">
        <f t="shared" si="3"/>
      </c>
      <c r="G71" s="53">
        <f t="shared" si="4"/>
      </c>
      <c r="H71" s="59">
        <f t="shared" si="5"/>
      </c>
      <c r="I71" s="53">
        <f t="shared" si="6"/>
      </c>
      <c r="J71" s="53">
        <f t="shared" si="7"/>
      </c>
      <c r="K71" s="53">
        <f t="shared" si="8"/>
      </c>
      <c r="L71" s="68">
        <f t="shared" si="9"/>
      </c>
      <c r="M71" s="56">
        <f t="shared" si="10"/>
      </c>
      <c r="N71" s="69">
        <f t="shared" si="11"/>
      </c>
      <c r="O71" s="22">
        <f t="shared" si="12"/>
      </c>
      <c r="P71" s="22">
        <f>IF(往来单位!$C$61="客户",1,0)</f>
        <v>0</v>
      </c>
      <c r="Q71" s="22">
        <f t="shared" si="13"/>
        <v>28</v>
      </c>
    </row>
    <row r="72">
      <c r="A72" s="56">
        <f>IF($B72="","",59)</f>
      </c>
      <c r="B72" s="66">
        <f>IF(59&gt;$Q$613,"",INDEX(往来单位!$B$4:$B$603,MATCH(59,$Q$14:$Q$613,0)))</f>
      </c>
      <c r="C72" s="67">
        <f t="shared" si="0"/>
      </c>
      <c r="D72" s="60">
        <f t="shared" si="1"/>
      </c>
      <c r="E72" s="53">
        <f t="shared" si="2"/>
      </c>
      <c r="F72" s="53">
        <f t="shared" si="3"/>
      </c>
      <c r="G72" s="53">
        <f t="shared" si="4"/>
      </c>
      <c r="H72" s="59">
        <f t="shared" si="5"/>
      </c>
      <c r="I72" s="53">
        <f t="shared" si="6"/>
      </c>
      <c r="J72" s="53">
        <f t="shared" si="7"/>
      </c>
      <c r="K72" s="53">
        <f t="shared" si="8"/>
      </c>
      <c r="L72" s="68">
        <f t="shared" si="9"/>
      </c>
      <c r="M72" s="56">
        <f t="shared" si="10"/>
      </c>
      <c r="N72" s="69">
        <f t="shared" si="11"/>
      </c>
      <c r="O72" s="22">
        <f t="shared" si="12"/>
      </c>
      <c r="P72" s="22">
        <f>IF(往来单位!$C$62="客户",1,0)</f>
        <v>0</v>
      </c>
      <c r="Q72" s="22">
        <f t="shared" si="13"/>
        <v>28</v>
      </c>
    </row>
    <row r="73">
      <c r="A73" s="56">
        <f>IF($B73="","",60)</f>
      </c>
      <c r="B73" s="66">
        <f>IF(60&gt;$Q$613,"",INDEX(往来单位!$B$4:$B$603,MATCH(60,$Q$14:$Q$613,0)))</f>
      </c>
      <c r="C73" s="67">
        <f t="shared" si="0"/>
      </c>
      <c r="D73" s="60">
        <f t="shared" si="1"/>
      </c>
      <c r="E73" s="53">
        <f t="shared" si="2"/>
      </c>
      <c r="F73" s="53">
        <f t="shared" si="3"/>
      </c>
      <c r="G73" s="53">
        <f t="shared" si="4"/>
      </c>
      <c r="H73" s="59">
        <f t="shared" si="5"/>
      </c>
      <c r="I73" s="53">
        <f t="shared" si="6"/>
      </c>
      <c r="J73" s="53">
        <f t="shared" si="7"/>
      </c>
      <c r="K73" s="53">
        <f t="shared" si="8"/>
      </c>
      <c r="L73" s="68">
        <f t="shared" si="9"/>
      </c>
      <c r="M73" s="56">
        <f t="shared" si="10"/>
      </c>
      <c r="N73" s="69">
        <f t="shared" si="11"/>
      </c>
      <c r="O73" s="22">
        <f t="shared" si="12"/>
      </c>
      <c r="P73" s="22">
        <f>IF(往来单位!$C$63="客户",1,0)</f>
        <v>0</v>
      </c>
      <c r="Q73" s="22">
        <f t="shared" si="13"/>
        <v>28</v>
      </c>
    </row>
    <row r="74">
      <c r="A74" s="56">
        <f>IF($B74="","",61)</f>
      </c>
      <c r="B74" s="66">
        <f>IF(61&gt;$Q$613,"",INDEX(往来单位!$B$4:$B$603,MATCH(61,$Q$14:$Q$613,0)))</f>
      </c>
      <c r="C74" s="67">
        <f t="shared" si="0"/>
      </c>
      <c r="D74" s="60">
        <f t="shared" si="1"/>
      </c>
      <c r="E74" s="53">
        <f t="shared" si="2"/>
      </c>
      <c r="F74" s="53">
        <f t="shared" si="3"/>
      </c>
      <c r="G74" s="53">
        <f t="shared" si="4"/>
      </c>
      <c r="H74" s="59">
        <f t="shared" si="5"/>
      </c>
      <c r="I74" s="53">
        <f t="shared" si="6"/>
      </c>
      <c r="J74" s="53">
        <f t="shared" si="7"/>
      </c>
      <c r="K74" s="53">
        <f t="shared" si="8"/>
      </c>
      <c r="L74" s="68">
        <f t="shared" si="9"/>
      </c>
      <c r="M74" s="56">
        <f t="shared" si="10"/>
      </c>
      <c r="N74" s="69">
        <f t="shared" si="11"/>
      </c>
      <c r="O74" s="22">
        <f t="shared" si="12"/>
      </c>
      <c r="P74" s="22">
        <f>IF(往来单位!$C$64="客户",1,0)</f>
        <v>0</v>
      </c>
      <c r="Q74" s="22">
        <f t="shared" si="13"/>
        <v>28</v>
      </c>
    </row>
    <row r="75">
      <c r="A75" s="56">
        <f>IF($B75="","",62)</f>
      </c>
      <c r="B75" s="66">
        <f>IF(62&gt;$Q$613,"",INDEX(往来单位!$B$4:$B$603,MATCH(62,$Q$14:$Q$613,0)))</f>
      </c>
      <c r="C75" s="67">
        <f t="shared" si="0"/>
      </c>
      <c r="D75" s="60">
        <f t="shared" si="1"/>
      </c>
      <c r="E75" s="53">
        <f t="shared" si="2"/>
      </c>
      <c r="F75" s="53">
        <f t="shared" si="3"/>
      </c>
      <c r="G75" s="53">
        <f t="shared" si="4"/>
      </c>
      <c r="H75" s="59">
        <f t="shared" si="5"/>
      </c>
      <c r="I75" s="53">
        <f t="shared" si="6"/>
      </c>
      <c r="J75" s="53">
        <f t="shared" si="7"/>
      </c>
      <c r="K75" s="53">
        <f t="shared" si="8"/>
      </c>
      <c r="L75" s="68">
        <f t="shared" si="9"/>
      </c>
      <c r="M75" s="56">
        <f t="shared" si="10"/>
      </c>
      <c r="N75" s="69">
        <f t="shared" si="11"/>
      </c>
      <c r="O75" s="22">
        <f t="shared" si="12"/>
      </c>
      <c r="P75" s="22">
        <f>IF(往来单位!$C$65="客户",1,0)</f>
        <v>0</v>
      </c>
      <c r="Q75" s="22">
        <f t="shared" si="13"/>
        <v>28</v>
      </c>
    </row>
    <row r="76">
      <c r="A76" s="56">
        <f>IF($B76="","",63)</f>
      </c>
      <c r="B76" s="66">
        <f>IF(63&gt;$Q$613,"",INDEX(往来单位!$B$4:$B$603,MATCH(63,$Q$14:$Q$613,0)))</f>
      </c>
      <c r="C76" s="67">
        <f t="shared" si="0"/>
      </c>
      <c r="D76" s="60">
        <f t="shared" si="1"/>
      </c>
      <c r="E76" s="53">
        <f t="shared" si="2"/>
      </c>
      <c r="F76" s="53">
        <f t="shared" si="3"/>
      </c>
      <c r="G76" s="53">
        <f t="shared" si="4"/>
      </c>
      <c r="H76" s="59">
        <f t="shared" si="5"/>
      </c>
      <c r="I76" s="53">
        <f t="shared" si="6"/>
      </c>
      <c r="J76" s="53">
        <f t="shared" si="7"/>
      </c>
      <c r="K76" s="53">
        <f t="shared" si="8"/>
      </c>
      <c r="L76" s="68">
        <f t="shared" si="9"/>
      </c>
      <c r="M76" s="56">
        <f t="shared" si="10"/>
      </c>
      <c r="N76" s="69">
        <f t="shared" si="11"/>
      </c>
      <c r="O76" s="22">
        <f t="shared" si="12"/>
      </c>
      <c r="P76" s="22">
        <f>IF(往来单位!$C$66="客户",1,0)</f>
        <v>0</v>
      </c>
      <c r="Q76" s="22">
        <f t="shared" si="13"/>
        <v>28</v>
      </c>
    </row>
    <row r="77">
      <c r="A77" s="56">
        <f>IF($B77="","",64)</f>
      </c>
      <c r="B77" s="66">
        <f>IF(64&gt;$Q$613,"",INDEX(往来单位!$B$4:$B$603,MATCH(64,$Q$14:$Q$613,0)))</f>
      </c>
      <c r="C77" s="67">
        <f t="shared" si="0"/>
      </c>
      <c r="D77" s="60">
        <f t="shared" si="1"/>
      </c>
      <c r="E77" s="53">
        <f t="shared" si="2"/>
      </c>
      <c r="F77" s="53">
        <f t="shared" si="3"/>
      </c>
      <c r="G77" s="53">
        <f t="shared" si="4"/>
      </c>
      <c r="H77" s="59">
        <f t="shared" si="5"/>
      </c>
      <c r="I77" s="53">
        <f t="shared" si="6"/>
      </c>
      <c r="J77" s="53">
        <f t="shared" si="7"/>
      </c>
      <c r="K77" s="53">
        <f t="shared" si="8"/>
      </c>
      <c r="L77" s="68">
        <f t="shared" si="9"/>
      </c>
      <c r="M77" s="56">
        <f t="shared" si="10"/>
      </c>
      <c r="N77" s="69">
        <f t="shared" si="11"/>
      </c>
      <c r="O77" s="22">
        <f t="shared" si="12"/>
      </c>
      <c r="P77" s="22">
        <f>IF(往来单位!$C$67="客户",1,0)</f>
        <v>0</v>
      </c>
      <c r="Q77" s="22">
        <f t="shared" si="13"/>
        <v>28</v>
      </c>
    </row>
    <row r="78">
      <c r="A78" s="56">
        <f>IF($B78="","",65)</f>
      </c>
      <c r="B78" s="66">
        <f>IF(65&gt;$Q$613,"",INDEX(往来单位!$B$4:$B$603,MATCH(65,$Q$14:$Q$613,0)))</f>
      </c>
      <c r="C78" s="67">
        <f t="shared" si="0"/>
      </c>
      <c r="D78" s="60">
        <f t="shared" si="1"/>
      </c>
      <c r="E78" s="53">
        <f t="shared" si="2"/>
      </c>
      <c r="F78" s="53">
        <f t="shared" si="3"/>
      </c>
      <c r="G78" s="53">
        <f t="shared" si="4"/>
      </c>
      <c r="H78" s="59">
        <f t="shared" si="5"/>
      </c>
      <c r="I78" s="53">
        <f t="shared" si="6"/>
      </c>
      <c r="J78" s="53">
        <f t="shared" si="7"/>
      </c>
      <c r="K78" s="53">
        <f t="shared" si="8"/>
      </c>
      <c r="L78" s="68">
        <f t="shared" si="9"/>
      </c>
      <c r="M78" s="56">
        <f t="shared" si="10"/>
      </c>
      <c r="N78" s="69">
        <f t="shared" si="11"/>
      </c>
      <c r="O78" s="22">
        <f t="shared" si="12"/>
      </c>
      <c r="P78" s="22">
        <f>IF(往来单位!$C$68="客户",1,0)</f>
        <v>0</v>
      </c>
      <c r="Q78" s="22">
        <f t="shared" si="13"/>
        <v>28</v>
      </c>
    </row>
    <row r="79">
      <c r="A79" s="56">
        <f>IF($B79="","",66)</f>
      </c>
      <c r="B79" s="66">
        <f>IF(66&gt;$Q$613,"",INDEX(往来单位!$B$4:$B$603,MATCH(66,$Q$14:$Q$613,0)))</f>
      </c>
      <c r="C79" s="67">
        <f t="shared" si="0"/>
      </c>
      <c r="D79" s="60">
        <f t="shared" si="1"/>
      </c>
      <c r="E79" s="53">
        <f t="shared" si="2"/>
      </c>
      <c r="F79" s="53">
        <f t="shared" si="3"/>
      </c>
      <c r="G79" s="53">
        <f t="shared" si="4"/>
      </c>
      <c r="H79" s="59">
        <f t="shared" si="5"/>
      </c>
      <c r="I79" s="53">
        <f t="shared" si="6"/>
      </c>
      <c r="J79" s="53">
        <f t="shared" si="7"/>
      </c>
      <c r="K79" s="53">
        <f t="shared" si="8"/>
      </c>
      <c r="L79" s="68">
        <f t="shared" si="9"/>
      </c>
      <c r="M79" s="56">
        <f t="shared" si="10"/>
      </c>
      <c r="N79" s="69">
        <f t="shared" si="11"/>
      </c>
      <c r="O79" s="22">
        <f t="shared" si="12"/>
      </c>
      <c r="P79" s="22">
        <f>IF(往来单位!$C$69="客户",1,0)</f>
        <v>0</v>
      </c>
      <c r="Q79" s="22">
        <f t="shared" si="13"/>
        <v>28</v>
      </c>
    </row>
    <row r="80">
      <c r="A80" s="56">
        <f>IF($B80="","",67)</f>
      </c>
      <c r="B80" s="66">
        <f>IF(67&gt;$Q$613,"",INDEX(往来单位!$B$4:$B$603,MATCH(67,$Q$14:$Q$613,0)))</f>
      </c>
      <c r="C80" s="67">
        <f t="shared" si="0"/>
      </c>
      <c r="D80" s="60">
        <f t="shared" si="1"/>
      </c>
      <c r="E80" s="53">
        <f t="shared" si="2"/>
      </c>
      <c r="F80" s="53">
        <f t="shared" si="3"/>
      </c>
      <c r="G80" s="53">
        <f t="shared" si="4"/>
      </c>
      <c r="H80" s="59">
        <f t="shared" si="5"/>
      </c>
      <c r="I80" s="53">
        <f t="shared" si="6"/>
      </c>
      <c r="J80" s="53">
        <f t="shared" si="7"/>
      </c>
      <c r="K80" s="53">
        <f t="shared" si="8"/>
      </c>
      <c r="L80" s="68">
        <f t="shared" si="9"/>
      </c>
      <c r="M80" s="56">
        <f t="shared" si="10"/>
      </c>
      <c r="N80" s="69">
        <f t="shared" si="11"/>
      </c>
      <c r="O80" s="22">
        <f t="shared" si="12"/>
      </c>
      <c r="P80" s="22">
        <f>IF(往来单位!$C$70="客户",1,0)</f>
        <v>0</v>
      </c>
      <c r="Q80" s="22">
        <f t="shared" si="13"/>
        <v>28</v>
      </c>
    </row>
    <row r="81">
      <c r="A81" s="56">
        <f>IF($B81="","",68)</f>
      </c>
      <c r="B81" s="66">
        <f>IF(68&gt;$Q$613,"",INDEX(往来单位!$B$4:$B$603,MATCH(68,$Q$14:$Q$613,0)))</f>
      </c>
      <c r="C81" s="67">
        <f t="shared" si="0"/>
      </c>
      <c r="D81" s="60">
        <f t="shared" si="1"/>
      </c>
      <c r="E81" s="53">
        <f t="shared" si="2"/>
      </c>
      <c r="F81" s="53">
        <f t="shared" si="3"/>
      </c>
      <c r="G81" s="53">
        <f t="shared" si="4"/>
      </c>
      <c r="H81" s="59">
        <f t="shared" si="5"/>
      </c>
      <c r="I81" s="53">
        <f t="shared" si="6"/>
      </c>
      <c r="J81" s="53">
        <f t="shared" si="7"/>
      </c>
      <c r="K81" s="53">
        <f t="shared" si="8"/>
      </c>
      <c r="L81" s="68">
        <f t="shared" si="9"/>
      </c>
      <c r="M81" s="56">
        <f t="shared" si="10"/>
      </c>
      <c r="N81" s="69">
        <f t="shared" si="11"/>
      </c>
      <c r="O81" s="22">
        <f t="shared" si="12"/>
      </c>
      <c r="P81" s="22">
        <f>IF(往来单位!$C$71="客户",1,0)</f>
        <v>0</v>
      </c>
      <c r="Q81" s="22">
        <f t="shared" si="13"/>
        <v>28</v>
      </c>
    </row>
    <row r="82">
      <c r="A82" s="56">
        <f>IF($B82="","",69)</f>
      </c>
      <c r="B82" s="66">
        <f>IF(69&gt;$Q$613,"",INDEX(往来单位!$B$4:$B$603,MATCH(69,$Q$14:$Q$613,0)))</f>
      </c>
      <c r="C82" s="67">
        <f t="shared" si="0"/>
      </c>
      <c r="D82" s="60">
        <f t="shared" si="1"/>
      </c>
      <c r="E82" s="53">
        <f t="shared" si="2"/>
      </c>
      <c r="F82" s="53">
        <f t="shared" si="3"/>
      </c>
      <c r="G82" s="53">
        <f t="shared" si="4"/>
      </c>
      <c r="H82" s="59">
        <f t="shared" si="5"/>
      </c>
      <c r="I82" s="53">
        <f t="shared" si="6"/>
      </c>
      <c r="J82" s="53">
        <f t="shared" si="7"/>
      </c>
      <c r="K82" s="53">
        <f t="shared" si="8"/>
      </c>
      <c r="L82" s="68">
        <f t="shared" si="9"/>
      </c>
      <c r="M82" s="56">
        <f t="shared" si="10"/>
      </c>
      <c r="N82" s="69">
        <f t="shared" si="11"/>
      </c>
      <c r="O82" s="22">
        <f t="shared" si="12"/>
      </c>
      <c r="P82" s="22">
        <f>IF(往来单位!$C$72="客户",1,0)</f>
        <v>0</v>
      </c>
      <c r="Q82" s="22">
        <f t="shared" si="13"/>
        <v>28</v>
      </c>
    </row>
    <row r="83">
      <c r="A83" s="56">
        <f>IF($B83="","",70)</f>
      </c>
      <c r="B83" s="66">
        <f>IF(70&gt;$Q$613,"",INDEX(往来单位!$B$4:$B$603,MATCH(70,$Q$14:$Q$613,0)))</f>
      </c>
      <c r="C83" s="67">
        <f t="shared" si="0"/>
      </c>
      <c r="D83" s="60">
        <f t="shared" si="1"/>
      </c>
      <c r="E83" s="53">
        <f t="shared" si="2"/>
      </c>
      <c r="F83" s="53">
        <f t="shared" si="3"/>
      </c>
      <c r="G83" s="53">
        <f t="shared" si="4"/>
      </c>
      <c r="H83" s="59">
        <f t="shared" si="5"/>
      </c>
      <c r="I83" s="53">
        <f t="shared" si="6"/>
      </c>
      <c r="J83" s="53">
        <f t="shared" si="7"/>
      </c>
      <c r="K83" s="53">
        <f t="shared" si="8"/>
      </c>
      <c r="L83" s="68">
        <f t="shared" si="9"/>
      </c>
      <c r="M83" s="56">
        <f t="shared" si="10"/>
      </c>
      <c r="N83" s="69">
        <f t="shared" si="11"/>
      </c>
      <c r="O83" s="22">
        <f t="shared" si="12"/>
      </c>
      <c r="P83" s="22">
        <f>IF(往来单位!$C$73="客户",1,0)</f>
        <v>0</v>
      </c>
      <c r="Q83" s="22">
        <f t="shared" si="13"/>
        <v>28</v>
      </c>
    </row>
    <row r="84">
      <c r="A84" s="56">
        <f>IF($B84="","",71)</f>
      </c>
      <c r="B84" s="66">
        <f>IF(71&gt;$Q$613,"",INDEX(往来单位!$B$4:$B$603,MATCH(71,$Q$14:$Q$613,0)))</f>
      </c>
      <c r="C84" s="67">
        <f t="shared" si="0"/>
      </c>
      <c r="D84" s="60">
        <f t="shared" si="1"/>
      </c>
      <c r="E84" s="53">
        <f t="shared" si="2"/>
      </c>
      <c r="F84" s="53">
        <f t="shared" si="3"/>
      </c>
      <c r="G84" s="53">
        <f t="shared" si="4"/>
      </c>
      <c r="H84" s="59">
        <f t="shared" si="5"/>
      </c>
      <c r="I84" s="53">
        <f t="shared" si="6"/>
      </c>
      <c r="J84" s="53">
        <f t="shared" si="7"/>
      </c>
      <c r="K84" s="53">
        <f t="shared" si="8"/>
      </c>
      <c r="L84" s="68">
        <f t="shared" si="9"/>
      </c>
      <c r="M84" s="56">
        <f t="shared" si="10"/>
      </c>
      <c r="N84" s="69">
        <f t="shared" si="11"/>
      </c>
      <c r="O84" s="22">
        <f t="shared" si="12"/>
      </c>
      <c r="P84" s="22">
        <f>IF(往来单位!$C$74="客户",1,0)</f>
        <v>0</v>
      </c>
      <c r="Q84" s="22">
        <f t="shared" si="13"/>
        <v>28</v>
      </c>
    </row>
    <row r="85">
      <c r="A85" s="56">
        <f>IF($B85="","",72)</f>
      </c>
      <c r="B85" s="66">
        <f>IF(72&gt;$Q$613,"",INDEX(往来单位!$B$4:$B$603,MATCH(72,$Q$14:$Q$613,0)))</f>
      </c>
      <c r="C85" s="67">
        <f t="shared" si="0"/>
      </c>
      <c r="D85" s="60">
        <f t="shared" si="1"/>
      </c>
      <c r="E85" s="53">
        <f t="shared" si="2"/>
      </c>
      <c r="F85" s="53">
        <f t="shared" si="3"/>
      </c>
      <c r="G85" s="53">
        <f t="shared" si="4"/>
      </c>
      <c r="H85" s="59">
        <f t="shared" si="5"/>
      </c>
      <c r="I85" s="53">
        <f t="shared" si="6"/>
      </c>
      <c r="J85" s="53">
        <f t="shared" si="7"/>
      </c>
      <c r="K85" s="53">
        <f t="shared" si="8"/>
      </c>
      <c r="L85" s="68">
        <f t="shared" si="9"/>
      </c>
      <c r="M85" s="56">
        <f t="shared" si="10"/>
      </c>
      <c r="N85" s="69">
        <f t="shared" si="11"/>
      </c>
      <c r="O85" s="22">
        <f t="shared" si="12"/>
      </c>
      <c r="P85" s="22">
        <f>IF(往来单位!$C$75="客户",1,0)</f>
        <v>0</v>
      </c>
      <c r="Q85" s="22">
        <f t="shared" si="13"/>
        <v>28</v>
      </c>
    </row>
    <row r="86">
      <c r="A86" s="56">
        <f>IF($B86="","",73)</f>
      </c>
      <c r="B86" s="66">
        <f>IF(73&gt;$Q$613,"",INDEX(往来单位!$B$4:$B$603,MATCH(73,$Q$14:$Q$613,0)))</f>
      </c>
      <c r="C86" s="67">
        <f t="shared" si="0"/>
      </c>
      <c r="D86" s="60">
        <f t="shared" si="1"/>
      </c>
      <c r="E86" s="53">
        <f t="shared" si="2"/>
      </c>
      <c r="F86" s="53">
        <f t="shared" si="3"/>
      </c>
      <c r="G86" s="53">
        <f t="shared" si="4"/>
      </c>
      <c r="H86" s="59">
        <f t="shared" si="5"/>
      </c>
      <c r="I86" s="53">
        <f t="shared" si="6"/>
      </c>
      <c r="J86" s="53">
        <f t="shared" si="7"/>
      </c>
      <c r="K86" s="53">
        <f t="shared" si="8"/>
      </c>
      <c r="L86" s="68">
        <f t="shared" si="9"/>
      </c>
      <c r="M86" s="56">
        <f t="shared" si="10"/>
      </c>
      <c r="N86" s="69">
        <f t="shared" si="11"/>
      </c>
      <c r="O86" s="22">
        <f t="shared" si="12"/>
      </c>
      <c r="P86" s="22">
        <f>IF(往来单位!$C$76="客户",1,0)</f>
        <v>0</v>
      </c>
      <c r="Q86" s="22">
        <f t="shared" si="13"/>
        <v>28</v>
      </c>
    </row>
    <row r="87">
      <c r="A87" s="56">
        <f>IF($B87="","",74)</f>
      </c>
      <c r="B87" s="66">
        <f>IF(74&gt;$Q$613,"",INDEX(往来单位!$B$4:$B$603,MATCH(74,$Q$14:$Q$613,0)))</f>
      </c>
      <c r="C87" s="67">
        <f t="shared" si="0"/>
      </c>
      <c r="D87" s="60">
        <f t="shared" si="1"/>
      </c>
      <c r="E87" s="53">
        <f t="shared" si="2"/>
      </c>
      <c r="F87" s="53">
        <f t="shared" si="3"/>
      </c>
      <c r="G87" s="53">
        <f t="shared" si="4"/>
      </c>
      <c r="H87" s="59">
        <f t="shared" si="5"/>
      </c>
      <c r="I87" s="53">
        <f t="shared" si="6"/>
      </c>
      <c r="J87" s="53">
        <f t="shared" si="7"/>
      </c>
      <c r="K87" s="53">
        <f t="shared" si="8"/>
      </c>
      <c r="L87" s="68">
        <f t="shared" si="9"/>
      </c>
      <c r="M87" s="56">
        <f t="shared" si="10"/>
      </c>
      <c r="N87" s="69">
        <f t="shared" si="11"/>
      </c>
      <c r="O87" s="22">
        <f t="shared" si="12"/>
      </c>
      <c r="P87" s="22">
        <f>IF(往来单位!$C$77="客户",1,0)</f>
        <v>0</v>
      </c>
      <c r="Q87" s="22">
        <f t="shared" si="13"/>
        <v>28</v>
      </c>
    </row>
    <row r="88">
      <c r="A88" s="56">
        <f>IF($B88="","",75)</f>
      </c>
      <c r="B88" s="66">
        <f>IF(75&gt;$Q$613,"",INDEX(往来单位!$B$4:$B$603,MATCH(75,$Q$14:$Q$613,0)))</f>
      </c>
      <c r="C88" s="67">
        <f t="shared" si="0"/>
      </c>
      <c r="D88" s="60">
        <f t="shared" si="1"/>
      </c>
      <c r="E88" s="53">
        <f t="shared" si="2"/>
      </c>
      <c r="F88" s="53">
        <f t="shared" si="3"/>
      </c>
      <c r="G88" s="53">
        <f t="shared" si="4"/>
      </c>
      <c r="H88" s="59">
        <f t="shared" si="5"/>
      </c>
      <c r="I88" s="53">
        <f t="shared" si="6"/>
      </c>
      <c r="J88" s="53">
        <f t="shared" si="7"/>
      </c>
      <c r="K88" s="53">
        <f t="shared" si="8"/>
      </c>
      <c r="L88" s="68">
        <f t="shared" si="9"/>
      </c>
      <c r="M88" s="56">
        <f t="shared" si="10"/>
      </c>
      <c r="N88" s="69">
        <f t="shared" si="11"/>
      </c>
      <c r="O88" s="22">
        <f t="shared" si="12"/>
      </c>
      <c r="P88" s="22">
        <f>IF(往来单位!$C$78="客户",1,0)</f>
        <v>0</v>
      </c>
      <c r="Q88" s="22">
        <f t="shared" si="13"/>
        <v>28</v>
      </c>
    </row>
    <row r="89">
      <c r="A89" s="56">
        <f>IF($B89="","",76)</f>
      </c>
      <c r="B89" s="66">
        <f>IF(76&gt;$Q$613,"",INDEX(往来单位!$B$4:$B$603,MATCH(76,$Q$14:$Q$613,0)))</f>
      </c>
      <c r="C89" s="67">
        <f t="shared" si="0"/>
      </c>
      <c r="D89" s="60">
        <f t="shared" si="1"/>
      </c>
      <c r="E89" s="53">
        <f t="shared" si="2"/>
      </c>
      <c r="F89" s="53">
        <f t="shared" si="3"/>
      </c>
      <c r="G89" s="53">
        <f t="shared" si="4"/>
      </c>
      <c r="H89" s="59">
        <f t="shared" si="5"/>
      </c>
      <c r="I89" s="53">
        <f t="shared" si="6"/>
      </c>
      <c r="J89" s="53">
        <f t="shared" si="7"/>
      </c>
      <c r="K89" s="53">
        <f t="shared" si="8"/>
      </c>
      <c r="L89" s="68">
        <f t="shared" si="9"/>
      </c>
      <c r="M89" s="56">
        <f t="shared" si="10"/>
      </c>
      <c r="N89" s="69">
        <f t="shared" si="11"/>
      </c>
      <c r="O89" s="22">
        <f t="shared" si="12"/>
      </c>
      <c r="P89" s="22">
        <f>IF(往来单位!$C$79="客户",1,0)</f>
        <v>0</v>
      </c>
      <c r="Q89" s="22">
        <f t="shared" si="13"/>
        <v>28</v>
      </c>
    </row>
    <row r="90">
      <c r="A90" s="56">
        <f>IF($B90="","",77)</f>
      </c>
      <c r="B90" s="66">
        <f>IF(77&gt;$Q$613,"",INDEX(往来单位!$B$4:$B$603,MATCH(77,$Q$14:$Q$613,0)))</f>
      </c>
      <c r="C90" s="67">
        <f t="shared" si="0"/>
      </c>
      <c r="D90" s="60">
        <f t="shared" si="1"/>
      </c>
      <c r="E90" s="53">
        <f t="shared" si="2"/>
      </c>
      <c r="F90" s="53">
        <f t="shared" si="3"/>
      </c>
      <c r="G90" s="53">
        <f t="shared" si="4"/>
      </c>
      <c r="H90" s="59">
        <f t="shared" si="5"/>
      </c>
      <c r="I90" s="53">
        <f t="shared" si="6"/>
      </c>
      <c r="J90" s="53">
        <f t="shared" si="7"/>
      </c>
      <c r="K90" s="53">
        <f t="shared" si="8"/>
      </c>
      <c r="L90" s="68">
        <f t="shared" si="9"/>
      </c>
      <c r="M90" s="56">
        <f t="shared" si="10"/>
      </c>
      <c r="N90" s="69">
        <f t="shared" si="11"/>
      </c>
      <c r="O90" s="22">
        <f t="shared" si="12"/>
      </c>
      <c r="P90" s="22">
        <f>IF(往来单位!$C$80="客户",1,0)</f>
        <v>0</v>
      </c>
      <c r="Q90" s="22">
        <f t="shared" si="13"/>
        <v>28</v>
      </c>
    </row>
    <row r="91">
      <c r="A91" s="56">
        <f>IF($B91="","",78)</f>
      </c>
      <c r="B91" s="66">
        <f>IF(78&gt;$Q$613,"",INDEX(往来单位!$B$4:$B$603,MATCH(78,$Q$14:$Q$613,0)))</f>
      </c>
      <c r="C91" s="67">
        <f t="shared" si="0"/>
      </c>
      <c r="D91" s="60">
        <f t="shared" si="1"/>
      </c>
      <c r="E91" s="53">
        <f t="shared" si="2"/>
      </c>
      <c r="F91" s="53">
        <f t="shared" si="3"/>
      </c>
      <c r="G91" s="53">
        <f t="shared" si="4"/>
      </c>
      <c r="H91" s="59">
        <f t="shared" si="5"/>
      </c>
      <c r="I91" s="53">
        <f t="shared" si="6"/>
      </c>
      <c r="J91" s="53">
        <f t="shared" si="7"/>
      </c>
      <c r="K91" s="53">
        <f t="shared" si="8"/>
      </c>
      <c r="L91" s="68">
        <f t="shared" si="9"/>
      </c>
      <c r="M91" s="56">
        <f t="shared" si="10"/>
      </c>
      <c r="N91" s="69">
        <f t="shared" si="11"/>
      </c>
      <c r="O91" s="22">
        <f t="shared" si="12"/>
      </c>
      <c r="P91" s="22">
        <f>IF(往来单位!$C$81="客户",1,0)</f>
        <v>0</v>
      </c>
      <c r="Q91" s="22">
        <f t="shared" si="13"/>
        <v>28</v>
      </c>
    </row>
    <row r="92">
      <c r="A92" s="56">
        <f>IF($B92="","",79)</f>
      </c>
      <c r="B92" s="66">
        <f>IF(79&gt;$Q$613,"",INDEX(往来单位!$B$4:$B$603,MATCH(79,$Q$14:$Q$613,0)))</f>
      </c>
      <c r="C92" s="67">
        <f t="shared" si="0"/>
      </c>
      <c r="D92" s="60">
        <f t="shared" si="1"/>
      </c>
      <c r="E92" s="53">
        <f t="shared" si="2"/>
      </c>
      <c r="F92" s="53">
        <f t="shared" si="3"/>
      </c>
      <c r="G92" s="53">
        <f t="shared" si="4"/>
      </c>
      <c r="H92" s="59">
        <f t="shared" si="5"/>
      </c>
      <c r="I92" s="53">
        <f t="shared" si="6"/>
      </c>
      <c r="J92" s="53">
        <f t="shared" si="7"/>
      </c>
      <c r="K92" s="53">
        <f t="shared" si="8"/>
      </c>
      <c r="L92" s="68">
        <f t="shared" si="9"/>
      </c>
      <c r="M92" s="56">
        <f t="shared" si="10"/>
      </c>
      <c r="N92" s="69">
        <f t="shared" si="11"/>
      </c>
      <c r="O92" s="22">
        <f t="shared" si="12"/>
      </c>
      <c r="P92" s="22">
        <f>IF(往来单位!$C$82="客户",1,0)</f>
        <v>0</v>
      </c>
      <c r="Q92" s="22">
        <f t="shared" si="13"/>
        <v>28</v>
      </c>
    </row>
    <row r="93">
      <c r="A93" s="56">
        <f>IF($B93="","",80)</f>
      </c>
      <c r="B93" s="66">
        <f>IF(80&gt;$Q$613,"",INDEX(往来单位!$B$4:$B$603,MATCH(80,$Q$14:$Q$613,0)))</f>
      </c>
      <c r="C93" s="67">
        <f t="shared" si="0"/>
      </c>
      <c r="D93" s="60">
        <f t="shared" si="1"/>
      </c>
      <c r="E93" s="53">
        <f t="shared" si="2"/>
      </c>
      <c r="F93" s="53">
        <f t="shared" si="3"/>
      </c>
      <c r="G93" s="53">
        <f t="shared" si="4"/>
      </c>
      <c r="H93" s="59">
        <f t="shared" si="5"/>
      </c>
      <c r="I93" s="53">
        <f t="shared" si="6"/>
      </c>
      <c r="J93" s="53">
        <f t="shared" si="7"/>
      </c>
      <c r="K93" s="53">
        <f t="shared" si="8"/>
      </c>
      <c r="L93" s="68">
        <f t="shared" si="9"/>
      </c>
      <c r="M93" s="56">
        <f t="shared" si="10"/>
      </c>
      <c r="N93" s="69">
        <f t="shared" si="11"/>
      </c>
      <c r="O93" s="22">
        <f t="shared" si="12"/>
      </c>
      <c r="P93" s="22">
        <f>IF(往来单位!$C$83="客户",1,0)</f>
        <v>0</v>
      </c>
      <c r="Q93" s="22">
        <f t="shared" si="13"/>
        <v>28</v>
      </c>
    </row>
    <row r="94">
      <c r="A94" s="56">
        <f>IF($B94="","",81)</f>
      </c>
      <c r="B94" s="66">
        <f>IF(81&gt;$Q$613,"",INDEX(往来单位!$B$4:$B$603,MATCH(81,$Q$14:$Q$613,0)))</f>
      </c>
      <c r="C94" s="67">
        <f t="shared" si="0"/>
      </c>
      <c r="D94" s="60">
        <f t="shared" si="1"/>
      </c>
      <c r="E94" s="53">
        <f t="shared" si="2"/>
      </c>
      <c r="F94" s="53">
        <f t="shared" si="3"/>
      </c>
      <c r="G94" s="53">
        <f t="shared" si="4"/>
      </c>
      <c r="H94" s="59">
        <f t="shared" si="5"/>
      </c>
      <c r="I94" s="53">
        <f t="shared" si="6"/>
      </c>
      <c r="J94" s="53">
        <f t="shared" si="7"/>
      </c>
      <c r="K94" s="53">
        <f t="shared" si="8"/>
      </c>
      <c r="L94" s="68">
        <f t="shared" si="9"/>
      </c>
      <c r="M94" s="56">
        <f t="shared" si="10"/>
      </c>
      <c r="N94" s="69">
        <f t="shared" si="11"/>
      </c>
      <c r="O94" s="22">
        <f t="shared" si="12"/>
      </c>
      <c r="P94" s="22">
        <f>IF(往来单位!$C$84="客户",1,0)</f>
        <v>0</v>
      </c>
      <c r="Q94" s="22">
        <f t="shared" si="13"/>
        <v>28</v>
      </c>
    </row>
    <row r="95">
      <c r="A95" s="56">
        <f>IF($B95="","",82)</f>
      </c>
      <c r="B95" s="66">
        <f>IF(82&gt;$Q$613,"",INDEX(往来单位!$B$4:$B$603,MATCH(82,$Q$14:$Q$613,0)))</f>
      </c>
      <c r="C95" s="67">
        <f t="shared" si="0"/>
      </c>
      <c r="D95" s="60">
        <f t="shared" si="1"/>
      </c>
      <c r="E95" s="53">
        <f t="shared" si="2"/>
      </c>
      <c r="F95" s="53">
        <f t="shared" si="3"/>
      </c>
      <c r="G95" s="53">
        <f t="shared" si="4"/>
      </c>
      <c r="H95" s="59">
        <f t="shared" si="5"/>
      </c>
      <c r="I95" s="53">
        <f t="shared" si="6"/>
      </c>
      <c r="J95" s="53">
        <f t="shared" si="7"/>
      </c>
      <c r="K95" s="53">
        <f t="shared" si="8"/>
      </c>
      <c r="L95" s="68">
        <f t="shared" si="9"/>
      </c>
      <c r="M95" s="56">
        <f t="shared" si="10"/>
      </c>
      <c r="N95" s="69">
        <f t="shared" si="11"/>
      </c>
      <c r="O95" s="22">
        <f t="shared" si="12"/>
      </c>
      <c r="P95" s="22">
        <f>IF(往来单位!$C$85="客户",1,0)</f>
        <v>0</v>
      </c>
      <c r="Q95" s="22">
        <f t="shared" si="13"/>
        <v>28</v>
      </c>
    </row>
    <row r="96">
      <c r="A96" s="56">
        <f>IF($B96="","",83)</f>
      </c>
      <c r="B96" s="66">
        <f>IF(83&gt;$Q$613,"",INDEX(往来单位!$B$4:$B$603,MATCH(83,$Q$14:$Q$613,0)))</f>
      </c>
      <c r="C96" s="67">
        <f t="shared" si="0"/>
      </c>
      <c r="D96" s="60">
        <f t="shared" si="1"/>
      </c>
      <c r="E96" s="53">
        <f t="shared" si="2"/>
      </c>
      <c r="F96" s="53">
        <f t="shared" si="3"/>
      </c>
      <c r="G96" s="53">
        <f t="shared" si="4"/>
      </c>
      <c r="H96" s="59">
        <f t="shared" si="5"/>
      </c>
      <c r="I96" s="53">
        <f t="shared" si="6"/>
      </c>
      <c r="J96" s="53">
        <f t="shared" si="7"/>
      </c>
      <c r="K96" s="53">
        <f t="shared" si="8"/>
      </c>
      <c r="L96" s="68">
        <f t="shared" si="9"/>
      </c>
      <c r="M96" s="56">
        <f t="shared" si="10"/>
      </c>
      <c r="N96" s="69">
        <f t="shared" si="11"/>
      </c>
      <c r="O96" s="22">
        <f t="shared" si="12"/>
      </c>
      <c r="P96" s="22">
        <f>IF(往来单位!$C$86="客户",1,0)</f>
        <v>0</v>
      </c>
      <c r="Q96" s="22">
        <f t="shared" si="13"/>
        <v>28</v>
      </c>
    </row>
    <row r="97">
      <c r="A97" s="56">
        <f>IF($B97="","",84)</f>
      </c>
      <c r="B97" s="66">
        <f>IF(84&gt;$Q$613,"",INDEX(往来单位!$B$4:$B$603,MATCH(84,$Q$14:$Q$613,0)))</f>
      </c>
      <c r="C97" s="67">
        <f t="shared" si="0"/>
      </c>
      <c r="D97" s="60">
        <f t="shared" si="1"/>
      </c>
      <c r="E97" s="53">
        <f t="shared" si="2"/>
      </c>
      <c r="F97" s="53">
        <f t="shared" si="3"/>
      </c>
      <c r="G97" s="53">
        <f t="shared" si="4"/>
      </c>
      <c r="H97" s="59">
        <f t="shared" si="5"/>
      </c>
      <c r="I97" s="53">
        <f t="shared" si="6"/>
      </c>
      <c r="J97" s="53">
        <f t="shared" si="7"/>
      </c>
      <c r="K97" s="53">
        <f t="shared" si="8"/>
      </c>
      <c r="L97" s="68">
        <f t="shared" si="9"/>
      </c>
      <c r="M97" s="56">
        <f t="shared" si="10"/>
      </c>
      <c r="N97" s="69">
        <f t="shared" si="11"/>
      </c>
      <c r="O97" s="22">
        <f t="shared" si="12"/>
      </c>
      <c r="P97" s="22">
        <f>IF(往来单位!$C$87="客户",1,0)</f>
        <v>0</v>
      </c>
      <c r="Q97" s="22">
        <f t="shared" si="13"/>
        <v>28</v>
      </c>
    </row>
    <row r="98">
      <c r="A98" s="56">
        <f>IF($B98="","",85)</f>
      </c>
      <c r="B98" s="66">
        <f>IF(85&gt;$Q$613,"",INDEX(往来单位!$B$4:$B$603,MATCH(85,$Q$14:$Q$613,0)))</f>
      </c>
      <c r="C98" s="67">
        <f t="shared" si="0"/>
      </c>
      <c r="D98" s="60">
        <f t="shared" si="1"/>
      </c>
      <c r="E98" s="53">
        <f t="shared" si="2"/>
      </c>
      <c r="F98" s="53">
        <f t="shared" si="3"/>
      </c>
      <c r="G98" s="53">
        <f t="shared" si="4"/>
      </c>
      <c r="H98" s="59">
        <f t="shared" si="5"/>
      </c>
      <c r="I98" s="53">
        <f t="shared" si="6"/>
      </c>
      <c r="J98" s="53">
        <f t="shared" si="7"/>
      </c>
      <c r="K98" s="53">
        <f t="shared" si="8"/>
      </c>
      <c r="L98" s="68">
        <f t="shared" si="9"/>
      </c>
      <c r="M98" s="56">
        <f t="shared" si="10"/>
      </c>
      <c r="N98" s="69">
        <f t="shared" si="11"/>
      </c>
      <c r="O98" s="22">
        <f t="shared" si="12"/>
      </c>
      <c r="P98" s="22">
        <f>IF(往来单位!$C$88="客户",1,0)</f>
        <v>0</v>
      </c>
      <c r="Q98" s="22">
        <f t="shared" si="13"/>
        <v>28</v>
      </c>
    </row>
    <row r="99">
      <c r="A99" s="56">
        <f>IF($B99="","",86)</f>
      </c>
      <c r="B99" s="66">
        <f>IF(86&gt;$Q$613,"",INDEX(往来单位!$B$4:$B$603,MATCH(86,$Q$14:$Q$613,0)))</f>
      </c>
      <c r="C99" s="67">
        <f t="shared" si="0"/>
      </c>
      <c r="D99" s="60">
        <f t="shared" si="1"/>
      </c>
      <c r="E99" s="53">
        <f t="shared" si="2"/>
      </c>
      <c r="F99" s="53">
        <f t="shared" si="3"/>
      </c>
      <c r="G99" s="53">
        <f t="shared" si="4"/>
      </c>
      <c r="H99" s="59">
        <f t="shared" si="5"/>
      </c>
      <c r="I99" s="53">
        <f t="shared" si="6"/>
      </c>
      <c r="J99" s="53">
        <f t="shared" si="7"/>
      </c>
      <c r="K99" s="53">
        <f t="shared" si="8"/>
      </c>
      <c r="L99" s="68">
        <f t="shared" si="9"/>
      </c>
      <c r="M99" s="56">
        <f t="shared" si="10"/>
      </c>
      <c r="N99" s="69">
        <f t="shared" si="11"/>
      </c>
      <c r="O99" s="22">
        <f t="shared" si="12"/>
      </c>
      <c r="P99" s="22">
        <f>IF(往来单位!$C$89="客户",1,0)</f>
        <v>0</v>
      </c>
      <c r="Q99" s="22">
        <f t="shared" si="13"/>
        <v>28</v>
      </c>
    </row>
    <row r="100">
      <c r="A100" s="56">
        <f>IF($B100="","",87)</f>
      </c>
      <c r="B100" s="66">
        <f>IF(87&gt;$Q$613,"",INDEX(往来单位!$B$4:$B$603,MATCH(87,$Q$14:$Q$613,0)))</f>
      </c>
      <c r="C100" s="67">
        <f t="shared" si="0"/>
      </c>
      <c r="D100" s="60">
        <f t="shared" si="1"/>
      </c>
      <c r="E100" s="53">
        <f t="shared" si="2"/>
      </c>
      <c r="F100" s="53">
        <f t="shared" si="3"/>
      </c>
      <c r="G100" s="53">
        <f t="shared" si="4"/>
      </c>
      <c r="H100" s="59">
        <f t="shared" si="5"/>
      </c>
      <c r="I100" s="53">
        <f t="shared" si="6"/>
      </c>
      <c r="J100" s="53">
        <f t="shared" si="7"/>
      </c>
      <c r="K100" s="53">
        <f t="shared" si="8"/>
      </c>
      <c r="L100" s="68">
        <f t="shared" si="9"/>
      </c>
      <c r="M100" s="56">
        <f t="shared" si="10"/>
      </c>
      <c r="N100" s="69">
        <f t="shared" si="11"/>
      </c>
      <c r="O100" s="22">
        <f t="shared" si="12"/>
      </c>
      <c r="P100" s="22">
        <f>IF(往来单位!$C$90="客户",1,0)</f>
        <v>0</v>
      </c>
      <c r="Q100" s="22">
        <f t="shared" si="13"/>
        <v>28</v>
      </c>
    </row>
    <row r="101">
      <c r="A101" s="56">
        <f>IF($B101="","",88)</f>
      </c>
      <c r="B101" s="66">
        <f>IF(88&gt;$Q$613,"",INDEX(往来单位!$B$4:$B$603,MATCH(88,$Q$14:$Q$613,0)))</f>
      </c>
      <c r="C101" s="67">
        <f t="shared" si="0"/>
      </c>
      <c r="D101" s="60">
        <f t="shared" si="1"/>
      </c>
      <c r="E101" s="53">
        <f t="shared" si="2"/>
      </c>
      <c r="F101" s="53">
        <f t="shared" si="3"/>
      </c>
      <c r="G101" s="53">
        <f t="shared" si="4"/>
      </c>
      <c r="H101" s="59">
        <f t="shared" si="5"/>
      </c>
      <c r="I101" s="53">
        <f t="shared" si="6"/>
      </c>
      <c r="J101" s="53">
        <f t="shared" si="7"/>
      </c>
      <c r="K101" s="53">
        <f t="shared" si="8"/>
      </c>
      <c r="L101" s="68">
        <f t="shared" si="9"/>
      </c>
      <c r="M101" s="56">
        <f t="shared" si="10"/>
      </c>
      <c r="N101" s="69">
        <f t="shared" si="11"/>
      </c>
      <c r="O101" s="22">
        <f t="shared" si="12"/>
      </c>
      <c r="P101" s="22">
        <f>IF(往来单位!$C$91="客户",1,0)</f>
        <v>0</v>
      </c>
      <c r="Q101" s="22">
        <f t="shared" si="13"/>
        <v>28</v>
      </c>
    </row>
    <row r="102">
      <c r="A102" s="56">
        <f>IF($B102="","",89)</f>
      </c>
      <c r="B102" s="66">
        <f>IF(89&gt;$Q$613,"",INDEX(往来单位!$B$4:$B$603,MATCH(89,$Q$14:$Q$613,0)))</f>
      </c>
      <c r="C102" s="67">
        <f t="shared" si="0"/>
      </c>
      <c r="D102" s="60">
        <f t="shared" si="1"/>
      </c>
      <c r="E102" s="53">
        <f t="shared" si="2"/>
      </c>
      <c r="F102" s="53">
        <f t="shared" si="3"/>
      </c>
      <c r="G102" s="53">
        <f t="shared" si="4"/>
      </c>
      <c r="H102" s="59">
        <f t="shared" si="5"/>
      </c>
      <c r="I102" s="53">
        <f t="shared" si="6"/>
      </c>
      <c r="J102" s="53">
        <f t="shared" si="7"/>
      </c>
      <c r="K102" s="53">
        <f t="shared" si="8"/>
      </c>
      <c r="L102" s="68">
        <f t="shared" si="9"/>
      </c>
      <c r="M102" s="56">
        <f t="shared" si="10"/>
      </c>
      <c r="N102" s="69">
        <f t="shared" si="11"/>
      </c>
      <c r="O102" s="22">
        <f t="shared" si="12"/>
      </c>
      <c r="P102" s="22">
        <f>IF(往来单位!$C$92="客户",1,0)</f>
        <v>0</v>
      </c>
      <c r="Q102" s="22">
        <f t="shared" si="13"/>
        <v>28</v>
      </c>
    </row>
    <row r="103">
      <c r="A103" s="56">
        <f>IF($B103="","",90)</f>
      </c>
      <c r="B103" s="66">
        <f>IF(90&gt;$Q$613,"",INDEX(往来单位!$B$4:$B$603,MATCH(90,$Q$14:$Q$613,0)))</f>
      </c>
      <c r="C103" s="67">
        <f t="shared" si="0"/>
      </c>
      <c r="D103" s="60">
        <f t="shared" si="1"/>
      </c>
      <c r="E103" s="53">
        <f t="shared" si="2"/>
      </c>
      <c r="F103" s="53">
        <f t="shared" si="3"/>
      </c>
      <c r="G103" s="53">
        <f t="shared" si="4"/>
      </c>
      <c r="H103" s="59">
        <f t="shared" si="5"/>
      </c>
      <c r="I103" s="53">
        <f t="shared" si="6"/>
      </c>
      <c r="J103" s="53">
        <f t="shared" si="7"/>
      </c>
      <c r="K103" s="53">
        <f t="shared" si="8"/>
      </c>
      <c r="L103" s="68">
        <f t="shared" si="9"/>
      </c>
      <c r="M103" s="56">
        <f t="shared" si="10"/>
      </c>
      <c r="N103" s="69">
        <f t="shared" si="11"/>
      </c>
      <c r="O103" s="22">
        <f t="shared" si="12"/>
      </c>
      <c r="P103" s="22">
        <f>IF(往来单位!$C$93="客户",1,0)</f>
        <v>0</v>
      </c>
      <c r="Q103" s="22">
        <f t="shared" si="13"/>
        <v>28</v>
      </c>
    </row>
    <row r="104">
      <c r="A104" s="56">
        <f>IF($B104="","",91)</f>
      </c>
      <c r="B104" s="66">
        <f>IF(91&gt;$Q$613,"",INDEX(往来单位!$B$4:$B$603,MATCH(91,$Q$14:$Q$613,0)))</f>
      </c>
      <c r="C104" s="67">
        <f t="shared" si="0"/>
      </c>
      <c r="D104" s="60">
        <f t="shared" si="1"/>
      </c>
      <c r="E104" s="53">
        <f t="shared" si="2"/>
      </c>
      <c r="F104" s="53">
        <f t="shared" si="3"/>
      </c>
      <c r="G104" s="53">
        <f t="shared" si="4"/>
      </c>
      <c r="H104" s="59">
        <f t="shared" si="5"/>
      </c>
      <c r="I104" s="53">
        <f t="shared" si="6"/>
      </c>
      <c r="J104" s="53">
        <f t="shared" si="7"/>
      </c>
      <c r="K104" s="53">
        <f t="shared" si="8"/>
      </c>
      <c r="L104" s="68">
        <f t="shared" si="9"/>
      </c>
      <c r="M104" s="56">
        <f t="shared" si="10"/>
      </c>
      <c r="N104" s="69">
        <f t="shared" si="11"/>
      </c>
      <c r="O104" s="22">
        <f t="shared" si="12"/>
      </c>
      <c r="P104" s="22">
        <f>IF(往来单位!$C$94="客户",1,0)</f>
        <v>0</v>
      </c>
      <c r="Q104" s="22">
        <f t="shared" si="13"/>
        <v>28</v>
      </c>
    </row>
    <row r="105">
      <c r="A105" s="56">
        <f>IF($B105="","",92)</f>
      </c>
      <c r="B105" s="66">
        <f>IF(92&gt;$Q$613,"",INDEX(往来单位!$B$4:$B$603,MATCH(92,$Q$14:$Q$613,0)))</f>
      </c>
      <c r="C105" s="67">
        <f t="shared" si="0"/>
      </c>
      <c r="D105" s="60">
        <f t="shared" si="1"/>
      </c>
      <c r="E105" s="53">
        <f t="shared" si="2"/>
      </c>
      <c r="F105" s="53">
        <f t="shared" si="3"/>
      </c>
      <c r="G105" s="53">
        <f t="shared" si="4"/>
      </c>
      <c r="H105" s="59">
        <f t="shared" si="5"/>
      </c>
      <c r="I105" s="53">
        <f t="shared" si="6"/>
      </c>
      <c r="J105" s="53">
        <f t="shared" si="7"/>
      </c>
      <c r="K105" s="53">
        <f t="shared" si="8"/>
      </c>
      <c r="L105" s="68">
        <f t="shared" si="9"/>
      </c>
      <c r="M105" s="56">
        <f t="shared" si="10"/>
      </c>
      <c r="N105" s="69">
        <f t="shared" si="11"/>
      </c>
      <c r="O105" s="22">
        <f t="shared" si="12"/>
      </c>
      <c r="P105" s="22">
        <f>IF(往来单位!$C$95="客户",1,0)</f>
        <v>0</v>
      </c>
      <c r="Q105" s="22">
        <f t="shared" si="13"/>
        <v>28</v>
      </c>
    </row>
    <row r="106">
      <c r="A106" s="56">
        <f>IF($B106="","",93)</f>
      </c>
      <c r="B106" s="66">
        <f>IF(93&gt;$Q$613,"",INDEX(往来单位!$B$4:$B$603,MATCH(93,$Q$14:$Q$613,0)))</f>
      </c>
      <c r="C106" s="67">
        <f t="shared" si="0"/>
      </c>
      <c r="D106" s="60">
        <f t="shared" si="1"/>
      </c>
      <c r="E106" s="53">
        <f t="shared" si="2"/>
      </c>
      <c r="F106" s="53">
        <f t="shared" si="3"/>
      </c>
      <c r="G106" s="53">
        <f t="shared" si="4"/>
      </c>
      <c r="H106" s="59">
        <f t="shared" si="5"/>
      </c>
      <c r="I106" s="53">
        <f t="shared" si="6"/>
      </c>
      <c r="J106" s="53">
        <f t="shared" si="7"/>
      </c>
      <c r="K106" s="53">
        <f t="shared" si="8"/>
      </c>
      <c r="L106" s="68">
        <f t="shared" si="9"/>
      </c>
      <c r="M106" s="56">
        <f t="shared" si="10"/>
      </c>
      <c r="N106" s="69">
        <f t="shared" si="11"/>
      </c>
      <c r="O106" s="22">
        <f t="shared" si="12"/>
      </c>
      <c r="P106" s="22">
        <f>IF(往来单位!$C$96="客户",1,0)</f>
        <v>0</v>
      </c>
      <c r="Q106" s="22">
        <f t="shared" si="13"/>
        <v>28</v>
      </c>
    </row>
    <row r="107">
      <c r="A107" s="56">
        <f>IF($B107="","",94)</f>
      </c>
      <c r="B107" s="66">
        <f>IF(94&gt;$Q$613,"",INDEX(往来单位!$B$4:$B$603,MATCH(94,$Q$14:$Q$613,0)))</f>
      </c>
      <c r="C107" s="67">
        <f t="shared" si="0"/>
      </c>
      <c r="D107" s="60">
        <f t="shared" si="1"/>
      </c>
      <c r="E107" s="53">
        <f t="shared" si="2"/>
      </c>
      <c r="F107" s="53">
        <f t="shared" si="3"/>
      </c>
      <c r="G107" s="53">
        <f t="shared" si="4"/>
      </c>
      <c r="H107" s="59">
        <f t="shared" si="5"/>
      </c>
      <c r="I107" s="53">
        <f t="shared" si="6"/>
      </c>
      <c r="J107" s="53">
        <f t="shared" si="7"/>
      </c>
      <c r="K107" s="53">
        <f t="shared" si="8"/>
      </c>
      <c r="L107" s="68">
        <f t="shared" si="9"/>
      </c>
      <c r="M107" s="56">
        <f t="shared" si="10"/>
      </c>
      <c r="N107" s="69">
        <f t="shared" si="11"/>
      </c>
      <c r="O107" s="22">
        <f t="shared" si="12"/>
      </c>
      <c r="P107" s="22">
        <f>IF(往来单位!$C$97="客户",1,0)</f>
        <v>0</v>
      </c>
      <c r="Q107" s="22">
        <f t="shared" si="13"/>
        <v>28</v>
      </c>
    </row>
    <row r="108">
      <c r="A108" s="56">
        <f>IF($B108="","",95)</f>
      </c>
      <c r="B108" s="66">
        <f>IF(95&gt;$Q$613,"",INDEX(往来单位!$B$4:$B$603,MATCH(95,$Q$14:$Q$613,0)))</f>
      </c>
      <c r="C108" s="67">
        <f t="shared" si="0"/>
      </c>
      <c r="D108" s="60">
        <f t="shared" si="1"/>
      </c>
      <c r="E108" s="53">
        <f t="shared" si="2"/>
      </c>
      <c r="F108" s="53">
        <f t="shared" si="3"/>
      </c>
      <c r="G108" s="53">
        <f t="shared" si="4"/>
      </c>
      <c r="H108" s="59">
        <f t="shared" si="5"/>
      </c>
      <c r="I108" s="53">
        <f t="shared" si="6"/>
      </c>
      <c r="J108" s="53">
        <f t="shared" si="7"/>
      </c>
      <c r="K108" s="53">
        <f t="shared" si="8"/>
      </c>
      <c r="L108" s="68">
        <f t="shared" si="9"/>
      </c>
      <c r="M108" s="56">
        <f t="shared" si="10"/>
      </c>
      <c r="N108" s="69">
        <f t="shared" si="11"/>
      </c>
      <c r="O108" s="22">
        <f t="shared" si="12"/>
      </c>
      <c r="P108" s="22">
        <f>IF(往来单位!$C$98="客户",1,0)</f>
        <v>0</v>
      </c>
      <c r="Q108" s="22">
        <f t="shared" si="13"/>
        <v>28</v>
      </c>
    </row>
    <row r="109">
      <c r="A109" s="56">
        <f>IF($B109="","",96)</f>
      </c>
      <c r="B109" s="66">
        <f>IF(96&gt;$Q$613,"",INDEX(往来单位!$B$4:$B$603,MATCH(96,$Q$14:$Q$613,0)))</f>
      </c>
      <c r="C109" s="67">
        <f t="shared" si="0"/>
      </c>
      <c r="D109" s="60">
        <f t="shared" si="1"/>
      </c>
      <c r="E109" s="53">
        <f t="shared" si="2"/>
      </c>
      <c r="F109" s="53">
        <f t="shared" si="3"/>
      </c>
      <c r="G109" s="53">
        <f t="shared" si="4"/>
      </c>
      <c r="H109" s="59">
        <f t="shared" si="5"/>
      </c>
      <c r="I109" s="53">
        <f t="shared" si="6"/>
      </c>
      <c r="J109" s="53">
        <f t="shared" si="7"/>
      </c>
      <c r="K109" s="53">
        <f t="shared" si="8"/>
      </c>
      <c r="L109" s="68">
        <f t="shared" si="9"/>
      </c>
      <c r="M109" s="56">
        <f t="shared" si="10"/>
      </c>
      <c r="N109" s="69">
        <f t="shared" si="11"/>
      </c>
      <c r="O109" s="22">
        <f t="shared" si="12"/>
      </c>
      <c r="P109" s="22">
        <f>IF(往来单位!$C$99="客户",1,0)</f>
        <v>0</v>
      </c>
      <c r="Q109" s="22">
        <f t="shared" si="13"/>
        <v>28</v>
      </c>
    </row>
    <row r="110">
      <c r="A110" s="56">
        <f>IF($B110="","",97)</f>
      </c>
      <c r="B110" s="66">
        <f>IF(97&gt;$Q$613,"",INDEX(往来单位!$B$4:$B$603,MATCH(97,$Q$14:$Q$613,0)))</f>
      </c>
      <c r="C110" s="67">
        <f t="shared" si="0"/>
      </c>
      <c r="D110" s="60">
        <f t="shared" si="1"/>
      </c>
      <c r="E110" s="53">
        <f t="shared" si="2"/>
      </c>
      <c r="F110" s="53">
        <f t="shared" si="3"/>
      </c>
      <c r="G110" s="53">
        <f t="shared" si="4"/>
      </c>
      <c r="H110" s="59">
        <f t="shared" si="5"/>
      </c>
      <c r="I110" s="53">
        <f t="shared" si="6"/>
      </c>
      <c r="J110" s="53">
        <f t="shared" si="7"/>
      </c>
      <c r="K110" s="53">
        <f t="shared" si="8"/>
      </c>
      <c r="L110" s="68">
        <f t="shared" si="9"/>
      </c>
      <c r="M110" s="56">
        <f t="shared" si="10"/>
      </c>
      <c r="N110" s="69">
        <f t="shared" si="11"/>
      </c>
      <c r="O110" s="22">
        <f t="shared" si="12"/>
      </c>
      <c r="P110" s="22">
        <f>IF(往来单位!$C$100="客户",1,0)</f>
        <v>0</v>
      </c>
      <c r="Q110" s="22">
        <f t="shared" si="13"/>
        <v>28</v>
      </c>
    </row>
    <row r="111">
      <c r="A111" s="56">
        <f>IF($B111="","",98)</f>
      </c>
      <c r="B111" s="66">
        <f>IF(98&gt;$Q$613,"",INDEX(往来单位!$B$4:$B$603,MATCH(98,$Q$14:$Q$613,0)))</f>
      </c>
      <c r="C111" s="67">
        <f t="shared" si="0"/>
      </c>
      <c r="D111" s="60">
        <f t="shared" si="1"/>
      </c>
      <c r="E111" s="53">
        <f t="shared" si="2"/>
      </c>
      <c r="F111" s="53">
        <f t="shared" si="3"/>
      </c>
      <c r="G111" s="53">
        <f t="shared" si="4"/>
      </c>
      <c r="H111" s="59">
        <f t="shared" si="5"/>
      </c>
      <c r="I111" s="53">
        <f t="shared" si="6"/>
      </c>
      <c r="J111" s="53">
        <f t="shared" si="7"/>
      </c>
      <c r="K111" s="53">
        <f t="shared" si="8"/>
      </c>
      <c r="L111" s="68">
        <f t="shared" si="9"/>
      </c>
      <c r="M111" s="56">
        <f t="shared" si="10"/>
      </c>
      <c r="N111" s="69">
        <f t="shared" si="11"/>
      </c>
      <c r="O111" s="22">
        <f t="shared" si="12"/>
      </c>
      <c r="P111" s="22">
        <f>IF(往来单位!$C$101="客户",1,0)</f>
        <v>0</v>
      </c>
      <c r="Q111" s="22">
        <f t="shared" si="13"/>
        <v>28</v>
      </c>
    </row>
    <row r="112">
      <c r="A112" s="56">
        <f>IF($B112="","",99)</f>
      </c>
      <c r="B112" s="66">
        <f>IF(99&gt;$Q$613,"",INDEX(往来单位!$B$4:$B$603,MATCH(99,$Q$14:$Q$613,0)))</f>
      </c>
      <c r="C112" s="67">
        <f t="shared" si="0"/>
      </c>
      <c r="D112" s="60">
        <f t="shared" si="1"/>
      </c>
      <c r="E112" s="53">
        <f t="shared" si="2"/>
      </c>
      <c r="F112" s="53">
        <f t="shared" si="3"/>
      </c>
      <c r="G112" s="53">
        <f t="shared" si="4"/>
      </c>
      <c r="H112" s="59">
        <f t="shared" si="5"/>
      </c>
      <c r="I112" s="53">
        <f t="shared" si="6"/>
      </c>
      <c r="J112" s="53">
        <f t="shared" si="7"/>
      </c>
      <c r="K112" s="53">
        <f t="shared" si="8"/>
      </c>
      <c r="L112" s="68">
        <f t="shared" si="9"/>
      </c>
      <c r="M112" s="56">
        <f t="shared" si="10"/>
      </c>
      <c r="N112" s="69">
        <f t="shared" si="11"/>
      </c>
      <c r="O112" s="22">
        <f t="shared" si="12"/>
      </c>
      <c r="P112" s="22">
        <f>IF(往来单位!$C$102="客户",1,0)</f>
        <v>0</v>
      </c>
      <c r="Q112" s="22">
        <f t="shared" si="13"/>
        <v>28</v>
      </c>
    </row>
    <row r="113">
      <c r="A113" s="56">
        <f>IF($B113="","",100)</f>
      </c>
      <c r="B113" s="66">
        <f>IF(100&gt;$Q$613,"",INDEX(往来单位!$B$4:$B$603,MATCH(100,$Q$14:$Q$613,0)))</f>
      </c>
      <c r="C113" s="67">
        <f t="shared" si="0"/>
      </c>
      <c r="D113" s="60">
        <f t="shared" si="1"/>
      </c>
      <c r="E113" s="53">
        <f t="shared" si="2"/>
      </c>
      <c r="F113" s="53">
        <f t="shared" si="3"/>
      </c>
      <c r="G113" s="53">
        <f t="shared" si="4"/>
      </c>
      <c r="H113" s="59">
        <f t="shared" si="5"/>
      </c>
      <c r="I113" s="53">
        <f t="shared" si="6"/>
      </c>
      <c r="J113" s="53">
        <f t="shared" si="7"/>
      </c>
      <c r="K113" s="53">
        <f t="shared" si="8"/>
      </c>
      <c r="L113" s="68">
        <f t="shared" si="9"/>
      </c>
      <c r="M113" s="56">
        <f t="shared" si="10"/>
      </c>
      <c r="N113" s="69">
        <f t="shared" si="11"/>
      </c>
      <c r="O113" s="22">
        <f t="shared" si="12"/>
      </c>
      <c r="P113" s="22">
        <f>IF(往来单位!$C$103="客户",1,0)</f>
        <v>0</v>
      </c>
      <c r="Q113" s="22">
        <f t="shared" si="13"/>
        <v>28</v>
      </c>
    </row>
    <row r="114">
      <c r="A114" s="56">
        <f>IF($B114="","",101)</f>
      </c>
      <c r="B114" s="66">
        <f>IF(101&gt;$Q$613,"",INDEX(往来单位!$B$4:$B$603,MATCH(101,$Q$14:$Q$613,0)))</f>
      </c>
      <c r="C114" s="67">
        <f t="shared" si="0"/>
      </c>
      <c r="D114" s="60">
        <f t="shared" si="1"/>
      </c>
      <c r="E114" s="53">
        <f t="shared" si="2"/>
      </c>
      <c r="F114" s="53">
        <f t="shared" si="3"/>
      </c>
      <c r="G114" s="53">
        <f t="shared" si="4"/>
      </c>
      <c r="H114" s="59">
        <f t="shared" si="5"/>
      </c>
      <c r="I114" s="53">
        <f t="shared" si="6"/>
      </c>
      <c r="J114" s="53">
        <f t="shared" si="7"/>
      </c>
      <c r="K114" s="53">
        <f t="shared" si="8"/>
      </c>
      <c r="L114" s="68">
        <f t="shared" si="9"/>
      </c>
      <c r="M114" s="56">
        <f t="shared" si="10"/>
      </c>
      <c r="N114" s="69">
        <f t="shared" si="11"/>
      </c>
      <c r="O114" s="22">
        <f t="shared" si="12"/>
      </c>
      <c r="P114" s="22">
        <f>IF(往来单位!$C$104="客户",1,0)</f>
        <v>0</v>
      </c>
      <c r="Q114" s="22">
        <f t="shared" si="13"/>
        <v>28</v>
      </c>
    </row>
    <row r="115">
      <c r="A115" s="56">
        <f>IF($B115="","",102)</f>
      </c>
      <c r="B115" s="66">
        <f>IF(102&gt;$Q$613,"",INDEX(往来单位!$B$4:$B$603,MATCH(102,$Q$14:$Q$613,0)))</f>
      </c>
      <c r="C115" s="67">
        <f t="shared" si="0"/>
      </c>
      <c r="D115" s="60">
        <f t="shared" si="1"/>
      </c>
      <c r="E115" s="53">
        <f t="shared" si="2"/>
      </c>
      <c r="F115" s="53">
        <f t="shared" si="3"/>
      </c>
      <c r="G115" s="53">
        <f t="shared" si="4"/>
      </c>
      <c r="H115" s="59">
        <f t="shared" si="5"/>
      </c>
      <c r="I115" s="53">
        <f t="shared" si="6"/>
      </c>
      <c r="J115" s="53">
        <f t="shared" si="7"/>
      </c>
      <c r="K115" s="53">
        <f t="shared" si="8"/>
      </c>
      <c r="L115" s="68">
        <f t="shared" si="9"/>
      </c>
      <c r="M115" s="56">
        <f t="shared" si="10"/>
      </c>
      <c r="N115" s="69">
        <f t="shared" si="11"/>
      </c>
      <c r="O115" s="22">
        <f t="shared" si="12"/>
      </c>
      <c r="P115" s="22">
        <f>IF(往来单位!$C$105="客户",1,0)</f>
        <v>0</v>
      </c>
      <c r="Q115" s="22">
        <f t="shared" si="13"/>
        <v>28</v>
      </c>
    </row>
    <row r="116">
      <c r="A116" s="56">
        <f>IF($B116="","",103)</f>
      </c>
      <c r="B116" s="66">
        <f>IF(103&gt;$Q$613,"",INDEX(往来单位!$B$4:$B$603,MATCH(103,$Q$14:$Q$613,0)))</f>
      </c>
      <c r="C116" s="67">
        <f t="shared" si="0"/>
      </c>
      <c r="D116" s="60">
        <f t="shared" si="1"/>
      </c>
      <c r="E116" s="53">
        <f t="shared" si="2"/>
      </c>
      <c r="F116" s="53">
        <f t="shared" si="3"/>
      </c>
      <c r="G116" s="53">
        <f t="shared" si="4"/>
      </c>
      <c r="H116" s="59">
        <f t="shared" si="5"/>
      </c>
      <c r="I116" s="53">
        <f t="shared" si="6"/>
      </c>
      <c r="J116" s="53">
        <f t="shared" si="7"/>
      </c>
      <c r="K116" s="53">
        <f t="shared" si="8"/>
      </c>
      <c r="L116" s="68">
        <f t="shared" si="9"/>
      </c>
      <c r="M116" s="56">
        <f t="shared" si="10"/>
      </c>
      <c r="N116" s="69">
        <f t="shared" si="11"/>
      </c>
      <c r="O116" s="22">
        <f t="shared" si="12"/>
      </c>
      <c r="P116" s="22">
        <f>IF(往来单位!$C$106="客户",1,0)</f>
        <v>0</v>
      </c>
      <c r="Q116" s="22">
        <f t="shared" si="13"/>
        <v>28</v>
      </c>
    </row>
    <row r="117">
      <c r="A117" s="56">
        <f>IF($B117="","",104)</f>
      </c>
      <c r="B117" s="66">
        <f>IF(104&gt;$Q$613,"",INDEX(往来单位!$B$4:$B$603,MATCH(104,$Q$14:$Q$613,0)))</f>
      </c>
      <c r="C117" s="67">
        <f t="shared" si="0"/>
      </c>
      <c r="D117" s="60">
        <f t="shared" si="1"/>
      </c>
      <c r="E117" s="53">
        <f t="shared" si="2"/>
      </c>
      <c r="F117" s="53">
        <f t="shared" si="3"/>
      </c>
      <c r="G117" s="53">
        <f t="shared" si="4"/>
      </c>
      <c r="H117" s="59">
        <f t="shared" si="5"/>
      </c>
      <c r="I117" s="53">
        <f t="shared" si="6"/>
      </c>
      <c r="J117" s="53">
        <f t="shared" si="7"/>
      </c>
      <c r="K117" s="53">
        <f t="shared" si="8"/>
      </c>
      <c r="L117" s="68">
        <f t="shared" si="9"/>
      </c>
      <c r="M117" s="56">
        <f t="shared" si="10"/>
      </c>
      <c r="N117" s="69">
        <f t="shared" si="11"/>
      </c>
      <c r="O117" s="22">
        <f t="shared" si="12"/>
      </c>
      <c r="P117" s="22">
        <f>IF(往来单位!$C$107="客户",1,0)</f>
        <v>0</v>
      </c>
      <c r="Q117" s="22">
        <f t="shared" si="13"/>
        <v>28</v>
      </c>
    </row>
    <row r="118">
      <c r="A118" s="56">
        <f>IF($B118="","",105)</f>
      </c>
      <c r="B118" s="66">
        <f>IF(105&gt;$Q$613,"",INDEX(往来单位!$B$4:$B$603,MATCH(105,$Q$14:$Q$613,0)))</f>
      </c>
      <c r="C118" s="67">
        <f t="shared" si="0"/>
      </c>
      <c r="D118" s="60">
        <f t="shared" si="1"/>
      </c>
      <c r="E118" s="53">
        <f t="shared" si="2"/>
      </c>
      <c r="F118" s="53">
        <f t="shared" si="3"/>
      </c>
      <c r="G118" s="53">
        <f t="shared" si="4"/>
      </c>
      <c r="H118" s="59">
        <f t="shared" si="5"/>
      </c>
      <c r="I118" s="53">
        <f t="shared" si="6"/>
      </c>
      <c r="J118" s="53">
        <f t="shared" si="7"/>
      </c>
      <c r="K118" s="53">
        <f t="shared" si="8"/>
      </c>
      <c r="L118" s="68">
        <f t="shared" si="9"/>
      </c>
      <c r="M118" s="56">
        <f t="shared" si="10"/>
      </c>
      <c r="N118" s="69">
        <f t="shared" si="11"/>
      </c>
      <c r="O118" s="22">
        <f t="shared" si="12"/>
      </c>
      <c r="P118" s="22">
        <f>IF(往来单位!$C$108="客户",1,0)</f>
        <v>0</v>
      </c>
      <c r="Q118" s="22">
        <f t="shared" si="13"/>
        <v>28</v>
      </c>
    </row>
    <row r="119">
      <c r="A119" s="56">
        <f>IF($B119="","",106)</f>
      </c>
      <c r="B119" s="66">
        <f>IF(106&gt;$Q$613,"",INDEX(往来单位!$B$4:$B$603,MATCH(106,$Q$14:$Q$613,0)))</f>
      </c>
      <c r="C119" s="67">
        <f t="shared" si="0"/>
      </c>
      <c r="D119" s="60">
        <f t="shared" si="1"/>
      </c>
      <c r="E119" s="53">
        <f t="shared" si="2"/>
      </c>
      <c r="F119" s="53">
        <f t="shared" si="3"/>
      </c>
      <c r="G119" s="53">
        <f t="shared" si="4"/>
      </c>
      <c r="H119" s="59">
        <f t="shared" si="5"/>
      </c>
      <c r="I119" s="53">
        <f t="shared" si="6"/>
      </c>
      <c r="J119" s="53">
        <f t="shared" si="7"/>
      </c>
      <c r="K119" s="53">
        <f t="shared" si="8"/>
      </c>
      <c r="L119" s="68">
        <f t="shared" si="9"/>
      </c>
      <c r="M119" s="56">
        <f t="shared" si="10"/>
      </c>
      <c r="N119" s="69">
        <f t="shared" si="11"/>
      </c>
      <c r="O119" s="22">
        <f t="shared" si="12"/>
      </c>
      <c r="P119" s="22">
        <f>IF(往来单位!$C$109="客户",1,0)</f>
        <v>0</v>
      </c>
      <c r="Q119" s="22">
        <f t="shared" si="13"/>
        <v>28</v>
      </c>
    </row>
    <row r="120">
      <c r="A120" s="56">
        <f>IF($B120="","",107)</f>
      </c>
      <c r="B120" s="66">
        <f>IF(107&gt;$Q$613,"",INDEX(往来单位!$B$4:$B$603,MATCH(107,$Q$14:$Q$613,0)))</f>
      </c>
      <c r="C120" s="67">
        <f t="shared" si="0"/>
      </c>
      <c r="D120" s="60">
        <f t="shared" si="1"/>
      </c>
      <c r="E120" s="53">
        <f t="shared" si="2"/>
      </c>
      <c r="F120" s="53">
        <f t="shared" si="3"/>
      </c>
      <c r="G120" s="53">
        <f t="shared" si="4"/>
      </c>
      <c r="H120" s="59">
        <f t="shared" si="5"/>
      </c>
      <c r="I120" s="53">
        <f t="shared" si="6"/>
      </c>
      <c r="J120" s="53">
        <f t="shared" si="7"/>
      </c>
      <c r="K120" s="53">
        <f t="shared" si="8"/>
      </c>
      <c r="L120" s="68">
        <f t="shared" si="9"/>
      </c>
      <c r="M120" s="56">
        <f t="shared" si="10"/>
      </c>
      <c r="N120" s="69">
        <f t="shared" si="11"/>
      </c>
      <c r="O120" s="22">
        <f t="shared" si="12"/>
      </c>
      <c r="P120" s="22">
        <f>IF(往来单位!$C$110="客户",1,0)</f>
        <v>0</v>
      </c>
      <c r="Q120" s="22">
        <f t="shared" si="13"/>
        <v>28</v>
      </c>
    </row>
    <row r="121">
      <c r="A121" s="56">
        <f>IF($B121="","",108)</f>
      </c>
      <c r="B121" s="66">
        <f>IF(108&gt;$Q$613,"",INDEX(往来单位!$B$4:$B$603,MATCH(108,$Q$14:$Q$613,0)))</f>
      </c>
      <c r="C121" s="67">
        <f t="shared" si="0"/>
      </c>
      <c r="D121" s="60">
        <f t="shared" si="1"/>
      </c>
      <c r="E121" s="53">
        <f t="shared" si="2"/>
      </c>
      <c r="F121" s="53">
        <f t="shared" si="3"/>
      </c>
      <c r="G121" s="53">
        <f t="shared" si="4"/>
      </c>
      <c r="H121" s="59">
        <f t="shared" si="5"/>
      </c>
      <c r="I121" s="53">
        <f t="shared" si="6"/>
      </c>
      <c r="J121" s="53">
        <f t="shared" si="7"/>
      </c>
      <c r="K121" s="53">
        <f t="shared" si="8"/>
      </c>
      <c r="L121" s="68">
        <f t="shared" si="9"/>
      </c>
      <c r="M121" s="56">
        <f t="shared" si="10"/>
      </c>
      <c r="N121" s="69">
        <f t="shared" si="11"/>
      </c>
      <c r="O121" s="22">
        <f t="shared" si="12"/>
      </c>
      <c r="P121" s="22">
        <f>IF(往来单位!$C$111="客户",1,0)</f>
        <v>0</v>
      </c>
      <c r="Q121" s="22">
        <f t="shared" si="13"/>
        <v>28</v>
      </c>
    </row>
    <row r="122">
      <c r="A122" s="56">
        <f>IF($B122="","",109)</f>
      </c>
      <c r="B122" s="66">
        <f>IF(109&gt;$Q$613,"",INDEX(往来单位!$B$4:$B$603,MATCH(109,$Q$14:$Q$613,0)))</f>
      </c>
      <c r="C122" s="67">
        <f t="shared" si="0"/>
      </c>
      <c r="D122" s="60">
        <f t="shared" si="1"/>
      </c>
      <c r="E122" s="53">
        <f t="shared" si="2"/>
      </c>
      <c r="F122" s="53">
        <f t="shared" si="3"/>
      </c>
      <c r="G122" s="53">
        <f t="shared" si="4"/>
      </c>
      <c r="H122" s="59">
        <f t="shared" si="5"/>
      </c>
      <c r="I122" s="53">
        <f t="shared" si="6"/>
      </c>
      <c r="J122" s="53">
        <f t="shared" si="7"/>
      </c>
      <c r="K122" s="53">
        <f t="shared" si="8"/>
      </c>
      <c r="L122" s="68">
        <f t="shared" si="9"/>
      </c>
      <c r="M122" s="56">
        <f t="shared" si="10"/>
      </c>
      <c r="N122" s="69">
        <f t="shared" si="11"/>
      </c>
      <c r="O122" s="22">
        <f t="shared" si="12"/>
      </c>
      <c r="P122" s="22">
        <f>IF(往来单位!$C$112="客户",1,0)</f>
        <v>0</v>
      </c>
      <c r="Q122" s="22">
        <f t="shared" si="13"/>
        <v>28</v>
      </c>
    </row>
    <row r="123">
      <c r="A123" s="56">
        <f>IF($B123="","",110)</f>
      </c>
      <c r="B123" s="66">
        <f>IF(110&gt;$Q$613,"",INDEX(往来单位!$B$4:$B$603,MATCH(110,$Q$14:$Q$613,0)))</f>
      </c>
      <c r="C123" s="67">
        <f t="shared" si="0"/>
      </c>
      <c r="D123" s="60">
        <f t="shared" si="1"/>
      </c>
      <c r="E123" s="53">
        <f t="shared" si="2"/>
      </c>
      <c r="F123" s="53">
        <f t="shared" si="3"/>
      </c>
      <c r="G123" s="53">
        <f t="shared" si="4"/>
      </c>
      <c r="H123" s="59">
        <f t="shared" si="5"/>
      </c>
      <c r="I123" s="53">
        <f t="shared" si="6"/>
      </c>
      <c r="J123" s="53">
        <f t="shared" si="7"/>
      </c>
      <c r="K123" s="53">
        <f t="shared" si="8"/>
      </c>
      <c r="L123" s="68">
        <f t="shared" si="9"/>
      </c>
      <c r="M123" s="56">
        <f t="shared" si="10"/>
      </c>
      <c r="N123" s="69">
        <f t="shared" si="11"/>
      </c>
      <c r="O123" s="22">
        <f t="shared" si="12"/>
      </c>
      <c r="P123" s="22">
        <f>IF(往来单位!$C$113="客户",1,0)</f>
        <v>0</v>
      </c>
      <c r="Q123" s="22">
        <f t="shared" si="13"/>
        <v>28</v>
      </c>
    </row>
    <row r="124">
      <c r="A124" s="56">
        <f>IF($B124="","",111)</f>
      </c>
      <c r="B124" s="66">
        <f>IF(111&gt;$Q$613,"",INDEX(往来单位!$B$4:$B$603,MATCH(111,$Q$14:$Q$613,0)))</f>
      </c>
      <c r="C124" s="67">
        <f t="shared" si="0"/>
      </c>
      <c r="D124" s="60">
        <f t="shared" si="1"/>
      </c>
      <c r="E124" s="53">
        <f t="shared" si="2"/>
      </c>
      <c r="F124" s="53">
        <f t="shared" si="3"/>
      </c>
      <c r="G124" s="53">
        <f t="shared" si="4"/>
      </c>
      <c r="H124" s="59">
        <f t="shared" si="5"/>
      </c>
      <c r="I124" s="53">
        <f t="shared" si="6"/>
      </c>
      <c r="J124" s="53">
        <f t="shared" si="7"/>
      </c>
      <c r="K124" s="53">
        <f t="shared" si="8"/>
      </c>
      <c r="L124" s="68">
        <f t="shared" si="9"/>
      </c>
      <c r="M124" s="56">
        <f t="shared" si="10"/>
      </c>
      <c r="N124" s="69">
        <f t="shared" si="11"/>
      </c>
      <c r="O124" s="22">
        <f t="shared" si="12"/>
      </c>
      <c r="P124" s="22">
        <f>IF(往来单位!$C$114="客户",1,0)</f>
        <v>0</v>
      </c>
      <c r="Q124" s="22">
        <f t="shared" si="13"/>
        <v>28</v>
      </c>
    </row>
    <row r="125">
      <c r="A125" s="56">
        <f>IF($B125="","",112)</f>
      </c>
      <c r="B125" s="66">
        <f>IF(112&gt;$Q$613,"",INDEX(往来单位!$B$4:$B$603,MATCH(112,$Q$14:$Q$613,0)))</f>
      </c>
      <c r="C125" s="67">
        <f t="shared" si="0"/>
      </c>
      <c r="D125" s="60">
        <f t="shared" si="1"/>
      </c>
      <c r="E125" s="53">
        <f t="shared" si="2"/>
      </c>
      <c r="F125" s="53">
        <f t="shared" si="3"/>
      </c>
      <c r="G125" s="53">
        <f t="shared" si="4"/>
      </c>
      <c r="H125" s="59">
        <f t="shared" si="5"/>
      </c>
      <c r="I125" s="53">
        <f t="shared" si="6"/>
      </c>
      <c r="J125" s="53">
        <f t="shared" si="7"/>
      </c>
      <c r="K125" s="53">
        <f t="shared" si="8"/>
      </c>
      <c r="L125" s="68">
        <f t="shared" si="9"/>
      </c>
      <c r="M125" s="56">
        <f t="shared" si="10"/>
      </c>
      <c r="N125" s="69">
        <f t="shared" si="11"/>
      </c>
      <c r="O125" s="22">
        <f t="shared" si="12"/>
      </c>
      <c r="P125" s="22">
        <f>IF(往来单位!$C$115="客户",1,0)</f>
        <v>0</v>
      </c>
      <c r="Q125" s="22">
        <f t="shared" si="13"/>
        <v>28</v>
      </c>
    </row>
    <row r="126">
      <c r="A126" s="56">
        <f>IF($B126="","",113)</f>
      </c>
      <c r="B126" s="66">
        <f>IF(113&gt;$Q$613,"",INDEX(往来单位!$B$4:$B$603,MATCH(113,$Q$14:$Q$613,0)))</f>
      </c>
      <c r="C126" s="67">
        <f t="shared" si="0"/>
      </c>
      <c r="D126" s="60">
        <f t="shared" si="1"/>
      </c>
      <c r="E126" s="53">
        <f t="shared" si="2"/>
      </c>
      <c r="F126" s="53">
        <f t="shared" si="3"/>
      </c>
      <c r="G126" s="53">
        <f t="shared" si="4"/>
      </c>
      <c r="H126" s="59">
        <f t="shared" si="5"/>
      </c>
      <c r="I126" s="53">
        <f t="shared" si="6"/>
      </c>
      <c r="J126" s="53">
        <f t="shared" si="7"/>
      </c>
      <c r="K126" s="53">
        <f t="shared" si="8"/>
      </c>
      <c r="L126" s="68">
        <f t="shared" si="9"/>
      </c>
      <c r="M126" s="56">
        <f t="shared" si="10"/>
      </c>
      <c r="N126" s="69">
        <f t="shared" si="11"/>
      </c>
      <c r="O126" s="22">
        <f t="shared" si="12"/>
      </c>
      <c r="P126" s="22">
        <f>IF(往来单位!$C$116="客户",1,0)</f>
        <v>0</v>
      </c>
      <c r="Q126" s="22">
        <f t="shared" si="13"/>
        <v>28</v>
      </c>
    </row>
    <row r="127">
      <c r="A127" s="56">
        <f>IF($B127="","",114)</f>
      </c>
      <c r="B127" s="66">
        <f>IF(114&gt;$Q$613,"",INDEX(往来单位!$B$4:$B$603,MATCH(114,$Q$14:$Q$613,0)))</f>
      </c>
      <c r="C127" s="67">
        <f t="shared" si="0"/>
      </c>
      <c r="D127" s="60">
        <f t="shared" si="1"/>
      </c>
      <c r="E127" s="53">
        <f t="shared" si="2"/>
      </c>
      <c r="F127" s="53">
        <f t="shared" si="3"/>
      </c>
      <c r="G127" s="53">
        <f t="shared" si="4"/>
      </c>
      <c r="H127" s="59">
        <f t="shared" si="5"/>
      </c>
      <c r="I127" s="53">
        <f t="shared" si="6"/>
      </c>
      <c r="J127" s="53">
        <f t="shared" si="7"/>
      </c>
      <c r="K127" s="53">
        <f t="shared" si="8"/>
      </c>
      <c r="L127" s="68">
        <f t="shared" si="9"/>
      </c>
      <c r="M127" s="56">
        <f t="shared" si="10"/>
      </c>
      <c r="N127" s="69">
        <f t="shared" si="11"/>
      </c>
      <c r="O127" s="22">
        <f t="shared" si="12"/>
      </c>
      <c r="P127" s="22">
        <f>IF(往来单位!$C$117="客户",1,0)</f>
        <v>0</v>
      </c>
      <c r="Q127" s="22">
        <f t="shared" si="13"/>
        <v>28</v>
      </c>
    </row>
    <row r="128">
      <c r="A128" s="56">
        <f>IF($B128="","",115)</f>
      </c>
      <c r="B128" s="66">
        <f>IF(115&gt;$Q$613,"",INDEX(往来单位!$B$4:$B$603,MATCH(115,$Q$14:$Q$613,0)))</f>
      </c>
      <c r="C128" s="67">
        <f t="shared" si="0"/>
      </c>
      <c r="D128" s="60">
        <f t="shared" si="1"/>
      </c>
      <c r="E128" s="53">
        <f t="shared" si="2"/>
      </c>
      <c r="F128" s="53">
        <f t="shared" si="3"/>
      </c>
      <c r="G128" s="53">
        <f t="shared" si="4"/>
      </c>
      <c r="H128" s="59">
        <f t="shared" si="5"/>
      </c>
      <c r="I128" s="53">
        <f t="shared" si="6"/>
      </c>
      <c r="J128" s="53">
        <f t="shared" si="7"/>
      </c>
      <c r="K128" s="53">
        <f t="shared" si="8"/>
      </c>
      <c r="L128" s="68">
        <f t="shared" si="9"/>
      </c>
      <c r="M128" s="56">
        <f t="shared" si="10"/>
      </c>
      <c r="N128" s="69">
        <f t="shared" si="11"/>
      </c>
      <c r="O128" s="22">
        <f t="shared" si="12"/>
      </c>
      <c r="P128" s="22">
        <f>IF(往来单位!$C$118="客户",1,0)</f>
        <v>0</v>
      </c>
      <c r="Q128" s="22">
        <f t="shared" si="13"/>
        <v>28</v>
      </c>
    </row>
    <row r="129">
      <c r="A129" s="56">
        <f>IF($B129="","",116)</f>
      </c>
      <c r="B129" s="66">
        <f>IF(116&gt;$Q$613,"",INDEX(往来单位!$B$4:$B$603,MATCH(116,$Q$14:$Q$613,0)))</f>
      </c>
      <c r="C129" s="67">
        <f t="shared" si="0"/>
      </c>
      <c r="D129" s="60">
        <f t="shared" si="1"/>
      </c>
      <c r="E129" s="53">
        <f t="shared" si="2"/>
      </c>
      <c r="F129" s="53">
        <f t="shared" si="3"/>
      </c>
      <c r="G129" s="53">
        <f t="shared" si="4"/>
      </c>
      <c r="H129" s="59">
        <f t="shared" si="5"/>
      </c>
      <c r="I129" s="53">
        <f t="shared" si="6"/>
      </c>
      <c r="J129" s="53">
        <f t="shared" si="7"/>
      </c>
      <c r="K129" s="53">
        <f t="shared" si="8"/>
      </c>
      <c r="L129" s="68">
        <f t="shared" si="9"/>
      </c>
      <c r="M129" s="56">
        <f t="shared" si="10"/>
      </c>
      <c r="N129" s="69">
        <f t="shared" si="11"/>
      </c>
      <c r="O129" s="22">
        <f t="shared" si="12"/>
      </c>
      <c r="P129" s="22">
        <f>IF(往来单位!$C$119="客户",1,0)</f>
        <v>0</v>
      </c>
      <c r="Q129" s="22">
        <f t="shared" si="13"/>
        <v>28</v>
      </c>
    </row>
    <row r="130">
      <c r="A130" s="56">
        <f>IF($B130="","",117)</f>
      </c>
      <c r="B130" s="66">
        <f>IF(117&gt;$Q$613,"",INDEX(往来单位!$B$4:$B$603,MATCH(117,$Q$14:$Q$613,0)))</f>
      </c>
      <c r="C130" s="67">
        <f t="shared" si="0"/>
      </c>
      <c r="D130" s="60">
        <f t="shared" si="1"/>
      </c>
      <c r="E130" s="53">
        <f t="shared" si="2"/>
      </c>
      <c r="F130" s="53">
        <f t="shared" si="3"/>
      </c>
      <c r="G130" s="53">
        <f t="shared" si="4"/>
      </c>
      <c r="H130" s="59">
        <f t="shared" si="5"/>
      </c>
      <c r="I130" s="53">
        <f t="shared" si="6"/>
      </c>
      <c r="J130" s="53">
        <f t="shared" si="7"/>
      </c>
      <c r="K130" s="53">
        <f t="shared" si="8"/>
      </c>
      <c r="L130" s="68">
        <f t="shared" si="9"/>
      </c>
      <c r="M130" s="56">
        <f t="shared" si="10"/>
      </c>
      <c r="N130" s="69">
        <f t="shared" si="11"/>
      </c>
      <c r="O130" s="22">
        <f t="shared" si="12"/>
      </c>
      <c r="P130" s="22">
        <f>IF(往来单位!$C$120="客户",1,0)</f>
        <v>0</v>
      </c>
      <c r="Q130" s="22">
        <f t="shared" si="13"/>
        <v>28</v>
      </c>
    </row>
    <row r="131">
      <c r="A131" s="56">
        <f>IF($B131="","",118)</f>
      </c>
      <c r="B131" s="66">
        <f>IF(118&gt;$Q$613,"",INDEX(往来单位!$B$4:$B$603,MATCH(118,$Q$14:$Q$613,0)))</f>
      </c>
      <c r="C131" s="67">
        <f t="shared" si="0"/>
      </c>
      <c r="D131" s="60">
        <f t="shared" si="1"/>
      </c>
      <c r="E131" s="53">
        <f t="shared" si="2"/>
      </c>
      <c r="F131" s="53">
        <f t="shared" si="3"/>
      </c>
      <c r="G131" s="53">
        <f t="shared" si="4"/>
      </c>
      <c r="H131" s="59">
        <f t="shared" si="5"/>
      </c>
      <c r="I131" s="53">
        <f t="shared" si="6"/>
      </c>
      <c r="J131" s="53">
        <f t="shared" si="7"/>
      </c>
      <c r="K131" s="53">
        <f t="shared" si="8"/>
      </c>
      <c r="L131" s="68">
        <f t="shared" si="9"/>
      </c>
      <c r="M131" s="56">
        <f t="shared" si="10"/>
      </c>
      <c r="N131" s="69">
        <f t="shared" si="11"/>
      </c>
      <c r="O131" s="22">
        <f t="shared" si="12"/>
      </c>
      <c r="P131" s="22">
        <f>IF(往来单位!$C$121="客户",1,0)</f>
        <v>0</v>
      </c>
      <c r="Q131" s="22">
        <f t="shared" si="13"/>
        <v>28</v>
      </c>
    </row>
    <row r="132">
      <c r="A132" s="56">
        <f>IF($B132="","",119)</f>
      </c>
      <c r="B132" s="66">
        <f>IF(119&gt;$Q$613,"",INDEX(往来单位!$B$4:$B$603,MATCH(119,$Q$14:$Q$613,0)))</f>
      </c>
      <c r="C132" s="67">
        <f t="shared" si="0"/>
      </c>
      <c r="D132" s="60">
        <f t="shared" si="1"/>
      </c>
      <c r="E132" s="53">
        <f t="shared" si="2"/>
      </c>
      <c r="F132" s="53">
        <f t="shared" si="3"/>
      </c>
      <c r="G132" s="53">
        <f t="shared" si="4"/>
      </c>
      <c r="H132" s="59">
        <f t="shared" si="5"/>
      </c>
      <c r="I132" s="53">
        <f t="shared" si="6"/>
      </c>
      <c r="J132" s="53">
        <f t="shared" si="7"/>
      </c>
      <c r="K132" s="53">
        <f t="shared" si="8"/>
      </c>
      <c r="L132" s="68">
        <f t="shared" si="9"/>
      </c>
      <c r="M132" s="56">
        <f t="shared" si="10"/>
      </c>
      <c r="N132" s="69">
        <f t="shared" si="11"/>
      </c>
      <c r="O132" s="22">
        <f t="shared" si="12"/>
      </c>
      <c r="P132" s="22">
        <f>IF(往来单位!$C$122="客户",1,0)</f>
        <v>0</v>
      </c>
      <c r="Q132" s="22">
        <f t="shared" si="13"/>
        <v>28</v>
      </c>
    </row>
    <row r="133">
      <c r="A133" s="56">
        <f>IF($B133="","",120)</f>
      </c>
      <c r="B133" s="66">
        <f>IF(120&gt;$Q$613,"",INDEX(往来单位!$B$4:$B$603,MATCH(120,$Q$14:$Q$613,0)))</f>
      </c>
      <c r="C133" s="67">
        <f t="shared" si="0"/>
      </c>
      <c r="D133" s="60">
        <f t="shared" si="1"/>
      </c>
      <c r="E133" s="53">
        <f t="shared" si="2"/>
      </c>
      <c r="F133" s="53">
        <f t="shared" si="3"/>
      </c>
      <c r="G133" s="53">
        <f t="shared" si="4"/>
      </c>
      <c r="H133" s="59">
        <f t="shared" si="5"/>
      </c>
      <c r="I133" s="53">
        <f t="shared" si="6"/>
      </c>
      <c r="J133" s="53">
        <f t="shared" si="7"/>
      </c>
      <c r="K133" s="53">
        <f t="shared" si="8"/>
      </c>
      <c r="L133" s="68">
        <f t="shared" si="9"/>
      </c>
      <c r="M133" s="56">
        <f t="shared" si="10"/>
      </c>
      <c r="N133" s="69">
        <f t="shared" si="11"/>
      </c>
      <c r="O133" s="22">
        <f t="shared" si="12"/>
      </c>
      <c r="P133" s="22">
        <f>IF(往来单位!$C$123="客户",1,0)</f>
        <v>0</v>
      </c>
      <c r="Q133" s="22">
        <f t="shared" si="13"/>
        <v>28</v>
      </c>
    </row>
    <row r="134">
      <c r="A134" s="56">
        <f>IF($B134="","",121)</f>
      </c>
      <c r="B134" s="66">
        <f>IF(121&gt;$Q$613,"",INDEX(往来单位!$B$4:$B$603,MATCH(121,$Q$14:$Q$613,0)))</f>
      </c>
      <c r="C134" s="67">
        <f t="shared" si="0"/>
      </c>
      <c r="D134" s="60">
        <f t="shared" si="1"/>
      </c>
      <c r="E134" s="53">
        <f t="shared" si="2"/>
      </c>
      <c r="F134" s="53">
        <f t="shared" si="3"/>
      </c>
      <c r="G134" s="53">
        <f t="shared" si="4"/>
      </c>
      <c r="H134" s="59">
        <f t="shared" si="5"/>
      </c>
      <c r="I134" s="53">
        <f t="shared" si="6"/>
      </c>
      <c r="J134" s="53">
        <f t="shared" si="7"/>
      </c>
      <c r="K134" s="53">
        <f t="shared" si="8"/>
      </c>
      <c r="L134" s="68">
        <f t="shared" si="9"/>
      </c>
      <c r="M134" s="56">
        <f t="shared" si="10"/>
      </c>
      <c r="N134" s="69">
        <f t="shared" si="11"/>
      </c>
      <c r="O134" s="22">
        <f t="shared" si="12"/>
      </c>
      <c r="P134" s="22">
        <f>IF(往来单位!$C$124="客户",1,0)</f>
        <v>0</v>
      </c>
      <c r="Q134" s="22">
        <f t="shared" si="13"/>
        <v>28</v>
      </c>
    </row>
    <row r="135">
      <c r="A135" s="56">
        <f>IF($B135="","",122)</f>
      </c>
      <c r="B135" s="66">
        <f>IF(122&gt;$Q$613,"",INDEX(往来单位!$B$4:$B$603,MATCH(122,$Q$14:$Q$613,0)))</f>
      </c>
      <c r="C135" s="67">
        <f t="shared" si="0"/>
      </c>
      <c r="D135" s="60">
        <f t="shared" si="1"/>
      </c>
      <c r="E135" s="53">
        <f t="shared" si="2"/>
      </c>
      <c r="F135" s="53">
        <f t="shared" si="3"/>
      </c>
      <c r="G135" s="53">
        <f t="shared" si="4"/>
      </c>
      <c r="H135" s="59">
        <f t="shared" si="5"/>
      </c>
      <c r="I135" s="53">
        <f t="shared" si="6"/>
      </c>
      <c r="J135" s="53">
        <f t="shared" si="7"/>
      </c>
      <c r="K135" s="53">
        <f t="shared" si="8"/>
      </c>
      <c r="L135" s="68">
        <f t="shared" si="9"/>
      </c>
      <c r="M135" s="56">
        <f t="shared" si="10"/>
      </c>
      <c r="N135" s="69">
        <f t="shared" si="11"/>
      </c>
      <c r="O135" s="22">
        <f t="shared" si="12"/>
      </c>
      <c r="P135" s="22">
        <f>IF(往来单位!$C$125="客户",1,0)</f>
        <v>0</v>
      </c>
      <c r="Q135" s="22">
        <f t="shared" si="13"/>
        <v>28</v>
      </c>
    </row>
    <row r="136">
      <c r="A136" s="56">
        <f>IF($B136="","",123)</f>
      </c>
      <c r="B136" s="66">
        <f>IF(123&gt;$Q$613,"",INDEX(往来单位!$B$4:$B$603,MATCH(123,$Q$14:$Q$613,0)))</f>
      </c>
      <c r="C136" s="67">
        <f t="shared" si="0"/>
      </c>
      <c r="D136" s="60">
        <f t="shared" si="1"/>
      </c>
      <c r="E136" s="53">
        <f t="shared" si="2"/>
      </c>
      <c r="F136" s="53">
        <f t="shared" si="3"/>
      </c>
      <c r="G136" s="53">
        <f t="shared" si="4"/>
      </c>
      <c r="H136" s="59">
        <f t="shared" si="5"/>
      </c>
      <c r="I136" s="53">
        <f t="shared" si="6"/>
      </c>
      <c r="J136" s="53">
        <f t="shared" si="7"/>
      </c>
      <c r="K136" s="53">
        <f t="shared" si="8"/>
      </c>
      <c r="L136" s="68">
        <f t="shared" si="9"/>
      </c>
      <c r="M136" s="56">
        <f t="shared" si="10"/>
      </c>
      <c r="N136" s="69">
        <f t="shared" si="11"/>
      </c>
      <c r="O136" s="22">
        <f t="shared" si="12"/>
      </c>
      <c r="P136" s="22">
        <f>IF(往来单位!$C$126="客户",1,0)</f>
        <v>0</v>
      </c>
      <c r="Q136" s="22">
        <f t="shared" si="13"/>
        <v>28</v>
      </c>
    </row>
    <row r="137">
      <c r="A137" s="56">
        <f>IF($B137="","",124)</f>
      </c>
      <c r="B137" s="66">
        <f>IF(124&gt;$Q$613,"",INDEX(往来单位!$B$4:$B$603,MATCH(124,$Q$14:$Q$613,0)))</f>
      </c>
      <c r="C137" s="67">
        <f t="shared" si="0"/>
      </c>
      <c r="D137" s="60">
        <f t="shared" si="1"/>
      </c>
      <c r="E137" s="53">
        <f t="shared" si="2"/>
      </c>
      <c r="F137" s="53">
        <f t="shared" si="3"/>
      </c>
      <c r="G137" s="53">
        <f t="shared" si="4"/>
      </c>
      <c r="H137" s="59">
        <f t="shared" si="5"/>
      </c>
      <c r="I137" s="53">
        <f t="shared" si="6"/>
      </c>
      <c r="J137" s="53">
        <f t="shared" si="7"/>
      </c>
      <c r="K137" s="53">
        <f t="shared" si="8"/>
      </c>
      <c r="L137" s="68">
        <f t="shared" si="9"/>
      </c>
      <c r="M137" s="56">
        <f t="shared" si="10"/>
      </c>
      <c r="N137" s="69">
        <f t="shared" si="11"/>
      </c>
      <c r="O137" s="22">
        <f t="shared" si="12"/>
      </c>
      <c r="P137" s="22">
        <f>IF(往来单位!$C$127="客户",1,0)</f>
        <v>0</v>
      </c>
      <c r="Q137" s="22">
        <f t="shared" si="13"/>
        <v>28</v>
      </c>
    </row>
    <row r="138">
      <c r="A138" s="56">
        <f>IF($B138="","",125)</f>
      </c>
      <c r="B138" s="66">
        <f>IF(125&gt;$Q$613,"",INDEX(往来单位!$B$4:$B$603,MATCH(125,$Q$14:$Q$613,0)))</f>
      </c>
      <c r="C138" s="67">
        <f t="shared" si="0"/>
      </c>
      <c r="D138" s="60">
        <f t="shared" si="1"/>
      </c>
      <c r="E138" s="53">
        <f t="shared" si="2"/>
      </c>
      <c r="F138" s="53">
        <f t="shared" si="3"/>
      </c>
      <c r="G138" s="53">
        <f t="shared" si="4"/>
      </c>
      <c r="H138" s="59">
        <f t="shared" si="5"/>
      </c>
      <c r="I138" s="53">
        <f t="shared" si="6"/>
      </c>
      <c r="J138" s="53">
        <f t="shared" si="7"/>
      </c>
      <c r="K138" s="53">
        <f t="shared" si="8"/>
      </c>
      <c r="L138" s="68">
        <f t="shared" si="9"/>
      </c>
      <c r="M138" s="56">
        <f t="shared" si="10"/>
      </c>
      <c r="N138" s="69">
        <f t="shared" si="11"/>
      </c>
      <c r="O138" s="22">
        <f t="shared" si="12"/>
      </c>
      <c r="P138" s="22">
        <f>IF(往来单位!$C$128="客户",1,0)</f>
        <v>0</v>
      </c>
      <c r="Q138" s="22">
        <f t="shared" si="13"/>
        <v>28</v>
      </c>
    </row>
    <row r="139">
      <c r="A139" s="56">
        <f>IF($B139="","",126)</f>
      </c>
      <c r="B139" s="66">
        <f>IF(126&gt;$Q$613,"",INDEX(往来单位!$B$4:$B$603,MATCH(126,$Q$14:$Q$613,0)))</f>
      </c>
      <c r="C139" s="67">
        <f t="shared" si="0"/>
      </c>
      <c r="D139" s="60">
        <f t="shared" si="1"/>
      </c>
      <c r="E139" s="53">
        <f t="shared" si="2"/>
      </c>
      <c r="F139" s="53">
        <f t="shared" si="3"/>
      </c>
      <c r="G139" s="53">
        <f t="shared" si="4"/>
      </c>
      <c r="H139" s="59">
        <f t="shared" si="5"/>
      </c>
      <c r="I139" s="53">
        <f t="shared" si="6"/>
      </c>
      <c r="J139" s="53">
        <f t="shared" si="7"/>
      </c>
      <c r="K139" s="53">
        <f t="shared" si="8"/>
      </c>
      <c r="L139" s="68">
        <f t="shared" si="9"/>
      </c>
      <c r="M139" s="56">
        <f t="shared" si="10"/>
      </c>
      <c r="N139" s="69">
        <f t="shared" si="11"/>
      </c>
      <c r="O139" s="22">
        <f t="shared" si="12"/>
      </c>
      <c r="P139" s="22">
        <f>IF(往来单位!$C$129="客户",1,0)</f>
        <v>0</v>
      </c>
      <c r="Q139" s="22">
        <f t="shared" si="13"/>
        <v>28</v>
      </c>
    </row>
    <row r="140">
      <c r="A140" s="56">
        <f>IF($B140="","",127)</f>
      </c>
      <c r="B140" s="66">
        <f>IF(127&gt;$Q$613,"",INDEX(往来单位!$B$4:$B$603,MATCH(127,$Q$14:$Q$613,0)))</f>
      </c>
      <c r="C140" s="67">
        <f t="shared" si="0"/>
      </c>
      <c r="D140" s="60">
        <f t="shared" si="1"/>
      </c>
      <c r="E140" s="53">
        <f t="shared" si="2"/>
      </c>
      <c r="F140" s="53">
        <f t="shared" si="3"/>
      </c>
      <c r="G140" s="53">
        <f t="shared" si="4"/>
      </c>
      <c r="H140" s="59">
        <f t="shared" si="5"/>
      </c>
      <c r="I140" s="53">
        <f t="shared" si="6"/>
      </c>
      <c r="J140" s="53">
        <f t="shared" si="7"/>
      </c>
      <c r="K140" s="53">
        <f t="shared" si="8"/>
      </c>
      <c r="L140" s="68">
        <f t="shared" si="9"/>
      </c>
      <c r="M140" s="56">
        <f t="shared" si="10"/>
      </c>
      <c r="N140" s="69">
        <f t="shared" si="11"/>
      </c>
      <c r="O140" s="22">
        <f t="shared" si="12"/>
      </c>
      <c r="P140" s="22">
        <f>IF(往来单位!$C$130="客户",1,0)</f>
        <v>0</v>
      </c>
      <c r="Q140" s="22">
        <f t="shared" si="13"/>
        <v>28</v>
      </c>
    </row>
    <row r="141">
      <c r="A141" s="56">
        <f>IF($B141="","",128)</f>
      </c>
      <c r="B141" s="66">
        <f>IF(128&gt;$Q$613,"",INDEX(往来单位!$B$4:$B$603,MATCH(128,$Q$14:$Q$613,0)))</f>
      </c>
      <c r="C141" s="67">
        <f t="shared" si="0"/>
      </c>
      <c r="D141" s="60">
        <f t="shared" si="1"/>
      </c>
      <c r="E141" s="53">
        <f t="shared" si="2"/>
      </c>
      <c r="F141" s="53">
        <f t="shared" si="3"/>
      </c>
      <c r="G141" s="53">
        <f t="shared" si="4"/>
      </c>
      <c r="H141" s="59">
        <f t="shared" si="5"/>
      </c>
      <c r="I141" s="53">
        <f t="shared" si="6"/>
      </c>
      <c r="J141" s="53">
        <f t="shared" si="7"/>
      </c>
      <c r="K141" s="53">
        <f t="shared" si="8"/>
      </c>
      <c r="L141" s="68">
        <f t="shared" si="9"/>
      </c>
      <c r="M141" s="56">
        <f t="shared" si="10"/>
      </c>
      <c r="N141" s="69">
        <f t="shared" si="11"/>
      </c>
      <c r="O141" s="22">
        <f t="shared" si="12"/>
      </c>
      <c r="P141" s="22">
        <f>IF(往来单位!$C$131="客户",1,0)</f>
        <v>0</v>
      </c>
      <c r="Q141" s="22">
        <f t="shared" si="13"/>
        <v>28</v>
      </c>
    </row>
    <row r="142">
      <c r="A142" s="56">
        <f>IF($B142="","",129)</f>
      </c>
      <c r="B142" s="66">
        <f>IF(129&gt;$Q$613,"",INDEX(往来单位!$B$4:$B$603,MATCH(129,$Q$14:$Q$613,0)))</f>
      </c>
      <c r="C142" s="67">
        <f t="shared" si="0"/>
      </c>
      <c r="D142" s="60">
        <f t="shared" si="1"/>
      </c>
      <c r="E142" s="53">
        <f t="shared" si="2"/>
      </c>
      <c r="F142" s="53">
        <f t="shared" si="3"/>
      </c>
      <c r="G142" s="53">
        <f t="shared" si="4"/>
      </c>
      <c r="H142" s="59">
        <f t="shared" si="5"/>
      </c>
      <c r="I142" s="53">
        <f t="shared" si="6"/>
      </c>
      <c r="J142" s="53">
        <f t="shared" si="7"/>
      </c>
      <c r="K142" s="53">
        <f t="shared" si="8"/>
      </c>
      <c r="L142" s="68">
        <f t="shared" si="9"/>
      </c>
      <c r="M142" s="56">
        <f t="shared" si="10"/>
      </c>
      <c r="N142" s="69">
        <f t="shared" si="11"/>
      </c>
      <c r="O142" s="22">
        <f t="shared" si="12"/>
      </c>
      <c r="P142" s="22">
        <f>IF(往来单位!$C$132="客户",1,0)</f>
        <v>0</v>
      </c>
      <c r="Q142" s="22">
        <f t="shared" si="13"/>
        <v>28</v>
      </c>
    </row>
    <row r="143">
      <c r="A143" s="56">
        <f>IF($B143="","",130)</f>
      </c>
      <c r="B143" s="66">
        <f>IF(130&gt;$Q$613,"",INDEX(往来单位!$B$4:$B$603,MATCH(130,$Q$14:$Q$613,0)))</f>
      </c>
      <c r="C143" s="67">
        <f t="shared" si="0"/>
      </c>
      <c r="D143" s="60">
        <f t="shared" si="1"/>
      </c>
      <c r="E143" s="53">
        <f t="shared" si="2"/>
      </c>
      <c r="F143" s="53">
        <f t="shared" si="3"/>
      </c>
      <c r="G143" s="53">
        <f t="shared" si="4"/>
      </c>
      <c r="H143" s="59">
        <f t="shared" si="5"/>
      </c>
      <c r="I143" s="53">
        <f t="shared" si="6"/>
      </c>
      <c r="J143" s="53">
        <f t="shared" si="7"/>
      </c>
      <c r="K143" s="53">
        <f t="shared" si="8"/>
      </c>
      <c r="L143" s="68">
        <f t="shared" si="9"/>
      </c>
      <c r="M143" s="56">
        <f t="shared" si="10"/>
      </c>
      <c r="N143" s="69">
        <f t="shared" si="11"/>
      </c>
      <c r="O143" s="22">
        <f t="shared" si="12"/>
      </c>
      <c r="P143" s="22">
        <f>IF(往来单位!$C$133="客户",1,0)</f>
        <v>0</v>
      </c>
      <c r="Q143" s="22">
        <f t="shared" si="13"/>
        <v>28</v>
      </c>
    </row>
    <row r="144">
      <c r="A144" s="56">
        <f>IF($B144="","",131)</f>
      </c>
      <c r="B144" s="66">
        <f>IF(131&gt;$Q$613,"",INDEX(往来单位!$B$4:$B$603,MATCH(131,$Q$14:$Q$613,0)))</f>
      </c>
      <c r="C144" s="67">
        <f t="shared" si="0"/>
      </c>
      <c r="D144" s="60">
        <f t="shared" si="1"/>
      </c>
      <c r="E144" s="53">
        <f t="shared" si="2"/>
      </c>
      <c r="F144" s="53">
        <f t="shared" si="3"/>
      </c>
      <c r="G144" s="53">
        <f t="shared" si="4"/>
      </c>
      <c r="H144" s="59">
        <f t="shared" si="5"/>
      </c>
      <c r="I144" s="53">
        <f t="shared" si="6"/>
      </c>
      <c r="J144" s="53">
        <f t="shared" si="7"/>
      </c>
      <c r="K144" s="53">
        <f t="shared" si="8"/>
      </c>
      <c r="L144" s="68">
        <f t="shared" si="9"/>
      </c>
      <c r="M144" s="56">
        <f t="shared" si="10"/>
      </c>
      <c r="N144" s="69">
        <f t="shared" si="11"/>
      </c>
      <c r="O144" s="22">
        <f t="shared" si="12"/>
      </c>
      <c r="P144" s="22">
        <f>IF(往来单位!$C$134="客户",1,0)</f>
        <v>0</v>
      </c>
      <c r="Q144" s="22">
        <f t="shared" si="13"/>
        <v>28</v>
      </c>
    </row>
    <row r="145">
      <c r="A145" s="56">
        <f>IF($B145="","",132)</f>
      </c>
      <c r="B145" s="66">
        <f>IF(132&gt;$Q$613,"",INDEX(往来单位!$B$4:$B$603,MATCH(132,$Q$14:$Q$613,0)))</f>
      </c>
      <c r="C145" s="67">
        <f t="shared" si="0"/>
      </c>
      <c r="D145" s="60">
        <f t="shared" si="1"/>
      </c>
      <c r="E145" s="53">
        <f t="shared" si="2"/>
      </c>
      <c r="F145" s="53">
        <f t="shared" si="3"/>
      </c>
      <c r="G145" s="53">
        <f t="shared" si="4"/>
      </c>
      <c r="H145" s="59">
        <f t="shared" si="5"/>
      </c>
      <c r="I145" s="53">
        <f t="shared" si="6"/>
      </c>
      <c r="J145" s="53">
        <f t="shared" si="7"/>
      </c>
      <c r="K145" s="53">
        <f t="shared" si="8"/>
      </c>
      <c r="L145" s="68">
        <f t="shared" si="9"/>
      </c>
      <c r="M145" s="56">
        <f t="shared" si="10"/>
      </c>
      <c r="N145" s="69">
        <f t="shared" si="11"/>
      </c>
      <c r="O145" s="22">
        <f t="shared" si="12"/>
      </c>
      <c r="P145" s="22">
        <f>IF(往来单位!$C$135="客户",1,0)</f>
        <v>0</v>
      </c>
      <c r="Q145" s="22">
        <f t="shared" si="13"/>
        <v>28</v>
      </c>
    </row>
    <row r="146">
      <c r="A146" s="56">
        <f>IF($B146="","",133)</f>
      </c>
      <c r="B146" s="66">
        <f>IF(133&gt;$Q$613,"",INDEX(往来单位!$B$4:$B$603,MATCH(133,$Q$14:$Q$613,0)))</f>
      </c>
      <c r="C146" s="67">
        <f t="shared" si="0"/>
      </c>
      <c r="D146" s="60">
        <f t="shared" si="1"/>
      </c>
      <c r="E146" s="53">
        <f t="shared" si="2"/>
      </c>
      <c r="F146" s="53">
        <f t="shared" si="3"/>
      </c>
      <c r="G146" s="53">
        <f t="shared" si="4"/>
      </c>
      <c r="H146" s="59">
        <f t="shared" si="5"/>
      </c>
      <c r="I146" s="53">
        <f t="shared" si="6"/>
      </c>
      <c r="J146" s="53">
        <f t="shared" si="7"/>
      </c>
      <c r="K146" s="53">
        <f t="shared" si="8"/>
      </c>
      <c r="L146" s="68">
        <f t="shared" si="9"/>
      </c>
      <c r="M146" s="56">
        <f t="shared" si="10"/>
      </c>
      <c r="N146" s="69">
        <f t="shared" si="11"/>
      </c>
      <c r="O146" s="22">
        <f t="shared" si="12"/>
      </c>
      <c r="P146" s="22">
        <f>IF(往来单位!$C$136="客户",1,0)</f>
        <v>0</v>
      </c>
      <c r="Q146" s="22">
        <f t="shared" si="13"/>
        <v>28</v>
      </c>
    </row>
    <row r="147">
      <c r="A147" s="56">
        <f>IF($B147="","",134)</f>
      </c>
      <c r="B147" s="66">
        <f>IF(134&gt;$Q$613,"",INDEX(往来单位!$B$4:$B$603,MATCH(134,$Q$14:$Q$613,0)))</f>
      </c>
      <c r="C147" s="67">
        <f t="shared" si="0"/>
      </c>
      <c r="D147" s="60">
        <f t="shared" si="1"/>
      </c>
      <c r="E147" s="53">
        <f t="shared" si="2"/>
      </c>
      <c r="F147" s="53">
        <f t="shared" si="3"/>
      </c>
      <c r="G147" s="53">
        <f t="shared" si="4"/>
      </c>
      <c r="H147" s="59">
        <f t="shared" si="5"/>
      </c>
      <c r="I147" s="53">
        <f t="shared" si="6"/>
      </c>
      <c r="J147" s="53">
        <f t="shared" si="7"/>
      </c>
      <c r="K147" s="53">
        <f t="shared" si="8"/>
      </c>
      <c r="L147" s="68">
        <f t="shared" si="9"/>
      </c>
      <c r="M147" s="56">
        <f t="shared" si="10"/>
      </c>
      <c r="N147" s="69">
        <f t="shared" si="11"/>
      </c>
      <c r="O147" s="22">
        <f t="shared" si="12"/>
      </c>
      <c r="P147" s="22">
        <f>IF(往来单位!$C$137="客户",1,0)</f>
        <v>0</v>
      </c>
      <c r="Q147" s="22">
        <f t="shared" si="13"/>
        <v>28</v>
      </c>
    </row>
    <row r="148">
      <c r="A148" s="56">
        <f>IF($B148="","",135)</f>
      </c>
      <c r="B148" s="66">
        <f>IF(135&gt;$Q$613,"",INDEX(往来单位!$B$4:$B$603,MATCH(135,$Q$14:$Q$613,0)))</f>
      </c>
      <c r="C148" s="67">
        <f t="shared" si="0"/>
      </c>
      <c r="D148" s="60">
        <f t="shared" si="1"/>
      </c>
      <c r="E148" s="53">
        <f t="shared" si="2"/>
      </c>
      <c r="F148" s="53">
        <f t="shared" si="3"/>
      </c>
      <c r="G148" s="53">
        <f t="shared" si="4"/>
      </c>
      <c r="H148" s="59">
        <f t="shared" si="5"/>
      </c>
      <c r="I148" s="53">
        <f t="shared" si="6"/>
      </c>
      <c r="J148" s="53">
        <f t="shared" si="7"/>
      </c>
      <c r="K148" s="53">
        <f t="shared" si="8"/>
      </c>
      <c r="L148" s="68">
        <f t="shared" si="9"/>
      </c>
      <c r="M148" s="56">
        <f t="shared" si="10"/>
      </c>
      <c r="N148" s="69">
        <f t="shared" si="11"/>
      </c>
      <c r="O148" s="22">
        <f t="shared" si="12"/>
      </c>
      <c r="P148" s="22">
        <f>IF(往来单位!$C$138="客户",1,0)</f>
        <v>0</v>
      </c>
      <c r="Q148" s="22">
        <f t="shared" si="13"/>
        <v>28</v>
      </c>
    </row>
    <row r="149">
      <c r="A149" s="56">
        <f>IF($B149="","",136)</f>
      </c>
      <c r="B149" s="66">
        <f>IF(136&gt;$Q$613,"",INDEX(往来单位!$B$4:$B$603,MATCH(136,$Q$14:$Q$613,0)))</f>
      </c>
      <c r="C149" s="67">
        <f t="shared" si="0"/>
      </c>
      <c r="D149" s="60">
        <f t="shared" si="1"/>
      </c>
      <c r="E149" s="53">
        <f t="shared" si="2"/>
      </c>
      <c r="F149" s="53">
        <f t="shared" si="3"/>
      </c>
      <c r="G149" s="53">
        <f t="shared" si="4"/>
      </c>
      <c r="H149" s="59">
        <f t="shared" si="5"/>
      </c>
      <c r="I149" s="53">
        <f t="shared" si="6"/>
      </c>
      <c r="J149" s="53">
        <f t="shared" si="7"/>
      </c>
      <c r="K149" s="53">
        <f t="shared" si="8"/>
      </c>
      <c r="L149" s="68">
        <f t="shared" si="9"/>
      </c>
      <c r="M149" s="56">
        <f t="shared" si="10"/>
      </c>
      <c r="N149" s="69">
        <f t="shared" si="11"/>
      </c>
      <c r="O149" s="22">
        <f t="shared" si="12"/>
      </c>
      <c r="P149" s="22">
        <f>IF(往来单位!$C$139="客户",1,0)</f>
        <v>0</v>
      </c>
      <c r="Q149" s="22">
        <f t="shared" si="13"/>
        <v>28</v>
      </c>
    </row>
    <row r="150">
      <c r="A150" s="56">
        <f>IF($B150="","",137)</f>
      </c>
      <c r="B150" s="66">
        <f>IF(137&gt;$Q$613,"",INDEX(往来单位!$B$4:$B$603,MATCH(137,$Q$14:$Q$613,0)))</f>
      </c>
      <c r="C150" s="67">
        <f t="shared" si="0"/>
      </c>
      <c r="D150" s="60">
        <f t="shared" si="1"/>
      </c>
      <c r="E150" s="53">
        <f t="shared" si="2"/>
      </c>
      <c r="F150" s="53">
        <f t="shared" si="3"/>
      </c>
      <c r="G150" s="53">
        <f t="shared" si="4"/>
      </c>
      <c r="H150" s="59">
        <f t="shared" si="5"/>
      </c>
      <c r="I150" s="53">
        <f t="shared" si="6"/>
      </c>
      <c r="J150" s="53">
        <f t="shared" si="7"/>
      </c>
      <c r="K150" s="53">
        <f t="shared" si="8"/>
      </c>
      <c r="L150" s="68">
        <f t="shared" si="9"/>
      </c>
      <c r="M150" s="56">
        <f t="shared" si="10"/>
      </c>
      <c r="N150" s="69">
        <f t="shared" si="11"/>
      </c>
      <c r="O150" s="22">
        <f t="shared" si="12"/>
      </c>
      <c r="P150" s="22">
        <f>IF(往来单位!$C$140="客户",1,0)</f>
        <v>0</v>
      </c>
      <c r="Q150" s="22">
        <f t="shared" si="13"/>
        <v>28</v>
      </c>
    </row>
    <row r="151">
      <c r="A151" s="56">
        <f>IF($B151="","",138)</f>
      </c>
      <c r="B151" s="66">
        <f>IF(138&gt;$Q$613,"",INDEX(往来单位!$B$4:$B$603,MATCH(138,$Q$14:$Q$613,0)))</f>
      </c>
      <c r="C151" s="67">
        <f t="shared" si="0"/>
      </c>
      <c r="D151" s="60">
        <f t="shared" si="1"/>
      </c>
      <c r="E151" s="53">
        <f t="shared" si="2"/>
      </c>
      <c r="F151" s="53">
        <f t="shared" si="3"/>
      </c>
      <c r="G151" s="53">
        <f t="shared" si="4"/>
      </c>
      <c r="H151" s="59">
        <f t="shared" si="5"/>
      </c>
      <c r="I151" s="53">
        <f t="shared" si="6"/>
      </c>
      <c r="J151" s="53">
        <f t="shared" si="7"/>
      </c>
      <c r="K151" s="53">
        <f t="shared" si="8"/>
      </c>
      <c r="L151" s="68">
        <f t="shared" si="9"/>
      </c>
      <c r="M151" s="56">
        <f t="shared" si="10"/>
      </c>
      <c r="N151" s="69">
        <f t="shared" si="11"/>
      </c>
      <c r="O151" s="22">
        <f t="shared" si="12"/>
      </c>
      <c r="P151" s="22">
        <f>IF(往来单位!$C$141="客户",1,0)</f>
        <v>0</v>
      </c>
      <c r="Q151" s="22">
        <f t="shared" si="13"/>
        <v>28</v>
      </c>
    </row>
    <row r="152">
      <c r="A152" s="56">
        <f>IF($B152="","",139)</f>
      </c>
      <c r="B152" s="66">
        <f>IF(139&gt;$Q$613,"",INDEX(往来单位!$B$4:$B$603,MATCH(139,$Q$14:$Q$613,0)))</f>
      </c>
      <c r="C152" s="67">
        <f t="shared" si="0"/>
      </c>
      <c r="D152" s="60">
        <f t="shared" si="1"/>
      </c>
      <c r="E152" s="53">
        <f t="shared" si="2"/>
      </c>
      <c r="F152" s="53">
        <f t="shared" si="3"/>
      </c>
      <c r="G152" s="53">
        <f t="shared" si="4"/>
      </c>
      <c r="H152" s="59">
        <f t="shared" si="5"/>
      </c>
      <c r="I152" s="53">
        <f t="shared" si="6"/>
      </c>
      <c r="J152" s="53">
        <f t="shared" si="7"/>
      </c>
      <c r="K152" s="53">
        <f t="shared" si="8"/>
      </c>
      <c r="L152" s="68">
        <f t="shared" si="9"/>
      </c>
      <c r="M152" s="56">
        <f t="shared" si="10"/>
      </c>
      <c r="N152" s="69">
        <f t="shared" si="11"/>
      </c>
      <c r="O152" s="22">
        <f t="shared" si="12"/>
      </c>
      <c r="P152" s="22">
        <f>IF(往来单位!$C$142="客户",1,0)</f>
        <v>0</v>
      </c>
      <c r="Q152" s="22">
        <f t="shared" si="13"/>
        <v>28</v>
      </c>
    </row>
    <row r="153">
      <c r="A153" s="56">
        <f>IF($B153="","",140)</f>
      </c>
      <c r="B153" s="66">
        <f>IF(140&gt;$Q$613,"",INDEX(往来单位!$B$4:$B$603,MATCH(140,$Q$14:$Q$613,0)))</f>
      </c>
      <c r="C153" s="67">
        <f t="shared" si="0"/>
      </c>
      <c r="D153" s="60">
        <f t="shared" si="1"/>
      </c>
      <c r="E153" s="53">
        <f t="shared" si="2"/>
      </c>
      <c r="F153" s="53">
        <f t="shared" si="3"/>
      </c>
      <c r="G153" s="53">
        <f t="shared" si="4"/>
      </c>
      <c r="H153" s="59">
        <f t="shared" si="5"/>
      </c>
      <c r="I153" s="53">
        <f t="shared" si="6"/>
      </c>
      <c r="J153" s="53">
        <f t="shared" si="7"/>
      </c>
      <c r="K153" s="53">
        <f t="shared" si="8"/>
      </c>
      <c r="L153" s="68">
        <f t="shared" si="9"/>
      </c>
      <c r="M153" s="56">
        <f t="shared" si="10"/>
      </c>
      <c r="N153" s="69">
        <f t="shared" si="11"/>
      </c>
      <c r="O153" s="22">
        <f t="shared" si="12"/>
      </c>
      <c r="P153" s="22">
        <f>IF(往来单位!$C$143="客户",1,0)</f>
        <v>0</v>
      </c>
      <c r="Q153" s="22">
        <f t="shared" si="13"/>
        <v>28</v>
      </c>
    </row>
    <row r="154">
      <c r="A154" s="56">
        <f>IF($B154="","",141)</f>
      </c>
      <c r="B154" s="66">
        <f>IF(141&gt;$Q$613,"",INDEX(往来单位!$B$4:$B$603,MATCH(141,$Q$14:$Q$613,0)))</f>
      </c>
      <c r="C154" s="67">
        <f t="shared" si="0"/>
      </c>
      <c r="D154" s="60">
        <f t="shared" si="1"/>
      </c>
      <c r="E154" s="53">
        <f t="shared" si="2"/>
      </c>
      <c r="F154" s="53">
        <f t="shared" si="3"/>
      </c>
      <c r="G154" s="53">
        <f t="shared" si="4"/>
      </c>
      <c r="H154" s="59">
        <f t="shared" si="5"/>
      </c>
      <c r="I154" s="53">
        <f t="shared" si="6"/>
      </c>
      <c r="J154" s="53">
        <f t="shared" si="7"/>
      </c>
      <c r="K154" s="53">
        <f t="shared" si="8"/>
      </c>
      <c r="L154" s="68">
        <f t="shared" si="9"/>
      </c>
      <c r="M154" s="56">
        <f t="shared" si="10"/>
      </c>
      <c r="N154" s="69">
        <f t="shared" si="11"/>
      </c>
      <c r="O154" s="22">
        <f t="shared" si="12"/>
      </c>
      <c r="P154" s="22">
        <f>IF(往来单位!$C$144="客户",1,0)</f>
        <v>0</v>
      </c>
      <c r="Q154" s="22">
        <f t="shared" si="13"/>
        <v>28</v>
      </c>
    </row>
    <row r="155">
      <c r="A155" s="56">
        <f>IF($B155="","",142)</f>
      </c>
      <c r="B155" s="66">
        <f>IF(142&gt;$Q$613,"",INDEX(往来单位!$B$4:$B$603,MATCH(142,$Q$14:$Q$613,0)))</f>
      </c>
      <c r="C155" s="67">
        <f t="shared" si="0"/>
      </c>
      <c r="D155" s="60">
        <f t="shared" si="1"/>
      </c>
      <c r="E155" s="53">
        <f t="shared" si="2"/>
      </c>
      <c r="F155" s="53">
        <f t="shared" si="3"/>
      </c>
      <c r="G155" s="53">
        <f t="shared" si="4"/>
      </c>
      <c r="H155" s="59">
        <f t="shared" si="5"/>
      </c>
      <c r="I155" s="53">
        <f t="shared" si="6"/>
      </c>
      <c r="J155" s="53">
        <f t="shared" si="7"/>
      </c>
      <c r="K155" s="53">
        <f t="shared" si="8"/>
      </c>
      <c r="L155" s="68">
        <f t="shared" si="9"/>
      </c>
      <c r="M155" s="56">
        <f t="shared" si="10"/>
      </c>
      <c r="N155" s="69">
        <f t="shared" si="11"/>
      </c>
      <c r="O155" s="22">
        <f t="shared" si="12"/>
      </c>
      <c r="P155" s="22">
        <f>IF(往来单位!$C$145="客户",1,0)</f>
        <v>0</v>
      </c>
      <c r="Q155" s="22">
        <f t="shared" si="13"/>
        <v>28</v>
      </c>
    </row>
    <row r="156">
      <c r="A156" s="56">
        <f>IF($B156="","",143)</f>
      </c>
      <c r="B156" s="66">
        <f>IF(143&gt;$Q$613,"",INDEX(往来单位!$B$4:$B$603,MATCH(143,$Q$14:$Q$613,0)))</f>
      </c>
      <c r="C156" s="67">
        <f t="shared" si="0"/>
      </c>
      <c r="D156" s="60">
        <f t="shared" si="1"/>
      </c>
      <c r="E156" s="53">
        <f t="shared" si="2"/>
      </c>
      <c r="F156" s="53">
        <f t="shared" si="3"/>
      </c>
      <c r="G156" s="53">
        <f t="shared" si="4"/>
      </c>
      <c r="H156" s="59">
        <f t="shared" si="5"/>
      </c>
      <c r="I156" s="53">
        <f t="shared" si="6"/>
      </c>
      <c r="J156" s="53">
        <f t="shared" si="7"/>
      </c>
      <c r="K156" s="53">
        <f t="shared" si="8"/>
      </c>
      <c r="L156" s="68">
        <f t="shared" si="9"/>
      </c>
      <c r="M156" s="56">
        <f t="shared" si="10"/>
      </c>
      <c r="N156" s="69">
        <f t="shared" si="11"/>
      </c>
      <c r="O156" s="22">
        <f t="shared" si="12"/>
      </c>
      <c r="P156" s="22">
        <f>IF(往来单位!$C$146="客户",1,0)</f>
        <v>0</v>
      </c>
      <c r="Q156" s="22">
        <f t="shared" si="13"/>
        <v>28</v>
      </c>
    </row>
    <row r="157">
      <c r="A157" s="56">
        <f>IF($B157="","",144)</f>
      </c>
      <c r="B157" s="66">
        <f>IF(144&gt;$Q$613,"",INDEX(往来单位!$B$4:$B$603,MATCH(144,$Q$14:$Q$613,0)))</f>
      </c>
      <c r="C157" s="67">
        <f t="shared" si="0"/>
      </c>
      <c r="D157" s="60">
        <f t="shared" si="1"/>
      </c>
      <c r="E157" s="53">
        <f t="shared" si="2"/>
      </c>
      <c r="F157" s="53">
        <f t="shared" si="3"/>
      </c>
      <c r="G157" s="53">
        <f t="shared" si="4"/>
      </c>
      <c r="H157" s="59">
        <f t="shared" si="5"/>
      </c>
      <c r="I157" s="53">
        <f t="shared" si="6"/>
      </c>
      <c r="J157" s="53">
        <f t="shared" si="7"/>
      </c>
      <c r="K157" s="53">
        <f t="shared" si="8"/>
      </c>
      <c r="L157" s="68">
        <f t="shared" si="9"/>
      </c>
      <c r="M157" s="56">
        <f t="shared" si="10"/>
      </c>
      <c r="N157" s="69">
        <f t="shared" si="11"/>
      </c>
      <c r="O157" s="22">
        <f t="shared" si="12"/>
      </c>
      <c r="P157" s="22">
        <f>IF(往来单位!$C$147="客户",1,0)</f>
        <v>0</v>
      </c>
      <c r="Q157" s="22">
        <f t="shared" si="13"/>
        <v>28</v>
      </c>
    </row>
    <row r="158">
      <c r="A158" s="56">
        <f>IF($B158="","",145)</f>
      </c>
      <c r="B158" s="66">
        <f>IF(145&gt;$Q$613,"",INDEX(往来单位!$B$4:$B$603,MATCH(145,$Q$14:$Q$613,0)))</f>
      </c>
      <c r="C158" s="67">
        <f t="shared" si="0"/>
      </c>
      <c r="D158" s="60">
        <f t="shared" si="1"/>
      </c>
      <c r="E158" s="53">
        <f t="shared" si="2"/>
      </c>
      <c r="F158" s="53">
        <f t="shared" si="3"/>
      </c>
      <c r="G158" s="53">
        <f t="shared" si="4"/>
      </c>
      <c r="H158" s="59">
        <f t="shared" si="5"/>
      </c>
      <c r="I158" s="53">
        <f t="shared" si="6"/>
      </c>
      <c r="J158" s="53">
        <f t="shared" si="7"/>
      </c>
      <c r="K158" s="53">
        <f t="shared" si="8"/>
      </c>
      <c r="L158" s="68">
        <f t="shared" si="9"/>
      </c>
      <c r="M158" s="56">
        <f t="shared" si="10"/>
      </c>
      <c r="N158" s="69">
        <f t="shared" si="11"/>
      </c>
      <c r="O158" s="22">
        <f t="shared" si="12"/>
      </c>
      <c r="P158" s="22">
        <f>IF(往来单位!$C$148="客户",1,0)</f>
        <v>0</v>
      </c>
      <c r="Q158" s="22">
        <f t="shared" si="13"/>
        <v>28</v>
      </c>
    </row>
    <row r="159">
      <c r="A159" s="56">
        <f>IF($B159="","",146)</f>
      </c>
      <c r="B159" s="66">
        <f>IF(146&gt;$Q$613,"",INDEX(往来单位!$B$4:$B$603,MATCH(146,$Q$14:$Q$613,0)))</f>
      </c>
      <c r="C159" s="67">
        <f t="shared" si="0"/>
      </c>
      <c r="D159" s="60">
        <f t="shared" si="1"/>
      </c>
      <c r="E159" s="53">
        <f t="shared" si="2"/>
      </c>
      <c r="F159" s="53">
        <f t="shared" si="3"/>
      </c>
      <c r="G159" s="53">
        <f t="shared" si="4"/>
      </c>
      <c r="H159" s="59">
        <f t="shared" si="5"/>
      </c>
      <c r="I159" s="53">
        <f t="shared" si="6"/>
      </c>
      <c r="J159" s="53">
        <f t="shared" si="7"/>
      </c>
      <c r="K159" s="53">
        <f t="shared" si="8"/>
      </c>
      <c r="L159" s="68">
        <f t="shared" si="9"/>
      </c>
      <c r="M159" s="56">
        <f t="shared" si="10"/>
      </c>
      <c r="N159" s="69">
        <f t="shared" si="11"/>
      </c>
      <c r="O159" s="22">
        <f t="shared" si="12"/>
      </c>
      <c r="P159" s="22">
        <f>IF(往来单位!$C$149="客户",1,0)</f>
        <v>0</v>
      </c>
      <c r="Q159" s="22">
        <f t="shared" si="13"/>
        <v>28</v>
      </c>
    </row>
    <row r="160">
      <c r="A160" s="56">
        <f>IF($B160="","",147)</f>
      </c>
      <c r="B160" s="66">
        <f>IF(147&gt;$Q$613,"",INDEX(往来单位!$B$4:$B$603,MATCH(147,$Q$14:$Q$613,0)))</f>
      </c>
      <c r="C160" s="67">
        <f t="shared" si="0"/>
      </c>
      <c r="D160" s="60">
        <f t="shared" si="1"/>
      </c>
      <c r="E160" s="53">
        <f t="shared" si="2"/>
      </c>
      <c r="F160" s="53">
        <f t="shared" si="3"/>
      </c>
      <c r="G160" s="53">
        <f t="shared" si="4"/>
      </c>
      <c r="H160" s="59">
        <f t="shared" si="5"/>
      </c>
      <c r="I160" s="53">
        <f t="shared" si="6"/>
      </c>
      <c r="J160" s="53">
        <f t="shared" si="7"/>
      </c>
      <c r="K160" s="53">
        <f t="shared" si="8"/>
      </c>
      <c r="L160" s="68">
        <f t="shared" si="9"/>
      </c>
      <c r="M160" s="56">
        <f t="shared" si="10"/>
      </c>
      <c r="N160" s="69">
        <f t="shared" si="11"/>
      </c>
      <c r="O160" s="22">
        <f t="shared" si="12"/>
      </c>
      <c r="P160" s="22">
        <f>IF(往来单位!$C$150="客户",1,0)</f>
        <v>0</v>
      </c>
      <c r="Q160" s="22">
        <f t="shared" si="13"/>
        <v>28</v>
      </c>
    </row>
    <row r="161">
      <c r="A161" s="56">
        <f>IF($B161="","",148)</f>
      </c>
      <c r="B161" s="66">
        <f>IF(148&gt;$Q$613,"",INDEX(往来单位!$B$4:$B$603,MATCH(148,$Q$14:$Q$613,0)))</f>
      </c>
      <c r="C161" s="67">
        <f t="shared" si="0"/>
      </c>
      <c r="D161" s="60">
        <f t="shared" si="1"/>
      </c>
      <c r="E161" s="53">
        <f t="shared" si="2"/>
      </c>
      <c r="F161" s="53">
        <f t="shared" si="3"/>
      </c>
      <c r="G161" s="53">
        <f t="shared" si="4"/>
      </c>
      <c r="H161" s="59">
        <f t="shared" si="5"/>
      </c>
      <c r="I161" s="53">
        <f t="shared" si="6"/>
      </c>
      <c r="J161" s="53">
        <f t="shared" si="7"/>
      </c>
      <c r="K161" s="53">
        <f t="shared" si="8"/>
      </c>
      <c r="L161" s="68">
        <f t="shared" si="9"/>
      </c>
      <c r="M161" s="56">
        <f t="shared" si="10"/>
      </c>
      <c r="N161" s="69">
        <f t="shared" si="11"/>
      </c>
      <c r="O161" s="22">
        <f t="shared" si="12"/>
      </c>
      <c r="P161" s="22">
        <f>IF(往来单位!$C$151="客户",1,0)</f>
        <v>0</v>
      </c>
      <c r="Q161" s="22">
        <f t="shared" si="13"/>
        <v>28</v>
      </c>
    </row>
    <row r="162">
      <c r="A162" s="56">
        <f>IF($B162="","",149)</f>
      </c>
      <c r="B162" s="66">
        <f>IF(149&gt;$Q$613,"",INDEX(往来单位!$B$4:$B$603,MATCH(149,$Q$14:$Q$613,0)))</f>
      </c>
      <c r="C162" s="67">
        <f t="shared" si="0"/>
      </c>
      <c r="D162" s="60">
        <f t="shared" si="1"/>
      </c>
      <c r="E162" s="53">
        <f t="shared" si="2"/>
      </c>
      <c r="F162" s="53">
        <f t="shared" si="3"/>
      </c>
      <c r="G162" s="53">
        <f t="shared" si="4"/>
      </c>
      <c r="H162" s="59">
        <f t="shared" si="5"/>
      </c>
      <c r="I162" s="53">
        <f t="shared" si="6"/>
      </c>
      <c r="J162" s="53">
        <f t="shared" si="7"/>
      </c>
      <c r="K162" s="53">
        <f t="shared" si="8"/>
      </c>
      <c r="L162" s="68">
        <f t="shared" si="9"/>
      </c>
      <c r="M162" s="56">
        <f t="shared" si="10"/>
      </c>
      <c r="N162" s="69">
        <f t="shared" si="11"/>
      </c>
      <c r="O162" s="22">
        <f t="shared" si="12"/>
      </c>
      <c r="P162" s="22">
        <f>IF(往来单位!$C$152="客户",1,0)</f>
        <v>0</v>
      </c>
      <c r="Q162" s="22">
        <f t="shared" si="13"/>
        <v>28</v>
      </c>
    </row>
    <row r="163">
      <c r="A163" s="56">
        <f>IF($B163="","",150)</f>
      </c>
      <c r="B163" s="66">
        <f>IF(150&gt;$Q$613,"",INDEX(往来单位!$B$4:$B$603,MATCH(150,$Q$14:$Q$613,0)))</f>
      </c>
      <c r="C163" s="67">
        <f t="shared" si="0"/>
      </c>
      <c r="D163" s="60">
        <f t="shared" si="1"/>
      </c>
      <c r="E163" s="53">
        <f t="shared" si="2"/>
      </c>
      <c r="F163" s="53">
        <f t="shared" si="3"/>
      </c>
      <c r="G163" s="53">
        <f t="shared" si="4"/>
      </c>
      <c r="H163" s="59">
        <f t="shared" si="5"/>
      </c>
      <c r="I163" s="53">
        <f t="shared" si="6"/>
      </c>
      <c r="J163" s="53">
        <f t="shared" si="7"/>
      </c>
      <c r="K163" s="53">
        <f t="shared" si="8"/>
      </c>
      <c r="L163" s="68">
        <f t="shared" si="9"/>
      </c>
      <c r="M163" s="56">
        <f t="shared" si="10"/>
      </c>
      <c r="N163" s="69">
        <f t="shared" si="11"/>
      </c>
      <c r="O163" s="22">
        <f t="shared" si="12"/>
      </c>
      <c r="P163" s="22">
        <f>IF(往来单位!$C$153="客户",1,0)</f>
        <v>0</v>
      </c>
      <c r="Q163" s="22">
        <f t="shared" si="13"/>
        <v>28</v>
      </c>
    </row>
    <row r="164">
      <c r="A164" s="56">
        <f>IF($B164="","",151)</f>
      </c>
      <c r="B164" s="66">
        <f>IF(151&gt;$Q$613,"",INDEX(往来单位!$B$4:$B$603,MATCH(151,$Q$14:$Q$613,0)))</f>
      </c>
      <c r="C164" s="67">
        <f t="shared" si="0"/>
      </c>
      <c r="D164" s="60">
        <f t="shared" si="1"/>
      </c>
      <c r="E164" s="53">
        <f t="shared" si="2"/>
      </c>
      <c r="F164" s="53">
        <f t="shared" si="3"/>
      </c>
      <c r="G164" s="53">
        <f t="shared" si="4"/>
      </c>
      <c r="H164" s="59">
        <f t="shared" si="5"/>
      </c>
      <c r="I164" s="53">
        <f t="shared" si="6"/>
      </c>
      <c r="J164" s="53">
        <f t="shared" si="7"/>
      </c>
      <c r="K164" s="53">
        <f t="shared" si="8"/>
      </c>
      <c r="L164" s="68">
        <f t="shared" si="9"/>
      </c>
      <c r="M164" s="56">
        <f t="shared" si="10"/>
      </c>
      <c r="N164" s="69">
        <f t="shared" si="11"/>
      </c>
      <c r="O164" s="22">
        <f t="shared" si="12"/>
      </c>
      <c r="P164" s="22">
        <f>IF(往来单位!$C$154="客户",1,0)</f>
        <v>0</v>
      </c>
      <c r="Q164" s="22">
        <f t="shared" si="13"/>
        <v>28</v>
      </c>
    </row>
    <row r="165">
      <c r="A165" s="56">
        <f>IF($B165="","",152)</f>
      </c>
      <c r="B165" s="66">
        <f>IF(152&gt;$Q$613,"",INDEX(往来单位!$B$4:$B$603,MATCH(152,$Q$14:$Q$613,0)))</f>
      </c>
      <c r="C165" s="67">
        <f t="shared" si="0"/>
      </c>
      <c r="D165" s="60">
        <f t="shared" si="1"/>
      </c>
      <c r="E165" s="53">
        <f t="shared" si="2"/>
      </c>
      <c r="F165" s="53">
        <f t="shared" si="3"/>
      </c>
      <c r="G165" s="53">
        <f t="shared" si="4"/>
      </c>
      <c r="H165" s="59">
        <f t="shared" si="5"/>
      </c>
      <c r="I165" s="53">
        <f t="shared" si="6"/>
      </c>
      <c r="J165" s="53">
        <f t="shared" si="7"/>
      </c>
      <c r="K165" s="53">
        <f t="shared" si="8"/>
      </c>
      <c r="L165" s="68">
        <f t="shared" si="9"/>
      </c>
      <c r="M165" s="56">
        <f t="shared" si="10"/>
      </c>
      <c r="N165" s="69">
        <f t="shared" si="11"/>
      </c>
      <c r="O165" s="22">
        <f t="shared" si="12"/>
      </c>
      <c r="P165" s="22">
        <f>IF(往来单位!$C$155="客户",1,0)</f>
        <v>0</v>
      </c>
      <c r="Q165" s="22">
        <f t="shared" si="13"/>
        <v>28</v>
      </c>
    </row>
    <row r="166">
      <c r="A166" s="56">
        <f>IF($B166="","",153)</f>
      </c>
      <c r="B166" s="66">
        <f>IF(153&gt;$Q$613,"",INDEX(往来单位!$B$4:$B$603,MATCH(153,$Q$14:$Q$613,0)))</f>
      </c>
      <c r="C166" s="67">
        <f t="shared" si="0"/>
      </c>
      <c r="D166" s="60">
        <f t="shared" si="1"/>
      </c>
      <c r="E166" s="53">
        <f t="shared" si="2"/>
      </c>
      <c r="F166" s="53">
        <f t="shared" si="3"/>
      </c>
      <c r="G166" s="53">
        <f t="shared" si="4"/>
      </c>
      <c r="H166" s="59">
        <f t="shared" si="5"/>
      </c>
      <c r="I166" s="53">
        <f t="shared" si="6"/>
      </c>
      <c r="J166" s="53">
        <f t="shared" si="7"/>
      </c>
      <c r="K166" s="53">
        <f t="shared" si="8"/>
      </c>
      <c r="L166" s="68">
        <f t="shared" si="9"/>
      </c>
      <c r="M166" s="56">
        <f t="shared" si="10"/>
      </c>
      <c r="N166" s="69">
        <f t="shared" si="11"/>
      </c>
      <c r="O166" s="22">
        <f t="shared" si="12"/>
      </c>
      <c r="P166" s="22">
        <f>IF(往来单位!$C$156="客户",1,0)</f>
        <v>0</v>
      </c>
      <c r="Q166" s="22">
        <f t="shared" si="13"/>
        <v>28</v>
      </c>
    </row>
    <row r="167">
      <c r="A167" s="56">
        <f>IF($B167="","",154)</f>
      </c>
      <c r="B167" s="66">
        <f>IF(154&gt;$Q$613,"",INDEX(往来单位!$B$4:$B$603,MATCH(154,$Q$14:$Q$613,0)))</f>
      </c>
      <c r="C167" s="67">
        <f t="shared" si="0"/>
      </c>
      <c r="D167" s="60">
        <f t="shared" si="1"/>
      </c>
      <c r="E167" s="53">
        <f t="shared" si="2"/>
      </c>
      <c r="F167" s="53">
        <f t="shared" si="3"/>
      </c>
      <c r="G167" s="53">
        <f t="shared" si="4"/>
      </c>
      <c r="H167" s="59">
        <f t="shared" si="5"/>
      </c>
      <c r="I167" s="53">
        <f t="shared" si="6"/>
      </c>
      <c r="J167" s="53">
        <f t="shared" si="7"/>
      </c>
      <c r="K167" s="53">
        <f t="shared" si="8"/>
      </c>
      <c r="L167" s="68">
        <f t="shared" si="9"/>
      </c>
      <c r="M167" s="56">
        <f t="shared" si="10"/>
      </c>
      <c r="N167" s="69">
        <f t="shared" si="11"/>
      </c>
      <c r="O167" s="22">
        <f t="shared" si="12"/>
      </c>
      <c r="P167" s="22">
        <f>IF(往来单位!$C$157="客户",1,0)</f>
        <v>0</v>
      </c>
      <c r="Q167" s="22">
        <f t="shared" si="13"/>
        <v>28</v>
      </c>
    </row>
    <row r="168">
      <c r="A168" s="56">
        <f>IF($B168="","",155)</f>
      </c>
      <c r="B168" s="66">
        <f>IF(155&gt;$Q$613,"",INDEX(往来单位!$B$4:$B$603,MATCH(155,$Q$14:$Q$613,0)))</f>
      </c>
      <c r="C168" s="67">
        <f t="shared" si="0"/>
      </c>
      <c r="D168" s="60">
        <f t="shared" si="1"/>
      </c>
      <c r="E168" s="53">
        <f t="shared" si="2"/>
      </c>
      <c r="F168" s="53">
        <f t="shared" si="3"/>
      </c>
      <c r="G168" s="53">
        <f t="shared" si="4"/>
      </c>
      <c r="H168" s="59">
        <f t="shared" si="5"/>
      </c>
      <c r="I168" s="53">
        <f t="shared" si="6"/>
      </c>
      <c r="J168" s="53">
        <f t="shared" si="7"/>
      </c>
      <c r="K168" s="53">
        <f t="shared" si="8"/>
      </c>
      <c r="L168" s="68">
        <f t="shared" si="9"/>
      </c>
      <c r="M168" s="56">
        <f t="shared" si="10"/>
      </c>
      <c r="N168" s="69">
        <f t="shared" si="11"/>
      </c>
      <c r="O168" s="22">
        <f t="shared" si="12"/>
      </c>
      <c r="P168" s="22">
        <f>IF(往来单位!$C$158="客户",1,0)</f>
        <v>0</v>
      </c>
      <c r="Q168" s="22">
        <f t="shared" si="13"/>
        <v>28</v>
      </c>
    </row>
    <row r="169">
      <c r="A169" s="56">
        <f>IF($B169="","",156)</f>
      </c>
      <c r="B169" s="66">
        <f>IF(156&gt;$Q$613,"",INDEX(往来单位!$B$4:$B$603,MATCH(156,$Q$14:$Q$613,0)))</f>
      </c>
      <c r="C169" s="67">
        <f t="shared" si="0"/>
      </c>
      <c r="D169" s="60">
        <f t="shared" si="1"/>
      </c>
      <c r="E169" s="53">
        <f t="shared" si="2"/>
      </c>
      <c r="F169" s="53">
        <f t="shared" si="3"/>
      </c>
      <c r="G169" s="53">
        <f t="shared" si="4"/>
      </c>
      <c r="H169" s="59">
        <f t="shared" si="5"/>
      </c>
      <c r="I169" s="53">
        <f t="shared" si="6"/>
      </c>
      <c r="J169" s="53">
        <f t="shared" si="7"/>
      </c>
      <c r="K169" s="53">
        <f t="shared" si="8"/>
      </c>
      <c r="L169" s="68">
        <f t="shared" si="9"/>
      </c>
      <c r="M169" s="56">
        <f t="shared" si="10"/>
      </c>
      <c r="N169" s="69">
        <f t="shared" si="11"/>
      </c>
      <c r="O169" s="22">
        <f t="shared" si="12"/>
      </c>
      <c r="P169" s="22">
        <f>IF(往来单位!$C$159="客户",1,0)</f>
        <v>0</v>
      </c>
      <c r="Q169" s="22">
        <f t="shared" si="13"/>
        <v>28</v>
      </c>
    </row>
    <row r="170">
      <c r="A170" s="56">
        <f>IF($B170="","",157)</f>
      </c>
      <c r="B170" s="66">
        <f>IF(157&gt;$Q$613,"",INDEX(往来单位!$B$4:$B$603,MATCH(157,$Q$14:$Q$613,0)))</f>
      </c>
      <c r="C170" s="67">
        <f t="shared" si="0"/>
      </c>
      <c r="D170" s="60">
        <f t="shared" si="1"/>
      </c>
      <c r="E170" s="53">
        <f t="shared" si="2"/>
      </c>
      <c r="F170" s="53">
        <f t="shared" si="3"/>
      </c>
      <c r="G170" s="53">
        <f t="shared" si="4"/>
      </c>
      <c r="H170" s="59">
        <f t="shared" si="5"/>
      </c>
      <c r="I170" s="53">
        <f t="shared" si="6"/>
      </c>
      <c r="J170" s="53">
        <f t="shared" si="7"/>
      </c>
      <c r="K170" s="53">
        <f t="shared" si="8"/>
      </c>
      <c r="L170" s="68">
        <f t="shared" si="9"/>
      </c>
      <c r="M170" s="56">
        <f t="shared" si="10"/>
      </c>
      <c r="N170" s="69">
        <f t="shared" si="11"/>
      </c>
      <c r="O170" s="22">
        <f t="shared" si="12"/>
      </c>
      <c r="P170" s="22">
        <f>IF(往来单位!$C$160="客户",1,0)</f>
        <v>0</v>
      </c>
      <c r="Q170" s="22">
        <f t="shared" si="13"/>
        <v>28</v>
      </c>
    </row>
    <row r="171">
      <c r="A171" s="56">
        <f>IF($B171="","",158)</f>
      </c>
      <c r="B171" s="66">
        <f>IF(158&gt;$Q$613,"",INDEX(往来单位!$B$4:$B$603,MATCH(158,$Q$14:$Q$613,0)))</f>
      </c>
      <c r="C171" s="67">
        <f t="shared" si="0"/>
      </c>
      <c r="D171" s="60">
        <f t="shared" si="1"/>
      </c>
      <c r="E171" s="53">
        <f t="shared" si="2"/>
      </c>
      <c r="F171" s="53">
        <f t="shared" si="3"/>
      </c>
      <c r="G171" s="53">
        <f t="shared" si="4"/>
      </c>
      <c r="H171" s="59">
        <f t="shared" si="5"/>
      </c>
      <c r="I171" s="53">
        <f t="shared" si="6"/>
      </c>
      <c r="J171" s="53">
        <f t="shared" si="7"/>
      </c>
      <c r="K171" s="53">
        <f t="shared" si="8"/>
      </c>
      <c r="L171" s="68">
        <f t="shared" si="9"/>
      </c>
      <c r="M171" s="56">
        <f t="shared" si="10"/>
      </c>
      <c r="N171" s="69">
        <f t="shared" si="11"/>
      </c>
      <c r="O171" s="22">
        <f t="shared" si="12"/>
      </c>
      <c r="P171" s="22">
        <f>IF(往来单位!$C$161="客户",1,0)</f>
        <v>0</v>
      </c>
      <c r="Q171" s="22">
        <f t="shared" si="13"/>
        <v>28</v>
      </c>
    </row>
    <row r="172">
      <c r="A172" s="56">
        <f>IF($B172="","",159)</f>
      </c>
      <c r="B172" s="66">
        <f>IF(159&gt;$Q$613,"",INDEX(往来单位!$B$4:$B$603,MATCH(159,$Q$14:$Q$613,0)))</f>
      </c>
      <c r="C172" s="67">
        <f t="shared" si="0"/>
      </c>
      <c r="D172" s="60">
        <f t="shared" si="1"/>
      </c>
      <c r="E172" s="53">
        <f t="shared" si="2"/>
      </c>
      <c r="F172" s="53">
        <f t="shared" si="3"/>
      </c>
      <c r="G172" s="53">
        <f t="shared" si="4"/>
      </c>
      <c r="H172" s="59">
        <f t="shared" si="5"/>
      </c>
      <c r="I172" s="53">
        <f t="shared" si="6"/>
      </c>
      <c r="J172" s="53">
        <f t="shared" si="7"/>
      </c>
      <c r="K172" s="53">
        <f t="shared" si="8"/>
      </c>
      <c r="L172" s="68">
        <f t="shared" si="9"/>
      </c>
      <c r="M172" s="56">
        <f t="shared" si="10"/>
      </c>
      <c r="N172" s="69">
        <f t="shared" si="11"/>
      </c>
      <c r="O172" s="22">
        <f t="shared" si="12"/>
      </c>
      <c r="P172" s="22">
        <f>IF(往来单位!$C$162="客户",1,0)</f>
        <v>0</v>
      </c>
      <c r="Q172" s="22">
        <f t="shared" si="13"/>
        <v>28</v>
      </c>
    </row>
    <row r="173">
      <c r="A173" s="56">
        <f>IF($B173="","",160)</f>
      </c>
      <c r="B173" s="66">
        <f>IF(160&gt;$Q$613,"",INDEX(往来单位!$B$4:$B$603,MATCH(160,$Q$14:$Q$613,0)))</f>
      </c>
      <c r="C173" s="67">
        <f t="shared" si="0"/>
      </c>
      <c r="D173" s="60">
        <f t="shared" si="1"/>
      </c>
      <c r="E173" s="53">
        <f t="shared" si="2"/>
      </c>
      <c r="F173" s="53">
        <f t="shared" si="3"/>
      </c>
      <c r="G173" s="53">
        <f t="shared" si="4"/>
      </c>
      <c r="H173" s="59">
        <f t="shared" si="5"/>
      </c>
      <c r="I173" s="53">
        <f t="shared" si="6"/>
      </c>
      <c r="J173" s="53">
        <f t="shared" si="7"/>
      </c>
      <c r="K173" s="53">
        <f t="shared" si="8"/>
      </c>
      <c r="L173" s="68">
        <f t="shared" si="9"/>
      </c>
      <c r="M173" s="56">
        <f t="shared" si="10"/>
      </c>
      <c r="N173" s="69">
        <f t="shared" si="11"/>
      </c>
      <c r="O173" s="22">
        <f t="shared" si="12"/>
      </c>
      <c r="P173" s="22">
        <f>IF(往来单位!$C$163="客户",1,0)</f>
        <v>0</v>
      </c>
      <c r="Q173" s="22">
        <f t="shared" si="13"/>
        <v>28</v>
      </c>
    </row>
    <row r="174">
      <c r="A174" s="56">
        <f>IF($B174="","",161)</f>
      </c>
      <c r="B174" s="66">
        <f>IF(161&gt;$Q$613,"",INDEX(往来单位!$B$4:$B$603,MATCH(161,$Q$14:$Q$613,0)))</f>
      </c>
      <c r="C174" s="67">
        <f t="shared" si="0"/>
      </c>
      <c r="D174" s="60">
        <f t="shared" si="1"/>
      </c>
      <c r="E174" s="53">
        <f t="shared" si="2"/>
      </c>
      <c r="F174" s="53">
        <f t="shared" si="3"/>
      </c>
      <c r="G174" s="53">
        <f t="shared" si="4"/>
      </c>
      <c r="H174" s="59">
        <f t="shared" si="5"/>
      </c>
      <c r="I174" s="53">
        <f t="shared" si="6"/>
      </c>
      <c r="J174" s="53">
        <f t="shared" si="7"/>
      </c>
      <c r="K174" s="53">
        <f t="shared" si="8"/>
      </c>
      <c r="L174" s="68">
        <f t="shared" si="9"/>
      </c>
      <c r="M174" s="56">
        <f t="shared" si="10"/>
      </c>
      <c r="N174" s="69">
        <f t="shared" si="11"/>
      </c>
      <c r="O174" s="22">
        <f t="shared" si="12"/>
      </c>
      <c r="P174" s="22">
        <f>IF(往来单位!$C$164="客户",1,0)</f>
        <v>0</v>
      </c>
      <c r="Q174" s="22">
        <f t="shared" si="13"/>
        <v>28</v>
      </c>
    </row>
    <row r="175">
      <c r="A175" s="56">
        <f>IF($B175="","",162)</f>
      </c>
      <c r="B175" s="66">
        <f>IF(162&gt;$Q$613,"",INDEX(往来单位!$B$4:$B$603,MATCH(162,$Q$14:$Q$613,0)))</f>
      </c>
      <c r="C175" s="67">
        <f t="shared" si="0"/>
      </c>
      <c r="D175" s="60">
        <f t="shared" si="1"/>
      </c>
      <c r="E175" s="53">
        <f t="shared" si="2"/>
      </c>
      <c r="F175" s="53">
        <f t="shared" si="3"/>
      </c>
      <c r="G175" s="53">
        <f t="shared" si="4"/>
      </c>
      <c r="H175" s="59">
        <f t="shared" si="5"/>
      </c>
      <c r="I175" s="53">
        <f t="shared" si="6"/>
      </c>
      <c r="J175" s="53">
        <f t="shared" si="7"/>
      </c>
      <c r="K175" s="53">
        <f t="shared" si="8"/>
      </c>
      <c r="L175" s="68">
        <f t="shared" si="9"/>
      </c>
      <c r="M175" s="56">
        <f t="shared" si="10"/>
      </c>
      <c r="N175" s="69">
        <f t="shared" si="11"/>
      </c>
      <c r="O175" s="22">
        <f t="shared" si="12"/>
      </c>
      <c r="P175" s="22">
        <f>IF(往来单位!$C$165="客户",1,0)</f>
        <v>0</v>
      </c>
      <c r="Q175" s="22">
        <f t="shared" si="13"/>
        <v>28</v>
      </c>
    </row>
    <row r="176">
      <c r="A176" s="56">
        <f>IF($B176="","",163)</f>
      </c>
      <c r="B176" s="66">
        <f>IF(163&gt;$Q$613,"",INDEX(往来单位!$B$4:$B$603,MATCH(163,$Q$14:$Q$613,0)))</f>
      </c>
      <c r="C176" s="67">
        <f t="shared" si="0"/>
      </c>
      <c r="D176" s="60">
        <f t="shared" si="1"/>
      </c>
      <c r="E176" s="53">
        <f t="shared" si="2"/>
      </c>
      <c r="F176" s="53">
        <f t="shared" si="3"/>
      </c>
      <c r="G176" s="53">
        <f t="shared" si="4"/>
      </c>
      <c r="H176" s="59">
        <f t="shared" si="5"/>
      </c>
      <c r="I176" s="53">
        <f t="shared" si="6"/>
      </c>
      <c r="J176" s="53">
        <f t="shared" si="7"/>
      </c>
      <c r="K176" s="53">
        <f t="shared" si="8"/>
      </c>
      <c r="L176" s="68">
        <f t="shared" si="9"/>
      </c>
      <c r="M176" s="56">
        <f t="shared" si="10"/>
      </c>
      <c r="N176" s="69">
        <f t="shared" si="11"/>
      </c>
      <c r="O176" s="22">
        <f t="shared" si="12"/>
      </c>
      <c r="P176" s="22">
        <f>IF(往来单位!$C$166="客户",1,0)</f>
        <v>0</v>
      </c>
      <c r="Q176" s="22">
        <f t="shared" si="13"/>
        <v>28</v>
      </c>
    </row>
    <row r="177">
      <c r="A177" s="56">
        <f>IF($B177="","",164)</f>
      </c>
      <c r="B177" s="66">
        <f>IF(164&gt;$Q$613,"",INDEX(往来单位!$B$4:$B$603,MATCH(164,$Q$14:$Q$613,0)))</f>
      </c>
      <c r="C177" s="67">
        <f t="shared" si="0"/>
      </c>
      <c r="D177" s="60">
        <f t="shared" si="1"/>
      </c>
      <c r="E177" s="53">
        <f t="shared" si="2"/>
      </c>
      <c r="F177" s="53">
        <f t="shared" si="3"/>
      </c>
      <c r="G177" s="53">
        <f t="shared" si="4"/>
      </c>
      <c r="H177" s="59">
        <f t="shared" si="5"/>
      </c>
      <c r="I177" s="53">
        <f t="shared" si="6"/>
      </c>
      <c r="J177" s="53">
        <f t="shared" si="7"/>
      </c>
      <c r="K177" s="53">
        <f t="shared" si="8"/>
      </c>
      <c r="L177" s="68">
        <f t="shared" si="9"/>
      </c>
      <c r="M177" s="56">
        <f t="shared" si="10"/>
      </c>
      <c r="N177" s="69">
        <f t="shared" si="11"/>
      </c>
      <c r="O177" s="22">
        <f t="shared" si="12"/>
      </c>
      <c r="P177" s="22">
        <f>IF(往来单位!$C$167="客户",1,0)</f>
        <v>0</v>
      </c>
      <c r="Q177" s="22">
        <f t="shared" si="13"/>
        <v>28</v>
      </c>
    </row>
    <row r="178">
      <c r="A178" s="56">
        <f>IF($B178="","",165)</f>
      </c>
      <c r="B178" s="66">
        <f>IF(165&gt;$Q$613,"",INDEX(往来单位!$B$4:$B$603,MATCH(165,$Q$14:$Q$613,0)))</f>
      </c>
      <c r="C178" s="67">
        <f t="shared" si="0"/>
      </c>
      <c r="D178" s="60">
        <f t="shared" si="1"/>
      </c>
      <c r="E178" s="53">
        <f t="shared" si="2"/>
      </c>
      <c r="F178" s="53">
        <f t="shared" si="3"/>
      </c>
      <c r="G178" s="53">
        <f t="shared" si="4"/>
      </c>
      <c r="H178" s="59">
        <f t="shared" si="5"/>
      </c>
      <c r="I178" s="53">
        <f t="shared" si="6"/>
      </c>
      <c r="J178" s="53">
        <f t="shared" si="7"/>
      </c>
      <c r="K178" s="53">
        <f t="shared" si="8"/>
      </c>
      <c r="L178" s="68">
        <f t="shared" si="9"/>
      </c>
      <c r="M178" s="56">
        <f t="shared" si="10"/>
      </c>
      <c r="N178" s="69">
        <f t="shared" si="11"/>
      </c>
      <c r="O178" s="22">
        <f t="shared" si="12"/>
      </c>
      <c r="P178" s="22">
        <f>IF(往来单位!$C$168="客户",1,0)</f>
        <v>0</v>
      </c>
      <c r="Q178" s="22">
        <f t="shared" si="13"/>
        <v>28</v>
      </c>
    </row>
    <row r="179">
      <c r="A179" s="56">
        <f>IF($B179="","",166)</f>
      </c>
      <c r="B179" s="66">
        <f>IF(166&gt;$Q$613,"",INDEX(往来单位!$B$4:$B$603,MATCH(166,$Q$14:$Q$613,0)))</f>
      </c>
      <c r="C179" s="67">
        <f t="shared" si="0"/>
      </c>
      <c r="D179" s="60">
        <f t="shared" si="1"/>
      </c>
      <c r="E179" s="53">
        <f t="shared" si="2"/>
      </c>
      <c r="F179" s="53">
        <f t="shared" si="3"/>
      </c>
      <c r="G179" s="53">
        <f t="shared" si="4"/>
      </c>
      <c r="H179" s="59">
        <f t="shared" si="5"/>
      </c>
      <c r="I179" s="53">
        <f t="shared" si="6"/>
      </c>
      <c r="J179" s="53">
        <f t="shared" si="7"/>
      </c>
      <c r="K179" s="53">
        <f t="shared" si="8"/>
      </c>
      <c r="L179" s="68">
        <f t="shared" si="9"/>
      </c>
      <c r="M179" s="56">
        <f t="shared" si="10"/>
      </c>
      <c r="N179" s="69">
        <f t="shared" si="11"/>
      </c>
      <c r="O179" s="22">
        <f t="shared" si="12"/>
      </c>
      <c r="P179" s="22">
        <f>IF(往来单位!$C$169="客户",1,0)</f>
        <v>0</v>
      </c>
      <c r="Q179" s="22">
        <f t="shared" si="13"/>
        <v>28</v>
      </c>
    </row>
    <row r="180">
      <c r="A180" s="56">
        <f>IF($B180="","",167)</f>
      </c>
      <c r="B180" s="66">
        <f>IF(167&gt;$Q$613,"",INDEX(往来单位!$B$4:$B$603,MATCH(167,$Q$14:$Q$613,0)))</f>
      </c>
      <c r="C180" s="67">
        <f t="shared" si="0"/>
      </c>
      <c r="D180" s="60">
        <f t="shared" si="1"/>
      </c>
      <c r="E180" s="53">
        <f t="shared" si="2"/>
      </c>
      <c r="F180" s="53">
        <f t="shared" si="3"/>
      </c>
      <c r="G180" s="53">
        <f t="shared" si="4"/>
      </c>
      <c r="H180" s="59">
        <f t="shared" si="5"/>
      </c>
      <c r="I180" s="53">
        <f t="shared" si="6"/>
      </c>
      <c r="J180" s="53">
        <f t="shared" si="7"/>
      </c>
      <c r="K180" s="53">
        <f t="shared" si="8"/>
      </c>
      <c r="L180" s="68">
        <f t="shared" si="9"/>
      </c>
      <c r="M180" s="56">
        <f t="shared" si="10"/>
      </c>
      <c r="N180" s="69">
        <f t="shared" si="11"/>
      </c>
      <c r="O180" s="22">
        <f t="shared" si="12"/>
      </c>
      <c r="P180" s="22">
        <f>IF(往来单位!$C$170="客户",1,0)</f>
        <v>0</v>
      </c>
      <c r="Q180" s="22">
        <f t="shared" si="13"/>
        <v>28</v>
      </c>
    </row>
    <row r="181">
      <c r="A181" s="56">
        <f>IF($B181="","",168)</f>
      </c>
      <c r="B181" s="66">
        <f>IF(168&gt;$Q$613,"",INDEX(往来单位!$B$4:$B$603,MATCH(168,$Q$14:$Q$613,0)))</f>
      </c>
      <c r="C181" s="67">
        <f t="shared" si="0"/>
      </c>
      <c r="D181" s="60">
        <f t="shared" si="1"/>
      </c>
      <c r="E181" s="53">
        <f t="shared" si="2"/>
      </c>
      <c r="F181" s="53">
        <f t="shared" si="3"/>
      </c>
      <c r="G181" s="53">
        <f t="shared" si="4"/>
      </c>
      <c r="H181" s="59">
        <f t="shared" si="5"/>
      </c>
      <c r="I181" s="53">
        <f t="shared" si="6"/>
      </c>
      <c r="J181" s="53">
        <f t="shared" si="7"/>
      </c>
      <c r="K181" s="53">
        <f t="shared" si="8"/>
      </c>
      <c r="L181" s="68">
        <f t="shared" si="9"/>
      </c>
      <c r="M181" s="56">
        <f t="shared" si="10"/>
      </c>
      <c r="N181" s="69">
        <f t="shared" si="11"/>
      </c>
      <c r="O181" s="22">
        <f t="shared" si="12"/>
      </c>
      <c r="P181" s="22">
        <f>IF(往来单位!$C$171="客户",1,0)</f>
        <v>0</v>
      </c>
      <c r="Q181" s="22">
        <f t="shared" si="13"/>
        <v>28</v>
      </c>
    </row>
    <row r="182">
      <c r="A182" s="56">
        <f>IF($B182="","",169)</f>
      </c>
      <c r="B182" s="66">
        <f>IF(169&gt;$Q$613,"",INDEX(往来单位!$B$4:$B$603,MATCH(169,$Q$14:$Q$613,0)))</f>
      </c>
      <c r="C182" s="67">
        <f t="shared" si="0"/>
      </c>
      <c r="D182" s="60">
        <f t="shared" si="1"/>
      </c>
      <c r="E182" s="53">
        <f t="shared" si="2"/>
      </c>
      <c r="F182" s="53">
        <f t="shared" si="3"/>
      </c>
      <c r="G182" s="53">
        <f t="shared" si="4"/>
      </c>
      <c r="H182" s="59">
        <f t="shared" si="5"/>
      </c>
      <c r="I182" s="53">
        <f t="shared" si="6"/>
      </c>
      <c r="J182" s="53">
        <f t="shared" si="7"/>
      </c>
      <c r="K182" s="53">
        <f t="shared" si="8"/>
      </c>
      <c r="L182" s="68">
        <f t="shared" si="9"/>
      </c>
      <c r="M182" s="56">
        <f t="shared" si="10"/>
      </c>
      <c r="N182" s="69">
        <f t="shared" si="11"/>
      </c>
      <c r="O182" s="22">
        <f t="shared" si="12"/>
      </c>
      <c r="P182" s="22">
        <f>IF(往来单位!$C$172="客户",1,0)</f>
        <v>0</v>
      </c>
      <c r="Q182" s="22">
        <f t="shared" si="13"/>
        <v>28</v>
      </c>
    </row>
    <row r="183">
      <c r="A183" s="56">
        <f>IF($B183="","",170)</f>
      </c>
      <c r="B183" s="66">
        <f>IF(170&gt;$Q$613,"",INDEX(往来单位!$B$4:$B$603,MATCH(170,$Q$14:$Q$613,0)))</f>
      </c>
      <c r="C183" s="67">
        <f t="shared" si="0"/>
      </c>
      <c r="D183" s="60">
        <f t="shared" si="1"/>
      </c>
      <c r="E183" s="53">
        <f t="shared" si="2"/>
      </c>
      <c r="F183" s="53">
        <f t="shared" si="3"/>
      </c>
      <c r="G183" s="53">
        <f t="shared" si="4"/>
      </c>
      <c r="H183" s="59">
        <f t="shared" si="5"/>
      </c>
      <c r="I183" s="53">
        <f t="shared" si="6"/>
      </c>
      <c r="J183" s="53">
        <f t="shared" si="7"/>
      </c>
      <c r="K183" s="53">
        <f t="shared" si="8"/>
      </c>
      <c r="L183" s="68">
        <f t="shared" si="9"/>
      </c>
      <c r="M183" s="56">
        <f t="shared" si="10"/>
      </c>
      <c r="N183" s="69">
        <f t="shared" si="11"/>
      </c>
      <c r="O183" s="22">
        <f t="shared" si="12"/>
      </c>
      <c r="P183" s="22">
        <f>IF(往来单位!$C$173="客户",1,0)</f>
        <v>0</v>
      </c>
      <c r="Q183" s="22">
        <f t="shared" si="13"/>
        <v>28</v>
      </c>
    </row>
    <row r="184">
      <c r="A184" s="56">
        <f>IF($B184="","",171)</f>
      </c>
      <c r="B184" s="66">
        <f>IF(171&gt;$Q$613,"",INDEX(往来单位!$B$4:$B$603,MATCH(171,$Q$14:$Q$613,0)))</f>
      </c>
      <c r="C184" s="67">
        <f t="shared" si="0"/>
      </c>
      <c r="D184" s="60">
        <f t="shared" si="1"/>
      </c>
      <c r="E184" s="53">
        <f t="shared" si="2"/>
      </c>
      <c r="F184" s="53">
        <f t="shared" si="3"/>
      </c>
      <c r="G184" s="53">
        <f t="shared" si="4"/>
      </c>
      <c r="H184" s="59">
        <f t="shared" si="5"/>
      </c>
      <c r="I184" s="53">
        <f t="shared" si="6"/>
      </c>
      <c r="J184" s="53">
        <f t="shared" si="7"/>
      </c>
      <c r="K184" s="53">
        <f t="shared" si="8"/>
      </c>
      <c r="L184" s="68">
        <f t="shared" si="9"/>
      </c>
      <c r="M184" s="56">
        <f t="shared" si="10"/>
      </c>
      <c r="N184" s="69">
        <f t="shared" si="11"/>
      </c>
      <c r="O184" s="22">
        <f t="shared" si="12"/>
      </c>
      <c r="P184" s="22">
        <f>IF(往来单位!$C$174="客户",1,0)</f>
        <v>0</v>
      </c>
      <c r="Q184" s="22">
        <f t="shared" si="13"/>
        <v>28</v>
      </c>
    </row>
    <row r="185">
      <c r="A185" s="56">
        <f>IF($B185="","",172)</f>
      </c>
      <c r="B185" s="66">
        <f>IF(172&gt;$Q$613,"",INDEX(往来单位!$B$4:$B$603,MATCH(172,$Q$14:$Q$613,0)))</f>
      </c>
      <c r="C185" s="67">
        <f t="shared" si="0"/>
      </c>
      <c r="D185" s="60">
        <f t="shared" si="1"/>
      </c>
      <c r="E185" s="53">
        <f t="shared" si="2"/>
      </c>
      <c r="F185" s="53">
        <f t="shared" si="3"/>
      </c>
      <c r="G185" s="53">
        <f t="shared" si="4"/>
      </c>
      <c r="H185" s="59">
        <f t="shared" si="5"/>
      </c>
      <c r="I185" s="53">
        <f t="shared" si="6"/>
      </c>
      <c r="J185" s="53">
        <f t="shared" si="7"/>
      </c>
      <c r="K185" s="53">
        <f t="shared" si="8"/>
      </c>
      <c r="L185" s="68">
        <f t="shared" si="9"/>
      </c>
      <c r="M185" s="56">
        <f t="shared" si="10"/>
      </c>
      <c r="N185" s="69">
        <f t="shared" si="11"/>
      </c>
      <c r="O185" s="22">
        <f t="shared" si="12"/>
      </c>
      <c r="P185" s="22">
        <f>IF(往来单位!$C$175="客户",1,0)</f>
        <v>0</v>
      </c>
      <c r="Q185" s="22">
        <f t="shared" si="13"/>
        <v>28</v>
      </c>
    </row>
    <row r="186">
      <c r="A186" s="56">
        <f>IF($B186="","",173)</f>
      </c>
      <c r="B186" s="66">
        <f>IF(173&gt;$Q$613,"",INDEX(往来单位!$B$4:$B$603,MATCH(173,$Q$14:$Q$613,0)))</f>
      </c>
      <c r="C186" s="67">
        <f t="shared" si="0"/>
      </c>
      <c r="D186" s="60">
        <f t="shared" si="1"/>
      </c>
      <c r="E186" s="53">
        <f t="shared" si="2"/>
      </c>
      <c r="F186" s="53">
        <f t="shared" si="3"/>
      </c>
      <c r="G186" s="53">
        <f t="shared" si="4"/>
      </c>
      <c r="H186" s="59">
        <f t="shared" si="5"/>
      </c>
      <c r="I186" s="53">
        <f t="shared" si="6"/>
      </c>
      <c r="J186" s="53">
        <f t="shared" si="7"/>
      </c>
      <c r="K186" s="53">
        <f t="shared" si="8"/>
      </c>
      <c r="L186" s="68">
        <f t="shared" si="9"/>
      </c>
      <c r="M186" s="56">
        <f t="shared" si="10"/>
      </c>
      <c r="N186" s="69">
        <f t="shared" si="11"/>
      </c>
      <c r="O186" s="22">
        <f t="shared" si="12"/>
      </c>
      <c r="P186" s="22">
        <f>IF(往来单位!$C$176="客户",1,0)</f>
        <v>0</v>
      </c>
      <c r="Q186" s="22">
        <f t="shared" si="13"/>
        <v>28</v>
      </c>
    </row>
    <row r="187">
      <c r="A187" s="56">
        <f>IF($B187="","",174)</f>
      </c>
      <c r="B187" s="66">
        <f>IF(174&gt;$Q$613,"",INDEX(往来单位!$B$4:$B$603,MATCH(174,$Q$14:$Q$613,0)))</f>
      </c>
      <c r="C187" s="67">
        <f t="shared" si="0"/>
      </c>
      <c r="D187" s="60">
        <f t="shared" si="1"/>
      </c>
      <c r="E187" s="53">
        <f t="shared" si="2"/>
      </c>
      <c r="F187" s="53">
        <f t="shared" si="3"/>
      </c>
      <c r="G187" s="53">
        <f t="shared" si="4"/>
      </c>
      <c r="H187" s="59">
        <f t="shared" si="5"/>
      </c>
      <c r="I187" s="53">
        <f t="shared" si="6"/>
      </c>
      <c r="J187" s="53">
        <f t="shared" si="7"/>
      </c>
      <c r="K187" s="53">
        <f t="shared" si="8"/>
      </c>
      <c r="L187" s="68">
        <f t="shared" si="9"/>
      </c>
      <c r="M187" s="56">
        <f t="shared" si="10"/>
      </c>
      <c r="N187" s="69">
        <f t="shared" si="11"/>
      </c>
      <c r="O187" s="22">
        <f t="shared" si="12"/>
      </c>
      <c r="P187" s="22">
        <f>IF(往来单位!$C$177="客户",1,0)</f>
        <v>0</v>
      </c>
      <c r="Q187" s="22">
        <f t="shared" si="13"/>
        <v>28</v>
      </c>
    </row>
    <row r="188">
      <c r="A188" s="56">
        <f>IF($B188="","",175)</f>
      </c>
      <c r="B188" s="66">
        <f>IF(175&gt;$Q$613,"",INDEX(往来单位!$B$4:$B$603,MATCH(175,$Q$14:$Q$613,0)))</f>
      </c>
      <c r="C188" s="67">
        <f t="shared" si="0"/>
      </c>
      <c r="D188" s="60">
        <f t="shared" si="1"/>
      </c>
      <c r="E188" s="53">
        <f t="shared" si="2"/>
      </c>
      <c r="F188" s="53">
        <f t="shared" si="3"/>
      </c>
      <c r="G188" s="53">
        <f t="shared" si="4"/>
      </c>
      <c r="H188" s="59">
        <f t="shared" si="5"/>
      </c>
      <c r="I188" s="53">
        <f t="shared" si="6"/>
      </c>
      <c r="J188" s="53">
        <f t="shared" si="7"/>
      </c>
      <c r="K188" s="53">
        <f t="shared" si="8"/>
      </c>
      <c r="L188" s="68">
        <f t="shared" si="9"/>
      </c>
      <c r="M188" s="56">
        <f t="shared" si="10"/>
      </c>
      <c r="N188" s="69">
        <f t="shared" si="11"/>
      </c>
      <c r="O188" s="22">
        <f t="shared" si="12"/>
      </c>
      <c r="P188" s="22">
        <f>IF(往来单位!$C$178="客户",1,0)</f>
        <v>0</v>
      </c>
      <c r="Q188" s="22">
        <f t="shared" si="13"/>
        <v>28</v>
      </c>
    </row>
    <row r="189">
      <c r="A189" s="56">
        <f>IF($B189="","",176)</f>
      </c>
      <c r="B189" s="66">
        <f>IF(176&gt;$Q$613,"",INDEX(往来单位!$B$4:$B$603,MATCH(176,$Q$14:$Q$613,0)))</f>
      </c>
      <c r="C189" s="67">
        <f t="shared" si="0"/>
      </c>
      <c r="D189" s="60">
        <f t="shared" si="1"/>
      </c>
      <c r="E189" s="53">
        <f t="shared" si="2"/>
      </c>
      <c r="F189" s="53">
        <f t="shared" si="3"/>
      </c>
      <c r="G189" s="53">
        <f t="shared" si="4"/>
      </c>
      <c r="H189" s="59">
        <f t="shared" si="5"/>
      </c>
      <c r="I189" s="53">
        <f t="shared" si="6"/>
      </c>
      <c r="J189" s="53">
        <f t="shared" si="7"/>
      </c>
      <c r="K189" s="53">
        <f t="shared" si="8"/>
      </c>
      <c r="L189" s="68">
        <f t="shared" si="9"/>
      </c>
      <c r="M189" s="56">
        <f t="shared" si="10"/>
      </c>
      <c r="N189" s="69">
        <f t="shared" si="11"/>
      </c>
      <c r="O189" s="22">
        <f t="shared" si="12"/>
      </c>
      <c r="P189" s="22">
        <f>IF(往来单位!$C$179="客户",1,0)</f>
        <v>0</v>
      </c>
      <c r="Q189" s="22">
        <f t="shared" si="13"/>
        <v>28</v>
      </c>
    </row>
    <row r="190">
      <c r="A190" s="56">
        <f>IF($B190="","",177)</f>
      </c>
      <c r="B190" s="66">
        <f>IF(177&gt;$Q$613,"",INDEX(往来单位!$B$4:$B$603,MATCH(177,$Q$14:$Q$613,0)))</f>
      </c>
      <c r="C190" s="67">
        <f t="shared" si="0"/>
      </c>
      <c r="D190" s="60">
        <f t="shared" si="1"/>
      </c>
      <c r="E190" s="53">
        <f t="shared" si="2"/>
      </c>
      <c r="F190" s="53">
        <f t="shared" si="3"/>
      </c>
      <c r="G190" s="53">
        <f t="shared" si="4"/>
      </c>
      <c r="H190" s="59">
        <f t="shared" si="5"/>
      </c>
      <c r="I190" s="53">
        <f t="shared" si="6"/>
      </c>
      <c r="J190" s="53">
        <f t="shared" si="7"/>
      </c>
      <c r="K190" s="53">
        <f t="shared" si="8"/>
      </c>
      <c r="L190" s="68">
        <f t="shared" si="9"/>
      </c>
      <c r="M190" s="56">
        <f t="shared" si="10"/>
      </c>
      <c r="N190" s="69">
        <f t="shared" si="11"/>
      </c>
      <c r="O190" s="22">
        <f t="shared" si="12"/>
      </c>
      <c r="P190" s="22">
        <f>IF(往来单位!$C$180="客户",1,0)</f>
        <v>0</v>
      </c>
      <c r="Q190" s="22">
        <f t="shared" si="13"/>
        <v>28</v>
      </c>
    </row>
    <row r="191">
      <c r="A191" s="56">
        <f>IF($B191="","",178)</f>
      </c>
      <c r="B191" s="66">
        <f>IF(178&gt;$Q$613,"",INDEX(往来单位!$B$4:$B$603,MATCH(178,$Q$14:$Q$613,0)))</f>
      </c>
      <c r="C191" s="67">
        <f t="shared" si="0"/>
      </c>
      <c r="D191" s="60">
        <f t="shared" si="1"/>
      </c>
      <c r="E191" s="53">
        <f t="shared" si="2"/>
      </c>
      <c r="F191" s="53">
        <f t="shared" si="3"/>
      </c>
      <c r="G191" s="53">
        <f t="shared" si="4"/>
      </c>
      <c r="H191" s="59">
        <f t="shared" si="5"/>
      </c>
      <c r="I191" s="53">
        <f t="shared" si="6"/>
      </c>
      <c r="J191" s="53">
        <f t="shared" si="7"/>
      </c>
      <c r="K191" s="53">
        <f t="shared" si="8"/>
      </c>
      <c r="L191" s="68">
        <f t="shared" si="9"/>
      </c>
      <c r="M191" s="56">
        <f t="shared" si="10"/>
      </c>
      <c r="N191" s="69">
        <f t="shared" si="11"/>
      </c>
      <c r="O191" s="22">
        <f t="shared" si="12"/>
      </c>
      <c r="P191" s="22">
        <f>IF(往来单位!$C$181="客户",1,0)</f>
        <v>0</v>
      </c>
      <c r="Q191" s="22">
        <f t="shared" si="13"/>
        <v>28</v>
      </c>
    </row>
    <row r="192">
      <c r="A192" s="56">
        <f>IF($B192="","",179)</f>
      </c>
      <c r="B192" s="66">
        <f>IF(179&gt;$Q$613,"",INDEX(往来单位!$B$4:$B$603,MATCH(179,$Q$14:$Q$613,0)))</f>
      </c>
      <c r="C192" s="67">
        <f t="shared" si="0"/>
      </c>
      <c r="D192" s="60">
        <f t="shared" si="1"/>
      </c>
      <c r="E192" s="53">
        <f t="shared" si="2"/>
      </c>
      <c r="F192" s="53">
        <f t="shared" si="3"/>
      </c>
      <c r="G192" s="53">
        <f t="shared" si="4"/>
      </c>
      <c r="H192" s="59">
        <f t="shared" si="5"/>
      </c>
      <c r="I192" s="53">
        <f t="shared" si="6"/>
      </c>
      <c r="J192" s="53">
        <f t="shared" si="7"/>
      </c>
      <c r="K192" s="53">
        <f t="shared" si="8"/>
      </c>
      <c r="L192" s="68">
        <f t="shared" si="9"/>
      </c>
      <c r="M192" s="56">
        <f t="shared" si="10"/>
      </c>
      <c r="N192" s="69">
        <f t="shared" si="11"/>
      </c>
      <c r="O192" s="22">
        <f t="shared" si="12"/>
      </c>
      <c r="P192" s="22">
        <f>IF(往来单位!$C$182="客户",1,0)</f>
        <v>0</v>
      </c>
      <c r="Q192" s="22">
        <f t="shared" si="13"/>
        <v>28</v>
      </c>
    </row>
    <row r="193">
      <c r="A193" s="56">
        <f>IF($B193="","",180)</f>
      </c>
      <c r="B193" s="66">
        <f>IF(180&gt;$Q$613,"",INDEX(往来单位!$B$4:$B$603,MATCH(180,$Q$14:$Q$613,0)))</f>
      </c>
      <c r="C193" s="67">
        <f t="shared" si="0"/>
      </c>
      <c r="D193" s="60">
        <f t="shared" si="1"/>
      </c>
      <c r="E193" s="53">
        <f t="shared" si="2"/>
      </c>
      <c r="F193" s="53">
        <f t="shared" si="3"/>
      </c>
      <c r="G193" s="53">
        <f t="shared" si="4"/>
      </c>
      <c r="H193" s="59">
        <f t="shared" si="5"/>
      </c>
      <c r="I193" s="53">
        <f t="shared" si="6"/>
      </c>
      <c r="J193" s="53">
        <f t="shared" si="7"/>
      </c>
      <c r="K193" s="53">
        <f t="shared" si="8"/>
      </c>
      <c r="L193" s="68">
        <f t="shared" si="9"/>
      </c>
      <c r="M193" s="56">
        <f t="shared" si="10"/>
      </c>
      <c r="N193" s="69">
        <f t="shared" si="11"/>
      </c>
      <c r="O193" s="22">
        <f t="shared" si="12"/>
      </c>
      <c r="P193" s="22">
        <f>IF(往来单位!$C$183="客户",1,0)</f>
        <v>0</v>
      </c>
      <c r="Q193" s="22">
        <f t="shared" si="13"/>
        <v>28</v>
      </c>
    </row>
    <row r="194">
      <c r="A194" s="56">
        <f>IF($B194="","",181)</f>
      </c>
      <c r="B194" s="66">
        <f>IF(181&gt;$Q$613,"",INDEX(往来单位!$B$4:$B$603,MATCH(181,$Q$14:$Q$613,0)))</f>
      </c>
      <c r="C194" s="67">
        <f t="shared" si="0"/>
      </c>
      <c r="D194" s="60">
        <f t="shared" si="1"/>
      </c>
      <c r="E194" s="53">
        <f t="shared" si="2"/>
      </c>
      <c r="F194" s="53">
        <f t="shared" si="3"/>
      </c>
      <c r="G194" s="53">
        <f t="shared" si="4"/>
      </c>
      <c r="H194" s="59">
        <f t="shared" si="5"/>
      </c>
      <c r="I194" s="53">
        <f t="shared" si="6"/>
      </c>
      <c r="J194" s="53">
        <f t="shared" si="7"/>
      </c>
      <c r="K194" s="53">
        <f t="shared" si="8"/>
      </c>
      <c r="L194" s="68">
        <f t="shared" si="9"/>
      </c>
      <c r="M194" s="56">
        <f t="shared" si="10"/>
      </c>
      <c r="N194" s="69">
        <f t="shared" si="11"/>
      </c>
      <c r="O194" s="22">
        <f t="shared" si="12"/>
      </c>
      <c r="P194" s="22">
        <f>IF(往来单位!$C$184="客户",1,0)</f>
        <v>0</v>
      </c>
      <c r="Q194" s="22">
        <f t="shared" si="13"/>
        <v>28</v>
      </c>
    </row>
    <row r="195">
      <c r="A195" s="56">
        <f>IF($B195="","",182)</f>
      </c>
      <c r="B195" s="66">
        <f>IF(182&gt;$Q$613,"",INDEX(往来单位!$B$4:$B$603,MATCH(182,$Q$14:$Q$613,0)))</f>
      </c>
      <c r="C195" s="67">
        <f t="shared" si="0"/>
      </c>
      <c r="D195" s="60">
        <f t="shared" si="1"/>
      </c>
      <c r="E195" s="53">
        <f t="shared" si="2"/>
      </c>
      <c r="F195" s="53">
        <f t="shared" si="3"/>
      </c>
      <c r="G195" s="53">
        <f t="shared" si="4"/>
      </c>
      <c r="H195" s="59">
        <f t="shared" si="5"/>
      </c>
      <c r="I195" s="53">
        <f t="shared" si="6"/>
      </c>
      <c r="J195" s="53">
        <f t="shared" si="7"/>
      </c>
      <c r="K195" s="53">
        <f t="shared" si="8"/>
      </c>
      <c r="L195" s="68">
        <f t="shared" si="9"/>
      </c>
      <c r="M195" s="56">
        <f t="shared" si="10"/>
      </c>
      <c r="N195" s="69">
        <f t="shared" si="11"/>
      </c>
      <c r="O195" s="22">
        <f t="shared" si="12"/>
      </c>
      <c r="P195" s="22">
        <f>IF(往来单位!$C$185="客户",1,0)</f>
        <v>0</v>
      </c>
      <c r="Q195" s="22">
        <f t="shared" si="13"/>
        <v>28</v>
      </c>
    </row>
    <row r="196">
      <c r="A196" s="56">
        <f>IF($B196="","",183)</f>
      </c>
      <c r="B196" s="66">
        <f>IF(183&gt;$Q$613,"",INDEX(往来单位!$B$4:$B$603,MATCH(183,$Q$14:$Q$613,0)))</f>
      </c>
      <c r="C196" s="67">
        <f t="shared" si="0"/>
      </c>
      <c r="D196" s="60">
        <f t="shared" si="1"/>
      </c>
      <c r="E196" s="53">
        <f t="shared" si="2"/>
      </c>
      <c r="F196" s="53">
        <f t="shared" si="3"/>
      </c>
      <c r="G196" s="53">
        <f t="shared" si="4"/>
      </c>
      <c r="H196" s="59">
        <f t="shared" si="5"/>
      </c>
      <c r="I196" s="53">
        <f t="shared" si="6"/>
      </c>
      <c r="J196" s="53">
        <f t="shared" si="7"/>
      </c>
      <c r="K196" s="53">
        <f t="shared" si="8"/>
      </c>
      <c r="L196" s="68">
        <f t="shared" si="9"/>
      </c>
      <c r="M196" s="56">
        <f t="shared" si="10"/>
      </c>
      <c r="N196" s="69">
        <f t="shared" si="11"/>
      </c>
      <c r="O196" s="22">
        <f t="shared" si="12"/>
      </c>
      <c r="P196" s="22">
        <f>IF(往来单位!$C$186="客户",1,0)</f>
        <v>0</v>
      </c>
      <c r="Q196" s="22">
        <f t="shared" si="13"/>
        <v>28</v>
      </c>
    </row>
    <row r="197">
      <c r="A197" s="56">
        <f>IF($B197="","",184)</f>
      </c>
      <c r="B197" s="66">
        <f>IF(184&gt;$Q$613,"",INDEX(往来单位!$B$4:$B$603,MATCH(184,$Q$14:$Q$613,0)))</f>
      </c>
      <c r="C197" s="67">
        <f t="shared" si="0"/>
      </c>
      <c r="D197" s="60">
        <f t="shared" si="1"/>
      </c>
      <c r="E197" s="53">
        <f t="shared" si="2"/>
      </c>
      <c r="F197" s="53">
        <f t="shared" si="3"/>
      </c>
      <c r="G197" s="53">
        <f t="shared" si="4"/>
      </c>
      <c r="H197" s="59">
        <f t="shared" si="5"/>
      </c>
      <c r="I197" s="53">
        <f t="shared" si="6"/>
      </c>
      <c r="J197" s="53">
        <f t="shared" si="7"/>
      </c>
      <c r="K197" s="53">
        <f t="shared" si="8"/>
      </c>
      <c r="L197" s="68">
        <f t="shared" si="9"/>
      </c>
      <c r="M197" s="56">
        <f t="shared" si="10"/>
      </c>
      <c r="N197" s="69">
        <f t="shared" si="11"/>
      </c>
      <c r="O197" s="22">
        <f t="shared" si="12"/>
      </c>
      <c r="P197" s="22">
        <f>IF(往来单位!$C$187="客户",1,0)</f>
        <v>0</v>
      </c>
      <c r="Q197" s="22">
        <f t="shared" si="13"/>
        <v>28</v>
      </c>
    </row>
    <row r="198">
      <c r="A198" s="56">
        <f>IF($B198="","",185)</f>
      </c>
      <c r="B198" s="66">
        <f>IF(185&gt;$Q$613,"",INDEX(往来单位!$B$4:$B$603,MATCH(185,$Q$14:$Q$613,0)))</f>
      </c>
      <c r="C198" s="67">
        <f t="shared" si="0"/>
      </c>
      <c r="D198" s="60">
        <f t="shared" si="1"/>
      </c>
      <c r="E198" s="53">
        <f t="shared" si="2"/>
      </c>
      <c r="F198" s="53">
        <f t="shared" si="3"/>
      </c>
      <c r="G198" s="53">
        <f t="shared" si="4"/>
      </c>
      <c r="H198" s="59">
        <f t="shared" si="5"/>
      </c>
      <c r="I198" s="53">
        <f t="shared" si="6"/>
      </c>
      <c r="J198" s="53">
        <f t="shared" si="7"/>
      </c>
      <c r="K198" s="53">
        <f t="shared" si="8"/>
      </c>
      <c r="L198" s="68">
        <f t="shared" si="9"/>
      </c>
      <c r="M198" s="56">
        <f t="shared" si="10"/>
      </c>
      <c r="N198" s="69">
        <f t="shared" si="11"/>
      </c>
      <c r="O198" s="22">
        <f t="shared" si="12"/>
      </c>
      <c r="P198" s="22">
        <f>IF(往来单位!$C$188="客户",1,0)</f>
        <v>0</v>
      </c>
      <c r="Q198" s="22">
        <f t="shared" si="13"/>
        <v>28</v>
      </c>
    </row>
    <row r="199">
      <c r="A199" s="56">
        <f>IF($B199="","",186)</f>
      </c>
      <c r="B199" s="66">
        <f>IF(186&gt;$Q$613,"",INDEX(往来单位!$B$4:$B$603,MATCH(186,$Q$14:$Q$613,0)))</f>
      </c>
      <c r="C199" s="67">
        <f t="shared" si="0"/>
      </c>
      <c r="D199" s="60">
        <f t="shared" si="1"/>
      </c>
      <c r="E199" s="53">
        <f t="shared" si="2"/>
      </c>
      <c r="F199" s="53">
        <f t="shared" si="3"/>
      </c>
      <c r="G199" s="53">
        <f t="shared" si="4"/>
      </c>
      <c r="H199" s="59">
        <f t="shared" si="5"/>
      </c>
      <c r="I199" s="53">
        <f t="shared" si="6"/>
      </c>
      <c r="J199" s="53">
        <f t="shared" si="7"/>
      </c>
      <c r="K199" s="53">
        <f t="shared" si="8"/>
      </c>
      <c r="L199" s="68">
        <f t="shared" si="9"/>
      </c>
      <c r="M199" s="56">
        <f t="shared" si="10"/>
      </c>
      <c r="N199" s="69">
        <f t="shared" si="11"/>
      </c>
      <c r="O199" s="22">
        <f t="shared" si="12"/>
      </c>
      <c r="P199" s="22">
        <f>IF(往来单位!$C$189="客户",1,0)</f>
        <v>0</v>
      </c>
      <c r="Q199" s="22">
        <f t="shared" si="13"/>
        <v>28</v>
      </c>
    </row>
    <row r="200">
      <c r="A200" s="56">
        <f>IF($B200="","",187)</f>
      </c>
      <c r="B200" s="66">
        <f>IF(187&gt;$Q$613,"",INDEX(往来单位!$B$4:$B$603,MATCH(187,$Q$14:$Q$613,0)))</f>
      </c>
      <c r="C200" s="67">
        <f t="shared" si="0"/>
      </c>
      <c r="D200" s="60">
        <f t="shared" si="1"/>
      </c>
      <c r="E200" s="53">
        <f t="shared" si="2"/>
      </c>
      <c r="F200" s="53">
        <f t="shared" si="3"/>
      </c>
      <c r="G200" s="53">
        <f t="shared" si="4"/>
      </c>
      <c r="H200" s="59">
        <f t="shared" si="5"/>
      </c>
      <c r="I200" s="53">
        <f t="shared" si="6"/>
      </c>
      <c r="J200" s="53">
        <f t="shared" si="7"/>
      </c>
      <c r="K200" s="53">
        <f t="shared" si="8"/>
      </c>
      <c r="L200" s="68">
        <f t="shared" si="9"/>
      </c>
      <c r="M200" s="56">
        <f t="shared" si="10"/>
      </c>
      <c r="N200" s="69">
        <f t="shared" si="11"/>
      </c>
      <c r="O200" s="22">
        <f t="shared" si="12"/>
      </c>
      <c r="P200" s="22">
        <f>IF(往来单位!$C$190="客户",1,0)</f>
        <v>0</v>
      </c>
      <c r="Q200" s="22">
        <f t="shared" si="13"/>
        <v>28</v>
      </c>
    </row>
    <row r="201">
      <c r="A201" s="56">
        <f>IF($B201="","",188)</f>
      </c>
      <c r="B201" s="66">
        <f>IF(188&gt;$Q$613,"",INDEX(往来单位!$B$4:$B$603,MATCH(188,$Q$14:$Q$613,0)))</f>
      </c>
      <c r="C201" s="67">
        <f t="shared" si="0"/>
      </c>
      <c r="D201" s="60">
        <f t="shared" si="1"/>
      </c>
      <c r="E201" s="53">
        <f t="shared" si="2"/>
      </c>
      <c r="F201" s="53">
        <f t="shared" si="3"/>
      </c>
      <c r="G201" s="53">
        <f t="shared" si="4"/>
      </c>
      <c r="H201" s="59">
        <f t="shared" si="5"/>
      </c>
      <c r="I201" s="53">
        <f t="shared" si="6"/>
      </c>
      <c r="J201" s="53">
        <f t="shared" si="7"/>
      </c>
      <c r="K201" s="53">
        <f t="shared" si="8"/>
      </c>
      <c r="L201" s="68">
        <f t="shared" si="9"/>
      </c>
      <c r="M201" s="56">
        <f t="shared" si="10"/>
      </c>
      <c r="N201" s="69">
        <f t="shared" si="11"/>
      </c>
      <c r="O201" s="22">
        <f t="shared" si="12"/>
      </c>
      <c r="P201" s="22">
        <f>IF(往来单位!$C$191="客户",1,0)</f>
        <v>0</v>
      </c>
      <c r="Q201" s="22">
        <f t="shared" si="13"/>
        <v>28</v>
      </c>
    </row>
    <row r="202">
      <c r="A202" s="56">
        <f>IF($B202="","",189)</f>
      </c>
      <c r="B202" s="66">
        <f>IF(189&gt;$Q$613,"",INDEX(往来单位!$B$4:$B$603,MATCH(189,$Q$14:$Q$613,0)))</f>
      </c>
      <c r="C202" s="67">
        <f t="shared" si="0"/>
      </c>
      <c r="D202" s="60">
        <f t="shared" si="1"/>
      </c>
      <c r="E202" s="53">
        <f t="shared" si="2"/>
      </c>
      <c r="F202" s="53">
        <f t="shared" si="3"/>
      </c>
      <c r="G202" s="53">
        <f t="shared" si="4"/>
      </c>
      <c r="H202" s="59">
        <f t="shared" si="5"/>
      </c>
      <c r="I202" s="53">
        <f t="shared" si="6"/>
      </c>
      <c r="J202" s="53">
        <f t="shared" si="7"/>
      </c>
      <c r="K202" s="53">
        <f t="shared" si="8"/>
      </c>
      <c r="L202" s="68">
        <f t="shared" si="9"/>
      </c>
      <c r="M202" s="56">
        <f t="shared" si="10"/>
      </c>
      <c r="N202" s="69">
        <f t="shared" si="11"/>
      </c>
      <c r="O202" s="22">
        <f t="shared" si="12"/>
      </c>
      <c r="P202" s="22">
        <f>IF(往来单位!$C$192="客户",1,0)</f>
        <v>0</v>
      </c>
      <c r="Q202" s="22">
        <f t="shared" si="13"/>
        <v>28</v>
      </c>
    </row>
    <row r="203">
      <c r="A203" s="56">
        <f>IF($B203="","",190)</f>
      </c>
      <c r="B203" s="66">
        <f>IF(190&gt;$Q$613,"",INDEX(往来单位!$B$4:$B$603,MATCH(190,$Q$14:$Q$613,0)))</f>
      </c>
      <c r="C203" s="67">
        <f t="shared" si="0"/>
      </c>
      <c r="D203" s="60">
        <f t="shared" si="1"/>
      </c>
      <c r="E203" s="53">
        <f t="shared" si="2"/>
      </c>
      <c r="F203" s="53">
        <f t="shared" si="3"/>
      </c>
      <c r="G203" s="53">
        <f t="shared" si="4"/>
      </c>
      <c r="H203" s="59">
        <f t="shared" si="5"/>
      </c>
      <c r="I203" s="53">
        <f t="shared" si="6"/>
      </c>
      <c r="J203" s="53">
        <f t="shared" si="7"/>
      </c>
      <c r="K203" s="53">
        <f t="shared" si="8"/>
      </c>
      <c r="L203" s="68">
        <f t="shared" si="9"/>
      </c>
      <c r="M203" s="56">
        <f t="shared" si="10"/>
      </c>
      <c r="N203" s="69">
        <f t="shared" si="11"/>
      </c>
      <c r="O203" s="22">
        <f t="shared" si="12"/>
      </c>
      <c r="P203" s="22">
        <f>IF(往来单位!$C$193="客户",1,0)</f>
        <v>0</v>
      </c>
      <c r="Q203" s="22">
        <f t="shared" si="13"/>
        <v>28</v>
      </c>
    </row>
    <row r="204">
      <c r="A204" s="56">
        <f>IF($B204="","",191)</f>
      </c>
      <c r="B204" s="66">
        <f>IF(191&gt;$Q$613,"",INDEX(往来单位!$B$4:$B$603,MATCH(191,$Q$14:$Q$613,0)))</f>
      </c>
      <c r="C204" s="67">
        <f t="shared" si="0"/>
      </c>
      <c r="D204" s="60">
        <f t="shared" si="1"/>
      </c>
      <c r="E204" s="53">
        <f t="shared" si="2"/>
      </c>
      <c r="F204" s="53">
        <f t="shared" si="3"/>
      </c>
      <c r="G204" s="53">
        <f t="shared" si="4"/>
      </c>
      <c r="H204" s="59">
        <f t="shared" si="5"/>
      </c>
      <c r="I204" s="53">
        <f t="shared" si="6"/>
      </c>
      <c r="J204" s="53">
        <f t="shared" si="7"/>
      </c>
      <c r="K204" s="53">
        <f t="shared" si="8"/>
      </c>
      <c r="L204" s="68">
        <f t="shared" si="9"/>
      </c>
      <c r="M204" s="56">
        <f t="shared" si="10"/>
      </c>
      <c r="N204" s="69">
        <f t="shared" si="11"/>
      </c>
      <c r="O204" s="22">
        <f t="shared" si="12"/>
      </c>
      <c r="P204" s="22">
        <f>IF(往来单位!$C$194="客户",1,0)</f>
        <v>0</v>
      </c>
      <c r="Q204" s="22">
        <f t="shared" si="13"/>
        <v>28</v>
      </c>
    </row>
    <row r="205">
      <c r="A205" s="56">
        <f>IF($B205="","",192)</f>
      </c>
      <c r="B205" s="66">
        <f>IF(192&gt;$Q$613,"",INDEX(往来单位!$B$4:$B$603,MATCH(192,$Q$14:$Q$613,0)))</f>
      </c>
      <c r="C205" s="67">
        <f t="shared" si="0"/>
      </c>
      <c r="D205" s="60">
        <f t="shared" si="1"/>
      </c>
      <c r="E205" s="53">
        <f t="shared" si="2"/>
      </c>
      <c r="F205" s="53">
        <f t="shared" si="3"/>
      </c>
      <c r="G205" s="53">
        <f t="shared" si="4"/>
      </c>
      <c r="H205" s="59">
        <f t="shared" si="5"/>
      </c>
      <c r="I205" s="53">
        <f t="shared" si="6"/>
      </c>
      <c r="J205" s="53">
        <f t="shared" si="7"/>
      </c>
      <c r="K205" s="53">
        <f t="shared" si="8"/>
      </c>
      <c r="L205" s="68">
        <f t="shared" si="9"/>
      </c>
      <c r="M205" s="56">
        <f t="shared" si="10"/>
      </c>
      <c r="N205" s="69">
        <f t="shared" si="11"/>
      </c>
      <c r="O205" s="22">
        <f t="shared" si="12"/>
      </c>
      <c r="P205" s="22">
        <f>IF(往来单位!$C$195="客户",1,0)</f>
        <v>0</v>
      </c>
      <c r="Q205" s="22">
        <f t="shared" si="13"/>
        <v>28</v>
      </c>
    </row>
    <row r="206">
      <c r="A206" s="56">
        <f>IF($B206="","",193)</f>
      </c>
      <c r="B206" s="66">
        <f>IF(193&gt;$Q$613,"",INDEX(往来单位!$B$4:$B$603,MATCH(193,$Q$14:$Q$613,0)))</f>
      </c>
      <c r="C206" s="67">
        <f t="shared" si="0"/>
      </c>
      <c r="D206" s="60">
        <f t="shared" si="1"/>
      </c>
      <c r="E206" s="53">
        <f t="shared" si="2"/>
      </c>
      <c r="F206" s="53">
        <f t="shared" si="3"/>
      </c>
      <c r="G206" s="53">
        <f t="shared" si="4"/>
      </c>
      <c r="H206" s="59">
        <f t="shared" si="5"/>
      </c>
      <c r="I206" s="53">
        <f t="shared" si="6"/>
      </c>
      <c r="J206" s="53">
        <f t="shared" si="7"/>
      </c>
      <c r="K206" s="53">
        <f t="shared" si="8"/>
      </c>
      <c r="L206" s="68">
        <f t="shared" si="9"/>
      </c>
      <c r="M206" s="56">
        <f t="shared" si="10"/>
      </c>
      <c r="N206" s="69">
        <f t="shared" si="11"/>
      </c>
      <c r="O206" s="22">
        <f t="shared" si="12"/>
      </c>
      <c r="P206" s="22">
        <f>IF(往来单位!$C$196="客户",1,0)</f>
        <v>0</v>
      </c>
      <c r="Q206" s="22">
        <f t="shared" si="13"/>
        <v>28</v>
      </c>
    </row>
    <row r="207">
      <c r="A207" s="56">
        <f>IF($B207="","",194)</f>
      </c>
      <c r="B207" s="66">
        <f>IF(194&gt;$Q$613,"",INDEX(往来单位!$B$4:$B$603,MATCH(194,$Q$14:$Q$613,0)))</f>
      </c>
      <c r="C207" s="67">
        <f t="shared" si="0"/>
      </c>
      <c r="D207" s="60">
        <f t="shared" si="1"/>
      </c>
      <c r="E207" s="53">
        <f t="shared" si="2"/>
      </c>
      <c r="F207" s="53">
        <f t="shared" si="3"/>
      </c>
      <c r="G207" s="53">
        <f t="shared" si="4"/>
      </c>
      <c r="H207" s="59">
        <f t="shared" si="5"/>
      </c>
      <c r="I207" s="53">
        <f t="shared" si="6"/>
      </c>
      <c r="J207" s="53">
        <f t="shared" si="7"/>
      </c>
      <c r="K207" s="53">
        <f t="shared" si="8"/>
      </c>
      <c r="L207" s="68">
        <f t="shared" si="9"/>
      </c>
      <c r="M207" s="56">
        <f t="shared" si="10"/>
      </c>
      <c r="N207" s="69">
        <f t="shared" si="11"/>
      </c>
      <c r="O207" s="22">
        <f t="shared" si="12"/>
      </c>
      <c r="P207" s="22">
        <f>IF(往来单位!$C$197="客户",1,0)</f>
        <v>0</v>
      </c>
      <c r="Q207" s="22">
        <f t="shared" si="13"/>
        <v>28</v>
      </c>
    </row>
    <row r="208">
      <c r="A208" s="56">
        <f>IF($B208="","",195)</f>
      </c>
      <c r="B208" s="66">
        <f>IF(195&gt;$Q$613,"",INDEX(往来单位!$B$4:$B$603,MATCH(195,$Q$14:$Q$613,0)))</f>
      </c>
      <c r="C208" s="67">
        <f t="shared" si="0"/>
      </c>
      <c r="D208" s="60">
        <f t="shared" si="1"/>
      </c>
      <c r="E208" s="53">
        <f t="shared" si="2"/>
      </c>
      <c r="F208" s="53">
        <f t="shared" si="3"/>
      </c>
      <c r="G208" s="53">
        <f t="shared" si="4"/>
      </c>
      <c r="H208" s="59">
        <f t="shared" si="5"/>
      </c>
      <c r="I208" s="53">
        <f t="shared" si="6"/>
      </c>
      <c r="J208" s="53">
        <f t="shared" si="7"/>
      </c>
      <c r="K208" s="53">
        <f t="shared" si="8"/>
      </c>
      <c r="L208" s="68">
        <f t="shared" si="9"/>
      </c>
      <c r="M208" s="56">
        <f t="shared" si="10"/>
      </c>
      <c r="N208" s="69">
        <f t="shared" si="11"/>
      </c>
      <c r="O208" s="22">
        <f t="shared" si="12"/>
      </c>
      <c r="P208" s="22">
        <f>IF(往来单位!$C$198="客户",1,0)</f>
        <v>0</v>
      </c>
      <c r="Q208" s="22">
        <f t="shared" si="13"/>
        <v>28</v>
      </c>
    </row>
    <row r="209">
      <c r="A209" s="56">
        <f>IF($B209="","",196)</f>
      </c>
      <c r="B209" s="66">
        <f>IF(196&gt;$Q$613,"",INDEX(往来单位!$B$4:$B$603,MATCH(196,$Q$14:$Q$613,0)))</f>
      </c>
      <c r="C209" s="67">
        <f t="shared" si="0"/>
      </c>
      <c r="D209" s="60">
        <f t="shared" si="1"/>
      </c>
      <c r="E209" s="53">
        <f t="shared" si="2"/>
      </c>
      <c r="F209" s="53">
        <f t="shared" si="3"/>
      </c>
      <c r="G209" s="53">
        <f t="shared" si="4"/>
      </c>
      <c r="H209" s="59">
        <f t="shared" si="5"/>
      </c>
      <c r="I209" s="53">
        <f t="shared" si="6"/>
      </c>
      <c r="J209" s="53">
        <f t="shared" si="7"/>
      </c>
      <c r="K209" s="53">
        <f t="shared" si="8"/>
      </c>
      <c r="L209" s="68">
        <f t="shared" si="9"/>
      </c>
      <c r="M209" s="56">
        <f t="shared" si="10"/>
      </c>
      <c r="N209" s="69">
        <f t="shared" si="11"/>
      </c>
      <c r="O209" s="22">
        <f t="shared" si="12"/>
      </c>
      <c r="P209" s="22">
        <f>IF(往来单位!$C$199="客户",1,0)</f>
        <v>0</v>
      </c>
      <c r="Q209" s="22">
        <f t="shared" si="13"/>
        <v>28</v>
      </c>
    </row>
    <row r="210">
      <c r="A210" s="56">
        <f>IF($B210="","",197)</f>
      </c>
      <c r="B210" s="66">
        <f>IF(197&gt;$Q$613,"",INDEX(往来单位!$B$4:$B$603,MATCH(197,$Q$14:$Q$613,0)))</f>
      </c>
      <c r="C210" s="67">
        <f t="shared" si="0"/>
      </c>
      <c r="D210" s="60">
        <f t="shared" si="1"/>
      </c>
      <c r="E210" s="53">
        <f t="shared" si="2"/>
      </c>
      <c r="F210" s="53">
        <f t="shared" si="3"/>
      </c>
      <c r="G210" s="53">
        <f t="shared" si="4"/>
      </c>
      <c r="H210" s="59">
        <f t="shared" si="5"/>
      </c>
      <c r="I210" s="53">
        <f t="shared" si="6"/>
      </c>
      <c r="J210" s="53">
        <f t="shared" si="7"/>
      </c>
      <c r="K210" s="53">
        <f t="shared" si="8"/>
      </c>
      <c r="L210" s="68">
        <f t="shared" si="9"/>
      </c>
      <c r="M210" s="56">
        <f t="shared" si="10"/>
      </c>
      <c r="N210" s="69">
        <f t="shared" si="11"/>
      </c>
      <c r="O210" s="22">
        <f t="shared" si="12"/>
      </c>
      <c r="P210" s="22">
        <f>IF(往来单位!$C$200="客户",1,0)</f>
        <v>0</v>
      </c>
      <c r="Q210" s="22">
        <f t="shared" si="13"/>
        <v>28</v>
      </c>
    </row>
    <row r="211">
      <c r="A211" s="56">
        <f>IF($B211="","",198)</f>
      </c>
      <c r="B211" s="66">
        <f>IF(198&gt;$Q$613,"",INDEX(往来单位!$B$4:$B$603,MATCH(198,$Q$14:$Q$613,0)))</f>
      </c>
      <c r="C211" s="67">
        <f t="shared" si="0"/>
      </c>
      <c r="D211" s="60">
        <f t="shared" si="1"/>
      </c>
      <c r="E211" s="53">
        <f t="shared" si="2"/>
      </c>
      <c r="F211" s="53">
        <f t="shared" si="3"/>
      </c>
      <c r="G211" s="53">
        <f t="shared" si="4"/>
      </c>
      <c r="H211" s="59">
        <f t="shared" si="5"/>
      </c>
      <c r="I211" s="53">
        <f t="shared" si="6"/>
      </c>
      <c r="J211" s="53">
        <f t="shared" si="7"/>
      </c>
      <c r="K211" s="53">
        <f t="shared" si="8"/>
      </c>
      <c r="L211" s="68">
        <f t="shared" si="9"/>
      </c>
      <c r="M211" s="56">
        <f t="shared" si="10"/>
      </c>
      <c r="N211" s="69">
        <f t="shared" si="11"/>
      </c>
      <c r="O211" s="22">
        <f t="shared" si="12"/>
      </c>
      <c r="P211" s="22">
        <f>IF(往来单位!$C$201="客户",1,0)</f>
        <v>0</v>
      </c>
      <c r="Q211" s="22">
        <f t="shared" si="13"/>
        <v>28</v>
      </c>
    </row>
    <row r="212">
      <c r="A212" s="56">
        <f>IF($B212="","",199)</f>
      </c>
      <c r="B212" s="66">
        <f>IF(199&gt;$Q$613,"",INDEX(往来单位!$B$4:$B$603,MATCH(199,$Q$14:$Q$613,0)))</f>
      </c>
      <c r="C212" s="67">
        <f t="shared" si="0"/>
      </c>
      <c r="D212" s="60">
        <f t="shared" si="1"/>
      </c>
      <c r="E212" s="53">
        <f t="shared" si="2"/>
      </c>
      <c r="F212" s="53">
        <f t="shared" si="3"/>
      </c>
      <c r="G212" s="53">
        <f t="shared" si="4"/>
      </c>
      <c r="H212" s="59">
        <f t="shared" si="5"/>
      </c>
      <c r="I212" s="53">
        <f t="shared" si="6"/>
      </c>
      <c r="J212" s="53">
        <f t="shared" si="7"/>
      </c>
      <c r="K212" s="53">
        <f t="shared" si="8"/>
      </c>
      <c r="L212" s="68">
        <f t="shared" si="9"/>
      </c>
      <c r="M212" s="56">
        <f t="shared" si="10"/>
      </c>
      <c r="N212" s="69">
        <f t="shared" si="11"/>
      </c>
      <c r="O212" s="22">
        <f t="shared" si="12"/>
      </c>
      <c r="P212" s="22">
        <f>IF(往来单位!$C$202="客户",1,0)</f>
        <v>0</v>
      </c>
      <c r="Q212" s="22">
        <f t="shared" si="13"/>
        <v>28</v>
      </c>
    </row>
    <row r="213">
      <c r="A213" s="56">
        <f>IF($B213="","",200)</f>
      </c>
      <c r="B213" s="66">
        <f>IF(200&gt;$Q$613,"",INDEX(往来单位!$B$4:$B$603,MATCH(200,$Q$14:$Q$613,0)))</f>
      </c>
      <c r="C213" s="67">
        <f t="shared" si="0"/>
      </c>
      <c r="D213" s="60">
        <f t="shared" si="1"/>
      </c>
      <c r="E213" s="53">
        <f t="shared" si="2"/>
      </c>
      <c r="F213" s="53">
        <f t="shared" si="3"/>
      </c>
      <c r="G213" s="53">
        <f t="shared" si="4"/>
      </c>
      <c r="H213" s="59">
        <f t="shared" si="5"/>
      </c>
      <c r="I213" s="53">
        <f t="shared" si="6"/>
      </c>
      <c r="J213" s="53">
        <f t="shared" si="7"/>
      </c>
      <c r="K213" s="53">
        <f t="shared" si="8"/>
      </c>
      <c r="L213" s="68">
        <f t="shared" si="9"/>
      </c>
      <c r="M213" s="56">
        <f t="shared" si="10"/>
      </c>
      <c r="N213" s="69">
        <f t="shared" si="11"/>
      </c>
      <c r="O213" s="22">
        <f t="shared" si="12"/>
      </c>
      <c r="P213" s="22">
        <f>IF(往来单位!$C$203="客户",1,0)</f>
        <v>0</v>
      </c>
      <c r="Q213" s="22">
        <f t="shared" si="13"/>
        <v>28</v>
      </c>
    </row>
    <row r="214">
      <c r="A214" s="56">
        <f>IF($B214="","",201)</f>
      </c>
      <c r="B214" s="66">
        <f>IF(201&gt;$Q$613,"",INDEX(往来单位!$B$4:$B$603,MATCH(201,$Q$14:$Q$613,0)))</f>
      </c>
      <c r="C214" s="67">
        <f t="shared" si="0"/>
      </c>
      <c r="D214" s="60">
        <f t="shared" si="1"/>
      </c>
      <c r="E214" s="53">
        <f t="shared" si="2"/>
      </c>
      <c r="F214" s="53">
        <f t="shared" si="3"/>
      </c>
      <c r="G214" s="53">
        <f t="shared" si="4"/>
      </c>
      <c r="H214" s="59">
        <f t="shared" si="5"/>
      </c>
      <c r="I214" s="53">
        <f t="shared" si="6"/>
      </c>
      <c r="J214" s="53">
        <f t="shared" si="7"/>
      </c>
      <c r="K214" s="53">
        <f t="shared" si="8"/>
      </c>
      <c r="L214" s="68">
        <f t="shared" si="9"/>
      </c>
      <c r="M214" s="56">
        <f t="shared" si="10"/>
      </c>
      <c r="N214" s="69">
        <f t="shared" si="11"/>
      </c>
      <c r="O214" s="22">
        <f t="shared" si="12"/>
      </c>
      <c r="P214" s="22">
        <f>IF(往来单位!$C$204="客户",1,0)</f>
        <v>0</v>
      </c>
      <c r="Q214" s="22">
        <f t="shared" si="13"/>
        <v>28</v>
      </c>
    </row>
    <row r="215">
      <c r="A215" s="56">
        <f>IF($B215="","",202)</f>
      </c>
      <c r="B215" s="66">
        <f>IF(202&gt;$Q$613,"",INDEX(往来单位!$B$4:$B$603,MATCH(202,$Q$14:$Q$613,0)))</f>
      </c>
      <c r="C215" s="67">
        <f t="shared" si="0"/>
      </c>
      <c r="D215" s="60">
        <f t="shared" si="1"/>
      </c>
      <c r="E215" s="53">
        <f t="shared" si="2"/>
      </c>
      <c r="F215" s="53">
        <f t="shared" si="3"/>
      </c>
      <c r="G215" s="53">
        <f t="shared" si="4"/>
      </c>
      <c r="H215" s="59">
        <f t="shared" si="5"/>
      </c>
      <c r="I215" s="53">
        <f t="shared" si="6"/>
      </c>
      <c r="J215" s="53">
        <f t="shared" si="7"/>
      </c>
      <c r="K215" s="53">
        <f t="shared" si="8"/>
      </c>
      <c r="L215" s="68">
        <f t="shared" si="9"/>
      </c>
      <c r="M215" s="56">
        <f t="shared" si="10"/>
      </c>
      <c r="N215" s="69">
        <f t="shared" si="11"/>
      </c>
      <c r="O215" s="22">
        <f t="shared" si="12"/>
      </c>
      <c r="P215" s="22">
        <f>IF(往来单位!$C$205="客户",1,0)</f>
        <v>0</v>
      </c>
      <c r="Q215" s="22">
        <f t="shared" si="13"/>
        <v>28</v>
      </c>
    </row>
    <row r="216">
      <c r="A216" s="56">
        <f>IF($B216="","",203)</f>
      </c>
      <c r="B216" s="66">
        <f>IF(203&gt;$Q$613,"",INDEX(往来单位!$B$4:$B$603,MATCH(203,$Q$14:$Q$613,0)))</f>
      </c>
      <c r="C216" s="67">
        <f t="shared" si="0"/>
      </c>
      <c r="D216" s="60">
        <f t="shared" si="1"/>
      </c>
      <c r="E216" s="53">
        <f t="shared" si="2"/>
      </c>
      <c r="F216" s="53">
        <f t="shared" si="3"/>
      </c>
      <c r="G216" s="53">
        <f t="shared" si="4"/>
      </c>
      <c r="H216" s="59">
        <f t="shared" si="5"/>
      </c>
      <c r="I216" s="53">
        <f t="shared" si="6"/>
      </c>
      <c r="J216" s="53">
        <f t="shared" si="7"/>
      </c>
      <c r="K216" s="53">
        <f t="shared" si="8"/>
      </c>
      <c r="L216" s="68">
        <f t="shared" si="9"/>
      </c>
      <c r="M216" s="56">
        <f t="shared" si="10"/>
      </c>
      <c r="N216" s="69">
        <f t="shared" si="11"/>
      </c>
      <c r="O216" s="22">
        <f t="shared" si="12"/>
      </c>
      <c r="P216" s="22">
        <f>IF(往来单位!$C$206="客户",1,0)</f>
        <v>0</v>
      </c>
      <c r="Q216" s="22">
        <f t="shared" si="13"/>
        <v>28</v>
      </c>
    </row>
    <row r="217">
      <c r="A217" s="56">
        <f>IF($B217="","",204)</f>
      </c>
      <c r="B217" s="66">
        <f>IF(204&gt;$Q$613,"",INDEX(往来单位!$B$4:$B$603,MATCH(204,$Q$14:$Q$613,0)))</f>
      </c>
      <c r="C217" s="67">
        <f t="shared" si="0"/>
      </c>
      <c r="D217" s="60">
        <f t="shared" si="1"/>
      </c>
      <c r="E217" s="53">
        <f t="shared" si="2"/>
      </c>
      <c r="F217" s="53">
        <f t="shared" si="3"/>
      </c>
      <c r="G217" s="53">
        <f t="shared" si="4"/>
      </c>
      <c r="H217" s="59">
        <f t="shared" si="5"/>
      </c>
      <c r="I217" s="53">
        <f t="shared" si="6"/>
      </c>
      <c r="J217" s="53">
        <f t="shared" si="7"/>
      </c>
      <c r="K217" s="53">
        <f t="shared" si="8"/>
      </c>
      <c r="L217" s="68">
        <f t="shared" si="9"/>
      </c>
      <c r="M217" s="56">
        <f t="shared" si="10"/>
      </c>
      <c r="N217" s="69">
        <f t="shared" si="11"/>
      </c>
      <c r="O217" s="22">
        <f t="shared" si="12"/>
      </c>
      <c r="P217" s="22">
        <f>IF(往来单位!$C$207="客户",1,0)</f>
        <v>0</v>
      </c>
      <c r="Q217" s="22">
        <f t="shared" si="13"/>
        <v>28</v>
      </c>
    </row>
    <row r="218">
      <c r="A218" s="56">
        <f>IF($B218="","",205)</f>
      </c>
      <c r="B218" s="66">
        <f>IF(205&gt;$Q$613,"",INDEX(往来单位!$B$4:$B$603,MATCH(205,$Q$14:$Q$613,0)))</f>
      </c>
      <c r="C218" s="67">
        <f t="shared" si="0"/>
      </c>
      <c r="D218" s="60">
        <f t="shared" si="1"/>
      </c>
      <c r="E218" s="53">
        <f t="shared" si="2"/>
      </c>
      <c r="F218" s="53">
        <f t="shared" si="3"/>
      </c>
      <c r="G218" s="53">
        <f t="shared" si="4"/>
      </c>
      <c r="H218" s="59">
        <f t="shared" si="5"/>
      </c>
      <c r="I218" s="53">
        <f t="shared" si="6"/>
      </c>
      <c r="J218" s="53">
        <f t="shared" si="7"/>
      </c>
      <c r="K218" s="53">
        <f t="shared" si="8"/>
      </c>
      <c r="L218" s="68">
        <f t="shared" si="9"/>
      </c>
      <c r="M218" s="56">
        <f t="shared" si="10"/>
      </c>
      <c r="N218" s="69">
        <f t="shared" si="11"/>
      </c>
      <c r="O218" s="22">
        <f t="shared" si="12"/>
      </c>
      <c r="P218" s="22">
        <f>IF(往来单位!$C$208="客户",1,0)</f>
        <v>0</v>
      </c>
      <c r="Q218" s="22">
        <f t="shared" si="13"/>
        <v>28</v>
      </c>
    </row>
    <row r="219">
      <c r="A219" s="56">
        <f>IF($B219="","",206)</f>
      </c>
      <c r="B219" s="66">
        <f>IF(206&gt;$Q$613,"",INDEX(往来单位!$B$4:$B$603,MATCH(206,$Q$14:$Q$613,0)))</f>
      </c>
      <c r="C219" s="67">
        <f t="shared" si="0"/>
      </c>
      <c r="D219" s="60">
        <f t="shared" si="1"/>
      </c>
      <c r="E219" s="53">
        <f t="shared" si="2"/>
      </c>
      <c r="F219" s="53">
        <f t="shared" si="3"/>
      </c>
      <c r="G219" s="53">
        <f t="shared" si="4"/>
      </c>
      <c r="H219" s="59">
        <f t="shared" si="5"/>
      </c>
      <c r="I219" s="53">
        <f t="shared" si="6"/>
      </c>
      <c r="J219" s="53">
        <f t="shared" si="7"/>
      </c>
      <c r="K219" s="53">
        <f t="shared" si="8"/>
      </c>
      <c r="L219" s="68">
        <f t="shared" si="9"/>
      </c>
      <c r="M219" s="56">
        <f t="shared" si="10"/>
      </c>
      <c r="N219" s="69">
        <f t="shared" si="11"/>
      </c>
      <c r="O219" s="22">
        <f t="shared" si="12"/>
      </c>
      <c r="P219" s="22">
        <f>IF(往来单位!$C$209="客户",1,0)</f>
        <v>0</v>
      </c>
      <c r="Q219" s="22">
        <f t="shared" si="13"/>
        <v>28</v>
      </c>
    </row>
    <row r="220">
      <c r="A220" s="56">
        <f>IF($B220="","",207)</f>
      </c>
      <c r="B220" s="66">
        <f>IF(207&gt;$Q$613,"",INDEX(往来单位!$B$4:$B$603,MATCH(207,$Q$14:$Q$613,0)))</f>
      </c>
      <c r="C220" s="67">
        <f t="shared" si="0"/>
      </c>
      <c r="D220" s="60">
        <f t="shared" si="1"/>
      </c>
      <c r="E220" s="53">
        <f t="shared" si="2"/>
      </c>
      <c r="F220" s="53">
        <f t="shared" si="3"/>
      </c>
      <c r="G220" s="53">
        <f t="shared" si="4"/>
      </c>
      <c r="H220" s="59">
        <f t="shared" si="5"/>
      </c>
      <c r="I220" s="53">
        <f t="shared" si="6"/>
      </c>
      <c r="J220" s="53">
        <f t="shared" si="7"/>
      </c>
      <c r="K220" s="53">
        <f t="shared" si="8"/>
      </c>
      <c r="L220" s="68">
        <f t="shared" si="9"/>
      </c>
      <c r="M220" s="56">
        <f t="shared" si="10"/>
      </c>
      <c r="N220" s="69">
        <f t="shared" si="11"/>
      </c>
      <c r="O220" s="22">
        <f t="shared" si="12"/>
      </c>
      <c r="P220" s="22">
        <f>IF(往来单位!$C$210="客户",1,0)</f>
        <v>0</v>
      </c>
      <c r="Q220" s="22">
        <f t="shared" si="13"/>
        <v>28</v>
      </c>
    </row>
    <row r="221">
      <c r="A221" s="56">
        <f>IF($B221="","",208)</f>
      </c>
      <c r="B221" s="66">
        <f>IF(208&gt;$Q$613,"",INDEX(往来单位!$B$4:$B$603,MATCH(208,$Q$14:$Q$613,0)))</f>
      </c>
      <c r="C221" s="67">
        <f t="shared" si="0"/>
      </c>
      <c r="D221" s="60">
        <f t="shared" si="1"/>
      </c>
      <c r="E221" s="53">
        <f t="shared" si="2"/>
      </c>
      <c r="F221" s="53">
        <f t="shared" si="3"/>
      </c>
      <c r="G221" s="53">
        <f t="shared" si="4"/>
      </c>
      <c r="H221" s="59">
        <f t="shared" si="5"/>
      </c>
      <c r="I221" s="53">
        <f t="shared" si="6"/>
      </c>
      <c r="J221" s="53">
        <f t="shared" si="7"/>
      </c>
      <c r="K221" s="53">
        <f t="shared" si="8"/>
      </c>
      <c r="L221" s="68">
        <f t="shared" si="9"/>
      </c>
      <c r="M221" s="56">
        <f t="shared" si="10"/>
      </c>
      <c r="N221" s="69">
        <f t="shared" si="11"/>
      </c>
      <c r="O221" s="22">
        <f t="shared" si="12"/>
      </c>
      <c r="P221" s="22">
        <f>IF(往来单位!$C$211="客户",1,0)</f>
        <v>0</v>
      </c>
      <c r="Q221" s="22">
        <f t="shared" si="13"/>
        <v>28</v>
      </c>
    </row>
    <row r="222">
      <c r="A222" s="56">
        <f>IF($B222="","",209)</f>
      </c>
      <c r="B222" s="66">
        <f>IF(209&gt;$Q$613,"",INDEX(往来单位!$B$4:$B$603,MATCH(209,$Q$14:$Q$613,0)))</f>
      </c>
      <c r="C222" s="67">
        <f t="shared" si="0"/>
      </c>
      <c r="D222" s="60">
        <f t="shared" si="1"/>
      </c>
      <c r="E222" s="53">
        <f t="shared" si="2"/>
      </c>
      <c r="F222" s="53">
        <f t="shared" si="3"/>
      </c>
      <c r="G222" s="53">
        <f t="shared" si="4"/>
      </c>
      <c r="H222" s="59">
        <f t="shared" si="5"/>
      </c>
      <c r="I222" s="53">
        <f t="shared" si="6"/>
      </c>
      <c r="J222" s="53">
        <f t="shared" si="7"/>
      </c>
      <c r="K222" s="53">
        <f t="shared" si="8"/>
      </c>
      <c r="L222" s="68">
        <f t="shared" si="9"/>
      </c>
      <c r="M222" s="56">
        <f t="shared" si="10"/>
      </c>
      <c r="N222" s="69">
        <f t="shared" si="11"/>
      </c>
      <c r="O222" s="22">
        <f t="shared" si="12"/>
      </c>
      <c r="P222" s="22">
        <f>IF(往来单位!$C$212="客户",1,0)</f>
        <v>0</v>
      </c>
      <c r="Q222" s="22">
        <f t="shared" si="13"/>
        <v>28</v>
      </c>
    </row>
    <row r="223">
      <c r="A223" s="56">
        <f>IF($B223="","",210)</f>
      </c>
      <c r="B223" s="66">
        <f>IF(210&gt;$Q$613,"",INDEX(往来单位!$B$4:$B$603,MATCH(210,$Q$14:$Q$613,0)))</f>
      </c>
      <c r="C223" s="67">
        <f t="shared" si="0"/>
      </c>
      <c r="D223" s="60">
        <f t="shared" si="1"/>
      </c>
      <c r="E223" s="53">
        <f t="shared" si="2"/>
      </c>
      <c r="F223" s="53">
        <f t="shared" si="3"/>
      </c>
      <c r="G223" s="53">
        <f t="shared" si="4"/>
      </c>
      <c r="H223" s="59">
        <f t="shared" si="5"/>
      </c>
      <c r="I223" s="53">
        <f t="shared" si="6"/>
      </c>
      <c r="J223" s="53">
        <f t="shared" si="7"/>
      </c>
      <c r="K223" s="53">
        <f t="shared" si="8"/>
      </c>
      <c r="L223" s="68">
        <f t="shared" si="9"/>
      </c>
      <c r="M223" s="56">
        <f t="shared" si="10"/>
      </c>
      <c r="N223" s="69">
        <f t="shared" si="11"/>
      </c>
      <c r="O223" s="22">
        <f t="shared" si="12"/>
      </c>
      <c r="P223" s="22">
        <f>IF(往来单位!$C$213="客户",1,0)</f>
        <v>0</v>
      </c>
      <c r="Q223" s="22">
        <f t="shared" si="13"/>
        <v>28</v>
      </c>
    </row>
    <row r="224">
      <c r="A224" s="56">
        <f>IF($B224="","",211)</f>
      </c>
      <c r="B224" s="66">
        <f>IF(211&gt;$Q$613,"",INDEX(往来单位!$B$4:$B$603,MATCH(211,$Q$14:$Q$613,0)))</f>
      </c>
      <c r="C224" s="67">
        <f t="shared" si="0"/>
      </c>
      <c r="D224" s="60">
        <f t="shared" si="1"/>
      </c>
      <c r="E224" s="53">
        <f t="shared" si="2"/>
      </c>
      <c r="F224" s="53">
        <f t="shared" si="3"/>
      </c>
      <c r="G224" s="53">
        <f t="shared" si="4"/>
      </c>
      <c r="H224" s="59">
        <f t="shared" si="5"/>
      </c>
      <c r="I224" s="53">
        <f t="shared" si="6"/>
      </c>
      <c r="J224" s="53">
        <f t="shared" si="7"/>
      </c>
      <c r="K224" s="53">
        <f t="shared" si="8"/>
      </c>
      <c r="L224" s="68">
        <f t="shared" si="9"/>
      </c>
      <c r="M224" s="56">
        <f t="shared" si="10"/>
      </c>
      <c r="N224" s="69">
        <f t="shared" si="11"/>
      </c>
      <c r="O224" s="22">
        <f t="shared" si="12"/>
      </c>
      <c r="P224" s="22">
        <f>IF(往来单位!$C$214="客户",1,0)</f>
        <v>0</v>
      </c>
      <c r="Q224" s="22">
        <f t="shared" si="13"/>
        <v>28</v>
      </c>
    </row>
    <row r="225">
      <c r="A225" s="56">
        <f>IF($B225="","",212)</f>
      </c>
      <c r="B225" s="66">
        <f>IF(212&gt;$Q$613,"",INDEX(往来单位!$B$4:$B$603,MATCH(212,$Q$14:$Q$613,0)))</f>
      </c>
      <c r="C225" s="67">
        <f t="shared" si="0"/>
      </c>
      <c r="D225" s="60">
        <f t="shared" si="1"/>
      </c>
      <c r="E225" s="53">
        <f t="shared" si="2"/>
      </c>
      <c r="F225" s="53">
        <f t="shared" si="3"/>
      </c>
      <c r="G225" s="53">
        <f t="shared" si="4"/>
      </c>
      <c r="H225" s="59">
        <f t="shared" si="5"/>
      </c>
      <c r="I225" s="53">
        <f t="shared" si="6"/>
      </c>
      <c r="J225" s="53">
        <f t="shared" si="7"/>
      </c>
      <c r="K225" s="53">
        <f t="shared" si="8"/>
      </c>
      <c r="L225" s="68">
        <f t="shared" si="9"/>
      </c>
      <c r="M225" s="56">
        <f t="shared" si="10"/>
      </c>
      <c r="N225" s="69">
        <f t="shared" si="11"/>
      </c>
      <c r="O225" s="22">
        <f t="shared" si="12"/>
      </c>
      <c r="P225" s="22">
        <f>IF(往来单位!$C$215="客户",1,0)</f>
        <v>0</v>
      </c>
      <c r="Q225" s="22">
        <f t="shared" si="13"/>
        <v>28</v>
      </c>
    </row>
    <row r="226">
      <c r="A226" s="56">
        <f>IF($B226="","",213)</f>
      </c>
      <c r="B226" s="66">
        <f>IF(213&gt;$Q$613,"",INDEX(往来单位!$B$4:$B$603,MATCH(213,$Q$14:$Q$613,0)))</f>
      </c>
      <c r="C226" s="67">
        <f t="shared" si="0"/>
      </c>
      <c r="D226" s="60">
        <f t="shared" si="1"/>
      </c>
      <c r="E226" s="53">
        <f t="shared" si="2"/>
      </c>
      <c r="F226" s="53">
        <f t="shared" si="3"/>
      </c>
      <c r="G226" s="53">
        <f t="shared" si="4"/>
      </c>
      <c r="H226" s="59">
        <f t="shared" si="5"/>
      </c>
      <c r="I226" s="53">
        <f t="shared" si="6"/>
      </c>
      <c r="J226" s="53">
        <f t="shared" si="7"/>
      </c>
      <c r="K226" s="53">
        <f t="shared" si="8"/>
      </c>
      <c r="L226" s="68">
        <f t="shared" si="9"/>
      </c>
      <c r="M226" s="56">
        <f t="shared" si="10"/>
      </c>
      <c r="N226" s="69">
        <f t="shared" si="11"/>
      </c>
      <c r="O226" s="22">
        <f t="shared" si="12"/>
      </c>
      <c r="P226" s="22">
        <f>IF(往来单位!$C$216="客户",1,0)</f>
        <v>0</v>
      </c>
      <c r="Q226" s="22">
        <f t="shared" si="13"/>
        <v>28</v>
      </c>
    </row>
    <row r="227">
      <c r="A227" s="56">
        <f>IF($B227="","",214)</f>
      </c>
      <c r="B227" s="66">
        <f>IF(214&gt;$Q$613,"",INDEX(往来单位!$B$4:$B$603,MATCH(214,$Q$14:$Q$613,0)))</f>
      </c>
      <c r="C227" s="67">
        <f t="shared" si="0"/>
      </c>
      <c r="D227" s="60">
        <f t="shared" si="1"/>
      </c>
      <c r="E227" s="53">
        <f t="shared" si="2"/>
      </c>
      <c r="F227" s="53">
        <f t="shared" si="3"/>
      </c>
      <c r="G227" s="53">
        <f t="shared" si="4"/>
      </c>
      <c r="H227" s="59">
        <f t="shared" si="5"/>
      </c>
      <c r="I227" s="53">
        <f t="shared" si="6"/>
      </c>
      <c r="J227" s="53">
        <f t="shared" si="7"/>
      </c>
      <c r="K227" s="53">
        <f t="shared" si="8"/>
      </c>
      <c r="L227" s="68">
        <f t="shared" si="9"/>
      </c>
      <c r="M227" s="56">
        <f t="shared" si="10"/>
      </c>
      <c r="N227" s="69">
        <f t="shared" si="11"/>
      </c>
      <c r="O227" s="22">
        <f t="shared" si="12"/>
      </c>
      <c r="P227" s="22">
        <f>IF(往来单位!$C$217="客户",1,0)</f>
        <v>0</v>
      </c>
      <c r="Q227" s="22">
        <f t="shared" si="13"/>
        <v>28</v>
      </c>
    </row>
    <row r="228">
      <c r="A228" s="56">
        <f>IF($B228="","",215)</f>
      </c>
      <c r="B228" s="66">
        <f>IF(215&gt;$Q$613,"",INDEX(往来单位!$B$4:$B$603,MATCH(215,$Q$14:$Q$613,0)))</f>
      </c>
      <c r="C228" s="67">
        <f t="shared" si="0"/>
      </c>
      <c r="D228" s="60">
        <f t="shared" si="1"/>
      </c>
      <c r="E228" s="53">
        <f t="shared" si="2"/>
      </c>
      <c r="F228" s="53">
        <f t="shared" si="3"/>
      </c>
      <c r="G228" s="53">
        <f t="shared" si="4"/>
      </c>
      <c r="H228" s="59">
        <f t="shared" si="5"/>
      </c>
      <c r="I228" s="53">
        <f t="shared" si="6"/>
      </c>
      <c r="J228" s="53">
        <f t="shared" si="7"/>
      </c>
      <c r="K228" s="53">
        <f t="shared" si="8"/>
      </c>
      <c r="L228" s="68">
        <f t="shared" si="9"/>
      </c>
      <c r="M228" s="56">
        <f t="shared" si="10"/>
      </c>
      <c r="N228" s="69">
        <f t="shared" si="11"/>
      </c>
      <c r="O228" s="22">
        <f t="shared" si="12"/>
      </c>
      <c r="P228" s="22">
        <f>IF(往来单位!$C$218="客户",1,0)</f>
        <v>0</v>
      </c>
      <c r="Q228" s="22">
        <f t="shared" si="13"/>
        <v>28</v>
      </c>
    </row>
    <row r="229">
      <c r="A229" s="56">
        <f>IF($B229="","",216)</f>
      </c>
      <c r="B229" s="66">
        <f>IF(216&gt;$Q$613,"",INDEX(往来单位!$B$4:$B$603,MATCH(216,$Q$14:$Q$613,0)))</f>
      </c>
      <c r="C229" s="67">
        <f t="shared" si="0"/>
      </c>
      <c r="D229" s="60">
        <f t="shared" si="1"/>
      </c>
      <c r="E229" s="53">
        <f t="shared" si="2"/>
      </c>
      <c r="F229" s="53">
        <f t="shared" si="3"/>
      </c>
      <c r="G229" s="53">
        <f t="shared" si="4"/>
      </c>
      <c r="H229" s="59">
        <f t="shared" si="5"/>
      </c>
      <c r="I229" s="53">
        <f t="shared" si="6"/>
      </c>
      <c r="J229" s="53">
        <f t="shared" si="7"/>
      </c>
      <c r="K229" s="53">
        <f t="shared" si="8"/>
      </c>
      <c r="L229" s="68">
        <f t="shared" si="9"/>
      </c>
      <c r="M229" s="56">
        <f t="shared" si="10"/>
      </c>
      <c r="N229" s="69">
        <f t="shared" si="11"/>
      </c>
      <c r="O229" s="22">
        <f t="shared" si="12"/>
      </c>
      <c r="P229" s="22">
        <f>IF(往来单位!$C$219="客户",1,0)</f>
        <v>0</v>
      </c>
      <c r="Q229" s="22">
        <f t="shared" si="13"/>
        <v>28</v>
      </c>
    </row>
    <row r="230">
      <c r="A230" s="56">
        <f>IF($B230="","",217)</f>
      </c>
      <c r="B230" s="66">
        <f>IF(217&gt;$Q$613,"",INDEX(往来单位!$B$4:$B$603,MATCH(217,$Q$14:$Q$613,0)))</f>
      </c>
      <c r="C230" s="67">
        <f t="shared" si="0"/>
      </c>
      <c r="D230" s="60">
        <f t="shared" si="1"/>
      </c>
      <c r="E230" s="53">
        <f t="shared" si="2"/>
      </c>
      <c r="F230" s="53">
        <f t="shared" si="3"/>
      </c>
      <c r="G230" s="53">
        <f t="shared" si="4"/>
      </c>
      <c r="H230" s="59">
        <f t="shared" si="5"/>
      </c>
      <c r="I230" s="53">
        <f t="shared" si="6"/>
      </c>
      <c r="J230" s="53">
        <f t="shared" si="7"/>
      </c>
      <c r="K230" s="53">
        <f t="shared" si="8"/>
      </c>
      <c r="L230" s="68">
        <f t="shared" si="9"/>
      </c>
      <c r="M230" s="56">
        <f t="shared" si="10"/>
      </c>
      <c r="N230" s="69">
        <f t="shared" si="11"/>
      </c>
      <c r="O230" s="22">
        <f t="shared" si="12"/>
      </c>
      <c r="P230" s="22">
        <f>IF(往来单位!$C$220="客户",1,0)</f>
        <v>0</v>
      </c>
      <c r="Q230" s="22">
        <f t="shared" si="13"/>
        <v>28</v>
      </c>
    </row>
    <row r="231">
      <c r="A231" s="56">
        <f>IF($B231="","",218)</f>
      </c>
      <c r="B231" s="66">
        <f>IF(218&gt;$Q$613,"",INDEX(往来单位!$B$4:$B$603,MATCH(218,$Q$14:$Q$613,0)))</f>
      </c>
      <c r="C231" s="67">
        <f t="shared" si="0"/>
      </c>
      <c r="D231" s="60">
        <f t="shared" si="1"/>
      </c>
      <c r="E231" s="53">
        <f t="shared" si="2"/>
      </c>
      <c r="F231" s="53">
        <f t="shared" si="3"/>
      </c>
      <c r="G231" s="53">
        <f t="shared" si="4"/>
      </c>
      <c r="H231" s="59">
        <f t="shared" si="5"/>
      </c>
      <c r="I231" s="53">
        <f t="shared" si="6"/>
      </c>
      <c r="J231" s="53">
        <f t="shared" si="7"/>
      </c>
      <c r="K231" s="53">
        <f t="shared" si="8"/>
      </c>
      <c r="L231" s="68">
        <f t="shared" si="9"/>
      </c>
      <c r="M231" s="56">
        <f t="shared" si="10"/>
      </c>
      <c r="N231" s="69">
        <f t="shared" si="11"/>
      </c>
      <c r="O231" s="22">
        <f t="shared" si="12"/>
      </c>
      <c r="P231" s="22">
        <f>IF(往来单位!$C$221="客户",1,0)</f>
        <v>0</v>
      </c>
      <c r="Q231" s="22">
        <f t="shared" si="13"/>
        <v>28</v>
      </c>
    </row>
    <row r="232">
      <c r="A232" s="56">
        <f>IF($B232="","",219)</f>
      </c>
      <c r="B232" s="66">
        <f>IF(219&gt;$Q$613,"",INDEX(往来单位!$B$4:$B$603,MATCH(219,$Q$14:$Q$613,0)))</f>
      </c>
      <c r="C232" s="67">
        <f t="shared" si="0"/>
      </c>
      <c r="D232" s="60">
        <f t="shared" si="1"/>
      </c>
      <c r="E232" s="53">
        <f t="shared" si="2"/>
      </c>
      <c r="F232" s="53">
        <f t="shared" si="3"/>
      </c>
      <c r="G232" s="53">
        <f t="shared" si="4"/>
      </c>
      <c r="H232" s="59">
        <f t="shared" si="5"/>
      </c>
      <c r="I232" s="53">
        <f t="shared" si="6"/>
      </c>
      <c r="J232" s="53">
        <f t="shared" si="7"/>
      </c>
      <c r="K232" s="53">
        <f t="shared" si="8"/>
      </c>
      <c r="L232" s="68">
        <f t="shared" si="9"/>
      </c>
      <c r="M232" s="56">
        <f t="shared" si="10"/>
      </c>
      <c r="N232" s="69">
        <f t="shared" si="11"/>
      </c>
      <c r="O232" s="22">
        <f t="shared" si="12"/>
      </c>
      <c r="P232" s="22">
        <f>IF(往来单位!$C$222="客户",1,0)</f>
        <v>0</v>
      </c>
      <c r="Q232" s="22">
        <f t="shared" si="13"/>
        <v>28</v>
      </c>
    </row>
    <row r="233">
      <c r="A233" s="56">
        <f>IF($B233="","",220)</f>
      </c>
      <c r="B233" s="66">
        <f>IF(220&gt;$Q$613,"",INDEX(往来单位!$B$4:$B$603,MATCH(220,$Q$14:$Q$613,0)))</f>
      </c>
      <c r="C233" s="67">
        <f t="shared" si="0"/>
      </c>
      <c r="D233" s="60">
        <f t="shared" si="1"/>
      </c>
      <c r="E233" s="53">
        <f t="shared" si="2"/>
      </c>
      <c r="F233" s="53">
        <f t="shared" si="3"/>
      </c>
      <c r="G233" s="53">
        <f t="shared" si="4"/>
      </c>
      <c r="H233" s="59">
        <f t="shared" si="5"/>
      </c>
      <c r="I233" s="53">
        <f t="shared" si="6"/>
      </c>
      <c r="J233" s="53">
        <f t="shared" si="7"/>
      </c>
      <c r="K233" s="53">
        <f t="shared" si="8"/>
      </c>
      <c r="L233" s="68">
        <f t="shared" si="9"/>
      </c>
      <c r="M233" s="56">
        <f t="shared" si="10"/>
      </c>
      <c r="N233" s="69">
        <f t="shared" si="11"/>
      </c>
      <c r="O233" s="22">
        <f t="shared" si="12"/>
      </c>
      <c r="P233" s="22">
        <f>IF(往来单位!$C$223="客户",1,0)</f>
        <v>0</v>
      </c>
      <c r="Q233" s="22">
        <f t="shared" si="13"/>
        <v>28</v>
      </c>
    </row>
    <row r="234">
      <c r="A234" s="56">
        <f>IF($B234="","",221)</f>
      </c>
      <c r="B234" s="66">
        <f>IF(221&gt;$Q$613,"",INDEX(往来单位!$B$4:$B$603,MATCH(221,$Q$14:$Q$613,0)))</f>
      </c>
      <c r="C234" s="67">
        <f t="shared" si="0"/>
      </c>
      <c r="D234" s="60">
        <f t="shared" si="1"/>
      </c>
      <c r="E234" s="53">
        <f t="shared" si="2"/>
      </c>
      <c r="F234" s="53">
        <f t="shared" si="3"/>
      </c>
      <c r="G234" s="53">
        <f t="shared" si="4"/>
      </c>
      <c r="H234" s="59">
        <f t="shared" si="5"/>
      </c>
      <c r="I234" s="53">
        <f t="shared" si="6"/>
      </c>
      <c r="J234" s="53">
        <f t="shared" si="7"/>
      </c>
      <c r="K234" s="53">
        <f t="shared" si="8"/>
      </c>
      <c r="L234" s="68">
        <f t="shared" si="9"/>
      </c>
      <c r="M234" s="56">
        <f t="shared" si="10"/>
      </c>
      <c r="N234" s="69">
        <f t="shared" si="11"/>
      </c>
      <c r="O234" s="22">
        <f t="shared" si="12"/>
      </c>
      <c r="P234" s="22">
        <f>IF(往来单位!$C$224="客户",1,0)</f>
        <v>0</v>
      </c>
      <c r="Q234" s="22">
        <f t="shared" si="13"/>
        <v>28</v>
      </c>
    </row>
    <row r="235">
      <c r="A235" s="56">
        <f>IF($B235="","",222)</f>
      </c>
      <c r="B235" s="66">
        <f>IF(222&gt;$Q$613,"",INDEX(往来单位!$B$4:$B$603,MATCH(222,$Q$14:$Q$613,0)))</f>
      </c>
      <c r="C235" s="67">
        <f t="shared" si="0"/>
      </c>
      <c r="D235" s="60">
        <f t="shared" si="1"/>
      </c>
      <c r="E235" s="53">
        <f t="shared" si="2"/>
      </c>
      <c r="F235" s="53">
        <f t="shared" si="3"/>
      </c>
      <c r="G235" s="53">
        <f t="shared" si="4"/>
      </c>
      <c r="H235" s="59">
        <f t="shared" si="5"/>
      </c>
      <c r="I235" s="53">
        <f t="shared" si="6"/>
      </c>
      <c r="J235" s="53">
        <f t="shared" si="7"/>
      </c>
      <c r="K235" s="53">
        <f t="shared" si="8"/>
      </c>
      <c r="L235" s="68">
        <f t="shared" si="9"/>
      </c>
      <c r="M235" s="56">
        <f t="shared" si="10"/>
      </c>
      <c r="N235" s="69">
        <f t="shared" si="11"/>
      </c>
      <c r="O235" s="22">
        <f t="shared" si="12"/>
      </c>
      <c r="P235" s="22">
        <f>IF(往来单位!$C$225="客户",1,0)</f>
        <v>0</v>
      </c>
      <c r="Q235" s="22">
        <f t="shared" si="13"/>
        <v>28</v>
      </c>
    </row>
    <row r="236">
      <c r="A236" s="56">
        <f>IF($B236="","",223)</f>
      </c>
      <c r="B236" s="66">
        <f>IF(223&gt;$Q$613,"",INDEX(往来单位!$B$4:$B$603,MATCH(223,$Q$14:$Q$613,0)))</f>
      </c>
      <c r="C236" s="67">
        <f t="shared" si="0"/>
      </c>
      <c r="D236" s="60">
        <f t="shared" si="1"/>
      </c>
      <c r="E236" s="53">
        <f t="shared" si="2"/>
      </c>
      <c r="F236" s="53">
        <f t="shared" si="3"/>
      </c>
      <c r="G236" s="53">
        <f t="shared" si="4"/>
      </c>
      <c r="H236" s="59">
        <f t="shared" si="5"/>
      </c>
      <c r="I236" s="53">
        <f t="shared" si="6"/>
      </c>
      <c r="J236" s="53">
        <f t="shared" si="7"/>
      </c>
      <c r="K236" s="53">
        <f t="shared" si="8"/>
      </c>
      <c r="L236" s="68">
        <f t="shared" si="9"/>
      </c>
      <c r="M236" s="56">
        <f t="shared" si="10"/>
      </c>
      <c r="N236" s="69">
        <f t="shared" si="11"/>
      </c>
      <c r="O236" s="22">
        <f t="shared" si="12"/>
      </c>
      <c r="P236" s="22">
        <f>IF(往来单位!$C$226="客户",1,0)</f>
        <v>0</v>
      </c>
      <c r="Q236" s="22">
        <f t="shared" si="13"/>
        <v>28</v>
      </c>
    </row>
    <row r="237">
      <c r="A237" s="56">
        <f>IF($B237="","",224)</f>
      </c>
      <c r="B237" s="66">
        <f>IF(224&gt;$Q$613,"",INDEX(往来单位!$B$4:$B$603,MATCH(224,$Q$14:$Q$613,0)))</f>
      </c>
      <c r="C237" s="67">
        <f t="shared" si="0"/>
      </c>
      <c r="D237" s="60">
        <f t="shared" si="1"/>
      </c>
      <c r="E237" s="53">
        <f t="shared" si="2"/>
      </c>
      <c r="F237" s="53">
        <f t="shared" si="3"/>
      </c>
      <c r="G237" s="53">
        <f t="shared" si="4"/>
      </c>
      <c r="H237" s="59">
        <f t="shared" si="5"/>
      </c>
      <c r="I237" s="53">
        <f t="shared" si="6"/>
      </c>
      <c r="J237" s="53">
        <f t="shared" si="7"/>
      </c>
      <c r="K237" s="53">
        <f t="shared" si="8"/>
      </c>
      <c r="L237" s="68">
        <f t="shared" si="9"/>
      </c>
      <c r="M237" s="56">
        <f t="shared" si="10"/>
      </c>
      <c r="N237" s="69">
        <f t="shared" si="11"/>
      </c>
      <c r="O237" s="22">
        <f t="shared" si="12"/>
      </c>
      <c r="P237" s="22">
        <f>IF(往来单位!$C$227="客户",1,0)</f>
        <v>0</v>
      </c>
      <c r="Q237" s="22">
        <f t="shared" si="13"/>
        <v>28</v>
      </c>
    </row>
    <row r="238">
      <c r="A238" s="56">
        <f>IF($B238="","",225)</f>
      </c>
      <c r="B238" s="66">
        <f>IF(225&gt;$Q$613,"",INDEX(往来单位!$B$4:$B$603,MATCH(225,$Q$14:$Q$613,0)))</f>
      </c>
      <c r="C238" s="67">
        <f t="shared" si="0"/>
      </c>
      <c r="D238" s="60">
        <f t="shared" si="1"/>
      </c>
      <c r="E238" s="53">
        <f t="shared" si="2"/>
      </c>
      <c r="F238" s="53">
        <f t="shared" si="3"/>
      </c>
      <c r="G238" s="53">
        <f t="shared" si="4"/>
      </c>
      <c r="H238" s="59">
        <f t="shared" si="5"/>
      </c>
      <c r="I238" s="53">
        <f t="shared" si="6"/>
      </c>
      <c r="J238" s="53">
        <f t="shared" si="7"/>
      </c>
      <c r="K238" s="53">
        <f t="shared" si="8"/>
      </c>
      <c r="L238" s="68">
        <f t="shared" si="9"/>
      </c>
      <c r="M238" s="56">
        <f t="shared" si="10"/>
      </c>
      <c r="N238" s="69">
        <f t="shared" si="11"/>
      </c>
      <c r="O238" s="22">
        <f t="shared" si="12"/>
      </c>
      <c r="P238" s="22">
        <f>IF(往来单位!$C$228="客户",1,0)</f>
        <v>0</v>
      </c>
      <c r="Q238" s="22">
        <f t="shared" si="13"/>
        <v>28</v>
      </c>
    </row>
    <row r="239">
      <c r="A239" s="56">
        <f>IF($B239="","",226)</f>
      </c>
      <c r="B239" s="66">
        <f>IF(226&gt;$Q$613,"",INDEX(往来单位!$B$4:$B$603,MATCH(226,$Q$14:$Q$613,0)))</f>
      </c>
      <c r="C239" s="67">
        <f t="shared" si="0"/>
      </c>
      <c r="D239" s="60">
        <f t="shared" si="1"/>
      </c>
      <c r="E239" s="53">
        <f t="shared" si="2"/>
      </c>
      <c r="F239" s="53">
        <f t="shared" si="3"/>
      </c>
      <c r="G239" s="53">
        <f t="shared" si="4"/>
      </c>
      <c r="H239" s="59">
        <f t="shared" si="5"/>
      </c>
      <c r="I239" s="53">
        <f t="shared" si="6"/>
      </c>
      <c r="J239" s="53">
        <f t="shared" si="7"/>
      </c>
      <c r="K239" s="53">
        <f t="shared" si="8"/>
      </c>
      <c r="L239" s="68">
        <f t="shared" si="9"/>
      </c>
      <c r="M239" s="56">
        <f t="shared" si="10"/>
      </c>
      <c r="N239" s="69">
        <f t="shared" si="11"/>
      </c>
      <c r="O239" s="22">
        <f t="shared" si="12"/>
      </c>
      <c r="P239" s="22">
        <f>IF(往来单位!$C$229="客户",1,0)</f>
        <v>0</v>
      </c>
      <c r="Q239" s="22">
        <f t="shared" si="13"/>
        <v>28</v>
      </c>
    </row>
    <row r="240">
      <c r="A240" s="56">
        <f>IF($B240="","",227)</f>
      </c>
      <c r="B240" s="66">
        <f>IF(227&gt;$Q$613,"",INDEX(往来单位!$B$4:$B$603,MATCH(227,$Q$14:$Q$613,0)))</f>
      </c>
      <c r="C240" s="67">
        <f t="shared" si="0"/>
      </c>
      <c r="D240" s="60">
        <f t="shared" si="1"/>
      </c>
      <c r="E240" s="53">
        <f t="shared" si="2"/>
      </c>
      <c r="F240" s="53">
        <f t="shared" si="3"/>
      </c>
      <c r="G240" s="53">
        <f t="shared" si="4"/>
      </c>
      <c r="H240" s="59">
        <f t="shared" si="5"/>
      </c>
      <c r="I240" s="53">
        <f t="shared" si="6"/>
      </c>
      <c r="J240" s="53">
        <f t="shared" si="7"/>
      </c>
      <c r="K240" s="53">
        <f t="shared" si="8"/>
      </c>
      <c r="L240" s="68">
        <f t="shared" si="9"/>
      </c>
      <c r="M240" s="56">
        <f t="shared" si="10"/>
      </c>
      <c r="N240" s="69">
        <f t="shared" si="11"/>
      </c>
      <c r="O240" s="22">
        <f t="shared" si="12"/>
      </c>
      <c r="P240" s="22">
        <f>IF(往来单位!$C$230="客户",1,0)</f>
        <v>0</v>
      </c>
      <c r="Q240" s="22">
        <f t="shared" si="13"/>
        <v>28</v>
      </c>
    </row>
    <row r="241">
      <c r="A241" s="56">
        <f>IF($B241="","",228)</f>
      </c>
      <c r="B241" s="66">
        <f>IF(228&gt;$Q$613,"",INDEX(往来单位!$B$4:$B$603,MATCH(228,$Q$14:$Q$613,0)))</f>
      </c>
      <c r="C241" s="67">
        <f t="shared" si="0"/>
      </c>
      <c r="D241" s="60">
        <f t="shared" si="1"/>
      </c>
      <c r="E241" s="53">
        <f t="shared" si="2"/>
      </c>
      <c r="F241" s="53">
        <f t="shared" si="3"/>
      </c>
      <c r="G241" s="53">
        <f t="shared" si="4"/>
      </c>
      <c r="H241" s="59">
        <f t="shared" si="5"/>
      </c>
      <c r="I241" s="53">
        <f t="shared" si="6"/>
      </c>
      <c r="J241" s="53">
        <f t="shared" si="7"/>
      </c>
      <c r="K241" s="53">
        <f t="shared" si="8"/>
      </c>
      <c r="L241" s="68">
        <f t="shared" si="9"/>
      </c>
      <c r="M241" s="56">
        <f t="shared" si="10"/>
      </c>
      <c r="N241" s="69">
        <f t="shared" si="11"/>
      </c>
      <c r="O241" s="22">
        <f t="shared" si="12"/>
      </c>
      <c r="P241" s="22">
        <f>IF(往来单位!$C$231="客户",1,0)</f>
        <v>0</v>
      </c>
      <c r="Q241" s="22">
        <f t="shared" si="13"/>
        <v>28</v>
      </c>
    </row>
    <row r="242">
      <c r="A242" s="56">
        <f>IF($B242="","",229)</f>
      </c>
      <c r="B242" s="66">
        <f>IF(229&gt;$Q$613,"",INDEX(往来单位!$B$4:$B$603,MATCH(229,$Q$14:$Q$613,0)))</f>
      </c>
      <c r="C242" s="67">
        <f t="shared" si="0"/>
      </c>
      <c r="D242" s="60">
        <f t="shared" si="1"/>
      </c>
      <c r="E242" s="53">
        <f t="shared" si="2"/>
      </c>
      <c r="F242" s="53">
        <f t="shared" si="3"/>
      </c>
      <c r="G242" s="53">
        <f t="shared" si="4"/>
      </c>
      <c r="H242" s="59">
        <f t="shared" si="5"/>
      </c>
      <c r="I242" s="53">
        <f t="shared" si="6"/>
      </c>
      <c r="J242" s="53">
        <f t="shared" si="7"/>
      </c>
      <c r="K242" s="53">
        <f t="shared" si="8"/>
      </c>
      <c r="L242" s="68">
        <f t="shared" si="9"/>
      </c>
      <c r="M242" s="56">
        <f t="shared" si="10"/>
      </c>
      <c r="N242" s="69">
        <f t="shared" si="11"/>
      </c>
      <c r="O242" s="22">
        <f t="shared" si="12"/>
      </c>
      <c r="P242" s="22">
        <f>IF(往来单位!$C$232="客户",1,0)</f>
        <v>0</v>
      </c>
      <c r="Q242" s="22">
        <f t="shared" si="13"/>
        <v>28</v>
      </c>
    </row>
    <row r="243">
      <c r="A243" s="56">
        <f>IF($B243="","",230)</f>
      </c>
      <c r="B243" s="66">
        <f>IF(230&gt;$Q$613,"",INDEX(往来单位!$B$4:$B$603,MATCH(230,$Q$14:$Q$613,0)))</f>
      </c>
      <c r="C243" s="67">
        <f t="shared" si="0"/>
      </c>
      <c r="D243" s="60">
        <f t="shared" si="1"/>
      </c>
      <c r="E243" s="53">
        <f t="shared" si="2"/>
      </c>
      <c r="F243" s="53">
        <f t="shared" si="3"/>
      </c>
      <c r="G243" s="53">
        <f t="shared" si="4"/>
      </c>
      <c r="H243" s="59">
        <f t="shared" si="5"/>
      </c>
      <c r="I243" s="53">
        <f t="shared" si="6"/>
      </c>
      <c r="J243" s="53">
        <f t="shared" si="7"/>
      </c>
      <c r="K243" s="53">
        <f t="shared" si="8"/>
      </c>
      <c r="L243" s="68">
        <f t="shared" si="9"/>
      </c>
      <c r="M243" s="56">
        <f t="shared" si="10"/>
      </c>
      <c r="N243" s="69">
        <f t="shared" si="11"/>
      </c>
      <c r="O243" s="22">
        <f t="shared" si="12"/>
      </c>
      <c r="P243" s="22">
        <f>IF(往来单位!$C$233="客户",1,0)</f>
        <v>0</v>
      </c>
      <c r="Q243" s="22">
        <f t="shared" si="13"/>
        <v>28</v>
      </c>
    </row>
    <row r="244">
      <c r="A244" s="56">
        <f>IF($B244="","",231)</f>
      </c>
      <c r="B244" s="66">
        <f>IF(231&gt;$Q$613,"",INDEX(往来单位!$B$4:$B$603,MATCH(231,$Q$14:$Q$613,0)))</f>
      </c>
      <c r="C244" s="67">
        <f t="shared" si="0"/>
      </c>
      <c r="D244" s="60">
        <f t="shared" si="1"/>
      </c>
      <c r="E244" s="53">
        <f t="shared" si="2"/>
      </c>
      <c r="F244" s="53">
        <f t="shared" si="3"/>
      </c>
      <c r="G244" s="53">
        <f t="shared" si="4"/>
      </c>
      <c r="H244" s="59">
        <f t="shared" si="5"/>
      </c>
      <c r="I244" s="53">
        <f t="shared" si="6"/>
      </c>
      <c r="J244" s="53">
        <f t="shared" si="7"/>
      </c>
      <c r="K244" s="53">
        <f t="shared" si="8"/>
      </c>
      <c r="L244" s="68">
        <f t="shared" si="9"/>
      </c>
      <c r="M244" s="56">
        <f t="shared" si="10"/>
      </c>
      <c r="N244" s="69">
        <f t="shared" si="11"/>
      </c>
      <c r="O244" s="22">
        <f t="shared" si="12"/>
      </c>
      <c r="P244" s="22">
        <f>IF(往来单位!$C$234="客户",1,0)</f>
        <v>0</v>
      </c>
      <c r="Q244" s="22">
        <f t="shared" si="13"/>
        <v>28</v>
      </c>
    </row>
    <row r="245">
      <c r="A245" s="56">
        <f>IF($B245="","",232)</f>
      </c>
      <c r="B245" s="66">
        <f>IF(232&gt;$Q$613,"",INDEX(往来单位!$B$4:$B$603,MATCH(232,$Q$14:$Q$613,0)))</f>
      </c>
      <c r="C245" s="67">
        <f t="shared" si="0"/>
      </c>
      <c r="D245" s="60">
        <f t="shared" si="1"/>
      </c>
      <c r="E245" s="53">
        <f t="shared" si="2"/>
      </c>
      <c r="F245" s="53">
        <f t="shared" si="3"/>
      </c>
      <c r="G245" s="53">
        <f t="shared" si="4"/>
      </c>
      <c r="H245" s="59">
        <f t="shared" si="5"/>
      </c>
      <c r="I245" s="53">
        <f t="shared" si="6"/>
      </c>
      <c r="J245" s="53">
        <f t="shared" si="7"/>
      </c>
      <c r="K245" s="53">
        <f t="shared" si="8"/>
      </c>
      <c r="L245" s="68">
        <f t="shared" si="9"/>
      </c>
      <c r="M245" s="56">
        <f t="shared" si="10"/>
      </c>
      <c r="N245" s="69">
        <f t="shared" si="11"/>
      </c>
      <c r="O245" s="22">
        <f t="shared" si="12"/>
      </c>
      <c r="P245" s="22">
        <f>IF(往来单位!$C$235="客户",1,0)</f>
        <v>0</v>
      </c>
      <c r="Q245" s="22">
        <f t="shared" si="13"/>
        <v>28</v>
      </c>
    </row>
    <row r="246">
      <c r="A246" s="56">
        <f>IF($B246="","",233)</f>
      </c>
      <c r="B246" s="66">
        <f>IF(233&gt;$Q$613,"",INDEX(往来单位!$B$4:$B$603,MATCH(233,$Q$14:$Q$613,0)))</f>
      </c>
      <c r="C246" s="67">
        <f t="shared" si="0"/>
      </c>
      <c r="D246" s="60">
        <f t="shared" si="1"/>
      </c>
      <c r="E246" s="53">
        <f t="shared" si="2"/>
      </c>
      <c r="F246" s="53">
        <f t="shared" si="3"/>
      </c>
      <c r="G246" s="53">
        <f t="shared" si="4"/>
      </c>
      <c r="H246" s="59">
        <f t="shared" si="5"/>
      </c>
      <c r="I246" s="53">
        <f t="shared" si="6"/>
      </c>
      <c r="J246" s="53">
        <f t="shared" si="7"/>
      </c>
      <c r="K246" s="53">
        <f t="shared" si="8"/>
      </c>
      <c r="L246" s="68">
        <f t="shared" si="9"/>
      </c>
      <c r="M246" s="56">
        <f t="shared" si="10"/>
      </c>
      <c r="N246" s="69">
        <f t="shared" si="11"/>
      </c>
      <c r="O246" s="22">
        <f t="shared" si="12"/>
      </c>
      <c r="P246" s="22">
        <f>IF(往来单位!$C$236="客户",1,0)</f>
        <v>0</v>
      </c>
      <c r="Q246" s="22">
        <f t="shared" si="13"/>
        <v>28</v>
      </c>
    </row>
    <row r="247">
      <c r="A247" s="56">
        <f>IF($B247="","",234)</f>
      </c>
      <c r="B247" s="66">
        <f>IF(234&gt;$Q$613,"",INDEX(往来单位!$B$4:$B$603,MATCH(234,$Q$14:$Q$613,0)))</f>
      </c>
      <c r="C247" s="67">
        <f t="shared" si="0"/>
      </c>
      <c r="D247" s="60">
        <f t="shared" si="1"/>
      </c>
      <c r="E247" s="53">
        <f t="shared" si="2"/>
      </c>
      <c r="F247" s="53">
        <f t="shared" si="3"/>
      </c>
      <c r="G247" s="53">
        <f t="shared" si="4"/>
      </c>
      <c r="H247" s="59">
        <f t="shared" si="5"/>
      </c>
      <c r="I247" s="53">
        <f t="shared" si="6"/>
      </c>
      <c r="J247" s="53">
        <f t="shared" si="7"/>
      </c>
      <c r="K247" s="53">
        <f t="shared" si="8"/>
      </c>
      <c r="L247" s="68">
        <f t="shared" si="9"/>
      </c>
      <c r="M247" s="56">
        <f t="shared" si="10"/>
      </c>
      <c r="N247" s="69">
        <f t="shared" si="11"/>
      </c>
      <c r="O247" s="22">
        <f t="shared" si="12"/>
      </c>
      <c r="P247" s="22">
        <f>IF(往来单位!$C$237="客户",1,0)</f>
        <v>0</v>
      </c>
      <c r="Q247" s="22">
        <f t="shared" si="13"/>
        <v>28</v>
      </c>
    </row>
    <row r="248">
      <c r="A248" s="56">
        <f>IF($B248="","",235)</f>
      </c>
      <c r="B248" s="66">
        <f>IF(235&gt;$Q$613,"",INDEX(往来单位!$B$4:$B$603,MATCH(235,$Q$14:$Q$613,0)))</f>
      </c>
      <c r="C248" s="67">
        <f t="shared" si="0"/>
      </c>
      <c r="D248" s="60">
        <f t="shared" si="1"/>
      </c>
      <c r="E248" s="53">
        <f t="shared" si="2"/>
      </c>
      <c r="F248" s="53">
        <f t="shared" si="3"/>
      </c>
      <c r="G248" s="53">
        <f t="shared" si="4"/>
      </c>
      <c r="H248" s="59">
        <f t="shared" si="5"/>
      </c>
      <c r="I248" s="53">
        <f t="shared" si="6"/>
      </c>
      <c r="J248" s="53">
        <f t="shared" si="7"/>
      </c>
      <c r="K248" s="53">
        <f t="shared" si="8"/>
      </c>
      <c r="L248" s="68">
        <f t="shared" si="9"/>
      </c>
      <c r="M248" s="56">
        <f t="shared" si="10"/>
      </c>
      <c r="N248" s="69">
        <f t="shared" si="11"/>
      </c>
      <c r="O248" s="22">
        <f t="shared" si="12"/>
      </c>
      <c r="P248" s="22">
        <f>IF(往来单位!$C$238="客户",1,0)</f>
        <v>0</v>
      </c>
      <c r="Q248" s="22">
        <f t="shared" si="13"/>
        <v>28</v>
      </c>
    </row>
    <row r="249">
      <c r="A249" s="56">
        <f>IF($B249="","",236)</f>
      </c>
      <c r="B249" s="66">
        <f>IF(236&gt;$Q$613,"",INDEX(往来单位!$B$4:$B$603,MATCH(236,$Q$14:$Q$613,0)))</f>
      </c>
      <c r="C249" s="67">
        <f t="shared" si="0"/>
      </c>
      <c r="D249" s="60">
        <f t="shared" si="1"/>
      </c>
      <c r="E249" s="53">
        <f t="shared" si="2"/>
      </c>
      <c r="F249" s="53">
        <f t="shared" si="3"/>
      </c>
      <c r="G249" s="53">
        <f t="shared" si="4"/>
      </c>
      <c r="H249" s="59">
        <f t="shared" si="5"/>
      </c>
      <c r="I249" s="53">
        <f t="shared" si="6"/>
      </c>
      <c r="J249" s="53">
        <f t="shared" si="7"/>
      </c>
      <c r="K249" s="53">
        <f t="shared" si="8"/>
      </c>
      <c r="L249" s="68">
        <f t="shared" si="9"/>
      </c>
      <c r="M249" s="56">
        <f t="shared" si="10"/>
      </c>
      <c r="N249" s="69">
        <f t="shared" si="11"/>
      </c>
      <c r="O249" s="22">
        <f t="shared" si="12"/>
      </c>
      <c r="P249" s="22">
        <f>IF(往来单位!$C$239="客户",1,0)</f>
        <v>0</v>
      </c>
      <c r="Q249" s="22">
        <f t="shared" si="13"/>
        <v>28</v>
      </c>
    </row>
    <row r="250">
      <c r="A250" s="56">
        <f>IF($B250="","",237)</f>
      </c>
      <c r="B250" s="66">
        <f>IF(237&gt;$Q$613,"",INDEX(往来单位!$B$4:$B$603,MATCH(237,$Q$14:$Q$613,0)))</f>
      </c>
      <c r="C250" s="67">
        <f t="shared" si="0"/>
      </c>
      <c r="D250" s="60">
        <f t="shared" si="1"/>
      </c>
      <c r="E250" s="53">
        <f t="shared" si="2"/>
      </c>
      <c r="F250" s="53">
        <f t="shared" si="3"/>
      </c>
      <c r="G250" s="53">
        <f t="shared" si="4"/>
      </c>
      <c r="H250" s="59">
        <f t="shared" si="5"/>
      </c>
      <c r="I250" s="53">
        <f t="shared" si="6"/>
      </c>
      <c r="J250" s="53">
        <f t="shared" si="7"/>
      </c>
      <c r="K250" s="53">
        <f t="shared" si="8"/>
      </c>
      <c r="L250" s="68">
        <f t="shared" si="9"/>
      </c>
      <c r="M250" s="56">
        <f t="shared" si="10"/>
      </c>
      <c r="N250" s="69">
        <f t="shared" si="11"/>
      </c>
      <c r="O250" s="22">
        <f t="shared" si="12"/>
      </c>
      <c r="P250" s="22">
        <f>IF(往来单位!$C$240="客户",1,0)</f>
        <v>0</v>
      </c>
      <c r="Q250" s="22">
        <f t="shared" si="13"/>
        <v>28</v>
      </c>
    </row>
    <row r="251">
      <c r="A251" s="56">
        <f>IF($B251="","",238)</f>
      </c>
      <c r="B251" s="66">
        <f>IF(238&gt;$Q$613,"",INDEX(往来单位!$B$4:$B$603,MATCH(238,$Q$14:$Q$613,0)))</f>
      </c>
      <c r="C251" s="67">
        <f t="shared" si="0"/>
      </c>
      <c r="D251" s="60">
        <f t="shared" si="1"/>
      </c>
      <c r="E251" s="53">
        <f t="shared" si="2"/>
      </c>
      <c r="F251" s="53">
        <f t="shared" si="3"/>
      </c>
      <c r="G251" s="53">
        <f t="shared" si="4"/>
      </c>
      <c r="H251" s="59">
        <f t="shared" si="5"/>
      </c>
      <c r="I251" s="53">
        <f t="shared" si="6"/>
      </c>
      <c r="J251" s="53">
        <f t="shared" si="7"/>
      </c>
      <c r="K251" s="53">
        <f t="shared" si="8"/>
      </c>
      <c r="L251" s="68">
        <f t="shared" si="9"/>
      </c>
      <c r="M251" s="56">
        <f t="shared" si="10"/>
      </c>
      <c r="N251" s="69">
        <f t="shared" si="11"/>
      </c>
      <c r="O251" s="22">
        <f t="shared" si="12"/>
      </c>
      <c r="P251" s="22">
        <f>IF(往来单位!$C$241="客户",1,0)</f>
        <v>0</v>
      </c>
      <c r="Q251" s="22">
        <f t="shared" si="13"/>
        <v>28</v>
      </c>
    </row>
    <row r="252">
      <c r="A252" s="56">
        <f>IF($B252="","",239)</f>
      </c>
      <c r="B252" s="66">
        <f>IF(239&gt;$Q$613,"",INDEX(往来单位!$B$4:$B$603,MATCH(239,$Q$14:$Q$613,0)))</f>
      </c>
      <c r="C252" s="67">
        <f t="shared" si="0"/>
      </c>
      <c r="D252" s="60">
        <f t="shared" si="1"/>
      </c>
      <c r="E252" s="53">
        <f t="shared" si="2"/>
      </c>
      <c r="F252" s="53">
        <f t="shared" si="3"/>
      </c>
      <c r="G252" s="53">
        <f t="shared" si="4"/>
      </c>
      <c r="H252" s="59">
        <f t="shared" si="5"/>
      </c>
      <c r="I252" s="53">
        <f t="shared" si="6"/>
      </c>
      <c r="J252" s="53">
        <f t="shared" si="7"/>
      </c>
      <c r="K252" s="53">
        <f t="shared" si="8"/>
      </c>
      <c r="L252" s="68">
        <f t="shared" si="9"/>
      </c>
      <c r="M252" s="56">
        <f t="shared" si="10"/>
      </c>
      <c r="N252" s="69">
        <f t="shared" si="11"/>
      </c>
      <c r="O252" s="22">
        <f t="shared" si="12"/>
      </c>
      <c r="P252" s="22">
        <f>IF(往来单位!$C$242="客户",1,0)</f>
        <v>0</v>
      </c>
      <c r="Q252" s="22">
        <f t="shared" si="13"/>
        <v>28</v>
      </c>
    </row>
    <row r="253">
      <c r="A253" s="56">
        <f>IF($B253="","",240)</f>
      </c>
      <c r="B253" s="66">
        <f>IF(240&gt;$Q$613,"",INDEX(往来单位!$B$4:$B$603,MATCH(240,$Q$14:$Q$613,0)))</f>
      </c>
      <c r="C253" s="67">
        <f t="shared" si="0"/>
      </c>
      <c r="D253" s="60">
        <f t="shared" si="1"/>
      </c>
      <c r="E253" s="53">
        <f t="shared" si="2"/>
      </c>
      <c r="F253" s="53">
        <f t="shared" si="3"/>
      </c>
      <c r="G253" s="53">
        <f t="shared" si="4"/>
      </c>
      <c r="H253" s="59">
        <f t="shared" si="5"/>
      </c>
      <c r="I253" s="53">
        <f t="shared" si="6"/>
      </c>
      <c r="J253" s="53">
        <f t="shared" si="7"/>
      </c>
      <c r="K253" s="53">
        <f t="shared" si="8"/>
      </c>
      <c r="L253" s="68">
        <f t="shared" si="9"/>
      </c>
      <c r="M253" s="56">
        <f t="shared" si="10"/>
      </c>
      <c r="N253" s="69">
        <f t="shared" si="11"/>
      </c>
      <c r="O253" s="22">
        <f t="shared" si="12"/>
      </c>
      <c r="P253" s="22">
        <f>IF(往来单位!$C$243="客户",1,0)</f>
        <v>0</v>
      </c>
      <c r="Q253" s="22">
        <f t="shared" si="13"/>
        <v>28</v>
      </c>
    </row>
    <row r="254">
      <c r="A254" s="56">
        <f>IF($B254="","",241)</f>
      </c>
      <c r="B254" s="66">
        <f>IF(241&gt;$Q$613,"",INDEX(往来单位!$B$4:$B$603,MATCH(241,$Q$14:$Q$613,0)))</f>
      </c>
      <c r="C254" s="67">
        <f t="shared" si="0"/>
      </c>
      <c r="D254" s="60">
        <f t="shared" si="1"/>
      </c>
      <c r="E254" s="53">
        <f t="shared" si="2"/>
      </c>
      <c r="F254" s="53">
        <f t="shared" si="3"/>
      </c>
      <c r="G254" s="53">
        <f t="shared" si="4"/>
      </c>
      <c r="H254" s="59">
        <f t="shared" si="5"/>
      </c>
      <c r="I254" s="53">
        <f t="shared" si="6"/>
      </c>
      <c r="J254" s="53">
        <f t="shared" si="7"/>
      </c>
      <c r="K254" s="53">
        <f t="shared" si="8"/>
      </c>
      <c r="L254" s="68">
        <f t="shared" si="9"/>
      </c>
      <c r="M254" s="56">
        <f t="shared" si="10"/>
      </c>
      <c r="N254" s="69">
        <f t="shared" si="11"/>
      </c>
      <c r="O254" s="22">
        <f t="shared" si="12"/>
      </c>
      <c r="P254" s="22">
        <f>IF(往来单位!$C$244="客户",1,0)</f>
        <v>0</v>
      </c>
      <c r="Q254" s="22">
        <f t="shared" si="13"/>
        <v>28</v>
      </c>
    </row>
    <row r="255">
      <c r="A255" s="56">
        <f>IF($B255="","",242)</f>
      </c>
      <c r="B255" s="66">
        <f>IF(242&gt;$Q$613,"",INDEX(往来单位!$B$4:$B$603,MATCH(242,$Q$14:$Q$613,0)))</f>
      </c>
      <c r="C255" s="67">
        <f t="shared" si="0"/>
      </c>
      <c r="D255" s="60">
        <f t="shared" si="1"/>
      </c>
      <c r="E255" s="53">
        <f t="shared" si="2"/>
      </c>
      <c r="F255" s="53">
        <f t="shared" si="3"/>
      </c>
      <c r="G255" s="53">
        <f t="shared" si="4"/>
      </c>
      <c r="H255" s="59">
        <f t="shared" si="5"/>
      </c>
      <c r="I255" s="53">
        <f t="shared" si="6"/>
      </c>
      <c r="J255" s="53">
        <f t="shared" si="7"/>
      </c>
      <c r="K255" s="53">
        <f t="shared" si="8"/>
      </c>
      <c r="L255" s="68">
        <f t="shared" si="9"/>
      </c>
      <c r="M255" s="56">
        <f t="shared" si="10"/>
      </c>
      <c r="N255" s="69">
        <f t="shared" si="11"/>
      </c>
      <c r="O255" s="22">
        <f t="shared" si="12"/>
      </c>
      <c r="P255" s="22">
        <f>IF(往来单位!$C$245="客户",1,0)</f>
        <v>0</v>
      </c>
      <c r="Q255" s="22">
        <f t="shared" si="13"/>
        <v>28</v>
      </c>
    </row>
    <row r="256">
      <c r="A256" s="56">
        <f>IF($B256="","",243)</f>
      </c>
      <c r="B256" s="66">
        <f>IF(243&gt;$Q$613,"",INDEX(往来单位!$B$4:$B$603,MATCH(243,$Q$14:$Q$613,0)))</f>
      </c>
      <c r="C256" s="67">
        <f t="shared" si="0"/>
      </c>
      <c r="D256" s="60">
        <f t="shared" si="1"/>
      </c>
      <c r="E256" s="53">
        <f t="shared" si="2"/>
      </c>
      <c r="F256" s="53">
        <f t="shared" si="3"/>
      </c>
      <c r="G256" s="53">
        <f t="shared" si="4"/>
      </c>
      <c r="H256" s="59">
        <f t="shared" si="5"/>
      </c>
      <c r="I256" s="53">
        <f t="shared" si="6"/>
      </c>
      <c r="J256" s="53">
        <f t="shared" si="7"/>
      </c>
      <c r="K256" s="53">
        <f t="shared" si="8"/>
      </c>
      <c r="L256" s="68">
        <f t="shared" si="9"/>
      </c>
      <c r="M256" s="56">
        <f t="shared" si="10"/>
      </c>
      <c r="N256" s="69">
        <f t="shared" si="11"/>
      </c>
      <c r="O256" s="22">
        <f t="shared" si="12"/>
      </c>
      <c r="P256" s="22">
        <f>IF(往来单位!$C$246="客户",1,0)</f>
        <v>0</v>
      </c>
      <c r="Q256" s="22">
        <f t="shared" si="13"/>
        <v>28</v>
      </c>
    </row>
    <row r="257">
      <c r="A257" s="56">
        <f>IF($B257="","",244)</f>
      </c>
      <c r="B257" s="66">
        <f>IF(244&gt;$Q$613,"",INDEX(往来单位!$B$4:$B$603,MATCH(244,$Q$14:$Q$613,0)))</f>
      </c>
      <c r="C257" s="67">
        <f t="shared" si="0"/>
      </c>
      <c r="D257" s="60">
        <f t="shared" si="1"/>
      </c>
      <c r="E257" s="53">
        <f t="shared" si="2"/>
      </c>
      <c r="F257" s="53">
        <f t="shared" si="3"/>
      </c>
      <c r="G257" s="53">
        <f t="shared" si="4"/>
      </c>
      <c r="H257" s="59">
        <f t="shared" si="5"/>
      </c>
      <c r="I257" s="53">
        <f t="shared" si="6"/>
      </c>
      <c r="J257" s="53">
        <f t="shared" si="7"/>
      </c>
      <c r="K257" s="53">
        <f t="shared" si="8"/>
      </c>
      <c r="L257" s="68">
        <f t="shared" si="9"/>
      </c>
      <c r="M257" s="56">
        <f t="shared" si="10"/>
      </c>
      <c r="N257" s="69">
        <f t="shared" si="11"/>
      </c>
      <c r="O257" s="22">
        <f t="shared" si="12"/>
      </c>
      <c r="P257" s="22">
        <f>IF(往来单位!$C$247="客户",1,0)</f>
        <v>0</v>
      </c>
      <c r="Q257" s="22">
        <f t="shared" si="13"/>
        <v>28</v>
      </c>
    </row>
    <row r="258">
      <c r="A258" s="56">
        <f>IF($B258="","",245)</f>
      </c>
      <c r="B258" s="66">
        <f>IF(245&gt;$Q$613,"",INDEX(往来单位!$B$4:$B$603,MATCH(245,$Q$14:$Q$613,0)))</f>
      </c>
      <c r="C258" s="67">
        <f t="shared" si="0"/>
      </c>
      <c r="D258" s="60">
        <f t="shared" si="1"/>
      </c>
      <c r="E258" s="53">
        <f t="shared" si="2"/>
      </c>
      <c r="F258" s="53">
        <f t="shared" si="3"/>
      </c>
      <c r="G258" s="53">
        <f t="shared" si="4"/>
      </c>
      <c r="H258" s="59">
        <f t="shared" si="5"/>
      </c>
      <c r="I258" s="53">
        <f t="shared" si="6"/>
      </c>
      <c r="J258" s="53">
        <f t="shared" si="7"/>
      </c>
      <c r="K258" s="53">
        <f t="shared" si="8"/>
      </c>
      <c r="L258" s="68">
        <f t="shared" si="9"/>
      </c>
      <c r="M258" s="56">
        <f t="shared" si="10"/>
      </c>
      <c r="N258" s="69">
        <f t="shared" si="11"/>
      </c>
      <c r="O258" s="22">
        <f t="shared" si="12"/>
      </c>
      <c r="P258" s="22">
        <f>IF(往来单位!$C$248="客户",1,0)</f>
        <v>0</v>
      </c>
      <c r="Q258" s="22">
        <f t="shared" si="13"/>
        <v>28</v>
      </c>
    </row>
    <row r="259">
      <c r="A259" s="56">
        <f>IF($B259="","",246)</f>
      </c>
      <c r="B259" s="66">
        <f>IF(246&gt;$Q$613,"",INDEX(往来单位!$B$4:$B$603,MATCH(246,$Q$14:$Q$613,0)))</f>
      </c>
      <c r="C259" s="67">
        <f t="shared" si="0"/>
      </c>
      <c r="D259" s="60">
        <f t="shared" si="1"/>
      </c>
      <c r="E259" s="53">
        <f t="shared" si="2"/>
      </c>
      <c r="F259" s="53">
        <f t="shared" si="3"/>
      </c>
      <c r="G259" s="53">
        <f t="shared" si="4"/>
      </c>
      <c r="H259" s="59">
        <f t="shared" si="5"/>
      </c>
      <c r="I259" s="53">
        <f t="shared" si="6"/>
      </c>
      <c r="J259" s="53">
        <f t="shared" si="7"/>
      </c>
      <c r="K259" s="53">
        <f t="shared" si="8"/>
      </c>
      <c r="L259" s="68">
        <f t="shared" si="9"/>
      </c>
      <c r="M259" s="56">
        <f t="shared" si="10"/>
      </c>
      <c r="N259" s="69">
        <f t="shared" si="11"/>
      </c>
      <c r="O259" s="22">
        <f t="shared" si="12"/>
      </c>
      <c r="P259" s="22">
        <f>IF(往来单位!$C$249="客户",1,0)</f>
        <v>0</v>
      </c>
      <c r="Q259" s="22">
        <f t="shared" si="13"/>
        <v>28</v>
      </c>
    </row>
    <row r="260">
      <c r="A260" s="56">
        <f>IF($B260="","",247)</f>
      </c>
      <c r="B260" s="66">
        <f>IF(247&gt;$Q$613,"",INDEX(往来单位!$B$4:$B$603,MATCH(247,$Q$14:$Q$613,0)))</f>
      </c>
      <c r="C260" s="67">
        <f t="shared" si="0"/>
      </c>
      <c r="D260" s="60">
        <f t="shared" si="1"/>
      </c>
      <c r="E260" s="53">
        <f t="shared" si="2"/>
      </c>
      <c r="F260" s="53">
        <f t="shared" si="3"/>
      </c>
      <c r="G260" s="53">
        <f t="shared" si="4"/>
      </c>
      <c r="H260" s="59">
        <f t="shared" si="5"/>
      </c>
      <c r="I260" s="53">
        <f t="shared" si="6"/>
      </c>
      <c r="J260" s="53">
        <f t="shared" si="7"/>
      </c>
      <c r="K260" s="53">
        <f t="shared" si="8"/>
      </c>
      <c r="L260" s="68">
        <f t="shared" si="9"/>
      </c>
      <c r="M260" s="56">
        <f t="shared" si="10"/>
      </c>
      <c r="N260" s="69">
        <f t="shared" si="11"/>
      </c>
      <c r="O260" s="22">
        <f t="shared" si="12"/>
      </c>
      <c r="P260" s="22">
        <f>IF(往来单位!$C$250="客户",1,0)</f>
        <v>0</v>
      </c>
      <c r="Q260" s="22">
        <f t="shared" si="13"/>
        <v>28</v>
      </c>
    </row>
    <row r="261">
      <c r="A261" s="56">
        <f>IF($B261="","",248)</f>
      </c>
      <c r="B261" s="66">
        <f>IF(248&gt;$Q$613,"",INDEX(往来单位!$B$4:$B$603,MATCH(248,$Q$14:$Q$613,0)))</f>
      </c>
      <c r="C261" s="67">
        <f t="shared" si="0"/>
      </c>
      <c r="D261" s="60">
        <f t="shared" si="1"/>
      </c>
      <c r="E261" s="53">
        <f t="shared" si="2"/>
      </c>
      <c r="F261" s="53">
        <f t="shared" si="3"/>
      </c>
      <c r="G261" s="53">
        <f t="shared" si="4"/>
      </c>
      <c r="H261" s="59">
        <f t="shared" si="5"/>
      </c>
      <c r="I261" s="53">
        <f t="shared" si="6"/>
      </c>
      <c r="J261" s="53">
        <f t="shared" si="7"/>
      </c>
      <c r="K261" s="53">
        <f t="shared" si="8"/>
      </c>
      <c r="L261" s="68">
        <f t="shared" si="9"/>
      </c>
      <c r="M261" s="56">
        <f t="shared" si="10"/>
      </c>
      <c r="N261" s="69">
        <f t="shared" si="11"/>
      </c>
      <c r="O261" s="22">
        <f t="shared" si="12"/>
      </c>
      <c r="P261" s="22">
        <f>IF(往来单位!$C$251="客户",1,0)</f>
        <v>0</v>
      </c>
      <c r="Q261" s="22">
        <f t="shared" si="13"/>
        <v>28</v>
      </c>
    </row>
    <row r="262">
      <c r="A262" s="56">
        <f>IF($B262="","",249)</f>
      </c>
      <c r="B262" s="66">
        <f>IF(249&gt;$Q$613,"",INDEX(往来单位!$B$4:$B$603,MATCH(249,$Q$14:$Q$613,0)))</f>
      </c>
      <c r="C262" s="67">
        <f t="shared" si="0"/>
      </c>
      <c r="D262" s="60">
        <f t="shared" si="1"/>
      </c>
      <c r="E262" s="53">
        <f t="shared" si="2"/>
      </c>
      <c r="F262" s="53">
        <f t="shared" si="3"/>
      </c>
      <c r="G262" s="53">
        <f t="shared" si="4"/>
      </c>
      <c r="H262" s="59">
        <f t="shared" si="5"/>
      </c>
      <c r="I262" s="53">
        <f t="shared" si="6"/>
      </c>
      <c r="J262" s="53">
        <f t="shared" si="7"/>
      </c>
      <c r="K262" s="53">
        <f t="shared" si="8"/>
      </c>
      <c r="L262" s="68">
        <f t="shared" si="9"/>
      </c>
      <c r="M262" s="56">
        <f t="shared" si="10"/>
      </c>
      <c r="N262" s="69">
        <f t="shared" si="11"/>
      </c>
      <c r="O262" s="22">
        <f t="shared" si="12"/>
      </c>
      <c r="P262" s="22">
        <f>IF(往来单位!$C$252="客户",1,0)</f>
        <v>0</v>
      </c>
      <c r="Q262" s="22">
        <f t="shared" si="13"/>
        <v>28</v>
      </c>
    </row>
    <row r="263">
      <c r="A263" s="56">
        <f>IF($B263="","",250)</f>
      </c>
      <c r="B263" s="66">
        <f>IF(250&gt;$Q$613,"",INDEX(往来单位!$B$4:$B$603,MATCH(250,$Q$14:$Q$613,0)))</f>
      </c>
      <c r="C263" s="67">
        <f t="shared" si="0"/>
      </c>
      <c r="D263" s="60">
        <f t="shared" si="1"/>
      </c>
      <c r="E263" s="53">
        <f t="shared" si="2"/>
      </c>
      <c r="F263" s="53">
        <f t="shared" si="3"/>
      </c>
      <c r="G263" s="53">
        <f t="shared" si="4"/>
      </c>
      <c r="H263" s="59">
        <f t="shared" si="5"/>
      </c>
      <c r="I263" s="53">
        <f t="shared" si="6"/>
      </c>
      <c r="J263" s="53">
        <f t="shared" si="7"/>
      </c>
      <c r="K263" s="53">
        <f t="shared" si="8"/>
      </c>
      <c r="L263" s="68">
        <f t="shared" si="9"/>
      </c>
      <c r="M263" s="56">
        <f t="shared" si="10"/>
      </c>
      <c r="N263" s="69">
        <f t="shared" si="11"/>
      </c>
      <c r="O263" s="22">
        <f t="shared" si="12"/>
      </c>
      <c r="P263" s="22">
        <f>IF(往来单位!$C$253="客户",1,0)</f>
        <v>0</v>
      </c>
      <c r="Q263" s="22">
        <f t="shared" si="13"/>
        <v>28</v>
      </c>
    </row>
    <row r="264">
      <c r="A264" s="56">
        <f>IF($B264="","",251)</f>
      </c>
      <c r="B264" s="66">
        <f>IF(251&gt;$Q$613,"",INDEX(往来单位!$B$4:$B$603,MATCH(251,$Q$14:$Q$613,0)))</f>
      </c>
      <c r="C264" s="67">
        <f t="shared" si="0"/>
      </c>
      <c r="D264" s="60">
        <f t="shared" si="1"/>
      </c>
      <c r="E264" s="53">
        <f t="shared" si="2"/>
      </c>
      <c r="F264" s="53">
        <f t="shared" si="3"/>
      </c>
      <c r="G264" s="53">
        <f t="shared" si="4"/>
      </c>
      <c r="H264" s="59">
        <f t="shared" si="5"/>
      </c>
      <c r="I264" s="53">
        <f t="shared" si="6"/>
      </c>
      <c r="J264" s="53">
        <f t="shared" si="7"/>
      </c>
      <c r="K264" s="53">
        <f t="shared" si="8"/>
      </c>
      <c r="L264" s="68">
        <f t="shared" si="9"/>
      </c>
      <c r="M264" s="56">
        <f t="shared" si="10"/>
      </c>
      <c r="N264" s="69">
        <f t="shared" si="11"/>
      </c>
      <c r="O264" s="22">
        <f t="shared" si="12"/>
      </c>
      <c r="P264" s="22">
        <f>IF(往来单位!$C$254="客户",1,0)</f>
        <v>0</v>
      </c>
      <c r="Q264" s="22">
        <f t="shared" si="13"/>
        <v>28</v>
      </c>
    </row>
    <row r="265">
      <c r="A265" s="56">
        <f>IF($B265="","",252)</f>
      </c>
      <c r="B265" s="66">
        <f>IF(252&gt;$Q$613,"",INDEX(往来单位!$B$4:$B$603,MATCH(252,$Q$14:$Q$613,0)))</f>
      </c>
      <c r="C265" s="67">
        <f t="shared" si="0"/>
      </c>
      <c r="D265" s="60">
        <f t="shared" si="1"/>
      </c>
      <c r="E265" s="53">
        <f t="shared" si="2"/>
      </c>
      <c r="F265" s="53">
        <f t="shared" si="3"/>
      </c>
      <c r="G265" s="53">
        <f t="shared" si="4"/>
      </c>
      <c r="H265" s="59">
        <f t="shared" si="5"/>
      </c>
      <c r="I265" s="53">
        <f t="shared" si="6"/>
      </c>
      <c r="J265" s="53">
        <f t="shared" si="7"/>
      </c>
      <c r="K265" s="53">
        <f t="shared" si="8"/>
      </c>
      <c r="L265" s="68">
        <f t="shared" si="9"/>
      </c>
      <c r="M265" s="56">
        <f t="shared" si="10"/>
      </c>
      <c r="N265" s="69">
        <f t="shared" si="11"/>
      </c>
      <c r="O265" s="22">
        <f t="shared" si="12"/>
      </c>
      <c r="P265" s="22">
        <f>IF(往来单位!$C$255="客户",1,0)</f>
        <v>0</v>
      </c>
      <c r="Q265" s="22">
        <f t="shared" si="13"/>
        <v>28</v>
      </c>
    </row>
    <row r="266">
      <c r="A266" s="56">
        <f>IF($B266="","",253)</f>
      </c>
      <c r="B266" s="66">
        <f>IF(253&gt;$Q$613,"",INDEX(往来单位!$B$4:$B$603,MATCH(253,$Q$14:$Q$613,0)))</f>
      </c>
      <c r="C266" s="67">
        <f t="shared" si="0"/>
      </c>
      <c r="D266" s="60">
        <f t="shared" si="1"/>
      </c>
      <c r="E266" s="53">
        <f t="shared" si="2"/>
      </c>
      <c r="F266" s="53">
        <f t="shared" si="3"/>
      </c>
      <c r="G266" s="53">
        <f t="shared" si="4"/>
      </c>
      <c r="H266" s="59">
        <f t="shared" si="5"/>
      </c>
      <c r="I266" s="53">
        <f t="shared" si="6"/>
      </c>
      <c r="J266" s="53">
        <f t="shared" si="7"/>
      </c>
      <c r="K266" s="53">
        <f t="shared" si="8"/>
      </c>
      <c r="L266" s="68">
        <f t="shared" si="9"/>
      </c>
      <c r="M266" s="56">
        <f t="shared" si="10"/>
      </c>
      <c r="N266" s="69">
        <f t="shared" si="11"/>
      </c>
      <c r="O266" s="22">
        <f t="shared" si="12"/>
      </c>
      <c r="P266" s="22">
        <f>IF(往来单位!$C$256="客户",1,0)</f>
        <v>0</v>
      </c>
      <c r="Q266" s="22">
        <f t="shared" si="13"/>
        <v>28</v>
      </c>
    </row>
    <row r="267">
      <c r="A267" s="56">
        <f>IF($B267="","",254)</f>
      </c>
      <c r="B267" s="66">
        <f>IF(254&gt;$Q$613,"",INDEX(往来单位!$B$4:$B$603,MATCH(254,$Q$14:$Q$613,0)))</f>
      </c>
      <c r="C267" s="67">
        <f t="shared" si="0"/>
      </c>
      <c r="D267" s="60">
        <f t="shared" si="1"/>
      </c>
      <c r="E267" s="53">
        <f t="shared" si="2"/>
      </c>
      <c r="F267" s="53">
        <f t="shared" si="3"/>
      </c>
      <c r="G267" s="53">
        <f t="shared" si="4"/>
      </c>
      <c r="H267" s="59">
        <f t="shared" si="5"/>
      </c>
      <c r="I267" s="53">
        <f t="shared" si="6"/>
      </c>
      <c r="J267" s="53">
        <f t="shared" si="7"/>
      </c>
      <c r="K267" s="53">
        <f t="shared" si="8"/>
      </c>
      <c r="L267" s="68">
        <f t="shared" si="9"/>
      </c>
      <c r="M267" s="56">
        <f t="shared" si="10"/>
      </c>
      <c r="N267" s="69">
        <f t="shared" si="11"/>
      </c>
      <c r="O267" s="22">
        <f t="shared" si="12"/>
      </c>
      <c r="P267" s="22">
        <f>IF(往来单位!$C$257="客户",1,0)</f>
        <v>0</v>
      </c>
      <c r="Q267" s="22">
        <f t="shared" si="13"/>
        <v>28</v>
      </c>
    </row>
    <row r="268">
      <c r="A268" s="56">
        <f>IF($B268="","",255)</f>
      </c>
      <c r="B268" s="66">
        <f>IF(255&gt;$Q$613,"",INDEX(往来单位!$B$4:$B$603,MATCH(255,$Q$14:$Q$613,0)))</f>
      </c>
      <c r="C268" s="67">
        <f t="shared" si="0"/>
      </c>
      <c r="D268" s="60">
        <f t="shared" si="1"/>
      </c>
      <c r="E268" s="53">
        <f t="shared" si="2"/>
      </c>
      <c r="F268" s="53">
        <f t="shared" si="3"/>
      </c>
      <c r="G268" s="53">
        <f t="shared" si="4"/>
      </c>
      <c r="H268" s="59">
        <f t="shared" si="5"/>
      </c>
      <c r="I268" s="53">
        <f t="shared" si="6"/>
      </c>
      <c r="J268" s="53">
        <f t="shared" si="7"/>
      </c>
      <c r="K268" s="53">
        <f t="shared" si="8"/>
      </c>
      <c r="L268" s="68">
        <f t="shared" si="9"/>
      </c>
      <c r="M268" s="56">
        <f t="shared" si="10"/>
      </c>
      <c r="N268" s="69">
        <f t="shared" si="11"/>
      </c>
      <c r="O268" s="22">
        <f t="shared" si="12"/>
      </c>
      <c r="P268" s="22">
        <f>IF(往来单位!$C$258="客户",1,0)</f>
        <v>0</v>
      </c>
      <c r="Q268" s="22">
        <f t="shared" si="13"/>
        <v>28</v>
      </c>
    </row>
    <row r="269">
      <c r="A269" s="56">
        <f>IF($B269="","",256)</f>
      </c>
      <c r="B269" s="66">
        <f>IF(256&gt;$Q$613,"",INDEX(往来单位!$B$4:$B$603,MATCH(256,$Q$14:$Q$613,0)))</f>
      </c>
      <c r="C269" s="67">
        <f t="shared" si="0"/>
      </c>
      <c r="D269" s="60">
        <f t="shared" si="1"/>
      </c>
      <c r="E269" s="53">
        <f t="shared" si="2"/>
      </c>
      <c r="F269" s="53">
        <f t="shared" si="3"/>
      </c>
      <c r="G269" s="53">
        <f t="shared" si="4"/>
      </c>
      <c r="H269" s="59">
        <f t="shared" si="5"/>
      </c>
      <c r="I269" s="53">
        <f t="shared" si="6"/>
      </c>
      <c r="J269" s="53">
        <f t="shared" si="7"/>
      </c>
      <c r="K269" s="53">
        <f t="shared" si="8"/>
      </c>
      <c r="L269" s="68">
        <f t="shared" si="9"/>
      </c>
      <c r="M269" s="56">
        <f t="shared" si="10"/>
      </c>
      <c r="N269" s="69">
        <f t="shared" si="11"/>
      </c>
      <c r="O269" s="22">
        <f t="shared" si="12"/>
      </c>
      <c r="P269" s="22">
        <f>IF(往来单位!$C$259="客户",1,0)</f>
        <v>0</v>
      </c>
      <c r="Q269" s="22">
        <f t="shared" si="13"/>
        <v>28</v>
      </c>
    </row>
    <row r="270">
      <c r="A270" s="56">
        <f>IF($B270="","",257)</f>
      </c>
      <c r="B270" s="66">
        <f>IF(257&gt;$Q$613,"",INDEX(往来单位!$B$4:$B$603,MATCH(257,$Q$14:$Q$613,0)))</f>
      </c>
      <c r="C270" s="67">
        <f t="shared" si="0"/>
      </c>
      <c r="D270" s="60">
        <f t="shared" si="1"/>
      </c>
      <c r="E270" s="53">
        <f t="shared" si="2"/>
      </c>
      <c r="F270" s="53">
        <f t="shared" si="3"/>
      </c>
      <c r="G270" s="53">
        <f t="shared" si="4"/>
      </c>
      <c r="H270" s="59">
        <f t="shared" si="5"/>
      </c>
      <c r="I270" s="53">
        <f t="shared" si="6"/>
      </c>
      <c r="J270" s="53">
        <f t="shared" si="7"/>
      </c>
      <c r="K270" s="53">
        <f t="shared" si="8"/>
      </c>
      <c r="L270" s="68">
        <f t="shared" si="9"/>
      </c>
      <c r="M270" s="56">
        <f t="shared" si="10"/>
      </c>
      <c r="N270" s="69">
        <f t="shared" si="11"/>
      </c>
      <c r="O270" s="22">
        <f t="shared" si="12"/>
      </c>
      <c r="P270" s="22">
        <f>IF(往来单位!$C$260="客户",1,0)</f>
        <v>0</v>
      </c>
      <c r="Q270" s="22">
        <f t="shared" si="13"/>
        <v>28</v>
      </c>
    </row>
    <row r="271">
      <c r="A271" s="56">
        <f>IF($B271="","",258)</f>
      </c>
      <c r="B271" s="66">
        <f>IF(258&gt;$Q$613,"",INDEX(往来单位!$B$4:$B$603,MATCH(258,$Q$14:$Q$613,0)))</f>
      </c>
      <c r="C271" s="67">
        <f t="shared" si="0"/>
      </c>
      <c r="D271" s="60">
        <f t="shared" si="1"/>
      </c>
      <c r="E271" s="53">
        <f t="shared" si="2"/>
      </c>
      <c r="F271" s="53">
        <f t="shared" si="3"/>
      </c>
      <c r="G271" s="53">
        <f t="shared" si="4"/>
      </c>
      <c r="H271" s="59">
        <f t="shared" si="5"/>
      </c>
      <c r="I271" s="53">
        <f t="shared" si="6"/>
      </c>
      <c r="J271" s="53">
        <f t="shared" si="7"/>
      </c>
      <c r="K271" s="53">
        <f t="shared" si="8"/>
      </c>
      <c r="L271" s="68">
        <f t="shared" si="9"/>
      </c>
      <c r="M271" s="56">
        <f t="shared" si="10"/>
      </c>
      <c r="N271" s="69">
        <f t="shared" si="11"/>
      </c>
      <c r="O271" s="22">
        <f t="shared" si="12"/>
      </c>
      <c r="P271" s="22">
        <f>IF(往来单位!$C$261="客户",1,0)</f>
        <v>0</v>
      </c>
      <c r="Q271" s="22">
        <f t="shared" si="13"/>
        <v>28</v>
      </c>
    </row>
    <row r="272">
      <c r="A272" s="56">
        <f>IF($B272="","",259)</f>
      </c>
      <c r="B272" s="66">
        <f>IF(259&gt;$Q$613,"",INDEX(往来单位!$B$4:$B$603,MATCH(259,$Q$14:$Q$613,0)))</f>
      </c>
      <c r="C272" s="67">
        <f t="shared" si="0"/>
      </c>
      <c r="D272" s="60">
        <f t="shared" si="1"/>
      </c>
      <c r="E272" s="53">
        <f t="shared" si="2"/>
      </c>
      <c r="F272" s="53">
        <f t="shared" si="3"/>
      </c>
      <c r="G272" s="53">
        <f t="shared" si="4"/>
      </c>
      <c r="H272" s="59">
        <f t="shared" si="5"/>
      </c>
      <c r="I272" s="53">
        <f t="shared" si="6"/>
      </c>
      <c r="J272" s="53">
        <f t="shared" si="7"/>
      </c>
      <c r="K272" s="53">
        <f t="shared" si="8"/>
      </c>
      <c r="L272" s="68">
        <f t="shared" si="9"/>
      </c>
      <c r="M272" s="56">
        <f t="shared" si="10"/>
      </c>
      <c r="N272" s="69">
        <f t="shared" si="11"/>
      </c>
      <c r="O272" s="22">
        <f t="shared" si="12"/>
      </c>
      <c r="P272" s="22">
        <f>IF(往来单位!$C$262="客户",1,0)</f>
        <v>0</v>
      </c>
      <c r="Q272" s="22">
        <f t="shared" si="13"/>
        <v>28</v>
      </c>
    </row>
    <row r="273">
      <c r="A273" s="56">
        <f>IF($B273="","",260)</f>
      </c>
      <c r="B273" s="66">
        <f>IF(260&gt;$Q$613,"",INDEX(往来单位!$B$4:$B$603,MATCH(260,$Q$14:$Q$613,0)))</f>
      </c>
      <c r="C273" s="67">
        <f t="shared" si="0"/>
      </c>
      <c r="D273" s="60">
        <f t="shared" si="1"/>
      </c>
      <c r="E273" s="53">
        <f t="shared" si="2"/>
      </c>
      <c r="F273" s="53">
        <f t="shared" si="3"/>
      </c>
      <c r="G273" s="53">
        <f t="shared" si="4"/>
      </c>
      <c r="H273" s="59">
        <f t="shared" si="5"/>
      </c>
      <c r="I273" s="53">
        <f t="shared" si="6"/>
      </c>
      <c r="J273" s="53">
        <f t="shared" si="7"/>
      </c>
      <c r="K273" s="53">
        <f t="shared" si="8"/>
      </c>
      <c r="L273" s="68">
        <f t="shared" si="9"/>
      </c>
      <c r="M273" s="56">
        <f t="shared" si="10"/>
      </c>
      <c r="N273" s="69">
        <f t="shared" si="11"/>
      </c>
      <c r="O273" s="22">
        <f t="shared" si="12"/>
      </c>
      <c r="P273" s="22">
        <f>IF(往来单位!$C$263="客户",1,0)</f>
        <v>0</v>
      </c>
      <c r="Q273" s="22">
        <f t="shared" si="13"/>
        <v>28</v>
      </c>
    </row>
    <row r="274">
      <c r="A274" s="56">
        <f>IF($B274="","",261)</f>
      </c>
      <c r="B274" s="66">
        <f>IF(261&gt;$Q$613,"",INDEX(往来单位!$B$4:$B$603,MATCH(261,$Q$14:$Q$613,0)))</f>
      </c>
      <c r="C274" s="67">
        <f t="shared" si="0"/>
      </c>
      <c r="D274" s="60">
        <f t="shared" si="1"/>
      </c>
      <c r="E274" s="53">
        <f t="shared" si="2"/>
      </c>
      <c r="F274" s="53">
        <f t="shared" si="3"/>
      </c>
      <c r="G274" s="53">
        <f t="shared" si="4"/>
      </c>
      <c r="H274" s="59">
        <f t="shared" si="5"/>
      </c>
      <c r="I274" s="53">
        <f t="shared" si="6"/>
      </c>
      <c r="J274" s="53">
        <f t="shared" si="7"/>
      </c>
      <c r="K274" s="53">
        <f t="shared" si="8"/>
      </c>
      <c r="L274" s="68">
        <f t="shared" si="9"/>
      </c>
      <c r="M274" s="56">
        <f t="shared" si="10"/>
      </c>
      <c r="N274" s="69">
        <f t="shared" si="11"/>
      </c>
      <c r="O274" s="22">
        <f t="shared" si="12"/>
      </c>
      <c r="P274" s="22">
        <f>IF(往来单位!$C$264="客户",1,0)</f>
        <v>0</v>
      </c>
      <c r="Q274" s="22">
        <f t="shared" si="13"/>
        <v>28</v>
      </c>
    </row>
    <row r="275">
      <c r="A275" s="56">
        <f>IF($B275="","",262)</f>
      </c>
      <c r="B275" s="66">
        <f>IF(262&gt;$Q$613,"",INDEX(往来单位!$B$4:$B$603,MATCH(262,$Q$14:$Q$613,0)))</f>
      </c>
      <c r="C275" s="67">
        <f t="shared" si="0"/>
      </c>
      <c r="D275" s="60">
        <f t="shared" si="1"/>
      </c>
      <c r="E275" s="53">
        <f t="shared" si="2"/>
      </c>
      <c r="F275" s="53">
        <f t="shared" si="3"/>
      </c>
      <c r="G275" s="53">
        <f t="shared" si="4"/>
      </c>
      <c r="H275" s="59">
        <f t="shared" si="5"/>
      </c>
      <c r="I275" s="53">
        <f t="shared" si="6"/>
      </c>
      <c r="J275" s="53">
        <f t="shared" si="7"/>
      </c>
      <c r="K275" s="53">
        <f t="shared" si="8"/>
      </c>
      <c r="L275" s="68">
        <f t="shared" si="9"/>
      </c>
      <c r="M275" s="56">
        <f t="shared" si="10"/>
      </c>
      <c r="N275" s="69">
        <f t="shared" si="11"/>
      </c>
      <c r="O275" s="22">
        <f t="shared" si="12"/>
      </c>
      <c r="P275" s="22">
        <f>IF(往来单位!$C$265="客户",1,0)</f>
        <v>0</v>
      </c>
      <c r="Q275" s="22">
        <f t="shared" si="13"/>
        <v>28</v>
      </c>
    </row>
    <row r="276">
      <c r="A276" s="56">
        <f>IF($B276="","",263)</f>
      </c>
      <c r="B276" s="66">
        <f>IF(263&gt;$Q$613,"",INDEX(往来单位!$B$4:$B$603,MATCH(263,$Q$14:$Q$613,0)))</f>
      </c>
      <c r="C276" s="67">
        <f t="shared" si="0"/>
      </c>
      <c r="D276" s="60">
        <f t="shared" si="1"/>
      </c>
      <c r="E276" s="53">
        <f t="shared" si="2"/>
      </c>
      <c r="F276" s="53">
        <f t="shared" si="3"/>
      </c>
      <c r="G276" s="53">
        <f t="shared" si="4"/>
      </c>
      <c r="H276" s="59">
        <f t="shared" si="5"/>
      </c>
      <c r="I276" s="53">
        <f t="shared" si="6"/>
      </c>
      <c r="J276" s="53">
        <f t="shared" si="7"/>
      </c>
      <c r="K276" s="53">
        <f t="shared" si="8"/>
      </c>
      <c r="L276" s="68">
        <f t="shared" si="9"/>
      </c>
      <c r="M276" s="56">
        <f t="shared" si="10"/>
      </c>
      <c r="N276" s="69">
        <f t="shared" si="11"/>
      </c>
      <c r="O276" s="22">
        <f t="shared" si="12"/>
      </c>
      <c r="P276" s="22">
        <f>IF(往来单位!$C$266="客户",1,0)</f>
        <v>0</v>
      </c>
      <c r="Q276" s="22">
        <f t="shared" si="13"/>
        <v>28</v>
      </c>
    </row>
    <row r="277">
      <c r="A277" s="56">
        <f>IF($B277="","",264)</f>
      </c>
      <c r="B277" s="66">
        <f>IF(264&gt;$Q$613,"",INDEX(往来单位!$B$4:$B$603,MATCH(264,$Q$14:$Q$613,0)))</f>
      </c>
      <c r="C277" s="67">
        <f t="shared" si="0"/>
      </c>
      <c r="D277" s="60">
        <f t="shared" si="1"/>
      </c>
      <c r="E277" s="53">
        <f t="shared" si="2"/>
      </c>
      <c r="F277" s="53">
        <f t="shared" si="3"/>
      </c>
      <c r="G277" s="53">
        <f t="shared" si="4"/>
      </c>
      <c r="H277" s="59">
        <f t="shared" si="5"/>
      </c>
      <c r="I277" s="53">
        <f t="shared" si="6"/>
      </c>
      <c r="J277" s="53">
        <f t="shared" si="7"/>
      </c>
      <c r="K277" s="53">
        <f t="shared" si="8"/>
      </c>
      <c r="L277" s="68">
        <f t="shared" si="9"/>
      </c>
      <c r="M277" s="56">
        <f t="shared" si="10"/>
      </c>
      <c r="N277" s="69">
        <f t="shared" si="11"/>
      </c>
      <c r="O277" s="22">
        <f t="shared" si="12"/>
      </c>
      <c r="P277" s="22">
        <f>IF(往来单位!$C$267="客户",1,0)</f>
        <v>0</v>
      </c>
      <c r="Q277" s="22">
        <f t="shared" si="13"/>
        <v>28</v>
      </c>
    </row>
    <row r="278">
      <c r="A278" s="56">
        <f>IF($B278="","",265)</f>
      </c>
      <c r="B278" s="66">
        <f>IF(265&gt;$Q$613,"",INDEX(往来单位!$B$4:$B$603,MATCH(265,$Q$14:$Q$613,0)))</f>
      </c>
      <c r="C278" s="67">
        <f t="shared" si="0"/>
      </c>
      <c r="D278" s="60">
        <f t="shared" si="1"/>
      </c>
      <c r="E278" s="53">
        <f t="shared" si="2"/>
      </c>
      <c r="F278" s="53">
        <f t="shared" si="3"/>
      </c>
      <c r="G278" s="53">
        <f t="shared" si="4"/>
      </c>
      <c r="H278" s="59">
        <f t="shared" si="5"/>
      </c>
      <c r="I278" s="53">
        <f t="shared" si="6"/>
      </c>
      <c r="J278" s="53">
        <f t="shared" si="7"/>
      </c>
      <c r="K278" s="53">
        <f t="shared" si="8"/>
      </c>
      <c r="L278" s="68">
        <f t="shared" si="9"/>
      </c>
      <c r="M278" s="56">
        <f t="shared" si="10"/>
      </c>
      <c r="N278" s="69">
        <f t="shared" si="11"/>
      </c>
      <c r="O278" s="22">
        <f t="shared" si="12"/>
      </c>
      <c r="P278" s="22">
        <f>IF(往来单位!$C$268="客户",1,0)</f>
        <v>0</v>
      </c>
      <c r="Q278" s="22">
        <f t="shared" si="13"/>
        <v>28</v>
      </c>
    </row>
    <row r="279">
      <c r="A279" s="56">
        <f>IF($B279="","",266)</f>
      </c>
      <c r="B279" s="66">
        <f>IF(266&gt;$Q$613,"",INDEX(往来单位!$B$4:$B$603,MATCH(266,$Q$14:$Q$613,0)))</f>
      </c>
      <c r="C279" s="67">
        <f t="shared" si="0"/>
      </c>
      <c r="D279" s="60">
        <f t="shared" si="1"/>
      </c>
      <c r="E279" s="53">
        <f t="shared" si="2"/>
      </c>
      <c r="F279" s="53">
        <f t="shared" si="3"/>
      </c>
      <c r="G279" s="53">
        <f t="shared" si="4"/>
      </c>
      <c r="H279" s="59">
        <f t="shared" si="5"/>
      </c>
      <c r="I279" s="53">
        <f t="shared" si="6"/>
      </c>
      <c r="J279" s="53">
        <f t="shared" si="7"/>
      </c>
      <c r="K279" s="53">
        <f t="shared" si="8"/>
      </c>
      <c r="L279" s="68">
        <f t="shared" si="9"/>
      </c>
      <c r="M279" s="56">
        <f t="shared" si="10"/>
      </c>
      <c r="N279" s="69">
        <f t="shared" si="11"/>
      </c>
      <c r="O279" s="22">
        <f t="shared" si="12"/>
      </c>
      <c r="P279" s="22">
        <f>IF(往来单位!$C$269="客户",1,0)</f>
        <v>0</v>
      </c>
      <c r="Q279" s="22">
        <f t="shared" si="13"/>
        <v>28</v>
      </c>
    </row>
    <row r="280">
      <c r="A280" s="56">
        <f>IF($B280="","",267)</f>
      </c>
      <c r="B280" s="66">
        <f>IF(267&gt;$Q$613,"",INDEX(往来单位!$B$4:$B$603,MATCH(267,$Q$14:$Q$613,0)))</f>
      </c>
      <c r="C280" s="67">
        <f t="shared" si="0"/>
      </c>
      <c r="D280" s="60">
        <f t="shared" si="1"/>
      </c>
      <c r="E280" s="53">
        <f t="shared" si="2"/>
      </c>
      <c r="F280" s="53">
        <f t="shared" si="3"/>
      </c>
      <c r="G280" s="53">
        <f t="shared" si="4"/>
      </c>
      <c r="H280" s="59">
        <f t="shared" si="5"/>
      </c>
      <c r="I280" s="53">
        <f t="shared" si="6"/>
      </c>
      <c r="J280" s="53">
        <f t="shared" si="7"/>
      </c>
      <c r="K280" s="53">
        <f t="shared" si="8"/>
      </c>
      <c r="L280" s="68">
        <f t="shared" si="9"/>
      </c>
      <c r="M280" s="56">
        <f t="shared" si="10"/>
      </c>
      <c r="N280" s="69">
        <f t="shared" si="11"/>
      </c>
      <c r="O280" s="22">
        <f t="shared" si="12"/>
      </c>
      <c r="P280" s="22">
        <f>IF(往来单位!$C$270="客户",1,0)</f>
        <v>0</v>
      </c>
      <c r="Q280" s="22">
        <f t="shared" si="13"/>
        <v>28</v>
      </c>
    </row>
    <row r="281">
      <c r="A281" s="56">
        <f>IF($B281="","",268)</f>
      </c>
      <c r="B281" s="66">
        <f>IF(268&gt;$Q$613,"",INDEX(往来单位!$B$4:$B$603,MATCH(268,$Q$14:$Q$613,0)))</f>
      </c>
      <c r="C281" s="67">
        <f t="shared" si="0"/>
      </c>
      <c r="D281" s="60">
        <f t="shared" si="1"/>
      </c>
      <c r="E281" s="53">
        <f t="shared" si="2"/>
      </c>
      <c r="F281" s="53">
        <f t="shared" si="3"/>
      </c>
      <c r="G281" s="53">
        <f t="shared" si="4"/>
      </c>
      <c r="H281" s="59">
        <f t="shared" si="5"/>
      </c>
      <c r="I281" s="53">
        <f t="shared" si="6"/>
      </c>
      <c r="J281" s="53">
        <f t="shared" si="7"/>
      </c>
      <c r="K281" s="53">
        <f t="shared" si="8"/>
      </c>
      <c r="L281" s="68">
        <f t="shared" si="9"/>
      </c>
      <c r="M281" s="56">
        <f t="shared" si="10"/>
      </c>
      <c r="N281" s="69">
        <f t="shared" si="11"/>
      </c>
      <c r="O281" s="22">
        <f t="shared" si="12"/>
      </c>
      <c r="P281" s="22">
        <f>IF(往来单位!$C$271="客户",1,0)</f>
        <v>0</v>
      </c>
      <c r="Q281" s="22">
        <f t="shared" si="13"/>
        <v>28</v>
      </c>
    </row>
    <row r="282">
      <c r="A282" s="56">
        <f>IF($B282="","",269)</f>
      </c>
      <c r="B282" s="66">
        <f>IF(269&gt;$Q$613,"",INDEX(往来单位!$B$4:$B$603,MATCH(269,$Q$14:$Q$613,0)))</f>
      </c>
      <c r="C282" s="67">
        <f t="shared" si="0"/>
      </c>
      <c r="D282" s="60">
        <f t="shared" si="1"/>
      </c>
      <c r="E282" s="53">
        <f t="shared" si="2"/>
      </c>
      <c r="F282" s="53">
        <f t="shared" si="3"/>
      </c>
      <c r="G282" s="53">
        <f t="shared" si="4"/>
      </c>
      <c r="H282" s="59">
        <f t="shared" si="5"/>
      </c>
      <c r="I282" s="53">
        <f t="shared" si="6"/>
      </c>
      <c r="J282" s="53">
        <f t="shared" si="7"/>
      </c>
      <c r="K282" s="53">
        <f t="shared" si="8"/>
      </c>
      <c r="L282" s="68">
        <f t="shared" si="9"/>
      </c>
      <c r="M282" s="56">
        <f t="shared" si="10"/>
      </c>
      <c r="N282" s="69">
        <f t="shared" si="11"/>
      </c>
      <c r="O282" s="22">
        <f t="shared" si="12"/>
      </c>
      <c r="P282" s="22">
        <f>IF(往来单位!$C$272="客户",1,0)</f>
        <v>0</v>
      </c>
      <c r="Q282" s="22">
        <f t="shared" si="13"/>
        <v>28</v>
      </c>
    </row>
    <row r="283">
      <c r="A283" s="56">
        <f>IF($B283="","",270)</f>
      </c>
      <c r="B283" s="66">
        <f>IF(270&gt;$Q$613,"",INDEX(往来单位!$B$4:$B$603,MATCH(270,$Q$14:$Q$613,0)))</f>
      </c>
      <c r="C283" s="67">
        <f t="shared" si="0"/>
      </c>
      <c r="D283" s="60">
        <f t="shared" si="1"/>
      </c>
      <c r="E283" s="53">
        <f t="shared" si="2"/>
      </c>
      <c r="F283" s="53">
        <f t="shared" si="3"/>
      </c>
      <c r="G283" s="53">
        <f t="shared" si="4"/>
      </c>
      <c r="H283" s="59">
        <f t="shared" si="5"/>
      </c>
      <c r="I283" s="53">
        <f t="shared" si="6"/>
      </c>
      <c r="J283" s="53">
        <f t="shared" si="7"/>
      </c>
      <c r="K283" s="53">
        <f t="shared" si="8"/>
      </c>
      <c r="L283" s="68">
        <f t="shared" si="9"/>
      </c>
      <c r="M283" s="56">
        <f t="shared" si="10"/>
      </c>
      <c r="N283" s="69">
        <f t="shared" si="11"/>
      </c>
      <c r="O283" s="22">
        <f t="shared" si="12"/>
      </c>
      <c r="P283" s="22">
        <f>IF(往来单位!$C$273="客户",1,0)</f>
        <v>0</v>
      </c>
      <c r="Q283" s="22">
        <f t="shared" si="13"/>
        <v>28</v>
      </c>
    </row>
    <row r="284">
      <c r="A284" s="56">
        <f>IF($B284="","",271)</f>
      </c>
      <c r="B284" s="66">
        <f>IF(271&gt;$Q$613,"",INDEX(往来单位!$B$4:$B$603,MATCH(271,$Q$14:$Q$613,0)))</f>
      </c>
      <c r="C284" s="67">
        <f t="shared" si="0"/>
      </c>
      <c r="D284" s="60">
        <f t="shared" si="1"/>
      </c>
      <c r="E284" s="53">
        <f t="shared" si="2"/>
      </c>
      <c r="F284" s="53">
        <f t="shared" si="3"/>
      </c>
      <c r="G284" s="53">
        <f t="shared" si="4"/>
      </c>
      <c r="H284" s="59">
        <f t="shared" si="5"/>
      </c>
      <c r="I284" s="53">
        <f t="shared" si="6"/>
      </c>
      <c r="J284" s="53">
        <f t="shared" si="7"/>
      </c>
      <c r="K284" s="53">
        <f t="shared" si="8"/>
      </c>
      <c r="L284" s="68">
        <f t="shared" si="9"/>
      </c>
      <c r="M284" s="56">
        <f t="shared" si="10"/>
      </c>
      <c r="N284" s="69">
        <f t="shared" si="11"/>
      </c>
      <c r="O284" s="22">
        <f t="shared" si="12"/>
      </c>
      <c r="P284" s="22">
        <f>IF(往来单位!$C$274="客户",1,0)</f>
        <v>0</v>
      </c>
      <c r="Q284" s="22">
        <f t="shared" si="13"/>
        <v>28</v>
      </c>
    </row>
    <row r="285">
      <c r="A285" s="56">
        <f>IF($B285="","",272)</f>
      </c>
      <c r="B285" s="66">
        <f>IF(272&gt;$Q$613,"",INDEX(往来单位!$B$4:$B$603,MATCH(272,$Q$14:$Q$613,0)))</f>
      </c>
      <c r="C285" s="67">
        <f t="shared" si="0"/>
      </c>
      <c r="D285" s="60">
        <f t="shared" si="1"/>
      </c>
      <c r="E285" s="53">
        <f t="shared" si="2"/>
      </c>
      <c r="F285" s="53">
        <f t="shared" si="3"/>
      </c>
      <c r="G285" s="53">
        <f t="shared" si="4"/>
      </c>
      <c r="H285" s="59">
        <f t="shared" si="5"/>
      </c>
      <c r="I285" s="53">
        <f t="shared" si="6"/>
      </c>
      <c r="J285" s="53">
        <f t="shared" si="7"/>
      </c>
      <c r="K285" s="53">
        <f t="shared" si="8"/>
      </c>
      <c r="L285" s="68">
        <f t="shared" si="9"/>
      </c>
      <c r="M285" s="56">
        <f t="shared" si="10"/>
      </c>
      <c r="N285" s="69">
        <f t="shared" si="11"/>
      </c>
      <c r="O285" s="22">
        <f t="shared" si="12"/>
      </c>
      <c r="P285" s="22">
        <f>IF(往来单位!$C$275="客户",1,0)</f>
        <v>0</v>
      </c>
      <c r="Q285" s="22">
        <f t="shared" si="13"/>
        <v>28</v>
      </c>
    </row>
    <row r="286">
      <c r="A286" s="56">
        <f>IF($B286="","",273)</f>
      </c>
      <c r="B286" s="66">
        <f>IF(273&gt;$Q$613,"",INDEX(往来单位!$B$4:$B$603,MATCH(273,$Q$14:$Q$613,0)))</f>
      </c>
      <c r="C286" s="67">
        <f t="shared" si="0"/>
      </c>
      <c r="D286" s="60">
        <f t="shared" si="1"/>
      </c>
      <c r="E286" s="53">
        <f t="shared" si="2"/>
      </c>
      <c r="F286" s="53">
        <f t="shared" si="3"/>
      </c>
      <c r="G286" s="53">
        <f t="shared" si="4"/>
      </c>
      <c r="H286" s="59">
        <f t="shared" si="5"/>
      </c>
      <c r="I286" s="53">
        <f t="shared" si="6"/>
      </c>
      <c r="J286" s="53">
        <f t="shared" si="7"/>
      </c>
      <c r="K286" s="53">
        <f t="shared" si="8"/>
      </c>
      <c r="L286" s="68">
        <f t="shared" si="9"/>
      </c>
      <c r="M286" s="56">
        <f t="shared" si="10"/>
      </c>
      <c r="N286" s="69">
        <f t="shared" si="11"/>
      </c>
      <c r="O286" s="22">
        <f t="shared" si="12"/>
      </c>
      <c r="P286" s="22">
        <f>IF(往来单位!$C$276="客户",1,0)</f>
        <v>0</v>
      </c>
      <c r="Q286" s="22">
        <f t="shared" si="13"/>
        <v>28</v>
      </c>
    </row>
    <row r="287">
      <c r="A287" s="56">
        <f>IF($B287="","",274)</f>
      </c>
      <c r="B287" s="66">
        <f>IF(274&gt;$Q$613,"",INDEX(往来单位!$B$4:$B$603,MATCH(274,$Q$14:$Q$613,0)))</f>
      </c>
      <c r="C287" s="67">
        <f t="shared" si="0"/>
      </c>
      <c r="D287" s="60">
        <f t="shared" si="1"/>
      </c>
      <c r="E287" s="53">
        <f t="shared" si="2"/>
      </c>
      <c r="F287" s="53">
        <f t="shared" si="3"/>
      </c>
      <c r="G287" s="53">
        <f t="shared" si="4"/>
      </c>
      <c r="H287" s="59">
        <f t="shared" si="5"/>
      </c>
      <c r="I287" s="53">
        <f t="shared" si="6"/>
      </c>
      <c r="J287" s="53">
        <f t="shared" si="7"/>
      </c>
      <c r="K287" s="53">
        <f t="shared" si="8"/>
      </c>
      <c r="L287" s="68">
        <f t="shared" si="9"/>
      </c>
      <c r="M287" s="56">
        <f t="shared" si="10"/>
      </c>
      <c r="N287" s="69">
        <f t="shared" si="11"/>
      </c>
      <c r="O287" s="22">
        <f t="shared" si="12"/>
      </c>
      <c r="P287" s="22">
        <f>IF(往来单位!$C$277="客户",1,0)</f>
        <v>0</v>
      </c>
      <c r="Q287" s="22">
        <f t="shared" si="13"/>
        <v>28</v>
      </c>
    </row>
    <row r="288">
      <c r="A288" s="56">
        <f>IF($B288="","",275)</f>
      </c>
      <c r="B288" s="66">
        <f>IF(275&gt;$Q$613,"",INDEX(往来单位!$B$4:$B$603,MATCH(275,$Q$14:$Q$613,0)))</f>
      </c>
      <c r="C288" s="67">
        <f t="shared" si="0"/>
      </c>
      <c r="D288" s="60">
        <f t="shared" si="1"/>
      </c>
      <c r="E288" s="53">
        <f t="shared" si="2"/>
      </c>
      <c r="F288" s="53">
        <f t="shared" si="3"/>
      </c>
      <c r="G288" s="53">
        <f t="shared" si="4"/>
      </c>
      <c r="H288" s="59">
        <f t="shared" si="5"/>
      </c>
      <c r="I288" s="53">
        <f t="shared" si="6"/>
      </c>
      <c r="J288" s="53">
        <f t="shared" si="7"/>
      </c>
      <c r="K288" s="53">
        <f t="shared" si="8"/>
      </c>
      <c r="L288" s="68">
        <f t="shared" si="9"/>
      </c>
      <c r="M288" s="56">
        <f t="shared" si="10"/>
      </c>
      <c r="N288" s="69">
        <f t="shared" si="11"/>
      </c>
      <c r="O288" s="22">
        <f t="shared" si="12"/>
      </c>
      <c r="P288" s="22">
        <f>IF(往来单位!$C$278="客户",1,0)</f>
        <v>0</v>
      </c>
      <c r="Q288" s="22">
        <f t="shared" si="13"/>
        <v>28</v>
      </c>
    </row>
    <row r="289">
      <c r="A289" s="56">
        <f>IF($B289="","",276)</f>
      </c>
      <c r="B289" s="66">
        <f>IF(276&gt;$Q$613,"",INDEX(往来单位!$B$4:$B$603,MATCH(276,$Q$14:$Q$613,0)))</f>
      </c>
      <c r="C289" s="67">
        <f t="shared" si="0"/>
      </c>
      <c r="D289" s="60">
        <f t="shared" si="1"/>
      </c>
      <c r="E289" s="53">
        <f t="shared" si="2"/>
      </c>
      <c r="F289" s="53">
        <f t="shared" si="3"/>
      </c>
      <c r="G289" s="53">
        <f t="shared" si="4"/>
      </c>
      <c r="H289" s="59">
        <f t="shared" si="5"/>
      </c>
      <c r="I289" s="53">
        <f t="shared" si="6"/>
      </c>
      <c r="J289" s="53">
        <f t="shared" si="7"/>
      </c>
      <c r="K289" s="53">
        <f t="shared" si="8"/>
      </c>
      <c r="L289" s="68">
        <f t="shared" si="9"/>
      </c>
      <c r="M289" s="56">
        <f t="shared" si="10"/>
      </c>
      <c r="N289" s="69">
        <f t="shared" si="11"/>
      </c>
      <c r="O289" s="22">
        <f t="shared" si="12"/>
      </c>
      <c r="P289" s="22">
        <f>IF(往来单位!$C$279="客户",1,0)</f>
        <v>0</v>
      </c>
      <c r="Q289" s="22">
        <f t="shared" si="13"/>
        <v>28</v>
      </c>
    </row>
    <row r="290">
      <c r="A290" s="56">
        <f>IF($B290="","",277)</f>
      </c>
      <c r="B290" s="66">
        <f>IF(277&gt;$Q$613,"",INDEX(往来单位!$B$4:$B$603,MATCH(277,$Q$14:$Q$613,0)))</f>
      </c>
      <c r="C290" s="67">
        <f t="shared" si="0"/>
      </c>
      <c r="D290" s="60">
        <f t="shared" si="1"/>
      </c>
      <c r="E290" s="53">
        <f t="shared" si="2"/>
      </c>
      <c r="F290" s="53">
        <f t="shared" si="3"/>
      </c>
      <c r="G290" s="53">
        <f t="shared" si="4"/>
      </c>
      <c r="H290" s="59">
        <f t="shared" si="5"/>
      </c>
      <c r="I290" s="53">
        <f t="shared" si="6"/>
      </c>
      <c r="J290" s="53">
        <f t="shared" si="7"/>
      </c>
      <c r="K290" s="53">
        <f t="shared" si="8"/>
      </c>
      <c r="L290" s="68">
        <f t="shared" si="9"/>
      </c>
      <c r="M290" s="56">
        <f t="shared" si="10"/>
      </c>
      <c r="N290" s="69">
        <f t="shared" si="11"/>
      </c>
      <c r="O290" s="22">
        <f t="shared" si="12"/>
      </c>
      <c r="P290" s="22">
        <f>IF(往来单位!$C$280="客户",1,0)</f>
        <v>0</v>
      </c>
      <c r="Q290" s="22">
        <f t="shared" si="13"/>
        <v>28</v>
      </c>
    </row>
    <row r="291">
      <c r="A291" s="56">
        <f>IF($B291="","",278)</f>
      </c>
      <c r="B291" s="66">
        <f>IF(278&gt;$Q$613,"",INDEX(往来单位!$B$4:$B$603,MATCH(278,$Q$14:$Q$613,0)))</f>
      </c>
      <c r="C291" s="67">
        <f t="shared" si="0"/>
      </c>
      <c r="D291" s="60">
        <f t="shared" si="1"/>
      </c>
      <c r="E291" s="53">
        <f t="shared" si="2"/>
      </c>
      <c r="F291" s="53">
        <f t="shared" si="3"/>
      </c>
      <c r="G291" s="53">
        <f t="shared" si="4"/>
      </c>
      <c r="H291" s="59">
        <f t="shared" si="5"/>
      </c>
      <c r="I291" s="53">
        <f t="shared" si="6"/>
      </c>
      <c r="J291" s="53">
        <f t="shared" si="7"/>
      </c>
      <c r="K291" s="53">
        <f t="shared" si="8"/>
      </c>
      <c r="L291" s="68">
        <f t="shared" si="9"/>
      </c>
      <c r="M291" s="56">
        <f t="shared" si="10"/>
      </c>
      <c r="N291" s="69">
        <f t="shared" si="11"/>
      </c>
      <c r="O291" s="22">
        <f t="shared" si="12"/>
      </c>
      <c r="P291" s="22">
        <f>IF(往来单位!$C$281="客户",1,0)</f>
        <v>0</v>
      </c>
      <c r="Q291" s="22">
        <f t="shared" si="13"/>
        <v>28</v>
      </c>
    </row>
    <row r="292">
      <c r="A292" s="56">
        <f>IF($B292="","",279)</f>
      </c>
      <c r="B292" s="66">
        <f>IF(279&gt;$Q$613,"",INDEX(往来单位!$B$4:$B$603,MATCH(279,$Q$14:$Q$613,0)))</f>
      </c>
      <c r="C292" s="67">
        <f t="shared" si="0"/>
      </c>
      <c r="D292" s="60">
        <f t="shared" si="1"/>
      </c>
      <c r="E292" s="53">
        <f t="shared" si="2"/>
      </c>
      <c r="F292" s="53">
        <f t="shared" si="3"/>
      </c>
      <c r="G292" s="53">
        <f t="shared" si="4"/>
      </c>
      <c r="H292" s="59">
        <f t="shared" si="5"/>
      </c>
      <c r="I292" s="53">
        <f t="shared" si="6"/>
      </c>
      <c r="J292" s="53">
        <f t="shared" si="7"/>
      </c>
      <c r="K292" s="53">
        <f t="shared" si="8"/>
      </c>
      <c r="L292" s="68">
        <f t="shared" si="9"/>
      </c>
      <c r="M292" s="56">
        <f t="shared" si="10"/>
      </c>
      <c r="N292" s="69">
        <f t="shared" si="11"/>
      </c>
      <c r="O292" s="22">
        <f t="shared" si="12"/>
      </c>
      <c r="P292" s="22">
        <f>IF(往来单位!$C$282="客户",1,0)</f>
        <v>0</v>
      </c>
      <c r="Q292" s="22">
        <f t="shared" si="13"/>
        <v>28</v>
      </c>
    </row>
    <row r="293">
      <c r="A293" s="56">
        <f>IF($B293="","",280)</f>
      </c>
      <c r="B293" s="66">
        <f>IF(280&gt;$Q$613,"",INDEX(往来单位!$B$4:$B$603,MATCH(280,$Q$14:$Q$613,0)))</f>
      </c>
      <c r="C293" s="67">
        <f t="shared" si="0"/>
      </c>
      <c r="D293" s="60">
        <f t="shared" si="1"/>
      </c>
      <c r="E293" s="53">
        <f t="shared" si="2"/>
      </c>
      <c r="F293" s="53">
        <f t="shared" si="3"/>
      </c>
      <c r="G293" s="53">
        <f t="shared" si="4"/>
      </c>
      <c r="H293" s="59">
        <f t="shared" si="5"/>
      </c>
      <c r="I293" s="53">
        <f t="shared" si="6"/>
      </c>
      <c r="J293" s="53">
        <f t="shared" si="7"/>
      </c>
      <c r="K293" s="53">
        <f t="shared" si="8"/>
      </c>
      <c r="L293" s="68">
        <f t="shared" si="9"/>
      </c>
      <c r="M293" s="56">
        <f t="shared" si="10"/>
      </c>
      <c r="N293" s="69">
        <f t="shared" si="11"/>
      </c>
      <c r="O293" s="22">
        <f t="shared" si="12"/>
      </c>
      <c r="P293" s="22">
        <f>IF(往来单位!$C$283="客户",1,0)</f>
        <v>0</v>
      </c>
      <c r="Q293" s="22">
        <f t="shared" si="13"/>
        <v>28</v>
      </c>
    </row>
    <row r="294">
      <c r="A294" s="56">
        <f>IF($B294="","",281)</f>
      </c>
      <c r="B294" s="66">
        <f>IF(281&gt;$Q$613,"",INDEX(往来单位!$B$4:$B$603,MATCH(281,$Q$14:$Q$613,0)))</f>
      </c>
      <c r="C294" s="67">
        <f t="shared" si="0"/>
      </c>
      <c r="D294" s="60">
        <f t="shared" si="1"/>
      </c>
      <c r="E294" s="53">
        <f t="shared" si="2"/>
      </c>
      <c r="F294" s="53">
        <f t="shared" si="3"/>
      </c>
      <c r="G294" s="53">
        <f t="shared" si="4"/>
      </c>
      <c r="H294" s="59">
        <f t="shared" si="5"/>
      </c>
      <c r="I294" s="53">
        <f t="shared" si="6"/>
      </c>
      <c r="J294" s="53">
        <f t="shared" si="7"/>
      </c>
      <c r="K294" s="53">
        <f t="shared" si="8"/>
      </c>
      <c r="L294" s="68">
        <f t="shared" si="9"/>
      </c>
      <c r="M294" s="56">
        <f t="shared" si="10"/>
      </c>
      <c r="N294" s="69">
        <f t="shared" si="11"/>
      </c>
      <c r="O294" s="22">
        <f t="shared" si="12"/>
      </c>
      <c r="P294" s="22">
        <f>IF(往来单位!$C$284="客户",1,0)</f>
        <v>0</v>
      </c>
      <c r="Q294" s="22">
        <f t="shared" si="13"/>
        <v>28</v>
      </c>
    </row>
    <row r="295">
      <c r="A295" s="56">
        <f>IF($B295="","",282)</f>
      </c>
      <c r="B295" s="66">
        <f>IF(282&gt;$Q$613,"",INDEX(往来单位!$B$4:$B$603,MATCH(282,$Q$14:$Q$613,0)))</f>
      </c>
      <c r="C295" s="67">
        <f t="shared" si="0"/>
      </c>
      <c r="D295" s="60">
        <f t="shared" si="1"/>
      </c>
      <c r="E295" s="53">
        <f t="shared" si="2"/>
      </c>
      <c r="F295" s="53">
        <f t="shared" si="3"/>
      </c>
      <c r="G295" s="53">
        <f t="shared" si="4"/>
      </c>
      <c r="H295" s="59">
        <f t="shared" si="5"/>
      </c>
      <c r="I295" s="53">
        <f t="shared" si="6"/>
      </c>
      <c r="J295" s="53">
        <f t="shared" si="7"/>
      </c>
      <c r="K295" s="53">
        <f t="shared" si="8"/>
      </c>
      <c r="L295" s="68">
        <f t="shared" si="9"/>
      </c>
      <c r="M295" s="56">
        <f t="shared" si="10"/>
      </c>
      <c r="N295" s="69">
        <f t="shared" si="11"/>
      </c>
      <c r="O295" s="22">
        <f t="shared" si="12"/>
      </c>
      <c r="P295" s="22">
        <f>IF(往来单位!$C$285="客户",1,0)</f>
        <v>0</v>
      </c>
      <c r="Q295" s="22">
        <f t="shared" si="13"/>
        <v>28</v>
      </c>
    </row>
    <row r="296">
      <c r="A296" s="56">
        <f>IF($B296="","",283)</f>
      </c>
      <c r="B296" s="66">
        <f>IF(283&gt;$Q$613,"",INDEX(往来单位!$B$4:$B$603,MATCH(283,$Q$14:$Q$613,0)))</f>
      </c>
      <c r="C296" s="67">
        <f t="shared" si="0"/>
      </c>
      <c r="D296" s="60">
        <f t="shared" si="1"/>
      </c>
      <c r="E296" s="53">
        <f t="shared" si="2"/>
      </c>
      <c r="F296" s="53">
        <f t="shared" si="3"/>
      </c>
      <c r="G296" s="53">
        <f t="shared" si="4"/>
      </c>
      <c r="H296" s="59">
        <f t="shared" si="5"/>
      </c>
      <c r="I296" s="53">
        <f t="shared" si="6"/>
      </c>
      <c r="J296" s="53">
        <f t="shared" si="7"/>
      </c>
      <c r="K296" s="53">
        <f t="shared" si="8"/>
      </c>
      <c r="L296" s="68">
        <f t="shared" si="9"/>
      </c>
      <c r="M296" s="56">
        <f t="shared" si="10"/>
      </c>
      <c r="N296" s="69">
        <f t="shared" si="11"/>
      </c>
      <c r="O296" s="22">
        <f t="shared" si="12"/>
      </c>
      <c r="P296" s="22">
        <f>IF(往来单位!$C$286="客户",1,0)</f>
        <v>0</v>
      </c>
      <c r="Q296" s="22">
        <f t="shared" si="13"/>
        <v>28</v>
      </c>
    </row>
    <row r="297">
      <c r="A297" s="56">
        <f>IF($B297="","",284)</f>
      </c>
      <c r="B297" s="66">
        <f>IF(284&gt;$Q$613,"",INDEX(往来单位!$B$4:$B$603,MATCH(284,$Q$14:$Q$613,0)))</f>
      </c>
      <c r="C297" s="67">
        <f t="shared" si="0"/>
      </c>
      <c r="D297" s="60">
        <f t="shared" si="1"/>
      </c>
      <c r="E297" s="53">
        <f t="shared" si="2"/>
      </c>
      <c r="F297" s="53">
        <f t="shared" si="3"/>
      </c>
      <c r="G297" s="53">
        <f t="shared" si="4"/>
      </c>
      <c r="H297" s="59">
        <f t="shared" si="5"/>
      </c>
      <c r="I297" s="53">
        <f t="shared" si="6"/>
      </c>
      <c r="J297" s="53">
        <f t="shared" si="7"/>
      </c>
      <c r="K297" s="53">
        <f t="shared" si="8"/>
      </c>
      <c r="L297" s="68">
        <f t="shared" si="9"/>
      </c>
      <c r="M297" s="56">
        <f t="shared" si="10"/>
      </c>
      <c r="N297" s="69">
        <f t="shared" si="11"/>
      </c>
      <c r="O297" s="22">
        <f t="shared" si="12"/>
      </c>
      <c r="P297" s="22">
        <f>IF(往来单位!$C$287="客户",1,0)</f>
        <v>0</v>
      </c>
      <c r="Q297" s="22">
        <f t="shared" si="13"/>
        <v>28</v>
      </c>
    </row>
    <row r="298">
      <c r="A298" s="56">
        <f>IF($B298="","",285)</f>
      </c>
      <c r="B298" s="66">
        <f>IF(285&gt;$Q$613,"",INDEX(往来单位!$B$4:$B$603,MATCH(285,$Q$14:$Q$613,0)))</f>
      </c>
      <c r="C298" s="67">
        <f t="shared" si="0"/>
      </c>
      <c r="D298" s="60">
        <f t="shared" si="1"/>
      </c>
      <c r="E298" s="53">
        <f t="shared" si="2"/>
      </c>
      <c r="F298" s="53">
        <f t="shared" si="3"/>
      </c>
      <c r="G298" s="53">
        <f t="shared" si="4"/>
      </c>
      <c r="H298" s="59">
        <f t="shared" si="5"/>
      </c>
      <c r="I298" s="53">
        <f t="shared" si="6"/>
      </c>
      <c r="J298" s="53">
        <f t="shared" si="7"/>
      </c>
      <c r="K298" s="53">
        <f t="shared" si="8"/>
      </c>
      <c r="L298" s="68">
        <f t="shared" si="9"/>
      </c>
      <c r="M298" s="56">
        <f t="shared" si="10"/>
      </c>
      <c r="N298" s="69">
        <f t="shared" si="11"/>
      </c>
      <c r="O298" s="22">
        <f t="shared" si="12"/>
      </c>
      <c r="P298" s="22">
        <f>IF(往来单位!$C$288="客户",1,0)</f>
        <v>0</v>
      </c>
      <c r="Q298" s="22">
        <f t="shared" si="13"/>
        <v>28</v>
      </c>
    </row>
    <row r="299">
      <c r="A299" s="56">
        <f>IF($B299="","",286)</f>
      </c>
      <c r="B299" s="66">
        <f>IF(286&gt;$Q$613,"",INDEX(往来单位!$B$4:$B$603,MATCH(286,$Q$14:$Q$613,0)))</f>
      </c>
      <c r="C299" s="67">
        <f t="shared" si="0"/>
      </c>
      <c r="D299" s="60">
        <f t="shared" si="1"/>
      </c>
      <c r="E299" s="53">
        <f t="shared" si="2"/>
      </c>
      <c r="F299" s="53">
        <f t="shared" si="3"/>
      </c>
      <c r="G299" s="53">
        <f t="shared" si="4"/>
      </c>
      <c r="H299" s="59">
        <f t="shared" si="5"/>
      </c>
      <c r="I299" s="53">
        <f t="shared" si="6"/>
      </c>
      <c r="J299" s="53">
        <f t="shared" si="7"/>
      </c>
      <c r="K299" s="53">
        <f t="shared" si="8"/>
      </c>
      <c r="L299" s="68">
        <f t="shared" si="9"/>
      </c>
      <c r="M299" s="56">
        <f t="shared" si="10"/>
      </c>
      <c r="N299" s="69">
        <f t="shared" si="11"/>
      </c>
      <c r="O299" s="22">
        <f t="shared" si="12"/>
      </c>
      <c r="P299" s="22">
        <f>IF(往来单位!$C$289="客户",1,0)</f>
        <v>0</v>
      </c>
      <c r="Q299" s="22">
        <f t="shared" si="13"/>
        <v>28</v>
      </c>
    </row>
    <row r="300">
      <c r="A300" s="56">
        <f>IF($B300="","",287)</f>
      </c>
      <c r="B300" s="66">
        <f>IF(287&gt;$Q$613,"",INDEX(往来单位!$B$4:$B$603,MATCH(287,$Q$14:$Q$613,0)))</f>
      </c>
      <c r="C300" s="67">
        <f t="shared" si="0"/>
      </c>
      <c r="D300" s="60">
        <f t="shared" si="1"/>
      </c>
      <c r="E300" s="53">
        <f t="shared" si="2"/>
      </c>
      <c r="F300" s="53">
        <f t="shared" si="3"/>
      </c>
      <c r="G300" s="53">
        <f t="shared" si="4"/>
      </c>
      <c r="H300" s="59">
        <f t="shared" si="5"/>
      </c>
      <c r="I300" s="53">
        <f t="shared" si="6"/>
      </c>
      <c r="J300" s="53">
        <f t="shared" si="7"/>
      </c>
      <c r="K300" s="53">
        <f t="shared" si="8"/>
      </c>
      <c r="L300" s="68">
        <f t="shared" si="9"/>
      </c>
      <c r="M300" s="56">
        <f t="shared" si="10"/>
      </c>
      <c r="N300" s="69">
        <f t="shared" si="11"/>
      </c>
      <c r="O300" s="22">
        <f t="shared" si="12"/>
      </c>
      <c r="P300" s="22">
        <f>IF(往来单位!$C$290="客户",1,0)</f>
        <v>0</v>
      </c>
      <c r="Q300" s="22">
        <f t="shared" si="13"/>
        <v>28</v>
      </c>
    </row>
    <row r="301">
      <c r="A301" s="56">
        <f>IF($B301="","",288)</f>
      </c>
      <c r="B301" s="66">
        <f>IF(288&gt;$Q$613,"",INDEX(往来单位!$B$4:$B$603,MATCH(288,$Q$14:$Q$613,0)))</f>
      </c>
      <c r="C301" s="67">
        <f t="shared" si="0"/>
      </c>
      <c r="D301" s="60">
        <f t="shared" si="1"/>
      </c>
      <c r="E301" s="53">
        <f t="shared" si="2"/>
      </c>
      <c r="F301" s="53">
        <f t="shared" si="3"/>
      </c>
      <c r="G301" s="53">
        <f t="shared" si="4"/>
      </c>
      <c r="H301" s="59">
        <f t="shared" si="5"/>
      </c>
      <c r="I301" s="53">
        <f t="shared" si="6"/>
      </c>
      <c r="J301" s="53">
        <f t="shared" si="7"/>
      </c>
      <c r="K301" s="53">
        <f t="shared" si="8"/>
      </c>
      <c r="L301" s="68">
        <f t="shared" si="9"/>
      </c>
      <c r="M301" s="56">
        <f t="shared" si="10"/>
      </c>
      <c r="N301" s="69">
        <f t="shared" si="11"/>
      </c>
      <c r="O301" s="22">
        <f t="shared" si="12"/>
      </c>
      <c r="P301" s="22">
        <f>IF(往来单位!$C$291="客户",1,0)</f>
        <v>0</v>
      </c>
      <c r="Q301" s="22">
        <f t="shared" si="13"/>
        <v>28</v>
      </c>
    </row>
    <row r="302">
      <c r="A302" s="56">
        <f>IF($B302="","",289)</f>
      </c>
      <c r="B302" s="66">
        <f>IF(289&gt;$Q$613,"",INDEX(往来单位!$B$4:$B$603,MATCH(289,$Q$14:$Q$613,0)))</f>
      </c>
      <c r="C302" s="67">
        <f t="shared" si="0"/>
      </c>
      <c r="D302" s="60">
        <f t="shared" si="1"/>
      </c>
      <c r="E302" s="53">
        <f t="shared" si="2"/>
      </c>
      <c r="F302" s="53">
        <f t="shared" si="3"/>
      </c>
      <c r="G302" s="53">
        <f t="shared" si="4"/>
      </c>
      <c r="H302" s="59">
        <f t="shared" si="5"/>
      </c>
      <c r="I302" s="53">
        <f t="shared" si="6"/>
      </c>
      <c r="J302" s="53">
        <f t="shared" si="7"/>
      </c>
      <c r="K302" s="53">
        <f t="shared" si="8"/>
      </c>
      <c r="L302" s="68">
        <f t="shared" si="9"/>
      </c>
      <c r="M302" s="56">
        <f t="shared" si="10"/>
      </c>
      <c r="N302" s="69">
        <f t="shared" si="11"/>
      </c>
      <c r="O302" s="22">
        <f t="shared" si="12"/>
      </c>
      <c r="P302" s="22">
        <f>IF(往来单位!$C$292="客户",1,0)</f>
        <v>0</v>
      </c>
      <c r="Q302" s="22">
        <f t="shared" si="13"/>
        <v>28</v>
      </c>
    </row>
    <row r="303">
      <c r="A303" s="56">
        <f>IF($B303="","",290)</f>
      </c>
      <c r="B303" s="66">
        <f>IF(290&gt;$Q$613,"",INDEX(往来单位!$B$4:$B$603,MATCH(290,$Q$14:$Q$613,0)))</f>
      </c>
      <c r="C303" s="67">
        <f t="shared" si="0"/>
      </c>
      <c r="D303" s="60">
        <f t="shared" si="1"/>
      </c>
      <c r="E303" s="53">
        <f t="shared" si="2"/>
      </c>
      <c r="F303" s="53">
        <f t="shared" si="3"/>
      </c>
      <c r="G303" s="53">
        <f t="shared" si="4"/>
      </c>
      <c r="H303" s="59">
        <f t="shared" si="5"/>
      </c>
      <c r="I303" s="53">
        <f t="shared" si="6"/>
      </c>
      <c r="J303" s="53">
        <f t="shared" si="7"/>
      </c>
      <c r="K303" s="53">
        <f t="shared" si="8"/>
      </c>
      <c r="L303" s="68">
        <f t="shared" si="9"/>
      </c>
      <c r="M303" s="56">
        <f t="shared" si="10"/>
      </c>
      <c r="N303" s="69">
        <f t="shared" si="11"/>
      </c>
      <c r="O303" s="22">
        <f t="shared" si="12"/>
      </c>
      <c r="P303" s="22">
        <f>IF(往来单位!$C$293="客户",1,0)</f>
        <v>0</v>
      </c>
      <c r="Q303" s="22">
        <f t="shared" si="13"/>
        <v>28</v>
      </c>
    </row>
    <row r="304">
      <c r="A304" s="56">
        <f>IF($B304="","",291)</f>
      </c>
      <c r="B304" s="66">
        <f>IF(291&gt;$Q$613,"",INDEX(往来单位!$B$4:$B$603,MATCH(291,$Q$14:$Q$613,0)))</f>
      </c>
      <c r="C304" s="67">
        <f t="shared" si="0"/>
      </c>
      <c r="D304" s="60">
        <f t="shared" si="1"/>
      </c>
      <c r="E304" s="53">
        <f t="shared" si="2"/>
      </c>
      <c r="F304" s="53">
        <f t="shared" si="3"/>
      </c>
      <c r="G304" s="53">
        <f t="shared" si="4"/>
      </c>
      <c r="H304" s="59">
        <f t="shared" si="5"/>
      </c>
      <c r="I304" s="53">
        <f t="shared" si="6"/>
      </c>
      <c r="J304" s="53">
        <f t="shared" si="7"/>
      </c>
      <c r="K304" s="53">
        <f t="shared" si="8"/>
      </c>
      <c r="L304" s="68">
        <f t="shared" si="9"/>
      </c>
      <c r="M304" s="56">
        <f t="shared" si="10"/>
      </c>
      <c r="N304" s="69">
        <f t="shared" si="11"/>
      </c>
      <c r="O304" s="22">
        <f t="shared" si="12"/>
      </c>
      <c r="P304" s="22">
        <f>IF(往来单位!$C$294="客户",1,0)</f>
        <v>0</v>
      </c>
      <c r="Q304" s="22">
        <f t="shared" si="13"/>
        <v>28</v>
      </c>
    </row>
    <row r="305">
      <c r="A305" s="56">
        <f>IF($B305="","",292)</f>
      </c>
      <c r="B305" s="66">
        <f>IF(292&gt;$Q$613,"",INDEX(往来单位!$B$4:$B$603,MATCH(292,$Q$14:$Q$613,0)))</f>
      </c>
      <c r="C305" s="67">
        <f t="shared" si="0"/>
      </c>
      <c r="D305" s="60">
        <f t="shared" si="1"/>
      </c>
      <c r="E305" s="53">
        <f t="shared" si="2"/>
      </c>
      <c r="F305" s="53">
        <f t="shared" si="3"/>
      </c>
      <c r="G305" s="53">
        <f t="shared" si="4"/>
      </c>
      <c r="H305" s="59">
        <f t="shared" si="5"/>
      </c>
      <c r="I305" s="53">
        <f t="shared" si="6"/>
      </c>
      <c r="J305" s="53">
        <f t="shared" si="7"/>
      </c>
      <c r="K305" s="53">
        <f t="shared" si="8"/>
      </c>
      <c r="L305" s="68">
        <f t="shared" si="9"/>
      </c>
      <c r="M305" s="56">
        <f t="shared" si="10"/>
      </c>
      <c r="N305" s="69">
        <f t="shared" si="11"/>
      </c>
      <c r="O305" s="22">
        <f t="shared" si="12"/>
      </c>
      <c r="P305" s="22">
        <f>IF(往来单位!$C$295="客户",1,0)</f>
        <v>0</v>
      </c>
      <c r="Q305" s="22">
        <f t="shared" si="13"/>
        <v>28</v>
      </c>
    </row>
    <row r="306">
      <c r="A306" s="56">
        <f>IF($B306="","",293)</f>
      </c>
      <c r="B306" s="66">
        <f>IF(293&gt;$Q$613,"",INDEX(往来单位!$B$4:$B$603,MATCH(293,$Q$14:$Q$613,0)))</f>
      </c>
      <c r="C306" s="67">
        <f t="shared" si="0"/>
      </c>
      <c r="D306" s="60">
        <f t="shared" si="1"/>
      </c>
      <c r="E306" s="53">
        <f t="shared" si="2"/>
      </c>
      <c r="F306" s="53">
        <f t="shared" si="3"/>
      </c>
      <c r="G306" s="53">
        <f t="shared" si="4"/>
      </c>
      <c r="H306" s="59">
        <f t="shared" si="5"/>
      </c>
      <c r="I306" s="53">
        <f t="shared" si="6"/>
      </c>
      <c r="J306" s="53">
        <f t="shared" si="7"/>
      </c>
      <c r="K306" s="53">
        <f t="shared" si="8"/>
      </c>
      <c r="L306" s="68">
        <f t="shared" si="9"/>
      </c>
      <c r="M306" s="56">
        <f t="shared" si="10"/>
      </c>
      <c r="N306" s="69">
        <f t="shared" si="11"/>
      </c>
      <c r="O306" s="22">
        <f t="shared" si="12"/>
      </c>
      <c r="P306" s="22">
        <f>IF(往来单位!$C$296="客户",1,0)</f>
        <v>0</v>
      </c>
      <c r="Q306" s="22">
        <f t="shared" si="13"/>
        <v>28</v>
      </c>
    </row>
    <row r="307">
      <c r="A307" s="56">
        <f>IF($B307="","",294)</f>
      </c>
      <c r="B307" s="66">
        <f>IF(294&gt;$Q$613,"",INDEX(往来单位!$B$4:$B$603,MATCH(294,$Q$14:$Q$613,0)))</f>
      </c>
      <c r="C307" s="67">
        <f t="shared" si="0"/>
      </c>
      <c r="D307" s="60">
        <f t="shared" si="1"/>
      </c>
      <c r="E307" s="53">
        <f t="shared" si="2"/>
      </c>
      <c r="F307" s="53">
        <f t="shared" si="3"/>
      </c>
      <c r="G307" s="53">
        <f t="shared" si="4"/>
      </c>
      <c r="H307" s="59">
        <f t="shared" si="5"/>
      </c>
      <c r="I307" s="53">
        <f t="shared" si="6"/>
      </c>
      <c r="J307" s="53">
        <f t="shared" si="7"/>
      </c>
      <c r="K307" s="53">
        <f t="shared" si="8"/>
      </c>
      <c r="L307" s="68">
        <f t="shared" si="9"/>
      </c>
      <c r="M307" s="56">
        <f t="shared" si="10"/>
      </c>
      <c r="N307" s="69">
        <f t="shared" si="11"/>
      </c>
      <c r="O307" s="22">
        <f t="shared" si="12"/>
      </c>
      <c r="P307" s="22">
        <f>IF(往来单位!$C$297="客户",1,0)</f>
        <v>0</v>
      </c>
      <c r="Q307" s="22">
        <f t="shared" si="13"/>
        <v>28</v>
      </c>
    </row>
    <row r="308">
      <c r="A308" s="56">
        <f>IF($B308="","",295)</f>
      </c>
      <c r="B308" s="66">
        <f>IF(295&gt;$Q$613,"",INDEX(往来单位!$B$4:$B$603,MATCH(295,$Q$14:$Q$613,0)))</f>
      </c>
      <c r="C308" s="67">
        <f t="shared" si="0"/>
      </c>
      <c r="D308" s="60">
        <f t="shared" si="1"/>
      </c>
      <c r="E308" s="53">
        <f t="shared" si="2"/>
      </c>
      <c r="F308" s="53">
        <f t="shared" si="3"/>
      </c>
      <c r="G308" s="53">
        <f t="shared" si="4"/>
      </c>
      <c r="H308" s="59">
        <f t="shared" si="5"/>
      </c>
      <c r="I308" s="53">
        <f t="shared" si="6"/>
      </c>
      <c r="J308" s="53">
        <f t="shared" si="7"/>
      </c>
      <c r="K308" s="53">
        <f t="shared" si="8"/>
      </c>
      <c r="L308" s="68">
        <f t="shared" si="9"/>
      </c>
      <c r="M308" s="56">
        <f t="shared" si="10"/>
      </c>
      <c r="N308" s="69">
        <f t="shared" si="11"/>
      </c>
      <c r="O308" s="22">
        <f t="shared" si="12"/>
      </c>
      <c r="P308" s="22">
        <f>IF(往来单位!$C$298="客户",1,0)</f>
        <v>0</v>
      </c>
      <c r="Q308" s="22">
        <f t="shared" si="13"/>
        <v>28</v>
      </c>
    </row>
    <row r="309">
      <c r="A309" s="56">
        <f>IF($B309="","",296)</f>
      </c>
      <c r="B309" s="66">
        <f>IF(296&gt;$Q$613,"",INDEX(往来单位!$B$4:$B$603,MATCH(296,$Q$14:$Q$613,0)))</f>
      </c>
      <c r="C309" s="67">
        <f t="shared" si="0"/>
      </c>
      <c r="D309" s="60">
        <f t="shared" si="1"/>
      </c>
      <c r="E309" s="53">
        <f t="shared" si="2"/>
      </c>
      <c r="F309" s="53">
        <f t="shared" si="3"/>
      </c>
      <c r="G309" s="53">
        <f t="shared" si="4"/>
      </c>
      <c r="H309" s="59">
        <f t="shared" si="5"/>
      </c>
      <c r="I309" s="53">
        <f t="shared" si="6"/>
      </c>
      <c r="J309" s="53">
        <f t="shared" si="7"/>
      </c>
      <c r="K309" s="53">
        <f t="shared" si="8"/>
      </c>
      <c r="L309" s="68">
        <f t="shared" si="9"/>
      </c>
      <c r="M309" s="56">
        <f t="shared" si="10"/>
      </c>
      <c r="N309" s="69">
        <f t="shared" si="11"/>
      </c>
      <c r="O309" s="22">
        <f t="shared" si="12"/>
      </c>
      <c r="P309" s="22">
        <f>IF(往来单位!$C$299="客户",1,0)</f>
        <v>0</v>
      </c>
      <c r="Q309" s="22">
        <f t="shared" si="13"/>
        <v>28</v>
      </c>
    </row>
    <row r="310">
      <c r="A310" s="56">
        <f>IF($B310="","",297)</f>
      </c>
      <c r="B310" s="66">
        <f>IF(297&gt;$Q$613,"",INDEX(往来单位!$B$4:$B$603,MATCH(297,$Q$14:$Q$613,0)))</f>
      </c>
      <c r="C310" s="67">
        <f t="shared" si="0"/>
      </c>
      <c r="D310" s="60">
        <f t="shared" si="1"/>
      </c>
      <c r="E310" s="53">
        <f t="shared" si="2"/>
      </c>
      <c r="F310" s="53">
        <f t="shared" si="3"/>
      </c>
      <c r="G310" s="53">
        <f t="shared" si="4"/>
      </c>
      <c r="H310" s="59">
        <f t="shared" si="5"/>
      </c>
      <c r="I310" s="53">
        <f t="shared" si="6"/>
      </c>
      <c r="J310" s="53">
        <f t="shared" si="7"/>
      </c>
      <c r="K310" s="53">
        <f t="shared" si="8"/>
      </c>
      <c r="L310" s="68">
        <f t="shared" si="9"/>
      </c>
      <c r="M310" s="56">
        <f t="shared" si="10"/>
      </c>
      <c r="N310" s="69">
        <f t="shared" si="11"/>
      </c>
      <c r="O310" s="22">
        <f t="shared" si="12"/>
      </c>
      <c r="P310" s="22">
        <f>IF(往来单位!$C$300="客户",1,0)</f>
        <v>0</v>
      </c>
      <c r="Q310" s="22">
        <f t="shared" si="13"/>
        <v>28</v>
      </c>
    </row>
    <row r="311">
      <c r="A311" s="56">
        <f>IF($B311="","",298)</f>
      </c>
      <c r="B311" s="66">
        <f>IF(298&gt;$Q$613,"",INDEX(往来单位!$B$4:$B$603,MATCH(298,$Q$14:$Q$613,0)))</f>
      </c>
      <c r="C311" s="67">
        <f t="shared" si="0"/>
      </c>
      <c r="D311" s="60">
        <f t="shared" si="1"/>
      </c>
      <c r="E311" s="53">
        <f t="shared" si="2"/>
      </c>
      <c r="F311" s="53">
        <f t="shared" si="3"/>
      </c>
      <c r="G311" s="53">
        <f t="shared" si="4"/>
      </c>
      <c r="H311" s="59">
        <f t="shared" si="5"/>
      </c>
      <c r="I311" s="53">
        <f t="shared" si="6"/>
      </c>
      <c r="J311" s="53">
        <f t="shared" si="7"/>
      </c>
      <c r="K311" s="53">
        <f t="shared" si="8"/>
      </c>
      <c r="L311" s="68">
        <f t="shared" si="9"/>
      </c>
      <c r="M311" s="56">
        <f t="shared" si="10"/>
      </c>
      <c r="N311" s="69">
        <f t="shared" si="11"/>
      </c>
      <c r="O311" s="22">
        <f t="shared" si="12"/>
      </c>
      <c r="P311" s="22">
        <f>IF(往来单位!$C$301="客户",1,0)</f>
        <v>0</v>
      </c>
      <c r="Q311" s="22">
        <f t="shared" si="13"/>
        <v>28</v>
      </c>
    </row>
    <row r="312">
      <c r="A312" s="56">
        <f>IF($B312="","",299)</f>
      </c>
      <c r="B312" s="66">
        <f>IF(299&gt;$Q$613,"",INDEX(往来单位!$B$4:$B$603,MATCH(299,$Q$14:$Q$613,0)))</f>
      </c>
      <c r="C312" s="67">
        <f t="shared" si="0"/>
      </c>
      <c r="D312" s="60">
        <f t="shared" si="1"/>
      </c>
      <c r="E312" s="53">
        <f t="shared" si="2"/>
      </c>
      <c r="F312" s="53">
        <f t="shared" si="3"/>
      </c>
      <c r="G312" s="53">
        <f t="shared" si="4"/>
      </c>
      <c r="H312" s="59">
        <f t="shared" si="5"/>
      </c>
      <c r="I312" s="53">
        <f t="shared" si="6"/>
      </c>
      <c r="J312" s="53">
        <f t="shared" si="7"/>
      </c>
      <c r="K312" s="53">
        <f t="shared" si="8"/>
      </c>
      <c r="L312" s="68">
        <f t="shared" si="9"/>
      </c>
      <c r="M312" s="56">
        <f t="shared" si="10"/>
      </c>
      <c r="N312" s="69">
        <f t="shared" si="11"/>
      </c>
      <c r="O312" s="22">
        <f t="shared" si="12"/>
      </c>
      <c r="P312" s="22">
        <f>IF(往来单位!$C$302="客户",1,0)</f>
        <v>0</v>
      </c>
      <c r="Q312" s="22">
        <f t="shared" si="13"/>
        <v>28</v>
      </c>
    </row>
    <row r="313">
      <c r="A313" s="56">
        <f>IF($B313="","",300)</f>
      </c>
      <c r="B313" s="66">
        <f>IF(300&gt;$Q$613,"",INDEX(往来单位!$B$4:$B$603,MATCH(300,$Q$14:$Q$613,0)))</f>
      </c>
      <c r="C313" s="67">
        <f t="shared" si="0"/>
      </c>
      <c r="D313" s="60">
        <f t="shared" si="1"/>
      </c>
      <c r="E313" s="53">
        <f t="shared" si="2"/>
      </c>
      <c r="F313" s="53">
        <f t="shared" si="3"/>
      </c>
      <c r="G313" s="53">
        <f t="shared" si="4"/>
      </c>
      <c r="H313" s="59">
        <f t="shared" si="5"/>
      </c>
      <c r="I313" s="53">
        <f t="shared" si="6"/>
      </c>
      <c r="J313" s="53">
        <f t="shared" si="7"/>
      </c>
      <c r="K313" s="53">
        <f t="shared" si="8"/>
      </c>
      <c r="L313" s="68">
        <f t="shared" si="9"/>
      </c>
      <c r="M313" s="56">
        <f t="shared" si="10"/>
      </c>
      <c r="N313" s="69">
        <f t="shared" si="11"/>
      </c>
      <c r="O313" s="22">
        <f t="shared" si="12"/>
      </c>
      <c r="P313" s="22">
        <f>IF(往来单位!$C$303="客户",1,0)</f>
        <v>0</v>
      </c>
      <c r="Q313" s="22">
        <f t="shared" si="13"/>
        <v>28</v>
      </c>
    </row>
    <row r="314">
      <c r="A314" s="56">
        <f>IF($B314="","",301)</f>
      </c>
      <c r="B314" s="66">
        <f>IF(301&gt;$Q$613,"",INDEX(往来单位!$B$4:$B$603,MATCH(301,$Q$14:$Q$613,0)))</f>
      </c>
      <c r="C314" s="67">
        <f t="shared" si="0"/>
      </c>
      <c r="D314" s="60">
        <f t="shared" si="1"/>
      </c>
      <c r="E314" s="53">
        <f t="shared" si="2"/>
      </c>
      <c r="F314" s="53">
        <f t="shared" si="3"/>
      </c>
      <c r="G314" s="53">
        <f t="shared" si="4"/>
      </c>
      <c r="H314" s="59">
        <f t="shared" si="5"/>
      </c>
      <c r="I314" s="53">
        <f t="shared" si="6"/>
      </c>
      <c r="J314" s="53">
        <f t="shared" si="7"/>
      </c>
      <c r="K314" s="53">
        <f t="shared" si="8"/>
      </c>
      <c r="L314" s="68">
        <f t="shared" si="9"/>
      </c>
      <c r="M314" s="56">
        <f t="shared" si="10"/>
      </c>
      <c r="N314" s="69">
        <f t="shared" si="11"/>
      </c>
      <c r="O314" s="22">
        <f t="shared" si="12"/>
      </c>
      <c r="P314" s="22">
        <f>IF(往来单位!$C$304="客户",1,0)</f>
        <v>0</v>
      </c>
      <c r="Q314" s="22">
        <f t="shared" si="13"/>
        <v>28</v>
      </c>
    </row>
    <row r="315">
      <c r="A315" s="56">
        <f>IF($B315="","",302)</f>
      </c>
      <c r="B315" s="66">
        <f>IF(302&gt;$Q$613,"",INDEX(往来单位!$B$4:$B$603,MATCH(302,$Q$14:$Q$613,0)))</f>
      </c>
      <c r="C315" s="67">
        <f t="shared" si="0"/>
      </c>
      <c r="D315" s="60">
        <f t="shared" si="1"/>
      </c>
      <c r="E315" s="53">
        <f t="shared" si="2"/>
      </c>
      <c r="F315" s="53">
        <f t="shared" si="3"/>
      </c>
      <c r="G315" s="53">
        <f t="shared" si="4"/>
      </c>
      <c r="H315" s="59">
        <f t="shared" si="5"/>
      </c>
      <c r="I315" s="53">
        <f t="shared" si="6"/>
      </c>
      <c r="J315" s="53">
        <f t="shared" si="7"/>
      </c>
      <c r="K315" s="53">
        <f t="shared" si="8"/>
      </c>
      <c r="L315" s="68">
        <f t="shared" si="9"/>
      </c>
      <c r="M315" s="56">
        <f t="shared" si="10"/>
      </c>
      <c r="N315" s="69">
        <f t="shared" si="11"/>
      </c>
      <c r="O315" s="22">
        <f t="shared" si="12"/>
      </c>
      <c r="P315" s="22">
        <f>IF(往来单位!$C$305="客户",1,0)</f>
        <v>0</v>
      </c>
      <c r="Q315" s="22">
        <f t="shared" si="13"/>
        <v>28</v>
      </c>
    </row>
    <row r="316">
      <c r="A316" s="56">
        <f>IF($B316="","",303)</f>
      </c>
      <c r="B316" s="66">
        <f>IF(303&gt;$Q$613,"",INDEX(往来单位!$B$4:$B$603,MATCH(303,$Q$14:$Q$613,0)))</f>
      </c>
      <c r="C316" s="67">
        <f t="shared" si="0"/>
      </c>
      <c r="D316" s="60">
        <f t="shared" si="1"/>
      </c>
      <c r="E316" s="53">
        <f t="shared" si="2"/>
      </c>
      <c r="F316" s="53">
        <f t="shared" si="3"/>
      </c>
      <c r="G316" s="53">
        <f t="shared" si="4"/>
      </c>
      <c r="H316" s="59">
        <f t="shared" si="5"/>
      </c>
      <c r="I316" s="53">
        <f t="shared" si="6"/>
      </c>
      <c r="J316" s="53">
        <f t="shared" si="7"/>
      </c>
      <c r="K316" s="53">
        <f t="shared" si="8"/>
      </c>
      <c r="L316" s="68">
        <f t="shared" si="9"/>
      </c>
      <c r="M316" s="56">
        <f t="shared" si="10"/>
      </c>
      <c r="N316" s="69">
        <f t="shared" si="11"/>
      </c>
      <c r="O316" s="22">
        <f t="shared" si="12"/>
      </c>
      <c r="P316" s="22">
        <f>IF(往来单位!$C$306="客户",1,0)</f>
        <v>0</v>
      </c>
      <c r="Q316" s="22">
        <f t="shared" si="13"/>
        <v>28</v>
      </c>
    </row>
    <row r="317">
      <c r="A317" s="56">
        <f>IF($B317="","",304)</f>
      </c>
      <c r="B317" s="66">
        <f>IF(304&gt;$Q$613,"",INDEX(往来单位!$B$4:$B$603,MATCH(304,$Q$14:$Q$613,0)))</f>
      </c>
      <c r="C317" s="67">
        <f t="shared" si="0"/>
      </c>
      <c r="D317" s="60">
        <f t="shared" si="1"/>
      </c>
      <c r="E317" s="53">
        <f t="shared" si="2"/>
      </c>
      <c r="F317" s="53">
        <f t="shared" si="3"/>
      </c>
      <c r="G317" s="53">
        <f t="shared" si="4"/>
      </c>
      <c r="H317" s="59">
        <f t="shared" si="5"/>
      </c>
      <c r="I317" s="53">
        <f t="shared" si="6"/>
      </c>
      <c r="J317" s="53">
        <f t="shared" si="7"/>
      </c>
      <c r="K317" s="53">
        <f t="shared" si="8"/>
      </c>
      <c r="L317" s="68">
        <f t="shared" si="9"/>
      </c>
      <c r="M317" s="56">
        <f t="shared" si="10"/>
      </c>
      <c r="N317" s="69">
        <f t="shared" si="11"/>
      </c>
      <c r="O317" s="22">
        <f t="shared" si="12"/>
      </c>
      <c r="P317" s="22">
        <f>IF(往来单位!$C$307="客户",1,0)</f>
        <v>0</v>
      </c>
      <c r="Q317" s="22">
        <f t="shared" si="13"/>
        <v>28</v>
      </c>
    </row>
    <row r="318">
      <c r="A318" s="56">
        <f>IF($B318="","",305)</f>
      </c>
      <c r="B318" s="66">
        <f>IF(305&gt;$Q$613,"",INDEX(往来单位!$B$4:$B$603,MATCH(305,$Q$14:$Q$613,0)))</f>
      </c>
      <c r="C318" s="67">
        <f t="shared" si="0"/>
      </c>
      <c r="D318" s="60">
        <f t="shared" si="1"/>
      </c>
      <c r="E318" s="53">
        <f t="shared" si="2"/>
      </c>
      <c r="F318" s="53">
        <f t="shared" si="3"/>
      </c>
      <c r="G318" s="53">
        <f t="shared" si="4"/>
      </c>
      <c r="H318" s="59">
        <f t="shared" si="5"/>
      </c>
      <c r="I318" s="53">
        <f t="shared" si="6"/>
      </c>
      <c r="J318" s="53">
        <f t="shared" si="7"/>
      </c>
      <c r="K318" s="53">
        <f t="shared" si="8"/>
      </c>
      <c r="L318" s="68">
        <f t="shared" si="9"/>
      </c>
      <c r="M318" s="56">
        <f t="shared" si="10"/>
      </c>
      <c r="N318" s="69">
        <f t="shared" si="11"/>
      </c>
      <c r="O318" s="22">
        <f t="shared" si="12"/>
      </c>
      <c r="P318" s="22">
        <f>IF(往来单位!$C$308="客户",1,0)</f>
        <v>0</v>
      </c>
      <c r="Q318" s="22">
        <f t="shared" si="13"/>
        <v>28</v>
      </c>
    </row>
    <row r="319">
      <c r="A319" s="56">
        <f>IF($B319="","",306)</f>
      </c>
      <c r="B319" s="66">
        <f>IF(306&gt;$Q$613,"",INDEX(往来单位!$B$4:$B$603,MATCH(306,$Q$14:$Q$613,0)))</f>
      </c>
      <c r="C319" s="67">
        <f t="shared" si="0"/>
      </c>
      <c r="D319" s="60">
        <f t="shared" si="1"/>
      </c>
      <c r="E319" s="53">
        <f t="shared" si="2"/>
      </c>
      <c r="F319" s="53">
        <f t="shared" si="3"/>
      </c>
      <c r="G319" s="53">
        <f t="shared" si="4"/>
      </c>
      <c r="H319" s="59">
        <f t="shared" si="5"/>
      </c>
      <c r="I319" s="53">
        <f t="shared" si="6"/>
      </c>
      <c r="J319" s="53">
        <f t="shared" si="7"/>
      </c>
      <c r="K319" s="53">
        <f t="shared" si="8"/>
      </c>
      <c r="L319" s="68">
        <f t="shared" si="9"/>
      </c>
      <c r="M319" s="56">
        <f t="shared" si="10"/>
      </c>
      <c r="N319" s="69">
        <f t="shared" si="11"/>
      </c>
      <c r="O319" s="22">
        <f t="shared" si="12"/>
      </c>
      <c r="P319" s="22">
        <f>IF(往来单位!$C$309="客户",1,0)</f>
        <v>0</v>
      </c>
      <c r="Q319" s="22">
        <f t="shared" si="13"/>
        <v>28</v>
      </c>
    </row>
    <row r="320">
      <c r="A320" s="56">
        <f>IF($B320="","",307)</f>
      </c>
      <c r="B320" s="66">
        <f>IF(307&gt;$Q$613,"",INDEX(往来单位!$B$4:$B$603,MATCH(307,$Q$14:$Q$613,0)))</f>
      </c>
      <c r="C320" s="67">
        <f t="shared" si="0"/>
      </c>
      <c r="D320" s="60">
        <f t="shared" si="1"/>
      </c>
      <c r="E320" s="53">
        <f t="shared" si="2"/>
      </c>
      <c r="F320" s="53">
        <f t="shared" si="3"/>
      </c>
      <c r="G320" s="53">
        <f t="shared" si="4"/>
      </c>
      <c r="H320" s="59">
        <f t="shared" si="5"/>
      </c>
      <c r="I320" s="53">
        <f t="shared" si="6"/>
      </c>
      <c r="J320" s="53">
        <f t="shared" si="7"/>
      </c>
      <c r="K320" s="53">
        <f t="shared" si="8"/>
      </c>
      <c r="L320" s="68">
        <f t="shared" si="9"/>
      </c>
      <c r="M320" s="56">
        <f t="shared" si="10"/>
      </c>
      <c r="N320" s="69">
        <f t="shared" si="11"/>
      </c>
      <c r="O320" s="22">
        <f t="shared" si="12"/>
      </c>
      <c r="P320" s="22">
        <f>IF(往来单位!$C$310="客户",1,0)</f>
        <v>0</v>
      </c>
      <c r="Q320" s="22">
        <f t="shared" si="13"/>
        <v>28</v>
      </c>
    </row>
    <row r="321">
      <c r="A321" s="56">
        <f>IF($B321="","",308)</f>
      </c>
      <c r="B321" s="66">
        <f>IF(308&gt;$Q$613,"",INDEX(往来单位!$B$4:$B$603,MATCH(308,$Q$14:$Q$613,0)))</f>
      </c>
      <c r="C321" s="67">
        <f t="shared" si="0"/>
      </c>
      <c r="D321" s="60">
        <f t="shared" si="1"/>
      </c>
      <c r="E321" s="53">
        <f t="shared" si="2"/>
      </c>
      <c r="F321" s="53">
        <f t="shared" si="3"/>
      </c>
      <c r="G321" s="53">
        <f t="shared" si="4"/>
      </c>
      <c r="H321" s="59">
        <f t="shared" si="5"/>
      </c>
      <c r="I321" s="53">
        <f t="shared" si="6"/>
      </c>
      <c r="J321" s="53">
        <f t="shared" si="7"/>
      </c>
      <c r="K321" s="53">
        <f t="shared" si="8"/>
      </c>
      <c r="L321" s="68">
        <f t="shared" si="9"/>
      </c>
      <c r="M321" s="56">
        <f t="shared" si="10"/>
      </c>
      <c r="N321" s="69">
        <f t="shared" si="11"/>
      </c>
      <c r="O321" s="22">
        <f t="shared" si="12"/>
      </c>
      <c r="P321" s="22">
        <f>IF(往来单位!$C$311="客户",1,0)</f>
        <v>0</v>
      </c>
      <c r="Q321" s="22">
        <f t="shared" si="13"/>
        <v>28</v>
      </c>
    </row>
    <row r="322">
      <c r="A322" s="56">
        <f>IF($B322="","",309)</f>
      </c>
      <c r="B322" s="66">
        <f>IF(309&gt;$Q$613,"",INDEX(往来单位!$B$4:$B$603,MATCH(309,$Q$14:$Q$613,0)))</f>
      </c>
      <c r="C322" s="67">
        <f t="shared" si="0"/>
      </c>
      <c r="D322" s="60">
        <f t="shared" si="1"/>
      </c>
      <c r="E322" s="53">
        <f t="shared" si="2"/>
      </c>
      <c r="F322" s="53">
        <f t="shared" si="3"/>
      </c>
      <c r="G322" s="53">
        <f t="shared" si="4"/>
      </c>
      <c r="H322" s="59">
        <f t="shared" si="5"/>
      </c>
      <c r="I322" s="53">
        <f t="shared" si="6"/>
      </c>
      <c r="J322" s="53">
        <f t="shared" si="7"/>
      </c>
      <c r="K322" s="53">
        <f t="shared" si="8"/>
      </c>
      <c r="L322" s="68">
        <f t="shared" si="9"/>
      </c>
      <c r="M322" s="56">
        <f t="shared" si="10"/>
      </c>
      <c r="N322" s="69">
        <f t="shared" si="11"/>
      </c>
      <c r="O322" s="22">
        <f t="shared" si="12"/>
      </c>
      <c r="P322" s="22">
        <f>IF(往来单位!$C$312="客户",1,0)</f>
        <v>0</v>
      </c>
      <c r="Q322" s="22">
        <f t="shared" si="13"/>
        <v>28</v>
      </c>
    </row>
    <row r="323">
      <c r="A323" s="56">
        <f>IF($B323="","",310)</f>
      </c>
      <c r="B323" s="66">
        <f>IF(310&gt;$Q$613,"",INDEX(往来单位!$B$4:$B$603,MATCH(310,$Q$14:$Q$613,0)))</f>
      </c>
      <c r="C323" s="67">
        <f t="shared" si="0"/>
      </c>
      <c r="D323" s="60">
        <f t="shared" si="1"/>
      </c>
      <c r="E323" s="53">
        <f t="shared" si="2"/>
      </c>
      <c r="F323" s="53">
        <f t="shared" si="3"/>
      </c>
      <c r="G323" s="53">
        <f t="shared" si="4"/>
      </c>
      <c r="H323" s="59">
        <f t="shared" si="5"/>
      </c>
      <c r="I323" s="53">
        <f t="shared" si="6"/>
      </c>
      <c r="J323" s="53">
        <f t="shared" si="7"/>
      </c>
      <c r="K323" s="53">
        <f t="shared" si="8"/>
      </c>
      <c r="L323" s="68">
        <f t="shared" si="9"/>
      </c>
      <c r="M323" s="56">
        <f t="shared" si="10"/>
      </c>
      <c r="N323" s="69">
        <f t="shared" si="11"/>
      </c>
      <c r="O323" s="22">
        <f t="shared" si="12"/>
      </c>
      <c r="P323" s="22">
        <f>IF(往来单位!$C$313="客户",1,0)</f>
        <v>0</v>
      </c>
      <c r="Q323" s="22">
        <f t="shared" si="13"/>
        <v>28</v>
      </c>
    </row>
    <row r="324">
      <c r="A324" s="56">
        <f>IF($B324="","",311)</f>
      </c>
      <c r="B324" s="66">
        <f>IF(311&gt;$Q$613,"",INDEX(往来单位!$B$4:$B$603,MATCH(311,$Q$14:$Q$613,0)))</f>
      </c>
      <c r="C324" s="67">
        <f t="shared" si="0"/>
      </c>
      <c r="D324" s="60">
        <f t="shared" si="1"/>
      </c>
      <c r="E324" s="53">
        <f t="shared" si="2"/>
      </c>
      <c r="F324" s="53">
        <f t="shared" si="3"/>
      </c>
      <c r="G324" s="53">
        <f t="shared" si="4"/>
      </c>
      <c r="H324" s="59">
        <f t="shared" si="5"/>
      </c>
      <c r="I324" s="53">
        <f t="shared" si="6"/>
      </c>
      <c r="J324" s="53">
        <f t="shared" si="7"/>
      </c>
      <c r="K324" s="53">
        <f t="shared" si="8"/>
      </c>
      <c r="L324" s="68">
        <f t="shared" si="9"/>
      </c>
      <c r="M324" s="56">
        <f t="shared" si="10"/>
      </c>
      <c r="N324" s="69">
        <f t="shared" si="11"/>
      </c>
      <c r="O324" s="22">
        <f t="shared" si="12"/>
      </c>
      <c r="P324" s="22">
        <f>IF(往来单位!$C$314="客户",1,0)</f>
        <v>0</v>
      </c>
      <c r="Q324" s="22">
        <f t="shared" si="13"/>
        <v>28</v>
      </c>
    </row>
    <row r="325">
      <c r="A325" s="56">
        <f>IF($B325="","",312)</f>
      </c>
      <c r="B325" s="66">
        <f>IF(312&gt;$Q$613,"",INDEX(往来单位!$B$4:$B$603,MATCH(312,$Q$14:$Q$613,0)))</f>
      </c>
      <c r="C325" s="67">
        <f t="shared" si="0"/>
      </c>
      <c r="D325" s="60">
        <f t="shared" si="1"/>
      </c>
      <c r="E325" s="53">
        <f t="shared" si="2"/>
      </c>
      <c r="F325" s="53">
        <f t="shared" si="3"/>
      </c>
      <c r="G325" s="53">
        <f t="shared" si="4"/>
      </c>
      <c r="H325" s="59">
        <f t="shared" si="5"/>
      </c>
      <c r="I325" s="53">
        <f t="shared" si="6"/>
      </c>
      <c r="J325" s="53">
        <f t="shared" si="7"/>
      </c>
      <c r="K325" s="53">
        <f t="shared" si="8"/>
      </c>
      <c r="L325" s="68">
        <f t="shared" si="9"/>
      </c>
      <c r="M325" s="56">
        <f t="shared" si="10"/>
      </c>
      <c r="N325" s="69">
        <f t="shared" si="11"/>
      </c>
      <c r="O325" s="22">
        <f t="shared" si="12"/>
      </c>
      <c r="P325" s="22">
        <f>IF(往来单位!$C$315="客户",1,0)</f>
        <v>0</v>
      </c>
      <c r="Q325" s="22">
        <f t="shared" si="13"/>
        <v>28</v>
      </c>
    </row>
    <row r="326">
      <c r="A326" s="56">
        <f>IF($B326="","",313)</f>
      </c>
      <c r="B326" s="66">
        <f>IF(313&gt;$Q$613,"",INDEX(往来单位!$B$4:$B$603,MATCH(313,$Q$14:$Q$613,0)))</f>
      </c>
      <c r="C326" s="67">
        <f t="shared" si="0"/>
      </c>
      <c r="D326" s="60">
        <f t="shared" si="1"/>
      </c>
      <c r="E326" s="53">
        <f t="shared" si="2"/>
      </c>
      <c r="F326" s="53">
        <f t="shared" si="3"/>
      </c>
      <c r="G326" s="53">
        <f t="shared" si="4"/>
      </c>
      <c r="H326" s="59">
        <f t="shared" si="5"/>
      </c>
      <c r="I326" s="53">
        <f t="shared" si="6"/>
      </c>
      <c r="J326" s="53">
        <f t="shared" si="7"/>
      </c>
      <c r="K326" s="53">
        <f t="shared" si="8"/>
      </c>
      <c r="L326" s="68">
        <f t="shared" si="9"/>
      </c>
      <c r="M326" s="56">
        <f t="shared" si="10"/>
      </c>
      <c r="N326" s="69">
        <f t="shared" si="11"/>
      </c>
      <c r="O326" s="22">
        <f t="shared" si="12"/>
      </c>
      <c r="P326" s="22">
        <f>IF(往来单位!$C$316="客户",1,0)</f>
        <v>0</v>
      </c>
      <c r="Q326" s="22">
        <f t="shared" si="13"/>
        <v>28</v>
      </c>
    </row>
    <row r="327">
      <c r="A327" s="56">
        <f>IF($B327="","",314)</f>
      </c>
      <c r="B327" s="66">
        <f>IF(314&gt;$Q$613,"",INDEX(往来单位!$B$4:$B$603,MATCH(314,$Q$14:$Q$613,0)))</f>
      </c>
      <c r="C327" s="67">
        <f t="shared" si="0"/>
      </c>
      <c r="D327" s="60">
        <f t="shared" si="1"/>
      </c>
      <c r="E327" s="53">
        <f t="shared" si="2"/>
      </c>
      <c r="F327" s="53">
        <f t="shared" si="3"/>
      </c>
      <c r="G327" s="53">
        <f t="shared" si="4"/>
      </c>
      <c r="H327" s="59">
        <f t="shared" si="5"/>
      </c>
      <c r="I327" s="53">
        <f t="shared" si="6"/>
      </c>
      <c r="J327" s="53">
        <f t="shared" si="7"/>
      </c>
      <c r="K327" s="53">
        <f t="shared" si="8"/>
      </c>
      <c r="L327" s="68">
        <f t="shared" si="9"/>
      </c>
      <c r="M327" s="56">
        <f t="shared" si="10"/>
      </c>
      <c r="N327" s="69">
        <f t="shared" si="11"/>
      </c>
      <c r="O327" s="22">
        <f t="shared" si="12"/>
      </c>
      <c r="P327" s="22">
        <f>IF(往来单位!$C$317="客户",1,0)</f>
        <v>0</v>
      </c>
      <c r="Q327" s="22">
        <f t="shared" si="13"/>
        <v>28</v>
      </c>
    </row>
    <row r="328">
      <c r="A328" s="56">
        <f>IF($B328="","",315)</f>
      </c>
      <c r="B328" s="66">
        <f>IF(315&gt;$Q$613,"",INDEX(往来单位!$B$4:$B$603,MATCH(315,$Q$14:$Q$613,0)))</f>
      </c>
      <c r="C328" s="67">
        <f t="shared" si="0"/>
      </c>
      <c r="D328" s="60">
        <f t="shared" si="1"/>
      </c>
      <c r="E328" s="53">
        <f t="shared" si="2"/>
      </c>
      <c r="F328" s="53">
        <f t="shared" si="3"/>
      </c>
      <c r="G328" s="53">
        <f t="shared" si="4"/>
      </c>
      <c r="H328" s="59">
        <f t="shared" si="5"/>
      </c>
      <c r="I328" s="53">
        <f t="shared" si="6"/>
      </c>
      <c r="J328" s="53">
        <f t="shared" si="7"/>
      </c>
      <c r="K328" s="53">
        <f t="shared" si="8"/>
      </c>
      <c r="L328" s="68">
        <f t="shared" si="9"/>
      </c>
      <c r="M328" s="56">
        <f t="shared" si="10"/>
      </c>
      <c r="N328" s="69">
        <f t="shared" si="11"/>
      </c>
      <c r="O328" s="22">
        <f t="shared" si="12"/>
      </c>
      <c r="P328" s="22">
        <f>IF(往来单位!$C$318="客户",1,0)</f>
        <v>0</v>
      </c>
      <c r="Q328" s="22">
        <f t="shared" si="13"/>
        <v>28</v>
      </c>
    </row>
    <row r="329">
      <c r="A329" s="56">
        <f>IF($B329="","",316)</f>
      </c>
      <c r="B329" s="66">
        <f>IF(316&gt;$Q$613,"",INDEX(往来单位!$B$4:$B$603,MATCH(316,$Q$14:$Q$613,0)))</f>
      </c>
      <c r="C329" s="67">
        <f t="shared" si="0"/>
      </c>
      <c r="D329" s="60">
        <f t="shared" si="1"/>
      </c>
      <c r="E329" s="53">
        <f t="shared" si="2"/>
      </c>
      <c r="F329" s="53">
        <f t="shared" si="3"/>
      </c>
      <c r="G329" s="53">
        <f t="shared" si="4"/>
      </c>
      <c r="H329" s="59">
        <f t="shared" si="5"/>
      </c>
      <c r="I329" s="53">
        <f t="shared" si="6"/>
      </c>
      <c r="J329" s="53">
        <f t="shared" si="7"/>
      </c>
      <c r="K329" s="53">
        <f t="shared" si="8"/>
      </c>
      <c r="L329" s="68">
        <f t="shared" si="9"/>
      </c>
      <c r="M329" s="56">
        <f t="shared" si="10"/>
      </c>
      <c r="N329" s="69">
        <f t="shared" si="11"/>
      </c>
      <c r="O329" s="22">
        <f t="shared" si="12"/>
      </c>
      <c r="P329" s="22">
        <f>IF(往来单位!$C$319="客户",1,0)</f>
        <v>0</v>
      </c>
      <c r="Q329" s="22">
        <f t="shared" si="13"/>
        <v>28</v>
      </c>
    </row>
    <row r="330">
      <c r="A330" s="56">
        <f>IF($B330="","",317)</f>
      </c>
      <c r="B330" s="66">
        <f>IF(317&gt;$Q$613,"",INDEX(往来单位!$B$4:$B$603,MATCH(317,$Q$14:$Q$613,0)))</f>
      </c>
      <c r="C330" s="67">
        <f t="shared" si="0"/>
      </c>
      <c r="D330" s="60">
        <f t="shared" si="1"/>
      </c>
      <c r="E330" s="53">
        <f t="shared" si="2"/>
      </c>
      <c r="F330" s="53">
        <f t="shared" si="3"/>
      </c>
      <c r="G330" s="53">
        <f t="shared" si="4"/>
      </c>
      <c r="H330" s="59">
        <f t="shared" si="5"/>
      </c>
      <c r="I330" s="53">
        <f t="shared" si="6"/>
      </c>
      <c r="J330" s="53">
        <f t="shared" si="7"/>
      </c>
      <c r="K330" s="53">
        <f t="shared" si="8"/>
      </c>
      <c r="L330" s="68">
        <f t="shared" si="9"/>
      </c>
      <c r="M330" s="56">
        <f t="shared" si="10"/>
      </c>
      <c r="N330" s="69">
        <f t="shared" si="11"/>
      </c>
      <c r="O330" s="22">
        <f t="shared" si="12"/>
      </c>
      <c r="P330" s="22">
        <f>IF(往来单位!$C$320="客户",1,0)</f>
        <v>0</v>
      </c>
      <c r="Q330" s="22">
        <f t="shared" si="13"/>
        <v>28</v>
      </c>
    </row>
    <row r="331">
      <c r="A331" s="56">
        <f>IF($B331="","",318)</f>
      </c>
      <c r="B331" s="66">
        <f>IF(318&gt;$Q$613,"",INDEX(往来单位!$B$4:$B$603,MATCH(318,$Q$14:$Q$613,0)))</f>
      </c>
      <c r="C331" s="67">
        <f t="shared" si="0"/>
      </c>
      <c r="D331" s="60">
        <f t="shared" si="1"/>
      </c>
      <c r="E331" s="53">
        <f t="shared" si="2"/>
      </c>
      <c r="F331" s="53">
        <f t="shared" si="3"/>
      </c>
      <c r="G331" s="53">
        <f t="shared" si="4"/>
      </c>
      <c r="H331" s="59">
        <f t="shared" si="5"/>
      </c>
      <c r="I331" s="53">
        <f t="shared" si="6"/>
      </c>
      <c r="J331" s="53">
        <f t="shared" si="7"/>
      </c>
      <c r="K331" s="53">
        <f t="shared" si="8"/>
      </c>
      <c r="L331" s="68">
        <f t="shared" si="9"/>
      </c>
      <c r="M331" s="56">
        <f t="shared" si="10"/>
      </c>
      <c r="N331" s="69">
        <f t="shared" si="11"/>
      </c>
      <c r="O331" s="22">
        <f t="shared" si="12"/>
      </c>
      <c r="P331" s="22">
        <f>IF(往来单位!$C$321="客户",1,0)</f>
        <v>0</v>
      </c>
      <c r="Q331" s="22">
        <f t="shared" si="13"/>
        <v>28</v>
      </c>
    </row>
    <row r="332">
      <c r="A332" s="56">
        <f>IF($B332="","",319)</f>
      </c>
      <c r="B332" s="66">
        <f>IF(319&gt;$Q$613,"",INDEX(往来单位!$B$4:$B$603,MATCH(319,$Q$14:$Q$613,0)))</f>
      </c>
      <c r="C332" s="67">
        <f t="shared" si="0"/>
      </c>
      <c r="D332" s="60">
        <f t="shared" si="1"/>
      </c>
      <c r="E332" s="53">
        <f t="shared" si="2"/>
      </c>
      <c r="F332" s="53">
        <f t="shared" si="3"/>
      </c>
      <c r="G332" s="53">
        <f t="shared" si="4"/>
      </c>
      <c r="H332" s="59">
        <f t="shared" si="5"/>
      </c>
      <c r="I332" s="53">
        <f t="shared" si="6"/>
      </c>
      <c r="J332" s="53">
        <f t="shared" si="7"/>
      </c>
      <c r="K332" s="53">
        <f t="shared" si="8"/>
      </c>
      <c r="L332" s="68">
        <f t="shared" si="9"/>
      </c>
      <c r="M332" s="56">
        <f t="shared" si="10"/>
      </c>
      <c r="N332" s="69">
        <f t="shared" si="11"/>
      </c>
      <c r="O332" s="22">
        <f t="shared" si="12"/>
      </c>
      <c r="P332" s="22">
        <f>IF(往来单位!$C$322="客户",1,0)</f>
        <v>0</v>
      </c>
      <c r="Q332" s="22">
        <f t="shared" si="13"/>
        <v>28</v>
      </c>
    </row>
    <row r="333">
      <c r="A333" s="56">
        <f>IF($B333="","",320)</f>
      </c>
      <c r="B333" s="66">
        <f>IF(320&gt;$Q$613,"",INDEX(往来单位!$B$4:$B$603,MATCH(320,$Q$14:$Q$613,0)))</f>
      </c>
      <c r="C333" s="67">
        <f t="shared" si="0"/>
      </c>
      <c r="D333" s="60">
        <f t="shared" si="1"/>
      </c>
      <c r="E333" s="53">
        <f t="shared" si="2"/>
      </c>
      <c r="F333" s="53">
        <f t="shared" si="3"/>
      </c>
      <c r="G333" s="53">
        <f t="shared" si="4"/>
      </c>
      <c r="H333" s="59">
        <f t="shared" si="5"/>
      </c>
      <c r="I333" s="53">
        <f t="shared" si="6"/>
      </c>
      <c r="J333" s="53">
        <f t="shared" si="7"/>
      </c>
      <c r="K333" s="53">
        <f t="shared" si="8"/>
      </c>
      <c r="L333" s="68">
        <f t="shared" si="9"/>
      </c>
      <c r="M333" s="56">
        <f t="shared" si="10"/>
      </c>
      <c r="N333" s="69">
        <f t="shared" si="11"/>
      </c>
      <c r="O333" s="22">
        <f t="shared" si="12"/>
      </c>
      <c r="P333" s="22">
        <f>IF(往来单位!$C$323="客户",1,0)</f>
        <v>0</v>
      </c>
      <c r="Q333" s="22">
        <f t="shared" si="13"/>
        <v>28</v>
      </c>
    </row>
    <row r="334">
      <c r="A334" s="56">
        <f>IF($B334="","",321)</f>
      </c>
      <c r="B334" s="66">
        <f>IF(321&gt;$Q$613,"",INDEX(往来单位!$B$4:$B$603,MATCH(321,$Q$14:$Q$613,0)))</f>
      </c>
      <c r="C334" s="67">
        <f t="shared" si="0"/>
      </c>
      <c r="D334" s="60">
        <f t="shared" si="1"/>
      </c>
      <c r="E334" s="53">
        <f t="shared" si="2"/>
      </c>
      <c r="F334" s="53">
        <f t="shared" si="3"/>
      </c>
      <c r="G334" s="53">
        <f t="shared" si="4"/>
      </c>
      <c r="H334" s="59">
        <f t="shared" si="5"/>
      </c>
      <c r="I334" s="53">
        <f t="shared" si="6"/>
      </c>
      <c r="J334" s="53">
        <f t="shared" si="7"/>
      </c>
      <c r="K334" s="53">
        <f t="shared" si="8"/>
      </c>
      <c r="L334" s="68">
        <f t="shared" si="9"/>
      </c>
      <c r="M334" s="56">
        <f t="shared" si="10"/>
      </c>
      <c r="N334" s="69">
        <f t="shared" si="11"/>
      </c>
      <c r="O334" s="22">
        <f t="shared" si="12"/>
      </c>
      <c r="P334" s="22">
        <f>IF(往来单位!$C$324="客户",1,0)</f>
        <v>0</v>
      </c>
      <c r="Q334" s="22">
        <f t="shared" si="13"/>
        <v>28</v>
      </c>
    </row>
    <row r="335">
      <c r="A335" s="56">
        <f>IF($B335="","",322)</f>
      </c>
      <c r="B335" s="66">
        <f>IF(322&gt;$Q$613,"",INDEX(往来单位!$B$4:$B$603,MATCH(322,$Q$14:$Q$613,0)))</f>
      </c>
      <c r="C335" s="67">
        <f t="shared" si="0"/>
      </c>
      <c r="D335" s="60">
        <f t="shared" si="1"/>
      </c>
      <c r="E335" s="53">
        <f t="shared" si="2"/>
      </c>
      <c r="F335" s="53">
        <f t="shared" si="3"/>
      </c>
      <c r="G335" s="53">
        <f t="shared" si="4"/>
      </c>
      <c r="H335" s="59">
        <f t="shared" si="5"/>
      </c>
      <c r="I335" s="53">
        <f t="shared" si="6"/>
      </c>
      <c r="J335" s="53">
        <f t="shared" si="7"/>
      </c>
      <c r="K335" s="53">
        <f t="shared" si="8"/>
      </c>
      <c r="L335" s="68">
        <f t="shared" si="9"/>
      </c>
      <c r="M335" s="56">
        <f t="shared" si="10"/>
      </c>
      <c r="N335" s="69">
        <f t="shared" si="11"/>
      </c>
      <c r="O335" s="22">
        <f t="shared" si="12"/>
      </c>
      <c r="P335" s="22">
        <f>IF(往来单位!$C$325="客户",1,0)</f>
        <v>0</v>
      </c>
      <c r="Q335" s="22">
        <f t="shared" si="13"/>
        <v>28</v>
      </c>
    </row>
    <row r="336">
      <c r="A336" s="56">
        <f>IF($B336="","",323)</f>
      </c>
      <c r="B336" s="66">
        <f>IF(323&gt;$Q$613,"",INDEX(往来单位!$B$4:$B$603,MATCH(323,$Q$14:$Q$613,0)))</f>
      </c>
      <c r="C336" s="67">
        <f t="shared" si="0"/>
      </c>
      <c r="D336" s="60">
        <f t="shared" si="1"/>
      </c>
      <c r="E336" s="53">
        <f t="shared" si="2"/>
      </c>
      <c r="F336" s="53">
        <f t="shared" si="3"/>
      </c>
      <c r="G336" s="53">
        <f t="shared" si="4"/>
      </c>
      <c r="H336" s="59">
        <f t="shared" si="5"/>
      </c>
      <c r="I336" s="53">
        <f t="shared" si="6"/>
      </c>
      <c r="J336" s="53">
        <f t="shared" si="7"/>
      </c>
      <c r="K336" s="53">
        <f t="shared" si="8"/>
      </c>
      <c r="L336" s="68">
        <f t="shared" si="9"/>
      </c>
      <c r="M336" s="56">
        <f t="shared" si="10"/>
      </c>
      <c r="N336" s="69">
        <f t="shared" si="11"/>
      </c>
      <c r="O336" s="22">
        <f t="shared" si="12"/>
      </c>
      <c r="P336" s="22">
        <f>IF(往来单位!$C$326="客户",1,0)</f>
        <v>0</v>
      </c>
      <c r="Q336" s="22">
        <f t="shared" si="13"/>
        <v>28</v>
      </c>
    </row>
    <row r="337">
      <c r="A337" s="56">
        <f>IF($B337="","",324)</f>
      </c>
      <c r="B337" s="66">
        <f>IF(324&gt;$Q$613,"",INDEX(往来单位!$B$4:$B$603,MATCH(324,$Q$14:$Q$613,0)))</f>
      </c>
      <c r="C337" s="67">
        <f t="shared" si="0"/>
      </c>
      <c r="D337" s="60">
        <f t="shared" si="1"/>
      </c>
      <c r="E337" s="53">
        <f t="shared" si="2"/>
      </c>
      <c r="F337" s="53">
        <f t="shared" si="3"/>
      </c>
      <c r="G337" s="53">
        <f t="shared" si="4"/>
      </c>
      <c r="H337" s="59">
        <f t="shared" si="5"/>
      </c>
      <c r="I337" s="53">
        <f t="shared" si="6"/>
      </c>
      <c r="J337" s="53">
        <f t="shared" si="7"/>
      </c>
      <c r="K337" s="53">
        <f t="shared" si="8"/>
      </c>
      <c r="L337" s="68">
        <f t="shared" si="9"/>
      </c>
      <c r="M337" s="56">
        <f t="shared" si="10"/>
      </c>
      <c r="N337" s="69">
        <f t="shared" si="11"/>
      </c>
      <c r="O337" s="22">
        <f t="shared" si="12"/>
      </c>
      <c r="P337" s="22">
        <f>IF(往来单位!$C$327="客户",1,0)</f>
        <v>0</v>
      </c>
      <c r="Q337" s="22">
        <f t="shared" si="13"/>
        <v>28</v>
      </c>
    </row>
    <row r="338">
      <c r="A338" s="56">
        <f>IF($B338="","",325)</f>
      </c>
      <c r="B338" s="66">
        <f>IF(325&gt;$Q$613,"",INDEX(往来单位!$B$4:$B$603,MATCH(325,$Q$14:$Q$613,0)))</f>
      </c>
      <c r="C338" s="67">
        <f t="shared" si="0"/>
      </c>
      <c r="D338" s="60">
        <f t="shared" si="1"/>
      </c>
      <c r="E338" s="53">
        <f t="shared" si="2"/>
      </c>
      <c r="F338" s="53">
        <f t="shared" si="3"/>
      </c>
      <c r="G338" s="53">
        <f t="shared" si="4"/>
      </c>
      <c r="H338" s="59">
        <f t="shared" si="5"/>
      </c>
      <c r="I338" s="53">
        <f t="shared" si="6"/>
      </c>
      <c r="J338" s="53">
        <f t="shared" si="7"/>
      </c>
      <c r="K338" s="53">
        <f t="shared" si="8"/>
      </c>
      <c r="L338" s="68">
        <f t="shared" si="9"/>
      </c>
      <c r="M338" s="56">
        <f t="shared" si="10"/>
      </c>
      <c r="N338" s="69">
        <f t="shared" si="11"/>
      </c>
      <c r="O338" s="22">
        <f t="shared" si="12"/>
      </c>
      <c r="P338" s="22">
        <f>IF(往来单位!$C$328="客户",1,0)</f>
        <v>0</v>
      </c>
      <c r="Q338" s="22">
        <f t="shared" si="13"/>
        <v>28</v>
      </c>
    </row>
    <row r="339">
      <c r="A339" s="56">
        <f>IF($B339="","",326)</f>
      </c>
      <c r="B339" s="66">
        <f>IF(326&gt;$Q$613,"",INDEX(往来单位!$B$4:$B$603,MATCH(326,$Q$14:$Q$613,0)))</f>
      </c>
      <c r="C339" s="67">
        <f t="shared" si="0"/>
      </c>
      <c r="D339" s="60">
        <f t="shared" si="1"/>
      </c>
      <c r="E339" s="53">
        <f t="shared" si="2"/>
      </c>
      <c r="F339" s="53">
        <f t="shared" si="3"/>
      </c>
      <c r="G339" s="53">
        <f t="shared" si="4"/>
      </c>
      <c r="H339" s="59">
        <f t="shared" si="5"/>
      </c>
      <c r="I339" s="53">
        <f t="shared" si="6"/>
      </c>
      <c r="J339" s="53">
        <f t="shared" si="7"/>
      </c>
      <c r="K339" s="53">
        <f t="shared" si="8"/>
      </c>
      <c r="L339" s="68">
        <f t="shared" si="9"/>
      </c>
      <c r="M339" s="56">
        <f t="shared" si="10"/>
      </c>
      <c r="N339" s="69">
        <f t="shared" si="11"/>
      </c>
      <c r="O339" s="22">
        <f t="shared" si="12"/>
      </c>
      <c r="P339" s="22">
        <f>IF(往来单位!$C$329="客户",1,0)</f>
        <v>0</v>
      </c>
      <c r="Q339" s="22">
        <f t="shared" si="13"/>
        <v>28</v>
      </c>
    </row>
    <row r="340">
      <c r="A340" s="56">
        <f>IF($B340="","",327)</f>
      </c>
      <c r="B340" s="66">
        <f>IF(327&gt;$Q$613,"",INDEX(往来单位!$B$4:$B$603,MATCH(327,$Q$14:$Q$613,0)))</f>
      </c>
      <c r="C340" s="67">
        <f t="shared" si="0"/>
      </c>
      <c r="D340" s="60">
        <f t="shared" si="1"/>
      </c>
      <c r="E340" s="53">
        <f t="shared" si="2"/>
      </c>
      <c r="F340" s="53">
        <f t="shared" si="3"/>
      </c>
      <c r="G340" s="53">
        <f t="shared" si="4"/>
      </c>
      <c r="H340" s="59">
        <f t="shared" si="5"/>
      </c>
      <c r="I340" s="53">
        <f t="shared" si="6"/>
      </c>
      <c r="J340" s="53">
        <f t="shared" si="7"/>
      </c>
      <c r="K340" s="53">
        <f t="shared" si="8"/>
      </c>
      <c r="L340" s="68">
        <f t="shared" si="9"/>
      </c>
      <c r="M340" s="56">
        <f t="shared" si="10"/>
      </c>
      <c r="N340" s="69">
        <f t="shared" si="11"/>
      </c>
      <c r="O340" s="22">
        <f t="shared" si="12"/>
      </c>
      <c r="P340" s="22">
        <f>IF(往来单位!$C$330="客户",1,0)</f>
        <v>0</v>
      </c>
      <c r="Q340" s="22">
        <f t="shared" si="13"/>
        <v>28</v>
      </c>
    </row>
    <row r="341">
      <c r="A341" s="56">
        <f>IF($B341="","",328)</f>
      </c>
      <c r="B341" s="66">
        <f>IF(328&gt;$Q$613,"",INDEX(往来单位!$B$4:$B$603,MATCH(328,$Q$14:$Q$613,0)))</f>
      </c>
      <c r="C341" s="67">
        <f t="shared" si="0"/>
      </c>
      <c r="D341" s="60">
        <f t="shared" si="1"/>
      </c>
      <c r="E341" s="53">
        <f t="shared" si="2"/>
      </c>
      <c r="F341" s="53">
        <f t="shared" si="3"/>
      </c>
      <c r="G341" s="53">
        <f t="shared" si="4"/>
      </c>
      <c r="H341" s="59">
        <f t="shared" si="5"/>
      </c>
      <c r="I341" s="53">
        <f t="shared" si="6"/>
      </c>
      <c r="J341" s="53">
        <f t="shared" si="7"/>
      </c>
      <c r="K341" s="53">
        <f t="shared" si="8"/>
      </c>
      <c r="L341" s="68">
        <f t="shared" si="9"/>
      </c>
      <c r="M341" s="56">
        <f t="shared" si="10"/>
      </c>
      <c r="N341" s="69">
        <f t="shared" si="11"/>
      </c>
      <c r="O341" s="22">
        <f t="shared" si="12"/>
      </c>
      <c r="P341" s="22">
        <f>IF(往来单位!$C$331="客户",1,0)</f>
        <v>0</v>
      </c>
      <c r="Q341" s="22">
        <f t="shared" si="13"/>
        <v>28</v>
      </c>
    </row>
    <row r="342">
      <c r="A342" s="56">
        <f>IF($B342="","",329)</f>
      </c>
      <c r="B342" s="66">
        <f>IF(329&gt;$Q$613,"",INDEX(往来单位!$B$4:$B$603,MATCH(329,$Q$14:$Q$613,0)))</f>
      </c>
      <c r="C342" s="67">
        <f t="shared" si="0"/>
      </c>
      <c r="D342" s="60">
        <f t="shared" si="1"/>
      </c>
      <c r="E342" s="53">
        <f t="shared" si="2"/>
      </c>
      <c r="F342" s="53">
        <f t="shared" si="3"/>
      </c>
      <c r="G342" s="53">
        <f t="shared" si="4"/>
      </c>
      <c r="H342" s="59">
        <f t="shared" si="5"/>
      </c>
      <c r="I342" s="53">
        <f t="shared" si="6"/>
      </c>
      <c r="J342" s="53">
        <f t="shared" si="7"/>
      </c>
      <c r="K342" s="53">
        <f t="shared" si="8"/>
      </c>
      <c r="L342" s="68">
        <f t="shared" si="9"/>
      </c>
      <c r="M342" s="56">
        <f t="shared" si="10"/>
      </c>
      <c r="N342" s="69">
        <f t="shared" si="11"/>
      </c>
      <c r="O342" s="22">
        <f t="shared" si="12"/>
      </c>
      <c r="P342" s="22">
        <f>IF(往来单位!$C$332="客户",1,0)</f>
        <v>0</v>
      </c>
      <c r="Q342" s="22">
        <f t="shared" si="13"/>
        <v>28</v>
      </c>
    </row>
    <row r="343">
      <c r="A343" s="56">
        <f>IF($B343="","",330)</f>
      </c>
      <c r="B343" s="66">
        <f>IF(330&gt;$Q$613,"",INDEX(往来单位!$B$4:$B$603,MATCH(330,$Q$14:$Q$613,0)))</f>
      </c>
      <c r="C343" s="67">
        <f t="shared" si="0"/>
      </c>
      <c r="D343" s="60">
        <f t="shared" si="1"/>
      </c>
      <c r="E343" s="53">
        <f t="shared" si="2"/>
      </c>
      <c r="F343" s="53">
        <f t="shared" si="3"/>
      </c>
      <c r="G343" s="53">
        <f t="shared" si="4"/>
      </c>
      <c r="H343" s="59">
        <f t="shared" si="5"/>
      </c>
      <c r="I343" s="53">
        <f t="shared" si="6"/>
      </c>
      <c r="J343" s="53">
        <f t="shared" si="7"/>
      </c>
      <c r="K343" s="53">
        <f t="shared" si="8"/>
      </c>
      <c r="L343" s="68">
        <f t="shared" si="9"/>
      </c>
      <c r="M343" s="56">
        <f t="shared" si="10"/>
      </c>
      <c r="N343" s="69">
        <f t="shared" si="11"/>
      </c>
      <c r="O343" s="22">
        <f t="shared" si="12"/>
      </c>
      <c r="P343" s="22">
        <f>IF(往来单位!$C$333="客户",1,0)</f>
        <v>0</v>
      </c>
      <c r="Q343" s="22">
        <f t="shared" si="13"/>
        <v>28</v>
      </c>
    </row>
    <row r="344">
      <c r="A344" s="56">
        <f>IF($B344="","",331)</f>
      </c>
      <c r="B344" s="66">
        <f>IF(331&gt;$Q$613,"",INDEX(往来单位!$B$4:$B$603,MATCH(331,$Q$14:$Q$613,0)))</f>
      </c>
      <c r="C344" s="67">
        <f t="shared" si="0"/>
      </c>
      <c r="D344" s="60">
        <f t="shared" si="1"/>
      </c>
      <c r="E344" s="53">
        <f t="shared" si="2"/>
      </c>
      <c r="F344" s="53">
        <f t="shared" si="3"/>
      </c>
      <c r="G344" s="53">
        <f t="shared" si="4"/>
      </c>
      <c r="H344" s="59">
        <f t="shared" si="5"/>
      </c>
      <c r="I344" s="53">
        <f t="shared" si="6"/>
      </c>
      <c r="J344" s="53">
        <f t="shared" si="7"/>
      </c>
      <c r="K344" s="53">
        <f t="shared" si="8"/>
      </c>
      <c r="L344" s="68">
        <f t="shared" si="9"/>
      </c>
      <c r="M344" s="56">
        <f t="shared" si="10"/>
      </c>
      <c r="N344" s="69">
        <f t="shared" si="11"/>
      </c>
      <c r="O344" s="22">
        <f t="shared" si="12"/>
      </c>
      <c r="P344" s="22">
        <f>IF(往来单位!$C$334="客户",1,0)</f>
        <v>0</v>
      </c>
      <c r="Q344" s="22">
        <f t="shared" si="13"/>
        <v>28</v>
      </c>
    </row>
    <row r="345">
      <c r="A345" s="56">
        <f>IF($B345="","",332)</f>
      </c>
      <c r="B345" s="66">
        <f>IF(332&gt;$Q$613,"",INDEX(往来单位!$B$4:$B$603,MATCH(332,$Q$14:$Q$613,0)))</f>
      </c>
      <c r="C345" s="67">
        <f t="shared" si="0"/>
      </c>
      <c r="D345" s="60">
        <f t="shared" si="1"/>
      </c>
      <c r="E345" s="53">
        <f t="shared" si="2"/>
      </c>
      <c r="F345" s="53">
        <f t="shared" si="3"/>
      </c>
      <c r="G345" s="53">
        <f t="shared" si="4"/>
      </c>
      <c r="H345" s="59">
        <f t="shared" si="5"/>
      </c>
      <c r="I345" s="53">
        <f t="shared" si="6"/>
      </c>
      <c r="J345" s="53">
        <f t="shared" si="7"/>
      </c>
      <c r="K345" s="53">
        <f t="shared" si="8"/>
      </c>
      <c r="L345" s="68">
        <f t="shared" si="9"/>
      </c>
      <c r="M345" s="56">
        <f t="shared" si="10"/>
      </c>
      <c r="N345" s="69">
        <f t="shared" si="11"/>
      </c>
      <c r="O345" s="22">
        <f t="shared" si="12"/>
      </c>
      <c r="P345" s="22">
        <f>IF(往来单位!$C$335="客户",1,0)</f>
        <v>0</v>
      </c>
      <c r="Q345" s="22">
        <f t="shared" si="13"/>
        <v>28</v>
      </c>
    </row>
    <row r="346">
      <c r="A346" s="56">
        <f>IF($B346="","",333)</f>
      </c>
      <c r="B346" s="66">
        <f>IF(333&gt;$Q$613,"",INDEX(往来单位!$B$4:$B$603,MATCH(333,$Q$14:$Q$613,0)))</f>
      </c>
      <c r="C346" s="67">
        <f t="shared" si="0"/>
      </c>
      <c r="D346" s="60">
        <f t="shared" si="1"/>
      </c>
      <c r="E346" s="53">
        <f t="shared" si="2"/>
      </c>
      <c r="F346" s="53">
        <f t="shared" si="3"/>
      </c>
      <c r="G346" s="53">
        <f t="shared" si="4"/>
      </c>
      <c r="H346" s="59">
        <f t="shared" si="5"/>
      </c>
      <c r="I346" s="53">
        <f t="shared" si="6"/>
      </c>
      <c r="J346" s="53">
        <f t="shared" si="7"/>
      </c>
      <c r="K346" s="53">
        <f t="shared" si="8"/>
      </c>
      <c r="L346" s="68">
        <f t="shared" si="9"/>
      </c>
      <c r="M346" s="56">
        <f t="shared" si="10"/>
      </c>
      <c r="N346" s="69">
        <f t="shared" si="11"/>
      </c>
      <c r="O346" s="22">
        <f t="shared" si="12"/>
      </c>
      <c r="P346" s="22">
        <f>IF(往来单位!$C$336="客户",1,0)</f>
        <v>0</v>
      </c>
      <c r="Q346" s="22">
        <f t="shared" si="13"/>
        <v>28</v>
      </c>
    </row>
    <row r="347">
      <c r="A347" s="56">
        <f>IF($B347="","",334)</f>
      </c>
      <c r="B347" s="66">
        <f>IF(334&gt;$Q$613,"",INDEX(往来单位!$B$4:$B$603,MATCH(334,$Q$14:$Q$613,0)))</f>
      </c>
      <c r="C347" s="67">
        <f t="shared" si="0"/>
      </c>
      <c r="D347" s="60">
        <f t="shared" si="1"/>
      </c>
      <c r="E347" s="53">
        <f t="shared" si="2"/>
      </c>
      <c r="F347" s="53">
        <f t="shared" si="3"/>
      </c>
      <c r="G347" s="53">
        <f t="shared" si="4"/>
      </c>
      <c r="H347" s="59">
        <f t="shared" si="5"/>
      </c>
      <c r="I347" s="53">
        <f t="shared" si="6"/>
      </c>
      <c r="J347" s="53">
        <f t="shared" si="7"/>
      </c>
      <c r="K347" s="53">
        <f t="shared" si="8"/>
      </c>
      <c r="L347" s="68">
        <f t="shared" si="9"/>
      </c>
      <c r="M347" s="56">
        <f t="shared" si="10"/>
      </c>
      <c r="N347" s="69">
        <f t="shared" si="11"/>
      </c>
      <c r="O347" s="22">
        <f t="shared" si="12"/>
      </c>
      <c r="P347" s="22">
        <f>IF(往来单位!$C$337="客户",1,0)</f>
        <v>0</v>
      </c>
      <c r="Q347" s="22">
        <f t="shared" si="13"/>
        <v>28</v>
      </c>
    </row>
    <row r="348">
      <c r="A348" s="56">
        <f>IF($B348="","",335)</f>
      </c>
      <c r="B348" s="66">
        <f>IF(335&gt;$Q$613,"",INDEX(往来单位!$B$4:$B$603,MATCH(335,$Q$14:$Q$613,0)))</f>
      </c>
      <c r="C348" s="67">
        <f t="shared" si="0"/>
      </c>
      <c r="D348" s="60">
        <f t="shared" si="1"/>
      </c>
      <c r="E348" s="53">
        <f t="shared" si="2"/>
      </c>
      <c r="F348" s="53">
        <f t="shared" si="3"/>
      </c>
      <c r="G348" s="53">
        <f t="shared" si="4"/>
      </c>
      <c r="H348" s="59">
        <f t="shared" si="5"/>
      </c>
      <c r="I348" s="53">
        <f t="shared" si="6"/>
      </c>
      <c r="J348" s="53">
        <f t="shared" si="7"/>
      </c>
      <c r="K348" s="53">
        <f t="shared" si="8"/>
      </c>
      <c r="L348" s="68">
        <f t="shared" si="9"/>
      </c>
      <c r="M348" s="56">
        <f t="shared" si="10"/>
      </c>
      <c r="N348" s="69">
        <f t="shared" si="11"/>
      </c>
      <c r="O348" s="22">
        <f t="shared" si="12"/>
      </c>
      <c r="P348" s="22">
        <f>IF(往来单位!$C$338="客户",1,0)</f>
        <v>0</v>
      </c>
      <c r="Q348" s="22">
        <f t="shared" si="13"/>
        <v>28</v>
      </c>
    </row>
    <row r="349">
      <c r="A349" s="56">
        <f>IF($B349="","",336)</f>
      </c>
      <c r="B349" s="66">
        <f>IF(336&gt;$Q$613,"",INDEX(往来单位!$B$4:$B$603,MATCH(336,$Q$14:$Q$613,0)))</f>
      </c>
      <c r="C349" s="67">
        <f t="shared" si="0"/>
      </c>
      <c r="D349" s="60">
        <f t="shared" si="1"/>
      </c>
      <c r="E349" s="53">
        <f t="shared" si="2"/>
      </c>
      <c r="F349" s="53">
        <f t="shared" si="3"/>
      </c>
      <c r="G349" s="53">
        <f t="shared" si="4"/>
      </c>
      <c r="H349" s="59">
        <f t="shared" si="5"/>
      </c>
      <c r="I349" s="53">
        <f t="shared" si="6"/>
      </c>
      <c r="J349" s="53">
        <f t="shared" si="7"/>
      </c>
      <c r="K349" s="53">
        <f t="shared" si="8"/>
      </c>
      <c r="L349" s="68">
        <f t="shared" si="9"/>
      </c>
      <c r="M349" s="56">
        <f t="shared" si="10"/>
      </c>
      <c r="N349" s="69">
        <f t="shared" si="11"/>
      </c>
      <c r="O349" s="22">
        <f t="shared" si="12"/>
      </c>
      <c r="P349" s="22">
        <f>IF(往来单位!$C$339="客户",1,0)</f>
        <v>0</v>
      </c>
      <c r="Q349" s="22">
        <f t="shared" si="13"/>
        <v>28</v>
      </c>
    </row>
    <row r="350">
      <c r="A350" s="56">
        <f>IF($B350="","",337)</f>
      </c>
      <c r="B350" s="66">
        <f>IF(337&gt;$Q$613,"",INDEX(往来单位!$B$4:$B$603,MATCH(337,$Q$14:$Q$613,0)))</f>
      </c>
      <c r="C350" s="67">
        <f t="shared" si="0"/>
      </c>
      <c r="D350" s="60">
        <f t="shared" si="1"/>
      </c>
      <c r="E350" s="53">
        <f t="shared" si="2"/>
      </c>
      <c r="F350" s="53">
        <f t="shared" si="3"/>
      </c>
      <c r="G350" s="53">
        <f t="shared" si="4"/>
      </c>
      <c r="H350" s="59">
        <f t="shared" si="5"/>
      </c>
      <c r="I350" s="53">
        <f t="shared" si="6"/>
      </c>
      <c r="J350" s="53">
        <f t="shared" si="7"/>
      </c>
      <c r="K350" s="53">
        <f t="shared" si="8"/>
      </c>
      <c r="L350" s="68">
        <f t="shared" si="9"/>
      </c>
      <c r="M350" s="56">
        <f t="shared" si="10"/>
      </c>
      <c r="N350" s="69">
        <f t="shared" si="11"/>
      </c>
      <c r="O350" s="22">
        <f t="shared" si="12"/>
      </c>
      <c r="P350" s="22">
        <f>IF(往来单位!$C$340="客户",1,0)</f>
        <v>0</v>
      </c>
      <c r="Q350" s="22">
        <f t="shared" si="13"/>
        <v>28</v>
      </c>
    </row>
    <row r="351">
      <c r="A351" s="56">
        <f>IF($B351="","",338)</f>
      </c>
      <c r="B351" s="66">
        <f>IF(338&gt;$Q$613,"",INDEX(往来单位!$B$4:$B$603,MATCH(338,$Q$14:$Q$613,0)))</f>
      </c>
      <c r="C351" s="67">
        <f t="shared" si="0"/>
      </c>
      <c r="D351" s="60">
        <f t="shared" si="1"/>
      </c>
      <c r="E351" s="53">
        <f t="shared" si="2"/>
      </c>
      <c r="F351" s="53">
        <f t="shared" si="3"/>
      </c>
      <c r="G351" s="53">
        <f t="shared" si="4"/>
      </c>
      <c r="H351" s="59">
        <f t="shared" si="5"/>
      </c>
      <c r="I351" s="53">
        <f t="shared" si="6"/>
      </c>
      <c r="J351" s="53">
        <f t="shared" si="7"/>
      </c>
      <c r="K351" s="53">
        <f t="shared" si="8"/>
      </c>
      <c r="L351" s="68">
        <f t="shared" si="9"/>
      </c>
      <c r="M351" s="56">
        <f t="shared" si="10"/>
      </c>
      <c r="N351" s="69">
        <f t="shared" si="11"/>
      </c>
      <c r="O351" s="22">
        <f t="shared" si="12"/>
      </c>
      <c r="P351" s="22">
        <f>IF(往来单位!$C$341="客户",1,0)</f>
        <v>0</v>
      </c>
      <c r="Q351" s="22">
        <f t="shared" si="13"/>
        <v>28</v>
      </c>
    </row>
    <row r="352">
      <c r="A352" s="56">
        <f>IF($B352="","",339)</f>
      </c>
      <c r="B352" s="66">
        <f>IF(339&gt;$Q$613,"",INDEX(往来单位!$B$4:$B$603,MATCH(339,$Q$14:$Q$613,0)))</f>
      </c>
      <c r="C352" s="67">
        <f t="shared" si="0"/>
      </c>
      <c r="D352" s="60">
        <f t="shared" si="1"/>
      </c>
      <c r="E352" s="53">
        <f t="shared" si="2"/>
      </c>
      <c r="F352" s="53">
        <f t="shared" si="3"/>
      </c>
      <c r="G352" s="53">
        <f t="shared" si="4"/>
      </c>
      <c r="H352" s="59">
        <f t="shared" si="5"/>
      </c>
      <c r="I352" s="53">
        <f t="shared" si="6"/>
      </c>
      <c r="J352" s="53">
        <f t="shared" si="7"/>
      </c>
      <c r="K352" s="53">
        <f t="shared" si="8"/>
      </c>
      <c r="L352" s="68">
        <f t="shared" si="9"/>
      </c>
      <c r="M352" s="56">
        <f t="shared" si="10"/>
      </c>
      <c r="N352" s="69">
        <f t="shared" si="11"/>
      </c>
      <c r="O352" s="22">
        <f t="shared" si="12"/>
      </c>
      <c r="P352" s="22">
        <f>IF(往来单位!$C$342="客户",1,0)</f>
        <v>0</v>
      </c>
      <c r="Q352" s="22">
        <f t="shared" si="13"/>
        <v>28</v>
      </c>
    </row>
    <row r="353">
      <c r="A353" s="56">
        <f>IF($B353="","",340)</f>
      </c>
      <c r="B353" s="66">
        <f>IF(340&gt;$Q$613,"",INDEX(往来单位!$B$4:$B$603,MATCH(340,$Q$14:$Q$613,0)))</f>
      </c>
      <c r="C353" s="67">
        <f t="shared" si="0"/>
      </c>
      <c r="D353" s="60">
        <f t="shared" si="1"/>
      </c>
      <c r="E353" s="53">
        <f t="shared" si="2"/>
      </c>
      <c r="F353" s="53">
        <f t="shared" si="3"/>
      </c>
      <c r="G353" s="53">
        <f t="shared" si="4"/>
      </c>
      <c r="H353" s="59">
        <f t="shared" si="5"/>
      </c>
      <c r="I353" s="53">
        <f t="shared" si="6"/>
      </c>
      <c r="J353" s="53">
        <f t="shared" si="7"/>
      </c>
      <c r="K353" s="53">
        <f t="shared" si="8"/>
      </c>
      <c r="L353" s="68">
        <f t="shared" si="9"/>
      </c>
      <c r="M353" s="56">
        <f t="shared" si="10"/>
      </c>
      <c r="N353" s="69">
        <f t="shared" si="11"/>
      </c>
      <c r="O353" s="22">
        <f t="shared" si="12"/>
      </c>
      <c r="P353" s="22">
        <f>IF(往来单位!$C$343="客户",1,0)</f>
        <v>0</v>
      </c>
      <c r="Q353" s="22">
        <f t="shared" si="13"/>
        <v>28</v>
      </c>
    </row>
    <row r="354">
      <c r="A354" s="56">
        <f>IF($B354="","",341)</f>
      </c>
      <c r="B354" s="66">
        <f>IF(341&gt;$Q$613,"",INDEX(往来单位!$B$4:$B$603,MATCH(341,$Q$14:$Q$613,0)))</f>
      </c>
      <c r="C354" s="67">
        <f t="shared" si="0"/>
      </c>
      <c r="D354" s="60">
        <f t="shared" si="1"/>
      </c>
      <c r="E354" s="53">
        <f t="shared" si="2"/>
      </c>
      <c r="F354" s="53">
        <f t="shared" si="3"/>
      </c>
      <c r="G354" s="53">
        <f t="shared" si="4"/>
      </c>
      <c r="H354" s="59">
        <f t="shared" si="5"/>
      </c>
      <c r="I354" s="53">
        <f t="shared" si="6"/>
      </c>
      <c r="J354" s="53">
        <f t="shared" si="7"/>
      </c>
      <c r="K354" s="53">
        <f t="shared" si="8"/>
      </c>
      <c r="L354" s="68">
        <f t="shared" si="9"/>
      </c>
      <c r="M354" s="56">
        <f t="shared" si="10"/>
      </c>
      <c r="N354" s="69">
        <f t="shared" si="11"/>
      </c>
      <c r="O354" s="22">
        <f t="shared" si="12"/>
      </c>
      <c r="P354" s="22">
        <f>IF(往来单位!$C$344="客户",1,0)</f>
        <v>0</v>
      </c>
      <c r="Q354" s="22">
        <f t="shared" si="13"/>
        <v>28</v>
      </c>
    </row>
    <row r="355">
      <c r="A355" s="56">
        <f>IF($B355="","",342)</f>
      </c>
      <c r="B355" s="66">
        <f>IF(342&gt;$Q$613,"",INDEX(往来单位!$B$4:$B$603,MATCH(342,$Q$14:$Q$613,0)))</f>
      </c>
      <c r="C355" s="67">
        <f t="shared" si="0"/>
      </c>
      <c r="D355" s="60">
        <f t="shared" si="1"/>
      </c>
      <c r="E355" s="53">
        <f t="shared" si="2"/>
      </c>
      <c r="F355" s="53">
        <f t="shared" si="3"/>
      </c>
      <c r="G355" s="53">
        <f t="shared" si="4"/>
      </c>
      <c r="H355" s="59">
        <f t="shared" si="5"/>
      </c>
      <c r="I355" s="53">
        <f t="shared" si="6"/>
      </c>
      <c r="J355" s="53">
        <f t="shared" si="7"/>
      </c>
      <c r="K355" s="53">
        <f t="shared" si="8"/>
      </c>
      <c r="L355" s="68">
        <f t="shared" si="9"/>
      </c>
      <c r="M355" s="56">
        <f t="shared" si="10"/>
      </c>
      <c r="N355" s="69">
        <f t="shared" si="11"/>
      </c>
      <c r="O355" s="22">
        <f t="shared" si="12"/>
      </c>
      <c r="P355" s="22">
        <f>IF(往来单位!$C$345="客户",1,0)</f>
        <v>0</v>
      </c>
      <c r="Q355" s="22">
        <f t="shared" si="13"/>
        <v>28</v>
      </c>
    </row>
    <row r="356">
      <c r="A356" s="56">
        <f>IF($B356="","",343)</f>
      </c>
      <c r="B356" s="66">
        <f>IF(343&gt;$Q$613,"",INDEX(往来单位!$B$4:$B$603,MATCH(343,$Q$14:$Q$613,0)))</f>
      </c>
      <c r="C356" s="67">
        <f t="shared" si="0"/>
      </c>
      <c r="D356" s="60">
        <f t="shared" si="1"/>
      </c>
      <c r="E356" s="53">
        <f t="shared" si="2"/>
      </c>
      <c r="F356" s="53">
        <f t="shared" si="3"/>
      </c>
      <c r="G356" s="53">
        <f t="shared" si="4"/>
      </c>
      <c r="H356" s="59">
        <f t="shared" si="5"/>
      </c>
      <c r="I356" s="53">
        <f t="shared" si="6"/>
      </c>
      <c r="J356" s="53">
        <f t="shared" si="7"/>
      </c>
      <c r="K356" s="53">
        <f t="shared" si="8"/>
      </c>
      <c r="L356" s="68">
        <f t="shared" si="9"/>
      </c>
      <c r="M356" s="56">
        <f t="shared" si="10"/>
      </c>
      <c r="N356" s="69">
        <f t="shared" si="11"/>
      </c>
      <c r="O356" s="22">
        <f t="shared" si="12"/>
      </c>
      <c r="P356" s="22">
        <f>IF(往来单位!$C$346="客户",1,0)</f>
        <v>0</v>
      </c>
      <c r="Q356" s="22">
        <f t="shared" si="13"/>
        <v>28</v>
      </c>
    </row>
    <row r="357">
      <c r="A357" s="56">
        <f>IF($B357="","",344)</f>
      </c>
      <c r="B357" s="66">
        <f>IF(344&gt;$Q$613,"",INDEX(往来单位!$B$4:$B$603,MATCH(344,$Q$14:$Q$613,0)))</f>
      </c>
      <c r="C357" s="67">
        <f t="shared" si="0"/>
      </c>
      <c r="D357" s="60">
        <f t="shared" si="1"/>
      </c>
      <c r="E357" s="53">
        <f t="shared" si="2"/>
      </c>
      <c r="F357" s="53">
        <f t="shared" si="3"/>
      </c>
      <c r="G357" s="53">
        <f t="shared" si="4"/>
      </c>
      <c r="H357" s="59">
        <f t="shared" si="5"/>
      </c>
      <c r="I357" s="53">
        <f t="shared" si="6"/>
      </c>
      <c r="J357" s="53">
        <f t="shared" si="7"/>
      </c>
      <c r="K357" s="53">
        <f t="shared" si="8"/>
      </c>
      <c r="L357" s="68">
        <f t="shared" si="9"/>
      </c>
      <c r="M357" s="56">
        <f t="shared" si="10"/>
      </c>
      <c r="N357" s="69">
        <f t="shared" si="11"/>
      </c>
      <c r="O357" s="22">
        <f t="shared" si="12"/>
      </c>
      <c r="P357" s="22">
        <f>IF(往来单位!$C$347="客户",1,0)</f>
        <v>0</v>
      </c>
      <c r="Q357" s="22">
        <f t="shared" si="13"/>
        <v>28</v>
      </c>
    </row>
    <row r="358">
      <c r="A358" s="56">
        <f>IF($B358="","",345)</f>
      </c>
      <c r="B358" s="66">
        <f>IF(345&gt;$Q$613,"",INDEX(往来单位!$B$4:$B$603,MATCH(345,$Q$14:$Q$613,0)))</f>
      </c>
      <c r="C358" s="67">
        <f t="shared" si="0"/>
      </c>
      <c r="D358" s="60">
        <f t="shared" si="1"/>
      </c>
      <c r="E358" s="53">
        <f t="shared" si="2"/>
      </c>
      <c r="F358" s="53">
        <f t="shared" si="3"/>
      </c>
      <c r="G358" s="53">
        <f t="shared" si="4"/>
      </c>
      <c r="H358" s="59">
        <f t="shared" si="5"/>
      </c>
      <c r="I358" s="53">
        <f t="shared" si="6"/>
      </c>
      <c r="J358" s="53">
        <f t="shared" si="7"/>
      </c>
      <c r="K358" s="53">
        <f t="shared" si="8"/>
      </c>
      <c r="L358" s="68">
        <f t="shared" si="9"/>
      </c>
      <c r="M358" s="56">
        <f t="shared" si="10"/>
      </c>
      <c r="N358" s="69">
        <f t="shared" si="11"/>
      </c>
      <c r="O358" s="22">
        <f t="shared" si="12"/>
      </c>
      <c r="P358" s="22">
        <f>IF(往来单位!$C$348="客户",1,0)</f>
        <v>0</v>
      </c>
      <c r="Q358" s="22">
        <f t="shared" si="13"/>
        <v>28</v>
      </c>
    </row>
    <row r="359">
      <c r="A359" s="56">
        <f>IF($B359="","",346)</f>
      </c>
      <c r="B359" s="66">
        <f>IF(346&gt;$Q$613,"",INDEX(往来单位!$B$4:$B$603,MATCH(346,$Q$14:$Q$613,0)))</f>
      </c>
      <c r="C359" s="67">
        <f t="shared" si="0"/>
      </c>
      <c r="D359" s="60">
        <f t="shared" si="1"/>
      </c>
      <c r="E359" s="53">
        <f t="shared" si="2"/>
      </c>
      <c r="F359" s="53">
        <f t="shared" si="3"/>
      </c>
      <c r="G359" s="53">
        <f t="shared" si="4"/>
      </c>
      <c r="H359" s="59">
        <f t="shared" si="5"/>
      </c>
      <c r="I359" s="53">
        <f t="shared" si="6"/>
      </c>
      <c r="J359" s="53">
        <f t="shared" si="7"/>
      </c>
      <c r="K359" s="53">
        <f t="shared" si="8"/>
      </c>
      <c r="L359" s="68">
        <f t="shared" si="9"/>
      </c>
      <c r="M359" s="56">
        <f t="shared" si="10"/>
      </c>
      <c r="N359" s="69">
        <f t="shared" si="11"/>
      </c>
      <c r="O359" s="22">
        <f t="shared" si="12"/>
      </c>
      <c r="P359" s="22">
        <f>IF(往来单位!$C$349="客户",1,0)</f>
        <v>0</v>
      </c>
      <c r="Q359" s="22">
        <f t="shared" si="13"/>
        <v>28</v>
      </c>
    </row>
    <row r="360">
      <c r="A360" s="56">
        <f>IF($B360="","",347)</f>
      </c>
      <c r="B360" s="66">
        <f>IF(347&gt;$Q$613,"",INDEX(往来单位!$B$4:$B$603,MATCH(347,$Q$14:$Q$613,0)))</f>
      </c>
      <c r="C360" s="67">
        <f t="shared" si="0"/>
      </c>
      <c r="D360" s="60">
        <f t="shared" si="1"/>
      </c>
      <c r="E360" s="53">
        <f t="shared" si="2"/>
      </c>
      <c r="F360" s="53">
        <f t="shared" si="3"/>
      </c>
      <c r="G360" s="53">
        <f t="shared" si="4"/>
      </c>
      <c r="H360" s="59">
        <f t="shared" si="5"/>
      </c>
      <c r="I360" s="53">
        <f t="shared" si="6"/>
      </c>
      <c r="J360" s="53">
        <f t="shared" si="7"/>
      </c>
      <c r="K360" s="53">
        <f t="shared" si="8"/>
      </c>
      <c r="L360" s="68">
        <f t="shared" si="9"/>
      </c>
      <c r="M360" s="56">
        <f t="shared" si="10"/>
      </c>
      <c r="N360" s="69">
        <f t="shared" si="11"/>
      </c>
      <c r="O360" s="22">
        <f t="shared" si="12"/>
      </c>
      <c r="P360" s="22">
        <f>IF(往来单位!$C$350="客户",1,0)</f>
        <v>0</v>
      </c>
      <c r="Q360" s="22">
        <f t="shared" si="13"/>
        <v>28</v>
      </c>
    </row>
    <row r="361">
      <c r="A361" s="56">
        <f>IF($B361="","",348)</f>
      </c>
      <c r="B361" s="66">
        <f>IF(348&gt;$Q$613,"",INDEX(往来单位!$B$4:$B$603,MATCH(348,$Q$14:$Q$613,0)))</f>
      </c>
      <c r="C361" s="67">
        <f t="shared" si="0"/>
      </c>
      <c r="D361" s="60">
        <f t="shared" si="1"/>
      </c>
      <c r="E361" s="53">
        <f t="shared" si="2"/>
      </c>
      <c r="F361" s="53">
        <f t="shared" si="3"/>
      </c>
      <c r="G361" s="53">
        <f t="shared" si="4"/>
      </c>
      <c r="H361" s="59">
        <f t="shared" si="5"/>
      </c>
      <c r="I361" s="53">
        <f t="shared" si="6"/>
      </c>
      <c r="J361" s="53">
        <f t="shared" si="7"/>
      </c>
      <c r="K361" s="53">
        <f t="shared" si="8"/>
      </c>
      <c r="L361" s="68">
        <f t="shared" si="9"/>
      </c>
      <c r="M361" s="56">
        <f t="shared" si="10"/>
      </c>
      <c r="N361" s="69">
        <f t="shared" si="11"/>
      </c>
      <c r="O361" s="22">
        <f t="shared" si="12"/>
      </c>
      <c r="P361" s="22">
        <f>IF(往来单位!$C$351="客户",1,0)</f>
        <v>0</v>
      </c>
      <c r="Q361" s="22">
        <f t="shared" si="13"/>
        <v>28</v>
      </c>
    </row>
    <row r="362">
      <c r="A362" s="56">
        <f>IF($B362="","",349)</f>
      </c>
      <c r="B362" s="66">
        <f>IF(349&gt;$Q$613,"",INDEX(往来单位!$B$4:$B$603,MATCH(349,$Q$14:$Q$613,0)))</f>
      </c>
      <c r="C362" s="67">
        <f t="shared" si="0"/>
      </c>
      <c r="D362" s="60">
        <f t="shared" si="1"/>
      </c>
      <c r="E362" s="53">
        <f t="shared" si="2"/>
      </c>
      <c r="F362" s="53">
        <f t="shared" si="3"/>
      </c>
      <c r="G362" s="53">
        <f t="shared" si="4"/>
      </c>
      <c r="H362" s="59">
        <f t="shared" si="5"/>
      </c>
      <c r="I362" s="53">
        <f t="shared" si="6"/>
      </c>
      <c r="J362" s="53">
        <f t="shared" si="7"/>
      </c>
      <c r="K362" s="53">
        <f t="shared" si="8"/>
      </c>
      <c r="L362" s="68">
        <f t="shared" si="9"/>
      </c>
      <c r="M362" s="56">
        <f t="shared" si="10"/>
      </c>
      <c r="N362" s="69">
        <f t="shared" si="11"/>
      </c>
      <c r="O362" s="22">
        <f t="shared" si="12"/>
      </c>
      <c r="P362" s="22">
        <f>IF(往来单位!$C$352="客户",1,0)</f>
        <v>0</v>
      </c>
      <c r="Q362" s="22">
        <f t="shared" si="13"/>
        <v>28</v>
      </c>
    </row>
    <row r="363">
      <c r="A363" s="56">
        <f>IF($B363="","",350)</f>
      </c>
      <c r="B363" s="66">
        <f>IF(350&gt;$Q$613,"",INDEX(往来单位!$B$4:$B$603,MATCH(350,$Q$14:$Q$613,0)))</f>
      </c>
      <c r="C363" s="67">
        <f t="shared" si="0"/>
      </c>
      <c r="D363" s="60">
        <f t="shared" si="1"/>
      </c>
      <c r="E363" s="53">
        <f t="shared" si="2"/>
      </c>
      <c r="F363" s="53">
        <f t="shared" si="3"/>
      </c>
      <c r="G363" s="53">
        <f t="shared" si="4"/>
      </c>
      <c r="H363" s="59">
        <f t="shared" si="5"/>
      </c>
      <c r="I363" s="53">
        <f t="shared" si="6"/>
      </c>
      <c r="J363" s="53">
        <f t="shared" si="7"/>
      </c>
      <c r="K363" s="53">
        <f t="shared" si="8"/>
      </c>
      <c r="L363" s="68">
        <f t="shared" si="9"/>
      </c>
      <c r="M363" s="56">
        <f t="shared" si="10"/>
      </c>
      <c r="N363" s="69">
        <f t="shared" si="11"/>
      </c>
      <c r="O363" s="22">
        <f t="shared" si="12"/>
      </c>
      <c r="P363" s="22">
        <f>IF(往来单位!$C$353="客户",1,0)</f>
        <v>0</v>
      </c>
      <c r="Q363" s="22">
        <f t="shared" si="13"/>
        <v>28</v>
      </c>
    </row>
    <row r="364">
      <c r="A364" s="56">
        <f>IF($B364="","",351)</f>
      </c>
      <c r="B364" s="66">
        <f>IF(351&gt;$Q$613,"",INDEX(往来单位!$B$4:$B$603,MATCH(351,$Q$14:$Q$613,0)))</f>
      </c>
      <c r="C364" s="67">
        <f t="shared" si="0"/>
      </c>
      <c r="D364" s="60">
        <f t="shared" si="1"/>
      </c>
      <c r="E364" s="53">
        <f t="shared" si="2"/>
      </c>
      <c r="F364" s="53">
        <f t="shared" si="3"/>
      </c>
      <c r="G364" s="53">
        <f t="shared" si="4"/>
      </c>
      <c r="H364" s="59">
        <f t="shared" si="5"/>
      </c>
      <c r="I364" s="53">
        <f t="shared" si="6"/>
      </c>
      <c r="J364" s="53">
        <f t="shared" si="7"/>
      </c>
      <c r="K364" s="53">
        <f t="shared" si="8"/>
      </c>
      <c r="L364" s="68">
        <f t="shared" si="9"/>
      </c>
      <c r="M364" s="56">
        <f t="shared" si="10"/>
      </c>
      <c r="N364" s="69">
        <f t="shared" si="11"/>
      </c>
      <c r="O364" s="22">
        <f t="shared" si="12"/>
      </c>
      <c r="P364" s="22">
        <f>IF(往来单位!$C$354="客户",1,0)</f>
        <v>0</v>
      </c>
      <c r="Q364" s="22">
        <f t="shared" si="13"/>
        <v>28</v>
      </c>
    </row>
    <row r="365">
      <c r="A365" s="56">
        <f>IF($B365="","",352)</f>
      </c>
      <c r="B365" s="66">
        <f>IF(352&gt;$Q$613,"",INDEX(往来单位!$B$4:$B$603,MATCH(352,$Q$14:$Q$613,0)))</f>
      </c>
      <c r="C365" s="67">
        <f t="shared" si="0"/>
      </c>
      <c r="D365" s="60">
        <f t="shared" si="1"/>
      </c>
      <c r="E365" s="53">
        <f t="shared" si="2"/>
      </c>
      <c r="F365" s="53">
        <f t="shared" si="3"/>
      </c>
      <c r="G365" s="53">
        <f t="shared" si="4"/>
      </c>
      <c r="H365" s="59">
        <f t="shared" si="5"/>
      </c>
      <c r="I365" s="53">
        <f t="shared" si="6"/>
      </c>
      <c r="J365" s="53">
        <f t="shared" si="7"/>
      </c>
      <c r="K365" s="53">
        <f t="shared" si="8"/>
      </c>
      <c r="L365" s="68">
        <f t="shared" si="9"/>
      </c>
      <c r="M365" s="56">
        <f t="shared" si="10"/>
      </c>
      <c r="N365" s="69">
        <f t="shared" si="11"/>
      </c>
      <c r="O365" s="22">
        <f t="shared" si="12"/>
      </c>
      <c r="P365" s="22">
        <f>IF(往来单位!$C$355="客户",1,0)</f>
        <v>0</v>
      </c>
      <c r="Q365" s="22">
        <f t="shared" si="13"/>
        <v>28</v>
      </c>
    </row>
    <row r="366">
      <c r="A366" s="56">
        <f>IF($B366="","",353)</f>
      </c>
      <c r="B366" s="66">
        <f>IF(353&gt;$Q$613,"",INDEX(往来单位!$B$4:$B$603,MATCH(353,$Q$14:$Q$613,0)))</f>
      </c>
      <c r="C366" s="67">
        <f t="shared" si="0"/>
      </c>
      <c r="D366" s="60">
        <f t="shared" si="1"/>
      </c>
      <c r="E366" s="53">
        <f t="shared" si="2"/>
      </c>
      <c r="F366" s="53">
        <f t="shared" si="3"/>
      </c>
      <c r="G366" s="53">
        <f t="shared" si="4"/>
      </c>
      <c r="H366" s="59">
        <f t="shared" si="5"/>
      </c>
      <c r="I366" s="53">
        <f t="shared" si="6"/>
      </c>
      <c r="J366" s="53">
        <f t="shared" si="7"/>
      </c>
      <c r="K366" s="53">
        <f t="shared" si="8"/>
      </c>
      <c r="L366" s="68">
        <f t="shared" si="9"/>
      </c>
      <c r="M366" s="56">
        <f t="shared" si="10"/>
      </c>
      <c r="N366" s="69">
        <f t="shared" si="11"/>
      </c>
      <c r="O366" s="22">
        <f t="shared" si="12"/>
      </c>
      <c r="P366" s="22">
        <f>IF(往来单位!$C$356="客户",1,0)</f>
        <v>0</v>
      </c>
      <c r="Q366" s="22">
        <f t="shared" si="13"/>
        <v>28</v>
      </c>
    </row>
    <row r="367">
      <c r="A367" s="56">
        <f>IF($B367="","",354)</f>
      </c>
      <c r="B367" s="66">
        <f>IF(354&gt;$Q$613,"",INDEX(往来单位!$B$4:$B$603,MATCH(354,$Q$14:$Q$613,0)))</f>
      </c>
      <c r="C367" s="67">
        <f t="shared" si="0"/>
      </c>
      <c r="D367" s="60">
        <f t="shared" si="1"/>
      </c>
      <c r="E367" s="53">
        <f t="shared" si="2"/>
      </c>
      <c r="F367" s="53">
        <f t="shared" si="3"/>
      </c>
      <c r="G367" s="53">
        <f t="shared" si="4"/>
      </c>
      <c r="H367" s="59">
        <f t="shared" si="5"/>
      </c>
      <c r="I367" s="53">
        <f t="shared" si="6"/>
      </c>
      <c r="J367" s="53">
        <f t="shared" si="7"/>
      </c>
      <c r="K367" s="53">
        <f t="shared" si="8"/>
      </c>
      <c r="L367" s="68">
        <f t="shared" si="9"/>
      </c>
      <c r="M367" s="56">
        <f t="shared" si="10"/>
      </c>
      <c r="N367" s="69">
        <f t="shared" si="11"/>
      </c>
      <c r="O367" s="22">
        <f t="shared" si="12"/>
      </c>
      <c r="P367" s="22">
        <f>IF(往来单位!$C$357="客户",1,0)</f>
        <v>0</v>
      </c>
      <c r="Q367" s="22">
        <f t="shared" si="13"/>
        <v>28</v>
      </c>
    </row>
    <row r="368">
      <c r="A368" s="56">
        <f>IF($B368="","",355)</f>
      </c>
      <c r="B368" s="66">
        <f>IF(355&gt;$Q$613,"",INDEX(往来单位!$B$4:$B$603,MATCH(355,$Q$14:$Q$613,0)))</f>
      </c>
      <c r="C368" s="67">
        <f t="shared" si="0"/>
      </c>
      <c r="D368" s="60">
        <f t="shared" si="1"/>
      </c>
      <c r="E368" s="53">
        <f t="shared" si="2"/>
      </c>
      <c r="F368" s="53">
        <f t="shared" si="3"/>
      </c>
      <c r="G368" s="53">
        <f t="shared" si="4"/>
      </c>
      <c r="H368" s="59">
        <f t="shared" si="5"/>
      </c>
      <c r="I368" s="53">
        <f t="shared" si="6"/>
      </c>
      <c r="J368" s="53">
        <f t="shared" si="7"/>
      </c>
      <c r="K368" s="53">
        <f t="shared" si="8"/>
      </c>
      <c r="L368" s="68">
        <f t="shared" si="9"/>
      </c>
      <c r="M368" s="56">
        <f t="shared" si="10"/>
      </c>
      <c r="N368" s="69">
        <f t="shared" si="11"/>
      </c>
      <c r="O368" s="22">
        <f t="shared" si="12"/>
      </c>
      <c r="P368" s="22">
        <f>IF(往来单位!$C$358="客户",1,0)</f>
        <v>0</v>
      </c>
      <c r="Q368" s="22">
        <f t="shared" si="13"/>
        <v>28</v>
      </c>
    </row>
    <row r="369">
      <c r="A369" s="56">
        <f>IF($B369="","",356)</f>
      </c>
      <c r="B369" s="66">
        <f>IF(356&gt;$Q$613,"",INDEX(往来单位!$B$4:$B$603,MATCH(356,$Q$14:$Q$613,0)))</f>
      </c>
      <c r="C369" s="67">
        <f t="shared" si="0"/>
      </c>
      <c r="D369" s="60">
        <f t="shared" si="1"/>
      </c>
      <c r="E369" s="53">
        <f t="shared" si="2"/>
      </c>
      <c r="F369" s="53">
        <f t="shared" si="3"/>
      </c>
      <c r="G369" s="53">
        <f t="shared" si="4"/>
      </c>
      <c r="H369" s="59">
        <f t="shared" si="5"/>
      </c>
      <c r="I369" s="53">
        <f t="shared" si="6"/>
      </c>
      <c r="J369" s="53">
        <f t="shared" si="7"/>
      </c>
      <c r="K369" s="53">
        <f t="shared" si="8"/>
      </c>
      <c r="L369" s="68">
        <f t="shared" si="9"/>
      </c>
      <c r="M369" s="56">
        <f t="shared" si="10"/>
      </c>
      <c r="N369" s="69">
        <f t="shared" si="11"/>
      </c>
      <c r="O369" s="22">
        <f t="shared" si="12"/>
      </c>
      <c r="P369" s="22">
        <f>IF(往来单位!$C$359="客户",1,0)</f>
        <v>0</v>
      </c>
      <c r="Q369" s="22">
        <f t="shared" si="13"/>
        <v>28</v>
      </c>
    </row>
    <row r="370">
      <c r="A370" s="56">
        <f>IF($B370="","",357)</f>
      </c>
      <c r="B370" s="66">
        <f>IF(357&gt;$Q$613,"",INDEX(往来单位!$B$4:$B$603,MATCH(357,$Q$14:$Q$613,0)))</f>
      </c>
      <c r="C370" s="67">
        <f t="shared" si="0"/>
      </c>
      <c r="D370" s="60">
        <f t="shared" si="1"/>
      </c>
      <c r="E370" s="53">
        <f t="shared" si="2"/>
      </c>
      <c r="F370" s="53">
        <f t="shared" si="3"/>
      </c>
      <c r="G370" s="53">
        <f t="shared" si="4"/>
      </c>
      <c r="H370" s="59">
        <f t="shared" si="5"/>
      </c>
      <c r="I370" s="53">
        <f t="shared" si="6"/>
      </c>
      <c r="J370" s="53">
        <f t="shared" si="7"/>
      </c>
      <c r="K370" s="53">
        <f t="shared" si="8"/>
      </c>
      <c r="L370" s="68">
        <f t="shared" si="9"/>
      </c>
      <c r="M370" s="56">
        <f t="shared" si="10"/>
      </c>
      <c r="N370" s="69">
        <f t="shared" si="11"/>
      </c>
      <c r="O370" s="22">
        <f t="shared" si="12"/>
      </c>
      <c r="P370" s="22">
        <f>IF(往来单位!$C$360="客户",1,0)</f>
        <v>0</v>
      </c>
      <c r="Q370" s="22">
        <f t="shared" si="13"/>
        <v>28</v>
      </c>
    </row>
    <row r="371">
      <c r="A371" s="56">
        <f>IF($B371="","",358)</f>
      </c>
      <c r="B371" s="66">
        <f>IF(358&gt;$Q$613,"",INDEX(往来单位!$B$4:$B$603,MATCH(358,$Q$14:$Q$613,0)))</f>
      </c>
      <c r="C371" s="67">
        <f t="shared" si="0"/>
      </c>
      <c r="D371" s="60">
        <f t="shared" si="1"/>
      </c>
      <c r="E371" s="53">
        <f t="shared" si="2"/>
      </c>
      <c r="F371" s="53">
        <f t="shared" si="3"/>
      </c>
      <c r="G371" s="53">
        <f t="shared" si="4"/>
      </c>
      <c r="H371" s="59">
        <f t="shared" si="5"/>
      </c>
      <c r="I371" s="53">
        <f t="shared" si="6"/>
      </c>
      <c r="J371" s="53">
        <f t="shared" si="7"/>
      </c>
      <c r="K371" s="53">
        <f t="shared" si="8"/>
      </c>
      <c r="L371" s="68">
        <f t="shared" si="9"/>
      </c>
      <c r="M371" s="56">
        <f t="shared" si="10"/>
      </c>
      <c r="N371" s="69">
        <f t="shared" si="11"/>
      </c>
      <c r="O371" s="22">
        <f t="shared" si="12"/>
      </c>
      <c r="P371" s="22">
        <f>IF(往来单位!$C$361="客户",1,0)</f>
        <v>0</v>
      </c>
      <c r="Q371" s="22">
        <f t="shared" si="13"/>
        <v>28</v>
      </c>
    </row>
    <row r="372">
      <c r="A372" s="56">
        <f>IF($B372="","",359)</f>
      </c>
      <c r="B372" s="66">
        <f>IF(359&gt;$Q$613,"",INDEX(往来单位!$B$4:$B$603,MATCH(359,$Q$14:$Q$613,0)))</f>
      </c>
      <c r="C372" s="67">
        <f t="shared" si="0"/>
      </c>
      <c r="D372" s="60">
        <f t="shared" si="1"/>
      </c>
      <c r="E372" s="53">
        <f t="shared" si="2"/>
      </c>
      <c r="F372" s="53">
        <f t="shared" si="3"/>
      </c>
      <c r="G372" s="53">
        <f t="shared" si="4"/>
      </c>
      <c r="H372" s="59">
        <f t="shared" si="5"/>
      </c>
      <c r="I372" s="53">
        <f t="shared" si="6"/>
      </c>
      <c r="J372" s="53">
        <f t="shared" si="7"/>
      </c>
      <c r="K372" s="53">
        <f t="shared" si="8"/>
      </c>
      <c r="L372" s="68">
        <f t="shared" si="9"/>
      </c>
      <c r="M372" s="56">
        <f t="shared" si="10"/>
      </c>
      <c r="N372" s="69">
        <f t="shared" si="11"/>
      </c>
      <c r="O372" s="22">
        <f t="shared" si="12"/>
      </c>
      <c r="P372" s="22">
        <f>IF(往来单位!$C$362="客户",1,0)</f>
        <v>0</v>
      </c>
      <c r="Q372" s="22">
        <f t="shared" si="13"/>
        <v>28</v>
      </c>
    </row>
    <row r="373">
      <c r="A373" s="56">
        <f>IF($B373="","",360)</f>
      </c>
      <c r="B373" s="66">
        <f>IF(360&gt;$Q$613,"",INDEX(往来单位!$B$4:$B$603,MATCH(360,$Q$14:$Q$613,0)))</f>
      </c>
      <c r="C373" s="67">
        <f t="shared" si="0"/>
      </c>
      <c r="D373" s="60">
        <f t="shared" si="1"/>
      </c>
      <c r="E373" s="53">
        <f t="shared" si="2"/>
      </c>
      <c r="F373" s="53">
        <f t="shared" si="3"/>
      </c>
      <c r="G373" s="53">
        <f t="shared" si="4"/>
      </c>
      <c r="H373" s="59">
        <f t="shared" si="5"/>
      </c>
      <c r="I373" s="53">
        <f t="shared" si="6"/>
      </c>
      <c r="J373" s="53">
        <f t="shared" si="7"/>
      </c>
      <c r="K373" s="53">
        <f t="shared" si="8"/>
      </c>
      <c r="L373" s="68">
        <f t="shared" si="9"/>
      </c>
      <c r="M373" s="56">
        <f t="shared" si="10"/>
      </c>
      <c r="N373" s="69">
        <f t="shared" si="11"/>
      </c>
      <c r="O373" s="22">
        <f t="shared" si="12"/>
      </c>
      <c r="P373" s="22">
        <f>IF(往来单位!$C$363="客户",1,0)</f>
        <v>0</v>
      </c>
      <c r="Q373" s="22">
        <f t="shared" si="13"/>
        <v>28</v>
      </c>
    </row>
    <row r="374">
      <c r="A374" s="56">
        <f>IF($B374="","",361)</f>
      </c>
      <c r="B374" s="66">
        <f>IF(361&gt;$Q$613,"",INDEX(往来单位!$B$4:$B$603,MATCH(361,$Q$14:$Q$613,0)))</f>
      </c>
      <c r="C374" s="67">
        <f t="shared" si="0"/>
      </c>
      <c r="D374" s="60">
        <f t="shared" si="1"/>
      </c>
      <c r="E374" s="53">
        <f t="shared" si="2"/>
      </c>
      <c r="F374" s="53">
        <f t="shared" si="3"/>
      </c>
      <c r="G374" s="53">
        <f t="shared" si="4"/>
      </c>
      <c r="H374" s="59">
        <f t="shared" si="5"/>
      </c>
      <c r="I374" s="53">
        <f t="shared" si="6"/>
      </c>
      <c r="J374" s="53">
        <f t="shared" si="7"/>
      </c>
      <c r="K374" s="53">
        <f t="shared" si="8"/>
      </c>
      <c r="L374" s="68">
        <f t="shared" si="9"/>
      </c>
      <c r="M374" s="56">
        <f t="shared" si="10"/>
      </c>
      <c r="N374" s="69">
        <f t="shared" si="11"/>
      </c>
      <c r="O374" s="22">
        <f t="shared" si="12"/>
      </c>
      <c r="P374" s="22">
        <f>IF(往来单位!$C$364="客户",1,0)</f>
        <v>0</v>
      </c>
      <c r="Q374" s="22">
        <f t="shared" si="13"/>
        <v>28</v>
      </c>
    </row>
    <row r="375">
      <c r="A375" s="56">
        <f>IF($B375="","",362)</f>
      </c>
      <c r="B375" s="66">
        <f>IF(362&gt;$Q$613,"",INDEX(往来单位!$B$4:$B$603,MATCH(362,$Q$14:$Q$613,0)))</f>
      </c>
      <c r="C375" s="67">
        <f t="shared" si="0"/>
      </c>
      <c r="D375" s="60">
        <f t="shared" si="1"/>
      </c>
      <c r="E375" s="53">
        <f t="shared" si="2"/>
      </c>
      <c r="F375" s="53">
        <f t="shared" si="3"/>
      </c>
      <c r="G375" s="53">
        <f t="shared" si="4"/>
      </c>
      <c r="H375" s="59">
        <f t="shared" si="5"/>
      </c>
      <c r="I375" s="53">
        <f t="shared" si="6"/>
      </c>
      <c r="J375" s="53">
        <f t="shared" si="7"/>
      </c>
      <c r="K375" s="53">
        <f t="shared" si="8"/>
      </c>
      <c r="L375" s="68">
        <f t="shared" si="9"/>
      </c>
      <c r="M375" s="56">
        <f t="shared" si="10"/>
      </c>
      <c r="N375" s="69">
        <f t="shared" si="11"/>
      </c>
      <c r="O375" s="22">
        <f t="shared" si="12"/>
      </c>
      <c r="P375" s="22">
        <f>IF(往来单位!$C$365="客户",1,0)</f>
        <v>0</v>
      </c>
      <c r="Q375" s="22">
        <f t="shared" si="13"/>
        <v>28</v>
      </c>
    </row>
    <row r="376">
      <c r="A376" s="56">
        <f>IF($B376="","",363)</f>
      </c>
      <c r="B376" s="66">
        <f>IF(363&gt;$Q$613,"",INDEX(往来单位!$B$4:$B$603,MATCH(363,$Q$14:$Q$613,0)))</f>
      </c>
      <c r="C376" s="67">
        <f t="shared" si="0"/>
      </c>
      <c r="D376" s="60">
        <f t="shared" si="1"/>
      </c>
      <c r="E376" s="53">
        <f t="shared" si="2"/>
      </c>
      <c r="F376" s="53">
        <f t="shared" si="3"/>
      </c>
      <c r="G376" s="53">
        <f t="shared" si="4"/>
      </c>
      <c r="H376" s="59">
        <f t="shared" si="5"/>
      </c>
      <c r="I376" s="53">
        <f t="shared" si="6"/>
      </c>
      <c r="J376" s="53">
        <f t="shared" si="7"/>
      </c>
      <c r="K376" s="53">
        <f t="shared" si="8"/>
      </c>
      <c r="L376" s="68">
        <f t="shared" si="9"/>
      </c>
      <c r="M376" s="56">
        <f t="shared" si="10"/>
      </c>
      <c r="N376" s="69">
        <f t="shared" si="11"/>
      </c>
      <c r="O376" s="22">
        <f t="shared" si="12"/>
      </c>
      <c r="P376" s="22">
        <f>IF(往来单位!$C$366="客户",1,0)</f>
        <v>0</v>
      </c>
      <c r="Q376" s="22">
        <f t="shared" si="13"/>
        <v>28</v>
      </c>
    </row>
    <row r="377">
      <c r="A377" s="56">
        <f>IF($B377="","",364)</f>
      </c>
      <c r="B377" s="66">
        <f>IF(364&gt;$Q$613,"",INDEX(往来单位!$B$4:$B$603,MATCH(364,$Q$14:$Q$613,0)))</f>
      </c>
      <c r="C377" s="67">
        <f t="shared" si="0"/>
      </c>
      <c r="D377" s="60">
        <f t="shared" si="1"/>
      </c>
      <c r="E377" s="53">
        <f t="shared" si="2"/>
      </c>
      <c r="F377" s="53">
        <f t="shared" si="3"/>
      </c>
      <c r="G377" s="53">
        <f t="shared" si="4"/>
      </c>
      <c r="H377" s="59">
        <f t="shared" si="5"/>
      </c>
      <c r="I377" s="53">
        <f t="shared" si="6"/>
      </c>
      <c r="J377" s="53">
        <f t="shared" si="7"/>
      </c>
      <c r="K377" s="53">
        <f t="shared" si="8"/>
      </c>
      <c r="L377" s="68">
        <f t="shared" si="9"/>
      </c>
      <c r="M377" s="56">
        <f t="shared" si="10"/>
      </c>
      <c r="N377" s="69">
        <f t="shared" si="11"/>
      </c>
      <c r="O377" s="22">
        <f t="shared" si="12"/>
      </c>
      <c r="P377" s="22">
        <f>IF(往来单位!$C$367="客户",1,0)</f>
        <v>0</v>
      </c>
      <c r="Q377" s="22">
        <f t="shared" si="13"/>
        <v>28</v>
      </c>
    </row>
    <row r="378">
      <c r="A378" s="56">
        <f>IF($B378="","",365)</f>
      </c>
      <c r="B378" s="66">
        <f>IF(365&gt;$Q$613,"",INDEX(往来单位!$B$4:$B$603,MATCH(365,$Q$14:$Q$613,0)))</f>
      </c>
      <c r="C378" s="67">
        <f t="shared" si="0"/>
      </c>
      <c r="D378" s="60">
        <f t="shared" si="1"/>
      </c>
      <c r="E378" s="53">
        <f t="shared" si="2"/>
      </c>
      <c r="F378" s="53">
        <f t="shared" si="3"/>
      </c>
      <c r="G378" s="53">
        <f t="shared" si="4"/>
      </c>
      <c r="H378" s="59">
        <f t="shared" si="5"/>
      </c>
      <c r="I378" s="53">
        <f t="shared" si="6"/>
      </c>
      <c r="J378" s="53">
        <f t="shared" si="7"/>
      </c>
      <c r="K378" s="53">
        <f t="shared" si="8"/>
      </c>
      <c r="L378" s="68">
        <f t="shared" si="9"/>
      </c>
      <c r="M378" s="56">
        <f t="shared" si="10"/>
      </c>
      <c r="N378" s="69">
        <f t="shared" si="11"/>
      </c>
      <c r="O378" s="22">
        <f t="shared" si="12"/>
      </c>
      <c r="P378" s="22">
        <f>IF(往来单位!$C$368="客户",1,0)</f>
        <v>0</v>
      </c>
      <c r="Q378" s="22">
        <f t="shared" si="13"/>
        <v>28</v>
      </c>
    </row>
    <row r="379">
      <c r="A379" s="56">
        <f>IF($B379="","",366)</f>
      </c>
      <c r="B379" s="66">
        <f>IF(366&gt;$Q$613,"",INDEX(往来单位!$B$4:$B$603,MATCH(366,$Q$14:$Q$613,0)))</f>
      </c>
      <c r="C379" s="67">
        <f t="shared" si="0"/>
      </c>
      <c r="D379" s="60">
        <f t="shared" si="1"/>
      </c>
      <c r="E379" s="53">
        <f t="shared" si="2"/>
      </c>
      <c r="F379" s="53">
        <f t="shared" si="3"/>
      </c>
      <c r="G379" s="53">
        <f t="shared" si="4"/>
      </c>
      <c r="H379" s="59">
        <f t="shared" si="5"/>
      </c>
      <c r="I379" s="53">
        <f t="shared" si="6"/>
      </c>
      <c r="J379" s="53">
        <f t="shared" si="7"/>
      </c>
      <c r="K379" s="53">
        <f t="shared" si="8"/>
      </c>
      <c r="L379" s="68">
        <f t="shared" si="9"/>
      </c>
      <c r="M379" s="56">
        <f t="shared" si="10"/>
      </c>
      <c r="N379" s="69">
        <f t="shared" si="11"/>
      </c>
      <c r="O379" s="22">
        <f t="shared" si="12"/>
      </c>
      <c r="P379" s="22">
        <f>IF(往来单位!$C$369="客户",1,0)</f>
        <v>0</v>
      </c>
      <c r="Q379" s="22">
        <f t="shared" si="13"/>
        <v>28</v>
      </c>
    </row>
    <row r="380">
      <c r="A380" s="56">
        <f>IF($B380="","",367)</f>
      </c>
      <c r="B380" s="66">
        <f>IF(367&gt;$Q$613,"",INDEX(往来单位!$B$4:$B$603,MATCH(367,$Q$14:$Q$613,0)))</f>
      </c>
      <c r="C380" s="67">
        <f t="shared" si="0"/>
      </c>
      <c r="D380" s="60">
        <f t="shared" si="1"/>
      </c>
      <c r="E380" s="53">
        <f t="shared" si="2"/>
      </c>
      <c r="F380" s="53">
        <f t="shared" si="3"/>
      </c>
      <c r="G380" s="53">
        <f t="shared" si="4"/>
      </c>
      <c r="H380" s="59">
        <f t="shared" si="5"/>
      </c>
      <c r="I380" s="53">
        <f t="shared" si="6"/>
      </c>
      <c r="J380" s="53">
        <f t="shared" si="7"/>
      </c>
      <c r="K380" s="53">
        <f t="shared" si="8"/>
      </c>
      <c r="L380" s="68">
        <f t="shared" si="9"/>
      </c>
      <c r="M380" s="56">
        <f t="shared" si="10"/>
      </c>
      <c r="N380" s="69">
        <f t="shared" si="11"/>
      </c>
      <c r="O380" s="22">
        <f t="shared" si="12"/>
      </c>
      <c r="P380" s="22">
        <f>IF(往来单位!$C$370="客户",1,0)</f>
        <v>0</v>
      </c>
      <c r="Q380" s="22">
        <f t="shared" si="13"/>
        <v>28</v>
      </c>
    </row>
    <row r="381">
      <c r="A381" s="56">
        <f>IF($B381="","",368)</f>
      </c>
      <c r="B381" s="66">
        <f>IF(368&gt;$Q$613,"",INDEX(往来单位!$B$4:$B$603,MATCH(368,$Q$14:$Q$613,0)))</f>
      </c>
      <c r="C381" s="67">
        <f t="shared" si="0"/>
      </c>
      <c r="D381" s="60">
        <f t="shared" si="1"/>
      </c>
      <c r="E381" s="53">
        <f t="shared" si="2"/>
      </c>
      <c r="F381" s="53">
        <f t="shared" si="3"/>
      </c>
      <c r="G381" s="53">
        <f t="shared" si="4"/>
      </c>
      <c r="H381" s="59">
        <f t="shared" si="5"/>
      </c>
      <c r="I381" s="53">
        <f t="shared" si="6"/>
      </c>
      <c r="J381" s="53">
        <f t="shared" si="7"/>
      </c>
      <c r="K381" s="53">
        <f t="shared" si="8"/>
      </c>
      <c r="L381" s="68">
        <f t="shared" si="9"/>
      </c>
      <c r="M381" s="56">
        <f t="shared" si="10"/>
      </c>
      <c r="N381" s="69">
        <f t="shared" si="11"/>
      </c>
      <c r="O381" s="22">
        <f t="shared" si="12"/>
      </c>
      <c r="P381" s="22">
        <f>IF(往来单位!$C$371="客户",1,0)</f>
        <v>0</v>
      </c>
      <c r="Q381" s="22">
        <f t="shared" si="13"/>
        <v>28</v>
      </c>
    </row>
    <row r="382">
      <c r="A382" s="56">
        <f>IF($B382="","",369)</f>
      </c>
      <c r="B382" s="66">
        <f>IF(369&gt;$Q$613,"",INDEX(往来单位!$B$4:$B$603,MATCH(369,$Q$14:$Q$613,0)))</f>
      </c>
      <c r="C382" s="67">
        <f t="shared" si="0"/>
      </c>
      <c r="D382" s="60">
        <f t="shared" si="1"/>
      </c>
      <c r="E382" s="53">
        <f t="shared" si="2"/>
      </c>
      <c r="F382" s="53">
        <f t="shared" si="3"/>
      </c>
      <c r="G382" s="53">
        <f t="shared" si="4"/>
      </c>
      <c r="H382" s="59">
        <f t="shared" si="5"/>
      </c>
      <c r="I382" s="53">
        <f t="shared" si="6"/>
      </c>
      <c r="J382" s="53">
        <f t="shared" si="7"/>
      </c>
      <c r="K382" s="53">
        <f t="shared" si="8"/>
      </c>
      <c r="L382" s="68">
        <f t="shared" si="9"/>
      </c>
      <c r="M382" s="56">
        <f t="shared" si="10"/>
      </c>
      <c r="N382" s="69">
        <f t="shared" si="11"/>
      </c>
      <c r="O382" s="22">
        <f t="shared" si="12"/>
      </c>
      <c r="P382" s="22">
        <f>IF(往来单位!$C$372="客户",1,0)</f>
        <v>0</v>
      </c>
      <c r="Q382" s="22">
        <f t="shared" si="13"/>
        <v>28</v>
      </c>
    </row>
    <row r="383">
      <c r="A383" s="56">
        <f>IF($B383="","",370)</f>
      </c>
      <c r="B383" s="66">
        <f>IF(370&gt;$Q$613,"",INDEX(往来单位!$B$4:$B$603,MATCH(370,$Q$14:$Q$613,0)))</f>
      </c>
      <c r="C383" s="67">
        <f t="shared" si="0"/>
      </c>
      <c r="D383" s="60">
        <f t="shared" si="1"/>
      </c>
      <c r="E383" s="53">
        <f t="shared" si="2"/>
      </c>
      <c r="F383" s="53">
        <f t="shared" si="3"/>
      </c>
      <c r="G383" s="53">
        <f t="shared" si="4"/>
      </c>
      <c r="H383" s="59">
        <f t="shared" si="5"/>
      </c>
      <c r="I383" s="53">
        <f t="shared" si="6"/>
      </c>
      <c r="J383" s="53">
        <f t="shared" si="7"/>
      </c>
      <c r="K383" s="53">
        <f t="shared" si="8"/>
      </c>
      <c r="L383" s="68">
        <f t="shared" si="9"/>
      </c>
      <c r="M383" s="56">
        <f t="shared" si="10"/>
      </c>
      <c r="N383" s="69">
        <f t="shared" si="11"/>
      </c>
      <c r="O383" s="22">
        <f t="shared" si="12"/>
      </c>
      <c r="P383" s="22">
        <f>IF(往来单位!$C$373="客户",1,0)</f>
        <v>0</v>
      </c>
      <c r="Q383" s="22">
        <f t="shared" si="13"/>
        <v>28</v>
      </c>
    </row>
    <row r="384">
      <c r="A384" s="56">
        <f>IF($B384="","",371)</f>
      </c>
      <c r="B384" s="66">
        <f>IF(371&gt;$Q$613,"",INDEX(往来单位!$B$4:$B$603,MATCH(371,$Q$14:$Q$613,0)))</f>
      </c>
      <c r="C384" s="67">
        <f t="shared" si="0"/>
      </c>
      <c r="D384" s="60">
        <f t="shared" si="1"/>
      </c>
      <c r="E384" s="53">
        <f t="shared" si="2"/>
      </c>
      <c r="F384" s="53">
        <f t="shared" si="3"/>
      </c>
      <c r="G384" s="53">
        <f t="shared" si="4"/>
      </c>
      <c r="H384" s="59">
        <f t="shared" si="5"/>
      </c>
      <c r="I384" s="53">
        <f t="shared" si="6"/>
      </c>
      <c r="J384" s="53">
        <f t="shared" si="7"/>
      </c>
      <c r="K384" s="53">
        <f t="shared" si="8"/>
      </c>
      <c r="L384" s="68">
        <f t="shared" si="9"/>
      </c>
      <c r="M384" s="56">
        <f t="shared" si="10"/>
      </c>
      <c r="N384" s="69">
        <f t="shared" si="11"/>
      </c>
      <c r="O384" s="22">
        <f t="shared" si="12"/>
      </c>
      <c r="P384" s="22">
        <f>IF(往来单位!$C$374="客户",1,0)</f>
        <v>0</v>
      </c>
      <c r="Q384" s="22">
        <f t="shared" si="13"/>
        <v>28</v>
      </c>
    </row>
    <row r="385">
      <c r="A385" s="56">
        <f>IF($B385="","",372)</f>
      </c>
      <c r="B385" s="66">
        <f>IF(372&gt;$Q$613,"",INDEX(往来单位!$B$4:$B$603,MATCH(372,$Q$14:$Q$613,0)))</f>
      </c>
      <c r="C385" s="67">
        <f t="shared" si="0"/>
      </c>
      <c r="D385" s="60">
        <f t="shared" si="1"/>
      </c>
      <c r="E385" s="53">
        <f t="shared" si="2"/>
      </c>
      <c r="F385" s="53">
        <f t="shared" si="3"/>
      </c>
      <c r="G385" s="53">
        <f t="shared" si="4"/>
      </c>
      <c r="H385" s="59">
        <f t="shared" si="5"/>
      </c>
      <c r="I385" s="53">
        <f t="shared" si="6"/>
      </c>
      <c r="J385" s="53">
        <f t="shared" si="7"/>
      </c>
      <c r="K385" s="53">
        <f t="shared" si="8"/>
      </c>
      <c r="L385" s="68">
        <f t="shared" si="9"/>
      </c>
      <c r="M385" s="56">
        <f t="shared" si="10"/>
      </c>
      <c r="N385" s="69">
        <f t="shared" si="11"/>
      </c>
      <c r="O385" s="22">
        <f t="shared" si="12"/>
      </c>
      <c r="P385" s="22">
        <f>IF(往来单位!$C$375="客户",1,0)</f>
        <v>0</v>
      </c>
      <c r="Q385" s="22">
        <f t="shared" si="13"/>
        <v>28</v>
      </c>
    </row>
    <row r="386">
      <c r="A386" s="56">
        <f>IF($B386="","",373)</f>
      </c>
      <c r="B386" s="66">
        <f>IF(373&gt;$Q$613,"",INDEX(往来单位!$B$4:$B$603,MATCH(373,$Q$14:$Q$613,0)))</f>
      </c>
      <c r="C386" s="67">
        <f t="shared" si="0"/>
      </c>
      <c r="D386" s="60">
        <f t="shared" si="1"/>
      </c>
      <c r="E386" s="53">
        <f t="shared" si="2"/>
      </c>
      <c r="F386" s="53">
        <f t="shared" si="3"/>
      </c>
      <c r="G386" s="53">
        <f t="shared" si="4"/>
      </c>
      <c r="H386" s="59">
        <f t="shared" si="5"/>
      </c>
      <c r="I386" s="53">
        <f t="shared" si="6"/>
      </c>
      <c r="J386" s="53">
        <f t="shared" si="7"/>
      </c>
      <c r="K386" s="53">
        <f t="shared" si="8"/>
      </c>
      <c r="L386" s="68">
        <f t="shared" si="9"/>
      </c>
      <c r="M386" s="56">
        <f t="shared" si="10"/>
      </c>
      <c r="N386" s="69">
        <f t="shared" si="11"/>
      </c>
      <c r="O386" s="22">
        <f t="shared" si="12"/>
      </c>
      <c r="P386" s="22">
        <f>IF(往来单位!$C$376="客户",1,0)</f>
        <v>0</v>
      </c>
      <c r="Q386" s="22">
        <f t="shared" si="13"/>
        <v>28</v>
      </c>
    </row>
    <row r="387">
      <c r="A387" s="56">
        <f>IF($B387="","",374)</f>
      </c>
      <c r="B387" s="66">
        <f>IF(374&gt;$Q$613,"",INDEX(往来单位!$B$4:$B$603,MATCH(374,$Q$14:$Q$613,0)))</f>
      </c>
      <c r="C387" s="67">
        <f t="shared" si="0"/>
      </c>
      <c r="D387" s="60">
        <f t="shared" si="1"/>
      </c>
      <c r="E387" s="53">
        <f t="shared" si="2"/>
      </c>
      <c r="F387" s="53">
        <f t="shared" si="3"/>
      </c>
      <c r="G387" s="53">
        <f t="shared" si="4"/>
      </c>
      <c r="H387" s="59">
        <f t="shared" si="5"/>
      </c>
      <c r="I387" s="53">
        <f t="shared" si="6"/>
      </c>
      <c r="J387" s="53">
        <f t="shared" si="7"/>
      </c>
      <c r="K387" s="53">
        <f t="shared" si="8"/>
      </c>
      <c r="L387" s="68">
        <f t="shared" si="9"/>
      </c>
      <c r="M387" s="56">
        <f t="shared" si="10"/>
      </c>
      <c r="N387" s="69">
        <f t="shared" si="11"/>
      </c>
      <c r="O387" s="22">
        <f t="shared" si="12"/>
      </c>
      <c r="P387" s="22">
        <f>IF(往来单位!$C$377="客户",1,0)</f>
        <v>0</v>
      </c>
      <c r="Q387" s="22">
        <f t="shared" si="13"/>
        <v>28</v>
      </c>
    </row>
    <row r="388">
      <c r="A388" s="56">
        <f>IF($B388="","",375)</f>
      </c>
      <c r="B388" s="66">
        <f>IF(375&gt;$Q$613,"",INDEX(往来单位!$B$4:$B$603,MATCH(375,$Q$14:$Q$613,0)))</f>
      </c>
      <c r="C388" s="67">
        <f t="shared" si="0"/>
      </c>
      <c r="D388" s="60">
        <f t="shared" si="1"/>
      </c>
      <c r="E388" s="53">
        <f t="shared" si="2"/>
      </c>
      <c r="F388" s="53">
        <f t="shared" si="3"/>
      </c>
      <c r="G388" s="53">
        <f t="shared" si="4"/>
      </c>
      <c r="H388" s="59">
        <f t="shared" si="5"/>
      </c>
      <c r="I388" s="53">
        <f t="shared" si="6"/>
      </c>
      <c r="J388" s="53">
        <f t="shared" si="7"/>
      </c>
      <c r="K388" s="53">
        <f t="shared" si="8"/>
      </c>
      <c r="L388" s="68">
        <f t="shared" si="9"/>
      </c>
      <c r="M388" s="56">
        <f t="shared" si="10"/>
      </c>
      <c r="N388" s="69">
        <f t="shared" si="11"/>
      </c>
      <c r="O388" s="22">
        <f t="shared" si="12"/>
      </c>
      <c r="P388" s="22">
        <f>IF(往来单位!$C$378="客户",1,0)</f>
        <v>0</v>
      </c>
      <c r="Q388" s="22">
        <f t="shared" si="13"/>
        <v>28</v>
      </c>
    </row>
    <row r="389">
      <c r="A389" s="56">
        <f>IF($B389="","",376)</f>
      </c>
      <c r="B389" s="66">
        <f>IF(376&gt;$Q$613,"",INDEX(往来单位!$B$4:$B$603,MATCH(376,$Q$14:$Q$613,0)))</f>
      </c>
      <c r="C389" s="67">
        <f t="shared" si="0"/>
      </c>
      <c r="D389" s="60">
        <f t="shared" si="1"/>
      </c>
      <c r="E389" s="53">
        <f t="shared" si="2"/>
      </c>
      <c r="F389" s="53">
        <f t="shared" si="3"/>
      </c>
      <c r="G389" s="53">
        <f t="shared" si="4"/>
      </c>
      <c r="H389" s="59">
        <f t="shared" si="5"/>
      </c>
      <c r="I389" s="53">
        <f t="shared" si="6"/>
      </c>
      <c r="J389" s="53">
        <f t="shared" si="7"/>
      </c>
      <c r="K389" s="53">
        <f t="shared" si="8"/>
      </c>
      <c r="L389" s="68">
        <f t="shared" si="9"/>
      </c>
      <c r="M389" s="56">
        <f t="shared" si="10"/>
      </c>
      <c r="N389" s="69">
        <f t="shared" si="11"/>
      </c>
      <c r="O389" s="22">
        <f t="shared" si="12"/>
      </c>
      <c r="P389" s="22">
        <f>IF(往来单位!$C$379="客户",1,0)</f>
        <v>0</v>
      </c>
      <c r="Q389" s="22">
        <f t="shared" si="13"/>
        <v>28</v>
      </c>
    </row>
    <row r="390">
      <c r="A390" s="56">
        <f>IF($B390="","",377)</f>
      </c>
      <c r="B390" s="66">
        <f>IF(377&gt;$Q$613,"",INDEX(往来单位!$B$4:$B$603,MATCH(377,$Q$14:$Q$613,0)))</f>
      </c>
      <c r="C390" s="67">
        <f t="shared" si="0"/>
      </c>
      <c r="D390" s="60">
        <f t="shared" si="1"/>
      </c>
      <c r="E390" s="53">
        <f t="shared" si="2"/>
      </c>
      <c r="F390" s="53">
        <f t="shared" si="3"/>
      </c>
      <c r="G390" s="53">
        <f t="shared" si="4"/>
      </c>
      <c r="H390" s="59">
        <f t="shared" si="5"/>
      </c>
      <c r="I390" s="53">
        <f t="shared" si="6"/>
      </c>
      <c r="J390" s="53">
        <f t="shared" si="7"/>
      </c>
      <c r="K390" s="53">
        <f t="shared" si="8"/>
      </c>
      <c r="L390" s="68">
        <f t="shared" si="9"/>
      </c>
      <c r="M390" s="56">
        <f t="shared" si="10"/>
      </c>
      <c r="N390" s="69">
        <f t="shared" si="11"/>
      </c>
      <c r="O390" s="22">
        <f t="shared" si="12"/>
      </c>
      <c r="P390" s="22">
        <f>IF(往来单位!$C$380="客户",1,0)</f>
        <v>0</v>
      </c>
      <c r="Q390" s="22">
        <f t="shared" si="13"/>
        <v>28</v>
      </c>
    </row>
    <row r="391">
      <c r="A391" s="56">
        <f>IF($B391="","",378)</f>
      </c>
      <c r="B391" s="66">
        <f>IF(378&gt;$Q$613,"",INDEX(往来单位!$B$4:$B$603,MATCH(378,$Q$14:$Q$613,0)))</f>
      </c>
      <c r="C391" s="67">
        <f t="shared" si="0"/>
      </c>
      <c r="D391" s="60">
        <f t="shared" si="1"/>
      </c>
      <c r="E391" s="53">
        <f t="shared" si="2"/>
      </c>
      <c r="F391" s="53">
        <f t="shared" si="3"/>
      </c>
      <c r="G391" s="53">
        <f t="shared" si="4"/>
      </c>
      <c r="H391" s="59">
        <f t="shared" si="5"/>
      </c>
      <c r="I391" s="53">
        <f t="shared" si="6"/>
      </c>
      <c r="J391" s="53">
        <f t="shared" si="7"/>
      </c>
      <c r="K391" s="53">
        <f t="shared" si="8"/>
      </c>
      <c r="L391" s="68">
        <f t="shared" si="9"/>
      </c>
      <c r="M391" s="56">
        <f t="shared" si="10"/>
      </c>
      <c r="N391" s="69">
        <f t="shared" si="11"/>
      </c>
      <c r="O391" s="22">
        <f t="shared" si="12"/>
      </c>
      <c r="P391" s="22">
        <f>IF(往来单位!$C$381="客户",1,0)</f>
        <v>0</v>
      </c>
      <c r="Q391" s="22">
        <f t="shared" si="13"/>
        <v>28</v>
      </c>
    </row>
    <row r="392">
      <c r="A392" s="56">
        <f>IF($B392="","",379)</f>
      </c>
      <c r="B392" s="66">
        <f>IF(379&gt;$Q$613,"",INDEX(往来单位!$B$4:$B$603,MATCH(379,$Q$14:$Q$613,0)))</f>
      </c>
      <c r="C392" s="67">
        <f t="shared" si="0"/>
      </c>
      <c r="D392" s="60">
        <f t="shared" si="1"/>
      </c>
      <c r="E392" s="53">
        <f t="shared" si="2"/>
      </c>
      <c r="F392" s="53">
        <f t="shared" si="3"/>
      </c>
      <c r="G392" s="53">
        <f t="shared" si="4"/>
      </c>
      <c r="H392" s="59">
        <f t="shared" si="5"/>
      </c>
      <c r="I392" s="53">
        <f t="shared" si="6"/>
      </c>
      <c r="J392" s="53">
        <f t="shared" si="7"/>
      </c>
      <c r="K392" s="53">
        <f t="shared" si="8"/>
      </c>
      <c r="L392" s="68">
        <f t="shared" si="9"/>
      </c>
      <c r="M392" s="56">
        <f t="shared" si="10"/>
      </c>
      <c r="N392" s="69">
        <f t="shared" si="11"/>
      </c>
      <c r="O392" s="22">
        <f t="shared" si="12"/>
      </c>
      <c r="P392" s="22">
        <f>IF(往来单位!$C$382="客户",1,0)</f>
        <v>0</v>
      </c>
      <c r="Q392" s="22">
        <f t="shared" si="13"/>
        <v>28</v>
      </c>
    </row>
    <row r="393">
      <c r="A393" s="56">
        <f>IF($B393="","",380)</f>
      </c>
      <c r="B393" s="66">
        <f>IF(380&gt;$Q$613,"",INDEX(往来单位!$B$4:$B$603,MATCH(380,$Q$14:$Q$613,0)))</f>
      </c>
      <c r="C393" s="67">
        <f t="shared" si="0"/>
      </c>
      <c r="D393" s="60">
        <f t="shared" si="1"/>
      </c>
      <c r="E393" s="53">
        <f t="shared" si="2"/>
      </c>
      <c r="F393" s="53">
        <f t="shared" si="3"/>
      </c>
      <c r="G393" s="53">
        <f t="shared" si="4"/>
      </c>
      <c r="H393" s="59">
        <f t="shared" si="5"/>
      </c>
      <c r="I393" s="53">
        <f t="shared" si="6"/>
      </c>
      <c r="J393" s="53">
        <f t="shared" si="7"/>
      </c>
      <c r="K393" s="53">
        <f t="shared" si="8"/>
      </c>
      <c r="L393" s="68">
        <f t="shared" si="9"/>
      </c>
      <c r="M393" s="56">
        <f t="shared" si="10"/>
      </c>
      <c r="N393" s="69">
        <f t="shared" si="11"/>
      </c>
      <c r="O393" s="22">
        <f t="shared" si="12"/>
      </c>
      <c r="P393" s="22">
        <f>IF(往来单位!$C$383="客户",1,0)</f>
        <v>0</v>
      </c>
      <c r="Q393" s="22">
        <f t="shared" si="13"/>
        <v>28</v>
      </c>
    </row>
    <row r="394">
      <c r="A394" s="56">
        <f>IF($B394="","",381)</f>
      </c>
      <c r="B394" s="66">
        <f>IF(381&gt;$Q$613,"",INDEX(往来单位!$B$4:$B$603,MATCH(381,$Q$14:$Q$613,0)))</f>
      </c>
      <c r="C394" s="67">
        <f t="shared" si="0"/>
      </c>
      <c r="D394" s="60">
        <f t="shared" si="1"/>
      </c>
      <c r="E394" s="53">
        <f t="shared" si="2"/>
      </c>
      <c r="F394" s="53">
        <f t="shared" si="3"/>
      </c>
      <c r="G394" s="53">
        <f t="shared" si="4"/>
      </c>
      <c r="H394" s="59">
        <f t="shared" si="5"/>
      </c>
      <c r="I394" s="53">
        <f t="shared" si="6"/>
      </c>
      <c r="J394" s="53">
        <f t="shared" si="7"/>
      </c>
      <c r="K394" s="53">
        <f t="shared" si="8"/>
      </c>
      <c r="L394" s="68">
        <f t="shared" si="9"/>
      </c>
      <c r="M394" s="56">
        <f t="shared" si="10"/>
      </c>
      <c r="N394" s="69">
        <f t="shared" si="11"/>
      </c>
      <c r="O394" s="22">
        <f t="shared" si="12"/>
      </c>
      <c r="P394" s="22">
        <f>IF(往来单位!$C$384="客户",1,0)</f>
        <v>0</v>
      </c>
      <c r="Q394" s="22">
        <f t="shared" si="13"/>
        <v>28</v>
      </c>
    </row>
    <row r="395">
      <c r="A395" s="56">
        <f>IF($B395="","",382)</f>
      </c>
      <c r="B395" s="66">
        <f>IF(382&gt;$Q$613,"",INDEX(往来单位!$B$4:$B$603,MATCH(382,$Q$14:$Q$613,0)))</f>
      </c>
      <c r="C395" s="67">
        <f t="shared" si="0"/>
      </c>
      <c r="D395" s="60">
        <f t="shared" si="1"/>
      </c>
      <c r="E395" s="53">
        <f t="shared" si="2"/>
      </c>
      <c r="F395" s="53">
        <f t="shared" si="3"/>
      </c>
      <c r="G395" s="53">
        <f t="shared" si="4"/>
      </c>
      <c r="H395" s="59">
        <f t="shared" si="5"/>
      </c>
      <c r="I395" s="53">
        <f t="shared" si="6"/>
      </c>
      <c r="J395" s="53">
        <f t="shared" si="7"/>
      </c>
      <c r="K395" s="53">
        <f t="shared" si="8"/>
      </c>
      <c r="L395" s="68">
        <f t="shared" si="9"/>
      </c>
      <c r="M395" s="56">
        <f t="shared" si="10"/>
      </c>
      <c r="N395" s="69">
        <f t="shared" si="11"/>
      </c>
      <c r="O395" s="22">
        <f t="shared" si="12"/>
      </c>
      <c r="P395" s="22">
        <f>IF(往来单位!$C$385="客户",1,0)</f>
        <v>0</v>
      </c>
      <c r="Q395" s="22">
        <f t="shared" si="13"/>
        <v>28</v>
      </c>
    </row>
    <row r="396">
      <c r="A396" s="56">
        <f>IF($B396="","",383)</f>
      </c>
      <c r="B396" s="66">
        <f>IF(383&gt;$Q$613,"",INDEX(往来单位!$B$4:$B$603,MATCH(383,$Q$14:$Q$613,0)))</f>
      </c>
      <c r="C396" s="67">
        <f t="shared" si="0"/>
      </c>
      <c r="D396" s="60">
        <f t="shared" si="1"/>
      </c>
      <c r="E396" s="53">
        <f t="shared" si="2"/>
      </c>
      <c r="F396" s="53">
        <f t="shared" si="3"/>
      </c>
      <c r="G396" s="53">
        <f t="shared" si="4"/>
      </c>
      <c r="H396" s="59">
        <f t="shared" si="5"/>
      </c>
      <c r="I396" s="53">
        <f t="shared" si="6"/>
      </c>
      <c r="J396" s="53">
        <f t="shared" si="7"/>
      </c>
      <c r="K396" s="53">
        <f t="shared" si="8"/>
      </c>
      <c r="L396" s="68">
        <f t="shared" si="9"/>
      </c>
      <c r="M396" s="56">
        <f t="shared" si="10"/>
      </c>
      <c r="N396" s="69">
        <f t="shared" si="11"/>
      </c>
      <c r="O396" s="22">
        <f t="shared" si="12"/>
      </c>
      <c r="P396" s="22">
        <f>IF(往来单位!$C$386="客户",1,0)</f>
        <v>0</v>
      </c>
      <c r="Q396" s="22">
        <f t="shared" si="13"/>
        <v>28</v>
      </c>
    </row>
    <row r="397">
      <c r="A397" s="56">
        <f>IF($B397="","",384)</f>
      </c>
      <c r="B397" s="66">
        <f>IF(384&gt;$Q$613,"",INDEX(往来单位!$B$4:$B$603,MATCH(384,$Q$14:$Q$613,0)))</f>
      </c>
      <c r="C397" s="67">
        <f t="shared" si="0"/>
      </c>
      <c r="D397" s="60">
        <f t="shared" si="1"/>
      </c>
      <c r="E397" s="53">
        <f t="shared" si="2"/>
      </c>
      <c r="F397" s="53">
        <f t="shared" si="3"/>
      </c>
      <c r="G397" s="53">
        <f t="shared" si="4"/>
      </c>
      <c r="H397" s="59">
        <f t="shared" si="5"/>
      </c>
      <c r="I397" s="53">
        <f t="shared" si="6"/>
      </c>
      <c r="J397" s="53">
        <f t="shared" si="7"/>
      </c>
      <c r="K397" s="53">
        <f t="shared" si="8"/>
      </c>
      <c r="L397" s="68">
        <f t="shared" si="9"/>
      </c>
      <c r="M397" s="56">
        <f t="shared" si="10"/>
      </c>
      <c r="N397" s="69">
        <f t="shared" si="11"/>
      </c>
      <c r="O397" s="22">
        <f t="shared" si="12"/>
      </c>
      <c r="P397" s="22">
        <f>IF(往来单位!$C$387="客户",1,0)</f>
        <v>0</v>
      </c>
      <c r="Q397" s="22">
        <f t="shared" si="13"/>
        <v>28</v>
      </c>
    </row>
    <row r="398">
      <c r="A398" s="56">
        <f>IF($B398="","",385)</f>
      </c>
      <c r="B398" s="66">
        <f>IF(385&gt;$Q$613,"",INDEX(往来单位!$B$4:$B$603,MATCH(385,$Q$14:$Q$613,0)))</f>
      </c>
      <c r="C398" s="67">
        <f t="shared" si="0"/>
      </c>
      <c r="D398" s="60">
        <f t="shared" si="1"/>
      </c>
      <c r="E398" s="53">
        <f t="shared" si="2"/>
      </c>
      <c r="F398" s="53">
        <f t="shared" si="3"/>
      </c>
      <c r="G398" s="53">
        <f t="shared" si="4"/>
      </c>
      <c r="H398" s="59">
        <f t="shared" si="5"/>
      </c>
      <c r="I398" s="53">
        <f t="shared" si="6"/>
      </c>
      <c r="J398" s="53">
        <f t="shared" si="7"/>
      </c>
      <c r="K398" s="53">
        <f t="shared" si="8"/>
      </c>
      <c r="L398" s="68">
        <f t="shared" si="9"/>
      </c>
      <c r="M398" s="56">
        <f t="shared" si="10"/>
      </c>
      <c r="N398" s="69">
        <f t="shared" si="11"/>
      </c>
      <c r="O398" s="22">
        <f t="shared" si="12"/>
      </c>
      <c r="P398" s="22">
        <f>IF(往来单位!$C$388="客户",1,0)</f>
        <v>0</v>
      </c>
      <c r="Q398" s="22">
        <f t="shared" si="13"/>
        <v>28</v>
      </c>
    </row>
    <row r="399">
      <c r="A399" s="56">
        <f>IF($B399="","",386)</f>
      </c>
      <c r="B399" s="66">
        <f>IF(386&gt;$Q$613,"",INDEX(往来单位!$B$4:$B$603,MATCH(386,$Q$14:$Q$613,0)))</f>
      </c>
      <c r="C399" s="67">
        <f t="shared" si="0"/>
      </c>
      <c r="D399" s="60">
        <f t="shared" si="1"/>
      </c>
      <c r="E399" s="53">
        <f t="shared" si="2"/>
      </c>
      <c r="F399" s="53">
        <f t="shared" si="3"/>
      </c>
      <c r="G399" s="53">
        <f t="shared" si="4"/>
      </c>
      <c r="H399" s="59">
        <f t="shared" si="5"/>
      </c>
      <c r="I399" s="53">
        <f t="shared" si="6"/>
      </c>
      <c r="J399" s="53">
        <f t="shared" si="7"/>
      </c>
      <c r="K399" s="53">
        <f t="shared" si="8"/>
      </c>
      <c r="L399" s="68">
        <f t="shared" si="9"/>
      </c>
      <c r="M399" s="56">
        <f t="shared" si="10"/>
      </c>
      <c r="N399" s="69">
        <f t="shared" si="11"/>
      </c>
      <c r="O399" s="22">
        <f t="shared" si="12"/>
      </c>
      <c r="P399" s="22">
        <f>IF(往来单位!$C$389="客户",1,0)</f>
        <v>0</v>
      </c>
      <c r="Q399" s="22">
        <f t="shared" si="13"/>
        <v>28</v>
      </c>
    </row>
    <row r="400">
      <c r="A400" s="56">
        <f>IF($B400="","",387)</f>
      </c>
      <c r="B400" s="66">
        <f>IF(387&gt;$Q$613,"",INDEX(往来单位!$B$4:$B$603,MATCH(387,$Q$14:$Q$613,0)))</f>
      </c>
      <c r="C400" s="67">
        <f t="shared" si="0"/>
      </c>
      <c r="D400" s="60">
        <f t="shared" si="1"/>
      </c>
      <c r="E400" s="53">
        <f t="shared" si="2"/>
      </c>
      <c r="F400" s="53">
        <f t="shared" si="3"/>
      </c>
      <c r="G400" s="53">
        <f t="shared" si="4"/>
      </c>
      <c r="H400" s="59">
        <f t="shared" si="5"/>
      </c>
      <c r="I400" s="53">
        <f t="shared" si="6"/>
      </c>
      <c r="J400" s="53">
        <f t="shared" si="7"/>
      </c>
      <c r="K400" s="53">
        <f t="shared" si="8"/>
      </c>
      <c r="L400" s="68">
        <f t="shared" si="9"/>
      </c>
      <c r="M400" s="56">
        <f t="shared" si="10"/>
      </c>
      <c r="N400" s="69">
        <f t="shared" si="11"/>
      </c>
      <c r="O400" s="22">
        <f t="shared" si="12"/>
      </c>
      <c r="P400" s="22">
        <f>IF(往来单位!$C$390="客户",1,0)</f>
        <v>0</v>
      </c>
      <c r="Q400" s="22">
        <f t="shared" si="13"/>
        <v>28</v>
      </c>
    </row>
    <row r="401">
      <c r="A401" s="56">
        <f>IF($B401="","",388)</f>
      </c>
      <c r="B401" s="66">
        <f>IF(388&gt;$Q$613,"",INDEX(往来单位!$B$4:$B$603,MATCH(388,$Q$14:$Q$613,0)))</f>
      </c>
      <c r="C401" s="67">
        <f t="shared" si="0"/>
      </c>
      <c r="D401" s="60">
        <f t="shared" si="1"/>
      </c>
      <c r="E401" s="53">
        <f t="shared" si="2"/>
      </c>
      <c r="F401" s="53">
        <f t="shared" si="3"/>
      </c>
      <c r="G401" s="53">
        <f t="shared" si="4"/>
      </c>
      <c r="H401" s="59">
        <f t="shared" si="5"/>
      </c>
      <c r="I401" s="53">
        <f t="shared" si="6"/>
      </c>
      <c r="J401" s="53">
        <f t="shared" si="7"/>
      </c>
      <c r="K401" s="53">
        <f t="shared" si="8"/>
      </c>
      <c r="L401" s="68">
        <f t="shared" si="9"/>
      </c>
      <c r="M401" s="56">
        <f t="shared" si="10"/>
      </c>
      <c r="N401" s="69">
        <f t="shared" si="11"/>
      </c>
      <c r="O401" s="22">
        <f t="shared" si="12"/>
      </c>
      <c r="P401" s="22">
        <f>IF(往来单位!$C$391="客户",1,0)</f>
        <v>0</v>
      </c>
      <c r="Q401" s="22">
        <f t="shared" si="13"/>
        <v>28</v>
      </c>
    </row>
    <row r="402">
      <c r="A402" s="56">
        <f>IF($B402="","",389)</f>
      </c>
      <c r="B402" s="66">
        <f>IF(389&gt;$Q$613,"",INDEX(往来单位!$B$4:$B$603,MATCH(389,$Q$14:$Q$613,0)))</f>
      </c>
      <c r="C402" s="67">
        <f t="shared" si="0"/>
      </c>
      <c r="D402" s="60">
        <f t="shared" si="1"/>
      </c>
      <c r="E402" s="53">
        <f t="shared" si="2"/>
      </c>
      <c r="F402" s="53">
        <f t="shared" si="3"/>
      </c>
      <c r="G402" s="53">
        <f t="shared" si="4"/>
      </c>
      <c r="H402" s="59">
        <f t="shared" si="5"/>
      </c>
      <c r="I402" s="53">
        <f t="shared" si="6"/>
      </c>
      <c r="J402" s="53">
        <f t="shared" si="7"/>
      </c>
      <c r="K402" s="53">
        <f t="shared" si="8"/>
      </c>
      <c r="L402" s="68">
        <f t="shared" si="9"/>
      </c>
      <c r="M402" s="56">
        <f t="shared" si="10"/>
      </c>
      <c r="N402" s="69">
        <f t="shared" si="11"/>
      </c>
      <c r="O402" s="22">
        <f t="shared" si="12"/>
      </c>
      <c r="P402" s="22">
        <f>IF(往来单位!$C$392="客户",1,0)</f>
        <v>0</v>
      </c>
      <c r="Q402" s="22">
        <f t="shared" si="13"/>
        <v>28</v>
      </c>
    </row>
    <row r="403">
      <c r="A403" s="56">
        <f>IF($B403="","",390)</f>
      </c>
      <c r="B403" s="66">
        <f>IF(390&gt;$Q$613,"",INDEX(往来单位!$B$4:$B$603,MATCH(390,$Q$14:$Q$613,0)))</f>
      </c>
      <c r="C403" s="67">
        <f t="shared" si="0"/>
      </c>
      <c r="D403" s="60">
        <f t="shared" si="1"/>
      </c>
      <c r="E403" s="53">
        <f t="shared" si="2"/>
      </c>
      <c r="F403" s="53">
        <f t="shared" si="3"/>
      </c>
      <c r="G403" s="53">
        <f t="shared" si="4"/>
      </c>
      <c r="H403" s="59">
        <f t="shared" si="5"/>
      </c>
      <c r="I403" s="53">
        <f t="shared" si="6"/>
      </c>
      <c r="J403" s="53">
        <f t="shared" si="7"/>
      </c>
      <c r="K403" s="53">
        <f t="shared" si="8"/>
      </c>
      <c r="L403" s="68">
        <f t="shared" si="9"/>
      </c>
      <c r="M403" s="56">
        <f t="shared" si="10"/>
      </c>
      <c r="N403" s="69">
        <f t="shared" si="11"/>
      </c>
      <c r="O403" s="22">
        <f t="shared" si="12"/>
      </c>
      <c r="P403" s="22">
        <f>IF(往来单位!$C$393="客户",1,0)</f>
        <v>0</v>
      </c>
      <c r="Q403" s="22">
        <f t="shared" si="13"/>
        <v>28</v>
      </c>
    </row>
    <row r="404">
      <c r="A404" s="56">
        <f>IF($B404="","",391)</f>
      </c>
      <c r="B404" s="66">
        <f>IF(391&gt;$Q$613,"",INDEX(往来单位!$B$4:$B$603,MATCH(391,$Q$14:$Q$613,0)))</f>
      </c>
      <c r="C404" s="67">
        <f t="shared" si="0"/>
      </c>
      <c r="D404" s="60">
        <f t="shared" si="1"/>
      </c>
      <c r="E404" s="53">
        <f t="shared" si="2"/>
      </c>
      <c r="F404" s="53">
        <f t="shared" si="3"/>
      </c>
      <c r="G404" s="53">
        <f t="shared" si="4"/>
      </c>
      <c r="H404" s="59">
        <f t="shared" si="5"/>
      </c>
      <c r="I404" s="53">
        <f t="shared" si="6"/>
      </c>
      <c r="J404" s="53">
        <f t="shared" si="7"/>
      </c>
      <c r="K404" s="53">
        <f t="shared" si="8"/>
      </c>
      <c r="L404" s="68">
        <f t="shared" si="9"/>
      </c>
      <c r="M404" s="56">
        <f t="shared" si="10"/>
      </c>
      <c r="N404" s="69">
        <f t="shared" si="11"/>
      </c>
      <c r="O404" s="22">
        <f t="shared" si="12"/>
      </c>
      <c r="P404" s="22">
        <f>IF(往来单位!$C$394="客户",1,0)</f>
        <v>0</v>
      </c>
      <c r="Q404" s="22">
        <f t="shared" si="13"/>
        <v>28</v>
      </c>
    </row>
    <row r="405">
      <c r="A405" s="56">
        <f>IF($B405="","",392)</f>
      </c>
      <c r="B405" s="66">
        <f>IF(392&gt;$Q$613,"",INDEX(往来单位!$B$4:$B$603,MATCH(392,$Q$14:$Q$613,0)))</f>
      </c>
      <c r="C405" s="67">
        <f t="shared" si="0"/>
      </c>
      <c r="D405" s="60">
        <f t="shared" si="1"/>
      </c>
      <c r="E405" s="53">
        <f t="shared" si="2"/>
      </c>
      <c r="F405" s="53">
        <f t="shared" si="3"/>
      </c>
      <c r="G405" s="53">
        <f t="shared" si="4"/>
      </c>
      <c r="H405" s="59">
        <f t="shared" si="5"/>
      </c>
      <c r="I405" s="53">
        <f t="shared" si="6"/>
      </c>
      <c r="J405" s="53">
        <f t="shared" si="7"/>
      </c>
      <c r="K405" s="53">
        <f t="shared" si="8"/>
      </c>
      <c r="L405" s="68">
        <f t="shared" si="9"/>
      </c>
      <c r="M405" s="56">
        <f t="shared" si="10"/>
      </c>
      <c r="N405" s="69">
        <f t="shared" si="11"/>
      </c>
      <c r="O405" s="22">
        <f t="shared" si="12"/>
      </c>
      <c r="P405" s="22">
        <f>IF(往来单位!$C$395="客户",1,0)</f>
        <v>0</v>
      </c>
      <c r="Q405" s="22">
        <f t="shared" si="13"/>
        <v>28</v>
      </c>
    </row>
    <row r="406">
      <c r="A406" s="56">
        <f>IF($B406="","",393)</f>
      </c>
      <c r="B406" s="66">
        <f>IF(393&gt;$Q$613,"",INDEX(往来单位!$B$4:$B$603,MATCH(393,$Q$14:$Q$613,0)))</f>
      </c>
      <c r="C406" s="67">
        <f t="shared" si="0"/>
      </c>
      <c r="D406" s="60">
        <f t="shared" si="1"/>
      </c>
      <c r="E406" s="53">
        <f t="shared" si="2"/>
      </c>
      <c r="F406" s="53">
        <f t="shared" si="3"/>
      </c>
      <c r="G406" s="53">
        <f t="shared" si="4"/>
      </c>
      <c r="H406" s="59">
        <f t="shared" si="5"/>
      </c>
      <c r="I406" s="53">
        <f t="shared" si="6"/>
      </c>
      <c r="J406" s="53">
        <f t="shared" si="7"/>
      </c>
      <c r="K406" s="53">
        <f t="shared" si="8"/>
      </c>
      <c r="L406" s="68">
        <f t="shared" si="9"/>
      </c>
      <c r="M406" s="56">
        <f t="shared" si="10"/>
      </c>
      <c r="N406" s="69">
        <f t="shared" si="11"/>
      </c>
      <c r="O406" s="22">
        <f t="shared" si="12"/>
      </c>
      <c r="P406" s="22">
        <f>IF(往来单位!$C$396="客户",1,0)</f>
        <v>0</v>
      </c>
      <c r="Q406" s="22">
        <f t="shared" si="13"/>
        <v>28</v>
      </c>
    </row>
    <row r="407">
      <c r="A407" s="56">
        <f>IF($B407="","",394)</f>
      </c>
      <c r="B407" s="66">
        <f>IF(394&gt;$Q$613,"",INDEX(往来单位!$B$4:$B$603,MATCH(394,$Q$14:$Q$613,0)))</f>
      </c>
      <c r="C407" s="67">
        <f t="shared" si="0"/>
      </c>
      <c r="D407" s="60">
        <f t="shared" si="1"/>
      </c>
      <c r="E407" s="53">
        <f t="shared" si="2"/>
      </c>
      <c r="F407" s="53">
        <f t="shared" si="3"/>
      </c>
      <c r="G407" s="53">
        <f t="shared" si="4"/>
      </c>
      <c r="H407" s="59">
        <f t="shared" si="5"/>
      </c>
      <c r="I407" s="53">
        <f t="shared" si="6"/>
      </c>
      <c r="J407" s="53">
        <f t="shared" si="7"/>
      </c>
      <c r="K407" s="53">
        <f t="shared" si="8"/>
      </c>
      <c r="L407" s="68">
        <f t="shared" si="9"/>
      </c>
      <c r="M407" s="56">
        <f t="shared" si="10"/>
      </c>
      <c r="N407" s="69">
        <f t="shared" si="11"/>
      </c>
      <c r="O407" s="22">
        <f t="shared" si="12"/>
      </c>
      <c r="P407" s="22">
        <f>IF(往来单位!$C$397="客户",1,0)</f>
        <v>0</v>
      </c>
      <c r="Q407" s="22">
        <f t="shared" si="13"/>
        <v>28</v>
      </c>
    </row>
    <row r="408">
      <c r="A408" s="56">
        <f>IF($B408="","",395)</f>
      </c>
      <c r="B408" s="66">
        <f>IF(395&gt;$Q$613,"",INDEX(往来单位!$B$4:$B$603,MATCH(395,$Q$14:$Q$613,0)))</f>
      </c>
      <c r="C408" s="67">
        <f t="shared" si="0"/>
      </c>
      <c r="D408" s="60">
        <f t="shared" si="1"/>
      </c>
      <c r="E408" s="53">
        <f t="shared" si="2"/>
      </c>
      <c r="F408" s="53">
        <f t="shared" si="3"/>
      </c>
      <c r="G408" s="53">
        <f t="shared" si="4"/>
      </c>
      <c r="H408" s="59">
        <f t="shared" si="5"/>
      </c>
      <c r="I408" s="53">
        <f t="shared" si="6"/>
      </c>
      <c r="J408" s="53">
        <f t="shared" si="7"/>
      </c>
      <c r="K408" s="53">
        <f t="shared" si="8"/>
      </c>
      <c r="L408" s="68">
        <f t="shared" si="9"/>
      </c>
      <c r="M408" s="56">
        <f t="shared" si="10"/>
      </c>
      <c r="N408" s="69">
        <f t="shared" si="11"/>
      </c>
      <c r="O408" s="22">
        <f t="shared" si="12"/>
      </c>
      <c r="P408" s="22">
        <f>IF(往来单位!$C$398="客户",1,0)</f>
        <v>0</v>
      </c>
      <c r="Q408" s="22">
        <f t="shared" si="13"/>
        <v>28</v>
      </c>
    </row>
    <row r="409">
      <c r="A409" s="56">
        <f>IF($B409="","",396)</f>
      </c>
      <c r="B409" s="66">
        <f>IF(396&gt;$Q$613,"",INDEX(往来单位!$B$4:$B$603,MATCH(396,$Q$14:$Q$613,0)))</f>
      </c>
      <c r="C409" s="67">
        <f t="shared" si="0"/>
      </c>
      <c r="D409" s="60">
        <f t="shared" si="1"/>
      </c>
      <c r="E409" s="53">
        <f t="shared" si="2"/>
      </c>
      <c r="F409" s="53">
        <f t="shared" si="3"/>
      </c>
      <c r="G409" s="53">
        <f t="shared" si="4"/>
      </c>
      <c r="H409" s="59">
        <f t="shared" si="5"/>
      </c>
      <c r="I409" s="53">
        <f t="shared" si="6"/>
      </c>
      <c r="J409" s="53">
        <f t="shared" si="7"/>
      </c>
      <c r="K409" s="53">
        <f t="shared" si="8"/>
      </c>
      <c r="L409" s="68">
        <f t="shared" si="9"/>
      </c>
      <c r="M409" s="56">
        <f t="shared" si="10"/>
      </c>
      <c r="N409" s="69">
        <f t="shared" si="11"/>
      </c>
      <c r="O409" s="22">
        <f t="shared" si="12"/>
      </c>
      <c r="P409" s="22">
        <f>IF(往来单位!$C$399="客户",1,0)</f>
        <v>0</v>
      </c>
      <c r="Q409" s="22">
        <f t="shared" si="13"/>
        <v>28</v>
      </c>
    </row>
    <row r="410">
      <c r="A410" s="56">
        <f>IF($B410="","",397)</f>
      </c>
      <c r="B410" s="66">
        <f>IF(397&gt;$Q$613,"",INDEX(往来单位!$B$4:$B$603,MATCH(397,$Q$14:$Q$613,0)))</f>
      </c>
      <c r="C410" s="67">
        <f t="shared" si="0"/>
      </c>
      <c r="D410" s="60">
        <f t="shared" si="1"/>
      </c>
      <c r="E410" s="53">
        <f t="shared" si="2"/>
      </c>
      <c r="F410" s="53">
        <f t="shared" si="3"/>
      </c>
      <c r="G410" s="53">
        <f t="shared" si="4"/>
      </c>
      <c r="H410" s="59">
        <f t="shared" si="5"/>
      </c>
      <c r="I410" s="53">
        <f t="shared" si="6"/>
      </c>
      <c r="J410" s="53">
        <f t="shared" si="7"/>
      </c>
      <c r="K410" s="53">
        <f t="shared" si="8"/>
      </c>
      <c r="L410" s="68">
        <f t="shared" si="9"/>
      </c>
      <c r="M410" s="56">
        <f t="shared" si="10"/>
      </c>
      <c r="N410" s="69">
        <f t="shared" si="11"/>
      </c>
      <c r="O410" s="22">
        <f t="shared" si="12"/>
      </c>
      <c r="P410" s="22">
        <f>IF(往来单位!$C$400="客户",1,0)</f>
        <v>0</v>
      </c>
      <c r="Q410" s="22">
        <f t="shared" si="13"/>
        <v>28</v>
      </c>
    </row>
    <row r="411">
      <c r="A411" s="56">
        <f>IF($B411="","",398)</f>
      </c>
      <c r="B411" s="66">
        <f>IF(398&gt;$Q$613,"",INDEX(往来单位!$B$4:$B$603,MATCH(398,$Q$14:$Q$613,0)))</f>
      </c>
      <c r="C411" s="67">
        <f t="shared" si="0"/>
      </c>
      <c r="D411" s="60">
        <f t="shared" si="1"/>
      </c>
      <c r="E411" s="53">
        <f t="shared" si="2"/>
      </c>
      <c r="F411" s="53">
        <f t="shared" si="3"/>
      </c>
      <c r="G411" s="53">
        <f t="shared" si="4"/>
      </c>
      <c r="H411" s="59">
        <f t="shared" si="5"/>
      </c>
      <c r="I411" s="53">
        <f t="shared" si="6"/>
      </c>
      <c r="J411" s="53">
        <f t="shared" si="7"/>
      </c>
      <c r="K411" s="53">
        <f t="shared" si="8"/>
      </c>
      <c r="L411" s="68">
        <f t="shared" si="9"/>
      </c>
      <c r="M411" s="56">
        <f t="shared" si="10"/>
      </c>
      <c r="N411" s="69">
        <f t="shared" si="11"/>
      </c>
      <c r="O411" s="22">
        <f t="shared" si="12"/>
      </c>
      <c r="P411" s="22">
        <f>IF(往来单位!$C$401="客户",1,0)</f>
        <v>0</v>
      </c>
      <c r="Q411" s="22">
        <f t="shared" si="13"/>
        <v>28</v>
      </c>
    </row>
    <row r="412">
      <c r="A412" s="56">
        <f>IF($B412="","",399)</f>
      </c>
      <c r="B412" s="66">
        <f>IF(399&gt;$Q$613,"",INDEX(往来单位!$B$4:$B$603,MATCH(399,$Q$14:$Q$613,0)))</f>
      </c>
      <c r="C412" s="67">
        <f t="shared" si="0"/>
      </c>
      <c r="D412" s="60">
        <f t="shared" si="1"/>
      </c>
      <c r="E412" s="53">
        <f t="shared" si="2"/>
      </c>
      <c r="F412" s="53">
        <f t="shared" si="3"/>
      </c>
      <c r="G412" s="53">
        <f t="shared" si="4"/>
      </c>
      <c r="H412" s="59">
        <f t="shared" si="5"/>
      </c>
      <c r="I412" s="53">
        <f t="shared" si="6"/>
      </c>
      <c r="J412" s="53">
        <f t="shared" si="7"/>
      </c>
      <c r="K412" s="53">
        <f t="shared" si="8"/>
      </c>
      <c r="L412" s="68">
        <f t="shared" si="9"/>
      </c>
      <c r="M412" s="56">
        <f t="shared" si="10"/>
      </c>
      <c r="N412" s="69">
        <f t="shared" si="11"/>
      </c>
      <c r="O412" s="22">
        <f t="shared" si="12"/>
      </c>
      <c r="P412" s="22">
        <f>IF(往来单位!$C$402="客户",1,0)</f>
        <v>0</v>
      </c>
      <c r="Q412" s="22">
        <f t="shared" si="13"/>
        <v>28</v>
      </c>
    </row>
    <row r="413">
      <c r="A413" s="56">
        <f>IF($B413="","",400)</f>
      </c>
      <c r="B413" s="66">
        <f>IF(400&gt;$Q$613,"",INDEX(往来单位!$B$4:$B$603,MATCH(400,$Q$14:$Q$613,0)))</f>
      </c>
      <c r="C413" s="67">
        <f t="shared" si="0"/>
      </c>
      <c r="D413" s="60">
        <f t="shared" si="1"/>
      </c>
      <c r="E413" s="53">
        <f t="shared" si="2"/>
      </c>
      <c r="F413" s="53">
        <f t="shared" si="3"/>
      </c>
      <c r="G413" s="53">
        <f t="shared" si="4"/>
      </c>
      <c r="H413" s="59">
        <f t="shared" si="5"/>
      </c>
      <c r="I413" s="53">
        <f t="shared" si="6"/>
      </c>
      <c r="J413" s="53">
        <f t="shared" si="7"/>
      </c>
      <c r="K413" s="53">
        <f t="shared" si="8"/>
      </c>
      <c r="L413" s="68">
        <f t="shared" si="9"/>
      </c>
      <c r="M413" s="56">
        <f t="shared" si="10"/>
      </c>
      <c r="N413" s="69">
        <f t="shared" si="11"/>
      </c>
      <c r="O413" s="22">
        <f t="shared" si="12"/>
      </c>
      <c r="P413" s="22">
        <f>IF(往来单位!$C$403="客户",1,0)</f>
        <v>0</v>
      </c>
      <c r="Q413" s="22">
        <f t="shared" si="13"/>
        <v>28</v>
      </c>
    </row>
    <row r="414">
      <c r="A414" s="56">
        <f>IF($B414="","",401)</f>
      </c>
      <c r="B414" s="66">
        <f>IF(401&gt;$Q$613,"",INDEX(往来单位!$B$4:$B$603,MATCH(401,$Q$14:$Q$613,0)))</f>
      </c>
      <c r="C414" s="67">
        <f t="shared" si="0"/>
      </c>
      <c r="D414" s="60">
        <f t="shared" si="1"/>
      </c>
      <c r="E414" s="53">
        <f t="shared" si="2"/>
      </c>
      <c r="F414" s="53">
        <f t="shared" si="3"/>
      </c>
      <c r="G414" s="53">
        <f t="shared" si="4"/>
      </c>
      <c r="H414" s="59">
        <f t="shared" si="5"/>
      </c>
      <c r="I414" s="53">
        <f t="shared" si="6"/>
      </c>
      <c r="J414" s="53">
        <f t="shared" si="7"/>
      </c>
      <c r="K414" s="53">
        <f t="shared" si="8"/>
      </c>
      <c r="L414" s="68">
        <f t="shared" si="9"/>
      </c>
      <c r="M414" s="56">
        <f t="shared" si="10"/>
      </c>
      <c r="N414" s="69">
        <f t="shared" si="11"/>
      </c>
      <c r="O414" s="22">
        <f t="shared" si="12"/>
      </c>
      <c r="P414" s="22">
        <f>IF(往来单位!$C$404="客户",1,0)</f>
        <v>0</v>
      </c>
      <c r="Q414" s="22">
        <f t="shared" si="13"/>
        <v>28</v>
      </c>
    </row>
    <row r="415">
      <c r="A415" s="56">
        <f>IF($B415="","",402)</f>
      </c>
      <c r="B415" s="66">
        <f>IF(402&gt;$Q$613,"",INDEX(往来单位!$B$4:$B$603,MATCH(402,$Q$14:$Q$613,0)))</f>
      </c>
      <c r="C415" s="67">
        <f t="shared" si="0"/>
      </c>
      <c r="D415" s="60">
        <f t="shared" si="1"/>
      </c>
      <c r="E415" s="53">
        <f t="shared" si="2"/>
      </c>
      <c r="F415" s="53">
        <f t="shared" si="3"/>
      </c>
      <c r="G415" s="53">
        <f t="shared" si="4"/>
      </c>
      <c r="H415" s="59">
        <f t="shared" si="5"/>
      </c>
      <c r="I415" s="53">
        <f t="shared" si="6"/>
      </c>
      <c r="J415" s="53">
        <f t="shared" si="7"/>
      </c>
      <c r="K415" s="53">
        <f t="shared" si="8"/>
      </c>
      <c r="L415" s="68">
        <f t="shared" si="9"/>
      </c>
      <c r="M415" s="56">
        <f t="shared" si="10"/>
      </c>
      <c r="N415" s="69">
        <f t="shared" si="11"/>
      </c>
      <c r="O415" s="22">
        <f t="shared" si="12"/>
      </c>
      <c r="P415" s="22">
        <f>IF(往来单位!$C$405="客户",1,0)</f>
        <v>0</v>
      </c>
      <c r="Q415" s="22">
        <f t="shared" si="13"/>
        <v>28</v>
      </c>
    </row>
    <row r="416">
      <c r="A416" s="56">
        <f>IF($B416="","",403)</f>
      </c>
      <c r="B416" s="66">
        <f>IF(403&gt;$Q$613,"",INDEX(往来单位!$B$4:$B$603,MATCH(403,$Q$14:$Q$613,0)))</f>
      </c>
      <c r="C416" s="67">
        <f t="shared" si="0"/>
      </c>
      <c r="D416" s="60">
        <f t="shared" si="1"/>
      </c>
      <c r="E416" s="53">
        <f t="shared" si="2"/>
      </c>
      <c r="F416" s="53">
        <f t="shared" si="3"/>
      </c>
      <c r="G416" s="53">
        <f t="shared" si="4"/>
      </c>
      <c r="H416" s="59">
        <f t="shared" si="5"/>
      </c>
      <c r="I416" s="53">
        <f t="shared" si="6"/>
      </c>
      <c r="J416" s="53">
        <f t="shared" si="7"/>
      </c>
      <c r="K416" s="53">
        <f t="shared" si="8"/>
      </c>
      <c r="L416" s="68">
        <f t="shared" si="9"/>
      </c>
      <c r="M416" s="56">
        <f t="shared" si="10"/>
      </c>
      <c r="N416" s="69">
        <f t="shared" si="11"/>
      </c>
      <c r="O416" s="22">
        <f t="shared" si="12"/>
      </c>
      <c r="P416" s="22">
        <f>IF(往来单位!$C$406="客户",1,0)</f>
        <v>0</v>
      </c>
      <c r="Q416" s="22">
        <f t="shared" si="13"/>
        <v>28</v>
      </c>
    </row>
    <row r="417">
      <c r="A417" s="56">
        <f>IF($B417="","",404)</f>
      </c>
      <c r="B417" s="66">
        <f>IF(404&gt;$Q$613,"",INDEX(往来单位!$B$4:$B$603,MATCH(404,$Q$14:$Q$613,0)))</f>
      </c>
      <c r="C417" s="67">
        <f t="shared" si="0"/>
      </c>
      <c r="D417" s="60">
        <f t="shared" si="1"/>
      </c>
      <c r="E417" s="53">
        <f t="shared" si="2"/>
      </c>
      <c r="F417" s="53">
        <f t="shared" si="3"/>
      </c>
      <c r="G417" s="53">
        <f t="shared" si="4"/>
      </c>
      <c r="H417" s="59">
        <f t="shared" si="5"/>
      </c>
      <c r="I417" s="53">
        <f t="shared" si="6"/>
      </c>
      <c r="J417" s="53">
        <f t="shared" si="7"/>
      </c>
      <c r="K417" s="53">
        <f t="shared" si="8"/>
      </c>
      <c r="L417" s="68">
        <f t="shared" si="9"/>
      </c>
      <c r="M417" s="56">
        <f t="shared" si="10"/>
      </c>
      <c r="N417" s="69">
        <f t="shared" si="11"/>
      </c>
      <c r="O417" s="22">
        <f t="shared" si="12"/>
      </c>
      <c r="P417" s="22">
        <f>IF(往来单位!$C$407="客户",1,0)</f>
        <v>0</v>
      </c>
      <c r="Q417" s="22">
        <f t="shared" si="13"/>
        <v>28</v>
      </c>
    </row>
    <row r="418">
      <c r="A418" s="56">
        <f>IF($B418="","",405)</f>
      </c>
      <c r="B418" s="66">
        <f>IF(405&gt;$Q$613,"",INDEX(往来单位!$B$4:$B$603,MATCH(405,$Q$14:$Q$613,0)))</f>
      </c>
      <c r="C418" s="67">
        <f t="shared" si="0"/>
      </c>
      <c r="D418" s="60">
        <f t="shared" si="1"/>
      </c>
      <c r="E418" s="53">
        <f t="shared" si="2"/>
      </c>
      <c r="F418" s="53">
        <f t="shared" si="3"/>
      </c>
      <c r="G418" s="53">
        <f t="shared" si="4"/>
      </c>
      <c r="H418" s="59">
        <f t="shared" si="5"/>
      </c>
      <c r="I418" s="53">
        <f t="shared" si="6"/>
      </c>
      <c r="J418" s="53">
        <f t="shared" si="7"/>
      </c>
      <c r="K418" s="53">
        <f t="shared" si="8"/>
      </c>
      <c r="L418" s="68">
        <f t="shared" si="9"/>
      </c>
      <c r="M418" s="56">
        <f t="shared" si="10"/>
      </c>
      <c r="N418" s="69">
        <f t="shared" si="11"/>
      </c>
      <c r="O418" s="22">
        <f t="shared" si="12"/>
      </c>
      <c r="P418" s="22">
        <f>IF(往来单位!$C$408="客户",1,0)</f>
        <v>0</v>
      </c>
      <c r="Q418" s="22">
        <f t="shared" si="13"/>
        <v>28</v>
      </c>
    </row>
    <row r="419">
      <c r="A419" s="56">
        <f>IF($B419="","",406)</f>
      </c>
      <c r="B419" s="66">
        <f>IF(406&gt;$Q$613,"",INDEX(往来单位!$B$4:$B$603,MATCH(406,$Q$14:$Q$613,0)))</f>
      </c>
      <c r="C419" s="67">
        <f t="shared" si="0"/>
      </c>
      <c r="D419" s="60">
        <f t="shared" si="1"/>
      </c>
      <c r="E419" s="53">
        <f t="shared" si="2"/>
      </c>
      <c r="F419" s="53">
        <f t="shared" si="3"/>
      </c>
      <c r="G419" s="53">
        <f t="shared" si="4"/>
      </c>
      <c r="H419" s="59">
        <f t="shared" si="5"/>
      </c>
      <c r="I419" s="53">
        <f t="shared" si="6"/>
      </c>
      <c r="J419" s="53">
        <f t="shared" si="7"/>
      </c>
      <c r="K419" s="53">
        <f t="shared" si="8"/>
      </c>
      <c r="L419" s="68">
        <f t="shared" si="9"/>
      </c>
      <c r="M419" s="56">
        <f t="shared" si="10"/>
      </c>
      <c r="N419" s="69">
        <f t="shared" si="11"/>
      </c>
      <c r="O419" s="22">
        <f t="shared" si="12"/>
      </c>
      <c r="P419" s="22">
        <f>IF(往来单位!$C$409="客户",1,0)</f>
        <v>0</v>
      </c>
      <c r="Q419" s="22">
        <f t="shared" si="13"/>
        <v>28</v>
      </c>
    </row>
    <row r="420">
      <c r="A420" s="56">
        <f>IF($B420="","",407)</f>
      </c>
      <c r="B420" s="66">
        <f>IF(407&gt;$Q$613,"",INDEX(往来单位!$B$4:$B$603,MATCH(407,$Q$14:$Q$613,0)))</f>
      </c>
      <c r="C420" s="67">
        <f t="shared" si="0"/>
      </c>
      <c r="D420" s="60">
        <f t="shared" si="1"/>
      </c>
      <c r="E420" s="53">
        <f t="shared" si="2"/>
      </c>
      <c r="F420" s="53">
        <f t="shared" si="3"/>
      </c>
      <c r="G420" s="53">
        <f t="shared" si="4"/>
      </c>
      <c r="H420" s="59">
        <f t="shared" si="5"/>
      </c>
      <c r="I420" s="53">
        <f t="shared" si="6"/>
      </c>
      <c r="J420" s="53">
        <f t="shared" si="7"/>
      </c>
      <c r="K420" s="53">
        <f t="shared" si="8"/>
      </c>
      <c r="L420" s="68">
        <f t="shared" si="9"/>
      </c>
      <c r="M420" s="56">
        <f t="shared" si="10"/>
      </c>
      <c r="N420" s="69">
        <f t="shared" si="11"/>
      </c>
      <c r="O420" s="22">
        <f t="shared" si="12"/>
      </c>
      <c r="P420" s="22">
        <f>IF(往来单位!$C$410="客户",1,0)</f>
        <v>0</v>
      </c>
      <c r="Q420" s="22">
        <f t="shared" si="13"/>
        <v>28</v>
      </c>
    </row>
    <row r="421">
      <c r="A421" s="56">
        <f>IF($B421="","",408)</f>
      </c>
      <c r="B421" s="66">
        <f>IF(408&gt;$Q$613,"",INDEX(往来单位!$B$4:$B$603,MATCH(408,$Q$14:$Q$613,0)))</f>
      </c>
      <c r="C421" s="67">
        <f t="shared" si="0"/>
      </c>
      <c r="D421" s="60">
        <f t="shared" si="1"/>
      </c>
      <c r="E421" s="53">
        <f t="shared" si="2"/>
      </c>
      <c r="F421" s="53">
        <f t="shared" si="3"/>
      </c>
      <c r="G421" s="53">
        <f t="shared" si="4"/>
      </c>
      <c r="H421" s="59">
        <f t="shared" si="5"/>
      </c>
      <c r="I421" s="53">
        <f t="shared" si="6"/>
      </c>
      <c r="J421" s="53">
        <f t="shared" si="7"/>
      </c>
      <c r="K421" s="53">
        <f t="shared" si="8"/>
      </c>
      <c r="L421" s="68">
        <f t="shared" si="9"/>
      </c>
      <c r="M421" s="56">
        <f t="shared" si="10"/>
      </c>
      <c r="N421" s="69">
        <f t="shared" si="11"/>
      </c>
      <c r="O421" s="22">
        <f t="shared" si="12"/>
      </c>
      <c r="P421" s="22">
        <f>IF(往来单位!$C$411="客户",1,0)</f>
        <v>0</v>
      </c>
      <c r="Q421" s="22">
        <f t="shared" si="13"/>
        <v>28</v>
      </c>
    </row>
    <row r="422">
      <c r="A422" s="56">
        <f>IF($B422="","",409)</f>
      </c>
      <c r="B422" s="66">
        <f>IF(409&gt;$Q$613,"",INDEX(往来单位!$B$4:$B$603,MATCH(409,$Q$14:$Q$613,0)))</f>
      </c>
      <c r="C422" s="67">
        <f t="shared" si="0"/>
      </c>
      <c r="D422" s="60">
        <f t="shared" si="1"/>
      </c>
      <c r="E422" s="53">
        <f t="shared" si="2"/>
      </c>
      <c r="F422" s="53">
        <f t="shared" si="3"/>
      </c>
      <c r="G422" s="53">
        <f t="shared" si="4"/>
      </c>
      <c r="H422" s="59">
        <f t="shared" si="5"/>
      </c>
      <c r="I422" s="53">
        <f t="shared" si="6"/>
      </c>
      <c r="J422" s="53">
        <f t="shared" si="7"/>
      </c>
      <c r="K422" s="53">
        <f t="shared" si="8"/>
      </c>
      <c r="L422" s="68">
        <f t="shared" si="9"/>
      </c>
      <c r="M422" s="56">
        <f t="shared" si="10"/>
      </c>
      <c r="N422" s="69">
        <f t="shared" si="11"/>
      </c>
      <c r="O422" s="22">
        <f t="shared" si="12"/>
      </c>
      <c r="P422" s="22">
        <f>IF(往来单位!$C$412="客户",1,0)</f>
        <v>0</v>
      </c>
      <c r="Q422" s="22">
        <f t="shared" si="13"/>
        <v>28</v>
      </c>
    </row>
    <row r="423">
      <c r="A423" s="56">
        <f>IF($B423="","",410)</f>
      </c>
      <c r="B423" s="66">
        <f>IF(410&gt;$Q$613,"",INDEX(往来单位!$B$4:$B$603,MATCH(410,$Q$14:$Q$613,0)))</f>
      </c>
      <c r="C423" s="67">
        <f t="shared" si="0"/>
      </c>
      <c r="D423" s="60">
        <f t="shared" si="1"/>
      </c>
      <c r="E423" s="53">
        <f t="shared" si="2"/>
      </c>
      <c r="F423" s="53">
        <f t="shared" si="3"/>
      </c>
      <c r="G423" s="53">
        <f t="shared" si="4"/>
      </c>
      <c r="H423" s="59">
        <f t="shared" si="5"/>
      </c>
      <c r="I423" s="53">
        <f t="shared" si="6"/>
      </c>
      <c r="J423" s="53">
        <f t="shared" si="7"/>
      </c>
      <c r="K423" s="53">
        <f t="shared" si="8"/>
      </c>
      <c r="L423" s="68">
        <f t="shared" si="9"/>
      </c>
      <c r="M423" s="56">
        <f t="shared" si="10"/>
      </c>
      <c r="N423" s="69">
        <f t="shared" si="11"/>
      </c>
      <c r="O423" s="22">
        <f t="shared" si="12"/>
      </c>
      <c r="P423" s="22">
        <f>IF(往来单位!$C$413="客户",1,0)</f>
        <v>0</v>
      </c>
      <c r="Q423" s="22">
        <f t="shared" si="13"/>
        <v>28</v>
      </c>
    </row>
    <row r="424">
      <c r="A424" s="56">
        <f>IF($B424="","",411)</f>
      </c>
      <c r="B424" s="66">
        <f>IF(411&gt;$Q$613,"",INDEX(往来单位!$B$4:$B$603,MATCH(411,$Q$14:$Q$613,0)))</f>
      </c>
      <c r="C424" s="67">
        <f t="shared" si="0"/>
      </c>
      <c r="D424" s="60">
        <f t="shared" si="1"/>
      </c>
      <c r="E424" s="53">
        <f t="shared" si="2"/>
      </c>
      <c r="F424" s="53">
        <f t="shared" si="3"/>
      </c>
      <c r="G424" s="53">
        <f t="shared" si="4"/>
      </c>
      <c r="H424" s="59">
        <f t="shared" si="5"/>
      </c>
      <c r="I424" s="53">
        <f t="shared" si="6"/>
      </c>
      <c r="J424" s="53">
        <f t="shared" si="7"/>
      </c>
      <c r="K424" s="53">
        <f t="shared" si="8"/>
      </c>
      <c r="L424" s="68">
        <f t="shared" si="9"/>
      </c>
      <c r="M424" s="56">
        <f t="shared" si="10"/>
      </c>
      <c r="N424" s="69">
        <f t="shared" si="11"/>
      </c>
      <c r="O424" s="22">
        <f t="shared" si="12"/>
      </c>
      <c r="P424" s="22">
        <f>IF(往来单位!$C$414="客户",1,0)</f>
        <v>0</v>
      </c>
      <c r="Q424" s="22">
        <f t="shared" si="13"/>
        <v>28</v>
      </c>
    </row>
    <row r="425">
      <c r="A425" s="56">
        <f>IF($B425="","",412)</f>
      </c>
      <c r="B425" s="66">
        <f>IF(412&gt;$Q$613,"",INDEX(往来单位!$B$4:$B$603,MATCH(412,$Q$14:$Q$613,0)))</f>
      </c>
      <c r="C425" s="67">
        <f t="shared" si="0"/>
      </c>
      <c r="D425" s="60">
        <f t="shared" si="1"/>
      </c>
      <c r="E425" s="53">
        <f t="shared" si="2"/>
      </c>
      <c r="F425" s="53">
        <f t="shared" si="3"/>
      </c>
      <c r="G425" s="53">
        <f t="shared" si="4"/>
      </c>
      <c r="H425" s="59">
        <f t="shared" si="5"/>
      </c>
      <c r="I425" s="53">
        <f t="shared" si="6"/>
      </c>
      <c r="J425" s="53">
        <f t="shared" si="7"/>
      </c>
      <c r="K425" s="53">
        <f t="shared" si="8"/>
      </c>
      <c r="L425" s="68">
        <f t="shared" si="9"/>
      </c>
      <c r="M425" s="56">
        <f t="shared" si="10"/>
      </c>
      <c r="N425" s="69">
        <f t="shared" si="11"/>
      </c>
      <c r="O425" s="22">
        <f t="shared" si="12"/>
      </c>
      <c r="P425" s="22">
        <f>IF(往来单位!$C$415="客户",1,0)</f>
        <v>0</v>
      </c>
      <c r="Q425" s="22">
        <f t="shared" si="13"/>
        <v>28</v>
      </c>
    </row>
    <row r="426">
      <c r="A426" s="56">
        <f>IF($B426="","",413)</f>
      </c>
      <c r="B426" s="66">
        <f>IF(413&gt;$Q$613,"",INDEX(往来单位!$B$4:$B$603,MATCH(413,$Q$14:$Q$613,0)))</f>
      </c>
      <c r="C426" s="67">
        <f t="shared" si="0"/>
      </c>
      <c r="D426" s="60">
        <f t="shared" si="1"/>
      </c>
      <c r="E426" s="53">
        <f t="shared" si="2"/>
      </c>
      <c r="F426" s="53">
        <f t="shared" si="3"/>
      </c>
      <c r="G426" s="53">
        <f t="shared" si="4"/>
      </c>
      <c r="H426" s="59">
        <f t="shared" si="5"/>
      </c>
      <c r="I426" s="53">
        <f t="shared" si="6"/>
      </c>
      <c r="J426" s="53">
        <f t="shared" si="7"/>
      </c>
      <c r="K426" s="53">
        <f t="shared" si="8"/>
      </c>
      <c r="L426" s="68">
        <f t="shared" si="9"/>
      </c>
      <c r="M426" s="56">
        <f t="shared" si="10"/>
      </c>
      <c r="N426" s="69">
        <f t="shared" si="11"/>
      </c>
      <c r="O426" s="22">
        <f t="shared" si="12"/>
      </c>
      <c r="P426" s="22">
        <f>IF(往来单位!$C$416="客户",1,0)</f>
        <v>0</v>
      </c>
      <c r="Q426" s="22">
        <f t="shared" si="13"/>
        <v>28</v>
      </c>
    </row>
    <row r="427">
      <c r="A427" s="56">
        <f>IF($B427="","",414)</f>
      </c>
      <c r="B427" s="66">
        <f>IF(414&gt;$Q$613,"",INDEX(往来单位!$B$4:$B$603,MATCH(414,$Q$14:$Q$613,0)))</f>
      </c>
      <c r="C427" s="67">
        <f t="shared" si="0"/>
      </c>
      <c r="D427" s="60">
        <f t="shared" si="1"/>
      </c>
      <c r="E427" s="53">
        <f t="shared" si="2"/>
      </c>
      <c r="F427" s="53">
        <f t="shared" si="3"/>
      </c>
      <c r="G427" s="53">
        <f t="shared" si="4"/>
      </c>
      <c r="H427" s="59">
        <f t="shared" si="5"/>
      </c>
      <c r="I427" s="53">
        <f t="shared" si="6"/>
      </c>
      <c r="J427" s="53">
        <f t="shared" si="7"/>
      </c>
      <c r="K427" s="53">
        <f t="shared" si="8"/>
      </c>
      <c r="L427" s="68">
        <f t="shared" si="9"/>
      </c>
      <c r="M427" s="56">
        <f t="shared" si="10"/>
      </c>
      <c r="N427" s="69">
        <f t="shared" si="11"/>
      </c>
      <c r="O427" s="22">
        <f t="shared" si="12"/>
      </c>
      <c r="P427" s="22">
        <f>IF(往来单位!$C$417="客户",1,0)</f>
        <v>0</v>
      </c>
      <c r="Q427" s="22">
        <f t="shared" si="13"/>
        <v>28</v>
      </c>
    </row>
    <row r="428">
      <c r="A428" s="56">
        <f>IF($B428="","",415)</f>
      </c>
      <c r="B428" s="66">
        <f>IF(415&gt;$Q$613,"",INDEX(往来单位!$B$4:$B$603,MATCH(415,$Q$14:$Q$613,0)))</f>
      </c>
      <c r="C428" s="67">
        <f t="shared" si="0"/>
      </c>
      <c r="D428" s="60">
        <f t="shared" si="1"/>
      </c>
      <c r="E428" s="53">
        <f t="shared" si="2"/>
      </c>
      <c r="F428" s="53">
        <f t="shared" si="3"/>
      </c>
      <c r="G428" s="53">
        <f t="shared" si="4"/>
      </c>
      <c r="H428" s="59">
        <f t="shared" si="5"/>
      </c>
      <c r="I428" s="53">
        <f t="shared" si="6"/>
      </c>
      <c r="J428" s="53">
        <f t="shared" si="7"/>
      </c>
      <c r="K428" s="53">
        <f t="shared" si="8"/>
      </c>
      <c r="L428" s="68">
        <f t="shared" si="9"/>
      </c>
      <c r="M428" s="56">
        <f t="shared" si="10"/>
      </c>
      <c r="N428" s="69">
        <f t="shared" si="11"/>
      </c>
      <c r="O428" s="22">
        <f t="shared" si="12"/>
      </c>
      <c r="P428" s="22">
        <f>IF(往来单位!$C$418="客户",1,0)</f>
        <v>0</v>
      </c>
      <c r="Q428" s="22">
        <f t="shared" si="13"/>
        <v>28</v>
      </c>
    </row>
    <row r="429">
      <c r="A429" s="56">
        <f>IF($B429="","",416)</f>
      </c>
      <c r="B429" s="66">
        <f>IF(416&gt;$Q$613,"",INDEX(往来单位!$B$4:$B$603,MATCH(416,$Q$14:$Q$613,0)))</f>
      </c>
      <c r="C429" s="67">
        <f t="shared" si="0"/>
      </c>
      <c r="D429" s="60">
        <f t="shared" si="1"/>
      </c>
      <c r="E429" s="53">
        <f t="shared" si="2"/>
      </c>
      <c r="F429" s="53">
        <f t="shared" si="3"/>
      </c>
      <c r="G429" s="53">
        <f t="shared" si="4"/>
      </c>
      <c r="H429" s="59">
        <f t="shared" si="5"/>
      </c>
      <c r="I429" s="53">
        <f t="shared" si="6"/>
      </c>
      <c r="J429" s="53">
        <f t="shared" si="7"/>
      </c>
      <c r="K429" s="53">
        <f t="shared" si="8"/>
      </c>
      <c r="L429" s="68">
        <f t="shared" si="9"/>
      </c>
      <c r="M429" s="56">
        <f t="shared" si="10"/>
      </c>
      <c r="N429" s="69">
        <f t="shared" si="11"/>
      </c>
      <c r="O429" s="22">
        <f t="shared" si="12"/>
      </c>
      <c r="P429" s="22">
        <f>IF(往来单位!$C$419="客户",1,0)</f>
        <v>0</v>
      </c>
      <c r="Q429" s="22">
        <f t="shared" si="13"/>
        <v>28</v>
      </c>
    </row>
    <row r="430">
      <c r="A430" s="56">
        <f>IF($B430="","",417)</f>
      </c>
      <c r="B430" s="66">
        <f>IF(417&gt;$Q$613,"",INDEX(往来单位!$B$4:$B$603,MATCH(417,$Q$14:$Q$613,0)))</f>
      </c>
      <c r="C430" s="67">
        <f t="shared" si="0"/>
      </c>
      <c r="D430" s="60">
        <f t="shared" si="1"/>
      </c>
      <c r="E430" s="53">
        <f t="shared" si="2"/>
      </c>
      <c r="F430" s="53">
        <f t="shared" si="3"/>
      </c>
      <c r="G430" s="53">
        <f t="shared" si="4"/>
      </c>
      <c r="H430" s="59">
        <f t="shared" si="5"/>
      </c>
      <c r="I430" s="53">
        <f t="shared" si="6"/>
      </c>
      <c r="J430" s="53">
        <f t="shared" si="7"/>
      </c>
      <c r="K430" s="53">
        <f t="shared" si="8"/>
      </c>
      <c r="L430" s="68">
        <f t="shared" si="9"/>
      </c>
      <c r="M430" s="56">
        <f t="shared" si="10"/>
      </c>
      <c r="N430" s="69">
        <f t="shared" si="11"/>
      </c>
      <c r="O430" s="22">
        <f t="shared" si="12"/>
      </c>
      <c r="P430" s="22">
        <f>IF(往来单位!$C$420="客户",1,0)</f>
        <v>0</v>
      </c>
      <c r="Q430" s="22">
        <f t="shared" si="13"/>
        <v>28</v>
      </c>
    </row>
    <row r="431">
      <c r="A431" s="56">
        <f>IF($B431="","",418)</f>
      </c>
      <c r="B431" s="66">
        <f>IF(418&gt;$Q$613,"",INDEX(往来单位!$B$4:$B$603,MATCH(418,$Q$14:$Q$613,0)))</f>
      </c>
      <c r="C431" s="67">
        <f t="shared" si="0"/>
      </c>
      <c r="D431" s="60">
        <f t="shared" si="1"/>
      </c>
      <c r="E431" s="53">
        <f t="shared" si="2"/>
      </c>
      <c r="F431" s="53">
        <f t="shared" si="3"/>
      </c>
      <c r="G431" s="53">
        <f t="shared" si="4"/>
      </c>
      <c r="H431" s="59">
        <f t="shared" si="5"/>
      </c>
      <c r="I431" s="53">
        <f t="shared" si="6"/>
      </c>
      <c r="J431" s="53">
        <f t="shared" si="7"/>
      </c>
      <c r="K431" s="53">
        <f t="shared" si="8"/>
      </c>
      <c r="L431" s="68">
        <f t="shared" si="9"/>
      </c>
      <c r="M431" s="56">
        <f t="shared" si="10"/>
      </c>
      <c r="N431" s="69">
        <f t="shared" si="11"/>
      </c>
      <c r="O431" s="22">
        <f t="shared" si="12"/>
      </c>
      <c r="P431" s="22">
        <f>IF(往来单位!$C$421="客户",1,0)</f>
        <v>0</v>
      </c>
      <c r="Q431" s="22">
        <f t="shared" si="13"/>
        <v>28</v>
      </c>
    </row>
    <row r="432">
      <c r="A432" s="56">
        <f>IF($B432="","",419)</f>
      </c>
      <c r="B432" s="66">
        <f>IF(419&gt;$Q$613,"",INDEX(往来单位!$B$4:$B$603,MATCH(419,$Q$14:$Q$613,0)))</f>
      </c>
      <c r="C432" s="67">
        <f t="shared" si="0"/>
      </c>
      <c r="D432" s="60">
        <f t="shared" si="1"/>
      </c>
      <c r="E432" s="53">
        <f t="shared" si="2"/>
      </c>
      <c r="F432" s="53">
        <f t="shared" si="3"/>
      </c>
      <c r="G432" s="53">
        <f t="shared" si="4"/>
      </c>
      <c r="H432" s="59">
        <f t="shared" si="5"/>
      </c>
      <c r="I432" s="53">
        <f t="shared" si="6"/>
      </c>
      <c r="J432" s="53">
        <f t="shared" si="7"/>
      </c>
      <c r="K432" s="53">
        <f t="shared" si="8"/>
      </c>
      <c r="L432" s="68">
        <f t="shared" si="9"/>
      </c>
      <c r="M432" s="56">
        <f t="shared" si="10"/>
      </c>
      <c r="N432" s="69">
        <f t="shared" si="11"/>
      </c>
      <c r="O432" s="22">
        <f t="shared" si="12"/>
      </c>
      <c r="P432" s="22">
        <f>IF(往来单位!$C$422="客户",1,0)</f>
        <v>0</v>
      </c>
      <c r="Q432" s="22">
        <f t="shared" si="13"/>
        <v>28</v>
      </c>
    </row>
    <row r="433">
      <c r="A433" s="56">
        <f>IF($B433="","",420)</f>
      </c>
      <c r="B433" s="66">
        <f>IF(420&gt;$Q$613,"",INDEX(往来单位!$B$4:$B$603,MATCH(420,$Q$14:$Q$613,0)))</f>
      </c>
      <c r="C433" s="67">
        <f t="shared" si="0"/>
      </c>
      <c r="D433" s="60">
        <f t="shared" si="1"/>
      </c>
      <c r="E433" s="53">
        <f t="shared" si="2"/>
      </c>
      <c r="F433" s="53">
        <f t="shared" si="3"/>
      </c>
      <c r="G433" s="53">
        <f t="shared" si="4"/>
      </c>
      <c r="H433" s="59">
        <f t="shared" si="5"/>
      </c>
      <c r="I433" s="53">
        <f t="shared" si="6"/>
      </c>
      <c r="J433" s="53">
        <f t="shared" si="7"/>
      </c>
      <c r="K433" s="53">
        <f t="shared" si="8"/>
      </c>
      <c r="L433" s="68">
        <f t="shared" si="9"/>
      </c>
      <c r="M433" s="56">
        <f t="shared" si="10"/>
      </c>
      <c r="N433" s="69">
        <f t="shared" si="11"/>
      </c>
      <c r="O433" s="22">
        <f t="shared" si="12"/>
      </c>
      <c r="P433" s="22">
        <f>IF(往来单位!$C$423="客户",1,0)</f>
        <v>0</v>
      </c>
      <c r="Q433" s="22">
        <f t="shared" si="13"/>
        <v>28</v>
      </c>
    </row>
    <row r="434">
      <c r="A434" s="56">
        <f>IF($B434="","",421)</f>
      </c>
      <c r="B434" s="66">
        <f>IF(421&gt;$Q$613,"",INDEX(往来单位!$B$4:$B$603,MATCH(421,$Q$14:$Q$613,0)))</f>
      </c>
      <c r="C434" s="67">
        <f t="shared" si="0"/>
      </c>
      <c r="D434" s="60">
        <f t="shared" si="1"/>
      </c>
      <c r="E434" s="53">
        <f t="shared" si="2"/>
      </c>
      <c r="F434" s="53">
        <f t="shared" si="3"/>
      </c>
      <c r="G434" s="53">
        <f t="shared" si="4"/>
      </c>
      <c r="H434" s="59">
        <f t="shared" si="5"/>
      </c>
      <c r="I434" s="53">
        <f t="shared" si="6"/>
      </c>
      <c r="J434" s="53">
        <f t="shared" si="7"/>
      </c>
      <c r="K434" s="53">
        <f t="shared" si="8"/>
      </c>
      <c r="L434" s="68">
        <f t="shared" si="9"/>
      </c>
      <c r="M434" s="56">
        <f t="shared" si="10"/>
      </c>
      <c r="N434" s="69">
        <f t="shared" si="11"/>
      </c>
      <c r="O434" s="22">
        <f t="shared" si="12"/>
      </c>
      <c r="P434" s="22">
        <f>IF(往来单位!$C$424="客户",1,0)</f>
        <v>0</v>
      </c>
      <c r="Q434" s="22">
        <f t="shared" si="13"/>
        <v>28</v>
      </c>
    </row>
    <row r="435">
      <c r="A435" s="56">
        <f>IF($B435="","",422)</f>
      </c>
      <c r="B435" s="66">
        <f>IF(422&gt;$Q$613,"",INDEX(往来单位!$B$4:$B$603,MATCH(422,$Q$14:$Q$613,0)))</f>
      </c>
      <c r="C435" s="67">
        <f t="shared" si="0"/>
      </c>
      <c r="D435" s="60">
        <f t="shared" si="1"/>
      </c>
      <c r="E435" s="53">
        <f t="shared" si="2"/>
      </c>
      <c r="F435" s="53">
        <f t="shared" si="3"/>
      </c>
      <c r="G435" s="53">
        <f t="shared" si="4"/>
      </c>
      <c r="H435" s="59">
        <f t="shared" si="5"/>
      </c>
      <c r="I435" s="53">
        <f t="shared" si="6"/>
      </c>
      <c r="J435" s="53">
        <f t="shared" si="7"/>
      </c>
      <c r="K435" s="53">
        <f t="shared" si="8"/>
      </c>
      <c r="L435" s="68">
        <f t="shared" si="9"/>
      </c>
      <c r="M435" s="56">
        <f t="shared" si="10"/>
      </c>
      <c r="N435" s="69">
        <f t="shared" si="11"/>
      </c>
      <c r="O435" s="22">
        <f t="shared" si="12"/>
      </c>
      <c r="P435" s="22">
        <f>IF(往来单位!$C$425="客户",1,0)</f>
        <v>0</v>
      </c>
      <c r="Q435" s="22">
        <f t="shared" si="13"/>
        <v>28</v>
      </c>
    </row>
    <row r="436">
      <c r="A436" s="56">
        <f>IF($B436="","",423)</f>
      </c>
      <c r="B436" s="66">
        <f>IF(423&gt;$Q$613,"",INDEX(往来单位!$B$4:$B$603,MATCH(423,$Q$14:$Q$613,0)))</f>
      </c>
      <c r="C436" s="67">
        <f t="shared" si="0"/>
      </c>
      <c r="D436" s="60">
        <f t="shared" si="1"/>
      </c>
      <c r="E436" s="53">
        <f t="shared" si="2"/>
      </c>
      <c r="F436" s="53">
        <f t="shared" si="3"/>
      </c>
      <c r="G436" s="53">
        <f t="shared" si="4"/>
      </c>
      <c r="H436" s="59">
        <f t="shared" si="5"/>
      </c>
      <c r="I436" s="53">
        <f t="shared" si="6"/>
      </c>
      <c r="J436" s="53">
        <f t="shared" si="7"/>
      </c>
      <c r="K436" s="53">
        <f t="shared" si="8"/>
      </c>
      <c r="L436" s="68">
        <f t="shared" si="9"/>
      </c>
      <c r="M436" s="56">
        <f t="shared" si="10"/>
      </c>
      <c r="N436" s="69">
        <f t="shared" si="11"/>
      </c>
      <c r="O436" s="22">
        <f t="shared" si="12"/>
      </c>
      <c r="P436" s="22">
        <f>IF(往来单位!$C$426="客户",1,0)</f>
        <v>0</v>
      </c>
      <c r="Q436" s="22">
        <f t="shared" si="13"/>
        <v>28</v>
      </c>
    </row>
    <row r="437">
      <c r="A437" s="56">
        <f>IF($B437="","",424)</f>
      </c>
      <c r="B437" s="66">
        <f>IF(424&gt;$Q$613,"",INDEX(往来单位!$B$4:$B$603,MATCH(424,$Q$14:$Q$613,0)))</f>
      </c>
      <c r="C437" s="67">
        <f t="shared" si="0"/>
      </c>
      <c r="D437" s="60">
        <f t="shared" si="1"/>
      </c>
      <c r="E437" s="53">
        <f t="shared" si="2"/>
      </c>
      <c r="F437" s="53">
        <f t="shared" si="3"/>
      </c>
      <c r="G437" s="53">
        <f t="shared" si="4"/>
      </c>
      <c r="H437" s="59">
        <f t="shared" si="5"/>
      </c>
      <c r="I437" s="53">
        <f t="shared" si="6"/>
      </c>
      <c r="J437" s="53">
        <f t="shared" si="7"/>
      </c>
      <c r="K437" s="53">
        <f t="shared" si="8"/>
      </c>
      <c r="L437" s="68">
        <f t="shared" si="9"/>
      </c>
      <c r="M437" s="56">
        <f t="shared" si="10"/>
      </c>
      <c r="N437" s="69">
        <f t="shared" si="11"/>
      </c>
      <c r="O437" s="22">
        <f t="shared" si="12"/>
      </c>
      <c r="P437" s="22">
        <f>IF(往来单位!$C$427="客户",1,0)</f>
        <v>0</v>
      </c>
      <c r="Q437" s="22">
        <f t="shared" si="13"/>
        <v>28</v>
      </c>
    </row>
    <row r="438">
      <c r="A438" s="56">
        <f>IF($B438="","",425)</f>
      </c>
      <c r="B438" s="66">
        <f>IF(425&gt;$Q$613,"",INDEX(往来单位!$B$4:$B$603,MATCH(425,$Q$14:$Q$613,0)))</f>
      </c>
      <c r="C438" s="67">
        <f t="shared" si="0"/>
      </c>
      <c r="D438" s="60">
        <f t="shared" si="1"/>
      </c>
      <c r="E438" s="53">
        <f t="shared" si="2"/>
      </c>
      <c r="F438" s="53">
        <f t="shared" si="3"/>
      </c>
      <c r="G438" s="53">
        <f t="shared" si="4"/>
      </c>
      <c r="H438" s="59">
        <f t="shared" si="5"/>
      </c>
      <c r="I438" s="53">
        <f t="shared" si="6"/>
      </c>
      <c r="J438" s="53">
        <f t="shared" si="7"/>
      </c>
      <c r="K438" s="53">
        <f t="shared" si="8"/>
      </c>
      <c r="L438" s="68">
        <f t="shared" si="9"/>
      </c>
      <c r="M438" s="56">
        <f t="shared" si="10"/>
      </c>
      <c r="N438" s="69">
        <f t="shared" si="11"/>
      </c>
      <c r="O438" s="22">
        <f t="shared" si="12"/>
      </c>
      <c r="P438" s="22">
        <f>IF(往来单位!$C$428="客户",1,0)</f>
        <v>0</v>
      </c>
      <c r="Q438" s="22">
        <f t="shared" si="13"/>
        <v>28</v>
      </c>
    </row>
    <row r="439">
      <c r="A439" s="56">
        <f>IF($B439="","",426)</f>
      </c>
      <c r="B439" s="66">
        <f>IF(426&gt;$Q$613,"",INDEX(往来单位!$B$4:$B$603,MATCH(426,$Q$14:$Q$613,0)))</f>
      </c>
      <c r="C439" s="67">
        <f t="shared" si="0"/>
      </c>
      <c r="D439" s="60">
        <f t="shared" si="1"/>
      </c>
      <c r="E439" s="53">
        <f t="shared" si="2"/>
      </c>
      <c r="F439" s="53">
        <f t="shared" si="3"/>
      </c>
      <c r="G439" s="53">
        <f t="shared" si="4"/>
      </c>
      <c r="H439" s="59">
        <f t="shared" si="5"/>
      </c>
      <c r="I439" s="53">
        <f t="shared" si="6"/>
      </c>
      <c r="J439" s="53">
        <f t="shared" si="7"/>
      </c>
      <c r="K439" s="53">
        <f t="shared" si="8"/>
      </c>
      <c r="L439" s="68">
        <f t="shared" si="9"/>
      </c>
      <c r="M439" s="56">
        <f t="shared" si="10"/>
      </c>
      <c r="N439" s="69">
        <f t="shared" si="11"/>
      </c>
      <c r="O439" s="22">
        <f t="shared" si="12"/>
      </c>
      <c r="P439" s="22">
        <f>IF(往来单位!$C$429="客户",1,0)</f>
        <v>0</v>
      </c>
      <c r="Q439" s="22">
        <f t="shared" si="13"/>
        <v>28</v>
      </c>
    </row>
    <row r="440">
      <c r="A440" s="56">
        <f>IF($B440="","",427)</f>
      </c>
      <c r="B440" s="66">
        <f>IF(427&gt;$Q$613,"",INDEX(往来单位!$B$4:$B$603,MATCH(427,$Q$14:$Q$613,0)))</f>
      </c>
      <c r="C440" s="67">
        <f t="shared" si="0"/>
      </c>
      <c r="D440" s="60">
        <f t="shared" si="1"/>
      </c>
      <c r="E440" s="53">
        <f t="shared" si="2"/>
      </c>
      <c r="F440" s="53">
        <f t="shared" si="3"/>
      </c>
      <c r="G440" s="53">
        <f t="shared" si="4"/>
      </c>
      <c r="H440" s="59">
        <f t="shared" si="5"/>
      </c>
      <c r="I440" s="53">
        <f t="shared" si="6"/>
      </c>
      <c r="J440" s="53">
        <f t="shared" si="7"/>
      </c>
      <c r="K440" s="53">
        <f t="shared" si="8"/>
      </c>
      <c r="L440" s="68">
        <f t="shared" si="9"/>
      </c>
      <c r="M440" s="56">
        <f t="shared" si="10"/>
      </c>
      <c r="N440" s="69">
        <f t="shared" si="11"/>
      </c>
      <c r="O440" s="22">
        <f t="shared" si="12"/>
      </c>
      <c r="P440" s="22">
        <f>IF(往来单位!$C$430="客户",1,0)</f>
        <v>0</v>
      </c>
      <c r="Q440" s="22">
        <f t="shared" si="13"/>
        <v>28</v>
      </c>
    </row>
    <row r="441">
      <c r="A441" s="56">
        <f>IF($B441="","",428)</f>
      </c>
      <c r="B441" s="66">
        <f>IF(428&gt;$Q$613,"",INDEX(往来单位!$B$4:$B$603,MATCH(428,$Q$14:$Q$613,0)))</f>
      </c>
      <c r="C441" s="67">
        <f t="shared" si="0"/>
      </c>
      <c r="D441" s="60">
        <f t="shared" si="1"/>
      </c>
      <c r="E441" s="53">
        <f t="shared" si="2"/>
      </c>
      <c r="F441" s="53">
        <f t="shared" si="3"/>
      </c>
      <c r="G441" s="53">
        <f t="shared" si="4"/>
      </c>
      <c r="H441" s="59">
        <f t="shared" si="5"/>
      </c>
      <c r="I441" s="53">
        <f t="shared" si="6"/>
      </c>
      <c r="J441" s="53">
        <f t="shared" si="7"/>
      </c>
      <c r="K441" s="53">
        <f t="shared" si="8"/>
      </c>
      <c r="L441" s="68">
        <f t="shared" si="9"/>
      </c>
      <c r="M441" s="56">
        <f t="shared" si="10"/>
      </c>
      <c r="N441" s="69">
        <f t="shared" si="11"/>
      </c>
      <c r="O441" s="22">
        <f t="shared" si="12"/>
      </c>
      <c r="P441" s="22">
        <f>IF(往来单位!$C$431="客户",1,0)</f>
        <v>0</v>
      </c>
      <c r="Q441" s="22">
        <f t="shared" si="13"/>
        <v>28</v>
      </c>
    </row>
    <row r="442">
      <c r="A442" s="56">
        <f>IF($B442="","",429)</f>
      </c>
      <c r="B442" s="66">
        <f>IF(429&gt;$Q$613,"",INDEX(往来单位!$B$4:$B$603,MATCH(429,$Q$14:$Q$613,0)))</f>
      </c>
      <c r="C442" s="67">
        <f t="shared" si="0"/>
      </c>
      <c r="D442" s="60">
        <f t="shared" si="1"/>
      </c>
      <c r="E442" s="53">
        <f t="shared" si="2"/>
      </c>
      <c r="F442" s="53">
        <f t="shared" si="3"/>
      </c>
      <c r="G442" s="53">
        <f t="shared" si="4"/>
      </c>
      <c r="H442" s="59">
        <f t="shared" si="5"/>
      </c>
      <c r="I442" s="53">
        <f t="shared" si="6"/>
      </c>
      <c r="J442" s="53">
        <f t="shared" si="7"/>
      </c>
      <c r="K442" s="53">
        <f t="shared" si="8"/>
      </c>
      <c r="L442" s="68">
        <f t="shared" si="9"/>
      </c>
      <c r="M442" s="56">
        <f t="shared" si="10"/>
      </c>
      <c r="N442" s="69">
        <f t="shared" si="11"/>
      </c>
      <c r="O442" s="22">
        <f t="shared" si="12"/>
      </c>
      <c r="P442" s="22">
        <f>IF(往来单位!$C$432="客户",1,0)</f>
        <v>0</v>
      </c>
      <c r="Q442" s="22">
        <f t="shared" si="13"/>
        <v>28</v>
      </c>
    </row>
    <row r="443">
      <c r="A443" s="56">
        <f>IF($B443="","",430)</f>
      </c>
      <c r="B443" s="66">
        <f>IF(430&gt;$Q$613,"",INDEX(往来单位!$B$4:$B$603,MATCH(430,$Q$14:$Q$613,0)))</f>
      </c>
      <c r="C443" s="67">
        <f t="shared" si="0"/>
      </c>
      <c r="D443" s="60">
        <f t="shared" si="1"/>
      </c>
      <c r="E443" s="53">
        <f t="shared" si="2"/>
      </c>
      <c r="F443" s="53">
        <f t="shared" si="3"/>
      </c>
      <c r="G443" s="53">
        <f t="shared" si="4"/>
      </c>
      <c r="H443" s="59">
        <f t="shared" si="5"/>
      </c>
      <c r="I443" s="53">
        <f t="shared" si="6"/>
      </c>
      <c r="J443" s="53">
        <f t="shared" si="7"/>
      </c>
      <c r="K443" s="53">
        <f t="shared" si="8"/>
      </c>
      <c r="L443" s="68">
        <f t="shared" si="9"/>
      </c>
      <c r="M443" s="56">
        <f t="shared" si="10"/>
      </c>
      <c r="N443" s="69">
        <f t="shared" si="11"/>
      </c>
      <c r="O443" s="22">
        <f t="shared" si="12"/>
      </c>
      <c r="P443" s="22">
        <f>IF(往来单位!$C$433="客户",1,0)</f>
        <v>0</v>
      </c>
      <c r="Q443" s="22">
        <f t="shared" si="13"/>
        <v>28</v>
      </c>
    </row>
    <row r="444">
      <c r="A444" s="56">
        <f>IF($B444="","",431)</f>
      </c>
      <c r="B444" s="66">
        <f>IF(431&gt;$Q$613,"",INDEX(往来单位!$B$4:$B$603,MATCH(431,$Q$14:$Q$613,0)))</f>
      </c>
      <c r="C444" s="67">
        <f t="shared" si="0"/>
      </c>
      <c r="D444" s="60">
        <f t="shared" si="1"/>
      </c>
      <c r="E444" s="53">
        <f t="shared" si="2"/>
      </c>
      <c r="F444" s="53">
        <f t="shared" si="3"/>
      </c>
      <c r="G444" s="53">
        <f t="shared" si="4"/>
      </c>
      <c r="H444" s="59">
        <f t="shared" si="5"/>
      </c>
      <c r="I444" s="53">
        <f t="shared" si="6"/>
      </c>
      <c r="J444" s="53">
        <f t="shared" si="7"/>
      </c>
      <c r="K444" s="53">
        <f t="shared" si="8"/>
      </c>
      <c r="L444" s="68">
        <f t="shared" si="9"/>
      </c>
      <c r="M444" s="56">
        <f t="shared" si="10"/>
      </c>
      <c r="N444" s="69">
        <f t="shared" si="11"/>
      </c>
      <c r="O444" s="22">
        <f t="shared" si="12"/>
      </c>
      <c r="P444" s="22">
        <f>IF(往来单位!$C$434="客户",1,0)</f>
        <v>0</v>
      </c>
      <c r="Q444" s="22">
        <f t="shared" si="13"/>
        <v>28</v>
      </c>
    </row>
    <row r="445">
      <c r="A445" s="56">
        <f>IF($B445="","",432)</f>
      </c>
      <c r="B445" s="66">
        <f>IF(432&gt;$Q$613,"",INDEX(往来单位!$B$4:$B$603,MATCH(432,$Q$14:$Q$613,0)))</f>
      </c>
      <c r="C445" s="67">
        <f t="shared" si="0"/>
      </c>
      <c r="D445" s="60">
        <f t="shared" si="1"/>
      </c>
      <c r="E445" s="53">
        <f t="shared" si="2"/>
      </c>
      <c r="F445" s="53">
        <f t="shared" si="3"/>
      </c>
      <c r="G445" s="53">
        <f t="shared" si="4"/>
      </c>
      <c r="H445" s="59">
        <f t="shared" si="5"/>
      </c>
      <c r="I445" s="53">
        <f t="shared" si="6"/>
      </c>
      <c r="J445" s="53">
        <f t="shared" si="7"/>
      </c>
      <c r="K445" s="53">
        <f t="shared" si="8"/>
      </c>
      <c r="L445" s="68">
        <f t="shared" si="9"/>
      </c>
      <c r="M445" s="56">
        <f t="shared" si="10"/>
      </c>
      <c r="N445" s="69">
        <f t="shared" si="11"/>
      </c>
      <c r="O445" s="22">
        <f t="shared" si="12"/>
      </c>
      <c r="P445" s="22">
        <f>IF(往来单位!$C$435="客户",1,0)</f>
        <v>0</v>
      </c>
      <c r="Q445" s="22">
        <f t="shared" si="13"/>
        <v>28</v>
      </c>
    </row>
    <row r="446">
      <c r="A446" s="56">
        <f>IF($B446="","",433)</f>
      </c>
      <c r="B446" s="66">
        <f>IF(433&gt;$Q$613,"",INDEX(往来单位!$B$4:$B$603,MATCH(433,$Q$14:$Q$613,0)))</f>
      </c>
      <c r="C446" s="67">
        <f t="shared" si="0"/>
      </c>
      <c r="D446" s="60">
        <f t="shared" si="1"/>
      </c>
      <c r="E446" s="53">
        <f t="shared" si="2"/>
      </c>
      <c r="F446" s="53">
        <f t="shared" si="3"/>
      </c>
      <c r="G446" s="53">
        <f t="shared" si="4"/>
      </c>
      <c r="H446" s="59">
        <f t="shared" si="5"/>
      </c>
      <c r="I446" s="53">
        <f t="shared" si="6"/>
      </c>
      <c r="J446" s="53">
        <f t="shared" si="7"/>
      </c>
      <c r="K446" s="53">
        <f t="shared" si="8"/>
      </c>
      <c r="L446" s="68">
        <f t="shared" si="9"/>
      </c>
      <c r="M446" s="56">
        <f t="shared" si="10"/>
      </c>
      <c r="N446" s="69">
        <f t="shared" si="11"/>
      </c>
      <c r="O446" s="22">
        <f t="shared" si="12"/>
      </c>
      <c r="P446" s="22">
        <f>IF(往来单位!$C$436="客户",1,0)</f>
        <v>0</v>
      </c>
      <c r="Q446" s="22">
        <f t="shared" si="13"/>
        <v>28</v>
      </c>
    </row>
    <row r="447">
      <c r="A447" s="56">
        <f>IF($B447="","",434)</f>
      </c>
      <c r="B447" s="66">
        <f>IF(434&gt;$Q$613,"",INDEX(往来单位!$B$4:$B$603,MATCH(434,$Q$14:$Q$613,0)))</f>
      </c>
      <c r="C447" s="67">
        <f t="shared" si="0"/>
      </c>
      <c r="D447" s="60">
        <f t="shared" si="1"/>
      </c>
      <c r="E447" s="53">
        <f t="shared" si="2"/>
      </c>
      <c r="F447" s="53">
        <f t="shared" si="3"/>
      </c>
      <c r="G447" s="53">
        <f t="shared" si="4"/>
      </c>
      <c r="H447" s="59">
        <f t="shared" si="5"/>
      </c>
      <c r="I447" s="53">
        <f t="shared" si="6"/>
      </c>
      <c r="J447" s="53">
        <f t="shared" si="7"/>
      </c>
      <c r="K447" s="53">
        <f t="shared" si="8"/>
      </c>
      <c r="L447" s="68">
        <f t="shared" si="9"/>
      </c>
      <c r="M447" s="56">
        <f t="shared" si="10"/>
      </c>
      <c r="N447" s="69">
        <f t="shared" si="11"/>
      </c>
      <c r="O447" s="22">
        <f t="shared" si="12"/>
      </c>
      <c r="P447" s="22">
        <f>IF(往来单位!$C$437="客户",1,0)</f>
        <v>0</v>
      </c>
      <c r="Q447" s="22">
        <f t="shared" si="13"/>
        <v>28</v>
      </c>
    </row>
    <row r="448">
      <c r="A448" s="56">
        <f>IF($B448="","",435)</f>
      </c>
      <c r="B448" s="66">
        <f>IF(435&gt;$Q$613,"",INDEX(往来单位!$B$4:$B$603,MATCH(435,$Q$14:$Q$613,0)))</f>
      </c>
      <c r="C448" s="67">
        <f t="shared" si="0"/>
      </c>
      <c r="D448" s="60">
        <f t="shared" si="1"/>
      </c>
      <c r="E448" s="53">
        <f t="shared" si="2"/>
      </c>
      <c r="F448" s="53">
        <f t="shared" si="3"/>
      </c>
      <c r="G448" s="53">
        <f t="shared" si="4"/>
      </c>
      <c r="H448" s="59">
        <f t="shared" si="5"/>
      </c>
      <c r="I448" s="53">
        <f t="shared" si="6"/>
      </c>
      <c r="J448" s="53">
        <f t="shared" si="7"/>
      </c>
      <c r="K448" s="53">
        <f t="shared" si="8"/>
      </c>
      <c r="L448" s="68">
        <f t="shared" si="9"/>
      </c>
      <c r="M448" s="56">
        <f t="shared" si="10"/>
      </c>
      <c r="N448" s="69">
        <f t="shared" si="11"/>
      </c>
      <c r="O448" s="22">
        <f t="shared" si="12"/>
      </c>
      <c r="P448" s="22">
        <f>IF(往来单位!$C$438="客户",1,0)</f>
        <v>0</v>
      </c>
      <c r="Q448" s="22">
        <f t="shared" si="13"/>
        <v>28</v>
      </c>
    </row>
    <row r="449">
      <c r="A449" s="56">
        <f>IF($B449="","",436)</f>
      </c>
      <c r="B449" s="66">
        <f>IF(436&gt;$Q$613,"",INDEX(往来单位!$B$4:$B$603,MATCH(436,$Q$14:$Q$613,0)))</f>
      </c>
      <c r="C449" s="67">
        <f t="shared" si="0"/>
      </c>
      <c r="D449" s="60">
        <f t="shared" si="1"/>
      </c>
      <c r="E449" s="53">
        <f t="shared" si="2"/>
      </c>
      <c r="F449" s="53">
        <f t="shared" si="3"/>
      </c>
      <c r="G449" s="53">
        <f t="shared" si="4"/>
      </c>
      <c r="H449" s="59">
        <f t="shared" si="5"/>
      </c>
      <c r="I449" s="53">
        <f t="shared" si="6"/>
      </c>
      <c r="J449" s="53">
        <f t="shared" si="7"/>
      </c>
      <c r="K449" s="53">
        <f t="shared" si="8"/>
      </c>
      <c r="L449" s="68">
        <f t="shared" si="9"/>
      </c>
      <c r="M449" s="56">
        <f t="shared" si="10"/>
      </c>
      <c r="N449" s="69">
        <f t="shared" si="11"/>
      </c>
      <c r="O449" s="22">
        <f t="shared" si="12"/>
      </c>
      <c r="P449" s="22">
        <f>IF(往来单位!$C$439="客户",1,0)</f>
        <v>0</v>
      </c>
      <c r="Q449" s="22">
        <f t="shared" si="13"/>
        <v>28</v>
      </c>
    </row>
    <row r="450">
      <c r="A450" s="56">
        <f>IF($B450="","",437)</f>
      </c>
      <c r="B450" s="66">
        <f>IF(437&gt;$Q$613,"",INDEX(往来单位!$B$4:$B$603,MATCH(437,$Q$14:$Q$613,0)))</f>
      </c>
      <c r="C450" s="67">
        <f t="shared" si="0"/>
      </c>
      <c r="D450" s="60">
        <f t="shared" si="1"/>
      </c>
      <c r="E450" s="53">
        <f t="shared" si="2"/>
      </c>
      <c r="F450" s="53">
        <f t="shared" si="3"/>
      </c>
      <c r="G450" s="53">
        <f t="shared" si="4"/>
      </c>
      <c r="H450" s="59">
        <f t="shared" si="5"/>
      </c>
      <c r="I450" s="53">
        <f t="shared" si="6"/>
      </c>
      <c r="J450" s="53">
        <f t="shared" si="7"/>
      </c>
      <c r="K450" s="53">
        <f t="shared" si="8"/>
      </c>
      <c r="L450" s="68">
        <f t="shared" si="9"/>
      </c>
      <c r="M450" s="56">
        <f t="shared" si="10"/>
      </c>
      <c r="N450" s="69">
        <f t="shared" si="11"/>
      </c>
      <c r="O450" s="22">
        <f t="shared" si="12"/>
      </c>
      <c r="P450" s="22">
        <f>IF(往来单位!$C$440="客户",1,0)</f>
        <v>0</v>
      </c>
      <c r="Q450" s="22">
        <f t="shared" si="13"/>
        <v>28</v>
      </c>
    </row>
    <row r="451">
      <c r="A451" s="56">
        <f>IF($B451="","",438)</f>
      </c>
      <c r="B451" s="66">
        <f>IF(438&gt;$Q$613,"",INDEX(往来单位!$B$4:$B$603,MATCH(438,$Q$14:$Q$613,0)))</f>
      </c>
      <c r="C451" s="67">
        <f t="shared" si="0"/>
      </c>
      <c r="D451" s="60">
        <f t="shared" si="1"/>
      </c>
      <c r="E451" s="53">
        <f t="shared" si="2"/>
      </c>
      <c r="F451" s="53">
        <f t="shared" si="3"/>
      </c>
      <c r="G451" s="53">
        <f t="shared" si="4"/>
      </c>
      <c r="H451" s="59">
        <f t="shared" si="5"/>
      </c>
      <c r="I451" s="53">
        <f t="shared" si="6"/>
      </c>
      <c r="J451" s="53">
        <f t="shared" si="7"/>
      </c>
      <c r="K451" s="53">
        <f t="shared" si="8"/>
      </c>
      <c r="L451" s="68">
        <f t="shared" si="9"/>
      </c>
      <c r="M451" s="56">
        <f t="shared" si="10"/>
      </c>
      <c r="N451" s="69">
        <f t="shared" si="11"/>
      </c>
      <c r="O451" s="22">
        <f t="shared" si="12"/>
      </c>
      <c r="P451" s="22">
        <f>IF(往来单位!$C$441="客户",1,0)</f>
        <v>0</v>
      </c>
      <c r="Q451" s="22">
        <f t="shared" si="13"/>
        <v>28</v>
      </c>
    </row>
    <row r="452">
      <c r="A452" s="56">
        <f>IF($B452="","",439)</f>
      </c>
      <c r="B452" s="66">
        <f>IF(439&gt;$Q$613,"",INDEX(往来单位!$B$4:$B$603,MATCH(439,$Q$14:$Q$613,0)))</f>
      </c>
      <c r="C452" s="67">
        <f t="shared" si="0"/>
      </c>
      <c r="D452" s="60">
        <f t="shared" si="1"/>
      </c>
      <c r="E452" s="53">
        <f t="shared" si="2"/>
      </c>
      <c r="F452" s="53">
        <f t="shared" si="3"/>
      </c>
      <c r="G452" s="53">
        <f t="shared" si="4"/>
      </c>
      <c r="H452" s="59">
        <f t="shared" si="5"/>
      </c>
      <c r="I452" s="53">
        <f t="shared" si="6"/>
      </c>
      <c r="J452" s="53">
        <f t="shared" si="7"/>
      </c>
      <c r="K452" s="53">
        <f t="shared" si="8"/>
      </c>
      <c r="L452" s="68">
        <f t="shared" si="9"/>
      </c>
      <c r="M452" s="56">
        <f t="shared" si="10"/>
      </c>
      <c r="N452" s="69">
        <f t="shared" si="11"/>
      </c>
      <c r="O452" s="22">
        <f t="shared" si="12"/>
      </c>
      <c r="P452" s="22">
        <f>IF(往来单位!$C$442="客户",1,0)</f>
        <v>0</v>
      </c>
      <c r="Q452" s="22">
        <f t="shared" si="13"/>
        <v>28</v>
      </c>
    </row>
    <row r="453">
      <c r="A453" s="56">
        <f>IF($B453="","",440)</f>
      </c>
      <c r="B453" s="66">
        <f>IF(440&gt;$Q$613,"",INDEX(往来单位!$B$4:$B$603,MATCH(440,$Q$14:$Q$613,0)))</f>
      </c>
      <c r="C453" s="67">
        <f t="shared" si="0"/>
      </c>
      <c r="D453" s="60">
        <f t="shared" si="1"/>
      </c>
      <c r="E453" s="53">
        <f t="shared" si="2"/>
      </c>
      <c r="F453" s="53">
        <f t="shared" si="3"/>
      </c>
      <c r="G453" s="53">
        <f t="shared" si="4"/>
      </c>
      <c r="H453" s="59">
        <f t="shared" si="5"/>
      </c>
      <c r="I453" s="53">
        <f t="shared" si="6"/>
      </c>
      <c r="J453" s="53">
        <f t="shared" si="7"/>
      </c>
      <c r="K453" s="53">
        <f t="shared" si="8"/>
      </c>
      <c r="L453" s="68">
        <f t="shared" si="9"/>
      </c>
      <c r="M453" s="56">
        <f t="shared" si="10"/>
      </c>
      <c r="N453" s="69">
        <f t="shared" si="11"/>
      </c>
      <c r="O453" s="22">
        <f t="shared" si="12"/>
      </c>
      <c r="P453" s="22">
        <f>IF(往来单位!$C$443="客户",1,0)</f>
        <v>0</v>
      </c>
      <c r="Q453" s="22">
        <f t="shared" si="13"/>
        <v>28</v>
      </c>
    </row>
    <row r="454">
      <c r="A454" s="56">
        <f>IF($B454="","",441)</f>
      </c>
      <c r="B454" s="66">
        <f>IF(441&gt;$Q$613,"",INDEX(往来单位!$B$4:$B$603,MATCH(441,$Q$14:$Q$613,0)))</f>
      </c>
      <c r="C454" s="67">
        <f t="shared" si="0"/>
      </c>
      <c r="D454" s="60">
        <f t="shared" si="1"/>
      </c>
      <c r="E454" s="53">
        <f t="shared" si="2"/>
      </c>
      <c r="F454" s="53">
        <f t="shared" si="3"/>
      </c>
      <c r="G454" s="53">
        <f t="shared" si="4"/>
      </c>
      <c r="H454" s="59">
        <f t="shared" si="5"/>
      </c>
      <c r="I454" s="53">
        <f t="shared" si="6"/>
      </c>
      <c r="J454" s="53">
        <f t="shared" si="7"/>
      </c>
      <c r="K454" s="53">
        <f t="shared" si="8"/>
      </c>
      <c r="L454" s="68">
        <f t="shared" si="9"/>
      </c>
      <c r="M454" s="56">
        <f t="shared" si="10"/>
      </c>
      <c r="N454" s="69">
        <f t="shared" si="11"/>
      </c>
      <c r="O454" s="22">
        <f t="shared" si="12"/>
      </c>
      <c r="P454" s="22">
        <f>IF(往来单位!$C$444="客户",1,0)</f>
        <v>0</v>
      </c>
      <c r="Q454" s="22">
        <f t="shared" si="13"/>
        <v>28</v>
      </c>
    </row>
    <row r="455">
      <c r="A455" s="56">
        <f>IF($B455="","",442)</f>
      </c>
      <c r="B455" s="66">
        <f>IF(442&gt;$Q$613,"",INDEX(往来单位!$B$4:$B$603,MATCH(442,$Q$14:$Q$613,0)))</f>
      </c>
      <c r="C455" s="67">
        <f t="shared" si="0"/>
      </c>
      <c r="D455" s="60">
        <f t="shared" si="1"/>
      </c>
      <c r="E455" s="53">
        <f t="shared" si="2"/>
      </c>
      <c r="F455" s="53">
        <f t="shared" si="3"/>
      </c>
      <c r="G455" s="53">
        <f t="shared" si="4"/>
      </c>
      <c r="H455" s="59">
        <f t="shared" si="5"/>
      </c>
      <c r="I455" s="53">
        <f t="shared" si="6"/>
      </c>
      <c r="J455" s="53">
        <f t="shared" si="7"/>
      </c>
      <c r="K455" s="53">
        <f t="shared" si="8"/>
      </c>
      <c r="L455" s="68">
        <f t="shared" si="9"/>
      </c>
      <c r="M455" s="56">
        <f t="shared" si="10"/>
      </c>
      <c r="N455" s="69">
        <f t="shared" si="11"/>
      </c>
      <c r="O455" s="22">
        <f t="shared" si="12"/>
      </c>
      <c r="P455" s="22">
        <f>IF(往来单位!$C$445="客户",1,0)</f>
        <v>0</v>
      </c>
      <c r="Q455" s="22">
        <f t="shared" si="13"/>
        <v>28</v>
      </c>
    </row>
    <row r="456">
      <c r="A456" s="56">
        <f>IF($B456="","",443)</f>
      </c>
      <c r="B456" s="66">
        <f>IF(443&gt;$Q$613,"",INDEX(往来单位!$B$4:$B$603,MATCH(443,$Q$14:$Q$613,0)))</f>
      </c>
      <c r="C456" s="67">
        <f t="shared" si="0"/>
      </c>
      <c r="D456" s="60">
        <f t="shared" si="1"/>
      </c>
      <c r="E456" s="53">
        <f t="shared" si="2"/>
      </c>
      <c r="F456" s="53">
        <f t="shared" si="3"/>
      </c>
      <c r="G456" s="53">
        <f t="shared" si="4"/>
      </c>
      <c r="H456" s="59">
        <f t="shared" si="5"/>
      </c>
      <c r="I456" s="53">
        <f t="shared" si="6"/>
      </c>
      <c r="J456" s="53">
        <f t="shared" si="7"/>
      </c>
      <c r="K456" s="53">
        <f t="shared" si="8"/>
      </c>
      <c r="L456" s="68">
        <f t="shared" si="9"/>
      </c>
      <c r="M456" s="56">
        <f t="shared" si="10"/>
      </c>
      <c r="N456" s="69">
        <f t="shared" si="11"/>
      </c>
      <c r="O456" s="22">
        <f t="shared" si="12"/>
      </c>
      <c r="P456" s="22">
        <f>IF(往来单位!$C$446="客户",1,0)</f>
        <v>0</v>
      </c>
      <c r="Q456" s="22">
        <f t="shared" si="13"/>
        <v>28</v>
      </c>
    </row>
    <row r="457">
      <c r="A457" s="56">
        <f>IF($B457="","",444)</f>
      </c>
      <c r="B457" s="66">
        <f>IF(444&gt;$Q$613,"",INDEX(往来单位!$B$4:$B$603,MATCH(444,$Q$14:$Q$613,0)))</f>
      </c>
      <c r="C457" s="67">
        <f t="shared" si="0"/>
      </c>
      <c r="D457" s="60">
        <f t="shared" si="1"/>
      </c>
      <c r="E457" s="53">
        <f t="shared" si="2"/>
      </c>
      <c r="F457" s="53">
        <f t="shared" si="3"/>
      </c>
      <c r="G457" s="53">
        <f t="shared" si="4"/>
      </c>
      <c r="H457" s="59">
        <f t="shared" si="5"/>
      </c>
      <c r="I457" s="53">
        <f t="shared" si="6"/>
      </c>
      <c r="J457" s="53">
        <f t="shared" si="7"/>
      </c>
      <c r="K457" s="53">
        <f t="shared" si="8"/>
      </c>
      <c r="L457" s="68">
        <f t="shared" si="9"/>
      </c>
      <c r="M457" s="56">
        <f t="shared" si="10"/>
      </c>
      <c r="N457" s="69">
        <f t="shared" si="11"/>
      </c>
      <c r="O457" s="22">
        <f t="shared" si="12"/>
      </c>
      <c r="P457" s="22">
        <f>IF(往来单位!$C$447="客户",1,0)</f>
        <v>0</v>
      </c>
      <c r="Q457" s="22">
        <f t="shared" si="13"/>
        <v>28</v>
      </c>
    </row>
    <row r="458">
      <c r="A458" s="56">
        <f>IF($B458="","",445)</f>
      </c>
      <c r="B458" s="66">
        <f>IF(445&gt;$Q$613,"",INDEX(往来单位!$B$4:$B$603,MATCH(445,$Q$14:$Q$613,0)))</f>
      </c>
      <c r="C458" s="67">
        <f t="shared" si="0"/>
      </c>
      <c r="D458" s="60">
        <f t="shared" si="1"/>
      </c>
      <c r="E458" s="53">
        <f t="shared" si="2"/>
      </c>
      <c r="F458" s="53">
        <f t="shared" si="3"/>
      </c>
      <c r="G458" s="53">
        <f t="shared" si="4"/>
      </c>
      <c r="H458" s="59">
        <f t="shared" si="5"/>
      </c>
      <c r="I458" s="53">
        <f t="shared" si="6"/>
      </c>
      <c r="J458" s="53">
        <f t="shared" si="7"/>
      </c>
      <c r="K458" s="53">
        <f t="shared" si="8"/>
      </c>
      <c r="L458" s="68">
        <f t="shared" si="9"/>
      </c>
      <c r="M458" s="56">
        <f t="shared" si="10"/>
      </c>
      <c r="N458" s="69">
        <f t="shared" si="11"/>
      </c>
      <c r="O458" s="22">
        <f t="shared" si="12"/>
      </c>
      <c r="P458" s="22">
        <f>IF(往来单位!$C$448="客户",1,0)</f>
        <v>0</v>
      </c>
      <c r="Q458" s="22">
        <f t="shared" si="13"/>
        <v>28</v>
      </c>
    </row>
    <row r="459">
      <c r="A459" s="56">
        <f>IF($B459="","",446)</f>
      </c>
      <c r="B459" s="66">
        <f>IF(446&gt;$Q$613,"",INDEX(往来单位!$B$4:$B$603,MATCH(446,$Q$14:$Q$613,0)))</f>
      </c>
      <c r="C459" s="67">
        <f t="shared" si="0"/>
      </c>
      <c r="D459" s="60">
        <f t="shared" si="1"/>
      </c>
      <c r="E459" s="53">
        <f t="shared" si="2"/>
      </c>
      <c r="F459" s="53">
        <f t="shared" si="3"/>
      </c>
      <c r="G459" s="53">
        <f t="shared" si="4"/>
      </c>
      <c r="H459" s="59">
        <f t="shared" si="5"/>
      </c>
      <c r="I459" s="53">
        <f t="shared" si="6"/>
      </c>
      <c r="J459" s="53">
        <f t="shared" si="7"/>
      </c>
      <c r="K459" s="53">
        <f t="shared" si="8"/>
      </c>
      <c r="L459" s="68">
        <f t="shared" si="9"/>
      </c>
      <c r="M459" s="56">
        <f t="shared" si="10"/>
      </c>
      <c r="N459" s="69">
        <f t="shared" si="11"/>
      </c>
      <c r="O459" s="22">
        <f t="shared" si="12"/>
      </c>
      <c r="P459" s="22">
        <f>IF(往来单位!$C$449="客户",1,0)</f>
        <v>0</v>
      </c>
      <c r="Q459" s="22">
        <f t="shared" si="13"/>
        <v>28</v>
      </c>
    </row>
    <row r="460">
      <c r="A460" s="56">
        <f>IF($B460="","",447)</f>
      </c>
      <c r="B460" s="66">
        <f>IF(447&gt;$Q$613,"",INDEX(往来单位!$B$4:$B$603,MATCH(447,$Q$14:$Q$613,0)))</f>
      </c>
      <c r="C460" s="67">
        <f t="shared" si="0"/>
      </c>
      <c r="D460" s="60">
        <f t="shared" si="1"/>
      </c>
      <c r="E460" s="53">
        <f t="shared" si="2"/>
      </c>
      <c r="F460" s="53">
        <f t="shared" si="3"/>
      </c>
      <c r="G460" s="53">
        <f t="shared" si="4"/>
      </c>
      <c r="H460" s="59">
        <f t="shared" si="5"/>
      </c>
      <c r="I460" s="53">
        <f t="shared" si="6"/>
      </c>
      <c r="J460" s="53">
        <f t="shared" si="7"/>
      </c>
      <c r="K460" s="53">
        <f t="shared" si="8"/>
      </c>
      <c r="L460" s="68">
        <f t="shared" si="9"/>
      </c>
      <c r="M460" s="56">
        <f t="shared" si="10"/>
      </c>
      <c r="N460" s="69">
        <f t="shared" si="11"/>
      </c>
      <c r="O460" s="22">
        <f t="shared" si="12"/>
      </c>
      <c r="P460" s="22">
        <f>IF(往来单位!$C$450="客户",1,0)</f>
        <v>0</v>
      </c>
      <c r="Q460" s="22">
        <f t="shared" si="13"/>
        <v>28</v>
      </c>
    </row>
    <row r="461">
      <c r="A461" s="56">
        <f>IF($B461="","",448)</f>
      </c>
      <c r="B461" s="66">
        <f>IF(448&gt;$Q$613,"",INDEX(往来单位!$B$4:$B$603,MATCH(448,$Q$14:$Q$613,0)))</f>
      </c>
      <c r="C461" s="67">
        <f t="shared" si="0"/>
      </c>
      <c r="D461" s="60">
        <f t="shared" si="1"/>
      </c>
      <c r="E461" s="53">
        <f t="shared" si="2"/>
      </c>
      <c r="F461" s="53">
        <f t="shared" si="3"/>
      </c>
      <c r="G461" s="53">
        <f t="shared" si="4"/>
      </c>
      <c r="H461" s="59">
        <f t="shared" si="5"/>
      </c>
      <c r="I461" s="53">
        <f t="shared" si="6"/>
      </c>
      <c r="J461" s="53">
        <f t="shared" si="7"/>
      </c>
      <c r="K461" s="53">
        <f t="shared" si="8"/>
      </c>
      <c r="L461" s="68">
        <f t="shared" si="9"/>
      </c>
      <c r="M461" s="56">
        <f t="shared" si="10"/>
      </c>
      <c r="N461" s="69">
        <f t="shared" si="11"/>
      </c>
      <c r="O461" s="22">
        <f t="shared" si="12"/>
      </c>
      <c r="P461" s="22">
        <f>IF(往来单位!$C$451="客户",1,0)</f>
        <v>0</v>
      </c>
      <c r="Q461" s="22">
        <f t="shared" si="13"/>
        <v>28</v>
      </c>
    </row>
    <row r="462">
      <c r="A462" s="56">
        <f>IF($B462="","",449)</f>
      </c>
      <c r="B462" s="66">
        <f>IF(449&gt;$Q$613,"",INDEX(往来单位!$B$4:$B$603,MATCH(449,$Q$14:$Q$613,0)))</f>
      </c>
      <c r="C462" s="67">
        <f t="shared" si="0"/>
      </c>
      <c r="D462" s="60">
        <f t="shared" si="1"/>
      </c>
      <c r="E462" s="53">
        <f t="shared" si="2"/>
      </c>
      <c r="F462" s="53">
        <f t="shared" si="3"/>
      </c>
      <c r="G462" s="53">
        <f t="shared" si="4"/>
      </c>
      <c r="H462" s="59">
        <f t="shared" si="5"/>
      </c>
      <c r="I462" s="53">
        <f t="shared" si="6"/>
      </c>
      <c r="J462" s="53">
        <f t="shared" si="7"/>
      </c>
      <c r="K462" s="53">
        <f t="shared" si="8"/>
      </c>
      <c r="L462" s="68">
        <f t="shared" si="9"/>
      </c>
      <c r="M462" s="56">
        <f t="shared" si="10"/>
      </c>
      <c r="N462" s="69">
        <f t="shared" si="11"/>
      </c>
      <c r="O462" s="22">
        <f t="shared" si="12"/>
      </c>
      <c r="P462" s="22">
        <f>IF(往来单位!$C$452="客户",1,0)</f>
        <v>0</v>
      </c>
      <c r="Q462" s="22">
        <f t="shared" si="13"/>
        <v>28</v>
      </c>
    </row>
    <row r="463">
      <c r="A463" s="56">
        <f>IF($B463="","",450)</f>
      </c>
      <c r="B463" s="66">
        <f>IF(450&gt;$Q$613,"",INDEX(往来单位!$B$4:$B$603,MATCH(450,$Q$14:$Q$613,0)))</f>
      </c>
      <c r="C463" s="67">
        <f t="shared" si="0"/>
      </c>
      <c r="D463" s="60">
        <f t="shared" si="1"/>
      </c>
      <c r="E463" s="53">
        <f t="shared" si="2"/>
      </c>
      <c r="F463" s="53">
        <f t="shared" si="3"/>
      </c>
      <c r="G463" s="53">
        <f t="shared" si="4"/>
      </c>
      <c r="H463" s="59">
        <f t="shared" si="5"/>
      </c>
      <c r="I463" s="53">
        <f t="shared" si="6"/>
      </c>
      <c r="J463" s="53">
        <f t="shared" si="7"/>
      </c>
      <c r="K463" s="53">
        <f t="shared" si="8"/>
      </c>
      <c r="L463" s="68">
        <f t="shared" si="9"/>
      </c>
      <c r="M463" s="56">
        <f t="shared" si="10"/>
      </c>
      <c r="N463" s="69">
        <f t="shared" si="11"/>
      </c>
      <c r="O463" s="22">
        <f t="shared" si="12"/>
      </c>
      <c r="P463" s="22">
        <f>IF(往来单位!$C$453="客户",1,0)</f>
        <v>0</v>
      </c>
      <c r="Q463" s="22">
        <f t="shared" si="13"/>
        <v>28</v>
      </c>
    </row>
    <row r="464">
      <c r="A464" s="56">
        <f>IF($B464="","",451)</f>
      </c>
      <c r="B464" s="66">
        <f>IF(451&gt;$Q$613,"",INDEX(往来单位!$B$4:$B$603,MATCH(451,$Q$14:$Q$613,0)))</f>
      </c>
      <c r="C464" s="67">
        <f t="shared" si="0"/>
      </c>
      <c r="D464" s="60">
        <f t="shared" si="1"/>
      </c>
      <c r="E464" s="53">
        <f t="shared" si="2"/>
      </c>
      <c r="F464" s="53">
        <f t="shared" si="3"/>
      </c>
      <c r="G464" s="53">
        <f t="shared" si="4"/>
      </c>
      <c r="H464" s="59">
        <f t="shared" si="5"/>
      </c>
      <c r="I464" s="53">
        <f t="shared" si="6"/>
      </c>
      <c r="J464" s="53">
        <f t="shared" si="7"/>
      </c>
      <c r="K464" s="53">
        <f t="shared" si="8"/>
      </c>
      <c r="L464" s="68">
        <f t="shared" si="9"/>
      </c>
      <c r="M464" s="56">
        <f t="shared" si="10"/>
      </c>
      <c r="N464" s="69">
        <f t="shared" si="11"/>
      </c>
      <c r="O464" s="22">
        <f t="shared" si="12"/>
      </c>
      <c r="P464" s="22">
        <f>IF(往来单位!$C$454="客户",1,0)</f>
        <v>0</v>
      </c>
      <c r="Q464" s="22">
        <f t="shared" si="13"/>
        <v>28</v>
      </c>
    </row>
    <row r="465">
      <c r="A465" s="56">
        <f>IF($B465="","",452)</f>
      </c>
      <c r="B465" s="66">
        <f>IF(452&gt;$Q$613,"",INDEX(往来单位!$B$4:$B$603,MATCH(452,$Q$14:$Q$613,0)))</f>
      </c>
      <c r="C465" s="67">
        <f t="shared" si="0"/>
      </c>
      <c r="D465" s="60">
        <f t="shared" si="1"/>
      </c>
      <c r="E465" s="53">
        <f t="shared" si="2"/>
      </c>
      <c r="F465" s="53">
        <f t="shared" si="3"/>
      </c>
      <c r="G465" s="53">
        <f t="shared" si="4"/>
      </c>
      <c r="H465" s="59">
        <f t="shared" si="5"/>
      </c>
      <c r="I465" s="53">
        <f t="shared" si="6"/>
      </c>
      <c r="J465" s="53">
        <f t="shared" si="7"/>
      </c>
      <c r="K465" s="53">
        <f t="shared" si="8"/>
      </c>
      <c r="L465" s="68">
        <f t="shared" si="9"/>
      </c>
      <c r="M465" s="56">
        <f t="shared" si="10"/>
      </c>
      <c r="N465" s="69">
        <f t="shared" si="11"/>
      </c>
      <c r="O465" s="22">
        <f t="shared" si="12"/>
      </c>
      <c r="P465" s="22">
        <f>IF(往来单位!$C$455="客户",1,0)</f>
        <v>0</v>
      </c>
      <c r="Q465" s="22">
        <f t="shared" si="13"/>
        <v>28</v>
      </c>
    </row>
    <row r="466">
      <c r="A466" s="56">
        <f>IF($B466="","",453)</f>
      </c>
      <c r="B466" s="66">
        <f>IF(453&gt;$Q$613,"",INDEX(往来单位!$B$4:$B$603,MATCH(453,$Q$14:$Q$613,0)))</f>
      </c>
      <c r="C466" s="67">
        <f t="shared" si="0"/>
      </c>
      <c r="D466" s="60">
        <f t="shared" si="1"/>
      </c>
      <c r="E466" s="53">
        <f t="shared" si="2"/>
      </c>
      <c r="F466" s="53">
        <f t="shared" si="3"/>
      </c>
      <c r="G466" s="53">
        <f t="shared" si="4"/>
      </c>
      <c r="H466" s="59">
        <f t="shared" si="5"/>
      </c>
      <c r="I466" s="53">
        <f t="shared" si="6"/>
      </c>
      <c r="J466" s="53">
        <f t="shared" si="7"/>
      </c>
      <c r="K466" s="53">
        <f t="shared" si="8"/>
      </c>
      <c r="L466" s="68">
        <f t="shared" si="9"/>
      </c>
      <c r="M466" s="56">
        <f t="shared" si="10"/>
      </c>
      <c r="N466" s="69">
        <f t="shared" si="11"/>
      </c>
      <c r="O466" s="22">
        <f t="shared" si="12"/>
      </c>
      <c r="P466" s="22">
        <f>IF(往来单位!$C$456="客户",1,0)</f>
        <v>0</v>
      </c>
      <c r="Q466" s="22">
        <f t="shared" si="13"/>
        <v>28</v>
      </c>
    </row>
    <row r="467">
      <c r="A467" s="56">
        <f>IF($B467="","",454)</f>
      </c>
      <c r="B467" s="66">
        <f>IF(454&gt;$Q$613,"",INDEX(往来单位!$B$4:$B$603,MATCH(454,$Q$14:$Q$613,0)))</f>
      </c>
      <c r="C467" s="67">
        <f t="shared" si="0"/>
      </c>
      <c r="D467" s="60">
        <f t="shared" si="1"/>
      </c>
      <c r="E467" s="53">
        <f t="shared" si="2"/>
      </c>
      <c r="F467" s="53">
        <f t="shared" si="3"/>
      </c>
      <c r="G467" s="53">
        <f t="shared" si="4"/>
      </c>
      <c r="H467" s="59">
        <f t="shared" si="5"/>
      </c>
      <c r="I467" s="53">
        <f t="shared" si="6"/>
      </c>
      <c r="J467" s="53">
        <f t="shared" si="7"/>
      </c>
      <c r="K467" s="53">
        <f t="shared" si="8"/>
      </c>
      <c r="L467" s="68">
        <f t="shared" si="9"/>
      </c>
      <c r="M467" s="56">
        <f t="shared" si="10"/>
      </c>
      <c r="N467" s="69">
        <f t="shared" si="11"/>
      </c>
      <c r="O467" s="22">
        <f t="shared" si="12"/>
      </c>
      <c r="P467" s="22">
        <f>IF(往来单位!$C$457="客户",1,0)</f>
        <v>0</v>
      </c>
      <c r="Q467" s="22">
        <f t="shared" si="13"/>
        <v>28</v>
      </c>
    </row>
    <row r="468">
      <c r="A468" s="56">
        <f>IF($B468="","",455)</f>
      </c>
      <c r="B468" s="66">
        <f>IF(455&gt;$Q$613,"",INDEX(往来单位!$B$4:$B$603,MATCH(455,$Q$14:$Q$613,0)))</f>
      </c>
      <c r="C468" s="67">
        <f t="shared" si="0"/>
      </c>
      <c r="D468" s="60">
        <f t="shared" si="1"/>
      </c>
      <c r="E468" s="53">
        <f t="shared" si="2"/>
      </c>
      <c r="F468" s="53">
        <f t="shared" si="3"/>
      </c>
      <c r="G468" s="53">
        <f t="shared" si="4"/>
      </c>
      <c r="H468" s="59">
        <f t="shared" si="5"/>
      </c>
      <c r="I468" s="53">
        <f t="shared" si="6"/>
      </c>
      <c r="J468" s="53">
        <f t="shared" si="7"/>
      </c>
      <c r="K468" s="53">
        <f t="shared" si="8"/>
      </c>
      <c r="L468" s="68">
        <f t="shared" si="9"/>
      </c>
      <c r="M468" s="56">
        <f t="shared" si="10"/>
      </c>
      <c r="N468" s="69">
        <f t="shared" si="11"/>
      </c>
      <c r="O468" s="22">
        <f t="shared" si="12"/>
      </c>
      <c r="P468" s="22">
        <f>IF(往来单位!$C$458="客户",1,0)</f>
        <v>0</v>
      </c>
      <c r="Q468" s="22">
        <f t="shared" si="13"/>
        <v>28</v>
      </c>
    </row>
    <row r="469">
      <c r="A469" s="56">
        <f>IF($B469="","",456)</f>
      </c>
      <c r="B469" s="66">
        <f>IF(456&gt;$Q$613,"",INDEX(往来单位!$B$4:$B$603,MATCH(456,$Q$14:$Q$613,0)))</f>
      </c>
      <c r="C469" s="67">
        <f t="shared" si="0"/>
      </c>
      <c r="D469" s="60">
        <f t="shared" si="1"/>
      </c>
      <c r="E469" s="53">
        <f t="shared" si="2"/>
      </c>
      <c r="F469" s="53">
        <f t="shared" si="3"/>
      </c>
      <c r="G469" s="53">
        <f t="shared" si="4"/>
      </c>
      <c r="H469" s="59">
        <f t="shared" si="5"/>
      </c>
      <c r="I469" s="53">
        <f t="shared" si="6"/>
      </c>
      <c r="J469" s="53">
        <f t="shared" si="7"/>
      </c>
      <c r="K469" s="53">
        <f t="shared" si="8"/>
      </c>
      <c r="L469" s="68">
        <f t="shared" si="9"/>
      </c>
      <c r="M469" s="56">
        <f t="shared" si="10"/>
      </c>
      <c r="N469" s="69">
        <f t="shared" si="11"/>
      </c>
      <c r="O469" s="22">
        <f t="shared" si="12"/>
      </c>
      <c r="P469" s="22">
        <f>IF(往来单位!$C$459="客户",1,0)</f>
        <v>0</v>
      </c>
      <c r="Q469" s="22">
        <f t="shared" si="13"/>
        <v>28</v>
      </c>
    </row>
    <row r="470">
      <c r="A470" s="56">
        <f>IF($B470="","",457)</f>
      </c>
      <c r="B470" s="66">
        <f>IF(457&gt;$Q$613,"",INDEX(往来单位!$B$4:$B$603,MATCH(457,$Q$14:$Q$613,0)))</f>
      </c>
      <c r="C470" s="67">
        <f t="shared" si="0"/>
      </c>
      <c r="D470" s="60">
        <f t="shared" si="1"/>
      </c>
      <c r="E470" s="53">
        <f t="shared" si="2"/>
      </c>
      <c r="F470" s="53">
        <f t="shared" si="3"/>
      </c>
      <c r="G470" s="53">
        <f t="shared" si="4"/>
      </c>
      <c r="H470" s="59">
        <f t="shared" si="5"/>
      </c>
      <c r="I470" s="53">
        <f t="shared" si="6"/>
      </c>
      <c r="J470" s="53">
        <f t="shared" si="7"/>
      </c>
      <c r="K470" s="53">
        <f t="shared" si="8"/>
      </c>
      <c r="L470" s="68">
        <f t="shared" si="9"/>
      </c>
      <c r="M470" s="56">
        <f t="shared" si="10"/>
      </c>
      <c r="N470" s="69">
        <f t="shared" si="11"/>
      </c>
      <c r="O470" s="22">
        <f t="shared" si="12"/>
      </c>
      <c r="P470" s="22">
        <f>IF(往来单位!$C$460="客户",1,0)</f>
        <v>0</v>
      </c>
      <c r="Q470" s="22">
        <f t="shared" si="13"/>
        <v>28</v>
      </c>
    </row>
    <row r="471">
      <c r="A471" s="56">
        <f>IF($B471="","",458)</f>
      </c>
      <c r="B471" s="66">
        <f>IF(458&gt;$Q$613,"",INDEX(往来单位!$B$4:$B$603,MATCH(458,$Q$14:$Q$613,0)))</f>
      </c>
      <c r="C471" s="67">
        <f t="shared" si="0"/>
      </c>
      <c r="D471" s="60">
        <f t="shared" si="1"/>
      </c>
      <c r="E471" s="53">
        <f t="shared" si="2"/>
      </c>
      <c r="F471" s="53">
        <f t="shared" si="3"/>
      </c>
      <c r="G471" s="53">
        <f t="shared" si="4"/>
      </c>
      <c r="H471" s="59">
        <f t="shared" si="5"/>
      </c>
      <c r="I471" s="53">
        <f t="shared" si="6"/>
      </c>
      <c r="J471" s="53">
        <f t="shared" si="7"/>
      </c>
      <c r="K471" s="53">
        <f t="shared" si="8"/>
      </c>
      <c r="L471" s="68">
        <f t="shared" si="9"/>
      </c>
      <c r="M471" s="56">
        <f t="shared" si="10"/>
      </c>
      <c r="N471" s="69">
        <f t="shared" si="11"/>
      </c>
      <c r="O471" s="22">
        <f t="shared" si="12"/>
      </c>
      <c r="P471" s="22">
        <f>IF(往来单位!$C$461="客户",1,0)</f>
        <v>0</v>
      </c>
      <c r="Q471" s="22">
        <f t="shared" si="13"/>
        <v>28</v>
      </c>
    </row>
    <row r="472">
      <c r="A472" s="56">
        <f>IF($B472="","",459)</f>
      </c>
      <c r="B472" s="66">
        <f>IF(459&gt;$Q$613,"",INDEX(往来单位!$B$4:$B$603,MATCH(459,$Q$14:$Q$613,0)))</f>
      </c>
      <c r="C472" s="67">
        <f t="shared" si="0"/>
      </c>
      <c r="D472" s="60">
        <f t="shared" si="1"/>
      </c>
      <c r="E472" s="53">
        <f t="shared" si="2"/>
      </c>
      <c r="F472" s="53">
        <f t="shared" si="3"/>
      </c>
      <c r="G472" s="53">
        <f t="shared" si="4"/>
      </c>
      <c r="H472" s="59">
        <f t="shared" si="5"/>
      </c>
      <c r="I472" s="53">
        <f t="shared" si="6"/>
      </c>
      <c r="J472" s="53">
        <f t="shared" si="7"/>
      </c>
      <c r="K472" s="53">
        <f t="shared" si="8"/>
      </c>
      <c r="L472" s="68">
        <f t="shared" si="9"/>
      </c>
      <c r="M472" s="56">
        <f t="shared" si="10"/>
      </c>
      <c r="N472" s="69">
        <f t="shared" si="11"/>
      </c>
      <c r="O472" s="22">
        <f t="shared" si="12"/>
      </c>
      <c r="P472" s="22">
        <f>IF(往来单位!$C$462="客户",1,0)</f>
        <v>0</v>
      </c>
      <c r="Q472" s="22">
        <f t="shared" si="13"/>
        <v>28</v>
      </c>
    </row>
    <row r="473">
      <c r="A473" s="56">
        <f>IF($B473="","",460)</f>
      </c>
      <c r="B473" s="66">
        <f>IF(460&gt;$Q$613,"",INDEX(往来单位!$B$4:$B$603,MATCH(460,$Q$14:$Q$613,0)))</f>
      </c>
      <c r="C473" s="67">
        <f t="shared" si="0"/>
      </c>
      <c r="D473" s="60">
        <f t="shared" si="1"/>
      </c>
      <c r="E473" s="53">
        <f t="shared" si="2"/>
      </c>
      <c r="F473" s="53">
        <f t="shared" si="3"/>
      </c>
      <c r="G473" s="53">
        <f t="shared" si="4"/>
      </c>
      <c r="H473" s="59">
        <f t="shared" si="5"/>
      </c>
      <c r="I473" s="53">
        <f t="shared" si="6"/>
      </c>
      <c r="J473" s="53">
        <f t="shared" si="7"/>
      </c>
      <c r="K473" s="53">
        <f t="shared" si="8"/>
      </c>
      <c r="L473" s="68">
        <f t="shared" si="9"/>
      </c>
      <c r="M473" s="56">
        <f t="shared" si="10"/>
      </c>
      <c r="N473" s="69">
        <f t="shared" si="11"/>
      </c>
      <c r="O473" s="22">
        <f t="shared" si="12"/>
      </c>
      <c r="P473" s="22">
        <f>IF(往来单位!$C$463="客户",1,0)</f>
        <v>0</v>
      </c>
      <c r="Q473" s="22">
        <f t="shared" si="13"/>
        <v>28</v>
      </c>
    </row>
    <row r="474">
      <c r="A474" s="56">
        <f>IF($B474="","",461)</f>
      </c>
      <c r="B474" s="66">
        <f>IF(461&gt;$Q$613,"",INDEX(往来单位!$B$4:$B$603,MATCH(461,$Q$14:$Q$613,0)))</f>
      </c>
      <c r="C474" s="67">
        <f t="shared" si="0"/>
      </c>
      <c r="D474" s="60">
        <f t="shared" si="1"/>
      </c>
      <c r="E474" s="53">
        <f t="shared" si="2"/>
      </c>
      <c r="F474" s="53">
        <f t="shared" si="3"/>
      </c>
      <c r="G474" s="53">
        <f t="shared" si="4"/>
      </c>
      <c r="H474" s="59">
        <f t="shared" si="5"/>
      </c>
      <c r="I474" s="53">
        <f t="shared" si="6"/>
      </c>
      <c r="J474" s="53">
        <f t="shared" si="7"/>
      </c>
      <c r="K474" s="53">
        <f t="shared" si="8"/>
      </c>
      <c r="L474" s="68">
        <f t="shared" si="9"/>
      </c>
      <c r="M474" s="56">
        <f t="shared" si="10"/>
      </c>
      <c r="N474" s="69">
        <f t="shared" si="11"/>
      </c>
      <c r="O474" s="22">
        <f t="shared" si="12"/>
      </c>
      <c r="P474" s="22">
        <f>IF(往来单位!$C$464="客户",1,0)</f>
        <v>0</v>
      </c>
      <c r="Q474" s="22">
        <f t="shared" si="13"/>
        <v>28</v>
      </c>
    </row>
    <row r="475">
      <c r="A475" s="56">
        <f>IF($B475="","",462)</f>
      </c>
      <c r="B475" s="66">
        <f>IF(462&gt;$Q$613,"",INDEX(往来单位!$B$4:$B$603,MATCH(462,$Q$14:$Q$613,0)))</f>
      </c>
      <c r="C475" s="67">
        <f t="shared" si="0"/>
      </c>
      <c r="D475" s="60">
        <f t="shared" si="1"/>
      </c>
      <c r="E475" s="53">
        <f t="shared" si="2"/>
      </c>
      <c r="F475" s="53">
        <f t="shared" si="3"/>
      </c>
      <c r="G475" s="53">
        <f t="shared" si="4"/>
      </c>
      <c r="H475" s="59">
        <f t="shared" si="5"/>
      </c>
      <c r="I475" s="53">
        <f t="shared" si="6"/>
      </c>
      <c r="J475" s="53">
        <f t="shared" si="7"/>
      </c>
      <c r="K475" s="53">
        <f t="shared" si="8"/>
      </c>
      <c r="L475" s="68">
        <f t="shared" si="9"/>
      </c>
      <c r="M475" s="56">
        <f t="shared" si="10"/>
      </c>
      <c r="N475" s="69">
        <f t="shared" si="11"/>
      </c>
      <c r="O475" s="22">
        <f t="shared" si="12"/>
      </c>
      <c r="P475" s="22">
        <f>IF(往来单位!$C$465="客户",1,0)</f>
        <v>0</v>
      </c>
      <c r="Q475" s="22">
        <f t="shared" si="13"/>
        <v>28</v>
      </c>
    </row>
    <row r="476">
      <c r="A476" s="56">
        <f>IF($B476="","",463)</f>
      </c>
      <c r="B476" s="66">
        <f>IF(463&gt;$Q$613,"",INDEX(往来单位!$B$4:$B$603,MATCH(463,$Q$14:$Q$613,0)))</f>
      </c>
      <c r="C476" s="67">
        <f t="shared" si="0"/>
      </c>
      <c r="D476" s="60">
        <f t="shared" si="1"/>
      </c>
      <c r="E476" s="53">
        <f t="shared" si="2"/>
      </c>
      <c r="F476" s="53">
        <f t="shared" si="3"/>
      </c>
      <c r="G476" s="53">
        <f t="shared" si="4"/>
      </c>
      <c r="H476" s="59">
        <f t="shared" si="5"/>
      </c>
      <c r="I476" s="53">
        <f t="shared" si="6"/>
      </c>
      <c r="J476" s="53">
        <f t="shared" si="7"/>
      </c>
      <c r="K476" s="53">
        <f t="shared" si="8"/>
      </c>
      <c r="L476" s="68">
        <f t="shared" si="9"/>
      </c>
      <c r="M476" s="56">
        <f t="shared" si="10"/>
      </c>
      <c r="N476" s="69">
        <f t="shared" si="11"/>
      </c>
      <c r="O476" s="22">
        <f t="shared" si="12"/>
      </c>
      <c r="P476" s="22">
        <f>IF(往来单位!$C$466="客户",1,0)</f>
        <v>0</v>
      </c>
      <c r="Q476" s="22">
        <f t="shared" si="13"/>
        <v>28</v>
      </c>
    </row>
    <row r="477">
      <c r="A477" s="56">
        <f>IF($B477="","",464)</f>
      </c>
      <c r="B477" s="66">
        <f>IF(464&gt;$Q$613,"",INDEX(往来单位!$B$4:$B$603,MATCH(464,$Q$14:$Q$613,0)))</f>
      </c>
      <c r="C477" s="67">
        <f t="shared" si="0"/>
      </c>
      <c r="D477" s="60">
        <f t="shared" si="1"/>
      </c>
      <c r="E477" s="53">
        <f t="shared" si="2"/>
      </c>
      <c r="F477" s="53">
        <f t="shared" si="3"/>
      </c>
      <c r="G477" s="53">
        <f t="shared" si="4"/>
      </c>
      <c r="H477" s="59">
        <f t="shared" si="5"/>
      </c>
      <c r="I477" s="53">
        <f t="shared" si="6"/>
      </c>
      <c r="J477" s="53">
        <f t="shared" si="7"/>
      </c>
      <c r="K477" s="53">
        <f t="shared" si="8"/>
      </c>
      <c r="L477" s="68">
        <f t="shared" si="9"/>
      </c>
      <c r="M477" s="56">
        <f t="shared" si="10"/>
      </c>
      <c r="N477" s="69">
        <f t="shared" si="11"/>
      </c>
      <c r="O477" s="22">
        <f t="shared" si="12"/>
      </c>
      <c r="P477" s="22">
        <f>IF(往来单位!$C$467="客户",1,0)</f>
        <v>0</v>
      </c>
      <c r="Q477" s="22">
        <f t="shared" si="13"/>
        <v>28</v>
      </c>
    </row>
    <row r="478">
      <c r="A478" s="56">
        <f>IF($B478="","",465)</f>
      </c>
      <c r="B478" s="66">
        <f>IF(465&gt;$Q$613,"",INDEX(往来单位!$B$4:$B$603,MATCH(465,$Q$14:$Q$613,0)))</f>
      </c>
      <c r="C478" s="67">
        <f t="shared" si="0"/>
      </c>
      <c r="D478" s="60">
        <f t="shared" si="1"/>
      </c>
      <c r="E478" s="53">
        <f t="shared" si="2"/>
      </c>
      <c r="F478" s="53">
        <f t="shared" si="3"/>
      </c>
      <c r="G478" s="53">
        <f t="shared" si="4"/>
      </c>
      <c r="H478" s="59">
        <f t="shared" si="5"/>
      </c>
      <c r="I478" s="53">
        <f t="shared" si="6"/>
      </c>
      <c r="J478" s="53">
        <f t="shared" si="7"/>
      </c>
      <c r="K478" s="53">
        <f t="shared" si="8"/>
      </c>
      <c r="L478" s="68">
        <f t="shared" si="9"/>
      </c>
      <c r="M478" s="56">
        <f t="shared" si="10"/>
      </c>
      <c r="N478" s="69">
        <f t="shared" si="11"/>
      </c>
      <c r="O478" s="22">
        <f t="shared" si="12"/>
      </c>
      <c r="P478" s="22">
        <f>IF(往来单位!$C$468="客户",1,0)</f>
        <v>0</v>
      </c>
      <c r="Q478" s="22">
        <f t="shared" si="13"/>
        <v>28</v>
      </c>
    </row>
    <row r="479">
      <c r="A479" s="56">
        <f>IF($B479="","",466)</f>
      </c>
      <c r="B479" s="66">
        <f>IF(466&gt;$Q$613,"",INDEX(往来单位!$B$4:$B$603,MATCH(466,$Q$14:$Q$613,0)))</f>
      </c>
      <c r="C479" s="67">
        <f t="shared" si="0"/>
      </c>
      <c r="D479" s="60">
        <f t="shared" si="1"/>
      </c>
      <c r="E479" s="53">
        <f t="shared" si="2"/>
      </c>
      <c r="F479" s="53">
        <f t="shared" si="3"/>
      </c>
      <c r="G479" s="53">
        <f t="shared" si="4"/>
      </c>
      <c r="H479" s="59">
        <f t="shared" si="5"/>
      </c>
      <c r="I479" s="53">
        <f t="shared" si="6"/>
      </c>
      <c r="J479" s="53">
        <f t="shared" si="7"/>
      </c>
      <c r="K479" s="53">
        <f t="shared" si="8"/>
      </c>
      <c r="L479" s="68">
        <f t="shared" si="9"/>
      </c>
      <c r="M479" s="56">
        <f t="shared" si="10"/>
      </c>
      <c r="N479" s="69">
        <f t="shared" si="11"/>
      </c>
      <c r="O479" s="22">
        <f t="shared" si="12"/>
      </c>
      <c r="P479" s="22">
        <f>IF(往来单位!$C$469="客户",1,0)</f>
        <v>0</v>
      </c>
      <c r="Q479" s="22">
        <f t="shared" si="13"/>
        <v>28</v>
      </c>
    </row>
    <row r="480">
      <c r="A480" s="56">
        <f>IF($B480="","",467)</f>
      </c>
      <c r="B480" s="66">
        <f>IF(467&gt;$Q$613,"",INDEX(往来单位!$B$4:$B$603,MATCH(467,$Q$14:$Q$613,0)))</f>
      </c>
      <c r="C480" s="67">
        <f t="shared" si="0"/>
      </c>
      <c r="D480" s="60">
        <f t="shared" si="1"/>
      </c>
      <c r="E480" s="53">
        <f t="shared" si="2"/>
      </c>
      <c r="F480" s="53">
        <f t="shared" si="3"/>
      </c>
      <c r="G480" s="53">
        <f t="shared" si="4"/>
      </c>
      <c r="H480" s="59">
        <f t="shared" si="5"/>
      </c>
      <c r="I480" s="53">
        <f t="shared" si="6"/>
      </c>
      <c r="J480" s="53">
        <f t="shared" si="7"/>
      </c>
      <c r="K480" s="53">
        <f t="shared" si="8"/>
      </c>
      <c r="L480" s="68">
        <f t="shared" si="9"/>
      </c>
      <c r="M480" s="56">
        <f t="shared" si="10"/>
      </c>
      <c r="N480" s="69">
        <f t="shared" si="11"/>
      </c>
      <c r="O480" s="22">
        <f t="shared" si="12"/>
      </c>
      <c r="P480" s="22">
        <f>IF(往来单位!$C$470="客户",1,0)</f>
        <v>0</v>
      </c>
      <c r="Q480" s="22">
        <f t="shared" si="13"/>
        <v>28</v>
      </c>
    </row>
    <row r="481">
      <c r="A481" s="56">
        <f>IF($B481="","",468)</f>
      </c>
      <c r="B481" s="66">
        <f>IF(468&gt;$Q$613,"",INDEX(往来单位!$B$4:$B$603,MATCH(468,$Q$14:$Q$613,0)))</f>
      </c>
      <c r="C481" s="67">
        <f t="shared" si="0"/>
      </c>
      <c r="D481" s="60">
        <f t="shared" si="1"/>
      </c>
      <c r="E481" s="53">
        <f t="shared" si="2"/>
      </c>
      <c r="F481" s="53">
        <f t="shared" si="3"/>
      </c>
      <c r="G481" s="53">
        <f t="shared" si="4"/>
      </c>
      <c r="H481" s="59">
        <f t="shared" si="5"/>
      </c>
      <c r="I481" s="53">
        <f t="shared" si="6"/>
      </c>
      <c r="J481" s="53">
        <f t="shared" si="7"/>
      </c>
      <c r="K481" s="53">
        <f t="shared" si="8"/>
      </c>
      <c r="L481" s="68">
        <f t="shared" si="9"/>
      </c>
      <c r="M481" s="56">
        <f t="shared" si="10"/>
      </c>
      <c r="N481" s="69">
        <f t="shared" si="11"/>
      </c>
      <c r="O481" s="22">
        <f t="shared" si="12"/>
      </c>
      <c r="P481" s="22">
        <f>IF(往来单位!$C$471="客户",1,0)</f>
        <v>0</v>
      </c>
      <c r="Q481" s="22">
        <f t="shared" si="13"/>
        <v>28</v>
      </c>
    </row>
    <row r="482">
      <c r="A482" s="56">
        <f>IF($B482="","",469)</f>
      </c>
      <c r="B482" s="66">
        <f>IF(469&gt;$Q$613,"",INDEX(往来单位!$B$4:$B$603,MATCH(469,$Q$14:$Q$613,0)))</f>
      </c>
      <c r="C482" s="67">
        <f t="shared" si="0"/>
      </c>
      <c r="D482" s="60">
        <f t="shared" si="1"/>
      </c>
      <c r="E482" s="53">
        <f t="shared" si="2"/>
      </c>
      <c r="F482" s="53">
        <f t="shared" si="3"/>
      </c>
      <c r="G482" s="53">
        <f t="shared" si="4"/>
      </c>
      <c r="H482" s="59">
        <f t="shared" si="5"/>
      </c>
      <c r="I482" s="53">
        <f t="shared" si="6"/>
      </c>
      <c r="J482" s="53">
        <f t="shared" si="7"/>
      </c>
      <c r="K482" s="53">
        <f t="shared" si="8"/>
      </c>
      <c r="L482" s="68">
        <f t="shared" si="9"/>
      </c>
      <c r="M482" s="56">
        <f t="shared" si="10"/>
      </c>
      <c r="N482" s="69">
        <f t="shared" si="11"/>
      </c>
      <c r="O482" s="22">
        <f t="shared" si="12"/>
      </c>
      <c r="P482" s="22">
        <f>IF(往来单位!$C$472="客户",1,0)</f>
        <v>0</v>
      </c>
      <c r="Q482" s="22">
        <f t="shared" si="13"/>
        <v>28</v>
      </c>
    </row>
    <row r="483">
      <c r="A483" s="56">
        <f>IF($B483="","",470)</f>
      </c>
      <c r="B483" s="66">
        <f>IF(470&gt;$Q$613,"",INDEX(往来单位!$B$4:$B$603,MATCH(470,$Q$14:$Q$613,0)))</f>
      </c>
      <c r="C483" s="67">
        <f t="shared" si="0"/>
      </c>
      <c r="D483" s="60">
        <f t="shared" si="1"/>
      </c>
      <c r="E483" s="53">
        <f t="shared" si="2"/>
      </c>
      <c r="F483" s="53">
        <f t="shared" si="3"/>
      </c>
      <c r="G483" s="53">
        <f t="shared" si="4"/>
      </c>
      <c r="H483" s="59">
        <f t="shared" si="5"/>
      </c>
      <c r="I483" s="53">
        <f t="shared" si="6"/>
      </c>
      <c r="J483" s="53">
        <f t="shared" si="7"/>
      </c>
      <c r="K483" s="53">
        <f t="shared" si="8"/>
      </c>
      <c r="L483" s="68">
        <f t="shared" si="9"/>
      </c>
      <c r="M483" s="56">
        <f t="shared" si="10"/>
      </c>
      <c r="N483" s="69">
        <f t="shared" si="11"/>
      </c>
      <c r="O483" s="22">
        <f t="shared" si="12"/>
      </c>
      <c r="P483" s="22">
        <f>IF(往来单位!$C$473="客户",1,0)</f>
        <v>0</v>
      </c>
      <c r="Q483" s="22">
        <f t="shared" si="13"/>
        <v>28</v>
      </c>
    </row>
    <row r="484">
      <c r="A484" s="56">
        <f>IF($B484="","",471)</f>
      </c>
      <c r="B484" s="66">
        <f>IF(471&gt;$Q$613,"",INDEX(往来单位!$B$4:$B$603,MATCH(471,$Q$14:$Q$613,0)))</f>
      </c>
      <c r="C484" s="67">
        <f t="shared" si="0"/>
      </c>
      <c r="D484" s="60">
        <f t="shared" si="1"/>
      </c>
      <c r="E484" s="53">
        <f t="shared" si="2"/>
      </c>
      <c r="F484" s="53">
        <f t="shared" si="3"/>
      </c>
      <c r="G484" s="53">
        <f t="shared" si="4"/>
      </c>
      <c r="H484" s="59">
        <f t="shared" si="5"/>
      </c>
      <c r="I484" s="53">
        <f t="shared" si="6"/>
      </c>
      <c r="J484" s="53">
        <f t="shared" si="7"/>
      </c>
      <c r="K484" s="53">
        <f t="shared" si="8"/>
      </c>
      <c r="L484" s="68">
        <f t="shared" si="9"/>
      </c>
      <c r="M484" s="56">
        <f t="shared" si="10"/>
      </c>
      <c r="N484" s="69">
        <f t="shared" si="11"/>
      </c>
      <c r="O484" s="22">
        <f t="shared" si="12"/>
      </c>
      <c r="P484" s="22">
        <f>IF(往来单位!$C$474="客户",1,0)</f>
        <v>0</v>
      </c>
      <c r="Q484" s="22">
        <f t="shared" si="13"/>
        <v>28</v>
      </c>
    </row>
    <row r="485">
      <c r="A485" s="56">
        <f>IF($B485="","",472)</f>
      </c>
      <c r="B485" s="66">
        <f>IF(472&gt;$Q$613,"",INDEX(往来单位!$B$4:$B$603,MATCH(472,$Q$14:$Q$613,0)))</f>
      </c>
      <c r="C485" s="67">
        <f t="shared" si="0"/>
      </c>
      <c r="D485" s="60">
        <f t="shared" si="1"/>
      </c>
      <c r="E485" s="53">
        <f t="shared" si="2"/>
      </c>
      <c r="F485" s="53">
        <f t="shared" si="3"/>
      </c>
      <c r="G485" s="53">
        <f t="shared" si="4"/>
      </c>
      <c r="H485" s="59">
        <f t="shared" si="5"/>
      </c>
      <c r="I485" s="53">
        <f t="shared" si="6"/>
      </c>
      <c r="J485" s="53">
        <f t="shared" si="7"/>
      </c>
      <c r="K485" s="53">
        <f t="shared" si="8"/>
      </c>
      <c r="L485" s="68">
        <f t="shared" si="9"/>
      </c>
      <c r="M485" s="56">
        <f t="shared" si="10"/>
      </c>
      <c r="N485" s="69">
        <f t="shared" si="11"/>
      </c>
      <c r="O485" s="22">
        <f t="shared" si="12"/>
      </c>
      <c r="P485" s="22">
        <f>IF(往来单位!$C$475="客户",1,0)</f>
        <v>0</v>
      </c>
      <c r="Q485" s="22">
        <f t="shared" si="13"/>
        <v>28</v>
      </c>
    </row>
    <row r="486">
      <c r="A486" s="56">
        <f>IF($B486="","",473)</f>
      </c>
      <c r="B486" s="66">
        <f>IF(473&gt;$Q$613,"",INDEX(往来单位!$B$4:$B$603,MATCH(473,$Q$14:$Q$613,0)))</f>
      </c>
      <c r="C486" s="67">
        <f t="shared" si="0"/>
      </c>
      <c r="D486" s="60">
        <f t="shared" si="1"/>
      </c>
      <c r="E486" s="53">
        <f t="shared" si="2"/>
      </c>
      <c r="F486" s="53">
        <f t="shared" si="3"/>
      </c>
      <c r="G486" s="53">
        <f t="shared" si="4"/>
      </c>
      <c r="H486" s="59">
        <f t="shared" si="5"/>
      </c>
      <c r="I486" s="53">
        <f t="shared" si="6"/>
      </c>
      <c r="J486" s="53">
        <f t="shared" si="7"/>
      </c>
      <c r="K486" s="53">
        <f t="shared" si="8"/>
      </c>
      <c r="L486" s="68">
        <f t="shared" si="9"/>
      </c>
      <c r="M486" s="56">
        <f t="shared" si="10"/>
      </c>
      <c r="N486" s="69">
        <f t="shared" si="11"/>
      </c>
      <c r="O486" s="22">
        <f t="shared" si="12"/>
      </c>
      <c r="P486" s="22">
        <f>IF(往来单位!$C$476="客户",1,0)</f>
        <v>0</v>
      </c>
      <c r="Q486" s="22">
        <f t="shared" si="13"/>
        <v>28</v>
      </c>
    </row>
    <row r="487">
      <c r="A487" s="56">
        <f>IF($B487="","",474)</f>
      </c>
      <c r="B487" s="66">
        <f>IF(474&gt;$Q$613,"",INDEX(往来单位!$B$4:$B$603,MATCH(474,$Q$14:$Q$613,0)))</f>
      </c>
      <c r="C487" s="67">
        <f t="shared" si="0"/>
      </c>
      <c r="D487" s="60">
        <f t="shared" si="1"/>
      </c>
      <c r="E487" s="53">
        <f t="shared" si="2"/>
      </c>
      <c r="F487" s="53">
        <f t="shared" si="3"/>
      </c>
      <c r="G487" s="53">
        <f t="shared" si="4"/>
      </c>
      <c r="H487" s="59">
        <f t="shared" si="5"/>
      </c>
      <c r="I487" s="53">
        <f t="shared" si="6"/>
      </c>
      <c r="J487" s="53">
        <f t="shared" si="7"/>
      </c>
      <c r="K487" s="53">
        <f t="shared" si="8"/>
      </c>
      <c r="L487" s="68">
        <f t="shared" si="9"/>
      </c>
      <c r="M487" s="56">
        <f t="shared" si="10"/>
      </c>
      <c r="N487" s="69">
        <f t="shared" si="11"/>
      </c>
      <c r="O487" s="22">
        <f t="shared" si="12"/>
      </c>
      <c r="P487" s="22">
        <f>IF(往来单位!$C$477="客户",1,0)</f>
        <v>0</v>
      </c>
      <c r="Q487" s="22">
        <f t="shared" si="13"/>
        <v>28</v>
      </c>
    </row>
    <row r="488">
      <c r="A488" s="56">
        <f>IF($B488="","",475)</f>
      </c>
      <c r="B488" s="66">
        <f>IF(475&gt;$Q$613,"",INDEX(往来单位!$B$4:$B$603,MATCH(475,$Q$14:$Q$613,0)))</f>
      </c>
      <c r="C488" s="67">
        <f t="shared" si="0"/>
      </c>
      <c r="D488" s="60">
        <f t="shared" si="1"/>
      </c>
      <c r="E488" s="53">
        <f t="shared" si="2"/>
      </c>
      <c r="F488" s="53">
        <f t="shared" si="3"/>
      </c>
      <c r="G488" s="53">
        <f t="shared" si="4"/>
      </c>
      <c r="H488" s="59">
        <f t="shared" si="5"/>
      </c>
      <c r="I488" s="53">
        <f t="shared" si="6"/>
      </c>
      <c r="J488" s="53">
        <f t="shared" si="7"/>
      </c>
      <c r="K488" s="53">
        <f t="shared" si="8"/>
      </c>
      <c r="L488" s="68">
        <f t="shared" si="9"/>
      </c>
      <c r="M488" s="56">
        <f t="shared" si="10"/>
      </c>
      <c r="N488" s="69">
        <f t="shared" si="11"/>
      </c>
      <c r="O488" s="22">
        <f t="shared" si="12"/>
      </c>
      <c r="P488" s="22">
        <f>IF(往来单位!$C$478="客户",1,0)</f>
        <v>0</v>
      </c>
      <c r="Q488" s="22">
        <f t="shared" si="13"/>
        <v>28</v>
      </c>
    </row>
    <row r="489">
      <c r="A489" s="56">
        <f>IF($B489="","",476)</f>
      </c>
      <c r="B489" s="66">
        <f>IF(476&gt;$Q$613,"",INDEX(往来单位!$B$4:$B$603,MATCH(476,$Q$14:$Q$613,0)))</f>
      </c>
      <c r="C489" s="67">
        <f t="shared" si="0"/>
      </c>
      <c r="D489" s="60">
        <f t="shared" si="1"/>
      </c>
      <c r="E489" s="53">
        <f t="shared" si="2"/>
      </c>
      <c r="F489" s="53">
        <f t="shared" si="3"/>
      </c>
      <c r="G489" s="53">
        <f t="shared" si="4"/>
      </c>
      <c r="H489" s="59">
        <f t="shared" si="5"/>
      </c>
      <c r="I489" s="53">
        <f t="shared" si="6"/>
      </c>
      <c r="J489" s="53">
        <f t="shared" si="7"/>
      </c>
      <c r="K489" s="53">
        <f t="shared" si="8"/>
      </c>
      <c r="L489" s="68">
        <f t="shared" si="9"/>
      </c>
      <c r="M489" s="56">
        <f t="shared" si="10"/>
      </c>
      <c r="N489" s="69">
        <f t="shared" si="11"/>
      </c>
      <c r="O489" s="22">
        <f t="shared" si="12"/>
      </c>
      <c r="P489" s="22">
        <f>IF(往来单位!$C$479="客户",1,0)</f>
        <v>0</v>
      </c>
      <c r="Q489" s="22">
        <f t="shared" si="13"/>
        <v>28</v>
      </c>
    </row>
    <row r="490">
      <c r="A490" s="56">
        <f>IF($B490="","",477)</f>
      </c>
      <c r="B490" s="66">
        <f>IF(477&gt;$Q$613,"",INDEX(往来单位!$B$4:$B$603,MATCH(477,$Q$14:$Q$613,0)))</f>
      </c>
      <c r="C490" s="67">
        <f t="shared" si="0"/>
      </c>
      <c r="D490" s="60">
        <f t="shared" si="1"/>
      </c>
      <c r="E490" s="53">
        <f t="shared" si="2"/>
      </c>
      <c r="F490" s="53">
        <f t="shared" si="3"/>
      </c>
      <c r="G490" s="53">
        <f t="shared" si="4"/>
      </c>
      <c r="H490" s="59">
        <f t="shared" si="5"/>
      </c>
      <c r="I490" s="53">
        <f t="shared" si="6"/>
      </c>
      <c r="J490" s="53">
        <f t="shared" si="7"/>
      </c>
      <c r="K490" s="53">
        <f t="shared" si="8"/>
      </c>
      <c r="L490" s="68">
        <f t="shared" si="9"/>
      </c>
      <c r="M490" s="56">
        <f t="shared" si="10"/>
      </c>
      <c r="N490" s="69">
        <f t="shared" si="11"/>
      </c>
      <c r="O490" s="22">
        <f t="shared" si="12"/>
      </c>
      <c r="P490" s="22">
        <f>IF(往来单位!$C$480="客户",1,0)</f>
        <v>0</v>
      </c>
      <c r="Q490" s="22">
        <f t="shared" si="13"/>
        <v>28</v>
      </c>
    </row>
    <row r="491">
      <c r="A491" s="56">
        <f>IF($B491="","",478)</f>
      </c>
      <c r="B491" s="66">
        <f>IF(478&gt;$Q$613,"",INDEX(往来单位!$B$4:$B$603,MATCH(478,$Q$14:$Q$613,0)))</f>
      </c>
      <c r="C491" s="67">
        <f t="shared" si="0"/>
      </c>
      <c r="D491" s="60">
        <f t="shared" si="1"/>
      </c>
      <c r="E491" s="53">
        <f t="shared" si="2"/>
      </c>
      <c r="F491" s="53">
        <f t="shared" si="3"/>
      </c>
      <c r="G491" s="53">
        <f t="shared" si="4"/>
      </c>
      <c r="H491" s="59">
        <f t="shared" si="5"/>
      </c>
      <c r="I491" s="53">
        <f t="shared" si="6"/>
      </c>
      <c r="J491" s="53">
        <f t="shared" si="7"/>
      </c>
      <c r="K491" s="53">
        <f t="shared" si="8"/>
      </c>
      <c r="L491" s="68">
        <f t="shared" si="9"/>
      </c>
      <c r="M491" s="56">
        <f t="shared" si="10"/>
      </c>
      <c r="N491" s="69">
        <f t="shared" si="11"/>
      </c>
      <c r="O491" s="22">
        <f t="shared" si="12"/>
      </c>
      <c r="P491" s="22">
        <f>IF(往来单位!$C$481="客户",1,0)</f>
        <v>0</v>
      </c>
      <c r="Q491" s="22">
        <f t="shared" si="13"/>
        <v>28</v>
      </c>
    </row>
    <row r="492">
      <c r="A492" s="56">
        <f>IF($B492="","",479)</f>
      </c>
      <c r="B492" s="66">
        <f>IF(479&gt;$Q$613,"",INDEX(往来单位!$B$4:$B$603,MATCH(479,$Q$14:$Q$613,0)))</f>
      </c>
      <c r="C492" s="67">
        <f t="shared" si="0"/>
      </c>
      <c r="D492" s="60">
        <f t="shared" si="1"/>
      </c>
      <c r="E492" s="53">
        <f t="shared" si="2"/>
      </c>
      <c r="F492" s="53">
        <f t="shared" si="3"/>
      </c>
      <c r="G492" s="53">
        <f t="shared" si="4"/>
      </c>
      <c r="H492" s="59">
        <f t="shared" si="5"/>
      </c>
      <c r="I492" s="53">
        <f t="shared" si="6"/>
      </c>
      <c r="J492" s="53">
        <f t="shared" si="7"/>
      </c>
      <c r="K492" s="53">
        <f t="shared" si="8"/>
      </c>
      <c r="L492" s="68">
        <f t="shared" si="9"/>
      </c>
      <c r="M492" s="56">
        <f t="shared" si="10"/>
      </c>
      <c r="N492" s="69">
        <f t="shared" si="11"/>
      </c>
      <c r="O492" s="22">
        <f t="shared" si="12"/>
      </c>
      <c r="P492" s="22">
        <f>IF(往来单位!$C$482="客户",1,0)</f>
        <v>0</v>
      </c>
      <c r="Q492" s="22">
        <f t="shared" si="13"/>
        <v>28</v>
      </c>
    </row>
    <row r="493">
      <c r="A493" s="56">
        <f>IF($B493="","",480)</f>
      </c>
      <c r="B493" s="66">
        <f>IF(480&gt;$Q$613,"",INDEX(往来单位!$B$4:$B$603,MATCH(480,$Q$14:$Q$613,0)))</f>
      </c>
      <c r="C493" s="67">
        <f t="shared" si="0"/>
      </c>
      <c r="D493" s="60">
        <f t="shared" si="1"/>
      </c>
      <c r="E493" s="53">
        <f t="shared" si="2"/>
      </c>
      <c r="F493" s="53">
        <f t="shared" si="3"/>
      </c>
      <c r="G493" s="53">
        <f t="shared" si="4"/>
      </c>
      <c r="H493" s="59">
        <f t="shared" si="5"/>
      </c>
      <c r="I493" s="53">
        <f t="shared" si="6"/>
      </c>
      <c r="J493" s="53">
        <f t="shared" si="7"/>
      </c>
      <c r="K493" s="53">
        <f t="shared" si="8"/>
      </c>
      <c r="L493" s="68">
        <f t="shared" si="9"/>
      </c>
      <c r="M493" s="56">
        <f t="shared" si="10"/>
      </c>
      <c r="N493" s="69">
        <f t="shared" si="11"/>
      </c>
      <c r="O493" s="22">
        <f t="shared" si="12"/>
      </c>
      <c r="P493" s="22">
        <f>IF(往来单位!$C$483="客户",1,0)</f>
        <v>0</v>
      </c>
      <c r="Q493" s="22">
        <f t="shared" si="13"/>
        <v>28</v>
      </c>
    </row>
    <row r="494">
      <c r="A494" s="56">
        <f>IF($B494="","",481)</f>
      </c>
      <c r="B494" s="66">
        <f>IF(481&gt;$Q$613,"",INDEX(往来单位!$B$4:$B$603,MATCH(481,$Q$14:$Q$613,0)))</f>
      </c>
      <c r="C494" s="67">
        <f t="shared" si="0"/>
      </c>
      <c r="D494" s="60">
        <f t="shared" si="1"/>
      </c>
      <c r="E494" s="53">
        <f t="shared" si="2"/>
      </c>
      <c r="F494" s="53">
        <f t="shared" si="3"/>
      </c>
      <c r="G494" s="53">
        <f t="shared" si="4"/>
      </c>
      <c r="H494" s="59">
        <f t="shared" si="5"/>
      </c>
      <c r="I494" s="53">
        <f t="shared" si="6"/>
      </c>
      <c r="J494" s="53">
        <f t="shared" si="7"/>
      </c>
      <c r="K494" s="53">
        <f t="shared" si="8"/>
      </c>
      <c r="L494" s="68">
        <f t="shared" si="9"/>
      </c>
      <c r="M494" s="56">
        <f t="shared" si="10"/>
      </c>
      <c r="N494" s="69">
        <f t="shared" si="11"/>
      </c>
      <c r="O494" s="22">
        <f t="shared" si="12"/>
      </c>
      <c r="P494" s="22">
        <f>IF(往来单位!$C$484="客户",1,0)</f>
        <v>0</v>
      </c>
      <c r="Q494" s="22">
        <f t="shared" si="13"/>
        <v>28</v>
      </c>
    </row>
    <row r="495">
      <c r="A495" s="56">
        <f>IF($B495="","",482)</f>
      </c>
      <c r="B495" s="66">
        <f>IF(482&gt;$Q$613,"",INDEX(往来单位!$B$4:$B$603,MATCH(482,$Q$14:$Q$613,0)))</f>
      </c>
      <c r="C495" s="67">
        <f t="shared" si="0"/>
      </c>
      <c r="D495" s="60">
        <f t="shared" si="1"/>
      </c>
      <c r="E495" s="53">
        <f t="shared" si="2"/>
      </c>
      <c r="F495" s="53">
        <f t="shared" si="3"/>
      </c>
      <c r="G495" s="53">
        <f t="shared" si="4"/>
      </c>
      <c r="H495" s="59">
        <f t="shared" si="5"/>
      </c>
      <c r="I495" s="53">
        <f t="shared" si="6"/>
      </c>
      <c r="J495" s="53">
        <f t="shared" si="7"/>
      </c>
      <c r="K495" s="53">
        <f t="shared" si="8"/>
      </c>
      <c r="L495" s="68">
        <f t="shared" si="9"/>
      </c>
      <c r="M495" s="56">
        <f t="shared" si="10"/>
      </c>
      <c r="N495" s="69">
        <f t="shared" si="11"/>
      </c>
      <c r="O495" s="22">
        <f t="shared" si="12"/>
      </c>
      <c r="P495" s="22">
        <f>IF(往来单位!$C$485="客户",1,0)</f>
        <v>0</v>
      </c>
      <c r="Q495" s="22">
        <f t="shared" si="13"/>
        <v>28</v>
      </c>
    </row>
    <row r="496">
      <c r="A496" s="56">
        <f>IF($B496="","",483)</f>
      </c>
      <c r="B496" s="66">
        <f>IF(483&gt;$Q$613,"",INDEX(往来单位!$B$4:$B$603,MATCH(483,$Q$14:$Q$613,0)))</f>
      </c>
      <c r="C496" s="67">
        <f t="shared" si="0"/>
      </c>
      <c r="D496" s="60">
        <f t="shared" si="1"/>
      </c>
      <c r="E496" s="53">
        <f t="shared" si="2"/>
      </c>
      <c r="F496" s="53">
        <f t="shared" si="3"/>
      </c>
      <c r="G496" s="53">
        <f t="shared" si="4"/>
      </c>
      <c r="H496" s="59">
        <f t="shared" si="5"/>
      </c>
      <c r="I496" s="53">
        <f t="shared" si="6"/>
      </c>
      <c r="J496" s="53">
        <f t="shared" si="7"/>
      </c>
      <c r="K496" s="53">
        <f t="shared" si="8"/>
      </c>
      <c r="L496" s="68">
        <f t="shared" si="9"/>
      </c>
      <c r="M496" s="56">
        <f t="shared" si="10"/>
      </c>
      <c r="N496" s="69">
        <f t="shared" si="11"/>
      </c>
      <c r="O496" s="22">
        <f t="shared" si="12"/>
      </c>
      <c r="P496" s="22">
        <f>IF(往来单位!$C$486="客户",1,0)</f>
        <v>0</v>
      </c>
      <c r="Q496" s="22">
        <f t="shared" si="13"/>
        <v>28</v>
      </c>
    </row>
    <row r="497">
      <c r="A497" s="56">
        <f>IF($B497="","",484)</f>
      </c>
      <c r="B497" s="66">
        <f>IF(484&gt;$Q$613,"",INDEX(往来单位!$B$4:$B$603,MATCH(484,$Q$14:$Q$613,0)))</f>
      </c>
      <c r="C497" s="67">
        <f t="shared" si="0"/>
      </c>
      <c r="D497" s="60">
        <f t="shared" si="1"/>
      </c>
      <c r="E497" s="53">
        <f t="shared" si="2"/>
      </c>
      <c r="F497" s="53">
        <f t="shared" si="3"/>
      </c>
      <c r="G497" s="53">
        <f t="shared" si="4"/>
      </c>
      <c r="H497" s="59">
        <f t="shared" si="5"/>
      </c>
      <c r="I497" s="53">
        <f t="shared" si="6"/>
      </c>
      <c r="J497" s="53">
        <f t="shared" si="7"/>
      </c>
      <c r="K497" s="53">
        <f t="shared" si="8"/>
      </c>
      <c r="L497" s="68">
        <f t="shared" si="9"/>
      </c>
      <c r="M497" s="56">
        <f t="shared" si="10"/>
      </c>
      <c r="N497" s="69">
        <f t="shared" si="11"/>
      </c>
      <c r="O497" s="22">
        <f t="shared" si="12"/>
      </c>
      <c r="P497" s="22">
        <f>IF(往来单位!$C$487="客户",1,0)</f>
        <v>0</v>
      </c>
      <c r="Q497" s="22">
        <f t="shared" si="13"/>
        <v>28</v>
      </c>
    </row>
    <row r="498">
      <c r="A498" s="56">
        <f>IF($B498="","",485)</f>
      </c>
      <c r="B498" s="66">
        <f>IF(485&gt;$Q$613,"",INDEX(往来单位!$B$4:$B$603,MATCH(485,$Q$14:$Q$613,0)))</f>
      </c>
      <c r="C498" s="67">
        <f t="shared" si="0"/>
      </c>
      <c r="D498" s="60">
        <f t="shared" si="1"/>
      </c>
      <c r="E498" s="53">
        <f t="shared" si="2"/>
      </c>
      <c r="F498" s="53">
        <f t="shared" si="3"/>
      </c>
      <c r="G498" s="53">
        <f t="shared" si="4"/>
      </c>
      <c r="H498" s="59">
        <f t="shared" si="5"/>
      </c>
      <c r="I498" s="53">
        <f t="shared" si="6"/>
      </c>
      <c r="J498" s="53">
        <f t="shared" si="7"/>
      </c>
      <c r="K498" s="53">
        <f t="shared" si="8"/>
      </c>
      <c r="L498" s="68">
        <f t="shared" si="9"/>
      </c>
      <c r="M498" s="56">
        <f t="shared" si="10"/>
      </c>
      <c r="N498" s="69">
        <f t="shared" si="11"/>
      </c>
      <c r="O498" s="22">
        <f t="shared" si="12"/>
      </c>
      <c r="P498" s="22">
        <f>IF(往来单位!$C$488="客户",1,0)</f>
        <v>0</v>
      </c>
      <c r="Q498" s="22">
        <f t="shared" si="13"/>
        <v>28</v>
      </c>
    </row>
    <row r="499">
      <c r="A499" s="56">
        <f>IF($B499="","",486)</f>
      </c>
      <c r="B499" s="66">
        <f>IF(486&gt;$Q$613,"",INDEX(往来单位!$B$4:$B$603,MATCH(486,$Q$14:$Q$613,0)))</f>
      </c>
      <c r="C499" s="67">
        <f t="shared" si="0"/>
      </c>
      <c r="D499" s="60">
        <f t="shared" si="1"/>
      </c>
      <c r="E499" s="53">
        <f t="shared" si="2"/>
      </c>
      <c r="F499" s="53">
        <f t="shared" si="3"/>
      </c>
      <c r="G499" s="53">
        <f t="shared" si="4"/>
      </c>
      <c r="H499" s="59">
        <f t="shared" si="5"/>
      </c>
      <c r="I499" s="53">
        <f t="shared" si="6"/>
      </c>
      <c r="J499" s="53">
        <f t="shared" si="7"/>
      </c>
      <c r="K499" s="53">
        <f t="shared" si="8"/>
      </c>
      <c r="L499" s="68">
        <f t="shared" si="9"/>
      </c>
      <c r="M499" s="56">
        <f t="shared" si="10"/>
      </c>
      <c r="N499" s="69">
        <f t="shared" si="11"/>
      </c>
      <c r="O499" s="22">
        <f t="shared" si="12"/>
      </c>
      <c r="P499" s="22">
        <f>IF(往来单位!$C$489="客户",1,0)</f>
        <v>0</v>
      </c>
      <c r="Q499" s="22">
        <f t="shared" si="13"/>
        <v>28</v>
      </c>
    </row>
    <row r="500">
      <c r="A500" s="56">
        <f>IF($B500="","",487)</f>
      </c>
      <c r="B500" s="66">
        <f>IF(487&gt;$Q$613,"",INDEX(往来单位!$B$4:$B$603,MATCH(487,$Q$14:$Q$613,0)))</f>
      </c>
      <c r="C500" s="67">
        <f t="shared" si="0"/>
      </c>
      <c r="D500" s="60">
        <f t="shared" si="1"/>
      </c>
      <c r="E500" s="53">
        <f t="shared" si="2"/>
      </c>
      <c r="F500" s="53">
        <f t="shared" si="3"/>
      </c>
      <c r="G500" s="53">
        <f t="shared" si="4"/>
      </c>
      <c r="H500" s="59">
        <f t="shared" si="5"/>
      </c>
      <c r="I500" s="53">
        <f t="shared" si="6"/>
      </c>
      <c r="J500" s="53">
        <f t="shared" si="7"/>
      </c>
      <c r="K500" s="53">
        <f t="shared" si="8"/>
      </c>
      <c r="L500" s="68">
        <f t="shared" si="9"/>
      </c>
      <c r="M500" s="56">
        <f t="shared" si="10"/>
      </c>
      <c r="N500" s="69">
        <f t="shared" si="11"/>
      </c>
      <c r="O500" s="22">
        <f t="shared" si="12"/>
      </c>
      <c r="P500" s="22">
        <f>IF(往来单位!$C$490="客户",1,0)</f>
        <v>0</v>
      </c>
      <c r="Q500" s="22">
        <f t="shared" si="13"/>
        <v>28</v>
      </c>
    </row>
    <row r="501">
      <c r="A501" s="56">
        <f>IF($B501="","",488)</f>
      </c>
      <c r="B501" s="66">
        <f>IF(488&gt;$Q$613,"",INDEX(往来单位!$B$4:$B$603,MATCH(488,$Q$14:$Q$613,0)))</f>
      </c>
      <c r="C501" s="67">
        <f t="shared" si="0"/>
      </c>
      <c r="D501" s="60">
        <f t="shared" si="1"/>
      </c>
      <c r="E501" s="53">
        <f t="shared" si="2"/>
      </c>
      <c r="F501" s="53">
        <f t="shared" si="3"/>
      </c>
      <c r="G501" s="53">
        <f t="shared" si="4"/>
      </c>
      <c r="H501" s="59">
        <f t="shared" si="5"/>
      </c>
      <c r="I501" s="53">
        <f t="shared" si="6"/>
      </c>
      <c r="J501" s="53">
        <f t="shared" si="7"/>
      </c>
      <c r="K501" s="53">
        <f t="shared" si="8"/>
      </c>
      <c r="L501" s="68">
        <f t="shared" si="9"/>
      </c>
      <c r="M501" s="56">
        <f t="shared" si="10"/>
      </c>
      <c r="N501" s="69">
        <f t="shared" si="11"/>
      </c>
      <c r="O501" s="22">
        <f t="shared" si="12"/>
      </c>
      <c r="P501" s="22">
        <f>IF(往来单位!$C$491="客户",1,0)</f>
        <v>0</v>
      </c>
      <c r="Q501" s="22">
        <f t="shared" si="13"/>
        <v>28</v>
      </c>
    </row>
    <row r="502">
      <c r="A502" s="56">
        <f>IF($B502="","",489)</f>
      </c>
      <c r="B502" s="66">
        <f>IF(489&gt;$Q$613,"",INDEX(往来单位!$B$4:$B$603,MATCH(489,$Q$14:$Q$613,0)))</f>
      </c>
      <c r="C502" s="67">
        <f t="shared" si="0"/>
      </c>
      <c r="D502" s="60">
        <f t="shared" si="1"/>
      </c>
      <c r="E502" s="53">
        <f t="shared" si="2"/>
      </c>
      <c r="F502" s="53">
        <f t="shared" si="3"/>
      </c>
      <c r="G502" s="53">
        <f t="shared" si="4"/>
      </c>
      <c r="H502" s="59">
        <f t="shared" si="5"/>
      </c>
      <c r="I502" s="53">
        <f t="shared" si="6"/>
      </c>
      <c r="J502" s="53">
        <f t="shared" si="7"/>
      </c>
      <c r="K502" s="53">
        <f t="shared" si="8"/>
      </c>
      <c r="L502" s="68">
        <f t="shared" si="9"/>
      </c>
      <c r="M502" s="56">
        <f t="shared" si="10"/>
      </c>
      <c r="N502" s="69">
        <f t="shared" si="11"/>
      </c>
      <c r="O502" s="22">
        <f t="shared" si="12"/>
      </c>
      <c r="P502" s="22">
        <f>IF(往来单位!$C$492="客户",1,0)</f>
        <v>0</v>
      </c>
      <c r="Q502" s="22">
        <f t="shared" si="13"/>
        <v>28</v>
      </c>
    </row>
    <row r="503">
      <c r="A503" s="56">
        <f>IF($B503="","",490)</f>
      </c>
      <c r="B503" s="66">
        <f>IF(490&gt;$Q$613,"",INDEX(往来单位!$B$4:$B$603,MATCH(490,$Q$14:$Q$613,0)))</f>
      </c>
      <c r="C503" s="67">
        <f t="shared" si="0"/>
      </c>
      <c r="D503" s="60">
        <f t="shared" si="1"/>
      </c>
      <c r="E503" s="53">
        <f t="shared" si="2"/>
      </c>
      <c r="F503" s="53">
        <f t="shared" si="3"/>
      </c>
      <c r="G503" s="53">
        <f t="shared" si="4"/>
      </c>
      <c r="H503" s="59">
        <f t="shared" si="5"/>
      </c>
      <c r="I503" s="53">
        <f t="shared" si="6"/>
      </c>
      <c r="J503" s="53">
        <f t="shared" si="7"/>
      </c>
      <c r="K503" s="53">
        <f t="shared" si="8"/>
      </c>
      <c r="L503" s="68">
        <f t="shared" si="9"/>
      </c>
      <c r="M503" s="56">
        <f t="shared" si="10"/>
      </c>
      <c r="N503" s="69">
        <f t="shared" si="11"/>
      </c>
      <c r="O503" s="22">
        <f t="shared" si="12"/>
      </c>
      <c r="P503" s="22">
        <f>IF(往来单位!$C$493="客户",1,0)</f>
        <v>0</v>
      </c>
      <c r="Q503" s="22">
        <f t="shared" si="13"/>
        <v>28</v>
      </c>
    </row>
    <row r="504">
      <c r="A504" s="56">
        <f>IF($B504="","",491)</f>
      </c>
      <c r="B504" s="66">
        <f>IF(491&gt;$Q$613,"",INDEX(往来单位!$B$4:$B$603,MATCH(491,$Q$14:$Q$613,0)))</f>
      </c>
      <c r="C504" s="67">
        <f t="shared" si="0"/>
      </c>
      <c r="D504" s="60">
        <f t="shared" si="1"/>
      </c>
      <c r="E504" s="53">
        <f t="shared" si="2"/>
      </c>
      <c r="F504" s="53">
        <f t="shared" si="3"/>
      </c>
      <c r="G504" s="53">
        <f t="shared" si="4"/>
      </c>
      <c r="H504" s="59">
        <f t="shared" si="5"/>
      </c>
      <c r="I504" s="53">
        <f t="shared" si="6"/>
      </c>
      <c r="J504" s="53">
        <f t="shared" si="7"/>
      </c>
      <c r="K504" s="53">
        <f t="shared" si="8"/>
      </c>
      <c r="L504" s="68">
        <f t="shared" si="9"/>
      </c>
      <c r="M504" s="56">
        <f t="shared" si="10"/>
      </c>
      <c r="N504" s="69">
        <f t="shared" si="11"/>
      </c>
      <c r="O504" s="22">
        <f t="shared" si="12"/>
      </c>
      <c r="P504" s="22">
        <f>IF(往来单位!$C$494="客户",1,0)</f>
        <v>0</v>
      </c>
      <c r="Q504" s="22">
        <f t="shared" si="13"/>
        <v>28</v>
      </c>
    </row>
    <row r="505">
      <c r="A505" s="56">
        <f>IF($B505="","",492)</f>
      </c>
      <c r="B505" s="66">
        <f>IF(492&gt;$Q$613,"",INDEX(往来单位!$B$4:$B$603,MATCH(492,$Q$14:$Q$613,0)))</f>
      </c>
      <c r="C505" s="67">
        <f t="shared" si="0"/>
      </c>
      <c r="D505" s="60">
        <f t="shared" si="1"/>
      </c>
      <c r="E505" s="53">
        <f t="shared" si="2"/>
      </c>
      <c r="F505" s="53">
        <f t="shared" si="3"/>
      </c>
      <c r="G505" s="53">
        <f t="shared" si="4"/>
      </c>
      <c r="H505" s="59">
        <f t="shared" si="5"/>
      </c>
      <c r="I505" s="53">
        <f t="shared" si="6"/>
      </c>
      <c r="J505" s="53">
        <f t="shared" si="7"/>
      </c>
      <c r="K505" s="53">
        <f t="shared" si="8"/>
      </c>
      <c r="L505" s="68">
        <f t="shared" si="9"/>
      </c>
      <c r="M505" s="56">
        <f t="shared" si="10"/>
      </c>
      <c r="N505" s="69">
        <f t="shared" si="11"/>
      </c>
      <c r="O505" s="22">
        <f t="shared" si="12"/>
      </c>
      <c r="P505" s="22">
        <f>IF(往来单位!$C$495="客户",1,0)</f>
        <v>0</v>
      </c>
      <c r="Q505" s="22">
        <f t="shared" si="13"/>
        <v>28</v>
      </c>
    </row>
    <row r="506">
      <c r="A506" s="56">
        <f>IF($B506="","",493)</f>
      </c>
      <c r="B506" s="66">
        <f>IF(493&gt;$Q$613,"",INDEX(往来单位!$B$4:$B$603,MATCH(493,$Q$14:$Q$613,0)))</f>
      </c>
      <c r="C506" s="67">
        <f t="shared" si="0"/>
      </c>
      <c r="D506" s="60">
        <f t="shared" si="1"/>
      </c>
      <c r="E506" s="53">
        <f t="shared" si="2"/>
      </c>
      <c r="F506" s="53">
        <f t="shared" si="3"/>
      </c>
      <c r="G506" s="53">
        <f t="shared" si="4"/>
      </c>
      <c r="H506" s="59">
        <f t="shared" si="5"/>
      </c>
      <c r="I506" s="53">
        <f t="shared" si="6"/>
      </c>
      <c r="J506" s="53">
        <f t="shared" si="7"/>
      </c>
      <c r="K506" s="53">
        <f t="shared" si="8"/>
      </c>
      <c r="L506" s="68">
        <f t="shared" si="9"/>
      </c>
      <c r="M506" s="56">
        <f t="shared" si="10"/>
      </c>
      <c r="N506" s="69">
        <f t="shared" si="11"/>
      </c>
      <c r="O506" s="22">
        <f t="shared" si="12"/>
      </c>
      <c r="P506" s="22">
        <f>IF(往来单位!$C$496="客户",1,0)</f>
        <v>0</v>
      </c>
      <c r="Q506" s="22">
        <f t="shared" si="13"/>
        <v>28</v>
      </c>
    </row>
    <row r="507">
      <c r="A507" s="56">
        <f>IF($B507="","",494)</f>
      </c>
      <c r="B507" s="66">
        <f>IF(494&gt;$Q$613,"",INDEX(往来单位!$B$4:$B$603,MATCH(494,$Q$14:$Q$613,0)))</f>
      </c>
      <c r="C507" s="67">
        <f t="shared" si="0"/>
      </c>
      <c r="D507" s="60">
        <f t="shared" si="1"/>
      </c>
      <c r="E507" s="53">
        <f t="shared" si="2"/>
      </c>
      <c r="F507" s="53">
        <f t="shared" si="3"/>
      </c>
      <c r="G507" s="53">
        <f t="shared" si="4"/>
      </c>
      <c r="H507" s="59">
        <f t="shared" si="5"/>
      </c>
      <c r="I507" s="53">
        <f t="shared" si="6"/>
      </c>
      <c r="J507" s="53">
        <f t="shared" si="7"/>
      </c>
      <c r="K507" s="53">
        <f t="shared" si="8"/>
      </c>
      <c r="L507" s="68">
        <f t="shared" si="9"/>
      </c>
      <c r="M507" s="56">
        <f t="shared" si="10"/>
      </c>
      <c r="N507" s="69">
        <f t="shared" si="11"/>
      </c>
      <c r="O507" s="22">
        <f t="shared" si="12"/>
      </c>
      <c r="P507" s="22">
        <f>IF(往来单位!$C$497="客户",1,0)</f>
        <v>0</v>
      </c>
      <c r="Q507" s="22">
        <f t="shared" si="13"/>
        <v>28</v>
      </c>
    </row>
    <row r="508">
      <c r="A508" s="56">
        <f>IF($B508="","",495)</f>
      </c>
      <c r="B508" s="66">
        <f>IF(495&gt;$Q$613,"",INDEX(往来单位!$B$4:$B$603,MATCH(495,$Q$14:$Q$613,0)))</f>
      </c>
      <c r="C508" s="67">
        <f t="shared" si="0"/>
      </c>
      <c r="D508" s="60">
        <f t="shared" si="1"/>
      </c>
      <c r="E508" s="53">
        <f t="shared" si="2"/>
      </c>
      <c r="F508" s="53">
        <f t="shared" si="3"/>
      </c>
      <c r="G508" s="53">
        <f t="shared" si="4"/>
      </c>
      <c r="H508" s="59">
        <f t="shared" si="5"/>
      </c>
      <c r="I508" s="53">
        <f t="shared" si="6"/>
      </c>
      <c r="J508" s="53">
        <f t="shared" si="7"/>
      </c>
      <c r="K508" s="53">
        <f t="shared" si="8"/>
      </c>
      <c r="L508" s="68">
        <f t="shared" si="9"/>
      </c>
      <c r="M508" s="56">
        <f t="shared" si="10"/>
      </c>
      <c r="N508" s="69">
        <f t="shared" si="11"/>
      </c>
      <c r="O508" s="22">
        <f t="shared" si="12"/>
      </c>
      <c r="P508" s="22">
        <f>IF(往来单位!$C$498="客户",1,0)</f>
        <v>0</v>
      </c>
      <c r="Q508" s="22">
        <f t="shared" si="13"/>
        <v>28</v>
      </c>
    </row>
    <row r="509">
      <c r="A509" s="56">
        <f>IF($B509="","",496)</f>
      </c>
      <c r="B509" s="66">
        <f>IF(496&gt;$Q$613,"",INDEX(往来单位!$B$4:$B$603,MATCH(496,$Q$14:$Q$613,0)))</f>
      </c>
      <c r="C509" s="67">
        <f t="shared" si="0"/>
      </c>
      <c r="D509" s="60">
        <f t="shared" si="1"/>
      </c>
      <c r="E509" s="53">
        <f t="shared" si="2"/>
      </c>
      <c r="F509" s="53">
        <f t="shared" si="3"/>
      </c>
      <c r="G509" s="53">
        <f t="shared" si="4"/>
      </c>
      <c r="H509" s="59">
        <f t="shared" si="5"/>
      </c>
      <c r="I509" s="53">
        <f t="shared" si="6"/>
      </c>
      <c r="J509" s="53">
        <f t="shared" si="7"/>
      </c>
      <c r="K509" s="53">
        <f t="shared" si="8"/>
      </c>
      <c r="L509" s="68">
        <f t="shared" si="9"/>
      </c>
      <c r="M509" s="56">
        <f t="shared" si="10"/>
      </c>
      <c r="N509" s="69">
        <f t="shared" si="11"/>
      </c>
      <c r="O509" s="22">
        <f t="shared" si="12"/>
      </c>
      <c r="P509" s="22">
        <f>IF(往来单位!$C$499="客户",1,0)</f>
        <v>0</v>
      </c>
      <c r="Q509" s="22">
        <f t="shared" si="13"/>
        <v>28</v>
      </c>
    </row>
    <row r="510">
      <c r="A510" s="56">
        <f>IF($B510="","",497)</f>
      </c>
      <c r="B510" s="66">
        <f>IF(497&gt;$Q$613,"",INDEX(往来单位!$B$4:$B$603,MATCH(497,$Q$14:$Q$613,0)))</f>
      </c>
      <c r="C510" s="67">
        <f t="shared" si="0"/>
      </c>
      <c r="D510" s="60">
        <f t="shared" si="1"/>
      </c>
      <c r="E510" s="53">
        <f t="shared" si="2"/>
      </c>
      <c r="F510" s="53">
        <f t="shared" si="3"/>
      </c>
      <c r="G510" s="53">
        <f t="shared" si="4"/>
      </c>
      <c r="H510" s="59">
        <f t="shared" si="5"/>
      </c>
      <c r="I510" s="53">
        <f t="shared" si="6"/>
      </c>
      <c r="J510" s="53">
        <f t="shared" si="7"/>
      </c>
      <c r="K510" s="53">
        <f t="shared" si="8"/>
      </c>
      <c r="L510" s="68">
        <f t="shared" si="9"/>
      </c>
      <c r="M510" s="56">
        <f t="shared" si="10"/>
      </c>
      <c r="N510" s="69">
        <f t="shared" si="11"/>
      </c>
      <c r="O510" s="22">
        <f t="shared" si="12"/>
      </c>
      <c r="P510" s="22">
        <f>IF(往来单位!$C$500="客户",1,0)</f>
        <v>0</v>
      </c>
      <c r="Q510" s="22">
        <f t="shared" si="13"/>
        <v>28</v>
      </c>
    </row>
    <row r="511">
      <c r="A511" s="56">
        <f>IF($B511="","",498)</f>
      </c>
      <c r="B511" s="66">
        <f>IF(498&gt;$Q$613,"",INDEX(往来单位!$B$4:$B$603,MATCH(498,$Q$14:$Q$613,0)))</f>
      </c>
      <c r="C511" s="67">
        <f t="shared" si="0"/>
      </c>
      <c r="D511" s="60">
        <f t="shared" si="1"/>
      </c>
      <c r="E511" s="53">
        <f t="shared" si="2"/>
      </c>
      <c r="F511" s="53">
        <f t="shared" si="3"/>
      </c>
      <c r="G511" s="53">
        <f t="shared" si="4"/>
      </c>
      <c r="H511" s="59">
        <f t="shared" si="5"/>
      </c>
      <c r="I511" s="53">
        <f t="shared" si="6"/>
      </c>
      <c r="J511" s="53">
        <f t="shared" si="7"/>
      </c>
      <c r="K511" s="53">
        <f t="shared" si="8"/>
      </c>
      <c r="L511" s="68">
        <f t="shared" si="9"/>
      </c>
      <c r="M511" s="56">
        <f t="shared" si="10"/>
      </c>
      <c r="N511" s="69">
        <f t="shared" si="11"/>
      </c>
      <c r="O511" s="22">
        <f t="shared" si="12"/>
      </c>
      <c r="P511" s="22">
        <f>IF(往来单位!$C$501="客户",1,0)</f>
        <v>0</v>
      </c>
      <c r="Q511" s="22">
        <f t="shared" si="13"/>
        <v>28</v>
      </c>
    </row>
    <row r="512">
      <c r="A512" s="56">
        <f>IF($B512="","",499)</f>
      </c>
      <c r="B512" s="66">
        <f>IF(499&gt;$Q$613,"",INDEX(往来单位!$B$4:$B$603,MATCH(499,$Q$14:$Q$613,0)))</f>
      </c>
      <c r="C512" s="67">
        <f t="shared" si="0"/>
      </c>
      <c r="D512" s="60">
        <f t="shared" si="1"/>
      </c>
      <c r="E512" s="53">
        <f t="shared" si="2"/>
      </c>
      <c r="F512" s="53">
        <f t="shared" si="3"/>
      </c>
      <c r="G512" s="53">
        <f t="shared" si="4"/>
      </c>
      <c r="H512" s="59">
        <f t="shared" si="5"/>
      </c>
      <c r="I512" s="53">
        <f t="shared" si="6"/>
      </c>
      <c r="J512" s="53">
        <f t="shared" si="7"/>
      </c>
      <c r="K512" s="53">
        <f t="shared" si="8"/>
      </c>
      <c r="L512" s="68">
        <f t="shared" si="9"/>
      </c>
      <c r="M512" s="56">
        <f t="shared" si="10"/>
      </c>
      <c r="N512" s="69">
        <f t="shared" si="11"/>
      </c>
      <c r="O512" s="22">
        <f t="shared" si="12"/>
      </c>
      <c r="P512" s="22">
        <f>IF(往来单位!$C$502="客户",1,0)</f>
        <v>0</v>
      </c>
      <c r="Q512" s="22">
        <f t="shared" si="13"/>
        <v>28</v>
      </c>
    </row>
    <row r="513">
      <c r="A513" s="56">
        <f>IF($B513="","",500)</f>
      </c>
      <c r="B513" s="66">
        <f>IF(500&gt;$Q$613,"",INDEX(往来单位!$B$4:$B$603,MATCH(500,$Q$14:$Q$613,0)))</f>
      </c>
      <c r="C513" s="67">
        <f t="shared" si="0"/>
      </c>
      <c r="D513" s="60">
        <f t="shared" si="1"/>
      </c>
      <c r="E513" s="53">
        <f t="shared" si="2"/>
      </c>
      <c r="F513" s="53">
        <f t="shared" si="3"/>
      </c>
      <c r="G513" s="53">
        <f t="shared" si="4"/>
      </c>
      <c r="H513" s="59">
        <f t="shared" si="5"/>
      </c>
      <c r="I513" s="53">
        <f t="shared" si="6"/>
      </c>
      <c r="J513" s="53">
        <f t="shared" si="7"/>
      </c>
      <c r="K513" s="53">
        <f t="shared" si="8"/>
      </c>
      <c r="L513" s="68">
        <f t="shared" si="9"/>
      </c>
      <c r="M513" s="56">
        <f t="shared" si="10"/>
      </c>
      <c r="N513" s="69">
        <f t="shared" si="11"/>
      </c>
      <c r="O513" s="22">
        <f t="shared" si="12"/>
      </c>
      <c r="P513" s="22">
        <f>IF(往来单位!$C$503="客户",1,0)</f>
        <v>0</v>
      </c>
      <c r="Q513" s="22">
        <f t="shared" si="13"/>
        <v>28</v>
      </c>
    </row>
    <row r="514">
      <c r="A514" s="56">
        <f>IF($B514="","",501)</f>
      </c>
      <c r="B514" s="66">
        <f>IF(501&gt;$Q$613,"",INDEX(往来单位!$B$4:$B$603,MATCH(501,$Q$14:$Q$613,0)))</f>
      </c>
      <c r="C514" s="67">
        <f t="shared" si="0"/>
      </c>
      <c r="D514" s="60">
        <f t="shared" si="1"/>
      </c>
      <c r="E514" s="53">
        <f t="shared" si="2"/>
      </c>
      <c r="F514" s="53">
        <f t="shared" si="3"/>
      </c>
      <c r="G514" s="53">
        <f t="shared" si="4"/>
      </c>
      <c r="H514" s="59">
        <f t="shared" si="5"/>
      </c>
      <c r="I514" s="53">
        <f t="shared" si="6"/>
      </c>
      <c r="J514" s="53">
        <f t="shared" si="7"/>
      </c>
      <c r="K514" s="53">
        <f t="shared" si="8"/>
      </c>
      <c r="L514" s="68">
        <f t="shared" si="9"/>
      </c>
      <c r="M514" s="56">
        <f t="shared" si="10"/>
      </c>
      <c r="N514" s="69">
        <f t="shared" si="11"/>
      </c>
      <c r="O514" s="22">
        <f t="shared" si="12"/>
      </c>
      <c r="P514" s="22">
        <f>IF(往来单位!$C$504="客户",1,0)</f>
        <v>0</v>
      </c>
      <c r="Q514" s="22">
        <f t="shared" si="13"/>
        <v>28</v>
      </c>
    </row>
    <row r="515">
      <c r="A515" s="56">
        <f>IF($B515="","",502)</f>
      </c>
      <c r="B515" s="66">
        <f>IF(502&gt;$Q$613,"",INDEX(往来单位!$B$4:$B$603,MATCH(502,$Q$14:$Q$613,0)))</f>
      </c>
      <c r="C515" s="67">
        <f t="shared" si="0"/>
      </c>
      <c r="D515" s="60">
        <f t="shared" si="1"/>
      </c>
      <c r="E515" s="53">
        <f t="shared" si="2"/>
      </c>
      <c r="F515" s="53">
        <f t="shared" si="3"/>
      </c>
      <c r="G515" s="53">
        <f t="shared" si="4"/>
      </c>
      <c r="H515" s="59">
        <f t="shared" si="5"/>
      </c>
      <c r="I515" s="53">
        <f t="shared" si="6"/>
      </c>
      <c r="J515" s="53">
        <f t="shared" si="7"/>
      </c>
      <c r="K515" s="53">
        <f t="shared" si="8"/>
      </c>
      <c r="L515" s="68">
        <f t="shared" si="9"/>
      </c>
      <c r="M515" s="56">
        <f t="shared" si="10"/>
      </c>
      <c r="N515" s="69">
        <f t="shared" si="11"/>
      </c>
      <c r="O515" s="22">
        <f t="shared" si="12"/>
      </c>
      <c r="P515" s="22">
        <f>IF(往来单位!$C$505="客户",1,0)</f>
        <v>0</v>
      </c>
      <c r="Q515" s="22">
        <f t="shared" si="13"/>
        <v>28</v>
      </c>
    </row>
    <row r="516">
      <c r="A516" s="56">
        <f>IF($B516="","",503)</f>
      </c>
      <c r="B516" s="66">
        <f>IF(503&gt;$Q$613,"",INDEX(往来单位!$B$4:$B$603,MATCH(503,$Q$14:$Q$613,0)))</f>
      </c>
      <c r="C516" s="67">
        <f t="shared" si="0"/>
      </c>
      <c r="D516" s="60">
        <f t="shared" si="1"/>
      </c>
      <c r="E516" s="53">
        <f t="shared" si="2"/>
      </c>
      <c r="F516" s="53">
        <f t="shared" si="3"/>
      </c>
      <c r="G516" s="53">
        <f t="shared" si="4"/>
      </c>
      <c r="H516" s="59">
        <f t="shared" si="5"/>
      </c>
      <c r="I516" s="53">
        <f t="shared" si="6"/>
      </c>
      <c r="J516" s="53">
        <f t="shared" si="7"/>
      </c>
      <c r="K516" s="53">
        <f t="shared" si="8"/>
      </c>
      <c r="L516" s="68">
        <f t="shared" si="9"/>
      </c>
      <c r="M516" s="56">
        <f t="shared" si="10"/>
      </c>
      <c r="N516" s="69">
        <f t="shared" si="11"/>
      </c>
      <c r="O516" s="22">
        <f t="shared" si="12"/>
      </c>
      <c r="P516" s="22">
        <f>IF(往来单位!$C$506="客户",1,0)</f>
        <v>0</v>
      </c>
      <c r="Q516" s="22">
        <f t="shared" si="13"/>
        <v>28</v>
      </c>
    </row>
    <row r="517">
      <c r="A517" s="56">
        <f>IF($B517="","",504)</f>
      </c>
      <c r="B517" s="66">
        <f>IF(504&gt;$Q$613,"",INDEX(往来单位!$B$4:$B$603,MATCH(504,$Q$14:$Q$613,0)))</f>
      </c>
      <c r="C517" s="67">
        <f t="shared" si="0"/>
      </c>
      <c r="D517" s="60">
        <f t="shared" si="1"/>
      </c>
      <c r="E517" s="53">
        <f t="shared" si="2"/>
      </c>
      <c r="F517" s="53">
        <f t="shared" si="3"/>
      </c>
      <c r="G517" s="53">
        <f t="shared" si="4"/>
      </c>
      <c r="H517" s="59">
        <f t="shared" si="5"/>
      </c>
      <c r="I517" s="53">
        <f t="shared" si="6"/>
      </c>
      <c r="J517" s="53">
        <f t="shared" si="7"/>
      </c>
      <c r="K517" s="53">
        <f t="shared" si="8"/>
      </c>
      <c r="L517" s="68">
        <f t="shared" si="9"/>
      </c>
      <c r="M517" s="56">
        <f t="shared" si="10"/>
      </c>
      <c r="N517" s="69">
        <f t="shared" si="11"/>
      </c>
      <c r="O517" s="22">
        <f t="shared" si="12"/>
      </c>
      <c r="P517" s="22">
        <f>IF(往来单位!$C$507="客户",1,0)</f>
        <v>0</v>
      </c>
      <c r="Q517" s="22">
        <f t="shared" si="13"/>
        <v>28</v>
      </c>
    </row>
    <row r="518">
      <c r="A518" s="56">
        <f>IF($B518="","",505)</f>
      </c>
      <c r="B518" s="66">
        <f>IF(505&gt;$Q$613,"",INDEX(往来单位!$B$4:$B$603,MATCH(505,$Q$14:$Q$613,0)))</f>
      </c>
      <c r="C518" s="67">
        <f t="shared" si="0"/>
      </c>
      <c r="D518" s="60">
        <f t="shared" si="1"/>
      </c>
      <c r="E518" s="53">
        <f t="shared" si="2"/>
      </c>
      <c r="F518" s="53">
        <f t="shared" si="3"/>
      </c>
      <c r="G518" s="53">
        <f t="shared" si="4"/>
      </c>
      <c r="H518" s="59">
        <f t="shared" si="5"/>
      </c>
      <c r="I518" s="53">
        <f t="shared" si="6"/>
      </c>
      <c r="J518" s="53">
        <f t="shared" si="7"/>
      </c>
      <c r="K518" s="53">
        <f t="shared" si="8"/>
      </c>
      <c r="L518" s="68">
        <f t="shared" si="9"/>
      </c>
      <c r="M518" s="56">
        <f t="shared" si="10"/>
      </c>
      <c r="N518" s="69">
        <f t="shared" si="11"/>
      </c>
      <c r="O518" s="22">
        <f t="shared" si="12"/>
      </c>
      <c r="P518" s="22">
        <f>IF(往来单位!$C$508="客户",1,0)</f>
        <v>0</v>
      </c>
      <c r="Q518" s="22">
        <f t="shared" si="13"/>
        <v>28</v>
      </c>
    </row>
    <row r="519">
      <c r="A519" s="56">
        <f>IF($B519="","",506)</f>
      </c>
      <c r="B519" s="66">
        <f>IF(506&gt;$Q$613,"",INDEX(往来单位!$B$4:$B$603,MATCH(506,$Q$14:$Q$613,0)))</f>
      </c>
      <c r="C519" s="67">
        <f t="shared" si="0"/>
      </c>
      <c r="D519" s="60">
        <f t="shared" si="1"/>
      </c>
      <c r="E519" s="53">
        <f t="shared" si="2"/>
      </c>
      <c r="F519" s="53">
        <f t="shared" si="3"/>
      </c>
      <c r="G519" s="53">
        <f t="shared" si="4"/>
      </c>
      <c r="H519" s="59">
        <f t="shared" si="5"/>
      </c>
      <c r="I519" s="53">
        <f t="shared" si="6"/>
      </c>
      <c r="J519" s="53">
        <f t="shared" si="7"/>
      </c>
      <c r="K519" s="53">
        <f t="shared" si="8"/>
      </c>
      <c r="L519" s="68">
        <f t="shared" si="9"/>
      </c>
      <c r="M519" s="56">
        <f t="shared" si="10"/>
      </c>
      <c r="N519" s="69">
        <f t="shared" si="11"/>
      </c>
      <c r="O519" s="22">
        <f t="shared" si="12"/>
      </c>
      <c r="P519" s="22">
        <f>IF(往来单位!$C$509="客户",1,0)</f>
        <v>0</v>
      </c>
      <c r="Q519" s="22">
        <f t="shared" si="13"/>
        <v>28</v>
      </c>
    </row>
    <row r="520">
      <c r="A520" s="56">
        <f>IF($B520="","",507)</f>
      </c>
      <c r="B520" s="66">
        <f>IF(507&gt;$Q$613,"",INDEX(往来单位!$B$4:$B$603,MATCH(507,$Q$14:$Q$613,0)))</f>
      </c>
      <c r="C520" s="67">
        <f t="shared" si="0"/>
      </c>
      <c r="D520" s="60">
        <f t="shared" si="1"/>
      </c>
      <c r="E520" s="53">
        <f t="shared" si="2"/>
      </c>
      <c r="F520" s="53">
        <f t="shared" si="3"/>
      </c>
      <c r="G520" s="53">
        <f t="shared" si="4"/>
      </c>
      <c r="H520" s="59">
        <f t="shared" si="5"/>
      </c>
      <c r="I520" s="53">
        <f t="shared" si="6"/>
      </c>
      <c r="J520" s="53">
        <f t="shared" si="7"/>
      </c>
      <c r="K520" s="53">
        <f t="shared" si="8"/>
      </c>
      <c r="L520" s="68">
        <f t="shared" si="9"/>
      </c>
      <c r="M520" s="56">
        <f t="shared" si="10"/>
      </c>
      <c r="N520" s="69">
        <f t="shared" si="11"/>
      </c>
      <c r="O520" s="22">
        <f t="shared" si="12"/>
      </c>
      <c r="P520" s="22">
        <f>IF(往来单位!$C$510="客户",1,0)</f>
        <v>0</v>
      </c>
      <c r="Q520" s="22">
        <f t="shared" si="13"/>
        <v>28</v>
      </c>
    </row>
    <row r="521">
      <c r="A521" s="56">
        <f>IF($B521="","",508)</f>
      </c>
      <c r="B521" s="66">
        <f>IF(508&gt;$Q$613,"",INDEX(往来单位!$B$4:$B$603,MATCH(508,$Q$14:$Q$613,0)))</f>
      </c>
      <c r="C521" s="67">
        <f t="shared" si="0"/>
      </c>
      <c r="D521" s="60">
        <f t="shared" si="1"/>
      </c>
      <c r="E521" s="53">
        <f t="shared" si="2"/>
      </c>
      <c r="F521" s="53">
        <f t="shared" si="3"/>
      </c>
      <c r="G521" s="53">
        <f t="shared" si="4"/>
      </c>
      <c r="H521" s="59">
        <f t="shared" si="5"/>
      </c>
      <c r="I521" s="53">
        <f t="shared" si="6"/>
      </c>
      <c r="J521" s="53">
        <f t="shared" si="7"/>
      </c>
      <c r="K521" s="53">
        <f t="shared" si="8"/>
      </c>
      <c r="L521" s="68">
        <f t="shared" si="9"/>
      </c>
      <c r="M521" s="56">
        <f t="shared" si="10"/>
      </c>
      <c r="N521" s="69">
        <f t="shared" si="11"/>
      </c>
      <c r="O521" s="22">
        <f t="shared" si="12"/>
      </c>
      <c r="P521" s="22">
        <f>IF(往来单位!$C$511="客户",1,0)</f>
        <v>0</v>
      </c>
      <c r="Q521" s="22">
        <f t="shared" si="13"/>
        <v>28</v>
      </c>
    </row>
    <row r="522">
      <c r="A522" s="56">
        <f>IF($B522="","",509)</f>
      </c>
      <c r="B522" s="66">
        <f>IF(509&gt;$Q$613,"",INDEX(往来单位!$B$4:$B$603,MATCH(509,$Q$14:$Q$613,0)))</f>
      </c>
      <c r="C522" s="67">
        <f t="shared" si="0"/>
      </c>
      <c r="D522" s="60">
        <f t="shared" si="1"/>
      </c>
      <c r="E522" s="53">
        <f t="shared" si="2"/>
      </c>
      <c r="F522" s="53">
        <f t="shared" si="3"/>
      </c>
      <c r="G522" s="53">
        <f t="shared" si="4"/>
      </c>
      <c r="H522" s="59">
        <f t="shared" si="5"/>
      </c>
      <c r="I522" s="53">
        <f t="shared" si="6"/>
      </c>
      <c r="J522" s="53">
        <f t="shared" si="7"/>
      </c>
      <c r="K522" s="53">
        <f t="shared" si="8"/>
      </c>
      <c r="L522" s="68">
        <f t="shared" si="9"/>
      </c>
      <c r="M522" s="56">
        <f t="shared" si="10"/>
      </c>
      <c r="N522" s="69">
        <f t="shared" si="11"/>
      </c>
      <c r="O522" s="22">
        <f t="shared" si="12"/>
      </c>
      <c r="P522" s="22">
        <f>IF(往来单位!$C$512="客户",1,0)</f>
        <v>0</v>
      </c>
      <c r="Q522" s="22">
        <f t="shared" si="13"/>
        <v>28</v>
      </c>
    </row>
    <row r="523">
      <c r="A523" s="56">
        <f>IF($B523="","",510)</f>
      </c>
      <c r="B523" s="66">
        <f>IF(510&gt;$Q$613,"",INDEX(往来单位!$B$4:$B$603,MATCH(510,$Q$14:$Q$613,0)))</f>
      </c>
      <c r="C523" s="67">
        <f t="shared" si="0"/>
      </c>
      <c r="D523" s="60">
        <f t="shared" si="1"/>
      </c>
      <c r="E523" s="53">
        <f t="shared" si="2"/>
      </c>
      <c r="F523" s="53">
        <f t="shared" si="3"/>
      </c>
      <c r="G523" s="53">
        <f t="shared" si="4"/>
      </c>
      <c r="H523" s="59">
        <f t="shared" si="5"/>
      </c>
      <c r="I523" s="53">
        <f t="shared" si="6"/>
      </c>
      <c r="J523" s="53">
        <f t="shared" si="7"/>
      </c>
      <c r="K523" s="53">
        <f t="shared" si="8"/>
      </c>
      <c r="L523" s="68">
        <f t="shared" si="9"/>
      </c>
      <c r="M523" s="56">
        <f t="shared" si="10"/>
      </c>
      <c r="N523" s="69">
        <f t="shared" si="11"/>
      </c>
      <c r="O523" s="22">
        <f t="shared" si="12"/>
      </c>
      <c r="P523" s="22">
        <f>IF(往来单位!$C$513="客户",1,0)</f>
        <v>0</v>
      </c>
      <c r="Q523" s="22">
        <f t="shared" si="13"/>
        <v>28</v>
      </c>
    </row>
    <row r="524">
      <c r="A524" s="56">
        <f>IF($B524="","",511)</f>
      </c>
      <c r="B524" s="66">
        <f>IF(511&gt;$Q$613,"",INDEX(往来单位!$B$4:$B$603,MATCH(511,$Q$14:$Q$613,0)))</f>
      </c>
      <c r="C524" s="67">
        <f t="shared" si="0"/>
      </c>
      <c r="D524" s="60">
        <f t="shared" si="1"/>
      </c>
      <c r="E524" s="53">
        <f t="shared" si="2"/>
      </c>
      <c r="F524" s="53">
        <f t="shared" si="3"/>
      </c>
      <c r="G524" s="53">
        <f t="shared" si="4"/>
      </c>
      <c r="H524" s="59">
        <f t="shared" si="5"/>
      </c>
      <c r="I524" s="53">
        <f t="shared" si="6"/>
      </c>
      <c r="J524" s="53">
        <f t="shared" si="7"/>
      </c>
      <c r="K524" s="53">
        <f t="shared" si="8"/>
      </c>
      <c r="L524" s="68">
        <f t="shared" si="9"/>
      </c>
      <c r="M524" s="56">
        <f t="shared" si="10"/>
      </c>
      <c r="N524" s="69">
        <f t="shared" si="11"/>
      </c>
      <c r="O524" s="22">
        <f t="shared" si="12"/>
      </c>
      <c r="P524" s="22">
        <f>IF(往来单位!$C$514="客户",1,0)</f>
        <v>0</v>
      </c>
      <c r="Q524" s="22">
        <f t="shared" si="13"/>
        <v>28</v>
      </c>
    </row>
    <row r="525">
      <c r="A525" s="56">
        <f>IF($B525="","",512)</f>
      </c>
      <c r="B525" s="66">
        <f>IF(512&gt;$Q$613,"",INDEX(往来单位!$B$4:$B$603,MATCH(512,$Q$14:$Q$613,0)))</f>
      </c>
      <c r="C525" s="67">
        <f t="shared" si="0"/>
      </c>
      <c r="D525" s="60">
        <f t="shared" si="1"/>
      </c>
      <c r="E525" s="53">
        <f t="shared" si="2"/>
      </c>
      <c r="F525" s="53">
        <f t="shared" si="3"/>
      </c>
      <c r="G525" s="53">
        <f t="shared" si="4"/>
      </c>
      <c r="H525" s="59">
        <f t="shared" si="5"/>
      </c>
      <c r="I525" s="53">
        <f t="shared" si="6"/>
      </c>
      <c r="J525" s="53">
        <f t="shared" si="7"/>
      </c>
      <c r="K525" s="53">
        <f t="shared" si="8"/>
      </c>
      <c r="L525" s="68">
        <f t="shared" si="9"/>
      </c>
      <c r="M525" s="56">
        <f t="shared" si="10"/>
      </c>
      <c r="N525" s="69">
        <f t="shared" si="11"/>
      </c>
      <c r="O525" s="22">
        <f t="shared" si="12"/>
      </c>
      <c r="P525" s="22">
        <f>IF(往来单位!$C$515="客户",1,0)</f>
        <v>0</v>
      </c>
      <c r="Q525" s="22">
        <f t="shared" si="13"/>
        <v>28</v>
      </c>
    </row>
    <row r="526">
      <c r="A526" s="56">
        <f>IF($B526="","",513)</f>
      </c>
      <c r="B526" s="66">
        <f>IF(513&gt;$Q$613,"",INDEX(往来单位!$B$4:$B$603,MATCH(513,$Q$14:$Q$613,0)))</f>
      </c>
      <c r="C526" s="67">
        <f t="shared" si="0"/>
      </c>
      <c r="D526" s="60">
        <f t="shared" si="1"/>
      </c>
      <c r="E526" s="53">
        <f t="shared" si="2"/>
      </c>
      <c r="F526" s="53">
        <f t="shared" si="3"/>
      </c>
      <c r="G526" s="53">
        <f t="shared" si="4"/>
      </c>
      <c r="H526" s="59">
        <f t="shared" si="5"/>
      </c>
      <c r="I526" s="53">
        <f t="shared" si="6"/>
      </c>
      <c r="J526" s="53">
        <f t="shared" si="7"/>
      </c>
      <c r="K526" s="53">
        <f t="shared" si="8"/>
      </c>
      <c r="L526" s="68">
        <f t="shared" si="9"/>
      </c>
      <c r="M526" s="56">
        <f t="shared" si="10"/>
      </c>
      <c r="N526" s="69">
        <f t="shared" si="11"/>
      </c>
      <c r="O526" s="22">
        <f t="shared" si="12"/>
      </c>
      <c r="P526" s="22">
        <f>IF(往来单位!$C$516="客户",1,0)</f>
        <v>0</v>
      </c>
      <c r="Q526" s="22">
        <f t="shared" si="13"/>
        <v>28</v>
      </c>
    </row>
    <row r="527">
      <c r="A527" s="56">
        <f>IF($B527="","",514)</f>
      </c>
      <c r="B527" s="66">
        <f>IF(514&gt;$Q$613,"",INDEX(往来单位!$B$4:$B$603,MATCH(514,$Q$14:$Q$613,0)))</f>
      </c>
      <c r="C527" s="67">
        <f t="shared" si="0"/>
      </c>
      <c r="D527" s="60">
        <f t="shared" si="1"/>
      </c>
      <c r="E527" s="53">
        <f t="shared" si="2"/>
      </c>
      <c r="F527" s="53">
        <f t="shared" si="3"/>
      </c>
      <c r="G527" s="53">
        <f t="shared" si="4"/>
      </c>
      <c r="H527" s="59">
        <f t="shared" si="5"/>
      </c>
      <c r="I527" s="53">
        <f t="shared" si="6"/>
      </c>
      <c r="J527" s="53">
        <f t="shared" si="7"/>
      </c>
      <c r="K527" s="53">
        <f t="shared" si="8"/>
      </c>
      <c r="L527" s="68">
        <f t="shared" si="9"/>
      </c>
      <c r="M527" s="56">
        <f t="shared" si="10"/>
      </c>
      <c r="N527" s="69">
        <f t="shared" si="11"/>
      </c>
      <c r="O527" s="22">
        <f t="shared" si="12"/>
      </c>
      <c r="P527" s="22">
        <f>IF(往来单位!$C$517="客户",1,0)</f>
        <v>0</v>
      </c>
      <c r="Q527" s="22">
        <f t="shared" si="13"/>
        <v>28</v>
      </c>
    </row>
    <row r="528">
      <c r="A528" s="56">
        <f>IF($B528="","",515)</f>
      </c>
      <c r="B528" s="66">
        <f>IF(515&gt;$Q$613,"",INDEX(往来单位!$B$4:$B$603,MATCH(515,$Q$14:$Q$613,0)))</f>
      </c>
      <c r="C528" s="67">
        <f t="shared" si="0"/>
      </c>
      <c r="D528" s="60">
        <f t="shared" si="1"/>
      </c>
      <c r="E528" s="53">
        <f t="shared" si="2"/>
      </c>
      <c r="F528" s="53">
        <f t="shared" si="3"/>
      </c>
      <c r="G528" s="53">
        <f t="shared" si="4"/>
      </c>
      <c r="H528" s="59">
        <f t="shared" si="5"/>
      </c>
      <c r="I528" s="53">
        <f t="shared" si="6"/>
      </c>
      <c r="J528" s="53">
        <f t="shared" si="7"/>
      </c>
      <c r="K528" s="53">
        <f t="shared" si="8"/>
      </c>
      <c r="L528" s="68">
        <f t="shared" si="9"/>
      </c>
      <c r="M528" s="56">
        <f t="shared" si="10"/>
      </c>
      <c r="N528" s="69">
        <f t="shared" si="11"/>
      </c>
      <c r="O528" s="22">
        <f t="shared" si="12"/>
      </c>
      <c r="P528" s="22">
        <f>IF(往来单位!$C$518="客户",1,0)</f>
        <v>0</v>
      </c>
      <c r="Q528" s="22">
        <f t="shared" si="13"/>
        <v>28</v>
      </c>
    </row>
    <row r="529">
      <c r="A529" s="56">
        <f>IF($B529="","",516)</f>
      </c>
      <c r="B529" s="66">
        <f>IF(516&gt;$Q$613,"",INDEX(往来单位!$B$4:$B$603,MATCH(516,$Q$14:$Q$613,0)))</f>
      </c>
      <c r="C529" s="67">
        <f t="shared" si="0"/>
      </c>
      <c r="D529" s="60">
        <f t="shared" si="1"/>
      </c>
      <c r="E529" s="53">
        <f t="shared" si="2"/>
      </c>
      <c r="F529" s="53">
        <f t="shared" si="3"/>
      </c>
      <c r="G529" s="53">
        <f t="shared" si="4"/>
      </c>
      <c r="H529" s="59">
        <f t="shared" si="5"/>
      </c>
      <c r="I529" s="53">
        <f t="shared" si="6"/>
      </c>
      <c r="J529" s="53">
        <f t="shared" si="7"/>
      </c>
      <c r="K529" s="53">
        <f t="shared" si="8"/>
      </c>
      <c r="L529" s="68">
        <f t="shared" si="9"/>
      </c>
      <c r="M529" s="56">
        <f t="shared" si="10"/>
      </c>
      <c r="N529" s="69">
        <f t="shared" si="11"/>
      </c>
      <c r="O529" s="22">
        <f t="shared" si="12"/>
      </c>
      <c r="P529" s="22">
        <f>IF(往来单位!$C$519="客户",1,0)</f>
        <v>0</v>
      </c>
      <c r="Q529" s="22">
        <f t="shared" si="13"/>
        <v>28</v>
      </c>
    </row>
    <row r="530">
      <c r="A530" s="56">
        <f>IF($B530="","",517)</f>
      </c>
      <c r="B530" s="66">
        <f>IF(517&gt;$Q$613,"",INDEX(往来单位!$B$4:$B$603,MATCH(517,$Q$14:$Q$613,0)))</f>
      </c>
      <c r="C530" s="67">
        <f t="shared" si="0"/>
      </c>
      <c r="D530" s="60">
        <f t="shared" si="1"/>
      </c>
      <c r="E530" s="53">
        <f t="shared" si="2"/>
      </c>
      <c r="F530" s="53">
        <f t="shared" si="3"/>
      </c>
      <c r="G530" s="53">
        <f t="shared" si="4"/>
      </c>
      <c r="H530" s="59">
        <f t="shared" si="5"/>
      </c>
      <c r="I530" s="53">
        <f t="shared" si="6"/>
      </c>
      <c r="J530" s="53">
        <f t="shared" si="7"/>
      </c>
      <c r="K530" s="53">
        <f t="shared" si="8"/>
      </c>
      <c r="L530" s="68">
        <f t="shared" si="9"/>
      </c>
      <c r="M530" s="56">
        <f t="shared" si="10"/>
      </c>
      <c r="N530" s="69">
        <f t="shared" si="11"/>
      </c>
      <c r="O530" s="22">
        <f t="shared" si="12"/>
      </c>
      <c r="P530" s="22">
        <f>IF(往来单位!$C$520="客户",1,0)</f>
        <v>0</v>
      </c>
      <c r="Q530" s="22">
        <f t="shared" si="13"/>
        <v>28</v>
      </c>
    </row>
    <row r="531">
      <c r="A531" s="56">
        <f>IF($B531="","",518)</f>
      </c>
      <c r="B531" s="66">
        <f>IF(518&gt;$Q$613,"",INDEX(往来单位!$B$4:$B$603,MATCH(518,$Q$14:$Q$613,0)))</f>
      </c>
      <c r="C531" s="67">
        <f t="shared" si="0"/>
      </c>
      <c r="D531" s="60">
        <f t="shared" si="1"/>
      </c>
      <c r="E531" s="53">
        <f t="shared" si="2"/>
      </c>
      <c r="F531" s="53">
        <f t="shared" si="3"/>
      </c>
      <c r="G531" s="53">
        <f t="shared" si="4"/>
      </c>
      <c r="H531" s="59">
        <f t="shared" si="5"/>
      </c>
      <c r="I531" s="53">
        <f t="shared" si="6"/>
      </c>
      <c r="J531" s="53">
        <f t="shared" si="7"/>
      </c>
      <c r="K531" s="53">
        <f t="shared" si="8"/>
      </c>
      <c r="L531" s="68">
        <f t="shared" si="9"/>
      </c>
      <c r="M531" s="56">
        <f t="shared" si="10"/>
      </c>
      <c r="N531" s="69">
        <f t="shared" si="11"/>
      </c>
      <c r="O531" s="22">
        <f t="shared" si="12"/>
      </c>
      <c r="P531" s="22">
        <f>IF(往来单位!$C$521="客户",1,0)</f>
        <v>0</v>
      </c>
      <c r="Q531" s="22">
        <f t="shared" si="13"/>
        <v>28</v>
      </c>
    </row>
    <row r="532">
      <c r="A532" s="56">
        <f>IF($B532="","",519)</f>
      </c>
      <c r="B532" s="66">
        <f>IF(519&gt;$Q$613,"",INDEX(往来单位!$B$4:$B$603,MATCH(519,$Q$14:$Q$613,0)))</f>
      </c>
      <c r="C532" s="67">
        <f t="shared" si="0"/>
      </c>
      <c r="D532" s="60">
        <f t="shared" si="1"/>
      </c>
      <c r="E532" s="53">
        <f t="shared" si="2"/>
      </c>
      <c r="F532" s="53">
        <f t="shared" si="3"/>
      </c>
      <c r="G532" s="53">
        <f t="shared" si="4"/>
      </c>
      <c r="H532" s="59">
        <f t="shared" si="5"/>
      </c>
      <c r="I532" s="53">
        <f t="shared" si="6"/>
      </c>
      <c r="J532" s="53">
        <f t="shared" si="7"/>
      </c>
      <c r="K532" s="53">
        <f t="shared" si="8"/>
      </c>
      <c r="L532" s="68">
        <f t="shared" si="9"/>
      </c>
      <c r="M532" s="56">
        <f t="shared" si="10"/>
      </c>
      <c r="N532" s="69">
        <f t="shared" si="11"/>
      </c>
      <c r="O532" s="22">
        <f t="shared" si="12"/>
      </c>
      <c r="P532" s="22">
        <f>IF(往来单位!$C$522="客户",1,0)</f>
        <v>0</v>
      </c>
      <c r="Q532" s="22">
        <f t="shared" si="13"/>
        <v>28</v>
      </c>
    </row>
    <row r="533">
      <c r="A533" s="56">
        <f>IF($B533="","",520)</f>
      </c>
      <c r="B533" s="66">
        <f>IF(520&gt;$Q$613,"",INDEX(往来单位!$B$4:$B$603,MATCH(520,$Q$14:$Q$613,0)))</f>
      </c>
      <c r="C533" s="67">
        <f t="shared" si="0"/>
      </c>
      <c r="D533" s="60">
        <f t="shared" si="1"/>
      </c>
      <c r="E533" s="53">
        <f t="shared" si="2"/>
      </c>
      <c r="F533" s="53">
        <f t="shared" si="3"/>
      </c>
      <c r="G533" s="53">
        <f t="shared" si="4"/>
      </c>
      <c r="H533" s="59">
        <f t="shared" si="5"/>
      </c>
      <c r="I533" s="53">
        <f t="shared" si="6"/>
      </c>
      <c r="J533" s="53">
        <f t="shared" si="7"/>
      </c>
      <c r="K533" s="53">
        <f t="shared" si="8"/>
      </c>
      <c r="L533" s="68">
        <f t="shared" si="9"/>
      </c>
      <c r="M533" s="56">
        <f t="shared" si="10"/>
      </c>
      <c r="N533" s="69">
        <f t="shared" si="11"/>
      </c>
      <c r="O533" s="22">
        <f t="shared" si="12"/>
      </c>
      <c r="P533" s="22">
        <f>IF(往来单位!$C$523="客户",1,0)</f>
        <v>0</v>
      </c>
      <c r="Q533" s="22">
        <f t="shared" si="13"/>
        <v>28</v>
      </c>
    </row>
    <row r="534">
      <c r="A534" s="56">
        <f>IF($B534="","",521)</f>
      </c>
      <c r="B534" s="66">
        <f>IF(521&gt;$Q$613,"",INDEX(往来单位!$B$4:$B$603,MATCH(521,$Q$14:$Q$613,0)))</f>
      </c>
      <c r="C534" s="67">
        <f t="shared" si="0"/>
      </c>
      <c r="D534" s="60">
        <f t="shared" si="1"/>
      </c>
      <c r="E534" s="53">
        <f t="shared" si="2"/>
      </c>
      <c r="F534" s="53">
        <f t="shared" si="3"/>
      </c>
      <c r="G534" s="53">
        <f t="shared" si="4"/>
      </c>
      <c r="H534" s="59">
        <f t="shared" si="5"/>
      </c>
      <c r="I534" s="53">
        <f t="shared" si="6"/>
      </c>
      <c r="J534" s="53">
        <f t="shared" si="7"/>
      </c>
      <c r="K534" s="53">
        <f t="shared" si="8"/>
      </c>
      <c r="L534" s="68">
        <f t="shared" si="9"/>
      </c>
      <c r="M534" s="56">
        <f t="shared" si="10"/>
      </c>
      <c r="N534" s="69">
        <f t="shared" si="11"/>
      </c>
      <c r="O534" s="22">
        <f t="shared" si="12"/>
      </c>
      <c r="P534" s="22">
        <f>IF(往来单位!$C$524="客户",1,0)</f>
        <v>0</v>
      </c>
      <c r="Q534" s="22">
        <f t="shared" si="13"/>
        <v>28</v>
      </c>
    </row>
    <row r="535">
      <c r="A535" s="56">
        <f>IF($B535="","",522)</f>
      </c>
      <c r="B535" s="66">
        <f>IF(522&gt;$Q$613,"",INDEX(往来单位!$B$4:$B$603,MATCH(522,$Q$14:$Q$613,0)))</f>
      </c>
      <c r="C535" s="67">
        <f t="shared" si="0"/>
      </c>
      <c r="D535" s="60">
        <f t="shared" si="1"/>
      </c>
      <c r="E535" s="53">
        <f t="shared" si="2"/>
      </c>
      <c r="F535" s="53">
        <f t="shared" si="3"/>
      </c>
      <c r="G535" s="53">
        <f t="shared" si="4"/>
      </c>
      <c r="H535" s="59">
        <f t="shared" si="5"/>
      </c>
      <c r="I535" s="53">
        <f t="shared" si="6"/>
      </c>
      <c r="J535" s="53">
        <f t="shared" si="7"/>
      </c>
      <c r="K535" s="53">
        <f t="shared" si="8"/>
      </c>
      <c r="L535" s="68">
        <f t="shared" si="9"/>
      </c>
      <c r="M535" s="56">
        <f t="shared" si="10"/>
      </c>
      <c r="N535" s="69">
        <f t="shared" si="11"/>
      </c>
      <c r="O535" s="22">
        <f t="shared" si="12"/>
      </c>
      <c r="P535" s="22">
        <f>IF(往来单位!$C$525="客户",1,0)</f>
        <v>0</v>
      </c>
      <c r="Q535" s="22">
        <f t="shared" si="13"/>
        <v>28</v>
      </c>
    </row>
    <row r="536">
      <c r="A536" s="56">
        <f>IF($B536="","",523)</f>
      </c>
      <c r="B536" s="66">
        <f>IF(523&gt;$Q$613,"",INDEX(往来单位!$B$4:$B$603,MATCH(523,$Q$14:$Q$613,0)))</f>
      </c>
      <c r="C536" s="67">
        <f t="shared" si="0"/>
      </c>
      <c r="D536" s="60">
        <f t="shared" si="1"/>
      </c>
      <c r="E536" s="53">
        <f t="shared" si="2"/>
      </c>
      <c r="F536" s="53">
        <f t="shared" si="3"/>
      </c>
      <c r="G536" s="53">
        <f t="shared" si="4"/>
      </c>
      <c r="H536" s="59">
        <f t="shared" si="5"/>
      </c>
      <c r="I536" s="53">
        <f t="shared" si="6"/>
      </c>
      <c r="J536" s="53">
        <f t="shared" si="7"/>
      </c>
      <c r="K536" s="53">
        <f t="shared" si="8"/>
      </c>
      <c r="L536" s="68">
        <f t="shared" si="9"/>
      </c>
      <c r="M536" s="56">
        <f t="shared" si="10"/>
      </c>
      <c r="N536" s="69">
        <f t="shared" si="11"/>
      </c>
      <c r="O536" s="22">
        <f t="shared" si="12"/>
      </c>
      <c r="P536" s="22">
        <f>IF(往来单位!$C$526="客户",1,0)</f>
        <v>0</v>
      </c>
      <c r="Q536" s="22">
        <f t="shared" si="13"/>
        <v>28</v>
      </c>
    </row>
    <row r="537">
      <c r="A537" s="56">
        <f>IF($B537="","",524)</f>
      </c>
      <c r="B537" s="66">
        <f>IF(524&gt;$Q$613,"",INDEX(往来单位!$B$4:$B$603,MATCH(524,$Q$14:$Q$613,0)))</f>
      </c>
      <c r="C537" s="67">
        <f t="shared" si="0"/>
      </c>
      <c r="D537" s="60">
        <f t="shared" si="1"/>
      </c>
      <c r="E537" s="53">
        <f t="shared" si="2"/>
      </c>
      <c r="F537" s="53">
        <f t="shared" si="3"/>
      </c>
      <c r="G537" s="53">
        <f t="shared" si="4"/>
      </c>
      <c r="H537" s="59">
        <f t="shared" si="5"/>
      </c>
      <c r="I537" s="53">
        <f t="shared" si="6"/>
      </c>
      <c r="J537" s="53">
        <f t="shared" si="7"/>
      </c>
      <c r="K537" s="53">
        <f t="shared" si="8"/>
      </c>
      <c r="L537" s="68">
        <f t="shared" si="9"/>
      </c>
      <c r="M537" s="56">
        <f t="shared" si="10"/>
      </c>
      <c r="N537" s="69">
        <f t="shared" si="11"/>
      </c>
      <c r="O537" s="22">
        <f t="shared" si="12"/>
      </c>
      <c r="P537" s="22">
        <f>IF(往来单位!$C$527="客户",1,0)</f>
        <v>0</v>
      </c>
      <c r="Q537" s="22">
        <f t="shared" si="13"/>
        <v>28</v>
      </c>
    </row>
    <row r="538">
      <c r="A538" s="56">
        <f>IF($B538="","",525)</f>
      </c>
      <c r="B538" s="66">
        <f>IF(525&gt;$Q$613,"",INDEX(往来单位!$B$4:$B$603,MATCH(525,$Q$14:$Q$613,0)))</f>
      </c>
      <c r="C538" s="67">
        <f t="shared" si="0"/>
      </c>
      <c r="D538" s="60">
        <f t="shared" si="1"/>
      </c>
      <c r="E538" s="53">
        <f t="shared" si="2"/>
      </c>
      <c r="F538" s="53">
        <f t="shared" si="3"/>
      </c>
      <c r="G538" s="53">
        <f t="shared" si="4"/>
      </c>
      <c r="H538" s="59">
        <f t="shared" si="5"/>
      </c>
      <c r="I538" s="53">
        <f t="shared" si="6"/>
      </c>
      <c r="J538" s="53">
        <f t="shared" si="7"/>
      </c>
      <c r="K538" s="53">
        <f t="shared" si="8"/>
      </c>
      <c r="L538" s="68">
        <f t="shared" si="9"/>
      </c>
      <c r="M538" s="56">
        <f t="shared" si="10"/>
      </c>
      <c r="N538" s="69">
        <f t="shared" si="11"/>
      </c>
      <c r="O538" s="22">
        <f t="shared" si="12"/>
      </c>
      <c r="P538" s="22">
        <f>IF(往来单位!$C$528="客户",1,0)</f>
        <v>0</v>
      </c>
      <c r="Q538" s="22">
        <f t="shared" si="13"/>
        <v>28</v>
      </c>
    </row>
    <row r="539">
      <c r="A539" s="56">
        <f>IF($B539="","",526)</f>
      </c>
      <c r="B539" s="66">
        <f>IF(526&gt;$Q$613,"",INDEX(往来单位!$B$4:$B$603,MATCH(526,$Q$14:$Q$613,0)))</f>
      </c>
      <c r="C539" s="67">
        <f t="shared" si="0"/>
      </c>
      <c r="D539" s="60">
        <f t="shared" si="1"/>
      </c>
      <c r="E539" s="53">
        <f t="shared" si="2"/>
      </c>
      <c r="F539" s="53">
        <f t="shared" si="3"/>
      </c>
      <c r="G539" s="53">
        <f t="shared" si="4"/>
      </c>
      <c r="H539" s="59">
        <f t="shared" si="5"/>
      </c>
      <c r="I539" s="53">
        <f t="shared" si="6"/>
      </c>
      <c r="J539" s="53">
        <f t="shared" si="7"/>
      </c>
      <c r="K539" s="53">
        <f t="shared" si="8"/>
      </c>
      <c r="L539" s="68">
        <f t="shared" si="9"/>
      </c>
      <c r="M539" s="56">
        <f t="shared" si="10"/>
      </c>
      <c r="N539" s="69">
        <f t="shared" si="11"/>
      </c>
      <c r="O539" s="22">
        <f t="shared" si="12"/>
      </c>
      <c r="P539" s="22">
        <f>IF(往来单位!$C$529="客户",1,0)</f>
        <v>0</v>
      </c>
      <c r="Q539" s="22">
        <f t="shared" si="13"/>
        <v>28</v>
      </c>
    </row>
    <row r="540">
      <c r="A540" s="56">
        <f>IF($B540="","",527)</f>
      </c>
      <c r="B540" s="66">
        <f>IF(527&gt;$Q$613,"",INDEX(往来单位!$B$4:$B$603,MATCH(527,$Q$14:$Q$613,0)))</f>
      </c>
      <c r="C540" s="67">
        <f t="shared" si="0"/>
      </c>
      <c r="D540" s="60">
        <f t="shared" si="1"/>
      </c>
      <c r="E540" s="53">
        <f t="shared" si="2"/>
      </c>
      <c r="F540" s="53">
        <f t="shared" si="3"/>
      </c>
      <c r="G540" s="53">
        <f t="shared" si="4"/>
      </c>
      <c r="H540" s="59">
        <f t="shared" si="5"/>
      </c>
      <c r="I540" s="53">
        <f t="shared" si="6"/>
      </c>
      <c r="J540" s="53">
        <f t="shared" si="7"/>
      </c>
      <c r="K540" s="53">
        <f t="shared" si="8"/>
      </c>
      <c r="L540" s="68">
        <f t="shared" si="9"/>
      </c>
      <c r="M540" s="56">
        <f t="shared" si="10"/>
      </c>
      <c r="N540" s="69">
        <f t="shared" si="11"/>
      </c>
      <c r="O540" s="22">
        <f t="shared" si="12"/>
      </c>
      <c r="P540" s="22">
        <f>IF(往来单位!$C$530="客户",1,0)</f>
        <v>0</v>
      </c>
      <c r="Q540" s="22">
        <f t="shared" si="13"/>
        <v>28</v>
      </c>
    </row>
    <row r="541">
      <c r="A541" s="56">
        <f>IF($B541="","",528)</f>
      </c>
      <c r="B541" s="66">
        <f>IF(528&gt;$Q$613,"",INDEX(往来单位!$B$4:$B$603,MATCH(528,$Q$14:$Q$613,0)))</f>
      </c>
      <c r="C541" s="67">
        <f t="shared" si="0"/>
      </c>
      <c r="D541" s="60">
        <f t="shared" si="1"/>
      </c>
      <c r="E541" s="53">
        <f t="shared" si="2"/>
      </c>
      <c r="F541" s="53">
        <f t="shared" si="3"/>
      </c>
      <c r="G541" s="53">
        <f t="shared" si="4"/>
      </c>
      <c r="H541" s="59">
        <f t="shared" si="5"/>
      </c>
      <c r="I541" s="53">
        <f t="shared" si="6"/>
      </c>
      <c r="J541" s="53">
        <f t="shared" si="7"/>
      </c>
      <c r="K541" s="53">
        <f t="shared" si="8"/>
      </c>
      <c r="L541" s="68">
        <f t="shared" si="9"/>
      </c>
      <c r="M541" s="56">
        <f t="shared" si="10"/>
      </c>
      <c r="N541" s="69">
        <f t="shared" si="11"/>
      </c>
      <c r="O541" s="22">
        <f t="shared" si="12"/>
      </c>
      <c r="P541" s="22">
        <f>IF(往来单位!$C$531="客户",1,0)</f>
        <v>0</v>
      </c>
      <c r="Q541" s="22">
        <f t="shared" si="13"/>
        <v>28</v>
      </c>
    </row>
    <row r="542">
      <c r="A542" s="56">
        <f>IF($B542="","",529)</f>
      </c>
      <c r="B542" s="66">
        <f>IF(529&gt;$Q$613,"",INDEX(往来单位!$B$4:$B$603,MATCH(529,$Q$14:$Q$613,0)))</f>
      </c>
      <c r="C542" s="67">
        <f t="shared" si="0"/>
      </c>
      <c r="D542" s="60">
        <f t="shared" si="1"/>
      </c>
      <c r="E542" s="53">
        <f t="shared" si="2"/>
      </c>
      <c r="F542" s="53">
        <f t="shared" si="3"/>
      </c>
      <c r="G542" s="53">
        <f t="shared" si="4"/>
      </c>
      <c r="H542" s="59">
        <f t="shared" si="5"/>
      </c>
      <c r="I542" s="53">
        <f t="shared" si="6"/>
      </c>
      <c r="J542" s="53">
        <f t="shared" si="7"/>
      </c>
      <c r="K542" s="53">
        <f t="shared" si="8"/>
      </c>
      <c r="L542" s="68">
        <f t="shared" si="9"/>
      </c>
      <c r="M542" s="56">
        <f t="shared" si="10"/>
      </c>
      <c r="N542" s="69">
        <f t="shared" si="11"/>
      </c>
      <c r="O542" s="22">
        <f t="shared" si="12"/>
      </c>
      <c r="P542" s="22">
        <f>IF(往来单位!$C$532="客户",1,0)</f>
        <v>0</v>
      </c>
      <c r="Q542" s="22">
        <f t="shared" si="13"/>
        <v>28</v>
      </c>
    </row>
    <row r="543">
      <c r="A543" s="56">
        <f>IF($B543="","",530)</f>
      </c>
      <c r="B543" s="66">
        <f>IF(530&gt;$Q$613,"",INDEX(往来单位!$B$4:$B$603,MATCH(530,$Q$14:$Q$613,0)))</f>
      </c>
      <c r="C543" s="67">
        <f t="shared" si="0"/>
      </c>
      <c r="D543" s="60">
        <f t="shared" si="1"/>
      </c>
      <c r="E543" s="53">
        <f t="shared" si="2"/>
      </c>
      <c r="F543" s="53">
        <f t="shared" si="3"/>
      </c>
      <c r="G543" s="53">
        <f t="shared" si="4"/>
      </c>
      <c r="H543" s="59">
        <f t="shared" si="5"/>
      </c>
      <c r="I543" s="53">
        <f t="shared" si="6"/>
      </c>
      <c r="J543" s="53">
        <f t="shared" si="7"/>
      </c>
      <c r="K543" s="53">
        <f t="shared" si="8"/>
      </c>
      <c r="L543" s="68">
        <f t="shared" si="9"/>
      </c>
      <c r="M543" s="56">
        <f t="shared" si="10"/>
      </c>
      <c r="N543" s="69">
        <f t="shared" si="11"/>
      </c>
      <c r="O543" s="22">
        <f t="shared" si="12"/>
      </c>
      <c r="P543" s="22">
        <f>IF(往来单位!$C$533="客户",1,0)</f>
        <v>0</v>
      </c>
      <c r="Q543" s="22">
        <f t="shared" si="13"/>
        <v>28</v>
      </c>
    </row>
    <row r="544">
      <c r="A544" s="56">
        <f>IF($B544="","",531)</f>
      </c>
      <c r="B544" s="66">
        <f>IF(531&gt;$Q$613,"",INDEX(往来单位!$B$4:$B$603,MATCH(531,$Q$14:$Q$613,0)))</f>
      </c>
      <c r="C544" s="67">
        <f t="shared" si="0"/>
      </c>
      <c r="D544" s="60">
        <f t="shared" si="1"/>
      </c>
      <c r="E544" s="53">
        <f t="shared" si="2"/>
      </c>
      <c r="F544" s="53">
        <f t="shared" si="3"/>
      </c>
      <c r="G544" s="53">
        <f t="shared" si="4"/>
      </c>
      <c r="H544" s="59">
        <f t="shared" si="5"/>
      </c>
      <c r="I544" s="53">
        <f t="shared" si="6"/>
      </c>
      <c r="J544" s="53">
        <f t="shared" si="7"/>
      </c>
      <c r="K544" s="53">
        <f t="shared" si="8"/>
      </c>
      <c r="L544" s="68">
        <f t="shared" si="9"/>
      </c>
      <c r="M544" s="56">
        <f t="shared" si="10"/>
      </c>
      <c r="N544" s="69">
        <f t="shared" si="11"/>
      </c>
      <c r="O544" s="22">
        <f t="shared" si="12"/>
      </c>
      <c r="P544" s="22">
        <f>IF(往来单位!$C$534="客户",1,0)</f>
        <v>0</v>
      </c>
      <c r="Q544" s="22">
        <f t="shared" si="13"/>
        <v>28</v>
      </c>
    </row>
    <row r="545">
      <c r="A545" s="56">
        <f>IF($B545="","",532)</f>
      </c>
      <c r="B545" s="66">
        <f>IF(532&gt;$Q$613,"",INDEX(往来单位!$B$4:$B$603,MATCH(532,$Q$14:$Q$613,0)))</f>
      </c>
      <c r="C545" s="67">
        <f t="shared" si="0"/>
      </c>
      <c r="D545" s="60">
        <f t="shared" si="1"/>
      </c>
      <c r="E545" s="53">
        <f t="shared" si="2"/>
      </c>
      <c r="F545" s="53">
        <f t="shared" si="3"/>
      </c>
      <c r="G545" s="53">
        <f t="shared" si="4"/>
      </c>
      <c r="H545" s="59">
        <f t="shared" si="5"/>
      </c>
      <c r="I545" s="53">
        <f t="shared" si="6"/>
      </c>
      <c r="J545" s="53">
        <f t="shared" si="7"/>
      </c>
      <c r="K545" s="53">
        <f t="shared" si="8"/>
      </c>
      <c r="L545" s="68">
        <f t="shared" si="9"/>
      </c>
      <c r="M545" s="56">
        <f t="shared" si="10"/>
      </c>
      <c r="N545" s="69">
        <f t="shared" si="11"/>
      </c>
      <c r="O545" s="22">
        <f t="shared" si="12"/>
      </c>
      <c r="P545" s="22">
        <f>IF(往来单位!$C$535="客户",1,0)</f>
        <v>0</v>
      </c>
      <c r="Q545" s="22">
        <f t="shared" si="13"/>
        <v>28</v>
      </c>
    </row>
    <row r="546">
      <c r="A546" s="56">
        <f>IF($B546="","",533)</f>
      </c>
      <c r="B546" s="66">
        <f>IF(533&gt;$Q$613,"",INDEX(往来单位!$B$4:$B$603,MATCH(533,$Q$14:$Q$613,0)))</f>
      </c>
      <c r="C546" s="67">
        <f t="shared" si="0"/>
      </c>
      <c r="D546" s="60">
        <f t="shared" si="1"/>
      </c>
      <c r="E546" s="53">
        <f t="shared" si="2"/>
      </c>
      <c r="F546" s="53">
        <f t="shared" si="3"/>
      </c>
      <c r="G546" s="53">
        <f t="shared" si="4"/>
      </c>
      <c r="H546" s="59">
        <f t="shared" si="5"/>
      </c>
      <c r="I546" s="53">
        <f t="shared" si="6"/>
      </c>
      <c r="J546" s="53">
        <f t="shared" si="7"/>
      </c>
      <c r="K546" s="53">
        <f t="shared" si="8"/>
      </c>
      <c r="L546" s="68">
        <f t="shared" si="9"/>
      </c>
      <c r="M546" s="56">
        <f t="shared" si="10"/>
      </c>
      <c r="N546" s="69">
        <f t="shared" si="11"/>
      </c>
      <c r="O546" s="22">
        <f t="shared" si="12"/>
      </c>
      <c r="P546" s="22">
        <f>IF(往来单位!$C$536="客户",1,0)</f>
        <v>0</v>
      </c>
      <c r="Q546" s="22">
        <f t="shared" si="13"/>
        <v>28</v>
      </c>
    </row>
    <row r="547">
      <c r="A547" s="56">
        <f>IF($B547="","",534)</f>
      </c>
      <c r="B547" s="66">
        <f>IF(534&gt;$Q$613,"",INDEX(往来单位!$B$4:$B$603,MATCH(534,$Q$14:$Q$613,0)))</f>
      </c>
      <c r="C547" s="67">
        <f t="shared" si="0"/>
      </c>
      <c r="D547" s="60">
        <f t="shared" si="1"/>
      </c>
      <c r="E547" s="53">
        <f t="shared" si="2"/>
      </c>
      <c r="F547" s="53">
        <f t="shared" si="3"/>
      </c>
      <c r="G547" s="53">
        <f t="shared" si="4"/>
      </c>
      <c r="H547" s="59">
        <f t="shared" si="5"/>
      </c>
      <c r="I547" s="53">
        <f t="shared" si="6"/>
      </c>
      <c r="J547" s="53">
        <f t="shared" si="7"/>
      </c>
      <c r="K547" s="53">
        <f t="shared" si="8"/>
      </c>
      <c r="L547" s="68">
        <f t="shared" si="9"/>
      </c>
      <c r="M547" s="56">
        <f t="shared" si="10"/>
      </c>
      <c r="N547" s="69">
        <f t="shared" si="11"/>
      </c>
      <c r="O547" s="22">
        <f t="shared" si="12"/>
      </c>
      <c r="P547" s="22">
        <f>IF(往来单位!$C$537="客户",1,0)</f>
        <v>0</v>
      </c>
      <c r="Q547" s="22">
        <f t="shared" si="13"/>
        <v>28</v>
      </c>
    </row>
    <row r="548">
      <c r="A548" s="56">
        <f>IF($B548="","",535)</f>
      </c>
      <c r="B548" s="66">
        <f>IF(535&gt;$Q$613,"",INDEX(往来单位!$B$4:$B$603,MATCH(535,$Q$14:$Q$613,0)))</f>
      </c>
      <c r="C548" s="67">
        <f t="shared" si="0"/>
      </c>
      <c r="D548" s="60">
        <f t="shared" si="1"/>
      </c>
      <c r="E548" s="53">
        <f t="shared" si="2"/>
      </c>
      <c r="F548" s="53">
        <f t="shared" si="3"/>
      </c>
      <c r="G548" s="53">
        <f t="shared" si="4"/>
      </c>
      <c r="H548" s="59">
        <f t="shared" si="5"/>
      </c>
      <c r="I548" s="53">
        <f t="shared" si="6"/>
      </c>
      <c r="J548" s="53">
        <f t="shared" si="7"/>
      </c>
      <c r="K548" s="53">
        <f t="shared" si="8"/>
      </c>
      <c r="L548" s="68">
        <f t="shared" si="9"/>
      </c>
      <c r="M548" s="56">
        <f t="shared" si="10"/>
      </c>
      <c r="N548" s="69">
        <f t="shared" si="11"/>
      </c>
      <c r="O548" s="22">
        <f t="shared" si="12"/>
      </c>
      <c r="P548" s="22">
        <f>IF(往来单位!$C$538="客户",1,0)</f>
        <v>0</v>
      </c>
      <c r="Q548" s="22">
        <f t="shared" si="13"/>
        <v>28</v>
      </c>
    </row>
    <row r="549">
      <c r="A549" s="56">
        <f>IF($B549="","",536)</f>
      </c>
      <c r="B549" s="66">
        <f>IF(536&gt;$Q$613,"",INDEX(往来单位!$B$4:$B$603,MATCH(536,$Q$14:$Q$613,0)))</f>
      </c>
      <c r="C549" s="67">
        <f t="shared" si="0"/>
      </c>
      <c r="D549" s="60">
        <f t="shared" si="1"/>
      </c>
      <c r="E549" s="53">
        <f t="shared" si="2"/>
      </c>
      <c r="F549" s="53">
        <f t="shared" si="3"/>
      </c>
      <c r="G549" s="53">
        <f t="shared" si="4"/>
      </c>
      <c r="H549" s="59">
        <f t="shared" si="5"/>
      </c>
      <c r="I549" s="53">
        <f t="shared" si="6"/>
      </c>
      <c r="J549" s="53">
        <f t="shared" si="7"/>
      </c>
      <c r="K549" s="53">
        <f t="shared" si="8"/>
      </c>
      <c r="L549" s="68">
        <f t="shared" si="9"/>
      </c>
      <c r="M549" s="56">
        <f t="shared" si="10"/>
      </c>
      <c r="N549" s="69">
        <f t="shared" si="11"/>
      </c>
      <c r="O549" s="22">
        <f t="shared" si="12"/>
      </c>
      <c r="P549" s="22">
        <f>IF(往来单位!$C$539="客户",1,0)</f>
        <v>0</v>
      </c>
      <c r="Q549" s="22">
        <f t="shared" si="13"/>
        <v>28</v>
      </c>
    </row>
    <row r="550">
      <c r="A550" s="56">
        <f>IF($B550="","",537)</f>
      </c>
      <c r="B550" s="66">
        <f>IF(537&gt;$Q$613,"",INDEX(往来单位!$B$4:$B$603,MATCH(537,$Q$14:$Q$613,0)))</f>
      </c>
      <c r="C550" s="67">
        <f t="shared" si="0"/>
      </c>
      <c r="D550" s="60">
        <f t="shared" si="1"/>
      </c>
      <c r="E550" s="53">
        <f t="shared" si="2"/>
      </c>
      <c r="F550" s="53">
        <f t="shared" si="3"/>
      </c>
      <c r="G550" s="53">
        <f t="shared" si="4"/>
      </c>
      <c r="H550" s="59">
        <f t="shared" si="5"/>
      </c>
      <c r="I550" s="53">
        <f t="shared" si="6"/>
      </c>
      <c r="J550" s="53">
        <f t="shared" si="7"/>
      </c>
      <c r="K550" s="53">
        <f t="shared" si="8"/>
      </c>
      <c r="L550" s="68">
        <f t="shared" si="9"/>
      </c>
      <c r="M550" s="56">
        <f t="shared" si="10"/>
      </c>
      <c r="N550" s="69">
        <f t="shared" si="11"/>
      </c>
      <c r="O550" s="22">
        <f t="shared" si="12"/>
      </c>
      <c r="P550" s="22">
        <f>IF(往来单位!$C$540="客户",1,0)</f>
        <v>0</v>
      </c>
      <c r="Q550" s="22">
        <f t="shared" si="13"/>
        <v>28</v>
      </c>
    </row>
    <row r="551">
      <c r="A551" s="56">
        <f>IF($B551="","",538)</f>
      </c>
      <c r="B551" s="66">
        <f>IF(538&gt;$Q$613,"",INDEX(往来单位!$B$4:$B$603,MATCH(538,$Q$14:$Q$613,0)))</f>
      </c>
      <c r="C551" s="67">
        <f t="shared" si="0"/>
      </c>
      <c r="D551" s="60">
        <f t="shared" si="1"/>
      </c>
      <c r="E551" s="53">
        <f t="shared" si="2"/>
      </c>
      <c r="F551" s="53">
        <f t="shared" si="3"/>
      </c>
      <c r="G551" s="53">
        <f t="shared" si="4"/>
      </c>
      <c r="H551" s="59">
        <f t="shared" si="5"/>
      </c>
      <c r="I551" s="53">
        <f t="shared" si="6"/>
      </c>
      <c r="J551" s="53">
        <f t="shared" si="7"/>
      </c>
      <c r="K551" s="53">
        <f t="shared" si="8"/>
      </c>
      <c r="L551" s="68">
        <f t="shared" si="9"/>
      </c>
      <c r="M551" s="56">
        <f t="shared" si="10"/>
      </c>
      <c r="N551" s="69">
        <f t="shared" si="11"/>
      </c>
      <c r="O551" s="22">
        <f t="shared" si="12"/>
      </c>
      <c r="P551" s="22">
        <f>IF(往来单位!$C$541="客户",1,0)</f>
        <v>0</v>
      </c>
      <c r="Q551" s="22">
        <f t="shared" si="13"/>
        <v>28</v>
      </c>
    </row>
    <row r="552">
      <c r="A552" s="56">
        <f>IF($B552="","",539)</f>
      </c>
      <c r="B552" s="66">
        <f>IF(539&gt;$Q$613,"",INDEX(往来单位!$B$4:$B$603,MATCH(539,$Q$14:$Q$613,0)))</f>
      </c>
      <c r="C552" s="67">
        <f t="shared" si="0"/>
      </c>
      <c r="D552" s="60">
        <f t="shared" si="1"/>
      </c>
      <c r="E552" s="53">
        <f t="shared" si="2"/>
      </c>
      <c r="F552" s="53">
        <f t="shared" si="3"/>
      </c>
      <c r="G552" s="53">
        <f t="shared" si="4"/>
      </c>
      <c r="H552" s="59">
        <f t="shared" si="5"/>
      </c>
      <c r="I552" s="53">
        <f t="shared" si="6"/>
      </c>
      <c r="J552" s="53">
        <f t="shared" si="7"/>
      </c>
      <c r="K552" s="53">
        <f t="shared" si="8"/>
      </c>
      <c r="L552" s="68">
        <f t="shared" si="9"/>
      </c>
      <c r="M552" s="56">
        <f t="shared" si="10"/>
      </c>
      <c r="N552" s="69">
        <f t="shared" si="11"/>
      </c>
      <c r="O552" s="22">
        <f t="shared" si="12"/>
      </c>
      <c r="P552" s="22">
        <f>IF(往来单位!$C$542="客户",1,0)</f>
        <v>0</v>
      </c>
      <c r="Q552" s="22">
        <f t="shared" si="13"/>
        <v>28</v>
      </c>
    </row>
    <row r="553">
      <c r="A553" s="56">
        <f>IF($B553="","",540)</f>
      </c>
      <c r="B553" s="66">
        <f>IF(540&gt;$Q$613,"",INDEX(往来单位!$B$4:$B$603,MATCH(540,$Q$14:$Q$613,0)))</f>
      </c>
      <c r="C553" s="67">
        <f t="shared" si="0"/>
      </c>
      <c r="D553" s="60">
        <f t="shared" si="1"/>
      </c>
      <c r="E553" s="53">
        <f t="shared" si="2"/>
      </c>
      <c r="F553" s="53">
        <f t="shared" si="3"/>
      </c>
      <c r="G553" s="53">
        <f t="shared" si="4"/>
      </c>
      <c r="H553" s="59">
        <f t="shared" si="5"/>
      </c>
      <c r="I553" s="53">
        <f t="shared" si="6"/>
      </c>
      <c r="J553" s="53">
        <f t="shared" si="7"/>
      </c>
      <c r="K553" s="53">
        <f t="shared" si="8"/>
      </c>
      <c r="L553" s="68">
        <f t="shared" si="9"/>
      </c>
      <c r="M553" s="56">
        <f t="shared" si="10"/>
      </c>
      <c r="N553" s="69">
        <f t="shared" si="11"/>
      </c>
      <c r="O553" s="22">
        <f t="shared" si="12"/>
      </c>
      <c r="P553" s="22">
        <f>IF(往来单位!$C$543="客户",1,0)</f>
        <v>0</v>
      </c>
      <c r="Q553" s="22">
        <f t="shared" si="13"/>
        <v>28</v>
      </c>
    </row>
    <row r="554">
      <c r="A554" s="56">
        <f>IF($B554="","",541)</f>
      </c>
      <c r="B554" s="66">
        <f>IF(541&gt;$Q$613,"",INDEX(往来单位!$B$4:$B$603,MATCH(541,$Q$14:$Q$613,0)))</f>
      </c>
      <c r="C554" s="67">
        <f t="shared" si="0"/>
      </c>
      <c r="D554" s="60">
        <f t="shared" si="1"/>
      </c>
      <c r="E554" s="53">
        <f t="shared" si="2"/>
      </c>
      <c r="F554" s="53">
        <f t="shared" si="3"/>
      </c>
      <c r="G554" s="53">
        <f t="shared" si="4"/>
      </c>
      <c r="H554" s="59">
        <f t="shared" si="5"/>
      </c>
      <c r="I554" s="53">
        <f t="shared" si="6"/>
      </c>
      <c r="J554" s="53">
        <f t="shared" si="7"/>
      </c>
      <c r="K554" s="53">
        <f t="shared" si="8"/>
      </c>
      <c r="L554" s="68">
        <f t="shared" si="9"/>
      </c>
      <c r="M554" s="56">
        <f t="shared" si="10"/>
      </c>
      <c r="N554" s="69">
        <f t="shared" si="11"/>
      </c>
      <c r="O554" s="22">
        <f t="shared" si="12"/>
      </c>
      <c r="P554" s="22">
        <f>IF(往来单位!$C$544="客户",1,0)</f>
        <v>0</v>
      </c>
      <c r="Q554" s="22">
        <f t="shared" si="13"/>
        <v>28</v>
      </c>
    </row>
    <row r="555">
      <c r="A555" s="56">
        <f>IF($B555="","",542)</f>
      </c>
      <c r="B555" s="66">
        <f>IF(542&gt;$Q$613,"",INDEX(往来单位!$B$4:$B$603,MATCH(542,$Q$14:$Q$613,0)))</f>
      </c>
      <c r="C555" s="67">
        <f t="shared" si="0"/>
      </c>
      <c r="D555" s="60">
        <f t="shared" si="1"/>
      </c>
      <c r="E555" s="53">
        <f t="shared" si="2"/>
      </c>
      <c r="F555" s="53">
        <f t="shared" si="3"/>
      </c>
      <c r="G555" s="53">
        <f t="shared" si="4"/>
      </c>
      <c r="H555" s="59">
        <f t="shared" si="5"/>
      </c>
      <c r="I555" s="53">
        <f t="shared" si="6"/>
      </c>
      <c r="J555" s="53">
        <f t="shared" si="7"/>
      </c>
      <c r="K555" s="53">
        <f t="shared" si="8"/>
      </c>
      <c r="L555" s="68">
        <f t="shared" si="9"/>
      </c>
      <c r="M555" s="56">
        <f t="shared" si="10"/>
      </c>
      <c r="N555" s="69">
        <f t="shared" si="11"/>
      </c>
      <c r="O555" s="22">
        <f t="shared" si="12"/>
      </c>
      <c r="P555" s="22">
        <f>IF(往来单位!$C$545="客户",1,0)</f>
        <v>0</v>
      </c>
      <c r="Q555" s="22">
        <f t="shared" si="13"/>
        <v>28</v>
      </c>
    </row>
    <row r="556">
      <c r="A556" s="56">
        <f>IF($B556="","",543)</f>
      </c>
      <c r="B556" s="66">
        <f>IF(543&gt;$Q$613,"",INDEX(往来单位!$B$4:$B$603,MATCH(543,$Q$14:$Q$613,0)))</f>
      </c>
      <c r="C556" s="67">
        <f t="shared" si="0"/>
      </c>
      <c r="D556" s="60">
        <f t="shared" si="1"/>
      </c>
      <c r="E556" s="53">
        <f t="shared" si="2"/>
      </c>
      <c r="F556" s="53">
        <f t="shared" si="3"/>
      </c>
      <c r="G556" s="53">
        <f t="shared" si="4"/>
      </c>
      <c r="H556" s="59">
        <f t="shared" si="5"/>
      </c>
      <c r="I556" s="53">
        <f t="shared" si="6"/>
      </c>
      <c r="J556" s="53">
        <f t="shared" si="7"/>
      </c>
      <c r="K556" s="53">
        <f t="shared" si="8"/>
      </c>
      <c r="L556" s="68">
        <f t="shared" si="9"/>
      </c>
      <c r="M556" s="56">
        <f t="shared" si="10"/>
      </c>
      <c r="N556" s="69">
        <f t="shared" si="11"/>
      </c>
      <c r="O556" s="22">
        <f t="shared" si="12"/>
      </c>
      <c r="P556" s="22">
        <f>IF(往来单位!$C$546="客户",1,0)</f>
        <v>0</v>
      </c>
      <c r="Q556" s="22">
        <f t="shared" si="13"/>
        <v>28</v>
      </c>
    </row>
    <row r="557">
      <c r="A557" s="56">
        <f>IF($B557="","",544)</f>
      </c>
      <c r="B557" s="66">
        <f>IF(544&gt;$Q$613,"",INDEX(往来单位!$B$4:$B$603,MATCH(544,$Q$14:$Q$613,0)))</f>
      </c>
      <c r="C557" s="67">
        <f t="shared" si="0"/>
      </c>
      <c r="D557" s="60">
        <f t="shared" si="1"/>
      </c>
      <c r="E557" s="53">
        <f t="shared" si="2"/>
      </c>
      <c r="F557" s="53">
        <f t="shared" si="3"/>
      </c>
      <c r="G557" s="53">
        <f t="shared" si="4"/>
      </c>
      <c r="H557" s="59">
        <f t="shared" si="5"/>
      </c>
      <c r="I557" s="53">
        <f t="shared" si="6"/>
      </c>
      <c r="J557" s="53">
        <f t="shared" si="7"/>
      </c>
      <c r="K557" s="53">
        <f t="shared" si="8"/>
      </c>
      <c r="L557" s="68">
        <f t="shared" si="9"/>
      </c>
      <c r="M557" s="56">
        <f t="shared" si="10"/>
      </c>
      <c r="N557" s="69">
        <f t="shared" si="11"/>
      </c>
      <c r="O557" s="22">
        <f t="shared" si="12"/>
      </c>
      <c r="P557" s="22">
        <f>IF(往来单位!$C$547="客户",1,0)</f>
        <v>0</v>
      </c>
      <c r="Q557" s="22">
        <f t="shared" si="13"/>
        <v>28</v>
      </c>
    </row>
    <row r="558">
      <c r="A558" s="56">
        <f>IF($B558="","",545)</f>
      </c>
      <c r="B558" s="66">
        <f>IF(545&gt;$Q$613,"",INDEX(往来单位!$B$4:$B$603,MATCH(545,$Q$14:$Q$613,0)))</f>
      </c>
      <c r="C558" s="67">
        <f t="shared" si="0"/>
      </c>
      <c r="D558" s="60">
        <f t="shared" si="1"/>
      </c>
      <c r="E558" s="53">
        <f t="shared" si="2"/>
      </c>
      <c r="F558" s="53">
        <f t="shared" si="3"/>
      </c>
      <c r="G558" s="53">
        <f t="shared" si="4"/>
      </c>
      <c r="H558" s="59">
        <f t="shared" si="5"/>
      </c>
      <c r="I558" s="53">
        <f t="shared" si="6"/>
      </c>
      <c r="J558" s="53">
        <f t="shared" si="7"/>
      </c>
      <c r="K558" s="53">
        <f t="shared" si="8"/>
      </c>
      <c r="L558" s="68">
        <f t="shared" si="9"/>
      </c>
      <c r="M558" s="56">
        <f t="shared" si="10"/>
      </c>
      <c r="N558" s="69">
        <f t="shared" si="11"/>
      </c>
      <c r="O558" s="22">
        <f t="shared" si="12"/>
      </c>
      <c r="P558" s="22">
        <f>IF(往来单位!$C$548="客户",1,0)</f>
        <v>0</v>
      </c>
      <c r="Q558" s="22">
        <f t="shared" si="13"/>
        <v>28</v>
      </c>
    </row>
    <row r="559">
      <c r="A559" s="56">
        <f>IF($B559="","",546)</f>
      </c>
      <c r="B559" s="66">
        <f>IF(546&gt;$Q$613,"",INDEX(往来单位!$B$4:$B$603,MATCH(546,$Q$14:$Q$613,0)))</f>
      </c>
      <c r="C559" s="67">
        <f t="shared" si="0"/>
      </c>
      <c r="D559" s="60">
        <f t="shared" si="1"/>
      </c>
      <c r="E559" s="53">
        <f t="shared" si="2"/>
      </c>
      <c r="F559" s="53">
        <f t="shared" si="3"/>
      </c>
      <c r="G559" s="53">
        <f t="shared" si="4"/>
      </c>
      <c r="H559" s="59">
        <f t="shared" si="5"/>
      </c>
      <c r="I559" s="53">
        <f t="shared" si="6"/>
      </c>
      <c r="J559" s="53">
        <f t="shared" si="7"/>
      </c>
      <c r="K559" s="53">
        <f t="shared" si="8"/>
      </c>
      <c r="L559" s="68">
        <f t="shared" si="9"/>
      </c>
      <c r="M559" s="56">
        <f t="shared" si="10"/>
      </c>
      <c r="N559" s="69">
        <f t="shared" si="11"/>
      </c>
      <c r="O559" s="22">
        <f t="shared" si="12"/>
      </c>
      <c r="P559" s="22">
        <f>IF(往来单位!$C$549="客户",1,0)</f>
        <v>0</v>
      </c>
      <c r="Q559" s="22">
        <f t="shared" si="13"/>
        <v>28</v>
      </c>
    </row>
    <row r="560">
      <c r="A560" s="56">
        <f>IF($B560="","",547)</f>
      </c>
      <c r="B560" s="66">
        <f>IF(547&gt;$Q$613,"",INDEX(往来单位!$B$4:$B$603,MATCH(547,$Q$14:$Q$613,0)))</f>
      </c>
      <c r="C560" s="67">
        <f t="shared" si="0"/>
      </c>
      <c r="D560" s="60">
        <f t="shared" si="1"/>
      </c>
      <c r="E560" s="53">
        <f t="shared" si="2"/>
      </c>
      <c r="F560" s="53">
        <f t="shared" si="3"/>
      </c>
      <c r="G560" s="53">
        <f t="shared" si="4"/>
      </c>
      <c r="H560" s="59">
        <f t="shared" si="5"/>
      </c>
      <c r="I560" s="53">
        <f t="shared" si="6"/>
      </c>
      <c r="J560" s="53">
        <f t="shared" si="7"/>
      </c>
      <c r="K560" s="53">
        <f t="shared" si="8"/>
      </c>
      <c r="L560" s="68">
        <f t="shared" si="9"/>
      </c>
      <c r="M560" s="56">
        <f t="shared" si="10"/>
      </c>
      <c r="N560" s="69">
        <f t="shared" si="11"/>
      </c>
      <c r="O560" s="22">
        <f t="shared" si="12"/>
      </c>
      <c r="P560" s="22">
        <f>IF(往来单位!$C$550="客户",1,0)</f>
        <v>0</v>
      </c>
      <c r="Q560" s="22">
        <f t="shared" si="13"/>
        <v>28</v>
      </c>
    </row>
    <row r="561">
      <c r="A561" s="56">
        <f>IF($B561="","",548)</f>
      </c>
      <c r="B561" s="66">
        <f>IF(548&gt;$Q$613,"",INDEX(往来单位!$B$4:$B$603,MATCH(548,$Q$14:$Q$613,0)))</f>
      </c>
      <c r="C561" s="67">
        <f t="shared" si="0"/>
      </c>
      <c r="D561" s="60">
        <f t="shared" si="1"/>
      </c>
      <c r="E561" s="53">
        <f t="shared" si="2"/>
      </c>
      <c r="F561" s="53">
        <f t="shared" si="3"/>
      </c>
      <c r="G561" s="53">
        <f t="shared" si="4"/>
      </c>
      <c r="H561" s="59">
        <f t="shared" si="5"/>
      </c>
      <c r="I561" s="53">
        <f t="shared" si="6"/>
      </c>
      <c r="J561" s="53">
        <f t="shared" si="7"/>
      </c>
      <c r="K561" s="53">
        <f t="shared" si="8"/>
      </c>
      <c r="L561" s="68">
        <f t="shared" si="9"/>
      </c>
      <c r="M561" s="56">
        <f t="shared" si="10"/>
      </c>
      <c r="N561" s="69">
        <f t="shared" si="11"/>
      </c>
      <c r="O561" s="22">
        <f t="shared" si="12"/>
      </c>
      <c r="P561" s="22">
        <f>IF(往来单位!$C$551="客户",1,0)</f>
        <v>0</v>
      </c>
      <c r="Q561" s="22">
        <f t="shared" si="13"/>
        <v>28</v>
      </c>
    </row>
    <row r="562">
      <c r="A562" s="56">
        <f>IF($B562="","",549)</f>
      </c>
      <c r="B562" s="66">
        <f>IF(549&gt;$Q$613,"",INDEX(往来单位!$B$4:$B$603,MATCH(549,$Q$14:$Q$613,0)))</f>
      </c>
      <c r="C562" s="67">
        <f t="shared" si="0"/>
      </c>
      <c r="D562" s="60">
        <f t="shared" si="1"/>
      </c>
      <c r="E562" s="53">
        <f t="shared" si="2"/>
      </c>
      <c r="F562" s="53">
        <f t="shared" si="3"/>
      </c>
      <c r="G562" s="53">
        <f t="shared" si="4"/>
      </c>
      <c r="H562" s="59">
        <f t="shared" si="5"/>
      </c>
      <c r="I562" s="53">
        <f t="shared" si="6"/>
      </c>
      <c r="J562" s="53">
        <f t="shared" si="7"/>
      </c>
      <c r="K562" s="53">
        <f t="shared" si="8"/>
      </c>
      <c r="L562" s="68">
        <f t="shared" si="9"/>
      </c>
      <c r="M562" s="56">
        <f t="shared" si="10"/>
      </c>
      <c r="N562" s="69">
        <f t="shared" si="11"/>
      </c>
      <c r="O562" s="22">
        <f t="shared" si="12"/>
      </c>
      <c r="P562" s="22">
        <f>IF(往来单位!$C$552="客户",1,0)</f>
        <v>0</v>
      </c>
      <c r="Q562" s="22">
        <f t="shared" si="13"/>
        <v>28</v>
      </c>
    </row>
    <row r="563">
      <c r="A563" s="56">
        <f>IF($B563="","",550)</f>
      </c>
      <c r="B563" s="66">
        <f>IF(550&gt;$Q$613,"",INDEX(往来单位!$B$4:$B$603,MATCH(550,$Q$14:$Q$613,0)))</f>
      </c>
      <c r="C563" s="67">
        <f t="shared" si="0"/>
      </c>
      <c r="D563" s="60">
        <f t="shared" si="1"/>
      </c>
      <c r="E563" s="53">
        <f t="shared" si="2"/>
      </c>
      <c r="F563" s="53">
        <f t="shared" si="3"/>
      </c>
      <c r="G563" s="53">
        <f t="shared" si="4"/>
      </c>
      <c r="H563" s="59">
        <f t="shared" si="5"/>
      </c>
      <c r="I563" s="53">
        <f t="shared" si="6"/>
      </c>
      <c r="J563" s="53">
        <f t="shared" si="7"/>
      </c>
      <c r="K563" s="53">
        <f t="shared" si="8"/>
      </c>
      <c r="L563" s="68">
        <f t="shared" si="9"/>
      </c>
      <c r="M563" s="56">
        <f t="shared" si="10"/>
      </c>
      <c r="N563" s="69">
        <f t="shared" si="11"/>
      </c>
      <c r="O563" s="22">
        <f t="shared" si="12"/>
      </c>
      <c r="P563" s="22">
        <f>IF(往来单位!$C$553="客户",1,0)</f>
        <v>0</v>
      </c>
      <c r="Q563" s="22">
        <f t="shared" si="13"/>
        <v>28</v>
      </c>
    </row>
    <row r="564">
      <c r="A564" s="56">
        <f>IF($B564="","",551)</f>
      </c>
      <c r="B564" s="66">
        <f>IF(551&gt;$Q$613,"",INDEX(往来单位!$B$4:$B$603,MATCH(551,$Q$14:$Q$613,0)))</f>
      </c>
      <c r="C564" s="67">
        <f t="shared" si="0"/>
      </c>
      <c r="D564" s="60">
        <f t="shared" si="1"/>
      </c>
      <c r="E564" s="53">
        <f t="shared" si="2"/>
      </c>
      <c r="F564" s="53">
        <f t="shared" si="3"/>
      </c>
      <c r="G564" s="53">
        <f t="shared" si="4"/>
      </c>
      <c r="H564" s="59">
        <f t="shared" si="5"/>
      </c>
      <c r="I564" s="53">
        <f t="shared" si="6"/>
      </c>
      <c r="J564" s="53">
        <f t="shared" si="7"/>
      </c>
      <c r="K564" s="53">
        <f t="shared" si="8"/>
      </c>
      <c r="L564" s="68">
        <f t="shared" si="9"/>
      </c>
      <c r="M564" s="56">
        <f t="shared" si="10"/>
      </c>
      <c r="N564" s="69">
        <f t="shared" si="11"/>
      </c>
      <c r="O564" s="22">
        <f t="shared" si="12"/>
      </c>
      <c r="P564" s="22">
        <f>IF(往来单位!$C$554="客户",1,0)</f>
        <v>0</v>
      </c>
      <c r="Q564" s="22">
        <f t="shared" si="13"/>
        <v>28</v>
      </c>
    </row>
    <row r="565">
      <c r="A565" s="56">
        <f>IF($B565="","",552)</f>
      </c>
      <c r="B565" s="66">
        <f>IF(552&gt;$Q$613,"",INDEX(往来单位!$B$4:$B$603,MATCH(552,$Q$14:$Q$613,0)))</f>
      </c>
      <c r="C565" s="67">
        <f t="shared" si="0"/>
      </c>
      <c r="D565" s="60">
        <f t="shared" si="1"/>
      </c>
      <c r="E565" s="53">
        <f t="shared" si="2"/>
      </c>
      <c r="F565" s="53">
        <f t="shared" si="3"/>
      </c>
      <c r="G565" s="53">
        <f t="shared" si="4"/>
      </c>
      <c r="H565" s="59">
        <f t="shared" si="5"/>
      </c>
      <c r="I565" s="53">
        <f t="shared" si="6"/>
      </c>
      <c r="J565" s="53">
        <f t="shared" si="7"/>
      </c>
      <c r="K565" s="53">
        <f t="shared" si="8"/>
      </c>
      <c r="L565" s="68">
        <f t="shared" si="9"/>
      </c>
      <c r="M565" s="56">
        <f t="shared" si="10"/>
      </c>
      <c r="N565" s="69">
        <f t="shared" si="11"/>
      </c>
      <c r="O565" s="22">
        <f t="shared" si="12"/>
      </c>
      <c r="P565" s="22">
        <f>IF(往来单位!$C$555="客户",1,0)</f>
        <v>0</v>
      </c>
      <c r="Q565" s="22">
        <f t="shared" si="13"/>
        <v>28</v>
      </c>
    </row>
    <row r="566">
      <c r="A566" s="56">
        <f>IF($B566="","",553)</f>
      </c>
      <c r="B566" s="66">
        <f>IF(553&gt;$Q$613,"",INDEX(往来单位!$B$4:$B$603,MATCH(553,$Q$14:$Q$613,0)))</f>
      </c>
      <c r="C566" s="67">
        <f t="shared" si="0"/>
      </c>
      <c r="D566" s="60">
        <f t="shared" si="1"/>
      </c>
      <c r="E566" s="53">
        <f t="shared" si="2"/>
      </c>
      <c r="F566" s="53">
        <f t="shared" si="3"/>
      </c>
      <c r="G566" s="53">
        <f t="shared" si="4"/>
      </c>
      <c r="H566" s="59">
        <f t="shared" si="5"/>
      </c>
      <c r="I566" s="53">
        <f t="shared" si="6"/>
      </c>
      <c r="J566" s="53">
        <f t="shared" si="7"/>
      </c>
      <c r="K566" s="53">
        <f t="shared" si="8"/>
      </c>
      <c r="L566" s="68">
        <f t="shared" si="9"/>
      </c>
      <c r="M566" s="56">
        <f t="shared" si="10"/>
      </c>
      <c r="N566" s="69">
        <f t="shared" si="11"/>
      </c>
      <c r="O566" s="22">
        <f t="shared" si="12"/>
      </c>
      <c r="P566" s="22">
        <f>IF(往来单位!$C$556="客户",1,0)</f>
        <v>0</v>
      </c>
      <c r="Q566" s="22">
        <f t="shared" si="13"/>
        <v>28</v>
      </c>
    </row>
    <row r="567">
      <c r="A567" s="56">
        <f>IF($B567="","",554)</f>
      </c>
      <c r="B567" s="66">
        <f>IF(554&gt;$Q$613,"",INDEX(往来单位!$B$4:$B$603,MATCH(554,$Q$14:$Q$613,0)))</f>
      </c>
      <c r="C567" s="67">
        <f t="shared" si="0"/>
      </c>
      <c r="D567" s="60">
        <f t="shared" si="1"/>
      </c>
      <c r="E567" s="53">
        <f t="shared" si="2"/>
      </c>
      <c r="F567" s="53">
        <f t="shared" si="3"/>
      </c>
      <c r="G567" s="53">
        <f t="shared" si="4"/>
      </c>
      <c r="H567" s="59">
        <f t="shared" si="5"/>
      </c>
      <c r="I567" s="53">
        <f t="shared" si="6"/>
      </c>
      <c r="J567" s="53">
        <f t="shared" si="7"/>
      </c>
      <c r="K567" s="53">
        <f t="shared" si="8"/>
      </c>
      <c r="L567" s="68">
        <f t="shared" si="9"/>
      </c>
      <c r="M567" s="56">
        <f t="shared" si="10"/>
      </c>
      <c r="N567" s="69">
        <f t="shared" si="11"/>
      </c>
      <c r="O567" s="22">
        <f t="shared" si="12"/>
      </c>
      <c r="P567" s="22">
        <f>IF(往来单位!$C$557="客户",1,0)</f>
        <v>0</v>
      </c>
      <c r="Q567" s="22">
        <f t="shared" si="13"/>
        <v>28</v>
      </c>
    </row>
    <row r="568">
      <c r="A568" s="56">
        <f>IF($B568="","",555)</f>
      </c>
      <c r="B568" s="66">
        <f>IF(555&gt;$Q$613,"",INDEX(往来单位!$B$4:$B$603,MATCH(555,$Q$14:$Q$613,0)))</f>
      </c>
      <c r="C568" s="67">
        <f t="shared" si="0"/>
      </c>
      <c r="D568" s="60">
        <f t="shared" si="1"/>
      </c>
      <c r="E568" s="53">
        <f t="shared" si="2"/>
      </c>
      <c r="F568" s="53">
        <f t="shared" si="3"/>
      </c>
      <c r="G568" s="53">
        <f t="shared" si="4"/>
      </c>
      <c r="H568" s="59">
        <f t="shared" si="5"/>
      </c>
      <c r="I568" s="53">
        <f t="shared" si="6"/>
      </c>
      <c r="J568" s="53">
        <f t="shared" si="7"/>
      </c>
      <c r="K568" s="53">
        <f t="shared" si="8"/>
      </c>
      <c r="L568" s="68">
        <f t="shared" si="9"/>
      </c>
      <c r="M568" s="56">
        <f t="shared" si="10"/>
      </c>
      <c r="N568" s="69">
        <f t="shared" si="11"/>
      </c>
      <c r="O568" s="22">
        <f t="shared" si="12"/>
      </c>
      <c r="P568" s="22">
        <f>IF(往来单位!$C$558="客户",1,0)</f>
        <v>0</v>
      </c>
      <c r="Q568" s="22">
        <f t="shared" si="13"/>
        <v>28</v>
      </c>
    </row>
    <row r="569">
      <c r="A569" s="56">
        <f>IF($B569="","",556)</f>
      </c>
      <c r="B569" s="66">
        <f>IF(556&gt;$Q$613,"",INDEX(往来单位!$B$4:$B$603,MATCH(556,$Q$14:$Q$613,0)))</f>
      </c>
      <c r="C569" s="67">
        <f t="shared" si="0"/>
      </c>
      <c r="D569" s="60">
        <f t="shared" si="1"/>
      </c>
      <c r="E569" s="53">
        <f t="shared" si="2"/>
      </c>
      <c r="F569" s="53">
        <f t="shared" si="3"/>
      </c>
      <c r="G569" s="53">
        <f t="shared" si="4"/>
      </c>
      <c r="H569" s="59">
        <f t="shared" si="5"/>
      </c>
      <c r="I569" s="53">
        <f t="shared" si="6"/>
      </c>
      <c r="J569" s="53">
        <f t="shared" si="7"/>
      </c>
      <c r="K569" s="53">
        <f t="shared" si="8"/>
      </c>
      <c r="L569" s="68">
        <f t="shared" si="9"/>
      </c>
      <c r="M569" s="56">
        <f t="shared" si="10"/>
      </c>
      <c r="N569" s="69">
        <f t="shared" si="11"/>
      </c>
      <c r="O569" s="22">
        <f t="shared" si="12"/>
      </c>
      <c r="P569" s="22">
        <f>IF(往来单位!$C$559="客户",1,0)</f>
        <v>0</v>
      </c>
      <c r="Q569" s="22">
        <f t="shared" si="13"/>
        <v>28</v>
      </c>
    </row>
    <row r="570">
      <c r="A570" s="56">
        <f>IF($B570="","",557)</f>
      </c>
      <c r="B570" s="66">
        <f>IF(557&gt;$Q$613,"",INDEX(往来单位!$B$4:$B$603,MATCH(557,$Q$14:$Q$613,0)))</f>
      </c>
      <c r="C570" s="67">
        <f t="shared" si="0"/>
      </c>
      <c r="D570" s="60">
        <f t="shared" si="1"/>
      </c>
      <c r="E570" s="53">
        <f t="shared" si="2"/>
      </c>
      <c r="F570" s="53">
        <f t="shared" si="3"/>
      </c>
      <c r="G570" s="53">
        <f t="shared" si="4"/>
      </c>
      <c r="H570" s="59">
        <f t="shared" si="5"/>
      </c>
      <c r="I570" s="53">
        <f t="shared" si="6"/>
      </c>
      <c r="J570" s="53">
        <f t="shared" si="7"/>
      </c>
      <c r="K570" s="53">
        <f t="shared" si="8"/>
      </c>
      <c r="L570" s="68">
        <f t="shared" si="9"/>
      </c>
      <c r="M570" s="56">
        <f t="shared" si="10"/>
      </c>
      <c r="N570" s="69">
        <f t="shared" si="11"/>
      </c>
      <c r="O570" s="22">
        <f t="shared" si="12"/>
      </c>
      <c r="P570" s="22">
        <f>IF(往来单位!$C$560="客户",1,0)</f>
        <v>0</v>
      </c>
      <c r="Q570" s="22">
        <f t="shared" si="13"/>
        <v>28</v>
      </c>
    </row>
    <row r="571">
      <c r="A571" s="56">
        <f>IF($B571="","",558)</f>
      </c>
      <c r="B571" s="66">
        <f>IF(558&gt;$Q$613,"",INDEX(往来单位!$B$4:$B$603,MATCH(558,$Q$14:$Q$613,0)))</f>
      </c>
      <c r="C571" s="67">
        <f t="shared" si="0"/>
      </c>
      <c r="D571" s="60">
        <f t="shared" si="1"/>
      </c>
      <c r="E571" s="53">
        <f t="shared" si="2"/>
      </c>
      <c r="F571" s="53">
        <f t="shared" si="3"/>
      </c>
      <c r="G571" s="53">
        <f t="shared" si="4"/>
      </c>
      <c r="H571" s="59">
        <f t="shared" si="5"/>
      </c>
      <c r="I571" s="53">
        <f t="shared" si="6"/>
      </c>
      <c r="J571" s="53">
        <f t="shared" si="7"/>
      </c>
      <c r="K571" s="53">
        <f t="shared" si="8"/>
      </c>
      <c r="L571" s="68">
        <f t="shared" si="9"/>
      </c>
      <c r="M571" s="56">
        <f t="shared" si="10"/>
      </c>
      <c r="N571" s="69">
        <f t="shared" si="11"/>
      </c>
      <c r="O571" s="22">
        <f t="shared" si="12"/>
      </c>
      <c r="P571" s="22">
        <f>IF(往来单位!$C$561="客户",1,0)</f>
        <v>0</v>
      </c>
      <c r="Q571" s="22">
        <f t="shared" si="13"/>
        <v>28</v>
      </c>
    </row>
    <row r="572">
      <c r="A572" s="56">
        <f>IF($B572="","",559)</f>
      </c>
      <c r="B572" s="66">
        <f>IF(559&gt;$Q$613,"",INDEX(往来单位!$B$4:$B$603,MATCH(559,$Q$14:$Q$613,0)))</f>
      </c>
      <c r="C572" s="67">
        <f t="shared" si="0"/>
      </c>
      <c r="D572" s="60">
        <f t="shared" si="1"/>
      </c>
      <c r="E572" s="53">
        <f t="shared" si="2"/>
      </c>
      <c r="F572" s="53">
        <f t="shared" si="3"/>
      </c>
      <c r="G572" s="53">
        <f t="shared" si="4"/>
      </c>
      <c r="H572" s="59">
        <f t="shared" si="5"/>
      </c>
      <c r="I572" s="53">
        <f t="shared" si="6"/>
      </c>
      <c r="J572" s="53">
        <f t="shared" si="7"/>
      </c>
      <c r="K572" s="53">
        <f t="shared" si="8"/>
      </c>
      <c r="L572" s="68">
        <f t="shared" si="9"/>
      </c>
      <c r="M572" s="56">
        <f t="shared" si="10"/>
      </c>
      <c r="N572" s="69">
        <f t="shared" si="11"/>
      </c>
      <c r="O572" s="22">
        <f t="shared" si="12"/>
      </c>
      <c r="P572" s="22">
        <f>IF(往来单位!$C$562="客户",1,0)</f>
        <v>0</v>
      </c>
      <c r="Q572" s="22">
        <f t="shared" si="13"/>
        <v>28</v>
      </c>
    </row>
    <row r="573">
      <c r="A573" s="56">
        <f>IF($B573="","",560)</f>
      </c>
      <c r="B573" s="66">
        <f>IF(560&gt;$Q$613,"",INDEX(往来单位!$B$4:$B$603,MATCH(560,$Q$14:$Q$613,0)))</f>
      </c>
      <c r="C573" s="67">
        <f t="shared" si="0"/>
      </c>
      <c r="D573" s="60">
        <f t="shared" si="1"/>
      </c>
      <c r="E573" s="53">
        <f t="shared" si="2"/>
      </c>
      <c r="F573" s="53">
        <f t="shared" si="3"/>
      </c>
      <c r="G573" s="53">
        <f t="shared" si="4"/>
      </c>
      <c r="H573" s="59">
        <f t="shared" si="5"/>
      </c>
      <c r="I573" s="53">
        <f t="shared" si="6"/>
      </c>
      <c r="J573" s="53">
        <f t="shared" si="7"/>
      </c>
      <c r="K573" s="53">
        <f t="shared" si="8"/>
      </c>
      <c r="L573" s="68">
        <f t="shared" si="9"/>
      </c>
      <c r="M573" s="56">
        <f t="shared" si="10"/>
      </c>
      <c r="N573" s="69">
        <f t="shared" si="11"/>
      </c>
      <c r="O573" s="22">
        <f t="shared" si="12"/>
      </c>
      <c r="P573" s="22">
        <f>IF(往来单位!$C$563="客户",1,0)</f>
        <v>0</v>
      </c>
      <c r="Q573" s="22">
        <f t="shared" si="13"/>
        <v>28</v>
      </c>
    </row>
    <row r="574">
      <c r="A574" s="56">
        <f>IF($B574="","",561)</f>
      </c>
      <c r="B574" s="66">
        <f>IF(561&gt;$Q$613,"",INDEX(往来单位!$B$4:$B$603,MATCH(561,$Q$14:$Q$613,0)))</f>
      </c>
      <c r="C574" s="67">
        <f t="shared" si="0"/>
      </c>
      <c r="D574" s="60">
        <f t="shared" si="1"/>
      </c>
      <c r="E574" s="53">
        <f t="shared" si="2"/>
      </c>
      <c r="F574" s="53">
        <f t="shared" si="3"/>
      </c>
      <c r="G574" s="53">
        <f t="shared" si="4"/>
      </c>
      <c r="H574" s="59">
        <f t="shared" si="5"/>
      </c>
      <c r="I574" s="53">
        <f t="shared" si="6"/>
      </c>
      <c r="J574" s="53">
        <f t="shared" si="7"/>
      </c>
      <c r="K574" s="53">
        <f t="shared" si="8"/>
      </c>
      <c r="L574" s="68">
        <f t="shared" si="9"/>
      </c>
      <c r="M574" s="56">
        <f t="shared" si="10"/>
      </c>
      <c r="N574" s="69">
        <f t="shared" si="11"/>
      </c>
      <c r="O574" s="22">
        <f t="shared" si="12"/>
      </c>
      <c r="P574" s="22">
        <f>IF(往来单位!$C$564="客户",1,0)</f>
        <v>0</v>
      </c>
      <c r="Q574" s="22">
        <f t="shared" si="13"/>
        <v>28</v>
      </c>
    </row>
    <row r="575">
      <c r="A575" s="56">
        <f>IF($B575="","",562)</f>
      </c>
      <c r="B575" s="66">
        <f>IF(562&gt;$Q$613,"",INDEX(往来单位!$B$4:$B$603,MATCH(562,$Q$14:$Q$613,0)))</f>
      </c>
      <c r="C575" s="67">
        <f t="shared" si="0"/>
      </c>
      <c r="D575" s="60">
        <f t="shared" si="1"/>
      </c>
      <c r="E575" s="53">
        <f t="shared" si="2"/>
      </c>
      <c r="F575" s="53">
        <f t="shared" si="3"/>
      </c>
      <c r="G575" s="53">
        <f t="shared" si="4"/>
      </c>
      <c r="H575" s="59">
        <f t="shared" si="5"/>
      </c>
      <c r="I575" s="53">
        <f t="shared" si="6"/>
      </c>
      <c r="J575" s="53">
        <f t="shared" si="7"/>
      </c>
      <c r="K575" s="53">
        <f t="shared" si="8"/>
      </c>
      <c r="L575" s="68">
        <f t="shared" si="9"/>
      </c>
      <c r="M575" s="56">
        <f t="shared" si="10"/>
      </c>
      <c r="N575" s="69">
        <f t="shared" si="11"/>
      </c>
      <c r="O575" s="22">
        <f t="shared" si="12"/>
      </c>
      <c r="P575" s="22">
        <f>IF(往来单位!$C$565="客户",1,0)</f>
        <v>0</v>
      </c>
      <c r="Q575" s="22">
        <f t="shared" si="13"/>
        <v>28</v>
      </c>
    </row>
    <row r="576">
      <c r="A576" s="56">
        <f>IF($B576="","",563)</f>
      </c>
      <c r="B576" s="66">
        <f>IF(563&gt;$Q$613,"",INDEX(往来单位!$B$4:$B$603,MATCH(563,$Q$14:$Q$613,0)))</f>
      </c>
      <c r="C576" s="67">
        <f t="shared" si="0"/>
      </c>
      <c r="D576" s="60">
        <f t="shared" si="1"/>
      </c>
      <c r="E576" s="53">
        <f t="shared" si="2"/>
      </c>
      <c r="F576" s="53">
        <f t="shared" si="3"/>
      </c>
      <c r="G576" s="53">
        <f t="shared" si="4"/>
      </c>
      <c r="H576" s="59">
        <f t="shared" si="5"/>
      </c>
      <c r="I576" s="53">
        <f t="shared" si="6"/>
      </c>
      <c r="J576" s="53">
        <f t="shared" si="7"/>
      </c>
      <c r="K576" s="53">
        <f t="shared" si="8"/>
      </c>
      <c r="L576" s="68">
        <f t="shared" si="9"/>
      </c>
      <c r="M576" s="56">
        <f t="shared" si="10"/>
      </c>
      <c r="N576" s="69">
        <f t="shared" si="11"/>
      </c>
      <c r="O576" s="22">
        <f t="shared" si="12"/>
      </c>
      <c r="P576" s="22">
        <f>IF(往来单位!$C$566="客户",1,0)</f>
        <v>0</v>
      </c>
      <c r="Q576" s="22">
        <f t="shared" si="13"/>
        <v>28</v>
      </c>
    </row>
    <row r="577">
      <c r="A577" s="56">
        <f>IF($B577="","",564)</f>
      </c>
      <c r="B577" s="66">
        <f>IF(564&gt;$Q$613,"",INDEX(往来单位!$B$4:$B$603,MATCH(564,$Q$14:$Q$613,0)))</f>
      </c>
      <c r="C577" s="67">
        <f t="shared" si="0"/>
      </c>
      <c r="D577" s="60">
        <f t="shared" si="1"/>
      </c>
      <c r="E577" s="53">
        <f t="shared" si="2"/>
      </c>
      <c r="F577" s="53">
        <f t="shared" si="3"/>
      </c>
      <c r="G577" s="53">
        <f t="shared" si="4"/>
      </c>
      <c r="H577" s="59">
        <f t="shared" si="5"/>
      </c>
      <c r="I577" s="53">
        <f t="shared" si="6"/>
      </c>
      <c r="J577" s="53">
        <f t="shared" si="7"/>
      </c>
      <c r="K577" s="53">
        <f t="shared" si="8"/>
      </c>
      <c r="L577" s="68">
        <f t="shared" si="9"/>
      </c>
      <c r="M577" s="56">
        <f t="shared" si="10"/>
      </c>
      <c r="N577" s="69">
        <f t="shared" si="11"/>
      </c>
      <c r="O577" s="22">
        <f t="shared" si="12"/>
      </c>
      <c r="P577" s="22">
        <f>IF(往来单位!$C$567="客户",1,0)</f>
        <v>0</v>
      </c>
      <c r="Q577" s="22">
        <f t="shared" si="13"/>
        <v>28</v>
      </c>
    </row>
    <row r="578">
      <c r="A578" s="56">
        <f>IF($B578="","",565)</f>
      </c>
      <c r="B578" s="66">
        <f>IF(565&gt;$Q$613,"",INDEX(往来单位!$B$4:$B$603,MATCH(565,$Q$14:$Q$613,0)))</f>
      </c>
      <c r="C578" s="67">
        <f t="shared" si="0"/>
      </c>
      <c r="D578" s="60">
        <f t="shared" si="1"/>
      </c>
      <c r="E578" s="53">
        <f t="shared" si="2"/>
      </c>
      <c r="F578" s="53">
        <f t="shared" si="3"/>
      </c>
      <c r="G578" s="53">
        <f t="shared" si="4"/>
      </c>
      <c r="H578" s="59">
        <f t="shared" si="5"/>
      </c>
      <c r="I578" s="53">
        <f t="shared" si="6"/>
      </c>
      <c r="J578" s="53">
        <f t="shared" si="7"/>
      </c>
      <c r="K578" s="53">
        <f t="shared" si="8"/>
      </c>
      <c r="L578" s="68">
        <f t="shared" si="9"/>
      </c>
      <c r="M578" s="56">
        <f t="shared" si="10"/>
      </c>
      <c r="N578" s="69">
        <f t="shared" si="11"/>
      </c>
      <c r="O578" s="22">
        <f t="shared" si="12"/>
      </c>
      <c r="P578" s="22">
        <f>IF(往来单位!$C$568="客户",1,0)</f>
        <v>0</v>
      </c>
      <c r="Q578" s="22">
        <f t="shared" si="13"/>
        <v>28</v>
      </c>
    </row>
    <row r="579">
      <c r="A579" s="56">
        <f>IF($B579="","",566)</f>
      </c>
      <c r="B579" s="66">
        <f>IF(566&gt;$Q$613,"",INDEX(往来单位!$B$4:$B$603,MATCH(566,$Q$14:$Q$613,0)))</f>
      </c>
      <c r="C579" s="67">
        <f t="shared" si="0"/>
      </c>
      <c r="D579" s="60">
        <f t="shared" si="1"/>
      </c>
      <c r="E579" s="53">
        <f t="shared" si="2"/>
      </c>
      <c r="F579" s="53">
        <f t="shared" si="3"/>
      </c>
      <c r="G579" s="53">
        <f t="shared" si="4"/>
      </c>
      <c r="H579" s="59">
        <f t="shared" si="5"/>
      </c>
      <c r="I579" s="53">
        <f t="shared" si="6"/>
      </c>
      <c r="J579" s="53">
        <f t="shared" si="7"/>
      </c>
      <c r="K579" s="53">
        <f t="shared" si="8"/>
      </c>
      <c r="L579" s="68">
        <f t="shared" si="9"/>
      </c>
      <c r="M579" s="56">
        <f t="shared" si="10"/>
      </c>
      <c r="N579" s="69">
        <f t="shared" si="11"/>
      </c>
      <c r="O579" s="22">
        <f t="shared" si="12"/>
      </c>
      <c r="P579" s="22">
        <f>IF(往来单位!$C$569="客户",1,0)</f>
        <v>0</v>
      </c>
      <c r="Q579" s="22">
        <f t="shared" si="13"/>
        <v>28</v>
      </c>
    </row>
    <row r="580">
      <c r="A580" s="56">
        <f>IF($B580="","",567)</f>
      </c>
      <c r="B580" s="66">
        <f>IF(567&gt;$Q$613,"",INDEX(往来单位!$B$4:$B$603,MATCH(567,$Q$14:$Q$613,0)))</f>
      </c>
      <c r="C580" s="67">
        <f t="shared" si="0"/>
      </c>
      <c r="D580" s="60">
        <f t="shared" si="1"/>
      </c>
      <c r="E580" s="53">
        <f t="shared" si="2"/>
      </c>
      <c r="F580" s="53">
        <f t="shared" si="3"/>
      </c>
      <c r="G580" s="53">
        <f t="shared" si="4"/>
      </c>
      <c r="H580" s="59">
        <f t="shared" si="5"/>
      </c>
      <c r="I580" s="53">
        <f t="shared" si="6"/>
      </c>
      <c r="J580" s="53">
        <f t="shared" si="7"/>
      </c>
      <c r="K580" s="53">
        <f t="shared" si="8"/>
      </c>
      <c r="L580" s="68">
        <f t="shared" si="9"/>
      </c>
      <c r="M580" s="56">
        <f t="shared" si="10"/>
      </c>
      <c r="N580" s="69">
        <f t="shared" si="11"/>
      </c>
      <c r="O580" s="22">
        <f t="shared" si="12"/>
      </c>
      <c r="P580" s="22">
        <f>IF(往来单位!$C$570="客户",1,0)</f>
        <v>0</v>
      </c>
      <c r="Q580" s="22">
        <f t="shared" si="13"/>
        <v>28</v>
      </c>
    </row>
    <row r="581">
      <c r="A581" s="56">
        <f>IF($B581="","",568)</f>
      </c>
      <c r="B581" s="66">
        <f>IF(568&gt;$Q$613,"",INDEX(往来单位!$B$4:$B$603,MATCH(568,$Q$14:$Q$613,0)))</f>
      </c>
      <c r="C581" s="67">
        <f t="shared" si="0"/>
      </c>
      <c r="D581" s="60">
        <f t="shared" si="1"/>
      </c>
      <c r="E581" s="53">
        <f t="shared" si="2"/>
      </c>
      <c r="F581" s="53">
        <f t="shared" si="3"/>
      </c>
      <c r="G581" s="53">
        <f t="shared" si="4"/>
      </c>
      <c r="H581" s="59">
        <f t="shared" si="5"/>
      </c>
      <c r="I581" s="53">
        <f t="shared" si="6"/>
      </c>
      <c r="J581" s="53">
        <f t="shared" si="7"/>
      </c>
      <c r="K581" s="53">
        <f t="shared" si="8"/>
      </c>
      <c r="L581" s="68">
        <f t="shared" si="9"/>
      </c>
      <c r="M581" s="56">
        <f t="shared" si="10"/>
      </c>
      <c r="N581" s="69">
        <f t="shared" si="11"/>
      </c>
      <c r="O581" s="22">
        <f t="shared" si="12"/>
      </c>
      <c r="P581" s="22">
        <f>IF(往来单位!$C$571="客户",1,0)</f>
        <v>0</v>
      </c>
      <c r="Q581" s="22">
        <f t="shared" si="13"/>
        <v>28</v>
      </c>
    </row>
    <row r="582">
      <c r="A582" s="56">
        <f>IF($B582="","",569)</f>
      </c>
      <c r="B582" s="66">
        <f>IF(569&gt;$Q$613,"",INDEX(往来单位!$B$4:$B$603,MATCH(569,$Q$14:$Q$613,0)))</f>
      </c>
      <c r="C582" s="67">
        <f t="shared" si="0"/>
      </c>
      <c r="D582" s="60">
        <f t="shared" si="1"/>
      </c>
      <c r="E582" s="53">
        <f t="shared" si="2"/>
      </c>
      <c r="F582" s="53">
        <f t="shared" si="3"/>
      </c>
      <c r="G582" s="53">
        <f t="shared" si="4"/>
      </c>
      <c r="H582" s="59">
        <f t="shared" si="5"/>
      </c>
      <c r="I582" s="53">
        <f t="shared" si="6"/>
      </c>
      <c r="J582" s="53">
        <f t="shared" si="7"/>
      </c>
      <c r="K582" s="53">
        <f t="shared" si="8"/>
      </c>
      <c r="L582" s="68">
        <f t="shared" si="9"/>
      </c>
      <c r="M582" s="56">
        <f t="shared" si="10"/>
      </c>
      <c r="N582" s="69">
        <f t="shared" si="11"/>
      </c>
      <c r="O582" s="22">
        <f t="shared" si="12"/>
      </c>
      <c r="P582" s="22">
        <f>IF(往来单位!$C$572="客户",1,0)</f>
        <v>0</v>
      </c>
      <c r="Q582" s="22">
        <f t="shared" si="13"/>
        <v>28</v>
      </c>
    </row>
    <row r="583">
      <c r="A583" s="56">
        <f>IF($B583="","",570)</f>
      </c>
      <c r="B583" s="66">
        <f>IF(570&gt;$Q$613,"",INDEX(往来单位!$B$4:$B$603,MATCH(570,$Q$14:$Q$613,0)))</f>
      </c>
      <c r="C583" s="67">
        <f t="shared" si="0"/>
      </c>
      <c r="D583" s="60">
        <f t="shared" si="1"/>
      </c>
      <c r="E583" s="53">
        <f t="shared" si="2"/>
      </c>
      <c r="F583" s="53">
        <f t="shared" si="3"/>
      </c>
      <c r="G583" s="53">
        <f t="shared" si="4"/>
      </c>
      <c r="H583" s="59">
        <f t="shared" si="5"/>
      </c>
      <c r="I583" s="53">
        <f t="shared" si="6"/>
      </c>
      <c r="J583" s="53">
        <f t="shared" si="7"/>
      </c>
      <c r="K583" s="53">
        <f t="shared" si="8"/>
      </c>
      <c r="L583" s="68">
        <f t="shared" si="9"/>
      </c>
      <c r="M583" s="56">
        <f t="shared" si="10"/>
      </c>
      <c r="N583" s="69">
        <f t="shared" si="11"/>
      </c>
      <c r="O583" s="22">
        <f t="shared" si="12"/>
      </c>
      <c r="P583" s="22">
        <f>IF(往来单位!$C$573="客户",1,0)</f>
        <v>0</v>
      </c>
      <c r="Q583" s="22">
        <f t="shared" si="13"/>
        <v>28</v>
      </c>
    </row>
    <row r="584">
      <c r="A584" s="56">
        <f>IF($B584="","",571)</f>
      </c>
      <c r="B584" s="66">
        <f>IF(571&gt;$Q$613,"",INDEX(往来单位!$B$4:$B$603,MATCH(571,$Q$14:$Q$613,0)))</f>
      </c>
      <c r="C584" s="67">
        <f t="shared" si="0"/>
      </c>
      <c r="D584" s="60">
        <f t="shared" si="1"/>
      </c>
      <c r="E584" s="53">
        <f t="shared" si="2"/>
      </c>
      <c r="F584" s="53">
        <f t="shared" si="3"/>
      </c>
      <c r="G584" s="53">
        <f t="shared" si="4"/>
      </c>
      <c r="H584" s="59">
        <f t="shared" si="5"/>
      </c>
      <c r="I584" s="53">
        <f t="shared" si="6"/>
      </c>
      <c r="J584" s="53">
        <f t="shared" si="7"/>
      </c>
      <c r="K584" s="53">
        <f t="shared" si="8"/>
      </c>
      <c r="L584" s="68">
        <f t="shared" si="9"/>
      </c>
      <c r="M584" s="56">
        <f t="shared" si="10"/>
      </c>
      <c r="N584" s="69">
        <f t="shared" si="11"/>
      </c>
      <c r="O584" s="22">
        <f t="shared" si="12"/>
      </c>
      <c r="P584" s="22">
        <f>IF(往来单位!$C$574="客户",1,0)</f>
        <v>0</v>
      </c>
      <c r="Q584" s="22">
        <f t="shared" si="13"/>
        <v>28</v>
      </c>
    </row>
    <row r="585">
      <c r="A585" s="56">
        <f>IF($B585="","",572)</f>
      </c>
      <c r="B585" s="66">
        <f>IF(572&gt;$Q$613,"",INDEX(往来单位!$B$4:$B$603,MATCH(572,$Q$14:$Q$613,0)))</f>
      </c>
      <c r="C585" s="67">
        <f t="shared" si="0"/>
      </c>
      <c r="D585" s="60">
        <f t="shared" si="1"/>
      </c>
      <c r="E585" s="53">
        <f t="shared" si="2"/>
      </c>
      <c r="F585" s="53">
        <f t="shared" si="3"/>
      </c>
      <c r="G585" s="53">
        <f t="shared" si="4"/>
      </c>
      <c r="H585" s="59">
        <f t="shared" si="5"/>
      </c>
      <c r="I585" s="53">
        <f t="shared" si="6"/>
      </c>
      <c r="J585" s="53">
        <f t="shared" si="7"/>
      </c>
      <c r="K585" s="53">
        <f t="shared" si="8"/>
      </c>
      <c r="L585" s="68">
        <f t="shared" si="9"/>
      </c>
      <c r="M585" s="56">
        <f t="shared" si="10"/>
      </c>
      <c r="N585" s="69">
        <f t="shared" si="11"/>
      </c>
      <c r="O585" s="22">
        <f t="shared" si="12"/>
      </c>
      <c r="P585" s="22">
        <f>IF(往来单位!$C$575="客户",1,0)</f>
        <v>0</v>
      </c>
      <c r="Q585" s="22">
        <f t="shared" si="13"/>
        <v>28</v>
      </c>
    </row>
    <row r="586">
      <c r="A586" s="56">
        <f>IF($B586="","",573)</f>
      </c>
      <c r="B586" s="66">
        <f>IF(573&gt;$Q$613,"",INDEX(往来单位!$B$4:$B$603,MATCH(573,$Q$14:$Q$613,0)))</f>
      </c>
      <c r="C586" s="67">
        <f t="shared" si="0"/>
      </c>
      <c r="D586" s="60">
        <f t="shared" si="1"/>
      </c>
      <c r="E586" s="53">
        <f t="shared" si="2"/>
      </c>
      <c r="F586" s="53">
        <f t="shared" si="3"/>
      </c>
      <c r="G586" s="53">
        <f t="shared" si="4"/>
      </c>
      <c r="H586" s="59">
        <f t="shared" si="5"/>
      </c>
      <c r="I586" s="53">
        <f t="shared" si="6"/>
      </c>
      <c r="J586" s="53">
        <f t="shared" si="7"/>
      </c>
      <c r="K586" s="53">
        <f t="shared" si="8"/>
      </c>
      <c r="L586" s="68">
        <f t="shared" si="9"/>
      </c>
      <c r="M586" s="56">
        <f t="shared" si="10"/>
      </c>
      <c r="N586" s="69">
        <f t="shared" si="11"/>
      </c>
      <c r="O586" s="22">
        <f t="shared" si="12"/>
      </c>
      <c r="P586" s="22">
        <f>IF(往来单位!$C$576="客户",1,0)</f>
        <v>0</v>
      </c>
      <c r="Q586" s="22">
        <f t="shared" si="13"/>
        <v>28</v>
      </c>
    </row>
    <row r="587">
      <c r="A587" s="56">
        <f>IF($B587="","",574)</f>
      </c>
      <c r="B587" s="66">
        <f>IF(574&gt;$Q$613,"",INDEX(往来单位!$B$4:$B$603,MATCH(574,$Q$14:$Q$613,0)))</f>
      </c>
      <c r="C587" s="67">
        <f t="shared" si="0"/>
      </c>
      <c r="D587" s="60">
        <f t="shared" si="1"/>
      </c>
      <c r="E587" s="53">
        <f t="shared" si="2"/>
      </c>
      <c r="F587" s="53">
        <f t="shared" si="3"/>
      </c>
      <c r="G587" s="53">
        <f t="shared" si="4"/>
      </c>
      <c r="H587" s="59">
        <f t="shared" si="5"/>
      </c>
      <c r="I587" s="53">
        <f t="shared" si="6"/>
      </c>
      <c r="J587" s="53">
        <f t="shared" si="7"/>
      </c>
      <c r="K587" s="53">
        <f t="shared" si="8"/>
      </c>
      <c r="L587" s="68">
        <f t="shared" si="9"/>
      </c>
      <c r="M587" s="56">
        <f t="shared" si="10"/>
      </c>
      <c r="N587" s="69">
        <f t="shared" si="11"/>
      </c>
      <c r="O587" s="22">
        <f t="shared" si="12"/>
      </c>
      <c r="P587" s="22">
        <f>IF(往来单位!$C$577="客户",1,0)</f>
        <v>0</v>
      </c>
      <c r="Q587" s="22">
        <f t="shared" si="13"/>
        <v>28</v>
      </c>
    </row>
    <row r="588">
      <c r="A588" s="56">
        <f>IF($B588="","",575)</f>
      </c>
      <c r="B588" s="66">
        <f>IF(575&gt;$Q$613,"",INDEX(往来单位!$B$4:$B$603,MATCH(575,$Q$14:$Q$613,0)))</f>
      </c>
      <c r="C588" s="67">
        <f t="shared" si="0"/>
      </c>
      <c r="D588" s="60">
        <f t="shared" si="1"/>
      </c>
      <c r="E588" s="53">
        <f t="shared" si="2"/>
      </c>
      <c r="F588" s="53">
        <f t="shared" si="3"/>
      </c>
      <c r="G588" s="53">
        <f t="shared" si="4"/>
      </c>
      <c r="H588" s="59">
        <f t="shared" si="5"/>
      </c>
      <c r="I588" s="53">
        <f t="shared" si="6"/>
      </c>
      <c r="J588" s="53">
        <f t="shared" si="7"/>
      </c>
      <c r="K588" s="53">
        <f t="shared" si="8"/>
      </c>
      <c r="L588" s="68">
        <f t="shared" si="9"/>
      </c>
      <c r="M588" s="56">
        <f t="shared" si="10"/>
      </c>
      <c r="N588" s="69">
        <f t="shared" si="11"/>
      </c>
      <c r="O588" s="22">
        <f t="shared" si="12"/>
      </c>
      <c r="P588" s="22">
        <f>IF(往来单位!$C$578="客户",1,0)</f>
        <v>0</v>
      </c>
      <c r="Q588" s="22">
        <f t="shared" si="13"/>
        <v>28</v>
      </c>
    </row>
    <row r="589">
      <c r="A589" s="56">
        <f>IF($B589="","",576)</f>
      </c>
      <c r="B589" s="66">
        <f>IF(576&gt;$Q$613,"",INDEX(往来单位!$B$4:$B$603,MATCH(576,$Q$14:$Q$613,0)))</f>
      </c>
      <c r="C589" s="67">
        <f t="shared" si="0"/>
      </c>
      <c r="D589" s="60">
        <f t="shared" si="1"/>
      </c>
      <c r="E589" s="53">
        <f t="shared" si="2"/>
      </c>
      <c r="F589" s="53">
        <f t="shared" si="3"/>
      </c>
      <c r="G589" s="53">
        <f t="shared" si="4"/>
      </c>
      <c r="H589" s="59">
        <f t="shared" si="5"/>
      </c>
      <c r="I589" s="53">
        <f t="shared" si="6"/>
      </c>
      <c r="J589" s="53">
        <f t="shared" si="7"/>
      </c>
      <c r="K589" s="53">
        <f t="shared" si="8"/>
      </c>
      <c r="L589" s="68">
        <f t="shared" si="9"/>
      </c>
      <c r="M589" s="56">
        <f t="shared" si="10"/>
      </c>
      <c r="N589" s="69">
        <f t="shared" si="11"/>
      </c>
      <c r="O589" s="22">
        <f t="shared" si="12"/>
      </c>
      <c r="P589" s="22">
        <f>IF(往来单位!$C$579="客户",1,0)</f>
        <v>0</v>
      </c>
      <c r="Q589" s="22">
        <f t="shared" si="13"/>
        <v>28</v>
      </c>
    </row>
    <row r="590">
      <c r="A590" s="56">
        <f>IF($B590="","",577)</f>
      </c>
      <c r="B590" s="66">
        <f>IF(577&gt;$Q$613,"",INDEX(往来单位!$B$4:$B$603,MATCH(577,$Q$14:$Q$613,0)))</f>
      </c>
      <c r="C590" s="67">
        <f t="shared" si="0"/>
      </c>
      <c r="D590" s="60">
        <f t="shared" si="1"/>
      </c>
      <c r="E590" s="53">
        <f t="shared" si="2"/>
      </c>
      <c r="F590" s="53">
        <f t="shared" si="3"/>
      </c>
      <c r="G590" s="53">
        <f t="shared" si="4"/>
      </c>
      <c r="H590" s="59">
        <f t="shared" si="5"/>
      </c>
      <c r="I590" s="53">
        <f t="shared" si="6"/>
      </c>
      <c r="J590" s="53">
        <f t="shared" si="7"/>
      </c>
      <c r="K590" s="53">
        <f t="shared" si="8"/>
      </c>
      <c r="L590" s="68">
        <f t="shared" si="9"/>
      </c>
      <c r="M590" s="56">
        <f t="shared" si="10"/>
      </c>
      <c r="N590" s="69">
        <f t="shared" si="11"/>
      </c>
      <c r="O590" s="22">
        <f t="shared" si="12"/>
      </c>
      <c r="P590" s="22">
        <f>IF(往来单位!$C$580="客户",1,0)</f>
        <v>0</v>
      </c>
      <c r="Q590" s="22">
        <f t="shared" si="13"/>
        <v>28</v>
      </c>
    </row>
    <row r="591">
      <c r="A591" s="56">
        <f>IF($B591="","",578)</f>
      </c>
      <c r="B591" s="66">
        <f>IF(578&gt;$Q$613,"",INDEX(往来单位!$B$4:$B$603,MATCH(578,$Q$14:$Q$613,0)))</f>
      </c>
      <c r="C591" s="67">
        <f t="shared" si="0"/>
      </c>
      <c r="D591" s="60">
        <f t="shared" si="1"/>
      </c>
      <c r="E591" s="53">
        <f t="shared" si="2"/>
      </c>
      <c r="F591" s="53">
        <f t="shared" si="3"/>
      </c>
      <c r="G591" s="53">
        <f t="shared" si="4"/>
      </c>
      <c r="H591" s="59">
        <f t="shared" si="5"/>
      </c>
      <c r="I591" s="53">
        <f t="shared" si="6"/>
      </c>
      <c r="J591" s="53">
        <f t="shared" si="7"/>
      </c>
      <c r="K591" s="53">
        <f t="shared" si="8"/>
      </c>
      <c r="L591" s="68">
        <f t="shared" si="9"/>
      </c>
      <c r="M591" s="56">
        <f t="shared" si="10"/>
      </c>
      <c r="N591" s="69">
        <f t="shared" si="11"/>
      </c>
      <c r="O591" s="22">
        <f t="shared" si="12"/>
      </c>
      <c r="P591" s="22">
        <f>IF(往来单位!$C$581="客户",1,0)</f>
        <v>0</v>
      </c>
      <c r="Q591" s="22">
        <f t="shared" si="13"/>
        <v>28</v>
      </c>
    </row>
    <row r="592">
      <c r="A592" s="56">
        <f>IF($B592="","",579)</f>
      </c>
      <c r="B592" s="66">
        <f>IF(579&gt;$Q$613,"",INDEX(往来单位!$B$4:$B$603,MATCH(579,$Q$14:$Q$613,0)))</f>
      </c>
      <c r="C592" s="67">
        <f t="shared" si="0"/>
      </c>
      <c r="D592" s="60">
        <f t="shared" si="1"/>
      </c>
      <c r="E592" s="53">
        <f t="shared" si="2"/>
      </c>
      <c r="F592" s="53">
        <f t="shared" si="3"/>
      </c>
      <c r="G592" s="53">
        <f t="shared" si="4"/>
      </c>
      <c r="H592" s="59">
        <f t="shared" si="5"/>
      </c>
      <c r="I592" s="53">
        <f t="shared" si="6"/>
      </c>
      <c r="J592" s="53">
        <f t="shared" si="7"/>
      </c>
      <c r="K592" s="53">
        <f t="shared" si="8"/>
      </c>
      <c r="L592" s="68">
        <f t="shared" si="9"/>
      </c>
      <c r="M592" s="56">
        <f t="shared" si="10"/>
      </c>
      <c r="N592" s="69">
        <f t="shared" si="11"/>
      </c>
      <c r="O592" s="22">
        <f t="shared" si="12"/>
      </c>
      <c r="P592" s="22">
        <f>IF(往来单位!$C$582="客户",1,0)</f>
        <v>0</v>
      </c>
      <c r="Q592" s="22">
        <f t="shared" si="13"/>
        <v>28</v>
      </c>
    </row>
    <row r="593">
      <c r="A593" s="56">
        <f>IF($B593="","",580)</f>
      </c>
      <c r="B593" s="66">
        <f>IF(580&gt;$Q$613,"",INDEX(往来单位!$B$4:$B$603,MATCH(580,$Q$14:$Q$613,0)))</f>
      </c>
      <c r="C593" s="67">
        <f t="shared" si="0"/>
      </c>
      <c r="D593" s="60">
        <f t="shared" si="1"/>
      </c>
      <c r="E593" s="53">
        <f t="shared" si="2"/>
      </c>
      <c r="F593" s="53">
        <f t="shared" si="3"/>
      </c>
      <c r="G593" s="53">
        <f t="shared" si="4"/>
      </c>
      <c r="H593" s="59">
        <f t="shared" si="5"/>
      </c>
      <c r="I593" s="53">
        <f t="shared" si="6"/>
      </c>
      <c r="J593" s="53">
        <f t="shared" si="7"/>
      </c>
      <c r="K593" s="53">
        <f t="shared" si="8"/>
      </c>
      <c r="L593" s="68">
        <f t="shared" si="9"/>
      </c>
      <c r="M593" s="56">
        <f t="shared" si="10"/>
      </c>
      <c r="N593" s="69">
        <f t="shared" si="11"/>
      </c>
      <c r="O593" s="22">
        <f t="shared" si="12"/>
      </c>
      <c r="P593" s="22">
        <f>IF(往来单位!$C$583="客户",1,0)</f>
        <v>0</v>
      </c>
      <c r="Q593" s="22">
        <f t="shared" si="13"/>
        <v>28</v>
      </c>
    </row>
    <row r="594">
      <c r="A594" s="56">
        <f>IF($B594="","",581)</f>
      </c>
      <c r="B594" s="66">
        <f>IF(581&gt;$Q$613,"",INDEX(往来单位!$B$4:$B$603,MATCH(581,$Q$14:$Q$613,0)))</f>
      </c>
      <c r="C594" s="67">
        <f t="shared" si="0"/>
      </c>
      <c r="D594" s="60">
        <f t="shared" si="1"/>
      </c>
      <c r="E594" s="53">
        <f t="shared" si="2"/>
      </c>
      <c r="F594" s="53">
        <f t="shared" si="3"/>
      </c>
      <c r="G594" s="53">
        <f t="shared" si="4"/>
      </c>
      <c r="H594" s="59">
        <f t="shared" si="5"/>
      </c>
      <c r="I594" s="53">
        <f t="shared" si="6"/>
      </c>
      <c r="J594" s="53">
        <f t="shared" si="7"/>
      </c>
      <c r="K594" s="53">
        <f t="shared" si="8"/>
      </c>
      <c r="L594" s="68">
        <f t="shared" si="9"/>
      </c>
      <c r="M594" s="56">
        <f t="shared" si="10"/>
      </c>
      <c r="N594" s="69">
        <f t="shared" si="11"/>
      </c>
      <c r="O594" s="22">
        <f t="shared" si="12"/>
      </c>
      <c r="P594" s="22">
        <f>IF(往来单位!$C$584="客户",1,0)</f>
        <v>0</v>
      </c>
      <c r="Q594" s="22">
        <f t="shared" si="13"/>
        <v>28</v>
      </c>
    </row>
    <row r="595">
      <c r="A595" s="56">
        <f>IF($B595="","",582)</f>
      </c>
      <c r="B595" s="66">
        <f>IF(582&gt;$Q$613,"",INDEX(往来单位!$B$4:$B$603,MATCH(582,$Q$14:$Q$613,0)))</f>
      </c>
      <c r="C595" s="67">
        <f t="shared" si="0"/>
      </c>
      <c r="D595" s="60">
        <f t="shared" si="1"/>
      </c>
      <c r="E595" s="53">
        <f t="shared" si="2"/>
      </c>
      <c r="F595" s="53">
        <f t="shared" si="3"/>
      </c>
      <c r="G595" s="53">
        <f t="shared" si="4"/>
      </c>
      <c r="H595" s="59">
        <f t="shared" si="5"/>
      </c>
      <c r="I595" s="53">
        <f t="shared" si="6"/>
      </c>
      <c r="J595" s="53">
        <f t="shared" si="7"/>
      </c>
      <c r="K595" s="53">
        <f t="shared" si="8"/>
      </c>
      <c r="L595" s="68">
        <f t="shared" si="9"/>
      </c>
      <c r="M595" s="56">
        <f t="shared" si="10"/>
      </c>
      <c r="N595" s="69">
        <f t="shared" si="11"/>
      </c>
      <c r="O595" s="22">
        <f t="shared" si="12"/>
      </c>
      <c r="P595" s="22">
        <f>IF(往来单位!$C$585="客户",1,0)</f>
        <v>0</v>
      </c>
      <c r="Q595" s="22">
        <f t="shared" si="13"/>
        <v>28</v>
      </c>
    </row>
    <row r="596">
      <c r="A596" s="56">
        <f>IF($B596="","",583)</f>
      </c>
      <c r="B596" s="66">
        <f>IF(583&gt;$Q$613,"",INDEX(往来单位!$B$4:$B$603,MATCH(583,$Q$14:$Q$613,0)))</f>
      </c>
      <c r="C596" s="67">
        <f t="shared" si="0"/>
      </c>
      <c r="D596" s="60">
        <f t="shared" si="1"/>
      </c>
      <c r="E596" s="53">
        <f t="shared" si="2"/>
      </c>
      <c r="F596" s="53">
        <f t="shared" si="3"/>
      </c>
      <c r="G596" s="53">
        <f t="shared" si="4"/>
      </c>
      <c r="H596" s="59">
        <f t="shared" si="5"/>
      </c>
      <c r="I596" s="53">
        <f t="shared" si="6"/>
      </c>
      <c r="J596" s="53">
        <f t="shared" si="7"/>
      </c>
      <c r="K596" s="53">
        <f t="shared" si="8"/>
      </c>
      <c r="L596" s="68">
        <f t="shared" si="9"/>
      </c>
      <c r="M596" s="56">
        <f t="shared" si="10"/>
      </c>
      <c r="N596" s="69">
        <f t="shared" si="11"/>
      </c>
      <c r="O596" s="22">
        <f t="shared" si="12"/>
      </c>
      <c r="P596" s="22">
        <f>IF(往来单位!$C$586="客户",1,0)</f>
        <v>0</v>
      </c>
      <c r="Q596" s="22">
        <f t="shared" si="13"/>
        <v>28</v>
      </c>
    </row>
    <row r="597">
      <c r="A597" s="56">
        <f>IF($B597="","",584)</f>
      </c>
      <c r="B597" s="66">
        <f>IF(584&gt;$Q$613,"",INDEX(往来单位!$B$4:$B$603,MATCH(584,$Q$14:$Q$613,0)))</f>
      </c>
      <c r="C597" s="67">
        <f t="shared" si="0"/>
      </c>
      <c r="D597" s="60">
        <f t="shared" si="1"/>
      </c>
      <c r="E597" s="53">
        <f t="shared" si="2"/>
      </c>
      <c r="F597" s="53">
        <f t="shared" si="3"/>
      </c>
      <c r="G597" s="53">
        <f t="shared" si="4"/>
      </c>
      <c r="H597" s="59">
        <f t="shared" si="5"/>
      </c>
      <c r="I597" s="53">
        <f t="shared" si="6"/>
      </c>
      <c r="J597" s="53">
        <f t="shared" si="7"/>
      </c>
      <c r="K597" s="53">
        <f t="shared" si="8"/>
      </c>
      <c r="L597" s="68">
        <f t="shared" si="9"/>
      </c>
      <c r="M597" s="56">
        <f t="shared" si="10"/>
      </c>
      <c r="N597" s="69">
        <f t="shared" si="11"/>
      </c>
      <c r="O597" s="22">
        <f t="shared" si="12"/>
      </c>
      <c r="P597" s="22">
        <f>IF(往来单位!$C$587="客户",1,0)</f>
        <v>0</v>
      </c>
      <c r="Q597" s="22">
        <f t="shared" si="13"/>
        <v>28</v>
      </c>
    </row>
    <row r="598">
      <c r="A598" s="56">
        <f>IF($B598="","",585)</f>
      </c>
      <c r="B598" s="66">
        <f>IF(585&gt;$Q$613,"",INDEX(往来单位!$B$4:$B$603,MATCH(585,$Q$14:$Q$613,0)))</f>
      </c>
      <c r="C598" s="67">
        <f t="shared" si="0"/>
      </c>
      <c r="D598" s="60">
        <f t="shared" si="1"/>
      </c>
      <c r="E598" s="53">
        <f t="shared" si="2"/>
      </c>
      <c r="F598" s="53">
        <f t="shared" si="3"/>
      </c>
      <c r="G598" s="53">
        <f t="shared" si="4"/>
      </c>
      <c r="H598" s="59">
        <f t="shared" si="5"/>
      </c>
      <c r="I598" s="53">
        <f t="shared" si="6"/>
      </c>
      <c r="J598" s="53">
        <f t="shared" si="7"/>
      </c>
      <c r="K598" s="53">
        <f t="shared" si="8"/>
      </c>
      <c r="L598" s="68">
        <f t="shared" si="9"/>
      </c>
      <c r="M598" s="56">
        <f t="shared" si="10"/>
      </c>
      <c r="N598" s="69">
        <f t="shared" si="11"/>
      </c>
      <c r="O598" s="22">
        <f t="shared" si="12"/>
      </c>
      <c r="P598" s="22">
        <f>IF(往来单位!$C$588="客户",1,0)</f>
        <v>0</v>
      </c>
      <c r="Q598" s="22">
        <f t="shared" si="13"/>
        <v>28</v>
      </c>
    </row>
    <row r="599">
      <c r="A599" s="56">
        <f>IF($B599="","",586)</f>
      </c>
      <c r="B599" s="66">
        <f>IF(586&gt;$Q$613,"",INDEX(往来单位!$B$4:$B$603,MATCH(586,$Q$14:$Q$613,0)))</f>
      </c>
      <c r="C599" s="67">
        <f t="shared" si="0"/>
      </c>
      <c r="D599" s="60">
        <f t="shared" si="1"/>
      </c>
      <c r="E599" s="53">
        <f t="shared" si="2"/>
      </c>
      <c r="F599" s="53">
        <f t="shared" si="3"/>
      </c>
      <c r="G599" s="53">
        <f t="shared" si="4"/>
      </c>
      <c r="H599" s="59">
        <f t="shared" si="5"/>
      </c>
      <c r="I599" s="53">
        <f t="shared" si="6"/>
      </c>
      <c r="J599" s="53">
        <f t="shared" si="7"/>
      </c>
      <c r="K599" s="53">
        <f t="shared" si="8"/>
      </c>
      <c r="L599" s="68">
        <f t="shared" si="9"/>
      </c>
      <c r="M599" s="56">
        <f t="shared" si="10"/>
      </c>
      <c r="N599" s="69">
        <f t="shared" si="11"/>
      </c>
      <c r="O599" s="22">
        <f t="shared" si="12"/>
      </c>
      <c r="P599" s="22">
        <f>IF(往来单位!$C$589="客户",1,0)</f>
        <v>0</v>
      </c>
      <c r="Q599" s="22">
        <f t="shared" si="13"/>
        <v>28</v>
      </c>
    </row>
    <row r="600">
      <c r="A600" s="56">
        <f>IF($B600="","",587)</f>
      </c>
      <c r="B600" s="66">
        <f>IF(587&gt;$Q$613,"",INDEX(往来单位!$B$4:$B$603,MATCH(587,$Q$14:$Q$613,0)))</f>
      </c>
      <c r="C600" s="67">
        <f t="shared" si="0"/>
      </c>
      <c r="D600" s="60">
        <f t="shared" si="1"/>
      </c>
      <c r="E600" s="53">
        <f t="shared" si="2"/>
      </c>
      <c r="F600" s="53">
        <f t="shared" si="3"/>
      </c>
      <c r="G600" s="53">
        <f t="shared" si="4"/>
      </c>
      <c r="H600" s="59">
        <f t="shared" si="5"/>
      </c>
      <c r="I600" s="53">
        <f t="shared" si="6"/>
      </c>
      <c r="J600" s="53">
        <f t="shared" si="7"/>
      </c>
      <c r="K600" s="53">
        <f t="shared" si="8"/>
      </c>
      <c r="L600" s="68">
        <f t="shared" si="9"/>
      </c>
      <c r="M600" s="56">
        <f t="shared" si="10"/>
      </c>
      <c r="N600" s="69">
        <f t="shared" si="11"/>
      </c>
      <c r="O600" s="22">
        <f t="shared" si="12"/>
      </c>
      <c r="P600" s="22">
        <f>IF(往来单位!$C$590="客户",1,0)</f>
        <v>0</v>
      </c>
      <c r="Q600" s="22">
        <f t="shared" si="13"/>
        <v>28</v>
      </c>
    </row>
    <row r="601">
      <c r="A601" s="56">
        <f>IF($B601="","",588)</f>
      </c>
      <c r="B601" s="66">
        <f>IF(588&gt;$Q$613,"",INDEX(往来单位!$B$4:$B$603,MATCH(588,$Q$14:$Q$613,0)))</f>
      </c>
      <c r="C601" s="67">
        <f t="shared" si="0"/>
      </c>
      <c r="D601" s="60">
        <f t="shared" si="1"/>
      </c>
      <c r="E601" s="53">
        <f t="shared" si="2"/>
      </c>
      <c r="F601" s="53">
        <f t="shared" si="3"/>
      </c>
      <c r="G601" s="53">
        <f t="shared" si="4"/>
      </c>
      <c r="H601" s="59">
        <f t="shared" si="5"/>
      </c>
      <c r="I601" s="53">
        <f t="shared" si="6"/>
      </c>
      <c r="J601" s="53">
        <f t="shared" si="7"/>
      </c>
      <c r="K601" s="53">
        <f t="shared" si="8"/>
      </c>
      <c r="L601" s="68">
        <f t="shared" si="9"/>
      </c>
      <c r="M601" s="56">
        <f t="shared" si="10"/>
      </c>
      <c r="N601" s="69">
        <f t="shared" si="11"/>
      </c>
      <c r="O601" s="22">
        <f t="shared" si="12"/>
      </c>
      <c r="P601" s="22">
        <f>IF(往来单位!$C$591="客户",1,0)</f>
        <v>0</v>
      </c>
      <c r="Q601" s="22">
        <f t="shared" si="13"/>
        <v>28</v>
      </c>
    </row>
    <row r="602">
      <c r="A602" s="56">
        <f>IF($B602="","",589)</f>
      </c>
      <c r="B602" s="66">
        <f>IF(589&gt;$Q$613,"",INDEX(往来单位!$B$4:$B$603,MATCH(589,$Q$14:$Q$613,0)))</f>
      </c>
      <c r="C602" s="67">
        <f t="shared" si="0"/>
      </c>
      <c r="D602" s="60">
        <f t="shared" si="1"/>
      </c>
      <c r="E602" s="53">
        <f t="shared" si="2"/>
      </c>
      <c r="F602" s="53">
        <f t="shared" si="3"/>
      </c>
      <c r="G602" s="53">
        <f t="shared" si="4"/>
      </c>
      <c r="H602" s="59">
        <f t="shared" si="5"/>
      </c>
      <c r="I602" s="53">
        <f t="shared" si="6"/>
      </c>
      <c r="J602" s="53">
        <f t="shared" si="7"/>
      </c>
      <c r="K602" s="53">
        <f t="shared" si="8"/>
      </c>
      <c r="L602" s="68">
        <f t="shared" si="9"/>
      </c>
      <c r="M602" s="56">
        <f t="shared" si="10"/>
      </c>
      <c r="N602" s="69">
        <f t="shared" si="11"/>
      </c>
      <c r="O602" s="22">
        <f t="shared" si="12"/>
      </c>
      <c r="P602" s="22">
        <f>IF(往来单位!$C$592="客户",1,0)</f>
        <v>0</v>
      </c>
      <c r="Q602" s="22">
        <f t="shared" si="13"/>
        <v>28</v>
      </c>
    </row>
    <row r="603">
      <c r="A603" s="56">
        <f>IF($B603="","",590)</f>
      </c>
      <c r="B603" s="66">
        <f>IF(590&gt;$Q$613,"",INDEX(往来单位!$B$4:$B$603,MATCH(590,$Q$14:$Q$613,0)))</f>
      </c>
      <c r="C603" s="67">
        <f t="shared" si="0"/>
      </c>
      <c r="D603" s="60">
        <f t="shared" si="1"/>
      </c>
      <c r="E603" s="53">
        <f t="shared" si="2"/>
      </c>
      <c r="F603" s="53">
        <f t="shared" si="3"/>
      </c>
      <c r="G603" s="53">
        <f t="shared" si="4"/>
      </c>
      <c r="H603" s="59">
        <f t="shared" si="5"/>
      </c>
      <c r="I603" s="53">
        <f t="shared" si="6"/>
      </c>
      <c r="J603" s="53">
        <f t="shared" si="7"/>
      </c>
      <c r="K603" s="53">
        <f t="shared" si="8"/>
      </c>
      <c r="L603" s="68">
        <f t="shared" si="9"/>
      </c>
      <c r="M603" s="56">
        <f t="shared" si="10"/>
      </c>
      <c r="N603" s="69">
        <f t="shared" si="11"/>
      </c>
      <c r="O603" s="22">
        <f t="shared" si="12"/>
      </c>
      <c r="P603" s="22">
        <f>IF(往来单位!$C$593="客户",1,0)</f>
        <v>0</v>
      </c>
      <c r="Q603" s="22">
        <f t="shared" si="13"/>
        <v>28</v>
      </c>
    </row>
    <row r="604">
      <c r="A604" s="56">
        <f>IF($B604="","",591)</f>
      </c>
      <c r="B604" s="66">
        <f>IF(591&gt;$Q$613,"",INDEX(往来单位!$B$4:$B$603,MATCH(591,$Q$14:$Q$613,0)))</f>
      </c>
      <c r="C604" s="67">
        <f t="shared" si="0"/>
      </c>
      <c r="D604" s="60">
        <f t="shared" si="1"/>
      </c>
      <c r="E604" s="53">
        <f t="shared" si="2"/>
      </c>
      <c r="F604" s="53">
        <f t="shared" si="3"/>
      </c>
      <c r="G604" s="53">
        <f t="shared" si="4"/>
      </c>
      <c r="H604" s="59">
        <f t="shared" si="5"/>
      </c>
      <c r="I604" s="53">
        <f t="shared" si="6"/>
      </c>
      <c r="J604" s="53">
        <f t="shared" si="7"/>
      </c>
      <c r="K604" s="53">
        <f t="shared" si="8"/>
      </c>
      <c r="L604" s="68">
        <f t="shared" si="9"/>
      </c>
      <c r="M604" s="56">
        <f t="shared" si="10"/>
      </c>
      <c r="N604" s="69">
        <f t="shared" si="11"/>
      </c>
      <c r="O604" s="22">
        <f t="shared" si="12"/>
      </c>
      <c r="P604" s="22">
        <f>IF(往来单位!$C$594="客户",1,0)</f>
        <v>0</v>
      </c>
      <c r="Q604" s="22">
        <f t="shared" si="13"/>
        <v>28</v>
      </c>
    </row>
    <row r="605">
      <c r="A605" s="56">
        <f>IF($B605="","",592)</f>
      </c>
      <c r="B605" s="66">
        <f>IF(592&gt;$Q$613,"",INDEX(往来单位!$B$4:$B$603,MATCH(592,$Q$14:$Q$613,0)))</f>
      </c>
      <c r="C605" s="67">
        <f t="shared" si="0"/>
      </c>
      <c r="D605" s="60">
        <f t="shared" si="1"/>
      </c>
      <c r="E605" s="53">
        <f t="shared" si="2"/>
      </c>
      <c r="F605" s="53">
        <f t="shared" si="3"/>
      </c>
      <c r="G605" s="53">
        <f t="shared" si="4"/>
      </c>
      <c r="H605" s="59">
        <f t="shared" si="5"/>
      </c>
      <c r="I605" s="53">
        <f t="shared" si="6"/>
      </c>
      <c r="J605" s="53">
        <f t="shared" si="7"/>
      </c>
      <c r="K605" s="53">
        <f t="shared" si="8"/>
      </c>
      <c r="L605" s="68">
        <f t="shared" si="9"/>
      </c>
      <c r="M605" s="56">
        <f t="shared" si="10"/>
      </c>
      <c r="N605" s="69">
        <f t="shared" si="11"/>
      </c>
      <c r="O605" s="22">
        <f t="shared" si="12"/>
      </c>
      <c r="P605" s="22">
        <f>IF(往来单位!$C$595="客户",1,0)</f>
        <v>0</v>
      </c>
      <c r="Q605" s="22">
        <f t="shared" si="13"/>
        <v>28</v>
      </c>
    </row>
    <row r="606">
      <c r="A606" s="56">
        <f>IF($B606="","",593)</f>
      </c>
      <c r="B606" s="66">
        <f>IF(593&gt;$Q$613,"",INDEX(往来单位!$B$4:$B$603,MATCH(593,$Q$14:$Q$613,0)))</f>
      </c>
      <c r="C606" s="67">
        <f t="shared" si="0"/>
      </c>
      <c r="D606" s="60">
        <f t="shared" si="1"/>
      </c>
      <c r="E606" s="53">
        <f t="shared" si="2"/>
      </c>
      <c r="F606" s="53">
        <f t="shared" si="3"/>
      </c>
      <c r="G606" s="53">
        <f t="shared" si="4"/>
      </c>
      <c r="H606" s="59">
        <f t="shared" si="5"/>
      </c>
      <c r="I606" s="53">
        <f t="shared" si="6"/>
      </c>
      <c r="J606" s="53">
        <f t="shared" si="7"/>
      </c>
      <c r="K606" s="53">
        <f t="shared" si="8"/>
      </c>
      <c r="L606" s="68">
        <f t="shared" si="9"/>
      </c>
      <c r="M606" s="56">
        <f t="shared" si="10"/>
      </c>
      <c r="N606" s="69">
        <f t="shared" si="11"/>
      </c>
      <c r="O606" s="22">
        <f t="shared" si="12"/>
      </c>
      <c r="P606" s="22">
        <f>IF(往来单位!$C$596="客户",1,0)</f>
        <v>0</v>
      </c>
      <c r="Q606" s="22">
        <f t="shared" si="13"/>
        <v>28</v>
      </c>
    </row>
    <row r="607">
      <c r="A607" s="56">
        <f>IF($B607="","",594)</f>
      </c>
      <c r="B607" s="66">
        <f>IF(594&gt;$Q$613,"",INDEX(往来单位!$B$4:$B$603,MATCH(594,$Q$14:$Q$613,0)))</f>
      </c>
      <c r="C607" s="67">
        <f t="shared" si="0"/>
      </c>
      <c r="D607" s="60">
        <f t="shared" si="1"/>
      </c>
      <c r="E607" s="53">
        <f t="shared" si="2"/>
      </c>
      <c r="F607" s="53">
        <f t="shared" si="3"/>
      </c>
      <c r="G607" s="53">
        <f t="shared" si="4"/>
      </c>
      <c r="H607" s="59">
        <f t="shared" si="5"/>
      </c>
      <c r="I607" s="53">
        <f t="shared" si="6"/>
      </c>
      <c r="J607" s="53">
        <f t="shared" si="7"/>
      </c>
      <c r="K607" s="53">
        <f t="shared" si="8"/>
      </c>
      <c r="L607" s="68">
        <f t="shared" si="9"/>
      </c>
      <c r="M607" s="56">
        <f t="shared" si="10"/>
      </c>
      <c r="N607" s="69">
        <f t="shared" si="11"/>
      </c>
      <c r="O607" s="22">
        <f t="shared" si="12"/>
      </c>
      <c r="P607" s="22">
        <f>IF(往来单位!$C$597="客户",1,0)</f>
        <v>0</v>
      </c>
      <c r="Q607" s="22">
        <f t="shared" si="13"/>
        <v>28</v>
      </c>
    </row>
    <row r="608">
      <c r="A608" s="56">
        <f>IF($B608="","",595)</f>
      </c>
      <c r="B608" s="66">
        <f>IF(595&gt;$Q$613,"",INDEX(往来单位!$B$4:$B$603,MATCH(595,$Q$14:$Q$613,0)))</f>
      </c>
      <c r="C608" s="67">
        <f t="shared" si="0"/>
      </c>
      <c r="D608" s="60">
        <f t="shared" si="1"/>
      </c>
      <c r="E608" s="53">
        <f t="shared" si="2"/>
      </c>
      <c r="F608" s="53">
        <f t="shared" si="3"/>
      </c>
      <c r="G608" s="53">
        <f t="shared" si="4"/>
      </c>
      <c r="H608" s="59">
        <f t="shared" si="5"/>
      </c>
      <c r="I608" s="53">
        <f t="shared" si="6"/>
      </c>
      <c r="J608" s="53">
        <f t="shared" si="7"/>
      </c>
      <c r="K608" s="53">
        <f t="shared" si="8"/>
      </c>
      <c r="L608" s="68">
        <f t="shared" si="9"/>
      </c>
      <c r="M608" s="56">
        <f t="shared" si="10"/>
      </c>
      <c r="N608" s="69">
        <f t="shared" si="11"/>
      </c>
      <c r="O608" s="22">
        <f t="shared" si="12"/>
      </c>
      <c r="P608" s="22">
        <f>IF(往来单位!$C$598="客户",1,0)</f>
        <v>0</v>
      </c>
      <c r="Q608" s="22">
        <f t="shared" si="13"/>
        <v>28</v>
      </c>
    </row>
    <row r="609">
      <c r="A609" s="56">
        <f>IF($B609="","",596)</f>
      </c>
      <c r="B609" s="66">
        <f>IF(596&gt;$Q$613,"",INDEX(往来单位!$B$4:$B$603,MATCH(596,$Q$14:$Q$613,0)))</f>
      </c>
      <c r="C609" s="67">
        <f t="shared" si="0"/>
      </c>
      <c r="D609" s="60">
        <f t="shared" si="1"/>
      </c>
      <c r="E609" s="53">
        <f t="shared" si="2"/>
      </c>
      <c r="F609" s="53">
        <f t="shared" si="3"/>
      </c>
      <c r="G609" s="53">
        <f t="shared" si="4"/>
      </c>
      <c r="H609" s="59">
        <f t="shared" si="5"/>
      </c>
      <c r="I609" s="53">
        <f t="shared" si="6"/>
      </c>
      <c r="J609" s="53">
        <f t="shared" si="7"/>
      </c>
      <c r="K609" s="53">
        <f t="shared" si="8"/>
      </c>
      <c r="L609" s="68">
        <f t="shared" si="9"/>
      </c>
      <c r="M609" s="56">
        <f t="shared" si="10"/>
      </c>
      <c r="N609" s="69">
        <f t="shared" si="11"/>
      </c>
      <c r="O609" s="22">
        <f t="shared" si="12"/>
      </c>
      <c r="P609" s="22">
        <f>IF(往来单位!$C$599="客户",1,0)</f>
        <v>0</v>
      </c>
      <c r="Q609" s="22">
        <f t="shared" si="13"/>
        <v>28</v>
      </c>
    </row>
    <row r="610">
      <c r="A610" s="56">
        <f>IF($B610="","",597)</f>
      </c>
      <c r="B610" s="66">
        <f>IF(597&gt;$Q$613,"",INDEX(往来单位!$B$4:$B$603,MATCH(597,$Q$14:$Q$613,0)))</f>
      </c>
      <c r="C610" s="67">
        <f t="shared" si="0"/>
      </c>
      <c r="D610" s="60">
        <f t="shared" si="1"/>
      </c>
      <c r="E610" s="53">
        <f t="shared" si="2"/>
      </c>
      <c r="F610" s="53">
        <f t="shared" si="3"/>
      </c>
      <c r="G610" s="53">
        <f t="shared" si="4"/>
      </c>
      <c r="H610" s="59">
        <f t="shared" si="5"/>
      </c>
      <c r="I610" s="53">
        <f t="shared" si="6"/>
      </c>
      <c r="J610" s="53">
        <f t="shared" si="7"/>
      </c>
      <c r="K610" s="53">
        <f t="shared" si="8"/>
      </c>
      <c r="L610" s="68">
        <f t="shared" si="9"/>
      </c>
      <c r="M610" s="56">
        <f t="shared" si="10"/>
      </c>
      <c r="N610" s="69">
        <f t="shared" si="11"/>
      </c>
      <c r="O610" s="22">
        <f t="shared" si="12"/>
      </c>
      <c r="P610" s="22">
        <f>IF(往来单位!$C$600="客户",1,0)</f>
        <v>0</v>
      </c>
      <c r="Q610" s="22">
        <f t="shared" si="13"/>
        <v>28</v>
      </c>
    </row>
    <row r="611">
      <c r="A611" s="56">
        <f>IF($B611="","",598)</f>
      </c>
      <c r="B611" s="66">
        <f>IF(598&gt;$Q$613,"",INDEX(往来单位!$B$4:$B$603,MATCH(598,$Q$14:$Q$613,0)))</f>
      </c>
      <c r="C611" s="67">
        <f t="shared" si="0"/>
      </c>
      <c r="D611" s="60">
        <f t="shared" si="1"/>
      </c>
      <c r="E611" s="53">
        <f t="shared" si="2"/>
      </c>
      <c r="F611" s="53">
        <f t="shared" si="3"/>
      </c>
      <c r="G611" s="53">
        <f t="shared" si="4"/>
      </c>
      <c r="H611" s="59">
        <f t="shared" si="5"/>
      </c>
      <c r="I611" s="53">
        <f t="shared" si="6"/>
      </c>
      <c r="J611" s="53">
        <f t="shared" si="7"/>
      </c>
      <c r="K611" s="53">
        <f t="shared" si="8"/>
      </c>
      <c r="L611" s="68">
        <f t="shared" si="9"/>
      </c>
      <c r="M611" s="56">
        <f t="shared" si="10"/>
      </c>
      <c r="N611" s="69">
        <f t="shared" si="11"/>
      </c>
      <c r="O611" s="22">
        <f t="shared" si="12"/>
      </c>
      <c r="P611" s="22">
        <f>IF(往来单位!$C$601="客户",1,0)</f>
        <v>0</v>
      </c>
      <c r="Q611" s="22">
        <f t="shared" si="13"/>
        <v>28</v>
      </c>
    </row>
    <row r="612">
      <c r="A612" s="56">
        <f>IF($B612="","",599)</f>
      </c>
      <c r="B612" s="66">
        <f>IF(599&gt;$Q$613,"",INDEX(往来单位!$B$4:$B$603,MATCH(599,$Q$14:$Q$613,0)))</f>
      </c>
      <c r="C612" s="67">
        <f t="shared" si="0"/>
      </c>
      <c r="D612" s="60">
        <f t="shared" si="1"/>
      </c>
      <c r="E612" s="53">
        <f t="shared" si="2"/>
      </c>
      <c r="F612" s="53">
        <f t="shared" si="3"/>
      </c>
      <c r="G612" s="53">
        <f t="shared" si="4"/>
      </c>
      <c r="H612" s="59">
        <f t="shared" si="5"/>
      </c>
      <c r="I612" s="53">
        <f t="shared" si="6"/>
      </c>
      <c r="J612" s="53">
        <f t="shared" si="7"/>
      </c>
      <c r="K612" s="53">
        <f t="shared" si="8"/>
      </c>
      <c r="L612" s="68">
        <f t="shared" si="9"/>
      </c>
      <c r="M612" s="56">
        <f t="shared" si="10"/>
      </c>
      <c r="N612" s="69">
        <f t="shared" si="11"/>
      </c>
      <c r="O612" s="22">
        <f t="shared" si="12"/>
      </c>
      <c r="P612" s="22">
        <f>IF(往来单位!$C$602="客户",1,0)</f>
        <v>0</v>
      </c>
      <c r="Q612" s="22">
        <f t="shared" si="13"/>
        <v>28</v>
      </c>
    </row>
    <row r="613">
      <c r="A613" s="56">
        <f>IF($B613="","",600)</f>
      </c>
      <c r="B613" s="66">
        <f>IF(600&gt;$Q$613,"",INDEX(往来单位!$B$4:$B$603,MATCH(600,$Q$14:$Q$613,0)))</f>
      </c>
      <c r="C613" s="67">
        <f t="shared" si="0"/>
      </c>
      <c r="D613" s="60">
        <f t="shared" si="1"/>
      </c>
      <c r="E613" s="53">
        <f t="shared" si="2"/>
      </c>
      <c r="F613" s="53">
        <f t="shared" si="3"/>
      </c>
      <c r="G613" s="53">
        <f t="shared" si="4"/>
      </c>
      <c r="H613" s="59">
        <f t="shared" si="5"/>
      </c>
      <c r="I613" s="53">
        <f t="shared" si="6"/>
      </c>
      <c r="J613" s="53">
        <f t="shared" si="7"/>
      </c>
      <c r="K613" s="53">
        <f t="shared" si="8"/>
      </c>
      <c r="L613" s="68">
        <f t="shared" si="9"/>
      </c>
      <c r="M613" s="56">
        <f t="shared" si="10"/>
      </c>
      <c r="N613" s="69">
        <f t="shared" si="11"/>
      </c>
      <c r="O613" s="22">
        <f t="shared" si="12"/>
      </c>
      <c r="P613" s="22">
        <f>IF(往来单位!$C$603="客户",1,0)</f>
        <v>0</v>
      </c>
      <c r="Q613" s="22">
        <f t="shared" si="13"/>
        <v>28</v>
      </c>
    </row>
  </sheetData>
  <mergeCells count="3">
    <mergeCell ref="A12:N12"/>
    <mergeCell ref="A2:N2"/>
    <mergeCell ref="A1:N1"/>
  </mergeCells>
  <dataValidations count="2">
    <dataValidation sqref="C3" showDropDown="0" showInputMessage="1" showErrorMessage="0" allowBlank="1" promptTitle="提示" prompt="选一家公司，或「全部」" type="list">
      <formula1>=_辅助!$A$1:$A$9</formula1>
    </dataValidation>
    <dataValidation sqref="F3" showDropDown="0" showInputMessage="0" showErrorMessage="0" allowBlank="1" type="list">
      <formula1>"2024,2025,2026,2027,2028,2029,2030"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P606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20" customWidth="1" min="14" max="14"/>
    <col hidden="1" width="13" customWidth="1" min="16" max="16"/>
  </cols>
  <sheetData>
    <row r="1" ht="33" customHeight="1">
      <c r="A1" s="70" t="inlineStr">
        <is>
          <t>应 收 应 付 汇 总（每个往来单位 · 按发票和资金台帐）</t>
        </is>
      </c>
    </row>
    <row r="2" ht="38" customHeight="1">
      <c r="A2" s="2" t="inlineStr">
        <is>
          <t>💡 选公司、年份。应收：期初 ＋ 本年开的销项发票 − 本年收到的收入类款项；应付：期初 ＋ 本年计应付的进项发票 − 本年付给供应商的成本费用类款项（税款、工资这类没有应付的不算）；其他往来：收支项目选「往来」的（借款、还款、押金），正数＝对方欠我方（其他应收），负数＝我方欠对方（其他应付）。净额＝应收 − 应付 ＋ 其他往来。应收是负数＝已收款还没开票（或预收）。点表头筛选按钮能只看有余额的。</t>
        </is>
      </c>
    </row>
    <row r="3">
      <c r="B3" s="3" t="inlineStr">
        <is>
          <t>公司</t>
        </is>
      </c>
      <c r="C3" s="6" t="inlineStr">
        <is>
          <t>全部</t>
        </is>
      </c>
      <c r="E3" s="3" t="inlineStr">
        <is>
          <t>年份</t>
        </is>
      </c>
      <c r="F3" s="6" t="n">
        <v>2026</v>
      </c>
    </row>
    <row r="4" ht="34" customHeight="1">
      <c r="A4" s="71" t="inlineStr">
        <is>
          <t>序号</t>
        </is>
      </c>
      <c r="B4" s="71" t="inlineStr">
        <is>
          <t>往来单位</t>
        </is>
      </c>
      <c r="C4" s="71" t="inlineStr">
        <is>
          <t>类型</t>
        </is>
      </c>
      <c r="D4" s="71" t="inlineStr">
        <is>
          <t>期初应收</t>
        </is>
      </c>
      <c r="E4" s="71" t="inlineStr">
        <is>
          <t>本年开票</t>
        </is>
      </c>
      <c r="F4" s="71" t="inlineStr">
        <is>
          <t>本年收款</t>
        </is>
      </c>
      <c r="G4" s="71" t="inlineStr">
        <is>
          <t>应收余额</t>
        </is>
      </c>
      <c r="H4" s="71" t="inlineStr">
        <is>
          <t>期初应付</t>
        </is>
      </c>
      <c r="I4" s="71" t="inlineStr">
        <is>
          <t>本年进项
（计应付）</t>
        </is>
      </c>
      <c r="J4" s="71" t="inlineStr">
        <is>
          <t>本年付款</t>
        </is>
      </c>
      <c r="K4" s="71" t="inlineStr">
        <is>
          <t>应付余额</t>
        </is>
      </c>
      <c r="L4" s="71" t="inlineStr">
        <is>
          <t>其他往来余额
（借款押金等）</t>
        </is>
      </c>
      <c r="M4" s="71" t="inlineStr">
        <is>
          <t>净额
（对方欠我方＋）</t>
        </is>
      </c>
      <c r="N4" s="71" t="inlineStr">
        <is>
          <t>提示</t>
        </is>
      </c>
    </row>
    <row r="5">
      <c r="A5" s="61" t="inlineStr">
        <is>
          <t>合计</t>
        </is>
      </c>
      <c r="B5" s="13" t="n"/>
      <c r="C5" s="14" t="n"/>
      <c r="D5" s="37">
        <f>ROUND(SUM(D6:D606),2)</f>
        <v>0</v>
      </c>
      <c r="E5" s="37">
        <f>ROUND(SUM(E6:E606),2)</f>
        <v>100900</v>
      </c>
      <c r="F5" s="37">
        <f>ROUND(SUM(F6:F606),2)</f>
        <v>302600</v>
      </c>
      <c r="G5" s="37">
        <f>ROUND(SUM(G6:G606),2)</f>
        <v>-201700</v>
      </c>
      <c r="H5" s="37">
        <f>ROUND(SUM(H6:H606),2)</f>
        <v>0</v>
      </c>
      <c r="I5" s="37">
        <f>ROUND(SUM(I6:I606),2)</f>
        <v>398</v>
      </c>
      <c r="J5" s="37">
        <f>ROUND(SUM(J6:J606),2)</f>
        <v>214.29</v>
      </c>
      <c r="K5" s="37">
        <f>ROUND(SUM(K6:K606),2)</f>
        <v>183.71</v>
      </c>
      <c r="L5" s="37">
        <f>ROUND(SUM(L6:L606),2)</f>
        <v>0</v>
      </c>
      <c r="M5" s="37">
        <f>ROUND(SUM(M6:M606),2)</f>
        <v>-201883.71</v>
      </c>
      <c r="N5" s="72" t="n"/>
    </row>
    <row r="6">
      <c r="A6" s="56">
        <f>IF($B6="","",1)</f>
        <v>1</v>
      </c>
      <c r="B6" s="66" t="str">
        <f>IF(往来单位!$B$4="","",往来单位!$B$4)</f>
        <v>宁波鹿小白机电有限公司</v>
      </c>
      <c r="C6" s="56" t="str">
        <f>IF($B6="","",往来单位!$C$4&amp;"")</f>
        <v>客户</v>
      </c>
      <c r="D6" s="53">
        <f t="shared" ref="D6:D605" si="0">IF($B6="","",ROUND(SUMIFS(基础资料!$AH$5:$AH$204,基础资料!$AG$5:$AG$204,$P6,基础资料!$AF$5:$AF$204,IF($C$3="全部","?*",$C$3))+SUMIFS(发票导入!$AB$5:$AB$2004,发票导入!$W$5:$W$2004,$P6,发票导入!$U$5:$U$2004,IF($C$3="全部","?*",$C$3),发票导入!$T$5:$T$2004,"&lt;"&amp;DATE($F$3,1,1))-(SUMIFS(资金台帐!$AD$6:$AD$3005,资金台帐!$P$6:$P$3005,$P6,资金台帐!$BH$6:$BH$3005,IF($C$3="全部","&gt;0",IFERROR(MATCH($C$3,基础资料!$B$5:$B$12,0),-1)),资金台帐!$U$6:$U$3005,"收入",资金台帐!$N$6:$N$3005,"&lt;"&amp;DATE($F$3,1,1))),2))</f>
        <v>0</v>
      </c>
      <c r="E6" s="53">
        <f t="shared" ref="E6:E605" si="1">IF($B6="","",ROUND(SUMIFS(发票导入!$AB$5:$AB$2004,发票导入!$W$5:$W$2004,$P6,发票导入!$U$5:$U$2004,IF($C$3="全部","?*",$C$3),发票导入!$T$5:$T$2004,"&gt;="&amp;DATE($F$3,1,1),发票导入!$T$5:$T$2004,"&lt;"&amp;DATE($F$3+1,1,1)),2))</f>
        <v>9600</v>
      </c>
      <c r="F6" s="53">
        <f t="shared" ref="F6:F605" si="2">IF($B6="","",ROUND(SUMIFS(资金台帐!$AD$6:$AD$3005,资金台帐!$P$6:$P$3005,$P6,资金台帐!$BH$6:$BH$3005,IF($C$3="全部","&gt;0",IFERROR(MATCH($C$3,基础资料!$B$5:$B$12,0),-1)),资金台帐!$U$6:$U$3005,"收入",资金台帐!$N$6:$N$3005,"&gt;="&amp;DATE($F$3,1,1),资金台帐!$N$6:$N$3005,"&lt;"&amp;DATE($F$3+1,1,1)),2))</f>
        <v>9600</v>
      </c>
      <c r="G6" s="59">
        <f t="shared" ref="G6:G605" si="3">IF($B6="","",ROUND(D6+E6-F6,2))</f>
        <v>0</v>
      </c>
      <c r="H6" s="53">
        <f t="shared" ref="H6:H605" si="4">IF($B6="","",ROUND(SUMIFS(基础资料!$AI$5:$AI$204,基础资料!$AG$5:$AG$204,$P6,基础资料!$AF$5:$AF$204,IF($C$3="全部","?*",$C$3))+SUMIFS(发票导入!$AC$5:$AC$2004,发票导入!$W$5:$W$2004,$P6,发票导入!$U$5:$U$2004,IF($C$3="全部","?*",$C$3),发票导入!$T$5:$T$2004,"&lt;"&amp;DATE($F$3,1,1))-((-SUMIFS(资金台帐!$AD$6:$AD$3005,资金台帐!$P$6:$P$3005,$P6,资金台帐!$BH$6:$BH$3005,IF($C$3="全部","&gt;0",IFERROR(MATCH($C$3,基础资料!$B$5:$B$12,0),-1)),资金台帐!$AJ$6:$AJ$3005,1,资金台帐!$N$6:$N$3005,"&lt;"&amp;DATE($F$3,1,1)))),2))</f>
        <v>0</v>
      </c>
      <c r="I6" s="53">
        <f t="shared" ref="I6:I605" si="5">IF($B6="","",ROUND(SUMIFS(发票导入!$AC$5:$AC$2004,发票导入!$W$5:$W$2004,$P6,发票导入!$U$5:$U$2004,IF($C$3="全部","?*",$C$3),发票导入!$T$5:$T$2004,"&gt;="&amp;DATE($F$3,1,1),发票导入!$T$5:$T$2004,"&lt;"&amp;DATE($F$3+1,1,1)),2))</f>
        <v>0</v>
      </c>
      <c r="J6" s="53">
        <f t="shared" ref="J6:J605" si="6">IF($B6="","",ROUND((-SUMIFS(资金台帐!$AD$6:$AD$3005,资金台帐!$P$6:$P$3005,$P6,资金台帐!$BH$6:$BH$3005,IF($C$3="全部","&gt;0",IFERROR(MATCH($C$3,基础资料!$B$5:$B$12,0),-1)),资金台帐!$AJ$6:$AJ$3005,1,资金台帐!$N$6:$N$3005,"&gt;="&amp;DATE($F$3,1,1),资金台帐!$N$6:$N$3005,"&lt;"&amp;DATE($F$3+1,1,1))),2))</f>
        <v>0</v>
      </c>
      <c r="K6" s="59">
        <f t="shared" ref="K6:K605" si="7">IF($B6="","",ROUND(H6+I6-J6,2))</f>
        <v>0</v>
      </c>
      <c r="L6" s="53">
        <f t="shared" ref="L6:L605" si="8">IF($B6="","",ROUND(SUMIFS(基础资料!$AJ$5:$AJ$204,基础资料!$AG$5:$AG$204,$P6,基础资料!$AF$5:$AF$204,IF($C$3="全部","?*",$C$3))+(-SUMIFS(资金台帐!$AD$6:$AD$3005,资金台帐!$P$6:$P$3005,$P6,资金台帐!$BH$6:$BH$3005,IF($C$3="全部","&gt;0",IFERROR(MATCH($C$3,基础资料!$B$5:$B$12,0),-1)),资金台帐!$U$6:$U$3005,"往来",资金台帐!$N$6:$N$3005,"&lt;"&amp;DATE($F$3+1,1,1))),2))</f>
        <v>0</v>
      </c>
      <c r="M6" s="59">
        <f t="shared" ref="M6:M605" si="9">IF($B6="","",ROUND(G6-K6+L6,2))</f>
        <v>0</v>
      </c>
      <c r="N6" s="69">
        <f t="shared" ref="N6:N605" si="10">IF($B6="","",IF(G6&lt;0,"已收款未开票/预收",IF(K6&lt;0,"多付/预付或票没到","")))</f>
      </c>
      <c r="P6" s="22" t="str">
        <f t="shared" ref="P6:P605" si="11">SUBSTITUTE(SUBSTITUTE(SUBSTITUTE($B6,"~","~~"),"*","~*"),"?","~?")</f>
        <v>宁波鹿小白机电有限公司</v>
      </c>
    </row>
    <row r="7">
      <c r="A7" s="56">
        <f>IF($B7="","",2)</f>
        <v>2</v>
      </c>
      <c r="B7" s="66" t="str">
        <f>IF(往来单位!$B$5="","",往来单位!$B$5)</f>
        <v>宁波安程汽车服务有限公司</v>
      </c>
      <c r="C7" s="56" t="str">
        <f>IF($B7="","",往来单位!$C$5&amp;"")</f>
        <v>客户</v>
      </c>
      <c r="D7" s="53">
        <f t="shared" si="0"/>
        <v>0</v>
      </c>
      <c r="E7" s="53">
        <f t="shared" si="1"/>
        <v>21600</v>
      </c>
      <c r="F7" s="53">
        <f t="shared" si="2"/>
        <v>0</v>
      </c>
      <c r="G7" s="59">
        <f t="shared" si="3"/>
        <v>21600</v>
      </c>
      <c r="H7" s="53">
        <f t="shared" si="4"/>
        <v>0</v>
      </c>
      <c r="I7" s="53">
        <f t="shared" si="5"/>
        <v>0</v>
      </c>
      <c r="J7" s="53">
        <f t="shared" si="6"/>
        <v>0</v>
      </c>
      <c r="K7" s="59">
        <f t="shared" si="7"/>
        <v>0</v>
      </c>
      <c r="L7" s="53">
        <f t="shared" si="8"/>
        <v>0</v>
      </c>
      <c r="M7" s="59">
        <f t="shared" si="9"/>
        <v>21600</v>
      </c>
      <c r="N7" s="69">
        <f t="shared" si="10"/>
      </c>
      <c r="P7" s="22" t="str">
        <f t="shared" si="11"/>
        <v>宁波安程汽车服务有限公司</v>
      </c>
    </row>
    <row r="8">
      <c r="A8" s="56">
        <f>IF($B8="","",3)</f>
        <v>3</v>
      </c>
      <c r="B8" s="66" t="str">
        <f>IF(往来单位!$B$6="","",往来单位!$B$6)</f>
        <v>宁波市华方塑料机械制造有限公司</v>
      </c>
      <c r="C8" s="56" t="str">
        <f>IF($B8="","",往来单位!$C$6&amp;"")</f>
        <v>客户</v>
      </c>
      <c r="D8" s="53">
        <f t="shared" si="0"/>
        <v>0</v>
      </c>
      <c r="E8" s="53">
        <f t="shared" si="1"/>
        <v>10000</v>
      </c>
      <c r="F8" s="53">
        <f t="shared" si="2"/>
        <v>10000</v>
      </c>
      <c r="G8" s="59">
        <f t="shared" si="3"/>
        <v>0</v>
      </c>
      <c r="H8" s="53">
        <f t="shared" si="4"/>
        <v>0</v>
      </c>
      <c r="I8" s="53">
        <f t="shared" si="5"/>
        <v>0</v>
      </c>
      <c r="J8" s="53">
        <f t="shared" si="6"/>
        <v>0</v>
      </c>
      <c r="K8" s="59">
        <f t="shared" si="7"/>
        <v>0</v>
      </c>
      <c r="L8" s="53">
        <f t="shared" si="8"/>
        <v>0</v>
      </c>
      <c r="M8" s="59">
        <f t="shared" si="9"/>
        <v>0</v>
      </c>
      <c r="N8" s="69">
        <f t="shared" si="10"/>
      </c>
      <c r="P8" s="22" t="str">
        <f t="shared" si="11"/>
        <v>宁波市华方塑料机械制造有限公司</v>
      </c>
    </row>
    <row r="9">
      <c r="A9" s="56">
        <f>IF($B9="","",4)</f>
        <v>4</v>
      </c>
      <c r="B9" s="66" t="str">
        <f>IF(往来单位!$B$7="","",往来单位!$B$7)</f>
        <v>宁波市昕阳国际贸易有限公司</v>
      </c>
      <c r="C9" s="56" t="str">
        <f>IF($B9="","",往来单位!$C$7&amp;"")</f>
        <v>客户</v>
      </c>
      <c r="D9" s="53">
        <f t="shared" si="0"/>
        <v>0</v>
      </c>
      <c r="E9" s="53">
        <f t="shared" si="1"/>
        <v>6600</v>
      </c>
      <c r="F9" s="53">
        <f t="shared" si="2"/>
        <v>0</v>
      </c>
      <c r="G9" s="59">
        <f t="shared" si="3"/>
        <v>6600</v>
      </c>
      <c r="H9" s="53">
        <f t="shared" si="4"/>
        <v>0</v>
      </c>
      <c r="I9" s="53">
        <f t="shared" si="5"/>
        <v>0</v>
      </c>
      <c r="J9" s="53">
        <f t="shared" si="6"/>
        <v>0</v>
      </c>
      <c r="K9" s="59">
        <f t="shared" si="7"/>
        <v>0</v>
      </c>
      <c r="L9" s="53">
        <f t="shared" si="8"/>
        <v>0</v>
      </c>
      <c r="M9" s="59">
        <f t="shared" si="9"/>
        <v>6600</v>
      </c>
      <c r="N9" s="69">
        <f t="shared" si="10"/>
      </c>
      <c r="P9" s="22" t="str">
        <f t="shared" si="11"/>
        <v>宁波市昕阳国际贸易有限公司</v>
      </c>
    </row>
    <row r="10">
      <c r="A10" s="56">
        <f>IF($B10="","",5)</f>
        <v>5</v>
      </c>
      <c r="B10" s="66" t="str">
        <f>IF(往来单位!$B$8="","",往来单位!$B$8)</f>
        <v>宁波永程纸制品有限公司</v>
      </c>
      <c r="C10" s="56" t="str">
        <f>IF($B10="","",往来单位!$C$8&amp;"")</f>
        <v>客户</v>
      </c>
      <c r="D10" s="53">
        <f t="shared" si="0"/>
        <v>0</v>
      </c>
      <c r="E10" s="53">
        <f t="shared" si="1"/>
        <v>7200</v>
      </c>
      <c r="F10" s="53">
        <f t="shared" si="2"/>
        <v>0</v>
      </c>
      <c r="G10" s="59">
        <f t="shared" si="3"/>
        <v>7200</v>
      </c>
      <c r="H10" s="53">
        <f t="shared" si="4"/>
        <v>0</v>
      </c>
      <c r="I10" s="53">
        <f t="shared" si="5"/>
        <v>0</v>
      </c>
      <c r="J10" s="53">
        <f t="shared" si="6"/>
        <v>0</v>
      </c>
      <c r="K10" s="59">
        <f t="shared" si="7"/>
        <v>0</v>
      </c>
      <c r="L10" s="53">
        <f t="shared" si="8"/>
        <v>0</v>
      </c>
      <c r="M10" s="59">
        <f t="shared" si="9"/>
        <v>7200</v>
      </c>
      <c r="N10" s="69">
        <f t="shared" si="10"/>
      </c>
      <c r="P10" s="22" t="str">
        <f t="shared" si="11"/>
        <v>宁波永程纸制品有限公司</v>
      </c>
    </row>
    <row r="11">
      <c r="A11" s="56">
        <f>IF($B11="","",6)</f>
        <v>6</v>
      </c>
      <c r="B11" s="66" t="str">
        <f>IF(往来单位!$B$9="","",往来单位!$B$9)</f>
        <v>鄞州区福明街道国际汽车城业主委员会</v>
      </c>
      <c r="C11" s="56" t="str">
        <f>IF($B11="","",往来单位!$C$9&amp;"")</f>
        <v>客户</v>
      </c>
      <c r="D11" s="53">
        <f t="shared" si="0"/>
        <v>0</v>
      </c>
      <c r="E11" s="53">
        <f t="shared" si="1"/>
        <v>300</v>
      </c>
      <c r="F11" s="53">
        <f t="shared" si="2"/>
        <v>0</v>
      </c>
      <c r="G11" s="59">
        <f t="shared" si="3"/>
        <v>300</v>
      </c>
      <c r="H11" s="53">
        <f t="shared" si="4"/>
        <v>0</v>
      </c>
      <c r="I11" s="53">
        <f t="shared" si="5"/>
        <v>0</v>
      </c>
      <c r="J11" s="53">
        <f t="shared" si="6"/>
        <v>0</v>
      </c>
      <c r="K11" s="59">
        <f t="shared" si="7"/>
        <v>0</v>
      </c>
      <c r="L11" s="53">
        <f t="shared" si="8"/>
        <v>0</v>
      </c>
      <c r="M11" s="59">
        <f t="shared" si="9"/>
        <v>300</v>
      </c>
      <c r="N11" s="69">
        <f t="shared" si="10"/>
      </c>
      <c r="P11" s="22" t="str">
        <f t="shared" si="11"/>
        <v>鄞州区福明街道国际汽车城业主委员会</v>
      </c>
    </row>
    <row r="12">
      <c r="A12" s="56">
        <f>IF($B12="","",7)</f>
        <v>7</v>
      </c>
      <c r="B12" s="66" t="str">
        <f>IF(往来单位!$B$10="","",往来单位!$B$10)</f>
        <v>宁波市鄞州瑞益通风设备有限公司</v>
      </c>
      <c r="C12" s="56" t="str">
        <f>IF($B12="","",往来单位!$C$10&amp;"")</f>
        <v>客户</v>
      </c>
      <c r="D12" s="53">
        <f t="shared" si="0"/>
        <v>0</v>
      </c>
      <c r="E12" s="53">
        <f t="shared" si="1"/>
        <v>24000</v>
      </c>
      <c r="F12" s="53">
        <f t="shared" si="2"/>
        <v>0</v>
      </c>
      <c r="G12" s="59">
        <f t="shared" si="3"/>
        <v>24000</v>
      </c>
      <c r="H12" s="53">
        <f t="shared" si="4"/>
        <v>0</v>
      </c>
      <c r="I12" s="53">
        <f t="shared" si="5"/>
        <v>0</v>
      </c>
      <c r="J12" s="53">
        <f t="shared" si="6"/>
        <v>0</v>
      </c>
      <c r="K12" s="59">
        <f t="shared" si="7"/>
        <v>0</v>
      </c>
      <c r="L12" s="53">
        <f t="shared" si="8"/>
        <v>0</v>
      </c>
      <c r="M12" s="59">
        <f t="shared" si="9"/>
        <v>24000</v>
      </c>
      <c r="N12" s="69">
        <f t="shared" si="10"/>
      </c>
      <c r="P12" s="22" t="str">
        <f t="shared" si="11"/>
        <v>宁波市鄞州瑞益通风设备有限公司</v>
      </c>
    </row>
    <row r="13">
      <c r="A13" s="56">
        <f>IF($B13="","",8)</f>
        <v>8</v>
      </c>
      <c r="B13" s="66" t="str">
        <f>IF(往来单位!$B$11="","",往来单位!$B$11)</f>
        <v>宁波市鄞州五乡晓林五金机械厂</v>
      </c>
      <c r="C13" s="56" t="str">
        <f>IF($B13="","",往来单位!$C$11&amp;"")</f>
        <v>客户</v>
      </c>
      <c r="D13" s="53">
        <f t="shared" si="0"/>
        <v>0</v>
      </c>
      <c r="E13" s="53">
        <f t="shared" si="1"/>
        <v>7200</v>
      </c>
      <c r="F13" s="53">
        <f t="shared" si="2"/>
        <v>0</v>
      </c>
      <c r="G13" s="59">
        <f t="shared" si="3"/>
        <v>7200</v>
      </c>
      <c r="H13" s="53">
        <f t="shared" si="4"/>
        <v>0</v>
      </c>
      <c r="I13" s="53">
        <f t="shared" si="5"/>
        <v>0</v>
      </c>
      <c r="J13" s="53">
        <f t="shared" si="6"/>
        <v>0</v>
      </c>
      <c r="K13" s="59">
        <f t="shared" si="7"/>
        <v>0</v>
      </c>
      <c r="L13" s="53">
        <f t="shared" si="8"/>
        <v>0</v>
      </c>
      <c r="M13" s="59">
        <f t="shared" si="9"/>
        <v>7200</v>
      </c>
      <c r="N13" s="69">
        <f t="shared" si="10"/>
      </c>
      <c r="P13" s="22" t="str">
        <f t="shared" si="11"/>
        <v>宁波市鄞州五乡晓林五金机械厂</v>
      </c>
    </row>
    <row r="14">
      <c r="A14" s="56">
        <f>IF($B14="","",9)</f>
        <v>9</v>
      </c>
      <c r="B14" s="66" t="str">
        <f>IF(往来单位!$B$12="","",往来单位!$B$12)</f>
        <v>宜柏嘉（宁波）智能科技有限公司</v>
      </c>
      <c r="C14" s="56" t="str">
        <f>IF($B14="","",往来单位!$C$12&amp;"")</f>
        <v>客户</v>
      </c>
      <c r="D14" s="53">
        <f t="shared" si="0"/>
        <v>0</v>
      </c>
      <c r="E14" s="53">
        <f t="shared" si="1"/>
        <v>9000</v>
      </c>
      <c r="F14" s="53">
        <f t="shared" si="2"/>
        <v>0</v>
      </c>
      <c r="G14" s="59">
        <f t="shared" si="3"/>
        <v>9000</v>
      </c>
      <c r="H14" s="53">
        <f t="shared" si="4"/>
        <v>0</v>
      </c>
      <c r="I14" s="53">
        <f t="shared" si="5"/>
        <v>0</v>
      </c>
      <c r="J14" s="53">
        <f t="shared" si="6"/>
        <v>0</v>
      </c>
      <c r="K14" s="59">
        <f t="shared" si="7"/>
        <v>0</v>
      </c>
      <c r="L14" s="53">
        <f t="shared" si="8"/>
        <v>0</v>
      </c>
      <c r="M14" s="59">
        <f t="shared" si="9"/>
        <v>9000</v>
      </c>
      <c r="N14" s="69">
        <f t="shared" si="10"/>
      </c>
      <c r="P14" s="22" t="str">
        <f t="shared" si="11"/>
        <v>宜柏嘉（宁波）智能科技有限公司</v>
      </c>
    </row>
    <row r="15">
      <c r="A15" s="56">
        <f>IF($B15="","",10)</f>
        <v>10</v>
      </c>
      <c r="B15" s="66" t="str">
        <f>IF(往来单位!$B$13="","",往来单位!$B$13)</f>
        <v>宁波优责标识科技有限公司</v>
      </c>
      <c r="C15" s="56" t="str">
        <f>IF($B15="","",往来单位!$C$13&amp;"")</f>
        <v>客户</v>
      </c>
      <c r="D15" s="53">
        <f t="shared" si="0"/>
        <v>0</v>
      </c>
      <c r="E15" s="53">
        <f t="shared" si="1"/>
        <v>5400</v>
      </c>
      <c r="F15" s="53">
        <f t="shared" si="2"/>
        <v>0</v>
      </c>
      <c r="G15" s="59">
        <f t="shared" si="3"/>
        <v>5400</v>
      </c>
      <c r="H15" s="53">
        <f t="shared" si="4"/>
        <v>0</v>
      </c>
      <c r="I15" s="53">
        <f t="shared" si="5"/>
        <v>0</v>
      </c>
      <c r="J15" s="53">
        <f t="shared" si="6"/>
        <v>0</v>
      </c>
      <c r="K15" s="59">
        <f t="shared" si="7"/>
        <v>0</v>
      </c>
      <c r="L15" s="53">
        <f t="shared" si="8"/>
        <v>0</v>
      </c>
      <c r="M15" s="59">
        <f t="shared" si="9"/>
        <v>5400</v>
      </c>
      <c r="N15" s="69">
        <f t="shared" si="10"/>
      </c>
      <c r="P15" s="22" t="str">
        <f t="shared" si="11"/>
        <v>宁波优责标识科技有限公司</v>
      </c>
    </row>
    <row r="16">
      <c r="A16" s="56">
        <f>IF($B16="","",11)</f>
        <v>11</v>
      </c>
      <c r="B16" s="66" t="str">
        <f>IF(往来单位!$B$14="","",往来单位!$B$14)</f>
        <v>宁波新鹏机械有限公司</v>
      </c>
      <c r="C16" s="56" t="str">
        <f>IF($B16="","",往来单位!$C$14&amp;"")</f>
        <v>客户</v>
      </c>
      <c r="D16" s="53">
        <f t="shared" si="0"/>
        <v>0</v>
      </c>
      <c r="E16" s="53">
        <f t="shared" si="1"/>
        <v>0</v>
      </c>
      <c r="F16" s="53">
        <f t="shared" si="2"/>
        <v>6000</v>
      </c>
      <c r="G16" s="59">
        <f t="shared" si="3"/>
        <v>-6000</v>
      </c>
      <c r="H16" s="53">
        <f t="shared" si="4"/>
        <v>0</v>
      </c>
      <c r="I16" s="53">
        <f t="shared" si="5"/>
        <v>0</v>
      </c>
      <c r="J16" s="53">
        <f t="shared" si="6"/>
        <v>0</v>
      </c>
      <c r="K16" s="59">
        <f t="shared" si="7"/>
        <v>0</v>
      </c>
      <c r="L16" s="53">
        <f t="shared" si="8"/>
        <v>0</v>
      </c>
      <c r="M16" s="59">
        <f t="shared" si="9"/>
        <v>-6000</v>
      </c>
      <c r="N16" s="69" t="str">
        <f t="shared" si="10"/>
        <v>已收款未开票/预收</v>
      </c>
      <c r="P16" s="22" t="str">
        <f t="shared" si="11"/>
        <v>宁波新鹏机械有限公司</v>
      </c>
    </row>
    <row r="17">
      <c r="A17" s="56">
        <f>IF($B17="","",12)</f>
        <v>12</v>
      </c>
      <c r="B17" s="66" t="str">
        <f>IF(往来单位!$B$15="","",往来单位!$B$15)</f>
        <v>宁波恒杰工业锁闭技术有限公司</v>
      </c>
      <c r="C17" s="56" t="str">
        <f>IF($B17="","",往来单位!$C$15&amp;"")</f>
        <v>客户</v>
      </c>
      <c r="D17" s="53">
        <f t="shared" si="0"/>
        <v>0</v>
      </c>
      <c r="E17" s="53">
        <f t="shared" si="1"/>
        <v>0</v>
      </c>
      <c r="F17" s="53">
        <f t="shared" si="2"/>
        <v>68800</v>
      </c>
      <c r="G17" s="59">
        <f t="shared" si="3"/>
        <v>-68800</v>
      </c>
      <c r="H17" s="53">
        <f t="shared" si="4"/>
        <v>0</v>
      </c>
      <c r="I17" s="53">
        <f t="shared" si="5"/>
        <v>0</v>
      </c>
      <c r="J17" s="53">
        <f t="shared" si="6"/>
        <v>0</v>
      </c>
      <c r="K17" s="59">
        <f t="shared" si="7"/>
        <v>0</v>
      </c>
      <c r="L17" s="53">
        <f t="shared" si="8"/>
        <v>0</v>
      </c>
      <c r="M17" s="59">
        <f t="shared" si="9"/>
        <v>-68800</v>
      </c>
      <c r="N17" s="69" t="str">
        <f t="shared" si="10"/>
        <v>已收款未开票/预收</v>
      </c>
      <c r="P17" s="22" t="str">
        <f t="shared" si="11"/>
        <v>宁波恒杰工业锁闭技术有限公司</v>
      </c>
    </row>
    <row r="18">
      <c r="A18" s="56">
        <f>IF($B18="","",13)</f>
        <v>13</v>
      </c>
      <c r="B18" s="66" t="str">
        <f>IF(往来单位!$B$16="","",往来单位!$B$16)</f>
        <v>宁波绮绘印花有限公司</v>
      </c>
      <c r="C18" s="56" t="str">
        <f>IF($B18="","",往来单位!$C$16&amp;"")</f>
        <v>客户</v>
      </c>
      <c r="D18" s="53">
        <f t="shared" si="0"/>
        <v>0</v>
      </c>
      <c r="E18" s="53">
        <f t="shared" si="1"/>
        <v>0</v>
      </c>
      <c r="F18" s="53">
        <f t="shared" si="2"/>
        <v>8000</v>
      </c>
      <c r="G18" s="59">
        <f t="shared" si="3"/>
        <v>-8000</v>
      </c>
      <c r="H18" s="53">
        <f t="shared" si="4"/>
        <v>0</v>
      </c>
      <c r="I18" s="53">
        <f t="shared" si="5"/>
        <v>0</v>
      </c>
      <c r="J18" s="53">
        <f t="shared" si="6"/>
        <v>0</v>
      </c>
      <c r="K18" s="59">
        <f t="shared" si="7"/>
        <v>0</v>
      </c>
      <c r="L18" s="53">
        <f t="shared" si="8"/>
        <v>0</v>
      </c>
      <c r="M18" s="59">
        <f t="shared" si="9"/>
        <v>-8000</v>
      </c>
      <c r="N18" s="69" t="str">
        <f t="shared" si="10"/>
        <v>已收款未开票/预收</v>
      </c>
      <c r="P18" s="22" t="str">
        <f t="shared" si="11"/>
        <v>宁波绮绘印花有限公司</v>
      </c>
    </row>
    <row r="19">
      <c r="A19" s="56">
        <f>IF($B19="","",14)</f>
        <v>14</v>
      </c>
      <c r="B19" s="66" t="str">
        <f>IF(往来单位!$B$17="","",往来单位!$B$17)</f>
        <v>浙江省成套工程有限公司鄞州分公司</v>
      </c>
      <c r="C19" s="56" t="str">
        <f>IF($B19="","",往来单位!$C$17&amp;"")</f>
        <v>客户</v>
      </c>
      <c r="D19" s="53">
        <f t="shared" si="0"/>
        <v>0</v>
      </c>
      <c r="E19" s="53">
        <f t="shared" si="1"/>
        <v>0</v>
      </c>
      <c r="F19" s="53">
        <f t="shared" si="2"/>
        <v>1800</v>
      </c>
      <c r="G19" s="59">
        <f t="shared" si="3"/>
        <v>-1800</v>
      </c>
      <c r="H19" s="53">
        <f t="shared" si="4"/>
        <v>0</v>
      </c>
      <c r="I19" s="53">
        <f t="shared" si="5"/>
        <v>0</v>
      </c>
      <c r="J19" s="53">
        <f t="shared" si="6"/>
        <v>0</v>
      </c>
      <c r="K19" s="59">
        <f t="shared" si="7"/>
        <v>0</v>
      </c>
      <c r="L19" s="53">
        <f t="shared" si="8"/>
        <v>0</v>
      </c>
      <c r="M19" s="59">
        <f t="shared" si="9"/>
        <v>-1800</v>
      </c>
      <c r="N19" s="69" t="str">
        <f t="shared" si="10"/>
        <v>已收款未开票/预收</v>
      </c>
      <c r="P19" s="22" t="str">
        <f t="shared" si="11"/>
        <v>浙江省成套工程有限公司鄞州分公司</v>
      </c>
    </row>
    <row r="20">
      <c r="A20" s="56">
        <f>IF($B20="","",15)</f>
        <v>15</v>
      </c>
      <c r="B20" s="66" t="str">
        <f>IF(往来单位!$B$18="","",往来单位!$B$18)</f>
        <v>宁波市吉安商会</v>
      </c>
      <c r="C20" s="56" t="str">
        <f>IF($B20="","",往来单位!$C$18&amp;"")</f>
        <v>客户</v>
      </c>
      <c r="D20" s="53">
        <f t="shared" si="0"/>
        <v>0</v>
      </c>
      <c r="E20" s="53">
        <f t="shared" si="1"/>
        <v>0</v>
      </c>
      <c r="F20" s="53">
        <f t="shared" si="2"/>
        <v>500</v>
      </c>
      <c r="G20" s="59">
        <f t="shared" si="3"/>
        <v>-500</v>
      </c>
      <c r="H20" s="53">
        <f t="shared" si="4"/>
        <v>0</v>
      </c>
      <c r="I20" s="53">
        <f t="shared" si="5"/>
        <v>0</v>
      </c>
      <c r="J20" s="53">
        <f t="shared" si="6"/>
        <v>0</v>
      </c>
      <c r="K20" s="59">
        <f t="shared" si="7"/>
        <v>0</v>
      </c>
      <c r="L20" s="53">
        <f t="shared" si="8"/>
        <v>0</v>
      </c>
      <c r="M20" s="59">
        <f t="shared" si="9"/>
        <v>-500</v>
      </c>
      <c r="N20" s="69" t="str">
        <f t="shared" si="10"/>
        <v>已收款未开票/预收</v>
      </c>
      <c r="P20" s="22" t="str">
        <f t="shared" si="11"/>
        <v>宁波市吉安商会</v>
      </c>
    </row>
    <row r="21">
      <c r="A21" s="56">
        <f>IF($B21="","",16)</f>
        <v>16</v>
      </c>
      <c r="B21" s="66" t="str">
        <f>IF(往来单位!$B$19="","",往来单位!$B$19)</f>
        <v>宁波绵菡电子有限公司</v>
      </c>
      <c r="C21" s="56" t="str">
        <f>IF($B21="","",往来单位!$C$19&amp;"")</f>
        <v>客户</v>
      </c>
      <c r="D21" s="53">
        <f t="shared" si="0"/>
        <v>0</v>
      </c>
      <c r="E21" s="53">
        <f t="shared" si="1"/>
        <v>0</v>
      </c>
      <c r="F21" s="53">
        <f t="shared" si="2"/>
        <v>3000</v>
      </c>
      <c r="G21" s="59">
        <f t="shared" si="3"/>
        <v>-3000</v>
      </c>
      <c r="H21" s="53">
        <f t="shared" si="4"/>
        <v>0</v>
      </c>
      <c r="I21" s="53">
        <f t="shared" si="5"/>
        <v>0</v>
      </c>
      <c r="J21" s="53">
        <f t="shared" si="6"/>
        <v>0</v>
      </c>
      <c r="K21" s="59">
        <f t="shared" si="7"/>
        <v>0</v>
      </c>
      <c r="L21" s="53">
        <f t="shared" si="8"/>
        <v>0</v>
      </c>
      <c r="M21" s="59">
        <f t="shared" si="9"/>
        <v>-3000</v>
      </c>
      <c r="N21" s="69" t="str">
        <f t="shared" si="10"/>
        <v>已收款未开票/预收</v>
      </c>
      <c r="P21" s="22" t="str">
        <f t="shared" si="11"/>
        <v>宁波绵菡电子有限公司</v>
      </c>
    </row>
    <row r="22">
      <c r="A22" s="56">
        <f>IF($B22="","",17)</f>
        <v>17</v>
      </c>
      <c r="B22" s="66" t="str">
        <f>IF(往来单位!$B$20="","",往来单位!$B$20)</f>
        <v>宁波启定塑料制品有限公司</v>
      </c>
      <c r="C22" s="56" t="str">
        <f>IF($B22="","",往来单位!$C$20&amp;"")</f>
        <v>客户</v>
      </c>
      <c r="D22" s="53">
        <f t="shared" si="0"/>
        <v>0</v>
      </c>
      <c r="E22" s="53">
        <f t="shared" si="1"/>
        <v>0</v>
      </c>
      <c r="F22" s="53">
        <f t="shared" si="2"/>
        <v>300</v>
      </c>
      <c r="G22" s="59">
        <f t="shared" si="3"/>
        <v>-300</v>
      </c>
      <c r="H22" s="53">
        <f t="shared" si="4"/>
        <v>0</v>
      </c>
      <c r="I22" s="53">
        <f t="shared" si="5"/>
        <v>0</v>
      </c>
      <c r="J22" s="53">
        <f t="shared" si="6"/>
        <v>0</v>
      </c>
      <c r="K22" s="59">
        <f t="shared" si="7"/>
        <v>0</v>
      </c>
      <c r="L22" s="53">
        <f t="shared" si="8"/>
        <v>0</v>
      </c>
      <c r="M22" s="59">
        <f t="shared" si="9"/>
        <v>-300</v>
      </c>
      <c r="N22" s="69" t="str">
        <f t="shared" si="10"/>
        <v>已收款未开票/预收</v>
      </c>
      <c r="P22" s="22" t="str">
        <f t="shared" si="11"/>
        <v>宁波启定塑料制品有限公司</v>
      </c>
    </row>
    <row r="23">
      <c r="A23" s="56">
        <f>IF($B23="","",18)</f>
        <v>18</v>
      </c>
      <c r="B23" s="66" t="str">
        <f>IF(往来单位!$B$21="","",往来单位!$B$21)</f>
        <v>宁波佳协永立服饰有限公司</v>
      </c>
      <c r="C23" s="56" t="str">
        <f>IF($B23="","",往来单位!$C$21&amp;"")</f>
        <v>客户</v>
      </c>
      <c r="D23" s="53">
        <f t="shared" si="0"/>
        <v>0</v>
      </c>
      <c r="E23" s="53">
        <f t="shared" si="1"/>
        <v>0</v>
      </c>
      <c r="F23" s="53">
        <f t="shared" si="2"/>
        <v>54000</v>
      </c>
      <c r="G23" s="59">
        <f t="shared" si="3"/>
        <v>-54000</v>
      </c>
      <c r="H23" s="53">
        <f t="shared" si="4"/>
        <v>0</v>
      </c>
      <c r="I23" s="53">
        <f t="shared" si="5"/>
        <v>0</v>
      </c>
      <c r="J23" s="53">
        <f t="shared" si="6"/>
        <v>0</v>
      </c>
      <c r="K23" s="59">
        <f t="shared" si="7"/>
        <v>0</v>
      </c>
      <c r="L23" s="53">
        <f t="shared" si="8"/>
        <v>0</v>
      </c>
      <c r="M23" s="59">
        <f t="shared" si="9"/>
        <v>-54000</v>
      </c>
      <c r="N23" s="69" t="str">
        <f t="shared" si="10"/>
        <v>已收款未开票/预收</v>
      </c>
      <c r="P23" s="22" t="str">
        <f t="shared" si="11"/>
        <v>宁波佳协永立服饰有限公司</v>
      </c>
    </row>
    <row r="24">
      <c r="A24" s="56">
        <f>IF($B24="","",19)</f>
        <v>19</v>
      </c>
      <c r="B24" s="66" t="str">
        <f>IF(往来单位!$B$22="","",往来单位!$B$22)</f>
        <v>宁波市鄞州烈盛电子有限公司</v>
      </c>
      <c r="C24" s="56" t="str">
        <f>IF($B24="","",往来单位!$C$22&amp;"")</f>
        <v>客户</v>
      </c>
      <c r="D24" s="53">
        <f t="shared" si="0"/>
        <v>0</v>
      </c>
      <c r="E24" s="53">
        <f t="shared" si="1"/>
        <v>0</v>
      </c>
      <c r="F24" s="53">
        <f t="shared" si="2"/>
        <v>2000</v>
      </c>
      <c r="G24" s="59">
        <f t="shared" si="3"/>
        <v>-2000</v>
      </c>
      <c r="H24" s="53">
        <f t="shared" si="4"/>
        <v>0</v>
      </c>
      <c r="I24" s="53">
        <f t="shared" si="5"/>
        <v>0</v>
      </c>
      <c r="J24" s="53">
        <f t="shared" si="6"/>
        <v>0</v>
      </c>
      <c r="K24" s="59">
        <f t="shared" si="7"/>
        <v>0</v>
      </c>
      <c r="L24" s="53">
        <f t="shared" si="8"/>
        <v>0</v>
      </c>
      <c r="M24" s="59">
        <f t="shared" si="9"/>
        <v>-2000</v>
      </c>
      <c r="N24" s="69" t="str">
        <f t="shared" si="10"/>
        <v>已收款未开票/预收</v>
      </c>
      <c r="P24" s="22" t="str">
        <f t="shared" si="11"/>
        <v>宁波市鄞州烈盛电子有限公司</v>
      </c>
    </row>
    <row r="25">
      <c r="A25" s="56">
        <f>IF($B25="","",20)</f>
        <v>20</v>
      </c>
      <c r="B25" s="66" t="str">
        <f>IF(往来单位!$B$23="","",往来单位!$B$23)</f>
        <v>宁波盛晞钛金科技有限公司</v>
      </c>
      <c r="C25" s="56" t="str">
        <f>IF($B25="","",往来单位!$C$23&amp;"")</f>
        <v>客户</v>
      </c>
      <c r="D25" s="53">
        <f t="shared" si="0"/>
        <v>0</v>
      </c>
      <c r="E25" s="53">
        <f t="shared" si="1"/>
        <v>0</v>
      </c>
      <c r="F25" s="53">
        <f t="shared" si="2"/>
        <v>1000</v>
      </c>
      <c r="G25" s="59">
        <f t="shared" si="3"/>
        <v>-1000</v>
      </c>
      <c r="H25" s="53">
        <f t="shared" si="4"/>
        <v>0</v>
      </c>
      <c r="I25" s="53">
        <f t="shared" si="5"/>
        <v>0</v>
      </c>
      <c r="J25" s="53">
        <f t="shared" si="6"/>
        <v>0</v>
      </c>
      <c r="K25" s="59">
        <f t="shared" si="7"/>
        <v>0</v>
      </c>
      <c r="L25" s="53">
        <f t="shared" si="8"/>
        <v>0</v>
      </c>
      <c r="M25" s="59">
        <f t="shared" si="9"/>
        <v>-1000</v>
      </c>
      <c r="N25" s="69" t="str">
        <f t="shared" si="10"/>
        <v>已收款未开票/预收</v>
      </c>
      <c r="P25" s="22" t="str">
        <f t="shared" si="11"/>
        <v>宁波盛晞钛金科技有限公司</v>
      </c>
    </row>
    <row r="26">
      <c r="A26" s="56">
        <f>IF($B26="","",21)</f>
        <v>21</v>
      </c>
      <c r="B26" s="66" t="str">
        <f>IF(往来单位!$B$24="","",往来单位!$B$24)</f>
        <v>宁波恒世通实业有限公司</v>
      </c>
      <c r="C26" s="56" t="str">
        <f>IF($B26="","",往来单位!$C$24&amp;"")</f>
        <v>客户</v>
      </c>
      <c r="D26" s="53">
        <f t="shared" si="0"/>
        <v>0</v>
      </c>
      <c r="E26" s="53">
        <f t="shared" si="1"/>
        <v>0</v>
      </c>
      <c r="F26" s="53">
        <f t="shared" si="2"/>
        <v>56000</v>
      </c>
      <c r="G26" s="59">
        <f t="shared" si="3"/>
        <v>-56000</v>
      </c>
      <c r="H26" s="53">
        <f t="shared" si="4"/>
        <v>0</v>
      </c>
      <c r="I26" s="53">
        <f t="shared" si="5"/>
        <v>0</v>
      </c>
      <c r="J26" s="53">
        <f t="shared" si="6"/>
        <v>0</v>
      </c>
      <c r="K26" s="59">
        <f t="shared" si="7"/>
        <v>0</v>
      </c>
      <c r="L26" s="53">
        <f t="shared" si="8"/>
        <v>0</v>
      </c>
      <c r="M26" s="59">
        <f t="shared" si="9"/>
        <v>-56000</v>
      </c>
      <c r="N26" s="69" t="str">
        <f t="shared" si="10"/>
        <v>已收款未开票/预收</v>
      </c>
      <c r="P26" s="22" t="str">
        <f t="shared" si="11"/>
        <v>宁波恒世通实业有限公司</v>
      </c>
    </row>
    <row r="27">
      <c r="A27" s="56">
        <f>IF($B27="","",22)</f>
        <v>22</v>
      </c>
      <c r="B27" s="66" t="str">
        <f>IF(往来单位!$B$25="","",往来单位!$B$25)</f>
        <v>中国电信股份有限公司宁波分公司</v>
      </c>
      <c r="C27" s="56" t="str">
        <f>IF($B27="","",往来单位!$C$25&amp;"")</f>
        <v>供应商</v>
      </c>
      <c r="D27" s="53">
        <f t="shared" si="0"/>
        <v>0</v>
      </c>
      <c r="E27" s="53">
        <f t="shared" si="1"/>
        <v>0</v>
      </c>
      <c r="F27" s="53">
        <f t="shared" si="2"/>
        <v>0</v>
      </c>
      <c r="G27" s="59">
        <f t="shared" si="3"/>
        <v>0</v>
      </c>
      <c r="H27" s="53">
        <f t="shared" si="4"/>
        <v>0</v>
      </c>
      <c r="I27" s="53">
        <f t="shared" si="5"/>
        <v>398</v>
      </c>
      <c r="J27" s="53">
        <f t="shared" si="6"/>
        <v>214.29</v>
      </c>
      <c r="K27" s="59">
        <f t="shared" si="7"/>
        <v>183.71</v>
      </c>
      <c r="L27" s="53">
        <f t="shared" si="8"/>
        <v>0</v>
      </c>
      <c r="M27" s="59">
        <f t="shared" si="9"/>
        <v>-183.71</v>
      </c>
      <c r="N27" s="69">
        <f t="shared" si="10"/>
      </c>
      <c r="P27" s="22" t="str">
        <f t="shared" si="11"/>
        <v>中国电信股份有限公司宁波分公司</v>
      </c>
    </row>
    <row r="28">
      <c r="A28" s="56">
        <f>IF($B28="","",23)</f>
        <v>23</v>
      </c>
      <c r="B28" s="66" t="str">
        <f>IF(往来单位!$B$26="","",往来单位!$B$26)</f>
        <v>国库（税款）</v>
      </c>
      <c r="C28" s="56" t="str">
        <f>IF($B28="","",往来单位!$C$26&amp;"")</f>
        <v>税务银行</v>
      </c>
      <c r="D28" s="53">
        <f t="shared" si="0"/>
        <v>0</v>
      </c>
      <c r="E28" s="53">
        <f t="shared" si="1"/>
        <v>0</v>
      </c>
      <c r="F28" s="53">
        <f t="shared" si="2"/>
        <v>0</v>
      </c>
      <c r="G28" s="59">
        <f t="shared" si="3"/>
        <v>0</v>
      </c>
      <c r="H28" s="53">
        <f t="shared" si="4"/>
        <v>0</v>
      </c>
      <c r="I28" s="53">
        <f t="shared" si="5"/>
        <v>0</v>
      </c>
      <c r="J28" s="53">
        <f t="shared" si="6"/>
        <v>0</v>
      </c>
      <c r="K28" s="59">
        <f t="shared" si="7"/>
        <v>0</v>
      </c>
      <c r="L28" s="53">
        <f t="shared" si="8"/>
        <v>0</v>
      </c>
      <c r="M28" s="59">
        <f t="shared" si="9"/>
        <v>0</v>
      </c>
      <c r="N28" s="69">
        <f t="shared" si="10"/>
      </c>
      <c r="P28" s="22" t="str">
        <f t="shared" si="11"/>
        <v>国库（税款）</v>
      </c>
    </row>
    <row r="29">
      <c r="A29" s="56">
        <f>IF($B29="","",24)</f>
        <v>24</v>
      </c>
      <c r="B29" s="66" t="str">
        <f>IF(往来单位!$B$27="","",往来单位!$B$27)</f>
        <v>宁波市鄞州钱路新材料有限公司</v>
      </c>
      <c r="C29" s="56" t="str">
        <f>IF($B29="","",往来单位!$C$27&amp;"")</f>
        <v>客户</v>
      </c>
      <c r="D29" s="53">
        <f t="shared" si="0"/>
        <v>0</v>
      </c>
      <c r="E29" s="53">
        <f t="shared" si="1"/>
        <v>0</v>
      </c>
      <c r="F29" s="53">
        <f t="shared" si="2"/>
        <v>16800</v>
      </c>
      <c r="G29" s="59">
        <f t="shared" si="3"/>
        <v>-16800</v>
      </c>
      <c r="H29" s="53">
        <f t="shared" si="4"/>
        <v>0</v>
      </c>
      <c r="I29" s="53">
        <f t="shared" si="5"/>
        <v>0</v>
      </c>
      <c r="J29" s="53">
        <f t="shared" si="6"/>
        <v>0</v>
      </c>
      <c r="K29" s="59">
        <f t="shared" si="7"/>
        <v>0</v>
      </c>
      <c r="L29" s="53">
        <f t="shared" si="8"/>
        <v>0</v>
      </c>
      <c r="M29" s="59">
        <f t="shared" si="9"/>
        <v>-16800</v>
      </c>
      <c r="N29" s="69" t="str">
        <f t="shared" si="10"/>
        <v>已收款未开票/预收</v>
      </c>
      <c r="P29" s="22" t="str">
        <f t="shared" si="11"/>
        <v>宁波市鄞州钱路新材料有限公司</v>
      </c>
    </row>
    <row r="30">
      <c r="A30" s="56">
        <f>IF($B30="","",25)</f>
        <v>25</v>
      </c>
      <c r="B30" s="66" t="str">
        <f>IF(往来单位!$B$28="","",往来单位!$B$28)</f>
        <v>上海康驻达科技有限公司</v>
      </c>
      <c r="C30" s="56" t="str">
        <f>IF($B30="","",往来单位!$C$28&amp;"")</f>
        <v>客户</v>
      </c>
      <c r="D30" s="53">
        <f t="shared" si="0"/>
        <v>0</v>
      </c>
      <c r="E30" s="53">
        <f t="shared" si="1"/>
        <v>0</v>
      </c>
      <c r="F30" s="53">
        <f t="shared" si="2"/>
        <v>46000</v>
      </c>
      <c r="G30" s="59">
        <f t="shared" si="3"/>
        <v>-46000</v>
      </c>
      <c r="H30" s="53">
        <f t="shared" si="4"/>
        <v>0</v>
      </c>
      <c r="I30" s="53">
        <f t="shared" si="5"/>
        <v>0</v>
      </c>
      <c r="J30" s="53">
        <f t="shared" si="6"/>
        <v>0</v>
      </c>
      <c r="K30" s="59">
        <f t="shared" si="7"/>
        <v>0</v>
      </c>
      <c r="L30" s="53">
        <f t="shared" si="8"/>
        <v>0</v>
      </c>
      <c r="M30" s="59">
        <f t="shared" si="9"/>
        <v>-46000</v>
      </c>
      <c r="N30" s="69" t="str">
        <f t="shared" si="10"/>
        <v>已收款未开票/预收</v>
      </c>
      <c r="P30" s="22" t="str">
        <f t="shared" si="11"/>
        <v>上海康驻达科技有限公司</v>
      </c>
    </row>
    <row r="31">
      <c r="A31" s="56">
        <f>IF($B31="","",26)</f>
        <v>26</v>
      </c>
      <c r="B31" s="66" t="str">
        <f>IF(往来单位!$B$29="","",往来单位!$B$29)</f>
        <v>思佰科（宁波）工程服务有限公司</v>
      </c>
      <c r="C31" s="56" t="str">
        <f>IF($B31="","",往来单位!$C$29&amp;"")</f>
        <v>客户</v>
      </c>
      <c r="D31" s="53">
        <f t="shared" si="0"/>
        <v>0</v>
      </c>
      <c r="E31" s="53">
        <f t="shared" si="1"/>
        <v>0</v>
      </c>
      <c r="F31" s="53">
        <f t="shared" si="2"/>
        <v>2000</v>
      </c>
      <c r="G31" s="59">
        <f t="shared" si="3"/>
        <v>-2000</v>
      </c>
      <c r="H31" s="53">
        <f t="shared" si="4"/>
        <v>0</v>
      </c>
      <c r="I31" s="53">
        <f t="shared" si="5"/>
        <v>0</v>
      </c>
      <c r="J31" s="53">
        <f t="shared" si="6"/>
        <v>0</v>
      </c>
      <c r="K31" s="59">
        <f t="shared" si="7"/>
        <v>0</v>
      </c>
      <c r="L31" s="53">
        <f t="shared" si="8"/>
        <v>0</v>
      </c>
      <c r="M31" s="59">
        <f t="shared" si="9"/>
        <v>-2000</v>
      </c>
      <c r="N31" s="69" t="str">
        <f t="shared" si="10"/>
        <v>已收款未开票/预收</v>
      </c>
      <c r="P31" s="22" t="str">
        <f t="shared" si="11"/>
        <v>思佰科（宁波）工程服务有限公司</v>
      </c>
    </row>
    <row r="32">
      <c r="A32" s="56">
        <f>IF($B32="","",27)</f>
        <v>27</v>
      </c>
      <c r="B32" s="66" t="str">
        <f>IF(往来单位!$B$30="","",往来单位!$B$30)</f>
        <v>宁波宫泽精密机械有限公司</v>
      </c>
      <c r="C32" s="56" t="str">
        <f>IF($B32="","",往来单位!$C$30&amp;"")</f>
        <v>客户</v>
      </c>
      <c r="D32" s="53">
        <f t="shared" si="0"/>
        <v>0</v>
      </c>
      <c r="E32" s="53">
        <f t="shared" si="1"/>
        <v>0</v>
      </c>
      <c r="F32" s="53">
        <f t="shared" si="2"/>
        <v>15000</v>
      </c>
      <c r="G32" s="59">
        <f t="shared" si="3"/>
        <v>-15000</v>
      </c>
      <c r="H32" s="53">
        <f t="shared" si="4"/>
        <v>0</v>
      </c>
      <c r="I32" s="53">
        <f t="shared" si="5"/>
        <v>0</v>
      </c>
      <c r="J32" s="53">
        <f t="shared" si="6"/>
        <v>0</v>
      </c>
      <c r="K32" s="59">
        <f t="shared" si="7"/>
        <v>0</v>
      </c>
      <c r="L32" s="53">
        <f t="shared" si="8"/>
        <v>0</v>
      </c>
      <c r="M32" s="59">
        <f t="shared" si="9"/>
        <v>-15000</v>
      </c>
      <c r="N32" s="69" t="str">
        <f t="shared" si="10"/>
        <v>已收款未开票/预收</v>
      </c>
      <c r="P32" s="22" t="str">
        <f t="shared" si="11"/>
        <v>宁波宫泽精密机械有限公司</v>
      </c>
    </row>
    <row r="33">
      <c r="A33" s="56">
        <f>IF($B33="","",28)</f>
        <v>28</v>
      </c>
      <c r="B33" s="66" t="str">
        <f>IF(往来单位!$B$31="","",往来单位!$B$31)</f>
        <v>苏州工业园区猫受屋百货零售店（个体工商户）</v>
      </c>
      <c r="C33" s="56" t="str">
        <f>IF($B33="","",往来单位!$C$31&amp;"")</f>
        <v>客户</v>
      </c>
      <c r="D33" s="53">
        <f t="shared" si="0"/>
        <v>0</v>
      </c>
      <c r="E33" s="53">
        <f t="shared" si="1"/>
        <v>0</v>
      </c>
      <c r="F33" s="53">
        <f t="shared" si="2"/>
        <v>600</v>
      </c>
      <c r="G33" s="59">
        <f t="shared" si="3"/>
        <v>-600</v>
      </c>
      <c r="H33" s="53">
        <f t="shared" si="4"/>
        <v>0</v>
      </c>
      <c r="I33" s="53">
        <f t="shared" si="5"/>
        <v>0</v>
      </c>
      <c r="J33" s="53">
        <f t="shared" si="6"/>
        <v>0</v>
      </c>
      <c r="K33" s="59">
        <f t="shared" si="7"/>
        <v>0</v>
      </c>
      <c r="L33" s="53">
        <f t="shared" si="8"/>
        <v>0</v>
      </c>
      <c r="M33" s="59">
        <f t="shared" si="9"/>
        <v>-600</v>
      </c>
      <c r="N33" s="69" t="str">
        <f t="shared" si="10"/>
        <v>已收款未开票/预收</v>
      </c>
      <c r="P33" s="22" t="str">
        <f t="shared" si="11"/>
        <v>苏州工业园区猫受屋百货零售店（个体工商户）</v>
      </c>
    </row>
    <row r="34">
      <c r="A34" s="56">
        <f>IF($B34="","",29)</f>
        <v>29</v>
      </c>
      <c r="B34" s="66" t="str">
        <f>IF(往来单位!$B$32="","",往来单位!$B$32)</f>
        <v>秦淮区猫受屋百货零售店（个体工商户）</v>
      </c>
      <c r="C34" s="56" t="str">
        <f>IF($B34="","",往来单位!$C$32&amp;"")</f>
        <v>客户</v>
      </c>
      <c r="D34" s="53">
        <f t="shared" si="0"/>
        <v>0</v>
      </c>
      <c r="E34" s="53">
        <f t="shared" si="1"/>
        <v>0</v>
      </c>
      <c r="F34" s="53">
        <f t="shared" si="2"/>
        <v>600</v>
      </c>
      <c r="G34" s="59">
        <f t="shared" si="3"/>
        <v>-600</v>
      </c>
      <c r="H34" s="53">
        <f t="shared" si="4"/>
        <v>0</v>
      </c>
      <c r="I34" s="53">
        <f t="shared" si="5"/>
        <v>0</v>
      </c>
      <c r="J34" s="53">
        <f t="shared" si="6"/>
        <v>0</v>
      </c>
      <c r="K34" s="59">
        <f t="shared" si="7"/>
        <v>0</v>
      </c>
      <c r="L34" s="53">
        <f t="shared" si="8"/>
        <v>0</v>
      </c>
      <c r="M34" s="59">
        <f t="shared" si="9"/>
        <v>-600</v>
      </c>
      <c r="N34" s="69" t="str">
        <f t="shared" si="10"/>
        <v>已收款未开票/预收</v>
      </c>
      <c r="P34" s="22" t="str">
        <f t="shared" si="11"/>
        <v>秦淮区猫受屋百货零售店（个体工商户）</v>
      </c>
    </row>
    <row r="35">
      <c r="A35" s="56">
        <f>IF($B35="","",30)</f>
        <v>30</v>
      </c>
      <c r="B35" s="66" t="str">
        <f>IF(往来单位!$B$33="","",往来单位!$B$33)</f>
        <v>西安市雁塔区谷的猫百货零售店（个体工商户）</v>
      </c>
      <c r="C35" s="56" t="str">
        <f>IF($B35="","",往来单位!$C$33&amp;"")</f>
        <v>客户</v>
      </c>
      <c r="D35" s="53">
        <f t="shared" si="0"/>
        <v>0</v>
      </c>
      <c r="E35" s="53">
        <f t="shared" si="1"/>
        <v>0</v>
      </c>
      <c r="F35" s="53">
        <f t="shared" si="2"/>
        <v>600</v>
      </c>
      <c r="G35" s="59">
        <f t="shared" si="3"/>
        <v>-600</v>
      </c>
      <c r="H35" s="53">
        <f t="shared" si="4"/>
        <v>0</v>
      </c>
      <c r="I35" s="53">
        <f t="shared" si="5"/>
        <v>0</v>
      </c>
      <c r="J35" s="53">
        <f t="shared" si="6"/>
        <v>0</v>
      </c>
      <c r="K35" s="59">
        <f t="shared" si="7"/>
        <v>0</v>
      </c>
      <c r="L35" s="53">
        <f t="shared" si="8"/>
        <v>0</v>
      </c>
      <c r="M35" s="59">
        <f t="shared" si="9"/>
        <v>-600</v>
      </c>
      <c r="N35" s="69" t="str">
        <f t="shared" si="10"/>
        <v>已收款未开票/预收</v>
      </c>
      <c r="P35" s="22" t="str">
        <f t="shared" si="11"/>
        <v>西安市雁塔区谷的猫百货零售店（个体工商户）</v>
      </c>
    </row>
    <row r="36">
      <c r="A36" s="56">
        <f>IF($B36="","",31)</f>
      </c>
      <c r="B36" s="66">
        <f>IF(往来单位!$B$34="","",往来单位!$B$34)</f>
      </c>
      <c r="C36" s="56">
        <f>IF($B36="","",往来单位!$C$34&amp;"")</f>
      </c>
      <c r="D36" s="53">
        <f t="shared" si="0"/>
      </c>
      <c r="E36" s="53">
        <f t="shared" si="1"/>
      </c>
      <c r="F36" s="53">
        <f t="shared" si="2"/>
      </c>
      <c r="G36" s="59">
        <f t="shared" si="3"/>
      </c>
      <c r="H36" s="53">
        <f t="shared" si="4"/>
      </c>
      <c r="I36" s="53">
        <f t="shared" si="5"/>
      </c>
      <c r="J36" s="53">
        <f t="shared" si="6"/>
      </c>
      <c r="K36" s="59">
        <f t="shared" si="7"/>
      </c>
      <c r="L36" s="53">
        <f t="shared" si="8"/>
      </c>
      <c r="M36" s="59">
        <f t="shared" si="9"/>
      </c>
      <c r="N36" s="69">
        <f t="shared" si="10"/>
      </c>
      <c r="P36" s="22">
        <f t="shared" si="11"/>
      </c>
    </row>
    <row r="37">
      <c r="A37" s="56">
        <f>IF($B37="","",32)</f>
      </c>
      <c r="B37" s="66">
        <f>IF(往来单位!$B$35="","",往来单位!$B$35)</f>
      </c>
      <c r="C37" s="56">
        <f>IF($B37="","",往来单位!$C$35&amp;"")</f>
      </c>
      <c r="D37" s="53">
        <f t="shared" si="0"/>
      </c>
      <c r="E37" s="53">
        <f t="shared" si="1"/>
      </c>
      <c r="F37" s="53">
        <f t="shared" si="2"/>
      </c>
      <c r="G37" s="59">
        <f t="shared" si="3"/>
      </c>
      <c r="H37" s="53">
        <f t="shared" si="4"/>
      </c>
      <c r="I37" s="53">
        <f t="shared" si="5"/>
      </c>
      <c r="J37" s="53">
        <f t="shared" si="6"/>
      </c>
      <c r="K37" s="59">
        <f t="shared" si="7"/>
      </c>
      <c r="L37" s="53">
        <f t="shared" si="8"/>
      </c>
      <c r="M37" s="59">
        <f t="shared" si="9"/>
      </c>
      <c r="N37" s="69">
        <f t="shared" si="10"/>
      </c>
      <c r="P37" s="22">
        <f t="shared" si="11"/>
      </c>
    </row>
    <row r="38">
      <c r="A38" s="56">
        <f>IF($B38="","",33)</f>
      </c>
      <c r="B38" s="66">
        <f>IF(往来单位!$B$36="","",往来单位!$B$36)</f>
      </c>
      <c r="C38" s="56">
        <f>IF($B38="","",往来单位!$C$36&amp;"")</f>
      </c>
      <c r="D38" s="53">
        <f t="shared" si="0"/>
      </c>
      <c r="E38" s="53">
        <f t="shared" si="1"/>
      </c>
      <c r="F38" s="53">
        <f t="shared" si="2"/>
      </c>
      <c r="G38" s="59">
        <f t="shared" si="3"/>
      </c>
      <c r="H38" s="53">
        <f t="shared" si="4"/>
      </c>
      <c r="I38" s="53">
        <f t="shared" si="5"/>
      </c>
      <c r="J38" s="53">
        <f t="shared" si="6"/>
      </c>
      <c r="K38" s="59">
        <f t="shared" si="7"/>
      </c>
      <c r="L38" s="53">
        <f t="shared" si="8"/>
      </c>
      <c r="M38" s="59">
        <f t="shared" si="9"/>
      </c>
      <c r="N38" s="69">
        <f t="shared" si="10"/>
      </c>
      <c r="P38" s="22">
        <f t="shared" si="11"/>
      </c>
    </row>
    <row r="39">
      <c r="A39" s="56">
        <f>IF($B39="","",34)</f>
      </c>
      <c r="B39" s="66">
        <f>IF(往来单位!$B$37="","",往来单位!$B$37)</f>
      </c>
      <c r="C39" s="56">
        <f>IF($B39="","",往来单位!$C$37&amp;"")</f>
      </c>
      <c r="D39" s="53">
        <f t="shared" si="0"/>
      </c>
      <c r="E39" s="53">
        <f t="shared" si="1"/>
      </c>
      <c r="F39" s="53">
        <f t="shared" si="2"/>
      </c>
      <c r="G39" s="59">
        <f t="shared" si="3"/>
      </c>
      <c r="H39" s="53">
        <f t="shared" si="4"/>
      </c>
      <c r="I39" s="53">
        <f t="shared" si="5"/>
      </c>
      <c r="J39" s="53">
        <f t="shared" si="6"/>
      </c>
      <c r="K39" s="59">
        <f t="shared" si="7"/>
      </c>
      <c r="L39" s="53">
        <f t="shared" si="8"/>
      </c>
      <c r="M39" s="59">
        <f t="shared" si="9"/>
      </c>
      <c r="N39" s="69">
        <f t="shared" si="10"/>
      </c>
      <c r="P39" s="22">
        <f t="shared" si="11"/>
      </c>
    </row>
    <row r="40">
      <c r="A40" s="56">
        <f>IF($B40="","",35)</f>
      </c>
      <c r="B40" s="66">
        <f>IF(往来单位!$B$38="","",往来单位!$B$38)</f>
      </c>
      <c r="C40" s="56">
        <f>IF($B40="","",往来单位!$C$38&amp;"")</f>
      </c>
      <c r="D40" s="53">
        <f t="shared" si="0"/>
      </c>
      <c r="E40" s="53">
        <f t="shared" si="1"/>
      </c>
      <c r="F40" s="53">
        <f t="shared" si="2"/>
      </c>
      <c r="G40" s="59">
        <f t="shared" si="3"/>
      </c>
      <c r="H40" s="53">
        <f t="shared" si="4"/>
      </c>
      <c r="I40" s="53">
        <f t="shared" si="5"/>
      </c>
      <c r="J40" s="53">
        <f t="shared" si="6"/>
      </c>
      <c r="K40" s="59">
        <f t="shared" si="7"/>
      </c>
      <c r="L40" s="53">
        <f t="shared" si="8"/>
      </c>
      <c r="M40" s="59">
        <f t="shared" si="9"/>
      </c>
      <c r="N40" s="69">
        <f t="shared" si="10"/>
      </c>
      <c r="P40" s="22">
        <f t="shared" si="11"/>
      </c>
    </row>
    <row r="41">
      <c r="A41" s="56">
        <f>IF($B41="","",36)</f>
      </c>
      <c r="B41" s="66">
        <f>IF(往来单位!$B$39="","",往来单位!$B$39)</f>
      </c>
      <c r="C41" s="56">
        <f>IF($B41="","",往来单位!$C$39&amp;"")</f>
      </c>
      <c r="D41" s="53">
        <f t="shared" si="0"/>
      </c>
      <c r="E41" s="53">
        <f t="shared" si="1"/>
      </c>
      <c r="F41" s="53">
        <f t="shared" si="2"/>
      </c>
      <c r="G41" s="59">
        <f t="shared" si="3"/>
      </c>
      <c r="H41" s="53">
        <f t="shared" si="4"/>
      </c>
      <c r="I41" s="53">
        <f t="shared" si="5"/>
      </c>
      <c r="J41" s="53">
        <f t="shared" si="6"/>
      </c>
      <c r="K41" s="59">
        <f t="shared" si="7"/>
      </c>
      <c r="L41" s="53">
        <f t="shared" si="8"/>
      </c>
      <c r="M41" s="59">
        <f t="shared" si="9"/>
      </c>
      <c r="N41" s="69">
        <f t="shared" si="10"/>
      </c>
      <c r="P41" s="22">
        <f t="shared" si="11"/>
      </c>
    </row>
    <row r="42">
      <c r="A42" s="56">
        <f>IF($B42="","",37)</f>
      </c>
      <c r="B42" s="66">
        <f>IF(往来单位!$B$40="","",往来单位!$B$40)</f>
      </c>
      <c r="C42" s="56">
        <f>IF($B42="","",往来单位!$C$40&amp;"")</f>
      </c>
      <c r="D42" s="53">
        <f t="shared" si="0"/>
      </c>
      <c r="E42" s="53">
        <f t="shared" si="1"/>
      </c>
      <c r="F42" s="53">
        <f t="shared" si="2"/>
      </c>
      <c r="G42" s="59">
        <f t="shared" si="3"/>
      </c>
      <c r="H42" s="53">
        <f t="shared" si="4"/>
      </c>
      <c r="I42" s="53">
        <f t="shared" si="5"/>
      </c>
      <c r="J42" s="53">
        <f t="shared" si="6"/>
      </c>
      <c r="K42" s="59">
        <f t="shared" si="7"/>
      </c>
      <c r="L42" s="53">
        <f t="shared" si="8"/>
      </c>
      <c r="M42" s="59">
        <f t="shared" si="9"/>
      </c>
      <c r="N42" s="69">
        <f t="shared" si="10"/>
      </c>
      <c r="P42" s="22">
        <f t="shared" si="11"/>
      </c>
    </row>
    <row r="43">
      <c r="A43" s="56">
        <f>IF($B43="","",38)</f>
      </c>
      <c r="B43" s="66">
        <f>IF(往来单位!$B$41="","",往来单位!$B$41)</f>
      </c>
      <c r="C43" s="56">
        <f>IF($B43="","",往来单位!$C$41&amp;"")</f>
      </c>
      <c r="D43" s="53">
        <f t="shared" si="0"/>
      </c>
      <c r="E43" s="53">
        <f t="shared" si="1"/>
      </c>
      <c r="F43" s="53">
        <f t="shared" si="2"/>
      </c>
      <c r="G43" s="59">
        <f t="shared" si="3"/>
      </c>
      <c r="H43" s="53">
        <f t="shared" si="4"/>
      </c>
      <c r="I43" s="53">
        <f t="shared" si="5"/>
      </c>
      <c r="J43" s="53">
        <f t="shared" si="6"/>
      </c>
      <c r="K43" s="59">
        <f t="shared" si="7"/>
      </c>
      <c r="L43" s="53">
        <f t="shared" si="8"/>
      </c>
      <c r="M43" s="59">
        <f t="shared" si="9"/>
      </c>
      <c r="N43" s="69">
        <f t="shared" si="10"/>
      </c>
      <c r="P43" s="22">
        <f t="shared" si="11"/>
      </c>
    </row>
    <row r="44">
      <c r="A44" s="56">
        <f>IF($B44="","",39)</f>
      </c>
      <c r="B44" s="66">
        <f>IF(往来单位!$B$42="","",往来单位!$B$42)</f>
      </c>
      <c r="C44" s="56">
        <f>IF($B44="","",往来单位!$C$42&amp;"")</f>
      </c>
      <c r="D44" s="53">
        <f t="shared" si="0"/>
      </c>
      <c r="E44" s="53">
        <f t="shared" si="1"/>
      </c>
      <c r="F44" s="53">
        <f t="shared" si="2"/>
      </c>
      <c r="G44" s="59">
        <f t="shared" si="3"/>
      </c>
      <c r="H44" s="53">
        <f t="shared" si="4"/>
      </c>
      <c r="I44" s="53">
        <f t="shared" si="5"/>
      </c>
      <c r="J44" s="53">
        <f t="shared" si="6"/>
      </c>
      <c r="K44" s="59">
        <f t="shared" si="7"/>
      </c>
      <c r="L44" s="53">
        <f t="shared" si="8"/>
      </c>
      <c r="M44" s="59">
        <f t="shared" si="9"/>
      </c>
      <c r="N44" s="69">
        <f t="shared" si="10"/>
      </c>
      <c r="P44" s="22">
        <f t="shared" si="11"/>
      </c>
    </row>
    <row r="45">
      <c r="A45" s="56">
        <f>IF($B45="","",40)</f>
      </c>
      <c r="B45" s="66">
        <f>IF(往来单位!$B$43="","",往来单位!$B$43)</f>
      </c>
      <c r="C45" s="56">
        <f>IF($B45="","",往来单位!$C$43&amp;"")</f>
      </c>
      <c r="D45" s="53">
        <f t="shared" si="0"/>
      </c>
      <c r="E45" s="53">
        <f t="shared" si="1"/>
      </c>
      <c r="F45" s="53">
        <f t="shared" si="2"/>
      </c>
      <c r="G45" s="59">
        <f t="shared" si="3"/>
      </c>
      <c r="H45" s="53">
        <f t="shared" si="4"/>
      </c>
      <c r="I45" s="53">
        <f t="shared" si="5"/>
      </c>
      <c r="J45" s="53">
        <f t="shared" si="6"/>
      </c>
      <c r="K45" s="59">
        <f t="shared" si="7"/>
      </c>
      <c r="L45" s="53">
        <f t="shared" si="8"/>
      </c>
      <c r="M45" s="59">
        <f t="shared" si="9"/>
      </c>
      <c r="N45" s="69">
        <f t="shared" si="10"/>
      </c>
      <c r="P45" s="22">
        <f t="shared" si="11"/>
      </c>
    </row>
    <row r="46">
      <c r="A46" s="56">
        <f>IF($B46="","",41)</f>
      </c>
      <c r="B46" s="66">
        <f>IF(往来单位!$B$44="","",往来单位!$B$44)</f>
      </c>
      <c r="C46" s="56">
        <f>IF($B46="","",往来单位!$C$44&amp;"")</f>
      </c>
      <c r="D46" s="53">
        <f t="shared" si="0"/>
      </c>
      <c r="E46" s="53">
        <f t="shared" si="1"/>
      </c>
      <c r="F46" s="53">
        <f t="shared" si="2"/>
      </c>
      <c r="G46" s="59">
        <f t="shared" si="3"/>
      </c>
      <c r="H46" s="53">
        <f t="shared" si="4"/>
      </c>
      <c r="I46" s="53">
        <f t="shared" si="5"/>
      </c>
      <c r="J46" s="53">
        <f t="shared" si="6"/>
      </c>
      <c r="K46" s="59">
        <f t="shared" si="7"/>
      </c>
      <c r="L46" s="53">
        <f t="shared" si="8"/>
      </c>
      <c r="M46" s="59">
        <f t="shared" si="9"/>
      </c>
      <c r="N46" s="69">
        <f t="shared" si="10"/>
      </c>
      <c r="P46" s="22">
        <f t="shared" si="11"/>
      </c>
    </row>
    <row r="47">
      <c r="A47" s="56">
        <f>IF($B47="","",42)</f>
      </c>
      <c r="B47" s="66">
        <f>IF(往来单位!$B$45="","",往来单位!$B$45)</f>
      </c>
      <c r="C47" s="56">
        <f>IF($B47="","",往来单位!$C$45&amp;"")</f>
      </c>
      <c r="D47" s="53">
        <f t="shared" si="0"/>
      </c>
      <c r="E47" s="53">
        <f t="shared" si="1"/>
      </c>
      <c r="F47" s="53">
        <f t="shared" si="2"/>
      </c>
      <c r="G47" s="59">
        <f t="shared" si="3"/>
      </c>
      <c r="H47" s="53">
        <f t="shared" si="4"/>
      </c>
      <c r="I47" s="53">
        <f t="shared" si="5"/>
      </c>
      <c r="J47" s="53">
        <f t="shared" si="6"/>
      </c>
      <c r="K47" s="59">
        <f t="shared" si="7"/>
      </c>
      <c r="L47" s="53">
        <f t="shared" si="8"/>
      </c>
      <c r="M47" s="59">
        <f t="shared" si="9"/>
      </c>
      <c r="N47" s="69">
        <f t="shared" si="10"/>
      </c>
      <c r="P47" s="22">
        <f t="shared" si="11"/>
      </c>
    </row>
    <row r="48">
      <c r="A48" s="56">
        <f>IF($B48="","",43)</f>
      </c>
      <c r="B48" s="66">
        <f>IF(往来单位!$B$46="","",往来单位!$B$46)</f>
      </c>
      <c r="C48" s="56">
        <f>IF($B48="","",往来单位!$C$46&amp;"")</f>
      </c>
      <c r="D48" s="53">
        <f t="shared" si="0"/>
      </c>
      <c r="E48" s="53">
        <f t="shared" si="1"/>
      </c>
      <c r="F48" s="53">
        <f t="shared" si="2"/>
      </c>
      <c r="G48" s="59">
        <f t="shared" si="3"/>
      </c>
      <c r="H48" s="53">
        <f t="shared" si="4"/>
      </c>
      <c r="I48" s="53">
        <f t="shared" si="5"/>
      </c>
      <c r="J48" s="53">
        <f t="shared" si="6"/>
      </c>
      <c r="K48" s="59">
        <f t="shared" si="7"/>
      </c>
      <c r="L48" s="53">
        <f t="shared" si="8"/>
      </c>
      <c r="M48" s="59">
        <f t="shared" si="9"/>
      </c>
      <c r="N48" s="69">
        <f t="shared" si="10"/>
      </c>
      <c r="P48" s="22">
        <f t="shared" si="11"/>
      </c>
    </row>
    <row r="49">
      <c r="A49" s="56">
        <f>IF($B49="","",44)</f>
      </c>
      <c r="B49" s="66">
        <f>IF(往来单位!$B$47="","",往来单位!$B$47)</f>
      </c>
      <c r="C49" s="56">
        <f>IF($B49="","",往来单位!$C$47&amp;"")</f>
      </c>
      <c r="D49" s="53">
        <f t="shared" si="0"/>
      </c>
      <c r="E49" s="53">
        <f t="shared" si="1"/>
      </c>
      <c r="F49" s="53">
        <f t="shared" si="2"/>
      </c>
      <c r="G49" s="59">
        <f t="shared" si="3"/>
      </c>
      <c r="H49" s="53">
        <f t="shared" si="4"/>
      </c>
      <c r="I49" s="53">
        <f t="shared" si="5"/>
      </c>
      <c r="J49" s="53">
        <f t="shared" si="6"/>
      </c>
      <c r="K49" s="59">
        <f t="shared" si="7"/>
      </c>
      <c r="L49" s="53">
        <f t="shared" si="8"/>
      </c>
      <c r="M49" s="59">
        <f t="shared" si="9"/>
      </c>
      <c r="N49" s="69">
        <f t="shared" si="10"/>
      </c>
      <c r="P49" s="22">
        <f t="shared" si="11"/>
      </c>
    </row>
    <row r="50">
      <c r="A50" s="56">
        <f>IF($B50="","",45)</f>
      </c>
      <c r="B50" s="66">
        <f>IF(往来单位!$B$48="","",往来单位!$B$48)</f>
      </c>
      <c r="C50" s="56">
        <f>IF($B50="","",往来单位!$C$48&amp;"")</f>
      </c>
      <c r="D50" s="53">
        <f t="shared" si="0"/>
      </c>
      <c r="E50" s="53">
        <f t="shared" si="1"/>
      </c>
      <c r="F50" s="53">
        <f t="shared" si="2"/>
      </c>
      <c r="G50" s="59">
        <f t="shared" si="3"/>
      </c>
      <c r="H50" s="53">
        <f t="shared" si="4"/>
      </c>
      <c r="I50" s="53">
        <f t="shared" si="5"/>
      </c>
      <c r="J50" s="53">
        <f t="shared" si="6"/>
      </c>
      <c r="K50" s="59">
        <f t="shared" si="7"/>
      </c>
      <c r="L50" s="53">
        <f t="shared" si="8"/>
      </c>
      <c r="M50" s="59">
        <f t="shared" si="9"/>
      </c>
      <c r="N50" s="69">
        <f t="shared" si="10"/>
      </c>
      <c r="P50" s="22">
        <f t="shared" si="11"/>
      </c>
    </row>
    <row r="51">
      <c r="A51" s="56">
        <f>IF($B51="","",46)</f>
      </c>
      <c r="B51" s="66">
        <f>IF(往来单位!$B$49="","",往来单位!$B$49)</f>
      </c>
      <c r="C51" s="56">
        <f>IF($B51="","",往来单位!$C$49&amp;"")</f>
      </c>
      <c r="D51" s="53">
        <f t="shared" si="0"/>
      </c>
      <c r="E51" s="53">
        <f t="shared" si="1"/>
      </c>
      <c r="F51" s="53">
        <f t="shared" si="2"/>
      </c>
      <c r="G51" s="59">
        <f t="shared" si="3"/>
      </c>
      <c r="H51" s="53">
        <f t="shared" si="4"/>
      </c>
      <c r="I51" s="53">
        <f t="shared" si="5"/>
      </c>
      <c r="J51" s="53">
        <f t="shared" si="6"/>
      </c>
      <c r="K51" s="59">
        <f t="shared" si="7"/>
      </c>
      <c r="L51" s="53">
        <f t="shared" si="8"/>
      </c>
      <c r="M51" s="59">
        <f t="shared" si="9"/>
      </c>
      <c r="N51" s="69">
        <f t="shared" si="10"/>
      </c>
      <c r="P51" s="22">
        <f t="shared" si="11"/>
      </c>
    </row>
    <row r="52">
      <c r="A52" s="56">
        <f>IF($B52="","",47)</f>
      </c>
      <c r="B52" s="66">
        <f>IF(往来单位!$B$50="","",往来单位!$B$50)</f>
      </c>
      <c r="C52" s="56">
        <f>IF($B52="","",往来单位!$C$50&amp;"")</f>
      </c>
      <c r="D52" s="53">
        <f t="shared" si="0"/>
      </c>
      <c r="E52" s="53">
        <f t="shared" si="1"/>
      </c>
      <c r="F52" s="53">
        <f t="shared" si="2"/>
      </c>
      <c r="G52" s="59">
        <f t="shared" si="3"/>
      </c>
      <c r="H52" s="53">
        <f t="shared" si="4"/>
      </c>
      <c r="I52" s="53">
        <f t="shared" si="5"/>
      </c>
      <c r="J52" s="53">
        <f t="shared" si="6"/>
      </c>
      <c r="K52" s="59">
        <f t="shared" si="7"/>
      </c>
      <c r="L52" s="53">
        <f t="shared" si="8"/>
      </c>
      <c r="M52" s="59">
        <f t="shared" si="9"/>
      </c>
      <c r="N52" s="69">
        <f t="shared" si="10"/>
      </c>
      <c r="P52" s="22">
        <f t="shared" si="11"/>
      </c>
    </row>
    <row r="53">
      <c r="A53" s="56">
        <f>IF($B53="","",48)</f>
      </c>
      <c r="B53" s="66">
        <f>IF(往来单位!$B$51="","",往来单位!$B$51)</f>
      </c>
      <c r="C53" s="56">
        <f>IF($B53="","",往来单位!$C$51&amp;"")</f>
      </c>
      <c r="D53" s="53">
        <f t="shared" si="0"/>
      </c>
      <c r="E53" s="53">
        <f t="shared" si="1"/>
      </c>
      <c r="F53" s="53">
        <f t="shared" si="2"/>
      </c>
      <c r="G53" s="59">
        <f t="shared" si="3"/>
      </c>
      <c r="H53" s="53">
        <f t="shared" si="4"/>
      </c>
      <c r="I53" s="53">
        <f t="shared" si="5"/>
      </c>
      <c r="J53" s="53">
        <f t="shared" si="6"/>
      </c>
      <c r="K53" s="59">
        <f t="shared" si="7"/>
      </c>
      <c r="L53" s="53">
        <f t="shared" si="8"/>
      </c>
      <c r="M53" s="59">
        <f t="shared" si="9"/>
      </c>
      <c r="N53" s="69">
        <f t="shared" si="10"/>
      </c>
      <c r="P53" s="22">
        <f t="shared" si="11"/>
      </c>
    </row>
    <row r="54">
      <c r="A54" s="56">
        <f>IF($B54="","",49)</f>
      </c>
      <c r="B54" s="66">
        <f>IF(往来单位!$B$52="","",往来单位!$B$52)</f>
      </c>
      <c r="C54" s="56">
        <f>IF($B54="","",往来单位!$C$52&amp;"")</f>
      </c>
      <c r="D54" s="53">
        <f t="shared" si="0"/>
      </c>
      <c r="E54" s="53">
        <f t="shared" si="1"/>
      </c>
      <c r="F54" s="53">
        <f t="shared" si="2"/>
      </c>
      <c r="G54" s="59">
        <f t="shared" si="3"/>
      </c>
      <c r="H54" s="53">
        <f t="shared" si="4"/>
      </c>
      <c r="I54" s="53">
        <f t="shared" si="5"/>
      </c>
      <c r="J54" s="53">
        <f t="shared" si="6"/>
      </c>
      <c r="K54" s="59">
        <f t="shared" si="7"/>
      </c>
      <c r="L54" s="53">
        <f t="shared" si="8"/>
      </c>
      <c r="M54" s="59">
        <f t="shared" si="9"/>
      </c>
      <c r="N54" s="69">
        <f t="shared" si="10"/>
      </c>
      <c r="P54" s="22">
        <f t="shared" si="11"/>
      </c>
    </row>
    <row r="55">
      <c r="A55" s="56">
        <f>IF($B55="","",50)</f>
      </c>
      <c r="B55" s="66">
        <f>IF(往来单位!$B$53="","",往来单位!$B$53)</f>
      </c>
      <c r="C55" s="56">
        <f>IF($B55="","",往来单位!$C$53&amp;"")</f>
      </c>
      <c r="D55" s="53">
        <f t="shared" si="0"/>
      </c>
      <c r="E55" s="53">
        <f t="shared" si="1"/>
      </c>
      <c r="F55" s="53">
        <f t="shared" si="2"/>
      </c>
      <c r="G55" s="59">
        <f t="shared" si="3"/>
      </c>
      <c r="H55" s="53">
        <f t="shared" si="4"/>
      </c>
      <c r="I55" s="53">
        <f t="shared" si="5"/>
      </c>
      <c r="J55" s="53">
        <f t="shared" si="6"/>
      </c>
      <c r="K55" s="59">
        <f t="shared" si="7"/>
      </c>
      <c r="L55" s="53">
        <f t="shared" si="8"/>
      </c>
      <c r="M55" s="59">
        <f t="shared" si="9"/>
      </c>
      <c r="N55" s="69">
        <f t="shared" si="10"/>
      </c>
      <c r="P55" s="22">
        <f t="shared" si="11"/>
      </c>
    </row>
    <row r="56">
      <c r="A56" s="56">
        <f>IF($B56="","",51)</f>
      </c>
      <c r="B56" s="66">
        <f>IF(往来单位!$B$54="","",往来单位!$B$54)</f>
      </c>
      <c r="C56" s="56">
        <f>IF($B56="","",往来单位!$C$54&amp;"")</f>
      </c>
      <c r="D56" s="53">
        <f t="shared" si="0"/>
      </c>
      <c r="E56" s="53">
        <f t="shared" si="1"/>
      </c>
      <c r="F56" s="53">
        <f t="shared" si="2"/>
      </c>
      <c r="G56" s="59">
        <f t="shared" si="3"/>
      </c>
      <c r="H56" s="53">
        <f t="shared" si="4"/>
      </c>
      <c r="I56" s="53">
        <f t="shared" si="5"/>
      </c>
      <c r="J56" s="53">
        <f t="shared" si="6"/>
      </c>
      <c r="K56" s="59">
        <f t="shared" si="7"/>
      </c>
      <c r="L56" s="53">
        <f t="shared" si="8"/>
      </c>
      <c r="M56" s="59">
        <f t="shared" si="9"/>
      </c>
      <c r="N56" s="69">
        <f t="shared" si="10"/>
      </c>
      <c r="P56" s="22">
        <f t="shared" si="11"/>
      </c>
    </row>
    <row r="57">
      <c r="A57" s="56">
        <f>IF($B57="","",52)</f>
      </c>
      <c r="B57" s="66">
        <f>IF(往来单位!$B$55="","",往来单位!$B$55)</f>
      </c>
      <c r="C57" s="56">
        <f>IF($B57="","",往来单位!$C$55&amp;"")</f>
      </c>
      <c r="D57" s="53">
        <f t="shared" si="0"/>
      </c>
      <c r="E57" s="53">
        <f t="shared" si="1"/>
      </c>
      <c r="F57" s="53">
        <f t="shared" si="2"/>
      </c>
      <c r="G57" s="59">
        <f t="shared" si="3"/>
      </c>
      <c r="H57" s="53">
        <f t="shared" si="4"/>
      </c>
      <c r="I57" s="53">
        <f t="shared" si="5"/>
      </c>
      <c r="J57" s="53">
        <f t="shared" si="6"/>
      </c>
      <c r="K57" s="59">
        <f t="shared" si="7"/>
      </c>
      <c r="L57" s="53">
        <f t="shared" si="8"/>
      </c>
      <c r="M57" s="59">
        <f t="shared" si="9"/>
      </c>
      <c r="N57" s="69">
        <f t="shared" si="10"/>
      </c>
      <c r="P57" s="22">
        <f t="shared" si="11"/>
      </c>
    </row>
    <row r="58">
      <c r="A58" s="56">
        <f>IF($B58="","",53)</f>
      </c>
      <c r="B58" s="66">
        <f>IF(往来单位!$B$56="","",往来单位!$B$56)</f>
      </c>
      <c r="C58" s="56">
        <f>IF($B58="","",往来单位!$C$56&amp;"")</f>
      </c>
      <c r="D58" s="53">
        <f t="shared" si="0"/>
      </c>
      <c r="E58" s="53">
        <f t="shared" si="1"/>
      </c>
      <c r="F58" s="53">
        <f t="shared" si="2"/>
      </c>
      <c r="G58" s="59">
        <f t="shared" si="3"/>
      </c>
      <c r="H58" s="53">
        <f t="shared" si="4"/>
      </c>
      <c r="I58" s="53">
        <f t="shared" si="5"/>
      </c>
      <c r="J58" s="53">
        <f t="shared" si="6"/>
      </c>
      <c r="K58" s="59">
        <f t="shared" si="7"/>
      </c>
      <c r="L58" s="53">
        <f t="shared" si="8"/>
      </c>
      <c r="M58" s="59">
        <f t="shared" si="9"/>
      </c>
      <c r="N58" s="69">
        <f t="shared" si="10"/>
      </c>
      <c r="P58" s="22">
        <f t="shared" si="11"/>
      </c>
    </row>
    <row r="59">
      <c r="A59" s="56">
        <f>IF($B59="","",54)</f>
      </c>
      <c r="B59" s="66">
        <f>IF(往来单位!$B$57="","",往来单位!$B$57)</f>
      </c>
      <c r="C59" s="56">
        <f>IF($B59="","",往来单位!$C$57&amp;"")</f>
      </c>
      <c r="D59" s="53">
        <f t="shared" si="0"/>
      </c>
      <c r="E59" s="53">
        <f t="shared" si="1"/>
      </c>
      <c r="F59" s="53">
        <f t="shared" si="2"/>
      </c>
      <c r="G59" s="59">
        <f t="shared" si="3"/>
      </c>
      <c r="H59" s="53">
        <f t="shared" si="4"/>
      </c>
      <c r="I59" s="53">
        <f t="shared" si="5"/>
      </c>
      <c r="J59" s="53">
        <f t="shared" si="6"/>
      </c>
      <c r="K59" s="59">
        <f t="shared" si="7"/>
      </c>
      <c r="L59" s="53">
        <f t="shared" si="8"/>
      </c>
      <c r="M59" s="59">
        <f t="shared" si="9"/>
      </c>
      <c r="N59" s="69">
        <f t="shared" si="10"/>
      </c>
      <c r="P59" s="22">
        <f t="shared" si="11"/>
      </c>
    </row>
    <row r="60">
      <c r="A60" s="56">
        <f>IF($B60="","",55)</f>
      </c>
      <c r="B60" s="66">
        <f>IF(往来单位!$B$58="","",往来单位!$B$58)</f>
      </c>
      <c r="C60" s="56">
        <f>IF($B60="","",往来单位!$C$58&amp;"")</f>
      </c>
      <c r="D60" s="53">
        <f t="shared" si="0"/>
      </c>
      <c r="E60" s="53">
        <f t="shared" si="1"/>
      </c>
      <c r="F60" s="53">
        <f t="shared" si="2"/>
      </c>
      <c r="G60" s="59">
        <f t="shared" si="3"/>
      </c>
      <c r="H60" s="53">
        <f t="shared" si="4"/>
      </c>
      <c r="I60" s="53">
        <f t="shared" si="5"/>
      </c>
      <c r="J60" s="53">
        <f t="shared" si="6"/>
      </c>
      <c r="K60" s="59">
        <f t="shared" si="7"/>
      </c>
      <c r="L60" s="53">
        <f t="shared" si="8"/>
      </c>
      <c r="M60" s="59">
        <f t="shared" si="9"/>
      </c>
      <c r="N60" s="69">
        <f t="shared" si="10"/>
      </c>
      <c r="P60" s="22">
        <f t="shared" si="11"/>
      </c>
    </row>
    <row r="61">
      <c r="A61" s="56">
        <f>IF($B61="","",56)</f>
      </c>
      <c r="B61" s="66">
        <f>IF(往来单位!$B$59="","",往来单位!$B$59)</f>
      </c>
      <c r="C61" s="56">
        <f>IF($B61="","",往来单位!$C$59&amp;"")</f>
      </c>
      <c r="D61" s="53">
        <f t="shared" si="0"/>
      </c>
      <c r="E61" s="53">
        <f t="shared" si="1"/>
      </c>
      <c r="F61" s="53">
        <f t="shared" si="2"/>
      </c>
      <c r="G61" s="59">
        <f t="shared" si="3"/>
      </c>
      <c r="H61" s="53">
        <f t="shared" si="4"/>
      </c>
      <c r="I61" s="53">
        <f t="shared" si="5"/>
      </c>
      <c r="J61" s="53">
        <f t="shared" si="6"/>
      </c>
      <c r="K61" s="59">
        <f t="shared" si="7"/>
      </c>
      <c r="L61" s="53">
        <f t="shared" si="8"/>
      </c>
      <c r="M61" s="59">
        <f t="shared" si="9"/>
      </c>
      <c r="N61" s="69">
        <f t="shared" si="10"/>
      </c>
      <c r="P61" s="22">
        <f t="shared" si="11"/>
      </c>
    </row>
    <row r="62">
      <c r="A62" s="56">
        <f>IF($B62="","",57)</f>
      </c>
      <c r="B62" s="66">
        <f>IF(往来单位!$B$60="","",往来单位!$B$60)</f>
      </c>
      <c r="C62" s="56">
        <f>IF($B62="","",往来单位!$C$60&amp;"")</f>
      </c>
      <c r="D62" s="53">
        <f t="shared" si="0"/>
      </c>
      <c r="E62" s="53">
        <f t="shared" si="1"/>
      </c>
      <c r="F62" s="53">
        <f t="shared" si="2"/>
      </c>
      <c r="G62" s="59">
        <f t="shared" si="3"/>
      </c>
      <c r="H62" s="53">
        <f t="shared" si="4"/>
      </c>
      <c r="I62" s="53">
        <f t="shared" si="5"/>
      </c>
      <c r="J62" s="53">
        <f t="shared" si="6"/>
      </c>
      <c r="K62" s="59">
        <f t="shared" si="7"/>
      </c>
      <c r="L62" s="53">
        <f t="shared" si="8"/>
      </c>
      <c r="M62" s="59">
        <f t="shared" si="9"/>
      </c>
      <c r="N62" s="69">
        <f t="shared" si="10"/>
      </c>
      <c r="P62" s="22">
        <f t="shared" si="11"/>
      </c>
    </row>
    <row r="63">
      <c r="A63" s="56">
        <f>IF($B63="","",58)</f>
      </c>
      <c r="B63" s="66">
        <f>IF(往来单位!$B$61="","",往来单位!$B$61)</f>
      </c>
      <c r="C63" s="56">
        <f>IF($B63="","",往来单位!$C$61&amp;"")</f>
      </c>
      <c r="D63" s="53">
        <f t="shared" si="0"/>
      </c>
      <c r="E63" s="53">
        <f t="shared" si="1"/>
      </c>
      <c r="F63" s="53">
        <f t="shared" si="2"/>
      </c>
      <c r="G63" s="59">
        <f t="shared" si="3"/>
      </c>
      <c r="H63" s="53">
        <f t="shared" si="4"/>
      </c>
      <c r="I63" s="53">
        <f t="shared" si="5"/>
      </c>
      <c r="J63" s="53">
        <f t="shared" si="6"/>
      </c>
      <c r="K63" s="59">
        <f t="shared" si="7"/>
      </c>
      <c r="L63" s="53">
        <f t="shared" si="8"/>
      </c>
      <c r="M63" s="59">
        <f t="shared" si="9"/>
      </c>
      <c r="N63" s="69">
        <f t="shared" si="10"/>
      </c>
      <c r="P63" s="22">
        <f t="shared" si="11"/>
      </c>
    </row>
    <row r="64">
      <c r="A64" s="56">
        <f>IF($B64="","",59)</f>
      </c>
      <c r="B64" s="66">
        <f>IF(往来单位!$B$62="","",往来单位!$B$62)</f>
      </c>
      <c r="C64" s="56">
        <f>IF($B64="","",往来单位!$C$62&amp;"")</f>
      </c>
      <c r="D64" s="53">
        <f t="shared" si="0"/>
      </c>
      <c r="E64" s="53">
        <f t="shared" si="1"/>
      </c>
      <c r="F64" s="53">
        <f t="shared" si="2"/>
      </c>
      <c r="G64" s="59">
        <f t="shared" si="3"/>
      </c>
      <c r="H64" s="53">
        <f t="shared" si="4"/>
      </c>
      <c r="I64" s="53">
        <f t="shared" si="5"/>
      </c>
      <c r="J64" s="53">
        <f t="shared" si="6"/>
      </c>
      <c r="K64" s="59">
        <f t="shared" si="7"/>
      </c>
      <c r="L64" s="53">
        <f t="shared" si="8"/>
      </c>
      <c r="M64" s="59">
        <f t="shared" si="9"/>
      </c>
      <c r="N64" s="69">
        <f t="shared" si="10"/>
      </c>
      <c r="P64" s="22">
        <f t="shared" si="11"/>
      </c>
    </row>
    <row r="65">
      <c r="A65" s="56">
        <f>IF($B65="","",60)</f>
      </c>
      <c r="B65" s="66">
        <f>IF(往来单位!$B$63="","",往来单位!$B$63)</f>
      </c>
      <c r="C65" s="56">
        <f>IF($B65="","",往来单位!$C$63&amp;"")</f>
      </c>
      <c r="D65" s="53">
        <f t="shared" si="0"/>
      </c>
      <c r="E65" s="53">
        <f t="shared" si="1"/>
      </c>
      <c r="F65" s="53">
        <f t="shared" si="2"/>
      </c>
      <c r="G65" s="59">
        <f t="shared" si="3"/>
      </c>
      <c r="H65" s="53">
        <f t="shared" si="4"/>
      </c>
      <c r="I65" s="53">
        <f t="shared" si="5"/>
      </c>
      <c r="J65" s="53">
        <f t="shared" si="6"/>
      </c>
      <c r="K65" s="59">
        <f t="shared" si="7"/>
      </c>
      <c r="L65" s="53">
        <f t="shared" si="8"/>
      </c>
      <c r="M65" s="59">
        <f t="shared" si="9"/>
      </c>
      <c r="N65" s="69">
        <f t="shared" si="10"/>
      </c>
      <c r="P65" s="22">
        <f t="shared" si="11"/>
      </c>
    </row>
    <row r="66">
      <c r="A66" s="56">
        <f>IF($B66="","",61)</f>
      </c>
      <c r="B66" s="66">
        <f>IF(往来单位!$B$64="","",往来单位!$B$64)</f>
      </c>
      <c r="C66" s="56">
        <f>IF($B66="","",往来单位!$C$64&amp;"")</f>
      </c>
      <c r="D66" s="53">
        <f t="shared" si="0"/>
      </c>
      <c r="E66" s="53">
        <f t="shared" si="1"/>
      </c>
      <c r="F66" s="53">
        <f t="shared" si="2"/>
      </c>
      <c r="G66" s="59">
        <f t="shared" si="3"/>
      </c>
      <c r="H66" s="53">
        <f t="shared" si="4"/>
      </c>
      <c r="I66" s="53">
        <f t="shared" si="5"/>
      </c>
      <c r="J66" s="53">
        <f t="shared" si="6"/>
      </c>
      <c r="K66" s="59">
        <f t="shared" si="7"/>
      </c>
      <c r="L66" s="53">
        <f t="shared" si="8"/>
      </c>
      <c r="M66" s="59">
        <f t="shared" si="9"/>
      </c>
      <c r="N66" s="69">
        <f t="shared" si="10"/>
      </c>
      <c r="P66" s="22">
        <f t="shared" si="11"/>
      </c>
    </row>
    <row r="67">
      <c r="A67" s="56">
        <f>IF($B67="","",62)</f>
      </c>
      <c r="B67" s="66">
        <f>IF(往来单位!$B$65="","",往来单位!$B$65)</f>
      </c>
      <c r="C67" s="56">
        <f>IF($B67="","",往来单位!$C$65&amp;"")</f>
      </c>
      <c r="D67" s="53">
        <f t="shared" si="0"/>
      </c>
      <c r="E67" s="53">
        <f t="shared" si="1"/>
      </c>
      <c r="F67" s="53">
        <f t="shared" si="2"/>
      </c>
      <c r="G67" s="59">
        <f t="shared" si="3"/>
      </c>
      <c r="H67" s="53">
        <f t="shared" si="4"/>
      </c>
      <c r="I67" s="53">
        <f t="shared" si="5"/>
      </c>
      <c r="J67" s="53">
        <f t="shared" si="6"/>
      </c>
      <c r="K67" s="59">
        <f t="shared" si="7"/>
      </c>
      <c r="L67" s="53">
        <f t="shared" si="8"/>
      </c>
      <c r="M67" s="59">
        <f t="shared" si="9"/>
      </c>
      <c r="N67" s="69">
        <f t="shared" si="10"/>
      </c>
      <c r="P67" s="22">
        <f t="shared" si="11"/>
      </c>
    </row>
    <row r="68">
      <c r="A68" s="56">
        <f>IF($B68="","",63)</f>
      </c>
      <c r="B68" s="66">
        <f>IF(往来单位!$B$66="","",往来单位!$B$66)</f>
      </c>
      <c r="C68" s="56">
        <f>IF($B68="","",往来单位!$C$66&amp;"")</f>
      </c>
      <c r="D68" s="53">
        <f t="shared" si="0"/>
      </c>
      <c r="E68" s="53">
        <f t="shared" si="1"/>
      </c>
      <c r="F68" s="53">
        <f t="shared" si="2"/>
      </c>
      <c r="G68" s="59">
        <f t="shared" si="3"/>
      </c>
      <c r="H68" s="53">
        <f t="shared" si="4"/>
      </c>
      <c r="I68" s="53">
        <f t="shared" si="5"/>
      </c>
      <c r="J68" s="53">
        <f t="shared" si="6"/>
      </c>
      <c r="K68" s="59">
        <f t="shared" si="7"/>
      </c>
      <c r="L68" s="53">
        <f t="shared" si="8"/>
      </c>
      <c r="M68" s="59">
        <f t="shared" si="9"/>
      </c>
      <c r="N68" s="69">
        <f t="shared" si="10"/>
      </c>
      <c r="P68" s="22">
        <f t="shared" si="11"/>
      </c>
    </row>
    <row r="69">
      <c r="A69" s="56">
        <f>IF($B69="","",64)</f>
      </c>
      <c r="B69" s="66">
        <f>IF(往来单位!$B$67="","",往来单位!$B$67)</f>
      </c>
      <c r="C69" s="56">
        <f>IF($B69="","",往来单位!$C$67&amp;"")</f>
      </c>
      <c r="D69" s="53">
        <f t="shared" si="0"/>
      </c>
      <c r="E69" s="53">
        <f t="shared" si="1"/>
      </c>
      <c r="F69" s="53">
        <f t="shared" si="2"/>
      </c>
      <c r="G69" s="59">
        <f t="shared" si="3"/>
      </c>
      <c r="H69" s="53">
        <f t="shared" si="4"/>
      </c>
      <c r="I69" s="53">
        <f t="shared" si="5"/>
      </c>
      <c r="J69" s="53">
        <f t="shared" si="6"/>
      </c>
      <c r="K69" s="59">
        <f t="shared" si="7"/>
      </c>
      <c r="L69" s="53">
        <f t="shared" si="8"/>
      </c>
      <c r="M69" s="59">
        <f t="shared" si="9"/>
      </c>
      <c r="N69" s="69">
        <f t="shared" si="10"/>
      </c>
      <c r="P69" s="22">
        <f t="shared" si="11"/>
      </c>
    </row>
    <row r="70">
      <c r="A70" s="56">
        <f>IF($B70="","",65)</f>
      </c>
      <c r="B70" s="66">
        <f>IF(往来单位!$B$68="","",往来单位!$B$68)</f>
      </c>
      <c r="C70" s="56">
        <f>IF($B70="","",往来单位!$C$68&amp;"")</f>
      </c>
      <c r="D70" s="53">
        <f t="shared" si="0"/>
      </c>
      <c r="E70" s="53">
        <f t="shared" si="1"/>
      </c>
      <c r="F70" s="53">
        <f t="shared" si="2"/>
      </c>
      <c r="G70" s="59">
        <f t="shared" si="3"/>
      </c>
      <c r="H70" s="53">
        <f t="shared" si="4"/>
      </c>
      <c r="I70" s="53">
        <f t="shared" si="5"/>
      </c>
      <c r="J70" s="53">
        <f t="shared" si="6"/>
      </c>
      <c r="K70" s="59">
        <f t="shared" si="7"/>
      </c>
      <c r="L70" s="53">
        <f t="shared" si="8"/>
      </c>
      <c r="M70" s="59">
        <f t="shared" si="9"/>
      </c>
      <c r="N70" s="69">
        <f t="shared" si="10"/>
      </c>
      <c r="P70" s="22">
        <f t="shared" si="11"/>
      </c>
    </row>
    <row r="71">
      <c r="A71" s="56">
        <f>IF($B71="","",66)</f>
      </c>
      <c r="B71" s="66">
        <f>IF(往来单位!$B$69="","",往来单位!$B$69)</f>
      </c>
      <c r="C71" s="56">
        <f>IF($B71="","",往来单位!$C$69&amp;"")</f>
      </c>
      <c r="D71" s="53">
        <f t="shared" si="0"/>
      </c>
      <c r="E71" s="53">
        <f t="shared" si="1"/>
      </c>
      <c r="F71" s="53">
        <f t="shared" si="2"/>
      </c>
      <c r="G71" s="59">
        <f t="shared" si="3"/>
      </c>
      <c r="H71" s="53">
        <f t="shared" si="4"/>
      </c>
      <c r="I71" s="53">
        <f t="shared" si="5"/>
      </c>
      <c r="J71" s="53">
        <f t="shared" si="6"/>
      </c>
      <c r="K71" s="59">
        <f t="shared" si="7"/>
      </c>
      <c r="L71" s="53">
        <f t="shared" si="8"/>
      </c>
      <c r="M71" s="59">
        <f t="shared" si="9"/>
      </c>
      <c r="N71" s="69">
        <f t="shared" si="10"/>
      </c>
      <c r="P71" s="22">
        <f t="shared" si="11"/>
      </c>
    </row>
    <row r="72">
      <c r="A72" s="56">
        <f>IF($B72="","",67)</f>
      </c>
      <c r="B72" s="66">
        <f>IF(往来单位!$B$70="","",往来单位!$B$70)</f>
      </c>
      <c r="C72" s="56">
        <f>IF($B72="","",往来单位!$C$70&amp;"")</f>
      </c>
      <c r="D72" s="53">
        <f t="shared" si="0"/>
      </c>
      <c r="E72" s="53">
        <f t="shared" si="1"/>
      </c>
      <c r="F72" s="53">
        <f t="shared" si="2"/>
      </c>
      <c r="G72" s="59">
        <f t="shared" si="3"/>
      </c>
      <c r="H72" s="53">
        <f t="shared" si="4"/>
      </c>
      <c r="I72" s="53">
        <f t="shared" si="5"/>
      </c>
      <c r="J72" s="53">
        <f t="shared" si="6"/>
      </c>
      <c r="K72" s="59">
        <f t="shared" si="7"/>
      </c>
      <c r="L72" s="53">
        <f t="shared" si="8"/>
      </c>
      <c r="M72" s="59">
        <f t="shared" si="9"/>
      </c>
      <c r="N72" s="69">
        <f t="shared" si="10"/>
      </c>
      <c r="P72" s="22">
        <f t="shared" si="11"/>
      </c>
    </row>
    <row r="73">
      <c r="A73" s="56">
        <f>IF($B73="","",68)</f>
      </c>
      <c r="B73" s="66">
        <f>IF(往来单位!$B$71="","",往来单位!$B$71)</f>
      </c>
      <c r="C73" s="56">
        <f>IF($B73="","",往来单位!$C$71&amp;"")</f>
      </c>
      <c r="D73" s="53">
        <f t="shared" si="0"/>
      </c>
      <c r="E73" s="53">
        <f t="shared" si="1"/>
      </c>
      <c r="F73" s="53">
        <f t="shared" si="2"/>
      </c>
      <c r="G73" s="59">
        <f t="shared" si="3"/>
      </c>
      <c r="H73" s="53">
        <f t="shared" si="4"/>
      </c>
      <c r="I73" s="53">
        <f t="shared" si="5"/>
      </c>
      <c r="J73" s="53">
        <f t="shared" si="6"/>
      </c>
      <c r="K73" s="59">
        <f t="shared" si="7"/>
      </c>
      <c r="L73" s="53">
        <f t="shared" si="8"/>
      </c>
      <c r="M73" s="59">
        <f t="shared" si="9"/>
      </c>
      <c r="N73" s="69">
        <f t="shared" si="10"/>
      </c>
      <c r="P73" s="22">
        <f t="shared" si="11"/>
      </c>
    </row>
    <row r="74">
      <c r="A74" s="56">
        <f>IF($B74="","",69)</f>
      </c>
      <c r="B74" s="66">
        <f>IF(往来单位!$B$72="","",往来单位!$B$72)</f>
      </c>
      <c r="C74" s="56">
        <f>IF($B74="","",往来单位!$C$72&amp;"")</f>
      </c>
      <c r="D74" s="53">
        <f t="shared" si="0"/>
      </c>
      <c r="E74" s="53">
        <f t="shared" si="1"/>
      </c>
      <c r="F74" s="53">
        <f t="shared" si="2"/>
      </c>
      <c r="G74" s="59">
        <f t="shared" si="3"/>
      </c>
      <c r="H74" s="53">
        <f t="shared" si="4"/>
      </c>
      <c r="I74" s="53">
        <f t="shared" si="5"/>
      </c>
      <c r="J74" s="53">
        <f t="shared" si="6"/>
      </c>
      <c r="K74" s="59">
        <f t="shared" si="7"/>
      </c>
      <c r="L74" s="53">
        <f t="shared" si="8"/>
      </c>
      <c r="M74" s="59">
        <f t="shared" si="9"/>
      </c>
      <c r="N74" s="69">
        <f t="shared" si="10"/>
      </c>
      <c r="P74" s="22">
        <f t="shared" si="11"/>
      </c>
    </row>
    <row r="75">
      <c r="A75" s="56">
        <f>IF($B75="","",70)</f>
      </c>
      <c r="B75" s="66">
        <f>IF(往来单位!$B$73="","",往来单位!$B$73)</f>
      </c>
      <c r="C75" s="56">
        <f>IF($B75="","",往来单位!$C$73&amp;"")</f>
      </c>
      <c r="D75" s="53">
        <f t="shared" si="0"/>
      </c>
      <c r="E75" s="53">
        <f t="shared" si="1"/>
      </c>
      <c r="F75" s="53">
        <f t="shared" si="2"/>
      </c>
      <c r="G75" s="59">
        <f t="shared" si="3"/>
      </c>
      <c r="H75" s="53">
        <f t="shared" si="4"/>
      </c>
      <c r="I75" s="53">
        <f t="shared" si="5"/>
      </c>
      <c r="J75" s="53">
        <f t="shared" si="6"/>
      </c>
      <c r="K75" s="59">
        <f t="shared" si="7"/>
      </c>
      <c r="L75" s="53">
        <f t="shared" si="8"/>
      </c>
      <c r="M75" s="59">
        <f t="shared" si="9"/>
      </c>
      <c r="N75" s="69">
        <f t="shared" si="10"/>
      </c>
      <c r="P75" s="22">
        <f t="shared" si="11"/>
      </c>
    </row>
    <row r="76">
      <c r="A76" s="56">
        <f>IF($B76="","",71)</f>
      </c>
      <c r="B76" s="66">
        <f>IF(往来单位!$B$74="","",往来单位!$B$74)</f>
      </c>
      <c r="C76" s="56">
        <f>IF($B76="","",往来单位!$C$74&amp;"")</f>
      </c>
      <c r="D76" s="53">
        <f t="shared" si="0"/>
      </c>
      <c r="E76" s="53">
        <f t="shared" si="1"/>
      </c>
      <c r="F76" s="53">
        <f t="shared" si="2"/>
      </c>
      <c r="G76" s="59">
        <f t="shared" si="3"/>
      </c>
      <c r="H76" s="53">
        <f t="shared" si="4"/>
      </c>
      <c r="I76" s="53">
        <f t="shared" si="5"/>
      </c>
      <c r="J76" s="53">
        <f t="shared" si="6"/>
      </c>
      <c r="K76" s="59">
        <f t="shared" si="7"/>
      </c>
      <c r="L76" s="53">
        <f t="shared" si="8"/>
      </c>
      <c r="M76" s="59">
        <f t="shared" si="9"/>
      </c>
      <c r="N76" s="69">
        <f t="shared" si="10"/>
      </c>
      <c r="P76" s="22">
        <f t="shared" si="11"/>
      </c>
    </row>
    <row r="77">
      <c r="A77" s="56">
        <f>IF($B77="","",72)</f>
      </c>
      <c r="B77" s="66">
        <f>IF(往来单位!$B$75="","",往来单位!$B$75)</f>
      </c>
      <c r="C77" s="56">
        <f>IF($B77="","",往来单位!$C$75&amp;"")</f>
      </c>
      <c r="D77" s="53">
        <f t="shared" si="0"/>
      </c>
      <c r="E77" s="53">
        <f t="shared" si="1"/>
      </c>
      <c r="F77" s="53">
        <f t="shared" si="2"/>
      </c>
      <c r="G77" s="59">
        <f t="shared" si="3"/>
      </c>
      <c r="H77" s="53">
        <f t="shared" si="4"/>
      </c>
      <c r="I77" s="53">
        <f t="shared" si="5"/>
      </c>
      <c r="J77" s="53">
        <f t="shared" si="6"/>
      </c>
      <c r="K77" s="59">
        <f t="shared" si="7"/>
      </c>
      <c r="L77" s="53">
        <f t="shared" si="8"/>
      </c>
      <c r="M77" s="59">
        <f t="shared" si="9"/>
      </c>
      <c r="N77" s="69">
        <f t="shared" si="10"/>
      </c>
      <c r="P77" s="22">
        <f t="shared" si="11"/>
      </c>
    </row>
    <row r="78">
      <c r="A78" s="56">
        <f>IF($B78="","",73)</f>
      </c>
      <c r="B78" s="66">
        <f>IF(往来单位!$B$76="","",往来单位!$B$76)</f>
      </c>
      <c r="C78" s="56">
        <f>IF($B78="","",往来单位!$C$76&amp;"")</f>
      </c>
      <c r="D78" s="53">
        <f t="shared" si="0"/>
      </c>
      <c r="E78" s="53">
        <f t="shared" si="1"/>
      </c>
      <c r="F78" s="53">
        <f t="shared" si="2"/>
      </c>
      <c r="G78" s="59">
        <f t="shared" si="3"/>
      </c>
      <c r="H78" s="53">
        <f t="shared" si="4"/>
      </c>
      <c r="I78" s="53">
        <f t="shared" si="5"/>
      </c>
      <c r="J78" s="53">
        <f t="shared" si="6"/>
      </c>
      <c r="K78" s="59">
        <f t="shared" si="7"/>
      </c>
      <c r="L78" s="53">
        <f t="shared" si="8"/>
      </c>
      <c r="M78" s="59">
        <f t="shared" si="9"/>
      </c>
      <c r="N78" s="69">
        <f t="shared" si="10"/>
      </c>
      <c r="P78" s="22">
        <f t="shared" si="11"/>
      </c>
    </row>
    <row r="79">
      <c r="A79" s="56">
        <f>IF($B79="","",74)</f>
      </c>
      <c r="B79" s="66">
        <f>IF(往来单位!$B$77="","",往来单位!$B$77)</f>
      </c>
      <c r="C79" s="56">
        <f>IF($B79="","",往来单位!$C$77&amp;"")</f>
      </c>
      <c r="D79" s="53">
        <f t="shared" si="0"/>
      </c>
      <c r="E79" s="53">
        <f t="shared" si="1"/>
      </c>
      <c r="F79" s="53">
        <f t="shared" si="2"/>
      </c>
      <c r="G79" s="59">
        <f t="shared" si="3"/>
      </c>
      <c r="H79" s="53">
        <f t="shared" si="4"/>
      </c>
      <c r="I79" s="53">
        <f t="shared" si="5"/>
      </c>
      <c r="J79" s="53">
        <f t="shared" si="6"/>
      </c>
      <c r="K79" s="59">
        <f t="shared" si="7"/>
      </c>
      <c r="L79" s="53">
        <f t="shared" si="8"/>
      </c>
      <c r="M79" s="59">
        <f t="shared" si="9"/>
      </c>
      <c r="N79" s="69">
        <f t="shared" si="10"/>
      </c>
      <c r="P79" s="22">
        <f t="shared" si="11"/>
      </c>
    </row>
    <row r="80">
      <c r="A80" s="56">
        <f>IF($B80="","",75)</f>
      </c>
      <c r="B80" s="66">
        <f>IF(往来单位!$B$78="","",往来单位!$B$78)</f>
      </c>
      <c r="C80" s="56">
        <f>IF($B80="","",往来单位!$C$78&amp;"")</f>
      </c>
      <c r="D80" s="53">
        <f t="shared" si="0"/>
      </c>
      <c r="E80" s="53">
        <f t="shared" si="1"/>
      </c>
      <c r="F80" s="53">
        <f t="shared" si="2"/>
      </c>
      <c r="G80" s="59">
        <f t="shared" si="3"/>
      </c>
      <c r="H80" s="53">
        <f t="shared" si="4"/>
      </c>
      <c r="I80" s="53">
        <f t="shared" si="5"/>
      </c>
      <c r="J80" s="53">
        <f t="shared" si="6"/>
      </c>
      <c r="K80" s="59">
        <f t="shared" si="7"/>
      </c>
      <c r="L80" s="53">
        <f t="shared" si="8"/>
      </c>
      <c r="M80" s="59">
        <f t="shared" si="9"/>
      </c>
      <c r="N80" s="69">
        <f t="shared" si="10"/>
      </c>
      <c r="P80" s="22">
        <f t="shared" si="11"/>
      </c>
    </row>
    <row r="81">
      <c r="A81" s="56">
        <f>IF($B81="","",76)</f>
      </c>
      <c r="B81" s="66">
        <f>IF(往来单位!$B$79="","",往来单位!$B$79)</f>
      </c>
      <c r="C81" s="56">
        <f>IF($B81="","",往来单位!$C$79&amp;"")</f>
      </c>
      <c r="D81" s="53">
        <f t="shared" si="0"/>
      </c>
      <c r="E81" s="53">
        <f t="shared" si="1"/>
      </c>
      <c r="F81" s="53">
        <f t="shared" si="2"/>
      </c>
      <c r="G81" s="59">
        <f t="shared" si="3"/>
      </c>
      <c r="H81" s="53">
        <f t="shared" si="4"/>
      </c>
      <c r="I81" s="53">
        <f t="shared" si="5"/>
      </c>
      <c r="J81" s="53">
        <f t="shared" si="6"/>
      </c>
      <c r="K81" s="59">
        <f t="shared" si="7"/>
      </c>
      <c r="L81" s="53">
        <f t="shared" si="8"/>
      </c>
      <c r="M81" s="59">
        <f t="shared" si="9"/>
      </c>
      <c r="N81" s="69">
        <f t="shared" si="10"/>
      </c>
      <c r="P81" s="22">
        <f t="shared" si="11"/>
      </c>
    </row>
    <row r="82">
      <c r="A82" s="56">
        <f>IF($B82="","",77)</f>
      </c>
      <c r="B82" s="66">
        <f>IF(往来单位!$B$80="","",往来单位!$B$80)</f>
      </c>
      <c r="C82" s="56">
        <f>IF($B82="","",往来单位!$C$80&amp;"")</f>
      </c>
      <c r="D82" s="53">
        <f t="shared" si="0"/>
      </c>
      <c r="E82" s="53">
        <f t="shared" si="1"/>
      </c>
      <c r="F82" s="53">
        <f t="shared" si="2"/>
      </c>
      <c r="G82" s="59">
        <f t="shared" si="3"/>
      </c>
      <c r="H82" s="53">
        <f t="shared" si="4"/>
      </c>
      <c r="I82" s="53">
        <f t="shared" si="5"/>
      </c>
      <c r="J82" s="53">
        <f t="shared" si="6"/>
      </c>
      <c r="K82" s="59">
        <f t="shared" si="7"/>
      </c>
      <c r="L82" s="53">
        <f t="shared" si="8"/>
      </c>
      <c r="M82" s="59">
        <f t="shared" si="9"/>
      </c>
      <c r="N82" s="69">
        <f t="shared" si="10"/>
      </c>
      <c r="P82" s="22">
        <f t="shared" si="11"/>
      </c>
    </row>
    <row r="83">
      <c r="A83" s="56">
        <f>IF($B83="","",78)</f>
      </c>
      <c r="B83" s="66">
        <f>IF(往来单位!$B$81="","",往来单位!$B$81)</f>
      </c>
      <c r="C83" s="56">
        <f>IF($B83="","",往来单位!$C$81&amp;"")</f>
      </c>
      <c r="D83" s="53">
        <f t="shared" si="0"/>
      </c>
      <c r="E83" s="53">
        <f t="shared" si="1"/>
      </c>
      <c r="F83" s="53">
        <f t="shared" si="2"/>
      </c>
      <c r="G83" s="59">
        <f t="shared" si="3"/>
      </c>
      <c r="H83" s="53">
        <f t="shared" si="4"/>
      </c>
      <c r="I83" s="53">
        <f t="shared" si="5"/>
      </c>
      <c r="J83" s="53">
        <f t="shared" si="6"/>
      </c>
      <c r="K83" s="59">
        <f t="shared" si="7"/>
      </c>
      <c r="L83" s="53">
        <f t="shared" si="8"/>
      </c>
      <c r="M83" s="59">
        <f t="shared" si="9"/>
      </c>
      <c r="N83" s="69">
        <f t="shared" si="10"/>
      </c>
      <c r="P83" s="22">
        <f t="shared" si="11"/>
      </c>
    </row>
    <row r="84">
      <c r="A84" s="56">
        <f>IF($B84="","",79)</f>
      </c>
      <c r="B84" s="66">
        <f>IF(往来单位!$B$82="","",往来单位!$B$82)</f>
      </c>
      <c r="C84" s="56">
        <f>IF($B84="","",往来单位!$C$82&amp;"")</f>
      </c>
      <c r="D84" s="53">
        <f t="shared" si="0"/>
      </c>
      <c r="E84" s="53">
        <f t="shared" si="1"/>
      </c>
      <c r="F84" s="53">
        <f t="shared" si="2"/>
      </c>
      <c r="G84" s="59">
        <f t="shared" si="3"/>
      </c>
      <c r="H84" s="53">
        <f t="shared" si="4"/>
      </c>
      <c r="I84" s="53">
        <f t="shared" si="5"/>
      </c>
      <c r="J84" s="53">
        <f t="shared" si="6"/>
      </c>
      <c r="K84" s="59">
        <f t="shared" si="7"/>
      </c>
      <c r="L84" s="53">
        <f t="shared" si="8"/>
      </c>
      <c r="M84" s="59">
        <f t="shared" si="9"/>
      </c>
      <c r="N84" s="69">
        <f t="shared" si="10"/>
      </c>
      <c r="P84" s="22">
        <f t="shared" si="11"/>
      </c>
    </row>
    <row r="85">
      <c r="A85" s="56">
        <f>IF($B85="","",80)</f>
      </c>
      <c r="B85" s="66">
        <f>IF(往来单位!$B$83="","",往来单位!$B$83)</f>
      </c>
      <c r="C85" s="56">
        <f>IF($B85="","",往来单位!$C$83&amp;"")</f>
      </c>
      <c r="D85" s="53">
        <f t="shared" si="0"/>
      </c>
      <c r="E85" s="53">
        <f t="shared" si="1"/>
      </c>
      <c r="F85" s="53">
        <f t="shared" si="2"/>
      </c>
      <c r="G85" s="59">
        <f t="shared" si="3"/>
      </c>
      <c r="H85" s="53">
        <f t="shared" si="4"/>
      </c>
      <c r="I85" s="53">
        <f t="shared" si="5"/>
      </c>
      <c r="J85" s="53">
        <f t="shared" si="6"/>
      </c>
      <c r="K85" s="59">
        <f t="shared" si="7"/>
      </c>
      <c r="L85" s="53">
        <f t="shared" si="8"/>
      </c>
      <c r="M85" s="59">
        <f t="shared" si="9"/>
      </c>
      <c r="N85" s="69">
        <f t="shared" si="10"/>
      </c>
      <c r="P85" s="22">
        <f t="shared" si="11"/>
      </c>
    </row>
    <row r="86">
      <c r="A86" s="56">
        <f>IF($B86="","",81)</f>
      </c>
      <c r="B86" s="66">
        <f>IF(往来单位!$B$84="","",往来单位!$B$84)</f>
      </c>
      <c r="C86" s="56">
        <f>IF($B86="","",往来单位!$C$84&amp;"")</f>
      </c>
      <c r="D86" s="53">
        <f t="shared" si="0"/>
      </c>
      <c r="E86" s="53">
        <f t="shared" si="1"/>
      </c>
      <c r="F86" s="53">
        <f t="shared" si="2"/>
      </c>
      <c r="G86" s="59">
        <f t="shared" si="3"/>
      </c>
      <c r="H86" s="53">
        <f t="shared" si="4"/>
      </c>
      <c r="I86" s="53">
        <f t="shared" si="5"/>
      </c>
      <c r="J86" s="53">
        <f t="shared" si="6"/>
      </c>
      <c r="K86" s="59">
        <f t="shared" si="7"/>
      </c>
      <c r="L86" s="53">
        <f t="shared" si="8"/>
      </c>
      <c r="M86" s="59">
        <f t="shared" si="9"/>
      </c>
      <c r="N86" s="69">
        <f t="shared" si="10"/>
      </c>
      <c r="P86" s="22">
        <f t="shared" si="11"/>
      </c>
    </row>
    <row r="87">
      <c r="A87" s="56">
        <f>IF($B87="","",82)</f>
      </c>
      <c r="B87" s="66">
        <f>IF(往来单位!$B$85="","",往来单位!$B$85)</f>
      </c>
      <c r="C87" s="56">
        <f>IF($B87="","",往来单位!$C$85&amp;"")</f>
      </c>
      <c r="D87" s="53">
        <f t="shared" si="0"/>
      </c>
      <c r="E87" s="53">
        <f t="shared" si="1"/>
      </c>
      <c r="F87" s="53">
        <f t="shared" si="2"/>
      </c>
      <c r="G87" s="59">
        <f t="shared" si="3"/>
      </c>
      <c r="H87" s="53">
        <f t="shared" si="4"/>
      </c>
      <c r="I87" s="53">
        <f t="shared" si="5"/>
      </c>
      <c r="J87" s="53">
        <f t="shared" si="6"/>
      </c>
      <c r="K87" s="59">
        <f t="shared" si="7"/>
      </c>
      <c r="L87" s="53">
        <f t="shared" si="8"/>
      </c>
      <c r="M87" s="59">
        <f t="shared" si="9"/>
      </c>
      <c r="N87" s="69">
        <f t="shared" si="10"/>
      </c>
      <c r="P87" s="22">
        <f t="shared" si="11"/>
      </c>
    </row>
    <row r="88">
      <c r="A88" s="56">
        <f>IF($B88="","",83)</f>
      </c>
      <c r="B88" s="66">
        <f>IF(往来单位!$B$86="","",往来单位!$B$86)</f>
      </c>
      <c r="C88" s="56">
        <f>IF($B88="","",往来单位!$C$86&amp;"")</f>
      </c>
      <c r="D88" s="53">
        <f t="shared" si="0"/>
      </c>
      <c r="E88" s="53">
        <f t="shared" si="1"/>
      </c>
      <c r="F88" s="53">
        <f t="shared" si="2"/>
      </c>
      <c r="G88" s="59">
        <f t="shared" si="3"/>
      </c>
      <c r="H88" s="53">
        <f t="shared" si="4"/>
      </c>
      <c r="I88" s="53">
        <f t="shared" si="5"/>
      </c>
      <c r="J88" s="53">
        <f t="shared" si="6"/>
      </c>
      <c r="K88" s="59">
        <f t="shared" si="7"/>
      </c>
      <c r="L88" s="53">
        <f t="shared" si="8"/>
      </c>
      <c r="M88" s="59">
        <f t="shared" si="9"/>
      </c>
      <c r="N88" s="69">
        <f t="shared" si="10"/>
      </c>
      <c r="P88" s="22">
        <f t="shared" si="11"/>
      </c>
    </row>
    <row r="89">
      <c r="A89" s="56">
        <f>IF($B89="","",84)</f>
      </c>
      <c r="B89" s="66">
        <f>IF(往来单位!$B$87="","",往来单位!$B$87)</f>
      </c>
      <c r="C89" s="56">
        <f>IF($B89="","",往来单位!$C$87&amp;"")</f>
      </c>
      <c r="D89" s="53">
        <f t="shared" si="0"/>
      </c>
      <c r="E89" s="53">
        <f t="shared" si="1"/>
      </c>
      <c r="F89" s="53">
        <f t="shared" si="2"/>
      </c>
      <c r="G89" s="59">
        <f t="shared" si="3"/>
      </c>
      <c r="H89" s="53">
        <f t="shared" si="4"/>
      </c>
      <c r="I89" s="53">
        <f t="shared" si="5"/>
      </c>
      <c r="J89" s="53">
        <f t="shared" si="6"/>
      </c>
      <c r="K89" s="59">
        <f t="shared" si="7"/>
      </c>
      <c r="L89" s="53">
        <f t="shared" si="8"/>
      </c>
      <c r="M89" s="59">
        <f t="shared" si="9"/>
      </c>
      <c r="N89" s="69">
        <f t="shared" si="10"/>
      </c>
      <c r="P89" s="22">
        <f t="shared" si="11"/>
      </c>
    </row>
    <row r="90">
      <c r="A90" s="56">
        <f>IF($B90="","",85)</f>
      </c>
      <c r="B90" s="66">
        <f>IF(往来单位!$B$88="","",往来单位!$B$88)</f>
      </c>
      <c r="C90" s="56">
        <f>IF($B90="","",往来单位!$C$88&amp;"")</f>
      </c>
      <c r="D90" s="53">
        <f t="shared" si="0"/>
      </c>
      <c r="E90" s="53">
        <f t="shared" si="1"/>
      </c>
      <c r="F90" s="53">
        <f t="shared" si="2"/>
      </c>
      <c r="G90" s="59">
        <f t="shared" si="3"/>
      </c>
      <c r="H90" s="53">
        <f t="shared" si="4"/>
      </c>
      <c r="I90" s="53">
        <f t="shared" si="5"/>
      </c>
      <c r="J90" s="53">
        <f t="shared" si="6"/>
      </c>
      <c r="K90" s="59">
        <f t="shared" si="7"/>
      </c>
      <c r="L90" s="53">
        <f t="shared" si="8"/>
      </c>
      <c r="M90" s="59">
        <f t="shared" si="9"/>
      </c>
      <c r="N90" s="69">
        <f t="shared" si="10"/>
      </c>
      <c r="P90" s="22">
        <f t="shared" si="11"/>
      </c>
    </row>
    <row r="91">
      <c r="A91" s="56">
        <f>IF($B91="","",86)</f>
      </c>
      <c r="B91" s="66">
        <f>IF(往来单位!$B$89="","",往来单位!$B$89)</f>
      </c>
      <c r="C91" s="56">
        <f>IF($B91="","",往来单位!$C$89&amp;"")</f>
      </c>
      <c r="D91" s="53">
        <f t="shared" si="0"/>
      </c>
      <c r="E91" s="53">
        <f t="shared" si="1"/>
      </c>
      <c r="F91" s="53">
        <f t="shared" si="2"/>
      </c>
      <c r="G91" s="59">
        <f t="shared" si="3"/>
      </c>
      <c r="H91" s="53">
        <f t="shared" si="4"/>
      </c>
      <c r="I91" s="53">
        <f t="shared" si="5"/>
      </c>
      <c r="J91" s="53">
        <f t="shared" si="6"/>
      </c>
      <c r="K91" s="59">
        <f t="shared" si="7"/>
      </c>
      <c r="L91" s="53">
        <f t="shared" si="8"/>
      </c>
      <c r="M91" s="59">
        <f t="shared" si="9"/>
      </c>
      <c r="N91" s="69">
        <f t="shared" si="10"/>
      </c>
      <c r="P91" s="22">
        <f t="shared" si="11"/>
      </c>
    </row>
    <row r="92">
      <c r="A92" s="56">
        <f>IF($B92="","",87)</f>
      </c>
      <c r="B92" s="66">
        <f>IF(往来单位!$B$90="","",往来单位!$B$90)</f>
      </c>
      <c r="C92" s="56">
        <f>IF($B92="","",往来单位!$C$90&amp;"")</f>
      </c>
      <c r="D92" s="53">
        <f t="shared" si="0"/>
      </c>
      <c r="E92" s="53">
        <f t="shared" si="1"/>
      </c>
      <c r="F92" s="53">
        <f t="shared" si="2"/>
      </c>
      <c r="G92" s="59">
        <f t="shared" si="3"/>
      </c>
      <c r="H92" s="53">
        <f t="shared" si="4"/>
      </c>
      <c r="I92" s="53">
        <f t="shared" si="5"/>
      </c>
      <c r="J92" s="53">
        <f t="shared" si="6"/>
      </c>
      <c r="K92" s="59">
        <f t="shared" si="7"/>
      </c>
      <c r="L92" s="53">
        <f t="shared" si="8"/>
      </c>
      <c r="M92" s="59">
        <f t="shared" si="9"/>
      </c>
      <c r="N92" s="69">
        <f t="shared" si="10"/>
      </c>
      <c r="P92" s="22">
        <f t="shared" si="11"/>
      </c>
    </row>
    <row r="93">
      <c r="A93" s="56">
        <f>IF($B93="","",88)</f>
      </c>
      <c r="B93" s="66">
        <f>IF(往来单位!$B$91="","",往来单位!$B$91)</f>
      </c>
      <c r="C93" s="56">
        <f>IF($B93="","",往来单位!$C$91&amp;"")</f>
      </c>
      <c r="D93" s="53">
        <f t="shared" si="0"/>
      </c>
      <c r="E93" s="53">
        <f t="shared" si="1"/>
      </c>
      <c r="F93" s="53">
        <f t="shared" si="2"/>
      </c>
      <c r="G93" s="59">
        <f t="shared" si="3"/>
      </c>
      <c r="H93" s="53">
        <f t="shared" si="4"/>
      </c>
      <c r="I93" s="53">
        <f t="shared" si="5"/>
      </c>
      <c r="J93" s="53">
        <f t="shared" si="6"/>
      </c>
      <c r="K93" s="59">
        <f t="shared" si="7"/>
      </c>
      <c r="L93" s="53">
        <f t="shared" si="8"/>
      </c>
      <c r="M93" s="59">
        <f t="shared" si="9"/>
      </c>
      <c r="N93" s="69">
        <f t="shared" si="10"/>
      </c>
      <c r="P93" s="22">
        <f t="shared" si="11"/>
      </c>
    </row>
    <row r="94">
      <c r="A94" s="56">
        <f>IF($B94="","",89)</f>
      </c>
      <c r="B94" s="66">
        <f>IF(往来单位!$B$92="","",往来单位!$B$92)</f>
      </c>
      <c r="C94" s="56">
        <f>IF($B94="","",往来单位!$C$92&amp;"")</f>
      </c>
      <c r="D94" s="53">
        <f t="shared" si="0"/>
      </c>
      <c r="E94" s="53">
        <f t="shared" si="1"/>
      </c>
      <c r="F94" s="53">
        <f t="shared" si="2"/>
      </c>
      <c r="G94" s="59">
        <f t="shared" si="3"/>
      </c>
      <c r="H94" s="53">
        <f t="shared" si="4"/>
      </c>
      <c r="I94" s="53">
        <f t="shared" si="5"/>
      </c>
      <c r="J94" s="53">
        <f t="shared" si="6"/>
      </c>
      <c r="K94" s="59">
        <f t="shared" si="7"/>
      </c>
      <c r="L94" s="53">
        <f t="shared" si="8"/>
      </c>
      <c r="M94" s="59">
        <f t="shared" si="9"/>
      </c>
      <c r="N94" s="69">
        <f t="shared" si="10"/>
      </c>
      <c r="P94" s="22">
        <f t="shared" si="11"/>
      </c>
    </row>
    <row r="95">
      <c r="A95" s="56">
        <f>IF($B95="","",90)</f>
      </c>
      <c r="B95" s="66">
        <f>IF(往来单位!$B$93="","",往来单位!$B$93)</f>
      </c>
      <c r="C95" s="56">
        <f>IF($B95="","",往来单位!$C$93&amp;"")</f>
      </c>
      <c r="D95" s="53">
        <f t="shared" si="0"/>
      </c>
      <c r="E95" s="53">
        <f t="shared" si="1"/>
      </c>
      <c r="F95" s="53">
        <f t="shared" si="2"/>
      </c>
      <c r="G95" s="59">
        <f t="shared" si="3"/>
      </c>
      <c r="H95" s="53">
        <f t="shared" si="4"/>
      </c>
      <c r="I95" s="53">
        <f t="shared" si="5"/>
      </c>
      <c r="J95" s="53">
        <f t="shared" si="6"/>
      </c>
      <c r="K95" s="59">
        <f t="shared" si="7"/>
      </c>
      <c r="L95" s="53">
        <f t="shared" si="8"/>
      </c>
      <c r="M95" s="59">
        <f t="shared" si="9"/>
      </c>
      <c r="N95" s="69">
        <f t="shared" si="10"/>
      </c>
      <c r="P95" s="22">
        <f t="shared" si="11"/>
      </c>
    </row>
    <row r="96">
      <c r="A96" s="56">
        <f>IF($B96="","",91)</f>
      </c>
      <c r="B96" s="66">
        <f>IF(往来单位!$B$94="","",往来单位!$B$94)</f>
      </c>
      <c r="C96" s="56">
        <f>IF($B96="","",往来单位!$C$94&amp;"")</f>
      </c>
      <c r="D96" s="53">
        <f t="shared" si="0"/>
      </c>
      <c r="E96" s="53">
        <f t="shared" si="1"/>
      </c>
      <c r="F96" s="53">
        <f t="shared" si="2"/>
      </c>
      <c r="G96" s="59">
        <f t="shared" si="3"/>
      </c>
      <c r="H96" s="53">
        <f t="shared" si="4"/>
      </c>
      <c r="I96" s="53">
        <f t="shared" si="5"/>
      </c>
      <c r="J96" s="53">
        <f t="shared" si="6"/>
      </c>
      <c r="K96" s="59">
        <f t="shared" si="7"/>
      </c>
      <c r="L96" s="53">
        <f t="shared" si="8"/>
      </c>
      <c r="M96" s="59">
        <f t="shared" si="9"/>
      </c>
      <c r="N96" s="69">
        <f t="shared" si="10"/>
      </c>
      <c r="P96" s="22">
        <f t="shared" si="11"/>
      </c>
    </row>
    <row r="97">
      <c r="A97" s="56">
        <f>IF($B97="","",92)</f>
      </c>
      <c r="B97" s="66">
        <f>IF(往来单位!$B$95="","",往来单位!$B$95)</f>
      </c>
      <c r="C97" s="56">
        <f>IF($B97="","",往来单位!$C$95&amp;"")</f>
      </c>
      <c r="D97" s="53">
        <f t="shared" si="0"/>
      </c>
      <c r="E97" s="53">
        <f t="shared" si="1"/>
      </c>
      <c r="F97" s="53">
        <f t="shared" si="2"/>
      </c>
      <c r="G97" s="59">
        <f t="shared" si="3"/>
      </c>
      <c r="H97" s="53">
        <f t="shared" si="4"/>
      </c>
      <c r="I97" s="53">
        <f t="shared" si="5"/>
      </c>
      <c r="J97" s="53">
        <f t="shared" si="6"/>
      </c>
      <c r="K97" s="59">
        <f t="shared" si="7"/>
      </c>
      <c r="L97" s="53">
        <f t="shared" si="8"/>
      </c>
      <c r="M97" s="59">
        <f t="shared" si="9"/>
      </c>
      <c r="N97" s="69">
        <f t="shared" si="10"/>
      </c>
      <c r="P97" s="22">
        <f t="shared" si="11"/>
      </c>
    </row>
    <row r="98">
      <c r="A98" s="56">
        <f>IF($B98="","",93)</f>
      </c>
      <c r="B98" s="66">
        <f>IF(往来单位!$B$96="","",往来单位!$B$96)</f>
      </c>
      <c r="C98" s="56">
        <f>IF($B98="","",往来单位!$C$96&amp;"")</f>
      </c>
      <c r="D98" s="53">
        <f t="shared" si="0"/>
      </c>
      <c r="E98" s="53">
        <f t="shared" si="1"/>
      </c>
      <c r="F98" s="53">
        <f t="shared" si="2"/>
      </c>
      <c r="G98" s="59">
        <f t="shared" si="3"/>
      </c>
      <c r="H98" s="53">
        <f t="shared" si="4"/>
      </c>
      <c r="I98" s="53">
        <f t="shared" si="5"/>
      </c>
      <c r="J98" s="53">
        <f t="shared" si="6"/>
      </c>
      <c r="K98" s="59">
        <f t="shared" si="7"/>
      </c>
      <c r="L98" s="53">
        <f t="shared" si="8"/>
      </c>
      <c r="M98" s="59">
        <f t="shared" si="9"/>
      </c>
      <c r="N98" s="69">
        <f t="shared" si="10"/>
      </c>
      <c r="P98" s="22">
        <f t="shared" si="11"/>
      </c>
    </row>
    <row r="99">
      <c r="A99" s="56">
        <f>IF($B99="","",94)</f>
      </c>
      <c r="B99" s="66">
        <f>IF(往来单位!$B$97="","",往来单位!$B$97)</f>
      </c>
      <c r="C99" s="56">
        <f>IF($B99="","",往来单位!$C$97&amp;"")</f>
      </c>
      <c r="D99" s="53">
        <f t="shared" si="0"/>
      </c>
      <c r="E99" s="53">
        <f t="shared" si="1"/>
      </c>
      <c r="F99" s="53">
        <f t="shared" si="2"/>
      </c>
      <c r="G99" s="59">
        <f t="shared" si="3"/>
      </c>
      <c r="H99" s="53">
        <f t="shared" si="4"/>
      </c>
      <c r="I99" s="53">
        <f t="shared" si="5"/>
      </c>
      <c r="J99" s="53">
        <f t="shared" si="6"/>
      </c>
      <c r="K99" s="59">
        <f t="shared" si="7"/>
      </c>
      <c r="L99" s="53">
        <f t="shared" si="8"/>
      </c>
      <c r="M99" s="59">
        <f t="shared" si="9"/>
      </c>
      <c r="N99" s="69">
        <f t="shared" si="10"/>
      </c>
      <c r="P99" s="22">
        <f t="shared" si="11"/>
      </c>
    </row>
    <row r="100">
      <c r="A100" s="56">
        <f>IF($B100="","",95)</f>
      </c>
      <c r="B100" s="66">
        <f>IF(往来单位!$B$98="","",往来单位!$B$98)</f>
      </c>
      <c r="C100" s="56">
        <f>IF($B100="","",往来单位!$C$98&amp;"")</f>
      </c>
      <c r="D100" s="53">
        <f t="shared" si="0"/>
      </c>
      <c r="E100" s="53">
        <f t="shared" si="1"/>
      </c>
      <c r="F100" s="53">
        <f t="shared" si="2"/>
      </c>
      <c r="G100" s="59">
        <f t="shared" si="3"/>
      </c>
      <c r="H100" s="53">
        <f t="shared" si="4"/>
      </c>
      <c r="I100" s="53">
        <f t="shared" si="5"/>
      </c>
      <c r="J100" s="53">
        <f t="shared" si="6"/>
      </c>
      <c r="K100" s="59">
        <f t="shared" si="7"/>
      </c>
      <c r="L100" s="53">
        <f t="shared" si="8"/>
      </c>
      <c r="M100" s="59">
        <f t="shared" si="9"/>
      </c>
      <c r="N100" s="69">
        <f t="shared" si="10"/>
      </c>
      <c r="P100" s="22">
        <f t="shared" si="11"/>
      </c>
    </row>
    <row r="101">
      <c r="A101" s="56">
        <f>IF($B101="","",96)</f>
      </c>
      <c r="B101" s="66">
        <f>IF(往来单位!$B$99="","",往来单位!$B$99)</f>
      </c>
      <c r="C101" s="56">
        <f>IF($B101="","",往来单位!$C$99&amp;"")</f>
      </c>
      <c r="D101" s="53">
        <f t="shared" si="0"/>
      </c>
      <c r="E101" s="53">
        <f t="shared" si="1"/>
      </c>
      <c r="F101" s="53">
        <f t="shared" si="2"/>
      </c>
      <c r="G101" s="59">
        <f t="shared" si="3"/>
      </c>
      <c r="H101" s="53">
        <f t="shared" si="4"/>
      </c>
      <c r="I101" s="53">
        <f t="shared" si="5"/>
      </c>
      <c r="J101" s="53">
        <f t="shared" si="6"/>
      </c>
      <c r="K101" s="59">
        <f t="shared" si="7"/>
      </c>
      <c r="L101" s="53">
        <f t="shared" si="8"/>
      </c>
      <c r="M101" s="59">
        <f t="shared" si="9"/>
      </c>
      <c r="N101" s="69">
        <f t="shared" si="10"/>
      </c>
      <c r="P101" s="22">
        <f t="shared" si="11"/>
      </c>
    </row>
    <row r="102">
      <c r="A102" s="56">
        <f>IF($B102="","",97)</f>
      </c>
      <c r="B102" s="66">
        <f>IF(往来单位!$B$100="","",往来单位!$B$100)</f>
      </c>
      <c r="C102" s="56">
        <f>IF($B102="","",往来单位!$C$100&amp;"")</f>
      </c>
      <c r="D102" s="53">
        <f t="shared" si="0"/>
      </c>
      <c r="E102" s="53">
        <f t="shared" si="1"/>
      </c>
      <c r="F102" s="53">
        <f t="shared" si="2"/>
      </c>
      <c r="G102" s="59">
        <f t="shared" si="3"/>
      </c>
      <c r="H102" s="53">
        <f t="shared" si="4"/>
      </c>
      <c r="I102" s="53">
        <f t="shared" si="5"/>
      </c>
      <c r="J102" s="53">
        <f t="shared" si="6"/>
      </c>
      <c r="K102" s="59">
        <f t="shared" si="7"/>
      </c>
      <c r="L102" s="53">
        <f t="shared" si="8"/>
      </c>
      <c r="M102" s="59">
        <f t="shared" si="9"/>
      </c>
      <c r="N102" s="69">
        <f t="shared" si="10"/>
      </c>
      <c r="P102" s="22">
        <f t="shared" si="11"/>
      </c>
    </row>
    <row r="103">
      <c r="A103" s="56">
        <f>IF($B103="","",98)</f>
      </c>
      <c r="B103" s="66">
        <f>IF(往来单位!$B$101="","",往来单位!$B$101)</f>
      </c>
      <c r="C103" s="56">
        <f>IF($B103="","",往来单位!$C$101&amp;"")</f>
      </c>
      <c r="D103" s="53">
        <f t="shared" si="0"/>
      </c>
      <c r="E103" s="53">
        <f t="shared" si="1"/>
      </c>
      <c r="F103" s="53">
        <f t="shared" si="2"/>
      </c>
      <c r="G103" s="59">
        <f t="shared" si="3"/>
      </c>
      <c r="H103" s="53">
        <f t="shared" si="4"/>
      </c>
      <c r="I103" s="53">
        <f t="shared" si="5"/>
      </c>
      <c r="J103" s="53">
        <f t="shared" si="6"/>
      </c>
      <c r="K103" s="59">
        <f t="shared" si="7"/>
      </c>
      <c r="L103" s="53">
        <f t="shared" si="8"/>
      </c>
      <c r="M103" s="59">
        <f t="shared" si="9"/>
      </c>
      <c r="N103" s="69">
        <f t="shared" si="10"/>
      </c>
      <c r="P103" s="22">
        <f t="shared" si="11"/>
      </c>
    </row>
    <row r="104">
      <c r="A104" s="56">
        <f>IF($B104="","",99)</f>
      </c>
      <c r="B104" s="66">
        <f>IF(往来单位!$B$102="","",往来单位!$B$102)</f>
      </c>
      <c r="C104" s="56">
        <f>IF($B104="","",往来单位!$C$102&amp;"")</f>
      </c>
      <c r="D104" s="53">
        <f t="shared" si="0"/>
      </c>
      <c r="E104" s="53">
        <f t="shared" si="1"/>
      </c>
      <c r="F104" s="53">
        <f t="shared" si="2"/>
      </c>
      <c r="G104" s="59">
        <f t="shared" si="3"/>
      </c>
      <c r="H104" s="53">
        <f t="shared" si="4"/>
      </c>
      <c r="I104" s="53">
        <f t="shared" si="5"/>
      </c>
      <c r="J104" s="53">
        <f t="shared" si="6"/>
      </c>
      <c r="K104" s="59">
        <f t="shared" si="7"/>
      </c>
      <c r="L104" s="53">
        <f t="shared" si="8"/>
      </c>
      <c r="M104" s="59">
        <f t="shared" si="9"/>
      </c>
      <c r="N104" s="69">
        <f t="shared" si="10"/>
      </c>
      <c r="P104" s="22">
        <f t="shared" si="11"/>
      </c>
    </row>
    <row r="105">
      <c r="A105" s="56">
        <f>IF($B105="","",100)</f>
      </c>
      <c r="B105" s="66">
        <f>IF(往来单位!$B$103="","",往来单位!$B$103)</f>
      </c>
      <c r="C105" s="56">
        <f>IF($B105="","",往来单位!$C$103&amp;"")</f>
      </c>
      <c r="D105" s="53">
        <f t="shared" si="0"/>
      </c>
      <c r="E105" s="53">
        <f t="shared" si="1"/>
      </c>
      <c r="F105" s="53">
        <f t="shared" si="2"/>
      </c>
      <c r="G105" s="59">
        <f t="shared" si="3"/>
      </c>
      <c r="H105" s="53">
        <f t="shared" si="4"/>
      </c>
      <c r="I105" s="53">
        <f t="shared" si="5"/>
      </c>
      <c r="J105" s="53">
        <f t="shared" si="6"/>
      </c>
      <c r="K105" s="59">
        <f t="shared" si="7"/>
      </c>
      <c r="L105" s="53">
        <f t="shared" si="8"/>
      </c>
      <c r="M105" s="59">
        <f t="shared" si="9"/>
      </c>
      <c r="N105" s="69">
        <f t="shared" si="10"/>
      </c>
      <c r="P105" s="22">
        <f t="shared" si="11"/>
      </c>
    </row>
    <row r="106">
      <c r="A106" s="56">
        <f>IF($B106="","",101)</f>
      </c>
      <c r="B106" s="66">
        <f>IF(往来单位!$B$104="","",往来单位!$B$104)</f>
      </c>
      <c r="C106" s="56">
        <f>IF($B106="","",往来单位!$C$104&amp;"")</f>
      </c>
      <c r="D106" s="53">
        <f t="shared" si="0"/>
      </c>
      <c r="E106" s="53">
        <f t="shared" si="1"/>
      </c>
      <c r="F106" s="53">
        <f t="shared" si="2"/>
      </c>
      <c r="G106" s="59">
        <f t="shared" si="3"/>
      </c>
      <c r="H106" s="53">
        <f t="shared" si="4"/>
      </c>
      <c r="I106" s="53">
        <f t="shared" si="5"/>
      </c>
      <c r="J106" s="53">
        <f t="shared" si="6"/>
      </c>
      <c r="K106" s="59">
        <f t="shared" si="7"/>
      </c>
      <c r="L106" s="53">
        <f t="shared" si="8"/>
      </c>
      <c r="M106" s="59">
        <f t="shared" si="9"/>
      </c>
      <c r="N106" s="69">
        <f t="shared" si="10"/>
      </c>
      <c r="P106" s="22">
        <f t="shared" si="11"/>
      </c>
    </row>
    <row r="107">
      <c r="A107" s="56">
        <f>IF($B107="","",102)</f>
      </c>
      <c r="B107" s="66">
        <f>IF(往来单位!$B$105="","",往来单位!$B$105)</f>
      </c>
      <c r="C107" s="56">
        <f>IF($B107="","",往来单位!$C$105&amp;"")</f>
      </c>
      <c r="D107" s="53">
        <f t="shared" si="0"/>
      </c>
      <c r="E107" s="53">
        <f t="shared" si="1"/>
      </c>
      <c r="F107" s="53">
        <f t="shared" si="2"/>
      </c>
      <c r="G107" s="59">
        <f t="shared" si="3"/>
      </c>
      <c r="H107" s="53">
        <f t="shared" si="4"/>
      </c>
      <c r="I107" s="53">
        <f t="shared" si="5"/>
      </c>
      <c r="J107" s="53">
        <f t="shared" si="6"/>
      </c>
      <c r="K107" s="59">
        <f t="shared" si="7"/>
      </c>
      <c r="L107" s="53">
        <f t="shared" si="8"/>
      </c>
      <c r="M107" s="59">
        <f t="shared" si="9"/>
      </c>
      <c r="N107" s="69">
        <f t="shared" si="10"/>
      </c>
      <c r="P107" s="22">
        <f t="shared" si="11"/>
      </c>
    </row>
    <row r="108">
      <c r="A108" s="56">
        <f>IF($B108="","",103)</f>
      </c>
      <c r="B108" s="66">
        <f>IF(往来单位!$B$106="","",往来单位!$B$106)</f>
      </c>
      <c r="C108" s="56">
        <f>IF($B108="","",往来单位!$C$106&amp;"")</f>
      </c>
      <c r="D108" s="53">
        <f t="shared" si="0"/>
      </c>
      <c r="E108" s="53">
        <f t="shared" si="1"/>
      </c>
      <c r="F108" s="53">
        <f t="shared" si="2"/>
      </c>
      <c r="G108" s="59">
        <f t="shared" si="3"/>
      </c>
      <c r="H108" s="53">
        <f t="shared" si="4"/>
      </c>
      <c r="I108" s="53">
        <f t="shared" si="5"/>
      </c>
      <c r="J108" s="53">
        <f t="shared" si="6"/>
      </c>
      <c r="K108" s="59">
        <f t="shared" si="7"/>
      </c>
      <c r="L108" s="53">
        <f t="shared" si="8"/>
      </c>
      <c r="M108" s="59">
        <f t="shared" si="9"/>
      </c>
      <c r="N108" s="69">
        <f t="shared" si="10"/>
      </c>
      <c r="P108" s="22">
        <f t="shared" si="11"/>
      </c>
    </row>
    <row r="109">
      <c r="A109" s="56">
        <f>IF($B109="","",104)</f>
      </c>
      <c r="B109" s="66">
        <f>IF(往来单位!$B$107="","",往来单位!$B$107)</f>
      </c>
      <c r="C109" s="56">
        <f>IF($B109="","",往来单位!$C$107&amp;"")</f>
      </c>
      <c r="D109" s="53">
        <f t="shared" si="0"/>
      </c>
      <c r="E109" s="53">
        <f t="shared" si="1"/>
      </c>
      <c r="F109" s="53">
        <f t="shared" si="2"/>
      </c>
      <c r="G109" s="59">
        <f t="shared" si="3"/>
      </c>
      <c r="H109" s="53">
        <f t="shared" si="4"/>
      </c>
      <c r="I109" s="53">
        <f t="shared" si="5"/>
      </c>
      <c r="J109" s="53">
        <f t="shared" si="6"/>
      </c>
      <c r="K109" s="59">
        <f t="shared" si="7"/>
      </c>
      <c r="L109" s="53">
        <f t="shared" si="8"/>
      </c>
      <c r="M109" s="59">
        <f t="shared" si="9"/>
      </c>
      <c r="N109" s="69">
        <f t="shared" si="10"/>
      </c>
      <c r="P109" s="22">
        <f t="shared" si="11"/>
      </c>
    </row>
    <row r="110">
      <c r="A110" s="56">
        <f>IF($B110="","",105)</f>
      </c>
      <c r="B110" s="66">
        <f>IF(往来单位!$B$108="","",往来单位!$B$108)</f>
      </c>
      <c r="C110" s="56">
        <f>IF($B110="","",往来单位!$C$108&amp;"")</f>
      </c>
      <c r="D110" s="53">
        <f t="shared" si="0"/>
      </c>
      <c r="E110" s="53">
        <f t="shared" si="1"/>
      </c>
      <c r="F110" s="53">
        <f t="shared" si="2"/>
      </c>
      <c r="G110" s="59">
        <f t="shared" si="3"/>
      </c>
      <c r="H110" s="53">
        <f t="shared" si="4"/>
      </c>
      <c r="I110" s="53">
        <f t="shared" si="5"/>
      </c>
      <c r="J110" s="53">
        <f t="shared" si="6"/>
      </c>
      <c r="K110" s="59">
        <f t="shared" si="7"/>
      </c>
      <c r="L110" s="53">
        <f t="shared" si="8"/>
      </c>
      <c r="M110" s="59">
        <f t="shared" si="9"/>
      </c>
      <c r="N110" s="69">
        <f t="shared" si="10"/>
      </c>
      <c r="P110" s="22">
        <f t="shared" si="11"/>
      </c>
    </row>
    <row r="111">
      <c r="A111" s="56">
        <f>IF($B111="","",106)</f>
      </c>
      <c r="B111" s="66">
        <f>IF(往来单位!$B$109="","",往来单位!$B$109)</f>
      </c>
      <c r="C111" s="56">
        <f>IF($B111="","",往来单位!$C$109&amp;"")</f>
      </c>
      <c r="D111" s="53">
        <f t="shared" si="0"/>
      </c>
      <c r="E111" s="53">
        <f t="shared" si="1"/>
      </c>
      <c r="F111" s="53">
        <f t="shared" si="2"/>
      </c>
      <c r="G111" s="59">
        <f t="shared" si="3"/>
      </c>
      <c r="H111" s="53">
        <f t="shared" si="4"/>
      </c>
      <c r="I111" s="53">
        <f t="shared" si="5"/>
      </c>
      <c r="J111" s="53">
        <f t="shared" si="6"/>
      </c>
      <c r="K111" s="59">
        <f t="shared" si="7"/>
      </c>
      <c r="L111" s="53">
        <f t="shared" si="8"/>
      </c>
      <c r="M111" s="59">
        <f t="shared" si="9"/>
      </c>
      <c r="N111" s="69">
        <f t="shared" si="10"/>
      </c>
      <c r="P111" s="22">
        <f t="shared" si="11"/>
      </c>
    </row>
    <row r="112">
      <c r="A112" s="56">
        <f>IF($B112="","",107)</f>
      </c>
      <c r="B112" s="66">
        <f>IF(往来单位!$B$110="","",往来单位!$B$110)</f>
      </c>
      <c r="C112" s="56">
        <f>IF($B112="","",往来单位!$C$110&amp;"")</f>
      </c>
      <c r="D112" s="53">
        <f t="shared" si="0"/>
      </c>
      <c r="E112" s="53">
        <f t="shared" si="1"/>
      </c>
      <c r="F112" s="53">
        <f t="shared" si="2"/>
      </c>
      <c r="G112" s="59">
        <f t="shared" si="3"/>
      </c>
      <c r="H112" s="53">
        <f t="shared" si="4"/>
      </c>
      <c r="I112" s="53">
        <f t="shared" si="5"/>
      </c>
      <c r="J112" s="53">
        <f t="shared" si="6"/>
      </c>
      <c r="K112" s="59">
        <f t="shared" si="7"/>
      </c>
      <c r="L112" s="53">
        <f t="shared" si="8"/>
      </c>
      <c r="M112" s="59">
        <f t="shared" si="9"/>
      </c>
      <c r="N112" s="69">
        <f t="shared" si="10"/>
      </c>
      <c r="P112" s="22">
        <f t="shared" si="11"/>
      </c>
    </row>
    <row r="113">
      <c r="A113" s="56">
        <f>IF($B113="","",108)</f>
      </c>
      <c r="B113" s="66">
        <f>IF(往来单位!$B$111="","",往来单位!$B$111)</f>
      </c>
      <c r="C113" s="56">
        <f>IF($B113="","",往来单位!$C$111&amp;"")</f>
      </c>
      <c r="D113" s="53">
        <f t="shared" si="0"/>
      </c>
      <c r="E113" s="53">
        <f t="shared" si="1"/>
      </c>
      <c r="F113" s="53">
        <f t="shared" si="2"/>
      </c>
      <c r="G113" s="59">
        <f t="shared" si="3"/>
      </c>
      <c r="H113" s="53">
        <f t="shared" si="4"/>
      </c>
      <c r="I113" s="53">
        <f t="shared" si="5"/>
      </c>
      <c r="J113" s="53">
        <f t="shared" si="6"/>
      </c>
      <c r="K113" s="59">
        <f t="shared" si="7"/>
      </c>
      <c r="L113" s="53">
        <f t="shared" si="8"/>
      </c>
      <c r="M113" s="59">
        <f t="shared" si="9"/>
      </c>
      <c r="N113" s="69">
        <f t="shared" si="10"/>
      </c>
      <c r="P113" s="22">
        <f t="shared" si="11"/>
      </c>
    </row>
    <row r="114">
      <c r="A114" s="56">
        <f>IF($B114="","",109)</f>
      </c>
      <c r="B114" s="66">
        <f>IF(往来单位!$B$112="","",往来单位!$B$112)</f>
      </c>
      <c r="C114" s="56">
        <f>IF($B114="","",往来单位!$C$112&amp;"")</f>
      </c>
      <c r="D114" s="53">
        <f t="shared" si="0"/>
      </c>
      <c r="E114" s="53">
        <f t="shared" si="1"/>
      </c>
      <c r="F114" s="53">
        <f t="shared" si="2"/>
      </c>
      <c r="G114" s="59">
        <f t="shared" si="3"/>
      </c>
      <c r="H114" s="53">
        <f t="shared" si="4"/>
      </c>
      <c r="I114" s="53">
        <f t="shared" si="5"/>
      </c>
      <c r="J114" s="53">
        <f t="shared" si="6"/>
      </c>
      <c r="K114" s="59">
        <f t="shared" si="7"/>
      </c>
      <c r="L114" s="53">
        <f t="shared" si="8"/>
      </c>
      <c r="M114" s="59">
        <f t="shared" si="9"/>
      </c>
      <c r="N114" s="69">
        <f t="shared" si="10"/>
      </c>
      <c r="P114" s="22">
        <f t="shared" si="11"/>
      </c>
    </row>
    <row r="115">
      <c r="A115" s="56">
        <f>IF($B115="","",110)</f>
      </c>
      <c r="B115" s="66">
        <f>IF(往来单位!$B$113="","",往来单位!$B$113)</f>
      </c>
      <c r="C115" s="56">
        <f>IF($B115="","",往来单位!$C$113&amp;"")</f>
      </c>
      <c r="D115" s="53">
        <f t="shared" si="0"/>
      </c>
      <c r="E115" s="53">
        <f t="shared" si="1"/>
      </c>
      <c r="F115" s="53">
        <f t="shared" si="2"/>
      </c>
      <c r="G115" s="59">
        <f t="shared" si="3"/>
      </c>
      <c r="H115" s="53">
        <f t="shared" si="4"/>
      </c>
      <c r="I115" s="53">
        <f t="shared" si="5"/>
      </c>
      <c r="J115" s="53">
        <f t="shared" si="6"/>
      </c>
      <c r="K115" s="59">
        <f t="shared" si="7"/>
      </c>
      <c r="L115" s="53">
        <f t="shared" si="8"/>
      </c>
      <c r="M115" s="59">
        <f t="shared" si="9"/>
      </c>
      <c r="N115" s="69">
        <f t="shared" si="10"/>
      </c>
      <c r="P115" s="22">
        <f t="shared" si="11"/>
      </c>
    </row>
    <row r="116">
      <c r="A116" s="56">
        <f>IF($B116="","",111)</f>
      </c>
      <c r="B116" s="66">
        <f>IF(往来单位!$B$114="","",往来单位!$B$114)</f>
      </c>
      <c r="C116" s="56">
        <f>IF($B116="","",往来单位!$C$114&amp;"")</f>
      </c>
      <c r="D116" s="53">
        <f t="shared" si="0"/>
      </c>
      <c r="E116" s="53">
        <f t="shared" si="1"/>
      </c>
      <c r="F116" s="53">
        <f t="shared" si="2"/>
      </c>
      <c r="G116" s="59">
        <f t="shared" si="3"/>
      </c>
      <c r="H116" s="53">
        <f t="shared" si="4"/>
      </c>
      <c r="I116" s="53">
        <f t="shared" si="5"/>
      </c>
      <c r="J116" s="53">
        <f t="shared" si="6"/>
      </c>
      <c r="K116" s="59">
        <f t="shared" si="7"/>
      </c>
      <c r="L116" s="53">
        <f t="shared" si="8"/>
      </c>
      <c r="M116" s="59">
        <f t="shared" si="9"/>
      </c>
      <c r="N116" s="69">
        <f t="shared" si="10"/>
      </c>
      <c r="P116" s="22">
        <f t="shared" si="11"/>
      </c>
    </row>
    <row r="117">
      <c r="A117" s="56">
        <f>IF($B117="","",112)</f>
      </c>
      <c r="B117" s="66">
        <f>IF(往来单位!$B$115="","",往来单位!$B$115)</f>
      </c>
      <c r="C117" s="56">
        <f>IF($B117="","",往来单位!$C$115&amp;"")</f>
      </c>
      <c r="D117" s="53">
        <f t="shared" si="0"/>
      </c>
      <c r="E117" s="53">
        <f t="shared" si="1"/>
      </c>
      <c r="F117" s="53">
        <f t="shared" si="2"/>
      </c>
      <c r="G117" s="59">
        <f t="shared" si="3"/>
      </c>
      <c r="H117" s="53">
        <f t="shared" si="4"/>
      </c>
      <c r="I117" s="53">
        <f t="shared" si="5"/>
      </c>
      <c r="J117" s="53">
        <f t="shared" si="6"/>
      </c>
      <c r="K117" s="59">
        <f t="shared" si="7"/>
      </c>
      <c r="L117" s="53">
        <f t="shared" si="8"/>
      </c>
      <c r="M117" s="59">
        <f t="shared" si="9"/>
      </c>
      <c r="N117" s="69">
        <f t="shared" si="10"/>
      </c>
      <c r="P117" s="22">
        <f t="shared" si="11"/>
      </c>
    </row>
    <row r="118">
      <c r="A118" s="56">
        <f>IF($B118="","",113)</f>
      </c>
      <c r="B118" s="66">
        <f>IF(往来单位!$B$116="","",往来单位!$B$116)</f>
      </c>
      <c r="C118" s="56">
        <f>IF($B118="","",往来单位!$C$116&amp;"")</f>
      </c>
      <c r="D118" s="53">
        <f t="shared" si="0"/>
      </c>
      <c r="E118" s="53">
        <f t="shared" si="1"/>
      </c>
      <c r="F118" s="53">
        <f t="shared" si="2"/>
      </c>
      <c r="G118" s="59">
        <f t="shared" si="3"/>
      </c>
      <c r="H118" s="53">
        <f t="shared" si="4"/>
      </c>
      <c r="I118" s="53">
        <f t="shared" si="5"/>
      </c>
      <c r="J118" s="53">
        <f t="shared" si="6"/>
      </c>
      <c r="K118" s="59">
        <f t="shared" si="7"/>
      </c>
      <c r="L118" s="53">
        <f t="shared" si="8"/>
      </c>
      <c r="M118" s="59">
        <f t="shared" si="9"/>
      </c>
      <c r="N118" s="69">
        <f t="shared" si="10"/>
      </c>
      <c r="P118" s="22">
        <f t="shared" si="11"/>
      </c>
    </row>
    <row r="119">
      <c r="A119" s="56">
        <f>IF($B119="","",114)</f>
      </c>
      <c r="B119" s="66">
        <f>IF(往来单位!$B$117="","",往来单位!$B$117)</f>
      </c>
      <c r="C119" s="56">
        <f>IF($B119="","",往来单位!$C$117&amp;"")</f>
      </c>
      <c r="D119" s="53">
        <f t="shared" si="0"/>
      </c>
      <c r="E119" s="53">
        <f t="shared" si="1"/>
      </c>
      <c r="F119" s="53">
        <f t="shared" si="2"/>
      </c>
      <c r="G119" s="59">
        <f t="shared" si="3"/>
      </c>
      <c r="H119" s="53">
        <f t="shared" si="4"/>
      </c>
      <c r="I119" s="53">
        <f t="shared" si="5"/>
      </c>
      <c r="J119" s="53">
        <f t="shared" si="6"/>
      </c>
      <c r="K119" s="59">
        <f t="shared" si="7"/>
      </c>
      <c r="L119" s="53">
        <f t="shared" si="8"/>
      </c>
      <c r="M119" s="59">
        <f t="shared" si="9"/>
      </c>
      <c r="N119" s="69">
        <f t="shared" si="10"/>
      </c>
      <c r="P119" s="22">
        <f t="shared" si="11"/>
      </c>
    </row>
    <row r="120">
      <c r="A120" s="56">
        <f>IF($B120="","",115)</f>
      </c>
      <c r="B120" s="66">
        <f>IF(往来单位!$B$118="","",往来单位!$B$118)</f>
      </c>
      <c r="C120" s="56">
        <f>IF($B120="","",往来单位!$C$118&amp;"")</f>
      </c>
      <c r="D120" s="53">
        <f t="shared" si="0"/>
      </c>
      <c r="E120" s="53">
        <f t="shared" si="1"/>
      </c>
      <c r="F120" s="53">
        <f t="shared" si="2"/>
      </c>
      <c r="G120" s="59">
        <f t="shared" si="3"/>
      </c>
      <c r="H120" s="53">
        <f t="shared" si="4"/>
      </c>
      <c r="I120" s="53">
        <f t="shared" si="5"/>
      </c>
      <c r="J120" s="53">
        <f t="shared" si="6"/>
      </c>
      <c r="K120" s="59">
        <f t="shared" si="7"/>
      </c>
      <c r="L120" s="53">
        <f t="shared" si="8"/>
      </c>
      <c r="M120" s="59">
        <f t="shared" si="9"/>
      </c>
      <c r="N120" s="69">
        <f t="shared" si="10"/>
      </c>
      <c r="P120" s="22">
        <f t="shared" si="11"/>
      </c>
    </row>
    <row r="121">
      <c r="A121" s="56">
        <f>IF($B121="","",116)</f>
      </c>
      <c r="B121" s="66">
        <f>IF(往来单位!$B$119="","",往来单位!$B$119)</f>
      </c>
      <c r="C121" s="56">
        <f>IF($B121="","",往来单位!$C$119&amp;"")</f>
      </c>
      <c r="D121" s="53">
        <f t="shared" si="0"/>
      </c>
      <c r="E121" s="53">
        <f t="shared" si="1"/>
      </c>
      <c r="F121" s="53">
        <f t="shared" si="2"/>
      </c>
      <c r="G121" s="59">
        <f t="shared" si="3"/>
      </c>
      <c r="H121" s="53">
        <f t="shared" si="4"/>
      </c>
      <c r="I121" s="53">
        <f t="shared" si="5"/>
      </c>
      <c r="J121" s="53">
        <f t="shared" si="6"/>
      </c>
      <c r="K121" s="59">
        <f t="shared" si="7"/>
      </c>
      <c r="L121" s="53">
        <f t="shared" si="8"/>
      </c>
      <c r="M121" s="59">
        <f t="shared" si="9"/>
      </c>
      <c r="N121" s="69">
        <f t="shared" si="10"/>
      </c>
      <c r="P121" s="22">
        <f t="shared" si="11"/>
      </c>
    </row>
    <row r="122">
      <c r="A122" s="56">
        <f>IF($B122="","",117)</f>
      </c>
      <c r="B122" s="66">
        <f>IF(往来单位!$B$120="","",往来单位!$B$120)</f>
      </c>
      <c r="C122" s="56">
        <f>IF($B122="","",往来单位!$C$120&amp;"")</f>
      </c>
      <c r="D122" s="53">
        <f t="shared" si="0"/>
      </c>
      <c r="E122" s="53">
        <f t="shared" si="1"/>
      </c>
      <c r="F122" s="53">
        <f t="shared" si="2"/>
      </c>
      <c r="G122" s="59">
        <f t="shared" si="3"/>
      </c>
      <c r="H122" s="53">
        <f t="shared" si="4"/>
      </c>
      <c r="I122" s="53">
        <f t="shared" si="5"/>
      </c>
      <c r="J122" s="53">
        <f t="shared" si="6"/>
      </c>
      <c r="K122" s="59">
        <f t="shared" si="7"/>
      </c>
      <c r="L122" s="53">
        <f t="shared" si="8"/>
      </c>
      <c r="M122" s="59">
        <f t="shared" si="9"/>
      </c>
      <c r="N122" s="69">
        <f t="shared" si="10"/>
      </c>
      <c r="P122" s="22">
        <f t="shared" si="11"/>
      </c>
    </row>
    <row r="123">
      <c r="A123" s="56">
        <f>IF($B123="","",118)</f>
      </c>
      <c r="B123" s="66">
        <f>IF(往来单位!$B$121="","",往来单位!$B$121)</f>
      </c>
      <c r="C123" s="56">
        <f>IF($B123="","",往来单位!$C$121&amp;"")</f>
      </c>
      <c r="D123" s="53">
        <f t="shared" si="0"/>
      </c>
      <c r="E123" s="53">
        <f t="shared" si="1"/>
      </c>
      <c r="F123" s="53">
        <f t="shared" si="2"/>
      </c>
      <c r="G123" s="59">
        <f t="shared" si="3"/>
      </c>
      <c r="H123" s="53">
        <f t="shared" si="4"/>
      </c>
      <c r="I123" s="53">
        <f t="shared" si="5"/>
      </c>
      <c r="J123" s="53">
        <f t="shared" si="6"/>
      </c>
      <c r="K123" s="59">
        <f t="shared" si="7"/>
      </c>
      <c r="L123" s="53">
        <f t="shared" si="8"/>
      </c>
      <c r="M123" s="59">
        <f t="shared" si="9"/>
      </c>
      <c r="N123" s="69">
        <f t="shared" si="10"/>
      </c>
      <c r="P123" s="22">
        <f t="shared" si="11"/>
      </c>
    </row>
    <row r="124">
      <c r="A124" s="56">
        <f>IF($B124="","",119)</f>
      </c>
      <c r="B124" s="66">
        <f>IF(往来单位!$B$122="","",往来单位!$B$122)</f>
      </c>
      <c r="C124" s="56">
        <f>IF($B124="","",往来单位!$C$122&amp;"")</f>
      </c>
      <c r="D124" s="53">
        <f t="shared" si="0"/>
      </c>
      <c r="E124" s="53">
        <f t="shared" si="1"/>
      </c>
      <c r="F124" s="53">
        <f t="shared" si="2"/>
      </c>
      <c r="G124" s="59">
        <f t="shared" si="3"/>
      </c>
      <c r="H124" s="53">
        <f t="shared" si="4"/>
      </c>
      <c r="I124" s="53">
        <f t="shared" si="5"/>
      </c>
      <c r="J124" s="53">
        <f t="shared" si="6"/>
      </c>
      <c r="K124" s="59">
        <f t="shared" si="7"/>
      </c>
      <c r="L124" s="53">
        <f t="shared" si="8"/>
      </c>
      <c r="M124" s="59">
        <f t="shared" si="9"/>
      </c>
      <c r="N124" s="69">
        <f t="shared" si="10"/>
      </c>
      <c r="P124" s="22">
        <f t="shared" si="11"/>
      </c>
    </row>
    <row r="125">
      <c r="A125" s="56">
        <f>IF($B125="","",120)</f>
      </c>
      <c r="B125" s="66">
        <f>IF(往来单位!$B$123="","",往来单位!$B$123)</f>
      </c>
      <c r="C125" s="56">
        <f>IF($B125="","",往来单位!$C$123&amp;"")</f>
      </c>
      <c r="D125" s="53">
        <f t="shared" si="0"/>
      </c>
      <c r="E125" s="53">
        <f t="shared" si="1"/>
      </c>
      <c r="F125" s="53">
        <f t="shared" si="2"/>
      </c>
      <c r="G125" s="59">
        <f t="shared" si="3"/>
      </c>
      <c r="H125" s="53">
        <f t="shared" si="4"/>
      </c>
      <c r="I125" s="53">
        <f t="shared" si="5"/>
      </c>
      <c r="J125" s="53">
        <f t="shared" si="6"/>
      </c>
      <c r="K125" s="59">
        <f t="shared" si="7"/>
      </c>
      <c r="L125" s="53">
        <f t="shared" si="8"/>
      </c>
      <c r="M125" s="59">
        <f t="shared" si="9"/>
      </c>
      <c r="N125" s="69">
        <f t="shared" si="10"/>
      </c>
      <c r="P125" s="22">
        <f t="shared" si="11"/>
      </c>
    </row>
    <row r="126">
      <c r="A126" s="56">
        <f>IF($B126="","",121)</f>
      </c>
      <c r="B126" s="66">
        <f>IF(往来单位!$B$124="","",往来单位!$B$124)</f>
      </c>
      <c r="C126" s="56">
        <f>IF($B126="","",往来单位!$C$124&amp;"")</f>
      </c>
      <c r="D126" s="53">
        <f t="shared" si="0"/>
      </c>
      <c r="E126" s="53">
        <f t="shared" si="1"/>
      </c>
      <c r="F126" s="53">
        <f t="shared" si="2"/>
      </c>
      <c r="G126" s="59">
        <f t="shared" si="3"/>
      </c>
      <c r="H126" s="53">
        <f t="shared" si="4"/>
      </c>
      <c r="I126" s="53">
        <f t="shared" si="5"/>
      </c>
      <c r="J126" s="53">
        <f t="shared" si="6"/>
      </c>
      <c r="K126" s="59">
        <f t="shared" si="7"/>
      </c>
      <c r="L126" s="53">
        <f t="shared" si="8"/>
      </c>
      <c r="M126" s="59">
        <f t="shared" si="9"/>
      </c>
      <c r="N126" s="69">
        <f t="shared" si="10"/>
      </c>
      <c r="P126" s="22">
        <f t="shared" si="11"/>
      </c>
    </row>
    <row r="127">
      <c r="A127" s="56">
        <f>IF($B127="","",122)</f>
      </c>
      <c r="B127" s="66">
        <f>IF(往来单位!$B$125="","",往来单位!$B$125)</f>
      </c>
      <c r="C127" s="56">
        <f>IF($B127="","",往来单位!$C$125&amp;"")</f>
      </c>
      <c r="D127" s="53">
        <f t="shared" si="0"/>
      </c>
      <c r="E127" s="53">
        <f t="shared" si="1"/>
      </c>
      <c r="F127" s="53">
        <f t="shared" si="2"/>
      </c>
      <c r="G127" s="59">
        <f t="shared" si="3"/>
      </c>
      <c r="H127" s="53">
        <f t="shared" si="4"/>
      </c>
      <c r="I127" s="53">
        <f t="shared" si="5"/>
      </c>
      <c r="J127" s="53">
        <f t="shared" si="6"/>
      </c>
      <c r="K127" s="59">
        <f t="shared" si="7"/>
      </c>
      <c r="L127" s="53">
        <f t="shared" si="8"/>
      </c>
      <c r="M127" s="59">
        <f t="shared" si="9"/>
      </c>
      <c r="N127" s="69">
        <f t="shared" si="10"/>
      </c>
      <c r="P127" s="22">
        <f t="shared" si="11"/>
      </c>
    </row>
    <row r="128">
      <c r="A128" s="56">
        <f>IF($B128="","",123)</f>
      </c>
      <c r="B128" s="66">
        <f>IF(往来单位!$B$126="","",往来单位!$B$126)</f>
      </c>
      <c r="C128" s="56">
        <f>IF($B128="","",往来单位!$C$126&amp;"")</f>
      </c>
      <c r="D128" s="53">
        <f t="shared" si="0"/>
      </c>
      <c r="E128" s="53">
        <f t="shared" si="1"/>
      </c>
      <c r="F128" s="53">
        <f t="shared" si="2"/>
      </c>
      <c r="G128" s="59">
        <f t="shared" si="3"/>
      </c>
      <c r="H128" s="53">
        <f t="shared" si="4"/>
      </c>
      <c r="I128" s="53">
        <f t="shared" si="5"/>
      </c>
      <c r="J128" s="53">
        <f t="shared" si="6"/>
      </c>
      <c r="K128" s="59">
        <f t="shared" si="7"/>
      </c>
      <c r="L128" s="53">
        <f t="shared" si="8"/>
      </c>
      <c r="M128" s="59">
        <f t="shared" si="9"/>
      </c>
      <c r="N128" s="69">
        <f t="shared" si="10"/>
      </c>
      <c r="P128" s="22">
        <f t="shared" si="11"/>
      </c>
    </row>
    <row r="129">
      <c r="A129" s="56">
        <f>IF($B129="","",124)</f>
      </c>
      <c r="B129" s="66">
        <f>IF(往来单位!$B$127="","",往来单位!$B$127)</f>
      </c>
      <c r="C129" s="56">
        <f>IF($B129="","",往来单位!$C$127&amp;"")</f>
      </c>
      <c r="D129" s="53">
        <f t="shared" si="0"/>
      </c>
      <c r="E129" s="53">
        <f t="shared" si="1"/>
      </c>
      <c r="F129" s="53">
        <f t="shared" si="2"/>
      </c>
      <c r="G129" s="59">
        <f t="shared" si="3"/>
      </c>
      <c r="H129" s="53">
        <f t="shared" si="4"/>
      </c>
      <c r="I129" s="53">
        <f t="shared" si="5"/>
      </c>
      <c r="J129" s="53">
        <f t="shared" si="6"/>
      </c>
      <c r="K129" s="59">
        <f t="shared" si="7"/>
      </c>
      <c r="L129" s="53">
        <f t="shared" si="8"/>
      </c>
      <c r="M129" s="59">
        <f t="shared" si="9"/>
      </c>
      <c r="N129" s="69">
        <f t="shared" si="10"/>
      </c>
      <c r="P129" s="22">
        <f t="shared" si="11"/>
      </c>
    </row>
    <row r="130">
      <c r="A130" s="56">
        <f>IF($B130="","",125)</f>
      </c>
      <c r="B130" s="66">
        <f>IF(往来单位!$B$128="","",往来单位!$B$128)</f>
      </c>
      <c r="C130" s="56">
        <f>IF($B130="","",往来单位!$C$128&amp;"")</f>
      </c>
      <c r="D130" s="53">
        <f t="shared" si="0"/>
      </c>
      <c r="E130" s="53">
        <f t="shared" si="1"/>
      </c>
      <c r="F130" s="53">
        <f t="shared" si="2"/>
      </c>
      <c r="G130" s="59">
        <f t="shared" si="3"/>
      </c>
      <c r="H130" s="53">
        <f t="shared" si="4"/>
      </c>
      <c r="I130" s="53">
        <f t="shared" si="5"/>
      </c>
      <c r="J130" s="53">
        <f t="shared" si="6"/>
      </c>
      <c r="K130" s="59">
        <f t="shared" si="7"/>
      </c>
      <c r="L130" s="53">
        <f t="shared" si="8"/>
      </c>
      <c r="M130" s="59">
        <f t="shared" si="9"/>
      </c>
      <c r="N130" s="69">
        <f t="shared" si="10"/>
      </c>
      <c r="P130" s="22">
        <f t="shared" si="11"/>
      </c>
    </row>
    <row r="131">
      <c r="A131" s="56">
        <f>IF($B131="","",126)</f>
      </c>
      <c r="B131" s="66">
        <f>IF(往来单位!$B$129="","",往来单位!$B$129)</f>
      </c>
      <c r="C131" s="56">
        <f>IF($B131="","",往来单位!$C$129&amp;"")</f>
      </c>
      <c r="D131" s="53">
        <f t="shared" si="0"/>
      </c>
      <c r="E131" s="53">
        <f t="shared" si="1"/>
      </c>
      <c r="F131" s="53">
        <f t="shared" si="2"/>
      </c>
      <c r="G131" s="59">
        <f t="shared" si="3"/>
      </c>
      <c r="H131" s="53">
        <f t="shared" si="4"/>
      </c>
      <c r="I131" s="53">
        <f t="shared" si="5"/>
      </c>
      <c r="J131" s="53">
        <f t="shared" si="6"/>
      </c>
      <c r="K131" s="59">
        <f t="shared" si="7"/>
      </c>
      <c r="L131" s="53">
        <f t="shared" si="8"/>
      </c>
      <c r="M131" s="59">
        <f t="shared" si="9"/>
      </c>
      <c r="N131" s="69">
        <f t="shared" si="10"/>
      </c>
      <c r="P131" s="22">
        <f t="shared" si="11"/>
      </c>
    </row>
    <row r="132">
      <c r="A132" s="56">
        <f>IF($B132="","",127)</f>
      </c>
      <c r="B132" s="66">
        <f>IF(往来单位!$B$130="","",往来单位!$B$130)</f>
      </c>
      <c r="C132" s="56">
        <f>IF($B132="","",往来单位!$C$130&amp;"")</f>
      </c>
      <c r="D132" s="53">
        <f t="shared" si="0"/>
      </c>
      <c r="E132" s="53">
        <f t="shared" si="1"/>
      </c>
      <c r="F132" s="53">
        <f t="shared" si="2"/>
      </c>
      <c r="G132" s="59">
        <f t="shared" si="3"/>
      </c>
      <c r="H132" s="53">
        <f t="shared" si="4"/>
      </c>
      <c r="I132" s="53">
        <f t="shared" si="5"/>
      </c>
      <c r="J132" s="53">
        <f t="shared" si="6"/>
      </c>
      <c r="K132" s="59">
        <f t="shared" si="7"/>
      </c>
      <c r="L132" s="53">
        <f t="shared" si="8"/>
      </c>
      <c r="M132" s="59">
        <f t="shared" si="9"/>
      </c>
      <c r="N132" s="69">
        <f t="shared" si="10"/>
      </c>
      <c r="P132" s="22">
        <f t="shared" si="11"/>
      </c>
    </row>
    <row r="133">
      <c r="A133" s="56">
        <f>IF($B133="","",128)</f>
      </c>
      <c r="B133" s="66">
        <f>IF(往来单位!$B$131="","",往来单位!$B$131)</f>
      </c>
      <c r="C133" s="56">
        <f>IF($B133="","",往来单位!$C$131&amp;"")</f>
      </c>
      <c r="D133" s="53">
        <f t="shared" si="0"/>
      </c>
      <c r="E133" s="53">
        <f t="shared" si="1"/>
      </c>
      <c r="F133" s="53">
        <f t="shared" si="2"/>
      </c>
      <c r="G133" s="59">
        <f t="shared" si="3"/>
      </c>
      <c r="H133" s="53">
        <f t="shared" si="4"/>
      </c>
      <c r="I133" s="53">
        <f t="shared" si="5"/>
      </c>
      <c r="J133" s="53">
        <f t="shared" si="6"/>
      </c>
      <c r="K133" s="59">
        <f t="shared" si="7"/>
      </c>
      <c r="L133" s="53">
        <f t="shared" si="8"/>
      </c>
      <c r="M133" s="59">
        <f t="shared" si="9"/>
      </c>
      <c r="N133" s="69">
        <f t="shared" si="10"/>
      </c>
      <c r="P133" s="22">
        <f t="shared" si="11"/>
      </c>
    </row>
    <row r="134">
      <c r="A134" s="56">
        <f>IF($B134="","",129)</f>
      </c>
      <c r="B134" s="66">
        <f>IF(往来单位!$B$132="","",往来单位!$B$132)</f>
      </c>
      <c r="C134" s="56">
        <f>IF($B134="","",往来单位!$C$132&amp;"")</f>
      </c>
      <c r="D134" s="53">
        <f t="shared" si="0"/>
      </c>
      <c r="E134" s="53">
        <f t="shared" si="1"/>
      </c>
      <c r="F134" s="53">
        <f t="shared" si="2"/>
      </c>
      <c r="G134" s="59">
        <f t="shared" si="3"/>
      </c>
      <c r="H134" s="53">
        <f t="shared" si="4"/>
      </c>
      <c r="I134" s="53">
        <f t="shared" si="5"/>
      </c>
      <c r="J134" s="53">
        <f t="shared" si="6"/>
      </c>
      <c r="K134" s="59">
        <f t="shared" si="7"/>
      </c>
      <c r="L134" s="53">
        <f t="shared" si="8"/>
      </c>
      <c r="M134" s="59">
        <f t="shared" si="9"/>
      </c>
      <c r="N134" s="69">
        <f t="shared" si="10"/>
      </c>
      <c r="P134" s="22">
        <f t="shared" si="11"/>
      </c>
    </row>
    <row r="135">
      <c r="A135" s="56">
        <f>IF($B135="","",130)</f>
      </c>
      <c r="B135" s="66">
        <f>IF(往来单位!$B$133="","",往来单位!$B$133)</f>
      </c>
      <c r="C135" s="56">
        <f>IF($B135="","",往来单位!$C$133&amp;"")</f>
      </c>
      <c r="D135" s="53">
        <f t="shared" si="0"/>
      </c>
      <c r="E135" s="53">
        <f t="shared" si="1"/>
      </c>
      <c r="F135" s="53">
        <f t="shared" si="2"/>
      </c>
      <c r="G135" s="59">
        <f t="shared" si="3"/>
      </c>
      <c r="H135" s="53">
        <f t="shared" si="4"/>
      </c>
      <c r="I135" s="53">
        <f t="shared" si="5"/>
      </c>
      <c r="J135" s="53">
        <f t="shared" si="6"/>
      </c>
      <c r="K135" s="59">
        <f t="shared" si="7"/>
      </c>
      <c r="L135" s="53">
        <f t="shared" si="8"/>
      </c>
      <c r="M135" s="59">
        <f t="shared" si="9"/>
      </c>
      <c r="N135" s="69">
        <f t="shared" si="10"/>
      </c>
      <c r="P135" s="22">
        <f t="shared" si="11"/>
      </c>
    </row>
    <row r="136">
      <c r="A136" s="56">
        <f>IF($B136="","",131)</f>
      </c>
      <c r="B136" s="66">
        <f>IF(往来单位!$B$134="","",往来单位!$B$134)</f>
      </c>
      <c r="C136" s="56">
        <f>IF($B136="","",往来单位!$C$134&amp;"")</f>
      </c>
      <c r="D136" s="53">
        <f t="shared" si="0"/>
      </c>
      <c r="E136" s="53">
        <f t="shared" si="1"/>
      </c>
      <c r="F136" s="53">
        <f t="shared" si="2"/>
      </c>
      <c r="G136" s="59">
        <f t="shared" si="3"/>
      </c>
      <c r="H136" s="53">
        <f t="shared" si="4"/>
      </c>
      <c r="I136" s="53">
        <f t="shared" si="5"/>
      </c>
      <c r="J136" s="53">
        <f t="shared" si="6"/>
      </c>
      <c r="K136" s="59">
        <f t="shared" si="7"/>
      </c>
      <c r="L136" s="53">
        <f t="shared" si="8"/>
      </c>
      <c r="M136" s="59">
        <f t="shared" si="9"/>
      </c>
      <c r="N136" s="69">
        <f t="shared" si="10"/>
      </c>
      <c r="P136" s="22">
        <f t="shared" si="11"/>
      </c>
    </row>
    <row r="137">
      <c r="A137" s="56">
        <f>IF($B137="","",132)</f>
      </c>
      <c r="B137" s="66">
        <f>IF(往来单位!$B$135="","",往来单位!$B$135)</f>
      </c>
      <c r="C137" s="56">
        <f>IF($B137="","",往来单位!$C$135&amp;"")</f>
      </c>
      <c r="D137" s="53">
        <f t="shared" si="0"/>
      </c>
      <c r="E137" s="53">
        <f t="shared" si="1"/>
      </c>
      <c r="F137" s="53">
        <f t="shared" si="2"/>
      </c>
      <c r="G137" s="59">
        <f t="shared" si="3"/>
      </c>
      <c r="H137" s="53">
        <f t="shared" si="4"/>
      </c>
      <c r="I137" s="53">
        <f t="shared" si="5"/>
      </c>
      <c r="J137" s="53">
        <f t="shared" si="6"/>
      </c>
      <c r="K137" s="59">
        <f t="shared" si="7"/>
      </c>
      <c r="L137" s="53">
        <f t="shared" si="8"/>
      </c>
      <c r="M137" s="59">
        <f t="shared" si="9"/>
      </c>
      <c r="N137" s="69">
        <f t="shared" si="10"/>
      </c>
      <c r="P137" s="22">
        <f t="shared" si="11"/>
      </c>
    </row>
    <row r="138">
      <c r="A138" s="56">
        <f>IF($B138="","",133)</f>
      </c>
      <c r="B138" s="66">
        <f>IF(往来单位!$B$136="","",往来单位!$B$136)</f>
      </c>
      <c r="C138" s="56">
        <f>IF($B138="","",往来单位!$C$136&amp;"")</f>
      </c>
      <c r="D138" s="53">
        <f t="shared" si="0"/>
      </c>
      <c r="E138" s="53">
        <f t="shared" si="1"/>
      </c>
      <c r="F138" s="53">
        <f t="shared" si="2"/>
      </c>
      <c r="G138" s="59">
        <f t="shared" si="3"/>
      </c>
      <c r="H138" s="53">
        <f t="shared" si="4"/>
      </c>
      <c r="I138" s="53">
        <f t="shared" si="5"/>
      </c>
      <c r="J138" s="53">
        <f t="shared" si="6"/>
      </c>
      <c r="K138" s="59">
        <f t="shared" si="7"/>
      </c>
      <c r="L138" s="53">
        <f t="shared" si="8"/>
      </c>
      <c r="M138" s="59">
        <f t="shared" si="9"/>
      </c>
      <c r="N138" s="69">
        <f t="shared" si="10"/>
      </c>
      <c r="P138" s="22">
        <f t="shared" si="11"/>
      </c>
    </row>
    <row r="139">
      <c r="A139" s="56">
        <f>IF($B139="","",134)</f>
      </c>
      <c r="B139" s="66">
        <f>IF(往来单位!$B$137="","",往来单位!$B$137)</f>
      </c>
      <c r="C139" s="56">
        <f>IF($B139="","",往来单位!$C$137&amp;"")</f>
      </c>
      <c r="D139" s="53">
        <f t="shared" si="0"/>
      </c>
      <c r="E139" s="53">
        <f t="shared" si="1"/>
      </c>
      <c r="F139" s="53">
        <f t="shared" si="2"/>
      </c>
      <c r="G139" s="59">
        <f t="shared" si="3"/>
      </c>
      <c r="H139" s="53">
        <f t="shared" si="4"/>
      </c>
      <c r="I139" s="53">
        <f t="shared" si="5"/>
      </c>
      <c r="J139" s="53">
        <f t="shared" si="6"/>
      </c>
      <c r="K139" s="59">
        <f t="shared" si="7"/>
      </c>
      <c r="L139" s="53">
        <f t="shared" si="8"/>
      </c>
      <c r="M139" s="59">
        <f t="shared" si="9"/>
      </c>
      <c r="N139" s="69">
        <f t="shared" si="10"/>
      </c>
      <c r="P139" s="22">
        <f t="shared" si="11"/>
      </c>
    </row>
    <row r="140">
      <c r="A140" s="56">
        <f>IF($B140="","",135)</f>
      </c>
      <c r="B140" s="66">
        <f>IF(往来单位!$B$138="","",往来单位!$B$138)</f>
      </c>
      <c r="C140" s="56">
        <f>IF($B140="","",往来单位!$C$138&amp;"")</f>
      </c>
      <c r="D140" s="53">
        <f t="shared" si="0"/>
      </c>
      <c r="E140" s="53">
        <f t="shared" si="1"/>
      </c>
      <c r="F140" s="53">
        <f t="shared" si="2"/>
      </c>
      <c r="G140" s="59">
        <f t="shared" si="3"/>
      </c>
      <c r="H140" s="53">
        <f t="shared" si="4"/>
      </c>
      <c r="I140" s="53">
        <f t="shared" si="5"/>
      </c>
      <c r="J140" s="53">
        <f t="shared" si="6"/>
      </c>
      <c r="K140" s="59">
        <f t="shared" si="7"/>
      </c>
      <c r="L140" s="53">
        <f t="shared" si="8"/>
      </c>
      <c r="M140" s="59">
        <f t="shared" si="9"/>
      </c>
      <c r="N140" s="69">
        <f t="shared" si="10"/>
      </c>
      <c r="P140" s="22">
        <f t="shared" si="11"/>
      </c>
    </row>
    <row r="141">
      <c r="A141" s="56">
        <f>IF($B141="","",136)</f>
      </c>
      <c r="B141" s="66">
        <f>IF(往来单位!$B$139="","",往来单位!$B$139)</f>
      </c>
      <c r="C141" s="56">
        <f>IF($B141="","",往来单位!$C$139&amp;"")</f>
      </c>
      <c r="D141" s="53">
        <f t="shared" si="0"/>
      </c>
      <c r="E141" s="53">
        <f t="shared" si="1"/>
      </c>
      <c r="F141" s="53">
        <f t="shared" si="2"/>
      </c>
      <c r="G141" s="59">
        <f t="shared" si="3"/>
      </c>
      <c r="H141" s="53">
        <f t="shared" si="4"/>
      </c>
      <c r="I141" s="53">
        <f t="shared" si="5"/>
      </c>
      <c r="J141" s="53">
        <f t="shared" si="6"/>
      </c>
      <c r="K141" s="59">
        <f t="shared" si="7"/>
      </c>
      <c r="L141" s="53">
        <f t="shared" si="8"/>
      </c>
      <c r="M141" s="59">
        <f t="shared" si="9"/>
      </c>
      <c r="N141" s="69">
        <f t="shared" si="10"/>
      </c>
      <c r="P141" s="22">
        <f t="shared" si="11"/>
      </c>
    </row>
    <row r="142">
      <c r="A142" s="56">
        <f>IF($B142="","",137)</f>
      </c>
      <c r="B142" s="66">
        <f>IF(往来单位!$B$140="","",往来单位!$B$140)</f>
      </c>
      <c r="C142" s="56">
        <f>IF($B142="","",往来单位!$C$140&amp;"")</f>
      </c>
      <c r="D142" s="53">
        <f t="shared" si="0"/>
      </c>
      <c r="E142" s="53">
        <f t="shared" si="1"/>
      </c>
      <c r="F142" s="53">
        <f t="shared" si="2"/>
      </c>
      <c r="G142" s="59">
        <f t="shared" si="3"/>
      </c>
      <c r="H142" s="53">
        <f t="shared" si="4"/>
      </c>
      <c r="I142" s="53">
        <f t="shared" si="5"/>
      </c>
      <c r="J142" s="53">
        <f t="shared" si="6"/>
      </c>
      <c r="K142" s="59">
        <f t="shared" si="7"/>
      </c>
      <c r="L142" s="53">
        <f t="shared" si="8"/>
      </c>
      <c r="M142" s="59">
        <f t="shared" si="9"/>
      </c>
      <c r="N142" s="69">
        <f t="shared" si="10"/>
      </c>
      <c r="P142" s="22">
        <f t="shared" si="11"/>
      </c>
    </row>
    <row r="143">
      <c r="A143" s="56">
        <f>IF($B143="","",138)</f>
      </c>
      <c r="B143" s="66">
        <f>IF(往来单位!$B$141="","",往来单位!$B$141)</f>
      </c>
      <c r="C143" s="56">
        <f>IF($B143="","",往来单位!$C$141&amp;"")</f>
      </c>
      <c r="D143" s="53">
        <f t="shared" si="0"/>
      </c>
      <c r="E143" s="53">
        <f t="shared" si="1"/>
      </c>
      <c r="F143" s="53">
        <f t="shared" si="2"/>
      </c>
      <c r="G143" s="59">
        <f t="shared" si="3"/>
      </c>
      <c r="H143" s="53">
        <f t="shared" si="4"/>
      </c>
      <c r="I143" s="53">
        <f t="shared" si="5"/>
      </c>
      <c r="J143" s="53">
        <f t="shared" si="6"/>
      </c>
      <c r="K143" s="59">
        <f t="shared" si="7"/>
      </c>
      <c r="L143" s="53">
        <f t="shared" si="8"/>
      </c>
      <c r="M143" s="59">
        <f t="shared" si="9"/>
      </c>
      <c r="N143" s="69">
        <f t="shared" si="10"/>
      </c>
      <c r="P143" s="22">
        <f t="shared" si="11"/>
      </c>
    </row>
    <row r="144">
      <c r="A144" s="56">
        <f>IF($B144="","",139)</f>
      </c>
      <c r="B144" s="66">
        <f>IF(往来单位!$B$142="","",往来单位!$B$142)</f>
      </c>
      <c r="C144" s="56">
        <f>IF($B144="","",往来单位!$C$142&amp;"")</f>
      </c>
      <c r="D144" s="53">
        <f t="shared" si="0"/>
      </c>
      <c r="E144" s="53">
        <f t="shared" si="1"/>
      </c>
      <c r="F144" s="53">
        <f t="shared" si="2"/>
      </c>
      <c r="G144" s="59">
        <f t="shared" si="3"/>
      </c>
      <c r="H144" s="53">
        <f t="shared" si="4"/>
      </c>
      <c r="I144" s="53">
        <f t="shared" si="5"/>
      </c>
      <c r="J144" s="53">
        <f t="shared" si="6"/>
      </c>
      <c r="K144" s="59">
        <f t="shared" si="7"/>
      </c>
      <c r="L144" s="53">
        <f t="shared" si="8"/>
      </c>
      <c r="M144" s="59">
        <f t="shared" si="9"/>
      </c>
      <c r="N144" s="69">
        <f t="shared" si="10"/>
      </c>
      <c r="P144" s="22">
        <f t="shared" si="11"/>
      </c>
    </row>
    <row r="145">
      <c r="A145" s="56">
        <f>IF($B145="","",140)</f>
      </c>
      <c r="B145" s="66">
        <f>IF(往来单位!$B$143="","",往来单位!$B$143)</f>
      </c>
      <c r="C145" s="56">
        <f>IF($B145="","",往来单位!$C$143&amp;"")</f>
      </c>
      <c r="D145" s="53">
        <f t="shared" si="0"/>
      </c>
      <c r="E145" s="53">
        <f t="shared" si="1"/>
      </c>
      <c r="F145" s="53">
        <f t="shared" si="2"/>
      </c>
      <c r="G145" s="59">
        <f t="shared" si="3"/>
      </c>
      <c r="H145" s="53">
        <f t="shared" si="4"/>
      </c>
      <c r="I145" s="53">
        <f t="shared" si="5"/>
      </c>
      <c r="J145" s="53">
        <f t="shared" si="6"/>
      </c>
      <c r="K145" s="59">
        <f t="shared" si="7"/>
      </c>
      <c r="L145" s="53">
        <f t="shared" si="8"/>
      </c>
      <c r="M145" s="59">
        <f t="shared" si="9"/>
      </c>
      <c r="N145" s="69">
        <f t="shared" si="10"/>
      </c>
      <c r="P145" s="22">
        <f t="shared" si="11"/>
      </c>
    </row>
    <row r="146">
      <c r="A146" s="56">
        <f>IF($B146="","",141)</f>
      </c>
      <c r="B146" s="66">
        <f>IF(往来单位!$B$144="","",往来单位!$B$144)</f>
      </c>
      <c r="C146" s="56">
        <f>IF($B146="","",往来单位!$C$144&amp;"")</f>
      </c>
      <c r="D146" s="53">
        <f t="shared" si="0"/>
      </c>
      <c r="E146" s="53">
        <f t="shared" si="1"/>
      </c>
      <c r="F146" s="53">
        <f t="shared" si="2"/>
      </c>
      <c r="G146" s="59">
        <f t="shared" si="3"/>
      </c>
      <c r="H146" s="53">
        <f t="shared" si="4"/>
      </c>
      <c r="I146" s="53">
        <f t="shared" si="5"/>
      </c>
      <c r="J146" s="53">
        <f t="shared" si="6"/>
      </c>
      <c r="K146" s="59">
        <f t="shared" si="7"/>
      </c>
      <c r="L146" s="53">
        <f t="shared" si="8"/>
      </c>
      <c r="M146" s="59">
        <f t="shared" si="9"/>
      </c>
      <c r="N146" s="69">
        <f t="shared" si="10"/>
      </c>
      <c r="P146" s="22">
        <f t="shared" si="11"/>
      </c>
    </row>
    <row r="147">
      <c r="A147" s="56">
        <f>IF($B147="","",142)</f>
      </c>
      <c r="B147" s="66">
        <f>IF(往来单位!$B$145="","",往来单位!$B$145)</f>
      </c>
      <c r="C147" s="56">
        <f>IF($B147="","",往来单位!$C$145&amp;"")</f>
      </c>
      <c r="D147" s="53">
        <f t="shared" si="0"/>
      </c>
      <c r="E147" s="53">
        <f t="shared" si="1"/>
      </c>
      <c r="F147" s="53">
        <f t="shared" si="2"/>
      </c>
      <c r="G147" s="59">
        <f t="shared" si="3"/>
      </c>
      <c r="H147" s="53">
        <f t="shared" si="4"/>
      </c>
      <c r="I147" s="53">
        <f t="shared" si="5"/>
      </c>
      <c r="J147" s="53">
        <f t="shared" si="6"/>
      </c>
      <c r="K147" s="59">
        <f t="shared" si="7"/>
      </c>
      <c r="L147" s="53">
        <f t="shared" si="8"/>
      </c>
      <c r="M147" s="59">
        <f t="shared" si="9"/>
      </c>
      <c r="N147" s="69">
        <f t="shared" si="10"/>
      </c>
      <c r="P147" s="22">
        <f t="shared" si="11"/>
      </c>
    </row>
    <row r="148">
      <c r="A148" s="56">
        <f>IF($B148="","",143)</f>
      </c>
      <c r="B148" s="66">
        <f>IF(往来单位!$B$146="","",往来单位!$B$146)</f>
      </c>
      <c r="C148" s="56">
        <f>IF($B148="","",往来单位!$C$146&amp;"")</f>
      </c>
      <c r="D148" s="53">
        <f t="shared" si="0"/>
      </c>
      <c r="E148" s="53">
        <f t="shared" si="1"/>
      </c>
      <c r="F148" s="53">
        <f t="shared" si="2"/>
      </c>
      <c r="G148" s="59">
        <f t="shared" si="3"/>
      </c>
      <c r="H148" s="53">
        <f t="shared" si="4"/>
      </c>
      <c r="I148" s="53">
        <f t="shared" si="5"/>
      </c>
      <c r="J148" s="53">
        <f t="shared" si="6"/>
      </c>
      <c r="K148" s="59">
        <f t="shared" si="7"/>
      </c>
      <c r="L148" s="53">
        <f t="shared" si="8"/>
      </c>
      <c r="M148" s="59">
        <f t="shared" si="9"/>
      </c>
      <c r="N148" s="69">
        <f t="shared" si="10"/>
      </c>
      <c r="P148" s="22">
        <f t="shared" si="11"/>
      </c>
    </row>
    <row r="149">
      <c r="A149" s="56">
        <f>IF($B149="","",144)</f>
      </c>
      <c r="B149" s="66">
        <f>IF(往来单位!$B$147="","",往来单位!$B$147)</f>
      </c>
      <c r="C149" s="56">
        <f>IF($B149="","",往来单位!$C$147&amp;"")</f>
      </c>
      <c r="D149" s="53">
        <f t="shared" si="0"/>
      </c>
      <c r="E149" s="53">
        <f t="shared" si="1"/>
      </c>
      <c r="F149" s="53">
        <f t="shared" si="2"/>
      </c>
      <c r="G149" s="59">
        <f t="shared" si="3"/>
      </c>
      <c r="H149" s="53">
        <f t="shared" si="4"/>
      </c>
      <c r="I149" s="53">
        <f t="shared" si="5"/>
      </c>
      <c r="J149" s="53">
        <f t="shared" si="6"/>
      </c>
      <c r="K149" s="59">
        <f t="shared" si="7"/>
      </c>
      <c r="L149" s="53">
        <f t="shared" si="8"/>
      </c>
      <c r="M149" s="59">
        <f t="shared" si="9"/>
      </c>
      <c r="N149" s="69">
        <f t="shared" si="10"/>
      </c>
      <c r="P149" s="22">
        <f t="shared" si="11"/>
      </c>
    </row>
    <row r="150">
      <c r="A150" s="56">
        <f>IF($B150="","",145)</f>
      </c>
      <c r="B150" s="66">
        <f>IF(往来单位!$B$148="","",往来单位!$B$148)</f>
      </c>
      <c r="C150" s="56">
        <f>IF($B150="","",往来单位!$C$148&amp;"")</f>
      </c>
      <c r="D150" s="53">
        <f t="shared" si="0"/>
      </c>
      <c r="E150" s="53">
        <f t="shared" si="1"/>
      </c>
      <c r="F150" s="53">
        <f t="shared" si="2"/>
      </c>
      <c r="G150" s="59">
        <f t="shared" si="3"/>
      </c>
      <c r="H150" s="53">
        <f t="shared" si="4"/>
      </c>
      <c r="I150" s="53">
        <f t="shared" si="5"/>
      </c>
      <c r="J150" s="53">
        <f t="shared" si="6"/>
      </c>
      <c r="K150" s="59">
        <f t="shared" si="7"/>
      </c>
      <c r="L150" s="53">
        <f t="shared" si="8"/>
      </c>
      <c r="M150" s="59">
        <f t="shared" si="9"/>
      </c>
      <c r="N150" s="69">
        <f t="shared" si="10"/>
      </c>
      <c r="P150" s="22">
        <f t="shared" si="11"/>
      </c>
    </row>
    <row r="151">
      <c r="A151" s="56">
        <f>IF($B151="","",146)</f>
      </c>
      <c r="B151" s="66">
        <f>IF(往来单位!$B$149="","",往来单位!$B$149)</f>
      </c>
      <c r="C151" s="56">
        <f>IF($B151="","",往来单位!$C$149&amp;"")</f>
      </c>
      <c r="D151" s="53">
        <f t="shared" si="0"/>
      </c>
      <c r="E151" s="53">
        <f t="shared" si="1"/>
      </c>
      <c r="F151" s="53">
        <f t="shared" si="2"/>
      </c>
      <c r="G151" s="59">
        <f t="shared" si="3"/>
      </c>
      <c r="H151" s="53">
        <f t="shared" si="4"/>
      </c>
      <c r="I151" s="53">
        <f t="shared" si="5"/>
      </c>
      <c r="J151" s="53">
        <f t="shared" si="6"/>
      </c>
      <c r="K151" s="59">
        <f t="shared" si="7"/>
      </c>
      <c r="L151" s="53">
        <f t="shared" si="8"/>
      </c>
      <c r="M151" s="59">
        <f t="shared" si="9"/>
      </c>
      <c r="N151" s="69">
        <f t="shared" si="10"/>
      </c>
      <c r="P151" s="22">
        <f t="shared" si="11"/>
      </c>
    </row>
    <row r="152">
      <c r="A152" s="56">
        <f>IF($B152="","",147)</f>
      </c>
      <c r="B152" s="66">
        <f>IF(往来单位!$B$150="","",往来单位!$B$150)</f>
      </c>
      <c r="C152" s="56">
        <f>IF($B152="","",往来单位!$C$150&amp;"")</f>
      </c>
      <c r="D152" s="53">
        <f t="shared" si="0"/>
      </c>
      <c r="E152" s="53">
        <f t="shared" si="1"/>
      </c>
      <c r="F152" s="53">
        <f t="shared" si="2"/>
      </c>
      <c r="G152" s="59">
        <f t="shared" si="3"/>
      </c>
      <c r="H152" s="53">
        <f t="shared" si="4"/>
      </c>
      <c r="I152" s="53">
        <f t="shared" si="5"/>
      </c>
      <c r="J152" s="53">
        <f t="shared" si="6"/>
      </c>
      <c r="K152" s="59">
        <f t="shared" si="7"/>
      </c>
      <c r="L152" s="53">
        <f t="shared" si="8"/>
      </c>
      <c r="M152" s="59">
        <f t="shared" si="9"/>
      </c>
      <c r="N152" s="69">
        <f t="shared" si="10"/>
      </c>
      <c r="P152" s="22">
        <f t="shared" si="11"/>
      </c>
    </row>
    <row r="153">
      <c r="A153" s="56">
        <f>IF($B153="","",148)</f>
      </c>
      <c r="B153" s="66">
        <f>IF(往来单位!$B$151="","",往来单位!$B$151)</f>
      </c>
      <c r="C153" s="56">
        <f>IF($B153="","",往来单位!$C$151&amp;"")</f>
      </c>
      <c r="D153" s="53">
        <f t="shared" si="0"/>
      </c>
      <c r="E153" s="53">
        <f t="shared" si="1"/>
      </c>
      <c r="F153" s="53">
        <f t="shared" si="2"/>
      </c>
      <c r="G153" s="59">
        <f t="shared" si="3"/>
      </c>
      <c r="H153" s="53">
        <f t="shared" si="4"/>
      </c>
      <c r="I153" s="53">
        <f t="shared" si="5"/>
      </c>
      <c r="J153" s="53">
        <f t="shared" si="6"/>
      </c>
      <c r="K153" s="59">
        <f t="shared" si="7"/>
      </c>
      <c r="L153" s="53">
        <f t="shared" si="8"/>
      </c>
      <c r="M153" s="59">
        <f t="shared" si="9"/>
      </c>
      <c r="N153" s="69">
        <f t="shared" si="10"/>
      </c>
      <c r="P153" s="22">
        <f t="shared" si="11"/>
      </c>
    </row>
    <row r="154">
      <c r="A154" s="56">
        <f>IF($B154="","",149)</f>
      </c>
      <c r="B154" s="66">
        <f>IF(往来单位!$B$152="","",往来单位!$B$152)</f>
      </c>
      <c r="C154" s="56">
        <f>IF($B154="","",往来单位!$C$152&amp;"")</f>
      </c>
      <c r="D154" s="53">
        <f t="shared" si="0"/>
      </c>
      <c r="E154" s="53">
        <f t="shared" si="1"/>
      </c>
      <c r="F154" s="53">
        <f t="shared" si="2"/>
      </c>
      <c r="G154" s="59">
        <f t="shared" si="3"/>
      </c>
      <c r="H154" s="53">
        <f t="shared" si="4"/>
      </c>
      <c r="I154" s="53">
        <f t="shared" si="5"/>
      </c>
      <c r="J154" s="53">
        <f t="shared" si="6"/>
      </c>
      <c r="K154" s="59">
        <f t="shared" si="7"/>
      </c>
      <c r="L154" s="53">
        <f t="shared" si="8"/>
      </c>
      <c r="M154" s="59">
        <f t="shared" si="9"/>
      </c>
      <c r="N154" s="69">
        <f t="shared" si="10"/>
      </c>
      <c r="P154" s="22">
        <f t="shared" si="11"/>
      </c>
    </row>
    <row r="155">
      <c r="A155" s="56">
        <f>IF($B155="","",150)</f>
      </c>
      <c r="B155" s="66">
        <f>IF(往来单位!$B$153="","",往来单位!$B$153)</f>
      </c>
      <c r="C155" s="56">
        <f>IF($B155="","",往来单位!$C$153&amp;"")</f>
      </c>
      <c r="D155" s="53">
        <f t="shared" si="0"/>
      </c>
      <c r="E155" s="53">
        <f t="shared" si="1"/>
      </c>
      <c r="F155" s="53">
        <f t="shared" si="2"/>
      </c>
      <c r="G155" s="59">
        <f t="shared" si="3"/>
      </c>
      <c r="H155" s="53">
        <f t="shared" si="4"/>
      </c>
      <c r="I155" s="53">
        <f t="shared" si="5"/>
      </c>
      <c r="J155" s="53">
        <f t="shared" si="6"/>
      </c>
      <c r="K155" s="59">
        <f t="shared" si="7"/>
      </c>
      <c r="L155" s="53">
        <f t="shared" si="8"/>
      </c>
      <c r="M155" s="59">
        <f t="shared" si="9"/>
      </c>
      <c r="N155" s="69">
        <f t="shared" si="10"/>
      </c>
      <c r="P155" s="22">
        <f t="shared" si="11"/>
      </c>
    </row>
    <row r="156">
      <c r="A156" s="56">
        <f>IF($B156="","",151)</f>
      </c>
      <c r="B156" s="66">
        <f>IF(往来单位!$B$154="","",往来单位!$B$154)</f>
      </c>
      <c r="C156" s="56">
        <f>IF($B156="","",往来单位!$C$154&amp;"")</f>
      </c>
      <c r="D156" s="53">
        <f t="shared" si="0"/>
      </c>
      <c r="E156" s="53">
        <f t="shared" si="1"/>
      </c>
      <c r="F156" s="53">
        <f t="shared" si="2"/>
      </c>
      <c r="G156" s="59">
        <f t="shared" si="3"/>
      </c>
      <c r="H156" s="53">
        <f t="shared" si="4"/>
      </c>
      <c r="I156" s="53">
        <f t="shared" si="5"/>
      </c>
      <c r="J156" s="53">
        <f t="shared" si="6"/>
      </c>
      <c r="K156" s="59">
        <f t="shared" si="7"/>
      </c>
      <c r="L156" s="53">
        <f t="shared" si="8"/>
      </c>
      <c r="M156" s="59">
        <f t="shared" si="9"/>
      </c>
      <c r="N156" s="69">
        <f t="shared" si="10"/>
      </c>
      <c r="P156" s="22">
        <f t="shared" si="11"/>
      </c>
    </row>
    <row r="157">
      <c r="A157" s="56">
        <f>IF($B157="","",152)</f>
      </c>
      <c r="B157" s="66">
        <f>IF(往来单位!$B$155="","",往来单位!$B$155)</f>
      </c>
      <c r="C157" s="56">
        <f>IF($B157="","",往来单位!$C$155&amp;"")</f>
      </c>
      <c r="D157" s="53">
        <f t="shared" si="0"/>
      </c>
      <c r="E157" s="53">
        <f t="shared" si="1"/>
      </c>
      <c r="F157" s="53">
        <f t="shared" si="2"/>
      </c>
      <c r="G157" s="59">
        <f t="shared" si="3"/>
      </c>
      <c r="H157" s="53">
        <f t="shared" si="4"/>
      </c>
      <c r="I157" s="53">
        <f t="shared" si="5"/>
      </c>
      <c r="J157" s="53">
        <f t="shared" si="6"/>
      </c>
      <c r="K157" s="59">
        <f t="shared" si="7"/>
      </c>
      <c r="L157" s="53">
        <f t="shared" si="8"/>
      </c>
      <c r="M157" s="59">
        <f t="shared" si="9"/>
      </c>
      <c r="N157" s="69">
        <f t="shared" si="10"/>
      </c>
      <c r="P157" s="22">
        <f t="shared" si="11"/>
      </c>
    </row>
    <row r="158">
      <c r="A158" s="56">
        <f>IF($B158="","",153)</f>
      </c>
      <c r="B158" s="66">
        <f>IF(往来单位!$B$156="","",往来单位!$B$156)</f>
      </c>
      <c r="C158" s="56">
        <f>IF($B158="","",往来单位!$C$156&amp;"")</f>
      </c>
      <c r="D158" s="53">
        <f t="shared" si="0"/>
      </c>
      <c r="E158" s="53">
        <f t="shared" si="1"/>
      </c>
      <c r="F158" s="53">
        <f t="shared" si="2"/>
      </c>
      <c r="G158" s="59">
        <f t="shared" si="3"/>
      </c>
      <c r="H158" s="53">
        <f t="shared" si="4"/>
      </c>
      <c r="I158" s="53">
        <f t="shared" si="5"/>
      </c>
      <c r="J158" s="53">
        <f t="shared" si="6"/>
      </c>
      <c r="K158" s="59">
        <f t="shared" si="7"/>
      </c>
      <c r="L158" s="53">
        <f t="shared" si="8"/>
      </c>
      <c r="M158" s="59">
        <f t="shared" si="9"/>
      </c>
      <c r="N158" s="69">
        <f t="shared" si="10"/>
      </c>
      <c r="P158" s="22">
        <f t="shared" si="11"/>
      </c>
    </row>
    <row r="159">
      <c r="A159" s="56">
        <f>IF($B159="","",154)</f>
      </c>
      <c r="B159" s="66">
        <f>IF(往来单位!$B$157="","",往来单位!$B$157)</f>
      </c>
      <c r="C159" s="56">
        <f>IF($B159="","",往来单位!$C$157&amp;"")</f>
      </c>
      <c r="D159" s="53">
        <f t="shared" si="0"/>
      </c>
      <c r="E159" s="53">
        <f t="shared" si="1"/>
      </c>
      <c r="F159" s="53">
        <f t="shared" si="2"/>
      </c>
      <c r="G159" s="59">
        <f t="shared" si="3"/>
      </c>
      <c r="H159" s="53">
        <f t="shared" si="4"/>
      </c>
      <c r="I159" s="53">
        <f t="shared" si="5"/>
      </c>
      <c r="J159" s="53">
        <f t="shared" si="6"/>
      </c>
      <c r="K159" s="59">
        <f t="shared" si="7"/>
      </c>
      <c r="L159" s="53">
        <f t="shared" si="8"/>
      </c>
      <c r="M159" s="59">
        <f t="shared" si="9"/>
      </c>
      <c r="N159" s="69">
        <f t="shared" si="10"/>
      </c>
      <c r="P159" s="22">
        <f t="shared" si="11"/>
      </c>
    </row>
    <row r="160">
      <c r="A160" s="56">
        <f>IF($B160="","",155)</f>
      </c>
      <c r="B160" s="66">
        <f>IF(往来单位!$B$158="","",往来单位!$B$158)</f>
      </c>
      <c r="C160" s="56">
        <f>IF($B160="","",往来单位!$C$158&amp;"")</f>
      </c>
      <c r="D160" s="53">
        <f t="shared" si="0"/>
      </c>
      <c r="E160" s="53">
        <f t="shared" si="1"/>
      </c>
      <c r="F160" s="53">
        <f t="shared" si="2"/>
      </c>
      <c r="G160" s="59">
        <f t="shared" si="3"/>
      </c>
      <c r="H160" s="53">
        <f t="shared" si="4"/>
      </c>
      <c r="I160" s="53">
        <f t="shared" si="5"/>
      </c>
      <c r="J160" s="53">
        <f t="shared" si="6"/>
      </c>
      <c r="K160" s="59">
        <f t="shared" si="7"/>
      </c>
      <c r="L160" s="53">
        <f t="shared" si="8"/>
      </c>
      <c r="M160" s="59">
        <f t="shared" si="9"/>
      </c>
      <c r="N160" s="69">
        <f t="shared" si="10"/>
      </c>
      <c r="P160" s="22">
        <f t="shared" si="11"/>
      </c>
    </row>
    <row r="161">
      <c r="A161" s="56">
        <f>IF($B161="","",156)</f>
      </c>
      <c r="B161" s="66">
        <f>IF(往来单位!$B$159="","",往来单位!$B$159)</f>
      </c>
      <c r="C161" s="56">
        <f>IF($B161="","",往来单位!$C$159&amp;"")</f>
      </c>
      <c r="D161" s="53">
        <f t="shared" si="0"/>
      </c>
      <c r="E161" s="53">
        <f t="shared" si="1"/>
      </c>
      <c r="F161" s="53">
        <f t="shared" si="2"/>
      </c>
      <c r="G161" s="59">
        <f t="shared" si="3"/>
      </c>
      <c r="H161" s="53">
        <f t="shared" si="4"/>
      </c>
      <c r="I161" s="53">
        <f t="shared" si="5"/>
      </c>
      <c r="J161" s="53">
        <f t="shared" si="6"/>
      </c>
      <c r="K161" s="59">
        <f t="shared" si="7"/>
      </c>
      <c r="L161" s="53">
        <f t="shared" si="8"/>
      </c>
      <c r="M161" s="59">
        <f t="shared" si="9"/>
      </c>
      <c r="N161" s="69">
        <f t="shared" si="10"/>
      </c>
      <c r="P161" s="22">
        <f t="shared" si="11"/>
      </c>
    </row>
    <row r="162">
      <c r="A162" s="56">
        <f>IF($B162="","",157)</f>
      </c>
      <c r="B162" s="66">
        <f>IF(往来单位!$B$160="","",往来单位!$B$160)</f>
      </c>
      <c r="C162" s="56">
        <f>IF($B162="","",往来单位!$C$160&amp;"")</f>
      </c>
      <c r="D162" s="53">
        <f t="shared" si="0"/>
      </c>
      <c r="E162" s="53">
        <f t="shared" si="1"/>
      </c>
      <c r="F162" s="53">
        <f t="shared" si="2"/>
      </c>
      <c r="G162" s="59">
        <f t="shared" si="3"/>
      </c>
      <c r="H162" s="53">
        <f t="shared" si="4"/>
      </c>
      <c r="I162" s="53">
        <f t="shared" si="5"/>
      </c>
      <c r="J162" s="53">
        <f t="shared" si="6"/>
      </c>
      <c r="K162" s="59">
        <f t="shared" si="7"/>
      </c>
      <c r="L162" s="53">
        <f t="shared" si="8"/>
      </c>
      <c r="M162" s="59">
        <f t="shared" si="9"/>
      </c>
      <c r="N162" s="69">
        <f t="shared" si="10"/>
      </c>
      <c r="P162" s="22">
        <f t="shared" si="11"/>
      </c>
    </row>
    <row r="163">
      <c r="A163" s="56">
        <f>IF($B163="","",158)</f>
      </c>
      <c r="B163" s="66">
        <f>IF(往来单位!$B$161="","",往来单位!$B$161)</f>
      </c>
      <c r="C163" s="56">
        <f>IF($B163="","",往来单位!$C$161&amp;"")</f>
      </c>
      <c r="D163" s="53">
        <f t="shared" si="0"/>
      </c>
      <c r="E163" s="53">
        <f t="shared" si="1"/>
      </c>
      <c r="F163" s="53">
        <f t="shared" si="2"/>
      </c>
      <c r="G163" s="59">
        <f t="shared" si="3"/>
      </c>
      <c r="H163" s="53">
        <f t="shared" si="4"/>
      </c>
      <c r="I163" s="53">
        <f t="shared" si="5"/>
      </c>
      <c r="J163" s="53">
        <f t="shared" si="6"/>
      </c>
      <c r="K163" s="59">
        <f t="shared" si="7"/>
      </c>
      <c r="L163" s="53">
        <f t="shared" si="8"/>
      </c>
      <c r="M163" s="59">
        <f t="shared" si="9"/>
      </c>
      <c r="N163" s="69">
        <f t="shared" si="10"/>
      </c>
      <c r="P163" s="22">
        <f t="shared" si="11"/>
      </c>
    </row>
    <row r="164">
      <c r="A164" s="56">
        <f>IF($B164="","",159)</f>
      </c>
      <c r="B164" s="66">
        <f>IF(往来单位!$B$162="","",往来单位!$B$162)</f>
      </c>
      <c r="C164" s="56">
        <f>IF($B164="","",往来单位!$C$162&amp;"")</f>
      </c>
      <c r="D164" s="53">
        <f t="shared" si="0"/>
      </c>
      <c r="E164" s="53">
        <f t="shared" si="1"/>
      </c>
      <c r="F164" s="53">
        <f t="shared" si="2"/>
      </c>
      <c r="G164" s="59">
        <f t="shared" si="3"/>
      </c>
      <c r="H164" s="53">
        <f t="shared" si="4"/>
      </c>
      <c r="I164" s="53">
        <f t="shared" si="5"/>
      </c>
      <c r="J164" s="53">
        <f t="shared" si="6"/>
      </c>
      <c r="K164" s="59">
        <f t="shared" si="7"/>
      </c>
      <c r="L164" s="53">
        <f t="shared" si="8"/>
      </c>
      <c r="M164" s="59">
        <f t="shared" si="9"/>
      </c>
      <c r="N164" s="69">
        <f t="shared" si="10"/>
      </c>
      <c r="P164" s="22">
        <f t="shared" si="11"/>
      </c>
    </row>
    <row r="165">
      <c r="A165" s="56">
        <f>IF($B165="","",160)</f>
      </c>
      <c r="B165" s="66">
        <f>IF(往来单位!$B$163="","",往来单位!$B$163)</f>
      </c>
      <c r="C165" s="56">
        <f>IF($B165="","",往来单位!$C$163&amp;"")</f>
      </c>
      <c r="D165" s="53">
        <f t="shared" si="0"/>
      </c>
      <c r="E165" s="53">
        <f t="shared" si="1"/>
      </c>
      <c r="F165" s="53">
        <f t="shared" si="2"/>
      </c>
      <c r="G165" s="59">
        <f t="shared" si="3"/>
      </c>
      <c r="H165" s="53">
        <f t="shared" si="4"/>
      </c>
      <c r="I165" s="53">
        <f t="shared" si="5"/>
      </c>
      <c r="J165" s="53">
        <f t="shared" si="6"/>
      </c>
      <c r="K165" s="59">
        <f t="shared" si="7"/>
      </c>
      <c r="L165" s="53">
        <f t="shared" si="8"/>
      </c>
      <c r="M165" s="59">
        <f t="shared" si="9"/>
      </c>
      <c r="N165" s="69">
        <f t="shared" si="10"/>
      </c>
      <c r="P165" s="22">
        <f t="shared" si="11"/>
      </c>
    </row>
    <row r="166">
      <c r="A166" s="56">
        <f>IF($B166="","",161)</f>
      </c>
      <c r="B166" s="66">
        <f>IF(往来单位!$B$164="","",往来单位!$B$164)</f>
      </c>
      <c r="C166" s="56">
        <f>IF($B166="","",往来单位!$C$164&amp;"")</f>
      </c>
      <c r="D166" s="53">
        <f t="shared" si="0"/>
      </c>
      <c r="E166" s="53">
        <f t="shared" si="1"/>
      </c>
      <c r="F166" s="53">
        <f t="shared" si="2"/>
      </c>
      <c r="G166" s="59">
        <f t="shared" si="3"/>
      </c>
      <c r="H166" s="53">
        <f t="shared" si="4"/>
      </c>
      <c r="I166" s="53">
        <f t="shared" si="5"/>
      </c>
      <c r="J166" s="53">
        <f t="shared" si="6"/>
      </c>
      <c r="K166" s="59">
        <f t="shared" si="7"/>
      </c>
      <c r="L166" s="53">
        <f t="shared" si="8"/>
      </c>
      <c r="M166" s="59">
        <f t="shared" si="9"/>
      </c>
      <c r="N166" s="69">
        <f t="shared" si="10"/>
      </c>
      <c r="P166" s="22">
        <f t="shared" si="11"/>
      </c>
    </row>
    <row r="167">
      <c r="A167" s="56">
        <f>IF($B167="","",162)</f>
      </c>
      <c r="B167" s="66">
        <f>IF(往来单位!$B$165="","",往来单位!$B$165)</f>
      </c>
      <c r="C167" s="56">
        <f>IF($B167="","",往来单位!$C$165&amp;"")</f>
      </c>
      <c r="D167" s="53">
        <f t="shared" si="0"/>
      </c>
      <c r="E167" s="53">
        <f t="shared" si="1"/>
      </c>
      <c r="F167" s="53">
        <f t="shared" si="2"/>
      </c>
      <c r="G167" s="59">
        <f t="shared" si="3"/>
      </c>
      <c r="H167" s="53">
        <f t="shared" si="4"/>
      </c>
      <c r="I167" s="53">
        <f t="shared" si="5"/>
      </c>
      <c r="J167" s="53">
        <f t="shared" si="6"/>
      </c>
      <c r="K167" s="59">
        <f t="shared" si="7"/>
      </c>
      <c r="L167" s="53">
        <f t="shared" si="8"/>
      </c>
      <c r="M167" s="59">
        <f t="shared" si="9"/>
      </c>
      <c r="N167" s="69">
        <f t="shared" si="10"/>
      </c>
      <c r="P167" s="22">
        <f t="shared" si="11"/>
      </c>
    </row>
    <row r="168">
      <c r="A168" s="56">
        <f>IF($B168="","",163)</f>
      </c>
      <c r="B168" s="66">
        <f>IF(往来单位!$B$166="","",往来单位!$B$166)</f>
      </c>
      <c r="C168" s="56">
        <f>IF($B168="","",往来单位!$C$166&amp;"")</f>
      </c>
      <c r="D168" s="53">
        <f t="shared" si="0"/>
      </c>
      <c r="E168" s="53">
        <f t="shared" si="1"/>
      </c>
      <c r="F168" s="53">
        <f t="shared" si="2"/>
      </c>
      <c r="G168" s="59">
        <f t="shared" si="3"/>
      </c>
      <c r="H168" s="53">
        <f t="shared" si="4"/>
      </c>
      <c r="I168" s="53">
        <f t="shared" si="5"/>
      </c>
      <c r="J168" s="53">
        <f t="shared" si="6"/>
      </c>
      <c r="K168" s="59">
        <f t="shared" si="7"/>
      </c>
      <c r="L168" s="53">
        <f t="shared" si="8"/>
      </c>
      <c r="M168" s="59">
        <f t="shared" si="9"/>
      </c>
      <c r="N168" s="69">
        <f t="shared" si="10"/>
      </c>
      <c r="P168" s="22">
        <f t="shared" si="11"/>
      </c>
    </row>
    <row r="169">
      <c r="A169" s="56">
        <f>IF($B169="","",164)</f>
      </c>
      <c r="B169" s="66">
        <f>IF(往来单位!$B$167="","",往来单位!$B$167)</f>
      </c>
      <c r="C169" s="56">
        <f>IF($B169="","",往来单位!$C$167&amp;"")</f>
      </c>
      <c r="D169" s="53">
        <f t="shared" si="0"/>
      </c>
      <c r="E169" s="53">
        <f t="shared" si="1"/>
      </c>
      <c r="F169" s="53">
        <f t="shared" si="2"/>
      </c>
      <c r="G169" s="59">
        <f t="shared" si="3"/>
      </c>
      <c r="H169" s="53">
        <f t="shared" si="4"/>
      </c>
      <c r="I169" s="53">
        <f t="shared" si="5"/>
      </c>
      <c r="J169" s="53">
        <f t="shared" si="6"/>
      </c>
      <c r="K169" s="59">
        <f t="shared" si="7"/>
      </c>
      <c r="L169" s="53">
        <f t="shared" si="8"/>
      </c>
      <c r="M169" s="59">
        <f t="shared" si="9"/>
      </c>
      <c r="N169" s="69">
        <f t="shared" si="10"/>
      </c>
      <c r="P169" s="22">
        <f t="shared" si="11"/>
      </c>
    </row>
    <row r="170">
      <c r="A170" s="56">
        <f>IF($B170="","",165)</f>
      </c>
      <c r="B170" s="66">
        <f>IF(往来单位!$B$168="","",往来单位!$B$168)</f>
      </c>
      <c r="C170" s="56">
        <f>IF($B170="","",往来单位!$C$168&amp;"")</f>
      </c>
      <c r="D170" s="53">
        <f t="shared" si="0"/>
      </c>
      <c r="E170" s="53">
        <f t="shared" si="1"/>
      </c>
      <c r="F170" s="53">
        <f t="shared" si="2"/>
      </c>
      <c r="G170" s="59">
        <f t="shared" si="3"/>
      </c>
      <c r="H170" s="53">
        <f t="shared" si="4"/>
      </c>
      <c r="I170" s="53">
        <f t="shared" si="5"/>
      </c>
      <c r="J170" s="53">
        <f t="shared" si="6"/>
      </c>
      <c r="K170" s="59">
        <f t="shared" si="7"/>
      </c>
      <c r="L170" s="53">
        <f t="shared" si="8"/>
      </c>
      <c r="M170" s="59">
        <f t="shared" si="9"/>
      </c>
      <c r="N170" s="69">
        <f t="shared" si="10"/>
      </c>
      <c r="P170" s="22">
        <f t="shared" si="11"/>
      </c>
    </row>
    <row r="171">
      <c r="A171" s="56">
        <f>IF($B171="","",166)</f>
      </c>
      <c r="B171" s="66">
        <f>IF(往来单位!$B$169="","",往来单位!$B$169)</f>
      </c>
      <c r="C171" s="56">
        <f>IF($B171="","",往来单位!$C$169&amp;"")</f>
      </c>
      <c r="D171" s="53">
        <f t="shared" si="0"/>
      </c>
      <c r="E171" s="53">
        <f t="shared" si="1"/>
      </c>
      <c r="F171" s="53">
        <f t="shared" si="2"/>
      </c>
      <c r="G171" s="59">
        <f t="shared" si="3"/>
      </c>
      <c r="H171" s="53">
        <f t="shared" si="4"/>
      </c>
      <c r="I171" s="53">
        <f t="shared" si="5"/>
      </c>
      <c r="J171" s="53">
        <f t="shared" si="6"/>
      </c>
      <c r="K171" s="59">
        <f t="shared" si="7"/>
      </c>
      <c r="L171" s="53">
        <f t="shared" si="8"/>
      </c>
      <c r="M171" s="59">
        <f t="shared" si="9"/>
      </c>
      <c r="N171" s="69">
        <f t="shared" si="10"/>
      </c>
      <c r="P171" s="22">
        <f t="shared" si="11"/>
      </c>
    </row>
    <row r="172">
      <c r="A172" s="56">
        <f>IF($B172="","",167)</f>
      </c>
      <c r="B172" s="66">
        <f>IF(往来单位!$B$170="","",往来单位!$B$170)</f>
      </c>
      <c r="C172" s="56">
        <f>IF($B172="","",往来单位!$C$170&amp;"")</f>
      </c>
      <c r="D172" s="53">
        <f t="shared" si="0"/>
      </c>
      <c r="E172" s="53">
        <f t="shared" si="1"/>
      </c>
      <c r="F172" s="53">
        <f t="shared" si="2"/>
      </c>
      <c r="G172" s="59">
        <f t="shared" si="3"/>
      </c>
      <c r="H172" s="53">
        <f t="shared" si="4"/>
      </c>
      <c r="I172" s="53">
        <f t="shared" si="5"/>
      </c>
      <c r="J172" s="53">
        <f t="shared" si="6"/>
      </c>
      <c r="K172" s="59">
        <f t="shared" si="7"/>
      </c>
      <c r="L172" s="53">
        <f t="shared" si="8"/>
      </c>
      <c r="M172" s="59">
        <f t="shared" si="9"/>
      </c>
      <c r="N172" s="69">
        <f t="shared" si="10"/>
      </c>
      <c r="P172" s="22">
        <f t="shared" si="11"/>
      </c>
    </row>
    <row r="173">
      <c r="A173" s="56">
        <f>IF($B173="","",168)</f>
      </c>
      <c r="B173" s="66">
        <f>IF(往来单位!$B$171="","",往来单位!$B$171)</f>
      </c>
      <c r="C173" s="56">
        <f>IF($B173="","",往来单位!$C$171&amp;"")</f>
      </c>
      <c r="D173" s="53">
        <f t="shared" si="0"/>
      </c>
      <c r="E173" s="53">
        <f t="shared" si="1"/>
      </c>
      <c r="F173" s="53">
        <f t="shared" si="2"/>
      </c>
      <c r="G173" s="59">
        <f t="shared" si="3"/>
      </c>
      <c r="H173" s="53">
        <f t="shared" si="4"/>
      </c>
      <c r="I173" s="53">
        <f t="shared" si="5"/>
      </c>
      <c r="J173" s="53">
        <f t="shared" si="6"/>
      </c>
      <c r="K173" s="59">
        <f t="shared" si="7"/>
      </c>
      <c r="L173" s="53">
        <f t="shared" si="8"/>
      </c>
      <c r="M173" s="59">
        <f t="shared" si="9"/>
      </c>
      <c r="N173" s="69">
        <f t="shared" si="10"/>
      </c>
      <c r="P173" s="22">
        <f t="shared" si="11"/>
      </c>
    </row>
    <row r="174">
      <c r="A174" s="56">
        <f>IF($B174="","",169)</f>
      </c>
      <c r="B174" s="66">
        <f>IF(往来单位!$B$172="","",往来单位!$B$172)</f>
      </c>
      <c r="C174" s="56">
        <f>IF($B174="","",往来单位!$C$172&amp;"")</f>
      </c>
      <c r="D174" s="53">
        <f t="shared" si="0"/>
      </c>
      <c r="E174" s="53">
        <f t="shared" si="1"/>
      </c>
      <c r="F174" s="53">
        <f t="shared" si="2"/>
      </c>
      <c r="G174" s="59">
        <f t="shared" si="3"/>
      </c>
      <c r="H174" s="53">
        <f t="shared" si="4"/>
      </c>
      <c r="I174" s="53">
        <f t="shared" si="5"/>
      </c>
      <c r="J174" s="53">
        <f t="shared" si="6"/>
      </c>
      <c r="K174" s="59">
        <f t="shared" si="7"/>
      </c>
      <c r="L174" s="53">
        <f t="shared" si="8"/>
      </c>
      <c r="M174" s="59">
        <f t="shared" si="9"/>
      </c>
      <c r="N174" s="69">
        <f t="shared" si="10"/>
      </c>
      <c r="P174" s="22">
        <f t="shared" si="11"/>
      </c>
    </row>
    <row r="175">
      <c r="A175" s="56">
        <f>IF($B175="","",170)</f>
      </c>
      <c r="B175" s="66">
        <f>IF(往来单位!$B$173="","",往来单位!$B$173)</f>
      </c>
      <c r="C175" s="56">
        <f>IF($B175="","",往来单位!$C$173&amp;"")</f>
      </c>
      <c r="D175" s="53">
        <f t="shared" si="0"/>
      </c>
      <c r="E175" s="53">
        <f t="shared" si="1"/>
      </c>
      <c r="F175" s="53">
        <f t="shared" si="2"/>
      </c>
      <c r="G175" s="59">
        <f t="shared" si="3"/>
      </c>
      <c r="H175" s="53">
        <f t="shared" si="4"/>
      </c>
      <c r="I175" s="53">
        <f t="shared" si="5"/>
      </c>
      <c r="J175" s="53">
        <f t="shared" si="6"/>
      </c>
      <c r="K175" s="59">
        <f t="shared" si="7"/>
      </c>
      <c r="L175" s="53">
        <f t="shared" si="8"/>
      </c>
      <c r="M175" s="59">
        <f t="shared" si="9"/>
      </c>
      <c r="N175" s="69">
        <f t="shared" si="10"/>
      </c>
      <c r="P175" s="22">
        <f t="shared" si="11"/>
      </c>
    </row>
    <row r="176">
      <c r="A176" s="56">
        <f>IF($B176="","",171)</f>
      </c>
      <c r="B176" s="66">
        <f>IF(往来单位!$B$174="","",往来单位!$B$174)</f>
      </c>
      <c r="C176" s="56">
        <f>IF($B176="","",往来单位!$C$174&amp;"")</f>
      </c>
      <c r="D176" s="53">
        <f t="shared" si="0"/>
      </c>
      <c r="E176" s="53">
        <f t="shared" si="1"/>
      </c>
      <c r="F176" s="53">
        <f t="shared" si="2"/>
      </c>
      <c r="G176" s="59">
        <f t="shared" si="3"/>
      </c>
      <c r="H176" s="53">
        <f t="shared" si="4"/>
      </c>
      <c r="I176" s="53">
        <f t="shared" si="5"/>
      </c>
      <c r="J176" s="53">
        <f t="shared" si="6"/>
      </c>
      <c r="K176" s="59">
        <f t="shared" si="7"/>
      </c>
      <c r="L176" s="53">
        <f t="shared" si="8"/>
      </c>
      <c r="M176" s="59">
        <f t="shared" si="9"/>
      </c>
      <c r="N176" s="69">
        <f t="shared" si="10"/>
      </c>
      <c r="P176" s="22">
        <f t="shared" si="11"/>
      </c>
    </row>
    <row r="177">
      <c r="A177" s="56">
        <f>IF($B177="","",172)</f>
      </c>
      <c r="B177" s="66">
        <f>IF(往来单位!$B$175="","",往来单位!$B$175)</f>
      </c>
      <c r="C177" s="56">
        <f>IF($B177="","",往来单位!$C$175&amp;"")</f>
      </c>
      <c r="D177" s="53">
        <f t="shared" si="0"/>
      </c>
      <c r="E177" s="53">
        <f t="shared" si="1"/>
      </c>
      <c r="F177" s="53">
        <f t="shared" si="2"/>
      </c>
      <c r="G177" s="59">
        <f t="shared" si="3"/>
      </c>
      <c r="H177" s="53">
        <f t="shared" si="4"/>
      </c>
      <c r="I177" s="53">
        <f t="shared" si="5"/>
      </c>
      <c r="J177" s="53">
        <f t="shared" si="6"/>
      </c>
      <c r="K177" s="59">
        <f t="shared" si="7"/>
      </c>
      <c r="L177" s="53">
        <f t="shared" si="8"/>
      </c>
      <c r="M177" s="59">
        <f t="shared" si="9"/>
      </c>
      <c r="N177" s="69">
        <f t="shared" si="10"/>
      </c>
      <c r="P177" s="22">
        <f t="shared" si="11"/>
      </c>
    </row>
    <row r="178">
      <c r="A178" s="56">
        <f>IF($B178="","",173)</f>
      </c>
      <c r="B178" s="66">
        <f>IF(往来单位!$B$176="","",往来单位!$B$176)</f>
      </c>
      <c r="C178" s="56">
        <f>IF($B178="","",往来单位!$C$176&amp;"")</f>
      </c>
      <c r="D178" s="53">
        <f t="shared" si="0"/>
      </c>
      <c r="E178" s="53">
        <f t="shared" si="1"/>
      </c>
      <c r="F178" s="53">
        <f t="shared" si="2"/>
      </c>
      <c r="G178" s="59">
        <f t="shared" si="3"/>
      </c>
      <c r="H178" s="53">
        <f t="shared" si="4"/>
      </c>
      <c r="I178" s="53">
        <f t="shared" si="5"/>
      </c>
      <c r="J178" s="53">
        <f t="shared" si="6"/>
      </c>
      <c r="K178" s="59">
        <f t="shared" si="7"/>
      </c>
      <c r="L178" s="53">
        <f t="shared" si="8"/>
      </c>
      <c r="M178" s="59">
        <f t="shared" si="9"/>
      </c>
      <c r="N178" s="69">
        <f t="shared" si="10"/>
      </c>
      <c r="P178" s="22">
        <f t="shared" si="11"/>
      </c>
    </row>
    <row r="179">
      <c r="A179" s="56">
        <f>IF($B179="","",174)</f>
      </c>
      <c r="B179" s="66">
        <f>IF(往来单位!$B$177="","",往来单位!$B$177)</f>
      </c>
      <c r="C179" s="56">
        <f>IF($B179="","",往来单位!$C$177&amp;"")</f>
      </c>
      <c r="D179" s="53">
        <f t="shared" si="0"/>
      </c>
      <c r="E179" s="53">
        <f t="shared" si="1"/>
      </c>
      <c r="F179" s="53">
        <f t="shared" si="2"/>
      </c>
      <c r="G179" s="59">
        <f t="shared" si="3"/>
      </c>
      <c r="H179" s="53">
        <f t="shared" si="4"/>
      </c>
      <c r="I179" s="53">
        <f t="shared" si="5"/>
      </c>
      <c r="J179" s="53">
        <f t="shared" si="6"/>
      </c>
      <c r="K179" s="59">
        <f t="shared" si="7"/>
      </c>
      <c r="L179" s="53">
        <f t="shared" si="8"/>
      </c>
      <c r="M179" s="59">
        <f t="shared" si="9"/>
      </c>
      <c r="N179" s="69">
        <f t="shared" si="10"/>
      </c>
      <c r="P179" s="22">
        <f t="shared" si="11"/>
      </c>
    </row>
    <row r="180">
      <c r="A180" s="56">
        <f>IF($B180="","",175)</f>
      </c>
      <c r="B180" s="66">
        <f>IF(往来单位!$B$178="","",往来单位!$B$178)</f>
      </c>
      <c r="C180" s="56">
        <f>IF($B180="","",往来单位!$C$178&amp;"")</f>
      </c>
      <c r="D180" s="53">
        <f t="shared" si="0"/>
      </c>
      <c r="E180" s="53">
        <f t="shared" si="1"/>
      </c>
      <c r="F180" s="53">
        <f t="shared" si="2"/>
      </c>
      <c r="G180" s="59">
        <f t="shared" si="3"/>
      </c>
      <c r="H180" s="53">
        <f t="shared" si="4"/>
      </c>
      <c r="I180" s="53">
        <f t="shared" si="5"/>
      </c>
      <c r="J180" s="53">
        <f t="shared" si="6"/>
      </c>
      <c r="K180" s="59">
        <f t="shared" si="7"/>
      </c>
      <c r="L180" s="53">
        <f t="shared" si="8"/>
      </c>
      <c r="M180" s="59">
        <f t="shared" si="9"/>
      </c>
      <c r="N180" s="69">
        <f t="shared" si="10"/>
      </c>
      <c r="P180" s="22">
        <f t="shared" si="11"/>
      </c>
    </row>
    <row r="181">
      <c r="A181" s="56">
        <f>IF($B181="","",176)</f>
      </c>
      <c r="B181" s="66">
        <f>IF(往来单位!$B$179="","",往来单位!$B$179)</f>
      </c>
      <c r="C181" s="56">
        <f>IF($B181="","",往来单位!$C$179&amp;"")</f>
      </c>
      <c r="D181" s="53">
        <f t="shared" si="0"/>
      </c>
      <c r="E181" s="53">
        <f t="shared" si="1"/>
      </c>
      <c r="F181" s="53">
        <f t="shared" si="2"/>
      </c>
      <c r="G181" s="59">
        <f t="shared" si="3"/>
      </c>
      <c r="H181" s="53">
        <f t="shared" si="4"/>
      </c>
      <c r="I181" s="53">
        <f t="shared" si="5"/>
      </c>
      <c r="J181" s="53">
        <f t="shared" si="6"/>
      </c>
      <c r="K181" s="59">
        <f t="shared" si="7"/>
      </c>
      <c r="L181" s="53">
        <f t="shared" si="8"/>
      </c>
      <c r="M181" s="59">
        <f t="shared" si="9"/>
      </c>
      <c r="N181" s="69">
        <f t="shared" si="10"/>
      </c>
      <c r="P181" s="22">
        <f t="shared" si="11"/>
      </c>
    </row>
    <row r="182">
      <c r="A182" s="56">
        <f>IF($B182="","",177)</f>
      </c>
      <c r="B182" s="66">
        <f>IF(往来单位!$B$180="","",往来单位!$B$180)</f>
      </c>
      <c r="C182" s="56">
        <f>IF($B182="","",往来单位!$C$180&amp;"")</f>
      </c>
      <c r="D182" s="53">
        <f t="shared" si="0"/>
      </c>
      <c r="E182" s="53">
        <f t="shared" si="1"/>
      </c>
      <c r="F182" s="53">
        <f t="shared" si="2"/>
      </c>
      <c r="G182" s="59">
        <f t="shared" si="3"/>
      </c>
      <c r="H182" s="53">
        <f t="shared" si="4"/>
      </c>
      <c r="I182" s="53">
        <f t="shared" si="5"/>
      </c>
      <c r="J182" s="53">
        <f t="shared" si="6"/>
      </c>
      <c r="K182" s="59">
        <f t="shared" si="7"/>
      </c>
      <c r="L182" s="53">
        <f t="shared" si="8"/>
      </c>
      <c r="M182" s="59">
        <f t="shared" si="9"/>
      </c>
      <c r="N182" s="69">
        <f t="shared" si="10"/>
      </c>
      <c r="P182" s="22">
        <f t="shared" si="11"/>
      </c>
    </row>
    <row r="183">
      <c r="A183" s="56">
        <f>IF($B183="","",178)</f>
      </c>
      <c r="B183" s="66">
        <f>IF(往来单位!$B$181="","",往来单位!$B$181)</f>
      </c>
      <c r="C183" s="56">
        <f>IF($B183="","",往来单位!$C$181&amp;"")</f>
      </c>
      <c r="D183" s="53">
        <f t="shared" si="0"/>
      </c>
      <c r="E183" s="53">
        <f t="shared" si="1"/>
      </c>
      <c r="F183" s="53">
        <f t="shared" si="2"/>
      </c>
      <c r="G183" s="59">
        <f t="shared" si="3"/>
      </c>
      <c r="H183" s="53">
        <f t="shared" si="4"/>
      </c>
      <c r="I183" s="53">
        <f t="shared" si="5"/>
      </c>
      <c r="J183" s="53">
        <f t="shared" si="6"/>
      </c>
      <c r="K183" s="59">
        <f t="shared" si="7"/>
      </c>
      <c r="L183" s="53">
        <f t="shared" si="8"/>
      </c>
      <c r="M183" s="59">
        <f t="shared" si="9"/>
      </c>
      <c r="N183" s="69">
        <f t="shared" si="10"/>
      </c>
      <c r="P183" s="22">
        <f t="shared" si="11"/>
      </c>
    </row>
    <row r="184">
      <c r="A184" s="56">
        <f>IF($B184="","",179)</f>
      </c>
      <c r="B184" s="66">
        <f>IF(往来单位!$B$182="","",往来单位!$B$182)</f>
      </c>
      <c r="C184" s="56">
        <f>IF($B184="","",往来单位!$C$182&amp;"")</f>
      </c>
      <c r="D184" s="53">
        <f t="shared" si="0"/>
      </c>
      <c r="E184" s="53">
        <f t="shared" si="1"/>
      </c>
      <c r="F184" s="53">
        <f t="shared" si="2"/>
      </c>
      <c r="G184" s="59">
        <f t="shared" si="3"/>
      </c>
      <c r="H184" s="53">
        <f t="shared" si="4"/>
      </c>
      <c r="I184" s="53">
        <f t="shared" si="5"/>
      </c>
      <c r="J184" s="53">
        <f t="shared" si="6"/>
      </c>
      <c r="K184" s="59">
        <f t="shared" si="7"/>
      </c>
      <c r="L184" s="53">
        <f t="shared" si="8"/>
      </c>
      <c r="M184" s="59">
        <f t="shared" si="9"/>
      </c>
      <c r="N184" s="69">
        <f t="shared" si="10"/>
      </c>
      <c r="P184" s="22">
        <f t="shared" si="11"/>
      </c>
    </row>
    <row r="185">
      <c r="A185" s="56">
        <f>IF($B185="","",180)</f>
      </c>
      <c r="B185" s="66">
        <f>IF(往来单位!$B$183="","",往来单位!$B$183)</f>
      </c>
      <c r="C185" s="56">
        <f>IF($B185="","",往来单位!$C$183&amp;"")</f>
      </c>
      <c r="D185" s="53">
        <f t="shared" si="0"/>
      </c>
      <c r="E185" s="53">
        <f t="shared" si="1"/>
      </c>
      <c r="F185" s="53">
        <f t="shared" si="2"/>
      </c>
      <c r="G185" s="59">
        <f t="shared" si="3"/>
      </c>
      <c r="H185" s="53">
        <f t="shared" si="4"/>
      </c>
      <c r="I185" s="53">
        <f t="shared" si="5"/>
      </c>
      <c r="J185" s="53">
        <f t="shared" si="6"/>
      </c>
      <c r="K185" s="59">
        <f t="shared" si="7"/>
      </c>
      <c r="L185" s="53">
        <f t="shared" si="8"/>
      </c>
      <c r="M185" s="59">
        <f t="shared" si="9"/>
      </c>
      <c r="N185" s="69">
        <f t="shared" si="10"/>
      </c>
      <c r="P185" s="22">
        <f t="shared" si="11"/>
      </c>
    </row>
    <row r="186">
      <c r="A186" s="56">
        <f>IF($B186="","",181)</f>
      </c>
      <c r="B186" s="66">
        <f>IF(往来单位!$B$184="","",往来单位!$B$184)</f>
      </c>
      <c r="C186" s="56">
        <f>IF($B186="","",往来单位!$C$184&amp;"")</f>
      </c>
      <c r="D186" s="53">
        <f t="shared" si="0"/>
      </c>
      <c r="E186" s="53">
        <f t="shared" si="1"/>
      </c>
      <c r="F186" s="53">
        <f t="shared" si="2"/>
      </c>
      <c r="G186" s="59">
        <f t="shared" si="3"/>
      </c>
      <c r="H186" s="53">
        <f t="shared" si="4"/>
      </c>
      <c r="I186" s="53">
        <f t="shared" si="5"/>
      </c>
      <c r="J186" s="53">
        <f t="shared" si="6"/>
      </c>
      <c r="K186" s="59">
        <f t="shared" si="7"/>
      </c>
      <c r="L186" s="53">
        <f t="shared" si="8"/>
      </c>
      <c r="M186" s="59">
        <f t="shared" si="9"/>
      </c>
      <c r="N186" s="69">
        <f t="shared" si="10"/>
      </c>
      <c r="P186" s="22">
        <f t="shared" si="11"/>
      </c>
    </row>
    <row r="187">
      <c r="A187" s="56">
        <f>IF($B187="","",182)</f>
      </c>
      <c r="B187" s="66">
        <f>IF(往来单位!$B$185="","",往来单位!$B$185)</f>
      </c>
      <c r="C187" s="56">
        <f>IF($B187="","",往来单位!$C$185&amp;"")</f>
      </c>
      <c r="D187" s="53">
        <f t="shared" si="0"/>
      </c>
      <c r="E187" s="53">
        <f t="shared" si="1"/>
      </c>
      <c r="F187" s="53">
        <f t="shared" si="2"/>
      </c>
      <c r="G187" s="59">
        <f t="shared" si="3"/>
      </c>
      <c r="H187" s="53">
        <f t="shared" si="4"/>
      </c>
      <c r="I187" s="53">
        <f t="shared" si="5"/>
      </c>
      <c r="J187" s="53">
        <f t="shared" si="6"/>
      </c>
      <c r="K187" s="59">
        <f t="shared" si="7"/>
      </c>
      <c r="L187" s="53">
        <f t="shared" si="8"/>
      </c>
      <c r="M187" s="59">
        <f t="shared" si="9"/>
      </c>
      <c r="N187" s="69">
        <f t="shared" si="10"/>
      </c>
      <c r="P187" s="22">
        <f t="shared" si="11"/>
      </c>
    </row>
    <row r="188">
      <c r="A188" s="56">
        <f>IF($B188="","",183)</f>
      </c>
      <c r="B188" s="66">
        <f>IF(往来单位!$B$186="","",往来单位!$B$186)</f>
      </c>
      <c r="C188" s="56">
        <f>IF($B188="","",往来单位!$C$186&amp;"")</f>
      </c>
      <c r="D188" s="53">
        <f t="shared" si="0"/>
      </c>
      <c r="E188" s="53">
        <f t="shared" si="1"/>
      </c>
      <c r="F188" s="53">
        <f t="shared" si="2"/>
      </c>
      <c r="G188" s="59">
        <f t="shared" si="3"/>
      </c>
      <c r="H188" s="53">
        <f t="shared" si="4"/>
      </c>
      <c r="I188" s="53">
        <f t="shared" si="5"/>
      </c>
      <c r="J188" s="53">
        <f t="shared" si="6"/>
      </c>
      <c r="K188" s="59">
        <f t="shared" si="7"/>
      </c>
      <c r="L188" s="53">
        <f t="shared" si="8"/>
      </c>
      <c r="M188" s="59">
        <f t="shared" si="9"/>
      </c>
      <c r="N188" s="69">
        <f t="shared" si="10"/>
      </c>
      <c r="P188" s="22">
        <f t="shared" si="11"/>
      </c>
    </row>
    <row r="189">
      <c r="A189" s="56">
        <f>IF($B189="","",184)</f>
      </c>
      <c r="B189" s="66">
        <f>IF(往来单位!$B$187="","",往来单位!$B$187)</f>
      </c>
      <c r="C189" s="56">
        <f>IF($B189="","",往来单位!$C$187&amp;"")</f>
      </c>
      <c r="D189" s="53">
        <f t="shared" si="0"/>
      </c>
      <c r="E189" s="53">
        <f t="shared" si="1"/>
      </c>
      <c r="F189" s="53">
        <f t="shared" si="2"/>
      </c>
      <c r="G189" s="59">
        <f t="shared" si="3"/>
      </c>
      <c r="H189" s="53">
        <f t="shared" si="4"/>
      </c>
      <c r="I189" s="53">
        <f t="shared" si="5"/>
      </c>
      <c r="J189" s="53">
        <f t="shared" si="6"/>
      </c>
      <c r="K189" s="59">
        <f t="shared" si="7"/>
      </c>
      <c r="L189" s="53">
        <f t="shared" si="8"/>
      </c>
      <c r="M189" s="59">
        <f t="shared" si="9"/>
      </c>
      <c r="N189" s="69">
        <f t="shared" si="10"/>
      </c>
      <c r="P189" s="22">
        <f t="shared" si="11"/>
      </c>
    </row>
    <row r="190">
      <c r="A190" s="56">
        <f>IF($B190="","",185)</f>
      </c>
      <c r="B190" s="66">
        <f>IF(往来单位!$B$188="","",往来单位!$B$188)</f>
      </c>
      <c r="C190" s="56">
        <f>IF($B190="","",往来单位!$C$188&amp;"")</f>
      </c>
      <c r="D190" s="53">
        <f t="shared" si="0"/>
      </c>
      <c r="E190" s="53">
        <f t="shared" si="1"/>
      </c>
      <c r="F190" s="53">
        <f t="shared" si="2"/>
      </c>
      <c r="G190" s="59">
        <f t="shared" si="3"/>
      </c>
      <c r="H190" s="53">
        <f t="shared" si="4"/>
      </c>
      <c r="I190" s="53">
        <f t="shared" si="5"/>
      </c>
      <c r="J190" s="53">
        <f t="shared" si="6"/>
      </c>
      <c r="K190" s="59">
        <f t="shared" si="7"/>
      </c>
      <c r="L190" s="53">
        <f t="shared" si="8"/>
      </c>
      <c r="M190" s="59">
        <f t="shared" si="9"/>
      </c>
      <c r="N190" s="69">
        <f t="shared" si="10"/>
      </c>
      <c r="P190" s="22">
        <f t="shared" si="11"/>
      </c>
    </row>
    <row r="191">
      <c r="A191" s="56">
        <f>IF($B191="","",186)</f>
      </c>
      <c r="B191" s="66">
        <f>IF(往来单位!$B$189="","",往来单位!$B$189)</f>
      </c>
      <c r="C191" s="56">
        <f>IF($B191="","",往来单位!$C$189&amp;"")</f>
      </c>
      <c r="D191" s="53">
        <f t="shared" si="0"/>
      </c>
      <c r="E191" s="53">
        <f t="shared" si="1"/>
      </c>
      <c r="F191" s="53">
        <f t="shared" si="2"/>
      </c>
      <c r="G191" s="59">
        <f t="shared" si="3"/>
      </c>
      <c r="H191" s="53">
        <f t="shared" si="4"/>
      </c>
      <c r="I191" s="53">
        <f t="shared" si="5"/>
      </c>
      <c r="J191" s="53">
        <f t="shared" si="6"/>
      </c>
      <c r="K191" s="59">
        <f t="shared" si="7"/>
      </c>
      <c r="L191" s="53">
        <f t="shared" si="8"/>
      </c>
      <c r="M191" s="59">
        <f t="shared" si="9"/>
      </c>
      <c r="N191" s="69">
        <f t="shared" si="10"/>
      </c>
      <c r="P191" s="22">
        <f t="shared" si="11"/>
      </c>
    </row>
    <row r="192">
      <c r="A192" s="56">
        <f>IF($B192="","",187)</f>
      </c>
      <c r="B192" s="66">
        <f>IF(往来单位!$B$190="","",往来单位!$B$190)</f>
      </c>
      <c r="C192" s="56">
        <f>IF($B192="","",往来单位!$C$190&amp;"")</f>
      </c>
      <c r="D192" s="53">
        <f t="shared" si="0"/>
      </c>
      <c r="E192" s="53">
        <f t="shared" si="1"/>
      </c>
      <c r="F192" s="53">
        <f t="shared" si="2"/>
      </c>
      <c r="G192" s="59">
        <f t="shared" si="3"/>
      </c>
      <c r="H192" s="53">
        <f t="shared" si="4"/>
      </c>
      <c r="I192" s="53">
        <f t="shared" si="5"/>
      </c>
      <c r="J192" s="53">
        <f t="shared" si="6"/>
      </c>
      <c r="K192" s="59">
        <f t="shared" si="7"/>
      </c>
      <c r="L192" s="53">
        <f t="shared" si="8"/>
      </c>
      <c r="M192" s="59">
        <f t="shared" si="9"/>
      </c>
      <c r="N192" s="69">
        <f t="shared" si="10"/>
      </c>
      <c r="P192" s="22">
        <f t="shared" si="11"/>
      </c>
    </row>
    <row r="193">
      <c r="A193" s="56">
        <f>IF($B193="","",188)</f>
      </c>
      <c r="B193" s="66">
        <f>IF(往来单位!$B$191="","",往来单位!$B$191)</f>
      </c>
      <c r="C193" s="56">
        <f>IF($B193="","",往来单位!$C$191&amp;"")</f>
      </c>
      <c r="D193" s="53">
        <f t="shared" si="0"/>
      </c>
      <c r="E193" s="53">
        <f t="shared" si="1"/>
      </c>
      <c r="F193" s="53">
        <f t="shared" si="2"/>
      </c>
      <c r="G193" s="59">
        <f t="shared" si="3"/>
      </c>
      <c r="H193" s="53">
        <f t="shared" si="4"/>
      </c>
      <c r="I193" s="53">
        <f t="shared" si="5"/>
      </c>
      <c r="J193" s="53">
        <f t="shared" si="6"/>
      </c>
      <c r="K193" s="59">
        <f t="shared" si="7"/>
      </c>
      <c r="L193" s="53">
        <f t="shared" si="8"/>
      </c>
      <c r="M193" s="59">
        <f t="shared" si="9"/>
      </c>
      <c r="N193" s="69">
        <f t="shared" si="10"/>
      </c>
      <c r="P193" s="22">
        <f t="shared" si="11"/>
      </c>
    </row>
    <row r="194">
      <c r="A194" s="56">
        <f>IF($B194="","",189)</f>
      </c>
      <c r="B194" s="66">
        <f>IF(往来单位!$B$192="","",往来单位!$B$192)</f>
      </c>
      <c r="C194" s="56">
        <f>IF($B194="","",往来单位!$C$192&amp;"")</f>
      </c>
      <c r="D194" s="53">
        <f t="shared" si="0"/>
      </c>
      <c r="E194" s="53">
        <f t="shared" si="1"/>
      </c>
      <c r="F194" s="53">
        <f t="shared" si="2"/>
      </c>
      <c r="G194" s="59">
        <f t="shared" si="3"/>
      </c>
      <c r="H194" s="53">
        <f t="shared" si="4"/>
      </c>
      <c r="I194" s="53">
        <f t="shared" si="5"/>
      </c>
      <c r="J194" s="53">
        <f t="shared" si="6"/>
      </c>
      <c r="K194" s="59">
        <f t="shared" si="7"/>
      </c>
      <c r="L194" s="53">
        <f t="shared" si="8"/>
      </c>
      <c r="M194" s="59">
        <f t="shared" si="9"/>
      </c>
      <c r="N194" s="69">
        <f t="shared" si="10"/>
      </c>
      <c r="P194" s="22">
        <f t="shared" si="11"/>
      </c>
    </row>
    <row r="195">
      <c r="A195" s="56">
        <f>IF($B195="","",190)</f>
      </c>
      <c r="B195" s="66">
        <f>IF(往来单位!$B$193="","",往来单位!$B$193)</f>
      </c>
      <c r="C195" s="56">
        <f>IF($B195="","",往来单位!$C$193&amp;"")</f>
      </c>
      <c r="D195" s="53">
        <f t="shared" si="0"/>
      </c>
      <c r="E195" s="53">
        <f t="shared" si="1"/>
      </c>
      <c r="F195" s="53">
        <f t="shared" si="2"/>
      </c>
      <c r="G195" s="59">
        <f t="shared" si="3"/>
      </c>
      <c r="H195" s="53">
        <f t="shared" si="4"/>
      </c>
      <c r="I195" s="53">
        <f t="shared" si="5"/>
      </c>
      <c r="J195" s="53">
        <f t="shared" si="6"/>
      </c>
      <c r="K195" s="59">
        <f t="shared" si="7"/>
      </c>
      <c r="L195" s="53">
        <f t="shared" si="8"/>
      </c>
      <c r="M195" s="59">
        <f t="shared" si="9"/>
      </c>
      <c r="N195" s="69">
        <f t="shared" si="10"/>
      </c>
      <c r="P195" s="22">
        <f t="shared" si="11"/>
      </c>
    </row>
    <row r="196">
      <c r="A196" s="56">
        <f>IF($B196="","",191)</f>
      </c>
      <c r="B196" s="66">
        <f>IF(往来单位!$B$194="","",往来单位!$B$194)</f>
      </c>
      <c r="C196" s="56">
        <f>IF($B196="","",往来单位!$C$194&amp;"")</f>
      </c>
      <c r="D196" s="53">
        <f t="shared" si="0"/>
      </c>
      <c r="E196" s="53">
        <f t="shared" si="1"/>
      </c>
      <c r="F196" s="53">
        <f t="shared" si="2"/>
      </c>
      <c r="G196" s="59">
        <f t="shared" si="3"/>
      </c>
      <c r="H196" s="53">
        <f t="shared" si="4"/>
      </c>
      <c r="I196" s="53">
        <f t="shared" si="5"/>
      </c>
      <c r="J196" s="53">
        <f t="shared" si="6"/>
      </c>
      <c r="K196" s="59">
        <f t="shared" si="7"/>
      </c>
      <c r="L196" s="53">
        <f t="shared" si="8"/>
      </c>
      <c r="M196" s="59">
        <f t="shared" si="9"/>
      </c>
      <c r="N196" s="69">
        <f t="shared" si="10"/>
      </c>
      <c r="P196" s="22">
        <f t="shared" si="11"/>
      </c>
    </row>
    <row r="197">
      <c r="A197" s="56">
        <f>IF($B197="","",192)</f>
      </c>
      <c r="B197" s="66">
        <f>IF(往来单位!$B$195="","",往来单位!$B$195)</f>
      </c>
      <c r="C197" s="56">
        <f>IF($B197="","",往来单位!$C$195&amp;"")</f>
      </c>
      <c r="D197" s="53">
        <f t="shared" si="0"/>
      </c>
      <c r="E197" s="53">
        <f t="shared" si="1"/>
      </c>
      <c r="F197" s="53">
        <f t="shared" si="2"/>
      </c>
      <c r="G197" s="59">
        <f t="shared" si="3"/>
      </c>
      <c r="H197" s="53">
        <f t="shared" si="4"/>
      </c>
      <c r="I197" s="53">
        <f t="shared" si="5"/>
      </c>
      <c r="J197" s="53">
        <f t="shared" si="6"/>
      </c>
      <c r="K197" s="59">
        <f t="shared" si="7"/>
      </c>
      <c r="L197" s="53">
        <f t="shared" si="8"/>
      </c>
      <c r="M197" s="59">
        <f t="shared" si="9"/>
      </c>
      <c r="N197" s="69">
        <f t="shared" si="10"/>
      </c>
      <c r="P197" s="22">
        <f t="shared" si="11"/>
      </c>
    </row>
    <row r="198">
      <c r="A198" s="56">
        <f>IF($B198="","",193)</f>
      </c>
      <c r="B198" s="66">
        <f>IF(往来单位!$B$196="","",往来单位!$B$196)</f>
      </c>
      <c r="C198" s="56">
        <f>IF($B198="","",往来单位!$C$196&amp;"")</f>
      </c>
      <c r="D198" s="53">
        <f t="shared" si="0"/>
      </c>
      <c r="E198" s="53">
        <f t="shared" si="1"/>
      </c>
      <c r="F198" s="53">
        <f t="shared" si="2"/>
      </c>
      <c r="G198" s="59">
        <f t="shared" si="3"/>
      </c>
      <c r="H198" s="53">
        <f t="shared" si="4"/>
      </c>
      <c r="I198" s="53">
        <f t="shared" si="5"/>
      </c>
      <c r="J198" s="53">
        <f t="shared" si="6"/>
      </c>
      <c r="K198" s="59">
        <f t="shared" si="7"/>
      </c>
      <c r="L198" s="53">
        <f t="shared" si="8"/>
      </c>
      <c r="M198" s="59">
        <f t="shared" si="9"/>
      </c>
      <c r="N198" s="69">
        <f t="shared" si="10"/>
      </c>
      <c r="P198" s="22">
        <f t="shared" si="11"/>
      </c>
    </row>
    <row r="199">
      <c r="A199" s="56">
        <f>IF($B199="","",194)</f>
      </c>
      <c r="B199" s="66">
        <f>IF(往来单位!$B$197="","",往来单位!$B$197)</f>
      </c>
      <c r="C199" s="56">
        <f>IF($B199="","",往来单位!$C$197&amp;"")</f>
      </c>
      <c r="D199" s="53">
        <f t="shared" si="0"/>
      </c>
      <c r="E199" s="53">
        <f t="shared" si="1"/>
      </c>
      <c r="F199" s="53">
        <f t="shared" si="2"/>
      </c>
      <c r="G199" s="59">
        <f t="shared" si="3"/>
      </c>
      <c r="H199" s="53">
        <f t="shared" si="4"/>
      </c>
      <c r="I199" s="53">
        <f t="shared" si="5"/>
      </c>
      <c r="J199" s="53">
        <f t="shared" si="6"/>
      </c>
      <c r="K199" s="59">
        <f t="shared" si="7"/>
      </c>
      <c r="L199" s="53">
        <f t="shared" si="8"/>
      </c>
      <c r="M199" s="59">
        <f t="shared" si="9"/>
      </c>
      <c r="N199" s="69">
        <f t="shared" si="10"/>
      </c>
      <c r="P199" s="22">
        <f t="shared" si="11"/>
      </c>
    </row>
    <row r="200">
      <c r="A200" s="56">
        <f>IF($B200="","",195)</f>
      </c>
      <c r="B200" s="66">
        <f>IF(往来单位!$B$198="","",往来单位!$B$198)</f>
      </c>
      <c r="C200" s="56">
        <f>IF($B200="","",往来单位!$C$198&amp;"")</f>
      </c>
      <c r="D200" s="53">
        <f t="shared" si="0"/>
      </c>
      <c r="E200" s="53">
        <f t="shared" si="1"/>
      </c>
      <c r="F200" s="53">
        <f t="shared" si="2"/>
      </c>
      <c r="G200" s="59">
        <f t="shared" si="3"/>
      </c>
      <c r="H200" s="53">
        <f t="shared" si="4"/>
      </c>
      <c r="I200" s="53">
        <f t="shared" si="5"/>
      </c>
      <c r="J200" s="53">
        <f t="shared" si="6"/>
      </c>
      <c r="K200" s="59">
        <f t="shared" si="7"/>
      </c>
      <c r="L200" s="53">
        <f t="shared" si="8"/>
      </c>
      <c r="M200" s="59">
        <f t="shared" si="9"/>
      </c>
      <c r="N200" s="69">
        <f t="shared" si="10"/>
      </c>
      <c r="P200" s="22">
        <f t="shared" si="11"/>
      </c>
    </row>
    <row r="201">
      <c r="A201" s="56">
        <f>IF($B201="","",196)</f>
      </c>
      <c r="B201" s="66">
        <f>IF(往来单位!$B$199="","",往来单位!$B$199)</f>
      </c>
      <c r="C201" s="56">
        <f>IF($B201="","",往来单位!$C$199&amp;"")</f>
      </c>
      <c r="D201" s="53">
        <f t="shared" si="0"/>
      </c>
      <c r="E201" s="53">
        <f t="shared" si="1"/>
      </c>
      <c r="F201" s="53">
        <f t="shared" si="2"/>
      </c>
      <c r="G201" s="59">
        <f t="shared" si="3"/>
      </c>
      <c r="H201" s="53">
        <f t="shared" si="4"/>
      </c>
      <c r="I201" s="53">
        <f t="shared" si="5"/>
      </c>
      <c r="J201" s="53">
        <f t="shared" si="6"/>
      </c>
      <c r="K201" s="59">
        <f t="shared" si="7"/>
      </c>
      <c r="L201" s="53">
        <f t="shared" si="8"/>
      </c>
      <c r="M201" s="59">
        <f t="shared" si="9"/>
      </c>
      <c r="N201" s="69">
        <f t="shared" si="10"/>
      </c>
      <c r="P201" s="22">
        <f t="shared" si="11"/>
      </c>
    </row>
    <row r="202">
      <c r="A202" s="56">
        <f>IF($B202="","",197)</f>
      </c>
      <c r="B202" s="66">
        <f>IF(往来单位!$B$200="","",往来单位!$B$200)</f>
      </c>
      <c r="C202" s="56">
        <f>IF($B202="","",往来单位!$C$200&amp;"")</f>
      </c>
      <c r="D202" s="53">
        <f t="shared" si="0"/>
      </c>
      <c r="E202" s="53">
        <f t="shared" si="1"/>
      </c>
      <c r="F202" s="53">
        <f t="shared" si="2"/>
      </c>
      <c r="G202" s="59">
        <f t="shared" si="3"/>
      </c>
      <c r="H202" s="53">
        <f t="shared" si="4"/>
      </c>
      <c r="I202" s="53">
        <f t="shared" si="5"/>
      </c>
      <c r="J202" s="53">
        <f t="shared" si="6"/>
      </c>
      <c r="K202" s="59">
        <f t="shared" si="7"/>
      </c>
      <c r="L202" s="53">
        <f t="shared" si="8"/>
      </c>
      <c r="M202" s="59">
        <f t="shared" si="9"/>
      </c>
      <c r="N202" s="69">
        <f t="shared" si="10"/>
      </c>
      <c r="P202" s="22">
        <f t="shared" si="11"/>
      </c>
    </row>
    <row r="203">
      <c r="A203" s="56">
        <f>IF($B203="","",198)</f>
      </c>
      <c r="B203" s="66">
        <f>IF(往来单位!$B$201="","",往来单位!$B$201)</f>
      </c>
      <c r="C203" s="56">
        <f>IF($B203="","",往来单位!$C$201&amp;"")</f>
      </c>
      <c r="D203" s="53">
        <f t="shared" si="0"/>
      </c>
      <c r="E203" s="53">
        <f t="shared" si="1"/>
      </c>
      <c r="F203" s="53">
        <f t="shared" si="2"/>
      </c>
      <c r="G203" s="59">
        <f t="shared" si="3"/>
      </c>
      <c r="H203" s="53">
        <f t="shared" si="4"/>
      </c>
      <c r="I203" s="53">
        <f t="shared" si="5"/>
      </c>
      <c r="J203" s="53">
        <f t="shared" si="6"/>
      </c>
      <c r="K203" s="59">
        <f t="shared" si="7"/>
      </c>
      <c r="L203" s="53">
        <f t="shared" si="8"/>
      </c>
      <c r="M203" s="59">
        <f t="shared" si="9"/>
      </c>
      <c r="N203" s="69">
        <f t="shared" si="10"/>
      </c>
      <c r="P203" s="22">
        <f t="shared" si="11"/>
      </c>
    </row>
    <row r="204">
      <c r="A204" s="56">
        <f>IF($B204="","",199)</f>
      </c>
      <c r="B204" s="66">
        <f>IF(往来单位!$B$202="","",往来单位!$B$202)</f>
      </c>
      <c r="C204" s="56">
        <f>IF($B204="","",往来单位!$C$202&amp;"")</f>
      </c>
      <c r="D204" s="53">
        <f t="shared" si="0"/>
      </c>
      <c r="E204" s="53">
        <f t="shared" si="1"/>
      </c>
      <c r="F204" s="53">
        <f t="shared" si="2"/>
      </c>
      <c r="G204" s="59">
        <f t="shared" si="3"/>
      </c>
      <c r="H204" s="53">
        <f t="shared" si="4"/>
      </c>
      <c r="I204" s="53">
        <f t="shared" si="5"/>
      </c>
      <c r="J204" s="53">
        <f t="shared" si="6"/>
      </c>
      <c r="K204" s="59">
        <f t="shared" si="7"/>
      </c>
      <c r="L204" s="53">
        <f t="shared" si="8"/>
      </c>
      <c r="M204" s="59">
        <f t="shared" si="9"/>
      </c>
      <c r="N204" s="69">
        <f t="shared" si="10"/>
      </c>
      <c r="P204" s="22">
        <f t="shared" si="11"/>
      </c>
    </row>
    <row r="205">
      <c r="A205" s="56">
        <f>IF($B205="","",200)</f>
      </c>
      <c r="B205" s="66">
        <f>IF(往来单位!$B$203="","",往来单位!$B$203)</f>
      </c>
      <c r="C205" s="56">
        <f>IF($B205="","",往来单位!$C$203&amp;"")</f>
      </c>
      <c r="D205" s="53">
        <f t="shared" si="0"/>
      </c>
      <c r="E205" s="53">
        <f t="shared" si="1"/>
      </c>
      <c r="F205" s="53">
        <f t="shared" si="2"/>
      </c>
      <c r="G205" s="59">
        <f t="shared" si="3"/>
      </c>
      <c r="H205" s="53">
        <f t="shared" si="4"/>
      </c>
      <c r="I205" s="53">
        <f t="shared" si="5"/>
      </c>
      <c r="J205" s="53">
        <f t="shared" si="6"/>
      </c>
      <c r="K205" s="59">
        <f t="shared" si="7"/>
      </c>
      <c r="L205" s="53">
        <f t="shared" si="8"/>
      </c>
      <c r="M205" s="59">
        <f t="shared" si="9"/>
      </c>
      <c r="N205" s="69">
        <f t="shared" si="10"/>
      </c>
      <c r="P205" s="22">
        <f t="shared" si="11"/>
      </c>
    </row>
    <row r="206">
      <c r="A206" s="56">
        <f>IF($B206="","",201)</f>
      </c>
      <c r="B206" s="66">
        <f>IF(往来单位!$B$204="","",往来单位!$B$204)</f>
      </c>
      <c r="C206" s="56">
        <f>IF($B206="","",往来单位!$C$204&amp;"")</f>
      </c>
      <c r="D206" s="53">
        <f t="shared" si="0"/>
      </c>
      <c r="E206" s="53">
        <f t="shared" si="1"/>
      </c>
      <c r="F206" s="53">
        <f t="shared" si="2"/>
      </c>
      <c r="G206" s="59">
        <f t="shared" si="3"/>
      </c>
      <c r="H206" s="53">
        <f t="shared" si="4"/>
      </c>
      <c r="I206" s="53">
        <f t="shared" si="5"/>
      </c>
      <c r="J206" s="53">
        <f t="shared" si="6"/>
      </c>
      <c r="K206" s="59">
        <f t="shared" si="7"/>
      </c>
      <c r="L206" s="53">
        <f t="shared" si="8"/>
      </c>
      <c r="M206" s="59">
        <f t="shared" si="9"/>
      </c>
      <c r="N206" s="69">
        <f t="shared" si="10"/>
      </c>
      <c r="P206" s="22">
        <f t="shared" si="11"/>
      </c>
    </row>
    <row r="207">
      <c r="A207" s="56">
        <f>IF($B207="","",202)</f>
      </c>
      <c r="B207" s="66">
        <f>IF(往来单位!$B$205="","",往来单位!$B$205)</f>
      </c>
      <c r="C207" s="56">
        <f>IF($B207="","",往来单位!$C$205&amp;"")</f>
      </c>
      <c r="D207" s="53">
        <f t="shared" si="0"/>
      </c>
      <c r="E207" s="53">
        <f t="shared" si="1"/>
      </c>
      <c r="F207" s="53">
        <f t="shared" si="2"/>
      </c>
      <c r="G207" s="59">
        <f t="shared" si="3"/>
      </c>
      <c r="H207" s="53">
        <f t="shared" si="4"/>
      </c>
      <c r="I207" s="53">
        <f t="shared" si="5"/>
      </c>
      <c r="J207" s="53">
        <f t="shared" si="6"/>
      </c>
      <c r="K207" s="59">
        <f t="shared" si="7"/>
      </c>
      <c r="L207" s="53">
        <f t="shared" si="8"/>
      </c>
      <c r="M207" s="59">
        <f t="shared" si="9"/>
      </c>
      <c r="N207" s="69">
        <f t="shared" si="10"/>
      </c>
      <c r="P207" s="22">
        <f t="shared" si="11"/>
      </c>
    </row>
    <row r="208">
      <c r="A208" s="56">
        <f>IF($B208="","",203)</f>
      </c>
      <c r="B208" s="66">
        <f>IF(往来单位!$B$206="","",往来单位!$B$206)</f>
      </c>
      <c r="C208" s="56">
        <f>IF($B208="","",往来单位!$C$206&amp;"")</f>
      </c>
      <c r="D208" s="53">
        <f t="shared" si="0"/>
      </c>
      <c r="E208" s="53">
        <f t="shared" si="1"/>
      </c>
      <c r="F208" s="53">
        <f t="shared" si="2"/>
      </c>
      <c r="G208" s="59">
        <f t="shared" si="3"/>
      </c>
      <c r="H208" s="53">
        <f t="shared" si="4"/>
      </c>
      <c r="I208" s="53">
        <f t="shared" si="5"/>
      </c>
      <c r="J208" s="53">
        <f t="shared" si="6"/>
      </c>
      <c r="K208" s="59">
        <f t="shared" si="7"/>
      </c>
      <c r="L208" s="53">
        <f t="shared" si="8"/>
      </c>
      <c r="M208" s="59">
        <f t="shared" si="9"/>
      </c>
      <c r="N208" s="69">
        <f t="shared" si="10"/>
      </c>
      <c r="P208" s="22">
        <f t="shared" si="11"/>
      </c>
    </row>
    <row r="209">
      <c r="A209" s="56">
        <f>IF($B209="","",204)</f>
      </c>
      <c r="B209" s="66">
        <f>IF(往来单位!$B$207="","",往来单位!$B$207)</f>
      </c>
      <c r="C209" s="56">
        <f>IF($B209="","",往来单位!$C$207&amp;"")</f>
      </c>
      <c r="D209" s="53">
        <f t="shared" si="0"/>
      </c>
      <c r="E209" s="53">
        <f t="shared" si="1"/>
      </c>
      <c r="F209" s="53">
        <f t="shared" si="2"/>
      </c>
      <c r="G209" s="59">
        <f t="shared" si="3"/>
      </c>
      <c r="H209" s="53">
        <f t="shared" si="4"/>
      </c>
      <c r="I209" s="53">
        <f t="shared" si="5"/>
      </c>
      <c r="J209" s="53">
        <f t="shared" si="6"/>
      </c>
      <c r="K209" s="59">
        <f t="shared" si="7"/>
      </c>
      <c r="L209" s="53">
        <f t="shared" si="8"/>
      </c>
      <c r="M209" s="59">
        <f t="shared" si="9"/>
      </c>
      <c r="N209" s="69">
        <f t="shared" si="10"/>
      </c>
      <c r="P209" s="22">
        <f t="shared" si="11"/>
      </c>
    </row>
    <row r="210">
      <c r="A210" s="56">
        <f>IF($B210="","",205)</f>
      </c>
      <c r="B210" s="66">
        <f>IF(往来单位!$B$208="","",往来单位!$B$208)</f>
      </c>
      <c r="C210" s="56">
        <f>IF($B210="","",往来单位!$C$208&amp;"")</f>
      </c>
      <c r="D210" s="53">
        <f t="shared" si="0"/>
      </c>
      <c r="E210" s="53">
        <f t="shared" si="1"/>
      </c>
      <c r="F210" s="53">
        <f t="shared" si="2"/>
      </c>
      <c r="G210" s="59">
        <f t="shared" si="3"/>
      </c>
      <c r="H210" s="53">
        <f t="shared" si="4"/>
      </c>
      <c r="I210" s="53">
        <f t="shared" si="5"/>
      </c>
      <c r="J210" s="53">
        <f t="shared" si="6"/>
      </c>
      <c r="K210" s="59">
        <f t="shared" si="7"/>
      </c>
      <c r="L210" s="53">
        <f t="shared" si="8"/>
      </c>
      <c r="M210" s="59">
        <f t="shared" si="9"/>
      </c>
      <c r="N210" s="69">
        <f t="shared" si="10"/>
      </c>
      <c r="P210" s="22">
        <f t="shared" si="11"/>
      </c>
    </row>
    <row r="211">
      <c r="A211" s="56">
        <f>IF($B211="","",206)</f>
      </c>
      <c r="B211" s="66">
        <f>IF(往来单位!$B$209="","",往来单位!$B$209)</f>
      </c>
      <c r="C211" s="56">
        <f>IF($B211="","",往来单位!$C$209&amp;"")</f>
      </c>
      <c r="D211" s="53">
        <f t="shared" si="0"/>
      </c>
      <c r="E211" s="53">
        <f t="shared" si="1"/>
      </c>
      <c r="F211" s="53">
        <f t="shared" si="2"/>
      </c>
      <c r="G211" s="59">
        <f t="shared" si="3"/>
      </c>
      <c r="H211" s="53">
        <f t="shared" si="4"/>
      </c>
      <c r="I211" s="53">
        <f t="shared" si="5"/>
      </c>
      <c r="J211" s="53">
        <f t="shared" si="6"/>
      </c>
      <c r="K211" s="59">
        <f t="shared" si="7"/>
      </c>
      <c r="L211" s="53">
        <f t="shared" si="8"/>
      </c>
      <c r="M211" s="59">
        <f t="shared" si="9"/>
      </c>
      <c r="N211" s="69">
        <f t="shared" si="10"/>
      </c>
      <c r="P211" s="22">
        <f t="shared" si="11"/>
      </c>
    </row>
    <row r="212">
      <c r="A212" s="56">
        <f>IF($B212="","",207)</f>
      </c>
      <c r="B212" s="66">
        <f>IF(往来单位!$B$210="","",往来单位!$B$210)</f>
      </c>
      <c r="C212" s="56">
        <f>IF($B212="","",往来单位!$C$210&amp;"")</f>
      </c>
      <c r="D212" s="53">
        <f t="shared" si="0"/>
      </c>
      <c r="E212" s="53">
        <f t="shared" si="1"/>
      </c>
      <c r="F212" s="53">
        <f t="shared" si="2"/>
      </c>
      <c r="G212" s="59">
        <f t="shared" si="3"/>
      </c>
      <c r="H212" s="53">
        <f t="shared" si="4"/>
      </c>
      <c r="I212" s="53">
        <f t="shared" si="5"/>
      </c>
      <c r="J212" s="53">
        <f t="shared" si="6"/>
      </c>
      <c r="K212" s="59">
        <f t="shared" si="7"/>
      </c>
      <c r="L212" s="53">
        <f t="shared" si="8"/>
      </c>
      <c r="M212" s="59">
        <f t="shared" si="9"/>
      </c>
      <c r="N212" s="69">
        <f t="shared" si="10"/>
      </c>
      <c r="P212" s="22">
        <f t="shared" si="11"/>
      </c>
    </row>
    <row r="213">
      <c r="A213" s="56">
        <f>IF($B213="","",208)</f>
      </c>
      <c r="B213" s="66">
        <f>IF(往来单位!$B$211="","",往来单位!$B$211)</f>
      </c>
      <c r="C213" s="56">
        <f>IF($B213="","",往来单位!$C$211&amp;"")</f>
      </c>
      <c r="D213" s="53">
        <f t="shared" si="0"/>
      </c>
      <c r="E213" s="53">
        <f t="shared" si="1"/>
      </c>
      <c r="F213" s="53">
        <f t="shared" si="2"/>
      </c>
      <c r="G213" s="59">
        <f t="shared" si="3"/>
      </c>
      <c r="H213" s="53">
        <f t="shared" si="4"/>
      </c>
      <c r="I213" s="53">
        <f t="shared" si="5"/>
      </c>
      <c r="J213" s="53">
        <f t="shared" si="6"/>
      </c>
      <c r="K213" s="59">
        <f t="shared" si="7"/>
      </c>
      <c r="L213" s="53">
        <f t="shared" si="8"/>
      </c>
      <c r="M213" s="59">
        <f t="shared" si="9"/>
      </c>
      <c r="N213" s="69">
        <f t="shared" si="10"/>
      </c>
      <c r="P213" s="22">
        <f t="shared" si="11"/>
      </c>
    </row>
    <row r="214">
      <c r="A214" s="56">
        <f>IF($B214="","",209)</f>
      </c>
      <c r="B214" s="66">
        <f>IF(往来单位!$B$212="","",往来单位!$B$212)</f>
      </c>
      <c r="C214" s="56">
        <f>IF($B214="","",往来单位!$C$212&amp;"")</f>
      </c>
      <c r="D214" s="53">
        <f t="shared" si="0"/>
      </c>
      <c r="E214" s="53">
        <f t="shared" si="1"/>
      </c>
      <c r="F214" s="53">
        <f t="shared" si="2"/>
      </c>
      <c r="G214" s="59">
        <f t="shared" si="3"/>
      </c>
      <c r="H214" s="53">
        <f t="shared" si="4"/>
      </c>
      <c r="I214" s="53">
        <f t="shared" si="5"/>
      </c>
      <c r="J214" s="53">
        <f t="shared" si="6"/>
      </c>
      <c r="K214" s="59">
        <f t="shared" si="7"/>
      </c>
      <c r="L214" s="53">
        <f t="shared" si="8"/>
      </c>
      <c r="M214" s="59">
        <f t="shared" si="9"/>
      </c>
      <c r="N214" s="69">
        <f t="shared" si="10"/>
      </c>
      <c r="P214" s="22">
        <f t="shared" si="11"/>
      </c>
    </row>
    <row r="215">
      <c r="A215" s="56">
        <f>IF($B215="","",210)</f>
      </c>
      <c r="B215" s="66">
        <f>IF(往来单位!$B$213="","",往来单位!$B$213)</f>
      </c>
      <c r="C215" s="56">
        <f>IF($B215="","",往来单位!$C$213&amp;"")</f>
      </c>
      <c r="D215" s="53">
        <f t="shared" si="0"/>
      </c>
      <c r="E215" s="53">
        <f t="shared" si="1"/>
      </c>
      <c r="F215" s="53">
        <f t="shared" si="2"/>
      </c>
      <c r="G215" s="59">
        <f t="shared" si="3"/>
      </c>
      <c r="H215" s="53">
        <f t="shared" si="4"/>
      </c>
      <c r="I215" s="53">
        <f t="shared" si="5"/>
      </c>
      <c r="J215" s="53">
        <f t="shared" si="6"/>
      </c>
      <c r="K215" s="59">
        <f t="shared" si="7"/>
      </c>
      <c r="L215" s="53">
        <f t="shared" si="8"/>
      </c>
      <c r="M215" s="59">
        <f t="shared" si="9"/>
      </c>
      <c r="N215" s="69">
        <f t="shared" si="10"/>
      </c>
      <c r="P215" s="22">
        <f t="shared" si="11"/>
      </c>
    </row>
    <row r="216">
      <c r="A216" s="56">
        <f>IF($B216="","",211)</f>
      </c>
      <c r="B216" s="66">
        <f>IF(往来单位!$B$214="","",往来单位!$B$214)</f>
      </c>
      <c r="C216" s="56">
        <f>IF($B216="","",往来单位!$C$214&amp;"")</f>
      </c>
      <c r="D216" s="53">
        <f t="shared" si="0"/>
      </c>
      <c r="E216" s="53">
        <f t="shared" si="1"/>
      </c>
      <c r="F216" s="53">
        <f t="shared" si="2"/>
      </c>
      <c r="G216" s="59">
        <f t="shared" si="3"/>
      </c>
      <c r="H216" s="53">
        <f t="shared" si="4"/>
      </c>
      <c r="I216" s="53">
        <f t="shared" si="5"/>
      </c>
      <c r="J216" s="53">
        <f t="shared" si="6"/>
      </c>
      <c r="K216" s="59">
        <f t="shared" si="7"/>
      </c>
      <c r="L216" s="53">
        <f t="shared" si="8"/>
      </c>
      <c r="M216" s="59">
        <f t="shared" si="9"/>
      </c>
      <c r="N216" s="69">
        <f t="shared" si="10"/>
      </c>
      <c r="P216" s="22">
        <f t="shared" si="11"/>
      </c>
    </row>
    <row r="217">
      <c r="A217" s="56">
        <f>IF($B217="","",212)</f>
      </c>
      <c r="B217" s="66">
        <f>IF(往来单位!$B$215="","",往来单位!$B$215)</f>
      </c>
      <c r="C217" s="56">
        <f>IF($B217="","",往来单位!$C$215&amp;"")</f>
      </c>
      <c r="D217" s="53">
        <f t="shared" si="0"/>
      </c>
      <c r="E217" s="53">
        <f t="shared" si="1"/>
      </c>
      <c r="F217" s="53">
        <f t="shared" si="2"/>
      </c>
      <c r="G217" s="59">
        <f t="shared" si="3"/>
      </c>
      <c r="H217" s="53">
        <f t="shared" si="4"/>
      </c>
      <c r="I217" s="53">
        <f t="shared" si="5"/>
      </c>
      <c r="J217" s="53">
        <f t="shared" si="6"/>
      </c>
      <c r="K217" s="59">
        <f t="shared" si="7"/>
      </c>
      <c r="L217" s="53">
        <f t="shared" si="8"/>
      </c>
      <c r="M217" s="59">
        <f t="shared" si="9"/>
      </c>
      <c r="N217" s="69">
        <f t="shared" si="10"/>
      </c>
      <c r="P217" s="22">
        <f t="shared" si="11"/>
      </c>
    </row>
    <row r="218">
      <c r="A218" s="56">
        <f>IF($B218="","",213)</f>
      </c>
      <c r="B218" s="66">
        <f>IF(往来单位!$B$216="","",往来单位!$B$216)</f>
      </c>
      <c r="C218" s="56">
        <f>IF($B218="","",往来单位!$C$216&amp;"")</f>
      </c>
      <c r="D218" s="53">
        <f t="shared" si="0"/>
      </c>
      <c r="E218" s="53">
        <f t="shared" si="1"/>
      </c>
      <c r="F218" s="53">
        <f t="shared" si="2"/>
      </c>
      <c r="G218" s="59">
        <f t="shared" si="3"/>
      </c>
      <c r="H218" s="53">
        <f t="shared" si="4"/>
      </c>
      <c r="I218" s="53">
        <f t="shared" si="5"/>
      </c>
      <c r="J218" s="53">
        <f t="shared" si="6"/>
      </c>
      <c r="K218" s="59">
        <f t="shared" si="7"/>
      </c>
      <c r="L218" s="53">
        <f t="shared" si="8"/>
      </c>
      <c r="M218" s="59">
        <f t="shared" si="9"/>
      </c>
      <c r="N218" s="69">
        <f t="shared" si="10"/>
      </c>
      <c r="P218" s="22">
        <f t="shared" si="11"/>
      </c>
    </row>
    <row r="219">
      <c r="A219" s="56">
        <f>IF($B219="","",214)</f>
      </c>
      <c r="B219" s="66">
        <f>IF(往来单位!$B$217="","",往来单位!$B$217)</f>
      </c>
      <c r="C219" s="56">
        <f>IF($B219="","",往来单位!$C$217&amp;"")</f>
      </c>
      <c r="D219" s="53">
        <f t="shared" si="0"/>
      </c>
      <c r="E219" s="53">
        <f t="shared" si="1"/>
      </c>
      <c r="F219" s="53">
        <f t="shared" si="2"/>
      </c>
      <c r="G219" s="59">
        <f t="shared" si="3"/>
      </c>
      <c r="H219" s="53">
        <f t="shared" si="4"/>
      </c>
      <c r="I219" s="53">
        <f t="shared" si="5"/>
      </c>
      <c r="J219" s="53">
        <f t="shared" si="6"/>
      </c>
      <c r="K219" s="59">
        <f t="shared" si="7"/>
      </c>
      <c r="L219" s="53">
        <f t="shared" si="8"/>
      </c>
      <c r="M219" s="59">
        <f t="shared" si="9"/>
      </c>
      <c r="N219" s="69">
        <f t="shared" si="10"/>
      </c>
      <c r="P219" s="22">
        <f t="shared" si="11"/>
      </c>
    </row>
    <row r="220">
      <c r="A220" s="56">
        <f>IF($B220="","",215)</f>
      </c>
      <c r="B220" s="66">
        <f>IF(往来单位!$B$218="","",往来单位!$B$218)</f>
      </c>
      <c r="C220" s="56">
        <f>IF($B220="","",往来单位!$C$218&amp;"")</f>
      </c>
      <c r="D220" s="53">
        <f t="shared" si="0"/>
      </c>
      <c r="E220" s="53">
        <f t="shared" si="1"/>
      </c>
      <c r="F220" s="53">
        <f t="shared" si="2"/>
      </c>
      <c r="G220" s="59">
        <f t="shared" si="3"/>
      </c>
      <c r="H220" s="53">
        <f t="shared" si="4"/>
      </c>
      <c r="I220" s="53">
        <f t="shared" si="5"/>
      </c>
      <c r="J220" s="53">
        <f t="shared" si="6"/>
      </c>
      <c r="K220" s="59">
        <f t="shared" si="7"/>
      </c>
      <c r="L220" s="53">
        <f t="shared" si="8"/>
      </c>
      <c r="M220" s="59">
        <f t="shared" si="9"/>
      </c>
      <c r="N220" s="69">
        <f t="shared" si="10"/>
      </c>
      <c r="P220" s="22">
        <f t="shared" si="11"/>
      </c>
    </row>
    <row r="221">
      <c r="A221" s="56">
        <f>IF($B221="","",216)</f>
      </c>
      <c r="B221" s="66">
        <f>IF(往来单位!$B$219="","",往来单位!$B$219)</f>
      </c>
      <c r="C221" s="56">
        <f>IF($B221="","",往来单位!$C$219&amp;"")</f>
      </c>
      <c r="D221" s="53">
        <f t="shared" si="0"/>
      </c>
      <c r="E221" s="53">
        <f t="shared" si="1"/>
      </c>
      <c r="F221" s="53">
        <f t="shared" si="2"/>
      </c>
      <c r="G221" s="59">
        <f t="shared" si="3"/>
      </c>
      <c r="H221" s="53">
        <f t="shared" si="4"/>
      </c>
      <c r="I221" s="53">
        <f t="shared" si="5"/>
      </c>
      <c r="J221" s="53">
        <f t="shared" si="6"/>
      </c>
      <c r="K221" s="59">
        <f t="shared" si="7"/>
      </c>
      <c r="L221" s="53">
        <f t="shared" si="8"/>
      </c>
      <c r="M221" s="59">
        <f t="shared" si="9"/>
      </c>
      <c r="N221" s="69">
        <f t="shared" si="10"/>
      </c>
      <c r="P221" s="22">
        <f t="shared" si="11"/>
      </c>
    </row>
    <row r="222">
      <c r="A222" s="56">
        <f>IF($B222="","",217)</f>
      </c>
      <c r="B222" s="66">
        <f>IF(往来单位!$B$220="","",往来单位!$B$220)</f>
      </c>
      <c r="C222" s="56">
        <f>IF($B222="","",往来单位!$C$220&amp;"")</f>
      </c>
      <c r="D222" s="53">
        <f t="shared" si="0"/>
      </c>
      <c r="E222" s="53">
        <f t="shared" si="1"/>
      </c>
      <c r="F222" s="53">
        <f t="shared" si="2"/>
      </c>
      <c r="G222" s="59">
        <f t="shared" si="3"/>
      </c>
      <c r="H222" s="53">
        <f t="shared" si="4"/>
      </c>
      <c r="I222" s="53">
        <f t="shared" si="5"/>
      </c>
      <c r="J222" s="53">
        <f t="shared" si="6"/>
      </c>
      <c r="K222" s="59">
        <f t="shared" si="7"/>
      </c>
      <c r="L222" s="53">
        <f t="shared" si="8"/>
      </c>
      <c r="M222" s="59">
        <f t="shared" si="9"/>
      </c>
      <c r="N222" s="69">
        <f t="shared" si="10"/>
      </c>
      <c r="P222" s="22">
        <f t="shared" si="11"/>
      </c>
    </row>
    <row r="223">
      <c r="A223" s="56">
        <f>IF($B223="","",218)</f>
      </c>
      <c r="B223" s="66">
        <f>IF(往来单位!$B$221="","",往来单位!$B$221)</f>
      </c>
      <c r="C223" s="56">
        <f>IF($B223="","",往来单位!$C$221&amp;"")</f>
      </c>
      <c r="D223" s="53">
        <f t="shared" si="0"/>
      </c>
      <c r="E223" s="53">
        <f t="shared" si="1"/>
      </c>
      <c r="F223" s="53">
        <f t="shared" si="2"/>
      </c>
      <c r="G223" s="59">
        <f t="shared" si="3"/>
      </c>
      <c r="H223" s="53">
        <f t="shared" si="4"/>
      </c>
      <c r="I223" s="53">
        <f t="shared" si="5"/>
      </c>
      <c r="J223" s="53">
        <f t="shared" si="6"/>
      </c>
      <c r="K223" s="59">
        <f t="shared" si="7"/>
      </c>
      <c r="L223" s="53">
        <f t="shared" si="8"/>
      </c>
      <c r="M223" s="59">
        <f t="shared" si="9"/>
      </c>
      <c r="N223" s="69">
        <f t="shared" si="10"/>
      </c>
      <c r="P223" s="22">
        <f t="shared" si="11"/>
      </c>
    </row>
    <row r="224">
      <c r="A224" s="56">
        <f>IF($B224="","",219)</f>
      </c>
      <c r="B224" s="66">
        <f>IF(往来单位!$B$222="","",往来单位!$B$222)</f>
      </c>
      <c r="C224" s="56">
        <f>IF($B224="","",往来单位!$C$222&amp;"")</f>
      </c>
      <c r="D224" s="53">
        <f t="shared" si="0"/>
      </c>
      <c r="E224" s="53">
        <f t="shared" si="1"/>
      </c>
      <c r="F224" s="53">
        <f t="shared" si="2"/>
      </c>
      <c r="G224" s="59">
        <f t="shared" si="3"/>
      </c>
      <c r="H224" s="53">
        <f t="shared" si="4"/>
      </c>
      <c r="I224" s="53">
        <f t="shared" si="5"/>
      </c>
      <c r="J224" s="53">
        <f t="shared" si="6"/>
      </c>
      <c r="K224" s="59">
        <f t="shared" si="7"/>
      </c>
      <c r="L224" s="53">
        <f t="shared" si="8"/>
      </c>
      <c r="M224" s="59">
        <f t="shared" si="9"/>
      </c>
      <c r="N224" s="69">
        <f t="shared" si="10"/>
      </c>
      <c r="P224" s="22">
        <f t="shared" si="11"/>
      </c>
    </row>
    <row r="225">
      <c r="A225" s="56">
        <f>IF($B225="","",220)</f>
      </c>
      <c r="B225" s="66">
        <f>IF(往来单位!$B$223="","",往来单位!$B$223)</f>
      </c>
      <c r="C225" s="56">
        <f>IF($B225="","",往来单位!$C$223&amp;"")</f>
      </c>
      <c r="D225" s="53">
        <f t="shared" si="0"/>
      </c>
      <c r="E225" s="53">
        <f t="shared" si="1"/>
      </c>
      <c r="F225" s="53">
        <f t="shared" si="2"/>
      </c>
      <c r="G225" s="59">
        <f t="shared" si="3"/>
      </c>
      <c r="H225" s="53">
        <f t="shared" si="4"/>
      </c>
      <c r="I225" s="53">
        <f t="shared" si="5"/>
      </c>
      <c r="J225" s="53">
        <f t="shared" si="6"/>
      </c>
      <c r="K225" s="59">
        <f t="shared" si="7"/>
      </c>
      <c r="L225" s="53">
        <f t="shared" si="8"/>
      </c>
      <c r="M225" s="59">
        <f t="shared" si="9"/>
      </c>
      <c r="N225" s="69">
        <f t="shared" si="10"/>
      </c>
      <c r="P225" s="22">
        <f t="shared" si="11"/>
      </c>
    </row>
    <row r="226">
      <c r="A226" s="56">
        <f>IF($B226="","",221)</f>
      </c>
      <c r="B226" s="66">
        <f>IF(往来单位!$B$224="","",往来单位!$B$224)</f>
      </c>
      <c r="C226" s="56">
        <f>IF($B226="","",往来单位!$C$224&amp;"")</f>
      </c>
      <c r="D226" s="53">
        <f t="shared" si="0"/>
      </c>
      <c r="E226" s="53">
        <f t="shared" si="1"/>
      </c>
      <c r="F226" s="53">
        <f t="shared" si="2"/>
      </c>
      <c r="G226" s="59">
        <f t="shared" si="3"/>
      </c>
      <c r="H226" s="53">
        <f t="shared" si="4"/>
      </c>
      <c r="I226" s="53">
        <f t="shared" si="5"/>
      </c>
      <c r="J226" s="53">
        <f t="shared" si="6"/>
      </c>
      <c r="K226" s="59">
        <f t="shared" si="7"/>
      </c>
      <c r="L226" s="53">
        <f t="shared" si="8"/>
      </c>
      <c r="M226" s="59">
        <f t="shared" si="9"/>
      </c>
      <c r="N226" s="69">
        <f t="shared" si="10"/>
      </c>
      <c r="P226" s="22">
        <f t="shared" si="11"/>
      </c>
    </row>
    <row r="227">
      <c r="A227" s="56">
        <f>IF($B227="","",222)</f>
      </c>
      <c r="B227" s="66">
        <f>IF(往来单位!$B$225="","",往来单位!$B$225)</f>
      </c>
      <c r="C227" s="56">
        <f>IF($B227="","",往来单位!$C$225&amp;"")</f>
      </c>
      <c r="D227" s="53">
        <f t="shared" si="0"/>
      </c>
      <c r="E227" s="53">
        <f t="shared" si="1"/>
      </c>
      <c r="F227" s="53">
        <f t="shared" si="2"/>
      </c>
      <c r="G227" s="59">
        <f t="shared" si="3"/>
      </c>
      <c r="H227" s="53">
        <f t="shared" si="4"/>
      </c>
      <c r="I227" s="53">
        <f t="shared" si="5"/>
      </c>
      <c r="J227" s="53">
        <f t="shared" si="6"/>
      </c>
      <c r="K227" s="59">
        <f t="shared" si="7"/>
      </c>
      <c r="L227" s="53">
        <f t="shared" si="8"/>
      </c>
      <c r="M227" s="59">
        <f t="shared" si="9"/>
      </c>
      <c r="N227" s="69">
        <f t="shared" si="10"/>
      </c>
      <c r="P227" s="22">
        <f t="shared" si="11"/>
      </c>
    </row>
    <row r="228">
      <c r="A228" s="56">
        <f>IF($B228="","",223)</f>
      </c>
      <c r="B228" s="66">
        <f>IF(往来单位!$B$226="","",往来单位!$B$226)</f>
      </c>
      <c r="C228" s="56">
        <f>IF($B228="","",往来单位!$C$226&amp;"")</f>
      </c>
      <c r="D228" s="53">
        <f t="shared" si="0"/>
      </c>
      <c r="E228" s="53">
        <f t="shared" si="1"/>
      </c>
      <c r="F228" s="53">
        <f t="shared" si="2"/>
      </c>
      <c r="G228" s="59">
        <f t="shared" si="3"/>
      </c>
      <c r="H228" s="53">
        <f t="shared" si="4"/>
      </c>
      <c r="I228" s="53">
        <f t="shared" si="5"/>
      </c>
      <c r="J228" s="53">
        <f t="shared" si="6"/>
      </c>
      <c r="K228" s="59">
        <f t="shared" si="7"/>
      </c>
      <c r="L228" s="53">
        <f t="shared" si="8"/>
      </c>
      <c r="M228" s="59">
        <f t="shared" si="9"/>
      </c>
      <c r="N228" s="69">
        <f t="shared" si="10"/>
      </c>
      <c r="P228" s="22">
        <f t="shared" si="11"/>
      </c>
    </row>
    <row r="229">
      <c r="A229" s="56">
        <f>IF($B229="","",224)</f>
      </c>
      <c r="B229" s="66">
        <f>IF(往来单位!$B$227="","",往来单位!$B$227)</f>
      </c>
      <c r="C229" s="56">
        <f>IF($B229="","",往来单位!$C$227&amp;"")</f>
      </c>
      <c r="D229" s="53">
        <f t="shared" si="0"/>
      </c>
      <c r="E229" s="53">
        <f t="shared" si="1"/>
      </c>
      <c r="F229" s="53">
        <f t="shared" si="2"/>
      </c>
      <c r="G229" s="59">
        <f t="shared" si="3"/>
      </c>
      <c r="H229" s="53">
        <f t="shared" si="4"/>
      </c>
      <c r="I229" s="53">
        <f t="shared" si="5"/>
      </c>
      <c r="J229" s="53">
        <f t="shared" si="6"/>
      </c>
      <c r="K229" s="59">
        <f t="shared" si="7"/>
      </c>
      <c r="L229" s="53">
        <f t="shared" si="8"/>
      </c>
      <c r="M229" s="59">
        <f t="shared" si="9"/>
      </c>
      <c r="N229" s="69">
        <f t="shared" si="10"/>
      </c>
      <c r="P229" s="22">
        <f t="shared" si="11"/>
      </c>
    </row>
    <row r="230">
      <c r="A230" s="56">
        <f>IF($B230="","",225)</f>
      </c>
      <c r="B230" s="66">
        <f>IF(往来单位!$B$228="","",往来单位!$B$228)</f>
      </c>
      <c r="C230" s="56">
        <f>IF($B230="","",往来单位!$C$228&amp;"")</f>
      </c>
      <c r="D230" s="53">
        <f t="shared" si="0"/>
      </c>
      <c r="E230" s="53">
        <f t="shared" si="1"/>
      </c>
      <c r="F230" s="53">
        <f t="shared" si="2"/>
      </c>
      <c r="G230" s="59">
        <f t="shared" si="3"/>
      </c>
      <c r="H230" s="53">
        <f t="shared" si="4"/>
      </c>
      <c r="I230" s="53">
        <f t="shared" si="5"/>
      </c>
      <c r="J230" s="53">
        <f t="shared" si="6"/>
      </c>
      <c r="K230" s="59">
        <f t="shared" si="7"/>
      </c>
      <c r="L230" s="53">
        <f t="shared" si="8"/>
      </c>
      <c r="M230" s="59">
        <f t="shared" si="9"/>
      </c>
      <c r="N230" s="69">
        <f t="shared" si="10"/>
      </c>
      <c r="P230" s="22">
        <f t="shared" si="11"/>
      </c>
    </row>
    <row r="231">
      <c r="A231" s="56">
        <f>IF($B231="","",226)</f>
      </c>
      <c r="B231" s="66">
        <f>IF(往来单位!$B$229="","",往来单位!$B$229)</f>
      </c>
      <c r="C231" s="56">
        <f>IF($B231="","",往来单位!$C$229&amp;"")</f>
      </c>
      <c r="D231" s="53">
        <f t="shared" si="0"/>
      </c>
      <c r="E231" s="53">
        <f t="shared" si="1"/>
      </c>
      <c r="F231" s="53">
        <f t="shared" si="2"/>
      </c>
      <c r="G231" s="59">
        <f t="shared" si="3"/>
      </c>
      <c r="H231" s="53">
        <f t="shared" si="4"/>
      </c>
      <c r="I231" s="53">
        <f t="shared" si="5"/>
      </c>
      <c r="J231" s="53">
        <f t="shared" si="6"/>
      </c>
      <c r="K231" s="59">
        <f t="shared" si="7"/>
      </c>
      <c r="L231" s="53">
        <f t="shared" si="8"/>
      </c>
      <c r="M231" s="59">
        <f t="shared" si="9"/>
      </c>
      <c r="N231" s="69">
        <f t="shared" si="10"/>
      </c>
      <c r="P231" s="22">
        <f t="shared" si="11"/>
      </c>
    </row>
    <row r="232">
      <c r="A232" s="56">
        <f>IF($B232="","",227)</f>
      </c>
      <c r="B232" s="66">
        <f>IF(往来单位!$B$230="","",往来单位!$B$230)</f>
      </c>
      <c r="C232" s="56">
        <f>IF($B232="","",往来单位!$C$230&amp;"")</f>
      </c>
      <c r="D232" s="53">
        <f t="shared" si="0"/>
      </c>
      <c r="E232" s="53">
        <f t="shared" si="1"/>
      </c>
      <c r="F232" s="53">
        <f t="shared" si="2"/>
      </c>
      <c r="G232" s="59">
        <f t="shared" si="3"/>
      </c>
      <c r="H232" s="53">
        <f t="shared" si="4"/>
      </c>
      <c r="I232" s="53">
        <f t="shared" si="5"/>
      </c>
      <c r="J232" s="53">
        <f t="shared" si="6"/>
      </c>
      <c r="K232" s="59">
        <f t="shared" si="7"/>
      </c>
      <c r="L232" s="53">
        <f t="shared" si="8"/>
      </c>
      <c r="M232" s="59">
        <f t="shared" si="9"/>
      </c>
      <c r="N232" s="69">
        <f t="shared" si="10"/>
      </c>
      <c r="P232" s="22">
        <f t="shared" si="11"/>
      </c>
    </row>
    <row r="233">
      <c r="A233" s="56">
        <f>IF($B233="","",228)</f>
      </c>
      <c r="B233" s="66">
        <f>IF(往来单位!$B$231="","",往来单位!$B$231)</f>
      </c>
      <c r="C233" s="56">
        <f>IF($B233="","",往来单位!$C$231&amp;"")</f>
      </c>
      <c r="D233" s="53">
        <f t="shared" si="0"/>
      </c>
      <c r="E233" s="53">
        <f t="shared" si="1"/>
      </c>
      <c r="F233" s="53">
        <f t="shared" si="2"/>
      </c>
      <c r="G233" s="59">
        <f t="shared" si="3"/>
      </c>
      <c r="H233" s="53">
        <f t="shared" si="4"/>
      </c>
      <c r="I233" s="53">
        <f t="shared" si="5"/>
      </c>
      <c r="J233" s="53">
        <f t="shared" si="6"/>
      </c>
      <c r="K233" s="59">
        <f t="shared" si="7"/>
      </c>
      <c r="L233" s="53">
        <f t="shared" si="8"/>
      </c>
      <c r="M233" s="59">
        <f t="shared" si="9"/>
      </c>
      <c r="N233" s="69">
        <f t="shared" si="10"/>
      </c>
      <c r="P233" s="22">
        <f t="shared" si="11"/>
      </c>
    </row>
    <row r="234">
      <c r="A234" s="56">
        <f>IF($B234="","",229)</f>
      </c>
      <c r="B234" s="66">
        <f>IF(往来单位!$B$232="","",往来单位!$B$232)</f>
      </c>
      <c r="C234" s="56">
        <f>IF($B234="","",往来单位!$C$232&amp;"")</f>
      </c>
      <c r="D234" s="53">
        <f t="shared" si="0"/>
      </c>
      <c r="E234" s="53">
        <f t="shared" si="1"/>
      </c>
      <c r="F234" s="53">
        <f t="shared" si="2"/>
      </c>
      <c r="G234" s="59">
        <f t="shared" si="3"/>
      </c>
      <c r="H234" s="53">
        <f t="shared" si="4"/>
      </c>
      <c r="I234" s="53">
        <f t="shared" si="5"/>
      </c>
      <c r="J234" s="53">
        <f t="shared" si="6"/>
      </c>
      <c r="K234" s="59">
        <f t="shared" si="7"/>
      </c>
      <c r="L234" s="53">
        <f t="shared" si="8"/>
      </c>
      <c r="M234" s="59">
        <f t="shared" si="9"/>
      </c>
      <c r="N234" s="69">
        <f t="shared" si="10"/>
      </c>
      <c r="P234" s="22">
        <f t="shared" si="11"/>
      </c>
    </row>
    <row r="235">
      <c r="A235" s="56">
        <f>IF($B235="","",230)</f>
      </c>
      <c r="B235" s="66">
        <f>IF(往来单位!$B$233="","",往来单位!$B$233)</f>
      </c>
      <c r="C235" s="56">
        <f>IF($B235="","",往来单位!$C$233&amp;"")</f>
      </c>
      <c r="D235" s="53">
        <f t="shared" si="0"/>
      </c>
      <c r="E235" s="53">
        <f t="shared" si="1"/>
      </c>
      <c r="F235" s="53">
        <f t="shared" si="2"/>
      </c>
      <c r="G235" s="59">
        <f t="shared" si="3"/>
      </c>
      <c r="H235" s="53">
        <f t="shared" si="4"/>
      </c>
      <c r="I235" s="53">
        <f t="shared" si="5"/>
      </c>
      <c r="J235" s="53">
        <f t="shared" si="6"/>
      </c>
      <c r="K235" s="59">
        <f t="shared" si="7"/>
      </c>
      <c r="L235" s="53">
        <f t="shared" si="8"/>
      </c>
      <c r="M235" s="59">
        <f t="shared" si="9"/>
      </c>
      <c r="N235" s="69">
        <f t="shared" si="10"/>
      </c>
      <c r="P235" s="22">
        <f t="shared" si="11"/>
      </c>
    </row>
    <row r="236">
      <c r="A236" s="56">
        <f>IF($B236="","",231)</f>
      </c>
      <c r="B236" s="66">
        <f>IF(往来单位!$B$234="","",往来单位!$B$234)</f>
      </c>
      <c r="C236" s="56">
        <f>IF($B236="","",往来单位!$C$234&amp;"")</f>
      </c>
      <c r="D236" s="53">
        <f t="shared" si="0"/>
      </c>
      <c r="E236" s="53">
        <f t="shared" si="1"/>
      </c>
      <c r="F236" s="53">
        <f t="shared" si="2"/>
      </c>
      <c r="G236" s="59">
        <f t="shared" si="3"/>
      </c>
      <c r="H236" s="53">
        <f t="shared" si="4"/>
      </c>
      <c r="I236" s="53">
        <f t="shared" si="5"/>
      </c>
      <c r="J236" s="53">
        <f t="shared" si="6"/>
      </c>
      <c r="K236" s="59">
        <f t="shared" si="7"/>
      </c>
      <c r="L236" s="53">
        <f t="shared" si="8"/>
      </c>
      <c r="M236" s="59">
        <f t="shared" si="9"/>
      </c>
      <c r="N236" s="69">
        <f t="shared" si="10"/>
      </c>
      <c r="P236" s="22">
        <f t="shared" si="11"/>
      </c>
    </row>
    <row r="237">
      <c r="A237" s="56">
        <f>IF($B237="","",232)</f>
      </c>
      <c r="B237" s="66">
        <f>IF(往来单位!$B$235="","",往来单位!$B$235)</f>
      </c>
      <c r="C237" s="56">
        <f>IF($B237="","",往来单位!$C$235&amp;"")</f>
      </c>
      <c r="D237" s="53">
        <f t="shared" si="0"/>
      </c>
      <c r="E237" s="53">
        <f t="shared" si="1"/>
      </c>
      <c r="F237" s="53">
        <f t="shared" si="2"/>
      </c>
      <c r="G237" s="59">
        <f t="shared" si="3"/>
      </c>
      <c r="H237" s="53">
        <f t="shared" si="4"/>
      </c>
      <c r="I237" s="53">
        <f t="shared" si="5"/>
      </c>
      <c r="J237" s="53">
        <f t="shared" si="6"/>
      </c>
      <c r="K237" s="59">
        <f t="shared" si="7"/>
      </c>
      <c r="L237" s="53">
        <f t="shared" si="8"/>
      </c>
      <c r="M237" s="59">
        <f t="shared" si="9"/>
      </c>
      <c r="N237" s="69">
        <f t="shared" si="10"/>
      </c>
      <c r="P237" s="22">
        <f t="shared" si="11"/>
      </c>
    </row>
    <row r="238">
      <c r="A238" s="56">
        <f>IF($B238="","",233)</f>
      </c>
      <c r="B238" s="66">
        <f>IF(往来单位!$B$236="","",往来单位!$B$236)</f>
      </c>
      <c r="C238" s="56">
        <f>IF($B238="","",往来单位!$C$236&amp;"")</f>
      </c>
      <c r="D238" s="53">
        <f t="shared" si="0"/>
      </c>
      <c r="E238" s="53">
        <f t="shared" si="1"/>
      </c>
      <c r="F238" s="53">
        <f t="shared" si="2"/>
      </c>
      <c r="G238" s="59">
        <f t="shared" si="3"/>
      </c>
      <c r="H238" s="53">
        <f t="shared" si="4"/>
      </c>
      <c r="I238" s="53">
        <f t="shared" si="5"/>
      </c>
      <c r="J238" s="53">
        <f t="shared" si="6"/>
      </c>
      <c r="K238" s="59">
        <f t="shared" si="7"/>
      </c>
      <c r="L238" s="53">
        <f t="shared" si="8"/>
      </c>
      <c r="M238" s="59">
        <f t="shared" si="9"/>
      </c>
      <c r="N238" s="69">
        <f t="shared" si="10"/>
      </c>
      <c r="P238" s="22">
        <f t="shared" si="11"/>
      </c>
    </row>
    <row r="239">
      <c r="A239" s="56">
        <f>IF($B239="","",234)</f>
      </c>
      <c r="B239" s="66">
        <f>IF(往来单位!$B$237="","",往来单位!$B$237)</f>
      </c>
      <c r="C239" s="56">
        <f>IF($B239="","",往来单位!$C$237&amp;"")</f>
      </c>
      <c r="D239" s="53">
        <f t="shared" si="0"/>
      </c>
      <c r="E239" s="53">
        <f t="shared" si="1"/>
      </c>
      <c r="F239" s="53">
        <f t="shared" si="2"/>
      </c>
      <c r="G239" s="59">
        <f t="shared" si="3"/>
      </c>
      <c r="H239" s="53">
        <f t="shared" si="4"/>
      </c>
      <c r="I239" s="53">
        <f t="shared" si="5"/>
      </c>
      <c r="J239" s="53">
        <f t="shared" si="6"/>
      </c>
      <c r="K239" s="59">
        <f t="shared" si="7"/>
      </c>
      <c r="L239" s="53">
        <f t="shared" si="8"/>
      </c>
      <c r="M239" s="59">
        <f t="shared" si="9"/>
      </c>
      <c r="N239" s="69">
        <f t="shared" si="10"/>
      </c>
      <c r="P239" s="22">
        <f t="shared" si="11"/>
      </c>
    </row>
    <row r="240">
      <c r="A240" s="56">
        <f>IF($B240="","",235)</f>
      </c>
      <c r="B240" s="66">
        <f>IF(往来单位!$B$238="","",往来单位!$B$238)</f>
      </c>
      <c r="C240" s="56">
        <f>IF($B240="","",往来单位!$C$238&amp;"")</f>
      </c>
      <c r="D240" s="53">
        <f t="shared" si="0"/>
      </c>
      <c r="E240" s="53">
        <f t="shared" si="1"/>
      </c>
      <c r="F240" s="53">
        <f t="shared" si="2"/>
      </c>
      <c r="G240" s="59">
        <f t="shared" si="3"/>
      </c>
      <c r="H240" s="53">
        <f t="shared" si="4"/>
      </c>
      <c r="I240" s="53">
        <f t="shared" si="5"/>
      </c>
      <c r="J240" s="53">
        <f t="shared" si="6"/>
      </c>
      <c r="K240" s="59">
        <f t="shared" si="7"/>
      </c>
      <c r="L240" s="53">
        <f t="shared" si="8"/>
      </c>
      <c r="M240" s="59">
        <f t="shared" si="9"/>
      </c>
      <c r="N240" s="69">
        <f t="shared" si="10"/>
      </c>
      <c r="P240" s="22">
        <f t="shared" si="11"/>
      </c>
    </row>
    <row r="241">
      <c r="A241" s="56">
        <f>IF($B241="","",236)</f>
      </c>
      <c r="B241" s="66">
        <f>IF(往来单位!$B$239="","",往来单位!$B$239)</f>
      </c>
      <c r="C241" s="56">
        <f>IF($B241="","",往来单位!$C$239&amp;"")</f>
      </c>
      <c r="D241" s="53">
        <f t="shared" si="0"/>
      </c>
      <c r="E241" s="53">
        <f t="shared" si="1"/>
      </c>
      <c r="F241" s="53">
        <f t="shared" si="2"/>
      </c>
      <c r="G241" s="59">
        <f t="shared" si="3"/>
      </c>
      <c r="H241" s="53">
        <f t="shared" si="4"/>
      </c>
      <c r="I241" s="53">
        <f t="shared" si="5"/>
      </c>
      <c r="J241" s="53">
        <f t="shared" si="6"/>
      </c>
      <c r="K241" s="59">
        <f t="shared" si="7"/>
      </c>
      <c r="L241" s="53">
        <f t="shared" si="8"/>
      </c>
      <c r="M241" s="59">
        <f t="shared" si="9"/>
      </c>
      <c r="N241" s="69">
        <f t="shared" si="10"/>
      </c>
      <c r="P241" s="22">
        <f t="shared" si="11"/>
      </c>
    </row>
    <row r="242">
      <c r="A242" s="56">
        <f>IF($B242="","",237)</f>
      </c>
      <c r="B242" s="66">
        <f>IF(往来单位!$B$240="","",往来单位!$B$240)</f>
      </c>
      <c r="C242" s="56">
        <f>IF($B242="","",往来单位!$C$240&amp;"")</f>
      </c>
      <c r="D242" s="53">
        <f t="shared" si="0"/>
      </c>
      <c r="E242" s="53">
        <f t="shared" si="1"/>
      </c>
      <c r="F242" s="53">
        <f t="shared" si="2"/>
      </c>
      <c r="G242" s="59">
        <f t="shared" si="3"/>
      </c>
      <c r="H242" s="53">
        <f t="shared" si="4"/>
      </c>
      <c r="I242" s="53">
        <f t="shared" si="5"/>
      </c>
      <c r="J242" s="53">
        <f t="shared" si="6"/>
      </c>
      <c r="K242" s="59">
        <f t="shared" si="7"/>
      </c>
      <c r="L242" s="53">
        <f t="shared" si="8"/>
      </c>
      <c r="M242" s="59">
        <f t="shared" si="9"/>
      </c>
      <c r="N242" s="69">
        <f t="shared" si="10"/>
      </c>
      <c r="P242" s="22">
        <f t="shared" si="11"/>
      </c>
    </row>
    <row r="243">
      <c r="A243" s="56">
        <f>IF($B243="","",238)</f>
      </c>
      <c r="B243" s="66">
        <f>IF(往来单位!$B$241="","",往来单位!$B$241)</f>
      </c>
      <c r="C243" s="56">
        <f>IF($B243="","",往来单位!$C$241&amp;"")</f>
      </c>
      <c r="D243" s="53">
        <f t="shared" si="0"/>
      </c>
      <c r="E243" s="53">
        <f t="shared" si="1"/>
      </c>
      <c r="F243" s="53">
        <f t="shared" si="2"/>
      </c>
      <c r="G243" s="59">
        <f t="shared" si="3"/>
      </c>
      <c r="H243" s="53">
        <f t="shared" si="4"/>
      </c>
      <c r="I243" s="53">
        <f t="shared" si="5"/>
      </c>
      <c r="J243" s="53">
        <f t="shared" si="6"/>
      </c>
      <c r="K243" s="59">
        <f t="shared" si="7"/>
      </c>
      <c r="L243" s="53">
        <f t="shared" si="8"/>
      </c>
      <c r="M243" s="59">
        <f t="shared" si="9"/>
      </c>
      <c r="N243" s="69">
        <f t="shared" si="10"/>
      </c>
      <c r="P243" s="22">
        <f t="shared" si="11"/>
      </c>
    </row>
    <row r="244">
      <c r="A244" s="56">
        <f>IF($B244="","",239)</f>
      </c>
      <c r="B244" s="66">
        <f>IF(往来单位!$B$242="","",往来单位!$B$242)</f>
      </c>
      <c r="C244" s="56">
        <f>IF($B244="","",往来单位!$C$242&amp;"")</f>
      </c>
      <c r="D244" s="53">
        <f t="shared" si="0"/>
      </c>
      <c r="E244" s="53">
        <f t="shared" si="1"/>
      </c>
      <c r="F244" s="53">
        <f t="shared" si="2"/>
      </c>
      <c r="G244" s="59">
        <f t="shared" si="3"/>
      </c>
      <c r="H244" s="53">
        <f t="shared" si="4"/>
      </c>
      <c r="I244" s="53">
        <f t="shared" si="5"/>
      </c>
      <c r="J244" s="53">
        <f t="shared" si="6"/>
      </c>
      <c r="K244" s="59">
        <f t="shared" si="7"/>
      </c>
      <c r="L244" s="53">
        <f t="shared" si="8"/>
      </c>
      <c r="M244" s="59">
        <f t="shared" si="9"/>
      </c>
      <c r="N244" s="69">
        <f t="shared" si="10"/>
      </c>
      <c r="P244" s="22">
        <f t="shared" si="11"/>
      </c>
    </row>
    <row r="245">
      <c r="A245" s="56">
        <f>IF($B245="","",240)</f>
      </c>
      <c r="B245" s="66">
        <f>IF(往来单位!$B$243="","",往来单位!$B$243)</f>
      </c>
      <c r="C245" s="56">
        <f>IF($B245="","",往来单位!$C$243&amp;"")</f>
      </c>
      <c r="D245" s="53">
        <f t="shared" si="0"/>
      </c>
      <c r="E245" s="53">
        <f t="shared" si="1"/>
      </c>
      <c r="F245" s="53">
        <f t="shared" si="2"/>
      </c>
      <c r="G245" s="59">
        <f t="shared" si="3"/>
      </c>
      <c r="H245" s="53">
        <f t="shared" si="4"/>
      </c>
      <c r="I245" s="53">
        <f t="shared" si="5"/>
      </c>
      <c r="J245" s="53">
        <f t="shared" si="6"/>
      </c>
      <c r="K245" s="59">
        <f t="shared" si="7"/>
      </c>
      <c r="L245" s="53">
        <f t="shared" si="8"/>
      </c>
      <c r="M245" s="59">
        <f t="shared" si="9"/>
      </c>
      <c r="N245" s="69">
        <f t="shared" si="10"/>
      </c>
      <c r="P245" s="22">
        <f t="shared" si="11"/>
      </c>
    </row>
    <row r="246">
      <c r="A246" s="56">
        <f>IF($B246="","",241)</f>
      </c>
      <c r="B246" s="66">
        <f>IF(往来单位!$B$244="","",往来单位!$B$244)</f>
      </c>
      <c r="C246" s="56">
        <f>IF($B246="","",往来单位!$C$244&amp;"")</f>
      </c>
      <c r="D246" s="53">
        <f t="shared" si="0"/>
      </c>
      <c r="E246" s="53">
        <f t="shared" si="1"/>
      </c>
      <c r="F246" s="53">
        <f t="shared" si="2"/>
      </c>
      <c r="G246" s="59">
        <f t="shared" si="3"/>
      </c>
      <c r="H246" s="53">
        <f t="shared" si="4"/>
      </c>
      <c r="I246" s="53">
        <f t="shared" si="5"/>
      </c>
      <c r="J246" s="53">
        <f t="shared" si="6"/>
      </c>
      <c r="K246" s="59">
        <f t="shared" si="7"/>
      </c>
      <c r="L246" s="53">
        <f t="shared" si="8"/>
      </c>
      <c r="M246" s="59">
        <f t="shared" si="9"/>
      </c>
      <c r="N246" s="69">
        <f t="shared" si="10"/>
      </c>
      <c r="P246" s="22">
        <f t="shared" si="11"/>
      </c>
    </row>
    <row r="247">
      <c r="A247" s="56">
        <f>IF($B247="","",242)</f>
      </c>
      <c r="B247" s="66">
        <f>IF(往来单位!$B$245="","",往来单位!$B$245)</f>
      </c>
      <c r="C247" s="56">
        <f>IF($B247="","",往来单位!$C$245&amp;"")</f>
      </c>
      <c r="D247" s="53">
        <f t="shared" si="0"/>
      </c>
      <c r="E247" s="53">
        <f t="shared" si="1"/>
      </c>
      <c r="F247" s="53">
        <f t="shared" si="2"/>
      </c>
      <c r="G247" s="59">
        <f t="shared" si="3"/>
      </c>
      <c r="H247" s="53">
        <f t="shared" si="4"/>
      </c>
      <c r="I247" s="53">
        <f t="shared" si="5"/>
      </c>
      <c r="J247" s="53">
        <f t="shared" si="6"/>
      </c>
      <c r="K247" s="59">
        <f t="shared" si="7"/>
      </c>
      <c r="L247" s="53">
        <f t="shared" si="8"/>
      </c>
      <c r="M247" s="59">
        <f t="shared" si="9"/>
      </c>
      <c r="N247" s="69">
        <f t="shared" si="10"/>
      </c>
      <c r="P247" s="22">
        <f t="shared" si="11"/>
      </c>
    </row>
    <row r="248">
      <c r="A248" s="56">
        <f>IF($B248="","",243)</f>
      </c>
      <c r="B248" s="66">
        <f>IF(往来单位!$B$246="","",往来单位!$B$246)</f>
      </c>
      <c r="C248" s="56">
        <f>IF($B248="","",往来单位!$C$246&amp;"")</f>
      </c>
      <c r="D248" s="53">
        <f t="shared" si="0"/>
      </c>
      <c r="E248" s="53">
        <f t="shared" si="1"/>
      </c>
      <c r="F248" s="53">
        <f t="shared" si="2"/>
      </c>
      <c r="G248" s="59">
        <f t="shared" si="3"/>
      </c>
      <c r="H248" s="53">
        <f t="shared" si="4"/>
      </c>
      <c r="I248" s="53">
        <f t="shared" si="5"/>
      </c>
      <c r="J248" s="53">
        <f t="shared" si="6"/>
      </c>
      <c r="K248" s="59">
        <f t="shared" si="7"/>
      </c>
      <c r="L248" s="53">
        <f t="shared" si="8"/>
      </c>
      <c r="M248" s="59">
        <f t="shared" si="9"/>
      </c>
      <c r="N248" s="69">
        <f t="shared" si="10"/>
      </c>
      <c r="P248" s="22">
        <f t="shared" si="11"/>
      </c>
    </row>
    <row r="249">
      <c r="A249" s="56">
        <f>IF($B249="","",244)</f>
      </c>
      <c r="B249" s="66">
        <f>IF(往来单位!$B$247="","",往来单位!$B$247)</f>
      </c>
      <c r="C249" s="56">
        <f>IF($B249="","",往来单位!$C$247&amp;"")</f>
      </c>
      <c r="D249" s="53">
        <f t="shared" si="0"/>
      </c>
      <c r="E249" s="53">
        <f t="shared" si="1"/>
      </c>
      <c r="F249" s="53">
        <f t="shared" si="2"/>
      </c>
      <c r="G249" s="59">
        <f t="shared" si="3"/>
      </c>
      <c r="H249" s="53">
        <f t="shared" si="4"/>
      </c>
      <c r="I249" s="53">
        <f t="shared" si="5"/>
      </c>
      <c r="J249" s="53">
        <f t="shared" si="6"/>
      </c>
      <c r="K249" s="59">
        <f t="shared" si="7"/>
      </c>
      <c r="L249" s="53">
        <f t="shared" si="8"/>
      </c>
      <c r="M249" s="59">
        <f t="shared" si="9"/>
      </c>
      <c r="N249" s="69">
        <f t="shared" si="10"/>
      </c>
      <c r="P249" s="22">
        <f t="shared" si="11"/>
      </c>
    </row>
    <row r="250">
      <c r="A250" s="56">
        <f>IF($B250="","",245)</f>
      </c>
      <c r="B250" s="66">
        <f>IF(往来单位!$B$248="","",往来单位!$B$248)</f>
      </c>
      <c r="C250" s="56">
        <f>IF($B250="","",往来单位!$C$248&amp;"")</f>
      </c>
      <c r="D250" s="53">
        <f t="shared" si="0"/>
      </c>
      <c r="E250" s="53">
        <f t="shared" si="1"/>
      </c>
      <c r="F250" s="53">
        <f t="shared" si="2"/>
      </c>
      <c r="G250" s="59">
        <f t="shared" si="3"/>
      </c>
      <c r="H250" s="53">
        <f t="shared" si="4"/>
      </c>
      <c r="I250" s="53">
        <f t="shared" si="5"/>
      </c>
      <c r="J250" s="53">
        <f t="shared" si="6"/>
      </c>
      <c r="K250" s="59">
        <f t="shared" si="7"/>
      </c>
      <c r="L250" s="53">
        <f t="shared" si="8"/>
      </c>
      <c r="M250" s="59">
        <f t="shared" si="9"/>
      </c>
      <c r="N250" s="69">
        <f t="shared" si="10"/>
      </c>
      <c r="P250" s="22">
        <f t="shared" si="11"/>
      </c>
    </row>
    <row r="251">
      <c r="A251" s="56">
        <f>IF($B251="","",246)</f>
      </c>
      <c r="B251" s="66">
        <f>IF(往来单位!$B$249="","",往来单位!$B$249)</f>
      </c>
      <c r="C251" s="56">
        <f>IF($B251="","",往来单位!$C$249&amp;"")</f>
      </c>
      <c r="D251" s="53">
        <f t="shared" si="0"/>
      </c>
      <c r="E251" s="53">
        <f t="shared" si="1"/>
      </c>
      <c r="F251" s="53">
        <f t="shared" si="2"/>
      </c>
      <c r="G251" s="59">
        <f t="shared" si="3"/>
      </c>
      <c r="H251" s="53">
        <f t="shared" si="4"/>
      </c>
      <c r="I251" s="53">
        <f t="shared" si="5"/>
      </c>
      <c r="J251" s="53">
        <f t="shared" si="6"/>
      </c>
      <c r="K251" s="59">
        <f t="shared" si="7"/>
      </c>
      <c r="L251" s="53">
        <f t="shared" si="8"/>
      </c>
      <c r="M251" s="59">
        <f t="shared" si="9"/>
      </c>
      <c r="N251" s="69">
        <f t="shared" si="10"/>
      </c>
      <c r="P251" s="22">
        <f t="shared" si="11"/>
      </c>
    </row>
    <row r="252">
      <c r="A252" s="56">
        <f>IF($B252="","",247)</f>
      </c>
      <c r="B252" s="66">
        <f>IF(往来单位!$B$250="","",往来单位!$B$250)</f>
      </c>
      <c r="C252" s="56">
        <f>IF($B252="","",往来单位!$C$250&amp;"")</f>
      </c>
      <c r="D252" s="53">
        <f t="shared" si="0"/>
      </c>
      <c r="E252" s="53">
        <f t="shared" si="1"/>
      </c>
      <c r="F252" s="53">
        <f t="shared" si="2"/>
      </c>
      <c r="G252" s="59">
        <f t="shared" si="3"/>
      </c>
      <c r="H252" s="53">
        <f t="shared" si="4"/>
      </c>
      <c r="I252" s="53">
        <f t="shared" si="5"/>
      </c>
      <c r="J252" s="53">
        <f t="shared" si="6"/>
      </c>
      <c r="K252" s="59">
        <f t="shared" si="7"/>
      </c>
      <c r="L252" s="53">
        <f t="shared" si="8"/>
      </c>
      <c r="M252" s="59">
        <f t="shared" si="9"/>
      </c>
      <c r="N252" s="69">
        <f t="shared" si="10"/>
      </c>
      <c r="P252" s="22">
        <f t="shared" si="11"/>
      </c>
    </row>
    <row r="253">
      <c r="A253" s="56">
        <f>IF($B253="","",248)</f>
      </c>
      <c r="B253" s="66">
        <f>IF(往来单位!$B$251="","",往来单位!$B$251)</f>
      </c>
      <c r="C253" s="56">
        <f>IF($B253="","",往来单位!$C$251&amp;"")</f>
      </c>
      <c r="D253" s="53">
        <f t="shared" si="0"/>
      </c>
      <c r="E253" s="53">
        <f t="shared" si="1"/>
      </c>
      <c r="F253" s="53">
        <f t="shared" si="2"/>
      </c>
      <c r="G253" s="59">
        <f t="shared" si="3"/>
      </c>
      <c r="H253" s="53">
        <f t="shared" si="4"/>
      </c>
      <c r="I253" s="53">
        <f t="shared" si="5"/>
      </c>
      <c r="J253" s="53">
        <f t="shared" si="6"/>
      </c>
      <c r="K253" s="59">
        <f t="shared" si="7"/>
      </c>
      <c r="L253" s="53">
        <f t="shared" si="8"/>
      </c>
      <c r="M253" s="59">
        <f t="shared" si="9"/>
      </c>
      <c r="N253" s="69">
        <f t="shared" si="10"/>
      </c>
      <c r="P253" s="22">
        <f t="shared" si="11"/>
      </c>
    </row>
    <row r="254">
      <c r="A254" s="56">
        <f>IF($B254="","",249)</f>
      </c>
      <c r="B254" s="66">
        <f>IF(往来单位!$B$252="","",往来单位!$B$252)</f>
      </c>
      <c r="C254" s="56">
        <f>IF($B254="","",往来单位!$C$252&amp;"")</f>
      </c>
      <c r="D254" s="53">
        <f t="shared" si="0"/>
      </c>
      <c r="E254" s="53">
        <f t="shared" si="1"/>
      </c>
      <c r="F254" s="53">
        <f t="shared" si="2"/>
      </c>
      <c r="G254" s="59">
        <f t="shared" si="3"/>
      </c>
      <c r="H254" s="53">
        <f t="shared" si="4"/>
      </c>
      <c r="I254" s="53">
        <f t="shared" si="5"/>
      </c>
      <c r="J254" s="53">
        <f t="shared" si="6"/>
      </c>
      <c r="K254" s="59">
        <f t="shared" si="7"/>
      </c>
      <c r="L254" s="53">
        <f t="shared" si="8"/>
      </c>
      <c r="M254" s="59">
        <f t="shared" si="9"/>
      </c>
      <c r="N254" s="69">
        <f t="shared" si="10"/>
      </c>
      <c r="P254" s="22">
        <f t="shared" si="11"/>
      </c>
    </row>
    <row r="255">
      <c r="A255" s="56">
        <f>IF($B255="","",250)</f>
      </c>
      <c r="B255" s="66">
        <f>IF(往来单位!$B$253="","",往来单位!$B$253)</f>
      </c>
      <c r="C255" s="56">
        <f>IF($B255="","",往来单位!$C$253&amp;"")</f>
      </c>
      <c r="D255" s="53">
        <f t="shared" si="0"/>
      </c>
      <c r="E255" s="53">
        <f t="shared" si="1"/>
      </c>
      <c r="F255" s="53">
        <f t="shared" si="2"/>
      </c>
      <c r="G255" s="59">
        <f t="shared" si="3"/>
      </c>
      <c r="H255" s="53">
        <f t="shared" si="4"/>
      </c>
      <c r="I255" s="53">
        <f t="shared" si="5"/>
      </c>
      <c r="J255" s="53">
        <f t="shared" si="6"/>
      </c>
      <c r="K255" s="59">
        <f t="shared" si="7"/>
      </c>
      <c r="L255" s="53">
        <f t="shared" si="8"/>
      </c>
      <c r="M255" s="59">
        <f t="shared" si="9"/>
      </c>
      <c r="N255" s="69">
        <f t="shared" si="10"/>
      </c>
      <c r="P255" s="22">
        <f t="shared" si="11"/>
      </c>
    </row>
    <row r="256">
      <c r="A256" s="56">
        <f>IF($B256="","",251)</f>
      </c>
      <c r="B256" s="66">
        <f>IF(往来单位!$B$254="","",往来单位!$B$254)</f>
      </c>
      <c r="C256" s="56">
        <f>IF($B256="","",往来单位!$C$254&amp;"")</f>
      </c>
      <c r="D256" s="53">
        <f t="shared" si="0"/>
      </c>
      <c r="E256" s="53">
        <f t="shared" si="1"/>
      </c>
      <c r="F256" s="53">
        <f t="shared" si="2"/>
      </c>
      <c r="G256" s="59">
        <f t="shared" si="3"/>
      </c>
      <c r="H256" s="53">
        <f t="shared" si="4"/>
      </c>
      <c r="I256" s="53">
        <f t="shared" si="5"/>
      </c>
      <c r="J256" s="53">
        <f t="shared" si="6"/>
      </c>
      <c r="K256" s="59">
        <f t="shared" si="7"/>
      </c>
      <c r="L256" s="53">
        <f t="shared" si="8"/>
      </c>
      <c r="M256" s="59">
        <f t="shared" si="9"/>
      </c>
      <c r="N256" s="69">
        <f t="shared" si="10"/>
      </c>
      <c r="P256" s="22">
        <f t="shared" si="11"/>
      </c>
    </row>
    <row r="257">
      <c r="A257" s="56">
        <f>IF($B257="","",252)</f>
      </c>
      <c r="B257" s="66">
        <f>IF(往来单位!$B$255="","",往来单位!$B$255)</f>
      </c>
      <c r="C257" s="56">
        <f>IF($B257="","",往来单位!$C$255&amp;"")</f>
      </c>
      <c r="D257" s="53">
        <f t="shared" si="0"/>
      </c>
      <c r="E257" s="53">
        <f t="shared" si="1"/>
      </c>
      <c r="F257" s="53">
        <f t="shared" si="2"/>
      </c>
      <c r="G257" s="59">
        <f t="shared" si="3"/>
      </c>
      <c r="H257" s="53">
        <f t="shared" si="4"/>
      </c>
      <c r="I257" s="53">
        <f t="shared" si="5"/>
      </c>
      <c r="J257" s="53">
        <f t="shared" si="6"/>
      </c>
      <c r="K257" s="59">
        <f t="shared" si="7"/>
      </c>
      <c r="L257" s="53">
        <f t="shared" si="8"/>
      </c>
      <c r="M257" s="59">
        <f t="shared" si="9"/>
      </c>
      <c r="N257" s="69">
        <f t="shared" si="10"/>
      </c>
      <c r="P257" s="22">
        <f t="shared" si="11"/>
      </c>
    </row>
    <row r="258">
      <c r="A258" s="56">
        <f>IF($B258="","",253)</f>
      </c>
      <c r="B258" s="66">
        <f>IF(往来单位!$B$256="","",往来单位!$B$256)</f>
      </c>
      <c r="C258" s="56">
        <f>IF($B258="","",往来单位!$C$256&amp;"")</f>
      </c>
      <c r="D258" s="53">
        <f t="shared" si="0"/>
      </c>
      <c r="E258" s="53">
        <f t="shared" si="1"/>
      </c>
      <c r="F258" s="53">
        <f t="shared" si="2"/>
      </c>
      <c r="G258" s="59">
        <f t="shared" si="3"/>
      </c>
      <c r="H258" s="53">
        <f t="shared" si="4"/>
      </c>
      <c r="I258" s="53">
        <f t="shared" si="5"/>
      </c>
      <c r="J258" s="53">
        <f t="shared" si="6"/>
      </c>
      <c r="K258" s="59">
        <f t="shared" si="7"/>
      </c>
      <c r="L258" s="53">
        <f t="shared" si="8"/>
      </c>
      <c r="M258" s="59">
        <f t="shared" si="9"/>
      </c>
      <c r="N258" s="69">
        <f t="shared" si="10"/>
      </c>
      <c r="P258" s="22">
        <f t="shared" si="11"/>
      </c>
    </row>
    <row r="259">
      <c r="A259" s="56">
        <f>IF($B259="","",254)</f>
      </c>
      <c r="B259" s="66">
        <f>IF(往来单位!$B$257="","",往来单位!$B$257)</f>
      </c>
      <c r="C259" s="56">
        <f>IF($B259="","",往来单位!$C$257&amp;"")</f>
      </c>
      <c r="D259" s="53">
        <f t="shared" si="0"/>
      </c>
      <c r="E259" s="53">
        <f t="shared" si="1"/>
      </c>
      <c r="F259" s="53">
        <f t="shared" si="2"/>
      </c>
      <c r="G259" s="59">
        <f t="shared" si="3"/>
      </c>
      <c r="H259" s="53">
        <f t="shared" si="4"/>
      </c>
      <c r="I259" s="53">
        <f t="shared" si="5"/>
      </c>
      <c r="J259" s="53">
        <f t="shared" si="6"/>
      </c>
      <c r="K259" s="59">
        <f t="shared" si="7"/>
      </c>
      <c r="L259" s="53">
        <f t="shared" si="8"/>
      </c>
      <c r="M259" s="59">
        <f t="shared" si="9"/>
      </c>
      <c r="N259" s="69">
        <f t="shared" si="10"/>
      </c>
      <c r="P259" s="22">
        <f t="shared" si="11"/>
      </c>
    </row>
    <row r="260">
      <c r="A260" s="56">
        <f>IF($B260="","",255)</f>
      </c>
      <c r="B260" s="66">
        <f>IF(往来单位!$B$258="","",往来单位!$B$258)</f>
      </c>
      <c r="C260" s="56">
        <f>IF($B260="","",往来单位!$C$258&amp;"")</f>
      </c>
      <c r="D260" s="53">
        <f t="shared" si="0"/>
      </c>
      <c r="E260" s="53">
        <f t="shared" si="1"/>
      </c>
      <c r="F260" s="53">
        <f t="shared" si="2"/>
      </c>
      <c r="G260" s="59">
        <f t="shared" si="3"/>
      </c>
      <c r="H260" s="53">
        <f t="shared" si="4"/>
      </c>
      <c r="I260" s="53">
        <f t="shared" si="5"/>
      </c>
      <c r="J260" s="53">
        <f t="shared" si="6"/>
      </c>
      <c r="K260" s="59">
        <f t="shared" si="7"/>
      </c>
      <c r="L260" s="53">
        <f t="shared" si="8"/>
      </c>
      <c r="M260" s="59">
        <f t="shared" si="9"/>
      </c>
      <c r="N260" s="69">
        <f t="shared" si="10"/>
      </c>
      <c r="P260" s="22">
        <f t="shared" si="11"/>
      </c>
    </row>
    <row r="261">
      <c r="A261" s="56">
        <f>IF($B261="","",256)</f>
      </c>
      <c r="B261" s="66">
        <f>IF(往来单位!$B$259="","",往来单位!$B$259)</f>
      </c>
      <c r="C261" s="56">
        <f>IF($B261="","",往来单位!$C$259&amp;"")</f>
      </c>
      <c r="D261" s="53">
        <f t="shared" si="0"/>
      </c>
      <c r="E261" s="53">
        <f t="shared" si="1"/>
      </c>
      <c r="F261" s="53">
        <f t="shared" si="2"/>
      </c>
      <c r="G261" s="59">
        <f t="shared" si="3"/>
      </c>
      <c r="H261" s="53">
        <f t="shared" si="4"/>
      </c>
      <c r="I261" s="53">
        <f t="shared" si="5"/>
      </c>
      <c r="J261" s="53">
        <f t="shared" si="6"/>
      </c>
      <c r="K261" s="59">
        <f t="shared" si="7"/>
      </c>
      <c r="L261" s="53">
        <f t="shared" si="8"/>
      </c>
      <c r="M261" s="59">
        <f t="shared" si="9"/>
      </c>
      <c r="N261" s="69">
        <f t="shared" si="10"/>
      </c>
      <c r="P261" s="22">
        <f t="shared" si="11"/>
      </c>
    </row>
    <row r="262">
      <c r="A262" s="56">
        <f>IF($B262="","",257)</f>
      </c>
      <c r="B262" s="66">
        <f>IF(往来单位!$B$260="","",往来单位!$B$260)</f>
      </c>
      <c r="C262" s="56">
        <f>IF($B262="","",往来单位!$C$260&amp;"")</f>
      </c>
      <c r="D262" s="53">
        <f t="shared" si="0"/>
      </c>
      <c r="E262" s="53">
        <f t="shared" si="1"/>
      </c>
      <c r="F262" s="53">
        <f t="shared" si="2"/>
      </c>
      <c r="G262" s="59">
        <f t="shared" si="3"/>
      </c>
      <c r="H262" s="53">
        <f t="shared" si="4"/>
      </c>
      <c r="I262" s="53">
        <f t="shared" si="5"/>
      </c>
      <c r="J262" s="53">
        <f t="shared" si="6"/>
      </c>
      <c r="K262" s="59">
        <f t="shared" si="7"/>
      </c>
      <c r="L262" s="53">
        <f t="shared" si="8"/>
      </c>
      <c r="M262" s="59">
        <f t="shared" si="9"/>
      </c>
      <c r="N262" s="69">
        <f t="shared" si="10"/>
      </c>
      <c r="P262" s="22">
        <f t="shared" si="11"/>
      </c>
    </row>
    <row r="263">
      <c r="A263" s="56">
        <f>IF($B263="","",258)</f>
      </c>
      <c r="B263" s="66">
        <f>IF(往来单位!$B$261="","",往来单位!$B$261)</f>
      </c>
      <c r="C263" s="56">
        <f>IF($B263="","",往来单位!$C$261&amp;"")</f>
      </c>
      <c r="D263" s="53">
        <f t="shared" si="0"/>
      </c>
      <c r="E263" s="53">
        <f t="shared" si="1"/>
      </c>
      <c r="F263" s="53">
        <f t="shared" si="2"/>
      </c>
      <c r="G263" s="59">
        <f t="shared" si="3"/>
      </c>
      <c r="H263" s="53">
        <f t="shared" si="4"/>
      </c>
      <c r="I263" s="53">
        <f t="shared" si="5"/>
      </c>
      <c r="J263" s="53">
        <f t="shared" si="6"/>
      </c>
      <c r="K263" s="59">
        <f t="shared" si="7"/>
      </c>
      <c r="L263" s="53">
        <f t="shared" si="8"/>
      </c>
      <c r="M263" s="59">
        <f t="shared" si="9"/>
      </c>
      <c r="N263" s="69">
        <f t="shared" si="10"/>
      </c>
      <c r="P263" s="22">
        <f t="shared" si="11"/>
      </c>
    </row>
    <row r="264">
      <c r="A264" s="56">
        <f>IF($B264="","",259)</f>
      </c>
      <c r="B264" s="66">
        <f>IF(往来单位!$B$262="","",往来单位!$B$262)</f>
      </c>
      <c r="C264" s="56">
        <f>IF($B264="","",往来单位!$C$262&amp;"")</f>
      </c>
      <c r="D264" s="53">
        <f t="shared" si="0"/>
      </c>
      <c r="E264" s="53">
        <f t="shared" si="1"/>
      </c>
      <c r="F264" s="53">
        <f t="shared" si="2"/>
      </c>
      <c r="G264" s="59">
        <f t="shared" si="3"/>
      </c>
      <c r="H264" s="53">
        <f t="shared" si="4"/>
      </c>
      <c r="I264" s="53">
        <f t="shared" si="5"/>
      </c>
      <c r="J264" s="53">
        <f t="shared" si="6"/>
      </c>
      <c r="K264" s="59">
        <f t="shared" si="7"/>
      </c>
      <c r="L264" s="53">
        <f t="shared" si="8"/>
      </c>
      <c r="M264" s="59">
        <f t="shared" si="9"/>
      </c>
      <c r="N264" s="69">
        <f t="shared" si="10"/>
      </c>
      <c r="P264" s="22">
        <f t="shared" si="11"/>
      </c>
    </row>
    <row r="265">
      <c r="A265" s="56">
        <f>IF($B265="","",260)</f>
      </c>
      <c r="B265" s="66">
        <f>IF(往来单位!$B$263="","",往来单位!$B$263)</f>
      </c>
      <c r="C265" s="56">
        <f>IF($B265="","",往来单位!$C$263&amp;"")</f>
      </c>
      <c r="D265" s="53">
        <f t="shared" si="0"/>
      </c>
      <c r="E265" s="53">
        <f t="shared" si="1"/>
      </c>
      <c r="F265" s="53">
        <f t="shared" si="2"/>
      </c>
      <c r="G265" s="59">
        <f t="shared" si="3"/>
      </c>
      <c r="H265" s="53">
        <f t="shared" si="4"/>
      </c>
      <c r="I265" s="53">
        <f t="shared" si="5"/>
      </c>
      <c r="J265" s="53">
        <f t="shared" si="6"/>
      </c>
      <c r="K265" s="59">
        <f t="shared" si="7"/>
      </c>
      <c r="L265" s="53">
        <f t="shared" si="8"/>
      </c>
      <c r="M265" s="59">
        <f t="shared" si="9"/>
      </c>
      <c r="N265" s="69">
        <f t="shared" si="10"/>
      </c>
      <c r="P265" s="22">
        <f t="shared" si="11"/>
      </c>
    </row>
    <row r="266">
      <c r="A266" s="56">
        <f>IF($B266="","",261)</f>
      </c>
      <c r="B266" s="66">
        <f>IF(往来单位!$B$264="","",往来单位!$B$264)</f>
      </c>
      <c r="C266" s="56">
        <f>IF($B266="","",往来单位!$C$264&amp;"")</f>
      </c>
      <c r="D266" s="53">
        <f t="shared" si="0"/>
      </c>
      <c r="E266" s="53">
        <f t="shared" si="1"/>
      </c>
      <c r="F266" s="53">
        <f t="shared" si="2"/>
      </c>
      <c r="G266" s="59">
        <f t="shared" si="3"/>
      </c>
      <c r="H266" s="53">
        <f t="shared" si="4"/>
      </c>
      <c r="I266" s="53">
        <f t="shared" si="5"/>
      </c>
      <c r="J266" s="53">
        <f t="shared" si="6"/>
      </c>
      <c r="K266" s="59">
        <f t="shared" si="7"/>
      </c>
      <c r="L266" s="53">
        <f t="shared" si="8"/>
      </c>
      <c r="M266" s="59">
        <f t="shared" si="9"/>
      </c>
      <c r="N266" s="69">
        <f t="shared" si="10"/>
      </c>
      <c r="P266" s="22">
        <f t="shared" si="11"/>
      </c>
    </row>
    <row r="267">
      <c r="A267" s="56">
        <f>IF($B267="","",262)</f>
      </c>
      <c r="B267" s="66">
        <f>IF(往来单位!$B$265="","",往来单位!$B$265)</f>
      </c>
      <c r="C267" s="56">
        <f>IF($B267="","",往来单位!$C$265&amp;"")</f>
      </c>
      <c r="D267" s="53">
        <f t="shared" si="0"/>
      </c>
      <c r="E267" s="53">
        <f t="shared" si="1"/>
      </c>
      <c r="F267" s="53">
        <f t="shared" si="2"/>
      </c>
      <c r="G267" s="59">
        <f t="shared" si="3"/>
      </c>
      <c r="H267" s="53">
        <f t="shared" si="4"/>
      </c>
      <c r="I267" s="53">
        <f t="shared" si="5"/>
      </c>
      <c r="J267" s="53">
        <f t="shared" si="6"/>
      </c>
      <c r="K267" s="59">
        <f t="shared" si="7"/>
      </c>
      <c r="L267" s="53">
        <f t="shared" si="8"/>
      </c>
      <c r="M267" s="59">
        <f t="shared" si="9"/>
      </c>
      <c r="N267" s="69">
        <f t="shared" si="10"/>
      </c>
      <c r="P267" s="22">
        <f t="shared" si="11"/>
      </c>
    </row>
    <row r="268">
      <c r="A268" s="56">
        <f>IF($B268="","",263)</f>
      </c>
      <c r="B268" s="66">
        <f>IF(往来单位!$B$266="","",往来单位!$B$266)</f>
      </c>
      <c r="C268" s="56">
        <f>IF($B268="","",往来单位!$C$266&amp;"")</f>
      </c>
      <c r="D268" s="53">
        <f t="shared" si="0"/>
      </c>
      <c r="E268" s="53">
        <f t="shared" si="1"/>
      </c>
      <c r="F268" s="53">
        <f t="shared" si="2"/>
      </c>
      <c r="G268" s="59">
        <f t="shared" si="3"/>
      </c>
      <c r="H268" s="53">
        <f t="shared" si="4"/>
      </c>
      <c r="I268" s="53">
        <f t="shared" si="5"/>
      </c>
      <c r="J268" s="53">
        <f t="shared" si="6"/>
      </c>
      <c r="K268" s="59">
        <f t="shared" si="7"/>
      </c>
      <c r="L268" s="53">
        <f t="shared" si="8"/>
      </c>
      <c r="M268" s="59">
        <f t="shared" si="9"/>
      </c>
      <c r="N268" s="69">
        <f t="shared" si="10"/>
      </c>
      <c r="P268" s="22">
        <f t="shared" si="11"/>
      </c>
    </row>
    <row r="269">
      <c r="A269" s="56">
        <f>IF($B269="","",264)</f>
      </c>
      <c r="B269" s="66">
        <f>IF(往来单位!$B$267="","",往来单位!$B$267)</f>
      </c>
      <c r="C269" s="56">
        <f>IF($B269="","",往来单位!$C$267&amp;"")</f>
      </c>
      <c r="D269" s="53">
        <f t="shared" si="0"/>
      </c>
      <c r="E269" s="53">
        <f t="shared" si="1"/>
      </c>
      <c r="F269" s="53">
        <f t="shared" si="2"/>
      </c>
      <c r="G269" s="59">
        <f t="shared" si="3"/>
      </c>
      <c r="H269" s="53">
        <f t="shared" si="4"/>
      </c>
      <c r="I269" s="53">
        <f t="shared" si="5"/>
      </c>
      <c r="J269" s="53">
        <f t="shared" si="6"/>
      </c>
      <c r="K269" s="59">
        <f t="shared" si="7"/>
      </c>
      <c r="L269" s="53">
        <f t="shared" si="8"/>
      </c>
      <c r="M269" s="59">
        <f t="shared" si="9"/>
      </c>
      <c r="N269" s="69">
        <f t="shared" si="10"/>
      </c>
      <c r="P269" s="22">
        <f t="shared" si="11"/>
      </c>
    </row>
    <row r="270">
      <c r="A270" s="56">
        <f>IF($B270="","",265)</f>
      </c>
      <c r="B270" s="66">
        <f>IF(往来单位!$B$268="","",往来单位!$B$268)</f>
      </c>
      <c r="C270" s="56">
        <f>IF($B270="","",往来单位!$C$268&amp;"")</f>
      </c>
      <c r="D270" s="53">
        <f t="shared" si="0"/>
      </c>
      <c r="E270" s="53">
        <f t="shared" si="1"/>
      </c>
      <c r="F270" s="53">
        <f t="shared" si="2"/>
      </c>
      <c r="G270" s="59">
        <f t="shared" si="3"/>
      </c>
      <c r="H270" s="53">
        <f t="shared" si="4"/>
      </c>
      <c r="I270" s="53">
        <f t="shared" si="5"/>
      </c>
      <c r="J270" s="53">
        <f t="shared" si="6"/>
      </c>
      <c r="K270" s="59">
        <f t="shared" si="7"/>
      </c>
      <c r="L270" s="53">
        <f t="shared" si="8"/>
      </c>
      <c r="M270" s="59">
        <f t="shared" si="9"/>
      </c>
      <c r="N270" s="69">
        <f t="shared" si="10"/>
      </c>
      <c r="P270" s="22">
        <f t="shared" si="11"/>
      </c>
    </row>
    <row r="271">
      <c r="A271" s="56">
        <f>IF($B271="","",266)</f>
      </c>
      <c r="B271" s="66">
        <f>IF(往来单位!$B$269="","",往来单位!$B$269)</f>
      </c>
      <c r="C271" s="56">
        <f>IF($B271="","",往来单位!$C$269&amp;"")</f>
      </c>
      <c r="D271" s="53">
        <f t="shared" si="0"/>
      </c>
      <c r="E271" s="53">
        <f t="shared" si="1"/>
      </c>
      <c r="F271" s="53">
        <f t="shared" si="2"/>
      </c>
      <c r="G271" s="59">
        <f t="shared" si="3"/>
      </c>
      <c r="H271" s="53">
        <f t="shared" si="4"/>
      </c>
      <c r="I271" s="53">
        <f t="shared" si="5"/>
      </c>
      <c r="J271" s="53">
        <f t="shared" si="6"/>
      </c>
      <c r="K271" s="59">
        <f t="shared" si="7"/>
      </c>
      <c r="L271" s="53">
        <f t="shared" si="8"/>
      </c>
      <c r="M271" s="59">
        <f t="shared" si="9"/>
      </c>
      <c r="N271" s="69">
        <f t="shared" si="10"/>
      </c>
      <c r="P271" s="22">
        <f t="shared" si="11"/>
      </c>
    </row>
    <row r="272">
      <c r="A272" s="56">
        <f>IF($B272="","",267)</f>
      </c>
      <c r="B272" s="66">
        <f>IF(往来单位!$B$270="","",往来单位!$B$270)</f>
      </c>
      <c r="C272" s="56">
        <f>IF($B272="","",往来单位!$C$270&amp;"")</f>
      </c>
      <c r="D272" s="53">
        <f t="shared" si="0"/>
      </c>
      <c r="E272" s="53">
        <f t="shared" si="1"/>
      </c>
      <c r="F272" s="53">
        <f t="shared" si="2"/>
      </c>
      <c r="G272" s="59">
        <f t="shared" si="3"/>
      </c>
      <c r="H272" s="53">
        <f t="shared" si="4"/>
      </c>
      <c r="I272" s="53">
        <f t="shared" si="5"/>
      </c>
      <c r="J272" s="53">
        <f t="shared" si="6"/>
      </c>
      <c r="K272" s="59">
        <f t="shared" si="7"/>
      </c>
      <c r="L272" s="53">
        <f t="shared" si="8"/>
      </c>
      <c r="M272" s="59">
        <f t="shared" si="9"/>
      </c>
      <c r="N272" s="69">
        <f t="shared" si="10"/>
      </c>
      <c r="P272" s="22">
        <f t="shared" si="11"/>
      </c>
    </row>
    <row r="273">
      <c r="A273" s="56">
        <f>IF($B273="","",268)</f>
      </c>
      <c r="B273" s="66">
        <f>IF(往来单位!$B$271="","",往来单位!$B$271)</f>
      </c>
      <c r="C273" s="56">
        <f>IF($B273="","",往来单位!$C$271&amp;"")</f>
      </c>
      <c r="D273" s="53">
        <f t="shared" si="0"/>
      </c>
      <c r="E273" s="53">
        <f t="shared" si="1"/>
      </c>
      <c r="F273" s="53">
        <f t="shared" si="2"/>
      </c>
      <c r="G273" s="59">
        <f t="shared" si="3"/>
      </c>
      <c r="H273" s="53">
        <f t="shared" si="4"/>
      </c>
      <c r="I273" s="53">
        <f t="shared" si="5"/>
      </c>
      <c r="J273" s="53">
        <f t="shared" si="6"/>
      </c>
      <c r="K273" s="59">
        <f t="shared" si="7"/>
      </c>
      <c r="L273" s="53">
        <f t="shared" si="8"/>
      </c>
      <c r="M273" s="59">
        <f t="shared" si="9"/>
      </c>
      <c r="N273" s="69">
        <f t="shared" si="10"/>
      </c>
      <c r="P273" s="22">
        <f t="shared" si="11"/>
      </c>
    </row>
    <row r="274">
      <c r="A274" s="56">
        <f>IF($B274="","",269)</f>
      </c>
      <c r="B274" s="66">
        <f>IF(往来单位!$B$272="","",往来单位!$B$272)</f>
      </c>
      <c r="C274" s="56">
        <f>IF($B274="","",往来单位!$C$272&amp;"")</f>
      </c>
      <c r="D274" s="53">
        <f t="shared" si="0"/>
      </c>
      <c r="E274" s="53">
        <f t="shared" si="1"/>
      </c>
      <c r="F274" s="53">
        <f t="shared" si="2"/>
      </c>
      <c r="G274" s="59">
        <f t="shared" si="3"/>
      </c>
      <c r="H274" s="53">
        <f t="shared" si="4"/>
      </c>
      <c r="I274" s="53">
        <f t="shared" si="5"/>
      </c>
      <c r="J274" s="53">
        <f t="shared" si="6"/>
      </c>
      <c r="K274" s="59">
        <f t="shared" si="7"/>
      </c>
      <c r="L274" s="53">
        <f t="shared" si="8"/>
      </c>
      <c r="M274" s="59">
        <f t="shared" si="9"/>
      </c>
      <c r="N274" s="69">
        <f t="shared" si="10"/>
      </c>
      <c r="P274" s="22">
        <f t="shared" si="11"/>
      </c>
    </row>
    <row r="275">
      <c r="A275" s="56">
        <f>IF($B275="","",270)</f>
      </c>
      <c r="B275" s="66">
        <f>IF(往来单位!$B$273="","",往来单位!$B$273)</f>
      </c>
      <c r="C275" s="56">
        <f>IF($B275="","",往来单位!$C$273&amp;"")</f>
      </c>
      <c r="D275" s="53">
        <f t="shared" si="0"/>
      </c>
      <c r="E275" s="53">
        <f t="shared" si="1"/>
      </c>
      <c r="F275" s="53">
        <f t="shared" si="2"/>
      </c>
      <c r="G275" s="59">
        <f t="shared" si="3"/>
      </c>
      <c r="H275" s="53">
        <f t="shared" si="4"/>
      </c>
      <c r="I275" s="53">
        <f t="shared" si="5"/>
      </c>
      <c r="J275" s="53">
        <f t="shared" si="6"/>
      </c>
      <c r="K275" s="59">
        <f t="shared" si="7"/>
      </c>
      <c r="L275" s="53">
        <f t="shared" si="8"/>
      </c>
      <c r="M275" s="59">
        <f t="shared" si="9"/>
      </c>
      <c r="N275" s="69">
        <f t="shared" si="10"/>
      </c>
      <c r="P275" s="22">
        <f t="shared" si="11"/>
      </c>
    </row>
    <row r="276">
      <c r="A276" s="56">
        <f>IF($B276="","",271)</f>
      </c>
      <c r="B276" s="66">
        <f>IF(往来单位!$B$274="","",往来单位!$B$274)</f>
      </c>
      <c r="C276" s="56">
        <f>IF($B276="","",往来单位!$C$274&amp;"")</f>
      </c>
      <c r="D276" s="53">
        <f t="shared" si="0"/>
      </c>
      <c r="E276" s="53">
        <f t="shared" si="1"/>
      </c>
      <c r="F276" s="53">
        <f t="shared" si="2"/>
      </c>
      <c r="G276" s="59">
        <f t="shared" si="3"/>
      </c>
      <c r="H276" s="53">
        <f t="shared" si="4"/>
      </c>
      <c r="I276" s="53">
        <f t="shared" si="5"/>
      </c>
      <c r="J276" s="53">
        <f t="shared" si="6"/>
      </c>
      <c r="K276" s="59">
        <f t="shared" si="7"/>
      </c>
      <c r="L276" s="53">
        <f t="shared" si="8"/>
      </c>
      <c r="M276" s="59">
        <f t="shared" si="9"/>
      </c>
      <c r="N276" s="69">
        <f t="shared" si="10"/>
      </c>
      <c r="P276" s="22">
        <f t="shared" si="11"/>
      </c>
    </row>
    <row r="277">
      <c r="A277" s="56">
        <f>IF($B277="","",272)</f>
      </c>
      <c r="B277" s="66">
        <f>IF(往来单位!$B$275="","",往来单位!$B$275)</f>
      </c>
      <c r="C277" s="56">
        <f>IF($B277="","",往来单位!$C$275&amp;"")</f>
      </c>
      <c r="D277" s="53">
        <f t="shared" si="0"/>
      </c>
      <c r="E277" s="53">
        <f t="shared" si="1"/>
      </c>
      <c r="F277" s="53">
        <f t="shared" si="2"/>
      </c>
      <c r="G277" s="59">
        <f t="shared" si="3"/>
      </c>
      <c r="H277" s="53">
        <f t="shared" si="4"/>
      </c>
      <c r="I277" s="53">
        <f t="shared" si="5"/>
      </c>
      <c r="J277" s="53">
        <f t="shared" si="6"/>
      </c>
      <c r="K277" s="59">
        <f t="shared" si="7"/>
      </c>
      <c r="L277" s="53">
        <f t="shared" si="8"/>
      </c>
      <c r="M277" s="59">
        <f t="shared" si="9"/>
      </c>
      <c r="N277" s="69">
        <f t="shared" si="10"/>
      </c>
      <c r="P277" s="22">
        <f t="shared" si="11"/>
      </c>
    </row>
    <row r="278">
      <c r="A278" s="56">
        <f>IF($B278="","",273)</f>
      </c>
      <c r="B278" s="66">
        <f>IF(往来单位!$B$276="","",往来单位!$B$276)</f>
      </c>
      <c r="C278" s="56">
        <f>IF($B278="","",往来单位!$C$276&amp;"")</f>
      </c>
      <c r="D278" s="53">
        <f t="shared" si="0"/>
      </c>
      <c r="E278" s="53">
        <f t="shared" si="1"/>
      </c>
      <c r="F278" s="53">
        <f t="shared" si="2"/>
      </c>
      <c r="G278" s="59">
        <f t="shared" si="3"/>
      </c>
      <c r="H278" s="53">
        <f t="shared" si="4"/>
      </c>
      <c r="I278" s="53">
        <f t="shared" si="5"/>
      </c>
      <c r="J278" s="53">
        <f t="shared" si="6"/>
      </c>
      <c r="K278" s="59">
        <f t="shared" si="7"/>
      </c>
      <c r="L278" s="53">
        <f t="shared" si="8"/>
      </c>
      <c r="M278" s="59">
        <f t="shared" si="9"/>
      </c>
      <c r="N278" s="69">
        <f t="shared" si="10"/>
      </c>
      <c r="P278" s="22">
        <f t="shared" si="11"/>
      </c>
    </row>
    <row r="279">
      <c r="A279" s="56">
        <f>IF($B279="","",274)</f>
      </c>
      <c r="B279" s="66">
        <f>IF(往来单位!$B$277="","",往来单位!$B$277)</f>
      </c>
      <c r="C279" s="56">
        <f>IF($B279="","",往来单位!$C$277&amp;"")</f>
      </c>
      <c r="D279" s="53">
        <f t="shared" si="0"/>
      </c>
      <c r="E279" s="53">
        <f t="shared" si="1"/>
      </c>
      <c r="F279" s="53">
        <f t="shared" si="2"/>
      </c>
      <c r="G279" s="59">
        <f t="shared" si="3"/>
      </c>
      <c r="H279" s="53">
        <f t="shared" si="4"/>
      </c>
      <c r="I279" s="53">
        <f t="shared" si="5"/>
      </c>
      <c r="J279" s="53">
        <f t="shared" si="6"/>
      </c>
      <c r="K279" s="59">
        <f t="shared" si="7"/>
      </c>
      <c r="L279" s="53">
        <f t="shared" si="8"/>
      </c>
      <c r="M279" s="59">
        <f t="shared" si="9"/>
      </c>
      <c r="N279" s="69">
        <f t="shared" si="10"/>
      </c>
      <c r="P279" s="22">
        <f t="shared" si="11"/>
      </c>
    </row>
    <row r="280">
      <c r="A280" s="56">
        <f>IF($B280="","",275)</f>
      </c>
      <c r="B280" s="66">
        <f>IF(往来单位!$B$278="","",往来单位!$B$278)</f>
      </c>
      <c r="C280" s="56">
        <f>IF($B280="","",往来单位!$C$278&amp;"")</f>
      </c>
      <c r="D280" s="53">
        <f t="shared" si="0"/>
      </c>
      <c r="E280" s="53">
        <f t="shared" si="1"/>
      </c>
      <c r="F280" s="53">
        <f t="shared" si="2"/>
      </c>
      <c r="G280" s="59">
        <f t="shared" si="3"/>
      </c>
      <c r="H280" s="53">
        <f t="shared" si="4"/>
      </c>
      <c r="I280" s="53">
        <f t="shared" si="5"/>
      </c>
      <c r="J280" s="53">
        <f t="shared" si="6"/>
      </c>
      <c r="K280" s="59">
        <f t="shared" si="7"/>
      </c>
      <c r="L280" s="53">
        <f t="shared" si="8"/>
      </c>
      <c r="M280" s="59">
        <f t="shared" si="9"/>
      </c>
      <c r="N280" s="69">
        <f t="shared" si="10"/>
      </c>
      <c r="P280" s="22">
        <f t="shared" si="11"/>
      </c>
    </row>
    <row r="281">
      <c r="A281" s="56">
        <f>IF($B281="","",276)</f>
      </c>
      <c r="B281" s="66">
        <f>IF(往来单位!$B$279="","",往来单位!$B$279)</f>
      </c>
      <c r="C281" s="56">
        <f>IF($B281="","",往来单位!$C$279&amp;"")</f>
      </c>
      <c r="D281" s="53">
        <f t="shared" si="0"/>
      </c>
      <c r="E281" s="53">
        <f t="shared" si="1"/>
      </c>
      <c r="F281" s="53">
        <f t="shared" si="2"/>
      </c>
      <c r="G281" s="59">
        <f t="shared" si="3"/>
      </c>
      <c r="H281" s="53">
        <f t="shared" si="4"/>
      </c>
      <c r="I281" s="53">
        <f t="shared" si="5"/>
      </c>
      <c r="J281" s="53">
        <f t="shared" si="6"/>
      </c>
      <c r="K281" s="59">
        <f t="shared" si="7"/>
      </c>
      <c r="L281" s="53">
        <f t="shared" si="8"/>
      </c>
      <c r="M281" s="59">
        <f t="shared" si="9"/>
      </c>
      <c r="N281" s="69">
        <f t="shared" si="10"/>
      </c>
      <c r="P281" s="22">
        <f t="shared" si="11"/>
      </c>
    </row>
    <row r="282">
      <c r="A282" s="56">
        <f>IF($B282="","",277)</f>
      </c>
      <c r="B282" s="66">
        <f>IF(往来单位!$B$280="","",往来单位!$B$280)</f>
      </c>
      <c r="C282" s="56">
        <f>IF($B282="","",往来单位!$C$280&amp;"")</f>
      </c>
      <c r="D282" s="53">
        <f t="shared" si="0"/>
      </c>
      <c r="E282" s="53">
        <f t="shared" si="1"/>
      </c>
      <c r="F282" s="53">
        <f t="shared" si="2"/>
      </c>
      <c r="G282" s="59">
        <f t="shared" si="3"/>
      </c>
      <c r="H282" s="53">
        <f t="shared" si="4"/>
      </c>
      <c r="I282" s="53">
        <f t="shared" si="5"/>
      </c>
      <c r="J282" s="53">
        <f t="shared" si="6"/>
      </c>
      <c r="K282" s="59">
        <f t="shared" si="7"/>
      </c>
      <c r="L282" s="53">
        <f t="shared" si="8"/>
      </c>
      <c r="M282" s="59">
        <f t="shared" si="9"/>
      </c>
      <c r="N282" s="69">
        <f t="shared" si="10"/>
      </c>
      <c r="P282" s="22">
        <f t="shared" si="11"/>
      </c>
    </row>
    <row r="283">
      <c r="A283" s="56">
        <f>IF($B283="","",278)</f>
      </c>
      <c r="B283" s="66">
        <f>IF(往来单位!$B$281="","",往来单位!$B$281)</f>
      </c>
      <c r="C283" s="56">
        <f>IF($B283="","",往来单位!$C$281&amp;"")</f>
      </c>
      <c r="D283" s="53">
        <f t="shared" si="0"/>
      </c>
      <c r="E283" s="53">
        <f t="shared" si="1"/>
      </c>
      <c r="F283" s="53">
        <f t="shared" si="2"/>
      </c>
      <c r="G283" s="59">
        <f t="shared" si="3"/>
      </c>
      <c r="H283" s="53">
        <f t="shared" si="4"/>
      </c>
      <c r="I283" s="53">
        <f t="shared" si="5"/>
      </c>
      <c r="J283" s="53">
        <f t="shared" si="6"/>
      </c>
      <c r="K283" s="59">
        <f t="shared" si="7"/>
      </c>
      <c r="L283" s="53">
        <f t="shared" si="8"/>
      </c>
      <c r="M283" s="59">
        <f t="shared" si="9"/>
      </c>
      <c r="N283" s="69">
        <f t="shared" si="10"/>
      </c>
      <c r="P283" s="22">
        <f t="shared" si="11"/>
      </c>
    </row>
    <row r="284">
      <c r="A284" s="56">
        <f>IF($B284="","",279)</f>
      </c>
      <c r="B284" s="66">
        <f>IF(往来单位!$B$282="","",往来单位!$B$282)</f>
      </c>
      <c r="C284" s="56">
        <f>IF($B284="","",往来单位!$C$282&amp;"")</f>
      </c>
      <c r="D284" s="53">
        <f t="shared" si="0"/>
      </c>
      <c r="E284" s="53">
        <f t="shared" si="1"/>
      </c>
      <c r="F284" s="53">
        <f t="shared" si="2"/>
      </c>
      <c r="G284" s="59">
        <f t="shared" si="3"/>
      </c>
      <c r="H284" s="53">
        <f t="shared" si="4"/>
      </c>
      <c r="I284" s="53">
        <f t="shared" si="5"/>
      </c>
      <c r="J284" s="53">
        <f t="shared" si="6"/>
      </c>
      <c r="K284" s="59">
        <f t="shared" si="7"/>
      </c>
      <c r="L284" s="53">
        <f t="shared" si="8"/>
      </c>
      <c r="M284" s="59">
        <f t="shared" si="9"/>
      </c>
      <c r="N284" s="69">
        <f t="shared" si="10"/>
      </c>
      <c r="P284" s="22">
        <f t="shared" si="11"/>
      </c>
    </row>
    <row r="285">
      <c r="A285" s="56">
        <f>IF($B285="","",280)</f>
      </c>
      <c r="B285" s="66">
        <f>IF(往来单位!$B$283="","",往来单位!$B$283)</f>
      </c>
      <c r="C285" s="56">
        <f>IF($B285="","",往来单位!$C$283&amp;"")</f>
      </c>
      <c r="D285" s="53">
        <f t="shared" si="0"/>
      </c>
      <c r="E285" s="53">
        <f t="shared" si="1"/>
      </c>
      <c r="F285" s="53">
        <f t="shared" si="2"/>
      </c>
      <c r="G285" s="59">
        <f t="shared" si="3"/>
      </c>
      <c r="H285" s="53">
        <f t="shared" si="4"/>
      </c>
      <c r="I285" s="53">
        <f t="shared" si="5"/>
      </c>
      <c r="J285" s="53">
        <f t="shared" si="6"/>
      </c>
      <c r="K285" s="59">
        <f t="shared" si="7"/>
      </c>
      <c r="L285" s="53">
        <f t="shared" si="8"/>
      </c>
      <c r="M285" s="59">
        <f t="shared" si="9"/>
      </c>
      <c r="N285" s="69">
        <f t="shared" si="10"/>
      </c>
      <c r="P285" s="22">
        <f t="shared" si="11"/>
      </c>
    </row>
    <row r="286">
      <c r="A286" s="56">
        <f>IF($B286="","",281)</f>
      </c>
      <c r="B286" s="66">
        <f>IF(往来单位!$B$284="","",往来单位!$B$284)</f>
      </c>
      <c r="C286" s="56">
        <f>IF($B286="","",往来单位!$C$284&amp;"")</f>
      </c>
      <c r="D286" s="53">
        <f t="shared" si="0"/>
      </c>
      <c r="E286" s="53">
        <f t="shared" si="1"/>
      </c>
      <c r="F286" s="53">
        <f t="shared" si="2"/>
      </c>
      <c r="G286" s="59">
        <f t="shared" si="3"/>
      </c>
      <c r="H286" s="53">
        <f t="shared" si="4"/>
      </c>
      <c r="I286" s="53">
        <f t="shared" si="5"/>
      </c>
      <c r="J286" s="53">
        <f t="shared" si="6"/>
      </c>
      <c r="K286" s="59">
        <f t="shared" si="7"/>
      </c>
      <c r="L286" s="53">
        <f t="shared" si="8"/>
      </c>
      <c r="M286" s="59">
        <f t="shared" si="9"/>
      </c>
      <c r="N286" s="69">
        <f t="shared" si="10"/>
      </c>
      <c r="P286" s="22">
        <f t="shared" si="11"/>
      </c>
    </row>
    <row r="287">
      <c r="A287" s="56">
        <f>IF($B287="","",282)</f>
      </c>
      <c r="B287" s="66">
        <f>IF(往来单位!$B$285="","",往来单位!$B$285)</f>
      </c>
      <c r="C287" s="56">
        <f>IF($B287="","",往来单位!$C$285&amp;"")</f>
      </c>
      <c r="D287" s="53">
        <f t="shared" si="0"/>
      </c>
      <c r="E287" s="53">
        <f t="shared" si="1"/>
      </c>
      <c r="F287" s="53">
        <f t="shared" si="2"/>
      </c>
      <c r="G287" s="59">
        <f t="shared" si="3"/>
      </c>
      <c r="H287" s="53">
        <f t="shared" si="4"/>
      </c>
      <c r="I287" s="53">
        <f t="shared" si="5"/>
      </c>
      <c r="J287" s="53">
        <f t="shared" si="6"/>
      </c>
      <c r="K287" s="59">
        <f t="shared" si="7"/>
      </c>
      <c r="L287" s="53">
        <f t="shared" si="8"/>
      </c>
      <c r="M287" s="59">
        <f t="shared" si="9"/>
      </c>
      <c r="N287" s="69">
        <f t="shared" si="10"/>
      </c>
      <c r="P287" s="22">
        <f t="shared" si="11"/>
      </c>
    </row>
    <row r="288">
      <c r="A288" s="56">
        <f>IF($B288="","",283)</f>
      </c>
      <c r="B288" s="66">
        <f>IF(往来单位!$B$286="","",往来单位!$B$286)</f>
      </c>
      <c r="C288" s="56">
        <f>IF($B288="","",往来单位!$C$286&amp;"")</f>
      </c>
      <c r="D288" s="53">
        <f t="shared" si="0"/>
      </c>
      <c r="E288" s="53">
        <f t="shared" si="1"/>
      </c>
      <c r="F288" s="53">
        <f t="shared" si="2"/>
      </c>
      <c r="G288" s="59">
        <f t="shared" si="3"/>
      </c>
      <c r="H288" s="53">
        <f t="shared" si="4"/>
      </c>
      <c r="I288" s="53">
        <f t="shared" si="5"/>
      </c>
      <c r="J288" s="53">
        <f t="shared" si="6"/>
      </c>
      <c r="K288" s="59">
        <f t="shared" si="7"/>
      </c>
      <c r="L288" s="53">
        <f t="shared" si="8"/>
      </c>
      <c r="M288" s="59">
        <f t="shared" si="9"/>
      </c>
      <c r="N288" s="69">
        <f t="shared" si="10"/>
      </c>
      <c r="P288" s="22">
        <f t="shared" si="11"/>
      </c>
    </row>
    <row r="289">
      <c r="A289" s="56">
        <f>IF($B289="","",284)</f>
      </c>
      <c r="B289" s="66">
        <f>IF(往来单位!$B$287="","",往来单位!$B$287)</f>
      </c>
      <c r="C289" s="56">
        <f>IF($B289="","",往来单位!$C$287&amp;"")</f>
      </c>
      <c r="D289" s="53">
        <f t="shared" si="0"/>
      </c>
      <c r="E289" s="53">
        <f t="shared" si="1"/>
      </c>
      <c r="F289" s="53">
        <f t="shared" si="2"/>
      </c>
      <c r="G289" s="59">
        <f t="shared" si="3"/>
      </c>
      <c r="H289" s="53">
        <f t="shared" si="4"/>
      </c>
      <c r="I289" s="53">
        <f t="shared" si="5"/>
      </c>
      <c r="J289" s="53">
        <f t="shared" si="6"/>
      </c>
      <c r="K289" s="59">
        <f t="shared" si="7"/>
      </c>
      <c r="L289" s="53">
        <f t="shared" si="8"/>
      </c>
      <c r="M289" s="59">
        <f t="shared" si="9"/>
      </c>
      <c r="N289" s="69">
        <f t="shared" si="10"/>
      </c>
      <c r="P289" s="22">
        <f t="shared" si="11"/>
      </c>
    </row>
    <row r="290">
      <c r="A290" s="56">
        <f>IF($B290="","",285)</f>
      </c>
      <c r="B290" s="66">
        <f>IF(往来单位!$B$288="","",往来单位!$B$288)</f>
      </c>
      <c r="C290" s="56">
        <f>IF($B290="","",往来单位!$C$288&amp;"")</f>
      </c>
      <c r="D290" s="53">
        <f t="shared" si="0"/>
      </c>
      <c r="E290" s="53">
        <f t="shared" si="1"/>
      </c>
      <c r="F290" s="53">
        <f t="shared" si="2"/>
      </c>
      <c r="G290" s="59">
        <f t="shared" si="3"/>
      </c>
      <c r="H290" s="53">
        <f t="shared" si="4"/>
      </c>
      <c r="I290" s="53">
        <f t="shared" si="5"/>
      </c>
      <c r="J290" s="53">
        <f t="shared" si="6"/>
      </c>
      <c r="K290" s="59">
        <f t="shared" si="7"/>
      </c>
      <c r="L290" s="53">
        <f t="shared" si="8"/>
      </c>
      <c r="M290" s="59">
        <f t="shared" si="9"/>
      </c>
      <c r="N290" s="69">
        <f t="shared" si="10"/>
      </c>
      <c r="P290" s="22">
        <f t="shared" si="11"/>
      </c>
    </row>
    <row r="291">
      <c r="A291" s="56">
        <f>IF($B291="","",286)</f>
      </c>
      <c r="B291" s="66">
        <f>IF(往来单位!$B$289="","",往来单位!$B$289)</f>
      </c>
      <c r="C291" s="56">
        <f>IF($B291="","",往来单位!$C$289&amp;"")</f>
      </c>
      <c r="D291" s="53">
        <f t="shared" si="0"/>
      </c>
      <c r="E291" s="53">
        <f t="shared" si="1"/>
      </c>
      <c r="F291" s="53">
        <f t="shared" si="2"/>
      </c>
      <c r="G291" s="59">
        <f t="shared" si="3"/>
      </c>
      <c r="H291" s="53">
        <f t="shared" si="4"/>
      </c>
      <c r="I291" s="53">
        <f t="shared" si="5"/>
      </c>
      <c r="J291" s="53">
        <f t="shared" si="6"/>
      </c>
      <c r="K291" s="59">
        <f t="shared" si="7"/>
      </c>
      <c r="L291" s="53">
        <f t="shared" si="8"/>
      </c>
      <c r="M291" s="59">
        <f t="shared" si="9"/>
      </c>
      <c r="N291" s="69">
        <f t="shared" si="10"/>
      </c>
      <c r="P291" s="22">
        <f t="shared" si="11"/>
      </c>
    </row>
    <row r="292">
      <c r="A292" s="56">
        <f>IF($B292="","",287)</f>
      </c>
      <c r="B292" s="66">
        <f>IF(往来单位!$B$290="","",往来单位!$B$290)</f>
      </c>
      <c r="C292" s="56">
        <f>IF($B292="","",往来单位!$C$290&amp;"")</f>
      </c>
      <c r="D292" s="53">
        <f t="shared" si="0"/>
      </c>
      <c r="E292" s="53">
        <f t="shared" si="1"/>
      </c>
      <c r="F292" s="53">
        <f t="shared" si="2"/>
      </c>
      <c r="G292" s="59">
        <f t="shared" si="3"/>
      </c>
      <c r="H292" s="53">
        <f t="shared" si="4"/>
      </c>
      <c r="I292" s="53">
        <f t="shared" si="5"/>
      </c>
      <c r="J292" s="53">
        <f t="shared" si="6"/>
      </c>
      <c r="K292" s="59">
        <f t="shared" si="7"/>
      </c>
      <c r="L292" s="53">
        <f t="shared" si="8"/>
      </c>
      <c r="M292" s="59">
        <f t="shared" si="9"/>
      </c>
      <c r="N292" s="69">
        <f t="shared" si="10"/>
      </c>
      <c r="P292" s="22">
        <f t="shared" si="11"/>
      </c>
    </row>
    <row r="293">
      <c r="A293" s="56">
        <f>IF($B293="","",288)</f>
      </c>
      <c r="B293" s="66">
        <f>IF(往来单位!$B$291="","",往来单位!$B$291)</f>
      </c>
      <c r="C293" s="56">
        <f>IF($B293="","",往来单位!$C$291&amp;"")</f>
      </c>
      <c r="D293" s="53">
        <f t="shared" si="0"/>
      </c>
      <c r="E293" s="53">
        <f t="shared" si="1"/>
      </c>
      <c r="F293" s="53">
        <f t="shared" si="2"/>
      </c>
      <c r="G293" s="59">
        <f t="shared" si="3"/>
      </c>
      <c r="H293" s="53">
        <f t="shared" si="4"/>
      </c>
      <c r="I293" s="53">
        <f t="shared" si="5"/>
      </c>
      <c r="J293" s="53">
        <f t="shared" si="6"/>
      </c>
      <c r="K293" s="59">
        <f t="shared" si="7"/>
      </c>
      <c r="L293" s="53">
        <f t="shared" si="8"/>
      </c>
      <c r="M293" s="59">
        <f t="shared" si="9"/>
      </c>
      <c r="N293" s="69">
        <f t="shared" si="10"/>
      </c>
      <c r="P293" s="22">
        <f t="shared" si="11"/>
      </c>
    </row>
    <row r="294">
      <c r="A294" s="56">
        <f>IF($B294="","",289)</f>
      </c>
      <c r="B294" s="66">
        <f>IF(往来单位!$B$292="","",往来单位!$B$292)</f>
      </c>
      <c r="C294" s="56">
        <f>IF($B294="","",往来单位!$C$292&amp;"")</f>
      </c>
      <c r="D294" s="53">
        <f t="shared" si="0"/>
      </c>
      <c r="E294" s="53">
        <f t="shared" si="1"/>
      </c>
      <c r="F294" s="53">
        <f t="shared" si="2"/>
      </c>
      <c r="G294" s="59">
        <f t="shared" si="3"/>
      </c>
      <c r="H294" s="53">
        <f t="shared" si="4"/>
      </c>
      <c r="I294" s="53">
        <f t="shared" si="5"/>
      </c>
      <c r="J294" s="53">
        <f t="shared" si="6"/>
      </c>
      <c r="K294" s="59">
        <f t="shared" si="7"/>
      </c>
      <c r="L294" s="53">
        <f t="shared" si="8"/>
      </c>
      <c r="M294" s="59">
        <f t="shared" si="9"/>
      </c>
      <c r="N294" s="69">
        <f t="shared" si="10"/>
      </c>
      <c r="P294" s="22">
        <f t="shared" si="11"/>
      </c>
    </row>
    <row r="295">
      <c r="A295" s="56">
        <f>IF($B295="","",290)</f>
      </c>
      <c r="B295" s="66">
        <f>IF(往来单位!$B$293="","",往来单位!$B$293)</f>
      </c>
      <c r="C295" s="56">
        <f>IF($B295="","",往来单位!$C$293&amp;"")</f>
      </c>
      <c r="D295" s="53">
        <f t="shared" si="0"/>
      </c>
      <c r="E295" s="53">
        <f t="shared" si="1"/>
      </c>
      <c r="F295" s="53">
        <f t="shared" si="2"/>
      </c>
      <c r="G295" s="59">
        <f t="shared" si="3"/>
      </c>
      <c r="H295" s="53">
        <f t="shared" si="4"/>
      </c>
      <c r="I295" s="53">
        <f t="shared" si="5"/>
      </c>
      <c r="J295" s="53">
        <f t="shared" si="6"/>
      </c>
      <c r="K295" s="59">
        <f t="shared" si="7"/>
      </c>
      <c r="L295" s="53">
        <f t="shared" si="8"/>
      </c>
      <c r="M295" s="59">
        <f t="shared" si="9"/>
      </c>
      <c r="N295" s="69">
        <f t="shared" si="10"/>
      </c>
      <c r="P295" s="22">
        <f t="shared" si="11"/>
      </c>
    </row>
    <row r="296">
      <c r="A296" s="56">
        <f>IF($B296="","",291)</f>
      </c>
      <c r="B296" s="66">
        <f>IF(往来单位!$B$294="","",往来单位!$B$294)</f>
      </c>
      <c r="C296" s="56">
        <f>IF($B296="","",往来单位!$C$294&amp;"")</f>
      </c>
      <c r="D296" s="53">
        <f t="shared" si="0"/>
      </c>
      <c r="E296" s="53">
        <f t="shared" si="1"/>
      </c>
      <c r="F296" s="53">
        <f t="shared" si="2"/>
      </c>
      <c r="G296" s="59">
        <f t="shared" si="3"/>
      </c>
      <c r="H296" s="53">
        <f t="shared" si="4"/>
      </c>
      <c r="I296" s="53">
        <f t="shared" si="5"/>
      </c>
      <c r="J296" s="53">
        <f t="shared" si="6"/>
      </c>
      <c r="K296" s="59">
        <f t="shared" si="7"/>
      </c>
      <c r="L296" s="53">
        <f t="shared" si="8"/>
      </c>
      <c r="M296" s="59">
        <f t="shared" si="9"/>
      </c>
      <c r="N296" s="69">
        <f t="shared" si="10"/>
      </c>
      <c r="P296" s="22">
        <f t="shared" si="11"/>
      </c>
    </row>
    <row r="297">
      <c r="A297" s="56">
        <f>IF($B297="","",292)</f>
      </c>
      <c r="B297" s="66">
        <f>IF(往来单位!$B$295="","",往来单位!$B$295)</f>
      </c>
      <c r="C297" s="56">
        <f>IF($B297="","",往来单位!$C$295&amp;"")</f>
      </c>
      <c r="D297" s="53">
        <f t="shared" si="0"/>
      </c>
      <c r="E297" s="53">
        <f t="shared" si="1"/>
      </c>
      <c r="F297" s="53">
        <f t="shared" si="2"/>
      </c>
      <c r="G297" s="59">
        <f t="shared" si="3"/>
      </c>
      <c r="H297" s="53">
        <f t="shared" si="4"/>
      </c>
      <c r="I297" s="53">
        <f t="shared" si="5"/>
      </c>
      <c r="J297" s="53">
        <f t="shared" si="6"/>
      </c>
      <c r="K297" s="59">
        <f t="shared" si="7"/>
      </c>
      <c r="L297" s="53">
        <f t="shared" si="8"/>
      </c>
      <c r="M297" s="59">
        <f t="shared" si="9"/>
      </c>
      <c r="N297" s="69">
        <f t="shared" si="10"/>
      </c>
      <c r="P297" s="22">
        <f t="shared" si="11"/>
      </c>
    </row>
    <row r="298">
      <c r="A298" s="56">
        <f>IF($B298="","",293)</f>
      </c>
      <c r="B298" s="66">
        <f>IF(往来单位!$B$296="","",往来单位!$B$296)</f>
      </c>
      <c r="C298" s="56">
        <f>IF($B298="","",往来单位!$C$296&amp;"")</f>
      </c>
      <c r="D298" s="53">
        <f t="shared" si="0"/>
      </c>
      <c r="E298" s="53">
        <f t="shared" si="1"/>
      </c>
      <c r="F298" s="53">
        <f t="shared" si="2"/>
      </c>
      <c r="G298" s="59">
        <f t="shared" si="3"/>
      </c>
      <c r="H298" s="53">
        <f t="shared" si="4"/>
      </c>
      <c r="I298" s="53">
        <f t="shared" si="5"/>
      </c>
      <c r="J298" s="53">
        <f t="shared" si="6"/>
      </c>
      <c r="K298" s="59">
        <f t="shared" si="7"/>
      </c>
      <c r="L298" s="53">
        <f t="shared" si="8"/>
      </c>
      <c r="M298" s="59">
        <f t="shared" si="9"/>
      </c>
      <c r="N298" s="69">
        <f t="shared" si="10"/>
      </c>
      <c r="P298" s="22">
        <f t="shared" si="11"/>
      </c>
    </row>
    <row r="299">
      <c r="A299" s="56">
        <f>IF($B299="","",294)</f>
      </c>
      <c r="B299" s="66">
        <f>IF(往来单位!$B$297="","",往来单位!$B$297)</f>
      </c>
      <c r="C299" s="56">
        <f>IF($B299="","",往来单位!$C$297&amp;"")</f>
      </c>
      <c r="D299" s="53">
        <f t="shared" si="0"/>
      </c>
      <c r="E299" s="53">
        <f t="shared" si="1"/>
      </c>
      <c r="F299" s="53">
        <f t="shared" si="2"/>
      </c>
      <c r="G299" s="59">
        <f t="shared" si="3"/>
      </c>
      <c r="H299" s="53">
        <f t="shared" si="4"/>
      </c>
      <c r="I299" s="53">
        <f t="shared" si="5"/>
      </c>
      <c r="J299" s="53">
        <f t="shared" si="6"/>
      </c>
      <c r="K299" s="59">
        <f t="shared" si="7"/>
      </c>
      <c r="L299" s="53">
        <f t="shared" si="8"/>
      </c>
      <c r="M299" s="59">
        <f t="shared" si="9"/>
      </c>
      <c r="N299" s="69">
        <f t="shared" si="10"/>
      </c>
      <c r="P299" s="22">
        <f t="shared" si="11"/>
      </c>
    </row>
    <row r="300">
      <c r="A300" s="56">
        <f>IF($B300="","",295)</f>
      </c>
      <c r="B300" s="66">
        <f>IF(往来单位!$B$298="","",往来单位!$B$298)</f>
      </c>
      <c r="C300" s="56">
        <f>IF($B300="","",往来单位!$C$298&amp;"")</f>
      </c>
      <c r="D300" s="53">
        <f t="shared" si="0"/>
      </c>
      <c r="E300" s="53">
        <f t="shared" si="1"/>
      </c>
      <c r="F300" s="53">
        <f t="shared" si="2"/>
      </c>
      <c r="G300" s="59">
        <f t="shared" si="3"/>
      </c>
      <c r="H300" s="53">
        <f t="shared" si="4"/>
      </c>
      <c r="I300" s="53">
        <f t="shared" si="5"/>
      </c>
      <c r="J300" s="53">
        <f t="shared" si="6"/>
      </c>
      <c r="K300" s="59">
        <f t="shared" si="7"/>
      </c>
      <c r="L300" s="53">
        <f t="shared" si="8"/>
      </c>
      <c r="M300" s="59">
        <f t="shared" si="9"/>
      </c>
      <c r="N300" s="69">
        <f t="shared" si="10"/>
      </c>
      <c r="P300" s="22">
        <f t="shared" si="11"/>
      </c>
    </row>
    <row r="301">
      <c r="A301" s="56">
        <f>IF($B301="","",296)</f>
      </c>
      <c r="B301" s="66">
        <f>IF(往来单位!$B$299="","",往来单位!$B$299)</f>
      </c>
      <c r="C301" s="56">
        <f>IF($B301="","",往来单位!$C$299&amp;"")</f>
      </c>
      <c r="D301" s="53">
        <f t="shared" si="0"/>
      </c>
      <c r="E301" s="53">
        <f t="shared" si="1"/>
      </c>
      <c r="F301" s="53">
        <f t="shared" si="2"/>
      </c>
      <c r="G301" s="59">
        <f t="shared" si="3"/>
      </c>
      <c r="H301" s="53">
        <f t="shared" si="4"/>
      </c>
      <c r="I301" s="53">
        <f t="shared" si="5"/>
      </c>
      <c r="J301" s="53">
        <f t="shared" si="6"/>
      </c>
      <c r="K301" s="59">
        <f t="shared" si="7"/>
      </c>
      <c r="L301" s="53">
        <f t="shared" si="8"/>
      </c>
      <c r="M301" s="59">
        <f t="shared" si="9"/>
      </c>
      <c r="N301" s="69">
        <f t="shared" si="10"/>
      </c>
      <c r="P301" s="22">
        <f t="shared" si="11"/>
      </c>
    </row>
    <row r="302">
      <c r="A302" s="56">
        <f>IF($B302="","",297)</f>
      </c>
      <c r="B302" s="66">
        <f>IF(往来单位!$B$300="","",往来单位!$B$300)</f>
      </c>
      <c r="C302" s="56">
        <f>IF($B302="","",往来单位!$C$300&amp;"")</f>
      </c>
      <c r="D302" s="53">
        <f t="shared" si="0"/>
      </c>
      <c r="E302" s="53">
        <f t="shared" si="1"/>
      </c>
      <c r="F302" s="53">
        <f t="shared" si="2"/>
      </c>
      <c r="G302" s="59">
        <f t="shared" si="3"/>
      </c>
      <c r="H302" s="53">
        <f t="shared" si="4"/>
      </c>
      <c r="I302" s="53">
        <f t="shared" si="5"/>
      </c>
      <c r="J302" s="53">
        <f t="shared" si="6"/>
      </c>
      <c r="K302" s="59">
        <f t="shared" si="7"/>
      </c>
      <c r="L302" s="53">
        <f t="shared" si="8"/>
      </c>
      <c r="M302" s="59">
        <f t="shared" si="9"/>
      </c>
      <c r="N302" s="69">
        <f t="shared" si="10"/>
      </c>
      <c r="P302" s="22">
        <f t="shared" si="11"/>
      </c>
    </row>
    <row r="303">
      <c r="A303" s="56">
        <f>IF($B303="","",298)</f>
      </c>
      <c r="B303" s="66">
        <f>IF(往来单位!$B$301="","",往来单位!$B$301)</f>
      </c>
      <c r="C303" s="56">
        <f>IF($B303="","",往来单位!$C$301&amp;"")</f>
      </c>
      <c r="D303" s="53">
        <f t="shared" si="0"/>
      </c>
      <c r="E303" s="53">
        <f t="shared" si="1"/>
      </c>
      <c r="F303" s="53">
        <f t="shared" si="2"/>
      </c>
      <c r="G303" s="59">
        <f t="shared" si="3"/>
      </c>
      <c r="H303" s="53">
        <f t="shared" si="4"/>
      </c>
      <c r="I303" s="53">
        <f t="shared" si="5"/>
      </c>
      <c r="J303" s="53">
        <f t="shared" si="6"/>
      </c>
      <c r="K303" s="59">
        <f t="shared" si="7"/>
      </c>
      <c r="L303" s="53">
        <f t="shared" si="8"/>
      </c>
      <c r="M303" s="59">
        <f t="shared" si="9"/>
      </c>
      <c r="N303" s="69">
        <f t="shared" si="10"/>
      </c>
      <c r="P303" s="22">
        <f t="shared" si="11"/>
      </c>
    </row>
    <row r="304">
      <c r="A304" s="56">
        <f>IF($B304="","",299)</f>
      </c>
      <c r="B304" s="66">
        <f>IF(往来单位!$B$302="","",往来单位!$B$302)</f>
      </c>
      <c r="C304" s="56">
        <f>IF($B304="","",往来单位!$C$302&amp;"")</f>
      </c>
      <c r="D304" s="53">
        <f t="shared" si="0"/>
      </c>
      <c r="E304" s="53">
        <f t="shared" si="1"/>
      </c>
      <c r="F304" s="53">
        <f t="shared" si="2"/>
      </c>
      <c r="G304" s="59">
        <f t="shared" si="3"/>
      </c>
      <c r="H304" s="53">
        <f t="shared" si="4"/>
      </c>
      <c r="I304" s="53">
        <f t="shared" si="5"/>
      </c>
      <c r="J304" s="53">
        <f t="shared" si="6"/>
      </c>
      <c r="K304" s="59">
        <f t="shared" si="7"/>
      </c>
      <c r="L304" s="53">
        <f t="shared" si="8"/>
      </c>
      <c r="M304" s="59">
        <f t="shared" si="9"/>
      </c>
      <c r="N304" s="69">
        <f t="shared" si="10"/>
      </c>
      <c r="P304" s="22">
        <f t="shared" si="11"/>
      </c>
    </row>
    <row r="305">
      <c r="A305" s="56">
        <f>IF($B305="","",300)</f>
      </c>
      <c r="B305" s="66">
        <f>IF(往来单位!$B$303="","",往来单位!$B$303)</f>
      </c>
      <c r="C305" s="56">
        <f>IF($B305="","",往来单位!$C$303&amp;"")</f>
      </c>
      <c r="D305" s="53">
        <f t="shared" si="0"/>
      </c>
      <c r="E305" s="53">
        <f t="shared" si="1"/>
      </c>
      <c r="F305" s="53">
        <f t="shared" si="2"/>
      </c>
      <c r="G305" s="59">
        <f t="shared" si="3"/>
      </c>
      <c r="H305" s="53">
        <f t="shared" si="4"/>
      </c>
      <c r="I305" s="53">
        <f t="shared" si="5"/>
      </c>
      <c r="J305" s="53">
        <f t="shared" si="6"/>
      </c>
      <c r="K305" s="59">
        <f t="shared" si="7"/>
      </c>
      <c r="L305" s="53">
        <f t="shared" si="8"/>
      </c>
      <c r="M305" s="59">
        <f t="shared" si="9"/>
      </c>
      <c r="N305" s="69">
        <f t="shared" si="10"/>
      </c>
      <c r="P305" s="22">
        <f t="shared" si="11"/>
      </c>
    </row>
    <row r="306">
      <c r="A306" s="56">
        <f>IF($B306="","",301)</f>
      </c>
      <c r="B306" s="66">
        <f>IF(往来单位!$B$304="","",往来单位!$B$304)</f>
      </c>
      <c r="C306" s="56">
        <f>IF($B306="","",往来单位!$C$304&amp;"")</f>
      </c>
      <c r="D306" s="53">
        <f t="shared" si="0"/>
      </c>
      <c r="E306" s="53">
        <f t="shared" si="1"/>
      </c>
      <c r="F306" s="53">
        <f t="shared" si="2"/>
      </c>
      <c r="G306" s="59">
        <f t="shared" si="3"/>
      </c>
      <c r="H306" s="53">
        <f t="shared" si="4"/>
      </c>
      <c r="I306" s="53">
        <f t="shared" si="5"/>
      </c>
      <c r="J306" s="53">
        <f t="shared" si="6"/>
      </c>
      <c r="K306" s="59">
        <f t="shared" si="7"/>
      </c>
      <c r="L306" s="53">
        <f t="shared" si="8"/>
      </c>
      <c r="M306" s="59">
        <f t="shared" si="9"/>
      </c>
      <c r="N306" s="69">
        <f t="shared" si="10"/>
      </c>
      <c r="P306" s="22">
        <f t="shared" si="11"/>
      </c>
    </row>
    <row r="307">
      <c r="A307" s="56">
        <f>IF($B307="","",302)</f>
      </c>
      <c r="B307" s="66">
        <f>IF(往来单位!$B$305="","",往来单位!$B$305)</f>
      </c>
      <c r="C307" s="56">
        <f>IF($B307="","",往来单位!$C$305&amp;"")</f>
      </c>
      <c r="D307" s="53">
        <f t="shared" si="0"/>
      </c>
      <c r="E307" s="53">
        <f t="shared" si="1"/>
      </c>
      <c r="F307" s="53">
        <f t="shared" si="2"/>
      </c>
      <c r="G307" s="59">
        <f t="shared" si="3"/>
      </c>
      <c r="H307" s="53">
        <f t="shared" si="4"/>
      </c>
      <c r="I307" s="53">
        <f t="shared" si="5"/>
      </c>
      <c r="J307" s="53">
        <f t="shared" si="6"/>
      </c>
      <c r="K307" s="59">
        <f t="shared" si="7"/>
      </c>
      <c r="L307" s="53">
        <f t="shared" si="8"/>
      </c>
      <c r="M307" s="59">
        <f t="shared" si="9"/>
      </c>
      <c r="N307" s="69">
        <f t="shared" si="10"/>
      </c>
      <c r="P307" s="22">
        <f t="shared" si="11"/>
      </c>
    </row>
    <row r="308">
      <c r="A308" s="56">
        <f>IF($B308="","",303)</f>
      </c>
      <c r="B308" s="66">
        <f>IF(往来单位!$B$306="","",往来单位!$B$306)</f>
      </c>
      <c r="C308" s="56">
        <f>IF($B308="","",往来单位!$C$306&amp;"")</f>
      </c>
      <c r="D308" s="53">
        <f t="shared" si="0"/>
      </c>
      <c r="E308" s="53">
        <f t="shared" si="1"/>
      </c>
      <c r="F308" s="53">
        <f t="shared" si="2"/>
      </c>
      <c r="G308" s="59">
        <f t="shared" si="3"/>
      </c>
      <c r="H308" s="53">
        <f t="shared" si="4"/>
      </c>
      <c r="I308" s="53">
        <f t="shared" si="5"/>
      </c>
      <c r="J308" s="53">
        <f t="shared" si="6"/>
      </c>
      <c r="K308" s="59">
        <f t="shared" si="7"/>
      </c>
      <c r="L308" s="53">
        <f t="shared" si="8"/>
      </c>
      <c r="M308" s="59">
        <f t="shared" si="9"/>
      </c>
      <c r="N308" s="69">
        <f t="shared" si="10"/>
      </c>
      <c r="P308" s="22">
        <f t="shared" si="11"/>
      </c>
    </row>
    <row r="309">
      <c r="A309" s="56">
        <f>IF($B309="","",304)</f>
      </c>
      <c r="B309" s="66">
        <f>IF(往来单位!$B$307="","",往来单位!$B$307)</f>
      </c>
      <c r="C309" s="56">
        <f>IF($B309="","",往来单位!$C$307&amp;"")</f>
      </c>
      <c r="D309" s="53">
        <f t="shared" si="0"/>
      </c>
      <c r="E309" s="53">
        <f t="shared" si="1"/>
      </c>
      <c r="F309" s="53">
        <f t="shared" si="2"/>
      </c>
      <c r="G309" s="59">
        <f t="shared" si="3"/>
      </c>
      <c r="H309" s="53">
        <f t="shared" si="4"/>
      </c>
      <c r="I309" s="53">
        <f t="shared" si="5"/>
      </c>
      <c r="J309" s="53">
        <f t="shared" si="6"/>
      </c>
      <c r="K309" s="59">
        <f t="shared" si="7"/>
      </c>
      <c r="L309" s="53">
        <f t="shared" si="8"/>
      </c>
      <c r="M309" s="59">
        <f t="shared" si="9"/>
      </c>
      <c r="N309" s="69">
        <f t="shared" si="10"/>
      </c>
      <c r="P309" s="22">
        <f t="shared" si="11"/>
      </c>
    </row>
    <row r="310">
      <c r="A310" s="56">
        <f>IF($B310="","",305)</f>
      </c>
      <c r="B310" s="66">
        <f>IF(往来单位!$B$308="","",往来单位!$B$308)</f>
      </c>
      <c r="C310" s="56">
        <f>IF($B310="","",往来单位!$C$308&amp;"")</f>
      </c>
      <c r="D310" s="53">
        <f t="shared" si="0"/>
      </c>
      <c r="E310" s="53">
        <f t="shared" si="1"/>
      </c>
      <c r="F310" s="53">
        <f t="shared" si="2"/>
      </c>
      <c r="G310" s="59">
        <f t="shared" si="3"/>
      </c>
      <c r="H310" s="53">
        <f t="shared" si="4"/>
      </c>
      <c r="I310" s="53">
        <f t="shared" si="5"/>
      </c>
      <c r="J310" s="53">
        <f t="shared" si="6"/>
      </c>
      <c r="K310" s="59">
        <f t="shared" si="7"/>
      </c>
      <c r="L310" s="53">
        <f t="shared" si="8"/>
      </c>
      <c r="M310" s="59">
        <f t="shared" si="9"/>
      </c>
      <c r="N310" s="69">
        <f t="shared" si="10"/>
      </c>
      <c r="P310" s="22">
        <f t="shared" si="11"/>
      </c>
    </row>
    <row r="311">
      <c r="A311" s="56">
        <f>IF($B311="","",306)</f>
      </c>
      <c r="B311" s="66">
        <f>IF(往来单位!$B$309="","",往来单位!$B$309)</f>
      </c>
      <c r="C311" s="56">
        <f>IF($B311="","",往来单位!$C$309&amp;"")</f>
      </c>
      <c r="D311" s="53">
        <f t="shared" si="0"/>
      </c>
      <c r="E311" s="53">
        <f t="shared" si="1"/>
      </c>
      <c r="F311" s="53">
        <f t="shared" si="2"/>
      </c>
      <c r="G311" s="59">
        <f t="shared" si="3"/>
      </c>
      <c r="H311" s="53">
        <f t="shared" si="4"/>
      </c>
      <c r="I311" s="53">
        <f t="shared" si="5"/>
      </c>
      <c r="J311" s="53">
        <f t="shared" si="6"/>
      </c>
      <c r="K311" s="59">
        <f t="shared" si="7"/>
      </c>
      <c r="L311" s="53">
        <f t="shared" si="8"/>
      </c>
      <c r="M311" s="59">
        <f t="shared" si="9"/>
      </c>
      <c r="N311" s="69">
        <f t="shared" si="10"/>
      </c>
      <c r="P311" s="22">
        <f t="shared" si="11"/>
      </c>
    </row>
    <row r="312">
      <c r="A312" s="56">
        <f>IF($B312="","",307)</f>
      </c>
      <c r="B312" s="66">
        <f>IF(往来单位!$B$310="","",往来单位!$B$310)</f>
      </c>
      <c r="C312" s="56">
        <f>IF($B312="","",往来单位!$C$310&amp;"")</f>
      </c>
      <c r="D312" s="53">
        <f t="shared" si="0"/>
      </c>
      <c r="E312" s="53">
        <f t="shared" si="1"/>
      </c>
      <c r="F312" s="53">
        <f t="shared" si="2"/>
      </c>
      <c r="G312" s="59">
        <f t="shared" si="3"/>
      </c>
      <c r="H312" s="53">
        <f t="shared" si="4"/>
      </c>
      <c r="I312" s="53">
        <f t="shared" si="5"/>
      </c>
      <c r="J312" s="53">
        <f t="shared" si="6"/>
      </c>
      <c r="K312" s="59">
        <f t="shared" si="7"/>
      </c>
      <c r="L312" s="53">
        <f t="shared" si="8"/>
      </c>
      <c r="M312" s="59">
        <f t="shared" si="9"/>
      </c>
      <c r="N312" s="69">
        <f t="shared" si="10"/>
      </c>
      <c r="P312" s="22">
        <f t="shared" si="11"/>
      </c>
    </row>
    <row r="313">
      <c r="A313" s="56">
        <f>IF($B313="","",308)</f>
      </c>
      <c r="B313" s="66">
        <f>IF(往来单位!$B$311="","",往来单位!$B$311)</f>
      </c>
      <c r="C313" s="56">
        <f>IF($B313="","",往来单位!$C$311&amp;"")</f>
      </c>
      <c r="D313" s="53">
        <f t="shared" si="0"/>
      </c>
      <c r="E313" s="53">
        <f t="shared" si="1"/>
      </c>
      <c r="F313" s="53">
        <f t="shared" si="2"/>
      </c>
      <c r="G313" s="59">
        <f t="shared" si="3"/>
      </c>
      <c r="H313" s="53">
        <f t="shared" si="4"/>
      </c>
      <c r="I313" s="53">
        <f t="shared" si="5"/>
      </c>
      <c r="J313" s="53">
        <f t="shared" si="6"/>
      </c>
      <c r="K313" s="59">
        <f t="shared" si="7"/>
      </c>
      <c r="L313" s="53">
        <f t="shared" si="8"/>
      </c>
      <c r="M313" s="59">
        <f t="shared" si="9"/>
      </c>
      <c r="N313" s="69">
        <f t="shared" si="10"/>
      </c>
      <c r="P313" s="22">
        <f t="shared" si="11"/>
      </c>
    </row>
    <row r="314">
      <c r="A314" s="56">
        <f>IF($B314="","",309)</f>
      </c>
      <c r="B314" s="66">
        <f>IF(往来单位!$B$312="","",往来单位!$B$312)</f>
      </c>
      <c r="C314" s="56">
        <f>IF($B314="","",往来单位!$C$312&amp;"")</f>
      </c>
      <c r="D314" s="53">
        <f t="shared" si="0"/>
      </c>
      <c r="E314" s="53">
        <f t="shared" si="1"/>
      </c>
      <c r="F314" s="53">
        <f t="shared" si="2"/>
      </c>
      <c r="G314" s="59">
        <f t="shared" si="3"/>
      </c>
      <c r="H314" s="53">
        <f t="shared" si="4"/>
      </c>
      <c r="I314" s="53">
        <f t="shared" si="5"/>
      </c>
      <c r="J314" s="53">
        <f t="shared" si="6"/>
      </c>
      <c r="K314" s="59">
        <f t="shared" si="7"/>
      </c>
      <c r="L314" s="53">
        <f t="shared" si="8"/>
      </c>
      <c r="M314" s="59">
        <f t="shared" si="9"/>
      </c>
      <c r="N314" s="69">
        <f t="shared" si="10"/>
      </c>
      <c r="P314" s="22">
        <f t="shared" si="11"/>
      </c>
    </row>
    <row r="315">
      <c r="A315" s="56">
        <f>IF($B315="","",310)</f>
      </c>
      <c r="B315" s="66">
        <f>IF(往来单位!$B$313="","",往来单位!$B$313)</f>
      </c>
      <c r="C315" s="56">
        <f>IF($B315="","",往来单位!$C$313&amp;"")</f>
      </c>
      <c r="D315" s="53">
        <f t="shared" si="0"/>
      </c>
      <c r="E315" s="53">
        <f t="shared" si="1"/>
      </c>
      <c r="F315" s="53">
        <f t="shared" si="2"/>
      </c>
      <c r="G315" s="59">
        <f t="shared" si="3"/>
      </c>
      <c r="H315" s="53">
        <f t="shared" si="4"/>
      </c>
      <c r="I315" s="53">
        <f t="shared" si="5"/>
      </c>
      <c r="J315" s="53">
        <f t="shared" si="6"/>
      </c>
      <c r="K315" s="59">
        <f t="shared" si="7"/>
      </c>
      <c r="L315" s="53">
        <f t="shared" si="8"/>
      </c>
      <c r="M315" s="59">
        <f t="shared" si="9"/>
      </c>
      <c r="N315" s="69">
        <f t="shared" si="10"/>
      </c>
      <c r="P315" s="22">
        <f t="shared" si="11"/>
      </c>
    </row>
    <row r="316">
      <c r="A316" s="56">
        <f>IF($B316="","",311)</f>
      </c>
      <c r="B316" s="66">
        <f>IF(往来单位!$B$314="","",往来单位!$B$314)</f>
      </c>
      <c r="C316" s="56">
        <f>IF($B316="","",往来单位!$C$314&amp;"")</f>
      </c>
      <c r="D316" s="53">
        <f t="shared" si="0"/>
      </c>
      <c r="E316" s="53">
        <f t="shared" si="1"/>
      </c>
      <c r="F316" s="53">
        <f t="shared" si="2"/>
      </c>
      <c r="G316" s="59">
        <f t="shared" si="3"/>
      </c>
      <c r="H316" s="53">
        <f t="shared" si="4"/>
      </c>
      <c r="I316" s="53">
        <f t="shared" si="5"/>
      </c>
      <c r="J316" s="53">
        <f t="shared" si="6"/>
      </c>
      <c r="K316" s="59">
        <f t="shared" si="7"/>
      </c>
      <c r="L316" s="53">
        <f t="shared" si="8"/>
      </c>
      <c r="M316" s="59">
        <f t="shared" si="9"/>
      </c>
      <c r="N316" s="69">
        <f t="shared" si="10"/>
      </c>
      <c r="P316" s="22">
        <f t="shared" si="11"/>
      </c>
    </row>
    <row r="317">
      <c r="A317" s="56">
        <f>IF($B317="","",312)</f>
      </c>
      <c r="B317" s="66">
        <f>IF(往来单位!$B$315="","",往来单位!$B$315)</f>
      </c>
      <c r="C317" s="56">
        <f>IF($B317="","",往来单位!$C$315&amp;"")</f>
      </c>
      <c r="D317" s="53">
        <f t="shared" si="0"/>
      </c>
      <c r="E317" s="53">
        <f t="shared" si="1"/>
      </c>
      <c r="F317" s="53">
        <f t="shared" si="2"/>
      </c>
      <c r="G317" s="59">
        <f t="shared" si="3"/>
      </c>
      <c r="H317" s="53">
        <f t="shared" si="4"/>
      </c>
      <c r="I317" s="53">
        <f t="shared" si="5"/>
      </c>
      <c r="J317" s="53">
        <f t="shared" si="6"/>
      </c>
      <c r="K317" s="59">
        <f t="shared" si="7"/>
      </c>
      <c r="L317" s="53">
        <f t="shared" si="8"/>
      </c>
      <c r="M317" s="59">
        <f t="shared" si="9"/>
      </c>
      <c r="N317" s="69">
        <f t="shared" si="10"/>
      </c>
      <c r="P317" s="22">
        <f t="shared" si="11"/>
      </c>
    </row>
    <row r="318">
      <c r="A318" s="56">
        <f>IF($B318="","",313)</f>
      </c>
      <c r="B318" s="66">
        <f>IF(往来单位!$B$316="","",往来单位!$B$316)</f>
      </c>
      <c r="C318" s="56">
        <f>IF($B318="","",往来单位!$C$316&amp;"")</f>
      </c>
      <c r="D318" s="53">
        <f t="shared" si="0"/>
      </c>
      <c r="E318" s="53">
        <f t="shared" si="1"/>
      </c>
      <c r="F318" s="53">
        <f t="shared" si="2"/>
      </c>
      <c r="G318" s="59">
        <f t="shared" si="3"/>
      </c>
      <c r="H318" s="53">
        <f t="shared" si="4"/>
      </c>
      <c r="I318" s="53">
        <f t="shared" si="5"/>
      </c>
      <c r="J318" s="53">
        <f t="shared" si="6"/>
      </c>
      <c r="K318" s="59">
        <f t="shared" si="7"/>
      </c>
      <c r="L318" s="53">
        <f t="shared" si="8"/>
      </c>
      <c r="M318" s="59">
        <f t="shared" si="9"/>
      </c>
      <c r="N318" s="69">
        <f t="shared" si="10"/>
      </c>
      <c r="P318" s="22">
        <f t="shared" si="11"/>
      </c>
    </row>
    <row r="319">
      <c r="A319" s="56">
        <f>IF($B319="","",314)</f>
      </c>
      <c r="B319" s="66">
        <f>IF(往来单位!$B$317="","",往来单位!$B$317)</f>
      </c>
      <c r="C319" s="56">
        <f>IF($B319="","",往来单位!$C$317&amp;"")</f>
      </c>
      <c r="D319" s="53">
        <f t="shared" si="0"/>
      </c>
      <c r="E319" s="53">
        <f t="shared" si="1"/>
      </c>
      <c r="F319" s="53">
        <f t="shared" si="2"/>
      </c>
      <c r="G319" s="59">
        <f t="shared" si="3"/>
      </c>
      <c r="H319" s="53">
        <f t="shared" si="4"/>
      </c>
      <c r="I319" s="53">
        <f t="shared" si="5"/>
      </c>
      <c r="J319" s="53">
        <f t="shared" si="6"/>
      </c>
      <c r="K319" s="59">
        <f t="shared" si="7"/>
      </c>
      <c r="L319" s="53">
        <f t="shared" si="8"/>
      </c>
      <c r="M319" s="59">
        <f t="shared" si="9"/>
      </c>
      <c r="N319" s="69">
        <f t="shared" si="10"/>
      </c>
      <c r="P319" s="22">
        <f t="shared" si="11"/>
      </c>
    </row>
    <row r="320">
      <c r="A320" s="56">
        <f>IF($B320="","",315)</f>
      </c>
      <c r="B320" s="66">
        <f>IF(往来单位!$B$318="","",往来单位!$B$318)</f>
      </c>
      <c r="C320" s="56">
        <f>IF($B320="","",往来单位!$C$318&amp;"")</f>
      </c>
      <c r="D320" s="53">
        <f t="shared" si="0"/>
      </c>
      <c r="E320" s="53">
        <f t="shared" si="1"/>
      </c>
      <c r="F320" s="53">
        <f t="shared" si="2"/>
      </c>
      <c r="G320" s="59">
        <f t="shared" si="3"/>
      </c>
      <c r="H320" s="53">
        <f t="shared" si="4"/>
      </c>
      <c r="I320" s="53">
        <f t="shared" si="5"/>
      </c>
      <c r="J320" s="53">
        <f t="shared" si="6"/>
      </c>
      <c r="K320" s="59">
        <f t="shared" si="7"/>
      </c>
      <c r="L320" s="53">
        <f t="shared" si="8"/>
      </c>
      <c r="M320" s="59">
        <f t="shared" si="9"/>
      </c>
      <c r="N320" s="69">
        <f t="shared" si="10"/>
      </c>
      <c r="P320" s="22">
        <f t="shared" si="11"/>
      </c>
    </row>
    <row r="321">
      <c r="A321" s="56">
        <f>IF($B321="","",316)</f>
      </c>
      <c r="B321" s="66">
        <f>IF(往来单位!$B$319="","",往来单位!$B$319)</f>
      </c>
      <c r="C321" s="56">
        <f>IF($B321="","",往来单位!$C$319&amp;"")</f>
      </c>
      <c r="D321" s="53">
        <f t="shared" si="0"/>
      </c>
      <c r="E321" s="53">
        <f t="shared" si="1"/>
      </c>
      <c r="F321" s="53">
        <f t="shared" si="2"/>
      </c>
      <c r="G321" s="59">
        <f t="shared" si="3"/>
      </c>
      <c r="H321" s="53">
        <f t="shared" si="4"/>
      </c>
      <c r="I321" s="53">
        <f t="shared" si="5"/>
      </c>
      <c r="J321" s="53">
        <f t="shared" si="6"/>
      </c>
      <c r="K321" s="59">
        <f t="shared" si="7"/>
      </c>
      <c r="L321" s="53">
        <f t="shared" si="8"/>
      </c>
      <c r="M321" s="59">
        <f t="shared" si="9"/>
      </c>
      <c r="N321" s="69">
        <f t="shared" si="10"/>
      </c>
      <c r="P321" s="22">
        <f t="shared" si="11"/>
      </c>
    </row>
    <row r="322">
      <c r="A322" s="56">
        <f>IF($B322="","",317)</f>
      </c>
      <c r="B322" s="66">
        <f>IF(往来单位!$B$320="","",往来单位!$B$320)</f>
      </c>
      <c r="C322" s="56">
        <f>IF($B322="","",往来单位!$C$320&amp;"")</f>
      </c>
      <c r="D322" s="53">
        <f t="shared" si="0"/>
      </c>
      <c r="E322" s="53">
        <f t="shared" si="1"/>
      </c>
      <c r="F322" s="53">
        <f t="shared" si="2"/>
      </c>
      <c r="G322" s="59">
        <f t="shared" si="3"/>
      </c>
      <c r="H322" s="53">
        <f t="shared" si="4"/>
      </c>
      <c r="I322" s="53">
        <f t="shared" si="5"/>
      </c>
      <c r="J322" s="53">
        <f t="shared" si="6"/>
      </c>
      <c r="K322" s="59">
        <f t="shared" si="7"/>
      </c>
      <c r="L322" s="53">
        <f t="shared" si="8"/>
      </c>
      <c r="M322" s="59">
        <f t="shared" si="9"/>
      </c>
      <c r="N322" s="69">
        <f t="shared" si="10"/>
      </c>
      <c r="P322" s="22">
        <f t="shared" si="11"/>
      </c>
    </row>
    <row r="323">
      <c r="A323" s="56">
        <f>IF($B323="","",318)</f>
      </c>
      <c r="B323" s="66">
        <f>IF(往来单位!$B$321="","",往来单位!$B$321)</f>
      </c>
      <c r="C323" s="56">
        <f>IF($B323="","",往来单位!$C$321&amp;"")</f>
      </c>
      <c r="D323" s="53">
        <f t="shared" si="0"/>
      </c>
      <c r="E323" s="53">
        <f t="shared" si="1"/>
      </c>
      <c r="F323" s="53">
        <f t="shared" si="2"/>
      </c>
      <c r="G323" s="59">
        <f t="shared" si="3"/>
      </c>
      <c r="H323" s="53">
        <f t="shared" si="4"/>
      </c>
      <c r="I323" s="53">
        <f t="shared" si="5"/>
      </c>
      <c r="J323" s="53">
        <f t="shared" si="6"/>
      </c>
      <c r="K323" s="59">
        <f t="shared" si="7"/>
      </c>
      <c r="L323" s="53">
        <f t="shared" si="8"/>
      </c>
      <c r="M323" s="59">
        <f t="shared" si="9"/>
      </c>
      <c r="N323" s="69">
        <f t="shared" si="10"/>
      </c>
      <c r="P323" s="22">
        <f t="shared" si="11"/>
      </c>
    </row>
    <row r="324">
      <c r="A324" s="56">
        <f>IF($B324="","",319)</f>
      </c>
      <c r="B324" s="66">
        <f>IF(往来单位!$B$322="","",往来单位!$B$322)</f>
      </c>
      <c r="C324" s="56">
        <f>IF($B324="","",往来单位!$C$322&amp;"")</f>
      </c>
      <c r="D324" s="53">
        <f t="shared" si="0"/>
      </c>
      <c r="E324" s="53">
        <f t="shared" si="1"/>
      </c>
      <c r="F324" s="53">
        <f t="shared" si="2"/>
      </c>
      <c r="G324" s="59">
        <f t="shared" si="3"/>
      </c>
      <c r="H324" s="53">
        <f t="shared" si="4"/>
      </c>
      <c r="I324" s="53">
        <f t="shared" si="5"/>
      </c>
      <c r="J324" s="53">
        <f t="shared" si="6"/>
      </c>
      <c r="K324" s="59">
        <f t="shared" si="7"/>
      </c>
      <c r="L324" s="53">
        <f t="shared" si="8"/>
      </c>
      <c r="M324" s="59">
        <f t="shared" si="9"/>
      </c>
      <c r="N324" s="69">
        <f t="shared" si="10"/>
      </c>
      <c r="P324" s="22">
        <f t="shared" si="11"/>
      </c>
    </row>
    <row r="325">
      <c r="A325" s="56">
        <f>IF($B325="","",320)</f>
      </c>
      <c r="B325" s="66">
        <f>IF(往来单位!$B$323="","",往来单位!$B$323)</f>
      </c>
      <c r="C325" s="56">
        <f>IF($B325="","",往来单位!$C$323&amp;"")</f>
      </c>
      <c r="D325" s="53">
        <f t="shared" si="0"/>
      </c>
      <c r="E325" s="53">
        <f t="shared" si="1"/>
      </c>
      <c r="F325" s="53">
        <f t="shared" si="2"/>
      </c>
      <c r="G325" s="59">
        <f t="shared" si="3"/>
      </c>
      <c r="H325" s="53">
        <f t="shared" si="4"/>
      </c>
      <c r="I325" s="53">
        <f t="shared" si="5"/>
      </c>
      <c r="J325" s="53">
        <f t="shared" si="6"/>
      </c>
      <c r="K325" s="59">
        <f t="shared" si="7"/>
      </c>
      <c r="L325" s="53">
        <f t="shared" si="8"/>
      </c>
      <c r="M325" s="59">
        <f t="shared" si="9"/>
      </c>
      <c r="N325" s="69">
        <f t="shared" si="10"/>
      </c>
      <c r="P325" s="22">
        <f t="shared" si="11"/>
      </c>
    </row>
    <row r="326">
      <c r="A326" s="56">
        <f>IF($B326="","",321)</f>
      </c>
      <c r="B326" s="66">
        <f>IF(往来单位!$B$324="","",往来单位!$B$324)</f>
      </c>
      <c r="C326" s="56">
        <f>IF($B326="","",往来单位!$C$324&amp;"")</f>
      </c>
      <c r="D326" s="53">
        <f t="shared" si="0"/>
      </c>
      <c r="E326" s="53">
        <f t="shared" si="1"/>
      </c>
      <c r="F326" s="53">
        <f t="shared" si="2"/>
      </c>
      <c r="G326" s="59">
        <f t="shared" si="3"/>
      </c>
      <c r="H326" s="53">
        <f t="shared" si="4"/>
      </c>
      <c r="I326" s="53">
        <f t="shared" si="5"/>
      </c>
      <c r="J326" s="53">
        <f t="shared" si="6"/>
      </c>
      <c r="K326" s="59">
        <f t="shared" si="7"/>
      </c>
      <c r="L326" s="53">
        <f t="shared" si="8"/>
      </c>
      <c r="M326" s="59">
        <f t="shared" si="9"/>
      </c>
      <c r="N326" s="69">
        <f t="shared" si="10"/>
      </c>
      <c r="P326" s="22">
        <f t="shared" si="11"/>
      </c>
    </row>
    <row r="327">
      <c r="A327" s="56">
        <f>IF($B327="","",322)</f>
      </c>
      <c r="B327" s="66">
        <f>IF(往来单位!$B$325="","",往来单位!$B$325)</f>
      </c>
      <c r="C327" s="56">
        <f>IF($B327="","",往来单位!$C$325&amp;"")</f>
      </c>
      <c r="D327" s="53">
        <f t="shared" si="0"/>
      </c>
      <c r="E327" s="53">
        <f t="shared" si="1"/>
      </c>
      <c r="F327" s="53">
        <f t="shared" si="2"/>
      </c>
      <c r="G327" s="59">
        <f t="shared" si="3"/>
      </c>
      <c r="H327" s="53">
        <f t="shared" si="4"/>
      </c>
      <c r="I327" s="53">
        <f t="shared" si="5"/>
      </c>
      <c r="J327" s="53">
        <f t="shared" si="6"/>
      </c>
      <c r="K327" s="59">
        <f t="shared" si="7"/>
      </c>
      <c r="L327" s="53">
        <f t="shared" si="8"/>
      </c>
      <c r="M327" s="59">
        <f t="shared" si="9"/>
      </c>
      <c r="N327" s="69">
        <f t="shared" si="10"/>
      </c>
      <c r="P327" s="22">
        <f t="shared" si="11"/>
      </c>
    </row>
    <row r="328">
      <c r="A328" s="56">
        <f>IF($B328="","",323)</f>
      </c>
      <c r="B328" s="66">
        <f>IF(往来单位!$B$326="","",往来单位!$B$326)</f>
      </c>
      <c r="C328" s="56">
        <f>IF($B328="","",往来单位!$C$326&amp;"")</f>
      </c>
      <c r="D328" s="53">
        <f t="shared" si="0"/>
      </c>
      <c r="E328" s="53">
        <f t="shared" si="1"/>
      </c>
      <c r="F328" s="53">
        <f t="shared" si="2"/>
      </c>
      <c r="G328" s="59">
        <f t="shared" si="3"/>
      </c>
      <c r="H328" s="53">
        <f t="shared" si="4"/>
      </c>
      <c r="I328" s="53">
        <f t="shared" si="5"/>
      </c>
      <c r="J328" s="53">
        <f t="shared" si="6"/>
      </c>
      <c r="K328" s="59">
        <f t="shared" si="7"/>
      </c>
      <c r="L328" s="53">
        <f t="shared" si="8"/>
      </c>
      <c r="M328" s="59">
        <f t="shared" si="9"/>
      </c>
      <c r="N328" s="69">
        <f t="shared" si="10"/>
      </c>
      <c r="P328" s="22">
        <f t="shared" si="11"/>
      </c>
    </row>
    <row r="329">
      <c r="A329" s="56">
        <f>IF($B329="","",324)</f>
      </c>
      <c r="B329" s="66">
        <f>IF(往来单位!$B$327="","",往来单位!$B$327)</f>
      </c>
      <c r="C329" s="56">
        <f>IF($B329="","",往来单位!$C$327&amp;"")</f>
      </c>
      <c r="D329" s="53">
        <f t="shared" si="0"/>
      </c>
      <c r="E329" s="53">
        <f t="shared" si="1"/>
      </c>
      <c r="F329" s="53">
        <f t="shared" si="2"/>
      </c>
      <c r="G329" s="59">
        <f t="shared" si="3"/>
      </c>
      <c r="H329" s="53">
        <f t="shared" si="4"/>
      </c>
      <c r="I329" s="53">
        <f t="shared" si="5"/>
      </c>
      <c r="J329" s="53">
        <f t="shared" si="6"/>
      </c>
      <c r="K329" s="59">
        <f t="shared" si="7"/>
      </c>
      <c r="L329" s="53">
        <f t="shared" si="8"/>
      </c>
      <c r="M329" s="59">
        <f t="shared" si="9"/>
      </c>
      <c r="N329" s="69">
        <f t="shared" si="10"/>
      </c>
      <c r="P329" s="22">
        <f t="shared" si="11"/>
      </c>
    </row>
    <row r="330">
      <c r="A330" s="56">
        <f>IF($B330="","",325)</f>
      </c>
      <c r="B330" s="66">
        <f>IF(往来单位!$B$328="","",往来单位!$B$328)</f>
      </c>
      <c r="C330" s="56">
        <f>IF($B330="","",往来单位!$C$328&amp;"")</f>
      </c>
      <c r="D330" s="53">
        <f t="shared" si="0"/>
      </c>
      <c r="E330" s="53">
        <f t="shared" si="1"/>
      </c>
      <c r="F330" s="53">
        <f t="shared" si="2"/>
      </c>
      <c r="G330" s="59">
        <f t="shared" si="3"/>
      </c>
      <c r="H330" s="53">
        <f t="shared" si="4"/>
      </c>
      <c r="I330" s="53">
        <f t="shared" si="5"/>
      </c>
      <c r="J330" s="53">
        <f t="shared" si="6"/>
      </c>
      <c r="K330" s="59">
        <f t="shared" si="7"/>
      </c>
      <c r="L330" s="53">
        <f t="shared" si="8"/>
      </c>
      <c r="M330" s="59">
        <f t="shared" si="9"/>
      </c>
      <c r="N330" s="69">
        <f t="shared" si="10"/>
      </c>
      <c r="P330" s="22">
        <f t="shared" si="11"/>
      </c>
    </row>
    <row r="331">
      <c r="A331" s="56">
        <f>IF($B331="","",326)</f>
      </c>
      <c r="B331" s="66">
        <f>IF(往来单位!$B$329="","",往来单位!$B$329)</f>
      </c>
      <c r="C331" s="56">
        <f>IF($B331="","",往来单位!$C$329&amp;"")</f>
      </c>
      <c r="D331" s="53">
        <f t="shared" si="0"/>
      </c>
      <c r="E331" s="53">
        <f t="shared" si="1"/>
      </c>
      <c r="F331" s="53">
        <f t="shared" si="2"/>
      </c>
      <c r="G331" s="59">
        <f t="shared" si="3"/>
      </c>
      <c r="H331" s="53">
        <f t="shared" si="4"/>
      </c>
      <c r="I331" s="53">
        <f t="shared" si="5"/>
      </c>
      <c r="J331" s="53">
        <f t="shared" si="6"/>
      </c>
      <c r="K331" s="59">
        <f t="shared" si="7"/>
      </c>
      <c r="L331" s="53">
        <f t="shared" si="8"/>
      </c>
      <c r="M331" s="59">
        <f t="shared" si="9"/>
      </c>
      <c r="N331" s="69">
        <f t="shared" si="10"/>
      </c>
      <c r="P331" s="22">
        <f t="shared" si="11"/>
      </c>
    </row>
    <row r="332">
      <c r="A332" s="56">
        <f>IF($B332="","",327)</f>
      </c>
      <c r="B332" s="66">
        <f>IF(往来单位!$B$330="","",往来单位!$B$330)</f>
      </c>
      <c r="C332" s="56">
        <f>IF($B332="","",往来单位!$C$330&amp;"")</f>
      </c>
      <c r="D332" s="53">
        <f t="shared" si="0"/>
      </c>
      <c r="E332" s="53">
        <f t="shared" si="1"/>
      </c>
      <c r="F332" s="53">
        <f t="shared" si="2"/>
      </c>
      <c r="G332" s="59">
        <f t="shared" si="3"/>
      </c>
      <c r="H332" s="53">
        <f t="shared" si="4"/>
      </c>
      <c r="I332" s="53">
        <f t="shared" si="5"/>
      </c>
      <c r="J332" s="53">
        <f t="shared" si="6"/>
      </c>
      <c r="K332" s="59">
        <f t="shared" si="7"/>
      </c>
      <c r="L332" s="53">
        <f t="shared" si="8"/>
      </c>
      <c r="M332" s="59">
        <f t="shared" si="9"/>
      </c>
      <c r="N332" s="69">
        <f t="shared" si="10"/>
      </c>
      <c r="P332" s="22">
        <f t="shared" si="11"/>
      </c>
    </row>
    <row r="333">
      <c r="A333" s="56">
        <f>IF($B333="","",328)</f>
      </c>
      <c r="B333" s="66">
        <f>IF(往来单位!$B$331="","",往来单位!$B$331)</f>
      </c>
      <c r="C333" s="56">
        <f>IF($B333="","",往来单位!$C$331&amp;"")</f>
      </c>
      <c r="D333" s="53">
        <f t="shared" si="0"/>
      </c>
      <c r="E333" s="53">
        <f t="shared" si="1"/>
      </c>
      <c r="F333" s="53">
        <f t="shared" si="2"/>
      </c>
      <c r="G333" s="59">
        <f t="shared" si="3"/>
      </c>
      <c r="H333" s="53">
        <f t="shared" si="4"/>
      </c>
      <c r="I333" s="53">
        <f t="shared" si="5"/>
      </c>
      <c r="J333" s="53">
        <f t="shared" si="6"/>
      </c>
      <c r="K333" s="59">
        <f t="shared" si="7"/>
      </c>
      <c r="L333" s="53">
        <f t="shared" si="8"/>
      </c>
      <c r="M333" s="59">
        <f t="shared" si="9"/>
      </c>
      <c r="N333" s="69">
        <f t="shared" si="10"/>
      </c>
      <c r="P333" s="22">
        <f t="shared" si="11"/>
      </c>
    </row>
    <row r="334">
      <c r="A334" s="56">
        <f>IF($B334="","",329)</f>
      </c>
      <c r="B334" s="66">
        <f>IF(往来单位!$B$332="","",往来单位!$B$332)</f>
      </c>
      <c r="C334" s="56">
        <f>IF($B334="","",往来单位!$C$332&amp;"")</f>
      </c>
      <c r="D334" s="53">
        <f t="shared" si="0"/>
      </c>
      <c r="E334" s="53">
        <f t="shared" si="1"/>
      </c>
      <c r="F334" s="53">
        <f t="shared" si="2"/>
      </c>
      <c r="G334" s="59">
        <f t="shared" si="3"/>
      </c>
      <c r="H334" s="53">
        <f t="shared" si="4"/>
      </c>
      <c r="I334" s="53">
        <f t="shared" si="5"/>
      </c>
      <c r="J334" s="53">
        <f t="shared" si="6"/>
      </c>
      <c r="K334" s="59">
        <f t="shared" si="7"/>
      </c>
      <c r="L334" s="53">
        <f t="shared" si="8"/>
      </c>
      <c r="M334" s="59">
        <f t="shared" si="9"/>
      </c>
      <c r="N334" s="69">
        <f t="shared" si="10"/>
      </c>
      <c r="P334" s="22">
        <f t="shared" si="11"/>
      </c>
    </row>
    <row r="335">
      <c r="A335" s="56">
        <f>IF($B335="","",330)</f>
      </c>
      <c r="B335" s="66">
        <f>IF(往来单位!$B$333="","",往来单位!$B$333)</f>
      </c>
      <c r="C335" s="56">
        <f>IF($B335="","",往来单位!$C$333&amp;"")</f>
      </c>
      <c r="D335" s="53">
        <f t="shared" si="0"/>
      </c>
      <c r="E335" s="53">
        <f t="shared" si="1"/>
      </c>
      <c r="F335" s="53">
        <f t="shared" si="2"/>
      </c>
      <c r="G335" s="59">
        <f t="shared" si="3"/>
      </c>
      <c r="H335" s="53">
        <f t="shared" si="4"/>
      </c>
      <c r="I335" s="53">
        <f t="shared" si="5"/>
      </c>
      <c r="J335" s="53">
        <f t="shared" si="6"/>
      </c>
      <c r="K335" s="59">
        <f t="shared" si="7"/>
      </c>
      <c r="L335" s="53">
        <f t="shared" si="8"/>
      </c>
      <c r="M335" s="59">
        <f t="shared" si="9"/>
      </c>
      <c r="N335" s="69">
        <f t="shared" si="10"/>
      </c>
      <c r="P335" s="22">
        <f t="shared" si="11"/>
      </c>
    </row>
    <row r="336">
      <c r="A336" s="56">
        <f>IF($B336="","",331)</f>
      </c>
      <c r="B336" s="66">
        <f>IF(往来单位!$B$334="","",往来单位!$B$334)</f>
      </c>
      <c r="C336" s="56">
        <f>IF($B336="","",往来单位!$C$334&amp;"")</f>
      </c>
      <c r="D336" s="53">
        <f t="shared" si="0"/>
      </c>
      <c r="E336" s="53">
        <f t="shared" si="1"/>
      </c>
      <c r="F336" s="53">
        <f t="shared" si="2"/>
      </c>
      <c r="G336" s="59">
        <f t="shared" si="3"/>
      </c>
      <c r="H336" s="53">
        <f t="shared" si="4"/>
      </c>
      <c r="I336" s="53">
        <f t="shared" si="5"/>
      </c>
      <c r="J336" s="53">
        <f t="shared" si="6"/>
      </c>
      <c r="K336" s="59">
        <f t="shared" si="7"/>
      </c>
      <c r="L336" s="53">
        <f t="shared" si="8"/>
      </c>
      <c r="M336" s="59">
        <f t="shared" si="9"/>
      </c>
      <c r="N336" s="69">
        <f t="shared" si="10"/>
      </c>
      <c r="P336" s="22">
        <f t="shared" si="11"/>
      </c>
    </row>
    <row r="337">
      <c r="A337" s="56">
        <f>IF($B337="","",332)</f>
      </c>
      <c r="B337" s="66">
        <f>IF(往来单位!$B$335="","",往来单位!$B$335)</f>
      </c>
      <c r="C337" s="56">
        <f>IF($B337="","",往来单位!$C$335&amp;"")</f>
      </c>
      <c r="D337" s="53">
        <f t="shared" si="0"/>
      </c>
      <c r="E337" s="53">
        <f t="shared" si="1"/>
      </c>
      <c r="F337" s="53">
        <f t="shared" si="2"/>
      </c>
      <c r="G337" s="59">
        <f t="shared" si="3"/>
      </c>
      <c r="H337" s="53">
        <f t="shared" si="4"/>
      </c>
      <c r="I337" s="53">
        <f t="shared" si="5"/>
      </c>
      <c r="J337" s="53">
        <f t="shared" si="6"/>
      </c>
      <c r="K337" s="59">
        <f t="shared" si="7"/>
      </c>
      <c r="L337" s="53">
        <f t="shared" si="8"/>
      </c>
      <c r="M337" s="59">
        <f t="shared" si="9"/>
      </c>
      <c r="N337" s="69">
        <f t="shared" si="10"/>
      </c>
      <c r="P337" s="22">
        <f t="shared" si="11"/>
      </c>
    </row>
    <row r="338">
      <c r="A338" s="56">
        <f>IF($B338="","",333)</f>
      </c>
      <c r="B338" s="66">
        <f>IF(往来单位!$B$336="","",往来单位!$B$336)</f>
      </c>
      <c r="C338" s="56">
        <f>IF($B338="","",往来单位!$C$336&amp;"")</f>
      </c>
      <c r="D338" s="53">
        <f t="shared" si="0"/>
      </c>
      <c r="E338" s="53">
        <f t="shared" si="1"/>
      </c>
      <c r="F338" s="53">
        <f t="shared" si="2"/>
      </c>
      <c r="G338" s="59">
        <f t="shared" si="3"/>
      </c>
      <c r="H338" s="53">
        <f t="shared" si="4"/>
      </c>
      <c r="I338" s="53">
        <f t="shared" si="5"/>
      </c>
      <c r="J338" s="53">
        <f t="shared" si="6"/>
      </c>
      <c r="K338" s="59">
        <f t="shared" si="7"/>
      </c>
      <c r="L338" s="53">
        <f t="shared" si="8"/>
      </c>
      <c r="M338" s="59">
        <f t="shared" si="9"/>
      </c>
      <c r="N338" s="69">
        <f t="shared" si="10"/>
      </c>
      <c r="P338" s="22">
        <f t="shared" si="11"/>
      </c>
    </row>
    <row r="339">
      <c r="A339" s="56">
        <f>IF($B339="","",334)</f>
      </c>
      <c r="B339" s="66">
        <f>IF(往来单位!$B$337="","",往来单位!$B$337)</f>
      </c>
      <c r="C339" s="56">
        <f>IF($B339="","",往来单位!$C$337&amp;"")</f>
      </c>
      <c r="D339" s="53">
        <f t="shared" si="0"/>
      </c>
      <c r="E339" s="53">
        <f t="shared" si="1"/>
      </c>
      <c r="F339" s="53">
        <f t="shared" si="2"/>
      </c>
      <c r="G339" s="59">
        <f t="shared" si="3"/>
      </c>
      <c r="H339" s="53">
        <f t="shared" si="4"/>
      </c>
      <c r="I339" s="53">
        <f t="shared" si="5"/>
      </c>
      <c r="J339" s="53">
        <f t="shared" si="6"/>
      </c>
      <c r="K339" s="59">
        <f t="shared" si="7"/>
      </c>
      <c r="L339" s="53">
        <f t="shared" si="8"/>
      </c>
      <c r="M339" s="59">
        <f t="shared" si="9"/>
      </c>
      <c r="N339" s="69">
        <f t="shared" si="10"/>
      </c>
      <c r="P339" s="22">
        <f t="shared" si="11"/>
      </c>
    </row>
    <row r="340">
      <c r="A340" s="56">
        <f>IF($B340="","",335)</f>
      </c>
      <c r="B340" s="66">
        <f>IF(往来单位!$B$338="","",往来单位!$B$338)</f>
      </c>
      <c r="C340" s="56">
        <f>IF($B340="","",往来单位!$C$338&amp;"")</f>
      </c>
      <c r="D340" s="53">
        <f t="shared" si="0"/>
      </c>
      <c r="E340" s="53">
        <f t="shared" si="1"/>
      </c>
      <c r="F340" s="53">
        <f t="shared" si="2"/>
      </c>
      <c r="G340" s="59">
        <f t="shared" si="3"/>
      </c>
      <c r="H340" s="53">
        <f t="shared" si="4"/>
      </c>
      <c r="I340" s="53">
        <f t="shared" si="5"/>
      </c>
      <c r="J340" s="53">
        <f t="shared" si="6"/>
      </c>
      <c r="K340" s="59">
        <f t="shared" si="7"/>
      </c>
      <c r="L340" s="53">
        <f t="shared" si="8"/>
      </c>
      <c r="M340" s="59">
        <f t="shared" si="9"/>
      </c>
      <c r="N340" s="69">
        <f t="shared" si="10"/>
      </c>
      <c r="P340" s="22">
        <f t="shared" si="11"/>
      </c>
    </row>
    <row r="341">
      <c r="A341" s="56">
        <f>IF($B341="","",336)</f>
      </c>
      <c r="B341" s="66">
        <f>IF(往来单位!$B$339="","",往来单位!$B$339)</f>
      </c>
      <c r="C341" s="56">
        <f>IF($B341="","",往来单位!$C$339&amp;"")</f>
      </c>
      <c r="D341" s="53">
        <f t="shared" si="0"/>
      </c>
      <c r="E341" s="53">
        <f t="shared" si="1"/>
      </c>
      <c r="F341" s="53">
        <f t="shared" si="2"/>
      </c>
      <c r="G341" s="59">
        <f t="shared" si="3"/>
      </c>
      <c r="H341" s="53">
        <f t="shared" si="4"/>
      </c>
      <c r="I341" s="53">
        <f t="shared" si="5"/>
      </c>
      <c r="J341" s="53">
        <f t="shared" si="6"/>
      </c>
      <c r="K341" s="59">
        <f t="shared" si="7"/>
      </c>
      <c r="L341" s="53">
        <f t="shared" si="8"/>
      </c>
      <c r="M341" s="59">
        <f t="shared" si="9"/>
      </c>
      <c r="N341" s="69">
        <f t="shared" si="10"/>
      </c>
      <c r="P341" s="22">
        <f t="shared" si="11"/>
      </c>
    </row>
    <row r="342">
      <c r="A342" s="56">
        <f>IF($B342="","",337)</f>
      </c>
      <c r="B342" s="66">
        <f>IF(往来单位!$B$340="","",往来单位!$B$340)</f>
      </c>
      <c r="C342" s="56">
        <f>IF($B342="","",往来单位!$C$340&amp;"")</f>
      </c>
      <c r="D342" s="53">
        <f t="shared" si="0"/>
      </c>
      <c r="E342" s="53">
        <f t="shared" si="1"/>
      </c>
      <c r="F342" s="53">
        <f t="shared" si="2"/>
      </c>
      <c r="G342" s="59">
        <f t="shared" si="3"/>
      </c>
      <c r="H342" s="53">
        <f t="shared" si="4"/>
      </c>
      <c r="I342" s="53">
        <f t="shared" si="5"/>
      </c>
      <c r="J342" s="53">
        <f t="shared" si="6"/>
      </c>
      <c r="K342" s="59">
        <f t="shared" si="7"/>
      </c>
      <c r="L342" s="53">
        <f t="shared" si="8"/>
      </c>
      <c r="M342" s="59">
        <f t="shared" si="9"/>
      </c>
      <c r="N342" s="69">
        <f t="shared" si="10"/>
      </c>
      <c r="P342" s="22">
        <f t="shared" si="11"/>
      </c>
    </row>
    <row r="343">
      <c r="A343" s="56">
        <f>IF($B343="","",338)</f>
      </c>
      <c r="B343" s="66">
        <f>IF(往来单位!$B$341="","",往来单位!$B$341)</f>
      </c>
      <c r="C343" s="56">
        <f>IF($B343="","",往来单位!$C$341&amp;"")</f>
      </c>
      <c r="D343" s="53">
        <f t="shared" si="0"/>
      </c>
      <c r="E343" s="53">
        <f t="shared" si="1"/>
      </c>
      <c r="F343" s="53">
        <f t="shared" si="2"/>
      </c>
      <c r="G343" s="59">
        <f t="shared" si="3"/>
      </c>
      <c r="H343" s="53">
        <f t="shared" si="4"/>
      </c>
      <c r="I343" s="53">
        <f t="shared" si="5"/>
      </c>
      <c r="J343" s="53">
        <f t="shared" si="6"/>
      </c>
      <c r="K343" s="59">
        <f t="shared" si="7"/>
      </c>
      <c r="L343" s="53">
        <f t="shared" si="8"/>
      </c>
      <c r="M343" s="59">
        <f t="shared" si="9"/>
      </c>
      <c r="N343" s="69">
        <f t="shared" si="10"/>
      </c>
      <c r="P343" s="22">
        <f t="shared" si="11"/>
      </c>
    </row>
    <row r="344">
      <c r="A344" s="56">
        <f>IF($B344="","",339)</f>
      </c>
      <c r="B344" s="66">
        <f>IF(往来单位!$B$342="","",往来单位!$B$342)</f>
      </c>
      <c r="C344" s="56">
        <f>IF($B344="","",往来单位!$C$342&amp;"")</f>
      </c>
      <c r="D344" s="53">
        <f t="shared" si="0"/>
      </c>
      <c r="E344" s="53">
        <f t="shared" si="1"/>
      </c>
      <c r="F344" s="53">
        <f t="shared" si="2"/>
      </c>
      <c r="G344" s="59">
        <f t="shared" si="3"/>
      </c>
      <c r="H344" s="53">
        <f t="shared" si="4"/>
      </c>
      <c r="I344" s="53">
        <f t="shared" si="5"/>
      </c>
      <c r="J344" s="53">
        <f t="shared" si="6"/>
      </c>
      <c r="K344" s="59">
        <f t="shared" si="7"/>
      </c>
      <c r="L344" s="53">
        <f t="shared" si="8"/>
      </c>
      <c r="M344" s="59">
        <f t="shared" si="9"/>
      </c>
      <c r="N344" s="69">
        <f t="shared" si="10"/>
      </c>
      <c r="P344" s="22">
        <f t="shared" si="11"/>
      </c>
    </row>
    <row r="345">
      <c r="A345" s="56">
        <f>IF($B345="","",340)</f>
      </c>
      <c r="B345" s="66">
        <f>IF(往来单位!$B$343="","",往来单位!$B$343)</f>
      </c>
      <c r="C345" s="56">
        <f>IF($B345="","",往来单位!$C$343&amp;"")</f>
      </c>
      <c r="D345" s="53">
        <f t="shared" si="0"/>
      </c>
      <c r="E345" s="53">
        <f t="shared" si="1"/>
      </c>
      <c r="F345" s="53">
        <f t="shared" si="2"/>
      </c>
      <c r="G345" s="59">
        <f t="shared" si="3"/>
      </c>
      <c r="H345" s="53">
        <f t="shared" si="4"/>
      </c>
      <c r="I345" s="53">
        <f t="shared" si="5"/>
      </c>
      <c r="J345" s="53">
        <f t="shared" si="6"/>
      </c>
      <c r="K345" s="59">
        <f t="shared" si="7"/>
      </c>
      <c r="L345" s="53">
        <f t="shared" si="8"/>
      </c>
      <c r="M345" s="59">
        <f t="shared" si="9"/>
      </c>
      <c r="N345" s="69">
        <f t="shared" si="10"/>
      </c>
      <c r="P345" s="22">
        <f t="shared" si="11"/>
      </c>
    </row>
    <row r="346">
      <c r="A346" s="56">
        <f>IF($B346="","",341)</f>
      </c>
      <c r="B346" s="66">
        <f>IF(往来单位!$B$344="","",往来单位!$B$344)</f>
      </c>
      <c r="C346" s="56">
        <f>IF($B346="","",往来单位!$C$344&amp;"")</f>
      </c>
      <c r="D346" s="53">
        <f t="shared" si="0"/>
      </c>
      <c r="E346" s="53">
        <f t="shared" si="1"/>
      </c>
      <c r="F346" s="53">
        <f t="shared" si="2"/>
      </c>
      <c r="G346" s="59">
        <f t="shared" si="3"/>
      </c>
      <c r="H346" s="53">
        <f t="shared" si="4"/>
      </c>
      <c r="I346" s="53">
        <f t="shared" si="5"/>
      </c>
      <c r="J346" s="53">
        <f t="shared" si="6"/>
      </c>
      <c r="K346" s="59">
        <f t="shared" si="7"/>
      </c>
      <c r="L346" s="53">
        <f t="shared" si="8"/>
      </c>
      <c r="M346" s="59">
        <f t="shared" si="9"/>
      </c>
      <c r="N346" s="69">
        <f t="shared" si="10"/>
      </c>
      <c r="P346" s="22">
        <f t="shared" si="11"/>
      </c>
    </row>
    <row r="347">
      <c r="A347" s="56">
        <f>IF($B347="","",342)</f>
      </c>
      <c r="B347" s="66">
        <f>IF(往来单位!$B$345="","",往来单位!$B$345)</f>
      </c>
      <c r="C347" s="56">
        <f>IF($B347="","",往来单位!$C$345&amp;"")</f>
      </c>
      <c r="D347" s="53">
        <f t="shared" si="0"/>
      </c>
      <c r="E347" s="53">
        <f t="shared" si="1"/>
      </c>
      <c r="F347" s="53">
        <f t="shared" si="2"/>
      </c>
      <c r="G347" s="59">
        <f t="shared" si="3"/>
      </c>
      <c r="H347" s="53">
        <f t="shared" si="4"/>
      </c>
      <c r="I347" s="53">
        <f t="shared" si="5"/>
      </c>
      <c r="J347" s="53">
        <f t="shared" si="6"/>
      </c>
      <c r="K347" s="59">
        <f t="shared" si="7"/>
      </c>
      <c r="L347" s="53">
        <f t="shared" si="8"/>
      </c>
      <c r="M347" s="59">
        <f t="shared" si="9"/>
      </c>
      <c r="N347" s="69">
        <f t="shared" si="10"/>
      </c>
      <c r="P347" s="22">
        <f t="shared" si="11"/>
      </c>
    </row>
    <row r="348">
      <c r="A348" s="56">
        <f>IF($B348="","",343)</f>
      </c>
      <c r="B348" s="66">
        <f>IF(往来单位!$B$346="","",往来单位!$B$346)</f>
      </c>
      <c r="C348" s="56">
        <f>IF($B348="","",往来单位!$C$346&amp;"")</f>
      </c>
      <c r="D348" s="53">
        <f t="shared" si="0"/>
      </c>
      <c r="E348" s="53">
        <f t="shared" si="1"/>
      </c>
      <c r="F348" s="53">
        <f t="shared" si="2"/>
      </c>
      <c r="G348" s="59">
        <f t="shared" si="3"/>
      </c>
      <c r="H348" s="53">
        <f t="shared" si="4"/>
      </c>
      <c r="I348" s="53">
        <f t="shared" si="5"/>
      </c>
      <c r="J348" s="53">
        <f t="shared" si="6"/>
      </c>
      <c r="K348" s="59">
        <f t="shared" si="7"/>
      </c>
      <c r="L348" s="53">
        <f t="shared" si="8"/>
      </c>
      <c r="M348" s="59">
        <f t="shared" si="9"/>
      </c>
      <c r="N348" s="69">
        <f t="shared" si="10"/>
      </c>
      <c r="P348" s="22">
        <f t="shared" si="11"/>
      </c>
    </row>
    <row r="349">
      <c r="A349" s="56">
        <f>IF($B349="","",344)</f>
      </c>
      <c r="B349" s="66">
        <f>IF(往来单位!$B$347="","",往来单位!$B$347)</f>
      </c>
      <c r="C349" s="56">
        <f>IF($B349="","",往来单位!$C$347&amp;"")</f>
      </c>
      <c r="D349" s="53">
        <f t="shared" si="0"/>
      </c>
      <c r="E349" s="53">
        <f t="shared" si="1"/>
      </c>
      <c r="F349" s="53">
        <f t="shared" si="2"/>
      </c>
      <c r="G349" s="59">
        <f t="shared" si="3"/>
      </c>
      <c r="H349" s="53">
        <f t="shared" si="4"/>
      </c>
      <c r="I349" s="53">
        <f t="shared" si="5"/>
      </c>
      <c r="J349" s="53">
        <f t="shared" si="6"/>
      </c>
      <c r="K349" s="59">
        <f t="shared" si="7"/>
      </c>
      <c r="L349" s="53">
        <f t="shared" si="8"/>
      </c>
      <c r="M349" s="59">
        <f t="shared" si="9"/>
      </c>
      <c r="N349" s="69">
        <f t="shared" si="10"/>
      </c>
      <c r="P349" s="22">
        <f t="shared" si="11"/>
      </c>
    </row>
    <row r="350">
      <c r="A350" s="56">
        <f>IF($B350="","",345)</f>
      </c>
      <c r="B350" s="66">
        <f>IF(往来单位!$B$348="","",往来单位!$B$348)</f>
      </c>
      <c r="C350" s="56">
        <f>IF($B350="","",往来单位!$C$348&amp;"")</f>
      </c>
      <c r="D350" s="53">
        <f t="shared" si="0"/>
      </c>
      <c r="E350" s="53">
        <f t="shared" si="1"/>
      </c>
      <c r="F350" s="53">
        <f t="shared" si="2"/>
      </c>
      <c r="G350" s="59">
        <f t="shared" si="3"/>
      </c>
      <c r="H350" s="53">
        <f t="shared" si="4"/>
      </c>
      <c r="I350" s="53">
        <f t="shared" si="5"/>
      </c>
      <c r="J350" s="53">
        <f t="shared" si="6"/>
      </c>
      <c r="K350" s="59">
        <f t="shared" si="7"/>
      </c>
      <c r="L350" s="53">
        <f t="shared" si="8"/>
      </c>
      <c r="M350" s="59">
        <f t="shared" si="9"/>
      </c>
      <c r="N350" s="69">
        <f t="shared" si="10"/>
      </c>
      <c r="P350" s="22">
        <f t="shared" si="11"/>
      </c>
    </row>
    <row r="351">
      <c r="A351" s="56">
        <f>IF($B351="","",346)</f>
      </c>
      <c r="B351" s="66">
        <f>IF(往来单位!$B$349="","",往来单位!$B$349)</f>
      </c>
      <c r="C351" s="56">
        <f>IF($B351="","",往来单位!$C$349&amp;"")</f>
      </c>
      <c r="D351" s="53">
        <f t="shared" si="0"/>
      </c>
      <c r="E351" s="53">
        <f t="shared" si="1"/>
      </c>
      <c r="F351" s="53">
        <f t="shared" si="2"/>
      </c>
      <c r="G351" s="59">
        <f t="shared" si="3"/>
      </c>
      <c r="H351" s="53">
        <f t="shared" si="4"/>
      </c>
      <c r="I351" s="53">
        <f t="shared" si="5"/>
      </c>
      <c r="J351" s="53">
        <f t="shared" si="6"/>
      </c>
      <c r="K351" s="59">
        <f t="shared" si="7"/>
      </c>
      <c r="L351" s="53">
        <f t="shared" si="8"/>
      </c>
      <c r="M351" s="59">
        <f t="shared" si="9"/>
      </c>
      <c r="N351" s="69">
        <f t="shared" si="10"/>
      </c>
      <c r="P351" s="22">
        <f t="shared" si="11"/>
      </c>
    </row>
    <row r="352">
      <c r="A352" s="56">
        <f>IF($B352="","",347)</f>
      </c>
      <c r="B352" s="66">
        <f>IF(往来单位!$B$350="","",往来单位!$B$350)</f>
      </c>
      <c r="C352" s="56">
        <f>IF($B352="","",往来单位!$C$350&amp;"")</f>
      </c>
      <c r="D352" s="53">
        <f t="shared" si="0"/>
      </c>
      <c r="E352" s="53">
        <f t="shared" si="1"/>
      </c>
      <c r="F352" s="53">
        <f t="shared" si="2"/>
      </c>
      <c r="G352" s="59">
        <f t="shared" si="3"/>
      </c>
      <c r="H352" s="53">
        <f t="shared" si="4"/>
      </c>
      <c r="I352" s="53">
        <f t="shared" si="5"/>
      </c>
      <c r="J352" s="53">
        <f t="shared" si="6"/>
      </c>
      <c r="K352" s="59">
        <f t="shared" si="7"/>
      </c>
      <c r="L352" s="53">
        <f t="shared" si="8"/>
      </c>
      <c r="M352" s="59">
        <f t="shared" si="9"/>
      </c>
      <c r="N352" s="69">
        <f t="shared" si="10"/>
      </c>
      <c r="P352" s="22">
        <f t="shared" si="11"/>
      </c>
    </row>
    <row r="353">
      <c r="A353" s="56">
        <f>IF($B353="","",348)</f>
      </c>
      <c r="B353" s="66">
        <f>IF(往来单位!$B$351="","",往来单位!$B$351)</f>
      </c>
      <c r="C353" s="56">
        <f>IF($B353="","",往来单位!$C$351&amp;"")</f>
      </c>
      <c r="D353" s="53">
        <f t="shared" si="0"/>
      </c>
      <c r="E353" s="53">
        <f t="shared" si="1"/>
      </c>
      <c r="F353" s="53">
        <f t="shared" si="2"/>
      </c>
      <c r="G353" s="59">
        <f t="shared" si="3"/>
      </c>
      <c r="H353" s="53">
        <f t="shared" si="4"/>
      </c>
      <c r="I353" s="53">
        <f t="shared" si="5"/>
      </c>
      <c r="J353" s="53">
        <f t="shared" si="6"/>
      </c>
      <c r="K353" s="59">
        <f t="shared" si="7"/>
      </c>
      <c r="L353" s="53">
        <f t="shared" si="8"/>
      </c>
      <c r="M353" s="59">
        <f t="shared" si="9"/>
      </c>
      <c r="N353" s="69">
        <f t="shared" si="10"/>
      </c>
      <c r="P353" s="22">
        <f t="shared" si="11"/>
      </c>
    </row>
    <row r="354">
      <c r="A354" s="56">
        <f>IF($B354="","",349)</f>
      </c>
      <c r="B354" s="66">
        <f>IF(往来单位!$B$352="","",往来单位!$B$352)</f>
      </c>
      <c r="C354" s="56">
        <f>IF($B354="","",往来单位!$C$352&amp;"")</f>
      </c>
      <c r="D354" s="53">
        <f t="shared" si="0"/>
      </c>
      <c r="E354" s="53">
        <f t="shared" si="1"/>
      </c>
      <c r="F354" s="53">
        <f t="shared" si="2"/>
      </c>
      <c r="G354" s="59">
        <f t="shared" si="3"/>
      </c>
      <c r="H354" s="53">
        <f t="shared" si="4"/>
      </c>
      <c r="I354" s="53">
        <f t="shared" si="5"/>
      </c>
      <c r="J354" s="53">
        <f t="shared" si="6"/>
      </c>
      <c r="K354" s="59">
        <f t="shared" si="7"/>
      </c>
      <c r="L354" s="53">
        <f t="shared" si="8"/>
      </c>
      <c r="M354" s="59">
        <f t="shared" si="9"/>
      </c>
      <c r="N354" s="69">
        <f t="shared" si="10"/>
      </c>
      <c r="P354" s="22">
        <f t="shared" si="11"/>
      </c>
    </row>
    <row r="355">
      <c r="A355" s="56">
        <f>IF($B355="","",350)</f>
      </c>
      <c r="B355" s="66">
        <f>IF(往来单位!$B$353="","",往来单位!$B$353)</f>
      </c>
      <c r="C355" s="56">
        <f>IF($B355="","",往来单位!$C$353&amp;"")</f>
      </c>
      <c r="D355" s="53">
        <f t="shared" si="0"/>
      </c>
      <c r="E355" s="53">
        <f t="shared" si="1"/>
      </c>
      <c r="F355" s="53">
        <f t="shared" si="2"/>
      </c>
      <c r="G355" s="59">
        <f t="shared" si="3"/>
      </c>
      <c r="H355" s="53">
        <f t="shared" si="4"/>
      </c>
      <c r="I355" s="53">
        <f t="shared" si="5"/>
      </c>
      <c r="J355" s="53">
        <f t="shared" si="6"/>
      </c>
      <c r="K355" s="59">
        <f t="shared" si="7"/>
      </c>
      <c r="L355" s="53">
        <f t="shared" si="8"/>
      </c>
      <c r="M355" s="59">
        <f t="shared" si="9"/>
      </c>
      <c r="N355" s="69">
        <f t="shared" si="10"/>
      </c>
      <c r="P355" s="22">
        <f t="shared" si="11"/>
      </c>
    </row>
    <row r="356">
      <c r="A356" s="56">
        <f>IF($B356="","",351)</f>
      </c>
      <c r="B356" s="66">
        <f>IF(往来单位!$B$354="","",往来单位!$B$354)</f>
      </c>
      <c r="C356" s="56">
        <f>IF($B356="","",往来单位!$C$354&amp;"")</f>
      </c>
      <c r="D356" s="53">
        <f t="shared" si="0"/>
      </c>
      <c r="E356" s="53">
        <f t="shared" si="1"/>
      </c>
      <c r="F356" s="53">
        <f t="shared" si="2"/>
      </c>
      <c r="G356" s="59">
        <f t="shared" si="3"/>
      </c>
      <c r="H356" s="53">
        <f t="shared" si="4"/>
      </c>
      <c r="I356" s="53">
        <f t="shared" si="5"/>
      </c>
      <c r="J356" s="53">
        <f t="shared" si="6"/>
      </c>
      <c r="K356" s="59">
        <f t="shared" si="7"/>
      </c>
      <c r="L356" s="53">
        <f t="shared" si="8"/>
      </c>
      <c r="M356" s="59">
        <f t="shared" si="9"/>
      </c>
      <c r="N356" s="69">
        <f t="shared" si="10"/>
      </c>
      <c r="P356" s="22">
        <f t="shared" si="11"/>
      </c>
    </row>
    <row r="357">
      <c r="A357" s="56">
        <f>IF($B357="","",352)</f>
      </c>
      <c r="B357" s="66">
        <f>IF(往来单位!$B$355="","",往来单位!$B$355)</f>
      </c>
      <c r="C357" s="56">
        <f>IF($B357="","",往来单位!$C$355&amp;"")</f>
      </c>
      <c r="D357" s="53">
        <f t="shared" si="0"/>
      </c>
      <c r="E357" s="53">
        <f t="shared" si="1"/>
      </c>
      <c r="F357" s="53">
        <f t="shared" si="2"/>
      </c>
      <c r="G357" s="59">
        <f t="shared" si="3"/>
      </c>
      <c r="H357" s="53">
        <f t="shared" si="4"/>
      </c>
      <c r="I357" s="53">
        <f t="shared" si="5"/>
      </c>
      <c r="J357" s="53">
        <f t="shared" si="6"/>
      </c>
      <c r="K357" s="59">
        <f t="shared" si="7"/>
      </c>
      <c r="L357" s="53">
        <f t="shared" si="8"/>
      </c>
      <c r="M357" s="59">
        <f t="shared" si="9"/>
      </c>
      <c r="N357" s="69">
        <f t="shared" si="10"/>
      </c>
      <c r="P357" s="22">
        <f t="shared" si="11"/>
      </c>
    </row>
    <row r="358">
      <c r="A358" s="56">
        <f>IF($B358="","",353)</f>
      </c>
      <c r="B358" s="66">
        <f>IF(往来单位!$B$356="","",往来单位!$B$356)</f>
      </c>
      <c r="C358" s="56">
        <f>IF($B358="","",往来单位!$C$356&amp;"")</f>
      </c>
      <c r="D358" s="53">
        <f t="shared" si="0"/>
      </c>
      <c r="E358" s="53">
        <f t="shared" si="1"/>
      </c>
      <c r="F358" s="53">
        <f t="shared" si="2"/>
      </c>
      <c r="G358" s="59">
        <f t="shared" si="3"/>
      </c>
      <c r="H358" s="53">
        <f t="shared" si="4"/>
      </c>
      <c r="I358" s="53">
        <f t="shared" si="5"/>
      </c>
      <c r="J358" s="53">
        <f t="shared" si="6"/>
      </c>
      <c r="K358" s="59">
        <f t="shared" si="7"/>
      </c>
      <c r="L358" s="53">
        <f t="shared" si="8"/>
      </c>
      <c r="M358" s="59">
        <f t="shared" si="9"/>
      </c>
      <c r="N358" s="69">
        <f t="shared" si="10"/>
      </c>
      <c r="P358" s="22">
        <f t="shared" si="11"/>
      </c>
    </row>
    <row r="359">
      <c r="A359" s="56">
        <f>IF($B359="","",354)</f>
      </c>
      <c r="B359" s="66">
        <f>IF(往来单位!$B$357="","",往来单位!$B$357)</f>
      </c>
      <c r="C359" s="56">
        <f>IF($B359="","",往来单位!$C$357&amp;"")</f>
      </c>
      <c r="D359" s="53">
        <f t="shared" si="0"/>
      </c>
      <c r="E359" s="53">
        <f t="shared" si="1"/>
      </c>
      <c r="F359" s="53">
        <f t="shared" si="2"/>
      </c>
      <c r="G359" s="59">
        <f t="shared" si="3"/>
      </c>
      <c r="H359" s="53">
        <f t="shared" si="4"/>
      </c>
      <c r="I359" s="53">
        <f t="shared" si="5"/>
      </c>
      <c r="J359" s="53">
        <f t="shared" si="6"/>
      </c>
      <c r="K359" s="59">
        <f t="shared" si="7"/>
      </c>
      <c r="L359" s="53">
        <f t="shared" si="8"/>
      </c>
      <c r="M359" s="59">
        <f t="shared" si="9"/>
      </c>
      <c r="N359" s="69">
        <f t="shared" si="10"/>
      </c>
      <c r="P359" s="22">
        <f t="shared" si="11"/>
      </c>
    </row>
    <row r="360">
      <c r="A360" s="56">
        <f>IF($B360="","",355)</f>
      </c>
      <c r="B360" s="66">
        <f>IF(往来单位!$B$358="","",往来单位!$B$358)</f>
      </c>
      <c r="C360" s="56">
        <f>IF($B360="","",往来单位!$C$358&amp;"")</f>
      </c>
      <c r="D360" s="53">
        <f t="shared" si="0"/>
      </c>
      <c r="E360" s="53">
        <f t="shared" si="1"/>
      </c>
      <c r="F360" s="53">
        <f t="shared" si="2"/>
      </c>
      <c r="G360" s="59">
        <f t="shared" si="3"/>
      </c>
      <c r="H360" s="53">
        <f t="shared" si="4"/>
      </c>
      <c r="I360" s="53">
        <f t="shared" si="5"/>
      </c>
      <c r="J360" s="53">
        <f t="shared" si="6"/>
      </c>
      <c r="K360" s="59">
        <f t="shared" si="7"/>
      </c>
      <c r="L360" s="53">
        <f t="shared" si="8"/>
      </c>
      <c r="M360" s="59">
        <f t="shared" si="9"/>
      </c>
      <c r="N360" s="69">
        <f t="shared" si="10"/>
      </c>
      <c r="P360" s="22">
        <f t="shared" si="11"/>
      </c>
    </row>
    <row r="361">
      <c r="A361" s="56">
        <f>IF($B361="","",356)</f>
      </c>
      <c r="B361" s="66">
        <f>IF(往来单位!$B$359="","",往来单位!$B$359)</f>
      </c>
      <c r="C361" s="56">
        <f>IF($B361="","",往来单位!$C$359&amp;"")</f>
      </c>
      <c r="D361" s="53">
        <f t="shared" si="0"/>
      </c>
      <c r="E361" s="53">
        <f t="shared" si="1"/>
      </c>
      <c r="F361" s="53">
        <f t="shared" si="2"/>
      </c>
      <c r="G361" s="59">
        <f t="shared" si="3"/>
      </c>
      <c r="H361" s="53">
        <f t="shared" si="4"/>
      </c>
      <c r="I361" s="53">
        <f t="shared" si="5"/>
      </c>
      <c r="J361" s="53">
        <f t="shared" si="6"/>
      </c>
      <c r="K361" s="59">
        <f t="shared" si="7"/>
      </c>
      <c r="L361" s="53">
        <f t="shared" si="8"/>
      </c>
      <c r="M361" s="59">
        <f t="shared" si="9"/>
      </c>
      <c r="N361" s="69">
        <f t="shared" si="10"/>
      </c>
      <c r="P361" s="22">
        <f t="shared" si="11"/>
      </c>
    </row>
    <row r="362">
      <c r="A362" s="56">
        <f>IF($B362="","",357)</f>
      </c>
      <c r="B362" s="66">
        <f>IF(往来单位!$B$360="","",往来单位!$B$360)</f>
      </c>
      <c r="C362" s="56">
        <f>IF($B362="","",往来单位!$C$360&amp;"")</f>
      </c>
      <c r="D362" s="53">
        <f t="shared" si="0"/>
      </c>
      <c r="E362" s="53">
        <f t="shared" si="1"/>
      </c>
      <c r="F362" s="53">
        <f t="shared" si="2"/>
      </c>
      <c r="G362" s="59">
        <f t="shared" si="3"/>
      </c>
      <c r="H362" s="53">
        <f t="shared" si="4"/>
      </c>
      <c r="I362" s="53">
        <f t="shared" si="5"/>
      </c>
      <c r="J362" s="53">
        <f t="shared" si="6"/>
      </c>
      <c r="K362" s="59">
        <f t="shared" si="7"/>
      </c>
      <c r="L362" s="53">
        <f t="shared" si="8"/>
      </c>
      <c r="M362" s="59">
        <f t="shared" si="9"/>
      </c>
      <c r="N362" s="69">
        <f t="shared" si="10"/>
      </c>
      <c r="P362" s="22">
        <f t="shared" si="11"/>
      </c>
    </row>
    <row r="363">
      <c r="A363" s="56">
        <f>IF($B363="","",358)</f>
      </c>
      <c r="B363" s="66">
        <f>IF(往来单位!$B$361="","",往来单位!$B$361)</f>
      </c>
      <c r="C363" s="56">
        <f>IF($B363="","",往来单位!$C$361&amp;"")</f>
      </c>
      <c r="D363" s="53">
        <f t="shared" si="0"/>
      </c>
      <c r="E363" s="53">
        <f t="shared" si="1"/>
      </c>
      <c r="F363" s="53">
        <f t="shared" si="2"/>
      </c>
      <c r="G363" s="59">
        <f t="shared" si="3"/>
      </c>
      <c r="H363" s="53">
        <f t="shared" si="4"/>
      </c>
      <c r="I363" s="53">
        <f t="shared" si="5"/>
      </c>
      <c r="J363" s="53">
        <f t="shared" si="6"/>
      </c>
      <c r="K363" s="59">
        <f t="shared" si="7"/>
      </c>
      <c r="L363" s="53">
        <f t="shared" si="8"/>
      </c>
      <c r="M363" s="59">
        <f t="shared" si="9"/>
      </c>
      <c r="N363" s="69">
        <f t="shared" si="10"/>
      </c>
      <c r="P363" s="22">
        <f t="shared" si="11"/>
      </c>
    </row>
    <row r="364">
      <c r="A364" s="56">
        <f>IF($B364="","",359)</f>
      </c>
      <c r="B364" s="66">
        <f>IF(往来单位!$B$362="","",往来单位!$B$362)</f>
      </c>
      <c r="C364" s="56">
        <f>IF($B364="","",往来单位!$C$362&amp;"")</f>
      </c>
      <c r="D364" s="53">
        <f t="shared" si="0"/>
      </c>
      <c r="E364" s="53">
        <f t="shared" si="1"/>
      </c>
      <c r="F364" s="53">
        <f t="shared" si="2"/>
      </c>
      <c r="G364" s="59">
        <f t="shared" si="3"/>
      </c>
      <c r="H364" s="53">
        <f t="shared" si="4"/>
      </c>
      <c r="I364" s="53">
        <f t="shared" si="5"/>
      </c>
      <c r="J364" s="53">
        <f t="shared" si="6"/>
      </c>
      <c r="K364" s="59">
        <f t="shared" si="7"/>
      </c>
      <c r="L364" s="53">
        <f t="shared" si="8"/>
      </c>
      <c r="M364" s="59">
        <f t="shared" si="9"/>
      </c>
      <c r="N364" s="69">
        <f t="shared" si="10"/>
      </c>
      <c r="P364" s="22">
        <f t="shared" si="11"/>
      </c>
    </row>
    <row r="365">
      <c r="A365" s="56">
        <f>IF($B365="","",360)</f>
      </c>
      <c r="B365" s="66">
        <f>IF(往来单位!$B$363="","",往来单位!$B$363)</f>
      </c>
      <c r="C365" s="56">
        <f>IF($B365="","",往来单位!$C$363&amp;"")</f>
      </c>
      <c r="D365" s="53">
        <f t="shared" si="0"/>
      </c>
      <c r="E365" s="53">
        <f t="shared" si="1"/>
      </c>
      <c r="F365" s="53">
        <f t="shared" si="2"/>
      </c>
      <c r="G365" s="59">
        <f t="shared" si="3"/>
      </c>
      <c r="H365" s="53">
        <f t="shared" si="4"/>
      </c>
      <c r="I365" s="53">
        <f t="shared" si="5"/>
      </c>
      <c r="J365" s="53">
        <f t="shared" si="6"/>
      </c>
      <c r="K365" s="59">
        <f t="shared" si="7"/>
      </c>
      <c r="L365" s="53">
        <f t="shared" si="8"/>
      </c>
      <c r="M365" s="59">
        <f t="shared" si="9"/>
      </c>
      <c r="N365" s="69">
        <f t="shared" si="10"/>
      </c>
      <c r="P365" s="22">
        <f t="shared" si="11"/>
      </c>
    </row>
    <row r="366">
      <c r="A366" s="56">
        <f>IF($B366="","",361)</f>
      </c>
      <c r="B366" s="66">
        <f>IF(往来单位!$B$364="","",往来单位!$B$364)</f>
      </c>
      <c r="C366" s="56">
        <f>IF($B366="","",往来单位!$C$364&amp;"")</f>
      </c>
      <c r="D366" s="53">
        <f t="shared" si="0"/>
      </c>
      <c r="E366" s="53">
        <f t="shared" si="1"/>
      </c>
      <c r="F366" s="53">
        <f t="shared" si="2"/>
      </c>
      <c r="G366" s="59">
        <f t="shared" si="3"/>
      </c>
      <c r="H366" s="53">
        <f t="shared" si="4"/>
      </c>
      <c r="I366" s="53">
        <f t="shared" si="5"/>
      </c>
      <c r="J366" s="53">
        <f t="shared" si="6"/>
      </c>
      <c r="K366" s="59">
        <f t="shared" si="7"/>
      </c>
      <c r="L366" s="53">
        <f t="shared" si="8"/>
      </c>
      <c r="M366" s="59">
        <f t="shared" si="9"/>
      </c>
      <c r="N366" s="69">
        <f t="shared" si="10"/>
      </c>
      <c r="P366" s="22">
        <f t="shared" si="11"/>
      </c>
    </row>
    <row r="367">
      <c r="A367" s="56">
        <f>IF($B367="","",362)</f>
      </c>
      <c r="B367" s="66">
        <f>IF(往来单位!$B$365="","",往来单位!$B$365)</f>
      </c>
      <c r="C367" s="56">
        <f>IF($B367="","",往来单位!$C$365&amp;"")</f>
      </c>
      <c r="D367" s="53">
        <f t="shared" si="0"/>
      </c>
      <c r="E367" s="53">
        <f t="shared" si="1"/>
      </c>
      <c r="F367" s="53">
        <f t="shared" si="2"/>
      </c>
      <c r="G367" s="59">
        <f t="shared" si="3"/>
      </c>
      <c r="H367" s="53">
        <f t="shared" si="4"/>
      </c>
      <c r="I367" s="53">
        <f t="shared" si="5"/>
      </c>
      <c r="J367" s="53">
        <f t="shared" si="6"/>
      </c>
      <c r="K367" s="59">
        <f t="shared" si="7"/>
      </c>
      <c r="L367" s="53">
        <f t="shared" si="8"/>
      </c>
      <c r="M367" s="59">
        <f t="shared" si="9"/>
      </c>
      <c r="N367" s="69">
        <f t="shared" si="10"/>
      </c>
      <c r="P367" s="22">
        <f t="shared" si="11"/>
      </c>
    </row>
    <row r="368">
      <c r="A368" s="56">
        <f>IF($B368="","",363)</f>
      </c>
      <c r="B368" s="66">
        <f>IF(往来单位!$B$366="","",往来单位!$B$366)</f>
      </c>
      <c r="C368" s="56">
        <f>IF($B368="","",往来单位!$C$366&amp;"")</f>
      </c>
      <c r="D368" s="53">
        <f t="shared" si="0"/>
      </c>
      <c r="E368" s="53">
        <f t="shared" si="1"/>
      </c>
      <c r="F368" s="53">
        <f t="shared" si="2"/>
      </c>
      <c r="G368" s="59">
        <f t="shared" si="3"/>
      </c>
      <c r="H368" s="53">
        <f t="shared" si="4"/>
      </c>
      <c r="I368" s="53">
        <f t="shared" si="5"/>
      </c>
      <c r="J368" s="53">
        <f t="shared" si="6"/>
      </c>
      <c r="K368" s="59">
        <f t="shared" si="7"/>
      </c>
      <c r="L368" s="53">
        <f t="shared" si="8"/>
      </c>
      <c r="M368" s="59">
        <f t="shared" si="9"/>
      </c>
      <c r="N368" s="69">
        <f t="shared" si="10"/>
      </c>
      <c r="P368" s="22">
        <f t="shared" si="11"/>
      </c>
    </row>
    <row r="369">
      <c r="A369" s="56">
        <f>IF($B369="","",364)</f>
      </c>
      <c r="B369" s="66">
        <f>IF(往来单位!$B$367="","",往来单位!$B$367)</f>
      </c>
      <c r="C369" s="56">
        <f>IF($B369="","",往来单位!$C$367&amp;"")</f>
      </c>
      <c r="D369" s="53">
        <f t="shared" si="0"/>
      </c>
      <c r="E369" s="53">
        <f t="shared" si="1"/>
      </c>
      <c r="F369" s="53">
        <f t="shared" si="2"/>
      </c>
      <c r="G369" s="59">
        <f t="shared" si="3"/>
      </c>
      <c r="H369" s="53">
        <f t="shared" si="4"/>
      </c>
      <c r="I369" s="53">
        <f t="shared" si="5"/>
      </c>
      <c r="J369" s="53">
        <f t="shared" si="6"/>
      </c>
      <c r="K369" s="59">
        <f t="shared" si="7"/>
      </c>
      <c r="L369" s="53">
        <f t="shared" si="8"/>
      </c>
      <c r="M369" s="59">
        <f t="shared" si="9"/>
      </c>
      <c r="N369" s="69">
        <f t="shared" si="10"/>
      </c>
      <c r="P369" s="22">
        <f t="shared" si="11"/>
      </c>
    </row>
    <row r="370">
      <c r="A370" s="56">
        <f>IF($B370="","",365)</f>
      </c>
      <c r="B370" s="66">
        <f>IF(往来单位!$B$368="","",往来单位!$B$368)</f>
      </c>
      <c r="C370" s="56">
        <f>IF($B370="","",往来单位!$C$368&amp;"")</f>
      </c>
      <c r="D370" s="53">
        <f t="shared" si="0"/>
      </c>
      <c r="E370" s="53">
        <f t="shared" si="1"/>
      </c>
      <c r="F370" s="53">
        <f t="shared" si="2"/>
      </c>
      <c r="G370" s="59">
        <f t="shared" si="3"/>
      </c>
      <c r="H370" s="53">
        <f t="shared" si="4"/>
      </c>
      <c r="I370" s="53">
        <f t="shared" si="5"/>
      </c>
      <c r="J370" s="53">
        <f t="shared" si="6"/>
      </c>
      <c r="K370" s="59">
        <f t="shared" si="7"/>
      </c>
      <c r="L370" s="53">
        <f t="shared" si="8"/>
      </c>
      <c r="M370" s="59">
        <f t="shared" si="9"/>
      </c>
      <c r="N370" s="69">
        <f t="shared" si="10"/>
      </c>
      <c r="P370" s="22">
        <f t="shared" si="11"/>
      </c>
    </row>
    <row r="371">
      <c r="A371" s="56">
        <f>IF($B371="","",366)</f>
      </c>
      <c r="B371" s="66">
        <f>IF(往来单位!$B$369="","",往来单位!$B$369)</f>
      </c>
      <c r="C371" s="56">
        <f>IF($B371="","",往来单位!$C$369&amp;"")</f>
      </c>
      <c r="D371" s="53">
        <f t="shared" si="0"/>
      </c>
      <c r="E371" s="53">
        <f t="shared" si="1"/>
      </c>
      <c r="F371" s="53">
        <f t="shared" si="2"/>
      </c>
      <c r="G371" s="59">
        <f t="shared" si="3"/>
      </c>
      <c r="H371" s="53">
        <f t="shared" si="4"/>
      </c>
      <c r="I371" s="53">
        <f t="shared" si="5"/>
      </c>
      <c r="J371" s="53">
        <f t="shared" si="6"/>
      </c>
      <c r="K371" s="59">
        <f t="shared" si="7"/>
      </c>
      <c r="L371" s="53">
        <f t="shared" si="8"/>
      </c>
      <c r="M371" s="59">
        <f t="shared" si="9"/>
      </c>
      <c r="N371" s="69">
        <f t="shared" si="10"/>
      </c>
      <c r="P371" s="22">
        <f t="shared" si="11"/>
      </c>
    </row>
    <row r="372">
      <c r="A372" s="56">
        <f>IF($B372="","",367)</f>
      </c>
      <c r="B372" s="66">
        <f>IF(往来单位!$B$370="","",往来单位!$B$370)</f>
      </c>
      <c r="C372" s="56">
        <f>IF($B372="","",往来单位!$C$370&amp;"")</f>
      </c>
      <c r="D372" s="53">
        <f t="shared" si="0"/>
      </c>
      <c r="E372" s="53">
        <f t="shared" si="1"/>
      </c>
      <c r="F372" s="53">
        <f t="shared" si="2"/>
      </c>
      <c r="G372" s="59">
        <f t="shared" si="3"/>
      </c>
      <c r="H372" s="53">
        <f t="shared" si="4"/>
      </c>
      <c r="I372" s="53">
        <f t="shared" si="5"/>
      </c>
      <c r="J372" s="53">
        <f t="shared" si="6"/>
      </c>
      <c r="K372" s="59">
        <f t="shared" si="7"/>
      </c>
      <c r="L372" s="53">
        <f t="shared" si="8"/>
      </c>
      <c r="M372" s="59">
        <f t="shared" si="9"/>
      </c>
      <c r="N372" s="69">
        <f t="shared" si="10"/>
      </c>
      <c r="P372" s="22">
        <f t="shared" si="11"/>
      </c>
    </row>
    <row r="373">
      <c r="A373" s="56">
        <f>IF($B373="","",368)</f>
      </c>
      <c r="B373" s="66">
        <f>IF(往来单位!$B$371="","",往来单位!$B$371)</f>
      </c>
      <c r="C373" s="56">
        <f>IF($B373="","",往来单位!$C$371&amp;"")</f>
      </c>
      <c r="D373" s="53">
        <f t="shared" si="0"/>
      </c>
      <c r="E373" s="53">
        <f t="shared" si="1"/>
      </c>
      <c r="F373" s="53">
        <f t="shared" si="2"/>
      </c>
      <c r="G373" s="59">
        <f t="shared" si="3"/>
      </c>
      <c r="H373" s="53">
        <f t="shared" si="4"/>
      </c>
      <c r="I373" s="53">
        <f t="shared" si="5"/>
      </c>
      <c r="J373" s="53">
        <f t="shared" si="6"/>
      </c>
      <c r="K373" s="59">
        <f t="shared" si="7"/>
      </c>
      <c r="L373" s="53">
        <f t="shared" si="8"/>
      </c>
      <c r="M373" s="59">
        <f t="shared" si="9"/>
      </c>
      <c r="N373" s="69">
        <f t="shared" si="10"/>
      </c>
      <c r="P373" s="22">
        <f t="shared" si="11"/>
      </c>
    </row>
    <row r="374">
      <c r="A374" s="56">
        <f>IF($B374="","",369)</f>
      </c>
      <c r="B374" s="66">
        <f>IF(往来单位!$B$372="","",往来单位!$B$372)</f>
      </c>
      <c r="C374" s="56">
        <f>IF($B374="","",往来单位!$C$372&amp;"")</f>
      </c>
      <c r="D374" s="53">
        <f t="shared" si="0"/>
      </c>
      <c r="E374" s="53">
        <f t="shared" si="1"/>
      </c>
      <c r="F374" s="53">
        <f t="shared" si="2"/>
      </c>
      <c r="G374" s="59">
        <f t="shared" si="3"/>
      </c>
      <c r="H374" s="53">
        <f t="shared" si="4"/>
      </c>
      <c r="I374" s="53">
        <f t="shared" si="5"/>
      </c>
      <c r="J374" s="53">
        <f t="shared" si="6"/>
      </c>
      <c r="K374" s="59">
        <f t="shared" si="7"/>
      </c>
      <c r="L374" s="53">
        <f t="shared" si="8"/>
      </c>
      <c r="M374" s="59">
        <f t="shared" si="9"/>
      </c>
      <c r="N374" s="69">
        <f t="shared" si="10"/>
      </c>
      <c r="P374" s="22">
        <f t="shared" si="11"/>
      </c>
    </row>
    <row r="375">
      <c r="A375" s="56">
        <f>IF($B375="","",370)</f>
      </c>
      <c r="B375" s="66">
        <f>IF(往来单位!$B$373="","",往来单位!$B$373)</f>
      </c>
      <c r="C375" s="56">
        <f>IF($B375="","",往来单位!$C$373&amp;"")</f>
      </c>
      <c r="D375" s="53">
        <f t="shared" si="0"/>
      </c>
      <c r="E375" s="53">
        <f t="shared" si="1"/>
      </c>
      <c r="F375" s="53">
        <f t="shared" si="2"/>
      </c>
      <c r="G375" s="59">
        <f t="shared" si="3"/>
      </c>
      <c r="H375" s="53">
        <f t="shared" si="4"/>
      </c>
      <c r="I375" s="53">
        <f t="shared" si="5"/>
      </c>
      <c r="J375" s="53">
        <f t="shared" si="6"/>
      </c>
      <c r="K375" s="59">
        <f t="shared" si="7"/>
      </c>
      <c r="L375" s="53">
        <f t="shared" si="8"/>
      </c>
      <c r="M375" s="59">
        <f t="shared" si="9"/>
      </c>
      <c r="N375" s="69">
        <f t="shared" si="10"/>
      </c>
      <c r="P375" s="22">
        <f t="shared" si="11"/>
      </c>
    </row>
    <row r="376">
      <c r="A376" s="56">
        <f>IF($B376="","",371)</f>
      </c>
      <c r="B376" s="66">
        <f>IF(往来单位!$B$374="","",往来单位!$B$374)</f>
      </c>
      <c r="C376" s="56">
        <f>IF($B376="","",往来单位!$C$374&amp;"")</f>
      </c>
      <c r="D376" s="53">
        <f t="shared" si="0"/>
      </c>
      <c r="E376" s="53">
        <f t="shared" si="1"/>
      </c>
      <c r="F376" s="53">
        <f t="shared" si="2"/>
      </c>
      <c r="G376" s="59">
        <f t="shared" si="3"/>
      </c>
      <c r="H376" s="53">
        <f t="shared" si="4"/>
      </c>
      <c r="I376" s="53">
        <f t="shared" si="5"/>
      </c>
      <c r="J376" s="53">
        <f t="shared" si="6"/>
      </c>
      <c r="K376" s="59">
        <f t="shared" si="7"/>
      </c>
      <c r="L376" s="53">
        <f t="shared" si="8"/>
      </c>
      <c r="M376" s="59">
        <f t="shared" si="9"/>
      </c>
      <c r="N376" s="69">
        <f t="shared" si="10"/>
      </c>
      <c r="P376" s="22">
        <f t="shared" si="11"/>
      </c>
    </row>
    <row r="377">
      <c r="A377" s="56">
        <f>IF($B377="","",372)</f>
      </c>
      <c r="B377" s="66">
        <f>IF(往来单位!$B$375="","",往来单位!$B$375)</f>
      </c>
      <c r="C377" s="56">
        <f>IF($B377="","",往来单位!$C$375&amp;"")</f>
      </c>
      <c r="D377" s="53">
        <f t="shared" si="0"/>
      </c>
      <c r="E377" s="53">
        <f t="shared" si="1"/>
      </c>
      <c r="F377" s="53">
        <f t="shared" si="2"/>
      </c>
      <c r="G377" s="59">
        <f t="shared" si="3"/>
      </c>
      <c r="H377" s="53">
        <f t="shared" si="4"/>
      </c>
      <c r="I377" s="53">
        <f t="shared" si="5"/>
      </c>
      <c r="J377" s="53">
        <f t="shared" si="6"/>
      </c>
      <c r="K377" s="59">
        <f t="shared" si="7"/>
      </c>
      <c r="L377" s="53">
        <f t="shared" si="8"/>
      </c>
      <c r="M377" s="59">
        <f t="shared" si="9"/>
      </c>
      <c r="N377" s="69">
        <f t="shared" si="10"/>
      </c>
      <c r="P377" s="22">
        <f t="shared" si="11"/>
      </c>
    </row>
    <row r="378">
      <c r="A378" s="56">
        <f>IF($B378="","",373)</f>
      </c>
      <c r="B378" s="66">
        <f>IF(往来单位!$B$376="","",往来单位!$B$376)</f>
      </c>
      <c r="C378" s="56">
        <f>IF($B378="","",往来单位!$C$376&amp;"")</f>
      </c>
      <c r="D378" s="53">
        <f t="shared" si="0"/>
      </c>
      <c r="E378" s="53">
        <f t="shared" si="1"/>
      </c>
      <c r="F378" s="53">
        <f t="shared" si="2"/>
      </c>
      <c r="G378" s="59">
        <f t="shared" si="3"/>
      </c>
      <c r="H378" s="53">
        <f t="shared" si="4"/>
      </c>
      <c r="I378" s="53">
        <f t="shared" si="5"/>
      </c>
      <c r="J378" s="53">
        <f t="shared" si="6"/>
      </c>
      <c r="K378" s="59">
        <f t="shared" si="7"/>
      </c>
      <c r="L378" s="53">
        <f t="shared" si="8"/>
      </c>
      <c r="M378" s="59">
        <f t="shared" si="9"/>
      </c>
      <c r="N378" s="69">
        <f t="shared" si="10"/>
      </c>
      <c r="P378" s="22">
        <f t="shared" si="11"/>
      </c>
    </row>
    <row r="379">
      <c r="A379" s="56">
        <f>IF($B379="","",374)</f>
      </c>
      <c r="B379" s="66">
        <f>IF(往来单位!$B$377="","",往来单位!$B$377)</f>
      </c>
      <c r="C379" s="56">
        <f>IF($B379="","",往来单位!$C$377&amp;"")</f>
      </c>
      <c r="D379" s="53">
        <f t="shared" si="0"/>
      </c>
      <c r="E379" s="53">
        <f t="shared" si="1"/>
      </c>
      <c r="F379" s="53">
        <f t="shared" si="2"/>
      </c>
      <c r="G379" s="59">
        <f t="shared" si="3"/>
      </c>
      <c r="H379" s="53">
        <f t="shared" si="4"/>
      </c>
      <c r="I379" s="53">
        <f t="shared" si="5"/>
      </c>
      <c r="J379" s="53">
        <f t="shared" si="6"/>
      </c>
      <c r="K379" s="59">
        <f t="shared" si="7"/>
      </c>
      <c r="L379" s="53">
        <f t="shared" si="8"/>
      </c>
      <c r="M379" s="59">
        <f t="shared" si="9"/>
      </c>
      <c r="N379" s="69">
        <f t="shared" si="10"/>
      </c>
      <c r="P379" s="22">
        <f t="shared" si="11"/>
      </c>
    </row>
    <row r="380">
      <c r="A380" s="56">
        <f>IF($B380="","",375)</f>
      </c>
      <c r="B380" s="66">
        <f>IF(往来单位!$B$378="","",往来单位!$B$378)</f>
      </c>
      <c r="C380" s="56">
        <f>IF($B380="","",往来单位!$C$378&amp;"")</f>
      </c>
      <c r="D380" s="53">
        <f t="shared" si="0"/>
      </c>
      <c r="E380" s="53">
        <f t="shared" si="1"/>
      </c>
      <c r="F380" s="53">
        <f t="shared" si="2"/>
      </c>
      <c r="G380" s="59">
        <f t="shared" si="3"/>
      </c>
      <c r="H380" s="53">
        <f t="shared" si="4"/>
      </c>
      <c r="I380" s="53">
        <f t="shared" si="5"/>
      </c>
      <c r="J380" s="53">
        <f t="shared" si="6"/>
      </c>
      <c r="K380" s="59">
        <f t="shared" si="7"/>
      </c>
      <c r="L380" s="53">
        <f t="shared" si="8"/>
      </c>
      <c r="M380" s="59">
        <f t="shared" si="9"/>
      </c>
      <c r="N380" s="69">
        <f t="shared" si="10"/>
      </c>
      <c r="P380" s="22">
        <f t="shared" si="11"/>
      </c>
    </row>
    <row r="381">
      <c r="A381" s="56">
        <f>IF($B381="","",376)</f>
      </c>
      <c r="B381" s="66">
        <f>IF(往来单位!$B$379="","",往来单位!$B$379)</f>
      </c>
      <c r="C381" s="56">
        <f>IF($B381="","",往来单位!$C$379&amp;"")</f>
      </c>
      <c r="D381" s="53">
        <f t="shared" si="0"/>
      </c>
      <c r="E381" s="53">
        <f t="shared" si="1"/>
      </c>
      <c r="F381" s="53">
        <f t="shared" si="2"/>
      </c>
      <c r="G381" s="59">
        <f t="shared" si="3"/>
      </c>
      <c r="H381" s="53">
        <f t="shared" si="4"/>
      </c>
      <c r="I381" s="53">
        <f t="shared" si="5"/>
      </c>
      <c r="J381" s="53">
        <f t="shared" si="6"/>
      </c>
      <c r="K381" s="59">
        <f t="shared" si="7"/>
      </c>
      <c r="L381" s="53">
        <f t="shared" si="8"/>
      </c>
      <c r="M381" s="59">
        <f t="shared" si="9"/>
      </c>
      <c r="N381" s="69">
        <f t="shared" si="10"/>
      </c>
      <c r="P381" s="22">
        <f t="shared" si="11"/>
      </c>
    </row>
    <row r="382">
      <c r="A382" s="56">
        <f>IF($B382="","",377)</f>
      </c>
      <c r="B382" s="66">
        <f>IF(往来单位!$B$380="","",往来单位!$B$380)</f>
      </c>
      <c r="C382" s="56">
        <f>IF($B382="","",往来单位!$C$380&amp;"")</f>
      </c>
      <c r="D382" s="53">
        <f t="shared" si="0"/>
      </c>
      <c r="E382" s="53">
        <f t="shared" si="1"/>
      </c>
      <c r="F382" s="53">
        <f t="shared" si="2"/>
      </c>
      <c r="G382" s="59">
        <f t="shared" si="3"/>
      </c>
      <c r="H382" s="53">
        <f t="shared" si="4"/>
      </c>
      <c r="I382" s="53">
        <f t="shared" si="5"/>
      </c>
      <c r="J382" s="53">
        <f t="shared" si="6"/>
      </c>
      <c r="K382" s="59">
        <f t="shared" si="7"/>
      </c>
      <c r="L382" s="53">
        <f t="shared" si="8"/>
      </c>
      <c r="M382" s="59">
        <f t="shared" si="9"/>
      </c>
      <c r="N382" s="69">
        <f t="shared" si="10"/>
      </c>
      <c r="P382" s="22">
        <f t="shared" si="11"/>
      </c>
    </row>
    <row r="383">
      <c r="A383" s="56">
        <f>IF($B383="","",378)</f>
      </c>
      <c r="B383" s="66">
        <f>IF(往来单位!$B$381="","",往来单位!$B$381)</f>
      </c>
      <c r="C383" s="56">
        <f>IF($B383="","",往来单位!$C$381&amp;"")</f>
      </c>
      <c r="D383" s="53">
        <f t="shared" si="0"/>
      </c>
      <c r="E383" s="53">
        <f t="shared" si="1"/>
      </c>
      <c r="F383" s="53">
        <f t="shared" si="2"/>
      </c>
      <c r="G383" s="59">
        <f t="shared" si="3"/>
      </c>
      <c r="H383" s="53">
        <f t="shared" si="4"/>
      </c>
      <c r="I383" s="53">
        <f t="shared" si="5"/>
      </c>
      <c r="J383" s="53">
        <f t="shared" si="6"/>
      </c>
      <c r="K383" s="59">
        <f t="shared" si="7"/>
      </c>
      <c r="L383" s="53">
        <f t="shared" si="8"/>
      </c>
      <c r="M383" s="59">
        <f t="shared" si="9"/>
      </c>
      <c r="N383" s="69">
        <f t="shared" si="10"/>
      </c>
      <c r="P383" s="22">
        <f t="shared" si="11"/>
      </c>
    </row>
    <row r="384">
      <c r="A384" s="56">
        <f>IF($B384="","",379)</f>
      </c>
      <c r="B384" s="66">
        <f>IF(往来单位!$B$382="","",往来单位!$B$382)</f>
      </c>
      <c r="C384" s="56">
        <f>IF($B384="","",往来单位!$C$382&amp;"")</f>
      </c>
      <c r="D384" s="53">
        <f t="shared" si="0"/>
      </c>
      <c r="E384" s="53">
        <f t="shared" si="1"/>
      </c>
      <c r="F384" s="53">
        <f t="shared" si="2"/>
      </c>
      <c r="G384" s="59">
        <f t="shared" si="3"/>
      </c>
      <c r="H384" s="53">
        <f t="shared" si="4"/>
      </c>
      <c r="I384" s="53">
        <f t="shared" si="5"/>
      </c>
      <c r="J384" s="53">
        <f t="shared" si="6"/>
      </c>
      <c r="K384" s="59">
        <f t="shared" si="7"/>
      </c>
      <c r="L384" s="53">
        <f t="shared" si="8"/>
      </c>
      <c r="M384" s="59">
        <f t="shared" si="9"/>
      </c>
      <c r="N384" s="69">
        <f t="shared" si="10"/>
      </c>
      <c r="P384" s="22">
        <f t="shared" si="11"/>
      </c>
    </row>
    <row r="385">
      <c r="A385" s="56">
        <f>IF($B385="","",380)</f>
      </c>
      <c r="B385" s="66">
        <f>IF(往来单位!$B$383="","",往来单位!$B$383)</f>
      </c>
      <c r="C385" s="56">
        <f>IF($B385="","",往来单位!$C$383&amp;"")</f>
      </c>
      <c r="D385" s="53">
        <f t="shared" si="0"/>
      </c>
      <c r="E385" s="53">
        <f t="shared" si="1"/>
      </c>
      <c r="F385" s="53">
        <f t="shared" si="2"/>
      </c>
      <c r="G385" s="59">
        <f t="shared" si="3"/>
      </c>
      <c r="H385" s="53">
        <f t="shared" si="4"/>
      </c>
      <c r="I385" s="53">
        <f t="shared" si="5"/>
      </c>
      <c r="J385" s="53">
        <f t="shared" si="6"/>
      </c>
      <c r="K385" s="59">
        <f t="shared" si="7"/>
      </c>
      <c r="L385" s="53">
        <f t="shared" si="8"/>
      </c>
      <c r="M385" s="59">
        <f t="shared" si="9"/>
      </c>
      <c r="N385" s="69">
        <f t="shared" si="10"/>
      </c>
      <c r="P385" s="22">
        <f t="shared" si="11"/>
      </c>
    </row>
    <row r="386">
      <c r="A386" s="56">
        <f>IF($B386="","",381)</f>
      </c>
      <c r="B386" s="66">
        <f>IF(往来单位!$B$384="","",往来单位!$B$384)</f>
      </c>
      <c r="C386" s="56">
        <f>IF($B386="","",往来单位!$C$384&amp;"")</f>
      </c>
      <c r="D386" s="53">
        <f t="shared" si="0"/>
      </c>
      <c r="E386" s="53">
        <f t="shared" si="1"/>
      </c>
      <c r="F386" s="53">
        <f t="shared" si="2"/>
      </c>
      <c r="G386" s="59">
        <f t="shared" si="3"/>
      </c>
      <c r="H386" s="53">
        <f t="shared" si="4"/>
      </c>
      <c r="I386" s="53">
        <f t="shared" si="5"/>
      </c>
      <c r="J386" s="53">
        <f t="shared" si="6"/>
      </c>
      <c r="K386" s="59">
        <f t="shared" si="7"/>
      </c>
      <c r="L386" s="53">
        <f t="shared" si="8"/>
      </c>
      <c r="M386" s="59">
        <f t="shared" si="9"/>
      </c>
      <c r="N386" s="69">
        <f t="shared" si="10"/>
      </c>
      <c r="P386" s="22">
        <f t="shared" si="11"/>
      </c>
    </row>
    <row r="387">
      <c r="A387" s="56">
        <f>IF($B387="","",382)</f>
      </c>
      <c r="B387" s="66">
        <f>IF(往来单位!$B$385="","",往来单位!$B$385)</f>
      </c>
      <c r="C387" s="56">
        <f>IF($B387="","",往来单位!$C$385&amp;"")</f>
      </c>
      <c r="D387" s="53">
        <f t="shared" si="0"/>
      </c>
      <c r="E387" s="53">
        <f t="shared" si="1"/>
      </c>
      <c r="F387" s="53">
        <f t="shared" si="2"/>
      </c>
      <c r="G387" s="59">
        <f t="shared" si="3"/>
      </c>
      <c r="H387" s="53">
        <f t="shared" si="4"/>
      </c>
      <c r="I387" s="53">
        <f t="shared" si="5"/>
      </c>
      <c r="J387" s="53">
        <f t="shared" si="6"/>
      </c>
      <c r="K387" s="59">
        <f t="shared" si="7"/>
      </c>
      <c r="L387" s="53">
        <f t="shared" si="8"/>
      </c>
      <c r="M387" s="59">
        <f t="shared" si="9"/>
      </c>
      <c r="N387" s="69">
        <f t="shared" si="10"/>
      </c>
      <c r="P387" s="22">
        <f t="shared" si="11"/>
      </c>
    </row>
    <row r="388">
      <c r="A388" s="56">
        <f>IF($B388="","",383)</f>
      </c>
      <c r="B388" s="66">
        <f>IF(往来单位!$B$386="","",往来单位!$B$386)</f>
      </c>
      <c r="C388" s="56">
        <f>IF($B388="","",往来单位!$C$386&amp;"")</f>
      </c>
      <c r="D388" s="53">
        <f t="shared" si="0"/>
      </c>
      <c r="E388" s="53">
        <f t="shared" si="1"/>
      </c>
      <c r="F388" s="53">
        <f t="shared" si="2"/>
      </c>
      <c r="G388" s="59">
        <f t="shared" si="3"/>
      </c>
      <c r="H388" s="53">
        <f t="shared" si="4"/>
      </c>
      <c r="I388" s="53">
        <f t="shared" si="5"/>
      </c>
      <c r="J388" s="53">
        <f t="shared" si="6"/>
      </c>
      <c r="K388" s="59">
        <f t="shared" si="7"/>
      </c>
      <c r="L388" s="53">
        <f t="shared" si="8"/>
      </c>
      <c r="M388" s="59">
        <f t="shared" si="9"/>
      </c>
      <c r="N388" s="69">
        <f t="shared" si="10"/>
      </c>
      <c r="P388" s="22">
        <f t="shared" si="11"/>
      </c>
    </row>
    <row r="389">
      <c r="A389" s="56">
        <f>IF($B389="","",384)</f>
      </c>
      <c r="B389" s="66">
        <f>IF(往来单位!$B$387="","",往来单位!$B$387)</f>
      </c>
      <c r="C389" s="56">
        <f>IF($B389="","",往来单位!$C$387&amp;"")</f>
      </c>
      <c r="D389" s="53">
        <f t="shared" si="0"/>
      </c>
      <c r="E389" s="53">
        <f t="shared" si="1"/>
      </c>
      <c r="F389" s="53">
        <f t="shared" si="2"/>
      </c>
      <c r="G389" s="59">
        <f t="shared" si="3"/>
      </c>
      <c r="H389" s="53">
        <f t="shared" si="4"/>
      </c>
      <c r="I389" s="53">
        <f t="shared" si="5"/>
      </c>
      <c r="J389" s="53">
        <f t="shared" si="6"/>
      </c>
      <c r="K389" s="59">
        <f t="shared" si="7"/>
      </c>
      <c r="L389" s="53">
        <f t="shared" si="8"/>
      </c>
      <c r="M389" s="59">
        <f t="shared" si="9"/>
      </c>
      <c r="N389" s="69">
        <f t="shared" si="10"/>
      </c>
      <c r="P389" s="22">
        <f t="shared" si="11"/>
      </c>
    </row>
    <row r="390">
      <c r="A390" s="56">
        <f>IF($B390="","",385)</f>
      </c>
      <c r="B390" s="66">
        <f>IF(往来单位!$B$388="","",往来单位!$B$388)</f>
      </c>
      <c r="C390" s="56">
        <f>IF($B390="","",往来单位!$C$388&amp;"")</f>
      </c>
      <c r="D390" s="53">
        <f t="shared" si="0"/>
      </c>
      <c r="E390" s="53">
        <f t="shared" si="1"/>
      </c>
      <c r="F390" s="53">
        <f t="shared" si="2"/>
      </c>
      <c r="G390" s="59">
        <f t="shared" si="3"/>
      </c>
      <c r="H390" s="53">
        <f t="shared" si="4"/>
      </c>
      <c r="I390" s="53">
        <f t="shared" si="5"/>
      </c>
      <c r="J390" s="53">
        <f t="shared" si="6"/>
      </c>
      <c r="K390" s="59">
        <f t="shared" si="7"/>
      </c>
      <c r="L390" s="53">
        <f t="shared" si="8"/>
      </c>
      <c r="M390" s="59">
        <f t="shared" si="9"/>
      </c>
      <c r="N390" s="69">
        <f t="shared" si="10"/>
      </c>
      <c r="P390" s="22">
        <f t="shared" si="11"/>
      </c>
    </row>
    <row r="391">
      <c r="A391" s="56">
        <f>IF($B391="","",386)</f>
      </c>
      <c r="B391" s="66">
        <f>IF(往来单位!$B$389="","",往来单位!$B$389)</f>
      </c>
      <c r="C391" s="56">
        <f>IF($B391="","",往来单位!$C$389&amp;"")</f>
      </c>
      <c r="D391" s="53">
        <f t="shared" si="0"/>
      </c>
      <c r="E391" s="53">
        <f t="shared" si="1"/>
      </c>
      <c r="F391" s="53">
        <f t="shared" si="2"/>
      </c>
      <c r="G391" s="59">
        <f t="shared" si="3"/>
      </c>
      <c r="H391" s="53">
        <f t="shared" si="4"/>
      </c>
      <c r="I391" s="53">
        <f t="shared" si="5"/>
      </c>
      <c r="J391" s="53">
        <f t="shared" si="6"/>
      </c>
      <c r="K391" s="59">
        <f t="shared" si="7"/>
      </c>
      <c r="L391" s="53">
        <f t="shared" si="8"/>
      </c>
      <c r="M391" s="59">
        <f t="shared" si="9"/>
      </c>
      <c r="N391" s="69">
        <f t="shared" si="10"/>
      </c>
      <c r="P391" s="22">
        <f t="shared" si="11"/>
      </c>
    </row>
    <row r="392">
      <c r="A392" s="56">
        <f>IF($B392="","",387)</f>
      </c>
      <c r="B392" s="66">
        <f>IF(往来单位!$B$390="","",往来单位!$B$390)</f>
      </c>
      <c r="C392" s="56">
        <f>IF($B392="","",往来单位!$C$390&amp;"")</f>
      </c>
      <c r="D392" s="53">
        <f t="shared" si="0"/>
      </c>
      <c r="E392" s="53">
        <f t="shared" si="1"/>
      </c>
      <c r="F392" s="53">
        <f t="shared" si="2"/>
      </c>
      <c r="G392" s="59">
        <f t="shared" si="3"/>
      </c>
      <c r="H392" s="53">
        <f t="shared" si="4"/>
      </c>
      <c r="I392" s="53">
        <f t="shared" si="5"/>
      </c>
      <c r="J392" s="53">
        <f t="shared" si="6"/>
      </c>
      <c r="K392" s="59">
        <f t="shared" si="7"/>
      </c>
      <c r="L392" s="53">
        <f t="shared" si="8"/>
      </c>
      <c r="M392" s="59">
        <f t="shared" si="9"/>
      </c>
      <c r="N392" s="69">
        <f t="shared" si="10"/>
      </c>
      <c r="P392" s="22">
        <f t="shared" si="11"/>
      </c>
    </row>
    <row r="393">
      <c r="A393" s="56">
        <f>IF($B393="","",388)</f>
      </c>
      <c r="B393" s="66">
        <f>IF(往来单位!$B$391="","",往来单位!$B$391)</f>
      </c>
      <c r="C393" s="56">
        <f>IF($B393="","",往来单位!$C$391&amp;"")</f>
      </c>
      <c r="D393" s="53">
        <f t="shared" si="0"/>
      </c>
      <c r="E393" s="53">
        <f t="shared" si="1"/>
      </c>
      <c r="F393" s="53">
        <f t="shared" si="2"/>
      </c>
      <c r="G393" s="59">
        <f t="shared" si="3"/>
      </c>
      <c r="H393" s="53">
        <f t="shared" si="4"/>
      </c>
      <c r="I393" s="53">
        <f t="shared" si="5"/>
      </c>
      <c r="J393" s="53">
        <f t="shared" si="6"/>
      </c>
      <c r="K393" s="59">
        <f t="shared" si="7"/>
      </c>
      <c r="L393" s="53">
        <f t="shared" si="8"/>
      </c>
      <c r="M393" s="59">
        <f t="shared" si="9"/>
      </c>
      <c r="N393" s="69">
        <f t="shared" si="10"/>
      </c>
      <c r="P393" s="22">
        <f t="shared" si="11"/>
      </c>
    </row>
    <row r="394">
      <c r="A394" s="56">
        <f>IF($B394="","",389)</f>
      </c>
      <c r="B394" s="66">
        <f>IF(往来单位!$B$392="","",往来单位!$B$392)</f>
      </c>
      <c r="C394" s="56">
        <f>IF($B394="","",往来单位!$C$392&amp;"")</f>
      </c>
      <c r="D394" s="53">
        <f t="shared" si="0"/>
      </c>
      <c r="E394" s="53">
        <f t="shared" si="1"/>
      </c>
      <c r="F394" s="53">
        <f t="shared" si="2"/>
      </c>
      <c r="G394" s="59">
        <f t="shared" si="3"/>
      </c>
      <c r="H394" s="53">
        <f t="shared" si="4"/>
      </c>
      <c r="I394" s="53">
        <f t="shared" si="5"/>
      </c>
      <c r="J394" s="53">
        <f t="shared" si="6"/>
      </c>
      <c r="K394" s="59">
        <f t="shared" si="7"/>
      </c>
      <c r="L394" s="53">
        <f t="shared" si="8"/>
      </c>
      <c r="M394" s="59">
        <f t="shared" si="9"/>
      </c>
      <c r="N394" s="69">
        <f t="shared" si="10"/>
      </c>
      <c r="P394" s="22">
        <f t="shared" si="11"/>
      </c>
    </row>
    <row r="395">
      <c r="A395" s="56">
        <f>IF($B395="","",390)</f>
      </c>
      <c r="B395" s="66">
        <f>IF(往来单位!$B$393="","",往来单位!$B$393)</f>
      </c>
      <c r="C395" s="56">
        <f>IF($B395="","",往来单位!$C$393&amp;"")</f>
      </c>
      <c r="D395" s="53">
        <f t="shared" si="0"/>
      </c>
      <c r="E395" s="53">
        <f t="shared" si="1"/>
      </c>
      <c r="F395" s="53">
        <f t="shared" si="2"/>
      </c>
      <c r="G395" s="59">
        <f t="shared" si="3"/>
      </c>
      <c r="H395" s="53">
        <f t="shared" si="4"/>
      </c>
      <c r="I395" s="53">
        <f t="shared" si="5"/>
      </c>
      <c r="J395" s="53">
        <f t="shared" si="6"/>
      </c>
      <c r="K395" s="59">
        <f t="shared" si="7"/>
      </c>
      <c r="L395" s="53">
        <f t="shared" si="8"/>
      </c>
      <c r="M395" s="59">
        <f t="shared" si="9"/>
      </c>
      <c r="N395" s="69">
        <f t="shared" si="10"/>
      </c>
      <c r="P395" s="22">
        <f t="shared" si="11"/>
      </c>
    </row>
    <row r="396">
      <c r="A396" s="56">
        <f>IF($B396="","",391)</f>
      </c>
      <c r="B396" s="66">
        <f>IF(往来单位!$B$394="","",往来单位!$B$394)</f>
      </c>
      <c r="C396" s="56">
        <f>IF($B396="","",往来单位!$C$394&amp;"")</f>
      </c>
      <c r="D396" s="53">
        <f t="shared" si="0"/>
      </c>
      <c r="E396" s="53">
        <f t="shared" si="1"/>
      </c>
      <c r="F396" s="53">
        <f t="shared" si="2"/>
      </c>
      <c r="G396" s="59">
        <f t="shared" si="3"/>
      </c>
      <c r="H396" s="53">
        <f t="shared" si="4"/>
      </c>
      <c r="I396" s="53">
        <f t="shared" si="5"/>
      </c>
      <c r="J396" s="53">
        <f t="shared" si="6"/>
      </c>
      <c r="K396" s="59">
        <f t="shared" si="7"/>
      </c>
      <c r="L396" s="53">
        <f t="shared" si="8"/>
      </c>
      <c r="M396" s="59">
        <f t="shared" si="9"/>
      </c>
      <c r="N396" s="69">
        <f t="shared" si="10"/>
      </c>
      <c r="P396" s="22">
        <f t="shared" si="11"/>
      </c>
    </row>
    <row r="397">
      <c r="A397" s="56">
        <f>IF($B397="","",392)</f>
      </c>
      <c r="B397" s="66">
        <f>IF(往来单位!$B$395="","",往来单位!$B$395)</f>
      </c>
      <c r="C397" s="56">
        <f>IF($B397="","",往来单位!$C$395&amp;"")</f>
      </c>
      <c r="D397" s="53">
        <f t="shared" si="0"/>
      </c>
      <c r="E397" s="53">
        <f t="shared" si="1"/>
      </c>
      <c r="F397" s="53">
        <f t="shared" si="2"/>
      </c>
      <c r="G397" s="59">
        <f t="shared" si="3"/>
      </c>
      <c r="H397" s="53">
        <f t="shared" si="4"/>
      </c>
      <c r="I397" s="53">
        <f t="shared" si="5"/>
      </c>
      <c r="J397" s="53">
        <f t="shared" si="6"/>
      </c>
      <c r="K397" s="59">
        <f t="shared" si="7"/>
      </c>
      <c r="L397" s="53">
        <f t="shared" si="8"/>
      </c>
      <c r="M397" s="59">
        <f t="shared" si="9"/>
      </c>
      <c r="N397" s="69">
        <f t="shared" si="10"/>
      </c>
      <c r="P397" s="22">
        <f t="shared" si="11"/>
      </c>
    </row>
    <row r="398">
      <c r="A398" s="56">
        <f>IF($B398="","",393)</f>
      </c>
      <c r="B398" s="66">
        <f>IF(往来单位!$B$396="","",往来单位!$B$396)</f>
      </c>
      <c r="C398" s="56">
        <f>IF($B398="","",往来单位!$C$396&amp;"")</f>
      </c>
      <c r="D398" s="53">
        <f t="shared" si="0"/>
      </c>
      <c r="E398" s="53">
        <f t="shared" si="1"/>
      </c>
      <c r="F398" s="53">
        <f t="shared" si="2"/>
      </c>
      <c r="G398" s="59">
        <f t="shared" si="3"/>
      </c>
      <c r="H398" s="53">
        <f t="shared" si="4"/>
      </c>
      <c r="I398" s="53">
        <f t="shared" si="5"/>
      </c>
      <c r="J398" s="53">
        <f t="shared" si="6"/>
      </c>
      <c r="K398" s="59">
        <f t="shared" si="7"/>
      </c>
      <c r="L398" s="53">
        <f t="shared" si="8"/>
      </c>
      <c r="M398" s="59">
        <f t="shared" si="9"/>
      </c>
      <c r="N398" s="69">
        <f t="shared" si="10"/>
      </c>
      <c r="P398" s="22">
        <f t="shared" si="11"/>
      </c>
    </row>
    <row r="399">
      <c r="A399" s="56">
        <f>IF($B399="","",394)</f>
      </c>
      <c r="B399" s="66">
        <f>IF(往来单位!$B$397="","",往来单位!$B$397)</f>
      </c>
      <c r="C399" s="56">
        <f>IF($B399="","",往来单位!$C$397&amp;"")</f>
      </c>
      <c r="D399" s="53">
        <f t="shared" si="0"/>
      </c>
      <c r="E399" s="53">
        <f t="shared" si="1"/>
      </c>
      <c r="F399" s="53">
        <f t="shared" si="2"/>
      </c>
      <c r="G399" s="59">
        <f t="shared" si="3"/>
      </c>
      <c r="H399" s="53">
        <f t="shared" si="4"/>
      </c>
      <c r="I399" s="53">
        <f t="shared" si="5"/>
      </c>
      <c r="J399" s="53">
        <f t="shared" si="6"/>
      </c>
      <c r="K399" s="59">
        <f t="shared" si="7"/>
      </c>
      <c r="L399" s="53">
        <f t="shared" si="8"/>
      </c>
      <c r="M399" s="59">
        <f t="shared" si="9"/>
      </c>
      <c r="N399" s="69">
        <f t="shared" si="10"/>
      </c>
      <c r="P399" s="22">
        <f t="shared" si="11"/>
      </c>
    </row>
    <row r="400">
      <c r="A400" s="56">
        <f>IF($B400="","",395)</f>
      </c>
      <c r="B400" s="66">
        <f>IF(往来单位!$B$398="","",往来单位!$B$398)</f>
      </c>
      <c r="C400" s="56">
        <f>IF($B400="","",往来单位!$C$398&amp;"")</f>
      </c>
      <c r="D400" s="53">
        <f t="shared" si="0"/>
      </c>
      <c r="E400" s="53">
        <f t="shared" si="1"/>
      </c>
      <c r="F400" s="53">
        <f t="shared" si="2"/>
      </c>
      <c r="G400" s="59">
        <f t="shared" si="3"/>
      </c>
      <c r="H400" s="53">
        <f t="shared" si="4"/>
      </c>
      <c r="I400" s="53">
        <f t="shared" si="5"/>
      </c>
      <c r="J400" s="53">
        <f t="shared" si="6"/>
      </c>
      <c r="K400" s="59">
        <f t="shared" si="7"/>
      </c>
      <c r="L400" s="53">
        <f t="shared" si="8"/>
      </c>
      <c r="M400" s="59">
        <f t="shared" si="9"/>
      </c>
      <c r="N400" s="69">
        <f t="shared" si="10"/>
      </c>
      <c r="P400" s="22">
        <f t="shared" si="11"/>
      </c>
    </row>
    <row r="401">
      <c r="A401" s="56">
        <f>IF($B401="","",396)</f>
      </c>
      <c r="B401" s="66">
        <f>IF(往来单位!$B$399="","",往来单位!$B$399)</f>
      </c>
      <c r="C401" s="56">
        <f>IF($B401="","",往来单位!$C$399&amp;"")</f>
      </c>
      <c r="D401" s="53">
        <f t="shared" si="0"/>
      </c>
      <c r="E401" s="53">
        <f t="shared" si="1"/>
      </c>
      <c r="F401" s="53">
        <f t="shared" si="2"/>
      </c>
      <c r="G401" s="59">
        <f t="shared" si="3"/>
      </c>
      <c r="H401" s="53">
        <f t="shared" si="4"/>
      </c>
      <c r="I401" s="53">
        <f t="shared" si="5"/>
      </c>
      <c r="J401" s="53">
        <f t="shared" si="6"/>
      </c>
      <c r="K401" s="59">
        <f t="shared" si="7"/>
      </c>
      <c r="L401" s="53">
        <f t="shared" si="8"/>
      </c>
      <c r="M401" s="59">
        <f t="shared" si="9"/>
      </c>
      <c r="N401" s="69">
        <f t="shared" si="10"/>
      </c>
      <c r="P401" s="22">
        <f t="shared" si="11"/>
      </c>
    </row>
    <row r="402">
      <c r="A402" s="56">
        <f>IF($B402="","",397)</f>
      </c>
      <c r="B402" s="66">
        <f>IF(往来单位!$B$400="","",往来单位!$B$400)</f>
      </c>
      <c r="C402" s="56">
        <f>IF($B402="","",往来单位!$C$400&amp;"")</f>
      </c>
      <c r="D402" s="53">
        <f t="shared" si="0"/>
      </c>
      <c r="E402" s="53">
        <f t="shared" si="1"/>
      </c>
      <c r="F402" s="53">
        <f t="shared" si="2"/>
      </c>
      <c r="G402" s="59">
        <f t="shared" si="3"/>
      </c>
      <c r="H402" s="53">
        <f t="shared" si="4"/>
      </c>
      <c r="I402" s="53">
        <f t="shared" si="5"/>
      </c>
      <c r="J402" s="53">
        <f t="shared" si="6"/>
      </c>
      <c r="K402" s="59">
        <f t="shared" si="7"/>
      </c>
      <c r="L402" s="53">
        <f t="shared" si="8"/>
      </c>
      <c r="M402" s="59">
        <f t="shared" si="9"/>
      </c>
      <c r="N402" s="69">
        <f t="shared" si="10"/>
      </c>
      <c r="P402" s="22">
        <f t="shared" si="11"/>
      </c>
    </row>
    <row r="403">
      <c r="A403" s="56">
        <f>IF($B403="","",398)</f>
      </c>
      <c r="B403" s="66">
        <f>IF(往来单位!$B$401="","",往来单位!$B$401)</f>
      </c>
      <c r="C403" s="56">
        <f>IF($B403="","",往来单位!$C$401&amp;"")</f>
      </c>
      <c r="D403" s="53">
        <f t="shared" si="0"/>
      </c>
      <c r="E403" s="53">
        <f t="shared" si="1"/>
      </c>
      <c r="F403" s="53">
        <f t="shared" si="2"/>
      </c>
      <c r="G403" s="59">
        <f t="shared" si="3"/>
      </c>
      <c r="H403" s="53">
        <f t="shared" si="4"/>
      </c>
      <c r="I403" s="53">
        <f t="shared" si="5"/>
      </c>
      <c r="J403" s="53">
        <f t="shared" si="6"/>
      </c>
      <c r="K403" s="59">
        <f t="shared" si="7"/>
      </c>
      <c r="L403" s="53">
        <f t="shared" si="8"/>
      </c>
      <c r="M403" s="59">
        <f t="shared" si="9"/>
      </c>
      <c r="N403" s="69">
        <f t="shared" si="10"/>
      </c>
      <c r="P403" s="22">
        <f t="shared" si="11"/>
      </c>
    </row>
    <row r="404">
      <c r="A404" s="56">
        <f>IF($B404="","",399)</f>
      </c>
      <c r="B404" s="66">
        <f>IF(往来单位!$B$402="","",往来单位!$B$402)</f>
      </c>
      <c r="C404" s="56">
        <f>IF($B404="","",往来单位!$C$402&amp;"")</f>
      </c>
      <c r="D404" s="53">
        <f t="shared" si="0"/>
      </c>
      <c r="E404" s="53">
        <f t="shared" si="1"/>
      </c>
      <c r="F404" s="53">
        <f t="shared" si="2"/>
      </c>
      <c r="G404" s="59">
        <f t="shared" si="3"/>
      </c>
      <c r="H404" s="53">
        <f t="shared" si="4"/>
      </c>
      <c r="I404" s="53">
        <f t="shared" si="5"/>
      </c>
      <c r="J404" s="53">
        <f t="shared" si="6"/>
      </c>
      <c r="K404" s="59">
        <f t="shared" si="7"/>
      </c>
      <c r="L404" s="53">
        <f t="shared" si="8"/>
      </c>
      <c r="M404" s="59">
        <f t="shared" si="9"/>
      </c>
      <c r="N404" s="69">
        <f t="shared" si="10"/>
      </c>
      <c r="P404" s="22">
        <f t="shared" si="11"/>
      </c>
    </row>
    <row r="405">
      <c r="A405" s="56">
        <f>IF($B405="","",400)</f>
      </c>
      <c r="B405" s="66">
        <f>IF(往来单位!$B$403="","",往来单位!$B$403)</f>
      </c>
      <c r="C405" s="56">
        <f>IF($B405="","",往来单位!$C$403&amp;"")</f>
      </c>
      <c r="D405" s="53">
        <f t="shared" si="0"/>
      </c>
      <c r="E405" s="53">
        <f t="shared" si="1"/>
      </c>
      <c r="F405" s="53">
        <f t="shared" si="2"/>
      </c>
      <c r="G405" s="59">
        <f t="shared" si="3"/>
      </c>
      <c r="H405" s="53">
        <f t="shared" si="4"/>
      </c>
      <c r="I405" s="53">
        <f t="shared" si="5"/>
      </c>
      <c r="J405" s="53">
        <f t="shared" si="6"/>
      </c>
      <c r="K405" s="59">
        <f t="shared" si="7"/>
      </c>
      <c r="L405" s="53">
        <f t="shared" si="8"/>
      </c>
      <c r="M405" s="59">
        <f t="shared" si="9"/>
      </c>
      <c r="N405" s="69">
        <f t="shared" si="10"/>
      </c>
      <c r="P405" s="22">
        <f t="shared" si="11"/>
      </c>
    </row>
    <row r="406">
      <c r="A406" s="56">
        <f>IF($B406="","",401)</f>
      </c>
      <c r="B406" s="66">
        <f>IF(往来单位!$B$404="","",往来单位!$B$404)</f>
      </c>
      <c r="C406" s="56">
        <f>IF($B406="","",往来单位!$C$404&amp;"")</f>
      </c>
      <c r="D406" s="53">
        <f t="shared" si="0"/>
      </c>
      <c r="E406" s="53">
        <f t="shared" si="1"/>
      </c>
      <c r="F406" s="53">
        <f t="shared" si="2"/>
      </c>
      <c r="G406" s="59">
        <f t="shared" si="3"/>
      </c>
      <c r="H406" s="53">
        <f t="shared" si="4"/>
      </c>
      <c r="I406" s="53">
        <f t="shared" si="5"/>
      </c>
      <c r="J406" s="53">
        <f t="shared" si="6"/>
      </c>
      <c r="K406" s="59">
        <f t="shared" si="7"/>
      </c>
      <c r="L406" s="53">
        <f t="shared" si="8"/>
      </c>
      <c r="M406" s="59">
        <f t="shared" si="9"/>
      </c>
      <c r="N406" s="69">
        <f t="shared" si="10"/>
      </c>
      <c r="P406" s="22">
        <f t="shared" si="11"/>
      </c>
    </row>
    <row r="407">
      <c r="A407" s="56">
        <f>IF($B407="","",402)</f>
      </c>
      <c r="B407" s="66">
        <f>IF(往来单位!$B$405="","",往来单位!$B$405)</f>
      </c>
      <c r="C407" s="56">
        <f>IF($B407="","",往来单位!$C$405&amp;"")</f>
      </c>
      <c r="D407" s="53">
        <f t="shared" si="0"/>
      </c>
      <c r="E407" s="53">
        <f t="shared" si="1"/>
      </c>
      <c r="F407" s="53">
        <f t="shared" si="2"/>
      </c>
      <c r="G407" s="59">
        <f t="shared" si="3"/>
      </c>
      <c r="H407" s="53">
        <f t="shared" si="4"/>
      </c>
      <c r="I407" s="53">
        <f t="shared" si="5"/>
      </c>
      <c r="J407" s="53">
        <f t="shared" si="6"/>
      </c>
      <c r="K407" s="59">
        <f t="shared" si="7"/>
      </c>
      <c r="L407" s="53">
        <f t="shared" si="8"/>
      </c>
      <c r="M407" s="59">
        <f t="shared" si="9"/>
      </c>
      <c r="N407" s="69">
        <f t="shared" si="10"/>
      </c>
      <c r="P407" s="22">
        <f t="shared" si="11"/>
      </c>
    </row>
    <row r="408">
      <c r="A408" s="56">
        <f>IF($B408="","",403)</f>
      </c>
      <c r="B408" s="66">
        <f>IF(往来单位!$B$406="","",往来单位!$B$406)</f>
      </c>
      <c r="C408" s="56">
        <f>IF($B408="","",往来单位!$C$406&amp;"")</f>
      </c>
      <c r="D408" s="53">
        <f t="shared" si="0"/>
      </c>
      <c r="E408" s="53">
        <f t="shared" si="1"/>
      </c>
      <c r="F408" s="53">
        <f t="shared" si="2"/>
      </c>
      <c r="G408" s="59">
        <f t="shared" si="3"/>
      </c>
      <c r="H408" s="53">
        <f t="shared" si="4"/>
      </c>
      <c r="I408" s="53">
        <f t="shared" si="5"/>
      </c>
      <c r="J408" s="53">
        <f t="shared" si="6"/>
      </c>
      <c r="K408" s="59">
        <f t="shared" si="7"/>
      </c>
      <c r="L408" s="53">
        <f t="shared" si="8"/>
      </c>
      <c r="M408" s="59">
        <f t="shared" si="9"/>
      </c>
      <c r="N408" s="69">
        <f t="shared" si="10"/>
      </c>
      <c r="P408" s="22">
        <f t="shared" si="11"/>
      </c>
    </row>
    <row r="409">
      <c r="A409" s="56">
        <f>IF($B409="","",404)</f>
      </c>
      <c r="B409" s="66">
        <f>IF(往来单位!$B$407="","",往来单位!$B$407)</f>
      </c>
      <c r="C409" s="56">
        <f>IF($B409="","",往来单位!$C$407&amp;"")</f>
      </c>
      <c r="D409" s="53">
        <f t="shared" si="0"/>
      </c>
      <c r="E409" s="53">
        <f t="shared" si="1"/>
      </c>
      <c r="F409" s="53">
        <f t="shared" si="2"/>
      </c>
      <c r="G409" s="59">
        <f t="shared" si="3"/>
      </c>
      <c r="H409" s="53">
        <f t="shared" si="4"/>
      </c>
      <c r="I409" s="53">
        <f t="shared" si="5"/>
      </c>
      <c r="J409" s="53">
        <f t="shared" si="6"/>
      </c>
      <c r="K409" s="59">
        <f t="shared" si="7"/>
      </c>
      <c r="L409" s="53">
        <f t="shared" si="8"/>
      </c>
      <c r="M409" s="59">
        <f t="shared" si="9"/>
      </c>
      <c r="N409" s="69">
        <f t="shared" si="10"/>
      </c>
      <c r="P409" s="22">
        <f t="shared" si="11"/>
      </c>
    </row>
    <row r="410">
      <c r="A410" s="56">
        <f>IF($B410="","",405)</f>
      </c>
      <c r="B410" s="66">
        <f>IF(往来单位!$B$408="","",往来单位!$B$408)</f>
      </c>
      <c r="C410" s="56">
        <f>IF($B410="","",往来单位!$C$408&amp;"")</f>
      </c>
      <c r="D410" s="53">
        <f t="shared" si="0"/>
      </c>
      <c r="E410" s="53">
        <f t="shared" si="1"/>
      </c>
      <c r="F410" s="53">
        <f t="shared" si="2"/>
      </c>
      <c r="G410" s="59">
        <f t="shared" si="3"/>
      </c>
      <c r="H410" s="53">
        <f t="shared" si="4"/>
      </c>
      <c r="I410" s="53">
        <f t="shared" si="5"/>
      </c>
      <c r="J410" s="53">
        <f t="shared" si="6"/>
      </c>
      <c r="K410" s="59">
        <f t="shared" si="7"/>
      </c>
      <c r="L410" s="53">
        <f t="shared" si="8"/>
      </c>
      <c r="M410" s="59">
        <f t="shared" si="9"/>
      </c>
      <c r="N410" s="69">
        <f t="shared" si="10"/>
      </c>
      <c r="P410" s="22">
        <f t="shared" si="11"/>
      </c>
    </row>
    <row r="411">
      <c r="A411" s="56">
        <f>IF($B411="","",406)</f>
      </c>
      <c r="B411" s="66">
        <f>IF(往来单位!$B$409="","",往来单位!$B$409)</f>
      </c>
      <c r="C411" s="56">
        <f>IF($B411="","",往来单位!$C$409&amp;"")</f>
      </c>
      <c r="D411" s="53">
        <f t="shared" si="0"/>
      </c>
      <c r="E411" s="53">
        <f t="shared" si="1"/>
      </c>
      <c r="F411" s="53">
        <f t="shared" si="2"/>
      </c>
      <c r="G411" s="59">
        <f t="shared" si="3"/>
      </c>
      <c r="H411" s="53">
        <f t="shared" si="4"/>
      </c>
      <c r="I411" s="53">
        <f t="shared" si="5"/>
      </c>
      <c r="J411" s="53">
        <f t="shared" si="6"/>
      </c>
      <c r="K411" s="59">
        <f t="shared" si="7"/>
      </c>
      <c r="L411" s="53">
        <f t="shared" si="8"/>
      </c>
      <c r="M411" s="59">
        <f t="shared" si="9"/>
      </c>
      <c r="N411" s="69">
        <f t="shared" si="10"/>
      </c>
      <c r="P411" s="22">
        <f t="shared" si="11"/>
      </c>
    </row>
    <row r="412">
      <c r="A412" s="56">
        <f>IF($B412="","",407)</f>
      </c>
      <c r="B412" s="66">
        <f>IF(往来单位!$B$410="","",往来单位!$B$410)</f>
      </c>
      <c r="C412" s="56">
        <f>IF($B412="","",往来单位!$C$410&amp;"")</f>
      </c>
      <c r="D412" s="53">
        <f t="shared" si="0"/>
      </c>
      <c r="E412" s="53">
        <f t="shared" si="1"/>
      </c>
      <c r="F412" s="53">
        <f t="shared" si="2"/>
      </c>
      <c r="G412" s="59">
        <f t="shared" si="3"/>
      </c>
      <c r="H412" s="53">
        <f t="shared" si="4"/>
      </c>
      <c r="I412" s="53">
        <f t="shared" si="5"/>
      </c>
      <c r="J412" s="53">
        <f t="shared" si="6"/>
      </c>
      <c r="K412" s="59">
        <f t="shared" si="7"/>
      </c>
      <c r="L412" s="53">
        <f t="shared" si="8"/>
      </c>
      <c r="M412" s="59">
        <f t="shared" si="9"/>
      </c>
      <c r="N412" s="69">
        <f t="shared" si="10"/>
      </c>
      <c r="P412" s="22">
        <f t="shared" si="11"/>
      </c>
    </row>
    <row r="413">
      <c r="A413" s="56">
        <f>IF($B413="","",408)</f>
      </c>
      <c r="B413" s="66">
        <f>IF(往来单位!$B$411="","",往来单位!$B$411)</f>
      </c>
      <c r="C413" s="56">
        <f>IF($B413="","",往来单位!$C$411&amp;"")</f>
      </c>
      <c r="D413" s="53">
        <f t="shared" si="0"/>
      </c>
      <c r="E413" s="53">
        <f t="shared" si="1"/>
      </c>
      <c r="F413" s="53">
        <f t="shared" si="2"/>
      </c>
      <c r="G413" s="59">
        <f t="shared" si="3"/>
      </c>
      <c r="H413" s="53">
        <f t="shared" si="4"/>
      </c>
      <c r="I413" s="53">
        <f t="shared" si="5"/>
      </c>
      <c r="J413" s="53">
        <f t="shared" si="6"/>
      </c>
      <c r="K413" s="59">
        <f t="shared" si="7"/>
      </c>
      <c r="L413" s="53">
        <f t="shared" si="8"/>
      </c>
      <c r="M413" s="59">
        <f t="shared" si="9"/>
      </c>
      <c r="N413" s="69">
        <f t="shared" si="10"/>
      </c>
      <c r="P413" s="22">
        <f t="shared" si="11"/>
      </c>
    </row>
    <row r="414">
      <c r="A414" s="56">
        <f>IF($B414="","",409)</f>
      </c>
      <c r="B414" s="66">
        <f>IF(往来单位!$B$412="","",往来单位!$B$412)</f>
      </c>
      <c r="C414" s="56">
        <f>IF($B414="","",往来单位!$C$412&amp;"")</f>
      </c>
      <c r="D414" s="53">
        <f t="shared" si="0"/>
      </c>
      <c r="E414" s="53">
        <f t="shared" si="1"/>
      </c>
      <c r="F414" s="53">
        <f t="shared" si="2"/>
      </c>
      <c r="G414" s="59">
        <f t="shared" si="3"/>
      </c>
      <c r="H414" s="53">
        <f t="shared" si="4"/>
      </c>
      <c r="I414" s="53">
        <f t="shared" si="5"/>
      </c>
      <c r="J414" s="53">
        <f t="shared" si="6"/>
      </c>
      <c r="K414" s="59">
        <f t="shared" si="7"/>
      </c>
      <c r="L414" s="53">
        <f t="shared" si="8"/>
      </c>
      <c r="M414" s="59">
        <f t="shared" si="9"/>
      </c>
      <c r="N414" s="69">
        <f t="shared" si="10"/>
      </c>
      <c r="P414" s="22">
        <f t="shared" si="11"/>
      </c>
    </row>
    <row r="415">
      <c r="A415" s="56">
        <f>IF($B415="","",410)</f>
      </c>
      <c r="B415" s="66">
        <f>IF(往来单位!$B$413="","",往来单位!$B$413)</f>
      </c>
      <c r="C415" s="56">
        <f>IF($B415="","",往来单位!$C$413&amp;"")</f>
      </c>
      <c r="D415" s="53">
        <f t="shared" si="0"/>
      </c>
      <c r="E415" s="53">
        <f t="shared" si="1"/>
      </c>
      <c r="F415" s="53">
        <f t="shared" si="2"/>
      </c>
      <c r="G415" s="59">
        <f t="shared" si="3"/>
      </c>
      <c r="H415" s="53">
        <f t="shared" si="4"/>
      </c>
      <c r="I415" s="53">
        <f t="shared" si="5"/>
      </c>
      <c r="J415" s="53">
        <f t="shared" si="6"/>
      </c>
      <c r="K415" s="59">
        <f t="shared" si="7"/>
      </c>
      <c r="L415" s="53">
        <f t="shared" si="8"/>
      </c>
      <c r="M415" s="59">
        <f t="shared" si="9"/>
      </c>
      <c r="N415" s="69">
        <f t="shared" si="10"/>
      </c>
      <c r="P415" s="22">
        <f t="shared" si="11"/>
      </c>
    </row>
    <row r="416">
      <c r="A416" s="56">
        <f>IF($B416="","",411)</f>
      </c>
      <c r="B416" s="66">
        <f>IF(往来单位!$B$414="","",往来单位!$B$414)</f>
      </c>
      <c r="C416" s="56">
        <f>IF($B416="","",往来单位!$C$414&amp;"")</f>
      </c>
      <c r="D416" s="53">
        <f t="shared" si="0"/>
      </c>
      <c r="E416" s="53">
        <f t="shared" si="1"/>
      </c>
      <c r="F416" s="53">
        <f t="shared" si="2"/>
      </c>
      <c r="G416" s="59">
        <f t="shared" si="3"/>
      </c>
      <c r="H416" s="53">
        <f t="shared" si="4"/>
      </c>
      <c r="I416" s="53">
        <f t="shared" si="5"/>
      </c>
      <c r="J416" s="53">
        <f t="shared" si="6"/>
      </c>
      <c r="K416" s="59">
        <f t="shared" si="7"/>
      </c>
      <c r="L416" s="53">
        <f t="shared" si="8"/>
      </c>
      <c r="M416" s="59">
        <f t="shared" si="9"/>
      </c>
      <c r="N416" s="69">
        <f t="shared" si="10"/>
      </c>
      <c r="P416" s="22">
        <f t="shared" si="11"/>
      </c>
    </row>
    <row r="417">
      <c r="A417" s="56">
        <f>IF($B417="","",412)</f>
      </c>
      <c r="B417" s="66">
        <f>IF(往来单位!$B$415="","",往来单位!$B$415)</f>
      </c>
      <c r="C417" s="56">
        <f>IF($B417="","",往来单位!$C$415&amp;"")</f>
      </c>
      <c r="D417" s="53">
        <f t="shared" si="0"/>
      </c>
      <c r="E417" s="53">
        <f t="shared" si="1"/>
      </c>
      <c r="F417" s="53">
        <f t="shared" si="2"/>
      </c>
      <c r="G417" s="59">
        <f t="shared" si="3"/>
      </c>
      <c r="H417" s="53">
        <f t="shared" si="4"/>
      </c>
      <c r="I417" s="53">
        <f t="shared" si="5"/>
      </c>
      <c r="J417" s="53">
        <f t="shared" si="6"/>
      </c>
      <c r="K417" s="59">
        <f t="shared" si="7"/>
      </c>
      <c r="L417" s="53">
        <f t="shared" si="8"/>
      </c>
      <c r="M417" s="59">
        <f t="shared" si="9"/>
      </c>
      <c r="N417" s="69">
        <f t="shared" si="10"/>
      </c>
      <c r="P417" s="22">
        <f t="shared" si="11"/>
      </c>
    </row>
    <row r="418">
      <c r="A418" s="56">
        <f>IF($B418="","",413)</f>
      </c>
      <c r="B418" s="66">
        <f>IF(往来单位!$B$416="","",往来单位!$B$416)</f>
      </c>
      <c r="C418" s="56">
        <f>IF($B418="","",往来单位!$C$416&amp;"")</f>
      </c>
      <c r="D418" s="53">
        <f t="shared" si="0"/>
      </c>
      <c r="E418" s="53">
        <f t="shared" si="1"/>
      </c>
      <c r="F418" s="53">
        <f t="shared" si="2"/>
      </c>
      <c r="G418" s="59">
        <f t="shared" si="3"/>
      </c>
      <c r="H418" s="53">
        <f t="shared" si="4"/>
      </c>
      <c r="I418" s="53">
        <f t="shared" si="5"/>
      </c>
      <c r="J418" s="53">
        <f t="shared" si="6"/>
      </c>
      <c r="K418" s="59">
        <f t="shared" si="7"/>
      </c>
      <c r="L418" s="53">
        <f t="shared" si="8"/>
      </c>
      <c r="M418" s="59">
        <f t="shared" si="9"/>
      </c>
      <c r="N418" s="69">
        <f t="shared" si="10"/>
      </c>
      <c r="P418" s="22">
        <f t="shared" si="11"/>
      </c>
    </row>
    <row r="419">
      <c r="A419" s="56">
        <f>IF($B419="","",414)</f>
      </c>
      <c r="B419" s="66">
        <f>IF(往来单位!$B$417="","",往来单位!$B$417)</f>
      </c>
      <c r="C419" s="56">
        <f>IF($B419="","",往来单位!$C$417&amp;"")</f>
      </c>
      <c r="D419" s="53">
        <f t="shared" si="0"/>
      </c>
      <c r="E419" s="53">
        <f t="shared" si="1"/>
      </c>
      <c r="F419" s="53">
        <f t="shared" si="2"/>
      </c>
      <c r="G419" s="59">
        <f t="shared" si="3"/>
      </c>
      <c r="H419" s="53">
        <f t="shared" si="4"/>
      </c>
      <c r="I419" s="53">
        <f t="shared" si="5"/>
      </c>
      <c r="J419" s="53">
        <f t="shared" si="6"/>
      </c>
      <c r="K419" s="59">
        <f t="shared" si="7"/>
      </c>
      <c r="L419" s="53">
        <f t="shared" si="8"/>
      </c>
      <c r="M419" s="59">
        <f t="shared" si="9"/>
      </c>
      <c r="N419" s="69">
        <f t="shared" si="10"/>
      </c>
      <c r="P419" s="22">
        <f t="shared" si="11"/>
      </c>
    </row>
    <row r="420">
      <c r="A420" s="56">
        <f>IF($B420="","",415)</f>
      </c>
      <c r="B420" s="66">
        <f>IF(往来单位!$B$418="","",往来单位!$B$418)</f>
      </c>
      <c r="C420" s="56">
        <f>IF($B420="","",往来单位!$C$418&amp;"")</f>
      </c>
      <c r="D420" s="53">
        <f t="shared" si="0"/>
      </c>
      <c r="E420" s="53">
        <f t="shared" si="1"/>
      </c>
      <c r="F420" s="53">
        <f t="shared" si="2"/>
      </c>
      <c r="G420" s="59">
        <f t="shared" si="3"/>
      </c>
      <c r="H420" s="53">
        <f t="shared" si="4"/>
      </c>
      <c r="I420" s="53">
        <f t="shared" si="5"/>
      </c>
      <c r="J420" s="53">
        <f t="shared" si="6"/>
      </c>
      <c r="K420" s="59">
        <f t="shared" si="7"/>
      </c>
      <c r="L420" s="53">
        <f t="shared" si="8"/>
      </c>
      <c r="M420" s="59">
        <f t="shared" si="9"/>
      </c>
      <c r="N420" s="69">
        <f t="shared" si="10"/>
      </c>
      <c r="P420" s="22">
        <f t="shared" si="11"/>
      </c>
    </row>
    <row r="421">
      <c r="A421" s="56">
        <f>IF($B421="","",416)</f>
      </c>
      <c r="B421" s="66">
        <f>IF(往来单位!$B$419="","",往来单位!$B$419)</f>
      </c>
      <c r="C421" s="56">
        <f>IF($B421="","",往来单位!$C$419&amp;"")</f>
      </c>
      <c r="D421" s="53">
        <f t="shared" si="0"/>
      </c>
      <c r="E421" s="53">
        <f t="shared" si="1"/>
      </c>
      <c r="F421" s="53">
        <f t="shared" si="2"/>
      </c>
      <c r="G421" s="59">
        <f t="shared" si="3"/>
      </c>
      <c r="H421" s="53">
        <f t="shared" si="4"/>
      </c>
      <c r="I421" s="53">
        <f t="shared" si="5"/>
      </c>
      <c r="J421" s="53">
        <f t="shared" si="6"/>
      </c>
      <c r="K421" s="59">
        <f t="shared" si="7"/>
      </c>
      <c r="L421" s="53">
        <f t="shared" si="8"/>
      </c>
      <c r="M421" s="59">
        <f t="shared" si="9"/>
      </c>
      <c r="N421" s="69">
        <f t="shared" si="10"/>
      </c>
      <c r="P421" s="22">
        <f t="shared" si="11"/>
      </c>
    </row>
    <row r="422">
      <c r="A422" s="56">
        <f>IF($B422="","",417)</f>
      </c>
      <c r="B422" s="66">
        <f>IF(往来单位!$B$420="","",往来单位!$B$420)</f>
      </c>
      <c r="C422" s="56">
        <f>IF($B422="","",往来单位!$C$420&amp;"")</f>
      </c>
      <c r="D422" s="53">
        <f t="shared" si="0"/>
      </c>
      <c r="E422" s="53">
        <f t="shared" si="1"/>
      </c>
      <c r="F422" s="53">
        <f t="shared" si="2"/>
      </c>
      <c r="G422" s="59">
        <f t="shared" si="3"/>
      </c>
      <c r="H422" s="53">
        <f t="shared" si="4"/>
      </c>
      <c r="I422" s="53">
        <f t="shared" si="5"/>
      </c>
      <c r="J422" s="53">
        <f t="shared" si="6"/>
      </c>
      <c r="K422" s="59">
        <f t="shared" si="7"/>
      </c>
      <c r="L422" s="53">
        <f t="shared" si="8"/>
      </c>
      <c r="M422" s="59">
        <f t="shared" si="9"/>
      </c>
      <c r="N422" s="69">
        <f t="shared" si="10"/>
      </c>
      <c r="P422" s="22">
        <f t="shared" si="11"/>
      </c>
    </row>
    <row r="423">
      <c r="A423" s="56">
        <f>IF($B423="","",418)</f>
      </c>
      <c r="B423" s="66">
        <f>IF(往来单位!$B$421="","",往来单位!$B$421)</f>
      </c>
      <c r="C423" s="56">
        <f>IF($B423="","",往来单位!$C$421&amp;"")</f>
      </c>
      <c r="D423" s="53">
        <f t="shared" si="0"/>
      </c>
      <c r="E423" s="53">
        <f t="shared" si="1"/>
      </c>
      <c r="F423" s="53">
        <f t="shared" si="2"/>
      </c>
      <c r="G423" s="59">
        <f t="shared" si="3"/>
      </c>
      <c r="H423" s="53">
        <f t="shared" si="4"/>
      </c>
      <c r="I423" s="53">
        <f t="shared" si="5"/>
      </c>
      <c r="J423" s="53">
        <f t="shared" si="6"/>
      </c>
      <c r="K423" s="59">
        <f t="shared" si="7"/>
      </c>
      <c r="L423" s="53">
        <f t="shared" si="8"/>
      </c>
      <c r="M423" s="59">
        <f t="shared" si="9"/>
      </c>
      <c r="N423" s="69">
        <f t="shared" si="10"/>
      </c>
      <c r="P423" s="22">
        <f t="shared" si="11"/>
      </c>
    </row>
    <row r="424">
      <c r="A424" s="56">
        <f>IF($B424="","",419)</f>
      </c>
      <c r="B424" s="66">
        <f>IF(往来单位!$B$422="","",往来单位!$B$422)</f>
      </c>
      <c r="C424" s="56">
        <f>IF($B424="","",往来单位!$C$422&amp;"")</f>
      </c>
      <c r="D424" s="53">
        <f t="shared" si="0"/>
      </c>
      <c r="E424" s="53">
        <f t="shared" si="1"/>
      </c>
      <c r="F424" s="53">
        <f t="shared" si="2"/>
      </c>
      <c r="G424" s="59">
        <f t="shared" si="3"/>
      </c>
      <c r="H424" s="53">
        <f t="shared" si="4"/>
      </c>
      <c r="I424" s="53">
        <f t="shared" si="5"/>
      </c>
      <c r="J424" s="53">
        <f t="shared" si="6"/>
      </c>
      <c r="K424" s="59">
        <f t="shared" si="7"/>
      </c>
      <c r="L424" s="53">
        <f t="shared" si="8"/>
      </c>
      <c r="M424" s="59">
        <f t="shared" si="9"/>
      </c>
      <c r="N424" s="69">
        <f t="shared" si="10"/>
      </c>
      <c r="P424" s="22">
        <f t="shared" si="11"/>
      </c>
    </row>
    <row r="425">
      <c r="A425" s="56">
        <f>IF($B425="","",420)</f>
      </c>
      <c r="B425" s="66">
        <f>IF(往来单位!$B$423="","",往来单位!$B$423)</f>
      </c>
      <c r="C425" s="56">
        <f>IF($B425="","",往来单位!$C$423&amp;"")</f>
      </c>
      <c r="D425" s="53">
        <f t="shared" si="0"/>
      </c>
      <c r="E425" s="53">
        <f t="shared" si="1"/>
      </c>
      <c r="F425" s="53">
        <f t="shared" si="2"/>
      </c>
      <c r="G425" s="59">
        <f t="shared" si="3"/>
      </c>
      <c r="H425" s="53">
        <f t="shared" si="4"/>
      </c>
      <c r="I425" s="53">
        <f t="shared" si="5"/>
      </c>
      <c r="J425" s="53">
        <f t="shared" si="6"/>
      </c>
      <c r="K425" s="59">
        <f t="shared" si="7"/>
      </c>
      <c r="L425" s="53">
        <f t="shared" si="8"/>
      </c>
      <c r="M425" s="59">
        <f t="shared" si="9"/>
      </c>
      <c r="N425" s="69">
        <f t="shared" si="10"/>
      </c>
      <c r="P425" s="22">
        <f t="shared" si="11"/>
      </c>
    </row>
    <row r="426">
      <c r="A426" s="56">
        <f>IF($B426="","",421)</f>
      </c>
      <c r="B426" s="66">
        <f>IF(往来单位!$B$424="","",往来单位!$B$424)</f>
      </c>
      <c r="C426" s="56">
        <f>IF($B426="","",往来单位!$C$424&amp;"")</f>
      </c>
      <c r="D426" s="53">
        <f t="shared" si="0"/>
      </c>
      <c r="E426" s="53">
        <f t="shared" si="1"/>
      </c>
      <c r="F426" s="53">
        <f t="shared" si="2"/>
      </c>
      <c r="G426" s="59">
        <f t="shared" si="3"/>
      </c>
      <c r="H426" s="53">
        <f t="shared" si="4"/>
      </c>
      <c r="I426" s="53">
        <f t="shared" si="5"/>
      </c>
      <c r="J426" s="53">
        <f t="shared" si="6"/>
      </c>
      <c r="K426" s="59">
        <f t="shared" si="7"/>
      </c>
      <c r="L426" s="53">
        <f t="shared" si="8"/>
      </c>
      <c r="M426" s="59">
        <f t="shared" si="9"/>
      </c>
      <c r="N426" s="69">
        <f t="shared" si="10"/>
      </c>
      <c r="P426" s="22">
        <f t="shared" si="11"/>
      </c>
    </row>
    <row r="427">
      <c r="A427" s="56">
        <f>IF($B427="","",422)</f>
      </c>
      <c r="B427" s="66">
        <f>IF(往来单位!$B$425="","",往来单位!$B$425)</f>
      </c>
      <c r="C427" s="56">
        <f>IF($B427="","",往来单位!$C$425&amp;"")</f>
      </c>
      <c r="D427" s="53">
        <f t="shared" si="0"/>
      </c>
      <c r="E427" s="53">
        <f t="shared" si="1"/>
      </c>
      <c r="F427" s="53">
        <f t="shared" si="2"/>
      </c>
      <c r="G427" s="59">
        <f t="shared" si="3"/>
      </c>
      <c r="H427" s="53">
        <f t="shared" si="4"/>
      </c>
      <c r="I427" s="53">
        <f t="shared" si="5"/>
      </c>
      <c r="J427" s="53">
        <f t="shared" si="6"/>
      </c>
      <c r="K427" s="59">
        <f t="shared" si="7"/>
      </c>
      <c r="L427" s="53">
        <f t="shared" si="8"/>
      </c>
      <c r="M427" s="59">
        <f t="shared" si="9"/>
      </c>
      <c r="N427" s="69">
        <f t="shared" si="10"/>
      </c>
      <c r="P427" s="22">
        <f t="shared" si="11"/>
      </c>
    </row>
    <row r="428">
      <c r="A428" s="56">
        <f>IF($B428="","",423)</f>
      </c>
      <c r="B428" s="66">
        <f>IF(往来单位!$B$426="","",往来单位!$B$426)</f>
      </c>
      <c r="C428" s="56">
        <f>IF($B428="","",往来单位!$C$426&amp;"")</f>
      </c>
      <c r="D428" s="53">
        <f t="shared" si="0"/>
      </c>
      <c r="E428" s="53">
        <f t="shared" si="1"/>
      </c>
      <c r="F428" s="53">
        <f t="shared" si="2"/>
      </c>
      <c r="G428" s="59">
        <f t="shared" si="3"/>
      </c>
      <c r="H428" s="53">
        <f t="shared" si="4"/>
      </c>
      <c r="I428" s="53">
        <f t="shared" si="5"/>
      </c>
      <c r="J428" s="53">
        <f t="shared" si="6"/>
      </c>
      <c r="K428" s="59">
        <f t="shared" si="7"/>
      </c>
      <c r="L428" s="53">
        <f t="shared" si="8"/>
      </c>
      <c r="M428" s="59">
        <f t="shared" si="9"/>
      </c>
      <c r="N428" s="69">
        <f t="shared" si="10"/>
      </c>
      <c r="P428" s="22">
        <f t="shared" si="11"/>
      </c>
    </row>
    <row r="429">
      <c r="A429" s="56">
        <f>IF($B429="","",424)</f>
      </c>
      <c r="B429" s="66">
        <f>IF(往来单位!$B$427="","",往来单位!$B$427)</f>
      </c>
      <c r="C429" s="56">
        <f>IF($B429="","",往来单位!$C$427&amp;"")</f>
      </c>
      <c r="D429" s="53">
        <f t="shared" si="0"/>
      </c>
      <c r="E429" s="53">
        <f t="shared" si="1"/>
      </c>
      <c r="F429" s="53">
        <f t="shared" si="2"/>
      </c>
      <c r="G429" s="59">
        <f t="shared" si="3"/>
      </c>
      <c r="H429" s="53">
        <f t="shared" si="4"/>
      </c>
      <c r="I429" s="53">
        <f t="shared" si="5"/>
      </c>
      <c r="J429" s="53">
        <f t="shared" si="6"/>
      </c>
      <c r="K429" s="59">
        <f t="shared" si="7"/>
      </c>
      <c r="L429" s="53">
        <f t="shared" si="8"/>
      </c>
      <c r="M429" s="59">
        <f t="shared" si="9"/>
      </c>
      <c r="N429" s="69">
        <f t="shared" si="10"/>
      </c>
      <c r="P429" s="22">
        <f t="shared" si="11"/>
      </c>
    </row>
    <row r="430">
      <c r="A430" s="56">
        <f>IF($B430="","",425)</f>
      </c>
      <c r="B430" s="66">
        <f>IF(往来单位!$B$428="","",往来单位!$B$428)</f>
      </c>
      <c r="C430" s="56">
        <f>IF($B430="","",往来单位!$C$428&amp;"")</f>
      </c>
      <c r="D430" s="53">
        <f t="shared" si="0"/>
      </c>
      <c r="E430" s="53">
        <f t="shared" si="1"/>
      </c>
      <c r="F430" s="53">
        <f t="shared" si="2"/>
      </c>
      <c r="G430" s="59">
        <f t="shared" si="3"/>
      </c>
      <c r="H430" s="53">
        <f t="shared" si="4"/>
      </c>
      <c r="I430" s="53">
        <f t="shared" si="5"/>
      </c>
      <c r="J430" s="53">
        <f t="shared" si="6"/>
      </c>
      <c r="K430" s="59">
        <f t="shared" si="7"/>
      </c>
      <c r="L430" s="53">
        <f t="shared" si="8"/>
      </c>
      <c r="M430" s="59">
        <f t="shared" si="9"/>
      </c>
      <c r="N430" s="69">
        <f t="shared" si="10"/>
      </c>
      <c r="P430" s="22">
        <f t="shared" si="11"/>
      </c>
    </row>
    <row r="431">
      <c r="A431" s="56">
        <f>IF($B431="","",426)</f>
      </c>
      <c r="B431" s="66">
        <f>IF(往来单位!$B$429="","",往来单位!$B$429)</f>
      </c>
      <c r="C431" s="56">
        <f>IF($B431="","",往来单位!$C$429&amp;"")</f>
      </c>
      <c r="D431" s="53">
        <f t="shared" si="0"/>
      </c>
      <c r="E431" s="53">
        <f t="shared" si="1"/>
      </c>
      <c r="F431" s="53">
        <f t="shared" si="2"/>
      </c>
      <c r="G431" s="59">
        <f t="shared" si="3"/>
      </c>
      <c r="H431" s="53">
        <f t="shared" si="4"/>
      </c>
      <c r="I431" s="53">
        <f t="shared" si="5"/>
      </c>
      <c r="J431" s="53">
        <f t="shared" si="6"/>
      </c>
      <c r="K431" s="59">
        <f t="shared" si="7"/>
      </c>
      <c r="L431" s="53">
        <f t="shared" si="8"/>
      </c>
      <c r="M431" s="59">
        <f t="shared" si="9"/>
      </c>
      <c r="N431" s="69">
        <f t="shared" si="10"/>
      </c>
      <c r="P431" s="22">
        <f t="shared" si="11"/>
      </c>
    </row>
    <row r="432">
      <c r="A432" s="56">
        <f>IF($B432="","",427)</f>
      </c>
      <c r="B432" s="66">
        <f>IF(往来单位!$B$430="","",往来单位!$B$430)</f>
      </c>
      <c r="C432" s="56">
        <f>IF($B432="","",往来单位!$C$430&amp;"")</f>
      </c>
      <c r="D432" s="53">
        <f t="shared" si="0"/>
      </c>
      <c r="E432" s="53">
        <f t="shared" si="1"/>
      </c>
      <c r="F432" s="53">
        <f t="shared" si="2"/>
      </c>
      <c r="G432" s="59">
        <f t="shared" si="3"/>
      </c>
      <c r="H432" s="53">
        <f t="shared" si="4"/>
      </c>
      <c r="I432" s="53">
        <f t="shared" si="5"/>
      </c>
      <c r="J432" s="53">
        <f t="shared" si="6"/>
      </c>
      <c r="K432" s="59">
        <f t="shared" si="7"/>
      </c>
      <c r="L432" s="53">
        <f t="shared" si="8"/>
      </c>
      <c r="M432" s="59">
        <f t="shared" si="9"/>
      </c>
      <c r="N432" s="69">
        <f t="shared" si="10"/>
      </c>
      <c r="P432" s="22">
        <f t="shared" si="11"/>
      </c>
    </row>
    <row r="433">
      <c r="A433" s="56">
        <f>IF($B433="","",428)</f>
      </c>
      <c r="B433" s="66">
        <f>IF(往来单位!$B$431="","",往来单位!$B$431)</f>
      </c>
      <c r="C433" s="56">
        <f>IF($B433="","",往来单位!$C$431&amp;"")</f>
      </c>
      <c r="D433" s="53">
        <f t="shared" si="0"/>
      </c>
      <c r="E433" s="53">
        <f t="shared" si="1"/>
      </c>
      <c r="F433" s="53">
        <f t="shared" si="2"/>
      </c>
      <c r="G433" s="59">
        <f t="shared" si="3"/>
      </c>
      <c r="H433" s="53">
        <f t="shared" si="4"/>
      </c>
      <c r="I433" s="53">
        <f t="shared" si="5"/>
      </c>
      <c r="J433" s="53">
        <f t="shared" si="6"/>
      </c>
      <c r="K433" s="59">
        <f t="shared" si="7"/>
      </c>
      <c r="L433" s="53">
        <f t="shared" si="8"/>
      </c>
      <c r="M433" s="59">
        <f t="shared" si="9"/>
      </c>
      <c r="N433" s="69">
        <f t="shared" si="10"/>
      </c>
      <c r="P433" s="22">
        <f t="shared" si="11"/>
      </c>
    </row>
    <row r="434">
      <c r="A434" s="56">
        <f>IF($B434="","",429)</f>
      </c>
      <c r="B434" s="66">
        <f>IF(往来单位!$B$432="","",往来单位!$B$432)</f>
      </c>
      <c r="C434" s="56">
        <f>IF($B434="","",往来单位!$C$432&amp;"")</f>
      </c>
      <c r="D434" s="53">
        <f t="shared" si="0"/>
      </c>
      <c r="E434" s="53">
        <f t="shared" si="1"/>
      </c>
      <c r="F434" s="53">
        <f t="shared" si="2"/>
      </c>
      <c r="G434" s="59">
        <f t="shared" si="3"/>
      </c>
      <c r="H434" s="53">
        <f t="shared" si="4"/>
      </c>
      <c r="I434" s="53">
        <f t="shared" si="5"/>
      </c>
      <c r="J434" s="53">
        <f t="shared" si="6"/>
      </c>
      <c r="K434" s="59">
        <f t="shared" si="7"/>
      </c>
      <c r="L434" s="53">
        <f t="shared" si="8"/>
      </c>
      <c r="M434" s="59">
        <f t="shared" si="9"/>
      </c>
      <c r="N434" s="69">
        <f t="shared" si="10"/>
      </c>
      <c r="P434" s="22">
        <f t="shared" si="11"/>
      </c>
    </row>
    <row r="435">
      <c r="A435" s="56">
        <f>IF($B435="","",430)</f>
      </c>
      <c r="B435" s="66">
        <f>IF(往来单位!$B$433="","",往来单位!$B$433)</f>
      </c>
      <c r="C435" s="56">
        <f>IF($B435="","",往来单位!$C$433&amp;"")</f>
      </c>
      <c r="D435" s="53">
        <f t="shared" si="0"/>
      </c>
      <c r="E435" s="53">
        <f t="shared" si="1"/>
      </c>
      <c r="F435" s="53">
        <f t="shared" si="2"/>
      </c>
      <c r="G435" s="59">
        <f t="shared" si="3"/>
      </c>
      <c r="H435" s="53">
        <f t="shared" si="4"/>
      </c>
      <c r="I435" s="53">
        <f t="shared" si="5"/>
      </c>
      <c r="J435" s="53">
        <f t="shared" si="6"/>
      </c>
      <c r="K435" s="59">
        <f t="shared" si="7"/>
      </c>
      <c r="L435" s="53">
        <f t="shared" si="8"/>
      </c>
      <c r="M435" s="59">
        <f t="shared" si="9"/>
      </c>
      <c r="N435" s="69">
        <f t="shared" si="10"/>
      </c>
      <c r="P435" s="22">
        <f t="shared" si="11"/>
      </c>
    </row>
    <row r="436">
      <c r="A436" s="56">
        <f>IF($B436="","",431)</f>
      </c>
      <c r="B436" s="66">
        <f>IF(往来单位!$B$434="","",往来单位!$B$434)</f>
      </c>
      <c r="C436" s="56">
        <f>IF($B436="","",往来单位!$C$434&amp;"")</f>
      </c>
      <c r="D436" s="53">
        <f t="shared" si="0"/>
      </c>
      <c r="E436" s="53">
        <f t="shared" si="1"/>
      </c>
      <c r="F436" s="53">
        <f t="shared" si="2"/>
      </c>
      <c r="G436" s="59">
        <f t="shared" si="3"/>
      </c>
      <c r="H436" s="53">
        <f t="shared" si="4"/>
      </c>
      <c r="I436" s="53">
        <f t="shared" si="5"/>
      </c>
      <c r="J436" s="53">
        <f t="shared" si="6"/>
      </c>
      <c r="K436" s="59">
        <f t="shared" si="7"/>
      </c>
      <c r="L436" s="53">
        <f t="shared" si="8"/>
      </c>
      <c r="M436" s="59">
        <f t="shared" si="9"/>
      </c>
      <c r="N436" s="69">
        <f t="shared" si="10"/>
      </c>
      <c r="P436" s="22">
        <f t="shared" si="11"/>
      </c>
    </row>
    <row r="437">
      <c r="A437" s="56">
        <f>IF($B437="","",432)</f>
      </c>
      <c r="B437" s="66">
        <f>IF(往来单位!$B$435="","",往来单位!$B$435)</f>
      </c>
      <c r="C437" s="56">
        <f>IF($B437="","",往来单位!$C$435&amp;"")</f>
      </c>
      <c r="D437" s="53">
        <f t="shared" si="0"/>
      </c>
      <c r="E437" s="53">
        <f t="shared" si="1"/>
      </c>
      <c r="F437" s="53">
        <f t="shared" si="2"/>
      </c>
      <c r="G437" s="59">
        <f t="shared" si="3"/>
      </c>
      <c r="H437" s="53">
        <f t="shared" si="4"/>
      </c>
      <c r="I437" s="53">
        <f t="shared" si="5"/>
      </c>
      <c r="J437" s="53">
        <f t="shared" si="6"/>
      </c>
      <c r="K437" s="59">
        <f t="shared" si="7"/>
      </c>
      <c r="L437" s="53">
        <f t="shared" si="8"/>
      </c>
      <c r="M437" s="59">
        <f t="shared" si="9"/>
      </c>
      <c r="N437" s="69">
        <f t="shared" si="10"/>
      </c>
      <c r="P437" s="22">
        <f t="shared" si="11"/>
      </c>
    </row>
    <row r="438">
      <c r="A438" s="56">
        <f>IF($B438="","",433)</f>
      </c>
      <c r="B438" s="66">
        <f>IF(往来单位!$B$436="","",往来单位!$B$436)</f>
      </c>
      <c r="C438" s="56">
        <f>IF($B438="","",往来单位!$C$436&amp;"")</f>
      </c>
      <c r="D438" s="53">
        <f t="shared" si="0"/>
      </c>
      <c r="E438" s="53">
        <f t="shared" si="1"/>
      </c>
      <c r="F438" s="53">
        <f t="shared" si="2"/>
      </c>
      <c r="G438" s="59">
        <f t="shared" si="3"/>
      </c>
      <c r="H438" s="53">
        <f t="shared" si="4"/>
      </c>
      <c r="I438" s="53">
        <f t="shared" si="5"/>
      </c>
      <c r="J438" s="53">
        <f t="shared" si="6"/>
      </c>
      <c r="K438" s="59">
        <f t="shared" si="7"/>
      </c>
      <c r="L438" s="53">
        <f t="shared" si="8"/>
      </c>
      <c r="M438" s="59">
        <f t="shared" si="9"/>
      </c>
      <c r="N438" s="69">
        <f t="shared" si="10"/>
      </c>
      <c r="P438" s="22">
        <f t="shared" si="11"/>
      </c>
    </row>
    <row r="439">
      <c r="A439" s="56">
        <f>IF($B439="","",434)</f>
      </c>
      <c r="B439" s="66">
        <f>IF(往来单位!$B$437="","",往来单位!$B$437)</f>
      </c>
      <c r="C439" s="56">
        <f>IF($B439="","",往来单位!$C$437&amp;"")</f>
      </c>
      <c r="D439" s="53">
        <f t="shared" si="0"/>
      </c>
      <c r="E439" s="53">
        <f t="shared" si="1"/>
      </c>
      <c r="F439" s="53">
        <f t="shared" si="2"/>
      </c>
      <c r="G439" s="59">
        <f t="shared" si="3"/>
      </c>
      <c r="H439" s="53">
        <f t="shared" si="4"/>
      </c>
      <c r="I439" s="53">
        <f t="shared" si="5"/>
      </c>
      <c r="J439" s="53">
        <f t="shared" si="6"/>
      </c>
      <c r="K439" s="59">
        <f t="shared" si="7"/>
      </c>
      <c r="L439" s="53">
        <f t="shared" si="8"/>
      </c>
      <c r="M439" s="59">
        <f t="shared" si="9"/>
      </c>
      <c r="N439" s="69">
        <f t="shared" si="10"/>
      </c>
      <c r="P439" s="22">
        <f t="shared" si="11"/>
      </c>
    </row>
    <row r="440">
      <c r="A440" s="56">
        <f>IF($B440="","",435)</f>
      </c>
      <c r="B440" s="66">
        <f>IF(往来单位!$B$438="","",往来单位!$B$438)</f>
      </c>
      <c r="C440" s="56">
        <f>IF($B440="","",往来单位!$C$438&amp;"")</f>
      </c>
      <c r="D440" s="53">
        <f t="shared" si="0"/>
      </c>
      <c r="E440" s="53">
        <f t="shared" si="1"/>
      </c>
      <c r="F440" s="53">
        <f t="shared" si="2"/>
      </c>
      <c r="G440" s="59">
        <f t="shared" si="3"/>
      </c>
      <c r="H440" s="53">
        <f t="shared" si="4"/>
      </c>
      <c r="I440" s="53">
        <f t="shared" si="5"/>
      </c>
      <c r="J440" s="53">
        <f t="shared" si="6"/>
      </c>
      <c r="K440" s="59">
        <f t="shared" si="7"/>
      </c>
      <c r="L440" s="53">
        <f t="shared" si="8"/>
      </c>
      <c r="M440" s="59">
        <f t="shared" si="9"/>
      </c>
      <c r="N440" s="69">
        <f t="shared" si="10"/>
      </c>
      <c r="P440" s="22">
        <f t="shared" si="11"/>
      </c>
    </row>
    <row r="441">
      <c r="A441" s="56">
        <f>IF($B441="","",436)</f>
      </c>
      <c r="B441" s="66">
        <f>IF(往来单位!$B$439="","",往来单位!$B$439)</f>
      </c>
      <c r="C441" s="56">
        <f>IF($B441="","",往来单位!$C$439&amp;"")</f>
      </c>
      <c r="D441" s="53">
        <f t="shared" si="0"/>
      </c>
      <c r="E441" s="53">
        <f t="shared" si="1"/>
      </c>
      <c r="F441" s="53">
        <f t="shared" si="2"/>
      </c>
      <c r="G441" s="59">
        <f t="shared" si="3"/>
      </c>
      <c r="H441" s="53">
        <f t="shared" si="4"/>
      </c>
      <c r="I441" s="53">
        <f t="shared" si="5"/>
      </c>
      <c r="J441" s="53">
        <f t="shared" si="6"/>
      </c>
      <c r="K441" s="59">
        <f t="shared" si="7"/>
      </c>
      <c r="L441" s="53">
        <f t="shared" si="8"/>
      </c>
      <c r="M441" s="59">
        <f t="shared" si="9"/>
      </c>
      <c r="N441" s="69">
        <f t="shared" si="10"/>
      </c>
      <c r="P441" s="22">
        <f t="shared" si="11"/>
      </c>
    </row>
    <row r="442">
      <c r="A442" s="56">
        <f>IF($B442="","",437)</f>
      </c>
      <c r="B442" s="66">
        <f>IF(往来单位!$B$440="","",往来单位!$B$440)</f>
      </c>
      <c r="C442" s="56">
        <f>IF($B442="","",往来单位!$C$440&amp;"")</f>
      </c>
      <c r="D442" s="53">
        <f t="shared" si="0"/>
      </c>
      <c r="E442" s="53">
        <f t="shared" si="1"/>
      </c>
      <c r="F442" s="53">
        <f t="shared" si="2"/>
      </c>
      <c r="G442" s="59">
        <f t="shared" si="3"/>
      </c>
      <c r="H442" s="53">
        <f t="shared" si="4"/>
      </c>
      <c r="I442" s="53">
        <f t="shared" si="5"/>
      </c>
      <c r="J442" s="53">
        <f t="shared" si="6"/>
      </c>
      <c r="K442" s="59">
        <f t="shared" si="7"/>
      </c>
      <c r="L442" s="53">
        <f t="shared" si="8"/>
      </c>
      <c r="M442" s="59">
        <f t="shared" si="9"/>
      </c>
      <c r="N442" s="69">
        <f t="shared" si="10"/>
      </c>
      <c r="P442" s="22">
        <f t="shared" si="11"/>
      </c>
    </row>
    <row r="443">
      <c r="A443" s="56">
        <f>IF($B443="","",438)</f>
      </c>
      <c r="B443" s="66">
        <f>IF(往来单位!$B$441="","",往来单位!$B$441)</f>
      </c>
      <c r="C443" s="56">
        <f>IF($B443="","",往来单位!$C$441&amp;"")</f>
      </c>
      <c r="D443" s="53">
        <f t="shared" si="0"/>
      </c>
      <c r="E443" s="53">
        <f t="shared" si="1"/>
      </c>
      <c r="F443" s="53">
        <f t="shared" si="2"/>
      </c>
      <c r="G443" s="59">
        <f t="shared" si="3"/>
      </c>
      <c r="H443" s="53">
        <f t="shared" si="4"/>
      </c>
      <c r="I443" s="53">
        <f t="shared" si="5"/>
      </c>
      <c r="J443" s="53">
        <f t="shared" si="6"/>
      </c>
      <c r="K443" s="59">
        <f t="shared" si="7"/>
      </c>
      <c r="L443" s="53">
        <f t="shared" si="8"/>
      </c>
      <c r="M443" s="59">
        <f t="shared" si="9"/>
      </c>
      <c r="N443" s="69">
        <f t="shared" si="10"/>
      </c>
      <c r="P443" s="22">
        <f t="shared" si="11"/>
      </c>
    </row>
    <row r="444">
      <c r="A444" s="56">
        <f>IF($B444="","",439)</f>
      </c>
      <c r="B444" s="66">
        <f>IF(往来单位!$B$442="","",往来单位!$B$442)</f>
      </c>
      <c r="C444" s="56">
        <f>IF($B444="","",往来单位!$C$442&amp;"")</f>
      </c>
      <c r="D444" s="53">
        <f t="shared" si="0"/>
      </c>
      <c r="E444" s="53">
        <f t="shared" si="1"/>
      </c>
      <c r="F444" s="53">
        <f t="shared" si="2"/>
      </c>
      <c r="G444" s="59">
        <f t="shared" si="3"/>
      </c>
      <c r="H444" s="53">
        <f t="shared" si="4"/>
      </c>
      <c r="I444" s="53">
        <f t="shared" si="5"/>
      </c>
      <c r="J444" s="53">
        <f t="shared" si="6"/>
      </c>
      <c r="K444" s="59">
        <f t="shared" si="7"/>
      </c>
      <c r="L444" s="53">
        <f t="shared" si="8"/>
      </c>
      <c r="M444" s="59">
        <f t="shared" si="9"/>
      </c>
      <c r="N444" s="69">
        <f t="shared" si="10"/>
      </c>
      <c r="P444" s="22">
        <f t="shared" si="11"/>
      </c>
    </row>
    <row r="445">
      <c r="A445" s="56">
        <f>IF($B445="","",440)</f>
      </c>
      <c r="B445" s="66">
        <f>IF(往来单位!$B$443="","",往来单位!$B$443)</f>
      </c>
      <c r="C445" s="56">
        <f>IF($B445="","",往来单位!$C$443&amp;"")</f>
      </c>
      <c r="D445" s="53">
        <f t="shared" si="0"/>
      </c>
      <c r="E445" s="53">
        <f t="shared" si="1"/>
      </c>
      <c r="F445" s="53">
        <f t="shared" si="2"/>
      </c>
      <c r="G445" s="59">
        <f t="shared" si="3"/>
      </c>
      <c r="H445" s="53">
        <f t="shared" si="4"/>
      </c>
      <c r="I445" s="53">
        <f t="shared" si="5"/>
      </c>
      <c r="J445" s="53">
        <f t="shared" si="6"/>
      </c>
      <c r="K445" s="59">
        <f t="shared" si="7"/>
      </c>
      <c r="L445" s="53">
        <f t="shared" si="8"/>
      </c>
      <c r="M445" s="59">
        <f t="shared" si="9"/>
      </c>
      <c r="N445" s="69">
        <f t="shared" si="10"/>
      </c>
      <c r="P445" s="22">
        <f t="shared" si="11"/>
      </c>
    </row>
    <row r="446">
      <c r="A446" s="56">
        <f>IF($B446="","",441)</f>
      </c>
      <c r="B446" s="66">
        <f>IF(往来单位!$B$444="","",往来单位!$B$444)</f>
      </c>
      <c r="C446" s="56">
        <f>IF($B446="","",往来单位!$C$444&amp;"")</f>
      </c>
      <c r="D446" s="53">
        <f t="shared" si="0"/>
      </c>
      <c r="E446" s="53">
        <f t="shared" si="1"/>
      </c>
      <c r="F446" s="53">
        <f t="shared" si="2"/>
      </c>
      <c r="G446" s="59">
        <f t="shared" si="3"/>
      </c>
      <c r="H446" s="53">
        <f t="shared" si="4"/>
      </c>
      <c r="I446" s="53">
        <f t="shared" si="5"/>
      </c>
      <c r="J446" s="53">
        <f t="shared" si="6"/>
      </c>
      <c r="K446" s="59">
        <f t="shared" si="7"/>
      </c>
      <c r="L446" s="53">
        <f t="shared" si="8"/>
      </c>
      <c r="M446" s="59">
        <f t="shared" si="9"/>
      </c>
      <c r="N446" s="69">
        <f t="shared" si="10"/>
      </c>
      <c r="P446" s="22">
        <f t="shared" si="11"/>
      </c>
    </row>
    <row r="447">
      <c r="A447" s="56">
        <f>IF($B447="","",442)</f>
      </c>
      <c r="B447" s="66">
        <f>IF(往来单位!$B$445="","",往来单位!$B$445)</f>
      </c>
      <c r="C447" s="56">
        <f>IF($B447="","",往来单位!$C$445&amp;"")</f>
      </c>
      <c r="D447" s="53">
        <f t="shared" si="0"/>
      </c>
      <c r="E447" s="53">
        <f t="shared" si="1"/>
      </c>
      <c r="F447" s="53">
        <f t="shared" si="2"/>
      </c>
      <c r="G447" s="59">
        <f t="shared" si="3"/>
      </c>
      <c r="H447" s="53">
        <f t="shared" si="4"/>
      </c>
      <c r="I447" s="53">
        <f t="shared" si="5"/>
      </c>
      <c r="J447" s="53">
        <f t="shared" si="6"/>
      </c>
      <c r="K447" s="59">
        <f t="shared" si="7"/>
      </c>
      <c r="L447" s="53">
        <f t="shared" si="8"/>
      </c>
      <c r="M447" s="59">
        <f t="shared" si="9"/>
      </c>
      <c r="N447" s="69">
        <f t="shared" si="10"/>
      </c>
      <c r="P447" s="22">
        <f t="shared" si="11"/>
      </c>
    </row>
    <row r="448">
      <c r="A448" s="56">
        <f>IF($B448="","",443)</f>
      </c>
      <c r="B448" s="66">
        <f>IF(往来单位!$B$446="","",往来单位!$B$446)</f>
      </c>
      <c r="C448" s="56">
        <f>IF($B448="","",往来单位!$C$446&amp;"")</f>
      </c>
      <c r="D448" s="53">
        <f t="shared" si="0"/>
      </c>
      <c r="E448" s="53">
        <f t="shared" si="1"/>
      </c>
      <c r="F448" s="53">
        <f t="shared" si="2"/>
      </c>
      <c r="G448" s="59">
        <f t="shared" si="3"/>
      </c>
      <c r="H448" s="53">
        <f t="shared" si="4"/>
      </c>
      <c r="I448" s="53">
        <f t="shared" si="5"/>
      </c>
      <c r="J448" s="53">
        <f t="shared" si="6"/>
      </c>
      <c r="K448" s="59">
        <f t="shared" si="7"/>
      </c>
      <c r="L448" s="53">
        <f t="shared" si="8"/>
      </c>
      <c r="M448" s="59">
        <f t="shared" si="9"/>
      </c>
      <c r="N448" s="69">
        <f t="shared" si="10"/>
      </c>
      <c r="P448" s="22">
        <f t="shared" si="11"/>
      </c>
    </row>
    <row r="449">
      <c r="A449" s="56">
        <f>IF($B449="","",444)</f>
      </c>
      <c r="B449" s="66">
        <f>IF(往来单位!$B$447="","",往来单位!$B$447)</f>
      </c>
      <c r="C449" s="56">
        <f>IF($B449="","",往来单位!$C$447&amp;"")</f>
      </c>
      <c r="D449" s="53">
        <f t="shared" si="0"/>
      </c>
      <c r="E449" s="53">
        <f t="shared" si="1"/>
      </c>
      <c r="F449" s="53">
        <f t="shared" si="2"/>
      </c>
      <c r="G449" s="59">
        <f t="shared" si="3"/>
      </c>
      <c r="H449" s="53">
        <f t="shared" si="4"/>
      </c>
      <c r="I449" s="53">
        <f t="shared" si="5"/>
      </c>
      <c r="J449" s="53">
        <f t="shared" si="6"/>
      </c>
      <c r="K449" s="59">
        <f t="shared" si="7"/>
      </c>
      <c r="L449" s="53">
        <f t="shared" si="8"/>
      </c>
      <c r="M449" s="59">
        <f t="shared" si="9"/>
      </c>
      <c r="N449" s="69">
        <f t="shared" si="10"/>
      </c>
      <c r="P449" s="22">
        <f t="shared" si="11"/>
      </c>
    </row>
    <row r="450">
      <c r="A450" s="56">
        <f>IF($B450="","",445)</f>
      </c>
      <c r="B450" s="66">
        <f>IF(往来单位!$B$448="","",往来单位!$B$448)</f>
      </c>
      <c r="C450" s="56">
        <f>IF($B450="","",往来单位!$C$448&amp;"")</f>
      </c>
      <c r="D450" s="53">
        <f t="shared" si="0"/>
      </c>
      <c r="E450" s="53">
        <f t="shared" si="1"/>
      </c>
      <c r="F450" s="53">
        <f t="shared" si="2"/>
      </c>
      <c r="G450" s="59">
        <f t="shared" si="3"/>
      </c>
      <c r="H450" s="53">
        <f t="shared" si="4"/>
      </c>
      <c r="I450" s="53">
        <f t="shared" si="5"/>
      </c>
      <c r="J450" s="53">
        <f t="shared" si="6"/>
      </c>
      <c r="K450" s="59">
        <f t="shared" si="7"/>
      </c>
      <c r="L450" s="53">
        <f t="shared" si="8"/>
      </c>
      <c r="M450" s="59">
        <f t="shared" si="9"/>
      </c>
      <c r="N450" s="69">
        <f t="shared" si="10"/>
      </c>
      <c r="P450" s="22">
        <f t="shared" si="11"/>
      </c>
    </row>
    <row r="451">
      <c r="A451" s="56">
        <f>IF($B451="","",446)</f>
      </c>
      <c r="B451" s="66">
        <f>IF(往来单位!$B$449="","",往来单位!$B$449)</f>
      </c>
      <c r="C451" s="56">
        <f>IF($B451="","",往来单位!$C$449&amp;"")</f>
      </c>
      <c r="D451" s="53">
        <f t="shared" si="0"/>
      </c>
      <c r="E451" s="53">
        <f t="shared" si="1"/>
      </c>
      <c r="F451" s="53">
        <f t="shared" si="2"/>
      </c>
      <c r="G451" s="59">
        <f t="shared" si="3"/>
      </c>
      <c r="H451" s="53">
        <f t="shared" si="4"/>
      </c>
      <c r="I451" s="53">
        <f t="shared" si="5"/>
      </c>
      <c r="J451" s="53">
        <f t="shared" si="6"/>
      </c>
      <c r="K451" s="59">
        <f t="shared" si="7"/>
      </c>
      <c r="L451" s="53">
        <f t="shared" si="8"/>
      </c>
      <c r="M451" s="59">
        <f t="shared" si="9"/>
      </c>
      <c r="N451" s="69">
        <f t="shared" si="10"/>
      </c>
      <c r="P451" s="22">
        <f t="shared" si="11"/>
      </c>
    </row>
    <row r="452">
      <c r="A452" s="56">
        <f>IF($B452="","",447)</f>
      </c>
      <c r="B452" s="66">
        <f>IF(往来单位!$B$450="","",往来单位!$B$450)</f>
      </c>
      <c r="C452" s="56">
        <f>IF($B452="","",往来单位!$C$450&amp;"")</f>
      </c>
      <c r="D452" s="53">
        <f t="shared" si="0"/>
      </c>
      <c r="E452" s="53">
        <f t="shared" si="1"/>
      </c>
      <c r="F452" s="53">
        <f t="shared" si="2"/>
      </c>
      <c r="G452" s="59">
        <f t="shared" si="3"/>
      </c>
      <c r="H452" s="53">
        <f t="shared" si="4"/>
      </c>
      <c r="I452" s="53">
        <f t="shared" si="5"/>
      </c>
      <c r="J452" s="53">
        <f t="shared" si="6"/>
      </c>
      <c r="K452" s="59">
        <f t="shared" si="7"/>
      </c>
      <c r="L452" s="53">
        <f t="shared" si="8"/>
      </c>
      <c r="M452" s="59">
        <f t="shared" si="9"/>
      </c>
      <c r="N452" s="69">
        <f t="shared" si="10"/>
      </c>
      <c r="P452" s="22">
        <f t="shared" si="11"/>
      </c>
    </row>
    <row r="453">
      <c r="A453" s="56">
        <f>IF($B453="","",448)</f>
      </c>
      <c r="B453" s="66">
        <f>IF(往来单位!$B$451="","",往来单位!$B$451)</f>
      </c>
      <c r="C453" s="56">
        <f>IF($B453="","",往来单位!$C$451&amp;"")</f>
      </c>
      <c r="D453" s="53">
        <f t="shared" si="0"/>
      </c>
      <c r="E453" s="53">
        <f t="shared" si="1"/>
      </c>
      <c r="F453" s="53">
        <f t="shared" si="2"/>
      </c>
      <c r="G453" s="59">
        <f t="shared" si="3"/>
      </c>
      <c r="H453" s="53">
        <f t="shared" si="4"/>
      </c>
      <c r="I453" s="53">
        <f t="shared" si="5"/>
      </c>
      <c r="J453" s="53">
        <f t="shared" si="6"/>
      </c>
      <c r="K453" s="59">
        <f t="shared" si="7"/>
      </c>
      <c r="L453" s="53">
        <f t="shared" si="8"/>
      </c>
      <c r="M453" s="59">
        <f t="shared" si="9"/>
      </c>
      <c r="N453" s="69">
        <f t="shared" si="10"/>
      </c>
      <c r="P453" s="22">
        <f t="shared" si="11"/>
      </c>
    </row>
    <row r="454">
      <c r="A454" s="56">
        <f>IF($B454="","",449)</f>
      </c>
      <c r="B454" s="66">
        <f>IF(往来单位!$B$452="","",往来单位!$B$452)</f>
      </c>
      <c r="C454" s="56">
        <f>IF($B454="","",往来单位!$C$452&amp;"")</f>
      </c>
      <c r="D454" s="53">
        <f t="shared" si="0"/>
      </c>
      <c r="E454" s="53">
        <f t="shared" si="1"/>
      </c>
      <c r="F454" s="53">
        <f t="shared" si="2"/>
      </c>
      <c r="G454" s="59">
        <f t="shared" si="3"/>
      </c>
      <c r="H454" s="53">
        <f t="shared" si="4"/>
      </c>
      <c r="I454" s="53">
        <f t="shared" si="5"/>
      </c>
      <c r="J454" s="53">
        <f t="shared" si="6"/>
      </c>
      <c r="K454" s="59">
        <f t="shared" si="7"/>
      </c>
      <c r="L454" s="53">
        <f t="shared" si="8"/>
      </c>
      <c r="M454" s="59">
        <f t="shared" si="9"/>
      </c>
      <c r="N454" s="69">
        <f t="shared" si="10"/>
      </c>
      <c r="P454" s="22">
        <f t="shared" si="11"/>
      </c>
    </row>
    <row r="455">
      <c r="A455" s="56">
        <f>IF($B455="","",450)</f>
      </c>
      <c r="B455" s="66">
        <f>IF(往来单位!$B$453="","",往来单位!$B$453)</f>
      </c>
      <c r="C455" s="56">
        <f>IF($B455="","",往来单位!$C$453&amp;"")</f>
      </c>
      <c r="D455" s="53">
        <f t="shared" si="0"/>
      </c>
      <c r="E455" s="53">
        <f t="shared" si="1"/>
      </c>
      <c r="F455" s="53">
        <f t="shared" si="2"/>
      </c>
      <c r="G455" s="59">
        <f t="shared" si="3"/>
      </c>
      <c r="H455" s="53">
        <f t="shared" si="4"/>
      </c>
      <c r="I455" s="53">
        <f t="shared" si="5"/>
      </c>
      <c r="J455" s="53">
        <f t="shared" si="6"/>
      </c>
      <c r="K455" s="59">
        <f t="shared" si="7"/>
      </c>
      <c r="L455" s="53">
        <f t="shared" si="8"/>
      </c>
      <c r="M455" s="59">
        <f t="shared" si="9"/>
      </c>
      <c r="N455" s="69">
        <f t="shared" si="10"/>
      </c>
      <c r="P455" s="22">
        <f t="shared" si="11"/>
      </c>
    </row>
    <row r="456">
      <c r="A456" s="56">
        <f>IF($B456="","",451)</f>
      </c>
      <c r="B456" s="66">
        <f>IF(往来单位!$B$454="","",往来单位!$B$454)</f>
      </c>
      <c r="C456" s="56">
        <f>IF($B456="","",往来单位!$C$454&amp;"")</f>
      </c>
      <c r="D456" s="53">
        <f t="shared" si="0"/>
      </c>
      <c r="E456" s="53">
        <f t="shared" si="1"/>
      </c>
      <c r="F456" s="53">
        <f t="shared" si="2"/>
      </c>
      <c r="G456" s="59">
        <f t="shared" si="3"/>
      </c>
      <c r="H456" s="53">
        <f t="shared" si="4"/>
      </c>
      <c r="I456" s="53">
        <f t="shared" si="5"/>
      </c>
      <c r="J456" s="53">
        <f t="shared" si="6"/>
      </c>
      <c r="K456" s="59">
        <f t="shared" si="7"/>
      </c>
      <c r="L456" s="53">
        <f t="shared" si="8"/>
      </c>
      <c r="M456" s="59">
        <f t="shared" si="9"/>
      </c>
      <c r="N456" s="69">
        <f t="shared" si="10"/>
      </c>
      <c r="P456" s="22">
        <f t="shared" si="11"/>
      </c>
    </row>
    <row r="457">
      <c r="A457" s="56">
        <f>IF($B457="","",452)</f>
      </c>
      <c r="B457" s="66">
        <f>IF(往来单位!$B$455="","",往来单位!$B$455)</f>
      </c>
      <c r="C457" s="56">
        <f>IF($B457="","",往来单位!$C$455&amp;"")</f>
      </c>
      <c r="D457" s="53">
        <f t="shared" si="0"/>
      </c>
      <c r="E457" s="53">
        <f t="shared" si="1"/>
      </c>
      <c r="F457" s="53">
        <f t="shared" si="2"/>
      </c>
      <c r="G457" s="59">
        <f t="shared" si="3"/>
      </c>
      <c r="H457" s="53">
        <f t="shared" si="4"/>
      </c>
      <c r="I457" s="53">
        <f t="shared" si="5"/>
      </c>
      <c r="J457" s="53">
        <f t="shared" si="6"/>
      </c>
      <c r="K457" s="59">
        <f t="shared" si="7"/>
      </c>
      <c r="L457" s="53">
        <f t="shared" si="8"/>
      </c>
      <c r="M457" s="59">
        <f t="shared" si="9"/>
      </c>
      <c r="N457" s="69">
        <f t="shared" si="10"/>
      </c>
      <c r="P457" s="22">
        <f t="shared" si="11"/>
      </c>
    </row>
    <row r="458">
      <c r="A458" s="56">
        <f>IF($B458="","",453)</f>
      </c>
      <c r="B458" s="66">
        <f>IF(往来单位!$B$456="","",往来单位!$B$456)</f>
      </c>
      <c r="C458" s="56">
        <f>IF($B458="","",往来单位!$C$456&amp;"")</f>
      </c>
      <c r="D458" s="53">
        <f t="shared" si="0"/>
      </c>
      <c r="E458" s="53">
        <f t="shared" si="1"/>
      </c>
      <c r="F458" s="53">
        <f t="shared" si="2"/>
      </c>
      <c r="G458" s="59">
        <f t="shared" si="3"/>
      </c>
      <c r="H458" s="53">
        <f t="shared" si="4"/>
      </c>
      <c r="I458" s="53">
        <f t="shared" si="5"/>
      </c>
      <c r="J458" s="53">
        <f t="shared" si="6"/>
      </c>
      <c r="K458" s="59">
        <f t="shared" si="7"/>
      </c>
      <c r="L458" s="53">
        <f t="shared" si="8"/>
      </c>
      <c r="M458" s="59">
        <f t="shared" si="9"/>
      </c>
      <c r="N458" s="69">
        <f t="shared" si="10"/>
      </c>
      <c r="P458" s="22">
        <f t="shared" si="11"/>
      </c>
    </row>
    <row r="459">
      <c r="A459" s="56">
        <f>IF($B459="","",454)</f>
      </c>
      <c r="B459" s="66">
        <f>IF(往来单位!$B$457="","",往来单位!$B$457)</f>
      </c>
      <c r="C459" s="56">
        <f>IF($B459="","",往来单位!$C$457&amp;"")</f>
      </c>
      <c r="D459" s="53">
        <f t="shared" si="0"/>
      </c>
      <c r="E459" s="53">
        <f t="shared" si="1"/>
      </c>
      <c r="F459" s="53">
        <f t="shared" si="2"/>
      </c>
      <c r="G459" s="59">
        <f t="shared" si="3"/>
      </c>
      <c r="H459" s="53">
        <f t="shared" si="4"/>
      </c>
      <c r="I459" s="53">
        <f t="shared" si="5"/>
      </c>
      <c r="J459" s="53">
        <f t="shared" si="6"/>
      </c>
      <c r="K459" s="59">
        <f t="shared" si="7"/>
      </c>
      <c r="L459" s="53">
        <f t="shared" si="8"/>
      </c>
      <c r="M459" s="59">
        <f t="shared" si="9"/>
      </c>
      <c r="N459" s="69">
        <f t="shared" si="10"/>
      </c>
      <c r="P459" s="22">
        <f t="shared" si="11"/>
      </c>
    </row>
    <row r="460">
      <c r="A460" s="56">
        <f>IF($B460="","",455)</f>
      </c>
      <c r="B460" s="66">
        <f>IF(往来单位!$B$458="","",往来单位!$B$458)</f>
      </c>
      <c r="C460" s="56">
        <f>IF($B460="","",往来单位!$C$458&amp;"")</f>
      </c>
      <c r="D460" s="53">
        <f t="shared" si="0"/>
      </c>
      <c r="E460" s="53">
        <f t="shared" si="1"/>
      </c>
      <c r="F460" s="53">
        <f t="shared" si="2"/>
      </c>
      <c r="G460" s="59">
        <f t="shared" si="3"/>
      </c>
      <c r="H460" s="53">
        <f t="shared" si="4"/>
      </c>
      <c r="I460" s="53">
        <f t="shared" si="5"/>
      </c>
      <c r="J460" s="53">
        <f t="shared" si="6"/>
      </c>
      <c r="K460" s="59">
        <f t="shared" si="7"/>
      </c>
      <c r="L460" s="53">
        <f t="shared" si="8"/>
      </c>
      <c r="M460" s="59">
        <f t="shared" si="9"/>
      </c>
      <c r="N460" s="69">
        <f t="shared" si="10"/>
      </c>
      <c r="P460" s="22">
        <f t="shared" si="11"/>
      </c>
    </row>
    <row r="461">
      <c r="A461" s="56">
        <f>IF($B461="","",456)</f>
      </c>
      <c r="B461" s="66">
        <f>IF(往来单位!$B$459="","",往来单位!$B$459)</f>
      </c>
      <c r="C461" s="56">
        <f>IF($B461="","",往来单位!$C$459&amp;"")</f>
      </c>
      <c r="D461" s="53">
        <f t="shared" si="0"/>
      </c>
      <c r="E461" s="53">
        <f t="shared" si="1"/>
      </c>
      <c r="F461" s="53">
        <f t="shared" si="2"/>
      </c>
      <c r="G461" s="59">
        <f t="shared" si="3"/>
      </c>
      <c r="H461" s="53">
        <f t="shared" si="4"/>
      </c>
      <c r="I461" s="53">
        <f t="shared" si="5"/>
      </c>
      <c r="J461" s="53">
        <f t="shared" si="6"/>
      </c>
      <c r="K461" s="59">
        <f t="shared" si="7"/>
      </c>
      <c r="L461" s="53">
        <f t="shared" si="8"/>
      </c>
      <c r="M461" s="59">
        <f t="shared" si="9"/>
      </c>
      <c r="N461" s="69">
        <f t="shared" si="10"/>
      </c>
      <c r="P461" s="22">
        <f t="shared" si="11"/>
      </c>
    </row>
    <row r="462">
      <c r="A462" s="56">
        <f>IF($B462="","",457)</f>
      </c>
      <c r="B462" s="66">
        <f>IF(往来单位!$B$460="","",往来单位!$B$460)</f>
      </c>
      <c r="C462" s="56">
        <f>IF($B462="","",往来单位!$C$460&amp;"")</f>
      </c>
      <c r="D462" s="53">
        <f t="shared" si="0"/>
      </c>
      <c r="E462" s="53">
        <f t="shared" si="1"/>
      </c>
      <c r="F462" s="53">
        <f t="shared" si="2"/>
      </c>
      <c r="G462" s="59">
        <f t="shared" si="3"/>
      </c>
      <c r="H462" s="53">
        <f t="shared" si="4"/>
      </c>
      <c r="I462" s="53">
        <f t="shared" si="5"/>
      </c>
      <c r="J462" s="53">
        <f t="shared" si="6"/>
      </c>
      <c r="K462" s="59">
        <f t="shared" si="7"/>
      </c>
      <c r="L462" s="53">
        <f t="shared" si="8"/>
      </c>
      <c r="M462" s="59">
        <f t="shared" si="9"/>
      </c>
      <c r="N462" s="69">
        <f t="shared" si="10"/>
      </c>
      <c r="P462" s="22">
        <f t="shared" si="11"/>
      </c>
    </row>
    <row r="463">
      <c r="A463" s="56">
        <f>IF($B463="","",458)</f>
      </c>
      <c r="B463" s="66">
        <f>IF(往来单位!$B$461="","",往来单位!$B$461)</f>
      </c>
      <c r="C463" s="56">
        <f>IF($B463="","",往来单位!$C$461&amp;"")</f>
      </c>
      <c r="D463" s="53">
        <f t="shared" si="0"/>
      </c>
      <c r="E463" s="53">
        <f t="shared" si="1"/>
      </c>
      <c r="F463" s="53">
        <f t="shared" si="2"/>
      </c>
      <c r="G463" s="59">
        <f t="shared" si="3"/>
      </c>
      <c r="H463" s="53">
        <f t="shared" si="4"/>
      </c>
      <c r="I463" s="53">
        <f t="shared" si="5"/>
      </c>
      <c r="J463" s="53">
        <f t="shared" si="6"/>
      </c>
      <c r="K463" s="59">
        <f t="shared" si="7"/>
      </c>
      <c r="L463" s="53">
        <f t="shared" si="8"/>
      </c>
      <c r="M463" s="59">
        <f t="shared" si="9"/>
      </c>
      <c r="N463" s="69">
        <f t="shared" si="10"/>
      </c>
      <c r="P463" s="22">
        <f t="shared" si="11"/>
      </c>
    </row>
    <row r="464">
      <c r="A464" s="56">
        <f>IF($B464="","",459)</f>
      </c>
      <c r="B464" s="66">
        <f>IF(往来单位!$B$462="","",往来单位!$B$462)</f>
      </c>
      <c r="C464" s="56">
        <f>IF($B464="","",往来单位!$C$462&amp;"")</f>
      </c>
      <c r="D464" s="53">
        <f t="shared" si="0"/>
      </c>
      <c r="E464" s="53">
        <f t="shared" si="1"/>
      </c>
      <c r="F464" s="53">
        <f t="shared" si="2"/>
      </c>
      <c r="G464" s="59">
        <f t="shared" si="3"/>
      </c>
      <c r="H464" s="53">
        <f t="shared" si="4"/>
      </c>
      <c r="I464" s="53">
        <f t="shared" si="5"/>
      </c>
      <c r="J464" s="53">
        <f t="shared" si="6"/>
      </c>
      <c r="K464" s="59">
        <f t="shared" si="7"/>
      </c>
      <c r="L464" s="53">
        <f t="shared" si="8"/>
      </c>
      <c r="M464" s="59">
        <f t="shared" si="9"/>
      </c>
      <c r="N464" s="69">
        <f t="shared" si="10"/>
      </c>
      <c r="P464" s="22">
        <f t="shared" si="11"/>
      </c>
    </row>
    <row r="465">
      <c r="A465" s="56">
        <f>IF($B465="","",460)</f>
      </c>
      <c r="B465" s="66">
        <f>IF(往来单位!$B$463="","",往来单位!$B$463)</f>
      </c>
      <c r="C465" s="56">
        <f>IF($B465="","",往来单位!$C$463&amp;"")</f>
      </c>
      <c r="D465" s="53">
        <f t="shared" si="0"/>
      </c>
      <c r="E465" s="53">
        <f t="shared" si="1"/>
      </c>
      <c r="F465" s="53">
        <f t="shared" si="2"/>
      </c>
      <c r="G465" s="59">
        <f t="shared" si="3"/>
      </c>
      <c r="H465" s="53">
        <f t="shared" si="4"/>
      </c>
      <c r="I465" s="53">
        <f t="shared" si="5"/>
      </c>
      <c r="J465" s="53">
        <f t="shared" si="6"/>
      </c>
      <c r="K465" s="59">
        <f t="shared" si="7"/>
      </c>
      <c r="L465" s="53">
        <f t="shared" si="8"/>
      </c>
      <c r="M465" s="59">
        <f t="shared" si="9"/>
      </c>
      <c r="N465" s="69">
        <f t="shared" si="10"/>
      </c>
      <c r="P465" s="22">
        <f t="shared" si="11"/>
      </c>
    </row>
    <row r="466">
      <c r="A466" s="56">
        <f>IF($B466="","",461)</f>
      </c>
      <c r="B466" s="66">
        <f>IF(往来单位!$B$464="","",往来单位!$B$464)</f>
      </c>
      <c r="C466" s="56">
        <f>IF($B466="","",往来单位!$C$464&amp;"")</f>
      </c>
      <c r="D466" s="53">
        <f t="shared" si="0"/>
      </c>
      <c r="E466" s="53">
        <f t="shared" si="1"/>
      </c>
      <c r="F466" s="53">
        <f t="shared" si="2"/>
      </c>
      <c r="G466" s="59">
        <f t="shared" si="3"/>
      </c>
      <c r="H466" s="53">
        <f t="shared" si="4"/>
      </c>
      <c r="I466" s="53">
        <f t="shared" si="5"/>
      </c>
      <c r="J466" s="53">
        <f t="shared" si="6"/>
      </c>
      <c r="K466" s="59">
        <f t="shared" si="7"/>
      </c>
      <c r="L466" s="53">
        <f t="shared" si="8"/>
      </c>
      <c r="M466" s="59">
        <f t="shared" si="9"/>
      </c>
      <c r="N466" s="69">
        <f t="shared" si="10"/>
      </c>
      <c r="P466" s="22">
        <f t="shared" si="11"/>
      </c>
    </row>
    <row r="467">
      <c r="A467" s="56">
        <f>IF($B467="","",462)</f>
      </c>
      <c r="B467" s="66">
        <f>IF(往来单位!$B$465="","",往来单位!$B$465)</f>
      </c>
      <c r="C467" s="56">
        <f>IF($B467="","",往来单位!$C$465&amp;"")</f>
      </c>
      <c r="D467" s="53">
        <f t="shared" si="0"/>
      </c>
      <c r="E467" s="53">
        <f t="shared" si="1"/>
      </c>
      <c r="F467" s="53">
        <f t="shared" si="2"/>
      </c>
      <c r="G467" s="59">
        <f t="shared" si="3"/>
      </c>
      <c r="H467" s="53">
        <f t="shared" si="4"/>
      </c>
      <c r="I467" s="53">
        <f t="shared" si="5"/>
      </c>
      <c r="J467" s="53">
        <f t="shared" si="6"/>
      </c>
      <c r="K467" s="59">
        <f t="shared" si="7"/>
      </c>
      <c r="L467" s="53">
        <f t="shared" si="8"/>
      </c>
      <c r="M467" s="59">
        <f t="shared" si="9"/>
      </c>
      <c r="N467" s="69">
        <f t="shared" si="10"/>
      </c>
      <c r="P467" s="22">
        <f t="shared" si="11"/>
      </c>
    </row>
    <row r="468">
      <c r="A468" s="56">
        <f>IF($B468="","",463)</f>
      </c>
      <c r="B468" s="66">
        <f>IF(往来单位!$B$466="","",往来单位!$B$466)</f>
      </c>
      <c r="C468" s="56">
        <f>IF($B468="","",往来单位!$C$466&amp;"")</f>
      </c>
      <c r="D468" s="53">
        <f t="shared" si="0"/>
      </c>
      <c r="E468" s="53">
        <f t="shared" si="1"/>
      </c>
      <c r="F468" s="53">
        <f t="shared" si="2"/>
      </c>
      <c r="G468" s="59">
        <f t="shared" si="3"/>
      </c>
      <c r="H468" s="53">
        <f t="shared" si="4"/>
      </c>
      <c r="I468" s="53">
        <f t="shared" si="5"/>
      </c>
      <c r="J468" s="53">
        <f t="shared" si="6"/>
      </c>
      <c r="K468" s="59">
        <f t="shared" si="7"/>
      </c>
      <c r="L468" s="53">
        <f t="shared" si="8"/>
      </c>
      <c r="M468" s="59">
        <f t="shared" si="9"/>
      </c>
      <c r="N468" s="69">
        <f t="shared" si="10"/>
      </c>
      <c r="P468" s="22">
        <f t="shared" si="11"/>
      </c>
    </row>
    <row r="469">
      <c r="A469" s="56">
        <f>IF($B469="","",464)</f>
      </c>
      <c r="B469" s="66">
        <f>IF(往来单位!$B$467="","",往来单位!$B$467)</f>
      </c>
      <c r="C469" s="56">
        <f>IF($B469="","",往来单位!$C$467&amp;"")</f>
      </c>
      <c r="D469" s="53">
        <f t="shared" si="0"/>
      </c>
      <c r="E469" s="53">
        <f t="shared" si="1"/>
      </c>
      <c r="F469" s="53">
        <f t="shared" si="2"/>
      </c>
      <c r="G469" s="59">
        <f t="shared" si="3"/>
      </c>
      <c r="H469" s="53">
        <f t="shared" si="4"/>
      </c>
      <c r="I469" s="53">
        <f t="shared" si="5"/>
      </c>
      <c r="J469" s="53">
        <f t="shared" si="6"/>
      </c>
      <c r="K469" s="59">
        <f t="shared" si="7"/>
      </c>
      <c r="L469" s="53">
        <f t="shared" si="8"/>
      </c>
      <c r="M469" s="59">
        <f t="shared" si="9"/>
      </c>
      <c r="N469" s="69">
        <f t="shared" si="10"/>
      </c>
      <c r="P469" s="22">
        <f t="shared" si="11"/>
      </c>
    </row>
    <row r="470">
      <c r="A470" s="56">
        <f>IF($B470="","",465)</f>
      </c>
      <c r="B470" s="66">
        <f>IF(往来单位!$B$468="","",往来单位!$B$468)</f>
      </c>
      <c r="C470" s="56">
        <f>IF($B470="","",往来单位!$C$468&amp;"")</f>
      </c>
      <c r="D470" s="53">
        <f t="shared" si="0"/>
      </c>
      <c r="E470" s="53">
        <f t="shared" si="1"/>
      </c>
      <c r="F470" s="53">
        <f t="shared" si="2"/>
      </c>
      <c r="G470" s="59">
        <f t="shared" si="3"/>
      </c>
      <c r="H470" s="53">
        <f t="shared" si="4"/>
      </c>
      <c r="I470" s="53">
        <f t="shared" si="5"/>
      </c>
      <c r="J470" s="53">
        <f t="shared" si="6"/>
      </c>
      <c r="K470" s="59">
        <f t="shared" si="7"/>
      </c>
      <c r="L470" s="53">
        <f t="shared" si="8"/>
      </c>
      <c r="M470" s="59">
        <f t="shared" si="9"/>
      </c>
      <c r="N470" s="69">
        <f t="shared" si="10"/>
      </c>
      <c r="P470" s="22">
        <f t="shared" si="11"/>
      </c>
    </row>
    <row r="471">
      <c r="A471" s="56">
        <f>IF($B471="","",466)</f>
      </c>
      <c r="B471" s="66">
        <f>IF(往来单位!$B$469="","",往来单位!$B$469)</f>
      </c>
      <c r="C471" s="56">
        <f>IF($B471="","",往来单位!$C$469&amp;"")</f>
      </c>
      <c r="D471" s="53">
        <f t="shared" si="0"/>
      </c>
      <c r="E471" s="53">
        <f t="shared" si="1"/>
      </c>
      <c r="F471" s="53">
        <f t="shared" si="2"/>
      </c>
      <c r="G471" s="59">
        <f t="shared" si="3"/>
      </c>
      <c r="H471" s="53">
        <f t="shared" si="4"/>
      </c>
      <c r="I471" s="53">
        <f t="shared" si="5"/>
      </c>
      <c r="J471" s="53">
        <f t="shared" si="6"/>
      </c>
      <c r="K471" s="59">
        <f t="shared" si="7"/>
      </c>
      <c r="L471" s="53">
        <f t="shared" si="8"/>
      </c>
      <c r="M471" s="59">
        <f t="shared" si="9"/>
      </c>
      <c r="N471" s="69">
        <f t="shared" si="10"/>
      </c>
      <c r="P471" s="22">
        <f t="shared" si="11"/>
      </c>
    </row>
    <row r="472">
      <c r="A472" s="56">
        <f>IF($B472="","",467)</f>
      </c>
      <c r="B472" s="66">
        <f>IF(往来单位!$B$470="","",往来单位!$B$470)</f>
      </c>
      <c r="C472" s="56">
        <f>IF($B472="","",往来单位!$C$470&amp;"")</f>
      </c>
      <c r="D472" s="53">
        <f t="shared" si="0"/>
      </c>
      <c r="E472" s="53">
        <f t="shared" si="1"/>
      </c>
      <c r="F472" s="53">
        <f t="shared" si="2"/>
      </c>
      <c r="G472" s="59">
        <f t="shared" si="3"/>
      </c>
      <c r="H472" s="53">
        <f t="shared" si="4"/>
      </c>
      <c r="I472" s="53">
        <f t="shared" si="5"/>
      </c>
      <c r="J472" s="53">
        <f t="shared" si="6"/>
      </c>
      <c r="K472" s="59">
        <f t="shared" si="7"/>
      </c>
      <c r="L472" s="53">
        <f t="shared" si="8"/>
      </c>
      <c r="M472" s="59">
        <f t="shared" si="9"/>
      </c>
      <c r="N472" s="69">
        <f t="shared" si="10"/>
      </c>
      <c r="P472" s="22">
        <f t="shared" si="11"/>
      </c>
    </row>
    <row r="473">
      <c r="A473" s="56">
        <f>IF($B473="","",468)</f>
      </c>
      <c r="B473" s="66">
        <f>IF(往来单位!$B$471="","",往来单位!$B$471)</f>
      </c>
      <c r="C473" s="56">
        <f>IF($B473="","",往来单位!$C$471&amp;"")</f>
      </c>
      <c r="D473" s="53">
        <f t="shared" si="0"/>
      </c>
      <c r="E473" s="53">
        <f t="shared" si="1"/>
      </c>
      <c r="F473" s="53">
        <f t="shared" si="2"/>
      </c>
      <c r="G473" s="59">
        <f t="shared" si="3"/>
      </c>
      <c r="H473" s="53">
        <f t="shared" si="4"/>
      </c>
      <c r="I473" s="53">
        <f t="shared" si="5"/>
      </c>
      <c r="J473" s="53">
        <f t="shared" si="6"/>
      </c>
      <c r="K473" s="59">
        <f t="shared" si="7"/>
      </c>
      <c r="L473" s="53">
        <f t="shared" si="8"/>
      </c>
      <c r="M473" s="59">
        <f t="shared" si="9"/>
      </c>
      <c r="N473" s="69">
        <f t="shared" si="10"/>
      </c>
      <c r="P473" s="22">
        <f t="shared" si="11"/>
      </c>
    </row>
    <row r="474">
      <c r="A474" s="56">
        <f>IF($B474="","",469)</f>
      </c>
      <c r="B474" s="66">
        <f>IF(往来单位!$B$472="","",往来单位!$B$472)</f>
      </c>
      <c r="C474" s="56">
        <f>IF($B474="","",往来单位!$C$472&amp;"")</f>
      </c>
      <c r="D474" s="53">
        <f t="shared" si="0"/>
      </c>
      <c r="E474" s="53">
        <f t="shared" si="1"/>
      </c>
      <c r="F474" s="53">
        <f t="shared" si="2"/>
      </c>
      <c r="G474" s="59">
        <f t="shared" si="3"/>
      </c>
      <c r="H474" s="53">
        <f t="shared" si="4"/>
      </c>
      <c r="I474" s="53">
        <f t="shared" si="5"/>
      </c>
      <c r="J474" s="53">
        <f t="shared" si="6"/>
      </c>
      <c r="K474" s="59">
        <f t="shared" si="7"/>
      </c>
      <c r="L474" s="53">
        <f t="shared" si="8"/>
      </c>
      <c r="M474" s="59">
        <f t="shared" si="9"/>
      </c>
      <c r="N474" s="69">
        <f t="shared" si="10"/>
      </c>
      <c r="P474" s="22">
        <f t="shared" si="11"/>
      </c>
    </row>
    <row r="475">
      <c r="A475" s="56">
        <f>IF($B475="","",470)</f>
      </c>
      <c r="B475" s="66">
        <f>IF(往来单位!$B$473="","",往来单位!$B$473)</f>
      </c>
      <c r="C475" s="56">
        <f>IF($B475="","",往来单位!$C$473&amp;"")</f>
      </c>
      <c r="D475" s="53">
        <f t="shared" si="0"/>
      </c>
      <c r="E475" s="53">
        <f t="shared" si="1"/>
      </c>
      <c r="F475" s="53">
        <f t="shared" si="2"/>
      </c>
      <c r="G475" s="59">
        <f t="shared" si="3"/>
      </c>
      <c r="H475" s="53">
        <f t="shared" si="4"/>
      </c>
      <c r="I475" s="53">
        <f t="shared" si="5"/>
      </c>
      <c r="J475" s="53">
        <f t="shared" si="6"/>
      </c>
      <c r="K475" s="59">
        <f t="shared" si="7"/>
      </c>
      <c r="L475" s="53">
        <f t="shared" si="8"/>
      </c>
      <c r="M475" s="59">
        <f t="shared" si="9"/>
      </c>
      <c r="N475" s="69">
        <f t="shared" si="10"/>
      </c>
      <c r="P475" s="22">
        <f t="shared" si="11"/>
      </c>
    </row>
    <row r="476">
      <c r="A476" s="56">
        <f>IF($B476="","",471)</f>
      </c>
      <c r="B476" s="66">
        <f>IF(往来单位!$B$474="","",往来单位!$B$474)</f>
      </c>
      <c r="C476" s="56">
        <f>IF($B476="","",往来单位!$C$474&amp;"")</f>
      </c>
      <c r="D476" s="53">
        <f t="shared" si="0"/>
      </c>
      <c r="E476" s="53">
        <f t="shared" si="1"/>
      </c>
      <c r="F476" s="53">
        <f t="shared" si="2"/>
      </c>
      <c r="G476" s="59">
        <f t="shared" si="3"/>
      </c>
      <c r="H476" s="53">
        <f t="shared" si="4"/>
      </c>
      <c r="I476" s="53">
        <f t="shared" si="5"/>
      </c>
      <c r="J476" s="53">
        <f t="shared" si="6"/>
      </c>
      <c r="K476" s="59">
        <f t="shared" si="7"/>
      </c>
      <c r="L476" s="53">
        <f t="shared" si="8"/>
      </c>
      <c r="M476" s="59">
        <f t="shared" si="9"/>
      </c>
      <c r="N476" s="69">
        <f t="shared" si="10"/>
      </c>
      <c r="P476" s="22">
        <f t="shared" si="11"/>
      </c>
    </row>
    <row r="477">
      <c r="A477" s="56">
        <f>IF($B477="","",472)</f>
      </c>
      <c r="B477" s="66">
        <f>IF(往来单位!$B$475="","",往来单位!$B$475)</f>
      </c>
      <c r="C477" s="56">
        <f>IF($B477="","",往来单位!$C$475&amp;"")</f>
      </c>
      <c r="D477" s="53">
        <f t="shared" si="0"/>
      </c>
      <c r="E477" s="53">
        <f t="shared" si="1"/>
      </c>
      <c r="F477" s="53">
        <f t="shared" si="2"/>
      </c>
      <c r="G477" s="59">
        <f t="shared" si="3"/>
      </c>
      <c r="H477" s="53">
        <f t="shared" si="4"/>
      </c>
      <c r="I477" s="53">
        <f t="shared" si="5"/>
      </c>
      <c r="J477" s="53">
        <f t="shared" si="6"/>
      </c>
      <c r="K477" s="59">
        <f t="shared" si="7"/>
      </c>
      <c r="L477" s="53">
        <f t="shared" si="8"/>
      </c>
      <c r="M477" s="59">
        <f t="shared" si="9"/>
      </c>
      <c r="N477" s="69">
        <f t="shared" si="10"/>
      </c>
      <c r="P477" s="22">
        <f t="shared" si="11"/>
      </c>
    </row>
    <row r="478">
      <c r="A478" s="56">
        <f>IF($B478="","",473)</f>
      </c>
      <c r="B478" s="66">
        <f>IF(往来单位!$B$476="","",往来单位!$B$476)</f>
      </c>
      <c r="C478" s="56">
        <f>IF($B478="","",往来单位!$C$476&amp;"")</f>
      </c>
      <c r="D478" s="53">
        <f t="shared" si="0"/>
      </c>
      <c r="E478" s="53">
        <f t="shared" si="1"/>
      </c>
      <c r="F478" s="53">
        <f t="shared" si="2"/>
      </c>
      <c r="G478" s="59">
        <f t="shared" si="3"/>
      </c>
      <c r="H478" s="53">
        <f t="shared" si="4"/>
      </c>
      <c r="I478" s="53">
        <f t="shared" si="5"/>
      </c>
      <c r="J478" s="53">
        <f t="shared" si="6"/>
      </c>
      <c r="K478" s="59">
        <f t="shared" si="7"/>
      </c>
      <c r="L478" s="53">
        <f t="shared" si="8"/>
      </c>
      <c r="M478" s="59">
        <f t="shared" si="9"/>
      </c>
      <c r="N478" s="69">
        <f t="shared" si="10"/>
      </c>
      <c r="P478" s="22">
        <f t="shared" si="11"/>
      </c>
    </row>
    <row r="479">
      <c r="A479" s="56">
        <f>IF($B479="","",474)</f>
      </c>
      <c r="B479" s="66">
        <f>IF(往来单位!$B$477="","",往来单位!$B$477)</f>
      </c>
      <c r="C479" s="56">
        <f>IF($B479="","",往来单位!$C$477&amp;"")</f>
      </c>
      <c r="D479" s="53">
        <f t="shared" si="0"/>
      </c>
      <c r="E479" s="53">
        <f t="shared" si="1"/>
      </c>
      <c r="F479" s="53">
        <f t="shared" si="2"/>
      </c>
      <c r="G479" s="59">
        <f t="shared" si="3"/>
      </c>
      <c r="H479" s="53">
        <f t="shared" si="4"/>
      </c>
      <c r="I479" s="53">
        <f t="shared" si="5"/>
      </c>
      <c r="J479" s="53">
        <f t="shared" si="6"/>
      </c>
      <c r="K479" s="59">
        <f t="shared" si="7"/>
      </c>
      <c r="L479" s="53">
        <f t="shared" si="8"/>
      </c>
      <c r="M479" s="59">
        <f t="shared" si="9"/>
      </c>
      <c r="N479" s="69">
        <f t="shared" si="10"/>
      </c>
      <c r="P479" s="22">
        <f t="shared" si="11"/>
      </c>
    </row>
    <row r="480">
      <c r="A480" s="56">
        <f>IF($B480="","",475)</f>
      </c>
      <c r="B480" s="66">
        <f>IF(往来单位!$B$478="","",往来单位!$B$478)</f>
      </c>
      <c r="C480" s="56">
        <f>IF($B480="","",往来单位!$C$478&amp;"")</f>
      </c>
      <c r="D480" s="53">
        <f t="shared" si="0"/>
      </c>
      <c r="E480" s="53">
        <f t="shared" si="1"/>
      </c>
      <c r="F480" s="53">
        <f t="shared" si="2"/>
      </c>
      <c r="G480" s="59">
        <f t="shared" si="3"/>
      </c>
      <c r="H480" s="53">
        <f t="shared" si="4"/>
      </c>
      <c r="I480" s="53">
        <f t="shared" si="5"/>
      </c>
      <c r="J480" s="53">
        <f t="shared" si="6"/>
      </c>
      <c r="K480" s="59">
        <f t="shared" si="7"/>
      </c>
      <c r="L480" s="53">
        <f t="shared" si="8"/>
      </c>
      <c r="M480" s="59">
        <f t="shared" si="9"/>
      </c>
      <c r="N480" s="69">
        <f t="shared" si="10"/>
      </c>
      <c r="P480" s="22">
        <f t="shared" si="11"/>
      </c>
    </row>
    <row r="481">
      <c r="A481" s="56">
        <f>IF($B481="","",476)</f>
      </c>
      <c r="B481" s="66">
        <f>IF(往来单位!$B$479="","",往来单位!$B$479)</f>
      </c>
      <c r="C481" s="56">
        <f>IF($B481="","",往来单位!$C$479&amp;"")</f>
      </c>
      <c r="D481" s="53">
        <f t="shared" si="0"/>
      </c>
      <c r="E481" s="53">
        <f t="shared" si="1"/>
      </c>
      <c r="F481" s="53">
        <f t="shared" si="2"/>
      </c>
      <c r="G481" s="59">
        <f t="shared" si="3"/>
      </c>
      <c r="H481" s="53">
        <f t="shared" si="4"/>
      </c>
      <c r="I481" s="53">
        <f t="shared" si="5"/>
      </c>
      <c r="J481" s="53">
        <f t="shared" si="6"/>
      </c>
      <c r="K481" s="59">
        <f t="shared" si="7"/>
      </c>
      <c r="L481" s="53">
        <f t="shared" si="8"/>
      </c>
      <c r="M481" s="59">
        <f t="shared" si="9"/>
      </c>
      <c r="N481" s="69">
        <f t="shared" si="10"/>
      </c>
      <c r="P481" s="22">
        <f t="shared" si="11"/>
      </c>
    </row>
    <row r="482">
      <c r="A482" s="56">
        <f>IF($B482="","",477)</f>
      </c>
      <c r="B482" s="66">
        <f>IF(往来单位!$B$480="","",往来单位!$B$480)</f>
      </c>
      <c r="C482" s="56">
        <f>IF($B482="","",往来单位!$C$480&amp;"")</f>
      </c>
      <c r="D482" s="53">
        <f t="shared" si="0"/>
      </c>
      <c r="E482" s="53">
        <f t="shared" si="1"/>
      </c>
      <c r="F482" s="53">
        <f t="shared" si="2"/>
      </c>
      <c r="G482" s="59">
        <f t="shared" si="3"/>
      </c>
      <c r="H482" s="53">
        <f t="shared" si="4"/>
      </c>
      <c r="I482" s="53">
        <f t="shared" si="5"/>
      </c>
      <c r="J482" s="53">
        <f t="shared" si="6"/>
      </c>
      <c r="K482" s="59">
        <f t="shared" si="7"/>
      </c>
      <c r="L482" s="53">
        <f t="shared" si="8"/>
      </c>
      <c r="M482" s="59">
        <f t="shared" si="9"/>
      </c>
      <c r="N482" s="69">
        <f t="shared" si="10"/>
      </c>
      <c r="P482" s="22">
        <f t="shared" si="11"/>
      </c>
    </row>
    <row r="483">
      <c r="A483" s="56">
        <f>IF($B483="","",478)</f>
      </c>
      <c r="B483" s="66">
        <f>IF(往来单位!$B$481="","",往来单位!$B$481)</f>
      </c>
      <c r="C483" s="56">
        <f>IF($B483="","",往来单位!$C$481&amp;"")</f>
      </c>
      <c r="D483" s="53">
        <f t="shared" si="0"/>
      </c>
      <c r="E483" s="53">
        <f t="shared" si="1"/>
      </c>
      <c r="F483" s="53">
        <f t="shared" si="2"/>
      </c>
      <c r="G483" s="59">
        <f t="shared" si="3"/>
      </c>
      <c r="H483" s="53">
        <f t="shared" si="4"/>
      </c>
      <c r="I483" s="53">
        <f t="shared" si="5"/>
      </c>
      <c r="J483" s="53">
        <f t="shared" si="6"/>
      </c>
      <c r="K483" s="59">
        <f t="shared" si="7"/>
      </c>
      <c r="L483" s="53">
        <f t="shared" si="8"/>
      </c>
      <c r="M483" s="59">
        <f t="shared" si="9"/>
      </c>
      <c r="N483" s="69">
        <f t="shared" si="10"/>
      </c>
      <c r="P483" s="22">
        <f t="shared" si="11"/>
      </c>
    </row>
    <row r="484">
      <c r="A484" s="56">
        <f>IF($B484="","",479)</f>
      </c>
      <c r="B484" s="66">
        <f>IF(往来单位!$B$482="","",往来单位!$B$482)</f>
      </c>
      <c r="C484" s="56">
        <f>IF($B484="","",往来单位!$C$482&amp;"")</f>
      </c>
      <c r="D484" s="53">
        <f t="shared" si="0"/>
      </c>
      <c r="E484" s="53">
        <f t="shared" si="1"/>
      </c>
      <c r="F484" s="53">
        <f t="shared" si="2"/>
      </c>
      <c r="G484" s="59">
        <f t="shared" si="3"/>
      </c>
      <c r="H484" s="53">
        <f t="shared" si="4"/>
      </c>
      <c r="I484" s="53">
        <f t="shared" si="5"/>
      </c>
      <c r="J484" s="53">
        <f t="shared" si="6"/>
      </c>
      <c r="K484" s="59">
        <f t="shared" si="7"/>
      </c>
      <c r="L484" s="53">
        <f t="shared" si="8"/>
      </c>
      <c r="M484" s="59">
        <f t="shared" si="9"/>
      </c>
      <c r="N484" s="69">
        <f t="shared" si="10"/>
      </c>
      <c r="P484" s="22">
        <f t="shared" si="11"/>
      </c>
    </row>
    <row r="485">
      <c r="A485" s="56">
        <f>IF($B485="","",480)</f>
      </c>
      <c r="B485" s="66">
        <f>IF(往来单位!$B$483="","",往来单位!$B$483)</f>
      </c>
      <c r="C485" s="56">
        <f>IF($B485="","",往来单位!$C$483&amp;"")</f>
      </c>
      <c r="D485" s="53">
        <f t="shared" si="0"/>
      </c>
      <c r="E485" s="53">
        <f t="shared" si="1"/>
      </c>
      <c r="F485" s="53">
        <f t="shared" si="2"/>
      </c>
      <c r="G485" s="59">
        <f t="shared" si="3"/>
      </c>
      <c r="H485" s="53">
        <f t="shared" si="4"/>
      </c>
      <c r="I485" s="53">
        <f t="shared" si="5"/>
      </c>
      <c r="J485" s="53">
        <f t="shared" si="6"/>
      </c>
      <c r="K485" s="59">
        <f t="shared" si="7"/>
      </c>
      <c r="L485" s="53">
        <f t="shared" si="8"/>
      </c>
      <c r="M485" s="59">
        <f t="shared" si="9"/>
      </c>
      <c r="N485" s="69">
        <f t="shared" si="10"/>
      </c>
      <c r="P485" s="22">
        <f t="shared" si="11"/>
      </c>
    </row>
    <row r="486">
      <c r="A486" s="56">
        <f>IF($B486="","",481)</f>
      </c>
      <c r="B486" s="66">
        <f>IF(往来单位!$B$484="","",往来单位!$B$484)</f>
      </c>
      <c r="C486" s="56">
        <f>IF($B486="","",往来单位!$C$484&amp;"")</f>
      </c>
      <c r="D486" s="53">
        <f t="shared" si="0"/>
      </c>
      <c r="E486" s="53">
        <f t="shared" si="1"/>
      </c>
      <c r="F486" s="53">
        <f t="shared" si="2"/>
      </c>
      <c r="G486" s="59">
        <f t="shared" si="3"/>
      </c>
      <c r="H486" s="53">
        <f t="shared" si="4"/>
      </c>
      <c r="I486" s="53">
        <f t="shared" si="5"/>
      </c>
      <c r="J486" s="53">
        <f t="shared" si="6"/>
      </c>
      <c r="K486" s="59">
        <f t="shared" si="7"/>
      </c>
      <c r="L486" s="53">
        <f t="shared" si="8"/>
      </c>
      <c r="M486" s="59">
        <f t="shared" si="9"/>
      </c>
      <c r="N486" s="69">
        <f t="shared" si="10"/>
      </c>
      <c r="P486" s="22">
        <f t="shared" si="11"/>
      </c>
    </row>
    <row r="487">
      <c r="A487" s="56">
        <f>IF($B487="","",482)</f>
      </c>
      <c r="B487" s="66">
        <f>IF(往来单位!$B$485="","",往来单位!$B$485)</f>
      </c>
      <c r="C487" s="56">
        <f>IF($B487="","",往来单位!$C$485&amp;"")</f>
      </c>
      <c r="D487" s="53">
        <f t="shared" si="0"/>
      </c>
      <c r="E487" s="53">
        <f t="shared" si="1"/>
      </c>
      <c r="F487" s="53">
        <f t="shared" si="2"/>
      </c>
      <c r="G487" s="59">
        <f t="shared" si="3"/>
      </c>
      <c r="H487" s="53">
        <f t="shared" si="4"/>
      </c>
      <c r="I487" s="53">
        <f t="shared" si="5"/>
      </c>
      <c r="J487" s="53">
        <f t="shared" si="6"/>
      </c>
      <c r="K487" s="59">
        <f t="shared" si="7"/>
      </c>
      <c r="L487" s="53">
        <f t="shared" si="8"/>
      </c>
      <c r="M487" s="59">
        <f t="shared" si="9"/>
      </c>
      <c r="N487" s="69">
        <f t="shared" si="10"/>
      </c>
      <c r="P487" s="22">
        <f t="shared" si="11"/>
      </c>
    </row>
    <row r="488">
      <c r="A488" s="56">
        <f>IF($B488="","",483)</f>
      </c>
      <c r="B488" s="66">
        <f>IF(往来单位!$B$486="","",往来单位!$B$486)</f>
      </c>
      <c r="C488" s="56">
        <f>IF($B488="","",往来单位!$C$486&amp;"")</f>
      </c>
      <c r="D488" s="53">
        <f t="shared" si="0"/>
      </c>
      <c r="E488" s="53">
        <f t="shared" si="1"/>
      </c>
      <c r="F488" s="53">
        <f t="shared" si="2"/>
      </c>
      <c r="G488" s="59">
        <f t="shared" si="3"/>
      </c>
      <c r="H488" s="53">
        <f t="shared" si="4"/>
      </c>
      <c r="I488" s="53">
        <f t="shared" si="5"/>
      </c>
      <c r="J488" s="53">
        <f t="shared" si="6"/>
      </c>
      <c r="K488" s="59">
        <f t="shared" si="7"/>
      </c>
      <c r="L488" s="53">
        <f t="shared" si="8"/>
      </c>
      <c r="M488" s="59">
        <f t="shared" si="9"/>
      </c>
      <c r="N488" s="69">
        <f t="shared" si="10"/>
      </c>
      <c r="P488" s="22">
        <f t="shared" si="11"/>
      </c>
    </row>
    <row r="489">
      <c r="A489" s="56">
        <f>IF($B489="","",484)</f>
      </c>
      <c r="B489" s="66">
        <f>IF(往来单位!$B$487="","",往来单位!$B$487)</f>
      </c>
      <c r="C489" s="56">
        <f>IF($B489="","",往来单位!$C$487&amp;"")</f>
      </c>
      <c r="D489" s="53">
        <f t="shared" si="0"/>
      </c>
      <c r="E489" s="53">
        <f t="shared" si="1"/>
      </c>
      <c r="F489" s="53">
        <f t="shared" si="2"/>
      </c>
      <c r="G489" s="59">
        <f t="shared" si="3"/>
      </c>
      <c r="H489" s="53">
        <f t="shared" si="4"/>
      </c>
      <c r="I489" s="53">
        <f t="shared" si="5"/>
      </c>
      <c r="J489" s="53">
        <f t="shared" si="6"/>
      </c>
      <c r="K489" s="59">
        <f t="shared" si="7"/>
      </c>
      <c r="L489" s="53">
        <f t="shared" si="8"/>
      </c>
      <c r="M489" s="59">
        <f t="shared" si="9"/>
      </c>
      <c r="N489" s="69">
        <f t="shared" si="10"/>
      </c>
      <c r="P489" s="22">
        <f t="shared" si="11"/>
      </c>
    </row>
    <row r="490">
      <c r="A490" s="56">
        <f>IF($B490="","",485)</f>
      </c>
      <c r="B490" s="66">
        <f>IF(往来单位!$B$488="","",往来单位!$B$488)</f>
      </c>
      <c r="C490" s="56">
        <f>IF($B490="","",往来单位!$C$488&amp;"")</f>
      </c>
      <c r="D490" s="53">
        <f t="shared" si="0"/>
      </c>
      <c r="E490" s="53">
        <f t="shared" si="1"/>
      </c>
      <c r="F490" s="53">
        <f t="shared" si="2"/>
      </c>
      <c r="G490" s="59">
        <f t="shared" si="3"/>
      </c>
      <c r="H490" s="53">
        <f t="shared" si="4"/>
      </c>
      <c r="I490" s="53">
        <f t="shared" si="5"/>
      </c>
      <c r="J490" s="53">
        <f t="shared" si="6"/>
      </c>
      <c r="K490" s="59">
        <f t="shared" si="7"/>
      </c>
      <c r="L490" s="53">
        <f t="shared" si="8"/>
      </c>
      <c r="M490" s="59">
        <f t="shared" si="9"/>
      </c>
      <c r="N490" s="69">
        <f t="shared" si="10"/>
      </c>
      <c r="P490" s="22">
        <f t="shared" si="11"/>
      </c>
    </row>
    <row r="491">
      <c r="A491" s="56">
        <f>IF($B491="","",486)</f>
      </c>
      <c r="B491" s="66">
        <f>IF(往来单位!$B$489="","",往来单位!$B$489)</f>
      </c>
      <c r="C491" s="56">
        <f>IF($B491="","",往来单位!$C$489&amp;"")</f>
      </c>
      <c r="D491" s="53">
        <f t="shared" si="0"/>
      </c>
      <c r="E491" s="53">
        <f t="shared" si="1"/>
      </c>
      <c r="F491" s="53">
        <f t="shared" si="2"/>
      </c>
      <c r="G491" s="59">
        <f t="shared" si="3"/>
      </c>
      <c r="H491" s="53">
        <f t="shared" si="4"/>
      </c>
      <c r="I491" s="53">
        <f t="shared" si="5"/>
      </c>
      <c r="J491" s="53">
        <f t="shared" si="6"/>
      </c>
      <c r="K491" s="59">
        <f t="shared" si="7"/>
      </c>
      <c r="L491" s="53">
        <f t="shared" si="8"/>
      </c>
      <c r="M491" s="59">
        <f t="shared" si="9"/>
      </c>
      <c r="N491" s="69">
        <f t="shared" si="10"/>
      </c>
      <c r="P491" s="22">
        <f t="shared" si="11"/>
      </c>
    </row>
    <row r="492">
      <c r="A492" s="56">
        <f>IF($B492="","",487)</f>
      </c>
      <c r="B492" s="66">
        <f>IF(往来单位!$B$490="","",往来单位!$B$490)</f>
      </c>
      <c r="C492" s="56">
        <f>IF($B492="","",往来单位!$C$490&amp;"")</f>
      </c>
      <c r="D492" s="53">
        <f t="shared" si="0"/>
      </c>
      <c r="E492" s="53">
        <f t="shared" si="1"/>
      </c>
      <c r="F492" s="53">
        <f t="shared" si="2"/>
      </c>
      <c r="G492" s="59">
        <f t="shared" si="3"/>
      </c>
      <c r="H492" s="53">
        <f t="shared" si="4"/>
      </c>
      <c r="I492" s="53">
        <f t="shared" si="5"/>
      </c>
      <c r="J492" s="53">
        <f t="shared" si="6"/>
      </c>
      <c r="K492" s="59">
        <f t="shared" si="7"/>
      </c>
      <c r="L492" s="53">
        <f t="shared" si="8"/>
      </c>
      <c r="M492" s="59">
        <f t="shared" si="9"/>
      </c>
      <c r="N492" s="69">
        <f t="shared" si="10"/>
      </c>
      <c r="P492" s="22">
        <f t="shared" si="11"/>
      </c>
    </row>
    <row r="493">
      <c r="A493" s="56">
        <f>IF($B493="","",488)</f>
      </c>
      <c r="B493" s="66">
        <f>IF(往来单位!$B$491="","",往来单位!$B$491)</f>
      </c>
      <c r="C493" s="56">
        <f>IF($B493="","",往来单位!$C$491&amp;"")</f>
      </c>
      <c r="D493" s="53">
        <f t="shared" si="0"/>
      </c>
      <c r="E493" s="53">
        <f t="shared" si="1"/>
      </c>
      <c r="F493" s="53">
        <f t="shared" si="2"/>
      </c>
      <c r="G493" s="59">
        <f t="shared" si="3"/>
      </c>
      <c r="H493" s="53">
        <f t="shared" si="4"/>
      </c>
      <c r="I493" s="53">
        <f t="shared" si="5"/>
      </c>
      <c r="J493" s="53">
        <f t="shared" si="6"/>
      </c>
      <c r="K493" s="59">
        <f t="shared" si="7"/>
      </c>
      <c r="L493" s="53">
        <f t="shared" si="8"/>
      </c>
      <c r="M493" s="59">
        <f t="shared" si="9"/>
      </c>
      <c r="N493" s="69">
        <f t="shared" si="10"/>
      </c>
      <c r="P493" s="22">
        <f t="shared" si="11"/>
      </c>
    </row>
    <row r="494">
      <c r="A494" s="56">
        <f>IF($B494="","",489)</f>
      </c>
      <c r="B494" s="66">
        <f>IF(往来单位!$B$492="","",往来单位!$B$492)</f>
      </c>
      <c r="C494" s="56">
        <f>IF($B494="","",往来单位!$C$492&amp;"")</f>
      </c>
      <c r="D494" s="53">
        <f t="shared" si="0"/>
      </c>
      <c r="E494" s="53">
        <f t="shared" si="1"/>
      </c>
      <c r="F494" s="53">
        <f t="shared" si="2"/>
      </c>
      <c r="G494" s="59">
        <f t="shared" si="3"/>
      </c>
      <c r="H494" s="53">
        <f t="shared" si="4"/>
      </c>
      <c r="I494" s="53">
        <f t="shared" si="5"/>
      </c>
      <c r="J494" s="53">
        <f t="shared" si="6"/>
      </c>
      <c r="K494" s="59">
        <f t="shared" si="7"/>
      </c>
      <c r="L494" s="53">
        <f t="shared" si="8"/>
      </c>
      <c r="M494" s="59">
        <f t="shared" si="9"/>
      </c>
      <c r="N494" s="69">
        <f t="shared" si="10"/>
      </c>
      <c r="P494" s="22">
        <f t="shared" si="11"/>
      </c>
    </row>
    <row r="495">
      <c r="A495" s="56">
        <f>IF($B495="","",490)</f>
      </c>
      <c r="B495" s="66">
        <f>IF(往来单位!$B$493="","",往来单位!$B$493)</f>
      </c>
      <c r="C495" s="56">
        <f>IF($B495="","",往来单位!$C$493&amp;"")</f>
      </c>
      <c r="D495" s="53">
        <f t="shared" si="0"/>
      </c>
      <c r="E495" s="53">
        <f t="shared" si="1"/>
      </c>
      <c r="F495" s="53">
        <f t="shared" si="2"/>
      </c>
      <c r="G495" s="59">
        <f t="shared" si="3"/>
      </c>
      <c r="H495" s="53">
        <f t="shared" si="4"/>
      </c>
      <c r="I495" s="53">
        <f t="shared" si="5"/>
      </c>
      <c r="J495" s="53">
        <f t="shared" si="6"/>
      </c>
      <c r="K495" s="59">
        <f t="shared" si="7"/>
      </c>
      <c r="L495" s="53">
        <f t="shared" si="8"/>
      </c>
      <c r="M495" s="59">
        <f t="shared" si="9"/>
      </c>
      <c r="N495" s="69">
        <f t="shared" si="10"/>
      </c>
      <c r="P495" s="22">
        <f t="shared" si="11"/>
      </c>
    </row>
    <row r="496">
      <c r="A496" s="56">
        <f>IF($B496="","",491)</f>
      </c>
      <c r="B496" s="66">
        <f>IF(往来单位!$B$494="","",往来单位!$B$494)</f>
      </c>
      <c r="C496" s="56">
        <f>IF($B496="","",往来单位!$C$494&amp;"")</f>
      </c>
      <c r="D496" s="53">
        <f t="shared" si="0"/>
      </c>
      <c r="E496" s="53">
        <f t="shared" si="1"/>
      </c>
      <c r="F496" s="53">
        <f t="shared" si="2"/>
      </c>
      <c r="G496" s="59">
        <f t="shared" si="3"/>
      </c>
      <c r="H496" s="53">
        <f t="shared" si="4"/>
      </c>
      <c r="I496" s="53">
        <f t="shared" si="5"/>
      </c>
      <c r="J496" s="53">
        <f t="shared" si="6"/>
      </c>
      <c r="K496" s="59">
        <f t="shared" si="7"/>
      </c>
      <c r="L496" s="53">
        <f t="shared" si="8"/>
      </c>
      <c r="M496" s="59">
        <f t="shared" si="9"/>
      </c>
      <c r="N496" s="69">
        <f t="shared" si="10"/>
      </c>
      <c r="P496" s="22">
        <f t="shared" si="11"/>
      </c>
    </row>
    <row r="497">
      <c r="A497" s="56">
        <f>IF($B497="","",492)</f>
      </c>
      <c r="B497" s="66">
        <f>IF(往来单位!$B$495="","",往来单位!$B$495)</f>
      </c>
      <c r="C497" s="56">
        <f>IF($B497="","",往来单位!$C$495&amp;"")</f>
      </c>
      <c r="D497" s="53">
        <f t="shared" si="0"/>
      </c>
      <c r="E497" s="53">
        <f t="shared" si="1"/>
      </c>
      <c r="F497" s="53">
        <f t="shared" si="2"/>
      </c>
      <c r="G497" s="59">
        <f t="shared" si="3"/>
      </c>
      <c r="H497" s="53">
        <f t="shared" si="4"/>
      </c>
      <c r="I497" s="53">
        <f t="shared" si="5"/>
      </c>
      <c r="J497" s="53">
        <f t="shared" si="6"/>
      </c>
      <c r="K497" s="59">
        <f t="shared" si="7"/>
      </c>
      <c r="L497" s="53">
        <f t="shared" si="8"/>
      </c>
      <c r="M497" s="59">
        <f t="shared" si="9"/>
      </c>
      <c r="N497" s="69">
        <f t="shared" si="10"/>
      </c>
      <c r="P497" s="22">
        <f t="shared" si="11"/>
      </c>
    </row>
    <row r="498">
      <c r="A498" s="56">
        <f>IF($B498="","",493)</f>
      </c>
      <c r="B498" s="66">
        <f>IF(往来单位!$B$496="","",往来单位!$B$496)</f>
      </c>
      <c r="C498" s="56">
        <f>IF($B498="","",往来单位!$C$496&amp;"")</f>
      </c>
      <c r="D498" s="53">
        <f t="shared" si="0"/>
      </c>
      <c r="E498" s="53">
        <f t="shared" si="1"/>
      </c>
      <c r="F498" s="53">
        <f t="shared" si="2"/>
      </c>
      <c r="G498" s="59">
        <f t="shared" si="3"/>
      </c>
      <c r="H498" s="53">
        <f t="shared" si="4"/>
      </c>
      <c r="I498" s="53">
        <f t="shared" si="5"/>
      </c>
      <c r="J498" s="53">
        <f t="shared" si="6"/>
      </c>
      <c r="K498" s="59">
        <f t="shared" si="7"/>
      </c>
      <c r="L498" s="53">
        <f t="shared" si="8"/>
      </c>
      <c r="M498" s="59">
        <f t="shared" si="9"/>
      </c>
      <c r="N498" s="69">
        <f t="shared" si="10"/>
      </c>
      <c r="P498" s="22">
        <f t="shared" si="11"/>
      </c>
    </row>
    <row r="499">
      <c r="A499" s="56">
        <f>IF($B499="","",494)</f>
      </c>
      <c r="B499" s="66">
        <f>IF(往来单位!$B$497="","",往来单位!$B$497)</f>
      </c>
      <c r="C499" s="56">
        <f>IF($B499="","",往来单位!$C$497&amp;"")</f>
      </c>
      <c r="D499" s="53">
        <f t="shared" si="0"/>
      </c>
      <c r="E499" s="53">
        <f t="shared" si="1"/>
      </c>
      <c r="F499" s="53">
        <f t="shared" si="2"/>
      </c>
      <c r="G499" s="59">
        <f t="shared" si="3"/>
      </c>
      <c r="H499" s="53">
        <f t="shared" si="4"/>
      </c>
      <c r="I499" s="53">
        <f t="shared" si="5"/>
      </c>
      <c r="J499" s="53">
        <f t="shared" si="6"/>
      </c>
      <c r="K499" s="59">
        <f t="shared" si="7"/>
      </c>
      <c r="L499" s="53">
        <f t="shared" si="8"/>
      </c>
      <c r="M499" s="59">
        <f t="shared" si="9"/>
      </c>
      <c r="N499" s="69">
        <f t="shared" si="10"/>
      </c>
      <c r="P499" s="22">
        <f t="shared" si="11"/>
      </c>
    </row>
    <row r="500">
      <c r="A500" s="56">
        <f>IF($B500="","",495)</f>
      </c>
      <c r="B500" s="66">
        <f>IF(往来单位!$B$498="","",往来单位!$B$498)</f>
      </c>
      <c r="C500" s="56">
        <f>IF($B500="","",往来单位!$C$498&amp;"")</f>
      </c>
      <c r="D500" s="53">
        <f t="shared" si="0"/>
      </c>
      <c r="E500" s="53">
        <f t="shared" si="1"/>
      </c>
      <c r="F500" s="53">
        <f t="shared" si="2"/>
      </c>
      <c r="G500" s="59">
        <f t="shared" si="3"/>
      </c>
      <c r="H500" s="53">
        <f t="shared" si="4"/>
      </c>
      <c r="I500" s="53">
        <f t="shared" si="5"/>
      </c>
      <c r="J500" s="53">
        <f t="shared" si="6"/>
      </c>
      <c r="K500" s="59">
        <f t="shared" si="7"/>
      </c>
      <c r="L500" s="53">
        <f t="shared" si="8"/>
      </c>
      <c r="M500" s="59">
        <f t="shared" si="9"/>
      </c>
      <c r="N500" s="69">
        <f t="shared" si="10"/>
      </c>
      <c r="P500" s="22">
        <f t="shared" si="11"/>
      </c>
    </row>
    <row r="501">
      <c r="A501" s="56">
        <f>IF($B501="","",496)</f>
      </c>
      <c r="B501" s="66">
        <f>IF(往来单位!$B$499="","",往来单位!$B$499)</f>
      </c>
      <c r="C501" s="56">
        <f>IF($B501="","",往来单位!$C$499&amp;"")</f>
      </c>
      <c r="D501" s="53">
        <f t="shared" si="0"/>
      </c>
      <c r="E501" s="53">
        <f t="shared" si="1"/>
      </c>
      <c r="F501" s="53">
        <f t="shared" si="2"/>
      </c>
      <c r="G501" s="59">
        <f t="shared" si="3"/>
      </c>
      <c r="H501" s="53">
        <f t="shared" si="4"/>
      </c>
      <c r="I501" s="53">
        <f t="shared" si="5"/>
      </c>
      <c r="J501" s="53">
        <f t="shared" si="6"/>
      </c>
      <c r="K501" s="59">
        <f t="shared" si="7"/>
      </c>
      <c r="L501" s="53">
        <f t="shared" si="8"/>
      </c>
      <c r="M501" s="59">
        <f t="shared" si="9"/>
      </c>
      <c r="N501" s="69">
        <f t="shared" si="10"/>
      </c>
      <c r="P501" s="22">
        <f t="shared" si="11"/>
      </c>
    </row>
    <row r="502">
      <c r="A502" s="56">
        <f>IF($B502="","",497)</f>
      </c>
      <c r="B502" s="66">
        <f>IF(往来单位!$B$500="","",往来单位!$B$500)</f>
      </c>
      <c r="C502" s="56">
        <f>IF($B502="","",往来单位!$C$500&amp;"")</f>
      </c>
      <c r="D502" s="53">
        <f t="shared" si="0"/>
      </c>
      <c r="E502" s="53">
        <f t="shared" si="1"/>
      </c>
      <c r="F502" s="53">
        <f t="shared" si="2"/>
      </c>
      <c r="G502" s="59">
        <f t="shared" si="3"/>
      </c>
      <c r="H502" s="53">
        <f t="shared" si="4"/>
      </c>
      <c r="I502" s="53">
        <f t="shared" si="5"/>
      </c>
      <c r="J502" s="53">
        <f t="shared" si="6"/>
      </c>
      <c r="K502" s="59">
        <f t="shared" si="7"/>
      </c>
      <c r="L502" s="53">
        <f t="shared" si="8"/>
      </c>
      <c r="M502" s="59">
        <f t="shared" si="9"/>
      </c>
      <c r="N502" s="69">
        <f t="shared" si="10"/>
      </c>
      <c r="P502" s="22">
        <f t="shared" si="11"/>
      </c>
    </row>
    <row r="503">
      <c r="A503" s="56">
        <f>IF($B503="","",498)</f>
      </c>
      <c r="B503" s="66">
        <f>IF(往来单位!$B$501="","",往来单位!$B$501)</f>
      </c>
      <c r="C503" s="56">
        <f>IF($B503="","",往来单位!$C$501&amp;"")</f>
      </c>
      <c r="D503" s="53">
        <f t="shared" si="0"/>
      </c>
      <c r="E503" s="53">
        <f t="shared" si="1"/>
      </c>
      <c r="F503" s="53">
        <f t="shared" si="2"/>
      </c>
      <c r="G503" s="59">
        <f t="shared" si="3"/>
      </c>
      <c r="H503" s="53">
        <f t="shared" si="4"/>
      </c>
      <c r="I503" s="53">
        <f t="shared" si="5"/>
      </c>
      <c r="J503" s="53">
        <f t="shared" si="6"/>
      </c>
      <c r="K503" s="59">
        <f t="shared" si="7"/>
      </c>
      <c r="L503" s="53">
        <f t="shared" si="8"/>
      </c>
      <c r="M503" s="59">
        <f t="shared" si="9"/>
      </c>
      <c r="N503" s="69">
        <f t="shared" si="10"/>
      </c>
      <c r="P503" s="22">
        <f t="shared" si="11"/>
      </c>
    </row>
    <row r="504">
      <c r="A504" s="56">
        <f>IF($B504="","",499)</f>
      </c>
      <c r="B504" s="66">
        <f>IF(往来单位!$B$502="","",往来单位!$B$502)</f>
      </c>
      <c r="C504" s="56">
        <f>IF($B504="","",往来单位!$C$502&amp;"")</f>
      </c>
      <c r="D504" s="53">
        <f t="shared" si="0"/>
      </c>
      <c r="E504" s="53">
        <f t="shared" si="1"/>
      </c>
      <c r="F504" s="53">
        <f t="shared" si="2"/>
      </c>
      <c r="G504" s="59">
        <f t="shared" si="3"/>
      </c>
      <c r="H504" s="53">
        <f t="shared" si="4"/>
      </c>
      <c r="I504" s="53">
        <f t="shared" si="5"/>
      </c>
      <c r="J504" s="53">
        <f t="shared" si="6"/>
      </c>
      <c r="K504" s="59">
        <f t="shared" si="7"/>
      </c>
      <c r="L504" s="53">
        <f t="shared" si="8"/>
      </c>
      <c r="M504" s="59">
        <f t="shared" si="9"/>
      </c>
      <c r="N504" s="69">
        <f t="shared" si="10"/>
      </c>
      <c r="P504" s="22">
        <f t="shared" si="11"/>
      </c>
    </row>
    <row r="505">
      <c r="A505" s="56">
        <f>IF($B505="","",500)</f>
      </c>
      <c r="B505" s="66">
        <f>IF(往来单位!$B$503="","",往来单位!$B$503)</f>
      </c>
      <c r="C505" s="56">
        <f>IF($B505="","",往来单位!$C$503&amp;"")</f>
      </c>
      <c r="D505" s="53">
        <f t="shared" si="0"/>
      </c>
      <c r="E505" s="53">
        <f t="shared" si="1"/>
      </c>
      <c r="F505" s="53">
        <f t="shared" si="2"/>
      </c>
      <c r="G505" s="59">
        <f t="shared" si="3"/>
      </c>
      <c r="H505" s="53">
        <f t="shared" si="4"/>
      </c>
      <c r="I505" s="53">
        <f t="shared" si="5"/>
      </c>
      <c r="J505" s="53">
        <f t="shared" si="6"/>
      </c>
      <c r="K505" s="59">
        <f t="shared" si="7"/>
      </c>
      <c r="L505" s="53">
        <f t="shared" si="8"/>
      </c>
      <c r="M505" s="59">
        <f t="shared" si="9"/>
      </c>
      <c r="N505" s="69">
        <f t="shared" si="10"/>
      </c>
      <c r="P505" s="22">
        <f t="shared" si="11"/>
      </c>
    </row>
    <row r="506">
      <c r="A506" s="56">
        <f>IF($B506="","",501)</f>
      </c>
      <c r="B506" s="66">
        <f>IF(往来单位!$B$504="","",往来单位!$B$504)</f>
      </c>
      <c r="C506" s="56">
        <f>IF($B506="","",往来单位!$C$504&amp;"")</f>
      </c>
      <c r="D506" s="53">
        <f t="shared" si="0"/>
      </c>
      <c r="E506" s="53">
        <f t="shared" si="1"/>
      </c>
      <c r="F506" s="53">
        <f t="shared" si="2"/>
      </c>
      <c r="G506" s="59">
        <f t="shared" si="3"/>
      </c>
      <c r="H506" s="53">
        <f t="shared" si="4"/>
      </c>
      <c r="I506" s="53">
        <f t="shared" si="5"/>
      </c>
      <c r="J506" s="53">
        <f t="shared" si="6"/>
      </c>
      <c r="K506" s="59">
        <f t="shared" si="7"/>
      </c>
      <c r="L506" s="53">
        <f t="shared" si="8"/>
      </c>
      <c r="M506" s="59">
        <f t="shared" si="9"/>
      </c>
      <c r="N506" s="69">
        <f t="shared" si="10"/>
      </c>
      <c r="P506" s="22">
        <f t="shared" si="11"/>
      </c>
    </row>
    <row r="507">
      <c r="A507" s="56">
        <f>IF($B507="","",502)</f>
      </c>
      <c r="B507" s="66">
        <f>IF(往来单位!$B$505="","",往来单位!$B$505)</f>
      </c>
      <c r="C507" s="56">
        <f>IF($B507="","",往来单位!$C$505&amp;"")</f>
      </c>
      <c r="D507" s="53">
        <f t="shared" si="0"/>
      </c>
      <c r="E507" s="53">
        <f t="shared" si="1"/>
      </c>
      <c r="F507" s="53">
        <f t="shared" si="2"/>
      </c>
      <c r="G507" s="59">
        <f t="shared" si="3"/>
      </c>
      <c r="H507" s="53">
        <f t="shared" si="4"/>
      </c>
      <c r="I507" s="53">
        <f t="shared" si="5"/>
      </c>
      <c r="J507" s="53">
        <f t="shared" si="6"/>
      </c>
      <c r="K507" s="59">
        <f t="shared" si="7"/>
      </c>
      <c r="L507" s="53">
        <f t="shared" si="8"/>
      </c>
      <c r="M507" s="59">
        <f t="shared" si="9"/>
      </c>
      <c r="N507" s="69">
        <f t="shared" si="10"/>
      </c>
      <c r="P507" s="22">
        <f t="shared" si="11"/>
      </c>
    </row>
    <row r="508">
      <c r="A508" s="56">
        <f>IF($B508="","",503)</f>
      </c>
      <c r="B508" s="66">
        <f>IF(往来单位!$B$506="","",往来单位!$B$506)</f>
      </c>
      <c r="C508" s="56">
        <f>IF($B508="","",往来单位!$C$506&amp;"")</f>
      </c>
      <c r="D508" s="53">
        <f t="shared" si="0"/>
      </c>
      <c r="E508" s="53">
        <f t="shared" si="1"/>
      </c>
      <c r="F508" s="53">
        <f t="shared" si="2"/>
      </c>
      <c r="G508" s="59">
        <f t="shared" si="3"/>
      </c>
      <c r="H508" s="53">
        <f t="shared" si="4"/>
      </c>
      <c r="I508" s="53">
        <f t="shared" si="5"/>
      </c>
      <c r="J508" s="53">
        <f t="shared" si="6"/>
      </c>
      <c r="K508" s="59">
        <f t="shared" si="7"/>
      </c>
      <c r="L508" s="53">
        <f t="shared" si="8"/>
      </c>
      <c r="M508" s="59">
        <f t="shared" si="9"/>
      </c>
      <c r="N508" s="69">
        <f t="shared" si="10"/>
      </c>
      <c r="P508" s="22">
        <f t="shared" si="11"/>
      </c>
    </row>
    <row r="509">
      <c r="A509" s="56">
        <f>IF($B509="","",504)</f>
      </c>
      <c r="B509" s="66">
        <f>IF(往来单位!$B$507="","",往来单位!$B$507)</f>
      </c>
      <c r="C509" s="56">
        <f>IF($B509="","",往来单位!$C$507&amp;"")</f>
      </c>
      <c r="D509" s="53">
        <f t="shared" si="0"/>
      </c>
      <c r="E509" s="53">
        <f t="shared" si="1"/>
      </c>
      <c r="F509" s="53">
        <f t="shared" si="2"/>
      </c>
      <c r="G509" s="59">
        <f t="shared" si="3"/>
      </c>
      <c r="H509" s="53">
        <f t="shared" si="4"/>
      </c>
      <c r="I509" s="53">
        <f t="shared" si="5"/>
      </c>
      <c r="J509" s="53">
        <f t="shared" si="6"/>
      </c>
      <c r="K509" s="59">
        <f t="shared" si="7"/>
      </c>
      <c r="L509" s="53">
        <f t="shared" si="8"/>
      </c>
      <c r="M509" s="59">
        <f t="shared" si="9"/>
      </c>
      <c r="N509" s="69">
        <f t="shared" si="10"/>
      </c>
      <c r="P509" s="22">
        <f t="shared" si="11"/>
      </c>
    </row>
    <row r="510">
      <c r="A510" s="56">
        <f>IF($B510="","",505)</f>
      </c>
      <c r="B510" s="66">
        <f>IF(往来单位!$B$508="","",往来单位!$B$508)</f>
      </c>
      <c r="C510" s="56">
        <f>IF($B510="","",往来单位!$C$508&amp;"")</f>
      </c>
      <c r="D510" s="53">
        <f t="shared" si="0"/>
      </c>
      <c r="E510" s="53">
        <f t="shared" si="1"/>
      </c>
      <c r="F510" s="53">
        <f t="shared" si="2"/>
      </c>
      <c r="G510" s="59">
        <f t="shared" si="3"/>
      </c>
      <c r="H510" s="53">
        <f t="shared" si="4"/>
      </c>
      <c r="I510" s="53">
        <f t="shared" si="5"/>
      </c>
      <c r="J510" s="53">
        <f t="shared" si="6"/>
      </c>
      <c r="K510" s="59">
        <f t="shared" si="7"/>
      </c>
      <c r="L510" s="53">
        <f t="shared" si="8"/>
      </c>
      <c r="M510" s="59">
        <f t="shared" si="9"/>
      </c>
      <c r="N510" s="69">
        <f t="shared" si="10"/>
      </c>
      <c r="P510" s="22">
        <f t="shared" si="11"/>
      </c>
    </row>
    <row r="511">
      <c r="A511" s="56">
        <f>IF($B511="","",506)</f>
      </c>
      <c r="B511" s="66">
        <f>IF(往来单位!$B$509="","",往来单位!$B$509)</f>
      </c>
      <c r="C511" s="56">
        <f>IF($B511="","",往来单位!$C$509&amp;"")</f>
      </c>
      <c r="D511" s="53">
        <f t="shared" si="0"/>
      </c>
      <c r="E511" s="53">
        <f t="shared" si="1"/>
      </c>
      <c r="F511" s="53">
        <f t="shared" si="2"/>
      </c>
      <c r="G511" s="59">
        <f t="shared" si="3"/>
      </c>
      <c r="H511" s="53">
        <f t="shared" si="4"/>
      </c>
      <c r="I511" s="53">
        <f t="shared" si="5"/>
      </c>
      <c r="J511" s="53">
        <f t="shared" si="6"/>
      </c>
      <c r="K511" s="59">
        <f t="shared" si="7"/>
      </c>
      <c r="L511" s="53">
        <f t="shared" si="8"/>
      </c>
      <c r="M511" s="59">
        <f t="shared" si="9"/>
      </c>
      <c r="N511" s="69">
        <f t="shared" si="10"/>
      </c>
      <c r="P511" s="22">
        <f t="shared" si="11"/>
      </c>
    </row>
    <row r="512">
      <c r="A512" s="56">
        <f>IF($B512="","",507)</f>
      </c>
      <c r="B512" s="66">
        <f>IF(往来单位!$B$510="","",往来单位!$B$510)</f>
      </c>
      <c r="C512" s="56">
        <f>IF($B512="","",往来单位!$C$510&amp;"")</f>
      </c>
      <c r="D512" s="53">
        <f t="shared" si="0"/>
      </c>
      <c r="E512" s="53">
        <f t="shared" si="1"/>
      </c>
      <c r="F512" s="53">
        <f t="shared" si="2"/>
      </c>
      <c r="G512" s="59">
        <f t="shared" si="3"/>
      </c>
      <c r="H512" s="53">
        <f t="shared" si="4"/>
      </c>
      <c r="I512" s="53">
        <f t="shared" si="5"/>
      </c>
      <c r="J512" s="53">
        <f t="shared" si="6"/>
      </c>
      <c r="K512" s="59">
        <f t="shared" si="7"/>
      </c>
      <c r="L512" s="53">
        <f t="shared" si="8"/>
      </c>
      <c r="M512" s="59">
        <f t="shared" si="9"/>
      </c>
      <c r="N512" s="69">
        <f t="shared" si="10"/>
      </c>
      <c r="P512" s="22">
        <f t="shared" si="11"/>
      </c>
    </row>
    <row r="513">
      <c r="A513" s="56">
        <f>IF($B513="","",508)</f>
      </c>
      <c r="B513" s="66">
        <f>IF(往来单位!$B$511="","",往来单位!$B$511)</f>
      </c>
      <c r="C513" s="56">
        <f>IF($B513="","",往来单位!$C$511&amp;"")</f>
      </c>
      <c r="D513" s="53">
        <f t="shared" si="0"/>
      </c>
      <c r="E513" s="53">
        <f t="shared" si="1"/>
      </c>
      <c r="F513" s="53">
        <f t="shared" si="2"/>
      </c>
      <c r="G513" s="59">
        <f t="shared" si="3"/>
      </c>
      <c r="H513" s="53">
        <f t="shared" si="4"/>
      </c>
      <c r="I513" s="53">
        <f t="shared" si="5"/>
      </c>
      <c r="J513" s="53">
        <f t="shared" si="6"/>
      </c>
      <c r="K513" s="59">
        <f t="shared" si="7"/>
      </c>
      <c r="L513" s="53">
        <f t="shared" si="8"/>
      </c>
      <c r="M513" s="59">
        <f t="shared" si="9"/>
      </c>
      <c r="N513" s="69">
        <f t="shared" si="10"/>
      </c>
      <c r="P513" s="22">
        <f t="shared" si="11"/>
      </c>
    </row>
    <row r="514">
      <c r="A514" s="56">
        <f>IF($B514="","",509)</f>
      </c>
      <c r="B514" s="66">
        <f>IF(往来单位!$B$512="","",往来单位!$B$512)</f>
      </c>
      <c r="C514" s="56">
        <f>IF($B514="","",往来单位!$C$512&amp;"")</f>
      </c>
      <c r="D514" s="53">
        <f t="shared" si="0"/>
      </c>
      <c r="E514" s="53">
        <f t="shared" si="1"/>
      </c>
      <c r="F514" s="53">
        <f t="shared" si="2"/>
      </c>
      <c r="G514" s="59">
        <f t="shared" si="3"/>
      </c>
      <c r="H514" s="53">
        <f t="shared" si="4"/>
      </c>
      <c r="I514" s="53">
        <f t="shared" si="5"/>
      </c>
      <c r="J514" s="53">
        <f t="shared" si="6"/>
      </c>
      <c r="K514" s="59">
        <f t="shared" si="7"/>
      </c>
      <c r="L514" s="53">
        <f t="shared" si="8"/>
      </c>
      <c r="M514" s="59">
        <f t="shared" si="9"/>
      </c>
      <c r="N514" s="69">
        <f t="shared" si="10"/>
      </c>
      <c r="P514" s="22">
        <f t="shared" si="11"/>
      </c>
    </row>
    <row r="515">
      <c r="A515" s="56">
        <f>IF($B515="","",510)</f>
      </c>
      <c r="B515" s="66">
        <f>IF(往来单位!$B$513="","",往来单位!$B$513)</f>
      </c>
      <c r="C515" s="56">
        <f>IF($B515="","",往来单位!$C$513&amp;"")</f>
      </c>
      <c r="D515" s="53">
        <f t="shared" si="0"/>
      </c>
      <c r="E515" s="53">
        <f t="shared" si="1"/>
      </c>
      <c r="F515" s="53">
        <f t="shared" si="2"/>
      </c>
      <c r="G515" s="59">
        <f t="shared" si="3"/>
      </c>
      <c r="H515" s="53">
        <f t="shared" si="4"/>
      </c>
      <c r="I515" s="53">
        <f t="shared" si="5"/>
      </c>
      <c r="J515" s="53">
        <f t="shared" si="6"/>
      </c>
      <c r="K515" s="59">
        <f t="shared" si="7"/>
      </c>
      <c r="L515" s="53">
        <f t="shared" si="8"/>
      </c>
      <c r="M515" s="59">
        <f t="shared" si="9"/>
      </c>
      <c r="N515" s="69">
        <f t="shared" si="10"/>
      </c>
      <c r="P515" s="22">
        <f t="shared" si="11"/>
      </c>
    </row>
    <row r="516">
      <c r="A516" s="56">
        <f>IF($B516="","",511)</f>
      </c>
      <c r="B516" s="66">
        <f>IF(往来单位!$B$514="","",往来单位!$B$514)</f>
      </c>
      <c r="C516" s="56">
        <f>IF($B516="","",往来单位!$C$514&amp;"")</f>
      </c>
      <c r="D516" s="53">
        <f t="shared" si="0"/>
      </c>
      <c r="E516" s="53">
        <f t="shared" si="1"/>
      </c>
      <c r="F516" s="53">
        <f t="shared" si="2"/>
      </c>
      <c r="G516" s="59">
        <f t="shared" si="3"/>
      </c>
      <c r="H516" s="53">
        <f t="shared" si="4"/>
      </c>
      <c r="I516" s="53">
        <f t="shared" si="5"/>
      </c>
      <c r="J516" s="53">
        <f t="shared" si="6"/>
      </c>
      <c r="K516" s="59">
        <f t="shared" si="7"/>
      </c>
      <c r="L516" s="53">
        <f t="shared" si="8"/>
      </c>
      <c r="M516" s="59">
        <f t="shared" si="9"/>
      </c>
      <c r="N516" s="69">
        <f t="shared" si="10"/>
      </c>
      <c r="P516" s="22">
        <f t="shared" si="11"/>
      </c>
    </row>
    <row r="517">
      <c r="A517" s="56">
        <f>IF($B517="","",512)</f>
      </c>
      <c r="B517" s="66">
        <f>IF(往来单位!$B$515="","",往来单位!$B$515)</f>
      </c>
      <c r="C517" s="56">
        <f>IF($B517="","",往来单位!$C$515&amp;"")</f>
      </c>
      <c r="D517" s="53">
        <f t="shared" si="0"/>
      </c>
      <c r="E517" s="53">
        <f t="shared" si="1"/>
      </c>
      <c r="F517" s="53">
        <f t="shared" si="2"/>
      </c>
      <c r="G517" s="59">
        <f t="shared" si="3"/>
      </c>
      <c r="H517" s="53">
        <f t="shared" si="4"/>
      </c>
      <c r="I517" s="53">
        <f t="shared" si="5"/>
      </c>
      <c r="J517" s="53">
        <f t="shared" si="6"/>
      </c>
      <c r="K517" s="59">
        <f t="shared" si="7"/>
      </c>
      <c r="L517" s="53">
        <f t="shared" si="8"/>
      </c>
      <c r="M517" s="59">
        <f t="shared" si="9"/>
      </c>
      <c r="N517" s="69">
        <f t="shared" si="10"/>
      </c>
      <c r="P517" s="22">
        <f t="shared" si="11"/>
      </c>
    </row>
    <row r="518">
      <c r="A518" s="56">
        <f>IF($B518="","",513)</f>
      </c>
      <c r="B518" s="66">
        <f>IF(往来单位!$B$516="","",往来单位!$B$516)</f>
      </c>
      <c r="C518" s="56">
        <f>IF($B518="","",往来单位!$C$516&amp;"")</f>
      </c>
      <c r="D518" s="53">
        <f t="shared" si="0"/>
      </c>
      <c r="E518" s="53">
        <f t="shared" si="1"/>
      </c>
      <c r="F518" s="53">
        <f t="shared" si="2"/>
      </c>
      <c r="G518" s="59">
        <f t="shared" si="3"/>
      </c>
      <c r="H518" s="53">
        <f t="shared" si="4"/>
      </c>
      <c r="I518" s="53">
        <f t="shared" si="5"/>
      </c>
      <c r="J518" s="53">
        <f t="shared" si="6"/>
      </c>
      <c r="K518" s="59">
        <f t="shared" si="7"/>
      </c>
      <c r="L518" s="53">
        <f t="shared" si="8"/>
      </c>
      <c r="M518" s="59">
        <f t="shared" si="9"/>
      </c>
      <c r="N518" s="69">
        <f t="shared" si="10"/>
      </c>
      <c r="P518" s="22">
        <f t="shared" si="11"/>
      </c>
    </row>
    <row r="519">
      <c r="A519" s="56">
        <f>IF($B519="","",514)</f>
      </c>
      <c r="B519" s="66">
        <f>IF(往来单位!$B$517="","",往来单位!$B$517)</f>
      </c>
      <c r="C519" s="56">
        <f>IF($B519="","",往来单位!$C$517&amp;"")</f>
      </c>
      <c r="D519" s="53">
        <f t="shared" si="0"/>
      </c>
      <c r="E519" s="53">
        <f t="shared" si="1"/>
      </c>
      <c r="F519" s="53">
        <f t="shared" si="2"/>
      </c>
      <c r="G519" s="59">
        <f t="shared" si="3"/>
      </c>
      <c r="H519" s="53">
        <f t="shared" si="4"/>
      </c>
      <c r="I519" s="53">
        <f t="shared" si="5"/>
      </c>
      <c r="J519" s="53">
        <f t="shared" si="6"/>
      </c>
      <c r="K519" s="59">
        <f t="shared" si="7"/>
      </c>
      <c r="L519" s="53">
        <f t="shared" si="8"/>
      </c>
      <c r="M519" s="59">
        <f t="shared" si="9"/>
      </c>
      <c r="N519" s="69">
        <f t="shared" si="10"/>
      </c>
      <c r="P519" s="22">
        <f t="shared" si="11"/>
      </c>
    </row>
    <row r="520">
      <c r="A520" s="56">
        <f>IF($B520="","",515)</f>
      </c>
      <c r="B520" s="66">
        <f>IF(往来单位!$B$518="","",往来单位!$B$518)</f>
      </c>
      <c r="C520" s="56">
        <f>IF($B520="","",往来单位!$C$518&amp;"")</f>
      </c>
      <c r="D520" s="53">
        <f t="shared" si="0"/>
      </c>
      <c r="E520" s="53">
        <f t="shared" si="1"/>
      </c>
      <c r="F520" s="53">
        <f t="shared" si="2"/>
      </c>
      <c r="G520" s="59">
        <f t="shared" si="3"/>
      </c>
      <c r="H520" s="53">
        <f t="shared" si="4"/>
      </c>
      <c r="I520" s="53">
        <f t="shared" si="5"/>
      </c>
      <c r="J520" s="53">
        <f t="shared" si="6"/>
      </c>
      <c r="K520" s="59">
        <f t="shared" si="7"/>
      </c>
      <c r="L520" s="53">
        <f t="shared" si="8"/>
      </c>
      <c r="M520" s="59">
        <f t="shared" si="9"/>
      </c>
      <c r="N520" s="69">
        <f t="shared" si="10"/>
      </c>
      <c r="P520" s="22">
        <f t="shared" si="11"/>
      </c>
    </row>
    <row r="521">
      <c r="A521" s="56">
        <f>IF($B521="","",516)</f>
      </c>
      <c r="B521" s="66">
        <f>IF(往来单位!$B$519="","",往来单位!$B$519)</f>
      </c>
      <c r="C521" s="56">
        <f>IF($B521="","",往来单位!$C$519&amp;"")</f>
      </c>
      <c r="D521" s="53">
        <f t="shared" si="0"/>
      </c>
      <c r="E521" s="53">
        <f t="shared" si="1"/>
      </c>
      <c r="F521" s="53">
        <f t="shared" si="2"/>
      </c>
      <c r="G521" s="59">
        <f t="shared" si="3"/>
      </c>
      <c r="H521" s="53">
        <f t="shared" si="4"/>
      </c>
      <c r="I521" s="53">
        <f t="shared" si="5"/>
      </c>
      <c r="J521" s="53">
        <f t="shared" si="6"/>
      </c>
      <c r="K521" s="59">
        <f t="shared" si="7"/>
      </c>
      <c r="L521" s="53">
        <f t="shared" si="8"/>
      </c>
      <c r="M521" s="59">
        <f t="shared" si="9"/>
      </c>
      <c r="N521" s="69">
        <f t="shared" si="10"/>
      </c>
      <c r="P521" s="22">
        <f t="shared" si="11"/>
      </c>
    </row>
    <row r="522">
      <c r="A522" s="56">
        <f>IF($B522="","",517)</f>
      </c>
      <c r="B522" s="66">
        <f>IF(往来单位!$B$520="","",往来单位!$B$520)</f>
      </c>
      <c r="C522" s="56">
        <f>IF($B522="","",往来单位!$C$520&amp;"")</f>
      </c>
      <c r="D522" s="53">
        <f t="shared" si="0"/>
      </c>
      <c r="E522" s="53">
        <f t="shared" si="1"/>
      </c>
      <c r="F522" s="53">
        <f t="shared" si="2"/>
      </c>
      <c r="G522" s="59">
        <f t="shared" si="3"/>
      </c>
      <c r="H522" s="53">
        <f t="shared" si="4"/>
      </c>
      <c r="I522" s="53">
        <f t="shared" si="5"/>
      </c>
      <c r="J522" s="53">
        <f t="shared" si="6"/>
      </c>
      <c r="K522" s="59">
        <f t="shared" si="7"/>
      </c>
      <c r="L522" s="53">
        <f t="shared" si="8"/>
      </c>
      <c r="M522" s="59">
        <f t="shared" si="9"/>
      </c>
      <c r="N522" s="69">
        <f t="shared" si="10"/>
      </c>
      <c r="P522" s="22">
        <f t="shared" si="11"/>
      </c>
    </row>
    <row r="523">
      <c r="A523" s="56">
        <f>IF($B523="","",518)</f>
      </c>
      <c r="B523" s="66">
        <f>IF(往来单位!$B$521="","",往来单位!$B$521)</f>
      </c>
      <c r="C523" s="56">
        <f>IF($B523="","",往来单位!$C$521&amp;"")</f>
      </c>
      <c r="D523" s="53">
        <f t="shared" si="0"/>
      </c>
      <c r="E523" s="53">
        <f t="shared" si="1"/>
      </c>
      <c r="F523" s="53">
        <f t="shared" si="2"/>
      </c>
      <c r="G523" s="59">
        <f t="shared" si="3"/>
      </c>
      <c r="H523" s="53">
        <f t="shared" si="4"/>
      </c>
      <c r="I523" s="53">
        <f t="shared" si="5"/>
      </c>
      <c r="J523" s="53">
        <f t="shared" si="6"/>
      </c>
      <c r="K523" s="59">
        <f t="shared" si="7"/>
      </c>
      <c r="L523" s="53">
        <f t="shared" si="8"/>
      </c>
      <c r="M523" s="59">
        <f t="shared" si="9"/>
      </c>
      <c r="N523" s="69">
        <f t="shared" si="10"/>
      </c>
      <c r="P523" s="22">
        <f t="shared" si="11"/>
      </c>
    </row>
    <row r="524">
      <c r="A524" s="56">
        <f>IF($B524="","",519)</f>
      </c>
      <c r="B524" s="66">
        <f>IF(往来单位!$B$522="","",往来单位!$B$522)</f>
      </c>
      <c r="C524" s="56">
        <f>IF($B524="","",往来单位!$C$522&amp;"")</f>
      </c>
      <c r="D524" s="53">
        <f t="shared" si="0"/>
      </c>
      <c r="E524" s="53">
        <f t="shared" si="1"/>
      </c>
      <c r="F524" s="53">
        <f t="shared" si="2"/>
      </c>
      <c r="G524" s="59">
        <f t="shared" si="3"/>
      </c>
      <c r="H524" s="53">
        <f t="shared" si="4"/>
      </c>
      <c r="I524" s="53">
        <f t="shared" si="5"/>
      </c>
      <c r="J524" s="53">
        <f t="shared" si="6"/>
      </c>
      <c r="K524" s="59">
        <f t="shared" si="7"/>
      </c>
      <c r="L524" s="53">
        <f t="shared" si="8"/>
      </c>
      <c r="M524" s="59">
        <f t="shared" si="9"/>
      </c>
      <c r="N524" s="69">
        <f t="shared" si="10"/>
      </c>
      <c r="P524" s="22">
        <f t="shared" si="11"/>
      </c>
    </row>
    <row r="525">
      <c r="A525" s="56">
        <f>IF($B525="","",520)</f>
      </c>
      <c r="B525" s="66">
        <f>IF(往来单位!$B$523="","",往来单位!$B$523)</f>
      </c>
      <c r="C525" s="56">
        <f>IF($B525="","",往来单位!$C$523&amp;"")</f>
      </c>
      <c r="D525" s="53">
        <f t="shared" si="0"/>
      </c>
      <c r="E525" s="53">
        <f t="shared" si="1"/>
      </c>
      <c r="F525" s="53">
        <f t="shared" si="2"/>
      </c>
      <c r="G525" s="59">
        <f t="shared" si="3"/>
      </c>
      <c r="H525" s="53">
        <f t="shared" si="4"/>
      </c>
      <c r="I525" s="53">
        <f t="shared" si="5"/>
      </c>
      <c r="J525" s="53">
        <f t="shared" si="6"/>
      </c>
      <c r="K525" s="59">
        <f t="shared" si="7"/>
      </c>
      <c r="L525" s="53">
        <f t="shared" si="8"/>
      </c>
      <c r="M525" s="59">
        <f t="shared" si="9"/>
      </c>
      <c r="N525" s="69">
        <f t="shared" si="10"/>
      </c>
      <c r="P525" s="22">
        <f t="shared" si="11"/>
      </c>
    </row>
    <row r="526">
      <c r="A526" s="56">
        <f>IF($B526="","",521)</f>
      </c>
      <c r="B526" s="66">
        <f>IF(往来单位!$B$524="","",往来单位!$B$524)</f>
      </c>
      <c r="C526" s="56">
        <f>IF($B526="","",往来单位!$C$524&amp;"")</f>
      </c>
      <c r="D526" s="53">
        <f t="shared" si="0"/>
      </c>
      <c r="E526" s="53">
        <f t="shared" si="1"/>
      </c>
      <c r="F526" s="53">
        <f t="shared" si="2"/>
      </c>
      <c r="G526" s="59">
        <f t="shared" si="3"/>
      </c>
      <c r="H526" s="53">
        <f t="shared" si="4"/>
      </c>
      <c r="I526" s="53">
        <f t="shared" si="5"/>
      </c>
      <c r="J526" s="53">
        <f t="shared" si="6"/>
      </c>
      <c r="K526" s="59">
        <f t="shared" si="7"/>
      </c>
      <c r="L526" s="53">
        <f t="shared" si="8"/>
      </c>
      <c r="M526" s="59">
        <f t="shared" si="9"/>
      </c>
      <c r="N526" s="69">
        <f t="shared" si="10"/>
      </c>
      <c r="P526" s="22">
        <f t="shared" si="11"/>
      </c>
    </row>
    <row r="527">
      <c r="A527" s="56">
        <f>IF($B527="","",522)</f>
      </c>
      <c r="B527" s="66">
        <f>IF(往来单位!$B$525="","",往来单位!$B$525)</f>
      </c>
      <c r="C527" s="56">
        <f>IF($B527="","",往来单位!$C$525&amp;"")</f>
      </c>
      <c r="D527" s="53">
        <f t="shared" si="0"/>
      </c>
      <c r="E527" s="53">
        <f t="shared" si="1"/>
      </c>
      <c r="F527" s="53">
        <f t="shared" si="2"/>
      </c>
      <c r="G527" s="59">
        <f t="shared" si="3"/>
      </c>
      <c r="H527" s="53">
        <f t="shared" si="4"/>
      </c>
      <c r="I527" s="53">
        <f t="shared" si="5"/>
      </c>
      <c r="J527" s="53">
        <f t="shared" si="6"/>
      </c>
      <c r="K527" s="59">
        <f t="shared" si="7"/>
      </c>
      <c r="L527" s="53">
        <f t="shared" si="8"/>
      </c>
      <c r="M527" s="59">
        <f t="shared" si="9"/>
      </c>
      <c r="N527" s="69">
        <f t="shared" si="10"/>
      </c>
      <c r="P527" s="22">
        <f t="shared" si="11"/>
      </c>
    </row>
    <row r="528">
      <c r="A528" s="56">
        <f>IF($B528="","",523)</f>
      </c>
      <c r="B528" s="66">
        <f>IF(往来单位!$B$526="","",往来单位!$B$526)</f>
      </c>
      <c r="C528" s="56">
        <f>IF($B528="","",往来单位!$C$526&amp;"")</f>
      </c>
      <c r="D528" s="53">
        <f t="shared" si="0"/>
      </c>
      <c r="E528" s="53">
        <f t="shared" si="1"/>
      </c>
      <c r="F528" s="53">
        <f t="shared" si="2"/>
      </c>
      <c r="G528" s="59">
        <f t="shared" si="3"/>
      </c>
      <c r="H528" s="53">
        <f t="shared" si="4"/>
      </c>
      <c r="I528" s="53">
        <f t="shared" si="5"/>
      </c>
      <c r="J528" s="53">
        <f t="shared" si="6"/>
      </c>
      <c r="K528" s="59">
        <f t="shared" si="7"/>
      </c>
      <c r="L528" s="53">
        <f t="shared" si="8"/>
      </c>
      <c r="M528" s="59">
        <f t="shared" si="9"/>
      </c>
      <c r="N528" s="69">
        <f t="shared" si="10"/>
      </c>
      <c r="P528" s="22">
        <f t="shared" si="11"/>
      </c>
    </row>
    <row r="529">
      <c r="A529" s="56">
        <f>IF($B529="","",524)</f>
      </c>
      <c r="B529" s="66">
        <f>IF(往来单位!$B$527="","",往来单位!$B$527)</f>
      </c>
      <c r="C529" s="56">
        <f>IF($B529="","",往来单位!$C$527&amp;"")</f>
      </c>
      <c r="D529" s="53">
        <f t="shared" si="0"/>
      </c>
      <c r="E529" s="53">
        <f t="shared" si="1"/>
      </c>
      <c r="F529" s="53">
        <f t="shared" si="2"/>
      </c>
      <c r="G529" s="59">
        <f t="shared" si="3"/>
      </c>
      <c r="H529" s="53">
        <f t="shared" si="4"/>
      </c>
      <c r="I529" s="53">
        <f t="shared" si="5"/>
      </c>
      <c r="J529" s="53">
        <f t="shared" si="6"/>
      </c>
      <c r="K529" s="59">
        <f t="shared" si="7"/>
      </c>
      <c r="L529" s="53">
        <f t="shared" si="8"/>
      </c>
      <c r="M529" s="59">
        <f t="shared" si="9"/>
      </c>
      <c r="N529" s="69">
        <f t="shared" si="10"/>
      </c>
      <c r="P529" s="22">
        <f t="shared" si="11"/>
      </c>
    </row>
    <row r="530">
      <c r="A530" s="56">
        <f>IF($B530="","",525)</f>
      </c>
      <c r="B530" s="66">
        <f>IF(往来单位!$B$528="","",往来单位!$B$528)</f>
      </c>
      <c r="C530" s="56">
        <f>IF($B530="","",往来单位!$C$528&amp;"")</f>
      </c>
      <c r="D530" s="53">
        <f t="shared" si="0"/>
      </c>
      <c r="E530" s="53">
        <f t="shared" si="1"/>
      </c>
      <c r="F530" s="53">
        <f t="shared" si="2"/>
      </c>
      <c r="G530" s="59">
        <f t="shared" si="3"/>
      </c>
      <c r="H530" s="53">
        <f t="shared" si="4"/>
      </c>
      <c r="I530" s="53">
        <f t="shared" si="5"/>
      </c>
      <c r="J530" s="53">
        <f t="shared" si="6"/>
      </c>
      <c r="K530" s="59">
        <f t="shared" si="7"/>
      </c>
      <c r="L530" s="53">
        <f t="shared" si="8"/>
      </c>
      <c r="M530" s="59">
        <f t="shared" si="9"/>
      </c>
      <c r="N530" s="69">
        <f t="shared" si="10"/>
      </c>
      <c r="P530" s="22">
        <f t="shared" si="11"/>
      </c>
    </row>
    <row r="531">
      <c r="A531" s="56">
        <f>IF($B531="","",526)</f>
      </c>
      <c r="B531" s="66">
        <f>IF(往来单位!$B$529="","",往来单位!$B$529)</f>
      </c>
      <c r="C531" s="56">
        <f>IF($B531="","",往来单位!$C$529&amp;"")</f>
      </c>
      <c r="D531" s="53">
        <f t="shared" si="0"/>
      </c>
      <c r="E531" s="53">
        <f t="shared" si="1"/>
      </c>
      <c r="F531" s="53">
        <f t="shared" si="2"/>
      </c>
      <c r="G531" s="59">
        <f t="shared" si="3"/>
      </c>
      <c r="H531" s="53">
        <f t="shared" si="4"/>
      </c>
      <c r="I531" s="53">
        <f t="shared" si="5"/>
      </c>
      <c r="J531" s="53">
        <f t="shared" si="6"/>
      </c>
      <c r="K531" s="59">
        <f t="shared" si="7"/>
      </c>
      <c r="L531" s="53">
        <f t="shared" si="8"/>
      </c>
      <c r="M531" s="59">
        <f t="shared" si="9"/>
      </c>
      <c r="N531" s="69">
        <f t="shared" si="10"/>
      </c>
      <c r="P531" s="22">
        <f t="shared" si="11"/>
      </c>
    </row>
    <row r="532">
      <c r="A532" s="56">
        <f>IF($B532="","",527)</f>
      </c>
      <c r="B532" s="66">
        <f>IF(往来单位!$B$530="","",往来单位!$B$530)</f>
      </c>
      <c r="C532" s="56">
        <f>IF($B532="","",往来单位!$C$530&amp;"")</f>
      </c>
      <c r="D532" s="53">
        <f t="shared" si="0"/>
      </c>
      <c r="E532" s="53">
        <f t="shared" si="1"/>
      </c>
      <c r="F532" s="53">
        <f t="shared" si="2"/>
      </c>
      <c r="G532" s="59">
        <f t="shared" si="3"/>
      </c>
      <c r="H532" s="53">
        <f t="shared" si="4"/>
      </c>
      <c r="I532" s="53">
        <f t="shared" si="5"/>
      </c>
      <c r="J532" s="53">
        <f t="shared" si="6"/>
      </c>
      <c r="K532" s="59">
        <f t="shared" si="7"/>
      </c>
      <c r="L532" s="53">
        <f t="shared" si="8"/>
      </c>
      <c r="M532" s="59">
        <f t="shared" si="9"/>
      </c>
      <c r="N532" s="69">
        <f t="shared" si="10"/>
      </c>
      <c r="P532" s="22">
        <f t="shared" si="11"/>
      </c>
    </row>
    <row r="533">
      <c r="A533" s="56">
        <f>IF($B533="","",528)</f>
      </c>
      <c r="B533" s="66">
        <f>IF(往来单位!$B$531="","",往来单位!$B$531)</f>
      </c>
      <c r="C533" s="56">
        <f>IF($B533="","",往来单位!$C$531&amp;"")</f>
      </c>
      <c r="D533" s="53">
        <f t="shared" si="0"/>
      </c>
      <c r="E533" s="53">
        <f t="shared" si="1"/>
      </c>
      <c r="F533" s="53">
        <f t="shared" si="2"/>
      </c>
      <c r="G533" s="59">
        <f t="shared" si="3"/>
      </c>
      <c r="H533" s="53">
        <f t="shared" si="4"/>
      </c>
      <c r="I533" s="53">
        <f t="shared" si="5"/>
      </c>
      <c r="J533" s="53">
        <f t="shared" si="6"/>
      </c>
      <c r="K533" s="59">
        <f t="shared" si="7"/>
      </c>
      <c r="L533" s="53">
        <f t="shared" si="8"/>
      </c>
      <c r="M533" s="59">
        <f t="shared" si="9"/>
      </c>
      <c r="N533" s="69">
        <f t="shared" si="10"/>
      </c>
      <c r="P533" s="22">
        <f t="shared" si="11"/>
      </c>
    </row>
    <row r="534">
      <c r="A534" s="56">
        <f>IF($B534="","",529)</f>
      </c>
      <c r="B534" s="66">
        <f>IF(往来单位!$B$532="","",往来单位!$B$532)</f>
      </c>
      <c r="C534" s="56">
        <f>IF($B534="","",往来单位!$C$532&amp;"")</f>
      </c>
      <c r="D534" s="53">
        <f t="shared" si="0"/>
      </c>
      <c r="E534" s="53">
        <f t="shared" si="1"/>
      </c>
      <c r="F534" s="53">
        <f t="shared" si="2"/>
      </c>
      <c r="G534" s="59">
        <f t="shared" si="3"/>
      </c>
      <c r="H534" s="53">
        <f t="shared" si="4"/>
      </c>
      <c r="I534" s="53">
        <f t="shared" si="5"/>
      </c>
      <c r="J534" s="53">
        <f t="shared" si="6"/>
      </c>
      <c r="K534" s="59">
        <f t="shared" si="7"/>
      </c>
      <c r="L534" s="53">
        <f t="shared" si="8"/>
      </c>
      <c r="M534" s="59">
        <f t="shared" si="9"/>
      </c>
      <c r="N534" s="69">
        <f t="shared" si="10"/>
      </c>
      <c r="P534" s="22">
        <f t="shared" si="11"/>
      </c>
    </row>
    <row r="535">
      <c r="A535" s="56">
        <f>IF($B535="","",530)</f>
      </c>
      <c r="B535" s="66">
        <f>IF(往来单位!$B$533="","",往来单位!$B$533)</f>
      </c>
      <c r="C535" s="56">
        <f>IF($B535="","",往来单位!$C$533&amp;"")</f>
      </c>
      <c r="D535" s="53">
        <f t="shared" si="0"/>
      </c>
      <c r="E535" s="53">
        <f t="shared" si="1"/>
      </c>
      <c r="F535" s="53">
        <f t="shared" si="2"/>
      </c>
      <c r="G535" s="59">
        <f t="shared" si="3"/>
      </c>
      <c r="H535" s="53">
        <f t="shared" si="4"/>
      </c>
      <c r="I535" s="53">
        <f t="shared" si="5"/>
      </c>
      <c r="J535" s="53">
        <f t="shared" si="6"/>
      </c>
      <c r="K535" s="59">
        <f t="shared" si="7"/>
      </c>
      <c r="L535" s="53">
        <f t="shared" si="8"/>
      </c>
      <c r="M535" s="59">
        <f t="shared" si="9"/>
      </c>
      <c r="N535" s="69">
        <f t="shared" si="10"/>
      </c>
      <c r="P535" s="22">
        <f t="shared" si="11"/>
      </c>
    </row>
    <row r="536">
      <c r="A536" s="56">
        <f>IF($B536="","",531)</f>
      </c>
      <c r="B536" s="66">
        <f>IF(往来单位!$B$534="","",往来单位!$B$534)</f>
      </c>
      <c r="C536" s="56">
        <f>IF($B536="","",往来单位!$C$534&amp;"")</f>
      </c>
      <c r="D536" s="53">
        <f t="shared" si="0"/>
      </c>
      <c r="E536" s="53">
        <f t="shared" si="1"/>
      </c>
      <c r="F536" s="53">
        <f t="shared" si="2"/>
      </c>
      <c r="G536" s="59">
        <f t="shared" si="3"/>
      </c>
      <c r="H536" s="53">
        <f t="shared" si="4"/>
      </c>
      <c r="I536" s="53">
        <f t="shared" si="5"/>
      </c>
      <c r="J536" s="53">
        <f t="shared" si="6"/>
      </c>
      <c r="K536" s="59">
        <f t="shared" si="7"/>
      </c>
      <c r="L536" s="53">
        <f t="shared" si="8"/>
      </c>
      <c r="M536" s="59">
        <f t="shared" si="9"/>
      </c>
      <c r="N536" s="69">
        <f t="shared" si="10"/>
      </c>
      <c r="P536" s="22">
        <f t="shared" si="11"/>
      </c>
    </row>
    <row r="537">
      <c r="A537" s="56">
        <f>IF($B537="","",532)</f>
      </c>
      <c r="B537" s="66">
        <f>IF(往来单位!$B$535="","",往来单位!$B$535)</f>
      </c>
      <c r="C537" s="56">
        <f>IF($B537="","",往来单位!$C$535&amp;"")</f>
      </c>
      <c r="D537" s="53">
        <f t="shared" si="0"/>
      </c>
      <c r="E537" s="53">
        <f t="shared" si="1"/>
      </c>
      <c r="F537" s="53">
        <f t="shared" si="2"/>
      </c>
      <c r="G537" s="59">
        <f t="shared" si="3"/>
      </c>
      <c r="H537" s="53">
        <f t="shared" si="4"/>
      </c>
      <c r="I537" s="53">
        <f t="shared" si="5"/>
      </c>
      <c r="J537" s="53">
        <f t="shared" si="6"/>
      </c>
      <c r="K537" s="59">
        <f t="shared" si="7"/>
      </c>
      <c r="L537" s="53">
        <f t="shared" si="8"/>
      </c>
      <c r="M537" s="59">
        <f t="shared" si="9"/>
      </c>
      <c r="N537" s="69">
        <f t="shared" si="10"/>
      </c>
      <c r="P537" s="22">
        <f t="shared" si="11"/>
      </c>
    </row>
    <row r="538">
      <c r="A538" s="56">
        <f>IF($B538="","",533)</f>
      </c>
      <c r="B538" s="66">
        <f>IF(往来单位!$B$536="","",往来单位!$B$536)</f>
      </c>
      <c r="C538" s="56">
        <f>IF($B538="","",往来单位!$C$536&amp;"")</f>
      </c>
      <c r="D538" s="53">
        <f t="shared" si="0"/>
      </c>
      <c r="E538" s="53">
        <f t="shared" si="1"/>
      </c>
      <c r="F538" s="53">
        <f t="shared" si="2"/>
      </c>
      <c r="G538" s="59">
        <f t="shared" si="3"/>
      </c>
      <c r="H538" s="53">
        <f t="shared" si="4"/>
      </c>
      <c r="I538" s="53">
        <f t="shared" si="5"/>
      </c>
      <c r="J538" s="53">
        <f t="shared" si="6"/>
      </c>
      <c r="K538" s="59">
        <f t="shared" si="7"/>
      </c>
      <c r="L538" s="53">
        <f t="shared" si="8"/>
      </c>
      <c r="M538" s="59">
        <f t="shared" si="9"/>
      </c>
      <c r="N538" s="69">
        <f t="shared" si="10"/>
      </c>
      <c r="P538" s="22">
        <f t="shared" si="11"/>
      </c>
    </row>
    <row r="539">
      <c r="A539" s="56">
        <f>IF($B539="","",534)</f>
      </c>
      <c r="B539" s="66">
        <f>IF(往来单位!$B$537="","",往来单位!$B$537)</f>
      </c>
      <c r="C539" s="56">
        <f>IF($B539="","",往来单位!$C$537&amp;"")</f>
      </c>
      <c r="D539" s="53">
        <f t="shared" si="0"/>
      </c>
      <c r="E539" s="53">
        <f t="shared" si="1"/>
      </c>
      <c r="F539" s="53">
        <f t="shared" si="2"/>
      </c>
      <c r="G539" s="59">
        <f t="shared" si="3"/>
      </c>
      <c r="H539" s="53">
        <f t="shared" si="4"/>
      </c>
      <c r="I539" s="53">
        <f t="shared" si="5"/>
      </c>
      <c r="J539" s="53">
        <f t="shared" si="6"/>
      </c>
      <c r="K539" s="59">
        <f t="shared" si="7"/>
      </c>
      <c r="L539" s="53">
        <f t="shared" si="8"/>
      </c>
      <c r="M539" s="59">
        <f t="shared" si="9"/>
      </c>
      <c r="N539" s="69">
        <f t="shared" si="10"/>
      </c>
      <c r="P539" s="22">
        <f t="shared" si="11"/>
      </c>
    </row>
    <row r="540">
      <c r="A540" s="56">
        <f>IF($B540="","",535)</f>
      </c>
      <c r="B540" s="66">
        <f>IF(往来单位!$B$538="","",往来单位!$B$538)</f>
      </c>
      <c r="C540" s="56">
        <f>IF($B540="","",往来单位!$C$538&amp;"")</f>
      </c>
      <c r="D540" s="53">
        <f t="shared" si="0"/>
      </c>
      <c r="E540" s="53">
        <f t="shared" si="1"/>
      </c>
      <c r="F540" s="53">
        <f t="shared" si="2"/>
      </c>
      <c r="G540" s="59">
        <f t="shared" si="3"/>
      </c>
      <c r="H540" s="53">
        <f t="shared" si="4"/>
      </c>
      <c r="I540" s="53">
        <f t="shared" si="5"/>
      </c>
      <c r="J540" s="53">
        <f t="shared" si="6"/>
      </c>
      <c r="K540" s="59">
        <f t="shared" si="7"/>
      </c>
      <c r="L540" s="53">
        <f t="shared" si="8"/>
      </c>
      <c r="M540" s="59">
        <f t="shared" si="9"/>
      </c>
      <c r="N540" s="69">
        <f t="shared" si="10"/>
      </c>
      <c r="P540" s="22">
        <f t="shared" si="11"/>
      </c>
    </row>
    <row r="541">
      <c r="A541" s="56">
        <f>IF($B541="","",536)</f>
      </c>
      <c r="B541" s="66">
        <f>IF(往来单位!$B$539="","",往来单位!$B$539)</f>
      </c>
      <c r="C541" s="56">
        <f>IF($B541="","",往来单位!$C$539&amp;"")</f>
      </c>
      <c r="D541" s="53">
        <f t="shared" si="0"/>
      </c>
      <c r="E541" s="53">
        <f t="shared" si="1"/>
      </c>
      <c r="F541" s="53">
        <f t="shared" si="2"/>
      </c>
      <c r="G541" s="59">
        <f t="shared" si="3"/>
      </c>
      <c r="H541" s="53">
        <f t="shared" si="4"/>
      </c>
      <c r="I541" s="53">
        <f t="shared" si="5"/>
      </c>
      <c r="J541" s="53">
        <f t="shared" si="6"/>
      </c>
      <c r="K541" s="59">
        <f t="shared" si="7"/>
      </c>
      <c r="L541" s="53">
        <f t="shared" si="8"/>
      </c>
      <c r="M541" s="59">
        <f t="shared" si="9"/>
      </c>
      <c r="N541" s="69">
        <f t="shared" si="10"/>
      </c>
      <c r="P541" s="22">
        <f t="shared" si="11"/>
      </c>
    </row>
    <row r="542">
      <c r="A542" s="56">
        <f>IF($B542="","",537)</f>
      </c>
      <c r="B542" s="66">
        <f>IF(往来单位!$B$540="","",往来单位!$B$540)</f>
      </c>
      <c r="C542" s="56">
        <f>IF($B542="","",往来单位!$C$540&amp;"")</f>
      </c>
      <c r="D542" s="53">
        <f t="shared" si="0"/>
      </c>
      <c r="E542" s="53">
        <f t="shared" si="1"/>
      </c>
      <c r="F542" s="53">
        <f t="shared" si="2"/>
      </c>
      <c r="G542" s="59">
        <f t="shared" si="3"/>
      </c>
      <c r="H542" s="53">
        <f t="shared" si="4"/>
      </c>
      <c r="I542" s="53">
        <f t="shared" si="5"/>
      </c>
      <c r="J542" s="53">
        <f t="shared" si="6"/>
      </c>
      <c r="K542" s="59">
        <f t="shared" si="7"/>
      </c>
      <c r="L542" s="53">
        <f t="shared" si="8"/>
      </c>
      <c r="M542" s="59">
        <f t="shared" si="9"/>
      </c>
      <c r="N542" s="69">
        <f t="shared" si="10"/>
      </c>
      <c r="P542" s="22">
        <f t="shared" si="11"/>
      </c>
    </row>
    <row r="543">
      <c r="A543" s="56">
        <f>IF($B543="","",538)</f>
      </c>
      <c r="B543" s="66">
        <f>IF(往来单位!$B$541="","",往来单位!$B$541)</f>
      </c>
      <c r="C543" s="56">
        <f>IF($B543="","",往来单位!$C$541&amp;"")</f>
      </c>
      <c r="D543" s="53">
        <f t="shared" si="0"/>
      </c>
      <c r="E543" s="53">
        <f t="shared" si="1"/>
      </c>
      <c r="F543" s="53">
        <f t="shared" si="2"/>
      </c>
      <c r="G543" s="59">
        <f t="shared" si="3"/>
      </c>
      <c r="H543" s="53">
        <f t="shared" si="4"/>
      </c>
      <c r="I543" s="53">
        <f t="shared" si="5"/>
      </c>
      <c r="J543" s="53">
        <f t="shared" si="6"/>
      </c>
      <c r="K543" s="59">
        <f t="shared" si="7"/>
      </c>
      <c r="L543" s="53">
        <f t="shared" si="8"/>
      </c>
      <c r="M543" s="59">
        <f t="shared" si="9"/>
      </c>
      <c r="N543" s="69">
        <f t="shared" si="10"/>
      </c>
      <c r="P543" s="22">
        <f t="shared" si="11"/>
      </c>
    </row>
    <row r="544">
      <c r="A544" s="56">
        <f>IF($B544="","",539)</f>
      </c>
      <c r="B544" s="66">
        <f>IF(往来单位!$B$542="","",往来单位!$B$542)</f>
      </c>
      <c r="C544" s="56">
        <f>IF($B544="","",往来单位!$C$542&amp;"")</f>
      </c>
      <c r="D544" s="53">
        <f t="shared" si="0"/>
      </c>
      <c r="E544" s="53">
        <f t="shared" si="1"/>
      </c>
      <c r="F544" s="53">
        <f t="shared" si="2"/>
      </c>
      <c r="G544" s="59">
        <f t="shared" si="3"/>
      </c>
      <c r="H544" s="53">
        <f t="shared" si="4"/>
      </c>
      <c r="I544" s="53">
        <f t="shared" si="5"/>
      </c>
      <c r="J544" s="53">
        <f t="shared" si="6"/>
      </c>
      <c r="K544" s="59">
        <f t="shared" si="7"/>
      </c>
      <c r="L544" s="53">
        <f t="shared" si="8"/>
      </c>
      <c r="M544" s="59">
        <f t="shared" si="9"/>
      </c>
      <c r="N544" s="69">
        <f t="shared" si="10"/>
      </c>
      <c r="P544" s="22">
        <f t="shared" si="11"/>
      </c>
    </row>
    <row r="545">
      <c r="A545" s="56">
        <f>IF($B545="","",540)</f>
      </c>
      <c r="B545" s="66">
        <f>IF(往来单位!$B$543="","",往来单位!$B$543)</f>
      </c>
      <c r="C545" s="56">
        <f>IF($B545="","",往来单位!$C$543&amp;"")</f>
      </c>
      <c r="D545" s="53">
        <f t="shared" si="0"/>
      </c>
      <c r="E545" s="53">
        <f t="shared" si="1"/>
      </c>
      <c r="F545" s="53">
        <f t="shared" si="2"/>
      </c>
      <c r="G545" s="59">
        <f t="shared" si="3"/>
      </c>
      <c r="H545" s="53">
        <f t="shared" si="4"/>
      </c>
      <c r="I545" s="53">
        <f t="shared" si="5"/>
      </c>
      <c r="J545" s="53">
        <f t="shared" si="6"/>
      </c>
      <c r="K545" s="59">
        <f t="shared" si="7"/>
      </c>
      <c r="L545" s="53">
        <f t="shared" si="8"/>
      </c>
      <c r="M545" s="59">
        <f t="shared" si="9"/>
      </c>
      <c r="N545" s="69">
        <f t="shared" si="10"/>
      </c>
      <c r="P545" s="22">
        <f t="shared" si="11"/>
      </c>
    </row>
    <row r="546">
      <c r="A546" s="56">
        <f>IF($B546="","",541)</f>
      </c>
      <c r="B546" s="66">
        <f>IF(往来单位!$B$544="","",往来单位!$B$544)</f>
      </c>
      <c r="C546" s="56">
        <f>IF($B546="","",往来单位!$C$544&amp;"")</f>
      </c>
      <c r="D546" s="53">
        <f t="shared" si="0"/>
      </c>
      <c r="E546" s="53">
        <f t="shared" si="1"/>
      </c>
      <c r="F546" s="53">
        <f t="shared" si="2"/>
      </c>
      <c r="G546" s="59">
        <f t="shared" si="3"/>
      </c>
      <c r="H546" s="53">
        <f t="shared" si="4"/>
      </c>
      <c r="I546" s="53">
        <f t="shared" si="5"/>
      </c>
      <c r="J546" s="53">
        <f t="shared" si="6"/>
      </c>
      <c r="K546" s="59">
        <f t="shared" si="7"/>
      </c>
      <c r="L546" s="53">
        <f t="shared" si="8"/>
      </c>
      <c r="M546" s="59">
        <f t="shared" si="9"/>
      </c>
      <c r="N546" s="69">
        <f t="shared" si="10"/>
      </c>
      <c r="P546" s="22">
        <f t="shared" si="11"/>
      </c>
    </row>
    <row r="547">
      <c r="A547" s="56">
        <f>IF($B547="","",542)</f>
      </c>
      <c r="B547" s="66">
        <f>IF(往来单位!$B$545="","",往来单位!$B$545)</f>
      </c>
      <c r="C547" s="56">
        <f>IF($B547="","",往来单位!$C$545&amp;"")</f>
      </c>
      <c r="D547" s="53">
        <f t="shared" si="0"/>
      </c>
      <c r="E547" s="53">
        <f t="shared" si="1"/>
      </c>
      <c r="F547" s="53">
        <f t="shared" si="2"/>
      </c>
      <c r="G547" s="59">
        <f t="shared" si="3"/>
      </c>
      <c r="H547" s="53">
        <f t="shared" si="4"/>
      </c>
      <c r="I547" s="53">
        <f t="shared" si="5"/>
      </c>
      <c r="J547" s="53">
        <f t="shared" si="6"/>
      </c>
      <c r="K547" s="59">
        <f t="shared" si="7"/>
      </c>
      <c r="L547" s="53">
        <f t="shared" si="8"/>
      </c>
      <c r="M547" s="59">
        <f t="shared" si="9"/>
      </c>
      <c r="N547" s="69">
        <f t="shared" si="10"/>
      </c>
      <c r="P547" s="22">
        <f t="shared" si="11"/>
      </c>
    </row>
    <row r="548">
      <c r="A548" s="56">
        <f>IF($B548="","",543)</f>
      </c>
      <c r="B548" s="66">
        <f>IF(往来单位!$B$546="","",往来单位!$B$546)</f>
      </c>
      <c r="C548" s="56">
        <f>IF($B548="","",往来单位!$C$546&amp;"")</f>
      </c>
      <c r="D548" s="53">
        <f t="shared" si="0"/>
      </c>
      <c r="E548" s="53">
        <f t="shared" si="1"/>
      </c>
      <c r="F548" s="53">
        <f t="shared" si="2"/>
      </c>
      <c r="G548" s="59">
        <f t="shared" si="3"/>
      </c>
      <c r="H548" s="53">
        <f t="shared" si="4"/>
      </c>
      <c r="I548" s="53">
        <f t="shared" si="5"/>
      </c>
      <c r="J548" s="53">
        <f t="shared" si="6"/>
      </c>
      <c r="K548" s="59">
        <f t="shared" si="7"/>
      </c>
      <c r="L548" s="53">
        <f t="shared" si="8"/>
      </c>
      <c r="M548" s="59">
        <f t="shared" si="9"/>
      </c>
      <c r="N548" s="69">
        <f t="shared" si="10"/>
      </c>
      <c r="P548" s="22">
        <f t="shared" si="11"/>
      </c>
    </row>
    <row r="549">
      <c r="A549" s="56">
        <f>IF($B549="","",544)</f>
      </c>
      <c r="B549" s="66">
        <f>IF(往来单位!$B$547="","",往来单位!$B$547)</f>
      </c>
      <c r="C549" s="56">
        <f>IF($B549="","",往来单位!$C$547&amp;"")</f>
      </c>
      <c r="D549" s="53">
        <f t="shared" si="0"/>
      </c>
      <c r="E549" s="53">
        <f t="shared" si="1"/>
      </c>
      <c r="F549" s="53">
        <f t="shared" si="2"/>
      </c>
      <c r="G549" s="59">
        <f t="shared" si="3"/>
      </c>
      <c r="H549" s="53">
        <f t="shared" si="4"/>
      </c>
      <c r="I549" s="53">
        <f t="shared" si="5"/>
      </c>
      <c r="J549" s="53">
        <f t="shared" si="6"/>
      </c>
      <c r="K549" s="59">
        <f t="shared" si="7"/>
      </c>
      <c r="L549" s="53">
        <f t="shared" si="8"/>
      </c>
      <c r="M549" s="59">
        <f t="shared" si="9"/>
      </c>
      <c r="N549" s="69">
        <f t="shared" si="10"/>
      </c>
      <c r="P549" s="22">
        <f t="shared" si="11"/>
      </c>
    </row>
    <row r="550">
      <c r="A550" s="56">
        <f>IF($B550="","",545)</f>
      </c>
      <c r="B550" s="66">
        <f>IF(往来单位!$B$548="","",往来单位!$B$548)</f>
      </c>
      <c r="C550" s="56">
        <f>IF($B550="","",往来单位!$C$548&amp;"")</f>
      </c>
      <c r="D550" s="53">
        <f t="shared" si="0"/>
      </c>
      <c r="E550" s="53">
        <f t="shared" si="1"/>
      </c>
      <c r="F550" s="53">
        <f t="shared" si="2"/>
      </c>
      <c r="G550" s="59">
        <f t="shared" si="3"/>
      </c>
      <c r="H550" s="53">
        <f t="shared" si="4"/>
      </c>
      <c r="I550" s="53">
        <f t="shared" si="5"/>
      </c>
      <c r="J550" s="53">
        <f t="shared" si="6"/>
      </c>
      <c r="K550" s="59">
        <f t="shared" si="7"/>
      </c>
      <c r="L550" s="53">
        <f t="shared" si="8"/>
      </c>
      <c r="M550" s="59">
        <f t="shared" si="9"/>
      </c>
      <c r="N550" s="69">
        <f t="shared" si="10"/>
      </c>
      <c r="P550" s="22">
        <f t="shared" si="11"/>
      </c>
    </row>
    <row r="551">
      <c r="A551" s="56">
        <f>IF($B551="","",546)</f>
      </c>
      <c r="B551" s="66">
        <f>IF(往来单位!$B$549="","",往来单位!$B$549)</f>
      </c>
      <c r="C551" s="56">
        <f>IF($B551="","",往来单位!$C$549&amp;"")</f>
      </c>
      <c r="D551" s="53">
        <f t="shared" si="0"/>
      </c>
      <c r="E551" s="53">
        <f t="shared" si="1"/>
      </c>
      <c r="F551" s="53">
        <f t="shared" si="2"/>
      </c>
      <c r="G551" s="59">
        <f t="shared" si="3"/>
      </c>
      <c r="H551" s="53">
        <f t="shared" si="4"/>
      </c>
      <c r="I551" s="53">
        <f t="shared" si="5"/>
      </c>
      <c r="J551" s="53">
        <f t="shared" si="6"/>
      </c>
      <c r="K551" s="59">
        <f t="shared" si="7"/>
      </c>
      <c r="L551" s="53">
        <f t="shared" si="8"/>
      </c>
      <c r="M551" s="59">
        <f t="shared" si="9"/>
      </c>
      <c r="N551" s="69">
        <f t="shared" si="10"/>
      </c>
      <c r="P551" s="22">
        <f t="shared" si="11"/>
      </c>
    </row>
    <row r="552">
      <c r="A552" s="56">
        <f>IF($B552="","",547)</f>
      </c>
      <c r="B552" s="66">
        <f>IF(往来单位!$B$550="","",往来单位!$B$550)</f>
      </c>
      <c r="C552" s="56">
        <f>IF($B552="","",往来单位!$C$550&amp;"")</f>
      </c>
      <c r="D552" s="53">
        <f t="shared" si="0"/>
      </c>
      <c r="E552" s="53">
        <f t="shared" si="1"/>
      </c>
      <c r="F552" s="53">
        <f t="shared" si="2"/>
      </c>
      <c r="G552" s="59">
        <f t="shared" si="3"/>
      </c>
      <c r="H552" s="53">
        <f t="shared" si="4"/>
      </c>
      <c r="I552" s="53">
        <f t="shared" si="5"/>
      </c>
      <c r="J552" s="53">
        <f t="shared" si="6"/>
      </c>
      <c r="K552" s="59">
        <f t="shared" si="7"/>
      </c>
      <c r="L552" s="53">
        <f t="shared" si="8"/>
      </c>
      <c r="M552" s="59">
        <f t="shared" si="9"/>
      </c>
      <c r="N552" s="69">
        <f t="shared" si="10"/>
      </c>
      <c r="P552" s="22">
        <f t="shared" si="11"/>
      </c>
    </row>
    <row r="553">
      <c r="A553" s="56">
        <f>IF($B553="","",548)</f>
      </c>
      <c r="B553" s="66">
        <f>IF(往来单位!$B$551="","",往来单位!$B$551)</f>
      </c>
      <c r="C553" s="56">
        <f>IF($B553="","",往来单位!$C$551&amp;"")</f>
      </c>
      <c r="D553" s="53">
        <f t="shared" si="0"/>
      </c>
      <c r="E553" s="53">
        <f t="shared" si="1"/>
      </c>
      <c r="F553" s="53">
        <f t="shared" si="2"/>
      </c>
      <c r="G553" s="59">
        <f t="shared" si="3"/>
      </c>
      <c r="H553" s="53">
        <f t="shared" si="4"/>
      </c>
      <c r="I553" s="53">
        <f t="shared" si="5"/>
      </c>
      <c r="J553" s="53">
        <f t="shared" si="6"/>
      </c>
      <c r="K553" s="59">
        <f t="shared" si="7"/>
      </c>
      <c r="L553" s="53">
        <f t="shared" si="8"/>
      </c>
      <c r="M553" s="59">
        <f t="shared" si="9"/>
      </c>
      <c r="N553" s="69">
        <f t="shared" si="10"/>
      </c>
      <c r="P553" s="22">
        <f t="shared" si="11"/>
      </c>
    </row>
    <row r="554">
      <c r="A554" s="56">
        <f>IF($B554="","",549)</f>
      </c>
      <c r="B554" s="66">
        <f>IF(往来单位!$B$552="","",往来单位!$B$552)</f>
      </c>
      <c r="C554" s="56">
        <f>IF($B554="","",往来单位!$C$552&amp;"")</f>
      </c>
      <c r="D554" s="53">
        <f t="shared" si="0"/>
      </c>
      <c r="E554" s="53">
        <f t="shared" si="1"/>
      </c>
      <c r="F554" s="53">
        <f t="shared" si="2"/>
      </c>
      <c r="G554" s="59">
        <f t="shared" si="3"/>
      </c>
      <c r="H554" s="53">
        <f t="shared" si="4"/>
      </c>
      <c r="I554" s="53">
        <f t="shared" si="5"/>
      </c>
      <c r="J554" s="53">
        <f t="shared" si="6"/>
      </c>
      <c r="K554" s="59">
        <f t="shared" si="7"/>
      </c>
      <c r="L554" s="53">
        <f t="shared" si="8"/>
      </c>
      <c r="M554" s="59">
        <f t="shared" si="9"/>
      </c>
      <c r="N554" s="69">
        <f t="shared" si="10"/>
      </c>
      <c r="P554" s="22">
        <f t="shared" si="11"/>
      </c>
    </row>
    <row r="555">
      <c r="A555" s="56">
        <f>IF($B555="","",550)</f>
      </c>
      <c r="B555" s="66">
        <f>IF(往来单位!$B$553="","",往来单位!$B$553)</f>
      </c>
      <c r="C555" s="56">
        <f>IF($B555="","",往来单位!$C$553&amp;"")</f>
      </c>
      <c r="D555" s="53">
        <f t="shared" si="0"/>
      </c>
      <c r="E555" s="53">
        <f t="shared" si="1"/>
      </c>
      <c r="F555" s="53">
        <f t="shared" si="2"/>
      </c>
      <c r="G555" s="59">
        <f t="shared" si="3"/>
      </c>
      <c r="H555" s="53">
        <f t="shared" si="4"/>
      </c>
      <c r="I555" s="53">
        <f t="shared" si="5"/>
      </c>
      <c r="J555" s="53">
        <f t="shared" si="6"/>
      </c>
      <c r="K555" s="59">
        <f t="shared" si="7"/>
      </c>
      <c r="L555" s="53">
        <f t="shared" si="8"/>
      </c>
      <c r="M555" s="59">
        <f t="shared" si="9"/>
      </c>
      <c r="N555" s="69">
        <f t="shared" si="10"/>
      </c>
      <c r="P555" s="22">
        <f t="shared" si="11"/>
      </c>
    </row>
    <row r="556">
      <c r="A556" s="56">
        <f>IF($B556="","",551)</f>
      </c>
      <c r="B556" s="66">
        <f>IF(往来单位!$B$554="","",往来单位!$B$554)</f>
      </c>
      <c r="C556" s="56">
        <f>IF($B556="","",往来单位!$C$554&amp;"")</f>
      </c>
      <c r="D556" s="53">
        <f t="shared" si="0"/>
      </c>
      <c r="E556" s="53">
        <f t="shared" si="1"/>
      </c>
      <c r="F556" s="53">
        <f t="shared" si="2"/>
      </c>
      <c r="G556" s="59">
        <f t="shared" si="3"/>
      </c>
      <c r="H556" s="53">
        <f t="shared" si="4"/>
      </c>
      <c r="I556" s="53">
        <f t="shared" si="5"/>
      </c>
      <c r="J556" s="53">
        <f t="shared" si="6"/>
      </c>
      <c r="K556" s="59">
        <f t="shared" si="7"/>
      </c>
      <c r="L556" s="53">
        <f t="shared" si="8"/>
      </c>
      <c r="M556" s="59">
        <f t="shared" si="9"/>
      </c>
      <c r="N556" s="69">
        <f t="shared" si="10"/>
      </c>
      <c r="P556" s="22">
        <f t="shared" si="11"/>
      </c>
    </row>
    <row r="557">
      <c r="A557" s="56">
        <f>IF($B557="","",552)</f>
      </c>
      <c r="B557" s="66">
        <f>IF(往来单位!$B$555="","",往来单位!$B$555)</f>
      </c>
      <c r="C557" s="56">
        <f>IF($B557="","",往来单位!$C$555&amp;"")</f>
      </c>
      <c r="D557" s="53">
        <f t="shared" si="0"/>
      </c>
      <c r="E557" s="53">
        <f t="shared" si="1"/>
      </c>
      <c r="F557" s="53">
        <f t="shared" si="2"/>
      </c>
      <c r="G557" s="59">
        <f t="shared" si="3"/>
      </c>
      <c r="H557" s="53">
        <f t="shared" si="4"/>
      </c>
      <c r="I557" s="53">
        <f t="shared" si="5"/>
      </c>
      <c r="J557" s="53">
        <f t="shared" si="6"/>
      </c>
      <c r="K557" s="59">
        <f t="shared" si="7"/>
      </c>
      <c r="L557" s="53">
        <f t="shared" si="8"/>
      </c>
      <c r="M557" s="59">
        <f t="shared" si="9"/>
      </c>
      <c r="N557" s="69">
        <f t="shared" si="10"/>
      </c>
      <c r="P557" s="22">
        <f t="shared" si="11"/>
      </c>
    </row>
    <row r="558">
      <c r="A558" s="56">
        <f>IF($B558="","",553)</f>
      </c>
      <c r="B558" s="66">
        <f>IF(往来单位!$B$556="","",往来单位!$B$556)</f>
      </c>
      <c r="C558" s="56">
        <f>IF($B558="","",往来单位!$C$556&amp;"")</f>
      </c>
      <c r="D558" s="53">
        <f t="shared" si="0"/>
      </c>
      <c r="E558" s="53">
        <f t="shared" si="1"/>
      </c>
      <c r="F558" s="53">
        <f t="shared" si="2"/>
      </c>
      <c r="G558" s="59">
        <f t="shared" si="3"/>
      </c>
      <c r="H558" s="53">
        <f t="shared" si="4"/>
      </c>
      <c r="I558" s="53">
        <f t="shared" si="5"/>
      </c>
      <c r="J558" s="53">
        <f t="shared" si="6"/>
      </c>
      <c r="K558" s="59">
        <f t="shared" si="7"/>
      </c>
      <c r="L558" s="53">
        <f t="shared" si="8"/>
      </c>
      <c r="M558" s="59">
        <f t="shared" si="9"/>
      </c>
      <c r="N558" s="69">
        <f t="shared" si="10"/>
      </c>
      <c r="P558" s="22">
        <f t="shared" si="11"/>
      </c>
    </row>
    <row r="559">
      <c r="A559" s="56">
        <f>IF($B559="","",554)</f>
      </c>
      <c r="B559" s="66">
        <f>IF(往来单位!$B$557="","",往来单位!$B$557)</f>
      </c>
      <c r="C559" s="56">
        <f>IF($B559="","",往来单位!$C$557&amp;"")</f>
      </c>
      <c r="D559" s="53">
        <f t="shared" si="0"/>
      </c>
      <c r="E559" s="53">
        <f t="shared" si="1"/>
      </c>
      <c r="F559" s="53">
        <f t="shared" si="2"/>
      </c>
      <c r="G559" s="59">
        <f t="shared" si="3"/>
      </c>
      <c r="H559" s="53">
        <f t="shared" si="4"/>
      </c>
      <c r="I559" s="53">
        <f t="shared" si="5"/>
      </c>
      <c r="J559" s="53">
        <f t="shared" si="6"/>
      </c>
      <c r="K559" s="59">
        <f t="shared" si="7"/>
      </c>
      <c r="L559" s="53">
        <f t="shared" si="8"/>
      </c>
      <c r="M559" s="59">
        <f t="shared" si="9"/>
      </c>
      <c r="N559" s="69">
        <f t="shared" si="10"/>
      </c>
      <c r="P559" s="22">
        <f t="shared" si="11"/>
      </c>
    </row>
    <row r="560">
      <c r="A560" s="56">
        <f>IF($B560="","",555)</f>
      </c>
      <c r="B560" s="66">
        <f>IF(往来单位!$B$558="","",往来单位!$B$558)</f>
      </c>
      <c r="C560" s="56">
        <f>IF($B560="","",往来单位!$C$558&amp;"")</f>
      </c>
      <c r="D560" s="53">
        <f t="shared" si="0"/>
      </c>
      <c r="E560" s="53">
        <f t="shared" si="1"/>
      </c>
      <c r="F560" s="53">
        <f t="shared" si="2"/>
      </c>
      <c r="G560" s="59">
        <f t="shared" si="3"/>
      </c>
      <c r="H560" s="53">
        <f t="shared" si="4"/>
      </c>
      <c r="I560" s="53">
        <f t="shared" si="5"/>
      </c>
      <c r="J560" s="53">
        <f t="shared" si="6"/>
      </c>
      <c r="K560" s="59">
        <f t="shared" si="7"/>
      </c>
      <c r="L560" s="53">
        <f t="shared" si="8"/>
      </c>
      <c r="M560" s="59">
        <f t="shared" si="9"/>
      </c>
      <c r="N560" s="69">
        <f t="shared" si="10"/>
      </c>
      <c r="P560" s="22">
        <f t="shared" si="11"/>
      </c>
    </row>
    <row r="561">
      <c r="A561" s="56">
        <f>IF($B561="","",556)</f>
      </c>
      <c r="B561" s="66">
        <f>IF(往来单位!$B$559="","",往来单位!$B$559)</f>
      </c>
      <c r="C561" s="56">
        <f>IF($B561="","",往来单位!$C$559&amp;"")</f>
      </c>
      <c r="D561" s="53">
        <f t="shared" si="0"/>
      </c>
      <c r="E561" s="53">
        <f t="shared" si="1"/>
      </c>
      <c r="F561" s="53">
        <f t="shared" si="2"/>
      </c>
      <c r="G561" s="59">
        <f t="shared" si="3"/>
      </c>
      <c r="H561" s="53">
        <f t="shared" si="4"/>
      </c>
      <c r="I561" s="53">
        <f t="shared" si="5"/>
      </c>
      <c r="J561" s="53">
        <f t="shared" si="6"/>
      </c>
      <c r="K561" s="59">
        <f t="shared" si="7"/>
      </c>
      <c r="L561" s="53">
        <f t="shared" si="8"/>
      </c>
      <c r="M561" s="59">
        <f t="shared" si="9"/>
      </c>
      <c r="N561" s="69">
        <f t="shared" si="10"/>
      </c>
      <c r="P561" s="22">
        <f t="shared" si="11"/>
      </c>
    </row>
    <row r="562">
      <c r="A562" s="56">
        <f>IF($B562="","",557)</f>
      </c>
      <c r="B562" s="66">
        <f>IF(往来单位!$B$560="","",往来单位!$B$560)</f>
      </c>
      <c r="C562" s="56">
        <f>IF($B562="","",往来单位!$C$560&amp;"")</f>
      </c>
      <c r="D562" s="53">
        <f t="shared" si="0"/>
      </c>
      <c r="E562" s="53">
        <f t="shared" si="1"/>
      </c>
      <c r="F562" s="53">
        <f t="shared" si="2"/>
      </c>
      <c r="G562" s="59">
        <f t="shared" si="3"/>
      </c>
      <c r="H562" s="53">
        <f t="shared" si="4"/>
      </c>
      <c r="I562" s="53">
        <f t="shared" si="5"/>
      </c>
      <c r="J562" s="53">
        <f t="shared" si="6"/>
      </c>
      <c r="K562" s="59">
        <f t="shared" si="7"/>
      </c>
      <c r="L562" s="53">
        <f t="shared" si="8"/>
      </c>
      <c r="M562" s="59">
        <f t="shared" si="9"/>
      </c>
      <c r="N562" s="69">
        <f t="shared" si="10"/>
      </c>
      <c r="P562" s="22">
        <f t="shared" si="11"/>
      </c>
    </row>
    <row r="563">
      <c r="A563" s="56">
        <f>IF($B563="","",558)</f>
      </c>
      <c r="B563" s="66">
        <f>IF(往来单位!$B$561="","",往来单位!$B$561)</f>
      </c>
      <c r="C563" s="56">
        <f>IF($B563="","",往来单位!$C$561&amp;"")</f>
      </c>
      <c r="D563" s="53">
        <f t="shared" si="0"/>
      </c>
      <c r="E563" s="53">
        <f t="shared" si="1"/>
      </c>
      <c r="F563" s="53">
        <f t="shared" si="2"/>
      </c>
      <c r="G563" s="59">
        <f t="shared" si="3"/>
      </c>
      <c r="H563" s="53">
        <f t="shared" si="4"/>
      </c>
      <c r="I563" s="53">
        <f t="shared" si="5"/>
      </c>
      <c r="J563" s="53">
        <f t="shared" si="6"/>
      </c>
      <c r="K563" s="59">
        <f t="shared" si="7"/>
      </c>
      <c r="L563" s="53">
        <f t="shared" si="8"/>
      </c>
      <c r="M563" s="59">
        <f t="shared" si="9"/>
      </c>
      <c r="N563" s="69">
        <f t="shared" si="10"/>
      </c>
      <c r="P563" s="22">
        <f t="shared" si="11"/>
      </c>
    </row>
    <row r="564">
      <c r="A564" s="56">
        <f>IF($B564="","",559)</f>
      </c>
      <c r="B564" s="66">
        <f>IF(往来单位!$B$562="","",往来单位!$B$562)</f>
      </c>
      <c r="C564" s="56">
        <f>IF($B564="","",往来单位!$C$562&amp;"")</f>
      </c>
      <c r="D564" s="53">
        <f t="shared" si="0"/>
      </c>
      <c r="E564" s="53">
        <f t="shared" si="1"/>
      </c>
      <c r="F564" s="53">
        <f t="shared" si="2"/>
      </c>
      <c r="G564" s="59">
        <f t="shared" si="3"/>
      </c>
      <c r="H564" s="53">
        <f t="shared" si="4"/>
      </c>
      <c r="I564" s="53">
        <f t="shared" si="5"/>
      </c>
      <c r="J564" s="53">
        <f t="shared" si="6"/>
      </c>
      <c r="K564" s="59">
        <f t="shared" si="7"/>
      </c>
      <c r="L564" s="53">
        <f t="shared" si="8"/>
      </c>
      <c r="M564" s="59">
        <f t="shared" si="9"/>
      </c>
      <c r="N564" s="69">
        <f t="shared" si="10"/>
      </c>
      <c r="P564" s="22">
        <f t="shared" si="11"/>
      </c>
    </row>
    <row r="565">
      <c r="A565" s="56">
        <f>IF($B565="","",560)</f>
      </c>
      <c r="B565" s="66">
        <f>IF(往来单位!$B$563="","",往来单位!$B$563)</f>
      </c>
      <c r="C565" s="56">
        <f>IF($B565="","",往来单位!$C$563&amp;"")</f>
      </c>
      <c r="D565" s="53">
        <f t="shared" si="0"/>
      </c>
      <c r="E565" s="53">
        <f t="shared" si="1"/>
      </c>
      <c r="F565" s="53">
        <f t="shared" si="2"/>
      </c>
      <c r="G565" s="59">
        <f t="shared" si="3"/>
      </c>
      <c r="H565" s="53">
        <f t="shared" si="4"/>
      </c>
      <c r="I565" s="53">
        <f t="shared" si="5"/>
      </c>
      <c r="J565" s="53">
        <f t="shared" si="6"/>
      </c>
      <c r="K565" s="59">
        <f t="shared" si="7"/>
      </c>
      <c r="L565" s="53">
        <f t="shared" si="8"/>
      </c>
      <c r="M565" s="59">
        <f t="shared" si="9"/>
      </c>
      <c r="N565" s="69">
        <f t="shared" si="10"/>
      </c>
      <c r="P565" s="22">
        <f t="shared" si="11"/>
      </c>
    </row>
    <row r="566">
      <c r="A566" s="56">
        <f>IF($B566="","",561)</f>
      </c>
      <c r="B566" s="66">
        <f>IF(往来单位!$B$564="","",往来单位!$B$564)</f>
      </c>
      <c r="C566" s="56">
        <f>IF($B566="","",往来单位!$C$564&amp;"")</f>
      </c>
      <c r="D566" s="53">
        <f t="shared" si="0"/>
      </c>
      <c r="E566" s="53">
        <f t="shared" si="1"/>
      </c>
      <c r="F566" s="53">
        <f t="shared" si="2"/>
      </c>
      <c r="G566" s="59">
        <f t="shared" si="3"/>
      </c>
      <c r="H566" s="53">
        <f t="shared" si="4"/>
      </c>
      <c r="I566" s="53">
        <f t="shared" si="5"/>
      </c>
      <c r="J566" s="53">
        <f t="shared" si="6"/>
      </c>
      <c r="K566" s="59">
        <f t="shared" si="7"/>
      </c>
      <c r="L566" s="53">
        <f t="shared" si="8"/>
      </c>
      <c r="M566" s="59">
        <f t="shared" si="9"/>
      </c>
      <c r="N566" s="69">
        <f t="shared" si="10"/>
      </c>
      <c r="P566" s="22">
        <f t="shared" si="11"/>
      </c>
    </row>
    <row r="567">
      <c r="A567" s="56">
        <f>IF($B567="","",562)</f>
      </c>
      <c r="B567" s="66">
        <f>IF(往来单位!$B$565="","",往来单位!$B$565)</f>
      </c>
      <c r="C567" s="56">
        <f>IF($B567="","",往来单位!$C$565&amp;"")</f>
      </c>
      <c r="D567" s="53">
        <f t="shared" si="0"/>
      </c>
      <c r="E567" s="53">
        <f t="shared" si="1"/>
      </c>
      <c r="F567" s="53">
        <f t="shared" si="2"/>
      </c>
      <c r="G567" s="59">
        <f t="shared" si="3"/>
      </c>
      <c r="H567" s="53">
        <f t="shared" si="4"/>
      </c>
      <c r="I567" s="53">
        <f t="shared" si="5"/>
      </c>
      <c r="J567" s="53">
        <f t="shared" si="6"/>
      </c>
      <c r="K567" s="59">
        <f t="shared" si="7"/>
      </c>
      <c r="L567" s="53">
        <f t="shared" si="8"/>
      </c>
      <c r="M567" s="59">
        <f t="shared" si="9"/>
      </c>
      <c r="N567" s="69">
        <f t="shared" si="10"/>
      </c>
      <c r="P567" s="22">
        <f t="shared" si="11"/>
      </c>
    </row>
    <row r="568">
      <c r="A568" s="56">
        <f>IF($B568="","",563)</f>
      </c>
      <c r="B568" s="66">
        <f>IF(往来单位!$B$566="","",往来单位!$B$566)</f>
      </c>
      <c r="C568" s="56">
        <f>IF($B568="","",往来单位!$C$566&amp;"")</f>
      </c>
      <c r="D568" s="53">
        <f t="shared" si="0"/>
      </c>
      <c r="E568" s="53">
        <f t="shared" si="1"/>
      </c>
      <c r="F568" s="53">
        <f t="shared" si="2"/>
      </c>
      <c r="G568" s="59">
        <f t="shared" si="3"/>
      </c>
      <c r="H568" s="53">
        <f t="shared" si="4"/>
      </c>
      <c r="I568" s="53">
        <f t="shared" si="5"/>
      </c>
      <c r="J568" s="53">
        <f t="shared" si="6"/>
      </c>
      <c r="K568" s="59">
        <f t="shared" si="7"/>
      </c>
      <c r="L568" s="53">
        <f t="shared" si="8"/>
      </c>
      <c r="M568" s="59">
        <f t="shared" si="9"/>
      </c>
      <c r="N568" s="69">
        <f t="shared" si="10"/>
      </c>
      <c r="P568" s="22">
        <f t="shared" si="11"/>
      </c>
    </row>
    <row r="569">
      <c r="A569" s="56">
        <f>IF($B569="","",564)</f>
      </c>
      <c r="B569" s="66">
        <f>IF(往来单位!$B$567="","",往来单位!$B$567)</f>
      </c>
      <c r="C569" s="56">
        <f>IF($B569="","",往来单位!$C$567&amp;"")</f>
      </c>
      <c r="D569" s="53">
        <f t="shared" si="0"/>
      </c>
      <c r="E569" s="53">
        <f t="shared" si="1"/>
      </c>
      <c r="F569" s="53">
        <f t="shared" si="2"/>
      </c>
      <c r="G569" s="59">
        <f t="shared" si="3"/>
      </c>
      <c r="H569" s="53">
        <f t="shared" si="4"/>
      </c>
      <c r="I569" s="53">
        <f t="shared" si="5"/>
      </c>
      <c r="J569" s="53">
        <f t="shared" si="6"/>
      </c>
      <c r="K569" s="59">
        <f t="shared" si="7"/>
      </c>
      <c r="L569" s="53">
        <f t="shared" si="8"/>
      </c>
      <c r="M569" s="59">
        <f t="shared" si="9"/>
      </c>
      <c r="N569" s="69">
        <f t="shared" si="10"/>
      </c>
      <c r="P569" s="22">
        <f t="shared" si="11"/>
      </c>
    </row>
    <row r="570">
      <c r="A570" s="56">
        <f>IF($B570="","",565)</f>
      </c>
      <c r="B570" s="66">
        <f>IF(往来单位!$B$568="","",往来单位!$B$568)</f>
      </c>
      <c r="C570" s="56">
        <f>IF($B570="","",往来单位!$C$568&amp;"")</f>
      </c>
      <c r="D570" s="53">
        <f t="shared" si="0"/>
      </c>
      <c r="E570" s="53">
        <f t="shared" si="1"/>
      </c>
      <c r="F570" s="53">
        <f t="shared" si="2"/>
      </c>
      <c r="G570" s="59">
        <f t="shared" si="3"/>
      </c>
      <c r="H570" s="53">
        <f t="shared" si="4"/>
      </c>
      <c r="I570" s="53">
        <f t="shared" si="5"/>
      </c>
      <c r="J570" s="53">
        <f t="shared" si="6"/>
      </c>
      <c r="K570" s="59">
        <f t="shared" si="7"/>
      </c>
      <c r="L570" s="53">
        <f t="shared" si="8"/>
      </c>
      <c r="M570" s="59">
        <f t="shared" si="9"/>
      </c>
      <c r="N570" s="69">
        <f t="shared" si="10"/>
      </c>
      <c r="P570" s="22">
        <f t="shared" si="11"/>
      </c>
    </row>
    <row r="571">
      <c r="A571" s="56">
        <f>IF($B571="","",566)</f>
      </c>
      <c r="B571" s="66">
        <f>IF(往来单位!$B$569="","",往来单位!$B$569)</f>
      </c>
      <c r="C571" s="56">
        <f>IF($B571="","",往来单位!$C$569&amp;"")</f>
      </c>
      <c r="D571" s="53">
        <f t="shared" si="0"/>
      </c>
      <c r="E571" s="53">
        <f t="shared" si="1"/>
      </c>
      <c r="F571" s="53">
        <f t="shared" si="2"/>
      </c>
      <c r="G571" s="59">
        <f t="shared" si="3"/>
      </c>
      <c r="H571" s="53">
        <f t="shared" si="4"/>
      </c>
      <c r="I571" s="53">
        <f t="shared" si="5"/>
      </c>
      <c r="J571" s="53">
        <f t="shared" si="6"/>
      </c>
      <c r="K571" s="59">
        <f t="shared" si="7"/>
      </c>
      <c r="L571" s="53">
        <f t="shared" si="8"/>
      </c>
      <c r="M571" s="59">
        <f t="shared" si="9"/>
      </c>
      <c r="N571" s="69">
        <f t="shared" si="10"/>
      </c>
      <c r="P571" s="22">
        <f t="shared" si="11"/>
      </c>
    </row>
    <row r="572">
      <c r="A572" s="56">
        <f>IF($B572="","",567)</f>
      </c>
      <c r="B572" s="66">
        <f>IF(往来单位!$B$570="","",往来单位!$B$570)</f>
      </c>
      <c r="C572" s="56">
        <f>IF($B572="","",往来单位!$C$570&amp;"")</f>
      </c>
      <c r="D572" s="53">
        <f t="shared" si="0"/>
      </c>
      <c r="E572" s="53">
        <f t="shared" si="1"/>
      </c>
      <c r="F572" s="53">
        <f t="shared" si="2"/>
      </c>
      <c r="G572" s="59">
        <f t="shared" si="3"/>
      </c>
      <c r="H572" s="53">
        <f t="shared" si="4"/>
      </c>
      <c r="I572" s="53">
        <f t="shared" si="5"/>
      </c>
      <c r="J572" s="53">
        <f t="shared" si="6"/>
      </c>
      <c r="K572" s="59">
        <f t="shared" si="7"/>
      </c>
      <c r="L572" s="53">
        <f t="shared" si="8"/>
      </c>
      <c r="M572" s="59">
        <f t="shared" si="9"/>
      </c>
      <c r="N572" s="69">
        <f t="shared" si="10"/>
      </c>
      <c r="P572" s="22">
        <f t="shared" si="11"/>
      </c>
    </row>
    <row r="573">
      <c r="A573" s="56">
        <f>IF($B573="","",568)</f>
      </c>
      <c r="B573" s="66">
        <f>IF(往来单位!$B$571="","",往来单位!$B$571)</f>
      </c>
      <c r="C573" s="56">
        <f>IF($B573="","",往来单位!$C$571&amp;"")</f>
      </c>
      <c r="D573" s="53">
        <f t="shared" si="0"/>
      </c>
      <c r="E573" s="53">
        <f t="shared" si="1"/>
      </c>
      <c r="F573" s="53">
        <f t="shared" si="2"/>
      </c>
      <c r="G573" s="59">
        <f t="shared" si="3"/>
      </c>
      <c r="H573" s="53">
        <f t="shared" si="4"/>
      </c>
      <c r="I573" s="53">
        <f t="shared" si="5"/>
      </c>
      <c r="J573" s="53">
        <f t="shared" si="6"/>
      </c>
      <c r="K573" s="59">
        <f t="shared" si="7"/>
      </c>
      <c r="L573" s="53">
        <f t="shared" si="8"/>
      </c>
      <c r="M573" s="59">
        <f t="shared" si="9"/>
      </c>
      <c r="N573" s="69">
        <f t="shared" si="10"/>
      </c>
      <c r="P573" s="22">
        <f t="shared" si="11"/>
      </c>
    </row>
    <row r="574">
      <c r="A574" s="56">
        <f>IF($B574="","",569)</f>
      </c>
      <c r="B574" s="66">
        <f>IF(往来单位!$B$572="","",往来单位!$B$572)</f>
      </c>
      <c r="C574" s="56">
        <f>IF($B574="","",往来单位!$C$572&amp;"")</f>
      </c>
      <c r="D574" s="53">
        <f t="shared" si="0"/>
      </c>
      <c r="E574" s="53">
        <f t="shared" si="1"/>
      </c>
      <c r="F574" s="53">
        <f t="shared" si="2"/>
      </c>
      <c r="G574" s="59">
        <f t="shared" si="3"/>
      </c>
      <c r="H574" s="53">
        <f t="shared" si="4"/>
      </c>
      <c r="I574" s="53">
        <f t="shared" si="5"/>
      </c>
      <c r="J574" s="53">
        <f t="shared" si="6"/>
      </c>
      <c r="K574" s="59">
        <f t="shared" si="7"/>
      </c>
      <c r="L574" s="53">
        <f t="shared" si="8"/>
      </c>
      <c r="M574" s="59">
        <f t="shared" si="9"/>
      </c>
      <c r="N574" s="69">
        <f t="shared" si="10"/>
      </c>
      <c r="P574" s="22">
        <f t="shared" si="11"/>
      </c>
    </row>
    <row r="575">
      <c r="A575" s="56">
        <f>IF($B575="","",570)</f>
      </c>
      <c r="B575" s="66">
        <f>IF(往来单位!$B$573="","",往来单位!$B$573)</f>
      </c>
      <c r="C575" s="56">
        <f>IF($B575="","",往来单位!$C$573&amp;"")</f>
      </c>
      <c r="D575" s="53">
        <f t="shared" si="0"/>
      </c>
      <c r="E575" s="53">
        <f t="shared" si="1"/>
      </c>
      <c r="F575" s="53">
        <f t="shared" si="2"/>
      </c>
      <c r="G575" s="59">
        <f t="shared" si="3"/>
      </c>
      <c r="H575" s="53">
        <f t="shared" si="4"/>
      </c>
      <c r="I575" s="53">
        <f t="shared" si="5"/>
      </c>
      <c r="J575" s="53">
        <f t="shared" si="6"/>
      </c>
      <c r="K575" s="59">
        <f t="shared" si="7"/>
      </c>
      <c r="L575" s="53">
        <f t="shared" si="8"/>
      </c>
      <c r="M575" s="59">
        <f t="shared" si="9"/>
      </c>
      <c r="N575" s="69">
        <f t="shared" si="10"/>
      </c>
      <c r="P575" s="22">
        <f t="shared" si="11"/>
      </c>
    </row>
    <row r="576">
      <c r="A576" s="56">
        <f>IF($B576="","",571)</f>
      </c>
      <c r="B576" s="66">
        <f>IF(往来单位!$B$574="","",往来单位!$B$574)</f>
      </c>
      <c r="C576" s="56">
        <f>IF($B576="","",往来单位!$C$574&amp;"")</f>
      </c>
      <c r="D576" s="53">
        <f t="shared" si="0"/>
      </c>
      <c r="E576" s="53">
        <f t="shared" si="1"/>
      </c>
      <c r="F576" s="53">
        <f t="shared" si="2"/>
      </c>
      <c r="G576" s="59">
        <f t="shared" si="3"/>
      </c>
      <c r="H576" s="53">
        <f t="shared" si="4"/>
      </c>
      <c r="I576" s="53">
        <f t="shared" si="5"/>
      </c>
      <c r="J576" s="53">
        <f t="shared" si="6"/>
      </c>
      <c r="K576" s="59">
        <f t="shared" si="7"/>
      </c>
      <c r="L576" s="53">
        <f t="shared" si="8"/>
      </c>
      <c r="M576" s="59">
        <f t="shared" si="9"/>
      </c>
      <c r="N576" s="69">
        <f t="shared" si="10"/>
      </c>
      <c r="P576" s="22">
        <f t="shared" si="11"/>
      </c>
    </row>
    <row r="577">
      <c r="A577" s="56">
        <f>IF($B577="","",572)</f>
      </c>
      <c r="B577" s="66">
        <f>IF(往来单位!$B$575="","",往来单位!$B$575)</f>
      </c>
      <c r="C577" s="56">
        <f>IF($B577="","",往来单位!$C$575&amp;"")</f>
      </c>
      <c r="D577" s="53">
        <f t="shared" si="0"/>
      </c>
      <c r="E577" s="53">
        <f t="shared" si="1"/>
      </c>
      <c r="F577" s="53">
        <f t="shared" si="2"/>
      </c>
      <c r="G577" s="59">
        <f t="shared" si="3"/>
      </c>
      <c r="H577" s="53">
        <f t="shared" si="4"/>
      </c>
      <c r="I577" s="53">
        <f t="shared" si="5"/>
      </c>
      <c r="J577" s="53">
        <f t="shared" si="6"/>
      </c>
      <c r="K577" s="59">
        <f t="shared" si="7"/>
      </c>
      <c r="L577" s="53">
        <f t="shared" si="8"/>
      </c>
      <c r="M577" s="59">
        <f t="shared" si="9"/>
      </c>
      <c r="N577" s="69">
        <f t="shared" si="10"/>
      </c>
      <c r="P577" s="22">
        <f t="shared" si="11"/>
      </c>
    </row>
    <row r="578">
      <c r="A578" s="56">
        <f>IF($B578="","",573)</f>
      </c>
      <c r="B578" s="66">
        <f>IF(往来单位!$B$576="","",往来单位!$B$576)</f>
      </c>
      <c r="C578" s="56">
        <f>IF($B578="","",往来单位!$C$576&amp;"")</f>
      </c>
      <c r="D578" s="53">
        <f t="shared" si="0"/>
      </c>
      <c r="E578" s="53">
        <f t="shared" si="1"/>
      </c>
      <c r="F578" s="53">
        <f t="shared" si="2"/>
      </c>
      <c r="G578" s="59">
        <f t="shared" si="3"/>
      </c>
      <c r="H578" s="53">
        <f t="shared" si="4"/>
      </c>
      <c r="I578" s="53">
        <f t="shared" si="5"/>
      </c>
      <c r="J578" s="53">
        <f t="shared" si="6"/>
      </c>
      <c r="K578" s="59">
        <f t="shared" si="7"/>
      </c>
      <c r="L578" s="53">
        <f t="shared" si="8"/>
      </c>
      <c r="M578" s="59">
        <f t="shared" si="9"/>
      </c>
      <c r="N578" s="69">
        <f t="shared" si="10"/>
      </c>
      <c r="P578" s="22">
        <f t="shared" si="11"/>
      </c>
    </row>
    <row r="579">
      <c r="A579" s="56">
        <f>IF($B579="","",574)</f>
      </c>
      <c r="B579" s="66">
        <f>IF(往来单位!$B$577="","",往来单位!$B$577)</f>
      </c>
      <c r="C579" s="56">
        <f>IF($B579="","",往来单位!$C$577&amp;"")</f>
      </c>
      <c r="D579" s="53">
        <f t="shared" si="0"/>
      </c>
      <c r="E579" s="53">
        <f t="shared" si="1"/>
      </c>
      <c r="F579" s="53">
        <f t="shared" si="2"/>
      </c>
      <c r="G579" s="59">
        <f t="shared" si="3"/>
      </c>
      <c r="H579" s="53">
        <f t="shared" si="4"/>
      </c>
      <c r="I579" s="53">
        <f t="shared" si="5"/>
      </c>
      <c r="J579" s="53">
        <f t="shared" si="6"/>
      </c>
      <c r="K579" s="59">
        <f t="shared" si="7"/>
      </c>
      <c r="L579" s="53">
        <f t="shared" si="8"/>
      </c>
      <c r="M579" s="59">
        <f t="shared" si="9"/>
      </c>
      <c r="N579" s="69">
        <f t="shared" si="10"/>
      </c>
      <c r="P579" s="22">
        <f t="shared" si="11"/>
      </c>
    </row>
    <row r="580">
      <c r="A580" s="56">
        <f>IF($B580="","",575)</f>
      </c>
      <c r="B580" s="66">
        <f>IF(往来单位!$B$578="","",往来单位!$B$578)</f>
      </c>
      <c r="C580" s="56">
        <f>IF($B580="","",往来单位!$C$578&amp;"")</f>
      </c>
      <c r="D580" s="53">
        <f t="shared" si="0"/>
      </c>
      <c r="E580" s="53">
        <f t="shared" si="1"/>
      </c>
      <c r="F580" s="53">
        <f t="shared" si="2"/>
      </c>
      <c r="G580" s="59">
        <f t="shared" si="3"/>
      </c>
      <c r="H580" s="53">
        <f t="shared" si="4"/>
      </c>
      <c r="I580" s="53">
        <f t="shared" si="5"/>
      </c>
      <c r="J580" s="53">
        <f t="shared" si="6"/>
      </c>
      <c r="K580" s="59">
        <f t="shared" si="7"/>
      </c>
      <c r="L580" s="53">
        <f t="shared" si="8"/>
      </c>
      <c r="M580" s="59">
        <f t="shared" si="9"/>
      </c>
      <c r="N580" s="69">
        <f t="shared" si="10"/>
      </c>
      <c r="P580" s="22">
        <f t="shared" si="11"/>
      </c>
    </row>
    <row r="581">
      <c r="A581" s="56">
        <f>IF($B581="","",576)</f>
      </c>
      <c r="B581" s="66">
        <f>IF(往来单位!$B$579="","",往来单位!$B$579)</f>
      </c>
      <c r="C581" s="56">
        <f>IF($B581="","",往来单位!$C$579&amp;"")</f>
      </c>
      <c r="D581" s="53">
        <f t="shared" si="0"/>
      </c>
      <c r="E581" s="53">
        <f t="shared" si="1"/>
      </c>
      <c r="F581" s="53">
        <f t="shared" si="2"/>
      </c>
      <c r="G581" s="59">
        <f t="shared" si="3"/>
      </c>
      <c r="H581" s="53">
        <f t="shared" si="4"/>
      </c>
      <c r="I581" s="53">
        <f t="shared" si="5"/>
      </c>
      <c r="J581" s="53">
        <f t="shared" si="6"/>
      </c>
      <c r="K581" s="59">
        <f t="shared" si="7"/>
      </c>
      <c r="L581" s="53">
        <f t="shared" si="8"/>
      </c>
      <c r="M581" s="59">
        <f t="shared" si="9"/>
      </c>
      <c r="N581" s="69">
        <f t="shared" si="10"/>
      </c>
      <c r="P581" s="22">
        <f t="shared" si="11"/>
      </c>
    </row>
    <row r="582">
      <c r="A582" s="56">
        <f>IF($B582="","",577)</f>
      </c>
      <c r="B582" s="66">
        <f>IF(往来单位!$B$580="","",往来单位!$B$580)</f>
      </c>
      <c r="C582" s="56">
        <f>IF($B582="","",往来单位!$C$580&amp;"")</f>
      </c>
      <c r="D582" s="53">
        <f t="shared" si="0"/>
      </c>
      <c r="E582" s="53">
        <f t="shared" si="1"/>
      </c>
      <c r="F582" s="53">
        <f t="shared" si="2"/>
      </c>
      <c r="G582" s="59">
        <f t="shared" si="3"/>
      </c>
      <c r="H582" s="53">
        <f t="shared" si="4"/>
      </c>
      <c r="I582" s="53">
        <f t="shared" si="5"/>
      </c>
      <c r="J582" s="53">
        <f t="shared" si="6"/>
      </c>
      <c r="K582" s="59">
        <f t="shared" si="7"/>
      </c>
      <c r="L582" s="53">
        <f t="shared" si="8"/>
      </c>
      <c r="M582" s="59">
        <f t="shared" si="9"/>
      </c>
      <c r="N582" s="69">
        <f t="shared" si="10"/>
      </c>
      <c r="P582" s="22">
        <f t="shared" si="11"/>
      </c>
    </row>
    <row r="583">
      <c r="A583" s="56">
        <f>IF($B583="","",578)</f>
      </c>
      <c r="B583" s="66">
        <f>IF(往来单位!$B$581="","",往来单位!$B$581)</f>
      </c>
      <c r="C583" s="56">
        <f>IF($B583="","",往来单位!$C$581&amp;"")</f>
      </c>
      <c r="D583" s="53">
        <f t="shared" si="0"/>
      </c>
      <c r="E583" s="53">
        <f t="shared" si="1"/>
      </c>
      <c r="F583" s="53">
        <f t="shared" si="2"/>
      </c>
      <c r="G583" s="59">
        <f t="shared" si="3"/>
      </c>
      <c r="H583" s="53">
        <f t="shared" si="4"/>
      </c>
      <c r="I583" s="53">
        <f t="shared" si="5"/>
      </c>
      <c r="J583" s="53">
        <f t="shared" si="6"/>
      </c>
      <c r="K583" s="59">
        <f t="shared" si="7"/>
      </c>
      <c r="L583" s="53">
        <f t="shared" si="8"/>
      </c>
      <c r="M583" s="59">
        <f t="shared" si="9"/>
      </c>
      <c r="N583" s="69">
        <f t="shared" si="10"/>
      </c>
      <c r="P583" s="22">
        <f t="shared" si="11"/>
      </c>
    </row>
    <row r="584">
      <c r="A584" s="56">
        <f>IF($B584="","",579)</f>
      </c>
      <c r="B584" s="66">
        <f>IF(往来单位!$B$582="","",往来单位!$B$582)</f>
      </c>
      <c r="C584" s="56">
        <f>IF($B584="","",往来单位!$C$582&amp;"")</f>
      </c>
      <c r="D584" s="53">
        <f t="shared" si="0"/>
      </c>
      <c r="E584" s="53">
        <f t="shared" si="1"/>
      </c>
      <c r="F584" s="53">
        <f t="shared" si="2"/>
      </c>
      <c r="G584" s="59">
        <f t="shared" si="3"/>
      </c>
      <c r="H584" s="53">
        <f t="shared" si="4"/>
      </c>
      <c r="I584" s="53">
        <f t="shared" si="5"/>
      </c>
      <c r="J584" s="53">
        <f t="shared" si="6"/>
      </c>
      <c r="K584" s="59">
        <f t="shared" si="7"/>
      </c>
      <c r="L584" s="53">
        <f t="shared" si="8"/>
      </c>
      <c r="M584" s="59">
        <f t="shared" si="9"/>
      </c>
      <c r="N584" s="69">
        <f t="shared" si="10"/>
      </c>
      <c r="P584" s="22">
        <f t="shared" si="11"/>
      </c>
    </row>
    <row r="585">
      <c r="A585" s="56">
        <f>IF($B585="","",580)</f>
      </c>
      <c r="B585" s="66">
        <f>IF(往来单位!$B$583="","",往来单位!$B$583)</f>
      </c>
      <c r="C585" s="56">
        <f>IF($B585="","",往来单位!$C$583&amp;"")</f>
      </c>
      <c r="D585" s="53">
        <f t="shared" si="0"/>
      </c>
      <c r="E585" s="53">
        <f t="shared" si="1"/>
      </c>
      <c r="F585" s="53">
        <f t="shared" si="2"/>
      </c>
      <c r="G585" s="59">
        <f t="shared" si="3"/>
      </c>
      <c r="H585" s="53">
        <f t="shared" si="4"/>
      </c>
      <c r="I585" s="53">
        <f t="shared" si="5"/>
      </c>
      <c r="J585" s="53">
        <f t="shared" si="6"/>
      </c>
      <c r="K585" s="59">
        <f t="shared" si="7"/>
      </c>
      <c r="L585" s="53">
        <f t="shared" si="8"/>
      </c>
      <c r="M585" s="59">
        <f t="shared" si="9"/>
      </c>
      <c r="N585" s="69">
        <f t="shared" si="10"/>
      </c>
      <c r="P585" s="22">
        <f t="shared" si="11"/>
      </c>
    </row>
    <row r="586">
      <c r="A586" s="56">
        <f>IF($B586="","",581)</f>
      </c>
      <c r="B586" s="66">
        <f>IF(往来单位!$B$584="","",往来单位!$B$584)</f>
      </c>
      <c r="C586" s="56">
        <f>IF($B586="","",往来单位!$C$584&amp;"")</f>
      </c>
      <c r="D586" s="53">
        <f t="shared" si="0"/>
      </c>
      <c r="E586" s="53">
        <f t="shared" si="1"/>
      </c>
      <c r="F586" s="53">
        <f t="shared" si="2"/>
      </c>
      <c r="G586" s="59">
        <f t="shared" si="3"/>
      </c>
      <c r="H586" s="53">
        <f t="shared" si="4"/>
      </c>
      <c r="I586" s="53">
        <f t="shared" si="5"/>
      </c>
      <c r="J586" s="53">
        <f t="shared" si="6"/>
      </c>
      <c r="K586" s="59">
        <f t="shared" si="7"/>
      </c>
      <c r="L586" s="53">
        <f t="shared" si="8"/>
      </c>
      <c r="M586" s="59">
        <f t="shared" si="9"/>
      </c>
      <c r="N586" s="69">
        <f t="shared" si="10"/>
      </c>
      <c r="P586" s="22">
        <f t="shared" si="11"/>
      </c>
    </row>
    <row r="587">
      <c r="A587" s="56">
        <f>IF($B587="","",582)</f>
      </c>
      <c r="B587" s="66">
        <f>IF(往来单位!$B$585="","",往来单位!$B$585)</f>
      </c>
      <c r="C587" s="56">
        <f>IF($B587="","",往来单位!$C$585&amp;"")</f>
      </c>
      <c r="D587" s="53">
        <f t="shared" si="0"/>
      </c>
      <c r="E587" s="53">
        <f t="shared" si="1"/>
      </c>
      <c r="F587" s="53">
        <f t="shared" si="2"/>
      </c>
      <c r="G587" s="59">
        <f t="shared" si="3"/>
      </c>
      <c r="H587" s="53">
        <f t="shared" si="4"/>
      </c>
      <c r="I587" s="53">
        <f t="shared" si="5"/>
      </c>
      <c r="J587" s="53">
        <f t="shared" si="6"/>
      </c>
      <c r="K587" s="59">
        <f t="shared" si="7"/>
      </c>
      <c r="L587" s="53">
        <f t="shared" si="8"/>
      </c>
      <c r="M587" s="59">
        <f t="shared" si="9"/>
      </c>
      <c r="N587" s="69">
        <f t="shared" si="10"/>
      </c>
      <c r="P587" s="22">
        <f t="shared" si="11"/>
      </c>
    </row>
    <row r="588">
      <c r="A588" s="56">
        <f>IF($B588="","",583)</f>
      </c>
      <c r="B588" s="66">
        <f>IF(往来单位!$B$586="","",往来单位!$B$586)</f>
      </c>
      <c r="C588" s="56">
        <f>IF($B588="","",往来单位!$C$586&amp;"")</f>
      </c>
      <c r="D588" s="53">
        <f t="shared" si="0"/>
      </c>
      <c r="E588" s="53">
        <f t="shared" si="1"/>
      </c>
      <c r="F588" s="53">
        <f t="shared" si="2"/>
      </c>
      <c r="G588" s="59">
        <f t="shared" si="3"/>
      </c>
      <c r="H588" s="53">
        <f t="shared" si="4"/>
      </c>
      <c r="I588" s="53">
        <f t="shared" si="5"/>
      </c>
      <c r="J588" s="53">
        <f t="shared" si="6"/>
      </c>
      <c r="K588" s="59">
        <f t="shared" si="7"/>
      </c>
      <c r="L588" s="53">
        <f t="shared" si="8"/>
      </c>
      <c r="M588" s="59">
        <f t="shared" si="9"/>
      </c>
      <c r="N588" s="69">
        <f t="shared" si="10"/>
      </c>
      <c r="P588" s="22">
        <f t="shared" si="11"/>
      </c>
    </row>
    <row r="589">
      <c r="A589" s="56">
        <f>IF($B589="","",584)</f>
      </c>
      <c r="B589" s="66">
        <f>IF(往来单位!$B$587="","",往来单位!$B$587)</f>
      </c>
      <c r="C589" s="56">
        <f>IF($B589="","",往来单位!$C$587&amp;"")</f>
      </c>
      <c r="D589" s="53">
        <f t="shared" si="0"/>
      </c>
      <c r="E589" s="53">
        <f t="shared" si="1"/>
      </c>
      <c r="F589" s="53">
        <f t="shared" si="2"/>
      </c>
      <c r="G589" s="59">
        <f t="shared" si="3"/>
      </c>
      <c r="H589" s="53">
        <f t="shared" si="4"/>
      </c>
      <c r="I589" s="53">
        <f t="shared" si="5"/>
      </c>
      <c r="J589" s="53">
        <f t="shared" si="6"/>
      </c>
      <c r="K589" s="59">
        <f t="shared" si="7"/>
      </c>
      <c r="L589" s="53">
        <f t="shared" si="8"/>
      </c>
      <c r="M589" s="59">
        <f t="shared" si="9"/>
      </c>
      <c r="N589" s="69">
        <f t="shared" si="10"/>
      </c>
      <c r="P589" s="22">
        <f t="shared" si="11"/>
      </c>
    </row>
    <row r="590">
      <c r="A590" s="56">
        <f>IF($B590="","",585)</f>
      </c>
      <c r="B590" s="66">
        <f>IF(往来单位!$B$588="","",往来单位!$B$588)</f>
      </c>
      <c r="C590" s="56">
        <f>IF($B590="","",往来单位!$C$588&amp;"")</f>
      </c>
      <c r="D590" s="53">
        <f t="shared" si="0"/>
      </c>
      <c r="E590" s="53">
        <f t="shared" si="1"/>
      </c>
      <c r="F590" s="53">
        <f t="shared" si="2"/>
      </c>
      <c r="G590" s="59">
        <f t="shared" si="3"/>
      </c>
      <c r="H590" s="53">
        <f t="shared" si="4"/>
      </c>
      <c r="I590" s="53">
        <f t="shared" si="5"/>
      </c>
      <c r="J590" s="53">
        <f t="shared" si="6"/>
      </c>
      <c r="K590" s="59">
        <f t="shared" si="7"/>
      </c>
      <c r="L590" s="53">
        <f t="shared" si="8"/>
      </c>
      <c r="M590" s="59">
        <f t="shared" si="9"/>
      </c>
      <c r="N590" s="69">
        <f t="shared" si="10"/>
      </c>
      <c r="P590" s="22">
        <f t="shared" si="11"/>
      </c>
    </row>
    <row r="591">
      <c r="A591" s="56">
        <f>IF($B591="","",586)</f>
      </c>
      <c r="B591" s="66">
        <f>IF(往来单位!$B$589="","",往来单位!$B$589)</f>
      </c>
      <c r="C591" s="56">
        <f>IF($B591="","",往来单位!$C$589&amp;"")</f>
      </c>
      <c r="D591" s="53">
        <f t="shared" si="0"/>
      </c>
      <c r="E591" s="53">
        <f t="shared" si="1"/>
      </c>
      <c r="F591" s="53">
        <f t="shared" si="2"/>
      </c>
      <c r="G591" s="59">
        <f t="shared" si="3"/>
      </c>
      <c r="H591" s="53">
        <f t="shared" si="4"/>
      </c>
      <c r="I591" s="53">
        <f t="shared" si="5"/>
      </c>
      <c r="J591" s="53">
        <f t="shared" si="6"/>
      </c>
      <c r="K591" s="59">
        <f t="shared" si="7"/>
      </c>
      <c r="L591" s="53">
        <f t="shared" si="8"/>
      </c>
      <c r="M591" s="59">
        <f t="shared" si="9"/>
      </c>
      <c r="N591" s="69">
        <f t="shared" si="10"/>
      </c>
      <c r="P591" s="22">
        <f t="shared" si="11"/>
      </c>
    </row>
    <row r="592">
      <c r="A592" s="56">
        <f>IF($B592="","",587)</f>
      </c>
      <c r="B592" s="66">
        <f>IF(往来单位!$B$590="","",往来单位!$B$590)</f>
      </c>
      <c r="C592" s="56">
        <f>IF($B592="","",往来单位!$C$590&amp;"")</f>
      </c>
      <c r="D592" s="53">
        <f t="shared" si="0"/>
      </c>
      <c r="E592" s="53">
        <f t="shared" si="1"/>
      </c>
      <c r="F592" s="53">
        <f t="shared" si="2"/>
      </c>
      <c r="G592" s="59">
        <f t="shared" si="3"/>
      </c>
      <c r="H592" s="53">
        <f t="shared" si="4"/>
      </c>
      <c r="I592" s="53">
        <f t="shared" si="5"/>
      </c>
      <c r="J592" s="53">
        <f t="shared" si="6"/>
      </c>
      <c r="K592" s="59">
        <f t="shared" si="7"/>
      </c>
      <c r="L592" s="53">
        <f t="shared" si="8"/>
      </c>
      <c r="M592" s="59">
        <f t="shared" si="9"/>
      </c>
      <c r="N592" s="69">
        <f t="shared" si="10"/>
      </c>
      <c r="P592" s="22">
        <f t="shared" si="11"/>
      </c>
    </row>
    <row r="593">
      <c r="A593" s="56">
        <f>IF($B593="","",588)</f>
      </c>
      <c r="B593" s="66">
        <f>IF(往来单位!$B$591="","",往来单位!$B$591)</f>
      </c>
      <c r="C593" s="56">
        <f>IF($B593="","",往来单位!$C$591&amp;"")</f>
      </c>
      <c r="D593" s="53">
        <f t="shared" si="0"/>
      </c>
      <c r="E593" s="53">
        <f t="shared" si="1"/>
      </c>
      <c r="F593" s="53">
        <f t="shared" si="2"/>
      </c>
      <c r="G593" s="59">
        <f t="shared" si="3"/>
      </c>
      <c r="H593" s="53">
        <f t="shared" si="4"/>
      </c>
      <c r="I593" s="53">
        <f t="shared" si="5"/>
      </c>
      <c r="J593" s="53">
        <f t="shared" si="6"/>
      </c>
      <c r="K593" s="59">
        <f t="shared" si="7"/>
      </c>
      <c r="L593" s="53">
        <f t="shared" si="8"/>
      </c>
      <c r="M593" s="59">
        <f t="shared" si="9"/>
      </c>
      <c r="N593" s="69">
        <f t="shared" si="10"/>
      </c>
      <c r="P593" s="22">
        <f t="shared" si="11"/>
      </c>
    </row>
    <row r="594">
      <c r="A594" s="56">
        <f>IF($B594="","",589)</f>
      </c>
      <c r="B594" s="66">
        <f>IF(往来单位!$B$592="","",往来单位!$B$592)</f>
      </c>
      <c r="C594" s="56">
        <f>IF($B594="","",往来单位!$C$592&amp;"")</f>
      </c>
      <c r="D594" s="53">
        <f t="shared" si="0"/>
      </c>
      <c r="E594" s="53">
        <f t="shared" si="1"/>
      </c>
      <c r="F594" s="53">
        <f t="shared" si="2"/>
      </c>
      <c r="G594" s="59">
        <f t="shared" si="3"/>
      </c>
      <c r="H594" s="53">
        <f t="shared" si="4"/>
      </c>
      <c r="I594" s="53">
        <f t="shared" si="5"/>
      </c>
      <c r="J594" s="53">
        <f t="shared" si="6"/>
      </c>
      <c r="K594" s="59">
        <f t="shared" si="7"/>
      </c>
      <c r="L594" s="53">
        <f t="shared" si="8"/>
      </c>
      <c r="M594" s="59">
        <f t="shared" si="9"/>
      </c>
      <c r="N594" s="69">
        <f t="shared" si="10"/>
      </c>
      <c r="P594" s="22">
        <f t="shared" si="11"/>
      </c>
    </row>
    <row r="595">
      <c r="A595" s="56">
        <f>IF($B595="","",590)</f>
      </c>
      <c r="B595" s="66">
        <f>IF(往来单位!$B$593="","",往来单位!$B$593)</f>
      </c>
      <c r="C595" s="56">
        <f>IF($B595="","",往来单位!$C$593&amp;"")</f>
      </c>
      <c r="D595" s="53">
        <f t="shared" si="0"/>
      </c>
      <c r="E595" s="53">
        <f t="shared" si="1"/>
      </c>
      <c r="F595" s="53">
        <f t="shared" si="2"/>
      </c>
      <c r="G595" s="59">
        <f t="shared" si="3"/>
      </c>
      <c r="H595" s="53">
        <f t="shared" si="4"/>
      </c>
      <c r="I595" s="53">
        <f t="shared" si="5"/>
      </c>
      <c r="J595" s="53">
        <f t="shared" si="6"/>
      </c>
      <c r="K595" s="59">
        <f t="shared" si="7"/>
      </c>
      <c r="L595" s="53">
        <f t="shared" si="8"/>
      </c>
      <c r="M595" s="59">
        <f t="shared" si="9"/>
      </c>
      <c r="N595" s="69">
        <f t="shared" si="10"/>
      </c>
      <c r="P595" s="22">
        <f t="shared" si="11"/>
      </c>
    </row>
    <row r="596">
      <c r="A596" s="56">
        <f>IF($B596="","",591)</f>
      </c>
      <c r="B596" s="66">
        <f>IF(往来单位!$B$594="","",往来单位!$B$594)</f>
      </c>
      <c r="C596" s="56">
        <f>IF($B596="","",往来单位!$C$594&amp;"")</f>
      </c>
      <c r="D596" s="53">
        <f t="shared" si="0"/>
      </c>
      <c r="E596" s="53">
        <f t="shared" si="1"/>
      </c>
      <c r="F596" s="53">
        <f t="shared" si="2"/>
      </c>
      <c r="G596" s="59">
        <f t="shared" si="3"/>
      </c>
      <c r="H596" s="53">
        <f t="shared" si="4"/>
      </c>
      <c r="I596" s="53">
        <f t="shared" si="5"/>
      </c>
      <c r="J596" s="53">
        <f t="shared" si="6"/>
      </c>
      <c r="K596" s="59">
        <f t="shared" si="7"/>
      </c>
      <c r="L596" s="53">
        <f t="shared" si="8"/>
      </c>
      <c r="M596" s="59">
        <f t="shared" si="9"/>
      </c>
      <c r="N596" s="69">
        <f t="shared" si="10"/>
      </c>
      <c r="P596" s="22">
        <f t="shared" si="11"/>
      </c>
    </row>
    <row r="597">
      <c r="A597" s="56">
        <f>IF($B597="","",592)</f>
      </c>
      <c r="B597" s="66">
        <f>IF(往来单位!$B$595="","",往来单位!$B$595)</f>
      </c>
      <c r="C597" s="56">
        <f>IF($B597="","",往来单位!$C$595&amp;"")</f>
      </c>
      <c r="D597" s="53">
        <f t="shared" si="0"/>
      </c>
      <c r="E597" s="53">
        <f t="shared" si="1"/>
      </c>
      <c r="F597" s="53">
        <f t="shared" si="2"/>
      </c>
      <c r="G597" s="59">
        <f t="shared" si="3"/>
      </c>
      <c r="H597" s="53">
        <f t="shared" si="4"/>
      </c>
      <c r="I597" s="53">
        <f t="shared" si="5"/>
      </c>
      <c r="J597" s="53">
        <f t="shared" si="6"/>
      </c>
      <c r="K597" s="59">
        <f t="shared" si="7"/>
      </c>
      <c r="L597" s="53">
        <f t="shared" si="8"/>
      </c>
      <c r="M597" s="59">
        <f t="shared" si="9"/>
      </c>
      <c r="N597" s="69">
        <f t="shared" si="10"/>
      </c>
      <c r="P597" s="22">
        <f t="shared" si="11"/>
      </c>
    </row>
    <row r="598">
      <c r="A598" s="56">
        <f>IF($B598="","",593)</f>
      </c>
      <c r="B598" s="66">
        <f>IF(往来单位!$B$596="","",往来单位!$B$596)</f>
      </c>
      <c r="C598" s="56">
        <f>IF($B598="","",往来单位!$C$596&amp;"")</f>
      </c>
      <c r="D598" s="53">
        <f t="shared" si="0"/>
      </c>
      <c r="E598" s="53">
        <f t="shared" si="1"/>
      </c>
      <c r="F598" s="53">
        <f t="shared" si="2"/>
      </c>
      <c r="G598" s="59">
        <f t="shared" si="3"/>
      </c>
      <c r="H598" s="53">
        <f t="shared" si="4"/>
      </c>
      <c r="I598" s="53">
        <f t="shared" si="5"/>
      </c>
      <c r="J598" s="53">
        <f t="shared" si="6"/>
      </c>
      <c r="K598" s="59">
        <f t="shared" si="7"/>
      </c>
      <c r="L598" s="53">
        <f t="shared" si="8"/>
      </c>
      <c r="M598" s="59">
        <f t="shared" si="9"/>
      </c>
      <c r="N598" s="69">
        <f t="shared" si="10"/>
      </c>
      <c r="P598" s="22">
        <f t="shared" si="11"/>
      </c>
    </row>
    <row r="599">
      <c r="A599" s="56">
        <f>IF($B599="","",594)</f>
      </c>
      <c r="B599" s="66">
        <f>IF(往来单位!$B$597="","",往来单位!$B$597)</f>
      </c>
      <c r="C599" s="56">
        <f>IF($B599="","",往来单位!$C$597&amp;"")</f>
      </c>
      <c r="D599" s="53">
        <f t="shared" si="0"/>
      </c>
      <c r="E599" s="53">
        <f t="shared" si="1"/>
      </c>
      <c r="F599" s="53">
        <f t="shared" si="2"/>
      </c>
      <c r="G599" s="59">
        <f t="shared" si="3"/>
      </c>
      <c r="H599" s="53">
        <f t="shared" si="4"/>
      </c>
      <c r="I599" s="53">
        <f t="shared" si="5"/>
      </c>
      <c r="J599" s="53">
        <f t="shared" si="6"/>
      </c>
      <c r="K599" s="59">
        <f t="shared" si="7"/>
      </c>
      <c r="L599" s="53">
        <f t="shared" si="8"/>
      </c>
      <c r="M599" s="59">
        <f t="shared" si="9"/>
      </c>
      <c r="N599" s="69">
        <f t="shared" si="10"/>
      </c>
      <c r="P599" s="22">
        <f t="shared" si="11"/>
      </c>
    </row>
    <row r="600">
      <c r="A600" s="56">
        <f>IF($B600="","",595)</f>
      </c>
      <c r="B600" s="66">
        <f>IF(往来单位!$B$598="","",往来单位!$B$598)</f>
      </c>
      <c r="C600" s="56">
        <f>IF($B600="","",往来单位!$C$598&amp;"")</f>
      </c>
      <c r="D600" s="53">
        <f t="shared" si="0"/>
      </c>
      <c r="E600" s="53">
        <f t="shared" si="1"/>
      </c>
      <c r="F600" s="53">
        <f t="shared" si="2"/>
      </c>
      <c r="G600" s="59">
        <f t="shared" si="3"/>
      </c>
      <c r="H600" s="53">
        <f t="shared" si="4"/>
      </c>
      <c r="I600" s="53">
        <f t="shared" si="5"/>
      </c>
      <c r="J600" s="53">
        <f t="shared" si="6"/>
      </c>
      <c r="K600" s="59">
        <f t="shared" si="7"/>
      </c>
      <c r="L600" s="53">
        <f t="shared" si="8"/>
      </c>
      <c r="M600" s="59">
        <f t="shared" si="9"/>
      </c>
      <c r="N600" s="69">
        <f t="shared" si="10"/>
      </c>
      <c r="P600" s="22">
        <f t="shared" si="11"/>
      </c>
    </row>
    <row r="601">
      <c r="A601" s="56">
        <f>IF($B601="","",596)</f>
      </c>
      <c r="B601" s="66">
        <f>IF(往来单位!$B$599="","",往来单位!$B$599)</f>
      </c>
      <c r="C601" s="56">
        <f>IF($B601="","",往来单位!$C$599&amp;"")</f>
      </c>
      <c r="D601" s="53">
        <f t="shared" si="0"/>
      </c>
      <c r="E601" s="53">
        <f t="shared" si="1"/>
      </c>
      <c r="F601" s="53">
        <f t="shared" si="2"/>
      </c>
      <c r="G601" s="59">
        <f t="shared" si="3"/>
      </c>
      <c r="H601" s="53">
        <f t="shared" si="4"/>
      </c>
      <c r="I601" s="53">
        <f t="shared" si="5"/>
      </c>
      <c r="J601" s="53">
        <f t="shared" si="6"/>
      </c>
      <c r="K601" s="59">
        <f t="shared" si="7"/>
      </c>
      <c r="L601" s="53">
        <f t="shared" si="8"/>
      </c>
      <c r="M601" s="59">
        <f t="shared" si="9"/>
      </c>
      <c r="N601" s="69">
        <f t="shared" si="10"/>
      </c>
      <c r="P601" s="22">
        <f t="shared" si="11"/>
      </c>
    </row>
    <row r="602">
      <c r="A602" s="56">
        <f>IF($B602="","",597)</f>
      </c>
      <c r="B602" s="66">
        <f>IF(往来单位!$B$600="","",往来单位!$B$600)</f>
      </c>
      <c r="C602" s="56">
        <f>IF($B602="","",往来单位!$C$600&amp;"")</f>
      </c>
      <c r="D602" s="53">
        <f t="shared" si="0"/>
      </c>
      <c r="E602" s="53">
        <f t="shared" si="1"/>
      </c>
      <c r="F602" s="53">
        <f t="shared" si="2"/>
      </c>
      <c r="G602" s="59">
        <f t="shared" si="3"/>
      </c>
      <c r="H602" s="53">
        <f t="shared" si="4"/>
      </c>
      <c r="I602" s="53">
        <f t="shared" si="5"/>
      </c>
      <c r="J602" s="53">
        <f t="shared" si="6"/>
      </c>
      <c r="K602" s="59">
        <f t="shared" si="7"/>
      </c>
      <c r="L602" s="53">
        <f t="shared" si="8"/>
      </c>
      <c r="M602" s="59">
        <f t="shared" si="9"/>
      </c>
      <c r="N602" s="69">
        <f t="shared" si="10"/>
      </c>
      <c r="P602" s="22">
        <f t="shared" si="11"/>
      </c>
    </row>
    <row r="603">
      <c r="A603" s="56">
        <f>IF($B603="","",598)</f>
      </c>
      <c r="B603" s="66">
        <f>IF(往来单位!$B$601="","",往来单位!$B$601)</f>
      </c>
      <c r="C603" s="56">
        <f>IF($B603="","",往来单位!$C$601&amp;"")</f>
      </c>
      <c r="D603" s="53">
        <f t="shared" si="0"/>
      </c>
      <c r="E603" s="53">
        <f t="shared" si="1"/>
      </c>
      <c r="F603" s="53">
        <f t="shared" si="2"/>
      </c>
      <c r="G603" s="59">
        <f t="shared" si="3"/>
      </c>
      <c r="H603" s="53">
        <f t="shared" si="4"/>
      </c>
      <c r="I603" s="53">
        <f t="shared" si="5"/>
      </c>
      <c r="J603" s="53">
        <f t="shared" si="6"/>
      </c>
      <c r="K603" s="59">
        <f t="shared" si="7"/>
      </c>
      <c r="L603" s="53">
        <f t="shared" si="8"/>
      </c>
      <c r="M603" s="59">
        <f t="shared" si="9"/>
      </c>
      <c r="N603" s="69">
        <f t="shared" si="10"/>
      </c>
      <c r="P603" s="22">
        <f t="shared" si="11"/>
      </c>
    </row>
    <row r="604">
      <c r="A604" s="56">
        <f>IF($B604="","",599)</f>
      </c>
      <c r="B604" s="66">
        <f>IF(往来单位!$B$602="","",往来单位!$B$602)</f>
      </c>
      <c r="C604" s="56">
        <f>IF($B604="","",往来单位!$C$602&amp;"")</f>
      </c>
      <c r="D604" s="53">
        <f t="shared" si="0"/>
      </c>
      <c r="E604" s="53">
        <f t="shared" si="1"/>
      </c>
      <c r="F604" s="53">
        <f t="shared" si="2"/>
      </c>
      <c r="G604" s="59">
        <f t="shared" si="3"/>
      </c>
      <c r="H604" s="53">
        <f t="shared" si="4"/>
      </c>
      <c r="I604" s="53">
        <f t="shared" si="5"/>
      </c>
      <c r="J604" s="53">
        <f t="shared" si="6"/>
      </c>
      <c r="K604" s="59">
        <f t="shared" si="7"/>
      </c>
      <c r="L604" s="53">
        <f t="shared" si="8"/>
      </c>
      <c r="M604" s="59">
        <f t="shared" si="9"/>
      </c>
      <c r="N604" s="69">
        <f t="shared" si="10"/>
      </c>
      <c r="P604" s="22">
        <f t="shared" si="11"/>
      </c>
    </row>
    <row r="605">
      <c r="A605" s="56">
        <f>IF($B605="","",600)</f>
      </c>
      <c r="B605" s="66">
        <f>IF(往来单位!$B$603="","",往来单位!$B$603)</f>
      </c>
      <c r="C605" s="56">
        <f>IF($B605="","",往来单位!$C$603&amp;"")</f>
      </c>
      <c r="D605" s="53">
        <f t="shared" si="0"/>
      </c>
      <c r="E605" s="53">
        <f t="shared" si="1"/>
      </c>
      <c r="F605" s="53">
        <f t="shared" si="2"/>
      </c>
      <c r="G605" s="59">
        <f t="shared" si="3"/>
      </c>
      <c r="H605" s="53">
        <f t="shared" si="4"/>
      </c>
      <c r="I605" s="53">
        <f t="shared" si="5"/>
      </c>
      <c r="J605" s="53">
        <f t="shared" si="6"/>
      </c>
      <c r="K605" s="59">
        <f t="shared" si="7"/>
      </c>
      <c r="L605" s="53">
        <f t="shared" si="8"/>
      </c>
      <c r="M605" s="59">
        <f t="shared" si="9"/>
      </c>
      <c r="N605" s="69">
        <f t="shared" si="10"/>
      </c>
      <c r="P605" s="22">
        <f t="shared" si="11"/>
      </c>
    </row>
    <row r="606">
      <c r="A606" s="56" t="inlineStr"/>
      <c r="B606" s="73" t="inlineStr">
        <is>
          <t>（没登记的单位合计）</t>
        </is>
      </c>
      <c r="C606" s="74" t="inlineStr"/>
      <c r="D606" s="50">
        <f>ROUND((SUMIFS(基础资料!$AH$5:$AH$204,基础资料!$AF$5:$AF$204,IF($C$3="全部","?*",$C$3))-SUMPRODUCT((基础资料!$B$5:$B$12&lt;&gt;"")*SUMIFS(基础资料!$AH$5:$AH$204,基础资料!$AF$5:$AF$204,IF($C$3="全部","?*",$C$3),基础资料!$AG$5:$AG$204,基础资料!$B$5:$B$12)))+SUMIFS(发票导入!$AB$5:$AB$2004,发票导入!$W$5:$W$2004,"?*",发票导入!$U$5:$U$2004,IF($C$3="全部","?*",$C$3),发票导入!$T$5:$T$2004,"&lt;"&amp;DATE($F$3,1,1))-(SUMIFS(资金台帐!$AD$6:$AD$3005,资金台帐!$P$6:$P$3005,"?*",资金台帐!$BH$6:$BH$3005,IF($C$3="全部","&gt;0",IFERROR(MATCH($C$3,基础资料!$B$5:$B$12,0),-1)),资金台帐!$U$6:$U$3005,"收入",资金台帐!$N$6:$N$3005,"&lt;"&amp;DATE($F$3,1,1)))-SUM(D6:D605),2)</f>
        <v>0</v>
      </c>
      <c r="E606" s="50">
        <f>ROUND(SUMIFS(发票导入!$AB$5:$AB$2004,发票导入!$W$5:$W$2004,"?*",发票导入!$U$5:$U$2004,IF($C$3="全部","?*",$C$3),发票导入!$T$5:$T$2004,"&gt;="&amp;DATE($F$3,1,1),发票导入!$T$5:$T$2004,"&lt;"&amp;DATE($F$3+1,1,1))-SUM(E6:E605),2)</f>
        <v>0</v>
      </c>
      <c r="F606" s="50">
        <f>ROUND(SUMIFS(资金台帐!$AD$6:$AD$3005,资金台帐!$P$6:$P$3005,"?*",资金台帐!$BH$6:$BH$3005,IF($C$3="全部","&gt;0",IFERROR(MATCH($C$3,基础资料!$B$5:$B$12,0),-1)),资金台帐!$U$6:$U$3005,"收入",资金台帐!$N$6:$N$3005,"&gt;="&amp;DATE($F$3,1,1),资金台帐!$N$6:$N$3005,"&lt;"&amp;DATE($F$3+1,1,1))-SUM(F6:F605),2)</f>
        <v>0</v>
      </c>
      <c r="G606" s="50">
        <f>ROUND(D606+E606-F606,2)</f>
        <v>0</v>
      </c>
      <c r="H606" s="50">
        <f>ROUND((SUMIFS(基础资料!$AI$5:$AI$204,基础资料!$AF$5:$AF$204,IF($C$3="全部","?*",$C$3))-SUMPRODUCT((基础资料!$B$5:$B$12&lt;&gt;"")*SUMIFS(基础资料!$AI$5:$AI$204,基础资料!$AF$5:$AF$204,IF($C$3="全部","?*",$C$3),基础资料!$AG$5:$AG$204,基础资料!$B$5:$B$12)))+SUMIFS(发票导入!$AC$5:$AC$2004,发票导入!$W$5:$W$2004,"?*",发票导入!$U$5:$U$2004,IF($C$3="全部","?*",$C$3),发票导入!$T$5:$T$2004,"&lt;"&amp;DATE($F$3,1,1))-((-SUMIFS(资金台帐!$AD$6:$AD$3005,资金台帐!$P$6:$P$3005,"?*",资金台帐!$BH$6:$BH$3005,IF($C$3="全部","&gt;0",IFERROR(MATCH($C$3,基础资料!$B$5:$B$12,0),-1)),资金台帐!$AJ$6:$AJ$3005,1,资金台帐!$N$6:$N$3005,"&lt;"&amp;DATE($F$3,1,1))))-SUM(H6:H605),2)</f>
        <v>0</v>
      </c>
      <c r="I606" s="50">
        <f>ROUND(SUMIFS(发票导入!$AC$5:$AC$2004,发票导入!$W$5:$W$2004,"?*",发票导入!$U$5:$U$2004,IF($C$3="全部","?*",$C$3),发票导入!$T$5:$T$2004,"&gt;="&amp;DATE($F$3,1,1),发票导入!$T$5:$T$2004,"&lt;"&amp;DATE($F$3+1,1,1))-SUM(I6:I605),2)</f>
        <v>0</v>
      </c>
      <c r="J606" s="50">
        <f>ROUND((-SUMIFS(资金台帐!$AD$6:$AD$3005,资金台帐!$P$6:$P$3005,"?*",资金台帐!$BH$6:$BH$3005,IF($C$3="全部","&gt;0",IFERROR(MATCH($C$3,基础资料!$B$5:$B$12,0),-1)),资金台帐!$AJ$6:$AJ$3005,1,资金台帐!$N$6:$N$3005,"&gt;="&amp;DATE($F$3,1,1),资金台帐!$N$6:$N$3005,"&lt;"&amp;DATE($F$3+1,1,1)))-SUM(J6:J605),2)</f>
        <v>0</v>
      </c>
      <c r="K606" s="50">
        <f>ROUND(H606+I606-J606,2)</f>
        <v>0</v>
      </c>
      <c r="L606" s="50">
        <f>ROUND((SUMIFS(基础资料!$AJ$5:$AJ$204,基础资料!$AF$5:$AF$204,IF($C$3="全部","?*",$C$3))-SUMPRODUCT((基础资料!$B$5:$B$12&lt;&gt;"")*SUMIFS(基础资料!$AJ$5:$AJ$204,基础资料!$AF$5:$AF$204,IF($C$3="全部","?*",$C$3),基础资料!$AG$5:$AG$204,基础资料!$B$5:$B$12)))+(-SUMIFS(资金台帐!$AD$6:$AD$3005,资金台帐!$P$6:$P$3005,"?*",资金台帐!$BH$6:$BH$3005,IF($C$3="全部","&gt;0",IFERROR(MATCH($C$3,基础资料!$B$5:$B$12,0),-1)),资金台帐!$U$6:$U$3005,"往来",资金台帐!$N$6:$N$3005,"&lt;"&amp;DATE($F$3+1,1,1)))-SUM(L6:L605),2)</f>
        <v>0</v>
      </c>
      <c r="M606" s="50">
        <f>ROUND(G606-K606+L606,2)</f>
        <v>0</v>
      </c>
      <c r="N606" s="75" t="inlineStr">
        <is>
          <t>到【数据校验】看是哪些，登记后会分到上面各行</t>
        </is>
      </c>
    </row>
  </sheetData>
  <autoFilter ref="A4:N606"/>
  <mergeCells count="3">
    <mergeCell ref="A5:C5"/>
    <mergeCell ref="A2:N2"/>
    <mergeCell ref="A1:N1"/>
  </mergeCells>
  <dataValidations count="2">
    <dataValidation sqref="C3" showDropDown="0" showInputMessage="0" showErrorMessage="0" allowBlank="1" type="list">
      <formula1>=_辅助!$A$1:$A$9</formula1>
    </dataValidation>
    <dataValidation sqref="F3" showDropDown="0" showInputMessage="0" showErrorMessage="0" allowBlank="1" type="list">
      <formula1>"2024,2025,2026,2027,2028,2029,2030"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/>
  </sheetPr>
  <dimension ref="A1:W508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5" customWidth="1" min="8" max="8"/>
    <col width="12" customWidth="1" min="9" max="9"/>
    <col width="12" customWidth="1" min="10" max="10"/>
    <col width="4" customWidth="1" min="11" max="11"/>
    <col width="9" customWidth="1" min="12" max="12"/>
    <col width="12" customWidth="1" min="13" max="13"/>
    <col width="4" customWidth="1" min="14" max="14"/>
    <col hidden="1" width="13" customWidth="1" min="17" max="17"/>
    <col hidden="1" width="12" customWidth="1" min="18" max="18"/>
    <col hidden="1"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33" customHeight="1">
      <c r="A1" s="70" t="inlineStr">
        <is>
          <t>往 来 对 账 单（选公司、往来单位、起止日期 · 发票和收付款按日期排 · 每行带余额）</t>
        </is>
      </c>
    </row>
    <row r="2" ht="54" customHeight="1">
      <c r="A2" s="2" t="inlineStr">
        <is>
          <t>💡 C3 选公司（全部＝几家合起来），F3 选往来单位（客户、供应商、借款人、自家另一家公司都行），起止日期不填＝不限。开票（销项）让对方欠我方增加，对方付款减少；进项发票（计应付的）是我方欠对方，我方付款冲掉。余额正数＝对方欠我方，负数＝我方欠对方（或对方预付）。跟【应收应付汇总】一个口径：只列销项/进项发票、收入类收款、付给供应商的成本费用款、往来（借款押金）、内部划转；发工资、交税这类不算往来的不列。</t>
        </is>
      </c>
    </row>
    <row r="3">
      <c r="B3" s="3" t="inlineStr">
        <is>
          <t>公司</t>
        </is>
      </c>
      <c r="C3" s="6" t="inlineStr">
        <is>
          <t>全部</t>
        </is>
      </c>
      <c r="E3" s="3" t="inlineStr">
        <is>
          <t>往来单位</t>
        </is>
      </c>
      <c r="F3" s="6" t="inlineStr">
        <is>
          <t>宁波市华方塑料机械制造有限公司</t>
        </is>
      </c>
      <c r="G3" s="13" t="n"/>
      <c r="H3" s="14" t="n"/>
      <c r="I3" s="3" t="inlineStr">
        <is>
          <t>起始日</t>
        </is>
      </c>
      <c r="J3" s="57" t="n"/>
      <c r="L3" s="3" t="inlineStr">
        <is>
          <t>截止日</t>
        </is>
      </c>
      <c r="M3" s="57" t="n"/>
      <c r="Q3" s="22" t="inlineStr">
        <is>
          <t>起(实际)</t>
        </is>
      </c>
      <c r="R3" s="22">
        <f>IF(N($J$3)&gt;0,$J$3,1)</f>
        <v>1</v>
      </c>
    </row>
    <row r="4" ht="30" customHeight="1">
      <c r="C4" s="76" t="inlineStr">
        <is>
          <t>期初余额（起始日前）</t>
        </is>
      </c>
      <c r="D4" s="76" t="inlineStr">
        <is>
          <t>本期开票</t>
        </is>
      </c>
      <c r="E4" s="76" t="inlineStr">
        <is>
          <t>本期进项</t>
        </is>
      </c>
      <c r="F4" s="76" t="inlineStr">
        <is>
          <t>本期收款</t>
        </is>
      </c>
      <c r="G4" s="76" t="inlineStr">
        <is>
          <t>本期付款</t>
        </is>
      </c>
      <c r="H4" s="76" t="inlineStr">
        <is>
          <t>期末余额</t>
        </is>
      </c>
      <c r="I4" s="3" t="inlineStr">
        <is>
          <t>结论</t>
        </is>
      </c>
      <c r="Q4" s="22" t="inlineStr">
        <is>
          <t>止(实际)</t>
        </is>
      </c>
      <c r="R4" s="22">
        <f>IF(N($M$3)&gt;0,$M$3,2958465)</f>
        <v>2958465</v>
      </c>
    </row>
    <row r="5">
      <c r="C5" s="77">
        <f>IF($F$3="","",ROUND(SUMIFS(基础资料!$AH$5:$AH$204,基础资料!$AG$5:$AG$204,$R$5,基础资料!$AF$5:$AF$204,IF($C$3="全部","?*",$C$3))-SUMIFS(基础资料!$AI$5:$AI$204,基础资料!$AG$5:$AG$204,$R$5,基础资料!$AF$5:$AF$204,IF($C$3="全部","?*",$C$3))+SUMIFS(基础资料!$AJ$5:$AJ$204,基础资料!$AG$5:$AG$204,$R$5,基础资料!$AF$5:$AF$204,IF($C$3="全部","?*",$C$3))+SUMIFS(发票导入!$AN$5:$AN$2004,发票导入!$T$5:$T$2004,"&lt;"&amp;$R$3)-SUMIFS(发票导入!$AO$5:$AO$2004,发票导入!$T$5:$T$2004,"&lt;"&amp;$R$3)+SUMIFS(资金台帐!$AC$6:$AC$3005,资金台帐!$P$6:$P$3005,$R$5,资金台帐!$BH$6:$BH$3005,IF($C$3="全部","&gt;0",IFERROR(MATCH($C$3,基础资料!$B$5:$B$12,0),-1)),资金台帐!$AK$6:$AK$3005,1,资金台帐!$N$6:$N$3005,"&lt;"&amp;$R$3)-SUMIFS(资金台帐!$AB$6:$AB$3005,资金台帐!$P$6:$P$3005,$R$5,资金台帐!$BH$6:$BH$3005,IF($C$3="全部","&gt;0",IFERROR(MATCH($C$3,基础资料!$B$5:$B$12,0),-1)),资金台帐!$AK$6:$AK$3005,1,资金台帐!$N$6:$N$3005,"&lt;"&amp;$R$3),2))</f>
        <v>0</v>
      </c>
      <c r="D5" s="77">
        <f>IF($F$3="","",ROUND(SUMIFS(发票导入!$AN$5:$AN$2004,发票导入!$T$5:$T$2004,"&gt;="&amp;$R$3,发票导入!$T$5:$T$2004,"&lt;="&amp;$R$4),2))</f>
        <v>10000</v>
      </c>
      <c r="E5" s="77">
        <f>IF($F$3="","",ROUND(SUMIFS(发票导入!$AO$5:$AO$2004,发票导入!$T$5:$T$2004,"&gt;="&amp;$R$3,发票导入!$T$5:$T$2004,"&lt;="&amp;$R$4),2))</f>
        <v>0</v>
      </c>
      <c r="F5" s="77">
        <f>IF($F$3="","",ROUND(SUMIFS(资金台帐!$AB$6:$AB$3005,资金台帐!$P$6:$P$3005,$R$5,资金台帐!$BH$6:$BH$3005,IF($C$3="全部","&gt;0",IFERROR(MATCH($C$3,基础资料!$B$5:$B$12,0),-1)),资金台帐!$AK$6:$AK$3005,1,资金台帐!$N$6:$N$3005,"&gt;="&amp;$R$3,资金台帐!$N$6:$N$3005,"&lt;="&amp;$R$4),2))</f>
        <v>10000</v>
      </c>
      <c r="G5" s="77">
        <f>IF($F$3="","",ROUND(SUMIFS(资金台帐!$AC$6:$AC$3005,资金台帐!$P$6:$P$3005,$R$5,资金台帐!$BH$6:$BH$3005,IF($C$3="全部","&gt;0",IFERROR(MATCH($C$3,基础资料!$B$5:$B$12,0),-1)),资金台帐!$AK$6:$AK$3005,1,资金台帐!$N$6:$N$3005,"&gt;="&amp;$R$3,资金台帐!$N$6:$N$3005,"&lt;="&amp;$R$4),2))</f>
        <v>0</v>
      </c>
      <c r="H5" s="77">
        <f>IF($F$3="","",ROUND(C5+D5-E5-F5+G5,2))</f>
        <v>0</v>
      </c>
      <c r="I5" s="78" t="str">
        <f>IF($F$3="","",IF(H5&gt;0,"对方欠我方 "&amp;TEXT(H5,"#,##0.00"),IF(H5&lt;0,"我方欠对方（或对方预付）"&amp;TEXT(-H5,"#,##0.00"),"两清")))</f>
        <v>两清</v>
      </c>
      <c r="Q5" s="22" t="inlineStr">
        <is>
          <t>单位(转义)</t>
        </is>
      </c>
      <c r="R5" s="22" t="str">
        <f>SUBSTITUTE(SUBSTITUTE(SUBSTITUTE($F$3,"~","~~"),"*","~*"),"?","~?")</f>
        <v>宁波市华方塑料机械制造有限公司</v>
      </c>
    </row>
    <row r="7" ht="34" customHeight="1">
      <c r="A7" s="71" t="inlineStr">
        <is>
          <t>日期</t>
        </is>
      </c>
      <c r="B7" s="71" t="inlineStr">
        <is>
          <t>类型</t>
        </is>
      </c>
      <c r="C7" s="71" t="inlineStr">
        <is>
          <t>单号 / 摘要</t>
        </is>
      </c>
      <c r="D7" s="71" t="inlineStr">
        <is>
          <t>开票（销项）</t>
        </is>
      </c>
      <c r="E7" s="71" t="inlineStr">
        <is>
          <t>进项发票</t>
        </is>
      </c>
      <c r="F7" s="71" t="inlineStr">
        <is>
          <t>收到对方的款</t>
        </is>
      </c>
      <c r="G7" s="71" t="inlineStr">
        <is>
          <t>付给对方的款</t>
        </is>
      </c>
      <c r="H7" s="71" t="inlineStr">
        <is>
          <t>余额
（对方欠我方＋）</t>
        </is>
      </c>
      <c r="I7" s="71" t="inlineStr">
        <is>
          <t>收支项目</t>
        </is>
      </c>
      <c r="J7" s="71" t="inlineStr">
        <is>
          <t>账户 / 公司</t>
        </is>
      </c>
      <c r="L7" s="71" t="inlineStr">
        <is>
          <t>来源</t>
        </is>
      </c>
      <c r="M7" s="71" t="inlineStr">
        <is>
          <t>源行</t>
        </is>
      </c>
      <c r="S7" t="inlineStr">
        <is>
          <t>排序键</t>
        </is>
      </c>
    </row>
    <row r="8">
      <c r="A8" s="60">
        <f t="shared" ref="A8:A507" si="7">IF(T8="","",INT(T8/100000))</f>
        <v>46259.0</v>
      </c>
      <c r="B8" s="56" t="str">
        <f t="shared" ref="B8:B507" si="8">IF(T8="","",IF(V8="发票",IF(N(INDEX(发票导入!$AN:$AN,W8))&lt;&gt;0,"开票","进项发票"),IF(N(INDEX(资金台帐!$AB:$AB,W8))&gt;0,"收款","付款")))</f>
        <v>开票</v>
      </c>
      <c r="C8" s="79" t="str">
        <f t="shared" ref="C8:C507" si="0">IF(T8="","",IF(V8="发票","发票 "&amp;INDEX(发票导入!$D:$D,W8)&amp;INDEX(发票导入!$C:$C,W8)&amp;IF(INDEX(发票导入!$O:$O,W8)&amp;""="正常",""," （"&amp;INDEX(发票导入!$O:$O,W8)&amp;"）"),TRIM(INDEX(资金台帐!$J:$J,W8)&amp;" "&amp;INDEX(资金台帐!$H:$H,W8))))</f>
        <v>发票 26932000001426280311 （已红冲-全额）</v>
      </c>
      <c r="D8" s="53">
        <f t="shared" ref="D8:D507" si="1">IF(T8="","",IF(V8="发票",N(INDEX(发票导入!$AN:$AN,W8)),0))</f>
        <v>14400</v>
      </c>
      <c r="E8" s="53">
        <f t="shared" ref="E8:E507" si="2">IF(T8="","",IF(V8="发票",N(INDEX(发票导入!$AO:$AO,W8)),0))</f>
        <v>0</v>
      </c>
      <c r="F8" s="53">
        <f t="shared" ref="F8:F507" si="3">IF(T8="","",IF(NOT(V8="发票"),N(INDEX(资金台帐!$AB:$AB,W8)),0))</f>
        <v>0</v>
      </c>
      <c r="G8" s="53">
        <f t="shared" ref="G8:G507" si="4">IF(T8="","",IF(NOT(V8="发票"),N(INDEX(资金台帐!$AC:$AC,W8)),0))</f>
        <v>0</v>
      </c>
      <c r="H8" s="59">
        <f t="shared" ref="H8:H507" si="5">IF(T8="","",ROUND($C$5+SUM($D$8:D8)-SUM($E$8:E8)-SUM($F$8:F8)+SUM($G$8:G8),2))</f>
        <v>14400</v>
      </c>
      <c r="I8" s="56" t="str">
        <f t="shared" ref="I8:I507" si="6">IF(T8="","",IF(V8="发票",INDEX(发票导入!$Y:$Y,W8)&amp;"",INDEX(资金台帐!$T:$T,W8)&amp;""))</f>
        <v>应收</v>
      </c>
      <c r="J8" s="56" t="str">
        <f t="shared" ref="J8:J507" si="9">IF(T8="","",IF(V8="发票",INDEX(发票导入!$U:$U,W8)&amp;"",INDEX(资金台帐!$B:$B,W8)&amp;""))</f>
        <v>中智优力</v>
      </c>
      <c r="L8" s="46" t="str">
        <f t="shared" ref="L8:L507" si="10">IF(T8="","",IF(V8="发票","发票导入","资金台帐"))</f>
        <v>发票导入</v>
      </c>
      <c r="M8" s="80">
        <f t="shared" ref="M8:M507" si="11">IF(T8="","",W8)</f>
        <v>9</v>
      </c>
      <c r="S8" s="22">
        <f>IFERROR(SMALL(发票导入!$AE$5:$AE$2004,1),"")</f>
        <v>4625900009</v>
      </c>
      <c r="T8" s="22">
        <f>IFERROR(SMALL($S$8:$S$507,1),"")</f>
        <v>4625900009</v>
      </c>
      <c r="U8" s="22">
        <f t="shared" ref="U8:U507" si="12">IF(T8="","",T8-INT(T8/100000)*100000)</f>
        <v>9</v>
      </c>
      <c r="V8" s="22" t="str">
        <f t="shared" ref="V8:V507" si="13">IF(U8="","",IF(U8&gt;=50000,"资金","发票"))</f>
        <v>发票</v>
      </c>
      <c r="W8" s="22">
        <f t="shared" ref="W8:W507" si="14">IF(U8="","",IF(U8&gt;=50000,U8-50000,U8))</f>
        <v>9</v>
      </c>
    </row>
    <row r="9">
      <c r="A9" s="60">
        <f t="shared" si="7"/>
        <v>46260.0</v>
      </c>
      <c r="B9" s="56" t="str">
        <f t="shared" si="8"/>
        <v>开票</v>
      </c>
      <c r="C9" s="79" t="str">
        <f t="shared" si="0"/>
        <v>发票 26932000001430099371</v>
      </c>
      <c r="D9" s="53">
        <f t="shared" si="1"/>
        <v>10000</v>
      </c>
      <c r="E9" s="53">
        <f t="shared" si="2"/>
        <v>0</v>
      </c>
      <c r="F9" s="53">
        <f t="shared" si="3"/>
        <v>0</v>
      </c>
      <c r="G9" s="53">
        <f t="shared" si="4"/>
        <v>0</v>
      </c>
      <c r="H9" s="59">
        <f t="shared" si="5"/>
        <v>24400</v>
      </c>
      <c r="I9" s="56" t="str">
        <f t="shared" si="6"/>
        <v>应收</v>
      </c>
      <c r="J9" s="56" t="str">
        <f t="shared" si="9"/>
        <v>中智优力</v>
      </c>
      <c r="L9" s="46" t="str">
        <f t="shared" si="10"/>
        <v>发票导入</v>
      </c>
      <c r="M9" s="80">
        <f t="shared" si="11"/>
        <v>7</v>
      </c>
      <c r="S9" s="22">
        <f>IFERROR(SMALL(发票导入!$AE$5:$AE$2004,2),"")</f>
        <v>4626000007</v>
      </c>
      <c r="T9" s="22">
        <f>IFERROR(SMALL($S$8:$S$507,2),"")</f>
        <v>4626000007</v>
      </c>
      <c r="U9" s="22">
        <f t="shared" si="12"/>
        <v>7</v>
      </c>
      <c r="V9" s="22" t="str">
        <f t="shared" si="13"/>
        <v>发票</v>
      </c>
      <c r="W9" s="22">
        <f t="shared" si="14"/>
        <v>7</v>
      </c>
    </row>
    <row r="10">
      <c r="A10" s="60">
        <f t="shared" si="7"/>
        <v>46260.0</v>
      </c>
      <c r="B10" s="56" t="str">
        <f t="shared" si="8"/>
        <v>开票</v>
      </c>
      <c r="C10" s="79" t="str">
        <f t="shared" si="0"/>
        <v>发票 26932000001425088306</v>
      </c>
      <c r="D10" s="53">
        <f t="shared" si="1"/>
        <v>-14400</v>
      </c>
      <c r="E10" s="53">
        <f t="shared" si="2"/>
        <v>0</v>
      </c>
      <c r="F10" s="53">
        <f t="shared" si="3"/>
        <v>0</v>
      </c>
      <c r="G10" s="53">
        <f t="shared" si="4"/>
        <v>0</v>
      </c>
      <c r="H10" s="59">
        <f t="shared" si="5"/>
        <v>10000</v>
      </c>
      <c r="I10" s="56" t="str">
        <f t="shared" si="6"/>
        <v>应收</v>
      </c>
      <c r="J10" s="56" t="str">
        <f t="shared" si="9"/>
        <v>中智优力</v>
      </c>
      <c r="L10" s="46" t="str">
        <f t="shared" si="10"/>
        <v>发票导入</v>
      </c>
      <c r="M10" s="80">
        <f t="shared" si="11"/>
        <v>8</v>
      </c>
      <c r="S10" s="22">
        <f>IFERROR(SMALL(发票导入!$AE$5:$AE$2004,3),"")</f>
        <v>4626000008</v>
      </c>
      <c r="T10" s="22">
        <f>IFERROR(SMALL($S$8:$S$507,3),"")</f>
        <v>4626000008</v>
      </c>
      <c r="U10" s="22">
        <f t="shared" si="12"/>
        <v>8</v>
      </c>
      <c r="V10" s="22" t="str">
        <f t="shared" si="13"/>
        <v>发票</v>
      </c>
      <c r="W10" s="22">
        <f t="shared" si="14"/>
        <v>8</v>
      </c>
    </row>
    <row r="11">
      <c r="A11" s="60">
        <f t="shared" si="7"/>
        <v>46279.0</v>
      </c>
      <c r="B11" s="56" t="str">
        <f t="shared" si="8"/>
        <v>收款</v>
      </c>
      <c r="C11" s="79" t="str">
        <f t="shared" si="0"/>
        <v>转存 宁波市华方塑料机械制造有限公司</v>
      </c>
      <c r="D11" s="53">
        <f t="shared" si="1"/>
        <v>0</v>
      </c>
      <c r="E11" s="53">
        <f t="shared" si="2"/>
        <v>0</v>
      </c>
      <c r="F11" s="53">
        <f t="shared" si="3"/>
        <v>10000</v>
      </c>
      <c r="G11" s="53">
        <f t="shared" si="4"/>
        <v>0</v>
      </c>
      <c r="H11" s="59">
        <f t="shared" si="5"/>
        <v>0</v>
      </c>
      <c r="I11" s="56" t="str">
        <f t="shared" si="6"/>
        <v>新增</v>
      </c>
      <c r="J11" s="56" t="str">
        <f t="shared" si="9"/>
        <v>农行2896</v>
      </c>
      <c r="L11" s="46" t="str">
        <f t="shared" si="10"/>
        <v>资金台帐</v>
      </c>
      <c r="M11" s="80">
        <f t="shared" si="11"/>
        <v>31</v>
      </c>
      <c r="S11" s="22">
        <f>IFERROR(SMALL(发票导入!$AE$5:$AE$2004,4),"")</f>
      </c>
      <c r="T11" s="22">
        <f>IFERROR(SMALL($S$8:$S$507,4),"")</f>
        <v>4627950031</v>
      </c>
      <c r="U11" s="22">
        <f t="shared" si="12"/>
        <v>50031</v>
      </c>
      <c r="V11" s="22" t="str">
        <f t="shared" si="13"/>
        <v>资金</v>
      </c>
      <c r="W11" s="22">
        <f t="shared" si="14"/>
        <v>31</v>
      </c>
    </row>
    <row r="12">
      <c r="A12" s="60">
        <f t="shared" si="7"/>
      </c>
      <c r="B12" s="56">
        <f t="shared" si="8"/>
      </c>
      <c r="C12" s="79">
        <f t="shared" si="0"/>
      </c>
      <c r="D12" s="53">
        <f t="shared" si="1"/>
      </c>
      <c r="E12" s="53">
        <f t="shared" si="2"/>
      </c>
      <c r="F12" s="53">
        <f t="shared" si="3"/>
      </c>
      <c r="G12" s="53">
        <f t="shared" si="4"/>
      </c>
      <c r="H12" s="59">
        <f t="shared" si="5"/>
      </c>
      <c r="I12" s="56">
        <f t="shared" si="6"/>
      </c>
      <c r="J12" s="56">
        <f t="shared" si="9"/>
      </c>
      <c r="L12" s="46">
        <f t="shared" si="10"/>
      </c>
      <c r="M12" s="80">
        <f t="shared" si="11"/>
      </c>
      <c r="S12" s="22">
        <f>IFERROR(SMALL(发票导入!$AE$5:$AE$2004,5),"")</f>
      </c>
      <c r="T12" s="22">
        <f>IFERROR(SMALL($S$8:$S$507,5),"")</f>
      </c>
      <c r="U12" s="22">
        <f t="shared" si="12"/>
      </c>
      <c r="V12" s="22">
        <f t="shared" si="13"/>
      </c>
      <c r="W12" s="22">
        <f t="shared" si="14"/>
      </c>
    </row>
    <row r="13">
      <c r="A13" s="60">
        <f t="shared" si="7"/>
      </c>
      <c r="B13" s="56">
        <f t="shared" si="8"/>
      </c>
      <c r="C13" s="79">
        <f t="shared" si="0"/>
      </c>
      <c r="D13" s="53">
        <f t="shared" si="1"/>
      </c>
      <c r="E13" s="53">
        <f t="shared" si="2"/>
      </c>
      <c r="F13" s="53">
        <f t="shared" si="3"/>
      </c>
      <c r="G13" s="53">
        <f t="shared" si="4"/>
      </c>
      <c r="H13" s="59">
        <f t="shared" si="5"/>
      </c>
      <c r="I13" s="56">
        <f t="shared" si="6"/>
      </c>
      <c r="J13" s="56">
        <f t="shared" si="9"/>
      </c>
      <c r="L13" s="46">
        <f t="shared" si="10"/>
      </c>
      <c r="M13" s="80">
        <f t="shared" si="11"/>
      </c>
      <c r="S13" s="22">
        <f>IFERROR(SMALL(发票导入!$AE$5:$AE$2004,6),"")</f>
      </c>
      <c r="T13" s="22">
        <f>IFERROR(SMALL($S$8:$S$507,6),"")</f>
      </c>
      <c r="U13" s="22">
        <f t="shared" si="12"/>
      </c>
      <c r="V13" s="22">
        <f t="shared" si="13"/>
      </c>
      <c r="W13" s="22">
        <f t="shared" si="14"/>
      </c>
    </row>
    <row r="14">
      <c r="A14" s="60">
        <f t="shared" si="7"/>
      </c>
      <c r="B14" s="56">
        <f t="shared" si="8"/>
      </c>
      <c r="C14" s="79">
        <f t="shared" si="0"/>
      </c>
      <c r="D14" s="53">
        <f t="shared" si="1"/>
      </c>
      <c r="E14" s="53">
        <f t="shared" si="2"/>
      </c>
      <c r="F14" s="53">
        <f t="shared" si="3"/>
      </c>
      <c r="G14" s="53">
        <f t="shared" si="4"/>
      </c>
      <c r="H14" s="59">
        <f t="shared" si="5"/>
      </c>
      <c r="I14" s="56">
        <f t="shared" si="6"/>
      </c>
      <c r="J14" s="56">
        <f t="shared" si="9"/>
      </c>
      <c r="L14" s="46">
        <f t="shared" si="10"/>
      </c>
      <c r="M14" s="80">
        <f t="shared" si="11"/>
      </c>
      <c r="S14" s="22">
        <f>IFERROR(SMALL(发票导入!$AE$5:$AE$2004,7),"")</f>
      </c>
      <c r="T14" s="22">
        <f>IFERROR(SMALL($S$8:$S$507,7),"")</f>
      </c>
      <c r="U14" s="22">
        <f t="shared" si="12"/>
      </c>
      <c r="V14" s="22">
        <f t="shared" si="13"/>
      </c>
      <c r="W14" s="22">
        <f t="shared" si="14"/>
      </c>
    </row>
    <row r="15">
      <c r="A15" s="60">
        <f t="shared" si="7"/>
      </c>
      <c r="B15" s="56">
        <f t="shared" si="8"/>
      </c>
      <c r="C15" s="79">
        <f t="shared" si="0"/>
      </c>
      <c r="D15" s="53">
        <f t="shared" si="1"/>
      </c>
      <c r="E15" s="53">
        <f t="shared" si="2"/>
      </c>
      <c r="F15" s="53">
        <f t="shared" si="3"/>
      </c>
      <c r="G15" s="53">
        <f t="shared" si="4"/>
      </c>
      <c r="H15" s="59">
        <f t="shared" si="5"/>
      </c>
      <c r="I15" s="56">
        <f t="shared" si="6"/>
      </c>
      <c r="J15" s="56">
        <f t="shared" si="9"/>
      </c>
      <c r="L15" s="46">
        <f t="shared" si="10"/>
      </c>
      <c r="M15" s="80">
        <f t="shared" si="11"/>
      </c>
      <c r="S15" s="22">
        <f>IFERROR(SMALL(发票导入!$AE$5:$AE$2004,8),"")</f>
      </c>
      <c r="T15" s="22">
        <f>IFERROR(SMALL($S$8:$S$507,8),"")</f>
      </c>
      <c r="U15" s="22">
        <f t="shared" si="12"/>
      </c>
      <c r="V15" s="22">
        <f t="shared" si="13"/>
      </c>
      <c r="W15" s="22">
        <f t="shared" si="14"/>
      </c>
    </row>
    <row r="16">
      <c r="A16" s="60">
        <f t="shared" si="7"/>
      </c>
      <c r="B16" s="56">
        <f t="shared" si="8"/>
      </c>
      <c r="C16" s="79">
        <f t="shared" si="0"/>
      </c>
      <c r="D16" s="53">
        <f t="shared" si="1"/>
      </c>
      <c r="E16" s="53">
        <f t="shared" si="2"/>
      </c>
      <c r="F16" s="53">
        <f t="shared" si="3"/>
      </c>
      <c r="G16" s="53">
        <f t="shared" si="4"/>
      </c>
      <c r="H16" s="59">
        <f t="shared" si="5"/>
      </c>
      <c r="I16" s="56">
        <f t="shared" si="6"/>
      </c>
      <c r="J16" s="56">
        <f t="shared" si="9"/>
      </c>
      <c r="L16" s="46">
        <f t="shared" si="10"/>
      </c>
      <c r="M16" s="80">
        <f t="shared" si="11"/>
      </c>
      <c r="S16" s="22">
        <f>IFERROR(SMALL(发票导入!$AE$5:$AE$2004,9),"")</f>
      </c>
      <c r="T16" s="22">
        <f>IFERROR(SMALL($S$8:$S$507,9),"")</f>
      </c>
      <c r="U16" s="22">
        <f t="shared" si="12"/>
      </c>
      <c r="V16" s="22">
        <f t="shared" si="13"/>
      </c>
      <c r="W16" s="22">
        <f t="shared" si="14"/>
      </c>
    </row>
    <row r="17">
      <c r="A17" s="60">
        <f t="shared" si="7"/>
      </c>
      <c r="B17" s="56">
        <f t="shared" si="8"/>
      </c>
      <c r="C17" s="79">
        <f t="shared" si="0"/>
      </c>
      <c r="D17" s="53">
        <f t="shared" si="1"/>
      </c>
      <c r="E17" s="53">
        <f t="shared" si="2"/>
      </c>
      <c r="F17" s="53">
        <f t="shared" si="3"/>
      </c>
      <c r="G17" s="53">
        <f t="shared" si="4"/>
      </c>
      <c r="H17" s="59">
        <f t="shared" si="5"/>
      </c>
      <c r="I17" s="56">
        <f t="shared" si="6"/>
      </c>
      <c r="J17" s="56">
        <f t="shared" si="9"/>
      </c>
      <c r="L17" s="46">
        <f t="shared" si="10"/>
      </c>
      <c r="M17" s="80">
        <f t="shared" si="11"/>
      </c>
      <c r="S17" s="22">
        <f>IFERROR(SMALL(发票导入!$AE$5:$AE$2004,10),"")</f>
      </c>
      <c r="T17" s="22">
        <f>IFERROR(SMALL($S$8:$S$507,10),"")</f>
      </c>
      <c r="U17" s="22">
        <f t="shared" si="12"/>
      </c>
      <c r="V17" s="22">
        <f t="shared" si="13"/>
      </c>
      <c r="W17" s="22">
        <f t="shared" si="14"/>
      </c>
    </row>
    <row r="18">
      <c r="A18" s="60">
        <f t="shared" si="7"/>
      </c>
      <c r="B18" s="56">
        <f t="shared" si="8"/>
      </c>
      <c r="C18" s="79">
        <f t="shared" si="0"/>
      </c>
      <c r="D18" s="53">
        <f t="shared" si="1"/>
      </c>
      <c r="E18" s="53">
        <f t="shared" si="2"/>
      </c>
      <c r="F18" s="53">
        <f t="shared" si="3"/>
      </c>
      <c r="G18" s="53">
        <f t="shared" si="4"/>
      </c>
      <c r="H18" s="59">
        <f t="shared" si="5"/>
      </c>
      <c r="I18" s="56">
        <f t="shared" si="6"/>
      </c>
      <c r="J18" s="56">
        <f t="shared" si="9"/>
      </c>
      <c r="L18" s="46">
        <f t="shared" si="10"/>
      </c>
      <c r="M18" s="80">
        <f t="shared" si="11"/>
      </c>
      <c r="S18" s="22">
        <f>IFERROR(SMALL(发票导入!$AE$5:$AE$2004,11),"")</f>
      </c>
      <c r="T18" s="22">
        <f>IFERROR(SMALL($S$8:$S$507,11),"")</f>
      </c>
      <c r="U18" s="22">
        <f t="shared" si="12"/>
      </c>
      <c r="V18" s="22">
        <f t="shared" si="13"/>
      </c>
      <c r="W18" s="22">
        <f t="shared" si="14"/>
      </c>
    </row>
    <row r="19">
      <c r="A19" s="60">
        <f t="shared" si="7"/>
      </c>
      <c r="B19" s="56">
        <f t="shared" si="8"/>
      </c>
      <c r="C19" s="79">
        <f t="shared" si="0"/>
      </c>
      <c r="D19" s="53">
        <f t="shared" si="1"/>
      </c>
      <c r="E19" s="53">
        <f t="shared" si="2"/>
      </c>
      <c r="F19" s="53">
        <f t="shared" si="3"/>
      </c>
      <c r="G19" s="53">
        <f t="shared" si="4"/>
      </c>
      <c r="H19" s="59">
        <f t="shared" si="5"/>
      </c>
      <c r="I19" s="56">
        <f t="shared" si="6"/>
      </c>
      <c r="J19" s="56">
        <f t="shared" si="9"/>
      </c>
      <c r="L19" s="46">
        <f t="shared" si="10"/>
      </c>
      <c r="M19" s="80">
        <f t="shared" si="11"/>
      </c>
      <c r="S19" s="22">
        <f>IFERROR(SMALL(发票导入!$AE$5:$AE$2004,12),"")</f>
      </c>
      <c r="T19" s="22">
        <f>IFERROR(SMALL($S$8:$S$507,12),"")</f>
      </c>
      <c r="U19" s="22">
        <f t="shared" si="12"/>
      </c>
      <c r="V19" s="22">
        <f t="shared" si="13"/>
      </c>
      <c r="W19" s="22">
        <f t="shared" si="14"/>
      </c>
    </row>
    <row r="20">
      <c r="A20" s="60">
        <f t="shared" si="7"/>
      </c>
      <c r="B20" s="56">
        <f t="shared" si="8"/>
      </c>
      <c r="C20" s="79">
        <f t="shared" si="0"/>
      </c>
      <c r="D20" s="53">
        <f t="shared" si="1"/>
      </c>
      <c r="E20" s="53">
        <f t="shared" si="2"/>
      </c>
      <c r="F20" s="53">
        <f t="shared" si="3"/>
      </c>
      <c r="G20" s="53">
        <f t="shared" si="4"/>
      </c>
      <c r="H20" s="59">
        <f t="shared" si="5"/>
      </c>
      <c r="I20" s="56">
        <f t="shared" si="6"/>
      </c>
      <c r="J20" s="56">
        <f t="shared" si="9"/>
      </c>
      <c r="L20" s="46">
        <f t="shared" si="10"/>
      </c>
      <c r="M20" s="80">
        <f t="shared" si="11"/>
      </c>
      <c r="S20" s="22">
        <f>IFERROR(SMALL(发票导入!$AE$5:$AE$2004,13),"")</f>
      </c>
      <c r="T20" s="22">
        <f>IFERROR(SMALL($S$8:$S$507,13),"")</f>
      </c>
      <c r="U20" s="22">
        <f t="shared" si="12"/>
      </c>
      <c r="V20" s="22">
        <f t="shared" si="13"/>
      </c>
      <c r="W20" s="22">
        <f t="shared" si="14"/>
      </c>
    </row>
    <row r="21">
      <c r="A21" s="60">
        <f t="shared" si="7"/>
      </c>
      <c r="B21" s="56">
        <f t="shared" si="8"/>
      </c>
      <c r="C21" s="79">
        <f t="shared" si="0"/>
      </c>
      <c r="D21" s="53">
        <f t="shared" si="1"/>
      </c>
      <c r="E21" s="53">
        <f t="shared" si="2"/>
      </c>
      <c r="F21" s="53">
        <f t="shared" si="3"/>
      </c>
      <c r="G21" s="53">
        <f t="shared" si="4"/>
      </c>
      <c r="H21" s="59">
        <f t="shared" si="5"/>
      </c>
      <c r="I21" s="56">
        <f t="shared" si="6"/>
      </c>
      <c r="J21" s="56">
        <f t="shared" si="9"/>
      </c>
      <c r="L21" s="46">
        <f t="shared" si="10"/>
      </c>
      <c r="M21" s="80">
        <f t="shared" si="11"/>
      </c>
      <c r="S21" s="22">
        <f>IFERROR(SMALL(发票导入!$AE$5:$AE$2004,14),"")</f>
      </c>
      <c r="T21" s="22">
        <f>IFERROR(SMALL($S$8:$S$507,14),"")</f>
      </c>
      <c r="U21" s="22">
        <f t="shared" si="12"/>
      </c>
      <c r="V21" s="22">
        <f t="shared" si="13"/>
      </c>
      <c r="W21" s="22">
        <f t="shared" si="14"/>
      </c>
    </row>
    <row r="22">
      <c r="A22" s="60">
        <f t="shared" si="7"/>
      </c>
      <c r="B22" s="56">
        <f t="shared" si="8"/>
      </c>
      <c r="C22" s="79">
        <f t="shared" si="0"/>
      </c>
      <c r="D22" s="53">
        <f t="shared" si="1"/>
      </c>
      <c r="E22" s="53">
        <f t="shared" si="2"/>
      </c>
      <c r="F22" s="53">
        <f t="shared" si="3"/>
      </c>
      <c r="G22" s="53">
        <f t="shared" si="4"/>
      </c>
      <c r="H22" s="59">
        <f t="shared" si="5"/>
      </c>
      <c r="I22" s="56">
        <f t="shared" si="6"/>
      </c>
      <c r="J22" s="56">
        <f t="shared" si="9"/>
      </c>
      <c r="L22" s="46">
        <f t="shared" si="10"/>
      </c>
      <c r="M22" s="80">
        <f t="shared" si="11"/>
      </c>
      <c r="S22" s="22">
        <f>IFERROR(SMALL(发票导入!$AE$5:$AE$2004,15),"")</f>
      </c>
      <c r="T22" s="22">
        <f>IFERROR(SMALL($S$8:$S$507,15),"")</f>
      </c>
      <c r="U22" s="22">
        <f t="shared" si="12"/>
      </c>
      <c r="V22" s="22">
        <f t="shared" si="13"/>
      </c>
      <c r="W22" s="22">
        <f t="shared" si="14"/>
      </c>
    </row>
    <row r="23">
      <c r="A23" s="60">
        <f t="shared" si="7"/>
      </c>
      <c r="B23" s="56">
        <f t="shared" si="8"/>
      </c>
      <c r="C23" s="79">
        <f t="shared" si="0"/>
      </c>
      <c r="D23" s="53">
        <f t="shared" si="1"/>
      </c>
      <c r="E23" s="53">
        <f t="shared" si="2"/>
      </c>
      <c r="F23" s="53">
        <f t="shared" si="3"/>
      </c>
      <c r="G23" s="53">
        <f t="shared" si="4"/>
      </c>
      <c r="H23" s="59">
        <f t="shared" si="5"/>
      </c>
      <c r="I23" s="56">
        <f t="shared" si="6"/>
      </c>
      <c r="J23" s="56">
        <f t="shared" si="9"/>
      </c>
      <c r="L23" s="46">
        <f t="shared" si="10"/>
      </c>
      <c r="M23" s="80">
        <f t="shared" si="11"/>
      </c>
      <c r="S23" s="22">
        <f>IFERROR(SMALL(发票导入!$AE$5:$AE$2004,16),"")</f>
      </c>
      <c r="T23" s="22">
        <f>IFERROR(SMALL($S$8:$S$507,16),"")</f>
      </c>
      <c r="U23" s="22">
        <f t="shared" si="12"/>
      </c>
      <c r="V23" s="22">
        <f t="shared" si="13"/>
      </c>
      <c r="W23" s="22">
        <f t="shared" si="14"/>
      </c>
    </row>
    <row r="24">
      <c r="A24" s="60">
        <f t="shared" si="7"/>
      </c>
      <c r="B24" s="56">
        <f t="shared" si="8"/>
      </c>
      <c r="C24" s="79">
        <f t="shared" si="0"/>
      </c>
      <c r="D24" s="53">
        <f t="shared" si="1"/>
      </c>
      <c r="E24" s="53">
        <f t="shared" si="2"/>
      </c>
      <c r="F24" s="53">
        <f t="shared" si="3"/>
      </c>
      <c r="G24" s="53">
        <f t="shared" si="4"/>
      </c>
      <c r="H24" s="59">
        <f t="shared" si="5"/>
      </c>
      <c r="I24" s="56">
        <f t="shared" si="6"/>
      </c>
      <c r="J24" s="56">
        <f t="shared" si="9"/>
      </c>
      <c r="L24" s="46">
        <f t="shared" si="10"/>
      </c>
      <c r="M24" s="80">
        <f t="shared" si="11"/>
      </c>
      <c r="S24" s="22">
        <f>IFERROR(SMALL(发票导入!$AE$5:$AE$2004,17),"")</f>
      </c>
      <c r="T24" s="22">
        <f>IFERROR(SMALL($S$8:$S$507,17),"")</f>
      </c>
      <c r="U24" s="22">
        <f t="shared" si="12"/>
      </c>
      <c r="V24" s="22">
        <f t="shared" si="13"/>
      </c>
      <c r="W24" s="22">
        <f t="shared" si="14"/>
      </c>
    </row>
    <row r="25">
      <c r="A25" s="60">
        <f t="shared" si="7"/>
      </c>
      <c r="B25" s="56">
        <f t="shared" si="8"/>
      </c>
      <c r="C25" s="79">
        <f t="shared" si="0"/>
      </c>
      <c r="D25" s="53">
        <f t="shared" si="1"/>
      </c>
      <c r="E25" s="53">
        <f t="shared" si="2"/>
      </c>
      <c r="F25" s="53">
        <f t="shared" si="3"/>
      </c>
      <c r="G25" s="53">
        <f t="shared" si="4"/>
      </c>
      <c r="H25" s="59">
        <f t="shared" si="5"/>
      </c>
      <c r="I25" s="56">
        <f t="shared" si="6"/>
      </c>
      <c r="J25" s="56">
        <f t="shared" si="9"/>
      </c>
      <c r="L25" s="46">
        <f t="shared" si="10"/>
      </c>
      <c r="M25" s="80">
        <f t="shared" si="11"/>
      </c>
      <c r="S25" s="22">
        <f>IFERROR(SMALL(发票导入!$AE$5:$AE$2004,18),"")</f>
      </c>
      <c r="T25" s="22">
        <f>IFERROR(SMALL($S$8:$S$507,18),"")</f>
      </c>
      <c r="U25" s="22">
        <f t="shared" si="12"/>
      </c>
      <c r="V25" s="22">
        <f t="shared" si="13"/>
      </c>
      <c r="W25" s="22">
        <f t="shared" si="14"/>
      </c>
    </row>
    <row r="26">
      <c r="A26" s="60">
        <f t="shared" si="7"/>
      </c>
      <c r="B26" s="56">
        <f t="shared" si="8"/>
      </c>
      <c r="C26" s="79">
        <f t="shared" si="0"/>
      </c>
      <c r="D26" s="53">
        <f t="shared" si="1"/>
      </c>
      <c r="E26" s="53">
        <f t="shared" si="2"/>
      </c>
      <c r="F26" s="53">
        <f t="shared" si="3"/>
      </c>
      <c r="G26" s="53">
        <f t="shared" si="4"/>
      </c>
      <c r="H26" s="59">
        <f t="shared" si="5"/>
      </c>
      <c r="I26" s="56">
        <f t="shared" si="6"/>
      </c>
      <c r="J26" s="56">
        <f t="shared" si="9"/>
      </c>
      <c r="L26" s="46">
        <f t="shared" si="10"/>
      </c>
      <c r="M26" s="80">
        <f t="shared" si="11"/>
      </c>
      <c r="S26" s="22">
        <f>IFERROR(SMALL(发票导入!$AE$5:$AE$2004,19),"")</f>
      </c>
      <c r="T26" s="22">
        <f>IFERROR(SMALL($S$8:$S$507,19),"")</f>
      </c>
      <c r="U26" s="22">
        <f t="shared" si="12"/>
      </c>
      <c r="V26" s="22">
        <f t="shared" si="13"/>
      </c>
      <c r="W26" s="22">
        <f t="shared" si="14"/>
      </c>
    </row>
    <row r="27">
      <c r="A27" s="60">
        <f t="shared" si="7"/>
      </c>
      <c r="B27" s="56">
        <f t="shared" si="8"/>
      </c>
      <c r="C27" s="79">
        <f t="shared" si="0"/>
      </c>
      <c r="D27" s="53">
        <f t="shared" si="1"/>
      </c>
      <c r="E27" s="53">
        <f t="shared" si="2"/>
      </c>
      <c r="F27" s="53">
        <f t="shared" si="3"/>
      </c>
      <c r="G27" s="53">
        <f t="shared" si="4"/>
      </c>
      <c r="H27" s="59">
        <f t="shared" si="5"/>
      </c>
      <c r="I27" s="56">
        <f t="shared" si="6"/>
      </c>
      <c r="J27" s="56">
        <f t="shared" si="9"/>
      </c>
      <c r="L27" s="46">
        <f t="shared" si="10"/>
      </c>
      <c r="M27" s="80">
        <f t="shared" si="11"/>
      </c>
      <c r="S27" s="22">
        <f>IFERROR(SMALL(发票导入!$AE$5:$AE$2004,20),"")</f>
      </c>
      <c r="T27" s="22">
        <f>IFERROR(SMALL($S$8:$S$507,20),"")</f>
      </c>
      <c r="U27" s="22">
        <f t="shared" si="12"/>
      </c>
      <c r="V27" s="22">
        <f t="shared" si="13"/>
      </c>
      <c r="W27" s="22">
        <f t="shared" si="14"/>
      </c>
    </row>
    <row r="28">
      <c r="A28" s="60">
        <f t="shared" si="7"/>
      </c>
      <c r="B28" s="56">
        <f t="shared" si="8"/>
      </c>
      <c r="C28" s="79">
        <f t="shared" si="0"/>
      </c>
      <c r="D28" s="53">
        <f t="shared" si="1"/>
      </c>
      <c r="E28" s="53">
        <f t="shared" si="2"/>
      </c>
      <c r="F28" s="53">
        <f t="shared" si="3"/>
      </c>
      <c r="G28" s="53">
        <f t="shared" si="4"/>
      </c>
      <c r="H28" s="59">
        <f t="shared" si="5"/>
      </c>
      <c r="I28" s="56">
        <f t="shared" si="6"/>
      </c>
      <c r="J28" s="56">
        <f t="shared" si="9"/>
      </c>
      <c r="L28" s="46">
        <f t="shared" si="10"/>
      </c>
      <c r="M28" s="80">
        <f t="shared" si="11"/>
      </c>
      <c r="S28" s="22">
        <f>IFERROR(SMALL(发票导入!$AE$5:$AE$2004,21),"")</f>
      </c>
      <c r="T28" s="22">
        <f>IFERROR(SMALL($S$8:$S$507,21),"")</f>
      </c>
      <c r="U28" s="22">
        <f t="shared" si="12"/>
      </c>
      <c r="V28" s="22">
        <f t="shared" si="13"/>
      </c>
      <c r="W28" s="22">
        <f t="shared" si="14"/>
      </c>
    </row>
    <row r="29">
      <c r="A29" s="60">
        <f t="shared" si="7"/>
      </c>
      <c r="B29" s="56">
        <f t="shared" si="8"/>
      </c>
      <c r="C29" s="79">
        <f t="shared" si="0"/>
      </c>
      <c r="D29" s="53">
        <f t="shared" si="1"/>
      </c>
      <c r="E29" s="53">
        <f t="shared" si="2"/>
      </c>
      <c r="F29" s="53">
        <f t="shared" si="3"/>
      </c>
      <c r="G29" s="53">
        <f t="shared" si="4"/>
      </c>
      <c r="H29" s="59">
        <f t="shared" si="5"/>
      </c>
      <c r="I29" s="56">
        <f t="shared" si="6"/>
      </c>
      <c r="J29" s="56">
        <f t="shared" si="9"/>
      </c>
      <c r="L29" s="46">
        <f t="shared" si="10"/>
      </c>
      <c r="M29" s="80">
        <f t="shared" si="11"/>
      </c>
      <c r="S29" s="22">
        <f>IFERROR(SMALL(发票导入!$AE$5:$AE$2004,22),"")</f>
      </c>
      <c r="T29" s="22">
        <f>IFERROR(SMALL($S$8:$S$507,22),"")</f>
      </c>
      <c r="U29" s="22">
        <f t="shared" si="12"/>
      </c>
      <c r="V29" s="22">
        <f t="shared" si="13"/>
      </c>
      <c r="W29" s="22">
        <f t="shared" si="14"/>
      </c>
    </row>
    <row r="30">
      <c r="A30" s="60">
        <f t="shared" si="7"/>
      </c>
      <c r="B30" s="56">
        <f t="shared" si="8"/>
      </c>
      <c r="C30" s="79">
        <f t="shared" si="0"/>
      </c>
      <c r="D30" s="53">
        <f t="shared" si="1"/>
      </c>
      <c r="E30" s="53">
        <f t="shared" si="2"/>
      </c>
      <c r="F30" s="53">
        <f t="shared" si="3"/>
      </c>
      <c r="G30" s="53">
        <f t="shared" si="4"/>
      </c>
      <c r="H30" s="59">
        <f t="shared" si="5"/>
      </c>
      <c r="I30" s="56">
        <f t="shared" si="6"/>
      </c>
      <c r="J30" s="56">
        <f t="shared" si="9"/>
      </c>
      <c r="L30" s="46">
        <f t="shared" si="10"/>
      </c>
      <c r="M30" s="80">
        <f t="shared" si="11"/>
      </c>
      <c r="S30" s="22">
        <f>IFERROR(SMALL(发票导入!$AE$5:$AE$2004,23),"")</f>
      </c>
      <c r="T30" s="22">
        <f>IFERROR(SMALL($S$8:$S$507,23),"")</f>
      </c>
      <c r="U30" s="22">
        <f t="shared" si="12"/>
      </c>
      <c r="V30" s="22">
        <f t="shared" si="13"/>
      </c>
      <c r="W30" s="22">
        <f t="shared" si="14"/>
      </c>
    </row>
    <row r="31">
      <c r="A31" s="60">
        <f t="shared" si="7"/>
      </c>
      <c r="B31" s="56">
        <f t="shared" si="8"/>
      </c>
      <c r="C31" s="79">
        <f t="shared" si="0"/>
      </c>
      <c r="D31" s="53">
        <f t="shared" si="1"/>
      </c>
      <c r="E31" s="53">
        <f t="shared" si="2"/>
      </c>
      <c r="F31" s="53">
        <f t="shared" si="3"/>
      </c>
      <c r="G31" s="53">
        <f t="shared" si="4"/>
      </c>
      <c r="H31" s="59">
        <f t="shared" si="5"/>
      </c>
      <c r="I31" s="56">
        <f t="shared" si="6"/>
      </c>
      <c r="J31" s="56">
        <f t="shared" si="9"/>
      </c>
      <c r="L31" s="46">
        <f t="shared" si="10"/>
      </c>
      <c r="M31" s="80">
        <f t="shared" si="11"/>
      </c>
      <c r="S31" s="22">
        <f>IFERROR(SMALL(发票导入!$AE$5:$AE$2004,24),"")</f>
      </c>
      <c r="T31" s="22">
        <f>IFERROR(SMALL($S$8:$S$507,24),"")</f>
      </c>
      <c r="U31" s="22">
        <f t="shared" si="12"/>
      </c>
      <c r="V31" s="22">
        <f t="shared" si="13"/>
      </c>
      <c r="W31" s="22">
        <f t="shared" si="14"/>
      </c>
    </row>
    <row r="32">
      <c r="A32" s="60">
        <f t="shared" si="7"/>
      </c>
      <c r="B32" s="56">
        <f t="shared" si="8"/>
      </c>
      <c r="C32" s="79">
        <f t="shared" si="0"/>
      </c>
      <c r="D32" s="53">
        <f t="shared" si="1"/>
      </c>
      <c r="E32" s="53">
        <f t="shared" si="2"/>
      </c>
      <c r="F32" s="53">
        <f t="shared" si="3"/>
      </c>
      <c r="G32" s="53">
        <f t="shared" si="4"/>
      </c>
      <c r="H32" s="59">
        <f t="shared" si="5"/>
      </c>
      <c r="I32" s="56">
        <f t="shared" si="6"/>
      </c>
      <c r="J32" s="56">
        <f t="shared" si="9"/>
      </c>
      <c r="L32" s="46">
        <f t="shared" si="10"/>
      </c>
      <c r="M32" s="80">
        <f t="shared" si="11"/>
      </c>
      <c r="S32" s="22">
        <f>IFERROR(SMALL(发票导入!$AE$5:$AE$2004,25),"")</f>
      </c>
      <c r="T32" s="22">
        <f>IFERROR(SMALL($S$8:$S$507,25),"")</f>
      </c>
      <c r="U32" s="22">
        <f t="shared" si="12"/>
      </c>
      <c r="V32" s="22">
        <f t="shared" si="13"/>
      </c>
      <c r="W32" s="22">
        <f t="shared" si="14"/>
      </c>
    </row>
    <row r="33">
      <c r="A33" s="60">
        <f t="shared" si="7"/>
      </c>
      <c r="B33" s="56">
        <f t="shared" si="8"/>
      </c>
      <c r="C33" s="79">
        <f t="shared" si="0"/>
      </c>
      <c r="D33" s="53">
        <f t="shared" si="1"/>
      </c>
      <c r="E33" s="53">
        <f t="shared" si="2"/>
      </c>
      <c r="F33" s="53">
        <f t="shared" si="3"/>
      </c>
      <c r="G33" s="53">
        <f t="shared" si="4"/>
      </c>
      <c r="H33" s="59">
        <f t="shared" si="5"/>
      </c>
      <c r="I33" s="56">
        <f t="shared" si="6"/>
      </c>
      <c r="J33" s="56">
        <f t="shared" si="9"/>
      </c>
      <c r="L33" s="46">
        <f t="shared" si="10"/>
      </c>
      <c r="M33" s="80">
        <f t="shared" si="11"/>
      </c>
      <c r="S33" s="22">
        <f>IFERROR(SMALL(发票导入!$AE$5:$AE$2004,26),"")</f>
      </c>
      <c r="T33" s="22">
        <f>IFERROR(SMALL($S$8:$S$507,26),"")</f>
      </c>
      <c r="U33" s="22">
        <f t="shared" si="12"/>
      </c>
      <c r="V33" s="22">
        <f t="shared" si="13"/>
      </c>
      <c r="W33" s="22">
        <f t="shared" si="14"/>
      </c>
    </row>
    <row r="34">
      <c r="A34" s="60">
        <f t="shared" si="7"/>
      </c>
      <c r="B34" s="56">
        <f t="shared" si="8"/>
      </c>
      <c r="C34" s="79">
        <f t="shared" si="0"/>
      </c>
      <c r="D34" s="53">
        <f t="shared" si="1"/>
      </c>
      <c r="E34" s="53">
        <f t="shared" si="2"/>
      </c>
      <c r="F34" s="53">
        <f t="shared" si="3"/>
      </c>
      <c r="G34" s="53">
        <f t="shared" si="4"/>
      </c>
      <c r="H34" s="59">
        <f t="shared" si="5"/>
      </c>
      <c r="I34" s="56">
        <f t="shared" si="6"/>
      </c>
      <c r="J34" s="56">
        <f t="shared" si="9"/>
      </c>
      <c r="L34" s="46">
        <f t="shared" si="10"/>
      </c>
      <c r="M34" s="80">
        <f t="shared" si="11"/>
      </c>
      <c r="S34" s="22">
        <f>IFERROR(SMALL(发票导入!$AE$5:$AE$2004,27),"")</f>
      </c>
      <c r="T34" s="22">
        <f>IFERROR(SMALL($S$8:$S$507,27),"")</f>
      </c>
      <c r="U34" s="22">
        <f t="shared" si="12"/>
      </c>
      <c r="V34" s="22">
        <f t="shared" si="13"/>
      </c>
      <c r="W34" s="22">
        <f t="shared" si="14"/>
      </c>
    </row>
    <row r="35">
      <c r="A35" s="60">
        <f t="shared" si="7"/>
      </c>
      <c r="B35" s="56">
        <f t="shared" si="8"/>
      </c>
      <c r="C35" s="79">
        <f t="shared" si="0"/>
      </c>
      <c r="D35" s="53">
        <f t="shared" si="1"/>
      </c>
      <c r="E35" s="53">
        <f t="shared" si="2"/>
      </c>
      <c r="F35" s="53">
        <f t="shared" si="3"/>
      </c>
      <c r="G35" s="53">
        <f t="shared" si="4"/>
      </c>
      <c r="H35" s="59">
        <f t="shared" si="5"/>
      </c>
      <c r="I35" s="56">
        <f t="shared" si="6"/>
      </c>
      <c r="J35" s="56">
        <f t="shared" si="9"/>
      </c>
      <c r="L35" s="46">
        <f t="shared" si="10"/>
      </c>
      <c r="M35" s="80">
        <f t="shared" si="11"/>
      </c>
      <c r="S35" s="22">
        <f>IFERROR(SMALL(发票导入!$AE$5:$AE$2004,28),"")</f>
      </c>
      <c r="T35" s="22">
        <f>IFERROR(SMALL($S$8:$S$507,28),"")</f>
      </c>
      <c r="U35" s="22">
        <f t="shared" si="12"/>
      </c>
      <c r="V35" s="22">
        <f t="shared" si="13"/>
      </c>
      <c r="W35" s="22">
        <f t="shared" si="14"/>
      </c>
    </row>
    <row r="36">
      <c r="A36" s="60">
        <f t="shared" si="7"/>
      </c>
      <c r="B36" s="56">
        <f t="shared" si="8"/>
      </c>
      <c r="C36" s="79">
        <f t="shared" si="0"/>
      </c>
      <c r="D36" s="53">
        <f t="shared" si="1"/>
      </c>
      <c r="E36" s="53">
        <f t="shared" si="2"/>
      </c>
      <c r="F36" s="53">
        <f t="shared" si="3"/>
      </c>
      <c r="G36" s="53">
        <f t="shared" si="4"/>
      </c>
      <c r="H36" s="59">
        <f t="shared" si="5"/>
      </c>
      <c r="I36" s="56">
        <f t="shared" si="6"/>
      </c>
      <c r="J36" s="56">
        <f t="shared" si="9"/>
      </c>
      <c r="L36" s="46">
        <f t="shared" si="10"/>
      </c>
      <c r="M36" s="80">
        <f t="shared" si="11"/>
      </c>
      <c r="S36" s="22">
        <f>IFERROR(SMALL(发票导入!$AE$5:$AE$2004,29),"")</f>
      </c>
      <c r="T36" s="22">
        <f>IFERROR(SMALL($S$8:$S$507,29),"")</f>
      </c>
      <c r="U36" s="22">
        <f t="shared" si="12"/>
      </c>
      <c r="V36" s="22">
        <f t="shared" si="13"/>
      </c>
      <c r="W36" s="22">
        <f t="shared" si="14"/>
      </c>
    </row>
    <row r="37">
      <c r="A37" s="60">
        <f t="shared" si="7"/>
      </c>
      <c r="B37" s="56">
        <f t="shared" si="8"/>
      </c>
      <c r="C37" s="79">
        <f t="shared" si="0"/>
      </c>
      <c r="D37" s="53">
        <f t="shared" si="1"/>
      </c>
      <c r="E37" s="53">
        <f t="shared" si="2"/>
      </c>
      <c r="F37" s="53">
        <f t="shared" si="3"/>
      </c>
      <c r="G37" s="53">
        <f t="shared" si="4"/>
      </c>
      <c r="H37" s="59">
        <f t="shared" si="5"/>
      </c>
      <c r="I37" s="56">
        <f t="shared" si="6"/>
      </c>
      <c r="J37" s="56">
        <f t="shared" si="9"/>
      </c>
      <c r="L37" s="46">
        <f t="shared" si="10"/>
      </c>
      <c r="M37" s="80">
        <f t="shared" si="11"/>
      </c>
      <c r="S37" s="22">
        <f>IFERROR(SMALL(发票导入!$AE$5:$AE$2004,30),"")</f>
      </c>
      <c r="T37" s="22">
        <f>IFERROR(SMALL($S$8:$S$507,30),"")</f>
      </c>
      <c r="U37" s="22">
        <f t="shared" si="12"/>
      </c>
      <c r="V37" s="22">
        <f t="shared" si="13"/>
      </c>
      <c r="W37" s="22">
        <f t="shared" si="14"/>
      </c>
    </row>
    <row r="38">
      <c r="A38" s="60">
        <f t="shared" si="7"/>
      </c>
      <c r="B38" s="56">
        <f t="shared" si="8"/>
      </c>
      <c r="C38" s="79">
        <f t="shared" si="0"/>
      </c>
      <c r="D38" s="53">
        <f t="shared" si="1"/>
      </c>
      <c r="E38" s="53">
        <f t="shared" si="2"/>
      </c>
      <c r="F38" s="53">
        <f t="shared" si="3"/>
      </c>
      <c r="G38" s="53">
        <f t="shared" si="4"/>
      </c>
      <c r="H38" s="59">
        <f t="shared" si="5"/>
      </c>
      <c r="I38" s="56">
        <f t="shared" si="6"/>
      </c>
      <c r="J38" s="56">
        <f t="shared" si="9"/>
      </c>
      <c r="L38" s="46">
        <f t="shared" si="10"/>
      </c>
      <c r="M38" s="80">
        <f t="shared" si="11"/>
      </c>
      <c r="S38" s="22">
        <f>IFERROR(SMALL(发票导入!$AE$5:$AE$2004,31),"")</f>
      </c>
      <c r="T38" s="22">
        <f>IFERROR(SMALL($S$8:$S$507,31),"")</f>
      </c>
      <c r="U38" s="22">
        <f t="shared" si="12"/>
      </c>
      <c r="V38" s="22">
        <f t="shared" si="13"/>
      </c>
      <c r="W38" s="22">
        <f t="shared" si="14"/>
      </c>
    </row>
    <row r="39">
      <c r="A39" s="60">
        <f t="shared" si="7"/>
      </c>
      <c r="B39" s="56">
        <f t="shared" si="8"/>
      </c>
      <c r="C39" s="79">
        <f t="shared" si="0"/>
      </c>
      <c r="D39" s="53">
        <f t="shared" si="1"/>
      </c>
      <c r="E39" s="53">
        <f t="shared" si="2"/>
      </c>
      <c r="F39" s="53">
        <f t="shared" si="3"/>
      </c>
      <c r="G39" s="53">
        <f t="shared" si="4"/>
      </c>
      <c r="H39" s="59">
        <f t="shared" si="5"/>
      </c>
      <c r="I39" s="56">
        <f t="shared" si="6"/>
      </c>
      <c r="J39" s="56">
        <f t="shared" si="9"/>
      </c>
      <c r="L39" s="46">
        <f t="shared" si="10"/>
      </c>
      <c r="M39" s="80">
        <f t="shared" si="11"/>
      </c>
      <c r="S39" s="22">
        <f>IFERROR(SMALL(发票导入!$AE$5:$AE$2004,32),"")</f>
      </c>
      <c r="T39" s="22">
        <f>IFERROR(SMALL($S$8:$S$507,32),"")</f>
      </c>
      <c r="U39" s="22">
        <f t="shared" si="12"/>
      </c>
      <c r="V39" s="22">
        <f t="shared" si="13"/>
      </c>
      <c r="W39" s="22">
        <f t="shared" si="14"/>
      </c>
    </row>
    <row r="40">
      <c r="A40" s="60">
        <f t="shared" si="7"/>
      </c>
      <c r="B40" s="56">
        <f t="shared" si="8"/>
      </c>
      <c r="C40" s="79">
        <f t="shared" si="0"/>
      </c>
      <c r="D40" s="53">
        <f t="shared" si="1"/>
      </c>
      <c r="E40" s="53">
        <f t="shared" si="2"/>
      </c>
      <c r="F40" s="53">
        <f t="shared" si="3"/>
      </c>
      <c r="G40" s="53">
        <f t="shared" si="4"/>
      </c>
      <c r="H40" s="59">
        <f t="shared" si="5"/>
      </c>
      <c r="I40" s="56">
        <f t="shared" si="6"/>
      </c>
      <c r="J40" s="56">
        <f t="shared" si="9"/>
      </c>
      <c r="L40" s="46">
        <f t="shared" si="10"/>
      </c>
      <c r="M40" s="80">
        <f t="shared" si="11"/>
      </c>
      <c r="S40" s="22">
        <f>IFERROR(SMALL(发票导入!$AE$5:$AE$2004,33),"")</f>
      </c>
      <c r="T40" s="22">
        <f>IFERROR(SMALL($S$8:$S$507,33),"")</f>
      </c>
      <c r="U40" s="22">
        <f t="shared" si="12"/>
      </c>
      <c r="V40" s="22">
        <f t="shared" si="13"/>
      </c>
      <c r="W40" s="22">
        <f t="shared" si="14"/>
      </c>
    </row>
    <row r="41">
      <c r="A41" s="60">
        <f t="shared" si="7"/>
      </c>
      <c r="B41" s="56">
        <f t="shared" si="8"/>
      </c>
      <c r="C41" s="79">
        <f t="shared" si="0"/>
      </c>
      <c r="D41" s="53">
        <f t="shared" si="1"/>
      </c>
      <c r="E41" s="53">
        <f t="shared" si="2"/>
      </c>
      <c r="F41" s="53">
        <f t="shared" si="3"/>
      </c>
      <c r="G41" s="53">
        <f t="shared" si="4"/>
      </c>
      <c r="H41" s="59">
        <f t="shared" si="5"/>
      </c>
      <c r="I41" s="56">
        <f t="shared" si="6"/>
      </c>
      <c r="J41" s="56">
        <f t="shared" si="9"/>
      </c>
      <c r="L41" s="46">
        <f t="shared" si="10"/>
      </c>
      <c r="M41" s="80">
        <f t="shared" si="11"/>
      </c>
      <c r="S41" s="22">
        <f>IFERROR(SMALL(发票导入!$AE$5:$AE$2004,34),"")</f>
      </c>
      <c r="T41" s="22">
        <f>IFERROR(SMALL($S$8:$S$507,34),"")</f>
      </c>
      <c r="U41" s="22">
        <f t="shared" si="12"/>
      </c>
      <c r="V41" s="22">
        <f t="shared" si="13"/>
      </c>
      <c r="W41" s="22">
        <f t="shared" si="14"/>
      </c>
    </row>
    <row r="42">
      <c r="A42" s="60">
        <f t="shared" si="7"/>
      </c>
      <c r="B42" s="56">
        <f t="shared" si="8"/>
      </c>
      <c r="C42" s="79">
        <f t="shared" si="0"/>
      </c>
      <c r="D42" s="53">
        <f t="shared" si="1"/>
      </c>
      <c r="E42" s="53">
        <f t="shared" si="2"/>
      </c>
      <c r="F42" s="53">
        <f t="shared" si="3"/>
      </c>
      <c r="G42" s="53">
        <f t="shared" si="4"/>
      </c>
      <c r="H42" s="59">
        <f t="shared" si="5"/>
      </c>
      <c r="I42" s="56">
        <f t="shared" si="6"/>
      </c>
      <c r="J42" s="56">
        <f t="shared" si="9"/>
      </c>
      <c r="L42" s="46">
        <f t="shared" si="10"/>
      </c>
      <c r="M42" s="80">
        <f t="shared" si="11"/>
      </c>
      <c r="S42" s="22">
        <f>IFERROR(SMALL(发票导入!$AE$5:$AE$2004,35),"")</f>
      </c>
      <c r="T42" s="22">
        <f>IFERROR(SMALL($S$8:$S$507,35),"")</f>
      </c>
      <c r="U42" s="22">
        <f t="shared" si="12"/>
      </c>
      <c r="V42" s="22">
        <f t="shared" si="13"/>
      </c>
      <c r="W42" s="22">
        <f t="shared" si="14"/>
      </c>
    </row>
    <row r="43">
      <c r="A43" s="60">
        <f t="shared" si="7"/>
      </c>
      <c r="B43" s="56">
        <f t="shared" si="8"/>
      </c>
      <c r="C43" s="79">
        <f t="shared" si="0"/>
      </c>
      <c r="D43" s="53">
        <f t="shared" si="1"/>
      </c>
      <c r="E43" s="53">
        <f t="shared" si="2"/>
      </c>
      <c r="F43" s="53">
        <f t="shared" si="3"/>
      </c>
      <c r="G43" s="53">
        <f t="shared" si="4"/>
      </c>
      <c r="H43" s="59">
        <f t="shared" si="5"/>
      </c>
      <c r="I43" s="56">
        <f t="shared" si="6"/>
      </c>
      <c r="J43" s="56">
        <f t="shared" si="9"/>
      </c>
      <c r="L43" s="46">
        <f t="shared" si="10"/>
      </c>
      <c r="M43" s="80">
        <f t="shared" si="11"/>
      </c>
      <c r="S43" s="22">
        <f>IFERROR(SMALL(发票导入!$AE$5:$AE$2004,36),"")</f>
      </c>
      <c r="T43" s="22">
        <f>IFERROR(SMALL($S$8:$S$507,36),"")</f>
      </c>
      <c r="U43" s="22">
        <f t="shared" si="12"/>
      </c>
      <c r="V43" s="22">
        <f t="shared" si="13"/>
      </c>
      <c r="W43" s="22">
        <f t="shared" si="14"/>
      </c>
    </row>
    <row r="44">
      <c r="A44" s="60">
        <f t="shared" si="7"/>
      </c>
      <c r="B44" s="56">
        <f t="shared" si="8"/>
      </c>
      <c r="C44" s="79">
        <f t="shared" si="0"/>
      </c>
      <c r="D44" s="53">
        <f t="shared" si="1"/>
      </c>
      <c r="E44" s="53">
        <f t="shared" si="2"/>
      </c>
      <c r="F44" s="53">
        <f t="shared" si="3"/>
      </c>
      <c r="G44" s="53">
        <f t="shared" si="4"/>
      </c>
      <c r="H44" s="59">
        <f t="shared" si="5"/>
      </c>
      <c r="I44" s="56">
        <f t="shared" si="6"/>
      </c>
      <c r="J44" s="56">
        <f t="shared" si="9"/>
      </c>
      <c r="L44" s="46">
        <f t="shared" si="10"/>
      </c>
      <c r="M44" s="80">
        <f t="shared" si="11"/>
      </c>
      <c r="S44" s="22">
        <f>IFERROR(SMALL(发票导入!$AE$5:$AE$2004,37),"")</f>
      </c>
      <c r="T44" s="22">
        <f>IFERROR(SMALL($S$8:$S$507,37),"")</f>
      </c>
      <c r="U44" s="22">
        <f t="shared" si="12"/>
      </c>
      <c r="V44" s="22">
        <f t="shared" si="13"/>
      </c>
      <c r="W44" s="22">
        <f t="shared" si="14"/>
      </c>
    </row>
    <row r="45">
      <c r="A45" s="60">
        <f t="shared" si="7"/>
      </c>
      <c r="B45" s="56">
        <f t="shared" si="8"/>
      </c>
      <c r="C45" s="79">
        <f t="shared" si="0"/>
      </c>
      <c r="D45" s="53">
        <f t="shared" si="1"/>
      </c>
      <c r="E45" s="53">
        <f t="shared" si="2"/>
      </c>
      <c r="F45" s="53">
        <f t="shared" si="3"/>
      </c>
      <c r="G45" s="53">
        <f t="shared" si="4"/>
      </c>
      <c r="H45" s="59">
        <f t="shared" si="5"/>
      </c>
      <c r="I45" s="56">
        <f t="shared" si="6"/>
      </c>
      <c r="J45" s="56">
        <f t="shared" si="9"/>
      </c>
      <c r="L45" s="46">
        <f t="shared" si="10"/>
      </c>
      <c r="M45" s="80">
        <f t="shared" si="11"/>
      </c>
      <c r="S45" s="22">
        <f>IFERROR(SMALL(发票导入!$AE$5:$AE$2004,38),"")</f>
      </c>
      <c r="T45" s="22">
        <f>IFERROR(SMALL($S$8:$S$507,38),"")</f>
      </c>
      <c r="U45" s="22">
        <f t="shared" si="12"/>
      </c>
      <c r="V45" s="22">
        <f t="shared" si="13"/>
      </c>
      <c r="W45" s="22">
        <f t="shared" si="14"/>
      </c>
    </row>
    <row r="46">
      <c r="A46" s="60">
        <f t="shared" si="7"/>
      </c>
      <c r="B46" s="56">
        <f t="shared" si="8"/>
      </c>
      <c r="C46" s="79">
        <f t="shared" si="0"/>
      </c>
      <c r="D46" s="53">
        <f t="shared" si="1"/>
      </c>
      <c r="E46" s="53">
        <f t="shared" si="2"/>
      </c>
      <c r="F46" s="53">
        <f t="shared" si="3"/>
      </c>
      <c r="G46" s="53">
        <f t="shared" si="4"/>
      </c>
      <c r="H46" s="59">
        <f t="shared" si="5"/>
      </c>
      <c r="I46" s="56">
        <f t="shared" si="6"/>
      </c>
      <c r="J46" s="56">
        <f t="shared" si="9"/>
      </c>
      <c r="L46" s="46">
        <f t="shared" si="10"/>
      </c>
      <c r="M46" s="80">
        <f t="shared" si="11"/>
      </c>
      <c r="S46" s="22">
        <f>IFERROR(SMALL(发票导入!$AE$5:$AE$2004,39),"")</f>
      </c>
      <c r="T46" s="22">
        <f>IFERROR(SMALL($S$8:$S$507,39),"")</f>
      </c>
      <c r="U46" s="22">
        <f t="shared" si="12"/>
      </c>
      <c r="V46" s="22">
        <f t="shared" si="13"/>
      </c>
      <c r="W46" s="22">
        <f t="shared" si="14"/>
      </c>
    </row>
    <row r="47">
      <c r="A47" s="60">
        <f t="shared" si="7"/>
      </c>
      <c r="B47" s="56">
        <f t="shared" si="8"/>
      </c>
      <c r="C47" s="79">
        <f t="shared" si="0"/>
      </c>
      <c r="D47" s="53">
        <f t="shared" si="1"/>
      </c>
      <c r="E47" s="53">
        <f t="shared" si="2"/>
      </c>
      <c r="F47" s="53">
        <f t="shared" si="3"/>
      </c>
      <c r="G47" s="53">
        <f t="shared" si="4"/>
      </c>
      <c r="H47" s="59">
        <f t="shared" si="5"/>
      </c>
      <c r="I47" s="56">
        <f t="shared" si="6"/>
      </c>
      <c r="J47" s="56">
        <f t="shared" si="9"/>
      </c>
      <c r="L47" s="46">
        <f t="shared" si="10"/>
      </c>
      <c r="M47" s="80">
        <f t="shared" si="11"/>
      </c>
      <c r="S47" s="22">
        <f>IFERROR(SMALL(发票导入!$AE$5:$AE$2004,40),"")</f>
      </c>
      <c r="T47" s="22">
        <f>IFERROR(SMALL($S$8:$S$507,40),"")</f>
      </c>
      <c r="U47" s="22">
        <f t="shared" si="12"/>
      </c>
      <c r="V47" s="22">
        <f t="shared" si="13"/>
      </c>
      <c r="W47" s="22">
        <f t="shared" si="14"/>
      </c>
    </row>
    <row r="48">
      <c r="A48" s="60">
        <f t="shared" si="7"/>
      </c>
      <c r="B48" s="56">
        <f t="shared" si="8"/>
      </c>
      <c r="C48" s="79">
        <f t="shared" si="0"/>
      </c>
      <c r="D48" s="53">
        <f t="shared" si="1"/>
      </c>
      <c r="E48" s="53">
        <f t="shared" si="2"/>
      </c>
      <c r="F48" s="53">
        <f t="shared" si="3"/>
      </c>
      <c r="G48" s="53">
        <f t="shared" si="4"/>
      </c>
      <c r="H48" s="59">
        <f t="shared" si="5"/>
      </c>
      <c r="I48" s="56">
        <f t="shared" si="6"/>
      </c>
      <c r="J48" s="56">
        <f t="shared" si="9"/>
      </c>
      <c r="L48" s="46">
        <f t="shared" si="10"/>
      </c>
      <c r="M48" s="80">
        <f t="shared" si="11"/>
      </c>
      <c r="S48" s="22">
        <f>IFERROR(SMALL(发票导入!$AE$5:$AE$2004,41),"")</f>
      </c>
      <c r="T48" s="22">
        <f>IFERROR(SMALL($S$8:$S$507,41),"")</f>
      </c>
      <c r="U48" s="22">
        <f t="shared" si="12"/>
      </c>
      <c r="V48" s="22">
        <f t="shared" si="13"/>
      </c>
      <c r="W48" s="22">
        <f t="shared" si="14"/>
      </c>
    </row>
    <row r="49">
      <c r="A49" s="60">
        <f t="shared" si="7"/>
      </c>
      <c r="B49" s="56">
        <f t="shared" si="8"/>
      </c>
      <c r="C49" s="79">
        <f t="shared" si="0"/>
      </c>
      <c r="D49" s="53">
        <f t="shared" si="1"/>
      </c>
      <c r="E49" s="53">
        <f t="shared" si="2"/>
      </c>
      <c r="F49" s="53">
        <f t="shared" si="3"/>
      </c>
      <c r="G49" s="53">
        <f t="shared" si="4"/>
      </c>
      <c r="H49" s="59">
        <f t="shared" si="5"/>
      </c>
      <c r="I49" s="56">
        <f t="shared" si="6"/>
      </c>
      <c r="J49" s="56">
        <f t="shared" si="9"/>
      </c>
      <c r="L49" s="46">
        <f t="shared" si="10"/>
      </c>
      <c r="M49" s="80">
        <f t="shared" si="11"/>
      </c>
      <c r="S49" s="22">
        <f>IFERROR(SMALL(发票导入!$AE$5:$AE$2004,42),"")</f>
      </c>
      <c r="T49" s="22">
        <f>IFERROR(SMALL($S$8:$S$507,42),"")</f>
      </c>
      <c r="U49" s="22">
        <f t="shared" si="12"/>
      </c>
      <c r="V49" s="22">
        <f t="shared" si="13"/>
      </c>
      <c r="W49" s="22">
        <f t="shared" si="14"/>
      </c>
    </row>
    <row r="50">
      <c r="A50" s="60">
        <f t="shared" si="7"/>
      </c>
      <c r="B50" s="56">
        <f t="shared" si="8"/>
      </c>
      <c r="C50" s="79">
        <f t="shared" si="0"/>
      </c>
      <c r="D50" s="53">
        <f t="shared" si="1"/>
      </c>
      <c r="E50" s="53">
        <f t="shared" si="2"/>
      </c>
      <c r="F50" s="53">
        <f t="shared" si="3"/>
      </c>
      <c r="G50" s="53">
        <f t="shared" si="4"/>
      </c>
      <c r="H50" s="59">
        <f t="shared" si="5"/>
      </c>
      <c r="I50" s="56">
        <f t="shared" si="6"/>
      </c>
      <c r="J50" s="56">
        <f t="shared" si="9"/>
      </c>
      <c r="L50" s="46">
        <f t="shared" si="10"/>
      </c>
      <c r="M50" s="80">
        <f t="shared" si="11"/>
      </c>
      <c r="S50" s="22">
        <f>IFERROR(SMALL(发票导入!$AE$5:$AE$2004,43),"")</f>
      </c>
      <c r="T50" s="22">
        <f>IFERROR(SMALL($S$8:$S$507,43),"")</f>
      </c>
      <c r="U50" s="22">
        <f t="shared" si="12"/>
      </c>
      <c r="V50" s="22">
        <f t="shared" si="13"/>
      </c>
      <c r="W50" s="22">
        <f t="shared" si="14"/>
      </c>
    </row>
    <row r="51">
      <c r="A51" s="60">
        <f t="shared" si="7"/>
      </c>
      <c r="B51" s="56">
        <f t="shared" si="8"/>
      </c>
      <c r="C51" s="79">
        <f t="shared" si="0"/>
      </c>
      <c r="D51" s="53">
        <f t="shared" si="1"/>
      </c>
      <c r="E51" s="53">
        <f t="shared" si="2"/>
      </c>
      <c r="F51" s="53">
        <f t="shared" si="3"/>
      </c>
      <c r="G51" s="53">
        <f t="shared" si="4"/>
      </c>
      <c r="H51" s="59">
        <f t="shared" si="5"/>
      </c>
      <c r="I51" s="56">
        <f t="shared" si="6"/>
      </c>
      <c r="J51" s="56">
        <f t="shared" si="9"/>
      </c>
      <c r="L51" s="46">
        <f t="shared" si="10"/>
      </c>
      <c r="M51" s="80">
        <f t="shared" si="11"/>
      </c>
      <c r="S51" s="22">
        <f>IFERROR(SMALL(发票导入!$AE$5:$AE$2004,44),"")</f>
      </c>
      <c r="T51" s="22">
        <f>IFERROR(SMALL($S$8:$S$507,44),"")</f>
      </c>
      <c r="U51" s="22">
        <f t="shared" si="12"/>
      </c>
      <c r="V51" s="22">
        <f t="shared" si="13"/>
      </c>
      <c r="W51" s="22">
        <f t="shared" si="14"/>
      </c>
    </row>
    <row r="52">
      <c r="A52" s="60">
        <f t="shared" si="7"/>
      </c>
      <c r="B52" s="56">
        <f t="shared" si="8"/>
      </c>
      <c r="C52" s="79">
        <f t="shared" si="0"/>
      </c>
      <c r="D52" s="53">
        <f t="shared" si="1"/>
      </c>
      <c r="E52" s="53">
        <f t="shared" si="2"/>
      </c>
      <c r="F52" s="53">
        <f t="shared" si="3"/>
      </c>
      <c r="G52" s="53">
        <f t="shared" si="4"/>
      </c>
      <c r="H52" s="59">
        <f t="shared" si="5"/>
      </c>
      <c r="I52" s="56">
        <f t="shared" si="6"/>
      </c>
      <c r="J52" s="56">
        <f t="shared" si="9"/>
      </c>
      <c r="L52" s="46">
        <f t="shared" si="10"/>
      </c>
      <c r="M52" s="80">
        <f t="shared" si="11"/>
      </c>
      <c r="S52" s="22">
        <f>IFERROR(SMALL(发票导入!$AE$5:$AE$2004,45),"")</f>
      </c>
      <c r="T52" s="22">
        <f>IFERROR(SMALL($S$8:$S$507,45),"")</f>
      </c>
      <c r="U52" s="22">
        <f t="shared" si="12"/>
      </c>
      <c r="V52" s="22">
        <f t="shared" si="13"/>
      </c>
      <c r="W52" s="22">
        <f t="shared" si="14"/>
      </c>
    </row>
    <row r="53">
      <c r="A53" s="60">
        <f t="shared" si="7"/>
      </c>
      <c r="B53" s="56">
        <f t="shared" si="8"/>
      </c>
      <c r="C53" s="79">
        <f t="shared" si="0"/>
      </c>
      <c r="D53" s="53">
        <f t="shared" si="1"/>
      </c>
      <c r="E53" s="53">
        <f t="shared" si="2"/>
      </c>
      <c r="F53" s="53">
        <f t="shared" si="3"/>
      </c>
      <c r="G53" s="53">
        <f t="shared" si="4"/>
      </c>
      <c r="H53" s="59">
        <f t="shared" si="5"/>
      </c>
      <c r="I53" s="56">
        <f t="shared" si="6"/>
      </c>
      <c r="J53" s="56">
        <f t="shared" si="9"/>
      </c>
      <c r="L53" s="46">
        <f t="shared" si="10"/>
      </c>
      <c r="M53" s="80">
        <f t="shared" si="11"/>
      </c>
      <c r="S53" s="22">
        <f>IFERROR(SMALL(发票导入!$AE$5:$AE$2004,46),"")</f>
      </c>
      <c r="T53" s="22">
        <f>IFERROR(SMALL($S$8:$S$507,46),"")</f>
      </c>
      <c r="U53" s="22">
        <f t="shared" si="12"/>
      </c>
      <c r="V53" s="22">
        <f t="shared" si="13"/>
      </c>
      <c r="W53" s="22">
        <f t="shared" si="14"/>
      </c>
    </row>
    <row r="54">
      <c r="A54" s="60">
        <f t="shared" si="7"/>
      </c>
      <c r="B54" s="56">
        <f t="shared" si="8"/>
      </c>
      <c r="C54" s="79">
        <f t="shared" si="0"/>
      </c>
      <c r="D54" s="53">
        <f t="shared" si="1"/>
      </c>
      <c r="E54" s="53">
        <f t="shared" si="2"/>
      </c>
      <c r="F54" s="53">
        <f t="shared" si="3"/>
      </c>
      <c r="G54" s="53">
        <f t="shared" si="4"/>
      </c>
      <c r="H54" s="59">
        <f t="shared" si="5"/>
      </c>
      <c r="I54" s="56">
        <f t="shared" si="6"/>
      </c>
      <c r="J54" s="56">
        <f t="shared" si="9"/>
      </c>
      <c r="L54" s="46">
        <f t="shared" si="10"/>
      </c>
      <c r="M54" s="80">
        <f t="shared" si="11"/>
      </c>
      <c r="S54" s="22">
        <f>IFERROR(SMALL(发票导入!$AE$5:$AE$2004,47),"")</f>
      </c>
      <c r="T54" s="22">
        <f>IFERROR(SMALL($S$8:$S$507,47),"")</f>
      </c>
      <c r="U54" s="22">
        <f t="shared" si="12"/>
      </c>
      <c r="V54" s="22">
        <f t="shared" si="13"/>
      </c>
      <c r="W54" s="22">
        <f t="shared" si="14"/>
      </c>
    </row>
    <row r="55">
      <c r="A55" s="60">
        <f t="shared" si="7"/>
      </c>
      <c r="B55" s="56">
        <f t="shared" si="8"/>
      </c>
      <c r="C55" s="79">
        <f t="shared" si="0"/>
      </c>
      <c r="D55" s="53">
        <f t="shared" si="1"/>
      </c>
      <c r="E55" s="53">
        <f t="shared" si="2"/>
      </c>
      <c r="F55" s="53">
        <f t="shared" si="3"/>
      </c>
      <c r="G55" s="53">
        <f t="shared" si="4"/>
      </c>
      <c r="H55" s="59">
        <f t="shared" si="5"/>
      </c>
      <c r="I55" s="56">
        <f t="shared" si="6"/>
      </c>
      <c r="J55" s="56">
        <f t="shared" si="9"/>
      </c>
      <c r="L55" s="46">
        <f t="shared" si="10"/>
      </c>
      <c r="M55" s="80">
        <f t="shared" si="11"/>
      </c>
      <c r="S55" s="22">
        <f>IFERROR(SMALL(发票导入!$AE$5:$AE$2004,48),"")</f>
      </c>
      <c r="T55" s="22">
        <f>IFERROR(SMALL($S$8:$S$507,48),"")</f>
      </c>
      <c r="U55" s="22">
        <f t="shared" si="12"/>
      </c>
      <c r="V55" s="22">
        <f t="shared" si="13"/>
      </c>
      <c r="W55" s="22">
        <f t="shared" si="14"/>
      </c>
    </row>
    <row r="56">
      <c r="A56" s="60">
        <f t="shared" si="7"/>
      </c>
      <c r="B56" s="56">
        <f t="shared" si="8"/>
      </c>
      <c r="C56" s="79">
        <f t="shared" si="0"/>
      </c>
      <c r="D56" s="53">
        <f t="shared" si="1"/>
      </c>
      <c r="E56" s="53">
        <f t="shared" si="2"/>
      </c>
      <c r="F56" s="53">
        <f t="shared" si="3"/>
      </c>
      <c r="G56" s="53">
        <f t="shared" si="4"/>
      </c>
      <c r="H56" s="59">
        <f t="shared" si="5"/>
      </c>
      <c r="I56" s="56">
        <f t="shared" si="6"/>
      </c>
      <c r="J56" s="56">
        <f t="shared" si="9"/>
      </c>
      <c r="L56" s="46">
        <f t="shared" si="10"/>
      </c>
      <c r="M56" s="80">
        <f t="shared" si="11"/>
      </c>
      <c r="S56" s="22">
        <f>IFERROR(SMALL(发票导入!$AE$5:$AE$2004,49),"")</f>
      </c>
      <c r="T56" s="22">
        <f>IFERROR(SMALL($S$8:$S$507,49),"")</f>
      </c>
      <c r="U56" s="22">
        <f t="shared" si="12"/>
      </c>
      <c r="V56" s="22">
        <f t="shared" si="13"/>
      </c>
      <c r="W56" s="22">
        <f t="shared" si="14"/>
      </c>
    </row>
    <row r="57">
      <c r="A57" s="60">
        <f t="shared" si="7"/>
      </c>
      <c r="B57" s="56">
        <f t="shared" si="8"/>
      </c>
      <c r="C57" s="79">
        <f t="shared" si="0"/>
      </c>
      <c r="D57" s="53">
        <f t="shared" si="1"/>
      </c>
      <c r="E57" s="53">
        <f t="shared" si="2"/>
      </c>
      <c r="F57" s="53">
        <f t="shared" si="3"/>
      </c>
      <c r="G57" s="53">
        <f t="shared" si="4"/>
      </c>
      <c r="H57" s="59">
        <f t="shared" si="5"/>
      </c>
      <c r="I57" s="56">
        <f t="shared" si="6"/>
      </c>
      <c r="J57" s="56">
        <f t="shared" si="9"/>
      </c>
      <c r="L57" s="46">
        <f t="shared" si="10"/>
      </c>
      <c r="M57" s="80">
        <f t="shared" si="11"/>
      </c>
      <c r="S57" s="22">
        <f>IFERROR(SMALL(发票导入!$AE$5:$AE$2004,50),"")</f>
      </c>
      <c r="T57" s="22">
        <f>IFERROR(SMALL($S$8:$S$507,50),"")</f>
      </c>
      <c r="U57" s="22">
        <f t="shared" si="12"/>
      </c>
      <c r="V57" s="22">
        <f t="shared" si="13"/>
      </c>
      <c r="W57" s="22">
        <f t="shared" si="14"/>
      </c>
    </row>
    <row r="58">
      <c r="A58" s="60">
        <f t="shared" si="7"/>
      </c>
      <c r="B58" s="56">
        <f t="shared" si="8"/>
      </c>
      <c r="C58" s="79">
        <f t="shared" si="0"/>
      </c>
      <c r="D58" s="53">
        <f t="shared" si="1"/>
      </c>
      <c r="E58" s="53">
        <f t="shared" si="2"/>
      </c>
      <c r="F58" s="53">
        <f t="shared" si="3"/>
      </c>
      <c r="G58" s="53">
        <f t="shared" si="4"/>
      </c>
      <c r="H58" s="59">
        <f t="shared" si="5"/>
      </c>
      <c r="I58" s="56">
        <f t="shared" si="6"/>
      </c>
      <c r="J58" s="56">
        <f t="shared" si="9"/>
      </c>
      <c r="L58" s="46">
        <f t="shared" si="10"/>
      </c>
      <c r="M58" s="80">
        <f t="shared" si="11"/>
      </c>
      <c r="S58" s="22">
        <f>IFERROR(SMALL(发票导入!$AE$5:$AE$2004,51),"")</f>
      </c>
      <c r="T58" s="22">
        <f>IFERROR(SMALL($S$8:$S$507,51),"")</f>
      </c>
      <c r="U58" s="22">
        <f t="shared" si="12"/>
      </c>
      <c r="V58" s="22">
        <f t="shared" si="13"/>
      </c>
      <c r="W58" s="22">
        <f t="shared" si="14"/>
      </c>
    </row>
    <row r="59">
      <c r="A59" s="60">
        <f t="shared" si="7"/>
      </c>
      <c r="B59" s="56">
        <f t="shared" si="8"/>
      </c>
      <c r="C59" s="79">
        <f t="shared" si="0"/>
      </c>
      <c r="D59" s="53">
        <f t="shared" si="1"/>
      </c>
      <c r="E59" s="53">
        <f t="shared" si="2"/>
      </c>
      <c r="F59" s="53">
        <f t="shared" si="3"/>
      </c>
      <c r="G59" s="53">
        <f t="shared" si="4"/>
      </c>
      <c r="H59" s="59">
        <f t="shared" si="5"/>
      </c>
      <c r="I59" s="56">
        <f t="shared" si="6"/>
      </c>
      <c r="J59" s="56">
        <f t="shared" si="9"/>
      </c>
      <c r="L59" s="46">
        <f t="shared" si="10"/>
      </c>
      <c r="M59" s="80">
        <f t="shared" si="11"/>
      </c>
      <c r="S59" s="22">
        <f>IFERROR(SMALL(发票导入!$AE$5:$AE$2004,52),"")</f>
      </c>
      <c r="T59" s="22">
        <f>IFERROR(SMALL($S$8:$S$507,52),"")</f>
      </c>
      <c r="U59" s="22">
        <f t="shared" si="12"/>
      </c>
      <c r="V59" s="22">
        <f t="shared" si="13"/>
      </c>
      <c r="W59" s="22">
        <f t="shared" si="14"/>
      </c>
    </row>
    <row r="60">
      <c r="A60" s="60">
        <f t="shared" si="7"/>
      </c>
      <c r="B60" s="56">
        <f t="shared" si="8"/>
      </c>
      <c r="C60" s="79">
        <f t="shared" si="0"/>
      </c>
      <c r="D60" s="53">
        <f t="shared" si="1"/>
      </c>
      <c r="E60" s="53">
        <f t="shared" si="2"/>
      </c>
      <c r="F60" s="53">
        <f t="shared" si="3"/>
      </c>
      <c r="G60" s="53">
        <f t="shared" si="4"/>
      </c>
      <c r="H60" s="59">
        <f t="shared" si="5"/>
      </c>
      <c r="I60" s="56">
        <f t="shared" si="6"/>
      </c>
      <c r="J60" s="56">
        <f t="shared" si="9"/>
      </c>
      <c r="L60" s="46">
        <f t="shared" si="10"/>
      </c>
      <c r="M60" s="80">
        <f t="shared" si="11"/>
      </c>
      <c r="S60" s="22">
        <f>IFERROR(SMALL(发票导入!$AE$5:$AE$2004,53),"")</f>
      </c>
      <c r="T60" s="22">
        <f>IFERROR(SMALL($S$8:$S$507,53),"")</f>
      </c>
      <c r="U60" s="22">
        <f t="shared" si="12"/>
      </c>
      <c r="V60" s="22">
        <f t="shared" si="13"/>
      </c>
      <c r="W60" s="22">
        <f t="shared" si="14"/>
      </c>
    </row>
    <row r="61">
      <c r="A61" s="60">
        <f t="shared" si="7"/>
      </c>
      <c r="B61" s="56">
        <f t="shared" si="8"/>
      </c>
      <c r="C61" s="79">
        <f t="shared" si="0"/>
      </c>
      <c r="D61" s="53">
        <f t="shared" si="1"/>
      </c>
      <c r="E61" s="53">
        <f t="shared" si="2"/>
      </c>
      <c r="F61" s="53">
        <f t="shared" si="3"/>
      </c>
      <c r="G61" s="53">
        <f t="shared" si="4"/>
      </c>
      <c r="H61" s="59">
        <f t="shared" si="5"/>
      </c>
      <c r="I61" s="56">
        <f t="shared" si="6"/>
      </c>
      <c r="J61" s="56">
        <f t="shared" si="9"/>
      </c>
      <c r="L61" s="46">
        <f t="shared" si="10"/>
      </c>
      <c r="M61" s="80">
        <f t="shared" si="11"/>
      </c>
      <c r="S61" s="22">
        <f>IFERROR(SMALL(发票导入!$AE$5:$AE$2004,54),"")</f>
      </c>
      <c r="T61" s="22">
        <f>IFERROR(SMALL($S$8:$S$507,54),"")</f>
      </c>
      <c r="U61" s="22">
        <f t="shared" si="12"/>
      </c>
      <c r="V61" s="22">
        <f t="shared" si="13"/>
      </c>
      <c r="W61" s="22">
        <f t="shared" si="14"/>
      </c>
    </row>
    <row r="62">
      <c r="A62" s="60">
        <f t="shared" si="7"/>
      </c>
      <c r="B62" s="56">
        <f t="shared" si="8"/>
      </c>
      <c r="C62" s="79">
        <f t="shared" si="0"/>
      </c>
      <c r="D62" s="53">
        <f t="shared" si="1"/>
      </c>
      <c r="E62" s="53">
        <f t="shared" si="2"/>
      </c>
      <c r="F62" s="53">
        <f t="shared" si="3"/>
      </c>
      <c r="G62" s="53">
        <f t="shared" si="4"/>
      </c>
      <c r="H62" s="59">
        <f t="shared" si="5"/>
      </c>
      <c r="I62" s="56">
        <f t="shared" si="6"/>
      </c>
      <c r="J62" s="56">
        <f t="shared" si="9"/>
      </c>
      <c r="L62" s="46">
        <f t="shared" si="10"/>
      </c>
      <c r="M62" s="80">
        <f t="shared" si="11"/>
      </c>
      <c r="S62" s="22">
        <f>IFERROR(SMALL(发票导入!$AE$5:$AE$2004,55),"")</f>
      </c>
      <c r="T62" s="22">
        <f>IFERROR(SMALL($S$8:$S$507,55),"")</f>
      </c>
      <c r="U62" s="22">
        <f t="shared" si="12"/>
      </c>
      <c r="V62" s="22">
        <f t="shared" si="13"/>
      </c>
      <c r="W62" s="22">
        <f t="shared" si="14"/>
      </c>
    </row>
    <row r="63">
      <c r="A63" s="60">
        <f t="shared" si="7"/>
      </c>
      <c r="B63" s="56">
        <f t="shared" si="8"/>
      </c>
      <c r="C63" s="79">
        <f t="shared" si="0"/>
      </c>
      <c r="D63" s="53">
        <f t="shared" si="1"/>
      </c>
      <c r="E63" s="53">
        <f t="shared" si="2"/>
      </c>
      <c r="F63" s="53">
        <f t="shared" si="3"/>
      </c>
      <c r="G63" s="53">
        <f t="shared" si="4"/>
      </c>
      <c r="H63" s="59">
        <f t="shared" si="5"/>
      </c>
      <c r="I63" s="56">
        <f t="shared" si="6"/>
      </c>
      <c r="J63" s="56">
        <f t="shared" si="9"/>
      </c>
      <c r="L63" s="46">
        <f t="shared" si="10"/>
      </c>
      <c r="M63" s="80">
        <f t="shared" si="11"/>
      </c>
      <c r="S63" s="22">
        <f>IFERROR(SMALL(发票导入!$AE$5:$AE$2004,56),"")</f>
      </c>
      <c r="T63" s="22">
        <f>IFERROR(SMALL($S$8:$S$507,56),"")</f>
      </c>
      <c r="U63" s="22">
        <f t="shared" si="12"/>
      </c>
      <c r="V63" s="22">
        <f t="shared" si="13"/>
      </c>
      <c r="W63" s="22">
        <f t="shared" si="14"/>
      </c>
    </row>
    <row r="64">
      <c r="A64" s="60">
        <f t="shared" si="7"/>
      </c>
      <c r="B64" s="56">
        <f t="shared" si="8"/>
      </c>
      <c r="C64" s="79">
        <f t="shared" si="0"/>
      </c>
      <c r="D64" s="53">
        <f t="shared" si="1"/>
      </c>
      <c r="E64" s="53">
        <f t="shared" si="2"/>
      </c>
      <c r="F64" s="53">
        <f t="shared" si="3"/>
      </c>
      <c r="G64" s="53">
        <f t="shared" si="4"/>
      </c>
      <c r="H64" s="59">
        <f t="shared" si="5"/>
      </c>
      <c r="I64" s="56">
        <f t="shared" si="6"/>
      </c>
      <c r="J64" s="56">
        <f t="shared" si="9"/>
      </c>
      <c r="L64" s="46">
        <f t="shared" si="10"/>
      </c>
      <c r="M64" s="80">
        <f t="shared" si="11"/>
      </c>
      <c r="S64" s="22">
        <f>IFERROR(SMALL(发票导入!$AE$5:$AE$2004,57),"")</f>
      </c>
      <c r="T64" s="22">
        <f>IFERROR(SMALL($S$8:$S$507,57),"")</f>
      </c>
      <c r="U64" s="22">
        <f t="shared" si="12"/>
      </c>
      <c r="V64" s="22">
        <f t="shared" si="13"/>
      </c>
      <c r="W64" s="22">
        <f t="shared" si="14"/>
      </c>
    </row>
    <row r="65">
      <c r="A65" s="60">
        <f t="shared" si="7"/>
      </c>
      <c r="B65" s="56">
        <f t="shared" si="8"/>
      </c>
      <c r="C65" s="79">
        <f t="shared" si="0"/>
      </c>
      <c r="D65" s="53">
        <f t="shared" si="1"/>
      </c>
      <c r="E65" s="53">
        <f t="shared" si="2"/>
      </c>
      <c r="F65" s="53">
        <f t="shared" si="3"/>
      </c>
      <c r="G65" s="53">
        <f t="shared" si="4"/>
      </c>
      <c r="H65" s="59">
        <f t="shared" si="5"/>
      </c>
      <c r="I65" s="56">
        <f t="shared" si="6"/>
      </c>
      <c r="J65" s="56">
        <f t="shared" si="9"/>
      </c>
      <c r="L65" s="46">
        <f t="shared" si="10"/>
      </c>
      <c r="M65" s="80">
        <f t="shared" si="11"/>
      </c>
      <c r="S65" s="22">
        <f>IFERROR(SMALL(发票导入!$AE$5:$AE$2004,58),"")</f>
      </c>
      <c r="T65" s="22">
        <f>IFERROR(SMALL($S$8:$S$507,58),"")</f>
      </c>
      <c r="U65" s="22">
        <f t="shared" si="12"/>
      </c>
      <c r="V65" s="22">
        <f t="shared" si="13"/>
      </c>
      <c r="W65" s="22">
        <f t="shared" si="14"/>
      </c>
    </row>
    <row r="66">
      <c r="A66" s="60">
        <f t="shared" si="7"/>
      </c>
      <c r="B66" s="56">
        <f t="shared" si="8"/>
      </c>
      <c r="C66" s="79">
        <f t="shared" si="0"/>
      </c>
      <c r="D66" s="53">
        <f t="shared" si="1"/>
      </c>
      <c r="E66" s="53">
        <f t="shared" si="2"/>
      </c>
      <c r="F66" s="53">
        <f t="shared" si="3"/>
      </c>
      <c r="G66" s="53">
        <f t="shared" si="4"/>
      </c>
      <c r="H66" s="59">
        <f t="shared" si="5"/>
      </c>
      <c r="I66" s="56">
        <f t="shared" si="6"/>
      </c>
      <c r="J66" s="56">
        <f t="shared" si="9"/>
      </c>
      <c r="L66" s="46">
        <f t="shared" si="10"/>
      </c>
      <c r="M66" s="80">
        <f t="shared" si="11"/>
      </c>
      <c r="S66" s="22">
        <f>IFERROR(SMALL(发票导入!$AE$5:$AE$2004,59),"")</f>
      </c>
      <c r="T66" s="22">
        <f>IFERROR(SMALL($S$8:$S$507,59),"")</f>
      </c>
      <c r="U66" s="22">
        <f t="shared" si="12"/>
      </c>
      <c r="V66" s="22">
        <f t="shared" si="13"/>
      </c>
      <c r="W66" s="22">
        <f t="shared" si="14"/>
      </c>
    </row>
    <row r="67">
      <c r="A67" s="60">
        <f t="shared" si="7"/>
      </c>
      <c r="B67" s="56">
        <f t="shared" si="8"/>
      </c>
      <c r="C67" s="79">
        <f t="shared" si="0"/>
      </c>
      <c r="D67" s="53">
        <f t="shared" si="1"/>
      </c>
      <c r="E67" s="53">
        <f t="shared" si="2"/>
      </c>
      <c r="F67" s="53">
        <f t="shared" si="3"/>
      </c>
      <c r="G67" s="53">
        <f t="shared" si="4"/>
      </c>
      <c r="H67" s="59">
        <f t="shared" si="5"/>
      </c>
      <c r="I67" s="56">
        <f t="shared" si="6"/>
      </c>
      <c r="J67" s="56">
        <f t="shared" si="9"/>
      </c>
      <c r="L67" s="46">
        <f t="shared" si="10"/>
      </c>
      <c r="M67" s="80">
        <f t="shared" si="11"/>
      </c>
      <c r="S67" s="22">
        <f>IFERROR(SMALL(发票导入!$AE$5:$AE$2004,60),"")</f>
      </c>
      <c r="T67" s="22">
        <f>IFERROR(SMALL($S$8:$S$507,60),"")</f>
      </c>
      <c r="U67" s="22">
        <f t="shared" si="12"/>
      </c>
      <c r="V67" s="22">
        <f t="shared" si="13"/>
      </c>
      <c r="W67" s="22">
        <f t="shared" si="14"/>
      </c>
    </row>
    <row r="68">
      <c r="A68" s="60">
        <f t="shared" si="7"/>
      </c>
      <c r="B68" s="56">
        <f t="shared" si="8"/>
      </c>
      <c r="C68" s="79">
        <f t="shared" si="0"/>
      </c>
      <c r="D68" s="53">
        <f t="shared" si="1"/>
      </c>
      <c r="E68" s="53">
        <f t="shared" si="2"/>
      </c>
      <c r="F68" s="53">
        <f t="shared" si="3"/>
      </c>
      <c r="G68" s="53">
        <f t="shared" si="4"/>
      </c>
      <c r="H68" s="59">
        <f t="shared" si="5"/>
      </c>
      <c r="I68" s="56">
        <f t="shared" si="6"/>
      </c>
      <c r="J68" s="56">
        <f t="shared" si="9"/>
      </c>
      <c r="L68" s="46">
        <f t="shared" si="10"/>
      </c>
      <c r="M68" s="80">
        <f t="shared" si="11"/>
      </c>
      <c r="S68" s="22">
        <f>IFERROR(SMALL(发票导入!$AE$5:$AE$2004,61),"")</f>
      </c>
      <c r="T68" s="22">
        <f>IFERROR(SMALL($S$8:$S$507,61),"")</f>
      </c>
      <c r="U68" s="22">
        <f t="shared" si="12"/>
      </c>
      <c r="V68" s="22">
        <f t="shared" si="13"/>
      </c>
      <c r="W68" s="22">
        <f t="shared" si="14"/>
      </c>
    </row>
    <row r="69">
      <c r="A69" s="60">
        <f t="shared" si="7"/>
      </c>
      <c r="B69" s="56">
        <f t="shared" si="8"/>
      </c>
      <c r="C69" s="79">
        <f t="shared" si="0"/>
      </c>
      <c r="D69" s="53">
        <f t="shared" si="1"/>
      </c>
      <c r="E69" s="53">
        <f t="shared" si="2"/>
      </c>
      <c r="F69" s="53">
        <f t="shared" si="3"/>
      </c>
      <c r="G69" s="53">
        <f t="shared" si="4"/>
      </c>
      <c r="H69" s="59">
        <f t="shared" si="5"/>
      </c>
      <c r="I69" s="56">
        <f t="shared" si="6"/>
      </c>
      <c r="J69" s="56">
        <f t="shared" si="9"/>
      </c>
      <c r="L69" s="46">
        <f t="shared" si="10"/>
      </c>
      <c r="M69" s="80">
        <f t="shared" si="11"/>
      </c>
      <c r="S69" s="22">
        <f>IFERROR(SMALL(发票导入!$AE$5:$AE$2004,62),"")</f>
      </c>
      <c r="T69" s="22">
        <f>IFERROR(SMALL($S$8:$S$507,62),"")</f>
      </c>
      <c r="U69" s="22">
        <f t="shared" si="12"/>
      </c>
      <c r="V69" s="22">
        <f t="shared" si="13"/>
      </c>
      <c r="W69" s="22">
        <f t="shared" si="14"/>
      </c>
    </row>
    <row r="70">
      <c r="A70" s="60">
        <f t="shared" si="7"/>
      </c>
      <c r="B70" s="56">
        <f t="shared" si="8"/>
      </c>
      <c r="C70" s="79">
        <f t="shared" si="0"/>
      </c>
      <c r="D70" s="53">
        <f t="shared" si="1"/>
      </c>
      <c r="E70" s="53">
        <f t="shared" si="2"/>
      </c>
      <c r="F70" s="53">
        <f t="shared" si="3"/>
      </c>
      <c r="G70" s="53">
        <f t="shared" si="4"/>
      </c>
      <c r="H70" s="59">
        <f t="shared" si="5"/>
      </c>
      <c r="I70" s="56">
        <f t="shared" si="6"/>
      </c>
      <c r="J70" s="56">
        <f t="shared" si="9"/>
      </c>
      <c r="L70" s="46">
        <f t="shared" si="10"/>
      </c>
      <c r="M70" s="80">
        <f t="shared" si="11"/>
      </c>
      <c r="S70" s="22">
        <f>IFERROR(SMALL(发票导入!$AE$5:$AE$2004,63),"")</f>
      </c>
      <c r="T70" s="22">
        <f>IFERROR(SMALL($S$8:$S$507,63),"")</f>
      </c>
      <c r="U70" s="22">
        <f t="shared" si="12"/>
      </c>
      <c r="V70" s="22">
        <f t="shared" si="13"/>
      </c>
      <c r="W70" s="22">
        <f t="shared" si="14"/>
      </c>
    </row>
    <row r="71">
      <c r="A71" s="60">
        <f t="shared" si="7"/>
      </c>
      <c r="B71" s="56">
        <f t="shared" si="8"/>
      </c>
      <c r="C71" s="79">
        <f t="shared" si="0"/>
      </c>
      <c r="D71" s="53">
        <f t="shared" si="1"/>
      </c>
      <c r="E71" s="53">
        <f t="shared" si="2"/>
      </c>
      <c r="F71" s="53">
        <f t="shared" si="3"/>
      </c>
      <c r="G71" s="53">
        <f t="shared" si="4"/>
      </c>
      <c r="H71" s="59">
        <f t="shared" si="5"/>
      </c>
      <c r="I71" s="56">
        <f t="shared" si="6"/>
      </c>
      <c r="J71" s="56">
        <f t="shared" si="9"/>
      </c>
      <c r="L71" s="46">
        <f t="shared" si="10"/>
      </c>
      <c r="M71" s="80">
        <f t="shared" si="11"/>
      </c>
      <c r="S71" s="22">
        <f>IFERROR(SMALL(发票导入!$AE$5:$AE$2004,64),"")</f>
      </c>
      <c r="T71" s="22">
        <f>IFERROR(SMALL($S$8:$S$507,64),"")</f>
      </c>
      <c r="U71" s="22">
        <f t="shared" si="12"/>
      </c>
      <c r="V71" s="22">
        <f t="shared" si="13"/>
      </c>
      <c r="W71" s="22">
        <f t="shared" si="14"/>
      </c>
    </row>
    <row r="72">
      <c r="A72" s="60">
        <f t="shared" si="7"/>
      </c>
      <c r="B72" s="56">
        <f t="shared" si="8"/>
      </c>
      <c r="C72" s="79">
        <f t="shared" si="0"/>
      </c>
      <c r="D72" s="53">
        <f t="shared" si="1"/>
      </c>
      <c r="E72" s="53">
        <f t="shared" si="2"/>
      </c>
      <c r="F72" s="53">
        <f t="shared" si="3"/>
      </c>
      <c r="G72" s="53">
        <f t="shared" si="4"/>
      </c>
      <c r="H72" s="59">
        <f t="shared" si="5"/>
      </c>
      <c r="I72" s="56">
        <f t="shared" si="6"/>
      </c>
      <c r="J72" s="56">
        <f t="shared" si="9"/>
      </c>
      <c r="L72" s="46">
        <f t="shared" si="10"/>
      </c>
      <c r="M72" s="80">
        <f t="shared" si="11"/>
      </c>
      <c r="S72" s="22">
        <f>IFERROR(SMALL(发票导入!$AE$5:$AE$2004,65),"")</f>
      </c>
      <c r="T72" s="22">
        <f>IFERROR(SMALL($S$8:$S$507,65),"")</f>
      </c>
      <c r="U72" s="22">
        <f t="shared" si="12"/>
      </c>
      <c r="V72" s="22">
        <f t="shared" si="13"/>
      </c>
      <c r="W72" s="22">
        <f t="shared" si="14"/>
      </c>
    </row>
    <row r="73">
      <c r="A73" s="60">
        <f t="shared" si="7"/>
      </c>
      <c r="B73" s="56">
        <f t="shared" si="8"/>
      </c>
      <c r="C73" s="79">
        <f t="shared" si="0"/>
      </c>
      <c r="D73" s="53">
        <f t="shared" si="1"/>
      </c>
      <c r="E73" s="53">
        <f t="shared" si="2"/>
      </c>
      <c r="F73" s="53">
        <f t="shared" si="3"/>
      </c>
      <c r="G73" s="53">
        <f t="shared" si="4"/>
      </c>
      <c r="H73" s="59">
        <f t="shared" si="5"/>
      </c>
      <c r="I73" s="56">
        <f t="shared" si="6"/>
      </c>
      <c r="J73" s="56">
        <f t="shared" si="9"/>
      </c>
      <c r="L73" s="46">
        <f t="shared" si="10"/>
      </c>
      <c r="M73" s="80">
        <f t="shared" si="11"/>
      </c>
      <c r="S73" s="22">
        <f>IFERROR(SMALL(发票导入!$AE$5:$AE$2004,66),"")</f>
      </c>
      <c r="T73" s="22">
        <f>IFERROR(SMALL($S$8:$S$507,66),"")</f>
      </c>
      <c r="U73" s="22">
        <f t="shared" si="12"/>
      </c>
      <c r="V73" s="22">
        <f t="shared" si="13"/>
      </c>
      <c r="W73" s="22">
        <f t="shared" si="14"/>
      </c>
    </row>
    <row r="74">
      <c r="A74" s="60">
        <f t="shared" si="7"/>
      </c>
      <c r="B74" s="56">
        <f t="shared" si="8"/>
      </c>
      <c r="C74" s="79">
        <f t="shared" si="0"/>
      </c>
      <c r="D74" s="53">
        <f t="shared" si="1"/>
      </c>
      <c r="E74" s="53">
        <f t="shared" si="2"/>
      </c>
      <c r="F74" s="53">
        <f t="shared" si="3"/>
      </c>
      <c r="G74" s="53">
        <f t="shared" si="4"/>
      </c>
      <c r="H74" s="59">
        <f t="shared" si="5"/>
      </c>
      <c r="I74" s="56">
        <f t="shared" si="6"/>
      </c>
      <c r="J74" s="56">
        <f t="shared" si="9"/>
      </c>
      <c r="L74" s="46">
        <f t="shared" si="10"/>
      </c>
      <c r="M74" s="80">
        <f t="shared" si="11"/>
      </c>
      <c r="S74" s="22">
        <f>IFERROR(SMALL(发票导入!$AE$5:$AE$2004,67),"")</f>
      </c>
      <c r="T74" s="22">
        <f>IFERROR(SMALL($S$8:$S$507,67),"")</f>
      </c>
      <c r="U74" s="22">
        <f t="shared" si="12"/>
      </c>
      <c r="V74" s="22">
        <f t="shared" si="13"/>
      </c>
      <c r="W74" s="22">
        <f t="shared" si="14"/>
      </c>
    </row>
    <row r="75">
      <c r="A75" s="60">
        <f t="shared" si="7"/>
      </c>
      <c r="B75" s="56">
        <f t="shared" si="8"/>
      </c>
      <c r="C75" s="79">
        <f t="shared" si="0"/>
      </c>
      <c r="D75" s="53">
        <f t="shared" si="1"/>
      </c>
      <c r="E75" s="53">
        <f t="shared" si="2"/>
      </c>
      <c r="F75" s="53">
        <f t="shared" si="3"/>
      </c>
      <c r="G75" s="53">
        <f t="shared" si="4"/>
      </c>
      <c r="H75" s="59">
        <f t="shared" si="5"/>
      </c>
      <c r="I75" s="56">
        <f t="shared" si="6"/>
      </c>
      <c r="J75" s="56">
        <f t="shared" si="9"/>
      </c>
      <c r="L75" s="46">
        <f t="shared" si="10"/>
      </c>
      <c r="M75" s="80">
        <f t="shared" si="11"/>
      </c>
      <c r="S75" s="22">
        <f>IFERROR(SMALL(发票导入!$AE$5:$AE$2004,68),"")</f>
      </c>
      <c r="T75" s="22">
        <f>IFERROR(SMALL($S$8:$S$507,68),"")</f>
      </c>
      <c r="U75" s="22">
        <f t="shared" si="12"/>
      </c>
      <c r="V75" s="22">
        <f t="shared" si="13"/>
      </c>
      <c r="W75" s="22">
        <f t="shared" si="14"/>
      </c>
    </row>
    <row r="76">
      <c r="A76" s="60">
        <f t="shared" si="7"/>
      </c>
      <c r="B76" s="56">
        <f t="shared" si="8"/>
      </c>
      <c r="C76" s="79">
        <f t="shared" si="0"/>
      </c>
      <c r="D76" s="53">
        <f t="shared" si="1"/>
      </c>
      <c r="E76" s="53">
        <f t="shared" si="2"/>
      </c>
      <c r="F76" s="53">
        <f t="shared" si="3"/>
      </c>
      <c r="G76" s="53">
        <f t="shared" si="4"/>
      </c>
      <c r="H76" s="59">
        <f t="shared" si="5"/>
      </c>
      <c r="I76" s="56">
        <f t="shared" si="6"/>
      </c>
      <c r="J76" s="56">
        <f t="shared" si="9"/>
      </c>
      <c r="L76" s="46">
        <f t="shared" si="10"/>
      </c>
      <c r="M76" s="80">
        <f t="shared" si="11"/>
      </c>
      <c r="S76" s="22">
        <f>IFERROR(SMALL(发票导入!$AE$5:$AE$2004,69),"")</f>
      </c>
      <c r="T76" s="22">
        <f>IFERROR(SMALL($S$8:$S$507,69),"")</f>
      </c>
      <c r="U76" s="22">
        <f t="shared" si="12"/>
      </c>
      <c r="V76" s="22">
        <f t="shared" si="13"/>
      </c>
      <c r="W76" s="22">
        <f t="shared" si="14"/>
      </c>
    </row>
    <row r="77">
      <c r="A77" s="60">
        <f t="shared" si="7"/>
      </c>
      <c r="B77" s="56">
        <f t="shared" si="8"/>
      </c>
      <c r="C77" s="79">
        <f t="shared" si="0"/>
      </c>
      <c r="D77" s="53">
        <f t="shared" si="1"/>
      </c>
      <c r="E77" s="53">
        <f t="shared" si="2"/>
      </c>
      <c r="F77" s="53">
        <f t="shared" si="3"/>
      </c>
      <c r="G77" s="53">
        <f t="shared" si="4"/>
      </c>
      <c r="H77" s="59">
        <f t="shared" si="5"/>
      </c>
      <c r="I77" s="56">
        <f t="shared" si="6"/>
      </c>
      <c r="J77" s="56">
        <f t="shared" si="9"/>
      </c>
      <c r="L77" s="46">
        <f t="shared" si="10"/>
      </c>
      <c r="M77" s="80">
        <f t="shared" si="11"/>
      </c>
      <c r="S77" s="22">
        <f>IFERROR(SMALL(发票导入!$AE$5:$AE$2004,70),"")</f>
      </c>
      <c r="T77" s="22">
        <f>IFERROR(SMALL($S$8:$S$507,70),"")</f>
      </c>
      <c r="U77" s="22">
        <f t="shared" si="12"/>
      </c>
      <c r="V77" s="22">
        <f t="shared" si="13"/>
      </c>
      <c r="W77" s="22">
        <f t="shared" si="14"/>
      </c>
    </row>
    <row r="78">
      <c r="A78" s="60">
        <f t="shared" si="7"/>
      </c>
      <c r="B78" s="56">
        <f t="shared" si="8"/>
      </c>
      <c r="C78" s="79">
        <f t="shared" si="0"/>
      </c>
      <c r="D78" s="53">
        <f t="shared" si="1"/>
      </c>
      <c r="E78" s="53">
        <f t="shared" si="2"/>
      </c>
      <c r="F78" s="53">
        <f t="shared" si="3"/>
      </c>
      <c r="G78" s="53">
        <f t="shared" si="4"/>
      </c>
      <c r="H78" s="59">
        <f t="shared" si="5"/>
      </c>
      <c r="I78" s="56">
        <f t="shared" si="6"/>
      </c>
      <c r="J78" s="56">
        <f t="shared" si="9"/>
      </c>
      <c r="L78" s="46">
        <f t="shared" si="10"/>
      </c>
      <c r="M78" s="80">
        <f t="shared" si="11"/>
      </c>
      <c r="S78" s="22">
        <f>IFERROR(SMALL(发票导入!$AE$5:$AE$2004,71),"")</f>
      </c>
      <c r="T78" s="22">
        <f>IFERROR(SMALL($S$8:$S$507,71),"")</f>
      </c>
      <c r="U78" s="22">
        <f t="shared" si="12"/>
      </c>
      <c r="V78" s="22">
        <f t="shared" si="13"/>
      </c>
      <c r="W78" s="22">
        <f t="shared" si="14"/>
      </c>
    </row>
    <row r="79">
      <c r="A79" s="60">
        <f t="shared" si="7"/>
      </c>
      <c r="B79" s="56">
        <f t="shared" si="8"/>
      </c>
      <c r="C79" s="79">
        <f t="shared" si="0"/>
      </c>
      <c r="D79" s="53">
        <f t="shared" si="1"/>
      </c>
      <c r="E79" s="53">
        <f t="shared" si="2"/>
      </c>
      <c r="F79" s="53">
        <f t="shared" si="3"/>
      </c>
      <c r="G79" s="53">
        <f t="shared" si="4"/>
      </c>
      <c r="H79" s="59">
        <f t="shared" si="5"/>
      </c>
      <c r="I79" s="56">
        <f t="shared" si="6"/>
      </c>
      <c r="J79" s="56">
        <f t="shared" si="9"/>
      </c>
      <c r="L79" s="46">
        <f t="shared" si="10"/>
      </c>
      <c r="M79" s="80">
        <f t="shared" si="11"/>
      </c>
      <c r="S79" s="22">
        <f>IFERROR(SMALL(发票导入!$AE$5:$AE$2004,72),"")</f>
      </c>
      <c r="T79" s="22">
        <f>IFERROR(SMALL($S$8:$S$507,72),"")</f>
      </c>
      <c r="U79" s="22">
        <f t="shared" si="12"/>
      </c>
      <c r="V79" s="22">
        <f t="shared" si="13"/>
      </c>
      <c r="W79" s="22">
        <f t="shared" si="14"/>
      </c>
    </row>
    <row r="80">
      <c r="A80" s="60">
        <f t="shared" si="7"/>
      </c>
      <c r="B80" s="56">
        <f t="shared" si="8"/>
      </c>
      <c r="C80" s="79">
        <f t="shared" si="0"/>
      </c>
      <c r="D80" s="53">
        <f t="shared" si="1"/>
      </c>
      <c r="E80" s="53">
        <f t="shared" si="2"/>
      </c>
      <c r="F80" s="53">
        <f t="shared" si="3"/>
      </c>
      <c r="G80" s="53">
        <f t="shared" si="4"/>
      </c>
      <c r="H80" s="59">
        <f t="shared" si="5"/>
      </c>
      <c r="I80" s="56">
        <f t="shared" si="6"/>
      </c>
      <c r="J80" s="56">
        <f t="shared" si="9"/>
      </c>
      <c r="L80" s="46">
        <f t="shared" si="10"/>
      </c>
      <c r="M80" s="80">
        <f t="shared" si="11"/>
      </c>
      <c r="S80" s="22">
        <f>IFERROR(SMALL(发票导入!$AE$5:$AE$2004,73),"")</f>
      </c>
      <c r="T80" s="22">
        <f>IFERROR(SMALL($S$8:$S$507,73),"")</f>
      </c>
      <c r="U80" s="22">
        <f t="shared" si="12"/>
      </c>
      <c r="V80" s="22">
        <f t="shared" si="13"/>
      </c>
      <c r="W80" s="22">
        <f t="shared" si="14"/>
      </c>
    </row>
    <row r="81">
      <c r="A81" s="60">
        <f t="shared" si="7"/>
      </c>
      <c r="B81" s="56">
        <f t="shared" si="8"/>
      </c>
      <c r="C81" s="79">
        <f t="shared" si="0"/>
      </c>
      <c r="D81" s="53">
        <f t="shared" si="1"/>
      </c>
      <c r="E81" s="53">
        <f t="shared" si="2"/>
      </c>
      <c r="F81" s="53">
        <f t="shared" si="3"/>
      </c>
      <c r="G81" s="53">
        <f t="shared" si="4"/>
      </c>
      <c r="H81" s="59">
        <f t="shared" si="5"/>
      </c>
      <c r="I81" s="56">
        <f t="shared" si="6"/>
      </c>
      <c r="J81" s="56">
        <f t="shared" si="9"/>
      </c>
      <c r="L81" s="46">
        <f t="shared" si="10"/>
      </c>
      <c r="M81" s="80">
        <f t="shared" si="11"/>
      </c>
      <c r="S81" s="22">
        <f>IFERROR(SMALL(发票导入!$AE$5:$AE$2004,74),"")</f>
      </c>
      <c r="T81" s="22">
        <f>IFERROR(SMALL($S$8:$S$507,74),"")</f>
      </c>
      <c r="U81" s="22">
        <f t="shared" si="12"/>
      </c>
      <c r="V81" s="22">
        <f t="shared" si="13"/>
      </c>
      <c r="W81" s="22">
        <f t="shared" si="14"/>
      </c>
    </row>
    <row r="82">
      <c r="A82" s="60">
        <f t="shared" si="7"/>
      </c>
      <c r="B82" s="56">
        <f t="shared" si="8"/>
      </c>
      <c r="C82" s="79">
        <f t="shared" si="0"/>
      </c>
      <c r="D82" s="53">
        <f t="shared" si="1"/>
      </c>
      <c r="E82" s="53">
        <f t="shared" si="2"/>
      </c>
      <c r="F82" s="53">
        <f t="shared" si="3"/>
      </c>
      <c r="G82" s="53">
        <f t="shared" si="4"/>
      </c>
      <c r="H82" s="59">
        <f t="shared" si="5"/>
      </c>
      <c r="I82" s="56">
        <f t="shared" si="6"/>
      </c>
      <c r="J82" s="56">
        <f t="shared" si="9"/>
      </c>
      <c r="L82" s="46">
        <f t="shared" si="10"/>
      </c>
      <c r="M82" s="80">
        <f t="shared" si="11"/>
      </c>
      <c r="S82" s="22">
        <f>IFERROR(SMALL(发票导入!$AE$5:$AE$2004,75),"")</f>
      </c>
      <c r="T82" s="22">
        <f>IFERROR(SMALL($S$8:$S$507,75),"")</f>
      </c>
      <c r="U82" s="22">
        <f t="shared" si="12"/>
      </c>
      <c r="V82" s="22">
        <f t="shared" si="13"/>
      </c>
      <c r="W82" s="22">
        <f t="shared" si="14"/>
      </c>
    </row>
    <row r="83">
      <c r="A83" s="60">
        <f t="shared" si="7"/>
      </c>
      <c r="B83" s="56">
        <f t="shared" si="8"/>
      </c>
      <c r="C83" s="79">
        <f t="shared" si="0"/>
      </c>
      <c r="D83" s="53">
        <f t="shared" si="1"/>
      </c>
      <c r="E83" s="53">
        <f t="shared" si="2"/>
      </c>
      <c r="F83" s="53">
        <f t="shared" si="3"/>
      </c>
      <c r="G83" s="53">
        <f t="shared" si="4"/>
      </c>
      <c r="H83" s="59">
        <f t="shared" si="5"/>
      </c>
      <c r="I83" s="56">
        <f t="shared" si="6"/>
      </c>
      <c r="J83" s="56">
        <f t="shared" si="9"/>
      </c>
      <c r="L83" s="46">
        <f t="shared" si="10"/>
      </c>
      <c r="M83" s="80">
        <f t="shared" si="11"/>
      </c>
      <c r="S83" s="22">
        <f>IFERROR(SMALL(发票导入!$AE$5:$AE$2004,76),"")</f>
      </c>
      <c r="T83" s="22">
        <f>IFERROR(SMALL($S$8:$S$507,76),"")</f>
      </c>
      <c r="U83" s="22">
        <f t="shared" si="12"/>
      </c>
      <c r="V83" s="22">
        <f t="shared" si="13"/>
      </c>
      <c r="W83" s="22">
        <f t="shared" si="14"/>
      </c>
    </row>
    <row r="84">
      <c r="A84" s="60">
        <f t="shared" si="7"/>
      </c>
      <c r="B84" s="56">
        <f t="shared" si="8"/>
      </c>
      <c r="C84" s="79">
        <f t="shared" si="0"/>
      </c>
      <c r="D84" s="53">
        <f t="shared" si="1"/>
      </c>
      <c r="E84" s="53">
        <f t="shared" si="2"/>
      </c>
      <c r="F84" s="53">
        <f t="shared" si="3"/>
      </c>
      <c r="G84" s="53">
        <f t="shared" si="4"/>
      </c>
      <c r="H84" s="59">
        <f t="shared" si="5"/>
      </c>
      <c r="I84" s="56">
        <f t="shared" si="6"/>
      </c>
      <c r="J84" s="56">
        <f t="shared" si="9"/>
      </c>
      <c r="L84" s="46">
        <f t="shared" si="10"/>
      </c>
      <c r="M84" s="80">
        <f t="shared" si="11"/>
      </c>
      <c r="S84" s="22">
        <f>IFERROR(SMALL(发票导入!$AE$5:$AE$2004,77),"")</f>
      </c>
      <c r="T84" s="22">
        <f>IFERROR(SMALL($S$8:$S$507,77),"")</f>
      </c>
      <c r="U84" s="22">
        <f t="shared" si="12"/>
      </c>
      <c r="V84" s="22">
        <f t="shared" si="13"/>
      </c>
      <c r="W84" s="22">
        <f t="shared" si="14"/>
      </c>
    </row>
    <row r="85">
      <c r="A85" s="60">
        <f t="shared" si="7"/>
      </c>
      <c r="B85" s="56">
        <f t="shared" si="8"/>
      </c>
      <c r="C85" s="79">
        <f t="shared" si="0"/>
      </c>
      <c r="D85" s="53">
        <f t="shared" si="1"/>
      </c>
      <c r="E85" s="53">
        <f t="shared" si="2"/>
      </c>
      <c r="F85" s="53">
        <f t="shared" si="3"/>
      </c>
      <c r="G85" s="53">
        <f t="shared" si="4"/>
      </c>
      <c r="H85" s="59">
        <f t="shared" si="5"/>
      </c>
      <c r="I85" s="56">
        <f t="shared" si="6"/>
      </c>
      <c r="J85" s="56">
        <f t="shared" si="9"/>
      </c>
      <c r="L85" s="46">
        <f t="shared" si="10"/>
      </c>
      <c r="M85" s="80">
        <f t="shared" si="11"/>
      </c>
      <c r="S85" s="22">
        <f>IFERROR(SMALL(发票导入!$AE$5:$AE$2004,78),"")</f>
      </c>
      <c r="T85" s="22">
        <f>IFERROR(SMALL($S$8:$S$507,78),"")</f>
      </c>
      <c r="U85" s="22">
        <f t="shared" si="12"/>
      </c>
      <c r="V85" s="22">
        <f t="shared" si="13"/>
      </c>
      <c r="W85" s="22">
        <f t="shared" si="14"/>
      </c>
    </row>
    <row r="86">
      <c r="A86" s="60">
        <f t="shared" si="7"/>
      </c>
      <c r="B86" s="56">
        <f t="shared" si="8"/>
      </c>
      <c r="C86" s="79">
        <f t="shared" si="0"/>
      </c>
      <c r="D86" s="53">
        <f t="shared" si="1"/>
      </c>
      <c r="E86" s="53">
        <f t="shared" si="2"/>
      </c>
      <c r="F86" s="53">
        <f t="shared" si="3"/>
      </c>
      <c r="G86" s="53">
        <f t="shared" si="4"/>
      </c>
      <c r="H86" s="59">
        <f t="shared" si="5"/>
      </c>
      <c r="I86" s="56">
        <f t="shared" si="6"/>
      </c>
      <c r="J86" s="56">
        <f t="shared" si="9"/>
      </c>
      <c r="L86" s="46">
        <f t="shared" si="10"/>
      </c>
      <c r="M86" s="80">
        <f t="shared" si="11"/>
      </c>
      <c r="S86" s="22">
        <f>IFERROR(SMALL(发票导入!$AE$5:$AE$2004,79),"")</f>
      </c>
      <c r="T86" s="22">
        <f>IFERROR(SMALL($S$8:$S$507,79),"")</f>
      </c>
      <c r="U86" s="22">
        <f t="shared" si="12"/>
      </c>
      <c r="V86" s="22">
        <f t="shared" si="13"/>
      </c>
      <c r="W86" s="22">
        <f t="shared" si="14"/>
      </c>
    </row>
    <row r="87">
      <c r="A87" s="60">
        <f t="shared" si="7"/>
      </c>
      <c r="B87" s="56">
        <f t="shared" si="8"/>
      </c>
      <c r="C87" s="79">
        <f t="shared" si="0"/>
      </c>
      <c r="D87" s="53">
        <f t="shared" si="1"/>
      </c>
      <c r="E87" s="53">
        <f t="shared" si="2"/>
      </c>
      <c r="F87" s="53">
        <f t="shared" si="3"/>
      </c>
      <c r="G87" s="53">
        <f t="shared" si="4"/>
      </c>
      <c r="H87" s="59">
        <f t="shared" si="5"/>
      </c>
      <c r="I87" s="56">
        <f t="shared" si="6"/>
      </c>
      <c r="J87" s="56">
        <f t="shared" si="9"/>
      </c>
      <c r="L87" s="46">
        <f t="shared" si="10"/>
      </c>
      <c r="M87" s="80">
        <f t="shared" si="11"/>
      </c>
      <c r="S87" s="22">
        <f>IFERROR(SMALL(发票导入!$AE$5:$AE$2004,80),"")</f>
      </c>
      <c r="T87" s="22">
        <f>IFERROR(SMALL($S$8:$S$507,80),"")</f>
      </c>
      <c r="U87" s="22">
        <f t="shared" si="12"/>
      </c>
      <c r="V87" s="22">
        <f t="shared" si="13"/>
      </c>
      <c r="W87" s="22">
        <f t="shared" si="14"/>
      </c>
    </row>
    <row r="88">
      <c r="A88" s="60">
        <f t="shared" si="7"/>
      </c>
      <c r="B88" s="56">
        <f t="shared" si="8"/>
      </c>
      <c r="C88" s="79">
        <f t="shared" si="0"/>
      </c>
      <c r="D88" s="53">
        <f t="shared" si="1"/>
      </c>
      <c r="E88" s="53">
        <f t="shared" si="2"/>
      </c>
      <c r="F88" s="53">
        <f t="shared" si="3"/>
      </c>
      <c r="G88" s="53">
        <f t="shared" si="4"/>
      </c>
      <c r="H88" s="59">
        <f t="shared" si="5"/>
      </c>
      <c r="I88" s="56">
        <f t="shared" si="6"/>
      </c>
      <c r="J88" s="56">
        <f t="shared" si="9"/>
      </c>
      <c r="L88" s="46">
        <f t="shared" si="10"/>
      </c>
      <c r="M88" s="80">
        <f t="shared" si="11"/>
      </c>
      <c r="S88" s="22">
        <f>IFERROR(SMALL(发票导入!$AE$5:$AE$2004,81),"")</f>
      </c>
      <c r="T88" s="22">
        <f>IFERROR(SMALL($S$8:$S$507,81),"")</f>
      </c>
      <c r="U88" s="22">
        <f t="shared" si="12"/>
      </c>
      <c r="V88" s="22">
        <f t="shared" si="13"/>
      </c>
      <c r="W88" s="22">
        <f t="shared" si="14"/>
      </c>
    </row>
    <row r="89">
      <c r="A89" s="60">
        <f t="shared" si="7"/>
      </c>
      <c r="B89" s="56">
        <f t="shared" si="8"/>
      </c>
      <c r="C89" s="79">
        <f t="shared" si="0"/>
      </c>
      <c r="D89" s="53">
        <f t="shared" si="1"/>
      </c>
      <c r="E89" s="53">
        <f t="shared" si="2"/>
      </c>
      <c r="F89" s="53">
        <f t="shared" si="3"/>
      </c>
      <c r="G89" s="53">
        <f t="shared" si="4"/>
      </c>
      <c r="H89" s="59">
        <f t="shared" si="5"/>
      </c>
      <c r="I89" s="56">
        <f t="shared" si="6"/>
      </c>
      <c r="J89" s="56">
        <f t="shared" si="9"/>
      </c>
      <c r="L89" s="46">
        <f t="shared" si="10"/>
      </c>
      <c r="M89" s="80">
        <f t="shared" si="11"/>
      </c>
      <c r="S89" s="22">
        <f>IFERROR(SMALL(发票导入!$AE$5:$AE$2004,82),"")</f>
      </c>
      <c r="T89" s="22">
        <f>IFERROR(SMALL($S$8:$S$507,82),"")</f>
      </c>
      <c r="U89" s="22">
        <f t="shared" si="12"/>
      </c>
      <c r="V89" s="22">
        <f t="shared" si="13"/>
      </c>
      <c r="W89" s="22">
        <f t="shared" si="14"/>
      </c>
    </row>
    <row r="90">
      <c r="A90" s="60">
        <f t="shared" si="7"/>
      </c>
      <c r="B90" s="56">
        <f t="shared" si="8"/>
      </c>
      <c r="C90" s="79">
        <f t="shared" si="0"/>
      </c>
      <c r="D90" s="53">
        <f t="shared" si="1"/>
      </c>
      <c r="E90" s="53">
        <f t="shared" si="2"/>
      </c>
      <c r="F90" s="53">
        <f t="shared" si="3"/>
      </c>
      <c r="G90" s="53">
        <f t="shared" si="4"/>
      </c>
      <c r="H90" s="59">
        <f t="shared" si="5"/>
      </c>
      <c r="I90" s="56">
        <f t="shared" si="6"/>
      </c>
      <c r="J90" s="56">
        <f t="shared" si="9"/>
      </c>
      <c r="L90" s="46">
        <f t="shared" si="10"/>
      </c>
      <c r="M90" s="80">
        <f t="shared" si="11"/>
      </c>
      <c r="S90" s="22">
        <f>IFERROR(SMALL(发票导入!$AE$5:$AE$2004,83),"")</f>
      </c>
      <c r="T90" s="22">
        <f>IFERROR(SMALL($S$8:$S$507,83),"")</f>
      </c>
      <c r="U90" s="22">
        <f t="shared" si="12"/>
      </c>
      <c r="V90" s="22">
        <f t="shared" si="13"/>
      </c>
      <c r="W90" s="22">
        <f t="shared" si="14"/>
      </c>
    </row>
    <row r="91">
      <c r="A91" s="60">
        <f t="shared" si="7"/>
      </c>
      <c r="B91" s="56">
        <f t="shared" si="8"/>
      </c>
      <c r="C91" s="79">
        <f t="shared" si="0"/>
      </c>
      <c r="D91" s="53">
        <f t="shared" si="1"/>
      </c>
      <c r="E91" s="53">
        <f t="shared" si="2"/>
      </c>
      <c r="F91" s="53">
        <f t="shared" si="3"/>
      </c>
      <c r="G91" s="53">
        <f t="shared" si="4"/>
      </c>
      <c r="H91" s="59">
        <f t="shared" si="5"/>
      </c>
      <c r="I91" s="56">
        <f t="shared" si="6"/>
      </c>
      <c r="J91" s="56">
        <f t="shared" si="9"/>
      </c>
      <c r="L91" s="46">
        <f t="shared" si="10"/>
      </c>
      <c r="M91" s="80">
        <f t="shared" si="11"/>
      </c>
      <c r="S91" s="22">
        <f>IFERROR(SMALL(发票导入!$AE$5:$AE$2004,84),"")</f>
      </c>
      <c r="T91" s="22">
        <f>IFERROR(SMALL($S$8:$S$507,84),"")</f>
      </c>
      <c r="U91" s="22">
        <f t="shared" si="12"/>
      </c>
      <c r="V91" s="22">
        <f t="shared" si="13"/>
      </c>
      <c r="W91" s="22">
        <f t="shared" si="14"/>
      </c>
    </row>
    <row r="92">
      <c r="A92" s="60">
        <f t="shared" si="7"/>
      </c>
      <c r="B92" s="56">
        <f t="shared" si="8"/>
      </c>
      <c r="C92" s="79">
        <f t="shared" si="0"/>
      </c>
      <c r="D92" s="53">
        <f t="shared" si="1"/>
      </c>
      <c r="E92" s="53">
        <f t="shared" si="2"/>
      </c>
      <c r="F92" s="53">
        <f t="shared" si="3"/>
      </c>
      <c r="G92" s="53">
        <f t="shared" si="4"/>
      </c>
      <c r="H92" s="59">
        <f t="shared" si="5"/>
      </c>
      <c r="I92" s="56">
        <f t="shared" si="6"/>
      </c>
      <c r="J92" s="56">
        <f t="shared" si="9"/>
      </c>
      <c r="L92" s="46">
        <f t="shared" si="10"/>
      </c>
      <c r="M92" s="80">
        <f t="shared" si="11"/>
      </c>
      <c r="S92" s="22">
        <f>IFERROR(SMALL(发票导入!$AE$5:$AE$2004,85),"")</f>
      </c>
      <c r="T92" s="22">
        <f>IFERROR(SMALL($S$8:$S$507,85),"")</f>
      </c>
      <c r="U92" s="22">
        <f t="shared" si="12"/>
      </c>
      <c r="V92" s="22">
        <f t="shared" si="13"/>
      </c>
      <c r="W92" s="22">
        <f t="shared" si="14"/>
      </c>
    </row>
    <row r="93">
      <c r="A93" s="60">
        <f t="shared" si="7"/>
      </c>
      <c r="B93" s="56">
        <f t="shared" si="8"/>
      </c>
      <c r="C93" s="79">
        <f t="shared" si="0"/>
      </c>
      <c r="D93" s="53">
        <f t="shared" si="1"/>
      </c>
      <c r="E93" s="53">
        <f t="shared" si="2"/>
      </c>
      <c r="F93" s="53">
        <f t="shared" si="3"/>
      </c>
      <c r="G93" s="53">
        <f t="shared" si="4"/>
      </c>
      <c r="H93" s="59">
        <f t="shared" si="5"/>
      </c>
      <c r="I93" s="56">
        <f t="shared" si="6"/>
      </c>
      <c r="J93" s="56">
        <f t="shared" si="9"/>
      </c>
      <c r="L93" s="46">
        <f t="shared" si="10"/>
      </c>
      <c r="M93" s="80">
        <f t="shared" si="11"/>
      </c>
      <c r="S93" s="22">
        <f>IFERROR(SMALL(发票导入!$AE$5:$AE$2004,86),"")</f>
      </c>
      <c r="T93" s="22">
        <f>IFERROR(SMALL($S$8:$S$507,86),"")</f>
      </c>
      <c r="U93" s="22">
        <f t="shared" si="12"/>
      </c>
      <c r="V93" s="22">
        <f t="shared" si="13"/>
      </c>
      <c r="W93" s="22">
        <f t="shared" si="14"/>
      </c>
    </row>
    <row r="94">
      <c r="A94" s="60">
        <f t="shared" si="7"/>
      </c>
      <c r="B94" s="56">
        <f t="shared" si="8"/>
      </c>
      <c r="C94" s="79">
        <f t="shared" si="0"/>
      </c>
      <c r="D94" s="53">
        <f t="shared" si="1"/>
      </c>
      <c r="E94" s="53">
        <f t="shared" si="2"/>
      </c>
      <c r="F94" s="53">
        <f t="shared" si="3"/>
      </c>
      <c r="G94" s="53">
        <f t="shared" si="4"/>
      </c>
      <c r="H94" s="59">
        <f t="shared" si="5"/>
      </c>
      <c r="I94" s="56">
        <f t="shared" si="6"/>
      </c>
      <c r="J94" s="56">
        <f t="shared" si="9"/>
      </c>
      <c r="L94" s="46">
        <f t="shared" si="10"/>
      </c>
      <c r="M94" s="80">
        <f t="shared" si="11"/>
      </c>
      <c r="S94" s="22">
        <f>IFERROR(SMALL(发票导入!$AE$5:$AE$2004,87),"")</f>
      </c>
      <c r="T94" s="22">
        <f>IFERROR(SMALL($S$8:$S$507,87),"")</f>
      </c>
      <c r="U94" s="22">
        <f t="shared" si="12"/>
      </c>
      <c r="V94" s="22">
        <f t="shared" si="13"/>
      </c>
      <c r="W94" s="22">
        <f t="shared" si="14"/>
      </c>
    </row>
    <row r="95">
      <c r="A95" s="60">
        <f t="shared" si="7"/>
      </c>
      <c r="B95" s="56">
        <f t="shared" si="8"/>
      </c>
      <c r="C95" s="79">
        <f t="shared" si="0"/>
      </c>
      <c r="D95" s="53">
        <f t="shared" si="1"/>
      </c>
      <c r="E95" s="53">
        <f t="shared" si="2"/>
      </c>
      <c r="F95" s="53">
        <f t="shared" si="3"/>
      </c>
      <c r="G95" s="53">
        <f t="shared" si="4"/>
      </c>
      <c r="H95" s="59">
        <f t="shared" si="5"/>
      </c>
      <c r="I95" s="56">
        <f t="shared" si="6"/>
      </c>
      <c r="J95" s="56">
        <f t="shared" si="9"/>
      </c>
      <c r="L95" s="46">
        <f t="shared" si="10"/>
      </c>
      <c r="M95" s="80">
        <f t="shared" si="11"/>
      </c>
      <c r="S95" s="22">
        <f>IFERROR(SMALL(发票导入!$AE$5:$AE$2004,88),"")</f>
      </c>
      <c r="T95" s="22">
        <f>IFERROR(SMALL($S$8:$S$507,88),"")</f>
      </c>
      <c r="U95" s="22">
        <f t="shared" si="12"/>
      </c>
      <c r="V95" s="22">
        <f t="shared" si="13"/>
      </c>
      <c r="W95" s="22">
        <f t="shared" si="14"/>
      </c>
    </row>
    <row r="96">
      <c r="A96" s="60">
        <f t="shared" si="7"/>
      </c>
      <c r="B96" s="56">
        <f t="shared" si="8"/>
      </c>
      <c r="C96" s="79">
        <f t="shared" si="0"/>
      </c>
      <c r="D96" s="53">
        <f t="shared" si="1"/>
      </c>
      <c r="E96" s="53">
        <f t="shared" si="2"/>
      </c>
      <c r="F96" s="53">
        <f t="shared" si="3"/>
      </c>
      <c r="G96" s="53">
        <f t="shared" si="4"/>
      </c>
      <c r="H96" s="59">
        <f t="shared" si="5"/>
      </c>
      <c r="I96" s="56">
        <f t="shared" si="6"/>
      </c>
      <c r="J96" s="56">
        <f t="shared" si="9"/>
      </c>
      <c r="L96" s="46">
        <f t="shared" si="10"/>
      </c>
      <c r="M96" s="80">
        <f t="shared" si="11"/>
      </c>
      <c r="S96" s="22">
        <f>IFERROR(SMALL(发票导入!$AE$5:$AE$2004,89),"")</f>
      </c>
      <c r="T96" s="22">
        <f>IFERROR(SMALL($S$8:$S$507,89),"")</f>
      </c>
      <c r="U96" s="22">
        <f t="shared" si="12"/>
      </c>
      <c r="V96" s="22">
        <f t="shared" si="13"/>
      </c>
      <c r="W96" s="22">
        <f t="shared" si="14"/>
      </c>
    </row>
    <row r="97">
      <c r="A97" s="60">
        <f t="shared" si="7"/>
      </c>
      <c r="B97" s="56">
        <f t="shared" si="8"/>
      </c>
      <c r="C97" s="79">
        <f t="shared" si="0"/>
      </c>
      <c r="D97" s="53">
        <f t="shared" si="1"/>
      </c>
      <c r="E97" s="53">
        <f t="shared" si="2"/>
      </c>
      <c r="F97" s="53">
        <f t="shared" si="3"/>
      </c>
      <c r="G97" s="53">
        <f t="shared" si="4"/>
      </c>
      <c r="H97" s="59">
        <f t="shared" si="5"/>
      </c>
      <c r="I97" s="56">
        <f t="shared" si="6"/>
      </c>
      <c r="J97" s="56">
        <f t="shared" si="9"/>
      </c>
      <c r="L97" s="46">
        <f t="shared" si="10"/>
      </c>
      <c r="M97" s="80">
        <f t="shared" si="11"/>
      </c>
      <c r="S97" s="22">
        <f>IFERROR(SMALL(发票导入!$AE$5:$AE$2004,90),"")</f>
      </c>
      <c r="T97" s="22">
        <f>IFERROR(SMALL($S$8:$S$507,90),"")</f>
      </c>
      <c r="U97" s="22">
        <f t="shared" si="12"/>
      </c>
      <c r="V97" s="22">
        <f t="shared" si="13"/>
      </c>
      <c r="W97" s="22">
        <f t="shared" si="14"/>
      </c>
    </row>
    <row r="98">
      <c r="A98" s="60">
        <f t="shared" si="7"/>
      </c>
      <c r="B98" s="56">
        <f t="shared" si="8"/>
      </c>
      <c r="C98" s="79">
        <f t="shared" si="0"/>
      </c>
      <c r="D98" s="53">
        <f t="shared" si="1"/>
      </c>
      <c r="E98" s="53">
        <f t="shared" si="2"/>
      </c>
      <c r="F98" s="53">
        <f t="shared" si="3"/>
      </c>
      <c r="G98" s="53">
        <f t="shared" si="4"/>
      </c>
      <c r="H98" s="59">
        <f t="shared" si="5"/>
      </c>
      <c r="I98" s="56">
        <f t="shared" si="6"/>
      </c>
      <c r="J98" s="56">
        <f t="shared" si="9"/>
      </c>
      <c r="L98" s="46">
        <f t="shared" si="10"/>
      </c>
      <c r="M98" s="80">
        <f t="shared" si="11"/>
      </c>
      <c r="S98" s="22">
        <f>IFERROR(SMALL(发票导入!$AE$5:$AE$2004,91),"")</f>
      </c>
      <c r="T98" s="22">
        <f>IFERROR(SMALL($S$8:$S$507,91),"")</f>
      </c>
      <c r="U98" s="22">
        <f t="shared" si="12"/>
      </c>
      <c r="V98" s="22">
        <f t="shared" si="13"/>
      </c>
      <c r="W98" s="22">
        <f t="shared" si="14"/>
      </c>
    </row>
    <row r="99">
      <c r="A99" s="60">
        <f t="shared" si="7"/>
      </c>
      <c r="B99" s="56">
        <f t="shared" si="8"/>
      </c>
      <c r="C99" s="79">
        <f t="shared" si="0"/>
      </c>
      <c r="D99" s="53">
        <f t="shared" si="1"/>
      </c>
      <c r="E99" s="53">
        <f t="shared" si="2"/>
      </c>
      <c r="F99" s="53">
        <f t="shared" si="3"/>
      </c>
      <c r="G99" s="53">
        <f t="shared" si="4"/>
      </c>
      <c r="H99" s="59">
        <f t="shared" si="5"/>
      </c>
      <c r="I99" s="56">
        <f t="shared" si="6"/>
      </c>
      <c r="J99" s="56">
        <f t="shared" si="9"/>
      </c>
      <c r="L99" s="46">
        <f t="shared" si="10"/>
      </c>
      <c r="M99" s="80">
        <f t="shared" si="11"/>
      </c>
      <c r="S99" s="22">
        <f>IFERROR(SMALL(发票导入!$AE$5:$AE$2004,92),"")</f>
      </c>
      <c r="T99" s="22">
        <f>IFERROR(SMALL($S$8:$S$507,92),"")</f>
      </c>
      <c r="U99" s="22">
        <f t="shared" si="12"/>
      </c>
      <c r="V99" s="22">
        <f t="shared" si="13"/>
      </c>
      <c r="W99" s="22">
        <f t="shared" si="14"/>
      </c>
    </row>
    <row r="100">
      <c r="A100" s="60">
        <f t="shared" si="7"/>
      </c>
      <c r="B100" s="56">
        <f t="shared" si="8"/>
      </c>
      <c r="C100" s="79">
        <f t="shared" si="0"/>
      </c>
      <c r="D100" s="53">
        <f t="shared" si="1"/>
      </c>
      <c r="E100" s="53">
        <f t="shared" si="2"/>
      </c>
      <c r="F100" s="53">
        <f t="shared" si="3"/>
      </c>
      <c r="G100" s="53">
        <f t="shared" si="4"/>
      </c>
      <c r="H100" s="59">
        <f t="shared" si="5"/>
      </c>
      <c r="I100" s="56">
        <f t="shared" si="6"/>
      </c>
      <c r="J100" s="56">
        <f t="shared" si="9"/>
      </c>
      <c r="L100" s="46">
        <f t="shared" si="10"/>
      </c>
      <c r="M100" s="80">
        <f t="shared" si="11"/>
      </c>
      <c r="S100" s="22">
        <f>IFERROR(SMALL(发票导入!$AE$5:$AE$2004,93),"")</f>
      </c>
      <c r="T100" s="22">
        <f>IFERROR(SMALL($S$8:$S$507,93),"")</f>
      </c>
      <c r="U100" s="22">
        <f t="shared" si="12"/>
      </c>
      <c r="V100" s="22">
        <f t="shared" si="13"/>
      </c>
      <c r="W100" s="22">
        <f t="shared" si="14"/>
      </c>
    </row>
    <row r="101">
      <c r="A101" s="60">
        <f t="shared" si="7"/>
      </c>
      <c r="B101" s="56">
        <f t="shared" si="8"/>
      </c>
      <c r="C101" s="79">
        <f t="shared" si="0"/>
      </c>
      <c r="D101" s="53">
        <f t="shared" si="1"/>
      </c>
      <c r="E101" s="53">
        <f t="shared" si="2"/>
      </c>
      <c r="F101" s="53">
        <f t="shared" si="3"/>
      </c>
      <c r="G101" s="53">
        <f t="shared" si="4"/>
      </c>
      <c r="H101" s="59">
        <f t="shared" si="5"/>
      </c>
      <c r="I101" s="56">
        <f t="shared" si="6"/>
      </c>
      <c r="J101" s="56">
        <f t="shared" si="9"/>
      </c>
      <c r="L101" s="46">
        <f t="shared" si="10"/>
      </c>
      <c r="M101" s="80">
        <f t="shared" si="11"/>
      </c>
      <c r="S101" s="22">
        <f>IFERROR(SMALL(发票导入!$AE$5:$AE$2004,94),"")</f>
      </c>
      <c r="T101" s="22">
        <f>IFERROR(SMALL($S$8:$S$507,94),"")</f>
      </c>
      <c r="U101" s="22">
        <f t="shared" si="12"/>
      </c>
      <c r="V101" s="22">
        <f t="shared" si="13"/>
      </c>
      <c r="W101" s="22">
        <f t="shared" si="14"/>
      </c>
    </row>
    <row r="102">
      <c r="A102" s="60">
        <f t="shared" si="7"/>
      </c>
      <c r="B102" s="56">
        <f t="shared" si="8"/>
      </c>
      <c r="C102" s="79">
        <f t="shared" si="0"/>
      </c>
      <c r="D102" s="53">
        <f t="shared" si="1"/>
      </c>
      <c r="E102" s="53">
        <f t="shared" si="2"/>
      </c>
      <c r="F102" s="53">
        <f t="shared" si="3"/>
      </c>
      <c r="G102" s="53">
        <f t="shared" si="4"/>
      </c>
      <c r="H102" s="59">
        <f t="shared" si="5"/>
      </c>
      <c r="I102" s="56">
        <f t="shared" si="6"/>
      </c>
      <c r="J102" s="56">
        <f t="shared" si="9"/>
      </c>
      <c r="L102" s="46">
        <f t="shared" si="10"/>
      </c>
      <c r="M102" s="80">
        <f t="shared" si="11"/>
      </c>
      <c r="S102" s="22">
        <f>IFERROR(SMALL(发票导入!$AE$5:$AE$2004,95),"")</f>
      </c>
      <c r="T102" s="22">
        <f>IFERROR(SMALL($S$8:$S$507,95),"")</f>
      </c>
      <c r="U102" s="22">
        <f t="shared" si="12"/>
      </c>
      <c r="V102" s="22">
        <f t="shared" si="13"/>
      </c>
      <c r="W102" s="22">
        <f t="shared" si="14"/>
      </c>
    </row>
    <row r="103">
      <c r="A103" s="60">
        <f t="shared" si="7"/>
      </c>
      <c r="B103" s="56">
        <f t="shared" si="8"/>
      </c>
      <c r="C103" s="79">
        <f t="shared" si="0"/>
      </c>
      <c r="D103" s="53">
        <f t="shared" si="1"/>
      </c>
      <c r="E103" s="53">
        <f t="shared" si="2"/>
      </c>
      <c r="F103" s="53">
        <f t="shared" si="3"/>
      </c>
      <c r="G103" s="53">
        <f t="shared" si="4"/>
      </c>
      <c r="H103" s="59">
        <f t="shared" si="5"/>
      </c>
      <c r="I103" s="56">
        <f t="shared" si="6"/>
      </c>
      <c r="J103" s="56">
        <f t="shared" si="9"/>
      </c>
      <c r="L103" s="46">
        <f t="shared" si="10"/>
      </c>
      <c r="M103" s="80">
        <f t="shared" si="11"/>
      </c>
      <c r="S103" s="22">
        <f>IFERROR(SMALL(发票导入!$AE$5:$AE$2004,96),"")</f>
      </c>
      <c r="T103" s="22">
        <f>IFERROR(SMALL($S$8:$S$507,96),"")</f>
      </c>
      <c r="U103" s="22">
        <f t="shared" si="12"/>
      </c>
      <c r="V103" s="22">
        <f t="shared" si="13"/>
      </c>
      <c r="W103" s="22">
        <f t="shared" si="14"/>
      </c>
    </row>
    <row r="104">
      <c r="A104" s="60">
        <f t="shared" si="7"/>
      </c>
      <c r="B104" s="56">
        <f t="shared" si="8"/>
      </c>
      <c r="C104" s="79">
        <f t="shared" si="0"/>
      </c>
      <c r="D104" s="53">
        <f t="shared" si="1"/>
      </c>
      <c r="E104" s="53">
        <f t="shared" si="2"/>
      </c>
      <c r="F104" s="53">
        <f t="shared" si="3"/>
      </c>
      <c r="G104" s="53">
        <f t="shared" si="4"/>
      </c>
      <c r="H104" s="59">
        <f t="shared" si="5"/>
      </c>
      <c r="I104" s="56">
        <f t="shared" si="6"/>
      </c>
      <c r="J104" s="56">
        <f t="shared" si="9"/>
      </c>
      <c r="L104" s="46">
        <f t="shared" si="10"/>
      </c>
      <c r="M104" s="80">
        <f t="shared" si="11"/>
      </c>
      <c r="S104" s="22">
        <f>IFERROR(SMALL(发票导入!$AE$5:$AE$2004,97),"")</f>
      </c>
      <c r="T104" s="22">
        <f>IFERROR(SMALL($S$8:$S$507,97),"")</f>
      </c>
      <c r="U104" s="22">
        <f t="shared" si="12"/>
      </c>
      <c r="V104" s="22">
        <f t="shared" si="13"/>
      </c>
      <c r="W104" s="22">
        <f t="shared" si="14"/>
      </c>
    </row>
    <row r="105">
      <c r="A105" s="60">
        <f t="shared" si="7"/>
      </c>
      <c r="B105" s="56">
        <f t="shared" si="8"/>
      </c>
      <c r="C105" s="79">
        <f t="shared" si="0"/>
      </c>
      <c r="D105" s="53">
        <f t="shared" si="1"/>
      </c>
      <c r="E105" s="53">
        <f t="shared" si="2"/>
      </c>
      <c r="F105" s="53">
        <f t="shared" si="3"/>
      </c>
      <c r="G105" s="53">
        <f t="shared" si="4"/>
      </c>
      <c r="H105" s="59">
        <f t="shared" si="5"/>
      </c>
      <c r="I105" s="56">
        <f t="shared" si="6"/>
      </c>
      <c r="J105" s="56">
        <f t="shared" si="9"/>
      </c>
      <c r="L105" s="46">
        <f t="shared" si="10"/>
      </c>
      <c r="M105" s="80">
        <f t="shared" si="11"/>
      </c>
      <c r="S105" s="22">
        <f>IFERROR(SMALL(发票导入!$AE$5:$AE$2004,98),"")</f>
      </c>
      <c r="T105" s="22">
        <f>IFERROR(SMALL($S$8:$S$507,98),"")</f>
      </c>
      <c r="U105" s="22">
        <f t="shared" si="12"/>
      </c>
      <c r="V105" s="22">
        <f t="shared" si="13"/>
      </c>
      <c r="W105" s="22">
        <f t="shared" si="14"/>
      </c>
    </row>
    <row r="106">
      <c r="A106" s="60">
        <f t="shared" si="7"/>
      </c>
      <c r="B106" s="56">
        <f t="shared" si="8"/>
      </c>
      <c r="C106" s="79">
        <f t="shared" si="0"/>
      </c>
      <c r="D106" s="53">
        <f t="shared" si="1"/>
      </c>
      <c r="E106" s="53">
        <f t="shared" si="2"/>
      </c>
      <c r="F106" s="53">
        <f t="shared" si="3"/>
      </c>
      <c r="G106" s="53">
        <f t="shared" si="4"/>
      </c>
      <c r="H106" s="59">
        <f t="shared" si="5"/>
      </c>
      <c r="I106" s="56">
        <f t="shared" si="6"/>
      </c>
      <c r="J106" s="56">
        <f t="shared" si="9"/>
      </c>
      <c r="L106" s="46">
        <f t="shared" si="10"/>
      </c>
      <c r="M106" s="80">
        <f t="shared" si="11"/>
      </c>
      <c r="S106" s="22">
        <f>IFERROR(SMALL(发票导入!$AE$5:$AE$2004,99),"")</f>
      </c>
      <c r="T106" s="22">
        <f>IFERROR(SMALL($S$8:$S$507,99),"")</f>
      </c>
      <c r="U106" s="22">
        <f t="shared" si="12"/>
      </c>
      <c r="V106" s="22">
        <f t="shared" si="13"/>
      </c>
      <c r="W106" s="22">
        <f t="shared" si="14"/>
      </c>
    </row>
    <row r="107">
      <c r="A107" s="60">
        <f t="shared" si="7"/>
      </c>
      <c r="B107" s="56">
        <f t="shared" si="8"/>
      </c>
      <c r="C107" s="79">
        <f t="shared" si="0"/>
      </c>
      <c r="D107" s="53">
        <f t="shared" si="1"/>
      </c>
      <c r="E107" s="53">
        <f t="shared" si="2"/>
      </c>
      <c r="F107" s="53">
        <f t="shared" si="3"/>
      </c>
      <c r="G107" s="53">
        <f t="shared" si="4"/>
      </c>
      <c r="H107" s="59">
        <f t="shared" si="5"/>
      </c>
      <c r="I107" s="56">
        <f t="shared" si="6"/>
      </c>
      <c r="J107" s="56">
        <f t="shared" si="9"/>
      </c>
      <c r="L107" s="46">
        <f t="shared" si="10"/>
      </c>
      <c r="M107" s="80">
        <f t="shared" si="11"/>
      </c>
      <c r="S107" s="22">
        <f>IFERROR(SMALL(发票导入!$AE$5:$AE$2004,100),"")</f>
      </c>
      <c r="T107" s="22">
        <f>IFERROR(SMALL($S$8:$S$507,100),"")</f>
      </c>
      <c r="U107" s="22">
        <f t="shared" si="12"/>
      </c>
      <c r="V107" s="22">
        <f t="shared" si="13"/>
      </c>
      <c r="W107" s="22">
        <f t="shared" si="14"/>
      </c>
    </row>
    <row r="108">
      <c r="A108" s="60">
        <f t="shared" si="7"/>
      </c>
      <c r="B108" s="56">
        <f t="shared" si="8"/>
      </c>
      <c r="C108" s="79">
        <f t="shared" si="0"/>
      </c>
      <c r="D108" s="53">
        <f t="shared" si="1"/>
      </c>
      <c r="E108" s="53">
        <f t="shared" si="2"/>
      </c>
      <c r="F108" s="53">
        <f t="shared" si="3"/>
      </c>
      <c r="G108" s="53">
        <f t="shared" si="4"/>
      </c>
      <c r="H108" s="59">
        <f t="shared" si="5"/>
      </c>
      <c r="I108" s="56">
        <f t="shared" si="6"/>
      </c>
      <c r="J108" s="56">
        <f t="shared" si="9"/>
      </c>
      <c r="L108" s="46">
        <f t="shared" si="10"/>
      </c>
      <c r="M108" s="80">
        <f t="shared" si="11"/>
      </c>
      <c r="S108" s="22">
        <f>IFERROR(SMALL(发票导入!$AE$5:$AE$2004,101),"")</f>
      </c>
      <c r="T108" s="22">
        <f>IFERROR(SMALL($S$8:$S$507,101),"")</f>
      </c>
      <c r="U108" s="22">
        <f t="shared" si="12"/>
      </c>
      <c r="V108" s="22">
        <f t="shared" si="13"/>
      </c>
      <c r="W108" s="22">
        <f t="shared" si="14"/>
      </c>
    </row>
    <row r="109">
      <c r="A109" s="60">
        <f t="shared" si="7"/>
      </c>
      <c r="B109" s="56">
        <f t="shared" si="8"/>
      </c>
      <c r="C109" s="79">
        <f t="shared" si="0"/>
      </c>
      <c r="D109" s="53">
        <f t="shared" si="1"/>
      </c>
      <c r="E109" s="53">
        <f t="shared" si="2"/>
      </c>
      <c r="F109" s="53">
        <f t="shared" si="3"/>
      </c>
      <c r="G109" s="53">
        <f t="shared" si="4"/>
      </c>
      <c r="H109" s="59">
        <f t="shared" si="5"/>
      </c>
      <c r="I109" s="56">
        <f t="shared" si="6"/>
      </c>
      <c r="J109" s="56">
        <f t="shared" si="9"/>
      </c>
      <c r="L109" s="46">
        <f t="shared" si="10"/>
      </c>
      <c r="M109" s="80">
        <f t="shared" si="11"/>
      </c>
      <c r="S109" s="22">
        <f>IFERROR(SMALL(发票导入!$AE$5:$AE$2004,102),"")</f>
      </c>
      <c r="T109" s="22">
        <f>IFERROR(SMALL($S$8:$S$507,102),"")</f>
      </c>
      <c r="U109" s="22">
        <f t="shared" si="12"/>
      </c>
      <c r="V109" s="22">
        <f t="shared" si="13"/>
      </c>
      <c r="W109" s="22">
        <f t="shared" si="14"/>
      </c>
    </row>
    <row r="110">
      <c r="A110" s="60">
        <f t="shared" si="7"/>
      </c>
      <c r="B110" s="56">
        <f t="shared" si="8"/>
      </c>
      <c r="C110" s="79">
        <f t="shared" si="0"/>
      </c>
      <c r="D110" s="53">
        <f t="shared" si="1"/>
      </c>
      <c r="E110" s="53">
        <f t="shared" si="2"/>
      </c>
      <c r="F110" s="53">
        <f t="shared" si="3"/>
      </c>
      <c r="G110" s="53">
        <f t="shared" si="4"/>
      </c>
      <c r="H110" s="59">
        <f t="shared" si="5"/>
      </c>
      <c r="I110" s="56">
        <f t="shared" si="6"/>
      </c>
      <c r="J110" s="56">
        <f t="shared" si="9"/>
      </c>
      <c r="L110" s="46">
        <f t="shared" si="10"/>
      </c>
      <c r="M110" s="80">
        <f t="shared" si="11"/>
      </c>
      <c r="S110" s="22">
        <f>IFERROR(SMALL(发票导入!$AE$5:$AE$2004,103),"")</f>
      </c>
      <c r="T110" s="22">
        <f>IFERROR(SMALL($S$8:$S$507,103),"")</f>
      </c>
      <c r="U110" s="22">
        <f t="shared" si="12"/>
      </c>
      <c r="V110" s="22">
        <f t="shared" si="13"/>
      </c>
      <c r="W110" s="22">
        <f t="shared" si="14"/>
      </c>
    </row>
    <row r="111">
      <c r="A111" s="60">
        <f t="shared" si="7"/>
      </c>
      <c r="B111" s="56">
        <f t="shared" si="8"/>
      </c>
      <c r="C111" s="79">
        <f t="shared" si="0"/>
      </c>
      <c r="D111" s="53">
        <f t="shared" si="1"/>
      </c>
      <c r="E111" s="53">
        <f t="shared" si="2"/>
      </c>
      <c r="F111" s="53">
        <f t="shared" si="3"/>
      </c>
      <c r="G111" s="53">
        <f t="shared" si="4"/>
      </c>
      <c r="H111" s="59">
        <f t="shared" si="5"/>
      </c>
      <c r="I111" s="56">
        <f t="shared" si="6"/>
      </c>
      <c r="J111" s="56">
        <f t="shared" si="9"/>
      </c>
      <c r="L111" s="46">
        <f t="shared" si="10"/>
      </c>
      <c r="M111" s="80">
        <f t="shared" si="11"/>
      </c>
      <c r="S111" s="22">
        <f>IFERROR(SMALL(发票导入!$AE$5:$AE$2004,104),"")</f>
      </c>
      <c r="T111" s="22">
        <f>IFERROR(SMALL($S$8:$S$507,104),"")</f>
      </c>
      <c r="U111" s="22">
        <f t="shared" si="12"/>
      </c>
      <c r="V111" s="22">
        <f t="shared" si="13"/>
      </c>
      <c r="W111" s="22">
        <f t="shared" si="14"/>
      </c>
    </row>
    <row r="112">
      <c r="A112" s="60">
        <f t="shared" si="7"/>
      </c>
      <c r="B112" s="56">
        <f t="shared" si="8"/>
      </c>
      <c r="C112" s="79">
        <f t="shared" si="0"/>
      </c>
      <c r="D112" s="53">
        <f t="shared" si="1"/>
      </c>
      <c r="E112" s="53">
        <f t="shared" si="2"/>
      </c>
      <c r="F112" s="53">
        <f t="shared" si="3"/>
      </c>
      <c r="G112" s="53">
        <f t="shared" si="4"/>
      </c>
      <c r="H112" s="59">
        <f t="shared" si="5"/>
      </c>
      <c r="I112" s="56">
        <f t="shared" si="6"/>
      </c>
      <c r="J112" s="56">
        <f t="shared" si="9"/>
      </c>
      <c r="L112" s="46">
        <f t="shared" si="10"/>
      </c>
      <c r="M112" s="80">
        <f t="shared" si="11"/>
      </c>
      <c r="S112" s="22">
        <f>IFERROR(SMALL(发票导入!$AE$5:$AE$2004,105),"")</f>
      </c>
      <c r="T112" s="22">
        <f>IFERROR(SMALL($S$8:$S$507,105),"")</f>
      </c>
      <c r="U112" s="22">
        <f t="shared" si="12"/>
      </c>
      <c r="V112" s="22">
        <f t="shared" si="13"/>
      </c>
      <c r="W112" s="22">
        <f t="shared" si="14"/>
      </c>
    </row>
    <row r="113">
      <c r="A113" s="60">
        <f t="shared" si="7"/>
      </c>
      <c r="B113" s="56">
        <f t="shared" si="8"/>
      </c>
      <c r="C113" s="79">
        <f t="shared" si="0"/>
      </c>
      <c r="D113" s="53">
        <f t="shared" si="1"/>
      </c>
      <c r="E113" s="53">
        <f t="shared" si="2"/>
      </c>
      <c r="F113" s="53">
        <f t="shared" si="3"/>
      </c>
      <c r="G113" s="53">
        <f t="shared" si="4"/>
      </c>
      <c r="H113" s="59">
        <f t="shared" si="5"/>
      </c>
      <c r="I113" s="56">
        <f t="shared" si="6"/>
      </c>
      <c r="J113" s="56">
        <f t="shared" si="9"/>
      </c>
      <c r="L113" s="46">
        <f t="shared" si="10"/>
      </c>
      <c r="M113" s="80">
        <f t="shared" si="11"/>
      </c>
      <c r="S113" s="22">
        <f>IFERROR(SMALL(发票导入!$AE$5:$AE$2004,106),"")</f>
      </c>
      <c r="T113" s="22">
        <f>IFERROR(SMALL($S$8:$S$507,106),"")</f>
      </c>
      <c r="U113" s="22">
        <f t="shared" si="12"/>
      </c>
      <c r="V113" s="22">
        <f t="shared" si="13"/>
      </c>
      <c r="W113" s="22">
        <f t="shared" si="14"/>
      </c>
    </row>
    <row r="114">
      <c r="A114" s="60">
        <f t="shared" si="7"/>
      </c>
      <c r="B114" s="56">
        <f t="shared" si="8"/>
      </c>
      <c r="C114" s="79">
        <f t="shared" si="0"/>
      </c>
      <c r="D114" s="53">
        <f t="shared" si="1"/>
      </c>
      <c r="E114" s="53">
        <f t="shared" si="2"/>
      </c>
      <c r="F114" s="53">
        <f t="shared" si="3"/>
      </c>
      <c r="G114" s="53">
        <f t="shared" si="4"/>
      </c>
      <c r="H114" s="59">
        <f t="shared" si="5"/>
      </c>
      <c r="I114" s="56">
        <f t="shared" si="6"/>
      </c>
      <c r="J114" s="56">
        <f t="shared" si="9"/>
      </c>
      <c r="L114" s="46">
        <f t="shared" si="10"/>
      </c>
      <c r="M114" s="80">
        <f t="shared" si="11"/>
      </c>
      <c r="S114" s="22">
        <f>IFERROR(SMALL(发票导入!$AE$5:$AE$2004,107),"")</f>
      </c>
      <c r="T114" s="22">
        <f>IFERROR(SMALL($S$8:$S$507,107),"")</f>
      </c>
      <c r="U114" s="22">
        <f t="shared" si="12"/>
      </c>
      <c r="V114" s="22">
        <f t="shared" si="13"/>
      </c>
      <c r="W114" s="22">
        <f t="shared" si="14"/>
      </c>
    </row>
    <row r="115">
      <c r="A115" s="60">
        <f t="shared" si="7"/>
      </c>
      <c r="B115" s="56">
        <f t="shared" si="8"/>
      </c>
      <c r="C115" s="79">
        <f t="shared" si="0"/>
      </c>
      <c r="D115" s="53">
        <f t="shared" si="1"/>
      </c>
      <c r="E115" s="53">
        <f t="shared" si="2"/>
      </c>
      <c r="F115" s="53">
        <f t="shared" si="3"/>
      </c>
      <c r="G115" s="53">
        <f t="shared" si="4"/>
      </c>
      <c r="H115" s="59">
        <f t="shared" si="5"/>
      </c>
      <c r="I115" s="56">
        <f t="shared" si="6"/>
      </c>
      <c r="J115" s="56">
        <f t="shared" si="9"/>
      </c>
      <c r="L115" s="46">
        <f t="shared" si="10"/>
      </c>
      <c r="M115" s="80">
        <f t="shared" si="11"/>
      </c>
      <c r="S115" s="22">
        <f>IFERROR(SMALL(发票导入!$AE$5:$AE$2004,108),"")</f>
      </c>
      <c r="T115" s="22">
        <f>IFERROR(SMALL($S$8:$S$507,108),"")</f>
      </c>
      <c r="U115" s="22">
        <f t="shared" si="12"/>
      </c>
      <c r="V115" s="22">
        <f t="shared" si="13"/>
      </c>
      <c r="W115" s="22">
        <f t="shared" si="14"/>
      </c>
    </row>
    <row r="116">
      <c r="A116" s="60">
        <f t="shared" si="7"/>
      </c>
      <c r="B116" s="56">
        <f t="shared" si="8"/>
      </c>
      <c r="C116" s="79">
        <f t="shared" si="0"/>
      </c>
      <c r="D116" s="53">
        <f t="shared" si="1"/>
      </c>
      <c r="E116" s="53">
        <f t="shared" si="2"/>
      </c>
      <c r="F116" s="53">
        <f t="shared" si="3"/>
      </c>
      <c r="G116" s="53">
        <f t="shared" si="4"/>
      </c>
      <c r="H116" s="59">
        <f t="shared" si="5"/>
      </c>
      <c r="I116" s="56">
        <f t="shared" si="6"/>
      </c>
      <c r="J116" s="56">
        <f t="shared" si="9"/>
      </c>
      <c r="L116" s="46">
        <f t="shared" si="10"/>
      </c>
      <c r="M116" s="80">
        <f t="shared" si="11"/>
      </c>
      <c r="S116" s="22">
        <f>IFERROR(SMALL(发票导入!$AE$5:$AE$2004,109),"")</f>
      </c>
      <c r="T116" s="22">
        <f>IFERROR(SMALL($S$8:$S$507,109),"")</f>
      </c>
      <c r="U116" s="22">
        <f t="shared" si="12"/>
      </c>
      <c r="V116" s="22">
        <f t="shared" si="13"/>
      </c>
      <c r="W116" s="22">
        <f t="shared" si="14"/>
      </c>
    </row>
    <row r="117">
      <c r="A117" s="60">
        <f t="shared" si="7"/>
      </c>
      <c r="B117" s="56">
        <f t="shared" si="8"/>
      </c>
      <c r="C117" s="79">
        <f t="shared" si="0"/>
      </c>
      <c r="D117" s="53">
        <f t="shared" si="1"/>
      </c>
      <c r="E117" s="53">
        <f t="shared" si="2"/>
      </c>
      <c r="F117" s="53">
        <f t="shared" si="3"/>
      </c>
      <c r="G117" s="53">
        <f t="shared" si="4"/>
      </c>
      <c r="H117" s="59">
        <f t="shared" si="5"/>
      </c>
      <c r="I117" s="56">
        <f t="shared" si="6"/>
      </c>
      <c r="J117" s="56">
        <f t="shared" si="9"/>
      </c>
      <c r="L117" s="46">
        <f t="shared" si="10"/>
      </c>
      <c r="M117" s="80">
        <f t="shared" si="11"/>
      </c>
      <c r="S117" s="22">
        <f>IFERROR(SMALL(发票导入!$AE$5:$AE$2004,110),"")</f>
      </c>
      <c r="T117" s="22">
        <f>IFERROR(SMALL($S$8:$S$507,110),"")</f>
      </c>
      <c r="U117" s="22">
        <f t="shared" si="12"/>
      </c>
      <c r="V117" s="22">
        <f t="shared" si="13"/>
      </c>
      <c r="W117" s="22">
        <f t="shared" si="14"/>
      </c>
    </row>
    <row r="118">
      <c r="A118" s="60">
        <f t="shared" si="7"/>
      </c>
      <c r="B118" s="56">
        <f t="shared" si="8"/>
      </c>
      <c r="C118" s="79">
        <f t="shared" si="0"/>
      </c>
      <c r="D118" s="53">
        <f t="shared" si="1"/>
      </c>
      <c r="E118" s="53">
        <f t="shared" si="2"/>
      </c>
      <c r="F118" s="53">
        <f t="shared" si="3"/>
      </c>
      <c r="G118" s="53">
        <f t="shared" si="4"/>
      </c>
      <c r="H118" s="59">
        <f t="shared" si="5"/>
      </c>
      <c r="I118" s="56">
        <f t="shared" si="6"/>
      </c>
      <c r="J118" s="56">
        <f t="shared" si="9"/>
      </c>
      <c r="L118" s="46">
        <f t="shared" si="10"/>
      </c>
      <c r="M118" s="80">
        <f t="shared" si="11"/>
      </c>
      <c r="S118" s="22">
        <f>IFERROR(SMALL(发票导入!$AE$5:$AE$2004,111),"")</f>
      </c>
      <c r="T118" s="22">
        <f>IFERROR(SMALL($S$8:$S$507,111),"")</f>
      </c>
      <c r="U118" s="22">
        <f t="shared" si="12"/>
      </c>
      <c r="V118" s="22">
        <f t="shared" si="13"/>
      </c>
      <c r="W118" s="22">
        <f t="shared" si="14"/>
      </c>
    </row>
    <row r="119">
      <c r="A119" s="60">
        <f t="shared" si="7"/>
      </c>
      <c r="B119" s="56">
        <f t="shared" si="8"/>
      </c>
      <c r="C119" s="79">
        <f t="shared" si="0"/>
      </c>
      <c r="D119" s="53">
        <f t="shared" si="1"/>
      </c>
      <c r="E119" s="53">
        <f t="shared" si="2"/>
      </c>
      <c r="F119" s="53">
        <f t="shared" si="3"/>
      </c>
      <c r="G119" s="53">
        <f t="shared" si="4"/>
      </c>
      <c r="H119" s="59">
        <f t="shared" si="5"/>
      </c>
      <c r="I119" s="56">
        <f t="shared" si="6"/>
      </c>
      <c r="J119" s="56">
        <f t="shared" si="9"/>
      </c>
      <c r="L119" s="46">
        <f t="shared" si="10"/>
      </c>
      <c r="M119" s="80">
        <f t="shared" si="11"/>
      </c>
      <c r="S119" s="22">
        <f>IFERROR(SMALL(发票导入!$AE$5:$AE$2004,112),"")</f>
      </c>
      <c r="T119" s="22">
        <f>IFERROR(SMALL($S$8:$S$507,112),"")</f>
      </c>
      <c r="U119" s="22">
        <f t="shared" si="12"/>
      </c>
      <c r="V119" s="22">
        <f t="shared" si="13"/>
      </c>
      <c r="W119" s="22">
        <f t="shared" si="14"/>
      </c>
    </row>
    <row r="120">
      <c r="A120" s="60">
        <f t="shared" si="7"/>
      </c>
      <c r="B120" s="56">
        <f t="shared" si="8"/>
      </c>
      <c r="C120" s="79">
        <f t="shared" si="0"/>
      </c>
      <c r="D120" s="53">
        <f t="shared" si="1"/>
      </c>
      <c r="E120" s="53">
        <f t="shared" si="2"/>
      </c>
      <c r="F120" s="53">
        <f t="shared" si="3"/>
      </c>
      <c r="G120" s="53">
        <f t="shared" si="4"/>
      </c>
      <c r="H120" s="59">
        <f t="shared" si="5"/>
      </c>
      <c r="I120" s="56">
        <f t="shared" si="6"/>
      </c>
      <c r="J120" s="56">
        <f t="shared" si="9"/>
      </c>
      <c r="L120" s="46">
        <f t="shared" si="10"/>
      </c>
      <c r="M120" s="80">
        <f t="shared" si="11"/>
      </c>
      <c r="S120" s="22">
        <f>IFERROR(SMALL(发票导入!$AE$5:$AE$2004,113),"")</f>
      </c>
      <c r="T120" s="22">
        <f>IFERROR(SMALL($S$8:$S$507,113),"")</f>
      </c>
      <c r="U120" s="22">
        <f t="shared" si="12"/>
      </c>
      <c r="V120" s="22">
        <f t="shared" si="13"/>
      </c>
      <c r="W120" s="22">
        <f t="shared" si="14"/>
      </c>
    </row>
    <row r="121">
      <c r="A121" s="60">
        <f t="shared" si="7"/>
      </c>
      <c r="B121" s="56">
        <f t="shared" si="8"/>
      </c>
      <c r="C121" s="79">
        <f t="shared" si="0"/>
      </c>
      <c r="D121" s="53">
        <f t="shared" si="1"/>
      </c>
      <c r="E121" s="53">
        <f t="shared" si="2"/>
      </c>
      <c r="F121" s="53">
        <f t="shared" si="3"/>
      </c>
      <c r="G121" s="53">
        <f t="shared" si="4"/>
      </c>
      <c r="H121" s="59">
        <f t="shared" si="5"/>
      </c>
      <c r="I121" s="56">
        <f t="shared" si="6"/>
      </c>
      <c r="J121" s="56">
        <f t="shared" si="9"/>
      </c>
      <c r="L121" s="46">
        <f t="shared" si="10"/>
      </c>
      <c r="M121" s="80">
        <f t="shared" si="11"/>
      </c>
      <c r="S121" s="22">
        <f>IFERROR(SMALL(发票导入!$AE$5:$AE$2004,114),"")</f>
      </c>
      <c r="T121" s="22">
        <f>IFERROR(SMALL($S$8:$S$507,114),"")</f>
      </c>
      <c r="U121" s="22">
        <f t="shared" si="12"/>
      </c>
      <c r="V121" s="22">
        <f t="shared" si="13"/>
      </c>
      <c r="W121" s="22">
        <f t="shared" si="14"/>
      </c>
    </row>
    <row r="122">
      <c r="A122" s="60">
        <f t="shared" si="7"/>
      </c>
      <c r="B122" s="56">
        <f t="shared" si="8"/>
      </c>
      <c r="C122" s="79">
        <f t="shared" si="0"/>
      </c>
      <c r="D122" s="53">
        <f t="shared" si="1"/>
      </c>
      <c r="E122" s="53">
        <f t="shared" si="2"/>
      </c>
      <c r="F122" s="53">
        <f t="shared" si="3"/>
      </c>
      <c r="G122" s="53">
        <f t="shared" si="4"/>
      </c>
      <c r="H122" s="59">
        <f t="shared" si="5"/>
      </c>
      <c r="I122" s="56">
        <f t="shared" si="6"/>
      </c>
      <c r="J122" s="56">
        <f t="shared" si="9"/>
      </c>
      <c r="L122" s="46">
        <f t="shared" si="10"/>
      </c>
      <c r="M122" s="80">
        <f t="shared" si="11"/>
      </c>
      <c r="S122" s="22">
        <f>IFERROR(SMALL(发票导入!$AE$5:$AE$2004,115),"")</f>
      </c>
      <c r="T122" s="22">
        <f>IFERROR(SMALL($S$8:$S$507,115),"")</f>
      </c>
      <c r="U122" s="22">
        <f t="shared" si="12"/>
      </c>
      <c r="V122" s="22">
        <f t="shared" si="13"/>
      </c>
      <c r="W122" s="22">
        <f t="shared" si="14"/>
      </c>
    </row>
    <row r="123">
      <c r="A123" s="60">
        <f t="shared" si="7"/>
      </c>
      <c r="B123" s="56">
        <f t="shared" si="8"/>
      </c>
      <c r="C123" s="79">
        <f t="shared" si="0"/>
      </c>
      <c r="D123" s="53">
        <f t="shared" si="1"/>
      </c>
      <c r="E123" s="53">
        <f t="shared" si="2"/>
      </c>
      <c r="F123" s="53">
        <f t="shared" si="3"/>
      </c>
      <c r="G123" s="53">
        <f t="shared" si="4"/>
      </c>
      <c r="H123" s="59">
        <f t="shared" si="5"/>
      </c>
      <c r="I123" s="56">
        <f t="shared" si="6"/>
      </c>
      <c r="J123" s="56">
        <f t="shared" si="9"/>
      </c>
      <c r="L123" s="46">
        <f t="shared" si="10"/>
      </c>
      <c r="M123" s="80">
        <f t="shared" si="11"/>
      </c>
      <c r="S123" s="22">
        <f>IFERROR(SMALL(发票导入!$AE$5:$AE$2004,116),"")</f>
      </c>
      <c r="T123" s="22">
        <f>IFERROR(SMALL($S$8:$S$507,116),"")</f>
      </c>
      <c r="U123" s="22">
        <f t="shared" si="12"/>
      </c>
      <c r="V123" s="22">
        <f t="shared" si="13"/>
      </c>
      <c r="W123" s="22">
        <f t="shared" si="14"/>
      </c>
    </row>
    <row r="124">
      <c r="A124" s="60">
        <f t="shared" si="7"/>
      </c>
      <c r="B124" s="56">
        <f t="shared" si="8"/>
      </c>
      <c r="C124" s="79">
        <f t="shared" si="0"/>
      </c>
      <c r="D124" s="53">
        <f t="shared" si="1"/>
      </c>
      <c r="E124" s="53">
        <f t="shared" si="2"/>
      </c>
      <c r="F124" s="53">
        <f t="shared" si="3"/>
      </c>
      <c r="G124" s="53">
        <f t="shared" si="4"/>
      </c>
      <c r="H124" s="59">
        <f t="shared" si="5"/>
      </c>
      <c r="I124" s="56">
        <f t="shared" si="6"/>
      </c>
      <c r="J124" s="56">
        <f t="shared" si="9"/>
      </c>
      <c r="L124" s="46">
        <f t="shared" si="10"/>
      </c>
      <c r="M124" s="80">
        <f t="shared" si="11"/>
      </c>
      <c r="S124" s="22">
        <f>IFERROR(SMALL(发票导入!$AE$5:$AE$2004,117),"")</f>
      </c>
      <c r="T124" s="22">
        <f>IFERROR(SMALL($S$8:$S$507,117),"")</f>
      </c>
      <c r="U124" s="22">
        <f t="shared" si="12"/>
      </c>
      <c r="V124" s="22">
        <f t="shared" si="13"/>
      </c>
      <c r="W124" s="22">
        <f t="shared" si="14"/>
      </c>
    </row>
    <row r="125">
      <c r="A125" s="60">
        <f t="shared" si="7"/>
      </c>
      <c r="B125" s="56">
        <f t="shared" si="8"/>
      </c>
      <c r="C125" s="79">
        <f t="shared" si="0"/>
      </c>
      <c r="D125" s="53">
        <f t="shared" si="1"/>
      </c>
      <c r="E125" s="53">
        <f t="shared" si="2"/>
      </c>
      <c r="F125" s="53">
        <f t="shared" si="3"/>
      </c>
      <c r="G125" s="53">
        <f t="shared" si="4"/>
      </c>
      <c r="H125" s="59">
        <f t="shared" si="5"/>
      </c>
      <c r="I125" s="56">
        <f t="shared" si="6"/>
      </c>
      <c r="J125" s="56">
        <f t="shared" si="9"/>
      </c>
      <c r="L125" s="46">
        <f t="shared" si="10"/>
      </c>
      <c r="M125" s="80">
        <f t="shared" si="11"/>
      </c>
      <c r="S125" s="22">
        <f>IFERROR(SMALL(发票导入!$AE$5:$AE$2004,118),"")</f>
      </c>
      <c r="T125" s="22">
        <f>IFERROR(SMALL($S$8:$S$507,118),"")</f>
      </c>
      <c r="U125" s="22">
        <f t="shared" si="12"/>
      </c>
      <c r="V125" s="22">
        <f t="shared" si="13"/>
      </c>
      <c r="W125" s="22">
        <f t="shared" si="14"/>
      </c>
    </row>
    <row r="126">
      <c r="A126" s="60">
        <f t="shared" si="7"/>
      </c>
      <c r="B126" s="56">
        <f t="shared" si="8"/>
      </c>
      <c r="C126" s="79">
        <f t="shared" si="0"/>
      </c>
      <c r="D126" s="53">
        <f t="shared" si="1"/>
      </c>
      <c r="E126" s="53">
        <f t="shared" si="2"/>
      </c>
      <c r="F126" s="53">
        <f t="shared" si="3"/>
      </c>
      <c r="G126" s="53">
        <f t="shared" si="4"/>
      </c>
      <c r="H126" s="59">
        <f t="shared" si="5"/>
      </c>
      <c r="I126" s="56">
        <f t="shared" si="6"/>
      </c>
      <c r="J126" s="56">
        <f t="shared" si="9"/>
      </c>
      <c r="L126" s="46">
        <f t="shared" si="10"/>
      </c>
      <c r="M126" s="80">
        <f t="shared" si="11"/>
      </c>
      <c r="S126" s="22">
        <f>IFERROR(SMALL(发票导入!$AE$5:$AE$2004,119),"")</f>
      </c>
      <c r="T126" s="22">
        <f>IFERROR(SMALL($S$8:$S$507,119),"")</f>
      </c>
      <c r="U126" s="22">
        <f t="shared" si="12"/>
      </c>
      <c r="V126" s="22">
        <f t="shared" si="13"/>
      </c>
      <c r="W126" s="22">
        <f t="shared" si="14"/>
      </c>
    </row>
    <row r="127">
      <c r="A127" s="60">
        <f t="shared" si="7"/>
      </c>
      <c r="B127" s="56">
        <f t="shared" si="8"/>
      </c>
      <c r="C127" s="79">
        <f t="shared" si="0"/>
      </c>
      <c r="D127" s="53">
        <f t="shared" si="1"/>
      </c>
      <c r="E127" s="53">
        <f t="shared" si="2"/>
      </c>
      <c r="F127" s="53">
        <f t="shared" si="3"/>
      </c>
      <c r="G127" s="53">
        <f t="shared" si="4"/>
      </c>
      <c r="H127" s="59">
        <f t="shared" si="5"/>
      </c>
      <c r="I127" s="56">
        <f t="shared" si="6"/>
      </c>
      <c r="J127" s="56">
        <f t="shared" si="9"/>
      </c>
      <c r="L127" s="46">
        <f t="shared" si="10"/>
      </c>
      <c r="M127" s="80">
        <f t="shared" si="11"/>
      </c>
      <c r="S127" s="22">
        <f>IFERROR(SMALL(发票导入!$AE$5:$AE$2004,120),"")</f>
      </c>
      <c r="T127" s="22">
        <f>IFERROR(SMALL($S$8:$S$507,120),"")</f>
      </c>
      <c r="U127" s="22">
        <f t="shared" si="12"/>
      </c>
      <c r="V127" s="22">
        <f t="shared" si="13"/>
      </c>
      <c r="W127" s="22">
        <f t="shared" si="14"/>
      </c>
    </row>
    <row r="128">
      <c r="A128" s="60">
        <f t="shared" si="7"/>
      </c>
      <c r="B128" s="56">
        <f t="shared" si="8"/>
      </c>
      <c r="C128" s="79">
        <f t="shared" si="0"/>
      </c>
      <c r="D128" s="53">
        <f t="shared" si="1"/>
      </c>
      <c r="E128" s="53">
        <f t="shared" si="2"/>
      </c>
      <c r="F128" s="53">
        <f t="shared" si="3"/>
      </c>
      <c r="G128" s="53">
        <f t="shared" si="4"/>
      </c>
      <c r="H128" s="59">
        <f t="shared" si="5"/>
      </c>
      <c r="I128" s="56">
        <f t="shared" si="6"/>
      </c>
      <c r="J128" s="56">
        <f t="shared" si="9"/>
      </c>
      <c r="L128" s="46">
        <f t="shared" si="10"/>
      </c>
      <c r="M128" s="80">
        <f t="shared" si="11"/>
      </c>
      <c r="S128" s="22">
        <f>IFERROR(SMALL(发票导入!$AE$5:$AE$2004,121),"")</f>
      </c>
      <c r="T128" s="22">
        <f>IFERROR(SMALL($S$8:$S$507,121),"")</f>
      </c>
      <c r="U128" s="22">
        <f t="shared" si="12"/>
      </c>
      <c r="V128" s="22">
        <f t="shared" si="13"/>
      </c>
      <c r="W128" s="22">
        <f t="shared" si="14"/>
      </c>
    </row>
    <row r="129">
      <c r="A129" s="60">
        <f t="shared" si="7"/>
      </c>
      <c r="B129" s="56">
        <f t="shared" si="8"/>
      </c>
      <c r="C129" s="79">
        <f t="shared" si="0"/>
      </c>
      <c r="D129" s="53">
        <f t="shared" si="1"/>
      </c>
      <c r="E129" s="53">
        <f t="shared" si="2"/>
      </c>
      <c r="F129" s="53">
        <f t="shared" si="3"/>
      </c>
      <c r="G129" s="53">
        <f t="shared" si="4"/>
      </c>
      <c r="H129" s="59">
        <f t="shared" si="5"/>
      </c>
      <c r="I129" s="56">
        <f t="shared" si="6"/>
      </c>
      <c r="J129" s="56">
        <f t="shared" si="9"/>
      </c>
      <c r="L129" s="46">
        <f t="shared" si="10"/>
      </c>
      <c r="M129" s="80">
        <f t="shared" si="11"/>
      </c>
      <c r="S129" s="22">
        <f>IFERROR(SMALL(发票导入!$AE$5:$AE$2004,122),"")</f>
      </c>
      <c r="T129" s="22">
        <f>IFERROR(SMALL($S$8:$S$507,122),"")</f>
      </c>
      <c r="U129" s="22">
        <f t="shared" si="12"/>
      </c>
      <c r="V129" s="22">
        <f t="shared" si="13"/>
      </c>
      <c r="W129" s="22">
        <f t="shared" si="14"/>
      </c>
    </row>
    <row r="130">
      <c r="A130" s="60">
        <f t="shared" si="7"/>
      </c>
      <c r="B130" s="56">
        <f t="shared" si="8"/>
      </c>
      <c r="C130" s="79">
        <f t="shared" si="0"/>
      </c>
      <c r="D130" s="53">
        <f t="shared" si="1"/>
      </c>
      <c r="E130" s="53">
        <f t="shared" si="2"/>
      </c>
      <c r="F130" s="53">
        <f t="shared" si="3"/>
      </c>
      <c r="G130" s="53">
        <f t="shared" si="4"/>
      </c>
      <c r="H130" s="59">
        <f t="shared" si="5"/>
      </c>
      <c r="I130" s="56">
        <f t="shared" si="6"/>
      </c>
      <c r="J130" s="56">
        <f t="shared" si="9"/>
      </c>
      <c r="L130" s="46">
        <f t="shared" si="10"/>
      </c>
      <c r="M130" s="80">
        <f t="shared" si="11"/>
      </c>
      <c r="S130" s="22">
        <f>IFERROR(SMALL(发票导入!$AE$5:$AE$2004,123),"")</f>
      </c>
      <c r="T130" s="22">
        <f>IFERROR(SMALL($S$8:$S$507,123),"")</f>
      </c>
      <c r="U130" s="22">
        <f t="shared" si="12"/>
      </c>
      <c r="V130" s="22">
        <f t="shared" si="13"/>
      </c>
      <c r="W130" s="22">
        <f t="shared" si="14"/>
      </c>
    </row>
    <row r="131">
      <c r="A131" s="60">
        <f t="shared" si="7"/>
      </c>
      <c r="B131" s="56">
        <f t="shared" si="8"/>
      </c>
      <c r="C131" s="79">
        <f t="shared" si="0"/>
      </c>
      <c r="D131" s="53">
        <f t="shared" si="1"/>
      </c>
      <c r="E131" s="53">
        <f t="shared" si="2"/>
      </c>
      <c r="F131" s="53">
        <f t="shared" si="3"/>
      </c>
      <c r="G131" s="53">
        <f t="shared" si="4"/>
      </c>
      <c r="H131" s="59">
        <f t="shared" si="5"/>
      </c>
      <c r="I131" s="56">
        <f t="shared" si="6"/>
      </c>
      <c r="J131" s="56">
        <f t="shared" si="9"/>
      </c>
      <c r="L131" s="46">
        <f t="shared" si="10"/>
      </c>
      <c r="M131" s="80">
        <f t="shared" si="11"/>
      </c>
      <c r="S131" s="22">
        <f>IFERROR(SMALL(发票导入!$AE$5:$AE$2004,124),"")</f>
      </c>
      <c r="T131" s="22">
        <f>IFERROR(SMALL($S$8:$S$507,124),"")</f>
      </c>
      <c r="U131" s="22">
        <f t="shared" si="12"/>
      </c>
      <c r="V131" s="22">
        <f t="shared" si="13"/>
      </c>
      <c r="W131" s="22">
        <f t="shared" si="14"/>
      </c>
    </row>
    <row r="132">
      <c r="A132" s="60">
        <f t="shared" si="7"/>
      </c>
      <c r="B132" s="56">
        <f t="shared" si="8"/>
      </c>
      <c r="C132" s="79">
        <f t="shared" si="0"/>
      </c>
      <c r="D132" s="53">
        <f t="shared" si="1"/>
      </c>
      <c r="E132" s="53">
        <f t="shared" si="2"/>
      </c>
      <c r="F132" s="53">
        <f t="shared" si="3"/>
      </c>
      <c r="G132" s="53">
        <f t="shared" si="4"/>
      </c>
      <c r="H132" s="59">
        <f t="shared" si="5"/>
      </c>
      <c r="I132" s="56">
        <f t="shared" si="6"/>
      </c>
      <c r="J132" s="56">
        <f t="shared" si="9"/>
      </c>
      <c r="L132" s="46">
        <f t="shared" si="10"/>
      </c>
      <c r="M132" s="80">
        <f t="shared" si="11"/>
      </c>
      <c r="S132" s="22">
        <f>IFERROR(SMALL(发票导入!$AE$5:$AE$2004,125),"")</f>
      </c>
      <c r="T132" s="22">
        <f>IFERROR(SMALL($S$8:$S$507,125),"")</f>
      </c>
      <c r="U132" s="22">
        <f t="shared" si="12"/>
      </c>
      <c r="V132" s="22">
        <f t="shared" si="13"/>
      </c>
      <c r="W132" s="22">
        <f t="shared" si="14"/>
      </c>
    </row>
    <row r="133">
      <c r="A133" s="60">
        <f t="shared" si="7"/>
      </c>
      <c r="B133" s="56">
        <f t="shared" si="8"/>
      </c>
      <c r="C133" s="79">
        <f t="shared" si="0"/>
      </c>
      <c r="D133" s="53">
        <f t="shared" si="1"/>
      </c>
      <c r="E133" s="53">
        <f t="shared" si="2"/>
      </c>
      <c r="F133" s="53">
        <f t="shared" si="3"/>
      </c>
      <c r="G133" s="53">
        <f t="shared" si="4"/>
      </c>
      <c r="H133" s="59">
        <f t="shared" si="5"/>
      </c>
      <c r="I133" s="56">
        <f t="shared" si="6"/>
      </c>
      <c r="J133" s="56">
        <f t="shared" si="9"/>
      </c>
      <c r="L133" s="46">
        <f t="shared" si="10"/>
      </c>
      <c r="M133" s="80">
        <f t="shared" si="11"/>
      </c>
      <c r="S133" s="22">
        <f>IFERROR(SMALL(发票导入!$AE$5:$AE$2004,126),"")</f>
      </c>
      <c r="T133" s="22">
        <f>IFERROR(SMALL($S$8:$S$507,126),"")</f>
      </c>
      <c r="U133" s="22">
        <f t="shared" si="12"/>
      </c>
      <c r="V133" s="22">
        <f t="shared" si="13"/>
      </c>
      <c r="W133" s="22">
        <f t="shared" si="14"/>
      </c>
    </row>
    <row r="134">
      <c r="A134" s="60">
        <f t="shared" si="7"/>
      </c>
      <c r="B134" s="56">
        <f t="shared" si="8"/>
      </c>
      <c r="C134" s="79">
        <f t="shared" si="0"/>
      </c>
      <c r="D134" s="53">
        <f t="shared" si="1"/>
      </c>
      <c r="E134" s="53">
        <f t="shared" si="2"/>
      </c>
      <c r="F134" s="53">
        <f t="shared" si="3"/>
      </c>
      <c r="G134" s="53">
        <f t="shared" si="4"/>
      </c>
      <c r="H134" s="59">
        <f t="shared" si="5"/>
      </c>
      <c r="I134" s="56">
        <f t="shared" si="6"/>
      </c>
      <c r="J134" s="56">
        <f t="shared" si="9"/>
      </c>
      <c r="L134" s="46">
        <f t="shared" si="10"/>
      </c>
      <c r="M134" s="80">
        <f t="shared" si="11"/>
      </c>
      <c r="S134" s="22">
        <f>IFERROR(SMALL(发票导入!$AE$5:$AE$2004,127),"")</f>
      </c>
      <c r="T134" s="22">
        <f>IFERROR(SMALL($S$8:$S$507,127),"")</f>
      </c>
      <c r="U134" s="22">
        <f t="shared" si="12"/>
      </c>
      <c r="V134" s="22">
        <f t="shared" si="13"/>
      </c>
      <c r="W134" s="22">
        <f t="shared" si="14"/>
      </c>
    </row>
    <row r="135">
      <c r="A135" s="60">
        <f t="shared" si="7"/>
      </c>
      <c r="B135" s="56">
        <f t="shared" si="8"/>
      </c>
      <c r="C135" s="79">
        <f t="shared" si="0"/>
      </c>
      <c r="D135" s="53">
        <f t="shared" si="1"/>
      </c>
      <c r="E135" s="53">
        <f t="shared" si="2"/>
      </c>
      <c r="F135" s="53">
        <f t="shared" si="3"/>
      </c>
      <c r="G135" s="53">
        <f t="shared" si="4"/>
      </c>
      <c r="H135" s="59">
        <f t="shared" si="5"/>
      </c>
      <c r="I135" s="56">
        <f t="shared" si="6"/>
      </c>
      <c r="J135" s="56">
        <f t="shared" si="9"/>
      </c>
      <c r="L135" s="46">
        <f t="shared" si="10"/>
      </c>
      <c r="M135" s="80">
        <f t="shared" si="11"/>
      </c>
      <c r="S135" s="22">
        <f>IFERROR(SMALL(发票导入!$AE$5:$AE$2004,128),"")</f>
      </c>
      <c r="T135" s="22">
        <f>IFERROR(SMALL($S$8:$S$507,128),"")</f>
      </c>
      <c r="U135" s="22">
        <f t="shared" si="12"/>
      </c>
      <c r="V135" s="22">
        <f t="shared" si="13"/>
      </c>
      <c r="W135" s="22">
        <f t="shared" si="14"/>
      </c>
    </row>
    <row r="136">
      <c r="A136" s="60">
        <f t="shared" si="7"/>
      </c>
      <c r="B136" s="56">
        <f t="shared" si="8"/>
      </c>
      <c r="C136" s="79">
        <f t="shared" si="0"/>
      </c>
      <c r="D136" s="53">
        <f t="shared" si="1"/>
      </c>
      <c r="E136" s="53">
        <f t="shared" si="2"/>
      </c>
      <c r="F136" s="53">
        <f t="shared" si="3"/>
      </c>
      <c r="G136" s="53">
        <f t="shared" si="4"/>
      </c>
      <c r="H136" s="59">
        <f t="shared" si="5"/>
      </c>
      <c r="I136" s="56">
        <f t="shared" si="6"/>
      </c>
      <c r="J136" s="56">
        <f t="shared" si="9"/>
      </c>
      <c r="L136" s="46">
        <f t="shared" si="10"/>
      </c>
      <c r="M136" s="80">
        <f t="shared" si="11"/>
      </c>
      <c r="S136" s="22">
        <f>IFERROR(SMALL(发票导入!$AE$5:$AE$2004,129),"")</f>
      </c>
      <c r="T136" s="22">
        <f>IFERROR(SMALL($S$8:$S$507,129),"")</f>
      </c>
      <c r="U136" s="22">
        <f t="shared" si="12"/>
      </c>
      <c r="V136" s="22">
        <f t="shared" si="13"/>
      </c>
      <c r="W136" s="22">
        <f t="shared" si="14"/>
      </c>
    </row>
    <row r="137">
      <c r="A137" s="60">
        <f t="shared" si="7"/>
      </c>
      <c r="B137" s="56">
        <f t="shared" si="8"/>
      </c>
      <c r="C137" s="79">
        <f t="shared" si="0"/>
      </c>
      <c r="D137" s="53">
        <f t="shared" si="1"/>
      </c>
      <c r="E137" s="53">
        <f t="shared" si="2"/>
      </c>
      <c r="F137" s="53">
        <f t="shared" si="3"/>
      </c>
      <c r="G137" s="53">
        <f t="shared" si="4"/>
      </c>
      <c r="H137" s="59">
        <f t="shared" si="5"/>
      </c>
      <c r="I137" s="56">
        <f t="shared" si="6"/>
      </c>
      <c r="J137" s="56">
        <f t="shared" si="9"/>
      </c>
      <c r="L137" s="46">
        <f t="shared" si="10"/>
      </c>
      <c r="M137" s="80">
        <f t="shared" si="11"/>
      </c>
      <c r="S137" s="22">
        <f>IFERROR(SMALL(发票导入!$AE$5:$AE$2004,130),"")</f>
      </c>
      <c r="T137" s="22">
        <f>IFERROR(SMALL($S$8:$S$507,130),"")</f>
      </c>
      <c r="U137" s="22">
        <f t="shared" si="12"/>
      </c>
      <c r="V137" s="22">
        <f t="shared" si="13"/>
      </c>
      <c r="W137" s="22">
        <f t="shared" si="14"/>
      </c>
    </row>
    <row r="138">
      <c r="A138" s="60">
        <f t="shared" si="7"/>
      </c>
      <c r="B138" s="56">
        <f t="shared" si="8"/>
      </c>
      <c r="C138" s="79">
        <f t="shared" si="0"/>
      </c>
      <c r="D138" s="53">
        <f t="shared" si="1"/>
      </c>
      <c r="E138" s="53">
        <f t="shared" si="2"/>
      </c>
      <c r="F138" s="53">
        <f t="shared" si="3"/>
      </c>
      <c r="G138" s="53">
        <f t="shared" si="4"/>
      </c>
      <c r="H138" s="59">
        <f t="shared" si="5"/>
      </c>
      <c r="I138" s="56">
        <f t="shared" si="6"/>
      </c>
      <c r="J138" s="56">
        <f t="shared" si="9"/>
      </c>
      <c r="L138" s="46">
        <f t="shared" si="10"/>
      </c>
      <c r="M138" s="80">
        <f t="shared" si="11"/>
      </c>
      <c r="S138" s="22">
        <f>IFERROR(SMALL(发票导入!$AE$5:$AE$2004,131),"")</f>
      </c>
      <c r="T138" s="22">
        <f>IFERROR(SMALL($S$8:$S$507,131),"")</f>
      </c>
      <c r="U138" s="22">
        <f t="shared" si="12"/>
      </c>
      <c r="V138" s="22">
        <f t="shared" si="13"/>
      </c>
      <c r="W138" s="22">
        <f t="shared" si="14"/>
      </c>
    </row>
    <row r="139">
      <c r="A139" s="60">
        <f t="shared" si="7"/>
      </c>
      <c r="B139" s="56">
        <f t="shared" si="8"/>
      </c>
      <c r="C139" s="79">
        <f t="shared" si="0"/>
      </c>
      <c r="D139" s="53">
        <f t="shared" si="1"/>
      </c>
      <c r="E139" s="53">
        <f t="shared" si="2"/>
      </c>
      <c r="F139" s="53">
        <f t="shared" si="3"/>
      </c>
      <c r="G139" s="53">
        <f t="shared" si="4"/>
      </c>
      <c r="H139" s="59">
        <f t="shared" si="5"/>
      </c>
      <c r="I139" s="56">
        <f t="shared" si="6"/>
      </c>
      <c r="J139" s="56">
        <f t="shared" si="9"/>
      </c>
      <c r="L139" s="46">
        <f t="shared" si="10"/>
      </c>
      <c r="M139" s="80">
        <f t="shared" si="11"/>
      </c>
      <c r="S139" s="22">
        <f>IFERROR(SMALL(发票导入!$AE$5:$AE$2004,132),"")</f>
      </c>
      <c r="T139" s="22">
        <f>IFERROR(SMALL($S$8:$S$507,132),"")</f>
      </c>
      <c r="U139" s="22">
        <f t="shared" si="12"/>
      </c>
      <c r="V139" s="22">
        <f t="shared" si="13"/>
      </c>
      <c r="W139" s="22">
        <f t="shared" si="14"/>
      </c>
    </row>
    <row r="140">
      <c r="A140" s="60">
        <f t="shared" si="7"/>
      </c>
      <c r="B140" s="56">
        <f t="shared" si="8"/>
      </c>
      <c r="C140" s="79">
        <f t="shared" si="0"/>
      </c>
      <c r="D140" s="53">
        <f t="shared" si="1"/>
      </c>
      <c r="E140" s="53">
        <f t="shared" si="2"/>
      </c>
      <c r="F140" s="53">
        <f t="shared" si="3"/>
      </c>
      <c r="G140" s="53">
        <f t="shared" si="4"/>
      </c>
      <c r="H140" s="59">
        <f t="shared" si="5"/>
      </c>
      <c r="I140" s="56">
        <f t="shared" si="6"/>
      </c>
      <c r="J140" s="56">
        <f t="shared" si="9"/>
      </c>
      <c r="L140" s="46">
        <f t="shared" si="10"/>
      </c>
      <c r="M140" s="80">
        <f t="shared" si="11"/>
      </c>
      <c r="S140" s="22">
        <f>IFERROR(SMALL(发票导入!$AE$5:$AE$2004,133),"")</f>
      </c>
      <c r="T140" s="22">
        <f>IFERROR(SMALL($S$8:$S$507,133),"")</f>
      </c>
      <c r="U140" s="22">
        <f t="shared" si="12"/>
      </c>
      <c r="V140" s="22">
        <f t="shared" si="13"/>
      </c>
      <c r="W140" s="22">
        <f t="shared" si="14"/>
      </c>
    </row>
    <row r="141">
      <c r="A141" s="60">
        <f t="shared" si="7"/>
      </c>
      <c r="B141" s="56">
        <f t="shared" si="8"/>
      </c>
      <c r="C141" s="79">
        <f t="shared" si="0"/>
      </c>
      <c r="D141" s="53">
        <f t="shared" si="1"/>
      </c>
      <c r="E141" s="53">
        <f t="shared" si="2"/>
      </c>
      <c r="F141" s="53">
        <f t="shared" si="3"/>
      </c>
      <c r="G141" s="53">
        <f t="shared" si="4"/>
      </c>
      <c r="H141" s="59">
        <f t="shared" si="5"/>
      </c>
      <c r="I141" s="56">
        <f t="shared" si="6"/>
      </c>
      <c r="J141" s="56">
        <f t="shared" si="9"/>
      </c>
      <c r="L141" s="46">
        <f t="shared" si="10"/>
      </c>
      <c r="M141" s="80">
        <f t="shared" si="11"/>
      </c>
      <c r="S141" s="22">
        <f>IFERROR(SMALL(发票导入!$AE$5:$AE$2004,134),"")</f>
      </c>
      <c r="T141" s="22">
        <f>IFERROR(SMALL($S$8:$S$507,134),"")</f>
      </c>
      <c r="U141" s="22">
        <f t="shared" si="12"/>
      </c>
      <c r="V141" s="22">
        <f t="shared" si="13"/>
      </c>
      <c r="W141" s="22">
        <f t="shared" si="14"/>
      </c>
    </row>
    <row r="142">
      <c r="A142" s="60">
        <f t="shared" si="7"/>
      </c>
      <c r="B142" s="56">
        <f t="shared" si="8"/>
      </c>
      <c r="C142" s="79">
        <f t="shared" si="0"/>
      </c>
      <c r="D142" s="53">
        <f t="shared" si="1"/>
      </c>
      <c r="E142" s="53">
        <f t="shared" si="2"/>
      </c>
      <c r="F142" s="53">
        <f t="shared" si="3"/>
      </c>
      <c r="G142" s="53">
        <f t="shared" si="4"/>
      </c>
      <c r="H142" s="59">
        <f t="shared" si="5"/>
      </c>
      <c r="I142" s="56">
        <f t="shared" si="6"/>
      </c>
      <c r="J142" s="56">
        <f t="shared" si="9"/>
      </c>
      <c r="L142" s="46">
        <f t="shared" si="10"/>
      </c>
      <c r="M142" s="80">
        <f t="shared" si="11"/>
      </c>
      <c r="S142" s="22">
        <f>IFERROR(SMALL(发票导入!$AE$5:$AE$2004,135),"")</f>
      </c>
      <c r="T142" s="22">
        <f>IFERROR(SMALL($S$8:$S$507,135),"")</f>
      </c>
      <c r="U142" s="22">
        <f t="shared" si="12"/>
      </c>
      <c r="V142" s="22">
        <f t="shared" si="13"/>
      </c>
      <c r="W142" s="22">
        <f t="shared" si="14"/>
      </c>
    </row>
    <row r="143">
      <c r="A143" s="60">
        <f t="shared" si="7"/>
      </c>
      <c r="B143" s="56">
        <f t="shared" si="8"/>
      </c>
      <c r="C143" s="79">
        <f t="shared" si="0"/>
      </c>
      <c r="D143" s="53">
        <f t="shared" si="1"/>
      </c>
      <c r="E143" s="53">
        <f t="shared" si="2"/>
      </c>
      <c r="F143" s="53">
        <f t="shared" si="3"/>
      </c>
      <c r="G143" s="53">
        <f t="shared" si="4"/>
      </c>
      <c r="H143" s="59">
        <f t="shared" si="5"/>
      </c>
      <c r="I143" s="56">
        <f t="shared" si="6"/>
      </c>
      <c r="J143" s="56">
        <f t="shared" si="9"/>
      </c>
      <c r="L143" s="46">
        <f t="shared" si="10"/>
      </c>
      <c r="M143" s="80">
        <f t="shared" si="11"/>
      </c>
      <c r="S143" s="22">
        <f>IFERROR(SMALL(发票导入!$AE$5:$AE$2004,136),"")</f>
      </c>
      <c r="T143" s="22">
        <f>IFERROR(SMALL($S$8:$S$507,136),"")</f>
      </c>
      <c r="U143" s="22">
        <f t="shared" si="12"/>
      </c>
      <c r="V143" s="22">
        <f t="shared" si="13"/>
      </c>
      <c r="W143" s="22">
        <f t="shared" si="14"/>
      </c>
    </row>
    <row r="144">
      <c r="A144" s="60">
        <f t="shared" si="7"/>
      </c>
      <c r="B144" s="56">
        <f t="shared" si="8"/>
      </c>
      <c r="C144" s="79">
        <f t="shared" si="0"/>
      </c>
      <c r="D144" s="53">
        <f t="shared" si="1"/>
      </c>
      <c r="E144" s="53">
        <f t="shared" si="2"/>
      </c>
      <c r="F144" s="53">
        <f t="shared" si="3"/>
      </c>
      <c r="G144" s="53">
        <f t="shared" si="4"/>
      </c>
      <c r="H144" s="59">
        <f t="shared" si="5"/>
      </c>
      <c r="I144" s="56">
        <f t="shared" si="6"/>
      </c>
      <c r="J144" s="56">
        <f t="shared" si="9"/>
      </c>
      <c r="L144" s="46">
        <f t="shared" si="10"/>
      </c>
      <c r="M144" s="80">
        <f t="shared" si="11"/>
      </c>
      <c r="S144" s="22">
        <f>IFERROR(SMALL(发票导入!$AE$5:$AE$2004,137),"")</f>
      </c>
      <c r="T144" s="22">
        <f>IFERROR(SMALL($S$8:$S$507,137),"")</f>
      </c>
      <c r="U144" s="22">
        <f t="shared" si="12"/>
      </c>
      <c r="V144" s="22">
        <f t="shared" si="13"/>
      </c>
      <c r="W144" s="22">
        <f t="shared" si="14"/>
      </c>
    </row>
    <row r="145">
      <c r="A145" s="60">
        <f t="shared" si="7"/>
      </c>
      <c r="B145" s="56">
        <f t="shared" si="8"/>
      </c>
      <c r="C145" s="79">
        <f t="shared" si="0"/>
      </c>
      <c r="D145" s="53">
        <f t="shared" si="1"/>
      </c>
      <c r="E145" s="53">
        <f t="shared" si="2"/>
      </c>
      <c r="F145" s="53">
        <f t="shared" si="3"/>
      </c>
      <c r="G145" s="53">
        <f t="shared" si="4"/>
      </c>
      <c r="H145" s="59">
        <f t="shared" si="5"/>
      </c>
      <c r="I145" s="56">
        <f t="shared" si="6"/>
      </c>
      <c r="J145" s="56">
        <f t="shared" si="9"/>
      </c>
      <c r="L145" s="46">
        <f t="shared" si="10"/>
      </c>
      <c r="M145" s="80">
        <f t="shared" si="11"/>
      </c>
      <c r="S145" s="22">
        <f>IFERROR(SMALL(发票导入!$AE$5:$AE$2004,138),"")</f>
      </c>
      <c r="T145" s="22">
        <f>IFERROR(SMALL($S$8:$S$507,138),"")</f>
      </c>
      <c r="U145" s="22">
        <f t="shared" si="12"/>
      </c>
      <c r="V145" s="22">
        <f t="shared" si="13"/>
      </c>
      <c r="W145" s="22">
        <f t="shared" si="14"/>
      </c>
    </row>
    <row r="146">
      <c r="A146" s="60">
        <f t="shared" si="7"/>
      </c>
      <c r="B146" s="56">
        <f t="shared" si="8"/>
      </c>
      <c r="C146" s="79">
        <f t="shared" si="0"/>
      </c>
      <c r="D146" s="53">
        <f t="shared" si="1"/>
      </c>
      <c r="E146" s="53">
        <f t="shared" si="2"/>
      </c>
      <c r="F146" s="53">
        <f t="shared" si="3"/>
      </c>
      <c r="G146" s="53">
        <f t="shared" si="4"/>
      </c>
      <c r="H146" s="59">
        <f t="shared" si="5"/>
      </c>
      <c r="I146" s="56">
        <f t="shared" si="6"/>
      </c>
      <c r="J146" s="56">
        <f t="shared" si="9"/>
      </c>
      <c r="L146" s="46">
        <f t="shared" si="10"/>
      </c>
      <c r="M146" s="80">
        <f t="shared" si="11"/>
      </c>
      <c r="S146" s="22">
        <f>IFERROR(SMALL(发票导入!$AE$5:$AE$2004,139),"")</f>
      </c>
      <c r="T146" s="22">
        <f>IFERROR(SMALL($S$8:$S$507,139),"")</f>
      </c>
      <c r="U146" s="22">
        <f t="shared" si="12"/>
      </c>
      <c r="V146" s="22">
        <f t="shared" si="13"/>
      </c>
      <c r="W146" s="22">
        <f t="shared" si="14"/>
      </c>
    </row>
    <row r="147">
      <c r="A147" s="60">
        <f t="shared" si="7"/>
      </c>
      <c r="B147" s="56">
        <f t="shared" si="8"/>
      </c>
      <c r="C147" s="79">
        <f t="shared" si="0"/>
      </c>
      <c r="D147" s="53">
        <f t="shared" si="1"/>
      </c>
      <c r="E147" s="53">
        <f t="shared" si="2"/>
      </c>
      <c r="F147" s="53">
        <f t="shared" si="3"/>
      </c>
      <c r="G147" s="53">
        <f t="shared" si="4"/>
      </c>
      <c r="H147" s="59">
        <f t="shared" si="5"/>
      </c>
      <c r="I147" s="56">
        <f t="shared" si="6"/>
      </c>
      <c r="J147" s="56">
        <f t="shared" si="9"/>
      </c>
      <c r="L147" s="46">
        <f t="shared" si="10"/>
      </c>
      <c r="M147" s="80">
        <f t="shared" si="11"/>
      </c>
      <c r="S147" s="22">
        <f>IFERROR(SMALL(发票导入!$AE$5:$AE$2004,140),"")</f>
      </c>
      <c r="T147" s="22">
        <f>IFERROR(SMALL($S$8:$S$507,140),"")</f>
      </c>
      <c r="U147" s="22">
        <f t="shared" si="12"/>
      </c>
      <c r="V147" s="22">
        <f t="shared" si="13"/>
      </c>
      <c r="W147" s="22">
        <f t="shared" si="14"/>
      </c>
    </row>
    <row r="148">
      <c r="A148" s="60">
        <f t="shared" si="7"/>
      </c>
      <c r="B148" s="56">
        <f t="shared" si="8"/>
      </c>
      <c r="C148" s="79">
        <f t="shared" si="0"/>
      </c>
      <c r="D148" s="53">
        <f t="shared" si="1"/>
      </c>
      <c r="E148" s="53">
        <f t="shared" si="2"/>
      </c>
      <c r="F148" s="53">
        <f t="shared" si="3"/>
      </c>
      <c r="G148" s="53">
        <f t="shared" si="4"/>
      </c>
      <c r="H148" s="59">
        <f t="shared" si="5"/>
      </c>
      <c r="I148" s="56">
        <f t="shared" si="6"/>
      </c>
      <c r="J148" s="56">
        <f t="shared" si="9"/>
      </c>
      <c r="L148" s="46">
        <f t="shared" si="10"/>
      </c>
      <c r="M148" s="80">
        <f t="shared" si="11"/>
      </c>
      <c r="S148" s="22">
        <f>IFERROR(SMALL(发票导入!$AE$5:$AE$2004,141),"")</f>
      </c>
      <c r="T148" s="22">
        <f>IFERROR(SMALL($S$8:$S$507,141),"")</f>
      </c>
      <c r="U148" s="22">
        <f t="shared" si="12"/>
      </c>
      <c r="V148" s="22">
        <f t="shared" si="13"/>
      </c>
      <c r="W148" s="22">
        <f t="shared" si="14"/>
      </c>
    </row>
    <row r="149">
      <c r="A149" s="60">
        <f t="shared" si="7"/>
      </c>
      <c r="B149" s="56">
        <f t="shared" si="8"/>
      </c>
      <c r="C149" s="79">
        <f t="shared" si="0"/>
      </c>
      <c r="D149" s="53">
        <f t="shared" si="1"/>
      </c>
      <c r="E149" s="53">
        <f t="shared" si="2"/>
      </c>
      <c r="F149" s="53">
        <f t="shared" si="3"/>
      </c>
      <c r="G149" s="53">
        <f t="shared" si="4"/>
      </c>
      <c r="H149" s="59">
        <f t="shared" si="5"/>
      </c>
      <c r="I149" s="56">
        <f t="shared" si="6"/>
      </c>
      <c r="J149" s="56">
        <f t="shared" si="9"/>
      </c>
      <c r="L149" s="46">
        <f t="shared" si="10"/>
      </c>
      <c r="M149" s="80">
        <f t="shared" si="11"/>
      </c>
      <c r="S149" s="22">
        <f>IFERROR(SMALL(发票导入!$AE$5:$AE$2004,142),"")</f>
      </c>
      <c r="T149" s="22">
        <f>IFERROR(SMALL($S$8:$S$507,142),"")</f>
      </c>
      <c r="U149" s="22">
        <f t="shared" si="12"/>
      </c>
      <c r="V149" s="22">
        <f t="shared" si="13"/>
      </c>
      <c r="W149" s="22">
        <f t="shared" si="14"/>
      </c>
    </row>
    <row r="150">
      <c r="A150" s="60">
        <f t="shared" si="7"/>
      </c>
      <c r="B150" s="56">
        <f t="shared" si="8"/>
      </c>
      <c r="C150" s="79">
        <f t="shared" si="0"/>
      </c>
      <c r="D150" s="53">
        <f t="shared" si="1"/>
      </c>
      <c r="E150" s="53">
        <f t="shared" si="2"/>
      </c>
      <c r="F150" s="53">
        <f t="shared" si="3"/>
      </c>
      <c r="G150" s="53">
        <f t="shared" si="4"/>
      </c>
      <c r="H150" s="59">
        <f t="shared" si="5"/>
      </c>
      <c r="I150" s="56">
        <f t="shared" si="6"/>
      </c>
      <c r="J150" s="56">
        <f t="shared" si="9"/>
      </c>
      <c r="L150" s="46">
        <f t="shared" si="10"/>
      </c>
      <c r="M150" s="80">
        <f t="shared" si="11"/>
      </c>
      <c r="S150" s="22">
        <f>IFERROR(SMALL(发票导入!$AE$5:$AE$2004,143),"")</f>
      </c>
      <c r="T150" s="22">
        <f>IFERROR(SMALL($S$8:$S$507,143),"")</f>
      </c>
      <c r="U150" s="22">
        <f t="shared" si="12"/>
      </c>
      <c r="V150" s="22">
        <f t="shared" si="13"/>
      </c>
      <c r="W150" s="22">
        <f t="shared" si="14"/>
      </c>
    </row>
    <row r="151">
      <c r="A151" s="60">
        <f t="shared" si="7"/>
      </c>
      <c r="B151" s="56">
        <f t="shared" si="8"/>
      </c>
      <c r="C151" s="79">
        <f t="shared" si="0"/>
      </c>
      <c r="D151" s="53">
        <f t="shared" si="1"/>
      </c>
      <c r="E151" s="53">
        <f t="shared" si="2"/>
      </c>
      <c r="F151" s="53">
        <f t="shared" si="3"/>
      </c>
      <c r="G151" s="53">
        <f t="shared" si="4"/>
      </c>
      <c r="H151" s="59">
        <f t="shared" si="5"/>
      </c>
      <c r="I151" s="56">
        <f t="shared" si="6"/>
      </c>
      <c r="J151" s="56">
        <f t="shared" si="9"/>
      </c>
      <c r="L151" s="46">
        <f t="shared" si="10"/>
      </c>
      <c r="M151" s="80">
        <f t="shared" si="11"/>
      </c>
      <c r="S151" s="22">
        <f>IFERROR(SMALL(发票导入!$AE$5:$AE$2004,144),"")</f>
      </c>
      <c r="T151" s="22">
        <f>IFERROR(SMALL($S$8:$S$507,144),"")</f>
      </c>
      <c r="U151" s="22">
        <f t="shared" si="12"/>
      </c>
      <c r="V151" s="22">
        <f t="shared" si="13"/>
      </c>
      <c r="W151" s="22">
        <f t="shared" si="14"/>
      </c>
    </row>
    <row r="152">
      <c r="A152" s="60">
        <f t="shared" si="7"/>
      </c>
      <c r="B152" s="56">
        <f t="shared" si="8"/>
      </c>
      <c r="C152" s="79">
        <f t="shared" si="0"/>
      </c>
      <c r="D152" s="53">
        <f t="shared" si="1"/>
      </c>
      <c r="E152" s="53">
        <f t="shared" si="2"/>
      </c>
      <c r="F152" s="53">
        <f t="shared" si="3"/>
      </c>
      <c r="G152" s="53">
        <f t="shared" si="4"/>
      </c>
      <c r="H152" s="59">
        <f t="shared" si="5"/>
      </c>
      <c r="I152" s="56">
        <f t="shared" si="6"/>
      </c>
      <c r="J152" s="56">
        <f t="shared" si="9"/>
      </c>
      <c r="L152" s="46">
        <f t="shared" si="10"/>
      </c>
      <c r="M152" s="80">
        <f t="shared" si="11"/>
      </c>
      <c r="S152" s="22">
        <f>IFERROR(SMALL(发票导入!$AE$5:$AE$2004,145),"")</f>
      </c>
      <c r="T152" s="22">
        <f>IFERROR(SMALL($S$8:$S$507,145),"")</f>
      </c>
      <c r="U152" s="22">
        <f t="shared" si="12"/>
      </c>
      <c r="V152" s="22">
        <f t="shared" si="13"/>
      </c>
      <c r="W152" s="22">
        <f t="shared" si="14"/>
      </c>
    </row>
    <row r="153">
      <c r="A153" s="60">
        <f t="shared" si="7"/>
      </c>
      <c r="B153" s="56">
        <f t="shared" si="8"/>
      </c>
      <c r="C153" s="79">
        <f t="shared" si="0"/>
      </c>
      <c r="D153" s="53">
        <f t="shared" si="1"/>
      </c>
      <c r="E153" s="53">
        <f t="shared" si="2"/>
      </c>
      <c r="F153" s="53">
        <f t="shared" si="3"/>
      </c>
      <c r="G153" s="53">
        <f t="shared" si="4"/>
      </c>
      <c r="H153" s="59">
        <f t="shared" si="5"/>
      </c>
      <c r="I153" s="56">
        <f t="shared" si="6"/>
      </c>
      <c r="J153" s="56">
        <f t="shared" si="9"/>
      </c>
      <c r="L153" s="46">
        <f t="shared" si="10"/>
      </c>
      <c r="M153" s="80">
        <f t="shared" si="11"/>
      </c>
      <c r="S153" s="22">
        <f>IFERROR(SMALL(发票导入!$AE$5:$AE$2004,146),"")</f>
      </c>
      <c r="T153" s="22">
        <f>IFERROR(SMALL($S$8:$S$507,146),"")</f>
      </c>
      <c r="U153" s="22">
        <f t="shared" si="12"/>
      </c>
      <c r="V153" s="22">
        <f t="shared" si="13"/>
      </c>
      <c r="W153" s="22">
        <f t="shared" si="14"/>
      </c>
    </row>
    <row r="154">
      <c r="A154" s="60">
        <f t="shared" si="7"/>
      </c>
      <c r="B154" s="56">
        <f t="shared" si="8"/>
      </c>
      <c r="C154" s="79">
        <f t="shared" si="0"/>
      </c>
      <c r="D154" s="53">
        <f t="shared" si="1"/>
      </c>
      <c r="E154" s="53">
        <f t="shared" si="2"/>
      </c>
      <c r="F154" s="53">
        <f t="shared" si="3"/>
      </c>
      <c r="G154" s="53">
        <f t="shared" si="4"/>
      </c>
      <c r="H154" s="59">
        <f t="shared" si="5"/>
      </c>
      <c r="I154" s="56">
        <f t="shared" si="6"/>
      </c>
      <c r="J154" s="56">
        <f t="shared" si="9"/>
      </c>
      <c r="L154" s="46">
        <f t="shared" si="10"/>
      </c>
      <c r="M154" s="80">
        <f t="shared" si="11"/>
      </c>
      <c r="S154" s="22">
        <f>IFERROR(SMALL(发票导入!$AE$5:$AE$2004,147),"")</f>
      </c>
      <c r="T154" s="22">
        <f>IFERROR(SMALL($S$8:$S$507,147),"")</f>
      </c>
      <c r="U154" s="22">
        <f t="shared" si="12"/>
      </c>
      <c r="V154" s="22">
        <f t="shared" si="13"/>
      </c>
      <c r="W154" s="22">
        <f t="shared" si="14"/>
      </c>
    </row>
    <row r="155">
      <c r="A155" s="60">
        <f t="shared" si="7"/>
      </c>
      <c r="B155" s="56">
        <f t="shared" si="8"/>
      </c>
      <c r="C155" s="79">
        <f t="shared" si="0"/>
      </c>
      <c r="D155" s="53">
        <f t="shared" si="1"/>
      </c>
      <c r="E155" s="53">
        <f t="shared" si="2"/>
      </c>
      <c r="F155" s="53">
        <f t="shared" si="3"/>
      </c>
      <c r="G155" s="53">
        <f t="shared" si="4"/>
      </c>
      <c r="H155" s="59">
        <f t="shared" si="5"/>
      </c>
      <c r="I155" s="56">
        <f t="shared" si="6"/>
      </c>
      <c r="J155" s="56">
        <f t="shared" si="9"/>
      </c>
      <c r="L155" s="46">
        <f t="shared" si="10"/>
      </c>
      <c r="M155" s="80">
        <f t="shared" si="11"/>
      </c>
      <c r="S155" s="22">
        <f>IFERROR(SMALL(发票导入!$AE$5:$AE$2004,148),"")</f>
      </c>
      <c r="T155" s="22">
        <f>IFERROR(SMALL($S$8:$S$507,148),"")</f>
      </c>
      <c r="U155" s="22">
        <f t="shared" si="12"/>
      </c>
      <c r="V155" s="22">
        <f t="shared" si="13"/>
      </c>
      <c r="W155" s="22">
        <f t="shared" si="14"/>
      </c>
    </row>
    <row r="156">
      <c r="A156" s="60">
        <f t="shared" si="7"/>
      </c>
      <c r="B156" s="56">
        <f t="shared" si="8"/>
      </c>
      <c r="C156" s="79">
        <f t="shared" si="0"/>
      </c>
      <c r="D156" s="53">
        <f t="shared" si="1"/>
      </c>
      <c r="E156" s="53">
        <f t="shared" si="2"/>
      </c>
      <c r="F156" s="53">
        <f t="shared" si="3"/>
      </c>
      <c r="G156" s="53">
        <f t="shared" si="4"/>
      </c>
      <c r="H156" s="59">
        <f t="shared" si="5"/>
      </c>
      <c r="I156" s="56">
        <f t="shared" si="6"/>
      </c>
      <c r="J156" s="56">
        <f t="shared" si="9"/>
      </c>
      <c r="L156" s="46">
        <f t="shared" si="10"/>
      </c>
      <c r="M156" s="80">
        <f t="shared" si="11"/>
      </c>
      <c r="S156" s="22">
        <f>IFERROR(SMALL(发票导入!$AE$5:$AE$2004,149),"")</f>
      </c>
      <c r="T156" s="22">
        <f>IFERROR(SMALL($S$8:$S$507,149),"")</f>
      </c>
      <c r="U156" s="22">
        <f t="shared" si="12"/>
      </c>
      <c r="V156" s="22">
        <f t="shared" si="13"/>
      </c>
      <c r="W156" s="22">
        <f t="shared" si="14"/>
      </c>
    </row>
    <row r="157">
      <c r="A157" s="60">
        <f t="shared" si="7"/>
      </c>
      <c r="B157" s="56">
        <f t="shared" si="8"/>
      </c>
      <c r="C157" s="79">
        <f t="shared" si="0"/>
      </c>
      <c r="D157" s="53">
        <f t="shared" si="1"/>
      </c>
      <c r="E157" s="53">
        <f t="shared" si="2"/>
      </c>
      <c r="F157" s="53">
        <f t="shared" si="3"/>
      </c>
      <c r="G157" s="53">
        <f t="shared" si="4"/>
      </c>
      <c r="H157" s="59">
        <f t="shared" si="5"/>
      </c>
      <c r="I157" s="56">
        <f t="shared" si="6"/>
      </c>
      <c r="J157" s="56">
        <f t="shared" si="9"/>
      </c>
      <c r="L157" s="46">
        <f t="shared" si="10"/>
      </c>
      <c r="M157" s="80">
        <f t="shared" si="11"/>
      </c>
      <c r="S157" s="22">
        <f>IFERROR(SMALL(发票导入!$AE$5:$AE$2004,150),"")</f>
      </c>
      <c r="T157" s="22">
        <f>IFERROR(SMALL($S$8:$S$507,150),"")</f>
      </c>
      <c r="U157" s="22">
        <f t="shared" si="12"/>
      </c>
      <c r="V157" s="22">
        <f t="shared" si="13"/>
      </c>
      <c r="W157" s="22">
        <f t="shared" si="14"/>
      </c>
    </row>
    <row r="158">
      <c r="A158" s="60">
        <f t="shared" si="7"/>
      </c>
      <c r="B158" s="56">
        <f t="shared" si="8"/>
      </c>
      <c r="C158" s="79">
        <f t="shared" si="0"/>
      </c>
      <c r="D158" s="53">
        <f t="shared" si="1"/>
      </c>
      <c r="E158" s="53">
        <f t="shared" si="2"/>
      </c>
      <c r="F158" s="53">
        <f t="shared" si="3"/>
      </c>
      <c r="G158" s="53">
        <f t="shared" si="4"/>
      </c>
      <c r="H158" s="59">
        <f t="shared" si="5"/>
      </c>
      <c r="I158" s="56">
        <f t="shared" si="6"/>
      </c>
      <c r="J158" s="56">
        <f t="shared" si="9"/>
      </c>
      <c r="L158" s="46">
        <f t="shared" si="10"/>
      </c>
      <c r="M158" s="80">
        <f t="shared" si="11"/>
      </c>
      <c r="S158" s="22">
        <f>IFERROR(SMALL(发票导入!$AE$5:$AE$2004,151),"")</f>
      </c>
      <c r="T158" s="22">
        <f>IFERROR(SMALL($S$8:$S$507,151),"")</f>
      </c>
      <c r="U158" s="22">
        <f t="shared" si="12"/>
      </c>
      <c r="V158" s="22">
        <f t="shared" si="13"/>
      </c>
      <c r="W158" s="22">
        <f t="shared" si="14"/>
      </c>
    </row>
    <row r="159">
      <c r="A159" s="60">
        <f t="shared" si="7"/>
      </c>
      <c r="B159" s="56">
        <f t="shared" si="8"/>
      </c>
      <c r="C159" s="79">
        <f t="shared" si="0"/>
      </c>
      <c r="D159" s="53">
        <f t="shared" si="1"/>
      </c>
      <c r="E159" s="53">
        <f t="shared" si="2"/>
      </c>
      <c r="F159" s="53">
        <f t="shared" si="3"/>
      </c>
      <c r="G159" s="53">
        <f t="shared" si="4"/>
      </c>
      <c r="H159" s="59">
        <f t="shared" si="5"/>
      </c>
      <c r="I159" s="56">
        <f t="shared" si="6"/>
      </c>
      <c r="J159" s="56">
        <f t="shared" si="9"/>
      </c>
      <c r="L159" s="46">
        <f t="shared" si="10"/>
      </c>
      <c r="M159" s="80">
        <f t="shared" si="11"/>
      </c>
      <c r="S159" s="22">
        <f>IFERROR(SMALL(发票导入!$AE$5:$AE$2004,152),"")</f>
      </c>
      <c r="T159" s="22">
        <f>IFERROR(SMALL($S$8:$S$507,152),"")</f>
      </c>
      <c r="U159" s="22">
        <f t="shared" si="12"/>
      </c>
      <c r="V159" s="22">
        <f t="shared" si="13"/>
      </c>
      <c r="W159" s="22">
        <f t="shared" si="14"/>
      </c>
    </row>
    <row r="160">
      <c r="A160" s="60">
        <f t="shared" si="7"/>
      </c>
      <c r="B160" s="56">
        <f t="shared" si="8"/>
      </c>
      <c r="C160" s="79">
        <f t="shared" si="0"/>
      </c>
      <c r="D160" s="53">
        <f t="shared" si="1"/>
      </c>
      <c r="E160" s="53">
        <f t="shared" si="2"/>
      </c>
      <c r="F160" s="53">
        <f t="shared" si="3"/>
      </c>
      <c r="G160" s="53">
        <f t="shared" si="4"/>
      </c>
      <c r="H160" s="59">
        <f t="shared" si="5"/>
      </c>
      <c r="I160" s="56">
        <f t="shared" si="6"/>
      </c>
      <c r="J160" s="56">
        <f t="shared" si="9"/>
      </c>
      <c r="L160" s="46">
        <f t="shared" si="10"/>
      </c>
      <c r="M160" s="80">
        <f t="shared" si="11"/>
      </c>
      <c r="S160" s="22">
        <f>IFERROR(SMALL(发票导入!$AE$5:$AE$2004,153),"")</f>
      </c>
      <c r="T160" s="22">
        <f>IFERROR(SMALL($S$8:$S$507,153),"")</f>
      </c>
      <c r="U160" s="22">
        <f t="shared" si="12"/>
      </c>
      <c r="V160" s="22">
        <f t="shared" si="13"/>
      </c>
      <c r="W160" s="22">
        <f t="shared" si="14"/>
      </c>
    </row>
    <row r="161">
      <c r="A161" s="60">
        <f t="shared" si="7"/>
      </c>
      <c r="B161" s="56">
        <f t="shared" si="8"/>
      </c>
      <c r="C161" s="79">
        <f t="shared" si="0"/>
      </c>
      <c r="D161" s="53">
        <f t="shared" si="1"/>
      </c>
      <c r="E161" s="53">
        <f t="shared" si="2"/>
      </c>
      <c r="F161" s="53">
        <f t="shared" si="3"/>
      </c>
      <c r="G161" s="53">
        <f t="shared" si="4"/>
      </c>
      <c r="H161" s="59">
        <f t="shared" si="5"/>
      </c>
      <c r="I161" s="56">
        <f t="shared" si="6"/>
      </c>
      <c r="J161" s="56">
        <f t="shared" si="9"/>
      </c>
      <c r="L161" s="46">
        <f t="shared" si="10"/>
      </c>
      <c r="M161" s="80">
        <f t="shared" si="11"/>
      </c>
      <c r="S161" s="22">
        <f>IFERROR(SMALL(发票导入!$AE$5:$AE$2004,154),"")</f>
      </c>
      <c r="T161" s="22">
        <f>IFERROR(SMALL($S$8:$S$507,154),"")</f>
      </c>
      <c r="U161" s="22">
        <f t="shared" si="12"/>
      </c>
      <c r="V161" s="22">
        <f t="shared" si="13"/>
      </c>
      <c r="W161" s="22">
        <f t="shared" si="14"/>
      </c>
    </row>
    <row r="162">
      <c r="A162" s="60">
        <f t="shared" si="7"/>
      </c>
      <c r="B162" s="56">
        <f t="shared" si="8"/>
      </c>
      <c r="C162" s="79">
        <f t="shared" si="0"/>
      </c>
      <c r="D162" s="53">
        <f t="shared" si="1"/>
      </c>
      <c r="E162" s="53">
        <f t="shared" si="2"/>
      </c>
      <c r="F162" s="53">
        <f t="shared" si="3"/>
      </c>
      <c r="G162" s="53">
        <f t="shared" si="4"/>
      </c>
      <c r="H162" s="59">
        <f t="shared" si="5"/>
      </c>
      <c r="I162" s="56">
        <f t="shared" si="6"/>
      </c>
      <c r="J162" s="56">
        <f t="shared" si="9"/>
      </c>
      <c r="L162" s="46">
        <f t="shared" si="10"/>
      </c>
      <c r="M162" s="80">
        <f t="shared" si="11"/>
      </c>
      <c r="S162" s="22">
        <f>IFERROR(SMALL(发票导入!$AE$5:$AE$2004,155),"")</f>
      </c>
      <c r="T162" s="22">
        <f>IFERROR(SMALL($S$8:$S$507,155),"")</f>
      </c>
      <c r="U162" s="22">
        <f t="shared" si="12"/>
      </c>
      <c r="V162" s="22">
        <f t="shared" si="13"/>
      </c>
      <c r="W162" s="22">
        <f t="shared" si="14"/>
      </c>
    </row>
    <row r="163">
      <c r="A163" s="60">
        <f t="shared" si="7"/>
      </c>
      <c r="B163" s="56">
        <f t="shared" si="8"/>
      </c>
      <c r="C163" s="79">
        <f t="shared" si="0"/>
      </c>
      <c r="D163" s="53">
        <f t="shared" si="1"/>
      </c>
      <c r="E163" s="53">
        <f t="shared" si="2"/>
      </c>
      <c r="F163" s="53">
        <f t="shared" si="3"/>
      </c>
      <c r="G163" s="53">
        <f t="shared" si="4"/>
      </c>
      <c r="H163" s="59">
        <f t="shared" si="5"/>
      </c>
      <c r="I163" s="56">
        <f t="shared" si="6"/>
      </c>
      <c r="J163" s="56">
        <f t="shared" si="9"/>
      </c>
      <c r="L163" s="46">
        <f t="shared" si="10"/>
      </c>
      <c r="M163" s="80">
        <f t="shared" si="11"/>
      </c>
      <c r="S163" s="22">
        <f>IFERROR(SMALL(发票导入!$AE$5:$AE$2004,156),"")</f>
      </c>
      <c r="T163" s="22">
        <f>IFERROR(SMALL($S$8:$S$507,156),"")</f>
      </c>
      <c r="U163" s="22">
        <f t="shared" si="12"/>
      </c>
      <c r="V163" s="22">
        <f t="shared" si="13"/>
      </c>
      <c r="W163" s="22">
        <f t="shared" si="14"/>
      </c>
    </row>
    <row r="164">
      <c r="A164" s="60">
        <f t="shared" si="7"/>
      </c>
      <c r="B164" s="56">
        <f t="shared" si="8"/>
      </c>
      <c r="C164" s="79">
        <f t="shared" si="0"/>
      </c>
      <c r="D164" s="53">
        <f t="shared" si="1"/>
      </c>
      <c r="E164" s="53">
        <f t="shared" si="2"/>
      </c>
      <c r="F164" s="53">
        <f t="shared" si="3"/>
      </c>
      <c r="G164" s="53">
        <f t="shared" si="4"/>
      </c>
      <c r="H164" s="59">
        <f t="shared" si="5"/>
      </c>
      <c r="I164" s="56">
        <f t="shared" si="6"/>
      </c>
      <c r="J164" s="56">
        <f t="shared" si="9"/>
      </c>
      <c r="L164" s="46">
        <f t="shared" si="10"/>
      </c>
      <c r="M164" s="80">
        <f t="shared" si="11"/>
      </c>
      <c r="S164" s="22">
        <f>IFERROR(SMALL(发票导入!$AE$5:$AE$2004,157),"")</f>
      </c>
      <c r="T164" s="22">
        <f>IFERROR(SMALL($S$8:$S$507,157),"")</f>
      </c>
      <c r="U164" s="22">
        <f t="shared" si="12"/>
      </c>
      <c r="V164" s="22">
        <f t="shared" si="13"/>
      </c>
      <c r="W164" s="22">
        <f t="shared" si="14"/>
      </c>
    </row>
    <row r="165">
      <c r="A165" s="60">
        <f t="shared" si="7"/>
      </c>
      <c r="B165" s="56">
        <f t="shared" si="8"/>
      </c>
      <c r="C165" s="79">
        <f t="shared" si="0"/>
      </c>
      <c r="D165" s="53">
        <f t="shared" si="1"/>
      </c>
      <c r="E165" s="53">
        <f t="shared" si="2"/>
      </c>
      <c r="F165" s="53">
        <f t="shared" si="3"/>
      </c>
      <c r="G165" s="53">
        <f t="shared" si="4"/>
      </c>
      <c r="H165" s="59">
        <f t="shared" si="5"/>
      </c>
      <c r="I165" s="56">
        <f t="shared" si="6"/>
      </c>
      <c r="J165" s="56">
        <f t="shared" si="9"/>
      </c>
      <c r="L165" s="46">
        <f t="shared" si="10"/>
      </c>
      <c r="M165" s="80">
        <f t="shared" si="11"/>
      </c>
      <c r="S165" s="22">
        <f>IFERROR(SMALL(发票导入!$AE$5:$AE$2004,158),"")</f>
      </c>
      <c r="T165" s="22">
        <f>IFERROR(SMALL($S$8:$S$507,158),"")</f>
      </c>
      <c r="U165" s="22">
        <f t="shared" si="12"/>
      </c>
      <c r="V165" s="22">
        <f t="shared" si="13"/>
      </c>
      <c r="W165" s="22">
        <f t="shared" si="14"/>
      </c>
    </row>
    <row r="166">
      <c r="A166" s="60">
        <f t="shared" si="7"/>
      </c>
      <c r="B166" s="56">
        <f t="shared" si="8"/>
      </c>
      <c r="C166" s="79">
        <f t="shared" si="0"/>
      </c>
      <c r="D166" s="53">
        <f t="shared" si="1"/>
      </c>
      <c r="E166" s="53">
        <f t="shared" si="2"/>
      </c>
      <c r="F166" s="53">
        <f t="shared" si="3"/>
      </c>
      <c r="G166" s="53">
        <f t="shared" si="4"/>
      </c>
      <c r="H166" s="59">
        <f t="shared" si="5"/>
      </c>
      <c r="I166" s="56">
        <f t="shared" si="6"/>
      </c>
      <c r="J166" s="56">
        <f t="shared" si="9"/>
      </c>
      <c r="L166" s="46">
        <f t="shared" si="10"/>
      </c>
      <c r="M166" s="80">
        <f t="shared" si="11"/>
      </c>
      <c r="S166" s="22">
        <f>IFERROR(SMALL(发票导入!$AE$5:$AE$2004,159),"")</f>
      </c>
      <c r="T166" s="22">
        <f>IFERROR(SMALL($S$8:$S$507,159),"")</f>
      </c>
      <c r="U166" s="22">
        <f t="shared" si="12"/>
      </c>
      <c r="V166" s="22">
        <f t="shared" si="13"/>
      </c>
      <c r="W166" s="22">
        <f t="shared" si="14"/>
      </c>
    </row>
    <row r="167">
      <c r="A167" s="60">
        <f t="shared" si="7"/>
      </c>
      <c r="B167" s="56">
        <f t="shared" si="8"/>
      </c>
      <c r="C167" s="79">
        <f t="shared" si="0"/>
      </c>
      <c r="D167" s="53">
        <f t="shared" si="1"/>
      </c>
      <c r="E167" s="53">
        <f t="shared" si="2"/>
      </c>
      <c r="F167" s="53">
        <f t="shared" si="3"/>
      </c>
      <c r="G167" s="53">
        <f t="shared" si="4"/>
      </c>
      <c r="H167" s="59">
        <f t="shared" si="5"/>
      </c>
      <c r="I167" s="56">
        <f t="shared" si="6"/>
      </c>
      <c r="J167" s="56">
        <f t="shared" si="9"/>
      </c>
      <c r="L167" s="46">
        <f t="shared" si="10"/>
      </c>
      <c r="M167" s="80">
        <f t="shared" si="11"/>
      </c>
      <c r="S167" s="22">
        <f>IFERROR(SMALL(发票导入!$AE$5:$AE$2004,160),"")</f>
      </c>
      <c r="T167" s="22">
        <f>IFERROR(SMALL($S$8:$S$507,160),"")</f>
      </c>
      <c r="U167" s="22">
        <f t="shared" si="12"/>
      </c>
      <c r="V167" s="22">
        <f t="shared" si="13"/>
      </c>
      <c r="W167" s="22">
        <f t="shared" si="14"/>
      </c>
    </row>
    <row r="168">
      <c r="A168" s="60">
        <f t="shared" si="7"/>
      </c>
      <c r="B168" s="56">
        <f t="shared" si="8"/>
      </c>
      <c r="C168" s="79">
        <f t="shared" si="0"/>
      </c>
      <c r="D168" s="53">
        <f t="shared" si="1"/>
      </c>
      <c r="E168" s="53">
        <f t="shared" si="2"/>
      </c>
      <c r="F168" s="53">
        <f t="shared" si="3"/>
      </c>
      <c r="G168" s="53">
        <f t="shared" si="4"/>
      </c>
      <c r="H168" s="59">
        <f t="shared" si="5"/>
      </c>
      <c r="I168" s="56">
        <f t="shared" si="6"/>
      </c>
      <c r="J168" s="56">
        <f t="shared" si="9"/>
      </c>
      <c r="L168" s="46">
        <f t="shared" si="10"/>
      </c>
      <c r="M168" s="80">
        <f t="shared" si="11"/>
      </c>
      <c r="S168" s="22">
        <f>IFERROR(SMALL(发票导入!$AE$5:$AE$2004,161),"")</f>
      </c>
      <c r="T168" s="22">
        <f>IFERROR(SMALL($S$8:$S$507,161),"")</f>
      </c>
      <c r="U168" s="22">
        <f t="shared" si="12"/>
      </c>
      <c r="V168" s="22">
        <f t="shared" si="13"/>
      </c>
      <c r="W168" s="22">
        <f t="shared" si="14"/>
      </c>
    </row>
    <row r="169">
      <c r="A169" s="60">
        <f t="shared" si="7"/>
      </c>
      <c r="B169" s="56">
        <f t="shared" si="8"/>
      </c>
      <c r="C169" s="79">
        <f t="shared" si="0"/>
      </c>
      <c r="D169" s="53">
        <f t="shared" si="1"/>
      </c>
      <c r="E169" s="53">
        <f t="shared" si="2"/>
      </c>
      <c r="F169" s="53">
        <f t="shared" si="3"/>
      </c>
      <c r="G169" s="53">
        <f t="shared" si="4"/>
      </c>
      <c r="H169" s="59">
        <f t="shared" si="5"/>
      </c>
      <c r="I169" s="56">
        <f t="shared" si="6"/>
      </c>
      <c r="J169" s="56">
        <f t="shared" si="9"/>
      </c>
      <c r="L169" s="46">
        <f t="shared" si="10"/>
      </c>
      <c r="M169" s="80">
        <f t="shared" si="11"/>
      </c>
      <c r="S169" s="22">
        <f>IFERROR(SMALL(发票导入!$AE$5:$AE$2004,162),"")</f>
      </c>
      <c r="T169" s="22">
        <f>IFERROR(SMALL($S$8:$S$507,162),"")</f>
      </c>
      <c r="U169" s="22">
        <f t="shared" si="12"/>
      </c>
      <c r="V169" s="22">
        <f t="shared" si="13"/>
      </c>
      <c r="W169" s="22">
        <f t="shared" si="14"/>
      </c>
    </row>
    <row r="170">
      <c r="A170" s="60">
        <f t="shared" si="7"/>
      </c>
      <c r="B170" s="56">
        <f t="shared" si="8"/>
      </c>
      <c r="C170" s="79">
        <f t="shared" si="0"/>
      </c>
      <c r="D170" s="53">
        <f t="shared" si="1"/>
      </c>
      <c r="E170" s="53">
        <f t="shared" si="2"/>
      </c>
      <c r="F170" s="53">
        <f t="shared" si="3"/>
      </c>
      <c r="G170" s="53">
        <f t="shared" si="4"/>
      </c>
      <c r="H170" s="59">
        <f t="shared" si="5"/>
      </c>
      <c r="I170" s="56">
        <f t="shared" si="6"/>
      </c>
      <c r="J170" s="56">
        <f t="shared" si="9"/>
      </c>
      <c r="L170" s="46">
        <f t="shared" si="10"/>
      </c>
      <c r="M170" s="80">
        <f t="shared" si="11"/>
      </c>
      <c r="S170" s="22">
        <f>IFERROR(SMALL(发票导入!$AE$5:$AE$2004,163),"")</f>
      </c>
      <c r="T170" s="22">
        <f>IFERROR(SMALL($S$8:$S$507,163),"")</f>
      </c>
      <c r="U170" s="22">
        <f t="shared" si="12"/>
      </c>
      <c r="V170" s="22">
        <f t="shared" si="13"/>
      </c>
      <c r="W170" s="22">
        <f t="shared" si="14"/>
      </c>
    </row>
    <row r="171">
      <c r="A171" s="60">
        <f t="shared" si="7"/>
      </c>
      <c r="B171" s="56">
        <f t="shared" si="8"/>
      </c>
      <c r="C171" s="79">
        <f t="shared" si="0"/>
      </c>
      <c r="D171" s="53">
        <f t="shared" si="1"/>
      </c>
      <c r="E171" s="53">
        <f t="shared" si="2"/>
      </c>
      <c r="F171" s="53">
        <f t="shared" si="3"/>
      </c>
      <c r="G171" s="53">
        <f t="shared" si="4"/>
      </c>
      <c r="H171" s="59">
        <f t="shared" si="5"/>
      </c>
      <c r="I171" s="56">
        <f t="shared" si="6"/>
      </c>
      <c r="J171" s="56">
        <f t="shared" si="9"/>
      </c>
      <c r="L171" s="46">
        <f t="shared" si="10"/>
      </c>
      <c r="M171" s="80">
        <f t="shared" si="11"/>
      </c>
      <c r="S171" s="22">
        <f>IFERROR(SMALL(发票导入!$AE$5:$AE$2004,164),"")</f>
      </c>
      <c r="T171" s="22">
        <f>IFERROR(SMALL($S$8:$S$507,164),"")</f>
      </c>
      <c r="U171" s="22">
        <f t="shared" si="12"/>
      </c>
      <c r="V171" s="22">
        <f t="shared" si="13"/>
      </c>
      <c r="W171" s="22">
        <f t="shared" si="14"/>
      </c>
    </row>
    <row r="172">
      <c r="A172" s="60">
        <f t="shared" si="7"/>
      </c>
      <c r="B172" s="56">
        <f t="shared" si="8"/>
      </c>
      <c r="C172" s="79">
        <f t="shared" si="0"/>
      </c>
      <c r="D172" s="53">
        <f t="shared" si="1"/>
      </c>
      <c r="E172" s="53">
        <f t="shared" si="2"/>
      </c>
      <c r="F172" s="53">
        <f t="shared" si="3"/>
      </c>
      <c r="G172" s="53">
        <f t="shared" si="4"/>
      </c>
      <c r="H172" s="59">
        <f t="shared" si="5"/>
      </c>
      <c r="I172" s="56">
        <f t="shared" si="6"/>
      </c>
      <c r="J172" s="56">
        <f t="shared" si="9"/>
      </c>
      <c r="L172" s="46">
        <f t="shared" si="10"/>
      </c>
      <c r="M172" s="80">
        <f t="shared" si="11"/>
      </c>
      <c r="S172" s="22">
        <f>IFERROR(SMALL(发票导入!$AE$5:$AE$2004,165),"")</f>
      </c>
      <c r="T172" s="22">
        <f>IFERROR(SMALL($S$8:$S$507,165),"")</f>
      </c>
      <c r="U172" s="22">
        <f t="shared" si="12"/>
      </c>
      <c r="V172" s="22">
        <f t="shared" si="13"/>
      </c>
      <c r="W172" s="22">
        <f t="shared" si="14"/>
      </c>
    </row>
    <row r="173">
      <c r="A173" s="60">
        <f t="shared" si="7"/>
      </c>
      <c r="B173" s="56">
        <f t="shared" si="8"/>
      </c>
      <c r="C173" s="79">
        <f t="shared" si="0"/>
      </c>
      <c r="D173" s="53">
        <f t="shared" si="1"/>
      </c>
      <c r="E173" s="53">
        <f t="shared" si="2"/>
      </c>
      <c r="F173" s="53">
        <f t="shared" si="3"/>
      </c>
      <c r="G173" s="53">
        <f t="shared" si="4"/>
      </c>
      <c r="H173" s="59">
        <f t="shared" si="5"/>
      </c>
      <c r="I173" s="56">
        <f t="shared" si="6"/>
      </c>
      <c r="J173" s="56">
        <f t="shared" si="9"/>
      </c>
      <c r="L173" s="46">
        <f t="shared" si="10"/>
      </c>
      <c r="M173" s="80">
        <f t="shared" si="11"/>
      </c>
      <c r="S173" s="22">
        <f>IFERROR(SMALL(发票导入!$AE$5:$AE$2004,166),"")</f>
      </c>
      <c r="T173" s="22">
        <f>IFERROR(SMALL($S$8:$S$507,166),"")</f>
      </c>
      <c r="U173" s="22">
        <f t="shared" si="12"/>
      </c>
      <c r="V173" s="22">
        <f t="shared" si="13"/>
      </c>
      <c r="W173" s="22">
        <f t="shared" si="14"/>
      </c>
    </row>
    <row r="174">
      <c r="A174" s="60">
        <f t="shared" si="7"/>
      </c>
      <c r="B174" s="56">
        <f t="shared" si="8"/>
      </c>
      <c r="C174" s="79">
        <f t="shared" si="0"/>
      </c>
      <c r="D174" s="53">
        <f t="shared" si="1"/>
      </c>
      <c r="E174" s="53">
        <f t="shared" si="2"/>
      </c>
      <c r="F174" s="53">
        <f t="shared" si="3"/>
      </c>
      <c r="G174" s="53">
        <f t="shared" si="4"/>
      </c>
      <c r="H174" s="59">
        <f t="shared" si="5"/>
      </c>
      <c r="I174" s="56">
        <f t="shared" si="6"/>
      </c>
      <c r="J174" s="56">
        <f t="shared" si="9"/>
      </c>
      <c r="L174" s="46">
        <f t="shared" si="10"/>
      </c>
      <c r="M174" s="80">
        <f t="shared" si="11"/>
      </c>
      <c r="S174" s="22">
        <f>IFERROR(SMALL(发票导入!$AE$5:$AE$2004,167),"")</f>
      </c>
      <c r="T174" s="22">
        <f>IFERROR(SMALL($S$8:$S$507,167),"")</f>
      </c>
      <c r="U174" s="22">
        <f t="shared" si="12"/>
      </c>
      <c r="V174" s="22">
        <f t="shared" si="13"/>
      </c>
      <c r="W174" s="22">
        <f t="shared" si="14"/>
      </c>
    </row>
    <row r="175">
      <c r="A175" s="60">
        <f t="shared" si="7"/>
      </c>
      <c r="B175" s="56">
        <f t="shared" si="8"/>
      </c>
      <c r="C175" s="79">
        <f t="shared" si="0"/>
      </c>
      <c r="D175" s="53">
        <f t="shared" si="1"/>
      </c>
      <c r="E175" s="53">
        <f t="shared" si="2"/>
      </c>
      <c r="F175" s="53">
        <f t="shared" si="3"/>
      </c>
      <c r="G175" s="53">
        <f t="shared" si="4"/>
      </c>
      <c r="H175" s="59">
        <f t="shared" si="5"/>
      </c>
      <c r="I175" s="56">
        <f t="shared" si="6"/>
      </c>
      <c r="J175" s="56">
        <f t="shared" si="9"/>
      </c>
      <c r="L175" s="46">
        <f t="shared" si="10"/>
      </c>
      <c r="M175" s="80">
        <f t="shared" si="11"/>
      </c>
      <c r="S175" s="22">
        <f>IFERROR(SMALL(发票导入!$AE$5:$AE$2004,168),"")</f>
      </c>
      <c r="T175" s="22">
        <f>IFERROR(SMALL($S$8:$S$507,168),"")</f>
      </c>
      <c r="U175" s="22">
        <f t="shared" si="12"/>
      </c>
      <c r="V175" s="22">
        <f t="shared" si="13"/>
      </c>
      <c r="W175" s="22">
        <f t="shared" si="14"/>
      </c>
    </row>
    <row r="176">
      <c r="A176" s="60">
        <f t="shared" si="7"/>
      </c>
      <c r="B176" s="56">
        <f t="shared" si="8"/>
      </c>
      <c r="C176" s="79">
        <f t="shared" si="0"/>
      </c>
      <c r="D176" s="53">
        <f t="shared" si="1"/>
      </c>
      <c r="E176" s="53">
        <f t="shared" si="2"/>
      </c>
      <c r="F176" s="53">
        <f t="shared" si="3"/>
      </c>
      <c r="G176" s="53">
        <f t="shared" si="4"/>
      </c>
      <c r="H176" s="59">
        <f t="shared" si="5"/>
      </c>
      <c r="I176" s="56">
        <f t="shared" si="6"/>
      </c>
      <c r="J176" s="56">
        <f t="shared" si="9"/>
      </c>
      <c r="L176" s="46">
        <f t="shared" si="10"/>
      </c>
      <c r="M176" s="80">
        <f t="shared" si="11"/>
      </c>
      <c r="S176" s="22">
        <f>IFERROR(SMALL(发票导入!$AE$5:$AE$2004,169),"")</f>
      </c>
      <c r="T176" s="22">
        <f>IFERROR(SMALL($S$8:$S$507,169),"")</f>
      </c>
      <c r="U176" s="22">
        <f t="shared" si="12"/>
      </c>
      <c r="V176" s="22">
        <f t="shared" si="13"/>
      </c>
      <c r="W176" s="22">
        <f t="shared" si="14"/>
      </c>
    </row>
    <row r="177">
      <c r="A177" s="60">
        <f t="shared" si="7"/>
      </c>
      <c r="B177" s="56">
        <f t="shared" si="8"/>
      </c>
      <c r="C177" s="79">
        <f t="shared" si="0"/>
      </c>
      <c r="D177" s="53">
        <f t="shared" si="1"/>
      </c>
      <c r="E177" s="53">
        <f t="shared" si="2"/>
      </c>
      <c r="F177" s="53">
        <f t="shared" si="3"/>
      </c>
      <c r="G177" s="53">
        <f t="shared" si="4"/>
      </c>
      <c r="H177" s="59">
        <f t="shared" si="5"/>
      </c>
      <c r="I177" s="56">
        <f t="shared" si="6"/>
      </c>
      <c r="J177" s="56">
        <f t="shared" si="9"/>
      </c>
      <c r="L177" s="46">
        <f t="shared" si="10"/>
      </c>
      <c r="M177" s="80">
        <f t="shared" si="11"/>
      </c>
      <c r="S177" s="22">
        <f>IFERROR(SMALL(发票导入!$AE$5:$AE$2004,170),"")</f>
      </c>
      <c r="T177" s="22">
        <f>IFERROR(SMALL($S$8:$S$507,170),"")</f>
      </c>
      <c r="U177" s="22">
        <f t="shared" si="12"/>
      </c>
      <c r="V177" s="22">
        <f t="shared" si="13"/>
      </c>
      <c r="W177" s="22">
        <f t="shared" si="14"/>
      </c>
    </row>
    <row r="178">
      <c r="A178" s="60">
        <f t="shared" si="7"/>
      </c>
      <c r="B178" s="56">
        <f t="shared" si="8"/>
      </c>
      <c r="C178" s="79">
        <f t="shared" si="0"/>
      </c>
      <c r="D178" s="53">
        <f t="shared" si="1"/>
      </c>
      <c r="E178" s="53">
        <f t="shared" si="2"/>
      </c>
      <c r="F178" s="53">
        <f t="shared" si="3"/>
      </c>
      <c r="G178" s="53">
        <f t="shared" si="4"/>
      </c>
      <c r="H178" s="59">
        <f t="shared" si="5"/>
      </c>
      <c r="I178" s="56">
        <f t="shared" si="6"/>
      </c>
      <c r="J178" s="56">
        <f t="shared" si="9"/>
      </c>
      <c r="L178" s="46">
        <f t="shared" si="10"/>
      </c>
      <c r="M178" s="80">
        <f t="shared" si="11"/>
      </c>
      <c r="S178" s="22">
        <f>IFERROR(SMALL(发票导入!$AE$5:$AE$2004,171),"")</f>
      </c>
      <c r="T178" s="22">
        <f>IFERROR(SMALL($S$8:$S$507,171),"")</f>
      </c>
      <c r="U178" s="22">
        <f t="shared" si="12"/>
      </c>
      <c r="V178" s="22">
        <f t="shared" si="13"/>
      </c>
      <c r="W178" s="22">
        <f t="shared" si="14"/>
      </c>
    </row>
    <row r="179">
      <c r="A179" s="60">
        <f t="shared" si="7"/>
      </c>
      <c r="B179" s="56">
        <f t="shared" si="8"/>
      </c>
      <c r="C179" s="79">
        <f t="shared" si="0"/>
      </c>
      <c r="D179" s="53">
        <f t="shared" si="1"/>
      </c>
      <c r="E179" s="53">
        <f t="shared" si="2"/>
      </c>
      <c r="F179" s="53">
        <f t="shared" si="3"/>
      </c>
      <c r="G179" s="53">
        <f t="shared" si="4"/>
      </c>
      <c r="H179" s="59">
        <f t="shared" si="5"/>
      </c>
      <c r="I179" s="56">
        <f t="shared" si="6"/>
      </c>
      <c r="J179" s="56">
        <f t="shared" si="9"/>
      </c>
      <c r="L179" s="46">
        <f t="shared" si="10"/>
      </c>
      <c r="M179" s="80">
        <f t="shared" si="11"/>
      </c>
      <c r="S179" s="22">
        <f>IFERROR(SMALL(发票导入!$AE$5:$AE$2004,172),"")</f>
      </c>
      <c r="T179" s="22">
        <f>IFERROR(SMALL($S$8:$S$507,172),"")</f>
      </c>
      <c r="U179" s="22">
        <f t="shared" si="12"/>
      </c>
      <c r="V179" s="22">
        <f t="shared" si="13"/>
      </c>
      <c r="W179" s="22">
        <f t="shared" si="14"/>
      </c>
    </row>
    <row r="180">
      <c r="A180" s="60">
        <f t="shared" si="7"/>
      </c>
      <c r="B180" s="56">
        <f t="shared" si="8"/>
      </c>
      <c r="C180" s="79">
        <f t="shared" si="0"/>
      </c>
      <c r="D180" s="53">
        <f t="shared" si="1"/>
      </c>
      <c r="E180" s="53">
        <f t="shared" si="2"/>
      </c>
      <c r="F180" s="53">
        <f t="shared" si="3"/>
      </c>
      <c r="G180" s="53">
        <f t="shared" si="4"/>
      </c>
      <c r="H180" s="59">
        <f t="shared" si="5"/>
      </c>
      <c r="I180" s="56">
        <f t="shared" si="6"/>
      </c>
      <c r="J180" s="56">
        <f t="shared" si="9"/>
      </c>
      <c r="L180" s="46">
        <f t="shared" si="10"/>
      </c>
      <c r="M180" s="80">
        <f t="shared" si="11"/>
      </c>
      <c r="S180" s="22">
        <f>IFERROR(SMALL(发票导入!$AE$5:$AE$2004,173),"")</f>
      </c>
      <c r="T180" s="22">
        <f>IFERROR(SMALL($S$8:$S$507,173),"")</f>
      </c>
      <c r="U180" s="22">
        <f t="shared" si="12"/>
      </c>
      <c r="V180" s="22">
        <f t="shared" si="13"/>
      </c>
      <c r="W180" s="22">
        <f t="shared" si="14"/>
      </c>
    </row>
    <row r="181">
      <c r="A181" s="60">
        <f t="shared" si="7"/>
      </c>
      <c r="B181" s="56">
        <f t="shared" si="8"/>
      </c>
      <c r="C181" s="79">
        <f t="shared" si="0"/>
      </c>
      <c r="D181" s="53">
        <f t="shared" si="1"/>
      </c>
      <c r="E181" s="53">
        <f t="shared" si="2"/>
      </c>
      <c r="F181" s="53">
        <f t="shared" si="3"/>
      </c>
      <c r="G181" s="53">
        <f t="shared" si="4"/>
      </c>
      <c r="H181" s="59">
        <f t="shared" si="5"/>
      </c>
      <c r="I181" s="56">
        <f t="shared" si="6"/>
      </c>
      <c r="J181" s="56">
        <f t="shared" si="9"/>
      </c>
      <c r="L181" s="46">
        <f t="shared" si="10"/>
      </c>
      <c r="M181" s="80">
        <f t="shared" si="11"/>
      </c>
      <c r="S181" s="22">
        <f>IFERROR(SMALL(发票导入!$AE$5:$AE$2004,174),"")</f>
      </c>
      <c r="T181" s="22">
        <f>IFERROR(SMALL($S$8:$S$507,174),"")</f>
      </c>
      <c r="U181" s="22">
        <f t="shared" si="12"/>
      </c>
      <c r="V181" s="22">
        <f t="shared" si="13"/>
      </c>
      <c r="W181" s="22">
        <f t="shared" si="14"/>
      </c>
    </row>
    <row r="182">
      <c r="A182" s="60">
        <f t="shared" si="7"/>
      </c>
      <c r="B182" s="56">
        <f t="shared" si="8"/>
      </c>
      <c r="C182" s="79">
        <f t="shared" si="0"/>
      </c>
      <c r="D182" s="53">
        <f t="shared" si="1"/>
      </c>
      <c r="E182" s="53">
        <f t="shared" si="2"/>
      </c>
      <c r="F182" s="53">
        <f t="shared" si="3"/>
      </c>
      <c r="G182" s="53">
        <f t="shared" si="4"/>
      </c>
      <c r="H182" s="59">
        <f t="shared" si="5"/>
      </c>
      <c r="I182" s="56">
        <f t="shared" si="6"/>
      </c>
      <c r="J182" s="56">
        <f t="shared" si="9"/>
      </c>
      <c r="L182" s="46">
        <f t="shared" si="10"/>
      </c>
      <c r="M182" s="80">
        <f t="shared" si="11"/>
      </c>
      <c r="S182" s="22">
        <f>IFERROR(SMALL(发票导入!$AE$5:$AE$2004,175),"")</f>
      </c>
      <c r="T182" s="22">
        <f>IFERROR(SMALL($S$8:$S$507,175),"")</f>
      </c>
      <c r="U182" s="22">
        <f t="shared" si="12"/>
      </c>
      <c r="V182" s="22">
        <f t="shared" si="13"/>
      </c>
      <c r="W182" s="22">
        <f t="shared" si="14"/>
      </c>
    </row>
    <row r="183">
      <c r="A183" s="60">
        <f t="shared" si="7"/>
      </c>
      <c r="B183" s="56">
        <f t="shared" si="8"/>
      </c>
      <c r="C183" s="79">
        <f t="shared" si="0"/>
      </c>
      <c r="D183" s="53">
        <f t="shared" si="1"/>
      </c>
      <c r="E183" s="53">
        <f t="shared" si="2"/>
      </c>
      <c r="F183" s="53">
        <f t="shared" si="3"/>
      </c>
      <c r="G183" s="53">
        <f t="shared" si="4"/>
      </c>
      <c r="H183" s="59">
        <f t="shared" si="5"/>
      </c>
      <c r="I183" s="56">
        <f t="shared" si="6"/>
      </c>
      <c r="J183" s="56">
        <f t="shared" si="9"/>
      </c>
      <c r="L183" s="46">
        <f t="shared" si="10"/>
      </c>
      <c r="M183" s="80">
        <f t="shared" si="11"/>
      </c>
      <c r="S183" s="22">
        <f>IFERROR(SMALL(发票导入!$AE$5:$AE$2004,176),"")</f>
      </c>
      <c r="T183" s="22">
        <f>IFERROR(SMALL($S$8:$S$507,176),"")</f>
      </c>
      <c r="U183" s="22">
        <f t="shared" si="12"/>
      </c>
      <c r="V183" s="22">
        <f t="shared" si="13"/>
      </c>
      <c r="W183" s="22">
        <f t="shared" si="14"/>
      </c>
    </row>
    <row r="184">
      <c r="A184" s="60">
        <f t="shared" si="7"/>
      </c>
      <c r="B184" s="56">
        <f t="shared" si="8"/>
      </c>
      <c r="C184" s="79">
        <f t="shared" si="0"/>
      </c>
      <c r="D184" s="53">
        <f t="shared" si="1"/>
      </c>
      <c r="E184" s="53">
        <f t="shared" si="2"/>
      </c>
      <c r="F184" s="53">
        <f t="shared" si="3"/>
      </c>
      <c r="G184" s="53">
        <f t="shared" si="4"/>
      </c>
      <c r="H184" s="59">
        <f t="shared" si="5"/>
      </c>
      <c r="I184" s="56">
        <f t="shared" si="6"/>
      </c>
      <c r="J184" s="56">
        <f t="shared" si="9"/>
      </c>
      <c r="L184" s="46">
        <f t="shared" si="10"/>
      </c>
      <c r="M184" s="80">
        <f t="shared" si="11"/>
      </c>
      <c r="S184" s="22">
        <f>IFERROR(SMALL(发票导入!$AE$5:$AE$2004,177),"")</f>
      </c>
      <c r="T184" s="22">
        <f>IFERROR(SMALL($S$8:$S$507,177),"")</f>
      </c>
      <c r="U184" s="22">
        <f t="shared" si="12"/>
      </c>
      <c r="V184" s="22">
        <f t="shared" si="13"/>
      </c>
      <c r="W184" s="22">
        <f t="shared" si="14"/>
      </c>
    </row>
    <row r="185">
      <c r="A185" s="60">
        <f t="shared" si="7"/>
      </c>
      <c r="B185" s="56">
        <f t="shared" si="8"/>
      </c>
      <c r="C185" s="79">
        <f t="shared" si="0"/>
      </c>
      <c r="D185" s="53">
        <f t="shared" si="1"/>
      </c>
      <c r="E185" s="53">
        <f t="shared" si="2"/>
      </c>
      <c r="F185" s="53">
        <f t="shared" si="3"/>
      </c>
      <c r="G185" s="53">
        <f t="shared" si="4"/>
      </c>
      <c r="H185" s="59">
        <f t="shared" si="5"/>
      </c>
      <c r="I185" s="56">
        <f t="shared" si="6"/>
      </c>
      <c r="J185" s="56">
        <f t="shared" si="9"/>
      </c>
      <c r="L185" s="46">
        <f t="shared" si="10"/>
      </c>
      <c r="M185" s="80">
        <f t="shared" si="11"/>
      </c>
      <c r="S185" s="22">
        <f>IFERROR(SMALL(发票导入!$AE$5:$AE$2004,178),"")</f>
      </c>
      <c r="T185" s="22">
        <f>IFERROR(SMALL($S$8:$S$507,178),"")</f>
      </c>
      <c r="U185" s="22">
        <f t="shared" si="12"/>
      </c>
      <c r="V185" s="22">
        <f t="shared" si="13"/>
      </c>
      <c r="W185" s="22">
        <f t="shared" si="14"/>
      </c>
    </row>
    <row r="186">
      <c r="A186" s="60">
        <f t="shared" si="7"/>
      </c>
      <c r="B186" s="56">
        <f t="shared" si="8"/>
      </c>
      <c r="C186" s="79">
        <f t="shared" si="0"/>
      </c>
      <c r="D186" s="53">
        <f t="shared" si="1"/>
      </c>
      <c r="E186" s="53">
        <f t="shared" si="2"/>
      </c>
      <c r="F186" s="53">
        <f t="shared" si="3"/>
      </c>
      <c r="G186" s="53">
        <f t="shared" si="4"/>
      </c>
      <c r="H186" s="59">
        <f t="shared" si="5"/>
      </c>
      <c r="I186" s="56">
        <f t="shared" si="6"/>
      </c>
      <c r="J186" s="56">
        <f t="shared" si="9"/>
      </c>
      <c r="L186" s="46">
        <f t="shared" si="10"/>
      </c>
      <c r="M186" s="80">
        <f t="shared" si="11"/>
      </c>
      <c r="S186" s="22">
        <f>IFERROR(SMALL(发票导入!$AE$5:$AE$2004,179),"")</f>
      </c>
      <c r="T186" s="22">
        <f>IFERROR(SMALL($S$8:$S$507,179),"")</f>
      </c>
      <c r="U186" s="22">
        <f t="shared" si="12"/>
      </c>
      <c r="V186" s="22">
        <f t="shared" si="13"/>
      </c>
      <c r="W186" s="22">
        <f t="shared" si="14"/>
      </c>
    </row>
    <row r="187">
      <c r="A187" s="60">
        <f t="shared" si="7"/>
      </c>
      <c r="B187" s="56">
        <f t="shared" si="8"/>
      </c>
      <c r="C187" s="79">
        <f t="shared" si="0"/>
      </c>
      <c r="D187" s="53">
        <f t="shared" si="1"/>
      </c>
      <c r="E187" s="53">
        <f t="shared" si="2"/>
      </c>
      <c r="F187" s="53">
        <f t="shared" si="3"/>
      </c>
      <c r="G187" s="53">
        <f t="shared" si="4"/>
      </c>
      <c r="H187" s="59">
        <f t="shared" si="5"/>
      </c>
      <c r="I187" s="56">
        <f t="shared" si="6"/>
      </c>
      <c r="J187" s="56">
        <f t="shared" si="9"/>
      </c>
      <c r="L187" s="46">
        <f t="shared" si="10"/>
      </c>
      <c r="M187" s="80">
        <f t="shared" si="11"/>
      </c>
      <c r="S187" s="22">
        <f>IFERROR(SMALL(发票导入!$AE$5:$AE$2004,180),"")</f>
      </c>
      <c r="T187" s="22">
        <f>IFERROR(SMALL($S$8:$S$507,180),"")</f>
      </c>
      <c r="U187" s="22">
        <f t="shared" si="12"/>
      </c>
      <c r="V187" s="22">
        <f t="shared" si="13"/>
      </c>
      <c r="W187" s="22">
        <f t="shared" si="14"/>
      </c>
    </row>
    <row r="188">
      <c r="A188" s="60">
        <f t="shared" si="7"/>
      </c>
      <c r="B188" s="56">
        <f t="shared" si="8"/>
      </c>
      <c r="C188" s="79">
        <f t="shared" si="0"/>
      </c>
      <c r="D188" s="53">
        <f t="shared" si="1"/>
      </c>
      <c r="E188" s="53">
        <f t="shared" si="2"/>
      </c>
      <c r="F188" s="53">
        <f t="shared" si="3"/>
      </c>
      <c r="G188" s="53">
        <f t="shared" si="4"/>
      </c>
      <c r="H188" s="59">
        <f t="shared" si="5"/>
      </c>
      <c r="I188" s="56">
        <f t="shared" si="6"/>
      </c>
      <c r="J188" s="56">
        <f t="shared" si="9"/>
      </c>
      <c r="L188" s="46">
        <f t="shared" si="10"/>
      </c>
      <c r="M188" s="80">
        <f t="shared" si="11"/>
      </c>
      <c r="S188" s="22">
        <f>IFERROR(SMALL(发票导入!$AE$5:$AE$2004,181),"")</f>
      </c>
      <c r="T188" s="22">
        <f>IFERROR(SMALL($S$8:$S$507,181),"")</f>
      </c>
      <c r="U188" s="22">
        <f t="shared" si="12"/>
      </c>
      <c r="V188" s="22">
        <f t="shared" si="13"/>
      </c>
      <c r="W188" s="22">
        <f t="shared" si="14"/>
      </c>
    </row>
    <row r="189">
      <c r="A189" s="60">
        <f t="shared" si="7"/>
      </c>
      <c r="B189" s="56">
        <f t="shared" si="8"/>
      </c>
      <c r="C189" s="79">
        <f t="shared" si="0"/>
      </c>
      <c r="D189" s="53">
        <f t="shared" si="1"/>
      </c>
      <c r="E189" s="53">
        <f t="shared" si="2"/>
      </c>
      <c r="F189" s="53">
        <f t="shared" si="3"/>
      </c>
      <c r="G189" s="53">
        <f t="shared" si="4"/>
      </c>
      <c r="H189" s="59">
        <f t="shared" si="5"/>
      </c>
      <c r="I189" s="56">
        <f t="shared" si="6"/>
      </c>
      <c r="J189" s="56">
        <f t="shared" si="9"/>
      </c>
      <c r="L189" s="46">
        <f t="shared" si="10"/>
      </c>
      <c r="M189" s="80">
        <f t="shared" si="11"/>
      </c>
      <c r="S189" s="22">
        <f>IFERROR(SMALL(发票导入!$AE$5:$AE$2004,182),"")</f>
      </c>
      <c r="T189" s="22">
        <f>IFERROR(SMALL($S$8:$S$507,182),"")</f>
      </c>
      <c r="U189" s="22">
        <f t="shared" si="12"/>
      </c>
      <c r="V189" s="22">
        <f t="shared" si="13"/>
      </c>
      <c r="W189" s="22">
        <f t="shared" si="14"/>
      </c>
    </row>
    <row r="190">
      <c r="A190" s="60">
        <f t="shared" si="7"/>
      </c>
      <c r="B190" s="56">
        <f t="shared" si="8"/>
      </c>
      <c r="C190" s="79">
        <f t="shared" si="0"/>
      </c>
      <c r="D190" s="53">
        <f t="shared" si="1"/>
      </c>
      <c r="E190" s="53">
        <f t="shared" si="2"/>
      </c>
      <c r="F190" s="53">
        <f t="shared" si="3"/>
      </c>
      <c r="G190" s="53">
        <f t="shared" si="4"/>
      </c>
      <c r="H190" s="59">
        <f t="shared" si="5"/>
      </c>
      <c r="I190" s="56">
        <f t="shared" si="6"/>
      </c>
      <c r="J190" s="56">
        <f t="shared" si="9"/>
      </c>
      <c r="L190" s="46">
        <f t="shared" si="10"/>
      </c>
      <c r="M190" s="80">
        <f t="shared" si="11"/>
      </c>
      <c r="S190" s="22">
        <f>IFERROR(SMALL(发票导入!$AE$5:$AE$2004,183),"")</f>
      </c>
      <c r="T190" s="22">
        <f>IFERROR(SMALL($S$8:$S$507,183),"")</f>
      </c>
      <c r="U190" s="22">
        <f t="shared" si="12"/>
      </c>
      <c r="V190" s="22">
        <f t="shared" si="13"/>
      </c>
      <c r="W190" s="22">
        <f t="shared" si="14"/>
      </c>
    </row>
    <row r="191">
      <c r="A191" s="60">
        <f t="shared" si="7"/>
      </c>
      <c r="B191" s="56">
        <f t="shared" si="8"/>
      </c>
      <c r="C191" s="79">
        <f t="shared" si="0"/>
      </c>
      <c r="D191" s="53">
        <f t="shared" si="1"/>
      </c>
      <c r="E191" s="53">
        <f t="shared" si="2"/>
      </c>
      <c r="F191" s="53">
        <f t="shared" si="3"/>
      </c>
      <c r="G191" s="53">
        <f t="shared" si="4"/>
      </c>
      <c r="H191" s="59">
        <f t="shared" si="5"/>
      </c>
      <c r="I191" s="56">
        <f t="shared" si="6"/>
      </c>
      <c r="J191" s="56">
        <f t="shared" si="9"/>
      </c>
      <c r="L191" s="46">
        <f t="shared" si="10"/>
      </c>
      <c r="M191" s="80">
        <f t="shared" si="11"/>
      </c>
      <c r="S191" s="22">
        <f>IFERROR(SMALL(发票导入!$AE$5:$AE$2004,184),"")</f>
      </c>
      <c r="T191" s="22">
        <f>IFERROR(SMALL($S$8:$S$507,184),"")</f>
      </c>
      <c r="U191" s="22">
        <f t="shared" si="12"/>
      </c>
      <c r="V191" s="22">
        <f t="shared" si="13"/>
      </c>
      <c r="W191" s="22">
        <f t="shared" si="14"/>
      </c>
    </row>
    <row r="192">
      <c r="A192" s="60">
        <f t="shared" si="7"/>
      </c>
      <c r="B192" s="56">
        <f t="shared" si="8"/>
      </c>
      <c r="C192" s="79">
        <f t="shared" si="0"/>
      </c>
      <c r="D192" s="53">
        <f t="shared" si="1"/>
      </c>
      <c r="E192" s="53">
        <f t="shared" si="2"/>
      </c>
      <c r="F192" s="53">
        <f t="shared" si="3"/>
      </c>
      <c r="G192" s="53">
        <f t="shared" si="4"/>
      </c>
      <c r="H192" s="59">
        <f t="shared" si="5"/>
      </c>
      <c r="I192" s="56">
        <f t="shared" si="6"/>
      </c>
      <c r="J192" s="56">
        <f t="shared" si="9"/>
      </c>
      <c r="L192" s="46">
        <f t="shared" si="10"/>
      </c>
      <c r="M192" s="80">
        <f t="shared" si="11"/>
      </c>
      <c r="S192" s="22">
        <f>IFERROR(SMALL(发票导入!$AE$5:$AE$2004,185),"")</f>
      </c>
      <c r="T192" s="22">
        <f>IFERROR(SMALL($S$8:$S$507,185),"")</f>
      </c>
      <c r="U192" s="22">
        <f t="shared" si="12"/>
      </c>
      <c r="V192" s="22">
        <f t="shared" si="13"/>
      </c>
      <c r="W192" s="22">
        <f t="shared" si="14"/>
      </c>
    </row>
    <row r="193">
      <c r="A193" s="60">
        <f t="shared" si="7"/>
      </c>
      <c r="B193" s="56">
        <f t="shared" si="8"/>
      </c>
      <c r="C193" s="79">
        <f t="shared" si="0"/>
      </c>
      <c r="D193" s="53">
        <f t="shared" si="1"/>
      </c>
      <c r="E193" s="53">
        <f t="shared" si="2"/>
      </c>
      <c r="F193" s="53">
        <f t="shared" si="3"/>
      </c>
      <c r="G193" s="53">
        <f t="shared" si="4"/>
      </c>
      <c r="H193" s="59">
        <f t="shared" si="5"/>
      </c>
      <c r="I193" s="56">
        <f t="shared" si="6"/>
      </c>
      <c r="J193" s="56">
        <f t="shared" si="9"/>
      </c>
      <c r="L193" s="46">
        <f t="shared" si="10"/>
      </c>
      <c r="M193" s="80">
        <f t="shared" si="11"/>
      </c>
      <c r="S193" s="22">
        <f>IFERROR(SMALL(发票导入!$AE$5:$AE$2004,186),"")</f>
      </c>
      <c r="T193" s="22">
        <f>IFERROR(SMALL($S$8:$S$507,186),"")</f>
      </c>
      <c r="U193" s="22">
        <f t="shared" si="12"/>
      </c>
      <c r="V193" s="22">
        <f t="shared" si="13"/>
      </c>
      <c r="W193" s="22">
        <f t="shared" si="14"/>
      </c>
    </row>
    <row r="194">
      <c r="A194" s="60">
        <f t="shared" si="7"/>
      </c>
      <c r="B194" s="56">
        <f t="shared" si="8"/>
      </c>
      <c r="C194" s="79">
        <f t="shared" si="0"/>
      </c>
      <c r="D194" s="53">
        <f t="shared" si="1"/>
      </c>
      <c r="E194" s="53">
        <f t="shared" si="2"/>
      </c>
      <c r="F194" s="53">
        <f t="shared" si="3"/>
      </c>
      <c r="G194" s="53">
        <f t="shared" si="4"/>
      </c>
      <c r="H194" s="59">
        <f t="shared" si="5"/>
      </c>
      <c r="I194" s="56">
        <f t="shared" si="6"/>
      </c>
      <c r="J194" s="56">
        <f t="shared" si="9"/>
      </c>
      <c r="L194" s="46">
        <f t="shared" si="10"/>
      </c>
      <c r="M194" s="80">
        <f t="shared" si="11"/>
      </c>
      <c r="S194" s="22">
        <f>IFERROR(SMALL(发票导入!$AE$5:$AE$2004,187),"")</f>
      </c>
      <c r="T194" s="22">
        <f>IFERROR(SMALL($S$8:$S$507,187),"")</f>
      </c>
      <c r="U194" s="22">
        <f t="shared" si="12"/>
      </c>
      <c r="V194" s="22">
        <f t="shared" si="13"/>
      </c>
      <c r="W194" s="22">
        <f t="shared" si="14"/>
      </c>
    </row>
    <row r="195">
      <c r="A195" s="60">
        <f t="shared" si="7"/>
      </c>
      <c r="B195" s="56">
        <f t="shared" si="8"/>
      </c>
      <c r="C195" s="79">
        <f t="shared" si="0"/>
      </c>
      <c r="D195" s="53">
        <f t="shared" si="1"/>
      </c>
      <c r="E195" s="53">
        <f t="shared" si="2"/>
      </c>
      <c r="F195" s="53">
        <f t="shared" si="3"/>
      </c>
      <c r="G195" s="53">
        <f t="shared" si="4"/>
      </c>
      <c r="H195" s="59">
        <f t="shared" si="5"/>
      </c>
      <c r="I195" s="56">
        <f t="shared" si="6"/>
      </c>
      <c r="J195" s="56">
        <f t="shared" si="9"/>
      </c>
      <c r="L195" s="46">
        <f t="shared" si="10"/>
      </c>
      <c r="M195" s="80">
        <f t="shared" si="11"/>
      </c>
      <c r="S195" s="22">
        <f>IFERROR(SMALL(发票导入!$AE$5:$AE$2004,188),"")</f>
      </c>
      <c r="T195" s="22">
        <f>IFERROR(SMALL($S$8:$S$507,188),"")</f>
      </c>
      <c r="U195" s="22">
        <f t="shared" si="12"/>
      </c>
      <c r="V195" s="22">
        <f t="shared" si="13"/>
      </c>
      <c r="W195" s="22">
        <f t="shared" si="14"/>
      </c>
    </row>
    <row r="196">
      <c r="A196" s="60">
        <f t="shared" si="7"/>
      </c>
      <c r="B196" s="56">
        <f t="shared" si="8"/>
      </c>
      <c r="C196" s="79">
        <f t="shared" si="0"/>
      </c>
      <c r="D196" s="53">
        <f t="shared" si="1"/>
      </c>
      <c r="E196" s="53">
        <f t="shared" si="2"/>
      </c>
      <c r="F196" s="53">
        <f t="shared" si="3"/>
      </c>
      <c r="G196" s="53">
        <f t="shared" si="4"/>
      </c>
      <c r="H196" s="59">
        <f t="shared" si="5"/>
      </c>
      <c r="I196" s="56">
        <f t="shared" si="6"/>
      </c>
      <c r="J196" s="56">
        <f t="shared" si="9"/>
      </c>
      <c r="L196" s="46">
        <f t="shared" si="10"/>
      </c>
      <c r="M196" s="80">
        <f t="shared" si="11"/>
      </c>
      <c r="S196" s="22">
        <f>IFERROR(SMALL(发票导入!$AE$5:$AE$2004,189),"")</f>
      </c>
      <c r="T196" s="22">
        <f>IFERROR(SMALL($S$8:$S$507,189),"")</f>
      </c>
      <c r="U196" s="22">
        <f t="shared" si="12"/>
      </c>
      <c r="V196" s="22">
        <f t="shared" si="13"/>
      </c>
      <c r="W196" s="22">
        <f t="shared" si="14"/>
      </c>
    </row>
    <row r="197">
      <c r="A197" s="60">
        <f t="shared" si="7"/>
      </c>
      <c r="B197" s="56">
        <f t="shared" si="8"/>
      </c>
      <c r="C197" s="79">
        <f t="shared" si="0"/>
      </c>
      <c r="D197" s="53">
        <f t="shared" si="1"/>
      </c>
      <c r="E197" s="53">
        <f t="shared" si="2"/>
      </c>
      <c r="F197" s="53">
        <f t="shared" si="3"/>
      </c>
      <c r="G197" s="53">
        <f t="shared" si="4"/>
      </c>
      <c r="H197" s="59">
        <f t="shared" si="5"/>
      </c>
      <c r="I197" s="56">
        <f t="shared" si="6"/>
      </c>
      <c r="J197" s="56">
        <f t="shared" si="9"/>
      </c>
      <c r="L197" s="46">
        <f t="shared" si="10"/>
      </c>
      <c r="M197" s="80">
        <f t="shared" si="11"/>
      </c>
      <c r="S197" s="22">
        <f>IFERROR(SMALL(发票导入!$AE$5:$AE$2004,190),"")</f>
      </c>
      <c r="T197" s="22">
        <f>IFERROR(SMALL($S$8:$S$507,190),"")</f>
      </c>
      <c r="U197" s="22">
        <f t="shared" si="12"/>
      </c>
      <c r="V197" s="22">
        <f t="shared" si="13"/>
      </c>
      <c r="W197" s="22">
        <f t="shared" si="14"/>
      </c>
    </row>
    <row r="198">
      <c r="A198" s="60">
        <f t="shared" si="7"/>
      </c>
      <c r="B198" s="56">
        <f t="shared" si="8"/>
      </c>
      <c r="C198" s="79">
        <f t="shared" si="0"/>
      </c>
      <c r="D198" s="53">
        <f t="shared" si="1"/>
      </c>
      <c r="E198" s="53">
        <f t="shared" si="2"/>
      </c>
      <c r="F198" s="53">
        <f t="shared" si="3"/>
      </c>
      <c r="G198" s="53">
        <f t="shared" si="4"/>
      </c>
      <c r="H198" s="59">
        <f t="shared" si="5"/>
      </c>
      <c r="I198" s="56">
        <f t="shared" si="6"/>
      </c>
      <c r="J198" s="56">
        <f t="shared" si="9"/>
      </c>
      <c r="L198" s="46">
        <f t="shared" si="10"/>
      </c>
      <c r="M198" s="80">
        <f t="shared" si="11"/>
      </c>
      <c r="S198" s="22">
        <f>IFERROR(SMALL(发票导入!$AE$5:$AE$2004,191),"")</f>
      </c>
      <c r="T198" s="22">
        <f>IFERROR(SMALL($S$8:$S$507,191),"")</f>
      </c>
      <c r="U198" s="22">
        <f t="shared" si="12"/>
      </c>
      <c r="V198" s="22">
        <f t="shared" si="13"/>
      </c>
      <c r="W198" s="22">
        <f t="shared" si="14"/>
      </c>
    </row>
    <row r="199">
      <c r="A199" s="60">
        <f t="shared" si="7"/>
      </c>
      <c r="B199" s="56">
        <f t="shared" si="8"/>
      </c>
      <c r="C199" s="79">
        <f t="shared" si="0"/>
      </c>
      <c r="D199" s="53">
        <f t="shared" si="1"/>
      </c>
      <c r="E199" s="53">
        <f t="shared" si="2"/>
      </c>
      <c r="F199" s="53">
        <f t="shared" si="3"/>
      </c>
      <c r="G199" s="53">
        <f t="shared" si="4"/>
      </c>
      <c r="H199" s="59">
        <f t="shared" si="5"/>
      </c>
      <c r="I199" s="56">
        <f t="shared" si="6"/>
      </c>
      <c r="J199" s="56">
        <f t="shared" si="9"/>
      </c>
      <c r="L199" s="46">
        <f t="shared" si="10"/>
      </c>
      <c r="M199" s="80">
        <f t="shared" si="11"/>
      </c>
      <c r="S199" s="22">
        <f>IFERROR(SMALL(发票导入!$AE$5:$AE$2004,192),"")</f>
      </c>
      <c r="T199" s="22">
        <f>IFERROR(SMALL($S$8:$S$507,192),"")</f>
      </c>
      <c r="U199" s="22">
        <f t="shared" si="12"/>
      </c>
      <c r="V199" s="22">
        <f t="shared" si="13"/>
      </c>
      <c r="W199" s="22">
        <f t="shared" si="14"/>
      </c>
    </row>
    <row r="200">
      <c r="A200" s="60">
        <f t="shared" si="7"/>
      </c>
      <c r="B200" s="56">
        <f t="shared" si="8"/>
      </c>
      <c r="C200" s="79">
        <f t="shared" si="0"/>
      </c>
      <c r="D200" s="53">
        <f t="shared" si="1"/>
      </c>
      <c r="E200" s="53">
        <f t="shared" si="2"/>
      </c>
      <c r="F200" s="53">
        <f t="shared" si="3"/>
      </c>
      <c r="G200" s="53">
        <f t="shared" si="4"/>
      </c>
      <c r="H200" s="59">
        <f t="shared" si="5"/>
      </c>
      <c r="I200" s="56">
        <f t="shared" si="6"/>
      </c>
      <c r="J200" s="56">
        <f t="shared" si="9"/>
      </c>
      <c r="L200" s="46">
        <f t="shared" si="10"/>
      </c>
      <c r="M200" s="80">
        <f t="shared" si="11"/>
      </c>
      <c r="S200" s="22">
        <f>IFERROR(SMALL(发票导入!$AE$5:$AE$2004,193),"")</f>
      </c>
      <c r="T200" s="22">
        <f>IFERROR(SMALL($S$8:$S$507,193),"")</f>
      </c>
      <c r="U200" s="22">
        <f t="shared" si="12"/>
      </c>
      <c r="V200" s="22">
        <f t="shared" si="13"/>
      </c>
      <c r="W200" s="22">
        <f t="shared" si="14"/>
      </c>
    </row>
    <row r="201">
      <c r="A201" s="60">
        <f t="shared" si="7"/>
      </c>
      <c r="B201" s="56">
        <f t="shared" si="8"/>
      </c>
      <c r="C201" s="79">
        <f t="shared" si="0"/>
      </c>
      <c r="D201" s="53">
        <f t="shared" si="1"/>
      </c>
      <c r="E201" s="53">
        <f t="shared" si="2"/>
      </c>
      <c r="F201" s="53">
        <f t="shared" si="3"/>
      </c>
      <c r="G201" s="53">
        <f t="shared" si="4"/>
      </c>
      <c r="H201" s="59">
        <f t="shared" si="5"/>
      </c>
      <c r="I201" s="56">
        <f t="shared" si="6"/>
      </c>
      <c r="J201" s="56">
        <f t="shared" si="9"/>
      </c>
      <c r="L201" s="46">
        <f t="shared" si="10"/>
      </c>
      <c r="M201" s="80">
        <f t="shared" si="11"/>
      </c>
      <c r="S201" s="22">
        <f>IFERROR(SMALL(发票导入!$AE$5:$AE$2004,194),"")</f>
      </c>
      <c r="T201" s="22">
        <f>IFERROR(SMALL($S$8:$S$507,194),"")</f>
      </c>
      <c r="U201" s="22">
        <f t="shared" si="12"/>
      </c>
      <c r="V201" s="22">
        <f t="shared" si="13"/>
      </c>
      <c r="W201" s="22">
        <f t="shared" si="14"/>
      </c>
    </row>
    <row r="202">
      <c r="A202" s="60">
        <f t="shared" si="7"/>
      </c>
      <c r="B202" s="56">
        <f t="shared" si="8"/>
      </c>
      <c r="C202" s="79">
        <f t="shared" si="0"/>
      </c>
      <c r="D202" s="53">
        <f t="shared" si="1"/>
      </c>
      <c r="E202" s="53">
        <f t="shared" si="2"/>
      </c>
      <c r="F202" s="53">
        <f t="shared" si="3"/>
      </c>
      <c r="G202" s="53">
        <f t="shared" si="4"/>
      </c>
      <c r="H202" s="59">
        <f t="shared" si="5"/>
      </c>
      <c r="I202" s="56">
        <f t="shared" si="6"/>
      </c>
      <c r="J202" s="56">
        <f t="shared" si="9"/>
      </c>
      <c r="L202" s="46">
        <f t="shared" si="10"/>
      </c>
      <c r="M202" s="80">
        <f t="shared" si="11"/>
      </c>
      <c r="S202" s="22">
        <f>IFERROR(SMALL(发票导入!$AE$5:$AE$2004,195),"")</f>
      </c>
      <c r="T202" s="22">
        <f>IFERROR(SMALL($S$8:$S$507,195),"")</f>
      </c>
      <c r="U202" s="22">
        <f t="shared" si="12"/>
      </c>
      <c r="V202" s="22">
        <f t="shared" si="13"/>
      </c>
      <c r="W202" s="22">
        <f t="shared" si="14"/>
      </c>
    </row>
    <row r="203">
      <c r="A203" s="60">
        <f t="shared" si="7"/>
      </c>
      <c r="B203" s="56">
        <f t="shared" si="8"/>
      </c>
      <c r="C203" s="79">
        <f t="shared" si="0"/>
      </c>
      <c r="D203" s="53">
        <f t="shared" si="1"/>
      </c>
      <c r="E203" s="53">
        <f t="shared" si="2"/>
      </c>
      <c r="F203" s="53">
        <f t="shared" si="3"/>
      </c>
      <c r="G203" s="53">
        <f t="shared" si="4"/>
      </c>
      <c r="H203" s="59">
        <f t="shared" si="5"/>
      </c>
      <c r="I203" s="56">
        <f t="shared" si="6"/>
      </c>
      <c r="J203" s="56">
        <f t="shared" si="9"/>
      </c>
      <c r="L203" s="46">
        <f t="shared" si="10"/>
      </c>
      <c r="M203" s="80">
        <f t="shared" si="11"/>
      </c>
      <c r="S203" s="22">
        <f>IFERROR(SMALL(发票导入!$AE$5:$AE$2004,196),"")</f>
      </c>
      <c r="T203" s="22">
        <f>IFERROR(SMALL($S$8:$S$507,196),"")</f>
      </c>
      <c r="U203" s="22">
        <f t="shared" si="12"/>
      </c>
      <c r="V203" s="22">
        <f t="shared" si="13"/>
      </c>
      <c r="W203" s="22">
        <f t="shared" si="14"/>
      </c>
    </row>
    <row r="204">
      <c r="A204" s="60">
        <f t="shared" si="7"/>
      </c>
      <c r="B204" s="56">
        <f t="shared" si="8"/>
      </c>
      <c r="C204" s="79">
        <f t="shared" si="0"/>
      </c>
      <c r="D204" s="53">
        <f t="shared" si="1"/>
      </c>
      <c r="E204" s="53">
        <f t="shared" si="2"/>
      </c>
      <c r="F204" s="53">
        <f t="shared" si="3"/>
      </c>
      <c r="G204" s="53">
        <f t="shared" si="4"/>
      </c>
      <c r="H204" s="59">
        <f t="shared" si="5"/>
      </c>
      <c r="I204" s="56">
        <f t="shared" si="6"/>
      </c>
      <c r="J204" s="56">
        <f t="shared" si="9"/>
      </c>
      <c r="L204" s="46">
        <f t="shared" si="10"/>
      </c>
      <c r="M204" s="80">
        <f t="shared" si="11"/>
      </c>
      <c r="S204" s="22">
        <f>IFERROR(SMALL(发票导入!$AE$5:$AE$2004,197),"")</f>
      </c>
      <c r="T204" s="22">
        <f>IFERROR(SMALL($S$8:$S$507,197),"")</f>
      </c>
      <c r="U204" s="22">
        <f t="shared" si="12"/>
      </c>
      <c r="V204" s="22">
        <f t="shared" si="13"/>
      </c>
      <c r="W204" s="22">
        <f t="shared" si="14"/>
      </c>
    </row>
    <row r="205">
      <c r="A205" s="60">
        <f t="shared" si="7"/>
      </c>
      <c r="B205" s="56">
        <f t="shared" si="8"/>
      </c>
      <c r="C205" s="79">
        <f t="shared" si="0"/>
      </c>
      <c r="D205" s="53">
        <f t="shared" si="1"/>
      </c>
      <c r="E205" s="53">
        <f t="shared" si="2"/>
      </c>
      <c r="F205" s="53">
        <f t="shared" si="3"/>
      </c>
      <c r="G205" s="53">
        <f t="shared" si="4"/>
      </c>
      <c r="H205" s="59">
        <f t="shared" si="5"/>
      </c>
      <c r="I205" s="56">
        <f t="shared" si="6"/>
      </c>
      <c r="J205" s="56">
        <f t="shared" si="9"/>
      </c>
      <c r="L205" s="46">
        <f t="shared" si="10"/>
      </c>
      <c r="M205" s="80">
        <f t="shared" si="11"/>
      </c>
      <c r="S205" s="22">
        <f>IFERROR(SMALL(发票导入!$AE$5:$AE$2004,198),"")</f>
      </c>
      <c r="T205" s="22">
        <f>IFERROR(SMALL($S$8:$S$507,198),"")</f>
      </c>
      <c r="U205" s="22">
        <f t="shared" si="12"/>
      </c>
      <c r="V205" s="22">
        <f t="shared" si="13"/>
      </c>
      <c r="W205" s="22">
        <f t="shared" si="14"/>
      </c>
    </row>
    <row r="206">
      <c r="A206" s="60">
        <f t="shared" si="7"/>
      </c>
      <c r="B206" s="56">
        <f t="shared" si="8"/>
      </c>
      <c r="C206" s="79">
        <f t="shared" si="0"/>
      </c>
      <c r="D206" s="53">
        <f t="shared" si="1"/>
      </c>
      <c r="E206" s="53">
        <f t="shared" si="2"/>
      </c>
      <c r="F206" s="53">
        <f t="shared" si="3"/>
      </c>
      <c r="G206" s="53">
        <f t="shared" si="4"/>
      </c>
      <c r="H206" s="59">
        <f t="shared" si="5"/>
      </c>
      <c r="I206" s="56">
        <f t="shared" si="6"/>
      </c>
      <c r="J206" s="56">
        <f t="shared" si="9"/>
      </c>
      <c r="L206" s="46">
        <f t="shared" si="10"/>
      </c>
      <c r="M206" s="80">
        <f t="shared" si="11"/>
      </c>
      <c r="S206" s="22">
        <f>IFERROR(SMALL(发票导入!$AE$5:$AE$2004,199),"")</f>
      </c>
      <c r="T206" s="22">
        <f>IFERROR(SMALL($S$8:$S$507,199),"")</f>
      </c>
      <c r="U206" s="22">
        <f t="shared" si="12"/>
      </c>
      <c r="V206" s="22">
        <f t="shared" si="13"/>
      </c>
      <c r="W206" s="22">
        <f t="shared" si="14"/>
      </c>
    </row>
    <row r="207">
      <c r="A207" s="60">
        <f t="shared" si="7"/>
      </c>
      <c r="B207" s="56">
        <f t="shared" si="8"/>
      </c>
      <c r="C207" s="79">
        <f t="shared" si="0"/>
      </c>
      <c r="D207" s="53">
        <f t="shared" si="1"/>
      </c>
      <c r="E207" s="53">
        <f t="shared" si="2"/>
      </c>
      <c r="F207" s="53">
        <f t="shared" si="3"/>
      </c>
      <c r="G207" s="53">
        <f t="shared" si="4"/>
      </c>
      <c r="H207" s="59">
        <f t="shared" si="5"/>
      </c>
      <c r="I207" s="56">
        <f t="shared" si="6"/>
      </c>
      <c r="J207" s="56">
        <f t="shared" si="9"/>
      </c>
      <c r="L207" s="46">
        <f t="shared" si="10"/>
      </c>
      <c r="M207" s="80">
        <f t="shared" si="11"/>
      </c>
      <c r="S207" s="22">
        <f>IFERROR(SMALL(发票导入!$AE$5:$AE$2004,200),"")</f>
      </c>
      <c r="T207" s="22">
        <f>IFERROR(SMALL($S$8:$S$507,200),"")</f>
      </c>
      <c r="U207" s="22">
        <f t="shared" si="12"/>
      </c>
      <c r="V207" s="22">
        <f t="shared" si="13"/>
      </c>
      <c r="W207" s="22">
        <f t="shared" si="14"/>
      </c>
    </row>
    <row r="208">
      <c r="A208" s="60">
        <f t="shared" si="7"/>
      </c>
      <c r="B208" s="56">
        <f t="shared" si="8"/>
      </c>
      <c r="C208" s="79">
        <f t="shared" si="0"/>
      </c>
      <c r="D208" s="53">
        <f t="shared" si="1"/>
      </c>
      <c r="E208" s="53">
        <f t="shared" si="2"/>
      </c>
      <c r="F208" s="53">
        <f t="shared" si="3"/>
      </c>
      <c r="G208" s="53">
        <f t="shared" si="4"/>
      </c>
      <c r="H208" s="59">
        <f t="shared" si="5"/>
      </c>
      <c r="I208" s="56">
        <f t="shared" si="6"/>
      </c>
      <c r="J208" s="56">
        <f t="shared" si="9"/>
      </c>
      <c r="L208" s="46">
        <f t="shared" si="10"/>
      </c>
      <c r="M208" s="80">
        <f t="shared" si="11"/>
      </c>
      <c r="S208" s="22">
        <f>IFERROR(SMALL(资金台帐!$BA$6:$BA$3005,1),"")</f>
        <v>4627950031</v>
      </c>
      <c r="T208" s="22">
        <f>IFERROR(SMALL($S$8:$S$507,201),"")</f>
      </c>
      <c r="U208" s="22">
        <f t="shared" si="12"/>
      </c>
      <c r="V208" s="22">
        <f t="shared" si="13"/>
      </c>
      <c r="W208" s="22">
        <f t="shared" si="14"/>
      </c>
    </row>
    <row r="209">
      <c r="A209" s="60">
        <f t="shared" si="7"/>
      </c>
      <c r="B209" s="56">
        <f t="shared" si="8"/>
      </c>
      <c r="C209" s="79">
        <f t="shared" si="0"/>
      </c>
      <c r="D209" s="53">
        <f t="shared" si="1"/>
      </c>
      <c r="E209" s="53">
        <f t="shared" si="2"/>
      </c>
      <c r="F209" s="53">
        <f t="shared" si="3"/>
      </c>
      <c r="G209" s="53">
        <f t="shared" si="4"/>
      </c>
      <c r="H209" s="59">
        <f t="shared" si="5"/>
      </c>
      <c r="I209" s="56">
        <f t="shared" si="6"/>
      </c>
      <c r="J209" s="56">
        <f t="shared" si="9"/>
      </c>
      <c r="L209" s="46">
        <f t="shared" si="10"/>
      </c>
      <c r="M209" s="80">
        <f t="shared" si="11"/>
      </c>
      <c r="S209" s="22">
        <f>IFERROR(SMALL(资金台帐!$BA$6:$BA$3005,2),"")</f>
      </c>
      <c r="T209" s="22">
        <f>IFERROR(SMALL($S$8:$S$507,202),"")</f>
      </c>
      <c r="U209" s="22">
        <f t="shared" si="12"/>
      </c>
      <c r="V209" s="22">
        <f t="shared" si="13"/>
      </c>
      <c r="W209" s="22">
        <f t="shared" si="14"/>
      </c>
    </row>
    <row r="210">
      <c r="A210" s="60">
        <f t="shared" si="7"/>
      </c>
      <c r="B210" s="56">
        <f t="shared" si="8"/>
      </c>
      <c r="C210" s="79">
        <f t="shared" si="0"/>
      </c>
      <c r="D210" s="53">
        <f t="shared" si="1"/>
      </c>
      <c r="E210" s="53">
        <f t="shared" si="2"/>
      </c>
      <c r="F210" s="53">
        <f t="shared" si="3"/>
      </c>
      <c r="G210" s="53">
        <f t="shared" si="4"/>
      </c>
      <c r="H210" s="59">
        <f t="shared" si="5"/>
      </c>
      <c r="I210" s="56">
        <f t="shared" si="6"/>
      </c>
      <c r="J210" s="56">
        <f t="shared" si="9"/>
      </c>
      <c r="L210" s="46">
        <f t="shared" si="10"/>
      </c>
      <c r="M210" s="80">
        <f t="shared" si="11"/>
      </c>
      <c r="S210" s="22">
        <f>IFERROR(SMALL(资金台帐!$BA$6:$BA$3005,3),"")</f>
      </c>
      <c r="T210" s="22">
        <f>IFERROR(SMALL($S$8:$S$507,203),"")</f>
      </c>
      <c r="U210" s="22">
        <f t="shared" si="12"/>
      </c>
      <c r="V210" s="22">
        <f t="shared" si="13"/>
      </c>
      <c r="W210" s="22">
        <f t="shared" si="14"/>
      </c>
    </row>
    <row r="211">
      <c r="A211" s="60">
        <f t="shared" si="7"/>
      </c>
      <c r="B211" s="56">
        <f t="shared" si="8"/>
      </c>
      <c r="C211" s="79">
        <f t="shared" si="0"/>
      </c>
      <c r="D211" s="53">
        <f t="shared" si="1"/>
      </c>
      <c r="E211" s="53">
        <f t="shared" si="2"/>
      </c>
      <c r="F211" s="53">
        <f t="shared" si="3"/>
      </c>
      <c r="G211" s="53">
        <f t="shared" si="4"/>
      </c>
      <c r="H211" s="59">
        <f t="shared" si="5"/>
      </c>
      <c r="I211" s="56">
        <f t="shared" si="6"/>
      </c>
      <c r="J211" s="56">
        <f t="shared" si="9"/>
      </c>
      <c r="L211" s="46">
        <f t="shared" si="10"/>
      </c>
      <c r="M211" s="80">
        <f t="shared" si="11"/>
      </c>
      <c r="S211" s="22">
        <f>IFERROR(SMALL(资金台帐!$BA$6:$BA$3005,4),"")</f>
      </c>
      <c r="T211" s="22">
        <f>IFERROR(SMALL($S$8:$S$507,204),"")</f>
      </c>
      <c r="U211" s="22">
        <f t="shared" si="12"/>
      </c>
      <c r="V211" s="22">
        <f t="shared" si="13"/>
      </c>
      <c r="W211" s="22">
        <f t="shared" si="14"/>
      </c>
    </row>
    <row r="212">
      <c r="A212" s="60">
        <f t="shared" si="7"/>
      </c>
      <c r="B212" s="56">
        <f t="shared" si="8"/>
      </c>
      <c r="C212" s="79">
        <f t="shared" si="0"/>
      </c>
      <c r="D212" s="53">
        <f t="shared" si="1"/>
      </c>
      <c r="E212" s="53">
        <f t="shared" si="2"/>
      </c>
      <c r="F212" s="53">
        <f t="shared" si="3"/>
      </c>
      <c r="G212" s="53">
        <f t="shared" si="4"/>
      </c>
      <c r="H212" s="59">
        <f t="shared" si="5"/>
      </c>
      <c r="I212" s="56">
        <f t="shared" si="6"/>
      </c>
      <c r="J212" s="56">
        <f t="shared" si="9"/>
      </c>
      <c r="L212" s="46">
        <f t="shared" si="10"/>
      </c>
      <c r="M212" s="80">
        <f t="shared" si="11"/>
      </c>
      <c r="S212" s="22">
        <f>IFERROR(SMALL(资金台帐!$BA$6:$BA$3005,5),"")</f>
      </c>
      <c r="T212" s="22">
        <f>IFERROR(SMALL($S$8:$S$507,205),"")</f>
      </c>
      <c r="U212" s="22">
        <f t="shared" si="12"/>
      </c>
      <c r="V212" s="22">
        <f t="shared" si="13"/>
      </c>
      <c r="W212" s="22">
        <f t="shared" si="14"/>
      </c>
    </row>
    <row r="213">
      <c r="A213" s="60">
        <f t="shared" si="7"/>
      </c>
      <c r="B213" s="56">
        <f t="shared" si="8"/>
      </c>
      <c r="C213" s="79">
        <f t="shared" si="0"/>
      </c>
      <c r="D213" s="53">
        <f t="shared" si="1"/>
      </c>
      <c r="E213" s="53">
        <f t="shared" si="2"/>
      </c>
      <c r="F213" s="53">
        <f t="shared" si="3"/>
      </c>
      <c r="G213" s="53">
        <f t="shared" si="4"/>
      </c>
      <c r="H213" s="59">
        <f t="shared" si="5"/>
      </c>
      <c r="I213" s="56">
        <f t="shared" si="6"/>
      </c>
      <c r="J213" s="56">
        <f t="shared" si="9"/>
      </c>
      <c r="L213" s="46">
        <f t="shared" si="10"/>
      </c>
      <c r="M213" s="80">
        <f t="shared" si="11"/>
      </c>
      <c r="S213" s="22">
        <f>IFERROR(SMALL(资金台帐!$BA$6:$BA$3005,6),"")</f>
      </c>
      <c r="T213" s="22">
        <f>IFERROR(SMALL($S$8:$S$507,206),"")</f>
      </c>
      <c r="U213" s="22">
        <f t="shared" si="12"/>
      </c>
      <c r="V213" s="22">
        <f t="shared" si="13"/>
      </c>
      <c r="W213" s="22">
        <f t="shared" si="14"/>
      </c>
    </row>
    <row r="214">
      <c r="A214" s="60">
        <f t="shared" si="7"/>
      </c>
      <c r="B214" s="56">
        <f t="shared" si="8"/>
      </c>
      <c r="C214" s="79">
        <f t="shared" si="0"/>
      </c>
      <c r="D214" s="53">
        <f t="shared" si="1"/>
      </c>
      <c r="E214" s="53">
        <f t="shared" si="2"/>
      </c>
      <c r="F214" s="53">
        <f t="shared" si="3"/>
      </c>
      <c r="G214" s="53">
        <f t="shared" si="4"/>
      </c>
      <c r="H214" s="59">
        <f t="shared" si="5"/>
      </c>
      <c r="I214" s="56">
        <f t="shared" si="6"/>
      </c>
      <c r="J214" s="56">
        <f t="shared" si="9"/>
      </c>
      <c r="L214" s="46">
        <f t="shared" si="10"/>
      </c>
      <c r="M214" s="80">
        <f t="shared" si="11"/>
      </c>
      <c r="S214" s="22">
        <f>IFERROR(SMALL(资金台帐!$BA$6:$BA$3005,7),"")</f>
      </c>
      <c r="T214" s="22">
        <f>IFERROR(SMALL($S$8:$S$507,207),"")</f>
      </c>
      <c r="U214" s="22">
        <f t="shared" si="12"/>
      </c>
      <c r="V214" s="22">
        <f t="shared" si="13"/>
      </c>
      <c r="W214" s="22">
        <f t="shared" si="14"/>
      </c>
    </row>
    <row r="215">
      <c r="A215" s="60">
        <f t="shared" si="7"/>
      </c>
      <c r="B215" s="56">
        <f t="shared" si="8"/>
      </c>
      <c r="C215" s="79">
        <f t="shared" si="0"/>
      </c>
      <c r="D215" s="53">
        <f t="shared" si="1"/>
      </c>
      <c r="E215" s="53">
        <f t="shared" si="2"/>
      </c>
      <c r="F215" s="53">
        <f t="shared" si="3"/>
      </c>
      <c r="G215" s="53">
        <f t="shared" si="4"/>
      </c>
      <c r="H215" s="59">
        <f t="shared" si="5"/>
      </c>
      <c r="I215" s="56">
        <f t="shared" si="6"/>
      </c>
      <c r="J215" s="56">
        <f t="shared" si="9"/>
      </c>
      <c r="L215" s="46">
        <f t="shared" si="10"/>
      </c>
      <c r="M215" s="80">
        <f t="shared" si="11"/>
      </c>
      <c r="S215" s="22">
        <f>IFERROR(SMALL(资金台帐!$BA$6:$BA$3005,8),"")</f>
      </c>
      <c r="T215" s="22">
        <f>IFERROR(SMALL($S$8:$S$507,208),"")</f>
      </c>
      <c r="U215" s="22">
        <f t="shared" si="12"/>
      </c>
      <c r="V215" s="22">
        <f t="shared" si="13"/>
      </c>
      <c r="W215" s="22">
        <f t="shared" si="14"/>
      </c>
    </row>
    <row r="216">
      <c r="A216" s="60">
        <f t="shared" si="7"/>
      </c>
      <c r="B216" s="56">
        <f t="shared" si="8"/>
      </c>
      <c r="C216" s="79">
        <f t="shared" si="0"/>
      </c>
      <c r="D216" s="53">
        <f t="shared" si="1"/>
      </c>
      <c r="E216" s="53">
        <f t="shared" si="2"/>
      </c>
      <c r="F216" s="53">
        <f t="shared" si="3"/>
      </c>
      <c r="G216" s="53">
        <f t="shared" si="4"/>
      </c>
      <c r="H216" s="59">
        <f t="shared" si="5"/>
      </c>
      <c r="I216" s="56">
        <f t="shared" si="6"/>
      </c>
      <c r="J216" s="56">
        <f t="shared" si="9"/>
      </c>
      <c r="L216" s="46">
        <f t="shared" si="10"/>
      </c>
      <c r="M216" s="80">
        <f t="shared" si="11"/>
      </c>
      <c r="S216" s="22">
        <f>IFERROR(SMALL(资金台帐!$BA$6:$BA$3005,9),"")</f>
      </c>
      <c r="T216" s="22">
        <f>IFERROR(SMALL($S$8:$S$507,209),"")</f>
      </c>
      <c r="U216" s="22">
        <f t="shared" si="12"/>
      </c>
      <c r="V216" s="22">
        <f t="shared" si="13"/>
      </c>
      <c r="W216" s="22">
        <f t="shared" si="14"/>
      </c>
    </row>
    <row r="217">
      <c r="A217" s="60">
        <f t="shared" si="7"/>
      </c>
      <c r="B217" s="56">
        <f t="shared" si="8"/>
      </c>
      <c r="C217" s="79">
        <f t="shared" si="0"/>
      </c>
      <c r="D217" s="53">
        <f t="shared" si="1"/>
      </c>
      <c r="E217" s="53">
        <f t="shared" si="2"/>
      </c>
      <c r="F217" s="53">
        <f t="shared" si="3"/>
      </c>
      <c r="G217" s="53">
        <f t="shared" si="4"/>
      </c>
      <c r="H217" s="59">
        <f t="shared" si="5"/>
      </c>
      <c r="I217" s="56">
        <f t="shared" si="6"/>
      </c>
      <c r="J217" s="56">
        <f t="shared" si="9"/>
      </c>
      <c r="L217" s="46">
        <f t="shared" si="10"/>
      </c>
      <c r="M217" s="80">
        <f t="shared" si="11"/>
      </c>
      <c r="S217" s="22">
        <f>IFERROR(SMALL(资金台帐!$BA$6:$BA$3005,10),"")</f>
      </c>
      <c r="T217" s="22">
        <f>IFERROR(SMALL($S$8:$S$507,210),"")</f>
      </c>
      <c r="U217" s="22">
        <f t="shared" si="12"/>
      </c>
      <c r="V217" s="22">
        <f t="shared" si="13"/>
      </c>
      <c r="W217" s="22">
        <f t="shared" si="14"/>
      </c>
    </row>
    <row r="218">
      <c r="A218" s="60">
        <f t="shared" si="7"/>
      </c>
      <c r="B218" s="56">
        <f t="shared" si="8"/>
      </c>
      <c r="C218" s="79">
        <f t="shared" si="0"/>
      </c>
      <c r="D218" s="53">
        <f t="shared" si="1"/>
      </c>
      <c r="E218" s="53">
        <f t="shared" si="2"/>
      </c>
      <c r="F218" s="53">
        <f t="shared" si="3"/>
      </c>
      <c r="G218" s="53">
        <f t="shared" si="4"/>
      </c>
      <c r="H218" s="59">
        <f t="shared" si="5"/>
      </c>
      <c r="I218" s="56">
        <f t="shared" si="6"/>
      </c>
      <c r="J218" s="56">
        <f t="shared" si="9"/>
      </c>
      <c r="L218" s="46">
        <f t="shared" si="10"/>
      </c>
      <c r="M218" s="80">
        <f t="shared" si="11"/>
      </c>
      <c r="S218" s="22">
        <f>IFERROR(SMALL(资金台帐!$BA$6:$BA$3005,11),"")</f>
      </c>
      <c r="T218" s="22">
        <f>IFERROR(SMALL($S$8:$S$507,211),"")</f>
      </c>
      <c r="U218" s="22">
        <f t="shared" si="12"/>
      </c>
      <c r="V218" s="22">
        <f t="shared" si="13"/>
      </c>
      <c r="W218" s="22">
        <f t="shared" si="14"/>
      </c>
    </row>
    <row r="219">
      <c r="A219" s="60">
        <f t="shared" si="7"/>
      </c>
      <c r="B219" s="56">
        <f t="shared" si="8"/>
      </c>
      <c r="C219" s="79">
        <f t="shared" si="0"/>
      </c>
      <c r="D219" s="53">
        <f t="shared" si="1"/>
      </c>
      <c r="E219" s="53">
        <f t="shared" si="2"/>
      </c>
      <c r="F219" s="53">
        <f t="shared" si="3"/>
      </c>
      <c r="G219" s="53">
        <f t="shared" si="4"/>
      </c>
      <c r="H219" s="59">
        <f t="shared" si="5"/>
      </c>
      <c r="I219" s="56">
        <f t="shared" si="6"/>
      </c>
      <c r="J219" s="56">
        <f t="shared" si="9"/>
      </c>
      <c r="L219" s="46">
        <f t="shared" si="10"/>
      </c>
      <c r="M219" s="80">
        <f t="shared" si="11"/>
      </c>
      <c r="S219" s="22">
        <f>IFERROR(SMALL(资金台帐!$BA$6:$BA$3005,12),"")</f>
      </c>
      <c r="T219" s="22">
        <f>IFERROR(SMALL($S$8:$S$507,212),"")</f>
      </c>
      <c r="U219" s="22">
        <f t="shared" si="12"/>
      </c>
      <c r="V219" s="22">
        <f t="shared" si="13"/>
      </c>
      <c r="W219" s="22">
        <f t="shared" si="14"/>
      </c>
    </row>
    <row r="220">
      <c r="A220" s="60">
        <f t="shared" si="7"/>
      </c>
      <c r="B220" s="56">
        <f t="shared" si="8"/>
      </c>
      <c r="C220" s="79">
        <f t="shared" si="0"/>
      </c>
      <c r="D220" s="53">
        <f t="shared" si="1"/>
      </c>
      <c r="E220" s="53">
        <f t="shared" si="2"/>
      </c>
      <c r="F220" s="53">
        <f t="shared" si="3"/>
      </c>
      <c r="G220" s="53">
        <f t="shared" si="4"/>
      </c>
      <c r="H220" s="59">
        <f t="shared" si="5"/>
      </c>
      <c r="I220" s="56">
        <f t="shared" si="6"/>
      </c>
      <c r="J220" s="56">
        <f t="shared" si="9"/>
      </c>
      <c r="L220" s="46">
        <f t="shared" si="10"/>
      </c>
      <c r="M220" s="80">
        <f t="shared" si="11"/>
      </c>
      <c r="S220" s="22">
        <f>IFERROR(SMALL(资金台帐!$BA$6:$BA$3005,13),"")</f>
      </c>
      <c r="T220" s="22">
        <f>IFERROR(SMALL($S$8:$S$507,213),"")</f>
      </c>
      <c r="U220" s="22">
        <f t="shared" si="12"/>
      </c>
      <c r="V220" s="22">
        <f t="shared" si="13"/>
      </c>
      <c r="W220" s="22">
        <f t="shared" si="14"/>
      </c>
    </row>
    <row r="221">
      <c r="A221" s="60">
        <f t="shared" si="7"/>
      </c>
      <c r="B221" s="56">
        <f t="shared" si="8"/>
      </c>
      <c r="C221" s="79">
        <f t="shared" si="0"/>
      </c>
      <c r="D221" s="53">
        <f t="shared" si="1"/>
      </c>
      <c r="E221" s="53">
        <f t="shared" si="2"/>
      </c>
      <c r="F221" s="53">
        <f t="shared" si="3"/>
      </c>
      <c r="G221" s="53">
        <f t="shared" si="4"/>
      </c>
      <c r="H221" s="59">
        <f t="shared" si="5"/>
      </c>
      <c r="I221" s="56">
        <f t="shared" si="6"/>
      </c>
      <c r="J221" s="56">
        <f t="shared" si="9"/>
      </c>
      <c r="L221" s="46">
        <f t="shared" si="10"/>
      </c>
      <c r="M221" s="80">
        <f t="shared" si="11"/>
      </c>
      <c r="S221" s="22">
        <f>IFERROR(SMALL(资金台帐!$BA$6:$BA$3005,14),"")</f>
      </c>
      <c r="T221" s="22">
        <f>IFERROR(SMALL($S$8:$S$507,214),"")</f>
      </c>
      <c r="U221" s="22">
        <f t="shared" si="12"/>
      </c>
      <c r="V221" s="22">
        <f t="shared" si="13"/>
      </c>
      <c r="W221" s="22">
        <f t="shared" si="14"/>
      </c>
    </row>
    <row r="222">
      <c r="A222" s="60">
        <f t="shared" si="7"/>
      </c>
      <c r="B222" s="56">
        <f t="shared" si="8"/>
      </c>
      <c r="C222" s="79">
        <f t="shared" si="0"/>
      </c>
      <c r="D222" s="53">
        <f t="shared" si="1"/>
      </c>
      <c r="E222" s="53">
        <f t="shared" si="2"/>
      </c>
      <c r="F222" s="53">
        <f t="shared" si="3"/>
      </c>
      <c r="G222" s="53">
        <f t="shared" si="4"/>
      </c>
      <c r="H222" s="59">
        <f t="shared" si="5"/>
      </c>
      <c r="I222" s="56">
        <f t="shared" si="6"/>
      </c>
      <c r="J222" s="56">
        <f t="shared" si="9"/>
      </c>
      <c r="L222" s="46">
        <f t="shared" si="10"/>
      </c>
      <c r="M222" s="80">
        <f t="shared" si="11"/>
      </c>
      <c r="S222" s="22">
        <f>IFERROR(SMALL(资金台帐!$BA$6:$BA$3005,15),"")</f>
      </c>
      <c r="T222" s="22">
        <f>IFERROR(SMALL($S$8:$S$507,215),"")</f>
      </c>
      <c r="U222" s="22">
        <f t="shared" si="12"/>
      </c>
      <c r="V222" s="22">
        <f t="shared" si="13"/>
      </c>
      <c r="W222" s="22">
        <f t="shared" si="14"/>
      </c>
    </row>
    <row r="223">
      <c r="A223" s="60">
        <f t="shared" si="7"/>
      </c>
      <c r="B223" s="56">
        <f t="shared" si="8"/>
      </c>
      <c r="C223" s="79">
        <f t="shared" si="0"/>
      </c>
      <c r="D223" s="53">
        <f t="shared" si="1"/>
      </c>
      <c r="E223" s="53">
        <f t="shared" si="2"/>
      </c>
      <c r="F223" s="53">
        <f t="shared" si="3"/>
      </c>
      <c r="G223" s="53">
        <f t="shared" si="4"/>
      </c>
      <c r="H223" s="59">
        <f t="shared" si="5"/>
      </c>
      <c r="I223" s="56">
        <f t="shared" si="6"/>
      </c>
      <c r="J223" s="56">
        <f t="shared" si="9"/>
      </c>
      <c r="L223" s="46">
        <f t="shared" si="10"/>
      </c>
      <c r="M223" s="80">
        <f t="shared" si="11"/>
      </c>
      <c r="S223" s="22">
        <f>IFERROR(SMALL(资金台帐!$BA$6:$BA$3005,16),"")</f>
      </c>
      <c r="T223" s="22">
        <f>IFERROR(SMALL($S$8:$S$507,216),"")</f>
      </c>
      <c r="U223" s="22">
        <f t="shared" si="12"/>
      </c>
      <c r="V223" s="22">
        <f t="shared" si="13"/>
      </c>
      <c r="W223" s="22">
        <f t="shared" si="14"/>
      </c>
    </row>
    <row r="224">
      <c r="A224" s="60">
        <f t="shared" si="7"/>
      </c>
      <c r="B224" s="56">
        <f t="shared" si="8"/>
      </c>
      <c r="C224" s="79">
        <f t="shared" si="0"/>
      </c>
      <c r="D224" s="53">
        <f t="shared" si="1"/>
      </c>
      <c r="E224" s="53">
        <f t="shared" si="2"/>
      </c>
      <c r="F224" s="53">
        <f t="shared" si="3"/>
      </c>
      <c r="G224" s="53">
        <f t="shared" si="4"/>
      </c>
      <c r="H224" s="59">
        <f t="shared" si="5"/>
      </c>
      <c r="I224" s="56">
        <f t="shared" si="6"/>
      </c>
      <c r="J224" s="56">
        <f t="shared" si="9"/>
      </c>
      <c r="L224" s="46">
        <f t="shared" si="10"/>
      </c>
      <c r="M224" s="80">
        <f t="shared" si="11"/>
      </c>
      <c r="S224" s="22">
        <f>IFERROR(SMALL(资金台帐!$BA$6:$BA$3005,17),"")</f>
      </c>
      <c r="T224" s="22">
        <f>IFERROR(SMALL($S$8:$S$507,217),"")</f>
      </c>
      <c r="U224" s="22">
        <f t="shared" si="12"/>
      </c>
      <c r="V224" s="22">
        <f t="shared" si="13"/>
      </c>
      <c r="W224" s="22">
        <f t="shared" si="14"/>
      </c>
    </row>
    <row r="225">
      <c r="A225" s="60">
        <f t="shared" si="7"/>
      </c>
      <c r="B225" s="56">
        <f t="shared" si="8"/>
      </c>
      <c r="C225" s="79">
        <f t="shared" si="0"/>
      </c>
      <c r="D225" s="53">
        <f t="shared" si="1"/>
      </c>
      <c r="E225" s="53">
        <f t="shared" si="2"/>
      </c>
      <c r="F225" s="53">
        <f t="shared" si="3"/>
      </c>
      <c r="G225" s="53">
        <f t="shared" si="4"/>
      </c>
      <c r="H225" s="59">
        <f t="shared" si="5"/>
      </c>
      <c r="I225" s="56">
        <f t="shared" si="6"/>
      </c>
      <c r="J225" s="56">
        <f t="shared" si="9"/>
      </c>
      <c r="L225" s="46">
        <f t="shared" si="10"/>
      </c>
      <c r="M225" s="80">
        <f t="shared" si="11"/>
      </c>
      <c r="S225" s="22">
        <f>IFERROR(SMALL(资金台帐!$BA$6:$BA$3005,18),"")</f>
      </c>
      <c r="T225" s="22">
        <f>IFERROR(SMALL($S$8:$S$507,218),"")</f>
      </c>
      <c r="U225" s="22">
        <f t="shared" si="12"/>
      </c>
      <c r="V225" s="22">
        <f t="shared" si="13"/>
      </c>
      <c r="W225" s="22">
        <f t="shared" si="14"/>
      </c>
    </row>
    <row r="226">
      <c r="A226" s="60">
        <f t="shared" si="7"/>
      </c>
      <c r="B226" s="56">
        <f t="shared" si="8"/>
      </c>
      <c r="C226" s="79">
        <f t="shared" si="0"/>
      </c>
      <c r="D226" s="53">
        <f t="shared" si="1"/>
      </c>
      <c r="E226" s="53">
        <f t="shared" si="2"/>
      </c>
      <c r="F226" s="53">
        <f t="shared" si="3"/>
      </c>
      <c r="G226" s="53">
        <f t="shared" si="4"/>
      </c>
      <c r="H226" s="59">
        <f t="shared" si="5"/>
      </c>
      <c r="I226" s="56">
        <f t="shared" si="6"/>
      </c>
      <c r="J226" s="56">
        <f t="shared" si="9"/>
      </c>
      <c r="L226" s="46">
        <f t="shared" si="10"/>
      </c>
      <c r="M226" s="80">
        <f t="shared" si="11"/>
      </c>
      <c r="S226" s="22">
        <f>IFERROR(SMALL(资金台帐!$BA$6:$BA$3005,19),"")</f>
      </c>
      <c r="T226" s="22">
        <f>IFERROR(SMALL($S$8:$S$507,219),"")</f>
      </c>
      <c r="U226" s="22">
        <f t="shared" si="12"/>
      </c>
      <c r="V226" s="22">
        <f t="shared" si="13"/>
      </c>
      <c r="W226" s="22">
        <f t="shared" si="14"/>
      </c>
    </row>
    <row r="227">
      <c r="A227" s="60">
        <f t="shared" si="7"/>
      </c>
      <c r="B227" s="56">
        <f t="shared" si="8"/>
      </c>
      <c r="C227" s="79">
        <f t="shared" si="0"/>
      </c>
      <c r="D227" s="53">
        <f t="shared" si="1"/>
      </c>
      <c r="E227" s="53">
        <f t="shared" si="2"/>
      </c>
      <c r="F227" s="53">
        <f t="shared" si="3"/>
      </c>
      <c r="G227" s="53">
        <f t="shared" si="4"/>
      </c>
      <c r="H227" s="59">
        <f t="shared" si="5"/>
      </c>
      <c r="I227" s="56">
        <f t="shared" si="6"/>
      </c>
      <c r="J227" s="56">
        <f t="shared" si="9"/>
      </c>
      <c r="L227" s="46">
        <f t="shared" si="10"/>
      </c>
      <c r="M227" s="80">
        <f t="shared" si="11"/>
      </c>
      <c r="S227" s="22">
        <f>IFERROR(SMALL(资金台帐!$BA$6:$BA$3005,20),"")</f>
      </c>
      <c r="T227" s="22">
        <f>IFERROR(SMALL($S$8:$S$507,220),"")</f>
      </c>
      <c r="U227" s="22">
        <f t="shared" si="12"/>
      </c>
      <c r="V227" s="22">
        <f t="shared" si="13"/>
      </c>
      <c r="W227" s="22">
        <f t="shared" si="14"/>
      </c>
    </row>
    <row r="228">
      <c r="A228" s="60">
        <f t="shared" si="7"/>
      </c>
      <c r="B228" s="56">
        <f t="shared" si="8"/>
      </c>
      <c r="C228" s="79">
        <f t="shared" si="0"/>
      </c>
      <c r="D228" s="53">
        <f t="shared" si="1"/>
      </c>
      <c r="E228" s="53">
        <f t="shared" si="2"/>
      </c>
      <c r="F228" s="53">
        <f t="shared" si="3"/>
      </c>
      <c r="G228" s="53">
        <f t="shared" si="4"/>
      </c>
      <c r="H228" s="59">
        <f t="shared" si="5"/>
      </c>
      <c r="I228" s="56">
        <f t="shared" si="6"/>
      </c>
      <c r="J228" s="56">
        <f t="shared" si="9"/>
      </c>
      <c r="L228" s="46">
        <f t="shared" si="10"/>
      </c>
      <c r="M228" s="80">
        <f t="shared" si="11"/>
      </c>
      <c r="S228" s="22">
        <f>IFERROR(SMALL(资金台帐!$BA$6:$BA$3005,21),"")</f>
      </c>
      <c r="T228" s="22">
        <f>IFERROR(SMALL($S$8:$S$507,221),"")</f>
      </c>
      <c r="U228" s="22">
        <f t="shared" si="12"/>
      </c>
      <c r="V228" s="22">
        <f t="shared" si="13"/>
      </c>
      <c r="W228" s="22">
        <f t="shared" si="14"/>
      </c>
    </row>
    <row r="229">
      <c r="A229" s="60">
        <f t="shared" si="7"/>
      </c>
      <c r="B229" s="56">
        <f t="shared" si="8"/>
      </c>
      <c r="C229" s="79">
        <f t="shared" si="0"/>
      </c>
      <c r="D229" s="53">
        <f t="shared" si="1"/>
      </c>
      <c r="E229" s="53">
        <f t="shared" si="2"/>
      </c>
      <c r="F229" s="53">
        <f t="shared" si="3"/>
      </c>
      <c r="G229" s="53">
        <f t="shared" si="4"/>
      </c>
      <c r="H229" s="59">
        <f t="shared" si="5"/>
      </c>
      <c r="I229" s="56">
        <f t="shared" si="6"/>
      </c>
      <c r="J229" s="56">
        <f t="shared" si="9"/>
      </c>
      <c r="L229" s="46">
        <f t="shared" si="10"/>
      </c>
      <c r="M229" s="80">
        <f t="shared" si="11"/>
      </c>
      <c r="S229" s="22">
        <f>IFERROR(SMALL(资金台帐!$BA$6:$BA$3005,22),"")</f>
      </c>
      <c r="T229" s="22">
        <f>IFERROR(SMALL($S$8:$S$507,222),"")</f>
      </c>
      <c r="U229" s="22">
        <f t="shared" si="12"/>
      </c>
      <c r="V229" s="22">
        <f t="shared" si="13"/>
      </c>
      <c r="W229" s="22">
        <f t="shared" si="14"/>
      </c>
    </row>
    <row r="230">
      <c r="A230" s="60">
        <f t="shared" si="7"/>
      </c>
      <c r="B230" s="56">
        <f t="shared" si="8"/>
      </c>
      <c r="C230" s="79">
        <f t="shared" si="0"/>
      </c>
      <c r="D230" s="53">
        <f t="shared" si="1"/>
      </c>
      <c r="E230" s="53">
        <f t="shared" si="2"/>
      </c>
      <c r="F230" s="53">
        <f t="shared" si="3"/>
      </c>
      <c r="G230" s="53">
        <f t="shared" si="4"/>
      </c>
      <c r="H230" s="59">
        <f t="shared" si="5"/>
      </c>
      <c r="I230" s="56">
        <f t="shared" si="6"/>
      </c>
      <c r="J230" s="56">
        <f t="shared" si="9"/>
      </c>
      <c r="L230" s="46">
        <f t="shared" si="10"/>
      </c>
      <c r="M230" s="80">
        <f t="shared" si="11"/>
      </c>
      <c r="S230" s="22">
        <f>IFERROR(SMALL(资金台帐!$BA$6:$BA$3005,23),"")</f>
      </c>
      <c r="T230" s="22">
        <f>IFERROR(SMALL($S$8:$S$507,223),"")</f>
      </c>
      <c r="U230" s="22">
        <f t="shared" si="12"/>
      </c>
      <c r="V230" s="22">
        <f t="shared" si="13"/>
      </c>
      <c r="W230" s="22">
        <f t="shared" si="14"/>
      </c>
    </row>
    <row r="231">
      <c r="A231" s="60">
        <f t="shared" si="7"/>
      </c>
      <c r="B231" s="56">
        <f t="shared" si="8"/>
      </c>
      <c r="C231" s="79">
        <f t="shared" si="0"/>
      </c>
      <c r="D231" s="53">
        <f t="shared" si="1"/>
      </c>
      <c r="E231" s="53">
        <f t="shared" si="2"/>
      </c>
      <c r="F231" s="53">
        <f t="shared" si="3"/>
      </c>
      <c r="G231" s="53">
        <f t="shared" si="4"/>
      </c>
      <c r="H231" s="59">
        <f t="shared" si="5"/>
      </c>
      <c r="I231" s="56">
        <f t="shared" si="6"/>
      </c>
      <c r="J231" s="56">
        <f t="shared" si="9"/>
      </c>
      <c r="L231" s="46">
        <f t="shared" si="10"/>
      </c>
      <c r="M231" s="80">
        <f t="shared" si="11"/>
      </c>
      <c r="S231" s="22">
        <f>IFERROR(SMALL(资金台帐!$BA$6:$BA$3005,24),"")</f>
      </c>
      <c r="T231" s="22">
        <f>IFERROR(SMALL($S$8:$S$507,224),"")</f>
      </c>
      <c r="U231" s="22">
        <f t="shared" si="12"/>
      </c>
      <c r="V231" s="22">
        <f t="shared" si="13"/>
      </c>
      <c r="W231" s="22">
        <f t="shared" si="14"/>
      </c>
    </row>
    <row r="232">
      <c r="A232" s="60">
        <f t="shared" si="7"/>
      </c>
      <c r="B232" s="56">
        <f t="shared" si="8"/>
      </c>
      <c r="C232" s="79">
        <f t="shared" si="0"/>
      </c>
      <c r="D232" s="53">
        <f t="shared" si="1"/>
      </c>
      <c r="E232" s="53">
        <f t="shared" si="2"/>
      </c>
      <c r="F232" s="53">
        <f t="shared" si="3"/>
      </c>
      <c r="G232" s="53">
        <f t="shared" si="4"/>
      </c>
      <c r="H232" s="59">
        <f t="shared" si="5"/>
      </c>
      <c r="I232" s="56">
        <f t="shared" si="6"/>
      </c>
      <c r="J232" s="56">
        <f t="shared" si="9"/>
      </c>
      <c r="L232" s="46">
        <f t="shared" si="10"/>
      </c>
      <c r="M232" s="80">
        <f t="shared" si="11"/>
      </c>
      <c r="S232" s="22">
        <f>IFERROR(SMALL(资金台帐!$BA$6:$BA$3005,25),"")</f>
      </c>
      <c r="T232" s="22">
        <f>IFERROR(SMALL($S$8:$S$507,225),"")</f>
      </c>
      <c r="U232" s="22">
        <f t="shared" si="12"/>
      </c>
      <c r="V232" s="22">
        <f t="shared" si="13"/>
      </c>
      <c r="W232" s="22">
        <f t="shared" si="14"/>
      </c>
    </row>
    <row r="233">
      <c r="A233" s="60">
        <f t="shared" si="7"/>
      </c>
      <c r="B233" s="56">
        <f t="shared" si="8"/>
      </c>
      <c r="C233" s="79">
        <f t="shared" si="0"/>
      </c>
      <c r="D233" s="53">
        <f t="shared" si="1"/>
      </c>
      <c r="E233" s="53">
        <f t="shared" si="2"/>
      </c>
      <c r="F233" s="53">
        <f t="shared" si="3"/>
      </c>
      <c r="G233" s="53">
        <f t="shared" si="4"/>
      </c>
      <c r="H233" s="59">
        <f t="shared" si="5"/>
      </c>
      <c r="I233" s="56">
        <f t="shared" si="6"/>
      </c>
      <c r="J233" s="56">
        <f t="shared" si="9"/>
      </c>
      <c r="L233" s="46">
        <f t="shared" si="10"/>
      </c>
      <c r="M233" s="80">
        <f t="shared" si="11"/>
      </c>
      <c r="S233" s="22">
        <f>IFERROR(SMALL(资金台帐!$BA$6:$BA$3005,26),"")</f>
      </c>
      <c r="T233" s="22">
        <f>IFERROR(SMALL($S$8:$S$507,226),"")</f>
      </c>
      <c r="U233" s="22">
        <f t="shared" si="12"/>
      </c>
      <c r="V233" s="22">
        <f t="shared" si="13"/>
      </c>
      <c r="W233" s="22">
        <f t="shared" si="14"/>
      </c>
    </row>
    <row r="234">
      <c r="A234" s="60">
        <f t="shared" si="7"/>
      </c>
      <c r="B234" s="56">
        <f t="shared" si="8"/>
      </c>
      <c r="C234" s="79">
        <f t="shared" si="0"/>
      </c>
      <c r="D234" s="53">
        <f t="shared" si="1"/>
      </c>
      <c r="E234" s="53">
        <f t="shared" si="2"/>
      </c>
      <c r="F234" s="53">
        <f t="shared" si="3"/>
      </c>
      <c r="G234" s="53">
        <f t="shared" si="4"/>
      </c>
      <c r="H234" s="59">
        <f t="shared" si="5"/>
      </c>
      <c r="I234" s="56">
        <f t="shared" si="6"/>
      </c>
      <c r="J234" s="56">
        <f t="shared" si="9"/>
      </c>
      <c r="L234" s="46">
        <f t="shared" si="10"/>
      </c>
      <c r="M234" s="80">
        <f t="shared" si="11"/>
      </c>
      <c r="S234" s="22">
        <f>IFERROR(SMALL(资金台帐!$BA$6:$BA$3005,27),"")</f>
      </c>
      <c r="T234" s="22">
        <f>IFERROR(SMALL($S$8:$S$507,227),"")</f>
      </c>
      <c r="U234" s="22">
        <f t="shared" si="12"/>
      </c>
      <c r="V234" s="22">
        <f t="shared" si="13"/>
      </c>
      <c r="W234" s="22">
        <f t="shared" si="14"/>
      </c>
    </row>
    <row r="235">
      <c r="A235" s="60">
        <f t="shared" si="7"/>
      </c>
      <c r="B235" s="56">
        <f t="shared" si="8"/>
      </c>
      <c r="C235" s="79">
        <f t="shared" si="0"/>
      </c>
      <c r="D235" s="53">
        <f t="shared" si="1"/>
      </c>
      <c r="E235" s="53">
        <f t="shared" si="2"/>
      </c>
      <c r="F235" s="53">
        <f t="shared" si="3"/>
      </c>
      <c r="G235" s="53">
        <f t="shared" si="4"/>
      </c>
      <c r="H235" s="59">
        <f t="shared" si="5"/>
      </c>
      <c r="I235" s="56">
        <f t="shared" si="6"/>
      </c>
      <c r="J235" s="56">
        <f t="shared" si="9"/>
      </c>
      <c r="L235" s="46">
        <f t="shared" si="10"/>
      </c>
      <c r="M235" s="80">
        <f t="shared" si="11"/>
      </c>
      <c r="S235" s="22">
        <f>IFERROR(SMALL(资金台帐!$BA$6:$BA$3005,28),"")</f>
      </c>
      <c r="T235" s="22">
        <f>IFERROR(SMALL($S$8:$S$507,228),"")</f>
      </c>
      <c r="U235" s="22">
        <f t="shared" si="12"/>
      </c>
      <c r="V235" s="22">
        <f t="shared" si="13"/>
      </c>
      <c r="W235" s="22">
        <f t="shared" si="14"/>
      </c>
    </row>
    <row r="236">
      <c r="A236" s="60">
        <f t="shared" si="7"/>
      </c>
      <c r="B236" s="56">
        <f t="shared" si="8"/>
      </c>
      <c r="C236" s="79">
        <f t="shared" si="0"/>
      </c>
      <c r="D236" s="53">
        <f t="shared" si="1"/>
      </c>
      <c r="E236" s="53">
        <f t="shared" si="2"/>
      </c>
      <c r="F236" s="53">
        <f t="shared" si="3"/>
      </c>
      <c r="G236" s="53">
        <f t="shared" si="4"/>
      </c>
      <c r="H236" s="59">
        <f t="shared" si="5"/>
      </c>
      <c r="I236" s="56">
        <f t="shared" si="6"/>
      </c>
      <c r="J236" s="56">
        <f t="shared" si="9"/>
      </c>
      <c r="L236" s="46">
        <f t="shared" si="10"/>
      </c>
      <c r="M236" s="80">
        <f t="shared" si="11"/>
      </c>
      <c r="S236" s="22">
        <f>IFERROR(SMALL(资金台帐!$BA$6:$BA$3005,29),"")</f>
      </c>
      <c r="T236" s="22">
        <f>IFERROR(SMALL($S$8:$S$507,229),"")</f>
      </c>
      <c r="U236" s="22">
        <f t="shared" si="12"/>
      </c>
      <c r="V236" s="22">
        <f t="shared" si="13"/>
      </c>
      <c r="W236" s="22">
        <f t="shared" si="14"/>
      </c>
    </row>
    <row r="237">
      <c r="A237" s="60">
        <f t="shared" si="7"/>
      </c>
      <c r="B237" s="56">
        <f t="shared" si="8"/>
      </c>
      <c r="C237" s="79">
        <f t="shared" si="0"/>
      </c>
      <c r="D237" s="53">
        <f t="shared" si="1"/>
      </c>
      <c r="E237" s="53">
        <f t="shared" si="2"/>
      </c>
      <c r="F237" s="53">
        <f t="shared" si="3"/>
      </c>
      <c r="G237" s="53">
        <f t="shared" si="4"/>
      </c>
      <c r="H237" s="59">
        <f t="shared" si="5"/>
      </c>
      <c r="I237" s="56">
        <f t="shared" si="6"/>
      </c>
      <c r="J237" s="56">
        <f t="shared" si="9"/>
      </c>
      <c r="L237" s="46">
        <f t="shared" si="10"/>
      </c>
      <c r="M237" s="80">
        <f t="shared" si="11"/>
      </c>
      <c r="S237" s="22">
        <f>IFERROR(SMALL(资金台帐!$BA$6:$BA$3005,30),"")</f>
      </c>
      <c r="T237" s="22">
        <f>IFERROR(SMALL($S$8:$S$507,230),"")</f>
      </c>
      <c r="U237" s="22">
        <f t="shared" si="12"/>
      </c>
      <c r="V237" s="22">
        <f t="shared" si="13"/>
      </c>
      <c r="W237" s="22">
        <f t="shared" si="14"/>
      </c>
    </row>
    <row r="238">
      <c r="A238" s="60">
        <f t="shared" si="7"/>
      </c>
      <c r="B238" s="56">
        <f t="shared" si="8"/>
      </c>
      <c r="C238" s="79">
        <f t="shared" si="0"/>
      </c>
      <c r="D238" s="53">
        <f t="shared" si="1"/>
      </c>
      <c r="E238" s="53">
        <f t="shared" si="2"/>
      </c>
      <c r="F238" s="53">
        <f t="shared" si="3"/>
      </c>
      <c r="G238" s="53">
        <f t="shared" si="4"/>
      </c>
      <c r="H238" s="59">
        <f t="shared" si="5"/>
      </c>
      <c r="I238" s="56">
        <f t="shared" si="6"/>
      </c>
      <c r="J238" s="56">
        <f t="shared" si="9"/>
      </c>
      <c r="L238" s="46">
        <f t="shared" si="10"/>
      </c>
      <c r="M238" s="80">
        <f t="shared" si="11"/>
      </c>
      <c r="S238" s="22">
        <f>IFERROR(SMALL(资金台帐!$BA$6:$BA$3005,31),"")</f>
      </c>
      <c r="T238" s="22">
        <f>IFERROR(SMALL($S$8:$S$507,231),"")</f>
      </c>
      <c r="U238" s="22">
        <f t="shared" si="12"/>
      </c>
      <c r="V238" s="22">
        <f t="shared" si="13"/>
      </c>
      <c r="W238" s="22">
        <f t="shared" si="14"/>
      </c>
    </row>
    <row r="239">
      <c r="A239" s="60">
        <f t="shared" si="7"/>
      </c>
      <c r="B239" s="56">
        <f t="shared" si="8"/>
      </c>
      <c r="C239" s="79">
        <f t="shared" si="0"/>
      </c>
      <c r="D239" s="53">
        <f t="shared" si="1"/>
      </c>
      <c r="E239" s="53">
        <f t="shared" si="2"/>
      </c>
      <c r="F239" s="53">
        <f t="shared" si="3"/>
      </c>
      <c r="G239" s="53">
        <f t="shared" si="4"/>
      </c>
      <c r="H239" s="59">
        <f t="shared" si="5"/>
      </c>
      <c r="I239" s="56">
        <f t="shared" si="6"/>
      </c>
      <c r="J239" s="56">
        <f t="shared" si="9"/>
      </c>
      <c r="L239" s="46">
        <f t="shared" si="10"/>
      </c>
      <c r="M239" s="80">
        <f t="shared" si="11"/>
      </c>
      <c r="S239" s="22">
        <f>IFERROR(SMALL(资金台帐!$BA$6:$BA$3005,32),"")</f>
      </c>
      <c r="T239" s="22">
        <f>IFERROR(SMALL($S$8:$S$507,232),"")</f>
      </c>
      <c r="U239" s="22">
        <f t="shared" si="12"/>
      </c>
      <c r="V239" s="22">
        <f t="shared" si="13"/>
      </c>
      <c r="W239" s="22">
        <f t="shared" si="14"/>
      </c>
    </row>
    <row r="240">
      <c r="A240" s="60">
        <f t="shared" si="7"/>
      </c>
      <c r="B240" s="56">
        <f t="shared" si="8"/>
      </c>
      <c r="C240" s="79">
        <f t="shared" si="0"/>
      </c>
      <c r="D240" s="53">
        <f t="shared" si="1"/>
      </c>
      <c r="E240" s="53">
        <f t="shared" si="2"/>
      </c>
      <c r="F240" s="53">
        <f t="shared" si="3"/>
      </c>
      <c r="G240" s="53">
        <f t="shared" si="4"/>
      </c>
      <c r="H240" s="59">
        <f t="shared" si="5"/>
      </c>
      <c r="I240" s="56">
        <f t="shared" si="6"/>
      </c>
      <c r="J240" s="56">
        <f t="shared" si="9"/>
      </c>
      <c r="L240" s="46">
        <f t="shared" si="10"/>
      </c>
      <c r="M240" s="80">
        <f t="shared" si="11"/>
      </c>
      <c r="S240" s="22">
        <f>IFERROR(SMALL(资金台帐!$BA$6:$BA$3005,33),"")</f>
      </c>
      <c r="T240" s="22">
        <f>IFERROR(SMALL($S$8:$S$507,233),"")</f>
      </c>
      <c r="U240" s="22">
        <f t="shared" si="12"/>
      </c>
      <c r="V240" s="22">
        <f t="shared" si="13"/>
      </c>
      <c r="W240" s="22">
        <f t="shared" si="14"/>
      </c>
    </row>
    <row r="241">
      <c r="A241" s="60">
        <f t="shared" si="7"/>
      </c>
      <c r="B241" s="56">
        <f t="shared" si="8"/>
      </c>
      <c r="C241" s="79">
        <f t="shared" si="0"/>
      </c>
      <c r="D241" s="53">
        <f t="shared" si="1"/>
      </c>
      <c r="E241" s="53">
        <f t="shared" si="2"/>
      </c>
      <c r="F241" s="53">
        <f t="shared" si="3"/>
      </c>
      <c r="G241" s="53">
        <f t="shared" si="4"/>
      </c>
      <c r="H241" s="59">
        <f t="shared" si="5"/>
      </c>
      <c r="I241" s="56">
        <f t="shared" si="6"/>
      </c>
      <c r="J241" s="56">
        <f t="shared" si="9"/>
      </c>
      <c r="L241" s="46">
        <f t="shared" si="10"/>
      </c>
      <c r="M241" s="80">
        <f t="shared" si="11"/>
      </c>
      <c r="S241" s="22">
        <f>IFERROR(SMALL(资金台帐!$BA$6:$BA$3005,34),"")</f>
      </c>
      <c r="T241" s="22">
        <f>IFERROR(SMALL($S$8:$S$507,234),"")</f>
      </c>
      <c r="U241" s="22">
        <f t="shared" si="12"/>
      </c>
      <c r="V241" s="22">
        <f t="shared" si="13"/>
      </c>
      <c r="W241" s="22">
        <f t="shared" si="14"/>
      </c>
    </row>
    <row r="242">
      <c r="A242" s="60">
        <f t="shared" si="7"/>
      </c>
      <c r="B242" s="56">
        <f t="shared" si="8"/>
      </c>
      <c r="C242" s="79">
        <f t="shared" si="0"/>
      </c>
      <c r="D242" s="53">
        <f t="shared" si="1"/>
      </c>
      <c r="E242" s="53">
        <f t="shared" si="2"/>
      </c>
      <c r="F242" s="53">
        <f t="shared" si="3"/>
      </c>
      <c r="G242" s="53">
        <f t="shared" si="4"/>
      </c>
      <c r="H242" s="59">
        <f t="shared" si="5"/>
      </c>
      <c r="I242" s="56">
        <f t="shared" si="6"/>
      </c>
      <c r="J242" s="56">
        <f t="shared" si="9"/>
      </c>
      <c r="L242" s="46">
        <f t="shared" si="10"/>
      </c>
      <c r="M242" s="80">
        <f t="shared" si="11"/>
      </c>
      <c r="S242" s="22">
        <f>IFERROR(SMALL(资金台帐!$BA$6:$BA$3005,35),"")</f>
      </c>
      <c r="T242" s="22">
        <f>IFERROR(SMALL($S$8:$S$507,235),"")</f>
      </c>
      <c r="U242" s="22">
        <f t="shared" si="12"/>
      </c>
      <c r="V242" s="22">
        <f t="shared" si="13"/>
      </c>
      <c r="W242" s="22">
        <f t="shared" si="14"/>
      </c>
    </row>
    <row r="243">
      <c r="A243" s="60">
        <f t="shared" si="7"/>
      </c>
      <c r="B243" s="56">
        <f t="shared" si="8"/>
      </c>
      <c r="C243" s="79">
        <f t="shared" si="0"/>
      </c>
      <c r="D243" s="53">
        <f t="shared" si="1"/>
      </c>
      <c r="E243" s="53">
        <f t="shared" si="2"/>
      </c>
      <c r="F243" s="53">
        <f t="shared" si="3"/>
      </c>
      <c r="G243" s="53">
        <f t="shared" si="4"/>
      </c>
      <c r="H243" s="59">
        <f t="shared" si="5"/>
      </c>
      <c r="I243" s="56">
        <f t="shared" si="6"/>
      </c>
      <c r="J243" s="56">
        <f t="shared" si="9"/>
      </c>
      <c r="L243" s="46">
        <f t="shared" si="10"/>
      </c>
      <c r="M243" s="80">
        <f t="shared" si="11"/>
      </c>
      <c r="S243" s="22">
        <f>IFERROR(SMALL(资金台帐!$BA$6:$BA$3005,36),"")</f>
      </c>
      <c r="T243" s="22">
        <f>IFERROR(SMALL($S$8:$S$507,236),"")</f>
      </c>
      <c r="U243" s="22">
        <f t="shared" si="12"/>
      </c>
      <c r="V243" s="22">
        <f t="shared" si="13"/>
      </c>
      <c r="W243" s="22">
        <f t="shared" si="14"/>
      </c>
    </row>
    <row r="244">
      <c r="A244" s="60">
        <f t="shared" si="7"/>
      </c>
      <c r="B244" s="56">
        <f t="shared" si="8"/>
      </c>
      <c r="C244" s="79">
        <f t="shared" si="0"/>
      </c>
      <c r="D244" s="53">
        <f t="shared" si="1"/>
      </c>
      <c r="E244" s="53">
        <f t="shared" si="2"/>
      </c>
      <c r="F244" s="53">
        <f t="shared" si="3"/>
      </c>
      <c r="G244" s="53">
        <f t="shared" si="4"/>
      </c>
      <c r="H244" s="59">
        <f t="shared" si="5"/>
      </c>
      <c r="I244" s="56">
        <f t="shared" si="6"/>
      </c>
      <c r="J244" s="56">
        <f t="shared" si="9"/>
      </c>
      <c r="L244" s="46">
        <f t="shared" si="10"/>
      </c>
      <c r="M244" s="80">
        <f t="shared" si="11"/>
      </c>
      <c r="S244" s="22">
        <f>IFERROR(SMALL(资金台帐!$BA$6:$BA$3005,37),"")</f>
      </c>
      <c r="T244" s="22">
        <f>IFERROR(SMALL($S$8:$S$507,237),"")</f>
      </c>
      <c r="U244" s="22">
        <f t="shared" si="12"/>
      </c>
      <c r="V244" s="22">
        <f t="shared" si="13"/>
      </c>
      <c r="W244" s="22">
        <f t="shared" si="14"/>
      </c>
    </row>
    <row r="245">
      <c r="A245" s="60">
        <f t="shared" si="7"/>
      </c>
      <c r="B245" s="56">
        <f t="shared" si="8"/>
      </c>
      <c r="C245" s="79">
        <f t="shared" si="0"/>
      </c>
      <c r="D245" s="53">
        <f t="shared" si="1"/>
      </c>
      <c r="E245" s="53">
        <f t="shared" si="2"/>
      </c>
      <c r="F245" s="53">
        <f t="shared" si="3"/>
      </c>
      <c r="G245" s="53">
        <f t="shared" si="4"/>
      </c>
      <c r="H245" s="59">
        <f t="shared" si="5"/>
      </c>
      <c r="I245" s="56">
        <f t="shared" si="6"/>
      </c>
      <c r="J245" s="56">
        <f t="shared" si="9"/>
      </c>
      <c r="L245" s="46">
        <f t="shared" si="10"/>
      </c>
      <c r="M245" s="80">
        <f t="shared" si="11"/>
      </c>
      <c r="S245" s="22">
        <f>IFERROR(SMALL(资金台帐!$BA$6:$BA$3005,38),"")</f>
      </c>
      <c r="T245" s="22">
        <f>IFERROR(SMALL($S$8:$S$507,238),"")</f>
      </c>
      <c r="U245" s="22">
        <f t="shared" si="12"/>
      </c>
      <c r="V245" s="22">
        <f t="shared" si="13"/>
      </c>
      <c r="W245" s="22">
        <f t="shared" si="14"/>
      </c>
    </row>
    <row r="246">
      <c r="A246" s="60">
        <f t="shared" si="7"/>
      </c>
      <c r="B246" s="56">
        <f t="shared" si="8"/>
      </c>
      <c r="C246" s="79">
        <f t="shared" si="0"/>
      </c>
      <c r="D246" s="53">
        <f t="shared" si="1"/>
      </c>
      <c r="E246" s="53">
        <f t="shared" si="2"/>
      </c>
      <c r="F246" s="53">
        <f t="shared" si="3"/>
      </c>
      <c r="G246" s="53">
        <f t="shared" si="4"/>
      </c>
      <c r="H246" s="59">
        <f t="shared" si="5"/>
      </c>
      <c r="I246" s="56">
        <f t="shared" si="6"/>
      </c>
      <c r="J246" s="56">
        <f t="shared" si="9"/>
      </c>
      <c r="L246" s="46">
        <f t="shared" si="10"/>
      </c>
      <c r="M246" s="80">
        <f t="shared" si="11"/>
      </c>
      <c r="S246" s="22">
        <f>IFERROR(SMALL(资金台帐!$BA$6:$BA$3005,39),"")</f>
      </c>
      <c r="T246" s="22">
        <f>IFERROR(SMALL($S$8:$S$507,239),"")</f>
      </c>
      <c r="U246" s="22">
        <f t="shared" si="12"/>
      </c>
      <c r="V246" s="22">
        <f t="shared" si="13"/>
      </c>
      <c r="W246" s="22">
        <f t="shared" si="14"/>
      </c>
    </row>
    <row r="247">
      <c r="A247" s="60">
        <f t="shared" si="7"/>
      </c>
      <c r="B247" s="56">
        <f t="shared" si="8"/>
      </c>
      <c r="C247" s="79">
        <f t="shared" si="0"/>
      </c>
      <c r="D247" s="53">
        <f t="shared" si="1"/>
      </c>
      <c r="E247" s="53">
        <f t="shared" si="2"/>
      </c>
      <c r="F247" s="53">
        <f t="shared" si="3"/>
      </c>
      <c r="G247" s="53">
        <f t="shared" si="4"/>
      </c>
      <c r="H247" s="59">
        <f t="shared" si="5"/>
      </c>
      <c r="I247" s="56">
        <f t="shared" si="6"/>
      </c>
      <c r="J247" s="56">
        <f t="shared" si="9"/>
      </c>
      <c r="L247" s="46">
        <f t="shared" si="10"/>
      </c>
      <c r="M247" s="80">
        <f t="shared" si="11"/>
      </c>
      <c r="S247" s="22">
        <f>IFERROR(SMALL(资金台帐!$BA$6:$BA$3005,40),"")</f>
      </c>
      <c r="T247" s="22">
        <f>IFERROR(SMALL($S$8:$S$507,240),"")</f>
      </c>
      <c r="U247" s="22">
        <f t="shared" si="12"/>
      </c>
      <c r="V247" s="22">
        <f t="shared" si="13"/>
      </c>
      <c r="W247" s="22">
        <f t="shared" si="14"/>
      </c>
    </row>
    <row r="248">
      <c r="A248" s="60">
        <f t="shared" si="7"/>
      </c>
      <c r="B248" s="56">
        <f t="shared" si="8"/>
      </c>
      <c r="C248" s="79">
        <f t="shared" si="0"/>
      </c>
      <c r="D248" s="53">
        <f t="shared" si="1"/>
      </c>
      <c r="E248" s="53">
        <f t="shared" si="2"/>
      </c>
      <c r="F248" s="53">
        <f t="shared" si="3"/>
      </c>
      <c r="G248" s="53">
        <f t="shared" si="4"/>
      </c>
      <c r="H248" s="59">
        <f t="shared" si="5"/>
      </c>
      <c r="I248" s="56">
        <f t="shared" si="6"/>
      </c>
      <c r="J248" s="56">
        <f t="shared" si="9"/>
      </c>
      <c r="L248" s="46">
        <f t="shared" si="10"/>
      </c>
      <c r="M248" s="80">
        <f t="shared" si="11"/>
      </c>
      <c r="S248" s="22">
        <f>IFERROR(SMALL(资金台帐!$BA$6:$BA$3005,41),"")</f>
      </c>
      <c r="T248" s="22">
        <f>IFERROR(SMALL($S$8:$S$507,241),"")</f>
      </c>
      <c r="U248" s="22">
        <f t="shared" si="12"/>
      </c>
      <c r="V248" s="22">
        <f t="shared" si="13"/>
      </c>
      <c r="W248" s="22">
        <f t="shared" si="14"/>
      </c>
    </row>
    <row r="249">
      <c r="A249" s="60">
        <f t="shared" si="7"/>
      </c>
      <c r="B249" s="56">
        <f t="shared" si="8"/>
      </c>
      <c r="C249" s="79">
        <f t="shared" si="0"/>
      </c>
      <c r="D249" s="53">
        <f t="shared" si="1"/>
      </c>
      <c r="E249" s="53">
        <f t="shared" si="2"/>
      </c>
      <c r="F249" s="53">
        <f t="shared" si="3"/>
      </c>
      <c r="G249" s="53">
        <f t="shared" si="4"/>
      </c>
      <c r="H249" s="59">
        <f t="shared" si="5"/>
      </c>
      <c r="I249" s="56">
        <f t="shared" si="6"/>
      </c>
      <c r="J249" s="56">
        <f t="shared" si="9"/>
      </c>
      <c r="L249" s="46">
        <f t="shared" si="10"/>
      </c>
      <c r="M249" s="80">
        <f t="shared" si="11"/>
      </c>
      <c r="S249" s="22">
        <f>IFERROR(SMALL(资金台帐!$BA$6:$BA$3005,42),"")</f>
      </c>
      <c r="T249" s="22">
        <f>IFERROR(SMALL($S$8:$S$507,242),"")</f>
      </c>
      <c r="U249" s="22">
        <f t="shared" si="12"/>
      </c>
      <c r="V249" s="22">
        <f t="shared" si="13"/>
      </c>
      <c r="W249" s="22">
        <f t="shared" si="14"/>
      </c>
    </row>
    <row r="250">
      <c r="A250" s="60">
        <f t="shared" si="7"/>
      </c>
      <c r="B250" s="56">
        <f t="shared" si="8"/>
      </c>
      <c r="C250" s="79">
        <f t="shared" si="0"/>
      </c>
      <c r="D250" s="53">
        <f t="shared" si="1"/>
      </c>
      <c r="E250" s="53">
        <f t="shared" si="2"/>
      </c>
      <c r="F250" s="53">
        <f t="shared" si="3"/>
      </c>
      <c r="G250" s="53">
        <f t="shared" si="4"/>
      </c>
      <c r="H250" s="59">
        <f t="shared" si="5"/>
      </c>
      <c r="I250" s="56">
        <f t="shared" si="6"/>
      </c>
      <c r="J250" s="56">
        <f t="shared" si="9"/>
      </c>
      <c r="L250" s="46">
        <f t="shared" si="10"/>
      </c>
      <c r="M250" s="80">
        <f t="shared" si="11"/>
      </c>
      <c r="S250" s="22">
        <f>IFERROR(SMALL(资金台帐!$BA$6:$BA$3005,43),"")</f>
      </c>
      <c r="T250" s="22">
        <f>IFERROR(SMALL($S$8:$S$507,243),"")</f>
      </c>
      <c r="U250" s="22">
        <f t="shared" si="12"/>
      </c>
      <c r="V250" s="22">
        <f t="shared" si="13"/>
      </c>
      <c r="W250" s="22">
        <f t="shared" si="14"/>
      </c>
    </row>
    <row r="251">
      <c r="A251" s="60">
        <f t="shared" si="7"/>
      </c>
      <c r="B251" s="56">
        <f t="shared" si="8"/>
      </c>
      <c r="C251" s="79">
        <f t="shared" si="0"/>
      </c>
      <c r="D251" s="53">
        <f t="shared" si="1"/>
      </c>
      <c r="E251" s="53">
        <f t="shared" si="2"/>
      </c>
      <c r="F251" s="53">
        <f t="shared" si="3"/>
      </c>
      <c r="G251" s="53">
        <f t="shared" si="4"/>
      </c>
      <c r="H251" s="59">
        <f t="shared" si="5"/>
      </c>
      <c r="I251" s="56">
        <f t="shared" si="6"/>
      </c>
      <c r="J251" s="56">
        <f t="shared" si="9"/>
      </c>
      <c r="L251" s="46">
        <f t="shared" si="10"/>
      </c>
      <c r="M251" s="80">
        <f t="shared" si="11"/>
      </c>
      <c r="S251" s="22">
        <f>IFERROR(SMALL(资金台帐!$BA$6:$BA$3005,44),"")</f>
      </c>
      <c r="T251" s="22">
        <f>IFERROR(SMALL($S$8:$S$507,244),"")</f>
      </c>
      <c r="U251" s="22">
        <f t="shared" si="12"/>
      </c>
      <c r="V251" s="22">
        <f t="shared" si="13"/>
      </c>
      <c r="W251" s="22">
        <f t="shared" si="14"/>
      </c>
    </row>
    <row r="252">
      <c r="A252" s="60">
        <f t="shared" si="7"/>
      </c>
      <c r="B252" s="56">
        <f t="shared" si="8"/>
      </c>
      <c r="C252" s="79">
        <f t="shared" si="0"/>
      </c>
      <c r="D252" s="53">
        <f t="shared" si="1"/>
      </c>
      <c r="E252" s="53">
        <f t="shared" si="2"/>
      </c>
      <c r="F252" s="53">
        <f t="shared" si="3"/>
      </c>
      <c r="G252" s="53">
        <f t="shared" si="4"/>
      </c>
      <c r="H252" s="59">
        <f t="shared" si="5"/>
      </c>
      <c r="I252" s="56">
        <f t="shared" si="6"/>
      </c>
      <c r="J252" s="56">
        <f t="shared" si="9"/>
      </c>
      <c r="L252" s="46">
        <f t="shared" si="10"/>
      </c>
      <c r="M252" s="80">
        <f t="shared" si="11"/>
      </c>
      <c r="S252" s="22">
        <f>IFERROR(SMALL(资金台帐!$BA$6:$BA$3005,45),"")</f>
      </c>
      <c r="T252" s="22">
        <f>IFERROR(SMALL($S$8:$S$507,245),"")</f>
      </c>
      <c r="U252" s="22">
        <f t="shared" si="12"/>
      </c>
      <c r="V252" s="22">
        <f t="shared" si="13"/>
      </c>
      <c r="W252" s="22">
        <f t="shared" si="14"/>
      </c>
    </row>
    <row r="253">
      <c r="A253" s="60">
        <f t="shared" si="7"/>
      </c>
      <c r="B253" s="56">
        <f t="shared" si="8"/>
      </c>
      <c r="C253" s="79">
        <f t="shared" si="0"/>
      </c>
      <c r="D253" s="53">
        <f t="shared" si="1"/>
      </c>
      <c r="E253" s="53">
        <f t="shared" si="2"/>
      </c>
      <c r="F253" s="53">
        <f t="shared" si="3"/>
      </c>
      <c r="G253" s="53">
        <f t="shared" si="4"/>
      </c>
      <c r="H253" s="59">
        <f t="shared" si="5"/>
      </c>
      <c r="I253" s="56">
        <f t="shared" si="6"/>
      </c>
      <c r="J253" s="56">
        <f t="shared" si="9"/>
      </c>
      <c r="L253" s="46">
        <f t="shared" si="10"/>
      </c>
      <c r="M253" s="80">
        <f t="shared" si="11"/>
      </c>
      <c r="S253" s="22">
        <f>IFERROR(SMALL(资金台帐!$BA$6:$BA$3005,46),"")</f>
      </c>
      <c r="T253" s="22">
        <f>IFERROR(SMALL($S$8:$S$507,246),"")</f>
      </c>
      <c r="U253" s="22">
        <f t="shared" si="12"/>
      </c>
      <c r="V253" s="22">
        <f t="shared" si="13"/>
      </c>
      <c r="W253" s="22">
        <f t="shared" si="14"/>
      </c>
    </row>
    <row r="254">
      <c r="A254" s="60">
        <f t="shared" si="7"/>
      </c>
      <c r="B254" s="56">
        <f t="shared" si="8"/>
      </c>
      <c r="C254" s="79">
        <f t="shared" si="0"/>
      </c>
      <c r="D254" s="53">
        <f t="shared" si="1"/>
      </c>
      <c r="E254" s="53">
        <f t="shared" si="2"/>
      </c>
      <c r="F254" s="53">
        <f t="shared" si="3"/>
      </c>
      <c r="G254" s="53">
        <f t="shared" si="4"/>
      </c>
      <c r="H254" s="59">
        <f t="shared" si="5"/>
      </c>
      <c r="I254" s="56">
        <f t="shared" si="6"/>
      </c>
      <c r="J254" s="56">
        <f t="shared" si="9"/>
      </c>
      <c r="L254" s="46">
        <f t="shared" si="10"/>
      </c>
      <c r="M254" s="80">
        <f t="shared" si="11"/>
      </c>
      <c r="S254" s="22">
        <f>IFERROR(SMALL(资金台帐!$BA$6:$BA$3005,47),"")</f>
      </c>
      <c r="T254" s="22">
        <f>IFERROR(SMALL($S$8:$S$507,247),"")</f>
      </c>
      <c r="U254" s="22">
        <f t="shared" si="12"/>
      </c>
      <c r="V254" s="22">
        <f t="shared" si="13"/>
      </c>
      <c r="W254" s="22">
        <f t="shared" si="14"/>
      </c>
    </row>
    <row r="255">
      <c r="A255" s="60">
        <f t="shared" si="7"/>
      </c>
      <c r="B255" s="56">
        <f t="shared" si="8"/>
      </c>
      <c r="C255" s="79">
        <f t="shared" si="0"/>
      </c>
      <c r="D255" s="53">
        <f t="shared" si="1"/>
      </c>
      <c r="E255" s="53">
        <f t="shared" si="2"/>
      </c>
      <c r="F255" s="53">
        <f t="shared" si="3"/>
      </c>
      <c r="G255" s="53">
        <f t="shared" si="4"/>
      </c>
      <c r="H255" s="59">
        <f t="shared" si="5"/>
      </c>
      <c r="I255" s="56">
        <f t="shared" si="6"/>
      </c>
      <c r="J255" s="56">
        <f t="shared" si="9"/>
      </c>
      <c r="L255" s="46">
        <f t="shared" si="10"/>
      </c>
      <c r="M255" s="80">
        <f t="shared" si="11"/>
      </c>
      <c r="S255" s="22">
        <f>IFERROR(SMALL(资金台帐!$BA$6:$BA$3005,48),"")</f>
      </c>
      <c r="T255" s="22">
        <f>IFERROR(SMALL($S$8:$S$507,248),"")</f>
      </c>
      <c r="U255" s="22">
        <f t="shared" si="12"/>
      </c>
      <c r="V255" s="22">
        <f t="shared" si="13"/>
      </c>
      <c r="W255" s="22">
        <f t="shared" si="14"/>
      </c>
    </row>
    <row r="256">
      <c r="A256" s="60">
        <f t="shared" si="7"/>
      </c>
      <c r="B256" s="56">
        <f t="shared" si="8"/>
      </c>
      <c r="C256" s="79">
        <f t="shared" si="0"/>
      </c>
      <c r="D256" s="53">
        <f t="shared" si="1"/>
      </c>
      <c r="E256" s="53">
        <f t="shared" si="2"/>
      </c>
      <c r="F256" s="53">
        <f t="shared" si="3"/>
      </c>
      <c r="G256" s="53">
        <f t="shared" si="4"/>
      </c>
      <c r="H256" s="59">
        <f t="shared" si="5"/>
      </c>
      <c r="I256" s="56">
        <f t="shared" si="6"/>
      </c>
      <c r="J256" s="56">
        <f t="shared" si="9"/>
      </c>
      <c r="L256" s="46">
        <f t="shared" si="10"/>
      </c>
      <c r="M256" s="80">
        <f t="shared" si="11"/>
      </c>
      <c r="S256" s="22">
        <f>IFERROR(SMALL(资金台帐!$BA$6:$BA$3005,49),"")</f>
      </c>
      <c r="T256" s="22">
        <f>IFERROR(SMALL($S$8:$S$507,249),"")</f>
      </c>
      <c r="U256" s="22">
        <f t="shared" si="12"/>
      </c>
      <c r="V256" s="22">
        <f t="shared" si="13"/>
      </c>
      <c r="W256" s="22">
        <f t="shared" si="14"/>
      </c>
    </row>
    <row r="257">
      <c r="A257" s="60">
        <f t="shared" si="7"/>
      </c>
      <c r="B257" s="56">
        <f t="shared" si="8"/>
      </c>
      <c r="C257" s="79">
        <f t="shared" si="0"/>
      </c>
      <c r="D257" s="53">
        <f t="shared" si="1"/>
      </c>
      <c r="E257" s="53">
        <f t="shared" si="2"/>
      </c>
      <c r="F257" s="53">
        <f t="shared" si="3"/>
      </c>
      <c r="G257" s="53">
        <f t="shared" si="4"/>
      </c>
      <c r="H257" s="59">
        <f t="shared" si="5"/>
      </c>
      <c r="I257" s="56">
        <f t="shared" si="6"/>
      </c>
      <c r="J257" s="56">
        <f t="shared" si="9"/>
      </c>
      <c r="L257" s="46">
        <f t="shared" si="10"/>
      </c>
      <c r="M257" s="80">
        <f t="shared" si="11"/>
      </c>
      <c r="S257" s="22">
        <f>IFERROR(SMALL(资金台帐!$BA$6:$BA$3005,50),"")</f>
      </c>
      <c r="T257" s="22">
        <f>IFERROR(SMALL($S$8:$S$507,250),"")</f>
      </c>
      <c r="U257" s="22">
        <f t="shared" si="12"/>
      </c>
      <c r="V257" s="22">
        <f t="shared" si="13"/>
      </c>
      <c r="W257" s="22">
        <f t="shared" si="14"/>
      </c>
    </row>
    <row r="258">
      <c r="A258" s="60">
        <f t="shared" si="7"/>
      </c>
      <c r="B258" s="56">
        <f t="shared" si="8"/>
      </c>
      <c r="C258" s="79">
        <f t="shared" si="0"/>
      </c>
      <c r="D258" s="53">
        <f t="shared" si="1"/>
      </c>
      <c r="E258" s="53">
        <f t="shared" si="2"/>
      </c>
      <c r="F258" s="53">
        <f t="shared" si="3"/>
      </c>
      <c r="G258" s="53">
        <f t="shared" si="4"/>
      </c>
      <c r="H258" s="59">
        <f t="shared" si="5"/>
      </c>
      <c r="I258" s="56">
        <f t="shared" si="6"/>
      </c>
      <c r="J258" s="56">
        <f t="shared" si="9"/>
      </c>
      <c r="L258" s="46">
        <f t="shared" si="10"/>
      </c>
      <c r="M258" s="80">
        <f t="shared" si="11"/>
      </c>
      <c r="S258" s="22">
        <f>IFERROR(SMALL(资金台帐!$BA$6:$BA$3005,51),"")</f>
      </c>
      <c r="T258" s="22">
        <f>IFERROR(SMALL($S$8:$S$507,251),"")</f>
      </c>
      <c r="U258" s="22">
        <f t="shared" si="12"/>
      </c>
      <c r="V258" s="22">
        <f t="shared" si="13"/>
      </c>
      <c r="W258" s="22">
        <f t="shared" si="14"/>
      </c>
    </row>
    <row r="259">
      <c r="A259" s="60">
        <f t="shared" si="7"/>
      </c>
      <c r="B259" s="56">
        <f t="shared" si="8"/>
      </c>
      <c r="C259" s="79">
        <f t="shared" si="0"/>
      </c>
      <c r="D259" s="53">
        <f t="shared" si="1"/>
      </c>
      <c r="E259" s="53">
        <f t="shared" si="2"/>
      </c>
      <c r="F259" s="53">
        <f t="shared" si="3"/>
      </c>
      <c r="G259" s="53">
        <f t="shared" si="4"/>
      </c>
      <c r="H259" s="59">
        <f t="shared" si="5"/>
      </c>
      <c r="I259" s="56">
        <f t="shared" si="6"/>
      </c>
      <c r="J259" s="56">
        <f t="shared" si="9"/>
      </c>
      <c r="L259" s="46">
        <f t="shared" si="10"/>
      </c>
      <c r="M259" s="80">
        <f t="shared" si="11"/>
      </c>
      <c r="S259" s="22">
        <f>IFERROR(SMALL(资金台帐!$BA$6:$BA$3005,52),"")</f>
      </c>
      <c r="T259" s="22">
        <f>IFERROR(SMALL($S$8:$S$507,252),"")</f>
      </c>
      <c r="U259" s="22">
        <f t="shared" si="12"/>
      </c>
      <c r="V259" s="22">
        <f t="shared" si="13"/>
      </c>
      <c r="W259" s="22">
        <f t="shared" si="14"/>
      </c>
    </row>
    <row r="260">
      <c r="A260" s="60">
        <f t="shared" si="7"/>
      </c>
      <c r="B260" s="56">
        <f t="shared" si="8"/>
      </c>
      <c r="C260" s="79">
        <f t="shared" si="0"/>
      </c>
      <c r="D260" s="53">
        <f t="shared" si="1"/>
      </c>
      <c r="E260" s="53">
        <f t="shared" si="2"/>
      </c>
      <c r="F260" s="53">
        <f t="shared" si="3"/>
      </c>
      <c r="G260" s="53">
        <f t="shared" si="4"/>
      </c>
      <c r="H260" s="59">
        <f t="shared" si="5"/>
      </c>
      <c r="I260" s="56">
        <f t="shared" si="6"/>
      </c>
      <c r="J260" s="56">
        <f t="shared" si="9"/>
      </c>
      <c r="L260" s="46">
        <f t="shared" si="10"/>
      </c>
      <c r="M260" s="80">
        <f t="shared" si="11"/>
      </c>
      <c r="S260" s="22">
        <f>IFERROR(SMALL(资金台帐!$BA$6:$BA$3005,53),"")</f>
      </c>
      <c r="T260" s="22">
        <f>IFERROR(SMALL($S$8:$S$507,253),"")</f>
      </c>
      <c r="U260" s="22">
        <f t="shared" si="12"/>
      </c>
      <c r="V260" s="22">
        <f t="shared" si="13"/>
      </c>
      <c r="W260" s="22">
        <f t="shared" si="14"/>
      </c>
    </row>
    <row r="261">
      <c r="A261" s="60">
        <f t="shared" si="7"/>
      </c>
      <c r="B261" s="56">
        <f t="shared" si="8"/>
      </c>
      <c r="C261" s="79">
        <f t="shared" si="0"/>
      </c>
      <c r="D261" s="53">
        <f t="shared" si="1"/>
      </c>
      <c r="E261" s="53">
        <f t="shared" si="2"/>
      </c>
      <c r="F261" s="53">
        <f t="shared" si="3"/>
      </c>
      <c r="G261" s="53">
        <f t="shared" si="4"/>
      </c>
      <c r="H261" s="59">
        <f t="shared" si="5"/>
      </c>
      <c r="I261" s="56">
        <f t="shared" si="6"/>
      </c>
      <c r="J261" s="56">
        <f t="shared" si="9"/>
      </c>
      <c r="L261" s="46">
        <f t="shared" si="10"/>
      </c>
      <c r="M261" s="80">
        <f t="shared" si="11"/>
      </c>
      <c r="S261" s="22">
        <f>IFERROR(SMALL(资金台帐!$BA$6:$BA$3005,54),"")</f>
      </c>
      <c r="T261" s="22">
        <f>IFERROR(SMALL($S$8:$S$507,254),"")</f>
      </c>
      <c r="U261" s="22">
        <f t="shared" si="12"/>
      </c>
      <c r="V261" s="22">
        <f t="shared" si="13"/>
      </c>
      <c r="W261" s="22">
        <f t="shared" si="14"/>
      </c>
    </row>
    <row r="262">
      <c r="A262" s="60">
        <f t="shared" si="7"/>
      </c>
      <c r="B262" s="56">
        <f t="shared" si="8"/>
      </c>
      <c r="C262" s="79">
        <f t="shared" si="0"/>
      </c>
      <c r="D262" s="53">
        <f t="shared" si="1"/>
      </c>
      <c r="E262" s="53">
        <f t="shared" si="2"/>
      </c>
      <c r="F262" s="53">
        <f t="shared" si="3"/>
      </c>
      <c r="G262" s="53">
        <f t="shared" si="4"/>
      </c>
      <c r="H262" s="59">
        <f t="shared" si="5"/>
      </c>
      <c r="I262" s="56">
        <f t="shared" si="6"/>
      </c>
      <c r="J262" s="56">
        <f t="shared" si="9"/>
      </c>
      <c r="L262" s="46">
        <f t="shared" si="10"/>
      </c>
      <c r="M262" s="80">
        <f t="shared" si="11"/>
      </c>
      <c r="S262" s="22">
        <f>IFERROR(SMALL(资金台帐!$BA$6:$BA$3005,55),"")</f>
      </c>
      <c r="T262" s="22">
        <f>IFERROR(SMALL($S$8:$S$507,255),"")</f>
      </c>
      <c r="U262" s="22">
        <f t="shared" si="12"/>
      </c>
      <c r="V262" s="22">
        <f t="shared" si="13"/>
      </c>
      <c r="W262" s="22">
        <f t="shared" si="14"/>
      </c>
    </row>
    <row r="263">
      <c r="A263" s="60">
        <f t="shared" si="7"/>
      </c>
      <c r="B263" s="56">
        <f t="shared" si="8"/>
      </c>
      <c r="C263" s="79">
        <f t="shared" si="0"/>
      </c>
      <c r="D263" s="53">
        <f t="shared" si="1"/>
      </c>
      <c r="E263" s="53">
        <f t="shared" si="2"/>
      </c>
      <c r="F263" s="53">
        <f t="shared" si="3"/>
      </c>
      <c r="G263" s="53">
        <f t="shared" si="4"/>
      </c>
      <c r="H263" s="59">
        <f t="shared" si="5"/>
      </c>
      <c r="I263" s="56">
        <f t="shared" si="6"/>
      </c>
      <c r="J263" s="56">
        <f t="shared" si="9"/>
      </c>
      <c r="L263" s="46">
        <f t="shared" si="10"/>
      </c>
      <c r="M263" s="80">
        <f t="shared" si="11"/>
      </c>
      <c r="S263" s="22">
        <f>IFERROR(SMALL(资金台帐!$BA$6:$BA$3005,56),"")</f>
      </c>
      <c r="T263" s="22">
        <f>IFERROR(SMALL($S$8:$S$507,256),"")</f>
      </c>
      <c r="U263" s="22">
        <f t="shared" si="12"/>
      </c>
      <c r="V263" s="22">
        <f t="shared" si="13"/>
      </c>
      <c r="W263" s="22">
        <f t="shared" si="14"/>
      </c>
    </row>
    <row r="264">
      <c r="A264" s="60">
        <f t="shared" si="7"/>
      </c>
      <c r="B264" s="56">
        <f t="shared" si="8"/>
      </c>
      <c r="C264" s="79">
        <f t="shared" si="0"/>
      </c>
      <c r="D264" s="53">
        <f t="shared" si="1"/>
      </c>
      <c r="E264" s="53">
        <f t="shared" si="2"/>
      </c>
      <c r="F264" s="53">
        <f t="shared" si="3"/>
      </c>
      <c r="G264" s="53">
        <f t="shared" si="4"/>
      </c>
      <c r="H264" s="59">
        <f t="shared" si="5"/>
      </c>
      <c r="I264" s="56">
        <f t="shared" si="6"/>
      </c>
      <c r="J264" s="56">
        <f t="shared" si="9"/>
      </c>
      <c r="L264" s="46">
        <f t="shared" si="10"/>
      </c>
      <c r="M264" s="80">
        <f t="shared" si="11"/>
      </c>
      <c r="S264" s="22">
        <f>IFERROR(SMALL(资金台帐!$BA$6:$BA$3005,57),"")</f>
      </c>
      <c r="T264" s="22">
        <f>IFERROR(SMALL($S$8:$S$507,257),"")</f>
      </c>
      <c r="U264" s="22">
        <f t="shared" si="12"/>
      </c>
      <c r="V264" s="22">
        <f t="shared" si="13"/>
      </c>
      <c r="W264" s="22">
        <f t="shared" si="14"/>
      </c>
    </row>
    <row r="265">
      <c r="A265" s="60">
        <f t="shared" si="7"/>
      </c>
      <c r="B265" s="56">
        <f t="shared" si="8"/>
      </c>
      <c r="C265" s="79">
        <f t="shared" si="0"/>
      </c>
      <c r="D265" s="53">
        <f t="shared" si="1"/>
      </c>
      <c r="E265" s="53">
        <f t="shared" si="2"/>
      </c>
      <c r="F265" s="53">
        <f t="shared" si="3"/>
      </c>
      <c r="G265" s="53">
        <f t="shared" si="4"/>
      </c>
      <c r="H265" s="59">
        <f t="shared" si="5"/>
      </c>
      <c r="I265" s="56">
        <f t="shared" si="6"/>
      </c>
      <c r="J265" s="56">
        <f t="shared" si="9"/>
      </c>
      <c r="L265" s="46">
        <f t="shared" si="10"/>
      </c>
      <c r="M265" s="80">
        <f t="shared" si="11"/>
      </c>
      <c r="S265" s="22">
        <f>IFERROR(SMALL(资金台帐!$BA$6:$BA$3005,58),"")</f>
      </c>
      <c r="T265" s="22">
        <f>IFERROR(SMALL($S$8:$S$507,258),"")</f>
      </c>
      <c r="U265" s="22">
        <f t="shared" si="12"/>
      </c>
      <c r="V265" s="22">
        <f t="shared" si="13"/>
      </c>
      <c r="W265" s="22">
        <f t="shared" si="14"/>
      </c>
    </row>
    <row r="266">
      <c r="A266" s="60">
        <f t="shared" si="7"/>
      </c>
      <c r="B266" s="56">
        <f t="shared" si="8"/>
      </c>
      <c r="C266" s="79">
        <f t="shared" si="0"/>
      </c>
      <c r="D266" s="53">
        <f t="shared" si="1"/>
      </c>
      <c r="E266" s="53">
        <f t="shared" si="2"/>
      </c>
      <c r="F266" s="53">
        <f t="shared" si="3"/>
      </c>
      <c r="G266" s="53">
        <f t="shared" si="4"/>
      </c>
      <c r="H266" s="59">
        <f t="shared" si="5"/>
      </c>
      <c r="I266" s="56">
        <f t="shared" si="6"/>
      </c>
      <c r="J266" s="56">
        <f t="shared" si="9"/>
      </c>
      <c r="L266" s="46">
        <f t="shared" si="10"/>
      </c>
      <c r="M266" s="80">
        <f t="shared" si="11"/>
      </c>
      <c r="S266" s="22">
        <f>IFERROR(SMALL(资金台帐!$BA$6:$BA$3005,59),"")</f>
      </c>
      <c r="T266" s="22">
        <f>IFERROR(SMALL($S$8:$S$507,259),"")</f>
      </c>
      <c r="U266" s="22">
        <f t="shared" si="12"/>
      </c>
      <c r="V266" s="22">
        <f t="shared" si="13"/>
      </c>
      <c r="W266" s="22">
        <f t="shared" si="14"/>
      </c>
    </row>
    <row r="267">
      <c r="A267" s="60">
        <f t="shared" si="7"/>
      </c>
      <c r="B267" s="56">
        <f t="shared" si="8"/>
      </c>
      <c r="C267" s="79">
        <f t="shared" si="0"/>
      </c>
      <c r="D267" s="53">
        <f t="shared" si="1"/>
      </c>
      <c r="E267" s="53">
        <f t="shared" si="2"/>
      </c>
      <c r="F267" s="53">
        <f t="shared" si="3"/>
      </c>
      <c r="G267" s="53">
        <f t="shared" si="4"/>
      </c>
      <c r="H267" s="59">
        <f t="shared" si="5"/>
      </c>
      <c r="I267" s="56">
        <f t="shared" si="6"/>
      </c>
      <c r="J267" s="56">
        <f t="shared" si="9"/>
      </c>
      <c r="L267" s="46">
        <f t="shared" si="10"/>
      </c>
      <c r="M267" s="80">
        <f t="shared" si="11"/>
      </c>
      <c r="S267" s="22">
        <f>IFERROR(SMALL(资金台帐!$BA$6:$BA$3005,60),"")</f>
      </c>
      <c r="T267" s="22">
        <f>IFERROR(SMALL($S$8:$S$507,260),"")</f>
      </c>
      <c r="U267" s="22">
        <f t="shared" si="12"/>
      </c>
      <c r="V267" s="22">
        <f t="shared" si="13"/>
      </c>
      <c r="W267" s="22">
        <f t="shared" si="14"/>
      </c>
    </row>
    <row r="268">
      <c r="A268" s="60">
        <f t="shared" si="7"/>
      </c>
      <c r="B268" s="56">
        <f t="shared" si="8"/>
      </c>
      <c r="C268" s="79">
        <f t="shared" si="0"/>
      </c>
      <c r="D268" s="53">
        <f t="shared" si="1"/>
      </c>
      <c r="E268" s="53">
        <f t="shared" si="2"/>
      </c>
      <c r="F268" s="53">
        <f t="shared" si="3"/>
      </c>
      <c r="G268" s="53">
        <f t="shared" si="4"/>
      </c>
      <c r="H268" s="59">
        <f t="shared" si="5"/>
      </c>
      <c r="I268" s="56">
        <f t="shared" si="6"/>
      </c>
      <c r="J268" s="56">
        <f t="shared" si="9"/>
      </c>
      <c r="L268" s="46">
        <f t="shared" si="10"/>
      </c>
      <c r="M268" s="80">
        <f t="shared" si="11"/>
      </c>
      <c r="S268" s="22">
        <f>IFERROR(SMALL(资金台帐!$BA$6:$BA$3005,61),"")</f>
      </c>
      <c r="T268" s="22">
        <f>IFERROR(SMALL($S$8:$S$507,261),"")</f>
      </c>
      <c r="U268" s="22">
        <f t="shared" si="12"/>
      </c>
      <c r="V268" s="22">
        <f t="shared" si="13"/>
      </c>
      <c r="W268" s="22">
        <f t="shared" si="14"/>
      </c>
    </row>
    <row r="269">
      <c r="A269" s="60">
        <f t="shared" si="7"/>
      </c>
      <c r="B269" s="56">
        <f t="shared" si="8"/>
      </c>
      <c r="C269" s="79">
        <f t="shared" si="0"/>
      </c>
      <c r="D269" s="53">
        <f t="shared" si="1"/>
      </c>
      <c r="E269" s="53">
        <f t="shared" si="2"/>
      </c>
      <c r="F269" s="53">
        <f t="shared" si="3"/>
      </c>
      <c r="G269" s="53">
        <f t="shared" si="4"/>
      </c>
      <c r="H269" s="59">
        <f t="shared" si="5"/>
      </c>
      <c r="I269" s="56">
        <f t="shared" si="6"/>
      </c>
      <c r="J269" s="56">
        <f t="shared" si="9"/>
      </c>
      <c r="L269" s="46">
        <f t="shared" si="10"/>
      </c>
      <c r="M269" s="80">
        <f t="shared" si="11"/>
      </c>
      <c r="S269" s="22">
        <f>IFERROR(SMALL(资金台帐!$BA$6:$BA$3005,62),"")</f>
      </c>
      <c r="T269" s="22">
        <f>IFERROR(SMALL($S$8:$S$507,262),"")</f>
      </c>
      <c r="U269" s="22">
        <f t="shared" si="12"/>
      </c>
      <c r="V269" s="22">
        <f t="shared" si="13"/>
      </c>
      <c r="W269" s="22">
        <f t="shared" si="14"/>
      </c>
    </row>
    <row r="270">
      <c r="A270" s="60">
        <f t="shared" si="7"/>
      </c>
      <c r="B270" s="56">
        <f t="shared" si="8"/>
      </c>
      <c r="C270" s="79">
        <f t="shared" si="0"/>
      </c>
      <c r="D270" s="53">
        <f t="shared" si="1"/>
      </c>
      <c r="E270" s="53">
        <f t="shared" si="2"/>
      </c>
      <c r="F270" s="53">
        <f t="shared" si="3"/>
      </c>
      <c r="G270" s="53">
        <f t="shared" si="4"/>
      </c>
      <c r="H270" s="59">
        <f t="shared" si="5"/>
      </c>
      <c r="I270" s="56">
        <f t="shared" si="6"/>
      </c>
      <c r="J270" s="56">
        <f t="shared" si="9"/>
      </c>
      <c r="L270" s="46">
        <f t="shared" si="10"/>
      </c>
      <c r="M270" s="80">
        <f t="shared" si="11"/>
      </c>
      <c r="S270" s="22">
        <f>IFERROR(SMALL(资金台帐!$BA$6:$BA$3005,63),"")</f>
      </c>
      <c r="T270" s="22">
        <f>IFERROR(SMALL($S$8:$S$507,263),"")</f>
      </c>
      <c r="U270" s="22">
        <f t="shared" si="12"/>
      </c>
      <c r="V270" s="22">
        <f t="shared" si="13"/>
      </c>
      <c r="W270" s="22">
        <f t="shared" si="14"/>
      </c>
    </row>
    <row r="271">
      <c r="A271" s="60">
        <f t="shared" si="7"/>
      </c>
      <c r="B271" s="56">
        <f t="shared" si="8"/>
      </c>
      <c r="C271" s="79">
        <f t="shared" si="0"/>
      </c>
      <c r="D271" s="53">
        <f t="shared" si="1"/>
      </c>
      <c r="E271" s="53">
        <f t="shared" si="2"/>
      </c>
      <c r="F271" s="53">
        <f t="shared" si="3"/>
      </c>
      <c r="G271" s="53">
        <f t="shared" si="4"/>
      </c>
      <c r="H271" s="59">
        <f t="shared" si="5"/>
      </c>
      <c r="I271" s="56">
        <f t="shared" si="6"/>
      </c>
      <c r="J271" s="56">
        <f t="shared" si="9"/>
      </c>
      <c r="L271" s="46">
        <f t="shared" si="10"/>
      </c>
      <c r="M271" s="80">
        <f t="shared" si="11"/>
      </c>
      <c r="S271" s="22">
        <f>IFERROR(SMALL(资金台帐!$BA$6:$BA$3005,64),"")</f>
      </c>
      <c r="T271" s="22">
        <f>IFERROR(SMALL($S$8:$S$507,264),"")</f>
      </c>
      <c r="U271" s="22">
        <f t="shared" si="12"/>
      </c>
      <c r="V271" s="22">
        <f t="shared" si="13"/>
      </c>
      <c r="W271" s="22">
        <f t="shared" si="14"/>
      </c>
    </row>
    <row r="272">
      <c r="A272" s="60">
        <f t="shared" si="7"/>
      </c>
      <c r="B272" s="56">
        <f t="shared" si="8"/>
      </c>
      <c r="C272" s="79">
        <f t="shared" si="0"/>
      </c>
      <c r="D272" s="53">
        <f t="shared" si="1"/>
      </c>
      <c r="E272" s="53">
        <f t="shared" si="2"/>
      </c>
      <c r="F272" s="53">
        <f t="shared" si="3"/>
      </c>
      <c r="G272" s="53">
        <f t="shared" si="4"/>
      </c>
      <c r="H272" s="59">
        <f t="shared" si="5"/>
      </c>
      <c r="I272" s="56">
        <f t="shared" si="6"/>
      </c>
      <c r="J272" s="56">
        <f t="shared" si="9"/>
      </c>
      <c r="L272" s="46">
        <f t="shared" si="10"/>
      </c>
      <c r="M272" s="80">
        <f t="shared" si="11"/>
      </c>
      <c r="S272" s="22">
        <f>IFERROR(SMALL(资金台帐!$BA$6:$BA$3005,65),"")</f>
      </c>
      <c r="T272" s="22">
        <f>IFERROR(SMALL($S$8:$S$507,265),"")</f>
      </c>
      <c r="U272" s="22">
        <f t="shared" si="12"/>
      </c>
      <c r="V272" s="22">
        <f t="shared" si="13"/>
      </c>
      <c r="W272" s="22">
        <f t="shared" si="14"/>
      </c>
    </row>
    <row r="273">
      <c r="A273" s="60">
        <f t="shared" si="7"/>
      </c>
      <c r="B273" s="56">
        <f t="shared" si="8"/>
      </c>
      <c r="C273" s="79">
        <f t="shared" si="0"/>
      </c>
      <c r="D273" s="53">
        <f t="shared" si="1"/>
      </c>
      <c r="E273" s="53">
        <f t="shared" si="2"/>
      </c>
      <c r="F273" s="53">
        <f t="shared" si="3"/>
      </c>
      <c r="G273" s="53">
        <f t="shared" si="4"/>
      </c>
      <c r="H273" s="59">
        <f t="shared" si="5"/>
      </c>
      <c r="I273" s="56">
        <f t="shared" si="6"/>
      </c>
      <c r="J273" s="56">
        <f t="shared" si="9"/>
      </c>
      <c r="L273" s="46">
        <f t="shared" si="10"/>
      </c>
      <c r="M273" s="80">
        <f t="shared" si="11"/>
      </c>
      <c r="S273" s="22">
        <f>IFERROR(SMALL(资金台帐!$BA$6:$BA$3005,66),"")</f>
      </c>
      <c r="T273" s="22">
        <f>IFERROR(SMALL($S$8:$S$507,266),"")</f>
      </c>
      <c r="U273" s="22">
        <f t="shared" si="12"/>
      </c>
      <c r="V273" s="22">
        <f t="shared" si="13"/>
      </c>
      <c r="W273" s="22">
        <f t="shared" si="14"/>
      </c>
    </row>
    <row r="274">
      <c r="A274" s="60">
        <f t="shared" si="7"/>
      </c>
      <c r="B274" s="56">
        <f t="shared" si="8"/>
      </c>
      <c r="C274" s="79">
        <f t="shared" si="0"/>
      </c>
      <c r="D274" s="53">
        <f t="shared" si="1"/>
      </c>
      <c r="E274" s="53">
        <f t="shared" si="2"/>
      </c>
      <c r="F274" s="53">
        <f t="shared" si="3"/>
      </c>
      <c r="G274" s="53">
        <f t="shared" si="4"/>
      </c>
      <c r="H274" s="59">
        <f t="shared" si="5"/>
      </c>
      <c r="I274" s="56">
        <f t="shared" si="6"/>
      </c>
      <c r="J274" s="56">
        <f t="shared" si="9"/>
      </c>
      <c r="L274" s="46">
        <f t="shared" si="10"/>
      </c>
      <c r="M274" s="80">
        <f t="shared" si="11"/>
      </c>
      <c r="S274" s="22">
        <f>IFERROR(SMALL(资金台帐!$BA$6:$BA$3005,67),"")</f>
      </c>
      <c r="T274" s="22">
        <f>IFERROR(SMALL($S$8:$S$507,267),"")</f>
      </c>
      <c r="U274" s="22">
        <f t="shared" si="12"/>
      </c>
      <c r="V274" s="22">
        <f t="shared" si="13"/>
      </c>
      <c r="W274" s="22">
        <f t="shared" si="14"/>
      </c>
    </row>
    <row r="275">
      <c r="A275" s="60">
        <f t="shared" si="7"/>
      </c>
      <c r="B275" s="56">
        <f t="shared" si="8"/>
      </c>
      <c r="C275" s="79">
        <f t="shared" si="0"/>
      </c>
      <c r="D275" s="53">
        <f t="shared" si="1"/>
      </c>
      <c r="E275" s="53">
        <f t="shared" si="2"/>
      </c>
      <c r="F275" s="53">
        <f t="shared" si="3"/>
      </c>
      <c r="G275" s="53">
        <f t="shared" si="4"/>
      </c>
      <c r="H275" s="59">
        <f t="shared" si="5"/>
      </c>
      <c r="I275" s="56">
        <f t="shared" si="6"/>
      </c>
      <c r="J275" s="56">
        <f t="shared" si="9"/>
      </c>
      <c r="L275" s="46">
        <f t="shared" si="10"/>
      </c>
      <c r="M275" s="80">
        <f t="shared" si="11"/>
      </c>
      <c r="S275" s="22">
        <f>IFERROR(SMALL(资金台帐!$BA$6:$BA$3005,68),"")</f>
      </c>
      <c r="T275" s="22">
        <f>IFERROR(SMALL($S$8:$S$507,268),"")</f>
      </c>
      <c r="U275" s="22">
        <f t="shared" si="12"/>
      </c>
      <c r="V275" s="22">
        <f t="shared" si="13"/>
      </c>
      <c r="W275" s="22">
        <f t="shared" si="14"/>
      </c>
    </row>
    <row r="276">
      <c r="A276" s="60">
        <f t="shared" si="7"/>
      </c>
      <c r="B276" s="56">
        <f t="shared" si="8"/>
      </c>
      <c r="C276" s="79">
        <f t="shared" si="0"/>
      </c>
      <c r="D276" s="53">
        <f t="shared" si="1"/>
      </c>
      <c r="E276" s="53">
        <f t="shared" si="2"/>
      </c>
      <c r="F276" s="53">
        <f t="shared" si="3"/>
      </c>
      <c r="G276" s="53">
        <f t="shared" si="4"/>
      </c>
      <c r="H276" s="59">
        <f t="shared" si="5"/>
      </c>
      <c r="I276" s="56">
        <f t="shared" si="6"/>
      </c>
      <c r="J276" s="56">
        <f t="shared" si="9"/>
      </c>
      <c r="L276" s="46">
        <f t="shared" si="10"/>
      </c>
      <c r="M276" s="80">
        <f t="shared" si="11"/>
      </c>
      <c r="S276" s="22">
        <f>IFERROR(SMALL(资金台帐!$BA$6:$BA$3005,69),"")</f>
      </c>
      <c r="T276" s="22">
        <f>IFERROR(SMALL($S$8:$S$507,269),"")</f>
      </c>
      <c r="U276" s="22">
        <f t="shared" si="12"/>
      </c>
      <c r="V276" s="22">
        <f t="shared" si="13"/>
      </c>
      <c r="W276" s="22">
        <f t="shared" si="14"/>
      </c>
    </row>
    <row r="277">
      <c r="A277" s="60">
        <f t="shared" si="7"/>
      </c>
      <c r="B277" s="56">
        <f t="shared" si="8"/>
      </c>
      <c r="C277" s="79">
        <f t="shared" si="0"/>
      </c>
      <c r="D277" s="53">
        <f t="shared" si="1"/>
      </c>
      <c r="E277" s="53">
        <f t="shared" si="2"/>
      </c>
      <c r="F277" s="53">
        <f t="shared" si="3"/>
      </c>
      <c r="G277" s="53">
        <f t="shared" si="4"/>
      </c>
      <c r="H277" s="59">
        <f t="shared" si="5"/>
      </c>
      <c r="I277" s="56">
        <f t="shared" si="6"/>
      </c>
      <c r="J277" s="56">
        <f t="shared" si="9"/>
      </c>
      <c r="L277" s="46">
        <f t="shared" si="10"/>
      </c>
      <c r="M277" s="80">
        <f t="shared" si="11"/>
      </c>
      <c r="S277" s="22">
        <f>IFERROR(SMALL(资金台帐!$BA$6:$BA$3005,70),"")</f>
      </c>
      <c r="T277" s="22">
        <f>IFERROR(SMALL($S$8:$S$507,270),"")</f>
      </c>
      <c r="U277" s="22">
        <f t="shared" si="12"/>
      </c>
      <c r="V277" s="22">
        <f t="shared" si="13"/>
      </c>
      <c r="W277" s="22">
        <f t="shared" si="14"/>
      </c>
    </row>
    <row r="278">
      <c r="A278" s="60">
        <f t="shared" si="7"/>
      </c>
      <c r="B278" s="56">
        <f t="shared" si="8"/>
      </c>
      <c r="C278" s="79">
        <f t="shared" si="0"/>
      </c>
      <c r="D278" s="53">
        <f t="shared" si="1"/>
      </c>
      <c r="E278" s="53">
        <f t="shared" si="2"/>
      </c>
      <c r="F278" s="53">
        <f t="shared" si="3"/>
      </c>
      <c r="G278" s="53">
        <f t="shared" si="4"/>
      </c>
      <c r="H278" s="59">
        <f t="shared" si="5"/>
      </c>
      <c r="I278" s="56">
        <f t="shared" si="6"/>
      </c>
      <c r="J278" s="56">
        <f t="shared" si="9"/>
      </c>
      <c r="L278" s="46">
        <f t="shared" si="10"/>
      </c>
      <c r="M278" s="80">
        <f t="shared" si="11"/>
      </c>
      <c r="S278" s="22">
        <f>IFERROR(SMALL(资金台帐!$BA$6:$BA$3005,71),"")</f>
      </c>
      <c r="T278" s="22">
        <f>IFERROR(SMALL($S$8:$S$507,271),"")</f>
      </c>
      <c r="U278" s="22">
        <f t="shared" si="12"/>
      </c>
      <c r="V278" s="22">
        <f t="shared" si="13"/>
      </c>
      <c r="W278" s="22">
        <f t="shared" si="14"/>
      </c>
    </row>
    <row r="279">
      <c r="A279" s="60">
        <f t="shared" si="7"/>
      </c>
      <c r="B279" s="56">
        <f t="shared" si="8"/>
      </c>
      <c r="C279" s="79">
        <f t="shared" si="0"/>
      </c>
      <c r="D279" s="53">
        <f t="shared" si="1"/>
      </c>
      <c r="E279" s="53">
        <f t="shared" si="2"/>
      </c>
      <c r="F279" s="53">
        <f t="shared" si="3"/>
      </c>
      <c r="G279" s="53">
        <f t="shared" si="4"/>
      </c>
      <c r="H279" s="59">
        <f t="shared" si="5"/>
      </c>
      <c r="I279" s="56">
        <f t="shared" si="6"/>
      </c>
      <c r="J279" s="56">
        <f t="shared" si="9"/>
      </c>
      <c r="L279" s="46">
        <f t="shared" si="10"/>
      </c>
      <c r="M279" s="80">
        <f t="shared" si="11"/>
      </c>
      <c r="S279" s="22">
        <f>IFERROR(SMALL(资金台帐!$BA$6:$BA$3005,72),"")</f>
      </c>
      <c r="T279" s="22">
        <f>IFERROR(SMALL($S$8:$S$507,272),"")</f>
      </c>
      <c r="U279" s="22">
        <f t="shared" si="12"/>
      </c>
      <c r="V279" s="22">
        <f t="shared" si="13"/>
      </c>
      <c r="W279" s="22">
        <f t="shared" si="14"/>
      </c>
    </row>
    <row r="280">
      <c r="A280" s="60">
        <f t="shared" si="7"/>
      </c>
      <c r="B280" s="56">
        <f t="shared" si="8"/>
      </c>
      <c r="C280" s="79">
        <f t="shared" si="0"/>
      </c>
      <c r="D280" s="53">
        <f t="shared" si="1"/>
      </c>
      <c r="E280" s="53">
        <f t="shared" si="2"/>
      </c>
      <c r="F280" s="53">
        <f t="shared" si="3"/>
      </c>
      <c r="G280" s="53">
        <f t="shared" si="4"/>
      </c>
      <c r="H280" s="59">
        <f t="shared" si="5"/>
      </c>
      <c r="I280" s="56">
        <f t="shared" si="6"/>
      </c>
      <c r="J280" s="56">
        <f t="shared" si="9"/>
      </c>
      <c r="L280" s="46">
        <f t="shared" si="10"/>
      </c>
      <c r="M280" s="80">
        <f t="shared" si="11"/>
      </c>
      <c r="S280" s="22">
        <f>IFERROR(SMALL(资金台帐!$BA$6:$BA$3005,73),"")</f>
      </c>
      <c r="T280" s="22">
        <f>IFERROR(SMALL($S$8:$S$507,273),"")</f>
      </c>
      <c r="U280" s="22">
        <f t="shared" si="12"/>
      </c>
      <c r="V280" s="22">
        <f t="shared" si="13"/>
      </c>
      <c r="W280" s="22">
        <f t="shared" si="14"/>
      </c>
    </row>
    <row r="281">
      <c r="A281" s="60">
        <f t="shared" si="7"/>
      </c>
      <c r="B281" s="56">
        <f t="shared" si="8"/>
      </c>
      <c r="C281" s="79">
        <f t="shared" si="0"/>
      </c>
      <c r="D281" s="53">
        <f t="shared" si="1"/>
      </c>
      <c r="E281" s="53">
        <f t="shared" si="2"/>
      </c>
      <c r="F281" s="53">
        <f t="shared" si="3"/>
      </c>
      <c r="G281" s="53">
        <f t="shared" si="4"/>
      </c>
      <c r="H281" s="59">
        <f t="shared" si="5"/>
      </c>
      <c r="I281" s="56">
        <f t="shared" si="6"/>
      </c>
      <c r="J281" s="56">
        <f t="shared" si="9"/>
      </c>
      <c r="L281" s="46">
        <f t="shared" si="10"/>
      </c>
      <c r="M281" s="80">
        <f t="shared" si="11"/>
      </c>
      <c r="S281" s="22">
        <f>IFERROR(SMALL(资金台帐!$BA$6:$BA$3005,74),"")</f>
      </c>
      <c r="T281" s="22">
        <f>IFERROR(SMALL($S$8:$S$507,274),"")</f>
      </c>
      <c r="U281" s="22">
        <f t="shared" si="12"/>
      </c>
      <c r="V281" s="22">
        <f t="shared" si="13"/>
      </c>
      <c r="W281" s="22">
        <f t="shared" si="14"/>
      </c>
    </row>
    <row r="282">
      <c r="A282" s="60">
        <f t="shared" si="7"/>
      </c>
      <c r="B282" s="56">
        <f t="shared" si="8"/>
      </c>
      <c r="C282" s="79">
        <f t="shared" si="0"/>
      </c>
      <c r="D282" s="53">
        <f t="shared" si="1"/>
      </c>
      <c r="E282" s="53">
        <f t="shared" si="2"/>
      </c>
      <c r="F282" s="53">
        <f t="shared" si="3"/>
      </c>
      <c r="G282" s="53">
        <f t="shared" si="4"/>
      </c>
      <c r="H282" s="59">
        <f t="shared" si="5"/>
      </c>
      <c r="I282" s="56">
        <f t="shared" si="6"/>
      </c>
      <c r="J282" s="56">
        <f t="shared" si="9"/>
      </c>
      <c r="L282" s="46">
        <f t="shared" si="10"/>
      </c>
      <c r="M282" s="80">
        <f t="shared" si="11"/>
      </c>
      <c r="S282" s="22">
        <f>IFERROR(SMALL(资金台帐!$BA$6:$BA$3005,75),"")</f>
      </c>
      <c r="T282" s="22">
        <f>IFERROR(SMALL($S$8:$S$507,275),"")</f>
      </c>
      <c r="U282" s="22">
        <f t="shared" si="12"/>
      </c>
      <c r="V282" s="22">
        <f t="shared" si="13"/>
      </c>
      <c r="W282" s="22">
        <f t="shared" si="14"/>
      </c>
    </row>
    <row r="283">
      <c r="A283" s="60">
        <f t="shared" si="7"/>
      </c>
      <c r="B283" s="56">
        <f t="shared" si="8"/>
      </c>
      <c r="C283" s="79">
        <f t="shared" si="0"/>
      </c>
      <c r="D283" s="53">
        <f t="shared" si="1"/>
      </c>
      <c r="E283" s="53">
        <f t="shared" si="2"/>
      </c>
      <c r="F283" s="53">
        <f t="shared" si="3"/>
      </c>
      <c r="G283" s="53">
        <f t="shared" si="4"/>
      </c>
      <c r="H283" s="59">
        <f t="shared" si="5"/>
      </c>
      <c r="I283" s="56">
        <f t="shared" si="6"/>
      </c>
      <c r="J283" s="56">
        <f t="shared" si="9"/>
      </c>
      <c r="L283" s="46">
        <f t="shared" si="10"/>
      </c>
      <c r="M283" s="80">
        <f t="shared" si="11"/>
      </c>
      <c r="S283" s="22">
        <f>IFERROR(SMALL(资金台帐!$BA$6:$BA$3005,76),"")</f>
      </c>
      <c r="T283" s="22">
        <f>IFERROR(SMALL($S$8:$S$507,276),"")</f>
      </c>
      <c r="U283" s="22">
        <f t="shared" si="12"/>
      </c>
      <c r="V283" s="22">
        <f t="shared" si="13"/>
      </c>
      <c r="W283" s="22">
        <f t="shared" si="14"/>
      </c>
    </row>
    <row r="284">
      <c r="A284" s="60">
        <f t="shared" si="7"/>
      </c>
      <c r="B284" s="56">
        <f t="shared" si="8"/>
      </c>
      <c r="C284" s="79">
        <f t="shared" si="0"/>
      </c>
      <c r="D284" s="53">
        <f t="shared" si="1"/>
      </c>
      <c r="E284" s="53">
        <f t="shared" si="2"/>
      </c>
      <c r="F284" s="53">
        <f t="shared" si="3"/>
      </c>
      <c r="G284" s="53">
        <f t="shared" si="4"/>
      </c>
      <c r="H284" s="59">
        <f t="shared" si="5"/>
      </c>
      <c r="I284" s="56">
        <f t="shared" si="6"/>
      </c>
      <c r="J284" s="56">
        <f t="shared" si="9"/>
      </c>
      <c r="L284" s="46">
        <f t="shared" si="10"/>
      </c>
      <c r="M284" s="80">
        <f t="shared" si="11"/>
      </c>
      <c r="S284" s="22">
        <f>IFERROR(SMALL(资金台帐!$BA$6:$BA$3005,77),"")</f>
      </c>
      <c r="T284" s="22">
        <f>IFERROR(SMALL($S$8:$S$507,277),"")</f>
      </c>
      <c r="U284" s="22">
        <f t="shared" si="12"/>
      </c>
      <c r="V284" s="22">
        <f t="shared" si="13"/>
      </c>
      <c r="W284" s="22">
        <f t="shared" si="14"/>
      </c>
    </row>
    <row r="285">
      <c r="A285" s="60">
        <f t="shared" si="7"/>
      </c>
      <c r="B285" s="56">
        <f t="shared" si="8"/>
      </c>
      <c r="C285" s="79">
        <f t="shared" si="0"/>
      </c>
      <c r="D285" s="53">
        <f t="shared" si="1"/>
      </c>
      <c r="E285" s="53">
        <f t="shared" si="2"/>
      </c>
      <c r="F285" s="53">
        <f t="shared" si="3"/>
      </c>
      <c r="G285" s="53">
        <f t="shared" si="4"/>
      </c>
      <c r="H285" s="59">
        <f t="shared" si="5"/>
      </c>
      <c r="I285" s="56">
        <f t="shared" si="6"/>
      </c>
      <c r="J285" s="56">
        <f t="shared" si="9"/>
      </c>
      <c r="L285" s="46">
        <f t="shared" si="10"/>
      </c>
      <c r="M285" s="80">
        <f t="shared" si="11"/>
      </c>
      <c r="S285" s="22">
        <f>IFERROR(SMALL(资金台帐!$BA$6:$BA$3005,78),"")</f>
      </c>
      <c r="T285" s="22">
        <f>IFERROR(SMALL($S$8:$S$507,278),"")</f>
      </c>
      <c r="U285" s="22">
        <f t="shared" si="12"/>
      </c>
      <c r="V285" s="22">
        <f t="shared" si="13"/>
      </c>
      <c r="W285" s="22">
        <f t="shared" si="14"/>
      </c>
    </row>
    <row r="286">
      <c r="A286" s="60">
        <f t="shared" si="7"/>
      </c>
      <c r="B286" s="56">
        <f t="shared" si="8"/>
      </c>
      <c r="C286" s="79">
        <f t="shared" si="0"/>
      </c>
      <c r="D286" s="53">
        <f t="shared" si="1"/>
      </c>
      <c r="E286" s="53">
        <f t="shared" si="2"/>
      </c>
      <c r="F286" s="53">
        <f t="shared" si="3"/>
      </c>
      <c r="G286" s="53">
        <f t="shared" si="4"/>
      </c>
      <c r="H286" s="59">
        <f t="shared" si="5"/>
      </c>
      <c r="I286" s="56">
        <f t="shared" si="6"/>
      </c>
      <c r="J286" s="56">
        <f t="shared" si="9"/>
      </c>
      <c r="L286" s="46">
        <f t="shared" si="10"/>
      </c>
      <c r="M286" s="80">
        <f t="shared" si="11"/>
      </c>
      <c r="S286" s="22">
        <f>IFERROR(SMALL(资金台帐!$BA$6:$BA$3005,79),"")</f>
      </c>
      <c r="T286" s="22">
        <f>IFERROR(SMALL($S$8:$S$507,279),"")</f>
      </c>
      <c r="U286" s="22">
        <f t="shared" si="12"/>
      </c>
      <c r="V286" s="22">
        <f t="shared" si="13"/>
      </c>
      <c r="W286" s="22">
        <f t="shared" si="14"/>
      </c>
    </row>
    <row r="287">
      <c r="A287" s="60">
        <f t="shared" si="7"/>
      </c>
      <c r="B287" s="56">
        <f t="shared" si="8"/>
      </c>
      <c r="C287" s="79">
        <f t="shared" si="0"/>
      </c>
      <c r="D287" s="53">
        <f t="shared" si="1"/>
      </c>
      <c r="E287" s="53">
        <f t="shared" si="2"/>
      </c>
      <c r="F287" s="53">
        <f t="shared" si="3"/>
      </c>
      <c r="G287" s="53">
        <f t="shared" si="4"/>
      </c>
      <c r="H287" s="59">
        <f t="shared" si="5"/>
      </c>
      <c r="I287" s="56">
        <f t="shared" si="6"/>
      </c>
      <c r="J287" s="56">
        <f t="shared" si="9"/>
      </c>
      <c r="L287" s="46">
        <f t="shared" si="10"/>
      </c>
      <c r="M287" s="80">
        <f t="shared" si="11"/>
      </c>
      <c r="S287" s="22">
        <f>IFERROR(SMALL(资金台帐!$BA$6:$BA$3005,80),"")</f>
      </c>
      <c r="T287" s="22">
        <f>IFERROR(SMALL($S$8:$S$507,280),"")</f>
      </c>
      <c r="U287" s="22">
        <f t="shared" si="12"/>
      </c>
      <c r="V287" s="22">
        <f t="shared" si="13"/>
      </c>
      <c r="W287" s="22">
        <f t="shared" si="14"/>
      </c>
    </row>
    <row r="288">
      <c r="A288" s="60">
        <f t="shared" si="7"/>
      </c>
      <c r="B288" s="56">
        <f t="shared" si="8"/>
      </c>
      <c r="C288" s="79">
        <f t="shared" si="0"/>
      </c>
      <c r="D288" s="53">
        <f t="shared" si="1"/>
      </c>
      <c r="E288" s="53">
        <f t="shared" si="2"/>
      </c>
      <c r="F288" s="53">
        <f t="shared" si="3"/>
      </c>
      <c r="G288" s="53">
        <f t="shared" si="4"/>
      </c>
      <c r="H288" s="59">
        <f t="shared" si="5"/>
      </c>
      <c r="I288" s="56">
        <f t="shared" si="6"/>
      </c>
      <c r="J288" s="56">
        <f t="shared" si="9"/>
      </c>
      <c r="L288" s="46">
        <f t="shared" si="10"/>
      </c>
      <c r="M288" s="80">
        <f t="shared" si="11"/>
      </c>
      <c r="S288" s="22">
        <f>IFERROR(SMALL(资金台帐!$BA$6:$BA$3005,81),"")</f>
      </c>
      <c r="T288" s="22">
        <f>IFERROR(SMALL($S$8:$S$507,281),"")</f>
      </c>
      <c r="U288" s="22">
        <f t="shared" si="12"/>
      </c>
      <c r="V288" s="22">
        <f t="shared" si="13"/>
      </c>
      <c r="W288" s="22">
        <f t="shared" si="14"/>
      </c>
    </row>
    <row r="289">
      <c r="A289" s="60">
        <f t="shared" si="7"/>
      </c>
      <c r="B289" s="56">
        <f t="shared" si="8"/>
      </c>
      <c r="C289" s="79">
        <f t="shared" si="0"/>
      </c>
      <c r="D289" s="53">
        <f t="shared" si="1"/>
      </c>
      <c r="E289" s="53">
        <f t="shared" si="2"/>
      </c>
      <c r="F289" s="53">
        <f t="shared" si="3"/>
      </c>
      <c r="G289" s="53">
        <f t="shared" si="4"/>
      </c>
      <c r="H289" s="59">
        <f t="shared" si="5"/>
      </c>
      <c r="I289" s="56">
        <f t="shared" si="6"/>
      </c>
      <c r="J289" s="56">
        <f t="shared" si="9"/>
      </c>
      <c r="L289" s="46">
        <f t="shared" si="10"/>
      </c>
      <c r="M289" s="80">
        <f t="shared" si="11"/>
      </c>
      <c r="S289" s="22">
        <f>IFERROR(SMALL(资金台帐!$BA$6:$BA$3005,82),"")</f>
      </c>
      <c r="T289" s="22">
        <f>IFERROR(SMALL($S$8:$S$507,282),"")</f>
      </c>
      <c r="U289" s="22">
        <f t="shared" si="12"/>
      </c>
      <c r="V289" s="22">
        <f t="shared" si="13"/>
      </c>
      <c r="W289" s="22">
        <f t="shared" si="14"/>
      </c>
    </row>
    <row r="290">
      <c r="A290" s="60">
        <f t="shared" si="7"/>
      </c>
      <c r="B290" s="56">
        <f t="shared" si="8"/>
      </c>
      <c r="C290" s="79">
        <f t="shared" si="0"/>
      </c>
      <c r="D290" s="53">
        <f t="shared" si="1"/>
      </c>
      <c r="E290" s="53">
        <f t="shared" si="2"/>
      </c>
      <c r="F290" s="53">
        <f t="shared" si="3"/>
      </c>
      <c r="G290" s="53">
        <f t="shared" si="4"/>
      </c>
      <c r="H290" s="59">
        <f t="shared" si="5"/>
      </c>
      <c r="I290" s="56">
        <f t="shared" si="6"/>
      </c>
      <c r="J290" s="56">
        <f t="shared" si="9"/>
      </c>
      <c r="L290" s="46">
        <f t="shared" si="10"/>
      </c>
      <c r="M290" s="80">
        <f t="shared" si="11"/>
      </c>
      <c r="S290" s="22">
        <f>IFERROR(SMALL(资金台帐!$BA$6:$BA$3005,83),"")</f>
      </c>
      <c r="T290" s="22">
        <f>IFERROR(SMALL($S$8:$S$507,283),"")</f>
      </c>
      <c r="U290" s="22">
        <f t="shared" si="12"/>
      </c>
      <c r="V290" s="22">
        <f t="shared" si="13"/>
      </c>
      <c r="W290" s="22">
        <f t="shared" si="14"/>
      </c>
    </row>
    <row r="291">
      <c r="A291" s="60">
        <f t="shared" si="7"/>
      </c>
      <c r="B291" s="56">
        <f t="shared" si="8"/>
      </c>
      <c r="C291" s="79">
        <f t="shared" si="0"/>
      </c>
      <c r="D291" s="53">
        <f t="shared" si="1"/>
      </c>
      <c r="E291" s="53">
        <f t="shared" si="2"/>
      </c>
      <c r="F291" s="53">
        <f t="shared" si="3"/>
      </c>
      <c r="G291" s="53">
        <f t="shared" si="4"/>
      </c>
      <c r="H291" s="59">
        <f t="shared" si="5"/>
      </c>
      <c r="I291" s="56">
        <f t="shared" si="6"/>
      </c>
      <c r="J291" s="56">
        <f t="shared" si="9"/>
      </c>
      <c r="L291" s="46">
        <f t="shared" si="10"/>
      </c>
      <c r="M291" s="80">
        <f t="shared" si="11"/>
      </c>
      <c r="S291" s="22">
        <f>IFERROR(SMALL(资金台帐!$BA$6:$BA$3005,84),"")</f>
      </c>
      <c r="T291" s="22">
        <f>IFERROR(SMALL($S$8:$S$507,284),"")</f>
      </c>
      <c r="U291" s="22">
        <f t="shared" si="12"/>
      </c>
      <c r="V291" s="22">
        <f t="shared" si="13"/>
      </c>
      <c r="W291" s="22">
        <f t="shared" si="14"/>
      </c>
    </row>
    <row r="292">
      <c r="A292" s="60">
        <f t="shared" si="7"/>
      </c>
      <c r="B292" s="56">
        <f t="shared" si="8"/>
      </c>
      <c r="C292" s="79">
        <f t="shared" si="0"/>
      </c>
      <c r="D292" s="53">
        <f t="shared" si="1"/>
      </c>
      <c r="E292" s="53">
        <f t="shared" si="2"/>
      </c>
      <c r="F292" s="53">
        <f t="shared" si="3"/>
      </c>
      <c r="G292" s="53">
        <f t="shared" si="4"/>
      </c>
      <c r="H292" s="59">
        <f t="shared" si="5"/>
      </c>
      <c r="I292" s="56">
        <f t="shared" si="6"/>
      </c>
      <c r="J292" s="56">
        <f t="shared" si="9"/>
      </c>
      <c r="L292" s="46">
        <f t="shared" si="10"/>
      </c>
      <c r="M292" s="80">
        <f t="shared" si="11"/>
      </c>
      <c r="S292" s="22">
        <f>IFERROR(SMALL(资金台帐!$BA$6:$BA$3005,85),"")</f>
      </c>
      <c r="T292" s="22">
        <f>IFERROR(SMALL($S$8:$S$507,285),"")</f>
      </c>
      <c r="U292" s="22">
        <f t="shared" si="12"/>
      </c>
      <c r="V292" s="22">
        <f t="shared" si="13"/>
      </c>
      <c r="W292" s="22">
        <f t="shared" si="14"/>
      </c>
    </row>
    <row r="293">
      <c r="A293" s="60">
        <f t="shared" si="7"/>
      </c>
      <c r="B293" s="56">
        <f t="shared" si="8"/>
      </c>
      <c r="C293" s="79">
        <f t="shared" si="0"/>
      </c>
      <c r="D293" s="53">
        <f t="shared" si="1"/>
      </c>
      <c r="E293" s="53">
        <f t="shared" si="2"/>
      </c>
      <c r="F293" s="53">
        <f t="shared" si="3"/>
      </c>
      <c r="G293" s="53">
        <f t="shared" si="4"/>
      </c>
      <c r="H293" s="59">
        <f t="shared" si="5"/>
      </c>
      <c r="I293" s="56">
        <f t="shared" si="6"/>
      </c>
      <c r="J293" s="56">
        <f t="shared" si="9"/>
      </c>
      <c r="L293" s="46">
        <f t="shared" si="10"/>
      </c>
      <c r="M293" s="80">
        <f t="shared" si="11"/>
      </c>
      <c r="S293" s="22">
        <f>IFERROR(SMALL(资金台帐!$BA$6:$BA$3005,86),"")</f>
      </c>
      <c r="T293" s="22">
        <f>IFERROR(SMALL($S$8:$S$507,286),"")</f>
      </c>
      <c r="U293" s="22">
        <f t="shared" si="12"/>
      </c>
      <c r="V293" s="22">
        <f t="shared" si="13"/>
      </c>
      <c r="W293" s="22">
        <f t="shared" si="14"/>
      </c>
    </row>
    <row r="294">
      <c r="A294" s="60">
        <f t="shared" si="7"/>
      </c>
      <c r="B294" s="56">
        <f t="shared" si="8"/>
      </c>
      <c r="C294" s="79">
        <f t="shared" si="0"/>
      </c>
      <c r="D294" s="53">
        <f t="shared" si="1"/>
      </c>
      <c r="E294" s="53">
        <f t="shared" si="2"/>
      </c>
      <c r="F294" s="53">
        <f t="shared" si="3"/>
      </c>
      <c r="G294" s="53">
        <f t="shared" si="4"/>
      </c>
      <c r="H294" s="59">
        <f t="shared" si="5"/>
      </c>
      <c r="I294" s="56">
        <f t="shared" si="6"/>
      </c>
      <c r="J294" s="56">
        <f t="shared" si="9"/>
      </c>
      <c r="L294" s="46">
        <f t="shared" si="10"/>
      </c>
      <c r="M294" s="80">
        <f t="shared" si="11"/>
      </c>
      <c r="S294" s="22">
        <f>IFERROR(SMALL(资金台帐!$BA$6:$BA$3005,87),"")</f>
      </c>
      <c r="T294" s="22">
        <f>IFERROR(SMALL($S$8:$S$507,287),"")</f>
      </c>
      <c r="U294" s="22">
        <f t="shared" si="12"/>
      </c>
      <c r="V294" s="22">
        <f t="shared" si="13"/>
      </c>
      <c r="W294" s="22">
        <f t="shared" si="14"/>
      </c>
    </row>
    <row r="295">
      <c r="A295" s="60">
        <f t="shared" si="7"/>
      </c>
      <c r="B295" s="56">
        <f t="shared" si="8"/>
      </c>
      <c r="C295" s="79">
        <f t="shared" si="0"/>
      </c>
      <c r="D295" s="53">
        <f t="shared" si="1"/>
      </c>
      <c r="E295" s="53">
        <f t="shared" si="2"/>
      </c>
      <c r="F295" s="53">
        <f t="shared" si="3"/>
      </c>
      <c r="G295" s="53">
        <f t="shared" si="4"/>
      </c>
      <c r="H295" s="59">
        <f t="shared" si="5"/>
      </c>
      <c r="I295" s="56">
        <f t="shared" si="6"/>
      </c>
      <c r="J295" s="56">
        <f t="shared" si="9"/>
      </c>
      <c r="L295" s="46">
        <f t="shared" si="10"/>
      </c>
      <c r="M295" s="80">
        <f t="shared" si="11"/>
      </c>
      <c r="S295" s="22">
        <f>IFERROR(SMALL(资金台帐!$BA$6:$BA$3005,88),"")</f>
      </c>
      <c r="T295" s="22">
        <f>IFERROR(SMALL($S$8:$S$507,288),"")</f>
      </c>
      <c r="U295" s="22">
        <f t="shared" si="12"/>
      </c>
      <c r="V295" s="22">
        <f t="shared" si="13"/>
      </c>
      <c r="W295" s="22">
        <f t="shared" si="14"/>
      </c>
    </row>
    <row r="296">
      <c r="A296" s="60">
        <f t="shared" si="7"/>
      </c>
      <c r="B296" s="56">
        <f t="shared" si="8"/>
      </c>
      <c r="C296" s="79">
        <f t="shared" si="0"/>
      </c>
      <c r="D296" s="53">
        <f t="shared" si="1"/>
      </c>
      <c r="E296" s="53">
        <f t="shared" si="2"/>
      </c>
      <c r="F296" s="53">
        <f t="shared" si="3"/>
      </c>
      <c r="G296" s="53">
        <f t="shared" si="4"/>
      </c>
      <c r="H296" s="59">
        <f t="shared" si="5"/>
      </c>
      <c r="I296" s="56">
        <f t="shared" si="6"/>
      </c>
      <c r="J296" s="56">
        <f t="shared" si="9"/>
      </c>
      <c r="L296" s="46">
        <f t="shared" si="10"/>
      </c>
      <c r="M296" s="80">
        <f t="shared" si="11"/>
      </c>
      <c r="S296" s="22">
        <f>IFERROR(SMALL(资金台帐!$BA$6:$BA$3005,89),"")</f>
      </c>
      <c r="T296" s="22">
        <f>IFERROR(SMALL($S$8:$S$507,289),"")</f>
      </c>
      <c r="U296" s="22">
        <f t="shared" si="12"/>
      </c>
      <c r="V296" s="22">
        <f t="shared" si="13"/>
      </c>
      <c r="W296" s="22">
        <f t="shared" si="14"/>
      </c>
    </row>
    <row r="297">
      <c r="A297" s="60">
        <f t="shared" si="7"/>
      </c>
      <c r="B297" s="56">
        <f t="shared" si="8"/>
      </c>
      <c r="C297" s="79">
        <f t="shared" si="0"/>
      </c>
      <c r="D297" s="53">
        <f t="shared" si="1"/>
      </c>
      <c r="E297" s="53">
        <f t="shared" si="2"/>
      </c>
      <c r="F297" s="53">
        <f t="shared" si="3"/>
      </c>
      <c r="G297" s="53">
        <f t="shared" si="4"/>
      </c>
      <c r="H297" s="59">
        <f t="shared" si="5"/>
      </c>
      <c r="I297" s="56">
        <f t="shared" si="6"/>
      </c>
      <c r="J297" s="56">
        <f t="shared" si="9"/>
      </c>
      <c r="L297" s="46">
        <f t="shared" si="10"/>
      </c>
      <c r="M297" s="80">
        <f t="shared" si="11"/>
      </c>
      <c r="S297" s="22">
        <f>IFERROR(SMALL(资金台帐!$BA$6:$BA$3005,90),"")</f>
      </c>
      <c r="T297" s="22">
        <f>IFERROR(SMALL($S$8:$S$507,290),"")</f>
      </c>
      <c r="U297" s="22">
        <f t="shared" si="12"/>
      </c>
      <c r="V297" s="22">
        <f t="shared" si="13"/>
      </c>
      <c r="W297" s="22">
        <f t="shared" si="14"/>
      </c>
    </row>
    <row r="298">
      <c r="A298" s="60">
        <f t="shared" si="7"/>
      </c>
      <c r="B298" s="56">
        <f t="shared" si="8"/>
      </c>
      <c r="C298" s="79">
        <f t="shared" si="0"/>
      </c>
      <c r="D298" s="53">
        <f t="shared" si="1"/>
      </c>
      <c r="E298" s="53">
        <f t="shared" si="2"/>
      </c>
      <c r="F298" s="53">
        <f t="shared" si="3"/>
      </c>
      <c r="G298" s="53">
        <f t="shared" si="4"/>
      </c>
      <c r="H298" s="59">
        <f t="shared" si="5"/>
      </c>
      <c r="I298" s="56">
        <f t="shared" si="6"/>
      </c>
      <c r="J298" s="56">
        <f t="shared" si="9"/>
      </c>
      <c r="L298" s="46">
        <f t="shared" si="10"/>
      </c>
      <c r="M298" s="80">
        <f t="shared" si="11"/>
      </c>
      <c r="S298" s="22">
        <f>IFERROR(SMALL(资金台帐!$BA$6:$BA$3005,91),"")</f>
      </c>
      <c r="T298" s="22">
        <f>IFERROR(SMALL($S$8:$S$507,291),"")</f>
      </c>
      <c r="U298" s="22">
        <f t="shared" si="12"/>
      </c>
      <c r="V298" s="22">
        <f t="shared" si="13"/>
      </c>
      <c r="W298" s="22">
        <f t="shared" si="14"/>
      </c>
    </row>
    <row r="299">
      <c r="A299" s="60">
        <f t="shared" si="7"/>
      </c>
      <c r="B299" s="56">
        <f t="shared" si="8"/>
      </c>
      <c r="C299" s="79">
        <f t="shared" si="0"/>
      </c>
      <c r="D299" s="53">
        <f t="shared" si="1"/>
      </c>
      <c r="E299" s="53">
        <f t="shared" si="2"/>
      </c>
      <c r="F299" s="53">
        <f t="shared" si="3"/>
      </c>
      <c r="G299" s="53">
        <f t="shared" si="4"/>
      </c>
      <c r="H299" s="59">
        <f t="shared" si="5"/>
      </c>
      <c r="I299" s="56">
        <f t="shared" si="6"/>
      </c>
      <c r="J299" s="56">
        <f t="shared" si="9"/>
      </c>
      <c r="L299" s="46">
        <f t="shared" si="10"/>
      </c>
      <c r="M299" s="80">
        <f t="shared" si="11"/>
      </c>
      <c r="S299" s="22">
        <f>IFERROR(SMALL(资金台帐!$BA$6:$BA$3005,92),"")</f>
      </c>
      <c r="T299" s="22">
        <f>IFERROR(SMALL($S$8:$S$507,292),"")</f>
      </c>
      <c r="U299" s="22">
        <f t="shared" si="12"/>
      </c>
      <c r="V299" s="22">
        <f t="shared" si="13"/>
      </c>
      <c r="W299" s="22">
        <f t="shared" si="14"/>
      </c>
    </row>
    <row r="300">
      <c r="A300" s="60">
        <f t="shared" si="7"/>
      </c>
      <c r="B300" s="56">
        <f t="shared" si="8"/>
      </c>
      <c r="C300" s="79">
        <f t="shared" si="0"/>
      </c>
      <c r="D300" s="53">
        <f t="shared" si="1"/>
      </c>
      <c r="E300" s="53">
        <f t="shared" si="2"/>
      </c>
      <c r="F300" s="53">
        <f t="shared" si="3"/>
      </c>
      <c r="G300" s="53">
        <f t="shared" si="4"/>
      </c>
      <c r="H300" s="59">
        <f t="shared" si="5"/>
      </c>
      <c r="I300" s="56">
        <f t="shared" si="6"/>
      </c>
      <c r="J300" s="56">
        <f t="shared" si="9"/>
      </c>
      <c r="L300" s="46">
        <f t="shared" si="10"/>
      </c>
      <c r="M300" s="80">
        <f t="shared" si="11"/>
      </c>
      <c r="S300" s="22">
        <f>IFERROR(SMALL(资金台帐!$BA$6:$BA$3005,93),"")</f>
      </c>
      <c r="T300" s="22">
        <f>IFERROR(SMALL($S$8:$S$507,293),"")</f>
      </c>
      <c r="U300" s="22">
        <f t="shared" si="12"/>
      </c>
      <c r="V300" s="22">
        <f t="shared" si="13"/>
      </c>
      <c r="W300" s="22">
        <f t="shared" si="14"/>
      </c>
    </row>
    <row r="301">
      <c r="A301" s="60">
        <f t="shared" si="7"/>
      </c>
      <c r="B301" s="56">
        <f t="shared" si="8"/>
      </c>
      <c r="C301" s="79">
        <f t="shared" si="0"/>
      </c>
      <c r="D301" s="53">
        <f t="shared" si="1"/>
      </c>
      <c r="E301" s="53">
        <f t="shared" si="2"/>
      </c>
      <c r="F301" s="53">
        <f t="shared" si="3"/>
      </c>
      <c r="G301" s="53">
        <f t="shared" si="4"/>
      </c>
      <c r="H301" s="59">
        <f t="shared" si="5"/>
      </c>
      <c r="I301" s="56">
        <f t="shared" si="6"/>
      </c>
      <c r="J301" s="56">
        <f t="shared" si="9"/>
      </c>
      <c r="L301" s="46">
        <f t="shared" si="10"/>
      </c>
      <c r="M301" s="80">
        <f t="shared" si="11"/>
      </c>
      <c r="S301" s="22">
        <f>IFERROR(SMALL(资金台帐!$BA$6:$BA$3005,94),"")</f>
      </c>
      <c r="T301" s="22">
        <f>IFERROR(SMALL($S$8:$S$507,294),"")</f>
      </c>
      <c r="U301" s="22">
        <f t="shared" si="12"/>
      </c>
      <c r="V301" s="22">
        <f t="shared" si="13"/>
      </c>
      <c r="W301" s="22">
        <f t="shared" si="14"/>
      </c>
    </row>
    <row r="302">
      <c r="A302" s="60">
        <f t="shared" si="7"/>
      </c>
      <c r="B302" s="56">
        <f t="shared" si="8"/>
      </c>
      <c r="C302" s="79">
        <f t="shared" si="0"/>
      </c>
      <c r="D302" s="53">
        <f t="shared" si="1"/>
      </c>
      <c r="E302" s="53">
        <f t="shared" si="2"/>
      </c>
      <c r="F302" s="53">
        <f t="shared" si="3"/>
      </c>
      <c r="G302" s="53">
        <f t="shared" si="4"/>
      </c>
      <c r="H302" s="59">
        <f t="shared" si="5"/>
      </c>
      <c r="I302" s="56">
        <f t="shared" si="6"/>
      </c>
      <c r="J302" s="56">
        <f t="shared" si="9"/>
      </c>
      <c r="L302" s="46">
        <f t="shared" si="10"/>
      </c>
      <c r="M302" s="80">
        <f t="shared" si="11"/>
      </c>
      <c r="S302" s="22">
        <f>IFERROR(SMALL(资金台帐!$BA$6:$BA$3005,95),"")</f>
      </c>
      <c r="T302" s="22">
        <f>IFERROR(SMALL($S$8:$S$507,295),"")</f>
      </c>
      <c r="U302" s="22">
        <f t="shared" si="12"/>
      </c>
      <c r="V302" s="22">
        <f t="shared" si="13"/>
      </c>
      <c r="W302" s="22">
        <f t="shared" si="14"/>
      </c>
    </row>
    <row r="303">
      <c r="A303" s="60">
        <f t="shared" si="7"/>
      </c>
      <c r="B303" s="56">
        <f t="shared" si="8"/>
      </c>
      <c r="C303" s="79">
        <f t="shared" si="0"/>
      </c>
      <c r="D303" s="53">
        <f t="shared" si="1"/>
      </c>
      <c r="E303" s="53">
        <f t="shared" si="2"/>
      </c>
      <c r="F303" s="53">
        <f t="shared" si="3"/>
      </c>
      <c r="G303" s="53">
        <f t="shared" si="4"/>
      </c>
      <c r="H303" s="59">
        <f t="shared" si="5"/>
      </c>
      <c r="I303" s="56">
        <f t="shared" si="6"/>
      </c>
      <c r="J303" s="56">
        <f t="shared" si="9"/>
      </c>
      <c r="L303" s="46">
        <f t="shared" si="10"/>
      </c>
      <c r="M303" s="80">
        <f t="shared" si="11"/>
      </c>
      <c r="S303" s="22">
        <f>IFERROR(SMALL(资金台帐!$BA$6:$BA$3005,96),"")</f>
      </c>
      <c r="T303" s="22">
        <f>IFERROR(SMALL($S$8:$S$507,296),"")</f>
      </c>
      <c r="U303" s="22">
        <f t="shared" si="12"/>
      </c>
      <c r="V303" s="22">
        <f t="shared" si="13"/>
      </c>
      <c r="W303" s="22">
        <f t="shared" si="14"/>
      </c>
    </row>
    <row r="304">
      <c r="A304" s="60">
        <f t="shared" si="7"/>
      </c>
      <c r="B304" s="56">
        <f t="shared" si="8"/>
      </c>
      <c r="C304" s="79">
        <f t="shared" si="0"/>
      </c>
      <c r="D304" s="53">
        <f t="shared" si="1"/>
      </c>
      <c r="E304" s="53">
        <f t="shared" si="2"/>
      </c>
      <c r="F304" s="53">
        <f t="shared" si="3"/>
      </c>
      <c r="G304" s="53">
        <f t="shared" si="4"/>
      </c>
      <c r="H304" s="59">
        <f t="shared" si="5"/>
      </c>
      <c r="I304" s="56">
        <f t="shared" si="6"/>
      </c>
      <c r="J304" s="56">
        <f t="shared" si="9"/>
      </c>
      <c r="L304" s="46">
        <f t="shared" si="10"/>
      </c>
      <c r="M304" s="80">
        <f t="shared" si="11"/>
      </c>
      <c r="S304" s="22">
        <f>IFERROR(SMALL(资金台帐!$BA$6:$BA$3005,97),"")</f>
      </c>
      <c r="T304" s="22">
        <f>IFERROR(SMALL($S$8:$S$507,297),"")</f>
      </c>
      <c r="U304" s="22">
        <f t="shared" si="12"/>
      </c>
      <c r="V304" s="22">
        <f t="shared" si="13"/>
      </c>
      <c r="W304" s="22">
        <f t="shared" si="14"/>
      </c>
    </row>
    <row r="305">
      <c r="A305" s="60">
        <f t="shared" si="7"/>
      </c>
      <c r="B305" s="56">
        <f t="shared" si="8"/>
      </c>
      <c r="C305" s="79">
        <f t="shared" si="0"/>
      </c>
      <c r="D305" s="53">
        <f t="shared" si="1"/>
      </c>
      <c r="E305" s="53">
        <f t="shared" si="2"/>
      </c>
      <c r="F305" s="53">
        <f t="shared" si="3"/>
      </c>
      <c r="G305" s="53">
        <f t="shared" si="4"/>
      </c>
      <c r="H305" s="59">
        <f t="shared" si="5"/>
      </c>
      <c r="I305" s="56">
        <f t="shared" si="6"/>
      </c>
      <c r="J305" s="56">
        <f t="shared" si="9"/>
      </c>
      <c r="L305" s="46">
        <f t="shared" si="10"/>
      </c>
      <c r="M305" s="80">
        <f t="shared" si="11"/>
      </c>
      <c r="S305" s="22">
        <f>IFERROR(SMALL(资金台帐!$BA$6:$BA$3005,98),"")</f>
      </c>
      <c r="T305" s="22">
        <f>IFERROR(SMALL($S$8:$S$507,298),"")</f>
      </c>
      <c r="U305" s="22">
        <f t="shared" si="12"/>
      </c>
      <c r="V305" s="22">
        <f t="shared" si="13"/>
      </c>
      <c r="W305" s="22">
        <f t="shared" si="14"/>
      </c>
    </row>
    <row r="306">
      <c r="A306" s="60">
        <f t="shared" si="7"/>
      </c>
      <c r="B306" s="56">
        <f t="shared" si="8"/>
      </c>
      <c r="C306" s="79">
        <f t="shared" si="0"/>
      </c>
      <c r="D306" s="53">
        <f t="shared" si="1"/>
      </c>
      <c r="E306" s="53">
        <f t="shared" si="2"/>
      </c>
      <c r="F306" s="53">
        <f t="shared" si="3"/>
      </c>
      <c r="G306" s="53">
        <f t="shared" si="4"/>
      </c>
      <c r="H306" s="59">
        <f t="shared" si="5"/>
      </c>
      <c r="I306" s="56">
        <f t="shared" si="6"/>
      </c>
      <c r="J306" s="56">
        <f t="shared" si="9"/>
      </c>
      <c r="L306" s="46">
        <f t="shared" si="10"/>
      </c>
      <c r="M306" s="80">
        <f t="shared" si="11"/>
      </c>
      <c r="S306" s="22">
        <f>IFERROR(SMALL(资金台帐!$BA$6:$BA$3005,99),"")</f>
      </c>
      <c r="T306" s="22">
        <f>IFERROR(SMALL($S$8:$S$507,299),"")</f>
      </c>
      <c r="U306" s="22">
        <f t="shared" si="12"/>
      </c>
      <c r="V306" s="22">
        <f t="shared" si="13"/>
      </c>
      <c r="W306" s="22">
        <f t="shared" si="14"/>
      </c>
    </row>
    <row r="307">
      <c r="A307" s="60">
        <f t="shared" si="7"/>
      </c>
      <c r="B307" s="56">
        <f t="shared" si="8"/>
      </c>
      <c r="C307" s="79">
        <f t="shared" si="0"/>
      </c>
      <c r="D307" s="53">
        <f t="shared" si="1"/>
      </c>
      <c r="E307" s="53">
        <f t="shared" si="2"/>
      </c>
      <c r="F307" s="53">
        <f t="shared" si="3"/>
      </c>
      <c r="G307" s="53">
        <f t="shared" si="4"/>
      </c>
      <c r="H307" s="59">
        <f t="shared" si="5"/>
      </c>
      <c r="I307" s="56">
        <f t="shared" si="6"/>
      </c>
      <c r="J307" s="56">
        <f t="shared" si="9"/>
      </c>
      <c r="L307" s="46">
        <f t="shared" si="10"/>
      </c>
      <c r="M307" s="80">
        <f t="shared" si="11"/>
      </c>
      <c r="S307" s="22">
        <f>IFERROR(SMALL(资金台帐!$BA$6:$BA$3005,100),"")</f>
      </c>
      <c r="T307" s="22">
        <f>IFERROR(SMALL($S$8:$S$507,300),"")</f>
      </c>
      <c r="U307" s="22">
        <f t="shared" si="12"/>
      </c>
      <c r="V307" s="22">
        <f t="shared" si="13"/>
      </c>
      <c r="W307" s="22">
        <f t="shared" si="14"/>
      </c>
    </row>
    <row r="308">
      <c r="A308" s="60">
        <f t="shared" si="7"/>
      </c>
      <c r="B308" s="56">
        <f t="shared" si="8"/>
      </c>
      <c r="C308" s="79">
        <f t="shared" si="0"/>
      </c>
      <c r="D308" s="53">
        <f t="shared" si="1"/>
      </c>
      <c r="E308" s="53">
        <f t="shared" si="2"/>
      </c>
      <c r="F308" s="53">
        <f t="shared" si="3"/>
      </c>
      <c r="G308" s="53">
        <f t="shared" si="4"/>
      </c>
      <c r="H308" s="59">
        <f t="shared" si="5"/>
      </c>
      <c r="I308" s="56">
        <f t="shared" si="6"/>
      </c>
      <c r="J308" s="56">
        <f t="shared" si="9"/>
      </c>
      <c r="L308" s="46">
        <f t="shared" si="10"/>
      </c>
      <c r="M308" s="80">
        <f t="shared" si="11"/>
      </c>
      <c r="S308" s="22">
        <f>IFERROR(SMALL(资金台帐!$BA$6:$BA$3005,101),"")</f>
      </c>
      <c r="T308" s="22">
        <f>IFERROR(SMALL($S$8:$S$507,301),"")</f>
      </c>
      <c r="U308" s="22">
        <f t="shared" si="12"/>
      </c>
      <c r="V308" s="22">
        <f t="shared" si="13"/>
      </c>
      <c r="W308" s="22">
        <f t="shared" si="14"/>
      </c>
    </row>
    <row r="309">
      <c r="A309" s="60">
        <f t="shared" si="7"/>
      </c>
      <c r="B309" s="56">
        <f t="shared" si="8"/>
      </c>
      <c r="C309" s="79">
        <f t="shared" si="0"/>
      </c>
      <c r="D309" s="53">
        <f t="shared" si="1"/>
      </c>
      <c r="E309" s="53">
        <f t="shared" si="2"/>
      </c>
      <c r="F309" s="53">
        <f t="shared" si="3"/>
      </c>
      <c r="G309" s="53">
        <f t="shared" si="4"/>
      </c>
      <c r="H309" s="59">
        <f t="shared" si="5"/>
      </c>
      <c r="I309" s="56">
        <f t="shared" si="6"/>
      </c>
      <c r="J309" s="56">
        <f t="shared" si="9"/>
      </c>
      <c r="L309" s="46">
        <f t="shared" si="10"/>
      </c>
      <c r="M309" s="80">
        <f t="shared" si="11"/>
      </c>
      <c r="S309" s="22">
        <f>IFERROR(SMALL(资金台帐!$BA$6:$BA$3005,102),"")</f>
      </c>
      <c r="T309" s="22">
        <f>IFERROR(SMALL($S$8:$S$507,302),"")</f>
      </c>
      <c r="U309" s="22">
        <f t="shared" si="12"/>
      </c>
      <c r="V309" s="22">
        <f t="shared" si="13"/>
      </c>
      <c r="W309" s="22">
        <f t="shared" si="14"/>
      </c>
    </row>
    <row r="310">
      <c r="A310" s="60">
        <f t="shared" si="7"/>
      </c>
      <c r="B310" s="56">
        <f t="shared" si="8"/>
      </c>
      <c r="C310" s="79">
        <f t="shared" si="0"/>
      </c>
      <c r="D310" s="53">
        <f t="shared" si="1"/>
      </c>
      <c r="E310" s="53">
        <f t="shared" si="2"/>
      </c>
      <c r="F310" s="53">
        <f t="shared" si="3"/>
      </c>
      <c r="G310" s="53">
        <f t="shared" si="4"/>
      </c>
      <c r="H310" s="59">
        <f t="shared" si="5"/>
      </c>
      <c r="I310" s="56">
        <f t="shared" si="6"/>
      </c>
      <c r="J310" s="56">
        <f t="shared" si="9"/>
      </c>
      <c r="L310" s="46">
        <f t="shared" si="10"/>
      </c>
      <c r="M310" s="80">
        <f t="shared" si="11"/>
      </c>
      <c r="S310" s="22">
        <f>IFERROR(SMALL(资金台帐!$BA$6:$BA$3005,103),"")</f>
      </c>
      <c r="T310" s="22">
        <f>IFERROR(SMALL($S$8:$S$507,303),"")</f>
      </c>
      <c r="U310" s="22">
        <f t="shared" si="12"/>
      </c>
      <c r="V310" s="22">
        <f t="shared" si="13"/>
      </c>
      <c r="W310" s="22">
        <f t="shared" si="14"/>
      </c>
    </row>
    <row r="311">
      <c r="A311" s="60">
        <f t="shared" si="7"/>
      </c>
      <c r="B311" s="56">
        <f t="shared" si="8"/>
      </c>
      <c r="C311" s="79">
        <f t="shared" si="0"/>
      </c>
      <c r="D311" s="53">
        <f t="shared" si="1"/>
      </c>
      <c r="E311" s="53">
        <f t="shared" si="2"/>
      </c>
      <c r="F311" s="53">
        <f t="shared" si="3"/>
      </c>
      <c r="G311" s="53">
        <f t="shared" si="4"/>
      </c>
      <c r="H311" s="59">
        <f t="shared" si="5"/>
      </c>
      <c r="I311" s="56">
        <f t="shared" si="6"/>
      </c>
      <c r="J311" s="56">
        <f t="shared" si="9"/>
      </c>
      <c r="L311" s="46">
        <f t="shared" si="10"/>
      </c>
      <c r="M311" s="80">
        <f t="shared" si="11"/>
      </c>
      <c r="S311" s="22">
        <f>IFERROR(SMALL(资金台帐!$BA$6:$BA$3005,104),"")</f>
      </c>
      <c r="T311" s="22">
        <f>IFERROR(SMALL($S$8:$S$507,304),"")</f>
      </c>
      <c r="U311" s="22">
        <f t="shared" si="12"/>
      </c>
      <c r="V311" s="22">
        <f t="shared" si="13"/>
      </c>
      <c r="W311" s="22">
        <f t="shared" si="14"/>
      </c>
    </row>
    <row r="312">
      <c r="A312" s="60">
        <f t="shared" si="7"/>
      </c>
      <c r="B312" s="56">
        <f t="shared" si="8"/>
      </c>
      <c r="C312" s="79">
        <f t="shared" si="0"/>
      </c>
      <c r="D312" s="53">
        <f t="shared" si="1"/>
      </c>
      <c r="E312" s="53">
        <f t="shared" si="2"/>
      </c>
      <c r="F312" s="53">
        <f t="shared" si="3"/>
      </c>
      <c r="G312" s="53">
        <f t="shared" si="4"/>
      </c>
      <c r="H312" s="59">
        <f t="shared" si="5"/>
      </c>
      <c r="I312" s="56">
        <f t="shared" si="6"/>
      </c>
      <c r="J312" s="56">
        <f t="shared" si="9"/>
      </c>
      <c r="L312" s="46">
        <f t="shared" si="10"/>
      </c>
      <c r="M312" s="80">
        <f t="shared" si="11"/>
      </c>
      <c r="S312" s="22">
        <f>IFERROR(SMALL(资金台帐!$BA$6:$BA$3005,105),"")</f>
      </c>
      <c r="T312" s="22">
        <f>IFERROR(SMALL($S$8:$S$507,305),"")</f>
      </c>
      <c r="U312" s="22">
        <f t="shared" si="12"/>
      </c>
      <c r="V312" s="22">
        <f t="shared" si="13"/>
      </c>
      <c r="W312" s="22">
        <f t="shared" si="14"/>
      </c>
    </row>
    <row r="313">
      <c r="A313" s="60">
        <f t="shared" si="7"/>
      </c>
      <c r="B313" s="56">
        <f t="shared" si="8"/>
      </c>
      <c r="C313" s="79">
        <f t="shared" si="0"/>
      </c>
      <c r="D313" s="53">
        <f t="shared" si="1"/>
      </c>
      <c r="E313" s="53">
        <f t="shared" si="2"/>
      </c>
      <c r="F313" s="53">
        <f t="shared" si="3"/>
      </c>
      <c r="G313" s="53">
        <f t="shared" si="4"/>
      </c>
      <c r="H313" s="59">
        <f t="shared" si="5"/>
      </c>
      <c r="I313" s="56">
        <f t="shared" si="6"/>
      </c>
      <c r="J313" s="56">
        <f t="shared" si="9"/>
      </c>
      <c r="L313" s="46">
        <f t="shared" si="10"/>
      </c>
      <c r="M313" s="80">
        <f t="shared" si="11"/>
      </c>
      <c r="S313" s="22">
        <f>IFERROR(SMALL(资金台帐!$BA$6:$BA$3005,106),"")</f>
      </c>
      <c r="T313" s="22">
        <f>IFERROR(SMALL($S$8:$S$507,306),"")</f>
      </c>
      <c r="U313" s="22">
        <f t="shared" si="12"/>
      </c>
      <c r="V313" s="22">
        <f t="shared" si="13"/>
      </c>
      <c r="W313" s="22">
        <f t="shared" si="14"/>
      </c>
    </row>
    <row r="314">
      <c r="A314" s="60">
        <f t="shared" si="7"/>
      </c>
      <c r="B314" s="56">
        <f t="shared" si="8"/>
      </c>
      <c r="C314" s="79">
        <f t="shared" si="0"/>
      </c>
      <c r="D314" s="53">
        <f t="shared" si="1"/>
      </c>
      <c r="E314" s="53">
        <f t="shared" si="2"/>
      </c>
      <c r="F314" s="53">
        <f t="shared" si="3"/>
      </c>
      <c r="G314" s="53">
        <f t="shared" si="4"/>
      </c>
      <c r="H314" s="59">
        <f t="shared" si="5"/>
      </c>
      <c r="I314" s="56">
        <f t="shared" si="6"/>
      </c>
      <c r="J314" s="56">
        <f t="shared" si="9"/>
      </c>
      <c r="L314" s="46">
        <f t="shared" si="10"/>
      </c>
      <c r="M314" s="80">
        <f t="shared" si="11"/>
      </c>
      <c r="S314" s="22">
        <f>IFERROR(SMALL(资金台帐!$BA$6:$BA$3005,107),"")</f>
      </c>
      <c r="T314" s="22">
        <f>IFERROR(SMALL($S$8:$S$507,307),"")</f>
      </c>
      <c r="U314" s="22">
        <f t="shared" si="12"/>
      </c>
      <c r="V314" s="22">
        <f t="shared" si="13"/>
      </c>
      <c r="W314" s="22">
        <f t="shared" si="14"/>
      </c>
    </row>
    <row r="315">
      <c r="A315" s="60">
        <f t="shared" si="7"/>
      </c>
      <c r="B315" s="56">
        <f t="shared" si="8"/>
      </c>
      <c r="C315" s="79">
        <f t="shared" si="0"/>
      </c>
      <c r="D315" s="53">
        <f t="shared" si="1"/>
      </c>
      <c r="E315" s="53">
        <f t="shared" si="2"/>
      </c>
      <c r="F315" s="53">
        <f t="shared" si="3"/>
      </c>
      <c r="G315" s="53">
        <f t="shared" si="4"/>
      </c>
      <c r="H315" s="59">
        <f t="shared" si="5"/>
      </c>
      <c r="I315" s="56">
        <f t="shared" si="6"/>
      </c>
      <c r="J315" s="56">
        <f t="shared" si="9"/>
      </c>
      <c r="L315" s="46">
        <f t="shared" si="10"/>
      </c>
      <c r="M315" s="80">
        <f t="shared" si="11"/>
      </c>
      <c r="S315" s="22">
        <f>IFERROR(SMALL(资金台帐!$BA$6:$BA$3005,108),"")</f>
      </c>
      <c r="T315" s="22">
        <f>IFERROR(SMALL($S$8:$S$507,308),"")</f>
      </c>
      <c r="U315" s="22">
        <f t="shared" si="12"/>
      </c>
      <c r="V315" s="22">
        <f t="shared" si="13"/>
      </c>
      <c r="W315" s="22">
        <f t="shared" si="14"/>
      </c>
    </row>
    <row r="316">
      <c r="A316" s="60">
        <f t="shared" si="7"/>
      </c>
      <c r="B316" s="56">
        <f t="shared" si="8"/>
      </c>
      <c r="C316" s="79">
        <f t="shared" si="0"/>
      </c>
      <c r="D316" s="53">
        <f t="shared" si="1"/>
      </c>
      <c r="E316" s="53">
        <f t="shared" si="2"/>
      </c>
      <c r="F316" s="53">
        <f t="shared" si="3"/>
      </c>
      <c r="G316" s="53">
        <f t="shared" si="4"/>
      </c>
      <c r="H316" s="59">
        <f t="shared" si="5"/>
      </c>
      <c r="I316" s="56">
        <f t="shared" si="6"/>
      </c>
      <c r="J316" s="56">
        <f t="shared" si="9"/>
      </c>
      <c r="L316" s="46">
        <f t="shared" si="10"/>
      </c>
      <c r="M316" s="80">
        <f t="shared" si="11"/>
      </c>
      <c r="S316" s="22">
        <f>IFERROR(SMALL(资金台帐!$BA$6:$BA$3005,109),"")</f>
      </c>
      <c r="T316" s="22">
        <f>IFERROR(SMALL($S$8:$S$507,309),"")</f>
      </c>
      <c r="U316" s="22">
        <f t="shared" si="12"/>
      </c>
      <c r="V316" s="22">
        <f t="shared" si="13"/>
      </c>
      <c r="W316" s="22">
        <f t="shared" si="14"/>
      </c>
    </row>
    <row r="317">
      <c r="A317" s="60">
        <f t="shared" si="7"/>
      </c>
      <c r="B317" s="56">
        <f t="shared" si="8"/>
      </c>
      <c r="C317" s="79">
        <f t="shared" si="0"/>
      </c>
      <c r="D317" s="53">
        <f t="shared" si="1"/>
      </c>
      <c r="E317" s="53">
        <f t="shared" si="2"/>
      </c>
      <c r="F317" s="53">
        <f t="shared" si="3"/>
      </c>
      <c r="G317" s="53">
        <f t="shared" si="4"/>
      </c>
      <c r="H317" s="59">
        <f t="shared" si="5"/>
      </c>
      <c r="I317" s="56">
        <f t="shared" si="6"/>
      </c>
      <c r="J317" s="56">
        <f t="shared" si="9"/>
      </c>
      <c r="L317" s="46">
        <f t="shared" si="10"/>
      </c>
      <c r="M317" s="80">
        <f t="shared" si="11"/>
      </c>
      <c r="S317" s="22">
        <f>IFERROR(SMALL(资金台帐!$BA$6:$BA$3005,110),"")</f>
      </c>
      <c r="T317" s="22">
        <f>IFERROR(SMALL($S$8:$S$507,310),"")</f>
      </c>
      <c r="U317" s="22">
        <f t="shared" si="12"/>
      </c>
      <c r="V317" s="22">
        <f t="shared" si="13"/>
      </c>
      <c r="W317" s="22">
        <f t="shared" si="14"/>
      </c>
    </row>
    <row r="318">
      <c r="A318" s="60">
        <f t="shared" si="7"/>
      </c>
      <c r="B318" s="56">
        <f t="shared" si="8"/>
      </c>
      <c r="C318" s="79">
        <f t="shared" si="0"/>
      </c>
      <c r="D318" s="53">
        <f t="shared" si="1"/>
      </c>
      <c r="E318" s="53">
        <f t="shared" si="2"/>
      </c>
      <c r="F318" s="53">
        <f t="shared" si="3"/>
      </c>
      <c r="G318" s="53">
        <f t="shared" si="4"/>
      </c>
      <c r="H318" s="59">
        <f t="shared" si="5"/>
      </c>
      <c r="I318" s="56">
        <f t="shared" si="6"/>
      </c>
      <c r="J318" s="56">
        <f t="shared" si="9"/>
      </c>
      <c r="L318" s="46">
        <f t="shared" si="10"/>
      </c>
      <c r="M318" s="80">
        <f t="shared" si="11"/>
      </c>
      <c r="S318" s="22">
        <f>IFERROR(SMALL(资金台帐!$BA$6:$BA$3005,111),"")</f>
      </c>
      <c r="T318" s="22">
        <f>IFERROR(SMALL($S$8:$S$507,311),"")</f>
      </c>
      <c r="U318" s="22">
        <f t="shared" si="12"/>
      </c>
      <c r="V318" s="22">
        <f t="shared" si="13"/>
      </c>
      <c r="W318" s="22">
        <f t="shared" si="14"/>
      </c>
    </row>
    <row r="319">
      <c r="A319" s="60">
        <f t="shared" si="7"/>
      </c>
      <c r="B319" s="56">
        <f t="shared" si="8"/>
      </c>
      <c r="C319" s="79">
        <f t="shared" si="0"/>
      </c>
      <c r="D319" s="53">
        <f t="shared" si="1"/>
      </c>
      <c r="E319" s="53">
        <f t="shared" si="2"/>
      </c>
      <c r="F319" s="53">
        <f t="shared" si="3"/>
      </c>
      <c r="G319" s="53">
        <f t="shared" si="4"/>
      </c>
      <c r="H319" s="59">
        <f t="shared" si="5"/>
      </c>
      <c r="I319" s="56">
        <f t="shared" si="6"/>
      </c>
      <c r="J319" s="56">
        <f t="shared" si="9"/>
      </c>
      <c r="L319" s="46">
        <f t="shared" si="10"/>
      </c>
      <c r="M319" s="80">
        <f t="shared" si="11"/>
      </c>
      <c r="S319" s="22">
        <f>IFERROR(SMALL(资金台帐!$BA$6:$BA$3005,112),"")</f>
      </c>
      <c r="T319" s="22">
        <f>IFERROR(SMALL($S$8:$S$507,312),"")</f>
      </c>
      <c r="U319" s="22">
        <f t="shared" si="12"/>
      </c>
      <c r="V319" s="22">
        <f t="shared" si="13"/>
      </c>
      <c r="W319" s="22">
        <f t="shared" si="14"/>
      </c>
    </row>
    <row r="320">
      <c r="A320" s="60">
        <f t="shared" si="7"/>
      </c>
      <c r="B320" s="56">
        <f t="shared" si="8"/>
      </c>
      <c r="C320" s="79">
        <f t="shared" si="0"/>
      </c>
      <c r="D320" s="53">
        <f t="shared" si="1"/>
      </c>
      <c r="E320" s="53">
        <f t="shared" si="2"/>
      </c>
      <c r="F320" s="53">
        <f t="shared" si="3"/>
      </c>
      <c r="G320" s="53">
        <f t="shared" si="4"/>
      </c>
      <c r="H320" s="59">
        <f t="shared" si="5"/>
      </c>
      <c r="I320" s="56">
        <f t="shared" si="6"/>
      </c>
      <c r="J320" s="56">
        <f t="shared" si="9"/>
      </c>
      <c r="L320" s="46">
        <f t="shared" si="10"/>
      </c>
      <c r="M320" s="80">
        <f t="shared" si="11"/>
      </c>
      <c r="S320" s="22">
        <f>IFERROR(SMALL(资金台帐!$BA$6:$BA$3005,113),"")</f>
      </c>
      <c r="T320" s="22">
        <f>IFERROR(SMALL($S$8:$S$507,313),"")</f>
      </c>
      <c r="U320" s="22">
        <f t="shared" si="12"/>
      </c>
      <c r="V320" s="22">
        <f t="shared" si="13"/>
      </c>
      <c r="W320" s="22">
        <f t="shared" si="14"/>
      </c>
    </row>
    <row r="321">
      <c r="A321" s="60">
        <f t="shared" si="7"/>
      </c>
      <c r="B321" s="56">
        <f t="shared" si="8"/>
      </c>
      <c r="C321" s="79">
        <f t="shared" si="0"/>
      </c>
      <c r="D321" s="53">
        <f t="shared" si="1"/>
      </c>
      <c r="E321" s="53">
        <f t="shared" si="2"/>
      </c>
      <c r="F321" s="53">
        <f t="shared" si="3"/>
      </c>
      <c r="G321" s="53">
        <f t="shared" si="4"/>
      </c>
      <c r="H321" s="59">
        <f t="shared" si="5"/>
      </c>
      <c r="I321" s="56">
        <f t="shared" si="6"/>
      </c>
      <c r="J321" s="56">
        <f t="shared" si="9"/>
      </c>
      <c r="L321" s="46">
        <f t="shared" si="10"/>
      </c>
      <c r="M321" s="80">
        <f t="shared" si="11"/>
      </c>
      <c r="S321" s="22">
        <f>IFERROR(SMALL(资金台帐!$BA$6:$BA$3005,114),"")</f>
      </c>
      <c r="T321" s="22">
        <f>IFERROR(SMALL($S$8:$S$507,314),"")</f>
      </c>
      <c r="U321" s="22">
        <f t="shared" si="12"/>
      </c>
      <c r="V321" s="22">
        <f t="shared" si="13"/>
      </c>
      <c r="W321" s="22">
        <f t="shared" si="14"/>
      </c>
    </row>
    <row r="322">
      <c r="A322" s="60">
        <f t="shared" si="7"/>
      </c>
      <c r="B322" s="56">
        <f t="shared" si="8"/>
      </c>
      <c r="C322" s="79">
        <f t="shared" si="0"/>
      </c>
      <c r="D322" s="53">
        <f t="shared" si="1"/>
      </c>
      <c r="E322" s="53">
        <f t="shared" si="2"/>
      </c>
      <c r="F322" s="53">
        <f t="shared" si="3"/>
      </c>
      <c r="G322" s="53">
        <f t="shared" si="4"/>
      </c>
      <c r="H322" s="59">
        <f t="shared" si="5"/>
      </c>
      <c r="I322" s="56">
        <f t="shared" si="6"/>
      </c>
      <c r="J322" s="56">
        <f t="shared" si="9"/>
      </c>
      <c r="L322" s="46">
        <f t="shared" si="10"/>
      </c>
      <c r="M322" s="80">
        <f t="shared" si="11"/>
      </c>
      <c r="S322" s="22">
        <f>IFERROR(SMALL(资金台帐!$BA$6:$BA$3005,115),"")</f>
      </c>
      <c r="T322" s="22">
        <f>IFERROR(SMALL($S$8:$S$507,315),"")</f>
      </c>
      <c r="U322" s="22">
        <f t="shared" si="12"/>
      </c>
      <c r="V322" s="22">
        <f t="shared" si="13"/>
      </c>
      <c r="W322" s="22">
        <f t="shared" si="14"/>
      </c>
    </row>
    <row r="323">
      <c r="A323" s="60">
        <f t="shared" si="7"/>
      </c>
      <c r="B323" s="56">
        <f t="shared" si="8"/>
      </c>
      <c r="C323" s="79">
        <f t="shared" si="0"/>
      </c>
      <c r="D323" s="53">
        <f t="shared" si="1"/>
      </c>
      <c r="E323" s="53">
        <f t="shared" si="2"/>
      </c>
      <c r="F323" s="53">
        <f t="shared" si="3"/>
      </c>
      <c r="G323" s="53">
        <f t="shared" si="4"/>
      </c>
      <c r="H323" s="59">
        <f t="shared" si="5"/>
      </c>
      <c r="I323" s="56">
        <f t="shared" si="6"/>
      </c>
      <c r="J323" s="56">
        <f t="shared" si="9"/>
      </c>
      <c r="L323" s="46">
        <f t="shared" si="10"/>
      </c>
      <c r="M323" s="80">
        <f t="shared" si="11"/>
      </c>
      <c r="S323" s="22">
        <f>IFERROR(SMALL(资金台帐!$BA$6:$BA$3005,116),"")</f>
      </c>
      <c r="T323" s="22">
        <f>IFERROR(SMALL($S$8:$S$507,316),"")</f>
      </c>
      <c r="U323" s="22">
        <f t="shared" si="12"/>
      </c>
      <c r="V323" s="22">
        <f t="shared" si="13"/>
      </c>
      <c r="W323" s="22">
        <f t="shared" si="14"/>
      </c>
    </row>
    <row r="324">
      <c r="A324" s="60">
        <f t="shared" si="7"/>
      </c>
      <c r="B324" s="56">
        <f t="shared" si="8"/>
      </c>
      <c r="C324" s="79">
        <f t="shared" si="0"/>
      </c>
      <c r="D324" s="53">
        <f t="shared" si="1"/>
      </c>
      <c r="E324" s="53">
        <f t="shared" si="2"/>
      </c>
      <c r="F324" s="53">
        <f t="shared" si="3"/>
      </c>
      <c r="G324" s="53">
        <f t="shared" si="4"/>
      </c>
      <c r="H324" s="59">
        <f t="shared" si="5"/>
      </c>
      <c r="I324" s="56">
        <f t="shared" si="6"/>
      </c>
      <c r="J324" s="56">
        <f t="shared" si="9"/>
      </c>
      <c r="L324" s="46">
        <f t="shared" si="10"/>
      </c>
      <c r="M324" s="80">
        <f t="shared" si="11"/>
      </c>
      <c r="S324" s="22">
        <f>IFERROR(SMALL(资金台帐!$BA$6:$BA$3005,117),"")</f>
      </c>
      <c r="T324" s="22">
        <f>IFERROR(SMALL($S$8:$S$507,317),"")</f>
      </c>
      <c r="U324" s="22">
        <f t="shared" si="12"/>
      </c>
      <c r="V324" s="22">
        <f t="shared" si="13"/>
      </c>
      <c r="W324" s="22">
        <f t="shared" si="14"/>
      </c>
    </row>
    <row r="325">
      <c r="A325" s="60">
        <f t="shared" si="7"/>
      </c>
      <c r="B325" s="56">
        <f t="shared" si="8"/>
      </c>
      <c r="C325" s="79">
        <f t="shared" si="0"/>
      </c>
      <c r="D325" s="53">
        <f t="shared" si="1"/>
      </c>
      <c r="E325" s="53">
        <f t="shared" si="2"/>
      </c>
      <c r="F325" s="53">
        <f t="shared" si="3"/>
      </c>
      <c r="G325" s="53">
        <f t="shared" si="4"/>
      </c>
      <c r="H325" s="59">
        <f t="shared" si="5"/>
      </c>
      <c r="I325" s="56">
        <f t="shared" si="6"/>
      </c>
      <c r="J325" s="56">
        <f t="shared" si="9"/>
      </c>
      <c r="L325" s="46">
        <f t="shared" si="10"/>
      </c>
      <c r="M325" s="80">
        <f t="shared" si="11"/>
      </c>
      <c r="S325" s="22">
        <f>IFERROR(SMALL(资金台帐!$BA$6:$BA$3005,118),"")</f>
      </c>
      <c r="T325" s="22">
        <f>IFERROR(SMALL($S$8:$S$507,318),"")</f>
      </c>
      <c r="U325" s="22">
        <f t="shared" si="12"/>
      </c>
      <c r="V325" s="22">
        <f t="shared" si="13"/>
      </c>
      <c r="W325" s="22">
        <f t="shared" si="14"/>
      </c>
    </row>
    <row r="326">
      <c r="A326" s="60">
        <f t="shared" si="7"/>
      </c>
      <c r="B326" s="56">
        <f t="shared" si="8"/>
      </c>
      <c r="C326" s="79">
        <f t="shared" si="0"/>
      </c>
      <c r="D326" s="53">
        <f t="shared" si="1"/>
      </c>
      <c r="E326" s="53">
        <f t="shared" si="2"/>
      </c>
      <c r="F326" s="53">
        <f t="shared" si="3"/>
      </c>
      <c r="G326" s="53">
        <f t="shared" si="4"/>
      </c>
      <c r="H326" s="59">
        <f t="shared" si="5"/>
      </c>
      <c r="I326" s="56">
        <f t="shared" si="6"/>
      </c>
      <c r="J326" s="56">
        <f t="shared" si="9"/>
      </c>
      <c r="L326" s="46">
        <f t="shared" si="10"/>
      </c>
      <c r="M326" s="80">
        <f t="shared" si="11"/>
      </c>
      <c r="S326" s="22">
        <f>IFERROR(SMALL(资金台帐!$BA$6:$BA$3005,119),"")</f>
      </c>
      <c r="T326" s="22">
        <f>IFERROR(SMALL($S$8:$S$507,319),"")</f>
      </c>
      <c r="U326" s="22">
        <f t="shared" si="12"/>
      </c>
      <c r="V326" s="22">
        <f t="shared" si="13"/>
      </c>
      <c r="W326" s="22">
        <f t="shared" si="14"/>
      </c>
    </row>
    <row r="327">
      <c r="A327" s="60">
        <f t="shared" si="7"/>
      </c>
      <c r="B327" s="56">
        <f t="shared" si="8"/>
      </c>
      <c r="C327" s="79">
        <f t="shared" si="0"/>
      </c>
      <c r="D327" s="53">
        <f t="shared" si="1"/>
      </c>
      <c r="E327" s="53">
        <f t="shared" si="2"/>
      </c>
      <c r="F327" s="53">
        <f t="shared" si="3"/>
      </c>
      <c r="G327" s="53">
        <f t="shared" si="4"/>
      </c>
      <c r="H327" s="59">
        <f t="shared" si="5"/>
      </c>
      <c r="I327" s="56">
        <f t="shared" si="6"/>
      </c>
      <c r="J327" s="56">
        <f t="shared" si="9"/>
      </c>
      <c r="L327" s="46">
        <f t="shared" si="10"/>
      </c>
      <c r="M327" s="80">
        <f t="shared" si="11"/>
      </c>
      <c r="S327" s="22">
        <f>IFERROR(SMALL(资金台帐!$BA$6:$BA$3005,120),"")</f>
      </c>
      <c r="T327" s="22">
        <f>IFERROR(SMALL($S$8:$S$507,320),"")</f>
      </c>
      <c r="U327" s="22">
        <f t="shared" si="12"/>
      </c>
      <c r="V327" s="22">
        <f t="shared" si="13"/>
      </c>
      <c r="W327" s="22">
        <f t="shared" si="14"/>
      </c>
    </row>
    <row r="328">
      <c r="A328" s="60">
        <f t="shared" si="7"/>
      </c>
      <c r="B328" s="56">
        <f t="shared" si="8"/>
      </c>
      <c r="C328" s="79">
        <f t="shared" si="0"/>
      </c>
      <c r="D328" s="53">
        <f t="shared" si="1"/>
      </c>
      <c r="E328" s="53">
        <f t="shared" si="2"/>
      </c>
      <c r="F328" s="53">
        <f t="shared" si="3"/>
      </c>
      <c r="G328" s="53">
        <f t="shared" si="4"/>
      </c>
      <c r="H328" s="59">
        <f t="shared" si="5"/>
      </c>
      <c r="I328" s="56">
        <f t="shared" si="6"/>
      </c>
      <c r="J328" s="56">
        <f t="shared" si="9"/>
      </c>
      <c r="L328" s="46">
        <f t="shared" si="10"/>
      </c>
      <c r="M328" s="80">
        <f t="shared" si="11"/>
      </c>
      <c r="S328" s="22">
        <f>IFERROR(SMALL(资金台帐!$BA$6:$BA$3005,121),"")</f>
      </c>
      <c r="T328" s="22">
        <f>IFERROR(SMALL($S$8:$S$507,321),"")</f>
      </c>
      <c r="U328" s="22">
        <f t="shared" si="12"/>
      </c>
      <c r="V328" s="22">
        <f t="shared" si="13"/>
      </c>
      <c r="W328" s="22">
        <f t="shared" si="14"/>
      </c>
    </row>
    <row r="329">
      <c r="A329" s="60">
        <f t="shared" si="7"/>
      </c>
      <c r="B329" s="56">
        <f t="shared" si="8"/>
      </c>
      <c r="C329" s="79">
        <f t="shared" si="0"/>
      </c>
      <c r="D329" s="53">
        <f t="shared" si="1"/>
      </c>
      <c r="E329" s="53">
        <f t="shared" si="2"/>
      </c>
      <c r="F329" s="53">
        <f t="shared" si="3"/>
      </c>
      <c r="G329" s="53">
        <f t="shared" si="4"/>
      </c>
      <c r="H329" s="59">
        <f t="shared" si="5"/>
      </c>
      <c r="I329" s="56">
        <f t="shared" si="6"/>
      </c>
      <c r="J329" s="56">
        <f t="shared" si="9"/>
      </c>
      <c r="L329" s="46">
        <f t="shared" si="10"/>
      </c>
      <c r="M329" s="80">
        <f t="shared" si="11"/>
      </c>
      <c r="S329" s="22">
        <f>IFERROR(SMALL(资金台帐!$BA$6:$BA$3005,122),"")</f>
      </c>
      <c r="T329" s="22">
        <f>IFERROR(SMALL($S$8:$S$507,322),"")</f>
      </c>
      <c r="U329" s="22">
        <f t="shared" si="12"/>
      </c>
      <c r="V329" s="22">
        <f t="shared" si="13"/>
      </c>
      <c r="W329" s="22">
        <f t="shared" si="14"/>
      </c>
    </row>
    <row r="330">
      <c r="A330" s="60">
        <f t="shared" si="7"/>
      </c>
      <c r="B330" s="56">
        <f t="shared" si="8"/>
      </c>
      <c r="C330" s="79">
        <f t="shared" si="0"/>
      </c>
      <c r="D330" s="53">
        <f t="shared" si="1"/>
      </c>
      <c r="E330" s="53">
        <f t="shared" si="2"/>
      </c>
      <c r="F330" s="53">
        <f t="shared" si="3"/>
      </c>
      <c r="G330" s="53">
        <f t="shared" si="4"/>
      </c>
      <c r="H330" s="59">
        <f t="shared" si="5"/>
      </c>
      <c r="I330" s="56">
        <f t="shared" si="6"/>
      </c>
      <c r="J330" s="56">
        <f t="shared" si="9"/>
      </c>
      <c r="L330" s="46">
        <f t="shared" si="10"/>
      </c>
      <c r="M330" s="80">
        <f t="shared" si="11"/>
      </c>
      <c r="S330" s="22">
        <f>IFERROR(SMALL(资金台帐!$BA$6:$BA$3005,123),"")</f>
      </c>
      <c r="T330" s="22">
        <f>IFERROR(SMALL($S$8:$S$507,323),"")</f>
      </c>
      <c r="U330" s="22">
        <f t="shared" si="12"/>
      </c>
      <c r="V330" s="22">
        <f t="shared" si="13"/>
      </c>
      <c r="W330" s="22">
        <f t="shared" si="14"/>
      </c>
    </row>
    <row r="331">
      <c r="A331" s="60">
        <f t="shared" si="7"/>
      </c>
      <c r="B331" s="56">
        <f t="shared" si="8"/>
      </c>
      <c r="C331" s="79">
        <f t="shared" si="0"/>
      </c>
      <c r="D331" s="53">
        <f t="shared" si="1"/>
      </c>
      <c r="E331" s="53">
        <f t="shared" si="2"/>
      </c>
      <c r="F331" s="53">
        <f t="shared" si="3"/>
      </c>
      <c r="G331" s="53">
        <f t="shared" si="4"/>
      </c>
      <c r="H331" s="59">
        <f t="shared" si="5"/>
      </c>
      <c r="I331" s="56">
        <f t="shared" si="6"/>
      </c>
      <c r="J331" s="56">
        <f t="shared" si="9"/>
      </c>
      <c r="L331" s="46">
        <f t="shared" si="10"/>
      </c>
      <c r="M331" s="80">
        <f t="shared" si="11"/>
      </c>
      <c r="S331" s="22">
        <f>IFERROR(SMALL(资金台帐!$BA$6:$BA$3005,124),"")</f>
      </c>
      <c r="T331" s="22">
        <f>IFERROR(SMALL($S$8:$S$507,324),"")</f>
      </c>
      <c r="U331" s="22">
        <f t="shared" si="12"/>
      </c>
      <c r="V331" s="22">
        <f t="shared" si="13"/>
      </c>
      <c r="W331" s="22">
        <f t="shared" si="14"/>
      </c>
    </row>
    <row r="332">
      <c r="A332" s="60">
        <f t="shared" si="7"/>
      </c>
      <c r="B332" s="56">
        <f t="shared" si="8"/>
      </c>
      <c r="C332" s="79">
        <f t="shared" si="0"/>
      </c>
      <c r="D332" s="53">
        <f t="shared" si="1"/>
      </c>
      <c r="E332" s="53">
        <f t="shared" si="2"/>
      </c>
      <c r="F332" s="53">
        <f t="shared" si="3"/>
      </c>
      <c r="G332" s="53">
        <f t="shared" si="4"/>
      </c>
      <c r="H332" s="59">
        <f t="shared" si="5"/>
      </c>
      <c r="I332" s="56">
        <f t="shared" si="6"/>
      </c>
      <c r="J332" s="56">
        <f t="shared" si="9"/>
      </c>
      <c r="L332" s="46">
        <f t="shared" si="10"/>
      </c>
      <c r="M332" s="80">
        <f t="shared" si="11"/>
      </c>
      <c r="S332" s="22">
        <f>IFERROR(SMALL(资金台帐!$BA$6:$BA$3005,125),"")</f>
      </c>
      <c r="T332" s="22">
        <f>IFERROR(SMALL($S$8:$S$507,325),"")</f>
      </c>
      <c r="U332" s="22">
        <f t="shared" si="12"/>
      </c>
      <c r="V332" s="22">
        <f t="shared" si="13"/>
      </c>
      <c r="W332" s="22">
        <f t="shared" si="14"/>
      </c>
    </row>
    <row r="333">
      <c r="A333" s="60">
        <f t="shared" si="7"/>
      </c>
      <c r="B333" s="56">
        <f t="shared" si="8"/>
      </c>
      <c r="C333" s="79">
        <f t="shared" si="0"/>
      </c>
      <c r="D333" s="53">
        <f t="shared" si="1"/>
      </c>
      <c r="E333" s="53">
        <f t="shared" si="2"/>
      </c>
      <c r="F333" s="53">
        <f t="shared" si="3"/>
      </c>
      <c r="G333" s="53">
        <f t="shared" si="4"/>
      </c>
      <c r="H333" s="59">
        <f t="shared" si="5"/>
      </c>
      <c r="I333" s="56">
        <f t="shared" si="6"/>
      </c>
      <c r="J333" s="56">
        <f t="shared" si="9"/>
      </c>
      <c r="L333" s="46">
        <f t="shared" si="10"/>
      </c>
      <c r="M333" s="80">
        <f t="shared" si="11"/>
      </c>
      <c r="S333" s="22">
        <f>IFERROR(SMALL(资金台帐!$BA$6:$BA$3005,126),"")</f>
      </c>
      <c r="T333" s="22">
        <f>IFERROR(SMALL($S$8:$S$507,326),"")</f>
      </c>
      <c r="U333" s="22">
        <f t="shared" si="12"/>
      </c>
      <c r="V333" s="22">
        <f t="shared" si="13"/>
      </c>
      <c r="W333" s="22">
        <f t="shared" si="14"/>
      </c>
    </row>
    <row r="334">
      <c r="A334" s="60">
        <f t="shared" si="7"/>
      </c>
      <c r="B334" s="56">
        <f t="shared" si="8"/>
      </c>
      <c r="C334" s="79">
        <f t="shared" si="0"/>
      </c>
      <c r="D334" s="53">
        <f t="shared" si="1"/>
      </c>
      <c r="E334" s="53">
        <f t="shared" si="2"/>
      </c>
      <c r="F334" s="53">
        <f t="shared" si="3"/>
      </c>
      <c r="G334" s="53">
        <f t="shared" si="4"/>
      </c>
      <c r="H334" s="59">
        <f t="shared" si="5"/>
      </c>
      <c r="I334" s="56">
        <f t="shared" si="6"/>
      </c>
      <c r="J334" s="56">
        <f t="shared" si="9"/>
      </c>
      <c r="L334" s="46">
        <f t="shared" si="10"/>
      </c>
      <c r="M334" s="80">
        <f t="shared" si="11"/>
      </c>
      <c r="S334" s="22">
        <f>IFERROR(SMALL(资金台帐!$BA$6:$BA$3005,127),"")</f>
      </c>
      <c r="T334" s="22">
        <f>IFERROR(SMALL($S$8:$S$507,327),"")</f>
      </c>
      <c r="U334" s="22">
        <f t="shared" si="12"/>
      </c>
      <c r="V334" s="22">
        <f t="shared" si="13"/>
      </c>
      <c r="W334" s="22">
        <f t="shared" si="14"/>
      </c>
    </row>
    <row r="335">
      <c r="A335" s="60">
        <f t="shared" si="7"/>
      </c>
      <c r="B335" s="56">
        <f t="shared" si="8"/>
      </c>
      <c r="C335" s="79">
        <f t="shared" si="0"/>
      </c>
      <c r="D335" s="53">
        <f t="shared" si="1"/>
      </c>
      <c r="E335" s="53">
        <f t="shared" si="2"/>
      </c>
      <c r="F335" s="53">
        <f t="shared" si="3"/>
      </c>
      <c r="G335" s="53">
        <f t="shared" si="4"/>
      </c>
      <c r="H335" s="59">
        <f t="shared" si="5"/>
      </c>
      <c r="I335" s="56">
        <f t="shared" si="6"/>
      </c>
      <c r="J335" s="56">
        <f t="shared" si="9"/>
      </c>
      <c r="L335" s="46">
        <f t="shared" si="10"/>
      </c>
      <c r="M335" s="80">
        <f t="shared" si="11"/>
      </c>
      <c r="S335" s="22">
        <f>IFERROR(SMALL(资金台帐!$BA$6:$BA$3005,128),"")</f>
      </c>
      <c r="T335" s="22">
        <f>IFERROR(SMALL($S$8:$S$507,328),"")</f>
      </c>
      <c r="U335" s="22">
        <f t="shared" si="12"/>
      </c>
      <c r="V335" s="22">
        <f t="shared" si="13"/>
      </c>
      <c r="W335" s="22">
        <f t="shared" si="14"/>
      </c>
    </row>
    <row r="336">
      <c r="A336" s="60">
        <f t="shared" si="7"/>
      </c>
      <c r="B336" s="56">
        <f t="shared" si="8"/>
      </c>
      <c r="C336" s="79">
        <f t="shared" si="0"/>
      </c>
      <c r="D336" s="53">
        <f t="shared" si="1"/>
      </c>
      <c r="E336" s="53">
        <f t="shared" si="2"/>
      </c>
      <c r="F336" s="53">
        <f t="shared" si="3"/>
      </c>
      <c r="G336" s="53">
        <f t="shared" si="4"/>
      </c>
      <c r="H336" s="59">
        <f t="shared" si="5"/>
      </c>
      <c r="I336" s="56">
        <f t="shared" si="6"/>
      </c>
      <c r="J336" s="56">
        <f t="shared" si="9"/>
      </c>
      <c r="L336" s="46">
        <f t="shared" si="10"/>
      </c>
      <c r="M336" s="80">
        <f t="shared" si="11"/>
      </c>
      <c r="S336" s="22">
        <f>IFERROR(SMALL(资金台帐!$BA$6:$BA$3005,129),"")</f>
      </c>
      <c r="T336" s="22">
        <f>IFERROR(SMALL($S$8:$S$507,329),"")</f>
      </c>
      <c r="U336" s="22">
        <f t="shared" si="12"/>
      </c>
      <c r="V336" s="22">
        <f t="shared" si="13"/>
      </c>
      <c r="W336" s="22">
        <f t="shared" si="14"/>
      </c>
    </row>
    <row r="337">
      <c r="A337" s="60">
        <f t="shared" si="7"/>
      </c>
      <c r="B337" s="56">
        <f t="shared" si="8"/>
      </c>
      <c r="C337" s="79">
        <f t="shared" si="0"/>
      </c>
      <c r="D337" s="53">
        <f t="shared" si="1"/>
      </c>
      <c r="E337" s="53">
        <f t="shared" si="2"/>
      </c>
      <c r="F337" s="53">
        <f t="shared" si="3"/>
      </c>
      <c r="G337" s="53">
        <f t="shared" si="4"/>
      </c>
      <c r="H337" s="59">
        <f t="shared" si="5"/>
      </c>
      <c r="I337" s="56">
        <f t="shared" si="6"/>
      </c>
      <c r="J337" s="56">
        <f t="shared" si="9"/>
      </c>
      <c r="L337" s="46">
        <f t="shared" si="10"/>
      </c>
      <c r="M337" s="80">
        <f t="shared" si="11"/>
      </c>
      <c r="S337" s="22">
        <f>IFERROR(SMALL(资金台帐!$BA$6:$BA$3005,130),"")</f>
      </c>
      <c r="T337" s="22">
        <f>IFERROR(SMALL($S$8:$S$507,330),"")</f>
      </c>
      <c r="U337" s="22">
        <f t="shared" si="12"/>
      </c>
      <c r="V337" s="22">
        <f t="shared" si="13"/>
      </c>
      <c r="W337" s="22">
        <f t="shared" si="14"/>
      </c>
    </row>
    <row r="338">
      <c r="A338" s="60">
        <f t="shared" si="7"/>
      </c>
      <c r="B338" s="56">
        <f t="shared" si="8"/>
      </c>
      <c r="C338" s="79">
        <f t="shared" si="0"/>
      </c>
      <c r="D338" s="53">
        <f t="shared" si="1"/>
      </c>
      <c r="E338" s="53">
        <f t="shared" si="2"/>
      </c>
      <c r="F338" s="53">
        <f t="shared" si="3"/>
      </c>
      <c r="G338" s="53">
        <f t="shared" si="4"/>
      </c>
      <c r="H338" s="59">
        <f t="shared" si="5"/>
      </c>
      <c r="I338" s="56">
        <f t="shared" si="6"/>
      </c>
      <c r="J338" s="56">
        <f t="shared" si="9"/>
      </c>
      <c r="L338" s="46">
        <f t="shared" si="10"/>
      </c>
      <c r="M338" s="80">
        <f t="shared" si="11"/>
      </c>
      <c r="S338" s="22">
        <f>IFERROR(SMALL(资金台帐!$BA$6:$BA$3005,131),"")</f>
      </c>
      <c r="T338" s="22">
        <f>IFERROR(SMALL($S$8:$S$507,331),"")</f>
      </c>
      <c r="U338" s="22">
        <f t="shared" si="12"/>
      </c>
      <c r="V338" s="22">
        <f t="shared" si="13"/>
      </c>
      <c r="W338" s="22">
        <f t="shared" si="14"/>
      </c>
    </row>
    <row r="339">
      <c r="A339" s="60">
        <f t="shared" si="7"/>
      </c>
      <c r="B339" s="56">
        <f t="shared" si="8"/>
      </c>
      <c r="C339" s="79">
        <f t="shared" si="0"/>
      </c>
      <c r="D339" s="53">
        <f t="shared" si="1"/>
      </c>
      <c r="E339" s="53">
        <f t="shared" si="2"/>
      </c>
      <c r="F339" s="53">
        <f t="shared" si="3"/>
      </c>
      <c r="G339" s="53">
        <f t="shared" si="4"/>
      </c>
      <c r="H339" s="59">
        <f t="shared" si="5"/>
      </c>
      <c r="I339" s="56">
        <f t="shared" si="6"/>
      </c>
      <c r="J339" s="56">
        <f t="shared" si="9"/>
      </c>
      <c r="L339" s="46">
        <f t="shared" si="10"/>
      </c>
      <c r="M339" s="80">
        <f t="shared" si="11"/>
      </c>
      <c r="S339" s="22">
        <f>IFERROR(SMALL(资金台帐!$BA$6:$BA$3005,132),"")</f>
      </c>
      <c r="T339" s="22">
        <f>IFERROR(SMALL($S$8:$S$507,332),"")</f>
      </c>
      <c r="U339" s="22">
        <f t="shared" si="12"/>
      </c>
      <c r="V339" s="22">
        <f t="shared" si="13"/>
      </c>
      <c r="W339" s="22">
        <f t="shared" si="14"/>
      </c>
    </row>
    <row r="340">
      <c r="A340" s="60">
        <f t="shared" si="7"/>
      </c>
      <c r="B340" s="56">
        <f t="shared" si="8"/>
      </c>
      <c r="C340" s="79">
        <f t="shared" si="0"/>
      </c>
      <c r="D340" s="53">
        <f t="shared" si="1"/>
      </c>
      <c r="E340" s="53">
        <f t="shared" si="2"/>
      </c>
      <c r="F340" s="53">
        <f t="shared" si="3"/>
      </c>
      <c r="G340" s="53">
        <f t="shared" si="4"/>
      </c>
      <c r="H340" s="59">
        <f t="shared" si="5"/>
      </c>
      <c r="I340" s="56">
        <f t="shared" si="6"/>
      </c>
      <c r="J340" s="56">
        <f t="shared" si="9"/>
      </c>
      <c r="L340" s="46">
        <f t="shared" si="10"/>
      </c>
      <c r="M340" s="80">
        <f t="shared" si="11"/>
      </c>
      <c r="S340" s="22">
        <f>IFERROR(SMALL(资金台帐!$BA$6:$BA$3005,133),"")</f>
      </c>
      <c r="T340" s="22">
        <f>IFERROR(SMALL($S$8:$S$507,333),"")</f>
      </c>
      <c r="U340" s="22">
        <f t="shared" si="12"/>
      </c>
      <c r="V340" s="22">
        <f t="shared" si="13"/>
      </c>
      <c r="W340" s="22">
        <f t="shared" si="14"/>
      </c>
    </row>
    <row r="341">
      <c r="A341" s="60">
        <f t="shared" si="7"/>
      </c>
      <c r="B341" s="56">
        <f t="shared" si="8"/>
      </c>
      <c r="C341" s="79">
        <f t="shared" si="0"/>
      </c>
      <c r="D341" s="53">
        <f t="shared" si="1"/>
      </c>
      <c r="E341" s="53">
        <f t="shared" si="2"/>
      </c>
      <c r="F341" s="53">
        <f t="shared" si="3"/>
      </c>
      <c r="G341" s="53">
        <f t="shared" si="4"/>
      </c>
      <c r="H341" s="59">
        <f t="shared" si="5"/>
      </c>
      <c r="I341" s="56">
        <f t="shared" si="6"/>
      </c>
      <c r="J341" s="56">
        <f t="shared" si="9"/>
      </c>
      <c r="L341" s="46">
        <f t="shared" si="10"/>
      </c>
      <c r="M341" s="80">
        <f t="shared" si="11"/>
      </c>
      <c r="S341" s="22">
        <f>IFERROR(SMALL(资金台帐!$BA$6:$BA$3005,134),"")</f>
      </c>
      <c r="T341" s="22">
        <f>IFERROR(SMALL($S$8:$S$507,334),"")</f>
      </c>
      <c r="U341" s="22">
        <f t="shared" si="12"/>
      </c>
      <c r="V341" s="22">
        <f t="shared" si="13"/>
      </c>
      <c r="W341" s="22">
        <f t="shared" si="14"/>
      </c>
    </row>
    <row r="342">
      <c r="A342" s="60">
        <f t="shared" si="7"/>
      </c>
      <c r="B342" s="56">
        <f t="shared" si="8"/>
      </c>
      <c r="C342" s="79">
        <f t="shared" si="0"/>
      </c>
      <c r="D342" s="53">
        <f t="shared" si="1"/>
      </c>
      <c r="E342" s="53">
        <f t="shared" si="2"/>
      </c>
      <c r="F342" s="53">
        <f t="shared" si="3"/>
      </c>
      <c r="G342" s="53">
        <f t="shared" si="4"/>
      </c>
      <c r="H342" s="59">
        <f t="shared" si="5"/>
      </c>
      <c r="I342" s="56">
        <f t="shared" si="6"/>
      </c>
      <c r="J342" s="56">
        <f t="shared" si="9"/>
      </c>
      <c r="L342" s="46">
        <f t="shared" si="10"/>
      </c>
      <c r="M342" s="80">
        <f t="shared" si="11"/>
      </c>
      <c r="S342" s="22">
        <f>IFERROR(SMALL(资金台帐!$BA$6:$BA$3005,135),"")</f>
      </c>
      <c r="T342" s="22">
        <f>IFERROR(SMALL($S$8:$S$507,335),"")</f>
      </c>
      <c r="U342" s="22">
        <f t="shared" si="12"/>
      </c>
      <c r="V342" s="22">
        <f t="shared" si="13"/>
      </c>
      <c r="W342" s="22">
        <f t="shared" si="14"/>
      </c>
    </row>
    <row r="343">
      <c r="A343" s="60">
        <f t="shared" si="7"/>
      </c>
      <c r="B343" s="56">
        <f t="shared" si="8"/>
      </c>
      <c r="C343" s="79">
        <f t="shared" si="0"/>
      </c>
      <c r="D343" s="53">
        <f t="shared" si="1"/>
      </c>
      <c r="E343" s="53">
        <f t="shared" si="2"/>
      </c>
      <c r="F343" s="53">
        <f t="shared" si="3"/>
      </c>
      <c r="G343" s="53">
        <f t="shared" si="4"/>
      </c>
      <c r="H343" s="59">
        <f t="shared" si="5"/>
      </c>
      <c r="I343" s="56">
        <f t="shared" si="6"/>
      </c>
      <c r="J343" s="56">
        <f t="shared" si="9"/>
      </c>
      <c r="L343" s="46">
        <f t="shared" si="10"/>
      </c>
      <c r="M343" s="80">
        <f t="shared" si="11"/>
      </c>
      <c r="S343" s="22">
        <f>IFERROR(SMALL(资金台帐!$BA$6:$BA$3005,136),"")</f>
      </c>
      <c r="T343" s="22">
        <f>IFERROR(SMALL($S$8:$S$507,336),"")</f>
      </c>
      <c r="U343" s="22">
        <f t="shared" si="12"/>
      </c>
      <c r="V343" s="22">
        <f t="shared" si="13"/>
      </c>
      <c r="W343" s="22">
        <f t="shared" si="14"/>
      </c>
    </row>
    <row r="344">
      <c r="A344" s="60">
        <f t="shared" si="7"/>
      </c>
      <c r="B344" s="56">
        <f t="shared" si="8"/>
      </c>
      <c r="C344" s="79">
        <f t="shared" si="0"/>
      </c>
      <c r="D344" s="53">
        <f t="shared" si="1"/>
      </c>
      <c r="E344" s="53">
        <f t="shared" si="2"/>
      </c>
      <c r="F344" s="53">
        <f t="shared" si="3"/>
      </c>
      <c r="G344" s="53">
        <f t="shared" si="4"/>
      </c>
      <c r="H344" s="59">
        <f t="shared" si="5"/>
      </c>
      <c r="I344" s="56">
        <f t="shared" si="6"/>
      </c>
      <c r="J344" s="56">
        <f t="shared" si="9"/>
      </c>
      <c r="L344" s="46">
        <f t="shared" si="10"/>
      </c>
      <c r="M344" s="80">
        <f t="shared" si="11"/>
      </c>
      <c r="S344" s="22">
        <f>IFERROR(SMALL(资金台帐!$BA$6:$BA$3005,137),"")</f>
      </c>
      <c r="T344" s="22">
        <f>IFERROR(SMALL($S$8:$S$507,337),"")</f>
      </c>
      <c r="U344" s="22">
        <f t="shared" si="12"/>
      </c>
      <c r="V344" s="22">
        <f t="shared" si="13"/>
      </c>
      <c r="W344" s="22">
        <f t="shared" si="14"/>
      </c>
    </row>
    <row r="345">
      <c r="A345" s="60">
        <f t="shared" si="7"/>
      </c>
      <c r="B345" s="56">
        <f t="shared" si="8"/>
      </c>
      <c r="C345" s="79">
        <f t="shared" si="0"/>
      </c>
      <c r="D345" s="53">
        <f t="shared" si="1"/>
      </c>
      <c r="E345" s="53">
        <f t="shared" si="2"/>
      </c>
      <c r="F345" s="53">
        <f t="shared" si="3"/>
      </c>
      <c r="G345" s="53">
        <f t="shared" si="4"/>
      </c>
      <c r="H345" s="59">
        <f t="shared" si="5"/>
      </c>
      <c r="I345" s="56">
        <f t="shared" si="6"/>
      </c>
      <c r="J345" s="56">
        <f t="shared" si="9"/>
      </c>
      <c r="L345" s="46">
        <f t="shared" si="10"/>
      </c>
      <c r="M345" s="80">
        <f t="shared" si="11"/>
      </c>
      <c r="S345" s="22">
        <f>IFERROR(SMALL(资金台帐!$BA$6:$BA$3005,138),"")</f>
      </c>
      <c r="T345" s="22">
        <f>IFERROR(SMALL($S$8:$S$507,338),"")</f>
      </c>
      <c r="U345" s="22">
        <f t="shared" si="12"/>
      </c>
      <c r="V345" s="22">
        <f t="shared" si="13"/>
      </c>
      <c r="W345" s="22">
        <f t="shared" si="14"/>
      </c>
    </row>
    <row r="346">
      <c r="A346" s="60">
        <f t="shared" si="7"/>
      </c>
      <c r="B346" s="56">
        <f t="shared" si="8"/>
      </c>
      <c r="C346" s="79">
        <f t="shared" si="0"/>
      </c>
      <c r="D346" s="53">
        <f t="shared" si="1"/>
      </c>
      <c r="E346" s="53">
        <f t="shared" si="2"/>
      </c>
      <c r="F346" s="53">
        <f t="shared" si="3"/>
      </c>
      <c r="G346" s="53">
        <f t="shared" si="4"/>
      </c>
      <c r="H346" s="59">
        <f t="shared" si="5"/>
      </c>
      <c r="I346" s="56">
        <f t="shared" si="6"/>
      </c>
      <c r="J346" s="56">
        <f t="shared" si="9"/>
      </c>
      <c r="L346" s="46">
        <f t="shared" si="10"/>
      </c>
      <c r="M346" s="80">
        <f t="shared" si="11"/>
      </c>
      <c r="S346" s="22">
        <f>IFERROR(SMALL(资金台帐!$BA$6:$BA$3005,139),"")</f>
      </c>
      <c r="T346" s="22">
        <f>IFERROR(SMALL($S$8:$S$507,339),"")</f>
      </c>
      <c r="U346" s="22">
        <f t="shared" si="12"/>
      </c>
      <c r="V346" s="22">
        <f t="shared" si="13"/>
      </c>
      <c r="W346" s="22">
        <f t="shared" si="14"/>
      </c>
    </row>
    <row r="347">
      <c r="A347" s="60">
        <f t="shared" si="7"/>
      </c>
      <c r="B347" s="56">
        <f t="shared" si="8"/>
      </c>
      <c r="C347" s="79">
        <f t="shared" si="0"/>
      </c>
      <c r="D347" s="53">
        <f t="shared" si="1"/>
      </c>
      <c r="E347" s="53">
        <f t="shared" si="2"/>
      </c>
      <c r="F347" s="53">
        <f t="shared" si="3"/>
      </c>
      <c r="G347" s="53">
        <f t="shared" si="4"/>
      </c>
      <c r="H347" s="59">
        <f t="shared" si="5"/>
      </c>
      <c r="I347" s="56">
        <f t="shared" si="6"/>
      </c>
      <c r="J347" s="56">
        <f t="shared" si="9"/>
      </c>
      <c r="L347" s="46">
        <f t="shared" si="10"/>
      </c>
      <c r="M347" s="80">
        <f t="shared" si="11"/>
      </c>
      <c r="S347" s="22">
        <f>IFERROR(SMALL(资金台帐!$BA$6:$BA$3005,140),"")</f>
      </c>
      <c r="T347" s="22">
        <f>IFERROR(SMALL($S$8:$S$507,340),"")</f>
      </c>
      <c r="U347" s="22">
        <f t="shared" si="12"/>
      </c>
      <c r="V347" s="22">
        <f t="shared" si="13"/>
      </c>
      <c r="W347" s="22">
        <f t="shared" si="14"/>
      </c>
    </row>
    <row r="348">
      <c r="A348" s="60">
        <f t="shared" si="7"/>
      </c>
      <c r="B348" s="56">
        <f t="shared" si="8"/>
      </c>
      <c r="C348" s="79">
        <f t="shared" si="0"/>
      </c>
      <c r="D348" s="53">
        <f t="shared" si="1"/>
      </c>
      <c r="E348" s="53">
        <f t="shared" si="2"/>
      </c>
      <c r="F348" s="53">
        <f t="shared" si="3"/>
      </c>
      <c r="G348" s="53">
        <f t="shared" si="4"/>
      </c>
      <c r="H348" s="59">
        <f t="shared" si="5"/>
      </c>
      <c r="I348" s="56">
        <f t="shared" si="6"/>
      </c>
      <c r="J348" s="56">
        <f t="shared" si="9"/>
      </c>
      <c r="L348" s="46">
        <f t="shared" si="10"/>
      </c>
      <c r="M348" s="80">
        <f t="shared" si="11"/>
      </c>
      <c r="S348" s="22">
        <f>IFERROR(SMALL(资金台帐!$BA$6:$BA$3005,141),"")</f>
      </c>
      <c r="T348" s="22">
        <f>IFERROR(SMALL($S$8:$S$507,341),"")</f>
      </c>
      <c r="U348" s="22">
        <f t="shared" si="12"/>
      </c>
      <c r="V348" s="22">
        <f t="shared" si="13"/>
      </c>
      <c r="W348" s="22">
        <f t="shared" si="14"/>
      </c>
    </row>
    <row r="349">
      <c r="A349" s="60">
        <f t="shared" si="7"/>
      </c>
      <c r="B349" s="56">
        <f t="shared" si="8"/>
      </c>
      <c r="C349" s="79">
        <f t="shared" si="0"/>
      </c>
      <c r="D349" s="53">
        <f t="shared" si="1"/>
      </c>
      <c r="E349" s="53">
        <f t="shared" si="2"/>
      </c>
      <c r="F349" s="53">
        <f t="shared" si="3"/>
      </c>
      <c r="G349" s="53">
        <f t="shared" si="4"/>
      </c>
      <c r="H349" s="59">
        <f t="shared" si="5"/>
      </c>
      <c r="I349" s="56">
        <f t="shared" si="6"/>
      </c>
      <c r="J349" s="56">
        <f t="shared" si="9"/>
      </c>
      <c r="L349" s="46">
        <f t="shared" si="10"/>
      </c>
      <c r="M349" s="80">
        <f t="shared" si="11"/>
      </c>
      <c r="S349" s="22">
        <f>IFERROR(SMALL(资金台帐!$BA$6:$BA$3005,142),"")</f>
      </c>
      <c r="T349" s="22">
        <f>IFERROR(SMALL($S$8:$S$507,342),"")</f>
      </c>
      <c r="U349" s="22">
        <f t="shared" si="12"/>
      </c>
      <c r="V349" s="22">
        <f t="shared" si="13"/>
      </c>
      <c r="W349" s="22">
        <f t="shared" si="14"/>
      </c>
    </row>
    <row r="350">
      <c r="A350" s="60">
        <f t="shared" si="7"/>
      </c>
      <c r="B350" s="56">
        <f t="shared" si="8"/>
      </c>
      <c r="C350" s="79">
        <f t="shared" si="0"/>
      </c>
      <c r="D350" s="53">
        <f t="shared" si="1"/>
      </c>
      <c r="E350" s="53">
        <f t="shared" si="2"/>
      </c>
      <c r="F350" s="53">
        <f t="shared" si="3"/>
      </c>
      <c r="G350" s="53">
        <f t="shared" si="4"/>
      </c>
      <c r="H350" s="59">
        <f t="shared" si="5"/>
      </c>
      <c r="I350" s="56">
        <f t="shared" si="6"/>
      </c>
      <c r="J350" s="56">
        <f t="shared" si="9"/>
      </c>
      <c r="L350" s="46">
        <f t="shared" si="10"/>
      </c>
      <c r="M350" s="80">
        <f t="shared" si="11"/>
      </c>
      <c r="S350" s="22">
        <f>IFERROR(SMALL(资金台帐!$BA$6:$BA$3005,143),"")</f>
      </c>
      <c r="T350" s="22">
        <f>IFERROR(SMALL($S$8:$S$507,343),"")</f>
      </c>
      <c r="U350" s="22">
        <f t="shared" si="12"/>
      </c>
      <c r="V350" s="22">
        <f t="shared" si="13"/>
      </c>
      <c r="W350" s="22">
        <f t="shared" si="14"/>
      </c>
    </row>
    <row r="351">
      <c r="A351" s="60">
        <f t="shared" si="7"/>
      </c>
      <c r="B351" s="56">
        <f t="shared" si="8"/>
      </c>
      <c r="C351" s="79">
        <f t="shared" si="0"/>
      </c>
      <c r="D351" s="53">
        <f t="shared" si="1"/>
      </c>
      <c r="E351" s="53">
        <f t="shared" si="2"/>
      </c>
      <c r="F351" s="53">
        <f t="shared" si="3"/>
      </c>
      <c r="G351" s="53">
        <f t="shared" si="4"/>
      </c>
      <c r="H351" s="59">
        <f t="shared" si="5"/>
      </c>
      <c r="I351" s="56">
        <f t="shared" si="6"/>
      </c>
      <c r="J351" s="56">
        <f t="shared" si="9"/>
      </c>
      <c r="L351" s="46">
        <f t="shared" si="10"/>
      </c>
      <c r="M351" s="80">
        <f t="shared" si="11"/>
      </c>
      <c r="S351" s="22">
        <f>IFERROR(SMALL(资金台帐!$BA$6:$BA$3005,144),"")</f>
      </c>
      <c r="T351" s="22">
        <f>IFERROR(SMALL($S$8:$S$507,344),"")</f>
      </c>
      <c r="U351" s="22">
        <f t="shared" si="12"/>
      </c>
      <c r="V351" s="22">
        <f t="shared" si="13"/>
      </c>
      <c r="W351" s="22">
        <f t="shared" si="14"/>
      </c>
    </row>
    <row r="352">
      <c r="A352" s="60">
        <f t="shared" si="7"/>
      </c>
      <c r="B352" s="56">
        <f t="shared" si="8"/>
      </c>
      <c r="C352" s="79">
        <f t="shared" si="0"/>
      </c>
      <c r="D352" s="53">
        <f t="shared" si="1"/>
      </c>
      <c r="E352" s="53">
        <f t="shared" si="2"/>
      </c>
      <c r="F352" s="53">
        <f t="shared" si="3"/>
      </c>
      <c r="G352" s="53">
        <f t="shared" si="4"/>
      </c>
      <c r="H352" s="59">
        <f t="shared" si="5"/>
      </c>
      <c r="I352" s="56">
        <f t="shared" si="6"/>
      </c>
      <c r="J352" s="56">
        <f t="shared" si="9"/>
      </c>
      <c r="L352" s="46">
        <f t="shared" si="10"/>
      </c>
      <c r="M352" s="80">
        <f t="shared" si="11"/>
      </c>
      <c r="S352" s="22">
        <f>IFERROR(SMALL(资金台帐!$BA$6:$BA$3005,145),"")</f>
      </c>
      <c r="T352" s="22">
        <f>IFERROR(SMALL($S$8:$S$507,345),"")</f>
      </c>
      <c r="U352" s="22">
        <f t="shared" si="12"/>
      </c>
      <c r="V352" s="22">
        <f t="shared" si="13"/>
      </c>
      <c r="W352" s="22">
        <f t="shared" si="14"/>
      </c>
    </row>
    <row r="353">
      <c r="A353" s="60">
        <f t="shared" si="7"/>
      </c>
      <c r="B353" s="56">
        <f t="shared" si="8"/>
      </c>
      <c r="C353" s="79">
        <f t="shared" si="0"/>
      </c>
      <c r="D353" s="53">
        <f t="shared" si="1"/>
      </c>
      <c r="E353" s="53">
        <f t="shared" si="2"/>
      </c>
      <c r="F353" s="53">
        <f t="shared" si="3"/>
      </c>
      <c r="G353" s="53">
        <f t="shared" si="4"/>
      </c>
      <c r="H353" s="59">
        <f t="shared" si="5"/>
      </c>
      <c r="I353" s="56">
        <f t="shared" si="6"/>
      </c>
      <c r="J353" s="56">
        <f t="shared" si="9"/>
      </c>
      <c r="L353" s="46">
        <f t="shared" si="10"/>
      </c>
      <c r="M353" s="80">
        <f t="shared" si="11"/>
      </c>
      <c r="S353" s="22">
        <f>IFERROR(SMALL(资金台帐!$BA$6:$BA$3005,146),"")</f>
      </c>
      <c r="T353" s="22">
        <f>IFERROR(SMALL($S$8:$S$507,346),"")</f>
      </c>
      <c r="U353" s="22">
        <f t="shared" si="12"/>
      </c>
      <c r="V353" s="22">
        <f t="shared" si="13"/>
      </c>
      <c r="W353" s="22">
        <f t="shared" si="14"/>
      </c>
    </row>
    <row r="354">
      <c r="A354" s="60">
        <f t="shared" si="7"/>
      </c>
      <c r="B354" s="56">
        <f t="shared" si="8"/>
      </c>
      <c r="C354" s="79">
        <f t="shared" si="0"/>
      </c>
      <c r="D354" s="53">
        <f t="shared" si="1"/>
      </c>
      <c r="E354" s="53">
        <f t="shared" si="2"/>
      </c>
      <c r="F354" s="53">
        <f t="shared" si="3"/>
      </c>
      <c r="G354" s="53">
        <f t="shared" si="4"/>
      </c>
      <c r="H354" s="59">
        <f t="shared" si="5"/>
      </c>
      <c r="I354" s="56">
        <f t="shared" si="6"/>
      </c>
      <c r="J354" s="56">
        <f t="shared" si="9"/>
      </c>
      <c r="L354" s="46">
        <f t="shared" si="10"/>
      </c>
      <c r="M354" s="80">
        <f t="shared" si="11"/>
      </c>
      <c r="S354" s="22">
        <f>IFERROR(SMALL(资金台帐!$BA$6:$BA$3005,147),"")</f>
      </c>
      <c r="T354" s="22">
        <f>IFERROR(SMALL($S$8:$S$507,347),"")</f>
      </c>
      <c r="U354" s="22">
        <f t="shared" si="12"/>
      </c>
      <c r="V354" s="22">
        <f t="shared" si="13"/>
      </c>
      <c r="W354" s="22">
        <f t="shared" si="14"/>
      </c>
    </row>
    <row r="355">
      <c r="A355" s="60">
        <f t="shared" si="7"/>
      </c>
      <c r="B355" s="56">
        <f t="shared" si="8"/>
      </c>
      <c r="C355" s="79">
        <f t="shared" si="0"/>
      </c>
      <c r="D355" s="53">
        <f t="shared" si="1"/>
      </c>
      <c r="E355" s="53">
        <f t="shared" si="2"/>
      </c>
      <c r="F355" s="53">
        <f t="shared" si="3"/>
      </c>
      <c r="G355" s="53">
        <f t="shared" si="4"/>
      </c>
      <c r="H355" s="59">
        <f t="shared" si="5"/>
      </c>
      <c r="I355" s="56">
        <f t="shared" si="6"/>
      </c>
      <c r="J355" s="56">
        <f t="shared" si="9"/>
      </c>
      <c r="L355" s="46">
        <f t="shared" si="10"/>
      </c>
      <c r="M355" s="80">
        <f t="shared" si="11"/>
      </c>
      <c r="S355" s="22">
        <f>IFERROR(SMALL(资金台帐!$BA$6:$BA$3005,148),"")</f>
      </c>
      <c r="T355" s="22">
        <f>IFERROR(SMALL($S$8:$S$507,348),"")</f>
      </c>
      <c r="U355" s="22">
        <f t="shared" si="12"/>
      </c>
      <c r="V355" s="22">
        <f t="shared" si="13"/>
      </c>
      <c r="W355" s="22">
        <f t="shared" si="14"/>
      </c>
    </row>
    <row r="356">
      <c r="A356" s="60">
        <f t="shared" si="7"/>
      </c>
      <c r="B356" s="56">
        <f t="shared" si="8"/>
      </c>
      <c r="C356" s="79">
        <f t="shared" si="0"/>
      </c>
      <c r="D356" s="53">
        <f t="shared" si="1"/>
      </c>
      <c r="E356" s="53">
        <f t="shared" si="2"/>
      </c>
      <c r="F356" s="53">
        <f t="shared" si="3"/>
      </c>
      <c r="G356" s="53">
        <f t="shared" si="4"/>
      </c>
      <c r="H356" s="59">
        <f t="shared" si="5"/>
      </c>
      <c r="I356" s="56">
        <f t="shared" si="6"/>
      </c>
      <c r="J356" s="56">
        <f t="shared" si="9"/>
      </c>
      <c r="L356" s="46">
        <f t="shared" si="10"/>
      </c>
      <c r="M356" s="80">
        <f t="shared" si="11"/>
      </c>
      <c r="S356" s="22">
        <f>IFERROR(SMALL(资金台帐!$BA$6:$BA$3005,149),"")</f>
      </c>
      <c r="T356" s="22">
        <f>IFERROR(SMALL($S$8:$S$507,349),"")</f>
      </c>
      <c r="U356" s="22">
        <f t="shared" si="12"/>
      </c>
      <c r="V356" s="22">
        <f t="shared" si="13"/>
      </c>
      <c r="W356" s="22">
        <f t="shared" si="14"/>
      </c>
    </row>
    <row r="357">
      <c r="A357" s="60">
        <f t="shared" si="7"/>
      </c>
      <c r="B357" s="56">
        <f t="shared" si="8"/>
      </c>
      <c r="C357" s="79">
        <f t="shared" si="0"/>
      </c>
      <c r="D357" s="53">
        <f t="shared" si="1"/>
      </c>
      <c r="E357" s="53">
        <f t="shared" si="2"/>
      </c>
      <c r="F357" s="53">
        <f t="shared" si="3"/>
      </c>
      <c r="G357" s="53">
        <f t="shared" si="4"/>
      </c>
      <c r="H357" s="59">
        <f t="shared" si="5"/>
      </c>
      <c r="I357" s="56">
        <f t="shared" si="6"/>
      </c>
      <c r="J357" s="56">
        <f t="shared" si="9"/>
      </c>
      <c r="L357" s="46">
        <f t="shared" si="10"/>
      </c>
      <c r="M357" s="80">
        <f t="shared" si="11"/>
      </c>
      <c r="S357" s="22">
        <f>IFERROR(SMALL(资金台帐!$BA$6:$BA$3005,150),"")</f>
      </c>
      <c r="T357" s="22">
        <f>IFERROR(SMALL($S$8:$S$507,350),"")</f>
      </c>
      <c r="U357" s="22">
        <f t="shared" si="12"/>
      </c>
      <c r="V357" s="22">
        <f t="shared" si="13"/>
      </c>
      <c r="W357" s="22">
        <f t="shared" si="14"/>
      </c>
    </row>
    <row r="358">
      <c r="A358" s="60">
        <f t="shared" si="7"/>
      </c>
      <c r="B358" s="56">
        <f t="shared" si="8"/>
      </c>
      <c r="C358" s="79">
        <f t="shared" si="0"/>
      </c>
      <c r="D358" s="53">
        <f t="shared" si="1"/>
      </c>
      <c r="E358" s="53">
        <f t="shared" si="2"/>
      </c>
      <c r="F358" s="53">
        <f t="shared" si="3"/>
      </c>
      <c r="G358" s="53">
        <f t="shared" si="4"/>
      </c>
      <c r="H358" s="59">
        <f t="shared" si="5"/>
      </c>
      <c r="I358" s="56">
        <f t="shared" si="6"/>
      </c>
      <c r="J358" s="56">
        <f t="shared" si="9"/>
      </c>
      <c r="L358" s="46">
        <f t="shared" si="10"/>
      </c>
      <c r="M358" s="80">
        <f t="shared" si="11"/>
      </c>
      <c r="S358" s="22">
        <f>IFERROR(SMALL(资金台帐!$BA$6:$BA$3005,151),"")</f>
      </c>
      <c r="T358" s="22">
        <f>IFERROR(SMALL($S$8:$S$507,351),"")</f>
      </c>
      <c r="U358" s="22">
        <f t="shared" si="12"/>
      </c>
      <c r="V358" s="22">
        <f t="shared" si="13"/>
      </c>
      <c r="W358" s="22">
        <f t="shared" si="14"/>
      </c>
    </row>
    <row r="359">
      <c r="A359" s="60">
        <f t="shared" si="7"/>
      </c>
      <c r="B359" s="56">
        <f t="shared" si="8"/>
      </c>
      <c r="C359" s="79">
        <f t="shared" si="0"/>
      </c>
      <c r="D359" s="53">
        <f t="shared" si="1"/>
      </c>
      <c r="E359" s="53">
        <f t="shared" si="2"/>
      </c>
      <c r="F359" s="53">
        <f t="shared" si="3"/>
      </c>
      <c r="G359" s="53">
        <f t="shared" si="4"/>
      </c>
      <c r="H359" s="59">
        <f t="shared" si="5"/>
      </c>
      <c r="I359" s="56">
        <f t="shared" si="6"/>
      </c>
      <c r="J359" s="56">
        <f t="shared" si="9"/>
      </c>
      <c r="L359" s="46">
        <f t="shared" si="10"/>
      </c>
      <c r="M359" s="80">
        <f t="shared" si="11"/>
      </c>
      <c r="S359" s="22">
        <f>IFERROR(SMALL(资金台帐!$BA$6:$BA$3005,152),"")</f>
      </c>
      <c r="T359" s="22">
        <f>IFERROR(SMALL($S$8:$S$507,352),"")</f>
      </c>
      <c r="U359" s="22">
        <f t="shared" si="12"/>
      </c>
      <c r="V359" s="22">
        <f t="shared" si="13"/>
      </c>
      <c r="W359" s="22">
        <f t="shared" si="14"/>
      </c>
    </row>
    <row r="360">
      <c r="A360" s="60">
        <f t="shared" si="7"/>
      </c>
      <c r="B360" s="56">
        <f t="shared" si="8"/>
      </c>
      <c r="C360" s="79">
        <f t="shared" si="0"/>
      </c>
      <c r="D360" s="53">
        <f t="shared" si="1"/>
      </c>
      <c r="E360" s="53">
        <f t="shared" si="2"/>
      </c>
      <c r="F360" s="53">
        <f t="shared" si="3"/>
      </c>
      <c r="G360" s="53">
        <f t="shared" si="4"/>
      </c>
      <c r="H360" s="59">
        <f t="shared" si="5"/>
      </c>
      <c r="I360" s="56">
        <f t="shared" si="6"/>
      </c>
      <c r="J360" s="56">
        <f t="shared" si="9"/>
      </c>
      <c r="L360" s="46">
        <f t="shared" si="10"/>
      </c>
      <c r="M360" s="80">
        <f t="shared" si="11"/>
      </c>
      <c r="S360" s="22">
        <f>IFERROR(SMALL(资金台帐!$BA$6:$BA$3005,153),"")</f>
      </c>
      <c r="T360" s="22">
        <f>IFERROR(SMALL($S$8:$S$507,353),"")</f>
      </c>
      <c r="U360" s="22">
        <f t="shared" si="12"/>
      </c>
      <c r="V360" s="22">
        <f t="shared" si="13"/>
      </c>
      <c r="W360" s="22">
        <f t="shared" si="14"/>
      </c>
    </row>
    <row r="361">
      <c r="A361" s="60">
        <f t="shared" si="7"/>
      </c>
      <c r="B361" s="56">
        <f t="shared" si="8"/>
      </c>
      <c r="C361" s="79">
        <f t="shared" si="0"/>
      </c>
      <c r="D361" s="53">
        <f t="shared" si="1"/>
      </c>
      <c r="E361" s="53">
        <f t="shared" si="2"/>
      </c>
      <c r="F361" s="53">
        <f t="shared" si="3"/>
      </c>
      <c r="G361" s="53">
        <f t="shared" si="4"/>
      </c>
      <c r="H361" s="59">
        <f t="shared" si="5"/>
      </c>
      <c r="I361" s="56">
        <f t="shared" si="6"/>
      </c>
      <c r="J361" s="56">
        <f t="shared" si="9"/>
      </c>
      <c r="L361" s="46">
        <f t="shared" si="10"/>
      </c>
      <c r="M361" s="80">
        <f t="shared" si="11"/>
      </c>
      <c r="S361" s="22">
        <f>IFERROR(SMALL(资金台帐!$BA$6:$BA$3005,154),"")</f>
      </c>
      <c r="T361" s="22">
        <f>IFERROR(SMALL($S$8:$S$507,354),"")</f>
      </c>
      <c r="U361" s="22">
        <f t="shared" si="12"/>
      </c>
      <c r="V361" s="22">
        <f t="shared" si="13"/>
      </c>
      <c r="W361" s="22">
        <f t="shared" si="14"/>
      </c>
    </row>
    <row r="362">
      <c r="A362" s="60">
        <f t="shared" si="7"/>
      </c>
      <c r="B362" s="56">
        <f t="shared" si="8"/>
      </c>
      <c r="C362" s="79">
        <f t="shared" si="0"/>
      </c>
      <c r="D362" s="53">
        <f t="shared" si="1"/>
      </c>
      <c r="E362" s="53">
        <f t="shared" si="2"/>
      </c>
      <c r="F362" s="53">
        <f t="shared" si="3"/>
      </c>
      <c r="G362" s="53">
        <f t="shared" si="4"/>
      </c>
      <c r="H362" s="59">
        <f t="shared" si="5"/>
      </c>
      <c r="I362" s="56">
        <f t="shared" si="6"/>
      </c>
      <c r="J362" s="56">
        <f t="shared" si="9"/>
      </c>
      <c r="L362" s="46">
        <f t="shared" si="10"/>
      </c>
      <c r="M362" s="80">
        <f t="shared" si="11"/>
      </c>
      <c r="S362" s="22">
        <f>IFERROR(SMALL(资金台帐!$BA$6:$BA$3005,155),"")</f>
      </c>
      <c r="T362" s="22">
        <f>IFERROR(SMALL($S$8:$S$507,355),"")</f>
      </c>
      <c r="U362" s="22">
        <f t="shared" si="12"/>
      </c>
      <c r="V362" s="22">
        <f t="shared" si="13"/>
      </c>
      <c r="W362" s="22">
        <f t="shared" si="14"/>
      </c>
    </row>
    <row r="363">
      <c r="A363" s="60">
        <f t="shared" si="7"/>
      </c>
      <c r="B363" s="56">
        <f t="shared" si="8"/>
      </c>
      <c r="C363" s="79">
        <f t="shared" si="0"/>
      </c>
      <c r="D363" s="53">
        <f t="shared" si="1"/>
      </c>
      <c r="E363" s="53">
        <f t="shared" si="2"/>
      </c>
      <c r="F363" s="53">
        <f t="shared" si="3"/>
      </c>
      <c r="G363" s="53">
        <f t="shared" si="4"/>
      </c>
      <c r="H363" s="59">
        <f t="shared" si="5"/>
      </c>
      <c r="I363" s="56">
        <f t="shared" si="6"/>
      </c>
      <c r="J363" s="56">
        <f t="shared" si="9"/>
      </c>
      <c r="L363" s="46">
        <f t="shared" si="10"/>
      </c>
      <c r="M363" s="80">
        <f t="shared" si="11"/>
      </c>
      <c r="S363" s="22">
        <f>IFERROR(SMALL(资金台帐!$BA$6:$BA$3005,156),"")</f>
      </c>
      <c r="T363" s="22">
        <f>IFERROR(SMALL($S$8:$S$507,356),"")</f>
      </c>
      <c r="U363" s="22">
        <f t="shared" si="12"/>
      </c>
      <c r="V363" s="22">
        <f t="shared" si="13"/>
      </c>
      <c r="W363" s="22">
        <f t="shared" si="14"/>
      </c>
    </row>
    <row r="364">
      <c r="A364" s="60">
        <f t="shared" si="7"/>
      </c>
      <c r="B364" s="56">
        <f t="shared" si="8"/>
      </c>
      <c r="C364" s="79">
        <f t="shared" si="0"/>
      </c>
      <c r="D364" s="53">
        <f t="shared" si="1"/>
      </c>
      <c r="E364" s="53">
        <f t="shared" si="2"/>
      </c>
      <c r="F364" s="53">
        <f t="shared" si="3"/>
      </c>
      <c r="G364" s="53">
        <f t="shared" si="4"/>
      </c>
      <c r="H364" s="59">
        <f t="shared" si="5"/>
      </c>
      <c r="I364" s="56">
        <f t="shared" si="6"/>
      </c>
      <c r="J364" s="56">
        <f t="shared" si="9"/>
      </c>
      <c r="L364" s="46">
        <f t="shared" si="10"/>
      </c>
      <c r="M364" s="80">
        <f t="shared" si="11"/>
      </c>
      <c r="S364" s="22">
        <f>IFERROR(SMALL(资金台帐!$BA$6:$BA$3005,157),"")</f>
      </c>
      <c r="T364" s="22">
        <f>IFERROR(SMALL($S$8:$S$507,357),"")</f>
      </c>
      <c r="U364" s="22">
        <f t="shared" si="12"/>
      </c>
      <c r="V364" s="22">
        <f t="shared" si="13"/>
      </c>
      <c r="W364" s="22">
        <f t="shared" si="14"/>
      </c>
    </row>
    <row r="365">
      <c r="A365" s="60">
        <f t="shared" si="7"/>
      </c>
      <c r="B365" s="56">
        <f t="shared" si="8"/>
      </c>
      <c r="C365" s="79">
        <f t="shared" si="0"/>
      </c>
      <c r="D365" s="53">
        <f t="shared" si="1"/>
      </c>
      <c r="E365" s="53">
        <f t="shared" si="2"/>
      </c>
      <c r="F365" s="53">
        <f t="shared" si="3"/>
      </c>
      <c r="G365" s="53">
        <f t="shared" si="4"/>
      </c>
      <c r="H365" s="59">
        <f t="shared" si="5"/>
      </c>
      <c r="I365" s="56">
        <f t="shared" si="6"/>
      </c>
      <c r="J365" s="56">
        <f t="shared" si="9"/>
      </c>
      <c r="L365" s="46">
        <f t="shared" si="10"/>
      </c>
      <c r="M365" s="80">
        <f t="shared" si="11"/>
      </c>
      <c r="S365" s="22">
        <f>IFERROR(SMALL(资金台帐!$BA$6:$BA$3005,158),"")</f>
      </c>
      <c r="T365" s="22">
        <f>IFERROR(SMALL($S$8:$S$507,358),"")</f>
      </c>
      <c r="U365" s="22">
        <f t="shared" si="12"/>
      </c>
      <c r="V365" s="22">
        <f t="shared" si="13"/>
      </c>
      <c r="W365" s="22">
        <f t="shared" si="14"/>
      </c>
    </row>
    <row r="366">
      <c r="A366" s="60">
        <f t="shared" si="7"/>
      </c>
      <c r="B366" s="56">
        <f t="shared" si="8"/>
      </c>
      <c r="C366" s="79">
        <f t="shared" si="0"/>
      </c>
      <c r="D366" s="53">
        <f t="shared" si="1"/>
      </c>
      <c r="E366" s="53">
        <f t="shared" si="2"/>
      </c>
      <c r="F366" s="53">
        <f t="shared" si="3"/>
      </c>
      <c r="G366" s="53">
        <f t="shared" si="4"/>
      </c>
      <c r="H366" s="59">
        <f t="shared" si="5"/>
      </c>
      <c r="I366" s="56">
        <f t="shared" si="6"/>
      </c>
      <c r="J366" s="56">
        <f t="shared" si="9"/>
      </c>
      <c r="L366" s="46">
        <f t="shared" si="10"/>
      </c>
      <c r="M366" s="80">
        <f t="shared" si="11"/>
      </c>
      <c r="S366" s="22">
        <f>IFERROR(SMALL(资金台帐!$BA$6:$BA$3005,159),"")</f>
      </c>
      <c r="T366" s="22">
        <f>IFERROR(SMALL($S$8:$S$507,359),"")</f>
      </c>
      <c r="U366" s="22">
        <f t="shared" si="12"/>
      </c>
      <c r="V366" s="22">
        <f t="shared" si="13"/>
      </c>
      <c r="W366" s="22">
        <f t="shared" si="14"/>
      </c>
    </row>
    <row r="367">
      <c r="A367" s="60">
        <f t="shared" si="7"/>
      </c>
      <c r="B367" s="56">
        <f t="shared" si="8"/>
      </c>
      <c r="C367" s="79">
        <f t="shared" si="0"/>
      </c>
      <c r="D367" s="53">
        <f t="shared" si="1"/>
      </c>
      <c r="E367" s="53">
        <f t="shared" si="2"/>
      </c>
      <c r="F367" s="53">
        <f t="shared" si="3"/>
      </c>
      <c r="G367" s="53">
        <f t="shared" si="4"/>
      </c>
      <c r="H367" s="59">
        <f t="shared" si="5"/>
      </c>
      <c r="I367" s="56">
        <f t="shared" si="6"/>
      </c>
      <c r="J367" s="56">
        <f t="shared" si="9"/>
      </c>
      <c r="L367" s="46">
        <f t="shared" si="10"/>
      </c>
      <c r="M367" s="80">
        <f t="shared" si="11"/>
      </c>
      <c r="S367" s="22">
        <f>IFERROR(SMALL(资金台帐!$BA$6:$BA$3005,160),"")</f>
      </c>
      <c r="T367" s="22">
        <f>IFERROR(SMALL($S$8:$S$507,360),"")</f>
      </c>
      <c r="U367" s="22">
        <f t="shared" si="12"/>
      </c>
      <c r="V367" s="22">
        <f t="shared" si="13"/>
      </c>
      <c r="W367" s="22">
        <f t="shared" si="14"/>
      </c>
    </row>
    <row r="368">
      <c r="A368" s="60">
        <f t="shared" si="7"/>
      </c>
      <c r="B368" s="56">
        <f t="shared" si="8"/>
      </c>
      <c r="C368" s="79">
        <f t="shared" si="0"/>
      </c>
      <c r="D368" s="53">
        <f t="shared" si="1"/>
      </c>
      <c r="E368" s="53">
        <f t="shared" si="2"/>
      </c>
      <c r="F368" s="53">
        <f t="shared" si="3"/>
      </c>
      <c r="G368" s="53">
        <f t="shared" si="4"/>
      </c>
      <c r="H368" s="59">
        <f t="shared" si="5"/>
      </c>
      <c r="I368" s="56">
        <f t="shared" si="6"/>
      </c>
      <c r="J368" s="56">
        <f t="shared" si="9"/>
      </c>
      <c r="L368" s="46">
        <f t="shared" si="10"/>
      </c>
      <c r="M368" s="80">
        <f t="shared" si="11"/>
      </c>
      <c r="S368" s="22">
        <f>IFERROR(SMALL(资金台帐!$BA$6:$BA$3005,161),"")</f>
      </c>
      <c r="T368" s="22">
        <f>IFERROR(SMALL($S$8:$S$507,361),"")</f>
      </c>
      <c r="U368" s="22">
        <f t="shared" si="12"/>
      </c>
      <c r="V368" s="22">
        <f t="shared" si="13"/>
      </c>
      <c r="W368" s="22">
        <f t="shared" si="14"/>
      </c>
    </row>
    <row r="369">
      <c r="A369" s="60">
        <f t="shared" si="7"/>
      </c>
      <c r="B369" s="56">
        <f t="shared" si="8"/>
      </c>
      <c r="C369" s="79">
        <f t="shared" si="0"/>
      </c>
      <c r="D369" s="53">
        <f t="shared" si="1"/>
      </c>
      <c r="E369" s="53">
        <f t="shared" si="2"/>
      </c>
      <c r="F369" s="53">
        <f t="shared" si="3"/>
      </c>
      <c r="G369" s="53">
        <f t="shared" si="4"/>
      </c>
      <c r="H369" s="59">
        <f t="shared" si="5"/>
      </c>
      <c r="I369" s="56">
        <f t="shared" si="6"/>
      </c>
      <c r="J369" s="56">
        <f t="shared" si="9"/>
      </c>
      <c r="L369" s="46">
        <f t="shared" si="10"/>
      </c>
      <c r="M369" s="80">
        <f t="shared" si="11"/>
      </c>
      <c r="S369" s="22">
        <f>IFERROR(SMALL(资金台帐!$BA$6:$BA$3005,162),"")</f>
      </c>
      <c r="T369" s="22">
        <f>IFERROR(SMALL($S$8:$S$507,362),"")</f>
      </c>
      <c r="U369" s="22">
        <f t="shared" si="12"/>
      </c>
      <c r="V369" s="22">
        <f t="shared" si="13"/>
      </c>
      <c r="W369" s="22">
        <f t="shared" si="14"/>
      </c>
    </row>
    <row r="370">
      <c r="A370" s="60">
        <f t="shared" si="7"/>
      </c>
      <c r="B370" s="56">
        <f t="shared" si="8"/>
      </c>
      <c r="C370" s="79">
        <f t="shared" si="0"/>
      </c>
      <c r="D370" s="53">
        <f t="shared" si="1"/>
      </c>
      <c r="E370" s="53">
        <f t="shared" si="2"/>
      </c>
      <c r="F370" s="53">
        <f t="shared" si="3"/>
      </c>
      <c r="G370" s="53">
        <f t="shared" si="4"/>
      </c>
      <c r="H370" s="59">
        <f t="shared" si="5"/>
      </c>
      <c r="I370" s="56">
        <f t="shared" si="6"/>
      </c>
      <c r="J370" s="56">
        <f t="shared" si="9"/>
      </c>
      <c r="L370" s="46">
        <f t="shared" si="10"/>
      </c>
      <c r="M370" s="80">
        <f t="shared" si="11"/>
      </c>
      <c r="S370" s="22">
        <f>IFERROR(SMALL(资金台帐!$BA$6:$BA$3005,163),"")</f>
      </c>
      <c r="T370" s="22">
        <f>IFERROR(SMALL($S$8:$S$507,363),"")</f>
      </c>
      <c r="U370" s="22">
        <f t="shared" si="12"/>
      </c>
      <c r="V370" s="22">
        <f t="shared" si="13"/>
      </c>
      <c r="W370" s="22">
        <f t="shared" si="14"/>
      </c>
    </row>
    <row r="371">
      <c r="A371" s="60">
        <f t="shared" si="7"/>
      </c>
      <c r="B371" s="56">
        <f t="shared" si="8"/>
      </c>
      <c r="C371" s="79">
        <f t="shared" si="0"/>
      </c>
      <c r="D371" s="53">
        <f t="shared" si="1"/>
      </c>
      <c r="E371" s="53">
        <f t="shared" si="2"/>
      </c>
      <c r="F371" s="53">
        <f t="shared" si="3"/>
      </c>
      <c r="G371" s="53">
        <f t="shared" si="4"/>
      </c>
      <c r="H371" s="59">
        <f t="shared" si="5"/>
      </c>
      <c r="I371" s="56">
        <f t="shared" si="6"/>
      </c>
      <c r="J371" s="56">
        <f t="shared" si="9"/>
      </c>
      <c r="L371" s="46">
        <f t="shared" si="10"/>
      </c>
      <c r="M371" s="80">
        <f t="shared" si="11"/>
      </c>
      <c r="S371" s="22">
        <f>IFERROR(SMALL(资金台帐!$BA$6:$BA$3005,164),"")</f>
      </c>
      <c r="T371" s="22">
        <f>IFERROR(SMALL($S$8:$S$507,364),"")</f>
      </c>
      <c r="U371" s="22">
        <f t="shared" si="12"/>
      </c>
      <c r="V371" s="22">
        <f t="shared" si="13"/>
      </c>
      <c r="W371" s="22">
        <f t="shared" si="14"/>
      </c>
    </row>
    <row r="372">
      <c r="A372" s="60">
        <f t="shared" si="7"/>
      </c>
      <c r="B372" s="56">
        <f t="shared" si="8"/>
      </c>
      <c r="C372" s="79">
        <f t="shared" si="0"/>
      </c>
      <c r="D372" s="53">
        <f t="shared" si="1"/>
      </c>
      <c r="E372" s="53">
        <f t="shared" si="2"/>
      </c>
      <c r="F372" s="53">
        <f t="shared" si="3"/>
      </c>
      <c r="G372" s="53">
        <f t="shared" si="4"/>
      </c>
      <c r="H372" s="59">
        <f t="shared" si="5"/>
      </c>
      <c r="I372" s="56">
        <f t="shared" si="6"/>
      </c>
      <c r="J372" s="56">
        <f t="shared" si="9"/>
      </c>
      <c r="L372" s="46">
        <f t="shared" si="10"/>
      </c>
      <c r="M372" s="80">
        <f t="shared" si="11"/>
      </c>
      <c r="S372" s="22">
        <f>IFERROR(SMALL(资金台帐!$BA$6:$BA$3005,165),"")</f>
      </c>
      <c r="T372" s="22">
        <f>IFERROR(SMALL($S$8:$S$507,365),"")</f>
      </c>
      <c r="U372" s="22">
        <f t="shared" si="12"/>
      </c>
      <c r="V372" s="22">
        <f t="shared" si="13"/>
      </c>
      <c r="W372" s="22">
        <f t="shared" si="14"/>
      </c>
    </row>
    <row r="373">
      <c r="A373" s="60">
        <f t="shared" si="7"/>
      </c>
      <c r="B373" s="56">
        <f t="shared" si="8"/>
      </c>
      <c r="C373" s="79">
        <f t="shared" si="0"/>
      </c>
      <c r="D373" s="53">
        <f t="shared" si="1"/>
      </c>
      <c r="E373" s="53">
        <f t="shared" si="2"/>
      </c>
      <c r="F373" s="53">
        <f t="shared" si="3"/>
      </c>
      <c r="G373" s="53">
        <f t="shared" si="4"/>
      </c>
      <c r="H373" s="59">
        <f t="shared" si="5"/>
      </c>
      <c r="I373" s="56">
        <f t="shared" si="6"/>
      </c>
      <c r="J373" s="56">
        <f t="shared" si="9"/>
      </c>
      <c r="L373" s="46">
        <f t="shared" si="10"/>
      </c>
      <c r="M373" s="80">
        <f t="shared" si="11"/>
      </c>
      <c r="S373" s="22">
        <f>IFERROR(SMALL(资金台帐!$BA$6:$BA$3005,166),"")</f>
      </c>
      <c r="T373" s="22">
        <f>IFERROR(SMALL($S$8:$S$507,366),"")</f>
      </c>
      <c r="U373" s="22">
        <f t="shared" si="12"/>
      </c>
      <c r="V373" s="22">
        <f t="shared" si="13"/>
      </c>
      <c r="W373" s="22">
        <f t="shared" si="14"/>
      </c>
    </row>
    <row r="374">
      <c r="A374" s="60">
        <f t="shared" si="7"/>
      </c>
      <c r="B374" s="56">
        <f t="shared" si="8"/>
      </c>
      <c r="C374" s="79">
        <f t="shared" si="0"/>
      </c>
      <c r="D374" s="53">
        <f t="shared" si="1"/>
      </c>
      <c r="E374" s="53">
        <f t="shared" si="2"/>
      </c>
      <c r="F374" s="53">
        <f t="shared" si="3"/>
      </c>
      <c r="G374" s="53">
        <f t="shared" si="4"/>
      </c>
      <c r="H374" s="59">
        <f t="shared" si="5"/>
      </c>
      <c r="I374" s="56">
        <f t="shared" si="6"/>
      </c>
      <c r="J374" s="56">
        <f t="shared" si="9"/>
      </c>
      <c r="L374" s="46">
        <f t="shared" si="10"/>
      </c>
      <c r="M374" s="80">
        <f t="shared" si="11"/>
      </c>
      <c r="S374" s="22">
        <f>IFERROR(SMALL(资金台帐!$BA$6:$BA$3005,167),"")</f>
      </c>
      <c r="T374" s="22">
        <f>IFERROR(SMALL($S$8:$S$507,367),"")</f>
      </c>
      <c r="U374" s="22">
        <f t="shared" si="12"/>
      </c>
      <c r="V374" s="22">
        <f t="shared" si="13"/>
      </c>
      <c r="W374" s="22">
        <f t="shared" si="14"/>
      </c>
    </row>
    <row r="375">
      <c r="A375" s="60">
        <f t="shared" si="7"/>
      </c>
      <c r="B375" s="56">
        <f t="shared" si="8"/>
      </c>
      <c r="C375" s="79">
        <f t="shared" si="0"/>
      </c>
      <c r="D375" s="53">
        <f t="shared" si="1"/>
      </c>
      <c r="E375" s="53">
        <f t="shared" si="2"/>
      </c>
      <c r="F375" s="53">
        <f t="shared" si="3"/>
      </c>
      <c r="G375" s="53">
        <f t="shared" si="4"/>
      </c>
      <c r="H375" s="59">
        <f t="shared" si="5"/>
      </c>
      <c r="I375" s="56">
        <f t="shared" si="6"/>
      </c>
      <c r="J375" s="56">
        <f t="shared" si="9"/>
      </c>
      <c r="L375" s="46">
        <f t="shared" si="10"/>
      </c>
      <c r="M375" s="80">
        <f t="shared" si="11"/>
      </c>
      <c r="S375" s="22">
        <f>IFERROR(SMALL(资金台帐!$BA$6:$BA$3005,168),"")</f>
      </c>
      <c r="T375" s="22">
        <f>IFERROR(SMALL($S$8:$S$507,368),"")</f>
      </c>
      <c r="U375" s="22">
        <f t="shared" si="12"/>
      </c>
      <c r="V375" s="22">
        <f t="shared" si="13"/>
      </c>
      <c r="W375" s="22">
        <f t="shared" si="14"/>
      </c>
    </row>
    <row r="376">
      <c r="A376" s="60">
        <f t="shared" si="7"/>
      </c>
      <c r="B376" s="56">
        <f t="shared" si="8"/>
      </c>
      <c r="C376" s="79">
        <f t="shared" si="0"/>
      </c>
      <c r="D376" s="53">
        <f t="shared" si="1"/>
      </c>
      <c r="E376" s="53">
        <f t="shared" si="2"/>
      </c>
      <c r="F376" s="53">
        <f t="shared" si="3"/>
      </c>
      <c r="G376" s="53">
        <f t="shared" si="4"/>
      </c>
      <c r="H376" s="59">
        <f t="shared" si="5"/>
      </c>
      <c r="I376" s="56">
        <f t="shared" si="6"/>
      </c>
      <c r="J376" s="56">
        <f t="shared" si="9"/>
      </c>
      <c r="L376" s="46">
        <f t="shared" si="10"/>
      </c>
      <c r="M376" s="80">
        <f t="shared" si="11"/>
      </c>
      <c r="S376" s="22">
        <f>IFERROR(SMALL(资金台帐!$BA$6:$BA$3005,169),"")</f>
      </c>
      <c r="T376" s="22">
        <f>IFERROR(SMALL($S$8:$S$507,369),"")</f>
      </c>
      <c r="U376" s="22">
        <f t="shared" si="12"/>
      </c>
      <c r="V376" s="22">
        <f t="shared" si="13"/>
      </c>
      <c r="W376" s="22">
        <f t="shared" si="14"/>
      </c>
    </row>
    <row r="377">
      <c r="A377" s="60">
        <f t="shared" si="7"/>
      </c>
      <c r="B377" s="56">
        <f t="shared" si="8"/>
      </c>
      <c r="C377" s="79">
        <f t="shared" si="0"/>
      </c>
      <c r="D377" s="53">
        <f t="shared" si="1"/>
      </c>
      <c r="E377" s="53">
        <f t="shared" si="2"/>
      </c>
      <c r="F377" s="53">
        <f t="shared" si="3"/>
      </c>
      <c r="G377" s="53">
        <f t="shared" si="4"/>
      </c>
      <c r="H377" s="59">
        <f t="shared" si="5"/>
      </c>
      <c r="I377" s="56">
        <f t="shared" si="6"/>
      </c>
      <c r="J377" s="56">
        <f t="shared" si="9"/>
      </c>
      <c r="L377" s="46">
        <f t="shared" si="10"/>
      </c>
      <c r="M377" s="80">
        <f t="shared" si="11"/>
      </c>
      <c r="S377" s="22">
        <f>IFERROR(SMALL(资金台帐!$BA$6:$BA$3005,170),"")</f>
      </c>
      <c r="T377" s="22">
        <f>IFERROR(SMALL($S$8:$S$507,370),"")</f>
      </c>
      <c r="U377" s="22">
        <f t="shared" si="12"/>
      </c>
      <c r="V377" s="22">
        <f t="shared" si="13"/>
      </c>
      <c r="W377" s="22">
        <f t="shared" si="14"/>
      </c>
    </row>
    <row r="378">
      <c r="A378" s="60">
        <f t="shared" si="7"/>
      </c>
      <c r="B378" s="56">
        <f t="shared" si="8"/>
      </c>
      <c r="C378" s="79">
        <f t="shared" si="0"/>
      </c>
      <c r="D378" s="53">
        <f t="shared" si="1"/>
      </c>
      <c r="E378" s="53">
        <f t="shared" si="2"/>
      </c>
      <c r="F378" s="53">
        <f t="shared" si="3"/>
      </c>
      <c r="G378" s="53">
        <f t="shared" si="4"/>
      </c>
      <c r="H378" s="59">
        <f t="shared" si="5"/>
      </c>
      <c r="I378" s="56">
        <f t="shared" si="6"/>
      </c>
      <c r="J378" s="56">
        <f t="shared" si="9"/>
      </c>
      <c r="L378" s="46">
        <f t="shared" si="10"/>
      </c>
      <c r="M378" s="80">
        <f t="shared" si="11"/>
      </c>
      <c r="S378" s="22">
        <f>IFERROR(SMALL(资金台帐!$BA$6:$BA$3005,171),"")</f>
      </c>
      <c r="T378" s="22">
        <f>IFERROR(SMALL($S$8:$S$507,371),"")</f>
      </c>
      <c r="U378" s="22">
        <f t="shared" si="12"/>
      </c>
      <c r="V378" s="22">
        <f t="shared" si="13"/>
      </c>
      <c r="W378" s="22">
        <f t="shared" si="14"/>
      </c>
    </row>
    <row r="379">
      <c r="A379" s="60">
        <f t="shared" si="7"/>
      </c>
      <c r="B379" s="56">
        <f t="shared" si="8"/>
      </c>
      <c r="C379" s="79">
        <f t="shared" si="0"/>
      </c>
      <c r="D379" s="53">
        <f t="shared" si="1"/>
      </c>
      <c r="E379" s="53">
        <f t="shared" si="2"/>
      </c>
      <c r="F379" s="53">
        <f t="shared" si="3"/>
      </c>
      <c r="G379" s="53">
        <f t="shared" si="4"/>
      </c>
      <c r="H379" s="59">
        <f t="shared" si="5"/>
      </c>
      <c r="I379" s="56">
        <f t="shared" si="6"/>
      </c>
      <c r="J379" s="56">
        <f t="shared" si="9"/>
      </c>
      <c r="L379" s="46">
        <f t="shared" si="10"/>
      </c>
      <c r="M379" s="80">
        <f t="shared" si="11"/>
      </c>
      <c r="S379" s="22">
        <f>IFERROR(SMALL(资金台帐!$BA$6:$BA$3005,172),"")</f>
      </c>
      <c r="T379" s="22">
        <f>IFERROR(SMALL($S$8:$S$507,372),"")</f>
      </c>
      <c r="U379" s="22">
        <f t="shared" si="12"/>
      </c>
      <c r="V379" s="22">
        <f t="shared" si="13"/>
      </c>
      <c r="W379" s="22">
        <f t="shared" si="14"/>
      </c>
    </row>
    <row r="380">
      <c r="A380" s="60">
        <f t="shared" si="7"/>
      </c>
      <c r="B380" s="56">
        <f t="shared" si="8"/>
      </c>
      <c r="C380" s="79">
        <f t="shared" si="0"/>
      </c>
      <c r="D380" s="53">
        <f t="shared" si="1"/>
      </c>
      <c r="E380" s="53">
        <f t="shared" si="2"/>
      </c>
      <c r="F380" s="53">
        <f t="shared" si="3"/>
      </c>
      <c r="G380" s="53">
        <f t="shared" si="4"/>
      </c>
      <c r="H380" s="59">
        <f t="shared" si="5"/>
      </c>
      <c r="I380" s="56">
        <f t="shared" si="6"/>
      </c>
      <c r="J380" s="56">
        <f t="shared" si="9"/>
      </c>
      <c r="L380" s="46">
        <f t="shared" si="10"/>
      </c>
      <c r="M380" s="80">
        <f t="shared" si="11"/>
      </c>
      <c r="S380" s="22">
        <f>IFERROR(SMALL(资金台帐!$BA$6:$BA$3005,173),"")</f>
      </c>
      <c r="T380" s="22">
        <f>IFERROR(SMALL($S$8:$S$507,373),"")</f>
      </c>
      <c r="U380" s="22">
        <f t="shared" si="12"/>
      </c>
      <c r="V380" s="22">
        <f t="shared" si="13"/>
      </c>
      <c r="W380" s="22">
        <f t="shared" si="14"/>
      </c>
    </row>
    <row r="381">
      <c r="A381" s="60">
        <f t="shared" si="7"/>
      </c>
      <c r="B381" s="56">
        <f t="shared" si="8"/>
      </c>
      <c r="C381" s="79">
        <f t="shared" si="0"/>
      </c>
      <c r="D381" s="53">
        <f t="shared" si="1"/>
      </c>
      <c r="E381" s="53">
        <f t="shared" si="2"/>
      </c>
      <c r="F381" s="53">
        <f t="shared" si="3"/>
      </c>
      <c r="G381" s="53">
        <f t="shared" si="4"/>
      </c>
      <c r="H381" s="59">
        <f t="shared" si="5"/>
      </c>
      <c r="I381" s="56">
        <f t="shared" si="6"/>
      </c>
      <c r="J381" s="56">
        <f t="shared" si="9"/>
      </c>
      <c r="L381" s="46">
        <f t="shared" si="10"/>
      </c>
      <c r="M381" s="80">
        <f t="shared" si="11"/>
      </c>
      <c r="S381" s="22">
        <f>IFERROR(SMALL(资金台帐!$BA$6:$BA$3005,174),"")</f>
      </c>
      <c r="T381" s="22">
        <f>IFERROR(SMALL($S$8:$S$507,374),"")</f>
      </c>
      <c r="U381" s="22">
        <f t="shared" si="12"/>
      </c>
      <c r="V381" s="22">
        <f t="shared" si="13"/>
      </c>
      <c r="W381" s="22">
        <f t="shared" si="14"/>
      </c>
    </row>
    <row r="382">
      <c r="A382" s="60">
        <f t="shared" si="7"/>
      </c>
      <c r="B382" s="56">
        <f t="shared" si="8"/>
      </c>
      <c r="C382" s="79">
        <f t="shared" si="0"/>
      </c>
      <c r="D382" s="53">
        <f t="shared" si="1"/>
      </c>
      <c r="E382" s="53">
        <f t="shared" si="2"/>
      </c>
      <c r="F382" s="53">
        <f t="shared" si="3"/>
      </c>
      <c r="G382" s="53">
        <f t="shared" si="4"/>
      </c>
      <c r="H382" s="59">
        <f t="shared" si="5"/>
      </c>
      <c r="I382" s="56">
        <f t="shared" si="6"/>
      </c>
      <c r="J382" s="56">
        <f t="shared" si="9"/>
      </c>
      <c r="L382" s="46">
        <f t="shared" si="10"/>
      </c>
      <c r="M382" s="80">
        <f t="shared" si="11"/>
      </c>
      <c r="S382" s="22">
        <f>IFERROR(SMALL(资金台帐!$BA$6:$BA$3005,175),"")</f>
      </c>
      <c r="T382" s="22">
        <f>IFERROR(SMALL($S$8:$S$507,375),"")</f>
      </c>
      <c r="U382" s="22">
        <f t="shared" si="12"/>
      </c>
      <c r="V382" s="22">
        <f t="shared" si="13"/>
      </c>
      <c r="W382" s="22">
        <f t="shared" si="14"/>
      </c>
    </row>
    <row r="383">
      <c r="A383" s="60">
        <f t="shared" si="7"/>
      </c>
      <c r="B383" s="56">
        <f t="shared" si="8"/>
      </c>
      <c r="C383" s="79">
        <f t="shared" si="0"/>
      </c>
      <c r="D383" s="53">
        <f t="shared" si="1"/>
      </c>
      <c r="E383" s="53">
        <f t="shared" si="2"/>
      </c>
      <c r="F383" s="53">
        <f t="shared" si="3"/>
      </c>
      <c r="G383" s="53">
        <f t="shared" si="4"/>
      </c>
      <c r="H383" s="59">
        <f t="shared" si="5"/>
      </c>
      <c r="I383" s="56">
        <f t="shared" si="6"/>
      </c>
      <c r="J383" s="56">
        <f t="shared" si="9"/>
      </c>
      <c r="L383" s="46">
        <f t="shared" si="10"/>
      </c>
      <c r="M383" s="80">
        <f t="shared" si="11"/>
      </c>
      <c r="S383" s="22">
        <f>IFERROR(SMALL(资金台帐!$BA$6:$BA$3005,176),"")</f>
      </c>
      <c r="T383" s="22">
        <f>IFERROR(SMALL($S$8:$S$507,376),"")</f>
      </c>
      <c r="U383" s="22">
        <f t="shared" si="12"/>
      </c>
      <c r="V383" s="22">
        <f t="shared" si="13"/>
      </c>
      <c r="W383" s="22">
        <f t="shared" si="14"/>
      </c>
    </row>
    <row r="384">
      <c r="A384" s="60">
        <f t="shared" si="7"/>
      </c>
      <c r="B384" s="56">
        <f t="shared" si="8"/>
      </c>
      <c r="C384" s="79">
        <f t="shared" si="0"/>
      </c>
      <c r="D384" s="53">
        <f t="shared" si="1"/>
      </c>
      <c r="E384" s="53">
        <f t="shared" si="2"/>
      </c>
      <c r="F384" s="53">
        <f t="shared" si="3"/>
      </c>
      <c r="G384" s="53">
        <f t="shared" si="4"/>
      </c>
      <c r="H384" s="59">
        <f t="shared" si="5"/>
      </c>
      <c r="I384" s="56">
        <f t="shared" si="6"/>
      </c>
      <c r="J384" s="56">
        <f t="shared" si="9"/>
      </c>
      <c r="L384" s="46">
        <f t="shared" si="10"/>
      </c>
      <c r="M384" s="80">
        <f t="shared" si="11"/>
      </c>
      <c r="S384" s="22">
        <f>IFERROR(SMALL(资金台帐!$BA$6:$BA$3005,177),"")</f>
      </c>
      <c r="T384" s="22">
        <f>IFERROR(SMALL($S$8:$S$507,377),"")</f>
      </c>
      <c r="U384" s="22">
        <f t="shared" si="12"/>
      </c>
      <c r="V384" s="22">
        <f t="shared" si="13"/>
      </c>
      <c r="W384" s="22">
        <f t="shared" si="14"/>
      </c>
    </row>
    <row r="385">
      <c r="A385" s="60">
        <f t="shared" si="7"/>
      </c>
      <c r="B385" s="56">
        <f t="shared" si="8"/>
      </c>
      <c r="C385" s="79">
        <f t="shared" si="0"/>
      </c>
      <c r="D385" s="53">
        <f t="shared" si="1"/>
      </c>
      <c r="E385" s="53">
        <f t="shared" si="2"/>
      </c>
      <c r="F385" s="53">
        <f t="shared" si="3"/>
      </c>
      <c r="G385" s="53">
        <f t="shared" si="4"/>
      </c>
      <c r="H385" s="59">
        <f t="shared" si="5"/>
      </c>
      <c r="I385" s="56">
        <f t="shared" si="6"/>
      </c>
      <c r="J385" s="56">
        <f t="shared" si="9"/>
      </c>
      <c r="L385" s="46">
        <f t="shared" si="10"/>
      </c>
      <c r="M385" s="80">
        <f t="shared" si="11"/>
      </c>
      <c r="S385" s="22">
        <f>IFERROR(SMALL(资金台帐!$BA$6:$BA$3005,178),"")</f>
      </c>
      <c r="T385" s="22">
        <f>IFERROR(SMALL($S$8:$S$507,378),"")</f>
      </c>
      <c r="U385" s="22">
        <f t="shared" si="12"/>
      </c>
      <c r="V385" s="22">
        <f t="shared" si="13"/>
      </c>
      <c r="W385" s="22">
        <f t="shared" si="14"/>
      </c>
    </row>
    <row r="386">
      <c r="A386" s="60">
        <f t="shared" si="7"/>
      </c>
      <c r="B386" s="56">
        <f t="shared" si="8"/>
      </c>
      <c r="C386" s="79">
        <f t="shared" si="0"/>
      </c>
      <c r="D386" s="53">
        <f t="shared" si="1"/>
      </c>
      <c r="E386" s="53">
        <f t="shared" si="2"/>
      </c>
      <c r="F386" s="53">
        <f t="shared" si="3"/>
      </c>
      <c r="G386" s="53">
        <f t="shared" si="4"/>
      </c>
      <c r="H386" s="59">
        <f t="shared" si="5"/>
      </c>
      <c r="I386" s="56">
        <f t="shared" si="6"/>
      </c>
      <c r="J386" s="56">
        <f t="shared" si="9"/>
      </c>
      <c r="L386" s="46">
        <f t="shared" si="10"/>
      </c>
      <c r="M386" s="80">
        <f t="shared" si="11"/>
      </c>
      <c r="S386" s="22">
        <f>IFERROR(SMALL(资金台帐!$BA$6:$BA$3005,179),"")</f>
      </c>
      <c r="T386" s="22">
        <f>IFERROR(SMALL($S$8:$S$507,379),"")</f>
      </c>
      <c r="U386" s="22">
        <f t="shared" si="12"/>
      </c>
      <c r="V386" s="22">
        <f t="shared" si="13"/>
      </c>
      <c r="W386" s="22">
        <f t="shared" si="14"/>
      </c>
    </row>
    <row r="387">
      <c r="A387" s="60">
        <f t="shared" si="7"/>
      </c>
      <c r="B387" s="56">
        <f t="shared" si="8"/>
      </c>
      <c r="C387" s="79">
        <f t="shared" si="0"/>
      </c>
      <c r="D387" s="53">
        <f t="shared" si="1"/>
      </c>
      <c r="E387" s="53">
        <f t="shared" si="2"/>
      </c>
      <c r="F387" s="53">
        <f t="shared" si="3"/>
      </c>
      <c r="G387" s="53">
        <f t="shared" si="4"/>
      </c>
      <c r="H387" s="59">
        <f t="shared" si="5"/>
      </c>
      <c r="I387" s="56">
        <f t="shared" si="6"/>
      </c>
      <c r="J387" s="56">
        <f t="shared" si="9"/>
      </c>
      <c r="L387" s="46">
        <f t="shared" si="10"/>
      </c>
      <c r="M387" s="80">
        <f t="shared" si="11"/>
      </c>
      <c r="S387" s="22">
        <f>IFERROR(SMALL(资金台帐!$BA$6:$BA$3005,180),"")</f>
      </c>
      <c r="T387" s="22">
        <f>IFERROR(SMALL($S$8:$S$507,380),"")</f>
      </c>
      <c r="U387" s="22">
        <f t="shared" si="12"/>
      </c>
      <c r="V387" s="22">
        <f t="shared" si="13"/>
      </c>
      <c r="W387" s="22">
        <f t="shared" si="14"/>
      </c>
    </row>
    <row r="388">
      <c r="A388" s="60">
        <f t="shared" si="7"/>
      </c>
      <c r="B388" s="56">
        <f t="shared" si="8"/>
      </c>
      <c r="C388" s="79">
        <f t="shared" si="0"/>
      </c>
      <c r="D388" s="53">
        <f t="shared" si="1"/>
      </c>
      <c r="E388" s="53">
        <f t="shared" si="2"/>
      </c>
      <c r="F388" s="53">
        <f t="shared" si="3"/>
      </c>
      <c r="G388" s="53">
        <f t="shared" si="4"/>
      </c>
      <c r="H388" s="59">
        <f t="shared" si="5"/>
      </c>
      <c r="I388" s="56">
        <f t="shared" si="6"/>
      </c>
      <c r="J388" s="56">
        <f t="shared" si="9"/>
      </c>
      <c r="L388" s="46">
        <f t="shared" si="10"/>
      </c>
      <c r="M388" s="80">
        <f t="shared" si="11"/>
      </c>
      <c r="S388" s="22">
        <f>IFERROR(SMALL(资金台帐!$BA$6:$BA$3005,181),"")</f>
      </c>
      <c r="T388" s="22">
        <f>IFERROR(SMALL($S$8:$S$507,381),"")</f>
      </c>
      <c r="U388" s="22">
        <f t="shared" si="12"/>
      </c>
      <c r="V388" s="22">
        <f t="shared" si="13"/>
      </c>
      <c r="W388" s="22">
        <f t="shared" si="14"/>
      </c>
    </row>
    <row r="389">
      <c r="A389" s="60">
        <f t="shared" si="7"/>
      </c>
      <c r="B389" s="56">
        <f t="shared" si="8"/>
      </c>
      <c r="C389" s="79">
        <f t="shared" si="0"/>
      </c>
      <c r="D389" s="53">
        <f t="shared" si="1"/>
      </c>
      <c r="E389" s="53">
        <f t="shared" si="2"/>
      </c>
      <c r="F389" s="53">
        <f t="shared" si="3"/>
      </c>
      <c r="G389" s="53">
        <f t="shared" si="4"/>
      </c>
      <c r="H389" s="59">
        <f t="shared" si="5"/>
      </c>
      <c r="I389" s="56">
        <f t="shared" si="6"/>
      </c>
      <c r="J389" s="56">
        <f t="shared" si="9"/>
      </c>
      <c r="L389" s="46">
        <f t="shared" si="10"/>
      </c>
      <c r="M389" s="80">
        <f t="shared" si="11"/>
      </c>
      <c r="S389" s="22">
        <f>IFERROR(SMALL(资金台帐!$BA$6:$BA$3005,182),"")</f>
      </c>
      <c r="T389" s="22">
        <f>IFERROR(SMALL($S$8:$S$507,382),"")</f>
      </c>
      <c r="U389" s="22">
        <f t="shared" si="12"/>
      </c>
      <c r="V389" s="22">
        <f t="shared" si="13"/>
      </c>
      <c r="W389" s="22">
        <f t="shared" si="14"/>
      </c>
    </row>
    <row r="390">
      <c r="A390" s="60">
        <f t="shared" si="7"/>
      </c>
      <c r="B390" s="56">
        <f t="shared" si="8"/>
      </c>
      <c r="C390" s="79">
        <f t="shared" si="0"/>
      </c>
      <c r="D390" s="53">
        <f t="shared" si="1"/>
      </c>
      <c r="E390" s="53">
        <f t="shared" si="2"/>
      </c>
      <c r="F390" s="53">
        <f t="shared" si="3"/>
      </c>
      <c r="G390" s="53">
        <f t="shared" si="4"/>
      </c>
      <c r="H390" s="59">
        <f t="shared" si="5"/>
      </c>
      <c r="I390" s="56">
        <f t="shared" si="6"/>
      </c>
      <c r="J390" s="56">
        <f t="shared" si="9"/>
      </c>
      <c r="L390" s="46">
        <f t="shared" si="10"/>
      </c>
      <c r="M390" s="80">
        <f t="shared" si="11"/>
      </c>
      <c r="S390" s="22">
        <f>IFERROR(SMALL(资金台帐!$BA$6:$BA$3005,183),"")</f>
      </c>
      <c r="T390" s="22">
        <f>IFERROR(SMALL($S$8:$S$507,383),"")</f>
      </c>
      <c r="U390" s="22">
        <f t="shared" si="12"/>
      </c>
      <c r="V390" s="22">
        <f t="shared" si="13"/>
      </c>
      <c r="W390" s="22">
        <f t="shared" si="14"/>
      </c>
    </row>
    <row r="391">
      <c r="A391" s="60">
        <f t="shared" si="7"/>
      </c>
      <c r="B391" s="56">
        <f t="shared" si="8"/>
      </c>
      <c r="C391" s="79">
        <f t="shared" si="0"/>
      </c>
      <c r="D391" s="53">
        <f t="shared" si="1"/>
      </c>
      <c r="E391" s="53">
        <f t="shared" si="2"/>
      </c>
      <c r="F391" s="53">
        <f t="shared" si="3"/>
      </c>
      <c r="G391" s="53">
        <f t="shared" si="4"/>
      </c>
      <c r="H391" s="59">
        <f t="shared" si="5"/>
      </c>
      <c r="I391" s="56">
        <f t="shared" si="6"/>
      </c>
      <c r="J391" s="56">
        <f t="shared" si="9"/>
      </c>
      <c r="L391" s="46">
        <f t="shared" si="10"/>
      </c>
      <c r="M391" s="80">
        <f t="shared" si="11"/>
      </c>
      <c r="S391" s="22">
        <f>IFERROR(SMALL(资金台帐!$BA$6:$BA$3005,184),"")</f>
      </c>
      <c r="T391" s="22">
        <f>IFERROR(SMALL($S$8:$S$507,384),"")</f>
      </c>
      <c r="U391" s="22">
        <f t="shared" si="12"/>
      </c>
      <c r="V391" s="22">
        <f t="shared" si="13"/>
      </c>
      <c r="W391" s="22">
        <f t="shared" si="14"/>
      </c>
    </row>
    <row r="392">
      <c r="A392" s="60">
        <f t="shared" si="7"/>
      </c>
      <c r="B392" s="56">
        <f t="shared" si="8"/>
      </c>
      <c r="C392" s="79">
        <f t="shared" si="0"/>
      </c>
      <c r="D392" s="53">
        <f t="shared" si="1"/>
      </c>
      <c r="E392" s="53">
        <f t="shared" si="2"/>
      </c>
      <c r="F392" s="53">
        <f t="shared" si="3"/>
      </c>
      <c r="G392" s="53">
        <f t="shared" si="4"/>
      </c>
      <c r="H392" s="59">
        <f t="shared" si="5"/>
      </c>
      <c r="I392" s="56">
        <f t="shared" si="6"/>
      </c>
      <c r="J392" s="56">
        <f t="shared" si="9"/>
      </c>
      <c r="L392" s="46">
        <f t="shared" si="10"/>
      </c>
      <c r="M392" s="80">
        <f t="shared" si="11"/>
      </c>
      <c r="S392" s="22">
        <f>IFERROR(SMALL(资金台帐!$BA$6:$BA$3005,185),"")</f>
      </c>
      <c r="T392" s="22">
        <f>IFERROR(SMALL($S$8:$S$507,385),"")</f>
      </c>
      <c r="U392" s="22">
        <f t="shared" si="12"/>
      </c>
      <c r="V392" s="22">
        <f t="shared" si="13"/>
      </c>
      <c r="W392" s="22">
        <f t="shared" si="14"/>
      </c>
    </row>
    <row r="393">
      <c r="A393" s="60">
        <f t="shared" si="7"/>
      </c>
      <c r="B393" s="56">
        <f t="shared" si="8"/>
      </c>
      <c r="C393" s="79">
        <f t="shared" si="0"/>
      </c>
      <c r="D393" s="53">
        <f t="shared" si="1"/>
      </c>
      <c r="E393" s="53">
        <f t="shared" si="2"/>
      </c>
      <c r="F393" s="53">
        <f t="shared" si="3"/>
      </c>
      <c r="G393" s="53">
        <f t="shared" si="4"/>
      </c>
      <c r="H393" s="59">
        <f t="shared" si="5"/>
      </c>
      <c r="I393" s="56">
        <f t="shared" si="6"/>
      </c>
      <c r="J393" s="56">
        <f t="shared" si="9"/>
      </c>
      <c r="L393" s="46">
        <f t="shared" si="10"/>
      </c>
      <c r="M393" s="80">
        <f t="shared" si="11"/>
      </c>
      <c r="S393" s="22">
        <f>IFERROR(SMALL(资金台帐!$BA$6:$BA$3005,186),"")</f>
      </c>
      <c r="T393" s="22">
        <f>IFERROR(SMALL($S$8:$S$507,386),"")</f>
      </c>
      <c r="U393" s="22">
        <f t="shared" si="12"/>
      </c>
      <c r="V393" s="22">
        <f t="shared" si="13"/>
      </c>
      <c r="W393" s="22">
        <f t="shared" si="14"/>
      </c>
    </row>
    <row r="394">
      <c r="A394" s="60">
        <f t="shared" si="7"/>
      </c>
      <c r="B394" s="56">
        <f t="shared" si="8"/>
      </c>
      <c r="C394" s="79">
        <f t="shared" si="0"/>
      </c>
      <c r="D394" s="53">
        <f t="shared" si="1"/>
      </c>
      <c r="E394" s="53">
        <f t="shared" si="2"/>
      </c>
      <c r="F394" s="53">
        <f t="shared" si="3"/>
      </c>
      <c r="G394" s="53">
        <f t="shared" si="4"/>
      </c>
      <c r="H394" s="59">
        <f t="shared" si="5"/>
      </c>
      <c r="I394" s="56">
        <f t="shared" si="6"/>
      </c>
      <c r="J394" s="56">
        <f t="shared" si="9"/>
      </c>
      <c r="L394" s="46">
        <f t="shared" si="10"/>
      </c>
      <c r="M394" s="80">
        <f t="shared" si="11"/>
      </c>
      <c r="S394" s="22">
        <f>IFERROR(SMALL(资金台帐!$BA$6:$BA$3005,187),"")</f>
      </c>
      <c r="T394" s="22">
        <f>IFERROR(SMALL($S$8:$S$507,387),"")</f>
      </c>
      <c r="U394" s="22">
        <f t="shared" si="12"/>
      </c>
      <c r="V394" s="22">
        <f t="shared" si="13"/>
      </c>
      <c r="W394" s="22">
        <f t="shared" si="14"/>
      </c>
    </row>
    <row r="395">
      <c r="A395" s="60">
        <f t="shared" si="7"/>
      </c>
      <c r="B395" s="56">
        <f t="shared" si="8"/>
      </c>
      <c r="C395" s="79">
        <f t="shared" si="0"/>
      </c>
      <c r="D395" s="53">
        <f t="shared" si="1"/>
      </c>
      <c r="E395" s="53">
        <f t="shared" si="2"/>
      </c>
      <c r="F395" s="53">
        <f t="shared" si="3"/>
      </c>
      <c r="G395" s="53">
        <f t="shared" si="4"/>
      </c>
      <c r="H395" s="59">
        <f t="shared" si="5"/>
      </c>
      <c r="I395" s="56">
        <f t="shared" si="6"/>
      </c>
      <c r="J395" s="56">
        <f t="shared" si="9"/>
      </c>
      <c r="L395" s="46">
        <f t="shared" si="10"/>
      </c>
      <c r="M395" s="80">
        <f t="shared" si="11"/>
      </c>
      <c r="S395" s="22">
        <f>IFERROR(SMALL(资金台帐!$BA$6:$BA$3005,188),"")</f>
      </c>
      <c r="T395" s="22">
        <f>IFERROR(SMALL($S$8:$S$507,388),"")</f>
      </c>
      <c r="U395" s="22">
        <f t="shared" si="12"/>
      </c>
      <c r="V395" s="22">
        <f t="shared" si="13"/>
      </c>
      <c r="W395" s="22">
        <f t="shared" si="14"/>
      </c>
    </row>
    <row r="396">
      <c r="A396" s="60">
        <f t="shared" si="7"/>
      </c>
      <c r="B396" s="56">
        <f t="shared" si="8"/>
      </c>
      <c r="C396" s="79">
        <f t="shared" si="0"/>
      </c>
      <c r="D396" s="53">
        <f t="shared" si="1"/>
      </c>
      <c r="E396" s="53">
        <f t="shared" si="2"/>
      </c>
      <c r="F396" s="53">
        <f t="shared" si="3"/>
      </c>
      <c r="G396" s="53">
        <f t="shared" si="4"/>
      </c>
      <c r="H396" s="59">
        <f t="shared" si="5"/>
      </c>
      <c r="I396" s="56">
        <f t="shared" si="6"/>
      </c>
      <c r="J396" s="56">
        <f t="shared" si="9"/>
      </c>
      <c r="L396" s="46">
        <f t="shared" si="10"/>
      </c>
      <c r="M396" s="80">
        <f t="shared" si="11"/>
      </c>
      <c r="S396" s="22">
        <f>IFERROR(SMALL(资金台帐!$BA$6:$BA$3005,189),"")</f>
      </c>
      <c r="T396" s="22">
        <f>IFERROR(SMALL($S$8:$S$507,389),"")</f>
      </c>
      <c r="U396" s="22">
        <f t="shared" si="12"/>
      </c>
      <c r="V396" s="22">
        <f t="shared" si="13"/>
      </c>
      <c r="W396" s="22">
        <f t="shared" si="14"/>
      </c>
    </row>
    <row r="397">
      <c r="A397" s="60">
        <f t="shared" si="7"/>
      </c>
      <c r="B397" s="56">
        <f t="shared" si="8"/>
      </c>
      <c r="C397" s="79">
        <f t="shared" si="0"/>
      </c>
      <c r="D397" s="53">
        <f t="shared" si="1"/>
      </c>
      <c r="E397" s="53">
        <f t="shared" si="2"/>
      </c>
      <c r="F397" s="53">
        <f t="shared" si="3"/>
      </c>
      <c r="G397" s="53">
        <f t="shared" si="4"/>
      </c>
      <c r="H397" s="59">
        <f t="shared" si="5"/>
      </c>
      <c r="I397" s="56">
        <f t="shared" si="6"/>
      </c>
      <c r="J397" s="56">
        <f t="shared" si="9"/>
      </c>
      <c r="L397" s="46">
        <f t="shared" si="10"/>
      </c>
      <c r="M397" s="80">
        <f t="shared" si="11"/>
      </c>
      <c r="S397" s="22">
        <f>IFERROR(SMALL(资金台帐!$BA$6:$BA$3005,190),"")</f>
      </c>
      <c r="T397" s="22">
        <f>IFERROR(SMALL($S$8:$S$507,390),"")</f>
      </c>
      <c r="U397" s="22">
        <f t="shared" si="12"/>
      </c>
      <c r="V397" s="22">
        <f t="shared" si="13"/>
      </c>
      <c r="W397" s="22">
        <f t="shared" si="14"/>
      </c>
    </row>
    <row r="398">
      <c r="A398" s="60">
        <f t="shared" si="7"/>
      </c>
      <c r="B398" s="56">
        <f t="shared" si="8"/>
      </c>
      <c r="C398" s="79">
        <f t="shared" si="0"/>
      </c>
      <c r="D398" s="53">
        <f t="shared" si="1"/>
      </c>
      <c r="E398" s="53">
        <f t="shared" si="2"/>
      </c>
      <c r="F398" s="53">
        <f t="shared" si="3"/>
      </c>
      <c r="G398" s="53">
        <f t="shared" si="4"/>
      </c>
      <c r="H398" s="59">
        <f t="shared" si="5"/>
      </c>
      <c r="I398" s="56">
        <f t="shared" si="6"/>
      </c>
      <c r="J398" s="56">
        <f t="shared" si="9"/>
      </c>
      <c r="L398" s="46">
        <f t="shared" si="10"/>
      </c>
      <c r="M398" s="80">
        <f t="shared" si="11"/>
      </c>
      <c r="S398" s="22">
        <f>IFERROR(SMALL(资金台帐!$BA$6:$BA$3005,191),"")</f>
      </c>
      <c r="T398" s="22">
        <f>IFERROR(SMALL($S$8:$S$507,391),"")</f>
      </c>
      <c r="U398" s="22">
        <f t="shared" si="12"/>
      </c>
      <c r="V398" s="22">
        <f t="shared" si="13"/>
      </c>
      <c r="W398" s="22">
        <f t="shared" si="14"/>
      </c>
    </row>
    <row r="399">
      <c r="A399" s="60">
        <f t="shared" si="7"/>
      </c>
      <c r="B399" s="56">
        <f t="shared" si="8"/>
      </c>
      <c r="C399" s="79">
        <f t="shared" si="0"/>
      </c>
      <c r="D399" s="53">
        <f t="shared" si="1"/>
      </c>
      <c r="E399" s="53">
        <f t="shared" si="2"/>
      </c>
      <c r="F399" s="53">
        <f t="shared" si="3"/>
      </c>
      <c r="G399" s="53">
        <f t="shared" si="4"/>
      </c>
      <c r="H399" s="59">
        <f t="shared" si="5"/>
      </c>
      <c r="I399" s="56">
        <f t="shared" si="6"/>
      </c>
      <c r="J399" s="56">
        <f t="shared" si="9"/>
      </c>
      <c r="L399" s="46">
        <f t="shared" si="10"/>
      </c>
      <c r="M399" s="80">
        <f t="shared" si="11"/>
      </c>
      <c r="S399" s="22">
        <f>IFERROR(SMALL(资金台帐!$BA$6:$BA$3005,192),"")</f>
      </c>
      <c r="T399" s="22">
        <f>IFERROR(SMALL($S$8:$S$507,392),"")</f>
      </c>
      <c r="U399" s="22">
        <f t="shared" si="12"/>
      </c>
      <c r="V399" s="22">
        <f t="shared" si="13"/>
      </c>
      <c r="W399" s="22">
        <f t="shared" si="14"/>
      </c>
    </row>
    <row r="400">
      <c r="A400" s="60">
        <f t="shared" si="7"/>
      </c>
      <c r="B400" s="56">
        <f t="shared" si="8"/>
      </c>
      <c r="C400" s="79">
        <f t="shared" si="0"/>
      </c>
      <c r="D400" s="53">
        <f t="shared" si="1"/>
      </c>
      <c r="E400" s="53">
        <f t="shared" si="2"/>
      </c>
      <c r="F400" s="53">
        <f t="shared" si="3"/>
      </c>
      <c r="G400" s="53">
        <f t="shared" si="4"/>
      </c>
      <c r="H400" s="59">
        <f t="shared" si="5"/>
      </c>
      <c r="I400" s="56">
        <f t="shared" si="6"/>
      </c>
      <c r="J400" s="56">
        <f t="shared" si="9"/>
      </c>
      <c r="L400" s="46">
        <f t="shared" si="10"/>
      </c>
      <c r="M400" s="80">
        <f t="shared" si="11"/>
      </c>
      <c r="S400" s="22">
        <f>IFERROR(SMALL(资金台帐!$BA$6:$BA$3005,193),"")</f>
      </c>
      <c r="T400" s="22">
        <f>IFERROR(SMALL($S$8:$S$507,393),"")</f>
      </c>
      <c r="U400" s="22">
        <f t="shared" si="12"/>
      </c>
      <c r="V400" s="22">
        <f t="shared" si="13"/>
      </c>
      <c r="W400" s="22">
        <f t="shared" si="14"/>
      </c>
    </row>
    <row r="401">
      <c r="A401" s="60">
        <f t="shared" si="7"/>
      </c>
      <c r="B401" s="56">
        <f t="shared" si="8"/>
      </c>
      <c r="C401" s="79">
        <f t="shared" si="0"/>
      </c>
      <c r="D401" s="53">
        <f t="shared" si="1"/>
      </c>
      <c r="E401" s="53">
        <f t="shared" si="2"/>
      </c>
      <c r="F401" s="53">
        <f t="shared" si="3"/>
      </c>
      <c r="G401" s="53">
        <f t="shared" si="4"/>
      </c>
      <c r="H401" s="59">
        <f t="shared" si="5"/>
      </c>
      <c r="I401" s="56">
        <f t="shared" si="6"/>
      </c>
      <c r="J401" s="56">
        <f t="shared" si="9"/>
      </c>
      <c r="L401" s="46">
        <f t="shared" si="10"/>
      </c>
      <c r="M401" s="80">
        <f t="shared" si="11"/>
      </c>
      <c r="S401" s="22">
        <f>IFERROR(SMALL(资金台帐!$BA$6:$BA$3005,194),"")</f>
      </c>
      <c r="T401" s="22">
        <f>IFERROR(SMALL($S$8:$S$507,394),"")</f>
      </c>
      <c r="U401" s="22">
        <f t="shared" si="12"/>
      </c>
      <c r="V401" s="22">
        <f t="shared" si="13"/>
      </c>
      <c r="W401" s="22">
        <f t="shared" si="14"/>
      </c>
    </row>
    <row r="402">
      <c r="A402" s="60">
        <f t="shared" si="7"/>
      </c>
      <c r="B402" s="56">
        <f t="shared" si="8"/>
      </c>
      <c r="C402" s="79">
        <f t="shared" si="0"/>
      </c>
      <c r="D402" s="53">
        <f t="shared" si="1"/>
      </c>
      <c r="E402" s="53">
        <f t="shared" si="2"/>
      </c>
      <c r="F402" s="53">
        <f t="shared" si="3"/>
      </c>
      <c r="G402" s="53">
        <f t="shared" si="4"/>
      </c>
      <c r="H402" s="59">
        <f t="shared" si="5"/>
      </c>
      <c r="I402" s="56">
        <f t="shared" si="6"/>
      </c>
      <c r="J402" s="56">
        <f t="shared" si="9"/>
      </c>
      <c r="L402" s="46">
        <f t="shared" si="10"/>
      </c>
      <c r="M402" s="80">
        <f t="shared" si="11"/>
      </c>
      <c r="S402" s="22">
        <f>IFERROR(SMALL(资金台帐!$BA$6:$BA$3005,195),"")</f>
      </c>
      <c r="T402" s="22">
        <f>IFERROR(SMALL($S$8:$S$507,395),"")</f>
      </c>
      <c r="U402" s="22">
        <f t="shared" si="12"/>
      </c>
      <c r="V402" s="22">
        <f t="shared" si="13"/>
      </c>
      <c r="W402" s="22">
        <f t="shared" si="14"/>
      </c>
    </row>
    <row r="403">
      <c r="A403" s="60">
        <f t="shared" si="7"/>
      </c>
      <c r="B403" s="56">
        <f t="shared" si="8"/>
      </c>
      <c r="C403" s="79">
        <f t="shared" si="0"/>
      </c>
      <c r="D403" s="53">
        <f t="shared" si="1"/>
      </c>
      <c r="E403" s="53">
        <f t="shared" si="2"/>
      </c>
      <c r="F403" s="53">
        <f t="shared" si="3"/>
      </c>
      <c r="G403" s="53">
        <f t="shared" si="4"/>
      </c>
      <c r="H403" s="59">
        <f t="shared" si="5"/>
      </c>
      <c r="I403" s="56">
        <f t="shared" si="6"/>
      </c>
      <c r="J403" s="56">
        <f t="shared" si="9"/>
      </c>
      <c r="L403" s="46">
        <f t="shared" si="10"/>
      </c>
      <c r="M403" s="80">
        <f t="shared" si="11"/>
      </c>
      <c r="S403" s="22">
        <f>IFERROR(SMALL(资金台帐!$BA$6:$BA$3005,196),"")</f>
      </c>
      <c r="T403" s="22">
        <f>IFERROR(SMALL($S$8:$S$507,396),"")</f>
      </c>
      <c r="U403" s="22">
        <f t="shared" si="12"/>
      </c>
      <c r="V403" s="22">
        <f t="shared" si="13"/>
      </c>
      <c r="W403" s="22">
        <f t="shared" si="14"/>
      </c>
    </row>
    <row r="404">
      <c r="A404" s="60">
        <f t="shared" si="7"/>
      </c>
      <c r="B404" s="56">
        <f t="shared" si="8"/>
      </c>
      <c r="C404" s="79">
        <f t="shared" si="0"/>
      </c>
      <c r="D404" s="53">
        <f t="shared" si="1"/>
      </c>
      <c r="E404" s="53">
        <f t="shared" si="2"/>
      </c>
      <c r="F404" s="53">
        <f t="shared" si="3"/>
      </c>
      <c r="G404" s="53">
        <f t="shared" si="4"/>
      </c>
      <c r="H404" s="59">
        <f t="shared" si="5"/>
      </c>
      <c r="I404" s="56">
        <f t="shared" si="6"/>
      </c>
      <c r="J404" s="56">
        <f t="shared" si="9"/>
      </c>
      <c r="L404" s="46">
        <f t="shared" si="10"/>
      </c>
      <c r="M404" s="80">
        <f t="shared" si="11"/>
      </c>
      <c r="S404" s="22">
        <f>IFERROR(SMALL(资金台帐!$BA$6:$BA$3005,197),"")</f>
      </c>
      <c r="T404" s="22">
        <f>IFERROR(SMALL($S$8:$S$507,397),"")</f>
      </c>
      <c r="U404" s="22">
        <f t="shared" si="12"/>
      </c>
      <c r="V404" s="22">
        <f t="shared" si="13"/>
      </c>
      <c r="W404" s="22">
        <f t="shared" si="14"/>
      </c>
    </row>
    <row r="405">
      <c r="A405" s="60">
        <f t="shared" si="7"/>
      </c>
      <c r="B405" s="56">
        <f t="shared" si="8"/>
      </c>
      <c r="C405" s="79">
        <f t="shared" si="0"/>
      </c>
      <c r="D405" s="53">
        <f t="shared" si="1"/>
      </c>
      <c r="E405" s="53">
        <f t="shared" si="2"/>
      </c>
      <c r="F405" s="53">
        <f t="shared" si="3"/>
      </c>
      <c r="G405" s="53">
        <f t="shared" si="4"/>
      </c>
      <c r="H405" s="59">
        <f t="shared" si="5"/>
      </c>
      <c r="I405" s="56">
        <f t="shared" si="6"/>
      </c>
      <c r="J405" s="56">
        <f t="shared" si="9"/>
      </c>
      <c r="L405" s="46">
        <f t="shared" si="10"/>
      </c>
      <c r="M405" s="80">
        <f t="shared" si="11"/>
      </c>
      <c r="S405" s="22">
        <f>IFERROR(SMALL(资金台帐!$BA$6:$BA$3005,198),"")</f>
      </c>
      <c r="T405" s="22">
        <f>IFERROR(SMALL($S$8:$S$507,398),"")</f>
      </c>
      <c r="U405" s="22">
        <f t="shared" si="12"/>
      </c>
      <c r="V405" s="22">
        <f t="shared" si="13"/>
      </c>
      <c r="W405" s="22">
        <f t="shared" si="14"/>
      </c>
    </row>
    <row r="406">
      <c r="A406" s="60">
        <f t="shared" si="7"/>
      </c>
      <c r="B406" s="56">
        <f t="shared" si="8"/>
      </c>
      <c r="C406" s="79">
        <f t="shared" si="0"/>
      </c>
      <c r="D406" s="53">
        <f t="shared" si="1"/>
      </c>
      <c r="E406" s="53">
        <f t="shared" si="2"/>
      </c>
      <c r="F406" s="53">
        <f t="shared" si="3"/>
      </c>
      <c r="G406" s="53">
        <f t="shared" si="4"/>
      </c>
      <c r="H406" s="59">
        <f t="shared" si="5"/>
      </c>
      <c r="I406" s="56">
        <f t="shared" si="6"/>
      </c>
      <c r="J406" s="56">
        <f t="shared" si="9"/>
      </c>
      <c r="L406" s="46">
        <f t="shared" si="10"/>
      </c>
      <c r="M406" s="80">
        <f t="shared" si="11"/>
      </c>
      <c r="S406" s="22">
        <f>IFERROR(SMALL(资金台帐!$BA$6:$BA$3005,199),"")</f>
      </c>
      <c r="T406" s="22">
        <f>IFERROR(SMALL($S$8:$S$507,399),"")</f>
      </c>
      <c r="U406" s="22">
        <f t="shared" si="12"/>
      </c>
      <c r="V406" s="22">
        <f t="shared" si="13"/>
      </c>
      <c r="W406" s="22">
        <f t="shared" si="14"/>
      </c>
    </row>
    <row r="407">
      <c r="A407" s="60">
        <f t="shared" si="7"/>
      </c>
      <c r="B407" s="56">
        <f t="shared" si="8"/>
      </c>
      <c r="C407" s="79">
        <f t="shared" si="0"/>
      </c>
      <c r="D407" s="53">
        <f t="shared" si="1"/>
      </c>
      <c r="E407" s="53">
        <f t="shared" si="2"/>
      </c>
      <c r="F407" s="53">
        <f t="shared" si="3"/>
      </c>
      <c r="G407" s="53">
        <f t="shared" si="4"/>
      </c>
      <c r="H407" s="59">
        <f t="shared" si="5"/>
      </c>
      <c r="I407" s="56">
        <f t="shared" si="6"/>
      </c>
      <c r="J407" s="56">
        <f t="shared" si="9"/>
      </c>
      <c r="L407" s="46">
        <f t="shared" si="10"/>
      </c>
      <c r="M407" s="80">
        <f t="shared" si="11"/>
      </c>
      <c r="S407" s="22">
        <f>IFERROR(SMALL(资金台帐!$BA$6:$BA$3005,200),"")</f>
      </c>
      <c r="T407" s="22">
        <f>IFERROR(SMALL($S$8:$S$507,400),"")</f>
      </c>
      <c r="U407" s="22">
        <f t="shared" si="12"/>
      </c>
      <c r="V407" s="22">
        <f t="shared" si="13"/>
      </c>
      <c r="W407" s="22">
        <f t="shared" si="14"/>
      </c>
    </row>
    <row r="408">
      <c r="A408" s="60">
        <f t="shared" si="7"/>
      </c>
      <c r="B408" s="56">
        <f t="shared" si="8"/>
      </c>
      <c r="C408" s="79">
        <f t="shared" si="0"/>
      </c>
      <c r="D408" s="53">
        <f t="shared" si="1"/>
      </c>
      <c r="E408" s="53">
        <f t="shared" si="2"/>
      </c>
      <c r="F408" s="53">
        <f t="shared" si="3"/>
      </c>
      <c r="G408" s="53">
        <f t="shared" si="4"/>
      </c>
      <c r="H408" s="59">
        <f t="shared" si="5"/>
      </c>
      <c r="I408" s="56">
        <f t="shared" si="6"/>
      </c>
      <c r="J408" s="56">
        <f t="shared" si="9"/>
      </c>
      <c r="L408" s="46">
        <f t="shared" si="10"/>
      </c>
      <c r="M408" s="80">
        <f t="shared" si="11"/>
      </c>
      <c r="S408" s="22">
        <f>IFERROR(SMALL(资金台帐!$BA$6:$BA$3005,201),"")</f>
      </c>
      <c r="T408" s="22">
        <f>IFERROR(SMALL($S$8:$S$507,401),"")</f>
      </c>
      <c r="U408" s="22">
        <f t="shared" si="12"/>
      </c>
      <c r="V408" s="22">
        <f t="shared" si="13"/>
      </c>
      <c r="W408" s="22">
        <f t="shared" si="14"/>
      </c>
    </row>
    <row r="409">
      <c r="A409" s="60">
        <f t="shared" si="7"/>
      </c>
      <c r="B409" s="56">
        <f t="shared" si="8"/>
      </c>
      <c r="C409" s="79">
        <f t="shared" si="0"/>
      </c>
      <c r="D409" s="53">
        <f t="shared" si="1"/>
      </c>
      <c r="E409" s="53">
        <f t="shared" si="2"/>
      </c>
      <c r="F409" s="53">
        <f t="shared" si="3"/>
      </c>
      <c r="G409" s="53">
        <f t="shared" si="4"/>
      </c>
      <c r="H409" s="59">
        <f t="shared" si="5"/>
      </c>
      <c r="I409" s="56">
        <f t="shared" si="6"/>
      </c>
      <c r="J409" s="56">
        <f t="shared" si="9"/>
      </c>
      <c r="L409" s="46">
        <f t="shared" si="10"/>
      </c>
      <c r="M409" s="80">
        <f t="shared" si="11"/>
      </c>
      <c r="S409" s="22">
        <f>IFERROR(SMALL(资金台帐!$BA$6:$BA$3005,202),"")</f>
      </c>
      <c r="T409" s="22">
        <f>IFERROR(SMALL($S$8:$S$507,402),"")</f>
      </c>
      <c r="U409" s="22">
        <f t="shared" si="12"/>
      </c>
      <c r="V409" s="22">
        <f t="shared" si="13"/>
      </c>
      <c r="W409" s="22">
        <f t="shared" si="14"/>
      </c>
    </row>
    <row r="410">
      <c r="A410" s="60">
        <f t="shared" si="7"/>
      </c>
      <c r="B410" s="56">
        <f t="shared" si="8"/>
      </c>
      <c r="C410" s="79">
        <f t="shared" si="0"/>
      </c>
      <c r="D410" s="53">
        <f t="shared" si="1"/>
      </c>
      <c r="E410" s="53">
        <f t="shared" si="2"/>
      </c>
      <c r="F410" s="53">
        <f t="shared" si="3"/>
      </c>
      <c r="G410" s="53">
        <f t="shared" si="4"/>
      </c>
      <c r="H410" s="59">
        <f t="shared" si="5"/>
      </c>
      <c r="I410" s="56">
        <f t="shared" si="6"/>
      </c>
      <c r="J410" s="56">
        <f t="shared" si="9"/>
      </c>
      <c r="L410" s="46">
        <f t="shared" si="10"/>
      </c>
      <c r="M410" s="80">
        <f t="shared" si="11"/>
      </c>
      <c r="S410" s="22">
        <f>IFERROR(SMALL(资金台帐!$BA$6:$BA$3005,203),"")</f>
      </c>
      <c r="T410" s="22">
        <f>IFERROR(SMALL($S$8:$S$507,403),"")</f>
      </c>
      <c r="U410" s="22">
        <f t="shared" si="12"/>
      </c>
      <c r="V410" s="22">
        <f t="shared" si="13"/>
      </c>
      <c r="W410" s="22">
        <f t="shared" si="14"/>
      </c>
    </row>
    <row r="411">
      <c r="A411" s="60">
        <f t="shared" si="7"/>
      </c>
      <c r="B411" s="56">
        <f t="shared" si="8"/>
      </c>
      <c r="C411" s="79">
        <f t="shared" si="0"/>
      </c>
      <c r="D411" s="53">
        <f t="shared" si="1"/>
      </c>
      <c r="E411" s="53">
        <f t="shared" si="2"/>
      </c>
      <c r="F411" s="53">
        <f t="shared" si="3"/>
      </c>
      <c r="G411" s="53">
        <f t="shared" si="4"/>
      </c>
      <c r="H411" s="59">
        <f t="shared" si="5"/>
      </c>
      <c r="I411" s="56">
        <f t="shared" si="6"/>
      </c>
      <c r="J411" s="56">
        <f t="shared" si="9"/>
      </c>
      <c r="L411" s="46">
        <f t="shared" si="10"/>
      </c>
      <c r="M411" s="80">
        <f t="shared" si="11"/>
      </c>
      <c r="S411" s="22">
        <f>IFERROR(SMALL(资金台帐!$BA$6:$BA$3005,204),"")</f>
      </c>
      <c r="T411" s="22">
        <f>IFERROR(SMALL($S$8:$S$507,404),"")</f>
      </c>
      <c r="U411" s="22">
        <f t="shared" si="12"/>
      </c>
      <c r="V411" s="22">
        <f t="shared" si="13"/>
      </c>
      <c r="W411" s="22">
        <f t="shared" si="14"/>
      </c>
    </row>
    <row r="412">
      <c r="A412" s="60">
        <f t="shared" si="7"/>
      </c>
      <c r="B412" s="56">
        <f t="shared" si="8"/>
      </c>
      <c r="C412" s="79">
        <f t="shared" si="0"/>
      </c>
      <c r="D412" s="53">
        <f t="shared" si="1"/>
      </c>
      <c r="E412" s="53">
        <f t="shared" si="2"/>
      </c>
      <c r="F412" s="53">
        <f t="shared" si="3"/>
      </c>
      <c r="G412" s="53">
        <f t="shared" si="4"/>
      </c>
      <c r="H412" s="59">
        <f t="shared" si="5"/>
      </c>
      <c r="I412" s="56">
        <f t="shared" si="6"/>
      </c>
      <c r="J412" s="56">
        <f t="shared" si="9"/>
      </c>
      <c r="L412" s="46">
        <f t="shared" si="10"/>
      </c>
      <c r="M412" s="80">
        <f t="shared" si="11"/>
      </c>
      <c r="S412" s="22">
        <f>IFERROR(SMALL(资金台帐!$BA$6:$BA$3005,205),"")</f>
      </c>
      <c r="T412" s="22">
        <f>IFERROR(SMALL($S$8:$S$507,405),"")</f>
      </c>
      <c r="U412" s="22">
        <f t="shared" si="12"/>
      </c>
      <c r="V412" s="22">
        <f t="shared" si="13"/>
      </c>
      <c r="W412" s="22">
        <f t="shared" si="14"/>
      </c>
    </row>
    <row r="413">
      <c r="A413" s="60">
        <f t="shared" si="7"/>
      </c>
      <c r="B413" s="56">
        <f t="shared" si="8"/>
      </c>
      <c r="C413" s="79">
        <f t="shared" si="0"/>
      </c>
      <c r="D413" s="53">
        <f t="shared" si="1"/>
      </c>
      <c r="E413" s="53">
        <f t="shared" si="2"/>
      </c>
      <c r="F413" s="53">
        <f t="shared" si="3"/>
      </c>
      <c r="G413" s="53">
        <f t="shared" si="4"/>
      </c>
      <c r="H413" s="59">
        <f t="shared" si="5"/>
      </c>
      <c r="I413" s="56">
        <f t="shared" si="6"/>
      </c>
      <c r="J413" s="56">
        <f t="shared" si="9"/>
      </c>
      <c r="L413" s="46">
        <f t="shared" si="10"/>
      </c>
      <c r="M413" s="80">
        <f t="shared" si="11"/>
      </c>
      <c r="S413" s="22">
        <f>IFERROR(SMALL(资金台帐!$BA$6:$BA$3005,206),"")</f>
      </c>
      <c r="T413" s="22">
        <f>IFERROR(SMALL($S$8:$S$507,406),"")</f>
      </c>
      <c r="U413" s="22">
        <f t="shared" si="12"/>
      </c>
      <c r="V413" s="22">
        <f t="shared" si="13"/>
      </c>
      <c r="W413" s="22">
        <f t="shared" si="14"/>
      </c>
    </row>
    <row r="414">
      <c r="A414" s="60">
        <f t="shared" si="7"/>
      </c>
      <c r="B414" s="56">
        <f t="shared" si="8"/>
      </c>
      <c r="C414" s="79">
        <f t="shared" si="0"/>
      </c>
      <c r="D414" s="53">
        <f t="shared" si="1"/>
      </c>
      <c r="E414" s="53">
        <f t="shared" si="2"/>
      </c>
      <c r="F414" s="53">
        <f t="shared" si="3"/>
      </c>
      <c r="G414" s="53">
        <f t="shared" si="4"/>
      </c>
      <c r="H414" s="59">
        <f t="shared" si="5"/>
      </c>
      <c r="I414" s="56">
        <f t="shared" si="6"/>
      </c>
      <c r="J414" s="56">
        <f t="shared" si="9"/>
      </c>
      <c r="L414" s="46">
        <f t="shared" si="10"/>
      </c>
      <c r="M414" s="80">
        <f t="shared" si="11"/>
      </c>
      <c r="S414" s="22">
        <f>IFERROR(SMALL(资金台帐!$BA$6:$BA$3005,207),"")</f>
      </c>
      <c r="T414" s="22">
        <f>IFERROR(SMALL($S$8:$S$507,407),"")</f>
      </c>
      <c r="U414" s="22">
        <f t="shared" si="12"/>
      </c>
      <c r="V414" s="22">
        <f t="shared" si="13"/>
      </c>
      <c r="W414" s="22">
        <f t="shared" si="14"/>
      </c>
    </row>
    <row r="415">
      <c r="A415" s="60">
        <f t="shared" si="7"/>
      </c>
      <c r="B415" s="56">
        <f t="shared" si="8"/>
      </c>
      <c r="C415" s="79">
        <f t="shared" si="0"/>
      </c>
      <c r="D415" s="53">
        <f t="shared" si="1"/>
      </c>
      <c r="E415" s="53">
        <f t="shared" si="2"/>
      </c>
      <c r="F415" s="53">
        <f t="shared" si="3"/>
      </c>
      <c r="G415" s="53">
        <f t="shared" si="4"/>
      </c>
      <c r="H415" s="59">
        <f t="shared" si="5"/>
      </c>
      <c r="I415" s="56">
        <f t="shared" si="6"/>
      </c>
      <c r="J415" s="56">
        <f t="shared" si="9"/>
      </c>
      <c r="L415" s="46">
        <f t="shared" si="10"/>
      </c>
      <c r="M415" s="80">
        <f t="shared" si="11"/>
      </c>
      <c r="S415" s="22">
        <f>IFERROR(SMALL(资金台帐!$BA$6:$BA$3005,208),"")</f>
      </c>
      <c r="T415" s="22">
        <f>IFERROR(SMALL($S$8:$S$507,408),"")</f>
      </c>
      <c r="U415" s="22">
        <f t="shared" si="12"/>
      </c>
      <c r="V415" s="22">
        <f t="shared" si="13"/>
      </c>
      <c r="W415" s="22">
        <f t="shared" si="14"/>
      </c>
    </row>
    <row r="416">
      <c r="A416" s="60">
        <f t="shared" si="7"/>
      </c>
      <c r="B416" s="56">
        <f t="shared" si="8"/>
      </c>
      <c r="C416" s="79">
        <f t="shared" si="0"/>
      </c>
      <c r="D416" s="53">
        <f t="shared" si="1"/>
      </c>
      <c r="E416" s="53">
        <f t="shared" si="2"/>
      </c>
      <c r="F416" s="53">
        <f t="shared" si="3"/>
      </c>
      <c r="G416" s="53">
        <f t="shared" si="4"/>
      </c>
      <c r="H416" s="59">
        <f t="shared" si="5"/>
      </c>
      <c r="I416" s="56">
        <f t="shared" si="6"/>
      </c>
      <c r="J416" s="56">
        <f t="shared" si="9"/>
      </c>
      <c r="L416" s="46">
        <f t="shared" si="10"/>
      </c>
      <c r="M416" s="80">
        <f t="shared" si="11"/>
      </c>
      <c r="S416" s="22">
        <f>IFERROR(SMALL(资金台帐!$BA$6:$BA$3005,209),"")</f>
      </c>
      <c r="T416" s="22">
        <f>IFERROR(SMALL($S$8:$S$507,409),"")</f>
      </c>
      <c r="U416" s="22">
        <f t="shared" si="12"/>
      </c>
      <c r="V416" s="22">
        <f t="shared" si="13"/>
      </c>
      <c r="W416" s="22">
        <f t="shared" si="14"/>
      </c>
    </row>
    <row r="417">
      <c r="A417" s="60">
        <f t="shared" si="7"/>
      </c>
      <c r="B417" s="56">
        <f t="shared" si="8"/>
      </c>
      <c r="C417" s="79">
        <f t="shared" si="0"/>
      </c>
      <c r="D417" s="53">
        <f t="shared" si="1"/>
      </c>
      <c r="E417" s="53">
        <f t="shared" si="2"/>
      </c>
      <c r="F417" s="53">
        <f t="shared" si="3"/>
      </c>
      <c r="G417" s="53">
        <f t="shared" si="4"/>
      </c>
      <c r="H417" s="59">
        <f t="shared" si="5"/>
      </c>
      <c r="I417" s="56">
        <f t="shared" si="6"/>
      </c>
      <c r="J417" s="56">
        <f t="shared" si="9"/>
      </c>
      <c r="L417" s="46">
        <f t="shared" si="10"/>
      </c>
      <c r="M417" s="80">
        <f t="shared" si="11"/>
      </c>
      <c r="S417" s="22">
        <f>IFERROR(SMALL(资金台帐!$BA$6:$BA$3005,210),"")</f>
      </c>
      <c r="T417" s="22">
        <f>IFERROR(SMALL($S$8:$S$507,410),"")</f>
      </c>
      <c r="U417" s="22">
        <f t="shared" si="12"/>
      </c>
      <c r="V417" s="22">
        <f t="shared" si="13"/>
      </c>
      <c r="W417" s="22">
        <f t="shared" si="14"/>
      </c>
    </row>
    <row r="418">
      <c r="A418" s="60">
        <f t="shared" si="7"/>
      </c>
      <c r="B418" s="56">
        <f t="shared" si="8"/>
      </c>
      <c r="C418" s="79">
        <f t="shared" si="0"/>
      </c>
      <c r="D418" s="53">
        <f t="shared" si="1"/>
      </c>
      <c r="E418" s="53">
        <f t="shared" si="2"/>
      </c>
      <c r="F418" s="53">
        <f t="shared" si="3"/>
      </c>
      <c r="G418" s="53">
        <f t="shared" si="4"/>
      </c>
      <c r="H418" s="59">
        <f t="shared" si="5"/>
      </c>
      <c r="I418" s="56">
        <f t="shared" si="6"/>
      </c>
      <c r="J418" s="56">
        <f t="shared" si="9"/>
      </c>
      <c r="L418" s="46">
        <f t="shared" si="10"/>
      </c>
      <c r="M418" s="80">
        <f t="shared" si="11"/>
      </c>
      <c r="S418" s="22">
        <f>IFERROR(SMALL(资金台帐!$BA$6:$BA$3005,211),"")</f>
      </c>
      <c r="T418" s="22">
        <f>IFERROR(SMALL($S$8:$S$507,411),"")</f>
      </c>
      <c r="U418" s="22">
        <f t="shared" si="12"/>
      </c>
      <c r="V418" s="22">
        <f t="shared" si="13"/>
      </c>
      <c r="W418" s="22">
        <f t="shared" si="14"/>
      </c>
    </row>
    <row r="419">
      <c r="A419" s="60">
        <f t="shared" si="7"/>
      </c>
      <c r="B419" s="56">
        <f t="shared" si="8"/>
      </c>
      <c r="C419" s="79">
        <f t="shared" si="0"/>
      </c>
      <c r="D419" s="53">
        <f t="shared" si="1"/>
      </c>
      <c r="E419" s="53">
        <f t="shared" si="2"/>
      </c>
      <c r="F419" s="53">
        <f t="shared" si="3"/>
      </c>
      <c r="G419" s="53">
        <f t="shared" si="4"/>
      </c>
      <c r="H419" s="59">
        <f t="shared" si="5"/>
      </c>
      <c r="I419" s="56">
        <f t="shared" si="6"/>
      </c>
      <c r="J419" s="56">
        <f t="shared" si="9"/>
      </c>
      <c r="L419" s="46">
        <f t="shared" si="10"/>
      </c>
      <c r="M419" s="80">
        <f t="shared" si="11"/>
      </c>
      <c r="S419" s="22">
        <f>IFERROR(SMALL(资金台帐!$BA$6:$BA$3005,212),"")</f>
      </c>
      <c r="T419" s="22">
        <f>IFERROR(SMALL($S$8:$S$507,412),"")</f>
      </c>
      <c r="U419" s="22">
        <f t="shared" si="12"/>
      </c>
      <c r="V419" s="22">
        <f t="shared" si="13"/>
      </c>
      <c r="W419" s="22">
        <f t="shared" si="14"/>
      </c>
    </row>
    <row r="420">
      <c r="A420" s="60">
        <f t="shared" si="7"/>
      </c>
      <c r="B420" s="56">
        <f t="shared" si="8"/>
      </c>
      <c r="C420" s="79">
        <f t="shared" si="0"/>
      </c>
      <c r="D420" s="53">
        <f t="shared" si="1"/>
      </c>
      <c r="E420" s="53">
        <f t="shared" si="2"/>
      </c>
      <c r="F420" s="53">
        <f t="shared" si="3"/>
      </c>
      <c r="G420" s="53">
        <f t="shared" si="4"/>
      </c>
      <c r="H420" s="59">
        <f t="shared" si="5"/>
      </c>
      <c r="I420" s="56">
        <f t="shared" si="6"/>
      </c>
      <c r="J420" s="56">
        <f t="shared" si="9"/>
      </c>
      <c r="L420" s="46">
        <f t="shared" si="10"/>
      </c>
      <c r="M420" s="80">
        <f t="shared" si="11"/>
      </c>
      <c r="S420" s="22">
        <f>IFERROR(SMALL(资金台帐!$BA$6:$BA$3005,213),"")</f>
      </c>
      <c r="T420" s="22">
        <f>IFERROR(SMALL($S$8:$S$507,413),"")</f>
      </c>
      <c r="U420" s="22">
        <f t="shared" si="12"/>
      </c>
      <c r="V420" s="22">
        <f t="shared" si="13"/>
      </c>
      <c r="W420" s="22">
        <f t="shared" si="14"/>
      </c>
    </row>
    <row r="421">
      <c r="A421" s="60">
        <f t="shared" si="7"/>
      </c>
      <c r="B421" s="56">
        <f t="shared" si="8"/>
      </c>
      <c r="C421" s="79">
        <f t="shared" si="0"/>
      </c>
      <c r="D421" s="53">
        <f t="shared" si="1"/>
      </c>
      <c r="E421" s="53">
        <f t="shared" si="2"/>
      </c>
      <c r="F421" s="53">
        <f t="shared" si="3"/>
      </c>
      <c r="G421" s="53">
        <f t="shared" si="4"/>
      </c>
      <c r="H421" s="59">
        <f t="shared" si="5"/>
      </c>
      <c r="I421" s="56">
        <f t="shared" si="6"/>
      </c>
      <c r="J421" s="56">
        <f t="shared" si="9"/>
      </c>
      <c r="L421" s="46">
        <f t="shared" si="10"/>
      </c>
      <c r="M421" s="80">
        <f t="shared" si="11"/>
      </c>
      <c r="S421" s="22">
        <f>IFERROR(SMALL(资金台帐!$BA$6:$BA$3005,214),"")</f>
      </c>
      <c r="T421" s="22">
        <f>IFERROR(SMALL($S$8:$S$507,414),"")</f>
      </c>
      <c r="U421" s="22">
        <f t="shared" si="12"/>
      </c>
      <c r="V421" s="22">
        <f t="shared" si="13"/>
      </c>
      <c r="W421" s="22">
        <f t="shared" si="14"/>
      </c>
    </row>
    <row r="422">
      <c r="A422" s="60">
        <f t="shared" si="7"/>
      </c>
      <c r="B422" s="56">
        <f t="shared" si="8"/>
      </c>
      <c r="C422" s="79">
        <f t="shared" si="0"/>
      </c>
      <c r="D422" s="53">
        <f t="shared" si="1"/>
      </c>
      <c r="E422" s="53">
        <f t="shared" si="2"/>
      </c>
      <c r="F422" s="53">
        <f t="shared" si="3"/>
      </c>
      <c r="G422" s="53">
        <f t="shared" si="4"/>
      </c>
      <c r="H422" s="59">
        <f t="shared" si="5"/>
      </c>
      <c r="I422" s="56">
        <f t="shared" si="6"/>
      </c>
      <c r="J422" s="56">
        <f t="shared" si="9"/>
      </c>
      <c r="L422" s="46">
        <f t="shared" si="10"/>
      </c>
      <c r="M422" s="80">
        <f t="shared" si="11"/>
      </c>
      <c r="S422" s="22">
        <f>IFERROR(SMALL(资金台帐!$BA$6:$BA$3005,215),"")</f>
      </c>
      <c r="T422" s="22">
        <f>IFERROR(SMALL($S$8:$S$507,415),"")</f>
      </c>
      <c r="U422" s="22">
        <f t="shared" si="12"/>
      </c>
      <c r="V422" s="22">
        <f t="shared" si="13"/>
      </c>
      <c r="W422" s="22">
        <f t="shared" si="14"/>
      </c>
    </row>
    <row r="423">
      <c r="A423" s="60">
        <f t="shared" si="7"/>
      </c>
      <c r="B423" s="56">
        <f t="shared" si="8"/>
      </c>
      <c r="C423" s="79">
        <f t="shared" si="0"/>
      </c>
      <c r="D423" s="53">
        <f t="shared" si="1"/>
      </c>
      <c r="E423" s="53">
        <f t="shared" si="2"/>
      </c>
      <c r="F423" s="53">
        <f t="shared" si="3"/>
      </c>
      <c r="G423" s="53">
        <f t="shared" si="4"/>
      </c>
      <c r="H423" s="59">
        <f t="shared" si="5"/>
      </c>
      <c r="I423" s="56">
        <f t="shared" si="6"/>
      </c>
      <c r="J423" s="56">
        <f t="shared" si="9"/>
      </c>
      <c r="L423" s="46">
        <f t="shared" si="10"/>
      </c>
      <c r="M423" s="80">
        <f t="shared" si="11"/>
      </c>
      <c r="S423" s="22">
        <f>IFERROR(SMALL(资金台帐!$BA$6:$BA$3005,216),"")</f>
      </c>
      <c r="T423" s="22">
        <f>IFERROR(SMALL($S$8:$S$507,416),"")</f>
      </c>
      <c r="U423" s="22">
        <f t="shared" si="12"/>
      </c>
      <c r="V423" s="22">
        <f t="shared" si="13"/>
      </c>
      <c r="W423" s="22">
        <f t="shared" si="14"/>
      </c>
    </row>
    <row r="424">
      <c r="A424" s="60">
        <f t="shared" si="7"/>
      </c>
      <c r="B424" s="56">
        <f t="shared" si="8"/>
      </c>
      <c r="C424" s="79">
        <f t="shared" si="0"/>
      </c>
      <c r="D424" s="53">
        <f t="shared" si="1"/>
      </c>
      <c r="E424" s="53">
        <f t="shared" si="2"/>
      </c>
      <c r="F424" s="53">
        <f t="shared" si="3"/>
      </c>
      <c r="G424" s="53">
        <f t="shared" si="4"/>
      </c>
      <c r="H424" s="59">
        <f t="shared" si="5"/>
      </c>
      <c r="I424" s="56">
        <f t="shared" si="6"/>
      </c>
      <c r="J424" s="56">
        <f t="shared" si="9"/>
      </c>
      <c r="L424" s="46">
        <f t="shared" si="10"/>
      </c>
      <c r="M424" s="80">
        <f t="shared" si="11"/>
      </c>
      <c r="S424" s="22">
        <f>IFERROR(SMALL(资金台帐!$BA$6:$BA$3005,217),"")</f>
      </c>
      <c r="T424" s="22">
        <f>IFERROR(SMALL($S$8:$S$507,417),"")</f>
      </c>
      <c r="U424" s="22">
        <f t="shared" si="12"/>
      </c>
      <c r="V424" s="22">
        <f t="shared" si="13"/>
      </c>
      <c r="W424" s="22">
        <f t="shared" si="14"/>
      </c>
    </row>
    <row r="425">
      <c r="A425" s="60">
        <f t="shared" si="7"/>
      </c>
      <c r="B425" s="56">
        <f t="shared" si="8"/>
      </c>
      <c r="C425" s="79">
        <f t="shared" si="0"/>
      </c>
      <c r="D425" s="53">
        <f t="shared" si="1"/>
      </c>
      <c r="E425" s="53">
        <f t="shared" si="2"/>
      </c>
      <c r="F425" s="53">
        <f t="shared" si="3"/>
      </c>
      <c r="G425" s="53">
        <f t="shared" si="4"/>
      </c>
      <c r="H425" s="59">
        <f t="shared" si="5"/>
      </c>
      <c r="I425" s="56">
        <f t="shared" si="6"/>
      </c>
      <c r="J425" s="56">
        <f t="shared" si="9"/>
      </c>
      <c r="L425" s="46">
        <f t="shared" si="10"/>
      </c>
      <c r="M425" s="80">
        <f t="shared" si="11"/>
      </c>
      <c r="S425" s="22">
        <f>IFERROR(SMALL(资金台帐!$BA$6:$BA$3005,218),"")</f>
      </c>
      <c r="T425" s="22">
        <f>IFERROR(SMALL($S$8:$S$507,418),"")</f>
      </c>
      <c r="U425" s="22">
        <f t="shared" si="12"/>
      </c>
      <c r="V425" s="22">
        <f t="shared" si="13"/>
      </c>
      <c r="W425" s="22">
        <f t="shared" si="14"/>
      </c>
    </row>
    <row r="426">
      <c r="A426" s="60">
        <f t="shared" si="7"/>
      </c>
      <c r="B426" s="56">
        <f t="shared" si="8"/>
      </c>
      <c r="C426" s="79">
        <f t="shared" si="0"/>
      </c>
      <c r="D426" s="53">
        <f t="shared" si="1"/>
      </c>
      <c r="E426" s="53">
        <f t="shared" si="2"/>
      </c>
      <c r="F426" s="53">
        <f t="shared" si="3"/>
      </c>
      <c r="G426" s="53">
        <f t="shared" si="4"/>
      </c>
      <c r="H426" s="59">
        <f t="shared" si="5"/>
      </c>
      <c r="I426" s="56">
        <f t="shared" si="6"/>
      </c>
      <c r="J426" s="56">
        <f t="shared" si="9"/>
      </c>
      <c r="L426" s="46">
        <f t="shared" si="10"/>
      </c>
      <c r="M426" s="80">
        <f t="shared" si="11"/>
      </c>
      <c r="S426" s="22">
        <f>IFERROR(SMALL(资金台帐!$BA$6:$BA$3005,219),"")</f>
      </c>
      <c r="T426" s="22">
        <f>IFERROR(SMALL($S$8:$S$507,419),"")</f>
      </c>
      <c r="U426" s="22">
        <f t="shared" si="12"/>
      </c>
      <c r="V426" s="22">
        <f t="shared" si="13"/>
      </c>
      <c r="W426" s="22">
        <f t="shared" si="14"/>
      </c>
    </row>
    <row r="427">
      <c r="A427" s="60">
        <f t="shared" si="7"/>
      </c>
      <c r="B427" s="56">
        <f t="shared" si="8"/>
      </c>
      <c r="C427" s="79">
        <f t="shared" si="0"/>
      </c>
      <c r="D427" s="53">
        <f t="shared" si="1"/>
      </c>
      <c r="E427" s="53">
        <f t="shared" si="2"/>
      </c>
      <c r="F427" s="53">
        <f t="shared" si="3"/>
      </c>
      <c r="G427" s="53">
        <f t="shared" si="4"/>
      </c>
      <c r="H427" s="59">
        <f t="shared" si="5"/>
      </c>
      <c r="I427" s="56">
        <f t="shared" si="6"/>
      </c>
      <c r="J427" s="56">
        <f t="shared" si="9"/>
      </c>
      <c r="L427" s="46">
        <f t="shared" si="10"/>
      </c>
      <c r="M427" s="80">
        <f t="shared" si="11"/>
      </c>
      <c r="S427" s="22">
        <f>IFERROR(SMALL(资金台帐!$BA$6:$BA$3005,220),"")</f>
      </c>
      <c r="T427" s="22">
        <f>IFERROR(SMALL($S$8:$S$507,420),"")</f>
      </c>
      <c r="U427" s="22">
        <f t="shared" si="12"/>
      </c>
      <c r="V427" s="22">
        <f t="shared" si="13"/>
      </c>
      <c r="W427" s="22">
        <f t="shared" si="14"/>
      </c>
    </row>
    <row r="428">
      <c r="A428" s="60">
        <f t="shared" si="7"/>
      </c>
      <c r="B428" s="56">
        <f t="shared" si="8"/>
      </c>
      <c r="C428" s="79">
        <f t="shared" si="0"/>
      </c>
      <c r="D428" s="53">
        <f t="shared" si="1"/>
      </c>
      <c r="E428" s="53">
        <f t="shared" si="2"/>
      </c>
      <c r="F428" s="53">
        <f t="shared" si="3"/>
      </c>
      <c r="G428" s="53">
        <f t="shared" si="4"/>
      </c>
      <c r="H428" s="59">
        <f t="shared" si="5"/>
      </c>
      <c r="I428" s="56">
        <f t="shared" si="6"/>
      </c>
      <c r="J428" s="56">
        <f t="shared" si="9"/>
      </c>
      <c r="L428" s="46">
        <f t="shared" si="10"/>
      </c>
      <c r="M428" s="80">
        <f t="shared" si="11"/>
      </c>
      <c r="S428" s="22">
        <f>IFERROR(SMALL(资金台帐!$BA$6:$BA$3005,221),"")</f>
      </c>
      <c r="T428" s="22">
        <f>IFERROR(SMALL($S$8:$S$507,421),"")</f>
      </c>
      <c r="U428" s="22">
        <f t="shared" si="12"/>
      </c>
      <c r="V428" s="22">
        <f t="shared" si="13"/>
      </c>
      <c r="W428" s="22">
        <f t="shared" si="14"/>
      </c>
    </row>
    <row r="429">
      <c r="A429" s="60">
        <f t="shared" si="7"/>
      </c>
      <c r="B429" s="56">
        <f t="shared" si="8"/>
      </c>
      <c r="C429" s="79">
        <f t="shared" si="0"/>
      </c>
      <c r="D429" s="53">
        <f t="shared" si="1"/>
      </c>
      <c r="E429" s="53">
        <f t="shared" si="2"/>
      </c>
      <c r="F429" s="53">
        <f t="shared" si="3"/>
      </c>
      <c r="G429" s="53">
        <f t="shared" si="4"/>
      </c>
      <c r="H429" s="59">
        <f t="shared" si="5"/>
      </c>
      <c r="I429" s="56">
        <f t="shared" si="6"/>
      </c>
      <c r="J429" s="56">
        <f t="shared" si="9"/>
      </c>
      <c r="L429" s="46">
        <f t="shared" si="10"/>
      </c>
      <c r="M429" s="80">
        <f t="shared" si="11"/>
      </c>
      <c r="S429" s="22">
        <f>IFERROR(SMALL(资金台帐!$BA$6:$BA$3005,222),"")</f>
      </c>
      <c r="T429" s="22">
        <f>IFERROR(SMALL($S$8:$S$507,422),"")</f>
      </c>
      <c r="U429" s="22">
        <f t="shared" si="12"/>
      </c>
      <c r="V429" s="22">
        <f t="shared" si="13"/>
      </c>
      <c r="W429" s="22">
        <f t="shared" si="14"/>
      </c>
    </row>
    <row r="430">
      <c r="A430" s="60">
        <f t="shared" si="7"/>
      </c>
      <c r="B430" s="56">
        <f t="shared" si="8"/>
      </c>
      <c r="C430" s="79">
        <f t="shared" si="0"/>
      </c>
      <c r="D430" s="53">
        <f t="shared" si="1"/>
      </c>
      <c r="E430" s="53">
        <f t="shared" si="2"/>
      </c>
      <c r="F430" s="53">
        <f t="shared" si="3"/>
      </c>
      <c r="G430" s="53">
        <f t="shared" si="4"/>
      </c>
      <c r="H430" s="59">
        <f t="shared" si="5"/>
      </c>
      <c r="I430" s="56">
        <f t="shared" si="6"/>
      </c>
      <c r="J430" s="56">
        <f t="shared" si="9"/>
      </c>
      <c r="L430" s="46">
        <f t="shared" si="10"/>
      </c>
      <c r="M430" s="80">
        <f t="shared" si="11"/>
      </c>
      <c r="S430" s="22">
        <f>IFERROR(SMALL(资金台帐!$BA$6:$BA$3005,223),"")</f>
      </c>
      <c r="T430" s="22">
        <f>IFERROR(SMALL($S$8:$S$507,423),"")</f>
      </c>
      <c r="U430" s="22">
        <f t="shared" si="12"/>
      </c>
      <c r="V430" s="22">
        <f t="shared" si="13"/>
      </c>
      <c r="W430" s="22">
        <f t="shared" si="14"/>
      </c>
    </row>
    <row r="431">
      <c r="A431" s="60">
        <f t="shared" si="7"/>
      </c>
      <c r="B431" s="56">
        <f t="shared" si="8"/>
      </c>
      <c r="C431" s="79">
        <f t="shared" si="0"/>
      </c>
      <c r="D431" s="53">
        <f t="shared" si="1"/>
      </c>
      <c r="E431" s="53">
        <f t="shared" si="2"/>
      </c>
      <c r="F431" s="53">
        <f t="shared" si="3"/>
      </c>
      <c r="G431" s="53">
        <f t="shared" si="4"/>
      </c>
      <c r="H431" s="59">
        <f t="shared" si="5"/>
      </c>
      <c r="I431" s="56">
        <f t="shared" si="6"/>
      </c>
      <c r="J431" s="56">
        <f t="shared" si="9"/>
      </c>
      <c r="L431" s="46">
        <f t="shared" si="10"/>
      </c>
      <c r="M431" s="80">
        <f t="shared" si="11"/>
      </c>
      <c r="S431" s="22">
        <f>IFERROR(SMALL(资金台帐!$BA$6:$BA$3005,224),"")</f>
      </c>
      <c r="T431" s="22">
        <f>IFERROR(SMALL($S$8:$S$507,424),"")</f>
      </c>
      <c r="U431" s="22">
        <f t="shared" si="12"/>
      </c>
      <c r="V431" s="22">
        <f t="shared" si="13"/>
      </c>
      <c r="W431" s="22">
        <f t="shared" si="14"/>
      </c>
    </row>
    <row r="432">
      <c r="A432" s="60">
        <f t="shared" si="7"/>
      </c>
      <c r="B432" s="56">
        <f t="shared" si="8"/>
      </c>
      <c r="C432" s="79">
        <f t="shared" si="0"/>
      </c>
      <c r="D432" s="53">
        <f t="shared" si="1"/>
      </c>
      <c r="E432" s="53">
        <f t="shared" si="2"/>
      </c>
      <c r="F432" s="53">
        <f t="shared" si="3"/>
      </c>
      <c r="G432" s="53">
        <f t="shared" si="4"/>
      </c>
      <c r="H432" s="59">
        <f t="shared" si="5"/>
      </c>
      <c r="I432" s="56">
        <f t="shared" si="6"/>
      </c>
      <c r="J432" s="56">
        <f t="shared" si="9"/>
      </c>
      <c r="L432" s="46">
        <f t="shared" si="10"/>
      </c>
      <c r="M432" s="80">
        <f t="shared" si="11"/>
      </c>
      <c r="S432" s="22">
        <f>IFERROR(SMALL(资金台帐!$BA$6:$BA$3005,225),"")</f>
      </c>
      <c r="T432" s="22">
        <f>IFERROR(SMALL($S$8:$S$507,425),"")</f>
      </c>
      <c r="U432" s="22">
        <f t="shared" si="12"/>
      </c>
      <c r="V432" s="22">
        <f t="shared" si="13"/>
      </c>
      <c r="W432" s="22">
        <f t="shared" si="14"/>
      </c>
    </row>
    <row r="433">
      <c r="A433" s="60">
        <f t="shared" si="7"/>
      </c>
      <c r="B433" s="56">
        <f t="shared" si="8"/>
      </c>
      <c r="C433" s="79">
        <f t="shared" si="0"/>
      </c>
      <c r="D433" s="53">
        <f t="shared" si="1"/>
      </c>
      <c r="E433" s="53">
        <f t="shared" si="2"/>
      </c>
      <c r="F433" s="53">
        <f t="shared" si="3"/>
      </c>
      <c r="G433" s="53">
        <f t="shared" si="4"/>
      </c>
      <c r="H433" s="59">
        <f t="shared" si="5"/>
      </c>
      <c r="I433" s="56">
        <f t="shared" si="6"/>
      </c>
      <c r="J433" s="56">
        <f t="shared" si="9"/>
      </c>
      <c r="L433" s="46">
        <f t="shared" si="10"/>
      </c>
      <c r="M433" s="80">
        <f t="shared" si="11"/>
      </c>
      <c r="S433" s="22">
        <f>IFERROR(SMALL(资金台帐!$BA$6:$BA$3005,226),"")</f>
      </c>
      <c r="T433" s="22">
        <f>IFERROR(SMALL($S$8:$S$507,426),"")</f>
      </c>
      <c r="U433" s="22">
        <f t="shared" si="12"/>
      </c>
      <c r="V433" s="22">
        <f t="shared" si="13"/>
      </c>
      <c r="W433" s="22">
        <f t="shared" si="14"/>
      </c>
    </row>
    <row r="434">
      <c r="A434" s="60">
        <f t="shared" si="7"/>
      </c>
      <c r="B434" s="56">
        <f t="shared" si="8"/>
      </c>
      <c r="C434" s="79">
        <f t="shared" si="0"/>
      </c>
      <c r="D434" s="53">
        <f t="shared" si="1"/>
      </c>
      <c r="E434" s="53">
        <f t="shared" si="2"/>
      </c>
      <c r="F434" s="53">
        <f t="shared" si="3"/>
      </c>
      <c r="G434" s="53">
        <f t="shared" si="4"/>
      </c>
      <c r="H434" s="59">
        <f t="shared" si="5"/>
      </c>
      <c r="I434" s="56">
        <f t="shared" si="6"/>
      </c>
      <c r="J434" s="56">
        <f t="shared" si="9"/>
      </c>
      <c r="L434" s="46">
        <f t="shared" si="10"/>
      </c>
      <c r="M434" s="80">
        <f t="shared" si="11"/>
      </c>
      <c r="S434" s="22">
        <f>IFERROR(SMALL(资金台帐!$BA$6:$BA$3005,227),"")</f>
      </c>
      <c r="T434" s="22">
        <f>IFERROR(SMALL($S$8:$S$507,427),"")</f>
      </c>
      <c r="U434" s="22">
        <f t="shared" si="12"/>
      </c>
      <c r="V434" s="22">
        <f t="shared" si="13"/>
      </c>
      <c r="W434" s="22">
        <f t="shared" si="14"/>
      </c>
    </row>
    <row r="435">
      <c r="A435" s="60">
        <f t="shared" si="7"/>
      </c>
      <c r="B435" s="56">
        <f t="shared" si="8"/>
      </c>
      <c r="C435" s="79">
        <f t="shared" si="0"/>
      </c>
      <c r="D435" s="53">
        <f t="shared" si="1"/>
      </c>
      <c r="E435" s="53">
        <f t="shared" si="2"/>
      </c>
      <c r="F435" s="53">
        <f t="shared" si="3"/>
      </c>
      <c r="G435" s="53">
        <f t="shared" si="4"/>
      </c>
      <c r="H435" s="59">
        <f t="shared" si="5"/>
      </c>
      <c r="I435" s="56">
        <f t="shared" si="6"/>
      </c>
      <c r="J435" s="56">
        <f t="shared" si="9"/>
      </c>
      <c r="L435" s="46">
        <f t="shared" si="10"/>
      </c>
      <c r="M435" s="80">
        <f t="shared" si="11"/>
      </c>
      <c r="S435" s="22">
        <f>IFERROR(SMALL(资金台帐!$BA$6:$BA$3005,228),"")</f>
      </c>
      <c r="T435" s="22">
        <f>IFERROR(SMALL($S$8:$S$507,428),"")</f>
      </c>
      <c r="U435" s="22">
        <f t="shared" si="12"/>
      </c>
      <c r="V435" s="22">
        <f t="shared" si="13"/>
      </c>
      <c r="W435" s="22">
        <f t="shared" si="14"/>
      </c>
    </row>
    <row r="436">
      <c r="A436" s="60">
        <f t="shared" si="7"/>
      </c>
      <c r="B436" s="56">
        <f t="shared" si="8"/>
      </c>
      <c r="C436" s="79">
        <f t="shared" si="0"/>
      </c>
      <c r="D436" s="53">
        <f t="shared" si="1"/>
      </c>
      <c r="E436" s="53">
        <f t="shared" si="2"/>
      </c>
      <c r="F436" s="53">
        <f t="shared" si="3"/>
      </c>
      <c r="G436" s="53">
        <f t="shared" si="4"/>
      </c>
      <c r="H436" s="59">
        <f t="shared" si="5"/>
      </c>
      <c r="I436" s="56">
        <f t="shared" si="6"/>
      </c>
      <c r="J436" s="56">
        <f t="shared" si="9"/>
      </c>
      <c r="L436" s="46">
        <f t="shared" si="10"/>
      </c>
      <c r="M436" s="80">
        <f t="shared" si="11"/>
      </c>
      <c r="S436" s="22">
        <f>IFERROR(SMALL(资金台帐!$BA$6:$BA$3005,229),"")</f>
      </c>
      <c r="T436" s="22">
        <f>IFERROR(SMALL($S$8:$S$507,429),"")</f>
      </c>
      <c r="U436" s="22">
        <f t="shared" si="12"/>
      </c>
      <c r="V436" s="22">
        <f t="shared" si="13"/>
      </c>
      <c r="W436" s="22">
        <f t="shared" si="14"/>
      </c>
    </row>
    <row r="437">
      <c r="A437" s="60">
        <f t="shared" si="7"/>
      </c>
      <c r="B437" s="56">
        <f t="shared" si="8"/>
      </c>
      <c r="C437" s="79">
        <f t="shared" si="0"/>
      </c>
      <c r="D437" s="53">
        <f t="shared" si="1"/>
      </c>
      <c r="E437" s="53">
        <f t="shared" si="2"/>
      </c>
      <c r="F437" s="53">
        <f t="shared" si="3"/>
      </c>
      <c r="G437" s="53">
        <f t="shared" si="4"/>
      </c>
      <c r="H437" s="59">
        <f t="shared" si="5"/>
      </c>
      <c r="I437" s="56">
        <f t="shared" si="6"/>
      </c>
      <c r="J437" s="56">
        <f t="shared" si="9"/>
      </c>
      <c r="L437" s="46">
        <f t="shared" si="10"/>
      </c>
      <c r="M437" s="80">
        <f t="shared" si="11"/>
      </c>
      <c r="S437" s="22">
        <f>IFERROR(SMALL(资金台帐!$BA$6:$BA$3005,230),"")</f>
      </c>
      <c r="T437" s="22">
        <f>IFERROR(SMALL($S$8:$S$507,430),"")</f>
      </c>
      <c r="U437" s="22">
        <f t="shared" si="12"/>
      </c>
      <c r="V437" s="22">
        <f t="shared" si="13"/>
      </c>
      <c r="W437" s="22">
        <f t="shared" si="14"/>
      </c>
    </row>
    <row r="438">
      <c r="A438" s="60">
        <f t="shared" si="7"/>
      </c>
      <c r="B438" s="56">
        <f t="shared" si="8"/>
      </c>
      <c r="C438" s="79">
        <f t="shared" si="0"/>
      </c>
      <c r="D438" s="53">
        <f t="shared" si="1"/>
      </c>
      <c r="E438" s="53">
        <f t="shared" si="2"/>
      </c>
      <c r="F438" s="53">
        <f t="shared" si="3"/>
      </c>
      <c r="G438" s="53">
        <f t="shared" si="4"/>
      </c>
      <c r="H438" s="59">
        <f t="shared" si="5"/>
      </c>
      <c r="I438" s="56">
        <f t="shared" si="6"/>
      </c>
      <c r="J438" s="56">
        <f t="shared" si="9"/>
      </c>
      <c r="L438" s="46">
        <f t="shared" si="10"/>
      </c>
      <c r="M438" s="80">
        <f t="shared" si="11"/>
      </c>
      <c r="S438" s="22">
        <f>IFERROR(SMALL(资金台帐!$BA$6:$BA$3005,231),"")</f>
      </c>
      <c r="T438" s="22">
        <f>IFERROR(SMALL($S$8:$S$507,431),"")</f>
      </c>
      <c r="U438" s="22">
        <f t="shared" si="12"/>
      </c>
      <c r="V438" s="22">
        <f t="shared" si="13"/>
      </c>
      <c r="W438" s="22">
        <f t="shared" si="14"/>
      </c>
    </row>
    <row r="439">
      <c r="A439" s="60">
        <f t="shared" si="7"/>
      </c>
      <c r="B439" s="56">
        <f t="shared" si="8"/>
      </c>
      <c r="C439" s="79">
        <f t="shared" si="0"/>
      </c>
      <c r="D439" s="53">
        <f t="shared" si="1"/>
      </c>
      <c r="E439" s="53">
        <f t="shared" si="2"/>
      </c>
      <c r="F439" s="53">
        <f t="shared" si="3"/>
      </c>
      <c r="G439" s="53">
        <f t="shared" si="4"/>
      </c>
      <c r="H439" s="59">
        <f t="shared" si="5"/>
      </c>
      <c r="I439" s="56">
        <f t="shared" si="6"/>
      </c>
      <c r="J439" s="56">
        <f t="shared" si="9"/>
      </c>
      <c r="L439" s="46">
        <f t="shared" si="10"/>
      </c>
      <c r="M439" s="80">
        <f t="shared" si="11"/>
      </c>
      <c r="S439" s="22">
        <f>IFERROR(SMALL(资金台帐!$BA$6:$BA$3005,232),"")</f>
      </c>
      <c r="T439" s="22">
        <f>IFERROR(SMALL($S$8:$S$507,432),"")</f>
      </c>
      <c r="U439" s="22">
        <f t="shared" si="12"/>
      </c>
      <c r="V439" s="22">
        <f t="shared" si="13"/>
      </c>
      <c r="W439" s="22">
        <f t="shared" si="14"/>
      </c>
    </row>
    <row r="440">
      <c r="A440" s="60">
        <f t="shared" si="7"/>
      </c>
      <c r="B440" s="56">
        <f t="shared" si="8"/>
      </c>
      <c r="C440" s="79">
        <f t="shared" si="0"/>
      </c>
      <c r="D440" s="53">
        <f t="shared" si="1"/>
      </c>
      <c r="E440" s="53">
        <f t="shared" si="2"/>
      </c>
      <c r="F440" s="53">
        <f t="shared" si="3"/>
      </c>
      <c r="G440" s="53">
        <f t="shared" si="4"/>
      </c>
      <c r="H440" s="59">
        <f t="shared" si="5"/>
      </c>
      <c r="I440" s="56">
        <f t="shared" si="6"/>
      </c>
      <c r="J440" s="56">
        <f t="shared" si="9"/>
      </c>
      <c r="L440" s="46">
        <f t="shared" si="10"/>
      </c>
      <c r="M440" s="80">
        <f t="shared" si="11"/>
      </c>
      <c r="S440" s="22">
        <f>IFERROR(SMALL(资金台帐!$BA$6:$BA$3005,233),"")</f>
      </c>
      <c r="T440" s="22">
        <f>IFERROR(SMALL($S$8:$S$507,433),"")</f>
      </c>
      <c r="U440" s="22">
        <f t="shared" si="12"/>
      </c>
      <c r="V440" s="22">
        <f t="shared" si="13"/>
      </c>
      <c r="W440" s="22">
        <f t="shared" si="14"/>
      </c>
    </row>
    <row r="441">
      <c r="A441" s="60">
        <f t="shared" si="7"/>
      </c>
      <c r="B441" s="56">
        <f t="shared" si="8"/>
      </c>
      <c r="C441" s="79">
        <f t="shared" si="0"/>
      </c>
      <c r="D441" s="53">
        <f t="shared" si="1"/>
      </c>
      <c r="E441" s="53">
        <f t="shared" si="2"/>
      </c>
      <c r="F441" s="53">
        <f t="shared" si="3"/>
      </c>
      <c r="G441" s="53">
        <f t="shared" si="4"/>
      </c>
      <c r="H441" s="59">
        <f t="shared" si="5"/>
      </c>
      <c r="I441" s="56">
        <f t="shared" si="6"/>
      </c>
      <c r="J441" s="56">
        <f t="shared" si="9"/>
      </c>
      <c r="L441" s="46">
        <f t="shared" si="10"/>
      </c>
      <c r="M441" s="80">
        <f t="shared" si="11"/>
      </c>
      <c r="S441" s="22">
        <f>IFERROR(SMALL(资金台帐!$BA$6:$BA$3005,234),"")</f>
      </c>
      <c r="T441" s="22">
        <f>IFERROR(SMALL($S$8:$S$507,434),"")</f>
      </c>
      <c r="U441" s="22">
        <f t="shared" si="12"/>
      </c>
      <c r="V441" s="22">
        <f t="shared" si="13"/>
      </c>
      <c r="W441" s="22">
        <f t="shared" si="14"/>
      </c>
    </row>
    <row r="442">
      <c r="A442" s="60">
        <f t="shared" si="7"/>
      </c>
      <c r="B442" s="56">
        <f t="shared" si="8"/>
      </c>
      <c r="C442" s="79">
        <f t="shared" si="0"/>
      </c>
      <c r="D442" s="53">
        <f t="shared" si="1"/>
      </c>
      <c r="E442" s="53">
        <f t="shared" si="2"/>
      </c>
      <c r="F442" s="53">
        <f t="shared" si="3"/>
      </c>
      <c r="G442" s="53">
        <f t="shared" si="4"/>
      </c>
      <c r="H442" s="59">
        <f t="shared" si="5"/>
      </c>
      <c r="I442" s="56">
        <f t="shared" si="6"/>
      </c>
      <c r="J442" s="56">
        <f t="shared" si="9"/>
      </c>
      <c r="L442" s="46">
        <f t="shared" si="10"/>
      </c>
      <c r="M442" s="80">
        <f t="shared" si="11"/>
      </c>
      <c r="S442" s="22">
        <f>IFERROR(SMALL(资金台帐!$BA$6:$BA$3005,235),"")</f>
      </c>
      <c r="T442" s="22">
        <f>IFERROR(SMALL($S$8:$S$507,435),"")</f>
      </c>
      <c r="U442" s="22">
        <f t="shared" si="12"/>
      </c>
      <c r="V442" s="22">
        <f t="shared" si="13"/>
      </c>
      <c r="W442" s="22">
        <f t="shared" si="14"/>
      </c>
    </row>
    <row r="443">
      <c r="A443" s="60">
        <f t="shared" si="7"/>
      </c>
      <c r="B443" s="56">
        <f t="shared" si="8"/>
      </c>
      <c r="C443" s="79">
        <f t="shared" si="0"/>
      </c>
      <c r="D443" s="53">
        <f t="shared" si="1"/>
      </c>
      <c r="E443" s="53">
        <f t="shared" si="2"/>
      </c>
      <c r="F443" s="53">
        <f t="shared" si="3"/>
      </c>
      <c r="G443" s="53">
        <f t="shared" si="4"/>
      </c>
      <c r="H443" s="59">
        <f t="shared" si="5"/>
      </c>
      <c r="I443" s="56">
        <f t="shared" si="6"/>
      </c>
      <c r="J443" s="56">
        <f t="shared" si="9"/>
      </c>
      <c r="L443" s="46">
        <f t="shared" si="10"/>
      </c>
      <c r="M443" s="80">
        <f t="shared" si="11"/>
      </c>
      <c r="S443" s="22">
        <f>IFERROR(SMALL(资金台帐!$BA$6:$BA$3005,236),"")</f>
      </c>
      <c r="T443" s="22">
        <f>IFERROR(SMALL($S$8:$S$507,436),"")</f>
      </c>
      <c r="U443" s="22">
        <f t="shared" si="12"/>
      </c>
      <c r="V443" s="22">
        <f t="shared" si="13"/>
      </c>
      <c r="W443" s="22">
        <f t="shared" si="14"/>
      </c>
    </row>
    <row r="444">
      <c r="A444" s="60">
        <f t="shared" si="7"/>
      </c>
      <c r="B444" s="56">
        <f t="shared" si="8"/>
      </c>
      <c r="C444" s="79">
        <f t="shared" si="0"/>
      </c>
      <c r="D444" s="53">
        <f t="shared" si="1"/>
      </c>
      <c r="E444" s="53">
        <f t="shared" si="2"/>
      </c>
      <c r="F444" s="53">
        <f t="shared" si="3"/>
      </c>
      <c r="G444" s="53">
        <f t="shared" si="4"/>
      </c>
      <c r="H444" s="59">
        <f t="shared" si="5"/>
      </c>
      <c r="I444" s="56">
        <f t="shared" si="6"/>
      </c>
      <c r="J444" s="56">
        <f t="shared" si="9"/>
      </c>
      <c r="L444" s="46">
        <f t="shared" si="10"/>
      </c>
      <c r="M444" s="80">
        <f t="shared" si="11"/>
      </c>
      <c r="S444" s="22">
        <f>IFERROR(SMALL(资金台帐!$BA$6:$BA$3005,237),"")</f>
      </c>
      <c r="T444" s="22">
        <f>IFERROR(SMALL($S$8:$S$507,437),"")</f>
      </c>
      <c r="U444" s="22">
        <f t="shared" si="12"/>
      </c>
      <c r="V444" s="22">
        <f t="shared" si="13"/>
      </c>
      <c r="W444" s="22">
        <f t="shared" si="14"/>
      </c>
    </row>
    <row r="445">
      <c r="A445" s="60">
        <f t="shared" si="7"/>
      </c>
      <c r="B445" s="56">
        <f t="shared" si="8"/>
      </c>
      <c r="C445" s="79">
        <f t="shared" si="0"/>
      </c>
      <c r="D445" s="53">
        <f t="shared" si="1"/>
      </c>
      <c r="E445" s="53">
        <f t="shared" si="2"/>
      </c>
      <c r="F445" s="53">
        <f t="shared" si="3"/>
      </c>
      <c r="G445" s="53">
        <f t="shared" si="4"/>
      </c>
      <c r="H445" s="59">
        <f t="shared" si="5"/>
      </c>
      <c r="I445" s="56">
        <f t="shared" si="6"/>
      </c>
      <c r="J445" s="56">
        <f t="shared" si="9"/>
      </c>
      <c r="L445" s="46">
        <f t="shared" si="10"/>
      </c>
      <c r="M445" s="80">
        <f t="shared" si="11"/>
      </c>
      <c r="S445" s="22">
        <f>IFERROR(SMALL(资金台帐!$BA$6:$BA$3005,238),"")</f>
      </c>
      <c r="T445" s="22">
        <f>IFERROR(SMALL($S$8:$S$507,438),"")</f>
      </c>
      <c r="U445" s="22">
        <f t="shared" si="12"/>
      </c>
      <c r="V445" s="22">
        <f t="shared" si="13"/>
      </c>
      <c r="W445" s="22">
        <f t="shared" si="14"/>
      </c>
    </row>
    <row r="446">
      <c r="A446" s="60">
        <f t="shared" si="7"/>
      </c>
      <c r="B446" s="56">
        <f t="shared" si="8"/>
      </c>
      <c r="C446" s="79">
        <f t="shared" si="0"/>
      </c>
      <c r="D446" s="53">
        <f t="shared" si="1"/>
      </c>
      <c r="E446" s="53">
        <f t="shared" si="2"/>
      </c>
      <c r="F446" s="53">
        <f t="shared" si="3"/>
      </c>
      <c r="G446" s="53">
        <f t="shared" si="4"/>
      </c>
      <c r="H446" s="59">
        <f t="shared" si="5"/>
      </c>
      <c r="I446" s="56">
        <f t="shared" si="6"/>
      </c>
      <c r="J446" s="56">
        <f t="shared" si="9"/>
      </c>
      <c r="L446" s="46">
        <f t="shared" si="10"/>
      </c>
      <c r="M446" s="80">
        <f t="shared" si="11"/>
      </c>
      <c r="S446" s="22">
        <f>IFERROR(SMALL(资金台帐!$BA$6:$BA$3005,239),"")</f>
      </c>
      <c r="T446" s="22">
        <f>IFERROR(SMALL($S$8:$S$507,439),"")</f>
      </c>
      <c r="U446" s="22">
        <f t="shared" si="12"/>
      </c>
      <c r="V446" s="22">
        <f t="shared" si="13"/>
      </c>
      <c r="W446" s="22">
        <f t="shared" si="14"/>
      </c>
    </row>
    <row r="447">
      <c r="A447" s="60">
        <f t="shared" si="7"/>
      </c>
      <c r="B447" s="56">
        <f t="shared" si="8"/>
      </c>
      <c r="C447" s="79">
        <f t="shared" si="0"/>
      </c>
      <c r="D447" s="53">
        <f t="shared" si="1"/>
      </c>
      <c r="E447" s="53">
        <f t="shared" si="2"/>
      </c>
      <c r="F447" s="53">
        <f t="shared" si="3"/>
      </c>
      <c r="G447" s="53">
        <f t="shared" si="4"/>
      </c>
      <c r="H447" s="59">
        <f t="shared" si="5"/>
      </c>
      <c r="I447" s="56">
        <f t="shared" si="6"/>
      </c>
      <c r="J447" s="56">
        <f t="shared" si="9"/>
      </c>
      <c r="L447" s="46">
        <f t="shared" si="10"/>
      </c>
      <c r="M447" s="80">
        <f t="shared" si="11"/>
      </c>
      <c r="S447" s="22">
        <f>IFERROR(SMALL(资金台帐!$BA$6:$BA$3005,240),"")</f>
      </c>
      <c r="T447" s="22">
        <f>IFERROR(SMALL($S$8:$S$507,440),"")</f>
      </c>
      <c r="U447" s="22">
        <f t="shared" si="12"/>
      </c>
      <c r="V447" s="22">
        <f t="shared" si="13"/>
      </c>
      <c r="W447" s="22">
        <f t="shared" si="14"/>
      </c>
    </row>
    <row r="448">
      <c r="A448" s="60">
        <f t="shared" si="7"/>
      </c>
      <c r="B448" s="56">
        <f t="shared" si="8"/>
      </c>
      <c r="C448" s="79">
        <f t="shared" si="0"/>
      </c>
      <c r="D448" s="53">
        <f t="shared" si="1"/>
      </c>
      <c r="E448" s="53">
        <f t="shared" si="2"/>
      </c>
      <c r="F448" s="53">
        <f t="shared" si="3"/>
      </c>
      <c r="G448" s="53">
        <f t="shared" si="4"/>
      </c>
      <c r="H448" s="59">
        <f t="shared" si="5"/>
      </c>
      <c r="I448" s="56">
        <f t="shared" si="6"/>
      </c>
      <c r="J448" s="56">
        <f t="shared" si="9"/>
      </c>
      <c r="L448" s="46">
        <f t="shared" si="10"/>
      </c>
      <c r="M448" s="80">
        <f t="shared" si="11"/>
      </c>
      <c r="S448" s="22">
        <f>IFERROR(SMALL(资金台帐!$BA$6:$BA$3005,241),"")</f>
      </c>
      <c r="T448" s="22">
        <f>IFERROR(SMALL($S$8:$S$507,441),"")</f>
      </c>
      <c r="U448" s="22">
        <f t="shared" si="12"/>
      </c>
      <c r="V448" s="22">
        <f t="shared" si="13"/>
      </c>
      <c r="W448" s="22">
        <f t="shared" si="14"/>
      </c>
    </row>
    <row r="449">
      <c r="A449" s="60">
        <f t="shared" si="7"/>
      </c>
      <c r="B449" s="56">
        <f t="shared" si="8"/>
      </c>
      <c r="C449" s="79">
        <f t="shared" si="0"/>
      </c>
      <c r="D449" s="53">
        <f t="shared" si="1"/>
      </c>
      <c r="E449" s="53">
        <f t="shared" si="2"/>
      </c>
      <c r="F449" s="53">
        <f t="shared" si="3"/>
      </c>
      <c r="G449" s="53">
        <f t="shared" si="4"/>
      </c>
      <c r="H449" s="59">
        <f t="shared" si="5"/>
      </c>
      <c r="I449" s="56">
        <f t="shared" si="6"/>
      </c>
      <c r="J449" s="56">
        <f t="shared" si="9"/>
      </c>
      <c r="L449" s="46">
        <f t="shared" si="10"/>
      </c>
      <c r="M449" s="80">
        <f t="shared" si="11"/>
      </c>
      <c r="S449" s="22">
        <f>IFERROR(SMALL(资金台帐!$BA$6:$BA$3005,242),"")</f>
      </c>
      <c r="T449" s="22">
        <f>IFERROR(SMALL($S$8:$S$507,442),"")</f>
      </c>
      <c r="U449" s="22">
        <f t="shared" si="12"/>
      </c>
      <c r="V449" s="22">
        <f t="shared" si="13"/>
      </c>
      <c r="W449" s="22">
        <f t="shared" si="14"/>
      </c>
    </row>
    <row r="450">
      <c r="A450" s="60">
        <f t="shared" si="7"/>
      </c>
      <c r="B450" s="56">
        <f t="shared" si="8"/>
      </c>
      <c r="C450" s="79">
        <f t="shared" si="0"/>
      </c>
      <c r="D450" s="53">
        <f t="shared" si="1"/>
      </c>
      <c r="E450" s="53">
        <f t="shared" si="2"/>
      </c>
      <c r="F450" s="53">
        <f t="shared" si="3"/>
      </c>
      <c r="G450" s="53">
        <f t="shared" si="4"/>
      </c>
      <c r="H450" s="59">
        <f t="shared" si="5"/>
      </c>
      <c r="I450" s="56">
        <f t="shared" si="6"/>
      </c>
      <c r="J450" s="56">
        <f t="shared" si="9"/>
      </c>
      <c r="L450" s="46">
        <f t="shared" si="10"/>
      </c>
      <c r="M450" s="80">
        <f t="shared" si="11"/>
      </c>
      <c r="S450" s="22">
        <f>IFERROR(SMALL(资金台帐!$BA$6:$BA$3005,243),"")</f>
      </c>
      <c r="T450" s="22">
        <f>IFERROR(SMALL($S$8:$S$507,443),"")</f>
      </c>
      <c r="U450" s="22">
        <f t="shared" si="12"/>
      </c>
      <c r="V450" s="22">
        <f t="shared" si="13"/>
      </c>
      <c r="W450" s="22">
        <f t="shared" si="14"/>
      </c>
    </row>
    <row r="451">
      <c r="A451" s="60">
        <f t="shared" si="7"/>
      </c>
      <c r="B451" s="56">
        <f t="shared" si="8"/>
      </c>
      <c r="C451" s="79">
        <f t="shared" si="0"/>
      </c>
      <c r="D451" s="53">
        <f t="shared" si="1"/>
      </c>
      <c r="E451" s="53">
        <f t="shared" si="2"/>
      </c>
      <c r="F451" s="53">
        <f t="shared" si="3"/>
      </c>
      <c r="G451" s="53">
        <f t="shared" si="4"/>
      </c>
      <c r="H451" s="59">
        <f t="shared" si="5"/>
      </c>
      <c r="I451" s="56">
        <f t="shared" si="6"/>
      </c>
      <c r="J451" s="56">
        <f t="shared" si="9"/>
      </c>
      <c r="L451" s="46">
        <f t="shared" si="10"/>
      </c>
      <c r="M451" s="80">
        <f t="shared" si="11"/>
      </c>
      <c r="S451" s="22">
        <f>IFERROR(SMALL(资金台帐!$BA$6:$BA$3005,244),"")</f>
      </c>
      <c r="T451" s="22">
        <f>IFERROR(SMALL($S$8:$S$507,444),"")</f>
      </c>
      <c r="U451" s="22">
        <f t="shared" si="12"/>
      </c>
      <c r="V451" s="22">
        <f t="shared" si="13"/>
      </c>
      <c r="W451" s="22">
        <f t="shared" si="14"/>
      </c>
    </row>
    <row r="452">
      <c r="A452" s="60">
        <f t="shared" si="7"/>
      </c>
      <c r="B452" s="56">
        <f t="shared" si="8"/>
      </c>
      <c r="C452" s="79">
        <f t="shared" si="0"/>
      </c>
      <c r="D452" s="53">
        <f t="shared" si="1"/>
      </c>
      <c r="E452" s="53">
        <f t="shared" si="2"/>
      </c>
      <c r="F452" s="53">
        <f t="shared" si="3"/>
      </c>
      <c r="G452" s="53">
        <f t="shared" si="4"/>
      </c>
      <c r="H452" s="59">
        <f t="shared" si="5"/>
      </c>
      <c r="I452" s="56">
        <f t="shared" si="6"/>
      </c>
      <c r="J452" s="56">
        <f t="shared" si="9"/>
      </c>
      <c r="L452" s="46">
        <f t="shared" si="10"/>
      </c>
      <c r="M452" s="80">
        <f t="shared" si="11"/>
      </c>
      <c r="S452" s="22">
        <f>IFERROR(SMALL(资金台帐!$BA$6:$BA$3005,245),"")</f>
      </c>
      <c r="T452" s="22">
        <f>IFERROR(SMALL($S$8:$S$507,445),"")</f>
      </c>
      <c r="U452" s="22">
        <f t="shared" si="12"/>
      </c>
      <c r="V452" s="22">
        <f t="shared" si="13"/>
      </c>
      <c r="W452" s="22">
        <f t="shared" si="14"/>
      </c>
    </row>
    <row r="453">
      <c r="A453" s="60">
        <f t="shared" si="7"/>
      </c>
      <c r="B453" s="56">
        <f t="shared" si="8"/>
      </c>
      <c r="C453" s="79">
        <f t="shared" si="0"/>
      </c>
      <c r="D453" s="53">
        <f t="shared" si="1"/>
      </c>
      <c r="E453" s="53">
        <f t="shared" si="2"/>
      </c>
      <c r="F453" s="53">
        <f t="shared" si="3"/>
      </c>
      <c r="G453" s="53">
        <f t="shared" si="4"/>
      </c>
      <c r="H453" s="59">
        <f t="shared" si="5"/>
      </c>
      <c r="I453" s="56">
        <f t="shared" si="6"/>
      </c>
      <c r="J453" s="56">
        <f t="shared" si="9"/>
      </c>
      <c r="L453" s="46">
        <f t="shared" si="10"/>
      </c>
      <c r="M453" s="80">
        <f t="shared" si="11"/>
      </c>
      <c r="S453" s="22">
        <f>IFERROR(SMALL(资金台帐!$BA$6:$BA$3005,246),"")</f>
      </c>
      <c r="T453" s="22">
        <f>IFERROR(SMALL($S$8:$S$507,446),"")</f>
      </c>
      <c r="U453" s="22">
        <f t="shared" si="12"/>
      </c>
      <c r="V453" s="22">
        <f t="shared" si="13"/>
      </c>
      <c r="W453" s="22">
        <f t="shared" si="14"/>
      </c>
    </row>
    <row r="454">
      <c r="A454" s="60">
        <f t="shared" si="7"/>
      </c>
      <c r="B454" s="56">
        <f t="shared" si="8"/>
      </c>
      <c r="C454" s="79">
        <f t="shared" si="0"/>
      </c>
      <c r="D454" s="53">
        <f t="shared" si="1"/>
      </c>
      <c r="E454" s="53">
        <f t="shared" si="2"/>
      </c>
      <c r="F454" s="53">
        <f t="shared" si="3"/>
      </c>
      <c r="G454" s="53">
        <f t="shared" si="4"/>
      </c>
      <c r="H454" s="59">
        <f t="shared" si="5"/>
      </c>
      <c r="I454" s="56">
        <f t="shared" si="6"/>
      </c>
      <c r="J454" s="56">
        <f t="shared" si="9"/>
      </c>
      <c r="L454" s="46">
        <f t="shared" si="10"/>
      </c>
      <c r="M454" s="80">
        <f t="shared" si="11"/>
      </c>
      <c r="S454" s="22">
        <f>IFERROR(SMALL(资金台帐!$BA$6:$BA$3005,247),"")</f>
      </c>
      <c r="T454" s="22">
        <f>IFERROR(SMALL($S$8:$S$507,447),"")</f>
      </c>
      <c r="U454" s="22">
        <f t="shared" si="12"/>
      </c>
      <c r="V454" s="22">
        <f t="shared" si="13"/>
      </c>
      <c r="W454" s="22">
        <f t="shared" si="14"/>
      </c>
    </row>
    <row r="455">
      <c r="A455" s="60">
        <f t="shared" si="7"/>
      </c>
      <c r="B455" s="56">
        <f t="shared" si="8"/>
      </c>
      <c r="C455" s="79">
        <f t="shared" si="0"/>
      </c>
      <c r="D455" s="53">
        <f t="shared" si="1"/>
      </c>
      <c r="E455" s="53">
        <f t="shared" si="2"/>
      </c>
      <c r="F455" s="53">
        <f t="shared" si="3"/>
      </c>
      <c r="G455" s="53">
        <f t="shared" si="4"/>
      </c>
      <c r="H455" s="59">
        <f t="shared" si="5"/>
      </c>
      <c r="I455" s="56">
        <f t="shared" si="6"/>
      </c>
      <c r="J455" s="56">
        <f t="shared" si="9"/>
      </c>
      <c r="L455" s="46">
        <f t="shared" si="10"/>
      </c>
      <c r="M455" s="80">
        <f t="shared" si="11"/>
      </c>
      <c r="S455" s="22">
        <f>IFERROR(SMALL(资金台帐!$BA$6:$BA$3005,248),"")</f>
      </c>
      <c r="T455" s="22">
        <f>IFERROR(SMALL($S$8:$S$507,448),"")</f>
      </c>
      <c r="U455" s="22">
        <f t="shared" si="12"/>
      </c>
      <c r="V455" s="22">
        <f t="shared" si="13"/>
      </c>
      <c r="W455" s="22">
        <f t="shared" si="14"/>
      </c>
    </row>
    <row r="456">
      <c r="A456" s="60">
        <f t="shared" si="7"/>
      </c>
      <c r="B456" s="56">
        <f t="shared" si="8"/>
      </c>
      <c r="C456" s="79">
        <f t="shared" si="0"/>
      </c>
      <c r="D456" s="53">
        <f t="shared" si="1"/>
      </c>
      <c r="E456" s="53">
        <f t="shared" si="2"/>
      </c>
      <c r="F456" s="53">
        <f t="shared" si="3"/>
      </c>
      <c r="G456" s="53">
        <f t="shared" si="4"/>
      </c>
      <c r="H456" s="59">
        <f t="shared" si="5"/>
      </c>
      <c r="I456" s="56">
        <f t="shared" si="6"/>
      </c>
      <c r="J456" s="56">
        <f t="shared" si="9"/>
      </c>
      <c r="L456" s="46">
        <f t="shared" si="10"/>
      </c>
      <c r="M456" s="80">
        <f t="shared" si="11"/>
      </c>
      <c r="S456" s="22">
        <f>IFERROR(SMALL(资金台帐!$BA$6:$BA$3005,249),"")</f>
      </c>
      <c r="T456" s="22">
        <f>IFERROR(SMALL($S$8:$S$507,449),"")</f>
      </c>
      <c r="U456" s="22">
        <f t="shared" si="12"/>
      </c>
      <c r="V456" s="22">
        <f t="shared" si="13"/>
      </c>
      <c r="W456" s="22">
        <f t="shared" si="14"/>
      </c>
    </row>
    <row r="457">
      <c r="A457" s="60">
        <f t="shared" si="7"/>
      </c>
      <c r="B457" s="56">
        <f t="shared" si="8"/>
      </c>
      <c r="C457" s="79">
        <f t="shared" si="0"/>
      </c>
      <c r="D457" s="53">
        <f t="shared" si="1"/>
      </c>
      <c r="E457" s="53">
        <f t="shared" si="2"/>
      </c>
      <c r="F457" s="53">
        <f t="shared" si="3"/>
      </c>
      <c r="G457" s="53">
        <f t="shared" si="4"/>
      </c>
      <c r="H457" s="59">
        <f t="shared" si="5"/>
      </c>
      <c r="I457" s="56">
        <f t="shared" si="6"/>
      </c>
      <c r="J457" s="56">
        <f t="shared" si="9"/>
      </c>
      <c r="L457" s="46">
        <f t="shared" si="10"/>
      </c>
      <c r="M457" s="80">
        <f t="shared" si="11"/>
      </c>
      <c r="S457" s="22">
        <f>IFERROR(SMALL(资金台帐!$BA$6:$BA$3005,250),"")</f>
      </c>
      <c r="T457" s="22">
        <f>IFERROR(SMALL($S$8:$S$507,450),"")</f>
      </c>
      <c r="U457" s="22">
        <f t="shared" si="12"/>
      </c>
      <c r="V457" s="22">
        <f t="shared" si="13"/>
      </c>
      <c r="W457" s="22">
        <f t="shared" si="14"/>
      </c>
    </row>
    <row r="458">
      <c r="A458" s="60">
        <f t="shared" si="7"/>
      </c>
      <c r="B458" s="56">
        <f t="shared" si="8"/>
      </c>
      <c r="C458" s="79">
        <f t="shared" si="0"/>
      </c>
      <c r="D458" s="53">
        <f t="shared" si="1"/>
      </c>
      <c r="E458" s="53">
        <f t="shared" si="2"/>
      </c>
      <c r="F458" s="53">
        <f t="shared" si="3"/>
      </c>
      <c r="G458" s="53">
        <f t="shared" si="4"/>
      </c>
      <c r="H458" s="59">
        <f t="shared" si="5"/>
      </c>
      <c r="I458" s="56">
        <f t="shared" si="6"/>
      </c>
      <c r="J458" s="56">
        <f t="shared" si="9"/>
      </c>
      <c r="L458" s="46">
        <f t="shared" si="10"/>
      </c>
      <c r="M458" s="80">
        <f t="shared" si="11"/>
      </c>
      <c r="S458" s="22">
        <f>IFERROR(SMALL(资金台帐!$BA$6:$BA$3005,251),"")</f>
      </c>
      <c r="T458" s="22">
        <f>IFERROR(SMALL($S$8:$S$507,451),"")</f>
      </c>
      <c r="U458" s="22">
        <f t="shared" si="12"/>
      </c>
      <c r="V458" s="22">
        <f t="shared" si="13"/>
      </c>
      <c r="W458" s="22">
        <f t="shared" si="14"/>
      </c>
    </row>
    <row r="459">
      <c r="A459" s="60">
        <f t="shared" si="7"/>
      </c>
      <c r="B459" s="56">
        <f t="shared" si="8"/>
      </c>
      <c r="C459" s="79">
        <f t="shared" si="0"/>
      </c>
      <c r="D459" s="53">
        <f t="shared" si="1"/>
      </c>
      <c r="E459" s="53">
        <f t="shared" si="2"/>
      </c>
      <c r="F459" s="53">
        <f t="shared" si="3"/>
      </c>
      <c r="G459" s="53">
        <f t="shared" si="4"/>
      </c>
      <c r="H459" s="59">
        <f t="shared" si="5"/>
      </c>
      <c r="I459" s="56">
        <f t="shared" si="6"/>
      </c>
      <c r="J459" s="56">
        <f t="shared" si="9"/>
      </c>
      <c r="L459" s="46">
        <f t="shared" si="10"/>
      </c>
      <c r="M459" s="80">
        <f t="shared" si="11"/>
      </c>
      <c r="S459" s="22">
        <f>IFERROR(SMALL(资金台帐!$BA$6:$BA$3005,252),"")</f>
      </c>
      <c r="T459" s="22">
        <f>IFERROR(SMALL($S$8:$S$507,452),"")</f>
      </c>
      <c r="U459" s="22">
        <f t="shared" si="12"/>
      </c>
      <c r="V459" s="22">
        <f t="shared" si="13"/>
      </c>
      <c r="W459" s="22">
        <f t="shared" si="14"/>
      </c>
    </row>
    <row r="460">
      <c r="A460" s="60">
        <f t="shared" si="7"/>
      </c>
      <c r="B460" s="56">
        <f t="shared" si="8"/>
      </c>
      <c r="C460" s="79">
        <f t="shared" si="0"/>
      </c>
      <c r="D460" s="53">
        <f t="shared" si="1"/>
      </c>
      <c r="E460" s="53">
        <f t="shared" si="2"/>
      </c>
      <c r="F460" s="53">
        <f t="shared" si="3"/>
      </c>
      <c r="G460" s="53">
        <f t="shared" si="4"/>
      </c>
      <c r="H460" s="59">
        <f t="shared" si="5"/>
      </c>
      <c r="I460" s="56">
        <f t="shared" si="6"/>
      </c>
      <c r="J460" s="56">
        <f t="shared" si="9"/>
      </c>
      <c r="L460" s="46">
        <f t="shared" si="10"/>
      </c>
      <c r="M460" s="80">
        <f t="shared" si="11"/>
      </c>
      <c r="S460" s="22">
        <f>IFERROR(SMALL(资金台帐!$BA$6:$BA$3005,253),"")</f>
      </c>
      <c r="T460" s="22">
        <f>IFERROR(SMALL($S$8:$S$507,453),"")</f>
      </c>
      <c r="U460" s="22">
        <f t="shared" si="12"/>
      </c>
      <c r="V460" s="22">
        <f t="shared" si="13"/>
      </c>
      <c r="W460" s="22">
        <f t="shared" si="14"/>
      </c>
    </row>
    <row r="461">
      <c r="A461" s="60">
        <f t="shared" si="7"/>
      </c>
      <c r="B461" s="56">
        <f t="shared" si="8"/>
      </c>
      <c r="C461" s="79">
        <f t="shared" si="0"/>
      </c>
      <c r="D461" s="53">
        <f t="shared" si="1"/>
      </c>
      <c r="E461" s="53">
        <f t="shared" si="2"/>
      </c>
      <c r="F461" s="53">
        <f t="shared" si="3"/>
      </c>
      <c r="G461" s="53">
        <f t="shared" si="4"/>
      </c>
      <c r="H461" s="59">
        <f t="shared" si="5"/>
      </c>
      <c r="I461" s="56">
        <f t="shared" si="6"/>
      </c>
      <c r="J461" s="56">
        <f t="shared" si="9"/>
      </c>
      <c r="L461" s="46">
        <f t="shared" si="10"/>
      </c>
      <c r="M461" s="80">
        <f t="shared" si="11"/>
      </c>
      <c r="S461" s="22">
        <f>IFERROR(SMALL(资金台帐!$BA$6:$BA$3005,254),"")</f>
      </c>
      <c r="T461" s="22">
        <f>IFERROR(SMALL($S$8:$S$507,454),"")</f>
      </c>
      <c r="U461" s="22">
        <f t="shared" si="12"/>
      </c>
      <c r="V461" s="22">
        <f t="shared" si="13"/>
      </c>
      <c r="W461" s="22">
        <f t="shared" si="14"/>
      </c>
    </row>
    <row r="462">
      <c r="A462" s="60">
        <f t="shared" si="7"/>
      </c>
      <c r="B462" s="56">
        <f t="shared" si="8"/>
      </c>
      <c r="C462" s="79">
        <f t="shared" si="0"/>
      </c>
      <c r="D462" s="53">
        <f t="shared" si="1"/>
      </c>
      <c r="E462" s="53">
        <f t="shared" si="2"/>
      </c>
      <c r="F462" s="53">
        <f t="shared" si="3"/>
      </c>
      <c r="G462" s="53">
        <f t="shared" si="4"/>
      </c>
      <c r="H462" s="59">
        <f t="shared" si="5"/>
      </c>
      <c r="I462" s="56">
        <f t="shared" si="6"/>
      </c>
      <c r="J462" s="56">
        <f t="shared" si="9"/>
      </c>
      <c r="L462" s="46">
        <f t="shared" si="10"/>
      </c>
      <c r="M462" s="80">
        <f t="shared" si="11"/>
      </c>
      <c r="S462" s="22">
        <f>IFERROR(SMALL(资金台帐!$BA$6:$BA$3005,255),"")</f>
      </c>
      <c r="T462" s="22">
        <f>IFERROR(SMALL($S$8:$S$507,455),"")</f>
      </c>
      <c r="U462" s="22">
        <f t="shared" si="12"/>
      </c>
      <c r="V462" s="22">
        <f t="shared" si="13"/>
      </c>
      <c r="W462" s="22">
        <f t="shared" si="14"/>
      </c>
    </row>
    <row r="463">
      <c r="A463" s="60">
        <f t="shared" si="7"/>
      </c>
      <c r="B463" s="56">
        <f t="shared" si="8"/>
      </c>
      <c r="C463" s="79">
        <f t="shared" si="0"/>
      </c>
      <c r="D463" s="53">
        <f t="shared" si="1"/>
      </c>
      <c r="E463" s="53">
        <f t="shared" si="2"/>
      </c>
      <c r="F463" s="53">
        <f t="shared" si="3"/>
      </c>
      <c r="G463" s="53">
        <f t="shared" si="4"/>
      </c>
      <c r="H463" s="59">
        <f t="shared" si="5"/>
      </c>
      <c r="I463" s="56">
        <f t="shared" si="6"/>
      </c>
      <c r="J463" s="56">
        <f t="shared" si="9"/>
      </c>
      <c r="L463" s="46">
        <f t="shared" si="10"/>
      </c>
      <c r="M463" s="80">
        <f t="shared" si="11"/>
      </c>
      <c r="S463" s="22">
        <f>IFERROR(SMALL(资金台帐!$BA$6:$BA$3005,256),"")</f>
      </c>
      <c r="T463" s="22">
        <f>IFERROR(SMALL($S$8:$S$507,456),"")</f>
      </c>
      <c r="U463" s="22">
        <f t="shared" si="12"/>
      </c>
      <c r="V463" s="22">
        <f t="shared" si="13"/>
      </c>
      <c r="W463" s="22">
        <f t="shared" si="14"/>
      </c>
    </row>
    <row r="464">
      <c r="A464" s="60">
        <f t="shared" si="7"/>
      </c>
      <c r="B464" s="56">
        <f t="shared" si="8"/>
      </c>
      <c r="C464" s="79">
        <f t="shared" si="0"/>
      </c>
      <c r="D464" s="53">
        <f t="shared" si="1"/>
      </c>
      <c r="E464" s="53">
        <f t="shared" si="2"/>
      </c>
      <c r="F464" s="53">
        <f t="shared" si="3"/>
      </c>
      <c r="G464" s="53">
        <f t="shared" si="4"/>
      </c>
      <c r="H464" s="59">
        <f t="shared" si="5"/>
      </c>
      <c r="I464" s="56">
        <f t="shared" si="6"/>
      </c>
      <c r="J464" s="56">
        <f t="shared" si="9"/>
      </c>
      <c r="L464" s="46">
        <f t="shared" si="10"/>
      </c>
      <c r="M464" s="80">
        <f t="shared" si="11"/>
      </c>
      <c r="S464" s="22">
        <f>IFERROR(SMALL(资金台帐!$BA$6:$BA$3005,257),"")</f>
      </c>
      <c r="T464" s="22">
        <f>IFERROR(SMALL($S$8:$S$507,457),"")</f>
      </c>
      <c r="U464" s="22">
        <f t="shared" si="12"/>
      </c>
      <c r="V464" s="22">
        <f t="shared" si="13"/>
      </c>
      <c r="W464" s="22">
        <f t="shared" si="14"/>
      </c>
    </row>
    <row r="465">
      <c r="A465" s="60">
        <f t="shared" si="7"/>
      </c>
      <c r="B465" s="56">
        <f t="shared" si="8"/>
      </c>
      <c r="C465" s="79">
        <f t="shared" si="0"/>
      </c>
      <c r="D465" s="53">
        <f t="shared" si="1"/>
      </c>
      <c r="E465" s="53">
        <f t="shared" si="2"/>
      </c>
      <c r="F465" s="53">
        <f t="shared" si="3"/>
      </c>
      <c r="G465" s="53">
        <f t="shared" si="4"/>
      </c>
      <c r="H465" s="59">
        <f t="shared" si="5"/>
      </c>
      <c r="I465" s="56">
        <f t="shared" si="6"/>
      </c>
      <c r="J465" s="56">
        <f t="shared" si="9"/>
      </c>
      <c r="L465" s="46">
        <f t="shared" si="10"/>
      </c>
      <c r="M465" s="80">
        <f t="shared" si="11"/>
      </c>
      <c r="S465" s="22">
        <f>IFERROR(SMALL(资金台帐!$BA$6:$BA$3005,258),"")</f>
      </c>
      <c r="T465" s="22">
        <f>IFERROR(SMALL($S$8:$S$507,458),"")</f>
      </c>
      <c r="U465" s="22">
        <f t="shared" si="12"/>
      </c>
      <c r="V465" s="22">
        <f t="shared" si="13"/>
      </c>
      <c r="W465" s="22">
        <f t="shared" si="14"/>
      </c>
    </row>
    <row r="466">
      <c r="A466" s="60">
        <f t="shared" si="7"/>
      </c>
      <c r="B466" s="56">
        <f t="shared" si="8"/>
      </c>
      <c r="C466" s="79">
        <f t="shared" si="0"/>
      </c>
      <c r="D466" s="53">
        <f t="shared" si="1"/>
      </c>
      <c r="E466" s="53">
        <f t="shared" si="2"/>
      </c>
      <c r="F466" s="53">
        <f t="shared" si="3"/>
      </c>
      <c r="G466" s="53">
        <f t="shared" si="4"/>
      </c>
      <c r="H466" s="59">
        <f t="shared" si="5"/>
      </c>
      <c r="I466" s="56">
        <f t="shared" si="6"/>
      </c>
      <c r="J466" s="56">
        <f t="shared" si="9"/>
      </c>
      <c r="L466" s="46">
        <f t="shared" si="10"/>
      </c>
      <c r="M466" s="80">
        <f t="shared" si="11"/>
      </c>
      <c r="S466" s="22">
        <f>IFERROR(SMALL(资金台帐!$BA$6:$BA$3005,259),"")</f>
      </c>
      <c r="T466" s="22">
        <f>IFERROR(SMALL($S$8:$S$507,459),"")</f>
      </c>
      <c r="U466" s="22">
        <f t="shared" si="12"/>
      </c>
      <c r="V466" s="22">
        <f t="shared" si="13"/>
      </c>
      <c r="W466" s="22">
        <f t="shared" si="14"/>
      </c>
    </row>
    <row r="467">
      <c r="A467" s="60">
        <f t="shared" si="7"/>
      </c>
      <c r="B467" s="56">
        <f t="shared" si="8"/>
      </c>
      <c r="C467" s="79">
        <f t="shared" si="0"/>
      </c>
      <c r="D467" s="53">
        <f t="shared" si="1"/>
      </c>
      <c r="E467" s="53">
        <f t="shared" si="2"/>
      </c>
      <c r="F467" s="53">
        <f t="shared" si="3"/>
      </c>
      <c r="G467" s="53">
        <f t="shared" si="4"/>
      </c>
      <c r="H467" s="59">
        <f t="shared" si="5"/>
      </c>
      <c r="I467" s="56">
        <f t="shared" si="6"/>
      </c>
      <c r="J467" s="56">
        <f t="shared" si="9"/>
      </c>
      <c r="L467" s="46">
        <f t="shared" si="10"/>
      </c>
      <c r="M467" s="80">
        <f t="shared" si="11"/>
      </c>
      <c r="S467" s="22">
        <f>IFERROR(SMALL(资金台帐!$BA$6:$BA$3005,260),"")</f>
      </c>
      <c r="T467" s="22">
        <f>IFERROR(SMALL($S$8:$S$507,460),"")</f>
      </c>
      <c r="U467" s="22">
        <f t="shared" si="12"/>
      </c>
      <c r="V467" s="22">
        <f t="shared" si="13"/>
      </c>
      <c r="W467" s="22">
        <f t="shared" si="14"/>
      </c>
    </row>
    <row r="468">
      <c r="A468" s="60">
        <f t="shared" si="7"/>
      </c>
      <c r="B468" s="56">
        <f t="shared" si="8"/>
      </c>
      <c r="C468" s="79">
        <f t="shared" si="0"/>
      </c>
      <c r="D468" s="53">
        <f t="shared" si="1"/>
      </c>
      <c r="E468" s="53">
        <f t="shared" si="2"/>
      </c>
      <c r="F468" s="53">
        <f t="shared" si="3"/>
      </c>
      <c r="G468" s="53">
        <f t="shared" si="4"/>
      </c>
      <c r="H468" s="59">
        <f t="shared" si="5"/>
      </c>
      <c r="I468" s="56">
        <f t="shared" si="6"/>
      </c>
      <c r="J468" s="56">
        <f t="shared" si="9"/>
      </c>
      <c r="L468" s="46">
        <f t="shared" si="10"/>
      </c>
      <c r="M468" s="80">
        <f t="shared" si="11"/>
      </c>
      <c r="S468" s="22">
        <f>IFERROR(SMALL(资金台帐!$BA$6:$BA$3005,261),"")</f>
      </c>
      <c r="T468" s="22">
        <f>IFERROR(SMALL($S$8:$S$507,461),"")</f>
      </c>
      <c r="U468" s="22">
        <f t="shared" si="12"/>
      </c>
      <c r="V468" s="22">
        <f t="shared" si="13"/>
      </c>
      <c r="W468" s="22">
        <f t="shared" si="14"/>
      </c>
    </row>
    <row r="469">
      <c r="A469" s="60">
        <f t="shared" si="7"/>
      </c>
      <c r="B469" s="56">
        <f t="shared" si="8"/>
      </c>
      <c r="C469" s="79">
        <f t="shared" si="0"/>
      </c>
      <c r="D469" s="53">
        <f t="shared" si="1"/>
      </c>
      <c r="E469" s="53">
        <f t="shared" si="2"/>
      </c>
      <c r="F469" s="53">
        <f t="shared" si="3"/>
      </c>
      <c r="G469" s="53">
        <f t="shared" si="4"/>
      </c>
      <c r="H469" s="59">
        <f t="shared" si="5"/>
      </c>
      <c r="I469" s="56">
        <f t="shared" si="6"/>
      </c>
      <c r="J469" s="56">
        <f t="shared" si="9"/>
      </c>
      <c r="L469" s="46">
        <f t="shared" si="10"/>
      </c>
      <c r="M469" s="80">
        <f t="shared" si="11"/>
      </c>
      <c r="S469" s="22">
        <f>IFERROR(SMALL(资金台帐!$BA$6:$BA$3005,262),"")</f>
      </c>
      <c r="T469" s="22">
        <f>IFERROR(SMALL($S$8:$S$507,462),"")</f>
      </c>
      <c r="U469" s="22">
        <f t="shared" si="12"/>
      </c>
      <c r="V469" s="22">
        <f t="shared" si="13"/>
      </c>
      <c r="W469" s="22">
        <f t="shared" si="14"/>
      </c>
    </row>
    <row r="470">
      <c r="A470" s="60">
        <f t="shared" si="7"/>
      </c>
      <c r="B470" s="56">
        <f t="shared" si="8"/>
      </c>
      <c r="C470" s="79">
        <f t="shared" si="0"/>
      </c>
      <c r="D470" s="53">
        <f t="shared" si="1"/>
      </c>
      <c r="E470" s="53">
        <f t="shared" si="2"/>
      </c>
      <c r="F470" s="53">
        <f t="shared" si="3"/>
      </c>
      <c r="G470" s="53">
        <f t="shared" si="4"/>
      </c>
      <c r="H470" s="59">
        <f t="shared" si="5"/>
      </c>
      <c r="I470" s="56">
        <f t="shared" si="6"/>
      </c>
      <c r="J470" s="56">
        <f t="shared" si="9"/>
      </c>
      <c r="L470" s="46">
        <f t="shared" si="10"/>
      </c>
      <c r="M470" s="80">
        <f t="shared" si="11"/>
      </c>
      <c r="S470" s="22">
        <f>IFERROR(SMALL(资金台帐!$BA$6:$BA$3005,263),"")</f>
      </c>
      <c r="T470" s="22">
        <f>IFERROR(SMALL($S$8:$S$507,463),"")</f>
      </c>
      <c r="U470" s="22">
        <f t="shared" si="12"/>
      </c>
      <c r="V470" s="22">
        <f t="shared" si="13"/>
      </c>
      <c r="W470" s="22">
        <f t="shared" si="14"/>
      </c>
    </row>
    <row r="471">
      <c r="A471" s="60">
        <f t="shared" si="7"/>
      </c>
      <c r="B471" s="56">
        <f t="shared" si="8"/>
      </c>
      <c r="C471" s="79">
        <f t="shared" si="0"/>
      </c>
      <c r="D471" s="53">
        <f t="shared" si="1"/>
      </c>
      <c r="E471" s="53">
        <f t="shared" si="2"/>
      </c>
      <c r="F471" s="53">
        <f t="shared" si="3"/>
      </c>
      <c r="G471" s="53">
        <f t="shared" si="4"/>
      </c>
      <c r="H471" s="59">
        <f t="shared" si="5"/>
      </c>
      <c r="I471" s="56">
        <f t="shared" si="6"/>
      </c>
      <c r="J471" s="56">
        <f t="shared" si="9"/>
      </c>
      <c r="L471" s="46">
        <f t="shared" si="10"/>
      </c>
      <c r="M471" s="80">
        <f t="shared" si="11"/>
      </c>
      <c r="S471" s="22">
        <f>IFERROR(SMALL(资金台帐!$BA$6:$BA$3005,264),"")</f>
      </c>
      <c r="T471" s="22">
        <f>IFERROR(SMALL($S$8:$S$507,464),"")</f>
      </c>
      <c r="U471" s="22">
        <f t="shared" si="12"/>
      </c>
      <c r="V471" s="22">
        <f t="shared" si="13"/>
      </c>
      <c r="W471" s="22">
        <f t="shared" si="14"/>
      </c>
    </row>
    <row r="472">
      <c r="A472" s="60">
        <f t="shared" si="7"/>
      </c>
      <c r="B472" s="56">
        <f t="shared" si="8"/>
      </c>
      <c r="C472" s="79">
        <f t="shared" si="0"/>
      </c>
      <c r="D472" s="53">
        <f t="shared" si="1"/>
      </c>
      <c r="E472" s="53">
        <f t="shared" si="2"/>
      </c>
      <c r="F472" s="53">
        <f t="shared" si="3"/>
      </c>
      <c r="G472" s="53">
        <f t="shared" si="4"/>
      </c>
      <c r="H472" s="59">
        <f t="shared" si="5"/>
      </c>
      <c r="I472" s="56">
        <f t="shared" si="6"/>
      </c>
      <c r="J472" s="56">
        <f t="shared" si="9"/>
      </c>
      <c r="L472" s="46">
        <f t="shared" si="10"/>
      </c>
      <c r="M472" s="80">
        <f t="shared" si="11"/>
      </c>
      <c r="S472" s="22">
        <f>IFERROR(SMALL(资金台帐!$BA$6:$BA$3005,265),"")</f>
      </c>
      <c r="T472" s="22">
        <f>IFERROR(SMALL($S$8:$S$507,465),"")</f>
      </c>
      <c r="U472" s="22">
        <f t="shared" si="12"/>
      </c>
      <c r="V472" s="22">
        <f t="shared" si="13"/>
      </c>
      <c r="W472" s="22">
        <f t="shared" si="14"/>
      </c>
    </row>
    <row r="473">
      <c r="A473" s="60">
        <f t="shared" si="7"/>
      </c>
      <c r="B473" s="56">
        <f t="shared" si="8"/>
      </c>
      <c r="C473" s="79">
        <f t="shared" si="0"/>
      </c>
      <c r="D473" s="53">
        <f t="shared" si="1"/>
      </c>
      <c r="E473" s="53">
        <f t="shared" si="2"/>
      </c>
      <c r="F473" s="53">
        <f t="shared" si="3"/>
      </c>
      <c r="G473" s="53">
        <f t="shared" si="4"/>
      </c>
      <c r="H473" s="59">
        <f t="shared" si="5"/>
      </c>
      <c r="I473" s="56">
        <f t="shared" si="6"/>
      </c>
      <c r="J473" s="56">
        <f t="shared" si="9"/>
      </c>
      <c r="L473" s="46">
        <f t="shared" si="10"/>
      </c>
      <c r="M473" s="80">
        <f t="shared" si="11"/>
      </c>
      <c r="S473" s="22">
        <f>IFERROR(SMALL(资金台帐!$BA$6:$BA$3005,266),"")</f>
      </c>
      <c r="T473" s="22">
        <f>IFERROR(SMALL($S$8:$S$507,466),"")</f>
      </c>
      <c r="U473" s="22">
        <f t="shared" si="12"/>
      </c>
      <c r="V473" s="22">
        <f t="shared" si="13"/>
      </c>
      <c r="W473" s="22">
        <f t="shared" si="14"/>
      </c>
    </row>
    <row r="474">
      <c r="A474" s="60">
        <f t="shared" si="7"/>
      </c>
      <c r="B474" s="56">
        <f t="shared" si="8"/>
      </c>
      <c r="C474" s="79">
        <f t="shared" si="0"/>
      </c>
      <c r="D474" s="53">
        <f t="shared" si="1"/>
      </c>
      <c r="E474" s="53">
        <f t="shared" si="2"/>
      </c>
      <c r="F474" s="53">
        <f t="shared" si="3"/>
      </c>
      <c r="G474" s="53">
        <f t="shared" si="4"/>
      </c>
      <c r="H474" s="59">
        <f t="shared" si="5"/>
      </c>
      <c r="I474" s="56">
        <f t="shared" si="6"/>
      </c>
      <c r="J474" s="56">
        <f t="shared" si="9"/>
      </c>
      <c r="L474" s="46">
        <f t="shared" si="10"/>
      </c>
      <c r="M474" s="80">
        <f t="shared" si="11"/>
      </c>
      <c r="S474" s="22">
        <f>IFERROR(SMALL(资金台帐!$BA$6:$BA$3005,267),"")</f>
      </c>
      <c r="T474" s="22">
        <f>IFERROR(SMALL($S$8:$S$507,467),"")</f>
      </c>
      <c r="U474" s="22">
        <f t="shared" si="12"/>
      </c>
      <c r="V474" s="22">
        <f t="shared" si="13"/>
      </c>
      <c r="W474" s="22">
        <f t="shared" si="14"/>
      </c>
    </row>
    <row r="475">
      <c r="A475" s="60">
        <f t="shared" si="7"/>
      </c>
      <c r="B475" s="56">
        <f t="shared" si="8"/>
      </c>
      <c r="C475" s="79">
        <f t="shared" si="0"/>
      </c>
      <c r="D475" s="53">
        <f t="shared" si="1"/>
      </c>
      <c r="E475" s="53">
        <f t="shared" si="2"/>
      </c>
      <c r="F475" s="53">
        <f t="shared" si="3"/>
      </c>
      <c r="G475" s="53">
        <f t="shared" si="4"/>
      </c>
      <c r="H475" s="59">
        <f t="shared" si="5"/>
      </c>
      <c r="I475" s="56">
        <f t="shared" si="6"/>
      </c>
      <c r="J475" s="56">
        <f t="shared" si="9"/>
      </c>
      <c r="L475" s="46">
        <f t="shared" si="10"/>
      </c>
      <c r="M475" s="80">
        <f t="shared" si="11"/>
      </c>
      <c r="S475" s="22">
        <f>IFERROR(SMALL(资金台帐!$BA$6:$BA$3005,268),"")</f>
      </c>
      <c r="T475" s="22">
        <f>IFERROR(SMALL($S$8:$S$507,468),"")</f>
      </c>
      <c r="U475" s="22">
        <f t="shared" si="12"/>
      </c>
      <c r="V475" s="22">
        <f t="shared" si="13"/>
      </c>
      <c r="W475" s="22">
        <f t="shared" si="14"/>
      </c>
    </row>
    <row r="476">
      <c r="A476" s="60">
        <f t="shared" si="7"/>
      </c>
      <c r="B476" s="56">
        <f t="shared" si="8"/>
      </c>
      <c r="C476" s="79">
        <f t="shared" si="0"/>
      </c>
      <c r="D476" s="53">
        <f t="shared" si="1"/>
      </c>
      <c r="E476" s="53">
        <f t="shared" si="2"/>
      </c>
      <c r="F476" s="53">
        <f t="shared" si="3"/>
      </c>
      <c r="G476" s="53">
        <f t="shared" si="4"/>
      </c>
      <c r="H476" s="59">
        <f t="shared" si="5"/>
      </c>
      <c r="I476" s="56">
        <f t="shared" si="6"/>
      </c>
      <c r="J476" s="56">
        <f t="shared" si="9"/>
      </c>
      <c r="L476" s="46">
        <f t="shared" si="10"/>
      </c>
      <c r="M476" s="80">
        <f t="shared" si="11"/>
      </c>
      <c r="S476" s="22">
        <f>IFERROR(SMALL(资金台帐!$BA$6:$BA$3005,269),"")</f>
      </c>
      <c r="T476" s="22">
        <f>IFERROR(SMALL($S$8:$S$507,469),"")</f>
      </c>
      <c r="U476" s="22">
        <f t="shared" si="12"/>
      </c>
      <c r="V476" s="22">
        <f t="shared" si="13"/>
      </c>
      <c r="W476" s="22">
        <f t="shared" si="14"/>
      </c>
    </row>
    <row r="477">
      <c r="A477" s="60">
        <f t="shared" si="7"/>
      </c>
      <c r="B477" s="56">
        <f t="shared" si="8"/>
      </c>
      <c r="C477" s="79">
        <f t="shared" si="0"/>
      </c>
      <c r="D477" s="53">
        <f t="shared" si="1"/>
      </c>
      <c r="E477" s="53">
        <f t="shared" si="2"/>
      </c>
      <c r="F477" s="53">
        <f t="shared" si="3"/>
      </c>
      <c r="G477" s="53">
        <f t="shared" si="4"/>
      </c>
      <c r="H477" s="59">
        <f t="shared" si="5"/>
      </c>
      <c r="I477" s="56">
        <f t="shared" si="6"/>
      </c>
      <c r="J477" s="56">
        <f t="shared" si="9"/>
      </c>
      <c r="L477" s="46">
        <f t="shared" si="10"/>
      </c>
      <c r="M477" s="80">
        <f t="shared" si="11"/>
      </c>
      <c r="S477" s="22">
        <f>IFERROR(SMALL(资金台帐!$BA$6:$BA$3005,270),"")</f>
      </c>
      <c r="T477" s="22">
        <f>IFERROR(SMALL($S$8:$S$507,470),"")</f>
      </c>
      <c r="U477" s="22">
        <f t="shared" si="12"/>
      </c>
      <c r="V477" s="22">
        <f t="shared" si="13"/>
      </c>
      <c r="W477" s="22">
        <f t="shared" si="14"/>
      </c>
    </row>
    <row r="478">
      <c r="A478" s="60">
        <f t="shared" si="7"/>
      </c>
      <c r="B478" s="56">
        <f t="shared" si="8"/>
      </c>
      <c r="C478" s="79">
        <f t="shared" si="0"/>
      </c>
      <c r="D478" s="53">
        <f t="shared" si="1"/>
      </c>
      <c r="E478" s="53">
        <f t="shared" si="2"/>
      </c>
      <c r="F478" s="53">
        <f t="shared" si="3"/>
      </c>
      <c r="G478" s="53">
        <f t="shared" si="4"/>
      </c>
      <c r="H478" s="59">
        <f t="shared" si="5"/>
      </c>
      <c r="I478" s="56">
        <f t="shared" si="6"/>
      </c>
      <c r="J478" s="56">
        <f t="shared" si="9"/>
      </c>
      <c r="L478" s="46">
        <f t="shared" si="10"/>
      </c>
      <c r="M478" s="80">
        <f t="shared" si="11"/>
      </c>
      <c r="S478" s="22">
        <f>IFERROR(SMALL(资金台帐!$BA$6:$BA$3005,271),"")</f>
      </c>
      <c r="T478" s="22">
        <f>IFERROR(SMALL($S$8:$S$507,471),"")</f>
      </c>
      <c r="U478" s="22">
        <f t="shared" si="12"/>
      </c>
      <c r="V478" s="22">
        <f t="shared" si="13"/>
      </c>
      <c r="W478" s="22">
        <f t="shared" si="14"/>
      </c>
    </row>
    <row r="479">
      <c r="A479" s="60">
        <f t="shared" si="7"/>
      </c>
      <c r="B479" s="56">
        <f t="shared" si="8"/>
      </c>
      <c r="C479" s="79">
        <f t="shared" si="0"/>
      </c>
      <c r="D479" s="53">
        <f t="shared" si="1"/>
      </c>
      <c r="E479" s="53">
        <f t="shared" si="2"/>
      </c>
      <c r="F479" s="53">
        <f t="shared" si="3"/>
      </c>
      <c r="G479" s="53">
        <f t="shared" si="4"/>
      </c>
      <c r="H479" s="59">
        <f t="shared" si="5"/>
      </c>
      <c r="I479" s="56">
        <f t="shared" si="6"/>
      </c>
      <c r="J479" s="56">
        <f t="shared" si="9"/>
      </c>
      <c r="L479" s="46">
        <f t="shared" si="10"/>
      </c>
      <c r="M479" s="80">
        <f t="shared" si="11"/>
      </c>
      <c r="S479" s="22">
        <f>IFERROR(SMALL(资金台帐!$BA$6:$BA$3005,272),"")</f>
      </c>
      <c r="T479" s="22">
        <f>IFERROR(SMALL($S$8:$S$507,472),"")</f>
      </c>
      <c r="U479" s="22">
        <f t="shared" si="12"/>
      </c>
      <c r="V479" s="22">
        <f t="shared" si="13"/>
      </c>
      <c r="W479" s="22">
        <f t="shared" si="14"/>
      </c>
    </row>
    <row r="480">
      <c r="A480" s="60">
        <f t="shared" si="7"/>
      </c>
      <c r="B480" s="56">
        <f t="shared" si="8"/>
      </c>
      <c r="C480" s="79">
        <f t="shared" si="0"/>
      </c>
      <c r="D480" s="53">
        <f t="shared" si="1"/>
      </c>
      <c r="E480" s="53">
        <f t="shared" si="2"/>
      </c>
      <c r="F480" s="53">
        <f t="shared" si="3"/>
      </c>
      <c r="G480" s="53">
        <f t="shared" si="4"/>
      </c>
      <c r="H480" s="59">
        <f t="shared" si="5"/>
      </c>
      <c r="I480" s="56">
        <f t="shared" si="6"/>
      </c>
      <c r="J480" s="56">
        <f t="shared" si="9"/>
      </c>
      <c r="L480" s="46">
        <f t="shared" si="10"/>
      </c>
      <c r="M480" s="80">
        <f t="shared" si="11"/>
      </c>
      <c r="S480" s="22">
        <f>IFERROR(SMALL(资金台帐!$BA$6:$BA$3005,273),"")</f>
      </c>
      <c r="T480" s="22">
        <f>IFERROR(SMALL($S$8:$S$507,473),"")</f>
      </c>
      <c r="U480" s="22">
        <f t="shared" si="12"/>
      </c>
      <c r="V480" s="22">
        <f t="shared" si="13"/>
      </c>
      <c r="W480" s="22">
        <f t="shared" si="14"/>
      </c>
    </row>
    <row r="481">
      <c r="A481" s="60">
        <f t="shared" si="7"/>
      </c>
      <c r="B481" s="56">
        <f t="shared" si="8"/>
      </c>
      <c r="C481" s="79">
        <f t="shared" si="0"/>
      </c>
      <c r="D481" s="53">
        <f t="shared" si="1"/>
      </c>
      <c r="E481" s="53">
        <f t="shared" si="2"/>
      </c>
      <c r="F481" s="53">
        <f t="shared" si="3"/>
      </c>
      <c r="G481" s="53">
        <f t="shared" si="4"/>
      </c>
      <c r="H481" s="59">
        <f t="shared" si="5"/>
      </c>
      <c r="I481" s="56">
        <f t="shared" si="6"/>
      </c>
      <c r="J481" s="56">
        <f t="shared" si="9"/>
      </c>
      <c r="L481" s="46">
        <f t="shared" si="10"/>
      </c>
      <c r="M481" s="80">
        <f t="shared" si="11"/>
      </c>
      <c r="S481" s="22">
        <f>IFERROR(SMALL(资金台帐!$BA$6:$BA$3005,274),"")</f>
      </c>
      <c r="T481" s="22">
        <f>IFERROR(SMALL($S$8:$S$507,474),"")</f>
      </c>
      <c r="U481" s="22">
        <f t="shared" si="12"/>
      </c>
      <c r="V481" s="22">
        <f t="shared" si="13"/>
      </c>
      <c r="W481" s="22">
        <f t="shared" si="14"/>
      </c>
    </row>
    <row r="482">
      <c r="A482" s="60">
        <f t="shared" si="7"/>
      </c>
      <c r="B482" s="56">
        <f t="shared" si="8"/>
      </c>
      <c r="C482" s="79">
        <f t="shared" si="0"/>
      </c>
      <c r="D482" s="53">
        <f t="shared" si="1"/>
      </c>
      <c r="E482" s="53">
        <f t="shared" si="2"/>
      </c>
      <c r="F482" s="53">
        <f t="shared" si="3"/>
      </c>
      <c r="G482" s="53">
        <f t="shared" si="4"/>
      </c>
      <c r="H482" s="59">
        <f t="shared" si="5"/>
      </c>
      <c r="I482" s="56">
        <f t="shared" si="6"/>
      </c>
      <c r="J482" s="56">
        <f t="shared" si="9"/>
      </c>
      <c r="L482" s="46">
        <f t="shared" si="10"/>
      </c>
      <c r="M482" s="80">
        <f t="shared" si="11"/>
      </c>
      <c r="S482" s="22">
        <f>IFERROR(SMALL(资金台帐!$BA$6:$BA$3005,275),"")</f>
      </c>
      <c r="T482" s="22">
        <f>IFERROR(SMALL($S$8:$S$507,475),"")</f>
      </c>
      <c r="U482" s="22">
        <f t="shared" si="12"/>
      </c>
      <c r="V482" s="22">
        <f t="shared" si="13"/>
      </c>
      <c r="W482" s="22">
        <f t="shared" si="14"/>
      </c>
    </row>
    <row r="483">
      <c r="A483" s="60">
        <f t="shared" si="7"/>
      </c>
      <c r="B483" s="56">
        <f t="shared" si="8"/>
      </c>
      <c r="C483" s="79">
        <f t="shared" si="0"/>
      </c>
      <c r="D483" s="53">
        <f t="shared" si="1"/>
      </c>
      <c r="E483" s="53">
        <f t="shared" si="2"/>
      </c>
      <c r="F483" s="53">
        <f t="shared" si="3"/>
      </c>
      <c r="G483" s="53">
        <f t="shared" si="4"/>
      </c>
      <c r="H483" s="59">
        <f t="shared" si="5"/>
      </c>
      <c r="I483" s="56">
        <f t="shared" si="6"/>
      </c>
      <c r="J483" s="56">
        <f t="shared" si="9"/>
      </c>
      <c r="L483" s="46">
        <f t="shared" si="10"/>
      </c>
      <c r="M483" s="80">
        <f t="shared" si="11"/>
      </c>
      <c r="S483" s="22">
        <f>IFERROR(SMALL(资金台帐!$BA$6:$BA$3005,276),"")</f>
      </c>
      <c r="T483" s="22">
        <f>IFERROR(SMALL($S$8:$S$507,476),"")</f>
      </c>
      <c r="U483" s="22">
        <f t="shared" si="12"/>
      </c>
      <c r="V483" s="22">
        <f t="shared" si="13"/>
      </c>
      <c r="W483" s="22">
        <f t="shared" si="14"/>
      </c>
    </row>
    <row r="484">
      <c r="A484" s="60">
        <f t="shared" si="7"/>
      </c>
      <c r="B484" s="56">
        <f t="shared" si="8"/>
      </c>
      <c r="C484" s="79">
        <f t="shared" si="0"/>
      </c>
      <c r="D484" s="53">
        <f t="shared" si="1"/>
      </c>
      <c r="E484" s="53">
        <f t="shared" si="2"/>
      </c>
      <c r="F484" s="53">
        <f t="shared" si="3"/>
      </c>
      <c r="G484" s="53">
        <f t="shared" si="4"/>
      </c>
      <c r="H484" s="59">
        <f t="shared" si="5"/>
      </c>
      <c r="I484" s="56">
        <f t="shared" si="6"/>
      </c>
      <c r="J484" s="56">
        <f t="shared" si="9"/>
      </c>
      <c r="L484" s="46">
        <f t="shared" si="10"/>
      </c>
      <c r="M484" s="80">
        <f t="shared" si="11"/>
      </c>
      <c r="S484" s="22">
        <f>IFERROR(SMALL(资金台帐!$BA$6:$BA$3005,277),"")</f>
      </c>
      <c r="T484" s="22">
        <f>IFERROR(SMALL($S$8:$S$507,477),"")</f>
      </c>
      <c r="U484" s="22">
        <f t="shared" si="12"/>
      </c>
      <c r="V484" s="22">
        <f t="shared" si="13"/>
      </c>
      <c r="W484" s="22">
        <f t="shared" si="14"/>
      </c>
    </row>
    <row r="485">
      <c r="A485" s="60">
        <f t="shared" si="7"/>
      </c>
      <c r="B485" s="56">
        <f t="shared" si="8"/>
      </c>
      <c r="C485" s="79">
        <f t="shared" si="0"/>
      </c>
      <c r="D485" s="53">
        <f t="shared" si="1"/>
      </c>
      <c r="E485" s="53">
        <f t="shared" si="2"/>
      </c>
      <c r="F485" s="53">
        <f t="shared" si="3"/>
      </c>
      <c r="G485" s="53">
        <f t="shared" si="4"/>
      </c>
      <c r="H485" s="59">
        <f t="shared" si="5"/>
      </c>
      <c r="I485" s="56">
        <f t="shared" si="6"/>
      </c>
      <c r="J485" s="56">
        <f t="shared" si="9"/>
      </c>
      <c r="L485" s="46">
        <f t="shared" si="10"/>
      </c>
      <c r="M485" s="80">
        <f t="shared" si="11"/>
      </c>
      <c r="S485" s="22">
        <f>IFERROR(SMALL(资金台帐!$BA$6:$BA$3005,278),"")</f>
      </c>
      <c r="T485" s="22">
        <f>IFERROR(SMALL($S$8:$S$507,478),"")</f>
      </c>
      <c r="U485" s="22">
        <f t="shared" si="12"/>
      </c>
      <c r="V485" s="22">
        <f t="shared" si="13"/>
      </c>
      <c r="W485" s="22">
        <f t="shared" si="14"/>
      </c>
    </row>
    <row r="486">
      <c r="A486" s="60">
        <f t="shared" si="7"/>
      </c>
      <c r="B486" s="56">
        <f t="shared" si="8"/>
      </c>
      <c r="C486" s="79">
        <f t="shared" si="0"/>
      </c>
      <c r="D486" s="53">
        <f t="shared" si="1"/>
      </c>
      <c r="E486" s="53">
        <f t="shared" si="2"/>
      </c>
      <c r="F486" s="53">
        <f t="shared" si="3"/>
      </c>
      <c r="G486" s="53">
        <f t="shared" si="4"/>
      </c>
      <c r="H486" s="59">
        <f t="shared" si="5"/>
      </c>
      <c r="I486" s="56">
        <f t="shared" si="6"/>
      </c>
      <c r="J486" s="56">
        <f t="shared" si="9"/>
      </c>
      <c r="L486" s="46">
        <f t="shared" si="10"/>
      </c>
      <c r="M486" s="80">
        <f t="shared" si="11"/>
      </c>
      <c r="S486" s="22">
        <f>IFERROR(SMALL(资金台帐!$BA$6:$BA$3005,279),"")</f>
      </c>
      <c r="T486" s="22">
        <f>IFERROR(SMALL($S$8:$S$507,479),"")</f>
      </c>
      <c r="U486" s="22">
        <f t="shared" si="12"/>
      </c>
      <c r="V486" s="22">
        <f t="shared" si="13"/>
      </c>
      <c r="W486" s="22">
        <f t="shared" si="14"/>
      </c>
    </row>
    <row r="487">
      <c r="A487" s="60">
        <f t="shared" si="7"/>
      </c>
      <c r="B487" s="56">
        <f t="shared" si="8"/>
      </c>
      <c r="C487" s="79">
        <f t="shared" si="0"/>
      </c>
      <c r="D487" s="53">
        <f t="shared" si="1"/>
      </c>
      <c r="E487" s="53">
        <f t="shared" si="2"/>
      </c>
      <c r="F487" s="53">
        <f t="shared" si="3"/>
      </c>
      <c r="G487" s="53">
        <f t="shared" si="4"/>
      </c>
      <c r="H487" s="59">
        <f t="shared" si="5"/>
      </c>
      <c r="I487" s="56">
        <f t="shared" si="6"/>
      </c>
      <c r="J487" s="56">
        <f t="shared" si="9"/>
      </c>
      <c r="L487" s="46">
        <f t="shared" si="10"/>
      </c>
      <c r="M487" s="80">
        <f t="shared" si="11"/>
      </c>
      <c r="S487" s="22">
        <f>IFERROR(SMALL(资金台帐!$BA$6:$BA$3005,280),"")</f>
      </c>
      <c r="T487" s="22">
        <f>IFERROR(SMALL($S$8:$S$507,480),"")</f>
      </c>
      <c r="U487" s="22">
        <f t="shared" si="12"/>
      </c>
      <c r="V487" s="22">
        <f t="shared" si="13"/>
      </c>
      <c r="W487" s="22">
        <f t="shared" si="14"/>
      </c>
    </row>
    <row r="488">
      <c r="A488" s="60">
        <f t="shared" si="7"/>
      </c>
      <c r="B488" s="56">
        <f t="shared" si="8"/>
      </c>
      <c r="C488" s="79">
        <f t="shared" si="0"/>
      </c>
      <c r="D488" s="53">
        <f t="shared" si="1"/>
      </c>
      <c r="E488" s="53">
        <f t="shared" si="2"/>
      </c>
      <c r="F488" s="53">
        <f t="shared" si="3"/>
      </c>
      <c r="G488" s="53">
        <f t="shared" si="4"/>
      </c>
      <c r="H488" s="59">
        <f t="shared" si="5"/>
      </c>
      <c r="I488" s="56">
        <f t="shared" si="6"/>
      </c>
      <c r="J488" s="56">
        <f t="shared" si="9"/>
      </c>
      <c r="L488" s="46">
        <f t="shared" si="10"/>
      </c>
      <c r="M488" s="80">
        <f t="shared" si="11"/>
      </c>
      <c r="S488" s="22">
        <f>IFERROR(SMALL(资金台帐!$BA$6:$BA$3005,281),"")</f>
      </c>
      <c r="T488" s="22">
        <f>IFERROR(SMALL($S$8:$S$507,481),"")</f>
      </c>
      <c r="U488" s="22">
        <f t="shared" si="12"/>
      </c>
      <c r="V488" s="22">
        <f t="shared" si="13"/>
      </c>
      <c r="W488" s="22">
        <f t="shared" si="14"/>
      </c>
    </row>
    <row r="489">
      <c r="A489" s="60">
        <f t="shared" si="7"/>
      </c>
      <c r="B489" s="56">
        <f t="shared" si="8"/>
      </c>
      <c r="C489" s="79">
        <f t="shared" si="0"/>
      </c>
      <c r="D489" s="53">
        <f t="shared" si="1"/>
      </c>
      <c r="E489" s="53">
        <f t="shared" si="2"/>
      </c>
      <c r="F489" s="53">
        <f t="shared" si="3"/>
      </c>
      <c r="G489" s="53">
        <f t="shared" si="4"/>
      </c>
      <c r="H489" s="59">
        <f t="shared" si="5"/>
      </c>
      <c r="I489" s="56">
        <f t="shared" si="6"/>
      </c>
      <c r="J489" s="56">
        <f t="shared" si="9"/>
      </c>
      <c r="L489" s="46">
        <f t="shared" si="10"/>
      </c>
      <c r="M489" s="80">
        <f t="shared" si="11"/>
      </c>
      <c r="S489" s="22">
        <f>IFERROR(SMALL(资金台帐!$BA$6:$BA$3005,282),"")</f>
      </c>
      <c r="T489" s="22">
        <f>IFERROR(SMALL($S$8:$S$507,482),"")</f>
      </c>
      <c r="U489" s="22">
        <f t="shared" si="12"/>
      </c>
      <c r="V489" s="22">
        <f t="shared" si="13"/>
      </c>
      <c r="W489" s="22">
        <f t="shared" si="14"/>
      </c>
    </row>
    <row r="490">
      <c r="A490" s="60">
        <f t="shared" si="7"/>
      </c>
      <c r="B490" s="56">
        <f t="shared" si="8"/>
      </c>
      <c r="C490" s="79">
        <f t="shared" si="0"/>
      </c>
      <c r="D490" s="53">
        <f t="shared" si="1"/>
      </c>
      <c r="E490" s="53">
        <f t="shared" si="2"/>
      </c>
      <c r="F490" s="53">
        <f t="shared" si="3"/>
      </c>
      <c r="G490" s="53">
        <f t="shared" si="4"/>
      </c>
      <c r="H490" s="59">
        <f t="shared" si="5"/>
      </c>
      <c r="I490" s="56">
        <f t="shared" si="6"/>
      </c>
      <c r="J490" s="56">
        <f t="shared" si="9"/>
      </c>
      <c r="L490" s="46">
        <f t="shared" si="10"/>
      </c>
      <c r="M490" s="80">
        <f t="shared" si="11"/>
      </c>
      <c r="S490" s="22">
        <f>IFERROR(SMALL(资金台帐!$BA$6:$BA$3005,283),"")</f>
      </c>
      <c r="T490" s="22">
        <f>IFERROR(SMALL($S$8:$S$507,483),"")</f>
      </c>
      <c r="U490" s="22">
        <f t="shared" si="12"/>
      </c>
      <c r="V490" s="22">
        <f t="shared" si="13"/>
      </c>
      <c r="W490" s="22">
        <f t="shared" si="14"/>
      </c>
    </row>
    <row r="491">
      <c r="A491" s="60">
        <f t="shared" si="7"/>
      </c>
      <c r="B491" s="56">
        <f t="shared" si="8"/>
      </c>
      <c r="C491" s="79">
        <f t="shared" si="0"/>
      </c>
      <c r="D491" s="53">
        <f t="shared" si="1"/>
      </c>
      <c r="E491" s="53">
        <f t="shared" si="2"/>
      </c>
      <c r="F491" s="53">
        <f t="shared" si="3"/>
      </c>
      <c r="G491" s="53">
        <f t="shared" si="4"/>
      </c>
      <c r="H491" s="59">
        <f t="shared" si="5"/>
      </c>
      <c r="I491" s="56">
        <f t="shared" si="6"/>
      </c>
      <c r="J491" s="56">
        <f t="shared" si="9"/>
      </c>
      <c r="L491" s="46">
        <f t="shared" si="10"/>
      </c>
      <c r="M491" s="80">
        <f t="shared" si="11"/>
      </c>
      <c r="S491" s="22">
        <f>IFERROR(SMALL(资金台帐!$BA$6:$BA$3005,284),"")</f>
      </c>
      <c r="T491" s="22">
        <f>IFERROR(SMALL($S$8:$S$507,484),"")</f>
      </c>
      <c r="U491" s="22">
        <f t="shared" si="12"/>
      </c>
      <c r="V491" s="22">
        <f t="shared" si="13"/>
      </c>
      <c r="W491" s="22">
        <f t="shared" si="14"/>
      </c>
    </row>
    <row r="492">
      <c r="A492" s="60">
        <f t="shared" si="7"/>
      </c>
      <c r="B492" s="56">
        <f t="shared" si="8"/>
      </c>
      <c r="C492" s="79">
        <f t="shared" si="0"/>
      </c>
      <c r="D492" s="53">
        <f t="shared" si="1"/>
      </c>
      <c r="E492" s="53">
        <f t="shared" si="2"/>
      </c>
      <c r="F492" s="53">
        <f t="shared" si="3"/>
      </c>
      <c r="G492" s="53">
        <f t="shared" si="4"/>
      </c>
      <c r="H492" s="59">
        <f t="shared" si="5"/>
      </c>
      <c r="I492" s="56">
        <f t="shared" si="6"/>
      </c>
      <c r="J492" s="56">
        <f t="shared" si="9"/>
      </c>
      <c r="L492" s="46">
        <f t="shared" si="10"/>
      </c>
      <c r="M492" s="80">
        <f t="shared" si="11"/>
      </c>
      <c r="S492" s="22">
        <f>IFERROR(SMALL(资金台帐!$BA$6:$BA$3005,285),"")</f>
      </c>
      <c r="T492" s="22">
        <f>IFERROR(SMALL($S$8:$S$507,485),"")</f>
      </c>
      <c r="U492" s="22">
        <f t="shared" si="12"/>
      </c>
      <c r="V492" s="22">
        <f t="shared" si="13"/>
      </c>
      <c r="W492" s="22">
        <f t="shared" si="14"/>
      </c>
    </row>
    <row r="493">
      <c r="A493" s="60">
        <f t="shared" si="7"/>
      </c>
      <c r="B493" s="56">
        <f t="shared" si="8"/>
      </c>
      <c r="C493" s="79">
        <f t="shared" si="0"/>
      </c>
      <c r="D493" s="53">
        <f t="shared" si="1"/>
      </c>
      <c r="E493" s="53">
        <f t="shared" si="2"/>
      </c>
      <c r="F493" s="53">
        <f t="shared" si="3"/>
      </c>
      <c r="G493" s="53">
        <f t="shared" si="4"/>
      </c>
      <c r="H493" s="59">
        <f t="shared" si="5"/>
      </c>
      <c r="I493" s="56">
        <f t="shared" si="6"/>
      </c>
      <c r="J493" s="56">
        <f t="shared" si="9"/>
      </c>
      <c r="L493" s="46">
        <f t="shared" si="10"/>
      </c>
      <c r="M493" s="80">
        <f t="shared" si="11"/>
      </c>
      <c r="S493" s="22">
        <f>IFERROR(SMALL(资金台帐!$BA$6:$BA$3005,286),"")</f>
      </c>
      <c r="T493" s="22">
        <f>IFERROR(SMALL($S$8:$S$507,486),"")</f>
      </c>
      <c r="U493" s="22">
        <f t="shared" si="12"/>
      </c>
      <c r="V493" s="22">
        <f t="shared" si="13"/>
      </c>
      <c r="W493" s="22">
        <f t="shared" si="14"/>
      </c>
    </row>
    <row r="494">
      <c r="A494" s="60">
        <f t="shared" si="7"/>
      </c>
      <c r="B494" s="56">
        <f t="shared" si="8"/>
      </c>
      <c r="C494" s="79">
        <f t="shared" si="0"/>
      </c>
      <c r="D494" s="53">
        <f t="shared" si="1"/>
      </c>
      <c r="E494" s="53">
        <f t="shared" si="2"/>
      </c>
      <c r="F494" s="53">
        <f t="shared" si="3"/>
      </c>
      <c r="G494" s="53">
        <f t="shared" si="4"/>
      </c>
      <c r="H494" s="59">
        <f t="shared" si="5"/>
      </c>
      <c r="I494" s="56">
        <f t="shared" si="6"/>
      </c>
      <c r="J494" s="56">
        <f t="shared" si="9"/>
      </c>
      <c r="L494" s="46">
        <f t="shared" si="10"/>
      </c>
      <c r="M494" s="80">
        <f t="shared" si="11"/>
      </c>
      <c r="S494" s="22">
        <f>IFERROR(SMALL(资金台帐!$BA$6:$BA$3005,287),"")</f>
      </c>
      <c r="T494" s="22">
        <f>IFERROR(SMALL($S$8:$S$507,487),"")</f>
      </c>
      <c r="U494" s="22">
        <f t="shared" si="12"/>
      </c>
      <c r="V494" s="22">
        <f t="shared" si="13"/>
      </c>
      <c r="W494" s="22">
        <f t="shared" si="14"/>
      </c>
    </row>
    <row r="495">
      <c r="A495" s="60">
        <f t="shared" si="7"/>
      </c>
      <c r="B495" s="56">
        <f t="shared" si="8"/>
      </c>
      <c r="C495" s="79">
        <f t="shared" si="0"/>
      </c>
      <c r="D495" s="53">
        <f t="shared" si="1"/>
      </c>
      <c r="E495" s="53">
        <f t="shared" si="2"/>
      </c>
      <c r="F495" s="53">
        <f t="shared" si="3"/>
      </c>
      <c r="G495" s="53">
        <f t="shared" si="4"/>
      </c>
      <c r="H495" s="59">
        <f t="shared" si="5"/>
      </c>
      <c r="I495" s="56">
        <f t="shared" si="6"/>
      </c>
      <c r="J495" s="56">
        <f t="shared" si="9"/>
      </c>
      <c r="L495" s="46">
        <f t="shared" si="10"/>
      </c>
      <c r="M495" s="80">
        <f t="shared" si="11"/>
      </c>
      <c r="S495" s="22">
        <f>IFERROR(SMALL(资金台帐!$BA$6:$BA$3005,288),"")</f>
      </c>
      <c r="T495" s="22">
        <f>IFERROR(SMALL($S$8:$S$507,488),"")</f>
      </c>
      <c r="U495" s="22">
        <f t="shared" si="12"/>
      </c>
      <c r="V495" s="22">
        <f t="shared" si="13"/>
      </c>
      <c r="W495" s="22">
        <f t="shared" si="14"/>
      </c>
    </row>
    <row r="496">
      <c r="A496" s="60">
        <f t="shared" si="7"/>
      </c>
      <c r="B496" s="56">
        <f t="shared" si="8"/>
      </c>
      <c r="C496" s="79">
        <f t="shared" si="0"/>
      </c>
      <c r="D496" s="53">
        <f t="shared" si="1"/>
      </c>
      <c r="E496" s="53">
        <f t="shared" si="2"/>
      </c>
      <c r="F496" s="53">
        <f t="shared" si="3"/>
      </c>
      <c r="G496" s="53">
        <f t="shared" si="4"/>
      </c>
      <c r="H496" s="59">
        <f t="shared" si="5"/>
      </c>
      <c r="I496" s="56">
        <f t="shared" si="6"/>
      </c>
      <c r="J496" s="56">
        <f t="shared" si="9"/>
      </c>
      <c r="L496" s="46">
        <f t="shared" si="10"/>
      </c>
      <c r="M496" s="80">
        <f t="shared" si="11"/>
      </c>
      <c r="S496" s="22">
        <f>IFERROR(SMALL(资金台帐!$BA$6:$BA$3005,289),"")</f>
      </c>
      <c r="T496" s="22">
        <f>IFERROR(SMALL($S$8:$S$507,489),"")</f>
      </c>
      <c r="U496" s="22">
        <f t="shared" si="12"/>
      </c>
      <c r="V496" s="22">
        <f t="shared" si="13"/>
      </c>
      <c r="W496" s="22">
        <f t="shared" si="14"/>
      </c>
    </row>
    <row r="497">
      <c r="A497" s="60">
        <f t="shared" si="7"/>
      </c>
      <c r="B497" s="56">
        <f t="shared" si="8"/>
      </c>
      <c r="C497" s="79">
        <f t="shared" si="0"/>
      </c>
      <c r="D497" s="53">
        <f t="shared" si="1"/>
      </c>
      <c r="E497" s="53">
        <f t="shared" si="2"/>
      </c>
      <c r="F497" s="53">
        <f t="shared" si="3"/>
      </c>
      <c r="G497" s="53">
        <f t="shared" si="4"/>
      </c>
      <c r="H497" s="59">
        <f t="shared" si="5"/>
      </c>
      <c r="I497" s="56">
        <f t="shared" si="6"/>
      </c>
      <c r="J497" s="56">
        <f t="shared" si="9"/>
      </c>
      <c r="L497" s="46">
        <f t="shared" si="10"/>
      </c>
      <c r="M497" s="80">
        <f t="shared" si="11"/>
      </c>
      <c r="S497" s="22">
        <f>IFERROR(SMALL(资金台帐!$BA$6:$BA$3005,290),"")</f>
      </c>
      <c r="T497" s="22">
        <f>IFERROR(SMALL($S$8:$S$507,490),"")</f>
      </c>
      <c r="U497" s="22">
        <f t="shared" si="12"/>
      </c>
      <c r="V497" s="22">
        <f t="shared" si="13"/>
      </c>
      <c r="W497" s="22">
        <f t="shared" si="14"/>
      </c>
    </row>
    <row r="498">
      <c r="A498" s="60">
        <f t="shared" si="7"/>
      </c>
      <c r="B498" s="56">
        <f t="shared" si="8"/>
      </c>
      <c r="C498" s="79">
        <f t="shared" si="0"/>
      </c>
      <c r="D498" s="53">
        <f t="shared" si="1"/>
      </c>
      <c r="E498" s="53">
        <f t="shared" si="2"/>
      </c>
      <c r="F498" s="53">
        <f t="shared" si="3"/>
      </c>
      <c r="G498" s="53">
        <f t="shared" si="4"/>
      </c>
      <c r="H498" s="59">
        <f t="shared" si="5"/>
      </c>
      <c r="I498" s="56">
        <f t="shared" si="6"/>
      </c>
      <c r="J498" s="56">
        <f t="shared" si="9"/>
      </c>
      <c r="L498" s="46">
        <f t="shared" si="10"/>
      </c>
      <c r="M498" s="80">
        <f t="shared" si="11"/>
      </c>
      <c r="S498" s="22">
        <f>IFERROR(SMALL(资金台帐!$BA$6:$BA$3005,291),"")</f>
      </c>
      <c r="T498" s="22">
        <f>IFERROR(SMALL($S$8:$S$507,491),"")</f>
      </c>
      <c r="U498" s="22">
        <f t="shared" si="12"/>
      </c>
      <c r="V498" s="22">
        <f t="shared" si="13"/>
      </c>
      <c r="W498" s="22">
        <f t="shared" si="14"/>
      </c>
    </row>
    <row r="499">
      <c r="A499" s="60">
        <f t="shared" si="7"/>
      </c>
      <c r="B499" s="56">
        <f t="shared" si="8"/>
      </c>
      <c r="C499" s="79">
        <f t="shared" si="0"/>
      </c>
      <c r="D499" s="53">
        <f t="shared" si="1"/>
      </c>
      <c r="E499" s="53">
        <f t="shared" si="2"/>
      </c>
      <c r="F499" s="53">
        <f t="shared" si="3"/>
      </c>
      <c r="G499" s="53">
        <f t="shared" si="4"/>
      </c>
      <c r="H499" s="59">
        <f t="shared" si="5"/>
      </c>
      <c r="I499" s="56">
        <f t="shared" si="6"/>
      </c>
      <c r="J499" s="56">
        <f t="shared" si="9"/>
      </c>
      <c r="L499" s="46">
        <f t="shared" si="10"/>
      </c>
      <c r="M499" s="80">
        <f t="shared" si="11"/>
      </c>
      <c r="S499" s="22">
        <f>IFERROR(SMALL(资金台帐!$BA$6:$BA$3005,292),"")</f>
      </c>
      <c r="T499" s="22">
        <f>IFERROR(SMALL($S$8:$S$507,492),"")</f>
      </c>
      <c r="U499" s="22">
        <f t="shared" si="12"/>
      </c>
      <c r="V499" s="22">
        <f t="shared" si="13"/>
      </c>
      <c r="W499" s="22">
        <f t="shared" si="14"/>
      </c>
    </row>
    <row r="500">
      <c r="A500" s="60">
        <f t="shared" si="7"/>
      </c>
      <c r="B500" s="56">
        <f t="shared" si="8"/>
      </c>
      <c r="C500" s="79">
        <f t="shared" si="0"/>
      </c>
      <c r="D500" s="53">
        <f t="shared" si="1"/>
      </c>
      <c r="E500" s="53">
        <f t="shared" si="2"/>
      </c>
      <c r="F500" s="53">
        <f t="shared" si="3"/>
      </c>
      <c r="G500" s="53">
        <f t="shared" si="4"/>
      </c>
      <c r="H500" s="59">
        <f t="shared" si="5"/>
      </c>
      <c r="I500" s="56">
        <f t="shared" si="6"/>
      </c>
      <c r="J500" s="56">
        <f t="shared" si="9"/>
      </c>
      <c r="L500" s="46">
        <f t="shared" si="10"/>
      </c>
      <c r="M500" s="80">
        <f t="shared" si="11"/>
      </c>
      <c r="S500" s="22">
        <f>IFERROR(SMALL(资金台帐!$BA$6:$BA$3005,293),"")</f>
      </c>
      <c r="T500" s="22">
        <f>IFERROR(SMALL($S$8:$S$507,493),"")</f>
      </c>
      <c r="U500" s="22">
        <f t="shared" si="12"/>
      </c>
      <c r="V500" s="22">
        <f t="shared" si="13"/>
      </c>
      <c r="W500" s="22">
        <f t="shared" si="14"/>
      </c>
    </row>
    <row r="501">
      <c r="A501" s="60">
        <f t="shared" si="7"/>
      </c>
      <c r="B501" s="56">
        <f t="shared" si="8"/>
      </c>
      <c r="C501" s="79">
        <f t="shared" si="0"/>
      </c>
      <c r="D501" s="53">
        <f t="shared" si="1"/>
      </c>
      <c r="E501" s="53">
        <f t="shared" si="2"/>
      </c>
      <c r="F501" s="53">
        <f t="shared" si="3"/>
      </c>
      <c r="G501" s="53">
        <f t="shared" si="4"/>
      </c>
      <c r="H501" s="59">
        <f t="shared" si="5"/>
      </c>
      <c r="I501" s="56">
        <f t="shared" si="6"/>
      </c>
      <c r="J501" s="56">
        <f t="shared" si="9"/>
      </c>
      <c r="L501" s="46">
        <f t="shared" si="10"/>
      </c>
      <c r="M501" s="80">
        <f t="shared" si="11"/>
      </c>
      <c r="S501" s="22">
        <f>IFERROR(SMALL(资金台帐!$BA$6:$BA$3005,294),"")</f>
      </c>
      <c r="T501" s="22">
        <f>IFERROR(SMALL($S$8:$S$507,494),"")</f>
      </c>
      <c r="U501" s="22">
        <f t="shared" si="12"/>
      </c>
      <c r="V501" s="22">
        <f t="shared" si="13"/>
      </c>
      <c r="W501" s="22">
        <f t="shared" si="14"/>
      </c>
    </row>
    <row r="502">
      <c r="A502" s="60">
        <f t="shared" si="7"/>
      </c>
      <c r="B502" s="56">
        <f t="shared" si="8"/>
      </c>
      <c r="C502" s="79">
        <f t="shared" si="0"/>
      </c>
      <c r="D502" s="53">
        <f t="shared" si="1"/>
      </c>
      <c r="E502" s="53">
        <f t="shared" si="2"/>
      </c>
      <c r="F502" s="53">
        <f t="shared" si="3"/>
      </c>
      <c r="G502" s="53">
        <f t="shared" si="4"/>
      </c>
      <c r="H502" s="59">
        <f t="shared" si="5"/>
      </c>
      <c r="I502" s="56">
        <f t="shared" si="6"/>
      </c>
      <c r="J502" s="56">
        <f t="shared" si="9"/>
      </c>
      <c r="L502" s="46">
        <f t="shared" si="10"/>
      </c>
      <c r="M502" s="80">
        <f t="shared" si="11"/>
      </c>
      <c r="S502" s="22">
        <f>IFERROR(SMALL(资金台帐!$BA$6:$BA$3005,295),"")</f>
      </c>
      <c r="T502" s="22">
        <f>IFERROR(SMALL($S$8:$S$507,495),"")</f>
      </c>
      <c r="U502" s="22">
        <f t="shared" si="12"/>
      </c>
      <c r="V502" s="22">
        <f t="shared" si="13"/>
      </c>
      <c r="W502" s="22">
        <f t="shared" si="14"/>
      </c>
    </row>
    <row r="503">
      <c r="A503" s="60">
        <f t="shared" si="7"/>
      </c>
      <c r="B503" s="56">
        <f t="shared" si="8"/>
      </c>
      <c r="C503" s="79">
        <f t="shared" si="0"/>
      </c>
      <c r="D503" s="53">
        <f t="shared" si="1"/>
      </c>
      <c r="E503" s="53">
        <f t="shared" si="2"/>
      </c>
      <c r="F503" s="53">
        <f t="shared" si="3"/>
      </c>
      <c r="G503" s="53">
        <f t="shared" si="4"/>
      </c>
      <c r="H503" s="59">
        <f t="shared" si="5"/>
      </c>
      <c r="I503" s="56">
        <f t="shared" si="6"/>
      </c>
      <c r="J503" s="56">
        <f t="shared" si="9"/>
      </c>
      <c r="L503" s="46">
        <f t="shared" si="10"/>
      </c>
      <c r="M503" s="80">
        <f t="shared" si="11"/>
      </c>
      <c r="S503" s="22">
        <f>IFERROR(SMALL(资金台帐!$BA$6:$BA$3005,296),"")</f>
      </c>
      <c r="T503" s="22">
        <f>IFERROR(SMALL($S$8:$S$507,496),"")</f>
      </c>
      <c r="U503" s="22">
        <f t="shared" si="12"/>
      </c>
      <c r="V503" s="22">
        <f t="shared" si="13"/>
      </c>
      <c r="W503" s="22">
        <f t="shared" si="14"/>
      </c>
    </row>
    <row r="504">
      <c r="A504" s="60">
        <f t="shared" si="7"/>
      </c>
      <c r="B504" s="56">
        <f t="shared" si="8"/>
      </c>
      <c r="C504" s="79">
        <f t="shared" si="0"/>
      </c>
      <c r="D504" s="53">
        <f t="shared" si="1"/>
      </c>
      <c r="E504" s="53">
        <f t="shared" si="2"/>
      </c>
      <c r="F504" s="53">
        <f t="shared" si="3"/>
      </c>
      <c r="G504" s="53">
        <f t="shared" si="4"/>
      </c>
      <c r="H504" s="59">
        <f t="shared" si="5"/>
      </c>
      <c r="I504" s="56">
        <f t="shared" si="6"/>
      </c>
      <c r="J504" s="56">
        <f t="shared" si="9"/>
      </c>
      <c r="L504" s="46">
        <f t="shared" si="10"/>
      </c>
      <c r="M504" s="80">
        <f t="shared" si="11"/>
      </c>
      <c r="S504" s="22">
        <f>IFERROR(SMALL(资金台帐!$BA$6:$BA$3005,297),"")</f>
      </c>
      <c r="T504" s="22">
        <f>IFERROR(SMALL($S$8:$S$507,497),"")</f>
      </c>
      <c r="U504" s="22">
        <f t="shared" si="12"/>
      </c>
      <c r="V504" s="22">
        <f t="shared" si="13"/>
      </c>
      <c r="W504" s="22">
        <f t="shared" si="14"/>
      </c>
    </row>
    <row r="505">
      <c r="A505" s="60">
        <f t="shared" si="7"/>
      </c>
      <c r="B505" s="56">
        <f t="shared" si="8"/>
      </c>
      <c r="C505" s="79">
        <f t="shared" si="0"/>
      </c>
      <c r="D505" s="53">
        <f t="shared" si="1"/>
      </c>
      <c r="E505" s="53">
        <f t="shared" si="2"/>
      </c>
      <c r="F505" s="53">
        <f t="shared" si="3"/>
      </c>
      <c r="G505" s="53">
        <f t="shared" si="4"/>
      </c>
      <c r="H505" s="59">
        <f t="shared" si="5"/>
      </c>
      <c r="I505" s="56">
        <f t="shared" si="6"/>
      </c>
      <c r="J505" s="56">
        <f t="shared" si="9"/>
      </c>
      <c r="L505" s="46">
        <f t="shared" si="10"/>
      </c>
      <c r="M505" s="80">
        <f t="shared" si="11"/>
      </c>
      <c r="S505" s="22">
        <f>IFERROR(SMALL(资金台帐!$BA$6:$BA$3005,298),"")</f>
      </c>
      <c r="T505" s="22">
        <f>IFERROR(SMALL($S$8:$S$507,498),"")</f>
      </c>
      <c r="U505" s="22">
        <f t="shared" si="12"/>
      </c>
      <c r="V505" s="22">
        <f t="shared" si="13"/>
      </c>
      <c r="W505" s="22">
        <f t="shared" si="14"/>
      </c>
    </row>
    <row r="506">
      <c r="A506" s="60">
        <f t="shared" si="7"/>
      </c>
      <c r="B506" s="56">
        <f t="shared" si="8"/>
      </c>
      <c r="C506" s="79">
        <f t="shared" si="0"/>
      </c>
      <c r="D506" s="53">
        <f t="shared" si="1"/>
      </c>
      <c r="E506" s="53">
        <f t="shared" si="2"/>
      </c>
      <c r="F506" s="53">
        <f t="shared" si="3"/>
      </c>
      <c r="G506" s="53">
        <f t="shared" si="4"/>
      </c>
      <c r="H506" s="59">
        <f t="shared" si="5"/>
      </c>
      <c r="I506" s="56">
        <f t="shared" si="6"/>
      </c>
      <c r="J506" s="56">
        <f t="shared" si="9"/>
      </c>
      <c r="L506" s="46">
        <f t="shared" si="10"/>
      </c>
      <c r="M506" s="80">
        <f t="shared" si="11"/>
      </c>
      <c r="S506" s="22">
        <f>IFERROR(SMALL(资金台帐!$BA$6:$BA$3005,299),"")</f>
      </c>
      <c r="T506" s="22">
        <f>IFERROR(SMALL($S$8:$S$507,499),"")</f>
      </c>
      <c r="U506" s="22">
        <f t="shared" si="12"/>
      </c>
      <c r="V506" s="22">
        <f t="shared" si="13"/>
      </c>
      <c r="W506" s="22">
        <f t="shared" si="14"/>
      </c>
    </row>
    <row r="507">
      <c r="A507" s="60">
        <f t="shared" si="7"/>
      </c>
      <c r="B507" s="56">
        <f t="shared" si="8"/>
      </c>
      <c r="C507" s="79">
        <f t="shared" si="0"/>
      </c>
      <c r="D507" s="53">
        <f t="shared" si="1"/>
      </c>
      <c r="E507" s="53">
        <f t="shared" si="2"/>
      </c>
      <c r="F507" s="53">
        <f t="shared" si="3"/>
      </c>
      <c r="G507" s="53">
        <f t="shared" si="4"/>
      </c>
      <c r="H507" s="59">
        <f t="shared" si="5"/>
      </c>
      <c r="I507" s="56">
        <f t="shared" si="6"/>
      </c>
      <c r="J507" s="56">
        <f t="shared" si="9"/>
      </c>
      <c r="L507" s="46">
        <f t="shared" si="10"/>
      </c>
      <c r="M507" s="80">
        <f t="shared" si="11"/>
      </c>
      <c r="S507" s="22">
        <f>IFERROR(SMALL(资金台帐!$BA$6:$BA$3005,300),"")</f>
      </c>
      <c r="T507" s="22">
        <f>IFERROR(SMALL($S$8:$S$507,500),"")</f>
      </c>
      <c r="U507" s="22">
        <f t="shared" si="12"/>
      </c>
      <c r="V507" s="22">
        <f t="shared" si="13"/>
      </c>
      <c r="W507" s="22">
        <f t="shared" si="14"/>
      </c>
    </row>
    <row r="508">
      <c r="A508" s="81" t="str">
        <f>"共 "&amp;(COUNT(发票导入!$AE$5:$AE$2004)+COUNT(资金台帐!$BA$6:$BA$3005))&amp;" 笔"&amp;IF(OR(COUNT(发票导入!$AE$5:$AE$2004)&gt;200,COUNT(资金台帐!$BA$6:$BA$3005)&gt;300),"，⚠ 超出一屏（发票最多 200 张、收付款最多 300 笔），下面没列全，请缩短起止日期；上面的本期、期末数是全的","")</f>
        <v>共 4 笔</v>
      </c>
    </row>
  </sheetData>
  <mergeCells count="4">
    <mergeCell ref="F3:H3"/>
    <mergeCell ref="A2:M2"/>
    <mergeCell ref="A1:M1"/>
    <mergeCell ref="I5:M5"/>
  </mergeCells>
  <conditionalFormatting sqref="A4:M5">
    <cfRule type="expression" priority="1" dxfId="0">
      <formula>OR(COUNT(发票导入!$AE$5:$AE$2004)&gt;200,COUNT(资金台帐!$BA$6:$BA$3005)&gt;300)</formula>
    </cfRule>
  </conditionalFormatting>
  <dataValidations count="2">
    <dataValidation sqref="C3" showDropDown="0" showInputMessage="0" showErrorMessage="0" allowBlank="1" type="list">
      <formula1>=_辅助!$A$1:$A$9</formula1>
    </dataValidation>
    <dataValidation sqref="F3" showDropDown="0" showInputMessage="0" showErrorMessage="0" allowBlank="1" type="list">
      <formula1>=_辅助!$C$1:$C$620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L46"/>
  <sheetViews>
    <sheetView showGridLines="0" tabSelected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3" customWidth="1" min="11" max="11"/>
    <col hidden="1" width="30" customWidth="1" min="12" max="12"/>
  </cols>
  <sheetData>
    <row r="1" ht="33" customHeight="1">
      <c r="A1" s="70" t="inlineStr">
        <is>
          <t>内 部 往 来（几家公司之间划转的钱 · 谁欠谁）</t>
        </is>
      </c>
    </row>
    <row r="2" ht="54" customHeight="1">
      <c r="A2" s="2" t="inlineStr">
        <is>
          <t>💡 资金台帐里对方户名是自家另一家公司的，自动记成「内部划转」。第一张表：行＝本公司，列＝对方公司，数＝期初往来 ＋ 本公司开给对方的票 − 对方开给本公司的票 ＋ 本公司转出去的 − 对方转进来的（正数＝对方欠本公司）。第二张表检查两边记账是不是一致（A 欠 B 的应该等于 B 借给 A 的），只导了一边的流水会显示差额。第三张是自家公司之间开的发票。截止日不填＝到现在。</t>
        </is>
      </c>
    </row>
    <row r="3">
      <c r="A3" s="3" t="inlineStr">
        <is>
          <t>截止日</t>
        </is>
      </c>
      <c r="B3" s="57" t="n"/>
      <c r="L3" s="22">
        <f>IF(N($B$3)&gt;0,$B$3+1,2958466)</f>
        <v>2958466</v>
      </c>
    </row>
    <row r="5">
      <c r="A5" s="82" t="inlineStr">
        <is>
          <t>① 内部往来余额（正数＝对方欠本公司）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</row>
    <row r="6">
      <c r="A6" s="71" t="inlineStr">
        <is>
          <t>本公司 ＼ 对方</t>
        </is>
      </c>
      <c r="B6" s="71" t="str">
        <f>IF(基础资料!$B$5="","",基础资料!$B$5)</f>
        <v>中智优力</v>
      </c>
      <c r="C6" s="71" t="str">
        <f>IF(基础资料!$B$6="","",基础资料!$B$6)</f>
        <v>中慧优力</v>
      </c>
      <c r="D6" s="71" t="str">
        <f>IF(基础资料!$B$7="","",基础资料!$B$7)</f>
        <v>琴馨</v>
      </c>
      <c r="E6" s="71" t="str">
        <f>IF(基础资料!$B$8="","",基础资料!$B$8)</f>
        <v>优茗</v>
      </c>
      <c r="F6" s="71" t="str">
        <f>IF(基础资料!$B$9="","",基础资料!$B$9)</f>
        <v>飞鲸</v>
      </c>
      <c r="G6" s="71">
        <f>IF(基础资料!$B$10="","",基础资料!$B$10)</f>
      </c>
      <c r="H6" s="71">
        <f>IF(基础资料!$B$11="","",基础资料!$B$11)</f>
      </c>
      <c r="I6" s="71">
        <f>IF(基础资料!$B$12="","",基础资料!$B$12)</f>
      </c>
      <c r="J6" s="83" t="inlineStr">
        <is>
          <t>合计</t>
        </is>
      </c>
    </row>
    <row r="7">
      <c r="A7" s="63" t="str">
        <f>IF(基础资料!$B$5="","",基础资料!$B$5)</f>
        <v>中智优力</v>
      </c>
      <c r="B7" s="53">
        <f t="shared" ref="B7:B14" si="0">IF(OR($A7="",B$6="",$A7=B$6),"",ROUND(SUMIFS(基础资料!$AH$5:$AH$204,基础资料!$AF$5:$AF$204,$A7,基础资料!$AG$5:$AG$204,B$6)-SUMIFS(基础资料!$AI$5:$AI$204,基础资料!$AF$5:$AF$204,$A7,基础资料!$AG$5:$AG$204,B$6)+SUMIFS(基础资料!$AJ$5:$AJ$204,基础资料!$AF$5:$AF$204,$A7,基础资料!$AG$5:$AG$204,B$6)+SUMIFS(发票导入!$AK$5:$AK$2004,发票导入!$V$5:$V$2004,"内部",发票导入!$AI$5:$AI$2004,$A7,发票导入!$AJ$5:$AJ$2004,B$6,发票导入!$T$5:$T$2004,"&lt;"&amp;$L$3)-SUMIFS(发票导入!$AK$5:$AK$2004,发票导入!$V$5:$V$2004,"内部",发票导入!$AI$5:$AI$2004,B$6,发票导入!$AJ$5:$AJ$2004,$A7,发票导入!$T$5:$T$2004,"&lt;"&amp;$L$3)+SUMIFS(资金台帐!$AC$6:$AC$3005,资金台帐!$O$6:$O$3005,$A7,资金台帐!$P$6:$P$3005,B$6,资金台帐!$U$6:$U$3005,"内部划转",资金台帐!$N$6:$N$3005,"&lt;"&amp;$L$3)-SUMIFS(资金台帐!$AB$6:$AB$3005,资金台帐!$O$6:$O$3005,$A7,资金台帐!$P$6:$P$3005,B$6,资金台帐!$U$6:$U$3005,"内部划转",资金台帐!$N$6:$N$3005,"&lt;"&amp;$L$3),2))</f>
      </c>
      <c r="C7" s="53">
        <f t="shared" ref="C7:C14" si="3">IF(OR($A7="",C$6="",$A7=C$6),"",ROUND(SUMIFS(基础资料!$AH$5:$AH$204,基础资料!$AF$5:$AF$204,$A7,基础资料!$AG$5:$AG$204,C$6)-SUMIFS(基础资料!$AI$5:$AI$204,基础资料!$AF$5:$AF$204,$A7,基础资料!$AG$5:$AG$204,C$6)+SUMIFS(基础资料!$AJ$5:$AJ$204,基础资料!$AF$5:$AF$204,$A7,基础资料!$AG$5:$AG$204,C$6)+SUMIFS(发票导入!$AK$5:$AK$2004,发票导入!$V$5:$V$2004,"内部",发票导入!$AI$5:$AI$2004,$A7,发票导入!$AJ$5:$AJ$2004,C$6,发票导入!$T$5:$T$2004,"&lt;"&amp;$L$3)-SUMIFS(发票导入!$AK$5:$AK$2004,发票导入!$V$5:$V$2004,"内部",发票导入!$AI$5:$AI$2004,C$6,发票导入!$AJ$5:$AJ$2004,$A7,发票导入!$T$5:$T$2004,"&lt;"&amp;$L$3)+SUMIFS(资金台帐!$AC$6:$AC$3005,资金台帐!$O$6:$O$3005,$A7,资金台帐!$P$6:$P$3005,C$6,资金台帐!$U$6:$U$3005,"内部划转",资金台帐!$N$6:$N$3005,"&lt;"&amp;$L$3)-SUMIFS(资金台帐!$AB$6:$AB$3005,资金台帐!$O$6:$O$3005,$A7,资金台帐!$P$6:$P$3005,C$6,资金台帐!$U$6:$U$3005,"内部划转",资金台帐!$N$6:$N$3005,"&lt;"&amp;$L$3),2))</f>
        <v>0</v>
      </c>
      <c r="D7" s="53">
        <f t="shared" ref="D7:D14" si="6">IF(OR($A7="",D$6="",$A7=D$6),"",ROUND(SUMIFS(基础资料!$AH$5:$AH$204,基础资料!$AF$5:$AF$204,$A7,基础资料!$AG$5:$AG$204,D$6)-SUMIFS(基础资料!$AI$5:$AI$204,基础资料!$AF$5:$AF$204,$A7,基础资料!$AG$5:$AG$204,D$6)+SUMIFS(基础资料!$AJ$5:$AJ$204,基础资料!$AF$5:$AF$204,$A7,基础资料!$AG$5:$AG$204,D$6)+SUMIFS(发票导入!$AK$5:$AK$2004,发票导入!$V$5:$V$2004,"内部",发票导入!$AI$5:$AI$2004,$A7,发票导入!$AJ$5:$AJ$2004,D$6,发票导入!$T$5:$T$2004,"&lt;"&amp;$L$3)-SUMIFS(发票导入!$AK$5:$AK$2004,发票导入!$V$5:$V$2004,"内部",发票导入!$AI$5:$AI$2004,D$6,发票导入!$AJ$5:$AJ$2004,$A7,发票导入!$T$5:$T$2004,"&lt;"&amp;$L$3)+SUMIFS(资金台帐!$AC$6:$AC$3005,资金台帐!$O$6:$O$3005,$A7,资金台帐!$P$6:$P$3005,D$6,资金台帐!$U$6:$U$3005,"内部划转",资金台帐!$N$6:$N$3005,"&lt;"&amp;$L$3)-SUMIFS(资金台帐!$AB$6:$AB$3005,资金台帐!$O$6:$O$3005,$A7,资金台帐!$P$6:$P$3005,D$6,资金台帐!$U$6:$U$3005,"内部划转",资金台帐!$N$6:$N$3005,"&lt;"&amp;$L$3),2))</f>
        <v>0</v>
      </c>
      <c r="E7" s="53">
        <f t="shared" ref="E7:E14" si="8">IF(OR($A7="",E$6="",$A7=E$6),"",ROUND(SUMIFS(基础资料!$AH$5:$AH$204,基础资料!$AF$5:$AF$204,$A7,基础资料!$AG$5:$AG$204,E$6)-SUMIFS(基础资料!$AI$5:$AI$204,基础资料!$AF$5:$AF$204,$A7,基础资料!$AG$5:$AG$204,E$6)+SUMIFS(基础资料!$AJ$5:$AJ$204,基础资料!$AF$5:$AF$204,$A7,基础资料!$AG$5:$AG$204,E$6)+SUMIFS(发票导入!$AK$5:$AK$2004,发票导入!$V$5:$V$2004,"内部",发票导入!$AI$5:$AI$2004,$A7,发票导入!$AJ$5:$AJ$2004,E$6,发票导入!$T$5:$T$2004,"&lt;"&amp;$L$3)-SUMIFS(发票导入!$AK$5:$AK$2004,发票导入!$V$5:$V$2004,"内部",发票导入!$AI$5:$AI$2004,E$6,发票导入!$AJ$5:$AJ$2004,$A7,发票导入!$T$5:$T$2004,"&lt;"&amp;$L$3)+SUMIFS(资金台帐!$AC$6:$AC$3005,资金台帐!$O$6:$O$3005,$A7,资金台帐!$P$6:$P$3005,E$6,资金台帐!$U$6:$U$3005,"内部划转",资金台帐!$N$6:$N$3005,"&lt;"&amp;$L$3)-SUMIFS(资金台帐!$AB$6:$AB$3005,资金台帐!$O$6:$O$3005,$A7,资金台帐!$P$6:$P$3005,E$6,资金台帐!$U$6:$U$3005,"内部划转",资金台帐!$N$6:$N$3005,"&lt;"&amp;$L$3),2))</f>
        <v>-9000</v>
      </c>
      <c r="F7" s="53">
        <f t="shared" ref="F7:F14" si="10">IF(OR($A7="",F$6="",$A7=F$6),"",ROUND(SUMIFS(基础资料!$AH$5:$AH$204,基础资料!$AF$5:$AF$204,$A7,基础资料!$AG$5:$AG$204,F$6)-SUMIFS(基础资料!$AI$5:$AI$204,基础资料!$AF$5:$AF$204,$A7,基础资料!$AG$5:$AG$204,F$6)+SUMIFS(基础资料!$AJ$5:$AJ$204,基础资料!$AF$5:$AF$204,$A7,基础资料!$AG$5:$AG$204,F$6)+SUMIFS(发票导入!$AK$5:$AK$2004,发票导入!$V$5:$V$2004,"内部",发票导入!$AI$5:$AI$2004,$A7,发票导入!$AJ$5:$AJ$2004,F$6,发票导入!$T$5:$T$2004,"&lt;"&amp;$L$3)-SUMIFS(发票导入!$AK$5:$AK$2004,发票导入!$V$5:$V$2004,"内部",发票导入!$AI$5:$AI$2004,F$6,发票导入!$AJ$5:$AJ$2004,$A7,发票导入!$T$5:$T$2004,"&lt;"&amp;$L$3)+SUMIFS(资金台帐!$AC$6:$AC$3005,资金台帐!$O$6:$O$3005,$A7,资金台帐!$P$6:$P$3005,F$6,资金台帐!$U$6:$U$3005,"内部划转",资金台帐!$N$6:$N$3005,"&lt;"&amp;$L$3)-SUMIFS(资金台帐!$AB$6:$AB$3005,资金台帐!$O$6:$O$3005,$A7,资金台帐!$P$6:$P$3005,F$6,资金台帐!$U$6:$U$3005,"内部划转",资金台帐!$N$6:$N$3005,"&lt;"&amp;$L$3),2))</f>
        <v>0</v>
      </c>
      <c r="G7" s="53">
        <f t="shared" ref="G7:G14" si="12">IF(OR($A7="",G$6="",$A7=G$6),"",ROUND(SUMIFS(基础资料!$AH$5:$AH$204,基础资料!$AF$5:$AF$204,$A7,基础资料!$AG$5:$AG$204,G$6)-SUMIFS(基础资料!$AI$5:$AI$204,基础资料!$AF$5:$AF$204,$A7,基础资料!$AG$5:$AG$204,G$6)+SUMIFS(基础资料!$AJ$5:$AJ$204,基础资料!$AF$5:$AF$204,$A7,基础资料!$AG$5:$AG$204,G$6)+SUMIFS(发票导入!$AK$5:$AK$2004,发票导入!$V$5:$V$2004,"内部",发票导入!$AI$5:$AI$2004,$A7,发票导入!$AJ$5:$AJ$2004,G$6,发票导入!$T$5:$T$2004,"&lt;"&amp;$L$3)-SUMIFS(发票导入!$AK$5:$AK$2004,发票导入!$V$5:$V$2004,"内部",发票导入!$AI$5:$AI$2004,G$6,发票导入!$AJ$5:$AJ$2004,$A7,发票导入!$T$5:$T$2004,"&lt;"&amp;$L$3)+SUMIFS(资金台帐!$AC$6:$AC$3005,资金台帐!$O$6:$O$3005,$A7,资金台帐!$P$6:$P$3005,G$6,资金台帐!$U$6:$U$3005,"内部划转",资金台帐!$N$6:$N$3005,"&lt;"&amp;$L$3)-SUMIFS(资金台帐!$AB$6:$AB$3005,资金台帐!$O$6:$O$3005,$A7,资金台帐!$P$6:$P$3005,G$6,资金台帐!$U$6:$U$3005,"内部划转",资金台帐!$N$6:$N$3005,"&lt;"&amp;$L$3),2))</f>
      </c>
      <c r="H7" s="53">
        <f t="shared" ref="H7:H14" si="14">IF(OR($A7="",H$6="",$A7=H$6),"",ROUND(SUMIFS(基础资料!$AH$5:$AH$204,基础资料!$AF$5:$AF$204,$A7,基础资料!$AG$5:$AG$204,H$6)-SUMIFS(基础资料!$AI$5:$AI$204,基础资料!$AF$5:$AF$204,$A7,基础资料!$AG$5:$AG$204,H$6)+SUMIFS(基础资料!$AJ$5:$AJ$204,基础资料!$AF$5:$AF$204,$A7,基础资料!$AG$5:$AG$204,H$6)+SUMIFS(发票导入!$AK$5:$AK$2004,发票导入!$V$5:$V$2004,"内部",发票导入!$AI$5:$AI$2004,$A7,发票导入!$AJ$5:$AJ$2004,H$6,发票导入!$T$5:$T$2004,"&lt;"&amp;$L$3)-SUMIFS(发票导入!$AK$5:$AK$2004,发票导入!$V$5:$V$2004,"内部",发票导入!$AI$5:$AI$2004,H$6,发票导入!$AJ$5:$AJ$2004,$A7,发票导入!$T$5:$T$2004,"&lt;"&amp;$L$3)+SUMIFS(资金台帐!$AC$6:$AC$3005,资金台帐!$O$6:$O$3005,$A7,资金台帐!$P$6:$P$3005,H$6,资金台帐!$U$6:$U$3005,"内部划转",资金台帐!$N$6:$N$3005,"&lt;"&amp;$L$3)-SUMIFS(资金台帐!$AB$6:$AB$3005,资金台帐!$O$6:$O$3005,$A7,资金台帐!$P$6:$P$3005,H$6,资金台帐!$U$6:$U$3005,"内部划转",资金台帐!$N$6:$N$3005,"&lt;"&amp;$L$3),2))</f>
      </c>
      <c r="I7" s="53">
        <f t="shared" ref="I7:I14" si="16">IF(OR($A7="",I$6="",$A7=I$6),"",ROUND(SUMIFS(基础资料!$AH$5:$AH$204,基础资料!$AF$5:$AF$204,$A7,基础资料!$AG$5:$AG$204,I$6)-SUMIFS(基础资料!$AI$5:$AI$204,基础资料!$AF$5:$AF$204,$A7,基础资料!$AG$5:$AG$204,I$6)+SUMIFS(基础资料!$AJ$5:$AJ$204,基础资料!$AF$5:$AF$204,$A7,基础资料!$AG$5:$AG$204,I$6)+SUMIFS(发票导入!$AK$5:$AK$2004,发票导入!$V$5:$V$2004,"内部",发票导入!$AI$5:$AI$2004,$A7,发票导入!$AJ$5:$AJ$2004,I$6,发票导入!$T$5:$T$2004,"&lt;"&amp;$L$3)-SUMIFS(发票导入!$AK$5:$AK$2004,发票导入!$V$5:$V$2004,"内部",发票导入!$AI$5:$AI$2004,I$6,发票导入!$AJ$5:$AJ$2004,$A7,发票导入!$T$5:$T$2004,"&lt;"&amp;$L$3)+SUMIFS(资金台帐!$AC$6:$AC$3005,资金台帐!$O$6:$O$3005,$A7,资金台帐!$P$6:$P$3005,I$6,资金台帐!$U$6:$U$3005,"内部划转",资金台帐!$N$6:$N$3005,"&lt;"&amp;$L$3)-SUMIFS(资金台帐!$AB$6:$AB$3005,资金台帐!$O$6:$O$3005,$A7,资金台帐!$P$6:$P$3005,I$6,资金台帐!$U$6:$U$3005,"内部划转",资金台帐!$N$6:$N$3005,"&lt;"&amp;$L$3),2))</f>
      </c>
      <c r="J7" s="59">
        <f t="shared" ref="J7:J14" si="18">IF($A7="","",ROUND(SUM(B7:I7),2))</f>
        <v>-9000</v>
      </c>
    </row>
    <row r="8">
      <c r="A8" s="63" t="str">
        <f>IF(基础资料!$B$6="","",基础资料!$B$6)</f>
        <v>中慧优力</v>
      </c>
      <c r="B8" s="53">
        <f t="shared" si="0"/>
        <v>0</v>
      </c>
      <c r="C8" s="53">
        <f t="shared" si="3"/>
      </c>
      <c r="D8" s="53">
        <f t="shared" si="6"/>
        <v>0</v>
      </c>
      <c r="E8" s="53">
        <f t="shared" si="8"/>
        <v>0</v>
      </c>
      <c r="F8" s="53">
        <f t="shared" si="10"/>
        <v>0</v>
      </c>
      <c r="G8" s="53">
        <f t="shared" si="12"/>
      </c>
      <c r="H8" s="53">
        <f t="shared" si="14"/>
      </c>
      <c r="I8" s="53">
        <f t="shared" si="16"/>
      </c>
      <c r="J8" s="59">
        <f t="shared" si="18"/>
        <v>0</v>
      </c>
    </row>
    <row r="9">
      <c r="A9" s="63" t="str">
        <f>IF(基础资料!$B$7="","",基础资料!$B$7)</f>
        <v>琴馨</v>
      </c>
      <c r="B9" s="53">
        <f t="shared" si="0"/>
        <v>0</v>
      </c>
      <c r="C9" s="53">
        <f t="shared" si="3"/>
        <v>0</v>
      </c>
      <c r="D9" s="53">
        <f t="shared" si="6"/>
      </c>
      <c r="E9" s="53">
        <f t="shared" si="8"/>
        <v>0</v>
      </c>
      <c r="F9" s="53">
        <f t="shared" si="10"/>
        <v>0</v>
      </c>
      <c r="G9" s="53">
        <f t="shared" si="12"/>
      </c>
      <c r="H9" s="53">
        <f t="shared" si="14"/>
      </c>
      <c r="I9" s="53">
        <f t="shared" si="16"/>
      </c>
      <c r="J9" s="59">
        <f t="shared" si="18"/>
        <v>0</v>
      </c>
    </row>
    <row r="10">
      <c r="A10" s="63" t="str">
        <f>IF(基础资料!$B$8="","",基础资料!$B$8)</f>
        <v>优茗</v>
      </c>
      <c r="B10" s="53">
        <f t="shared" si="0"/>
        <v>-1002000</v>
      </c>
      <c r="C10" s="53">
        <f t="shared" si="3"/>
        <v>0</v>
      </c>
      <c r="D10" s="53">
        <f t="shared" si="6"/>
        <v>0</v>
      </c>
      <c r="E10" s="53">
        <f t="shared" si="8"/>
      </c>
      <c r="F10" s="53">
        <f t="shared" si="10"/>
        <v>0</v>
      </c>
      <c r="G10" s="53">
        <f t="shared" si="12"/>
      </c>
      <c r="H10" s="53">
        <f t="shared" si="14"/>
      </c>
      <c r="I10" s="53">
        <f t="shared" si="16"/>
      </c>
      <c r="J10" s="59">
        <f t="shared" si="18"/>
        <v>-1002000</v>
      </c>
    </row>
    <row r="11">
      <c r="A11" s="63" t="str">
        <f>IF(基础资料!$B$9="","",基础资料!$B$9)</f>
        <v>飞鲸</v>
      </c>
      <c r="B11" s="53">
        <f t="shared" si="0"/>
        <v>0</v>
      </c>
      <c r="C11" s="53">
        <f t="shared" si="3"/>
        <v>0</v>
      </c>
      <c r="D11" s="53">
        <f t="shared" si="6"/>
        <v>0</v>
      </c>
      <c r="E11" s="53">
        <f t="shared" si="8"/>
        <v>0</v>
      </c>
      <c r="F11" s="53">
        <f t="shared" si="10"/>
      </c>
      <c r="G11" s="53">
        <f t="shared" si="12"/>
      </c>
      <c r="H11" s="53">
        <f t="shared" si="14"/>
      </c>
      <c r="I11" s="53">
        <f t="shared" si="16"/>
      </c>
      <c r="J11" s="59">
        <f t="shared" si="18"/>
        <v>0</v>
      </c>
    </row>
    <row r="12">
      <c r="A12" s="63">
        <f>IF(基础资料!$B$10="","",基础资料!$B$10)</f>
      </c>
      <c r="B12" s="53">
        <f t="shared" si="0"/>
      </c>
      <c r="C12" s="53">
        <f t="shared" si="3"/>
      </c>
      <c r="D12" s="53">
        <f t="shared" si="6"/>
      </c>
      <c r="E12" s="53">
        <f t="shared" si="8"/>
      </c>
      <c r="F12" s="53">
        <f t="shared" si="10"/>
      </c>
      <c r="G12" s="53">
        <f t="shared" si="12"/>
      </c>
      <c r="H12" s="53">
        <f t="shared" si="14"/>
      </c>
      <c r="I12" s="53">
        <f t="shared" si="16"/>
      </c>
      <c r="J12" s="59">
        <f t="shared" si="18"/>
      </c>
    </row>
    <row r="13">
      <c r="A13" s="63">
        <f>IF(基础资料!$B$11="","",基础资料!$B$11)</f>
      </c>
      <c r="B13" s="53">
        <f t="shared" si="0"/>
      </c>
      <c r="C13" s="53">
        <f t="shared" si="3"/>
      </c>
      <c r="D13" s="53">
        <f t="shared" si="6"/>
      </c>
      <c r="E13" s="53">
        <f t="shared" si="8"/>
      </c>
      <c r="F13" s="53">
        <f t="shared" si="10"/>
      </c>
      <c r="G13" s="53">
        <f t="shared" si="12"/>
      </c>
      <c r="H13" s="53">
        <f t="shared" si="14"/>
      </c>
      <c r="I13" s="53">
        <f t="shared" si="16"/>
      </c>
      <c r="J13" s="59">
        <f t="shared" si="18"/>
      </c>
    </row>
    <row r="14">
      <c r="A14" s="63">
        <f>IF(基础资料!$B$12="","",基础资料!$B$12)</f>
      </c>
      <c r="B14" s="53">
        <f t="shared" si="0"/>
      </c>
      <c r="C14" s="53">
        <f t="shared" si="3"/>
      </c>
      <c r="D14" s="53">
        <f t="shared" si="6"/>
      </c>
      <c r="E14" s="53">
        <f t="shared" si="8"/>
      </c>
      <c r="F14" s="53">
        <f t="shared" si="10"/>
      </c>
      <c r="G14" s="53">
        <f t="shared" si="12"/>
      </c>
      <c r="H14" s="53">
        <f t="shared" si="14"/>
      </c>
      <c r="I14" s="53">
        <f t="shared" si="16"/>
      </c>
      <c r="J14" s="59">
        <f t="shared" si="18"/>
      </c>
    </row>
    <row r="16">
      <c r="A16" s="82" t="inlineStr">
        <is>
          <t>② 两边对得上吗（本公司记的 ＋ 对方记的 应该＝0）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</row>
    <row r="17">
      <c r="A17" s="71" t="inlineStr">
        <is>
          <t>本公司 ＼ 对方</t>
        </is>
      </c>
      <c r="B17" s="71" t="str">
        <f>IF(基础资料!$B$5="","",基础资料!$B$5)</f>
        <v>中智优力</v>
      </c>
      <c r="C17" s="71" t="str">
        <f>IF(基础资料!$B$6="","",基础资料!$B$6)</f>
        <v>中慧优力</v>
      </c>
      <c r="D17" s="71" t="str">
        <f>IF(基础资料!$B$7="","",基础资料!$B$7)</f>
        <v>琴馨</v>
      </c>
      <c r="E17" s="71" t="str">
        <f>IF(基础资料!$B$8="","",基础资料!$B$8)</f>
        <v>优茗</v>
      </c>
      <c r="F17" s="71" t="str">
        <f>IF(基础资料!$B$9="","",基础资料!$B$9)</f>
        <v>飞鲸</v>
      </c>
      <c r="G17" s="71">
        <f>IF(基础资料!$B$10="","",基础资料!$B$10)</f>
      </c>
      <c r="H17" s="71">
        <f>IF(基础资料!$B$11="","",基础资料!$B$11)</f>
      </c>
      <c r="I17" s="71">
        <f>IF(基础资料!$B$12="","",基础资料!$B$12)</f>
      </c>
      <c r="J17" s="83" t="inlineStr">
        <is>
          <t>合计</t>
        </is>
      </c>
    </row>
    <row r="18">
      <c r="A18" s="63" t="str">
        <f>IF(基础资料!$B$5="","",基础资料!$B$5)</f>
        <v>中智优力</v>
      </c>
      <c r="B18" s="56">
        <f>IF(OR($A18="",B$17="",$A18=B$17),"",IF(ABS(N(B7)+N(B7))&lt;0.01,"✓","差 "&amp;TEXT(N(B7)+N(B7),"#,##0.00")))</f>
      </c>
      <c r="C18" s="56" t="str">
        <f>IF(OR($A18="",C$17="",$A18=C$17),"",IF(ABS(N(C7)+N(B8))&lt;0.01,"✓","差 "&amp;TEXT(N(C7)+N(B8),"#,##0.00")))</f>
        <v>✓</v>
      </c>
      <c r="D18" s="56" t="str">
        <f>IF(OR($A18="",D$17="",$A18=D$17),"",IF(ABS(N(D7)+N(B9))&lt;0.01,"✓","差 "&amp;TEXT(N(D7)+N(B9),"#,##0.00")))</f>
        <v>✓</v>
      </c>
      <c r="E18" s="56" t="str">
        <f>IF(OR($A18="",E$17="",$A18=E$17),"",IF(ABS(N(E7)+N(B10))&lt;0.01,"✓","差 "&amp;TEXT(N(E7)+N(B10),"#,##0.00")))</f>
        <v>差 -1,011,000.00</v>
      </c>
      <c r="F18" s="56" t="str">
        <f>IF(OR($A18="",F$17="",$A18=F$17),"",IF(ABS(N(F7)+N(B11))&lt;0.01,"✓","差 "&amp;TEXT(N(F7)+N(B11),"#,##0.00")))</f>
        <v>✓</v>
      </c>
      <c r="G18" s="56">
        <f>IF(OR($A18="",G$17="",$A18=G$17),"",IF(ABS(N(G7)+N(B12))&lt;0.01,"✓","差 "&amp;TEXT(N(G7)+N(B12),"#,##0.00")))</f>
      </c>
      <c r="H18" s="56">
        <f>IF(OR($A18="",H$17="",$A18=H$17),"",IF(ABS(N(H7)+N(B13))&lt;0.01,"✓","差 "&amp;TEXT(N(H7)+N(B13),"#,##0.00")))</f>
      </c>
      <c r="I18" s="56">
        <f>IF(OR($A18="",I$17="",$A18=I$17),"",IF(ABS(N(I7)+N(B14))&lt;0.01,"✓","差 "&amp;TEXT(N(I7)+N(B14),"#,##0.00")))</f>
      </c>
      <c r="J18" s="59">
        <f t="shared" ref="J18:J25" si="19">IF($A18="","",ROUND(SUM(B18:I18),2))</f>
        <v>0</v>
      </c>
    </row>
    <row r="19">
      <c r="A19" s="63" t="str">
        <f>IF(基础资料!$B$6="","",基础资料!$B$6)</f>
        <v>中慧优力</v>
      </c>
      <c r="B19" s="56" t="str">
        <f>IF(OR($A19="",B$17="",$A19=B$17),"",IF(ABS(N(B8)+N(C7))&lt;0.01,"✓","差 "&amp;TEXT(N(B8)+N(C7),"#,##0.00")))</f>
        <v>✓</v>
      </c>
      <c r="C19" s="56">
        <f>IF(OR($A19="",C$17="",$A19=C$17),"",IF(ABS(N(C8)+N(C8))&lt;0.01,"✓","差 "&amp;TEXT(N(C8)+N(C8),"#,##0.00")))</f>
      </c>
      <c r="D19" s="56" t="str">
        <f>IF(OR($A19="",D$17="",$A19=D$17),"",IF(ABS(N(D8)+N(C9))&lt;0.01,"✓","差 "&amp;TEXT(N(D8)+N(C9),"#,##0.00")))</f>
        <v>✓</v>
      </c>
      <c r="E19" s="56" t="str">
        <f>IF(OR($A19="",E$17="",$A19=E$17),"",IF(ABS(N(E8)+N(C10))&lt;0.01,"✓","差 "&amp;TEXT(N(E8)+N(C10),"#,##0.00")))</f>
        <v>✓</v>
      </c>
      <c r="F19" s="56" t="str">
        <f>IF(OR($A19="",F$17="",$A19=F$17),"",IF(ABS(N(F8)+N(C11))&lt;0.01,"✓","差 "&amp;TEXT(N(F8)+N(C11),"#,##0.00")))</f>
        <v>✓</v>
      </c>
      <c r="G19" s="56">
        <f>IF(OR($A19="",G$17="",$A19=G$17),"",IF(ABS(N(G8)+N(C12))&lt;0.01,"✓","差 "&amp;TEXT(N(G8)+N(C12),"#,##0.00")))</f>
      </c>
      <c r="H19" s="56">
        <f>IF(OR($A19="",H$17="",$A19=H$17),"",IF(ABS(N(H8)+N(C13))&lt;0.01,"✓","差 "&amp;TEXT(N(H8)+N(C13),"#,##0.00")))</f>
      </c>
      <c r="I19" s="56">
        <f>IF(OR($A19="",I$17="",$A19=I$17),"",IF(ABS(N(I8)+N(C14))&lt;0.01,"✓","差 "&amp;TEXT(N(I8)+N(C14),"#,##0.00")))</f>
      </c>
      <c r="J19" s="59">
        <f t="shared" si="19"/>
        <v>0</v>
      </c>
    </row>
    <row r="20">
      <c r="A20" s="63" t="str">
        <f>IF(基础资料!$B$7="","",基础资料!$B$7)</f>
        <v>琴馨</v>
      </c>
      <c r="B20" s="56" t="str">
        <f>IF(OR($A20="",B$17="",$A20=B$17),"",IF(ABS(N(B9)+N(D7))&lt;0.01,"✓","差 "&amp;TEXT(N(B9)+N(D7),"#,##0.00")))</f>
        <v>✓</v>
      </c>
      <c r="C20" s="56" t="str">
        <f>IF(OR($A20="",C$17="",$A20=C$17),"",IF(ABS(N(C9)+N(D8))&lt;0.01,"✓","差 "&amp;TEXT(N(C9)+N(D8),"#,##0.00")))</f>
        <v>✓</v>
      </c>
      <c r="D20" s="56">
        <f>IF(OR($A20="",D$17="",$A20=D$17),"",IF(ABS(N(D9)+N(D9))&lt;0.01,"✓","差 "&amp;TEXT(N(D9)+N(D9),"#,##0.00")))</f>
      </c>
      <c r="E20" s="56" t="str">
        <f>IF(OR($A20="",E$17="",$A20=E$17),"",IF(ABS(N(E9)+N(D10))&lt;0.01,"✓","差 "&amp;TEXT(N(E9)+N(D10),"#,##0.00")))</f>
        <v>✓</v>
      </c>
      <c r="F20" s="56" t="str">
        <f>IF(OR($A20="",F$17="",$A20=F$17),"",IF(ABS(N(F9)+N(D11))&lt;0.01,"✓","差 "&amp;TEXT(N(F9)+N(D11),"#,##0.00")))</f>
        <v>✓</v>
      </c>
      <c r="G20" s="56">
        <f>IF(OR($A20="",G$17="",$A20=G$17),"",IF(ABS(N(G9)+N(D12))&lt;0.01,"✓","差 "&amp;TEXT(N(G9)+N(D12),"#,##0.00")))</f>
      </c>
      <c r="H20" s="56">
        <f>IF(OR($A20="",H$17="",$A20=H$17),"",IF(ABS(N(H9)+N(D13))&lt;0.01,"✓","差 "&amp;TEXT(N(H9)+N(D13),"#,##0.00")))</f>
      </c>
      <c r="I20" s="56">
        <f>IF(OR($A20="",I$17="",$A20=I$17),"",IF(ABS(N(I9)+N(D14))&lt;0.01,"✓","差 "&amp;TEXT(N(I9)+N(D14),"#,##0.00")))</f>
      </c>
      <c r="J20" s="59">
        <f t="shared" si="19"/>
        <v>0</v>
      </c>
    </row>
    <row r="21">
      <c r="A21" s="63" t="str">
        <f>IF(基础资料!$B$8="","",基础资料!$B$8)</f>
        <v>优茗</v>
      </c>
      <c r="B21" s="56" t="str">
        <f>IF(OR($A21="",B$17="",$A21=B$17),"",IF(ABS(N(B10)+N(E7))&lt;0.01,"✓","差 "&amp;TEXT(N(B10)+N(E7),"#,##0.00")))</f>
        <v>差 -1,011,000.00</v>
      </c>
      <c r="C21" s="56" t="str">
        <f>IF(OR($A21="",C$17="",$A21=C$17),"",IF(ABS(N(C10)+N(E8))&lt;0.01,"✓","差 "&amp;TEXT(N(C10)+N(E8),"#,##0.00")))</f>
        <v>✓</v>
      </c>
      <c r="D21" s="56" t="str">
        <f>IF(OR($A21="",D$17="",$A21=D$17),"",IF(ABS(N(D10)+N(E9))&lt;0.01,"✓","差 "&amp;TEXT(N(D10)+N(E9),"#,##0.00")))</f>
        <v>✓</v>
      </c>
      <c r="E21" s="56">
        <f>IF(OR($A21="",E$17="",$A21=E$17),"",IF(ABS(N(E10)+N(E10))&lt;0.01,"✓","差 "&amp;TEXT(N(E10)+N(E10),"#,##0.00")))</f>
      </c>
      <c r="F21" s="56" t="str">
        <f>IF(OR($A21="",F$17="",$A21=F$17),"",IF(ABS(N(F10)+N(E11))&lt;0.01,"✓","差 "&amp;TEXT(N(F10)+N(E11),"#,##0.00")))</f>
        <v>✓</v>
      </c>
      <c r="G21" s="56">
        <f>IF(OR($A21="",G$17="",$A21=G$17),"",IF(ABS(N(G10)+N(E12))&lt;0.01,"✓","差 "&amp;TEXT(N(G10)+N(E12),"#,##0.00")))</f>
      </c>
      <c r="H21" s="56">
        <f>IF(OR($A21="",H$17="",$A21=H$17),"",IF(ABS(N(H10)+N(E13))&lt;0.01,"✓","差 "&amp;TEXT(N(H10)+N(E13),"#,##0.00")))</f>
      </c>
      <c r="I21" s="56">
        <f>IF(OR($A21="",I$17="",$A21=I$17),"",IF(ABS(N(I10)+N(E14))&lt;0.01,"✓","差 "&amp;TEXT(N(I10)+N(E14),"#,##0.00")))</f>
      </c>
      <c r="J21" s="59">
        <f t="shared" si="19"/>
        <v>0</v>
      </c>
    </row>
    <row r="22">
      <c r="A22" s="63" t="str">
        <f>IF(基础资料!$B$9="","",基础资料!$B$9)</f>
        <v>飞鲸</v>
      </c>
      <c r="B22" s="56" t="str">
        <f>IF(OR($A22="",B$17="",$A22=B$17),"",IF(ABS(N(B11)+N(F7))&lt;0.01,"✓","差 "&amp;TEXT(N(B11)+N(F7),"#,##0.00")))</f>
        <v>✓</v>
      </c>
      <c r="C22" s="56" t="str">
        <f>IF(OR($A22="",C$17="",$A22=C$17),"",IF(ABS(N(C11)+N(F8))&lt;0.01,"✓","差 "&amp;TEXT(N(C11)+N(F8),"#,##0.00")))</f>
        <v>✓</v>
      </c>
      <c r="D22" s="56" t="str">
        <f>IF(OR($A22="",D$17="",$A22=D$17),"",IF(ABS(N(D11)+N(F9))&lt;0.01,"✓","差 "&amp;TEXT(N(D11)+N(F9),"#,##0.00")))</f>
        <v>✓</v>
      </c>
      <c r="E22" s="56" t="str">
        <f>IF(OR($A22="",E$17="",$A22=E$17),"",IF(ABS(N(E11)+N(F10))&lt;0.01,"✓","差 "&amp;TEXT(N(E11)+N(F10),"#,##0.00")))</f>
        <v>✓</v>
      </c>
      <c r="F22" s="56">
        <f>IF(OR($A22="",F$17="",$A22=F$17),"",IF(ABS(N(F11)+N(F11))&lt;0.01,"✓","差 "&amp;TEXT(N(F11)+N(F11),"#,##0.00")))</f>
      </c>
      <c r="G22" s="56">
        <f>IF(OR($A22="",G$17="",$A22=G$17),"",IF(ABS(N(G11)+N(F12))&lt;0.01,"✓","差 "&amp;TEXT(N(G11)+N(F12),"#,##0.00")))</f>
      </c>
      <c r="H22" s="56">
        <f>IF(OR($A22="",H$17="",$A22=H$17),"",IF(ABS(N(H11)+N(F13))&lt;0.01,"✓","差 "&amp;TEXT(N(H11)+N(F13),"#,##0.00")))</f>
      </c>
      <c r="I22" s="56">
        <f>IF(OR($A22="",I$17="",$A22=I$17),"",IF(ABS(N(I11)+N(F14))&lt;0.01,"✓","差 "&amp;TEXT(N(I11)+N(F14),"#,##0.00")))</f>
      </c>
      <c r="J22" s="59">
        <f t="shared" si="19"/>
        <v>0</v>
      </c>
    </row>
    <row r="23">
      <c r="A23" s="63">
        <f>IF(基础资料!$B$10="","",基础资料!$B$10)</f>
      </c>
      <c r="B23" s="56">
        <f>IF(OR($A23="",B$17="",$A23=B$17),"",IF(ABS(N(B12)+N(G7))&lt;0.01,"✓","差 "&amp;TEXT(N(B12)+N(G7),"#,##0.00")))</f>
      </c>
      <c r="C23" s="56">
        <f>IF(OR($A23="",C$17="",$A23=C$17),"",IF(ABS(N(C12)+N(G8))&lt;0.01,"✓","差 "&amp;TEXT(N(C12)+N(G8),"#,##0.00")))</f>
      </c>
      <c r="D23" s="56">
        <f>IF(OR($A23="",D$17="",$A23=D$17),"",IF(ABS(N(D12)+N(G9))&lt;0.01,"✓","差 "&amp;TEXT(N(D12)+N(G9),"#,##0.00")))</f>
      </c>
      <c r="E23" s="56">
        <f>IF(OR($A23="",E$17="",$A23=E$17),"",IF(ABS(N(E12)+N(G10))&lt;0.01,"✓","差 "&amp;TEXT(N(E12)+N(G10),"#,##0.00")))</f>
      </c>
      <c r="F23" s="56">
        <f>IF(OR($A23="",F$17="",$A23=F$17),"",IF(ABS(N(F12)+N(G11))&lt;0.01,"✓","差 "&amp;TEXT(N(F12)+N(G11),"#,##0.00")))</f>
      </c>
      <c r="G23" s="56">
        <f>IF(OR($A23="",G$17="",$A23=G$17),"",IF(ABS(N(G12)+N(G12))&lt;0.01,"✓","差 "&amp;TEXT(N(G12)+N(G12),"#,##0.00")))</f>
      </c>
      <c r="H23" s="56">
        <f>IF(OR($A23="",H$17="",$A23=H$17),"",IF(ABS(N(H12)+N(G13))&lt;0.01,"✓","差 "&amp;TEXT(N(H12)+N(G13),"#,##0.00")))</f>
      </c>
      <c r="I23" s="56">
        <f>IF(OR($A23="",I$17="",$A23=I$17),"",IF(ABS(N(I12)+N(G14))&lt;0.01,"✓","差 "&amp;TEXT(N(I12)+N(G14),"#,##0.00")))</f>
      </c>
      <c r="J23" s="59">
        <f t="shared" si="19"/>
      </c>
    </row>
    <row r="24">
      <c r="A24" s="63">
        <f>IF(基础资料!$B$11="","",基础资料!$B$11)</f>
      </c>
      <c r="B24" s="56">
        <f>IF(OR($A24="",B$17="",$A24=B$17),"",IF(ABS(N(B13)+N(H7))&lt;0.01,"✓","差 "&amp;TEXT(N(B13)+N(H7),"#,##0.00")))</f>
      </c>
      <c r="C24" s="56">
        <f>IF(OR($A24="",C$17="",$A24=C$17),"",IF(ABS(N(C13)+N(H8))&lt;0.01,"✓","差 "&amp;TEXT(N(C13)+N(H8),"#,##0.00")))</f>
      </c>
      <c r="D24" s="56">
        <f>IF(OR($A24="",D$17="",$A24=D$17),"",IF(ABS(N(D13)+N(H9))&lt;0.01,"✓","差 "&amp;TEXT(N(D13)+N(H9),"#,##0.00")))</f>
      </c>
      <c r="E24" s="56">
        <f>IF(OR($A24="",E$17="",$A24=E$17),"",IF(ABS(N(E13)+N(H10))&lt;0.01,"✓","差 "&amp;TEXT(N(E13)+N(H10),"#,##0.00")))</f>
      </c>
      <c r="F24" s="56">
        <f>IF(OR($A24="",F$17="",$A24=F$17),"",IF(ABS(N(F13)+N(H11))&lt;0.01,"✓","差 "&amp;TEXT(N(F13)+N(H11),"#,##0.00")))</f>
      </c>
      <c r="G24" s="56">
        <f>IF(OR($A24="",G$17="",$A24=G$17),"",IF(ABS(N(G13)+N(H12))&lt;0.01,"✓","差 "&amp;TEXT(N(G13)+N(H12),"#,##0.00")))</f>
      </c>
      <c r="H24" s="56">
        <f>IF(OR($A24="",H$17="",$A24=H$17),"",IF(ABS(N(H13)+N(H13))&lt;0.01,"✓","差 "&amp;TEXT(N(H13)+N(H13),"#,##0.00")))</f>
      </c>
      <c r="I24" s="56">
        <f>IF(OR($A24="",I$17="",$A24=I$17),"",IF(ABS(N(I13)+N(H14))&lt;0.01,"✓","差 "&amp;TEXT(N(I13)+N(H14),"#,##0.00")))</f>
      </c>
      <c r="J24" s="59">
        <f t="shared" si="19"/>
      </c>
    </row>
    <row r="25">
      <c r="A25" s="63">
        <f>IF(基础资料!$B$12="","",基础资料!$B$12)</f>
      </c>
      <c r="B25" s="56">
        <f>IF(OR($A25="",B$17="",$A25=B$17),"",IF(ABS(N(B14)+N(I7))&lt;0.01,"✓","差 "&amp;TEXT(N(B14)+N(I7),"#,##0.00")))</f>
      </c>
      <c r="C25" s="56">
        <f>IF(OR($A25="",C$17="",$A25=C$17),"",IF(ABS(N(C14)+N(I8))&lt;0.01,"✓","差 "&amp;TEXT(N(C14)+N(I8),"#,##0.00")))</f>
      </c>
      <c r="D25" s="56">
        <f>IF(OR($A25="",D$17="",$A25=D$17),"",IF(ABS(N(D14)+N(I9))&lt;0.01,"✓","差 "&amp;TEXT(N(D14)+N(I9),"#,##0.00")))</f>
      </c>
      <c r="E25" s="56">
        <f>IF(OR($A25="",E$17="",$A25=E$17),"",IF(ABS(N(E14)+N(I10))&lt;0.01,"✓","差 "&amp;TEXT(N(E14)+N(I10),"#,##0.00")))</f>
      </c>
      <c r="F25" s="56">
        <f>IF(OR($A25="",F$17="",$A25=F$17),"",IF(ABS(N(F14)+N(I11))&lt;0.01,"✓","差 "&amp;TEXT(N(F14)+N(I11),"#,##0.00")))</f>
      </c>
      <c r="G25" s="56">
        <f>IF(OR($A25="",G$17="",$A25=G$17),"",IF(ABS(N(G14)+N(I12))&lt;0.01,"✓","差 "&amp;TEXT(N(G14)+N(I12),"#,##0.00")))</f>
      </c>
      <c r="H25" s="56">
        <f>IF(OR($A25="",H$17="",$A25=H$17),"",IF(ABS(N(H14)+N(I13))&lt;0.01,"✓","差 "&amp;TEXT(N(H14)+N(I13),"#,##0.00")))</f>
      </c>
      <c r="I25" s="56">
        <f>IF(OR($A25="",I$17="",$A25=I$17),"",IF(ABS(N(I14)+N(I14))&lt;0.01,"✓","差 "&amp;TEXT(N(I14)+N(I14),"#,##0.00")))</f>
      </c>
      <c r="J25" s="59">
        <f t="shared" si="19"/>
      </c>
    </row>
    <row r="27">
      <c r="A27" s="82" t="inlineStr">
        <is>
          <t>③ 自家公司之间开的发票（行＝开票方，列＝收票方）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</row>
    <row r="28">
      <c r="A28" s="71" t="inlineStr">
        <is>
          <t>本公司 ＼ 对方</t>
        </is>
      </c>
      <c r="B28" s="71" t="str">
        <f>IF(基础资料!$B$5="","",基础资料!$B$5)</f>
        <v>中智优力</v>
      </c>
      <c r="C28" s="71" t="str">
        <f>IF(基础资料!$B$6="","",基础资料!$B$6)</f>
        <v>中慧优力</v>
      </c>
      <c r="D28" s="71" t="str">
        <f>IF(基础资料!$B$7="","",基础资料!$B$7)</f>
        <v>琴馨</v>
      </c>
      <c r="E28" s="71" t="str">
        <f>IF(基础资料!$B$8="","",基础资料!$B$8)</f>
        <v>优茗</v>
      </c>
      <c r="F28" s="71" t="str">
        <f>IF(基础资料!$B$9="","",基础资料!$B$9)</f>
        <v>飞鲸</v>
      </c>
      <c r="G28" s="71">
        <f>IF(基础资料!$B$10="","",基础资料!$B$10)</f>
      </c>
      <c r="H28" s="71">
        <f>IF(基础资料!$B$11="","",基础资料!$B$11)</f>
      </c>
      <c r="I28" s="71">
        <f>IF(基础资料!$B$12="","",基础资料!$B$12)</f>
      </c>
      <c r="J28" s="83" t="inlineStr">
        <is>
          <t>合计</t>
        </is>
      </c>
    </row>
    <row r="29">
      <c r="A29" s="63" t="str">
        <f>IF(基础资料!$B$5="","",基础资料!$B$5)</f>
        <v>中智优力</v>
      </c>
      <c r="B29" s="53">
        <f t="shared" ref="B29:B36" si="1">IF(OR($A29="",B$28="",$A29=B$28),"",ROUND(SUMIFS(发票导入!$AK$5:$AK$2004,发票导入!$V$5:$V$2004,"内部",发票导入!$AI$5:$AI$2004,$A29,发票导入!$AJ$5:$AJ$2004,B$28,发票导入!$T$5:$T$2004,"&lt;"&amp;$L$3),2))</f>
      </c>
      <c r="C29" s="53">
        <f t="shared" ref="C29:C36" si="4">IF(OR($A29="",C$28="",$A29=C$28),"",ROUND(SUMIFS(发票导入!$AK$5:$AK$2004,发票导入!$V$5:$V$2004,"内部",发票导入!$AI$5:$AI$2004,$A29,发票导入!$AJ$5:$AJ$2004,C$28,发票导入!$T$5:$T$2004,"&lt;"&amp;$L$3),2))</f>
        <v>0</v>
      </c>
      <c r="D29" s="53">
        <f t="shared" ref="D29:D36" si="7">IF(OR($A29="",D$28="",$A29=D$28),"",ROUND(SUMIFS(发票导入!$AK$5:$AK$2004,发票导入!$V$5:$V$2004,"内部",发票导入!$AI$5:$AI$2004,$A29,发票导入!$AJ$5:$AJ$2004,D$28,发票导入!$T$5:$T$2004,"&lt;"&amp;$L$3),2))</f>
        <v>0</v>
      </c>
      <c r="E29" s="53">
        <f t="shared" ref="E29:E36" si="9">IF(OR($A29="",E$28="",$A29=E$28),"",ROUND(SUMIFS(发票导入!$AK$5:$AK$2004,发票导入!$V$5:$V$2004,"内部",发票导入!$AI$5:$AI$2004,$A29,发票导入!$AJ$5:$AJ$2004,E$28,发票导入!$T$5:$T$2004,"&lt;"&amp;$L$3),2))</f>
        <v>0</v>
      </c>
      <c r="F29" s="53">
        <f t="shared" ref="F29:F36" si="11">IF(OR($A29="",F$28="",$A29=F$28),"",ROUND(SUMIFS(发票导入!$AK$5:$AK$2004,发票导入!$V$5:$V$2004,"内部",发票导入!$AI$5:$AI$2004,$A29,发票导入!$AJ$5:$AJ$2004,F$28,发票导入!$T$5:$T$2004,"&lt;"&amp;$L$3),2))</f>
        <v>0</v>
      </c>
      <c r="G29" s="53">
        <f t="shared" ref="G29:G36" si="13">IF(OR($A29="",G$28="",$A29=G$28),"",ROUND(SUMIFS(发票导入!$AK$5:$AK$2004,发票导入!$V$5:$V$2004,"内部",发票导入!$AI$5:$AI$2004,$A29,发票导入!$AJ$5:$AJ$2004,G$28,发票导入!$T$5:$T$2004,"&lt;"&amp;$L$3),2))</f>
      </c>
      <c r="H29" s="53">
        <f t="shared" ref="H29:H36" si="15">IF(OR($A29="",H$28="",$A29=H$28),"",ROUND(SUMIFS(发票导入!$AK$5:$AK$2004,发票导入!$V$5:$V$2004,"内部",发票导入!$AI$5:$AI$2004,$A29,发票导入!$AJ$5:$AJ$2004,H$28,发票导入!$T$5:$T$2004,"&lt;"&amp;$L$3),2))</f>
      </c>
      <c r="I29" s="53">
        <f t="shared" ref="I29:I36" si="17">IF(OR($A29="",I$28="",$A29=I$28),"",ROUND(SUMIFS(发票导入!$AK$5:$AK$2004,发票导入!$V$5:$V$2004,"内部",发票导入!$AI$5:$AI$2004,$A29,发票导入!$AJ$5:$AJ$2004,I$28,发票导入!$T$5:$T$2004,"&lt;"&amp;$L$3),2))</f>
      </c>
      <c r="J29" s="59">
        <f t="shared" ref="J29:J36" si="20">IF($A29="","",ROUND(SUM(B29:I29),2))</f>
        <v>0</v>
      </c>
    </row>
    <row r="30">
      <c r="A30" s="63" t="str">
        <f>IF(基础资料!$B$6="","",基础资料!$B$6)</f>
        <v>中慧优力</v>
      </c>
      <c r="B30" s="53">
        <f t="shared" si="1"/>
        <v>0</v>
      </c>
      <c r="C30" s="53">
        <f t="shared" si="4"/>
      </c>
      <c r="D30" s="53">
        <f t="shared" si="7"/>
        <v>0</v>
      </c>
      <c r="E30" s="53">
        <f t="shared" si="9"/>
        <v>0</v>
      </c>
      <c r="F30" s="53">
        <f t="shared" si="11"/>
        <v>0</v>
      </c>
      <c r="G30" s="53">
        <f t="shared" si="13"/>
      </c>
      <c r="H30" s="53">
        <f t="shared" si="15"/>
      </c>
      <c r="I30" s="53">
        <f t="shared" si="17"/>
      </c>
      <c r="J30" s="59">
        <f t="shared" si="20"/>
        <v>0</v>
      </c>
    </row>
    <row r="31">
      <c r="A31" s="63" t="str">
        <f>IF(基础资料!$B$7="","",基础资料!$B$7)</f>
        <v>琴馨</v>
      </c>
      <c r="B31" s="53">
        <f t="shared" si="1"/>
        <v>0</v>
      </c>
      <c r="C31" s="53">
        <f t="shared" si="4"/>
        <v>0</v>
      </c>
      <c r="D31" s="53">
        <f t="shared" si="7"/>
      </c>
      <c r="E31" s="53">
        <f t="shared" si="9"/>
        <v>0</v>
      </c>
      <c r="F31" s="53">
        <f t="shared" si="11"/>
        <v>0</v>
      </c>
      <c r="G31" s="53">
        <f t="shared" si="13"/>
      </c>
      <c r="H31" s="53">
        <f t="shared" si="15"/>
      </c>
      <c r="I31" s="53">
        <f t="shared" si="17"/>
      </c>
      <c r="J31" s="59">
        <f t="shared" si="20"/>
        <v>0</v>
      </c>
    </row>
    <row r="32">
      <c r="A32" s="63" t="str">
        <f>IF(基础资料!$B$8="","",基础资料!$B$8)</f>
        <v>优茗</v>
      </c>
      <c r="B32" s="53">
        <f t="shared" si="1"/>
        <v>9000</v>
      </c>
      <c r="C32" s="53">
        <f t="shared" si="4"/>
        <v>0</v>
      </c>
      <c r="D32" s="53">
        <f t="shared" si="7"/>
        <v>0</v>
      </c>
      <c r="E32" s="53">
        <f t="shared" si="9"/>
      </c>
      <c r="F32" s="53">
        <f t="shared" si="11"/>
        <v>0</v>
      </c>
      <c r="G32" s="53">
        <f t="shared" si="13"/>
      </c>
      <c r="H32" s="53">
        <f t="shared" si="15"/>
      </c>
      <c r="I32" s="53">
        <f t="shared" si="17"/>
      </c>
      <c r="J32" s="59">
        <f t="shared" si="20"/>
        <v>9000</v>
      </c>
    </row>
    <row r="33">
      <c r="A33" s="63" t="str">
        <f>IF(基础资料!$B$9="","",基础资料!$B$9)</f>
        <v>飞鲸</v>
      </c>
      <c r="B33" s="53">
        <f t="shared" si="1"/>
        <v>0</v>
      </c>
      <c r="C33" s="53">
        <f t="shared" si="4"/>
        <v>0</v>
      </c>
      <c r="D33" s="53">
        <f t="shared" si="7"/>
        <v>0</v>
      </c>
      <c r="E33" s="53">
        <f t="shared" si="9"/>
        <v>0</v>
      </c>
      <c r="F33" s="53">
        <f t="shared" si="11"/>
      </c>
      <c r="G33" s="53">
        <f t="shared" si="13"/>
      </c>
      <c r="H33" s="53">
        <f t="shared" si="15"/>
      </c>
      <c r="I33" s="53">
        <f t="shared" si="17"/>
      </c>
      <c r="J33" s="59">
        <f t="shared" si="20"/>
        <v>0</v>
      </c>
    </row>
    <row r="34">
      <c r="A34" s="63">
        <f>IF(基础资料!$B$10="","",基础资料!$B$10)</f>
      </c>
      <c r="B34" s="53">
        <f t="shared" si="1"/>
      </c>
      <c r="C34" s="53">
        <f t="shared" si="4"/>
      </c>
      <c r="D34" s="53">
        <f t="shared" si="7"/>
      </c>
      <c r="E34" s="53">
        <f t="shared" si="9"/>
      </c>
      <c r="F34" s="53">
        <f t="shared" si="11"/>
      </c>
      <c r="G34" s="53">
        <f t="shared" si="13"/>
      </c>
      <c r="H34" s="53">
        <f t="shared" si="15"/>
      </c>
      <c r="I34" s="53">
        <f t="shared" si="17"/>
      </c>
      <c r="J34" s="59">
        <f t="shared" si="20"/>
      </c>
    </row>
    <row r="35">
      <c r="A35" s="63">
        <f>IF(基础资料!$B$11="","",基础资料!$B$11)</f>
      </c>
      <c r="B35" s="53">
        <f t="shared" si="1"/>
      </c>
      <c r="C35" s="53">
        <f t="shared" si="4"/>
      </c>
      <c r="D35" s="53">
        <f t="shared" si="7"/>
      </c>
      <c r="E35" s="53">
        <f t="shared" si="9"/>
      </c>
      <c r="F35" s="53">
        <f t="shared" si="11"/>
      </c>
      <c r="G35" s="53">
        <f t="shared" si="13"/>
      </c>
      <c r="H35" s="53">
        <f t="shared" si="15"/>
      </c>
      <c r="I35" s="53">
        <f t="shared" si="17"/>
      </c>
      <c r="J35" s="59">
        <f t="shared" si="20"/>
      </c>
    </row>
    <row r="36">
      <c r="A36" s="63">
        <f>IF(基础资料!$B$12="","",基础资料!$B$12)</f>
      </c>
      <c r="B36" s="53">
        <f t="shared" si="1"/>
      </c>
      <c r="C36" s="53">
        <f t="shared" si="4"/>
      </c>
      <c r="D36" s="53">
        <f t="shared" si="7"/>
      </c>
      <c r="E36" s="53">
        <f t="shared" si="9"/>
      </c>
      <c r="F36" s="53">
        <f t="shared" si="11"/>
      </c>
      <c r="G36" s="53">
        <f t="shared" si="13"/>
      </c>
      <c r="H36" s="53">
        <f t="shared" si="15"/>
      </c>
      <c r="I36" s="53">
        <f t="shared" si="17"/>
      </c>
      <c r="J36" s="59">
        <f t="shared" si="20"/>
      </c>
    </row>
    <row r="38">
      <c r="A38" s="11" t="inlineStr">
        <is>
          <t>账户互转（同一家公司两个账户倒钱）应该一进一出抵成 0：</t>
        </is>
      </c>
    </row>
    <row r="39">
      <c r="A39" s="63" t="str">
        <f>IF(基础资料!$B$5="","",基础资料!$B$5)</f>
        <v>中智优力</v>
      </c>
      <c r="B39" s="53">
        <f t="shared" ref="B39:B46" si="2">IF(A39="","",ROUND(SUMIFS(资金台帐!$AD$6:$AD$3005,资金台帐!$O$6:$O$3005,A39,资金台帐!$U$6:$U$3005,"账户互转",资金台帐!$N$6:$N$3005,"&lt;"&amp;$L$3),2))</f>
        <v>-54976.4</v>
      </c>
      <c r="C39" s="56" t="str">
        <f t="shared" ref="C39:C46" si="5">IF(A39="","",IF(ABS(N(B39))&lt;0.01,"✓","✗ 只记了一边？"))</f>
        <v>✗ 只记了一边？</v>
      </c>
    </row>
    <row r="40">
      <c r="A40" s="63" t="str">
        <f>IF(基础资料!$B$6="","",基础资料!$B$6)</f>
        <v>中慧优力</v>
      </c>
      <c r="B40" s="53">
        <f t="shared" si="2"/>
        <v>0</v>
      </c>
      <c r="C40" s="56" t="str">
        <f t="shared" si="5"/>
        <v>✓</v>
      </c>
    </row>
    <row r="41">
      <c r="A41" s="63" t="str">
        <f>IF(基础资料!$B$7="","",基础资料!$B$7)</f>
        <v>琴馨</v>
      </c>
      <c r="B41" s="53">
        <f t="shared" si="2"/>
        <v>0</v>
      </c>
      <c r="C41" s="56" t="str">
        <f t="shared" si="5"/>
        <v>✓</v>
      </c>
    </row>
    <row r="42">
      <c r="A42" s="63" t="str">
        <f>IF(基础资料!$B$8="","",基础资料!$B$8)</f>
        <v>优茗</v>
      </c>
      <c r="B42" s="53">
        <f t="shared" si="2"/>
        <v>0</v>
      </c>
      <c r="C42" s="56" t="str">
        <f t="shared" si="5"/>
        <v>✓</v>
      </c>
    </row>
    <row r="43">
      <c r="A43" s="63" t="str">
        <f>IF(基础资料!$B$9="","",基础资料!$B$9)</f>
        <v>飞鲸</v>
      </c>
      <c r="B43" s="53">
        <f t="shared" si="2"/>
        <v>0</v>
      </c>
      <c r="C43" s="56" t="str">
        <f t="shared" si="5"/>
        <v>✓</v>
      </c>
    </row>
    <row r="44">
      <c r="A44" s="63">
        <f>IF(基础资料!$B$10="","",基础资料!$B$10)</f>
      </c>
      <c r="B44" s="53">
        <f t="shared" si="2"/>
      </c>
      <c r="C44" s="56">
        <f t="shared" si="5"/>
      </c>
    </row>
    <row r="45">
      <c r="A45" s="63">
        <f>IF(基础资料!$B$11="","",基础资料!$B$11)</f>
      </c>
      <c r="B45" s="53">
        <f t="shared" si="2"/>
      </c>
      <c r="C45" s="56">
        <f t="shared" si="5"/>
      </c>
    </row>
    <row r="46">
      <c r="A46" s="63">
        <f>IF(基础资料!$B$12="","",基础资料!$B$12)</f>
      </c>
      <c r="B46" s="53">
        <f t="shared" si="2"/>
      </c>
      <c r="C46" s="56">
        <f t="shared" si="5"/>
      </c>
    </row>
  </sheetData>
  <mergeCells count="5">
    <mergeCell ref="A1:J1"/>
    <mergeCell ref="A5:J5"/>
    <mergeCell ref="A2:J2"/>
    <mergeCell ref="A27:J27"/>
    <mergeCell ref="A16:J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L17"/>
  <sheetViews>
    <sheetView showGridLines="0" tabSelected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12" customWidth="1" min="4" max="4"/>
    <col width="14" customWidth="1" min="5" max="5"/>
    <col width="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3" customHeight="1">
      <c r="A1" s="84" t="inlineStr">
        <is>
          <t>发 票 汇 总（每月销项、进项 · 按发票导入）</t>
        </is>
      </c>
    </row>
    <row r="2" ht="54" customHeight="1">
      <c r="A2" s="2" t="inlineStr">
        <is>
          <t>💡 选公司、年份。销项＝开出去的票（应收），进项分「计应付」（登记过的供应商）和「报销票」。重复粘贴、作废的不算，红冲的正负抵掉。选单家公司时，自家公司之间开的票也算进这家的销项/进项（跟电子税务局一致）；选「全部」时内部的票两边抵掉，只在最右列显示。J、K 两列是同月资金台帐里实际收到的收入类款项、付出的成本费用类款项（变动成本＋固定成本＋其他支出），对照看开票和收款的差。</t>
        </is>
      </c>
    </row>
    <row r="3" ht="24" customHeight="1">
      <c r="B3" s="3" t="inlineStr">
        <is>
          <t>公司</t>
        </is>
      </c>
      <c r="C3" s="6" t="inlineStr">
        <is>
          <t>全部</t>
        </is>
      </c>
      <c r="E3" s="3" t="inlineStr">
        <is>
          <t>年份</t>
        </is>
      </c>
      <c r="F3" s="6" t="n">
        <v>2026</v>
      </c>
    </row>
    <row r="4" ht="34" customHeight="1">
      <c r="A4" s="85" t="inlineStr">
        <is>
          <t>月份</t>
        </is>
      </c>
      <c r="B4" s="85" t="inlineStr">
        <is>
          <t>销项张数</t>
        </is>
      </c>
      <c r="C4" s="85" t="inlineStr">
        <is>
          <t>销项金额
（不含税）</t>
        </is>
      </c>
      <c r="D4" s="85" t="inlineStr">
        <is>
          <t>销项税额</t>
        </is>
      </c>
      <c r="E4" s="85" t="inlineStr">
        <is>
          <t>销项价税合计</t>
        </is>
      </c>
      <c r="F4" s="85" t="inlineStr">
        <is>
          <t>进项张数</t>
        </is>
      </c>
      <c r="G4" s="85" t="inlineStr">
        <is>
          <t>进项价税合计</t>
        </is>
      </c>
      <c r="H4" s="85" t="inlineStr">
        <is>
          <t>其中计应付</t>
        </is>
      </c>
      <c r="I4" s="85" t="inlineStr">
        <is>
          <t>其中报销票</t>
        </is>
      </c>
      <c r="J4" s="85" t="inlineStr">
        <is>
          <t>本月收入类收款</t>
        </is>
      </c>
      <c r="K4" s="85" t="inlineStr">
        <is>
          <t>本月成本费用付款</t>
        </is>
      </c>
      <c r="L4" s="85" t="inlineStr">
        <is>
          <t>自家公司之间的票
（选单家时已含在
销项/进项里）</t>
        </is>
      </c>
    </row>
    <row r="5">
      <c r="A5" s="63" t="inlineStr">
        <is>
          <t>1月</t>
        </is>
      </c>
      <c r="B5" s="86">
        <f>COUNTIFS(发票导入!$V$5:$V$2004,"销项",发票导入!$U$5:$U$2004,IF($C$3="全部","?*",$C$3),发票导入!$T$5:$T$2004,"&gt;="&amp;DATE($F$3,1,1),发票导入!$T$5:$T$2004,"&lt;"&amp;DATE($F$3,1+1,1),发票导入!$AK$5:$AK$2004,"&lt;&gt;0")+IF($C$3&lt;&gt;"全部",COUNTIFS(发票导入!$V$5:$V$2004,"内部",发票导入!$AI$5:$AI$2004,$C$3,发票导入!$T$5:$T$2004,"&gt;="&amp;DATE($F$3,1,1),发票导入!$T$5:$T$2004,"&lt;"&amp;DATE($F$3,1+1,1),发票导入!$AK$5:$AK$2004,"&lt;&gt;0"),0)</f>
        <v>0</v>
      </c>
      <c r="C5" s="53">
        <f>ROUND(SUMIFS(发票导入!$AL$5:$AL$2004,发票导入!$V$5:$V$2004,"销项",发票导入!$U$5:$U$2004,IF($C$3="全部","?*",$C$3),发票导入!$T$5:$T$2004,"&gt;="&amp;DATE($F$3,1,1),发票导入!$T$5:$T$2004,"&lt;"&amp;DATE($F$3,1+1,1))+IF($C$3&lt;&gt;"全部",SUMIFS(发票导入!$AL$5:$AL$2004,发票导入!$V$5:$V$2004,"内部",发票导入!$AI$5:$AI$2004,$C$3,发票导入!$T$5:$T$2004,"&gt;="&amp;DATE($F$3,1,1),发票导入!$T$5:$T$2004,"&lt;"&amp;DATE($F$3,1+1,1)),0),2)</f>
        <v>0</v>
      </c>
      <c r="D5" s="53">
        <f>ROUND(SUMIFS(发票导入!$AM$5:$AM$2004,发票导入!$V$5:$V$2004,"销项",发票导入!$U$5:$U$2004,IF($C$3="全部","?*",$C$3),发票导入!$T$5:$T$2004,"&gt;="&amp;DATE($F$3,1,1),发票导入!$T$5:$T$2004,"&lt;"&amp;DATE($F$3,1+1,1))+IF($C$3&lt;&gt;"全部",SUMIFS(发票导入!$AM$5:$AM$2004,发票导入!$V$5:$V$2004,"内部",发票导入!$AI$5:$AI$2004,$C$3,发票导入!$T$5:$T$2004,"&gt;="&amp;DATE($F$3,1,1),发票导入!$T$5:$T$2004,"&lt;"&amp;DATE($F$3,1+1,1)),0),2)</f>
        <v>0</v>
      </c>
      <c r="E5" s="53">
        <f>ROUND(SUMIFS(发票导入!$AK$5:$AK$2004,发票导入!$V$5:$V$2004,"销项",发票导入!$U$5:$U$2004,IF($C$3="全部","?*",$C$3),发票导入!$T$5:$T$2004,"&gt;="&amp;DATE($F$3,1,1),发票导入!$T$5:$T$2004,"&lt;"&amp;DATE($F$3,1+1,1))+IF($C$3&lt;&gt;"全部",SUMIFS(发票导入!$AK$5:$AK$2004,发票导入!$V$5:$V$2004,"内部",发票导入!$AI$5:$AI$2004,$C$3,发票导入!$T$5:$T$2004,"&gt;="&amp;DATE($F$3,1,1),发票导入!$T$5:$T$2004,"&lt;"&amp;DATE($F$3,1+1,1)),0),2)</f>
        <v>0</v>
      </c>
      <c r="F5" s="86">
        <f>COUNTIFS(发票导入!$V$5:$V$2004,"进项",发票导入!$U$5:$U$2004,IF($C$3="全部","?*",$C$3),发票导入!$T$5:$T$2004,"&gt;="&amp;DATE($F$3,1,1),发票导入!$T$5:$T$2004,"&lt;"&amp;DATE($F$3,1+1,1),发票导入!$AK$5:$AK$2004,"&lt;&gt;0")+IF($C$3&lt;&gt;"全部",COUNTIFS(发票导入!$V$5:$V$2004,"内部",发票导入!$AJ$5:$AJ$2004,$C$3,发票导入!$T$5:$T$2004,"&gt;="&amp;DATE($F$3,1,1),发票导入!$T$5:$T$2004,"&lt;"&amp;DATE($F$3,1+1,1),发票导入!$AK$5:$AK$2004,"&lt;&gt;0"),0)</f>
        <v>0</v>
      </c>
      <c r="G5" s="53">
        <f>ROUND(SUMIFS(发票导入!$AK$5:$AK$2004,发票导入!$V$5:$V$2004,"进项",发票导入!$U$5:$U$2004,IF($C$3="全部","?*",$C$3),发票导入!$T$5:$T$2004,"&gt;="&amp;DATE($F$3,1,1),发票导入!$T$5:$T$2004,"&lt;"&amp;DATE($F$3,1+1,1))+IF($C$3&lt;&gt;"全部",SUMIFS(发票导入!$AK$5:$AK$2004,发票导入!$V$5:$V$2004,"内部",发票导入!$AJ$5:$AJ$2004,$C$3,发票导入!$T$5:$T$2004,"&gt;="&amp;DATE($F$3,1,1),发票导入!$T$5:$T$2004,"&lt;"&amp;DATE($F$3,1+1,1)),0),2)</f>
        <v>0</v>
      </c>
      <c r="H5" s="53">
        <f>ROUND(SUMIFS(发票导入!$AK$5:$AK$2004,发票导入!$V$5:$V$2004,"进项",发票导入!$U$5:$U$2004,IF($C$3="全部","?*",$C$3),发票导入!$T$5:$T$2004,"&gt;="&amp;DATE($F$3,1,1),发票导入!$T$5:$T$2004,"&lt;"&amp;DATE($F$3,1+1,1),发票导入!$Y$5:$Y$2004,"应付"),2)</f>
        <v>0</v>
      </c>
      <c r="I5" s="53">
        <f>ROUND(SUMIFS(发票导入!$AK$5:$AK$2004,发票导入!$V$5:$V$2004,"进项",发票导入!$U$5:$U$2004,IF($C$3="全部","?*",$C$3),发票导入!$T$5:$T$2004,"&gt;="&amp;DATE($F$3,1,1),发票导入!$T$5:$T$2004,"&lt;"&amp;DATE($F$3,1+1,1),发票导入!$Y$5:$Y$2004,"报销票"),2)</f>
        <v>0</v>
      </c>
      <c r="J5" s="53">
        <f>ROUND(SUMIFS(资金台帐!$AD$6:$AD$3005,资金台帐!$U$6:$U$3005,"收入",资金台帐!$BH$6:$BH$3005,IF($C$3="全部","&gt;0",IFERROR(MATCH($C$3,基础资料!$B$5:$B$12,0),-1)),资金台帐!$BG$6:$BG$3005,$F$3*100+1),2)</f>
        <v>0</v>
      </c>
      <c r="K5" s="53">
        <f>ROUND(-(SUMIFS(资金台帐!$AD$6:$AD$3005,资金台帐!$U$6:$U$3005,"变动成本",资金台帐!$BH$6:$BH$3005,IF($C$3="全部","&gt;0",IFERROR(MATCH($C$3,基础资料!$B$5:$B$12,0),-1)),资金台帐!$BG$6:$BG$3005,$F$3*100+1)+SUMIFS(资金台帐!$AD$6:$AD$3005,资金台帐!$U$6:$U$3005,"固定成本",资金台帐!$BH$6:$BH$3005,IF($C$3="全部","&gt;0",IFERROR(MATCH($C$3,基础资料!$B$5:$B$12,0),-1)),资金台帐!$BG$6:$BG$3005,$F$3*100+1)+SUMIFS(资金台帐!$AD$6:$AD$3005,资金台帐!$U$6:$U$3005,"其他支出",资金台帐!$BH$6:$BH$3005,IF($C$3="全部","&gt;0",IFERROR(MATCH($C$3,基础资料!$B$5:$B$12,0),-1)),资金台帐!$BG$6:$BG$3005,$F$3*100+1)),2)</f>
        <v>0</v>
      </c>
      <c r="L5" s="53">
        <f>ROUND(IF($C$3&lt;&gt;"全部",SUMIFS(发票导入!$AK$5:$AK$2004,发票导入!$V$5:$V$2004,"内部",发票导入!$AI$5:$AI$2004,$C$3,发票导入!$T$5:$T$2004,"&gt;="&amp;DATE($F$3,1,1),发票导入!$T$5:$T$2004,"&lt;"&amp;DATE($F$3,1+1,1))+SUMIFS(发票导入!$AK$5:$AK$2004,发票导入!$V$5:$V$2004,"内部",发票导入!$AJ$5:$AJ$2004,$C$3,发票导入!$T$5:$T$2004,"&gt;="&amp;DATE($F$3,1,1),发票导入!$T$5:$T$2004,"&lt;"&amp;DATE($F$3,1+1,1)),SUMIFS(发票导入!$AK$5:$AK$2004,发票导入!$V$5:$V$2004,"内部",发票导入!$T$5:$T$2004,"&gt;="&amp;DATE($F$3,1,1),发票导入!$T$5:$T$2004,"&lt;"&amp;DATE($F$3,1+1,1))),2)</f>
        <v>0</v>
      </c>
    </row>
    <row r="6">
      <c r="A6" s="63" t="inlineStr">
        <is>
          <t>2月</t>
        </is>
      </c>
      <c r="B6" s="86">
        <f>COUNTIFS(发票导入!$V$5:$V$2004,"销项",发票导入!$U$5:$U$2004,IF($C$3="全部","?*",$C$3),发票导入!$T$5:$T$2004,"&gt;="&amp;DATE($F$3,2,1),发票导入!$T$5:$T$2004,"&lt;"&amp;DATE($F$3,2+1,1),发票导入!$AK$5:$AK$2004,"&lt;&gt;0")+IF($C$3&lt;&gt;"全部",COUNTIFS(发票导入!$V$5:$V$2004,"内部",发票导入!$AI$5:$AI$2004,$C$3,发票导入!$T$5:$T$2004,"&gt;="&amp;DATE($F$3,2,1),发票导入!$T$5:$T$2004,"&lt;"&amp;DATE($F$3,2+1,1),发票导入!$AK$5:$AK$2004,"&lt;&gt;0"),0)</f>
        <v>0</v>
      </c>
      <c r="C6" s="53">
        <f>ROUND(SUMIFS(发票导入!$AL$5:$AL$2004,发票导入!$V$5:$V$2004,"销项",发票导入!$U$5:$U$2004,IF($C$3="全部","?*",$C$3),发票导入!$T$5:$T$2004,"&gt;="&amp;DATE($F$3,2,1),发票导入!$T$5:$T$2004,"&lt;"&amp;DATE($F$3,2+1,1))+IF($C$3&lt;&gt;"全部",SUMIFS(发票导入!$AL$5:$AL$2004,发票导入!$V$5:$V$2004,"内部",发票导入!$AI$5:$AI$2004,$C$3,发票导入!$T$5:$T$2004,"&gt;="&amp;DATE($F$3,2,1),发票导入!$T$5:$T$2004,"&lt;"&amp;DATE($F$3,2+1,1)),0),2)</f>
        <v>0</v>
      </c>
      <c r="D6" s="53">
        <f>ROUND(SUMIFS(发票导入!$AM$5:$AM$2004,发票导入!$V$5:$V$2004,"销项",发票导入!$U$5:$U$2004,IF($C$3="全部","?*",$C$3),发票导入!$T$5:$T$2004,"&gt;="&amp;DATE($F$3,2,1),发票导入!$T$5:$T$2004,"&lt;"&amp;DATE($F$3,2+1,1))+IF($C$3&lt;&gt;"全部",SUMIFS(发票导入!$AM$5:$AM$2004,发票导入!$V$5:$V$2004,"内部",发票导入!$AI$5:$AI$2004,$C$3,发票导入!$T$5:$T$2004,"&gt;="&amp;DATE($F$3,2,1),发票导入!$T$5:$T$2004,"&lt;"&amp;DATE($F$3,2+1,1)),0),2)</f>
        <v>0</v>
      </c>
      <c r="E6" s="53">
        <f>ROUND(SUMIFS(发票导入!$AK$5:$AK$2004,发票导入!$V$5:$V$2004,"销项",发票导入!$U$5:$U$2004,IF($C$3="全部","?*",$C$3),发票导入!$T$5:$T$2004,"&gt;="&amp;DATE($F$3,2,1),发票导入!$T$5:$T$2004,"&lt;"&amp;DATE($F$3,2+1,1))+IF($C$3&lt;&gt;"全部",SUMIFS(发票导入!$AK$5:$AK$2004,发票导入!$V$5:$V$2004,"内部",发票导入!$AI$5:$AI$2004,$C$3,发票导入!$T$5:$T$2004,"&gt;="&amp;DATE($F$3,2,1),发票导入!$T$5:$T$2004,"&lt;"&amp;DATE($F$3,2+1,1)),0),2)</f>
        <v>0</v>
      </c>
      <c r="F6" s="86">
        <f>COUNTIFS(发票导入!$V$5:$V$2004,"进项",发票导入!$U$5:$U$2004,IF($C$3="全部","?*",$C$3),发票导入!$T$5:$T$2004,"&gt;="&amp;DATE($F$3,2,1),发票导入!$T$5:$T$2004,"&lt;"&amp;DATE($F$3,2+1,1),发票导入!$AK$5:$AK$2004,"&lt;&gt;0")+IF($C$3&lt;&gt;"全部",COUNTIFS(发票导入!$V$5:$V$2004,"内部",发票导入!$AJ$5:$AJ$2004,$C$3,发票导入!$T$5:$T$2004,"&gt;="&amp;DATE($F$3,2,1),发票导入!$T$5:$T$2004,"&lt;"&amp;DATE($F$3,2+1,1),发票导入!$AK$5:$AK$2004,"&lt;&gt;0"),0)</f>
        <v>0</v>
      </c>
      <c r="G6" s="53">
        <f>ROUND(SUMIFS(发票导入!$AK$5:$AK$2004,发票导入!$V$5:$V$2004,"进项",发票导入!$U$5:$U$2004,IF($C$3="全部","?*",$C$3),发票导入!$T$5:$T$2004,"&gt;="&amp;DATE($F$3,2,1),发票导入!$T$5:$T$2004,"&lt;"&amp;DATE($F$3,2+1,1))+IF($C$3&lt;&gt;"全部",SUMIFS(发票导入!$AK$5:$AK$2004,发票导入!$V$5:$V$2004,"内部",发票导入!$AJ$5:$AJ$2004,$C$3,发票导入!$T$5:$T$2004,"&gt;="&amp;DATE($F$3,2,1),发票导入!$T$5:$T$2004,"&lt;"&amp;DATE($F$3,2+1,1)),0),2)</f>
        <v>0</v>
      </c>
      <c r="H6" s="53">
        <f>ROUND(SUMIFS(发票导入!$AK$5:$AK$2004,发票导入!$V$5:$V$2004,"进项",发票导入!$U$5:$U$2004,IF($C$3="全部","?*",$C$3),发票导入!$T$5:$T$2004,"&gt;="&amp;DATE($F$3,2,1),发票导入!$T$5:$T$2004,"&lt;"&amp;DATE($F$3,2+1,1),发票导入!$Y$5:$Y$2004,"应付"),2)</f>
        <v>0</v>
      </c>
      <c r="I6" s="53">
        <f>ROUND(SUMIFS(发票导入!$AK$5:$AK$2004,发票导入!$V$5:$V$2004,"进项",发票导入!$U$5:$U$2004,IF($C$3="全部","?*",$C$3),发票导入!$T$5:$T$2004,"&gt;="&amp;DATE($F$3,2,1),发票导入!$T$5:$T$2004,"&lt;"&amp;DATE($F$3,2+1,1),发票导入!$Y$5:$Y$2004,"报销票"),2)</f>
        <v>0</v>
      </c>
      <c r="J6" s="53">
        <f>ROUND(SUMIFS(资金台帐!$AD$6:$AD$3005,资金台帐!$U$6:$U$3005,"收入",资金台帐!$BH$6:$BH$3005,IF($C$3="全部","&gt;0",IFERROR(MATCH($C$3,基础资料!$B$5:$B$12,0),-1)),资金台帐!$BG$6:$BG$3005,$F$3*100+2),2)</f>
        <v>0</v>
      </c>
      <c r="K6" s="53">
        <f>ROUND(-(SUMIFS(资金台帐!$AD$6:$AD$3005,资金台帐!$U$6:$U$3005,"变动成本",资金台帐!$BH$6:$BH$3005,IF($C$3="全部","&gt;0",IFERROR(MATCH($C$3,基础资料!$B$5:$B$12,0),-1)),资金台帐!$BG$6:$BG$3005,$F$3*100+2)+SUMIFS(资金台帐!$AD$6:$AD$3005,资金台帐!$U$6:$U$3005,"固定成本",资金台帐!$BH$6:$BH$3005,IF($C$3="全部","&gt;0",IFERROR(MATCH($C$3,基础资料!$B$5:$B$12,0),-1)),资金台帐!$BG$6:$BG$3005,$F$3*100+2)+SUMIFS(资金台帐!$AD$6:$AD$3005,资金台帐!$U$6:$U$3005,"其他支出",资金台帐!$BH$6:$BH$3005,IF($C$3="全部","&gt;0",IFERROR(MATCH($C$3,基础资料!$B$5:$B$12,0),-1)),资金台帐!$BG$6:$BG$3005,$F$3*100+2)),2)</f>
        <v>0</v>
      </c>
      <c r="L6" s="53">
        <f>ROUND(IF($C$3&lt;&gt;"全部",SUMIFS(发票导入!$AK$5:$AK$2004,发票导入!$V$5:$V$2004,"内部",发票导入!$AI$5:$AI$2004,$C$3,发票导入!$T$5:$T$2004,"&gt;="&amp;DATE($F$3,2,1),发票导入!$T$5:$T$2004,"&lt;"&amp;DATE($F$3,2+1,1))+SUMIFS(发票导入!$AK$5:$AK$2004,发票导入!$V$5:$V$2004,"内部",发票导入!$AJ$5:$AJ$2004,$C$3,发票导入!$T$5:$T$2004,"&gt;="&amp;DATE($F$3,2,1),发票导入!$T$5:$T$2004,"&lt;"&amp;DATE($F$3,2+1,1)),SUMIFS(发票导入!$AK$5:$AK$2004,发票导入!$V$5:$V$2004,"内部",发票导入!$T$5:$T$2004,"&gt;="&amp;DATE($F$3,2,1),发票导入!$T$5:$T$2004,"&lt;"&amp;DATE($F$3,2+1,1))),2)</f>
        <v>0</v>
      </c>
    </row>
    <row r="7">
      <c r="A7" s="63" t="inlineStr">
        <is>
          <t>3月</t>
        </is>
      </c>
      <c r="B7" s="86">
        <f>COUNTIFS(发票导入!$V$5:$V$2004,"销项",发票导入!$U$5:$U$2004,IF($C$3="全部","?*",$C$3),发票导入!$T$5:$T$2004,"&gt;="&amp;DATE($F$3,3,1),发票导入!$T$5:$T$2004,"&lt;"&amp;DATE($F$3,3+1,1),发票导入!$AK$5:$AK$2004,"&lt;&gt;0")+IF($C$3&lt;&gt;"全部",COUNTIFS(发票导入!$V$5:$V$2004,"内部",发票导入!$AI$5:$AI$2004,$C$3,发票导入!$T$5:$T$2004,"&gt;="&amp;DATE($F$3,3,1),发票导入!$T$5:$T$2004,"&lt;"&amp;DATE($F$3,3+1,1),发票导入!$AK$5:$AK$2004,"&lt;&gt;0"),0)</f>
        <v>0</v>
      </c>
      <c r="C7" s="53">
        <f>ROUND(SUMIFS(发票导入!$AL$5:$AL$2004,发票导入!$V$5:$V$2004,"销项",发票导入!$U$5:$U$2004,IF($C$3="全部","?*",$C$3),发票导入!$T$5:$T$2004,"&gt;="&amp;DATE($F$3,3,1),发票导入!$T$5:$T$2004,"&lt;"&amp;DATE($F$3,3+1,1))+IF($C$3&lt;&gt;"全部",SUMIFS(发票导入!$AL$5:$AL$2004,发票导入!$V$5:$V$2004,"内部",发票导入!$AI$5:$AI$2004,$C$3,发票导入!$T$5:$T$2004,"&gt;="&amp;DATE($F$3,3,1),发票导入!$T$5:$T$2004,"&lt;"&amp;DATE($F$3,3+1,1)),0),2)</f>
        <v>0</v>
      </c>
      <c r="D7" s="53">
        <f>ROUND(SUMIFS(发票导入!$AM$5:$AM$2004,发票导入!$V$5:$V$2004,"销项",发票导入!$U$5:$U$2004,IF($C$3="全部","?*",$C$3),发票导入!$T$5:$T$2004,"&gt;="&amp;DATE($F$3,3,1),发票导入!$T$5:$T$2004,"&lt;"&amp;DATE($F$3,3+1,1))+IF($C$3&lt;&gt;"全部",SUMIFS(发票导入!$AM$5:$AM$2004,发票导入!$V$5:$V$2004,"内部",发票导入!$AI$5:$AI$2004,$C$3,发票导入!$T$5:$T$2004,"&gt;="&amp;DATE($F$3,3,1),发票导入!$T$5:$T$2004,"&lt;"&amp;DATE($F$3,3+1,1)),0),2)</f>
        <v>0</v>
      </c>
      <c r="E7" s="53">
        <f>ROUND(SUMIFS(发票导入!$AK$5:$AK$2004,发票导入!$V$5:$V$2004,"销项",发票导入!$U$5:$U$2004,IF($C$3="全部","?*",$C$3),发票导入!$T$5:$T$2004,"&gt;="&amp;DATE($F$3,3,1),发票导入!$T$5:$T$2004,"&lt;"&amp;DATE($F$3,3+1,1))+IF($C$3&lt;&gt;"全部",SUMIFS(发票导入!$AK$5:$AK$2004,发票导入!$V$5:$V$2004,"内部",发票导入!$AI$5:$AI$2004,$C$3,发票导入!$T$5:$T$2004,"&gt;="&amp;DATE($F$3,3,1),发票导入!$T$5:$T$2004,"&lt;"&amp;DATE($F$3,3+1,1)),0),2)</f>
        <v>0</v>
      </c>
      <c r="F7" s="86">
        <f>COUNTIFS(发票导入!$V$5:$V$2004,"进项",发票导入!$U$5:$U$2004,IF($C$3="全部","?*",$C$3),发票导入!$T$5:$T$2004,"&gt;="&amp;DATE($F$3,3,1),发票导入!$T$5:$T$2004,"&lt;"&amp;DATE($F$3,3+1,1),发票导入!$AK$5:$AK$2004,"&lt;&gt;0")+IF($C$3&lt;&gt;"全部",COUNTIFS(发票导入!$V$5:$V$2004,"内部",发票导入!$AJ$5:$AJ$2004,$C$3,发票导入!$T$5:$T$2004,"&gt;="&amp;DATE($F$3,3,1),发票导入!$T$5:$T$2004,"&lt;"&amp;DATE($F$3,3+1,1),发票导入!$AK$5:$AK$2004,"&lt;&gt;0"),0)</f>
        <v>0</v>
      </c>
      <c r="G7" s="53">
        <f>ROUND(SUMIFS(发票导入!$AK$5:$AK$2004,发票导入!$V$5:$V$2004,"进项",发票导入!$U$5:$U$2004,IF($C$3="全部","?*",$C$3),发票导入!$T$5:$T$2004,"&gt;="&amp;DATE($F$3,3,1),发票导入!$T$5:$T$2004,"&lt;"&amp;DATE($F$3,3+1,1))+IF($C$3&lt;&gt;"全部",SUMIFS(发票导入!$AK$5:$AK$2004,发票导入!$V$5:$V$2004,"内部",发票导入!$AJ$5:$AJ$2004,$C$3,发票导入!$T$5:$T$2004,"&gt;="&amp;DATE($F$3,3,1),发票导入!$T$5:$T$2004,"&lt;"&amp;DATE($F$3,3+1,1)),0),2)</f>
        <v>0</v>
      </c>
      <c r="H7" s="53">
        <f>ROUND(SUMIFS(发票导入!$AK$5:$AK$2004,发票导入!$V$5:$V$2004,"进项",发票导入!$U$5:$U$2004,IF($C$3="全部","?*",$C$3),发票导入!$T$5:$T$2004,"&gt;="&amp;DATE($F$3,3,1),发票导入!$T$5:$T$2004,"&lt;"&amp;DATE($F$3,3+1,1),发票导入!$Y$5:$Y$2004,"应付"),2)</f>
        <v>0</v>
      </c>
      <c r="I7" s="53">
        <f>ROUND(SUMIFS(发票导入!$AK$5:$AK$2004,发票导入!$V$5:$V$2004,"进项",发票导入!$U$5:$U$2004,IF($C$3="全部","?*",$C$3),发票导入!$T$5:$T$2004,"&gt;="&amp;DATE($F$3,3,1),发票导入!$T$5:$T$2004,"&lt;"&amp;DATE($F$3,3+1,1),发票导入!$Y$5:$Y$2004,"报销票"),2)</f>
        <v>0</v>
      </c>
      <c r="J7" s="53">
        <f>ROUND(SUMIFS(资金台帐!$AD$6:$AD$3005,资金台帐!$U$6:$U$3005,"收入",资金台帐!$BH$6:$BH$3005,IF($C$3="全部","&gt;0",IFERROR(MATCH($C$3,基础资料!$B$5:$B$12,0),-1)),资金台帐!$BG$6:$BG$3005,$F$3*100+3),2)</f>
        <v>0</v>
      </c>
      <c r="K7" s="53">
        <f>ROUND(-(SUMIFS(资金台帐!$AD$6:$AD$3005,资金台帐!$U$6:$U$3005,"变动成本",资金台帐!$BH$6:$BH$3005,IF($C$3="全部","&gt;0",IFERROR(MATCH($C$3,基础资料!$B$5:$B$12,0),-1)),资金台帐!$BG$6:$BG$3005,$F$3*100+3)+SUMIFS(资金台帐!$AD$6:$AD$3005,资金台帐!$U$6:$U$3005,"固定成本",资金台帐!$BH$6:$BH$3005,IF($C$3="全部","&gt;0",IFERROR(MATCH($C$3,基础资料!$B$5:$B$12,0),-1)),资金台帐!$BG$6:$BG$3005,$F$3*100+3)+SUMIFS(资金台帐!$AD$6:$AD$3005,资金台帐!$U$6:$U$3005,"其他支出",资金台帐!$BH$6:$BH$3005,IF($C$3="全部","&gt;0",IFERROR(MATCH($C$3,基础资料!$B$5:$B$12,0),-1)),资金台帐!$BG$6:$BG$3005,$F$3*100+3)),2)</f>
        <v>0</v>
      </c>
      <c r="L7" s="53">
        <f>ROUND(IF($C$3&lt;&gt;"全部",SUMIFS(发票导入!$AK$5:$AK$2004,发票导入!$V$5:$V$2004,"内部",发票导入!$AI$5:$AI$2004,$C$3,发票导入!$T$5:$T$2004,"&gt;="&amp;DATE($F$3,3,1),发票导入!$T$5:$T$2004,"&lt;"&amp;DATE($F$3,3+1,1))+SUMIFS(发票导入!$AK$5:$AK$2004,发票导入!$V$5:$V$2004,"内部",发票导入!$AJ$5:$AJ$2004,$C$3,发票导入!$T$5:$T$2004,"&gt;="&amp;DATE($F$3,3,1),发票导入!$T$5:$T$2004,"&lt;"&amp;DATE($F$3,3+1,1)),SUMIFS(发票导入!$AK$5:$AK$2004,发票导入!$V$5:$V$2004,"内部",发票导入!$T$5:$T$2004,"&gt;="&amp;DATE($F$3,3,1),发票导入!$T$5:$T$2004,"&lt;"&amp;DATE($F$3,3+1,1))),2)</f>
        <v>0</v>
      </c>
    </row>
    <row r="8">
      <c r="A8" s="63" t="inlineStr">
        <is>
          <t>4月</t>
        </is>
      </c>
      <c r="B8" s="86">
        <f>COUNTIFS(发票导入!$V$5:$V$2004,"销项",发票导入!$U$5:$U$2004,IF($C$3="全部","?*",$C$3),发票导入!$T$5:$T$2004,"&gt;="&amp;DATE($F$3,4,1),发票导入!$T$5:$T$2004,"&lt;"&amp;DATE($F$3,4+1,1),发票导入!$AK$5:$AK$2004,"&lt;&gt;0")+IF($C$3&lt;&gt;"全部",COUNTIFS(发票导入!$V$5:$V$2004,"内部",发票导入!$AI$5:$AI$2004,$C$3,发票导入!$T$5:$T$2004,"&gt;="&amp;DATE($F$3,4,1),发票导入!$T$5:$T$2004,"&lt;"&amp;DATE($F$3,4+1,1),发票导入!$AK$5:$AK$2004,"&lt;&gt;0"),0)</f>
        <v>0</v>
      </c>
      <c r="C8" s="53">
        <f>ROUND(SUMIFS(发票导入!$AL$5:$AL$2004,发票导入!$V$5:$V$2004,"销项",发票导入!$U$5:$U$2004,IF($C$3="全部","?*",$C$3),发票导入!$T$5:$T$2004,"&gt;="&amp;DATE($F$3,4,1),发票导入!$T$5:$T$2004,"&lt;"&amp;DATE($F$3,4+1,1))+IF($C$3&lt;&gt;"全部",SUMIFS(发票导入!$AL$5:$AL$2004,发票导入!$V$5:$V$2004,"内部",发票导入!$AI$5:$AI$2004,$C$3,发票导入!$T$5:$T$2004,"&gt;="&amp;DATE($F$3,4,1),发票导入!$T$5:$T$2004,"&lt;"&amp;DATE($F$3,4+1,1)),0),2)</f>
        <v>0</v>
      </c>
      <c r="D8" s="53">
        <f>ROUND(SUMIFS(发票导入!$AM$5:$AM$2004,发票导入!$V$5:$V$2004,"销项",发票导入!$U$5:$U$2004,IF($C$3="全部","?*",$C$3),发票导入!$T$5:$T$2004,"&gt;="&amp;DATE($F$3,4,1),发票导入!$T$5:$T$2004,"&lt;"&amp;DATE($F$3,4+1,1))+IF($C$3&lt;&gt;"全部",SUMIFS(发票导入!$AM$5:$AM$2004,发票导入!$V$5:$V$2004,"内部",发票导入!$AI$5:$AI$2004,$C$3,发票导入!$T$5:$T$2004,"&gt;="&amp;DATE($F$3,4,1),发票导入!$T$5:$T$2004,"&lt;"&amp;DATE($F$3,4+1,1)),0),2)</f>
        <v>0</v>
      </c>
      <c r="E8" s="53">
        <f>ROUND(SUMIFS(发票导入!$AK$5:$AK$2004,发票导入!$V$5:$V$2004,"销项",发票导入!$U$5:$U$2004,IF($C$3="全部","?*",$C$3),发票导入!$T$5:$T$2004,"&gt;="&amp;DATE($F$3,4,1),发票导入!$T$5:$T$2004,"&lt;"&amp;DATE($F$3,4+1,1))+IF($C$3&lt;&gt;"全部",SUMIFS(发票导入!$AK$5:$AK$2004,发票导入!$V$5:$V$2004,"内部",发票导入!$AI$5:$AI$2004,$C$3,发票导入!$T$5:$T$2004,"&gt;="&amp;DATE($F$3,4,1),发票导入!$T$5:$T$2004,"&lt;"&amp;DATE($F$3,4+1,1)),0),2)</f>
        <v>0</v>
      </c>
      <c r="F8" s="86">
        <f>COUNTIFS(发票导入!$V$5:$V$2004,"进项",发票导入!$U$5:$U$2004,IF($C$3="全部","?*",$C$3),发票导入!$T$5:$T$2004,"&gt;="&amp;DATE($F$3,4,1),发票导入!$T$5:$T$2004,"&lt;"&amp;DATE($F$3,4+1,1),发票导入!$AK$5:$AK$2004,"&lt;&gt;0")+IF($C$3&lt;&gt;"全部",COUNTIFS(发票导入!$V$5:$V$2004,"内部",发票导入!$AJ$5:$AJ$2004,$C$3,发票导入!$T$5:$T$2004,"&gt;="&amp;DATE($F$3,4,1),发票导入!$T$5:$T$2004,"&lt;"&amp;DATE($F$3,4+1,1),发票导入!$AK$5:$AK$2004,"&lt;&gt;0"),0)</f>
        <v>0</v>
      </c>
      <c r="G8" s="53">
        <f>ROUND(SUMIFS(发票导入!$AK$5:$AK$2004,发票导入!$V$5:$V$2004,"进项",发票导入!$U$5:$U$2004,IF($C$3="全部","?*",$C$3),发票导入!$T$5:$T$2004,"&gt;="&amp;DATE($F$3,4,1),发票导入!$T$5:$T$2004,"&lt;"&amp;DATE($F$3,4+1,1))+IF($C$3&lt;&gt;"全部",SUMIFS(发票导入!$AK$5:$AK$2004,发票导入!$V$5:$V$2004,"内部",发票导入!$AJ$5:$AJ$2004,$C$3,发票导入!$T$5:$T$2004,"&gt;="&amp;DATE($F$3,4,1),发票导入!$T$5:$T$2004,"&lt;"&amp;DATE($F$3,4+1,1)),0),2)</f>
        <v>0</v>
      </c>
      <c r="H8" s="53">
        <f>ROUND(SUMIFS(发票导入!$AK$5:$AK$2004,发票导入!$V$5:$V$2004,"进项",发票导入!$U$5:$U$2004,IF($C$3="全部","?*",$C$3),发票导入!$T$5:$T$2004,"&gt;="&amp;DATE($F$3,4,1),发票导入!$T$5:$T$2004,"&lt;"&amp;DATE($F$3,4+1,1),发票导入!$Y$5:$Y$2004,"应付"),2)</f>
        <v>0</v>
      </c>
      <c r="I8" s="53">
        <f>ROUND(SUMIFS(发票导入!$AK$5:$AK$2004,发票导入!$V$5:$V$2004,"进项",发票导入!$U$5:$U$2004,IF($C$3="全部","?*",$C$3),发票导入!$T$5:$T$2004,"&gt;="&amp;DATE($F$3,4,1),发票导入!$T$5:$T$2004,"&lt;"&amp;DATE($F$3,4+1,1),发票导入!$Y$5:$Y$2004,"报销票"),2)</f>
        <v>0</v>
      </c>
      <c r="J8" s="53">
        <f>ROUND(SUMIFS(资金台帐!$AD$6:$AD$3005,资金台帐!$U$6:$U$3005,"收入",资金台帐!$BH$6:$BH$3005,IF($C$3="全部","&gt;0",IFERROR(MATCH($C$3,基础资料!$B$5:$B$12,0),-1)),资金台帐!$BG$6:$BG$3005,$F$3*100+4),2)</f>
        <v>0</v>
      </c>
      <c r="K8" s="53">
        <f>ROUND(-(SUMIFS(资金台帐!$AD$6:$AD$3005,资金台帐!$U$6:$U$3005,"变动成本",资金台帐!$BH$6:$BH$3005,IF($C$3="全部","&gt;0",IFERROR(MATCH($C$3,基础资料!$B$5:$B$12,0),-1)),资金台帐!$BG$6:$BG$3005,$F$3*100+4)+SUMIFS(资金台帐!$AD$6:$AD$3005,资金台帐!$U$6:$U$3005,"固定成本",资金台帐!$BH$6:$BH$3005,IF($C$3="全部","&gt;0",IFERROR(MATCH($C$3,基础资料!$B$5:$B$12,0),-1)),资金台帐!$BG$6:$BG$3005,$F$3*100+4)+SUMIFS(资金台帐!$AD$6:$AD$3005,资金台帐!$U$6:$U$3005,"其他支出",资金台帐!$BH$6:$BH$3005,IF($C$3="全部","&gt;0",IFERROR(MATCH($C$3,基础资料!$B$5:$B$12,0),-1)),资金台帐!$BG$6:$BG$3005,$F$3*100+4)),2)</f>
        <v>0</v>
      </c>
      <c r="L8" s="53">
        <f>ROUND(IF($C$3&lt;&gt;"全部",SUMIFS(发票导入!$AK$5:$AK$2004,发票导入!$V$5:$V$2004,"内部",发票导入!$AI$5:$AI$2004,$C$3,发票导入!$T$5:$T$2004,"&gt;="&amp;DATE($F$3,4,1),发票导入!$T$5:$T$2004,"&lt;"&amp;DATE($F$3,4+1,1))+SUMIFS(发票导入!$AK$5:$AK$2004,发票导入!$V$5:$V$2004,"内部",发票导入!$AJ$5:$AJ$2004,$C$3,发票导入!$T$5:$T$2004,"&gt;="&amp;DATE($F$3,4,1),发票导入!$T$5:$T$2004,"&lt;"&amp;DATE($F$3,4+1,1)),SUMIFS(发票导入!$AK$5:$AK$2004,发票导入!$V$5:$V$2004,"内部",发票导入!$T$5:$T$2004,"&gt;="&amp;DATE($F$3,4,1),发票导入!$T$5:$T$2004,"&lt;"&amp;DATE($F$3,4+1,1))),2)</f>
        <v>0</v>
      </c>
    </row>
    <row r="9">
      <c r="A9" s="63" t="inlineStr">
        <is>
          <t>5月</t>
        </is>
      </c>
      <c r="B9" s="86">
        <f>COUNTIFS(发票导入!$V$5:$V$2004,"销项",发票导入!$U$5:$U$2004,IF($C$3="全部","?*",$C$3),发票导入!$T$5:$T$2004,"&gt;="&amp;DATE($F$3,5,1),发票导入!$T$5:$T$2004,"&lt;"&amp;DATE($F$3,5+1,1),发票导入!$AK$5:$AK$2004,"&lt;&gt;0")+IF($C$3&lt;&gt;"全部",COUNTIFS(发票导入!$V$5:$V$2004,"内部",发票导入!$AI$5:$AI$2004,$C$3,发票导入!$T$5:$T$2004,"&gt;="&amp;DATE($F$3,5,1),发票导入!$T$5:$T$2004,"&lt;"&amp;DATE($F$3,5+1,1),发票导入!$AK$5:$AK$2004,"&lt;&gt;0"),0)</f>
        <v>0</v>
      </c>
      <c r="C9" s="53">
        <f>ROUND(SUMIFS(发票导入!$AL$5:$AL$2004,发票导入!$V$5:$V$2004,"销项",发票导入!$U$5:$U$2004,IF($C$3="全部","?*",$C$3),发票导入!$T$5:$T$2004,"&gt;="&amp;DATE($F$3,5,1),发票导入!$T$5:$T$2004,"&lt;"&amp;DATE($F$3,5+1,1))+IF($C$3&lt;&gt;"全部",SUMIFS(发票导入!$AL$5:$AL$2004,发票导入!$V$5:$V$2004,"内部",发票导入!$AI$5:$AI$2004,$C$3,发票导入!$T$5:$T$2004,"&gt;="&amp;DATE($F$3,5,1),发票导入!$T$5:$T$2004,"&lt;"&amp;DATE($F$3,5+1,1)),0),2)</f>
        <v>0</v>
      </c>
      <c r="D9" s="53">
        <f>ROUND(SUMIFS(发票导入!$AM$5:$AM$2004,发票导入!$V$5:$V$2004,"销项",发票导入!$U$5:$U$2004,IF($C$3="全部","?*",$C$3),发票导入!$T$5:$T$2004,"&gt;="&amp;DATE($F$3,5,1),发票导入!$T$5:$T$2004,"&lt;"&amp;DATE($F$3,5+1,1))+IF($C$3&lt;&gt;"全部",SUMIFS(发票导入!$AM$5:$AM$2004,发票导入!$V$5:$V$2004,"内部",发票导入!$AI$5:$AI$2004,$C$3,发票导入!$T$5:$T$2004,"&gt;="&amp;DATE($F$3,5,1),发票导入!$T$5:$T$2004,"&lt;"&amp;DATE($F$3,5+1,1)),0),2)</f>
        <v>0</v>
      </c>
      <c r="E9" s="53">
        <f>ROUND(SUMIFS(发票导入!$AK$5:$AK$2004,发票导入!$V$5:$V$2004,"销项",发票导入!$U$5:$U$2004,IF($C$3="全部","?*",$C$3),发票导入!$T$5:$T$2004,"&gt;="&amp;DATE($F$3,5,1),发票导入!$T$5:$T$2004,"&lt;"&amp;DATE($F$3,5+1,1))+IF($C$3&lt;&gt;"全部",SUMIFS(发票导入!$AK$5:$AK$2004,发票导入!$V$5:$V$2004,"内部",发票导入!$AI$5:$AI$2004,$C$3,发票导入!$T$5:$T$2004,"&gt;="&amp;DATE($F$3,5,1),发票导入!$T$5:$T$2004,"&lt;"&amp;DATE($F$3,5+1,1)),0),2)</f>
        <v>0</v>
      </c>
      <c r="F9" s="86">
        <f>COUNTIFS(发票导入!$V$5:$V$2004,"进项",发票导入!$U$5:$U$2004,IF($C$3="全部","?*",$C$3),发票导入!$T$5:$T$2004,"&gt;="&amp;DATE($F$3,5,1),发票导入!$T$5:$T$2004,"&lt;"&amp;DATE($F$3,5+1,1),发票导入!$AK$5:$AK$2004,"&lt;&gt;0")+IF($C$3&lt;&gt;"全部",COUNTIFS(发票导入!$V$5:$V$2004,"内部",发票导入!$AJ$5:$AJ$2004,$C$3,发票导入!$T$5:$T$2004,"&gt;="&amp;DATE($F$3,5,1),发票导入!$T$5:$T$2004,"&lt;"&amp;DATE($F$3,5+1,1),发票导入!$AK$5:$AK$2004,"&lt;&gt;0"),0)</f>
        <v>0</v>
      </c>
      <c r="G9" s="53">
        <f>ROUND(SUMIFS(发票导入!$AK$5:$AK$2004,发票导入!$V$5:$V$2004,"进项",发票导入!$U$5:$U$2004,IF($C$3="全部","?*",$C$3),发票导入!$T$5:$T$2004,"&gt;="&amp;DATE($F$3,5,1),发票导入!$T$5:$T$2004,"&lt;"&amp;DATE($F$3,5+1,1))+IF($C$3&lt;&gt;"全部",SUMIFS(发票导入!$AK$5:$AK$2004,发票导入!$V$5:$V$2004,"内部",发票导入!$AJ$5:$AJ$2004,$C$3,发票导入!$T$5:$T$2004,"&gt;="&amp;DATE($F$3,5,1),发票导入!$T$5:$T$2004,"&lt;"&amp;DATE($F$3,5+1,1)),0),2)</f>
        <v>0</v>
      </c>
      <c r="H9" s="53">
        <f>ROUND(SUMIFS(发票导入!$AK$5:$AK$2004,发票导入!$V$5:$V$2004,"进项",发票导入!$U$5:$U$2004,IF($C$3="全部","?*",$C$3),发票导入!$T$5:$T$2004,"&gt;="&amp;DATE($F$3,5,1),发票导入!$T$5:$T$2004,"&lt;"&amp;DATE($F$3,5+1,1),发票导入!$Y$5:$Y$2004,"应付"),2)</f>
        <v>0</v>
      </c>
      <c r="I9" s="53">
        <f>ROUND(SUMIFS(发票导入!$AK$5:$AK$2004,发票导入!$V$5:$V$2004,"进项",发票导入!$U$5:$U$2004,IF($C$3="全部","?*",$C$3),发票导入!$T$5:$T$2004,"&gt;="&amp;DATE($F$3,5,1),发票导入!$T$5:$T$2004,"&lt;"&amp;DATE($F$3,5+1,1),发票导入!$Y$5:$Y$2004,"报销票"),2)</f>
        <v>0</v>
      </c>
      <c r="J9" s="53">
        <f>ROUND(SUMIFS(资金台帐!$AD$6:$AD$3005,资金台帐!$U$6:$U$3005,"收入",资金台帐!$BH$6:$BH$3005,IF($C$3="全部","&gt;0",IFERROR(MATCH($C$3,基础资料!$B$5:$B$12,0),-1)),资金台帐!$BG$6:$BG$3005,$F$3*100+5),2)</f>
        <v>0</v>
      </c>
      <c r="K9" s="53">
        <f>ROUND(-(SUMIFS(资金台帐!$AD$6:$AD$3005,资金台帐!$U$6:$U$3005,"变动成本",资金台帐!$BH$6:$BH$3005,IF($C$3="全部","&gt;0",IFERROR(MATCH($C$3,基础资料!$B$5:$B$12,0),-1)),资金台帐!$BG$6:$BG$3005,$F$3*100+5)+SUMIFS(资金台帐!$AD$6:$AD$3005,资金台帐!$U$6:$U$3005,"固定成本",资金台帐!$BH$6:$BH$3005,IF($C$3="全部","&gt;0",IFERROR(MATCH($C$3,基础资料!$B$5:$B$12,0),-1)),资金台帐!$BG$6:$BG$3005,$F$3*100+5)+SUMIFS(资金台帐!$AD$6:$AD$3005,资金台帐!$U$6:$U$3005,"其他支出",资金台帐!$BH$6:$BH$3005,IF($C$3="全部","&gt;0",IFERROR(MATCH($C$3,基础资料!$B$5:$B$12,0),-1)),资金台帐!$BG$6:$BG$3005,$F$3*100+5)),2)</f>
        <v>18.75</v>
      </c>
      <c r="L9" s="53">
        <f>ROUND(IF($C$3&lt;&gt;"全部",SUMIFS(发票导入!$AK$5:$AK$2004,发票导入!$V$5:$V$2004,"内部",发票导入!$AI$5:$AI$2004,$C$3,发票导入!$T$5:$T$2004,"&gt;="&amp;DATE($F$3,5,1),发票导入!$T$5:$T$2004,"&lt;"&amp;DATE($F$3,5+1,1))+SUMIFS(发票导入!$AK$5:$AK$2004,发票导入!$V$5:$V$2004,"内部",发票导入!$AJ$5:$AJ$2004,$C$3,发票导入!$T$5:$T$2004,"&gt;="&amp;DATE($F$3,5,1),发票导入!$T$5:$T$2004,"&lt;"&amp;DATE($F$3,5+1,1)),SUMIFS(发票导入!$AK$5:$AK$2004,发票导入!$V$5:$V$2004,"内部",发票导入!$T$5:$T$2004,"&gt;="&amp;DATE($F$3,5,1),发票导入!$T$5:$T$2004,"&lt;"&amp;DATE($F$3,5+1,1))),2)</f>
        <v>0</v>
      </c>
    </row>
    <row r="10">
      <c r="A10" s="63" t="inlineStr">
        <is>
          <t>6月</t>
        </is>
      </c>
      <c r="B10" s="86">
        <f>COUNTIFS(发票导入!$V$5:$V$2004,"销项",发票导入!$U$5:$U$2004,IF($C$3="全部","?*",$C$3),发票导入!$T$5:$T$2004,"&gt;="&amp;DATE($F$3,6,1),发票导入!$T$5:$T$2004,"&lt;"&amp;DATE($F$3,6+1,1),发票导入!$AK$5:$AK$2004,"&lt;&gt;0")+IF($C$3&lt;&gt;"全部",COUNTIFS(发票导入!$V$5:$V$2004,"内部",发票导入!$AI$5:$AI$2004,$C$3,发票导入!$T$5:$T$2004,"&gt;="&amp;DATE($F$3,6,1),发票导入!$T$5:$T$2004,"&lt;"&amp;DATE($F$3,6+1,1),发票导入!$AK$5:$AK$2004,"&lt;&gt;0"),0)</f>
        <v>0</v>
      </c>
      <c r="C10" s="53">
        <f>ROUND(SUMIFS(发票导入!$AL$5:$AL$2004,发票导入!$V$5:$V$2004,"销项",发票导入!$U$5:$U$2004,IF($C$3="全部","?*",$C$3),发票导入!$T$5:$T$2004,"&gt;="&amp;DATE($F$3,6,1),发票导入!$T$5:$T$2004,"&lt;"&amp;DATE($F$3,6+1,1))+IF($C$3&lt;&gt;"全部",SUMIFS(发票导入!$AL$5:$AL$2004,发票导入!$V$5:$V$2004,"内部",发票导入!$AI$5:$AI$2004,$C$3,发票导入!$T$5:$T$2004,"&gt;="&amp;DATE($F$3,6,1),发票导入!$T$5:$T$2004,"&lt;"&amp;DATE($F$3,6+1,1)),0),2)</f>
        <v>0</v>
      </c>
      <c r="D10" s="53">
        <f>ROUND(SUMIFS(发票导入!$AM$5:$AM$2004,发票导入!$V$5:$V$2004,"销项",发票导入!$U$5:$U$2004,IF($C$3="全部","?*",$C$3),发票导入!$T$5:$T$2004,"&gt;="&amp;DATE($F$3,6,1),发票导入!$T$5:$T$2004,"&lt;"&amp;DATE($F$3,6+1,1))+IF($C$3&lt;&gt;"全部",SUMIFS(发票导入!$AM$5:$AM$2004,发票导入!$V$5:$V$2004,"内部",发票导入!$AI$5:$AI$2004,$C$3,发票导入!$T$5:$T$2004,"&gt;="&amp;DATE($F$3,6,1),发票导入!$T$5:$T$2004,"&lt;"&amp;DATE($F$3,6+1,1)),0),2)</f>
        <v>0</v>
      </c>
      <c r="E10" s="53">
        <f>ROUND(SUMIFS(发票导入!$AK$5:$AK$2004,发票导入!$V$5:$V$2004,"销项",发票导入!$U$5:$U$2004,IF($C$3="全部","?*",$C$3),发票导入!$T$5:$T$2004,"&gt;="&amp;DATE($F$3,6,1),发票导入!$T$5:$T$2004,"&lt;"&amp;DATE($F$3,6+1,1))+IF($C$3&lt;&gt;"全部",SUMIFS(发票导入!$AK$5:$AK$2004,发票导入!$V$5:$V$2004,"内部",发票导入!$AI$5:$AI$2004,$C$3,发票导入!$T$5:$T$2004,"&gt;="&amp;DATE($F$3,6,1),发票导入!$T$5:$T$2004,"&lt;"&amp;DATE($F$3,6+1,1)),0),2)</f>
        <v>0</v>
      </c>
      <c r="F10" s="86">
        <f>COUNTIFS(发票导入!$V$5:$V$2004,"进项",发票导入!$U$5:$U$2004,IF($C$3="全部","?*",$C$3),发票导入!$T$5:$T$2004,"&gt;="&amp;DATE($F$3,6,1),发票导入!$T$5:$T$2004,"&lt;"&amp;DATE($F$3,6+1,1),发票导入!$AK$5:$AK$2004,"&lt;&gt;0")+IF($C$3&lt;&gt;"全部",COUNTIFS(发票导入!$V$5:$V$2004,"内部",发票导入!$AJ$5:$AJ$2004,$C$3,发票导入!$T$5:$T$2004,"&gt;="&amp;DATE($F$3,6,1),发票导入!$T$5:$T$2004,"&lt;"&amp;DATE($F$3,6+1,1),发票导入!$AK$5:$AK$2004,"&lt;&gt;0"),0)</f>
        <v>0</v>
      </c>
      <c r="G10" s="53">
        <f>ROUND(SUMIFS(发票导入!$AK$5:$AK$2004,发票导入!$V$5:$V$2004,"进项",发票导入!$U$5:$U$2004,IF($C$3="全部","?*",$C$3),发票导入!$T$5:$T$2004,"&gt;="&amp;DATE($F$3,6,1),发票导入!$T$5:$T$2004,"&lt;"&amp;DATE($F$3,6+1,1))+IF($C$3&lt;&gt;"全部",SUMIFS(发票导入!$AK$5:$AK$2004,发票导入!$V$5:$V$2004,"内部",发票导入!$AJ$5:$AJ$2004,$C$3,发票导入!$T$5:$T$2004,"&gt;="&amp;DATE($F$3,6,1),发票导入!$T$5:$T$2004,"&lt;"&amp;DATE($F$3,6+1,1)),0),2)</f>
        <v>0</v>
      </c>
      <c r="H10" s="53">
        <f>ROUND(SUMIFS(发票导入!$AK$5:$AK$2004,发票导入!$V$5:$V$2004,"进项",发票导入!$U$5:$U$2004,IF($C$3="全部","?*",$C$3),发票导入!$T$5:$T$2004,"&gt;="&amp;DATE($F$3,6,1),发票导入!$T$5:$T$2004,"&lt;"&amp;DATE($F$3,6+1,1),发票导入!$Y$5:$Y$2004,"应付"),2)</f>
        <v>0</v>
      </c>
      <c r="I10" s="53">
        <f>ROUND(SUMIFS(发票导入!$AK$5:$AK$2004,发票导入!$V$5:$V$2004,"进项",发票导入!$U$5:$U$2004,IF($C$3="全部","?*",$C$3),发票导入!$T$5:$T$2004,"&gt;="&amp;DATE($F$3,6,1),发票导入!$T$5:$T$2004,"&lt;"&amp;DATE($F$3,6+1,1),发票导入!$Y$5:$Y$2004,"报销票"),2)</f>
        <v>0</v>
      </c>
      <c r="J10" s="53">
        <f>ROUND(SUMIFS(资金台帐!$AD$6:$AD$3005,资金台帐!$U$6:$U$3005,"收入",资金台帐!$BH$6:$BH$3005,IF($C$3="全部","&gt;0",IFERROR(MATCH($C$3,基础资料!$B$5:$B$12,0),-1)),资金台帐!$BG$6:$BG$3005,$F$3*100+6),2)</f>
        <v>131613.62</v>
      </c>
      <c r="K10" s="53">
        <f>ROUND(-(SUMIFS(资金台帐!$AD$6:$AD$3005,资金台帐!$U$6:$U$3005,"变动成本",资金台帐!$BH$6:$BH$3005,IF($C$3="全部","&gt;0",IFERROR(MATCH($C$3,基础资料!$B$5:$B$12,0),-1)),资金台帐!$BG$6:$BG$3005,$F$3*100+6)+SUMIFS(资金台帐!$AD$6:$AD$3005,资金台帐!$U$6:$U$3005,"固定成本",资金台帐!$BH$6:$BH$3005,IF($C$3="全部","&gt;0",IFERROR(MATCH($C$3,基础资料!$B$5:$B$12,0),-1)),资金台帐!$BG$6:$BG$3005,$F$3*100+6)+SUMIFS(资金台帐!$AD$6:$AD$3005,资金台帐!$U$6:$U$3005,"其他支出",资金台帐!$BH$6:$BH$3005,IF($C$3="全部","&gt;0",IFERROR(MATCH($C$3,基础资料!$B$5:$B$12,0),-1)),资金台帐!$BG$6:$BG$3005,$F$3*100+6)),2)</f>
        <v>40982.76</v>
      </c>
      <c r="L10" s="53">
        <f>ROUND(IF($C$3&lt;&gt;"全部",SUMIFS(发票导入!$AK$5:$AK$2004,发票导入!$V$5:$V$2004,"内部",发票导入!$AI$5:$AI$2004,$C$3,发票导入!$T$5:$T$2004,"&gt;="&amp;DATE($F$3,6,1),发票导入!$T$5:$T$2004,"&lt;"&amp;DATE($F$3,6+1,1))+SUMIFS(发票导入!$AK$5:$AK$2004,发票导入!$V$5:$V$2004,"内部",发票导入!$AJ$5:$AJ$2004,$C$3,发票导入!$T$5:$T$2004,"&gt;="&amp;DATE($F$3,6,1),发票导入!$T$5:$T$2004,"&lt;"&amp;DATE($F$3,6+1,1)),SUMIFS(发票导入!$AK$5:$AK$2004,发票导入!$V$5:$V$2004,"内部",发票导入!$T$5:$T$2004,"&gt;="&amp;DATE($F$3,6,1),发票导入!$T$5:$T$2004,"&lt;"&amp;DATE($F$3,6+1,1))),2)</f>
        <v>0</v>
      </c>
    </row>
    <row r="11">
      <c r="A11" s="63" t="inlineStr">
        <is>
          <t>7月</t>
        </is>
      </c>
      <c r="B11" s="86">
        <f>COUNTIFS(发票导入!$V$5:$V$2004,"销项",发票导入!$U$5:$U$2004,IF($C$3="全部","?*",$C$3),发票导入!$T$5:$T$2004,"&gt;="&amp;DATE($F$3,7,1),发票导入!$T$5:$T$2004,"&lt;"&amp;DATE($F$3,7+1,1),发票导入!$AK$5:$AK$2004,"&lt;&gt;0")+IF($C$3&lt;&gt;"全部",COUNTIFS(发票导入!$V$5:$V$2004,"内部",发票导入!$AI$5:$AI$2004,$C$3,发票导入!$T$5:$T$2004,"&gt;="&amp;DATE($F$3,7,1),发票导入!$T$5:$T$2004,"&lt;"&amp;DATE($F$3,7+1,1),发票导入!$AK$5:$AK$2004,"&lt;&gt;0"),0)</f>
        <v>0</v>
      </c>
      <c r="C11" s="53">
        <f>ROUND(SUMIFS(发票导入!$AL$5:$AL$2004,发票导入!$V$5:$V$2004,"销项",发票导入!$U$5:$U$2004,IF($C$3="全部","?*",$C$3),发票导入!$T$5:$T$2004,"&gt;="&amp;DATE($F$3,7,1),发票导入!$T$5:$T$2004,"&lt;"&amp;DATE($F$3,7+1,1))+IF($C$3&lt;&gt;"全部",SUMIFS(发票导入!$AL$5:$AL$2004,发票导入!$V$5:$V$2004,"内部",发票导入!$AI$5:$AI$2004,$C$3,发票导入!$T$5:$T$2004,"&gt;="&amp;DATE($F$3,7,1),发票导入!$T$5:$T$2004,"&lt;"&amp;DATE($F$3,7+1,1)),0),2)</f>
        <v>0</v>
      </c>
      <c r="D11" s="53">
        <f>ROUND(SUMIFS(发票导入!$AM$5:$AM$2004,发票导入!$V$5:$V$2004,"销项",发票导入!$U$5:$U$2004,IF($C$3="全部","?*",$C$3),发票导入!$T$5:$T$2004,"&gt;="&amp;DATE($F$3,7,1),发票导入!$T$5:$T$2004,"&lt;"&amp;DATE($F$3,7+1,1))+IF($C$3&lt;&gt;"全部",SUMIFS(发票导入!$AM$5:$AM$2004,发票导入!$V$5:$V$2004,"内部",发票导入!$AI$5:$AI$2004,$C$3,发票导入!$T$5:$T$2004,"&gt;="&amp;DATE($F$3,7,1),发票导入!$T$5:$T$2004,"&lt;"&amp;DATE($F$3,7+1,1)),0),2)</f>
        <v>0</v>
      </c>
      <c r="E11" s="53">
        <f>ROUND(SUMIFS(发票导入!$AK$5:$AK$2004,发票导入!$V$5:$V$2004,"销项",发票导入!$U$5:$U$2004,IF($C$3="全部","?*",$C$3),发票导入!$T$5:$T$2004,"&gt;="&amp;DATE($F$3,7,1),发票导入!$T$5:$T$2004,"&lt;"&amp;DATE($F$3,7+1,1))+IF($C$3&lt;&gt;"全部",SUMIFS(发票导入!$AK$5:$AK$2004,发票导入!$V$5:$V$2004,"内部",发票导入!$AI$5:$AI$2004,$C$3,发票导入!$T$5:$T$2004,"&gt;="&amp;DATE($F$3,7,1),发票导入!$T$5:$T$2004,"&lt;"&amp;DATE($F$3,7+1,1)),0),2)</f>
        <v>0</v>
      </c>
      <c r="F11" s="86">
        <f>COUNTIFS(发票导入!$V$5:$V$2004,"进项",发票导入!$U$5:$U$2004,IF($C$3="全部","?*",$C$3),发票导入!$T$5:$T$2004,"&gt;="&amp;DATE($F$3,7,1),发票导入!$T$5:$T$2004,"&lt;"&amp;DATE($F$3,7+1,1),发票导入!$AK$5:$AK$2004,"&lt;&gt;0")+IF($C$3&lt;&gt;"全部",COUNTIFS(发票导入!$V$5:$V$2004,"内部",发票导入!$AJ$5:$AJ$2004,$C$3,发票导入!$T$5:$T$2004,"&gt;="&amp;DATE($F$3,7,1),发票导入!$T$5:$T$2004,"&lt;"&amp;DATE($F$3,7+1,1),发票导入!$AK$5:$AK$2004,"&lt;&gt;0"),0)</f>
        <v>16</v>
      </c>
      <c r="G11" s="53">
        <f>ROUND(SUMIFS(发票导入!$AK$5:$AK$2004,发票导入!$V$5:$V$2004,"进项",发票导入!$U$5:$U$2004,IF($C$3="全部","?*",$C$3),发票导入!$T$5:$T$2004,"&gt;="&amp;DATE($F$3,7,1),发票导入!$T$5:$T$2004,"&lt;"&amp;DATE($F$3,7+1,1))+IF($C$3&lt;&gt;"全部",SUMIFS(发票导入!$AK$5:$AK$2004,发票导入!$V$5:$V$2004,"内部",发票导入!$AJ$5:$AJ$2004,$C$3,发票导入!$T$5:$T$2004,"&gt;="&amp;DATE($F$3,7,1),发票导入!$T$5:$T$2004,"&lt;"&amp;DATE($F$3,7+1,1)),0),2)</f>
        <v>8799.97</v>
      </c>
      <c r="H11" s="53">
        <f>ROUND(SUMIFS(发票导入!$AK$5:$AK$2004,发票导入!$V$5:$V$2004,"进项",发票导入!$U$5:$U$2004,IF($C$3="全部","?*",$C$3),发票导入!$T$5:$T$2004,"&gt;="&amp;DATE($F$3,7,1),发票导入!$T$5:$T$2004,"&lt;"&amp;DATE($F$3,7+1,1),发票导入!$Y$5:$Y$2004,"应付"),2)</f>
        <v>199</v>
      </c>
      <c r="I11" s="53">
        <f>ROUND(SUMIFS(发票导入!$AK$5:$AK$2004,发票导入!$V$5:$V$2004,"进项",发票导入!$U$5:$U$2004,IF($C$3="全部","?*",$C$3),发票导入!$T$5:$T$2004,"&gt;="&amp;DATE($F$3,7,1),发票导入!$T$5:$T$2004,"&lt;"&amp;DATE($F$3,7+1,1),发票导入!$Y$5:$Y$2004,"报销票"),2)</f>
        <v>8600.97</v>
      </c>
      <c r="J11" s="53">
        <f>ROUND(SUMIFS(资金台帐!$AD$6:$AD$3005,资金台帐!$U$6:$U$3005,"收入",资金台帐!$BH$6:$BH$3005,IF($C$3="全部","&gt;0",IFERROR(MATCH($C$3,基础资料!$B$5:$B$12,0),-1)),资金台帐!$BG$6:$BG$3005,$F$3*100+7),2)</f>
        <v>0</v>
      </c>
      <c r="K11" s="53">
        <f>ROUND(-(SUMIFS(资金台帐!$AD$6:$AD$3005,资金台帐!$U$6:$U$3005,"变动成本",资金台帐!$BH$6:$BH$3005,IF($C$3="全部","&gt;0",IFERROR(MATCH($C$3,基础资料!$B$5:$B$12,0),-1)),资金台帐!$BG$6:$BG$3005,$F$3*100+7)+SUMIFS(资金台帐!$AD$6:$AD$3005,资金台帐!$U$6:$U$3005,"固定成本",资金台帐!$BH$6:$BH$3005,IF($C$3="全部","&gt;0",IFERROR(MATCH($C$3,基础资料!$B$5:$B$12,0),-1)),资金台帐!$BG$6:$BG$3005,$F$3*100+7)+SUMIFS(资金台帐!$AD$6:$AD$3005,资金台帐!$U$6:$U$3005,"其他支出",资金台帐!$BH$6:$BH$3005,IF($C$3="全部","&gt;0",IFERROR(MATCH($C$3,基础资料!$B$5:$B$12,0),-1)),资金台帐!$BG$6:$BG$3005,$F$3*100+7)),2)</f>
        <v>2951.42</v>
      </c>
      <c r="L11" s="53">
        <f>ROUND(IF($C$3&lt;&gt;"全部",SUMIFS(发票导入!$AK$5:$AK$2004,发票导入!$V$5:$V$2004,"内部",发票导入!$AI$5:$AI$2004,$C$3,发票导入!$T$5:$T$2004,"&gt;="&amp;DATE($F$3,7,1),发票导入!$T$5:$T$2004,"&lt;"&amp;DATE($F$3,7+1,1))+SUMIFS(发票导入!$AK$5:$AK$2004,发票导入!$V$5:$V$2004,"内部",发票导入!$AJ$5:$AJ$2004,$C$3,发票导入!$T$5:$T$2004,"&gt;="&amp;DATE($F$3,7,1),发票导入!$T$5:$T$2004,"&lt;"&amp;DATE($F$3,7+1,1)),SUMIFS(发票导入!$AK$5:$AK$2004,发票导入!$V$5:$V$2004,"内部",发票导入!$T$5:$T$2004,"&gt;="&amp;DATE($F$3,7,1),发票导入!$T$5:$T$2004,"&lt;"&amp;DATE($F$3,7+1,1))),2)</f>
        <v>9000</v>
      </c>
    </row>
    <row r="12">
      <c r="A12" s="63" t="inlineStr">
        <is>
          <t>8月</t>
        </is>
      </c>
      <c r="B12" s="86">
        <f>COUNTIFS(发票导入!$V$5:$V$2004,"销项",发票导入!$U$5:$U$2004,IF($C$3="全部","?*",$C$3),发票导入!$T$5:$T$2004,"&gt;="&amp;DATE($F$3,8,1),发票导入!$T$5:$T$2004,"&lt;"&amp;DATE($F$3,8+1,1),发票导入!$AK$5:$AK$2004,"&lt;&gt;0")+IF($C$3&lt;&gt;"全部",COUNTIFS(发票导入!$V$5:$V$2004,"内部",发票导入!$AI$5:$AI$2004,$C$3,发票导入!$T$5:$T$2004,"&gt;="&amp;DATE($F$3,8,1),发票导入!$T$5:$T$2004,"&lt;"&amp;DATE($F$3,8+1,1),发票导入!$AK$5:$AK$2004,"&lt;&gt;0"),0)</f>
        <v>12</v>
      </c>
      <c r="C12" s="53">
        <f>ROUND(SUMIFS(发票导入!$AL$5:$AL$2004,发票导入!$V$5:$V$2004,"销项",发票导入!$U$5:$U$2004,IF($C$3="全部","?*",$C$3),发票导入!$T$5:$T$2004,"&gt;="&amp;DATE($F$3,8,1),发票导入!$T$5:$T$2004,"&lt;"&amp;DATE($F$3,8+1,1))+IF($C$3&lt;&gt;"全部",SUMIFS(发票导入!$AL$5:$AL$2004,发票导入!$V$5:$V$2004,"内部",发票导入!$AI$5:$AI$2004,$C$3,发票导入!$T$5:$T$2004,"&gt;="&amp;DATE($F$3,8,1),发票导入!$T$5:$T$2004,"&lt;"&amp;DATE($F$3,8+1,1)),0),2)</f>
        <v>99900.98</v>
      </c>
      <c r="D12" s="53">
        <f>ROUND(SUMIFS(发票导入!$AM$5:$AM$2004,发票导入!$V$5:$V$2004,"销项",发票导入!$U$5:$U$2004,IF($C$3="全部","?*",$C$3),发票导入!$T$5:$T$2004,"&gt;="&amp;DATE($F$3,8,1),发票导入!$T$5:$T$2004,"&lt;"&amp;DATE($F$3,8+1,1))+IF($C$3&lt;&gt;"全部",SUMIFS(发票导入!$AM$5:$AM$2004,发票导入!$V$5:$V$2004,"内部",发票导入!$AI$5:$AI$2004,$C$3,发票导入!$T$5:$T$2004,"&gt;="&amp;DATE($F$3,8,1),发票导入!$T$5:$T$2004,"&lt;"&amp;DATE($F$3,8+1,1)),0),2)</f>
        <v>999.02</v>
      </c>
      <c r="E12" s="53">
        <f>ROUND(SUMIFS(发票导入!$AK$5:$AK$2004,发票导入!$V$5:$V$2004,"销项",发票导入!$U$5:$U$2004,IF($C$3="全部","?*",$C$3),发票导入!$T$5:$T$2004,"&gt;="&amp;DATE($F$3,8,1),发票导入!$T$5:$T$2004,"&lt;"&amp;DATE($F$3,8+1,1))+IF($C$3&lt;&gt;"全部",SUMIFS(发票导入!$AK$5:$AK$2004,发票导入!$V$5:$V$2004,"内部",发票导入!$AI$5:$AI$2004,$C$3,发票导入!$T$5:$T$2004,"&gt;="&amp;DATE($F$3,8,1),发票导入!$T$5:$T$2004,"&lt;"&amp;DATE($F$3,8+1,1)),0),2)</f>
        <v>100900</v>
      </c>
      <c r="F12" s="86">
        <f>COUNTIFS(发票导入!$V$5:$V$2004,"进项",发票导入!$U$5:$U$2004,IF($C$3="全部","?*",$C$3),发票导入!$T$5:$T$2004,"&gt;="&amp;DATE($F$3,8,1),发票导入!$T$5:$T$2004,"&lt;"&amp;DATE($F$3,8+1,1),发票导入!$AK$5:$AK$2004,"&lt;&gt;0")+IF($C$3&lt;&gt;"全部",COUNTIFS(发票导入!$V$5:$V$2004,"内部",发票导入!$AJ$5:$AJ$2004,$C$3,发票导入!$T$5:$T$2004,"&gt;="&amp;DATE($F$3,8,1),发票导入!$T$5:$T$2004,"&lt;"&amp;DATE($F$3,8+1,1),发票导入!$AK$5:$AK$2004,"&lt;&gt;0"),0)</f>
        <v>80</v>
      </c>
      <c r="G12" s="53">
        <f>ROUND(SUMIFS(发票导入!$AK$5:$AK$2004,发票导入!$V$5:$V$2004,"进项",发票导入!$U$5:$U$2004,IF($C$3="全部","?*",$C$3),发票导入!$T$5:$T$2004,"&gt;="&amp;DATE($F$3,8,1),发票导入!$T$5:$T$2004,"&lt;"&amp;DATE($F$3,8+1,1))+IF($C$3&lt;&gt;"全部",SUMIFS(发票导入!$AK$5:$AK$2004,发票导入!$V$5:$V$2004,"内部",发票导入!$AJ$5:$AJ$2004,$C$3,发票导入!$T$5:$T$2004,"&gt;="&amp;DATE($F$3,8,1),发票导入!$T$5:$T$2004,"&lt;"&amp;DATE($F$3,8+1,1)),0),2)</f>
        <v>23514.07</v>
      </c>
      <c r="H12" s="53">
        <f>ROUND(SUMIFS(发票导入!$AK$5:$AK$2004,发票导入!$V$5:$V$2004,"进项",发票导入!$U$5:$U$2004,IF($C$3="全部","?*",$C$3),发票导入!$T$5:$T$2004,"&gt;="&amp;DATE($F$3,8,1),发票导入!$T$5:$T$2004,"&lt;"&amp;DATE($F$3,8+1,1),发票导入!$Y$5:$Y$2004,"应付"),2)</f>
        <v>199</v>
      </c>
      <c r="I12" s="53">
        <f>ROUND(SUMIFS(发票导入!$AK$5:$AK$2004,发票导入!$V$5:$V$2004,"进项",发票导入!$U$5:$U$2004,IF($C$3="全部","?*",$C$3),发票导入!$T$5:$T$2004,"&gt;="&amp;DATE($F$3,8,1),发票导入!$T$5:$T$2004,"&lt;"&amp;DATE($F$3,8+1,1),发票导入!$Y$5:$Y$2004,"报销票"),2)</f>
        <v>23315.07</v>
      </c>
      <c r="J12" s="53">
        <f>ROUND(SUMIFS(资金台帐!$AD$6:$AD$3005,资金台帐!$U$6:$U$3005,"收入",资金台帐!$BH$6:$BH$3005,IF($C$3="全部","&gt;0",IFERROR(MATCH($C$3,基础资料!$B$5:$B$12,0),-1)),资金台帐!$BG$6:$BG$3005,$F$3*100+8),2)</f>
        <v>0</v>
      </c>
      <c r="K12" s="53">
        <f>ROUND(-(SUMIFS(资金台帐!$AD$6:$AD$3005,资金台帐!$U$6:$U$3005,"变动成本",资金台帐!$BH$6:$BH$3005,IF($C$3="全部","&gt;0",IFERROR(MATCH($C$3,基础资料!$B$5:$B$12,0),-1)),资金台帐!$BG$6:$BG$3005,$F$3*100+8)+SUMIFS(资金台帐!$AD$6:$AD$3005,资金台帐!$U$6:$U$3005,"固定成本",资金台帐!$BH$6:$BH$3005,IF($C$3="全部","&gt;0",IFERROR(MATCH($C$3,基础资料!$B$5:$B$12,0),-1)),资金台帐!$BG$6:$BG$3005,$F$3*100+8)+SUMIFS(资金台帐!$AD$6:$AD$3005,资金台帐!$U$6:$U$3005,"其他支出",资金台帐!$BH$6:$BH$3005,IF($C$3="全部","&gt;0",IFERROR(MATCH($C$3,基础资料!$B$5:$B$12,0),-1)),资金台帐!$BG$6:$BG$3005,$F$3*100+8)),2)</f>
        <v>1790.97</v>
      </c>
      <c r="L12" s="53">
        <f>ROUND(IF($C$3&lt;&gt;"全部",SUMIFS(发票导入!$AK$5:$AK$2004,发票导入!$V$5:$V$2004,"内部",发票导入!$AI$5:$AI$2004,$C$3,发票导入!$T$5:$T$2004,"&gt;="&amp;DATE($F$3,8,1),发票导入!$T$5:$T$2004,"&lt;"&amp;DATE($F$3,8+1,1))+SUMIFS(发票导入!$AK$5:$AK$2004,发票导入!$V$5:$V$2004,"内部",发票导入!$AJ$5:$AJ$2004,$C$3,发票导入!$T$5:$T$2004,"&gt;="&amp;DATE($F$3,8,1),发票导入!$T$5:$T$2004,"&lt;"&amp;DATE($F$3,8+1,1)),SUMIFS(发票导入!$AK$5:$AK$2004,发票导入!$V$5:$V$2004,"内部",发票导入!$T$5:$T$2004,"&gt;="&amp;DATE($F$3,8,1),发票导入!$T$5:$T$2004,"&lt;"&amp;DATE($F$3,8+1,1))),2)</f>
        <v>0</v>
      </c>
    </row>
    <row r="13">
      <c r="A13" s="63" t="inlineStr">
        <is>
          <t>9月</t>
        </is>
      </c>
      <c r="B13" s="86">
        <f>COUNTIFS(发票导入!$V$5:$V$2004,"销项",发票导入!$U$5:$U$2004,IF($C$3="全部","?*",$C$3),发票导入!$T$5:$T$2004,"&gt;="&amp;DATE($F$3,9,1),发票导入!$T$5:$T$2004,"&lt;"&amp;DATE($F$3,9+1,1),发票导入!$AK$5:$AK$2004,"&lt;&gt;0")+IF($C$3&lt;&gt;"全部",COUNTIFS(发票导入!$V$5:$V$2004,"内部",发票导入!$AI$5:$AI$2004,$C$3,发票导入!$T$5:$T$2004,"&gt;="&amp;DATE($F$3,9,1),发票导入!$T$5:$T$2004,"&lt;"&amp;DATE($F$3,9+1,1),发票导入!$AK$5:$AK$2004,"&lt;&gt;0"),0)</f>
        <v>0</v>
      </c>
      <c r="C13" s="53">
        <f>ROUND(SUMIFS(发票导入!$AL$5:$AL$2004,发票导入!$V$5:$V$2004,"销项",发票导入!$U$5:$U$2004,IF($C$3="全部","?*",$C$3),发票导入!$T$5:$T$2004,"&gt;="&amp;DATE($F$3,9,1),发票导入!$T$5:$T$2004,"&lt;"&amp;DATE($F$3,9+1,1))+IF($C$3&lt;&gt;"全部",SUMIFS(发票导入!$AL$5:$AL$2004,发票导入!$V$5:$V$2004,"内部",发票导入!$AI$5:$AI$2004,$C$3,发票导入!$T$5:$T$2004,"&gt;="&amp;DATE($F$3,9,1),发票导入!$T$5:$T$2004,"&lt;"&amp;DATE($F$3,9+1,1)),0),2)</f>
        <v>0</v>
      </c>
      <c r="D13" s="53">
        <f>ROUND(SUMIFS(发票导入!$AM$5:$AM$2004,发票导入!$V$5:$V$2004,"销项",发票导入!$U$5:$U$2004,IF($C$3="全部","?*",$C$3),发票导入!$T$5:$T$2004,"&gt;="&amp;DATE($F$3,9,1),发票导入!$T$5:$T$2004,"&lt;"&amp;DATE($F$3,9+1,1))+IF($C$3&lt;&gt;"全部",SUMIFS(发票导入!$AM$5:$AM$2004,发票导入!$V$5:$V$2004,"内部",发票导入!$AI$5:$AI$2004,$C$3,发票导入!$T$5:$T$2004,"&gt;="&amp;DATE($F$3,9,1),发票导入!$T$5:$T$2004,"&lt;"&amp;DATE($F$3,9+1,1)),0),2)</f>
        <v>0</v>
      </c>
      <c r="E13" s="53">
        <f>ROUND(SUMIFS(发票导入!$AK$5:$AK$2004,发票导入!$V$5:$V$2004,"销项",发票导入!$U$5:$U$2004,IF($C$3="全部","?*",$C$3),发票导入!$T$5:$T$2004,"&gt;="&amp;DATE($F$3,9,1),发票导入!$T$5:$T$2004,"&lt;"&amp;DATE($F$3,9+1,1))+IF($C$3&lt;&gt;"全部",SUMIFS(发票导入!$AK$5:$AK$2004,发票导入!$V$5:$V$2004,"内部",发票导入!$AI$5:$AI$2004,$C$3,发票导入!$T$5:$T$2004,"&gt;="&amp;DATE($F$3,9,1),发票导入!$T$5:$T$2004,"&lt;"&amp;DATE($F$3,9+1,1)),0),2)</f>
        <v>0</v>
      </c>
      <c r="F13" s="86">
        <f>COUNTIFS(发票导入!$V$5:$V$2004,"进项",发票导入!$U$5:$U$2004,IF($C$3="全部","?*",$C$3),发票导入!$T$5:$T$2004,"&gt;="&amp;DATE($F$3,9,1),发票导入!$T$5:$T$2004,"&lt;"&amp;DATE($F$3,9+1,1),发票导入!$AK$5:$AK$2004,"&lt;&gt;0")+IF($C$3&lt;&gt;"全部",COUNTIFS(发票导入!$V$5:$V$2004,"内部",发票导入!$AJ$5:$AJ$2004,$C$3,发票导入!$T$5:$T$2004,"&gt;="&amp;DATE($F$3,9,1),发票导入!$T$5:$T$2004,"&lt;"&amp;DATE($F$3,9+1,1),发票导入!$AK$5:$AK$2004,"&lt;&gt;0"),0)</f>
        <v>0</v>
      </c>
      <c r="G13" s="53">
        <f>ROUND(SUMIFS(发票导入!$AK$5:$AK$2004,发票导入!$V$5:$V$2004,"进项",发票导入!$U$5:$U$2004,IF($C$3="全部","?*",$C$3),发票导入!$T$5:$T$2004,"&gt;="&amp;DATE($F$3,9,1),发票导入!$T$5:$T$2004,"&lt;"&amp;DATE($F$3,9+1,1))+IF($C$3&lt;&gt;"全部",SUMIFS(发票导入!$AK$5:$AK$2004,发票导入!$V$5:$V$2004,"内部",发票导入!$AJ$5:$AJ$2004,$C$3,发票导入!$T$5:$T$2004,"&gt;="&amp;DATE($F$3,9,1),发票导入!$T$5:$T$2004,"&lt;"&amp;DATE($F$3,9+1,1)),0),2)</f>
        <v>0</v>
      </c>
      <c r="H13" s="53">
        <f>ROUND(SUMIFS(发票导入!$AK$5:$AK$2004,发票导入!$V$5:$V$2004,"进项",发票导入!$U$5:$U$2004,IF($C$3="全部","?*",$C$3),发票导入!$T$5:$T$2004,"&gt;="&amp;DATE($F$3,9,1),发票导入!$T$5:$T$2004,"&lt;"&amp;DATE($F$3,9+1,1),发票导入!$Y$5:$Y$2004,"应付"),2)</f>
        <v>0</v>
      </c>
      <c r="I13" s="53">
        <f>ROUND(SUMIFS(发票导入!$AK$5:$AK$2004,发票导入!$V$5:$V$2004,"进项",发票导入!$U$5:$U$2004,IF($C$3="全部","?*",$C$3),发票导入!$T$5:$T$2004,"&gt;="&amp;DATE($F$3,9,1),发票导入!$T$5:$T$2004,"&lt;"&amp;DATE($F$3,9+1,1),发票导入!$Y$5:$Y$2004,"报销票"),2)</f>
        <v>0</v>
      </c>
      <c r="J13" s="53">
        <f>ROUND(SUMIFS(资金台帐!$AD$6:$AD$3005,资金台帐!$U$6:$U$3005,"收入",资金台帐!$BH$6:$BH$3005,IF($C$3="全部","&gt;0",IFERROR(MATCH($C$3,基础资料!$B$5:$B$12,0),-1)),资金台帐!$BG$6:$BG$3005,$F$3*100+9),2)</f>
        <v>171000</v>
      </c>
      <c r="K13" s="53">
        <f>ROUND(-(SUMIFS(资金台帐!$AD$6:$AD$3005,资金台帐!$U$6:$U$3005,"变动成本",资金台帐!$BH$6:$BH$3005,IF($C$3="全部","&gt;0",IFERROR(MATCH($C$3,基础资料!$B$5:$B$12,0),-1)),资金台帐!$BG$6:$BG$3005,$F$3*100+9)+SUMIFS(资金台帐!$AD$6:$AD$3005,资金台帐!$U$6:$U$3005,"固定成本",资金台帐!$BH$6:$BH$3005,IF($C$3="全部","&gt;0",IFERROR(MATCH($C$3,基础资料!$B$5:$B$12,0),-1)),资金台帐!$BG$6:$BG$3005,$F$3*100+9)+SUMIFS(资金台帐!$AD$6:$AD$3005,资金台帐!$U$6:$U$3005,"其他支出",资金台帐!$BH$6:$BH$3005,IF($C$3="全部","&gt;0",IFERROR(MATCH($C$3,基础资料!$B$5:$B$12,0),-1)),资金台帐!$BG$6:$BG$3005,$F$3*100+9)),2)</f>
        <v>24194.05</v>
      </c>
      <c r="L13" s="53">
        <f>ROUND(IF($C$3&lt;&gt;"全部",SUMIFS(发票导入!$AK$5:$AK$2004,发票导入!$V$5:$V$2004,"内部",发票导入!$AI$5:$AI$2004,$C$3,发票导入!$T$5:$T$2004,"&gt;="&amp;DATE($F$3,9,1),发票导入!$T$5:$T$2004,"&lt;"&amp;DATE($F$3,9+1,1))+SUMIFS(发票导入!$AK$5:$AK$2004,发票导入!$V$5:$V$2004,"内部",发票导入!$AJ$5:$AJ$2004,$C$3,发票导入!$T$5:$T$2004,"&gt;="&amp;DATE($F$3,9,1),发票导入!$T$5:$T$2004,"&lt;"&amp;DATE($F$3,9+1,1)),SUMIFS(发票导入!$AK$5:$AK$2004,发票导入!$V$5:$V$2004,"内部",发票导入!$T$5:$T$2004,"&gt;="&amp;DATE($F$3,9,1),发票导入!$T$5:$T$2004,"&lt;"&amp;DATE($F$3,9+1,1))),2)</f>
        <v>0</v>
      </c>
    </row>
    <row r="14">
      <c r="A14" s="63" t="inlineStr">
        <is>
          <t>10月</t>
        </is>
      </c>
      <c r="B14" s="86">
        <f>COUNTIFS(发票导入!$V$5:$V$2004,"销项",发票导入!$U$5:$U$2004,IF($C$3="全部","?*",$C$3),发票导入!$T$5:$T$2004,"&gt;="&amp;DATE($F$3,10,1),发票导入!$T$5:$T$2004,"&lt;"&amp;DATE($F$3,10+1,1),发票导入!$AK$5:$AK$2004,"&lt;&gt;0")+IF($C$3&lt;&gt;"全部",COUNTIFS(发票导入!$V$5:$V$2004,"内部",发票导入!$AI$5:$AI$2004,$C$3,发票导入!$T$5:$T$2004,"&gt;="&amp;DATE($F$3,10,1),发票导入!$T$5:$T$2004,"&lt;"&amp;DATE($F$3,10+1,1),发票导入!$AK$5:$AK$2004,"&lt;&gt;0"),0)</f>
        <v>0</v>
      </c>
      <c r="C14" s="53">
        <f>ROUND(SUMIFS(发票导入!$AL$5:$AL$2004,发票导入!$V$5:$V$2004,"销项",发票导入!$U$5:$U$2004,IF($C$3="全部","?*",$C$3),发票导入!$T$5:$T$2004,"&gt;="&amp;DATE($F$3,10,1),发票导入!$T$5:$T$2004,"&lt;"&amp;DATE($F$3,10+1,1))+IF($C$3&lt;&gt;"全部",SUMIFS(发票导入!$AL$5:$AL$2004,发票导入!$V$5:$V$2004,"内部",发票导入!$AI$5:$AI$2004,$C$3,发票导入!$T$5:$T$2004,"&gt;="&amp;DATE($F$3,10,1),发票导入!$T$5:$T$2004,"&lt;"&amp;DATE($F$3,10+1,1)),0),2)</f>
        <v>0</v>
      </c>
      <c r="D14" s="53">
        <f>ROUND(SUMIFS(发票导入!$AM$5:$AM$2004,发票导入!$V$5:$V$2004,"销项",发票导入!$U$5:$U$2004,IF($C$3="全部","?*",$C$3),发票导入!$T$5:$T$2004,"&gt;="&amp;DATE($F$3,10,1),发票导入!$T$5:$T$2004,"&lt;"&amp;DATE($F$3,10+1,1))+IF($C$3&lt;&gt;"全部",SUMIFS(发票导入!$AM$5:$AM$2004,发票导入!$V$5:$V$2004,"内部",发票导入!$AI$5:$AI$2004,$C$3,发票导入!$T$5:$T$2004,"&gt;="&amp;DATE($F$3,10,1),发票导入!$T$5:$T$2004,"&lt;"&amp;DATE($F$3,10+1,1)),0),2)</f>
        <v>0</v>
      </c>
      <c r="E14" s="53">
        <f>ROUND(SUMIFS(发票导入!$AK$5:$AK$2004,发票导入!$V$5:$V$2004,"销项",发票导入!$U$5:$U$2004,IF($C$3="全部","?*",$C$3),发票导入!$T$5:$T$2004,"&gt;="&amp;DATE($F$3,10,1),发票导入!$T$5:$T$2004,"&lt;"&amp;DATE($F$3,10+1,1))+IF($C$3&lt;&gt;"全部",SUMIFS(发票导入!$AK$5:$AK$2004,发票导入!$V$5:$V$2004,"内部",发票导入!$AI$5:$AI$2004,$C$3,发票导入!$T$5:$T$2004,"&gt;="&amp;DATE($F$3,10,1),发票导入!$T$5:$T$2004,"&lt;"&amp;DATE($F$3,10+1,1)),0),2)</f>
        <v>0</v>
      </c>
      <c r="F14" s="86">
        <f>COUNTIFS(发票导入!$V$5:$V$2004,"进项",发票导入!$U$5:$U$2004,IF($C$3="全部","?*",$C$3),发票导入!$T$5:$T$2004,"&gt;="&amp;DATE($F$3,10,1),发票导入!$T$5:$T$2004,"&lt;"&amp;DATE($F$3,10+1,1),发票导入!$AK$5:$AK$2004,"&lt;&gt;0")+IF($C$3&lt;&gt;"全部",COUNTIFS(发票导入!$V$5:$V$2004,"内部",发票导入!$AJ$5:$AJ$2004,$C$3,发票导入!$T$5:$T$2004,"&gt;="&amp;DATE($F$3,10,1),发票导入!$T$5:$T$2004,"&lt;"&amp;DATE($F$3,10+1,1),发票导入!$AK$5:$AK$2004,"&lt;&gt;0"),0)</f>
        <v>0</v>
      </c>
      <c r="G14" s="53">
        <f>ROUND(SUMIFS(发票导入!$AK$5:$AK$2004,发票导入!$V$5:$V$2004,"进项",发票导入!$U$5:$U$2004,IF($C$3="全部","?*",$C$3),发票导入!$T$5:$T$2004,"&gt;="&amp;DATE($F$3,10,1),发票导入!$T$5:$T$2004,"&lt;"&amp;DATE($F$3,10+1,1))+IF($C$3&lt;&gt;"全部",SUMIFS(发票导入!$AK$5:$AK$2004,发票导入!$V$5:$V$2004,"内部",发票导入!$AJ$5:$AJ$2004,$C$3,发票导入!$T$5:$T$2004,"&gt;="&amp;DATE($F$3,10,1),发票导入!$T$5:$T$2004,"&lt;"&amp;DATE($F$3,10+1,1)),0),2)</f>
        <v>0</v>
      </c>
      <c r="H14" s="53">
        <f>ROUND(SUMIFS(发票导入!$AK$5:$AK$2004,发票导入!$V$5:$V$2004,"进项",发票导入!$U$5:$U$2004,IF($C$3="全部","?*",$C$3),发票导入!$T$5:$T$2004,"&gt;="&amp;DATE($F$3,10,1),发票导入!$T$5:$T$2004,"&lt;"&amp;DATE($F$3,10+1,1),发票导入!$Y$5:$Y$2004,"应付"),2)</f>
        <v>0</v>
      </c>
      <c r="I14" s="53">
        <f>ROUND(SUMIFS(发票导入!$AK$5:$AK$2004,发票导入!$V$5:$V$2004,"进项",发票导入!$U$5:$U$2004,IF($C$3="全部","?*",$C$3),发票导入!$T$5:$T$2004,"&gt;="&amp;DATE($F$3,10,1),发票导入!$T$5:$T$2004,"&lt;"&amp;DATE($F$3,10+1,1),发票导入!$Y$5:$Y$2004,"报销票"),2)</f>
        <v>0</v>
      </c>
      <c r="J14" s="53">
        <f>ROUND(SUMIFS(资金台帐!$AD$6:$AD$3005,资金台帐!$U$6:$U$3005,"收入",资金台帐!$BH$6:$BH$3005,IF($C$3="全部","&gt;0",IFERROR(MATCH($C$3,基础资料!$B$5:$B$12,0),-1)),资金台帐!$BG$6:$BG$3005,$F$3*100+10),2)</f>
        <v>0</v>
      </c>
      <c r="K14" s="53">
        <f>ROUND(-(SUMIFS(资金台帐!$AD$6:$AD$3005,资金台帐!$U$6:$U$3005,"变动成本",资金台帐!$BH$6:$BH$3005,IF($C$3="全部","&gt;0",IFERROR(MATCH($C$3,基础资料!$B$5:$B$12,0),-1)),资金台帐!$BG$6:$BG$3005,$F$3*100+10)+SUMIFS(资金台帐!$AD$6:$AD$3005,资金台帐!$U$6:$U$3005,"固定成本",资金台帐!$BH$6:$BH$3005,IF($C$3="全部","&gt;0",IFERROR(MATCH($C$3,基础资料!$B$5:$B$12,0),-1)),资金台帐!$BG$6:$BG$3005,$F$3*100+10)+SUMIFS(资金台帐!$AD$6:$AD$3005,资金台帐!$U$6:$U$3005,"其他支出",资金台帐!$BH$6:$BH$3005,IF($C$3="全部","&gt;0",IFERROR(MATCH($C$3,基础资料!$B$5:$B$12,0),-1)),资金台帐!$BG$6:$BG$3005,$F$3*100+10)),2)</f>
        <v>0</v>
      </c>
      <c r="L14" s="53">
        <f>ROUND(IF($C$3&lt;&gt;"全部",SUMIFS(发票导入!$AK$5:$AK$2004,发票导入!$V$5:$V$2004,"内部",发票导入!$AI$5:$AI$2004,$C$3,发票导入!$T$5:$T$2004,"&gt;="&amp;DATE($F$3,10,1),发票导入!$T$5:$T$2004,"&lt;"&amp;DATE($F$3,10+1,1))+SUMIFS(发票导入!$AK$5:$AK$2004,发票导入!$V$5:$V$2004,"内部",发票导入!$AJ$5:$AJ$2004,$C$3,发票导入!$T$5:$T$2004,"&gt;="&amp;DATE($F$3,10,1),发票导入!$T$5:$T$2004,"&lt;"&amp;DATE($F$3,10+1,1)),SUMIFS(发票导入!$AK$5:$AK$2004,发票导入!$V$5:$V$2004,"内部",发票导入!$T$5:$T$2004,"&gt;="&amp;DATE($F$3,10,1),发票导入!$T$5:$T$2004,"&lt;"&amp;DATE($F$3,10+1,1))),2)</f>
        <v>0</v>
      </c>
    </row>
    <row r="15">
      <c r="A15" s="63" t="inlineStr">
        <is>
          <t>11月</t>
        </is>
      </c>
      <c r="B15" s="86">
        <f>COUNTIFS(发票导入!$V$5:$V$2004,"销项",发票导入!$U$5:$U$2004,IF($C$3="全部","?*",$C$3),发票导入!$T$5:$T$2004,"&gt;="&amp;DATE($F$3,11,1),发票导入!$T$5:$T$2004,"&lt;"&amp;DATE($F$3,11+1,1),发票导入!$AK$5:$AK$2004,"&lt;&gt;0")+IF($C$3&lt;&gt;"全部",COUNTIFS(发票导入!$V$5:$V$2004,"内部",发票导入!$AI$5:$AI$2004,$C$3,发票导入!$T$5:$T$2004,"&gt;="&amp;DATE($F$3,11,1),发票导入!$T$5:$T$2004,"&lt;"&amp;DATE($F$3,11+1,1),发票导入!$AK$5:$AK$2004,"&lt;&gt;0"),0)</f>
        <v>0</v>
      </c>
      <c r="C15" s="53">
        <f>ROUND(SUMIFS(发票导入!$AL$5:$AL$2004,发票导入!$V$5:$V$2004,"销项",发票导入!$U$5:$U$2004,IF($C$3="全部","?*",$C$3),发票导入!$T$5:$T$2004,"&gt;="&amp;DATE($F$3,11,1),发票导入!$T$5:$T$2004,"&lt;"&amp;DATE($F$3,11+1,1))+IF($C$3&lt;&gt;"全部",SUMIFS(发票导入!$AL$5:$AL$2004,发票导入!$V$5:$V$2004,"内部",发票导入!$AI$5:$AI$2004,$C$3,发票导入!$T$5:$T$2004,"&gt;="&amp;DATE($F$3,11,1),发票导入!$T$5:$T$2004,"&lt;"&amp;DATE($F$3,11+1,1)),0),2)</f>
        <v>0</v>
      </c>
      <c r="D15" s="53">
        <f>ROUND(SUMIFS(发票导入!$AM$5:$AM$2004,发票导入!$V$5:$V$2004,"销项",发票导入!$U$5:$U$2004,IF($C$3="全部","?*",$C$3),发票导入!$T$5:$T$2004,"&gt;="&amp;DATE($F$3,11,1),发票导入!$T$5:$T$2004,"&lt;"&amp;DATE($F$3,11+1,1))+IF($C$3&lt;&gt;"全部",SUMIFS(发票导入!$AM$5:$AM$2004,发票导入!$V$5:$V$2004,"内部",发票导入!$AI$5:$AI$2004,$C$3,发票导入!$T$5:$T$2004,"&gt;="&amp;DATE($F$3,11,1),发票导入!$T$5:$T$2004,"&lt;"&amp;DATE($F$3,11+1,1)),0),2)</f>
        <v>0</v>
      </c>
      <c r="E15" s="53">
        <f>ROUND(SUMIFS(发票导入!$AK$5:$AK$2004,发票导入!$V$5:$V$2004,"销项",发票导入!$U$5:$U$2004,IF($C$3="全部","?*",$C$3),发票导入!$T$5:$T$2004,"&gt;="&amp;DATE($F$3,11,1),发票导入!$T$5:$T$2004,"&lt;"&amp;DATE($F$3,11+1,1))+IF($C$3&lt;&gt;"全部",SUMIFS(发票导入!$AK$5:$AK$2004,发票导入!$V$5:$V$2004,"内部",发票导入!$AI$5:$AI$2004,$C$3,发票导入!$T$5:$T$2004,"&gt;="&amp;DATE($F$3,11,1),发票导入!$T$5:$T$2004,"&lt;"&amp;DATE($F$3,11+1,1)),0),2)</f>
        <v>0</v>
      </c>
      <c r="F15" s="86">
        <f>COUNTIFS(发票导入!$V$5:$V$2004,"进项",发票导入!$U$5:$U$2004,IF($C$3="全部","?*",$C$3),发票导入!$T$5:$T$2004,"&gt;="&amp;DATE($F$3,11,1),发票导入!$T$5:$T$2004,"&lt;"&amp;DATE($F$3,11+1,1),发票导入!$AK$5:$AK$2004,"&lt;&gt;0")+IF($C$3&lt;&gt;"全部",COUNTIFS(发票导入!$V$5:$V$2004,"内部",发票导入!$AJ$5:$AJ$2004,$C$3,发票导入!$T$5:$T$2004,"&gt;="&amp;DATE($F$3,11,1),发票导入!$T$5:$T$2004,"&lt;"&amp;DATE($F$3,11+1,1),发票导入!$AK$5:$AK$2004,"&lt;&gt;0"),0)</f>
        <v>0</v>
      </c>
      <c r="G15" s="53">
        <f>ROUND(SUMIFS(发票导入!$AK$5:$AK$2004,发票导入!$V$5:$V$2004,"进项",发票导入!$U$5:$U$2004,IF($C$3="全部","?*",$C$3),发票导入!$T$5:$T$2004,"&gt;="&amp;DATE($F$3,11,1),发票导入!$T$5:$T$2004,"&lt;"&amp;DATE($F$3,11+1,1))+IF($C$3&lt;&gt;"全部",SUMIFS(发票导入!$AK$5:$AK$2004,发票导入!$V$5:$V$2004,"内部",发票导入!$AJ$5:$AJ$2004,$C$3,发票导入!$T$5:$T$2004,"&gt;="&amp;DATE($F$3,11,1),发票导入!$T$5:$T$2004,"&lt;"&amp;DATE($F$3,11+1,1)),0),2)</f>
        <v>0</v>
      </c>
      <c r="H15" s="53">
        <f>ROUND(SUMIFS(发票导入!$AK$5:$AK$2004,发票导入!$V$5:$V$2004,"进项",发票导入!$U$5:$U$2004,IF($C$3="全部","?*",$C$3),发票导入!$T$5:$T$2004,"&gt;="&amp;DATE($F$3,11,1),发票导入!$T$5:$T$2004,"&lt;"&amp;DATE($F$3,11+1,1),发票导入!$Y$5:$Y$2004,"应付"),2)</f>
        <v>0</v>
      </c>
      <c r="I15" s="53">
        <f>ROUND(SUMIFS(发票导入!$AK$5:$AK$2004,发票导入!$V$5:$V$2004,"进项",发票导入!$U$5:$U$2004,IF($C$3="全部","?*",$C$3),发票导入!$T$5:$T$2004,"&gt;="&amp;DATE($F$3,11,1),发票导入!$T$5:$T$2004,"&lt;"&amp;DATE($F$3,11+1,1),发票导入!$Y$5:$Y$2004,"报销票"),2)</f>
        <v>0</v>
      </c>
      <c r="J15" s="53">
        <f>ROUND(SUMIFS(资金台帐!$AD$6:$AD$3005,资金台帐!$U$6:$U$3005,"收入",资金台帐!$BH$6:$BH$3005,IF($C$3="全部","&gt;0",IFERROR(MATCH($C$3,基础资料!$B$5:$B$12,0),-1)),资金台帐!$BG$6:$BG$3005,$F$3*100+11),2)</f>
        <v>0</v>
      </c>
      <c r="K15" s="53">
        <f>ROUND(-(SUMIFS(资金台帐!$AD$6:$AD$3005,资金台帐!$U$6:$U$3005,"变动成本",资金台帐!$BH$6:$BH$3005,IF($C$3="全部","&gt;0",IFERROR(MATCH($C$3,基础资料!$B$5:$B$12,0),-1)),资金台帐!$BG$6:$BG$3005,$F$3*100+11)+SUMIFS(资金台帐!$AD$6:$AD$3005,资金台帐!$U$6:$U$3005,"固定成本",资金台帐!$BH$6:$BH$3005,IF($C$3="全部","&gt;0",IFERROR(MATCH($C$3,基础资料!$B$5:$B$12,0),-1)),资金台帐!$BG$6:$BG$3005,$F$3*100+11)+SUMIFS(资金台帐!$AD$6:$AD$3005,资金台帐!$U$6:$U$3005,"其他支出",资金台帐!$BH$6:$BH$3005,IF($C$3="全部","&gt;0",IFERROR(MATCH($C$3,基础资料!$B$5:$B$12,0),-1)),资金台帐!$BG$6:$BG$3005,$F$3*100+11)),2)</f>
        <v>0</v>
      </c>
      <c r="L15" s="53">
        <f>ROUND(IF($C$3&lt;&gt;"全部",SUMIFS(发票导入!$AK$5:$AK$2004,发票导入!$V$5:$V$2004,"内部",发票导入!$AI$5:$AI$2004,$C$3,发票导入!$T$5:$T$2004,"&gt;="&amp;DATE($F$3,11,1),发票导入!$T$5:$T$2004,"&lt;"&amp;DATE($F$3,11+1,1))+SUMIFS(发票导入!$AK$5:$AK$2004,发票导入!$V$5:$V$2004,"内部",发票导入!$AJ$5:$AJ$2004,$C$3,发票导入!$T$5:$T$2004,"&gt;="&amp;DATE($F$3,11,1),发票导入!$T$5:$T$2004,"&lt;"&amp;DATE($F$3,11+1,1)),SUMIFS(发票导入!$AK$5:$AK$2004,发票导入!$V$5:$V$2004,"内部",发票导入!$T$5:$T$2004,"&gt;="&amp;DATE($F$3,11,1),发票导入!$T$5:$T$2004,"&lt;"&amp;DATE($F$3,11+1,1))),2)</f>
        <v>0</v>
      </c>
    </row>
    <row r="16">
      <c r="A16" s="63" t="inlineStr">
        <is>
          <t>12月</t>
        </is>
      </c>
      <c r="B16" s="86">
        <f>COUNTIFS(发票导入!$V$5:$V$2004,"销项",发票导入!$U$5:$U$2004,IF($C$3="全部","?*",$C$3),发票导入!$T$5:$T$2004,"&gt;="&amp;DATE($F$3,12,1),发票导入!$T$5:$T$2004,"&lt;"&amp;DATE($F$3,12+1,1),发票导入!$AK$5:$AK$2004,"&lt;&gt;0")+IF($C$3&lt;&gt;"全部",COUNTIFS(发票导入!$V$5:$V$2004,"内部",发票导入!$AI$5:$AI$2004,$C$3,发票导入!$T$5:$T$2004,"&gt;="&amp;DATE($F$3,12,1),发票导入!$T$5:$T$2004,"&lt;"&amp;DATE($F$3,12+1,1),发票导入!$AK$5:$AK$2004,"&lt;&gt;0"),0)</f>
        <v>0</v>
      </c>
      <c r="C16" s="53">
        <f>ROUND(SUMIFS(发票导入!$AL$5:$AL$2004,发票导入!$V$5:$V$2004,"销项",发票导入!$U$5:$U$2004,IF($C$3="全部","?*",$C$3),发票导入!$T$5:$T$2004,"&gt;="&amp;DATE($F$3,12,1),发票导入!$T$5:$T$2004,"&lt;"&amp;DATE($F$3,12+1,1))+IF($C$3&lt;&gt;"全部",SUMIFS(发票导入!$AL$5:$AL$2004,发票导入!$V$5:$V$2004,"内部",发票导入!$AI$5:$AI$2004,$C$3,发票导入!$T$5:$T$2004,"&gt;="&amp;DATE($F$3,12,1),发票导入!$T$5:$T$2004,"&lt;"&amp;DATE($F$3,12+1,1)),0),2)</f>
        <v>0</v>
      </c>
      <c r="D16" s="53">
        <f>ROUND(SUMIFS(发票导入!$AM$5:$AM$2004,发票导入!$V$5:$V$2004,"销项",发票导入!$U$5:$U$2004,IF($C$3="全部","?*",$C$3),发票导入!$T$5:$T$2004,"&gt;="&amp;DATE($F$3,12,1),发票导入!$T$5:$T$2004,"&lt;"&amp;DATE($F$3,12+1,1))+IF($C$3&lt;&gt;"全部",SUMIFS(发票导入!$AM$5:$AM$2004,发票导入!$V$5:$V$2004,"内部",发票导入!$AI$5:$AI$2004,$C$3,发票导入!$T$5:$T$2004,"&gt;="&amp;DATE($F$3,12,1),发票导入!$T$5:$T$2004,"&lt;"&amp;DATE($F$3,12+1,1)),0),2)</f>
        <v>0</v>
      </c>
      <c r="E16" s="53">
        <f>ROUND(SUMIFS(发票导入!$AK$5:$AK$2004,发票导入!$V$5:$V$2004,"销项",发票导入!$U$5:$U$2004,IF($C$3="全部","?*",$C$3),发票导入!$T$5:$T$2004,"&gt;="&amp;DATE($F$3,12,1),发票导入!$T$5:$T$2004,"&lt;"&amp;DATE($F$3,12+1,1))+IF($C$3&lt;&gt;"全部",SUMIFS(发票导入!$AK$5:$AK$2004,发票导入!$V$5:$V$2004,"内部",发票导入!$AI$5:$AI$2004,$C$3,发票导入!$T$5:$T$2004,"&gt;="&amp;DATE($F$3,12,1),发票导入!$T$5:$T$2004,"&lt;"&amp;DATE($F$3,12+1,1)),0),2)</f>
        <v>0</v>
      </c>
      <c r="F16" s="86">
        <f>COUNTIFS(发票导入!$V$5:$V$2004,"进项",发票导入!$U$5:$U$2004,IF($C$3="全部","?*",$C$3),发票导入!$T$5:$T$2004,"&gt;="&amp;DATE($F$3,12,1),发票导入!$T$5:$T$2004,"&lt;"&amp;DATE($F$3,12+1,1),发票导入!$AK$5:$AK$2004,"&lt;&gt;0")+IF($C$3&lt;&gt;"全部",COUNTIFS(发票导入!$V$5:$V$2004,"内部",发票导入!$AJ$5:$AJ$2004,$C$3,发票导入!$T$5:$T$2004,"&gt;="&amp;DATE($F$3,12,1),发票导入!$T$5:$T$2004,"&lt;"&amp;DATE($F$3,12+1,1),发票导入!$AK$5:$AK$2004,"&lt;&gt;0"),0)</f>
        <v>0</v>
      </c>
      <c r="G16" s="53">
        <f>ROUND(SUMIFS(发票导入!$AK$5:$AK$2004,发票导入!$V$5:$V$2004,"进项",发票导入!$U$5:$U$2004,IF($C$3="全部","?*",$C$3),发票导入!$T$5:$T$2004,"&gt;="&amp;DATE($F$3,12,1),发票导入!$T$5:$T$2004,"&lt;"&amp;DATE($F$3,12+1,1))+IF($C$3&lt;&gt;"全部",SUMIFS(发票导入!$AK$5:$AK$2004,发票导入!$V$5:$V$2004,"内部",发票导入!$AJ$5:$AJ$2004,$C$3,发票导入!$T$5:$T$2004,"&gt;="&amp;DATE($F$3,12,1),发票导入!$T$5:$T$2004,"&lt;"&amp;DATE($F$3,12+1,1)),0),2)</f>
        <v>0</v>
      </c>
      <c r="H16" s="53">
        <f>ROUND(SUMIFS(发票导入!$AK$5:$AK$2004,发票导入!$V$5:$V$2004,"进项",发票导入!$U$5:$U$2004,IF($C$3="全部","?*",$C$3),发票导入!$T$5:$T$2004,"&gt;="&amp;DATE($F$3,12,1),发票导入!$T$5:$T$2004,"&lt;"&amp;DATE($F$3,12+1,1),发票导入!$Y$5:$Y$2004,"应付"),2)</f>
        <v>0</v>
      </c>
      <c r="I16" s="53">
        <f>ROUND(SUMIFS(发票导入!$AK$5:$AK$2004,发票导入!$V$5:$V$2004,"进项",发票导入!$U$5:$U$2004,IF($C$3="全部","?*",$C$3),发票导入!$T$5:$T$2004,"&gt;="&amp;DATE($F$3,12,1),发票导入!$T$5:$T$2004,"&lt;"&amp;DATE($F$3,12+1,1),发票导入!$Y$5:$Y$2004,"报销票"),2)</f>
        <v>0</v>
      </c>
      <c r="J16" s="53">
        <f>ROUND(SUMIFS(资金台帐!$AD$6:$AD$3005,资金台帐!$U$6:$U$3005,"收入",资金台帐!$BH$6:$BH$3005,IF($C$3="全部","&gt;0",IFERROR(MATCH($C$3,基础资料!$B$5:$B$12,0),-1)),资金台帐!$BG$6:$BG$3005,$F$3*100+12),2)</f>
        <v>0</v>
      </c>
      <c r="K16" s="53">
        <f>ROUND(-(SUMIFS(资金台帐!$AD$6:$AD$3005,资金台帐!$U$6:$U$3005,"变动成本",资金台帐!$BH$6:$BH$3005,IF($C$3="全部","&gt;0",IFERROR(MATCH($C$3,基础资料!$B$5:$B$12,0),-1)),资金台帐!$BG$6:$BG$3005,$F$3*100+12)+SUMIFS(资金台帐!$AD$6:$AD$3005,资金台帐!$U$6:$U$3005,"固定成本",资金台帐!$BH$6:$BH$3005,IF($C$3="全部","&gt;0",IFERROR(MATCH($C$3,基础资料!$B$5:$B$12,0),-1)),资金台帐!$BG$6:$BG$3005,$F$3*100+12)+SUMIFS(资金台帐!$AD$6:$AD$3005,资金台帐!$U$6:$U$3005,"其他支出",资金台帐!$BH$6:$BH$3005,IF($C$3="全部","&gt;0",IFERROR(MATCH($C$3,基础资料!$B$5:$B$12,0),-1)),资金台帐!$BG$6:$BG$3005,$F$3*100+12)),2)</f>
        <v>0</v>
      </c>
      <c r="L16" s="53">
        <f>ROUND(IF($C$3&lt;&gt;"全部",SUMIFS(发票导入!$AK$5:$AK$2004,发票导入!$V$5:$V$2004,"内部",发票导入!$AI$5:$AI$2004,$C$3,发票导入!$T$5:$T$2004,"&gt;="&amp;DATE($F$3,12,1),发票导入!$T$5:$T$2004,"&lt;"&amp;DATE($F$3,12+1,1))+SUMIFS(发票导入!$AK$5:$AK$2004,发票导入!$V$5:$V$2004,"内部",发票导入!$AJ$5:$AJ$2004,$C$3,发票导入!$T$5:$T$2004,"&gt;="&amp;DATE($F$3,12,1),发票导入!$T$5:$T$2004,"&lt;"&amp;DATE($F$3,12+1,1)),SUMIFS(发票导入!$AK$5:$AK$2004,发票导入!$V$5:$V$2004,"内部",发票导入!$T$5:$T$2004,"&gt;="&amp;DATE($F$3,12,1),发票导入!$T$5:$T$2004,"&lt;"&amp;DATE($F$3,12+1,1))),2)</f>
        <v>0</v>
      </c>
    </row>
    <row r="17">
      <c r="A17" s="61" t="inlineStr">
        <is>
          <t>全年</t>
        </is>
      </c>
      <c r="B17" s="87">
        <f>COUNTIFS(发票导入!$V$5:$V$2004,"销项",发票导入!$U$5:$U$2004,IF($C$3="全部","?*",$C$3),发票导入!$T$5:$T$2004,"&gt;="&amp;DATE($F$3,1,1),发票导入!$T$5:$T$2004,"&lt;"&amp;DATE($F$3+1,1,1),发票导入!$AK$5:$AK$2004,"&lt;&gt;0")+IF($C$3&lt;&gt;"全部",COUNTIFS(发票导入!$V$5:$V$2004,"内部",发票导入!$AI$5:$AI$2004,$C$3,发票导入!$T$5:$T$2004,"&gt;="&amp;DATE($F$3,1,1),发票导入!$T$5:$T$2004,"&lt;"&amp;DATE($F$3+1,1,1),发票导入!$AK$5:$AK$2004,"&lt;&gt;0"),0)</f>
        <v>12</v>
      </c>
      <c r="C17" s="37">
        <f>ROUND(SUMIFS(发票导入!$AL$5:$AL$2004,发票导入!$V$5:$V$2004,"销项",发票导入!$U$5:$U$2004,IF($C$3="全部","?*",$C$3),发票导入!$T$5:$T$2004,"&gt;="&amp;DATE($F$3,1,1),发票导入!$T$5:$T$2004,"&lt;"&amp;DATE($F$3+1,1,1))+IF($C$3&lt;&gt;"全部",SUMIFS(发票导入!$AL$5:$AL$2004,发票导入!$V$5:$V$2004,"内部",发票导入!$AI$5:$AI$2004,$C$3,发票导入!$T$5:$T$2004,"&gt;="&amp;DATE($F$3,1,1),发票导入!$T$5:$T$2004,"&lt;"&amp;DATE($F$3+1,1,1)),0),2)</f>
        <v>99900.98</v>
      </c>
      <c r="D17" s="37">
        <f>ROUND(SUMIFS(发票导入!$AM$5:$AM$2004,发票导入!$V$5:$V$2004,"销项",发票导入!$U$5:$U$2004,IF($C$3="全部","?*",$C$3),发票导入!$T$5:$T$2004,"&gt;="&amp;DATE($F$3,1,1),发票导入!$T$5:$T$2004,"&lt;"&amp;DATE($F$3+1,1,1))+IF($C$3&lt;&gt;"全部",SUMIFS(发票导入!$AM$5:$AM$2004,发票导入!$V$5:$V$2004,"内部",发票导入!$AI$5:$AI$2004,$C$3,发票导入!$T$5:$T$2004,"&gt;="&amp;DATE($F$3,1,1),发票导入!$T$5:$T$2004,"&lt;"&amp;DATE($F$3+1,1,1)),0),2)</f>
        <v>999.02</v>
      </c>
      <c r="E17" s="37">
        <f>ROUND(SUMIFS(发票导入!$AK$5:$AK$2004,发票导入!$V$5:$V$2004,"销项",发票导入!$U$5:$U$2004,IF($C$3="全部","?*",$C$3),发票导入!$T$5:$T$2004,"&gt;="&amp;DATE($F$3,1,1),发票导入!$T$5:$T$2004,"&lt;"&amp;DATE($F$3+1,1,1))+IF($C$3&lt;&gt;"全部",SUMIFS(发票导入!$AK$5:$AK$2004,发票导入!$V$5:$V$2004,"内部",发票导入!$AI$5:$AI$2004,$C$3,发票导入!$T$5:$T$2004,"&gt;="&amp;DATE($F$3,1,1),发票导入!$T$5:$T$2004,"&lt;"&amp;DATE($F$3+1,1,1)),0),2)</f>
        <v>100900</v>
      </c>
      <c r="F17" s="87">
        <f>COUNTIFS(发票导入!$V$5:$V$2004,"进项",发票导入!$U$5:$U$2004,IF($C$3="全部","?*",$C$3),发票导入!$T$5:$T$2004,"&gt;="&amp;DATE($F$3,1,1),发票导入!$T$5:$T$2004,"&lt;"&amp;DATE($F$3+1,1,1),发票导入!$AK$5:$AK$2004,"&lt;&gt;0")+IF($C$3&lt;&gt;"全部",COUNTIFS(发票导入!$V$5:$V$2004,"内部",发票导入!$AJ$5:$AJ$2004,$C$3,发票导入!$T$5:$T$2004,"&gt;="&amp;DATE($F$3,1,1),发票导入!$T$5:$T$2004,"&lt;"&amp;DATE($F$3+1,1,1),发票导入!$AK$5:$AK$2004,"&lt;&gt;0"),0)</f>
        <v>96</v>
      </c>
      <c r="G17" s="37">
        <f>ROUND(SUMIFS(发票导入!$AK$5:$AK$2004,发票导入!$V$5:$V$2004,"进项",发票导入!$U$5:$U$2004,IF($C$3="全部","?*",$C$3),发票导入!$T$5:$T$2004,"&gt;="&amp;DATE($F$3,1,1),发票导入!$T$5:$T$2004,"&lt;"&amp;DATE($F$3+1,1,1))+IF($C$3&lt;&gt;"全部",SUMIFS(发票导入!$AK$5:$AK$2004,发票导入!$V$5:$V$2004,"内部",发票导入!$AJ$5:$AJ$2004,$C$3,发票导入!$T$5:$T$2004,"&gt;="&amp;DATE($F$3,1,1),发票导入!$T$5:$T$2004,"&lt;"&amp;DATE($F$3+1,1,1)),0),2)</f>
        <v>32314.04</v>
      </c>
      <c r="H17" s="37">
        <f>ROUND(SUMIFS(发票导入!$AK$5:$AK$2004,发票导入!$V$5:$V$2004,"进项",发票导入!$U$5:$U$2004,IF($C$3="全部","?*",$C$3),发票导入!$T$5:$T$2004,"&gt;="&amp;DATE($F$3,1,1),发票导入!$T$5:$T$2004,"&lt;"&amp;DATE($F$3+1,1,1),发票导入!$Y$5:$Y$2004,"应付"),2)</f>
        <v>398</v>
      </c>
      <c r="I17" s="37">
        <f>ROUND(SUMIFS(发票导入!$AK$5:$AK$2004,发票导入!$V$5:$V$2004,"进项",发票导入!$U$5:$U$2004,IF($C$3="全部","?*",$C$3),发票导入!$T$5:$T$2004,"&gt;="&amp;DATE($F$3,1,1),发票导入!$T$5:$T$2004,"&lt;"&amp;DATE($F$3+1,1,1),发票导入!$Y$5:$Y$2004,"报销票"),2)</f>
        <v>31916.04</v>
      </c>
      <c r="J17" s="37">
        <f>ROUND(SUMIFS(资金台帐!$AD$6:$AD$3005,资金台帐!$U$6:$U$3005,"收入",资金台帐!$BH$6:$BH$3005,IF($C$3="全部","&gt;0",IFERROR(MATCH($C$3,基础资料!$B$5:$B$12,0),-1)),资金台帐!$N$6:$N$3005,"&gt;="&amp;DATE($F$3,1,1),资金台帐!$N$6:$N$3005,"&lt;"&amp;DATE($F$3+1,1,1)),2)</f>
        <v>302613.62</v>
      </c>
      <c r="K17" s="37">
        <f>ROUND(-(SUMIFS(资金台帐!$AD$6:$AD$3005,资金台帐!$U$6:$U$3005,"变动成本",资金台帐!$BH$6:$BH$3005,IF($C$3="全部","&gt;0",IFERROR(MATCH($C$3,基础资料!$B$5:$B$12,0),-1)),资金台帐!$N$6:$N$3005,"&gt;="&amp;DATE($F$3,1,1),资金台帐!$N$6:$N$3005,"&lt;"&amp;DATE($F$3+1,1,1))+SUMIFS(资金台帐!$AD$6:$AD$3005,资金台帐!$U$6:$U$3005,"固定成本",资金台帐!$BH$6:$BH$3005,IF($C$3="全部","&gt;0",IFERROR(MATCH($C$3,基础资料!$B$5:$B$12,0),-1)),资金台帐!$N$6:$N$3005,"&gt;="&amp;DATE($F$3,1,1),资金台帐!$N$6:$N$3005,"&lt;"&amp;DATE($F$3+1,1,1))+SUMIFS(资金台帐!$AD$6:$AD$3005,资金台帐!$U$6:$U$3005,"其他支出",资金台帐!$BH$6:$BH$3005,IF($C$3="全部","&gt;0",IFERROR(MATCH($C$3,基础资料!$B$5:$B$12,0),-1)),资金台帐!$N$6:$N$3005,"&gt;="&amp;DATE($F$3,1,1),资金台帐!$N$6:$N$3005,"&lt;"&amp;DATE($F$3+1,1,1))),2)</f>
        <v>69937.95</v>
      </c>
      <c r="L17" s="37">
        <f>ROUND(IF($C$3&lt;&gt;"全部",SUMIFS(发票导入!$AK$5:$AK$2004,发票导入!$V$5:$V$2004,"内部",发票导入!$AI$5:$AI$2004,$C$3,发票导入!$T$5:$T$2004,"&gt;="&amp;DATE($F$3,1,1),发票导入!$T$5:$T$2004,"&lt;"&amp;DATE($F$3+1,1,1))+SUMIFS(发票导入!$AK$5:$AK$2004,发票导入!$V$5:$V$2004,"内部",发票导入!$AJ$5:$AJ$2004,$C$3,发票导入!$T$5:$T$2004,"&gt;="&amp;DATE($F$3,1,1),发票导入!$T$5:$T$2004,"&lt;"&amp;DATE($F$3+1,1,1)),SUMIFS(发票导入!$AK$5:$AK$2004,发票导入!$V$5:$V$2004,"内部",发票导入!$T$5:$T$2004,"&gt;="&amp;DATE($F$3,1,1),发票导入!$T$5:$T$2004,"&lt;"&amp;DATE($F$3+1,1,1))),2)</f>
        <v>9000</v>
      </c>
    </row>
  </sheetData>
  <mergeCells count="2">
    <mergeCell ref="A2:L2"/>
    <mergeCell ref="A1:L1"/>
  </mergeCells>
  <dataValidations count="2">
    <dataValidation sqref="C3" showDropDown="0" showInputMessage="1" showErrorMessage="0" allowBlank="1" promptTitle="提示" prompt="选一家公司，或「全部」" type="list">
      <formula1>=_辅助!$A$1:$A$9</formula1>
    </dataValidation>
    <dataValidation sqref="F3" showDropDown="0" showInputMessage="0" showErrorMessage="0" allowBlank="1" type="list">
      <formula1>"2024,2025,2026,2027,2028,2029,2030"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H3005"/>
  <sheetViews>
    <sheetView tabSelected="0" workbookViewId="0">
      <selection activeCell="A1" sqref="A1"/>
    </sheetView>
  </sheetViews>
  <sheetFormatPr baseColWidth="8" defaultRowHeight="15"/>
  <sheetData>
    <row r="1">
      <c r="A1" s="88" t="inlineStr">
        <is>
          <t>（取数用，别改：数据来自【A065-1_流水发票导入.xlsx】的【资金台帐】）</t>
        </is>
      </c>
    </row>
    <row r="6">
      <c r="B6" t="str">
        <f>[1]资金台帐!B6&amp;""</f>
        <v>农行2896</v>
      </c>
      <c r="H6" t="str">
        <f>[1]资金台帐!H6&amp;""</f>
        <v>宁波鹿小白机电有限公司</v>
      </c>
      <c r="J6" t="str">
        <f>[1]资金台帐!J6&amp;""</f>
        <v>转存</v>
      </c>
      <c r="N6">
        <f>[1]资金台帐!N6</f>
        <v>46266.0</v>
      </c>
      <c r="O6" t="str">
        <f>[1]资金台帐!O6&amp;""</f>
        <v>中智优力</v>
      </c>
      <c r="P6" t="str">
        <f>[1]资金台帐!P6&amp;""</f>
        <v>宁波鹿小白机电有限公司</v>
      </c>
      <c r="Q6" t="str">
        <f>[1]资金台帐!Q6&amp;""</f>
        <v>客户</v>
      </c>
      <c r="T6" t="str">
        <f>[1]资金台帐!T6&amp;""</f>
        <v>新增</v>
      </c>
      <c r="U6" t="str">
        <f>[1]资金台帐!U6&amp;""</f>
        <v>收入</v>
      </c>
      <c r="W6" t="str">
        <f>[1]资金台帐!W6&amp;""</f>
        <v>✓</v>
      </c>
      <c r="X6" t="str">
        <f>[1]资金台帐!X6&amp;""</f>
        <v>√ 新客户首笔</v>
      </c>
      <c r="AB6">
        <f>[1]资金台帐!AB6</f>
        <v>9600</v>
      </c>
      <c r="AC6">
        <f>[1]资金台帐!AC6</f>
        <v>0</v>
      </c>
      <c r="AD6">
        <f>[1]资金台帐!AD6</f>
        <v>9600</v>
      </c>
      <c r="AJ6">
        <f>[1]资金台帐!AJ6</f>
        <v>0</v>
      </c>
      <c r="AK6">
        <f>[1]资金台帐!AK6</f>
        <v>1</v>
      </c>
      <c r="BA6" s="22">
        <f t="shared" ref="BA6:BA3005" si="0">IF(AND(P6=往来对账单!$F$3,P6&lt;&gt;"",OR(往来对账单!$C$3="全部",O6=往来对账单!$C$3),N6&gt;=往来对账单!$R$3,N6&lt;=往来对账单!$R$4,N(AB6)+N(AC6)&lt;&gt;0,N(AK6)=1),N6*100000+50000+ROW(),"")</f>
      </c>
      <c r="BG6" s="22">
        <f t="shared" ref="BG6:BG3005" si="1">IF(N(N6)=0,"",YEAR(N6)*100+MONTH(N6))</f>
        <v>202609</v>
      </c>
      <c r="BH6" s="22">
        <f t="shared" ref="BH6:BH3005" si="2">IF(O6="",0,IFERROR(MATCH(O6,基础资料!$B$5:$B$12,0),0))</f>
        <v>1</v>
      </c>
    </row>
    <row r="7">
      <c r="B7" t="str">
        <f>[1]资金台帐!B7&amp;""</f>
        <v>农行2896</v>
      </c>
      <c r="H7" t="str">
        <f>[1]资金台帐!H7&amp;""</f>
        <v>中国电信股份有限公司宁波分公司（电信）</v>
      </c>
      <c r="J7" t="str">
        <f>[1]资金台帐!J7&amp;""</f>
        <v>公共缴费</v>
      </c>
      <c r="N7">
        <f>[1]资金台帐!N7</f>
        <v>46266.0</v>
      </c>
      <c r="O7" t="str">
        <f>[1]资金台帐!O7&amp;""</f>
        <v>中智优力</v>
      </c>
      <c r="P7" t="str">
        <f>[1]资金台帐!P7&amp;""</f>
        <v>中国电信股份有限公司宁波分公司</v>
      </c>
      <c r="Q7" t="str">
        <f>[1]资金台帐!Q7&amp;""</f>
        <v>供应商</v>
      </c>
      <c r="T7" t="str">
        <f>[1]资金台帐!T7&amp;""</f>
        <v>办公费用</v>
      </c>
      <c r="U7" t="str">
        <f>[1]资金台帐!U7&amp;""</f>
        <v>变动成本</v>
      </c>
      <c r="W7" t="str">
        <f>[1]资金台帐!W7&amp;""</f>
        <v>✓</v>
      </c>
      <c r="X7" t="str">
        <f>[1]资金台帐!X7&amp;""</f>
        <v>√</v>
      </c>
      <c r="AB7">
        <f>[1]资金台帐!AB7</f>
        <v>0</v>
      </c>
      <c r="AC7">
        <f>[1]资金台帐!AC7</f>
        <v>214.29</v>
      </c>
      <c r="AD7">
        <f>[1]资金台帐!AD7</f>
        <v>-214.29</v>
      </c>
      <c r="AJ7">
        <f>[1]资金台帐!AJ7</f>
        <v>1</v>
      </c>
      <c r="AK7">
        <f>[1]资金台帐!AK7</f>
        <v>1</v>
      </c>
      <c r="BA7" s="22">
        <f t="shared" si="0"/>
      </c>
      <c r="BG7" s="22">
        <f t="shared" si="1"/>
        <v>202609</v>
      </c>
      <c r="BH7" s="22">
        <f t="shared" si="2"/>
        <v>1</v>
      </c>
    </row>
    <row r="8">
      <c r="B8" t="str">
        <f>[1]资金台帐!B8&amp;""</f>
        <v>农行2896</v>
      </c>
      <c r="H8" t="str">
        <f>[1]资金台帐!H8&amp;""</f>
        <v>宁波新鹏机械有限公司</v>
      </c>
      <c r="J8" t="str">
        <f>[1]资金台帐!J8&amp;""</f>
        <v>转存</v>
      </c>
      <c r="N8">
        <f>[1]资金台帐!N8</f>
        <v>46267.0</v>
      </c>
      <c r="O8" t="str">
        <f>[1]资金台帐!O8&amp;""</f>
        <v>中智优力</v>
      </c>
      <c r="P8" t="str">
        <f>[1]资金台帐!P8&amp;""</f>
        <v>宁波新鹏机械有限公司</v>
      </c>
      <c r="Q8" t="str">
        <f>[1]资金台帐!Q8&amp;""</f>
        <v>客户</v>
      </c>
      <c r="T8" t="str">
        <f>[1]资金台帐!T8&amp;""</f>
        <v>新增</v>
      </c>
      <c r="U8" t="str">
        <f>[1]资金台帐!U8&amp;""</f>
        <v>收入</v>
      </c>
      <c r="W8" t="str">
        <f>[1]资金台帐!W8&amp;""</f>
        <v>✓</v>
      </c>
      <c r="X8" t="str">
        <f>[1]资金台帐!X8&amp;""</f>
        <v>√ 新客户首笔</v>
      </c>
      <c r="AB8">
        <f>[1]资金台帐!AB8</f>
        <v>6000</v>
      </c>
      <c r="AC8">
        <f>[1]资金台帐!AC8</f>
        <v>0</v>
      </c>
      <c r="AD8">
        <f>[1]资金台帐!AD8</f>
        <v>6000</v>
      </c>
      <c r="AJ8">
        <f>[1]资金台帐!AJ8</f>
        <v>0</v>
      </c>
      <c r="AK8">
        <f>[1]资金台帐!AK8</f>
        <v>1</v>
      </c>
      <c r="BA8" s="22">
        <f t="shared" si="0"/>
      </c>
      <c r="BG8" s="22">
        <f t="shared" si="1"/>
        <v>202609</v>
      </c>
      <c r="BH8" s="22">
        <f t="shared" si="2"/>
        <v>1</v>
      </c>
    </row>
    <row r="9">
      <c r="B9" t="str">
        <f>[1]资金台帐!B9&amp;""</f>
        <v>农行2896</v>
      </c>
      <c r="H9" t="str">
        <f>[1]资金台帐!H9&amp;""</f>
        <v>宁波恒杰工业锁闭技术有限公司</v>
      </c>
      <c r="J9" t="str">
        <f>[1]资金台帐!J9&amp;""</f>
        <v>转存</v>
      </c>
      <c r="N9">
        <f>[1]资金台帐!N9</f>
        <v>46268.0</v>
      </c>
      <c r="O9" t="str">
        <f>[1]资金台帐!O9&amp;""</f>
        <v>中智优力</v>
      </c>
      <c r="P9" t="str">
        <f>[1]资金台帐!P9&amp;""</f>
        <v>宁波恒杰工业锁闭技术有限公司</v>
      </c>
      <c r="Q9" t="str">
        <f>[1]资金台帐!Q9&amp;""</f>
        <v>客户</v>
      </c>
      <c r="T9" t="str">
        <f>[1]资金台帐!T9&amp;""</f>
        <v>新增</v>
      </c>
      <c r="U9" t="str">
        <f>[1]资金台帐!U9&amp;""</f>
        <v>收入</v>
      </c>
      <c r="W9" t="str">
        <f>[1]资金台帐!W9&amp;""</f>
        <v>✓</v>
      </c>
      <c r="X9" t="str">
        <f>[1]资金台帐!X9&amp;""</f>
        <v>√ 新客户首笔</v>
      </c>
      <c r="AB9">
        <f>[1]资金台帐!AB9</f>
        <v>68800</v>
      </c>
      <c r="AC9">
        <f>[1]资金台帐!AC9</f>
        <v>0</v>
      </c>
      <c r="AD9">
        <f>[1]资金台帐!AD9</f>
        <v>68800</v>
      </c>
      <c r="AJ9">
        <f>[1]资金台帐!AJ9</f>
        <v>0</v>
      </c>
      <c r="AK9">
        <f>[1]资金台帐!AK9</f>
        <v>1</v>
      </c>
      <c r="BA9" s="22">
        <f t="shared" si="0"/>
      </c>
      <c r="BG9" s="22">
        <f t="shared" si="1"/>
        <v>202609</v>
      </c>
      <c r="BH9" s="22">
        <f t="shared" si="2"/>
        <v>1</v>
      </c>
    </row>
    <row r="10">
      <c r="B10" t="str">
        <f>[1]资金台帐!B10&amp;""</f>
        <v>农行2896</v>
      </c>
      <c r="H10" t="str">
        <f>[1]资金台帐!H10&amp;""</f>
        <v>郭伟健</v>
      </c>
      <c r="J10" t="str">
        <f>[1]资金台帐!J10&amp;""</f>
        <v>转存</v>
      </c>
      <c r="N10">
        <f>[1]资金台帐!N10</f>
        <v>46268.0</v>
      </c>
      <c r="O10" t="str">
        <f>[1]资金台帐!O10&amp;""</f>
        <v>中智优力</v>
      </c>
      <c r="P10">
        <f>[1]资金台帐!P10&amp;""</f>
      </c>
      <c r="Q10">
        <f>[1]资金台帐!Q10&amp;""</f>
      </c>
      <c r="T10">
        <f>[1]资金台帐!T10&amp;""</f>
      </c>
      <c r="U10">
        <f>[1]资金台帐!U10&amp;""</f>
      </c>
      <c r="W10" t="str">
        <f>[1]资金台帐!W10&amp;""</f>
        <v>✓</v>
      </c>
      <c r="X10" t="str">
        <f>[1]资金台帐!X10&amp;""</f>
        <v>✗ 认不出：对方户名没登记，到【往来单位】加，或点「去改」手工选</v>
      </c>
      <c r="AB10">
        <f>[1]资金台帐!AB10</f>
        <v>10000</v>
      </c>
      <c r="AC10">
        <f>[1]资金台帐!AC10</f>
        <v>0</v>
      </c>
      <c r="AD10">
        <f>[1]资金台帐!AD10</f>
        <v>10000</v>
      </c>
      <c r="AJ10">
        <f>[1]资金台帐!AJ10</f>
        <v>0</v>
      </c>
      <c r="AK10">
        <f>[1]资金台帐!AK10</f>
        <v>0</v>
      </c>
      <c r="BA10" s="22">
        <f t="shared" si="0"/>
      </c>
      <c r="BG10" s="22">
        <f t="shared" si="1"/>
        <v>202609</v>
      </c>
      <c r="BH10" s="22">
        <f t="shared" si="2"/>
        <v>1</v>
      </c>
    </row>
    <row r="11">
      <c r="B11" t="str">
        <f>[1]资金台帐!B11&amp;""</f>
        <v>农行2896</v>
      </c>
      <c r="H11" t="str">
        <f>[1]资金台帐!H11&amp;""</f>
        <v>宁波绮绘印花有限公司</v>
      </c>
      <c r="J11" t="str">
        <f>[1]资金台帐!J11&amp;""</f>
        <v>转存</v>
      </c>
      <c r="N11">
        <f>[1]资金台帐!N11</f>
        <v>46268.0</v>
      </c>
      <c r="O11" t="str">
        <f>[1]资金台帐!O11&amp;""</f>
        <v>中智优力</v>
      </c>
      <c r="P11" t="str">
        <f>[1]资金台帐!P11&amp;""</f>
        <v>宁波绮绘印花有限公司</v>
      </c>
      <c r="Q11" t="str">
        <f>[1]资金台帐!Q11&amp;""</f>
        <v>客户</v>
      </c>
      <c r="T11" t="str">
        <f>[1]资金台帐!T11&amp;""</f>
        <v>新增</v>
      </c>
      <c r="U11" t="str">
        <f>[1]资金台帐!U11&amp;""</f>
        <v>收入</v>
      </c>
      <c r="W11" t="str">
        <f>[1]资金台帐!W11&amp;""</f>
        <v>✓</v>
      </c>
      <c r="X11" t="str">
        <f>[1]资金台帐!X11&amp;""</f>
        <v>√ 新客户首笔</v>
      </c>
      <c r="AB11">
        <f>[1]资金台帐!AB11</f>
        <v>8000</v>
      </c>
      <c r="AC11">
        <f>[1]资金台帐!AC11</f>
        <v>0</v>
      </c>
      <c r="AD11">
        <f>[1]资金台帐!AD11</f>
        <v>8000</v>
      </c>
      <c r="AJ11">
        <f>[1]资金台帐!AJ11</f>
        <v>0</v>
      </c>
      <c r="AK11">
        <f>[1]资金台帐!AK11</f>
        <v>1</v>
      </c>
      <c r="BA11" s="22">
        <f t="shared" si="0"/>
      </c>
      <c r="BG11" s="22">
        <f t="shared" si="1"/>
        <v>202609</v>
      </c>
      <c r="BH11" s="22">
        <f t="shared" si="2"/>
        <v>1</v>
      </c>
    </row>
    <row r="12">
      <c r="B12" t="str">
        <f>[1]资金台帐!B12&amp;""</f>
        <v>农行2896</v>
      </c>
      <c r="H12" t="str">
        <f>[1]资金台帐!H12&amp;""</f>
        <v>浙江乾创智能技术有限公司</v>
      </c>
      <c r="J12" t="str">
        <f>[1]资金台帐!J12&amp;""</f>
        <v>转取</v>
      </c>
      <c r="N12">
        <f>[1]资金台帐!N12</f>
        <v>46269.0</v>
      </c>
      <c r="O12" t="str">
        <f>[1]资金台帐!O12&amp;""</f>
        <v>中智优力</v>
      </c>
      <c r="P12">
        <f>[1]资金台帐!P12&amp;""</f>
      </c>
      <c r="Q12">
        <f>[1]资金台帐!Q12&amp;""</f>
      </c>
      <c r="T12">
        <f>[1]资金台帐!T12&amp;""</f>
      </c>
      <c r="U12">
        <f>[1]资金台帐!U12&amp;""</f>
      </c>
      <c r="W12" t="str">
        <f>[1]资金台帐!W12&amp;""</f>
        <v>✓</v>
      </c>
      <c r="X12" t="str">
        <f>[1]资金台帐!X12&amp;""</f>
        <v>✗ 认不出：对方户名没登记，到【往来单位】加，或点「去改」手工选</v>
      </c>
      <c r="AB12">
        <f>[1]资金台帐!AB12</f>
        <v>0</v>
      </c>
      <c r="AC12">
        <f>[1]资金台帐!AC12</f>
        <v>10166.5</v>
      </c>
      <c r="AD12">
        <f>[1]资金台帐!AD12</f>
        <v>-10166.5</v>
      </c>
      <c r="AJ12">
        <f>[1]资金台帐!AJ12</f>
        <v>0</v>
      </c>
      <c r="AK12">
        <f>[1]资金台帐!AK12</f>
        <v>0</v>
      </c>
      <c r="BA12" s="22">
        <f t="shared" si="0"/>
      </c>
      <c r="BG12" s="22">
        <f t="shared" si="1"/>
        <v>202609</v>
      </c>
      <c r="BH12" s="22">
        <f t="shared" si="2"/>
        <v>1</v>
      </c>
    </row>
    <row r="13">
      <c r="B13" t="str">
        <f>[1]资金台帐!B13&amp;""</f>
        <v>农行2896</v>
      </c>
      <c r="H13" t="str">
        <f>[1]资金台帐!H13&amp;""</f>
        <v>中国农业银行股份有限公司宁波五乡支行</v>
      </c>
      <c r="J13" t="str">
        <f>[1]资金台帐!J13&amp;""</f>
        <v>费用外收</v>
      </c>
      <c r="N13">
        <f>[1]资金台帐!N13</f>
        <v>46269.0</v>
      </c>
      <c r="O13" t="str">
        <f>[1]资金台帐!O13&amp;""</f>
        <v>中智优力</v>
      </c>
      <c r="P13">
        <f>[1]资金台帐!P13&amp;""</f>
      </c>
      <c r="Q13">
        <f>[1]资金台帐!Q13&amp;""</f>
      </c>
      <c r="T13" t="str">
        <f>[1]资金台帐!T13&amp;""</f>
        <v>银行手续费</v>
      </c>
      <c r="U13" t="str">
        <f>[1]资金台帐!U13&amp;""</f>
        <v>变动成本</v>
      </c>
      <c r="W13" t="str">
        <f>[1]资金台帐!W13&amp;""</f>
        <v>✓</v>
      </c>
      <c r="X13" t="str">
        <f>[1]资金台帐!X13&amp;""</f>
        <v>√</v>
      </c>
      <c r="AB13">
        <f>[1]资金台帐!AB13</f>
        <v>0</v>
      </c>
      <c r="AC13">
        <f>[1]资金台帐!AC13</f>
        <v>0.9</v>
      </c>
      <c r="AD13">
        <f>[1]资金台帐!AD13</f>
        <v>-0.9</v>
      </c>
      <c r="AJ13">
        <f>[1]资金台帐!AJ13</f>
        <v>0</v>
      </c>
      <c r="AK13">
        <f>[1]资金台帐!AK13</f>
        <v>0</v>
      </c>
      <c r="BA13" s="22">
        <f t="shared" si="0"/>
      </c>
      <c r="BG13" s="22">
        <f t="shared" si="1"/>
        <v>202609</v>
      </c>
      <c r="BH13" s="22">
        <f t="shared" si="2"/>
        <v>1</v>
      </c>
    </row>
    <row r="14">
      <c r="B14" t="str">
        <f>[1]资金台帐!B14&amp;""</f>
        <v>农行2896</v>
      </c>
      <c r="H14" t="str">
        <f>[1]资金台帐!H14&amp;""</f>
        <v>浙江省成套工程有限公司鄞州分公司</v>
      </c>
      <c r="J14" t="str">
        <f>[1]资金台帐!J14&amp;""</f>
        <v>转存</v>
      </c>
      <c r="N14">
        <f>[1]资金台帐!N14</f>
        <v>46272.0</v>
      </c>
      <c r="O14" t="str">
        <f>[1]资金台帐!O14&amp;""</f>
        <v>中智优力</v>
      </c>
      <c r="P14" t="str">
        <f>[1]资金台帐!P14&amp;""</f>
        <v>浙江省成套工程有限公司鄞州分公司</v>
      </c>
      <c r="Q14" t="str">
        <f>[1]资金台帐!Q14&amp;""</f>
        <v>客户</v>
      </c>
      <c r="T14" t="str">
        <f>[1]资金台帐!T14&amp;""</f>
        <v>新增</v>
      </c>
      <c r="U14" t="str">
        <f>[1]资金台帐!U14&amp;""</f>
        <v>收入</v>
      </c>
      <c r="W14" t="str">
        <f>[1]资金台帐!W14&amp;""</f>
        <v>✓</v>
      </c>
      <c r="X14" t="str">
        <f>[1]资金台帐!X14&amp;""</f>
        <v>√ 新客户首笔</v>
      </c>
      <c r="AB14">
        <f>[1]资金台帐!AB14</f>
        <v>1800</v>
      </c>
      <c r="AC14">
        <f>[1]资金台帐!AC14</f>
        <v>0</v>
      </c>
      <c r="AD14">
        <f>[1]资金台帐!AD14</f>
        <v>1800</v>
      </c>
      <c r="AJ14">
        <f>[1]资金台帐!AJ14</f>
        <v>0</v>
      </c>
      <c r="AK14">
        <f>[1]资金台帐!AK14</f>
        <v>1</v>
      </c>
      <c r="BA14" s="22">
        <f t="shared" si="0"/>
      </c>
      <c r="BG14" s="22">
        <f t="shared" si="1"/>
        <v>202609</v>
      </c>
      <c r="BH14" s="22">
        <f t="shared" si="2"/>
        <v>1</v>
      </c>
    </row>
    <row r="15">
      <c r="B15" t="str">
        <f>[1]资金台帐!B15&amp;""</f>
        <v>农行2896</v>
      </c>
      <c r="H15" t="str">
        <f>[1]资金台帐!H15&amp;""</f>
        <v>宁波市吉安商会</v>
      </c>
      <c r="J15" t="str">
        <f>[1]资金台帐!J15&amp;""</f>
        <v>转存</v>
      </c>
      <c r="N15">
        <f>[1]资金台帐!N15</f>
        <v>46273.0</v>
      </c>
      <c r="O15" t="str">
        <f>[1]资金台帐!O15&amp;""</f>
        <v>中智优力</v>
      </c>
      <c r="P15" t="str">
        <f>[1]资金台帐!P15&amp;""</f>
        <v>宁波市吉安商会</v>
      </c>
      <c r="Q15" t="str">
        <f>[1]资金台帐!Q15&amp;""</f>
        <v>客户</v>
      </c>
      <c r="T15" t="str">
        <f>[1]资金台帐!T15&amp;""</f>
        <v>新增</v>
      </c>
      <c r="U15" t="str">
        <f>[1]资金台帐!U15&amp;""</f>
        <v>收入</v>
      </c>
      <c r="W15" t="str">
        <f>[1]资金台帐!W15&amp;""</f>
        <v>✓</v>
      </c>
      <c r="X15" t="str">
        <f>[1]资金台帐!X15&amp;""</f>
        <v>√ 新客户首笔</v>
      </c>
      <c r="AB15">
        <f>[1]资金台帐!AB15</f>
        <v>500</v>
      </c>
      <c r="AC15">
        <f>[1]资金台帐!AC15</f>
        <v>0</v>
      </c>
      <c r="AD15">
        <f>[1]资金台帐!AD15</f>
        <v>500</v>
      </c>
      <c r="AJ15">
        <f>[1]资金台帐!AJ15</f>
        <v>0</v>
      </c>
      <c r="AK15">
        <f>[1]资金台帐!AK15</f>
        <v>1</v>
      </c>
      <c r="BA15" s="22">
        <f t="shared" si="0"/>
      </c>
      <c r="BG15" s="22">
        <f t="shared" si="1"/>
        <v>202609</v>
      </c>
      <c r="BH15" s="22">
        <f t="shared" si="2"/>
        <v>1</v>
      </c>
    </row>
    <row r="16">
      <c r="B16" t="str">
        <f>[1]资金台帐!B16&amp;""</f>
        <v>农行2896</v>
      </c>
      <c r="H16" t="str">
        <f>[1]资金台帐!H16&amp;""</f>
        <v>宁波绵菡电子有限公司</v>
      </c>
      <c r="J16" t="str">
        <f>[1]资金台帐!J16&amp;""</f>
        <v>转存</v>
      </c>
      <c r="N16">
        <f>[1]资金台帐!N16</f>
        <v>46274.0</v>
      </c>
      <c r="O16" t="str">
        <f>[1]资金台帐!O16&amp;""</f>
        <v>中智优力</v>
      </c>
      <c r="P16" t="str">
        <f>[1]资金台帐!P16&amp;""</f>
        <v>宁波绵菡电子有限公司</v>
      </c>
      <c r="Q16" t="str">
        <f>[1]资金台帐!Q16&amp;""</f>
        <v>客户</v>
      </c>
      <c r="T16" t="str">
        <f>[1]资金台帐!T16&amp;""</f>
        <v>新增</v>
      </c>
      <c r="U16" t="str">
        <f>[1]资金台帐!U16&amp;""</f>
        <v>收入</v>
      </c>
      <c r="W16" t="str">
        <f>[1]资金台帐!W16&amp;""</f>
        <v>✓</v>
      </c>
      <c r="X16" t="str">
        <f>[1]资金台帐!X16&amp;""</f>
        <v>√ 新客户首笔</v>
      </c>
      <c r="AB16">
        <f>[1]资金台帐!AB16</f>
        <v>3000</v>
      </c>
      <c r="AC16">
        <f>[1]资金台帐!AC16</f>
        <v>0</v>
      </c>
      <c r="AD16">
        <f>[1]资金台帐!AD16</f>
        <v>3000</v>
      </c>
      <c r="AJ16">
        <f>[1]资金台帐!AJ16</f>
        <v>0</v>
      </c>
      <c r="AK16">
        <f>[1]资金台帐!AK16</f>
        <v>1</v>
      </c>
      <c r="BA16" s="22">
        <f t="shared" si="0"/>
      </c>
      <c r="BG16" s="22">
        <f t="shared" si="1"/>
        <v>202609</v>
      </c>
      <c r="BH16" s="22">
        <f t="shared" si="2"/>
        <v>1</v>
      </c>
    </row>
    <row r="17">
      <c r="B17" t="str">
        <f>[1]资金台帐!B17&amp;""</f>
        <v>农行2896</v>
      </c>
      <c r="H17" t="str">
        <f>[1]资金台帐!H17&amp;""</f>
        <v>宁波猫受屋玩具有限公司</v>
      </c>
      <c r="J17" t="str">
        <f>[1]资金台帐!J17&amp;""</f>
        <v>转取</v>
      </c>
      <c r="N17">
        <f>[1]资金台帐!N17</f>
        <v>46275.0</v>
      </c>
      <c r="O17" t="str">
        <f>[1]资金台帐!O17&amp;""</f>
        <v>中智优力</v>
      </c>
      <c r="P17">
        <f>[1]资金台帐!P17&amp;""</f>
      </c>
      <c r="Q17">
        <f>[1]资金台帐!Q17&amp;""</f>
      </c>
      <c r="T17">
        <f>[1]资金台帐!T17&amp;""</f>
      </c>
      <c r="U17">
        <f>[1]资金台帐!U17&amp;""</f>
      </c>
      <c r="W17" t="str">
        <f>[1]资金台帐!W17&amp;""</f>
        <v>✓</v>
      </c>
      <c r="X17" t="str">
        <f>[1]资金台帐!X17&amp;""</f>
        <v>✗ 认不出：对方户名没登记，到【往来单位】加，或点「去改」手工选</v>
      </c>
      <c r="AB17">
        <f>[1]资金台帐!AB17</f>
        <v>0</v>
      </c>
      <c r="AC17">
        <f>[1]资金台帐!AC17</f>
        <v>15000.02</v>
      </c>
      <c r="AD17">
        <f>[1]资金台帐!AD17</f>
        <v>-15000.02</v>
      </c>
      <c r="AJ17">
        <f>[1]资金台帐!AJ17</f>
        <v>0</v>
      </c>
      <c r="AK17">
        <f>[1]资金台帐!AK17</f>
        <v>0</v>
      </c>
      <c r="BA17" s="22">
        <f t="shared" si="0"/>
      </c>
      <c r="BG17" s="22">
        <f t="shared" si="1"/>
        <v>202609</v>
      </c>
      <c r="BH17" s="22">
        <f t="shared" si="2"/>
        <v>1</v>
      </c>
    </row>
    <row r="18">
      <c r="B18" t="str">
        <f>[1]资金台帐!B18&amp;""</f>
        <v>农行2896</v>
      </c>
      <c r="H18" t="str">
        <f>[1]资金台帐!H18&amp;""</f>
        <v>中国农业银行股份有限公司宁波五乡支行</v>
      </c>
      <c r="J18" t="str">
        <f>[1]资金台帐!J18&amp;""</f>
        <v>费用外收</v>
      </c>
      <c r="N18">
        <f>[1]资金台帐!N18</f>
        <v>46275.0</v>
      </c>
      <c r="O18" t="str">
        <f>[1]资金台帐!O18&amp;""</f>
        <v>中智优力</v>
      </c>
      <c r="P18">
        <f>[1]资金台帐!P18&amp;""</f>
      </c>
      <c r="Q18">
        <f>[1]资金台帐!Q18&amp;""</f>
      </c>
      <c r="T18" t="str">
        <f>[1]资金台帐!T18&amp;""</f>
        <v>银行手续费</v>
      </c>
      <c r="U18" t="str">
        <f>[1]资金台帐!U18&amp;""</f>
        <v>变动成本</v>
      </c>
      <c r="W18" t="str">
        <f>[1]资金台帐!W18&amp;""</f>
        <v>✓</v>
      </c>
      <c r="X18" t="str">
        <f>[1]资金台帐!X18&amp;""</f>
        <v>√</v>
      </c>
      <c r="AB18">
        <f>[1]资金台帐!AB18</f>
        <v>0</v>
      </c>
      <c r="AC18">
        <f>[1]资金台帐!AC18</f>
        <v>0.9</v>
      </c>
      <c r="AD18">
        <f>[1]资金台帐!AD18</f>
        <v>-0.9</v>
      </c>
      <c r="AJ18">
        <f>[1]资金台帐!AJ18</f>
        <v>0</v>
      </c>
      <c r="AK18">
        <f>[1]资金台帐!AK18</f>
        <v>0</v>
      </c>
      <c r="BA18" s="22">
        <f t="shared" si="0"/>
      </c>
      <c r="BG18" s="22">
        <f t="shared" si="1"/>
        <v>202609</v>
      </c>
      <c r="BH18" s="22">
        <f t="shared" si="2"/>
        <v>1</v>
      </c>
    </row>
    <row r="19">
      <c r="B19" t="str">
        <f>[1]资金台帐!B19&amp;""</f>
        <v>农行2896</v>
      </c>
      <c r="H19" t="str">
        <f>[1]资金台帐!H19&amp;""</f>
        <v>核糖（宁波）文创有限公司</v>
      </c>
      <c r="J19" t="str">
        <f>[1]资金台帐!J19&amp;""</f>
        <v>转取</v>
      </c>
      <c r="N19">
        <f>[1]资金台帐!N19</f>
        <v>46275.0</v>
      </c>
      <c r="O19" t="str">
        <f>[1]资金台帐!O19&amp;""</f>
        <v>中智优力</v>
      </c>
      <c r="P19">
        <f>[1]资金台帐!P19&amp;""</f>
      </c>
      <c r="Q19">
        <f>[1]资金台帐!Q19&amp;""</f>
      </c>
      <c r="T19">
        <f>[1]资金台帐!T19&amp;""</f>
      </c>
      <c r="U19">
        <f>[1]资金台帐!U19&amp;""</f>
      </c>
      <c r="W19" t="str">
        <f>[1]资金台帐!W19&amp;""</f>
        <v>✓</v>
      </c>
      <c r="X19" t="str">
        <f>[1]资金台帐!X19&amp;""</f>
        <v>✗ 认不出：对方户名没登记，到【往来单位】加，或点「去改」手工选</v>
      </c>
      <c r="AB19">
        <f>[1]资金台帐!AB19</f>
        <v>0</v>
      </c>
      <c r="AC19">
        <f>[1]资金台帐!AC19</f>
        <v>8333.36</v>
      </c>
      <c r="AD19">
        <f>[1]资金台帐!AD19</f>
        <v>-8333.36</v>
      </c>
      <c r="AJ19">
        <f>[1]资金台帐!AJ19</f>
        <v>0</v>
      </c>
      <c r="AK19">
        <f>[1]资金台帐!AK19</f>
        <v>0</v>
      </c>
      <c r="BA19" s="22">
        <f t="shared" si="0"/>
      </c>
      <c r="BG19" s="22">
        <f t="shared" si="1"/>
        <v>202609</v>
      </c>
      <c r="BH19" s="22">
        <f t="shared" si="2"/>
        <v>1</v>
      </c>
    </row>
    <row r="20">
      <c r="B20" t="str">
        <f>[1]资金台帐!B20&amp;""</f>
        <v>农行2896</v>
      </c>
      <c r="H20" t="str">
        <f>[1]资金台帐!H20&amp;""</f>
        <v>中国农业银行股份有限公司宁波五乡支行</v>
      </c>
      <c r="J20" t="str">
        <f>[1]资金台帐!J20&amp;""</f>
        <v>费用外收</v>
      </c>
      <c r="N20">
        <f>[1]资金台帐!N20</f>
        <v>46275.0</v>
      </c>
      <c r="O20" t="str">
        <f>[1]资金台帐!O20&amp;""</f>
        <v>中智优力</v>
      </c>
      <c r="P20">
        <f>[1]资金台帐!P20&amp;""</f>
      </c>
      <c r="Q20">
        <f>[1]资金台帐!Q20&amp;""</f>
      </c>
      <c r="T20" t="str">
        <f>[1]资金台帐!T20&amp;""</f>
        <v>银行手续费</v>
      </c>
      <c r="U20" t="str">
        <f>[1]资金台帐!U20&amp;""</f>
        <v>变动成本</v>
      </c>
      <c r="W20" t="str">
        <f>[1]资金台帐!W20&amp;""</f>
        <v>✓</v>
      </c>
      <c r="X20" t="str">
        <f>[1]资金台帐!X20&amp;""</f>
        <v>√</v>
      </c>
      <c r="AB20">
        <f>[1]资金台帐!AB20</f>
        <v>0</v>
      </c>
      <c r="AC20">
        <f>[1]资金台帐!AC20</f>
        <v>0.9</v>
      </c>
      <c r="AD20">
        <f>[1]资金台帐!AD20</f>
        <v>-0.9</v>
      </c>
      <c r="AJ20">
        <f>[1]资金台帐!AJ20</f>
        <v>0</v>
      </c>
      <c r="AK20">
        <f>[1]资金台帐!AK20</f>
        <v>0</v>
      </c>
      <c r="BA20" s="22">
        <f t="shared" si="0"/>
      </c>
      <c r="BG20" s="22">
        <f t="shared" si="1"/>
        <v>202609</v>
      </c>
      <c r="BH20" s="22">
        <f t="shared" si="2"/>
        <v>1</v>
      </c>
    </row>
    <row r="21">
      <c r="B21" t="str">
        <f>[1]资金台帐!B21&amp;""</f>
        <v>农行2896</v>
      </c>
      <c r="H21" t="str">
        <f>[1]资金台帐!H21&amp;""</f>
        <v>宁波启定塑料制品有限公司</v>
      </c>
      <c r="J21" t="str">
        <f>[1]资金台帐!J21&amp;""</f>
        <v>转存</v>
      </c>
      <c r="N21">
        <f>[1]资金台帐!N21</f>
        <v>46276.0</v>
      </c>
      <c r="O21" t="str">
        <f>[1]资金台帐!O21&amp;""</f>
        <v>中智优力</v>
      </c>
      <c r="P21" t="str">
        <f>[1]资金台帐!P21&amp;""</f>
        <v>宁波启定塑料制品有限公司</v>
      </c>
      <c r="Q21" t="str">
        <f>[1]资金台帐!Q21&amp;""</f>
        <v>客户</v>
      </c>
      <c r="T21" t="str">
        <f>[1]资金台帐!T21&amp;""</f>
        <v>新增</v>
      </c>
      <c r="U21" t="str">
        <f>[1]资金台帐!U21&amp;""</f>
        <v>收入</v>
      </c>
      <c r="W21" t="str">
        <f>[1]资金台帐!W21&amp;""</f>
        <v>✓</v>
      </c>
      <c r="X21" t="str">
        <f>[1]资金台帐!X21&amp;""</f>
        <v>√ 新客户首笔</v>
      </c>
      <c r="AB21">
        <f>[1]资金台帐!AB21</f>
        <v>300</v>
      </c>
      <c r="AC21">
        <f>[1]资金台帐!AC21</f>
        <v>0</v>
      </c>
      <c r="AD21">
        <f>[1]资金台帐!AD21</f>
        <v>300</v>
      </c>
      <c r="AJ21">
        <f>[1]资金台帐!AJ21</f>
        <v>0</v>
      </c>
      <c r="AK21">
        <f>[1]资金台帐!AK21</f>
        <v>1</v>
      </c>
      <c r="BA21" s="22">
        <f t="shared" si="0"/>
      </c>
      <c r="BG21" s="22">
        <f t="shared" si="1"/>
        <v>202609</v>
      </c>
      <c r="BH21" s="22">
        <f t="shared" si="2"/>
        <v>1</v>
      </c>
    </row>
    <row r="22">
      <c r="B22" t="str">
        <f>[1]资金台帐!B22&amp;""</f>
        <v>农行2896</v>
      </c>
      <c r="H22" t="str">
        <f>[1]资金台帐!H22&amp;""</f>
        <v>宁波蓝空科技服务有限公司</v>
      </c>
      <c r="J22" t="str">
        <f>[1]资金台帐!J22&amp;""</f>
        <v>转取</v>
      </c>
      <c r="N22">
        <f>[1]资金台帐!N22</f>
        <v>46276.0</v>
      </c>
      <c r="O22" t="str">
        <f>[1]资金台帐!O22&amp;""</f>
        <v>中智优力</v>
      </c>
      <c r="P22">
        <f>[1]资金台帐!P22&amp;""</f>
      </c>
      <c r="Q22">
        <f>[1]资金台帐!Q22&amp;""</f>
      </c>
      <c r="T22">
        <f>[1]资金台帐!T22&amp;""</f>
      </c>
      <c r="U22">
        <f>[1]资金台帐!U22&amp;""</f>
      </c>
      <c r="W22" t="str">
        <f>[1]资金台帐!W22&amp;""</f>
        <v>✓</v>
      </c>
      <c r="X22" t="str">
        <f>[1]资金台帐!X22&amp;""</f>
        <v>✗ 认不出：对方户名没登记，到【往来单位】加，或点「去改」手工选</v>
      </c>
      <c r="AB22">
        <f>[1]资金台帐!AB22</f>
        <v>0</v>
      </c>
      <c r="AC22">
        <f>[1]资金台帐!AC22</f>
        <v>12600</v>
      </c>
      <c r="AD22">
        <f>[1]资金台帐!AD22</f>
        <v>-12600</v>
      </c>
      <c r="AJ22">
        <f>[1]资金台帐!AJ22</f>
        <v>0</v>
      </c>
      <c r="AK22">
        <f>[1]资金台帐!AK22</f>
        <v>0</v>
      </c>
      <c r="BA22" s="22">
        <f t="shared" si="0"/>
      </c>
      <c r="BG22" s="22">
        <f t="shared" si="1"/>
        <v>202609</v>
      </c>
      <c r="BH22" s="22">
        <f t="shared" si="2"/>
        <v>1</v>
      </c>
    </row>
    <row r="23">
      <c r="B23" t="str">
        <f>[1]资金台帐!B23&amp;""</f>
        <v>农行2896</v>
      </c>
      <c r="H23" t="str">
        <f>[1]资金台帐!H23&amp;""</f>
        <v>宁波福盟企业管理有限公司</v>
      </c>
      <c r="J23" t="str">
        <f>[1]资金台帐!J23&amp;""</f>
        <v>转取</v>
      </c>
      <c r="N23">
        <f>[1]资金台帐!N23</f>
        <v>46276.0</v>
      </c>
      <c r="O23" t="str">
        <f>[1]资金台帐!O23&amp;""</f>
        <v>中智优力</v>
      </c>
      <c r="P23">
        <f>[1]资金台帐!P23&amp;""</f>
      </c>
      <c r="Q23">
        <f>[1]资金台帐!Q23&amp;""</f>
      </c>
      <c r="T23">
        <f>[1]资金台帐!T23&amp;""</f>
      </c>
      <c r="U23">
        <f>[1]资金台帐!U23&amp;""</f>
      </c>
      <c r="W23" t="str">
        <f>[1]资金台帐!W23&amp;""</f>
        <v>✓</v>
      </c>
      <c r="X23" t="str">
        <f>[1]资金台帐!X23&amp;""</f>
        <v>✗ 认不出：对方户名没登记，到【往来单位】加，或点「去改」手工选</v>
      </c>
      <c r="AB23">
        <f>[1]资金台帐!AB23</f>
        <v>0</v>
      </c>
      <c r="AC23">
        <f>[1]资金台帐!AC23</f>
        <v>21670</v>
      </c>
      <c r="AD23">
        <f>[1]资金台帐!AD23</f>
        <v>-21670</v>
      </c>
      <c r="AJ23">
        <f>[1]资金台帐!AJ23</f>
        <v>0</v>
      </c>
      <c r="AK23">
        <f>[1]资金台帐!AK23</f>
        <v>0</v>
      </c>
      <c r="BA23" s="22">
        <f t="shared" si="0"/>
      </c>
      <c r="BG23" s="22">
        <f t="shared" si="1"/>
        <v>202609</v>
      </c>
      <c r="BH23" s="22">
        <f t="shared" si="2"/>
        <v>1</v>
      </c>
    </row>
    <row r="24">
      <c r="B24" t="str">
        <f>[1]资金台帐!B24&amp;""</f>
        <v>农行2896</v>
      </c>
      <c r="H24" t="str">
        <f>[1]资金台帐!H24&amp;""</f>
        <v>中国农业银行股份有限公司宁波五乡支行</v>
      </c>
      <c r="J24" t="str">
        <f>[1]资金台帐!J24&amp;""</f>
        <v>费用外收</v>
      </c>
      <c r="N24">
        <f>[1]资金台帐!N24</f>
        <v>46276.0</v>
      </c>
      <c r="O24" t="str">
        <f>[1]资金台帐!O24&amp;""</f>
        <v>中智优力</v>
      </c>
      <c r="P24">
        <f>[1]资金台帐!P24&amp;""</f>
      </c>
      <c r="Q24">
        <f>[1]资金台帐!Q24&amp;""</f>
      </c>
      <c r="T24" t="str">
        <f>[1]资金台帐!T24&amp;""</f>
        <v>银行手续费</v>
      </c>
      <c r="U24" t="str">
        <f>[1]资金台帐!U24&amp;""</f>
        <v>变动成本</v>
      </c>
      <c r="W24" t="str">
        <f>[1]资金台帐!W24&amp;""</f>
        <v>✓</v>
      </c>
      <c r="X24" t="str">
        <f>[1]资金台帐!X24&amp;""</f>
        <v>√</v>
      </c>
      <c r="AB24">
        <f>[1]资金台帐!AB24</f>
        <v>0</v>
      </c>
      <c r="AC24">
        <f>[1]资金台帐!AC24</f>
        <v>0.9</v>
      </c>
      <c r="AD24">
        <f>[1]资金台帐!AD24</f>
        <v>-0.9</v>
      </c>
      <c r="AJ24">
        <f>[1]资金台帐!AJ24</f>
        <v>0</v>
      </c>
      <c r="AK24">
        <f>[1]资金台帐!AK24</f>
        <v>0</v>
      </c>
      <c r="BA24" s="22">
        <f t="shared" si="0"/>
      </c>
      <c r="BG24" s="22">
        <f t="shared" si="1"/>
        <v>202609</v>
      </c>
      <c r="BH24" s="22">
        <f t="shared" si="2"/>
        <v>1</v>
      </c>
    </row>
    <row r="25">
      <c r="B25" t="str">
        <f>[1]资金台帐!B25&amp;""</f>
        <v>农行2896</v>
      </c>
      <c r="H25" t="str">
        <f>[1]资金台帐!H25&amp;""</f>
        <v>宁波佳协永立服饰有限公司</v>
      </c>
      <c r="J25" t="str">
        <f>[1]资金台帐!J25&amp;""</f>
        <v>转存</v>
      </c>
      <c r="N25">
        <f>[1]资金台帐!N25</f>
        <v>46276.0</v>
      </c>
      <c r="O25" t="str">
        <f>[1]资金台帐!O25&amp;""</f>
        <v>中智优力</v>
      </c>
      <c r="P25" t="str">
        <f>[1]资金台帐!P25&amp;""</f>
        <v>宁波佳协永立服饰有限公司</v>
      </c>
      <c r="Q25" t="str">
        <f>[1]资金台帐!Q25&amp;""</f>
        <v>客户</v>
      </c>
      <c r="T25" t="str">
        <f>[1]资金台帐!T25&amp;""</f>
        <v>新增</v>
      </c>
      <c r="U25" t="str">
        <f>[1]资金台帐!U25&amp;""</f>
        <v>收入</v>
      </c>
      <c r="W25" t="str">
        <f>[1]资金台帐!W25&amp;""</f>
        <v>✓</v>
      </c>
      <c r="X25" t="str">
        <f>[1]资金台帐!X25&amp;""</f>
        <v>√ 新客户首笔</v>
      </c>
      <c r="AB25">
        <f>[1]资金台帐!AB25</f>
        <v>54000</v>
      </c>
      <c r="AC25">
        <f>[1]资金台帐!AC25</f>
        <v>0</v>
      </c>
      <c r="AD25">
        <f>[1]资金台帐!AD25</f>
        <v>54000</v>
      </c>
      <c r="AJ25">
        <f>[1]资金台帐!AJ25</f>
        <v>0</v>
      </c>
      <c r="AK25">
        <f>[1]资金台帐!AK25</f>
        <v>1</v>
      </c>
      <c r="BA25" s="22">
        <f t="shared" si="0"/>
      </c>
      <c r="BG25" s="22">
        <f t="shared" si="1"/>
        <v>202609</v>
      </c>
      <c r="BH25" s="22">
        <f t="shared" si="2"/>
        <v>1</v>
      </c>
    </row>
    <row r="26">
      <c r="B26" t="str">
        <f>[1]资金台帐!B26&amp;""</f>
        <v>农行2896</v>
      </c>
      <c r="H26">
        <f>[1]资金台帐!H26&amp;""</f>
      </c>
      <c r="J26" t="str">
        <f>[1]资金台帐!J26&amp;""</f>
        <v>转取</v>
      </c>
      <c r="N26">
        <f>[1]资金台帐!N26</f>
        <v>46277.0</v>
      </c>
      <c r="O26" t="str">
        <f>[1]资金台帐!O26&amp;""</f>
        <v>中智优力</v>
      </c>
      <c r="P26">
        <f>[1]资金台帐!P26&amp;""</f>
      </c>
      <c r="Q26">
        <f>[1]资金台帐!Q26&amp;""</f>
      </c>
      <c r="T26">
        <f>[1]资金台帐!T26&amp;""</f>
      </c>
      <c r="U26">
        <f>[1]资金台帐!U26&amp;""</f>
      </c>
      <c r="W26" t="str">
        <f>[1]资金台帐!W26&amp;""</f>
        <v>✓</v>
      </c>
      <c r="X26" t="str">
        <f>[1]资金台帐!X26&amp;""</f>
        <v>✗ 请点「去改」选收支项目</v>
      </c>
      <c r="AB26">
        <f>[1]资金台帐!AB26</f>
        <v>0</v>
      </c>
      <c r="AC26">
        <f>[1]资金台帐!AC26</f>
        <v>30</v>
      </c>
      <c r="AD26">
        <f>[1]资金台帐!AD26</f>
        <v>-30</v>
      </c>
      <c r="AJ26">
        <f>[1]资金台帐!AJ26</f>
        <v>0</v>
      </c>
      <c r="AK26">
        <f>[1]资金台帐!AK26</f>
        <v>0</v>
      </c>
      <c r="BA26" s="22">
        <f t="shared" si="0"/>
      </c>
      <c r="BG26" s="22">
        <f t="shared" si="1"/>
        <v>202609</v>
      </c>
      <c r="BH26" s="22">
        <f t="shared" si="2"/>
        <v>1</v>
      </c>
    </row>
    <row r="27">
      <c r="B27" t="str">
        <f>[1]资金台帐!B27&amp;""</f>
        <v>农行2896</v>
      </c>
      <c r="H27" t="str">
        <f>[1]资金台帐!H27&amp;""</f>
        <v>宁波市鄞州烈盛电子有限公司</v>
      </c>
      <c r="J27" t="str">
        <f>[1]资金台帐!J27&amp;""</f>
        <v>转存</v>
      </c>
      <c r="N27">
        <f>[1]资金台帐!N27</f>
        <v>46278.0</v>
      </c>
      <c r="O27" t="str">
        <f>[1]资金台帐!O27&amp;""</f>
        <v>中智优力</v>
      </c>
      <c r="P27" t="str">
        <f>[1]资金台帐!P27&amp;""</f>
        <v>宁波市鄞州烈盛电子有限公司</v>
      </c>
      <c r="Q27" t="str">
        <f>[1]资金台帐!Q27&amp;""</f>
        <v>客户</v>
      </c>
      <c r="T27" t="str">
        <f>[1]资金台帐!T27&amp;""</f>
        <v>新增</v>
      </c>
      <c r="U27" t="str">
        <f>[1]资金台帐!U27&amp;""</f>
        <v>收入</v>
      </c>
      <c r="W27" t="str">
        <f>[1]资金台帐!W27&amp;""</f>
        <v>✓</v>
      </c>
      <c r="X27" t="str">
        <f>[1]资金台帐!X27&amp;""</f>
        <v>√ 新客户首笔</v>
      </c>
      <c r="AB27">
        <f>[1]资金台帐!AB27</f>
        <v>2000</v>
      </c>
      <c r="AC27">
        <f>[1]资金台帐!AC27</f>
        <v>0</v>
      </c>
      <c r="AD27">
        <f>[1]资金台帐!AD27</f>
        <v>2000</v>
      </c>
      <c r="AJ27">
        <f>[1]资金台帐!AJ27</f>
        <v>0</v>
      </c>
      <c r="AK27">
        <f>[1]资金台帐!AK27</f>
        <v>1</v>
      </c>
      <c r="BA27" s="22">
        <f t="shared" si="0"/>
      </c>
      <c r="BG27" s="22">
        <f t="shared" si="1"/>
        <v>202609</v>
      </c>
      <c r="BH27" s="22">
        <f t="shared" si="2"/>
        <v>1</v>
      </c>
    </row>
    <row r="28">
      <c r="B28" t="str">
        <f>[1]资金台帐!B28&amp;""</f>
        <v>农行2896</v>
      </c>
      <c r="H28" t="str">
        <f>[1]资金台帐!H28&amp;""</f>
        <v>宁波盛晞钛金科技有限公司</v>
      </c>
      <c r="J28" t="str">
        <f>[1]资金台帐!J28&amp;""</f>
        <v>转存</v>
      </c>
      <c r="N28">
        <f>[1]资金台帐!N28</f>
        <v>46278.0</v>
      </c>
      <c r="O28" t="str">
        <f>[1]资金台帐!O28&amp;""</f>
        <v>中智优力</v>
      </c>
      <c r="P28" t="str">
        <f>[1]资金台帐!P28&amp;""</f>
        <v>宁波盛晞钛金科技有限公司</v>
      </c>
      <c r="Q28" t="str">
        <f>[1]资金台帐!Q28&amp;""</f>
        <v>客户</v>
      </c>
      <c r="T28" t="str">
        <f>[1]资金台帐!T28&amp;""</f>
        <v>新增</v>
      </c>
      <c r="U28" t="str">
        <f>[1]资金台帐!U28&amp;""</f>
        <v>收入</v>
      </c>
      <c r="W28" t="str">
        <f>[1]资金台帐!W28&amp;""</f>
        <v>✓</v>
      </c>
      <c r="X28" t="str">
        <f>[1]资金台帐!X28&amp;""</f>
        <v>√ 新客户首笔</v>
      </c>
      <c r="AB28">
        <f>[1]资金台帐!AB28</f>
        <v>1000</v>
      </c>
      <c r="AC28">
        <f>[1]资金台帐!AC28</f>
        <v>0</v>
      </c>
      <c r="AD28">
        <f>[1]资金台帐!AD28</f>
        <v>1000</v>
      </c>
      <c r="AJ28">
        <f>[1]资金台帐!AJ28</f>
        <v>0</v>
      </c>
      <c r="AK28">
        <f>[1]资金台帐!AK28</f>
        <v>1</v>
      </c>
      <c r="BA28" s="22">
        <f t="shared" si="0"/>
      </c>
      <c r="BG28" s="22">
        <f t="shared" si="1"/>
        <v>202609</v>
      </c>
      <c r="BH28" s="22">
        <f t="shared" si="2"/>
        <v>1</v>
      </c>
    </row>
    <row r="29">
      <c r="B29" t="str">
        <f>[1]资金台帐!B29&amp;""</f>
        <v>农行2896</v>
      </c>
      <c r="H29" t="str">
        <f>[1]资金台帐!H29&amp;""</f>
        <v>待报解预算收入－国库信息处理系统扣税</v>
      </c>
      <c r="J29" t="str">
        <f>[1]资金台帐!J29&amp;""</f>
        <v>公共缴费</v>
      </c>
      <c r="N29">
        <f>[1]资金台帐!N29</f>
        <v>46278.0</v>
      </c>
      <c r="O29" t="str">
        <f>[1]资金台帐!O29&amp;""</f>
        <v>中智优力</v>
      </c>
      <c r="P29" t="str">
        <f>[1]资金台帐!P29&amp;""</f>
        <v>国库（税款）</v>
      </c>
      <c r="Q29" t="str">
        <f>[1]资金台帐!Q29&amp;""</f>
        <v>税务银行</v>
      </c>
      <c r="T29" t="str">
        <f>[1]资金台帐!T29&amp;""</f>
        <v>税金</v>
      </c>
      <c r="U29" t="str">
        <f>[1]资金台帐!U29&amp;""</f>
        <v>变动成本</v>
      </c>
      <c r="W29" t="str">
        <f>[1]资金台帐!W29&amp;""</f>
        <v>✓</v>
      </c>
      <c r="X29" t="str">
        <f>[1]资金台帐!X29&amp;""</f>
        <v>⚠ 税务扣款默认算税金：是社保（挂靠）的点「去改」改</v>
      </c>
      <c r="AB29">
        <f>[1]资金台帐!AB29</f>
        <v>0</v>
      </c>
      <c r="AC29">
        <f>[1]资金台帐!AC29</f>
        <v>790.77</v>
      </c>
      <c r="AD29">
        <f>[1]资金台帐!AD29</f>
        <v>-790.77</v>
      </c>
      <c r="AJ29">
        <f>[1]资金台帐!AJ29</f>
        <v>0</v>
      </c>
      <c r="AK29">
        <f>[1]资金台帐!AK29</f>
        <v>0</v>
      </c>
      <c r="BA29" s="22">
        <f t="shared" si="0"/>
      </c>
      <c r="BG29" s="22">
        <f t="shared" si="1"/>
        <v>202609</v>
      </c>
      <c r="BH29" s="22">
        <f t="shared" si="2"/>
        <v>1</v>
      </c>
    </row>
    <row r="30">
      <c r="B30" t="str">
        <f>[1]资金台帐!B30&amp;""</f>
        <v>农行2896</v>
      </c>
      <c r="H30" t="str">
        <f>[1]资金台帐!H30&amp;""</f>
        <v>待报解预算收入－国库信息处理系统扣税</v>
      </c>
      <c r="J30" t="str">
        <f>[1]资金台帐!J30&amp;""</f>
        <v>公共缴费</v>
      </c>
      <c r="N30">
        <f>[1]资金台帐!N30</f>
        <v>46278.0</v>
      </c>
      <c r="O30" t="str">
        <f>[1]资金台帐!O30&amp;""</f>
        <v>中智优力</v>
      </c>
      <c r="P30" t="str">
        <f>[1]资金台帐!P30&amp;""</f>
        <v>国库（税款）</v>
      </c>
      <c r="Q30" t="str">
        <f>[1]资金台帐!Q30&amp;""</f>
        <v>税务银行</v>
      </c>
      <c r="T30" t="str">
        <f>[1]资金台帐!T30&amp;""</f>
        <v>税金</v>
      </c>
      <c r="U30" t="str">
        <f>[1]资金台帐!U30&amp;""</f>
        <v>变动成本</v>
      </c>
      <c r="W30" t="str">
        <f>[1]资金台帐!W30&amp;""</f>
        <v>✓</v>
      </c>
      <c r="X30" t="str">
        <f>[1]资金台帐!X30&amp;""</f>
        <v>⚠ 税务扣款默认算税金：是社保（挂靠）的点「去改」改</v>
      </c>
      <c r="AB30">
        <f>[1]资金台帐!AB30</f>
        <v>0</v>
      </c>
      <c r="AC30">
        <f>[1]资金台帐!AC30</f>
        <v>21370</v>
      </c>
      <c r="AD30">
        <f>[1]资金台帐!AD30</f>
        <v>-21370</v>
      </c>
      <c r="AJ30">
        <f>[1]资金台帐!AJ30</f>
        <v>0</v>
      </c>
      <c r="AK30">
        <f>[1]资金台帐!AK30</f>
        <v>0</v>
      </c>
      <c r="BA30" s="22">
        <f t="shared" si="0"/>
      </c>
      <c r="BG30" s="22">
        <f t="shared" si="1"/>
        <v>202609</v>
      </c>
      <c r="BH30" s="22">
        <f t="shared" si="2"/>
        <v>1</v>
      </c>
    </row>
    <row r="31">
      <c r="B31" t="str">
        <f>[1]资金台帐!B31&amp;""</f>
        <v>农行2896</v>
      </c>
      <c r="H31" t="str">
        <f>[1]资金台帐!H31&amp;""</f>
        <v>宁波市华方塑料机械制造有限公司</v>
      </c>
      <c r="J31" t="str">
        <f>[1]资金台帐!J31&amp;""</f>
        <v>转存</v>
      </c>
      <c r="N31">
        <f>[1]资金台帐!N31</f>
        <v>46279.0</v>
      </c>
      <c r="O31" t="str">
        <f>[1]资金台帐!O31&amp;""</f>
        <v>中智优力</v>
      </c>
      <c r="P31" t="str">
        <f>[1]资金台帐!P31&amp;""</f>
        <v>宁波市华方塑料机械制造有限公司</v>
      </c>
      <c r="Q31" t="str">
        <f>[1]资金台帐!Q31&amp;""</f>
        <v>客户</v>
      </c>
      <c r="T31" t="str">
        <f>[1]资金台帐!T31&amp;""</f>
        <v>新增</v>
      </c>
      <c r="U31" t="str">
        <f>[1]资金台帐!U31&amp;""</f>
        <v>收入</v>
      </c>
      <c r="W31" t="str">
        <f>[1]资金台帐!W31&amp;""</f>
        <v>✓</v>
      </c>
      <c r="X31" t="str">
        <f>[1]资金台帐!X31&amp;""</f>
        <v>√ 新客户首笔</v>
      </c>
      <c r="AB31">
        <f>[1]资金台帐!AB31</f>
        <v>10000</v>
      </c>
      <c r="AC31">
        <f>[1]资金台帐!AC31</f>
        <v>0</v>
      </c>
      <c r="AD31">
        <f>[1]资金台帐!AD31</f>
        <v>10000</v>
      </c>
      <c r="AJ31">
        <f>[1]资金台帐!AJ31</f>
        <v>0</v>
      </c>
      <c r="AK31">
        <f>[1]资金台帐!AK31</f>
        <v>1</v>
      </c>
      <c r="BA31" s="22">
        <f t="shared" si="0"/>
        <v>4627950031</v>
      </c>
      <c r="BG31" s="22">
        <f t="shared" si="1"/>
        <v>202609</v>
      </c>
      <c r="BH31" s="22">
        <f t="shared" si="2"/>
        <v>1</v>
      </c>
    </row>
    <row r="32">
      <c r="B32" t="str">
        <f>[1]资金台帐!B32&amp;""</f>
        <v>农行2896</v>
      </c>
      <c r="H32" t="str">
        <f>[1]资金台帐!H32&amp;""</f>
        <v>宁波恒世通实业有限公司</v>
      </c>
      <c r="J32" t="str">
        <f>[1]资金台帐!J32&amp;""</f>
        <v>转存</v>
      </c>
      <c r="N32">
        <f>[1]资金台帐!N32</f>
        <v>46279.0</v>
      </c>
      <c r="O32" t="str">
        <f>[1]资金台帐!O32&amp;""</f>
        <v>中智优力</v>
      </c>
      <c r="P32" t="str">
        <f>[1]资金台帐!P32&amp;""</f>
        <v>宁波恒世通实业有限公司</v>
      </c>
      <c r="Q32" t="str">
        <f>[1]资金台帐!Q32&amp;""</f>
        <v>客户</v>
      </c>
      <c r="T32" t="str">
        <f>[1]资金台帐!T32&amp;""</f>
        <v>新增</v>
      </c>
      <c r="U32" t="str">
        <f>[1]资金台帐!U32&amp;""</f>
        <v>收入</v>
      </c>
      <c r="W32" t="str">
        <f>[1]资金台帐!W32&amp;""</f>
        <v>✓</v>
      </c>
      <c r="X32" t="str">
        <f>[1]资金台帐!X32&amp;""</f>
        <v>√ 新客户首笔</v>
      </c>
      <c r="AB32">
        <f>[1]资金台帐!AB32</f>
        <v>6000</v>
      </c>
      <c r="AC32">
        <f>[1]资金台帐!AC32</f>
        <v>0</v>
      </c>
      <c r="AD32">
        <f>[1]资金台帐!AD32</f>
        <v>6000</v>
      </c>
      <c r="AJ32">
        <f>[1]资金台帐!AJ32</f>
        <v>0</v>
      </c>
      <c r="AK32">
        <f>[1]资金台帐!AK32</f>
        <v>1</v>
      </c>
      <c r="BA32" s="22">
        <f t="shared" si="0"/>
      </c>
      <c r="BG32" s="22">
        <f t="shared" si="1"/>
        <v>202609</v>
      </c>
      <c r="BH32" s="22">
        <f t="shared" si="2"/>
        <v>1</v>
      </c>
    </row>
    <row r="33">
      <c r="B33" t="str">
        <f>[1]资金台帐!B33&amp;""</f>
        <v>鄞州农商9654</v>
      </c>
      <c r="H33" t="str">
        <f>[1]资金台帐!H33&amp;""</f>
        <v>宁波市注册税务师协会</v>
      </c>
      <c r="J33" t="str">
        <f>[1]资金台帐!J33&amp;""</f>
        <v>会费</v>
      </c>
      <c r="N33">
        <f>[1]资金台帐!N33</f>
        <v>46182.0</v>
      </c>
      <c r="O33" t="str">
        <f>[1]资金台帐!O33&amp;""</f>
        <v>中慧优力</v>
      </c>
      <c r="P33">
        <f>[1]资金台帐!P33&amp;""</f>
      </c>
      <c r="Q33">
        <f>[1]资金台帐!Q33&amp;""</f>
      </c>
      <c r="T33">
        <f>[1]资金台帐!T33&amp;""</f>
      </c>
      <c r="U33">
        <f>[1]资金台帐!U33&amp;""</f>
      </c>
      <c r="W33" t="str">
        <f>[1]资金台帐!W33&amp;""</f>
        <v>✓</v>
      </c>
      <c r="X33" t="str">
        <f>[1]资金台帐!X33&amp;""</f>
        <v>✗ 认不出：对方户名没登记，到【往来单位】加，或点「去改」手工选</v>
      </c>
      <c r="AB33">
        <f>[1]资金台帐!AB33</f>
        <v>0</v>
      </c>
      <c r="AC33">
        <f>[1]资金台帐!AC33</f>
        <v>3480</v>
      </c>
      <c r="AD33">
        <f>[1]资金台帐!AD33</f>
        <v>-3480</v>
      </c>
      <c r="AJ33">
        <f>[1]资金台帐!AJ33</f>
        <v>0</v>
      </c>
      <c r="AK33">
        <f>[1]资金台帐!AK33</f>
        <v>0</v>
      </c>
      <c r="BA33" s="22">
        <f t="shared" si="0"/>
      </c>
      <c r="BG33" s="22">
        <f t="shared" si="1"/>
        <v>202606</v>
      </c>
      <c r="BH33" s="22">
        <f t="shared" si="2"/>
        <v>2</v>
      </c>
    </row>
    <row r="34">
      <c r="B34" t="str">
        <f>[1]资金台帐!B34&amp;""</f>
        <v>鄞州农商9654</v>
      </c>
      <c r="H34" t="str">
        <f>[1]资金台帐!H34&amp;""</f>
        <v>待报解预算收入（全国财税关库银横向联网财税）</v>
      </c>
      <c r="J34" t="str">
        <f>[1]资金台帐!J34&amp;""</f>
        <v>社保</v>
      </c>
      <c r="N34">
        <f>[1]资金台帐!N34</f>
        <v>46185.0</v>
      </c>
      <c r="O34" t="str">
        <f>[1]资金台帐!O34&amp;""</f>
        <v>中慧优力</v>
      </c>
      <c r="P34">
        <f>[1]资金台帐!P34&amp;""</f>
      </c>
      <c r="Q34">
        <f>[1]资金台帐!Q34&amp;""</f>
      </c>
      <c r="T34" t="str">
        <f>[1]资金台帐!T34&amp;""</f>
        <v>人工-社保</v>
      </c>
      <c r="U34" t="str">
        <f>[1]资金台帐!U34&amp;""</f>
        <v>变动成本</v>
      </c>
      <c r="W34" t="str">
        <f>[1]资金台帐!W34&amp;""</f>
        <v>✓</v>
      </c>
      <c r="X34" t="str">
        <f>[1]资金台帐!X34&amp;""</f>
        <v>√</v>
      </c>
      <c r="AB34">
        <f>[1]资金台帐!AB34</f>
        <v>0</v>
      </c>
      <c r="AC34">
        <f>[1]资金台帐!AC34</f>
        <v>13091.94</v>
      </c>
      <c r="AD34">
        <f>[1]资金台帐!AD34</f>
        <v>-13091.94</v>
      </c>
      <c r="AJ34">
        <f>[1]资金台帐!AJ34</f>
        <v>0</v>
      </c>
      <c r="AK34">
        <f>[1]资金台帐!AK34</f>
        <v>0</v>
      </c>
      <c r="BA34" s="22">
        <f t="shared" si="0"/>
      </c>
      <c r="BG34" s="22">
        <f t="shared" si="1"/>
        <v>202606</v>
      </c>
      <c r="BH34" s="22">
        <f t="shared" si="2"/>
        <v>2</v>
      </c>
    </row>
    <row r="35">
      <c r="B35" t="str">
        <f>[1]资金台帐!B35&amp;""</f>
        <v>鄞州农商9654</v>
      </c>
      <c r="H35" t="str">
        <f>[1]资金台帐!H35&amp;""</f>
        <v>宁波恒世通实业有限公司</v>
      </c>
      <c r="J35" t="str">
        <f>[1]资金台帐!J35&amp;""</f>
        <v>财务服务费25.6.1-27.5.31</v>
      </c>
      <c r="N35">
        <f>[1]资金台帐!N35</f>
        <v>46188.0</v>
      </c>
      <c r="O35" t="str">
        <f>[1]资金台帐!O35&amp;""</f>
        <v>中慧优力</v>
      </c>
      <c r="P35" t="str">
        <f>[1]资金台帐!P35&amp;""</f>
        <v>宁波恒世通实业有限公司</v>
      </c>
      <c r="Q35" t="str">
        <f>[1]资金台帐!Q35&amp;""</f>
        <v>客户</v>
      </c>
      <c r="T35" t="str">
        <f>[1]资金台帐!T35&amp;""</f>
        <v>新增</v>
      </c>
      <c r="U35" t="str">
        <f>[1]资金台帐!U35&amp;""</f>
        <v>收入</v>
      </c>
      <c r="W35" t="str">
        <f>[1]资金台帐!W35&amp;""</f>
        <v>✓</v>
      </c>
      <c r="X35" t="str">
        <f>[1]资金台帐!X35&amp;""</f>
        <v>√ 新客户首笔</v>
      </c>
      <c r="AB35">
        <f>[1]资金台帐!AB35</f>
        <v>50000</v>
      </c>
      <c r="AC35">
        <f>[1]资金台帐!AC35</f>
        <v>0</v>
      </c>
      <c r="AD35">
        <f>[1]资金台帐!AD35</f>
        <v>50000</v>
      </c>
      <c r="AJ35">
        <f>[1]资金台帐!AJ35</f>
        <v>0</v>
      </c>
      <c r="AK35">
        <f>[1]资金台帐!AK35</f>
        <v>1</v>
      </c>
      <c r="BA35" s="22">
        <f t="shared" si="0"/>
      </c>
      <c r="BG35" s="22">
        <f t="shared" si="1"/>
        <v>202606</v>
      </c>
      <c r="BH35" s="22">
        <f t="shared" si="2"/>
        <v>2</v>
      </c>
    </row>
    <row r="36">
      <c r="B36" t="str">
        <f>[1]资金台帐!B36&amp;""</f>
        <v>鄞州农商9654</v>
      </c>
      <c r="H36" t="str">
        <f>[1]资金台帐!H36&amp;""</f>
        <v>王艳鹭</v>
      </c>
      <c r="J36" t="str">
        <f>[1]资金台帐!J36&amp;""</f>
        <v>工资</v>
      </c>
      <c r="N36">
        <f>[1]资金台帐!N36</f>
        <v>46191.0</v>
      </c>
      <c r="O36" t="str">
        <f>[1]资金台帐!O36&amp;""</f>
        <v>中慧优力</v>
      </c>
      <c r="P36">
        <f>[1]资金台帐!P36&amp;""</f>
      </c>
      <c r="Q36">
        <f>[1]资金台帐!Q36&amp;""</f>
      </c>
      <c r="T36" t="str">
        <f>[1]资金台帐!T36&amp;""</f>
        <v>人工-工资</v>
      </c>
      <c r="U36" t="str">
        <f>[1]资金台帐!U36&amp;""</f>
        <v>变动成本</v>
      </c>
      <c r="W36" t="str">
        <f>[1]资金台帐!W36&amp;""</f>
        <v>✓</v>
      </c>
      <c r="X36" t="str">
        <f>[1]资金台帐!X36&amp;""</f>
        <v>√</v>
      </c>
      <c r="AB36">
        <f>[1]资金台帐!AB36</f>
        <v>0</v>
      </c>
      <c r="AC36">
        <f>[1]资金台帐!AC36</f>
        <v>4305</v>
      </c>
      <c r="AD36">
        <f>[1]资金台帐!AD36</f>
        <v>-4305</v>
      </c>
      <c r="AJ36">
        <f>[1]资金台帐!AJ36</f>
        <v>0</v>
      </c>
      <c r="AK36">
        <f>[1]资金台帐!AK36</f>
        <v>0</v>
      </c>
      <c r="BA36" s="22">
        <f t="shared" si="0"/>
      </c>
      <c r="BG36" s="22">
        <f t="shared" si="1"/>
        <v>202606</v>
      </c>
      <c r="BH36" s="22">
        <f t="shared" si="2"/>
        <v>2</v>
      </c>
    </row>
    <row r="37">
      <c r="B37" t="str">
        <f>[1]资金台帐!B37&amp;""</f>
        <v>鄞州农商9654</v>
      </c>
      <c r="H37" t="str">
        <f>[1]资金台帐!H37&amp;""</f>
        <v>杨姣波</v>
      </c>
      <c r="J37" t="str">
        <f>[1]资金台帐!J37&amp;""</f>
        <v>工资</v>
      </c>
      <c r="N37">
        <f>[1]资金台帐!N37</f>
        <v>46191.0</v>
      </c>
      <c r="O37" t="str">
        <f>[1]资金台帐!O37&amp;""</f>
        <v>中慧优力</v>
      </c>
      <c r="P37">
        <f>[1]资金台帐!P37&amp;""</f>
      </c>
      <c r="Q37">
        <f>[1]资金台帐!Q37&amp;""</f>
      </c>
      <c r="T37" t="str">
        <f>[1]资金台帐!T37&amp;""</f>
        <v>人工-工资</v>
      </c>
      <c r="U37" t="str">
        <f>[1]资金台帐!U37&amp;""</f>
        <v>变动成本</v>
      </c>
      <c r="W37" t="str">
        <f>[1]资金台帐!W37&amp;""</f>
        <v>✓</v>
      </c>
      <c r="X37" t="str">
        <f>[1]资金台帐!X37&amp;""</f>
        <v>√</v>
      </c>
      <c r="AB37">
        <f>[1]资金台帐!AB37</f>
        <v>0</v>
      </c>
      <c r="AC37">
        <f>[1]资金台帐!AC37</f>
        <v>3976.47</v>
      </c>
      <c r="AD37">
        <f>[1]资金台帐!AD37</f>
        <v>-3976.47</v>
      </c>
      <c r="AJ37">
        <f>[1]资金台帐!AJ37</f>
        <v>0</v>
      </c>
      <c r="AK37">
        <f>[1]资金台帐!AK37</f>
        <v>0</v>
      </c>
      <c r="BA37" s="22">
        <f t="shared" si="0"/>
      </c>
      <c r="BG37" s="22">
        <f t="shared" si="1"/>
        <v>202606</v>
      </c>
      <c r="BH37" s="22">
        <f t="shared" si="2"/>
        <v>2</v>
      </c>
    </row>
    <row r="38">
      <c r="B38" t="str">
        <f>[1]资金台帐!B38&amp;""</f>
        <v>鄞州农商9654</v>
      </c>
      <c r="H38" t="str">
        <f>[1]资金台帐!H38&amp;""</f>
        <v>汪优丽</v>
      </c>
      <c r="J38" t="str">
        <f>[1]资金台帐!J38&amp;""</f>
        <v>工资</v>
      </c>
      <c r="N38">
        <f>[1]资金台帐!N38</f>
        <v>46191.0</v>
      </c>
      <c r="O38" t="str">
        <f>[1]资金台帐!O38&amp;""</f>
        <v>中慧优力</v>
      </c>
      <c r="P38">
        <f>[1]资金台帐!P38&amp;""</f>
      </c>
      <c r="Q38">
        <f>[1]资金台帐!Q38&amp;""</f>
      </c>
      <c r="T38" t="str">
        <f>[1]资金台帐!T38&amp;""</f>
        <v>人工-工资</v>
      </c>
      <c r="U38" t="str">
        <f>[1]资金台帐!U38&amp;""</f>
        <v>变动成本</v>
      </c>
      <c r="W38" t="str">
        <f>[1]资金台帐!W38&amp;""</f>
        <v>✓</v>
      </c>
      <c r="X38" t="str">
        <f>[1]资金台帐!X38&amp;""</f>
        <v>√</v>
      </c>
      <c r="AB38">
        <f>[1]资金台帐!AB38</f>
        <v>0</v>
      </c>
      <c r="AC38">
        <f>[1]资金台帐!AC38</f>
        <v>10493.35</v>
      </c>
      <c r="AD38">
        <f>[1]资金台帐!AD38</f>
        <v>-10493.35</v>
      </c>
      <c r="AJ38">
        <f>[1]资金台帐!AJ38</f>
        <v>0</v>
      </c>
      <c r="AK38">
        <f>[1]资金台帐!AK38</f>
        <v>0</v>
      </c>
      <c r="BA38" s="22">
        <f t="shared" si="0"/>
      </c>
      <c r="BG38" s="22">
        <f t="shared" si="1"/>
        <v>202606</v>
      </c>
      <c r="BH38" s="22">
        <f t="shared" si="2"/>
        <v>2</v>
      </c>
    </row>
    <row r="39">
      <c r="B39" t="str">
        <f>[1]资金台帐!B39&amp;""</f>
        <v>鄞州农商9654</v>
      </c>
      <c r="H39" t="str">
        <f>[1]资金台帐!H39&amp;""</f>
        <v>宁波市住房公积金管理中心</v>
      </c>
      <c r="J39" t="str">
        <f>[1]资金台帐!J39&amp;""</f>
        <v>3320016000HCHC1994329,宁波市住房公积金管理中代扣</v>
      </c>
      <c r="N39">
        <f>[1]资金台帐!N39</f>
        <v>46192.0</v>
      </c>
      <c r="O39" t="str">
        <f>[1]资金台帐!O39&amp;""</f>
        <v>中慧优力</v>
      </c>
      <c r="P39">
        <f>[1]资金台帐!P39&amp;""</f>
      </c>
      <c r="Q39">
        <f>[1]资金台帐!Q39&amp;""</f>
      </c>
      <c r="T39" t="str">
        <f>[1]资金台帐!T39&amp;""</f>
        <v>人工-社保</v>
      </c>
      <c r="U39" t="str">
        <f>[1]资金台帐!U39&amp;""</f>
        <v>变动成本</v>
      </c>
      <c r="W39" t="str">
        <f>[1]资金台帐!W39&amp;""</f>
        <v>✓</v>
      </c>
      <c r="X39" t="str">
        <f>[1]资金台帐!X39&amp;""</f>
        <v>√</v>
      </c>
      <c r="AB39">
        <f>[1]资金台帐!AB39</f>
        <v>0</v>
      </c>
      <c r="AC39">
        <f>[1]资金台帐!AC39</f>
        <v>3266</v>
      </c>
      <c r="AD39">
        <f>[1]资金台帐!AD39</f>
        <v>-3266</v>
      </c>
      <c r="AJ39">
        <f>[1]资金台帐!AJ39</f>
        <v>0</v>
      </c>
      <c r="AK39">
        <f>[1]资金台帐!AK39</f>
        <v>0</v>
      </c>
      <c r="BA39" s="22">
        <f t="shared" si="0"/>
      </c>
      <c r="BG39" s="22">
        <f t="shared" si="1"/>
        <v>202606</v>
      </c>
      <c r="BH39" s="22">
        <f t="shared" si="2"/>
        <v>2</v>
      </c>
    </row>
    <row r="40">
      <c r="B40" t="str">
        <f>[1]资金台帐!B40&amp;""</f>
        <v>鄞州农商9654</v>
      </c>
      <c r="H40" t="str">
        <f>[1]资金台帐!H40&amp;""</f>
        <v>单位活期存款应计付利息</v>
      </c>
      <c r="J40" t="str">
        <f>[1]资金台帐!J40&amp;""</f>
        <v>季度结息</v>
      </c>
      <c r="N40">
        <f>[1]资金台帐!N40</f>
        <v>46194.0</v>
      </c>
      <c r="O40" t="str">
        <f>[1]资金台帐!O40&amp;""</f>
        <v>中慧优力</v>
      </c>
      <c r="P40">
        <f>[1]资金台帐!P40&amp;""</f>
      </c>
      <c r="Q40">
        <f>[1]资金台帐!Q40&amp;""</f>
      </c>
      <c r="T40" t="str">
        <f>[1]资金台帐!T40&amp;""</f>
        <v>其他收入</v>
      </c>
      <c r="U40" t="str">
        <f>[1]资金台帐!U40&amp;""</f>
        <v>收入</v>
      </c>
      <c r="W40" t="str">
        <f>[1]资金台帐!W40&amp;""</f>
        <v>✓</v>
      </c>
      <c r="X40" t="str">
        <f>[1]资金台帐!X40&amp;""</f>
        <v>√</v>
      </c>
      <c r="AB40">
        <f>[1]资金台帐!AB40</f>
        <v>5.45</v>
      </c>
      <c r="AC40">
        <f>[1]资金台帐!AC40</f>
        <v>0</v>
      </c>
      <c r="AD40">
        <f>[1]资金台帐!AD40</f>
        <v>5.45</v>
      </c>
      <c r="AJ40">
        <f>[1]资金台帐!AJ40</f>
        <v>0</v>
      </c>
      <c r="AK40">
        <f>[1]资金台帐!AK40</f>
        <v>1</v>
      </c>
      <c r="BA40" s="22">
        <f t="shared" si="0"/>
      </c>
      <c r="BG40" s="22">
        <f t="shared" si="1"/>
        <v>202606</v>
      </c>
      <c r="BH40" s="22">
        <f t="shared" si="2"/>
        <v>2</v>
      </c>
    </row>
    <row r="41">
      <c r="B41" t="str">
        <f>[1]资金台帐!B41&amp;""</f>
        <v>鄞州农商9654</v>
      </c>
      <c r="H41" t="str">
        <f>[1]资金台帐!H41&amp;""</f>
        <v>宁波市鄞州钱路新材料有限公司</v>
      </c>
      <c r="J41" t="str">
        <f>[1]资金台帐!J41&amp;""</f>
        <v>代理费</v>
      </c>
      <c r="N41">
        <f>[1]资金台帐!N41</f>
        <v>46199.0</v>
      </c>
      <c r="O41" t="str">
        <f>[1]资金台帐!O41&amp;""</f>
        <v>中慧优力</v>
      </c>
      <c r="P41" t="str">
        <f>[1]资金台帐!P41&amp;""</f>
        <v>宁波市鄞州钱路新材料有限公司</v>
      </c>
      <c r="Q41" t="str">
        <f>[1]资金台帐!Q41&amp;""</f>
        <v>客户</v>
      </c>
      <c r="T41" t="str">
        <f>[1]资金台帐!T41&amp;""</f>
        <v>新增</v>
      </c>
      <c r="U41" t="str">
        <f>[1]资金台帐!U41&amp;""</f>
        <v>收入</v>
      </c>
      <c r="W41" t="str">
        <f>[1]资金台帐!W41&amp;""</f>
        <v>✓</v>
      </c>
      <c r="X41" t="str">
        <f>[1]资金台帐!X41&amp;""</f>
        <v>√ 新客户首笔</v>
      </c>
      <c r="AB41">
        <f>[1]资金台帐!AB41</f>
        <v>16800</v>
      </c>
      <c r="AC41">
        <f>[1]资金台帐!AC41</f>
        <v>0</v>
      </c>
      <c r="AD41">
        <f>[1]资金台帐!AD41</f>
        <v>16800</v>
      </c>
      <c r="AJ41">
        <f>[1]资金台帐!AJ41</f>
        <v>0</v>
      </c>
      <c r="AK41">
        <f>[1]资金台帐!AK41</f>
        <v>1</v>
      </c>
      <c r="BA41" s="22">
        <f t="shared" si="0"/>
      </c>
      <c r="BG41" s="22">
        <f t="shared" si="1"/>
        <v>202606</v>
      </c>
      <c r="BH41" s="22">
        <f t="shared" si="2"/>
        <v>2</v>
      </c>
    </row>
    <row r="42">
      <c r="B42" t="str">
        <f>[1]资金台帐!B42&amp;""</f>
        <v>农行8240</v>
      </c>
      <c r="H42" t="str">
        <f>[1]资金台帐!H42&amp;""</f>
        <v>待报解预算收入－国库信息处理系统扣税</v>
      </c>
      <c r="J42" t="str">
        <f>[1]资金台帐!J42&amp;""</f>
        <v>公共缴费</v>
      </c>
      <c r="N42">
        <f>[1]资金台帐!N42</f>
        <v>46213.0</v>
      </c>
      <c r="O42" t="str">
        <f>[1]资金台帐!O42&amp;""</f>
        <v>优茗</v>
      </c>
      <c r="P42" t="str">
        <f>[1]资金台帐!P42&amp;""</f>
        <v>国库（税款）</v>
      </c>
      <c r="Q42" t="str">
        <f>[1]资金台帐!Q42&amp;""</f>
        <v>税务银行</v>
      </c>
      <c r="T42" t="str">
        <f>[1]资金台帐!T42&amp;""</f>
        <v>税金</v>
      </c>
      <c r="U42" t="str">
        <f>[1]资金台帐!U42&amp;""</f>
        <v>变动成本</v>
      </c>
      <c r="W42" t="str">
        <f>[1]资金台帐!W42&amp;""</f>
        <v>✓</v>
      </c>
      <c r="X42" t="str">
        <f>[1]资金台帐!X42&amp;""</f>
        <v>⚠ 税务扣款默认算税金：是社保（挂靠）的点「去改」改</v>
      </c>
      <c r="AB42">
        <f>[1]资金台帐!AB42</f>
        <v>0</v>
      </c>
      <c r="AC42">
        <f>[1]资金台帐!AC42</f>
        <v>1789.97</v>
      </c>
      <c r="AD42">
        <f>[1]资金台帐!AD42</f>
        <v>-1789.97</v>
      </c>
      <c r="AJ42">
        <f>[1]资金台帐!AJ42</f>
        <v>0</v>
      </c>
      <c r="AK42">
        <f>[1]资金台帐!AK42</f>
        <v>0</v>
      </c>
      <c r="BA42" s="22">
        <f t="shared" si="0"/>
      </c>
      <c r="BG42" s="22">
        <f t="shared" si="1"/>
        <v>202607</v>
      </c>
      <c r="BH42" s="22">
        <f t="shared" si="2"/>
        <v>4</v>
      </c>
    </row>
    <row r="43">
      <c r="B43" t="str">
        <f>[1]资金台帐!B43&amp;""</f>
        <v>农行8240</v>
      </c>
      <c r="H43" t="str">
        <f>[1]资金台帐!H43&amp;""</f>
        <v>中智优力（宁波）财务咨询有限公司</v>
      </c>
      <c r="J43" t="str">
        <f>[1]资金台帐!J43&amp;""</f>
        <v>转存</v>
      </c>
      <c r="N43">
        <f>[1]资金台帐!N43</f>
        <v>46234.0</v>
      </c>
      <c r="O43" t="str">
        <f>[1]资金台帐!O43&amp;""</f>
        <v>优茗</v>
      </c>
      <c r="P43" t="str">
        <f>[1]资金台帐!P43&amp;""</f>
        <v>中智优力</v>
      </c>
      <c r="Q43" t="str">
        <f>[1]资金台帐!Q43&amp;""</f>
        <v>内部公司</v>
      </c>
      <c r="T43" t="str">
        <f>[1]资金台帐!T43&amp;""</f>
        <v>内部划转</v>
      </c>
      <c r="U43" t="str">
        <f>[1]资金台帐!U43&amp;""</f>
        <v>内部划转</v>
      </c>
      <c r="W43" t="str">
        <f>[1]资金台帐!W43&amp;""</f>
        <v>✓</v>
      </c>
      <c r="X43" t="str">
        <f>[1]资金台帐!X43&amp;""</f>
        <v>√</v>
      </c>
      <c r="AB43">
        <f>[1]资金台帐!AB43</f>
        <v>11000</v>
      </c>
      <c r="AC43">
        <f>[1]资金台帐!AC43</f>
        <v>0</v>
      </c>
      <c r="AD43">
        <f>[1]资金台帐!AD43</f>
        <v>11000</v>
      </c>
      <c r="AJ43">
        <f>[1]资金台帐!AJ43</f>
        <v>0</v>
      </c>
      <c r="AK43">
        <f>[1]资金台帐!AK43</f>
        <v>1</v>
      </c>
      <c r="BA43" s="22">
        <f t="shared" si="0"/>
      </c>
      <c r="BG43" s="22">
        <f t="shared" si="1"/>
        <v>202607</v>
      </c>
      <c r="BH43" s="22">
        <f t="shared" si="2"/>
        <v>4</v>
      </c>
    </row>
    <row r="44">
      <c r="B44" t="str">
        <f>[1]资金台帐!B44&amp;""</f>
        <v>农行8240</v>
      </c>
      <c r="H44" t="str">
        <f>[1]资金台帐!H44&amp;""</f>
        <v>中智优力（宁波）财务咨询有限公司</v>
      </c>
      <c r="J44" t="str">
        <f>[1]资金台帐!J44&amp;""</f>
        <v>转存</v>
      </c>
      <c r="N44">
        <f>[1]资金台帐!N44</f>
        <v>46237.0</v>
      </c>
      <c r="O44" t="str">
        <f>[1]资金台帐!O44&amp;""</f>
        <v>优茗</v>
      </c>
      <c r="P44" t="str">
        <f>[1]资金台帐!P44&amp;""</f>
        <v>中智优力</v>
      </c>
      <c r="Q44" t="str">
        <f>[1]资金台帐!Q44&amp;""</f>
        <v>内部公司</v>
      </c>
      <c r="T44" t="str">
        <f>[1]资金台帐!T44&amp;""</f>
        <v>内部划转</v>
      </c>
      <c r="U44" t="str">
        <f>[1]资金台帐!U44&amp;""</f>
        <v>内部划转</v>
      </c>
      <c r="W44" t="str">
        <f>[1]资金台帐!W44&amp;""</f>
        <v>✓</v>
      </c>
      <c r="X44" t="str">
        <f>[1]资金台帐!X44&amp;""</f>
        <v>√</v>
      </c>
      <c r="AB44">
        <f>[1]资金台帐!AB44</f>
        <v>1000000</v>
      </c>
      <c r="AC44">
        <f>[1]资金台帐!AC44</f>
        <v>0</v>
      </c>
      <c r="AD44">
        <f>[1]资金台帐!AD44</f>
        <v>1000000</v>
      </c>
      <c r="AJ44">
        <f>[1]资金台帐!AJ44</f>
        <v>0</v>
      </c>
      <c r="AK44">
        <f>[1]资金台帐!AK44</f>
        <v>1</v>
      </c>
      <c r="BA44" s="22">
        <f t="shared" si="0"/>
      </c>
      <c r="BG44" s="22">
        <f t="shared" si="1"/>
        <v>202608</v>
      </c>
      <c r="BH44" s="22">
        <f t="shared" si="2"/>
        <v>4</v>
      </c>
    </row>
    <row r="45">
      <c r="B45" t="str">
        <f>[1]资金台帐!B45&amp;""</f>
        <v>农行8240</v>
      </c>
      <c r="H45" t="str">
        <f>[1]资金台帐!H45&amp;""</f>
        <v>中智优力（宁波）财务咨询有限公司</v>
      </c>
      <c r="J45" t="str">
        <f>[1]资金台帐!J45&amp;""</f>
        <v>转取</v>
      </c>
      <c r="N45">
        <f>[1]资金台帐!N45</f>
        <v>46240.0</v>
      </c>
      <c r="O45" t="str">
        <f>[1]资金台帐!O45&amp;""</f>
        <v>优茗</v>
      </c>
      <c r="P45" t="str">
        <f>[1]资金台帐!P45&amp;""</f>
        <v>中智优力</v>
      </c>
      <c r="Q45" t="str">
        <f>[1]资金台帐!Q45&amp;""</f>
        <v>内部公司</v>
      </c>
      <c r="T45" t="str">
        <f>[1]资金台帐!T45&amp;""</f>
        <v>内部划转</v>
      </c>
      <c r="U45" t="str">
        <f>[1]资金台帐!U45&amp;""</f>
        <v>内部划转</v>
      </c>
      <c r="W45" t="str">
        <f>[1]资金台帐!W45&amp;""</f>
        <v>✓</v>
      </c>
      <c r="X45" t="str">
        <f>[1]资金台帐!X45&amp;""</f>
        <v>√</v>
      </c>
      <c r="AB45">
        <f>[1]资金台帐!AB45</f>
        <v>0</v>
      </c>
      <c r="AC45">
        <f>[1]资金台帐!AC45</f>
        <v>1000000</v>
      </c>
      <c r="AD45">
        <f>[1]资金台帐!AD45</f>
        <v>-1000000</v>
      </c>
      <c r="AJ45">
        <f>[1]资金台帐!AJ45</f>
        <v>0</v>
      </c>
      <c r="AK45">
        <f>[1]资金台帐!AK45</f>
        <v>1</v>
      </c>
      <c r="BA45" s="22">
        <f t="shared" si="0"/>
      </c>
      <c r="BG45" s="22">
        <f t="shared" si="1"/>
        <v>202608</v>
      </c>
      <c r="BH45" s="22">
        <f t="shared" si="2"/>
        <v>4</v>
      </c>
    </row>
    <row r="46">
      <c r="B46" t="str">
        <f>[1]资金台帐!B46&amp;""</f>
        <v>农行8240</v>
      </c>
      <c r="H46" t="str">
        <f>[1]资金台帐!H46&amp;""</f>
        <v>中智优力（宁波）财务咨询有限公司</v>
      </c>
      <c r="J46" t="str">
        <f>[1]资金台帐!J46&amp;""</f>
        <v>转存</v>
      </c>
      <c r="N46">
        <f>[1]资金台帐!N46</f>
        <v>46245.0</v>
      </c>
      <c r="O46" t="str">
        <f>[1]资金台帐!O46&amp;""</f>
        <v>优茗</v>
      </c>
      <c r="P46" t="str">
        <f>[1]资金台帐!P46&amp;""</f>
        <v>中智优力</v>
      </c>
      <c r="Q46" t="str">
        <f>[1]资金台帐!Q46&amp;""</f>
        <v>内部公司</v>
      </c>
      <c r="T46" t="str">
        <f>[1]资金台帐!T46&amp;""</f>
        <v>内部划转</v>
      </c>
      <c r="U46" t="str">
        <f>[1]资金台帐!U46&amp;""</f>
        <v>内部划转</v>
      </c>
      <c r="W46" t="str">
        <f>[1]资金台帐!W46&amp;""</f>
        <v>✓</v>
      </c>
      <c r="X46" t="str">
        <f>[1]资金台帐!X46&amp;""</f>
        <v>√</v>
      </c>
      <c r="AB46">
        <f>[1]资金台帐!AB46</f>
        <v>500000</v>
      </c>
      <c r="AC46">
        <f>[1]资金台帐!AC46</f>
        <v>0</v>
      </c>
      <c r="AD46">
        <f>[1]资金台帐!AD46</f>
        <v>500000</v>
      </c>
      <c r="AJ46">
        <f>[1]资金台帐!AJ46</f>
        <v>0</v>
      </c>
      <c r="AK46">
        <f>[1]资金台帐!AK46</f>
        <v>1</v>
      </c>
      <c r="BA46" s="22">
        <f t="shared" si="0"/>
      </c>
      <c r="BG46" s="22">
        <f t="shared" si="1"/>
        <v>202608</v>
      </c>
      <c r="BH46" s="22">
        <f t="shared" si="2"/>
        <v>4</v>
      </c>
    </row>
    <row r="47">
      <c r="B47" t="str">
        <f>[1]资金台帐!B47&amp;""</f>
        <v>农行8240</v>
      </c>
      <c r="H47" t="str">
        <f>[1]资金台帐!H47&amp;""</f>
        <v>中智优力（宁波）财务咨询有限公司</v>
      </c>
      <c r="J47" t="str">
        <f>[1]资金台帐!J47&amp;""</f>
        <v>转存</v>
      </c>
      <c r="N47">
        <f>[1]资金台帐!N47</f>
        <v>46245.0</v>
      </c>
      <c r="O47" t="str">
        <f>[1]资金台帐!O47&amp;""</f>
        <v>优茗</v>
      </c>
      <c r="P47" t="str">
        <f>[1]资金台帐!P47&amp;""</f>
        <v>中智优力</v>
      </c>
      <c r="Q47" t="str">
        <f>[1]资金台帐!Q47&amp;""</f>
        <v>内部公司</v>
      </c>
      <c r="T47" t="str">
        <f>[1]资金台帐!T47&amp;""</f>
        <v>内部划转</v>
      </c>
      <c r="U47" t="str">
        <f>[1]资金台帐!U47&amp;""</f>
        <v>内部划转</v>
      </c>
      <c r="W47" t="str">
        <f>[1]资金台帐!W47&amp;""</f>
        <v>✓</v>
      </c>
      <c r="X47" t="str">
        <f>[1]资金台帐!X47&amp;""</f>
        <v>√</v>
      </c>
      <c r="AB47">
        <f>[1]资金台帐!AB47</f>
        <v>500000</v>
      </c>
      <c r="AC47">
        <f>[1]资金台帐!AC47</f>
        <v>0</v>
      </c>
      <c r="AD47">
        <f>[1]资金台帐!AD47</f>
        <v>500000</v>
      </c>
      <c r="AJ47">
        <f>[1]资金台帐!AJ47</f>
        <v>0</v>
      </c>
      <c r="AK47">
        <f>[1]资金台帐!AK47</f>
        <v>1</v>
      </c>
      <c r="BA47" s="22">
        <f t="shared" si="0"/>
      </c>
      <c r="BG47" s="22">
        <f t="shared" si="1"/>
        <v>202608</v>
      </c>
      <c r="BH47" s="22">
        <f t="shared" si="2"/>
        <v>4</v>
      </c>
    </row>
    <row r="48">
      <c r="B48" t="str">
        <f>[1]资金台帐!B48&amp;""</f>
        <v>农行8240</v>
      </c>
      <c r="H48" t="str">
        <f>[1]资金台帐!H48&amp;""</f>
        <v>汪优君</v>
      </c>
      <c r="J48" t="str">
        <f>[1]资金台帐!J48&amp;""</f>
        <v>转取</v>
      </c>
      <c r="N48">
        <f>[1]资金台帐!N48</f>
        <v>46245.0</v>
      </c>
      <c r="O48" t="str">
        <f>[1]资金台帐!O48&amp;""</f>
        <v>优茗</v>
      </c>
      <c r="P48">
        <f>[1]资金台帐!P48&amp;""</f>
      </c>
      <c r="Q48">
        <f>[1]资金台帐!Q48&amp;""</f>
      </c>
      <c r="T48">
        <f>[1]资金台帐!T48&amp;""</f>
      </c>
      <c r="U48">
        <f>[1]资金台帐!U48&amp;""</f>
      </c>
      <c r="W48" t="str">
        <f>[1]资金台帐!W48&amp;""</f>
        <v>✓</v>
      </c>
      <c r="X48" t="str">
        <f>[1]资金台帐!X48&amp;""</f>
        <v>✗ 认不出：对方户名没登记，到【往来单位】加，或点「去改」手工选</v>
      </c>
      <c r="AB48">
        <f>[1]资金台帐!AB48</f>
        <v>0</v>
      </c>
      <c r="AC48">
        <f>[1]资金台帐!AC48</f>
        <v>1000000</v>
      </c>
      <c r="AD48">
        <f>[1]资金台帐!AD48</f>
        <v>-1000000</v>
      </c>
      <c r="AJ48">
        <f>[1]资金台帐!AJ48</f>
        <v>0</v>
      </c>
      <c r="AK48">
        <f>[1]资金台帐!AK48</f>
        <v>0</v>
      </c>
      <c r="BA48" s="22">
        <f t="shared" si="0"/>
      </c>
      <c r="BG48" s="22">
        <f t="shared" si="1"/>
        <v>202608</v>
      </c>
      <c r="BH48" s="22">
        <f t="shared" si="2"/>
        <v>4</v>
      </c>
    </row>
    <row r="49">
      <c r="B49" t="str">
        <f>[1]资金台帐!B49&amp;""</f>
        <v>农行8240</v>
      </c>
      <c r="H49" t="str">
        <f>[1]资金台帐!H49&amp;""</f>
        <v>中国农业银行股份有限公司宁波五乡支行</v>
      </c>
      <c r="J49" t="str">
        <f>[1]资金台帐!J49&amp;""</f>
        <v>费用外收</v>
      </c>
      <c r="N49">
        <f>[1]资金台帐!N49</f>
        <v>46245.0</v>
      </c>
      <c r="O49" t="str">
        <f>[1]资金台帐!O49&amp;""</f>
        <v>优茗</v>
      </c>
      <c r="P49">
        <f>[1]资金台帐!P49&amp;""</f>
      </c>
      <c r="Q49">
        <f>[1]资金台帐!Q49&amp;""</f>
      </c>
      <c r="T49" t="str">
        <f>[1]资金台帐!T49&amp;""</f>
        <v>银行手续费</v>
      </c>
      <c r="U49" t="str">
        <f>[1]资金台帐!U49&amp;""</f>
        <v>变动成本</v>
      </c>
      <c r="W49" t="str">
        <f>[1]资金台帐!W49&amp;""</f>
        <v>✓</v>
      </c>
      <c r="X49" t="str">
        <f>[1]资金台帐!X49&amp;""</f>
        <v>√</v>
      </c>
      <c r="AB49">
        <f>[1]资金台帐!AB49</f>
        <v>0</v>
      </c>
      <c r="AC49">
        <f>[1]资金台帐!AC49</f>
        <v>1</v>
      </c>
      <c r="AD49">
        <f>[1]资金台帐!AD49</f>
        <v>-1</v>
      </c>
      <c r="AJ49">
        <f>[1]资金台帐!AJ49</f>
        <v>0</v>
      </c>
      <c r="AK49">
        <f>[1]资金台帐!AK49</f>
        <v>0</v>
      </c>
      <c r="BA49" s="22">
        <f t="shared" si="0"/>
      </c>
      <c r="BG49" s="22">
        <f t="shared" si="1"/>
        <v>202608</v>
      </c>
      <c r="BH49" s="22">
        <f t="shared" si="2"/>
        <v>4</v>
      </c>
    </row>
    <row r="50">
      <c r="B50" t="str">
        <f>[1]资金台帐!B50&amp;""</f>
        <v>农行8240</v>
      </c>
      <c r="H50" t="str">
        <f>[1]资金台帐!H50&amp;""</f>
        <v>待报解预算收入－国库信息处理系统扣税</v>
      </c>
      <c r="J50" t="str">
        <f>[1]资金台帐!J50&amp;""</f>
        <v>公共缴费</v>
      </c>
      <c r="N50">
        <f>[1]资金台帐!N50</f>
        <v>46245.0</v>
      </c>
      <c r="O50" t="str">
        <f>[1]资金台帐!O50&amp;""</f>
        <v>优茗</v>
      </c>
      <c r="P50" t="str">
        <f>[1]资金台帐!P50&amp;""</f>
        <v>国库（税款）</v>
      </c>
      <c r="Q50" t="str">
        <f>[1]资金台帐!Q50&amp;""</f>
        <v>税务银行</v>
      </c>
      <c r="T50" t="str">
        <f>[1]资金台帐!T50&amp;""</f>
        <v>税金</v>
      </c>
      <c r="U50" t="str">
        <f>[1]资金台帐!U50&amp;""</f>
        <v>变动成本</v>
      </c>
      <c r="W50" t="str">
        <f>[1]资金台帐!W50&amp;""</f>
        <v>✓</v>
      </c>
      <c r="X50" t="str">
        <f>[1]资金台帐!X50&amp;""</f>
        <v>⚠ 税务扣款默认算税金：是社保（挂靠）的点「去改」改</v>
      </c>
      <c r="AB50">
        <f>[1]资金台帐!AB50</f>
        <v>0</v>
      </c>
      <c r="AC50">
        <f>[1]资金台帐!AC50</f>
        <v>1789.97</v>
      </c>
      <c r="AD50">
        <f>[1]资金台帐!AD50</f>
        <v>-1789.97</v>
      </c>
      <c r="AJ50">
        <f>[1]资金台帐!AJ50</f>
        <v>0</v>
      </c>
      <c r="AK50">
        <f>[1]资金台帐!AK50</f>
        <v>0</v>
      </c>
      <c r="BA50" s="22">
        <f t="shared" si="0"/>
      </c>
      <c r="BG50" s="22">
        <f t="shared" si="1"/>
        <v>202608</v>
      </c>
      <c r="BH50" s="22">
        <f t="shared" si="2"/>
        <v>4</v>
      </c>
    </row>
    <row r="51">
      <c r="B51" t="str">
        <f>[1]资金台帐!B51&amp;""</f>
        <v>农行8240</v>
      </c>
      <c r="H51" t="str">
        <f>[1]资金台帐!H51&amp;""</f>
        <v>待报解预算收入－国库信息处理系统扣税</v>
      </c>
      <c r="J51" t="str">
        <f>[1]资金台帐!J51&amp;""</f>
        <v>公共缴费</v>
      </c>
      <c r="N51">
        <f>[1]资金台帐!N51</f>
        <v>46279.0</v>
      </c>
      <c r="O51" t="str">
        <f>[1]资金台帐!O51&amp;""</f>
        <v>优茗</v>
      </c>
      <c r="P51" t="str">
        <f>[1]资金台帐!P51&amp;""</f>
        <v>国库（税款）</v>
      </c>
      <c r="Q51" t="str">
        <f>[1]资金台帐!Q51&amp;""</f>
        <v>税务银行</v>
      </c>
      <c r="T51" t="str">
        <f>[1]资金台帐!T51&amp;""</f>
        <v>税金</v>
      </c>
      <c r="U51" t="str">
        <f>[1]资金台帐!U51&amp;""</f>
        <v>变动成本</v>
      </c>
      <c r="W51" t="str">
        <f>[1]资金台帐!W51&amp;""</f>
        <v>✓</v>
      </c>
      <c r="X51" t="str">
        <f>[1]资金台帐!X51&amp;""</f>
        <v>⚠ 税务扣款默认算税金：是社保（挂靠）的点「去改」改</v>
      </c>
      <c r="AB51">
        <f>[1]资金台帐!AB51</f>
        <v>0</v>
      </c>
      <c r="AC51">
        <f>[1]资金台帐!AC51</f>
        <v>1789.97</v>
      </c>
      <c r="AD51">
        <f>[1]资金台帐!AD51</f>
        <v>-1789.97</v>
      </c>
      <c r="AJ51">
        <f>[1]资金台帐!AJ51</f>
        <v>0</v>
      </c>
      <c r="AK51">
        <f>[1]资金台帐!AK51</f>
        <v>0</v>
      </c>
      <c r="BA51" s="22">
        <f t="shared" si="0"/>
      </c>
      <c r="BG51" s="22">
        <f t="shared" si="1"/>
        <v>202609</v>
      </c>
      <c r="BH51" s="22">
        <f t="shared" si="2"/>
        <v>4</v>
      </c>
    </row>
    <row r="52">
      <c r="B52" t="str">
        <f>[1]资金台帐!B52&amp;""</f>
        <v>农行7705</v>
      </c>
      <c r="H52" t="str">
        <f>[1]资金台帐!H52&amp;""</f>
        <v>上海康驻达科技有限公司</v>
      </c>
      <c r="J52" t="str">
        <f>[1]资金台帐!J52&amp;""</f>
        <v>转存</v>
      </c>
      <c r="N52">
        <f>[1]资金台帐!N52</f>
        <v>46178.0</v>
      </c>
      <c r="O52" t="str">
        <f>[1]资金台帐!O52&amp;""</f>
        <v>琴馨</v>
      </c>
      <c r="P52" t="str">
        <f>[1]资金台帐!P52&amp;""</f>
        <v>上海康驻达科技有限公司</v>
      </c>
      <c r="Q52" t="str">
        <f>[1]资金台帐!Q52&amp;""</f>
        <v>客户</v>
      </c>
      <c r="T52" t="str">
        <f>[1]资金台帐!T52&amp;""</f>
        <v>新增</v>
      </c>
      <c r="U52" t="str">
        <f>[1]资金台帐!U52&amp;""</f>
        <v>收入</v>
      </c>
      <c r="W52" t="str">
        <f>[1]资金台帐!W52&amp;""</f>
        <v>✓</v>
      </c>
      <c r="X52" t="str">
        <f>[1]资金台帐!X52&amp;""</f>
        <v>√ 新客户首笔</v>
      </c>
      <c r="AB52">
        <f>[1]资金台帐!AB52</f>
        <v>46000</v>
      </c>
      <c r="AC52">
        <f>[1]资金台帐!AC52</f>
        <v>0</v>
      </c>
      <c r="AD52">
        <f>[1]资金台帐!AD52</f>
        <v>46000</v>
      </c>
      <c r="AJ52">
        <f>[1]资金台帐!AJ52</f>
        <v>0</v>
      </c>
      <c r="AK52">
        <f>[1]资金台帐!AK52</f>
        <v>1</v>
      </c>
      <c r="BA52" s="22">
        <f t="shared" si="0"/>
      </c>
      <c r="BG52" s="22">
        <f t="shared" si="1"/>
        <v>202606</v>
      </c>
      <c r="BH52" s="22">
        <f t="shared" si="2"/>
        <v>3</v>
      </c>
    </row>
    <row r="53">
      <c r="B53" t="str">
        <f>[1]资金台帐!B53&amp;""</f>
        <v>农行7705</v>
      </c>
      <c r="H53" t="str">
        <f>[1]资金台帐!H53&amp;""</f>
        <v>思佰科（宁波）工程服务有限公司</v>
      </c>
      <c r="J53" t="str">
        <f>[1]资金台帐!J53&amp;""</f>
        <v>转存</v>
      </c>
      <c r="N53">
        <f>[1]资金台帐!N53</f>
        <v>46181.0</v>
      </c>
      <c r="O53" t="str">
        <f>[1]资金台帐!O53&amp;""</f>
        <v>琴馨</v>
      </c>
      <c r="P53" t="str">
        <f>[1]资金台帐!P53&amp;""</f>
        <v>思佰科（宁波）工程服务有限公司</v>
      </c>
      <c r="Q53" t="str">
        <f>[1]资金台帐!Q53&amp;""</f>
        <v>客户</v>
      </c>
      <c r="T53" t="str">
        <f>[1]资金台帐!T53&amp;""</f>
        <v>新增</v>
      </c>
      <c r="U53" t="str">
        <f>[1]资金台帐!U53&amp;""</f>
        <v>收入</v>
      </c>
      <c r="W53" t="str">
        <f>[1]资金台帐!W53&amp;""</f>
        <v>✓</v>
      </c>
      <c r="X53" t="str">
        <f>[1]资金台帐!X53&amp;""</f>
        <v>√ 新客户首笔</v>
      </c>
      <c r="AB53">
        <f>[1]资金台帐!AB53</f>
        <v>2000</v>
      </c>
      <c r="AC53">
        <f>[1]资金台帐!AC53</f>
        <v>0</v>
      </c>
      <c r="AD53">
        <f>[1]资金台帐!AD53</f>
        <v>2000</v>
      </c>
      <c r="AJ53">
        <f>[1]资金台帐!AJ53</f>
        <v>0</v>
      </c>
      <c r="AK53">
        <f>[1]资金台帐!AK53</f>
        <v>1</v>
      </c>
      <c r="BA53" s="22">
        <f t="shared" si="0"/>
      </c>
      <c r="BG53" s="22">
        <f t="shared" si="1"/>
        <v>202606</v>
      </c>
      <c r="BH53" s="22">
        <f t="shared" si="2"/>
        <v>3</v>
      </c>
    </row>
    <row r="54">
      <c r="B54" t="str">
        <f>[1]资金台帐!B54&amp;""</f>
        <v>农行7705</v>
      </c>
      <c r="H54" t="str">
        <f>[1]资金台帐!H54&amp;""</f>
        <v>待报解预算收入－国库信息处理系统扣税</v>
      </c>
      <c r="J54" t="str">
        <f>[1]资金台帐!J54&amp;""</f>
        <v>公共缴费</v>
      </c>
      <c r="N54">
        <f>[1]资金台帐!N54</f>
        <v>46185.0</v>
      </c>
      <c r="O54" t="str">
        <f>[1]资金台帐!O54&amp;""</f>
        <v>琴馨</v>
      </c>
      <c r="P54" t="str">
        <f>[1]资金台帐!P54&amp;""</f>
        <v>国库（税款）</v>
      </c>
      <c r="Q54" t="str">
        <f>[1]资金台帐!Q54&amp;""</f>
        <v>税务银行</v>
      </c>
      <c r="T54" t="str">
        <f>[1]资金台帐!T54&amp;""</f>
        <v>税金</v>
      </c>
      <c r="U54" t="str">
        <f>[1]资金台帐!U54&amp;""</f>
        <v>变动成本</v>
      </c>
      <c r="W54" t="str">
        <f>[1]资金台帐!W54&amp;""</f>
        <v>✓</v>
      </c>
      <c r="X54" t="str">
        <f>[1]资金台帐!X54&amp;""</f>
        <v>⚠ 税务扣款默认算税金：是社保（挂靠）的点「去改」改</v>
      </c>
      <c r="AB54">
        <f>[1]资金台帐!AB54</f>
        <v>0</v>
      </c>
      <c r="AC54">
        <f>[1]资金台帐!AC54</f>
        <v>5350</v>
      </c>
      <c r="AD54">
        <f>[1]资金台帐!AD54</f>
        <v>-5350</v>
      </c>
      <c r="AJ54">
        <f>[1]资金台帐!AJ54</f>
        <v>0</v>
      </c>
      <c r="AK54">
        <f>[1]资金台帐!AK54</f>
        <v>0</v>
      </c>
      <c r="BA54" s="22">
        <f t="shared" si="0"/>
      </c>
      <c r="BG54" s="22">
        <f t="shared" si="1"/>
        <v>202606</v>
      </c>
      <c r="BH54" s="22">
        <f t="shared" si="2"/>
        <v>3</v>
      </c>
    </row>
    <row r="55">
      <c r="B55" t="str">
        <f>[1]资金台帐!B55&amp;""</f>
        <v>农行7705</v>
      </c>
      <c r="H55" t="str">
        <f>[1]资金台帐!H55&amp;""</f>
        <v>王琴</v>
      </c>
      <c r="J55" t="str">
        <f>[1]资金台帐!J55&amp;""</f>
        <v>转取</v>
      </c>
      <c r="N55">
        <f>[1]资金台帐!N55</f>
        <v>46191.0</v>
      </c>
      <c r="O55" t="str">
        <f>[1]资金台帐!O55&amp;""</f>
        <v>琴馨</v>
      </c>
      <c r="P55">
        <f>[1]资金台帐!P55&amp;""</f>
      </c>
      <c r="Q55">
        <f>[1]资金台帐!Q55&amp;""</f>
      </c>
      <c r="T55">
        <f>[1]资金台帐!T55&amp;""</f>
      </c>
      <c r="U55">
        <f>[1]资金台帐!U55&amp;""</f>
      </c>
      <c r="W55" t="str">
        <f>[1]资金台帐!W55&amp;""</f>
        <v>✓</v>
      </c>
      <c r="X55" t="str">
        <f>[1]资金台帐!X55&amp;""</f>
        <v>✗ 认不出：对方户名没登记，到【往来单位】加，或点「去改」手工选</v>
      </c>
      <c r="AB55">
        <f>[1]资金台帐!AB55</f>
        <v>0</v>
      </c>
      <c r="AC55">
        <f>[1]资金台帐!AC55</f>
        <v>8969.44</v>
      </c>
      <c r="AD55">
        <f>[1]资金台帐!AD55</f>
        <v>-8969.44</v>
      </c>
      <c r="AJ55">
        <f>[1]资金台帐!AJ55</f>
        <v>0</v>
      </c>
      <c r="AK55">
        <f>[1]资金台帐!AK55</f>
        <v>0</v>
      </c>
      <c r="BA55" s="22">
        <f t="shared" si="0"/>
      </c>
      <c r="BG55" s="22">
        <f t="shared" si="1"/>
        <v>202606</v>
      </c>
      <c r="BH55" s="22">
        <f t="shared" si="2"/>
        <v>3</v>
      </c>
    </row>
    <row r="56">
      <c r="B56" t="str">
        <f>[1]资金台帐!B56&amp;""</f>
        <v>农行7705</v>
      </c>
      <c r="H56" t="str">
        <f>[1]资金台帐!H56&amp;""</f>
        <v>雷鸣</v>
      </c>
      <c r="J56" t="str">
        <f>[1]资金台帐!J56&amp;""</f>
        <v>转取</v>
      </c>
      <c r="N56">
        <f>[1]资金台帐!N56</f>
        <v>46191.0</v>
      </c>
      <c r="O56" t="str">
        <f>[1]资金台帐!O56&amp;""</f>
        <v>琴馨</v>
      </c>
      <c r="P56">
        <f>[1]资金台帐!P56&amp;""</f>
      </c>
      <c r="Q56">
        <f>[1]资金台帐!Q56&amp;""</f>
      </c>
      <c r="T56">
        <f>[1]资金台帐!T56&amp;""</f>
      </c>
      <c r="U56">
        <f>[1]资金台帐!U56&amp;""</f>
      </c>
      <c r="W56" t="str">
        <f>[1]资金台帐!W56&amp;""</f>
        <v>✓</v>
      </c>
      <c r="X56" t="str">
        <f>[1]资金台帐!X56&amp;""</f>
        <v>✗ 认不出：对方户名没登记，到【往来单位】加，或点「去改」手工选</v>
      </c>
      <c r="AB56">
        <f>[1]资金台帐!AB56</f>
        <v>0</v>
      </c>
      <c r="AC56">
        <f>[1]资金台帐!AC56</f>
        <v>8825</v>
      </c>
      <c r="AD56">
        <f>[1]资金台帐!AD56</f>
        <v>-8825</v>
      </c>
      <c r="AJ56">
        <f>[1]资金台帐!AJ56</f>
        <v>0</v>
      </c>
      <c r="AK56">
        <f>[1]资金台帐!AK56</f>
        <v>0</v>
      </c>
      <c r="BA56" s="22">
        <f t="shared" si="0"/>
      </c>
      <c r="BG56" s="22">
        <f t="shared" si="1"/>
        <v>202606</v>
      </c>
      <c r="BH56" s="22">
        <f t="shared" si="2"/>
        <v>3</v>
      </c>
    </row>
    <row r="57">
      <c r="B57" t="str">
        <f>[1]资金台帐!B57&amp;""</f>
        <v>农行7705</v>
      </c>
      <c r="H57" t="str">
        <f>[1]资金台帐!H57&amp;""</f>
        <v>宁波市住房公积金管理中心</v>
      </c>
      <c r="J57" t="str">
        <f>[1]资金台帐!J57&amp;""</f>
        <v>公共缴费</v>
      </c>
      <c r="N57">
        <f>[1]资金台帐!N57</f>
        <v>46192.0</v>
      </c>
      <c r="O57" t="str">
        <f>[1]资金台帐!O57&amp;""</f>
        <v>琴馨</v>
      </c>
      <c r="P57">
        <f>[1]资金台帐!P57&amp;""</f>
      </c>
      <c r="Q57">
        <f>[1]资金台帐!Q57&amp;""</f>
      </c>
      <c r="T57" t="str">
        <f>[1]资金台帐!T57&amp;""</f>
        <v>人工-社保</v>
      </c>
      <c r="U57" t="str">
        <f>[1]资金台帐!U57&amp;""</f>
        <v>变动成本</v>
      </c>
      <c r="W57" t="str">
        <f>[1]资金台帐!W57&amp;""</f>
        <v>✓</v>
      </c>
      <c r="X57" t="str">
        <f>[1]资金台帐!X57&amp;""</f>
        <v>√</v>
      </c>
      <c r="AB57">
        <f>[1]资金台帐!AB57</f>
        <v>0</v>
      </c>
      <c r="AC57">
        <f>[1]资金台帐!AC57</f>
        <v>500</v>
      </c>
      <c r="AD57">
        <f>[1]资金台帐!AD57</f>
        <v>-500</v>
      </c>
      <c r="AJ57">
        <f>[1]资金台帐!AJ57</f>
        <v>0</v>
      </c>
      <c r="AK57">
        <f>[1]资金台帐!AK57</f>
        <v>0</v>
      </c>
      <c r="BA57" s="22">
        <f t="shared" si="0"/>
      </c>
      <c r="BG57" s="22">
        <f t="shared" si="1"/>
        <v>202606</v>
      </c>
      <c r="BH57" s="22">
        <f t="shared" si="2"/>
        <v>3</v>
      </c>
    </row>
    <row r="58">
      <c r="B58" t="str">
        <f>[1]资金台帐!B58&amp;""</f>
        <v>农行7705</v>
      </c>
      <c r="H58">
        <f>[1]资金台帐!H58&amp;""</f>
      </c>
      <c r="J58" t="str">
        <f>[1]资金台帐!J58&amp;""</f>
        <v>批量结息</v>
      </c>
      <c r="N58">
        <f>[1]资金台帐!N58</f>
        <v>46194.0</v>
      </c>
      <c r="O58" t="str">
        <f>[1]资金台帐!O58&amp;""</f>
        <v>琴馨</v>
      </c>
      <c r="P58">
        <f>[1]资金台帐!P58&amp;""</f>
      </c>
      <c r="Q58">
        <f>[1]资金台帐!Q58&amp;""</f>
      </c>
      <c r="T58" t="str">
        <f>[1]资金台帐!T58&amp;""</f>
        <v>其他收入</v>
      </c>
      <c r="U58" t="str">
        <f>[1]资金台帐!U58&amp;""</f>
        <v>收入</v>
      </c>
      <c r="W58" t="str">
        <f>[1]资金台帐!W58&amp;""</f>
        <v>✓</v>
      </c>
      <c r="X58" t="str">
        <f>[1]资金台帐!X58&amp;""</f>
        <v>√</v>
      </c>
      <c r="AB58">
        <f>[1]资金台帐!AB58</f>
        <v>8.17</v>
      </c>
      <c r="AC58">
        <f>[1]资金台帐!AC58</f>
        <v>0</v>
      </c>
      <c r="AD58">
        <f>[1]资金台帐!AD58</f>
        <v>8.17</v>
      </c>
      <c r="AJ58">
        <f>[1]资金台帐!AJ58</f>
        <v>0</v>
      </c>
      <c r="AK58">
        <f>[1]资金台帐!AK58</f>
        <v>1</v>
      </c>
      <c r="BA58" s="22">
        <f t="shared" si="0"/>
      </c>
      <c r="BG58" s="22">
        <f t="shared" si="1"/>
        <v>202606</v>
      </c>
      <c r="BH58" s="22">
        <f t="shared" si="2"/>
        <v>3</v>
      </c>
    </row>
    <row r="59">
      <c r="B59" t="str">
        <f>[1]资金台帐!B59&amp;""</f>
        <v>农行7705</v>
      </c>
      <c r="H59" t="str">
        <f>[1]资金台帐!H59&amp;""</f>
        <v>宁波宫泽精密机械有限公司</v>
      </c>
      <c r="J59" t="str">
        <f>[1]资金台帐!J59&amp;""</f>
        <v>转存</v>
      </c>
      <c r="N59">
        <f>[1]资金台帐!N59</f>
        <v>46199.0</v>
      </c>
      <c r="O59" t="str">
        <f>[1]资金台帐!O59&amp;""</f>
        <v>琴馨</v>
      </c>
      <c r="P59" t="str">
        <f>[1]资金台帐!P59&amp;""</f>
        <v>宁波宫泽精密机械有限公司</v>
      </c>
      <c r="Q59" t="str">
        <f>[1]资金台帐!Q59&amp;""</f>
        <v>客户</v>
      </c>
      <c r="T59" t="str">
        <f>[1]资金台帐!T59&amp;""</f>
        <v>新增</v>
      </c>
      <c r="U59" t="str">
        <f>[1]资金台帐!U59&amp;""</f>
        <v>收入</v>
      </c>
      <c r="W59" t="str">
        <f>[1]资金台帐!W59&amp;""</f>
        <v>✓</v>
      </c>
      <c r="X59" t="str">
        <f>[1]资金台帐!X59&amp;""</f>
        <v>√ 新客户首笔</v>
      </c>
      <c r="AB59">
        <f>[1]资金台帐!AB59</f>
        <v>15000</v>
      </c>
      <c r="AC59">
        <f>[1]资金台帐!AC59</f>
        <v>0</v>
      </c>
      <c r="AD59">
        <f>[1]资金台帐!AD59</f>
        <v>15000</v>
      </c>
      <c r="AJ59">
        <f>[1]资金台帐!AJ59</f>
        <v>0</v>
      </c>
      <c r="AK59">
        <f>[1]资金台帐!AK59</f>
        <v>1</v>
      </c>
      <c r="BA59" s="22">
        <f t="shared" si="0"/>
      </c>
      <c r="BG59" s="22">
        <f t="shared" si="1"/>
        <v>202606</v>
      </c>
      <c r="BH59" s="22">
        <f t="shared" si="2"/>
        <v>3</v>
      </c>
    </row>
    <row r="60">
      <c r="B60" t="str">
        <f>[1]资金台帐!B60&amp;""</f>
        <v>农行7705</v>
      </c>
      <c r="H60" t="str">
        <f>[1]资金台帐!H60&amp;""</f>
        <v>苏州工业园区猫受屋百货零售店（个体工商户）</v>
      </c>
      <c r="J60" t="str">
        <f>[1]资金台帐!J60&amp;""</f>
        <v>转存</v>
      </c>
      <c r="N60">
        <f>[1]资金台帐!N60</f>
        <v>46203.0</v>
      </c>
      <c r="O60" t="str">
        <f>[1]资金台帐!O60&amp;""</f>
        <v>琴馨</v>
      </c>
      <c r="P60" t="str">
        <f>[1]资金台帐!P60&amp;""</f>
        <v>苏州工业园区猫受屋百货零售店（个体工商户）</v>
      </c>
      <c r="Q60" t="str">
        <f>[1]资金台帐!Q60&amp;""</f>
        <v>客户</v>
      </c>
      <c r="T60" t="str">
        <f>[1]资金台帐!T60&amp;""</f>
        <v>新增</v>
      </c>
      <c r="U60" t="str">
        <f>[1]资金台帐!U60&amp;""</f>
        <v>收入</v>
      </c>
      <c r="W60" t="str">
        <f>[1]资金台帐!W60&amp;""</f>
        <v>✓</v>
      </c>
      <c r="X60" t="str">
        <f>[1]资金台帐!X60&amp;""</f>
        <v>√ 新客户首笔</v>
      </c>
      <c r="AB60">
        <f>[1]资金台帐!AB60</f>
        <v>600</v>
      </c>
      <c r="AC60">
        <f>[1]资金台帐!AC60</f>
        <v>0</v>
      </c>
      <c r="AD60">
        <f>[1]资金台帐!AD60</f>
        <v>600</v>
      </c>
      <c r="AJ60">
        <f>[1]资金台帐!AJ60</f>
        <v>0</v>
      </c>
      <c r="AK60">
        <f>[1]资金台帐!AK60</f>
        <v>1</v>
      </c>
      <c r="BA60" s="22">
        <f t="shared" si="0"/>
      </c>
      <c r="BG60" s="22">
        <f t="shared" si="1"/>
        <v>202606</v>
      </c>
      <c r="BH60" s="22">
        <f t="shared" si="2"/>
        <v>3</v>
      </c>
    </row>
    <row r="61">
      <c r="B61" t="str">
        <f>[1]资金台帐!B61&amp;""</f>
        <v>农行7705</v>
      </c>
      <c r="H61" t="str">
        <f>[1]资金台帐!H61&amp;""</f>
        <v>秦淮区猫受屋百货零售店（个体工商户）</v>
      </c>
      <c r="J61" t="str">
        <f>[1]资金台帐!J61&amp;""</f>
        <v>转存</v>
      </c>
      <c r="N61">
        <f>[1]资金台帐!N61</f>
        <v>46203.0</v>
      </c>
      <c r="O61" t="str">
        <f>[1]资金台帐!O61&amp;""</f>
        <v>琴馨</v>
      </c>
      <c r="P61" t="str">
        <f>[1]资金台帐!P61&amp;""</f>
        <v>秦淮区猫受屋百货零售店（个体工商户）</v>
      </c>
      <c r="Q61" t="str">
        <f>[1]资金台帐!Q61&amp;""</f>
        <v>客户</v>
      </c>
      <c r="T61" t="str">
        <f>[1]资金台帐!T61&amp;""</f>
        <v>新增</v>
      </c>
      <c r="U61" t="str">
        <f>[1]资金台帐!U61&amp;""</f>
        <v>收入</v>
      </c>
      <c r="W61" t="str">
        <f>[1]资金台帐!W61&amp;""</f>
        <v>✓</v>
      </c>
      <c r="X61" t="str">
        <f>[1]资金台帐!X61&amp;""</f>
        <v>√ 新客户首笔</v>
      </c>
      <c r="AB61">
        <f>[1]资金台帐!AB61</f>
        <v>600</v>
      </c>
      <c r="AC61">
        <f>[1]资金台帐!AC61</f>
        <v>0</v>
      </c>
      <c r="AD61">
        <f>[1]资金台帐!AD61</f>
        <v>600</v>
      </c>
      <c r="AJ61">
        <f>[1]资金台帐!AJ61</f>
        <v>0</v>
      </c>
      <c r="AK61">
        <f>[1]资金台帐!AK61</f>
        <v>1</v>
      </c>
      <c r="BA61" s="22">
        <f t="shared" si="0"/>
      </c>
      <c r="BG61" s="22">
        <f t="shared" si="1"/>
        <v>202606</v>
      </c>
      <c r="BH61" s="22">
        <f t="shared" si="2"/>
        <v>3</v>
      </c>
    </row>
    <row r="62">
      <c r="B62" t="str">
        <f>[1]资金台帐!B62&amp;""</f>
        <v>农行7705</v>
      </c>
      <c r="H62" t="str">
        <f>[1]资金台帐!H62&amp;""</f>
        <v>西安市雁塔区谷的猫百货零售店（个体工商户）</v>
      </c>
      <c r="J62" t="str">
        <f>[1]资金台帐!J62&amp;""</f>
        <v>转存</v>
      </c>
      <c r="N62">
        <f>[1]资金台帐!N62</f>
        <v>46203.0</v>
      </c>
      <c r="O62" t="str">
        <f>[1]资金台帐!O62&amp;""</f>
        <v>琴馨</v>
      </c>
      <c r="P62" t="str">
        <f>[1]资金台帐!P62&amp;""</f>
        <v>西安市雁塔区谷的猫百货零售店（个体工商户）</v>
      </c>
      <c r="Q62" t="str">
        <f>[1]资金台帐!Q62&amp;""</f>
        <v>客户</v>
      </c>
      <c r="T62" t="str">
        <f>[1]资金台帐!T62&amp;""</f>
        <v>新增</v>
      </c>
      <c r="U62" t="str">
        <f>[1]资金台帐!U62&amp;""</f>
        <v>收入</v>
      </c>
      <c r="W62" t="str">
        <f>[1]资金台帐!W62&amp;""</f>
        <v>✓</v>
      </c>
      <c r="X62" t="str">
        <f>[1]资金台帐!X62&amp;""</f>
        <v>√ 新客户首笔</v>
      </c>
      <c r="AB62">
        <f>[1]资金台帐!AB62</f>
        <v>600</v>
      </c>
      <c r="AC62">
        <f>[1]资金台帐!AC62</f>
        <v>0</v>
      </c>
      <c r="AD62">
        <f>[1]资金台帐!AD62</f>
        <v>600</v>
      </c>
      <c r="AJ62">
        <f>[1]资金台帐!AJ62</f>
        <v>0</v>
      </c>
      <c r="AK62">
        <f>[1]资金台帐!AK62</f>
        <v>1</v>
      </c>
      <c r="BA62" s="22">
        <f t="shared" si="0"/>
      </c>
      <c r="BG62" s="22">
        <f t="shared" si="1"/>
        <v>202606</v>
      </c>
      <c r="BH62" s="22">
        <f t="shared" si="2"/>
        <v>3</v>
      </c>
    </row>
    <row r="63">
      <c r="B63" t="str">
        <f>[1]资金台帐!B63&amp;""</f>
        <v>飞鲸对公户</v>
      </c>
      <c r="H63" t="str">
        <f>[1]资金台帐!H63&amp;""</f>
        <v>待报解预算收入（税收）</v>
      </c>
      <c r="J63" t="str">
        <f>[1]资金台帐!J63&amp;""</f>
        <v>税费社保 印花税</v>
      </c>
      <c r="N63">
        <f>[1]资金台帐!N63</f>
        <v>46149.0</v>
      </c>
      <c r="O63" t="str">
        <f>[1]资金台帐!O63&amp;""</f>
        <v>飞鲸</v>
      </c>
      <c r="P63">
        <f>[1]资金台帐!P63&amp;""</f>
      </c>
      <c r="Q63">
        <f>[1]资金台帐!Q63&amp;""</f>
      </c>
      <c r="T63" t="str">
        <f>[1]资金台帐!T63&amp;""</f>
        <v>税金</v>
      </c>
      <c r="U63" t="str">
        <f>[1]资金台帐!U63&amp;""</f>
        <v>变动成本</v>
      </c>
      <c r="W63" t="str">
        <f>[1]资金台帐!W63&amp;""</f>
        <v>✓</v>
      </c>
      <c r="X63" t="str">
        <f>[1]资金台帐!X63&amp;""</f>
        <v>√</v>
      </c>
      <c r="AB63">
        <f>[1]资金台帐!AB63</f>
        <v>0</v>
      </c>
      <c r="AC63">
        <f>[1]资金台帐!AC63</f>
        <v>18.75</v>
      </c>
      <c r="AD63">
        <f>[1]资金台帐!AD63</f>
        <v>-18.75</v>
      </c>
      <c r="AJ63">
        <f>[1]资金台帐!AJ63</f>
        <v>0</v>
      </c>
      <c r="AK63">
        <f>[1]资金台帐!AK63</f>
        <v>0</v>
      </c>
      <c r="BA63" s="22">
        <f t="shared" si="0"/>
      </c>
      <c r="BG63" s="22">
        <f t="shared" si="1"/>
        <v>202605</v>
      </c>
      <c r="BH63" s="22">
        <f t="shared" si="2"/>
        <v>5</v>
      </c>
    </row>
    <row r="64">
      <c r="B64" t="str">
        <f>[1]资金台帐!B64&amp;""</f>
        <v>微信-汪优丽</v>
      </c>
      <c r="H64" t="str">
        <f>[1]资金台帐!H64&amp;""</f>
        <v>美玲姓福-财青藤 (幸福的美玲)</v>
      </c>
      <c r="J64" t="str">
        <f>[1]资金台帐!J64&amp;""</f>
        <v>转账 转账备注:百香果</v>
      </c>
      <c r="N64">
        <f>[1]资金台帐!N64</f>
        <v>46233.0</v>
      </c>
      <c r="O64" t="str">
        <f>[1]资金台帐!O64&amp;""</f>
        <v>中智优力</v>
      </c>
      <c r="P64">
        <f>[1]资金台帐!P64&amp;""</f>
      </c>
      <c r="Q64">
        <f>[1]资金台帐!Q64&amp;""</f>
      </c>
      <c r="T64">
        <f>[1]资金台帐!T64&amp;""</f>
      </c>
      <c r="U64">
        <f>[1]资金台帐!U64&amp;""</f>
      </c>
      <c r="W64">
        <f>[1]资金台帐!W64&amp;""</f>
      </c>
      <c r="X64" t="str">
        <f>[1]资金台帐!X64&amp;""</f>
        <v>✗ 认不出：对方户名没登记，到【往来单位】加，或点「去改」手工选</v>
      </c>
      <c r="AB64">
        <f>[1]资金台帐!AB64</f>
        <v>0</v>
      </c>
      <c r="AC64">
        <f>[1]资金台帐!AC64</f>
        <v>425</v>
      </c>
      <c r="AD64">
        <f>[1]资金台帐!AD64</f>
        <v>-425</v>
      </c>
      <c r="AJ64">
        <f>[1]资金台帐!AJ64</f>
        <v>0</v>
      </c>
      <c r="AK64">
        <f>[1]资金台帐!AK64</f>
        <v>0</v>
      </c>
      <c r="BA64" s="22">
        <f t="shared" si="0"/>
      </c>
      <c r="BG64" s="22">
        <f t="shared" si="1"/>
        <v>202607</v>
      </c>
      <c r="BH64" s="22">
        <f t="shared" si="2"/>
        <v>1</v>
      </c>
    </row>
    <row r="65">
      <c r="B65" t="str">
        <f>[1]资金台帐!B65&amp;""</f>
        <v>微信-汪优丽</v>
      </c>
      <c r="H65" t="str">
        <f>[1]资金台帐!H65&amp;""</f>
        <v>😈x</v>
      </c>
      <c r="J65" t="str">
        <f>[1]资金台帐!J65&amp;""</f>
        <v>扫二维码付款 收款方备注:二维码收款</v>
      </c>
      <c r="N65">
        <f>[1]资金台帐!N65</f>
        <v>46232.0</v>
      </c>
      <c r="O65" t="str">
        <f>[1]资金台帐!O65&amp;""</f>
        <v>中智优力</v>
      </c>
      <c r="P65">
        <f>[1]资金台帐!P65&amp;""</f>
      </c>
      <c r="Q65">
        <f>[1]资金台帐!Q65&amp;""</f>
      </c>
      <c r="T65">
        <f>[1]资金台帐!T65&amp;""</f>
      </c>
      <c r="U65">
        <f>[1]资金台帐!U65&amp;""</f>
      </c>
      <c r="W65">
        <f>[1]资金台帐!W65&amp;""</f>
      </c>
      <c r="X65" t="str">
        <f>[1]资金台帐!X65&amp;""</f>
        <v>✗ 认不出：对方户名没登记，到【往来单位】加，或点「去改」手工选</v>
      </c>
      <c r="AB65">
        <f>[1]资金台帐!AB65</f>
        <v>0</v>
      </c>
      <c r="AC65">
        <f>[1]资金台帐!AC65</f>
        <v>51</v>
      </c>
      <c r="AD65">
        <f>[1]资金台帐!AD65</f>
        <v>-51</v>
      </c>
      <c r="AJ65">
        <f>[1]资金台帐!AJ65</f>
        <v>0</v>
      </c>
      <c r="AK65">
        <f>[1]资金台帐!AK65</f>
        <v>0</v>
      </c>
      <c r="BA65" s="22">
        <f t="shared" si="0"/>
      </c>
      <c r="BG65" s="22">
        <f t="shared" si="1"/>
        <v>202607</v>
      </c>
      <c r="BH65" s="22">
        <f t="shared" si="2"/>
        <v>1</v>
      </c>
    </row>
    <row r="66">
      <c r="B66" t="str">
        <f>[1]资金台帐!B66&amp;""</f>
        <v>微信-汪优丽</v>
      </c>
      <c r="H66" t="str">
        <f>[1]资金台帐!H66&amp;""</f>
        <v>/</v>
      </c>
      <c r="J66" t="str">
        <f>[1]资金台帐!J66&amp;""</f>
        <v>转入零钱通-来自零钱</v>
      </c>
      <c r="N66">
        <f>[1]资金台帐!N66</f>
        <v>46232.0</v>
      </c>
      <c r="O66" t="str">
        <f>[1]资金台帐!O66&amp;""</f>
        <v>中智优力</v>
      </c>
      <c r="P66">
        <f>[1]资金台帐!P66&amp;""</f>
      </c>
      <c r="Q66">
        <f>[1]资金台帐!Q66&amp;""</f>
      </c>
      <c r="T66">
        <f>[1]资金台帐!T66&amp;""</f>
      </c>
      <c r="U66">
        <f>[1]资金台帐!U66&amp;""</f>
      </c>
      <c r="W66">
        <f>[1]资金台帐!W66&amp;""</f>
      </c>
      <c r="X66" t="str">
        <f>[1]资金台帐!X66&amp;""</f>
        <v>跳过：不计收支（零钱通、转给自己等）</v>
      </c>
      <c r="AB66">
        <f>[1]资金台帐!AB66</f>
        <v>0</v>
      </c>
      <c r="AC66">
        <f>[1]资金台帐!AC66</f>
        <v>0</v>
      </c>
      <c r="AD66">
        <f>[1]资金台帐!AD66</f>
        <v>0</v>
      </c>
      <c r="AJ66">
        <f>[1]资金台帐!AJ66</f>
        <v>0</v>
      </c>
      <c r="AK66">
        <f>[1]资金台帐!AK66</f>
        <v>0</v>
      </c>
      <c r="BA66" s="22">
        <f t="shared" si="0"/>
      </c>
      <c r="BG66" s="22">
        <f t="shared" si="1"/>
        <v>202607</v>
      </c>
      <c r="BH66" s="22">
        <f t="shared" si="2"/>
        <v>1</v>
      </c>
    </row>
    <row r="67">
      <c r="B67" t="str">
        <f>[1]资金台帐!B67&amp;""</f>
        <v>微信-汪优丽</v>
      </c>
      <c r="H67" t="str">
        <f>[1]资金台帐!H67&amp;""</f>
        <v>美团平台商户</v>
      </c>
      <c r="J67" t="str">
        <f>[1]资金台帐!J67&amp;""</f>
        <v>商户消费 SPACELAB失重餐厅（来福士江景店）-大众点评买单-大众点评微信小程序-26072911200700001307622085960755</v>
      </c>
      <c r="N67">
        <f>[1]资金台帐!N67</f>
        <v>46232.0</v>
      </c>
      <c r="O67" t="str">
        <f>[1]资金台帐!O67&amp;""</f>
        <v>中智优力</v>
      </c>
      <c r="P67">
        <f>[1]资金台帐!P67&amp;""</f>
      </c>
      <c r="Q67">
        <f>[1]资金台帐!Q67&amp;""</f>
      </c>
      <c r="T67">
        <f>[1]资金台帐!T67&amp;""</f>
      </c>
      <c r="U67">
        <f>[1]资金台帐!U67&amp;""</f>
      </c>
      <c r="W67">
        <f>[1]资金台帐!W67&amp;""</f>
      </c>
      <c r="X67" t="str">
        <f>[1]资金台帐!X67&amp;""</f>
        <v>✗ 认不出：对方户名没登记，到【往来单位】加，或点「去改」手工选</v>
      </c>
      <c r="AB67">
        <f>[1]资金台帐!AB67</f>
        <v>0</v>
      </c>
      <c r="AC67">
        <f>[1]资金台帐!AC67</f>
        <v>645</v>
      </c>
      <c r="AD67">
        <f>[1]资金台帐!AD67</f>
        <v>-645</v>
      </c>
      <c r="AJ67">
        <f>[1]资金台帐!AJ67</f>
        <v>0</v>
      </c>
      <c r="AK67">
        <f>[1]资金台帐!AK67</f>
        <v>0</v>
      </c>
      <c r="BA67" s="22">
        <f t="shared" si="0"/>
      </c>
      <c r="BG67" s="22">
        <f t="shared" si="1"/>
        <v>202607</v>
      </c>
      <c r="BH67" s="22">
        <f t="shared" si="2"/>
        <v>1</v>
      </c>
    </row>
    <row r="68">
      <c r="B68" t="str">
        <f>[1]资金台帐!B68&amp;""</f>
        <v>微信-汪优丽</v>
      </c>
      <c r="H68" t="str">
        <f>[1]资金台帐!H68&amp;""</f>
        <v>重庆民宿-17823647212 (Wowo.樱桃 市内周边游17823647212)</v>
      </c>
      <c r="J68" t="str">
        <f>[1]资金台帐!J68&amp;""</f>
        <v>转账 转账备注:微信转账</v>
      </c>
      <c r="N68">
        <f>[1]资金台帐!N68</f>
        <v>46232.0</v>
      </c>
      <c r="O68" t="str">
        <f>[1]资金台帐!O68&amp;""</f>
        <v>中智优力</v>
      </c>
      <c r="P68">
        <f>[1]资金台帐!P68&amp;""</f>
      </c>
      <c r="Q68">
        <f>[1]资金台帐!Q68&amp;""</f>
      </c>
      <c r="T68">
        <f>[1]资金台帐!T68&amp;""</f>
      </c>
      <c r="U68">
        <f>[1]资金台帐!U68&amp;""</f>
      </c>
      <c r="W68">
        <f>[1]资金台帐!W68&amp;""</f>
      </c>
      <c r="X68" t="str">
        <f>[1]资金台帐!X68&amp;""</f>
        <v>✗ 认不出：对方户名没登记，到【往来单位】加，或点「去改」手工选</v>
      </c>
      <c r="AB68">
        <f>[1]资金台帐!AB68</f>
        <v>30</v>
      </c>
      <c r="AC68">
        <f>[1]资金台帐!AC68</f>
        <v>0</v>
      </c>
      <c r="AD68">
        <f>[1]资金台帐!AD68</f>
        <v>30</v>
      </c>
      <c r="AJ68">
        <f>[1]资金台帐!AJ68</f>
        <v>0</v>
      </c>
      <c r="AK68">
        <f>[1]资金台帐!AK68</f>
        <v>0</v>
      </c>
      <c r="BA68" s="22">
        <f t="shared" si="0"/>
      </c>
      <c r="BG68" s="22">
        <f t="shared" si="1"/>
        <v>202607</v>
      </c>
      <c r="BH68" s="22">
        <f t="shared" si="2"/>
        <v>1</v>
      </c>
    </row>
    <row r="69">
      <c r="B69" t="str">
        <f>[1]资金台帐!B69&amp;""</f>
        <v>微信-汪优丽</v>
      </c>
      <c r="H69" t="str">
        <f>[1]资金台帐!H69&amp;""</f>
        <v>刘维淑</v>
      </c>
      <c r="J69" t="str">
        <f>[1]资金台帐!J69&amp;""</f>
        <v>扫二维码付款 收款方备注:二维码收款</v>
      </c>
      <c r="N69">
        <f>[1]资金台帐!N69</f>
        <v>46231.0</v>
      </c>
      <c r="O69" t="str">
        <f>[1]资金台帐!O69&amp;""</f>
        <v>中智优力</v>
      </c>
      <c r="P69">
        <f>[1]资金台帐!P69&amp;""</f>
      </c>
      <c r="Q69">
        <f>[1]资金台帐!Q69&amp;""</f>
      </c>
      <c r="T69">
        <f>[1]资金台帐!T69&amp;""</f>
      </c>
      <c r="U69">
        <f>[1]资金台帐!U69&amp;""</f>
      </c>
      <c r="W69">
        <f>[1]资金台帐!W69&amp;""</f>
      </c>
      <c r="X69" t="str">
        <f>[1]资金台帐!X69&amp;""</f>
        <v>✗ 认不出：对方户名没登记，到【往来单位】加，或点「去改」手工选</v>
      </c>
      <c r="AB69">
        <f>[1]资金台帐!AB69</f>
        <v>0</v>
      </c>
      <c r="AC69">
        <f>[1]资金台帐!AC69</f>
        <v>5</v>
      </c>
      <c r="AD69">
        <f>[1]资金台帐!AD69</f>
        <v>-5</v>
      </c>
      <c r="AJ69">
        <f>[1]资金台帐!AJ69</f>
        <v>0</v>
      </c>
      <c r="AK69">
        <f>[1]资金台帐!AK69</f>
        <v>0</v>
      </c>
      <c r="BA69" s="22">
        <f t="shared" si="0"/>
      </c>
      <c r="BG69" s="22">
        <f t="shared" si="1"/>
        <v>202607</v>
      </c>
      <c r="BH69" s="22">
        <f t="shared" si="2"/>
        <v>1</v>
      </c>
    </row>
    <row r="70">
      <c r="B70" t="str">
        <f>[1]资金台帐!B70&amp;""</f>
        <v>微信-汪优丽</v>
      </c>
      <c r="H70" t="str">
        <f>[1]资金台帐!H70&amp;""</f>
        <v>个人冉中维</v>
      </c>
      <c r="J70" t="str">
        <f>[1]资金台帐!J70&amp;""</f>
        <v>商户消费 个人冉中维</v>
      </c>
      <c r="N70">
        <f>[1]资金台帐!N70</f>
        <v>46230.0</v>
      </c>
      <c r="O70" t="str">
        <f>[1]资金台帐!O70&amp;""</f>
        <v>中智优力</v>
      </c>
      <c r="P70">
        <f>[1]资金台帐!P70&amp;""</f>
      </c>
      <c r="Q70">
        <f>[1]资金台帐!Q70&amp;""</f>
      </c>
      <c r="T70">
        <f>[1]资金台帐!T70&amp;""</f>
      </c>
      <c r="U70">
        <f>[1]资金台帐!U70&amp;""</f>
      </c>
      <c r="W70">
        <f>[1]资金台帐!W70&amp;""</f>
      </c>
      <c r="X70" t="str">
        <f>[1]资金台帐!X70&amp;""</f>
        <v>✗ 认不出：对方户名没登记，到【往来单位】加，或点「去改」手工选</v>
      </c>
      <c r="AB70">
        <f>[1]资金台帐!AB70</f>
        <v>0</v>
      </c>
      <c r="AC70">
        <f>[1]资金台帐!AC70</f>
        <v>20</v>
      </c>
      <c r="AD70">
        <f>[1]资金台帐!AD70</f>
        <v>-20</v>
      </c>
      <c r="AJ70">
        <f>[1]资金台帐!AJ70</f>
        <v>0</v>
      </c>
      <c r="AK70">
        <f>[1]资金台帐!AK70</f>
        <v>0</v>
      </c>
      <c r="BA70" s="22">
        <f t="shared" si="0"/>
      </c>
      <c r="BG70" s="22">
        <f t="shared" si="1"/>
        <v>202607</v>
      </c>
      <c r="BH70" s="22">
        <f t="shared" si="2"/>
        <v>1</v>
      </c>
    </row>
    <row r="71">
      <c r="B71" t="str">
        <f>[1]资金台帐!B71&amp;""</f>
        <v>微信-汪优丽</v>
      </c>
      <c r="H71" t="str">
        <f>[1]资金台帐!H71&amp;""</f>
        <v>胖子鲜老火锅</v>
      </c>
      <c r="J71" t="str">
        <f>[1]资金台帐!J71&amp;""</f>
        <v>扫二维码付款 收款方备注:二维码收款</v>
      </c>
      <c r="N71">
        <f>[1]资金台帐!N71</f>
        <v>46229.0</v>
      </c>
      <c r="O71" t="str">
        <f>[1]资金台帐!O71&amp;""</f>
        <v>中智优力</v>
      </c>
      <c r="P71">
        <f>[1]资金台帐!P71&amp;""</f>
      </c>
      <c r="Q71">
        <f>[1]资金台帐!Q71&amp;""</f>
      </c>
      <c r="T71">
        <f>[1]资金台帐!T71&amp;""</f>
      </c>
      <c r="U71">
        <f>[1]资金台帐!U71&amp;""</f>
      </c>
      <c r="W71">
        <f>[1]资金台帐!W71&amp;""</f>
      </c>
      <c r="X71" t="str">
        <f>[1]资金台帐!X71&amp;""</f>
        <v>✗ 认不出：对方户名没登记，到【往来单位】加，或点「去改」手工选</v>
      </c>
      <c r="AB71">
        <f>[1]资金台帐!AB71</f>
        <v>0</v>
      </c>
      <c r="AC71">
        <f>[1]资金台帐!AC71</f>
        <v>200</v>
      </c>
      <c r="AD71">
        <f>[1]资金台帐!AD71</f>
        <v>-200</v>
      </c>
      <c r="AJ71">
        <f>[1]资金台帐!AJ71</f>
        <v>0</v>
      </c>
      <c r="AK71">
        <f>[1]资金台帐!AK71</f>
        <v>0</v>
      </c>
      <c r="BA71" s="22">
        <f t="shared" si="0"/>
      </c>
      <c r="BG71" s="22">
        <f t="shared" si="1"/>
        <v>202607</v>
      </c>
      <c r="BH71" s="22">
        <f t="shared" si="2"/>
        <v>1</v>
      </c>
    </row>
    <row r="72">
      <c r="B72" t="str">
        <f>[1]资金台帐!B72&amp;""</f>
        <v>微信-汪优丽</v>
      </c>
      <c r="H72" t="str">
        <f>[1]资金台帐!H72&amp;""</f>
        <v>锦江酒店</v>
      </c>
      <c r="J72" t="str">
        <f>[1]资金台帐!J72&amp;""</f>
        <v>商户消费 康铂酒店（重庆解放碑步行街洪崖洞店）</v>
      </c>
      <c r="N72">
        <f>[1]资金台帐!N72</f>
        <v>46229.0</v>
      </c>
      <c r="O72" t="str">
        <f>[1]资金台帐!O72&amp;""</f>
        <v>中智优力</v>
      </c>
      <c r="P72">
        <f>[1]资金台帐!P72&amp;""</f>
      </c>
      <c r="Q72">
        <f>[1]资金台帐!Q72&amp;""</f>
      </c>
      <c r="T72">
        <f>[1]资金台帐!T72&amp;""</f>
      </c>
      <c r="U72">
        <f>[1]资金台帐!U72&amp;""</f>
      </c>
      <c r="W72">
        <f>[1]资金台帐!W72&amp;""</f>
      </c>
      <c r="X72" t="str">
        <f>[1]资金台帐!X72&amp;""</f>
        <v>✗ 认不出：对方户名没登记，到【往来单位】加，或点「去改」手工选</v>
      </c>
      <c r="AB72">
        <f>[1]资金台帐!AB72</f>
        <v>0</v>
      </c>
      <c r="AC72">
        <f>[1]资金台帐!AC72</f>
        <v>298</v>
      </c>
      <c r="AD72">
        <f>[1]资金台帐!AD72</f>
        <v>-298</v>
      </c>
      <c r="AJ72">
        <f>[1]资金台帐!AJ72</f>
        <v>0</v>
      </c>
      <c r="AK72">
        <f>[1]资金台帐!AK72</f>
        <v>0</v>
      </c>
      <c r="BA72" s="22">
        <f t="shared" si="0"/>
      </c>
      <c r="BG72" s="22">
        <f t="shared" si="1"/>
        <v>202607</v>
      </c>
      <c r="BH72" s="22">
        <f t="shared" si="2"/>
        <v>1</v>
      </c>
    </row>
    <row r="73">
      <c r="B73" t="str">
        <f>[1]资金台帐!B73&amp;""</f>
        <v>微信-汪优丽</v>
      </c>
      <c r="H73" t="str">
        <f>[1]资金台帐!H73&amp;""</f>
        <v>锦江信息</v>
      </c>
      <c r="J73" t="str">
        <f>[1]资金台帐!J73&amp;""</f>
        <v>商户消费 锦江荟89元银卡礼包</v>
      </c>
      <c r="N73">
        <f>[1]资金台帐!N73</f>
        <v>46229.0</v>
      </c>
      <c r="O73" t="str">
        <f>[1]资金台帐!O73&amp;""</f>
        <v>中智优力</v>
      </c>
      <c r="P73">
        <f>[1]资金台帐!P73&amp;""</f>
      </c>
      <c r="Q73">
        <f>[1]资金台帐!Q73&amp;""</f>
      </c>
      <c r="T73">
        <f>[1]资金台帐!T73&amp;""</f>
      </c>
      <c r="U73">
        <f>[1]资金台帐!U73&amp;""</f>
      </c>
      <c r="W73">
        <f>[1]资金台帐!W73&amp;""</f>
      </c>
      <c r="X73" t="str">
        <f>[1]资金台帐!X73&amp;""</f>
        <v>✗ 认不出：对方户名没登记，到【往来单位】加，或点「去改」手工选</v>
      </c>
      <c r="AB73">
        <f>[1]资金台帐!AB73</f>
        <v>0</v>
      </c>
      <c r="AC73">
        <f>[1]资金台帐!AC73</f>
        <v>89</v>
      </c>
      <c r="AD73">
        <f>[1]资金台帐!AD73</f>
        <v>-89</v>
      </c>
      <c r="AJ73">
        <f>[1]资金台帐!AJ73</f>
        <v>0</v>
      </c>
      <c r="AK73">
        <f>[1]资金台帐!AK73</f>
        <v>0</v>
      </c>
      <c r="BA73" s="22">
        <f t="shared" si="0"/>
      </c>
      <c r="BG73" s="22">
        <f t="shared" si="1"/>
        <v>202607</v>
      </c>
      <c r="BH73" s="22">
        <f t="shared" si="2"/>
        <v>1</v>
      </c>
    </row>
    <row r="74">
      <c r="B74" t="str">
        <f>[1]资金台帐!B74&amp;""</f>
        <v>微信-汪优丽</v>
      </c>
      <c r="H74" t="str">
        <f>[1]资金台帐!H74&amp;""</f>
        <v>宁波五乡镇东街店</v>
      </c>
      <c r="J74" t="str">
        <f>[1]资金台帐!J74&amp;""</f>
        <v>商户消费 '-宁波五乡镇东街新店</v>
      </c>
      <c r="N74">
        <f>[1]资金台帐!N74</f>
        <v>46228.0</v>
      </c>
      <c r="O74" t="str">
        <f>[1]资金台帐!O74&amp;""</f>
        <v>中智优力</v>
      </c>
      <c r="P74">
        <f>[1]资金台帐!P74&amp;""</f>
      </c>
      <c r="Q74">
        <f>[1]资金台帐!Q74&amp;""</f>
      </c>
      <c r="T74">
        <f>[1]资金台帐!T74&amp;""</f>
      </c>
      <c r="U74">
        <f>[1]资金台帐!U74&amp;""</f>
      </c>
      <c r="W74">
        <f>[1]资金台帐!W74&amp;""</f>
      </c>
      <c r="X74" t="str">
        <f>[1]资金台帐!X74&amp;""</f>
        <v>✗ 认不出：对方户名没登记，到【往来单位】加，或点「去改」手工选</v>
      </c>
      <c r="AB74">
        <f>[1]资金台帐!AB74</f>
        <v>0</v>
      </c>
      <c r="AC74">
        <f>[1]资金台帐!AC74</f>
        <v>593.55</v>
      </c>
      <c r="AD74">
        <f>[1]资金台帐!AD74</f>
        <v>-593.55</v>
      </c>
      <c r="AJ74">
        <f>[1]资金台帐!AJ74</f>
        <v>0</v>
      </c>
      <c r="AK74">
        <f>[1]资金台帐!AK74</f>
        <v>0</v>
      </c>
      <c r="BA74" s="22">
        <f t="shared" si="0"/>
      </c>
      <c r="BG74" s="22">
        <f t="shared" si="1"/>
        <v>202607</v>
      </c>
      <c r="BH74" s="22">
        <f t="shared" si="2"/>
        <v>1</v>
      </c>
    </row>
    <row r="75">
      <c r="B75" t="str">
        <f>[1]资金台帐!B75&amp;""</f>
        <v>微信-汪优丽</v>
      </c>
      <c r="H75" t="str">
        <f>[1]资金台帐!H75&amp;""</f>
        <v>/</v>
      </c>
      <c r="J75" t="str">
        <f>[1]资金台帐!J75&amp;""</f>
        <v>转入零钱通-来自零钱</v>
      </c>
      <c r="N75">
        <f>[1]资金台帐!N75</f>
        <v>46228.0</v>
      </c>
      <c r="O75" t="str">
        <f>[1]资金台帐!O75&amp;""</f>
        <v>中智优力</v>
      </c>
      <c r="P75">
        <f>[1]资金台帐!P75&amp;""</f>
      </c>
      <c r="Q75">
        <f>[1]资金台帐!Q75&amp;""</f>
      </c>
      <c r="T75">
        <f>[1]资金台帐!T75&amp;""</f>
      </c>
      <c r="U75">
        <f>[1]资金台帐!U75&amp;""</f>
      </c>
      <c r="W75">
        <f>[1]资金台帐!W75&amp;""</f>
      </c>
      <c r="X75" t="str">
        <f>[1]资金台帐!X75&amp;""</f>
        <v>跳过：不计收支（零钱通、转给自己等）</v>
      </c>
      <c r="AB75">
        <f>[1]资金台帐!AB75</f>
        <v>0</v>
      </c>
      <c r="AC75">
        <f>[1]资金台帐!AC75</f>
        <v>0</v>
      </c>
      <c r="AD75">
        <f>[1]资金台帐!AD75</f>
        <v>0</v>
      </c>
      <c r="AJ75">
        <f>[1]资金台帐!AJ75</f>
        <v>0</v>
      </c>
      <c r="AK75">
        <f>[1]资金台帐!AK75</f>
        <v>0</v>
      </c>
      <c r="BA75" s="22">
        <f t="shared" si="0"/>
      </c>
      <c r="BG75" s="22">
        <f t="shared" si="1"/>
        <v>202607</v>
      </c>
      <c r="BH75" s="22">
        <f t="shared" si="2"/>
        <v>1</v>
      </c>
    </row>
    <row r="76">
      <c r="B76" t="str">
        <f>[1]资金台帐!B76&amp;""</f>
        <v>微信-汪优丽</v>
      </c>
      <c r="H76" t="str">
        <f>[1]资金台帐!H76&amp;""</f>
        <v>废品回收-甫耀 (幸福的一家)</v>
      </c>
      <c r="J76" t="str">
        <f>[1]资金台帐!J76&amp;""</f>
        <v>转账 转账备注:微信转账</v>
      </c>
      <c r="N76">
        <f>[1]资金台帐!N76</f>
        <v>46228.0</v>
      </c>
      <c r="O76" t="str">
        <f>[1]资金台帐!O76&amp;""</f>
        <v>中智优力</v>
      </c>
      <c r="P76">
        <f>[1]资金台帐!P76&amp;""</f>
      </c>
      <c r="Q76">
        <f>[1]资金台帐!Q76&amp;""</f>
      </c>
      <c r="T76">
        <f>[1]资金台帐!T76&amp;""</f>
      </c>
      <c r="U76">
        <f>[1]资金台帐!U76&amp;""</f>
      </c>
      <c r="W76">
        <f>[1]资金台帐!W76&amp;""</f>
      </c>
      <c r="X76" t="str">
        <f>[1]资金台帐!X76&amp;""</f>
        <v>✗ 认不出：对方户名没登记，到【往来单位】加，或点「去改」手工选</v>
      </c>
      <c r="AB76">
        <f>[1]资金台帐!AB76</f>
        <v>5000</v>
      </c>
      <c r="AC76">
        <f>[1]资金台帐!AC76</f>
        <v>0</v>
      </c>
      <c r="AD76">
        <f>[1]资金台帐!AD76</f>
        <v>5000</v>
      </c>
      <c r="AJ76">
        <f>[1]资金台帐!AJ76</f>
        <v>0</v>
      </c>
      <c r="AK76">
        <f>[1]资金台帐!AK76</f>
        <v>0</v>
      </c>
      <c r="BA76" s="22">
        <f t="shared" si="0"/>
      </c>
      <c r="BG76" s="22">
        <f t="shared" si="1"/>
        <v>202607</v>
      </c>
      <c r="BH76" s="22">
        <f t="shared" si="2"/>
        <v>1</v>
      </c>
    </row>
    <row r="77">
      <c r="B77" t="str">
        <f>[1]资金台帐!B77&amp;""</f>
        <v>微信-汪优丽</v>
      </c>
      <c r="H77" t="str">
        <f>[1]资金台帐!H77&amp;""</f>
        <v>速停车</v>
      </c>
      <c r="J77" t="str">
        <f>[1]资金台帐!J77&amp;""</f>
        <v>商户消费 浙B212DN-真和逸庭酒店</v>
      </c>
      <c r="N77">
        <f>[1]资金台帐!N77</f>
        <v>46227.0</v>
      </c>
      <c r="O77" t="str">
        <f>[1]资金台帐!O77&amp;""</f>
        <v>中智优力</v>
      </c>
      <c r="P77">
        <f>[1]资金台帐!P77&amp;""</f>
      </c>
      <c r="Q77">
        <f>[1]资金台帐!Q77&amp;""</f>
      </c>
      <c r="T77" t="str">
        <f>[1]资金台帐!T77&amp;""</f>
        <v>汽车费用</v>
      </c>
      <c r="U77" t="str">
        <f>[1]资金台帐!U77&amp;""</f>
        <v>变动成本</v>
      </c>
      <c r="W77">
        <f>[1]资金台帐!W77&amp;""</f>
      </c>
      <c r="X77" t="str">
        <f>[1]资金台帐!X77&amp;""</f>
        <v>√</v>
      </c>
      <c r="AB77">
        <f>[1]资金台帐!AB77</f>
        <v>0</v>
      </c>
      <c r="AC77">
        <f>[1]资金台帐!AC77</f>
        <v>10</v>
      </c>
      <c r="AD77">
        <f>[1]资金台帐!AD77</f>
        <v>-10</v>
      </c>
      <c r="AJ77">
        <f>[1]资金台帐!AJ77</f>
        <v>0</v>
      </c>
      <c r="AK77">
        <f>[1]资金台帐!AK77</f>
        <v>0</v>
      </c>
      <c r="BA77" s="22">
        <f t="shared" si="0"/>
      </c>
      <c r="BG77" s="22">
        <f t="shared" si="1"/>
        <v>202607</v>
      </c>
      <c r="BH77" s="22">
        <f t="shared" si="2"/>
        <v>1</v>
      </c>
    </row>
    <row r="78">
      <c r="B78" t="str">
        <f>[1]资金台帐!B78&amp;""</f>
        <v>微信-汪优丽</v>
      </c>
      <c r="H78" t="str">
        <f>[1]资金台帐!H78&amp;""</f>
        <v>绿城停车</v>
      </c>
      <c r="J78" t="str">
        <f>[1]资金台帐!J78&amp;""</f>
        <v>商户消费 宁波银泰大厦地面-浙B70NP6-临停缴费</v>
      </c>
      <c r="N78">
        <f>[1]资金台帐!N78</f>
        <v>46226.0</v>
      </c>
      <c r="O78" t="str">
        <f>[1]资金台帐!O78&amp;""</f>
        <v>中智优力</v>
      </c>
      <c r="P78">
        <f>[1]资金台帐!P78&amp;""</f>
      </c>
      <c r="Q78">
        <f>[1]资金台帐!Q78&amp;""</f>
      </c>
      <c r="T78" t="str">
        <f>[1]资金台帐!T78&amp;""</f>
        <v>汽车费用</v>
      </c>
      <c r="U78" t="str">
        <f>[1]资金台帐!U78&amp;""</f>
        <v>变动成本</v>
      </c>
      <c r="W78">
        <f>[1]资金台帐!W78&amp;""</f>
      </c>
      <c r="X78" t="str">
        <f>[1]资金台帐!X78&amp;""</f>
        <v>√</v>
      </c>
      <c r="AB78">
        <f>[1]资金台帐!AB78</f>
        <v>0</v>
      </c>
      <c r="AC78">
        <f>[1]资金台帐!AC78</f>
        <v>10</v>
      </c>
      <c r="AD78">
        <f>[1]资金台帐!AD78</f>
        <v>-10</v>
      </c>
      <c r="AJ78">
        <f>[1]资金台帐!AJ78</f>
        <v>0</v>
      </c>
      <c r="AK78">
        <f>[1]资金台帐!AK78</f>
        <v>0</v>
      </c>
      <c r="BA78" s="22">
        <f t="shared" si="0"/>
      </c>
      <c r="BG78" s="22">
        <f t="shared" si="1"/>
        <v>202607</v>
      </c>
      <c r="BH78" s="22">
        <f t="shared" si="2"/>
        <v>1</v>
      </c>
    </row>
    <row r="79">
      <c r="B79" t="str">
        <f>[1]资金台帐!B79&amp;""</f>
        <v>微信-汪优丽</v>
      </c>
      <c r="H79" t="str">
        <f>[1]资金台帐!H79&amp;""</f>
        <v>停容易</v>
      </c>
      <c r="J79" t="str">
        <f>[1]资金台帐!J79&amp;""</f>
        <v>商户消费 停车缴费-宁波市汇峰亿天大厦停车场-浙B212DN</v>
      </c>
      <c r="N79">
        <f>[1]资金台帐!N79</f>
        <v>46224.0</v>
      </c>
      <c r="O79" t="str">
        <f>[1]资金台帐!O79&amp;""</f>
        <v>中智优力</v>
      </c>
      <c r="P79">
        <f>[1]资金台帐!P79&amp;""</f>
      </c>
      <c r="Q79">
        <f>[1]资金台帐!Q79&amp;""</f>
      </c>
      <c r="T79" t="str">
        <f>[1]资金台帐!T79&amp;""</f>
        <v>汽车费用</v>
      </c>
      <c r="U79" t="str">
        <f>[1]资金台帐!U79&amp;""</f>
        <v>变动成本</v>
      </c>
      <c r="W79">
        <f>[1]资金台帐!W79&amp;""</f>
      </c>
      <c r="X79" t="str">
        <f>[1]资金台帐!X79&amp;""</f>
        <v>√</v>
      </c>
      <c r="AB79">
        <f>[1]资金台帐!AB79</f>
        <v>0</v>
      </c>
      <c r="AC79">
        <f>[1]资金台帐!AC79</f>
        <v>8</v>
      </c>
      <c r="AD79">
        <f>[1]资金台帐!AD79</f>
        <v>-8</v>
      </c>
      <c r="AJ79">
        <f>[1]资金台帐!AJ79</f>
        <v>0</v>
      </c>
      <c r="AK79">
        <f>[1]资金台帐!AK79</f>
        <v>0</v>
      </c>
      <c r="BA79" s="22">
        <f t="shared" si="0"/>
      </c>
      <c r="BG79" s="22">
        <f t="shared" si="1"/>
        <v>202607</v>
      </c>
      <c r="BH79" s="22">
        <f t="shared" si="2"/>
        <v>1</v>
      </c>
    </row>
    <row r="80">
      <c r="B80" t="str">
        <f>[1]资金台帐!B80&amp;""</f>
        <v>微信-汪优丽</v>
      </c>
      <c r="H80" t="str">
        <f>[1]资金台帐!H80&amp;""</f>
        <v>李小飞-东部新城应聘兼职 (L🌻)</v>
      </c>
      <c r="J80" t="str">
        <f>[1]资金台帐!J80&amp;""</f>
        <v>转账 转账备注:工资</v>
      </c>
      <c r="N80">
        <f>[1]资金台帐!N80</f>
        <v>46223.0</v>
      </c>
      <c r="O80" t="str">
        <f>[1]资金台帐!O80&amp;""</f>
        <v>中智优力</v>
      </c>
      <c r="P80">
        <f>[1]资金台帐!P80&amp;""</f>
      </c>
      <c r="Q80">
        <f>[1]资金台帐!Q80&amp;""</f>
      </c>
      <c r="T80" t="str">
        <f>[1]资金台帐!T80&amp;""</f>
        <v>人工-工资</v>
      </c>
      <c r="U80" t="str">
        <f>[1]资金台帐!U80&amp;""</f>
        <v>变动成本</v>
      </c>
      <c r="W80">
        <f>[1]资金台帐!W80&amp;""</f>
      </c>
      <c r="X80" t="str">
        <f>[1]资金台帐!X80&amp;""</f>
        <v>√</v>
      </c>
      <c r="AB80">
        <f>[1]资金台帐!AB80</f>
        <v>0</v>
      </c>
      <c r="AC80">
        <f>[1]资金台帐!AC80</f>
        <v>1101.45</v>
      </c>
      <c r="AD80">
        <f>[1]资金台帐!AD80</f>
        <v>-1101.45</v>
      </c>
      <c r="AJ80">
        <f>[1]资金台帐!AJ80</f>
        <v>0</v>
      </c>
      <c r="AK80">
        <f>[1]资金台帐!AK80</f>
        <v>0</v>
      </c>
      <c r="BA80" s="22">
        <f t="shared" si="0"/>
      </c>
      <c r="BG80" s="22">
        <f t="shared" si="1"/>
        <v>202607</v>
      </c>
      <c r="BH80" s="22">
        <f t="shared" si="2"/>
        <v>1</v>
      </c>
    </row>
    <row r="81">
      <c r="B81" t="str">
        <f>[1]资金台帐!B81&amp;""</f>
        <v>微信-汪优丽</v>
      </c>
      <c r="H81" t="str">
        <f>[1]资金台帐!H81&amp;""</f>
        <v>/</v>
      </c>
      <c r="J81" t="str">
        <f>[1]资金台帐!J81&amp;""</f>
        <v>转账-退款 转账备注:快乐第一</v>
      </c>
      <c r="N81">
        <f>[1]资金台帐!N81</f>
        <v>46222.0</v>
      </c>
      <c r="O81" t="str">
        <f>[1]资金台帐!O81&amp;""</f>
        <v>中智优力</v>
      </c>
      <c r="P81">
        <f>[1]资金台帐!P81&amp;""</f>
      </c>
      <c r="Q81">
        <f>[1]资金台帐!Q81&amp;""</f>
      </c>
      <c r="T81">
        <f>[1]资金台帐!T81&amp;""</f>
      </c>
      <c r="U81">
        <f>[1]资金台帐!U81&amp;""</f>
      </c>
      <c r="W81">
        <f>[1]资金台帐!W81&amp;""</f>
      </c>
      <c r="X81" t="str">
        <f>[1]资金台帐!X81&amp;""</f>
        <v>✗ 认不出：对方户名没登记，到【往来单位】加，或点「去改」手工选</v>
      </c>
      <c r="AB81">
        <f>[1]资金台帐!AB81</f>
        <v>288</v>
      </c>
      <c r="AC81">
        <f>[1]资金台帐!AC81</f>
        <v>0</v>
      </c>
      <c r="AD81">
        <f>[1]资金台帐!AD81</f>
        <v>288</v>
      </c>
      <c r="AJ81">
        <f>[1]资金台帐!AJ81</f>
        <v>0</v>
      </c>
      <c r="AK81">
        <f>[1]资金台帐!AK81</f>
        <v>0</v>
      </c>
      <c r="BA81" s="22">
        <f t="shared" si="0"/>
      </c>
      <c r="BG81" s="22">
        <f t="shared" si="1"/>
        <v>202607</v>
      </c>
      <c r="BH81" s="22">
        <f t="shared" si="2"/>
        <v>1</v>
      </c>
    </row>
    <row r="82">
      <c r="B82" t="str">
        <f>[1]资金台帐!B82&amp;""</f>
        <v>微信-汪优丽</v>
      </c>
      <c r="H82" t="str">
        <f>[1]资金台帐!H82&amp;""</f>
        <v>上海-秋萍 (秋秋｜财税法咨询)</v>
      </c>
      <c r="J82" t="str">
        <f>[1]资金台帐!J82&amp;""</f>
        <v>转账 转账备注:快乐第一</v>
      </c>
      <c r="N82">
        <f>[1]资金台帐!N82</f>
        <v>46222.0</v>
      </c>
      <c r="O82" t="str">
        <f>[1]资金台帐!O82&amp;""</f>
        <v>中智优力</v>
      </c>
      <c r="P82">
        <f>[1]资金台帐!P82&amp;""</f>
      </c>
      <c r="Q82">
        <f>[1]资金台帐!Q82&amp;""</f>
      </c>
      <c r="T82">
        <f>[1]资金台帐!T82&amp;""</f>
      </c>
      <c r="U82">
        <f>[1]资金台帐!U82&amp;""</f>
      </c>
      <c r="W82">
        <f>[1]资金台帐!W82&amp;""</f>
      </c>
      <c r="X82" t="str">
        <f>[1]资金台帐!X82&amp;""</f>
        <v>✗ 认不出：对方户名没登记，到【往来单位】加，或点「去改」手工选</v>
      </c>
      <c r="AB82">
        <f>[1]资金台帐!AB82</f>
        <v>0</v>
      </c>
      <c r="AC82">
        <f>[1]资金台帐!AC82</f>
        <v>288</v>
      </c>
      <c r="AD82">
        <f>[1]资金台帐!AD82</f>
        <v>-288</v>
      </c>
      <c r="AJ82">
        <f>[1]资金台帐!AJ82</f>
        <v>0</v>
      </c>
      <c r="AK82">
        <f>[1]资金台帐!AK82</f>
        <v>0</v>
      </c>
      <c r="BA82" s="22">
        <f t="shared" si="0"/>
      </c>
      <c r="BG82" s="22">
        <f t="shared" si="1"/>
        <v>202607</v>
      </c>
      <c r="BH82" s="22">
        <f t="shared" si="2"/>
        <v>1</v>
      </c>
    </row>
    <row r="83">
      <c r="B83" t="str">
        <f>[1]资金台帐!B83&amp;""</f>
        <v>微信-汪优丽</v>
      </c>
      <c r="H83" t="str">
        <f>[1]资金台帐!H83&amp;""</f>
        <v>乐清公交</v>
      </c>
      <c r="J83" t="str">
        <f>[1]资金台帐!J83&amp;""</f>
        <v>商户消费 581路;车号:C05552F;扫码时间:2026-07-19 13:00:42</v>
      </c>
      <c r="N83">
        <f>[1]资金台帐!N83</f>
        <v>46222.0</v>
      </c>
      <c r="O83" t="str">
        <f>[1]资金台帐!O83&amp;""</f>
        <v>中智优力</v>
      </c>
      <c r="P83">
        <f>[1]资金台帐!P83&amp;""</f>
      </c>
      <c r="Q83">
        <f>[1]资金台帐!Q83&amp;""</f>
      </c>
      <c r="T83">
        <f>[1]资金台帐!T83&amp;""</f>
      </c>
      <c r="U83">
        <f>[1]资金台帐!U83&amp;""</f>
      </c>
      <c r="W83">
        <f>[1]资金台帐!W83&amp;""</f>
      </c>
      <c r="X83" t="str">
        <f>[1]资金台帐!X83&amp;""</f>
        <v>✗ 认不出：对方户名没登记，到【往来单位】加，或点「去改」手工选</v>
      </c>
      <c r="AB83">
        <f>[1]资金台帐!AB83</f>
        <v>0</v>
      </c>
      <c r="AC83">
        <f>[1]资金台帐!AC83</f>
        <v>2</v>
      </c>
      <c r="AD83">
        <f>[1]资金台帐!AD83</f>
        <v>-2</v>
      </c>
      <c r="AJ83">
        <f>[1]资金台帐!AJ83</f>
        <v>0</v>
      </c>
      <c r="AK83">
        <f>[1]资金台帐!AK83</f>
        <v>0</v>
      </c>
      <c r="BA83" s="22">
        <f t="shared" si="0"/>
      </c>
      <c r="BG83" s="22">
        <f t="shared" si="1"/>
        <v>202607</v>
      </c>
      <c r="BH83" s="22">
        <f t="shared" si="2"/>
        <v>1</v>
      </c>
    </row>
    <row r="84">
      <c r="B84" t="str">
        <f>[1]资金台帐!B84&amp;""</f>
        <v>微信-汪优丽</v>
      </c>
      <c r="H84" t="str">
        <f>[1]资金台帐!H84&amp;""</f>
        <v>旅途易购</v>
      </c>
      <c r="J84" t="str">
        <f>[1]资金台帐!J84&amp;""</f>
        <v>商户消费 NB2F中欧班列进口商品保税店</v>
      </c>
      <c r="N84">
        <f>[1]资金台帐!N84</f>
        <v>46220.0</v>
      </c>
      <c r="O84" t="str">
        <f>[1]资金台帐!O84&amp;""</f>
        <v>中智优力</v>
      </c>
      <c r="P84">
        <f>[1]资金台帐!P84&amp;""</f>
      </c>
      <c r="Q84">
        <f>[1]资金台帐!Q84&amp;""</f>
      </c>
      <c r="T84">
        <f>[1]资金台帐!T84&amp;""</f>
      </c>
      <c r="U84">
        <f>[1]资金台帐!U84&amp;""</f>
      </c>
      <c r="W84">
        <f>[1]资金台帐!W84&amp;""</f>
      </c>
      <c r="X84" t="str">
        <f>[1]资金台帐!X84&amp;""</f>
        <v>✗ 认不出：对方户名没登记，到【往来单位】加，或点「去改」手工选</v>
      </c>
      <c r="AB84">
        <f>[1]资金台帐!AB84</f>
        <v>0</v>
      </c>
      <c r="AC84">
        <f>[1]资金台帐!AC84</f>
        <v>1199</v>
      </c>
      <c r="AD84">
        <f>[1]资金台帐!AD84</f>
        <v>-1199</v>
      </c>
      <c r="AJ84">
        <f>[1]资金台帐!AJ84</f>
        <v>0</v>
      </c>
      <c r="AK84">
        <f>[1]资金台帐!AK84</f>
        <v>0</v>
      </c>
      <c r="BA84" s="22">
        <f t="shared" si="0"/>
      </c>
      <c r="BG84" s="22">
        <f t="shared" si="1"/>
        <v>202607</v>
      </c>
      <c r="BH84" s="22">
        <f t="shared" si="2"/>
        <v>1</v>
      </c>
    </row>
    <row r="85">
      <c r="B85" t="str">
        <f>[1]资金台帐!B85&amp;""</f>
        <v>微信-汪优丽</v>
      </c>
      <c r="H85" t="str">
        <f>[1]资金台帐!H85&amp;""</f>
        <v>雷鸣</v>
      </c>
      <c r="J85" t="str">
        <f>[1]资金台帐!J85&amp;""</f>
        <v>转账 转账备注:报销</v>
      </c>
      <c r="N85">
        <f>[1]资金台帐!N85</f>
        <v>46220.0</v>
      </c>
      <c r="O85" t="str">
        <f>[1]资金台帐!O85&amp;""</f>
        <v>中智优力</v>
      </c>
      <c r="P85">
        <f>[1]资金台帐!P85&amp;""</f>
      </c>
      <c r="Q85">
        <f>[1]资金台帐!Q85&amp;""</f>
      </c>
      <c r="T85">
        <f>[1]资金台帐!T85&amp;""</f>
      </c>
      <c r="U85">
        <f>[1]资金台帐!U85&amp;""</f>
      </c>
      <c r="W85">
        <f>[1]资金台帐!W85&amp;""</f>
      </c>
      <c r="X85" t="str">
        <f>[1]资金台帐!X85&amp;""</f>
        <v>✗ 认不出：对方户名没登记，到【往来单位】加，或点「去改」手工选</v>
      </c>
      <c r="AB85">
        <f>[1]资金台帐!AB85</f>
        <v>0</v>
      </c>
      <c r="AC85">
        <f>[1]资金台帐!AC85</f>
        <v>4800</v>
      </c>
      <c r="AD85">
        <f>[1]资金台帐!AD85</f>
        <v>-4800</v>
      </c>
      <c r="AJ85">
        <f>[1]资金台帐!AJ85</f>
        <v>0</v>
      </c>
      <c r="AK85">
        <f>[1]资金台帐!AK85</f>
        <v>0</v>
      </c>
      <c r="BA85" s="22">
        <f t="shared" si="0"/>
      </c>
      <c r="BG85" s="22">
        <f t="shared" si="1"/>
        <v>202607</v>
      </c>
      <c r="BH85" s="22">
        <f t="shared" si="2"/>
        <v>1</v>
      </c>
    </row>
    <row r="86">
      <c r="B86" t="str">
        <f>[1]资金台帐!B86&amp;""</f>
        <v>微信-汪优丽</v>
      </c>
      <c r="H86" t="str">
        <f>[1]资金台帐!H86&amp;""</f>
        <v>雷鸣</v>
      </c>
      <c r="J86" t="str">
        <f>[1]资金台帐!J86&amp;""</f>
        <v>转账 转账备注:报销</v>
      </c>
      <c r="N86">
        <f>[1]资金台帐!N86</f>
        <v>46220.0</v>
      </c>
      <c r="O86" t="str">
        <f>[1]资金台帐!O86&amp;""</f>
        <v>中智优力</v>
      </c>
      <c r="P86">
        <f>[1]资金台帐!P86&amp;""</f>
      </c>
      <c r="Q86">
        <f>[1]资金台帐!Q86&amp;""</f>
      </c>
      <c r="T86">
        <f>[1]资金台帐!T86&amp;""</f>
      </c>
      <c r="U86">
        <f>[1]资金台帐!U86&amp;""</f>
      </c>
      <c r="W86">
        <f>[1]资金台帐!W86&amp;""</f>
      </c>
      <c r="X86" t="str">
        <f>[1]资金台帐!X86&amp;""</f>
        <v>✗ 认不出：对方户名没登记，到【往来单位】加，或点「去改」手工选</v>
      </c>
      <c r="AB86">
        <f>[1]资金台帐!AB86</f>
        <v>0</v>
      </c>
      <c r="AC86">
        <f>[1]资金台帐!AC86</f>
        <v>3200</v>
      </c>
      <c r="AD86">
        <f>[1]资金台帐!AD86</f>
        <v>-3200</v>
      </c>
      <c r="AJ86">
        <f>[1]资金台帐!AJ86</f>
        <v>0</v>
      </c>
      <c r="AK86">
        <f>[1]资金台帐!AK86</f>
        <v>0</v>
      </c>
      <c r="BA86" s="22">
        <f t="shared" si="0"/>
      </c>
      <c r="BG86" s="22">
        <f t="shared" si="1"/>
        <v>202607</v>
      </c>
      <c r="BH86" s="22">
        <f t="shared" si="2"/>
        <v>1</v>
      </c>
    </row>
    <row r="87">
      <c r="B87" t="str">
        <f>[1]资金台帐!B87&amp;""</f>
        <v>微信-汪优丽</v>
      </c>
      <c r="H87" t="str">
        <f>[1]资金台帐!H87&amp;""</f>
        <v>雷鸣</v>
      </c>
      <c r="J87" t="str">
        <f>[1]资金台帐!J87&amp;""</f>
        <v>转账 转账备注:报销</v>
      </c>
      <c r="N87">
        <f>[1]资金台帐!N87</f>
        <v>46220.0</v>
      </c>
      <c r="O87" t="str">
        <f>[1]资金台帐!O87&amp;""</f>
        <v>中智优力</v>
      </c>
      <c r="P87">
        <f>[1]资金台帐!P87&amp;""</f>
      </c>
      <c r="Q87">
        <f>[1]资金台帐!Q87&amp;""</f>
      </c>
      <c r="T87">
        <f>[1]资金台帐!T87&amp;""</f>
      </c>
      <c r="U87">
        <f>[1]资金台帐!U87&amp;""</f>
      </c>
      <c r="W87">
        <f>[1]资金台帐!W87&amp;""</f>
      </c>
      <c r="X87" t="str">
        <f>[1]资金台帐!X87&amp;""</f>
        <v>✗ 认不出：对方户名没登记，到【往来单位】加，或点「去改」手工选</v>
      </c>
      <c r="AB87">
        <f>[1]资金台帐!AB87</f>
        <v>0</v>
      </c>
      <c r="AC87">
        <f>[1]资金台帐!AC87</f>
        <v>848.95</v>
      </c>
      <c r="AD87">
        <f>[1]资金台帐!AD87</f>
        <v>-848.95</v>
      </c>
      <c r="AJ87">
        <f>[1]资金台帐!AJ87</f>
        <v>0</v>
      </c>
      <c r="AK87">
        <f>[1]资金台帐!AK87</f>
        <v>0</v>
      </c>
      <c r="BA87" s="22">
        <f t="shared" si="0"/>
      </c>
      <c r="BG87" s="22">
        <f t="shared" si="1"/>
        <v>202607</v>
      </c>
      <c r="BH87" s="22">
        <f t="shared" si="2"/>
        <v>1</v>
      </c>
    </row>
    <row r="88">
      <c r="B88" t="str">
        <f>[1]资金台帐!B88&amp;""</f>
        <v>微信-汪优丽</v>
      </c>
      <c r="H88" t="str">
        <f>[1]资金台帐!H88&amp;""</f>
        <v>雷鸣</v>
      </c>
      <c r="J88" t="str">
        <f>[1]资金台帐!J88&amp;""</f>
        <v>转账 转账备注:报错</v>
      </c>
      <c r="N88">
        <f>[1]资金台帐!N88</f>
        <v>46220.0</v>
      </c>
      <c r="O88" t="str">
        <f>[1]资金台帐!O88&amp;""</f>
        <v>中智优力</v>
      </c>
      <c r="P88">
        <f>[1]资金台帐!P88&amp;""</f>
      </c>
      <c r="Q88">
        <f>[1]资金台帐!Q88&amp;""</f>
      </c>
      <c r="T88">
        <f>[1]资金台帐!T88&amp;""</f>
      </c>
      <c r="U88">
        <f>[1]资金台帐!U88&amp;""</f>
      </c>
      <c r="W88">
        <f>[1]资金台帐!W88&amp;""</f>
      </c>
      <c r="X88" t="str">
        <f>[1]资金台帐!X88&amp;""</f>
        <v>✗ 认不出：对方户名没登记，到【往来单位】加，或点「去改」手工选</v>
      </c>
      <c r="AB88">
        <f>[1]资金台帐!AB88</f>
        <v>0</v>
      </c>
      <c r="AC88">
        <f>[1]资金台帐!AC88</f>
        <v>1370</v>
      </c>
      <c r="AD88">
        <f>[1]资金台帐!AD88</f>
        <v>-1370</v>
      </c>
      <c r="AJ88">
        <f>[1]资金台帐!AJ88</f>
        <v>0</v>
      </c>
      <c r="AK88">
        <f>[1]资金台帐!AK88</f>
        <v>0</v>
      </c>
      <c r="BA88" s="22">
        <f t="shared" si="0"/>
      </c>
      <c r="BG88" s="22">
        <f t="shared" si="1"/>
        <v>202607</v>
      </c>
      <c r="BH88" s="22">
        <f t="shared" si="2"/>
        <v>1</v>
      </c>
    </row>
    <row r="89">
      <c r="B89" t="str">
        <f>[1]资金台帐!B89&amp;""</f>
        <v>微信-汪优丽</v>
      </c>
      <c r="H89" t="str">
        <f>[1]资金台帐!H89&amp;""</f>
        <v>雷鸣</v>
      </c>
      <c r="J89" t="str">
        <f>[1]资金台帐!J89&amp;""</f>
        <v>转账 转账备注:报销</v>
      </c>
      <c r="N89">
        <f>[1]资金台帐!N89</f>
        <v>46220.0</v>
      </c>
      <c r="O89" t="str">
        <f>[1]资金台帐!O89&amp;""</f>
        <v>中智优力</v>
      </c>
      <c r="P89">
        <f>[1]资金台帐!P89&amp;""</f>
      </c>
      <c r="Q89">
        <f>[1]资金台帐!Q89&amp;""</f>
      </c>
      <c r="T89">
        <f>[1]资金台帐!T89&amp;""</f>
      </c>
      <c r="U89">
        <f>[1]资金台帐!U89&amp;""</f>
      </c>
      <c r="W89">
        <f>[1]资金台帐!W89&amp;""</f>
      </c>
      <c r="X89" t="str">
        <f>[1]资金台帐!X89&amp;""</f>
        <v>✗ 认不出：对方户名没登记，到【往来单位】加，或点「去改」手工选</v>
      </c>
      <c r="AB89">
        <f>[1]资金台帐!AB89</f>
        <v>0</v>
      </c>
      <c r="AC89">
        <f>[1]资金台帐!AC89</f>
        <v>106.9</v>
      </c>
      <c r="AD89">
        <f>[1]资金台帐!AD89</f>
        <v>-106.9</v>
      </c>
      <c r="AJ89">
        <f>[1]资金台帐!AJ89</f>
        <v>0</v>
      </c>
      <c r="AK89">
        <f>[1]资金台帐!AK89</f>
        <v>0</v>
      </c>
      <c r="BA89" s="22">
        <f t="shared" si="0"/>
      </c>
      <c r="BG89" s="22">
        <f t="shared" si="1"/>
        <v>202607</v>
      </c>
      <c r="BH89" s="22">
        <f t="shared" si="2"/>
        <v>1</v>
      </c>
    </row>
    <row r="90">
      <c r="B90" t="str">
        <f>[1]资金台帐!B90&amp;""</f>
        <v>微信-汪优丽</v>
      </c>
      <c r="H90" t="str">
        <f>[1]资金台帐!H90&amp;""</f>
        <v>雷鸣</v>
      </c>
      <c r="J90" t="str">
        <f>[1]资金台帐!J90&amp;""</f>
        <v>转账 转账备注:报销</v>
      </c>
      <c r="N90">
        <f>[1]资金台帐!N90</f>
        <v>46220.0</v>
      </c>
      <c r="O90" t="str">
        <f>[1]资金台帐!O90&amp;""</f>
        <v>中智优力</v>
      </c>
      <c r="P90">
        <f>[1]资金台帐!P90&amp;""</f>
      </c>
      <c r="Q90">
        <f>[1]资金台帐!Q90&amp;""</f>
      </c>
      <c r="T90">
        <f>[1]资金台帐!T90&amp;""</f>
      </c>
      <c r="U90">
        <f>[1]资金台帐!U90&amp;""</f>
      </c>
      <c r="W90">
        <f>[1]资金台帐!W90&amp;""</f>
      </c>
      <c r="X90" t="str">
        <f>[1]资金台帐!X90&amp;""</f>
        <v>✗ 认不出：对方户名没登记，到【往来单位】加，或点「去改」手工选</v>
      </c>
      <c r="AB90">
        <f>[1]资金台帐!AB90</f>
        <v>0</v>
      </c>
      <c r="AC90">
        <f>[1]资金台帐!AC90</f>
        <v>378</v>
      </c>
      <c r="AD90">
        <f>[1]资金台帐!AD90</f>
        <v>-378</v>
      </c>
      <c r="AJ90">
        <f>[1]资金台帐!AJ90</f>
        <v>0</v>
      </c>
      <c r="AK90">
        <f>[1]资金台帐!AK90</f>
        <v>0</v>
      </c>
      <c r="BA90" s="22">
        <f t="shared" si="0"/>
      </c>
      <c r="BG90" s="22">
        <f t="shared" si="1"/>
        <v>202607</v>
      </c>
      <c r="BH90" s="22">
        <f t="shared" si="2"/>
        <v>1</v>
      </c>
    </row>
    <row r="91">
      <c r="B91" t="str">
        <f>[1]资金台帐!B91&amp;""</f>
        <v>微信-汪优丽</v>
      </c>
      <c r="H91" t="str">
        <f>[1]资金台帐!H91&amp;""</f>
        <v>雷鸣</v>
      </c>
      <c r="J91" t="str">
        <f>[1]资金台帐!J91&amp;""</f>
        <v>转账 转账备注:报销</v>
      </c>
      <c r="N91">
        <f>[1]资金台帐!N91</f>
        <v>46220.0</v>
      </c>
      <c r="O91" t="str">
        <f>[1]资金台帐!O91&amp;""</f>
        <v>中智优力</v>
      </c>
      <c r="P91">
        <f>[1]资金台帐!P91&amp;""</f>
      </c>
      <c r="Q91">
        <f>[1]资金台帐!Q91&amp;""</f>
      </c>
      <c r="T91">
        <f>[1]资金台帐!T91&amp;""</f>
      </c>
      <c r="U91">
        <f>[1]资金台帐!U91&amp;""</f>
      </c>
      <c r="W91">
        <f>[1]资金台帐!W91&amp;""</f>
      </c>
      <c r="X91" t="str">
        <f>[1]资金台帐!X91&amp;""</f>
        <v>✗ 认不出：对方户名没登记，到【往来单位】加，或点「去改」手工选</v>
      </c>
      <c r="AB91">
        <f>[1]资金台帐!AB91</f>
        <v>0</v>
      </c>
      <c r="AC91">
        <f>[1]资金台帐!AC91</f>
        <v>665.5</v>
      </c>
      <c r="AD91">
        <f>[1]资金台帐!AD91</f>
        <v>-665.5</v>
      </c>
      <c r="AJ91">
        <f>[1]资金台帐!AJ91</f>
        <v>0</v>
      </c>
      <c r="AK91">
        <f>[1]资金台帐!AK91</f>
        <v>0</v>
      </c>
      <c r="BA91" s="22">
        <f t="shared" si="0"/>
      </c>
      <c r="BG91" s="22">
        <f t="shared" si="1"/>
        <v>202607</v>
      </c>
      <c r="BH91" s="22">
        <f t="shared" si="2"/>
        <v>1</v>
      </c>
    </row>
    <row r="92">
      <c r="B92" t="str">
        <f>[1]资金台帐!B92&amp;""</f>
        <v>微信-汪优丽</v>
      </c>
      <c r="H92" t="str">
        <f>[1]资金台帐!H92&amp;""</f>
        <v>雷鸣</v>
      </c>
      <c r="J92" t="str">
        <f>[1]资金台帐!J92&amp;""</f>
        <v>转账 转账备注:报销</v>
      </c>
      <c r="N92">
        <f>[1]资金台帐!N92</f>
        <v>46220.0</v>
      </c>
      <c r="O92" t="str">
        <f>[1]资金台帐!O92&amp;""</f>
        <v>中智优力</v>
      </c>
      <c r="P92">
        <f>[1]资金台帐!P92&amp;""</f>
      </c>
      <c r="Q92">
        <f>[1]资金台帐!Q92&amp;""</f>
      </c>
      <c r="T92">
        <f>[1]资金台帐!T92&amp;""</f>
      </c>
      <c r="U92">
        <f>[1]资金台帐!U92&amp;""</f>
      </c>
      <c r="W92">
        <f>[1]资金台帐!W92&amp;""</f>
      </c>
      <c r="X92" t="str">
        <f>[1]资金台帐!X92&amp;""</f>
        <v>✗ 认不出：对方户名没登记，到【往来单位】加，或点「去改」手工选</v>
      </c>
      <c r="AB92">
        <f>[1]资金台帐!AB92</f>
        <v>0</v>
      </c>
      <c r="AC92">
        <f>[1]资金台帐!AC92</f>
        <v>2924.38</v>
      </c>
      <c r="AD92">
        <f>[1]资金台帐!AD92</f>
        <v>-2924.38</v>
      </c>
      <c r="AJ92">
        <f>[1]资金台帐!AJ92</f>
        <v>0</v>
      </c>
      <c r="AK92">
        <f>[1]资金台帐!AK92</f>
        <v>0</v>
      </c>
      <c r="BA92" s="22">
        <f t="shared" si="0"/>
      </c>
      <c r="BG92" s="22">
        <f t="shared" si="1"/>
        <v>202607</v>
      </c>
      <c r="BH92" s="22">
        <f t="shared" si="2"/>
        <v>1</v>
      </c>
    </row>
    <row r="93">
      <c r="B93" t="str">
        <f>[1]资金台帐!B93&amp;""</f>
        <v>微信-汪优丽</v>
      </c>
      <c r="H93" t="str">
        <f>[1]资金台帐!H93&amp;""</f>
        <v>雷鸣</v>
      </c>
      <c r="J93" t="str">
        <f>[1]资金台帐!J93&amp;""</f>
        <v>转账 转账备注:报销</v>
      </c>
      <c r="N93">
        <f>[1]资金台帐!N93</f>
        <v>46220.0</v>
      </c>
      <c r="O93" t="str">
        <f>[1]资金台帐!O93&amp;""</f>
        <v>中智优力</v>
      </c>
      <c r="P93">
        <f>[1]资金台帐!P93&amp;""</f>
      </c>
      <c r="Q93">
        <f>[1]资金台帐!Q93&amp;""</f>
      </c>
      <c r="T93">
        <f>[1]资金台帐!T93&amp;""</f>
      </c>
      <c r="U93">
        <f>[1]资金台帐!U93&amp;""</f>
      </c>
      <c r="W93">
        <f>[1]资金台帐!W93&amp;""</f>
      </c>
      <c r="X93" t="str">
        <f>[1]资金台帐!X93&amp;""</f>
        <v>✗ 认不出：对方户名没登记，到【往来单位】加，或点「去改」手工选</v>
      </c>
      <c r="AB93">
        <f>[1]资金台帐!AB93</f>
        <v>0</v>
      </c>
      <c r="AC93">
        <f>[1]资金台帐!AC93</f>
        <v>82</v>
      </c>
      <c r="AD93">
        <f>[1]资金台帐!AD93</f>
        <v>-82</v>
      </c>
      <c r="AJ93">
        <f>[1]资金台帐!AJ93</f>
        <v>0</v>
      </c>
      <c r="AK93">
        <f>[1]资金台帐!AK93</f>
        <v>0</v>
      </c>
      <c r="BA93" s="22">
        <f t="shared" si="0"/>
      </c>
      <c r="BG93" s="22">
        <f t="shared" si="1"/>
        <v>202607</v>
      </c>
      <c r="BH93" s="22">
        <f t="shared" si="2"/>
        <v>1</v>
      </c>
    </row>
    <row r="94">
      <c r="B94" t="str">
        <f>[1]资金台帐!B94&amp;""</f>
        <v>微信-汪优丽</v>
      </c>
      <c r="H94" t="str">
        <f>[1]资金台帐!H94&amp;""</f>
        <v>小七</v>
      </c>
      <c r="J94" t="str">
        <f>[1]资金台帐!J94&amp;""</f>
        <v>转账 转账备注:蛋糕费用</v>
      </c>
      <c r="N94">
        <f>[1]资金台帐!N94</f>
        <v>46220.0</v>
      </c>
      <c r="O94" t="str">
        <f>[1]资金台帐!O94&amp;""</f>
        <v>中智优力</v>
      </c>
      <c r="P94">
        <f>[1]资金台帐!P94&amp;""</f>
      </c>
      <c r="Q94">
        <f>[1]资金台帐!Q94&amp;""</f>
      </c>
      <c r="T94">
        <f>[1]资金台帐!T94&amp;""</f>
      </c>
      <c r="U94">
        <f>[1]资金台帐!U94&amp;""</f>
      </c>
      <c r="W94">
        <f>[1]资金台帐!W94&amp;""</f>
      </c>
      <c r="X94" t="str">
        <f>[1]资金台帐!X94&amp;""</f>
        <v>✗ 认不出：对方户名没登记，到【往来单位】加，或点「去改」手工选</v>
      </c>
      <c r="AB94">
        <f>[1]资金台帐!AB94</f>
        <v>0</v>
      </c>
      <c r="AC94">
        <f>[1]资金台帐!AC94</f>
        <v>204</v>
      </c>
      <c r="AD94">
        <f>[1]资金台帐!AD94</f>
        <v>-204</v>
      </c>
      <c r="AJ94">
        <f>[1]资金台帐!AJ94</f>
        <v>0</v>
      </c>
      <c r="AK94">
        <f>[1]资金台帐!AK94</f>
        <v>0</v>
      </c>
      <c r="BA94" s="22">
        <f t="shared" si="0"/>
      </c>
      <c r="BG94" s="22">
        <f t="shared" si="1"/>
        <v>202607</v>
      </c>
      <c r="BH94" s="22">
        <f t="shared" si="2"/>
        <v>1</v>
      </c>
    </row>
    <row r="95">
      <c r="B95" t="str">
        <f>[1]资金台帐!B95&amp;""</f>
        <v>微信-汪优丽</v>
      </c>
      <c r="H95" t="str">
        <f>[1]资金台帐!H95&amp;""</f>
        <v>宁波市海曙劳零蛋糕店</v>
      </c>
      <c r="J95" t="str">
        <f>[1]资金台帐!J95&amp;""</f>
        <v>商户消费 宁波市海曙劳零蛋糕店</v>
      </c>
      <c r="N95">
        <f>[1]资金台帐!N95</f>
        <v>46219.0</v>
      </c>
      <c r="O95" t="str">
        <f>[1]资金台帐!O95&amp;""</f>
        <v>中智优力</v>
      </c>
      <c r="P95">
        <f>[1]资金台帐!P95&amp;""</f>
      </c>
      <c r="Q95">
        <f>[1]资金台帐!Q95&amp;""</f>
      </c>
      <c r="T95">
        <f>[1]资金台帐!T95&amp;""</f>
      </c>
      <c r="U95">
        <f>[1]资金台帐!U95&amp;""</f>
      </c>
      <c r="W95">
        <f>[1]资金台帐!W95&amp;""</f>
      </c>
      <c r="X95" t="str">
        <f>[1]资金台帐!X95&amp;""</f>
        <v>✗ 认不出：对方户名没登记，到【往来单位】加，或点「去改」手工选</v>
      </c>
      <c r="AB95">
        <f>[1]资金台帐!AB95</f>
        <v>0</v>
      </c>
      <c r="AC95">
        <f>[1]资金台帐!AC95</f>
        <v>29</v>
      </c>
      <c r="AD95">
        <f>[1]资金台帐!AD95</f>
        <v>-29</v>
      </c>
      <c r="AJ95">
        <f>[1]资金台帐!AJ95</f>
        <v>0</v>
      </c>
      <c r="AK95">
        <f>[1]资金台帐!AK95</f>
        <v>0</v>
      </c>
      <c r="BA95" s="22">
        <f t="shared" si="0"/>
      </c>
      <c r="BG95" s="22">
        <f t="shared" si="1"/>
        <v>202607</v>
      </c>
      <c r="BH95" s="22">
        <f t="shared" si="2"/>
        <v>1</v>
      </c>
    </row>
    <row r="96">
      <c r="B96" t="str">
        <f>[1]资金台帐!B96&amp;""</f>
        <v>微信-汪优丽</v>
      </c>
      <c r="H96" t="str">
        <f>[1]资金台帐!H96&amp;""</f>
        <v>滴滴出行</v>
      </c>
      <c r="J96" t="str">
        <f>[1]资金台帐!J96&amp;""</f>
        <v>商户消费 先乘车后付款</v>
      </c>
      <c r="N96">
        <f>[1]资金台帐!N96</f>
        <v>46219.0</v>
      </c>
      <c r="O96" t="str">
        <f>[1]资金台帐!O96&amp;""</f>
        <v>中智优力</v>
      </c>
      <c r="P96">
        <f>[1]资金台帐!P96&amp;""</f>
      </c>
      <c r="Q96">
        <f>[1]资金台帐!Q96&amp;""</f>
      </c>
      <c r="T96">
        <f>[1]资金台帐!T96&amp;""</f>
      </c>
      <c r="U96">
        <f>[1]资金台帐!U96&amp;""</f>
      </c>
      <c r="W96">
        <f>[1]资金台帐!W96&amp;""</f>
      </c>
      <c r="X96" t="str">
        <f>[1]资金台帐!X96&amp;""</f>
        <v>✗ 认不出：对方户名没登记，到【往来单位】加，或点「去改」手工选</v>
      </c>
      <c r="AB96">
        <f>[1]资金台帐!AB96</f>
        <v>0</v>
      </c>
      <c r="AC96">
        <f>[1]资金台帐!AC96</f>
        <v>10.36</v>
      </c>
      <c r="AD96">
        <f>[1]资金台帐!AD96</f>
        <v>-10.36</v>
      </c>
      <c r="AJ96">
        <f>[1]资金台帐!AJ96</f>
        <v>0</v>
      </c>
      <c r="AK96">
        <f>[1]资金台帐!AK96</f>
        <v>0</v>
      </c>
      <c r="BA96" s="22">
        <f t="shared" si="0"/>
      </c>
      <c r="BG96" s="22">
        <f t="shared" si="1"/>
        <v>202607</v>
      </c>
      <c r="BH96" s="22">
        <f t="shared" si="2"/>
        <v>1</v>
      </c>
    </row>
    <row r="97">
      <c r="B97" t="str">
        <f>[1]资金台帐!B97&amp;""</f>
        <v>微信-汪优丽</v>
      </c>
      <c r="H97" t="str">
        <f>[1]资金台帐!H97&amp;""</f>
        <v>国家税务总局</v>
      </c>
      <c r="J97" t="str">
        <f>[1]资金台帐!J97&amp;""</f>
        <v>商户消费 缴税业务</v>
      </c>
      <c r="N97">
        <f>[1]资金台帐!N97</f>
        <v>46218.0</v>
      </c>
      <c r="O97" t="str">
        <f>[1]资金台帐!O97&amp;""</f>
        <v>中智优力</v>
      </c>
      <c r="P97">
        <f>[1]资金台帐!P97&amp;""</f>
      </c>
      <c r="Q97">
        <f>[1]资金台帐!Q97&amp;""</f>
      </c>
      <c r="T97">
        <f>[1]资金台帐!T97&amp;""</f>
      </c>
      <c r="U97">
        <f>[1]资金台帐!U97&amp;""</f>
      </c>
      <c r="W97">
        <f>[1]资金台帐!W97&amp;""</f>
      </c>
      <c r="X97" t="str">
        <f>[1]资金台帐!X97&amp;""</f>
        <v>跳过：用银行卡/信用卡付的（银行流水里已经有这一笔）</v>
      </c>
      <c r="AB97">
        <f>[1]资金台帐!AB97</f>
        <v>0</v>
      </c>
      <c r="AC97">
        <f>[1]资金台帐!AC97</f>
        <v>0</v>
      </c>
      <c r="AD97">
        <f>[1]资金台帐!AD97</f>
        <v>0</v>
      </c>
      <c r="AJ97">
        <f>[1]资金台帐!AJ97</f>
        <v>0</v>
      </c>
      <c r="AK97">
        <f>[1]资金台帐!AK97</f>
        <v>0</v>
      </c>
      <c r="BA97" s="22">
        <f t="shared" si="0"/>
      </c>
      <c r="BG97" s="22">
        <f t="shared" si="1"/>
        <v>202607</v>
      </c>
      <c r="BH97" s="22">
        <f t="shared" si="2"/>
        <v>1</v>
      </c>
    </row>
    <row r="98">
      <c r="B98" t="str">
        <f>[1]资金台帐!B98&amp;""</f>
        <v>微信-汪优丽</v>
      </c>
      <c r="H98" t="str">
        <f>[1]资金台帐!H98&amp;""</f>
        <v>/</v>
      </c>
      <c r="J98" t="str">
        <f>[1]资金台帐!J98&amp;""</f>
        <v>转入零钱通-来自零钱</v>
      </c>
      <c r="N98">
        <f>[1]资金台帐!N98</f>
        <v>46218.0</v>
      </c>
      <c r="O98" t="str">
        <f>[1]资金台帐!O98&amp;""</f>
        <v>中智优力</v>
      </c>
      <c r="P98">
        <f>[1]资金台帐!P98&amp;""</f>
      </c>
      <c r="Q98">
        <f>[1]资金台帐!Q98&amp;""</f>
      </c>
      <c r="T98">
        <f>[1]资金台帐!T98&amp;""</f>
      </c>
      <c r="U98">
        <f>[1]资金台帐!U98&amp;""</f>
      </c>
      <c r="W98">
        <f>[1]资金台帐!W98&amp;""</f>
      </c>
      <c r="X98" t="str">
        <f>[1]资金台帐!X98&amp;""</f>
        <v>跳过：不计收支（零钱通、转给自己等）</v>
      </c>
      <c r="AB98">
        <f>[1]资金台帐!AB98</f>
        <v>0</v>
      </c>
      <c r="AC98">
        <f>[1]资金台帐!AC98</f>
        <v>0</v>
      </c>
      <c r="AD98">
        <f>[1]资金台帐!AD98</f>
        <v>0</v>
      </c>
      <c r="AJ98">
        <f>[1]资金台帐!AJ98</f>
        <v>0</v>
      </c>
      <c r="AK98">
        <f>[1]资金台帐!AK98</f>
        <v>0</v>
      </c>
      <c r="BA98" s="22">
        <f t="shared" si="0"/>
      </c>
      <c r="BG98" s="22">
        <f t="shared" si="1"/>
        <v>202607</v>
      </c>
      <c r="BH98" s="22">
        <f t="shared" si="2"/>
        <v>1</v>
      </c>
    </row>
    <row r="99">
      <c r="B99" t="str">
        <f>[1]资金台帐!B99&amp;""</f>
        <v>微信-汪优丽</v>
      </c>
      <c r="H99" t="str">
        <f>[1]资金台帐!H99&amp;""</f>
        <v>浙江新城数字科技有限公司</v>
      </c>
      <c r="J99" t="str">
        <f>[1]资金台帐!J99&amp;""</f>
        <v>商户消费 浙江新城数字科技有限公司</v>
      </c>
      <c r="N99">
        <f>[1]资金台帐!N99</f>
        <v>46218.0</v>
      </c>
      <c r="O99" t="str">
        <f>[1]资金台帐!O99&amp;""</f>
        <v>中智优力</v>
      </c>
      <c r="P99">
        <f>[1]资金台帐!P99&amp;""</f>
      </c>
      <c r="Q99">
        <f>[1]资金台帐!Q99&amp;""</f>
      </c>
      <c r="T99">
        <f>[1]资金台帐!T99&amp;""</f>
      </c>
      <c r="U99">
        <f>[1]资金台帐!U99&amp;""</f>
      </c>
      <c r="W99">
        <f>[1]资金台帐!W99&amp;""</f>
      </c>
      <c r="X99" t="str">
        <f>[1]资金台帐!X99&amp;""</f>
        <v>✗ 认不出：对方户名没登记，到【往来单位】加，或点「去改」手工选</v>
      </c>
      <c r="AB99">
        <f>[1]资金台帐!AB99</f>
        <v>0</v>
      </c>
      <c r="AC99">
        <f>[1]资金台帐!AC99</f>
        <v>3</v>
      </c>
      <c r="AD99">
        <f>[1]资金台帐!AD99</f>
        <v>-3</v>
      </c>
      <c r="AJ99">
        <f>[1]资金台帐!AJ99</f>
        <v>0</v>
      </c>
      <c r="AK99">
        <f>[1]资金台帐!AK99</f>
        <v>0</v>
      </c>
      <c r="BA99" s="22">
        <f t="shared" si="0"/>
      </c>
      <c r="BG99" s="22">
        <f t="shared" si="1"/>
        <v>202607</v>
      </c>
      <c r="BH99" s="22">
        <f t="shared" si="2"/>
        <v>1</v>
      </c>
    </row>
    <row r="100">
      <c r="B100" t="str">
        <f>[1]资金台帐!B100&amp;""</f>
        <v>微信-汪优丽</v>
      </c>
      <c r="H100" t="str">
        <f>[1]资金台帐!H100&amp;""</f>
        <v>水玲珑💖象山海鲜面，原第二碗面</v>
      </c>
      <c r="J100" t="str">
        <f>[1]资金台帐!J100&amp;""</f>
        <v>扫二维码付款 收款方备注:二维码收款</v>
      </c>
      <c r="N100">
        <f>[1]资金台帐!N100</f>
        <v>46218.0</v>
      </c>
      <c r="O100" t="str">
        <f>[1]资金台帐!O100&amp;""</f>
        <v>中智优力</v>
      </c>
      <c r="P100">
        <f>[1]资金台帐!P100&amp;""</f>
      </c>
      <c r="Q100">
        <f>[1]资金台帐!Q100&amp;""</f>
      </c>
      <c r="T100">
        <f>[1]资金台帐!T100&amp;""</f>
      </c>
      <c r="U100">
        <f>[1]资金台帐!U100&amp;""</f>
      </c>
      <c r="W100">
        <f>[1]资金台帐!W100&amp;""</f>
      </c>
      <c r="X100" t="str">
        <f>[1]资金台帐!X100&amp;""</f>
        <v>✗ 认不出：对方户名没登记，到【往来单位】加，或点「去改」手工选</v>
      </c>
      <c r="AB100">
        <f>[1]资金台帐!AB100</f>
        <v>0</v>
      </c>
      <c r="AC100">
        <f>[1]资金台帐!AC100</f>
        <v>32</v>
      </c>
      <c r="AD100">
        <f>[1]资金台帐!AD100</f>
        <v>-32</v>
      </c>
      <c r="AJ100">
        <f>[1]资金台帐!AJ100</f>
        <v>0</v>
      </c>
      <c r="AK100">
        <f>[1]资金台帐!AK100</f>
        <v>0</v>
      </c>
      <c r="BA100" s="22">
        <f t="shared" si="0"/>
      </c>
      <c r="BG100" s="22">
        <f t="shared" si="1"/>
        <v>202607</v>
      </c>
      <c r="BH100" s="22">
        <f t="shared" si="2"/>
        <v>1</v>
      </c>
    </row>
    <row r="101">
      <c r="B101" t="str">
        <f>[1]资金台帐!B101&amp;""</f>
        <v>微信-汪优丽</v>
      </c>
      <c r="H101" t="str">
        <f>[1]资金台帐!H101&amp;""</f>
        <v>8</v>
      </c>
      <c r="J101" t="str">
        <f>[1]资金台帐!J101&amp;""</f>
        <v>二维码收款 收款方备注:二维码收款</v>
      </c>
      <c r="N101">
        <f>[1]资金台帐!N101</f>
        <v>46217.0</v>
      </c>
      <c r="O101" t="str">
        <f>[1]资金台帐!O101&amp;""</f>
        <v>中智优力</v>
      </c>
      <c r="P101">
        <f>[1]资金台帐!P101&amp;""</f>
      </c>
      <c r="Q101">
        <f>[1]资金台帐!Q101&amp;""</f>
      </c>
      <c r="T101">
        <f>[1]资金台帐!T101&amp;""</f>
      </c>
      <c r="U101">
        <f>[1]资金台帐!U101&amp;""</f>
      </c>
      <c r="W101">
        <f>[1]资金台帐!W101&amp;""</f>
      </c>
      <c r="X101" t="str">
        <f>[1]资金台帐!X101&amp;""</f>
        <v>✗ 认不出：对方户名没登记，到【往来单位】加，或点「去改」手工选</v>
      </c>
      <c r="AB101">
        <f>[1]资金台帐!AB101</f>
        <v>10000</v>
      </c>
      <c r="AC101">
        <f>[1]资金台帐!AC101</f>
        <v>0</v>
      </c>
      <c r="AD101">
        <f>[1]资金台帐!AD101</f>
        <v>10000</v>
      </c>
      <c r="AJ101">
        <f>[1]资金台帐!AJ101</f>
        <v>0</v>
      </c>
      <c r="AK101">
        <f>[1]资金台帐!AK101</f>
        <v>0</v>
      </c>
      <c r="BA101" s="22">
        <f t="shared" si="0"/>
      </c>
      <c r="BG101" s="22">
        <f t="shared" si="1"/>
        <v>202607</v>
      </c>
      <c r="BH101" s="22">
        <f t="shared" si="2"/>
        <v>1</v>
      </c>
    </row>
    <row r="102">
      <c r="B102" t="str">
        <f>[1]资金台帐!B102&amp;""</f>
        <v>微信-汪优丽</v>
      </c>
      <c r="H102" t="str">
        <f>[1]资金台帐!H102&amp;""</f>
        <v>徐老师19-701 (＂赟＂有你)</v>
      </c>
      <c r="J102" t="str">
        <f>[1]资金台帐!J102&amp;""</f>
        <v>转账 转账备注:开心浅水湾代理费</v>
      </c>
      <c r="N102">
        <f>[1]资金台帐!N102</f>
        <v>46216.0</v>
      </c>
      <c r="O102" t="str">
        <f>[1]资金台帐!O102&amp;""</f>
        <v>中智优力</v>
      </c>
      <c r="P102">
        <f>[1]资金台帐!P102&amp;""</f>
      </c>
      <c r="Q102">
        <f>[1]资金台帐!Q102&amp;""</f>
      </c>
      <c r="T102">
        <f>[1]资金台帐!T102&amp;""</f>
      </c>
      <c r="U102">
        <f>[1]资金台帐!U102&amp;""</f>
      </c>
      <c r="W102">
        <f>[1]资金台帐!W102&amp;""</f>
      </c>
      <c r="X102" t="str">
        <f>[1]资金台帐!X102&amp;""</f>
        <v>✗ 认不出：对方户名没登记，到【往来单位】加，或点「去改」手工选</v>
      </c>
      <c r="AB102">
        <f>[1]资金台帐!AB102</f>
        <v>5400</v>
      </c>
      <c r="AC102">
        <f>[1]资金台帐!AC102</f>
        <v>0</v>
      </c>
      <c r="AD102">
        <f>[1]资金台帐!AD102</f>
        <v>5400</v>
      </c>
      <c r="AJ102">
        <f>[1]资金台帐!AJ102</f>
        <v>0</v>
      </c>
      <c r="AK102">
        <f>[1]资金台帐!AK102</f>
        <v>0</v>
      </c>
      <c r="BA102" s="22">
        <f t="shared" si="0"/>
      </c>
      <c r="BG102" s="22">
        <f t="shared" si="1"/>
        <v>202607</v>
      </c>
      <c r="BH102" s="22">
        <f t="shared" si="2"/>
        <v>1</v>
      </c>
    </row>
    <row r="103">
      <c r="B103" t="str">
        <f>[1]资金台帐!B103&amp;""</f>
        <v>微信-汪优丽</v>
      </c>
      <c r="H103" t="str">
        <f>[1]资金台帐!H103&amp;""</f>
        <v>啊顺 (浮生若梦)</v>
      </c>
      <c r="J103" t="str">
        <f>[1]资金台帐!J103&amp;""</f>
        <v>转账 转账备注:节哀</v>
      </c>
      <c r="N103">
        <f>[1]资金台帐!N103</f>
        <v>46215.0</v>
      </c>
      <c r="O103" t="str">
        <f>[1]资金台帐!O103&amp;""</f>
        <v>中智优力</v>
      </c>
      <c r="P103">
        <f>[1]资金台帐!P103&amp;""</f>
      </c>
      <c r="Q103">
        <f>[1]资金台帐!Q103&amp;""</f>
      </c>
      <c r="T103">
        <f>[1]资金台帐!T103&amp;""</f>
      </c>
      <c r="U103">
        <f>[1]资金台帐!U103&amp;""</f>
      </c>
      <c r="W103">
        <f>[1]资金台帐!W103&amp;""</f>
      </c>
      <c r="X103" t="str">
        <f>[1]资金台帐!X103&amp;""</f>
        <v>✗ 认不出：对方户名没登记，到【往来单位】加，或点「去改」手工选</v>
      </c>
      <c r="AB103">
        <f>[1]资金台帐!AB103</f>
        <v>0</v>
      </c>
      <c r="AC103">
        <f>[1]资金台帐!AC103</f>
        <v>2001</v>
      </c>
      <c r="AD103">
        <f>[1]资金台帐!AD103</f>
        <v>-2001</v>
      </c>
      <c r="AJ103">
        <f>[1]资金台帐!AJ103</f>
        <v>0</v>
      </c>
      <c r="AK103">
        <f>[1]资金台帐!AK103</f>
        <v>0</v>
      </c>
      <c r="BA103" s="22">
        <f t="shared" si="0"/>
      </c>
      <c r="BG103" s="22">
        <f t="shared" si="1"/>
        <v>202607</v>
      </c>
      <c r="BH103" s="22">
        <f t="shared" si="2"/>
        <v>1</v>
      </c>
    </row>
    <row r="104">
      <c r="B104" t="str">
        <f>[1]资金台帐!B104&amp;""</f>
        <v>微信-汪优丽</v>
      </c>
      <c r="H104" t="str">
        <f>[1]资金台帐!H104&amp;""</f>
        <v>宁波铭文餐饮管理有限公司</v>
      </c>
      <c r="J104" t="str">
        <f>[1]资金台帐!J104&amp;""</f>
        <v>宁波铭文餐饮管理有限公司-退款 宁波铭文餐饮管理有限公司</v>
      </c>
      <c r="N104">
        <f>[1]资金台帐!N104</f>
        <v>46214.0</v>
      </c>
      <c r="O104" t="str">
        <f>[1]资金台帐!O104&amp;""</f>
        <v>中智优力</v>
      </c>
      <c r="P104">
        <f>[1]资金台帐!P104&amp;""</f>
      </c>
      <c r="Q104">
        <f>[1]资金台帐!Q104&amp;""</f>
      </c>
      <c r="T104">
        <f>[1]资金台帐!T104&amp;""</f>
      </c>
      <c r="U104">
        <f>[1]资金台帐!U104&amp;""</f>
      </c>
      <c r="W104">
        <f>[1]资金台帐!W104&amp;""</f>
      </c>
      <c r="X104" t="str">
        <f>[1]资金台帐!X104&amp;""</f>
        <v>✗ 认不出：对方户名没登记，到【往来单位】加，或点「去改」手工选</v>
      </c>
      <c r="AB104">
        <f>[1]资金台帐!AB104</f>
        <v>297</v>
      </c>
      <c r="AC104">
        <f>[1]资金台帐!AC104</f>
        <v>0</v>
      </c>
      <c r="AD104">
        <f>[1]资金台帐!AD104</f>
        <v>297</v>
      </c>
      <c r="AJ104">
        <f>[1]资金台帐!AJ104</f>
        <v>0</v>
      </c>
      <c r="AK104">
        <f>[1]资金台帐!AK104</f>
        <v>0</v>
      </c>
      <c r="BA104" s="22">
        <f t="shared" si="0"/>
      </c>
      <c r="BG104" s="22">
        <f t="shared" si="1"/>
        <v>202607</v>
      </c>
      <c r="BH104" s="22">
        <f t="shared" si="2"/>
        <v>1</v>
      </c>
    </row>
    <row r="105">
      <c r="B105" t="str">
        <f>[1]资金台帐!B105&amp;""</f>
        <v>微信-汪优丽</v>
      </c>
      <c r="H105" t="str">
        <f>[1]资金台帐!H105&amp;""</f>
        <v>抖音生活服务商家</v>
      </c>
      <c r="J105" t="str">
        <f>[1]资金台帐!J105&amp;""</f>
        <v>商户消费 一品楼庆端午鲜活松叶蟹鲜活大白条鲜活龙虾4-5人九件套</v>
      </c>
      <c r="N105">
        <f>[1]资金台帐!N105</f>
        <v>46214.0</v>
      </c>
      <c r="O105" t="str">
        <f>[1]资金台帐!O105&amp;""</f>
        <v>中智优力</v>
      </c>
      <c r="P105">
        <f>[1]资金台帐!P105&amp;""</f>
      </c>
      <c r="Q105">
        <f>[1]资金台帐!Q105&amp;""</f>
      </c>
      <c r="T105">
        <f>[1]资金台帐!T105&amp;""</f>
      </c>
      <c r="U105">
        <f>[1]资金台帐!U105&amp;""</f>
      </c>
      <c r="W105">
        <f>[1]资金台帐!W105&amp;""</f>
      </c>
      <c r="X105" t="str">
        <f>[1]资金台帐!X105&amp;""</f>
        <v>✗ 认不出：对方户名没登记，到【往来单位】加，或点「去改」手工选</v>
      </c>
      <c r="AB105">
        <f>[1]资金台帐!AB105</f>
        <v>0</v>
      </c>
      <c r="AC105">
        <f>[1]资金台帐!AC105</f>
        <v>297</v>
      </c>
      <c r="AD105">
        <f>[1]资金台帐!AD105</f>
        <v>-297</v>
      </c>
      <c r="AJ105">
        <f>[1]资金台帐!AJ105</f>
        <v>0</v>
      </c>
      <c r="AK105">
        <f>[1]资金台帐!AK105</f>
        <v>0</v>
      </c>
      <c r="BA105" s="22">
        <f t="shared" si="0"/>
      </c>
      <c r="BG105" s="22">
        <f t="shared" si="1"/>
        <v>202607</v>
      </c>
      <c r="BH105" s="22">
        <f t="shared" si="2"/>
        <v>1</v>
      </c>
    </row>
    <row r="106">
      <c r="B106" t="str">
        <f>[1]资金台帐!B106&amp;""</f>
        <v>微信-汪优丽</v>
      </c>
      <c r="H106" t="str">
        <f>[1]资金台帐!H106&amp;""</f>
        <v>微信小店</v>
      </c>
      <c r="J106" t="str">
        <f>[1]资金台帐!J106&amp;""</f>
        <v>商户消费 【暑期特惠】199元经济舱机票单次兑换券</v>
      </c>
      <c r="N106">
        <f>[1]资金台帐!N106</f>
        <v>46214.0</v>
      </c>
      <c r="O106" t="str">
        <f>[1]资金台帐!O106&amp;""</f>
        <v>中智优力</v>
      </c>
      <c r="P106">
        <f>[1]资金台帐!P106&amp;""</f>
      </c>
      <c r="Q106">
        <f>[1]资金台帐!Q106&amp;""</f>
      </c>
      <c r="T106">
        <f>[1]资金台帐!T106&amp;""</f>
      </c>
      <c r="U106">
        <f>[1]资金台帐!U106&amp;""</f>
      </c>
      <c r="W106">
        <f>[1]资金台帐!W106&amp;""</f>
      </c>
      <c r="X106" t="str">
        <f>[1]资金台帐!X106&amp;""</f>
        <v>✗ 认不出：对方户名没登记，到【往来单位】加，或点「去改」手工选</v>
      </c>
      <c r="AB106">
        <f>[1]资金台帐!AB106</f>
        <v>0</v>
      </c>
      <c r="AC106">
        <f>[1]资金台帐!AC106</f>
        <v>199</v>
      </c>
      <c r="AD106">
        <f>[1]资金台帐!AD106</f>
        <v>-199</v>
      </c>
      <c r="AJ106">
        <f>[1]资金台帐!AJ106</f>
        <v>0</v>
      </c>
      <c r="AK106">
        <f>[1]资金台帐!AK106</f>
        <v>0</v>
      </c>
      <c r="BA106" s="22">
        <f t="shared" si="0"/>
      </c>
      <c r="BG106" s="22">
        <f t="shared" si="1"/>
        <v>202607</v>
      </c>
      <c r="BH106" s="22">
        <f t="shared" si="2"/>
        <v>1</v>
      </c>
    </row>
    <row r="107">
      <c r="B107" t="str">
        <f>[1]资金台帐!B107&amp;""</f>
        <v>微信-汪优丽</v>
      </c>
      <c r="H107" t="str">
        <f>[1]资金台帐!H107&amp;""</f>
        <v>张建良-金源印花厂-马会计介绍 (开)</v>
      </c>
      <c r="J107" t="str">
        <f>[1]资金台帐!J107&amp;""</f>
        <v>转账 转账备注:微信转账</v>
      </c>
      <c r="N107">
        <f>[1]资金台帐!N107</f>
        <v>46214.0</v>
      </c>
      <c r="O107" t="str">
        <f>[1]资金台帐!O107&amp;""</f>
        <v>中智优力</v>
      </c>
      <c r="P107">
        <f>[1]资金台帐!P107&amp;""</f>
      </c>
      <c r="Q107">
        <f>[1]资金台帐!Q107&amp;""</f>
      </c>
      <c r="T107">
        <f>[1]资金台帐!T107&amp;""</f>
      </c>
      <c r="U107">
        <f>[1]资金台帐!U107&amp;""</f>
      </c>
      <c r="W107">
        <f>[1]资金台帐!W107&amp;""</f>
      </c>
      <c r="X107" t="str">
        <f>[1]资金台帐!X107&amp;""</f>
        <v>✗ 认不出：对方户名没登记，到【往来单位】加，或点「去改」手工选</v>
      </c>
      <c r="AB107">
        <f>[1]资金台帐!AB107</f>
        <v>600</v>
      </c>
      <c r="AC107">
        <f>[1]资金台帐!AC107</f>
        <v>0</v>
      </c>
      <c r="AD107">
        <f>[1]资金台帐!AD107</f>
        <v>600</v>
      </c>
      <c r="AJ107">
        <f>[1]资金台帐!AJ107</f>
        <v>0</v>
      </c>
      <c r="AK107">
        <f>[1]资金台帐!AK107</f>
        <v>0</v>
      </c>
      <c r="BA107" s="22">
        <f t="shared" si="0"/>
      </c>
      <c r="BG107" s="22">
        <f t="shared" si="1"/>
        <v>202607</v>
      </c>
      <c r="BH107" s="22">
        <f t="shared" si="2"/>
        <v>1</v>
      </c>
    </row>
    <row r="108">
      <c r="B108" t="str">
        <f>[1]资金台帐!B108&amp;""</f>
        <v>微信-汪优丽</v>
      </c>
      <c r="H108" t="str">
        <f>[1]资金台帐!H108&amp;""</f>
        <v>微果品</v>
      </c>
      <c r="J108" t="str">
        <f>[1]资金台帐!J108&amp;""</f>
        <v>商户消费 宁波市鄞州五乡微果食品店</v>
      </c>
      <c r="N108">
        <f>[1]资金台帐!N108</f>
        <v>46213.0</v>
      </c>
      <c r="O108" t="str">
        <f>[1]资金台帐!O108&amp;""</f>
        <v>中智优力</v>
      </c>
      <c r="P108">
        <f>[1]资金台帐!P108&amp;""</f>
      </c>
      <c r="Q108">
        <f>[1]资金台帐!Q108&amp;""</f>
      </c>
      <c r="T108">
        <f>[1]资金台帐!T108&amp;""</f>
      </c>
      <c r="U108">
        <f>[1]资金台帐!U108&amp;""</f>
      </c>
      <c r="W108">
        <f>[1]资金台帐!W108&amp;""</f>
      </c>
      <c r="X108" t="str">
        <f>[1]资金台帐!X108&amp;""</f>
        <v>✗ 认不出：对方户名没登记，到【往来单位】加，或点「去改」手工选</v>
      </c>
      <c r="AB108">
        <f>[1]资金台帐!AB108</f>
        <v>0</v>
      </c>
      <c r="AC108">
        <f>[1]资金台帐!AC108</f>
        <v>1000</v>
      </c>
      <c r="AD108">
        <f>[1]资金台帐!AD108</f>
        <v>-1000</v>
      </c>
      <c r="AJ108">
        <f>[1]资金台帐!AJ108</f>
        <v>0</v>
      </c>
      <c r="AK108">
        <f>[1]资金台帐!AK108</f>
        <v>0</v>
      </c>
      <c r="BA108" s="22">
        <f t="shared" si="0"/>
      </c>
      <c r="BG108" s="22">
        <f t="shared" si="1"/>
        <v>202607</v>
      </c>
      <c r="BH108" s="22">
        <f t="shared" si="2"/>
        <v>1</v>
      </c>
    </row>
    <row r="109">
      <c r="B109" t="str">
        <f>[1]资金台帐!B109&amp;""</f>
        <v>微信-汪优丽</v>
      </c>
      <c r="H109" t="str">
        <f>[1]资金台帐!H109&amp;""</f>
        <v>/</v>
      </c>
      <c r="J109" t="str">
        <f>[1]资金台帐!J109&amp;""</f>
        <v>转入零钱通-来自零钱</v>
      </c>
      <c r="N109">
        <f>[1]资金台帐!N109</f>
        <v>46213.0</v>
      </c>
      <c r="O109" t="str">
        <f>[1]资金台帐!O109&amp;""</f>
        <v>中智优力</v>
      </c>
      <c r="P109">
        <f>[1]资金台帐!P109&amp;""</f>
      </c>
      <c r="Q109">
        <f>[1]资金台帐!Q109&amp;""</f>
      </c>
      <c r="T109">
        <f>[1]资金台帐!T109&amp;""</f>
      </c>
      <c r="U109">
        <f>[1]资金台帐!U109&amp;""</f>
      </c>
      <c r="W109">
        <f>[1]资金台帐!W109&amp;""</f>
      </c>
      <c r="X109" t="str">
        <f>[1]资金台帐!X109&amp;""</f>
        <v>跳过：不计收支（零钱通、转给自己等）</v>
      </c>
      <c r="AB109">
        <f>[1]资金台帐!AB109</f>
        <v>0</v>
      </c>
      <c r="AC109">
        <f>[1]资金台帐!AC109</f>
        <v>0</v>
      </c>
      <c r="AD109">
        <f>[1]资金台帐!AD109</f>
        <v>0</v>
      </c>
      <c r="AJ109">
        <f>[1]资金台帐!AJ109</f>
        <v>0</v>
      </c>
      <c r="AK109">
        <f>[1]资金台帐!AK109</f>
        <v>0</v>
      </c>
      <c r="BA109" s="22">
        <f t="shared" si="0"/>
      </c>
      <c r="BG109" s="22">
        <f t="shared" si="1"/>
        <v>202607</v>
      </c>
      <c r="BH109" s="22">
        <f t="shared" si="2"/>
        <v>1</v>
      </c>
    </row>
    <row r="110">
      <c r="B110" t="str">
        <f>[1]资金台帐!B110&amp;""</f>
        <v>微信-汪优丽</v>
      </c>
      <c r="H110" t="str">
        <f>[1]资金台帐!H110&amp;""</f>
        <v>深圳市顺易通信息科技有限公司</v>
      </c>
      <c r="J110" t="str">
        <f>[1]资金台帐!J110&amp;""</f>
        <v>商户消费 停车费用-浙-B212DN-P230761716</v>
      </c>
      <c r="N110">
        <f>[1]资金台帐!N110</f>
        <v>46213.0</v>
      </c>
      <c r="O110" t="str">
        <f>[1]资金台帐!O110&amp;""</f>
        <v>中智优力</v>
      </c>
      <c r="P110">
        <f>[1]资金台帐!P110&amp;""</f>
      </c>
      <c r="Q110">
        <f>[1]资金台帐!Q110&amp;""</f>
      </c>
      <c r="T110" t="str">
        <f>[1]资金台帐!T110&amp;""</f>
        <v>汽车费用</v>
      </c>
      <c r="U110" t="str">
        <f>[1]资金台帐!U110&amp;""</f>
        <v>变动成本</v>
      </c>
      <c r="W110">
        <f>[1]资金台帐!W110&amp;""</f>
      </c>
      <c r="X110" t="str">
        <f>[1]资金台帐!X110&amp;""</f>
        <v>√</v>
      </c>
      <c r="AB110">
        <f>[1]资金台帐!AB110</f>
        <v>0</v>
      </c>
      <c r="AC110">
        <f>[1]资金台帐!AC110</f>
        <v>3</v>
      </c>
      <c r="AD110">
        <f>[1]资金台帐!AD110</f>
        <v>-3</v>
      </c>
      <c r="AJ110">
        <f>[1]资金台帐!AJ110</f>
        <v>0</v>
      </c>
      <c r="AK110">
        <f>[1]资金台帐!AK110</f>
        <v>0</v>
      </c>
      <c r="BA110" s="22">
        <f t="shared" si="0"/>
      </c>
      <c r="BG110" s="22">
        <f t="shared" si="1"/>
        <v>202607</v>
      </c>
      <c r="BH110" s="22">
        <f t="shared" si="2"/>
        <v>1</v>
      </c>
    </row>
    <row r="111">
      <c r="B111" t="str">
        <f>[1]资金台帐!B111&amp;""</f>
        <v>微信-汪优丽</v>
      </c>
      <c r="H111" t="str">
        <f>[1]资金台帐!H111&amp;""</f>
        <v>可奇饮品店</v>
      </c>
      <c r="J111" t="str">
        <f>[1]资金台帐!J111&amp;""</f>
        <v>商户消费 可奇饮品店</v>
      </c>
      <c r="N111">
        <f>[1]资金台帐!N111</f>
        <v>46213.0</v>
      </c>
      <c r="O111" t="str">
        <f>[1]资金台帐!O111&amp;""</f>
        <v>中智优力</v>
      </c>
      <c r="P111">
        <f>[1]资金台帐!P111&amp;""</f>
      </c>
      <c r="Q111">
        <f>[1]资金台帐!Q111&amp;""</f>
      </c>
      <c r="T111">
        <f>[1]资金台帐!T111&amp;""</f>
      </c>
      <c r="U111">
        <f>[1]资金台帐!U111&amp;""</f>
      </c>
      <c r="W111">
        <f>[1]资金台帐!W111&amp;""</f>
      </c>
      <c r="X111" t="str">
        <f>[1]资金台帐!X111&amp;""</f>
        <v>✗ 认不出：对方户名没登记，到【往来单位】加，或点「去改」手工选</v>
      </c>
      <c r="AB111">
        <f>[1]资金台帐!AB111</f>
        <v>0</v>
      </c>
      <c r="AC111">
        <f>[1]资金台帐!AC111</f>
        <v>28</v>
      </c>
      <c r="AD111">
        <f>[1]资金台帐!AD111</f>
        <v>-28</v>
      </c>
      <c r="AJ111">
        <f>[1]资金台帐!AJ111</f>
        <v>0</v>
      </c>
      <c r="AK111">
        <f>[1]资金台帐!AK111</f>
        <v>0</v>
      </c>
      <c r="BA111" s="22">
        <f t="shared" si="0"/>
      </c>
      <c r="BG111" s="22">
        <f t="shared" si="1"/>
        <v>202607</v>
      </c>
      <c r="BH111" s="22">
        <f t="shared" si="2"/>
        <v>1</v>
      </c>
    </row>
    <row r="112">
      <c r="B112" t="str">
        <f>[1]资金台帐!B112&amp;""</f>
        <v>微信-汪优丽</v>
      </c>
      <c r="H112" t="str">
        <f>[1]资金台帐!H112&amp;""</f>
        <v>宁波云停车</v>
      </c>
      <c r="J112" t="str">
        <f>[1]资金台帐!J112&amp;""</f>
        <v>商户消费 宁波皓东基础设施建设开发有限公司</v>
      </c>
      <c r="N112">
        <f>[1]资金台帐!N112</f>
        <v>46213.0</v>
      </c>
      <c r="O112" t="str">
        <f>[1]资金台帐!O112&amp;""</f>
        <v>中智优力</v>
      </c>
      <c r="P112">
        <f>[1]资金台帐!P112&amp;""</f>
      </c>
      <c r="Q112">
        <f>[1]资金台帐!Q112&amp;""</f>
      </c>
      <c r="T112" t="str">
        <f>[1]资金台帐!T112&amp;""</f>
        <v>汽车费用</v>
      </c>
      <c r="U112" t="str">
        <f>[1]资金台帐!U112&amp;""</f>
        <v>变动成本</v>
      </c>
      <c r="W112">
        <f>[1]资金台帐!W112&amp;""</f>
      </c>
      <c r="X112" t="str">
        <f>[1]资金台帐!X112&amp;""</f>
        <v>√</v>
      </c>
      <c r="AB112">
        <f>[1]资金台帐!AB112</f>
        <v>0</v>
      </c>
      <c r="AC112">
        <f>[1]资金台帐!AC112</f>
        <v>10</v>
      </c>
      <c r="AD112">
        <f>[1]资金台帐!AD112</f>
        <v>-10</v>
      </c>
      <c r="AJ112">
        <f>[1]资金台帐!AJ112</f>
        <v>0</v>
      </c>
      <c r="AK112">
        <f>[1]资金台帐!AK112</f>
        <v>0</v>
      </c>
      <c r="BA112" s="22">
        <f t="shared" si="0"/>
      </c>
      <c r="BG112" s="22">
        <f t="shared" si="1"/>
        <v>202607</v>
      </c>
      <c r="BH112" s="22">
        <f t="shared" si="2"/>
        <v>1</v>
      </c>
    </row>
    <row r="113">
      <c r="B113" t="str">
        <f>[1]资金台帐!B113&amp;""</f>
        <v>微信-汪优丽</v>
      </c>
      <c r="H113" t="str">
        <f>[1]资金台帐!H113&amp;""</f>
        <v>王丹露-应聘开票员 (🥰二哥)</v>
      </c>
      <c r="J113" t="str">
        <f>[1]资金台帐!J113&amp;""</f>
        <v>转账 转账备注:微信转账</v>
      </c>
      <c r="N113">
        <f>[1]资金台帐!N113</f>
        <v>46213.0</v>
      </c>
      <c r="O113" t="str">
        <f>[1]资金台帐!O113&amp;""</f>
        <v>中智优力</v>
      </c>
      <c r="P113">
        <f>[1]资金台帐!P113&amp;""</f>
      </c>
      <c r="Q113">
        <f>[1]资金台帐!Q113&amp;""</f>
      </c>
      <c r="T113">
        <f>[1]资金台帐!T113&amp;""</f>
      </c>
      <c r="U113">
        <f>[1]资金台帐!U113&amp;""</f>
      </c>
      <c r="W113">
        <f>[1]资金台帐!W113&amp;""</f>
      </c>
      <c r="X113" t="str">
        <f>[1]资金台帐!X113&amp;""</f>
        <v>✗ 认不出：对方户名没登记，到【往来单位】加，或点「去改」手工选</v>
      </c>
      <c r="AB113">
        <f>[1]资金台帐!AB113</f>
        <v>1500</v>
      </c>
      <c r="AC113">
        <f>[1]资金台帐!AC113</f>
        <v>0</v>
      </c>
      <c r="AD113">
        <f>[1]资金台帐!AD113</f>
        <v>1500</v>
      </c>
      <c r="AJ113">
        <f>[1]资金台帐!AJ113</f>
        <v>0</v>
      </c>
      <c r="AK113">
        <f>[1]资金台帐!AK113</f>
        <v>0</v>
      </c>
      <c r="BA113" s="22">
        <f t="shared" si="0"/>
      </c>
      <c r="BG113" s="22">
        <f t="shared" si="1"/>
        <v>202607</v>
      </c>
      <c r="BH113" s="22">
        <f t="shared" si="2"/>
        <v>1</v>
      </c>
    </row>
    <row r="114">
      <c r="B114" t="str">
        <f>[1]资金台帐!B114&amp;""</f>
        <v>微信-汪优丽</v>
      </c>
      <c r="H114" t="str">
        <f>[1]资金台帐!H114&amp;""</f>
        <v>微果品</v>
      </c>
      <c r="J114" t="str">
        <f>[1]资金台帐!J114&amp;""</f>
        <v>商户消费 宁波市鄞州五乡微果食品店</v>
      </c>
      <c r="N114">
        <f>[1]资金台帐!N114</f>
        <v>46212.0</v>
      </c>
      <c r="O114" t="str">
        <f>[1]资金台帐!O114&amp;""</f>
        <v>中智优力</v>
      </c>
      <c r="P114">
        <f>[1]资金台帐!P114&amp;""</f>
      </c>
      <c r="Q114">
        <f>[1]资金台帐!Q114&amp;""</f>
      </c>
      <c r="T114">
        <f>[1]资金台帐!T114&amp;""</f>
      </c>
      <c r="U114">
        <f>[1]资金台帐!U114&amp;""</f>
      </c>
      <c r="W114">
        <f>[1]资金台帐!W114&amp;""</f>
      </c>
      <c r="X114" t="str">
        <f>[1]资金台帐!X114&amp;""</f>
        <v>✗ 认不出：对方户名没登记，到【往来单位】加，或点「去改」手工选</v>
      </c>
      <c r="AB114">
        <f>[1]资金台帐!AB114</f>
        <v>0</v>
      </c>
      <c r="AC114">
        <f>[1]资金台帐!AC114</f>
        <v>69.5</v>
      </c>
      <c r="AD114">
        <f>[1]资金台帐!AD114</f>
        <v>-69.5</v>
      </c>
      <c r="AJ114">
        <f>[1]资金台帐!AJ114</f>
        <v>0</v>
      </c>
      <c r="AK114">
        <f>[1]资金台帐!AK114</f>
        <v>0</v>
      </c>
      <c r="BA114" s="22">
        <f t="shared" si="0"/>
      </c>
      <c r="BG114" s="22">
        <f t="shared" si="1"/>
        <v>202607</v>
      </c>
      <c r="BH114" s="22">
        <f t="shared" si="2"/>
        <v>1</v>
      </c>
    </row>
    <row r="115">
      <c r="B115" t="str">
        <f>[1]资金台帐!B115&amp;""</f>
        <v>微信-汪优丽</v>
      </c>
      <c r="H115" t="str">
        <f>[1]资金台帐!H115&amp;""</f>
        <v>浙江新城数字科技有限公司</v>
      </c>
      <c r="J115" t="str">
        <f>[1]资金台帐!J115&amp;""</f>
        <v>商户消费 浙江新城数字科技有限公司</v>
      </c>
      <c r="N115">
        <f>[1]资金台帐!N115</f>
        <v>46211.0</v>
      </c>
      <c r="O115" t="str">
        <f>[1]资金台帐!O115&amp;""</f>
        <v>中智优力</v>
      </c>
      <c r="P115">
        <f>[1]资金台帐!P115&amp;""</f>
      </c>
      <c r="Q115">
        <f>[1]资金台帐!Q115&amp;""</f>
      </c>
      <c r="T115">
        <f>[1]资金台帐!T115&amp;""</f>
      </c>
      <c r="U115">
        <f>[1]资金台帐!U115&amp;""</f>
      </c>
      <c r="W115">
        <f>[1]资金台帐!W115&amp;""</f>
      </c>
      <c r="X115" t="str">
        <f>[1]资金台帐!X115&amp;""</f>
        <v>✗ 认不出：对方户名没登记，到【往来单位】加，或点「去改」手工选</v>
      </c>
      <c r="AB115">
        <f>[1]资金台帐!AB115</f>
        <v>0</v>
      </c>
      <c r="AC115">
        <f>[1]资金台帐!AC115</f>
        <v>3</v>
      </c>
      <c r="AD115">
        <f>[1]资金台帐!AD115</f>
        <v>-3</v>
      </c>
      <c r="AJ115">
        <f>[1]资金台帐!AJ115</f>
        <v>0</v>
      </c>
      <c r="AK115">
        <f>[1]资金台帐!AK115</f>
        <v>0</v>
      </c>
      <c r="BA115" s="22">
        <f t="shared" si="0"/>
      </c>
      <c r="BG115" s="22">
        <f t="shared" si="1"/>
        <v>202607</v>
      </c>
      <c r="BH115" s="22">
        <f t="shared" si="2"/>
        <v>1</v>
      </c>
    </row>
    <row r="116">
      <c r="B116" t="str">
        <f>[1]资金台帐!B116&amp;""</f>
        <v>微信-汪优丽</v>
      </c>
      <c r="H116" t="str">
        <f>[1]资金台帐!H116&amp;""</f>
        <v>宁波云停车</v>
      </c>
      <c r="J116" t="str">
        <f>[1]资金台帐!J116&amp;""</f>
        <v>商户消费 宁波皓东基础设施建设开发有限公司</v>
      </c>
      <c r="N116">
        <f>[1]资金台帐!N116</f>
        <v>46211.0</v>
      </c>
      <c r="O116" t="str">
        <f>[1]资金台帐!O116&amp;""</f>
        <v>中智优力</v>
      </c>
      <c r="P116">
        <f>[1]资金台帐!P116&amp;""</f>
      </c>
      <c r="Q116">
        <f>[1]资金台帐!Q116&amp;""</f>
      </c>
      <c r="T116" t="str">
        <f>[1]资金台帐!T116&amp;""</f>
        <v>汽车费用</v>
      </c>
      <c r="U116" t="str">
        <f>[1]资金台帐!U116&amp;""</f>
        <v>变动成本</v>
      </c>
      <c r="W116">
        <f>[1]资金台帐!W116&amp;""</f>
      </c>
      <c r="X116" t="str">
        <f>[1]资金台帐!X116&amp;""</f>
        <v>√</v>
      </c>
      <c r="AB116">
        <f>[1]资金台帐!AB116</f>
        <v>0</v>
      </c>
      <c r="AC116">
        <f>[1]资金台帐!AC116</f>
        <v>3</v>
      </c>
      <c r="AD116">
        <f>[1]资金台帐!AD116</f>
        <v>-3</v>
      </c>
      <c r="AJ116">
        <f>[1]资金台帐!AJ116</f>
        <v>0</v>
      </c>
      <c r="AK116">
        <f>[1]资金台帐!AK116</f>
        <v>0</v>
      </c>
      <c r="BA116" s="22">
        <f t="shared" si="0"/>
      </c>
      <c r="BG116" s="22">
        <f t="shared" si="1"/>
        <v>202607</v>
      </c>
      <c r="BH116" s="22">
        <f t="shared" si="2"/>
        <v>1</v>
      </c>
    </row>
    <row r="117">
      <c r="B117" t="str">
        <f>[1]资金台帐!B117&amp;""</f>
        <v>微信-汪优丽</v>
      </c>
      <c r="H117" t="str">
        <f>[1]资金台帐!H117&amp;""</f>
        <v>浙江新城数字科技有限公司</v>
      </c>
      <c r="J117" t="str">
        <f>[1]资金台帐!J117&amp;""</f>
        <v>商户消费 浙江新城数字科技有限公司</v>
      </c>
      <c r="N117">
        <f>[1]资金台帐!N117</f>
        <v>46211.0</v>
      </c>
      <c r="O117" t="str">
        <f>[1]资金台帐!O117&amp;""</f>
        <v>中智优力</v>
      </c>
      <c r="P117">
        <f>[1]资金台帐!P117&amp;""</f>
      </c>
      <c r="Q117">
        <f>[1]资金台帐!Q117&amp;""</f>
      </c>
      <c r="T117">
        <f>[1]资金台帐!T117&amp;""</f>
      </c>
      <c r="U117">
        <f>[1]资金台帐!U117&amp;""</f>
      </c>
      <c r="W117">
        <f>[1]资金台帐!W117&amp;""</f>
      </c>
      <c r="X117" t="str">
        <f>[1]资金台帐!X117&amp;""</f>
        <v>✗ 认不出：对方户名没登记，到【往来单位】加，或点「去改」手工选</v>
      </c>
      <c r="AB117">
        <f>[1]资金台帐!AB117</f>
        <v>0</v>
      </c>
      <c r="AC117">
        <f>[1]资金台帐!AC117</f>
        <v>3</v>
      </c>
      <c r="AD117">
        <f>[1]资金台帐!AD117</f>
        <v>-3</v>
      </c>
      <c r="AJ117">
        <f>[1]资金台帐!AJ117</f>
        <v>0</v>
      </c>
      <c r="AK117">
        <f>[1]资金台帐!AK117</f>
        <v>0</v>
      </c>
      <c r="BA117" s="22">
        <f t="shared" si="0"/>
      </c>
      <c r="BG117" s="22">
        <f t="shared" si="1"/>
        <v>202607</v>
      </c>
      <c r="BH117" s="22">
        <f t="shared" si="2"/>
        <v>1</v>
      </c>
    </row>
    <row r="118">
      <c r="B118" t="str">
        <f>[1]资金台帐!B118&amp;""</f>
        <v>微信-汪优丽</v>
      </c>
      <c r="H118" t="str">
        <f>[1]资金台帐!H118&amp;""</f>
        <v>宁波基地百合</v>
      </c>
      <c r="J118" t="str">
        <f>[1]资金台帐!J118&amp;""</f>
        <v>转账 转账备注:鲜花</v>
      </c>
      <c r="N118">
        <f>[1]资金台帐!N118</f>
        <v>46210.0</v>
      </c>
      <c r="O118" t="str">
        <f>[1]资金台帐!O118&amp;""</f>
        <v>中智优力</v>
      </c>
      <c r="P118">
        <f>[1]资金台帐!P118&amp;""</f>
      </c>
      <c r="Q118">
        <f>[1]资金台帐!Q118&amp;""</f>
      </c>
      <c r="T118">
        <f>[1]资金台帐!T118&amp;""</f>
      </c>
      <c r="U118">
        <f>[1]资金台帐!U118&amp;""</f>
      </c>
      <c r="W118">
        <f>[1]资金台帐!W118&amp;""</f>
      </c>
      <c r="X118" t="str">
        <f>[1]资金台帐!X118&amp;""</f>
        <v>✗ 认不出：对方户名没登记，到【往来单位】加，或点「去改」手工选</v>
      </c>
      <c r="AB118">
        <f>[1]资金台帐!AB118</f>
        <v>0</v>
      </c>
      <c r="AC118">
        <f>[1]资金台帐!AC118</f>
        <v>120</v>
      </c>
      <c r="AD118">
        <f>[1]资金台帐!AD118</f>
        <v>-120</v>
      </c>
      <c r="AJ118">
        <f>[1]资金台帐!AJ118</f>
        <v>0</v>
      </c>
      <c r="AK118">
        <f>[1]资金台帐!AK118</f>
        <v>0</v>
      </c>
      <c r="BA118" s="22">
        <f t="shared" si="0"/>
      </c>
      <c r="BG118" s="22">
        <f t="shared" si="1"/>
        <v>202607</v>
      </c>
      <c r="BH118" s="22">
        <f t="shared" si="2"/>
        <v>1</v>
      </c>
    </row>
    <row r="119">
      <c r="B119" t="str">
        <f>[1]资金台帐!B119&amp;""</f>
        <v>微信-汪优丽</v>
      </c>
      <c r="H119" t="str">
        <f>[1]资金台帐!H119&amp;""</f>
        <v>浙江新城数字科技有限公司</v>
      </c>
      <c r="J119" t="str">
        <f>[1]资金台帐!J119&amp;""</f>
        <v>商户消费 浙江新城数字科技有限公司</v>
      </c>
      <c r="N119">
        <f>[1]资金台帐!N119</f>
        <v>46210.0</v>
      </c>
      <c r="O119" t="str">
        <f>[1]资金台帐!O119&amp;""</f>
        <v>中智优力</v>
      </c>
      <c r="P119">
        <f>[1]资金台帐!P119&amp;""</f>
      </c>
      <c r="Q119">
        <f>[1]资金台帐!Q119&amp;""</f>
      </c>
      <c r="T119">
        <f>[1]资金台帐!T119&amp;""</f>
      </c>
      <c r="U119">
        <f>[1]资金台帐!U119&amp;""</f>
      </c>
      <c r="W119">
        <f>[1]资金台帐!W119&amp;""</f>
      </c>
      <c r="X119" t="str">
        <f>[1]资金台帐!X119&amp;""</f>
        <v>✗ 认不出：对方户名没登记，到【往来单位】加，或点「去改」手工选</v>
      </c>
      <c r="AB119">
        <f>[1]资金台帐!AB119</f>
        <v>0</v>
      </c>
      <c r="AC119">
        <f>[1]资金台帐!AC119</f>
        <v>5</v>
      </c>
      <c r="AD119">
        <f>[1]资金台帐!AD119</f>
        <v>-5</v>
      </c>
      <c r="AJ119">
        <f>[1]资金台帐!AJ119</f>
        <v>0</v>
      </c>
      <c r="AK119">
        <f>[1]资金台帐!AK119</f>
        <v>0</v>
      </c>
      <c r="BA119" s="22">
        <f t="shared" si="0"/>
      </c>
      <c r="BG119" s="22">
        <f t="shared" si="1"/>
        <v>202607</v>
      </c>
      <c r="BH119" s="22">
        <f t="shared" si="2"/>
        <v>1</v>
      </c>
    </row>
    <row r="120">
      <c r="B120" t="str">
        <f>[1]资金台帐!B120&amp;""</f>
        <v>微信-汪优丽</v>
      </c>
      <c r="H120" t="str">
        <f>[1]资金台帐!H120&amp;""</f>
        <v>浙江新城数字科技有限公司</v>
      </c>
      <c r="J120" t="str">
        <f>[1]资金台帐!J120&amp;""</f>
        <v>商户消费 浙江新城数字科技有限公司</v>
      </c>
      <c r="N120">
        <f>[1]资金台帐!N120</f>
        <v>46209.0</v>
      </c>
      <c r="O120" t="str">
        <f>[1]资金台帐!O120&amp;""</f>
        <v>中智优力</v>
      </c>
      <c r="P120">
        <f>[1]资金台帐!P120&amp;""</f>
      </c>
      <c r="Q120">
        <f>[1]资金台帐!Q120&amp;""</f>
      </c>
      <c r="T120">
        <f>[1]资金台帐!T120&amp;""</f>
      </c>
      <c r="U120">
        <f>[1]资金台帐!U120&amp;""</f>
      </c>
      <c r="W120">
        <f>[1]资金台帐!W120&amp;""</f>
      </c>
      <c r="X120" t="str">
        <f>[1]资金台帐!X120&amp;""</f>
        <v>✗ 认不出：对方户名没登记，到【往来单位】加，或点「去改」手工选</v>
      </c>
      <c r="AB120">
        <f>[1]资金台帐!AB120</f>
        <v>0</v>
      </c>
      <c r="AC120">
        <f>[1]资金台帐!AC120</f>
        <v>5</v>
      </c>
      <c r="AD120">
        <f>[1]资金台帐!AD120</f>
        <v>-5</v>
      </c>
      <c r="AJ120">
        <f>[1]资金台帐!AJ120</f>
        <v>0</v>
      </c>
      <c r="AK120">
        <f>[1]资金台帐!AK120</f>
        <v>0</v>
      </c>
      <c r="BA120" s="22">
        <f t="shared" si="0"/>
      </c>
      <c r="BG120" s="22">
        <f t="shared" si="1"/>
        <v>202607</v>
      </c>
      <c r="BH120" s="22">
        <f t="shared" si="2"/>
        <v>1</v>
      </c>
    </row>
    <row r="121">
      <c r="B121" t="str">
        <f>[1]资金台帐!B121&amp;""</f>
        <v>微信-汪优丽</v>
      </c>
      <c r="H121" t="str">
        <f>[1]资金台帐!H121&amp;""</f>
        <v>徐老师19-701 (＂赟＂有你)</v>
      </c>
      <c r="J121" t="str">
        <f>[1]资金台帐!J121&amp;""</f>
        <v>转账 转账备注:开聪代理费</v>
      </c>
      <c r="N121">
        <f>[1]资金台帐!N121</f>
        <v>46209.0</v>
      </c>
      <c r="O121" t="str">
        <f>[1]资金台帐!O121&amp;""</f>
        <v>中智优力</v>
      </c>
      <c r="P121">
        <f>[1]资金台帐!P121&amp;""</f>
      </c>
      <c r="Q121">
        <f>[1]资金台帐!Q121&amp;""</f>
      </c>
      <c r="T121">
        <f>[1]资金台帐!T121&amp;""</f>
      </c>
      <c r="U121">
        <f>[1]资金台帐!U121&amp;""</f>
      </c>
      <c r="W121">
        <f>[1]资金台帐!W121&amp;""</f>
      </c>
      <c r="X121" t="str">
        <f>[1]资金台帐!X121&amp;""</f>
        <v>✗ 认不出：对方户名没登记，到【往来单位】加，或点「去改」手工选</v>
      </c>
      <c r="AB121">
        <f>[1]资金台帐!AB121</f>
        <v>3900</v>
      </c>
      <c r="AC121">
        <f>[1]资金台帐!AC121</f>
        <v>0</v>
      </c>
      <c r="AD121">
        <f>[1]资金台帐!AD121</f>
        <v>3900</v>
      </c>
      <c r="AJ121">
        <f>[1]资金台帐!AJ121</f>
        <v>0</v>
      </c>
      <c r="AK121">
        <f>[1]资金台帐!AK121</f>
        <v>0</v>
      </c>
      <c r="BA121" s="22">
        <f t="shared" si="0"/>
      </c>
      <c r="BG121" s="22">
        <f t="shared" si="1"/>
        <v>202607</v>
      </c>
      <c r="BH121" s="22">
        <f t="shared" si="2"/>
        <v>1</v>
      </c>
    </row>
    <row r="122">
      <c r="B122" t="str">
        <f>[1]资金台帐!B122&amp;""</f>
        <v>微信-汪优丽</v>
      </c>
      <c r="H122" t="str">
        <f>[1]资金台帐!H122&amp;""</f>
        <v>浙江新城数字科技有限公司</v>
      </c>
      <c r="J122" t="str">
        <f>[1]资金台帐!J122&amp;""</f>
        <v>商户消费 浙江新城数字科技有限公司</v>
      </c>
      <c r="N122">
        <f>[1]资金台帐!N122</f>
        <v>46209.0</v>
      </c>
      <c r="O122" t="str">
        <f>[1]资金台帐!O122&amp;""</f>
        <v>中智优力</v>
      </c>
      <c r="P122">
        <f>[1]资金台帐!P122&amp;""</f>
      </c>
      <c r="Q122">
        <f>[1]资金台帐!Q122&amp;""</f>
      </c>
      <c r="T122">
        <f>[1]资金台帐!T122&amp;""</f>
      </c>
      <c r="U122">
        <f>[1]资金台帐!U122&amp;""</f>
      </c>
      <c r="W122">
        <f>[1]资金台帐!W122&amp;""</f>
      </c>
      <c r="X122" t="str">
        <f>[1]资金台帐!X122&amp;""</f>
        <v>✗ 认不出：对方户名没登记，到【往来单位】加，或点「去改」手工选</v>
      </c>
      <c r="AB122">
        <f>[1]资金台帐!AB122</f>
        <v>0</v>
      </c>
      <c r="AC122">
        <f>[1]资金台帐!AC122</f>
        <v>3</v>
      </c>
      <c r="AD122">
        <f>[1]资金台帐!AD122</f>
        <v>-3</v>
      </c>
      <c r="AJ122">
        <f>[1]资金台帐!AJ122</f>
        <v>0</v>
      </c>
      <c r="AK122">
        <f>[1]资金台帐!AK122</f>
        <v>0</v>
      </c>
      <c r="BA122" s="22">
        <f t="shared" si="0"/>
      </c>
      <c r="BG122" s="22">
        <f t="shared" si="1"/>
        <v>202607</v>
      </c>
      <c r="BH122" s="22">
        <f t="shared" si="2"/>
        <v>1</v>
      </c>
    </row>
    <row r="123">
      <c r="B123" t="str">
        <f>[1]资金台帐!B123&amp;""</f>
        <v>微信-汪优丽</v>
      </c>
      <c r="H123" t="str">
        <f>[1]资金台帐!H123&amp;""</f>
        <v>浙江新城数字科技有限公司</v>
      </c>
      <c r="J123" t="str">
        <f>[1]资金台帐!J123&amp;""</f>
        <v>商户消费 浙江新城数字科技有限公司</v>
      </c>
      <c r="N123">
        <f>[1]资金台帐!N123</f>
        <v>46208.0</v>
      </c>
      <c r="O123" t="str">
        <f>[1]资金台帐!O123&amp;""</f>
        <v>中智优力</v>
      </c>
      <c r="P123">
        <f>[1]资金台帐!P123&amp;""</f>
      </c>
      <c r="Q123">
        <f>[1]资金台帐!Q123&amp;""</f>
      </c>
      <c r="T123">
        <f>[1]资金台帐!T123&amp;""</f>
      </c>
      <c r="U123">
        <f>[1]资金台帐!U123&amp;""</f>
      </c>
      <c r="W123">
        <f>[1]资金台帐!W123&amp;""</f>
      </c>
      <c r="X123" t="str">
        <f>[1]资金台帐!X123&amp;""</f>
        <v>✗ 认不出：对方户名没登记，到【往来单位】加，或点「去改」手工选</v>
      </c>
      <c r="AB123">
        <f>[1]资金台帐!AB123</f>
        <v>0</v>
      </c>
      <c r="AC123">
        <f>[1]资金台帐!AC123</f>
        <v>5</v>
      </c>
      <c r="AD123">
        <f>[1]资金台帐!AD123</f>
        <v>-5</v>
      </c>
      <c r="AJ123">
        <f>[1]资金台帐!AJ123</f>
        <v>0</v>
      </c>
      <c r="AK123">
        <f>[1]资金台帐!AK123</f>
        <v>0</v>
      </c>
      <c r="BA123" s="22">
        <f t="shared" si="0"/>
      </c>
      <c r="BG123" s="22">
        <f t="shared" si="1"/>
        <v>202607</v>
      </c>
      <c r="BH123" s="22">
        <f t="shared" si="2"/>
        <v>1</v>
      </c>
    </row>
    <row r="124">
      <c r="B124" t="str">
        <f>[1]资金台帐!B124&amp;""</f>
        <v>微信-汪优丽</v>
      </c>
      <c r="H124" t="str">
        <f>[1]资金台帐!H124&amp;""</f>
        <v>阿东小味18957817620东钱湖吃饭 (阿东小味18957817620)</v>
      </c>
      <c r="J124" t="str">
        <f>[1]资金台帐!J124&amp;""</f>
        <v>转账 转账备注:晚饭</v>
      </c>
      <c r="N124">
        <f>[1]资金台帐!N124</f>
        <v>46207.0</v>
      </c>
      <c r="O124" t="str">
        <f>[1]资金台帐!O124&amp;""</f>
        <v>中智优力</v>
      </c>
      <c r="P124">
        <f>[1]资金台帐!P124&amp;""</f>
      </c>
      <c r="Q124">
        <f>[1]资金台帐!Q124&amp;""</f>
      </c>
      <c r="T124">
        <f>[1]资金台帐!T124&amp;""</f>
      </c>
      <c r="U124">
        <f>[1]资金台帐!U124&amp;""</f>
      </c>
      <c r="W124">
        <f>[1]资金台帐!W124&amp;""</f>
      </c>
      <c r="X124" t="str">
        <f>[1]资金台帐!X124&amp;""</f>
        <v>✗ 认不出：对方户名没登记，到【往来单位】加，或点「去改」手工选</v>
      </c>
      <c r="AB124">
        <f>[1]资金台帐!AB124</f>
        <v>0</v>
      </c>
      <c r="AC124">
        <f>[1]资金台帐!AC124</f>
        <v>1500</v>
      </c>
      <c r="AD124">
        <f>[1]资金台帐!AD124</f>
        <v>-1500</v>
      </c>
      <c r="AJ124">
        <f>[1]资金台帐!AJ124</f>
        <v>0</v>
      </c>
      <c r="AK124">
        <f>[1]资金台帐!AK124</f>
        <v>0</v>
      </c>
      <c r="BA124" s="22">
        <f t="shared" si="0"/>
      </c>
      <c r="BG124" s="22">
        <f t="shared" si="1"/>
        <v>202607</v>
      </c>
      <c r="BH124" s="22">
        <f t="shared" si="2"/>
        <v>1</v>
      </c>
    </row>
    <row r="125">
      <c r="B125" t="str">
        <f>[1]资金台帐!B125&amp;""</f>
        <v>微信-汪优丽</v>
      </c>
      <c r="H125" t="str">
        <f>[1]资金台帐!H125&amp;""</f>
        <v>宁波云停车</v>
      </c>
      <c r="J125" t="str">
        <f>[1]资金台帐!J125&amp;""</f>
        <v>商户消费 宁波皓东基础设施建设开发有限公司</v>
      </c>
      <c r="N125">
        <f>[1]资金台帐!N125</f>
        <v>46206.0</v>
      </c>
      <c r="O125" t="str">
        <f>[1]资金台帐!O125&amp;""</f>
        <v>中智优力</v>
      </c>
      <c r="P125">
        <f>[1]资金台帐!P125&amp;""</f>
      </c>
      <c r="Q125">
        <f>[1]资金台帐!Q125&amp;""</f>
      </c>
      <c r="T125" t="str">
        <f>[1]资金台帐!T125&amp;""</f>
        <v>汽车费用</v>
      </c>
      <c r="U125" t="str">
        <f>[1]资金台帐!U125&amp;""</f>
        <v>变动成本</v>
      </c>
      <c r="W125">
        <f>[1]资金台帐!W125&amp;""</f>
      </c>
      <c r="X125" t="str">
        <f>[1]资金台帐!X125&amp;""</f>
        <v>√</v>
      </c>
      <c r="AB125">
        <f>[1]资金台帐!AB125</f>
        <v>0</v>
      </c>
      <c r="AC125">
        <f>[1]资金台帐!AC125</f>
        <v>3</v>
      </c>
      <c r="AD125">
        <f>[1]资金台帐!AD125</f>
        <v>-3</v>
      </c>
      <c r="AJ125">
        <f>[1]资金台帐!AJ125</f>
        <v>0</v>
      </c>
      <c r="AK125">
        <f>[1]资金台帐!AK125</f>
        <v>0</v>
      </c>
      <c r="BA125" s="22">
        <f t="shared" si="0"/>
      </c>
      <c r="BG125" s="22">
        <f t="shared" si="1"/>
        <v>202607</v>
      </c>
      <c r="BH125" s="22">
        <f t="shared" si="2"/>
        <v>1</v>
      </c>
    </row>
    <row r="126">
      <c r="B126" t="str">
        <f>[1]资金台帐!B126&amp;""</f>
        <v>微信-汪优丽</v>
      </c>
      <c r="H126" t="str">
        <f>[1]资金台帐!H126&amp;""</f>
        <v>微信小店</v>
      </c>
      <c r="J126" t="str">
        <f>[1]资金台帐!J126&amp;""</f>
        <v>商户消费 【顺佳】家长学业规划指南</v>
      </c>
      <c r="N126">
        <f>[1]资金台帐!N126</f>
        <v>46206.0</v>
      </c>
      <c r="O126" t="str">
        <f>[1]资金台帐!O126&amp;""</f>
        <v>中智优力</v>
      </c>
      <c r="P126">
        <f>[1]资金台帐!P126&amp;""</f>
      </c>
      <c r="Q126">
        <f>[1]资金台帐!Q126&amp;""</f>
      </c>
      <c r="T126">
        <f>[1]资金台帐!T126&amp;""</f>
      </c>
      <c r="U126">
        <f>[1]资金台帐!U126&amp;""</f>
      </c>
      <c r="W126">
        <f>[1]资金台帐!W126&amp;""</f>
      </c>
      <c r="X126" t="str">
        <f>[1]资金台帐!X126&amp;""</f>
        <v>✗ 认不出：对方户名没登记，到【往来单位】加，或点「去改」手工选</v>
      </c>
      <c r="AB126">
        <f>[1]资金台帐!AB126</f>
        <v>0</v>
      </c>
      <c r="AC126">
        <f>[1]资金台帐!AC126</f>
        <v>5</v>
      </c>
      <c r="AD126">
        <f>[1]资金台帐!AD126</f>
        <v>-5</v>
      </c>
      <c r="AJ126">
        <f>[1]资金台帐!AJ126</f>
        <v>0</v>
      </c>
      <c r="AK126">
        <f>[1]资金台帐!AK126</f>
        <v>0</v>
      </c>
      <c r="BA126" s="22">
        <f t="shared" si="0"/>
      </c>
      <c r="BG126" s="22">
        <f t="shared" si="1"/>
        <v>202607</v>
      </c>
      <c r="BH126" s="22">
        <f t="shared" si="2"/>
        <v>1</v>
      </c>
    </row>
    <row r="127">
      <c r="B127" t="str">
        <f>[1]资金台帐!B127&amp;""</f>
        <v>微信-汪优丽</v>
      </c>
      <c r="H127" t="str">
        <f>[1]资金台帐!H127&amp;""</f>
        <v>优君 (太平公主👸汪优君)</v>
      </c>
      <c r="J127" t="str">
        <f>[1]资金台帐!J127&amp;""</f>
        <v>转账 转账备注:借款</v>
      </c>
      <c r="N127">
        <f>[1]资金台帐!N127</f>
        <v>46204.0</v>
      </c>
      <c r="O127" t="str">
        <f>[1]资金台帐!O127&amp;""</f>
        <v>中智优力</v>
      </c>
      <c r="P127">
        <f>[1]资金台帐!P127&amp;""</f>
      </c>
      <c r="Q127">
        <f>[1]资金台帐!Q127&amp;""</f>
      </c>
      <c r="T127">
        <f>[1]资金台帐!T127&amp;""</f>
      </c>
      <c r="U127">
        <f>[1]资金台帐!U127&amp;""</f>
      </c>
      <c r="W127">
        <f>[1]资金台帐!W127&amp;""</f>
      </c>
      <c r="X127" t="str">
        <f>[1]资金台帐!X127&amp;""</f>
        <v>✗ 认不出：对方户名没登记，到【往来单位】加，或点「去改」手工选</v>
      </c>
      <c r="AB127">
        <f>[1]资金台帐!AB127</f>
        <v>0</v>
      </c>
      <c r="AC127">
        <f>[1]资金台帐!AC127</f>
        <v>20000</v>
      </c>
      <c r="AD127">
        <f>[1]资金台帐!AD127</f>
        <v>-20000</v>
      </c>
      <c r="AJ127">
        <f>[1]资金台帐!AJ127</f>
        <v>0</v>
      </c>
      <c r="AK127">
        <f>[1]资金台帐!AK127</f>
        <v>0</v>
      </c>
      <c r="BA127" s="22">
        <f t="shared" si="0"/>
      </c>
      <c r="BG127" s="22">
        <f t="shared" si="1"/>
        <v>202607</v>
      </c>
      <c r="BH127" s="22">
        <f t="shared" si="2"/>
        <v>1</v>
      </c>
    </row>
    <row r="128">
      <c r="B128" t="str">
        <f>[1]资金台帐!B128&amp;""</f>
        <v>微信-汪优丽</v>
      </c>
      <c r="H128" t="str">
        <f>[1]资金台帐!H128&amp;""</f>
        <v>宁波云停车</v>
      </c>
      <c r="J128" t="str">
        <f>[1]资金台帐!J128&amp;""</f>
        <v>商户消费 宁波皓东基础设施建设开发有限公司</v>
      </c>
      <c r="N128">
        <f>[1]资金台帐!N128</f>
        <v>46204.0</v>
      </c>
      <c r="O128" t="str">
        <f>[1]资金台帐!O128&amp;""</f>
        <v>中智优力</v>
      </c>
      <c r="P128">
        <f>[1]资金台帐!P128&amp;""</f>
      </c>
      <c r="Q128">
        <f>[1]资金台帐!Q128&amp;""</f>
      </c>
      <c r="T128" t="str">
        <f>[1]资金台帐!T128&amp;""</f>
        <v>汽车费用</v>
      </c>
      <c r="U128" t="str">
        <f>[1]资金台帐!U128&amp;""</f>
        <v>变动成本</v>
      </c>
      <c r="W128">
        <f>[1]资金台帐!W128&amp;""</f>
      </c>
      <c r="X128" t="str">
        <f>[1]资金台帐!X128&amp;""</f>
        <v>√</v>
      </c>
      <c r="AB128">
        <f>[1]资金台帐!AB128</f>
        <v>0</v>
      </c>
      <c r="AC128">
        <f>[1]资金台帐!AC128</f>
        <v>3</v>
      </c>
      <c r="AD128">
        <f>[1]资金台帐!AD128</f>
        <v>-3</v>
      </c>
      <c r="AJ128">
        <f>[1]资金台帐!AJ128</f>
        <v>0</v>
      </c>
      <c r="AK128">
        <f>[1]资金台帐!AK128</f>
        <v>0</v>
      </c>
      <c r="BA128" s="22">
        <f t="shared" si="0"/>
      </c>
      <c r="BG128" s="22">
        <f t="shared" si="1"/>
        <v>202607</v>
      </c>
      <c r="BH128" s="22">
        <f t="shared" si="2"/>
        <v>1</v>
      </c>
    </row>
    <row r="129">
      <c r="B129" t="str">
        <f>[1]资金台帐!B129&amp;""</f>
        <v>微信-汪优丽</v>
      </c>
      <c r="H129" t="str">
        <f>[1]资金台帐!H129&amp;""</f>
        <v>群主大大-日上 (Clever)</v>
      </c>
      <c r="J129" t="str">
        <f>[1]资金台帐!J129&amp;""</f>
        <v>转账 转账备注:微信转账</v>
      </c>
      <c r="N129">
        <f>[1]资金台帐!N129</f>
        <v>46204.0</v>
      </c>
      <c r="O129" t="str">
        <f>[1]资金台帐!O129&amp;""</f>
        <v>中智优力</v>
      </c>
      <c r="P129">
        <f>[1]资金台帐!P129&amp;""</f>
      </c>
      <c r="Q129">
        <f>[1]资金台帐!Q129&amp;""</f>
      </c>
      <c r="T129">
        <f>[1]资金台帐!T129&amp;""</f>
      </c>
      <c r="U129">
        <f>[1]资金台帐!U129&amp;""</f>
      </c>
      <c r="W129">
        <f>[1]资金台帐!W129&amp;""</f>
      </c>
      <c r="X129" t="str">
        <f>[1]资金台帐!X129&amp;""</f>
        <v>✗ 认不出：对方户名没登记，到【往来单位】加，或点「去改」手工选</v>
      </c>
      <c r="AB129">
        <f>[1]资金台帐!AB129</f>
        <v>0</v>
      </c>
      <c r="AC129">
        <f>[1]资金台帐!AC129</f>
        <v>190</v>
      </c>
      <c r="AD129">
        <f>[1]资金台帐!AD129</f>
        <v>-190</v>
      </c>
      <c r="AJ129">
        <f>[1]资金台帐!AJ129</f>
        <v>0</v>
      </c>
      <c r="AK129">
        <f>[1]资金台帐!AK129</f>
        <v>0</v>
      </c>
      <c r="BA129" s="22">
        <f t="shared" si="0"/>
      </c>
      <c r="BG129" s="22">
        <f t="shared" si="1"/>
        <v>202607</v>
      </c>
      <c r="BH129" s="22">
        <f t="shared" si="2"/>
        <v>1</v>
      </c>
    </row>
    <row r="130">
      <c r="B130" t="str">
        <f>[1]资金台帐!B130&amp;""</f>
        <v>微信-汪优丽</v>
      </c>
      <c r="H130" t="str">
        <f>[1]资金台帐!H130&amp;""</f>
        <v>浙江紫荆花物业服务有限公司</v>
      </c>
      <c r="J130" t="str">
        <f>[1]资金台帐!J130&amp;""</f>
        <v>商户消费 宁波雷蒙德旅游大厦停车场-停车缴费-浙B212DN</v>
      </c>
      <c r="N130">
        <f>[1]资金台帐!N130</f>
        <v>46204.0</v>
      </c>
      <c r="O130" t="str">
        <f>[1]资金台帐!O130&amp;""</f>
        <v>中智优力</v>
      </c>
      <c r="P130">
        <f>[1]资金台帐!P130&amp;""</f>
      </c>
      <c r="Q130">
        <f>[1]资金台帐!Q130&amp;""</f>
      </c>
      <c r="T130" t="str">
        <f>[1]资金台帐!T130&amp;""</f>
        <v>汽车费用</v>
      </c>
      <c r="U130" t="str">
        <f>[1]资金台帐!U130&amp;""</f>
        <v>变动成本</v>
      </c>
      <c r="W130">
        <f>[1]资金台帐!W130&amp;""</f>
      </c>
      <c r="X130" t="str">
        <f>[1]资金台帐!X130&amp;""</f>
        <v>√</v>
      </c>
      <c r="AB130">
        <f>[1]资金台帐!AB130</f>
        <v>0</v>
      </c>
      <c r="AC130">
        <f>[1]资金台帐!AC130</f>
        <v>10</v>
      </c>
      <c r="AD130">
        <f>[1]资金台帐!AD130</f>
        <v>-10</v>
      </c>
      <c r="AJ130">
        <f>[1]资金台帐!AJ130</f>
        <v>0</v>
      </c>
      <c r="AK130">
        <f>[1]资金台帐!AK130</f>
        <v>0</v>
      </c>
      <c r="BA130" s="22">
        <f t="shared" si="0"/>
      </c>
      <c r="BG130" s="22">
        <f t="shared" si="1"/>
        <v>202607</v>
      </c>
      <c r="BH130" s="22">
        <f t="shared" si="2"/>
        <v>1</v>
      </c>
    </row>
    <row r="131">
      <c r="B131" t="str">
        <f>[1]资金台帐!B131&amp;""</f>
        <v>微信商户0744</v>
      </c>
      <c r="H131">
        <f>[1]资金台帐!H131&amp;""</f>
      </c>
      <c r="J131" t="str">
        <f>[1]资金台帐!J131&amp;""</f>
        <v>交易手续费 押金消费金额 146.00 元;含手续费 0.29 元</v>
      </c>
      <c r="N131">
        <f>[1]资金台帐!N131</f>
        <v>46289.0</v>
      </c>
      <c r="O131" t="str">
        <f>[1]资金台帐!O131&amp;""</f>
        <v>中智优力</v>
      </c>
      <c r="P131">
        <f>[1]资金台帐!P131&amp;""</f>
      </c>
      <c r="Q131">
        <f>[1]资金台帐!Q131&amp;""</f>
      </c>
      <c r="T131" t="str">
        <f>[1]资金台帐!T131&amp;""</f>
        <v>银行手续费</v>
      </c>
      <c r="U131" t="str">
        <f>[1]资金台帐!U131&amp;""</f>
        <v>变动成本</v>
      </c>
      <c r="W131" t="str">
        <f>[1]资金台帐!W131&amp;""</f>
        <v>✓</v>
      </c>
      <c r="X131" t="str">
        <f>[1]资金台帐!X131&amp;""</f>
        <v>√</v>
      </c>
      <c r="AB131">
        <f>[1]资金台帐!AB131</f>
        <v>0</v>
      </c>
      <c r="AC131">
        <f>[1]资金台帐!AC131</f>
        <v>0.29</v>
      </c>
      <c r="AD131">
        <f>[1]资金台帐!AD131</f>
        <v>-0.29</v>
      </c>
      <c r="AJ131">
        <f>[1]资金台帐!AJ131</f>
        <v>0</v>
      </c>
      <c r="AK131">
        <f>[1]资金台帐!AK131</f>
        <v>0</v>
      </c>
      <c r="BA131" s="22">
        <f t="shared" si="0"/>
      </c>
      <c r="BG131" s="22">
        <f t="shared" si="1"/>
        <v>202609</v>
      </c>
      <c r="BH131" s="22">
        <f t="shared" si="2"/>
        <v>1</v>
      </c>
    </row>
    <row r="132">
      <c r="B132" t="str">
        <f>[1]资金台帐!B132&amp;""</f>
        <v>微信商户0744</v>
      </c>
      <c r="H132">
        <f>[1]资金台帐!H132&amp;""</f>
      </c>
      <c r="J132" t="str">
        <f>[1]资金台帐!J132&amp;""</f>
        <v>收款 押金消费金额 146.00 元;含手续费 0.29 元</v>
      </c>
      <c r="N132">
        <f>[1]资金台帐!N132</f>
        <v>46289.0</v>
      </c>
      <c r="O132" t="str">
        <f>[1]资金台帐!O132&amp;""</f>
        <v>中智优力</v>
      </c>
      <c r="P132">
        <f>[1]资金台帐!P132&amp;""</f>
      </c>
      <c r="Q132">
        <f>[1]资金台帐!Q132&amp;""</f>
      </c>
      <c r="T132">
        <f>[1]资金台帐!T132&amp;""</f>
      </c>
      <c r="U132">
        <f>[1]资金台帐!U132&amp;""</f>
      </c>
      <c r="W132" t="str">
        <f>[1]资金台帐!W132&amp;""</f>
        <v>✓</v>
      </c>
      <c r="X132" t="str">
        <f>[1]资金台帐!X132&amp;""</f>
        <v>✗ 请点「去改」选收支项目</v>
      </c>
      <c r="AB132">
        <f>[1]资金台帐!AB132</f>
        <v>146</v>
      </c>
      <c r="AC132">
        <f>[1]资金台帐!AC132</f>
        <v>0</v>
      </c>
      <c r="AD132">
        <f>[1]资金台帐!AD132</f>
        <v>146</v>
      </c>
      <c r="AJ132">
        <f>[1]资金台帐!AJ132</f>
        <v>0</v>
      </c>
      <c r="AK132">
        <f>[1]资金台帐!AK132</f>
        <v>0</v>
      </c>
      <c r="BA132" s="22">
        <f t="shared" si="0"/>
      </c>
      <c r="BG132" s="22">
        <f t="shared" si="1"/>
        <v>202609</v>
      </c>
      <c r="BH132" s="22">
        <f t="shared" si="2"/>
        <v>1</v>
      </c>
    </row>
    <row r="133">
      <c r="B133" t="str">
        <f>[1]资金台帐!B133&amp;""</f>
        <v>微信商户0744</v>
      </c>
      <c r="H133">
        <f>[1]资金台帐!H133&amp;""</f>
      </c>
      <c r="J133" t="str">
        <f>[1]资金台帐!J133&amp;""</f>
        <v>交易手续费 押金消费金额 63.00 元;含手续费 0.13 元</v>
      </c>
      <c r="N133">
        <f>[1]资金台帐!N133</f>
        <v>46288.0</v>
      </c>
      <c r="O133" t="str">
        <f>[1]资金台帐!O133&amp;""</f>
        <v>中智优力</v>
      </c>
      <c r="P133">
        <f>[1]资金台帐!P133&amp;""</f>
      </c>
      <c r="Q133">
        <f>[1]资金台帐!Q133&amp;""</f>
      </c>
      <c r="T133" t="str">
        <f>[1]资金台帐!T133&amp;""</f>
        <v>银行手续费</v>
      </c>
      <c r="U133" t="str">
        <f>[1]资金台帐!U133&amp;""</f>
        <v>变动成本</v>
      </c>
      <c r="W133" t="str">
        <f>[1]资金台帐!W133&amp;""</f>
        <v>✓</v>
      </c>
      <c r="X133" t="str">
        <f>[1]资金台帐!X133&amp;""</f>
        <v>√</v>
      </c>
      <c r="AB133">
        <f>[1]资金台帐!AB133</f>
        <v>0</v>
      </c>
      <c r="AC133">
        <f>[1]资金台帐!AC133</f>
        <v>0.13</v>
      </c>
      <c r="AD133">
        <f>[1]资金台帐!AD133</f>
        <v>-0.13</v>
      </c>
      <c r="AJ133">
        <f>[1]资金台帐!AJ133</f>
        <v>0</v>
      </c>
      <c r="AK133">
        <f>[1]资金台帐!AK133</f>
        <v>0</v>
      </c>
      <c r="BA133" s="22">
        <f t="shared" si="0"/>
      </c>
      <c r="BG133" s="22">
        <f t="shared" si="1"/>
        <v>202609</v>
      </c>
      <c r="BH133" s="22">
        <f t="shared" si="2"/>
        <v>1</v>
      </c>
    </row>
    <row r="134">
      <c r="B134" t="str">
        <f>[1]资金台帐!B134&amp;""</f>
        <v>微信商户0744</v>
      </c>
      <c r="H134">
        <f>[1]资金台帐!H134&amp;""</f>
      </c>
      <c r="J134" t="str">
        <f>[1]资金台帐!J134&amp;""</f>
        <v>收款 押金消费金额 63.00 元;含手续费 0.13 元</v>
      </c>
      <c r="N134">
        <f>[1]资金台帐!N134</f>
        <v>46288.0</v>
      </c>
      <c r="O134" t="str">
        <f>[1]资金台帐!O134&amp;""</f>
        <v>中智优力</v>
      </c>
      <c r="P134">
        <f>[1]资金台帐!P134&amp;""</f>
      </c>
      <c r="Q134">
        <f>[1]资金台帐!Q134&amp;""</f>
      </c>
      <c r="T134">
        <f>[1]资金台帐!T134&amp;""</f>
      </c>
      <c r="U134">
        <f>[1]资金台帐!U134&amp;""</f>
      </c>
      <c r="W134" t="str">
        <f>[1]资金台帐!W134&amp;""</f>
        <v>✓</v>
      </c>
      <c r="X134" t="str">
        <f>[1]资金台帐!X134&amp;""</f>
        <v>✗ 请点「去改」选收支项目</v>
      </c>
      <c r="AB134">
        <f>[1]资金台帐!AB134</f>
        <v>63</v>
      </c>
      <c r="AC134">
        <f>[1]资金台帐!AC134</f>
        <v>0</v>
      </c>
      <c r="AD134">
        <f>[1]资金台帐!AD134</f>
        <v>63</v>
      </c>
      <c r="AJ134">
        <f>[1]资金台帐!AJ134</f>
        <v>0</v>
      </c>
      <c r="AK134">
        <f>[1]资金台帐!AK134</f>
        <v>0</v>
      </c>
      <c r="BA134" s="22">
        <f t="shared" si="0"/>
      </c>
      <c r="BG134" s="22">
        <f t="shared" si="1"/>
        <v>202609</v>
      </c>
      <c r="BH134" s="22">
        <f t="shared" si="2"/>
        <v>1</v>
      </c>
    </row>
    <row r="135">
      <c r="B135" t="str">
        <f>[1]资金台帐!B135&amp;""</f>
        <v>微信商户0744</v>
      </c>
      <c r="H135">
        <f>[1]资金台帐!H135&amp;""</f>
      </c>
      <c r="J135" t="str">
        <f>[1]资金台帐!J135&amp;""</f>
        <v>提现</v>
      </c>
      <c r="N135">
        <f>[1]资金台帐!N135</f>
        <v>46283.0</v>
      </c>
      <c r="O135" t="str">
        <f>[1]资金台帐!O135&amp;""</f>
        <v>中智优力</v>
      </c>
      <c r="P135">
        <f>[1]资金台帐!P135&amp;""</f>
      </c>
      <c r="Q135">
        <f>[1]资金台帐!Q135&amp;""</f>
      </c>
      <c r="T135" t="str">
        <f>[1]资金台帐!T135&amp;""</f>
        <v>账户互转</v>
      </c>
      <c r="U135" t="str">
        <f>[1]资金台帐!U135&amp;""</f>
        <v>账户互转</v>
      </c>
      <c r="W135" t="str">
        <f>[1]资金台帐!W135&amp;""</f>
        <v>✓</v>
      </c>
      <c r="X135" t="str">
        <f>[1]资金台帐!X135&amp;""</f>
        <v>√</v>
      </c>
      <c r="AB135">
        <f>[1]资金台帐!AB135</f>
        <v>0</v>
      </c>
      <c r="AC135">
        <f>[1]资金台帐!AC135</f>
        <v>54976.4</v>
      </c>
      <c r="AD135">
        <f>[1]资金台帐!AD135</f>
        <v>-54976.4</v>
      </c>
      <c r="AJ135">
        <f>[1]资金台帐!AJ135</f>
        <v>0</v>
      </c>
      <c r="AK135">
        <f>[1]资金台帐!AK135</f>
        <v>0</v>
      </c>
      <c r="BA135" s="22">
        <f t="shared" si="0"/>
      </c>
      <c r="BG135" s="22">
        <f t="shared" si="1"/>
        <v>202609</v>
      </c>
      <c r="BH135" s="22">
        <f t="shared" si="2"/>
        <v>1</v>
      </c>
    </row>
    <row r="136">
      <c r="B136" t="str">
        <f>[1]资金台帐!B136&amp;""</f>
        <v>微信商户0744</v>
      </c>
      <c r="H136">
        <f>[1]资金台帐!H136&amp;""</f>
      </c>
      <c r="J136" t="str">
        <f>[1]资金台帐!J136&amp;""</f>
        <v>收款 结算总金额 500.00 元;含手续费 1.00 元</v>
      </c>
      <c r="N136">
        <f>[1]资金台帐!N136</f>
        <v>46280.0</v>
      </c>
      <c r="O136" t="str">
        <f>[1]资金台帐!O136&amp;""</f>
        <v>中智优力</v>
      </c>
      <c r="P136">
        <f>[1]资金台帐!P136&amp;""</f>
      </c>
      <c r="Q136">
        <f>[1]资金台帐!Q136&amp;""</f>
      </c>
      <c r="T136">
        <f>[1]资金台帐!T136&amp;""</f>
      </c>
      <c r="U136">
        <f>[1]资金台帐!U136&amp;""</f>
      </c>
      <c r="W136" t="str">
        <f>[1]资金台帐!W136&amp;""</f>
        <v>✓</v>
      </c>
      <c r="X136" t="str">
        <f>[1]资金台帐!X136&amp;""</f>
        <v>✗ 请点「去改」选收支项目</v>
      </c>
      <c r="AB136">
        <f>[1]资金台帐!AB136</f>
        <v>500</v>
      </c>
      <c r="AC136">
        <f>[1]资金台帐!AC136</f>
        <v>0</v>
      </c>
      <c r="AD136">
        <f>[1]资金台帐!AD136</f>
        <v>500</v>
      </c>
      <c r="AJ136">
        <f>[1]资金台帐!AJ136</f>
        <v>0</v>
      </c>
      <c r="AK136">
        <f>[1]资金台帐!AK136</f>
        <v>0</v>
      </c>
      <c r="BA136" s="22">
        <f t="shared" si="0"/>
      </c>
      <c r="BG136" s="22">
        <f t="shared" si="1"/>
        <v>202609</v>
      </c>
      <c r="BH136" s="22">
        <f t="shared" si="2"/>
        <v>1</v>
      </c>
    </row>
    <row r="137">
      <c r="B137" t="str">
        <f>[1]资金台帐!B137&amp;""</f>
        <v>微信商户0744</v>
      </c>
      <c r="H137">
        <f>[1]资金台帐!H137&amp;""</f>
      </c>
      <c r="J137" t="str">
        <f>[1]资金台帐!J137&amp;""</f>
        <v>交易手续费 结算总金额 500.00 元;含手续费 1.00 元</v>
      </c>
      <c r="N137">
        <f>[1]资金台帐!N137</f>
        <v>46280.0</v>
      </c>
      <c r="O137" t="str">
        <f>[1]资金台帐!O137&amp;""</f>
        <v>中智优力</v>
      </c>
      <c r="P137">
        <f>[1]资金台帐!P137&amp;""</f>
      </c>
      <c r="Q137">
        <f>[1]资金台帐!Q137&amp;""</f>
      </c>
      <c r="T137" t="str">
        <f>[1]资金台帐!T137&amp;""</f>
        <v>银行手续费</v>
      </c>
      <c r="U137" t="str">
        <f>[1]资金台帐!U137&amp;""</f>
        <v>变动成本</v>
      </c>
      <c r="W137" t="str">
        <f>[1]资金台帐!W137&amp;""</f>
        <v>✓</v>
      </c>
      <c r="X137" t="str">
        <f>[1]资金台帐!X137&amp;""</f>
        <v>√</v>
      </c>
      <c r="AB137">
        <f>[1]资金台帐!AB137</f>
        <v>0</v>
      </c>
      <c r="AC137">
        <f>[1]资金台帐!AC137</f>
        <v>1</v>
      </c>
      <c r="AD137">
        <f>[1]资金台帐!AD137</f>
        <v>-1</v>
      </c>
      <c r="AJ137">
        <f>[1]资金台帐!AJ137</f>
        <v>0</v>
      </c>
      <c r="AK137">
        <f>[1]资金台帐!AK137</f>
        <v>0</v>
      </c>
      <c r="BA137" s="22">
        <f t="shared" si="0"/>
      </c>
      <c r="BG137" s="22">
        <f t="shared" si="1"/>
        <v>202609</v>
      </c>
      <c r="BH137" s="22">
        <f t="shared" si="2"/>
        <v>1</v>
      </c>
    </row>
    <row r="138">
      <c r="B138" t="str">
        <f>[1]资金台帐!B138&amp;""</f>
        <v>微信商户0744</v>
      </c>
      <c r="H138">
        <f>[1]资金台帐!H138&amp;""</f>
      </c>
      <c r="J138" t="str">
        <f>[1]资金台帐!J138&amp;""</f>
        <v>收款 结算总金额 5000.00 元;含手续费 10.00 元</v>
      </c>
      <c r="N138">
        <f>[1]资金台帐!N138</f>
        <v>46276.0</v>
      </c>
      <c r="O138" t="str">
        <f>[1]资金台帐!O138&amp;""</f>
        <v>中智优力</v>
      </c>
      <c r="P138">
        <f>[1]资金台帐!P138&amp;""</f>
      </c>
      <c r="Q138">
        <f>[1]资金台帐!Q138&amp;""</f>
      </c>
      <c r="T138">
        <f>[1]资金台帐!T138&amp;""</f>
      </c>
      <c r="U138">
        <f>[1]资金台帐!U138&amp;""</f>
      </c>
      <c r="W138" t="str">
        <f>[1]资金台帐!W138&amp;""</f>
        <v>✓</v>
      </c>
      <c r="X138" t="str">
        <f>[1]资金台帐!X138&amp;""</f>
        <v>✗ 请点「去改」选收支项目</v>
      </c>
      <c r="AB138">
        <f>[1]资金台帐!AB138</f>
        <v>5000</v>
      </c>
      <c r="AC138">
        <f>[1]资金台帐!AC138</f>
        <v>0</v>
      </c>
      <c r="AD138">
        <f>[1]资金台帐!AD138</f>
        <v>5000</v>
      </c>
      <c r="AJ138">
        <f>[1]资金台帐!AJ138</f>
        <v>0</v>
      </c>
      <c r="AK138">
        <f>[1]资金台帐!AK138</f>
        <v>0</v>
      </c>
      <c r="BA138" s="22">
        <f t="shared" si="0"/>
      </c>
      <c r="BG138" s="22">
        <f t="shared" si="1"/>
        <v>202609</v>
      </c>
      <c r="BH138" s="22">
        <f t="shared" si="2"/>
        <v>1</v>
      </c>
    </row>
    <row r="139">
      <c r="B139" t="str">
        <f>[1]资金台帐!B139&amp;""</f>
        <v>微信商户0744</v>
      </c>
      <c r="H139">
        <f>[1]资金台帐!H139&amp;""</f>
      </c>
      <c r="J139" t="str">
        <f>[1]资金台帐!J139&amp;""</f>
        <v>交易手续费 结算总金额 5000.00 元;含手续费 10.00 元</v>
      </c>
      <c r="N139">
        <f>[1]资金台帐!N139</f>
        <v>46276.0</v>
      </c>
      <c r="O139" t="str">
        <f>[1]资金台帐!O139&amp;""</f>
        <v>中智优力</v>
      </c>
      <c r="P139">
        <f>[1]资金台帐!P139&amp;""</f>
      </c>
      <c r="Q139">
        <f>[1]资金台帐!Q139&amp;""</f>
      </c>
      <c r="T139" t="str">
        <f>[1]资金台帐!T139&amp;""</f>
        <v>银行手续费</v>
      </c>
      <c r="U139" t="str">
        <f>[1]资金台帐!U139&amp;""</f>
        <v>变动成本</v>
      </c>
      <c r="W139" t="str">
        <f>[1]资金台帐!W139&amp;""</f>
        <v>✓</v>
      </c>
      <c r="X139" t="str">
        <f>[1]资金台帐!X139&amp;""</f>
        <v>√</v>
      </c>
      <c r="AB139">
        <f>[1]资金台帐!AB139</f>
        <v>0</v>
      </c>
      <c r="AC139">
        <f>[1]资金台帐!AC139</f>
        <v>10</v>
      </c>
      <c r="AD139">
        <f>[1]资金台帐!AD139</f>
        <v>-10</v>
      </c>
      <c r="AJ139">
        <f>[1]资金台帐!AJ139</f>
        <v>0</v>
      </c>
      <c r="AK139">
        <f>[1]资金台帐!AK139</f>
        <v>0</v>
      </c>
      <c r="BA139" s="22">
        <f t="shared" si="0"/>
      </c>
      <c r="BG139" s="22">
        <f t="shared" si="1"/>
        <v>202609</v>
      </c>
      <c r="BH139" s="22">
        <f t="shared" si="2"/>
        <v>1</v>
      </c>
    </row>
    <row r="140">
      <c r="B140" t="str">
        <f>[1]资金台帐!B140&amp;""</f>
        <v>微信商户0744</v>
      </c>
      <c r="H140">
        <f>[1]资金台帐!H140&amp;""</f>
      </c>
      <c r="J140" t="str">
        <f>[1]资金台帐!J140&amp;""</f>
        <v>交易手续费 押金消费金额 2000.00 元;含手续费 4.00 元</v>
      </c>
      <c r="N140">
        <f>[1]资金台帐!N140</f>
        <v>46276.0</v>
      </c>
      <c r="O140" t="str">
        <f>[1]资金台帐!O140&amp;""</f>
        <v>中智优力</v>
      </c>
      <c r="P140">
        <f>[1]资金台帐!P140&amp;""</f>
      </c>
      <c r="Q140">
        <f>[1]资金台帐!Q140&amp;""</f>
      </c>
      <c r="T140" t="str">
        <f>[1]资金台帐!T140&amp;""</f>
        <v>银行手续费</v>
      </c>
      <c r="U140" t="str">
        <f>[1]资金台帐!U140&amp;""</f>
        <v>变动成本</v>
      </c>
      <c r="W140" t="str">
        <f>[1]资金台帐!W140&amp;""</f>
        <v>✓</v>
      </c>
      <c r="X140" t="str">
        <f>[1]资金台帐!X140&amp;""</f>
        <v>√</v>
      </c>
      <c r="AB140">
        <f>[1]资金台帐!AB140</f>
        <v>0</v>
      </c>
      <c r="AC140">
        <f>[1]资金台帐!AC140</f>
        <v>4</v>
      </c>
      <c r="AD140">
        <f>[1]资金台帐!AD140</f>
        <v>-4</v>
      </c>
      <c r="AJ140">
        <f>[1]资金台帐!AJ140</f>
        <v>0</v>
      </c>
      <c r="AK140">
        <f>[1]资金台帐!AK140</f>
        <v>0</v>
      </c>
      <c r="BA140" s="22">
        <f t="shared" si="0"/>
      </c>
      <c r="BG140" s="22">
        <f t="shared" si="1"/>
        <v>202609</v>
      </c>
      <c r="BH140" s="22">
        <f t="shared" si="2"/>
        <v>1</v>
      </c>
    </row>
    <row r="141">
      <c r="B141" t="str">
        <f>[1]资金台帐!B141&amp;""</f>
        <v>微信商户0744</v>
      </c>
      <c r="H141">
        <f>[1]资金台帐!H141&amp;""</f>
      </c>
      <c r="J141" t="str">
        <f>[1]资金台帐!J141&amp;""</f>
        <v>收款 押金消费金额 2000.00 元;含手续费 4.00 元</v>
      </c>
      <c r="N141">
        <f>[1]资金台帐!N141</f>
        <v>46276.0</v>
      </c>
      <c r="O141" t="str">
        <f>[1]资金台帐!O141&amp;""</f>
        <v>中智优力</v>
      </c>
      <c r="P141">
        <f>[1]资金台帐!P141&amp;""</f>
      </c>
      <c r="Q141">
        <f>[1]资金台帐!Q141&amp;""</f>
      </c>
      <c r="T141">
        <f>[1]资金台帐!T141&amp;""</f>
      </c>
      <c r="U141">
        <f>[1]资金台帐!U141&amp;""</f>
      </c>
      <c r="W141" t="str">
        <f>[1]资金台帐!W141&amp;""</f>
        <v>✓</v>
      </c>
      <c r="X141" t="str">
        <f>[1]资金台帐!X141&amp;""</f>
        <v>✗ 请点「去改」选收支项目</v>
      </c>
      <c r="AB141">
        <f>[1]资金台帐!AB141</f>
        <v>2000</v>
      </c>
      <c r="AC141">
        <f>[1]资金台帐!AC141</f>
        <v>0</v>
      </c>
      <c r="AD141">
        <f>[1]资金台帐!AD141</f>
        <v>2000</v>
      </c>
      <c r="AJ141">
        <f>[1]资金台帐!AJ141</f>
        <v>0</v>
      </c>
      <c r="AK141">
        <f>[1]资金台帐!AK141</f>
        <v>0</v>
      </c>
      <c r="BA141" s="22">
        <f t="shared" si="0"/>
      </c>
      <c r="BG141" s="22">
        <f t="shared" si="1"/>
        <v>202609</v>
      </c>
      <c r="BH141" s="22">
        <f t="shared" si="2"/>
        <v>1</v>
      </c>
    </row>
    <row r="142">
      <c r="B142" t="str">
        <f>[1]资金台帐!B142&amp;""</f>
        <v>微信商户0744</v>
      </c>
      <c r="H142">
        <f>[1]资金台帐!H142&amp;""</f>
      </c>
      <c r="J142" t="str">
        <f>[1]资金台帐!J142&amp;""</f>
        <v>交易手续费 结算总金额 5000.00 元;含手续费 10.00 元</v>
      </c>
      <c r="N142">
        <f>[1]资金台帐!N142</f>
        <v>46272.0</v>
      </c>
      <c r="O142" t="str">
        <f>[1]资金台帐!O142&amp;""</f>
        <v>中智优力</v>
      </c>
      <c r="P142">
        <f>[1]资金台帐!P142&amp;""</f>
      </c>
      <c r="Q142">
        <f>[1]资金台帐!Q142&amp;""</f>
      </c>
      <c r="T142" t="str">
        <f>[1]资金台帐!T142&amp;""</f>
        <v>银行手续费</v>
      </c>
      <c r="U142" t="str">
        <f>[1]资金台帐!U142&amp;""</f>
        <v>变动成本</v>
      </c>
      <c r="W142" t="str">
        <f>[1]资金台帐!W142&amp;""</f>
        <v>✓</v>
      </c>
      <c r="X142" t="str">
        <f>[1]资金台帐!X142&amp;""</f>
        <v>√</v>
      </c>
      <c r="AB142">
        <f>[1]资金台帐!AB142</f>
        <v>0</v>
      </c>
      <c r="AC142">
        <f>[1]资金台帐!AC142</f>
        <v>10</v>
      </c>
      <c r="AD142">
        <f>[1]资金台帐!AD142</f>
        <v>-10</v>
      </c>
      <c r="AJ142">
        <f>[1]资金台帐!AJ142</f>
        <v>0</v>
      </c>
      <c r="AK142">
        <f>[1]资金台帐!AK142</f>
        <v>0</v>
      </c>
      <c r="BA142" s="22">
        <f t="shared" si="0"/>
      </c>
      <c r="BG142" s="22">
        <f t="shared" si="1"/>
        <v>202609</v>
      </c>
      <c r="BH142" s="22">
        <f t="shared" si="2"/>
        <v>1</v>
      </c>
    </row>
    <row r="143">
      <c r="B143" t="str">
        <f>[1]资金台帐!B143&amp;""</f>
        <v>微信商户0744</v>
      </c>
      <c r="H143">
        <f>[1]资金台帐!H143&amp;""</f>
      </c>
      <c r="J143" t="str">
        <f>[1]资金台帐!J143&amp;""</f>
        <v>收款 结算总金额 5000.00 元;含手续费 10.00 元</v>
      </c>
      <c r="N143">
        <f>[1]资金台帐!N143</f>
        <v>46272.0</v>
      </c>
      <c r="O143" t="str">
        <f>[1]资金台帐!O143&amp;""</f>
        <v>中智优力</v>
      </c>
      <c r="P143">
        <f>[1]资金台帐!P143&amp;""</f>
      </c>
      <c r="Q143">
        <f>[1]资金台帐!Q143&amp;""</f>
      </c>
      <c r="T143">
        <f>[1]资金台帐!T143&amp;""</f>
      </c>
      <c r="U143">
        <f>[1]资金台帐!U143&amp;""</f>
      </c>
      <c r="W143" t="str">
        <f>[1]资金台帐!W143&amp;""</f>
        <v>✓</v>
      </c>
      <c r="X143" t="str">
        <f>[1]资金台帐!X143&amp;""</f>
        <v>✗ 请点「去改」选收支项目</v>
      </c>
      <c r="AB143">
        <f>[1]资金台帐!AB143</f>
        <v>5000</v>
      </c>
      <c r="AC143">
        <f>[1]资金台帐!AC143</f>
        <v>0</v>
      </c>
      <c r="AD143">
        <f>[1]资金台帐!AD143</f>
        <v>5000</v>
      </c>
      <c r="AJ143">
        <f>[1]资金台帐!AJ143</f>
        <v>0</v>
      </c>
      <c r="AK143">
        <f>[1]资金台帐!AK143</f>
        <v>0</v>
      </c>
      <c r="BA143" s="22">
        <f t="shared" si="0"/>
      </c>
      <c r="BG143" s="22">
        <f t="shared" si="1"/>
        <v>202609</v>
      </c>
      <c r="BH143" s="22">
        <f t="shared" si="2"/>
        <v>1</v>
      </c>
    </row>
    <row r="144">
      <c r="B144">
        <f>[1]资金台帐!B144&amp;""</f>
      </c>
      <c r="H144">
        <f>[1]资金台帐!H144&amp;""</f>
      </c>
      <c r="J144">
        <f>[1]资金台帐!J144&amp;""</f>
      </c>
      <c r="N144">
        <f>[1]资金台帐!N144</f>
      </c>
      <c r="O144">
        <f>[1]资金台帐!O144&amp;""</f>
      </c>
      <c r="P144">
        <f>[1]资金台帐!P144&amp;""</f>
      </c>
      <c r="Q144">
        <f>[1]资金台帐!Q144&amp;""</f>
      </c>
      <c r="T144">
        <f>[1]资金台帐!T144&amp;""</f>
      </c>
      <c r="U144">
        <f>[1]资金台帐!U144&amp;""</f>
      </c>
      <c r="W144">
        <f>[1]资金台帐!W144&amp;""</f>
      </c>
      <c r="X144">
        <f>[1]资金台帐!X144&amp;""</f>
      </c>
      <c r="AB144">
        <f>[1]资金台帐!AB144</f>
        <v>0</v>
      </c>
      <c r="AC144">
        <f>[1]资金台帐!AC144</f>
        <v>0</v>
      </c>
      <c r="AD144">
        <f>[1]资金台帐!AD144</f>
        <v>0</v>
      </c>
      <c r="AJ144">
        <f>[1]资金台帐!AJ144</f>
        <v>0</v>
      </c>
      <c r="AK144">
        <f>[1]资金台帐!AK144</f>
        <v>0</v>
      </c>
      <c r="BA144" s="22">
        <f t="shared" si="0"/>
      </c>
      <c r="BG144" s="22">
        <f t="shared" si="1"/>
      </c>
      <c r="BH144" s="22">
        <f t="shared" si="2"/>
        <v>0</v>
      </c>
    </row>
    <row r="145">
      <c r="B145">
        <f>[1]资金台帐!B145&amp;""</f>
      </c>
      <c r="H145">
        <f>[1]资金台帐!H145&amp;""</f>
      </c>
      <c r="J145">
        <f>[1]资金台帐!J145&amp;""</f>
      </c>
      <c r="N145">
        <f>[1]资金台帐!N145</f>
      </c>
      <c r="O145">
        <f>[1]资金台帐!O145&amp;""</f>
      </c>
      <c r="P145">
        <f>[1]资金台帐!P145&amp;""</f>
      </c>
      <c r="Q145">
        <f>[1]资金台帐!Q145&amp;""</f>
      </c>
      <c r="T145">
        <f>[1]资金台帐!T145&amp;""</f>
      </c>
      <c r="U145">
        <f>[1]资金台帐!U145&amp;""</f>
      </c>
      <c r="W145">
        <f>[1]资金台帐!W145&amp;""</f>
      </c>
      <c r="X145">
        <f>[1]资金台帐!X145&amp;""</f>
      </c>
      <c r="AB145">
        <f>[1]资金台帐!AB145</f>
        <v>0</v>
      </c>
      <c r="AC145">
        <f>[1]资金台帐!AC145</f>
        <v>0</v>
      </c>
      <c r="AD145">
        <f>[1]资金台帐!AD145</f>
        <v>0</v>
      </c>
      <c r="AJ145">
        <f>[1]资金台帐!AJ145</f>
        <v>0</v>
      </c>
      <c r="AK145">
        <f>[1]资金台帐!AK145</f>
        <v>0</v>
      </c>
      <c r="BA145" s="22">
        <f t="shared" si="0"/>
      </c>
      <c r="BG145" s="22">
        <f t="shared" si="1"/>
      </c>
      <c r="BH145" s="22">
        <f t="shared" si="2"/>
        <v>0</v>
      </c>
    </row>
    <row r="146">
      <c r="B146">
        <f>[1]资金台帐!B146&amp;""</f>
      </c>
      <c r="H146">
        <f>[1]资金台帐!H146&amp;""</f>
      </c>
      <c r="J146">
        <f>[1]资金台帐!J146&amp;""</f>
      </c>
      <c r="N146">
        <f>[1]资金台帐!N146</f>
      </c>
      <c r="O146">
        <f>[1]资金台帐!O146&amp;""</f>
      </c>
      <c r="P146">
        <f>[1]资金台帐!P146&amp;""</f>
      </c>
      <c r="Q146">
        <f>[1]资金台帐!Q146&amp;""</f>
      </c>
      <c r="T146">
        <f>[1]资金台帐!T146&amp;""</f>
      </c>
      <c r="U146">
        <f>[1]资金台帐!U146&amp;""</f>
      </c>
      <c r="W146">
        <f>[1]资金台帐!W146&amp;""</f>
      </c>
      <c r="X146">
        <f>[1]资金台帐!X146&amp;""</f>
      </c>
      <c r="AB146">
        <f>[1]资金台帐!AB146</f>
        <v>0</v>
      </c>
      <c r="AC146">
        <f>[1]资金台帐!AC146</f>
        <v>0</v>
      </c>
      <c r="AD146">
        <f>[1]资金台帐!AD146</f>
        <v>0</v>
      </c>
      <c r="AJ146">
        <f>[1]资金台帐!AJ146</f>
        <v>0</v>
      </c>
      <c r="AK146">
        <f>[1]资金台帐!AK146</f>
        <v>0</v>
      </c>
      <c r="BA146" s="22">
        <f t="shared" si="0"/>
      </c>
      <c r="BG146" s="22">
        <f t="shared" si="1"/>
      </c>
      <c r="BH146" s="22">
        <f t="shared" si="2"/>
        <v>0</v>
      </c>
    </row>
    <row r="147">
      <c r="B147">
        <f>[1]资金台帐!B147&amp;""</f>
      </c>
      <c r="H147">
        <f>[1]资金台帐!H147&amp;""</f>
      </c>
      <c r="J147">
        <f>[1]资金台帐!J147&amp;""</f>
      </c>
      <c r="N147">
        <f>[1]资金台帐!N147</f>
      </c>
      <c r="O147">
        <f>[1]资金台帐!O147&amp;""</f>
      </c>
      <c r="P147">
        <f>[1]资金台帐!P147&amp;""</f>
      </c>
      <c r="Q147">
        <f>[1]资金台帐!Q147&amp;""</f>
      </c>
      <c r="T147">
        <f>[1]资金台帐!T147&amp;""</f>
      </c>
      <c r="U147">
        <f>[1]资金台帐!U147&amp;""</f>
      </c>
      <c r="W147">
        <f>[1]资金台帐!W147&amp;""</f>
      </c>
      <c r="X147">
        <f>[1]资金台帐!X147&amp;""</f>
      </c>
      <c r="AB147">
        <f>[1]资金台帐!AB147</f>
        <v>0</v>
      </c>
      <c r="AC147">
        <f>[1]资金台帐!AC147</f>
        <v>0</v>
      </c>
      <c r="AD147">
        <f>[1]资金台帐!AD147</f>
        <v>0</v>
      </c>
      <c r="AJ147">
        <f>[1]资金台帐!AJ147</f>
        <v>0</v>
      </c>
      <c r="AK147">
        <f>[1]资金台帐!AK147</f>
        <v>0</v>
      </c>
      <c r="BA147" s="22">
        <f t="shared" si="0"/>
      </c>
      <c r="BG147" s="22">
        <f t="shared" si="1"/>
      </c>
      <c r="BH147" s="22">
        <f t="shared" si="2"/>
        <v>0</v>
      </c>
    </row>
    <row r="148">
      <c r="B148">
        <f>[1]资金台帐!B148&amp;""</f>
      </c>
      <c r="H148">
        <f>[1]资金台帐!H148&amp;""</f>
      </c>
      <c r="J148">
        <f>[1]资金台帐!J148&amp;""</f>
      </c>
      <c r="N148">
        <f>[1]资金台帐!N148</f>
      </c>
      <c r="O148">
        <f>[1]资金台帐!O148&amp;""</f>
      </c>
      <c r="P148">
        <f>[1]资金台帐!P148&amp;""</f>
      </c>
      <c r="Q148">
        <f>[1]资金台帐!Q148&amp;""</f>
      </c>
      <c r="T148">
        <f>[1]资金台帐!T148&amp;""</f>
      </c>
      <c r="U148">
        <f>[1]资金台帐!U148&amp;""</f>
      </c>
      <c r="W148">
        <f>[1]资金台帐!W148&amp;""</f>
      </c>
      <c r="X148">
        <f>[1]资金台帐!X148&amp;""</f>
      </c>
      <c r="AB148">
        <f>[1]资金台帐!AB148</f>
        <v>0</v>
      </c>
      <c r="AC148">
        <f>[1]资金台帐!AC148</f>
        <v>0</v>
      </c>
      <c r="AD148">
        <f>[1]资金台帐!AD148</f>
        <v>0</v>
      </c>
      <c r="AJ148">
        <f>[1]资金台帐!AJ148</f>
        <v>0</v>
      </c>
      <c r="AK148">
        <f>[1]资金台帐!AK148</f>
        <v>0</v>
      </c>
      <c r="BA148" s="22">
        <f t="shared" si="0"/>
      </c>
      <c r="BG148" s="22">
        <f t="shared" si="1"/>
      </c>
      <c r="BH148" s="22">
        <f t="shared" si="2"/>
        <v>0</v>
      </c>
    </row>
    <row r="149">
      <c r="B149">
        <f>[1]资金台帐!B149&amp;""</f>
      </c>
      <c r="H149">
        <f>[1]资金台帐!H149&amp;""</f>
      </c>
      <c r="J149">
        <f>[1]资金台帐!J149&amp;""</f>
      </c>
      <c r="N149">
        <f>[1]资金台帐!N149</f>
      </c>
      <c r="O149">
        <f>[1]资金台帐!O149&amp;""</f>
      </c>
      <c r="P149">
        <f>[1]资金台帐!P149&amp;""</f>
      </c>
      <c r="Q149">
        <f>[1]资金台帐!Q149&amp;""</f>
      </c>
      <c r="T149">
        <f>[1]资金台帐!T149&amp;""</f>
      </c>
      <c r="U149">
        <f>[1]资金台帐!U149&amp;""</f>
      </c>
      <c r="W149">
        <f>[1]资金台帐!W149&amp;""</f>
      </c>
      <c r="X149">
        <f>[1]资金台帐!X149&amp;""</f>
      </c>
      <c r="AB149">
        <f>[1]资金台帐!AB149</f>
        <v>0</v>
      </c>
      <c r="AC149">
        <f>[1]资金台帐!AC149</f>
        <v>0</v>
      </c>
      <c r="AD149">
        <f>[1]资金台帐!AD149</f>
        <v>0</v>
      </c>
      <c r="AJ149">
        <f>[1]资金台帐!AJ149</f>
        <v>0</v>
      </c>
      <c r="AK149">
        <f>[1]资金台帐!AK149</f>
        <v>0</v>
      </c>
      <c r="BA149" s="22">
        <f t="shared" si="0"/>
      </c>
      <c r="BG149" s="22">
        <f t="shared" si="1"/>
      </c>
      <c r="BH149" s="22">
        <f t="shared" si="2"/>
        <v>0</v>
      </c>
    </row>
    <row r="150">
      <c r="B150">
        <f>[1]资金台帐!B150&amp;""</f>
      </c>
      <c r="H150">
        <f>[1]资金台帐!H150&amp;""</f>
      </c>
      <c r="J150">
        <f>[1]资金台帐!J150&amp;""</f>
      </c>
      <c r="N150">
        <f>[1]资金台帐!N150</f>
      </c>
      <c r="O150">
        <f>[1]资金台帐!O150&amp;""</f>
      </c>
      <c r="P150">
        <f>[1]资金台帐!P150&amp;""</f>
      </c>
      <c r="Q150">
        <f>[1]资金台帐!Q150&amp;""</f>
      </c>
      <c r="T150">
        <f>[1]资金台帐!T150&amp;""</f>
      </c>
      <c r="U150">
        <f>[1]资金台帐!U150&amp;""</f>
      </c>
      <c r="W150">
        <f>[1]资金台帐!W150&amp;""</f>
      </c>
      <c r="X150">
        <f>[1]资金台帐!X150&amp;""</f>
      </c>
      <c r="AB150">
        <f>[1]资金台帐!AB150</f>
        <v>0</v>
      </c>
      <c r="AC150">
        <f>[1]资金台帐!AC150</f>
        <v>0</v>
      </c>
      <c r="AD150">
        <f>[1]资金台帐!AD150</f>
        <v>0</v>
      </c>
      <c r="AJ150">
        <f>[1]资金台帐!AJ150</f>
        <v>0</v>
      </c>
      <c r="AK150">
        <f>[1]资金台帐!AK150</f>
        <v>0</v>
      </c>
      <c r="BA150" s="22">
        <f t="shared" si="0"/>
      </c>
      <c r="BG150" s="22">
        <f t="shared" si="1"/>
      </c>
      <c r="BH150" s="22">
        <f t="shared" si="2"/>
        <v>0</v>
      </c>
    </row>
    <row r="151">
      <c r="B151">
        <f>[1]资金台帐!B151&amp;""</f>
      </c>
      <c r="H151">
        <f>[1]资金台帐!H151&amp;""</f>
      </c>
      <c r="J151">
        <f>[1]资金台帐!J151&amp;""</f>
      </c>
      <c r="N151">
        <f>[1]资金台帐!N151</f>
      </c>
      <c r="O151">
        <f>[1]资金台帐!O151&amp;""</f>
      </c>
      <c r="P151">
        <f>[1]资金台帐!P151&amp;""</f>
      </c>
      <c r="Q151">
        <f>[1]资金台帐!Q151&amp;""</f>
      </c>
      <c r="T151">
        <f>[1]资金台帐!T151&amp;""</f>
      </c>
      <c r="U151">
        <f>[1]资金台帐!U151&amp;""</f>
      </c>
      <c r="W151">
        <f>[1]资金台帐!W151&amp;""</f>
      </c>
      <c r="X151">
        <f>[1]资金台帐!X151&amp;""</f>
      </c>
      <c r="AB151">
        <f>[1]资金台帐!AB151</f>
        <v>0</v>
      </c>
      <c r="AC151">
        <f>[1]资金台帐!AC151</f>
        <v>0</v>
      </c>
      <c r="AD151">
        <f>[1]资金台帐!AD151</f>
        <v>0</v>
      </c>
      <c r="AJ151">
        <f>[1]资金台帐!AJ151</f>
        <v>0</v>
      </c>
      <c r="AK151">
        <f>[1]资金台帐!AK151</f>
        <v>0</v>
      </c>
      <c r="BA151" s="22">
        <f t="shared" si="0"/>
      </c>
      <c r="BG151" s="22">
        <f t="shared" si="1"/>
      </c>
      <c r="BH151" s="22">
        <f t="shared" si="2"/>
        <v>0</v>
      </c>
    </row>
    <row r="152">
      <c r="B152">
        <f>[1]资金台帐!B152&amp;""</f>
      </c>
      <c r="H152">
        <f>[1]资金台帐!H152&amp;""</f>
      </c>
      <c r="J152">
        <f>[1]资金台帐!J152&amp;""</f>
      </c>
      <c r="N152">
        <f>[1]资金台帐!N152</f>
      </c>
      <c r="O152">
        <f>[1]资金台帐!O152&amp;""</f>
      </c>
      <c r="P152">
        <f>[1]资金台帐!P152&amp;""</f>
      </c>
      <c r="Q152">
        <f>[1]资金台帐!Q152&amp;""</f>
      </c>
      <c r="T152">
        <f>[1]资金台帐!T152&amp;""</f>
      </c>
      <c r="U152">
        <f>[1]资金台帐!U152&amp;""</f>
      </c>
      <c r="W152">
        <f>[1]资金台帐!W152&amp;""</f>
      </c>
      <c r="X152">
        <f>[1]资金台帐!X152&amp;""</f>
      </c>
      <c r="AB152">
        <f>[1]资金台帐!AB152</f>
        <v>0</v>
      </c>
      <c r="AC152">
        <f>[1]资金台帐!AC152</f>
        <v>0</v>
      </c>
      <c r="AD152">
        <f>[1]资金台帐!AD152</f>
        <v>0</v>
      </c>
      <c r="AJ152">
        <f>[1]资金台帐!AJ152</f>
        <v>0</v>
      </c>
      <c r="AK152">
        <f>[1]资金台帐!AK152</f>
        <v>0</v>
      </c>
      <c r="BA152" s="22">
        <f t="shared" si="0"/>
      </c>
      <c r="BG152" s="22">
        <f t="shared" si="1"/>
      </c>
      <c r="BH152" s="22">
        <f t="shared" si="2"/>
        <v>0</v>
      </c>
    </row>
    <row r="153">
      <c r="B153">
        <f>[1]资金台帐!B153&amp;""</f>
      </c>
      <c r="H153">
        <f>[1]资金台帐!H153&amp;""</f>
      </c>
      <c r="J153">
        <f>[1]资金台帐!J153&amp;""</f>
      </c>
      <c r="N153">
        <f>[1]资金台帐!N153</f>
      </c>
      <c r="O153">
        <f>[1]资金台帐!O153&amp;""</f>
      </c>
      <c r="P153">
        <f>[1]资金台帐!P153&amp;""</f>
      </c>
      <c r="Q153">
        <f>[1]资金台帐!Q153&amp;""</f>
      </c>
      <c r="T153">
        <f>[1]资金台帐!T153&amp;""</f>
      </c>
      <c r="U153">
        <f>[1]资金台帐!U153&amp;""</f>
      </c>
      <c r="W153">
        <f>[1]资金台帐!W153&amp;""</f>
      </c>
      <c r="X153">
        <f>[1]资金台帐!X153&amp;""</f>
      </c>
      <c r="AB153">
        <f>[1]资金台帐!AB153</f>
        <v>0</v>
      </c>
      <c r="AC153">
        <f>[1]资金台帐!AC153</f>
        <v>0</v>
      </c>
      <c r="AD153">
        <f>[1]资金台帐!AD153</f>
        <v>0</v>
      </c>
      <c r="AJ153">
        <f>[1]资金台帐!AJ153</f>
        <v>0</v>
      </c>
      <c r="AK153">
        <f>[1]资金台帐!AK153</f>
        <v>0</v>
      </c>
      <c r="BA153" s="22">
        <f t="shared" si="0"/>
      </c>
      <c r="BG153" s="22">
        <f t="shared" si="1"/>
      </c>
      <c r="BH153" s="22">
        <f t="shared" si="2"/>
        <v>0</v>
      </c>
    </row>
    <row r="154">
      <c r="B154">
        <f>[1]资金台帐!B154&amp;""</f>
      </c>
      <c r="H154">
        <f>[1]资金台帐!H154&amp;""</f>
      </c>
      <c r="J154">
        <f>[1]资金台帐!J154&amp;""</f>
      </c>
      <c r="N154">
        <f>[1]资金台帐!N154</f>
      </c>
      <c r="O154">
        <f>[1]资金台帐!O154&amp;""</f>
      </c>
      <c r="P154">
        <f>[1]资金台帐!P154&amp;""</f>
      </c>
      <c r="Q154">
        <f>[1]资金台帐!Q154&amp;""</f>
      </c>
      <c r="T154">
        <f>[1]资金台帐!T154&amp;""</f>
      </c>
      <c r="U154">
        <f>[1]资金台帐!U154&amp;""</f>
      </c>
      <c r="W154">
        <f>[1]资金台帐!W154&amp;""</f>
      </c>
      <c r="X154">
        <f>[1]资金台帐!X154&amp;""</f>
      </c>
      <c r="AB154">
        <f>[1]资金台帐!AB154</f>
        <v>0</v>
      </c>
      <c r="AC154">
        <f>[1]资金台帐!AC154</f>
        <v>0</v>
      </c>
      <c r="AD154">
        <f>[1]资金台帐!AD154</f>
        <v>0</v>
      </c>
      <c r="AJ154">
        <f>[1]资金台帐!AJ154</f>
        <v>0</v>
      </c>
      <c r="AK154">
        <f>[1]资金台帐!AK154</f>
        <v>0</v>
      </c>
      <c r="BA154" s="22">
        <f t="shared" si="0"/>
      </c>
      <c r="BG154" s="22">
        <f t="shared" si="1"/>
      </c>
      <c r="BH154" s="22">
        <f t="shared" si="2"/>
        <v>0</v>
      </c>
    </row>
    <row r="155">
      <c r="B155">
        <f>[1]资金台帐!B155&amp;""</f>
      </c>
      <c r="H155">
        <f>[1]资金台帐!H155&amp;""</f>
      </c>
      <c r="J155">
        <f>[1]资金台帐!J155&amp;""</f>
      </c>
      <c r="N155">
        <f>[1]资金台帐!N155</f>
      </c>
      <c r="O155">
        <f>[1]资金台帐!O155&amp;""</f>
      </c>
      <c r="P155">
        <f>[1]资金台帐!P155&amp;""</f>
      </c>
      <c r="Q155">
        <f>[1]资金台帐!Q155&amp;""</f>
      </c>
      <c r="T155">
        <f>[1]资金台帐!T155&amp;""</f>
      </c>
      <c r="U155">
        <f>[1]资金台帐!U155&amp;""</f>
      </c>
      <c r="W155">
        <f>[1]资金台帐!W155&amp;""</f>
      </c>
      <c r="X155">
        <f>[1]资金台帐!X155&amp;""</f>
      </c>
      <c r="AB155">
        <f>[1]资金台帐!AB155</f>
        <v>0</v>
      </c>
      <c r="AC155">
        <f>[1]资金台帐!AC155</f>
        <v>0</v>
      </c>
      <c r="AD155">
        <f>[1]资金台帐!AD155</f>
        <v>0</v>
      </c>
      <c r="AJ155">
        <f>[1]资金台帐!AJ155</f>
        <v>0</v>
      </c>
      <c r="AK155">
        <f>[1]资金台帐!AK155</f>
        <v>0</v>
      </c>
      <c r="BA155" s="22">
        <f t="shared" si="0"/>
      </c>
      <c r="BG155" s="22">
        <f t="shared" si="1"/>
      </c>
      <c r="BH155" s="22">
        <f t="shared" si="2"/>
        <v>0</v>
      </c>
    </row>
    <row r="156">
      <c r="B156">
        <f>[1]资金台帐!B156&amp;""</f>
      </c>
      <c r="H156">
        <f>[1]资金台帐!H156&amp;""</f>
      </c>
      <c r="J156">
        <f>[1]资金台帐!J156&amp;""</f>
      </c>
      <c r="N156">
        <f>[1]资金台帐!N156</f>
      </c>
      <c r="O156">
        <f>[1]资金台帐!O156&amp;""</f>
      </c>
      <c r="P156">
        <f>[1]资金台帐!P156&amp;""</f>
      </c>
      <c r="Q156">
        <f>[1]资金台帐!Q156&amp;""</f>
      </c>
      <c r="T156">
        <f>[1]资金台帐!T156&amp;""</f>
      </c>
      <c r="U156">
        <f>[1]资金台帐!U156&amp;""</f>
      </c>
      <c r="W156">
        <f>[1]资金台帐!W156&amp;""</f>
      </c>
      <c r="X156">
        <f>[1]资金台帐!X156&amp;""</f>
      </c>
      <c r="AB156">
        <f>[1]资金台帐!AB156</f>
        <v>0</v>
      </c>
      <c r="AC156">
        <f>[1]资金台帐!AC156</f>
        <v>0</v>
      </c>
      <c r="AD156">
        <f>[1]资金台帐!AD156</f>
        <v>0</v>
      </c>
      <c r="AJ156">
        <f>[1]资金台帐!AJ156</f>
        <v>0</v>
      </c>
      <c r="AK156">
        <f>[1]资金台帐!AK156</f>
        <v>0</v>
      </c>
      <c r="BA156" s="22">
        <f t="shared" si="0"/>
      </c>
      <c r="BG156" s="22">
        <f t="shared" si="1"/>
      </c>
      <c r="BH156" s="22">
        <f t="shared" si="2"/>
        <v>0</v>
      </c>
    </row>
    <row r="157">
      <c r="B157">
        <f>[1]资金台帐!B157&amp;""</f>
      </c>
      <c r="H157">
        <f>[1]资金台帐!H157&amp;""</f>
      </c>
      <c r="J157">
        <f>[1]资金台帐!J157&amp;""</f>
      </c>
      <c r="N157">
        <f>[1]资金台帐!N157</f>
      </c>
      <c r="O157">
        <f>[1]资金台帐!O157&amp;""</f>
      </c>
      <c r="P157">
        <f>[1]资金台帐!P157&amp;""</f>
      </c>
      <c r="Q157">
        <f>[1]资金台帐!Q157&amp;""</f>
      </c>
      <c r="T157">
        <f>[1]资金台帐!T157&amp;""</f>
      </c>
      <c r="U157">
        <f>[1]资金台帐!U157&amp;""</f>
      </c>
      <c r="W157">
        <f>[1]资金台帐!W157&amp;""</f>
      </c>
      <c r="X157">
        <f>[1]资金台帐!X157&amp;""</f>
      </c>
      <c r="AB157">
        <f>[1]资金台帐!AB157</f>
        <v>0</v>
      </c>
      <c r="AC157">
        <f>[1]资金台帐!AC157</f>
        <v>0</v>
      </c>
      <c r="AD157">
        <f>[1]资金台帐!AD157</f>
        <v>0</v>
      </c>
      <c r="AJ157">
        <f>[1]资金台帐!AJ157</f>
        <v>0</v>
      </c>
      <c r="AK157">
        <f>[1]资金台帐!AK157</f>
        <v>0</v>
      </c>
      <c r="BA157" s="22">
        <f t="shared" si="0"/>
      </c>
      <c r="BG157" s="22">
        <f t="shared" si="1"/>
      </c>
      <c r="BH157" s="22">
        <f t="shared" si="2"/>
        <v>0</v>
      </c>
    </row>
    <row r="158">
      <c r="B158">
        <f>[1]资金台帐!B158&amp;""</f>
      </c>
      <c r="H158">
        <f>[1]资金台帐!H158&amp;""</f>
      </c>
      <c r="J158">
        <f>[1]资金台帐!J158&amp;""</f>
      </c>
      <c r="N158">
        <f>[1]资金台帐!N158</f>
      </c>
      <c r="O158">
        <f>[1]资金台帐!O158&amp;""</f>
      </c>
      <c r="P158">
        <f>[1]资金台帐!P158&amp;""</f>
      </c>
      <c r="Q158">
        <f>[1]资金台帐!Q158&amp;""</f>
      </c>
      <c r="T158">
        <f>[1]资金台帐!T158&amp;""</f>
      </c>
      <c r="U158">
        <f>[1]资金台帐!U158&amp;""</f>
      </c>
      <c r="W158">
        <f>[1]资金台帐!W158&amp;""</f>
      </c>
      <c r="X158">
        <f>[1]资金台帐!X158&amp;""</f>
      </c>
      <c r="AB158">
        <f>[1]资金台帐!AB158</f>
        <v>0</v>
      </c>
      <c r="AC158">
        <f>[1]资金台帐!AC158</f>
        <v>0</v>
      </c>
      <c r="AD158">
        <f>[1]资金台帐!AD158</f>
        <v>0</v>
      </c>
      <c r="AJ158">
        <f>[1]资金台帐!AJ158</f>
        <v>0</v>
      </c>
      <c r="AK158">
        <f>[1]资金台帐!AK158</f>
        <v>0</v>
      </c>
      <c r="BA158" s="22">
        <f t="shared" si="0"/>
      </c>
      <c r="BG158" s="22">
        <f t="shared" si="1"/>
      </c>
      <c r="BH158" s="22">
        <f t="shared" si="2"/>
        <v>0</v>
      </c>
    </row>
    <row r="159">
      <c r="B159">
        <f>[1]资金台帐!B159&amp;""</f>
      </c>
      <c r="H159">
        <f>[1]资金台帐!H159&amp;""</f>
      </c>
      <c r="J159">
        <f>[1]资金台帐!J159&amp;""</f>
      </c>
      <c r="N159">
        <f>[1]资金台帐!N159</f>
      </c>
      <c r="O159">
        <f>[1]资金台帐!O159&amp;""</f>
      </c>
      <c r="P159">
        <f>[1]资金台帐!P159&amp;""</f>
      </c>
      <c r="Q159">
        <f>[1]资金台帐!Q159&amp;""</f>
      </c>
      <c r="T159">
        <f>[1]资金台帐!T159&amp;""</f>
      </c>
      <c r="U159">
        <f>[1]资金台帐!U159&amp;""</f>
      </c>
      <c r="W159">
        <f>[1]资金台帐!W159&amp;""</f>
      </c>
      <c r="X159">
        <f>[1]资金台帐!X159&amp;""</f>
      </c>
      <c r="AB159">
        <f>[1]资金台帐!AB159</f>
        <v>0</v>
      </c>
      <c r="AC159">
        <f>[1]资金台帐!AC159</f>
        <v>0</v>
      </c>
      <c r="AD159">
        <f>[1]资金台帐!AD159</f>
        <v>0</v>
      </c>
      <c r="AJ159">
        <f>[1]资金台帐!AJ159</f>
        <v>0</v>
      </c>
      <c r="AK159">
        <f>[1]资金台帐!AK159</f>
        <v>0</v>
      </c>
      <c r="BA159" s="22">
        <f t="shared" si="0"/>
      </c>
      <c r="BG159" s="22">
        <f t="shared" si="1"/>
      </c>
      <c r="BH159" s="22">
        <f t="shared" si="2"/>
        <v>0</v>
      </c>
    </row>
    <row r="160">
      <c r="B160">
        <f>[1]资金台帐!B160&amp;""</f>
      </c>
      <c r="H160">
        <f>[1]资金台帐!H160&amp;""</f>
      </c>
      <c r="J160">
        <f>[1]资金台帐!J160&amp;""</f>
      </c>
      <c r="N160">
        <f>[1]资金台帐!N160</f>
      </c>
      <c r="O160">
        <f>[1]资金台帐!O160&amp;""</f>
      </c>
      <c r="P160">
        <f>[1]资金台帐!P160&amp;""</f>
      </c>
      <c r="Q160">
        <f>[1]资金台帐!Q160&amp;""</f>
      </c>
      <c r="T160">
        <f>[1]资金台帐!T160&amp;""</f>
      </c>
      <c r="U160">
        <f>[1]资金台帐!U160&amp;""</f>
      </c>
      <c r="W160">
        <f>[1]资金台帐!W160&amp;""</f>
      </c>
      <c r="X160">
        <f>[1]资金台帐!X160&amp;""</f>
      </c>
      <c r="AB160">
        <f>[1]资金台帐!AB160</f>
        <v>0</v>
      </c>
      <c r="AC160">
        <f>[1]资金台帐!AC160</f>
        <v>0</v>
      </c>
      <c r="AD160">
        <f>[1]资金台帐!AD160</f>
        <v>0</v>
      </c>
      <c r="AJ160">
        <f>[1]资金台帐!AJ160</f>
        <v>0</v>
      </c>
      <c r="AK160">
        <f>[1]资金台帐!AK160</f>
        <v>0</v>
      </c>
      <c r="BA160" s="22">
        <f t="shared" si="0"/>
      </c>
      <c r="BG160" s="22">
        <f t="shared" si="1"/>
      </c>
      <c r="BH160" s="22">
        <f t="shared" si="2"/>
        <v>0</v>
      </c>
    </row>
    <row r="161">
      <c r="B161">
        <f>[1]资金台帐!B161&amp;""</f>
      </c>
      <c r="H161">
        <f>[1]资金台帐!H161&amp;""</f>
      </c>
      <c r="J161">
        <f>[1]资金台帐!J161&amp;""</f>
      </c>
      <c r="N161">
        <f>[1]资金台帐!N161</f>
      </c>
      <c r="O161">
        <f>[1]资金台帐!O161&amp;""</f>
      </c>
      <c r="P161">
        <f>[1]资金台帐!P161&amp;""</f>
      </c>
      <c r="Q161">
        <f>[1]资金台帐!Q161&amp;""</f>
      </c>
      <c r="T161">
        <f>[1]资金台帐!T161&amp;""</f>
      </c>
      <c r="U161">
        <f>[1]资金台帐!U161&amp;""</f>
      </c>
      <c r="W161">
        <f>[1]资金台帐!W161&amp;""</f>
      </c>
      <c r="X161">
        <f>[1]资金台帐!X161&amp;""</f>
      </c>
      <c r="AB161">
        <f>[1]资金台帐!AB161</f>
        <v>0</v>
      </c>
      <c r="AC161">
        <f>[1]资金台帐!AC161</f>
        <v>0</v>
      </c>
      <c r="AD161">
        <f>[1]资金台帐!AD161</f>
        <v>0</v>
      </c>
      <c r="AJ161">
        <f>[1]资金台帐!AJ161</f>
        <v>0</v>
      </c>
      <c r="AK161">
        <f>[1]资金台帐!AK161</f>
        <v>0</v>
      </c>
      <c r="BA161" s="22">
        <f t="shared" si="0"/>
      </c>
      <c r="BG161" s="22">
        <f t="shared" si="1"/>
      </c>
      <c r="BH161" s="22">
        <f t="shared" si="2"/>
        <v>0</v>
      </c>
    </row>
    <row r="162">
      <c r="B162">
        <f>[1]资金台帐!B162&amp;""</f>
      </c>
      <c r="H162">
        <f>[1]资金台帐!H162&amp;""</f>
      </c>
      <c r="J162">
        <f>[1]资金台帐!J162&amp;""</f>
      </c>
      <c r="N162">
        <f>[1]资金台帐!N162</f>
      </c>
      <c r="O162">
        <f>[1]资金台帐!O162&amp;""</f>
      </c>
      <c r="P162">
        <f>[1]资金台帐!P162&amp;""</f>
      </c>
      <c r="Q162">
        <f>[1]资金台帐!Q162&amp;""</f>
      </c>
      <c r="T162">
        <f>[1]资金台帐!T162&amp;""</f>
      </c>
      <c r="U162">
        <f>[1]资金台帐!U162&amp;""</f>
      </c>
      <c r="W162">
        <f>[1]资金台帐!W162&amp;""</f>
      </c>
      <c r="X162">
        <f>[1]资金台帐!X162&amp;""</f>
      </c>
      <c r="AB162">
        <f>[1]资金台帐!AB162</f>
        <v>0</v>
      </c>
      <c r="AC162">
        <f>[1]资金台帐!AC162</f>
        <v>0</v>
      </c>
      <c r="AD162">
        <f>[1]资金台帐!AD162</f>
        <v>0</v>
      </c>
      <c r="AJ162">
        <f>[1]资金台帐!AJ162</f>
        <v>0</v>
      </c>
      <c r="AK162">
        <f>[1]资金台帐!AK162</f>
        <v>0</v>
      </c>
      <c r="BA162" s="22">
        <f t="shared" si="0"/>
      </c>
      <c r="BG162" s="22">
        <f t="shared" si="1"/>
      </c>
      <c r="BH162" s="22">
        <f t="shared" si="2"/>
        <v>0</v>
      </c>
    </row>
    <row r="163">
      <c r="B163">
        <f>[1]资金台帐!B163&amp;""</f>
      </c>
      <c r="H163">
        <f>[1]资金台帐!H163&amp;""</f>
      </c>
      <c r="J163">
        <f>[1]资金台帐!J163&amp;""</f>
      </c>
      <c r="N163">
        <f>[1]资金台帐!N163</f>
      </c>
      <c r="O163">
        <f>[1]资金台帐!O163&amp;""</f>
      </c>
      <c r="P163">
        <f>[1]资金台帐!P163&amp;""</f>
      </c>
      <c r="Q163">
        <f>[1]资金台帐!Q163&amp;""</f>
      </c>
      <c r="T163">
        <f>[1]资金台帐!T163&amp;""</f>
      </c>
      <c r="U163">
        <f>[1]资金台帐!U163&amp;""</f>
      </c>
      <c r="W163">
        <f>[1]资金台帐!W163&amp;""</f>
      </c>
      <c r="X163">
        <f>[1]资金台帐!X163&amp;""</f>
      </c>
      <c r="AB163">
        <f>[1]资金台帐!AB163</f>
        <v>0</v>
      </c>
      <c r="AC163">
        <f>[1]资金台帐!AC163</f>
        <v>0</v>
      </c>
      <c r="AD163">
        <f>[1]资金台帐!AD163</f>
        <v>0</v>
      </c>
      <c r="AJ163">
        <f>[1]资金台帐!AJ163</f>
        <v>0</v>
      </c>
      <c r="AK163">
        <f>[1]资金台帐!AK163</f>
        <v>0</v>
      </c>
      <c r="BA163" s="22">
        <f t="shared" si="0"/>
      </c>
      <c r="BG163" s="22">
        <f t="shared" si="1"/>
      </c>
      <c r="BH163" s="22">
        <f t="shared" si="2"/>
        <v>0</v>
      </c>
    </row>
    <row r="164">
      <c r="B164">
        <f>[1]资金台帐!B164&amp;""</f>
      </c>
      <c r="H164">
        <f>[1]资金台帐!H164&amp;""</f>
      </c>
      <c r="J164">
        <f>[1]资金台帐!J164&amp;""</f>
      </c>
      <c r="N164">
        <f>[1]资金台帐!N164</f>
      </c>
      <c r="O164">
        <f>[1]资金台帐!O164&amp;""</f>
      </c>
      <c r="P164">
        <f>[1]资金台帐!P164&amp;""</f>
      </c>
      <c r="Q164">
        <f>[1]资金台帐!Q164&amp;""</f>
      </c>
      <c r="T164">
        <f>[1]资金台帐!T164&amp;""</f>
      </c>
      <c r="U164">
        <f>[1]资金台帐!U164&amp;""</f>
      </c>
      <c r="W164">
        <f>[1]资金台帐!W164&amp;""</f>
      </c>
      <c r="X164">
        <f>[1]资金台帐!X164&amp;""</f>
      </c>
      <c r="AB164">
        <f>[1]资金台帐!AB164</f>
        <v>0</v>
      </c>
      <c r="AC164">
        <f>[1]资金台帐!AC164</f>
        <v>0</v>
      </c>
      <c r="AD164">
        <f>[1]资金台帐!AD164</f>
        <v>0</v>
      </c>
      <c r="AJ164">
        <f>[1]资金台帐!AJ164</f>
        <v>0</v>
      </c>
      <c r="AK164">
        <f>[1]资金台帐!AK164</f>
        <v>0</v>
      </c>
      <c r="BA164" s="22">
        <f t="shared" si="0"/>
      </c>
      <c r="BG164" s="22">
        <f t="shared" si="1"/>
      </c>
      <c r="BH164" s="22">
        <f t="shared" si="2"/>
        <v>0</v>
      </c>
    </row>
    <row r="165">
      <c r="B165">
        <f>[1]资金台帐!B165&amp;""</f>
      </c>
      <c r="H165">
        <f>[1]资金台帐!H165&amp;""</f>
      </c>
      <c r="J165">
        <f>[1]资金台帐!J165&amp;""</f>
      </c>
      <c r="N165">
        <f>[1]资金台帐!N165</f>
      </c>
      <c r="O165">
        <f>[1]资金台帐!O165&amp;""</f>
      </c>
      <c r="P165">
        <f>[1]资金台帐!P165&amp;""</f>
      </c>
      <c r="Q165">
        <f>[1]资金台帐!Q165&amp;""</f>
      </c>
      <c r="T165">
        <f>[1]资金台帐!T165&amp;""</f>
      </c>
      <c r="U165">
        <f>[1]资金台帐!U165&amp;""</f>
      </c>
      <c r="W165">
        <f>[1]资金台帐!W165&amp;""</f>
      </c>
      <c r="X165">
        <f>[1]资金台帐!X165&amp;""</f>
      </c>
      <c r="AB165">
        <f>[1]资金台帐!AB165</f>
        <v>0</v>
      </c>
      <c r="AC165">
        <f>[1]资金台帐!AC165</f>
        <v>0</v>
      </c>
      <c r="AD165">
        <f>[1]资金台帐!AD165</f>
        <v>0</v>
      </c>
      <c r="AJ165">
        <f>[1]资金台帐!AJ165</f>
        <v>0</v>
      </c>
      <c r="AK165">
        <f>[1]资金台帐!AK165</f>
        <v>0</v>
      </c>
      <c r="BA165" s="22">
        <f t="shared" si="0"/>
      </c>
      <c r="BG165" s="22">
        <f t="shared" si="1"/>
      </c>
      <c r="BH165" s="22">
        <f t="shared" si="2"/>
        <v>0</v>
      </c>
    </row>
    <row r="166">
      <c r="B166">
        <f>[1]资金台帐!B166&amp;""</f>
      </c>
      <c r="H166">
        <f>[1]资金台帐!H166&amp;""</f>
      </c>
      <c r="J166">
        <f>[1]资金台帐!J166&amp;""</f>
      </c>
      <c r="N166">
        <f>[1]资金台帐!N166</f>
      </c>
      <c r="O166">
        <f>[1]资金台帐!O166&amp;""</f>
      </c>
      <c r="P166">
        <f>[1]资金台帐!P166&amp;""</f>
      </c>
      <c r="Q166">
        <f>[1]资金台帐!Q166&amp;""</f>
      </c>
      <c r="T166">
        <f>[1]资金台帐!T166&amp;""</f>
      </c>
      <c r="U166">
        <f>[1]资金台帐!U166&amp;""</f>
      </c>
      <c r="W166">
        <f>[1]资金台帐!W166&amp;""</f>
      </c>
      <c r="X166">
        <f>[1]资金台帐!X166&amp;""</f>
      </c>
      <c r="AB166">
        <f>[1]资金台帐!AB166</f>
        <v>0</v>
      </c>
      <c r="AC166">
        <f>[1]资金台帐!AC166</f>
        <v>0</v>
      </c>
      <c r="AD166">
        <f>[1]资金台帐!AD166</f>
        <v>0</v>
      </c>
      <c r="AJ166">
        <f>[1]资金台帐!AJ166</f>
        <v>0</v>
      </c>
      <c r="AK166">
        <f>[1]资金台帐!AK166</f>
        <v>0</v>
      </c>
      <c r="BA166" s="22">
        <f t="shared" si="0"/>
      </c>
      <c r="BG166" s="22">
        <f t="shared" si="1"/>
      </c>
      <c r="BH166" s="22">
        <f t="shared" si="2"/>
        <v>0</v>
      </c>
    </row>
    <row r="167">
      <c r="B167">
        <f>[1]资金台帐!B167&amp;""</f>
      </c>
      <c r="H167">
        <f>[1]资金台帐!H167&amp;""</f>
      </c>
      <c r="J167">
        <f>[1]资金台帐!J167&amp;""</f>
      </c>
      <c r="N167">
        <f>[1]资金台帐!N167</f>
      </c>
      <c r="O167">
        <f>[1]资金台帐!O167&amp;""</f>
      </c>
      <c r="P167">
        <f>[1]资金台帐!P167&amp;""</f>
      </c>
      <c r="Q167">
        <f>[1]资金台帐!Q167&amp;""</f>
      </c>
      <c r="T167">
        <f>[1]资金台帐!T167&amp;""</f>
      </c>
      <c r="U167">
        <f>[1]资金台帐!U167&amp;""</f>
      </c>
      <c r="W167">
        <f>[1]资金台帐!W167&amp;""</f>
      </c>
      <c r="X167">
        <f>[1]资金台帐!X167&amp;""</f>
      </c>
      <c r="AB167">
        <f>[1]资金台帐!AB167</f>
        <v>0</v>
      </c>
      <c r="AC167">
        <f>[1]资金台帐!AC167</f>
        <v>0</v>
      </c>
      <c r="AD167">
        <f>[1]资金台帐!AD167</f>
        <v>0</v>
      </c>
      <c r="AJ167">
        <f>[1]资金台帐!AJ167</f>
        <v>0</v>
      </c>
      <c r="AK167">
        <f>[1]资金台帐!AK167</f>
        <v>0</v>
      </c>
      <c r="BA167" s="22">
        <f t="shared" si="0"/>
      </c>
      <c r="BG167" s="22">
        <f t="shared" si="1"/>
      </c>
      <c r="BH167" s="22">
        <f t="shared" si="2"/>
        <v>0</v>
      </c>
    </row>
    <row r="168">
      <c r="B168">
        <f>[1]资金台帐!B168&amp;""</f>
      </c>
      <c r="H168">
        <f>[1]资金台帐!H168&amp;""</f>
      </c>
      <c r="J168">
        <f>[1]资金台帐!J168&amp;""</f>
      </c>
      <c r="N168">
        <f>[1]资金台帐!N168</f>
      </c>
      <c r="O168">
        <f>[1]资金台帐!O168&amp;""</f>
      </c>
      <c r="P168">
        <f>[1]资金台帐!P168&amp;""</f>
      </c>
      <c r="Q168">
        <f>[1]资金台帐!Q168&amp;""</f>
      </c>
      <c r="T168">
        <f>[1]资金台帐!T168&amp;""</f>
      </c>
      <c r="U168">
        <f>[1]资金台帐!U168&amp;""</f>
      </c>
      <c r="W168">
        <f>[1]资金台帐!W168&amp;""</f>
      </c>
      <c r="X168">
        <f>[1]资金台帐!X168&amp;""</f>
      </c>
      <c r="AB168">
        <f>[1]资金台帐!AB168</f>
        <v>0</v>
      </c>
      <c r="AC168">
        <f>[1]资金台帐!AC168</f>
        <v>0</v>
      </c>
      <c r="AD168">
        <f>[1]资金台帐!AD168</f>
        <v>0</v>
      </c>
      <c r="AJ168">
        <f>[1]资金台帐!AJ168</f>
        <v>0</v>
      </c>
      <c r="AK168">
        <f>[1]资金台帐!AK168</f>
        <v>0</v>
      </c>
      <c r="BA168" s="22">
        <f t="shared" si="0"/>
      </c>
      <c r="BG168" s="22">
        <f t="shared" si="1"/>
      </c>
      <c r="BH168" s="22">
        <f t="shared" si="2"/>
        <v>0</v>
      </c>
    </row>
    <row r="169">
      <c r="B169">
        <f>[1]资金台帐!B169&amp;""</f>
      </c>
      <c r="H169">
        <f>[1]资金台帐!H169&amp;""</f>
      </c>
      <c r="J169">
        <f>[1]资金台帐!J169&amp;""</f>
      </c>
      <c r="N169">
        <f>[1]资金台帐!N169</f>
      </c>
      <c r="O169">
        <f>[1]资金台帐!O169&amp;""</f>
      </c>
      <c r="P169">
        <f>[1]资金台帐!P169&amp;""</f>
      </c>
      <c r="Q169">
        <f>[1]资金台帐!Q169&amp;""</f>
      </c>
      <c r="T169">
        <f>[1]资金台帐!T169&amp;""</f>
      </c>
      <c r="U169">
        <f>[1]资金台帐!U169&amp;""</f>
      </c>
      <c r="W169">
        <f>[1]资金台帐!W169&amp;""</f>
      </c>
      <c r="X169">
        <f>[1]资金台帐!X169&amp;""</f>
      </c>
      <c r="AB169">
        <f>[1]资金台帐!AB169</f>
        <v>0</v>
      </c>
      <c r="AC169">
        <f>[1]资金台帐!AC169</f>
        <v>0</v>
      </c>
      <c r="AD169">
        <f>[1]资金台帐!AD169</f>
        <v>0</v>
      </c>
      <c r="AJ169">
        <f>[1]资金台帐!AJ169</f>
        <v>0</v>
      </c>
      <c r="AK169">
        <f>[1]资金台帐!AK169</f>
        <v>0</v>
      </c>
      <c r="BA169" s="22">
        <f t="shared" si="0"/>
      </c>
      <c r="BG169" s="22">
        <f t="shared" si="1"/>
      </c>
      <c r="BH169" s="22">
        <f t="shared" si="2"/>
        <v>0</v>
      </c>
    </row>
    <row r="170">
      <c r="B170">
        <f>[1]资金台帐!B170&amp;""</f>
      </c>
      <c r="H170">
        <f>[1]资金台帐!H170&amp;""</f>
      </c>
      <c r="J170">
        <f>[1]资金台帐!J170&amp;""</f>
      </c>
      <c r="N170">
        <f>[1]资金台帐!N170</f>
      </c>
      <c r="O170">
        <f>[1]资金台帐!O170&amp;""</f>
      </c>
      <c r="P170">
        <f>[1]资金台帐!P170&amp;""</f>
      </c>
      <c r="Q170">
        <f>[1]资金台帐!Q170&amp;""</f>
      </c>
      <c r="T170">
        <f>[1]资金台帐!T170&amp;""</f>
      </c>
      <c r="U170">
        <f>[1]资金台帐!U170&amp;""</f>
      </c>
      <c r="W170">
        <f>[1]资金台帐!W170&amp;""</f>
      </c>
      <c r="X170">
        <f>[1]资金台帐!X170&amp;""</f>
      </c>
      <c r="AB170">
        <f>[1]资金台帐!AB170</f>
        <v>0</v>
      </c>
      <c r="AC170">
        <f>[1]资金台帐!AC170</f>
        <v>0</v>
      </c>
      <c r="AD170">
        <f>[1]资金台帐!AD170</f>
        <v>0</v>
      </c>
      <c r="AJ170">
        <f>[1]资金台帐!AJ170</f>
        <v>0</v>
      </c>
      <c r="AK170">
        <f>[1]资金台帐!AK170</f>
        <v>0</v>
      </c>
      <c r="BA170" s="22">
        <f t="shared" si="0"/>
      </c>
      <c r="BG170" s="22">
        <f t="shared" si="1"/>
      </c>
      <c r="BH170" s="22">
        <f t="shared" si="2"/>
        <v>0</v>
      </c>
    </row>
    <row r="171">
      <c r="B171">
        <f>[1]资金台帐!B171&amp;""</f>
      </c>
      <c r="H171">
        <f>[1]资金台帐!H171&amp;""</f>
      </c>
      <c r="J171">
        <f>[1]资金台帐!J171&amp;""</f>
      </c>
      <c r="N171">
        <f>[1]资金台帐!N171</f>
      </c>
      <c r="O171">
        <f>[1]资金台帐!O171&amp;""</f>
      </c>
      <c r="P171">
        <f>[1]资金台帐!P171&amp;""</f>
      </c>
      <c r="Q171">
        <f>[1]资金台帐!Q171&amp;""</f>
      </c>
      <c r="T171">
        <f>[1]资金台帐!T171&amp;""</f>
      </c>
      <c r="U171">
        <f>[1]资金台帐!U171&amp;""</f>
      </c>
      <c r="W171">
        <f>[1]资金台帐!W171&amp;""</f>
      </c>
      <c r="X171">
        <f>[1]资金台帐!X171&amp;""</f>
      </c>
      <c r="AB171">
        <f>[1]资金台帐!AB171</f>
        <v>0</v>
      </c>
      <c r="AC171">
        <f>[1]资金台帐!AC171</f>
        <v>0</v>
      </c>
      <c r="AD171">
        <f>[1]资金台帐!AD171</f>
        <v>0</v>
      </c>
      <c r="AJ171">
        <f>[1]资金台帐!AJ171</f>
        <v>0</v>
      </c>
      <c r="AK171">
        <f>[1]资金台帐!AK171</f>
        <v>0</v>
      </c>
      <c r="BA171" s="22">
        <f t="shared" si="0"/>
      </c>
      <c r="BG171" s="22">
        <f t="shared" si="1"/>
      </c>
      <c r="BH171" s="22">
        <f t="shared" si="2"/>
        <v>0</v>
      </c>
    </row>
    <row r="172">
      <c r="B172">
        <f>[1]资金台帐!B172&amp;""</f>
      </c>
      <c r="H172">
        <f>[1]资金台帐!H172&amp;""</f>
      </c>
      <c r="J172">
        <f>[1]资金台帐!J172&amp;""</f>
      </c>
      <c r="N172">
        <f>[1]资金台帐!N172</f>
      </c>
      <c r="O172">
        <f>[1]资金台帐!O172&amp;""</f>
      </c>
      <c r="P172">
        <f>[1]资金台帐!P172&amp;""</f>
      </c>
      <c r="Q172">
        <f>[1]资金台帐!Q172&amp;""</f>
      </c>
      <c r="T172">
        <f>[1]资金台帐!T172&amp;""</f>
      </c>
      <c r="U172">
        <f>[1]资金台帐!U172&amp;""</f>
      </c>
      <c r="W172">
        <f>[1]资金台帐!W172&amp;""</f>
      </c>
      <c r="X172">
        <f>[1]资金台帐!X172&amp;""</f>
      </c>
      <c r="AB172">
        <f>[1]资金台帐!AB172</f>
        <v>0</v>
      </c>
      <c r="AC172">
        <f>[1]资金台帐!AC172</f>
        <v>0</v>
      </c>
      <c r="AD172">
        <f>[1]资金台帐!AD172</f>
        <v>0</v>
      </c>
      <c r="AJ172">
        <f>[1]资金台帐!AJ172</f>
        <v>0</v>
      </c>
      <c r="AK172">
        <f>[1]资金台帐!AK172</f>
        <v>0</v>
      </c>
      <c r="BA172" s="22">
        <f t="shared" si="0"/>
      </c>
      <c r="BG172" s="22">
        <f t="shared" si="1"/>
      </c>
      <c r="BH172" s="22">
        <f t="shared" si="2"/>
        <v>0</v>
      </c>
    </row>
    <row r="173">
      <c r="B173">
        <f>[1]资金台帐!B173&amp;""</f>
      </c>
      <c r="H173">
        <f>[1]资金台帐!H173&amp;""</f>
      </c>
      <c r="J173">
        <f>[1]资金台帐!J173&amp;""</f>
      </c>
      <c r="N173">
        <f>[1]资金台帐!N173</f>
      </c>
      <c r="O173">
        <f>[1]资金台帐!O173&amp;""</f>
      </c>
      <c r="P173">
        <f>[1]资金台帐!P173&amp;""</f>
      </c>
      <c r="Q173">
        <f>[1]资金台帐!Q173&amp;""</f>
      </c>
      <c r="T173">
        <f>[1]资金台帐!T173&amp;""</f>
      </c>
      <c r="U173">
        <f>[1]资金台帐!U173&amp;""</f>
      </c>
      <c r="W173">
        <f>[1]资金台帐!W173&amp;""</f>
      </c>
      <c r="X173">
        <f>[1]资金台帐!X173&amp;""</f>
      </c>
      <c r="AB173">
        <f>[1]资金台帐!AB173</f>
        <v>0</v>
      </c>
      <c r="AC173">
        <f>[1]资金台帐!AC173</f>
        <v>0</v>
      </c>
      <c r="AD173">
        <f>[1]资金台帐!AD173</f>
        <v>0</v>
      </c>
      <c r="AJ173">
        <f>[1]资金台帐!AJ173</f>
        <v>0</v>
      </c>
      <c r="AK173">
        <f>[1]资金台帐!AK173</f>
        <v>0</v>
      </c>
      <c r="BA173" s="22">
        <f t="shared" si="0"/>
      </c>
      <c r="BG173" s="22">
        <f t="shared" si="1"/>
      </c>
      <c r="BH173" s="22">
        <f t="shared" si="2"/>
        <v>0</v>
      </c>
    </row>
    <row r="174">
      <c r="B174">
        <f>[1]资金台帐!B174&amp;""</f>
      </c>
      <c r="H174">
        <f>[1]资金台帐!H174&amp;""</f>
      </c>
      <c r="J174">
        <f>[1]资金台帐!J174&amp;""</f>
      </c>
      <c r="N174">
        <f>[1]资金台帐!N174</f>
      </c>
      <c r="O174">
        <f>[1]资金台帐!O174&amp;""</f>
      </c>
      <c r="P174">
        <f>[1]资金台帐!P174&amp;""</f>
      </c>
      <c r="Q174">
        <f>[1]资金台帐!Q174&amp;""</f>
      </c>
      <c r="T174">
        <f>[1]资金台帐!T174&amp;""</f>
      </c>
      <c r="U174">
        <f>[1]资金台帐!U174&amp;""</f>
      </c>
      <c r="W174">
        <f>[1]资金台帐!W174&amp;""</f>
      </c>
      <c r="X174">
        <f>[1]资金台帐!X174&amp;""</f>
      </c>
      <c r="AB174">
        <f>[1]资金台帐!AB174</f>
        <v>0</v>
      </c>
      <c r="AC174">
        <f>[1]资金台帐!AC174</f>
        <v>0</v>
      </c>
      <c r="AD174">
        <f>[1]资金台帐!AD174</f>
        <v>0</v>
      </c>
      <c r="AJ174">
        <f>[1]资金台帐!AJ174</f>
        <v>0</v>
      </c>
      <c r="AK174">
        <f>[1]资金台帐!AK174</f>
        <v>0</v>
      </c>
      <c r="BA174" s="22">
        <f t="shared" si="0"/>
      </c>
      <c r="BG174" s="22">
        <f t="shared" si="1"/>
      </c>
      <c r="BH174" s="22">
        <f t="shared" si="2"/>
        <v>0</v>
      </c>
    </row>
    <row r="175">
      <c r="B175">
        <f>[1]资金台帐!B175&amp;""</f>
      </c>
      <c r="H175">
        <f>[1]资金台帐!H175&amp;""</f>
      </c>
      <c r="J175">
        <f>[1]资金台帐!J175&amp;""</f>
      </c>
      <c r="N175">
        <f>[1]资金台帐!N175</f>
      </c>
      <c r="O175">
        <f>[1]资金台帐!O175&amp;""</f>
      </c>
      <c r="P175">
        <f>[1]资金台帐!P175&amp;""</f>
      </c>
      <c r="Q175">
        <f>[1]资金台帐!Q175&amp;""</f>
      </c>
      <c r="T175">
        <f>[1]资金台帐!T175&amp;""</f>
      </c>
      <c r="U175">
        <f>[1]资金台帐!U175&amp;""</f>
      </c>
      <c r="W175">
        <f>[1]资金台帐!W175&amp;""</f>
      </c>
      <c r="X175">
        <f>[1]资金台帐!X175&amp;""</f>
      </c>
      <c r="AB175">
        <f>[1]资金台帐!AB175</f>
        <v>0</v>
      </c>
      <c r="AC175">
        <f>[1]资金台帐!AC175</f>
        <v>0</v>
      </c>
      <c r="AD175">
        <f>[1]资金台帐!AD175</f>
        <v>0</v>
      </c>
      <c r="AJ175">
        <f>[1]资金台帐!AJ175</f>
        <v>0</v>
      </c>
      <c r="AK175">
        <f>[1]资金台帐!AK175</f>
        <v>0</v>
      </c>
      <c r="BA175" s="22">
        <f t="shared" si="0"/>
      </c>
      <c r="BG175" s="22">
        <f t="shared" si="1"/>
      </c>
      <c r="BH175" s="22">
        <f t="shared" si="2"/>
        <v>0</v>
      </c>
    </row>
    <row r="176">
      <c r="B176">
        <f>[1]资金台帐!B176&amp;""</f>
      </c>
      <c r="H176">
        <f>[1]资金台帐!H176&amp;""</f>
      </c>
      <c r="J176">
        <f>[1]资金台帐!J176&amp;""</f>
      </c>
      <c r="N176">
        <f>[1]资金台帐!N176</f>
      </c>
      <c r="O176">
        <f>[1]资金台帐!O176&amp;""</f>
      </c>
      <c r="P176">
        <f>[1]资金台帐!P176&amp;""</f>
      </c>
      <c r="Q176">
        <f>[1]资金台帐!Q176&amp;""</f>
      </c>
      <c r="T176">
        <f>[1]资金台帐!T176&amp;""</f>
      </c>
      <c r="U176">
        <f>[1]资金台帐!U176&amp;""</f>
      </c>
      <c r="W176">
        <f>[1]资金台帐!W176&amp;""</f>
      </c>
      <c r="X176">
        <f>[1]资金台帐!X176&amp;""</f>
      </c>
      <c r="AB176">
        <f>[1]资金台帐!AB176</f>
        <v>0</v>
      </c>
      <c r="AC176">
        <f>[1]资金台帐!AC176</f>
        <v>0</v>
      </c>
      <c r="AD176">
        <f>[1]资金台帐!AD176</f>
        <v>0</v>
      </c>
      <c r="AJ176">
        <f>[1]资金台帐!AJ176</f>
        <v>0</v>
      </c>
      <c r="AK176">
        <f>[1]资金台帐!AK176</f>
        <v>0</v>
      </c>
      <c r="BA176" s="22">
        <f t="shared" si="0"/>
      </c>
      <c r="BG176" s="22">
        <f t="shared" si="1"/>
      </c>
      <c r="BH176" s="22">
        <f t="shared" si="2"/>
        <v>0</v>
      </c>
    </row>
    <row r="177">
      <c r="B177">
        <f>[1]资金台帐!B177&amp;""</f>
      </c>
      <c r="H177">
        <f>[1]资金台帐!H177&amp;""</f>
      </c>
      <c r="J177">
        <f>[1]资金台帐!J177&amp;""</f>
      </c>
      <c r="N177">
        <f>[1]资金台帐!N177</f>
      </c>
      <c r="O177">
        <f>[1]资金台帐!O177&amp;""</f>
      </c>
      <c r="P177">
        <f>[1]资金台帐!P177&amp;""</f>
      </c>
      <c r="Q177">
        <f>[1]资金台帐!Q177&amp;""</f>
      </c>
      <c r="T177">
        <f>[1]资金台帐!T177&amp;""</f>
      </c>
      <c r="U177">
        <f>[1]资金台帐!U177&amp;""</f>
      </c>
      <c r="W177">
        <f>[1]资金台帐!W177&amp;""</f>
      </c>
      <c r="X177">
        <f>[1]资金台帐!X177&amp;""</f>
      </c>
      <c r="AB177">
        <f>[1]资金台帐!AB177</f>
        <v>0</v>
      </c>
      <c r="AC177">
        <f>[1]资金台帐!AC177</f>
        <v>0</v>
      </c>
      <c r="AD177">
        <f>[1]资金台帐!AD177</f>
        <v>0</v>
      </c>
      <c r="AJ177">
        <f>[1]资金台帐!AJ177</f>
        <v>0</v>
      </c>
      <c r="AK177">
        <f>[1]资金台帐!AK177</f>
        <v>0</v>
      </c>
      <c r="BA177" s="22">
        <f t="shared" si="0"/>
      </c>
      <c r="BG177" s="22">
        <f t="shared" si="1"/>
      </c>
      <c r="BH177" s="22">
        <f t="shared" si="2"/>
        <v>0</v>
      </c>
    </row>
    <row r="178">
      <c r="B178">
        <f>[1]资金台帐!B178&amp;""</f>
      </c>
      <c r="H178">
        <f>[1]资金台帐!H178&amp;""</f>
      </c>
      <c r="J178">
        <f>[1]资金台帐!J178&amp;""</f>
      </c>
      <c r="N178">
        <f>[1]资金台帐!N178</f>
      </c>
      <c r="O178">
        <f>[1]资金台帐!O178&amp;""</f>
      </c>
      <c r="P178">
        <f>[1]资金台帐!P178&amp;""</f>
      </c>
      <c r="Q178">
        <f>[1]资金台帐!Q178&amp;""</f>
      </c>
      <c r="T178">
        <f>[1]资金台帐!T178&amp;""</f>
      </c>
      <c r="U178">
        <f>[1]资金台帐!U178&amp;""</f>
      </c>
      <c r="W178">
        <f>[1]资金台帐!W178&amp;""</f>
      </c>
      <c r="X178">
        <f>[1]资金台帐!X178&amp;""</f>
      </c>
      <c r="AB178">
        <f>[1]资金台帐!AB178</f>
        <v>0</v>
      </c>
      <c r="AC178">
        <f>[1]资金台帐!AC178</f>
        <v>0</v>
      </c>
      <c r="AD178">
        <f>[1]资金台帐!AD178</f>
        <v>0</v>
      </c>
      <c r="AJ178">
        <f>[1]资金台帐!AJ178</f>
        <v>0</v>
      </c>
      <c r="AK178">
        <f>[1]资金台帐!AK178</f>
        <v>0</v>
      </c>
      <c r="BA178" s="22">
        <f t="shared" si="0"/>
      </c>
      <c r="BG178" s="22">
        <f t="shared" si="1"/>
      </c>
      <c r="BH178" s="22">
        <f t="shared" si="2"/>
        <v>0</v>
      </c>
    </row>
    <row r="179">
      <c r="B179">
        <f>[1]资金台帐!B179&amp;""</f>
      </c>
      <c r="H179">
        <f>[1]资金台帐!H179&amp;""</f>
      </c>
      <c r="J179">
        <f>[1]资金台帐!J179&amp;""</f>
      </c>
      <c r="N179">
        <f>[1]资金台帐!N179</f>
      </c>
      <c r="O179">
        <f>[1]资金台帐!O179&amp;""</f>
      </c>
      <c r="P179">
        <f>[1]资金台帐!P179&amp;""</f>
      </c>
      <c r="Q179">
        <f>[1]资金台帐!Q179&amp;""</f>
      </c>
      <c r="T179">
        <f>[1]资金台帐!T179&amp;""</f>
      </c>
      <c r="U179">
        <f>[1]资金台帐!U179&amp;""</f>
      </c>
      <c r="W179">
        <f>[1]资金台帐!W179&amp;""</f>
      </c>
      <c r="X179">
        <f>[1]资金台帐!X179&amp;""</f>
      </c>
      <c r="AB179">
        <f>[1]资金台帐!AB179</f>
        <v>0</v>
      </c>
      <c r="AC179">
        <f>[1]资金台帐!AC179</f>
        <v>0</v>
      </c>
      <c r="AD179">
        <f>[1]资金台帐!AD179</f>
        <v>0</v>
      </c>
      <c r="AJ179">
        <f>[1]资金台帐!AJ179</f>
        <v>0</v>
      </c>
      <c r="AK179">
        <f>[1]资金台帐!AK179</f>
        <v>0</v>
      </c>
      <c r="BA179" s="22">
        <f t="shared" si="0"/>
      </c>
      <c r="BG179" s="22">
        <f t="shared" si="1"/>
      </c>
      <c r="BH179" s="22">
        <f t="shared" si="2"/>
        <v>0</v>
      </c>
    </row>
    <row r="180">
      <c r="B180">
        <f>[1]资金台帐!B180&amp;""</f>
      </c>
      <c r="H180">
        <f>[1]资金台帐!H180&amp;""</f>
      </c>
      <c r="J180">
        <f>[1]资金台帐!J180&amp;""</f>
      </c>
      <c r="N180">
        <f>[1]资金台帐!N180</f>
      </c>
      <c r="O180">
        <f>[1]资金台帐!O180&amp;""</f>
      </c>
      <c r="P180">
        <f>[1]资金台帐!P180&amp;""</f>
      </c>
      <c r="Q180">
        <f>[1]资金台帐!Q180&amp;""</f>
      </c>
      <c r="T180">
        <f>[1]资金台帐!T180&amp;""</f>
      </c>
      <c r="U180">
        <f>[1]资金台帐!U180&amp;""</f>
      </c>
      <c r="W180">
        <f>[1]资金台帐!W180&amp;""</f>
      </c>
      <c r="X180">
        <f>[1]资金台帐!X180&amp;""</f>
      </c>
      <c r="AB180">
        <f>[1]资金台帐!AB180</f>
        <v>0</v>
      </c>
      <c r="AC180">
        <f>[1]资金台帐!AC180</f>
        <v>0</v>
      </c>
      <c r="AD180">
        <f>[1]资金台帐!AD180</f>
        <v>0</v>
      </c>
      <c r="AJ180">
        <f>[1]资金台帐!AJ180</f>
        <v>0</v>
      </c>
      <c r="AK180">
        <f>[1]资金台帐!AK180</f>
        <v>0</v>
      </c>
      <c r="BA180" s="22">
        <f t="shared" si="0"/>
      </c>
      <c r="BG180" s="22">
        <f t="shared" si="1"/>
      </c>
      <c r="BH180" s="22">
        <f t="shared" si="2"/>
        <v>0</v>
      </c>
    </row>
    <row r="181">
      <c r="B181">
        <f>[1]资金台帐!B181&amp;""</f>
      </c>
      <c r="H181">
        <f>[1]资金台帐!H181&amp;""</f>
      </c>
      <c r="J181">
        <f>[1]资金台帐!J181&amp;""</f>
      </c>
      <c r="N181">
        <f>[1]资金台帐!N181</f>
      </c>
      <c r="O181">
        <f>[1]资金台帐!O181&amp;""</f>
      </c>
      <c r="P181">
        <f>[1]资金台帐!P181&amp;""</f>
      </c>
      <c r="Q181">
        <f>[1]资金台帐!Q181&amp;""</f>
      </c>
      <c r="T181">
        <f>[1]资金台帐!T181&amp;""</f>
      </c>
      <c r="U181">
        <f>[1]资金台帐!U181&amp;""</f>
      </c>
      <c r="W181">
        <f>[1]资金台帐!W181&amp;""</f>
      </c>
      <c r="X181">
        <f>[1]资金台帐!X181&amp;""</f>
      </c>
      <c r="AB181">
        <f>[1]资金台帐!AB181</f>
        <v>0</v>
      </c>
      <c r="AC181">
        <f>[1]资金台帐!AC181</f>
        <v>0</v>
      </c>
      <c r="AD181">
        <f>[1]资金台帐!AD181</f>
        <v>0</v>
      </c>
      <c r="AJ181">
        <f>[1]资金台帐!AJ181</f>
        <v>0</v>
      </c>
      <c r="AK181">
        <f>[1]资金台帐!AK181</f>
        <v>0</v>
      </c>
      <c r="BA181" s="22">
        <f t="shared" si="0"/>
      </c>
      <c r="BG181" s="22">
        <f t="shared" si="1"/>
      </c>
      <c r="BH181" s="22">
        <f t="shared" si="2"/>
        <v>0</v>
      </c>
    </row>
    <row r="182">
      <c r="B182">
        <f>[1]资金台帐!B182&amp;""</f>
      </c>
      <c r="H182">
        <f>[1]资金台帐!H182&amp;""</f>
      </c>
      <c r="J182">
        <f>[1]资金台帐!J182&amp;""</f>
      </c>
      <c r="N182">
        <f>[1]资金台帐!N182</f>
      </c>
      <c r="O182">
        <f>[1]资金台帐!O182&amp;""</f>
      </c>
      <c r="P182">
        <f>[1]资金台帐!P182&amp;""</f>
      </c>
      <c r="Q182">
        <f>[1]资金台帐!Q182&amp;""</f>
      </c>
      <c r="T182">
        <f>[1]资金台帐!T182&amp;""</f>
      </c>
      <c r="U182">
        <f>[1]资金台帐!U182&amp;""</f>
      </c>
      <c r="W182">
        <f>[1]资金台帐!W182&amp;""</f>
      </c>
      <c r="X182">
        <f>[1]资金台帐!X182&amp;""</f>
      </c>
      <c r="AB182">
        <f>[1]资金台帐!AB182</f>
        <v>0</v>
      </c>
      <c r="AC182">
        <f>[1]资金台帐!AC182</f>
        <v>0</v>
      </c>
      <c r="AD182">
        <f>[1]资金台帐!AD182</f>
        <v>0</v>
      </c>
      <c r="AJ182">
        <f>[1]资金台帐!AJ182</f>
        <v>0</v>
      </c>
      <c r="AK182">
        <f>[1]资金台帐!AK182</f>
        <v>0</v>
      </c>
      <c r="BA182" s="22">
        <f t="shared" si="0"/>
      </c>
      <c r="BG182" s="22">
        <f t="shared" si="1"/>
      </c>
      <c r="BH182" s="22">
        <f t="shared" si="2"/>
        <v>0</v>
      </c>
    </row>
    <row r="183">
      <c r="B183">
        <f>[1]资金台帐!B183&amp;""</f>
      </c>
      <c r="H183">
        <f>[1]资金台帐!H183&amp;""</f>
      </c>
      <c r="J183">
        <f>[1]资金台帐!J183&amp;""</f>
      </c>
      <c r="N183">
        <f>[1]资金台帐!N183</f>
      </c>
      <c r="O183">
        <f>[1]资金台帐!O183&amp;""</f>
      </c>
      <c r="P183">
        <f>[1]资金台帐!P183&amp;""</f>
      </c>
      <c r="Q183">
        <f>[1]资金台帐!Q183&amp;""</f>
      </c>
      <c r="T183">
        <f>[1]资金台帐!T183&amp;""</f>
      </c>
      <c r="U183">
        <f>[1]资金台帐!U183&amp;""</f>
      </c>
      <c r="W183">
        <f>[1]资金台帐!W183&amp;""</f>
      </c>
      <c r="X183">
        <f>[1]资金台帐!X183&amp;""</f>
      </c>
      <c r="AB183">
        <f>[1]资金台帐!AB183</f>
        <v>0</v>
      </c>
      <c r="AC183">
        <f>[1]资金台帐!AC183</f>
        <v>0</v>
      </c>
      <c r="AD183">
        <f>[1]资金台帐!AD183</f>
        <v>0</v>
      </c>
      <c r="AJ183">
        <f>[1]资金台帐!AJ183</f>
        <v>0</v>
      </c>
      <c r="AK183">
        <f>[1]资金台帐!AK183</f>
        <v>0</v>
      </c>
      <c r="BA183" s="22">
        <f t="shared" si="0"/>
      </c>
      <c r="BG183" s="22">
        <f t="shared" si="1"/>
      </c>
      <c r="BH183" s="22">
        <f t="shared" si="2"/>
        <v>0</v>
      </c>
    </row>
    <row r="184">
      <c r="B184">
        <f>[1]资金台帐!B184&amp;""</f>
      </c>
      <c r="H184">
        <f>[1]资金台帐!H184&amp;""</f>
      </c>
      <c r="J184">
        <f>[1]资金台帐!J184&amp;""</f>
      </c>
      <c r="N184">
        <f>[1]资金台帐!N184</f>
      </c>
      <c r="O184">
        <f>[1]资金台帐!O184&amp;""</f>
      </c>
      <c r="P184">
        <f>[1]资金台帐!P184&amp;""</f>
      </c>
      <c r="Q184">
        <f>[1]资金台帐!Q184&amp;""</f>
      </c>
      <c r="T184">
        <f>[1]资金台帐!T184&amp;""</f>
      </c>
      <c r="U184">
        <f>[1]资金台帐!U184&amp;""</f>
      </c>
      <c r="W184">
        <f>[1]资金台帐!W184&amp;""</f>
      </c>
      <c r="X184">
        <f>[1]资金台帐!X184&amp;""</f>
      </c>
      <c r="AB184">
        <f>[1]资金台帐!AB184</f>
        <v>0</v>
      </c>
      <c r="AC184">
        <f>[1]资金台帐!AC184</f>
        <v>0</v>
      </c>
      <c r="AD184">
        <f>[1]资金台帐!AD184</f>
        <v>0</v>
      </c>
      <c r="AJ184">
        <f>[1]资金台帐!AJ184</f>
        <v>0</v>
      </c>
      <c r="AK184">
        <f>[1]资金台帐!AK184</f>
        <v>0</v>
      </c>
      <c r="BA184" s="22">
        <f t="shared" si="0"/>
      </c>
      <c r="BG184" s="22">
        <f t="shared" si="1"/>
      </c>
      <c r="BH184" s="22">
        <f t="shared" si="2"/>
        <v>0</v>
      </c>
    </row>
    <row r="185">
      <c r="B185">
        <f>[1]资金台帐!B185&amp;""</f>
      </c>
      <c r="H185">
        <f>[1]资金台帐!H185&amp;""</f>
      </c>
      <c r="J185">
        <f>[1]资金台帐!J185&amp;""</f>
      </c>
      <c r="N185">
        <f>[1]资金台帐!N185</f>
      </c>
      <c r="O185">
        <f>[1]资金台帐!O185&amp;""</f>
      </c>
      <c r="P185">
        <f>[1]资金台帐!P185&amp;""</f>
      </c>
      <c r="Q185">
        <f>[1]资金台帐!Q185&amp;""</f>
      </c>
      <c r="T185">
        <f>[1]资金台帐!T185&amp;""</f>
      </c>
      <c r="U185">
        <f>[1]资金台帐!U185&amp;""</f>
      </c>
      <c r="W185">
        <f>[1]资金台帐!W185&amp;""</f>
      </c>
      <c r="X185">
        <f>[1]资金台帐!X185&amp;""</f>
      </c>
      <c r="AB185">
        <f>[1]资金台帐!AB185</f>
        <v>0</v>
      </c>
      <c r="AC185">
        <f>[1]资金台帐!AC185</f>
        <v>0</v>
      </c>
      <c r="AD185">
        <f>[1]资金台帐!AD185</f>
        <v>0</v>
      </c>
      <c r="AJ185">
        <f>[1]资金台帐!AJ185</f>
        <v>0</v>
      </c>
      <c r="AK185">
        <f>[1]资金台帐!AK185</f>
        <v>0</v>
      </c>
      <c r="BA185" s="22">
        <f t="shared" si="0"/>
      </c>
      <c r="BG185" s="22">
        <f t="shared" si="1"/>
      </c>
      <c r="BH185" s="22">
        <f t="shared" si="2"/>
        <v>0</v>
      </c>
    </row>
    <row r="186">
      <c r="B186">
        <f>[1]资金台帐!B186&amp;""</f>
      </c>
      <c r="H186">
        <f>[1]资金台帐!H186&amp;""</f>
      </c>
      <c r="J186">
        <f>[1]资金台帐!J186&amp;""</f>
      </c>
      <c r="N186">
        <f>[1]资金台帐!N186</f>
      </c>
      <c r="O186">
        <f>[1]资金台帐!O186&amp;""</f>
      </c>
      <c r="P186">
        <f>[1]资金台帐!P186&amp;""</f>
      </c>
      <c r="Q186">
        <f>[1]资金台帐!Q186&amp;""</f>
      </c>
      <c r="T186">
        <f>[1]资金台帐!T186&amp;""</f>
      </c>
      <c r="U186">
        <f>[1]资金台帐!U186&amp;""</f>
      </c>
      <c r="W186">
        <f>[1]资金台帐!W186&amp;""</f>
      </c>
      <c r="X186">
        <f>[1]资金台帐!X186&amp;""</f>
      </c>
      <c r="AB186">
        <f>[1]资金台帐!AB186</f>
        <v>0</v>
      </c>
      <c r="AC186">
        <f>[1]资金台帐!AC186</f>
        <v>0</v>
      </c>
      <c r="AD186">
        <f>[1]资金台帐!AD186</f>
        <v>0</v>
      </c>
      <c r="AJ186">
        <f>[1]资金台帐!AJ186</f>
        <v>0</v>
      </c>
      <c r="AK186">
        <f>[1]资金台帐!AK186</f>
        <v>0</v>
      </c>
      <c r="BA186" s="22">
        <f t="shared" si="0"/>
      </c>
      <c r="BG186" s="22">
        <f t="shared" si="1"/>
      </c>
      <c r="BH186" s="22">
        <f t="shared" si="2"/>
        <v>0</v>
      </c>
    </row>
    <row r="187">
      <c r="B187">
        <f>[1]资金台帐!B187&amp;""</f>
      </c>
      <c r="H187">
        <f>[1]资金台帐!H187&amp;""</f>
      </c>
      <c r="J187">
        <f>[1]资金台帐!J187&amp;""</f>
      </c>
      <c r="N187">
        <f>[1]资金台帐!N187</f>
      </c>
      <c r="O187">
        <f>[1]资金台帐!O187&amp;""</f>
      </c>
      <c r="P187">
        <f>[1]资金台帐!P187&amp;""</f>
      </c>
      <c r="Q187">
        <f>[1]资金台帐!Q187&amp;""</f>
      </c>
      <c r="T187">
        <f>[1]资金台帐!T187&amp;""</f>
      </c>
      <c r="U187">
        <f>[1]资金台帐!U187&amp;""</f>
      </c>
      <c r="W187">
        <f>[1]资金台帐!W187&amp;""</f>
      </c>
      <c r="X187">
        <f>[1]资金台帐!X187&amp;""</f>
      </c>
      <c r="AB187">
        <f>[1]资金台帐!AB187</f>
        <v>0</v>
      </c>
      <c r="AC187">
        <f>[1]资金台帐!AC187</f>
        <v>0</v>
      </c>
      <c r="AD187">
        <f>[1]资金台帐!AD187</f>
        <v>0</v>
      </c>
      <c r="AJ187">
        <f>[1]资金台帐!AJ187</f>
        <v>0</v>
      </c>
      <c r="AK187">
        <f>[1]资金台帐!AK187</f>
        <v>0</v>
      </c>
      <c r="BA187" s="22">
        <f t="shared" si="0"/>
      </c>
      <c r="BG187" s="22">
        <f t="shared" si="1"/>
      </c>
      <c r="BH187" s="22">
        <f t="shared" si="2"/>
        <v>0</v>
      </c>
    </row>
    <row r="188">
      <c r="B188">
        <f>[1]资金台帐!B188&amp;""</f>
      </c>
      <c r="H188">
        <f>[1]资金台帐!H188&amp;""</f>
      </c>
      <c r="J188">
        <f>[1]资金台帐!J188&amp;""</f>
      </c>
      <c r="N188">
        <f>[1]资金台帐!N188</f>
      </c>
      <c r="O188">
        <f>[1]资金台帐!O188&amp;""</f>
      </c>
      <c r="P188">
        <f>[1]资金台帐!P188&amp;""</f>
      </c>
      <c r="Q188">
        <f>[1]资金台帐!Q188&amp;""</f>
      </c>
      <c r="T188">
        <f>[1]资金台帐!T188&amp;""</f>
      </c>
      <c r="U188">
        <f>[1]资金台帐!U188&amp;""</f>
      </c>
      <c r="W188">
        <f>[1]资金台帐!W188&amp;""</f>
      </c>
      <c r="X188">
        <f>[1]资金台帐!X188&amp;""</f>
      </c>
      <c r="AB188">
        <f>[1]资金台帐!AB188</f>
        <v>0</v>
      </c>
      <c r="AC188">
        <f>[1]资金台帐!AC188</f>
        <v>0</v>
      </c>
      <c r="AD188">
        <f>[1]资金台帐!AD188</f>
        <v>0</v>
      </c>
      <c r="AJ188">
        <f>[1]资金台帐!AJ188</f>
        <v>0</v>
      </c>
      <c r="AK188">
        <f>[1]资金台帐!AK188</f>
        <v>0</v>
      </c>
      <c r="BA188" s="22">
        <f t="shared" si="0"/>
      </c>
      <c r="BG188" s="22">
        <f t="shared" si="1"/>
      </c>
      <c r="BH188" s="22">
        <f t="shared" si="2"/>
        <v>0</v>
      </c>
    </row>
    <row r="189">
      <c r="B189">
        <f>[1]资金台帐!B189&amp;""</f>
      </c>
      <c r="H189">
        <f>[1]资金台帐!H189&amp;""</f>
      </c>
      <c r="J189">
        <f>[1]资金台帐!J189&amp;""</f>
      </c>
      <c r="N189">
        <f>[1]资金台帐!N189</f>
      </c>
      <c r="O189">
        <f>[1]资金台帐!O189&amp;""</f>
      </c>
      <c r="P189">
        <f>[1]资金台帐!P189&amp;""</f>
      </c>
      <c r="Q189">
        <f>[1]资金台帐!Q189&amp;""</f>
      </c>
      <c r="T189">
        <f>[1]资金台帐!T189&amp;""</f>
      </c>
      <c r="U189">
        <f>[1]资金台帐!U189&amp;""</f>
      </c>
      <c r="W189">
        <f>[1]资金台帐!W189&amp;""</f>
      </c>
      <c r="X189">
        <f>[1]资金台帐!X189&amp;""</f>
      </c>
      <c r="AB189">
        <f>[1]资金台帐!AB189</f>
        <v>0</v>
      </c>
      <c r="AC189">
        <f>[1]资金台帐!AC189</f>
        <v>0</v>
      </c>
      <c r="AD189">
        <f>[1]资金台帐!AD189</f>
        <v>0</v>
      </c>
      <c r="AJ189">
        <f>[1]资金台帐!AJ189</f>
        <v>0</v>
      </c>
      <c r="AK189">
        <f>[1]资金台帐!AK189</f>
        <v>0</v>
      </c>
      <c r="BA189" s="22">
        <f t="shared" si="0"/>
      </c>
      <c r="BG189" s="22">
        <f t="shared" si="1"/>
      </c>
      <c r="BH189" s="22">
        <f t="shared" si="2"/>
        <v>0</v>
      </c>
    </row>
    <row r="190">
      <c r="B190">
        <f>[1]资金台帐!B190&amp;""</f>
      </c>
      <c r="H190">
        <f>[1]资金台帐!H190&amp;""</f>
      </c>
      <c r="J190">
        <f>[1]资金台帐!J190&amp;""</f>
      </c>
      <c r="N190">
        <f>[1]资金台帐!N190</f>
      </c>
      <c r="O190">
        <f>[1]资金台帐!O190&amp;""</f>
      </c>
      <c r="P190">
        <f>[1]资金台帐!P190&amp;""</f>
      </c>
      <c r="Q190">
        <f>[1]资金台帐!Q190&amp;""</f>
      </c>
      <c r="T190">
        <f>[1]资金台帐!T190&amp;""</f>
      </c>
      <c r="U190">
        <f>[1]资金台帐!U190&amp;""</f>
      </c>
      <c r="W190">
        <f>[1]资金台帐!W190&amp;""</f>
      </c>
      <c r="X190">
        <f>[1]资金台帐!X190&amp;""</f>
      </c>
      <c r="AB190">
        <f>[1]资金台帐!AB190</f>
        <v>0</v>
      </c>
      <c r="AC190">
        <f>[1]资金台帐!AC190</f>
        <v>0</v>
      </c>
      <c r="AD190">
        <f>[1]资金台帐!AD190</f>
        <v>0</v>
      </c>
      <c r="AJ190">
        <f>[1]资金台帐!AJ190</f>
        <v>0</v>
      </c>
      <c r="AK190">
        <f>[1]资金台帐!AK190</f>
        <v>0</v>
      </c>
      <c r="BA190" s="22">
        <f t="shared" si="0"/>
      </c>
      <c r="BG190" s="22">
        <f t="shared" si="1"/>
      </c>
      <c r="BH190" s="22">
        <f t="shared" si="2"/>
        <v>0</v>
      </c>
    </row>
    <row r="191">
      <c r="B191">
        <f>[1]资金台帐!B191&amp;""</f>
      </c>
      <c r="H191">
        <f>[1]资金台帐!H191&amp;""</f>
      </c>
      <c r="J191">
        <f>[1]资金台帐!J191&amp;""</f>
      </c>
      <c r="N191">
        <f>[1]资金台帐!N191</f>
      </c>
      <c r="O191">
        <f>[1]资金台帐!O191&amp;""</f>
      </c>
      <c r="P191">
        <f>[1]资金台帐!P191&amp;""</f>
      </c>
      <c r="Q191">
        <f>[1]资金台帐!Q191&amp;""</f>
      </c>
      <c r="T191">
        <f>[1]资金台帐!T191&amp;""</f>
      </c>
      <c r="U191">
        <f>[1]资金台帐!U191&amp;""</f>
      </c>
      <c r="W191">
        <f>[1]资金台帐!W191&amp;""</f>
      </c>
      <c r="X191">
        <f>[1]资金台帐!X191&amp;""</f>
      </c>
      <c r="AB191">
        <f>[1]资金台帐!AB191</f>
        <v>0</v>
      </c>
      <c r="AC191">
        <f>[1]资金台帐!AC191</f>
        <v>0</v>
      </c>
      <c r="AD191">
        <f>[1]资金台帐!AD191</f>
        <v>0</v>
      </c>
      <c r="AJ191">
        <f>[1]资金台帐!AJ191</f>
        <v>0</v>
      </c>
      <c r="AK191">
        <f>[1]资金台帐!AK191</f>
        <v>0</v>
      </c>
      <c r="BA191" s="22">
        <f t="shared" si="0"/>
      </c>
      <c r="BG191" s="22">
        <f t="shared" si="1"/>
      </c>
      <c r="BH191" s="22">
        <f t="shared" si="2"/>
        <v>0</v>
      </c>
    </row>
    <row r="192">
      <c r="B192">
        <f>[1]资金台帐!B192&amp;""</f>
      </c>
      <c r="H192">
        <f>[1]资金台帐!H192&amp;""</f>
      </c>
      <c r="J192">
        <f>[1]资金台帐!J192&amp;""</f>
      </c>
      <c r="N192">
        <f>[1]资金台帐!N192</f>
      </c>
      <c r="O192">
        <f>[1]资金台帐!O192&amp;""</f>
      </c>
      <c r="P192">
        <f>[1]资金台帐!P192&amp;""</f>
      </c>
      <c r="Q192">
        <f>[1]资金台帐!Q192&amp;""</f>
      </c>
      <c r="T192">
        <f>[1]资金台帐!T192&amp;""</f>
      </c>
      <c r="U192">
        <f>[1]资金台帐!U192&amp;""</f>
      </c>
      <c r="W192">
        <f>[1]资金台帐!W192&amp;""</f>
      </c>
      <c r="X192">
        <f>[1]资金台帐!X192&amp;""</f>
      </c>
      <c r="AB192">
        <f>[1]资金台帐!AB192</f>
        <v>0</v>
      </c>
      <c r="AC192">
        <f>[1]资金台帐!AC192</f>
        <v>0</v>
      </c>
      <c r="AD192">
        <f>[1]资金台帐!AD192</f>
        <v>0</v>
      </c>
      <c r="AJ192">
        <f>[1]资金台帐!AJ192</f>
        <v>0</v>
      </c>
      <c r="AK192">
        <f>[1]资金台帐!AK192</f>
        <v>0</v>
      </c>
      <c r="BA192" s="22">
        <f t="shared" si="0"/>
      </c>
      <c r="BG192" s="22">
        <f t="shared" si="1"/>
      </c>
      <c r="BH192" s="22">
        <f t="shared" si="2"/>
        <v>0</v>
      </c>
    </row>
    <row r="193">
      <c r="B193">
        <f>[1]资金台帐!B193&amp;""</f>
      </c>
      <c r="H193">
        <f>[1]资金台帐!H193&amp;""</f>
      </c>
      <c r="J193">
        <f>[1]资金台帐!J193&amp;""</f>
      </c>
      <c r="N193">
        <f>[1]资金台帐!N193</f>
      </c>
      <c r="O193">
        <f>[1]资金台帐!O193&amp;""</f>
      </c>
      <c r="P193">
        <f>[1]资金台帐!P193&amp;""</f>
      </c>
      <c r="Q193">
        <f>[1]资金台帐!Q193&amp;""</f>
      </c>
      <c r="T193">
        <f>[1]资金台帐!T193&amp;""</f>
      </c>
      <c r="U193">
        <f>[1]资金台帐!U193&amp;""</f>
      </c>
      <c r="W193">
        <f>[1]资金台帐!W193&amp;""</f>
      </c>
      <c r="X193">
        <f>[1]资金台帐!X193&amp;""</f>
      </c>
      <c r="AB193">
        <f>[1]资金台帐!AB193</f>
        <v>0</v>
      </c>
      <c r="AC193">
        <f>[1]资金台帐!AC193</f>
        <v>0</v>
      </c>
      <c r="AD193">
        <f>[1]资金台帐!AD193</f>
        <v>0</v>
      </c>
      <c r="AJ193">
        <f>[1]资金台帐!AJ193</f>
        <v>0</v>
      </c>
      <c r="AK193">
        <f>[1]资金台帐!AK193</f>
        <v>0</v>
      </c>
      <c r="BA193" s="22">
        <f t="shared" si="0"/>
      </c>
      <c r="BG193" s="22">
        <f t="shared" si="1"/>
      </c>
      <c r="BH193" s="22">
        <f t="shared" si="2"/>
        <v>0</v>
      </c>
    </row>
    <row r="194">
      <c r="B194">
        <f>[1]资金台帐!B194&amp;""</f>
      </c>
      <c r="H194">
        <f>[1]资金台帐!H194&amp;""</f>
      </c>
      <c r="J194">
        <f>[1]资金台帐!J194&amp;""</f>
      </c>
      <c r="N194">
        <f>[1]资金台帐!N194</f>
      </c>
      <c r="O194">
        <f>[1]资金台帐!O194&amp;""</f>
      </c>
      <c r="P194">
        <f>[1]资金台帐!P194&amp;""</f>
      </c>
      <c r="Q194">
        <f>[1]资金台帐!Q194&amp;""</f>
      </c>
      <c r="T194">
        <f>[1]资金台帐!T194&amp;""</f>
      </c>
      <c r="U194">
        <f>[1]资金台帐!U194&amp;""</f>
      </c>
      <c r="W194">
        <f>[1]资金台帐!W194&amp;""</f>
      </c>
      <c r="X194">
        <f>[1]资金台帐!X194&amp;""</f>
      </c>
      <c r="AB194">
        <f>[1]资金台帐!AB194</f>
        <v>0</v>
      </c>
      <c r="AC194">
        <f>[1]资金台帐!AC194</f>
        <v>0</v>
      </c>
      <c r="AD194">
        <f>[1]资金台帐!AD194</f>
        <v>0</v>
      </c>
      <c r="AJ194">
        <f>[1]资金台帐!AJ194</f>
        <v>0</v>
      </c>
      <c r="AK194">
        <f>[1]资金台帐!AK194</f>
        <v>0</v>
      </c>
      <c r="BA194" s="22">
        <f t="shared" si="0"/>
      </c>
      <c r="BG194" s="22">
        <f t="shared" si="1"/>
      </c>
      <c r="BH194" s="22">
        <f t="shared" si="2"/>
        <v>0</v>
      </c>
    </row>
    <row r="195">
      <c r="B195">
        <f>[1]资金台帐!B195&amp;""</f>
      </c>
      <c r="H195">
        <f>[1]资金台帐!H195&amp;""</f>
      </c>
      <c r="J195">
        <f>[1]资金台帐!J195&amp;""</f>
      </c>
      <c r="N195">
        <f>[1]资金台帐!N195</f>
      </c>
      <c r="O195">
        <f>[1]资金台帐!O195&amp;""</f>
      </c>
      <c r="P195">
        <f>[1]资金台帐!P195&amp;""</f>
      </c>
      <c r="Q195">
        <f>[1]资金台帐!Q195&amp;""</f>
      </c>
      <c r="T195">
        <f>[1]资金台帐!T195&amp;""</f>
      </c>
      <c r="U195">
        <f>[1]资金台帐!U195&amp;""</f>
      </c>
      <c r="W195">
        <f>[1]资金台帐!W195&amp;""</f>
      </c>
      <c r="X195">
        <f>[1]资金台帐!X195&amp;""</f>
      </c>
      <c r="AB195">
        <f>[1]资金台帐!AB195</f>
        <v>0</v>
      </c>
      <c r="AC195">
        <f>[1]资金台帐!AC195</f>
        <v>0</v>
      </c>
      <c r="AD195">
        <f>[1]资金台帐!AD195</f>
        <v>0</v>
      </c>
      <c r="AJ195">
        <f>[1]资金台帐!AJ195</f>
        <v>0</v>
      </c>
      <c r="AK195">
        <f>[1]资金台帐!AK195</f>
        <v>0</v>
      </c>
      <c r="BA195" s="22">
        <f t="shared" si="0"/>
      </c>
      <c r="BG195" s="22">
        <f t="shared" si="1"/>
      </c>
      <c r="BH195" s="22">
        <f t="shared" si="2"/>
        <v>0</v>
      </c>
    </row>
    <row r="196">
      <c r="B196">
        <f>[1]资金台帐!B196&amp;""</f>
      </c>
      <c r="H196">
        <f>[1]资金台帐!H196&amp;""</f>
      </c>
      <c r="J196">
        <f>[1]资金台帐!J196&amp;""</f>
      </c>
      <c r="N196">
        <f>[1]资金台帐!N196</f>
      </c>
      <c r="O196">
        <f>[1]资金台帐!O196&amp;""</f>
      </c>
      <c r="P196">
        <f>[1]资金台帐!P196&amp;""</f>
      </c>
      <c r="Q196">
        <f>[1]资金台帐!Q196&amp;""</f>
      </c>
      <c r="T196">
        <f>[1]资金台帐!T196&amp;""</f>
      </c>
      <c r="U196">
        <f>[1]资金台帐!U196&amp;""</f>
      </c>
      <c r="W196">
        <f>[1]资金台帐!W196&amp;""</f>
      </c>
      <c r="X196">
        <f>[1]资金台帐!X196&amp;""</f>
      </c>
      <c r="AB196">
        <f>[1]资金台帐!AB196</f>
        <v>0</v>
      </c>
      <c r="AC196">
        <f>[1]资金台帐!AC196</f>
        <v>0</v>
      </c>
      <c r="AD196">
        <f>[1]资金台帐!AD196</f>
        <v>0</v>
      </c>
      <c r="AJ196">
        <f>[1]资金台帐!AJ196</f>
        <v>0</v>
      </c>
      <c r="AK196">
        <f>[1]资金台帐!AK196</f>
        <v>0</v>
      </c>
      <c r="BA196" s="22">
        <f t="shared" si="0"/>
      </c>
      <c r="BG196" s="22">
        <f t="shared" si="1"/>
      </c>
      <c r="BH196" s="22">
        <f t="shared" si="2"/>
        <v>0</v>
      </c>
    </row>
    <row r="197">
      <c r="B197">
        <f>[1]资金台帐!B197&amp;""</f>
      </c>
      <c r="H197">
        <f>[1]资金台帐!H197&amp;""</f>
      </c>
      <c r="J197">
        <f>[1]资金台帐!J197&amp;""</f>
      </c>
      <c r="N197">
        <f>[1]资金台帐!N197</f>
      </c>
      <c r="O197">
        <f>[1]资金台帐!O197&amp;""</f>
      </c>
      <c r="P197">
        <f>[1]资金台帐!P197&amp;""</f>
      </c>
      <c r="Q197">
        <f>[1]资金台帐!Q197&amp;""</f>
      </c>
      <c r="T197">
        <f>[1]资金台帐!T197&amp;""</f>
      </c>
      <c r="U197">
        <f>[1]资金台帐!U197&amp;""</f>
      </c>
      <c r="W197">
        <f>[1]资金台帐!W197&amp;""</f>
      </c>
      <c r="X197">
        <f>[1]资金台帐!X197&amp;""</f>
      </c>
      <c r="AB197">
        <f>[1]资金台帐!AB197</f>
        <v>0</v>
      </c>
      <c r="AC197">
        <f>[1]资金台帐!AC197</f>
        <v>0</v>
      </c>
      <c r="AD197">
        <f>[1]资金台帐!AD197</f>
        <v>0</v>
      </c>
      <c r="AJ197">
        <f>[1]资金台帐!AJ197</f>
        <v>0</v>
      </c>
      <c r="AK197">
        <f>[1]资金台帐!AK197</f>
        <v>0</v>
      </c>
      <c r="BA197" s="22">
        <f t="shared" si="0"/>
      </c>
      <c r="BG197" s="22">
        <f t="shared" si="1"/>
      </c>
      <c r="BH197" s="22">
        <f t="shared" si="2"/>
        <v>0</v>
      </c>
    </row>
    <row r="198">
      <c r="B198">
        <f>[1]资金台帐!B198&amp;""</f>
      </c>
      <c r="H198">
        <f>[1]资金台帐!H198&amp;""</f>
      </c>
      <c r="J198">
        <f>[1]资金台帐!J198&amp;""</f>
      </c>
      <c r="N198">
        <f>[1]资金台帐!N198</f>
      </c>
      <c r="O198">
        <f>[1]资金台帐!O198&amp;""</f>
      </c>
      <c r="P198">
        <f>[1]资金台帐!P198&amp;""</f>
      </c>
      <c r="Q198">
        <f>[1]资金台帐!Q198&amp;""</f>
      </c>
      <c r="T198">
        <f>[1]资金台帐!T198&amp;""</f>
      </c>
      <c r="U198">
        <f>[1]资金台帐!U198&amp;""</f>
      </c>
      <c r="W198">
        <f>[1]资金台帐!W198&amp;""</f>
      </c>
      <c r="X198">
        <f>[1]资金台帐!X198&amp;""</f>
      </c>
      <c r="AB198">
        <f>[1]资金台帐!AB198</f>
        <v>0</v>
      </c>
      <c r="AC198">
        <f>[1]资金台帐!AC198</f>
        <v>0</v>
      </c>
      <c r="AD198">
        <f>[1]资金台帐!AD198</f>
        <v>0</v>
      </c>
      <c r="AJ198">
        <f>[1]资金台帐!AJ198</f>
        <v>0</v>
      </c>
      <c r="AK198">
        <f>[1]资金台帐!AK198</f>
        <v>0</v>
      </c>
      <c r="BA198" s="22">
        <f t="shared" si="0"/>
      </c>
      <c r="BG198" s="22">
        <f t="shared" si="1"/>
      </c>
      <c r="BH198" s="22">
        <f t="shared" si="2"/>
        <v>0</v>
      </c>
    </row>
    <row r="199">
      <c r="B199">
        <f>[1]资金台帐!B199&amp;""</f>
      </c>
      <c r="H199">
        <f>[1]资金台帐!H199&amp;""</f>
      </c>
      <c r="J199">
        <f>[1]资金台帐!J199&amp;""</f>
      </c>
      <c r="N199">
        <f>[1]资金台帐!N199</f>
      </c>
      <c r="O199">
        <f>[1]资金台帐!O199&amp;""</f>
      </c>
      <c r="P199">
        <f>[1]资金台帐!P199&amp;""</f>
      </c>
      <c r="Q199">
        <f>[1]资金台帐!Q199&amp;""</f>
      </c>
      <c r="T199">
        <f>[1]资金台帐!T199&amp;""</f>
      </c>
      <c r="U199">
        <f>[1]资金台帐!U199&amp;""</f>
      </c>
      <c r="W199">
        <f>[1]资金台帐!W199&amp;""</f>
      </c>
      <c r="X199">
        <f>[1]资金台帐!X199&amp;""</f>
      </c>
      <c r="AB199">
        <f>[1]资金台帐!AB199</f>
        <v>0</v>
      </c>
      <c r="AC199">
        <f>[1]资金台帐!AC199</f>
        <v>0</v>
      </c>
      <c r="AD199">
        <f>[1]资金台帐!AD199</f>
        <v>0</v>
      </c>
      <c r="AJ199">
        <f>[1]资金台帐!AJ199</f>
        <v>0</v>
      </c>
      <c r="AK199">
        <f>[1]资金台帐!AK199</f>
        <v>0</v>
      </c>
      <c r="BA199" s="22">
        <f t="shared" si="0"/>
      </c>
      <c r="BG199" s="22">
        <f t="shared" si="1"/>
      </c>
      <c r="BH199" s="22">
        <f t="shared" si="2"/>
        <v>0</v>
      </c>
    </row>
    <row r="200">
      <c r="B200">
        <f>[1]资金台帐!B200&amp;""</f>
      </c>
      <c r="H200">
        <f>[1]资金台帐!H200&amp;""</f>
      </c>
      <c r="J200">
        <f>[1]资金台帐!J200&amp;""</f>
      </c>
      <c r="N200">
        <f>[1]资金台帐!N200</f>
      </c>
      <c r="O200">
        <f>[1]资金台帐!O200&amp;""</f>
      </c>
      <c r="P200">
        <f>[1]资金台帐!P200&amp;""</f>
      </c>
      <c r="Q200">
        <f>[1]资金台帐!Q200&amp;""</f>
      </c>
      <c r="T200">
        <f>[1]资金台帐!T200&amp;""</f>
      </c>
      <c r="U200">
        <f>[1]资金台帐!U200&amp;""</f>
      </c>
      <c r="W200">
        <f>[1]资金台帐!W200&amp;""</f>
      </c>
      <c r="X200">
        <f>[1]资金台帐!X200&amp;""</f>
      </c>
      <c r="AB200">
        <f>[1]资金台帐!AB200</f>
        <v>0</v>
      </c>
      <c r="AC200">
        <f>[1]资金台帐!AC200</f>
        <v>0</v>
      </c>
      <c r="AD200">
        <f>[1]资金台帐!AD200</f>
        <v>0</v>
      </c>
      <c r="AJ200">
        <f>[1]资金台帐!AJ200</f>
        <v>0</v>
      </c>
      <c r="AK200">
        <f>[1]资金台帐!AK200</f>
        <v>0</v>
      </c>
      <c r="BA200" s="22">
        <f t="shared" si="0"/>
      </c>
      <c r="BG200" s="22">
        <f t="shared" si="1"/>
      </c>
      <c r="BH200" s="22">
        <f t="shared" si="2"/>
        <v>0</v>
      </c>
    </row>
    <row r="201">
      <c r="B201">
        <f>[1]资金台帐!B201&amp;""</f>
      </c>
      <c r="H201">
        <f>[1]资金台帐!H201&amp;""</f>
      </c>
      <c r="J201">
        <f>[1]资金台帐!J201&amp;""</f>
      </c>
      <c r="N201">
        <f>[1]资金台帐!N201</f>
      </c>
      <c r="O201">
        <f>[1]资金台帐!O201&amp;""</f>
      </c>
      <c r="P201">
        <f>[1]资金台帐!P201&amp;""</f>
      </c>
      <c r="Q201">
        <f>[1]资金台帐!Q201&amp;""</f>
      </c>
      <c r="T201">
        <f>[1]资金台帐!T201&amp;""</f>
      </c>
      <c r="U201">
        <f>[1]资金台帐!U201&amp;""</f>
      </c>
      <c r="W201">
        <f>[1]资金台帐!W201&amp;""</f>
      </c>
      <c r="X201">
        <f>[1]资金台帐!X201&amp;""</f>
      </c>
      <c r="AB201">
        <f>[1]资金台帐!AB201</f>
        <v>0</v>
      </c>
      <c r="AC201">
        <f>[1]资金台帐!AC201</f>
        <v>0</v>
      </c>
      <c r="AD201">
        <f>[1]资金台帐!AD201</f>
        <v>0</v>
      </c>
      <c r="AJ201">
        <f>[1]资金台帐!AJ201</f>
        <v>0</v>
      </c>
      <c r="AK201">
        <f>[1]资金台帐!AK201</f>
        <v>0</v>
      </c>
      <c r="BA201" s="22">
        <f t="shared" si="0"/>
      </c>
      <c r="BG201" s="22">
        <f t="shared" si="1"/>
      </c>
      <c r="BH201" s="22">
        <f t="shared" si="2"/>
        <v>0</v>
      </c>
    </row>
    <row r="202">
      <c r="B202">
        <f>[1]资金台帐!B202&amp;""</f>
      </c>
      <c r="H202">
        <f>[1]资金台帐!H202&amp;""</f>
      </c>
      <c r="J202">
        <f>[1]资金台帐!J202&amp;""</f>
      </c>
      <c r="N202">
        <f>[1]资金台帐!N202</f>
      </c>
      <c r="O202">
        <f>[1]资金台帐!O202&amp;""</f>
      </c>
      <c r="P202">
        <f>[1]资金台帐!P202&amp;""</f>
      </c>
      <c r="Q202">
        <f>[1]资金台帐!Q202&amp;""</f>
      </c>
      <c r="T202">
        <f>[1]资金台帐!T202&amp;""</f>
      </c>
      <c r="U202">
        <f>[1]资金台帐!U202&amp;""</f>
      </c>
      <c r="W202">
        <f>[1]资金台帐!W202&amp;""</f>
      </c>
      <c r="X202">
        <f>[1]资金台帐!X202&amp;""</f>
      </c>
      <c r="AB202">
        <f>[1]资金台帐!AB202</f>
        <v>0</v>
      </c>
      <c r="AC202">
        <f>[1]资金台帐!AC202</f>
        <v>0</v>
      </c>
      <c r="AD202">
        <f>[1]资金台帐!AD202</f>
        <v>0</v>
      </c>
      <c r="AJ202">
        <f>[1]资金台帐!AJ202</f>
        <v>0</v>
      </c>
      <c r="AK202">
        <f>[1]资金台帐!AK202</f>
        <v>0</v>
      </c>
      <c r="BA202" s="22">
        <f t="shared" si="0"/>
      </c>
      <c r="BG202" s="22">
        <f t="shared" si="1"/>
      </c>
      <c r="BH202" s="22">
        <f t="shared" si="2"/>
        <v>0</v>
      </c>
    </row>
    <row r="203">
      <c r="B203">
        <f>[1]资金台帐!B203&amp;""</f>
      </c>
      <c r="H203">
        <f>[1]资金台帐!H203&amp;""</f>
      </c>
      <c r="J203">
        <f>[1]资金台帐!J203&amp;""</f>
      </c>
      <c r="N203">
        <f>[1]资金台帐!N203</f>
      </c>
      <c r="O203">
        <f>[1]资金台帐!O203&amp;""</f>
      </c>
      <c r="P203">
        <f>[1]资金台帐!P203&amp;""</f>
      </c>
      <c r="Q203">
        <f>[1]资金台帐!Q203&amp;""</f>
      </c>
      <c r="T203">
        <f>[1]资金台帐!T203&amp;""</f>
      </c>
      <c r="U203">
        <f>[1]资金台帐!U203&amp;""</f>
      </c>
      <c r="W203">
        <f>[1]资金台帐!W203&amp;""</f>
      </c>
      <c r="X203">
        <f>[1]资金台帐!X203&amp;""</f>
      </c>
      <c r="AB203">
        <f>[1]资金台帐!AB203</f>
        <v>0</v>
      </c>
      <c r="AC203">
        <f>[1]资金台帐!AC203</f>
        <v>0</v>
      </c>
      <c r="AD203">
        <f>[1]资金台帐!AD203</f>
        <v>0</v>
      </c>
      <c r="AJ203">
        <f>[1]资金台帐!AJ203</f>
        <v>0</v>
      </c>
      <c r="AK203">
        <f>[1]资金台帐!AK203</f>
        <v>0</v>
      </c>
      <c r="BA203" s="22">
        <f t="shared" si="0"/>
      </c>
      <c r="BG203" s="22">
        <f t="shared" si="1"/>
      </c>
      <c r="BH203" s="22">
        <f t="shared" si="2"/>
        <v>0</v>
      </c>
    </row>
    <row r="204">
      <c r="B204">
        <f>[1]资金台帐!B204&amp;""</f>
      </c>
      <c r="H204">
        <f>[1]资金台帐!H204&amp;""</f>
      </c>
      <c r="J204">
        <f>[1]资金台帐!J204&amp;""</f>
      </c>
      <c r="N204">
        <f>[1]资金台帐!N204</f>
      </c>
      <c r="O204">
        <f>[1]资金台帐!O204&amp;""</f>
      </c>
      <c r="P204">
        <f>[1]资金台帐!P204&amp;""</f>
      </c>
      <c r="Q204">
        <f>[1]资金台帐!Q204&amp;""</f>
      </c>
      <c r="T204">
        <f>[1]资金台帐!T204&amp;""</f>
      </c>
      <c r="U204">
        <f>[1]资金台帐!U204&amp;""</f>
      </c>
      <c r="W204">
        <f>[1]资金台帐!W204&amp;""</f>
      </c>
      <c r="X204">
        <f>[1]资金台帐!X204&amp;""</f>
      </c>
      <c r="AB204">
        <f>[1]资金台帐!AB204</f>
        <v>0</v>
      </c>
      <c r="AC204">
        <f>[1]资金台帐!AC204</f>
        <v>0</v>
      </c>
      <c r="AD204">
        <f>[1]资金台帐!AD204</f>
        <v>0</v>
      </c>
      <c r="AJ204">
        <f>[1]资金台帐!AJ204</f>
        <v>0</v>
      </c>
      <c r="AK204">
        <f>[1]资金台帐!AK204</f>
        <v>0</v>
      </c>
      <c r="BA204" s="22">
        <f t="shared" si="0"/>
      </c>
      <c r="BG204" s="22">
        <f t="shared" si="1"/>
      </c>
      <c r="BH204" s="22">
        <f t="shared" si="2"/>
        <v>0</v>
      </c>
    </row>
    <row r="205">
      <c r="B205">
        <f>[1]资金台帐!B205&amp;""</f>
      </c>
      <c r="H205">
        <f>[1]资金台帐!H205&amp;""</f>
      </c>
      <c r="J205">
        <f>[1]资金台帐!J205&amp;""</f>
      </c>
      <c r="N205">
        <f>[1]资金台帐!N205</f>
      </c>
      <c r="O205">
        <f>[1]资金台帐!O205&amp;""</f>
      </c>
      <c r="P205">
        <f>[1]资金台帐!P205&amp;""</f>
      </c>
      <c r="Q205">
        <f>[1]资金台帐!Q205&amp;""</f>
      </c>
      <c r="T205">
        <f>[1]资金台帐!T205&amp;""</f>
      </c>
      <c r="U205">
        <f>[1]资金台帐!U205&amp;""</f>
      </c>
      <c r="W205">
        <f>[1]资金台帐!W205&amp;""</f>
      </c>
      <c r="X205">
        <f>[1]资金台帐!X205&amp;""</f>
      </c>
      <c r="AB205">
        <f>[1]资金台帐!AB205</f>
        <v>0</v>
      </c>
      <c r="AC205">
        <f>[1]资金台帐!AC205</f>
        <v>0</v>
      </c>
      <c r="AD205">
        <f>[1]资金台帐!AD205</f>
        <v>0</v>
      </c>
      <c r="AJ205">
        <f>[1]资金台帐!AJ205</f>
        <v>0</v>
      </c>
      <c r="AK205">
        <f>[1]资金台帐!AK205</f>
        <v>0</v>
      </c>
      <c r="BA205" s="22">
        <f t="shared" si="0"/>
      </c>
      <c r="BG205" s="22">
        <f t="shared" si="1"/>
      </c>
      <c r="BH205" s="22">
        <f t="shared" si="2"/>
        <v>0</v>
      </c>
    </row>
    <row r="206">
      <c r="B206">
        <f>[1]资金台帐!B206&amp;""</f>
      </c>
      <c r="H206">
        <f>[1]资金台帐!H206&amp;""</f>
      </c>
      <c r="J206">
        <f>[1]资金台帐!J206&amp;""</f>
      </c>
      <c r="N206">
        <f>[1]资金台帐!N206</f>
      </c>
      <c r="O206">
        <f>[1]资金台帐!O206&amp;""</f>
      </c>
      <c r="P206">
        <f>[1]资金台帐!P206&amp;""</f>
      </c>
      <c r="Q206">
        <f>[1]资金台帐!Q206&amp;""</f>
      </c>
      <c r="T206">
        <f>[1]资金台帐!T206&amp;""</f>
      </c>
      <c r="U206">
        <f>[1]资金台帐!U206&amp;""</f>
      </c>
      <c r="W206">
        <f>[1]资金台帐!W206&amp;""</f>
      </c>
      <c r="X206">
        <f>[1]资金台帐!X206&amp;""</f>
      </c>
      <c r="AB206">
        <f>[1]资金台帐!AB206</f>
        <v>0</v>
      </c>
      <c r="AC206">
        <f>[1]资金台帐!AC206</f>
        <v>0</v>
      </c>
      <c r="AD206">
        <f>[1]资金台帐!AD206</f>
        <v>0</v>
      </c>
      <c r="AJ206">
        <f>[1]资金台帐!AJ206</f>
        <v>0</v>
      </c>
      <c r="AK206">
        <f>[1]资金台帐!AK206</f>
        <v>0</v>
      </c>
      <c r="BA206" s="22">
        <f t="shared" si="0"/>
      </c>
      <c r="BG206" s="22">
        <f t="shared" si="1"/>
      </c>
      <c r="BH206" s="22">
        <f t="shared" si="2"/>
        <v>0</v>
      </c>
    </row>
    <row r="207">
      <c r="B207">
        <f>[1]资金台帐!B207&amp;""</f>
      </c>
      <c r="H207">
        <f>[1]资金台帐!H207&amp;""</f>
      </c>
      <c r="J207">
        <f>[1]资金台帐!J207&amp;""</f>
      </c>
      <c r="N207">
        <f>[1]资金台帐!N207</f>
      </c>
      <c r="O207">
        <f>[1]资金台帐!O207&amp;""</f>
      </c>
      <c r="P207">
        <f>[1]资金台帐!P207&amp;""</f>
      </c>
      <c r="Q207">
        <f>[1]资金台帐!Q207&amp;""</f>
      </c>
      <c r="T207">
        <f>[1]资金台帐!T207&amp;""</f>
      </c>
      <c r="U207">
        <f>[1]资金台帐!U207&amp;""</f>
      </c>
      <c r="W207">
        <f>[1]资金台帐!W207&amp;""</f>
      </c>
      <c r="X207">
        <f>[1]资金台帐!X207&amp;""</f>
      </c>
      <c r="AB207">
        <f>[1]资金台帐!AB207</f>
        <v>0</v>
      </c>
      <c r="AC207">
        <f>[1]资金台帐!AC207</f>
        <v>0</v>
      </c>
      <c r="AD207">
        <f>[1]资金台帐!AD207</f>
        <v>0</v>
      </c>
      <c r="AJ207">
        <f>[1]资金台帐!AJ207</f>
        <v>0</v>
      </c>
      <c r="AK207">
        <f>[1]资金台帐!AK207</f>
        <v>0</v>
      </c>
      <c r="BA207" s="22">
        <f t="shared" si="0"/>
      </c>
      <c r="BG207" s="22">
        <f t="shared" si="1"/>
      </c>
      <c r="BH207" s="22">
        <f t="shared" si="2"/>
        <v>0</v>
      </c>
    </row>
    <row r="208">
      <c r="B208">
        <f>[1]资金台帐!B208&amp;""</f>
      </c>
      <c r="H208">
        <f>[1]资金台帐!H208&amp;""</f>
      </c>
      <c r="J208">
        <f>[1]资金台帐!J208&amp;""</f>
      </c>
      <c r="N208">
        <f>[1]资金台帐!N208</f>
      </c>
      <c r="O208">
        <f>[1]资金台帐!O208&amp;""</f>
      </c>
      <c r="P208">
        <f>[1]资金台帐!P208&amp;""</f>
      </c>
      <c r="Q208">
        <f>[1]资金台帐!Q208&amp;""</f>
      </c>
      <c r="T208">
        <f>[1]资金台帐!T208&amp;""</f>
      </c>
      <c r="U208">
        <f>[1]资金台帐!U208&amp;""</f>
      </c>
      <c r="W208">
        <f>[1]资金台帐!W208&amp;""</f>
      </c>
      <c r="X208">
        <f>[1]资金台帐!X208&amp;""</f>
      </c>
      <c r="AB208">
        <f>[1]资金台帐!AB208</f>
        <v>0</v>
      </c>
      <c r="AC208">
        <f>[1]资金台帐!AC208</f>
        <v>0</v>
      </c>
      <c r="AD208">
        <f>[1]资金台帐!AD208</f>
        <v>0</v>
      </c>
      <c r="AJ208">
        <f>[1]资金台帐!AJ208</f>
        <v>0</v>
      </c>
      <c r="AK208">
        <f>[1]资金台帐!AK208</f>
        <v>0</v>
      </c>
      <c r="BA208" s="22">
        <f t="shared" si="0"/>
      </c>
      <c r="BG208" s="22">
        <f t="shared" si="1"/>
      </c>
      <c r="BH208" s="22">
        <f t="shared" si="2"/>
        <v>0</v>
      </c>
    </row>
    <row r="209">
      <c r="B209">
        <f>[1]资金台帐!B209&amp;""</f>
      </c>
      <c r="H209">
        <f>[1]资金台帐!H209&amp;""</f>
      </c>
      <c r="J209">
        <f>[1]资金台帐!J209&amp;""</f>
      </c>
      <c r="N209">
        <f>[1]资金台帐!N209</f>
      </c>
      <c r="O209">
        <f>[1]资金台帐!O209&amp;""</f>
      </c>
      <c r="P209">
        <f>[1]资金台帐!P209&amp;""</f>
      </c>
      <c r="Q209">
        <f>[1]资金台帐!Q209&amp;""</f>
      </c>
      <c r="T209">
        <f>[1]资金台帐!T209&amp;""</f>
      </c>
      <c r="U209">
        <f>[1]资金台帐!U209&amp;""</f>
      </c>
      <c r="W209">
        <f>[1]资金台帐!W209&amp;""</f>
      </c>
      <c r="X209">
        <f>[1]资金台帐!X209&amp;""</f>
      </c>
      <c r="AB209">
        <f>[1]资金台帐!AB209</f>
        <v>0</v>
      </c>
      <c r="AC209">
        <f>[1]资金台帐!AC209</f>
        <v>0</v>
      </c>
      <c r="AD209">
        <f>[1]资金台帐!AD209</f>
        <v>0</v>
      </c>
      <c r="AJ209">
        <f>[1]资金台帐!AJ209</f>
        <v>0</v>
      </c>
      <c r="AK209">
        <f>[1]资金台帐!AK209</f>
        <v>0</v>
      </c>
      <c r="BA209" s="22">
        <f t="shared" si="0"/>
      </c>
      <c r="BG209" s="22">
        <f t="shared" si="1"/>
      </c>
      <c r="BH209" s="22">
        <f t="shared" si="2"/>
        <v>0</v>
      </c>
    </row>
    <row r="210">
      <c r="B210">
        <f>[1]资金台帐!B210&amp;""</f>
      </c>
      <c r="H210">
        <f>[1]资金台帐!H210&amp;""</f>
      </c>
      <c r="J210">
        <f>[1]资金台帐!J210&amp;""</f>
      </c>
      <c r="N210">
        <f>[1]资金台帐!N210</f>
      </c>
      <c r="O210">
        <f>[1]资金台帐!O210&amp;""</f>
      </c>
      <c r="P210">
        <f>[1]资金台帐!P210&amp;""</f>
      </c>
      <c r="Q210">
        <f>[1]资金台帐!Q210&amp;""</f>
      </c>
      <c r="T210">
        <f>[1]资金台帐!T210&amp;""</f>
      </c>
      <c r="U210">
        <f>[1]资金台帐!U210&amp;""</f>
      </c>
      <c r="W210">
        <f>[1]资金台帐!W210&amp;""</f>
      </c>
      <c r="X210">
        <f>[1]资金台帐!X210&amp;""</f>
      </c>
      <c r="AB210">
        <f>[1]资金台帐!AB210</f>
        <v>0</v>
      </c>
      <c r="AC210">
        <f>[1]资金台帐!AC210</f>
        <v>0</v>
      </c>
      <c r="AD210">
        <f>[1]资金台帐!AD210</f>
        <v>0</v>
      </c>
      <c r="AJ210">
        <f>[1]资金台帐!AJ210</f>
        <v>0</v>
      </c>
      <c r="AK210">
        <f>[1]资金台帐!AK210</f>
        <v>0</v>
      </c>
      <c r="BA210" s="22">
        <f t="shared" si="0"/>
      </c>
      <c r="BG210" s="22">
        <f t="shared" si="1"/>
      </c>
      <c r="BH210" s="22">
        <f t="shared" si="2"/>
        <v>0</v>
      </c>
    </row>
    <row r="211">
      <c r="B211">
        <f>[1]资金台帐!B211&amp;""</f>
      </c>
      <c r="H211">
        <f>[1]资金台帐!H211&amp;""</f>
      </c>
      <c r="J211">
        <f>[1]资金台帐!J211&amp;""</f>
      </c>
      <c r="N211">
        <f>[1]资金台帐!N211</f>
      </c>
      <c r="O211">
        <f>[1]资金台帐!O211&amp;""</f>
      </c>
      <c r="P211">
        <f>[1]资金台帐!P211&amp;""</f>
      </c>
      <c r="Q211">
        <f>[1]资金台帐!Q211&amp;""</f>
      </c>
      <c r="T211">
        <f>[1]资金台帐!T211&amp;""</f>
      </c>
      <c r="U211">
        <f>[1]资金台帐!U211&amp;""</f>
      </c>
      <c r="W211">
        <f>[1]资金台帐!W211&amp;""</f>
      </c>
      <c r="X211">
        <f>[1]资金台帐!X211&amp;""</f>
      </c>
      <c r="AB211">
        <f>[1]资金台帐!AB211</f>
        <v>0</v>
      </c>
      <c r="AC211">
        <f>[1]资金台帐!AC211</f>
        <v>0</v>
      </c>
      <c r="AD211">
        <f>[1]资金台帐!AD211</f>
        <v>0</v>
      </c>
      <c r="AJ211">
        <f>[1]资金台帐!AJ211</f>
        <v>0</v>
      </c>
      <c r="AK211">
        <f>[1]资金台帐!AK211</f>
        <v>0</v>
      </c>
      <c r="BA211" s="22">
        <f t="shared" si="0"/>
      </c>
      <c r="BG211" s="22">
        <f t="shared" si="1"/>
      </c>
      <c r="BH211" s="22">
        <f t="shared" si="2"/>
        <v>0</v>
      </c>
    </row>
    <row r="212">
      <c r="B212">
        <f>[1]资金台帐!B212&amp;""</f>
      </c>
      <c r="H212">
        <f>[1]资金台帐!H212&amp;""</f>
      </c>
      <c r="J212">
        <f>[1]资金台帐!J212&amp;""</f>
      </c>
      <c r="N212">
        <f>[1]资金台帐!N212</f>
      </c>
      <c r="O212">
        <f>[1]资金台帐!O212&amp;""</f>
      </c>
      <c r="P212">
        <f>[1]资金台帐!P212&amp;""</f>
      </c>
      <c r="Q212">
        <f>[1]资金台帐!Q212&amp;""</f>
      </c>
      <c r="T212">
        <f>[1]资金台帐!T212&amp;""</f>
      </c>
      <c r="U212">
        <f>[1]资金台帐!U212&amp;""</f>
      </c>
      <c r="W212">
        <f>[1]资金台帐!W212&amp;""</f>
      </c>
      <c r="X212">
        <f>[1]资金台帐!X212&amp;""</f>
      </c>
      <c r="AB212">
        <f>[1]资金台帐!AB212</f>
        <v>0</v>
      </c>
      <c r="AC212">
        <f>[1]资金台帐!AC212</f>
        <v>0</v>
      </c>
      <c r="AD212">
        <f>[1]资金台帐!AD212</f>
        <v>0</v>
      </c>
      <c r="AJ212">
        <f>[1]资金台帐!AJ212</f>
        <v>0</v>
      </c>
      <c r="AK212">
        <f>[1]资金台帐!AK212</f>
        <v>0</v>
      </c>
      <c r="BA212" s="22">
        <f t="shared" si="0"/>
      </c>
      <c r="BG212" s="22">
        <f t="shared" si="1"/>
      </c>
      <c r="BH212" s="22">
        <f t="shared" si="2"/>
        <v>0</v>
      </c>
    </row>
    <row r="213">
      <c r="B213">
        <f>[1]资金台帐!B213&amp;""</f>
      </c>
      <c r="H213">
        <f>[1]资金台帐!H213&amp;""</f>
      </c>
      <c r="J213">
        <f>[1]资金台帐!J213&amp;""</f>
      </c>
      <c r="N213">
        <f>[1]资金台帐!N213</f>
      </c>
      <c r="O213">
        <f>[1]资金台帐!O213&amp;""</f>
      </c>
      <c r="P213">
        <f>[1]资金台帐!P213&amp;""</f>
      </c>
      <c r="Q213">
        <f>[1]资金台帐!Q213&amp;""</f>
      </c>
      <c r="T213">
        <f>[1]资金台帐!T213&amp;""</f>
      </c>
      <c r="U213">
        <f>[1]资金台帐!U213&amp;""</f>
      </c>
      <c r="W213">
        <f>[1]资金台帐!W213&amp;""</f>
      </c>
      <c r="X213">
        <f>[1]资金台帐!X213&amp;""</f>
      </c>
      <c r="AB213">
        <f>[1]资金台帐!AB213</f>
        <v>0</v>
      </c>
      <c r="AC213">
        <f>[1]资金台帐!AC213</f>
        <v>0</v>
      </c>
      <c r="AD213">
        <f>[1]资金台帐!AD213</f>
        <v>0</v>
      </c>
      <c r="AJ213">
        <f>[1]资金台帐!AJ213</f>
        <v>0</v>
      </c>
      <c r="AK213">
        <f>[1]资金台帐!AK213</f>
        <v>0</v>
      </c>
      <c r="BA213" s="22">
        <f t="shared" si="0"/>
      </c>
      <c r="BG213" s="22">
        <f t="shared" si="1"/>
      </c>
      <c r="BH213" s="22">
        <f t="shared" si="2"/>
        <v>0</v>
      </c>
    </row>
    <row r="214">
      <c r="B214">
        <f>[1]资金台帐!B214&amp;""</f>
      </c>
      <c r="H214">
        <f>[1]资金台帐!H214&amp;""</f>
      </c>
      <c r="J214">
        <f>[1]资金台帐!J214&amp;""</f>
      </c>
      <c r="N214">
        <f>[1]资金台帐!N214</f>
      </c>
      <c r="O214">
        <f>[1]资金台帐!O214&amp;""</f>
      </c>
      <c r="P214">
        <f>[1]资金台帐!P214&amp;""</f>
      </c>
      <c r="Q214">
        <f>[1]资金台帐!Q214&amp;""</f>
      </c>
      <c r="T214">
        <f>[1]资金台帐!T214&amp;""</f>
      </c>
      <c r="U214">
        <f>[1]资金台帐!U214&amp;""</f>
      </c>
      <c r="W214">
        <f>[1]资金台帐!W214&amp;""</f>
      </c>
      <c r="X214">
        <f>[1]资金台帐!X214&amp;""</f>
      </c>
      <c r="AB214">
        <f>[1]资金台帐!AB214</f>
        <v>0</v>
      </c>
      <c r="AC214">
        <f>[1]资金台帐!AC214</f>
        <v>0</v>
      </c>
      <c r="AD214">
        <f>[1]资金台帐!AD214</f>
        <v>0</v>
      </c>
      <c r="AJ214">
        <f>[1]资金台帐!AJ214</f>
        <v>0</v>
      </c>
      <c r="AK214">
        <f>[1]资金台帐!AK214</f>
        <v>0</v>
      </c>
      <c r="BA214" s="22">
        <f t="shared" si="0"/>
      </c>
      <c r="BG214" s="22">
        <f t="shared" si="1"/>
      </c>
      <c r="BH214" s="22">
        <f t="shared" si="2"/>
        <v>0</v>
      </c>
    </row>
    <row r="215">
      <c r="B215">
        <f>[1]资金台帐!B215&amp;""</f>
      </c>
      <c r="H215">
        <f>[1]资金台帐!H215&amp;""</f>
      </c>
      <c r="J215">
        <f>[1]资金台帐!J215&amp;""</f>
      </c>
      <c r="N215">
        <f>[1]资金台帐!N215</f>
      </c>
      <c r="O215">
        <f>[1]资金台帐!O215&amp;""</f>
      </c>
      <c r="P215">
        <f>[1]资金台帐!P215&amp;""</f>
      </c>
      <c r="Q215">
        <f>[1]资金台帐!Q215&amp;""</f>
      </c>
      <c r="T215">
        <f>[1]资金台帐!T215&amp;""</f>
      </c>
      <c r="U215">
        <f>[1]资金台帐!U215&amp;""</f>
      </c>
      <c r="W215">
        <f>[1]资金台帐!W215&amp;""</f>
      </c>
      <c r="X215">
        <f>[1]资金台帐!X215&amp;""</f>
      </c>
      <c r="AB215">
        <f>[1]资金台帐!AB215</f>
        <v>0</v>
      </c>
      <c r="AC215">
        <f>[1]资金台帐!AC215</f>
        <v>0</v>
      </c>
      <c r="AD215">
        <f>[1]资金台帐!AD215</f>
        <v>0</v>
      </c>
      <c r="AJ215">
        <f>[1]资金台帐!AJ215</f>
        <v>0</v>
      </c>
      <c r="AK215">
        <f>[1]资金台帐!AK215</f>
        <v>0</v>
      </c>
      <c r="BA215" s="22">
        <f t="shared" si="0"/>
      </c>
      <c r="BG215" s="22">
        <f t="shared" si="1"/>
      </c>
      <c r="BH215" s="22">
        <f t="shared" si="2"/>
        <v>0</v>
      </c>
    </row>
    <row r="216">
      <c r="B216">
        <f>[1]资金台帐!B216&amp;""</f>
      </c>
      <c r="H216">
        <f>[1]资金台帐!H216&amp;""</f>
      </c>
      <c r="J216">
        <f>[1]资金台帐!J216&amp;""</f>
      </c>
      <c r="N216">
        <f>[1]资金台帐!N216</f>
      </c>
      <c r="O216">
        <f>[1]资金台帐!O216&amp;""</f>
      </c>
      <c r="P216">
        <f>[1]资金台帐!P216&amp;""</f>
      </c>
      <c r="Q216">
        <f>[1]资金台帐!Q216&amp;""</f>
      </c>
      <c r="T216">
        <f>[1]资金台帐!T216&amp;""</f>
      </c>
      <c r="U216">
        <f>[1]资金台帐!U216&amp;""</f>
      </c>
      <c r="W216">
        <f>[1]资金台帐!W216&amp;""</f>
      </c>
      <c r="X216">
        <f>[1]资金台帐!X216&amp;""</f>
      </c>
      <c r="AB216">
        <f>[1]资金台帐!AB216</f>
        <v>0</v>
      </c>
      <c r="AC216">
        <f>[1]资金台帐!AC216</f>
        <v>0</v>
      </c>
      <c r="AD216">
        <f>[1]资金台帐!AD216</f>
        <v>0</v>
      </c>
      <c r="AJ216">
        <f>[1]资金台帐!AJ216</f>
        <v>0</v>
      </c>
      <c r="AK216">
        <f>[1]资金台帐!AK216</f>
        <v>0</v>
      </c>
      <c r="BA216" s="22">
        <f t="shared" si="0"/>
      </c>
      <c r="BG216" s="22">
        <f t="shared" si="1"/>
      </c>
      <c r="BH216" s="22">
        <f t="shared" si="2"/>
        <v>0</v>
      </c>
    </row>
    <row r="217">
      <c r="B217">
        <f>[1]资金台帐!B217&amp;""</f>
      </c>
      <c r="H217">
        <f>[1]资金台帐!H217&amp;""</f>
      </c>
      <c r="J217">
        <f>[1]资金台帐!J217&amp;""</f>
      </c>
      <c r="N217">
        <f>[1]资金台帐!N217</f>
      </c>
      <c r="O217">
        <f>[1]资金台帐!O217&amp;""</f>
      </c>
      <c r="P217">
        <f>[1]资金台帐!P217&amp;""</f>
      </c>
      <c r="Q217">
        <f>[1]资金台帐!Q217&amp;""</f>
      </c>
      <c r="T217">
        <f>[1]资金台帐!T217&amp;""</f>
      </c>
      <c r="U217">
        <f>[1]资金台帐!U217&amp;""</f>
      </c>
      <c r="W217">
        <f>[1]资金台帐!W217&amp;""</f>
      </c>
      <c r="X217">
        <f>[1]资金台帐!X217&amp;""</f>
      </c>
      <c r="AB217">
        <f>[1]资金台帐!AB217</f>
        <v>0</v>
      </c>
      <c r="AC217">
        <f>[1]资金台帐!AC217</f>
        <v>0</v>
      </c>
      <c r="AD217">
        <f>[1]资金台帐!AD217</f>
        <v>0</v>
      </c>
      <c r="AJ217">
        <f>[1]资金台帐!AJ217</f>
        <v>0</v>
      </c>
      <c r="AK217">
        <f>[1]资金台帐!AK217</f>
        <v>0</v>
      </c>
      <c r="BA217" s="22">
        <f t="shared" si="0"/>
      </c>
      <c r="BG217" s="22">
        <f t="shared" si="1"/>
      </c>
      <c r="BH217" s="22">
        <f t="shared" si="2"/>
        <v>0</v>
      </c>
    </row>
    <row r="218">
      <c r="B218">
        <f>[1]资金台帐!B218&amp;""</f>
      </c>
      <c r="H218">
        <f>[1]资金台帐!H218&amp;""</f>
      </c>
      <c r="J218">
        <f>[1]资金台帐!J218&amp;""</f>
      </c>
      <c r="N218">
        <f>[1]资金台帐!N218</f>
      </c>
      <c r="O218">
        <f>[1]资金台帐!O218&amp;""</f>
      </c>
      <c r="P218">
        <f>[1]资金台帐!P218&amp;""</f>
      </c>
      <c r="Q218">
        <f>[1]资金台帐!Q218&amp;""</f>
      </c>
      <c r="T218">
        <f>[1]资金台帐!T218&amp;""</f>
      </c>
      <c r="U218">
        <f>[1]资金台帐!U218&amp;""</f>
      </c>
      <c r="W218">
        <f>[1]资金台帐!W218&amp;""</f>
      </c>
      <c r="X218">
        <f>[1]资金台帐!X218&amp;""</f>
      </c>
      <c r="AB218">
        <f>[1]资金台帐!AB218</f>
        <v>0</v>
      </c>
      <c r="AC218">
        <f>[1]资金台帐!AC218</f>
        <v>0</v>
      </c>
      <c r="AD218">
        <f>[1]资金台帐!AD218</f>
        <v>0</v>
      </c>
      <c r="AJ218">
        <f>[1]资金台帐!AJ218</f>
        <v>0</v>
      </c>
      <c r="AK218">
        <f>[1]资金台帐!AK218</f>
        <v>0</v>
      </c>
      <c r="BA218" s="22">
        <f t="shared" si="0"/>
      </c>
      <c r="BG218" s="22">
        <f t="shared" si="1"/>
      </c>
      <c r="BH218" s="22">
        <f t="shared" si="2"/>
        <v>0</v>
      </c>
    </row>
    <row r="219">
      <c r="B219">
        <f>[1]资金台帐!B219&amp;""</f>
      </c>
      <c r="H219">
        <f>[1]资金台帐!H219&amp;""</f>
      </c>
      <c r="J219">
        <f>[1]资金台帐!J219&amp;""</f>
      </c>
      <c r="N219">
        <f>[1]资金台帐!N219</f>
      </c>
      <c r="O219">
        <f>[1]资金台帐!O219&amp;""</f>
      </c>
      <c r="P219">
        <f>[1]资金台帐!P219&amp;""</f>
      </c>
      <c r="Q219">
        <f>[1]资金台帐!Q219&amp;""</f>
      </c>
      <c r="T219">
        <f>[1]资金台帐!T219&amp;""</f>
      </c>
      <c r="U219">
        <f>[1]资金台帐!U219&amp;""</f>
      </c>
      <c r="W219">
        <f>[1]资金台帐!W219&amp;""</f>
      </c>
      <c r="X219">
        <f>[1]资金台帐!X219&amp;""</f>
      </c>
      <c r="AB219">
        <f>[1]资金台帐!AB219</f>
        <v>0</v>
      </c>
      <c r="AC219">
        <f>[1]资金台帐!AC219</f>
        <v>0</v>
      </c>
      <c r="AD219">
        <f>[1]资金台帐!AD219</f>
        <v>0</v>
      </c>
      <c r="AJ219">
        <f>[1]资金台帐!AJ219</f>
        <v>0</v>
      </c>
      <c r="AK219">
        <f>[1]资金台帐!AK219</f>
        <v>0</v>
      </c>
      <c r="BA219" s="22">
        <f t="shared" si="0"/>
      </c>
      <c r="BG219" s="22">
        <f t="shared" si="1"/>
      </c>
      <c r="BH219" s="22">
        <f t="shared" si="2"/>
        <v>0</v>
      </c>
    </row>
    <row r="220">
      <c r="B220">
        <f>[1]资金台帐!B220&amp;""</f>
      </c>
      <c r="H220">
        <f>[1]资金台帐!H220&amp;""</f>
      </c>
      <c r="J220">
        <f>[1]资金台帐!J220&amp;""</f>
      </c>
      <c r="N220">
        <f>[1]资金台帐!N220</f>
      </c>
      <c r="O220">
        <f>[1]资金台帐!O220&amp;""</f>
      </c>
      <c r="P220">
        <f>[1]资金台帐!P220&amp;""</f>
      </c>
      <c r="Q220">
        <f>[1]资金台帐!Q220&amp;""</f>
      </c>
      <c r="T220">
        <f>[1]资金台帐!T220&amp;""</f>
      </c>
      <c r="U220">
        <f>[1]资金台帐!U220&amp;""</f>
      </c>
      <c r="W220">
        <f>[1]资金台帐!W220&amp;""</f>
      </c>
      <c r="X220">
        <f>[1]资金台帐!X220&amp;""</f>
      </c>
      <c r="AB220">
        <f>[1]资金台帐!AB220</f>
        <v>0</v>
      </c>
      <c r="AC220">
        <f>[1]资金台帐!AC220</f>
        <v>0</v>
      </c>
      <c r="AD220">
        <f>[1]资金台帐!AD220</f>
        <v>0</v>
      </c>
      <c r="AJ220">
        <f>[1]资金台帐!AJ220</f>
        <v>0</v>
      </c>
      <c r="AK220">
        <f>[1]资金台帐!AK220</f>
        <v>0</v>
      </c>
      <c r="BA220" s="22">
        <f t="shared" si="0"/>
      </c>
      <c r="BG220" s="22">
        <f t="shared" si="1"/>
      </c>
      <c r="BH220" s="22">
        <f t="shared" si="2"/>
        <v>0</v>
      </c>
    </row>
    <row r="221">
      <c r="B221">
        <f>[1]资金台帐!B221&amp;""</f>
      </c>
      <c r="H221">
        <f>[1]资金台帐!H221&amp;""</f>
      </c>
      <c r="J221">
        <f>[1]资金台帐!J221&amp;""</f>
      </c>
      <c r="N221">
        <f>[1]资金台帐!N221</f>
      </c>
      <c r="O221">
        <f>[1]资金台帐!O221&amp;""</f>
      </c>
      <c r="P221">
        <f>[1]资金台帐!P221&amp;""</f>
      </c>
      <c r="Q221">
        <f>[1]资金台帐!Q221&amp;""</f>
      </c>
      <c r="T221">
        <f>[1]资金台帐!T221&amp;""</f>
      </c>
      <c r="U221">
        <f>[1]资金台帐!U221&amp;""</f>
      </c>
      <c r="W221">
        <f>[1]资金台帐!W221&amp;""</f>
      </c>
      <c r="X221">
        <f>[1]资金台帐!X221&amp;""</f>
      </c>
      <c r="AB221">
        <f>[1]资金台帐!AB221</f>
        <v>0</v>
      </c>
      <c r="AC221">
        <f>[1]资金台帐!AC221</f>
        <v>0</v>
      </c>
      <c r="AD221">
        <f>[1]资金台帐!AD221</f>
        <v>0</v>
      </c>
      <c r="AJ221">
        <f>[1]资金台帐!AJ221</f>
        <v>0</v>
      </c>
      <c r="AK221">
        <f>[1]资金台帐!AK221</f>
        <v>0</v>
      </c>
      <c r="BA221" s="22">
        <f t="shared" si="0"/>
      </c>
      <c r="BG221" s="22">
        <f t="shared" si="1"/>
      </c>
      <c r="BH221" s="22">
        <f t="shared" si="2"/>
        <v>0</v>
      </c>
    </row>
    <row r="222">
      <c r="B222">
        <f>[1]资金台帐!B222&amp;""</f>
      </c>
      <c r="H222">
        <f>[1]资金台帐!H222&amp;""</f>
      </c>
      <c r="J222">
        <f>[1]资金台帐!J222&amp;""</f>
      </c>
      <c r="N222">
        <f>[1]资金台帐!N222</f>
      </c>
      <c r="O222">
        <f>[1]资金台帐!O222&amp;""</f>
      </c>
      <c r="P222">
        <f>[1]资金台帐!P222&amp;""</f>
      </c>
      <c r="Q222">
        <f>[1]资金台帐!Q222&amp;""</f>
      </c>
      <c r="T222">
        <f>[1]资金台帐!T222&amp;""</f>
      </c>
      <c r="U222">
        <f>[1]资金台帐!U222&amp;""</f>
      </c>
      <c r="W222">
        <f>[1]资金台帐!W222&amp;""</f>
      </c>
      <c r="X222">
        <f>[1]资金台帐!X222&amp;""</f>
      </c>
      <c r="AB222">
        <f>[1]资金台帐!AB222</f>
        <v>0</v>
      </c>
      <c r="AC222">
        <f>[1]资金台帐!AC222</f>
        <v>0</v>
      </c>
      <c r="AD222">
        <f>[1]资金台帐!AD222</f>
        <v>0</v>
      </c>
      <c r="AJ222">
        <f>[1]资金台帐!AJ222</f>
        <v>0</v>
      </c>
      <c r="AK222">
        <f>[1]资金台帐!AK222</f>
        <v>0</v>
      </c>
      <c r="BA222" s="22">
        <f t="shared" si="0"/>
      </c>
      <c r="BG222" s="22">
        <f t="shared" si="1"/>
      </c>
      <c r="BH222" s="22">
        <f t="shared" si="2"/>
        <v>0</v>
      </c>
    </row>
    <row r="223">
      <c r="B223">
        <f>[1]资金台帐!B223&amp;""</f>
      </c>
      <c r="H223">
        <f>[1]资金台帐!H223&amp;""</f>
      </c>
      <c r="J223">
        <f>[1]资金台帐!J223&amp;""</f>
      </c>
      <c r="N223">
        <f>[1]资金台帐!N223</f>
      </c>
      <c r="O223">
        <f>[1]资金台帐!O223&amp;""</f>
      </c>
      <c r="P223">
        <f>[1]资金台帐!P223&amp;""</f>
      </c>
      <c r="Q223">
        <f>[1]资金台帐!Q223&amp;""</f>
      </c>
      <c r="T223">
        <f>[1]资金台帐!T223&amp;""</f>
      </c>
      <c r="U223">
        <f>[1]资金台帐!U223&amp;""</f>
      </c>
      <c r="W223">
        <f>[1]资金台帐!W223&amp;""</f>
      </c>
      <c r="X223">
        <f>[1]资金台帐!X223&amp;""</f>
      </c>
      <c r="AB223">
        <f>[1]资金台帐!AB223</f>
        <v>0</v>
      </c>
      <c r="AC223">
        <f>[1]资金台帐!AC223</f>
        <v>0</v>
      </c>
      <c r="AD223">
        <f>[1]资金台帐!AD223</f>
        <v>0</v>
      </c>
      <c r="AJ223">
        <f>[1]资金台帐!AJ223</f>
        <v>0</v>
      </c>
      <c r="AK223">
        <f>[1]资金台帐!AK223</f>
        <v>0</v>
      </c>
      <c r="BA223" s="22">
        <f t="shared" si="0"/>
      </c>
      <c r="BG223" s="22">
        <f t="shared" si="1"/>
      </c>
      <c r="BH223" s="22">
        <f t="shared" si="2"/>
        <v>0</v>
      </c>
    </row>
    <row r="224">
      <c r="B224">
        <f>[1]资金台帐!B224&amp;""</f>
      </c>
      <c r="H224">
        <f>[1]资金台帐!H224&amp;""</f>
      </c>
      <c r="J224">
        <f>[1]资金台帐!J224&amp;""</f>
      </c>
      <c r="N224">
        <f>[1]资金台帐!N224</f>
      </c>
      <c r="O224">
        <f>[1]资金台帐!O224&amp;""</f>
      </c>
      <c r="P224">
        <f>[1]资金台帐!P224&amp;""</f>
      </c>
      <c r="Q224">
        <f>[1]资金台帐!Q224&amp;""</f>
      </c>
      <c r="T224">
        <f>[1]资金台帐!T224&amp;""</f>
      </c>
      <c r="U224">
        <f>[1]资金台帐!U224&amp;""</f>
      </c>
      <c r="W224">
        <f>[1]资金台帐!W224&amp;""</f>
      </c>
      <c r="X224">
        <f>[1]资金台帐!X224&amp;""</f>
      </c>
      <c r="AB224">
        <f>[1]资金台帐!AB224</f>
        <v>0</v>
      </c>
      <c r="AC224">
        <f>[1]资金台帐!AC224</f>
        <v>0</v>
      </c>
      <c r="AD224">
        <f>[1]资金台帐!AD224</f>
        <v>0</v>
      </c>
      <c r="AJ224">
        <f>[1]资金台帐!AJ224</f>
        <v>0</v>
      </c>
      <c r="AK224">
        <f>[1]资金台帐!AK224</f>
        <v>0</v>
      </c>
      <c r="BA224" s="22">
        <f t="shared" si="0"/>
      </c>
      <c r="BG224" s="22">
        <f t="shared" si="1"/>
      </c>
      <c r="BH224" s="22">
        <f t="shared" si="2"/>
        <v>0</v>
      </c>
    </row>
    <row r="225">
      <c r="B225">
        <f>[1]资金台帐!B225&amp;""</f>
      </c>
      <c r="H225">
        <f>[1]资金台帐!H225&amp;""</f>
      </c>
      <c r="J225">
        <f>[1]资金台帐!J225&amp;""</f>
      </c>
      <c r="N225">
        <f>[1]资金台帐!N225</f>
      </c>
      <c r="O225">
        <f>[1]资金台帐!O225&amp;""</f>
      </c>
      <c r="P225">
        <f>[1]资金台帐!P225&amp;""</f>
      </c>
      <c r="Q225">
        <f>[1]资金台帐!Q225&amp;""</f>
      </c>
      <c r="T225">
        <f>[1]资金台帐!T225&amp;""</f>
      </c>
      <c r="U225">
        <f>[1]资金台帐!U225&amp;""</f>
      </c>
      <c r="W225">
        <f>[1]资金台帐!W225&amp;""</f>
      </c>
      <c r="X225">
        <f>[1]资金台帐!X225&amp;""</f>
      </c>
      <c r="AB225">
        <f>[1]资金台帐!AB225</f>
        <v>0</v>
      </c>
      <c r="AC225">
        <f>[1]资金台帐!AC225</f>
        <v>0</v>
      </c>
      <c r="AD225">
        <f>[1]资金台帐!AD225</f>
        <v>0</v>
      </c>
      <c r="AJ225">
        <f>[1]资金台帐!AJ225</f>
        <v>0</v>
      </c>
      <c r="AK225">
        <f>[1]资金台帐!AK225</f>
        <v>0</v>
      </c>
      <c r="BA225" s="22">
        <f t="shared" si="0"/>
      </c>
      <c r="BG225" s="22">
        <f t="shared" si="1"/>
      </c>
      <c r="BH225" s="22">
        <f t="shared" si="2"/>
        <v>0</v>
      </c>
    </row>
    <row r="226">
      <c r="B226">
        <f>[1]资金台帐!B226&amp;""</f>
      </c>
      <c r="H226">
        <f>[1]资金台帐!H226&amp;""</f>
      </c>
      <c r="J226">
        <f>[1]资金台帐!J226&amp;""</f>
      </c>
      <c r="N226">
        <f>[1]资金台帐!N226</f>
      </c>
      <c r="O226">
        <f>[1]资金台帐!O226&amp;""</f>
      </c>
      <c r="P226">
        <f>[1]资金台帐!P226&amp;""</f>
      </c>
      <c r="Q226">
        <f>[1]资金台帐!Q226&amp;""</f>
      </c>
      <c r="T226">
        <f>[1]资金台帐!T226&amp;""</f>
      </c>
      <c r="U226">
        <f>[1]资金台帐!U226&amp;""</f>
      </c>
      <c r="W226">
        <f>[1]资金台帐!W226&amp;""</f>
      </c>
      <c r="X226">
        <f>[1]资金台帐!X226&amp;""</f>
      </c>
      <c r="AB226">
        <f>[1]资金台帐!AB226</f>
        <v>0</v>
      </c>
      <c r="AC226">
        <f>[1]资金台帐!AC226</f>
        <v>0</v>
      </c>
      <c r="AD226">
        <f>[1]资金台帐!AD226</f>
        <v>0</v>
      </c>
      <c r="AJ226">
        <f>[1]资金台帐!AJ226</f>
        <v>0</v>
      </c>
      <c r="AK226">
        <f>[1]资金台帐!AK226</f>
        <v>0</v>
      </c>
      <c r="BA226" s="22">
        <f t="shared" si="0"/>
      </c>
      <c r="BG226" s="22">
        <f t="shared" si="1"/>
      </c>
      <c r="BH226" s="22">
        <f t="shared" si="2"/>
        <v>0</v>
      </c>
    </row>
    <row r="227">
      <c r="B227">
        <f>[1]资金台帐!B227&amp;""</f>
      </c>
      <c r="H227">
        <f>[1]资金台帐!H227&amp;""</f>
      </c>
      <c r="J227">
        <f>[1]资金台帐!J227&amp;""</f>
      </c>
      <c r="N227">
        <f>[1]资金台帐!N227</f>
      </c>
      <c r="O227">
        <f>[1]资金台帐!O227&amp;""</f>
      </c>
      <c r="P227">
        <f>[1]资金台帐!P227&amp;""</f>
      </c>
      <c r="Q227">
        <f>[1]资金台帐!Q227&amp;""</f>
      </c>
      <c r="T227">
        <f>[1]资金台帐!T227&amp;""</f>
      </c>
      <c r="U227">
        <f>[1]资金台帐!U227&amp;""</f>
      </c>
      <c r="W227">
        <f>[1]资金台帐!W227&amp;""</f>
      </c>
      <c r="X227">
        <f>[1]资金台帐!X227&amp;""</f>
      </c>
      <c r="AB227">
        <f>[1]资金台帐!AB227</f>
        <v>0</v>
      </c>
      <c r="AC227">
        <f>[1]资金台帐!AC227</f>
        <v>0</v>
      </c>
      <c r="AD227">
        <f>[1]资金台帐!AD227</f>
        <v>0</v>
      </c>
      <c r="AJ227">
        <f>[1]资金台帐!AJ227</f>
        <v>0</v>
      </c>
      <c r="AK227">
        <f>[1]资金台帐!AK227</f>
        <v>0</v>
      </c>
      <c r="BA227" s="22">
        <f t="shared" si="0"/>
      </c>
      <c r="BG227" s="22">
        <f t="shared" si="1"/>
      </c>
      <c r="BH227" s="22">
        <f t="shared" si="2"/>
        <v>0</v>
      </c>
    </row>
    <row r="228">
      <c r="B228">
        <f>[1]资金台帐!B228&amp;""</f>
      </c>
      <c r="H228">
        <f>[1]资金台帐!H228&amp;""</f>
      </c>
      <c r="J228">
        <f>[1]资金台帐!J228&amp;""</f>
      </c>
      <c r="N228">
        <f>[1]资金台帐!N228</f>
      </c>
      <c r="O228">
        <f>[1]资金台帐!O228&amp;""</f>
      </c>
      <c r="P228">
        <f>[1]资金台帐!P228&amp;""</f>
      </c>
      <c r="Q228">
        <f>[1]资金台帐!Q228&amp;""</f>
      </c>
      <c r="T228">
        <f>[1]资金台帐!T228&amp;""</f>
      </c>
      <c r="U228">
        <f>[1]资金台帐!U228&amp;""</f>
      </c>
      <c r="W228">
        <f>[1]资金台帐!W228&amp;""</f>
      </c>
      <c r="X228">
        <f>[1]资金台帐!X228&amp;""</f>
      </c>
      <c r="AB228">
        <f>[1]资金台帐!AB228</f>
        <v>0</v>
      </c>
      <c r="AC228">
        <f>[1]资金台帐!AC228</f>
        <v>0</v>
      </c>
      <c r="AD228">
        <f>[1]资金台帐!AD228</f>
        <v>0</v>
      </c>
      <c r="AJ228">
        <f>[1]资金台帐!AJ228</f>
        <v>0</v>
      </c>
      <c r="AK228">
        <f>[1]资金台帐!AK228</f>
        <v>0</v>
      </c>
      <c r="BA228" s="22">
        <f t="shared" si="0"/>
      </c>
      <c r="BG228" s="22">
        <f t="shared" si="1"/>
      </c>
      <c r="BH228" s="22">
        <f t="shared" si="2"/>
        <v>0</v>
      </c>
    </row>
    <row r="229">
      <c r="B229">
        <f>[1]资金台帐!B229&amp;""</f>
      </c>
      <c r="H229">
        <f>[1]资金台帐!H229&amp;""</f>
      </c>
      <c r="J229">
        <f>[1]资金台帐!J229&amp;""</f>
      </c>
      <c r="N229">
        <f>[1]资金台帐!N229</f>
      </c>
      <c r="O229">
        <f>[1]资金台帐!O229&amp;""</f>
      </c>
      <c r="P229">
        <f>[1]资金台帐!P229&amp;""</f>
      </c>
      <c r="Q229">
        <f>[1]资金台帐!Q229&amp;""</f>
      </c>
      <c r="T229">
        <f>[1]资金台帐!T229&amp;""</f>
      </c>
      <c r="U229">
        <f>[1]资金台帐!U229&amp;""</f>
      </c>
      <c r="W229">
        <f>[1]资金台帐!W229&amp;""</f>
      </c>
      <c r="X229">
        <f>[1]资金台帐!X229&amp;""</f>
      </c>
      <c r="AB229">
        <f>[1]资金台帐!AB229</f>
        <v>0</v>
      </c>
      <c r="AC229">
        <f>[1]资金台帐!AC229</f>
        <v>0</v>
      </c>
      <c r="AD229">
        <f>[1]资金台帐!AD229</f>
        <v>0</v>
      </c>
      <c r="AJ229">
        <f>[1]资金台帐!AJ229</f>
        <v>0</v>
      </c>
      <c r="AK229">
        <f>[1]资金台帐!AK229</f>
        <v>0</v>
      </c>
      <c r="BA229" s="22">
        <f t="shared" si="0"/>
      </c>
      <c r="BG229" s="22">
        <f t="shared" si="1"/>
      </c>
      <c r="BH229" s="22">
        <f t="shared" si="2"/>
        <v>0</v>
      </c>
    </row>
    <row r="230">
      <c r="B230">
        <f>[1]资金台帐!B230&amp;""</f>
      </c>
      <c r="H230">
        <f>[1]资金台帐!H230&amp;""</f>
      </c>
      <c r="J230">
        <f>[1]资金台帐!J230&amp;""</f>
      </c>
      <c r="N230">
        <f>[1]资金台帐!N230</f>
      </c>
      <c r="O230">
        <f>[1]资金台帐!O230&amp;""</f>
      </c>
      <c r="P230">
        <f>[1]资金台帐!P230&amp;""</f>
      </c>
      <c r="Q230">
        <f>[1]资金台帐!Q230&amp;""</f>
      </c>
      <c r="T230">
        <f>[1]资金台帐!T230&amp;""</f>
      </c>
      <c r="U230">
        <f>[1]资金台帐!U230&amp;""</f>
      </c>
      <c r="W230">
        <f>[1]资金台帐!W230&amp;""</f>
      </c>
      <c r="X230">
        <f>[1]资金台帐!X230&amp;""</f>
      </c>
      <c r="AB230">
        <f>[1]资金台帐!AB230</f>
        <v>0</v>
      </c>
      <c r="AC230">
        <f>[1]资金台帐!AC230</f>
        <v>0</v>
      </c>
      <c r="AD230">
        <f>[1]资金台帐!AD230</f>
        <v>0</v>
      </c>
      <c r="AJ230">
        <f>[1]资金台帐!AJ230</f>
        <v>0</v>
      </c>
      <c r="AK230">
        <f>[1]资金台帐!AK230</f>
        <v>0</v>
      </c>
      <c r="BA230" s="22">
        <f t="shared" si="0"/>
      </c>
      <c r="BG230" s="22">
        <f t="shared" si="1"/>
      </c>
      <c r="BH230" s="22">
        <f t="shared" si="2"/>
        <v>0</v>
      </c>
    </row>
    <row r="231">
      <c r="B231">
        <f>[1]资金台帐!B231&amp;""</f>
      </c>
      <c r="H231">
        <f>[1]资金台帐!H231&amp;""</f>
      </c>
      <c r="J231">
        <f>[1]资金台帐!J231&amp;""</f>
      </c>
      <c r="N231">
        <f>[1]资金台帐!N231</f>
      </c>
      <c r="O231">
        <f>[1]资金台帐!O231&amp;""</f>
      </c>
      <c r="P231">
        <f>[1]资金台帐!P231&amp;""</f>
      </c>
      <c r="Q231">
        <f>[1]资金台帐!Q231&amp;""</f>
      </c>
      <c r="T231">
        <f>[1]资金台帐!T231&amp;""</f>
      </c>
      <c r="U231">
        <f>[1]资金台帐!U231&amp;""</f>
      </c>
      <c r="W231">
        <f>[1]资金台帐!W231&amp;""</f>
      </c>
      <c r="X231">
        <f>[1]资金台帐!X231&amp;""</f>
      </c>
      <c r="AB231">
        <f>[1]资金台帐!AB231</f>
        <v>0</v>
      </c>
      <c r="AC231">
        <f>[1]资金台帐!AC231</f>
        <v>0</v>
      </c>
      <c r="AD231">
        <f>[1]资金台帐!AD231</f>
        <v>0</v>
      </c>
      <c r="AJ231">
        <f>[1]资金台帐!AJ231</f>
        <v>0</v>
      </c>
      <c r="AK231">
        <f>[1]资金台帐!AK231</f>
        <v>0</v>
      </c>
      <c r="BA231" s="22">
        <f t="shared" si="0"/>
      </c>
      <c r="BG231" s="22">
        <f t="shared" si="1"/>
      </c>
      <c r="BH231" s="22">
        <f t="shared" si="2"/>
        <v>0</v>
      </c>
    </row>
    <row r="232">
      <c r="B232">
        <f>[1]资金台帐!B232&amp;""</f>
      </c>
      <c r="H232">
        <f>[1]资金台帐!H232&amp;""</f>
      </c>
      <c r="J232">
        <f>[1]资金台帐!J232&amp;""</f>
      </c>
      <c r="N232">
        <f>[1]资金台帐!N232</f>
      </c>
      <c r="O232">
        <f>[1]资金台帐!O232&amp;""</f>
      </c>
      <c r="P232">
        <f>[1]资金台帐!P232&amp;""</f>
      </c>
      <c r="Q232">
        <f>[1]资金台帐!Q232&amp;""</f>
      </c>
      <c r="T232">
        <f>[1]资金台帐!T232&amp;""</f>
      </c>
      <c r="U232">
        <f>[1]资金台帐!U232&amp;""</f>
      </c>
      <c r="W232">
        <f>[1]资金台帐!W232&amp;""</f>
      </c>
      <c r="X232">
        <f>[1]资金台帐!X232&amp;""</f>
      </c>
      <c r="AB232">
        <f>[1]资金台帐!AB232</f>
        <v>0</v>
      </c>
      <c r="AC232">
        <f>[1]资金台帐!AC232</f>
        <v>0</v>
      </c>
      <c r="AD232">
        <f>[1]资金台帐!AD232</f>
        <v>0</v>
      </c>
      <c r="AJ232">
        <f>[1]资金台帐!AJ232</f>
        <v>0</v>
      </c>
      <c r="AK232">
        <f>[1]资金台帐!AK232</f>
        <v>0</v>
      </c>
      <c r="BA232" s="22">
        <f t="shared" si="0"/>
      </c>
      <c r="BG232" s="22">
        <f t="shared" si="1"/>
      </c>
      <c r="BH232" s="22">
        <f t="shared" si="2"/>
        <v>0</v>
      </c>
    </row>
    <row r="233">
      <c r="B233">
        <f>[1]资金台帐!B233&amp;""</f>
      </c>
      <c r="H233">
        <f>[1]资金台帐!H233&amp;""</f>
      </c>
      <c r="J233">
        <f>[1]资金台帐!J233&amp;""</f>
      </c>
      <c r="N233">
        <f>[1]资金台帐!N233</f>
      </c>
      <c r="O233">
        <f>[1]资金台帐!O233&amp;""</f>
      </c>
      <c r="P233">
        <f>[1]资金台帐!P233&amp;""</f>
      </c>
      <c r="Q233">
        <f>[1]资金台帐!Q233&amp;""</f>
      </c>
      <c r="T233">
        <f>[1]资金台帐!T233&amp;""</f>
      </c>
      <c r="U233">
        <f>[1]资金台帐!U233&amp;""</f>
      </c>
      <c r="W233">
        <f>[1]资金台帐!W233&amp;""</f>
      </c>
      <c r="X233">
        <f>[1]资金台帐!X233&amp;""</f>
      </c>
      <c r="AB233">
        <f>[1]资金台帐!AB233</f>
        <v>0</v>
      </c>
      <c r="AC233">
        <f>[1]资金台帐!AC233</f>
        <v>0</v>
      </c>
      <c r="AD233">
        <f>[1]资金台帐!AD233</f>
        <v>0</v>
      </c>
      <c r="AJ233">
        <f>[1]资金台帐!AJ233</f>
        <v>0</v>
      </c>
      <c r="AK233">
        <f>[1]资金台帐!AK233</f>
        <v>0</v>
      </c>
      <c r="BA233" s="22">
        <f t="shared" si="0"/>
      </c>
      <c r="BG233" s="22">
        <f t="shared" si="1"/>
      </c>
      <c r="BH233" s="22">
        <f t="shared" si="2"/>
        <v>0</v>
      </c>
    </row>
    <row r="234">
      <c r="B234">
        <f>[1]资金台帐!B234&amp;""</f>
      </c>
      <c r="H234">
        <f>[1]资金台帐!H234&amp;""</f>
      </c>
      <c r="J234">
        <f>[1]资金台帐!J234&amp;""</f>
      </c>
      <c r="N234">
        <f>[1]资金台帐!N234</f>
      </c>
      <c r="O234">
        <f>[1]资金台帐!O234&amp;""</f>
      </c>
      <c r="P234">
        <f>[1]资金台帐!P234&amp;""</f>
      </c>
      <c r="Q234">
        <f>[1]资金台帐!Q234&amp;""</f>
      </c>
      <c r="T234">
        <f>[1]资金台帐!T234&amp;""</f>
      </c>
      <c r="U234">
        <f>[1]资金台帐!U234&amp;""</f>
      </c>
      <c r="W234">
        <f>[1]资金台帐!W234&amp;""</f>
      </c>
      <c r="X234">
        <f>[1]资金台帐!X234&amp;""</f>
      </c>
      <c r="AB234">
        <f>[1]资金台帐!AB234</f>
        <v>0</v>
      </c>
      <c r="AC234">
        <f>[1]资金台帐!AC234</f>
        <v>0</v>
      </c>
      <c r="AD234">
        <f>[1]资金台帐!AD234</f>
        <v>0</v>
      </c>
      <c r="AJ234">
        <f>[1]资金台帐!AJ234</f>
        <v>0</v>
      </c>
      <c r="AK234">
        <f>[1]资金台帐!AK234</f>
        <v>0</v>
      </c>
      <c r="BA234" s="22">
        <f t="shared" si="0"/>
      </c>
      <c r="BG234" s="22">
        <f t="shared" si="1"/>
      </c>
      <c r="BH234" s="22">
        <f t="shared" si="2"/>
        <v>0</v>
      </c>
    </row>
    <row r="235">
      <c r="B235">
        <f>[1]资金台帐!B235&amp;""</f>
      </c>
      <c r="H235">
        <f>[1]资金台帐!H235&amp;""</f>
      </c>
      <c r="J235">
        <f>[1]资金台帐!J235&amp;""</f>
      </c>
      <c r="N235">
        <f>[1]资金台帐!N235</f>
      </c>
      <c r="O235">
        <f>[1]资金台帐!O235&amp;""</f>
      </c>
      <c r="P235">
        <f>[1]资金台帐!P235&amp;""</f>
      </c>
      <c r="Q235">
        <f>[1]资金台帐!Q235&amp;""</f>
      </c>
      <c r="T235">
        <f>[1]资金台帐!T235&amp;""</f>
      </c>
      <c r="U235">
        <f>[1]资金台帐!U235&amp;""</f>
      </c>
      <c r="W235">
        <f>[1]资金台帐!W235&amp;""</f>
      </c>
      <c r="X235">
        <f>[1]资金台帐!X235&amp;""</f>
      </c>
      <c r="AB235">
        <f>[1]资金台帐!AB235</f>
        <v>0</v>
      </c>
      <c r="AC235">
        <f>[1]资金台帐!AC235</f>
        <v>0</v>
      </c>
      <c r="AD235">
        <f>[1]资金台帐!AD235</f>
        <v>0</v>
      </c>
      <c r="AJ235">
        <f>[1]资金台帐!AJ235</f>
        <v>0</v>
      </c>
      <c r="AK235">
        <f>[1]资金台帐!AK235</f>
        <v>0</v>
      </c>
      <c r="BA235" s="22">
        <f t="shared" si="0"/>
      </c>
      <c r="BG235" s="22">
        <f t="shared" si="1"/>
      </c>
      <c r="BH235" s="22">
        <f t="shared" si="2"/>
        <v>0</v>
      </c>
    </row>
    <row r="236">
      <c r="B236">
        <f>[1]资金台帐!B236&amp;""</f>
      </c>
      <c r="H236">
        <f>[1]资金台帐!H236&amp;""</f>
      </c>
      <c r="J236">
        <f>[1]资金台帐!J236&amp;""</f>
      </c>
      <c r="N236">
        <f>[1]资金台帐!N236</f>
      </c>
      <c r="O236">
        <f>[1]资金台帐!O236&amp;""</f>
      </c>
      <c r="P236">
        <f>[1]资金台帐!P236&amp;""</f>
      </c>
      <c r="Q236">
        <f>[1]资金台帐!Q236&amp;""</f>
      </c>
      <c r="T236">
        <f>[1]资金台帐!T236&amp;""</f>
      </c>
      <c r="U236">
        <f>[1]资金台帐!U236&amp;""</f>
      </c>
      <c r="W236">
        <f>[1]资金台帐!W236&amp;""</f>
      </c>
      <c r="X236">
        <f>[1]资金台帐!X236&amp;""</f>
      </c>
      <c r="AB236">
        <f>[1]资金台帐!AB236</f>
        <v>0</v>
      </c>
      <c r="AC236">
        <f>[1]资金台帐!AC236</f>
        <v>0</v>
      </c>
      <c r="AD236">
        <f>[1]资金台帐!AD236</f>
        <v>0</v>
      </c>
      <c r="AJ236">
        <f>[1]资金台帐!AJ236</f>
        <v>0</v>
      </c>
      <c r="AK236">
        <f>[1]资金台帐!AK236</f>
        <v>0</v>
      </c>
      <c r="BA236" s="22">
        <f t="shared" si="0"/>
      </c>
      <c r="BG236" s="22">
        <f t="shared" si="1"/>
      </c>
      <c r="BH236" s="22">
        <f t="shared" si="2"/>
        <v>0</v>
      </c>
    </row>
    <row r="237">
      <c r="B237">
        <f>[1]资金台帐!B237&amp;""</f>
      </c>
      <c r="H237">
        <f>[1]资金台帐!H237&amp;""</f>
      </c>
      <c r="J237">
        <f>[1]资金台帐!J237&amp;""</f>
      </c>
      <c r="N237">
        <f>[1]资金台帐!N237</f>
      </c>
      <c r="O237">
        <f>[1]资金台帐!O237&amp;""</f>
      </c>
      <c r="P237">
        <f>[1]资金台帐!P237&amp;""</f>
      </c>
      <c r="Q237">
        <f>[1]资金台帐!Q237&amp;""</f>
      </c>
      <c r="T237">
        <f>[1]资金台帐!T237&amp;""</f>
      </c>
      <c r="U237">
        <f>[1]资金台帐!U237&amp;""</f>
      </c>
      <c r="W237">
        <f>[1]资金台帐!W237&amp;""</f>
      </c>
      <c r="X237">
        <f>[1]资金台帐!X237&amp;""</f>
      </c>
      <c r="AB237">
        <f>[1]资金台帐!AB237</f>
        <v>0</v>
      </c>
      <c r="AC237">
        <f>[1]资金台帐!AC237</f>
        <v>0</v>
      </c>
      <c r="AD237">
        <f>[1]资金台帐!AD237</f>
        <v>0</v>
      </c>
      <c r="AJ237">
        <f>[1]资金台帐!AJ237</f>
        <v>0</v>
      </c>
      <c r="AK237">
        <f>[1]资金台帐!AK237</f>
        <v>0</v>
      </c>
      <c r="BA237" s="22">
        <f t="shared" si="0"/>
      </c>
      <c r="BG237" s="22">
        <f t="shared" si="1"/>
      </c>
      <c r="BH237" s="22">
        <f t="shared" si="2"/>
        <v>0</v>
      </c>
    </row>
    <row r="238">
      <c r="B238">
        <f>[1]资金台帐!B238&amp;""</f>
      </c>
      <c r="H238">
        <f>[1]资金台帐!H238&amp;""</f>
      </c>
      <c r="J238">
        <f>[1]资金台帐!J238&amp;""</f>
      </c>
      <c r="N238">
        <f>[1]资金台帐!N238</f>
      </c>
      <c r="O238">
        <f>[1]资金台帐!O238&amp;""</f>
      </c>
      <c r="P238">
        <f>[1]资金台帐!P238&amp;""</f>
      </c>
      <c r="Q238">
        <f>[1]资金台帐!Q238&amp;""</f>
      </c>
      <c r="T238">
        <f>[1]资金台帐!T238&amp;""</f>
      </c>
      <c r="U238">
        <f>[1]资金台帐!U238&amp;""</f>
      </c>
      <c r="W238">
        <f>[1]资金台帐!W238&amp;""</f>
      </c>
      <c r="X238">
        <f>[1]资金台帐!X238&amp;""</f>
      </c>
      <c r="AB238">
        <f>[1]资金台帐!AB238</f>
        <v>0</v>
      </c>
      <c r="AC238">
        <f>[1]资金台帐!AC238</f>
        <v>0</v>
      </c>
      <c r="AD238">
        <f>[1]资金台帐!AD238</f>
        <v>0</v>
      </c>
      <c r="AJ238">
        <f>[1]资金台帐!AJ238</f>
        <v>0</v>
      </c>
      <c r="AK238">
        <f>[1]资金台帐!AK238</f>
        <v>0</v>
      </c>
      <c r="BA238" s="22">
        <f t="shared" si="0"/>
      </c>
      <c r="BG238" s="22">
        <f t="shared" si="1"/>
      </c>
      <c r="BH238" s="22">
        <f t="shared" si="2"/>
        <v>0</v>
      </c>
    </row>
    <row r="239">
      <c r="B239">
        <f>[1]资金台帐!B239&amp;""</f>
      </c>
      <c r="H239">
        <f>[1]资金台帐!H239&amp;""</f>
      </c>
      <c r="J239">
        <f>[1]资金台帐!J239&amp;""</f>
      </c>
      <c r="N239">
        <f>[1]资金台帐!N239</f>
      </c>
      <c r="O239">
        <f>[1]资金台帐!O239&amp;""</f>
      </c>
      <c r="P239">
        <f>[1]资金台帐!P239&amp;""</f>
      </c>
      <c r="Q239">
        <f>[1]资金台帐!Q239&amp;""</f>
      </c>
      <c r="T239">
        <f>[1]资金台帐!T239&amp;""</f>
      </c>
      <c r="U239">
        <f>[1]资金台帐!U239&amp;""</f>
      </c>
      <c r="W239">
        <f>[1]资金台帐!W239&amp;""</f>
      </c>
      <c r="X239">
        <f>[1]资金台帐!X239&amp;""</f>
      </c>
      <c r="AB239">
        <f>[1]资金台帐!AB239</f>
        <v>0</v>
      </c>
      <c r="AC239">
        <f>[1]资金台帐!AC239</f>
        <v>0</v>
      </c>
      <c r="AD239">
        <f>[1]资金台帐!AD239</f>
        <v>0</v>
      </c>
      <c r="AJ239">
        <f>[1]资金台帐!AJ239</f>
        <v>0</v>
      </c>
      <c r="AK239">
        <f>[1]资金台帐!AK239</f>
        <v>0</v>
      </c>
      <c r="BA239" s="22">
        <f t="shared" si="0"/>
      </c>
      <c r="BG239" s="22">
        <f t="shared" si="1"/>
      </c>
      <c r="BH239" s="22">
        <f t="shared" si="2"/>
        <v>0</v>
      </c>
    </row>
    <row r="240">
      <c r="B240">
        <f>[1]资金台帐!B240&amp;""</f>
      </c>
      <c r="H240">
        <f>[1]资金台帐!H240&amp;""</f>
      </c>
      <c r="J240">
        <f>[1]资金台帐!J240&amp;""</f>
      </c>
      <c r="N240">
        <f>[1]资金台帐!N240</f>
      </c>
      <c r="O240">
        <f>[1]资金台帐!O240&amp;""</f>
      </c>
      <c r="P240">
        <f>[1]资金台帐!P240&amp;""</f>
      </c>
      <c r="Q240">
        <f>[1]资金台帐!Q240&amp;""</f>
      </c>
      <c r="T240">
        <f>[1]资金台帐!T240&amp;""</f>
      </c>
      <c r="U240">
        <f>[1]资金台帐!U240&amp;""</f>
      </c>
      <c r="W240">
        <f>[1]资金台帐!W240&amp;""</f>
      </c>
      <c r="X240">
        <f>[1]资金台帐!X240&amp;""</f>
      </c>
      <c r="AB240">
        <f>[1]资金台帐!AB240</f>
        <v>0</v>
      </c>
      <c r="AC240">
        <f>[1]资金台帐!AC240</f>
        <v>0</v>
      </c>
      <c r="AD240">
        <f>[1]资金台帐!AD240</f>
        <v>0</v>
      </c>
      <c r="AJ240">
        <f>[1]资金台帐!AJ240</f>
        <v>0</v>
      </c>
      <c r="AK240">
        <f>[1]资金台帐!AK240</f>
        <v>0</v>
      </c>
      <c r="BA240" s="22">
        <f t="shared" si="0"/>
      </c>
      <c r="BG240" s="22">
        <f t="shared" si="1"/>
      </c>
      <c r="BH240" s="22">
        <f t="shared" si="2"/>
        <v>0</v>
      </c>
    </row>
    <row r="241">
      <c r="B241">
        <f>[1]资金台帐!B241&amp;""</f>
      </c>
      <c r="H241">
        <f>[1]资金台帐!H241&amp;""</f>
      </c>
      <c r="J241">
        <f>[1]资金台帐!J241&amp;""</f>
      </c>
      <c r="N241">
        <f>[1]资金台帐!N241</f>
      </c>
      <c r="O241">
        <f>[1]资金台帐!O241&amp;""</f>
      </c>
      <c r="P241">
        <f>[1]资金台帐!P241&amp;""</f>
      </c>
      <c r="Q241">
        <f>[1]资金台帐!Q241&amp;""</f>
      </c>
      <c r="T241">
        <f>[1]资金台帐!T241&amp;""</f>
      </c>
      <c r="U241">
        <f>[1]资金台帐!U241&amp;""</f>
      </c>
      <c r="W241">
        <f>[1]资金台帐!W241&amp;""</f>
      </c>
      <c r="X241">
        <f>[1]资金台帐!X241&amp;""</f>
      </c>
      <c r="AB241">
        <f>[1]资金台帐!AB241</f>
        <v>0</v>
      </c>
      <c r="AC241">
        <f>[1]资金台帐!AC241</f>
        <v>0</v>
      </c>
      <c r="AD241">
        <f>[1]资金台帐!AD241</f>
        <v>0</v>
      </c>
      <c r="AJ241">
        <f>[1]资金台帐!AJ241</f>
        <v>0</v>
      </c>
      <c r="AK241">
        <f>[1]资金台帐!AK241</f>
        <v>0</v>
      </c>
      <c r="BA241" s="22">
        <f t="shared" si="0"/>
      </c>
      <c r="BG241" s="22">
        <f t="shared" si="1"/>
      </c>
      <c r="BH241" s="22">
        <f t="shared" si="2"/>
        <v>0</v>
      </c>
    </row>
    <row r="242">
      <c r="B242">
        <f>[1]资金台帐!B242&amp;""</f>
      </c>
      <c r="H242">
        <f>[1]资金台帐!H242&amp;""</f>
      </c>
      <c r="J242">
        <f>[1]资金台帐!J242&amp;""</f>
      </c>
      <c r="N242">
        <f>[1]资金台帐!N242</f>
      </c>
      <c r="O242">
        <f>[1]资金台帐!O242&amp;""</f>
      </c>
      <c r="P242">
        <f>[1]资金台帐!P242&amp;""</f>
      </c>
      <c r="Q242">
        <f>[1]资金台帐!Q242&amp;""</f>
      </c>
      <c r="T242">
        <f>[1]资金台帐!T242&amp;""</f>
      </c>
      <c r="U242">
        <f>[1]资金台帐!U242&amp;""</f>
      </c>
      <c r="W242">
        <f>[1]资金台帐!W242&amp;""</f>
      </c>
      <c r="X242">
        <f>[1]资金台帐!X242&amp;""</f>
      </c>
      <c r="AB242">
        <f>[1]资金台帐!AB242</f>
        <v>0</v>
      </c>
      <c r="AC242">
        <f>[1]资金台帐!AC242</f>
        <v>0</v>
      </c>
      <c r="AD242">
        <f>[1]资金台帐!AD242</f>
        <v>0</v>
      </c>
      <c r="AJ242">
        <f>[1]资金台帐!AJ242</f>
        <v>0</v>
      </c>
      <c r="AK242">
        <f>[1]资金台帐!AK242</f>
        <v>0</v>
      </c>
      <c r="BA242" s="22">
        <f t="shared" si="0"/>
      </c>
      <c r="BG242" s="22">
        <f t="shared" si="1"/>
      </c>
      <c r="BH242" s="22">
        <f t="shared" si="2"/>
        <v>0</v>
      </c>
    </row>
    <row r="243">
      <c r="B243">
        <f>[1]资金台帐!B243&amp;""</f>
      </c>
      <c r="H243">
        <f>[1]资金台帐!H243&amp;""</f>
      </c>
      <c r="J243">
        <f>[1]资金台帐!J243&amp;""</f>
      </c>
      <c r="N243">
        <f>[1]资金台帐!N243</f>
      </c>
      <c r="O243">
        <f>[1]资金台帐!O243&amp;""</f>
      </c>
      <c r="P243">
        <f>[1]资金台帐!P243&amp;""</f>
      </c>
      <c r="Q243">
        <f>[1]资金台帐!Q243&amp;""</f>
      </c>
      <c r="T243">
        <f>[1]资金台帐!T243&amp;""</f>
      </c>
      <c r="U243">
        <f>[1]资金台帐!U243&amp;""</f>
      </c>
      <c r="W243">
        <f>[1]资金台帐!W243&amp;""</f>
      </c>
      <c r="X243">
        <f>[1]资金台帐!X243&amp;""</f>
      </c>
      <c r="AB243">
        <f>[1]资金台帐!AB243</f>
        <v>0</v>
      </c>
      <c r="AC243">
        <f>[1]资金台帐!AC243</f>
        <v>0</v>
      </c>
      <c r="AD243">
        <f>[1]资金台帐!AD243</f>
        <v>0</v>
      </c>
      <c r="AJ243">
        <f>[1]资金台帐!AJ243</f>
        <v>0</v>
      </c>
      <c r="AK243">
        <f>[1]资金台帐!AK243</f>
        <v>0</v>
      </c>
      <c r="BA243" s="22">
        <f t="shared" si="0"/>
      </c>
      <c r="BG243" s="22">
        <f t="shared" si="1"/>
      </c>
      <c r="BH243" s="22">
        <f t="shared" si="2"/>
        <v>0</v>
      </c>
    </row>
    <row r="244">
      <c r="B244">
        <f>[1]资金台帐!B244&amp;""</f>
      </c>
      <c r="H244">
        <f>[1]资金台帐!H244&amp;""</f>
      </c>
      <c r="J244">
        <f>[1]资金台帐!J244&amp;""</f>
      </c>
      <c r="N244">
        <f>[1]资金台帐!N244</f>
      </c>
      <c r="O244">
        <f>[1]资金台帐!O244&amp;""</f>
      </c>
      <c r="P244">
        <f>[1]资金台帐!P244&amp;""</f>
      </c>
      <c r="Q244">
        <f>[1]资金台帐!Q244&amp;""</f>
      </c>
      <c r="T244">
        <f>[1]资金台帐!T244&amp;""</f>
      </c>
      <c r="U244">
        <f>[1]资金台帐!U244&amp;""</f>
      </c>
      <c r="W244">
        <f>[1]资金台帐!W244&amp;""</f>
      </c>
      <c r="X244">
        <f>[1]资金台帐!X244&amp;""</f>
      </c>
      <c r="AB244">
        <f>[1]资金台帐!AB244</f>
        <v>0</v>
      </c>
      <c r="AC244">
        <f>[1]资金台帐!AC244</f>
        <v>0</v>
      </c>
      <c r="AD244">
        <f>[1]资金台帐!AD244</f>
        <v>0</v>
      </c>
      <c r="AJ244">
        <f>[1]资金台帐!AJ244</f>
        <v>0</v>
      </c>
      <c r="AK244">
        <f>[1]资金台帐!AK244</f>
        <v>0</v>
      </c>
      <c r="BA244" s="22">
        <f t="shared" si="0"/>
      </c>
      <c r="BG244" s="22">
        <f t="shared" si="1"/>
      </c>
      <c r="BH244" s="22">
        <f t="shared" si="2"/>
        <v>0</v>
      </c>
    </row>
    <row r="245">
      <c r="B245">
        <f>[1]资金台帐!B245&amp;""</f>
      </c>
      <c r="H245">
        <f>[1]资金台帐!H245&amp;""</f>
      </c>
      <c r="J245">
        <f>[1]资金台帐!J245&amp;""</f>
      </c>
      <c r="N245">
        <f>[1]资金台帐!N245</f>
      </c>
      <c r="O245">
        <f>[1]资金台帐!O245&amp;""</f>
      </c>
      <c r="P245">
        <f>[1]资金台帐!P245&amp;""</f>
      </c>
      <c r="Q245">
        <f>[1]资金台帐!Q245&amp;""</f>
      </c>
      <c r="T245">
        <f>[1]资金台帐!T245&amp;""</f>
      </c>
      <c r="U245">
        <f>[1]资金台帐!U245&amp;""</f>
      </c>
      <c r="W245">
        <f>[1]资金台帐!W245&amp;""</f>
      </c>
      <c r="X245">
        <f>[1]资金台帐!X245&amp;""</f>
      </c>
      <c r="AB245">
        <f>[1]资金台帐!AB245</f>
        <v>0</v>
      </c>
      <c r="AC245">
        <f>[1]资金台帐!AC245</f>
        <v>0</v>
      </c>
      <c r="AD245">
        <f>[1]资金台帐!AD245</f>
        <v>0</v>
      </c>
      <c r="AJ245">
        <f>[1]资金台帐!AJ245</f>
        <v>0</v>
      </c>
      <c r="AK245">
        <f>[1]资金台帐!AK245</f>
        <v>0</v>
      </c>
      <c r="BA245" s="22">
        <f t="shared" si="0"/>
      </c>
      <c r="BG245" s="22">
        <f t="shared" si="1"/>
      </c>
      <c r="BH245" s="22">
        <f t="shared" si="2"/>
        <v>0</v>
      </c>
    </row>
    <row r="246">
      <c r="B246">
        <f>[1]资金台帐!B246&amp;""</f>
      </c>
      <c r="H246">
        <f>[1]资金台帐!H246&amp;""</f>
      </c>
      <c r="J246">
        <f>[1]资金台帐!J246&amp;""</f>
      </c>
      <c r="N246">
        <f>[1]资金台帐!N246</f>
      </c>
      <c r="O246">
        <f>[1]资金台帐!O246&amp;""</f>
      </c>
      <c r="P246">
        <f>[1]资金台帐!P246&amp;""</f>
      </c>
      <c r="Q246">
        <f>[1]资金台帐!Q246&amp;""</f>
      </c>
      <c r="T246">
        <f>[1]资金台帐!T246&amp;""</f>
      </c>
      <c r="U246">
        <f>[1]资金台帐!U246&amp;""</f>
      </c>
      <c r="W246">
        <f>[1]资金台帐!W246&amp;""</f>
      </c>
      <c r="X246">
        <f>[1]资金台帐!X246&amp;""</f>
      </c>
      <c r="AB246">
        <f>[1]资金台帐!AB246</f>
        <v>0</v>
      </c>
      <c r="AC246">
        <f>[1]资金台帐!AC246</f>
        <v>0</v>
      </c>
      <c r="AD246">
        <f>[1]资金台帐!AD246</f>
        <v>0</v>
      </c>
      <c r="AJ246">
        <f>[1]资金台帐!AJ246</f>
        <v>0</v>
      </c>
      <c r="AK246">
        <f>[1]资金台帐!AK246</f>
        <v>0</v>
      </c>
      <c r="BA246" s="22">
        <f t="shared" si="0"/>
      </c>
      <c r="BG246" s="22">
        <f t="shared" si="1"/>
      </c>
      <c r="BH246" s="22">
        <f t="shared" si="2"/>
        <v>0</v>
      </c>
    </row>
    <row r="247">
      <c r="B247">
        <f>[1]资金台帐!B247&amp;""</f>
      </c>
      <c r="H247">
        <f>[1]资金台帐!H247&amp;""</f>
      </c>
      <c r="J247">
        <f>[1]资金台帐!J247&amp;""</f>
      </c>
      <c r="N247">
        <f>[1]资金台帐!N247</f>
      </c>
      <c r="O247">
        <f>[1]资金台帐!O247&amp;""</f>
      </c>
      <c r="P247">
        <f>[1]资金台帐!P247&amp;""</f>
      </c>
      <c r="Q247">
        <f>[1]资金台帐!Q247&amp;""</f>
      </c>
      <c r="T247">
        <f>[1]资金台帐!T247&amp;""</f>
      </c>
      <c r="U247">
        <f>[1]资金台帐!U247&amp;""</f>
      </c>
      <c r="W247">
        <f>[1]资金台帐!W247&amp;""</f>
      </c>
      <c r="X247">
        <f>[1]资金台帐!X247&amp;""</f>
      </c>
      <c r="AB247">
        <f>[1]资金台帐!AB247</f>
        <v>0</v>
      </c>
      <c r="AC247">
        <f>[1]资金台帐!AC247</f>
        <v>0</v>
      </c>
      <c r="AD247">
        <f>[1]资金台帐!AD247</f>
        <v>0</v>
      </c>
      <c r="AJ247">
        <f>[1]资金台帐!AJ247</f>
        <v>0</v>
      </c>
      <c r="AK247">
        <f>[1]资金台帐!AK247</f>
        <v>0</v>
      </c>
      <c r="BA247" s="22">
        <f t="shared" si="0"/>
      </c>
      <c r="BG247" s="22">
        <f t="shared" si="1"/>
      </c>
      <c r="BH247" s="22">
        <f t="shared" si="2"/>
        <v>0</v>
      </c>
    </row>
    <row r="248">
      <c r="B248">
        <f>[1]资金台帐!B248&amp;""</f>
      </c>
      <c r="H248">
        <f>[1]资金台帐!H248&amp;""</f>
      </c>
      <c r="J248">
        <f>[1]资金台帐!J248&amp;""</f>
      </c>
      <c r="N248">
        <f>[1]资金台帐!N248</f>
      </c>
      <c r="O248">
        <f>[1]资金台帐!O248&amp;""</f>
      </c>
      <c r="P248">
        <f>[1]资金台帐!P248&amp;""</f>
      </c>
      <c r="Q248">
        <f>[1]资金台帐!Q248&amp;""</f>
      </c>
      <c r="T248">
        <f>[1]资金台帐!T248&amp;""</f>
      </c>
      <c r="U248">
        <f>[1]资金台帐!U248&amp;""</f>
      </c>
      <c r="W248">
        <f>[1]资金台帐!W248&amp;""</f>
      </c>
      <c r="X248">
        <f>[1]资金台帐!X248&amp;""</f>
      </c>
      <c r="AB248">
        <f>[1]资金台帐!AB248</f>
        <v>0</v>
      </c>
      <c r="AC248">
        <f>[1]资金台帐!AC248</f>
        <v>0</v>
      </c>
      <c r="AD248">
        <f>[1]资金台帐!AD248</f>
        <v>0</v>
      </c>
      <c r="AJ248">
        <f>[1]资金台帐!AJ248</f>
        <v>0</v>
      </c>
      <c r="AK248">
        <f>[1]资金台帐!AK248</f>
        <v>0</v>
      </c>
      <c r="BA248" s="22">
        <f t="shared" si="0"/>
      </c>
      <c r="BG248" s="22">
        <f t="shared" si="1"/>
      </c>
      <c r="BH248" s="22">
        <f t="shared" si="2"/>
        <v>0</v>
      </c>
    </row>
    <row r="249">
      <c r="B249">
        <f>[1]资金台帐!B249&amp;""</f>
      </c>
      <c r="H249">
        <f>[1]资金台帐!H249&amp;""</f>
      </c>
      <c r="J249">
        <f>[1]资金台帐!J249&amp;""</f>
      </c>
      <c r="N249">
        <f>[1]资金台帐!N249</f>
      </c>
      <c r="O249">
        <f>[1]资金台帐!O249&amp;""</f>
      </c>
      <c r="P249">
        <f>[1]资金台帐!P249&amp;""</f>
      </c>
      <c r="Q249">
        <f>[1]资金台帐!Q249&amp;""</f>
      </c>
      <c r="T249">
        <f>[1]资金台帐!T249&amp;""</f>
      </c>
      <c r="U249">
        <f>[1]资金台帐!U249&amp;""</f>
      </c>
      <c r="W249">
        <f>[1]资金台帐!W249&amp;""</f>
      </c>
      <c r="X249">
        <f>[1]资金台帐!X249&amp;""</f>
      </c>
      <c r="AB249">
        <f>[1]资金台帐!AB249</f>
        <v>0</v>
      </c>
      <c r="AC249">
        <f>[1]资金台帐!AC249</f>
        <v>0</v>
      </c>
      <c r="AD249">
        <f>[1]资金台帐!AD249</f>
        <v>0</v>
      </c>
      <c r="AJ249">
        <f>[1]资金台帐!AJ249</f>
        <v>0</v>
      </c>
      <c r="AK249">
        <f>[1]资金台帐!AK249</f>
        <v>0</v>
      </c>
      <c r="BA249" s="22">
        <f t="shared" si="0"/>
      </c>
      <c r="BG249" s="22">
        <f t="shared" si="1"/>
      </c>
      <c r="BH249" s="22">
        <f t="shared" si="2"/>
        <v>0</v>
      </c>
    </row>
    <row r="250">
      <c r="B250">
        <f>[1]资金台帐!B250&amp;""</f>
      </c>
      <c r="H250">
        <f>[1]资金台帐!H250&amp;""</f>
      </c>
      <c r="J250">
        <f>[1]资金台帐!J250&amp;""</f>
      </c>
      <c r="N250">
        <f>[1]资金台帐!N250</f>
      </c>
      <c r="O250">
        <f>[1]资金台帐!O250&amp;""</f>
      </c>
      <c r="P250">
        <f>[1]资金台帐!P250&amp;""</f>
      </c>
      <c r="Q250">
        <f>[1]资金台帐!Q250&amp;""</f>
      </c>
      <c r="T250">
        <f>[1]资金台帐!T250&amp;""</f>
      </c>
      <c r="U250">
        <f>[1]资金台帐!U250&amp;""</f>
      </c>
      <c r="W250">
        <f>[1]资金台帐!W250&amp;""</f>
      </c>
      <c r="X250">
        <f>[1]资金台帐!X250&amp;""</f>
      </c>
      <c r="AB250">
        <f>[1]资金台帐!AB250</f>
        <v>0</v>
      </c>
      <c r="AC250">
        <f>[1]资金台帐!AC250</f>
        <v>0</v>
      </c>
      <c r="AD250">
        <f>[1]资金台帐!AD250</f>
        <v>0</v>
      </c>
      <c r="AJ250">
        <f>[1]资金台帐!AJ250</f>
        <v>0</v>
      </c>
      <c r="AK250">
        <f>[1]资金台帐!AK250</f>
        <v>0</v>
      </c>
      <c r="BA250" s="22">
        <f t="shared" si="0"/>
      </c>
      <c r="BG250" s="22">
        <f t="shared" si="1"/>
      </c>
      <c r="BH250" s="22">
        <f t="shared" si="2"/>
        <v>0</v>
      </c>
    </row>
    <row r="251">
      <c r="B251">
        <f>[1]资金台帐!B251&amp;""</f>
      </c>
      <c r="H251">
        <f>[1]资金台帐!H251&amp;""</f>
      </c>
      <c r="J251">
        <f>[1]资金台帐!J251&amp;""</f>
      </c>
      <c r="N251">
        <f>[1]资金台帐!N251</f>
      </c>
      <c r="O251">
        <f>[1]资金台帐!O251&amp;""</f>
      </c>
      <c r="P251">
        <f>[1]资金台帐!P251&amp;""</f>
      </c>
      <c r="Q251">
        <f>[1]资金台帐!Q251&amp;""</f>
      </c>
      <c r="T251">
        <f>[1]资金台帐!T251&amp;""</f>
      </c>
      <c r="U251">
        <f>[1]资金台帐!U251&amp;""</f>
      </c>
      <c r="W251">
        <f>[1]资金台帐!W251&amp;""</f>
      </c>
      <c r="X251">
        <f>[1]资金台帐!X251&amp;""</f>
      </c>
      <c r="AB251">
        <f>[1]资金台帐!AB251</f>
        <v>0</v>
      </c>
      <c r="AC251">
        <f>[1]资金台帐!AC251</f>
        <v>0</v>
      </c>
      <c r="AD251">
        <f>[1]资金台帐!AD251</f>
        <v>0</v>
      </c>
      <c r="AJ251">
        <f>[1]资金台帐!AJ251</f>
        <v>0</v>
      </c>
      <c r="AK251">
        <f>[1]资金台帐!AK251</f>
        <v>0</v>
      </c>
      <c r="BA251" s="22">
        <f t="shared" si="0"/>
      </c>
      <c r="BG251" s="22">
        <f t="shared" si="1"/>
      </c>
      <c r="BH251" s="22">
        <f t="shared" si="2"/>
        <v>0</v>
      </c>
    </row>
    <row r="252">
      <c r="B252">
        <f>[1]资金台帐!B252&amp;""</f>
      </c>
      <c r="H252">
        <f>[1]资金台帐!H252&amp;""</f>
      </c>
      <c r="J252">
        <f>[1]资金台帐!J252&amp;""</f>
      </c>
      <c r="N252">
        <f>[1]资金台帐!N252</f>
      </c>
      <c r="O252">
        <f>[1]资金台帐!O252&amp;""</f>
      </c>
      <c r="P252">
        <f>[1]资金台帐!P252&amp;""</f>
      </c>
      <c r="Q252">
        <f>[1]资金台帐!Q252&amp;""</f>
      </c>
      <c r="T252">
        <f>[1]资金台帐!T252&amp;""</f>
      </c>
      <c r="U252">
        <f>[1]资金台帐!U252&amp;""</f>
      </c>
      <c r="W252">
        <f>[1]资金台帐!W252&amp;""</f>
      </c>
      <c r="X252">
        <f>[1]资金台帐!X252&amp;""</f>
      </c>
      <c r="AB252">
        <f>[1]资金台帐!AB252</f>
        <v>0</v>
      </c>
      <c r="AC252">
        <f>[1]资金台帐!AC252</f>
        <v>0</v>
      </c>
      <c r="AD252">
        <f>[1]资金台帐!AD252</f>
        <v>0</v>
      </c>
      <c r="AJ252">
        <f>[1]资金台帐!AJ252</f>
        <v>0</v>
      </c>
      <c r="AK252">
        <f>[1]资金台帐!AK252</f>
        <v>0</v>
      </c>
      <c r="BA252" s="22">
        <f t="shared" si="0"/>
      </c>
      <c r="BG252" s="22">
        <f t="shared" si="1"/>
      </c>
      <c r="BH252" s="22">
        <f t="shared" si="2"/>
        <v>0</v>
      </c>
    </row>
    <row r="253">
      <c r="B253">
        <f>[1]资金台帐!B253&amp;""</f>
      </c>
      <c r="H253">
        <f>[1]资金台帐!H253&amp;""</f>
      </c>
      <c r="J253">
        <f>[1]资金台帐!J253&amp;""</f>
      </c>
      <c r="N253">
        <f>[1]资金台帐!N253</f>
      </c>
      <c r="O253">
        <f>[1]资金台帐!O253&amp;""</f>
      </c>
      <c r="P253">
        <f>[1]资金台帐!P253&amp;""</f>
      </c>
      <c r="Q253">
        <f>[1]资金台帐!Q253&amp;""</f>
      </c>
      <c r="T253">
        <f>[1]资金台帐!T253&amp;""</f>
      </c>
      <c r="U253">
        <f>[1]资金台帐!U253&amp;""</f>
      </c>
      <c r="W253">
        <f>[1]资金台帐!W253&amp;""</f>
      </c>
      <c r="X253">
        <f>[1]资金台帐!X253&amp;""</f>
      </c>
      <c r="AB253">
        <f>[1]资金台帐!AB253</f>
        <v>0</v>
      </c>
      <c r="AC253">
        <f>[1]资金台帐!AC253</f>
        <v>0</v>
      </c>
      <c r="AD253">
        <f>[1]资金台帐!AD253</f>
        <v>0</v>
      </c>
      <c r="AJ253">
        <f>[1]资金台帐!AJ253</f>
        <v>0</v>
      </c>
      <c r="AK253">
        <f>[1]资金台帐!AK253</f>
        <v>0</v>
      </c>
      <c r="BA253" s="22">
        <f t="shared" si="0"/>
      </c>
      <c r="BG253" s="22">
        <f t="shared" si="1"/>
      </c>
      <c r="BH253" s="22">
        <f t="shared" si="2"/>
        <v>0</v>
      </c>
    </row>
    <row r="254">
      <c r="B254">
        <f>[1]资金台帐!B254&amp;""</f>
      </c>
      <c r="H254">
        <f>[1]资金台帐!H254&amp;""</f>
      </c>
      <c r="J254">
        <f>[1]资金台帐!J254&amp;""</f>
      </c>
      <c r="N254">
        <f>[1]资金台帐!N254</f>
      </c>
      <c r="O254">
        <f>[1]资金台帐!O254&amp;""</f>
      </c>
      <c r="P254">
        <f>[1]资金台帐!P254&amp;""</f>
      </c>
      <c r="Q254">
        <f>[1]资金台帐!Q254&amp;""</f>
      </c>
      <c r="T254">
        <f>[1]资金台帐!T254&amp;""</f>
      </c>
      <c r="U254">
        <f>[1]资金台帐!U254&amp;""</f>
      </c>
      <c r="W254">
        <f>[1]资金台帐!W254&amp;""</f>
      </c>
      <c r="X254">
        <f>[1]资金台帐!X254&amp;""</f>
      </c>
      <c r="AB254">
        <f>[1]资金台帐!AB254</f>
        <v>0</v>
      </c>
      <c r="AC254">
        <f>[1]资金台帐!AC254</f>
        <v>0</v>
      </c>
      <c r="AD254">
        <f>[1]资金台帐!AD254</f>
        <v>0</v>
      </c>
      <c r="AJ254">
        <f>[1]资金台帐!AJ254</f>
        <v>0</v>
      </c>
      <c r="AK254">
        <f>[1]资金台帐!AK254</f>
        <v>0</v>
      </c>
      <c r="BA254" s="22">
        <f t="shared" si="0"/>
      </c>
      <c r="BG254" s="22">
        <f t="shared" si="1"/>
      </c>
      <c r="BH254" s="22">
        <f t="shared" si="2"/>
        <v>0</v>
      </c>
    </row>
    <row r="255">
      <c r="B255">
        <f>[1]资金台帐!B255&amp;""</f>
      </c>
      <c r="H255">
        <f>[1]资金台帐!H255&amp;""</f>
      </c>
      <c r="J255">
        <f>[1]资金台帐!J255&amp;""</f>
      </c>
      <c r="N255">
        <f>[1]资金台帐!N255</f>
      </c>
      <c r="O255">
        <f>[1]资金台帐!O255&amp;""</f>
      </c>
      <c r="P255">
        <f>[1]资金台帐!P255&amp;""</f>
      </c>
      <c r="Q255">
        <f>[1]资金台帐!Q255&amp;""</f>
      </c>
      <c r="T255">
        <f>[1]资金台帐!T255&amp;""</f>
      </c>
      <c r="U255">
        <f>[1]资金台帐!U255&amp;""</f>
      </c>
      <c r="W255">
        <f>[1]资金台帐!W255&amp;""</f>
      </c>
      <c r="X255">
        <f>[1]资金台帐!X255&amp;""</f>
      </c>
      <c r="AB255">
        <f>[1]资金台帐!AB255</f>
        <v>0</v>
      </c>
      <c r="AC255">
        <f>[1]资金台帐!AC255</f>
        <v>0</v>
      </c>
      <c r="AD255">
        <f>[1]资金台帐!AD255</f>
        <v>0</v>
      </c>
      <c r="AJ255">
        <f>[1]资金台帐!AJ255</f>
        <v>0</v>
      </c>
      <c r="AK255">
        <f>[1]资金台帐!AK255</f>
        <v>0</v>
      </c>
      <c r="BA255" s="22">
        <f t="shared" si="0"/>
      </c>
      <c r="BG255" s="22">
        <f t="shared" si="1"/>
      </c>
      <c r="BH255" s="22">
        <f t="shared" si="2"/>
        <v>0</v>
      </c>
    </row>
    <row r="256">
      <c r="B256">
        <f>[1]资金台帐!B256&amp;""</f>
      </c>
      <c r="H256">
        <f>[1]资金台帐!H256&amp;""</f>
      </c>
      <c r="J256">
        <f>[1]资金台帐!J256&amp;""</f>
      </c>
      <c r="N256">
        <f>[1]资金台帐!N256</f>
      </c>
      <c r="O256">
        <f>[1]资金台帐!O256&amp;""</f>
      </c>
      <c r="P256">
        <f>[1]资金台帐!P256&amp;""</f>
      </c>
      <c r="Q256">
        <f>[1]资金台帐!Q256&amp;""</f>
      </c>
      <c r="T256">
        <f>[1]资金台帐!T256&amp;""</f>
      </c>
      <c r="U256">
        <f>[1]资金台帐!U256&amp;""</f>
      </c>
      <c r="W256">
        <f>[1]资金台帐!W256&amp;""</f>
      </c>
      <c r="X256">
        <f>[1]资金台帐!X256&amp;""</f>
      </c>
      <c r="AB256">
        <f>[1]资金台帐!AB256</f>
        <v>0</v>
      </c>
      <c r="AC256">
        <f>[1]资金台帐!AC256</f>
        <v>0</v>
      </c>
      <c r="AD256">
        <f>[1]资金台帐!AD256</f>
        <v>0</v>
      </c>
      <c r="AJ256">
        <f>[1]资金台帐!AJ256</f>
        <v>0</v>
      </c>
      <c r="AK256">
        <f>[1]资金台帐!AK256</f>
        <v>0</v>
      </c>
      <c r="BA256" s="22">
        <f t="shared" si="0"/>
      </c>
      <c r="BG256" s="22">
        <f t="shared" si="1"/>
      </c>
      <c r="BH256" s="22">
        <f t="shared" si="2"/>
        <v>0</v>
      </c>
    </row>
    <row r="257">
      <c r="B257">
        <f>[1]资金台帐!B257&amp;""</f>
      </c>
      <c r="H257">
        <f>[1]资金台帐!H257&amp;""</f>
      </c>
      <c r="J257">
        <f>[1]资金台帐!J257&amp;""</f>
      </c>
      <c r="N257">
        <f>[1]资金台帐!N257</f>
      </c>
      <c r="O257">
        <f>[1]资金台帐!O257&amp;""</f>
      </c>
      <c r="P257">
        <f>[1]资金台帐!P257&amp;""</f>
      </c>
      <c r="Q257">
        <f>[1]资金台帐!Q257&amp;""</f>
      </c>
      <c r="T257">
        <f>[1]资金台帐!T257&amp;""</f>
      </c>
      <c r="U257">
        <f>[1]资金台帐!U257&amp;""</f>
      </c>
      <c r="W257">
        <f>[1]资金台帐!W257&amp;""</f>
      </c>
      <c r="X257">
        <f>[1]资金台帐!X257&amp;""</f>
      </c>
      <c r="AB257">
        <f>[1]资金台帐!AB257</f>
        <v>0</v>
      </c>
      <c r="AC257">
        <f>[1]资金台帐!AC257</f>
        <v>0</v>
      </c>
      <c r="AD257">
        <f>[1]资金台帐!AD257</f>
        <v>0</v>
      </c>
      <c r="AJ257">
        <f>[1]资金台帐!AJ257</f>
        <v>0</v>
      </c>
      <c r="AK257">
        <f>[1]资金台帐!AK257</f>
        <v>0</v>
      </c>
      <c r="BA257" s="22">
        <f t="shared" si="0"/>
      </c>
      <c r="BG257" s="22">
        <f t="shared" si="1"/>
      </c>
      <c r="BH257" s="22">
        <f t="shared" si="2"/>
        <v>0</v>
      </c>
    </row>
    <row r="258">
      <c r="B258">
        <f>[1]资金台帐!B258&amp;""</f>
      </c>
      <c r="H258">
        <f>[1]资金台帐!H258&amp;""</f>
      </c>
      <c r="J258">
        <f>[1]资金台帐!J258&amp;""</f>
      </c>
      <c r="N258">
        <f>[1]资金台帐!N258</f>
      </c>
      <c r="O258">
        <f>[1]资金台帐!O258&amp;""</f>
      </c>
      <c r="P258">
        <f>[1]资金台帐!P258&amp;""</f>
      </c>
      <c r="Q258">
        <f>[1]资金台帐!Q258&amp;""</f>
      </c>
      <c r="T258">
        <f>[1]资金台帐!T258&amp;""</f>
      </c>
      <c r="U258">
        <f>[1]资金台帐!U258&amp;""</f>
      </c>
      <c r="W258">
        <f>[1]资金台帐!W258&amp;""</f>
      </c>
      <c r="X258">
        <f>[1]资金台帐!X258&amp;""</f>
      </c>
      <c r="AB258">
        <f>[1]资金台帐!AB258</f>
        <v>0</v>
      </c>
      <c r="AC258">
        <f>[1]资金台帐!AC258</f>
        <v>0</v>
      </c>
      <c r="AD258">
        <f>[1]资金台帐!AD258</f>
        <v>0</v>
      </c>
      <c r="AJ258">
        <f>[1]资金台帐!AJ258</f>
        <v>0</v>
      </c>
      <c r="AK258">
        <f>[1]资金台帐!AK258</f>
        <v>0</v>
      </c>
      <c r="BA258" s="22">
        <f t="shared" si="0"/>
      </c>
      <c r="BG258" s="22">
        <f t="shared" si="1"/>
      </c>
      <c r="BH258" s="22">
        <f t="shared" si="2"/>
        <v>0</v>
      </c>
    </row>
    <row r="259">
      <c r="B259">
        <f>[1]资金台帐!B259&amp;""</f>
      </c>
      <c r="H259">
        <f>[1]资金台帐!H259&amp;""</f>
      </c>
      <c r="J259">
        <f>[1]资金台帐!J259&amp;""</f>
      </c>
      <c r="N259">
        <f>[1]资金台帐!N259</f>
      </c>
      <c r="O259">
        <f>[1]资金台帐!O259&amp;""</f>
      </c>
      <c r="P259">
        <f>[1]资金台帐!P259&amp;""</f>
      </c>
      <c r="Q259">
        <f>[1]资金台帐!Q259&amp;""</f>
      </c>
      <c r="T259">
        <f>[1]资金台帐!T259&amp;""</f>
      </c>
      <c r="U259">
        <f>[1]资金台帐!U259&amp;""</f>
      </c>
      <c r="W259">
        <f>[1]资金台帐!W259&amp;""</f>
      </c>
      <c r="X259">
        <f>[1]资金台帐!X259&amp;""</f>
      </c>
      <c r="AB259">
        <f>[1]资金台帐!AB259</f>
        <v>0</v>
      </c>
      <c r="AC259">
        <f>[1]资金台帐!AC259</f>
        <v>0</v>
      </c>
      <c r="AD259">
        <f>[1]资金台帐!AD259</f>
        <v>0</v>
      </c>
      <c r="AJ259">
        <f>[1]资金台帐!AJ259</f>
        <v>0</v>
      </c>
      <c r="AK259">
        <f>[1]资金台帐!AK259</f>
        <v>0</v>
      </c>
      <c r="BA259" s="22">
        <f t="shared" si="0"/>
      </c>
      <c r="BG259" s="22">
        <f t="shared" si="1"/>
      </c>
      <c r="BH259" s="22">
        <f t="shared" si="2"/>
        <v>0</v>
      </c>
    </row>
    <row r="260">
      <c r="B260">
        <f>[1]资金台帐!B260&amp;""</f>
      </c>
      <c r="H260">
        <f>[1]资金台帐!H260&amp;""</f>
      </c>
      <c r="J260">
        <f>[1]资金台帐!J260&amp;""</f>
      </c>
      <c r="N260">
        <f>[1]资金台帐!N260</f>
      </c>
      <c r="O260">
        <f>[1]资金台帐!O260&amp;""</f>
      </c>
      <c r="P260">
        <f>[1]资金台帐!P260&amp;""</f>
      </c>
      <c r="Q260">
        <f>[1]资金台帐!Q260&amp;""</f>
      </c>
      <c r="T260">
        <f>[1]资金台帐!T260&amp;""</f>
      </c>
      <c r="U260">
        <f>[1]资金台帐!U260&amp;""</f>
      </c>
      <c r="W260">
        <f>[1]资金台帐!W260&amp;""</f>
      </c>
      <c r="X260">
        <f>[1]资金台帐!X260&amp;""</f>
      </c>
      <c r="AB260">
        <f>[1]资金台帐!AB260</f>
        <v>0</v>
      </c>
      <c r="AC260">
        <f>[1]资金台帐!AC260</f>
        <v>0</v>
      </c>
      <c r="AD260">
        <f>[1]资金台帐!AD260</f>
        <v>0</v>
      </c>
      <c r="AJ260">
        <f>[1]资金台帐!AJ260</f>
        <v>0</v>
      </c>
      <c r="AK260">
        <f>[1]资金台帐!AK260</f>
        <v>0</v>
      </c>
      <c r="BA260" s="22">
        <f t="shared" si="0"/>
      </c>
      <c r="BG260" s="22">
        <f t="shared" si="1"/>
      </c>
      <c r="BH260" s="22">
        <f t="shared" si="2"/>
        <v>0</v>
      </c>
    </row>
    <row r="261">
      <c r="B261">
        <f>[1]资金台帐!B261&amp;""</f>
      </c>
      <c r="H261">
        <f>[1]资金台帐!H261&amp;""</f>
      </c>
      <c r="J261">
        <f>[1]资金台帐!J261&amp;""</f>
      </c>
      <c r="N261">
        <f>[1]资金台帐!N261</f>
      </c>
      <c r="O261">
        <f>[1]资金台帐!O261&amp;""</f>
      </c>
      <c r="P261">
        <f>[1]资金台帐!P261&amp;""</f>
      </c>
      <c r="Q261">
        <f>[1]资金台帐!Q261&amp;""</f>
      </c>
      <c r="T261">
        <f>[1]资金台帐!T261&amp;""</f>
      </c>
      <c r="U261">
        <f>[1]资金台帐!U261&amp;""</f>
      </c>
      <c r="W261">
        <f>[1]资金台帐!W261&amp;""</f>
      </c>
      <c r="X261">
        <f>[1]资金台帐!X261&amp;""</f>
      </c>
      <c r="AB261">
        <f>[1]资金台帐!AB261</f>
        <v>0</v>
      </c>
      <c r="AC261">
        <f>[1]资金台帐!AC261</f>
        <v>0</v>
      </c>
      <c r="AD261">
        <f>[1]资金台帐!AD261</f>
        <v>0</v>
      </c>
      <c r="AJ261">
        <f>[1]资金台帐!AJ261</f>
        <v>0</v>
      </c>
      <c r="AK261">
        <f>[1]资金台帐!AK261</f>
        <v>0</v>
      </c>
      <c r="BA261" s="22">
        <f t="shared" si="0"/>
      </c>
      <c r="BG261" s="22">
        <f t="shared" si="1"/>
      </c>
      <c r="BH261" s="22">
        <f t="shared" si="2"/>
        <v>0</v>
      </c>
    </row>
    <row r="262">
      <c r="B262">
        <f>[1]资金台帐!B262&amp;""</f>
      </c>
      <c r="H262">
        <f>[1]资金台帐!H262&amp;""</f>
      </c>
      <c r="J262">
        <f>[1]资金台帐!J262&amp;""</f>
      </c>
      <c r="N262">
        <f>[1]资金台帐!N262</f>
      </c>
      <c r="O262">
        <f>[1]资金台帐!O262&amp;""</f>
      </c>
      <c r="P262">
        <f>[1]资金台帐!P262&amp;""</f>
      </c>
      <c r="Q262">
        <f>[1]资金台帐!Q262&amp;""</f>
      </c>
      <c r="T262">
        <f>[1]资金台帐!T262&amp;""</f>
      </c>
      <c r="U262">
        <f>[1]资金台帐!U262&amp;""</f>
      </c>
      <c r="W262">
        <f>[1]资金台帐!W262&amp;""</f>
      </c>
      <c r="X262">
        <f>[1]资金台帐!X262&amp;""</f>
      </c>
      <c r="AB262">
        <f>[1]资金台帐!AB262</f>
        <v>0</v>
      </c>
      <c r="AC262">
        <f>[1]资金台帐!AC262</f>
        <v>0</v>
      </c>
      <c r="AD262">
        <f>[1]资金台帐!AD262</f>
        <v>0</v>
      </c>
      <c r="AJ262">
        <f>[1]资金台帐!AJ262</f>
        <v>0</v>
      </c>
      <c r="AK262">
        <f>[1]资金台帐!AK262</f>
        <v>0</v>
      </c>
      <c r="BA262" s="22">
        <f t="shared" si="0"/>
      </c>
      <c r="BG262" s="22">
        <f t="shared" si="1"/>
      </c>
      <c r="BH262" s="22">
        <f t="shared" si="2"/>
        <v>0</v>
      </c>
    </row>
    <row r="263">
      <c r="B263">
        <f>[1]资金台帐!B263&amp;""</f>
      </c>
      <c r="H263">
        <f>[1]资金台帐!H263&amp;""</f>
      </c>
      <c r="J263">
        <f>[1]资金台帐!J263&amp;""</f>
      </c>
      <c r="N263">
        <f>[1]资金台帐!N263</f>
      </c>
      <c r="O263">
        <f>[1]资金台帐!O263&amp;""</f>
      </c>
      <c r="P263">
        <f>[1]资金台帐!P263&amp;""</f>
      </c>
      <c r="Q263">
        <f>[1]资金台帐!Q263&amp;""</f>
      </c>
      <c r="T263">
        <f>[1]资金台帐!T263&amp;""</f>
      </c>
      <c r="U263">
        <f>[1]资金台帐!U263&amp;""</f>
      </c>
      <c r="W263">
        <f>[1]资金台帐!W263&amp;""</f>
      </c>
      <c r="X263">
        <f>[1]资金台帐!X263&amp;""</f>
      </c>
      <c r="AB263">
        <f>[1]资金台帐!AB263</f>
        <v>0</v>
      </c>
      <c r="AC263">
        <f>[1]资金台帐!AC263</f>
        <v>0</v>
      </c>
      <c r="AD263">
        <f>[1]资金台帐!AD263</f>
        <v>0</v>
      </c>
      <c r="AJ263">
        <f>[1]资金台帐!AJ263</f>
        <v>0</v>
      </c>
      <c r="AK263">
        <f>[1]资金台帐!AK263</f>
        <v>0</v>
      </c>
      <c r="BA263" s="22">
        <f t="shared" si="0"/>
      </c>
      <c r="BG263" s="22">
        <f t="shared" si="1"/>
      </c>
      <c r="BH263" s="22">
        <f t="shared" si="2"/>
        <v>0</v>
      </c>
    </row>
    <row r="264">
      <c r="B264">
        <f>[1]资金台帐!B264&amp;""</f>
      </c>
      <c r="H264">
        <f>[1]资金台帐!H264&amp;""</f>
      </c>
      <c r="J264">
        <f>[1]资金台帐!J264&amp;""</f>
      </c>
      <c r="N264">
        <f>[1]资金台帐!N264</f>
      </c>
      <c r="O264">
        <f>[1]资金台帐!O264&amp;""</f>
      </c>
      <c r="P264">
        <f>[1]资金台帐!P264&amp;""</f>
      </c>
      <c r="Q264">
        <f>[1]资金台帐!Q264&amp;""</f>
      </c>
      <c r="T264">
        <f>[1]资金台帐!T264&amp;""</f>
      </c>
      <c r="U264">
        <f>[1]资金台帐!U264&amp;""</f>
      </c>
      <c r="W264">
        <f>[1]资金台帐!W264&amp;""</f>
      </c>
      <c r="X264">
        <f>[1]资金台帐!X264&amp;""</f>
      </c>
      <c r="AB264">
        <f>[1]资金台帐!AB264</f>
        <v>0</v>
      </c>
      <c r="AC264">
        <f>[1]资金台帐!AC264</f>
        <v>0</v>
      </c>
      <c r="AD264">
        <f>[1]资金台帐!AD264</f>
        <v>0</v>
      </c>
      <c r="AJ264">
        <f>[1]资金台帐!AJ264</f>
        <v>0</v>
      </c>
      <c r="AK264">
        <f>[1]资金台帐!AK264</f>
        <v>0</v>
      </c>
      <c r="BA264" s="22">
        <f t="shared" si="0"/>
      </c>
      <c r="BG264" s="22">
        <f t="shared" si="1"/>
      </c>
      <c r="BH264" s="22">
        <f t="shared" si="2"/>
        <v>0</v>
      </c>
    </row>
    <row r="265">
      <c r="B265">
        <f>[1]资金台帐!B265&amp;""</f>
      </c>
      <c r="H265">
        <f>[1]资金台帐!H265&amp;""</f>
      </c>
      <c r="J265">
        <f>[1]资金台帐!J265&amp;""</f>
      </c>
      <c r="N265">
        <f>[1]资金台帐!N265</f>
      </c>
      <c r="O265">
        <f>[1]资金台帐!O265&amp;""</f>
      </c>
      <c r="P265">
        <f>[1]资金台帐!P265&amp;""</f>
      </c>
      <c r="Q265">
        <f>[1]资金台帐!Q265&amp;""</f>
      </c>
      <c r="T265">
        <f>[1]资金台帐!T265&amp;""</f>
      </c>
      <c r="U265">
        <f>[1]资金台帐!U265&amp;""</f>
      </c>
      <c r="W265">
        <f>[1]资金台帐!W265&amp;""</f>
      </c>
      <c r="X265">
        <f>[1]资金台帐!X265&amp;""</f>
      </c>
      <c r="AB265">
        <f>[1]资金台帐!AB265</f>
        <v>0</v>
      </c>
      <c r="AC265">
        <f>[1]资金台帐!AC265</f>
        <v>0</v>
      </c>
      <c r="AD265">
        <f>[1]资金台帐!AD265</f>
        <v>0</v>
      </c>
      <c r="AJ265">
        <f>[1]资金台帐!AJ265</f>
        <v>0</v>
      </c>
      <c r="AK265">
        <f>[1]资金台帐!AK265</f>
        <v>0</v>
      </c>
      <c r="BA265" s="22">
        <f t="shared" si="0"/>
      </c>
      <c r="BG265" s="22">
        <f t="shared" si="1"/>
      </c>
      <c r="BH265" s="22">
        <f t="shared" si="2"/>
        <v>0</v>
      </c>
    </row>
    <row r="266">
      <c r="B266">
        <f>[1]资金台帐!B266&amp;""</f>
      </c>
      <c r="H266">
        <f>[1]资金台帐!H266&amp;""</f>
      </c>
      <c r="J266">
        <f>[1]资金台帐!J266&amp;""</f>
      </c>
      <c r="N266">
        <f>[1]资金台帐!N266</f>
      </c>
      <c r="O266">
        <f>[1]资金台帐!O266&amp;""</f>
      </c>
      <c r="P266">
        <f>[1]资金台帐!P266&amp;""</f>
      </c>
      <c r="Q266">
        <f>[1]资金台帐!Q266&amp;""</f>
      </c>
      <c r="T266">
        <f>[1]资金台帐!T266&amp;""</f>
      </c>
      <c r="U266">
        <f>[1]资金台帐!U266&amp;""</f>
      </c>
      <c r="W266">
        <f>[1]资金台帐!W266&amp;""</f>
      </c>
      <c r="X266">
        <f>[1]资金台帐!X266&amp;""</f>
      </c>
      <c r="AB266">
        <f>[1]资金台帐!AB266</f>
        <v>0</v>
      </c>
      <c r="AC266">
        <f>[1]资金台帐!AC266</f>
        <v>0</v>
      </c>
      <c r="AD266">
        <f>[1]资金台帐!AD266</f>
        <v>0</v>
      </c>
      <c r="AJ266">
        <f>[1]资金台帐!AJ266</f>
        <v>0</v>
      </c>
      <c r="AK266">
        <f>[1]资金台帐!AK266</f>
        <v>0</v>
      </c>
      <c r="BA266" s="22">
        <f t="shared" si="0"/>
      </c>
      <c r="BG266" s="22">
        <f t="shared" si="1"/>
      </c>
      <c r="BH266" s="22">
        <f t="shared" si="2"/>
        <v>0</v>
      </c>
    </row>
    <row r="267">
      <c r="B267">
        <f>[1]资金台帐!B267&amp;""</f>
      </c>
      <c r="H267">
        <f>[1]资金台帐!H267&amp;""</f>
      </c>
      <c r="J267">
        <f>[1]资金台帐!J267&amp;""</f>
      </c>
      <c r="N267">
        <f>[1]资金台帐!N267</f>
      </c>
      <c r="O267">
        <f>[1]资金台帐!O267&amp;""</f>
      </c>
      <c r="P267">
        <f>[1]资金台帐!P267&amp;""</f>
      </c>
      <c r="Q267">
        <f>[1]资金台帐!Q267&amp;""</f>
      </c>
      <c r="T267">
        <f>[1]资金台帐!T267&amp;""</f>
      </c>
      <c r="U267">
        <f>[1]资金台帐!U267&amp;""</f>
      </c>
      <c r="W267">
        <f>[1]资金台帐!W267&amp;""</f>
      </c>
      <c r="X267">
        <f>[1]资金台帐!X267&amp;""</f>
      </c>
      <c r="AB267">
        <f>[1]资金台帐!AB267</f>
        <v>0</v>
      </c>
      <c r="AC267">
        <f>[1]资金台帐!AC267</f>
        <v>0</v>
      </c>
      <c r="AD267">
        <f>[1]资金台帐!AD267</f>
        <v>0</v>
      </c>
      <c r="AJ267">
        <f>[1]资金台帐!AJ267</f>
        <v>0</v>
      </c>
      <c r="AK267">
        <f>[1]资金台帐!AK267</f>
        <v>0</v>
      </c>
      <c r="BA267" s="22">
        <f t="shared" si="0"/>
      </c>
      <c r="BG267" s="22">
        <f t="shared" si="1"/>
      </c>
      <c r="BH267" s="22">
        <f t="shared" si="2"/>
        <v>0</v>
      </c>
    </row>
    <row r="268">
      <c r="B268">
        <f>[1]资金台帐!B268&amp;""</f>
      </c>
      <c r="H268">
        <f>[1]资金台帐!H268&amp;""</f>
      </c>
      <c r="J268">
        <f>[1]资金台帐!J268&amp;""</f>
      </c>
      <c r="N268">
        <f>[1]资金台帐!N268</f>
      </c>
      <c r="O268">
        <f>[1]资金台帐!O268&amp;""</f>
      </c>
      <c r="P268">
        <f>[1]资金台帐!P268&amp;""</f>
      </c>
      <c r="Q268">
        <f>[1]资金台帐!Q268&amp;""</f>
      </c>
      <c r="T268">
        <f>[1]资金台帐!T268&amp;""</f>
      </c>
      <c r="U268">
        <f>[1]资金台帐!U268&amp;""</f>
      </c>
      <c r="W268">
        <f>[1]资金台帐!W268&amp;""</f>
      </c>
      <c r="X268">
        <f>[1]资金台帐!X268&amp;""</f>
      </c>
      <c r="AB268">
        <f>[1]资金台帐!AB268</f>
        <v>0</v>
      </c>
      <c r="AC268">
        <f>[1]资金台帐!AC268</f>
        <v>0</v>
      </c>
      <c r="AD268">
        <f>[1]资金台帐!AD268</f>
        <v>0</v>
      </c>
      <c r="AJ268">
        <f>[1]资金台帐!AJ268</f>
        <v>0</v>
      </c>
      <c r="AK268">
        <f>[1]资金台帐!AK268</f>
        <v>0</v>
      </c>
      <c r="BA268" s="22">
        <f t="shared" si="0"/>
      </c>
      <c r="BG268" s="22">
        <f t="shared" si="1"/>
      </c>
      <c r="BH268" s="22">
        <f t="shared" si="2"/>
        <v>0</v>
      </c>
    </row>
    <row r="269">
      <c r="B269">
        <f>[1]资金台帐!B269&amp;""</f>
      </c>
      <c r="H269">
        <f>[1]资金台帐!H269&amp;""</f>
      </c>
      <c r="J269">
        <f>[1]资金台帐!J269&amp;""</f>
      </c>
      <c r="N269">
        <f>[1]资金台帐!N269</f>
      </c>
      <c r="O269">
        <f>[1]资金台帐!O269&amp;""</f>
      </c>
      <c r="P269">
        <f>[1]资金台帐!P269&amp;""</f>
      </c>
      <c r="Q269">
        <f>[1]资金台帐!Q269&amp;""</f>
      </c>
      <c r="T269">
        <f>[1]资金台帐!T269&amp;""</f>
      </c>
      <c r="U269">
        <f>[1]资金台帐!U269&amp;""</f>
      </c>
      <c r="W269">
        <f>[1]资金台帐!W269&amp;""</f>
      </c>
      <c r="X269">
        <f>[1]资金台帐!X269&amp;""</f>
      </c>
      <c r="AB269">
        <f>[1]资金台帐!AB269</f>
        <v>0</v>
      </c>
      <c r="AC269">
        <f>[1]资金台帐!AC269</f>
        <v>0</v>
      </c>
      <c r="AD269">
        <f>[1]资金台帐!AD269</f>
        <v>0</v>
      </c>
      <c r="AJ269">
        <f>[1]资金台帐!AJ269</f>
        <v>0</v>
      </c>
      <c r="AK269">
        <f>[1]资金台帐!AK269</f>
        <v>0</v>
      </c>
      <c r="BA269" s="22">
        <f t="shared" si="0"/>
      </c>
      <c r="BG269" s="22">
        <f t="shared" si="1"/>
      </c>
      <c r="BH269" s="22">
        <f t="shared" si="2"/>
        <v>0</v>
      </c>
    </row>
    <row r="270">
      <c r="B270">
        <f>[1]资金台帐!B270&amp;""</f>
      </c>
      <c r="H270">
        <f>[1]资金台帐!H270&amp;""</f>
      </c>
      <c r="J270">
        <f>[1]资金台帐!J270&amp;""</f>
      </c>
      <c r="N270">
        <f>[1]资金台帐!N270</f>
      </c>
      <c r="O270">
        <f>[1]资金台帐!O270&amp;""</f>
      </c>
      <c r="P270">
        <f>[1]资金台帐!P270&amp;""</f>
      </c>
      <c r="Q270">
        <f>[1]资金台帐!Q270&amp;""</f>
      </c>
      <c r="T270">
        <f>[1]资金台帐!T270&amp;""</f>
      </c>
      <c r="U270">
        <f>[1]资金台帐!U270&amp;""</f>
      </c>
      <c r="W270">
        <f>[1]资金台帐!W270&amp;""</f>
      </c>
      <c r="X270">
        <f>[1]资金台帐!X270&amp;""</f>
      </c>
      <c r="AB270">
        <f>[1]资金台帐!AB270</f>
        <v>0</v>
      </c>
      <c r="AC270">
        <f>[1]资金台帐!AC270</f>
        <v>0</v>
      </c>
      <c r="AD270">
        <f>[1]资金台帐!AD270</f>
        <v>0</v>
      </c>
      <c r="AJ270">
        <f>[1]资金台帐!AJ270</f>
        <v>0</v>
      </c>
      <c r="AK270">
        <f>[1]资金台帐!AK270</f>
        <v>0</v>
      </c>
      <c r="BA270" s="22">
        <f t="shared" si="0"/>
      </c>
      <c r="BG270" s="22">
        <f t="shared" si="1"/>
      </c>
      <c r="BH270" s="22">
        <f t="shared" si="2"/>
        <v>0</v>
      </c>
    </row>
    <row r="271">
      <c r="B271">
        <f>[1]资金台帐!B271&amp;""</f>
      </c>
      <c r="H271">
        <f>[1]资金台帐!H271&amp;""</f>
      </c>
      <c r="J271">
        <f>[1]资金台帐!J271&amp;""</f>
      </c>
      <c r="N271">
        <f>[1]资金台帐!N271</f>
      </c>
      <c r="O271">
        <f>[1]资金台帐!O271&amp;""</f>
      </c>
      <c r="P271">
        <f>[1]资金台帐!P271&amp;""</f>
      </c>
      <c r="Q271">
        <f>[1]资金台帐!Q271&amp;""</f>
      </c>
      <c r="T271">
        <f>[1]资金台帐!T271&amp;""</f>
      </c>
      <c r="U271">
        <f>[1]资金台帐!U271&amp;""</f>
      </c>
      <c r="W271">
        <f>[1]资金台帐!W271&amp;""</f>
      </c>
      <c r="X271">
        <f>[1]资金台帐!X271&amp;""</f>
      </c>
      <c r="AB271">
        <f>[1]资金台帐!AB271</f>
        <v>0</v>
      </c>
      <c r="AC271">
        <f>[1]资金台帐!AC271</f>
        <v>0</v>
      </c>
      <c r="AD271">
        <f>[1]资金台帐!AD271</f>
        <v>0</v>
      </c>
      <c r="AJ271">
        <f>[1]资金台帐!AJ271</f>
        <v>0</v>
      </c>
      <c r="AK271">
        <f>[1]资金台帐!AK271</f>
        <v>0</v>
      </c>
      <c r="BA271" s="22">
        <f t="shared" si="0"/>
      </c>
      <c r="BG271" s="22">
        <f t="shared" si="1"/>
      </c>
      <c r="BH271" s="22">
        <f t="shared" si="2"/>
        <v>0</v>
      </c>
    </row>
    <row r="272">
      <c r="B272">
        <f>[1]资金台帐!B272&amp;""</f>
      </c>
      <c r="H272">
        <f>[1]资金台帐!H272&amp;""</f>
      </c>
      <c r="J272">
        <f>[1]资金台帐!J272&amp;""</f>
      </c>
      <c r="N272">
        <f>[1]资金台帐!N272</f>
      </c>
      <c r="O272">
        <f>[1]资金台帐!O272&amp;""</f>
      </c>
      <c r="P272">
        <f>[1]资金台帐!P272&amp;""</f>
      </c>
      <c r="Q272">
        <f>[1]资金台帐!Q272&amp;""</f>
      </c>
      <c r="T272">
        <f>[1]资金台帐!T272&amp;""</f>
      </c>
      <c r="U272">
        <f>[1]资金台帐!U272&amp;""</f>
      </c>
      <c r="W272">
        <f>[1]资金台帐!W272&amp;""</f>
      </c>
      <c r="X272">
        <f>[1]资金台帐!X272&amp;""</f>
      </c>
      <c r="AB272">
        <f>[1]资金台帐!AB272</f>
        <v>0</v>
      </c>
      <c r="AC272">
        <f>[1]资金台帐!AC272</f>
        <v>0</v>
      </c>
      <c r="AD272">
        <f>[1]资金台帐!AD272</f>
        <v>0</v>
      </c>
      <c r="AJ272">
        <f>[1]资金台帐!AJ272</f>
        <v>0</v>
      </c>
      <c r="AK272">
        <f>[1]资金台帐!AK272</f>
        <v>0</v>
      </c>
      <c r="BA272" s="22">
        <f t="shared" si="0"/>
      </c>
      <c r="BG272" s="22">
        <f t="shared" si="1"/>
      </c>
      <c r="BH272" s="22">
        <f t="shared" si="2"/>
        <v>0</v>
      </c>
    </row>
    <row r="273">
      <c r="B273">
        <f>[1]资金台帐!B273&amp;""</f>
      </c>
      <c r="H273">
        <f>[1]资金台帐!H273&amp;""</f>
      </c>
      <c r="J273">
        <f>[1]资金台帐!J273&amp;""</f>
      </c>
      <c r="N273">
        <f>[1]资金台帐!N273</f>
      </c>
      <c r="O273">
        <f>[1]资金台帐!O273&amp;""</f>
      </c>
      <c r="P273">
        <f>[1]资金台帐!P273&amp;""</f>
      </c>
      <c r="Q273">
        <f>[1]资金台帐!Q273&amp;""</f>
      </c>
      <c r="T273">
        <f>[1]资金台帐!T273&amp;""</f>
      </c>
      <c r="U273">
        <f>[1]资金台帐!U273&amp;""</f>
      </c>
      <c r="W273">
        <f>[1]资金台帐!W273&amp;""</f>
      </c>
      <c r="X273">
        <f>[1]资金台帐!X273&amp;""</f>
      </c>
      <c r="AB273">
        <f>[1]资金台帐!AB273</f>
        <v>0</v>
      </c>
      <c r="AC273">
        <f>[1]资金台帐!AC273</f>
        <v>0</v>
      </c>
      <c r="AD273">
        <f>[1]资金台帐!AD273</f>
        <v>0</v>
      </c>
      <c r="AJ273">
        <f>[1]资金台帐!AJ273</f>
        <v>0</v>
      </c>
      <c r="AK273">
        <f>[1]资金台帐!AK273</f>
        <v>0</v>
      </c>
      <c r="BA273" s="22">
        <f t="shared" si="0"/>
      </c>
      <c r="BG273" s="22">
        <f t="shared" si="1"/>
      </c>
      <c r="BH273" s="22">
        <f t="shared" si="2"/>
        <v>0</v>
      </c>
    </row>
    <row r="274">
      <c r="B274">
        <f>[1]资金台帐!B274&amp;""</f>
      </c>
      <c r="H274">
        <f>[1]资金台帐!H274&amp;""</f>
      </c>
      <c r="J274">
        <f>[1]资金台帐!J274&amp;""</f>
      </c>
      <c r="N274">
        <f>[1]资金台帐!N274</f>
      </c>
      <c r="O274">
        <f>[1]资金台帐!O274&amp;""</f>
      </c>
      <c r="P274">
        <f>[1]资金台帐!P274&amp;""</f>
      </c>
      <c r="Q274">
        <f>[1]资金台帐!Q274&amp;""</f>
      </c>
      <c r="T274">
        <f>[1]资金台帐!T274&amp;""</f>
      </c>
      <c r="U274">
        <f>[1]资金台帐!U274&amp;""</f>
      </c>
      <c r="W274">
        <f>[1]资金台帐!W274&amp;""</f>
      </c>
      <c r="X274">
        <f>[1]资金台帐!X274&amp;""</f>
      </c>
      <c r="AB274">
        <f>[1]资金台帐!AB274</f>
        <v>0</v>
      </c>
      <c r="AC274">
        <f>[1]资金台帐!AC274</f>
        <v>0</v>
      </c>
      <c r="AD274">
        <f>[1]资金台帐!AD274</f>
        <v>0</v>
      </c>
      <c r="AJ274">
        <f>[1]资金台帐!AJ274</f>
        <v>0</v>
      </c>
      <c r="AK274">
        <f>[1]资金台帐!AK274</f>
        <v>0</v>
      </c>
      <c r="BA274" s="22">
        <f t="shared" si="0"/>
      </c>
      <c r="BG274" s="22">
        <f t="shared" si="1"/>
      </c>
      <c r="BH274" s="22">
        <f t="shared" si="2"/>
        <v>0</v>
      </c>
    </row>
    <row r="275">
      <c r="B275">
        <f>[1]资金台帐!B275&amp;""</f>
      </c>
      <c r="H275">
        <f>[1]资金台帐!H275&amp;""</f>
      </c>
      <c r="J275">
        <f>[1]资金台帐!J275&amp;""</f>
      </c>
      <c r="N275">
        <f>[1]资金台帐!N275</f>
      </c>
      <c r="O275">
        <f>[1]资金台帐!O275&amp;""</f>
      </c>
      <c r="P275">
        <f>[1]资金台帐!P275&amp;""</f>
      </c>
      <c r="Q275">
        <f>[1]资金台帐!Q275&amp;""</f>
      </c>
      <c r="T275">
        <f>[1]资金台帐!T275&amp;""</f>
      </c>
      <c r="U275">
        <f>[1]资金台帐!U275&amp;""</f>
      </c>
      <c r="W275">
        <f>[1]资金台帐!W275&amp;""</f>
      </c>
      <c r="X275">
        <f>[1]资金台帐!X275&amp;""</f>
      </c>
      <c r="AB275">
        <f>[1]资金台帐!AB275</f>
        <v>0</v>
      </c>
      <c r="AC275">
        <f>[1]资金台帐!AC275</f>
        <v>0</v>
      </c>
      <c r="AD275">
        <f>[1]资金台帐!AD275</f>
        <v>0</v>
      </c>
      <c r="AJ275">
        <f>[1]资金台帐!AJ275</f>
        <v>0</v>
      </c>
      <c r="AK275">
        <f>[1]资金台帐!AK275</f>
        <v>0</v>
      </c>
      <c r="BA275" s="22">
        <f t="shared" si="0"/>
      </c>
      <c r="BG275" s="22">
        <f t="shared" si="1"/>
      </c>
      <c r="BH275" s="22">
        <f t="shared" si="2"/>
        <v>0</v>
      </c>
    </row>
    <row r="276">
      <c r="B276">
        <f>[1]资金台帐!B276&amp;""</f>
      </c>
      <c r="H276">
        <f>[1]资金台帐!H276&amp;""</f>
      </c>
      <c r="J276">
        <f>[1]资金台帐!J276&amp;""</f>
      </c>
      <c r="N276">
        <f>[1]资金台帐!N276</f>
      </c>
      <c r="O276">
        <f>[1]资金台帐!O276&amp;""</f>
      </c>
      <c r="P276">
        <f>[1]资金台帐!P276&amp;""</f>
      </c>
      <c r="Q276">
        <f>[1]资金台帐!Q276&amp;""</f>
      </c>
      <c r="T276">
        <f>[1]资金台帐!T276&amp;""</f>
      </c>
      <c r="U276">
        <f>[1]资金台帐!U276&amp;""</f>
      </c>
      <c r="W276">
        <f>[1]资金台帐!W276&amp;""</f>
      </c>
      <c r="X276">
        <f>[1]资金台帐!X276&amp;""</f>
      </c>
      <c r="AB276">
        <f>[1]资金台帐!AB276</f>
        <v>0</v>
      </c>
      <c r="AC276">
        <f>[1]资金台帐!AC276</f>
        <v>0</v>
      </c>
      <c r="AD276">
        <f>[1]资金台帐!AD276</f>
        <v>0</v>
      </c>
      <c r="AJ276">
        <f>[1]资金台帐!AJ276</f>
        <v>0</v>
      </c>
      <c r="AK276">
        <f>[1]资金台帐!AK276</f>
        <v>0</v>
      </c>
      <c r="BA276" s="22">
        <f t="shared" si="0"/>
      </c>
      <c r="BG276" s="22">
        <f t="shared" si="1"/>
      </c>
      <c r="BH276" s="22">
        <f t="shared" si="2"/>
        <v>0</v>
      </c>
    </row>
    <row r="277">
      <c r="B277">
        <f>[1]资金台帐!B277&amp;""</f>
      </c>
      <c r="H277">
        <f>[1]资金台帐!H277&amp;""</f>
      </c>
      <c r="J277">
        <f>[1]资金台帐!J277&amp;""</f>
      </c>
      <c r="N277">
        <f>[1]资金台帐!N277</f>
      </c>
      <c r="O277">
        <f>[1]资金台帐!O277&amp;""</f>
      </c>
      <c r="P277">
        <f>[1]资金台帐!P277&amp;""</f>
      </c>
      <c r="Q277">
        <f>[1]资金台帐!Q277&amp;""</f>
      </c>
      <c r="T277">
        <f>[1]资金台帐!T277&amp;""</f>
      </c>
      <c r="U277">
        <f>[1]资金台帐!U277&amp;""</f>
      </c>
      <c r="W277">
        <f>[1]资金台帐!W277&amp;""</f>
      </c>
      <c r="X277">
        <f>[1]资金台帐!X277&amp;""</f>
      </c>
      <c r="AB277">
        <f>[1]资金台帐!AB277</f>
        <v>0</v>
      </c>
      <c r="AC277">
        <f>[1]资金台帐!AC277</f>
        <v>0</v>
      </c>
      <c r="AD277">
        <f>[1]资金台帐!AD277</f>
        <v>0</v>
      </c>
      <c r="AJ277">
        <f>[1]资金台帐!AJ277</f>
        <v>0</v>
      </c>
      <c r="AK277">
        <f>[1]资金台帐!AK277</f>
        <v>0</v>
      </c>
      <c r="BA277" s="22">
        <f t="shared" si="0"/>
      </c>
      <c r="BG277" s="22">
        <f t="shared" si="1"/>
      </c>
      <c r="BH277" s="22">
        <f t="shared" si="2"/>
        <v>0</v>
      </c>
    </row>
    <row r="278">
      <c r="B278">
        <f>[1]资金台帐!B278&amp;""</f>
      </c>
      <c r="H278">
        <f>[1]资金台帐!H278&amp;""</f>
      </c>
      <c r="J278">
        <f>[1]资金台帐!J278&amp;""</f>
      </c>
      <c r="N278">
        <f>[1]资金台帐!N278</f>
      </c>
      <c r="O278">
        <f>[1]资金台帐!O278&amp;""</f>
      </c>
      <c r="P278">
        <f>[1]资金台帐!P278&amp;""</f>
      </c>
      <c r="Q278">
        <f>[1]资金台帐!Q278&amp;""</f>
      </c>
      <c r="T278">
        <f>[1]资金台帐!T278&amp;""</f>
      </c>
      <c r="U278">
        <f>[1]资金台帐!U278&amp;""</f>
      </c>
      <c r="W278">
        <f>[1]资金台帐!W278&amp;""</f>
      </c>
      <c r="X278">
        <f>[1]资金台帐!X278&amp;""</f>
      </c>
      <c r="AB278">
        <f>[1]资金台帐!AB278</f>
        <v>0</v>
      </c>
      <c r="AC278">
        <f>[1]资金台帐!AC278</f>
        <v>0</v>
      </c>
      <c r="AD278">
        <f>[1]资金台帐!AD278</f>
        <v>0</v>
      </c>
      <c r="AJ278">
        <f>[1]资金台帐!AJ278</f>
        <v>0</v>
      </c>
      <c r="AK278">
        <f>[1]资金台帐!AK278</f>
        <v>0</v>
      </c>
      <c r="BA278" s="22">
        <f t="shared" si="0"/>
      </c>
      <c r="BG278" s="22">
        <f t="shared" si="1"/>
      </c>
      <c r="BH278" s="22">
        <f t="shared" si="2"/>
        <v>0</v>
      </c>
    </row>
    <row r="279">
      <c r="B279">
        <f>[1]资金台帐!B279&amp;""</f>
      </c>
      <c r="H279">
        <f>[1]资金台帐!H279&amp;""</f>
      </c>
      <c r="J279">
        <f>[1]资金台帐!J279&amp;""</f>
      </c>
      <c r="N279">
        <f>[1]资金台帐!N279</f>
      </c>
      <c r="O279">
        <f>[1]资金台帐!O279&amp;""</f>
      </c>
      <c r="P279">
        <f>[1]资金台帐!P279&amp;""</f>
      </c>
      <c r="Q279">
        <f>[1]资金台帐!Q279&amp;""</f>
      </c>
      <c r="T279">
        <f>[1]资金台帐!T279&amp;""</f>
      </c>
      <c r="U279">
        <f>[1]资金台帐!U279&amp;""</f>
      </c>
      <c r="W279">
        <f>[1]资金台帐!W279&amp;""</f>
      </c>
      <c r="X279">
        <f>[1]资金台帐!X279&amp;""</f>
      </c>
      <c r="AB279">
        <f>[1]资金台帐!AB279</f>
        <v>0</v>
      </c>
      <c r="AC279">
        <f>[1]资金台帐!AC279</f>
        <v>0</v>
      </c>
      <c r="AD279">
        <f>[1]资金台帐!AD279</f>
        <v>0</v>
      </c>
      <c r="AJ279">
        <f>[1]资金台帐!AJ279</f>
        <v>0</v>
      </c>
      <c r="AK279">
        <f>[1]资金台帐!AK279</f>
        <v>0</v>
      </c>
      <c r="BA279" s="22">
        <f t="shared" si="0"/>
      </c>
      <c r="BG279" s="22">
        <f t="shared" si="1"/>
      </c>
      <c r="BH279" s="22">
        <f t="shared" si="2"/>
        <v>0</v>
      </c>
    </row>
    <row r="280">
      <c r="B280">
        <f>[1]资金台帐!B280&amp;""</f>
      </c>
      <c r="H280">
        <f>[1]资金台帐!H280&amp;""</f>
      </c>
      <c r="J280">
        <f>[1]资金台帐!J280&amp;""</f>
      </c>
      <c r="N280">
        <f>[1]资金台帐!N280</f>
      </c>
      <c r="O280">
        <f>[1]资金台帐!O280&amp;""</f>
      </c>
      <c r="P280">
        <f>[1]资金台帐!P280&amp;""</f>
      </c>
      <c r="Q280">
        <f>[1]资金台帐!Q280&amp;""</f>
      </c>
      <c r="T280">
        <f>[1]资金台帐!T280&amp;""</f>
      </c>
      <c r="U280">
        <f>[1]资金台帐!U280&amp;""</f>
      </c>
      <c r="W280">
        <f>[1]资金台帐!W280&amp;""</f>
      </c>
      <c r="X280">
        <f>[1]资金台帐!X280&amp;""</f>
      </c>
      <c r="AB280">
        <f>[1]资金台帐!AB280</f>
        <v>0</v>
      </c>
      <c r="AC280">
        <f>[1]资金台帐!AC280</f>
        <v>0</v>
      </c>
      <c r="AD280">
        <f>[1]资金台帐!AD280</f>
        <v>0</v>
      </c>
      <c r="AJ280">
        <f>[1]资金台帐!AJ280</f>
        <v>0</v>
      </c>
      <c r="AK280">
        <f>[1]资金台帐!AK280</f>
        <v>0</v>
      </c>
      <c r="BA280" s="22">
        <f t="shared" si="0"/>
      </c>
      <c r="BG280" s="22">
        <f t="shared" si="1"/>
      </c>
      <c r="BH280" s="22">
        <f t="shared" si="2"/>
        <v>0</v>
      </c>
    </row>
    <row r="281">
      <c r="B281">
        <f>[1]资金台帐!B281&amp;""</f>
      </c>
      <c r="H281">
        <f>[1]资金台帐!H281&amp;""</f>
      </c>
      <c r="J281">
        <f>[1]资金台帐!J281&amp;""</f>
      </c>
      <c r="N281">
        <f>[1]资金台帐!N281</f>
      </c>
      <c r="O281">
        <f>[1]资金台帐!O281&amp;""</f>
      </c>
      <c r="P281">
        <f>[1]资金台帐!P281&amp;""</f>
      </c>
      <c r="Q281">
        <f>[1]资金台帐!Q281&amp;""</f>
      </c>
      <c r="T281">
        <f>[1]资金台帐!T281&amp;""</f>
      </c>
      <c r="U281">
        <f>[1]资金台帐!U281&amp;""</f>
      </c>
      <c r="W281">
        <f>[1]资金台帐!W281&amp;""</f>
      </c>
      <c r="X281">
        <f>[1]资金台帐!X281&amp;""</f>
      </c>
      <c r="AB281">
        <f>[1]资金台帐!AB281</f>
        <v>0</v>
      </c>
      <c r="AC281">
        <f>[1]资金台帐!AC281</f>
        <v>0</v>
      </c>
      <c r="AD281">
        <f>[1]资金台帐!AD281</f>
        <v>0</v>
      </c>
      <c r="AJ281">
        <f>[1]资金台帐!AJ281</f>
        <v>0</v>
      </c>
      <c r="AK281">
        <f>[1]资金台帐!AK281</f>
        <v>0</v>
      </c>
      <c r="BA281" s="22">
        <f t="shared" si="0"/>
      </c>
      <c r="BG281" s="22">
        <f t="shared" si="1"/>
      </c>
      <c r="BH281" s="22">
        <f t="shared" si="2"/>
        <v>0</v>
      </c>
    </row>
    <row r="282">
      <c r="B282">
        <f>[1]资金台帐!B282&amp;""</f>
      </c>
      <c r="H282">
        <f>[1]资金台帐!H282&amp;""</f>
      </c>
      <c r="J282">
        <f>[1]资金台帐!J282&amp;""</f>
      </c>
      <c r="N282">
        <f>[1]资金台帐!N282</f>
      </c>
      <c r="O282">
        <f>[1]资金台帐!O282&amp;""</f>
      </c>
      <c r="P282">
        <f>[1]资金台帐!P282&amp;""</f>
      </c>
      <c r="Q282">
        <f>[1]资金台帐!Q282&amp;""</f>
      </c>
      <c r="T282">
        <f>[1]资金台帐!T282&amp;""</f>
      </c>
      <c r="U282">
        <f>[1]资金台帐!U282&amp;""</f>
      </c>
      <c r="W282">
        <f>[1]资金台帐!W282&amp;""</f>
      </c>
      <c r="X282">
        <f>[1]资金台帐!X282&amp;""</f>
      </c>
      <c r="AB282">
        <f>[1]资金台帐!AB282</f>
        <v>0</v>
      </c>
      <c r="AC282">
        <f>[1]资金台帐!AC282</f>
        <v>0</v>
      </c>
      <c r="AD282">
        <f>[1]资金台帐!AD282</f>
        <v>0</v>
      </c>
      <c r="AJ282">
        <f>[1]资金台帐!AJ282</f>
        <v>0</v>
      </c>
      <c r="AK282">
        <f>[1]资金台帐!AK282</f>
        <v>0</v>
      </c>
      <c r="BA282" s="22">
        <f t="shared" si="0"/>
      </c>
      <c r="BG282" s="22">
        <f t="shared" si="1"/>
      </c>
      <c r="BH282" s="22">
        <f t="shared" si="2"/>
        <v>0</v>
      </c>
    </row>
    <row r="283">
      <c r="B283">
        <f>[1]资金台帐!B283&amp;""</f>
      </c>
      <c r="H283">
        <f>[1]资金台帐!H283&amp;""</f>
      </c>
      <c r="J283">
        <f>[1]资金台帐!J283&amp;""</f>
      </c>
      <c r="N283">
        <f>[1]资金台帐!N283</f>
      </c>
      <c r="O283">
        <f>[1]资金台帐!O283&amp;""</f>
      </c>
      <c r="P283">
        <f>[1]资金台帐!P283&amp;""</f>
      </c>
      <c r="Q283">
        <f>[1]资金台帐!Q283&amp;""</f>
      </c>
      <c r="T283">
        <f>[1]资金台帐!T283&amp;""</f>
      </c>
      <c r="U283">
        <f>[1]资金台帐!U283&amp;""</f>
      </c>
      <c r="W283">
        <f>[1]资金台帐!W283&amp;""</f>
      </c>
      <c r="X283">
        <f>[1]资金台帐!X283&amp;""</f>
      </c>
      <c r="AB283">
        <f>[1]资金台帐!AB283</f>
        <v>0</v>
      </c>
      <c r="AC283">
        <f>[1]资金台帐!AC283</f>
        <v>0</v>
      </c>
      <c r="AD283">
        <f>[1]资金台帐!AD283</f>
        <v>0</v>
      </c>
      <c r="AJ283">
        <f>[1]资金台帐!AJ283</f>
        <v>0</v>
      </c>
      <c r="AK283">
        <f>[1]资金台帐!AK283</f>
        <v>0</v>
      </c>
      <c r="BA283" s="22">
        <f t="shared" si="0"/>
      </c>
      <c r="BG283" s="22">
        <f t="shared" si="1"/>
      </c>
      <c r="BH283" s="22">
        <f t="shared" si="2"/>
        <v>0</v>
      </c>
    </row>
    <row r="284">
      <c r="B284">
        <f>[1]资金台帐!B284&amp;""</f>
      </c>
      <c r="H284">
        <f>[1]资金台帐!H284&amp;""</f>
      </c>
      <c r="J284">
        <f>[1]资金台帐!J284&amp;""</f>
      </c>
      <c r="N284">
        <f>[1]资金台帐!N284</f>
      </c>
      <c r="O284">
        <f>[1]资金台帐!O284&amp;""</f>
      </c>
      <c r="P284">
        <f>[1]资金台帐!P284&amp;""</f>
      </c>
      <c r="Q284">
        <f>[1]资金台帐!Q284&amp;""</f>
      </c>
      <c r="T284">
        <f>[1]资金台帐!T284&amp;""</f>
      </c>
      <c r="U284">
        <f>[1]资金台帐!U284&amp;""</f>
      </c>
      <c r="W284">
        <f>[1]资金台帐!W284&amp;""</f>
      </c>
      <c r="X284">
        <f>[1]资金台帐!X284&amp;""</f>
      </c>
      <c r="AB284">
        <f>[1]资金台帐!AB284</f>
        <v>0</v>
      </c>
      <c r="AC284">
        <f>[1]资金台帐!AC284</f>
        <v>0</v>
      </c>
      <c r="AD284">
        <f>[1]资金台帐!AD284</f>
        <v>0</v>
      </c>
      <c r="AJ284">
        <f>[1]资金台帐!AJ284</f>
        <v>0</v>
      </c>
      <c r="AK284">
        <f>[1]资金台帐!AK284</f>
        <v>0</v>
      </c>
      <c r="BA284" s="22">
        <f t="shared" si="0"/>
      </c>
      <c r="BG284" s="22">
        <f t="shared" si="1"/>
      </c>
      <c r="BH284" s="22">
        <f t="shared" si="2"/>
        <v>0</v>
      </c>
    </row>
    <row r="285">
      <c r="B285">
        <f>[1]资金台帐!B285&amp;""</f>
      </c>
      <c r="H285">
        <f>[1]资金台帐!H285&amp;""</f>
      </c>
      <c r="J285">
        <f>[1]资金台帐!J285&amp;""</f>
      </c>
      <c r="N285">
        <f>[1]资金台帐!N285</f>
      </c>
      <c r="O285">
        <f>[1]资金台帐!O285&amp;""</f>
      </c>
      <c r="P285">
        <f>[1]资金台帐!P285&amp;""</f>
      </c>
      <c r="Q285">
        <f>[1]资金台帐!Q285&amp;""</f>
      </c>
      <c r="T285">
        <f>[1]资金台帐!T285&amp;""</f>
      </c>
      <c r="U285">
        <f>[1]资金台帐!U285&amp;""</f>
      </c>
      <c r="W285">
        <f>[1]资金台帐!W285&amp;""</f>
      </c>
      <c r="X285">
        <f>[1]资金台帐!X285&amp;""</f>
      </c>
      <c r="AB285">
        <f>[1]资金台帐!AB285</f>
        <v>0</v>
      </c>
      <c r="AC285">
        <f>[1]资金台帐!AC285</f>
        <v>0</v>
      </c>
      <c r="AD285">
        <f>[1]资金台帐!AD285</f>
        <v>0</v>
      </c>
      <c r="AJ285">
        <f>[1]资金台帐!AJ285</f>
        <v>0</v>
      </c>
      <c r="AK285">
        <f>[1]资金台帐!AK285</f>
        <v>0</v>
      </c>
      <c r="BA285" s="22">
        <f t="shared" si="0"/>
      </c>
      <c r="BG285" s="22">
        <f t="shared" si="1"/>
      </c>
      <c r="BH285" s="22">
        <f t="shared" si="2"/>
        <v>0</v>
      </c>
    </row>
    <row r="286">
      <c r="B286">
        <f>[1]资金台帐!B286&amp;""</f>
      </c>
      <c r="H286">
        <f>[1]资金台帐!H286&amp;""</f>
      </c>
      <c r="J286">
        <f>[1]资金台帐!J286&amp;""</f>
      </c>
      <c r="N286">
        <f>[1]资金台帐!N286</f>
      </c>
      <c r="O286">
        <f>[1]资金台帐!O286&amp;""</f>
      </c>
      <c r="P286">
        <f>[1]资金台帐!P286&amp;""</f>
      </c>
      <c r="Q286">
        <f>[1]资金台帐!Q286&amp;""</f>
      </c>
      <c r="T286">
        <f>[1]资金台帐!T286&amp;""</f>
      </c>
      <c r="U286">
        <f>[1]资金台帐!U286&amp;""</f>
      </c>
      <c r="W286">
        <f>[1]资金台帐!W286&amp;""</f>
      </c>
      <c r="X286">
        <f>[1]资金台帐!X286&amp;""</f>
      </c>
      <c r="AB286">
        <f>[1]资金台帐!AB286</f>
        <v>0</v>
      </c>
      <c r="AC286">
        <f>[1]资金台帐!AC286</f>
        <v>0</v>
      </c>
      <c r="AD286">
        <f>[1]资金台帐!AD286</f>
        <v>0</v>
      </c>
      <c r="AJ286">
        <f>[1]资金台帐!AJ286</f>
        <v>0</v>
      </c>
      <c r="AK286">
        <f>[1]资金台帐!AK286</f>
        <v>0</v>
      </c>
      <c r="BA286" s="22">
        <f t="shared" si="0"/>
      </c>
      <c r="BG286" s="22">
        <f t="shared" si="1"/>
      </c>
      <c r="BH286" s="22">
        <f t="shared" si="2"/>
        <v>0</v>
      </c>
    </row>
    <row r="287">
      <c r="B287">
        <f>[1]资金台帐!B287&amp;""</f>
      </c>
      <c r="H287">
        <f>[1]资金台帐!H287&amp;""</f>
      </c>
      <c r="J287">
        <f>[1]资金台帐!J287&amp;""</f>
      </c>
      <c r="N287">
        <f>[1]资金台帐!N287</f>
      </c>
      <c r="O287">
        <f>[1]资金台帐!O287&amp;""</f>
      </c>
      <c r="P287">
        <f>[1]资金台帐!P287&amp;""</f>
      </c>
      <c r="Q287">
        <f>[1]资金台帐!Q287&amp;""</f>
      </c>
      <c r="T287">
        <f>[1]资金台帐!T287&amp;""</f>
      </c>
      <c r="U287">
        <f>[1]资金台帐!U287&amp;""</f>
      </c>
      <c r="W287">
        <f>[1]资金台帐!W287&amp;""</f>
      </c>
      <c r="X287">
        <f>[1]资金台帐!X287&amp;""</f>
      </c>
      <c r="AB287">
        <f>[1]资金台帐!AB287</f>
        <v>0</v>
      </c>
      <c r="AC287">
        <f>[1]资金台帐!AC287</f>
        <v>0</v>
      </c>
      <c r="AD287">
        <f>[1]资金台帐!AD287</f>
        <v>0</v>
      </c>
      <c r="AJ287">
        <f>[1]资金台帐!AJ287</f>
        <v>0</v>
      </c>
      <c r="AK287">
        <f>[1]资金台帐!AK287</f>
        <v>0</v>
      </c>
      <c r="BA287" s="22">
        <f t="shared" si="0"/>
      </c>
      <c r="BG287" s="22">
        <f t="shared" si="1"/>
      </c>
      <c r="BH287" s="22">
        <f t="shared" si="2"/>
        <v>0</v>
      </c>
    </row>
    <row r="288">
      <c r="B288">
        <f>[1]资金台帐!B288&amp;""</f>
      </c>
      <c r="H288">
        <f>[1]资金台帐!H288&amp;""</f>
      </c>
      <c r="J288">
        <f>[1]资金台帐!J288&amp;""</f>
      </c>
      <c r="N288">
        <f>[1]资金台帐!N288</f>
      </c>
      <c r="O288">
        <f>[1]资金台帐!O288&amp;""</f>
      </c>
      <c r="P288">
        <f>[1]资金台帐!P288&amp;""</f>
      </c>
      <c r="Q288">
        <f>[1]资金台帐!Q288&amp;""</f>
      </c>
      <c r="T288">
        <f>[1]资金台帐!T288&amp;""</f>
      </c>
      <c r="U288">
        <f>[1]资金台帐!U288&amp;""</f>
      </c>
      <c r="W288">
        <f>[1]资金台帐!W288&amp;""</f>
      </c>
      <c r="X288">
        <f>[1]资金台帐!X288&amp;""</f>
      </c>
      <c r="AB288">
        <f>[1]资金台帐!AB288</f>
        <v>0</v>
      </c>
      <c r="AC288">
        <f>[1]资金台帐!AC288</f>
        <v>0</v>
      </c>
      <c r="AD288">
        <f>[1]资金台帐!AD288</f>
        <v>0</v>
      </c>
      <c r="AJ288">
        <f>[1]资金台帐!AJ288</f>
        <v>0</v>
      </c>
      <c r="AK288">
        <f>[1]资金台帐!AK288</f>
        <v>0</v>
      </c>
      <c r="BA288" s="22">
        <f t="shared" si="0"/>
      </c>
      <c r="BG288" s="22">
        <f t="shared" si="1"/>
      </c>
      <c r="BH288" s="22">
        <f t="shared" si="2"/>
        <v>0</v>
      </c>
    </row>
    <row r="289">
      <c r="B289">
        <f>[1]资金台帐!B289&amp;""</f>
      </c>
      <c r="H289">
        <f>[1]资金台帐!H289&amp;""</f>
      </c>
      <c r="J289">
        <f>[1]资金台帐!J289&amp;""</f>
      </c>
      <c r="N289">
        <f>[1]资金台帐!N289</f>
      </c>
      <c r="O289">
        <f>[1]资金台帐!O289&amp;""</f>
      </c>
      <c r="P289">
        <f>[1]资金台帐!P289&amp;""</f>
      </c>
      <c r="Q289">
        <f>[1]资金台帐!Q289&amp;""</f>
      </c>
      <c r="T289">
        <f>[1]资金台帐!T289&amp;""</f>
      </c>
      <c r="U289">
        <f>[1]资金台帐!U289&amp;""</f>
      </c>
      <c r="W289">
        <f>[1]资金台帐!W289&amp;""</f>
      </c>
      <c r="X289">
        <f>[1]资金台帐!X289&amp;""</f>
      </c>
      <c r="AB289">
        <f>[1]资金台帐!AB289</f>
        <v>0</v>
      </c>
      <c r="AC289">
        <f>[1]资金台帐!AC289</f>
        <v>0</v>
      </c>
      <c r="AD289">
        <f>[1]资金台帐!AD289</f>
        <v>0</v>
      </c>
      <c r="AJ289">
        <f>[1]资金台帐!AJ289</f>
        <v>0</v>
      </c>
      <c r="AK289">
        <f>[1]资金台帐!AK289</f>
        <v>0</v>
      </c>
      <c r="BA289" s="22">
        <f t="shared" si="0"/>
      </c>
      <c r="BG289" s="22">
        <f t="shared" si="1"/>
      </c>
      <c r="BH289" s="22">
        <f t="shared" si="2"/>
        <v>0</v>
      </c>
    </row>
    <row r="290">
      <c r="B290">
        <f>[1]资金台帐!B290&amp;""</f>
      </c>
      <c r="H290">
        <f>[1]资金台帐!H290&amp;""</f>
      </c>
      <c r="J290">
        <f>[1]资金台帐!J290&amp;""</f>
      </c>
      <c r="N290">
        <f>[1]资金台帐!N290</f>
      </c>
      <c r="O290">
        <f>[1]资金台帐!O290&amp;""</f>
      </c>
      <c r="P290">
        <f>[1]资金台帐!P290&amp;""</f>
      </c>
      <c r="Q290">
        <f>[1]资金台帐!Q290&amp;""</f>
      </c>
      <c r="T290">
        <f>[1]资金台帐!T290&amp;""</f>
      </c>
      <c r="U290">
        <f>[1]资金台帐!U290&amp;""</f>
      </c>
      <c r="W290">
        <f>[1]资金台帐!W290&amp;""</f>
      </c>
      <c r="X290">
        <f>[1]资金台帐!X290&amp;""</f>
      </c>
      <c r="AB290">
        <f>[1]资金台帐!AB290</f>
        <v>0</v>
      </c>
      <c r="AC290">
        <f>[1]资金台帐!AC290</f>
        <v>0</v>
      </c>
      <c r="AD290">
        <f>[1]资金台帐!AD290</f>
        <v>0</v>
      </c>
      <c r="AJ290">
        <f>[1]资金台帐!AJ290</f>
        <v>0</v>
      </c>
      <c r="AK290">
        <f>[1]资金台帐!AK290</f>
        <v>0</v>
      </c>
      <c r="BA290" s="22">
        <f t="shared" si="0"/>
      </c>
      <c r="BG290" s="22">
        <f t="shared" si="1"/>
      </c>
      <c r="BH290" s="22">
        <f t="shared" si="2"/>
        <v>0</v>
      </c>
    </row>
    <row r="291">
      <c r="B291">
        <f>[1]资金台帐!B291&amp;""</f>
      </c>
      <c r="H291">
        <f>[1]资金台帐!H291&amp;""</f>
      </c>
      <c r="J291">
        <f>[1]资金台帐!J291&amp;""</f>
      </c>
      <c r="N291">
        <f>[1]资金台帐!N291</f>
      </c>
      <c r="O291">
        <f>[1]资金台帐!O291&amp;""</f>
      </c>
      <c r="P291">
        <f>[1]资金台帐!P291&amp;""</f>
      </c>
      <c r="Q291">
        <f>[1]资金台帐!Q291&amp;""</f>
      </c>
      <c r="T291">
        <f>[1]资金台帐!T291&amp;""</f>
      </c>
      <c r="U291">
        <f>[1]资金台帐!U291&amp;""</f>
      </c>
      <c r="W291">
        <f>[1]资金台帐!W291&amp;""</f>
      </c>
      <c r="X291">
        <f>[1]资金台帐!X291&amp;""</f>
      </c>
      <c r="AB291">
        <f>[1]资金台帐!AB291</f>
        <v>0</v>
      </c>
      <c r="AC291">
        <f>[1]资金台帐!AC291</f>
        <v>0</v>
      </c>
      <c r="AD291">
        <f>[1]资金台帐!AD291</f>
        <v>0</v>
      </c>
      <c r="AJ291">
        <f>[1]资金台帐!AJ291</f>
        <v>0</v>
      </c>
      <c r="AK291">
        <f>[1]资金台帐!AK291</f>
        <v>0</v>
      </c>
      <c r="BA291" s="22">
        <f t="shared" si="0"/>
      </c>
      <c r="BG291" s="22">
        <f t="shared" si="1"/>
      </c>
      <c r="BH291" s="22">
        <f t="shared" si="2"/>
        <v>0</v>
      </c>
    </row>
    <row r="292">
      <c r="B292">
        <f>[1]资金台帐!B292&amp;""</f>
      </c>
      <c r="H292">
        <f>[1]资金台帐!H292&amp;""</f>
      </c>
      <c r="J292">
        <f>[1]资金台帐!J292&amp;""</f>
      </c>
      <c r="N292">
        <f>[1]资金台帐!N292</f>
      </c>
      <c r="O292">
        <f>[1]资金台帐!O292&amp;""</f>
      </c>
      <c r="P292">
        <f>[1]资金台帐!P292&amp;""</f>
      </c>
      <c r="Q292">
        <f>[1]资金台帐!Q292&amp;""</f>
      </c>
      <c r="T292">
        <f>[1]资金台帐!T292&amp;""</f>
      </c>
      <c r="U292">
        <f>[1]资金台帐!U292&amp;""</f>
      </c>
      <c r="W292">
        <f>[1]资金台帐!W292&amp;""</f>
      </c>
      <c r="X292">
        <f>[1]资金台帐!X292&amp;""</f>
      </c>
      <c r="AB292">
        <f>[1]资金台帐!AB292</f>
        <v>0</v>
      </c>
      <c r="AC292">
        <f>[1]资金台帐!AC292</f>
        <v>0</v>
      </c>
      <c r="AD292">
        <f>[1]资金台帐!AD292</f>
        <v>0</v>
      </c>
      <c r="AJ292">
        <f>[1]资金台帐!AJ292</f>
        <v>0</v>
      </c>
      <c r="AK292">
        <f>[1]资金台帐!AK292</f>
        <v>0</v>
      </c>
      <c r="BA292" s="22">
        <f t="shared" si="0"/>
      </c>
      <c r="BG292" s="22">
        <f t="shared" si="1"/>
      </c>
      <c r="BH292" s="22">
        <f t="shared" si="2"/>
        <v>0</v>
      </c>
    </row>
    <row r="293">
      <c r="B293">
        <f>[1]资金台帐!B293&amp;""</f>
      </c>
      <c r="H293">
        <f>[1]资金台帐!H293&amp;""</f>
      </c>
      <c r="J293">
        <f>[1]资金台帐!J293&amp;""</f>
      </c>
      <c r="N293">
        <f>[1]资金台帐!N293</f>
      </c>
      <c r="O293">
        <f>[1]资金台帐!O293&amp;""</f>
      </c>
      <c r="P293">
        <f>[1]资金台帐!P293&amp;""</f>
      </c>
      <c r="Q293">
        <f>[1]资金台帐!Q293&amp;""</f>
      </c>
      <c r="T293">
        <f>[1]资金台帐!T293&amp;""</f>
      </c>
      <c r="U293">
        <f>[1]资金台帐!U293&amp;""</f>
      </c>
      <c r="W293">
        <f>[1]资金台帐!W293&amp;""</f>
      </c>
      <c r="X293">
        <f>[1]资金台帐!X293&amp;""</f>
      </c>
      <c r="AB293">
        <f>[1]资金台帐!AB293</f>
        <v>0</v>
      </c>
      <c r="AC293">
        <f>[1]资金台帐!AC293</f>
        <v>0</v>
      </c>
      <c r="AD293">
        <f>[1]资金台帐!AD293</f>
        <v>0</v>
      </c>
      <c r="AJ293">
        <f>[1]资金台帐!AJ293</f>
        <v>0</v>
      </c>
      <c r="AK293">
        <f>[1]资金台帐!AK293</f>
        <v>0</v>
      </c>
      <c r="BA293" s="22">
        <f t="shared" si="0"/>
      </c>
      <c r="BG293" s="22">
        <f t="shared" si="1"/>
      </c>
      <c r="BH293" s="22">
        <f t="shared" si="2"/>
        <v>0</v>
      </c>
    </row>
    <row r="294">
      <c r="B294">
        <f>[1]资金台帐!B294&amp;""</f>
      </c>
      <c r="H294">
        <f>[1]资金台帐!H294&amp;""</f>
      </c>
      <c r="J294">
        <f>[1]资金台帐!J294&amp;""</f>
      </c>
      <c r="N294">
        <f>[1]资金台帐!N294</f>
      </c>
      <c r="O294">
        <f>[1]资金台帐!O294&amp;""</f>
      </c>
      <c r="P294">
        <f>[1]资金台帐!P294&amp;""</f>
      </c>
      <c r="Q294">
        <f>[1]资金台帐!Q294&amp;""</f>
      </c>
      <c r="T294">
        <f>[1]资金台帐!T294&amp;""</f>
      </c>
      <c r="U294">
        <f>[1]资金台帐!U294&amp;""</f>
      </c>
      <c r="W294">
        <f>[1]资金台帐!W294&amp;""</f>
      </c>
      <c r="X294">
        <f>[1]资金台帐!X294&amp;""</f>
      </c>
      <c r="AB294">
        <f>[1]资金台帐!AB294</f>
        <v>0</v>
      </c>
      <c r="AC294">
        <f>[1]资金台帐!AC294</f>
        <v>0</v>
      </c>
      <c r="AD294">
        <f>[1]资金台帐!AD294</f>
        <v>0</v>
      </c>
      <c r="AJ294">
        <f>[1]资金台帐!AJ294</f>
        <v>0</v>
      </c>
      <c r="AK294">
        <f>[1]资金台帐!AK294</f>
        <v>0</v>
      </c>
      <c r="BA294" s="22">
        <f t="shared" si="0"/>
      </c>
      <c r="BG294" s="22">
        <f t="shared" si="1"/>
      </c>
      <c r="BH294" s="22">
        <f t="shared" si="2"/>
        <v>0</v>
      </c>
    </row>
    <row r="295">
      <c r="B295">
        <f>[1]资金台帐!B295&amp;""</f>
      </c>
      <c r="H295">
        <f>[1]资金台帐!H295&amp;""</f>
      </c>
      <c r="J295">
        <f>[1]资金台帐!J295&amp;""</f>
      </c>
      <c r="N295">
        <f>[1]资金台帐!N295</f>
      </c>
      <c r="O295">
        <f>[1]资金台帐!O295&amp;""</f>
      </c>
      <c r="P295">
        <f>[1]资金台帐!P295&amp;""</f>
      </c>
      <c r="Q295">
        <f>[1]资金台帐!Q295&amp;""</f>
      </c>
      <c r="T295">
        <f>[1]资金台帐!T295&amp;""</f>
      </c>
      <c r="U295">
        <f>[1]资金台帐!U295&amp;""</f>
      </c>
      <c r="W295">
        <f>[1]资金台帐!W295&amp;""</f>
      </c>
      <c r="X295">
        <f>[1]资金台帐!X295&amp;""</f>
      </c>
      <c r="AB295">
        <f>[1]资金台帐!AB295</f>
        <v>0</v>
      </c>
      <c r="AC295">
        <f>[1]资金台帐!AC295</f>
        <v>0</v>
      </c>
      <c r="AD295">
        <f>[1]资金台帐!AD295</f>
        <v>0</v>
      </c>
      <c r="AJ295">
        <f>[1]资金台帐!AJ295</f>
        <v>0</v>
      </c>
      <c r="AK295">
        <f>[1]资金台帐!AK295</f>
        <v>0</v>
      </c>
      <c r="BA295" s="22">
        <f t="shared" si="0"/>
      </c>
      <c r="BG295" s="22">
        <f t="shared" si="1"/>
      </c>
      <c r="BH295" s="22">
        <f t="shared" si="2"/>
        <v>0</v>
      </c>
    </row>
    <row r="296">
      <c r="B296">
        <f>[1]资金台帐!B296&amp;""</f>
      </c>
      <c r="H296">
        <f>[1]资金台帐!H296&amp;""</f>
      </c>
      <c r="J296">
        <f>[1]资金台帐!J296&amp;""</f>
      </c>
      <c r="N296">
        <f>[1]资金台帐!N296</f>
      </c>
      <c r="O296">
        <f>[1]资金台帐!O296&amp;""</f>
      </c>
      <c r="P296">
        <f>[1]资金台帐!P296&amp;""</f>
      </c>
      <c r="Q296">
        <f>[1]资金台帐!Q296&amp;""</f>
      </c>
      <c r="T296">
        <f>[1]资金台帐!T296&amp;""</f>
      </c>
      <c r="U296">
        <f>[1]资金台帐!U296&amp;""</f>
      </c>
      <c r="W296">
        <f>[1]资金台帐!W296&amp;""</f>
      </c>
      <c r="X296">
        <f>[1]资金台帐!X296&amp;""</f>
      </c>
      <c r="AB296">
        <f>[1]资金台帐!AB296</f>
        <v>0</v>
      </c>
      <c r="AC296">
        <f>[1]资金台帐!AC296</f>
        <v>0</v>
      </c>
      <c r="AD296">
        <f>[1]资金台帐!AD296</f>
        <v>0</v>
      </c>
      <c r="AJ296">
        <f>[1]资金台帐!AJ296</f>
        <v>0</v>
      </c>
      <c r="AK296">
        <f>[1]资金台帐!AK296</f>
        <v>0</v>
      </c>
      <c r="BA296" s="22">
        <f t="shared" si="0"/>
      </c>
      <c r="BG296" s="22">
        <f t="shared" si="1"/>
      </c>
      <c r="BH296" s="22">
        <f t="shared" si="2"/>
        <v>0</v>
      </c>
    </row>
    <row r="297">
      <c r="B297">
        <f>[1]资金台帐!B297&amp;""</f>
      </c>
      <c r="H297">
        <f>[1]资金台帐!H297&amp;""</f>
      </c>
      <c r="J297">
        <f>[1]资金台帐!J297&amp;""</f>
      </c>
      <c r="N297">
        <f>[1]资金台帐!N297</f>
      </c>
      <c r="O297">
        <f>[1]资金台帐!O297&amp;""</f>
      </c>
      <c r="P297">
        <f>[1]资金台帐!P297&amp;""</f>
      </c>
      <c r="Q297">
        <f>[1]资金台帐!Q297&amp;""</f>
      </c>
      <c r="T297">
        <f>[1]资金台帐!T297&amp;""</f>
      </c>
      <c r="U297">
        <f>[1]资金台帐!U297&amp;""</f>
      </c>
      <c r="W297">
        <f>[1]资金台帐!W297&amp;""</f>
      </c>
      <c r="X297">
        <f>[1]资金台帐!X297&amp;""</f>
      </c>
      <c r="AB297">
        <f>[1]资金台帐!AB297</f>
        <v>0</v>
      </c>
      <c r="AC297">
        <f>[1]资金台帐!AC297</f>
        <v>0</v>
      </c>
      <c r="AD297">
        <f>[1]资金台帐!AD297</f>
        <v>0</v>
      </c>
      <c r="AJ297">
        <f>[1]资金台帐!AJ297</f>
        <v>0</v>
      </c>
      <c r="AK297">
        <f>[1]资金台帐!AK297</f>
        <v>0</v>
      </c>
      <c r="BA297" s="22">
        <f t="shared" si="0"/>
      </c>
      <c r="BG297" s="22">
        <f t="shared" si="1"/>
      </c>
      <c r="BH297" s="22">
        <f t="shared" si="2"/>
        <v>0</v>
      </c>
    </row>
    <row r="298">
      <c r="B298">
        <f>[1]资金台帐!B298&amp;""</f>
      </c>
      <c r="H298">
        <f>[1]资金台帐!H298&amp;""</f>
      </c>
      <c r="J298">
        <f>[1]资金台帐!J298&amp;""</f>
      </c>
      <c r="N298">
        <f>[1]资金台帐!N298</f>
      </c>
      <c r="O298">
        <f>[1]资金台帐!O298&amp;""</f>
      </c>
      <c r="P298">
        <f>[1]资金台帐!P298&amp;""</f>
      </c>
      <c r="Q298">
        <f>[1]资金台帐!Q298&amp;""</f>
      </c>
      <c r="T298">
        <f>[1]资金台帐!T298&amp;""</f>
      </c>
      <c r="U298">
        <f>[1]资金台帐!U298&amp;""</f>
      </c>
      <c r="W298">
        <f>[1]资金台帐!W298&amp;""</f>
      </c>
      <c r="X298">
        <f>[1]资金台帐!X298&amp;""</f>
      </c>
      <c r="AB298">
        <f>[1]资金台帐!AB298</f>
        <v>0</v>
      </c>
      <c r="AC298">
        <f>[1]资金台帐!AC298</f>
        <v>0</v>
      </c>
      <c r="AD298">
        <f>[1]资金台帐!AD298</f>
        <v>0</v>
      </c>
      <c r="AJ298">
        <f>[1]资金台帐!AJ298</f>
        <v>0</v>
      </c>
      <c r="AK298">
        <f>[1]资金台帐!AK298</f>
        <v>0</v>
      </c>
      <c r="BA298" s="22">
        <f t="shared" si="0"/>
      </c>
      <c r="BG298" s="22">
        <f t="shared" si="1"/>
      </c>
      <c r="BH298" s="22">
        <f t="shared" si="2"/>
        <v>0</v>
      </c>
    </row>
    <row r="299">
      <c r="B299">
        <f>[1]资金台帐!B299&amp;""</f>
      </c>
      <c r="H299">
        <f>[1]资金台帐!H299&amp;""</f>
      </c>
      <c r="J299">
        <f>[1]资金台帐!J299&amp;""</f>
      </c>
      <c r="N299">
        <f>[1]资金台帐!N299</f>
      </c>
      <c r="O299">
        <f>[1]资金台帐!O299&amp;""</f>
      </c>
      <c r="P299">
        <f>[1]资金台帐!P299&amp;""</f>
      </c>
      <c r="Q299">
        <f>[1]资金台帐!Q299&amp;""</f>
      </c>
      <c r="T299">
        <f>[1]资金台帐!T299&amp;""</f>
      </c>
      <c r="U299">
        <f>[1]资金台帐!U299&amp;""</f>
      </c>
      <c r="W299">
        <f>[1]资金台帐!W299&amp;""</f>
      </c>
      <c r="X299">
        <f>[1]资金台帐!X299&amp;""</f>
      </c>
      <c r="AB299">
        <f>[1]资金台帐!AB299</f>
        <v>0</v>
      </c>
      <c r="AC299">
        <f>[1]资金台帐!AC299</f>
        <v>0</v>
      </c>
      <c r="AD299">
        <f>[1]资金台帐!AD299</f>
        <v>0</v>
      </c>
      <c r="AJ299">
        <f>[1]资金台帐!AJ299</f>
        <v>0</v>
      </c>
      <c r="AK299">
        <f>[1]资金台帐!AK299</f>
        <v>0</v>
      </c>
      <c r="BA299" s="22">
        <f t="shared" si="0"/>
      </c>
      <c r="BG299" s="22">
        <f t="shared" si="1"/>
      </c>
      <c r="BH299" s="22">
        <f t="shared" si="2"/>
        <v>0</v>
      </c>
    </row>
    <row r="300">
      <c r="B300">
        <f>[1]资金台帐!B300&amp;""</f>
      </c>
      <c r="H300">
        <f>[1]资金台帐!H300&amp;""</f>
      </c>
      <c r="J300">
        <f>[1]资金台帐!J300&amp;""</f>
      </c>
      <c r="N300">
        <f>[1]资金台帐!N300</f>
      </c>
      <c r="O300">
        <f>[1]资金台帐!O300&amp;""</f>
      </c>
      <c r="P300">
        <f>[1]资金台帐!P300&amp;""</f>
      </c>
      <c r="Q300">
        <f>[1]资金台帐!Q300&amp;""</f>
      </c>
      <c r="T300">
        <f>[1]资金台帐!T300&amp;""</f>
      </c>
      <c r="U300">
        <f>[1]资金台帐!U300&amp;""</f>
      </c>
      <c r="W300">
        <f>[1]资金台帐!W300&amp;""</f>
      </c>
      <c r="X300">
        <f>[1]资金台帐!X300&amp;""</f>
      </c>
      <c r="AB300">
        <f>[1]资金台帐!AB300</f>
        <v>0</v>
      </c>
      <c r="AC300">
        <f>[1]资金台帐!AC300</f>
        <v>0</v>
      </c>
      <c r="AD300">
        <f>[1]资金台帐!AD300</f>
        <v>0</v>
      </c>
      <c r="AJ300">
        <f>[1]资金台帐!AJ300</f>
        <v>0</v>
      </c>
      <c r="AK300">
        <f>[1]资金台帐!AK300</f>
        <v>0</v>
      </c>
      <c r="BA300" s="22">
        <f t="shared" si="0"/>
      </c>
      <c r="BG300" s="22">
        <f t="shared" si="1"/>
      </c>
      <c r="BH300" s="22">
        <f t="shared" si="2"/>
        <v>0</v>
      </c>
    </row>
    <row r="301">
      <c r="B301">
        <f>[1]资金台帐!B301&amp;""</f>
      </c>
      <c r="H301">
        <f>[1]资金台帐!H301&amp;""</f>
      </c>
      <c r="J301">
        <f>[1]资金台帐!J301&amp;""</f>
      </c>
      <c r="N301">
        <f>[1]资金台帐!N301</f>
      </c>
      <c r="O301">
        <f>[1]资金台帐!O301&amp;""</f>
      </c>
      <c r="P301">
        <f>[1]资金台帐!P301&amp;""</f>
      </c>
      <c r="Q301">
        <f>[1]资金台帐!Q301&amp;""</f>
      </c>
      <c r="T301">
        <f>[1]资金台帐!T301&amp;""</f>
      </c>
      <c r="U301">
        <f>[1]资金台帐!U301&amp;""</f>
      </c>
      <c r="W301">
        <f>[1]资金台帐!W301&amp;""</f>
      </c>
      <c r="X301">
        <f>[1]资金台帐!X301&amp;""</f>
      </c>
      <c r="AB301">
        <f>[1]资金台帐!AB301</f>
        <v>0</v>
      </c>
      <c r="AC301">
        <f>[1]资金台帐!AC301</f>
        <v>0</v>
      </c>
      <c r="AD301">
        <f>[1]资金台帐!AD301</f>
        <v>0</v>
      </c>
      <c r="AJ301">
        <f>[1]资金台帐!AJ301</f>
        <v>0</v>
      </c>
      <c r="AK301">
        <f>[1]资金台帐!AK301</f>
        <v>0</v>
      </c>
      <c r="BA301" s="22">
        <f t="shared" si="0"/>
      </c>
      <c r="BG301" s="22">
        <f t="shared" si="1"/>
      </c>
      <c r="BH301" s="22">
        <f t="shared" si="2"/>
        <v>0</v>
      </c>
    </row>
    <row r="302">
      <c r="B302">
        <f>[1]资金台帐!B302&amp;""</f>
      </c>
      <c r="H302">
        <f>[1]资金台帐!H302&amp;""</f>
      </c>
      <c r="J302">
        <f>[1]资金台帐!J302&amp;""</f>
      </c>
      <c r="N302">
        <f>[1]资金台帐!N302</f>
      </c>
      <c r="O302">
        <f>[1]资金台帐!O302&amp;""</f>
      </c>
      <c r="P302">
        <f>[1]资金台帐!P302&amp;""</f>
      </c>
      <c r="Q302">
        <f>[1]资金台帐!Q302&amp;""</f>
      </c>
      <c r="T302">
        <f>[1]资金台帐!T302&amp;""</f>
      </c>
      <c r="U302">
        <f>[1]资金台帐!U302&amp;""</f>
      </c>
      <c r="W302">
        <f>[1]资金台帐!W302&amp;""</f>
      </c>
      <c r="X302">
        <f>[1]资金台帐!X302&amp;""</f>
      </c>
      <c r="AB302">
        <f>[1]资金台帐!AB302</f>
        <v>0</v>
      </c>
      <c r="AC302">
        <f>[1]资金台帐!AC302</f>
        <v>0</v>
      </c>
      <c r="AD302">
        <f>[1]资金台帐!AD302</f>
        <v>0</v>
      </c>
      <c r="AJ302">
        <f>[1]资金台帐!AJ302</f>
        <v>0</v>
      </c>
      <c r="AK302">
        <f>[1]资金台帐!AK302</f>
        <v>0</v>
      </c>
      <c r="BA302" s="22">
        <f t="shared" si="0"/>
      </c>
      <c r="BG302" s="22">
        <f t="shared" si="1"/>
      </c>
      <c r="BH302" s="22">
        <f t="shared" si="2"/>
        <v>0</v>
      </c>
    </row>
    <row r="303">
      <c r="B303">
        <f>[1]资金台帐!B303&amp;""</f>
      </c>
      <c r="H303">
        <f>[1]资金台帐!H303&amp;""</f>
      </c>
      <c r="J303">
        <f>[1]资金台帐!J303&amp;""</f>
      </c>
      <c r="N303">
        <f>[1]资金台帐!N303</f>
      </c>
      <c r="O303">
        <f>[1]资金台帐!O303&amp;""</f>
      </c>
      <c r="P303">
        <f>[1]资金台帐!P303&amp;""</f>
      </c>
      <c r="Q303">
        <f>[1]资金台帐!Q303&amp;""</f>
      </c>
      <c r="T303">
        <f>[1]资金台帐!T303&amp;""</f>
      </c>
      <c r="U303">
        <f>[1]资金台帐!U303&amp;""</f>
      </c>
      <c r="W303">
        <f>[1]资金台帐!W303&amp;""</f>
      </c>
      <c r="X303">
        <f>[1]资金台帐!X303&amp;""</f>
      </c>
      <c r="AB303">
        <f>[1]资金台帐!AB303</f>
        <v>0</v>
      </c>
      <c r="AC303">
        <f>[1]资金台帐!AC303</f>
        <v>0</v>
      </c>
      <c r="AD303">
        <f>[1]资金台帐!AD303</f>
        <v>0</v>
      </c>
      <c r="AJ303">
        <f>[1]资金台帐!AJ303</f>
        <v>0</v>
      </c>
      <c r="AK303">
        <f>[1]资金台帐!AK303</f>
        <v>0</v>
      </c>
      <c r="BA303" s="22">
        <f t="shared" si="0"/>
      </c>
      <c r="BG303" s="22">
        <f t="shared" si="1"/>
      </c>
      <c r="BH303" s="22">
        <f t="shared" si="2"/>
        <v>0</v>
      </c>
    </row>
    <row r="304">
      <c r="B304">
        <f>[1]资金台帐!B304&amp;""</f>
      </c>
      <c r="H304">
        <f>[1]资金台帐!H304&amp;""</f>
      </c>
      <c r="J304">
        <f>[1]资金台帐!J304&amp;""</f>
      </c>
      <c r="N304">
        <f>[1]资金台帐!N304</f>
      </c>
      <c r="O304">
        <f>[1]资金台帐!O304&amp;""</f>
      </c>
      <c r="P304">
        <f>[1]资金台帐!P304&amp;""</f>
      </c>
      <c r="Q304">
        <f>[1]资金台帐!Q304&amp;""</f>
      </c>
      <c r="T304">
        <f>[1]资金台帐!T304&amp;""</f>
      </c>
      <c r="U304">
        <f>[1]资金台帐!U304&amp;""</f>
      </c>
      <c r="W304">
        <f>[1]资金台帐!W304&amp;""</f>
      </c>
      <c r="X304">
        <f>[1]资金台帐!X304&amp;""</f>
      </c>
      <c r="AB304">
        <f>[1]资金台帐!AB304</f>
        <v>0</v>
      </c>
      <c r="AC304">
        <f>[1]资金台帐!AC304</f>
        <v>0</v>
      </c>
      <c r="AD304">
        <f>[1]资金台帐!AD304</f>
        <v>0</v>
      </c>
      <c r="AJ304">
        <f>[1]资金台帐!AJ304</f>
        <v>0</v>
      </c>
      <c r="AK304">
        <f>[1]资金台帐!AK304</f>
        <v>0</v>
      </c>
      <c r="BA304" s="22">
        <f t="shared" si="0"/>
      </c>
      <c r="BG304" s="22">
        <f t="shared" si="1"/>
      </c>
      <c r="BH304" s="22">
        <f t="shared" si="2"/>
        <v>0</v>
      </c>
    </row>
    <row r="305">
      <c r="B305">
        <f>[1]资金台帐!B305&amp;""</f>
      </c>
      <c r="H305">
        <f>[1]资金台帐!H305&amp;""</f>
      </c>
      <c r="J305">
        <f>[1]资金台帐!J305&amp;""</f>
      </c>
      <c r="N305">
        <f>[1]资金台帐!N305</f>
      </c>
      <c r="O305">
        <f>[1]资金台帐!O305&amp;""</f>
      </c>
      <c r="P305">
        <f>[1]资金台帐!P305&amp;""</f>
      </c>
      <c r="Q305">
        <f>[1]资金台帐!Q305&amp;""</f>
      </c>
      <c r="T305">
        <f>[1]资金台帐!T305&amp;""</f>
      </c>
      <c r="U305">
        <f>[1]资金台帐!U305&amp;""</f>
      </c>
      <c r="W305">
        <f>[1]资金台帐!W305&amp;""</f>
      </c>
      <c r="X305">
        <f>[1]资金台帐!X305&amp;""</f>
      </c>
      <c r="AB305">
        <f>[1]资金台帐!AB305</f>
        <v>0</v>
      </c>
      <c r="AC305">
        <f>[1]资金台帐!AC305</f>
        <v>0</v>
      </c>
      <c r="AD305">
        <f>[1]资金台帐!AD305</f>
        <v>0</v>
      </c>
      <c r="AJ305">
        <f>[1]资金台帐!AJ305</f>
        <v>0</v>
      </c>
      <c r="AK305">
        <f>[1]资金台帐!AK305</f>
        <v>0</v>
      </c>
      <c r="BA305" s="22">
        <f t="shared" si="0"/>
      </c>
      <c r="BG305" s="22">
        <f t="shared" si="1"/>
      </c>
      <c r="BH305" s="22">
        <f t="shared" si="2"/>
        <v>0</v>
      </c>
    </row>
    <row r="306">
      <c r="B306">
        <f>[1]资金台帐!B306&amp;""</f>
      </c>
      <c r="H306">
        <f>[1]资金台帐!H306&amp;""</f>
      </c>
      <c r="J306">
        <f>[1]资金台帐!J306&amp;""</f>
      </c>
      <c r="N306">
        <f>[1]资金台帐!N306</f>
      </c>
      <c r="O306">
        <f>[1]资金台帐!O306&amp;""</f>
      </c>
      <c r="P306">
        <f>[1]资金台帐!P306&amp;""</f>
      </c>
      <c r="Q306">
        <f>[1]资金台帐!Q306&amp;""</f>
      </c>
      <c r="T306">
        <f>[1]资金台帐!T306&amp;""</f>
      </c>
      <c r="U306">
        <f>[1]资金台帐!U306&amp;""</f>
      </c>
      <c r="W306">
        <f>[1]资金台帐!W306&amp;""</f>
      </c>
      <c r="X306">
        <f>[1]资金台帐!X306&amp;""</f>
      </c>
      <c r="AB306">
        <f>[1]资金台帐!AB306</f>
        <v>0</v>
      </c>
      <c r="AC306">
        <f>[1]资金台帐!AC306</f>
        <v>0</v>
      </c>
      <c r="AD306">
        <f>[1]资金台帐!AD306</f>
        <v>0</v>
      </c>
      <c r="AJ306">
        <f>[1]资金台帐!AJ306</f>
        <v>0</v>
      </c>
      <c r="AK306">
        <f>[1]资金台帐!AK306</f>
        <v>0</v>
      </c>
      <c r="BA306" s="22">
        <f t="shared" si="0"/>
      </c>
      <c r="BG306" s="22">
        <f t="shared" si="1"/>
      </c>
      <c r="BH306" s="22">
        <f t="shared" si="2"/>
        <v>0</v>
      </c>
    </row>
    <row r="307">
      <c r="B307">
        <f>[1]资金台帐!B307&amp;""</f>
      </c>
      <c r="H307">
        <f>[1]资金台帐!H307&amp;""</f>
      </c>
      <c r="J307">
        <f>[1]资金台帐!J307&amp;""</f>
      </c>
      <c r="N307">
        <f>[1]资金台帐!N307</f>
      </c>
      <c r="O307">
        <f>[1]资金台帐!O307&amp;""</f>
      </c>
      <c r="P307">
        <f>[1]资金台帐!P307&amp;""</f>
      </c>
      <c r="Q307">
        <f>[1]资金台帐!Q307&amp;""</f>
      </c>
      <c r="T307">
        <f>[1]资金台帐!T307&amp;""</f>
      </c>
      <c r="U307">
        <f>[1]资金台帐!U307&amp;""</f>
      </c>
      <c r="W307">
        <f>[1]资金台帐!W307&amp;""</f>
      </c>
      <c r="X307">
        <f>[1]资金台帐!X307&amp;""</f>
      </c>
      <c r="AB307">
        <f>[1]资金台帐!AB307</f>
        <v>0</v>
      </c>
      <c r="AC307">
        <f>[1]资金台帐!AC307</f>
        <v>0</v>
      </c>
      <c r="AD307">
        <f>[1]资金台帐!AD307</f>
        <v>0</v>
      </c>
      <c r="AJ307">
        <f>[1]资金台帐!AJ307</f>
        <v>0</v>
      </c>
      <c r="AK307">
        <f>[1]资金台帐!AK307</f>
        <v>0</v>
      </c>
      <c r="BA307" s="22">
        <f t="shared" si="0"/>
      </c>
      <c r="BG307" s="22">
        <f t="shared" si="1"/>
      </c>
      <c r="BH307" s="22">
        <f t="shared" si="2"/>
        <v>0</v>
      </c>
    </row>
    <row r="308">
      <c r="B308">
        <f>[1]资金台帐!B308&amp;""</f>
      </c>
      <c r="H308">
        <f>[1]资金台帐!H308&amp;""</f>
      </c>
      <c r="J308">
        <f>[1]资金台帐!J308&amp;""</f>
      </c>
      <c r="N308">
        <f>[1]资金台帐!N308</f>
      </c>
      <c r="O308">
        <f>[1]资金台帐!O308&amp;""</f>
      </c>
      <c r="P308">
        <f>[1]资金台帐!P308&amp;""</f>
      </c>
      <c r="Q308">
        <f>[1]资金台帐!Q308&amp;""</f>
      </c>
      <c r="T308">
        <f>[1]资金台帐!T308&amp;""</f>
      </c>
      <c r="U308">
        <f>[1]资金台帐!U308&amp;""</f>
      </c>
      <c r="W308">
        <f>[1]资金台帐!W308&amp;""</f>
      </c>
      <c r="X308">
        <f>[1]资金台帐!X308&amp;""</f>
      </c>
      <c r="AB308">
        <f>[1]资金台帐!AB308</f>
        <v>0</v>
      </c>
      <c r="AC308">
        <f>[1]资金台帐!AC308</f>
        <v>0</v>
      </c>
      <c r="AD308">
        <f>[1]资金台帐!AD308</f>
        <v>0</v>
      </c>
      <c r="AJ308">
        <f>[1]资金台帐!AJ308</f>
        <v>0</v>
      </c>
      <c r="AK308">
        <f>[1]资金台帐!AK308</f>
        <v>0</v>
      </c>
      <c r="BA308" s="22">
        <f t="shared" si="0"/>
      </c>
      <c r="BG308" s="22">
        <f t="shared" si="1"/>
      </c>
      <c r="BH308" s="22">
        <f t="shared" si="2"/>
        <v>0</v>
      </c>
    </row>
    <row r="309">
      <c r="B309">
        <f>[1]资金台帐!B309&amp;""</f>
      </c>
      <c r="H309">
        <f>[1]资金台帐!H309&amp;""</f>
      </c>
      <c r="J309">
        <f>[1]资金台帐!J309&amp;""</f>
      </c>
      <c r="N309">
        <f>[1]资金台帐!N309</f>
      </c>
      <c r="O309">
        <f>[1]资金台帐!O309&amp;""</f>
      </c>
      <c r="P309">
        <f>[1]资金台帐!P309&amp;""</f>
      </c>
      <c r="Q309">
        <f>[1]资金台帐!Q309&amp;""</f>
      </c>
      <c r="T309">
        <f>[1]资金台帐!T309&amp;""</f>
      </c>
      <c r="U309">
        <f>[1]资金台帐!U309&amp;""</f>
      </c>
      <c r="W309">
        <f>[1]资金台帐!W309&amp;""</f>
      </c>
      <c r="X309">
        <f>[1]资金台帐!X309&amp;""</f>
      </c>
      <c r="AB309">
        <f>[1]资金台帐!AB309</f>
        <v>0</v>
      </c>
      <c r="AC309">
        <f>[1]资金台帐!AC309</f>
        <v>0</v>
      </c>
      <c r="AD309">
        <f>[1]资金台帐!AD309</f>
        <v>0</v>
      </c>
      <c r="AJ309">
        <f>[1]资金台帐!AJ309</f>
        <v>0</v>
      </c>
      <c r="AK309">
        <f>[1]资金台帐!AK309</f>
        <v>0</v>
      </c>
      <c r="BA309" s="22">
        <f t="shared" si="0"/>
      </c>
      <c r="BG309" s="22">
        <f t="shared" si="1"/>
      </c>
      <c r="BH309" s="22">
        <f t="shared" si="2"/>
        <v>0</v>
      </c>
    </row>
    <row r="310">
      <c r="B310">
        <f>[1]资金台帐!B310&amp;""</f>
      </c>
      <c r="H310">
        <f>[1]资金台帐!H310&amp;""</f>
      </c>
      <c r="J310">
        <f>[1]资金台帐!J310&amp;""</f>
      </c>
      <c r="N310">
        <f>[1]资金台帐!N310</f>
      </c>
      <c r="O310">
        <f>[1]资金台帐!O310&amp;""</f>
      </c>
      <c r="P310">
        <f>[1]资金台帐!P310&amp;""</f>
      </c>
      <c r="Q310">
        <f>[1]资金台帐!Q310&amp;""</f>
      </c>
      <c r="T310">
        <f>[1]资金台帐!T310&amp;""</f>
      </c>
      <c r="U310">
        <f>[1]资金台帐!U310&amp;""</f>
      </c>
      <c r="W310">
        <f>[1]资金台帐!W310&amp;""</f>
      </c>
      <c r="X310">
        <f>[1]资金台帐!X310&amp;""</f>
      </c>
      <c r="AB310">
        <f>[1]资金台帐!AB310</f>
        <v>0</v>
      </c>
      <c r="AC310">
        <f>[1]资金台帐!AC310</f>
        <v>0</v>
      </c>
      <c r="AD310">
        <f>[1]资金台帐!AD310</f>
        <v>0</v>
      </c>
      <c r="AJ310">
        <f>[1]资金台帐!AJ310</f>
        <v>0</v>
      </c>
      <c r="AK310">
        <f>[1]资金台帐!AK310</f>
        <v>0</v>
      </c>
      <c r="BA310" s="22">
        <f t="shared" si="0"/>
      </c>
      <c r="BG310" s="22">
        <f t="shared" si="1"/>
      </c>
      <c r="BH310" s="22">
        <f t="shared" si="2"/>
        <v>0</v>
      </c>
    </row>
    <row r="311">
      <c r="B311">
        <f>[1]资金台帐!B311&amp;""</f>
      </c>
      <c r="H311">
        <f>[1]资金台帐!H311&amp;""</f>
      </c>
      <c r="J311">
        <f>[1]资金台帐!J311&amp;""</f>
      </c>
      <c r="N311">
        <f>[1]资金台帐!N311</f>
      </c>
      <c r="O311">
        <f>[1]资金台帐!O311&amp;""</f>
      </c>
      <c r="P311">
        <f>[1]资金台帐!P311&amp;""</f>
      </c>
      <c r="Q311">
        <f>[1]资金台帐!Q311&amp;""</f>
      </c>
      <c r="T311">
        <f>[1]资金台帐!T311&amp;""</f>
      </c>
      <c r="U311">
        <f>[1]资金台帐!U311&amp;""</f>
      </c>
      <c r="W311">
        <f>[1]资金台帐!W311&amp;""</f>
      </c>
      <c r="X311">
        <f>[1]资金台帐!X311&amp;""</f>
      </c>
      <c r="AB311">
        <f>[1]资金台帐!AB311</f>
        <v>0</v>
      </c>
      <c r="AC311">
        <f>[1]资金台帐!AC311</f>
        <v>0</v>
      </c>
      <c r="AD311">
        <f>[1]资金台帐!AD311</f>
        <v>0</v>
      </c>
      <c r="AJ311">
        <f>[1]资金台帐!AJ311</f>
        <v>0</v>
      </c>
      <c r="AK311">
        <f>[1]资金台帐!AK311</f>
        <v>0</v>
      </c>
      <c r="BA311" s="22">
        <f t="shared" si="0"/>
      </c>
      <c r="BG311" s="22">
        <f t="shared" si="1"/>
      </c>
      <c r="BH311" s="22">
        <f t="shared" si="2"/>
        <v>0</v>
      </c>
    </row>
    <row r="312">
      <c r="B312">
        <f>[1]资金台帐!B312&amp;""</f>
      </c>
      <c r="H312">
        <f>[1]资金台帐!H312&amp;""</f>
      </c>
      <c r="J312">
        <f>[1]资金台帐!J312&amp;""</f>
      </c>
      <c r="N312">
        <f>[1]资金台帐!N312</f>
      </c>
      <c r="O312">
        <f>[1]资金台帐!O312&amp;""</f>
      </c>
      <c r="P312">
        <f>[1]资金台帐!P312&amp;""</f>
      </c>
      <c r="Q312">
        <f>[1]资金台帐!Q312&amp;""</f>
      </c>
      <c r="T312">
        <f>[1]资金台帐!T312&amp;""</f>
      </c>
      <c r="U312">
        <f>[1]资金台帐!U312&amp;""</f>
      </c>
      <c r="W312">
        <f>[1]资金台帐!W312&amp;""</f>
      </c>
      <c r="X312">
        <f>[1]资金台帐!X312&amp;""</f>
      </c>
      <c r="AB312">
        <f>[1]资金台帐!AB312</f>
        <v>0</v>
      </c>
      <c r="AC312">
        <f>[1]资金台帐!AC312</f>
        <v>0</v>
      </c>
      <c r="AD312">
        <f>[1]资金台帐!AD312</f>
        <v>0</v>
      </c>
      <c r="AJ312">
        <f>[1]资金台帐!AJ312</f>
        <v>0</v>
      </c>
      <c r="AK312">
        <f>[1]资金台帐!AK312</f>
        <v>0</v>
      </c>
      <c r="BA312" s="22">
        <f t="shared" si="0"/>
      </c>
      <c r="BG312" s="22">
        <f t="shared" si="1"/>
      </c>
      <c r="BH312" s="22">
        <f t="shared" si="2"/>
        <v>0</v>
      </c>
    </row>
    <row r="313">
      <c r="B313">
        <f>[1]资金台帐!B313&amp;""</f>
      </c>
      <c r="H313">
        <f>[1]资金台帐!H313&amp;""</f>
      </c>
      <c r="J313">
        <f>[1]资金台帐!J313&amp;""</f>
      </c>
      <c r="N313">
        <f>[1]资金台帐!N313</f>
      </c>
      <c r="O313">
        <f>[1]资金台帐!O313&amp;""</f>
      </c>
      <c r="P313">
        <f>[1]资金台帐!P313&amp;""</f>
      </c>
      <c r="Q313">
        <f>[1]资金台帐!Q313&amp;""</f>
      </c>
      <c r="T313">
        <f>[1]资金台帐!T313&amp;""</f>
      </c>
      <c r="U313">
        <f>[1]资金台帐!U313&amp;""</f>
      </c>
      <c r="W313">
        <f>[1]资金台帐!W313&amp;""</f>
      </c>
      <c r="X313">
        <f>[1]资金台帐!X313&amp;""</f>
      </c>
      <c r="AB313">
        <f>[1]资金台帐!AB313</f>
        <v>0</v>
      </c>
      <c r="AC313">
        <f>[1]资金台帐!AC313</f>
        <v>0</v>
      </c>
      <c r="AD313">
        <f>[1]资金台帐!AD313</f>
        <v>0</v>
      </c>
      <c r="AJ313">
        <f>[1]资金台帐!AJ313</f>
        <v>0</v>
      </c>
      <c r="AK313">
        <f>[1]资金台帐!AK313</f>
        <v>0</v>
      </c>
      <c r="BA313" s="22">
        <f t="shared" si="0"/>
      </c>
      <c r="BG313" s="22">
        <f t="shared" si="1"/>
      </c>
      <c r="BH313" s="22">
        <f t="shared" si="2"/>
        <v>0</v>
      </c>
    </row>
    <row r="314">
      <c r="B314">
        <f>[1]资金台帐!B314&amp;""</f>
      </c>
      <c r="H314">
        <f>[1]资金台帐!H314&amp;""</f>
      </c>
      <c r="J314">
        <f>[1]资金台帐!J314&amp;""</f>
      </c>
      <c r="N314">
        <f>[1]资金台帐!N314</f>
      </c>
      <c r="O314">
        <f>[1]资金台帐!O314&amp;""</f>
      </c>
      <c r="P314">
        <f>[1]资金台帐!P314&amp;""</f>
      </c>
      <c r="Q314">
        <f>[1]资金台帐!Q314&amp;""</f>
      </c>
      <c r="T314">
        <f>[1]资金台帐!T314&amp;""</f>
      </c>
      <c r="U314">
        <f>[1]资金台帐!U314&amp;""</f>
      </c>
      <c r="W314">
        <f>[1]资金台帐!W314&amp;""</f>
      </c>
      <c r="X314">
        <f>[1]资金台帐!X314&amp;""</f>
      </c>
      <c r="AB314">
        <f>[1]资金台帐!AB314</f>
        <v>0</v>
      </c>
      <c r="AC314">
        <f>[1]资金台帐!AC314</f>
        <v>0</v>
      </c>
      <c r="AD314">
        <f>[1]资金台帐!AD314</f>
        <v>0</v>
      </c>
      <c r="AJ314">
        <f>[1]资金台帐!AJ314</f>
        <v>0</v>
      </c>
      <c r="AK314">
        <f>[1]资金台帐!AK314</f>
        <v>0</v>
      </c>
      <c r="BA314" s="22">
        <f t="shared" si="0"/>
      </c>
      <c r="BG314" s="22">
        <f t="shared" si="1"/>
      </c>
      <c r="BH314" s="22">
        <f t="shared" si="2"/>
        <v>0</v>
      </c>
    </row>
    <row r="315">
      <c r="B315">
        <f>[1]资金台帐!B315&amp;""</f>
      </c>
      <c r="H315">
        <f>[1]资金台帐!H315&amp;""</f>
      </c>
      <c r="J315">
        <f>[1]资金台帐!J315&amp;""</f>
      </c>
      <c r="N315">
        <f>[1]资金台帐!N315</f>
      </c>
      <c r="O315">
        <f>[1]资金台帐!O315&amp;""</f>
      </c>
      <c r="P315">
        <f>[1]资金台帐!P315&amp;""</f>
      </c>
      <c r="Q315">
        <f>[1]资金台帐!Q315&amp;""</f>
      </c>
      <c r="T315">
        <f>[1]资金台帐!T315&amp;""</f>
      </c>
      <c r="U315">
        <f>[1]资金台帐!U315&amp;""</f>
      </c>
      <c r="W315">
        <f>[1]资金台帐!W315&amp;""</f>
      </c>
      <c r="X315">
        <f>[1]资金台帐!X315&amp;""</f>
      </c>
      <c r="AB315">
        <f>[1]资金台帐!AB315</f>
        <v>0</v>
      </c>
      <c r="AC315">
        <f>[1]资金台帐!AC315</f>
        <v>0</v>
      </c>
      <c r="AD315">
        <f>[1]资金台帐!AD315</f>
        <v>0</v>
      </c>
      <c r="AJ315">
        <f>[1]资金台帐!AJ315</f>
        <v>0</v>
      </c>
      <c r="AK315">
        <f>[1]资金台帐!AK315</f>
        <v>0</v>
      </c>
      <c r="BA315" s="22">
        <f t="shared" si="0"/>
      </c>
      <c r="BG315" s="22">
        <f t="shared" si="1"/>
      </c>
      <c r="BH315" s="22">
        <f t="shared" si="2"/>
        <v>0</v>
      </c>
    </row>
    <row r="316">
      <c r="B316">
        <f>[1]资金台帐!B316&amp;""</f>
      </c>
      <c r="H316">
        <f>[1]资金台帐!H316&amp;""</f>
      </c>
      <c r="J316">
        <f>[1]资金台帐!J316&amp;""</f>
      </c>
      <c r="N316">
        <f>[1]资金台帐!N316</f>
      </c>
      <c r="O316">
        <f>[1]资金台帐!O316&amp;""</f>
      </c>
      <c r="P316">
        <f>[1]资金台帐!P316&amp;""</f>
      </c>
      <c r="Q316">
        <f>[1]资金台帐!Q316&amp;""</f>
      </c>
      <c r="T316">
        <f>[1]资金台帐!T316&amp;""</f>
      </c>
      <c r="U316">
        <f>[1]资金台帐!U316&amp;""</f>
      </c>
      <c r="W316">
        <f>[1]资金台帐!W316&amp;""</f>
      </c>
      <c r="X316">
        <f>[1]资金台帐!X316&amp;""</f>
      </c>
      <c r="AB316">
        <f>[1]资金台帐!AB316</f>
        <v>0</v>
      </c>
      <c r="AC316">
        <f>[1]资金台帐!AC316</f>
        <v>0</v>
      </c>
      <c r="AD316">
        <f>[1]资金台帐!AD316</f>
        <v>0</v>
      </c>
      <c r="AJ316">
        <f>[1]资金台帐!AJ316</f>
        <v>0</v>
      </c>
      <c r="AK316">
        <f>[1]资金台帐!AK316</f>
        <v>0</v>
      </c>
      <c r="BA316" s="22">
        <f t="shared" si="0"/>
      </c>
      <c r="BG316" s="22">
        <f t="shared" si="1"/>
      </c>
      <c r="BH316" s="22">
        <f t="shared" si="2"/>
        <v>0</v>
      </c>
    </row>
    <row r="317">
      <c r="B317">
        <f>[1]资金台帐!B317&amp;""</f>
      </c>
      <c r="H317">
        <f>[1]资金台帐!H317&amp;""</f>
      </c>
      <c r="J317">
        <f>[1]资金台帐!J317&amp;""</f>
      </c>
      <c r="N317">
        <f>[1]资金台帐!N317</f>
      </c>
      <c r="O317">
        <f>[1]资金台帐!O317&amp;""</f>
      </c>
      <c r="P317">
        <f>[1]资金台帐!P317&amp;""</f>
      </c>
      <c r="Q317">
        <f>[1]资金台帐!Q317&amp;""</f>
      </c>
      <c r="T317">
        <f>[1]资金台帐!T317&amp;""</f>
      </c>
      <c r="U317">
        <f>[1]资金台帐!U317&amp;""</f>
      </c>
      <c r="W317">
        <f>[1]资金台帐!W317&amp;""</f>
      </c>
      <c r="X317">
        <f>[1]资金台帐!X317&amp;""</f>
      </c>
      <c r="AB317">
        <f>[1]资金台帐!AB317</f>
        <v>0</v>
      </c>
      <c r="AC317">
        <f>[1]资金台帐!AC317</f>
        <v>0</v>
      </c>
      <c r="AD317">
        <f>[1]资金台帐!AD317</f>
        <v>0</v>
      </c>
      <c r="AJ317">
        <f>[1]资金台帐!AJ317</f>
        <v>0</v>
      </c>
      <c r="AK317">
        <f>[1]资金台帐!AK317</f>
        <v>0</v>
      </c>
      <c r="BA317" s="22">
        <f t="shared" si="0"/>
      </c>
      <c r="BG317" s="22">
        <f t="shared" si="1"/>
      </c>
      <c r="BH317" s="22">
        <f t="shared" si="2"/>
        <v>0</v>
      </c>
    </row>
    <row r="318">
      <c r="B318">
        <f>[1]资金台帐!B318&amp;""</f>
      </c>
      <c r="H318">
        <f>[1]资金台帐!H318&amp;""</f>
      </c>
      <c r="J318">
        <f>[1]资金台帐!J318&amp;""</f>
      </c>
      <c r="N318">
        <f>[1]资金台帐!N318</f>
      </c>
      <c r="O318">
        <f>[1]资金台帐!O318&amp;""</f>
      </c>
      <c r="P318">
        <f>[1]资金台帐!P318&amp;""</f>
      </c>
      <c r="Q318">
        <f>[1]资金台帐!Q318&amp;""</f>
      </c>
      <c r="T318">
        <f>[1]资金台帐!T318&amp;""</f>
      </c>
      <c r="U318">
        <f>[1]资金台帐!U318&amp;""</f>
      </c>
      <c r="W318">
        <f>[1]资金台帐!W318&amp;""</f>
      </c>
      <c r="X318">
        <f>[1]资金台帐!X318&amp;""</f>
      </c>
      <c r="AB318">
        <f>[1]资金台帐!AB318</f>
        <v>0</v>
      </c>
      <c r="AC318">
        <f>[1]资金台帐!AC318</f>
        <v>0</v>
      </c>
      <c r="AD318">
        <f>[1]资金台帐!AD318</f>
        <v>0</v>
      </c>
      <c r="AJ318">
        <f>[1]资金台帐!AJ318</f>
        <v>0</v>
      </c>
      <c r="AK318">
        <f>[1]资金台帐!AK318</f>
        <v>0</v>
      </c>
      <c r="BA318" s="22">
        <f t="shared" si="0"/>
      </c>
      <c r="BG318" s="22">
        <f t="shared" si="1"/>
      </c>
      <c r="BH318" s="22">
        <f t="shared" si="2"/>
        <v>0</v>
      </c>
    </row>
    <row r="319">
      <c r="B319">
        <f>[1]资金台帐!B319&amp;""</f>
      </c>
      <c r="H319">
        <f>[1]资金台帐!H319&amp;""</f>
      </c>
      <c r="J319">
        <f>[1]资金台帐!J319&amp;""</f>
      </c>
      <c r="N319">
        <f>[1]资金台帐!N319</f>
      </c>
      <c r="O319">
        <f>[1]资金台帐!O319&amp;""</f>
      </c>
      <c r="P319">
        <f>[1]资金台帐!P319&amp;""</f>
      </c>
      <c r="Q319">
        <f>[1]资金台帐!Q319&amp;""</f>
      </c>
      <c r="T319">
        <f>[1]资金台帐!T319&amp;""</f>
      </c>
      <c r="U319">
        <f>[1]资金台帐!U319&amp;""</f>
      </c>
      <c r="W319">
        <f>[1]资金台帐!W319&amp;""</f>
      </c>
      <c r="X319">
        <f>[1]资金台帐!X319&amp;""</f>
      </c>
      <c r="AB319">
        <f>[1]资金台帐!AB319</f>
        <v>0</v>
      </c>
      <c r="AC319">
        <f>[1]资金台帐!AC319</f>
        <v>0</v>
      </c>
      <c r="AD319">
        <f>[1]资金台帐!AD319</f>
        <v>0</v>
      </c>
      <c r="AJ319">
        <f>[1]资金台帐!AJ319</f>
        <v>0</v>
      </c>
      <c r="AK319">
        <f>[1]资金台帐!AK319</f>
        <v>0</v>
      </c>
      <c r="BA319" s="22">
        <f t="shared" si="0"/>
      </c>
      <c r="BG319" s="22">
        <f t="shared" si="1"/>
      </c>
      <c r="BH319" s="22">
        <f t="shared" si="2"/>
        <v>0</v>
      </c>
    </row>
    <row r="320">
      <c r="B320">
        <f>[1]资金台帐!B320&amp;""</f>
      </c>
      <c r="H320">
        <f>[1]资金台帐!H320&amp;""</f>
      </c>
      <c r="J320">
        <f>[1]资金台帐!J320&amp;""</f>
      </c>
      <c r="N320">
        <f>[1]资金台帐!N320</f>
      </c>
      <c r="O320">
        <f>[1]资金台帐!O320&amp;""</f>
      </c>
      <c r="P320">
        <f>[1]资金台帐!P320&amp;""</f>
      </c>
      <c r="Q320">
        <f>[1]资金台帐!Q320&amp;""</f>
      </c>
      <c r="T320">
        <f>[1]资金台帐!T320&amp;""</f>
      </c>
      <c r="U320">
        <f>[1]资金台帐!U320&amp;""</f>
      </c>
      <c r="W320">
        <f>[1]资金台帐!W320&amp;""</f>
      </c>
      <c r="X320">
        <f>[1]资金台帐!X320&amp;""</f>
      </c>
      <c r="AB320">
        <f>[1]资金台帐!AB320</f>
        <v>0</v>
      </c>
      <c r="AC320">
        <f>[1]资金台帐!AC320</f>
        <v>0</v>
      </c>
      <c r="AD320">
        <f>[1]资金台帐!AD320</f>
        <v>0</v>
      </c>
      <c r="AJ320">
        <f>[1]资金台帐!AJ320</f>
        <v>0</v>
      </c>
      <c r="AK320">
        <f>[1]资金台帐!AK320</f>
        <v>0</v>
      </c>
      <c r="BA320" s="22">
        <f t="shared" si="0"/>
      </c>
      <c r="BG320" s="22">
        <f t="shared" si="1"/>
      </c>
      <c r="BH320" s="22">
        <f t="shared" si="2"/>
        <v>0</v>
      </c>
    </row>
    <row r="321">
      <c r="B321">
        <f>[1]资金台帐!B321&amp;""</f>
      </c>
      <c r="H321">
        <f>[1]资金台帐!H321&amp;""</f>
      </c>
      <c r="J321">
        <f>[1]资金台帐!J321&amp;""</f>
      </c>
      <c r="N321">
        <f>[1]资金台帐!N321</f>
      </c>
      <c r="O321">
        <f>[1]资金台帐!O321&amp;""</f>
      </c>
      <c r="P321">
        <f>[1]资金台帐!P321&amp;""</f>
      </c>
      <c r="Q321">
        <f>[1]资金台帐!Q321&amp;""</f>
      </c>
      <c r="T321">
        <f>[1]资金台帐!T321&amp;""</f>
      </c>
      <c r="U321">
        <f>[1]资金台帐!U321&amp;""</f>
      </c>
      <c r="W321">
        <f>[1]资金台帐!W321&amp;""</f>
      </c>
      <c r="X321">
        <f>[1]资金台帐!X321&amp;""</f>
      </c>
      <c r="AB321">
        <f>[1]资金台帐!AB321</f>
        <v>0</v>
      </c>
      <c r="AC321">
        <f>[1]资金台帐!AC321</f>
        <v>0</v>
      </c>
      <c r="AD321">
        <f>[1]资金台帐!AD321</f>
        <v>0</v>
      </c>
      <c r="AJ321">
        <f>[1]资金台帐!AJ321</f>
        <v>0</v>
      </c>
      <c r="AK321">
        <f>[1]资金台帐!AK321</f>
        <v>0</v>
      </c>
      <c r="BA321" s="22">
        <f t="shared" si="0"/>
      </c>
      <c r="BG321" s="22">
        <f t="shared" si="1"/>
      </c>
      <c r="BH321" s="22">
        <f t="shared" si="2"/>
        <v>0</v>
      </c>
    </row>
    <row r="322">
      <c r="B322">
        <f>[1]资金台帐!B322&amp;""</f>
      </c>
      <c r="H322">
        <f>[1]资金台帐!H322&amp;""</f>
      </c>
      <c r="J322">
        <f>[1]资金台帐!J322&amp;""</f>
      </c>
      <c r="N322">
        <f>[1]资金台帐!N322</f>
      </c>
      <c r="O322">
        <f>[1]资金台帐!O322&amp;""</f>
      </c>
      <c r="P322">
        <f>[1]资金台帐!P322&amp;""</f>
      </c>
      <c r="Q322">
        <f>[1]资金台帐!Q322&amp;""</f>
      </c>
      <c r="T322">
        <f>[1]资金台帐!T322&amp;""</f>
      </c>
      <c r="U322">
        <f>[1]资金台帐!U322&amp;""</f>
      </c>
      <c r="W322">
        <f>[1]资金台帐!W322&amp;""</f>
      </c>
      <c r="X322">
        <f>[1]资金台帐!X322&amp;""</f>
      </c>
      <c r="AB322">
        <f>[1]资金台帐!AB322</f>
        <v>0</v>
      </c>
      <c r="AC322">
        <f>[1]资金台帐!AC322</f>
        <v>0</v>
      </c>
      <c r="AD322">
        <f>[1]资金台帐!AD322</f>
        <v>0</v>
      </c>
      <c r="AJ322">
        <f>[1]资金台帐!AJ322</f>
        <v>0</v>
      </c>
      <c r="AK322">
        <f>[1]资金台帐!AK322</f>
        <v>0</v>
      </c>
      <c r="BA322" s="22">
        <f t="shared" si="0"/>
      </c>
      <c r="BG322" s="22">
        <f t="shared" si="1"/>
      </c>
      <c r="BH322" s="22">
        <f t="shared" si="2"/>
        <v>0</v>
      </c>
    </row>
    <row r="323">
      <c r="B323">
        <f>[1]资金台帐!B323&amp;""</f>
      </c>
      <c r="H323">
        <f>[1]资金台帐!H323&amp;""</f>
      </c>
      <c r="J323">
        <f>[1]资金台帐!J323&amp;""</f>
      </c>
      <c r="N323">
        <f>[1]资金台帐!N323</f>
      </c>
      <c r="O323">
        <f>[1]资金台帐!O323&amp;""</f>
      </c>
      <c r="P323">
        <f>[1]资金台帐!P323&amp;""</f>
      </c>
      <c r="Q323">
        <f>[1]资金台帐!Q323&amp;""</f>
      </c>
      <c r="T323">
        <f>[1]资金台帐!T323&amp;""</f>
      </c>
      <c r="U323">
        <f>[1]资金台帐!U323&amp;""</f>
      </c>
      <c r="W323">
        <f>[1]资金台帐!W323&amp;""</f>
      </c>
      <c r="X323">
        <f>[1]资金台帐!X323&amp;""</f>
      </c>
      <c r="AB323">
        <f>[1]资金台帐!AB323</f>
        <v>0</v>
      </c>
      <c r="AC323">
        <f>[1]资金台帐!AC323</f>
        <v>0</v>
      </c>
      <c r="AD323">
        <f>[1]资金台帐!AD323</f>
        <v>0</v>
      </c>
      <c r="AJ323">
        <f>[1]资金台帐!AJ323</f>
        <v>0</v>
      </c>
      <c r="AK323">
        <f>[1]资金台帐!AK323</f>
        <v>0</v>
      </c>
      <c r="BA323" s="22">
        <f t="shared" si="0"/>
      </c>
      <c r="BG323" s="22">
        <f t="shared" si="1"/>
      </c>
      <c r="BH323" s="22">
        <f t="shared" si="2"/>
        <v>0</v>
      </c>
    </row>
    <row r="324">
      <c r="B324">
        <f>[1]资金台帐!B324&amp;""</f>
      </c>
      <c r="H324">
        <f>[1]资金台帐!H324&amp;""</f>
      </c>
      <c r="J324">
        <f>[1]资金台帐!J324&amp;""</f>
      </c>
      <c r="N324">
        <f>[1]资金台帐!N324</f>
      </c>
      <c r="O324">
        <f>[1]资金台帐!O324&amp;""</f>
      </c>
      <c r="P324">
        <f>[1]资金台帐!P324&amp;""</f>
      </c>
      <c r="Q324">
        <f>[1]资金台帐!Q324&amp;""</f>
      </c>
      <c r="T324">
        <f>[1]资金台帐!T324&amp;""</f>
      </c>
      <c r="U324">
        <f>[1]资金台帐!U324&amp;""</f>
      </c>
      <c r="W324">
        <f>[1]资金台帐!W324&amp;""</f>
      </c>
      <c r="X324">
        <f>[1]资金台帐!X324&amp;""</f>
      </c>
      <c r="AB324">
        <f>[1]资金台帐!AB324</f>
        <v>0</v>
      </c>
      <c r="AC324">
        <f>[1]资金台帐!AC324</f>
        <v>0</v>
      </c>
      <c r="AD324">
        <f>[1]资金台帐!AD324</f>
        <v>0</v>
      </c>
      <c r="AJ324">
        <f>[1]资金台帐!AJ324</f>
        <v>0</v>
      </c>
      <c r="AK324">
        <f>[1]资金台帐!AK324</f>
        <v>0</v>
      </c>
      <c r="BA324" s="22">
        <f t="shared" si="0"/>
      </c>
      <c r="BG324" s="22">
        <f t="shared" si="1"/>
      </c>
      <c r="BH324" s="22">
        <f t="shared" si="2"/>
        <v>0</v>
      </c>
    </row>
    <row r="325">
      <c r="B325">
        <f>[1]资金台帐!B325&amp;""</f>
      </c>
      <c r="H325">
        <f>[1]资金台帐!H325&amp;""</f>
      </c>
      <c r="J325">
        <f>[1]资金台帐!J325&amp;""</f>
      </c>
      <c r="N325">
        <f>[1]资金台帐!N325</f>
      </c>
      <c r="O325">
        <f>[1]资金台帐!O325&amp;""</f>
      </c>
      <c r="P325">
        <f>[1]资金台帐!P325&amp;""</f>
      </c>
      <c r="Q325">
        <f>[1]资金台帐!Q325&amp;""</f>
      </c>
      <c r="T325">
        <f>[1]资金台帐!T325&amp;""</f>
      </c>
      <c r="U325">
        <f>[1]资金台帐!U325&amp;""</f>
      </c>
      <c r="W325">
        <f>[1]资金台帐!W325&amp;""</f>
      </c>
      <c r="X325">
        <f>[1]资金台帐!X325&amp;""</f>
      </c>
      <c r="AB325">
        <f>[1]资金台帐!AB325</f>
        <v>0</v>
      </c>
      <c r="AC325">
        <f>[1]资金台帐!AC325</f>
        <v>0</v>
      </c>
      <c r="AD325">
        <f>[1]资金台帐!AD325</f>
        <v>0</v>
      </c>
      <c r="AJ325">
        <f>[1]资金台帐!AJ325</f>
        <v>0</v>
      </c>
      <c r="AK325">
        <f>[1]资金台帐!AK325</f>
        <v>0</v>
      </c>
      <c r="BA325" s="22">
        <f t="shared" si="0"/>
      </c>
      <c r="BG325" s="22">
        <f t="shared" si="1"/>
      </c>
      <c r="BH325" s="22">
        <f t="shared" si="2"/>
        <v>0</v>
      </c>
    </row>
    <row r="326">
      <c r="B326">
        <f>[1]资金台帐!B326&amp;""</f>
      </c>
      <c r="H326">
        <f>[1]资金台帐!H326&amp;""</f>
      </c>
      <c r="J326">
        <f>[1]资金台帐!J326&amp;""</f>
      </c>
      <c r="N326">
        <f>[1]资金台帐!N326</f>
      </c>
      <c r="O326">
        <f>[1]资金台帐!O326&amp;""</f>
      </c>
      <c r="P326">
        <f>[1]资金台帐!P326&amp;""</f>
      </c>
      <c r="Q326">
        <f>[1]资金台帐!Q326&amp;""</f>
      </c>
      <c r="T326">
        <f>[1]资金台帐!T326&amp;""</f>
      </c>
      <c r="U326">
        <f>[1]资金台帐!U326&amp;""</f>
      </c>
      <c r="W326">
        <f>[1]资金台帐!W326&amp;""</f>
      </c>
      <c r="X326">
        <f>[1]资金台帐!X326&amp;""</f>
      </c>
      <c r="AB326">
        <f>[1]资金台帐!AB326</f>
        <v>0</v>
      </c>
      <c r="AC326">
        <f>[1]资金台帐!AC326</f>
        <v>0</v>
      </c>
      <c r="AD326">
        <f>[1]资金台帐!AD326</f>
        <v>0</v>
      </c>
      <c r="AJ326">
        <f>[1]资金台帐!AJ326</f>
        <v>0</v>
      </c>
      <c r="AK326">
        <f>[1]资金台帐!AK326</f>
        <v>0</v>
      </c>
      <c r="BA326" s="22">
        <f t="shared" si="0"/>
      </c>
      <c r="BG326" s="22">
        <f t="shared" si="1"/>
      </c>
      <c r="BH326" s="22">
        <f t="shared" si="2"/>
        <v>0</v>
      </c>
    </row>
    <row r="327">
      <c r="B327">
        <f>[1]资金台帐!B327&amp;""</f>
      </c>
      <c r="H327">
        <f>[1]资金台帐!H327&amp;""</f>
      </c>
      <c r="J327">
        <f>[1]资金台帐!J327&amp;""</f>
      </c>
      <c r="N327">
        <f>[1]资金台帐!N327</f>
      </c>
      <c r="O327">
        <f>[1]资金台帐!O327&amp;""</f>
      </c>
      <c r="P327">
        <f>[1]资金台帐!P327&amp;""</f>
      </c>
      <c r="Q327">
        <f>[1]资金台帐!Q327&amp;""</f>
      </c>
      <c r="T327">
        <f>[1]资金台帐!T327&amp;""</f>
      </c>
      <c r="U327">
        <f>[1]资金台帐!U327&amp;""</f>
      </c>
      <c r="W327">
        <f>[1]资金台帐!W327&amp;""</f>
      </c>
      <c r="X327">
        <f>[1]资金台帐!X327&amp;""</f>
      </c>
      <c r="AB327">
        <f>[1]资金台帐!AB327</f>
        <v>0</v>
      </c>
      <c r="AC327">
        <f>[1]资金台帐!AC327</f>
        <v>0</v>
      </c>
      <c r="AD327">
        <f>[1]资金台帐!AD327</f>
        <v>0</v>
      </c>
      <c r="AJ327">
        <f>[1]资金台帐!AJ327</f>
        <v>0</v>
      </c>
      <c r="AK327">
        <f>[1]资金台帐!AK327</f>
        <v>0</v>
      </c>
      <c r="BA327" s="22">
        <f t="shared" si="0"/>
      </c>
      <c r="BG327" s="22">
        <f t="shared" si="1"/>
      </c>
      <c r="BH327" s="22">
        <f t="shared" si="2"/>
        <v>0</v>
      </c>
    </row>
    <row r="328">
      <c r="B328">
        <f>[1]资金台帐!B328&amp;""</f>
      </c>
      <c r="H328">
        <f>[1]资金台帐!H328&amp;""</f>
      </c>
      <c r="J328">
        <f>[1]资金台帐!J328&amp;""</f>
      </c>
      <c r="N328">
        <f>[1]资金台帐!N328</f>
      </c>
      <c r="O328">
        <f>[1]资金台帐!O328&amp;""</f>
      </c>
      <c r="P328">
        <f>[1]资金台帐!P328&amp;""</f>
      </c>
      <c r="Q328">
        <f>[1]资金台帐!Q328&amp;""</f>
      </c>
      <c r="T328">
        <f>[1]资金台帐!T328&amp;""</f>
      </c>
      <c r="U328">
        <f>[1]资金台帐!U328&amp;""</f>
      </c>
      <c r="W328">
        <f>[1]资金台帐!W328&amp;""</f>
      </c>
      <c r="X328">
        <f>[1]资金台帐!X328&amp;""</f>
      </c>
      <c r="AB328">
        <f>[1]资金台帐!AB328</f>
        <v>0</v>
      </c>
      <c r="AC328">
        <f>[1]资金台帐!AC328</f>
        <v>0</v>
      </c>
      <c r="AD328">
        <f>[1]资金台帐!AD328</f>
        <v>0</v>
      </c>
      <c r="AJ328">
        <f>[1]资金台帐!AJ328</f>
        <v>0</v>
      </c>
      <c r="AK328">
        <f>[1]资金台帐!AK328</f>
        <v>0</v>
      </c>
      <c r="BA328" s="22">
        <f t="shared" si="0"/>
      </c>
      <c r="BG328" s="22">
        <f t="shared" si="1"/>
      </c>
      <c r="BH328" s="22">
        <f t="shared" si="2"/>
        <v>0</v>
      </c>
    </row>
    <row r="329">
      <c r="B329">
        <f>[1]资金台帐!B329&amp;""</f>
      </c>
      <c r="H329">
        <f>[1]资金台帐!H329&amp;""</f>
      </c>
      <c r="J329">
        <f>[1]资金台帐!J329&amp;""</f>
      </c>
      <c r="N329">
        <f>[1]资金台帐!N329</f>
      </c>
      <c r="O329">
        <f>[1]资金台帐!O329&amp;""</f>
      </c>
      <c r="P329">
        <f>[1]资金台帐!P329&amp;""</f>
      </c>
      <c r="Q329">
        <f>[1]资金台帐!Q329&amp;""</f>
      </c>
      <c r="T329">
        <f>[1]资金台帐!T329&amp;""</f>
      </c>
      <c r="U329">
        <f>[1]资金台帐!U329&amp;""</f>
      </c>
      <c r="W329">
        <f>[1]资金台帐!W329&amp;""</f>
      </c>
      <c r="X329">
        <f>[1]资金台帐!X329&amp;""</f>
      </c>
      <c r="AB329">
        <f>[1]资金台帐!AB329</f>
        <v>0</v>
      </c>
      <c r="AC329">
        <f>[1]资金台帐!AC329</f>
        <v>0</v>
      </c>
      <c r="AD329">
        <f>[1]资金台帐!AD329</f>
        <v>0</v>
      </c>
      <c r="AJ329">
        <f>[1]资金台帐!AJ329</f>
        <v>0</v>
      </c>
      <c r="AK329">
        <f>[1]资金台帐!AK329</f>
        <v>0</v>
      </c>
      <c r="BA329" s="22">
        <f t="shared" si="0"/>
      </c>
      <c r="BG329" s="22">
        <f t="shared" si="1"/>
      </c>
      <c r="BH329" s="22">
        <f t="shared" si="2"/>
        <v>0</v>
      </c>
    </row>
    <row r="330">
      <c r="B330">
        <f>[1]资金台帐!B330&amp;""</f>
      </c>
      <c r="H330">
        <f>[1]资金台帐!H330&amp;""</f>
      </c>
      <c r="J330">
        <f>[1]资金台帐!J330&amp;""</f>
      </c>
      <c r="N330">
        <f>[1]资金台帐!N330</f>
      </c>
      <c r="O330">
        <f>[1]资金台帐!O330&amp;""</f>
      </c>
      <c r="P330">
        <f>[1]资金台帐!P330&amp;""</f>
      </c>
      <c r="Q330">
        <f>[1]资金台帐!Q330&amp;""</f>
      </c>
      <c r="T330">
        <f>[1]资金台帐!T330&amp;""</f>
      </c>
      <c r="U330">
        <f>[1]资金台帐!U330&amp;""</f>
      </c>
      <c r="W330">
        <f>[1]资金台帐!W330&amp;""</f>
      </c>
      <c r="X330">
        <f>[1]资金台帐!X330&amp;""</f>
      </c>
      <c r="AB330">
        <f>[1]资金台帐!AB330</f>
        <v>0</v>
      </c>
      <c r="AC330">
        <f>[1]资金台帐!AC330</f>
        <v>0</v>
      </c>
      <c r="AD330">
        <f>[1]资金台帐!AD330</f>
        <v>0</v>
      </c>
      <c r="AJ330">
        <f>[1]资金台帐!AJ330</f>
        <v>0</v>
      </c>
      <c r="AK330">
        <f>[1]资金台帐!AK330</f>
        <v>0</v>
      </c>
      <c r="BA330" s="22">
        <f t="shared" si="0"/>
      </c>
      <c r="BG330" s="22">
        <f t="shared" si="1"/>
      </c>
      <c r="BH330" s="22">
        <f t="shared" si="2"/>
        <v>0</v>
      </c>
    </row>
    <row r="331">
      <c r="B331">
        <f>[1]资金台帐!B331&amp;""</f>
      </c>
      <c r="H331">
        <f>[1]资金台帐!H331&amp;""</f>
      </c>
      <c r="J331">
        <f>[1]资金台帐!J331&amp;""</f>
      </c>
      <c r="N331">
        <f>[1]资金台帐!N331</f>
      </c>
      <c r="O331">
        <f>[1]资金台帐!O331&amp;""</f>
      </c>
      <c r="P331">
        <f>[1]资金台帐!P331&amp;""</f>
      </c>
      <c r="Q331">
        <f>[1]资金台帐!Q331&amp;""</f>
      </c>
      <c r="T331">
        <f>[1]资金台帐!T331&amp;""</f>
      </c>
      <c r="U331">
        <f>[1]资金台帐!U331&amp;""</f>
      </c>
      <c r="W331">
        <f>[1]资金台帐!W331&amp;""</f>
      </c>
      <c r="X331">
        <f>[1]资金台帐!X331&amp;""</f>
      </c>
      <c r="AB331">
        <f>[1]资金台帐!AB331</f>
        <v>0</v>
      </c>
      <c r="AC331">
        <f>[1]资金台帐!AC331</f>
        <v>0</v>
      </c>
      <c r="AD331">
        <f>[1]资金台帐!AD331</f>
        <v>0</v>
      </c>
      <c r="AJ331">
        <f>[1]资金台帐!AJ331</f>
        <v>0</v>
      </c>
      <c r="AK331">
        <f>[1]资金台帐!AK331</f>
        <v>0</v>
      </c>
      <c r="BA331" s="22">
        <f t="shared" si="0"/>
      </c>
      <c r="BG331" s="22">
        <f t="shared" si="1"/>
      </c>
      <c r="BH331" s="22">
        <f t="shared" si="2"/>
        <v>0</v>
      </c>
    </row>
    <row r="332">
      <c r="B332">
        <f>[1]资金台帐!B332&amp;""</f>
      </c>
      <c r="H332">
        <f>[1]资金台帐!H332&amp;""</f>
      </c>
      <c r="J332">
        <f>[1]资金台帐!J332&amp;""</f>
      </c>
      <c r="N332">
        <f>[1]资金台帐!N332</f>
      </c>
      <c r="O332">
        <f>[1]资金台帐!O332&amp;""</f>
      </c>
      <c r="P332">
        <f>[1]资金台帐!P332&amp;""</f>
      </c>
      <c r="Q332">
        <f>[1]资金台帐!Q332&amp;""</f>
      </c>
      <c r="T332">
        <f>[1]资金台帐!T332&amp;""</f>
      </c>
      <c r="U332">
        <f>[1]资金台帐!U332&amp;""</f>
      </c>
      <c r="W332">
        <f>[1]资金台帐!W332&amp;""</f>
      </c>
      <c r="X332">
        <f>[1]资金台帐!X332&amp;""</f>
      </c>
      <c r="AB332">
        <f>[1]资金台帐!AB332</f>
        <v>0</v>
      </c>
      <c r="AC332">
        <f>[1]资金台帐!AC332</f>
        <v>0</v>
      </c>
      <c r="AD332">
        <f>[1]资金台帐!AD332</f>
        <v>0</v>
      </c>
      <c r="AJ332">
        <f>[1]资金台帐!AJ332</f>
        <v>0</v>
      </c>
      <c r="AK332">
        <f>[1]资金台帐!AK332</f>
        <v>0</v>
      </c>
      <c r="BA332" s="22">
        <f t="shared" si="0"/>
      </c>
      <c r="BG332" s="22">
        <f t="shared" si="1"/>
      </c>
      <c r="BH332" s="22">
        <f t="shared" si="2"/>
        <v>0</v>
      </c>
    </row>
    <row r="333">
      <c r="B333">
        <f>[1]资金台帐!B333&amp;""</f>
      </c>
      <c r="H333">
        <f>[1]资金台帐!H333&amp;""</f>
      </c>
      <c r="J333">
        <f>[1]资金台帐!J333&amp;""</f>
      </c>
      <c r="N333">
        <f>[1]资金台帐!N333</f>
      </c>
      <c r="O333">
        <f>[1]资金台帐!O333&amp;""</f>
      </c>
      <c r="P333">
        <f>[1]资金台帐!P333&amp;""</f>
      </c>
      <c r="Q333">
        <f>[1]资金台帐!Q333&amp;""</f>
      </c>
      <c r="T333">
        <f>[1]资金台帐!T333&amp;""</f>
      </c>
      <c r="U333">
        <f>[1]资金台帐!U333&amp;""</f>
      </c>
      <c r="W333">
        <f>[1]资金台帐!W333&amp;""</f>
      </c>
      <c r="X333">
        <f>[1]资金台帐!X333&amp;""</f>
      </c>
      <c r="AB333">
        <f>[1]资金台帐!AB333</f>
        <v>0</v>
      </c>
      <c r="AC333">
        <f>[1]资金台帐!AC333</f>
        <v>0</v>
      </c>
      <c r="AD333">
        <f>[1]资金台帐!AD333</f>
        <v>0</v>
      </c>
      <c r="AJ333">
        <f>[1]资金台帐!AJ333</f>
        <v>0</v>
      </c>
      <c r="AK333">
        <f>[1]资金台帐!AK333</f>
        <v>0</v>
      </c>
      <c r="BA333" s="22">
        <f t="shared" si="0"/>
      </c>
      <c r="BG333" s="22">
        <f t="shared" si="1"/>
      </c>
      <c r="BH333" s="22">
        <f t="shared" si="2"/>
        <v>0</v>
      </c>
    </row>
    <row r="334">
      <c r="B334">
        <f>[1]资金台帐!B334&amp;""</f>
      </c>
      <c r="H334">
        <f>[1]资金台帐!H334&amp;""</f>
      </c>
      <c r="J334">
        <f>[1]资金台帐!J334&amp;""</f>
      </c>
      <c r="N334">
        <f>[1]资金台帐!N334</f>
      </c>
      <c r="O334">
        <f>[1]资金台帐!O334&amp;""</f>
      </c>
      <c r="P334">
        <f>[1]资金台帐!P334&amp;""</f>
      </c>
      <c r="Q334">
        <f>[1]资金台帐!Q334&amp;""</f>
      </c>
      <c r="T334">
        <f>[1]资金台帐!T334&amp;""</f>
      </c>
      <c r="U334">
        <f>[1]资金台帐!U334&amp;""</f>
      </c>
      <c r="W334">
        <f>[1]资金台帐!W334&amp;""</f>
      </c>
      <c r="X334">
        <f>[1]资金台帐!X334&amp;""</f>
      </c>
      <c r="AB334">
        <f>[1]资金台帐!AB334</f>
        <v>0</v>
      </c>
      <c r="AC334">
        <f>[1]资金台帐!AC334</f>
        <v>0</v>
      </c>
      <c r="AD334">
        <f>[1]资金台帐!AD334</f>
        <v>0</v>
      </c>
      <c r="AJ334">
        <f>[1]资金台帐!AJ334</f>
        <v>0</v>
      </c>
      <c r="AK334">
        <f>[1]资金台帐!AK334</f>
        <v>0</v>
      </c>
      <c r="BA334" s="22">
        <f t="shared" si="0"/>
      </c>
      <c r="BG334" s="22">
        <f t="shared" si="1"/>
      </c>
      <c r="BH334" s="22">
        <f t="shared" si="2"/>
        <v>0</v>
      </c>
    </row>
    <row r="335">
      <c r="B335">
        <f>[1]资金台帐!B335&amp;""</f>
      </c>
      <c r="H335">
        <f>[1]资金台帐!H335&amp;""</f>
      </c>
      <c r="J335">
        <f>[1]资金台帐!J335&amp;""</f>
      </c>
      <c r="N335">
        <f>[1]资金台帐!N335</f>
      </c>
      <c r="O335">
        <f>[1]资金台帐!O335&amp;""</f>
      </c>
      <c r="P335">
        <f>[1]资金台帐!P335&amp;""</f>
      </c>
      <c r="Q335">
        <f>[1]资金台帐!Q335&amp;""</f>
      </c>
      <c r="T335">
        <f>[1]资金台帐!T335&amp;""</f>
      </c>
      <c r="U335">
        <f>[1]资金台帐!U335&amp;""</f>
      </c>
      <c r="W335">
        <f>[1]资金台帐!W335&amp;""</f>
      </c>
      <c r="X335">
        <f>[1]资金台帐!X335&amp;""</f>
      </c>
      <c r="AB335">
        <f>[1]资金台帐!AB335</f>
        <v>0</v>
      </c>
      <c r="AC335">
        <f>[1]资金台帐!AC335</f>
        <v>0</v>
      </c>
      <c r="AD335">
        <f>[1]资金台帐!AD335</f>
        <v>0</v>
      </c>
      <c r="AJ335">
        <f>[1]资金台帐!AJ335</f>
        <v>0</v>
      </c>
      <c r="AK335">
        <f>[1]资金台帐!AK335</f>
        <v>0</v>
      </c>
      <c r="BA335" s="22">
        <f t="shared" si="0"/>
      </c>
      <c r="BG335" s="22">
        <f t="shared" si="1"/>
      </c>
      <c r="BH335" s="22">
        <f t="shared" si="2"/>
        <v>0</v>
      </c>
    </row>
    <row r="336">
      <c r="B336">
        <f>[1]资金台帐!B336&amp;""</f>
      </c>
      <c r="H336">
        <f>[1]资金台帐!H336&amp;""</f>
      </c>
      <c r="J336">
        <f>[1]资金台帐!J336&amp;""</f>
      </c>
      <c r="N336">
        <f>[1]资金台帐!N336</f>
      </c>
      <c r="O336">
        <f>[1]资金台帐!O336&amp;""</f>
      </c>
      <c r="P336">
        <f>[1]资金台帐!P336&amp;""</f>
      </c>
      <c r="Q336">
        <f>[1]资金台帐!Q336&amp;""</f>
      </c>
      <c r="T336">
        <f>[1]资金台帐!T336&amp;""</f>
      </c>
      <c r="U336">
        <f>[1]资金台帐!U336&amp;""</f>
      </c>
      <c r="W336">
        <f>[1]资金台帐!W336&amp;""</f>
      </c>
      <c r="X336">
        <f>[1]资金台帐!X336&amp;""</f>
      </c>
      <c r="AB336">
        <f>[1]资金台帐!AB336</f>
        <v>0</v>
      </c>
      <c r="AC336">
        <f>[1]资金台帐!AC336</f>
        <v>0</v>
      </c>
      <c r="AD336">
        <f>[1]资金台帐!AD336</f>
        <v>0</v>
      </c>
      <c r="AJ336">
        <f>[1]资金台帐!AJ336</f>
        <v>0</v>
      </c>
      <c r="AK336">
        <f>[1]资金台帐!AK336</f>
        <v>0</v>
      </c>
      <c r="BA336" s="22">
        <f t="shared" si="0"/>
      </c>
      <c r="BG336" s="22">
        <f t="shared" si="1"/>
      </c>
      <c r="BH336" s="22">
        <f t="shared" si="2"/>
        <v>0</v>
      </c>
    </row>
    <row r="337">
      <c r="B337">
        <f>[1]资金台帐!B337&amp;""</f>
      </c>
      <c r="H337">
        <f>[1]资金台帐!H337&amp;""</f>
      </c>
      <c r="J337">
        <f>[1]资金台帐!J337&amp;""</f>
      </c>
      <c r="N337">
        <f>[1]资金台帐!N337</f>
      </c>
      <c r="O337">
        <f>[1]资金台帐!O337&amp;""</f>
      </c>
      <c r="P337">
        <f>[1]资金台帐!P337&amp;""</f>
      </c>
      <c r="Q337">
        <f>[1]资金台帐!Q337&amp;""</f>
      </c>
      <c r="T337">
        <f>[1]资金台帐!T337&amp;""</f>
      </c>
      <c r="U337">
        <f>[1]资金台帐!U337&amp;""</f>
      </c>
      <c r="W337">
        <f>[1]资金台帐!W337&amp;""</f>
      </c>
      <c r="X337">
        <f>[1]资金台帐!X337&amp;""</f>
      </c>
      <c r="AB337">
        <f>[1]资金台帐!AB337</f>
        <v>0</v>
      </c>
      <c r="AC337">
        <f>[1]资金台帐!AC337</f>
        <v>0</v>
      </c>
      <c r="AD337">
        <f>[1]资金台帐!AD337</f>
        <v>0</v>
      </c>
      <c r="AJ337">
        <f>[1]资金台帐!AJ337</f>
        <v>0</v>
      </c>
      <c r="AK337">
        <f>[1]资金台帐!AK337</f>
        <v>0</v>
      </c>
      <c r="BA337" s="22">
        <f t="shared" si="0"/>
      </c>
      <c r="BG337" s="22">
        <f t="shared" si="1"/>
      </c>
      <c r="BH337" s="22">
        <f t="shared" si="2"/>
        <v>0</v>
      </c>
    </row>
    <row r="338">
      <c r="B338">
        <f>[1]资金台帐!B338&amp;""</f>
      </c>
      <c r="H338">
        <f>[1]资金台帐!H338&amp;""</f>
      </c>
      <c r="J338">
        <f>[1]资金台帐!J338&amp;""</f>
      </c>
      <c r="N338">
        <f>[1]资金台帐!N338</f>
      </c>
      <c r="O338">
        <f>[1]资金台帐!O338&amp;""</f>
      </c>
      <c r="P338">
        <f>[1]资金台帐!P338&amp;""</f>
      </c>
      <c r="Q338">
        <f>[1]资金台帐!Q338&amp;""</f>
      </c>
      <c r="T338">
        <f>[1]资金台帐!T338&amp;""</f>
      </c>
      <c r="U338">
        <f>[1]资金台帐!U338&amp;""</f>
      </c>
      <c r="W338">
        <f>[1]资金台帐!W338&amp;""</f>
      </c>
      <c r="X338">
        <f>[1]资金台帐!X338&amp;""</f>
      </c>
      <c r="AB338">
        <f>[1]资金台帐!AB338</f>
        <v>0</v>
      </c>
      <c r="AC338">
        <f>[1]资金台帐!AC338</f>
        <v>0</v>
      </c>
      <c r="AD338">
        <f>[1]资金台帐!AD338</f>
        <v>0</v>
      </c>
      <c r="AJ338">
        <f>[1]资金台帐!AJ338</f>
        <v>0</v>
      </c>
      <c r="AK338">
        <f>[1]资金台帐!AK338</f>
        <v>0</v>
      </c>
      <c r="BA338" s="22">
        <f t="shared" si="0"/>
      </c>
      <c r="BG338" s="22">
        <f t="shared" si="1"/>
      </c>
      <c r="BH338" s="22">
        <f t="shared" si="2"/>
        <v>0</v>
      </c>
    </row>
    <row r="339">
      <c r="B339">
        <f>[1]资金台帐!B339&amp;""</f>
      </c>
      <c r="H339">
        <f>[1]资金台帐!H339&amp;""</f>
      </c>
      <c r="J339">
        <f>[1]资金台帐!J339&amp;""</f>
      </c>
      <c r="N339">
        <f>[1]资金台帐!N339</f>
      </c>
      <c r="O339">
        <f>[1]资金台帐!O339&amp;""</f>
      </c>
      <c r="P339">
        <f>[1]资金台帐!P339&amp;""</f>
      </c>
      <c r="Q339">
        <f>[1]资金台帐!Q339&amp;""</f>
      </c>
      <c r="T339">
        <f>[1]资金台帐!T339&amp;""</f>
      </c>
      <c r="U339">
        <f>[1]资金台帐!U339&amp;""</f>
      </c>
      <c r="W339">
        <f>[1]资金台帐!W339&amp;""</f>
      </c>
      <c r="X339">
        <f>[1]资金台帐!X339&amp;""</f>
      </c>
      <c r="AB339">
        <f>[1]资金台帐!AB339</f>
        <v>0</v>
      </c>
      <c r="AC339">
        <f>[1]资金台帐!AC339</f>
        <v>0</v>
      </c>
      <c r="AD339">
        <f>[1]资金台帐!AD339</f>
        <v>0</v>
      </c>
      <c r="AJ339">
        <f>[1]资金台帐!AJ339</f>
        <v>0</v>
      </c>
      <c r="AK339">
        <f>[1]资金台帐!AK339</f>
        <v>0</v>
      </c>
      <c r="BA339" s="22">
        <f t="shared" si="0"/>
      </c>
      <c r="BG339" s="22">
        <f t="shared" si="1"/>
      </c>
      <c r="BH339" s="22">
        <f t="shared" si="2"/>
        <v>0</v>
      </c>
    </row>
    <row r="340">
      <c r="B340">
        <f>[1]资金台帐!B340&amp;""</f>
      </c>
      <c r="H340">
        <f>[1]资金台帐!H340&amp;""</f>
      </c>
      <c r="J340">
        <f>[1]资金台帐!J340&amp;""</f>
      </c>
      <c r="N340">
        <f>[1]资金台帐!N340</f>
      </c>
      <c r="O340">
        <f>[1]资金台帐!O340&amp;""</f>
      </c>
      <c r="P340">
        <f>[1]资金台帐!P340&amp;""</f>
      </c>
      <c r="Q340">
        <f>[1]资金台帐!Q340&amp;""</f>
      </c>
      <c r="T340">
        <f>[1]资金台帐!T340&amp;""</f>
      </c>
      <c r="U340">
        <f>[1]资金台帐!U340&amp;""</f>
      </c>
      <c r="W340">
        <f>[1]资金台帐!W340&amp;""</f>
      </c>
      <c r="X340">
        <f>[1]资金台帐!X340&amp;""</f>
      </c>
      <c r="AB340">
        <f>[1]资金台帐!AB340</f>
        <v>0</v>
      </c>
      <c r="AC340">
        <f>[1]资金台帐!AC340</f>
        <v>0</v>
      </c>
      <c r="AD340">
        <f>[1]资金台帐!AD340</f>
        <v>0</v>
      </c>
      <c r="AJ340">
        <f>[1]资金台帐!AJ340</f>
        <v>0</v>
      </c>
      <c r="AK340">
        <f>[1]资金台帐!AK340</f>
        <v>0</v>
      </c>
      <c r="BA340" s="22">
        <f t="shared" si="0"/>
      </c>
      <c r="BG340" s="22">
        <f t="shared" si="1"/>
      </c>
      <c r="BH340" s="22">
        <f t="shared" si="2"/>
        <v>0</v>
      </c>
    </row>
    <row r="341">
      <c r="B341">
        <f>[1]资金台帐!B341&amp;""</f>
      </c>
      <c r="H341">
        <f>[1]资金台帐!H341&amp;""</f>
      </c>
      <c r="J341">
        <f>[1]资金台帐!J341&amp;""</f>
      </c>
      <c r="N341">
        <f>[1]资金台帐!N341</f>
      </c>
      <c r="O341">
        <f>[1]资金台帐!O341&amp;""</f>
      </c>
      <c r="P341">
        <f>[1]资金台帐!P341&amp;""</f>
      </c>
      <c r="Q341">
        <f>[1]资金台帐!Q341&amp;""</f>
      </c>
      <c r="T341">
        <f>[1]资金台帐!T341&amp;""</f>
      </c>
      <c r="U341">
        <f>[1]资金台帐!U341&amp;""</f>
      </c>
      <c r="W341">
        <f>[1]资金台帐!W341&amp;""</f>
      </c>
      <c r="X341">
        <f>[1]资金台帐!X341&amp;""</f>
      </c>
      <c r="AB341">
        <f>[1]资金台帐!AB341</f>
        <v>0</v>
      </c>
      <c r="AC341">
        <f>[1]资金台帐!AC341</f>
        <v>0</v>
      </c>
      <c r="AD341">
        <f>[1]资金台帐!AD341</f>
        <v>0</v>
      </c>
      <c r="AJ341">
        <f>[1]资金台帐!AJ341</f>
        <v>0</v>
      </c>
      <c r="AK341">
        <f>[1]资金台帐!AK341</f>
        <v>0</v>
      </c>
      <c r="BA341" s="22">
        <f t="shared" si="0"/>
      </c>
      <c r="BG341" s="22">
        <f t="shared" si="1"/>
      </c>
      <c r="BH341" s="22">
        <f t="shared" si="2"/>
        <v>0</v>
      </c>
    </row>
    <row r="342">
      <c r="B342">
        <f>[1]资金台帐!B342&amp;""</f>
      </c>
      <c r="H342">
        <f>[1]资金台帐!H342&amp;""</f>
      </c>
      <c r="J342">
        <f>[1]资金台帐!J342&amp;""</f>
      </c>
      <c r="N342">
        <f>[1]资金台帐!N342</f>
      </c>
      <c r="O342">
        <f>[1]资金台帐!O342&amp;""</f>
      </c>
      <c r="P342">
        <f>[1]资金台帐!P342&amp;""</f>
      </c>
      <c r="Q342">
        <f>[1]资金台帐!Q342&amp;""</f>
      </c>
      <c r="T342">
        <f>[1]资金台帐!T342&amp;""</f>
      </c>
      <c r="U342">
        <f>[1]资金台帐!U342&amp;""</f>
      </c>
      <c r="W342">
        <f>[1]资金台帐!W342&amp;""</f>
      </c>
      <c r="X342">
        <f>[1]资金台帐!X342&amp;""</f>
      </c>
      <c r="AB342">
        <f>[1]资金台帐!AB342</f>
        <v>0</v>
      </c>
      <c r="AC342">
        <f>[1]资金台帐!AC342</f>
        <v>0</v>
      </c>
      <c r="AD342">
        <f>[1]资金台帐!AD342</f>
        <v>0</v>
      </c>
      <c r="AJ342">
        <f>[1]资金台帐!AJ342</f>
        <v>0</v>
      </c>
      <c r="AK342">
        <f>[1]资金台帐!AK342</f>
        <v>0</v>
      </c>
      <c r="BA342" s="22">
        <f t="shared" si="0"/>
      </c>
      <c r="BG342" s="22">
        <f t="shared" si="1"/>
      </c>
      <c r="BH342" s="22">
        <f t="shared" si="2"/>
        <v>0</v>
      </c>
    </row>
    <row r="343">
      <c r="B343">
        <f>[1]资金台帐!B343&amp;""</f>
      </c>
      <c r="H343">
        <f>[1]资金台帐!H343&amp;""</f>
      </c>
      <c r="J343">
        <f>[1]资金台帐!J343&amp;""</f>
      </c>
      <c r="N343">
        <f>[1]资金台帐!N343</f>
      </c>
      <c r="O343">
        <f>[1]资金台帐!O343&amp;""</f>
      </c>
      <c r="P343">
        <f>[1]资金台帐!P343&amp;""</f>
      </c>
      <c r="Q343">
        <f>[1]资金台帐!Q343&amp;""</f>
      </c>
      <c r="T343">
        <f>[1]资金台帐!T343&amp;""</f>
      </c>
      <c r="U343">
        <f>[1]资金台帐!U343&amp;""</f>
      </c>
      <c r="W343">
        <f>[1]资金台帐!W343&amp;""</f>
      </c>
      <c r="X343">
        <f>[1]资金台帐!X343&amp;""</f>
      </c>
      <c r="AB343">
        <f>[1]资金台帐!AB343</f>
        <v>0</v>
      </c>
      <c r="AC343">
        <f>[1]资金台帐!AC343</f>
        <v>0</v>
      </c>
      <c r="AD343">
        <f>[1]资金台帐!AD343</f>
        <v>0</v>
      </c>
      <c r="AJ343">
        <f>[1]资金台帐!AJ343</f>
        <v>0</v>
      </c>
      <c r="AK343">
        <f>[1]资金台帐!AK343</f>
        <v>0</v>
      </c>
      <c r="BA343" s="22">
        <f t="shared" si="0"/>
      </c>
      <c r="BG343" s="22">
        <f t="shared" si="1"/>
      </c>
      <c r="BH343" s="22">
        <f t="shared" si="2"/>
        <v>0</v>
      </c>
    </row>
    <row r="344">
      <c r="B344">
        <f>[1]资金台帐!B344&amp;""</f>
      </c>
      <c r="H344">
        <f>[1]资金台帐!H344&amp;""</f>
      </c>
      <c r="J344">
        <f>[1]资金台帐!J344&amp;""</f>
      </c>
      <c r="N344">
        <f>[1]资金台帐!N344</f>
      </c>
      <c r="O344">
        <f>[1]资金台帐!O344&amp;""</f>
      </c>
      <c r="P344">
        <f>[1]资金台帐!P344&amp;""</f>
      </c>
      <c r="Q344">
        <f>[1]资金台帐!Q344&amp;""</f>
      </c>
      <c r="T344">
        <f>[1]资金台帐!T344&amp;""</f>
      </c>
      <c r="U344">
        <f>[1]资金台帐!U344&amp;""</f>
      </c>
      <c r="W344">
        <f>[1]资金台帐!W344&amp;""</f>
      </c>
      <c r="X344">
        <f>[1]资金台帐!X344&amp;""</f>
      </c>
      <c r="AB344">
        <f>[1]资金台帐!AB344</f>
        <v>0</v>
      </c>
      <c r="AC344">
        <f>[1]资金台帐!AC344</f>
        <v>0</v>
      </c>
      <c r="AD344">
        <f>[1]资金台帐!AD344</f>
        <v>0</v>
      </c>
      <c r="AJ344">
        <f>[1]资金台帐!AJ344</f>
        <v>0</v>
      </c>
      <c r="AK344">
        <f>[1]资金台帐!AK344</f>
        <v>0</v>
      </c>
      <c r="BA344" s="22">
        <f t="shared" si="0"/>
      </c>
      <c r="BG344" s="22">
        <f t="shared" si="1"/>
      </c>
      <c r="BH344" s="22">
        <f t="shared" si="2"/>
        <v>0</v>
      </c>
    </row>
    <row r="345">
      <c r="B345">
        <f>[1]资金台帐!B345&amp;""</f>
      </c>
      <c r="H345">
        <f>[1]资金台帐!H345&amp;""</f>
      </c>
      <c r="J345">
        <f>[1]资金台帐!J345&amp;""</f>
      </c>
      <c r="N345">
        <f>[1]资金台帐!N345</f>
      </c>
      <c r="O345">
        <f>[1]资金台帐!O345&amp;""</f>
      </c>
      <c r="P345">
        <f>[1]资金台帐!P345&amp;""</f>
      </c>
      <c r="Q345">
        <f>[1]资金台帐!Q345&amp;""</f>
      </c>
      <c r="T345">
        <f>[1]资金台帐!T345&amp;""</f>
      </c>
      <c r="U345">
        <f>[1]资金台帐!U345&amp;""</f>
      </c>
      <c r="W345">
        <f>[1]资金台帐!W345&amp;""</f>
      </c>
      <c r="X345">
        <f>[1]资金台帐!X345&amp;""</f>
      </c>
      <c r="AB345">
        <f>[1]资金台帐!AB345</f>
        <v>0</v>
      </c>
      <c r="AC345">
        <f>[1]资金台帐!AC345</f>
        <v>0</v>
      </c>
      <c r="AD345">
        <f>[1]资金台帐!AD345</f>
        <v>0</v>
      </c>
      <c r="AJ345">
        <f>[1]资金台帐!AJ345</f>
        <v>0</v>
      </c>
      <c r="AK345">
        <f>[1]资金台帐!AK345</f>
        <v>0</v>
      </c>
      <c r="BA345" s="22">
        <f t="shared" si="0"/>
      </c>
      <c r="BG345" s="22">
        <f t="shared" si="1"/>
      </c>
      <c r="BH345" s="22">
        <f t="shared" si="2"/>
        <v>0</v>
      </c>
    </row>
    <row r="346">
      <c r="B346">
        <f>[1]资金台帐!B346&amp;""</f>
      </c>
      <c r="H346">
        <f>[1]资金台帐!H346&amp;""</f>
      </c>
      <c r="J346">
        <f>[1]资金台帐!J346&amp;""</f>
      </c>
      <c r="N346">
        <f>[1]资金台帐!N346</f>
      </c>
      <c r="O346">
        <f>[1]资金台帐!O346&amp;""</f>
      </c>
      <c r="P346">
        <f>[1]资金台帐!P346&amp;""</f>
      </c>
      <c r="Q346">
        <f>[1]资金台帐!Q346&amp;""</f>
      </c>
      <c r="T346">
        <f>[1]资金台帐!T346&amp;""</f>
      </c>
      <c r="U346">
        <f>[1]资金台帐!U346&amp;""</f>
      </c>
      <c r="W346">
        <f>[1]资金台帐!W346&amp;""</f>
      </c>
      <c r="X346">
        <f>[1]资金台帐!X346&amp;""</f>
      </c>
      <c r="AB346">
        <f>[1]资金台帐!AB346</f>
        <v>0</v>
      </c>
      <c r="AC346">
        <f>[1]资金台帐!AC346</f>
        <v>0</v>
      </c>
      <c r="AD346">
        <f>[1]资金台帐!AD346</f>
        <v>0</v>
      </c>
      <c r="AJ346">
        <f>[1]资金台帐!AJ346</f>
        <v>0</v>
      </c>
      <c r="AK346">
        <f>[1]资金台帐!AK346</f>
        <v>0</v>
      </c>
      <c r="BA346" s="22">
        <f t="shared" si="0"/>
      </c>
      <c r="BG346" s="22">
        <f t="shared" si="1"/>
      </c>
      <c r="BH346" s="22">
        <f t="shared" si="2"/>
        <v>0</v>
      </c>
    </row>
    <row r="347">
      <c r="B347">
        <f>[1]资金台帐!B347&amp;""</f>
      </c>
      <c r="H347">
        <f>[1]资金台帐!H347&amp;""</f>
      </c>
      <c r="J347">
        <f>[1]资金台帐!J347&amp;""</f>
      </c>
      <c r="N347">
        <f>[1]资金台帐!N347</f>
      </c>
      <c r="O347">
        <f>[1]资金台帐!O347&amp;""</f>
      </c>
      <c r="P347">
        <f>[1]资金台帐!P347&amp;""</f>
      </c>
      <c r="Q347">
        <f>[1]资金台帐!Q347&amp;""</f>
      </c>
      <c r="T347">
        <f>[1]资金台帐!T347&amp;""</f>
      </c>
      <c r="U347">
        <f>[1]资金台帐!U347&amp;""</f>
      </c>
      <c r="W347">
        <f>[1]资金台帐!W347&amp;""</f>
      </c>
      <c r="X347">
        <f>[1]资金台帐!X347&amp;""</f>
      </c>
      <c r="AB347">
        <f>[1]资金台帐!AB347</f>
        <v>0</v>
      </c>
      <c r="AC347">
        <f>[1]资金台帐!AC347</f>
        <v>0</v>
      </c>
      <c r="AD347">
        <f>[1]资金台帐!AD347</f>
        <v>0</v>
      </c>
      <c r="AJ347">
        <f>[1]资金台帐!AJ347</f>
        <v>0</v>
      </c>
      <c r="AK347">
        <f>[1]资金台帐!AK347</f>
        <v>0</v>
      </c>
      <c r="BA347" s="22">
        <f t="shared" si="0"/>
      </c>
      <c r="BG347" s="22">
        <f t="shared" si="1"/>
      </c>
      <c r="BH347" s="22">
        <f t="shared" si="2"/>
        <v>0</v>
      </c>
    </row>
    <row r="348">
      <c r="B348">
        <f>[1]资金台帐!B348&amp;""</f>
      </c>
      <c r="H348">
        <f>[1]资金台帐!H348&amp;""</f>
      </c>
      <c r="J348">
        <f>[1]资金台帐!J348&amp;""</f>
      </c>
      <c r="N348">
        <f>[1]资金台帐!N348</f>
      </c>
      <c r="O348">
        <f>[1]资金台帐!O348&amp;""</f>
      </c>
      <c r="P348">
        <f>[1]资金台帐!P348&amp;""</f>
      </c>
      <c r="Q348">
        <f>[1]资金台帐!Q348&amp;""</f>
      </c>
      <c r="T348">
        <f>[1]资金台帐!T348&amp;""</f>
      </c>
      <c r="U348">
        <f>[1]资金台帐!U348&amp;""</f>
      </c>
      <c r="W348">
        <f>[1]资金台帐!W348&amp;""</f>
      </c>
      <c r="X348">
        <f>[1]资金台帐!X348&amp;""</f>
      </c>
      <c r="AB348">
        <f>[1]资金台帐!AB348</f>
        <v>0</v>
      </c>
      <c r="AC348">
        <f>[1]资金台帐!AC348</f>
        <v>0</v>
      </c>
      <c r="AD348">
        <f>[1]资金台帐!AD348</f>
        <v>0</v>
      </c>
      <c r="AJ348">
        <f>[1]资金台帐!AJ348</f>
        <v>0</v>
      </c>
      <c r="AK348">
        <f>[1]资金台帐!AK348</f>
        <v>0</v>
      </c>
      <c r="BA348" s="22">
        <f t="shared" si="0"/>
      </c>
      <c r="BG348" s="22">
        <f t="shared" si="1"/>
      </c>
      <c r="BH348" s="22">
        <f t="shared" si="2"/>
        <v>0</v>
      </c>
    </row>
    <row r="349">
      <c r="B349">
        <f>[1]资金台帐!B349&amp;""</f>
      </c>
      <c r="H349">
        <f>[1]资金台帐!H349&amp;""</f>
      </c>
      <c r="J349">
        <f>[1]资金台帐!J349&amp;""</f>
      </c>
      <c r="N349">
        <f>[1]资金台帐!N349</f>
      </c>
      <c r="O349">
        <f>[1]资金台帐!O349&amp;""</f>
      </c>
      <c r="P349">
        <f>[1]资金台帐!P349&amp;""</f>
      </c>
      <c r="Q349">
        <f>[1]资金台帐!Q349&amp;""</f>
      </c>
      <c r="T349">
        <f>[1]资金台帐!T349&amp;""</f>
      </c>
      <c r="U349">
        <f>[1]资金台帐!U349&amp;""</f>
      </c>
      <c r="W349">
        <f>[1]资金台帐!W349&amp;""</f>
      </c>
      <c r="X349">
        <f>[1]资金台帐!X349&amp;""</f>
      </c>
      <c r="AB349">
        <f>[1]资金台帐!AB349</f>
        <v>0</v>
      </c>
      <c r="AC349">
        <f>[1]资金台帐!AC349</f>
        <v>0</v>
      </c>
      <c r="AD349">
        <f>[1]资金台帐!AD349</f>
        <v>0</v>
      </c>
      <c r="AJ349">
        <f>[1]资金台帐!AJ349</f>
        <v>0</v>
      </c>
      <c r="AK349">
        <f>[1]资金台帐!AK349</f>
        <v>0</v>
      </c>
      <c r="BA349" s="22">
        <f t="shared" si="0"/>
      </c>
      <c r="BG349" s="22">
        <f t="shared" si="1"/>
      </c>
      <c r="BH349" s="22">
        <f t="shared" si="2"/>
        <v>0</v>
      </c>
    </row>
    <row r="350">
      <c r="B350">
        <f>[1]资金台帐!B350&amp;""</f>
      </c>
      <c r="H350">
        <f>[1]资金台帐!H350&amp;""</f>
      </c>
      <c r="J350">
        <f>[1]资金台帐!J350&amp;""</f>
      </c>
      <c r="N350">
        <f>[1]资金台帐!N350</f>
      </c>
      <c r="O350">
        <f>[1]资金台帐!O350&amp;""</f>
      </c>
      <c r="P350">
        <f>[1]资金台帐!P350&amp;""</f>
      </c>
      <c r="Q350">
        <f>[1]资金台帐!Q350&amp;""</f>
      </c>
      <c r="T350">
        <f>[1]资金台帐!T350&amp;""</f>
      </c>
      <c r="U350">
        <f>[1]资金台帐!U350&amp;""</f>
      </c>
      <c r="W350">
        <f>[1]资金台帐!W350&amp;""</f>
      </c>
      <c r="X350">
        <f>[1]资金台帐!X350&amp;""</f>
      </c>
      <c r="AB350">
        <f>[1]资金台帐!AB350</f>
        <v>0</v>
      </c>
      <c r="AC350">
        <f>[1]资金台帐!AC350</f>
        <v>0</v>
      </c>
      <c r="AD350">
        <f>[1]资金台帐!AD350</f>
        <v>0</v>
      </c>
      <c r="AJ350">
        <f>[1]资金台帐!AJ350</f>
        <v>0</v>
      </c>
      <c r="AK350">
        <f>[1]资金台帐!AK350</f>
        <v>0</v>
      </c>
      <c r="BA350" s="22">
        <f t="shared" si="0"/>
      </c>
      <c r="BG350" s="22">
        <f t="shared" si="1"/>
      </c>
      <c r="BH350" s="22">
        <f t="shared" si="2"/>
        <v>0</v>
      </c>
    </row>
    <row r="351">
      <c r="B351">
        <f>[1]资金台帐!B351&amp;""</f>
      </c>
      <c r="H351">
        <f>[1]资金台帐!H351&amp;""</f>
      </c>
      <c r="J351">
        <f>[1]资金台帐!J351&amp;""</f>
      </c>
      <c r="N351">
        <f>[1]资金台帐!N351</f>
      </c>
      <c r="O351">
        <f>[1]资金台帐!O351&amp;""</f>
      </c>
      <c r="P351">
        <f>[1]资金台帐!P351&amp;""</f>
      </c>
      <c r="Q351">
        <f>[1]资金台帐!Q351&amp;""</f>
      </c>
      <c r="T351">
        <f>[1]资金台帐!T351&amp;""</f>
      </c>
      <c r="U351">
        <f>[1]资金台帐!U351&amp;""</f>
      </c>
      <c r="W351">
        <f>[1]资金台帐!W351&amp;""</f>
      </c>
      <c r="X351">
        <f>[1]资金台帐!X351&amp;""</f>
      </c>
      <c r="AB351">
        <f>[1]资金台帐!AB351</f>
        <v>0</v>
      </c>
      <c r="AC351">
        <f>[1]资金台帐!AC351</f>
        <v>0</v>
      </c>
      <c r="AD351">
        <f>[1]资金台帐!AD351</f>
        <v>0</v>
      </c>
      <c r="AJ351">
        <f>[1]资金台帐!AJ351</f>
        <v>0</v>
      </c>
      <c r="AK351">
        <f>[1]资金台帐!AK351</f>
        <v>0</v>
      </c>
      <c r="BA351" s="22">
        <f t="shared" si="0"/>
      </c>
      <c r="BG351" s="22">
        <f t="shared" si="1"/>
      </c>
      <c r="BH351" s="22">
        <f t="shared" si="2"/>
        <v>0</v>
      </c>
    </row>
    <row r="352">
      <c r="B352">
        <f>[1]资金台帐!B352&amp;""</f>
      </c>
      <c r="H352">
        <f>[1]资金台帐!H352&amp;""</f>
      </c>
      <c r="J352">
        <f>[1]资金台帐!J352&amp;""</f>
      </c>
      <c r="N352">
        <f>[1]资金台帐!N352</f>
      </c>
      <c r="O352">
        <f>[1]资金台帐!O352&amp;""</f>
      </c>
      <c r="P352">
        <f>[1]资金台帐!P352&amp;""</f>
      </c>
      <c r="Q352">
        <f>[1]资金台帐!Q352&amp;""</f>
      </c>
      <c r="T352">
        <f>[1]资金台帐!T352&amp;""</f>
      </c>
      <c r="U352">
        <f>[1]资金台帐!U352&amp;""</f>
      </c>
      <c r="W352">
        <f>[1]资金台帐!W352&amp;""</f>
      </c>
      <c r="X352">
        <f>[1]资金台帐!X352&amp;""</f>
      </c>
      <c r="AB352">
        <f>[1]资金台帐!AB352</f>
        <v>0</v>
      </c>
      <c r="AC352">
        <f>[1]资金台帐!AC352</f>
        <v>0</v>
      </c>
      <c r="AD352">
        <f>[1]资金台帐!AD352</f>
        <v>0</v>
      </c>
      <c r="AJ352">
        <f>[1]资金台帐!AJ352</f>
        <v>0</v>
      </c>
      <c r="AK352">
        <f>[1]资金台帐!AK352</f>
        <v>0</v>
      </c>
      <c r="BA352" s="22">
        <f t="shared" si="0"/>
      </c>
      <c r="BG352" s="22">
        <f t="shared" si="1"/>
      </c>
      <c r="BH352" s="22">
        <f t="shared" si="2"/>
        <v>0</v>
      </c>
    </row>
    <row r="353">
      <c r="B353">
        <f>[1]资金台帐!B353&amp;""</f>
      </c>
      <c r="H353">
        <f>[1]资金台帐!H353&amp;""</f>
      </c>
      <c r="J353">
        <f>[1]资金台帐!J353&amp;""</f>
      </c>
      <c r="N353">
        <f>[1]资金台帐!N353</f>
      </c>
      <c r="O353">
        <f>[1]资金台帐!O353&amp;""</f>
      </c>
      <c r="P353">
        <f>[1]资金台帐!P353&amp;""</f>
      </c>
      <c r="Q353">
        <f>[1]资金台帐!Q353&amp;""</f>
      </c>
      <c r="T353">
        <f>[1]资金台帐!T353&amp;""</f>
      </c>
      <c r="U353">
        <f>[1]资金台帐!U353&amp;""</f>
      </c>
      <c r="W353">
        <f>[1]资金台帐!W353&amp;""</f>
      </c>
      <c r="X353">
        <f>[1]资金台帐!X353&amp;""</f>
      </c>
      <c r="AB353">
        <f>[1]资金台帐!AB353</f>
        <v>0</v>
      </c>
      <c r="AC353">
        <f>[1]资金台帐!AC353</f>
        <v>0</v>
      </c>
      <c r="AD353">
        <f>[1]资金台帐!AD353</f>
        <v>0</v>
      </c>
      <c r="AJ353">
        <f>[1]资金台帐!AJ353</f>
        <v>0</v>
      </c>
      <c r="AK353">
        <f>[1]资金台帐!AK353</f>
        <v>0</v>
      </c>
      <c r="BA353" s="22">
        <f t="shared" si="0"/>
      </c>
      <c r="BG353" s="22">
        <f t="shared" si="1"/>
      </c>
      <c r="BH353" s="22">
        <f t="shared" si="2"/>
        <v>0</v>
      </c>
    </row>
    <row r="354">
      <c r="B354">
        <f>[1]资金台帐!B354&amp;""</f>
      </c>
      <c r="H354">
        <f>[1]资金台帐!H354&amp;""</f>
      </c>
      <c r="J354">
        <f>[1]资金台帐!J354&amp;""</f>
      </c>
      <c r="N354">
        <f>[1]资金台帐!N354</f>
      </c>
      <c r="O354">
        <f>[1]资金台帐!O354&amp;""</f>
      </c>
      <c r="P354">
        <f>[1]资金台帐!P354&amp;""</f>
      </c>
      <c r="Q354">
        <f>[1]资金台帐!Q354&amp;""</f>
      </c>
      <c r="T354">
        <f>[1]资金台帐!T354&amp;""</f>
      </c>
      <c r="U354">
        <f>[1]资金台帐!U354&amp;""</f>
      </c>
      <c r="W354">
        <f>[1]资金台帐!W354&amp;""</f>
      </c>
      <c r="X354">
        <f>[1]资金台帐!X354&amp;""</f>
      </c>
      <c r="AB354">
        <f>[1]资金台帐!AB354</f>
        <v>0</v>
      </c>
      <c r="AC354">
        <f>[1]资金台帐!AC354</f>
        <v>0</v>
      </c>
      <c r="AD354">
        <f>[1]资金台帐!AD354</f>
        <v>0</v>
      </c>
      <c r="AJ354">
        <f>[1]资金台帐!AJ354</f>
        <v>0</v>
      </c>
      <c r="AK354">
        <f>[1]资金台帐!AK354</f>
        <v>0</v>
      </c>
      <c r="BA354" s="22">
        <f t="shared" si="0"/>
      </c>
      <c r="BG354" s="22">
        <f t="shared" si="1"/>
      </c>
      <c r="BH354" s="22">
        <f t="shared" si="2"/>
        <v>0</v>
      </c>
    </row>
    <row r="355">
      <c r="B355">
        <f>[1]资金台帐!B355&amp;""</f>
      </c>
      <c r="H355">
        <f>[1]资金台帐!H355&amp;""</f>
      </c>
      <c r="J355">
        <f>[1]资金台帐!J355&amp;""</f>
      </c>
      <c r="N355">
        <f>[1]资金台帐!N355</f>
      </c>
      <c r="O355">
        <f>[1]资金台帐!O355&amp;""</f>
      </c>
      <c r="P355">
        <f>[1]资金台帐!P355&amp;""</f>
      </c>
      <c r="Q355">
        <f>[1]资金台帐!Q355&amp;""</f>
      </c>
      <c r="T355">
        <f>[1]资金台帐!T355&amp;""</f>
      </c>
      <c r="U355">
        <f>[1]资金台帐!U355&amp;""</f>
      </c>
      <c r="W355">
        <f>[1]资金台帐!W355&amp;""</f>
      </c>
      <c r="X355">
        <f>[1]资金台帐!X355&amp;""</f>
      </c>
      <c r="AB355">
        <f>[1]资金台帐!AB355</f>
        <v>0</v>
      </c>
      <c r="AC355">
        <f>[1]资金台帐!AC355</f>
        <v>0</v>
      </c>
      <c r="AD355">
        <f>[1]资金台帐!AD355</f>
        <v>0</v>
      </c>
      <c r="AJ355">
        <f>[1]资金台帐!AJ355</f>
        <v>0</v>
      </c>
      <c r="AK355">
        <f>[1]资金台帐!AK355</f>
        <v>0</v>
      </c>
      <c r="BA355" s="22">
        <f t="shared" si="0"/>
      </c>
      <c r="BG355" s="22">
        <f t="shared" si="1"/>
      </c>
      <c r="BH355" s="22">
        <f t="shared" si="2"/>
        <v>0</v>
      </c>
    </row>
    <row r="356">
      <c r="B356">
        <f>[1]资金台帐!B356&amp;""</f>
      </c>
      <c r="H356">
        <f>[1]资金台帐!H356&amp;""</f>
      </c>
      <c r="J356">
        <f>[1]资金台帐!J356&amp;""</f>
      </c>
      <c r="N356">
        <f>[1]资金台帐!N356</f>
      </c>
      <c r="O356">
        <f>[1]资金台帐!O356&amp;""</f>
      </c>
      <c r="P356">
        <f>[1]资金台帐!P356&amp;""</f>
      </c>
      <c r="Q356">
        <f>[1]资金台帐!Q356&amp;""</f>
      </c>
      <c r="T356">
        <f>[1]资金台帐!T356&amp;""</f>
      </c>
      <c r="U356">
        <f>[1]资金台帐!U356&amp;""</f>
      </c>
      <c r="W356">
        <f>[1]资金台帐!W356&amp;""</f>
      </c>
      <c r="X356">
        <f>[1]资金台帐!X356&amp;""</f>
      </c>
      <c r="AB356">
        <f>[1]资金台帐!AB356</f>
        <v>0</v>
      </c>
      <c r="AC356">
        <f>[1]资金台帐!AC356</f>
        <v>0</v>
      </c>
      <c r="AD356">
        <f>[1]资金台帐!AD356</f>
        <v>0</v>
      </c>
      <c r="AJ356">
        <f>[1]资金台帐!AJ356</f>
        <v>0</v>
      </c>
      <c r="AK356">
        <f>[1]资金台帐!AK356</f>
        <v>0</v>
      </c>
      <c r="BA356" s="22">
        <f t="shared" si="0"/>
      </c>
      <c r="BG356" s="22">
        <f t="shared" si="1"/>
      </c>
      <c r="BH356" s="22">
        <f t="shared" si="2"/>
        <v>0</v>
      </c>
    </row>
    <row r="357">
      <c r="B357">
        <f>[1]资金台帐!B357&amp;""</f>
      </c>
      <c r="H357">
        <f>[1]资金台帐!H357&amp;""</f>
      </c>
      <c r="J357">
        <f>[1]资金台帐!J357&amp;""</f>
      </c>
      <c r="N357">
        <f>[1]资金台帐!N357</f>
      </c>
      <c r="O357">
        <f>[1]资金台帐!O357&amp;""</f>
      </c>
      <c r="P357">
        <f>[1]资金台帐!P357&amp;""</f>
      </c>
      <c r="Q357">
        <f>[1]资金台帐!Q357&amp;""</f>
      </c>
      <c r="T357">
        <f>[1]资金台帐!T357&amp;""</f>
      </c>
      <c r="U357">
        <f>[1]资金台帐!U357&amp;""</f>
      </c>
      <c r="W357">
        <f>[1]资金台帐!W357&amp;""</f>
      </c>
      <c r="X357">
        <f>[1]资金台帐!X357&amp;""</f>
      </c>
      <c r="AB357">
        <f>[1]资金台帐!AB357</f>
        <v>0</v>
      </c>
      <c r="AC357">
        <f>[1]资金台帐!AC357</f>
        <v>0</v>
      </c>
      <c r="AD357">
        <f>[1]资金台帐!AD357</f>
        <v>0</v>
      </c>
      <c r="AJ357">
        <f>[1]资金台帐!AJ357</f>
        <v>0</v>
      </c>
      <c r="AK357">
        <f>[1]资金台帐!AK357</f>
        <v>0</v>
      </c>
      <c r="BA357" s="22">
        <f t="shared" si="0"/>
      </c>
      <c r="BG357" s="22">
        <f t="shared" si="1"/>
      </c>
      <c r="BH357" s="22">
        <f t="shared" si="2"/>
        <v>0</v>
      </c>
    </row>
    <row r="358">
      <c r="B358">
        <f>[1]资金台帐!B358&amp;""</f>
      </c>
      <c r="H358">
        <f>[1]资金台帐!H358&amp;""</f>
      </c>
      <c r="J358">
        <f>[1]资金台帐!J358&amp;""</f>
      </c>
      <c r="N358">
        <f>[1]资金台帐!N358</f>
      </c>
      <c r="O358">
        <f>[1]资金台帐!O358&amp;""</f>
      </c>
      <c r="P358">
        <f>[1]资金台帐!P358&amp;""</f>
      </c>
      <c r="Q358">
        <f>[1]资金台帐!Q358&amp;""</f>
      </c>
      <c r="T358">
        <f>[1]资金台帐!T358&amp;""</f>
      </c>
      <c r="U358">
        <f>[1]资金台帐!U358&amp;""</f>
      </c>
      <c r="W358">
        <f>[1]资金台帐!W358&amp;""</f>
      </c>
      <c r="X358">
        <f>[1]资金台帐!X358&amp;""</f>
      </c>
      <c r="AB358">
        <f>[1]资金台帐!AB358</f>
        <v>0</v>
      </c>
      <c r="AC358">
        <f>[1]资金台帐!AC358</f>
        <v>0</v>
      </c>
      <c r="AD358">
        <f>[1]资金台帐!AD358</f>
        <v>0</v>
      </c>
      <c r="AJ358">
        <f>[1]资金台帐!AJ358</f>
        <v>0</v>
      </c>
      <c r="AK358">
        <f>[1]资金台帐!AK358</f>
        <v>0</v>
      </c>
      <c r="BA358" s="22">
        <f t="shared" si="0"/>
      </c>
      <c r="BG358" s="22">
        <f t="shared" si="1"/>
      </c>
      <c r="BH358" s="22">
        <f t="shared" si="2"/>
        <v>0</v>
      </c>
    </row>
    <row r="359">
      <c r="B359">
        <f>[1]资金台帐!B359&amp;""</f>
      </c>
      <c r="H359">
        <f>[1]资金台帐!H359&amp;""</f>
      </c>
      <c r="J359">
        <f>[1]资金台帐!J359&amp;""</f>
      </c>
      <c r="N359">
        <f>[1]资金台帐!N359</f>
      </c>
      <c r="O359">
        <f>[1]资金台帐!O359&amp;""</f>
      </c>
      <c r="P359">
        <f>[1]资金台帐!P359&amp;""</f>
      </c>
      <c r="Q359">
        <f>[1]资金台帐!Q359&amp;""</f>
      </c>
      <c r="T359">
        <f>[1]资金台帐!T359&amp;""</f>
      </c>
      <c r="U359">
        <f>[1]资金台帐!U359&amp;""</f>
      </c>
      <c r="W359">
        <f>[1]资金台帐!W359&amp;""</f>
      </c>
      <c r="X359">
        <f>[1]资金台帐!X359&amp;""</f>
      </c>
      <c r="AB359">
        <f>[1]资金台帐!AB359</f>
        <v>0</v>
      </c>
      <c r="AC359">
        <f>[1]资金台帐!AC359</f>
        <v>0</v>
      </c>
      <c r="AD359">
        <f>[1]资金台帐!AD359</f>
        <v>0</v>
      </c>
      <c r="AJ359">
        <f>[1]资金台帐!AJ359</f>
        <v>0</v>
      </c>
      <c r="AK359">
        <f>[1]资金台帐!AK359</f>
        <v>0</v>
      </c>
      <c r="BA359" s="22">
        <f t="shared" si="0"/>
      </c>
      <c r="BG359" s="22">
        <f t="shared" si="1"/>
      </c>
      <c r="BH359" s="22">
        <f t="shared" si="2"/>
        <v>0</v>
      </c>
    </row>
    <row r="360">
      <c r="B360">
        <f>[1]资金台帐!B360&amp;""</f>
      </c>
      <c r="H360">
        <f>[1]资金台帐!H360&amp;""</f>
      </c>
      <c r="J360">
        <f>[1]资金台帐!J360&amp;""</f>
      </c>
      <c r="N360">
        <f>[1]资金台帐!N360</f>
      </c>
      <c r="O360">
        <f>[1]资金台帐!O360&amp;""</f>
      </c>
      <c r="P360">
        <f>[1]资金台帐!P360&amp;""</f>
      </c>
      <c r="Q360">
        <f>[1]资金台帐!Q360&amp;""</f>
      </c>
      <c r="T360">
        <f>[1]资金台帐!T360&amp;""</f>
      </c>
      <c r="U360">
        <f>[1]资金台帐!U360&amp;""</f>
      </c>
      <c r="W360">
        <f>[1]资金台帐!W360&amp;""</f>
      </c>
      <c r="X360">
        <f>[1]资金台帐!X360&amp;""</f>
      </c>
      <c r="AB360">
        <f>[1]资金台帐!AB360</f>
        <v>0</v>
      </c>
      <c r="AC360">
        <f>[1]资金台帐!AC360</f>
        <v>0</v>
      </c>
      <c r="AD360">
        <f>[1]资金台帐!AD360</f>
        <v>0</v>
      </c>
      <c r="AJ360">
        <f>[1]资金台帐!AJ360</f>
        <v>0</v>
      </c>
      <c r="AK360">
        <f>[1]资金台帐!AK360</f>
        <v>0</v>
      </c>
      <c r="BA360" s="22">
        <f t="shared" si="0"/>
      </c>
      <c r="BG360" s="22">
        <f t="shared" si="1"/>
      </c>
      <c r="BH360" s="22">
        <f t="shared" si="2"/>
        <v>0</v>
      </c>
    </row>
    <row r="361">
      <c r="B361">
        <f>[1]资金台帐!B361&amp;""</f>
      </c>
      <c r="H361">
        <f>[1]资金台帐!H361&amp;""</f>
      </c>
      <c r="J361">
        <f>[1]资金台帐!J361&amp;""</f>
      </c>
      <c r="N361">
        <f>[1]资金台帐!N361</f>
      </c>
      <c r="O361">
        <f>[1]资金台帐!O361&amp;""</f>
      </c>
      <c r="P361">
        <f>[1]资金台帐!P361&amp;""</f>
      </c>
      <c r="Q361">
        <f>[1]资金台帐!Q361&amp;""</f>
      </c>
      <c r="T361">
        <f>[1]资金台帐!T361&amp;""</f>
      </c>
      <c r="U361">
        <f>[1]资金台帐!U361&amp;""</f>
      </c>
      <c r="W361">
        <f>[1]资金台帐!W361&amp;""</f>
      </c>
      <c r="X361">
        <f>[1]资金台帐!X361&amp;""</f>
      </c>
      <c r="AB361">
        <f>[1]资金台帐!AB361</f>
        <v>0</v>
      </c>
      <c r="AC361">
        <f>[1]资金台帐!AC361</f>
        <v>0</v>
      </c>
      <c r="AD361">
        <f>[1]资金台帐!AD361</f>
        <v>0</v>
      </c>
      <c r="AJ361">
        <f>[1]资金台帐!AJ361</f>
        <v>0</v>
      </c>
      <c r="AK361">
        <f>[1]资金台帐!AK361</f>
        <v>0</v>
      </c>
      <c r="BA361" s="22">
        <f t="shared" si="0"/>
      </c>
      <c r="BG361" s="22">
        <f t="shared" si="1"/>
      </c>
      <c r="BH361" s="22">
        <f t="shared" si="2"/>
        <v>0</v>
      </c>
    </row>
    <row r="362">
      <c r="B362">
        <f>[1]资金台帐!B362&amp;""</f>
      </c>
      <c r="H362">
        <f>[1]资金台帐!H362&amp;""</f>
      </c>
      <c r="J362">
        <f>[1]资金台帐!J362&amp;""</f>
      </c>
      <c r="N362">
        <f>[1]资金台帐!N362</f>
      </c>
      <c r="O362">
        <f>[1]资金台帐!O362&amp;""</f>
      </c>
      <c r="P362">
        <f>[1]资金台帐!P362&amp;""</f>
      </c>
      <c r="Q362">
        <f>[1]资金台帐!Q362&amp;""</f>
      </c>
      <c r="T362">
        <f>[1]资金台帐!T362&amp;""</f>
      </c>
      <c r="U362">
        <f>[1]资金台帐!U362&amp;""</f>
      </c>
      <c r="W362">
        <f>[1]资金台帐!W362&amp;""</f>
      </c>
      <c r="X362">
        <f>[1]资金台帐!X362&amp;""</f>
      </c>
      <c r="AB362">
        <f>[1]资金台帐!AB362</f>
        <v>0</v>
      </c>
      <c r="AC362">
        <f>[1]资金台帐!AC362</f>
        <v>0</v>
      </c>
      <c r="AD362">
        <f>[1]资金台帐!AD362</f>
        <v>0</v>
      </c>
      <c r="AJ362">
        <f>[1]资金台帐!AJ362</f>
        <v>0</v>
      </c>
      <c r="AK362">
        <f>[1]资金台帐!AK362</f>
        <v>0</v>
      </c>
      <c r="BA362" s="22">
        <f t="shared" si="0"/>
      </c>
      <c r="BG362" s="22">
        <f t="shared" si="1"/>
      </c>
      <c r="BH362" s="22">
        <f t="shared" si="2"/>
        <v>0</v>
      </c>
    </row>
    <row r="363">
      <c r="B363">
        <f>[1]资金台帐!B363&amp;""</f>
      </c>
      <c r="H363">
        <f>[1]资金台帐!H363&amp;""</f>
      </c>
      <c r="J363">
        <f>[1]资金台帐!J363&amp;""</f>
      </c>
      <c r="N363">
        <f>[1]资金台帐!N363</f>
      </c>
      <c r="O363">
        <f>[1]资金台帐!O363&amp;""</f>
      </c>
      <c r="P363">
        <f>[1]资金台帐!P363&amp;""</f>
      </c>
      <c r="Q363">
        <f>[1]资金台帐!Q363&amp;""</f>
      </c>
      <c r="T363">
        <f>[1]资金台帐!T363&amp;""</f>
      </c>
      <c r="U363">
        <f>[1]资金台帐!U363&amp;""</f>
      </c>
      <c r="W363">
        <f>[1]资金台帐!W363&amp;""</f>
      </c>
      <c r="X363">
        <f>[1]资金台帐!X363&amp;""</f>
      </c>
      <c r="AB363">
        <f>[1]资金台帐!AB363</f>
        <v>0</v>
      </c>
      <c r="AC363">
        <f>[1]资金台帐!AC363</f>
        <v>0</v>
      </c>
      <c r="AD363">
        <f>[1]资金台帐!AD363</f>
        <v>0</v>
      </c>
      <c r="AJ363">
        <f>[1]资金台帐!AJ363</f>
        <v>0</v>
      </c>
      <c r="AK363">
        <f>[1]资金台帐!AK363</f>
        <v>0</v>
      </c>
      <c r="BA363" s="22">
        <f t="shared" si="0"/>
      </c>
      <c r="BG363" s="22">
        <f t="shared" si="1"/>
      </c>
      <c r="BH363" s="22">
        <f t="shared" si="2"/>
        <v>0</v>
      </c>
    </row>
    <row r="364">
      <c r="B364">
        <f>[1]资金台帐!B364&amp;""</f>
      </c>
      <c r="H364">
        <f>[1]资金台帐!H364&amp;""</f>
      </c>
      <c r="J364">
        <f>[1]资金台帐!J364&amp;""</f>
      </c>
      <c r="N364">
        <f>[1]资金台帐!N364</f>
      </c>
      <c r="O364">
        <f>[1]资金台帐!O364&amp;""</f>
      </c>
      <c r="P364">
        <f>[1]资金台帐!P364&amp;""</f>
      </c>
      <c r="Q364">
        <f>[1]资金台帐!Q364&amp;""</f>
      </c>
      <c r="T364">
        <f>[1]资金台帐!T364&amp;""</f>
      </c>
      <c r="U364">
        <f>[1]资金台帐!U364&amp;""</f>
      </c>
      <c r="W364">
        <f>[1]资金台帐!W364&amp;""</f>
      </c>
      <c r="X364">
        <f>[1]资金台帐!X364&amp;""</f>
      </c>
      <c r="AB364">
        <f>[1]资金台帐!AB364</f>
        <v>0</v>
      </c>
      <c r="AC364">
        <f>[1]资金台帐!AC364</f>
        <v>0</v>
      </c>
      <c r="AD364">
        <f>[1]资金台帐!AD364</f>
        <v>0</v>
      </c>
      <c r="AJ364">
        <f>[1]资金台帐!AJ364</f>
        <v>0</v>
      </c>
      <c r="AK364">
        <f>[1]资金台帐!AK364</f>
        <v>0</v>
      </c>
      <c r="BA364" s="22">
        <f t="shared" si="0"/>
      </c>
      <c r="BG364" s="22">
        <f t="shared" si="1"/>
      </c>
      <c r="BH364" s="22">
        <f t="shared" si="2"/>
        <v>0</v>
      </c>
    </row>
    <row r="365">
      <c r="B365">
        <f>[1]资金台帐!B365&amp;""</f>
      </c>
      <c r="H365">
        <f>[1]资金台帐!H365&amp;""</f>
      </c>
      <c r="J365">
        <f>[1]资金台帐!J365&amp;""</f>
      </c>
      <c r="N365">
        <f>[1]资金台帐!N365</f>
      </c>
      <c r="O365">
        <f>[1]资金台帐!O365&amp;""</f>
      </c>
      <c r="P365">
        <f>[1]资金台帐!P365&amp;""</f>
      </c>
      <c r="Q365">
        <f>[1]资金台帐!Q365&amp;""</f>
      </c>
      <c r="T365">
        <f>[1]资金台帐!T365&amp;""</f>
      </c>
      <c r="U365">
        <f>[1]资金台帐!U365&amp;""</f>
      </c>
      <c r="W365">
        <f>[1]资金台帐!W365&amp;""</f>
      </c>
      <c r="X365">
        <f>[1]资金台帐!X365&amp;""</f>
      </c>
      <c r="AB365">
        <f>[1]资金台帐!AB365</f>
        <v>0</v>
      </c>
      <c r="AC365">
        <f>[1]资金台帐!AC365</f>
        <v>0</v>
      </c>
      <c r="AD365">
        <f>[1]资金台帐!AD365</f>
        <v>0</v>
      </c>
      <c r="AJ365">
        <f>[1]资金台帐!AJ365</f>
        <v>0</v>
      </c>
      <c r="AK365">
        <f>[1]资金台帐!AK365</f>
        <v>0</v>
      </c>
      <c r="BA365" s="22">
        <f t="shared" si="0"/>
      </c>
      <c r="BG365" s="22">
        <f t="shared" si="1"/>
      </c>
      <c r="BH365" s="22">
        <f t="shared" si="2"/>
        <v>0</v>
      </c>
    </row>
    <row r="366">
      <c r="B366">
        <f>[1]资金台帐!B366&amp;""</f>
      </c>
      <c r="H366">
        <f>[1]资金台帐!H366&amp;""</f>
      </c>
      <c r="J366">
        <f>[1]资金台帐!J366&amp;""</f>
      </c>
      <c r="N366">
        <f>[1]资金台帐!N366</f>
      </c>
      <c r="O366">
        <f>[1]资金台帐!O366&amp;""</f>
      </c>
      <c r="P366">
        <f>[1]资金台帐!P366&amp;""</f>
      </c>
      <c r="Q366">
        <f>[1]资金台帐!Q366&amp;""</f>
      </c>
      <c r="T366">
        <f>[1]资金台帐!T366&amp;""</f>
      </c>
      <c r="U366">
        <f>[1]资金台帐!U366&amp;""</f>
      </c>
      <c r="W366">
        <f>[1]资金台帐!W366&amp;""</f>
      </c>
      <c r="X366">
        <f>[1]资金台帐!X366&amp;""</f>
      </c>
      <c r="AB366">
        <f>[1]资金台帐!AB366</f>
        <v>0</v>
      </c>
      <c r="AC366">
        <f>[1]资金台帐!AC366</f>
        <v>0</v>
      </c>
      <c r="AD366">
        <f>[1]资金台帐!AD366</f>
        <v>0</v>
      </c>
      <c r="AJ366">
        <f>[1]资金台帐!AJ366</f>
        <v>0</v>
      </c>
      <c r="AK366">
        <f>[1]资金台帐!AK366</f>
        <v>0</v>
      </c>
      <c r="BA366" s="22">
        <f t="shared" si="0"/>
      </c>
      <c r="BG366" s="22">
        <f t="shared" si="1"/>
      </c>
      <c r="BH366" s="22">
        <f t="shared" si="2"/>
        <v>0</v>
      </c>
    </row>
    <row r="367">
      <c r="B367">
        <f>[1]资金台帐!B367&amp;""</f>
      </c>
      <c r="H367">
        <f>[1]资金台帐!H367&amp;""</f>
      </c>
      <c r="J367">
        <f>[1]资金台帐!J367&amp;""</f>
      </c>
      <c r="N367">
        <f>[1]资金台帐!N367</f>
      </c>
      <c r="O367">
        <f>[1]资金台帐!O367&amp;""</f>
      </c>
      <c r="P367">
        <f>[1]资金台帐!P367&amp;""</f>
      </c>
      <c r="Q367">
        <f>[1]资金台帐!Q367&amp;""</f>
      </c>
      <c r="T367">
        <f>[1]资金台帐!T367&amp;""</f>
      </c>
      <c r="U367">
        <f>[1]资金台帐!U367&amp;""</f>
      </c>
      <c r="W367">
        <f>[1]资金台帐!W367&amp;""</f>
      </c>
      <c r="X367">
        <f>[1]资金台帐!X367&amp;""</f>
      </c>
      <c r="AB367">
        <f>[1]资金台帐!AB367</f>
        <v>0</v>
      </c>
      <c r="AC367">
        <f>[1]资金台帐!AC367</f>
        <v>0</v>
      </c>
      <c r="AD367">
        <f>[1]资金台帐!AD367</f>
        <v>0</v>
      </c>
      <c r="AJ367">
        <f>[1]资金台帐!AJ367</f>
        <v>0</v>
      </c>
      <c r="AK367">
        <f>[1]资金台帐!AK367</f>
        <v>0</v>
      </c>
      <c r="BA367" s="22">
        <f t="shared" si="0"/>
      </c>
      <c r="BG367" s="22">
        <f t="shared" si="1"/>
      </c>
      <c r="BH367" s="22">
        <f t="shared" si="2"/>
        <v>0</v>
      </c>
    </row>
    <row r="368">
      <c r="B368">
        <f>[1]资金台帐!B368&amp;""</f>
      </c>
      <c r="H368">
        <f>[1]资金台帐!H368&amp;""</f>
      </c>
      <c r="J368">
        <f>[1]资金台帐!J368&amp;""</f>
      </c>
      <c r="N368">
        <f>[1]资金台帐!N368</f>
      </c>
      <c r="O368">
        <f>[1]资金台帐!O368&amp;""</f>
      </c>
      <c r="P368">
        <f>[1]资金台帐!P368&amp;""</f>
      </c>
      <c r="Q368">
        <f>[1]资金台帐!Q368&amp;""</f>
      </c>
      <c r="T368">
        <f>[1]资金台帐!T368&amp;""</f>
      </c>
      <c r="U368">
        <f>[1]资金台帐!U368&amp;""</f>
      </c>
      <c r="W368">
        <f>[1]资金台帐!W368&amp;""</f>
      </c>
      <c r="X368">
        <f>[1]资金台帐!X368&amp;""</f>
      </c>
      <c r="AB368">
        <f>[1]资金台帐!AB368</f>
        <v>0</v>
      </c>
      <c r="AC368">
        <f>[1]资金台帐!AC368</f>
        <v>0</v>
      </c>
      <c r="AD368">
        <f>[1]资金台帐!AD368</f>
        <v>0</v>
      </c>
      <c r="AJ368">
        <f>[1]资金台帐!AJ368</f>
        <v>0</v>
      </c>
      <c r="AK368">
        <f>[1]资金台帐!AK368</f>
        <v>0</v>
      </c>
      <c r="BA368" s="22">
        <f t="shared" si="0"/>
      </c>
      <c r="BG368" s="22">
        <f t="shared" si="1"/>
      </c>
      <c r="BH368" s="22">
        <f t="shared" si="2"/>
        <v>0</v>
      </c>
    </row>
    <row r="369">
      <c r="B369">
        <f>[1]资金台帐!B369&amp;""</f>
      </c>
      <c r="H369">
        <f>[1]资金台帐!H369&amp;""</f>
      </c>
      <c r="J369">
        <f>[1]资金台帐!J369&amp;""</f>
      </c>
      <c r="N369">
        <f>[1]资金台帐!N369</f>
      </c>
      <c r="O369">
        <f>[1]资金台帐!O369&amp;""</f>
      </c>
      <c r="P369">
        <f>[1]资金台帐!P369&amp;""</f>
      </c>
      <c r="Q369">
        <f>[1]资金台帐!Q369&amp;""</f>
      </c>
      <c r="T369">
        <f>[1]资金台帐!T369&amp;""</f>
      </c>
      <c r="U369">
        <f>[1]资金台帐!U369&amp;""</f>
      </c>
      <c r="W369">
        <f>[1]资金台帐!W369&amp;""</f>
      </c>
      <c r="X369">
        <f>[1]资金台帐!X369&amp;""</f>
      </c>
      <c r="AB369">
        <f>[1]资金台帐!AB369</f>
        <v>0</v>
      </c>
      <c r="AC369">
        <f>[1]资金台帐!AC369</f>
        <v>0</v>
      </c>
      <c r="AD369">
        <f>[1]资金台帐!AD369</f>
        <v>0</v>
      </c>
      <c r="AJ369">
        <f>[1]资金台帐!AJ369</f>
        <v>0</v>
      </c>
      <c r="AK369">
        <f>[1]资金台帐!AK369</f>
        <v>0</v>
      </c>
      <c r="BA369" s="22">
        <f t="shared" si="0"/>
      </c>
      <c r="BG369" s="22">
        <f t="shared" si="1"/>
      </c>
      <c r="BH369" s="22">
        <f t="shared" si="2"/>
        <v>0</v>
      </c>
    </row>
    <row r="370">
      <c r="B370">
        <f>[1]资金台帐!B370&amp;""</f>
      </c>
      <c r="H370">
        <f>[1]资金台帐!H370&amp;""</f>
      </c>
      <c r="J370">
        <f>[1]资金台帐!J370&amp;""</f>
      </c>
      <c r="N370">
        <f>[1]资金台帐!N370</f>
      </c>
      <c r="O370">
        <f>[1]资金台帐!O370&amp;""</f>
      </c>
      <c r="P370">
        <f>[1]资金台帐!P370&amp;""</f>
      </c>
      <c r="Q370">
        <f>[1]资金台帐!Q370&amp;""</f>
      </c>
      <c r="T370">
        <f>[1]资金台帐!T370&amp;""</f>
      </c>
      <c r="U370">
        <f>[1]资金台帐!U370&amp;""</f>
      </c>
      <c r="W370">
        <f>[1]资金台帐!W370&amp;""</f>
      </c>
      <c r="X370">
        <f>[1]资金台帐!X370&amp;""</f>
      </c>
      <c r="AB370">
        <f>[1]资金台帐!AB370</f>
        <v>0</v>
      </c>
      <c r="AC370">
        <f>[1]资金台帐!AC370</f>
        <v>0</v>
      </c>
      <c r="AD370">
        <f>[1]资金台帐!AD370</f>
        <v>0</v>
      </c>
      <c r="AJ370">
        <f>[1]资金台帐!AJ370</f>
        <v>0</v>
      </c>
      <c r="AK370">
        <f>[1]资金台帐!AK370</f>
        <v>0</v>
      </c>
      <c r="BA370" s="22">
        <f t="shared" si="0"/>
      </c>
      <c r="BG370" s="22">
        <f t="shared" si="1"/>
      </c>
      <c r="BH370" s="22">
        <f t="shared" si="2"/>
        <v>0</v>
      </c>
    </row>
    <row r="371">
      <c r="B371">
        <f>[1]资金台帐!B371&amp;""</f>
      </c>
      <c r="H371">
        <f>[1]资金台帐!H371&amp;""</f>
      </c>
      <c r="J371">
        <f>[1]资金台帐!J371&amp;""</f>
      </c>
      <c r="N371">
        <f>[1]资金台帐!N371</f>
      </c>
      <c r="O371">
        <f>[1]资金台帐!O371&amp;""</f>
      </c>
      <c r="P371">
        <f>[1]资金台帐!P371&amp;""</f>
      </c>
      <c r="Q371">
        <f>[1]资金台帐!Q371&amp;""</f>
      </c>
      <c r="T371">
        <f>[1]资金台帐!T371&amp;""</f>
      </c>
      <c r="U371">
        <f>[1]资金台帐!U371&amp;""</f>
      </c>
      <c r="W371">
        <f>[1]资金台帐!W371&amp;""</f>
      </c>
      <c r="X371">
        <f>[1]资金台帐!X371&amp;""</f>
      </c>
      <c r="AB371">
        <f>[1]资金台帐!AB371</f>
        <v>0</v>
      </c>
      <c r="AC371">
        <f>[1]资金台帐!AC371</f>
        <v>0</v>
      </c>
      <c r="AD371">
        <f>[1]资金台帐!AD371</f>
        <v>0</v>
      </c>
      <c r="AJ371">
        <f>[1]资金台帐!AJ371</f>
        <v>0</v>
      </c>
      <c r="AK371">
        <f>[1]资金台帐!AK371</f>
        <v>0</v>
      </c>
      <c r="BA371" s="22">
        <f t="shared" si="0"/>
      </c>
      <c r="BG371" s="22">
        <f t="shared" si="1"/>
      </c>
      <c r="BH371" s="22">
        <f t="shared" si="2"/>
        <v>0</v>
      </c>
    </row>
    <row r="372">
      <c r="B372">
        <f>[1]资金台帐!B372&amp;""</f>
      </c>
      <c r="H372">
        <f>[1]资金台帐!H372&amp;""</f>
      </c>
      <c r="J372">
        <f>[1]资金台帐!J372&amp;""</f>
      </c>
      <c r="N372">
        <f>[1]资金台帐!N372</f>
      </c>
      <c r="O372">
        <f>[1]资金台帐!O372&amp;""</f>
      </c>
      <c r="P372">
        <f>[1]资金台帐!P372&amp;""</f>
      </c>
      <c r="Q372">
        <f>[1]资金台帐!Q372&amp;""</f>
      </c>
      <c r="T372">
        <f>[1]资金台帐!T372&amp;""</f>
      </c>
      <c r="U372">
        <f>[1]资金台帐!U372&amp;""</f>
      </c>
      <c r="W372">
        <f>[1]资金台帐!W372&amp;""</f>
      </c>
      <c r="X372">
        <f>[1]资金台帐!X372&amp;""</f>
      </c>
      <c r="AB372">
        <f>[1]资金台帐!AB372</f>
        <v>0</v>
      </c>
      <c r="AC372">
        <f>[1]资金台帐!AC372</f>
        <v>0</v>
      </c>
      <c r="AD372">
        <f>[1]资金台帐!AD372</f>
        <v>0</v>
      </c>
      <c r="AJ372">
        <f>[1]资金台帐!AJ372</f>
        <v>0</v>
      </c>
      <c r="AK372">
        <f>[1]资金台帐!AK372</f>
        <v>0</v>
      </c>
      <c r="BA372" s="22">
        <f t="shared" si="0"/>
      </c>
      <c r="BG372" s="22">
        <f t="shared" si="1"/>
      </c>
      <c r="BH372" s="22">
        <f t="shared" si="2"/>
        <v>0</v>
      </c>
    </row>
    <row r="373">
      <c r="B373">
        <f>[1]资金台帐!B373&amp;""</f>
      </c>
      <c r="H373">
        <f>[1]资金台帐!H373&amp;""</f>
      </c>
      <c r="J373">
        <f>[1]资金台帐!J373&amp;""</f>
      </c>
      <c r="N373">
        <f>[1]资金台帐!N373</f>
      </c>
      <c r="O373">
        <f>[1]资金台帐!O373&amp;""</f>
      </c>
      <c r="P373">
        <f>[1]资金台帐!P373&amp;""</f>
      </c>
      <c r="Q373">
        <f>[1]资金台帐!Q373&amp;""</f>
      </c>
      <c r="T373">
        <f>[1]资金台帐!T373&amp;""</f>
      </c>
      <c r="U373">
        <f>[1]资金台帐!U373&amp;""</f>
      </c>
      <c r="W373">
        <f>[1]资金台帐!W373&amp;""</f>
      </c>
      <c r="X373">
        <f>[1]资金台帐!X373&amp;""</f>
      </c>
      <c r="AB373">
        <f>[1]资金台帐!AB373</f>
        <v>0</v>
      </c>
      <c r="AC373">
        <f>[1]资金台帐!AC373</f>
        <v>0</v>
      </c>
      <c r="AD373">
        <f>[1]资金台帐!AD373</f>
        <v>0</v>
      </c>
      <c r="AJ373">
        <f>[1]资金台帐!AJ373</f>
        <v>0</v>
      </c>
      <c r="AK373">
        <f>[1]资金台帐!AK373</f>
        <v>0</v>
      </c>
      <c r="BA373" s="22">
        <f t="shared" si="0"/>
      </c>
      <c r="BG373" s="22">
        <f t="shared" si="1"/>
      </c>
      <c r="BH373" s="22">
        <f t="shared" si="2"/>
        <v>0</v>
      </c>
    </row>
    <row r="374">
      <c r="B374">
        <f>[1]资金台帐!B374&amp;""</f>
      </c>
      <c r="H374">
        <f>[1]资金台帐!H374&amp;""</f>
      </c>
      <c r="J374">
        <f>[1]资金台帐!J374&amp;""</f>
      </c>
      <c r="N374">
        <f>[1]资金台帐!N374</f>
      </c>
      <c r="O374">
        <f>[1]资金台帐!O374&amp;""</f>
      </c>
      <c r="P374">
        <f>[1]资金台帐!P374&amp;""</f>
      </c>
      <c r="Q374">
        <f>[1]资金台帐!Q374&amp;""</f>
      </c>
      <c r="T374">
        <f>[1]资金台帐!T374&amp;""</f>
      </c>
      <c r="U374">
        <f>[1]资金台帐!U374&amp;""</f>
      </c>
      <c r="W374">
        <f>[1]资金台帐!W374&amp;""</f>
      </c>
      <c r="X374">
        <f>[1]资金台帐!X374&amp;""</f>
      </c>
      <c r="AB374">
        <f>[1]资金台帐!AB374</f>
        <v>0</v>
      </c>
      <c r="AC374">
        <f>[1]资金台帐!AC374</f>
        <v>0</v>
      </c>
      <c r="AD374">
        <f>[1]资金台帐!AD374</f>
        <v>0</v>
      </c>
      <c r="AJ374">
        <f>[1]资金台帐!AJ374</f>
        <v>0</v>
      </c>
      <c r="AK374">
        <f>[1]资金台帐!AK374</f>
        <v>0</v>
      </c>
      <c r="BA374" s="22">
        <f t="shared" si="0"/>
      </c>
      <c r="BG374" s="22">
        <f t="shared" si="1"/>
      </c>
      <c r="BH374" s="22">
        <f t="shared" si="2"/>
        <v>0</v>
      </c>
    </row>
    <row r="375">
      <c r="B375">
        <f>[1]资金台帐!B375&amp;""</f>
      </c>
      <c r="H375">
        <f>[1]资金台帐!H375&amp;""</f>
      </c>
      <c r="J375">
        <f>[1]资金台帐!J375&amp;""</f>
      </c>
      <c r="N375">
        <f>[1]资金台帐!N375</f>
      </c>
      <c r="O375">
        <f>[1]资金台帐!O375&amp;""</f>
      </c>
      <c r="P375">
        <f>[1]资金台帐!P375&amp;""</f>
      </c>
      <c r="Q375">
        <f>[1]资金台帐!Q375&amp;""</f>
      </c>
      <c r="T375">
        <f>[1]资金台帐!T375&amp;""</f>
      </c>
      <c r="U375">
        <f>[1]资金台帐!U375&amp;""</f>
      </c>
      <c r="W375">
        <f>[1]资金台帐!W375&amp;""</f>
      </c>
      <c r="X375">
        <f>[1]资金台帐!X375&amp;""</f>
      </c>
      <c r="AB375">
        <f>[1]资金台帐!AB375</f>
        <v>0</v>
      </c>
      <c r="AC375">
        <f>[1]资金台帐!AC375</f>
        <v>0</v>
      </c>
      <c r="AD375">
        <f>[1]资金台帐!AD375</f>
        <v>0</v>
      </c>
      <c r="AJ375">
        <f>[1]资金台帐!AJ375</f>
        <v>0</v>
      </c>
      <c r="AK375">
        <f>[1]资金台帐!AK375</f>
        <v>0</v>
      </c>
      <c r="BA375" s="22">
        <f t="shared" si="0"/>
      </c>
      <c r="BG375" s="22">
        <f t="shared" si="1"/>
      </c>
      <c r="BH375" s="22">
        <f t="shared" si="2"/>
        <v>0</v>
      </c>
    </row>
    <row r="376">
      <c r="B376">
        <f>[1]资金台帐!B376&amp;""</f>
      </c>
      <c r="H376">
        <f>[1]资金台帐!H376&amp;""</f>
      </c>
      <c r="J376">
        <f>[1]资金台帐!J376&amp;""</f>
      </c>
      <c r="N376">
        <f>[1]资金台帐!N376</f>
      </c>
      <c r="O376">
        <f>[1]资金台帐!O376&amp;""</f>
      </c>
      <c r="P376">
        <f>[1]资金台帐!P376&amp;""</f>
      </c>
      <c r="Q376">
        <f>[1]资金台帐!Q376&amp;""</f>
      </c>
      <c r="T376">
        <f>[1]资金台帐!T376&amp;""</f>
      </c>
      <c r="U376">
        <f>[1]资金台帐!U376&amp;""</f>
      </c>
      <c r="W376">
        <f>[1]资金台帐!W376&amp;""</f>
      </c>
      <c r="X376">
        <f>[1]资金台帐!X376&amp;""</f>
      </c>
      <c r="AB376">
        <f>[1]资金台帐!AB376</f>
        <v>0</v>
      </c>
      <c r="AC376">
        <f>[1]资金台帐!AC376</f>
        <v>0</v>
      </c>
      <c r="AD376">
        <f>[1]资金台帐!AD376</f>
        <v>0</v>
      </c>
      <c r="AJ376">
        <f>[1]资金台帐!AJ376</f>
        <v>0</v>
      </c>
      <c r="AK376">
        <f>[1]资金台帐!AK376</f>
        <v>0</v>
      </c>
      <c r="BA376" s="22">
        <f t="shared" si="0"/>
      </c>
      <c r="BG376" s="22">
        <f t="shared" si="1"/>
      </c>
      <c r="BH376" s="22">
        <f t="shared" si="2"/>
        <v>0</v>
      </c>
    </row>
    <row r="377">
      <c r="B377">
        <f>[1]资金台帐!B377&amp;""</f>
      </c>
      <c r="H377">
        <f>[1]资金台帐!H377&amp;""</f>
      </c>
      <c r="J377">
        <f>[1]资金台帐!J377&amp;""</f>
      </c>
      <c r="N377">
        <f>[1]资金台帐!N377</f>
      </c>
      <c r="O377">
        <f>[1]资金台帐!O377&amp;""</f>
      </c>
      <c r="P377">
        <f>[1]资金台帐!P377&amp;""</f>
      </c>
      <c r="Q377">
        <f>[1]资金台帐!Q377&amp;""</f>
      </c>
      <c r="T377">
        <f>[1]资金台帐!T377&amp;""</f>
      </c>
      <c r="U377">
        <f>[1]资金台帐!U377&amp;""</f>
      </c>
      <c r="W377">
        <f>[1]资金台帐!W377&amp;""</f>
      </c>
      <c r="X377">
        <f>[1]资金台帐!X377&amp;""</f>
      </c>
      <c r="AB377">
        <f>[1]资金台帐!AB377</f>
        <v>0</v>
      </c>
      <c r="AC377">
        <f>[1]资金台帐!AC377</f>
        <v>0</v>
      </c>
      <c r="AD377">
        <f>[1]资金台帐!AD377</f>
        <v>0</v>
      </c>
      <c r="AJ377">
        <f>[1]资金台帐!AJ377</f>
        <v>0</v>
      </c>
      <c r="AK377">
        <f>[1]资金台帐!AK377</f>
        <v>0</v>
      </c>
      <c r="BA377" s="22">
        <f t="shared" si="0"/>
      </c>
      <c r="BG377" s="22">
        <f t="shared" si="1"/>
      </c>
      <c r="BH377" s="22">
        <f t="shared" si="2"/>
        <v>0</v>
      </c>
    </row>
    <row r="378">
      <c r="B378">
        <f>[1]资金台帐!B378&amp;""</f>
      </c>
      <c r="H378">
        <f>[1]资金台帐!H378&amp;""</f>
      </c>
      <c r="J378">
        <f>[1]资金台帐!J378&amp;""</f>
      </c>
      <c r="N378">
        <f>[1]资金台帐!N378</f>
      </c>
      <c r="O378">
        <f>[1]资金台帐!O378&amp;""</f>
      </c>
      <c r="P378">
        <f>[1]资金台帐!P378&amp;""</f>
      </c>
      <c r="Q378">
        <f>[1]资金台帐!Q378&amp;""</f>
      </c>
      <c r="T378">
        <f>[1]资金台帐!T378&amp;""</f>
      </c>
      <c r="U378">
        <f>[1]资金台帐!U378&amp;""</f>
      </c>
      <c r="W378">
        <f>[1]资金台帐!W378&amp;""</f>
      </c>
      <c r="X378">
        <f>[1]资金台帐!X378&amp;""</f>
      </c>
      <c r="AB378">
        <f>[1]资金台帐!AB378</f>
        <v>0</v>
      </c>
      <c r="AC378">
        <f>[1]资金台帐!AC378</f>
        <v>0</v>
      </c>
      <c r="AD378">
        <f>[1]资金台帐!AD378</f>
        <v>0</v>
      </c>
      <c r="AJ378">
        <f>[1]资金台帐!AJ378</f>
        <v>0</v>
      </c>
      <c r="AK378">
        <f>[1]资金台帐!AK378</f>
        <v>0</v>
      </c>
      <c r="BA378" s="22">
        <f t="shared" si="0"/>
      </c>
      <c r="BG378" s="22">
        <f t="shared" si="1"/>
      </c>
      <c r="BH378" s="22">
        <f t="shared" si="2"/>
        <v>0</v>
      </c>
    </row>
    <row r="379">
      <c r="B379">
        <f>[1]资金台帐!B379&amp;""</f>
      </c>
      <c r="H379">
        <f>[1]资金台帐!H379&amp;""</f>
      </c>
      <c r="J379">
        <f>[1]资金台帐!J379&amp;""</f>
      </c>
      <c r="N379">
        <f>[1]资金台帐!N379</f>
      </c>
      <c r="O379">
        <f>[1]资金台帐!O379&amp;""</f>
      </c>
      <c r="P379">
        <f>[1]资金台帐!P379&amp;""</f>
      </c>
      <c r="Q379">
        <f>[1]资金台帐!Q379&amp;""</f>
      </c>
      <c r="T379">
        <f>[1]资金台帐!T379&amp;""</f>
      </c>
      <c r="U379">
        <f>[1]资金台帐!U379&amp;""</f>
      </c>
      <c r="W379">
        <f>[1]资金台帐!W379&amp;""</f>
      </c>
      <c r="X379">
        <f>[1]资金台帐!X379&amp;""</f>
      </c>
      <c r="AB379">
        <f>[1]资金台帐!AB379</f>
        <v>0</v>
      </c>
      <c r="AC379">
        <f>[1]资金台帐!AC379</f>
        <v>0</v>
      </c>
      <c r="AD379">
        <f>[1]资金台帐!AD379</f>
        <v>0</v>
      </c>
      <c r="AJ379">
        <f>[1]资金台帐!AJ379</f>
        <v>0</v>
      </c>
      <c r="AK379">
        <f>[1]资金台帐!AK379</f>
        <v>0</v>
      </c>
      <c r="BA379" s="22">
        <f t="shared" si="0"/>
      </c>
      <c r="BG379" s="22">
        <f t="shared" si="1"/>
      </c>
      <c r="BH379" s="22">
        <f t="shared" si="2"/>
        <v>0</v>
      </c>
    </row>
    <row r="380">
      <c r="B380">
        <f>[1]资金台帐!B380&amp;""</f>
      </c>
      <c r="H380">
        <f>[1]资金台帐!H380&amp;""</f>
      </c>
      <c r="J380">
        <f>[1]资金台帐!J380&amp;""</f>
      </c>
      <c r="N380">
        <f>[1]资金台帐!N380</f>
      </c>
      <c r="O380">
        <f>[1]资金台帐!O380&amp;""</f>
      </c>
      <c r="P380">
        <f>[1]资金台帐!P380&amp;""</f>
      </c>
      <c r="Q380">
        <f>[1]资金台帐!Q380&amp;""</f>
      </c>
      <c r="T380">
        <f>[1]资金台帐!T380&amp;""</f>
      </c>
      <c r="U380">
        <f>[1]资金台帐!U380&amp;""</f>
      </c>
      <c r="W380">
        <f>[1]资金台帐!W380&amp;""</f>
      </c>
      <c r="X380">
        <f>[1]资金台帐!X380&amp;""</f>
      </c>
      <c r="AB380">
        <f>[1]资金台帐!AB380</f>
        <v>0</v>
      </c>
      <c r="AC380">
        <f>[1]资金台帐!AC380</f>
        <v>0</v>
      </c>
      <c r="AD380">
        <f>[1]资金台帐!AD380</f>
        <v>0</v>
      </c>
      <c r="AJ380">
        <f>[1]资金台帐!AJ380</f>
        <v>0</v>
      </c>
      <c r="AK380">
        <f>[1]资金台帐!AK380</f>
        <v>0</v>
      </c>
      <c r="BA380" s="22">
        <f t="shared" si="0"/>
      </c>
      <c r="BG380" s="22">
        <f t="shared" si="1"/>
      </c>
      <c r="BH380" s="22">
        <f t="shared" si="2"/>
        <v>0</v>
      </c>
    </row>
    <row r="381">
      <c r="B381">
        <f>[1]资金台帐!B381&amp;""</f>
      </c>
      <c r="H381">
        <f>[1]资金台帐!H381&amp;""</f>
      </c>
      <c r="J381">
        <f>[1]资金台帐!J381&amp;""</f>
      </c>
      <c r="N381">
        <f>[1]资金台帐!N381</f>
      </c>
      <c r="O381">
        <f>[1]资金台帐!O381&amp;""</f>
      </c>
      <c r="P381">
        <f>[1]资金台帐!P381&amp;""</f>
      </c>
      <c r="Q381">
        <f>[1]资金台帐!Q381&amp;""</f>
      </c>
      <c r="T381">
        <f>[1]资金台帐!T381&amp;""</f>
      </c>
      <c r="U381">
        <f>[1]资金台帐!U381&amp;""</f>
      </c>
      <c r="W381">
        <f>[1]资金台帐!W381&amp;""</f>
      </c>
      <c r="X381">
        <f>[1]资金台帐!X381&amp;""</f>
      </c>
      <c r="AB381">
        <f>[1]资金台帐!AB381</f>
        <v>0</v>
      </c>
      <c r="AC381">
        <f>[1]资金台帐!AC381</f>
        <v>0</v>
      </c>
      <c r="AD381">
        <f>[1]资金台帐!AD381</f>
        <v>0</v>
      </c>
      <c r="AJ381">
        <f>[1]资金台帐!AJ381</f>
        <v>0</v>
      </c>
      <c r="AK381">
        <f>[1]资金台帐!AK381</f>
        <v>0</v>
      </c>
      <c r="BA381" s="22">
        <f t="shared" si="0"/>
      </c>
      <c r="BG381" s="22">
        <f t="shared" si="1"/>
      </c>
      <c r="BH381" s="22">
        <f t="shared" si="2"/>
        <v>0</v>
      </c>
    </row>
    <row r="382">
      <c r="B382">
        <f>[1]资金台帐!B382&amp;""</f>
      </c>
      <c r="H382">
        <f>[1]资金台帐!H382&amp;""</f>
      </c>
      <c r="J382">
        <f>[1]资金台帐!J382&amp;""</f>
      </c>
      <c r="N382">
        <f>[1]资金台帐!N382</f>
      </c>
      <c r="O382">
        <f>[1]资金台帐!O382&amp;""</f>
      </c>
      <c r="P382">
        <f>[1]资金台帐!P382&amp;""</f>
      </c>
      <c r="Q382">
        <f>[1]资金台帐!Q382&amp;""</f>
      </c>
      <c r="T382">
        <f>[1]资金台帐!T382&amp;""</f>
      </c>
      <c r="U382">
        <f>[1]资金台帐!U382&amp;""</f>
      </c>
      <c r="W382">
        <f>[1]资金台帐!W382&amp;""</f>
      </c>
      <c r="X382">
        <f>[1]资金台帐!X382&amp;""</f>
      </c>
      <c r="AB382">
        <f>[1]资金台帐!AB382</f>
        <v>0</v>
      </c>
      <c r="AC382">
        <f>[1]资金台帐!AC382</f>
        <v>0</v>
      </c>
      <c r="AD382">
        <f>[1]资金台帐!AD382</f>
        <v>0</v>
      </c>
      <c r="AJ382">
        <f>[1]资金台帐!AJ382</f>
        <v>0</v>
      </c>
      <c r="AK382">
        <f>[1]资金台帐!AK382</f>
        <v>0</v>
      </c>
      <c r="BA382" s="22">
        <f t="shared" si="0"/>
      </c>
      <c r="BG382" s="22">
        <f t="shared" si="1"/>
      </c>
      <c r="BH382" s="22">
        <f t="shared" si="2"/>
        <v>0</v>
      </c>
    </row>
    <row r="383">
      <c r="B383">
        <f>[1]资金台帐!B383&amp;""</f>
      </c>
      <c r="H383">
        <f>[1]资金台帐!H383&amp;""</f>
      </c>
      <c r="J383">
        <f>[1]资金台帐!J383&amp;""</f>
      </c>
      <c r="N383">
        <f>[1]资金台帐!N383</f>
      </c>
      <c r="O383">
        <f>[1]资金台帐!O383&amp;""</f>
      </c>
      <c r="P383">
        <f>[1]资金台帐!P383&amp;""</f>
      </c>
      <c r="Q383">
        <f>[1]资金台帐!Q383&amp;""</f>
      </c>
      <c r="T383">
        <f>[1]资金台帐!T383&amp;""</f>
      </c>
      <c r="U383">
        <f>[1]资金台帐!U383&amp;""</f>
      </c>
      <c r="W383">
        <f>[1]资金台帐!W383&amp;""</f>
      </c>
      <c r="X383">
        <f>[1]资金台帐!X383&amp;""</f>
      </c>
      <c r="AB383">
        <f>[1]资金台帐!AB383</f>
        <v>0</v>
      </c>
      <c r="AC383">
        <f>[1]资金台帐!AC383</f>
        <v>0</v>
      </c>
      <c r="AD383">
        <f>[1]资金台帐!AD383</f>
        <v>0</v>
      </c>
      <c r="AJ383">
        <f>[1]资金台帐!AJ383</f>
        <v>0</v>
      </c>
      <c r="AK383">
        <f>[1]资金台帐!AK383</f>
        <v>0</v>
      </c>
      <c r="BA383" s="22">
        <f t="shared" si="0"/>
      </c>
      <c r="BG383" s="22">
        <f t="shared" si="1"/>
      </c>
      <c r="BH383" s="22">
        <f t="shared" si="2"/>
        <v>0</v>
      </c>
    </row>
    <row r="384">
      <c r="B384">
        <f>[1]资金台帐!B384&amp;""</f>
      </c>
      <c r="H384">
        <f>[1]资金台帐!H384&amp;""</f>
      </c>
      <c r="J384">
        <f>[1]资金台帐!J384&amp;""</f>
      </c>
      <c r="N384">
        <f>[1]资金台帐!N384</f>
      </c>
      <c r="O384">
        <f>[1]资金台帐!O384&amp;""</f>
      </c>
      <c r="P384">
        <f>[1]资金台帐!P384&amp;""</f>
      </c>
      <c r="Q384">
        <f>[1]资金台帐!Q384&amp;""</f>
      </c>
      <c r="T384">
        <f>[1]资金台帐!T384&amp;""</f>
      </c>
      <c r="U384">
        <f>[1]资金台帐!U384&amp;""</f>
      </c>
      <c r="W384">
        <f>[1]资金台帐!W384&amp;""</f>
      </c>
      <c r="X384">
        <f>[1]资金台帐!X384&amp;""</f>
      </c>
      <c r="AB384">
        <f>[1]资金台帐!AB384</f>
        <v>0</v>
      </c>
      <c r="AC384">
        <f>[1]资金台帐!AC384</f>
        <v>0</v>
      </c>
      <c r="AD384">
        <f>[1]资金台帐!AD384</f>
        <v>0</v>
      </c>
      <c r="AJ384">
        <f>[1]资金台帐!AJ384</f>
        <v>0</v>
      </c>
      <c r="AK384">
        <f>[1]资金台帐!AK384</f>
        <v>0</v>
      </c>
      <c r="BA384" s="22">
        <f t="shared" si="0"/>
      </c>
      <c r="BG384" s="22">
        <f t="shared" si="1"/>
      </c>
      <c r="BH384" s="22">
        <f t="shared" si="2"/>
        <v>0</v>
      </c>
    </row>
    <row r="385">
      <c r="B385">
        <f>[1]资金台帐!B385&amp;""</f>
      </c>
      <c r="H385">
        <f>[1]资金台帐!H385&amp;""</f>
      </c>
      <c r="J385">
        <f>[1]资金台帐!J385&amp;""</f>
      </c>
      <c r="N385">
        <f>[1]资金台帐!N385</f>
      </c>
      <c r="O385">
        <f>[1]资金台帐!O385&amp;""</f>
      </c>
      <c r="P385">
        <f>[1]资金台帐!P385&amp;""</f>
      </c>
      <c r="Q385">
        <f>[1]资金台帐!Q385&amp;""</f>
      </c>
      <c r="T385">
        <f>[1]资金台帐!T385&amp;""</f>
      </c>
      <c r="U385">
        <f>[1]资金台帐!U385&amp;""</f>
      </c>
      <c r="W385">
        <f>[1]资金台帐!W385&amp;""</f>
      </c>
      <c r="X385">
        <f>[1]资金台帐!X385&amp;""</f>
      </c>
      <c r="AB385">
        <f>[1]资金台帐!AB385</f>
        <v>0</v>
      </c>
      <c r="AC385">
        <f>[1]资金台帐!AC385</f>
        <v>0</v>
      </c>
      <c r="AD385">
        <f>[1]资金台帐!AD385</f>
        <v>0</v>
      </c>
      <c r="AJ385">
        <f>[1]资金台帐!AJ385</f>
        <v>0</v>
      </c>
      <c r="AK385">
        <f>[1]资金台帐!AK385</f>
        <v>0</v>
      </c>
      <c r="BA385" s="22">
        <f t="shared" si="0"/>
      </c>
      <c r="BG385" s="22">
        <f t="shared" si="1"/>
      </c>
      <c r="BH385" s="22">
        <f t="shared" si="2"/>
        <v>0</v>
      </c>
    </row>
    <row r="386">
      <c r="B386">
        <f>[1]资金台帐!B386&amp;""</f>
      </c>
      <c r="H386">
        <f>[1]资金台帐!H386&amp;""</f>
      </c>
      <c r="J386">
        <f>[1]资金台帐!J386&amp;""</f>
      </c>
      <c r="N386">
        <f>[1]资金台帐!N386</f>
      </c>
      <c r="O386">
        <f>[1]资金台帐!O386&amp;""</f>
      </c>
      <c r="P386">
        <f>[1]资金台帐!P386&amp;""</f>
      </c>
      <c r="Q386">
        <f>[1]资金台帐!Q386&amp;""</f>
      </c>
      <c r="T386">
        <f>[1]资金台帐!T386&amp;""</f>
      </c>
      <c r="U386">
        <f>[1]资金台帐!U386&amp;""</f>
      </c>
      <c r="W386">
        <f>[1]资金台帐!W386&amp;""</f>
      </c>
      <c r="X386">
        <f>[1]资金台帐!X386&amp;""</f>
      </c>
      <c r="AB386">
        <f>[1]资金台帐!AB386</f>
        <v>0</v>
      </c>
      <c r="AC386">
        <f>[1]资金台帐!AC386</f>
        <v>0</v>
      </c>
      <c r="AD386">
        <f>[1]资金台帐!AD386</f>
        <v>0</v>
      </c>
      <c r="AJ386">
        <f>[1]资金台帐!AJ386</f>
        <v>0</v>
      </c>
      <c r="AK386">
        <f>[1]资金台帐!AK386</f>
        <v>0</v>
      </c>
      <c r="BA386" s="22">
        <f t="shared" si="0"/>
      </c>
      <c r="BG386" s="22">
        <f t="shared" si="1"/>
      </c>
      <c r="BH386" s="22">
        <f t="shared" si="2"/>
        <v>0</v>
      </c>
    </row>
    <row r="387">
      <c r="B387">
        <f>[1]资金台帐!B387&amp;""</f>
      </c>
      <c r="H387">
        <f>[1]资金台帐!H387&amp;""</f>
      </c>
      <c r="J387">
        <f>[1]资金台帐!J387&amp;""</f>
      </c>
      <c r="N387">
        <f>[1]资金台帐!N387</f>
      </c>
      <c r="O387">
        <f>[1]资金台帐!O387&amp;""</f>
      </c>
      <c r="P387">
        <f>[1]资金台帐!P387&amp;""</f>
      </c>
      <c r="Q387">
        <f>[1]资金台帐!Q387&amp;""</f>
      </c>
      <c r="T387">
        <f>[1]资金台帐!T387&amp;""</f>
      </c>
      <c r="U387">
        <f>[1]资金台帐!U387&amp;""</f>
      </c>
      <c r="W387">
        <f>[1]资金台帐!W387&amp;""</f>
      </c>
      <c r="X387">
        <f>[1]资金台帐!X387&amp;""</f>
      </c>
      <c r="AB387">
        <f>[1]资金台帐!AB387</f>
        <v>0</v>
      </c>
      <c r="AC387">
        <f>[1]资金台帐!AC387</f>
        <v>0</v>
      </c>
      <c r="AD387">
        <f>[1]资金台帐!AD387</f>
        <v>0</v>
      </c>
      <c r="AJ387">
        <f>[1]资金台帐!AJ387</f>
        <v>0</v>
      </c>
      <c r="AK387">
        <f>[1]资金台帐!AK387</f>
        <v>0</v>
      </c>
      <c r="BA387" s="22">
        <f t="shared" si="0"/>
      </c>
      <c r="BG387" s="22">
        <f t="shared" si="1"/>
      </c>
      <c r="BH387" s="22">
        <f t="shared" si="2"/>
        <v>0</v>
      </c>
    </row>
    <row r="388">
      <c r="B388">
        <f>[1]资金台帐!B388&amp;""</f>
      </c>
      <c r="H388">
        <f>[1]资金台帐!H388&amp;""</f>
      </c>
      <c r="J388">
        <f>[1]资金台帐!J388&amp;""</f>
      </c>
      <c r="N388">
        <f>[1]资金台帐!N388</f>
      </c>
      <c r="O388">
        <f>[1]资金台帐!O388&amp;""</f>
      </c>
      <c r="P388">
        <f>[1]资金台帐!P388&amp;""</f>
      </c>
      <c r="Q388">
        <f>[1]资金台帐!Q388&amp;""</f>
      </c>
      <c r="T388">
        <f>[1]资金台帐!T388&amp;""</f>
      </c>
      <c r="U388">
        <f>[1]资金台帐!U388&amp;""</f>
      </c>
      <c r="W388">
        <f>[1]资金台帐!W388&amp;""</f>
      </c>
      <c r="X388">
        <f>[1]资金台帐!X388&amp;""</f>
      </c>
      <c r="AB388">
        <f>[1]资金台帐!AB388</f>
        <v>0</v>
      </c>
      <c r="AC388">
        <f>[1]资金台帐!AC388</f>
        <v>0</v>
      </c>
      <c r="AD388">
        <f>[1]资金台帐!AD388</f>
        <v>0</v>
      </c>
      <c r="AJ388">
        <f>[1]资金台帐!AJ388</f>
        <v>0</v>
      </c>
      <c r="AK388">
        <f>[1]资金台帐!AK388</f>
        <v>0</v>
      </c>
      <c r="BA388" s="22">
        <f t="shared" si="0"/>
      </c>
      <c r="BG388" s="22">
        <f t="shared" si="1"/>
      </c>
      <c r="BH388" s="22">
        <f t="shared" si="2"/>
        <v>0</v>
      </c>
    </row>
    <row r="389">
      <c r="B389">
        <f>[1]资金台帐!B389&amp;""</f>
      </c>
      <c r="H389">
        <f>[1]资金台帐!H389&amp;""</f>
      </c>
      <c r="J389">
        <f>[1]资金台帐!J389&amp;""</f>
      </c>
      <c r="N389">
        <f>[1]资金台帐!N389</f>
      </c>
      <c r="O389">
        <f>[1]资金台帐!O389&amp;""</f>
      </c>
      <c r="P389">
        <f>[1]资金台帐!P389&amp;""</f>
      </c>
      <c r="Q389">
        <f>[1]资金台帐!Q389&amp;""</f>
      </c>
      <c r="T389">
        <f>[1]资金台帐!T389&amp;""</f>
      </c>
      <c r="U389">
        <f>[1]资金台帐!U389&amp;""</f>
      </c>
      <c r="W389">
        <f>[1]资金台帐!W389&amp;""</f>
      </c>
      <c r="X389">
        <f>[1]资金台帐!X389&amp;""</f>
      </c>
      <c r="AB389">
        <f>[1]资金台帐!AB389</f>
        <v>0</v>
      </c>
      <c r="AC389">
        <f>[1]资金台帐!AC389</f>
        <v>0</v>
      </c>
      <c r="AD389">
        <f>[1]资金台帐!AD389</f>
        <v>0</v>
      </c>
      <c r="AJ389">
        <f>[1]资金台帐!AJ389</f>
        <v>0</v>
      </c>
      <c r="AK389">
        <f>[1]资金台帐!AK389</f>
        <v>0</v>
      </c>
      <c r="BA389" s="22">
        <f t="shared" si="0"/>
      </c>
      <c r="BG389" s="22">
        <f t="shared" si="1"/>
      </c>
      <c r="BH389" s="22">
        <f t="shared" si="2"/>
        <v>0</v>
      </c>
    </row>
    <row r="390">
      <c r="B390">
        <f>[1]资金台帐!B390&amp;""</f>
      </c>
      <c r="H390">
        <f>[1]资金台帐!H390&amp;""</f>
      </c>
      <c r="J390">
        <f>[1]资金台帐!J390&amp;""</f>
      </c>
      <c r="N390">
        <f>[1]资金台帐!N390</f>
      </c>
      <c r="O390">
        <f>[1]资金台帐!O390&amp;""</f>
      </c>
      <c r="P390">
        <f>[1]资金台帐!P390&amp;""</f>
      </c>
      <c r="Q390">
        <f>[1]资金台帐!Q390&amp;""</f>
      </c>
      <c r="T390">
        <f>[1]资金台帐!T390&amp;""</f>
      </c>
      <c r="U390">
        <f>[1]资金台帐!U390&amp;""</f>
      </c>
      <c r="W390">
        <f>[1]资金台帐!W390&amp;""</f>
      </c>
      <c r="X390">
        <f>[1]资金台帐!X390&amp;""</f>
      </c>
      <c r="AB390">
        <f>[1]资金台帐!AB390</f>
        <v>0</v>
      </c>
      <c r="AC390">
        <f>[1]资金台帐!AC390</f>
        <v>0</v>
      </c>
      <c r="AD390">
        <f>[1]资金台帐!AD390</f>
        <v>0</v>
      </c>
      <c r="AJ390">
        <f>[1]资金台帐!AJ390</f>
        <v>0</v>
      </c>
      <c r="AK390">
        <f>[1]资金台帐!AK390</f>
        <v>0</v>
      </c>
      <c r="BA390" s="22">
        <f t="shared" si="0"/>
      </c>
      <c r="BG390" s="22">
        <f t="shared" si="1"/>
      </c>
      <c r="BH390" s="22">
        <f t="shared" si="2"/>
        <v>0</v>
      </c>
    </row>
    <row r="391">
      <c r="B391">
        <f>[1]资金台帐!B391&amp;""</f>
      </c>
      <c r="H391">
        <f>[1]资金台帐!H391&amp;""</f>
      </c>
      <c r="J391">
        <f>[1]资金台帐!J391&amp;""</f>
      </c>
      <c r="N391">
        <f>[1]资金台帐!N391</f>
      </c>
      <c r="O391">
        <f>[1]资金台帐!O391&amp;""</f>
      </c>
      <c r="P391">
        <f>[1]资金台帐!P391&amp;""</f>
      </c>
      <c r="Q391">
        <f>[1]资金台帐!Q391&amp;""</f>
      </c>
      <c r="T391">
        <f>[1]资金台帐!T391&amp;""</f>
      </c>
      <c r="U391">
        <f>[1]资金台帐!U391&amp;""</f>
      </c>
      <c r="W391">
        <f>[1]资金台帐!W391&amp;""</f>
      </c>
      <c r="X391">
        <f>[1]资金台帐!X391&amp;""</f>
      </c>
      <c r="AB391">
        <f>[1]资金台帐!AB391</f>
        <v>0</v>
      </c>
      <c r="AC391">
        <f>[1]资金台帐!AC391</f>
        <v>0</v>
      </c>
      <c r="AD391">
        <f>[1]资金台帐!AD391</f>
        <v>0</v>
      </c>
      <c r="AJ391">
        <f>[1]资金台帐!AJ391</f>
        <v>0</v>
      </c>
      <c r="AK391">
        <f>[1]资金台帐!AK391</f>
        <v>0</v>
      </c>
      <c r="BA391" s="22">
        <f t="shared" si="0"/>
      </c>
      <c r="BG391" s="22">
        <f t="shared" si="1"/>
      </c>
      <c r="BH391" s="22">
        <f t="shared" si="2"/>
        <v>0</v>
      </c>
    </row>
    <row r="392">
      <c r="B392">
        <f>[1]资金台帐!B392&amp;""</f>
      </c>
      <c r="H392">
        <f>[1]资金台帐!H392&amp;""</f>
      </c>
      <c r="J392">
        <f>[1]资金台帐!J392&amp;""</f>
      </c>
      <c r="N392">
        <f>[1]资金台帐!N392</f>
      </c>
      <c r="O392">
        <f>[1]资金台帐!O392&amp;""</f>
      </c>
      <c r="P392">
        <f>[1]资金台帐!P392&amp;""</f>
      </c>
      <c r="Q392">
        <f>[1]资金台帐!Q392&amp;""</f>
      </c>
      <c r="T392">
        <f>[1]资金台帐!T392&amp;""</f>
      </c>
      <c r="U392">
        <f>[1]资金台帐!U392&amp;""</f>
      </c>
      <c r="W392">
        <f>[1]资金台帐!W392&amp;""</f>
      </c>
      <c r="X392">
        <f>[1]资金台帐!X392&amp;""</f>
      </c>
      <c r="AB392">
        <f>[1]资金台帐!AB392</f>
        <v>0</v>
      </c>
      <c r="AC392">
        <f>[1]资金台帐!AC392</f>
        <v>0</v>
      </c>
      <c r="AD392">
        <f>[1]资金台帐!AD392</f>
        <v>0</v>
      </c>
      <c r="AJ392">
        <f>[1]资金台帐!AJ392</f>
        <v>0</v>
      </c>
      <c r="AK392">
        <f>[1]资金台帐!AK392</f>
        <v>0</v>
      </c>
      <c r="BA392" s="22">
        <f t="shared" si="0"/>
      </c>
      <c r="BG392" s="22">
        <f t="shared" si="1"/>
      </c>
      <c r="BH392" s="22">
        <f t="shared" si="2"/>
        <v>0</v>
      </c>
    </row>
    <row r="393">
      <c r="B393">
        <f>[1]资金台帐!B393&amp;""</f>
      </c>
      <c r="H393">
        <f>[1]资金台帐!H393&amp;""</f>
      </c>
      <c r="J393">
        <f>[1]资金台帐!J393&amp;""</f>
      </c>
      <c r="N393">
        <f>[1]资金台帐!N393</f>
      </c>
      <c r="O393">
        <f>[1]资金台帐!O393&amp;""</f>
      </c>
      <c r="P393">
        <f>[1]资金台帐!P393&amp;""</f>
      </c>
      <c r="Q393">
        <f>[1]资金台帐!Q393&amp;""</f>
      </c>
      <c r="T393">
        <f>[1]资金台帐!T393&amp;""</f>
      </c>
      <c r="U393">
        <f>[1]资金台帐!U393&amp;""</f>
      </c>
      <c r="W393">
        <f>[1]资金台帐!W393&amp;""</f>
      </c>
      <c r="X393">
        <f>[1]资金台帐!X393&amp;""</f>
      </c>
      <c r="AB393">
        <f>[1]资金台帐!AB393</f>
        <v>0</v>
      </c>
      <c r="AC393">
        <f>[1]资金台帐!AC393</f>
        <v>0</v>
      </c>
      <c r="AD393">
        <f>[1]资金台帐!AD393</f>
        <v>0</v>
      </c>
      <c r="AJ393">
        <f>[1]资金台帐!AJ393</f>
        <v>0</v>
      </c>
      <c r="AK393">
        <f>[1]资金台帐!AK393</f>
        <v>0</v>
      </c>
      <c r="BA393" s="22">
        <f t="shared" si="0"/>
      </c>
      <c r="BG393" s="22">
        <f t="shared" si="1"/>
      </c>
      <c r="BH393" s="22">
        <f t="shared" si="2"/>
        <v>0</v>
      </c>
    </row>
    <row r="394">
      <c r="B394">
        <f>[1]资金台帐!B394&amp;""</f>
      </c>
      <c r="H394">
        <f>[1]资金台帐!H394&amp;""</f>
      </c>
      <c r="J394">
        <f>[1]资金台帐!J394&amp;""</f>
      </c>
      <c r="N394">
        <f>[1]资金台帐!N394</f>
      </c>
      <c r="O394">
        <f>[1]资金台帐!O394&amp;""</f>
      </c>
      <c r="P394">
        <f>[1]资金台帐!P394&amp;""</f>
      </c>
      <c r="Q394">
        <f>[1]资金台帐!Q394&amp;""</f>
      </c>
      <c r="T394">
        <f>[1]资金台帐!T394&amp;""</f>
      </c>
      <c r="U394">
        <f>[1]资金台帐!U394&amp;""</f>
      </c>
      <c r="W394">
        <f>[1]资金台帐!W394&amp;""</f>
      </c>
      <c r="X394">
        <f>[1]资金台帐!X394&amp;""</f>
      </c>
      <c r="AB394">
        <f>[1]资金台帐!AB394</f>
        <v>0</v>
      </c>
      <c r="AC394">
        <f>[1]资金台帐!AC394</f>
        <v>0</v>
      </c>
      <c r="AD394">
        <f>[1]资金台帐!AD394</f>
        <v>0</v>
      </c>
      <c r="AJ394">
        <f>[1]资金台帐!AJ394</f>
        <v>0</v>
      </c>
      <c r="AK394">
        <f>[1]资金台帐!AK394</f>
        <v>0</v>
      </c>
      <c r="BA394" s="22">
        <f t="shared" si="0"/>
      </c>
      <c r="BG394" s="22">
        <f t="shared" si="1"/>
      </c>
      <c r="BH394" s="22">
        <f t="shared" si="2"/>
        <v>0</v>
      </c>
    </row>
    <row r="395">
      <c r="B395">
        <f>[1]资金台帐!B395&amp;""</f>
      </c>
      <c r="H395">
        <f>[1]资金台帐!H395&amp;""</f>
      </c>
      <c r="J395">
        <f>[1]资金台帐!J395&amp;""</f>
      </c>
      <c r="N395">
        <f>[1]资金台帐!N395</f>
      </c>
      <c r="O395">
        <f>[1]资金台帐!O395&amp;""</f>
      </c>
      <c r="P395">
        <f>[1]资金台帐!P395&amp;""</f>
      </c>
      <c r="Q395">
        <f>[1]资金台帐!Q395&amp;""</f>
      </c>
      <c r="T395">
        <f>[1]资金台帐!T395&amp;""</f>
      </c>
      <c r="U395">
        <f>[1]资金台帐!U395&amp;""</f>
      </c>
      <c r="W395">
        <f>[1]资金台帐!W395&amp;""</f>
      </c>
      <c r="X395">
        <f>[1]资金台帐!X395&amp;""</f>
      </c>
      <c r="AB395">
        <f>[1]资金台帐!AB395</f>
        <v>0</v>
      </c>
      <c r="AC395">
        <f>[1]资金台帐!AC395</f>
        <v>0</v>
      </c>
      <c r="AD395">
        <f>[1]资金台帐!AD395</f>
        <v>0</v>
      </c>
      <c r="AJ395">
        <f>[1]资金台帐!AJ395</f>
        <v>0</v>
      </c>
      <c r="AK395">
        <f>[1]资金台帐!AK395</f>
        <v>0</v>
      </c>
      <c r="BA395" s="22">
        <f t="shared" si="0"/>
      </c>
      <c r="BG395" s="22">
        <f t="shared" si="1"/>
      </c>
      <c r="BH395" s="22">
        <f t="shared" si="2"/>
        <v>0</v>
      </c>
    </row>
    <row r="396">
      <c r="B396">
        <f>[1]资金台帐!B396&amp;""</f>
      </c>
      <c r="H396">
        <f>[1]资金台帐!H396&amp;""</f>
      </c>
      <c r="J396">
        <f>[1]资金台帐!J396&amp;""</f>
      </c>
      <c r="N396">
        <f>[1]资金台帐!N396</f>
      </c>
      <c r="O396">
        <f>[1]资金台帐!O396&amp;""</f>
      </c>
      <c r="P396">
        <f>[1]资金台帐!P396&amp;""</f>
      </c>
      <c r="Q396">
        <f>[1]资金台帐!Q396&amp;""</f>
      </c>
      <c r="T396">
        <f>[1]资金台帐!T396&amp;""</f>
      </c>
      <c r="U396">
        <f>[1]资金台帐!U396&amp;""</f>
      </c>
      <c r="W396">
        <f>[1]资金台帐!W396&amp;""</f>
      </c>
      <c r="X396">
        <f>[1]资金台帐!X396&amp;""</f>
      </c>
      <c r="AB396">
        <f>[1]资金台帐!AB396</f>
        <v>0</v>
      </c>
      <c r="AC396">
        <f>[1]资金台帐!AC396</f>
        <v>0</v>
      </c>
      <c r="AD396">
        <f>[1]资金台帐!AD396</f>
        <v>0</v>
      </c>
      <c r="AJ396">
        <f>[1]资金台帐!AJ396</f>
        <v>0</v>
      </c>
      <c r="AK396">
        <f>[1]资金台帐!AK396</f>
        <v>0</v>
      </c>
      <c r="BA396" s="22">
        <f t="shared" si="0"/>
      </c>
      <c r="BG396" s="22">
        <f t="shared" si="1"/>
      </c>
      <c r="BH396" s="22">
        <f t="shared" si="2"/>
        <v>0</v>
      </c>
    </row>
    <row r="397">
      <c r="B397">
        <f>[1]资金台帐!B397&amp;""</f>
      </c>
      <c r="H397">
        <f>[1]资金台帐!H397&amp;""</f>
      </c>
      <c r="J397">
        <f>[1]资金台帐!J397&amp;""</f>
      </c>
      <c r="N397">
        <f>[1]资金台帐!N397</f>
      </c>
      <c r="O397">
        <f>[1]资金台帐!O397&amp;""</f>
      </c>
      <c r="P397">
        <f>[1]资金台帐!P397&amp;""</f>
      </c>
      <c r="Q397">
        <f>[1]资金台帐!Q397&amp;""</f>
      </c>
      <c r="T397">
        <f>[1]资金台帐!T397&amp;""</f>
      </c>
      <c r="U397">
        <f>[1]资金台帐!U397&amp;""</f>
      </c>
      <c r="W397">
        <f>[1]资金台帐!W397&amp;""</f>
      </c>
      <c r="X397">
        <f>[1]资金台帐!X397&amp;""</f>
      </c>
      <c r="AB397">
        <f>[1]资金台帐!AB397</f>
        <v>0</v>
      </c>
      <c r="AC397">
        <f>[1]资金台帐!AC397</f>
        <v>0</v>
      </c>
      <c r="AD397">
        <f>[1]资金台帐!AD397</f>
        <v>0</v>
      </c>
      <c r="AJ397">
        <f>[1]资金台帐!AJ397</f>
        <v>0</v>
      </c>
      <c r="AK397">
        <f>[1]资金台帐!AK397</f>
        <v>0</v>
      </c>
      <c r="BA397" s="22">
        <f t="shared" si="0"/>
      </c>
      <c r="BG397" s="22">
        <f t="shared" si="1"/>
      </c>
      <c r="BH397" s="22">
        <f t="shared" si="2"/>
        <v>0</v>
      </c>
    </row>
    <row r="398">
      <c r="B398">
        <f>[1]资金台帐!B398&amp;""</f>
      </c>
      <c r="H398">
        <f>[1]资金台帐!H398&amp;""</f>
      </c>
      <c r="J398">
        <f>[1]资金台帐!J398&amp;""</f>
      </c>
      <c r="N398">
        <f>[1]资金台帐!N398</f>
      </c>
      <c r="O398">
        <f>[1]资金台帐!O398&amp;""</f>
      </c>
      <c r="P398">
        <f>[1]资金台帐!P398&amp;""</f>
      </c>
      <c r="Q398">
        <f>[1]资金台帐!Q398&amp;""</f>
      </c>
      <c r="T398">
        <f>[1]资金台帐!T398&amp;""</f>
      </c>
      <c r="U398">
        <f>[1]资金台帐!U398&amp;""</f>
      </c>
      <c r="W398">
        <f>[1]资金台帐!W398&amp;""</f>
      </c>
      <c r="X398">
        <f>[1]资金台帐!X398&amp;""</f>
      </c>
      <c r="AB398">
        <f>[1]资金台帐!AB398</f>
        <v>0</v>
      </c>
      <c r="AC398">
        <f>[1]资金台帐!AC398</f>
        <v>0</v>
      </c>
      <c r="AD398">
        <f>[1]资金台帐!AD398</f>
        <v>0</v>
      </c>
      <c r="AJ398">
        <f>[1]资金台帐!AJ398</f>
        <v>0</v>
      </c>
      <c r="AK398">
        <f>[1]资金台帐!AK398</f>
        <v>0</v>
      </c>
      <c r="BA398" s="22">
        <f t="shared" si="0"/>
      </c>
      <c r="BG398" s="22">
        <f t="shared" si="1"/>
      </c>
      <c r="BH398" s="22">
        <f t="shared" si="2"/>
        <v>0</v>
      </c>
    </row>
    <row r="399">
      <c r="B399">
        <f>[1]资金台帐!B399&amp;""</f>
      </c>
      <c r="H399">
        <f>[1]资金台帐!H399&amp;""</f>
      </c>
      <c r="J399">
        <f>[1]资金台帐!J399&amp;""</f>
      </c>
      <c r="N399">
        <f>[1]资金台帐!N399</f>
      </c>
      <c r="O399">
        <f>[1]资金台帐!O399&amp;""</f>
      </c>
      <c r="P399">
        <f>[1]资金台帐!P399&amp;""</f>
      </c>
      <c r="Q399">
        <f>[1]资金台帐!Q399&amp;""</f>
      </c>
      <c r="T399">
        <f>[1]资金台帐!T399&amp;""</f>
      </c>
      <c r="U399">
        <f>[1]资金台帐!U399&amp;""</f>
      </c>
      <c r="W399">
        <f>[1]资金台帐!W399&amp;""</f>
      </c>
      <c r="X399">
        <f>[1]资金台帐!X399&amp;""</f>
      </c>
      <c r="AB399">
        <f>[1]资金台帐!AB399</f>
        <v>0</v>
      </c>
      <c r="AC399">
        <f>[1]资金台帐!AC399</f>
        <v>0</v>
      </c>
      <c r="AD399">
        <f>[1]资金台帐!AD399</f>
        <v>0</v>
      </c>
      <c r="AJ399">
        <f>[1]资金台帐!AJ399</f>
        <v>0</v>
      </c>
      <c r="AK399">
        <f>[1]资金台帐!AK399</f>
        <v>0</v>
      </c>
      <c r="BA399" s="22">
        <f t="shared" si="0"/>
      </c>
      <c r="BG399" s="22">
        <f t="shared" si="1"/>
      </c>
      <c r="BH399" s="22">
        <f t="shared" si="2"/>
        <v>0</v>
      </c>
    </row>
    <row r="400">
      <c r="B400">
        <f>[1]资金台帐!B400&amp;""</f>
      </c>
      <c r="H400">
        <f>[1]资金台帐!H400&amp;""</f>
      </c>
      <c r="J400">
        <f>[1]资金台帐!J400&amp;""</f>
      </c>
      <c r="N400">
        <f>[1]资金台帐!N400</f>
      </c>
      <c r="O400">
        <f>[1]资金台帐!O400&amp;""</f>
      </c>
      <c r="P400">
        <f>[1]资金台帐!P400&amp;""</f>
      </c>
      <c r="Q400">
        <f>[1]资金台帐!Q400&amp;""</f>
      </c>
      <c r="T400">
        <f>[1]资金台帐!T400&amp;""</f>
      </c>
      <c r="U400">
        <f>[1]资金台帐!U400&amp;""</f>
      </c>
      <c r="W400">
        <f>[1]资金台帐!W400&amp;""</f>
      </c>
      <c r="X400">
        <f>[1]资金台帐!X400&amp;""</f>
      </c>
      <c r="AB400">
        <f>[1]资金台帐!AB400</f>
        <v>0</v>
      </c>
      <c r="AC400">
        <f>[1]资金台帐!AC400</f>
        <v>0</v>
      </c>
      <c r="AD400">
        <f>[1]资金台帐!AD400</f>
        <v>0</v>
      </c>
      <c r="AJ400">
        <f>[1]资金台帐!AJ400</f>
        <v>0</v>
      </c>
      <c r="AK400">
        <f>[1]资金台帐!AK400</f>
        <v>0</v>
      </c>
      <c r="BA400" s="22">
        <f t="shared" si="0"/>
      </c>
      <c r="BG400" s="22">
        <f t="shared" si="1"/>
      </c>
      <c r="BH400" s="22">
        <f t="shared" si="2"/>
        <v>0</v>
      </c>
    </row>
    <row r="401">
      <c r="B401">
        <f>[1]资金台帐!B401&amp;""</f>
      </c>
      <c r="H401">
        <f>[1]资金台帐!H401&amp;""</f>
      </c>
      <c r="J401">
        <f>[1]资金台帐!J401&amp;""</f>
      </c>
      <c r="N401">
        <f>[1]资金台帐!N401</f>
      </c>
      <c r="O401">
        <f>[1]资金台帐!O401&amp;""</f>
      </c>
      <c r="P401">
        <f>[1]资金台帐!P401&amp;""</f>
      </c>
      <c r="Q401">
        <f>[1]资金台帐!Q401&amp;""</f>
      </c>
      <c r="T401">
        <f>[1]资金台帐!T401&amp;""</f>
      </c>
      <c r="U401">
        <f>[1]资金台帐!U401&amp;""</f>
      </c>
      <c r="W401">
        <f>[1]资金台帐!W401&amp;""</f>
      </c>
      <c r="X401">
        <f>[1]资金台帐!X401&amp;""</f>
      </c>
      <c r="AB401">
        <f>[1]资金台帐!AB401</f>
        <v>0</v>
      </c>
      <c r="AC401">
        <f>[1]资金台帐!AC401</f>
        <v>0</v>
      </c>
      <c r="AD401">
        <f>[1]资金台帐!AD401</f>
        <v>0</v>
      </c>
      <c r="AJ401">
        <f>[1]资金台帐!AJ401</f>
        <v>0</v>
      </c>
      <c r="AK401">
        <f>[1]资金台帐!AK401</f>
        <v>0</v>
      </c>
      <c r="BA401" s="22">
        <f t="shared" si="0"/>
      </c>
      <c r="BG401" s="22">
        <f t="shared" si="1"/>
      </c>
      <c r="BH401" s="22">
        <f t="shared" si="2"/>
        <v>0</v>
      </c>
    </row>
    <row r="402">
      <c r="B402">
        <f>[1]资金台帐!B402&amp;""</f>
      </c>
      <c r="H402">
        <f>[1]资金台帐!H402&amp;""</f>
      </c>
      <c r="J402">
        <f>[1]资金台帐!J402&amp;""</f>
      </c>
      <c r="N402">
        <f>[1]资金台帐!N402</f>
      </c>
      <c r="O402">
        <f>[1]资金台帐!O402&amp;""</f>
      </c>
      <c r="P402">
        <f>[1]资金台帐!P402&amp;""</f>
      </c>
      <c r="Q402">
        <f>[1]资金台帐!Q402&amp;""</f>
      </c>
      <c r="T402">
        <f>[1]资金台帐!T402&amp;""</f>
      </c>
      <c r="U402">
        <f>[1]资金台帐!U402&amp;""</f>
      </c>
      <c r="W402">
        <f>[1]资金台帐!W402&amp;""</f>
      </c>
      <c r="X402">
        <f>[1]资金台帐!X402&amp;""</f>
      </c>
      <c r="AB402">
        <f>[1]资金台帐!AB402</f>
        <v>0</v>
      </c>
      <c r="AC402">
        <f>[1]资金台帐!AC402</f>
        <v>0</v>
      </c>
      <c r="AD402">
        <f>[1]资金台帐!AD402</f>
        <v>0</v>
      </c>
      <c r="AJ402">
        <f>[1]资金台帐!AJ402</f>
        <v>0</v>
      </c>
      <c r="AK402">
        <f>[1]资金台帐!AK402</f>
        <v>0</v>
      </c>
      <c r="BA402" s="22">
        <f t="shared" si="0"/>
      </c>
      <c r="BG402" s="22">
        <f t="shared" si="1"/>
      </c>
      <c r="BH402" s="22">
        <f t="shared" si="2"/>
        <v>0</v>
      </c>
    </row>
    <row r="403">
      <c r="B403">
        <f>[1]资金台帐!B403&amp;""</f>
      </c>
      <c r="H403">
        <f>[1]资金台帐!H403&amp;""</f>
      </c>
      <c r="J403">
        <f>[1]资金台帐!J403&amp;""</f>
      </c>
      <c r="N403">
        <f>[1]资金台帐!N403</f>
      </c>
      <c r="O403">
        <f>[1]资金台帐!O403&amp;""</f>
      </c>
      <c r="P403">
        <f>[1]资金台帐!P403&amp;""</f>
      </c>
      <c r="Q403">
        <f>[1]资金台帐!Q403&amp;""</f>
      </c>
      <c r="T403">
        <f>[1]资金台帐!T403&amp;""</f>
      </c>
      <c r="U403">
        <f>[1]资金台帐!U403&amp;""</f>
      </c>
      <c r="W403">
        <f>[1]资金台帐!W403&amp;""</f>
      </c>
      <c r="X403">
        <f>[1]资金台帐!X403&amp;""</f>
      </c>
      <c r="AB403">
        <f>[1]资金台帐!AB403</f>
        <v>0</v>
      </c>
      <c r="AC403">
        <f>[1]资金台帐!AC403</f>
        <v>0</v>
      </c>
      <c r="AD403">
        <f>[1]资金台帐!AD403</f>
        <v>0</v>
      </c>
      <c r="AJ403">
        <f>[1]资金台帐!AJ403</f>
        <v>0</v>
      </c>
      <c r="AK403">
        <f>[1]资金台帐!AK403</f>
        <v>0</v>
      </c>
      <c r="BA403" s="22">
        <f t="shared" si="0"/>
      </c>
      <c r="BG403" s="22">
        <f t="shared" si="1"/>
      </c>
      <c r="BH403" s="22">
        <f t="shared" si="2"/>
        <v>0</v>
      </c>
    </row>
    <row r="404">
      <c r="B404">
        <f>[1]资金台帐!B404&amp;""</f>
      </c>
      <c r="H404">
        <f>[1]资金台帐!H404&amp;""</f>
      </c>
      <c r="J404">
        <f>[1]资金台帐!J404&amp;""</f>
      </c>
      <c r="N404">
        <f>[1]资金台帐!N404</f>
      </c>
      <c r="O404">
        <f>[1]资金台帐!O404&amp;""</f>
      </c>
      <c r="P404">
        <f>[1]资金台帐!P404&amp;""</f>
      </c>
      <c r="Q404">
        <f>[1]资金台帐!Q404&amp;""</f>
      </c>
      <c r="T404">
        <f>[1]资金台帐!T404&amp;""</f>
      </c>
      <c r="U404">
        <f>[1]资金台帐!U404&amp;""</f>
      </c>
      <c r="W404">
        <f>[1]资金台帐!W404&amp;""</f>
      </c>
      <c r="X404">
        <f>[1]资金台帐!X404&amp;""</f>
      </c>
      <c r="AB404">
        <f>[1]资金台帐!AB404</f>
        <v>0</v>
      </c>
      <c r="AC404">
        <f>[1]资金台帐!AC404</f>
        <v>0</v>
      </c>
      <c r="AD404">
        <f>[1]资金台帐!AD404</f>
        <v>0</v>
      </c>
      <c r="AJ404">
        <f>[1]资金台帐!AJ404</f>
        <v>0</v>
      </c>
      <c r="AK404">
        <f>[1]资金台帐!AK404</f>
        <v>0</v>
      </c>
      <c r="BA404" s="22">
        <f t="shared" si="0"/>
      </c>
      <c r="BG404" s="22">
        <f t="shared" si="1"/>
      </c>
      <c r="BH404" s="22">
        <f t="shared" si="2"/>
        <v>0</v>
      </c>
    </row>
    <row r="405">
      <c r="B405">
        <f>[1]资金台帐!B405&amp;""</f>
      </c>
      <c r="H405">
        <f>[1]资金台帐!H405&amp;""</f>
      </c>
      <c r="J405">
        <f>[1]资金台帐!J405&amp;""</f>
      </c>
      <c r="N405">
        <f>[1]资金台帐!N405</f>
      </c>
      <c r="O405">
        <f>[1]资金台帐!O405&amp;""</f>
      </c>
      <c r="P405">
        <f>[1]资金台帐!P405&amp;""</f>
      </c>
      <c r="Q405">
        <f>[1]资金台帐!Q405&amp;""</f>
      </c>
      <c r="T405">
        <f>[1]资金台帐!T405&amp;""</f>
      </c>
      <c r="U405">
        <f>[1]资金台帐!U405&amp;""</f>
      </c>
      <c r="W405">
        <f>[1]资金台帐!W405&amp;""</f>
      </c>
      <c r="X405">
        <f>[1]资金台帐!X405&amp;""</f>
      </c>
      <c r="AB405">
        <f>[1]资金台帐!AB405</f>
        <v>0</v>
      </c>
      <c r="AC405">
        <f>[1]资金台帐!AC405</f>
        <v>0</v>
      </c>
      <c r="AD405">
        <f>[1]资金台帐!AD405</f>
        <v>0</v>
      </c>
      <c r="AJ405">
        <f>[1]资金台帐!AJ405</f>
        <v>0</v>
      </c>
      <c r="AK405">
        <f>[1]资金台帐!AK405</f>
        <v>0</v>
      </c>
      <c r="BA405" s="22">
        <f t="shared" si="0"/>
      </c>
      <c r="BG405" s="22">
        <f t="shared" si="1"/>
      </c>
      <c r="BH405" s="22">
        <f t="shared" si="2"/>
        <v>0</v>
      </c>
    </row>
    <row r="406">
      <c r="B406">
        <f>[1]资金台帐!B406&amp;""</f>
      </c>
      <c r="H406">
        <f>[1]资金台帐!H406&amp;""</f>
      </c>
      <c r="J406">
        <f>[1]资金台帐!J406&amp;""</f>
      </c>
      <c r="N406">
        <f>[1]资金台帐!N406</f>
      </c>
      <c r="O406">
        <f>[1]资金台帐!O406&amp;""</f>
      </c>
      <c r="P406">
        <f>[1]资金台帐!P406&amp;""</f>
      </c>
      <c r="Q406">
        <f>[1]资金台帐!Q406&amp;""</f>
      </c>
      <c r="T406">
        <f>[1]资金台帐!T406&amp;""</f>
      </c>
      <c r="U406">
        <f>[1]资金台帐!U406&amp;""</f>
      </c>
      <c r="W406">
        <f>[1]资金台帐!W406&amp;""</f>
      </c>
      <c r="X406">
        <f>[1]资金台帐!X406&amp;""</f>
      </c>
      <c r="AB406">
        <f>[1]资金台帐!AB406</f>
        <v>0</v>
      </c>
      <c r="AC406">
        <f>[1]资金台帐!AC406</f>
        <v>0</v>
      </c>
      <c r="AD406">
        <f>[1]资金台帐!AD406</f>
        <v>0</v>
      </c>
      <c r="AJ406">
        <f>[1]资金台帐!AJ406</f>
        <v>0</v>
      </c>
      <c r="AK406">
        <f>[1]资金台帐!AK406</f>
        <v>0</v>
      </c>
      <c r="BA406" s="22">
        <f t="shared" si="0"/>
      </c>
      <c r="BG406" s="22">
        <f t="shared" si="1"/>
      </c>
      <c r="BH406" s="22">
        <f t="shared" si="2"/>
        <v>0</v>
      </c>
    </row>
    <row r="407">
      <c r="B407">
        <f>[1]资金台帐!B407&amp;""</f>
      </c>
      <c r="H407">
        <f>[1]资金台帐!H407&amp;""</f>
      </c>
      <c r="J407">
        <f>[1]资金台帐!J407&amp;""</f>
      </c>
      <c r="N407">
        <f>[1]资金台帐!N407</f>
      </c>
      <c r="O407">
        <f>[1]资金台帐!O407&amp;""</f>
      </c>
      <c r="P407">
        <f>[1]资金台帐!P407&amp;""</f>
      </c>
      <c r="Q407">
        <f>[1]资金台帐!Q407&amp;""</f>
      </c>
      <c r="T407">
        <f>[1]资金台帐!T407&amp;""</f>
      </c>
      <c r="U407">
        <f>[1]资金台帐!U407&amp;""</f>
      </c>
      <c r="W407">
        <f>[1]资金台帐!W407&amp;""</f>
      </c>
      <c r="X407">
        <f>[1]资金台帐!X407&amp;""</f>
      </c>
      <c r="AB407">
        <f>[1]资金台帐!AB407</f>
        <v>0</v>
      </c>
      <c r="AC407">
        <f>[1]资金台帐!AC407</f>
        <v>0</v>
      </c>
      <c r="AD407">
        <f>[1]资金台帐!AD407</f>
        <v>0</v>
      </c>
      <c r="AJ407">
        <f>[1]资金台帐!AJ407</f>
        <v>0</v>
      </c>
      <c r="AK407">
        <f>[1]资金台帐!AK407</f>
        <v>0</v>
      </c>
      <c r="BA407" s="22">
        <f t="shared" si="0"/>
      </c>
      <c r="BG407" s="22">
        <f t="shared" si="1"/>
      </c>
      <c r="BH407" s="22">
        <f t="shared" si="2"/>
        <v>0</v>
      </c>
    </row>
    <row r="408">
      <c r="B408">
        <f>[1]资金台帐!B408&amp;""</f>
      </c>
      <c r="H408">
        <f>[1]资金台帐!H408&amp;""</f>
      </c>
      <c r="J408">
        <f>[1]资金台帐!J408&amp;""</f>
      </c>
      <c r="N408">
        <f>[1]资金台帐!N408</f>
      </c>
      <c r="O408">
        <f>[1]资金台帐!O408&amp;""</f>
      </c>
      <c r="P408">
        <f>[1]资金台帐!P408&amp;""</f>
      </c>
      <c r="Q408">
        <f>[1]资金台帐!Q408&amp;""</f>
      </c>
      <c r="T408">
        <f>[1]资金台帐!T408&amp;""</f>
      </c>
      <c r="U408">
        <f>[1]资金台帐!U408&amp;""</f>
      </c>
      <c r="W408">
        <f>[1]资金台帐!W408&amp;""</f>
      </c>
      <c r="X408">
        <f>[1]资金台帐!X408&amp;""</f>
      </c>
      <c r="AB408">
        <f>[1]资金台帐!AB408</f>
        <v>0</v>
      </c>
      <c r="AC408">
        <f>[1]资金台帐!AC408</f>
        <v>0</v>
      </c>
      <c r="AD408">
        <f>[1]资金台帐!AD408</f>
        <v>0</v>
      </c>
      <c r="AJ408">
        <f>[1]资金台帐!AJ408</f>
        <v>0</v>
      </c>
      <c r="AK408">
        <f>[1]资金台帐!AK408</f>
        <v>0</v>
      </c>
      <c r="BA408" s="22">
        <f t="shared" si="0"/>
      </c>
      <c r="BG408" s="22">
        <f t="shared" si="1"/>
      </c>
      <c r="BH408" s="22">
        <f t="shared" si="2"/>
        <v>0</v>
      </c>
    </row>
    <row r="409">
      <c r="B409">
        <f>[1]资金台帐!B409&amp;""</f>
      </c>
      <c r="H409">
        <f>[1]资金台帐!H409&amp;""</f>
      </c>
      <c r="J409">
        <f>[1]资金台帐!J409&amp;""</f>
      </c>
      <c r="N409">
        <f>[1]资金台帐!N409</f>
      </c>
      <c r="O409">
        <f>[1]资金台帐!O409&amp;""</f>
      </c>
      <c r="P409">
        <f>[1]资金台帐!P409&amp;""</f>
      </c>
      <c r="Q409">
        <f>[1]资金台帐!Q409&amp;""</f>
      </c>
      <c r="T409">
        <f>[1]资金台帐!T409&amp;""</f>
      </c>
      <c r="U409">
        <f>[1]资金台帐!U409&amp;""</f>
      </c>
      <c r="W409">
        <f>[1]资金台帐!W409&amp;""</f>
      </c>
      <c r="X409">
        <f>[1]资金台帐!X409&amp;""</f>
      </c>
      <c r="AB409">
        <f>[1]资金台帐!AB409</f>
        <v>0</v>
      </c>
      <c r="AC409">
        <f>[1]资金台帐!AC409</f>
        <v>0</v>
      </c>
      <c r="AD409">
        <f>[1]资金台帐!AD409</f>
        <v>0</v>
      </c>
      <c r="AJ409">
        <f>[1]资金台帐!AJ409</f>
        <v>0</v>
      </c>
      <c r="AK409">
        <f>[1]资金台帐!AK409</f>
        <v>0</v>
      </c>
      <c r="BA409" s="22">
        <f t="shared" si="0"/>
      </c>
      <c r="BG409" s="22">
        <f t="shared" si="1"/>
      </c>
      <c r="BH409" s="22">
        <f t="shared" si="2"/>
        <v>0</v>
      </c>
    </row>
    <row r="410">
      <c r="B410">
        <f>[1]资金台帐!B410&amp;""</f>
      </c>
      <c r="H410">
        <f>[1]资金台帐!H410&amp;""</f>
      </c>
      <c r="J410">
        <f>[1]资金台帐!J410&amp;""</f>
      </c>
      <c r="N410">
        <f>[1]资金台帐!N410</f>
      </c>
      <c r="O410">
        <f>[1]资金台帐!O410&amp;""</f>
      </c>
      <c r="P410">
        <f>[1]资金台帐!P410&amp;""</f>
      </c>
      <c r="Q410">
        <f>[1]资金台帐!Q410&amp;""</f>
      </c>
      <c r="T410">
        <f>[1]资金台帐!T410&amp;""</f>
      </c>
      <c r="U410">
        <f>[1]资金台帐!U410&amp;""</f>
      </c>
      <c r="W410">
        <f>[1]资金台帐!W410&amp;""</f>
      </c>
      <c r="X410">
        <f>[1]资金台帐!X410&amp;""</f>
      </c>
      <c r="AB410">
        <f>[1]资金台帐!AB410</f>
        <v>0</v>
      </c>
      <c r="AC410">
        <f>[1]资金台帐!AC410</f>
        <v>0</v>
      </c>
      <c r="AD410">
        <f>[1]资金台帐!AD410</f>
        <v>0</v>
      </c>
      <c r="AJ410">
        <f>[1]资金台帐!AJ410</f>
        <v>0</v>
      </c>
      <c r="AK410">
        <f>[1]资金台帐!AK410</f>
        <v>0</v>
      </c>
      <c r="BA410" s="22">
        <f t="shared" si="0"/>
      </c>
      <c r="BG410" s="22">
        <f t="shared" si="1"/>
      </c>
      <c r="BH410" s="22">
        <f t="shared" si="2"/>
        <v>0</v>
      </c>
    </row>
    <row r="411">
      <c r="B411">
        <f>[1]资金台帐!B411&amp;""</f>
      </c>
      <c r="H411">
        <f>[1]资金台帐!H411&amp;""</f>
      </c>
      <c r="J411">
        <f>[1]资金台帐!J411&amp;""</f>
      </c>
      <c r="N411">
        <f>[1]资金台帐!N411</f>
      </c>
      <c r="O411">
        <f>[1]资金台帐!O411&amp;""</f>
      </c>
      <c r="P411">
        <f>[1]资金台帐!P411&amp;""</f>
      </c>
      <c r="Q411">
        <f>[1]资金台帐!Q411&amp;""</f>
      </c>
      <c r="T411">
        <f>[1]资金台帐!T411&amp;""</f>
      </c>
      <c r="U411">
        <f>[1]资金台帐!U411&amp;""</f>
      </c>
      <c r="W411">
        <f>[1]资金台帐!W411&amp;""</f>
      </c>
      <c r="X411">
        <f>[1]资金台帐!X411&amp;""</f>
      </c>
      <c r="AB411">
        <f>[1]资金台帐!AB411</f>
        <v>0</v>
      </c>
      <c r="AC411">
        <f>[1]资金台帐!AC411</f>
        <v>0</v>
      </c>
      <c r="AD411">
        <f>[1]资金台帐!AD411</f>
        <v>0</v>
      </c>
      <c r="AJ411">
        <f>[1]资金台帐!AJ411</f>
        <v>0</v>
      </c>
      <c r="AK411">
        <f>[1]资金台帐!AK411</f>
        <v>0</v>
      </c>
      <c r="BA411" s="22">
        <f t="shared" si="0"/>
      </c>
      <c r="BG411" s="22">
        <f t="shared" si="1"/>
      </c>
      <c r="BH411" s="22">
        <f t="shared" si="2"/>
        <v>0</v>
      </c>
    </row>
    <row r="412">
      <c r="B412">
        <f>[1]资金台帐!B412&amp;""</f>
      </c>
      <c r="H412">
        <f>[1]资金台帐!H412&amp;""</f>
      </c>
      <c r="J412">
        <f>[1]资金台帐!J412&amp;""</f>
      </c>
      <c r="N412">
        <f>[1]资金台帐!N412</f>
      </c>
      <c r="O412">
        <f>[1]资金台帐!O412&amp;""</f>
      </c>
      <c r="P412">
        <f>[1]资金台帐!P412&amp;""</f>
      </c>
      <c r="Q412">
        <f>[1]资金台帐!Q412&amp;""</f>
      </c>
      <c r="T412">
        <f>[1]资金台帐!T412&amp;""</f>
      </c>
      <c r="U412">
        <f>[1]资金台帐!U412&amp;""</f>
      </c>
      <c r="W412">
        <f>[1]资金台帐!W412&amp;""</f>
      </c>
      <c r="X412">
        <f>[1]资金台帐!X412&amp;""</f>
      </c>
      <c r="AB412">
        <f>[1]资金台帐!AB412</f>
        <v>0</v>
      </c>
      <c r="AC412">
        <f>[1]资金台帐!AC412</f>
        <v>0</v>
      </c>
      <c r="AD412">
        <f>[1]资金台帐!AD412</f>
        <v>0</v>
      </c>
      <c r="AJ412">
        <f>[1]资金台帐!AJ412</f>
        <v>0</v>
      </c>
      <c r="AK412">
        <f>[1]资金台帐!AK412</f>
        <v>0</v>
      </c>
      <c r="BA412" s="22">
        <f t="shared" si="0"/>
      </c>
      <c r="BG412" s="22">
        <f t="shared" si="1"/>
      </c>
      <c r="BH412" s="22">
        <f t="shared" si="2"/>
        <v>0</v>
      </c>
    </row>
    <row r="413">
      <c r="B413">
        <f>[1]资金台帐!B413&amp;""</f>
      </c>
      <c r="H413">
        <f>[1]资金台帐!H413&amp;""</f>
      </c>
      <c r="J413">
        <f>[1]资金台帐!J413&amp;""</f>
      </c>
      <c r="N413">
        <f>[1]资金台帐!N413</f>
      </c>
      <c r="O413">
        <f>[1]资金台帐!O413&amp;""</f>
      </c>
      <c r="P413">
        <f>[1]资金台帐!P413&amp;""</f>
      </c>
      <c r="Q413">
        <f>[1]资金台帐!Q413&amp;""</f>
      </c>
      <c r="T413">
        <f>[1]资金台帐!T413&amp;""</f>
      </c>
      <c r="U413">
        <f>[1]资金台帐!U413&amp;""</f>
      </c>
      <c r="W413">
        <f>[1]资金台帐!W413&amp;""</f>
      </c>
      <c r="X413">
        <f>[1]资金台帐!X413&amp;""</f>
      </c>
      <c r="AB413">
        <f>[1]资金台帐!AB413</f>
        <v>0</v>
      </c>
      <c r="AC413">
        <f>[1]资金台帐!AC413</f>
        <v>0</v>
      </c>
      <c r="AD413">
        <f>[1]资金台帐!AD413</f>
        <v>0</v>
      </c>
      <c r="AJ413">
        <f>[1]资金台帐!AJ413</f>
        <v>0</v>
      </c>
      <c r="AK413">
        <f>[1]资金台帐!AK413</f>
        <v>0</v>
      </c>
      <c r="BA413" s="22">
        <f t="shared" si="0"/>
      </c>
      <c r="BG413" s="22">
        <f t="shared" si="1"/>
      </c>
      <c r="BH413" s="22">
        <f t="shared" si="2"/>
        <v>0</v>
      </c>
    </row>
    <row r="414">
      <c r="B414">
        <f>[1]资金台帐!B414&amp;""</f>
      </c>
      <c r="H414">
        <f>[1]资金台帐!H414&amp;""</f>
      </c>
      <c r="J414">
        <f>[1]资金台帐!J414&amp;""</f>
      </c>
      <c r="N414">
        <f>[1]资金台帐!N414</f>
      </c>
      <c r="O414">
        <f>[1]资金台帐!O414&amp;""</f>
      </c>
      <c r="P414">
        <f>[1]资金台帐!P414&amp;""</f>
      </c>
      <c r="Q414">
        <f>[1]资金台帐!Q414&amp;""</f>
      </c>
      <c r="T414">
        <f>[1]资金台帐!T414&amp;""</f>
      </c>
      <c r="U414">
        <f>[1]资金台帐!U414&amp;""</f>
      </c>
      <c r="W414">
        <f>[1]资金台帐!W414&amp;""</f>
      </c>
      <c r="X414">
        <f>[1]资金台帐!X414&amp;""</f>
      </c>
      <c r="AB414">
        <f>[1]资金台帐!AB414</f>
        <v>0</v>
      </c>
      <c r="AC414">
        <f>[1]资金台帐!AC414</f>
        <v>0</v>
      </c>
      <c r="AD414">
        <f>[1]资金台帐!AD414</f>
        <v>0</v>
      </c>
      <c r="AJ414">
        <f>[1]资金台帐!AJ414</f>
        <v>0</v>
      </c>
      <c r="AK414">
        <f>[1]资金台帐!AK414</f>
        <v>0</v>
      </c>
      <c r="BA414" s="22">
        <f t="shared" si="0"/>
      </c>
      <c r="BG414" s="22">
        <f t="shared" si="1"/>
      </c>
      <c r="BH414" s="22">
        <f t="shared" si="2"/>
        <v>0</v>
      </c>
    </row>
    <row r="415">
      <c r="B415">
        <f>[1]资金台帐!B415&amp;""</f>
      </c>
      <c r="H415">
        <f>[1]资金台帐!H415&amp;""</f>
      </c>
      <c r="J415">
        <f>[1]资金台帐!J415&amp;""</f>
      </c>
      <c r="N415">
        <f>[1]资金台帐!N415</f>
      </c>
      <c r="O415">
        <f>[1]资金台帐!O415&amp;""</f>
      </c>
      <c r="P415">
        <f>[1]资金台帐!P415&amp;""</f>
      </c>
      <c r="Q415">
        <f>[1]资金台帐!Q415&amp;""</f>
      </c>
      <c r="T415">
        <f>[1]资金台帐!T415&amp;""</f>
      </c>
      <c r="U415">
        <f>[1]资金台帐!U415&amp;""</f>
      </c>
      <c r="W415">
        <f>[1]资金台帐!W415&amp;""</f>
      </c>
      <c r="X415">
        <f>[1]资金台帐!X415&amp;""</f>
      </c>
      <c r="AB415">
        <f>[1]资金台帐!AB415</f>
        <v>0</v>
      </c>
      <c r="AC415">
        <f>[1]资金台帐!AC415</f>
        <v>0</v>
      </c>
      <c r="AD415">
        <f>[1]资金台帐!AD415</f>
        <v>0</v>
      </c>
      <c r="AJ415">
        <f>[1]资金台帐!AJ415</f>
        <v>0</v>
      </c>
      <c r="AK415">
        <f>[1]资金台帐!AK415</f>
        <v>0</v>
      </c>
      <c r="BA415" s="22">
        <f t="shared" si="0"/>
      </c>
      <c r="BG415" s="22">
        <f t="shared" si="1"/>
      </c>
      <c r="BH415" s="22">
        <f t="shared" si="2"/>
        <v>0</v>
      </c>
    </row>
    <row r="416">
      <c r="B416">
        <f>[1]资金台帐!B416&amp;""</f>
      </c>
      <c r="H416">
        <f>[1]资金台帐!H416&amp;""</f>
      </c>
      <c r="J416">
        <f>[1]资金台帐!J416&amp;""</f>
      </c>
      <c r="N416">
        <f>[1]资金台帐!N416</f>
      </c>
      <c r="O416">
        <f>[1]资金台帐!O416&amp;""</f>
      </c>
      <c r="P416">
        <f>[1]资金台帐!P416&amp;""</f>
      </c>
      <c r="Q416">
        <f>[1]资金台帐!Q416&amp;""</f>
      </c>
      <c r="T416">
        <f>[1]资金台帐!T416&amp;""</f>
      </c>
      <c r="U416">
        <f>[1]资金台帐!U416&amp;""</f>
      </c>
      <c r="W416">
        <f>[1]资金台帐!W416&amp;""</f>
      </c>
      <c r="X416">
        <f>[1]资金台帐!X416&amp;""</f>
      </c>
      <c r="AB416">
        <f>[1]资金台帐!AB416</f>
        <v>0</v>
      </c>
      <c r="AC416">
        <f>[1]资金台帐!AC416</f>
        <v>0</v>
      </c>
      <c r="AD416">
        <f>[1]资金台帐!AD416</f>
        <v>0</v>
      </c>
      <c r="AJ416">
        <f>[1]资金台帐!AJ416</f>
        <v>0</v>
      </c>
      <c r="AK416">
        <f>[1]资金台帐!AK416</f>
        <v>0</v>
      </c>
      <c r="BA416" s="22">
        <f t="shared" si="0"/>
      </c>
      <c r="BG416" s="22">
        <f t="shared" si="1"/>
      </c>
      <c r="BH416" s="22">
        <f t="shared" si="2"/>
        <v>0</v>
      </c>
    </row>
    <row r="417">
      <c r="B417">
        <f>[1]资金台帐!B417&amp;""</f>
      </c>
      <c r="H417">
        <f>[1]资金台帐!H417&amp;""</f>
      </c>
      <c r="J417">
        <f>[1]资金台帐!J417&amp;""</f>
      </c>
      <c r="N417">
        <f>[1]资金台帐!N417</f>
      </c>
      <c r="O417">
        <f>[1]资金台帐!O417&amp;""</f>
      </c>
      <c r="P417">
        <f>[1]资金台帐!P417&amp;""</f>
      </c>
      <c r="Q417">
        <f>[1]资金台帐!Q417&amp;""</f>
      </c>
      <c r="T417">
        <f>[1]资金台帐!T417&amp;""</f>
      </c>
      <c r="U417">
        <f>[1]资金台帐!U417&amp;""</f>
      </c>
      <c r="W417">
        <f>[1]资金台帐!W417&amp;""</f>
      </c>
      <c r="X417">
        <f>[1]资金台帐!X417&amp;""</f>
      </c>
      <c r="AB417">
        <f>[1]资金台帐!AB417</f>
        <v>0</v>
      </c>
      <c r="AC417">
        <f>[1]资金台帐!AC417</f>
        <v>0</v>
      </c>
      <c r="AD417">
        <f>[1]资金台帐!AD417</f>
        <v>0</v>
      </c>
      <c r="AJ417">
        <f>[1]资金台帐!AJ417</f>
        <v>0</v>
      </c>
      <c r="AK417">
        <f>[1]资金台帐!AK417</f>
        <v>0</v>
      </c>
      <c r="BA417" s="22">
        <f t="shared" si="0"/>
      </c>
      <c r="BG417" s="22">
        <f t="shared" si="1"/>
      </c>
      <c r="BH417" s="22">
        <f t="shared" si="2"/>
        <v>0</v>
      </c>
    </row>
    <row r="418">
      <c r="B418">
        <f>[1]资金台帐!B418&amp;""</f>
      </c>
      <c r="H418">
        <f>[1]资金台帐!H418&amp;""</f>
      </c>
      <c r="J418">
        <f>[1]资金台帐!J418&amp;""</f>
      </c>
      <c r="N418">
        <f>[1]资金台帐!N418</f>
      </c>
      <c r="O418">
        <f>[1]资金台帐!O418&amp;""</f>
      </c>
      <c r="P418">
        <f>[1]资金台帐!P418&amp;""</f>
      </c>
      <c r="Q418">
        <f>[1]资金台帐!Q418&amp;""</f>
      </c>
      <c r="T418">
        <f>[1]资金台帐!T418&amp;""</f>
      </c>
      <c r="U418">
        <f>[1]资金台帐!U418&amp;""</f>
      </c>
      <c r="W418">
        <f>[1]资金台帐!W418&amp;""</f>
      </c>
      <c r="X418">
        <f>[1]资金台帐!X418&amp;""</f>
      </c>
      <c r="AB418">
        <f>[1]资金台帐!AB418</f>
        <v>0</v>
      </c>
      <c r="AC418">
        <f>[1]资金台帐!AC418</f>
        <v>0</v>
      </c>
      <c r="AD418">
        <f>[1]资金台帐!AD418</f>
        <v>0</v>
      </c>
      <c r="AJ418">
        <f>[1]资金台帐!AJ418</f>
        <v>0</v>
      </c>
      <c r="AK418">
        <f>[1]资金台帐!AK418</f>
        <v>0</v>
      </c>
      <c r="BA418" s="22">
        <f t="shared" si="0"/>
      </c>
      <c r="BG418" s="22">
        <f t="shared" si="1"/>
      </c>
      <c r="BH418" s="22">
        <f t="shared" si="2"/>
        <v>0</v>
      </c>
    </row>
    <row r="419">
      <c r="B419">
        <f>[1]资金台帐!B419&amp;""</f>
      </c>
      <c r="H419">
        <f>[1]资金台帐!H419&amp;""</f>
      </c>
      <c r="J419">
        <f>[1]资金台帐!J419&amp;""</f>
      </c>
      <c r="N419">
        <f>[1]资金台帐!N419</f>
      </c>
      <c r="O419">
        <f>[1]资金台帐!O419&amp;""</f>
      </c>
      <c r="P419">
        <f>[1]资金台帐!P419&amp;""</f>
      </c>
      <c r="Q419">
        <f>[1]资金台帐!Q419&amp;""</f>
      </c>
      <c r="T419">
        <f>[1]资金台帐!T419&amp;""</f>
      </c>
      <c r="U419">
        <f>[1]资金台帐!U419&amp;""</f>
      </c>
      <c r="W419">
        <f>[1]资金台帐!W419&amp;""</f>
      </c>
      <c r="X419">
        <f>[1]资金台帐!X419&amp;""</f>
      </c>
      <c r="AB419">
        <f>[1]资金台帐!AB419</f>
        <v>0</v>
      </c>
      <c r="AC419">
        <f>[1]资金台帐!AC419</f>
        <v>0</v>
      </c>
      <c r="AD419">
        <f>[1]资金台帐!AD419</f>
        <v>0</v>
      </c>
      <c r="AJ419">
        <f>[1]资金台帐!AJ419</f>
        <v>0</v>
      </c>
      <c r="AK419">
        <f>[1]资金台帐!AK419</f>
        <v>0</v>
      </c>
      <c r="BA419" s="22">
        <f t="shared" si="0"/>
      </c>
      <c r="BG419" s="22">
        <f t="shared" si="1"/>
      </c>
      <c r="BH419" s="22">
        <f t="shared" si="2"/>
        <v>0</v>
      </c>
    </row>
    <row r="420">
      <c r="B420">
        <f>[1]资金台帐!B420&amp;""</f>
      </c>
      <c r="H420">
        <f>[1]资金台帐!H420&amp;""</f>
      </c>
      <c r="J420">
        <f>[1]资金台帐!J420&amp;""</f>
      </c>
      <c r="N420">
        <f>[1]资金台帐!N420</f>
      </c>
      <c r="O420">
        <f>[1]资金台帐!O420&amp;""</f>
      </c>
      <c r="P420">
        <f>[1]资金台帐!P420&amp;""</f>
      </c>
      <c r="Q420">
        <f>[1]资金台帐!Q420&amp;""</f>
      </c>
      <c r="T420">
        <f>[1]资金台帐!T420&amp;""</f>
      </c>
      <c r="U420">
        <f>[1]资金台帐!U420&amp;""</f>
      </c>
      <c r="W420">
        <f>[1]资金台帐!W420&amp;""</f>
      </c>
      <c r="X420">
        <f>[1]资金台帐!X420&amp;""</f>
      </c>
      <c r="AB420">
        <f>[1]资金台帐!AB420</f>
        <v>0</v>
      </c>
      <c r="AC420">
        <f>[1]资金台帐!AC420</f>
        <v>0</v>
      </c>
      <c r="AD420">
        <f>[1]资金台帐!AD420</f>
        <v>0</v>
      </c>
      <c r="AJ420">
        <f>[1]资金台帐!AJ420</f>
        <v>0</v>
      </c>
      <c r="AK420">
        <f>[1]资金台帐!AK420</f>
        <v>0</v>
      </c>
      <c r="BA420" s="22">
        <f t="shared" si="0"/>
      </c>
      <c r="BG420" s="22">
        <f t="shared" si="1"/>
      </c>
      <c r="BH420" s="22">
        <f t="shared" si="2"/>
        <v>0</v>
      </c>
    </row>
    <row r="421">
      <c r="B421">
        <f>[1]资金台帐!B421&amp;""</f>
      </c>
      <c r="H421">
        <f>[1]资金台帐!H421&amp;""</f>
      </c>
      <c r="J421">
        <f>[1]资金台帐!J421&amp;""</f>
      </c>
      <c r="N421">
        <f>[1]资金台帐!N421</f>
      </c>
      <c r="O421">
        <f>[1]资金台帐!O421&amp;""</f>
      </c>
      <c r="P421">
        <f>[1]资金台帐!P421&amp;""</f>
      </c>
      <c r="Q421">
        <f>[1]资金台帐!Q421&amp;""</f>
      </c>
      <c r="T421">
        <f>[1]资金台帐!T421&amp;""</f>
      </c>
      <c r="U421">
        <f>[1]资金台帐!U421&amp;""</f>
      </c>
      <c r="W421">
        <f>[1]资金台帐!W421&amp;""</f>
      </c>
      <c r="X421">
        <f>[1]资金台帐!X421&amp;""</f>
      </c>
      <c r="AB421">
        <f>[1]资金台帐!AB421</f>
        <v>0</v>
      </c>
      <c r="AC421">
        <f>[1]资金台帐!AC421</f>
        <v>0</v>
      </c>
      <c r="AD421">
        <f>[1]资金台帐!AD421</f>
        <v>0</v>
      </c>
      <c r="AJ421">
        <f>[1]资金台帐!AJ421</f>
        <v>0</v>
      </c>
      <c r="AK421">
        <f>[1]资金台帐!AK421</f>
        <v>0</v>
      </c>
      <c r="BA421" s="22">
        <f t="shared" si="0"/>
      </c>
      <c r="BG421" s="22">
        <f t="shared" si="1"/>
      </c>
      <c r="BH421" s="22">
        <f t="shared" si="2"/>
        <v>0</v>
      </c>
    </row>
    <row r="422">
      <c r="B422">
        <f>[1]资金台帐!B422&amp;""</f>
      </c>
      <c r="H422">
        <f>[1]资金台帐!H422&amp;""</f>
      </c>
      <c r="J422">
        <f>[1]资金台帐!J422&amp;""</f>
      </c>
      <c r="N422">
        <f>[1]资金台帐!N422</f>
      </c>
      <c r="O422">
        <f>[1]资金台帐!O422&amp;""</f>
      </c>
      <c r="P422">
        <f>[1]资金台帐!P422&amp;""</f>
      </c>
      <c r="Q422">
        <f>[1]资金台帐!Q422&amp;""</f>
      </c>
      <c r="T422">
        <f>[1]资金台帐!T422&amp;""</f>
      </c>
      <c r="U422">
        <f>[1]资金台帐!U422&amp;""</f>
      </c>
      <c r="W422">
        <f>[1]资金台帐!W422&amp;""</f>
      </c>
      <c r="X422">
        <f>[1]资金台帐!X422&amp;""</f>
      </c>
      <c r="AB422">
        <f>[1]资金台帐!AB422</f>
        <v>0</v>
      </c>
      <c r="AC422">
        <f>[1]资金台帐!AC422</f>
        <v>0</v>
      </c>
      <c r="AD422">
        <f>[1]资金台帐!AD422</f>
        <v>0</v>
      </c>
      <c r="AJ422">
        <f>[1]资金台帐!AJ422</f>
        <v>0</v>
      </c>
      <c r="AK422">
        <f>[1]资金台帐!AK422</f>
        <v>0</v>
      </c>
      <c r="BA422" s="22">
        <f t="shared" si="0"/>
      </c>
      <c r="BG422" s="22">
        <f t="shared" si="1"/>
      </c>
      <c r="BH422" s="22">
        <f t="shared" si="2"/>
        <v>0</v>
      </c>
    </row>
    <row r="423">
      <c r="B423">
        <f>[1]资金台帐!B423&amp;""</f>
      </c>
      <c r="H423">
        <f>[1]资金台帐!H423&amp;""</f>
      </c>
      <c r="J423">
        <f>[1]资金台帐!J423&amp;""</f>
      </c>
      <c r="N423">
        <f>[1]资金台帐!N423</f>
      </c>
      <c r="O423">
        <f>[1]资金台帐!O423&amp;""</f>
      </c>
      <c r="P423">
        <f>[1]资金台帐!P423&amp;""</f>
      </c>
      <c r="Q423">
        <f>[1]资金台帐!Q423&amp;""</f>
      </c>
      <c r="T423">
        <f>[1]资金台帐!T423&amp;""</f>
      </c>
      <c r="U423">
        <f>[1]资金台帐!U423&amp;""</f>
      </c>
      <c r="W423">
        <f>[1]资金台帐!W423&amp;""</f>
      </c>
      <c r="X423">
        <f>[1]资金台帐!X423&amp;""</f>
      </c>
      <c r="AB423">
        <f>[1]资金台帐!AB423</f>
        <v>0</v>
      </c>
      <c r="AC423">
        <f>[1]资金台帐!AC423</f>
        <v>0</v>
      </c>
      <c r="AD423">
        <f>[1]资金台帐!AD423</f>
        <v>0</v>
      </c>
      <c r="AJ423">
        <f>[1]资金台帐!AJ423</f>
        <v>0</v>
      </c>
      <c r="AK423">
        <f>[1]资金台帐!AK423</f>
        <v>0</v>
      </c>
      <c r="BA423" s="22">
        <f t="shared" si="0"/>
      </c>
      <c r="BG423" s="22">
        <f t="shared" si="1"/>
      </c>
      <c r="BH423" s="22">
        <f t="shared" si="2"/>
        <v>0</v>
      </c>
    </row>
    <row r="424">
      <c r="B424">
        <f>[1]资金台帐!B424&amp;""</f>
      </c>
      <c r="H424">
        <f>[1]资金台帐!H424&amp;""</f>
      </c>
      <c r="J424">
        <f>[1]资金台帐!J424&amp;""</f>
      </c>
      <c r="N424">
        <f>[1]资金台帐!N424</f>
      </c>
      <c r="O424">
        <f>[1]资金台帐!O424&amp;""</f>
      </c>
      <c r="P424">
        <f>[1]资金台帐!P424&amp;""</f>
      </c>
      <c r="Q424">
        <f>[1]资金台帐!Q424&amp;""</f>
      </c>
      <c r="T424">
        <f>[1]资金台帐!T424&amp;""</f>
      </c>
      <c r="U424">
        <f>[1]资金台帐!U424&amp;""</f>
      </c>
      <c r="W424">
        <f>[1]资金台帐!W424&amp;""</f>
      </c>
      <c r="X424">
        <f>[1]资金台帐!X424&amp;""</f>
      </c>
      <c r="AB424">
        <f>[1]资金台帐!AB424</f>
        <v>0</v>
      </c>
      <c r="AC424">
        <f>[1]资金台帐!AC424</f>
        <v>0</v>
      </c>
      <c r="AD424">
        <f>[1]资金台帐!AD424</f>
        <v>0</v>
      </c>
      <c r="AJ424">
        <f>[1]资金台帐!AJ424</f>
        <v>0</v>
      </c>
      <c r="AK424">
        <f>[1]资金台帐!AK424</f>
        <v>0</v>
      </c>
      <c r="BA424" s="22">
        <f t="shared" si="0"/>
      </c>
      <c r="BG424" s="22">
        <f t="shared" si="1"/>
      </c>
      <c r="BH424" s="22">
        <f t="shared" si="2"/>
        <v>0</v>
      </c>
    </row>
    <row r="425">
      <c r="B425">
        <f>[1]资金台帐!B425&amp;""</f>
      </c>
      <c r="H425">
        <f>[1]资金台帐!H425&amp;""</f>
      </c>
      <c r="J425">
        <f>[1]资金台帐!J425&amp;""</f>
      </c>
      <c r="N425">
        <f>[1]资金台帐!N425</f>
      </c>
      <c r="O425">
        <f>[1]资金台帐!O425&amp;""</f>
      </c>
      <c r="P425">
        <f>[1]资金台帐!P425&amp;""</f>
      </c>
      <c r="Q425">
        <f>[1]资金台帐!Q425&amp;""</f>
      </c>
      <c r="T425">
        <f>[1]资金台帐!T425&amp;""</f>
      </c>
      <c r="U425">
        <f>[1]资金台帐!U425&amp;""</f>
      </c>
      <c r="W425">
        <f>[1]资金台帐!W425&amp;""</f>
      </c>
      <c r="X425">
        <f>[1]资金台帐!X425&amp;""</f>
      </c>
      <c r="AB425">
        <f>[1]资金台帐!AB425</f>
        <v>0</v>
      </c>
      <c r="AC425">
        <f>[1]资金台帐!AC425</f>
        <v>0</v>
      </c>
      <c r="AD425">
        <f>[1]资金台帐!AD425</f>
        <v>0</v>
      </c>
      <c r="AJ425">
        <f>[1]资金台帐!AJ425</f>
        <v>0</v>
      </c>
      <c r="AK425">
        <f>[1]资金台帐!AK425</f>
        <v>0</v>
      </c>
      <c r="BA425" s="22">
        <f t="shared" si="0"/>
      </c>
      <c r="BG425" s="22">
        <f t="shared" si="1"/>
      </c>
      <c r="BH425" s="22">
        <f t="shared" si="2"/>
        <v>0</v>
      </c>
    </row>
    <row r="426">
      <c r="B426">
        <f>[1]资金台帐!B426&amp;""</f>
      </c>
      <c r="H426">
        <f>[1]资金台帐!H426&amp;""</f>
      </c>
      <c r="J426">
        <f>[1]资金台帐!J426&amp;""</f>
      </c>
      <c r="N426">
        <f>[1]资金台帐!N426</f>
      </c>
      <c r="O426">
        <f>[1]资金台帐!O426&amp;""</f>
      </c>
      <c r="P426">
        <f>[1]资金台帐!P426&amp;""</f>
      </c>
      <c r="Q426">
        <f>[1]资金台帐!Q426&amp;""</f>
      </c>
      <c r="T426">
        <f>[1]资金台帐!T426&amp;""</f>
      </c>
      <c r="U426">
        <f>[1]资金台帐!U426&amp;""</f>
      </c>
      <c r="W426">
        <f>[1]资金台帐!W426&amp;""</f>
      </c>
      <c r="X426">
        <f>[1]资金台帐!X426&amp;""</f>
      </c>
      <c r="AB426">
        <f>[1]资金台帐!AB426</f>
        <v>0</v>
      </c>
      <c r="AC426">
        <f>[1]资金台帐!AC426</f>
        <v>0</v>
      </c>
      <c r="AD426">
        <f>[1]资金台帐!AD426</f>
        <v>0</v>
      </c>
      <c r="AJ426">
        <f>[1]资金台帐!AJ426</f>
        <v>0</v>
      </c>
      <c r="AK426">
        <f>[1]资金台帐!AK426</f>
        <v>0</v>
      </c>
      <c r="BA426" s="22">
        <f t="shared" si="0"/>
      </c>
      <c r="BG426" s="22">
        <f t="shared" si="1"/>
      </c>
      <c r="BH426" s="22">
        <f t="shared" si="2"/>
        <v>0</v>
      </c>
    </row>
    <row r="427">
      <c r="B427">
        <f>[1]资金台帐!B427&amp;""</f>
      </c>
      <c r="H427">
        <f>[1]资金台帐!H427&amp;""</f>
      </c>
      <c r="J427">
        <f>[1]资金台帐!J427&amp;""</f>
      </c>
      <c r="N427">
        <f>[1]资金台帐!N427</f>
      </c>
      <c r="O427">
        <f>[1]资金台帐!O427&amp;""</f>
      </c>
      <c r="P427">
        <f>[1]资金台帐!P427&amp;""</f>
      </c>
      <c r="Q427">
        <f>[1]资金台帐!Q427&amp;""</f>
      </c>
      <c r="T427">
        <f>[1]资金台帐!T427&amp;""</f>
      </c>
      <c r="U427">
        <f>[1]资金台帐!U427&amp;""</f>
      </c>
      <c r="W427">
        <f>[1]资金台帐!W427&amp;""</f>
      </c>
      <c r="X427">
        <f>[1]资金台帐!X427&amp;""</f>
      </c>
      <c r="AB427">
        <f>[1]资金台帐!AB427</f>
        <v>0</v>
      </c>
      <c r="AC427">
        <f>[1]资金台帐!AC427</f>
        <v>0</v>
      </c>
      <c r="AD427">
        <f>[1]资金台帐!AD427</f>
        <v>0</v>
      </c>
      <c r="AJ427">
        <f>[1]资金台帐!AJ427</f>
        <v>0</v>
      </c>
      <c r="AK427">
        <f>[1]资金台帐!AK427</f>
        <v>0</v>
      </c>
      <c r="BA427" s="22">
        <f t="shared" si="0"/>
      </c>
      <c r="BG427" s="22">
        <f t="shared" si="1"/>
      </c>
      <c r="BH427" s="22">
        <f t="shared" si="2"/>
        <v>0</v>
      </c>
    </row>
    <row r="428">
      <c r="B428">
        <f>[1]资金台帐!B428&amp;""</f>
      </c>
      <c r="H428">
        <f>[1]资金台帐!H428&amp;""</f>
      </c>
      <c r="J428">
        <f>[1]资金台帐!J428&amp;""</f>
      </c>
      <c r="N428">
        <f>[1]资金台帐!N428</f>
      </c>
      <c r="O428">
        <f>[1]资金台帐!O428&amp;""</f>
      </c>
      <c r="P428">
        <f>[1]资金台帐!P428&amp;""</f>
      </c>
      <c r="Q428">
        <f>[1]资金台帐!Q428&amp;""</f>
      </c>
      <c r="T428">
        <f>[1]资金台帐!T428&amp;""</f>
      </c>
      <c r="U428">
        <f>[1]资金台帐!U428&amp;""</f>
      </c>
      <c r="W428">
        <f>[1]资金台帐!W428&amp;""</f>
      </c>
      <c r="X428">
        <f>[1]资金台帐!X428&amp;""</f>
      </c>
      <c r="AB428">
        <f>[1]资金台帐!AB428</f>
        <v>0</v>
      </c>
      <c r="AC428">
        <f>[1]资金台帐!AC428</f>
        <v>0</v>
      </c>
      <c r="AD428">
        <f>[1]资金台帐!AD428</f>
        <v>0</v>
      </c>
      <c r="AJ428">
        <f>[1]资金台帐!AJ428</f>
        <v>0</v>
      </c>
      <c r="AK428">
        <f>[1]资金台帐!AK428</f>
        <v>0</v>
      </c>
      <c r="BA428" s="22">
        <f t="shared" si="0"/>
      </c>
      <c r="BG428" s="22">
        <f t="shared" si="1"/>
      </c>
      <c r="BH428" s="22">
        <f t="shared" si="2"/>
        <v>0</v>
      </c>
    </row>
    <row r="429">
      <c r="B429">
        <f>[1]资金台帐!B429&amp;""</f>
      </c>
      <c r="H429">
        <f>[1]资金台帐!H429&amp;""</f>
      </c>
      <c r="J429">
        <f>[1]资金台帐!J429&amp;""</f>
      </c>
      <c r="N429">
        <f>[1]资金台帐!N429</f>
      </c>
      <c r="O429">
        <f>[1]资金台帐!O429&amp;""</f>
      </c>
      <c r="P429">
        <f>[1]资金台帐!P429&amp;""</f>
      </c>
      <c r="Q429">
        <f>[1]资金台帐!Q429&amp;""</f>
      </c>
      <c r="T429">
        <f>[1]资金台帐!T429&amp;""</f>
      </c>
      <c r="U429">
        <f>[1]资金台帐!U429&amp;""</f>
      </c>
      <c r="W429">
        <f>[1]资金台帐!W429&amp;""</f>
      </c>
      <c r="X429">
        <f>[1]资金台帐!X429&amp;""</f>
      </c>
      <c r="AB429">
        <f>[1]资金台帐!AB429</f>
        <v>0</v>
      </c>
      <c r="AC429">
        <f>[1]资金台帐!AC429</f>
        <v>0</v>
      </c>
      <c r="AD429">
        <f>[1]资金台帐!AD429</f>
        <v>0</v>
      </c>
      <c r="AJ429">
        <f>[1]资金台帐!AJ429</f>
        <v>0</v>
      </c>
      <c r="AK429">
        <f>[1]资金台帐!AK429</f>
        <v>0</v>
      </c>
      <c r="BA429" s="22">
        <f t="shared" si="0"/>
      </c>
      <c r="BG429" s="22">
        <f t="shared" si="1"/>
      </c>
      <c r="BH429" s="22">
        <f t="shared" si="2"/>
        <v>0</v>
      </c>
    </row>
    <row r="430">
      <c r="B430">
        <f>[1]资金台帐!B430&amp;""</f>
      </c>
      <c r="H430">
        <f>[1]资金台帐!H430&amp;""</f>
      </c>
      <c r="J430">
        <f>[1]资金台帐!J430&amp;""</f>
      </c>
      <c r="N430">
        <f>[1]资金台帐!N430</f>
      </c>
      <c r="O430">
        <f>[1]资金台帐!O430&amp;""</f>
      </c>
      <c r="P430">
        <f>[1]资金台帐!P430&amp;""</f>
      </c>
      <c r="Q430">
        <f>[1]资金台帐!Q430&amp;""</f>
      </c>
      <c r="T430">
        <f>[1]资金台帐!T430&amp;""</f>
      </c>
      <c r="U430">
        <f>[1]资金台帐!U430&amp;""</f>
      </c>
      <c r="W430">
        <f>[1]资金台帐!W430&amp;""</f>
      </c>
      <c r="X430">
        <f>[1]资金台帐!X430&amp;""</f>
      </c>
      <c r="AB430">
        <f>[1]资金台帐!AB430</f>
        <v>0</v>
      </c>
      <c r="AC430">
        <f>[1]资金台帐!AC430</f>
        <v>0</v>
      </c>
      <c r="AD430">
        <f>[1]资金台帐!AD430</f>
        <v>0</v>
      </c>
      <c r="AJ430">
        <f>[1]资金台帐!AJ430</f>
        <v>0</v>
      </c>
      <c r="AK430">
        <f>[1]资金台帐!AK430</f>
        <v>0</v>
      </c>
      <c r="BA430" s="22">
        <f t="shared" si="0"/>
      </c>
      <c r="BG430" s="22">
        <f t="shared" si="1"/>
      </c>
      <c r="BH430" s="22">
        <f t="shared" si="2"/>
        <v>0</v>
      </c>
    </row>
    <row r="431">
      <c r="B431">
        <f>[1]资金台帐!B431&amp;""</f>
      </c>
      <c r="H431">
        <f>[1]资金台帐!H431&amp;""</f>
      </c>
      <c r="J431">
        <f>[1]资金台帐!J431&amp;""</f>
      </c>
      <c r="N431">
        <f>[1]资金台帐!N431</f>
      </c>
      <c r="O431">
        <f>[1]资金台帐!O431&amp;""</f>
      </c>
      <c r="P431">
        <f>[1]资金台帐!P431&amp;""</f>
      </c>
      <c r="Q431">
        <f>[1]资金台帐!Q431&amp;""</f>
      </c>
      <c r="T431">
        <f>[1]资金台帐!T431&amp;""</f>
      </c>
      <c r="U431">
        <f>[1]资金台帐!U431&amp;""</f>
      </c>
      <c r="W431">
        <f>[1]资金台帐!W431&amp;""</f>
      </c>
      <c r="X431">
        <f>[1]资金台帐!X431&amp;""</f>
      </c>
      <c r="AB431">
        <f>[1]资金台帐!AB431</f>
        <v>0</v>
      </c>
      <c r="AC431">
        <f>[1]资金台帐!AC431</f>
        <v>0</v>
      </c>
      <c r="AD431">
        <f>[1]资金台帐!AD431</f>
        <v>0</v>
      </c>
      <c r="AJ431">
        <f>[1]资金台帐!AJ431</f>
        <v>0</v>
      </c>
      <c r="AK431">
        <f>[1]资金台帐!AK431</f>
        <v>0</v>
      </c>
      <c r="BA431" s="22">
        <f t="shared" si="0"/>
      </c>
      <c r="BG431" s="22">
        <f t="shared" si="1"/>
      </c>
      <c r="BH431" s="22">
        <f t="shared" si="2"/>
        <v>0</v>
      </c>
    </row>
    <row r="432">
      <c r="B432">
        <f>[1]资金台帐!B432&amp;""</f>
      </c>
      <c r="H432">
        <f>[1]资金台帐!H432&amp;""</f>
      </c>
      <c r="J432">
        <f>[1]资金台帐!J432&amp;""</f>
      </c>
      <c r="N432">
        <f>[1]资金台帐!N432</f>
      </c>
      <c r="O432">
        <f>[1]资金台帐!O432&amp;""</f>
      </c>
      <c r="P432">
        <f>[1]资金台帐!P432&amp;""</f>
      </c>
      <c r="Q432">
        <f>[1]资金台帐!Q432&amp;""</f>
      </c>
      <c r="T432">
        <f>[1]资金台帐!T432&amp;""</f>
      </c>
      <c r="U432">
        <f>[1]资金台帐!U432&amp;""</f>
      </c>
      <c r="W432">
        <f>[1]资金台帐!W432&amp;""</f>
      </c>
      <c r="X432">
        <f>[1]资金台帐!X432&amp;""</f>
      </c>
      <c r="AB432">
        <f>[1]资金台帐!AB432</f>
        <v>0</v>
      </c>
      <c r="AC432">
        <f>[1]资金台帐!AC432</f>
        <v>0</v>
      </c>
      <c r="AD432">
        <f>[1]资金台帐!AD432</f>
        <v>0</v>
      </c>
      <c r="AJ432">
        <f>[1]资金台帐!AJ432</f>
        <v>0</v>
      </c>
      <c r="AK432">
        <f>[1]资金台帐!AK432</f>
        <v>0</v>
      </c>
      <c r="BA432" s="22">
        <f t="shared" si="0"/>
      </c>
      <c r="BG432" s="22">
        <f t="shared" si="1"/>
      </c>
      <c r="BH432" s="22">
        <f t="shared" si="2"/>
        <v>0</v>
      </c>
    </row>
    <row r="433">
      <c r="B433">
        <f>[1]资金台帐!B433&amp;""</f>
      </c>
      <c r="H433">
        <f>[1]资金台帐!H433&amp;""</f>
      </c>
      <c r="J433">
        <f>[1]资金台帐!J433&amp;""</f>
      </c>
      <c r="N433">
        <f>[1]资金台帐!N433</f>
      </c>
      <c r="O433">
        <f>[1]资金台帐!O433&amp;""</f>
      </c>
      <c r="P433">
        <f>[1]资金台帐!P433&amp;""</f>
      </c>
      <c r="Q433">
        <f>[1]资金台帐!Q433&amp;""</f>
      </c>
      <c r="T433">
        <f>[1]资金台帐!T433&amp;""</f>
      </c>
      <c r="U433">
        <f>[1]资金台帐!U433&amp;""</f>
      </c>
      <c r="W433">
        <f>[1]资金台帐!W433&amp;""</f>
      </c>
      <c r="X433">
        <f>[1]资金台帐!X433&amp;""</f>
      </c>
      <c r="AB433">
        <f>[1]资金台帐!AB433</f>
        <v>0</v>
      </c>
      <c r="AC433">
        <f>[1]资金台帐!AC433</f>
        <v>0</v>
      </c>
      <c r="AD433">
        <f>[1]资金台帐!AD433</f>
        <v>0</v>
      </c>
      <c r="AJ433">
        <f>[1]资金台帐!AJ433</f>
        <v>0</v>
      </c>
      <c r="AK433">
        <f>[1]资金台帐!AK433</f>
        <v>0</v>
      </c>
      <c r="BA433" s="22">
        <f t="shared" si="0"/>
      </c>
      <c r="BG433" s="22">
        <f t="shared" si="1"/>
      </c>
      <c r="BH433" s="22">
        <f t="shared" si="2"/>
        <v>0</v>
      </c>
    </row>
    <row r="434">
      <c r="B434">
        <f>[1]资金台帐!B434&amp;""</f>
      </c>
      <c r="H434">
        <f>[1]资金台帐!H434&amp;""</f>
      </c>
      <c r="J434">
        <f>[1]资金台帐!J434&amp;""</f>
      </c>
      <c r="N434">
        <f>[1]资金台帐!N434</f>
      </c>
      <c r="O434">
        <f>[1]资金台帐!O434&amp;""</f>
      </c>
      <c r="P434">
        <f>[1]资金台帐!P434&amp;""</f>
      </c>
      <c r="Q434">
        <f>[1]资金台帐!Q434&amp;""</f>
      </c>
      <c r="T434">
        <f>[1]资金台帐!T434&amp;""</f>
      </c>
      <c r="U434">
        <f>[1]资金台帐!U434&amp;""</f>
      </c>
      <c r="W434">
        <f>[1]资金台帐!W434&amp;""</f>
      </c>
      <c r="X434">
        <f>[1]资金台帐!X434&amp;""</f>
      </c>
      <c r="AB434">
        <f>[1]资金台帐!AB434</f>
        <v>0</v>
      </c>
      <c r="AC434">
        <f>[1]资金台帐!AC434</f>
        <v>0</v>
      </c>
      <c r="AD434">
        <f>[1]资金台帐!AD434</f>
        <v>0</v>
      </c>
      <c r="AJ434">
        <f>[1]资金台帐!AJ434</f>
        <v>0</v>
      </c>
      <c r="AK434">
        <f>[1]资金台帐!AK434</f>
        <v>0</v>
      </c>
      <c r="BA434" s="22">
        <f t="shared" si="0"/>
      </c>
      <c r="BG434" s="22">
        <f t="shared" si="1"/>
      </c>
      <c r="BH434" s="22">
        <f t="shared" si="2"/>
        <v>0</v>
      </c>
    </row>
    <row r="435">
      <c r="B435">
        <f>[1]资金台帐!B435&amp;""</f>
      </c>
      <c r="H435">
        <f>[1]资金台帐!H435&amp;""</f>
      </c>
      <c r="J435">
        <f>[1]资金台帐!J435&amp;""</f>
      </c>
      <c r="N435">
        <f>[1]资金台帐!N435</f>
      </c>
      <c r="O435">
        <f>[1]资金台帐!O435&amp;""</f>
      </c>
      <c r="P435">
        <f>[1]资金台帐!P435&amp;""</f>
      </c>
      <c r="Q435">
        <f>[1]资金台帐!Q435&amp;""</f>
      </c>
      <c r="T435">
        <f>[1]资金台帐!T435&amp;""</f>
      </c>
      <c r="U435">
        <f>[1]资金台帐!U435&amp;""</f>
      </c>
      <c r="W435">
        <f>[1]资金台帐!W435&amp;""</f>
      </c>
      <c r="X435">
        <f>[1]资金台帐!X435&amp;""</f>
      </c>
      <c r="AB435">
        <f>[1]资金台帐!AB435</f>
        <v>0</v>
      </c>
      <c r="AC435">
        <f>[1]资金台帐!AC435</f>
        <v>0</v>
      </c>
      <c r="AD435">
        <f>[1]资金台帐!AD435</f>
        <v>0</v>
      </c>
      <c r="AJ435">
        <f>[1]资金台帐!AJ435</f>
        <v>0</v>
      </c>
      <c r="AK435">
        <f>[1]资金台帐!AK435</f>
        <v>0</v>
      </c>
      <c r="BA435" s="22">
        <f t="shared" si="0"/>
      </c>
      <c r="BG435" s="22">
        <f t="shared" si="1"/>
      </c>
      <c r="BH435" s="22">
        <f t="shared" si="2"/>
        <v>0</v>
      </c>
    </row>
    <row r="436">
      <c r="B436">
        <f>[1]资金台帐!B436&amp;""</f>
      </c>
      <c r="H436">
        <f>[1]资金台帐!H436&amp;""</f>
      </c>
      <c r="J436">
        <f>[1]资金台帐!J436&amp;""</f>
      </c>
      <c r="N436">
        <f>[1]资金台帐!N436</f>
      </c>
      <c r="O436">
        <f>[1]资金台帐!O436&amp;""</f>
      </c>
      <c r="P436">
        <f>[1]资金台帐!P436&amp;""</f>
      </c>
      <c r="Q436">
        <f>[1]资金台帐!Q436&amp;""</f>
      </c>
      <c r="T436">
        <f>[1]资金台帐!T436&amp;""</f>
      </c>
      <c r="U436">
        <f>[1]资金台帐!U436&amp;""</f>
      </c>
      <c r="W436">
        <f>[1]资金台帐!W436&amp;""</f>
      </c>
      <c r="X436">
        <f>[1]资金台帐!X436&amp;""</f>
      </c>
      <c r="AB436">
        <f>[1]资金台帐!AB436</f>
        <v>0</v>
      </c>
      <c r="AC436">
        <f>[1]资金台帐!AC436</f>
        <v>0</v>
      </c>
      <c r="AD436">
        <f>[1]资金台帐!AD436</f>
        <v>0</v>
      </c>
      <c r="AJ436">
        <f>[1]资金台帐!AJ436</f>
        <v>0</v>
      </c>
      <c r="AK436">
        <f>[1]资金台帐!AK436</f>
        <v>0</v>
      </c>
      <c r="BA436" s="22">
        <f t="shared" si="0"/>
      </c>
      <c r="BG436" s="22">
        <f t="shared" si="1"/>
      </c>
      <c r="BH436" s="22">
        <f t="shared" si="2"/>
        <v>0</v>
      </c>
    </row>
    <row r="437">
      <c r="B437">
        <f>[1]资金台帐!B437&amp;""</f>
      </c>
      <c r="H437">
        <f>[1]资金台帐!H437&amp;""</f>
      </c>
      <c r="J437">
        <f>[1]资金台帐!J437&amp;""</f>
      </c>
      <c r="N437">
        <f>[1]资金台帐!N437</f>
      </c>
      <c r="O437">
        <f>[1]资金台帐!O437&amp;""</f>
      </c>
      <c r="P437">
        <f>[1]资金台帐!P437&amp;""</f>
      </c>
      <c r="Q437">
        <f>[1]资金台帐!Q437&amp;""</f>
      </c>
      <c r="T437">
        <f>[1]资金台帐!T437&amp;""</f>
      </c>
      <c r="U437">
        <f>[1]资金台帐!U437&amp;""</f>
      </c>
      <c r="W437">
        <f>[1]资金台帐!W437&amp;""</f>
      </c>
      <c r="X437">
        <f>[1]资金台帐!X437&amp;""</f>
      </c>
      <c r="AB437">
        <f>[1]资金台帐!AB437</f>
        <v>0</v>
      </c>
      <c r="AC437">
        <f>[1]资金台帐!AC437</f>
        <v>0</v>
      </c>
      <c r="AD437">
        <f>[1]资金台帐!AD437</f>
        <v>0</v>
      </c>
      <c r="AJ437">
        <f>[1]资金台帐!AJ437</f>
        <v>0</v>
      </c>
      <c r="AK437">
        <f>[1]资金台帐!AK437</f>
        <v>0</v>
      </c>
      <c r="BA437" s="22">
        <f t="shared" si="0"/>
      </c>
      <c r="BG437" s="22">
        <f t="shared" si="1"/>
      </c>
      <c r="BH437" s="22">
        <f t="shared" si="2"/>
        <v>0</v>
      </c>
    </row>
    <row r="438">
      <c r="B438">
        <f>[1]资金台帐!B438&amp;""</f>
      </c>
      <c r="H438">
        <f>[1]资金台帐!H438&amp;""</f>
      </c>
      <c r="J438">
        <f>[1]资金台帐!J438&amp;""</f>
      </c>
      <c r="N438">
        <f>[1]资金台帐!N438</f>
      </c>
      <c r="O438">
        <f>[1]资金台帐!O438&amp;""</f>
      </c>
      <c r="P438">
        <f>[1]资金台帐!P438&amp;""</f>
      </c>
      <c r="Q438">
        <f>[1]资金台帐!Q438&amp;""</f>
      </c>
      <c r="T438">
        <f>[1]资金台帐!T438&amp;""</f>
      </c>
      <c r="U438">
        <f>[1]资金台帐!U438&amp;""</f>
      </c>
      <c r="W438">
        <f>[1]资金台帐!W438&amp;""</f>
      </c>
      <c r="X438">
        <f>[1]资金台帐!X438&amp;""</f>
      </c>
      <c r="AB438">
        <f>[1]资金台帐!AB438</f>
        <v>0</v>
      </c>
      <c r="AC438">
        <f>[1]资金台帐!AC438</f>
        <v>0</v>
      </c>
      <c r="AD438">
        <f>[1]资金台帐!AD438</f>
        <v>0</v>
      </c>
      <c r="AJ438">
        <f>[1]资金台帐!AJ438</f>
        <v>0</v>
      </c>
      <c r="AK438">
        <f>[1]资金台帐!AK438</f>
        <v>0</v>
      </c>
      <c r="BA438" s="22">
        <f t="shared" si="0"/>
      </c>
      <c r="BG438" s="22">
        <f t="shared" si="1"/>
      </c>
      <c r="BH438" s="22">
        <f t="shared" si="2"/>
        <v>0</v>
      </c>
    </row>
    <row r="439">
      <c r="B439">
        <f>[1]资金台帐!B439&amp;""</f>
      </c>
      <c r="H439">
        <f>[1]资金台帐!H439&amp;""</f>
      </c>
      <c r="J439">
        <f>[1]资金台帐!J439&amp;""</f>
      </c>
      <c r="N439">
        <f>[1]资金台帐!N439</f>
      </c>
      <c r="O439">
        <f>[1]资金台帐!O439&amp;""</f>
      </c>
      <c r="P439">
        <f>[1]资金台帐!P439&amp;""</f>
      </c>
      <c r="Q439">
        <f>[1]资金台帐!Q439&amp;""</f>
      </c>
      <c r="T439">
        <f>[1]资金台帐!T439&amp;""</f>
      </c>
      <c r="U439">
        <f>[1]资金台帐!U439&amp;""</f>
      </c>
      <c r="W439">
        <f>[1]资金台帐!W439&amp;""</f>
      </c>
      <c r="X439">
        <f>[1]资金台帐!X439&amp;""</f>
      </c>
      <c r="AB439">
        <f>[1]资金台帐!AB439</f>
        <v>0</v>
      </c>
      <c r="AC439">
        <f>[1]资金台帐!AC439</f>
        <v>0</v>
      </c>
      <c r="AD439">
        <f>[1]资金台帐!AD439</f>
        <v>0</v>
      </c>
      <c r="AJ439">
        <f>[1]资金台帐!AJ439</f>
        <v>0</v>
      </c>
      <c r="AK439">
        <f>[1]资金台帐!AK439</f>
        <v>0</v>
      </c>
      <c r="BA439" s="22">
        <f t="shared" si="0"/>
      </c>
      <c r="BG439" s="22">
        <f t="shared" si="1"/>
      </c>
      <c r="BH439" s="22">
        <f t="shared" si="2"/>
        <v>0</v>
      </c>
    </row>
    <row r="440">
      <c r="B440">
        <f>[1]资金台帐!B440&amp;""</f>
      </c>
      <c r="H440">
        <f>[1]资金台帐!H440&amp;""</f>
      </c>
      <c r="J440">
        <f>[1]资金台帐!J440&amp;""</f>
      </c>
      <c r="N440">
        <f>[1]资金台帐!N440</f>
      </c>
      <c r="O440">
        <f>[1]资金台帐!O440&amp;""</f>
      </c>
      <c r="P440">
        <f>[1]资金台帐!P440&amp;""</f>
      </c>
      <c r="Q440">
        <f>[1]资金台帐!Q440&amp;""</f>
      </c>
      <c r="T440">
        <f>[1]资金台帐!T440&amp;""</f>
      </c>
      <c r="U440">
        <f>[1]资金台帐!U440&amp;""</f>
      </c>
      <c r="W440">
        <f>[1]资金台帐!W440&amp;""</f>
      </c>
      <c r="X440">
        <f>[1]资金台帐!X440&amp;""</f>
      </c>
      <c r="AB440">
        <f>[1]资金台帐!AB440</f>
        <v>0</v>
      </c>
      <c r="AC440">
        <f>[1]资金台帐!AC440</f>
        <v>0</v>
      </c>
      <c r="AD440">
        <f>[1]资金台帐!AD440</f>
        <v>0</v>
      </c>
      <c r="AJ440">
        <f>[1]资金台帐!AJ440</f>
        <v>0</v>
      </c>
      <c r="AK440">
        <f>[1]资金台帐!AK440</f>
        <v>0</v>
      </c>
      <c r="BA440" s="22">
        <f t="shared" si="0"/>
      </c>
      <c r="BG440" s="22">
        <f t="shared" si="1"/>
      </c>
      <c r="BH440" s="22">
        <f t="shared" si="2"/>
        <v>0</v>
      </c>
    </row>
    <row r="441">
      <c r="B441">
        <f>[1]资金台帐!B441&amp;""</f>
      </c>
      <c r="H441">
        <f>[1]资金台帐!H441&amp;""</f>
      </c>
      <c r="J441">
        <f>[1]资金台帐!J441&amp;""</f>
      </c>
      <c r="N441">
        <f>[1]资金台帐!N441</f>
      </c>
      <c r="O441">
        <f>[1]资金台帐!O441&amp;""</f>
      </c>
      <c r="P441">
        <f>[1]资金台帐!P441&amp;""</f>
      </c>
      <c r="Q441">
        <f>[1]资金台帐!Q441&amp;""</f>
      </c>
      <c r="T441">
        <f>[1]资金台帐!T441&amp;""</f>
      </c>
      <c r="U441">
        <f>[1]资金台帐!U441&amp;""</f>
      </c>
      <c r="W441">
        <f>[1]资金台帐!W441&amp;""</f>
      </c>
      <c r="X441">
        <f>[1]资金台帐!X441&amp;""</f>
      </c>
      <c r="AB441">
        <f>[1]资金台帐!AB441</f>
        <v>0</v>
      </c>
      <c r="AC441">
        <f>[1]资金台帐!AC441</f>
        <v>0</v>
      </c>
      <c r="AD441">
        <f>[1]资金台帐!AD441</f>
        <v>0</v>
      </c>
      <c r="AJ441">
        <f>[1]资金台帐!AJ441</f>
        <v>0</v>
      </c>
      <c r="AK441">
        <f>[1]资金台帐!AK441</f>
        <v>0</v>
      </c>
      <c r="BA441" s="22">
        <f t="shared" si="0"/>
      </c>
      <c r="BG441" s="22">
        <f t="shared" si="1"/>
      </c>
      <c r="BH441" s="22">
        <f t="shared" si="2"/>
        <v>0</v>
      </c>
    </row>
    <row r="442">
      <c r="B442">
        <f>[1]资金台帐!B442&amp;""</f>
      </c>
      <c r="H442">
        <f>[1]资金台帐!H442&amp;""</f>
      </c>
      <c r="J442">
        <f>[1]资金台帐!J442&amp;""</f>
      </c>
      <c r="N442">
        <f>[1]资金台帐!N442</f>
      </c>
      <c r="O442">
        <f>[1]资金台帐!O442&amp;""</f>
      </c>
      <c r="P442">
        <f>[1]资金台帐!P442&amp;""</f>
      </c>
      <c r="Q442">
        <f>[1]资金台帐!Q442&amp;""</f>
      </c>
      <c r="T442">
        <f>[1]资金台帐!T442&amp;""</f>
      </c>
      <c r="U442">
        <f>[1]资金台帐!U442&amp;""</f>
      </c>
      <c r="W442">
        <f>[1]资金台帐!W442&amp;""</f>
      </c>
      <c r="X442">
        <f>[1]资金台帐!X442&amp;""</f>
      </c>
      <c r="AB442">
        <f>[1]资金台帐!AB442</f>
        <v>0</v>
      </c>
      <c r="AC442">
        <f>[1]资金台帐!AC442</f>
        <v>0</v>
      </c>
      <c r="AD442">
        <f>[1]资金台帐!AD442</f>
        <v>0</v>
      </c>
      <c r="AJ442">
        <f>[1]资金台帐!AJ442</f>
        <v>0</v>
      </c>
      <c r="AK442">
        <f>[1]资金台帐!AK442</f>
        <v>0</v>
      </c>
      <c r="BA442" s="22">
        <f t="shared" si="0"/>
      </c>
      <c r="BG442" s="22">
        <f t="shared" si="1"/>
      </c>
      <c r="BH442" s="22">
        <f t="shared" si="2"/>
        <v>0</v>
      </c>
    </row>
    <row r="443">
      <c r="B443">
        <f>[1]资金台帐!B443&amp;""</f>
      </c>
      <c r="H443">
        <f>[1]资金台帐!H443&amp;""</f>
      </c>
      <c r="J443">
        <f>[1]资金台帐!J443&amp;""</f>
      </c>
      <c r="N443">
        <f>[1]资金台帐!N443</f>
      </c>
      <c r="O443">
        <f>[1]资金台帐!O443&amp;""</f>
      </c>
      <c r="P443">
        <f>[1]资金台帐!P443&amp;""</f>
      </c>
      <c r="Q443">
        <f>[1]资金台帐!Q443&amp;""</f>
      </c>
      <c r="T443">
        <f>[1]资金台帐!T443&amp;""</f>
      </c>
      <c r="U443">
        <f>[1]资金台帐!U443&amp;""</f>
      </c>
      <c r="W443">
        <f>[1]资金台帐!W443&amp;""</f>
      </c>
      <c r="X443">
        <f>[1]资金台帐!X443&amp;""</f>
      </c>
      <c r="AB443">
        <f>[1]资金台帐!AB443</f>
        <v>0</v>
      </c>
      <c r="AC443">
        <f>[1]资金台帐!AC443</f>
        <v>0</v>
      </c>
      <c r="AD443">
        <f>[1]资金台帐!AD443</f>
        <v>0</v>
      </c>
      <c r="AJ443">
        <f>[1]资金台帐!AJ443</f>
        <v>0</v>
      </c>
      <c r="AK443">
        <f>[1]资金台帐!AK443</f>
        <v>0</v>
      </c>
      <c r="BA443" s="22">
        <f t="shared" si="0"/>
      </c>
      <c r="BG443" s="22">
        <f t="shared" si="1"/>
      </c>
      <c r="BH443" s="22">
        <f t="shared" si="2"/>
        <v>0</v>
      </c>
    </row>
    <row r="444">
      <c r="B444">
        <f>[1]资金台帐!B444&amp;""</f>
      </c>
      <c r="H444">
        <f>[1]资金台帐!H444&amp;""</f>
      </c>
      <c r="J444">
        <f>[1]资金台帐!J444&amp;""</f>
      </c>
      <c r="N444">
        <f>[1]资金台帐!N444</f>
      </c>
      <c r="O444">
        <f>[1]资金台帐!O444&amp;""</f>
      </c>
      <c r="P444">
        <f>[1]资金台帐!P444&amp;""</f>
      </c>
      <c r="Q444">
        <f>[1]资金台帐!Q444&amp;""</f>
      </c>
      <c r="T444">
        <f>[1]资金台帐!T444&amp;""</f>
      </c>
      <c r="U444">
        <f>[1]资金台帐!U444&amp;""</f>
      </c>
      <c r="W444">
        <f>[1]资金台帐!W444&amp;""</f>
      </c>
      <c r="X444">
        <f>[1]资金台帐!X444&amp;""</f>
      </c>
      <c r="AB444">
        <f>[1]资金台帐!AB444</f>
        <v>0</v>
      </c>
      <c r="AC444">
        <f>[1]资金台帐!AC444</f>
        <v>0</v>
      </c>
      <c r="AD444">
        <f>[1]资金台帐!AD444</f>
        <v>0</v>
      </c>
      <c r="AJ444">
        <f>[1]资金台帐!AJ444</f>
        <v>0</v>
      </c>
      <c r="AK444">
        <f>[1]资金台帐!AK444</f>
        <v>0</v>
      </c>
      <c r="BA444" s="22">
        <f t="shared" si="0"/>
      </c>
      <c r="BG444" s="22">
        <f t="shared" si="1"/>
      </c>
      <c r="BH444" s="22">
        <f t="shared" si="2"/>
        <v>0</v>
      </c>
    </row>
    <row r="445">
      <c r="B445">
        <f>[1]资金台帐!B445&amp;""</f>
      </c>
      <c r="H445">
        <f>[1]资金台帐!H445&amp;""</f>
      </c>
      <c r="J445">
        <f>[1]资金台帐!J445&amp;""</f>
      </c>
      <c r="N445">
        <f>[1]资金台帐!N445</f>
      </c>
      <c r="O445">
        <f>[1]资金台帐!O445&amp;""</f>
      </c>
      <c r="P445">
        <f>[1]资金台帐!P445&amp;""</f>
      </c>
      <c r="Q445">
        <f>[1]资金台帐!Q445&amp;""</f>
      </c>
      <c r="T445">
        <f>[1]资金台帐!T445&amp;""</f>
      </c>
      <c r="U445">
        <f>[1]资金台帐!U445&amp;""</f>
      </c>
      <c r="W445">
        <f>[1]资金台帐!W445&amp;""</f>
      </c>
      <c r="X445">
        <f>[1]资金台帐!X445&amp;""</f>
      </c>
      <c r="AB445">
        <f>[1]资金台帐!AB445</f>
        <v>0</v>
      </c>
      <c r="AC445">
        <f>[1]资金台帐!AC445</f>
        <v>0</v>
      </c>
      <c r="AD445">
        <f>[1]资金台帐!AD445</f>
        <v>0</v>
      </c>
      <c r="AJ445">
        <f>[1]资金台帐!AJ445</f>
        <v>0</v>
      </c>
      <c r="AK445">
        <f>[1]资金台帐!AK445</f>
        <v>0</v>
      </c>
      <c r="BA445" s="22">
        <f t="shared" si="0"/>
      </c>
      <c r="BG445" s="22">
        <f t="shared" si="1"/>
      </c>
      <c r="BH445" s="22">
        <f t="shared" si="2"/>
        <v>0</v>
      </c>
    </row>
    <row r="446">
      <c r="B446">
        <f>[1]资金台帐!B446&amp;""</f>
      </c>
      <c r="H446">
        <f>[1]资金台帐!H446&amp;""</f>
      </c>
      <c r="J446">
        <f>[1]资金台帐!J446&amp;""</f>
      </c>
      <c r="N446">
        <f>[1]资金台帐!N446</f>
      </c>
      <c r="O446">
        <f>[1]资金台帐!O446&amp;""</f>
      </c>
      <c r="P446">
        <f>[1]资金台帐!P446&amp;""</f>
      </c>
      <c r="Q446">
        <f>[1]资金台帐!Q446&amp;""</f>
      </c>
      <c r="T446">
        <f>[1]资金台帐!T446&amp;""</f>
      </c>
      <c r="U446">
        <f>[1]资金台帐!U446&amp;""</f>
      </c>
      <c r="W446">
        <f>[1]资金台帐!W446&amp;""</f>
      </c>
      <c r="X446">
        <f>[1]资金台帐!X446&amp;""</f>
      </c>
      <c r="AB446">
        <f>[1]资金台帐!AB446</f>
        <v>0</v>
      </c>
      <c r="AC446">
        <f>[1]资金台帐!AC446</f>
        <v>0</v>
      </c>
      <c r="AD446">
        <f>[1]资金台帐!AD446</f>
        <v>0</v>
      </c>
      <c r="AJ446">
        <f>[1]资金台帐!AJ446</f>
        <v>0</v>
      </c>
      <c r="AK446">
        <f>[1]资金台帐!AK446</f>
        <v>0</v>
      </c>
      <c r="BA446" s="22">
        <f t="shared" si="0"/>
      </c>
      <c r="BG446" s="22">
        <f t="shared" si="1"/>
      </c>
      <c r="BH446" s="22">
        <f t="shared" si="2"/>
        <v>0</v>
      </c>
    </row>
    <row r="447">
      <c r="B447">
        <f>[1]资金台帐!B447&amp;""</f>
      </c>
      <c r="H447">
        <f>[1]资金台帐!H447&amp;""</f>
      </c>
      <c r="J447">
        <f>[1]资金台帐!J447&amp;""</f>
      </c>
      <c r="N447">
        <f>[1]资金台帐!N447</f>
      </c>
      <c r="O447">
        <f>[1]资金台帐!O447&amp;""</f>
      </c>
      <c r="P447">
        <f>[1]资金台帐!P447&amp;""</f>
      </c>
      <c r="Q447">
        <f>[1]资金台帐!Q447&amp;""</f>
      </c>
      <c r="T447">
        <f>[1]资金台帐!T447&amp;""</f>
      </c>
      <c r="U447">
        <f>[1]资金台帐!U447&amp;""</f>
      </c>
      <c r="W447">
        <f>[1]资金台帐!W447&amp;""</f>
      </c>
      <c r="X447">
        <f>[1]资金台帐!X447&amp;""</f>
      </c>
      <c r="AB447">
        <f>[1]资金台帐!AB447</f>
        <v>0</v>
      </c>
      <c r="AC447">
        <f>[1]资金台帐!AC447</f>
        <v>0</v>
      </c>
      <c r="AD447">
        <f>[1]资金台帐!AD447</f>
        <v>0</v>
      </c>
      <c r="AJ447">
        <f>[1]资金台帐!AJ447</f>
        <v>0</v>
      </c>
      <c r="AK447">
        <f>[1]资金台帐!AK447</f>
        <v>0</v>
      </c>
      <c r="BA447" s="22">
        <f t="shared" si="0"/>
      </c>
      <c r="BG447" s="22">
        <f t="shared" si="1"/>
      </c>
      <c r="BH447" s="22">
        <f t="shared" si="2"/>
        <v>0</v>
      </c>
    </row>
    <row r="448">
      <c r="B448">
        <f>[1]资金台帐!B448&amp;""</f>
      </c>
      <c r="H448">
        <f>[1]资金台帐!H448&amp;""</f>
      </c>
      <c r="J448">
        <f>[1]资金台帐!J448&amp;""</f>
      </c>
      <c r="N448">
        <f>[1]资金台帐!N448</f>
      </c>
      <c r="O448">
        <f>[1]资金台帐!O448&amp;""</f>
      </c>
      <c r="P448">
        <f>[1]资金台帐!P448&amp;""</f>
      </c>
      <c r="Q448">
        <f>[1]资金台帐!Q448&amp;""</f>
      </c>
      <c r="T448">
        <f>[1]资金台帐!T448&amp;""</f>
      </c>
      <c r="U448">
        <f>[1]资金台帐!U448&amp;""</f>
      </c>
      <c r="W448">
        <f>[1]资金台帐!W448&amp;""</f>
      </c>
      <c r="X448">
        <f>[1]资金台帐!X448&amp;""</f>
      </c>
      <c r="AB448">
        <f>[1]资金台帐!AB448</f>
        <v>0</v>
      </c>
      <c r="AC448">
        <f>[1]资金台帐!AC448</f>
        <v>0</v>
      </c>
      <c r="AD448">
        <f>[1]资金台帐!AD448</f>
        <v>0</v>
      </c>
      <c r="AJ448">
        <f>[1]资金台帐!AJ448</f>
        <v>0</v>
      </c>
      <c r="AK448">
        <f>[1]资金台帐!AK448</f>
        <v>0</v>
      </c>
      <c r="BA448" s="22">
        <f t="shared" si="0"/>
      </c>
      <c r="BG448" s="22">
        <f t="shared" si="1"/>
      </c>
      <c r="BH448" s="22">
        <f t="shared" si="2"/>
        <v>0</v>
      </c>
    </row>
    <row r="449">
      <c r="B449">
        <f>[1]资金台帐!B449&amp;""</f>
      </c>
      <c r="H449">
        <f>[1]资金台帐!H449&amp;""</f>
      </c>
      <c r="J449">
        <f>[1]资金台帐!J449&amp;""</f>
      </c>
      <c r="N449">
        <f>[1]资金台帐!N449</f>
      </c>
      <c r="O449">
        <f>[1]资金台帐!O449&amp;""</f>
      </c>
      <c r="P449">
        <f>[1]资金台帐!P449&amp;""</f>
      </c>
      <c r="Q449">
        <f>[1]资金台帐!Q449&amp;""</f>
      </c>
      <c r="T449">
        <f>[1]资金台帐!T449&amp;""</f>
      </c>
      <c r="U449">
        <f>[1]资金台帐!U449&amp;""</f>
      </c>
      <c r="W449">
        <f>[1]资金台帐!W449&amp;""</f>
      </c>
      <c r="X449">
        <f>[1]资金台帐!X449&amp;""</f>
      </c>
      <c r="AB449">
        <f>[1]资金台帐!AB449</f>
        <v>0</v>
      </c>
      <c r="AC449">
        <f>[1]资金台帐!AC449</f>
        <v>0</v>
      </c>
      <c r="AD449">
        <f>[1]资金台帐!AD449</f>
        <v>0</v>
      </c>
      <c r="AJ449">
        <f>[1]资金台帐!AJ449</f>
        <v>0</v>
      </c>
      <c r="AK449">
        <f>[1]资金台帐!AK449</f>
        <v>0</v>
      </c>
      <c r="BA449" s="22">
        <f t="shared" si="0"/>
      </c>
      <c r="BG449" s="22">
        <f t="shared" si="1"/>
      </c>
      <c r="BH449" s="22">
        <f t="shared" si="2"/>
        <v>0</v>
      </c>
    </row>
    <row r="450">
      <c r="B450">
        <f>[1]资金台帐!B450&amp;""</f>
      </c>
      <c r="H450">
        <f>[1]资金台帐!H450&amp;""</f>
      </c>
      <c r="J450">
        <f>[1]资金台帐!J450&amp;""</f>
      </c>
      <c r="N450">
        <f>[1]资金台帐!N450</f>
      </c>
      <c r="O450">
        <f>[1]资金台帐!O450&amp;""</f>
      </c>
      <c r="P450">
        <f>[1]资金台帐!P450&amp;""</f>
      </c>
      <c r="Q450">
        <f>[1]资金台帐!Q450&amp;""</f>
      </c>
      <c r="T450">
        <f>[1]资金台帐!T450&amp;""</f>
      </c>
      <c r="U450">
        <f>[1]资金台帐!U450&amp;""</f>
      </c>
      <c r="W450">
        <f>[1]资金台帐!W450&amp;""</f>
      </c>
      <c r="X450">
        <f>[1]资金台帐!X450&amp;""</f>
      </c>
      <c r="AB450">
        <f>[1]资金台帐!AB450</f>
        <v>0</v>
      </c>
      <c r="AC450">
        <f>[1]资金台帐!AC450</f>
        <v>0</v>
      </c>
      <c r="AD450">
        <f>[1]资金台帐!AD450</f>
        <v>0</v>
      </c>
      <c r="AJ450">
        <f>[1]资金台帐!AJ450</f>
        <v>0</v>
      </c>
      <c r="AK450">
        <f>[1]资金台帐!AK450</f>
        <v>0</v>
      </c>
      <c r="BA450" s="22">
        <f t="shared" si="0"/>
      </c>
      <c r="BG450" s="22">
        <f t="shared" si="1"/>
      </c>
      <c r="BH450" s="22">
        <f t="shared" si="2"/>
        <v>0</v>
      </c>
    </row>
    <row r="451">
      <c r="B451">
        <f>[1]资金台帐!B451&amp;""</f>
      </c>
      <c r="H451">
        <f>[1]资金台帐!H451&amp;""</f>
      </c>
      <c r="J451">
        <f>[1]资金台帐!J451&amp;""</f>
      </c>
      <c r="N451">
        <f>[1]资金台帐!N451</f>
      </c>
      <c r="O451">
        <f>[1]资金台帐!O451&amp;""</f>
      </c>
      <c r="P451">
        <f>[1]资金台帐!P451&amp;""</f>
      </c>
      <c r="Q451">
        <f>[1]资金台帐!Q451&amp;""</f>
      </c>
      <c r="T451">
        <f>[1]资金台帐!T451&amp;""</f>
      </c>
      <c r="U451">
        <f>[1]资金台帐!U451&amp;""</f>
      </c>
      <c r="W451">
        <f>[1]资金台帐!W451&amp;""</f>
      </c>
      <c r="X451">
        <f>[1]资金台帐!X451&amp;""</f>
      </c>
      <c r="AB451">
        <f>[1]资金台帐!AB451</f>
        <v>0</v>
      </c>
      <c r="AC451">
        <f>[1]资金台帐!AC451</f>
        <v>0</v>
      </c>
      <c r="AD451">
        <f>[1]资金台帐!AD451</f>
        <v>0</v>
      </c>
      <c r="AJ451">
        <f>[1]资金台帐!AJ451</f>
        <v>0</v>
      </c>
      <c r="AK451">
        <f>[1]资金台帐!AK451</f>
        <v>0</v>
      </c>
      <c r="BA451" s="22">
        <f t="shared" si="0"/>
      </c>
      <c r="BG451" s="22">
        <f t="shared" si="1"/>
      </c>
      <c r="BH451" s="22">
        <f t="shared" si="2"/>
        <v>0</v>
      </c>
    </row>
    <row r="452">
      <c r="B452">
        <f>[1]资金台帐!B452&amp;""</f>
      </c>
      <c r="H452">
        <f>[1]资金台帐!H452&amp;""</f>
      </c>
      <c r="J452">
        <f>[1]资金台帐!J452&amp;""</f>
      </c>
      <c r="N452">
        <f>[1]资金台帐!N452</f>
      </c>
      <c r="O452">
        <f>[1]资金台帐!O452&amp;""</f>
      </c>
      <c r="P452">
        <f>[1]资金台帐!P452&amp;""</f>
      </c>
      <c r="Q452">
        <f>[1]资金台帐!Q452&amp;""</f>
      </c>
      <c r="T452">
        <f>[1]资金台帐!T452&amp;""</f>
      </c>
      <c r="U452">
        <f>[1]资金台帐!U452&amp;""</f>
      </c>
      <c r="W452">
        <f>[1]资金台帐!W452&amp;""</f>
      </c>
      <c r="X452">
        <f>[1]资金台帐!X452&amp;""</f>
      </c>
      <c r="AB452">
        <f>[1]资金台帐!AB452</f>
        <v>0</v>
      </c>
      <c r="AC452">
        <f>[1]资金台帐!AC452</f>
        <v>0</v>
      </c>
      <c r="AD452">
        <f>[1]资金台帐!AD452</f>
        <v>0</v>
      </c>
      <c r="AJ452">
        <f>[1]资金台帐!AJ452</f>
        <v>0</v>
      </c>
      <c r="AK452">
        <f>[1]资金台帐!AK452</f>
        <v>0</v>
      </c>
      <c r="BA452" s="22">
        <f t="shared" si="0"/>
      </c>
      <c r="BG452" s="22">
        <f t="shared" si="1"/>
      </c>
      <c r="BH452" s="22">
        <f t="shared" si="2"/>
        <v>0</v>
      </c>
    </row>
    <row r="453">
      <c r="B453">
        <f>[1]资金台帐!B453&amp;""</f>
      </c>
      <c r="H453">
        <f>[1]资金台帐!H453&amp;""</f>
      </c>
      <c r="J453">
        <f>[1]资金台帐!J453&amp;""</f>
      </c>
      <c r="N453">
        <f>[1]资金台帐!N453</f>
      </c>
      <c r="O453">
        <f>[1]资金台帐!O453&amp;""</f>
      </c>
      <c r="P453">
        <f>[1]资金台帐!P453&amp;""</f>
      </c>
      <c r="Q453">
        <f>[1]资金台帐!Q453&amp;""</f>
      </c>
      <c r="T453">
        <f>[1]资金台帐!T453&amp;""</f>
      </c>
      <c r="U453">
        <f>[1]资金台帐!U453&amp;""</f>
      </c>
      <c r="W453">
        <f>[1]资金台帐!W453&amp;""</f>
      </c>
      <c r="X453">
        <f>[1]资金台帐!X453&amp;""</f>
      </c>
      <c r="AB453">
        <f>[1]资金台帐!AB453</f>
        <v>0</v>
      </c>
      <c r="AC453">
        <f>[1]资金台帐!AC453</f>
        <v>0</v>
      </c>
      <c r="AD453">
        <f>[1]资金台帐!AD453</f>
        <v>0</v>
      </c>
      <c r="AJ453">
        <f>[1]资金台帐!AJ453</f>
        <v>0</v>
      </c>
      <c r="AK453">
        <f>[1]资金台帐!AK453</f>
        <v>0</v>
      </c>
      <c r="BA453" s="22">
        <f t="shared" si="0"/>
      </c>
      <c r="BG453" s="22">
        <f t="shared" si="1"/>
      </c>
      <c r="BH453" s="22">
        <f t="shared" si="2"/>
        <v>0</v>
      </c>
    </row>
    <row r="454">
      <c r="B454">
        <f>[1]资金台帐!B454&amp;""</f>
      </c>
      <c r="H454">
        <f>[1]资金台帐!H454&amp;""</f>
      </c>
      <c r="J454">
        <f>[1]资金台帐!J454&amp;""</f>
      </c>
      <c r="N454">
        <f>[1]资金台帐!N454</f>
      </c>
      <c r="O454">
        <f>[1]资金台帐!O454&amp;""</f>
      </c>
      <c r="P454">
        <f>[1]资金台帐!P454&amp;""</f>
      </c>
      <c r="Q454">
        <f>[1]资金台帐!Q454&amp;""</f>
      </c>
      <c r="T454">
        <f>[1]资金台帐!T454&amp;""</f>
      </c>
      <c r="U454">
        <f>[1]资金台帐!U454&amp;""</f>
      </c>
      <c r="W454">
        <f>[1]资金台帐!W454&amp;""</f>
      </c>
      <c r="X454">
        <f>[1]资金台帐!X454&amp;""</f>
      </c>
      <c r="AB454">
        <f>[1]资金台帐!AB454</f>
        <v>0</v>
      </c>
      <c r="AC454">
        <f>[1]资金台帐!AC454</f>
        <v>0</v>
      </c>
      <c r="AD454">
        <f>[1]资金台帐!AD454</f>
        <v>0</v>
      </c>
      <c r="AJ454">
        <f>[1]资金台帐!AJ454</f>
        <v>0</v>
      </c>
      <c r="AK454">
        <f>[1]资金台帐!AK454</f>
        <v>0</v>
      </c>
      <c r="BA454" s="22">
        <f t="shared" si="0"/>
      </c>
      <c r="BG454" s="22">
        <f t="shared" si="1"/>
      </c>
      <c r="BH454" s="22">
        <f t="shared" si="2"/>
        <v>0</v>
      </c>
    </row>
    <row r="455">
      <c r="B455">
        <f>[1]资金台帐!B455&amp;""</f>
      </c>
      <c r="H455">
        <f>[1]资金台帐!H455&amp;""</f>
      </c>
      <c r="J455">
        <f>[1]资金台帐!J455&amp;""</f>
      </c>
      <c r="N455">
        <f>[1]资金台帐!N455</f>
      </c>
      <c r="O455">
        <f>[1]资金台帐!O455&amp;""</f>
      </c>
      <c r="P455">
        <f>[1]资金台帐!P455&amp;""</f>
      </c>
      <c r="Q455">
        <f>[1]资金台帐!Q455&amp;""</f>
      </c>
      <c r="T455">
        <f>[1]资金台帐!T455&amp;""</f>
      </c>
      <c r="U455">
        <f>[1]资金台帐!U455&amp;""</f>
      </c>
      <c r="W455">
        <f>[1]资金台帐!W455&amp;""</f>
      </c>
      <c r="X455">
        <f>[1]资金台帐!X455&amp;""</f>
      </c>
      <c r="AB455">
        <f>[1]资金台帐!AB455</f>
        <v>0</v>
      </c>
      <c r="AC455">
        <f>[1]资金台帐!AC455</f>
        <v>0</v>
      </c>
      <c r="AD455">
        <f>[1]资金台帐!AD455</f>
        <v>0</v>
      </c>
      <c r="AJ455">
        <f>[1]资金台帐!AJ455</f>
        <v>0</v>
      </c>
      <c r="AK455">
        <f>[1]资金台帐!AK455</f>
        <v>0</v>
      </c>
      <c r="BA455" s="22">
        <f t="shared" si="0"/>
      </c>
      <c r="BG455" s="22">
        <f t="shared" si="1"/>
      </c>
      <c r="BH455" s="22">
        <f t="shared" si="2"/>
        <v>0</v>
      </c>
    </row>
    <row r="456">
      <c r="B456">
        <f>[1]资金台帐!B456&amp;""</f>
      </c>
      <c r="H456">
        <f>[1]资金台帐!H456&amp;""</f>
      </c>
      <c r="J456">
        <f>[1]资金台帐!J456&amp;""</f>
      </c>
      <c r="N456">
        <f>[1]资金台帐!N456</f>
      </c>
      <c r="O456">
        <f>[1]资金台帐!O456&amp;""</f>
      </c>
      <c r="P456">
        <f>[1]资金台帐!P456&amp;""</f>
      </c>
      <c r="Q456">
        <f>[1]资金台帐!Q456&amp;""</f>
      </c>
      <c r="T456">
        <f>[1]资金台帐!T456&amp;""</f>
      </c>
      <c r="U456">
        <f>[1]资金台帐!U456&amp;""</f>
      </c>
      <c r="W456">
        <f>[1]资金台帐!W456&amp;""</f>
      </c>
      <c r="X456">
        <f>[1]资金台帐!X456&amp;""</f>
      </c>
      <c r="AB456">
        <f>[1]资金台帐!AB456</f>
        <v>0</v>
      </c>
      <c r="AC456">
        <f>[1]资金台帐!AC456</f>
        <v>0</v>
      </c>
      <c r="AD456">
        <f>[1]资金台帐!AD456</f>
        <v>0</v>
      </c>
      <c r="AJ456">
        <f>[1]资金台帐!AJ456</f>
        <v>0</v>
      </c>
      <c r="AK456">
        <f>[1]资金台帐!AK456</f>
        <v>0</v>
      </c>
      <c r="BA456" s="22">
        <f t="shared" si="0"/>
      </c>
      <c r="BG456" s="22">
        <f t="shared" si="1"/>
      </c>
      <c r="BH456" s="22">
        <f t="shared" si="2"/>
        <v>0</v>
      </c>
    </row>
    <row r="457">
      <c r="B457">
        <f>[1]资金台帐!B457&amp;""</f>
      </c>
      <c r="H457">
        <f>[1]资金台帐!H457&amp;""</f>
      </c>
      <c r="J457">
        <f>[1]资金台帐!J457&amp;""</f>
      </c>
      <c r="N457">
        <f>[1]资金台帐!N457</f>
      </c>
      <c r="O457">
        <f>[1]资金台帐!O457&amp;""</f>
      </c>
      <c r="P457">
        <f>[1]资金台帐!P457&amp;""</f>
      </c>
      <c r="Q457">
        <f>[1]资金台帐!Q457&amp;""</f>
      </c>
      <c r="T457">
        <f>[1]资金台帐!T457&amp;""</f>
      </c>
      <c r="U457">
        <f>[1]资金台帐!U457&amp;""</f>
      </c>
      <c r="W457">
        <f>[1]资金台帐!W457&amp;""</f>
      </c>
      <c r="X457">
        <f>[1]资金台帐!X457&amp;""</f>
      </c>
      <c r="AB457">
        <f>[1]资金台帐!AB457</f>
        <v>0</v>
      </c>
      <c r="AC457">
        <f>[1]资金台帐!AC457</f>
        <v>0</v>
      </c>
      <c r="AD457">
        <f>[1]资金台帐!AD457</f>
        <v>0</v>
      </c>
      <c r="AJ457">
        <f>[1]资金台帐!AJ457</f>
        <v>0</v>
      </c>
      <c r="AK457">
        <f>[1]资金台帐!AK457</f>
        <v>0</v>
      </c>
      <c r="BA457" s="22">
        <f t="shared" si="0"/>
      </c>
      <c r="BG457" s="22">
        <f t="shared" si="1"/>
      </c>
      <c r="BH457" s="22">
        <f t="shared" si="2"/>
        <v>0</v>
      </c>
    </row>
    <row r="458">
      <c r="B458">
        <f>[1]资金台帐!B458&amp;""</f>
      </c>
      <c r="H458">
        <f>[1]资金台帐!H458&amp;""</f>
      </c>
      <c r="J458">
        <f>[1]资金台帐!J458&amp;""</f>
      </c>
      <c r="N458">
        <f>[1]资金台帐!N458</f>
      </c>
      <c r="O458">
        <f>[1]资金台帐!O458&amp;""</f>
      </c>
      <c r="P458">
        <f>[1]资金台帐!P458&amp;""</f>
      </c>
      <c r="Q458">
        <f>[1]资金台帐!Q458&amp;""</f>
      </c>
      <c r="T458">
        <f>[1]资金台帐!T458&amp;""</f>
      </c>
      <c r="U458">
        <f>[1]资金台帐!U458&amp;""</f>
      </c>
      <c r="W458">
        <f>[1]资金台帐!W458&amp;""</f>
      </c>
      <c r="X458">
        <f>[1]资金台帐!X458&amp;""</f>
      </c>
      <c r="AB458">
        <f>[1]资金台帐!AB458</f>
        <v>0</v>
      </c>
      <c r="AC458">
        <f>[1]资金台帐!AC458</f>
        <v>0</v>
      </c>
      <c r="AD458">
        <f>[1]资金台帐!AD458</f>
        <v>0</v>
      </c>
      <c r="AJ458">
        <f>[1]资金台帐!AJ458</f>
        <v>0</v>
      </c>
      <c r="AK458">
        <f>[1]资金台帐!AK458</f>
        <v>0</v>
      </c>
      <c r="BA458" s="22">
        <f t="shared" si="0"/>
      </c>
      <c r="BG458" s="22">
        <f t="shared" si="1"/>
      </c>
      <c r="BH458" s="22">
        <f t="shared" si="2"/>
        <v>0</v>
      </c>
    </row>
    <row r="459">
      <c r="B459">
        <f>[1]资金台帐!B459&amp;""</f>
      </c>
      <c r="H459">
        <f>[1]资金台帐!H459&amp;""</f>
      </c>
      <c r="J459">
        <f>[1]资金台帐!J459&amp;""</f>
      </c>
      <c r="N459">
        <f>[1]资金台帐!N459</f>
      </c>
      <c r="O459">
        <f>[1]资金台帐!O459&amp;""</f>
      </c>
      <c r="P459">
        <f>[1]资金台帐!P459&amp;""</f>
      </c>
      <c r="Q459">
        <f>[1]资金台帐!Q459&amp;""</f>
      </c>
      <c r="T459">
        <f>[1]资金台帐!T459&amp;""</f>
      </c>
      <c r="U459">
        <f>[1]资金台帐!U459&amp;""</f>
      </c>
      <c r="W459">
        <f>[1]资金台帐!W459&amp;""</f>
      </c>
      <c r="X459">
        <f>[1]资金台帐!X459&amp;""</f>
      </c>
      <c r="AB459">
        <f>[1]资金台帐!AB459</f>
        <v>0</v>
      </c>
      <c r="AC459">
        <f>[1]资金台帐!AC459</f>
        <v>0</v>
      </c>
      <c r="AD459">
        <f>[1]资金台帐!AD459</f>
        <v>0</v>
      </c>
      <c r="AJ459">
        <f>[1]资金台帐!AJ459</f>
        <v>0</v>
      </c>
      <c r="AK459">
        <f>[1]资金台帐!AK459</f>
        <v>0</v>
      </c>
      <c r="BA459" s="22">
        <f t="shared" si="0"/>
      </c>
      <c r="BG459" s="22">
        <f t="shared" si="1"/>
      </c>
      <c r="BH459" s="22">
        <f t="shared" si="2"/>
        <v>0</v>
      </c>
    </row>
    <row r="460">
      <c r="B460">
        <f>[1]资金台帐!B460&amp;""</f>
      </c>
      <c r="H460">
        <f>[1]资金台帐!H460&amp;""</f>
      </c>
      <c r="J460">
        <f>[1]资金台帐!J460&amp;""</f>
      </c>
      <c r="N460">
        <f>[1]资金台帐!N460</f>
      </c>
      <c r="O460">
        <f>[1]资金台帐!O460&amp;""</f>
      </c>
      <c r="P460">
        <f>[1]资金台帐!P460&amp;""</f>
      </c>
      <c r="Q460">
        <f>[1]资金台帐!Q460&amp;""</f>
      </c>
      <c r="T460">
        <f>[1]资金台帐!T460&amp;""</f>
      </c>
      <c r="U460">
        <f>[1]资金台帐!U460&amp;""</f>
      </c>
      <c r="W460">
        <f>[1]资金台帐!W460&amp;""</f>
      </c>
      <c r="X460">
        <f>[1]资金台帐!X460&amp;""</f>
      </c>
      <c r="AB460">
        <f>[1]资金台帐!AB460</f>
        <v>0</v>
      </c>
      <c r="AC460">
        <f>[1]资金台帐!AC460</f>
        <v>0</v>
      </c>
      <c r="AD460">
        <f>[1]资金台帐!AD460</f>
        <v>0</v>
      </c>
      <c r="AJ460">
        <f>[1]资金台帐!AJ460</f>
        <v>0</v>
      </c>
      <c r="AK460">
        <f>[1]资金台帐!AK460</f>
        <v>0</v>
      </c>
      <c r="BA460" s="22">
        <f t="shared" si="0"/>
      </c>
      <c r="BG460" s="22">
        <f t="shared" si="1"/>
      </c>
      <c r="BH460" s="22">
        <f t="shared" si="2"/>
        <v>0</v>
      </c>
    </row>
    <row r="461">
      <c r="B461">
        <f>[1]资金台帐!B461&amp;""</f>
      </c>
      <c r="H461">
        <f>[1]资金台帐!H461&amp;""</f>
      </c>
      <c r="J461">
        <f>[1]资金台帐!J461&amp;""</f>
      </c>
      <c r="N461">
        <f>[1]资金台帐!N461</f>
      </c>
      <c r="O461">
        <f>[1]资金台帐!O461&amp;""</f>
      </c>
      <c r="P461">
        <f>[1]资金台帐!P461&amp;""</f>
      </c>
      <c r="Q461">
        <f>[1]资金台帐!Q461&amp;""</f>
      </c>
      <c r="T461">
        <f>[1]资金台帐!T461&amp;""</f>
      </c>
      <c r="U461">
        <f>[1]资金台帐!U461&amp;""</f>
      </c>
      <c r="W461">
        <f>[1]资金台帐!W461&amp;""</f>
      </c>
      <c r="X461">
        <f>[1]资金台帐!X461&amp;""</f>
      </c>
      <c r="AB461">
        <f>[1]资金台帐!AB461</f>
        <v>0</v>
      </c>
      <c r="AC461">
        <f>[1]资金台帐!AC461</f>
        <v>0</v>
      </c>
      <c r="AD461">
        <f>[1]资金台帐!AD461</f>
        <v>0</v>
      </c>
      <c r="AJ461">
        <f>[1]资金台帐!AJ461</f>
        <v>0</v>
      </c>
      <c r="AK461">
        <f>[1]资金台帐!AK461</f>
        <v>0</v>
      </c>
      <c r="BA461" s="22">
        <f t="shared" si="0"/>
      </c>
      <c r="BG461" s="22">
        <f t="shared" si="1"/>
      </c>
      <c r="BH461" s="22">
        <f t="shared" si="2"/>
        <v>0</v>
      </c>
    </row>
    <row r="462">
      <c r="B462">
        <f>[1]资金台帐!B462&amp;""</f>
      </c>
      <c r="H462">
        <f>[1]资金台帐!H462&amp;""</f>
      </c>
      <c r="J462">
        <f>[1]资金台帐!J462&amp;""</f>
      </c>
      <c r="N462">
        <f>[1]资金台帐!N462</f>
      </c>
      <c r="O462">
        <f>[1]资金台帐!O462&amp;""</f>
      </c>
      <c r="P462">
        <f>[1]资金台帐!P462&amp;""</f>
      </c>
      <c r="Q462">
        <f>[1]资金台帐!Q462&amp;""</f>
      </c>
      <c r="T462">
        <f>[1]资金台帐!T462&amp;""</f>
      </c>
      <c r="U462">
        <f>[1]资金台帐!U462&amp;""</f>
      </c>
      <c r="W462">
        <f>[1]资金台帐!W462&amp;""</f>
      </c>
      <c r="X462">
        <f>[1]资金台帐!X462&amp;""</f>
      </c>
      <c r="AB462">
        <f>[1]资金台帐!AB462</f>
        <v>0</v>
      </c>
      <c r="AC462">
        <f>[1]资金台帐!AC462</f>
        <v>0</v>
      </c>
      <c r="AD462">
        <f>[1]资金台帐!AD462</f>
        <v>0</v>
      </c>
      <c r="AJ462">
        <f>[1]资金台帐!AJ462</f>
        <v>0</v>
      </c>
      <c r="AK462">
        <f>[1]资金台帐!AK462</f>
        <v>0</v>
      </c>
      <c r="BA462" s="22">
        <f t="shared" si="0"/>
      </c>
      <c r="BG462" s="22">
        <f t="shared" si="1"/>
      </c>
      <c r="BH462" s="22">
        <f t="shared" si="2"/>
        <v>0</v>
      </c>
    </row>
    <row r="463">
      <c r="B463">
        <f>[1]资金台帐!B463&amp;""</f>
      </c>
      <c r="H463">
        <f>[1]资金台帐!H463&amp;""</f>
      </c>
      <c r="J463">
        <f>[1]资金台帐!J463&amp;""</f>
      </c>
      <c r="N463">
        <f>[1]资金台帐!N463</f>
      </c>
      <c r="O463">
        <f>[1]资金台帐!O463&amp;""</f>
      </c>
      <c r="P463">
        <f>[1]资金台帐!P463&amp;""</f>
      </c>
      <c r="Q463">
        <f>[1]资金台帐!Q463&amp;""</f>
      </c>
      <c r="T463">
        <f>[1]资金台帐!T463&amp;""</f>
      </c>
      <c r="U463">
        <f>[1]资金台帐!U463&amp;""</f>
      </c>
      <c r="W463">
        <f>[1]资金台帐!W463&amp;""</f>
      </c>
      <c r="X463">
        <f>[1]资金台帐!X463&amp;""</f>
      </c>
      <c r="AB463">
        <f>[1]资金台帐!AB463</f>
        <v>0</v>
      </c>
      <c r="AC463">
        <f>[1]资金台帐!AC463</f>
        <v>0</v>
      </c>
      <c r="AD463">
        <f>[1]资金台帐!AD463</f>
        <v>0</v>
      </c>
      <c r="AJ463">
        <f>[1]资金台帐!AJ463</f>
        <v>0</v>
      </c>
      <c r="AK463">
        <f>[1]资金台帐!AK463</f>
        <v>0</v>
      </c>
      <c r="BA463" s="22">
        <f t="shared" si="0"/>
      </c>
      <c r="BG463" s="22">
        <f t="shared" si="1"/>
      </c>
      <c r="BH463" s="22">
        <f t="shared" si="2"/>
        <v>0</v>
      </c>
    </row>
    <row r="464">
      <c r="B464">
        <f>[1]资金台帐!B464&amp;""</f>
      </c>
      <c r="H464">
        <f>[1]资金台帐!H464&amp;""</f>
      </c>
      <c r="J464">
        <f>[1]资金台帐!J464&amp;""</f>
      </c>
      <c r="N464">
        <f>[1]资金台帐!N464</f>
      </c>
      <c r="O464">
        <f>[1]资金台帐!O464&amp;""</f>
      </c>
      <c r="P464">
        <f>[1]资金台帐!P464&amp;""</f>
      </c>
      <c r="Q464">
        <f>[1]资金台帐!Q464&amp;""</f>
      </c>
      <c r="T464">
        <f>[1]资金台帐!T464&amp;""</f>
      </c>
      <c r="U464">
        <f>[1]资金台帐!U464&amp;""</f>
      </c>
      <c r="W464">
        <f>[1]资金台帐!W464&amp;""</f>
      </c>
      <c r="X464">
        <f>[1]资金台帐!X464&amp;""</f>
      </c>
      <c r="AB464">
        <f>[1]资金台帐!AB464</f>
        <v>0</v>
      </c>
      <c r="AC464">
        <f>[1]资金台帐!AC464</f>
        <v>0</v>
      </c>
      <c r="AD464">
        <f>[1]资金台帐!AD464</f>
        <v>0</v>
      </c>
      <c r="AJ464">
        <f>[1]资金台帐!AJ464</f>
        <v>0</v>
      </c>
      <c r="AK464">
        <f>[1]资金台帐!AK464</f>
        <v>0</v>
      </c>
      <c r="BA464" s="22">
        <f t="shared" si="0"/>
      </c>
      <c r="BG464" s="22">
        <f t="shared" si="1"/>
      </c>
      <c r="BH464" s="22">
        <f t="shared" si="2"/>
        <v>0</v>
      </c>
    </row>
    <row r="465">
      <c r="B465">
        <f>[1]资金台帐!B465&amp;""</f>
      </c>
      <c r="H465">
        <f>[1]资金台帐!H465&amp;""</f>
      </c>
      <c r="J465">
        <f>[1]资金台帐!J465&amp;""</f>
      </c>
      <c r="N465">
        <f>[1]资金台帐!N465</f>
      </c>
      <c r="O465">
        <f>[1]资金台帐!O465&amp;""</f>
      </c>
      <c r="P465">
        <f>[1]资金台帐!P465&amp;""</f>
      </c>
      <c r="Q465">
        <f>[1]资金台帐!Q465&amp;""</f>
      </c>
      <c r="T465">
        <f>[1]资金台帐!T465&amp;""</f>
      </c>
      <c r="U465">
        <f>[1]资金台帐!U465&amp;""</f>
      </c>
      <c r="W465">
        <f>[1]资金台帐!W465&amp;""</f>
      </c>
      <c r="X465">
        <f>[1]资金台帐!X465&amp;""</f>
      </c>
      <c r="AB465">
        <f>[1]资金台帐!AB465</f>
        <v>0</v>
      </c>
      <c r="AC465">
        <f>[1]资金台帐!AC465</f>
        <v>0</v>
      </c>
      <c r="AD465">
        <f>[1]资金台帐!AD465</f>
        <v>0</v>
      </c>
      <c r="AJ465">
        <f>[1]资金台帐!AJ465</f>
        <v>0</v>
      </c>
      <c r="AK465">
        <f>[1]资金台帐!AK465</f>
        <v>0</v>
      </c>
      <c r="BA465" s="22">
        <f t="shared" si="0"/>
      </c>
      <c r="BG465" s="22">
        <f t="shared" si="1"/>
      </c>
      <c r="BH465" s="22">
        <f t="shared" si="2"/>
        <v>0</v>
      </c>
    </row>
    <row r="466">
      <c r="B466">
        <f>[1]资金台帐!B466&amp;""</f>
      </c>
      <c r="H466">
        <f>[1]资金台帐!H466&amp;""</f>
      </c>
      <c r="J466">
        <f>[1]资金台帐!J466&amp;""</f>
      </c>
      <c r="N466">
        <f>[1]资金台帐!N466</f>
      </c>
      <c r="O466">
        <f>[1]资金台帐!O466&amp;""</f>
      </c>
      <c r="P466">
        <f>[1]资金台帐!P466&amp;""</f>
      </c>
      <c r="Q466">
        <f>[1]资金台帐!Q466&amp;""</f>
      </c>
      <c r="T466">
        <f>[1]资金台帐!T466&amp;""</f>
      </c>
      <c r="U466">
        <f>[1]资金台帐!U466&amp;""</f>
      </c>
      <c r="W466">
        <f>[1]资金台帐!W466&amp;""</f>
      </c>
      <c r="X466">
        <f>[1]资金台帐!X466&amp;""</f>
      </c>
      <c r="AB466">
        <f>[1]资金台帐!AB466</f>
        <v>0</v>
      </c>
      <c r="AC466">
        <f>[1]资金台帐!AC466</f>
        <v>0</v>
      </c>
      <c r="AD466">
        <f>[1]资金台帐!AD466</f>
        <v>0</v>
      </c>
      <c r="AJ466">
        <f>[1]资金台帐!AJ466</f>
        <v>0</v>
      </c>
      <c r="AK466">
        <f>[1]资金台帐!AK466</f>
        <v>0</v>
      </c>
      <c r="BA466" s="22">
        <f t="shared" si="0"/>
      </c>
      <c r="BG466" s="22">
        <f t="shared" si="1"/>
      </c>
      <c r="BH466" s="22">
        <f t="shared" si="2"/>
        <v>0</v>
      </c>
    </row>
    <row r="467">
      <c r="B467">
        <f>[1]资金台帐!B467&amp;""</f>
      </c>
      <c r="H467">
        <f>[1]资金台帐!H467&amp;""</f>
      </c>
      <c r="J467">
        <f>[1]资金台帐!J467&amp;""</f>
      </c>
      <c r="N467">
        <f>[1]资金台帐!N467</f>
      </c>
      <c r="O467">
        <f>[1]资金台帐!O467&amp;""</f>
      </c>
      <c r="P467">
        <f>[1]资金台帐!P467&amp;""</f>
      </c>
      <c r="Q467">
        <f>[1]资金台帐!Q467&amp;""</f>
      </c>
      <c r="T467">
        <f>[1]资金台帐!T467&amp;""</f>
      </c>
      <c r="U467">
        <f>[1]资金台帐!U467&amp;""</f>
      </c>
      <c r="W467">
        <f>[1]资金台帐!W467&amp;""</f>
      </c>
      <c r="X467">
        <f>[1]资金台帐!X467&amp;""</f>
      </c>
      <c r="AB467">
        <f>[1]资金台帐!AB467</f>
        <v>0</v>
      </c>
      <c r="AC467">
        <f>[1]资金台帐!AC467</f>
        <v>0</v>
      </c>
      <c r="AD467">
        <f>[1]资金台帐!AD467</f>
        <v>0</v>
      </c>
      <c r="AJ467">
        <f>[1]资金台帐!AJ467</f>
        <v>0</v>
      </c>
      <c r="AK467">
        <f>[1]资金台帐!AK467</f>
        <v>0</v>
      </c>
      <c r="BA467" s="22">
        <f t="shared" si="0"/>
      </c>
      <c r="BG467" s="22">
        <f t="shared" si="1"/>
      </c>
      <c r="BH467" s="22">
        <f t="shared" si="2"/>
        <v>0</v>
      </c>
    </row>
    <row r="468">
      <c r="B468">
        <f>[1]资金台帐!B468&amp;""</f>
      </c>
      <c r="H468">
        <f>[1]资金台帐!H468&amp;""</f>
      </c>
      <c r="J468">
        <f>[1]资金台帐!J468&amp;""</f>
      </c>
      <c r="N468">
        <f>[1]资金台帐!N468</f>
      </c>
      <c r="O468">
        <f>[1]资金台帐!O468&amp;""</f>
      </c>
      <c r="P468">
        <f>[1]资金台帐!P468&amp;""</f>
      </c>
      <c r="Q468">
        <f>[1]资金台帐!Q468&amp;""</f>
      </c>
      <c r="T468">
        <f>[1]资金台帐!T468&amp;""</f>
      </c>
      <c r="U468">
        <f>[1]资金台帐!U468&amp;""</f>
      </c>
      <c r="W468">
        <f>[1]资金台帐!W468&amp;""</f>
      </c>
      <c r="X468">
        <f>[1]资金台帐!X468&amp;""</f>
      </c>
      <c r="AB468">
        <f>[1]资金台帐!AB468</f>
        <v>0</v>
      </c>
      <c r="AC468">
        <f>[1]资金台帐!AC468</f>
        <v>0</v>
      </c>
      <c r="AD468">
        <f>[1]资金台帐!AD468</f>
        <v>0</v>
      </c>
      <c r="AJ468">
        <f>[1]资金台帐!AJ468</f>
        <v>0</v>
      </c>
      <c r="AK468">
        <f>[1]资金台帐!AK468</f>
        <v>0</v>
      </c>
      <c r="BA468" s="22">
        <f t="shared" si="0"/>
      </c>
      <c r="BG468" s="22">
        <f t="shared" si="1"/>
      </c>
      <c r="BH468" s="22">
        <f t="shared" si="2"/>
        <v>0</v>
      </c>
    </row>
    <row r="469">
      <c r="B469">
        <f>[1]资金台帐!B469&amp;""</f>
      </c>
      <c r="H469">
        <f>[1]资金台帐!H469&amp;""</f>
      </c>
      <c r="J469">
        <f>[1]资金台帐!J469&amp;""</f>
      </c>
      <c r="N469">
        <f>[1]资金台帐!N469</f>
      </c>
      <c r="O469">
        <f>[1]资金台帐!O469&amp;""</f>
      </c>
      <c r="P469">
        <f>[1]资金台帐!P469&amp;""</f>
      </c>
      <c r="Q469">
        <f>[1]资金台帐!Q469&amp;""</f>
      </c>
      <c r="T469">
        <f>[1]资金台帐!T469&amp;""</f>
      </c>
      <c r="U469">
        <f>[1]资金台帐!U469&amp;""</f>
      </c>
      <c r="W469">
        <f>[1]资金台帐!W469&amp;""</f>
      </c>
      <c r="X469">
        <f>[1]资金台帐!X469&amp;""</f>
      </c>
      <c r="AB469">
        <f>[1]资金台帐!AB469</f>
        <v>0</v>
      </c>
      <c r="AC469">
        <f>[1]资金台帐!AC469</f>
        <v>0</v>
      </c>
      <c r="AD469">
        <f>[1]资金台帐!AD469</f>
        <v>0</v>
      </c>
      <c r="AJ469">
        <f>[1]资金台帐!AJ469</f>
        <v>0</v>
      </c>
      <c r="AK469">
        <f>[1]资金台帐!AK469</f>
        <v>0</v>
      </c>
      <c r="BA469" s="22">
        <f t="shared" si="0"/>
      </c>
      <c r="BG469" s="22">
        <f t="shared" si="1"/>
      </c>
      <c r="BH469" s="22">
        <f t="shared" si="2"/>
        <v>0</v>
      </c>
    </row>
    <row r="470">
      <c r="B470">
        <f>[1]资金台帐!B470&amp;""</f>
      </c>
      <c r="H470">
        <f>[1]资金台帐!H470&amp;""</f>
      </c>
      <c r="J470">
        <f>[1]资金台帐!J470&amp;""</f>
      </c>
      <c r="N470">
        <f>[1]资金台帐!N470</f>
      </c>
      <c r="O470">
        <f>[1]资金台帐!O470&amp;""</f>
      </c>
      <c r="P470">
        <f>[1]资金台帐!P470&amp;""</f>
      </c>
      <c r="Q470">
        <f>[1]资金台帐!Q470&amp;""</f>
      </c>
      <c r="T470">
        <f>[1]资金台帐!T470&amp;""</f>
      </c>
      <c r="U470">
        <f>[1]资金台帐!U470&amp;""</f>
      </c>
      <c r="W470">
        <f>[1]资金台帐!W470&amp;""</f>
      </c>
      <c r="X470">
        <f>[1]资金台帐!X470&amp;""</f>
      </c>
      <c r="AB470">
        <f>[1]资金台帐!AB470</f>
        <v>0</v>
      </c>
      <c r="AC470">
        <f>[1]资金台帐!AC470</f>
        <v>0</v>
      </c>
      <c r="AD470">
        <f>[1]资金台帐!AD470</f>
        <v>0</v>
      </c>
      <c r="AJ470">
        <f>[1]资金台帐!AJ470</f>
        <v>0</v>
      </c>
      <c r="AK470">
        <f>[1]资金台帐!AK470</f>
        <v>0</v>
      </c>
      <c r="BA470" s="22">
        <f t="shared" si="0"/>
      </c>
      <c r="BG470" s="22">
        <f t="shared" si="1"/>
      </c>
      <c r="BH470" s="22">
        <f t="shared" si="2"/>
        <v>0</v>
      </c>
    </row>
    <row r="471">
      <c r="B471">
        <f>[1]资金台帐!B471&amp;""</f>
      </c>
      <c r="H471">
        <f>[1]资金台帐!H471&amp;""</f>
      </c>
      <c r="J471">
        <f>[1]资金台帐!J471&amp;""</f>
      </c>
      <c r="N471">
        <f>[1]资金台帐!N471</f>
      </c>
      <c r="O471">
        <f>[1]资金台帐!O471&amp;""</f>
      </c>
      <c r="P471">
        <f>[1]资金台帐!P471&amp;""</f>
      </c>
      <c r="Q471">
        <f>[1]资金台帐!Q471&amp;""</f>
      </c>
      <c r="T471">
        <f>[1]资金台帐!T471&amp;""</f>
      </c>
      <c r="U471">
        <f>[1]资金台帐!U471&amp;""</f>
      </c>
      <c r="W471">
        <f>[1]资金台帐!W471&amp;""</f>
      </c>
      <c r="X471">
        <f>[1]资金台帐!X471&amp;""</f>
      </c>
      <c r="AB471">
        <f>[1]资金台帐!AB471</f>
        <v>0</v>
      </c>
      <c r="AC471">
        <f>[1]资金台帐!AC471</f>
        <v>0</v>
      </c>
      <c r="AD471">
        <f>[1]资金台帐!AD471</f>
        <v>0</v>
      </c>
      <c r="AJ471">
        <f>[1]资金台帐!AJ471</f>
        <v>0</v>
      </c>
      <c r="AK471">
        <f>[1]资金台帐!AK471</f>
        <v>0</v>
      </c>
      <c r="BA471" s="22">
        <f t="shared" si="0"/>
      </c>
      <c r="BG471" s="22">
        <f t="shared" si="1"/>
      </c>
      <c r="BH471" s="22">
        <f t="shared" si="2"/>
        <v>0</v>
      </c>
    </row>
    <row r="472">
      <c r="B472">
        <f>[1]资金台帐!B472&amp;""</f>
      </c>
      <c r="H472">
        <f>[1]资金台帐!H472&amp;""</f>
      </c>
      <c r="J472">
        <f>[1]资金台帐!J472&amp;""</f>
      </c>
      <c r="N472">
        <f>[1]资金台帐!N472</f>
      </c>
      <c r="O472">
        <f>[1]资金台帐!O472&amp;""</f>
      </c>
      <c r="P472">
        <f>[1]资金台帐!P472&amp;""</f>
      </c>
      <c r="Q472">
        <f>[1]资金台帐!Q472&amp;""</f>
      </c>
      <c r="T472">
        <f>[1]资金台帐!T472&amp;""</f>
      </c>
      <c r="U472">
        <f>[1]资金台帐!U472&amp;""</f>
      </c>
      <c r="W472">
        <f>[1]资金台帐!W472&amp;""</f>
      </c>
      <c r="X472">
        <f>[1]资金台帐!X472&amp;""</f>
      </c>
      <c r="AB472">
        <f>[1]资金台帐!AB472</f>
        <v>0</v>
      </c>
      <c r="AC472">
        <f>[1]资金台帐!AC472</f>
        <v>0</v>
      </c>
      <c r="AD472">
        <f>[1]资金台帐!AD472</f>
        <v>0</v>
      </c>
      <c r="AJ472">
        <f>[1]资金台帐!AJ472</f>
        <v>0</v>
      </c>
      <c r="AK472">
        <f>[1]资金台帐!AK472</f>
        <v>0</v>
      </c>
      <c r="BA472" s="22">
        <f t="shared" si="0"/>
      </c>
      <c r="BG472" s="22">
        <f t="shared" si="1"/>
      </c>
      <c r="BH472" s="22">
        <f t="shared" si="2"/>
        <v>0</v>
      </c>
    </row>
    <row r="473">
      <c r="B473">
        <f>[1]资金台帐!B473&amp;""</f>
      </c>
      <c r="H473">
        <f>[1]资金台帐!H473&amp;""</f>
      </c>
      <c r="J473">
        <f>[1]资金台帐!J473&amp;""</f>
      </c>
      <c r="N473">
        <f>[1]资金台帐!N473</f>
      </c>
      <c r="O473">
        <f>[1]资金台帐!O473&amp;""</f>
      </c>
      <c r="P473">
        <f>[1]资金台帐!P473&amp;""</f>
      </c>
      <c r="Q473">
        <f>[1]资金台帐!Q473&amp;""</f>
      </c>
      <c r="T473">
        <f>[1]资金台帐!T473&amp;""</f>
      </c>
      <c r="U473">
        <f>[1]资金台帐!U473&amp;""</f>
      </c>
      <c r="W473">
        <f>[1]资金台帐!W473&amp;""</f>
      </c>
      <c r="X473">
        <f>[1]资金台帐!X473&amp;""</f>
      </c>
      <c r="AB473">
        <f>[1]资金台帐!AB473</f>
        <v>0</v>
      </c>
      <c r="AC473">
        <f>[1]资金台帐!AC473</f>
        <v>0</v>
      </c>
      <c r="AD473">
        <f>[1]资金台帐!AD473</f>
        <v>0</v>
      </c>
      <c r="AJ473">
        <f>[1]资金台帐!AJ473</f>
        <v>0</v>
      </c>
      <c r="AK473">
        <f>[1]资金台帐!AK473</f>
        <v>0</v>
      </c>
      <c r="BA473" s="22">
        <f t="shared" si="0"/>
      </c>
      <c r="BG473" s="22">
        <f t="shared" si="1"/>
      </c>
      <c r="BH473" s="22">
        <f t="shared" si="2"/>
        <v>0</v>
      </c>
    </row>
    <row r="474">
      <c r="B474">
        <f>[1]资金台帐!B474&amp;""</f>
      </c>
      <c r="H474">
        <f>[1]资金台帐!H474&amp;""</f>
      </c>
      <c r="J474">
        <f>[1]资金台帐!J474&amp;""</f>
      </c>
      <c r="N474">
        <f>[1]资金台帐!N474</f>
      </c>
      <c r="O474">
        <f>[1]资金台帐!O474&amp;""</f>
      </c>
      <c r="P474">
        <f>[1]资金台帐!P474&amp;""</f>
      </c>
      <c r="Q474">
        <f>[1]资金台帐!Q474&amp;""</f>
      </c>
      <c r="T474">
        <f>[1]资金台帐!T474&amp;""</f>
      </c>
      <c r="U474">
        <f>[1]资金台帐!U474&amp;""</f>
      </c>
      <c r="W474">
        <f>[1]资金台帐!W474&amp;""</f>
      </c>
      <c r="X474">
        <f>[1]资金台帐!X474&amp;""</f>
      </c>
      <c r="AB474">
        <f>[1]资金台帐!AB474</f>
        <v>0</v>
      </c>
      <c r="AC474">
        <f>[1]资金台帐!AC474</f>
        <v>0</v>
      </c>
      <c r="AD474">
        <f>[1]资金台帐!AD474</f>
        <v>0</v>
      </c>
      <c r="AJ474">
        <f>[1]资金台帐!AJ474</f>
        <v>0</v>
      </c>
      <c r="AK474">
        <f>[1]资金台帐!AK474</f>
        <v>0</v>
      </c>
      <c r="BA474" s="22">
        <f t="shared" si="0"/>
      </c>
      <c r="BG474" s="22">
        <f t="shared" si="1"/>
      </c>
      <c r="BH474" s="22">
        <f t="shared" si="2"/>
        <v>0</v>
      </c>
    </row>
    <row r="475">
      <c r="B475">
        <f>[1]资金台帐!B475&amp;""</f>
      </c>
      <c r="H475">
        <f>[1]资金台帐!H475&amp;""</f>
      </c>
      <c r="J475">
        <f>[1]资金台帐!J475&amp;""</f>
      </c>
      <c r="N475">
        <f>[1]资金台帐!N475</f>
      </c>
      <c r="O475">
        <f>[1]资金台帐!O475&amp;""</f>
      </c>
      <c r="P475">
        <f>[1]资金台帐!P475&amp;""</f>
      </c>
      <c r="Q475">
        <f>[1]资金台帐!Q475&amp;""</f>
      </c>
      <c r="T475">
        <f>[1]资金台帐!T475&amp;""</f>
      </c>
      <c r="U475">
        <f>[1]资金台帐!U475&amp;""</f>
      </c>
      <c r="W475">
        <f>[1]资金台帐!W475&amp;""</f>
      </c>
      <c r="X475">
        <f>[1]资金台帐!X475&amp;""</f>
      </c>
      <c r="AB475">
        <f>[1]资金台帐!AB475</f>
        <v>0</v>
      </c>
      <c r="AC475">
        <f>[1]资金台帐!AC475</f>
        <v>0</v>
      </c>
      <c r="AD475">
        <f>[1]资金台帐!AD475</f>
        <v>0</v>
      </c>
      <c r="AJ475">
        <f>[1]资金台帐!AJ475</f>
        <v>0</v>
      </c>
      <c r="AK475">
        <f>[1]资金台帐!AK475</f>
        <v>0</v>
      </c>
      <c r="BA475" s="22">
        <f t="shared" si="0"/>
      </c>
      <c r="BG475" s="22">
        <f t="shared" si="1"/>
      </c>
      <c r="BH475" s="22">
        <f t="shared" si="2"/>
        <v>0</v>
      </c>
    </row>
    <row r="476">
      <c r="B476">
        <f>[1]资金台帐!B476&amp;""</f>
      </c>
      <c r="H476">
        <f>[1]资金台帐!H476&amp;""</f>
      </c>
      <c r="J476">
        <f>[1]资金台帐!J476&amp;""</f>
      </c>
      <c r="N476">
        <f>[1]资金台帐!N476</f>
      </c>
      <c r="O476">
        <f>[1]资金台帐!O476&amp;""</f>
      </c>
      <c r="P476">
        <f>[1]资金台帐!P476&amp;""</f>
      </c>
      <c r="Q476">
        <f>[1]资金台帐!Q476&amp;""</f>
      </c>
      <c r="T476">
        <f>[1]资金台帐!T476&amp;""</f>
      </c>
      <c r="U476">
        <f>[1]资金台帐!U476&amp;""</f>
      </c>
      <c r="W476">
        <f>[1]资金台帐!W476&amp;""</f>
      </c>
      <c r="X476">
        <f>[1]资金台帐!X476&amp;""</f>
      </c>
      <c r="AB476">
        <f>[1]资金台帐!AB476</f>
        <v>0</v>
      </c>
      <c r="AC476">
        <f>[1]资金台帐!AC476</f>
        <v>0</v>
      </c>
      <c r="AD476">
        <f>[1]资金台帐!AD476</f>
        <v>0</v>
      </c>
      <c r="AJ476">
        <f>[1]资金台帐!AJ476</f>
        <v>0</v>
      </c>
      <c r="AK476">
        <f>[1]资金台帐!AK476</f>
        <v>0</v>
      </c>
      <c r="BA476" s="22">
        <f t="shared" si="0"/>
      </c>
      <c r="BG476" s="22">
        <f t="shared" si="1"/>
      </c>
      <c r="BH476" s="22">
        <f t="shared" si="2"/>
        <v>0</v>
      </c>
    </row>
    <row r="477">
      <c r="B477">
        <f>[1]资金台帐!B477&amp;""</f>
      </c>
      <c r="H477">
        <f>[1]资金台帐!H477&amp;""</f>
      </c>
      <c r="J477">
        <f>[1]资金台帐!J477&amp;""</f>
      </c>
      <c r="N477">
        <f>[1]资金台帐!N477</f>
      </c>
      <c r="O477">
        <f>[1]资金台帐!O477&amp;""</f>
      </c>
      <c r="P477">
        <f>[1]资金台帐!P477&amp;""</f>
      </c>
      <c r="Q477">
        <f>[1]资金台帐!Q477&amp;""</f>
      </c>
      <c r="T477">
        <f>[1]资金台帐!T477&amp;""</f>
      </c>
      <c r="U477">
        <f>[1]资金台帐!U477&amp;""</f>
      </c>
      <c r="W477">
        <f>[1]资金台帐!W477&amp;""</f>
      </c>
      <c r="X477">
        <f>[1]资金台帐!X477&amp;""</f>
      </c>
      <c r="AB477">
        <f>[1]资金台帐!AB477</f>
        <v>0</v>
      </c>
      <c r="AC477">
        <f>[1]资金台帐!AC477</f>
        <v>0</v>
      </c>
      <c r="AD477">
        <f>[1]资金台帐!AD477</f>
        <v>0</v>
      </c>
      <c r="AJ477">
        <f>[1]资金台帐!AJ477</f>
        <v>0</v>
      </c>
      <c r="AK477">
        <f>[1]资金台帐!AK477</f>
        <v>0</v>
      </c>
      <c r="BA477" s="22">
        <f t="shared" si="0"/>
      </c>
      <c r="BG477" s="22">
        <f t="shared" si="1"/>
      </c>
      <c r="BH477" s="22">
        <f t="shared" si="2"/>
        <v>0</v>
      </c>
    </row>
    <row r="478">
      <c r="B478">
        <f>[1]资金台帐!B478&amp;""</f>
      </c>
      <c r="H478">
        <f>[1]资金台帐!H478&amp;""</f>
      </c>
      <c r="J478">
        <f>[1]资金台帐!J478&amp;""</f>
      </c>
      <c r="N478">
        <f>[1]资金台帐!N478</f>
      </c>
      <c r="O478">
        <f>[1]资金台帐!O478&amp;""</f>
      </c>
      <c r="P478">
        <f>[1]资金台帐!P478&amp;""</f>
      </c>
      <c r="Q478">
        <f>[1]资金台帐!Q478&amp;""</f>
      </c>
      <c r="T478">
        <f>[1]资金台帐!T478&amp;""</f>
      </c>
      <c r="U478">
        <f>[1]资金台帐!U478&amp;""</f>
      </c>
      <c r="W478">
        <f>[1]资金台帐!W478&amp;""</f>
      </c>
      <c r="X478">
        <f>[1]资金台帐!X478&amp;""</f>
      </c>
      <c r="AB478">
        <f>[1]资金台帐!AB478</f>
        <v>0</v>
      </c>
      <c r="AC478">
        <f>[1]资金台帐!AC478</f>
        <v>0</v>
      </c>
      <c r="AD478">
        <f>[1]资金台帐!AD478</f>
        <v>0</v>
      </c>
      <c r="AJ478">
        <f>[1]资金台帐!AJ478</f>
        <v>0</v>
      </c>
      <c r="AK478">
        <f>[1]资金台帐!AK478</f>
        <v>0</v>
      </c>
      <c r="BA478" s="22">
        <f t="shared" si="0"/>
      </c>
      <c r="BG478" s="22">
        <f t="shared" si="1"/>
      </c>
      <c r="BH478" s="22">
        <f t="shared" si="2"/>
        <v>0</v>
      </c>
    </row>
    <row r="479">
      <c r="B479">
        <f>[1]资金台帐!B479&amp;""</f>
      </c>
      <c r="H479">
        <f>[1]资金台帐!H479&amp;""</f>
      </c>
      <c r="J479">
        <f>[1]资金台帐!J479&amp;""</f>
      </c>
      <c r="N479">
        <f>[1]资金台帐!N479</f>
      </c>
      <c r="O479">
        <f>[1]资金台帐!O479&amp;""</f>
      </c>
      <c r="P479">
        <f>[1]资金台帐!P479&amp;""</f>
      </c>
      <c r="Q479">
        <f>[1]资金台帐!Q479&amp;""</f>
      </c>
      <c r="T479">
        <f>[1]资金台帐!T479&amp;""</f>
      </c>
      <c r="U479">
        <f>[1]资金台帐!U479&amp;""</f>
      </c>
      <c r="W479">
        <f>[1]资金台帐!W479&amp;""</f>
      </c>
      <c r="X479">
        <f>[1]资金台帐!X479&amp;""</f>
      </c>
      <c r="AB479">
        <f>[1]资金台帐!AB479</f>
        <v>0</v>
      </c>
      <c r="AC479">
        <f>[1]资金台帐!AC479</f>
        <v>0</v>
      </c>
      <c r="AD479">
        <f>[1]资金台帐!AD479</f>
        <v>0</v>
      </c>
      <c r="AJ479">
        <f>[1]资金台帐!AJ479</f>
        <v>0</v>
      </c>
      <c r="AK479">
        <f>[1]资金台帐!AK479</f>
        <v>0</v>
      </c>
      <c r="BA479" s="22">
        <f t="shared" si="0"/>
      </c>
      <c r="BG479" s="22">
        <f t="shared" si="1"/>
      </c>
      <c r="BH479" s="22">
        <f t="shared" si="2"/>
        <v>0</v>
      </c>
    </row>
    <row r="480">
      <c r="B480">
        <f>[1]资金台帐!B480&amp;""</f>
      </c>
      <c r="H480">
        <f>[1]资金台帐!H480&amp;""</f>
      </c>
      <c r="J480">
        <f>[1]资金台帐!J480&amp;""</f>
      </c>
      <c r="N480">
        <f>[1]资金台帐!N480</f>
      </c>
      <c r="O480">
        <f>[1]资金台帐!O480&amp;""</f>
      </c>
      <c r="P480">
        <f>[1]资金台帐!P480&amp;""</f>
      </c>
      <c r="Q480">
        <f>[1]资金台帐!Q480&amp;""</f>
      </c>
      <c r="T480">
        <f>[1]资金台帐!T480&amp;""</f>
      </c>
      <c r="U480">
        <f>[1]资金台帐!U480&amp;""</f>
      </c>
      <c r="W480">
        <f>[1]资金台帐!W480&amp;""</f>
      </c>
      <c r="X480">
        <f>[1]资金台帐!X480&amp;""</f>
      </c>
      <c r="AB480">
        <f>[1]资金台帐!AB480</f>
        <v>0</v>
      </c>
      <c r="AC480">
        <f>[1]资金台帐!AC480</f>
        <v>0</v>
      </c>
      <c r="AD480">
        <f>[1]资金台帐!AD480</f>
        <v>0</v>
      </c>
      <c r="AJ480">
        <f>[1]资金台帐!AJ480</f>
        <v>0</v>
      </c>
      <c r="AK480">
        <f>[1]资金台帐!AK480</f>
        <v>0</v>
      </c>
      <c r="BA480" s="22">
        <f t="shared" si="0"/>
      </c>
      <c r="BG480" s="22">
        <f t="shared" si="1"/>
      </c>
      <c r="BH480" s="22">
        <f t="shared" si="2"/>
        <v>0</v>
      </c>
    </row>
    <row r="481">
      <c r="B481">
        <f>[1]资金台帐!B481&amp;""</f>
      </c>
      <c r="H481">
        <f>[1]资金台帐!H481&amp;""</f>
      </c>
      <c r="J481">
        <f>[1]资金台帐!J481&amp;""</f>
      </c>
      <c r="N481">
        <f>[1]资金台帐!N481</f>
      </c>
      <c r="O481">
        <f>[1]资金台帐!O481&amp;""</f>
      </c>
      <c r="P481">
        <f>[1]资金台帐!P481&amp;""</f>
      </c>
      <c r="Q481">
        <f>[1]资金台帐!Q481&amp;""</f>
      </c>
      <c r="T481">
        <f>[1]资金台帐!T481&amp;""</f>
      </c>
      <c r="U481">
        <f>[1]资金台帐!U481&amp;""</f>
      </c>
      <c r="W481">
        <f>[1]资金台帐!W481&amp;""</f>
      </c>
      <c r="X481">
        <f>[1]资金台帐!X481&amp;""</f>
      </c>
      <c r="AB481">
        <f>[1]资金台帐!AB481</f>
        <v>0</v>
      </c>
      <c r="AC481">
        <f>[1]资金台帐!AC481</f>
        <v>0</v>
      </c>
      <c r="AD481">
        <f>[1]资金台帐!AD481</f>
        <v>0</v>
      </c>
      <c r="AJ481">
        <f>[1]资金台帐!AJ481</f>
        <v>0</v>
      </c>
      <c r="AK481">
        <f>[1]资金台帐!AK481</f>
        <v>0</v>
      </c>
      <c r="BA481" s="22">
        <f t="shared" si="0"/>
      </c>
      <c r="BG481" s="22">
        <f t="shared" si="1"/>
      </c>
      <c r="BH481" s="22">
        <f t="shared" si="2"/>
        <v>0</v>
      </c>
    </row>
    <row r="482">
      <c r="B482">
        <f>[1]资金台帐!B482&amp;""</f>
      </c>
      <c r="H482">
        <f>[1]资金台帐!H482&amp;""</f>
      </c>
      <c r="J482">
        <f>[1]资金台帐!J482&amp;""</f>
      </c>
      <c r="N482">
        <f>[1]资金台帐!N482</f>
      </c>
      <c r="O482">
        <f>[1]资金台帐!O482&amp;""</f>
      </c>
      <c r="P482">
        <f>[1]资金台帐!P482&amp;""</f>
      </c>
      <c r="Q482">
        <f>[1]资金台帐!Q482&amp;""</f>
      </c>
      <c r="T482">
        <f>[1]资金台帐!T482&amp;""</f>
      </c>
      <c r="U482">
        <f>[1]资金台帐!U482&amp;""</f>
      </c>
      <c r="W482">
        <f>[1]资金台帐!W482&amp;""</f>
      </c>
      <c r="X482">
        <f>[1]资金台帐!X482&amp;""</f>
      </c>
      <c r="AB482">
        <f>[1]资金台帐!AB482</f>
        <v>0</v>
      </c>
      <c r="AC482">
        <f>[1]资金台帐!AC482</f>
        <v>0</v>
      </c>
      <c r="AD482">
        <f>[1]资金台帐!AD482</f>
        <v>0</v>
      </c>
      <c r="AJ482">
        <f>[1]资金台帐!AJ482</f>
        <v>0</v>
      </c>
      <c r="AK482">
        <f>[1]资金台帐!AK482</f>
        <v>0</v>
      </c>
      <c r="BA482" s="22">
        <f t="shared" si="0"/>
      </c>
      <c r="BG482" s="22">
        <f t="shared" si="1"/>
      </c>
      <c r="BH482" s="22">
        <f t="shared" si="2"/>
        <v>0</v>
      </c>
    </row>
    <row r="483">
      <c r="B483">
        <f>[1]资金台帐!B483&amp;""</f>
      </c>
      <c r="H483">
        <f>[1]资金台帐!H483&amp;""</f>
      </c>
      <c r="J483">
        <f>[1]资金台帐!J483&amp;""</f>
      </c>
      <c r="N483">
        <f>[1]资金台帐!N483</f>
      </c>
      <c r="O483">
        <f>[1]资金台帐!O483&amp;""</f>
      </c>
      <c r="P483">
        <f>[1]资金台帐!P483&amp;""</f>
      </c>
      <c r="Q483">
        <f>[1]资金台帐!Q483&amp;""</f>
      </c>
      <c r="T483">
        <f>[1]资金台帐!T483&amp;""</f>
      </c>
      <c r="U483">
        <f>[1]资金台帐!U483&amp;""</f>
      </c>
      <c r="W483">
        <f>[1]资金台帐!W483&amp;""</f>
      </c>
      <c r="X483">
        <f>[1]资金台帐!X483&amp;""</f>
      </c>
      <c r="AB483">
        <f>[1]资金台帐!AB483</f>
        <v>0</v>
      </c>
      <c r="AC483">
        <f>[1]资金台帐!AC483</f>
        <v>0</v>
      </c>
      <c r="AD483">
        <f>[1]资金台帐!AD483</f>
        <v>0</v>
      </c>
      <c r="AJ483">
        <f>[1]资金台帐!AJ483</f>
        <v>0</v>
      </c>
      <c r="AK483">
        <f>[1]资金台帐!AK483</f>
        <v>0</v>
      </c>
      <c r="BA483" s="22">
        <f t="shared" si="0"/>
      </c>
      <c r="BG483" s="22">
        <f t="shared" si="1"/>
      </c>
      <c r="BH483" s="22">
        <f t="shared" si="2"/>
        <v>0</v>
      </c>
    </row>
    <row r="484">
      <c r="B484">
        <f>[1]资金台帐!B484&amp;""</f>
      </c>
      <c r="H484">
        <f>[1]资金台帐!H484&amp;""</f>
      </c>
      <c r="J484">
        <f>[1]资金台帐!J484&amp;""</f>
      </c>
      <c r="N484">
        <f>[1]资金台帐!N484</f>
      </c>
      <c r="O484">
        <f>[1]资金台帐!O484&amp;""</f>
      </c>
      <c r="P484">
        <f>[1]资金台帐!P484&amp;""</f>
      </c>
      <c r="Q484">
        <f>[1]资金台帐!Q484&amp;""</f>
      </c>
      <c r="T484">
        <f>[1]资金台帐!T484&amp;""</f>
      </c>
      <c r="U484">
        <f>[1]资金台帐!U484&amp;""</f>
      </c>
      <c r="W484">
        <f>[1]资金台帐!W484&amp;""</f>
      </c>
      <c r="X484">
        <f>[1]资金台帐!X484&amp;""</f>
      </c>
      <c r="AB484">
        <f>[1]资金台帐!AB484</f>
        <v>0</v>
      </c>
      <c r="AC484">
        <f>[1]资金台帐!AC484</f>
        <v>0</v>
      </c>
      <c r="AD484">
        <f>[1]资金台帐!AD484</f>
        <v>0</v>
      </c>
      <c r="AJ484">
        <f>[1]资金台帐!AJ484</f>
        <v>0</v>
      </c>
      <c r="AK484">
        <f>[1]资金台帐!AK484</f>
        <v>0</v>
      </c>
      <c r="BA484" s="22">
        <f t="shared" si="0"/>
      </c>
      <c r="BG484" s="22">
        <f t="shared" si="1"/>
      </c>
      <c r="BH484" s="22">
        <f t="shared" si="2"/>
        <v>0</v>
      </c>
    </row>
    <row r="485">
      <c r="B485">
        <f>[1]资金台帐!B485&amp;""</f>
      </c>
      <c r="H485">
        <f>[1]资金台帐!H485&amp;""</f>
      </c>
      <c r="J485">
        <f>[1]资金台帐!J485&amp;""</f>
      </c>
      <c r="N485">
        <f>[1]资金台帐!N485</f>
      </c>
      <c r="O485">
        <f>[1]资金台帐!O485&amp;""</f>
      </c>
      <c r="P485">
        <f>[1]资金台帐!P485&amp;""</f>
      </c>
      <c r="Q485">
        <f>[1]资金台帐!Q485&amp;""</f>
      </c>
      <c r="T485">
        <f>[1]资金台帐!T485&amp;""</f>
      </c>
      <c r="U485">
        <f>[1]资金台帐!U485&amp;""</f>
      </c>
      <c r="W485">
        <f>[1]资金台帐!W485&amp;""</f>
      </c>
      <c r="X485">
        <f>[1]资金台帐!X485&amp;""</f>
      </c>
      <c r="AB485">
        <f>[1]资金台帐!AB485</f>
        <v>0</v>
      </c>
      <c r="AC485">
        <f>[1]资金台帐!AC485</f>
        <v>0</v>
      </c>
      <c r="AD485">
        <f>[1]资金台帐!AD485</f>
        <v>0</v>
      </c>
      <c r="AJ485">
        <f>[1]资金台帐!AJ485</f>
        <v>0</v>
      </c>
      <c r="AK485">
        <f>[1]资金台帐!AK485</f>
        <v>0</v>
      </c>
      <c r="BA485" s="22">
        <f t="shared" si="0"/>
      </c>
      <c r="BG485" s="22">
        <f t="shared" si="1"/>
      </c>
      <c r="BH485" s="22">
        <f t="shared" si="2"/>
        <v>0</v>
      </c>
    </row>
    <row r="486">
      <c r="B486">
        <f>[1]资金台帐!B486&amp;""</f>
      </c>
      <c r="H486">
        <f>[1]资金台帐!H486&amp;""</f>
      </c>
      <c r="J486">
        <f>[1]资金台帐!J486&amp;""</f>
      </c>
      <c r="N486">
        <f>[1]资金台帐!N486</f>
      </c>
      <c r="O486">
        <f>[1]资金台帐!O486&amp;""</f>
      </c>
      <c r="P486">
        <f>[1]资金台帐!P486&amp;""</f>
      </c>
      <c r="Q486">
        <f>[1]资金台帐!Q486&amp;""</f>
      </c>
      <c r="T486">
        <f>[1]资金台帐!T486&amp;""</f>
      </c>
      <c r="U486">
        <f>[1]资金台帐!U486&amp;""</f>
      </c>
      <c r="W486">
        <f>[1]资金台帐!W486&amp;""</f>
      </c>
      <c r="X486">
        <f>[1]资金台帐!X486&amp;""</f>
      </c>
      <c r="AB486">
        <f>[1]资金台帐!AB486</f>
        <v>0</v>
      </c>
      <c r="AC486">
        <f>[1]资金台帐!AC486</f>
        <v>0</v>
      </c>
      <c r="AD486">
        <f>[1]资金台帐!AD486</f>
        <v>0</v>
      </c>
      <c r="AJ486">
        <f>[1]资金台帐!AJ486</f>
        <v>0</v>
      </c>
      <c r="AK486">
        <f>[1]资金台帐!AK486</f>
        <v>0</v>
      </c>
      <c r="BA486" s="22">
        <f t="shared" si="0"/>
      </c>
      <c r="BG486" s="22">
        <f t="shared" si="1"/>
      </c>
      <c r="BH486" s="22">
        <f t="shared" si="2"/>
        <v>0</v>
      </c>
    </row>
    <row r="487">
      <c r="B487">
        <f>[1]资金台帐!B487&amp;""</f>
      </c>
      <c r="H487">
        <f>[1]资金台帐!H487&amp;""</f>
      </c>
      <c r="J487">
        <f>[1]资金台帐!J487&amp;""</f>
      </c>
      <c r="N487">
        <f>[1]资金台帐!N487</f>
      </c>
      <c r="O487">
        <f>[1]资金台帐!O487&amp;""</f>
      </c>
      <c r="P487">
        <f>[1]资金台帐!P487&amp;""</f>
      </c>
      <c r="Q487">
        <f>[1]资金台帐!Q487&amp;""</f>
      </c>
      <c r="T487">
        <f>[1]资金台帐!T487&amp;""</f>
      </c>
      <c r="U487">
        <f>[1]资金台帐!U487&amp;""</f>
      </c>
      <c r="W487">
        <f>[1]资金台帐!W487&amp;""</f>
      </c>
      <c r="X487">
        <f>[1]资金台帐!X487&amp;""</f>
      </c>
      <c r="AB487">
        <f>[1]资金台帐!AB487</f>
        <v>0</v>
      </c>
      <c r="AC487">
        <f>[1]资金台帐!AC487</f>
        <v>0</v>
      </c>
      <c r="AD487">
        <f>[1]资金台帐!AD487</f>
        <v>0</v>
      </c>
      <c r="AJ487">
        <f>[1]资金台帐!AJ487</f>
        <v>0</v>
      </c>
      <c r="AK487">
        <f>[1]资金台帐!AK487</f>
        <v>0</v>
      </c>
      <c r="BA487" s="22">
        <f t="shared" si="0"/>
      </c>
      <c r="BG487" s="22">
        <f t="shared" si="1"/>
      </c>
      <c r="BH487" s="22">
        <f t="shared" si="2"/>
        <v>0</v>
      </c>
    </row>
    <row r="488">
      <c r="B488">
        <f>[1]资金台帐!B488&amp;""</f>
      </c>
      <c r="H488">
        <f>[1]资金台帐!H488&amp;""</f>
      </c>
      <c r="J488">
        <f>[1]资金台帐!J488&amp;""</f>
      </c>
      <c r="N488">
        <f>[1]资金台帐!N488</f>
      </c>
      <c r="O488">
        <f>[1]资金台帐!O488&amp;""</f>
      </c>
      <c r="P488">
        <f>[1]资金台帐!P488&amp;""</f>
      </c>
      <c r="Q488">
        <f>[1]资金台帐!Q488&amp;""</f>
      </c>
      <c r="T488">
        <f>[1]资金台帐!T488&amp;""</f>
      </c>
      <c r="U488">
        <f>[1]资金台帐!U488&amp;""</f>
      </c>
      <c r="W488">
        <f>[1]资金台帐!W488&amp;""</f>
      </c>
      <c r="X488">
        <f>[1]资金台帐!X488&amp;""</f>
      </c>
      <c r="AB488">
        <f>[1]资金台帐!AB488</f>
        <v>0</v>
      </c>
      <c r="AC488">
        <f>[1]资金台帐!AC488</f>
        <v>0</v>
      </c>
      <c r="AD488">
        <f>[1]资金台帐!AD488</f>
        <v>0</v>
      </c>
      <c r="AJ488">
        <f>[1]资金台帐!AJ488</f>
        <v>0</v>
      </c>
      <c r="AK488">
        <f>[1]资金台帐!AK488</f>
        <v>0</v>
      </c>
      <c r="BA488" s="22">
        <f t="shared" si="0"/>
      </c>
      <c r="BG488" s="22">
        <f t="shared" si="1"/>
      </c>
      <c r="BH488" s="22">
        <f t="shared" si="2"/>
        <v>0</v>
      </c>
    </row>
    <row r="489">
      <c r="B489">
        <f>[1]资金台帐!B489&amp;""</f>
      </c>
      <c r="H489">
        <f>[1]资金台帐!H489&amp;""</f>
      </c>
      <c r="J489">
        <f>[1]资金台帐!J489&amp;""</f>
      </c>
      <c r="N489">
        <f>[1]资金台帐!N489</f>
      </c>
      <c r="O489">
        <f>[1]资金台帐!O489&amp;""</f>
      </c>
      <c r="P489">
        <f>[1]资金台帐!P489&amp;""</f>
      </c>
      <c r="Q489">
        <f>[1]资金台帐!Q489&amp;""</f>
      </c>
      <c r="T489">
        <f>[1]资金台帐!T489&amp;""</f>
      </c>
      <c r="U489">
        <f>[1]资金台帐!U489&amp;""</f>
      </c>
      <c r="W489">
        <f>[1]资金台帐!W489&amp;""</f>
      </c>
      <c r="X489">
        <f>[1]资金台帐!X489&amp;""</f>
      </c>
      <c r="AB489">
        <f>[1]资金台帐!AB489</f>
        <v>0</v>
      </c>
      <c r="AC489">
        <f>[1]资金台帐!AC489</f>
        <v>0</v>
      </c>
      <c r="AD489">
        <f>[1]资金台帐!AD489</f>
        <v>0</v>
      </c>
      <c r="AJ489">
        <f>[1]资金台帐!AJ489</f>
        <v>0</v>
      </c>
      <c r="AK489">
        <f>[1]资金台帐!AK489</f>
        <v>0</v>
      </c>
      <c r="BA489" s="22">
        <f t="shared" si="0"/>
      </c>
      <c r="BG489" s="22">
        <f t="shared" si="1"/>
      </c>
      <c r="BH489" s="22">
        <f t="shared" si="2"/>
        <v>0</v>
      </c>
    </row>
    <row r="490">
      <c r="B490">
        <f>[1]资金台帐!B490&amp;""</f>
      </c>
      <c r="H490">
        <f>[1]资金台帐!H490&amp;""</f>
      </c>
      <c r="J490">
        <f>[1]资金台帐!J490&amp;""</f>
      </c>
      <c r="N490">
        <f>[1]资金台帐!N490</f>
      </c>
      <c r="O490">
        <f>[1]资金台帐!O490&amp;""</f>
      </c>
      <c r="P490">
        <f>[1]资金台帐!P490&amp;""</f>
      </c>
      <c r="Q490">
        <f>[1]资金台帐!Q490&amp;""</f>
      </c>
      <c r="T490">
        <f>[1]资金台帐!T490&amp;""</f>
      </c>
      <c r="U490">
        <f>[1]资金台帐!U490&amp;""</f>
      </c>
      <c r="W490">
        <f>[1]资金台帐!W490&amp;""</f>
      </c>
      <c r="X490">
        <f>[1]资金台帐!X490&amp;""</f>
      </c>
      <c r="AB490">
        <f>[1]资金台帐!AB490</f>
        <v>0</v>
      </c>
      <c r="AC490">
        <f>[1]资金台帐!AC490</f>
        <v>0</v>
      </c>
      <c r="AD490">
        <f>[1]资金台帐!AD490</f>
        <v>0</v>
      </c>
      <c r="AJ490">
        <f>[1]资金台帐!AJ490</f>
        <v>0</v>
      </c>
      <c r="AK490">
        <f>[1]资金台帐!AK490</f>
        <v>0</v>
      </c>
      <c r="BA490" s="22">
        <f t="shared" si="0"/>
      </c>
      <c r="BG490" s="22">
        <f t="shared" si="1"/>
      </c>
      <c r="BH490" s="22">
        <f t="shared" si="2"/>
        <v>0</v>
      </c>
    </row>
    <row r="491">
      <c r="B491">
        <f>[1]资金台帐!B491&amp;""</f>
      </c>
      <c r="H491">
        <f>[1]资金台帐!H491&amp;""</f>
      </c>
      <c r="J491">
        <f>[1]资金台帐!J491&amp;""</f>
      </c>
      <c r="N491">
        <f>[1]资金台帐!N491</f>
      </c>
      <c r="O491">
        <f>[1]资金台帐!O491&amp;""</f>
      </c>
      <c r="P491">
        <f>[1]资金台帐!P491&amp;""</f>
      </c>
      <c r="Q491">
        <f>[1]资金台帐!Q491&amp;""</f>
      </c>
      <c r="T491">
        <f>[1]资金台帐!T491&amp;""</f>
      </c>
      <c r="U491">
        <f>[1]资金台帐!U491&amp;""</f>
      </c>
      <c r="W491">
        <f>[1]资金台帐!W491&amp;""</f>
      </c>
      <c r="X491">
        <f>[1]资金台帐!X491&amp;""</f>
      </c>
      <c r="AB491">
        <f>[1]资金台帐!AB491</f>
        <v>0</v>
      </c>
      <c r="AC491">
        <f>[1]资金台帐!AC491</f>
        <v>0</v>
      </c>
      <c r="AD491">
        <f>[1]资金台帐!AD491</f>
        <v>0</v>
      </c>
      <c r="AJ491">
        <f>[1]资金台帐!AJ491</f>
        <v>0</v>
      </c>
      <c r="AK491">
        <f>[1]资金台帐!AK491</f>
        <v>0</v>
      </c>
      <c r="BA491" s="22">
        <f t="shared" si="0"/>
      </c>
      <c r="BG491" s="22">
        <f t="shared" si="1"/>
      </c>
      <c r="BH491" s="22">
        <f t="shared" si="2"/>
        <v>0</v>
      </c>
    </row>
    <row r="492">
      <c r="B492">
        <f>[1]资金台帐!B492&amp;""</f>
      </c>
      <c r="H492">
        <f>[1]资金台帐!H492&amp;""</f>
      </c>
      <c r="J492">
        <f>[1]资金台帐!J492&amp;""</f>
      </c>
      <c r="N492">
        <f>[1]资金台帐!N492</f>
      </c>
      <c r="O492">
        <f>[1]资金台帐!O492&amp;""</f>
      </c>
      <c r="P492">
        <f>[1]资金台帐!P492&amp;""</f>
      </c>
      <c r="Q492">
        <f>[1]资金台帐!Q492&amp;""</f>
      </c>
      <c r="T492">
        <f>[1]资金台帐!T492&amp;""</f>
      </c>
      <c r="U492">
        <f>[1]资金台帐!U492&amp;""</f>
      </c>
      <c r="W492">
        <f>[1]资金台帐!W492&amp;""</f>
      </c>
      <c r="X492">
        <f>[1]资金台帐!X492&amp;""</f>
      </c>
      <c r="AB492">
        <f>[1]资金台帐!AB492</f>
        <v>0</v>
      </c>
      <c r="AC492">
        <f>[1]资金台帐!AC492</f>
        <v>0</v>
      </c>
      <c r="AD492">
        <f>[1]资金台帐!AD492</f>
        <v>0</v>
      </c>
      <c r="AJ492">
        <f>[1]资金台帐!AJ492</f>
        <v>0</v>
      </c>
      <c r="AK492">
        <f>[1]资金台帐!AK492</f>
        <v>0</v>
      </c>
      <c r="BA492" s="22">
        <f t="shared" si="0"/>
      </c>
      <c r="BG492" s="22">
        <f t="shared" si="1"/>
      </c>
      <c r="BH492" s="22">
        <f t="shared" si="2"/>
        <v>0</v>
      </c>
    </row>
    <row r="493">
      <c r="B493">
        <f>[1]资金台帐!B493&amp;""</f>
      </c>
      <c r="H493">
        <f>[1]资金台帐!H493&amp;""</f>
      </c>
      <c r="J493">
        <f>[1]资金台帐!J493&amp;""</f>
      </c>
      <c r="N493">
        <f>[1]资金台帐!N493</f>
      </c>
      <c r="O493">
        <f>[1]资金台帐!O493&amp;""</f>
      </c>
      <c r="P493">
        <f>[1]资金台帐!P493&amp;""</f>
      </c>
      <c r="Q493">
        <f>[1]资金台帐!Q493&amp;""</f>
      </c>
      <c r="T493">
        <f>[1]资金台帐!T493&amp;""</f>
      </c>
      <c r="U493">
        <f>[1]资金台帐!U493&amp;""</f>
      </c>
      <c r="W493">
        <f>[1]资金台帐!W493&amp;""</f>
      </c>
      <c r="X493">
        <f>[1]资金台帐!X493&amp;""</f>
      </c>
      <c r="AB493">
        <f>[1]资金台帐!AB493</f>
        <v>0</v>
      </c>
      <c r="AC493">
        <f>[1]资金台帐!AC493</f>
        <v>0</v>
      </c>
      <c r="AD493">
        <f>[1]资金台帐!AD493</f>
        <v>0</v>
      </c>
      <c r="AJ493">
        <f>[1]资金台帐!AJ493</f>
        <v>0</v>
      </c>
      <c r="AK493">
        <f>[1]资金台帐!AK493</f>
        <v>0</v>
      </c>
      <c r="BA493" s="22">
        <f t="shared" si="0"/>
      </c>
      <c r="BG493" s="22">
        <f t="shared" si="1"/>
      </c>
      <c r="BH493" s="22">
        <f t="shared" si="2"/>
        <v>0</v>
      </c>
    </row>
    <row r="494">
      <c r="B494">
        <f>[1]资金台帐!B494&amp;""</f>
      </c>
      <c r="H494">
        <f>[1]资金台帐!H494&amp;""</f>
      </c>
      <c r="J494">
        <f>[1]资金台帐!J494&amp;""</f>
      </c>
      <c r="N494">
        <f>[1]资金台帐!N494</f>
      </c>
      <c r="O494">
        <f>[1]资金台帐!O494&amp;""</f>
      </c>
      <c r="P494">
        <f>[1]资金台帐!P494&amp;""</f>
      </c>
      <c r="Q494">
        <f>[1]资金台帐!Q494&amp;""</f>
      </c>
      <c r="T494">
        <f>[1]资金台帐!T494&amp;""</f>
      </c>
      <c r="U494">
        <f>[1]资金台帐!U494&amp;""</f>
      </c>
      <c r="W494">
        <f>[1]资金台帐!W494&amp;""</f>
      </c>
      <c r="X494">
        <f>[1]资金台帐!X494&amp;""</f>
      </c>
      <c r="AB494">
        <f>[1]资金台帐!AB494</f>
        <v>0</v>
      </c>
      <c r="AC494">
        <f>[1]资金台帐!AC494</f>
        <v>0</v>
      </c>
      <c r="AD494">
        <f>[1]资金台帐!AD494</f>
        <v>0</v>
      </c>
      <c r="AJ494">
        <f>[1]资金台帐!AJ494</f>
        <v>0</v>
      </c>
      <c r="AK494">
        <f>[1]资金台帐!AK494</f>
        <v>0</v>
      </c>
      <c r="BA494" s="22">
        <f t="shared" si="0"/>
      </c>
      <c r="BG494" s="22">
        <f t="shared" si="1"/>
      </c>
      <c r="BH494" s="22">
        <f t="shared" si="2"/>
        <v>0</v>
      </c>
    </row>
    <row r="495">
      <c r="B495">
        <f>[1]资金台帐!B495&amp;""</f>
      </c>
      <c r="H495">
        <f>[1]资金台帐!H495&amp;""</f>
      </c>
      <c r="J495">
        <f>[1]资金台帐!J495&amp;""</f>
      </c>
      <c r="N495">
        <f>[1]资金台帐!N495</f>
      </c>
      <c r="O495">
        <f>[1]资金台帐!O495&amp;""</f>
      </c>
      <c r="P495">
        <f>[1]资金台帐!P495&amp;""</f>
      </c>
      <c r="Q495">
        <f>[1]资金台帐!Q495&amp;""</f>
      </c>
      <c r="T495">
        <f>[1]资金台帐!T495&amp;""</f>
      </c>
      <c r="U495">
        <f>[1]资金台帐!U495&amp;""</f>
      </c>
      <c r="W495">
        <f>[1]资金台帐!W495&amp;""</f>
      </c>
      <c r="X495">
        <f>[1]资金台帐!X495&amp;""</f>
      </c>
      <c r="AB495">
        <f>[1]资金台帐!AB495</f>
        <v>0</v>
      </c>
      <c r="AC495">
        <f>[1]资金台帐!AC495</f>
        <v>0</v>
      </c>
      <c r="AD495">
        <f>[1]资金台帐!AD495</f>
        <v>0</v>
      </c>
      <c r="AJ495">
        <f>[1]资金台帐!AJ495</f>
        <v>0</v>
      </c>
      <c r="AK495">
        <f>[1]资金台帐!AK495</f>
        <v>0</v>
      </c>
      <c r="BA495" s="22">
        <f t="shared" si="0"/>
      </c>
      <c r="BG495" s="22">
        <f t="shared" si="1"/>
      </c>
      <c r="BH495" s="22">
        <f t="shared" si="2"/>
        <v>0</v>
      </c>
    </row>
    <row r="496">
      <c r="B496">
        <f>[1]资金台帐!B496&amp;""</f>
      </c>
      <c r="H496">
        <f>[1]资金台帐!H496&amp;""</f>
      </c>
      <c r="J496">
        <f>[1]资金台帐!J496&amp;""</f>
      </c>
      <c r="N496">
        <f>[1]资金台帐!N496</f>
      </c>
      <c r="O496">
        <f>[1]资金台帐!O496&amp;""</f>
      </c>
      <c r="P496">
        <f>[1]资金台帐!P496&amp;""</f>
      </c>
      <c r="Q496">
        <f>[1]资金台帐!Q496&amp;""</f>
      </c>
      <c r="T496">
        <f>[1]资金台帐!T496&amp;""</f>
      </c>
      <c r="U496">
        <f>[1]资金台帐!U496&amp;""</f>
      </c>
      <c r="W496">
        <f>[1]资金台帐!W496&amp;""</f>
      </c>
      <c r="X496">
        <f>[1]资金台帐!X496&amp;""</f>
      </c>
      <c r="AB496">
        <f>[1]资金台帐!AB496</f>
        <v>0</v>
      </c>
      <c r="AC496">
        <f>[1]资金台帐!AC496</f>
        <v>0</v>
      </c>
      <c r="AD496">
        <f>[1]资金台帐!AD496</f>
        <v>0</v>
      </c>
      <c r="AJ496">
        <f>[1]资金台帐!AJ496</f>
        <v>0</v>
      </c>
      <c r="AK496">
        <f>[1]资金台帐!AK496</f>
        <v>0</v>
      </c>
      <c r="BA496" s="22">
        <f t="shared" si="0"/>
      </c>
      <c r="BG496" s="22">
        <f t="shared" si="1"/>
      </c>
      <c r="BH496" s="22">
        <f t="shared" si="2"/>
        <v>0</v>
      </c>
    </row>
    <row r="497">
      <c r="B497">
        <f>[1]资金台帐!B497&amp;""</f>
      </c>
      <c r="H497">
        <f>[1]资金台帐!H497&amp;""</f>
      </c>
      <c r="J497">
        <f>[1]资金台帐!J497&amp;""</f>
      </c>
      <c r="N497">
        <f>[1]资金台帐!N497</f>
      </c>
      <c r="O497">
        <f>[1]资金台帐!O497&amp;""</f>
      </c>
      <c r="P497">
        <f>[1]资金台帐!P497&amp;""</f>
      </c>
      <c r="Q497">
        <f>[1]资金台帐!Q497&amp;""</f>
      </c>
      <c r="T497">
        <f>[1]资金台帐!T497&amp;""</f>
      </c>
      <c r="U497">
        <f>[1]资金台帐!U497&amp;""</f>
      </c>
      <c r="W497">
        <f>[1]资金台帐!W497&amp;""</f>
      </c>
      <c r="X497">
        <f>[1]资金台帐!X497&amp;""</f>
      </c>
      <c r="AB497">
        <f>[1]资金台帐!AB497</f>
        <v>0</v>
      </c>
      <c r="AC497">
        <f>[1]资金台帐!AC497</f>
        <v>0</v>
      </c>
      <c r="AD497">
        <f>[1]资金台帐!AD497</f>
        <v>0</v>
      </c>
      <c r="AJ497">
        <f>[1]资金台帐!AJ497</f>
        <v>0</v>
      </c>
      <c r="AK497">
        <f>[1]资金台帐!AK497</f>
        <v>0</v>
      </c>
      <c r="BA497" s="22">
        <f t="shared" si="0"/>
      </c>
      <c r="BG497" s="22">
        <f t="shared" si="1"/>
      </c>
      <c r="BH497" s="22">
        <f t="shared" si="2"/>
        <v>0</v>
      </c>
    </row>
    <row r="498">
      <c r="B498">
        <f>[1]资金台帐!B498&amp;""</f>
      </c>
      <c r="H498">
        <f>[1]资金台帐!H498&amp;""</f>
      </c>
      <c r="J498">
        <f>[1]资金台帐!J498&amp;""</f>
      </c>
      <c r="N498">
        <f>[1]资金台帐!N498</f>
      </c>
      <c r="O498">
        <f>[1]资金台帐!O498&amp;""</f>
      </c>
      <c r="P498">
        <f>[1]资金台帐!P498&amp;""</f>
      </c>
      <c r="Q498">
        <f>[1]资金台帐!Q498&amp;""</f>
      </c>
      <c r="T498">
        <f>[1]资金台帐!T498&amp;""</f>
      </c>
      <c r="U498">
        <f>[1]资金台帐!U498&amp;""</f>
      </c>
      <c r="W498">
        <f>[1]资金台帐!W498&amp;""</f>
      </c>
      <c r="X498">
        <f>[1]资金台帐!X498&amp;""</f>
      </c>
      <c r="AB498">
        <f>[1]资金台帐!AB498</f>
        <v>0</v>
      </c>
      <c r="AC498">
        <f>[1]资金台帐!AC498</f>
        <v>0</v>
      </c>
      <c r="AD498">
        <f>[1]资金台帐!AD498</f>
        <v>0</v>
      </c>
      <c r="AJ498">
        <f>[1]资金台帐!AJ498</f>
        <v>0</v>
      </c>
      <c r="AK498">
        <f>[1]资金台帐!AK498</f>
        <v>0</v>
      </c>
      <c r="BA498" s="22">
        <f t="shared" si="0"/>
      </c>
      <c r="BG498" s="22">
        <f t="shared" si="1"/>
      </c>
      <c r="BH498" s="22">
        <f t="shared" si="2"/>
        <v>0</v>
      </c>
    </row>
    <row r="499">
      <c r="B499">
        <f>[1]资金台帐!B499&amp;""</f>
      </c>
      <c r="H499">
        <f>[1]资金台帐!H499&amp;""</f>
      </c>
      <c r="J499">
        <f>[1]资金台帐!J499&amp;""</f>
      </c>
      <c r="N499">
        <f>[1]资金台帐!N499</f>
      </c>
      <c r="O499">
        <f>[1]资金台帐!O499&amp;""</f>
      </c>
      <c r="P499">
        <f>[1]资金台帐!P499&amp;""</f>
      </c>
      <c r="Q499">
        <f>[1]资金台帐!Q499&amp;""</f>
      </c>
      <c r="T499">
        <f>[1]资金台帐!T499&amp;""</f>
      </c>
      <c r="U499">
        <f>[1]资金台帐!U499&amp;""</f>
      </c>
      <c r="W499">
        <f>[1]资金台帐!W499&amp;""</f>
      </c>
      <c r="X499">
        <f>[1]资金台帐!X499&amp;""</f>
      </c>
      <c r="AB499">
        <f>[1]资金台帐!AB499</f>
        <v>0</v>
      </c>
      <c r="AC499">
        <f>[1]资金台帐!AC499</f>
        <v>0</v>
      </c>
      <c r="AD499">
        <f>[1]资金台帐!AD499</f>
        <v>0</v>
      </c>
      <c r="AJ499">
        <f>[1]资金台帐!AJ499</f>
        <v>0</v>
      </c>
      <c r="AK499">
        <f>[1]资金台帐!AK499</f>
        <v>0</v>
      </c>
      <c r="BA499" s="22">
        <f t="shared" si="0"/>
      </c>
      <c r="BG499" s="22">
        <f t="shared" si="1"/>
      </c>
      <c r="BH499" s="22">
        <f t="shared" si="2"/>
        <v>0</v>
      </c>
    </row>
    <row r="500">
      <c r="B500">
        <f>[1]资金台帐!B500&amp;""</f>
      </c>
      <c r="H500">
        <f>[1]资金台帐!H500&amp;""</f>
      </c>
      <c r="J500">
        <f>[1]资金台帐!J500&amp;""</f>
      </c>
      <c r="N500">
        <f>[1]资金台帐!N500</f>
      </c>
      <c r="O500">
        <f>[1]资金台帐!O500&amp;""</f>
      </c>
      <c r="P500">
        <f>[1]资金台帐!P500&amp;""</f>
      </c>
      <c r="Q500">
        <f>[1]资金台帐!Q500&amp;""</f>
      </c>
      <c r="T500">
        <f>[1]资金台帐!T500&amp;""</f>
      </c>
      <c r="U500">
        <f>[1]资金台帐!U500&amp;""</f>
      </c>
      <c r="W500">
        <f>[1]资金台帐!W500&amp;""</f>
      </c>
      <c r="X500">
        <f>[1]资金台帐!X500&amp;""</f>
      </c>
      <c r="AB500">
        <f>[1]资金台帐!AB500</f>
        <v>0</v>
      </c>
      <c r="AC500">
        <f>[1]资金台帐!AC500</f>
        <v>0</v>
      </c>
      <c r="AD500">
        <f>[1]资金台帐!AD500</f>
        <v>0</v>
      </c>
      <c r="AJ500">
        <f>[1]资金台帐!AJ500</f>
        <v>0</v>
      </c>
      <c r="AK500">
        <f>[1]资金台帐!AK500</f>
        <v>0</v>
      </c>
      <c r="BA500" s="22">
        <f t="shared" si="0"/>
      </c>
      <c r="BG500" s="22">
        <f t="shared" si="1"/>
      </c>
      <c r="BH500" s="22">
        <f t="shared" si="2"/>
        <v>0</v>
      </c>
    </row>
    <row r="501">
      <c r="B501">
        <f>[1]资金台帐!B501&amp;""</f>
      </c>
      <c r="H501">
        <f>[1]资金台帐!H501&amp;""</f>
      </c>
      <c r="J501">
        <f>[1]资金台帐!J501&amp;""</f>
      </c>
      <c r="N501">
        <f>[1]资金台帐!N501</f>
      </c>
      <c r="O501">
        <f>[1]资金台帐!O501&amp;""</f>
      </c>
      <c r="P501">
        <f>[1]资金台帐!P501&amp;""</f>
      </c>
      <c r="Q501">
        <f>[1]资金台帐!Q501&amp;""</f>
      </c>
      <c r="T501">
        <f>[1]资金台帐!T501&amp;""</f>
      </c>
      <c r="U501">
        <f>[1]资金台帐!U501&amp;""</f>
      </c>
      <c r="W501">
        <f>[1]资金台帐!W501&amp;""</f>
      </c>
      <c r="X501">
        <f>[1]资金台帐!X501&amp;""</f>
      </c>
      <c r="AB501">
        <f>[1]资金台帐!AB501</f>
        <v>0</v>
      </c>
      <c r="AC501">
        <f>[1]资金台帐!AC501</f>
        <v>0</v>
      </c>
      <c r="AD501">
        <f>[1]资金台帐!AD501</f>
        <v>0</v>
      </c>
      <c r="AJ501">
        <f>[1]资金台帐!AJ501</f>
        <v>0</v>
      </c>
      <c r="AK501">
        <f>[1]资金台帐!AK501</f>
        <v>0</v>
      </c>
      <c r="BA501" s="22">
        <f t="shared" si="0"/>
      </c>
      <c r="BG501" s="22">
        <f t="shared" si="1"/>
      </c>
      <c r="BH501" s="22">
        <f t="shared" si="2"/>
        <v>0</v>
      </c>
    </row>
    <row r="502">
      <c r="B502">
        <f>[1]资金台帐!B502&amp;""</f>
      </c>
      <c r="H502">
        <f>[1]资金台帐!H502&amp;""</f>
      </c>
      <c r="J502">
        <f>[1]资金台帐!J502&amp;""</f>
      </c>
      <c r="N502">
        <f>[1]资金台帐!N502</f>
      </c>
      <c r="O502">
        <f>[1]资金台帐!O502&amp;""</f>
      </c>
      <c r="P502">
        <f>[1]资金台帐!P502&amp;""</f>
      </c>
      <c r="Q502">
        <f>[1]资金台帐!Q502&amp;""</f>
      </c>
      <c r="T502">
        <f>[1]资金台帐!T502&amp;""</f>
      </c>
      <c r="U502">
        <f>[1]资金台帐!U502&amp;""</f>
      </c>
      <c r="W502">
        <f>[1]资金台帐!W502&amp;""</f>
      </c>
      <c r="X502">
        <f>[1]资金台帐!X502&amp;""</f>
      </c>
      <c r="AB502">
        <f>[1]资金台帐!AB502</f>
        <v>0</v>
      </c>
      <c r="AC502">
        <f>[1]资金台帐!AC502</f>
        <v>0</v>
      </c>
      <c r="AD502">
        <f>[1]资金台帐!AD502</f>
        <v>0</v>
      </c>
      <c r="AJ502">
        <f>[1]资金台帐!AJ502</f>
        <v>0</v>
      </c>
      <c r="AK502">
        <f>[1]资金台帐!AK502</f>
        <v>0</v>
      </c>
      <c r="BA502" s="22">
        <f t="shared" si="0"/>
      </c>
      <c r="BG502" s="22">
        <f t="shared" si="1"/>
      </c>
      <c r="BH502" s="22">
        <f t="shared" si="2"/>
        <v>0</v>
      </c>
    </row>
    <row r="503">
      <c r="B503">
        <f>[1]资金台帐!B503&amp;""</f>
      </c>
      <c r="H503">
        <f>[1]资金台帐!H503&amp;""</f>
      </c>
      <c r="J503">
        <f>[1]资金台帐!J503&amp;""</f>
      </c>
      <c r="N503">
        <f>[1]资金台帐!N503</f>
      </c>
      <c r="O503">
        <f>[1]资金台帐!O503&amp;""</f>
      </c>
      <c r="P503">
        <f>[1]资金台帐!P503&amp;""</f>
      </c>
      <c r="Q503">
        <f>[1]资金台帐!Q503&amp;""</f>
      </c>
      <c r="T503">
        <f>[1]资金台帐!T503&amp;""</f>
      </c>
      <c r="U503">
        <f>[1]资金台帐!U503&amp;""</f>
      </c>
      <c r="W503">
        <f>[1]资金台帐!W503&amp;""</f>
      </c>
      <c r="X503">
        <f>[1]资金台帐!X503&amp;""</f>
      </c>
      <c r="AB503">
        <f>[1]资金台帐!AB503</f>
        <v>0</v>
      </c>
      <c r="AC503">
        <f>[1]资金台帐!AC503</f>
        <v>0</v>
      </c>
      <c r="AD503">
        <f>[1]资金台帐!AD503</f>
        <v>0</v>
      </c>
      <c r="AJ503">
        <f>[1]资金台帐!AJ503</f>
        <v>0</v>
      </c>
      <c r="AK503">
        <f>[1]资金台帐!AK503</f>
        <v>0</v>
      </c>
      <c r="BA503" s="22">
        <f t="shared" si="0"/>
      </c>
      <c r="BG503" s="22">
        <f t="shared" si="1"/>
      </c>
      <c r="BH503" s="22">
        <f t="shared" si="2"/>
        <v>0</v>
      </c>
    </row>
    <row r="504">
      <c r="B504">
        <f>[1]资金台帐!B504&amp;""</f>
      </c>
      <c r="H504">
        <f>[1]资金台帐!H504&amp;""</f>
      </c>
      <c r="J504">
        <f>[1]资金台帐!J504&amp;""</f>
      </c>
      <c r="N504">
        <f>[1]资金台帐!N504</f>
      </c>
      <c r="O504">
        <f>[1]资金台帐!O504&amp;""</f>
      </c>
      <c r="P504">
        <f>[1]资金台帐!P504&amp;""</f>
      </c>
      <c r="Q504">
        <f>[1]资金台帐!Q504&amp;""</f>
      </c>
      <c r="T504">
        <f>[1]资金台帐!T504&amp;""</f>
      </c>
      <c r="U504">
        <f>[1]资金台帐!U504&amp;""</f>
      </c>
      <c r="W504">
        <f>[1]资金台帐!W504&amp;""</f>
      </c>
      <c r="X504">
        <f>[1]资金台帐!X504&amp;""</f>
      </c>
      <c r="AB504">
        <f>[1]资金台帐!AB504</f>
        <v>0</v>
      </c>
      <c r="AC504">
        <f>[1]资金台帐!AC504</f>
        <v>0</v>
      </c>
      <c r="AD504">
        <f>[1]资金台帐!AD504</f>
        <v>0</v>
      </c>
      <c r="AJ504">
        <f>[1]资金台帐!AJ504</f>
        <v>0</v>
      </c>
      <c r="AK504">
        <f>[1]资金台帐!AK504</f>
        <v>0</v>
      </c>
      <c r="BA504" s="22">
        <f t="shared" si="0"/>
      </c>
      <c r="BG504" s="22">
        <f t="shared" si="1"/>
      </c>
      <c r="BH504" s="22">
        <f t="shared" si="2"/>
        <v>0</v>
      </c>
    </row>
    <row r="505">
      <c r="B505">
        <f>[1]资金台帐!B505&amp;""</f>
      </c>
      <c r="H505">
        <f>[1]资金台帐!H505&amp;""</f>
      </c>
      <c r="J505">
        <f>[1]资金台帐!J505&amp;""</f>
      </c>
      <c r="N505">
        <f>[1]资金台帐!N505</f>
      </c>
      <c r="O505">
        <f>[1]资金台帐!O505&amp;""</f>
      </c>
      <c r="P505">
        <f>[1]资金台帐!P505&amp;""</f>
      </c>
      <c r="Q505">
        <f>[1]资金台帐!Q505&amp;""</f>
      </c>
      <c r="T505">
        <f>[1]资金台帐!T505&amp;""</f>
      </c>
      <c r="U505">
        <f>[1]资金台帐!U505&amp;""</f>
      </c>
      <c r="W505">
        <f>[1]资金台帐!W505&amp;""</f>
      </c>
      <c r="X505">
        <f>[1]资金台帐!X505&amp;""</f>
      </c>
      <c r="AB505">
        <f>[1]资金台帐!AB505</f>
        <v>0</v>
      </c>
      <c r="AC505">
        <f>[1]资金台帐!AC505</f>
        <v>0</v>
      </c>
      <c r="AD505">
        <f>[1]资金台帐!AD505</f>
        <v>0</v>
      </c>
      <c r="AJ505">
        <f>[1]资金台帐!AJ505</f>
        <v>0</v>
      </c>
      <c r="AK505">
        <f>[1]资金台帐!AK505</f>
        <v>0</v>
      </c>
      <c r="BA505" s="22">
        <f t="shared" si="0"/>
      </c>
      <c r="BG505" s="22">
        <f t="shared" si="1"/>
      </c>
      <c r="BH505" s="22">
        <f t="shared" si="2"/>
        <v>0</v>
      </c>
    </row>
    <row r="506">
      <c r="B506">
        <f>[1]资金台帐!B506&amp;""</f>
      </c>
      <c r="H506">
        <f>[1]资金台帐!H506&amp;""</f>
      </c>
      <c r="J506">
        <f>[1]资金台帐!J506&amp;""</f>
      </c>
      <c r="N506">
        <f>[1]资金台帐!N506</f>
      </c>
      <c r="O506">
        <f>[1]资金台帐!O506&amp;""</f>
      </c>
      <c r="P506">
        <f>[1]资金台帐!P506&amp;""</f>
      </c>
      <c r="Q506">
        <f>[1]资金台帐!Q506&amp;""</f>
      </c>
      <c r="T506">
        <f>[1]资金台帐!T506&amp;""</f>
      </c>
      <c r="U506">
        <f>[1]资金台帐!U506&amp;""</f>
      </c>
      <c r="W506">
        <f>[1]资金台帐!W506&amp;""</f>
      </c>
      <c r="X506">
        <f>[1]资金台帐!X506&amp;""</f>
      </c>
      <c r="AB506">
        <f>[1]资金台帐!AB506</f>
        <v>0</v>
      </c>
      <c r="AC506">
        <f>[1]资金台帐!AC506</f>
        <v>0</v>
      </c>
      <c r="AD506">
        <f>[1]资金台帐!AD506</f>
        <v>0</v>
      </c>
      <c r="AJ506">
        <f>[1]资金台帐!AJ506</f>
        <v>0</v>
      </c>
      <c r="AK506">
        <f>[1]资金台帐!AK506</f>
        <v>0</v>
      </c>
      <c r="BA506" s="22">
        <f t="shared" si="0"/>
      </c>
      <c r="BG506" s="22">
        <f t="shared" si="1"/>
      </c>
      <c r="BH506" s="22">
        <f t="shared" si="2"/>
        <v>0</v>
      </c>
    </row>
    <row r="507">
      <c r="B507">
        <f>[1]资金台帐!B507&amp;""</f>
      </c>
      <c r="H507">
        <f>[1]资金台帐!H507&amp;""</f>
      </c>
      <c r="J507">
        <f>[1]资金台帐!J507&amp;""</f>
      </c>
      <c r="N507">
        <f>[1]资金台帐!N507</f>
      </c>
      <c r="O507">
        <f>[1]资金台帐!O507&amp;""</f>
      </c>
      <c r="P507">
        <f>[1]资金台帐!P507&amp;""</f>
      </c>
      <c r="Q507">
        <f>[1]资金台帐!Q507&amp;""</f>
      </c>
      <c r="T507">
        <f>[1]资金台帐!T507&amp;""</f>
      </c>
      <c r="U507">
        <f>[1]资金台帐!U507&amp;""</f>
      </c>
      <c r="W507">
        <f>[1]资金台帐!W507&amp;""</f>
      </c>
      <c r="X507">
        <f>[1]资金台帐!X507&amp;""</f>
      </c>
      <c r="AB507">
        <f>[1]资金台帐!AB507</f>
        <v>0</v>
      </c>
      <c r="AC507">
        <f>[1]资金台帐!AC507</f>
        <v>0</v>
      </c>
      <c r="AD507">
        <f>[1]资金台帐!AD507</f>
        <v>0</v>
      </c>
      <c r="AJ507">
        <f>[1]资金台帐!AJ507</f>
        <v>0</v>
      </c>
      <c r="AK507">
        <f>[1]资金台帐!AK507</f>
        <v>0</v>
      </c>
      <c r="BA507" s="22">
        <f t="shared" si="0"/>
      </c>
      <c r="BG507" s="22">
        <f t="shared" si="1"/>
      </c>
      <c r="BH507" s="22">
        <f t="shared" si="2"/>
        <v>0</v>
      </c>
    </row>
    <row r="508">
      <c r="B508">
        <f>[1]资金台帐!B508&amp;""</f>
      </c>
      <c r="H508">
        <f>[1]资金台帐!H508&amp;""</f>
      </c>
      <c r="J508">
        <f>[1]资金台帐!J508&amp;""</f>
      </c>
      <c r="N508">
        <f>[1]资金台帐!N508</f>
      </c>
      <c r="O508">
        <f>[1]资金台帐!O508&amp;""</f>
      </c>
      <c r="P508">
        <f>[1]资金台帐!P508&amp;""</f>
      </c>
      <c r="Q508">
        <f>[1]资金台帐!Q508&amp;""</f>
      </c>
      <c r="T508">
        <f>[1]资金台帐!T508&amp;""</f>
      </c>
      <c r="U508">
        <f>[1]资金台帐!U508&amp;""</f>
      </c>
      <c r="W508">
        <f>[1]资金台帐!W508&amp;""</f>
      </c>
      <c r="X508">
        <f>[1]资金台帐!X508&amp;""</f>
      </c>
      <c r="AB508">
        <f>[1]资金台帐!AB508</f>
        <v>0</v>
      </c>
      <c r="AC508">
        <f>[1]资金台帐!AC508</f>
        <v>0</v>
      </c>
      <c r="AD508">
        <f>[1]资金台帐!AD508</f>
        <v>0</v>
      </c>
      <c r="AJ508">
        <f>[1]资金台帐!AJ508</f>
        <v>0</v>
      </c>
      <c r="AK508">
        <f>[1]资金台帐!AK508</f>
        <v>0</v>
      </c>
      <c r="BA508" s="22">
        <f t="shared" si="0"/>
      </c>
      <c r="BG508" s="22">
        <f t="shared" si="1"/>
      </c>
      <c r="BH508" s="22">
        <f t="shared" si="2"/>
        <v>0</v>
      </c>
    </row>
    <row r="509">
      <c r="B509">
        <f>[1]资金台帐!B509&amp;""</f>
      </c>
      <c r="H509">
        <f>[1]资金台帐!H509&amp;""</f>
      </c>
      <c r="J509">
        <f>[1]资金台帐!J509&amp;""</f>
      </c>
      <c r="N509">
        <f>[1]资金台帐!N509</f>
      </c>
      <c r="O509">
        <f>[1]资金台帐!O509&amp;""</f>
      </c>
      <c r="P509">
        <f>[1]资金台帐!P509&amp;""</f>
      </c>
      <c r="Q509">
        <f>[1]资金台帐!Q509&amp;""</f>
      </c>
      <c r="T509">
        <f>[1]资金台帐!T509&amp;""</f>
      </c>
      <c r="U509">
        <f>[1]资金台帐!U509&amp;""</f>
      </c>
      <c r="W509">
        <f>[1]资金台帐!W509&amp;""</f>
      </c>
      <c r="X509">
        <f>[1]资金台帐!X509&amp;""</f>
      </c>
      <c r="AB509">
        <f>[1]资金台帐!AB509</f>
        <v>0</v>
      </c>
      <c r="AC509">
        <f>[1]资金台帐!AC509</f>
        <v>0</v>
      </c>
      <c r="AD509">
        <f>[1]资金台帐!AD509</f>
        <v>0</v>
      </c>
      <c r="AJ509">
        <f>[1]资金台帐!AJ509</f>
        <v>0</v>
      </c>
      <c r="AK509">
        <f>[1]资金台帐!AK509</f>
        <v>0</v>
      </c>
      <c r="BA509" s="22">
        <f t="shared" si="0"/>
      </c>
      <c r="BG509" s="22">
        <f t="shared" si="1"/>
      </c>
      <c r="BH509" s="22">
        <f t="shared" si="2"/>
        <v>0</v>
      </c>
    </row>
    <row r="510">
      <c r="B510">
        <f>[1]资金台帐!B510&amp;""</f>
      </c>
      <c r="H510">
        <f>[1]资金台帐!H510&amp;""</f>
      </c>
      <c r="J510">
        <f>[1]资金台帐!J510&amp;""</f>
      </c>
      <c r="N510">
        <f>[1]资金台帐!N510</f>
      </c>
      <c r="O510">
        <f>[1]资金台帐!O510&amp;""</f>
      </c>
      <c r="P510">
        <f>[1]资金台帐!P510&amp;""</f>
      </c>
      <c r="Q510">
        <f>[1]资金台帐!Q510&amp;""</f>
      </c>
      <c r="T510">
        <f>[1]资金台帐!T510&amp;""</f>
      </c>
      <c r="U510">
        <f>[1]资金台帐!U510&amp;""</f>
      </c>
      <c r="W510">
        <f>[1]资金台帐!W510&amp;""</f>
      </c>
      <c r="X510">
        <f>[1]资金台帐!X510&amp;""</f>
      </c>
      <c r="AB510">
        <f>[1]资金台帐!AB510</f>
        <v>0</v>
      </c>
      <c r="AC510">
        <f>[1]资金台帐!AC510</f>
        <v>0</v>
      </c>
      <c r="AD510">
        <f>[1]资金台帐!AD510</f>
        <v>0</v>
      </c>
      <c r="AJ510">
        <f>[1]资金台帐!AJ510</f>
        <v>0</v>
      </c>
      <c r="AK510">
        <f>[1]资金台帐!AK510</f>
        <v>0</v>
      </c>
      <c r="BA510" s="22">
        <f t="shared" si="0"/>
      </c>
      <c r="BG510" s="22">
        <f t="shared" si="1"/>
      </c>
      <c r="BH510" s="22">
        <f t="shared" si="2"/>
        <v>0</v>
      </c>
    </row>
    <row r="511">
      <c r="B511">
        <f>[1]资金台帐!B511&amp;""</f>
      </c>
      <c r="H511">
        <f>[1]资金台帐!H511&amp;""</f>
      </c>
      <c r="J511">
        <f>[1]资金台帐!J511&amp;""</f>
      </c>
      <c r="N511">
        <f>[1]资金台帐!N511</f>
      </c>
      <c r="O511">
        <f>[1]资金台帐!O511&amp;""</f>
      </c>
      <c r="P511">
        <f>[1]资金台帐!P511&amp;""</f>
      </c>
      <c r="Q511">
        <f>[1]资金台帐!Q511&amp;""</f>
      </c>
      <c r="T511">
        <f>[1]资金台帐!T511&amp;""</f>
      </c>
      <c r="U511">
        <f>[1]资金台帐!U511&amp;""</f>
      </c>
      <c r="W511">
        <f>[1]资金台帐!W511&amp;""</f>
      </c>
      <c r="X511">
        <f>[1]资金台帐!X511&amp;""</f>
      </c>
      <c r="AB511">
        <f>[1]资金台帐!AB511</f>
        <v>0</v>
      </c>
      <c r="AC511">
        <f>[1]资金台帐!AC511</f>
        <v>0</v>
      </c>
      <c r="AD511">
        <f>[1]资金台帐!AD511</f>
        <v>0</v>
      </c>
      <c r="AJ511">
        <f>[1]资金台帐!AJ511</f>
        <v>0</v>
      </c>
      <c r="AK511">
        <f>[1]资金台帐!AK511</f>
        <v>0</v>
      </c>
      <c r="BA511" s="22">
        <f t="shared" si="0"/>
      </c>
      <c r="BG511" s="22">
        <f t="shared" si="1"/>
      </c>
      <c r="BH511" s="22">
        <f t="shared" si="2"/>
        <v>0</v>
      </c>
    </row>
    <row r="512">
      <c r="B512">
        <f>[1]资金台帐!B512&amp;""</f>
      </c>
      <c r="H512">
        <f>[1]资金台帐!H512&amp;""</f>
      </c>
      <c r="J512">
        <f>[1]资金台帐!J512&amp;""</f>
      </c>
      <c r="N512">
        <f>[1]资金台帐!N512</f>
      </c>
      <c r="O512">
        <f>[1]资金台帐!O512&amp;""</f>
      </c>
      <c r="P512">
        <f>[1]资金台帐!P512&amp;""</f>
      </c>
      <c r="Q512">
        <f>[1]资金台帐!Q512&amp;""</f>
      </c>
      <c r="T512">
        <f>[1]资金台帐!T512&amp;""</f>
      </c>
      <c r="U512">
        <f>[1]资金台帐!U512&amp;""</f>
      </c>
      <c r="W512">
        <f>[1]资金台帐!W512&amp;""</f>
      </c>
      <c r="X512">
        <f>[1]资金台帐!X512&amp;""</f>
      </c>
      <c r="AB512">
        <f>[1]资金台帐!AB512</f>
        <v>0</v>
      </c>
      <c r="AC512">
        <f>[1]资金台帐!AC512</f>
        <v>0</v>
      </c>
      <c r="AD512">
        <f>[1]资金台帐!AD512</f>
        <v>0</v>
      </c>
      <c r="AJ512">
        <f>[1]资金台帐!AJ512</f>
        <v>0</v>
      </c>
      <c r="AK512">
        <f>[1]资金台帐!AK512</f>
        <v>0</v>
      </c>
      <c r="BA512" s="22">
        <f t="shared" si="0"/>
      </c>
      <c r="BG512" s="22">
        <f t="shared" si="1"/>
      </c>
      <c r="BH512" s="22">
        <f t="shared" si="2"/>
        <v>0</v>
      </c>
    </row>
    <row r="513">
      <c r="B513">
        <f>[1]资金台帐!B513&amp;""</f>
      </c>
      <c r="H513">
        <f>[1]资金台帐!H513&amp;""</f>
      </c>
      <c r="J513">
        <f>[1]资金台帐!J513&amp;""</f>
      </c>
      <c r="N513">
        <f>[1]资金台帐!N513</f>
      </c>
      <c r="O513">
        <f>[1]资金台帐!O513&amp;""</f>
      </c>
      <c r="P513">
        <f>[1]资金台帐!P513&amp;""</f>
      </c>
      <c r="Q513">
        <f>[1]资金台帐!Q513&amp;""</f>
      </c>
      <c r="T513">
        <f>[1]资金台帐!T513&amp;""</f>
      </c>
      <c r="U513">
        <f>[1]资金台帐!U513&amp;""</f>
      </c>
      <c r="W513">
        <f>[1]资金台帐!W513&amp;""</f>
      </c>
      <c r="X513">
        <f>[1]资金台帐!X513&amp;""</f>
      </c>
      <c r="AB513">
        <f>[1]资金台帐!AB513</f>
        <v>0</v>
      </c>
      <c r="AC513">
        <f>[1]资金台帐!AC513</f>
        <v>0</v>
      </c>
      <c r="AD513">
        <f>[1]资金台帐!AD513</f>
        <v>0</v>
      </c>
      <c r="AJ513">
        <f>[1]资金台帐!AJ513</f>
        <v>0</v>
      </c>
      <c r="AK513">
        <f>[1]资金台帐!AK513</f>
        <v>0</v>
      </c>
      <c r="BA513" s="22">
        <f t="shared" si="0"/>
      </c>
      <c r="BG513" s="22">
        <f t="shared" si="1"/>
      </c>
      <c r="BH513" s="22">
        <f t="shared" si="2"/>
        <v>0</v>
      </c>
    </row>
    <row r="514">
      <c r="B514">
        <f>[1]资金台帐!B514&amp;""</f>
      </c>
      <c r="H514">
        <f>[1]资金台帐!H514&amp;""</f>
      </c>
      <c r="J514">
        <f>[1]资金台帐!J514&amp;""</f>
      </c>
      <c r="N514">
        <f>[1]资金台帐!N514</f>
      </c>
      <c r="O514">
        <f>[1]资金台帐!O514&amp;""</f>
      </c>
      <c r="P514">
        <f>[1]资金台帐!P514&amp;""</f>
      </c>
      <c r="Q514">
        <f>[1]资金台帐!Q514&amp;""</f>
      </c>
      <c r="T514">
        <f>[1]资金台帐!T514&amp;""</f>
      </c>
      <c r="U514">
        <f>[1]资金台帐!U514&amp;""</f>
      </c>
      <c r="W514">
        <f>[1]资金台帐!W514&amp;""</f>
      </c>
      <c r="X514">
        <f>[1]资金台帐!X514&amp;""</f>
      </c>
      <c r="AB514">
        <f>[1]资金台帐!AB514</f>
        <v>0</v>
      </c>
      <c r="AC514">
        <f>[1]资金台帐!AC514</f>
        <v>0</v>
      </c>
      <c r="AD514">
        <f>[1]资金台帐!AD514</f>
        <v>0</v>
      </c>
      <c r="AJ514">
        <f>[1]资金台帐!AJ514</f>
        <v>0</v>
      </c>
      <c r="AK514">
        <f>[1]资金台帐!AK514</f>
        <v>0</v>
      </c>
      <c r="BA514" s="22">
        <f t="shared" si="0"/>
      </c>
      <c r="BG514" s="22">
        <f t="shared" si="1"/>
      </c>
      <c r="BH514" s="22">
        <f t="shared" si="2"/>
        <v>0</v>
      </c>
    </row>
    <row r="515">
      <c r="B515">
        <f>[1]资金台帐!B515&amp;""</f>
      </c>
      <c r="H515">
        <f>[1]资金台帐!H515&amp;""</f>
      </c>
      <c r="J515">
        <f>[1]资金台帐!J515&amp;""</f>
      </c>
      <c r="N515">
        <f>[1]资金台帐!N515</f>
      </c>
      <c r="O515">
        <f>[1]资金台帐!O515&amp;""</f>
      </c>
      <c r="P515">
        <f>[1]资金台帐!P515&amp;""</f>
      </c>
      <c r="Q515">
        <f>[1]资金台帐!Q515&amp;""</f>
      </c>
      <c r="T515">
        <f>[1]资金台帐!T515&amp;""</f>
      </c>
      <c r="U515">
        <f>[1]资金台帐!U515&amp;""</f>
      </c>
      <c r="W515">
        <f>[1]资金台帐!W515&amp;""</f>
      </c>
      <c r="X515">
        <f>[1]资金台帐!X515&amp;""</f>
      </c>
      <c r="AB515">
        <f>[1]资金台帐!AB515</f>
        <v>0</v>
      </c>
      <c r="AC515">
        <f>[1]资金台帐!AC515</f>
        <v>0</v>
      </c>
      <c r="AD515">
        <f>[1]资金台帐!AD515</f>
        <v>0</v>
      </c>
      <c r="AJ515">
        <f>[1]资金台帐!AJ515</f>
        <v>0</v>
      </c>
      <c r="AK515">
        <f>[1]资金台帐!AK515</f>
        <v>0</v>
      </c>
      <c r="BA515" s="22">
        <f t="shared" si="0"/>
      </c>
      <c r="BG515" s="22">
        <f t="shared" si="1"/>
      </c>
      <c r="BH515" s="22">
        <f t="shared" si="2"/>
        <v>0</v>
      </c>
    </row>
    <row r="516">
      <c r="B516">
        <f>[1]资金台帐!B516&amp;""</f>
      </c>
      <c r="H516">
        <f>[1]资金台帐!H516&amp;""</f>
      </c>
      <c r="J516">
        <f>[1]资金台帐!J516&amp;""</f>
      </c>
      <c r="N516">
        <f>[1]资金台帐!N516</f>
      </c>
      <c r="O516">
        <f>[1]资金台帐!O516&amp;""</f>
      </c>
      <c r="P516">
        <f>[1]资金台帐!P516&amp;""</f>
      </c>
      <c r="Q516">
        <f>[1]资金台帐!Q516&amp;""</f>
      </c>
      <c r="T516">
        <f>[1]资金台帐!T516&amp;""</f>
      </c>
      <c r="U516">
        <f>[1]资金台帐!U516&amp;""</f>
      </c>
      <c r="W516">
        <f>[1]资金台帐!W516&amp;""</f>
      </c>
      <c r="X516">
        <f>[1]资金台帐!X516&amp;""</f>
      </c>
      <c r="AB516">
        <f>[1]资金台帐!AB516</f>
        <v>0</v>
      </c>
      <c r="AC516">
        <f>[1]资金台帐!AC516</f>
        <v>0</v>
      </c>
      <c r="AD516">
        <f>[1]资金台帐!AD516</f>
        <v>0</v>
      </c>
      <c r="AJ516">
        <f>[1]资金台帐!AJ516</f>
        <v>0</v>
      </c>
      <c r="AK516">
        <f>[1]资金台帐!AK516</f>
        <v>0</v>
      </c>
      <c r="BA516" s="22">
        <f t="shared" si="0"/>
      </c>
      <c r="BG516" s="22">
        <f t="shared" si="1"/>
      </c>
      <c r="BH516" s="22">
        <f t="shared" si="2"/>
        <v>0</v>
      </c>
    </row>
    <row r="517">
      <c r="B517">
        <f>[1]资金台帐!B517&amp;""</f>
      </c>
      <c r="H517">
        <f>[1]资金台帐!H517&amp;""</f>
      </c>
      <c r="J517">
        <f>[1]资金台帐!J517&amp;""</f>
      </c>
      <c r="N517">
        <f>[1]资金台帐!N517</f>
      </c>
      <c r="O517">
        <f>[1]资金台帐!O517&amp;""</f>
      </c>
      <c r="P517">
        <f>[1]资金台帐!P517&amp;""</f>
      </c>
      <c r="Q517">
        <f>[1]资金台帐!Q517&amp;""</f>
      </c>
      <c r="T517">
        <f>[1]资金台帐!T517&amp;""</f>
      </c>
      <c r="U517">
        <f>[1]资金台帐!U517&amp;""</f>
      </c>
      <c r="W517">
        <f>[1]资金台帐!W517&amp;""</f>
      </c>
      <c r="X517">
        <f>[1]资金台帐!X517&amp;""</f>
      </c>
      <c r="AB517">
        <f>[1]资金台帐!AB517</f>
        <v>0</v>
      </c>
      <c r="AC517">
        <f>[1]资金台帐!AC517</f>
        <v>0</v>
      </c>
      <c r="AD517">
        <f>[1]资金台帐!AD517</f>
        <v>0</v>
      </c>
      <c r="AJ517">
        <f>[1]资金台帐!AJ517</f>
        <v>0</v>
      </c>
      <c r="AK517">
        <f>[1]资金台帐!AK517</f>
        <v>0</v>
      </c>
      <c r="BA517" s="22">
        <f t="shared" si="0"/>
      </c>
      <c r="BG517" s="22">
        <f t="shared" si="1"/>
      </c>
      <c r="BH517" s="22">
        <f t="shared" si="2"/>
        <v>0</v>
      </c>
    </row>
    <row r="518">
      <c r="B518">
        <f>[1]资金台帐!B518&amp;""</f>
      </c>
      <c r="H518">
        <f>[1]资金台帐!H518&amp;""</f>
      </c>
      <c r="J518">
        <f>[1]资金台帐!J518&amp;""</f>
      </c>
      <c r="N518">
        <f>[1]资金台帐!N518</f>
      </c>
      <c r="O518">
        <f>[1]资金台帐!O518&amp;""</f>
      </c>
      <c r="P518">
        <f>[1]资金台帐!P518&amp;""</f>
      </c>
      <c r="Q518">
        <f>[1]资金台帐!Q518&amp;""</f>
      </c>
      <c r="T518">
        <f>[1]资金台帐!T518&amp;""</f>
      </c>
      <c r="U518">
        <f>[1]资金台帐!U518&amp;""</f>
      </c>
      <c r="W518">
        <f>[1]资金台帐!W518&amp;""</f>
      </c>
      <c r="X518">
        <f>[1]资金台帐!X518&amp;""</f>
      </c>
      <c r="AB518">
        <f>[1]资金台帐!AB518</f>
        <v>0</v>
      </c>
      <c r="AC518">
        <f>[1]资金台帐!AC518</f>
        <v>0</v>
      </c>
      <c r="AD518">
        <f>[1]资金台帐!AD518</f>
        <v>0</v>
      </c>
      <c r="AJ518">
        <f>[1]资金台帐!AJ518</f>
        <v>0</v>
      </c>
      <c r="AK518">
        <f>[1]资金台帐!AK518</f>
        <v>0</v>
      </c>
      <c r="BA518" s="22">
        <f t="shared" si="0"/>
      </c>
      <c r="BG518" s="22">
        <f t="shared" si="1"/>
      </c>
      <c r="BH518" s="22">
        <f t="shared" si="2"/>
        <v>0</v>
      </c>
    </row>
    <row r="519">
      <c r="B519">
        <f>[1]资金台帐!B519&amp;""</f>
      </c>
      <c r="H519">
        <f>[1]资金台帐!H519&amp;""</f>
      </c>
      <c r="J519">
        <f>[1]资金台帐!J519&amp;""</f>
      </c>
      <c r="N519">
        <f>[1]资金台帐!N519</f>
      </c>
      <c r="O519">
        <f>[1]资金台帐!O519&amp;""</f>
      </c>
      <c r="P519">
        <f>[1]资金台帐!P519&amp;""</f>
      </c>
      <c r="Q519">
        <f>[1]资金台帐!Q519&amp;""</f>
      </c>
      <c r="T519">
        <f>[1]资金台帐!T519&amp;""</f>
      </c>
      <c r="U519">
        <f>[1]资金台帐!U519&amp;""</f>
      </c>
      <c r="W519">
        <f>[1]资金台帐!W519&amp;""</f>
      </c>
      <c r="X519">
        <f>[1]资金台帐!X519&amp;""</f>
      </c>
      <c r="AB519">
        <f>[1]资金台帐!AB519</f>
        <v>0</v>
      </c>
      <c r="AC519">
        <f>[1]资金台帐!AC519</f>
        <v>0</v>
      </c>
      <c r="AD519">
        <f>[1]资金台帐!AD519</f>
        <v>0</v>
      </c>
      <c r="AJ519">
        <f>[1]资金台帐!AJ519</f>
        <v>0</v>
      </c>
      <c r="AK519">
        <f>[1]资金台帐!AK519</f>
        <v>0</v>
      </c>
      <c r="BA519" s="22">
        <f t="shared" si="0"/>
      </c>
      <c r="BG519" s="22">
        <f t="shared" si="1"/>
      </c>
      <c r="BH519" s="22">
        <f t="shared" si="2"/>
        <v>0</v>
      </c>
    </row>
    <row r="520">
      <c r="B520">
        <f>[1]资金台帐!B520&amp;""</f>
      </c>
      <c r="H520">
        <f>[1]资金台帐!H520&amp;""</f>
      </c>
      <c r="J520">
        <f>[1]资金台帐!J520&amp;""</f>
      </c>
      <c r="N520">
        <f>[1]资金台帐!N520</f>
      </c>
      <c r="O520">
        <f>[1]资金台帐!O520&amp;""</f>
      </c>
      <c r="P520">
        <f>[1]资金台帐!P520&amp;""</f>
      </c>
      <c r="Q520">
        <f>[1]资金台帐!Q520&amp;""</f>
      </c>
      <c r="T520">
        <f>[1]资金台帐!T520&amp;""</f>
      </c>
      <c r="U520">
        <f>[1]资金台帐!U520&amp;""</f>
      </c>
      <c r="W520">
        <f>[1]资金台帐!W520&amp;""</f>
      </c>
      <c r="X520">
        <f>[1]资金台帐!X520&amp;""</f>
      </c>
      <c r="AB520">
        <f>[1]资金台帐!AB520</f>
        <v>0</v>
      </c>
      <c r="AC520">
        <f>[1]资金台帐!AC520</f>
        <v>0</v>
      </c>
      <c r="AD520">
        <f>[1]资金台帐!AD520</f>
        <v>0</v>
      </c>
      <c r="AJ520">
        <f>[1]资金台帐!AJ520</f>
        <v>0</v>
      </c>
      <c r="AK520">
        <f>[1]资金台帐!AK520</f>
        <v>0</v>
      </c>
      <c r="BA520" s="22">
        <f t="shared" si="0"/>
      </c>
      <c r="BG520" s="22">
        <f t="shared" si="1"/>
      </c>
      <c r="BH520" s="22">
        <f t="shared" si="2"/>
        <v>0</v>
      </c>
    </row>
    <row r="521">
      <c r="B521">
        <f>[1]资金台帐!B521&amp;""</f>
      </c>
      <c r="H521">
        <f>[1]资金台帐!H521&amp;""</f>
      </c>
      <c r="J521">
        <f>[1]资金台帐!J521&amp;""</f>
      </c>
      <c r="N521">
        <f>[1]资金台帐!N521</f>
      </c>
      <c r="O521">
        <f>[1]资金台帐!O521&amp;""</f>
      </c>
      <c r="P521">
        <f>[1]资金台帐!P521&amp;""</f>
      </c>
      <c r="Q521">
        <f>[1]资金台帐!Q521&amp;""</f>
      </c>
      <c r="T521">
        <f>[1]资金台帐!T521&amp;""</f>
      </c>
      <c r="U521">
        <f>[1]资金台帐!U521&amp;""</f>
      </c>
      <c r="W521">
        <f>[1]资金台帐!W521&amp;""</f>
      </c>
      <c r="X521">
        <f>[1]资金台帐!X521&amp;""</f>
      </c>
      <c r="AB521">
        <f>[1]资金台帐!AB521</f>
        <v>0</v>
      </c>
      <c r="AC521">
        <f>[1]资金台帐!AC521</f>
        <v>0</v>
      </c>
      <c r="AD521">
        <f>[1]资金台帐!AD521</f>
        <v>0</v>
      </c>
      <c r="AJ521">
        <f>[1]资金台帐!AJ521</f>
        <v>0</v>
      </c>
      <c r="AK521">
        <f>[1]资金台帐!AK521</f>
        <v>0</v>
      </c>
      <c r="BA521" s="22">
        <f t="shared" si="0"/>
      </c>
      <c r="BG521" s="22">
        <f t="shared" si="1"/>
      </c>
      <c r="BH521" s="22">
        <f t="shared" si="2"/>
        <v>0</v>
      </c>
    </row>
    <row r="522">
      <c r="B522">
        <f>[1]资金台帐!B522&amp;""</f>
      </c>
      <c r="H522">
        <f>[1]资金台帐!H522&amp;""</f>
      </c>
      <c r="J522">
        <f>[1]资金台帐!J522&amp;""</f>
      </c>
      <c r="N522">
        <f>[1]资金台帐!N522</f>
      </c>
      <c r="O522">
        <f>[1]资金台帐!O522&amp;""</f>
      </c>
      <c r="P522">
        <f>[1]资金台帐!P522&amp;""</f>
      </c>
      <c r="Q522">
        <f>[1]资金台帐!Q522&amp;""</f>
      </c>
      <c r="T522">
        <f>[1]资金台帐!T522&amp;""</f>
      </c>
      <c r="U522">
        <f>[1]资金台帐!U522&amp;""</f>
      </c>
      <c r="W522">
        <f>[1]资金台帐!W522&amp;""</f>
      </c>
      <c r="X522">
        <f>[1]资金台帐!X522&amp;""</f>
      </c>
      <c r="AB522">
        <f>[1]资金台帐!AB522</f>
        <v>0</v>
      </c>
      <c r="AC522">
        <f>[1]资金台帐!AC522</f>
        <v>0</v>
      </c>
      <c r="AD522">
        <f>[1]资金台帐!AD522</f>
        <v>0</v>
      </c>
      <c r="AJ522">
        <f>[1]资金台帐!AJ522</f>
        <v>0</v>
      </c>
      <c r="AK522">
        <f>[1]资金台帐!AK522</f>
        <v>0</v>
      </c>
      <c r="BA522" s="22">
        <f t="shared" si="0"/>
      </c>
      <c r="BG522" s="22">
        <f t="shared" si="1"/>
      </c>
      <c r="BH522" s="22">
        <f t="shared" si="2"/>
        <v>0</v>
      </c>
    </row>
    <row r="523">
      <c r="B523">
        <f>[1]资金台帐!B523&amp;""</f>
      </c>
      <c r="H523">
        <f>[1]资金台帐!H523&amp;""</f>
      </c>
      <c r="J523">
        <f>[1]资金台帐!J523&amp;""</f>
      </c>
      <c r="N523">
        <f>[1]资金台帐!N523</f>
      </c>
      <c r="O523">
        <f>[1]资金台帐!O523&amp;""</f>
      </c>
      <c r="P523">
        <f>[1]资金台帐!P523&amp;""</f>
      </c>
      <c r="Q523">
        <f>[1]资金台帐!Q523&amp;""</f>
      </c>
      <c r="T523">
        <f>[1]资金台帐!T523&amp;""</f>
      </c>
      <c r="U523">
        <f>[1]资金台帐!U523&amp;""</f>
      </c>
      <c r="W523">
        <f>[1]资金台帐!W523&amp;""</f>
      </c>
      <c r="X523">
        <f>[1]资金台帐!X523&amp;""</f>
      </c>
      <c r="AB523">
        <f>[1]资金台帐!AB523</f>
        <v>0</v>
      </c>
      <c r="AC523">
        <f>[1]资金台帐!AC523</f>
        <v>0</v>
      </c>
      <c r="AD523">
        <f>[1]资金台帐!AD523</f>
        <v>0</v>
      </c>
      <c r="AJ523">
        <f>[1]资金台帐!AJ523</f>
        <v>0</v>
      </c>
      <c r="AK523">
        <f>[1]资金台帐!AK523</f>
        <v>0</v>
      </c>
      <c r="BA523" s="22">
        <f t="shared" si="0"/>
      </c>
      <c r="BG523" s="22">
        <f t="shared" si="1"/>
      </c>
      <c r="BH523" s="22">
        <f t="shared" si="2"/>
        <v>0</v>
      </c>
    </row>
    <row r="524">
      <c r="B524">
        <f>[1]资金台帐!B524&amp;""</f>
      </c>
      <c r="H524">
        <f>[1]资金台帐!H524&amp;""</f>
      </c>
      <c r="J524">
        <f>[1]资金台帐!J524&amp;""</f>
      </c>
      <c r="N524">
        <f>[1]资金台帐!N524</f>
      </c>
      <c r="O524">
        <f>[1]资金台帐!O524&amp;""</f>
      </c>
      <c r="P524">
        <f>[1]资金台帐!P524&amp;""</f>
      </c>
      <c r="Q524">
        <f>[1]资金台帐!Q524&amp;""</f>
      </c>
      <c r="T524">
        <f>[1]资金台帐!T524&amp;""</f>
      </c>
      <c r="U524">
        <f>[1]资金台帐!U524&amp;""</f>
      </c>
      <c r="W524">
        <f>[1]资金台帐!W524&amp;""</f>
      </c>
      <c r="X524">
        <f>[1]资金台帐!X524&amp;""</f>
      </c>
      <c r="AB524">
        <f>[1]资金台帐!AB524</f>
        <v>0</v>
      </c>
      <c r="AC524">
        <f>[1]资金台帐!AC524</f>
        <v>0</v>
      </c>
      <c r="AD524">
        <f>[1]资金台帐!AD524</f>
        <v>0</v>
      </c>
      <c r="AJ524">
        <f>[1]资金台帐!AJ524</f>
        <v>0</v>
      </c>
      <c r="AK524">
        <f>[1]资金台帐!AK524</f>
        <v>0</v>
      </c>
      <c r="BA524" s="22">
        <f t="shared" si="0"/>
      </c>
      <c r="BG524" s="22">
        <f t="shared" si="1"/>
      </c>
      <c r="BH524" s="22">
        <f t="shared" si="2"/>
        <v>0</v>
      </c>
    </row>
    <row r="525">
      <c r="B525">
        <f>[1]资金台帐!B525&amp;""</f>
      </c>
      <c r="H525">
        <f>[1]资金台帐!H525&amp;""</f>
      </c>
      <c r="J525">
        <f>[1]资金台帐!J525&amp;""</f>
      </c>
      <c r="N525">
        <f>[1]资金台帐!N525</f>
      </c>
      <c r="O525">
        <f>[1]资金台帐!O525&amp;""</f>
      </c>
      <c r="P525">
        <f>[1]资金台帐!P525&amp;""</f>
      </c>
      <c r="Q525">
        <f>[1]资金台帐!Q525&amp;""</f>
      </c>
      <c r="T525">
        <f>[1]资金台帐!T525&amp;""</f>
      </c>
      <c r="U525">
        <f>[1]资金台帐!U525&amp;""</f>
      </c>
      <c r="W525">
        <f>[1]资金台帐!W525&amp;""</f>
      </c>
      <c r="X525">
        <f>[1]资金台帐!X525&amp;""</f>
      </c>
      <c r="AB525">
        <f>[1]资金台帐!AB525</f>
        <v>0</v>
      </c>
      <c r="AC525">
        <f>[1]资金台帐!AC525</f>
        <v>0</v>
      </c>
      <c r="AD525">
        <f>[1]资金台帐!AD525</f>
        <v>0</v>
      </c>
      <c r="AJ525">
        <f>[1]资金台帐!AJ525</f>
        <v>0</v>
      </c>
      <c r="AK525">
        <f>[1]资金台帐!AK525</f>
        <v>0</v>
      </c>
      <c r="BA525" s="22">
        <f t="shared" si="0"/>
      </c>
      <c r="BG525" s="22">
        <f t="shared" si="1"/>
      </c>
      <c r="BH525" s="22">
        <f t="shared" si="2"/>
        <v>0</v>
      </c>
    </row>
    <row r="526">
      <c r="B526">
        <f>[1]资金台帐!B526&amp;""</f>
      </c>
      <c r="H526">
        <f>[1]资金台帐!H526&amp;""</f>
      </c>
      <c r="J526">
        <f>[1]资金台帐!J526&amp;""</f>
      </c>
      <c r="N526">
        <f>[1]资金台帐!N526</f>
      </c>
      <c r="O526">
        <f>[1]资金台帐!O526&amp;""</f>
      </c>
      <c r="P526">
        <f>[1]资金台帐!P526&amp;""</f>
      </c>
      <c r="Q526">
        <f>[1]资金台帐!Q526&amp;""</f>
      </c>
      <c r="T526">
        <f>[1]资金台帐!T526&amp;""</f>
      </c>
      <c r="U526">
        <f>[1]资金台帐!U526&amp;""</f>
      </c>
      <c r="W526">
        <f>[1]资金台帐!W526&amp;""</f>
      </c>
      <c r="X526">
        <f>[1]资金台帐!X526&amp;""</f>
      </c>
      <c r="AB526">
        <f>[1]资金台帐!AB526</f>
        <v>0</v>
      </c>
      <c r="AC526">
        <f>[1]资金台帐!AC526</f>
        <v>0</v>
      </c>
      <c r="AD526">
        <f>[1]资金台帐!AD526</f>
        <v>0</v>
      </c>
      <c r="AJ526">
        <f>[1]资金台帐!AJ526</f>
        <v>0</v>
      </c>
      <c r="AK526">
        <f>[1]资金台帐!AK526</f>
        <v>0</v>
      </c>
      <c r="BA526" s="22">
        <f t="shared" si="0"/>
      </c>
      <c r="BG526" s="22">
        <f t="shared" si="1"/>
      </c>
      <c r="BH526" s="22">
        <f t="shared" si="2"/>
        <v>0</v>
      </c>
    </row>
    <row r="527">
      <c r="B527">
        <f>[1]资金台帐!B527&amp;""</f>
      </c>
      <c r="H527">
        <f>[1]资金台帐!H527&amp;""</f>
      </c>
      <c r="J527">
        <f>[1]资金台帐!J527&amp;""</f>
      </c>
      <c r="N527">
        <f>[1]资金台帐!N527</f>
      </c>
      <c r="O527">
        <f>[1]资金台帐!O527&amp;""</f>
      </c>
      <c r="P527">
        <f>[1]资金台帐!P527&amp;""</f>
      </c>
      <c r="Q527">
        <f>[1]资金台帐!Q527&amp;""</f>
      </c>
      <c r="T527">
        <f>[1]资金台帐!T527&amp;""</f>
      </c>
      <c r="U527">
        <f>[1]资金台帐!U527&amp;""</f>
      </c>
      <c r="W527">
        <f>[1]资金台帐!W527&amp;""</f>
      </c>
      <c r="X527">
        <f>[1]资金台帐!X527&amp;""</f>
      </c>
      <c r="AB527">
        <f>[1]资金台帐!AB527</f>
        <v>0</v>
      </c>
      <c r="AC527">
        <f>[1]资金台帐!AC527</f>
        <v>0</v>
      </c>
      <c r="AD527">
        <f>[1]资金台帐!AD527</f>
        <v>0</v>
      </c>
      <c r="AJ527">
        <f>[1]资金台帐!AJ527</f>
        <v>0</v>
      </c>
      <c r="AK527">
        <f>[1]资金台帐!AK527</f>
        <v>0</v>
      </c>
      <c r="BA527" s="22">
        <f t="shared" si="0"/>
      </c>
      <c r="BG527" s="22">
        <f t="shared" si="1"/>
      </c>
      <c r="BH527" s="22">
        <f t="shared" si="2"/>
        <v>0</v>
      </c>
    </row>
    <row r="528">
      <c r="B528">
        <f>[1]资金台帐!B528&amp;""</f>
      </c>
      <c r="H528">
        <f>[1]资金台帐!H528&amp;""</f>
      </c>
      <c r="J528">
        <f>[1]资金台帐!J528&amp;""</f>
      </c>
      <c r="N528">
        <f>[1]资金台帐!N528</f>
      </c>
      <c r="O528">
        <f>[1]资金台帐!O528&amp;""</f>
      </c>
      <c r="P528">
        <f>[1]资金台帐!P528&amp;""</f>
      </c>
      <c r="Q528">
        <f>[1]资金台帐!Q528&amp;""</f>
      </c>
      <c r="T528">
        <f>[1]资金台帐!T528&amp;""</f>
      </c>
      <c r="U528">
        <f>[1]资金台帐!U528&amp;""</f>
      </c>
      <c r="W528">
        <f>[1]资金台帐!W528&amp;""</f>
      </c>
      <c r="X528">
        <f>[1]资金台帐!X528&amp;""</f>
      </c>
      <c r="AB528">
        <f>[1]资金台帐!AB528</f>
        <v>0</v>
      </c>
      <c r="AC528">
        <f>[1]资金台帐!AC528</f>
        <v>0</v>
      </c>
      <c r="AD528">
        <f>[1]资金台帐!AD528</f>
        <v>0</v>
      </c>
      <c r="AJ528">
        <f>[1]资金台帐!AJ528</f>
        <v>0</v>
      </c>
      <c r="AK528">
        <f>[1]资金台帐!AK528</f>
        <v>0</v>
      </c>
      <c r="BA528" s="22">
        <f t="shared" si="0"/>
      </c>
      <c r="BG528" s="22">
        <f t="shared" si="1"/>
      </c>
      <c r="BH528" s="22">
        <f t="shared" si="2"/>
        <v>0</v>
      </c>
    </row>
    <row r="529">
      <c r="B529">
        <f>[1]资金台帐!B529&amp;""</f>
      </c>
      <c r="H529">
        <f>[1]资金台帐!H529&amp;""</f>
      </c>
      <c r="J529">
        <f>[1]资金台帐!J529&amp;""</f>
      </c>
      <c r="N529">
        <f>[1]资金台帐!N529</f>
      </c>
      <c r="O529">
        <f>[1]资金台帐!O529&amp;""</f>
      </c>
      <c r="P529">
        <f>[1]资金台帐!P529&amp;""</f>
      </c>
      <c r="Q529">
        <f>[1]资金台帐!Q529&amp;""</f>
      </c>
      <c r="T529">
        <f>[1]资金台帐!T529&amp;""</f>
      </c>
      <c r="U529">
        <f>[1]资金台帐!U529&amp;""</f>
      </c>
      <c r="W529">
        <f>[1]资金台帐!W529&amp;""</f>
      </c>
      <c r="X529">
        <f>[1]资金台帐!X529&amp;""</f>
      </c>
      <c r="AB529">
        <f>[1]资金台帐!AB529</f>
        <v>0</v>
      </c>
      <c r="AC529">
        <f>[1]资金台帐!AC529</f>
        <v>0</v>
      </c>
      <c r="AD529">
        <f>[1]资金台帐!AD529</f>
        <v>0</v>
      </c>
      <c r="AJ529">
        <f>[1]资金台帐!AJ529</f>
        <v>0</v>
      </c>
      <c r="AK529">
        <f>[1]资金台帐!AK529</f>
        <v>0</v>
      </c>
      <c r="BA529" s="22">
        <f t="shared" si="0"/>
      </c>
      <c r="BG529" s="22">
        <f t="shared" si="1"/>
      </c>
      <c r="BH529" s="22">
        <f t="shared" si="2"/>
        <v>0</v>
      </c>
    </row>
    <row r="530">
      <c r="B530">
        <f>[1]资金台帐!B530&amp;""</f>
      </c>
      <c r="H530">
        <f>[1]资金台帐!H530&amp;""</f>
      </c>
      <c r="J530">
        <f>[1]资金台帐!J530&amp;""</f>
      </c>
      <c r="N530">
        <f>[1]资金台帐!N530</f>
      </c>
      <c r="O530">
        <f>[1]资金台帐!O530&amp;""</f>
      </c>
      <c r="P530">
        <f>[1]资金台帐!P530&amp;""</f>
      </c>
      <c r="Q530">
        <f>[1]资金台帐!Q530&amp;""</f>
      </c>
      <c r="T530">
        <f>[1]资金台帐!T530&amp;""</f>
      </c>
      <c r="U530">
        <f>[1]资金台帐!U530&amp;""</f>
      </c>
      <c r="W530">
        <f>[1]资金台帐!W530&amp;""</f>
      </c>
      <c r="X530">
        <f>[1]资金台帐!X530&amp;""</f>
      </c>
      <c r="AB530">
        <f>[1]资金台帐!AB530</f>
        <v>0</v>
      </c>
      <c r="AC530">
        <f>[1]资金台帐!AC530</f>
        <v>0</v>
      </c>
      <c r="AD530">
        <f>[1]资金台帐!AD530</f>
        <v>0</v>
      </c>
      <c r="AJ530">
        <f>[1]资金台帐!AJ530</f>
        <v>0</v>
      </c>
      <c r="AK530">
        <f>[1]资金台帐!AK530</f>
        <v>0</v>
      </c>
      <c r="BA530" s="22">
        <f t="shared" si="0"/>
      </c>
      <c r="BG530" s="22">
        <f t="shared" si="1"/>
      </c>
      <c r="BH530" s="22">
        <f t="shared" si="2"/>
        <v>0</v>
      </c>
    </row>
    <row r="531">
      <c r="B531">
        <f>[1]资金台帐!B531&amp;""</f>
      </c>
      <c r="H531">
        <f>[1]资金台帐!H531&amp;""</f>
      </c>
      <c r="J531">
        <f>[1]资金台帐!J531&amp;""</f>
      </c>
      <c r="N531">
        <f>[1]资金台帐!N531</f>
      </c>
      <c r="O531">
        <f>[1]资金台帐!O531&amp;""</f>
      </c>
      <c r="P531">
        <f>[1]资金台帐!P531&amp;""</f>
      </c>
      <c r="Q531">
        <f>[1]资金台帐!Q531&amp;""</f>
      </c>
      <c r="T531">
        <f>[1]资金台帐!T531&amp;""</f>
      </c>
      <c r="U531">
        <f>[1]资金台帐!U531&amp;""</f>
      </c>
      <c r="W531">
        <f>[1]资金台帐!W531&amp;""</f>
      </c>
      <c r="X531">
        <f>[1]资金台帐!X531&amp;""</f>
      </c>
      <c r="AB531">
        <f>[1]资金台帐!AB531</f>
        <v>0</v>
      </c>
      <c r="AC531">
        <f>[1]资金台帐!AC531</f>
        <v>0</v>
      </c>
      <c r="AD531">
        <f>[1]资金台帐!AD531</f>
        <v>0</v>
      </c>
      <c r="AJ531">
        <f>[1]资金台帐!AJ531</f>
        <v>0</v>
      </c>
      <c r="AK531">
        <f>[1]资金台帐!AK531</f>
        <v>0</v>
      </c>
      <c r="BA531" s="22">
        <f t="shared" si="0"/>
      </c>
      <c r="BG531" s="22">
        <f t="shared" si="1"/>
      </c>
      <c r="BH531" s="22">
        <f t="shared" si="2"/>
        <v>0</v>
      </c>
    </row>
    <row r="532">
      <c r="B532">
        <f>[1]资金台帐!B532&amp;""</f>
      </c>
      <c r="H532">
        <f>[1]资金台帐!H532&amp;""</f>
      </c>
      <c r="J532">
        <f>[1]资金台帐!J532&amp;""</f>
      </c>
      <c r="N532">
        <f>[1]资金台帐!N532</f>
      </c>
      <c r="O532">
        <f>[1]资金台帐!O532&amp;""</f>
      </c>
      <c r="P532">
        <f>[1]资金台帐!P532&amp;""</f>
      </c>
      <c r="Q532">
        <f>[1]资金台帐!Q532&amp;""</f>
      </c>
      <c r="T532">
        <f>[1]资金台帐!T532&amp;""</f>
      </c>
      <c r="U532">
        <f>[1]资金台帐!U532&amp;""</f>
      </c>
      <c r="W532">
        <f>[1]资金台帐!W532&amp;""</f>
      </c>
      <c r="X532">
        <f>[1]资金台帐!X532&amp;""</f>
      </c>
      <c r="AB532">
        <f>[1]资金台帐!AB532</f>
        <v>0</v>
      </c>
      <c r="AC532">
        <f>[1]资金台帐!AC532</f>
        <v>0</v>
      </c>
      <c r="AD532">
        <f>[1]资金台帐!AD532</f>
        <v>0</v>
      </c>
      <c r="AJ532">
        <f>[1]资金台帐!AJ532</f>
        <v>0</v>
      </c>
      <c r="AK532">
        <f>[1]资金台帐!AK532</f>
        <v>0</v>
      </c>
      <c r="BA532" s="22">
        <f t="shared" si="0"/>
      </c>
      <c r="BG532" s="22">
        <f t="shared" si="1"/>
      </c>
      <c r="BH532" s="22">
        <f t="shared" si="2"/>
        <v>0</v>
      </c>
    </row>
    <row r="533">
      <c r="B533">
        <f>[1]资金台帐!B533&amp;""</f>
      </c>
      <c r="H533">
        <f>[1]资金台帐!H533&amp;""</f>
      </c>
      <c r="J533">
        <f>[1]资金台帐!J533&amp;""</f>
      </c>
      <c r="N533">
        <f>[1]资金台帐!N533</f>
      </c>
      <c r="O533">
        <f>[1]资金台帐!O533&amp;""</f>
      </c>
      <c r="P533">
        <f>[1]资金台帐!P533&amp;""</f>
      </c>
      <c r="Q533">
        <f>[1]资金台帐!Q533&amp;""</f>
      </c>
      <c r="T533">
        <f>[1]资金台帐!T533&amp;""</f>
      </c>
      <c r="U533">
        <f>[1]资金台帐!U533&amp;""</f>
      </c>
      <c r="W533">
        <f>[1]资金台帐!W533&amp;""</f>
      </c>
      <c r="X533">
        <f>[1]资金台帐!X533&amp;""</f>
      </c>
      <c r="AB533">
        <f>[1]资金台帐!AB533</f>
        <v>0</v>
      </c>
      <c r="AC533">
        <f>[1]资金台帐!AC533</f>
        <v>0</v>
      </c>
      <c r="AD533">
        <f>[1]资金台帐!AD533</f>
        <v>0</v>
      </c>
      <c r="AJ533">
        <f>[1]资金台帐!AJ533</f>
        <v>0</v>
      </c>
      <c r="AK533">
        <f>[1]资金台帐!AK533</f>
        <v>0</v>
      </c>
      <c r="BA533" s="22">
        <f t="shared" si="0"/>
      </c>
      <c r="BG533" s="22">
        <f t="shared" si="1"/>
      </c>
      <c r="BH533" s="22">
        <f t="shared" si="2"/>
        <v>0</v>
      </c>
    </row>
    <row r="534">
      <c r="B534">
        <f>[1]资金台帐!B534&amp;""</f>
      </c>
      <c r="H534">
        <f>[1]资金台帐!H534&amp;""</f>
      </c>
      <c r="J534">
        <f>[1]资金台帐!J534&amp;""</f>
      </c>
      <c r="N534">
        <f>[1]资金台帐!N534</f>
      </c>
      <c r="O534">
        <f>[1]资金台帐!O534&amp;""</f>
      </c>
      <c r="P534">
        <f>[1]资金台帐!P534&amp;""</f>
      </c>
      <c r="Q534">
        <f>[1]资金台帐!Q534&amp;""</f>
      </c>
      <c r="T534">
        <f>[1]资金台帐!T534&amp;""</f>
      </c>
      <c r="U534">
        <f>[1]资金台帐!U534&amp;""</f>
      </c>
      <c r="W534">
        <f>[1]资金台帐!W534&amp;""</f>
      </c>
      <c r="X534">
        <f>[1]资金台帐!X534&amp;""</f>
      </c>
      <c r="AB534">
        <f>[1]资金台帐!AB534</f>
        <v>0</v>
      </c>
      <c r="AC534">
        <f>[1]资金台帐!AC534</f>
        <v>0</v>
      </c>
      <c r="AD534">
        <f>[1]资金台帐!AD534</f>
        <v>0</v>
      </c>
      <c r="AJ534">
        <f>[1]资金台帐!AJ534</f>
        <v>0</v>
      </c>
      <c r="AK534">
        <f>[1]资金台帐!AK534</f>
        <v>0</v>
      </c>
      <c r="BA534" s="22">
        <f t="shared" si="0"/>
      </c>
      <c r="BG534" s="22">
        <f t="shared" si="1"/>
      </c>
      <c r="BH534" s="22">
        <f t="shared" si="2"/>
        <v>0</v>
      </c>
    </row>
    <row r="535">
      <c r="B535">
        <f>[1]资金台帐!B535&amp;""</f>
      </c>
      <c r="H535">
        <f>[1]资金台帐!H535&amp;""</f>
      </c>
      <c r="J535">
        <f>[1]资金台帐!J535&amp;""</f>
      </c>
      <c r="N535">
        <f>[1]资金台帐!N535</f>
      </c>
      <c r="O535">
        <f>[1]资金台帐!O535&amp;""</f>
      </c>
      <c r="P535">
        <f>[1]资金台帐!P535&amp;""</f>
      </c>
      <c r="Q535">
        <f>[1]资金台帐!Q535&amp;""</f>
      </c>
      <c r="T535">
        <f>[1]资金台帐!T535&amp;""</f>
      </c>
      <c r="U535">
        <f>[1]资金台帐!U535&amp;""</f>
      </c>
      <c r="W535">
        <f>[1]资金台帐!W535&amp;""</f>
      </c>
      <c r="X535">
        <f>[1]资金台帐!X535&amp;""</f>
      </c>
      <c r="AB535">
        <f>[1]资金台帐!AB535</f>
        <v>0</v>
      </c>
      <c r="AC535">
        <f>[1]资金台帐!AC535</f>
        <v>0</v>
      </c>
      <c r="AD535">
        <f>[1]资金台帐!AD535</f>
        <v>0</v>
      </c>
      <c r="AJ535">
        <f>[1]资金台帐!AJ535</f>
        <v>0</v>
      </c>
      <c r="AK535">
        <f>[1]资金台帐!AK535</f>
        <v>0</v>
      </c>
      <c r="BA535" s="22">
        <f t="shared" si="0"/>
      </c>
      <c r="BG535" s="22">
        <f t="shared" si="1"/>
      </c>
      <c r="BH535" s="22">
        <f t="shared" si="2"/>
        <v>0</v>
      </c>
    </row>
    <row r="536">
      <c r="B536">
        <f>[1]资金台帐!B536&amp;""</f>
      </c>
      <c r="H536">
        <f>[1]资金台帐!H536&amp;""</f>
      </c>
      <c r="J536">
        <f>[1]资金台帐!J536&amp;""</f>
      </c>
      <c r="N536">
        <f>[1]资金台帐!N536</f>
      </c>
      <c r="O536">
        <f>[1]资金台帐!O536&amp;""</f>
      </c>
      <c r="P536">
        <f>[1]资金台帐!P536&amp;""</f>
      </c>
      <c r="Q536">
        <f>[1]资金台帐!Q536&amp;""</f>
      </c>
      <c r="T536">
        <f>[1]资金台帐!T536&amp;""</f>
      </c>
      <c r="U536">
        <f>[1]资金台帐!U536&amp;""</f>
      </c>
      <c r="W536">
        <f>[1]资金台帐!W536&amp;""</f>
      </c>
      <c r="X536">
        <f>[1]资金台帐!X536&amp;""</f>
      </c>
      <c r="AB536">
        <f>[1]资金台帐!AB536</f>
        <v>0</v>
      </c>
      <c r="AC536">
        <f>[1]资金台帐!AC536</f>
        <v>0</v>
      </c>
      <c r="AD536">
        <f>[1]资金台帐!AD536</f>
        <v>0</v>
      </c>
      <c r="AJ536">
        <f>[1]资金台帐!AJ536</f>
        <v>0</v>
      </c>
      <c r="AK536">
        <f>[1]资金台帐!AK536</f>
        <v>0</v>
      </c>
      <c r="BA536" s="22">
        <f t="shared" si="0"/>
      </c>
      <c r="BG536" s="22">
        <f t="shared" si="1"/>
      </c>
      <c r="BH536" s="22">
        <f t="shared" si="2"/>
        <v>0</v>
      </c>
    </row>
    <row r="537">
      <c r="B537">
        <f>[1]资金台帐!B537&amp;""</f>
      </c>
      <c r="H537">
        <f>[1]资金台帐!H537&amp;""</f>
      </c>
      <c r="J537">
        <f>[1]资金台帐!J537&amp;""</f>
      </c>
      <c r="N537">
        <f>[1]资金台帐!N537</f>
      </c>
      <c r="O537">
        <f>[1]资金台帐!O537&amp;""</f>
      </c>
      <c r="P537">
        <f>[1]资金台帐!P537&amp;""</f>
      </c>
      <c r="Q537">
        <f>[1]资金台帐!Q537&amp;""</f>
      </c>
      <c r="T537">
        <f>[1]资金台帐!T537&amp;""</f>
      </c>
      <c r="U537">
        <f>[1]资金台帐!U537&amp;""</f>
      </c>
      <c r="W537">
        <f>[1]资金台帐!W537&amp;""</f>
      </c>
      <c r="X537">
        <f>[1]资金台帐!X537&amp;""</f>
      </c>
      <c r="AB537">
        <f>[1]资金台帐!AB537</f>
        <v>0</v>
      </c>
      <c r="AC537">
        <f>[1]资金台帐!AC537</f>
        <v>0</v>
      </c>
      <c r="AD537">
        <f>[1]资金台帐!AD537</f>
        <v>0</v>
      </c>
      <c r="AJ537">
        <f>[1]资金台帐!AJ537</f>
        <v>0</v>
      </c>
      <c r="AK537">
        <f>[1]资金台帐!AK537</f>
        <v>0</v>
      </c>
      <c r="BA537" s="22">
        <f t="shared" si="0"/>
      </c>
      <c r="BG537" s="22">
        <f t="shared" si="1"/>
      </c>
      <c r="BH537" s="22">
        <f t="shared" si="2"/>
        <v>0</v>
      </c>
    </row>
    <row r="538">
      <c r="B538">
        <f>[1]资金台帐!B538&amp;""</f>
      </c>
      <c r="H538">
        <f>[1]资金台帐!H538&amp;""</f>
      </c>
      <c r="J538">
        <f>[1]资金台帐!J538&amp;""</f>
      </c>
      <c r="N538">
        <f>[1]资金台帐!N538</f>
      </c>
      <c r="O538">
        <f>[1]资金台帐!O538&amp;""</f>
      </c>
      <c r="P538">
        <f>[1]资金台帐!P538&amp;""</f>
      </c>
      <c r="Q538">
        <f>[1]资金台帐!Q538&amp;""</f>
      </c>
      <c r="T538">
        <f>[1]资金台帐!T538&amp;""</f>
      </c>
      <c r="U538">
        <f>[1]资金台帐!U538&amp;""</f>
      </c>
      <c r="W538">
        <f>[1]资金台帐!W538&amp;""</f>
      </c>
      <c r="X538">
        <f>[1]资金台帐!X538&amp;""</f>
      </c>
      <c r="AB538">
        <f>[1]资金台帐!AB538</f>
        <v>0</v>
      </c>
      <c r="AC538">
        <f>[1]资金台帐!AC538</f>
        <v>0</v>
      </c>
      <c r="AD538">
        <f>[1]资金台帐!AD538</f>
        <v>0</v>
      </c>
      <c r="AJ538">
        <f>[1]资金台帐!AJ538</f>
        <v>0</v>
      </c>
      <c r="AK538">
        <f>[1]资金台帐!AK538</f>
        <v>0</v>
      </c>
      <c r="BA538" s="22">
        <f t="shared" si="0"/>
      </c>
      <c r="BG538" s="22">
        <f t="shared" si="1"/>
      </c>
      <c r="BH538" s="22">
        <f t="shared" si="2"/>
        <v>0</v>
      </c>
    </row>
    <row r="539">
      <c r="B539">
        <f>[1]资金台帐!B539&amp;""</f>
      </c>
      <c r="H539">
        <f>[1]资金台帐!H539&amp;""</f>
      </c>
      <c r="J539">
        <f>[1]资金台帐!J539&amp;""</f>
      </c>
      <c r="N539">
        <f>[1]资金台帐!N539</f>
      </c>
      <c r="O539">
        <f>[1]资金台帐!O539&amp;""</f>
      </c>
      <c r="P539">
        <f>[1]资金台帐!P539&amp;""</f>
      </c>
      <c r="Q539">
        <f>[1]资金台帐!Q539&amp;""</f>
      </c>
      <c r="T539">
        <f>[1]资金台帐!T539&amp;""</f>
      </c>
      <c r="U539">
        <f>[1]资金台帐!U539&amp;""</f>
      </c>
      <c r="W539">
        <f>[1]资金台帐!W539&amp;""</f>
      </c>
      <c r="X539">
        <f>[1]资金台帐!X539&amp;""</f>
      </c>
      <c r="AB539">
        <f>[1]资金台帐!AB539</f>
        <v>0</v>
      </c>
      <c r="AC539">
        <f>[1]资金台帐!AC539</f>
        <v>0</v>
      </c>
      <c r="AD539">
        <f>[1]资金台帐!AD539</f>
        <v>0</v>
      </c>
      <c r="AJ539">
        <f>[1]资金台帐!AJ539</f>
        <v>0</v>
      </c>
      <c r="AK539">
        <f>[1]资金台帐!AK539</f>
        <v>0</v>
      </c>
      <c r="BA539" s="22">
        <f t="shared" si="0"/>
      </c>
      <c r="BG539" s="22">
        <f t="shared" si="1"/>
      </c>
      <c r="BH539" s="22">
        <f t="shared" si="2"/>
        <v>0</v>
      </c>
    </row>
    <row r="540">
      <c r="B540">
        <f>[1]资金台帐!B540&amp;""</f>
      </c>
      <c r="H540">
        <f>[1]资金台帐!H540&amp;""</f>
      </c>
      <c r="J540">
        <f>[1]资金台帐!J540&amp;""</f>
      </c>
      <c r="N540">
        <f>[1]资金台帐!N540</f>
      </c>
      <c r="O540">
        <f>[1]资金台帐!O540&amp;""</f>
      </c>
      <c r="P540">
        <f>[1]资金台帐!P540&amp;""</f>
      </c>
      <c r="Q540">
        <f>[1]资金台帐!Q540&amp;""</f>
      </c>
      <c r="T540">
        <f>[1]资金台帐!T540&amp;""</f>
      </c>
      <c r="U540">
        <f>[1]资金台帐!U540&amp;""</f>
      </c>
      <c r="W540">
        <f>[1]资金台帐!W540&amp;""</f>
      </c>
      <c r="X540">
        <f>[1]资金台帐!X540&amp;""</f>
      </c>
      <c r="AB540">
        <f>[1]资金台帐!AB540</f>
        <v>0</v>
      </c>
      <c r="AC540">
        <f>[1]资金台帐!AC540</f>
        <v>0</v>
      </c>
      <c r="AD540">
        <f>[1]资金台帐!AD540</f>
        <v>0</v>
      </c>
      <c r="AJ540">
        <f>[1]资金台帐!AJ540</f>
        <v>0</v>
      </c>
      <c r="AK540">
        <f>[1]资金台帐!AK540</f>
        <v>0</v>
      </c>
      <c r="BA540" s="22">
        <f t="shared" si="0"/>
      </c>
      <c r="BG540" s="22">
        <f t="shared" si="1"/>
      </c>
      <c r="BH540" s="22">
        <f t="shared" si="2"/>
        <v>0</v>
      </c>
    </row>
    <row r="541">
      <c r="B541">
        <f>[1]资金台帐!B541&amp;""</f>
      </c>
      <c r="H541">
        <f>[1]资金台帐!H541&amp;""</f>
      </c>
      <c r="J541">
        <f>[1]资金台帐!J541&amp;""</f>
      </c>
      <c r="N541">
        <f>[1]资金台帐!N541</f>
      </c>
      <c r="O541">
        <f>[1]资金台帐!O541&amp;""</f>
      </c>
      <c r="P541">
        <f>[1]资金台帐!P541&amp;""</f>
      </c>
      <c r="Q541">
        <f>[1]资金台帐!Q541&amp;""</f>
      </c>
      <c r="T541">
        <f>[1]资金台帐!T541&amp;""</f>
      </c>
      <c r="U541">
        <f>[1]资金台帐!U541&amp;""</f>
      </c>
      <c r="W541">
        <f>[1]资金台帐!W541&amp;""</f>
      </c>
      <c r="X541">
        <f>[1]资金台帐!X541&amp;""</f>
      </c>
      <c r="AB541">
        <f>[1]资金台帐!AB541</f>
        <v>0</v>
      </c>
      <c r="AC541">
        <f>[1]资金台帐!AC541</f>
        <v>0</v>
      </c>
      <c r="AD541">
        <f>[1]资金台帐!AD541</f>
        <v>0</v>
      </c>
      <c r="AJ541">
        <f>[1]资金台帐!AJ541</f>
        <v>0</v>
      </c>
      <c r="AK541">
        <f>[1]资金台帐!AK541</f>
        <v>0</v>
      </c>
      <c r="BA541" s="22">
        <f t="shared" si="0"/>
      </c>
      <c r="BG541" s="22">
        <f t="shared" si="1"/>
      </c>
      <c r="BH541" s="22">
        <f t="shared" si="2"/>
        <v>0</v>
      </c>
    </row>
    <row r="542">
      <c r="B542">
        <f>[1]资金台帐!B542&amp;""</f>
      </c>
      <c r="H542">
        <f>[1]资金台帐!H542&amp;""</f>
      </c>
      <c r="J542">
        <f>[1]资金台帐!J542&amp;""</f>
      </c>
      <c r="N542">
        <f>[1]资金台帐!N542</f>
      </c>
      <c r="O542">
        <f>[1]资金台帐!O542&amp;""</f>
      </c>
      <c r="P542">
        <f>[1]资金台帐!P542&amp;""</f>
      </c>
      <c r="Q542">
        <f>[1]资金台帐!Q542&amp;""</f>
      </c>
      <c r="T542">
        <f>[1]资金台帐!T542&amp;""</f>
      </c>
      <c r="U542">
        <f>[1]资金台帐!U542&amp;""</f>
      </c>
      <c r="W542">
        <f>[1]资金台帐!W542&amp;""</f>
      </c>
      <c r="X542">
        <f>[1]资金台帐!X542&amp;""</f>
      </c>
      <c r="AB542">
        <f>[1]资金台帐!AB542</f>
        <v>0</v>
      </c>
      <c r="AC542">
        <f>[1]资金台帐!AC542</f>
        <v>0</v>
      </c>
      <c r="AD542">
        <f>[1]资金台帐!AD542</f>
        <v>0</v>
      </c>
      <c r="AJ542">
        <f>[1]资金台帐!AJ542</f>
        <v>0</v>
      </c>
      <c r="AK542">
        <f>[1]资金台帐!AK542</f>
        <v>0</v>
      </c>
      <c r="BA542" s="22">
        <f t="shared" si="0"/>
      </c>
      <c r="BG542" s="22">
        <f t="shared" si="1"/>
      </c>
      <c r="BH542" s="22">
        <f t="shared" si="2"/>
        <v>0</v>
      </c>
    </row>
    <row r="543">
      <c r="B543">
        <f>[1]资金台帐!B543&amp;""</f>
      </c>
      <c r="H543">
        <f>[1]资金台帐!H543&amp;""</f>
      </c>
      <c r="J543">
        <f>[1]资金台帐!J543&amp;""</f>
      </c>
      <c r="N543">
        <f>[1]资金台帐!N543</f>
      </c>
      <c r="O543">
        <f>[1]资金台帐!O543&amp;""</f>
      </c>
      <c r="P543">
        <f>[1]资金台帐!P543&amp;""</f>
      </c>
      <c r="Q543">
        <f>[1]资金台帐!Q543&amp;""</f>
      </c>
      <c r="T543">
        <f>[1]资金台帐!T543&amp;""</f>
      </c>
      <c r="U543">
        <f>[1]资金台帐!U543&amp;""</f>
      </c>
      <c r="W543">
        <f>[1]资金台帐!W543&amp;""</f>
      </c>
      <c r="X543">
        <f>[1]资金台帐!X543&amp;""</f>
      </c>
      <c r="AB543">
        <f>[1]资金台帐!AB543</f>
        <v>0</v>
      </c>
      <c r="AC543">
        <f>[1]资金台帐!AC543</f>
        <v>0</v>
      </c>
      <c r="AD543">
        <f>[1]资金台帐!AD543</f>
        <v>0</v>
      </c>
      <c r="AJ543">
        <f>[1]资金台帐!AJ543</f>
        <v>0</v>
      </c>
      <c r="AK543">
        <f>[1]资金台帐!AK543</f>
        <v>0</v>
      </c>
      <c r="BA543" s="22">
        <f t="shared" si="0"/>
      </c>
      <c r="BG543" s="22">
        <f t="shared" si="1"/>
      </c>
      <c r="BH543" s="22">
        <f t="shared" si="2"/>
        <v>0</v>
      </c>
    </row>
    <row r="544">
      <c r="B544">
        <f>[1]资金台帐!B544&amp;""</f>
      </c>
      <c r="H544">
        <f>[1]资金台帐!H544&amp;""</f>
      </c>
      <c r="J544">
        <f>[1]资金台帐!J544&amp;""</f>
      </c>
      <c r="N544">
        <f>[1]资金台帐!N544</f>
      </c>
      <c r="O544">
        <f>[1]资金台帐!O544&amp;""</f>
      </c>
      <c r="P544">
        <f>[1]资金台帐!P544&amp;""</f>
      </c>
      <c r="Q544">
        <f>[1]资金台帐!Q544&amp;""</f>
      </c>
      <c r="T544">
        <f>[1]资金台帐!T544&amp;""</f>
      </c>
      <c r="U544">
        <f>[1]资金台帐!U544&amp;""</f>
      </c>
      <c r="W544">
        <f>[1]资金台帐!W544&amp;""</f>
      </c>
      <c r="X544">
        <f>[1]资金台帐!X544&amp;""</f>
      </c>
      <c r="AB544">
        <f>[1]资金台帐!AB544</f>
        <v>0</v>
      </c>
      <c r="AC544">
        <f>[1]资金台帐!AC544</f>
        <v>0</v>
      </c>
      <c r="AD544">
        <f>[1]资金台帐!AD544</f>
        <v>0</v>
      </c>
      <c r="AJ544">
        <f>[1]资金台帐!AJ544</f>
        <v>0</v>
      </c>
      <c r="AK544">
        <f>[1]资金台帐!AK544</f>
        <v>0</v>
      </c>
      <c r="BA544" s="22">
        <f t="shared" si="0"/>
      </c>
      <c r="BG544" s="22">
        <f t="shared" si="1"/>
      </c>
      <c r="BH544" s="22">
        <f t="shared" si="2"/>
        <v>0</v>
      </c>
    </row>
    <row r="545">
      <c r="B545">
        <f>[1]资金台帐!B545&amp;""</f>
      </c>
      <c r="H545">
        <f>[1]资金台帐!H545&amp;""</f>
      </c>
      <c r="J545">
        <f>[1]资金台帐!J545&amp;""</f>
      </c>
      <c r="N545">
        <f>[1]资金台帐!N545</f>
      </c>
      <c r="O545">
        <f>[1]资金台帐!O545&amp;""</f>
      </c>
      <c r="P545">
        <f>[1]资金台帐!P545&amp;""</f>
      </c>
      <c r="Q545">
        <f>[1]资金台帐!Q545&amp;""</f>
      </c>
      <c r="T545">
        <f>[1]资金台帐!T545&amp;""</f>
      </c>
      <c r="U545">
        <f>[1]资金台帐!U545&amp;""</f>
      </c>
      <c r="W545">
        <f>[1]资金台帐!W545&amp;""</f>
      </c>
      <c r="X545">
        <f>[1]资金台帐!X545&amp;""</f>
      </c>
      <c r="AB545">
        <f>[1]资金台帐!AB545</f>
        <v>0</v>
      </c>
      <c r="AC545">
        <f>[1]资金台帐!AC545</f>
        <v>0</v>
      </c>
      <c r="AD545">
        <f>[1]资金台帐!AD545</f>
        <v>0</v>
      </c>
      <c r="AJ545">
        <f>[1]资金台帐!AJ545</f>
        <v>0</v>
      </c>
      <c r="AK545">
        <f>[1]资金台帐!AK545</f>
        <v>0</v>
      </c>
      <c r="BA545" s="22">
        <f t="shared" si="0"/>
      </c>
      <c r="BG545" s="22">
        <f t="shared" si="1"/>
      </c>
      <c r="BH545" s="22">
        <f t="shared" si="2"/>
        <v>0</v>
      </c>
    </row>
    <row r="546">
      <c r="B546">
        <f>[1]资金台帐!B546&amp;""</f>
      </c>
      <c r="H546">
        <f>[1]资金台帐!H546&amp;""</f>
      </c>
      <c r="J546">
        <f>[1]资金台帐!J546&amp;""</f>
      </c>
      <c r="N546">
        <f>[1]资金台帐!N546</f>
      </c>
      <c r="O546">
        <f>[1]资金台帐!O546&amp;""</f>
      </c>
      <c r="P546">
        <f>[1]资金台帐!P546&amp;""</f>
      </c>
      <c r="Q546">
        <f>[1]资金台帐!Q546&amp;""</f>
      </c>
      <c r="T546">
        <f>[1]资金台帐!T546&amp;""</f>
      </c>
      <c r="U546">
        <f>[1]资金台帐!U546&amp;""</f>
      </c>
      <c r="W546">
        <f>[1]资金台帐!W546&amp;""</f>
      </c>
      <c r="X546">
        <f>[1]资金台帐!X546&amp;""</f>
      </c>
      <c r="AB546">
        <f>[1]资金台帐!AB546</f>
        <v>0</v>
      </c>
      <c r="AC546">
        <f>[1]资金台帐!AC546</f>
        <v>0</v>
      </c>
      <c r="AD546">
        <f>[1]资金台帐!AD546</f>
        <v>0</v>
      </c>
      <c r="AJ546">
        <f>[1]资金台帐!AJ546</f>
        <v>0</v>
      </c>
      <c r="AK546">
        <f>[1]资金台帐!AK546</f>
        <v>0</v>
      </c>
      <c r="BA546" s="22">
        <f t="shared" si="0"/>
      </c>
      <c r="BG546" s="22">
        <f t="shared" si="1"/>
      </c>
      <c r="BH546" s="22">
        <f t="shared" si="2"/>
        <v>0</v>
      </c>
    </row>
    <row r="547">
      <c r="B547">
        <f>[1]资金台帐!B547&amp;""</f>
      </c>
      <c r="H547">
        <f>[1]资金台帐!H547&amp;""</f>
      </c>
      <c r="J547">
        <f>[1]资金台帐!J547&amp;""</f>
      </c>
      <c r="N547">
        <f>[1]资金台帐!N547</f>
      </c>
      <c r="O547">
        <f>[1]资金台帐!O547&amp;""</f>
      </c>
      <c r="P547">
        <f>[1]资金台帐!P547&amp;""</f>
      </c>
      <c r="Q547">
        <f>[1]资金台帐!Q547&amp;""</f>
      </c>
      <c r="T547">
        <f>[1]资金台帐!T547&amp;""</f>
      </c>
      <c r="U547">
        <f>[1]资金台帐!U547&amp;""</f>
      </c>
      <c r="W547">
        <f>[1]资金台帐!W547&amp;""</f>
      </c>
      <c r="X547">
        <f>[1]资金台帐!X547&amp;""</f>
      </c>
      <c r="AB547">
        <f>[1]资金台帐!AB547</f>
        <v>0</v>
      </c>
      <c r="AC547">
        <f>[1]资金台帐!AC547</f>
        <v>0</v>
      </c>
      <c r="AD547">
        <f>[1]资金台帐!AD547</f>
        <v>0</v>
      </c>
      <c r="AJ547">
        <f>[1]资金台帐!AJ547</f>
        <v>0</v>
      </c>
      <c r="AK547">
        <f>[1]资金台帐!AK547</f>
        <v>0</v>
      </c>
      <c r="BA547" s="22">
        <f t="shared" si="0"/>
      </c>
      <c r="BG547" s="22">
        <f t="shared" si="1"/>
      </c>
      <c r="BH547" s="22">
        <f t="shared" si="2"/>
        <v>0</v>
      </c>
    </row>
    <row r="548">
      <c r="B548">
        <f>[1]资金台帐!B548&amp;""</f>
      </c>
      <c r="H548">
        <f>[1]资金台帐!H548&amp;""</f>
      </c>
      <c r="J548">
        <f>[1]资金台帐!J548&amp;""</f>
      </c>
      <c r="N548">
        <f>[1]资金台帐!N548</f>
      </c>
      <c r="O548">
        <f>[1]资金台帐!O548&amp;""</f>
      </c>
      <c r="P548">
        <f>[1]资金台帐!P548&amp;""</f>
      </c>
      <c r="Q548">
        <f>[1]资金台帐!Q548&amp;""</f>
      </c>
      <c r="T548">
        <f>[1]资金台帐!T548&amp;""</f>
      </c>
      <c r="U548">
        <f>[1]资金台帐!U548&amp;""</f>
      </c>
      <c r="W548">
        <f>[1]资金台帐!W548&amp;""</f>
      </c>
      <c r="X548">
        <f>[1]资金台帐!X548&amp;""</f>
      </c>
      <c r="AB548">
        <f>[1]资金台帐!AB548</f>
        <v>0</v>
      </c>
      <c r="AC548">
        <f>[1]资金台帐!AC548</f>
        <v>0</v>
      </c>
      <c r="AD548">
        <f>[1]资金台帐!AD548</f>
        <v>0</v>
      </c>
      <c r="AJ548">
        <f>[1]资金台帐!AJ548</f>
        <v>0</v>
      </c>
      <c r="AK548">
        <f>[1]资金台帐!AK548</f>
        <v>0</v>
      </c>
      <c r="BA548" s="22">
        <f t="shared" si="0"/>
      </c>
      <c r="BG548" s="22">
        <f t="shared" si="1"/>
      </c>
      <c r="BH548" s="22">
        <f t="shared" si="2"/>
        <v>0</v>
      </c>
    </row>
    <row r="549">
      <c r="B549">
        <f>[1]资金台帐!B549&amp;""</f>
      </c>
      <c r="H549">
        <f>[1]资金台帐!H549&amp;""</f>
      </c>
      <c r="J549">
        <f>[1]资金台帐!J549&amp;""</f>
      </c>
      <c r="N549">
        <f>[1]资金台帐!N549</f>
      </c>
      <c r="O549">
        <f>[1]资金台帐!O549&amp;""</f>
      </c>
      <c r="P549">
        <f>[1]资金台帐!P549&amp;""</f>
      </c>
      <c r="Q549">
        <f>[1]资金台帐!Q549&amp;""</f>
      </c>
      <c r="T549">
        <f>[1]资金台帐!T549&amp;""</f>
      </c>
      <c r="U549">
        <f>[1]资金台帐!U549&amp;""</f>
      </c>
      <c r="W549">
        <f>[1]资金台帐!W549&amp;""</f>
      </c>
      <c r="X549">
        <f>[1]资金台帐!X549&amp;""</f>
      </c>
      <c r="AB549">
        <f>[1]资金台帐!AB549</f>
        <v>0</v>
      </c>
      <c r="AC549">
        <f>[1]资金台帐!AC549</f>
        <v>0</v>
      </c>
      <c r="AD549">
        <f>[1]资金台帐!AD549</f>
        <v>0</v>
      </c>
      <c r="AJ549">
        <f>[1]资金台帐!AJ549</f>
        <v>0</v>
      </c>
      <c r="AK549">
        <f>[1]资金台帐!AK549</f>
        <v>0</v>
      </c>
      <c r="BA549" s="22">
        <f t="shared" si="0"/>
      </c>
      <c r="BG549" s="22">
        <f t="shared" si="1"/>
      </c>
      <c r="BH549" s="22">
        <f t="shared" si="2"/>
        <v>0</v>
      </c>
    </row>
    <row r="550">
      <c r="B550">
        <f>[1]资金台帐!B550&amp;""</f>
      </c>
      <c r="H550">
        <f>[1]资金台帐!H550&amp;""</f>
      </c>
      <c r="J550">
        <f>[1]资金台帐!J550&amp;""</f>
      </c>
      <c r="N550">
        <f>[1]资金台帐!N550</f>
      </c>
      <c r="O550">
        <f>[1]资金台帐!O550&amp;""</f>
      </c>
      <c r="P550">
        <f>[1]资金台帐!P550&amp;""</f>
      </c>
      <c r="Q550">
        <f>[1]资金台帐!Q550&amp;""</f>
      </c>
      <c r="T550">
        <f>[1]资金台帐!T550&amp;""</f>
      </c>
      <c r="U550">
        <f>[1]资金台帐!U550&amp;""</f>
      </c>
      <c r="W550">
        <f>[1]资金台帐!W550&amp;""</f>
      </c>
      <c r="X550">
        <f>[1]资金台帐!X550&amp;""</f>
      </c>
      <c r="AB550">
        <f>[1]资金台帐!AB550</f>
        <v>0</v>
      </c>
      <c r="AC550">
        <f>[1]资金台帐!AC550</f>
        <v>0</v>
      </c>
      <c r="AD550">
        <f>[1]资金台帐!AD550</f>
        <v>0</v>
      </c>
      <c r="AJ550">
        <f>[1]资金台帐!AJ550</f>
        <v>0</v>
      </c>
      <c r="AK550">
        <f>[1]资金台帐!AK550</f>
        <v>0</v>
      </c>
      <c r="BA550" s="22">
        <f t="shared" si="0"/>
      </c>
      <c r="BG550" s="22">
        <f t="shared" si="1"/>
      </c>
      <c r="BH550" s="22">
        <f t="shared" si="2"/>
        <v>0</v>
      </c>
    </row>
    <row r="551">
      <c r="B551">
        <f>[1]资金台帐!B551&amp;""</f>
      </c>
      <c r="H551">
        <f>[1]资金台帐!H551&amp;""</f>
      </c>
      <c r="J551">
        <f>[1]资金台帐!J551&amp;""</f>
      </c>
      <c r="N551">
        <f>[1]资金台帐!N551</f>
      </c>
      <c r="O551">
        <f>[1]资金台帐!O551&amp;""</f>
      </c>
      <c r="P551">
        <f>[1]资金台帐!P551&amp;""</f>
      </c>
      <c r="Q551">
        <f>[1]资金台帐!Q551&amp;""</f>
      </c>
      <c r="T551">
        <f>[1]资金台帐!T551&amp;""</f>
      </c>
      <c r="U551">
        <f>[1]资金台帐!U551&amp;""</f>
      </c>
      <c r="W551">
        <f>[1]资金台帐!W551&amp;""</f>
      </c>
      <c r="X551">
        <f>[1]资金台帐!X551&amp;""</f>
      </c>
      <c r="AB551">
        <f>[1]资金台帐!AB551</f>
        <v>0</v>
      </c>
      <c r="AC551">
        <f>[1]资金台帐!AC551</f>
        <v>0</v>
      </c>
      <c r="AD551">
        <f>[1]资金台帐!AD551</f>
        <v>0</v>
      </c>
      <c r="AJ551">
        <f>[1]资金台帐!AJ551</f>
        <v>0</v>
      </c>
      <c r="AK551">
        <f>[1]资金台帐!AK551</f>
        <v>0</v>
      </c>
      <c r="BA551" s="22">
        <f t="shared" si="0"/>
      </c>
      <c r="BG551" s="22">
        <f t="shared" si="1"/>
      </c>
      <c r="BH551" s="22">
        <f t="shared" si="2"/>
        <v>0</v>
      </c>
    </row>
    <row r="552">
      <c r="B552">
        <f>[1]资金台帐!B552&amp;""</f>
      </c>
      <c r="H552">
        <f>[1]资金台帐!H552&amp;""</f>
      </c>
      <c r="J552">
        <f>[1]资金台帐!J552&amp;""</f>
      </c>
      <c r="N552">
        <f>[1]资金台帐!N552</f>
      </c>
      <c r="O552">
        <f>[1]资金台帐!O552&amp;""</f>
      </c>
      <c r="P552">
        <f>[1]资金台帐!P552&amp;""</f>
      </c>
      <c r="Q552">
        <f>[1]资金台帐!Q552&amp;""</f>
      </c>
      <c r="T552">
        <f>[1]资金台帐!T552&amp;""</f>
      </c>
      <c r="U552">
        <f>[1]资金台帐!U552&amp;""</f>
      </c>
      <c r="W552">
        <f>[1]资金台帐!W552&amp;""</f>
      </c>
      <c r="X552">
        <f>[1]资金台帐!X552&amp;""</f>
      </c>
      <c r="AB552">
        <f>[1]资金台帐!AB552</f>
        <v>0</v>
      </c>
      <c r="AC552">
        <f>[1]资金台帐!AC552</f>
        <v>0</v>
      </c>
      <c r="AD552">
        <f>[1]资金台帐!AD552</f>
        <v>0</v>
      </c>
      <c r="AJ552">
        <f>[1]资金台帐!AJ552</f>
        <v>0</v>
      </c>
      <c r="AK552">
        <f>[1]资金台帐!AK552</f>
        <v>0</v>
      </c>
      <c r="BA552" s="22">
        <f t="shared" si="0"/>
      </c>
      <c r="BG552" s="22">
        <f t="shared" si="1"/>
      </c>
      <c r="BH552" s="22">
        <f t="shared" si="2"/>
        <v>0</v>
      </c>
    </row>
    <row r="553">
      <c r="B553">
        <f>[1]资金台帐!B553&amp;""</f>
      </c>
      <c r="H553">
        <f>[1]资金台帐!H553&amp;""</f>
      </c>
      <c r="J553">
        <f>[1]资金台帐!J553&amp;""</f>
      </c>
      <c r="N553">
        <f>[1]资金台帐!N553</f>
      </c>
      <c r="O553">
        <f>[1]资金台帐!O553&amp;""</f>
      </c>
      <c r="P553">
        <f>[1]资金台帐!P553&amp;""</f>
      </c>
      <c r="Q553">
        <f>[1]资金台帐!Q553&amp;""</f>
      </c>
      <c r="T553">
        <f>[1]资金台帐!T553&amp;""</f>
      </c>
      <c r="U553">
        <f>[1]资金台帐!U553&amp;""</f>
      </c>
      <c r="W553">
        <f>[1]资金台帐!W553&amp;""</f>
      </c>
      <c r="X553">
        <f>[1]资金台帐!X553&amp;""</f>
      </c>
      <c r="AB553">
        <f>[1]资金台帐!AB553</f>
        <v>0</v>
      </c>
      <c r="AC553">
        <f>[1]资金台帐!AC553</f>
        <v>0</v>
      </c>
      <c r="AD553">
        <f>[1]资金台帐!AD553</f>
        <v>0</v>
      </c>
      <c r="AJ553">
        <f>[1]资金台帐!AJ553</f>
        <v>0</v>
      </c>
      <c r="AK553">
        <f>[1]资金台帐!AK553</f>
        <v>0</v>
      </c>
      <c r="BA553" s="22">
        <f t="shared" si="0"/>
      </c>
      <c r="BG553" s="22">
        <f t="shared" si="1"/>
      </c>
      <c r="BH553" s="22">
        <f t="shared" si="2"/>
        <v>0</v>
      </c>
    </row>
    <row r="554">
      <c r="B554">
        <f>[1]资金台帐!B554&amp;""</f>
      </c>
      <c r="H554">
        <f>[1]资金台帐!H554&amp;""</f>
      </c>
      <c r="J554">
        <f>[1]资金台帐!J554&amp;""</f>
      </c>
      <c r="N554">
        <f>[1]资金台帐!N554</f>
      </c>
      <c r="O554">
        <f>[1]资金台帐!O554&amp;""</f>
      </c>
      <c r="P554">
        <f>[1]资金台帐!P554&amp;""</f>
      </c>
      <c r="Q554">
        <f>[1]资金台帐!Q554&amp;""</f>
      </c>
      <c r="T554">
        <f>[1]资金台帐!T554&amp;""</f>
      </c>
      <c r="U554">
        <f>[1]资金台帐!U554&amp;""</f>
      </c>
      <c r="W554">
        <f>[1]资金台帐!W554&amp;""</f>
      </c>
      <c r="X554">
        <f>[1]资金台帐!X554&amp;""</f>
      </c>
      <c r="AB554">
        <f>[1]资金台帐!AB554</f>
        <v>0</v>
      </c>
      <c r="AC554">
        <f>[1]资金台帐!AC554</f>
        <v>0</v>
      </c>
      <c r="AD554">
        <f>[1]资金台帐!AD554</f>
        <v>0</v>
      </c>
      <c r="AJ554">
        <f>[1]资金台帐!AJ554</f>
        <v>0</v>
      </c>
      <c r="AK554">
        <f>[1]资金台帐!AK554</f>
        <v>0</v>
      </c>
      <c r="BA554" s="22">
        <f t="shared" si="0"/>
      </c>
      <c r="BG554" s="22">
        <f t="shared" si="1"/>
      </c>
      <c r="BH554" s="22">
        <f t="shared" si="2"/>
        <v>0</v>
      </c>
    </row>
    <row r="555">
      <c r="B555">
        <f>[1]资金台帐!B555&amp;""</f>
      </c>
      <c r="H555">
        <f>[1]资金台帐!H555&amp;""</f>
      </c>
      <c r="J555">
        <f>[1]资金台帐!J555&amp;""</f>
      </c>
      <c r="N555">
        <f>[1]资金台帐!N555</f>
      </c>
      <c r="O555">
        <f>[1]资金台帐!O555&amp;""</f>
      </c>
      <c r="P555">
        <f>[1]资金台帐!P555&amp;""</f>
      </c>
      <c r="Q555">
        <f>[1]资金台帐!Q555&amp;""</f>
      </c>
      <c r="T555">
        <f>[1]资金台帐!T555&amp;""</f>
      </c>
      <c r="U555">
        <f>[1]资金台帐!U555&amp;""</f>
      </c>
      <c r="W555">
        <f>[1]资金台帐!W555&amp;""</f>
      </c>
      <c r="X555">
        <f>[1]资金台帐!X555&amp;""</f>
      </c>
      <c r="AB555">
        <f>[1]资金台帐!AB555</f>
        <v>0</v>
      </c>
      <c r="AC555">
        <f>[1]资金台帐!AC555</f>
        <v>0</v>
      </c>
      <c r="AD555">
        <f>[1]资金台帐!AD555</f>
        <v>0</v>
      </c>
      <c r="AJ555">
        <f>[1]资金台帐!AJ555</f>
        <v>0</v>
      </c>
      <c r="AK555">
        <f>[1]资金台帐!AK555</f>
        <v>0</v>
      </c>
      <c r="BA555" s="22">
        <f t="shared" si="0"/>
      </c>
      <c r="BG555" s="22">
        <f t="shared" si="1"/>
      </c>
      <c r="BH555" s="22">
        <f t="shared" si="2"/>
        <v>0</v>
      </c>
    </row>
    <row r="556">
      <c r="B556">
        <f>[1]资金台帐!B556&amp;""</f>
      </c>
      <c r="H556">
        <f>[1]资金台帐!H556&amp;""</f>
      </c>
      <c r="J556">
        <f>[1]资金台帐!J556&amp;""</f>
      </c>
      <c r="N556">
        <f>[1]资金台帐!N556</f>
      </c>
      <c r="O556">
        <f>[1]资金台帐!O556&amp;""</f>
      </c>
      <c r="P556">
        <f>[1]资金台帐!P556&amp;""</f>
      </c>
      <c r="Q556">
        <f>[1]资金台帐!Q556&amp;""</f>
      </c>
      <c r="T556">
        <f>[1]资金台帐!T556&amp;""</f>
      </c>
      <c r="U556">
        <f>[1]资金台帐!U556&amp;""</f>
      </c>
      <c r="W556">
        <f>[1]资金台帐!W556&amp;""</f>
      </c>
      <c r="X556">
        <f>[1]资金台帐!X556&amp;""</f>
      </c>
      <c r="AB556">
        <f>[1]资金台帐!AB556</f>
        <v>0</v>
      </c>
      <c r="AC556">
        <f>[1]资金台帐!AC556</f>
        <v>0</v>
      </c>
      <c r="AD556">
        <f>[1]资金台帐!AD556</f>
        <v>0</v>
      </c>
      <c r="AJ556">
        <f>[1]资金台帐!AJ556</f>
        <v>0</v>
      </c>
      <c r="AK556">
        <f>[1]资金台帐!AK556</f>
        <v>0</v>
      </c>
      <c r="BA556" s="22">
        <f t="shared" si="0"/>
      </c>
      <c r="BG556" s="22">
        <f t="shared" si="1"/>
      </c>
      <c r="BH556" s="22">
        <f t="shared" si="2"/>
        <v>0</v>
      </c>
    </row>
    <row r="557">
      <c r="B557">
        <f>[1]资金台帐!B557&amp;""</f>
      </c>
      <c r="H557">
        <f>[1]资金台帐!H557&amp;""</f>
      </c>
      <c r="J557">
        <f>[1]资金台帐!J557&amp;""</f>
      </c>
      <c r="N557">
        <f>[1]资金台帐!N557</f>
      </c>
      <c r="O557">
        <f>[1]资金台帐!O557&amp;""</f>
      </c>
      <c r="P557">
        <f>[1]资金台帐!P557&amp;""</f>
      </c>
      <c r="Q557">
        <f>[1]资金台帐!Q557&amp;""</f>
      </c>
      <c r="T557">
        <f>[1]资金台帐!T557&amp;""</f>
      </c>
      <c r="U557">
        <f>[1]资金台帐!U557&amp;""</f>
      </c>
      <c r="W557">
        <f>[1]资金台帐!W557&amp;""</f>
      </c>
      <c r="X557">
        <f>[1]资金台帐!X557&amp;""</f>
      </c>
      <c r="AB557">
        <f>[1]资金台帐!AB557</f>
        <v>0</v>
      </c>
      <c r="AC557">
        <f>[1]资金台帐!AC557</f>
        <v>0</v>
      </c>
      <c r="AD557">
        <f>[1]资金台帐!AD557</f>
        <v>0</v>
      </c>
      <c r="AJ557">
        <f>[1]资金台帐!AJ557</f>
        <v>0</v>
      </c>
      <c r="AK557">
        <f>[1]资金台帐!AK557</f>
        <v>0</v>
      </c>
      <c r="BA557" s="22">
        <f t="shared" si="0"/>
      </c>
      <c r="BG557" s="22">
        <f t="shared" si="1"/>
      </c>
      <c r="BH557" s="22">
        <f t="shared" si="2"/>
        <v>0</v>
      </c>
    </row>
    <row r="558">
      <c r="B558">
        <f>[1]资金台帐!B558&amp;""</f>
      </c>
      <c r="H558">
        <f>[1]资金台帐!H558&amp;""</f>
      </c>
      <c r="J558">
        <f>[1]资金台帐!J558&amp;""</f>
      </c>
      <c r="N558">
        <f>[1]资金台帐!N558</f>
      </c>
      <c r="O558">
        <f>[1]资金台帐!O558&amp;""</f>
      </c>
      <c r="P558">
        <f>[1]资金台帐!P558&amp;""</f>
      </c>
      <c r="Q558">
        <f>[1]资金台帐!Q558&amp;""</f>
      </c>
      <c r="T558">
        <f>[1]资金台帐!T558&amp;""</f>
      </c>
      <c r="U558">
        <f>[1]资金台帐!U558&amp;""</f>
      </c>
      <c r="W558">
        <f>[1]资金台帐!W558&amp;""</f>
      </c>
      <c r="X558">
        <f>[1]资金台帐!X558&amp;""</f>
      </c>
      <c r="AB558">
        <f>[1]资金台帐!AB558</f>
        <v>0</v>
      </c>
      <c r="AC558">
        <f>[1]资金台帐!AC558</f>
        <v>0</v>
      </c>
      <c r="AD558">
        <f>[1]资金台帐!AD558</f>
        <v>0</v>
      </c>
      <c r="AJ558">
        <f>[1]资金台帐!AJ558</f>
        <v>0</v>
      </c>
      <c r="AK558">
        <f>[1]资金台帐!AK558</f>
        <v>0</v>
      </c>
      <c r="BA558" s="22">
        <f t="shared" si="0"/>
      </c>
      <c r="BG558" s="22">
        <f t="shared" si="1"/>
      </c>
      <c r="BH558" s="22">
        <f t="shared" si="2"/>
        <v>0</v>
      </c>
    </row>
    <row r="559">
      <c r="B559">
        <f>[1]资金台帐!B559&amp;""</f>
      </c>
      <c r="H559">
        <f>[1]资金台帐!H559&amp;""</f>
      </c>
      <c r="J559">
        <f>[1]资金台帐!J559&amp;""</f>
      </c>
      <c r="N559">
        <f>[1]资金台帐!N559</f>
      </c>
      <c r="O559">
        <f>[1]资金台帐!O559&amp;""</f>
      </c>
      <c r="P559">
        <f>[1]资金台帐!P559&amp;""</f>
      </c>
      <c r="Q559">
        <f>[1]资金台帐!Q559&amp;""</f>
      </c>
      <c r="T559">
        <f>[1]资金台帐!T559&amp;""</f>
      </c>
      <c r="U559">
        <f>[1]资金台帐!U559&amp;""</f>
      </c>
      <c r="W559">
        <f>[1]资金台帐!W559&amp;""</f>
      </c>
      <c r="X559">
        <f>[1]资金台帐!X559&amp;""</f>
      </c>
      <c r="AB559">
        <f>[1]资金台帐!AB559</f>
        <v>0</v>
      </c>
      <c r="AC559">
        <f>[1]资金台帐!AC559</f>
        <v>0</v>
      </c>
      <c r="AD559">
        <f>[1]资金台帐!AD559</f>
        <v>0</v>
      </c>
      <c r="AJ559">
        <f>[1]资金台帐!AJ559</f>
        <v>0</v>
      </c>
      <c r="AK559">
        <f>[1]资金台帐!AK559</f>
        <v>0</v>
      </c>
      <c r="BA559" s="22">
        <f t="shared" si="0"/>
      </c>
      <c r="BG559" s="22">
        <f t="shared" si="1"/>
      </c>
      <c r="BH559" s="22">
        <f t="shared" si="2"/>
        <v>0</v>
      </c>
    </row>
    <row r="560">
      <c r="B560">
        <f>[1]资金台帐!B560&amp;""</f>
      </c>
      <c r="H560">
        <f>[1]资金台帐!H560&amp;""</f>
      </c>
      <c r="J560">
        <f>[1]资金台帐!J560&amp;""</f>
      </c>
      <c r="N560">
        <f>[1]资金台帐!N560</f>
      </c>
      <c r="O560">
        <f>[1]资金台帐!O560&amp;""</f>
      </c>
      <c r="P560">
        <f>[1]资金台帐!P560&amp;""</f>
      </c>
      <c r="Q560">
        <f>[1]资金台帐!Q560&amp;""</f>
      </c>
      <c r="T560">
        <f>[1]资金台帐!T560&amp;""</f>
      </c>
      <c r="U560">
        <f>[1]资金台帐!U560&amp;""</f>
      </c>
      <c r="W560">
        <f>[1]资金台帐!W560&amp;""</f>
      </c>
      <c r="X560">
        <f>[1]资金台帐!X560&amp;""</f>
      </c>
      <c r="AB560">
        <f>[1]资金台帐!AB560</f>
        <v>0</v>
      </c>
      <c r="AC560">
        <f>[1]资金台帐!AC560</f>
        <v>0</v>
      </c>
      <c r="AD560">
        <f>[1]资金台帐!AD560</f>
        <v>0</v>
      </c>
      <c r="AJ560">
        <f>[1]资金台帐!AJ560</f>
        <v>0</v>
      </c>
      <c r="AK560">
        <f>[1]资金台帐!AK560</f>
        <v>0</v>
      </c>
      <c r="BA560" s="22">
        <f t="shared" si="0"/>
      </c>
      <c r="BG560" s="22">
        <f t="shared" si="1"/>
      </c>
      <c r="BH560" s="22">
        <f t="shared" si="2"/>
        <v>0</v>
      </c>
    </row>
    <row r="561">
      <c r="B561">
        <f>[1]资金台帐!B561&amp;""</f>
      </c>
      <c r="H561">
        <f>[1]资金台帐!H561&amp;""</f>
      </c>
      <c r="J561">
        <f>[1]资金台帐!J561&amp;""</f>
      </c>
      <c r="N561">
        <f>[1]资金台帐!N561</f>
      </c>
      <c r="O561">
        <f>[1]资金台帐!O561&amp;""</f>
      </c>
      <c r="P561">
        <f>[1]资金台帐!P561&amp;""</f>
      </c>
      <c r="Q561">
        <f>[1]资金台帐!Q561&amp;""</f>
      </c>
      <c r="T561">
        <f>[1]资金台帐!T561&amp;""</f>
      </c>
      <c r="U561">
        <f>[1]资金台帐!U561&amp;""</f>
      </c>
      <c r="W561">
        <f>[1]资金台帐!W561&amp;""</f>
      </c>
      <c r="X561">
        <f>[1]资金台帐!X561&amp;""</f>
      </c>
      <c r="AB561">
        <f>[1]资金台帐!AB561</f>
        <v>0</v>
      </c>
      <c r="AC561">
        <f>[1]资金台帐!AC561</f>
        <v>0</v>
      </c>
      <c r="AD561">
        <f>[1]资金台帐!AD561</f>
        <v>0</v>
      </c>
      <c r="AJ561">
        <f>[1]资金台帐!AJ561</f>
        <v>0</v>
      </c>
      <c r="AK561">
        <f>[1]资金台帐!AK561</f>
        <v>0</v>
      </c>
      <c r="BA561" s="22">
        <f t="shared" si="0"/>
      </c>
      <c r="BG561" s="22">
        <f t="shared" si="1"/>
      </c>
      <c r="BH561" s="22">
        <f t="shared" si="2"/>
        <v>0</v>
      </c>
    </row>
    <row r="562">
      <c r="B562">
        <f>[1]资金台帐!B562&amp;""</f>
      </c>
      <c r="H562">
        <f>[1]资金台帐!H562&amp;""</f>
      </c>
      <c r="J562">
        <f>[1]资金台帐!J562&amp;""</f>
      </c>
      <c r="N562">
        <f>[1]资金台帐!N562</f>
      </c>
      <c r="O562">
        <f>[1]资金台帐!O562&amp;""</f>
      </c>
      <c r="P562">
        <f>[1]资金台帐!P562&amp;""</f>
      </c>
      <c r="Q562">
        <f>[1]资金台帐!Q562&amp;""</f>
      </c>
      <c r="T562">
        <f>[1]资金台帐!T562&amp;""</f>
      </c>
      <c r="U562">
        <f>[1]资金台帐!U562&amp;""</f>
      </c>
      <c r="W562">
        <f>[1]资金台帐!W562&amp;""</f>
      </c>
      <c r="X562">
        <f>[1]资金台帐!X562&amp;""</f>
      </c>
      <c r="AB562">
        <f>[1]资金台帐!AB562</f>
        <v>0</v>
      </c>
      <c r="AC562">
        <f>[1]资金台帐!AC562</f>
        <v>0</v>
      </c>
      <c r="AD562">
        <f>[1]资金台帐!AD562</f>
        <v>0</v>
      </c>
      <c r="AJ562">
        <f>[1]资金台帐!AJ562</f>
        <v>0</v>
      </c>
      <c r="AK562">
        <f>[1]资金台帐!AK562</f>
        <v>0</v>
      </c>
      <c r="BA562" s="22">
        <f t="shared" si="0"/>
      </c>
      <c r="BG562" s="22">
        <f t="shared" si="1"/>
      </c>
      <c r="BH562" s="22">
        <f t="shared" si="2"/>
        <v>0</v>
      </c>
    </row>
    <row r="563">
      <c r="B563">
        <f>[1]资金台帐!B563&amp;""</f>
      </c>
      <c r="H563">
        <f>[1]资金台帐!H563&amp;""</f>
      </c>
      <c r="J563">
        <f>[1]资金台帐!J563&amp;""</f>
      </c>
      <c r="N563">
        <f>[1]资金台帐!N563</f>
      </c>
      <c r="O563">
        <f>[1]资金台帐!O563&amp;""</f>
      </c>
      <c r="P563">
        <f>[1]资金台帐!P563&amp;""</f>
      </c>
      <c r="Q563">
        <f>[1]资金台帐!Q563&amp;""</f>
      </c>
      <c r="T563">
        <f>[1]资金台帐!T563&amp;""</f>
      </c>
      <c r="U563">
        <f>[1]资金台帐!U563&amp;""</f>
      </c>
      <c r="W563">
        <f>[1]资金台帐!W563&amp;""</f>
      </c>
      <c r="X563">
        <f>[1]资金台帐!X563&amp;""</f>
      </c>
      <c r="AB563">
        <f>[1]资金台帐!AB563</f>
        <v>0</v>
      </c>
      <c r="AC563">
        <f>[1]资金台帐!AC563</f>
        <v>0</v>
      </c>
      <c r="AD563">
        <f>[1]资金台帐!AD563</f>
        <v>0</v>
      </c>
      <c r="AJ563">
        <f>[1]资金台帐!AJ563</f>
        <v>0</v>
      </c>
      <c r="AK563">
        <f>[1]资金台帐!AK563</f>
        <v>0</v>
      </c>
      <c r="BA563" s="22">
        <f t="shared" si="0"/>
      </c>
      <c r="BG563" s="22">
        <f t="shared" si="1"/>
      </c>
      <c r="BH563" s="22">
        <f t="shared" si="2"/>
        <v>0</v>
      </c>
    </row>
    <row r="564">
      <c r="B564">
        <f>[1]资金台帐!B564&amp;""</f>
      </c>
      <c r="H564">
        <f>[1]资金台帐!H564&amp;""</f>
      </c>
      <c r="J564">
        <f>[1]资金台帐!J564&amp;""</f>
      </c>
      <c r="N564">
        <f>[1]资金台帐!N564</f>
      </c>
      <c r="O564">
        <f>[1]资金台帐!O564&amp;""</f>
      </c>
      <c r="P564">
        <f>[1]资金台帐!P564&amp;""</f>
      </c>
      <c r="Q564">
        <f>[1]资金台帐!Q564&amp;""</f>
      </c>
      <c r="T564">
        <f>[1]资金台帐!T564&amp;""</f>
      </c>
      <c r="U564">
        <f>[1]资金台帐!U564&amp;""</f>
      </c>
      <c r="W564">
        <f>[1]资金台帐!W564&amp;""</f>
      </c>
      <c r="X564">
        <f>[1]资金台帐!X564&amp;""</f>
      </c>
      <c r="AB564">
        <f>[1]资金台帐!AB564</f>
        <v>0</v>
      </c>
      <c r="AC564">
        <f>[1]资金台帐!AC564</f>
        <v>0</v>
      </c>
      <c r="AD564">
        <f>[1]资金台帐!AD564</f>
        <v>0</v>
      </c>
      <c r="AJ564">
        <f>[1]资金台帐!AJ564</f>
        <v>0</v>
      </c>
      <c r="AK564">
        <f>[1]资金台帐!AK564</f>
        <v>0</v>
      </c>
      <c r="BA564" s="22">
        <f t="shared" si="0"/>
      </c>
      <c r="BG564" s="22">
        <f t="shared" si="1"/>
      </c>
      <c r="BH564" s="22">
        <f t="shared" si="2"/>
        <v>0</v>
      </c>
    </row>
    <row r="565">
      <c r="B565">
        <f>[1]资金台帐!B565&amp;""</f>
      </c>
      <c r="H565">
        <f>[1]资金台帐!H565&amp;""</f>
      </c>
      <c r="J565">
        <f>[1]资金台帐!J565&amp;""</f>
      </c>
      <c r="N565">
        <f>[1]资金台帐!N565</f>
      </c>
      <c r="O565">
        <f>[1]资金台帐!O565&amp;""</f>
      </c>
      <c r="P565">
        <f>[1]资金台帐!P565&amp;""</f>
      </c>
      <c r="Q565">
        <f>[1]资金台帐!Q565&amp;""</f>
      </c>
      <c r="T565">
        <f>[1]资金台帐!T565&amp;""</f>
      </c>
      <c r="U565">
        <f>[1]资金台帐!U565&amp;""</f>
      </c>
      <c r="W565">
        <f>[1]资金台帐!W565&amp;""</f>
      </c>
      <c r="X565">
        <f>[1]资金台帐!X565&amp;""</f>
      </c>
      <c r="AB565">
        <f>[1]资金台帐!AB565</f>
        <v>0</v>
      </c>
      <c r="AC565">
        <f>[1]资金台帐!AC565</f>
        <v>0</v>
      </c>
      <c r="AD565">
        <f>[1]资金台帐!AD565</f>
        <v>0</v>
      </c>
      <c r="AJ565">
        <f>[1]资金台帐!AJ565</f>
        <v>0</v>
      </c>
      <c r="AK565">
        <f>[1]资金台帐!AK565</f>
        <v>0</v>
      </c>
      <c r="BA565" s="22">
        <f t="shared" si="0"/>
      </c>
      <c r="BG565" s="22">
        <f t="shared" si="1"/>
      </c>
      <c r="BH565" s="22">
        <f t="shared" si="2"/>
        <v>0</v>
      </c>
    </row>
    <row r="566">
      <c r="B566">
        <f>[1]资金台帐!B566&amp;""</f>
      </c>
      <c r="H566">
        <f>[1]资金台帐!H566&amp;""</f>
      </c>
      <c r="J566">
        <f>[1]资金台帐!J566&amp;""</f>
      </c>
      <c r="N566">
        <f>[1]资金台帐!N566</f>
      </c>
      <c r="O566">
        <f>[1]资金台帐!O566&amp;""</f>
      </c>
      <c r="P566">
        <f>[1]资金台帐!P566&amp;""</f>
      </c>
      <c r="Q566">
        <f>[1]资金台帐!Q566&amp;""</f>
      </c>
      <c r="T566">
        <f>[1]资金台帐!T566&amp;""</f>
      </c>
      <c r="U566">
        <f>[1]资金台帐!U566&amp;""</f>
      </c>
      <c r="W566">
        <f>[1]资金台帐!W566&amp;""</f>
      </c>
      <c r="X566">
        <f>[1]资金台帐!X566&amp;""</f>
      </c>
      <c r="AB566">
        <f>[1]资金台帐!AB566</f>
        <v>0</v>
      </c>
      <c r="AC566">
        <f>[1]资金台帐!AC566</f>
        <v>0</v>
      </c>
      <c r="AD566">
        <f>[1]资金台帐!AD566</f>
        <v>0</v>
      </c>
      <c r="AJ566">
        <f>[1]资金台帐!AJ566</f>
        <v>0</v>
      </c>
      <c r="AK566">
        <f>[1]资金台帐!AK566</f>
        <v>0</v>
      </c>
      <c r="BA566" s="22">
        <f t="shared" si="0"/>
      </c>
      <c r="BG566" s="22">
        <f t="shared" si="1"/>
      </c>
      <c r="BH566" s="22">
        <f t="shared" si="2"/>
        <v>0</v>
      </c>
    </row>
    <row r="567">
      <c r="B567">
        <f>[1]资金台帐!B567&amp;""</f>
      </c>
      <c r="H567">
        <f>[1]资金台帐!H567&amp;""</f>
      </c>
      <c r="J567">
        <f>[1]资金台帐!J567&amp;""</f>
      </c>
      <c r="N567">
        <f>[1]资金台帐!N567</f>
      </c>
      <c r="O567">
        <f>[1]资金台帐!O567&amp;""</f>
      </c>
      <c r="P567">
        <f>[1]资金台帐!P567&amp;""</f>
      </c>
      <c r="Q567">
        <f>[1]资金台帐!Q567&amp;""</f>
      </c>
      <c r="T567">
        <f>[1]资金台帐!T567&amp;""</f>
      </c>
      <c r="U567">
        <f>[1]资金台帐!U567&amp;""</f>
      </c>
      <c r="W567">
        <f>[1]资金台帐!W567&amp;""</f>
      </c>
      <c r="X567">
        <f>[1]资金台帐!X567&amp;""</f>
      </c>
      <c r="AB567">
        <f>[1]资金台帐!AB567</f>
        <v>0</v>
      </c>
      <c r="AC567">
        <f>[1]资金台帐!AC567</f>
        <v>0</v>
      </c>
      <c r="AD567">
        <f>[1]资金台帐!AD567</f>
        <v>0</v>
      </c>
      <c r="AJ567">
        <f>[1]资金台帐!AJ567</f>
        <v>0</v>
      </c>
      <c r="AK567">
        <f>[1]资金台帐!AK567</f>
        <v>0</v>
      </c>
      <c r="BA567" s="22">
        <f t="shared" si="0"/>
      </c>
      <c r="BG567" s="22">
        <f t="shared" si="1"/>
      </c>
      <c r="BH567" s="22">
        <f t="shared" si="2"/>
        <v>0</v>
      </c>
    </row>
    <row r="568">
      <c r="B568">
        <f>[1]资金台帐!B568&amp;""</f>
      </c>
      <c r="H568">
        <f>[1]资金台帐!H568&amp;""</f>
      </c>
      <c r="J568">
        <f>[1]资金台帐!J568&amp;""</f>
      </c>
      <c r="N568">
        <f>[1]资金台帐!N568</f>
      </c>
      <c r="O568">
        <f>[1]资金台帐!O568&amp;""</f>
      </c>
      <c r="P568">
        <f>[1]资金台帐!P568&amp;""</f>
      </c>
      <c r="Q568">
        <f>[1]资金台帐!Q568&amp;""</f>
      </c>
      <c r="T568">
        <f>[1]资金台帐!T568&amp;""</f>
      </c>
      <c r="U568">
        <f>[1]资金台帐!U568&amp;""</f>
      </c>
      <c r="W568">
        <f>[1]资金台帐!W568&amp;""</f>
      </c>
      <c r="X568">
        <f>[1]资金台帐!X568&amp;""</f>
      </c>
      <c r="AB568">
        <f>[1]资金台帐!AB568</f>
        <v>0</v>
      </c>
      <c r="AC568">
        <f>[1]资金台帐!AC568</f>
        <v>0</v>
      </c>
      <c r="AD568">
        <f>[1]资金台帐!AD568</f>
        <v>0</v>
      </c>
      <c r="AJ568">
        <f>[1]资金台帐!AJ568</f>
        <v>0</v>
      </c>
      <c r="AK568">
        <f>[1]资金台帐!AK568</f>
        <v>0</v>
      </c>
      <c r="BA568" s="22">
        <f t="shared" si="0"/>
      </c>
      <c r="BG568" s="22">
        <f t="shared" si="1"/>
      </c>
      <c r="BH568" s="22">
        <f t="shared" si="2"/>
        <v>0</v>
      </c>
    </row>
    <row r="569">
      <c r="B569">
        <f>[1]资金台帐!B569&amp;""</f>
      </c>
      <c r="H569">
        <f>[1]资金台帐!H569&amp;""</f>
      </c>
      <c r="J569">
        <f>[1]资金台帐!J569&amp;""</f>
      </c>
      <c r="N569">
        <f>[1]资金台帐!N569</f>
      </c>
      <c r="O569">
        <f>[1]资金台帐!O569&amp;""</f>
      </c>
      <c r="P569">
        <f>[1]资金台帐!P569&amp;""</f>
      </c>
      <c r="Q569">
        <f>[1]资金台帐!Q569&amp;""</f>
      </c>
      <c r="T569">
        <f>[1]资金台帐!T569&amp;""</f>
      </c>
      <c r="U569">
        <f>[1]资金台帐!U569&amp;""</f>
      </c>
      <c r="W569">
        <f>[1]资金台帐!W569&amp;""</f>
      </c>
      <c r="X569">
        <f>[1]资金台帐!X569&amp;""</f>
      </c>
      <c r="AB569">
        <f>[1]资金台帐!AB569</f>
        <v>0</v>
      </c>
      <c r="AC569">
        <f>[1]资金台帐!AC569</f>
        <v>0</v>
      </c>
      <c r="AD569">
        <f>[1]资金台帐!AD569</f>
        <v>0</v>
      </c>
      <c r="AJ569">
        <f>[1]资金台帐!AJ569</f>
        <v>0</v>
      </c>
      <c r="AK569">
        <f>[1]资金台帐!AK569</f>
        <v>0</v>
      </c>
      <c r="BA569" s="22">
        <f t="shared" si="0"/>
      </c>
      <c r="BG569" s="22">
        <f t="shared" si="1"/>
      </c>
      <c r="BH569" s="22">
        <f t="shared" si="2"/>
        <v>0</v>
      </c>
    </row>
    <row r="570">
      <c r="B570">
        <f>[1]资金台帐!B570&amp;""</f>
      </c>
      <c r="H570">
        <f>[1]资金台帐!H570&amp;""</f>
      </c>
      <c r="J570">
        <f>[1]资金台帐!J570&amp;""</f>
      </c>
      <c r="N570">
        <f>[1]资金台帐!N570</f>
      </c>
      <c r="O570">
        <f>[1]资金台帐!O570&amp;""</f>
      </c>
      <c r="P570">
        <f>[1]资金台帐!P570&amp;""</f>
      </c>
      <c r="Q570">
        <f>[1]资金台帐!Q570&amp;""</f>
      </c>
      <c r="T570">
        <f>[1]资金台帐!T570&amp;""</f>
      </c>
      <c r="U570">
        <f>[1]资金台帐!U570&amp;""</f>
      </c>
      <c r="W570">
        <f>[1]资金台帐!W570&amp;""</f>
      </c>
      <c r="X570">
        <f>[1]资金台帐!X570&amp;""</f>
      </c>
      <c r="AB570">
        <f>[1]资金台帐!AB570</f>
        <v>0</v>
      </c>
      <c r="AC570">
        <f>[1]资金台帐!AC570</f>
        <v>0</v>
      </c>
      <c r="AD570">
        <f>[1]资金台帐!AD570</f>
        <v>0</v>
      </c>
      <c r="AJ570">
        <f>[1]资金台帐!AJ570</f>
        <v>0</v>
      </c>
      <c r="AK570">
        <f>[1]资金台帐!AK570</f>
        <v>0</v>
      </c>
      <c r="BA570" s="22">
        <f t="shared" si="0"/>
      </c>
      <c r="BG570" s="22">
        <f t="shared" si="1"/>
      </c>
      <c r="BH570" s="22">
        <f t="shared" si="2"/>
        <v>0</v>
      </c>
    </row>
    <row r="571">
      <c r="B571">
        <f>[1]资金台帐!B571&amp;""</f>
      </c>
      <c r="H571">
        <f>[1]资金台帐!H571&amp;""</f>
      </c>
      <c r="J571">
        <f>[1]资金台帐!J571&amp;""</f>
      </c>
      <c r="N571">
        <f>[1]资金台帐!N571</f>
      </c>
      <c r="O571">
        <f>[1]资金台帐!O571&amp;""</f>
      </c>
      <c r="P571">
        <f>[1]资金台帐!P571&amp;""</f>
      </c>
      <c r="Q571">
        <f>[1]资金台帐!Q571&amp;""</f>
      </c>
      <c r="T571">
        <f>[1]资金台帐!T571&amp;""</f>
      </c>
      <c r="U571">
        <f>[1]资金台帐!U571&amp;""</f>
      </c>
      <c r="W571">
        <f>[1]资金台帐!W571&amp;""</f>
      </c>
      <c r="X571">
        <f>[1]资金台帐!X571&amp;""</f>
      </c>
      <c r="AB571">
        <f>[1]资金台帐!AB571</f>
        <v>0</v>
      </c>
      <c r="AC571">
        <f>[1]资金台帐!AC571</f>
        <v>0</v>
      </c>
      <c r="AD571">
        <f>[1]资金台帐!AD571</f>
        <v>0</v>
      </c>
      <c r="AJ571">
        <f>[1]资金台帐!AJ571</f>
        <v>0</v>
      </c>
      <c r="AK571">
        <f>[1]资金台帐!AK571</f>
        <v>0</v>
      </c>
      <c r="BA571" s="22">
        <f t="shared" si="0"/>
      </c>
      <c r="BG571" s="22">
        <f t="shared" si="1"/>
      </c>
      <c r="BH571" s="22">
        <f t="shared" si="2"/>
        <v>0</v>
      </c>
    </row>
    <row r="572">
      <c r="B572">
        <f>[1]资金台帐!B572&amp;""</f>
      </c>
      <c r="H572">
        <f>[1]资金台帐!H572&amp;""</f>
      </c>
      <c r="J572">
        <f>[1]资金台帐!J572&amp;""</f>
      </c>
      <c r="N572">
        <f>[1]资金台帐!N572</f>
      </c>
      <c r="O572">
        <f>[1]资金台帐!O572&amp;""</f>
      </c>
      <c r="P572">
        <f>[1]资金台帐!P572&amp;""</f>
      </c>
      <c r="Q572">
        <f>[1]资金台帐!Q572&amp;""</f>
      </c>
      <c r="T572">
        <f>[1]资金台帐!T572&amp;""</f>
      </c>
      <c r="U572">
        <f>[1]资金台帐!U572&amp;""</f>
      </c>
      <c r="W572">
        <f>[1]资金台帐!W572&amp;""</f>
      </c>
      <c r="X572">
        <f>[1]资金台帐!X572&amp;""</f>
      </c>
      <c r="AB572">
        <f>[1]资金台帐!AB572</f>
        <v>0</v>
      </c>
      <c r="AC572">
        <f>[1]资金台帐!AC572</f>
        <v>0</v>
      </c>
      <c r="AD572">
        <f>[1]资金台帐!AD572</f>
        <v>0</v>
      </c>
      <c r="AJ572">
        <f>[1]资金台帐!AJ572</f>
        <v>0</v>
      </c>
      <c r="AK572">
        <f>[1]资金台帐!AK572</f>
        <v>0</v>
      </c>
      <c r="BA572" s="22">
        <f t="shared" si="0"/>
      </c>
      <c r="BG572" s="22">
        <f t="shared" si="1"/>
      </c>
      <c r="BH572" s="22">
        <f t="shared" si="2"/>
        <v>0</v>
      </c>
    </row>
    <row r="573">
      <c r="B573">
        <f>[1]资金台帐!B573&amp;""</f>
      </c>
      <c r="H573">
        <f>[1]资金台帐!H573&amp;""</f>
      </c>
      <c r="J573">
        <f>[1]资金台帐!J573&amp;""</f>
      </c>
      <c r="N573">
        <f>[1]资金台帐!N573</f>
      </c>
      <c r="O573">
        <f>[1]资金台帐!O573&amp;""</f>
      </c>
      <c r="P573">
        <f>[1]资金台帐!P573&amp;""</f>
      </c>
      <c r="Q573">
        <f>[1]资金台帐!Q573&amp;""</f>
      </c>
      <c r="T573">
        <f>[1]资金台帐!T573&amp;""</f>
      </c>
      <c r="U573">
        <f>[1]资金台帐!U573&amp;""</f>
      </c>
      <c r="W573">
        <f>[1]资金台帐!W573&amp;""</f>
      </c>
      <c r="X573">
        <f>[1]资金台帐!X573&amp;""</f>
      </c>
      <c r="AB573">
        <f>[1]资金台帐!AB573</f>
        <v>0</v>
      </c>
      <c r="AC573">
        <f>[1]资金台帐!AC573</f>
        <v>0</v>
      </c>
      <c r="AD573">
        <f>[1]资金台帐!AD573</f>
        <v>0</v>
      </c>
      <c r="AJ573">
        <f>[1]资金台帐!AJ573</f>
        <v>0</v>
      </c>
      <c r="AK573">
        <f>[1]资金台帐!AK573</f>
        <v>0</v>
      </c>
      <c r="BA573" s="22">
        <f t="shared" si="0"/>
      </c>
      <c r="BG573" s="22">
        <f t="shared" si="1"/>
      </c>
      <c r="BH573" s="22">
        <f t="shared" si="2"/>
        <v>0</v>
      </c>
    </row>
    <row r="574">
      <c r="B574">
        <f>[1]资金台帐!B574&amp;""</f>
      </c>
      <c r="H574">
        <f>[1]资金台帐!H574&amp;""</f>
      </c>
      <c r="J574">
        <f>[1]资金台帐!J574&amp;""</f>
      </c>
      <c r="N574">
        <f>[1]资金台帐!N574</f>
      </c>
      <c r="O574">
        <f>[1]资金台帐!O574&amp;""</f>
      </c>
      <c r="P574">
        <f>[1]资金台帐!P574&amp;""</f>
      </c>
      <c r="Q574">
        <f>[1]资金台帐!Q574&amp;""</f>
      </c>
      <c r="T574">
        <f>[1]资金台帐!T574&amp;""</f>
      </c>
      <c r="U574">
        <f>[1]资金台帐!U574&amp;""</f>
      </c>
      <c r="W574">
        <f>[1]资金台帐!W574&amp;""</f>
      </c>
      <c r="X574">
        <f>[1]资金台帐!X574&amp;""</f>
      </c>
      <c r="AB574">
        <f>[1]资金台帐!AB574</f>
        <v>0</v>
      </c>
      <c r="AC574">
        <f>[1]资金台帐!AC574</f>
        <v>0</v>
      </c>
      <c r="AD574">
        <f>[1]资金台帐!AD574</f>
        <v>0</v>
      </c>
      <c r="AJ574">
        <f>[1]资金台帐!AJ574</f>
        <v>0</v>
      </c>
      <c r="AK574">
        <f>[1]资金台帐!AK574</f>
        <v>0</v>
      </c>
      <c r="BA574" s="22">
        <f t="shared" si="0"/>
      </c>
      <c r="BG574" s="22">
        <f t="shared" si="1"/>
      </c>
      <c r="BH574" s="22">
        <f t="shared" si="2"/>
        <v>0</v>
      </c>
    </row>
    <row r="575">
      <c r="B575">
        <f>[1]资金台帐!B575&amp;""</f>
      </c>
      <c r="H575">
        <f>[1]资金台帐!H575&amp;""</f>
      </c>
      <c r="J575">
        <f>[1]资金台帐!J575&amp;""</f>
      </c>
      <c r="N575">
        <f>[1]资金台帐!N575</f>
      </c>
      <c r="O575">
        <f>[1]资金台帐!O575&amp;""</f>
      </c>
      <c r="P575">
        <f>[1]资金台帐!P575&amp;""</f>
      </c>
      <c r="Q575">
        <f>[1]资金台帐!Q575&amp;""</f>
      </c>
      <c r="T575">
        <f>[1]资金台帐!T575&amp;""</f>
      </c>
      <c r="U575">
        <f>[1]资金台帐!U575&amp;""</f>
      </c>
      <c r="W575">
        <f>[1]资金台帐!W575&amp;""</f>
      </c>
      <c r="X575">
        <f>[1]资金台帐!X575&amp;""</f>
      </c>
      <c r="AB575">
        <f>[1]资金台帐!AB575</f>
        <v>0</v>
      </c>
      <c r="AC575">
        <f>[1]资金台帐!AC575</f>
        <v>0</v>
      </c>
      <c r="AD575">
        <f>[1]资金台帐!AD575</f>
        <v>0</v>
      </c>
      <c r="AJ575">
        <f>[1]资金台帐!AJ575</f>
        <v>0</v>
      </c>
      <c r="AK575">
        <f>[1]资金台帐!AK575</f>
        <v>0</v>
      </c>
      <c r="BA575" s="22">
        <f t="shared" si="0"/>
      </c>
      <c r="BG575" s="22">
        <f t="shared" si="1"/>
      </c>
      <c r="BH575" s="22">
        <f t="shared" si="2"/>
        <v>0</v>
      </c>
    </row>
    <row r="576">
      <c r="B576">
        <f>[1]资金台帐!B576&amp;""</f>
      </c>
      <c r="H576">
        <f>[1]资金台帐!H576&amp;""</f>
      </c>
      <c r="J576">
        <f>[1]资金台帐!J576&amp;""</f>
      </c>
      <c r="N576">
        <f>[1]资金台帐!N576</f>
      </c>
      <c r="O576">
        <f>[1]资金台帐!O576&amp;""</f>
      </c>
      <c r="P576">
        <f>[1]资金台帐!P576&amp;""</f>
      </c>
      <c r="Q576">
        <f>[1]资金台帐!Q576&amp;""</f>
      </c>
      <c r="T576">
        <f>[1]资金台帐!T576&amp;""</f>
      </c>
      <c r="U576">
        <f>[1]资金台帐!U576&amp;""</f>
      </c>
      <c r="W576">
        <f>[1]资金台帐!W576&amp;""</f>
      </c>
      <c r="X576">
        <f>[1]资金台帐!X576&amp;""</f>
      </c>
      <c r="AB576">
        <f>[1]资金台帐!AB576</f>
        <v>0</v>
      </c>
      <c r="AC576">
        <f>[1]资金台帐!AC576</f>
        <v>0</v>
      </c>
      <c r="AD576">
        <f>[1]资金台帐!AD576</f>
        <v>0</v>
      </c>
      <c r="AJ576">
        <f>[1]资金台帐!AJ576</f>
        <v>0</v>
      </c>
      <c r="AK576">
        <f>[1]资金台帐!AK576</f>
        <v>0</v>
      </c>
      <c r="BA576" s="22">
        <f t="shared" si="0"/>
      </c>
      <c r="BG576" s="22">
        <f t="shared" si="1"/>
      </c>
      <c r="BH576" s="22">
        <f t="shared" si="2"/>
        <v>0</v>
      </c>
    </row>
    <row r="577">
      <c r="B577">
        <f>[1]资金台帐!B577&amp;""</f>
      </c>
      <c r="H577">
        <f>[1]资金台帐!H577&amp;""</f>
      </c>
      <c r="J577">
        <f>[1]资金台帐!J577&amp;""</f>
      </c>
      <c r="N577">
        <f>[1]资金台帐!N577</f>
      </c>
      <c r="O577">
        <f>[1]资金台帐!O577&amp;""</f>
      </c>
      <c r="P577">
        <f>[1]资金台帐!P577&amp;""</f>
      </c>
      <c r="Q577">
        <f>[1]资金台帐!Q577&amp;""</f>
      </c>
      <c r="T577">
        <f>[1]资金台帐!T577&amp;""</f>
      </c>
      <c r="U577">
        <f>[1]资金台帐!U577&amp;""</f>
      </c>
      <c r="W577">
        <f>[1]资金台帐!W577&amp;""</f>
      </c>
      <c r="X577">
        <f>[1]资金台帐!X577&amp;""</f>
      </c>
      <c r="AB577">
        <f>[1]资金台帐!AB577</f>
        <v>0</v>
      </c>
      <c r="AC577">
        <f>[1]资金台帐!AC577</f>
        <v>0</v>
      </c>
      <c r="AD577">
        <f>[1]资金台帐!AD577</f>
        <v>0</v>
      </c>
      <c r="AJ577">
        <f>[1]资金台帐!AJ577</f>
        <v>0</v>
      </c>
      <c r="AK577">
        <f>[1]资金台帐!AK577</f>
        <v>0</v>
      </c>
      <c r="BA577" s="22">
        <f t="shared" si="0"/>
      </c>
      <c r="BG577" s="22">
        <f t="shared" si="1"/>
      </c>
      <c r="BH577" s="22">
        <f t="shared" si="2"/>
        <v>0</v>
      </c>
    </row>
    <row r="578">
      <c r="B578">
        <f>[1]资金台帐!B578&amp;""</f>
      </c>
      <c r="H578">
        <f>[1]资金台帐!H578&amp;""</f>
      </c>
      <c r="J578">
        <f>[1]资金台帐!J578&amp;""</f>
      </c>
      <c r="N578">
        <f>[1]资金台帐!N578</f>
      </c>
      <c r="O578">
        <f>[1]资金台帐!O578&amp;""</f>
      </c>
      <c r="P578">
        <f>[1]资金台帐!P578&amp;""</f>
      </c>
      <c r="Q578">
        <f>[1]资金台帐!Q578&amp;""</f>
      </c>
      <c r="T578">
        <f>[1]资金台帐!T578&amp;""</f>
      </c>
      <c r="U578">
        <f>[1]资金台帐!U578&amp;""</f>
      </c>
      <c r="W578">
        <f>[1]资金台帐!W578&amp;""</f>
      </c>
      <c r="X578">
        <f>[1]资金台帐!X578&amp;""</f>
      </c>
      <c r="AB578">
        <f>[1]资金台帐!AB578</f>
        <v>0</v>
      </c>
      <c r="AC578">
        <f>[1]资金台帐!AC578</f>
        <v>0</v>
      </c>
      <c r="AD578">
        <f>[1]资金台帐!AD578</f>
        <v>0</v>
      </c>
      <c r="AJ578">
        <f>[1]资金台帐!AJ578</f>
        <v>0</v>
      </c>
      <c r="AK578">
        <f>[1]资金台帐!AK578</f>
        <v>0</v>
      </c>
      <c r="BA578" s="22">
        <f t="shared" si="0"/>
      </c>
      <c r="BG578" s="22">
        <f t="shared" si="1"/>
      </c>
      <c r="BH578" s="22">
        <f t="shared" si="2"/>
        <v>0</v>
      </c>
    </row>
    <row r="579">
      <c r="B579">
        <f>[1]资金台帐!B579&amp;""</f>
      </c>
      <c r="H579">
        <f>[1]资金台帐!H579&amp;""</f>
      </c>
      <c r="J579">
        <f>[1]资金台帐!J579&amp;""</f>
      </c>
      <c r="N579">
        <f>[1]资金台帐!N579</f>
      </c>
      <c r="O579">
        <f>[1]资金台帐!O579&amp;""</f>
      </c>
      <c r="P579">
        <f>[1]资金台帐!P579&amp;""</f>
      </c>
      <c r="Q579">
        <f>[1]资金台帐!Q579&amp;""</f>
      </c>
      <c r="T579">
        <f>[1]资金台帐!T579&amp;""</f>
      </c>
      <c r="U579">
        <f>[1]资金台帐!U579&amp;""</f>
      </c>
      <c r="W579">
        <f>[1]资金台帐!W579&amp;""</f>
      </c>
      <c r="X579">
        <f>[1]资金台帐!X579&amp;""</f>
      </c>
      <c r="AB579">
        <f>[1]资金台帐!AB579</f>
        <v>0</v>
      </c>
      <c r="AC579">
        <f>[1]资金台帐!AC579</f>
        <v>0</v>
      </c>
      <c r="AD579">
        <f>[1]资金台帐!AD579</f>
        <v>0</v>
      </c>
      <c r="AJ579">
        <f>[1]资金台帐!AJ579</f>
        <v>0</v>
      </c>
      <c r="AK579">
        <f>[1]资金台帐!AK579</f>
        <v>0</v>
      </c>
      <c r="BA579" s="22">
        <f t="shared" si="0"/>
      </c>
      <c r="BG579" s="22">
        <f t="shared" si="1"/>
      </c>
      <c r="BH579" s="22">
        <f t="shared" si="2"/>
        <v>0</v>
      </c>
    </row>
    <row r="580">
      <c r="B580">
        <f>[1]资金台帐!B580&amp;""</f>
      </c>
      <c r="H580">
        <f>[1]资金台帐!H580&amp;""</f>
      </c>
      <c r="J580">
        <f>[1]资金台帐!J580&amp;""</f>
      </c>
      <c r="N580">
        <f>[1]资金台帐!N580</f>
      </c>
      <c r="O580">
        <f>[1]资金台帐!O580&amp;""</f>
      </c>
      <c r="P580">
        <f>[1]资金台帐!P580&amp;""</f>
      </c>
      <c r="Q580">
        <f>[1]资金台帐!Q580&amp;""</f>
      </c>
      <c r="T580">
        <f>[1]资金台帐!T580&amp;""</f>
      </c>
      <c r="U580">
        <f>[1]资金台帐!U580&amp;""</f>
      </c>
      <c r="W580">
        <f>[1]资金台帐!W580&amp;""</f>
      </c>
      <c r="X580">
        <f>[1]资金台帐!X580&amp;""</f>
      </c>
      <c r="AB580">
        <f>[1]资金台帐!AB580</f>
        <v>0</v>
      </c>
      <c r="AC580">
        <f>[1]资金台帐!AC580</f>
        <v>0</v>
      </c>
      <c r="AD580">
        <f>[1]资金台帐!AD580</f>
        <v>0</v>
      </c>
      <c r="AJ580">
        <f>[1]资金台帐!AJ580</f>
        <v>0</v>
      </c>
      <c r="AK580">
        <f>[1]资金台帐!AK580</f>
        <v>0</v>
      </c>
      <c r="BA580" s="22">
        <f t="shared" si="0"/>
      </c>
      <c r="BG580" s="22">
        <f t="shared" si="1"/>
      </c>
      <c r="BH580" s="22">
        <f t="shared" si="2"/>
        <v>0</v>
      </c>
    </row>
    <row r="581">
      <c r="B581">
        <f>[1]资金台帐!B581&amp;""</f>
      </c>
      <c r="H581">
        <f>[1]资金台帐!H581&amp;""</f>
      </c>
      <c r="J581">
        <f>[1]资金台帐!J581&amp;""</f>
      </c>
      <c r="N581">
        <f>[1]资金台帐!N581</f>
      </c>
      <c r="O581">
        <f>[1]资金台帐!O581&amp;""</f>
      </c>
      <c r="P581">
        <f>[1]资金台帐!P581&amp;""</f>
      </c>
      <c r="Q581">
        <f>[1]资金台帐!Q581&amp;""</f>
      </c>
      <c r="T581">
        <f>[1]资金台帐!T581&amp;""</f>
      </c>
      <c r="U581">
        <f>[1]资金台帐!U581&amp;""</f>
      </c>
      <c r="W581">
        <f>[1]资金台帐!W581&amp;""</f>
      </c>
      <c r="X581">
        <f>[1]资金台帐!X581&amp;""</f>
      </c>
      <c r="AB581">
        <f>[1]资金台帐!AB581</f>
        <v>0</v>
      </c>
      <c r="AC581">
        <f>[1]资金台帐!AC581</f>
        <v>0</v>
      </c>
      <c r="AD581">
        <f>[1]资金台帐!AD581</f>
        <v>0</v>
      </c>
      <c r="AJ581">
        <f>[1]资金台帐!AJ581</f>
        <v>0</v>
      </c>
      <c r="AK581">
        <f>[1]资金台帐!AK581</f>
        <v>0</v>
      </c>
      <c r="BA581" s="22">
        <f t="shared" si="0"/>
      </c>
      <c r="BG581" s="22">
        <f t="shared" si="1"/>
      </c>
      <c r="BH581" s="22">
        <f t="shared" si="2"/>
        <v>0</v>
      </c>
    </row>
    <row r="582">
      <c r="B582">
        <f>[1]资金台帐!B582&amp;""</f>
      </c>
      <c r="H582">
        <f>[1]资金台帐!H582&amp;""</f>
      </c>
      <c r="J582">
        <f>[1]资金台帐!J582&amp;""</f>
      </c>
      <c r="N582">
        <f>[1]资金台帐!N582</f>
      </c>
      <c r="O582">
        <f>[1]资金台帐!O582&amp;""</f>
      </c>
      <c r="P582">
        <f>[1]资金台帐!P582&amp;""</f>
      </c>
      <c r="Q582">
        <f>[1]资金台帐!Q582&amp;""</f>
      </c>
      <c r="T582">
        <f>[1]资金台帐!T582&amp;""</f>
      </c>
      <c r="U582">
        <f>[1]资金台帐!U582&amp;""</f>
      </c>
      <c r="W582">
        <f>[1]资金台帐!W582&amp;""</f>
      </c>
      <c r="X582">
        <f>[1]资金台帐!X582&amp;""</f>
      </c>
      <c r="AB582">
        <f>[1]资金台帐!AB582</f>
        <v>0</v>
      </c>
      <c r="AC582">
        <f>[1]资金台帐!AC582</f>
        <v>0</v>
      </c>
      <c r="AD582">
        <f>[1]资金台帐!AD582</f>
        <v>0</v>
      </c>
      <c r="AJ582">
        <f>[1]资金台帐!AJ582</f>
        <v>0</v>
      </c>
      <c r="AK582">
        <f>[1]资金台帐!AK582</f>
        <v>0</v>
      </c>
      <c r="BA582" s="22">
        <f t="shared" si="0"/>
      </c>
      <c r="BG582" s="22">
        <f t="shared" si="1"/>
      </c>
      <c r="BH582" s="22">
        <f t="shared" si="2"/>
        <v>0</v>
      </c>
    </row>
    <row r="583">
      <c r="B583">
        <f>[1]资金台帐!B583&amp;""</f>
      </c>
      <c r="H583">
        <f>[1]资金台帐!H583&amp;""</f>
      </c>
      <c r="J583">
        <f>[1]资金台帐!J583&amp;""</f>
      </c>
      <c r="N583">
        <f>[1]资金台帐!N583</f>
      </c>
      <c r="O583">
        <f>[1]资金台帐!O583&amp;""</f>
      </c>
      <c r="P583">
        <f>[1]资金台帐!P583&amp;""</f>
      </c>
      <c r="Q583">
        <f>[1]资金台帐!Q583&amp;""</f>
      </c>
      <c r="T583">
        <f>[1]资金台帐!T583&amp;""</f>
      </c>
      <c r="U583">
        <f>[1]资金台帐!U583&amp;""</f>
      </c>
      <c r="W583">
        <f>[1]资金台帐!W583&amp;""</f>
      </c>
      <c r="X583">
        <f>[1]资金台帐!X583&amp;""</f>
      </c>
      <c r="AB583">
        <f>[1]资金台帐!AB583</f>
        <v>0</v>
      </c>
      <c r="AC583">
        <f>[1]资金台帐!AC583</f>
        <v>0</v>
      </c>
      <c r="AD583">
        <f>[1]资金台帐!AD583</f>
        <v>0</v>
      </c>
      <c r="AJ583">
        <f>[1]资金台帐!AJ583</f>
        <v>0</v>
      </c>
      <c r="AK583">
        <f>[1]资金台帐!AK583</f>
        <v>0</v>
      </c>
      <c r="BA583" s="22">
        <f t="shared" si="0"/>
      </c>
      <c r="BG583" s="22">
        <f t="shared" si="1"/>
      </c>
      <c r="BH583" s="22">
        <f t="shared" si="2"/>
        <v>0</v>
      </c>
    </row>
    <row r="584">
      <c r="B584">
        <f>[1]资金台帐!B584&amp;""</f>
      </c>
      <c r="H584">
        <f>[1]资金台帐!H584&amp;""</f>
      </c>
      <c r="J584">
        <f>[1]资金台帐!J584&amp;""</f>
      </c>
      <c r="N584">
        <f>[1]资金台帐!N584</f>
      </c>
      <c r="O584">
        <f>[1]资金台帐!O584&amp;""</f>
      </c>
      <c r="P584">
        <f>[1]资金台帐!P584&amp;""</f>
      </c>
      <c r="Q584">
        <f>[1]资金台帐!Q584&amp;""</f>
      </c>
      <c r="T584">
        <f>[1]资金台帐!T584&amp;""</f>
      </c>
      <c r="U584">
        <f>[1]资金台帐!U584&amp;""</f>
      </c>
      <c r="W584">
        <f>[1]资金台帐!W584&amp;""</f>
      </c>
      <c r="X584">
        <f>[1]资金台帐!X584&amp;""</f>
      </c>
      <c r="AB584">
        <f>[1]资金台帐!AB584</f>
        <v>0</v>
      </c>
      <c r="AC584">
        <f>[1]资金台帐!AC584</f>
        <v>0</v>
      </c>
      <c r="AD584">
        <f>[1]资金台帐!AD584</f>
        <v>0</v>
      </c>
      <c r="AJ584">
        <f>[1]资金台帐!AJ584</f>
        <v>0</v>
      </c>
      <c r="AK584">
        <f>[1]资金台帐!AK584</f>
        <v>0</v>
      </c>
      <c r="BA584" s="22">
        <f t="shared" si="0"/>
      </c>
      <c r="BG584" s="22">
        <f t="shared" si="1"/>
      </c>
      <c r="BH584" s="22">
        <f t="shared" si="2"/>
        <v>0</v>
      </c>
    </row>
    <row r="585">
      <c r="B585">
        <f>[1]资金台帐!B585&amp;""</f>
      </c>
      <c r="H585">
        <f>[1]资金台帐!H585&amp;""</f>
      </c>
      <c r="J585">
        <f>[1]资金台帐!J585&amp;""</f>
      </c>
      <c r="N585">
        <f>[1]资金台帐!N585</f>
      </c>
      <c r="O585">
        <f>[1]资金台帐!O585&amp;""</f>
      </c>
      <c r="P585">
        <f>[1]资金台帐!P585&amp;""</f>
      </c>
      <c r="Q585">
        <f>[1]资金台帐!Q585&amp;""</f>
      </c>
      <c r="T585">
        <f>[1]资金台帐!T585&amp;""</f>
      </c>
      <c r="U585">
        <f>[1]资金台帐!U585&amp;""</f>
      </c>
      <c r="W585">
        <f>[1]资金台帐!W585&amp;""</f>
      </c>
      <c r="X585">
        <f>[1]资金台帐!X585&amp;""</f>
      </c>
      <c r="AB585">
        <f>[1]资金台帐!AB585</f>
        <v>0</v>
      </c>
      <c r="AC585">
        <f>[1]资金台帐!AC585</f>
        <v>0</v>
      </c>
      <c r="AD585">
        <f>[1]资金台帐!AD585</f>
        <v>0</v>
      </c>
      <c r="AJ585">
        <f>[1]资金台帐!AJ585</f>
        <v>0</v>
      </c>
      <c r="AK585">
        <f>[1]资金台帐!AK585</f>
        <v>0</v>
      </c>
      <c r="BA585" s="22">
        <f t="shared" si="0"/>
      </c>
      <c r="BG585" s="22">
        <f t="shared" si="1"/>
      </c>
      <c r="BH585" s="22">
        <f t="shared" si="2"/>
        <v>0</v>
      </c>
    </row>
    <row r="586">
      <c r="B586">
        <f>[1]资金台帐!B586&amp;""</f>
      </c>
      <c r="H586">
        <f>[1]资金台帐!H586&amp;""</f>
      </c>
      <c r="J586">
        <f>[1]资金台帐!J586&amp;""</f>
      </c>
      <c r="N586">
        <f>[1]资金台帐!N586</f>
      </c>
      <c r="O586">
        <f>[1]资金台帐!O586&amp;""</f>
      </c>
      <c r="P586">
        <f>[1]资金台帐!P586&amp;""</f>
      </c>
      <c r="Q586">
        <f>[1]资金台帐!Q586&amp;""</f>
      </c>
      <c r="T586">
        <f>[1]资金台帐!T586&amp;""</f>
      </c>
      <c r="U586">
        <f>[1]资金台帐!U586&amp;""</f>
      </c>
      <c r="W586">
        <f>[1]资金台帐!W586&amp;""</f>
      </c>
      <c r="X586">
        <f>[1]资金台帐!X586&amp;""</f>
      </c>
      <c r="AB586">
        <f>[1]资金台帐!AB586</f>
        <v>0</v>
      </c>
      <c r="AC586">
        <f>[1]资金台帐!AC586</f>
        <v>0</v>
      </c>
      <c r="AD586">
        <f>[1]资金台帐!AD586</f>
        <v>0</v>
      </c>
      <c r="AJ586">
        <f>[1]资金台帐!AJ586</f>
        <v>0</v>
      </c>
      <c r="AK586">
        <f>[1]资金台帐!AK586</f>
        <v>0</v>
      </c>
      <c r="BA586" s="22">
        <f t="shared" si="0"/>
      </c>
      <c r="BG586" s="22">
        <f t="shared" si="1"/>
      </c>
      <c r="BH586" s="22">
        <f t="shared" si="2"/>
        <v>0</v>
      </c>
    </row>
    <row r="587">
      <c r="B587">
        <f>[1]资金台帐!B587&amp;""</f>
      </c>
      <c r="H587">
        <f>[1]资金台帐!H587&amp;""</f>
      </c>
      <c r="J587">
        <f>[1]资金台帐!J587&amp;""</f>
      </c>
      <c r="N587">
        <f>[1]资金台帐!N587</f>
      </c>
      <c r="O587">
        <f>[1]资金台帐!O587&amp;""</f>
      </c>
      <c r="P587">
        <f>[1]资金台帐!P587&amp;""</f>
      </c>
      <c r="Q587">
        <f>[1]资金台帐!Q587&amp;""</f>
      </c>
      <c r="T587">
        <f>[1]资金台帐!T587&amp;""</f>
      </c>
      <c r="U587">
        <f>[1]资金台帐!U587&amp;""</f>
      </c>
      <c r="W587">
        <f>[1]资金台帐!W587&amp;""</f>
      </c>
      <c r="X587">
        <f>[1]资金台帐!X587&amp;""</f>
      </c>
      <c r="AB587">
        <f>[1]资金台帐!AB587</f>
        <v>0</v>
      </c>
      <c r="AC587">
        <f>[1]资金台帐!AC587</f>
        <v>0</v>
      </c>
      <c r="AD587">
        <f>[1]资金台帐!AD587</f>
        <v>0</v>
      </c>
      <c r="AJ587">
        <f>[1]资金台帐!AJ587</f>
        <v>0</v>
      </c>
      <c r="AK587">
        <f>[1]资金台帐!AK587</f>
        <v>0</v>
      </c>
      <c r="BA587" s="22">
        <f t="shared" si="0"/>
      </c>
      <c r="BG587" s="22">
        <f t="shared" si="1"/>
      </c>
      <c r="BH587" s="22">
        <f t="shared" si="2"/>
        <v>0</v>
      </c>
    </row>
    <row r="588">
      <c r="B588">
        <f>[1]资金台帐!B588&amp;""</f>
      </c>
      <c r="H588">
        <f>[1]资金台帐!H588&amp;""</f>
      </c>
      <c r="J588">
        <f>[1]资金台帐!J588&amp;""</f>
      </c>
      <c r="N588">
        <f>[1]资金台帐!N588</f>
      </c>
      <c r="O588">
        <f>[1]资金台帐!O588&amp;""</f>
      </c>
      <c r="P588">
        <f>[1]资金台帐!P588&amp;""</f>
      </c>
      <c r="Q588">
        <f>[1]资金台帐!Q588&amp;""</f>
      </c>
      <c r="T588">
        <f>[1]资金台帐!T588&amp;""</f>
      </c>
      <c r="U588">
        <f>[1]资金台帐!U588&amp;""</f>
      </c>
      <c r="W588">
        <f>[1]资金台帐!W588&amp;""</f>
      </c>
      <c r="X588">
        <f>[1]资金台帐!X588&amp;""</f>
      </c>
      <c r="AB588">
        <f>[1]资金台帐!AB588</f>
        <v>0</v>
      </c>
      <c r="AC588">
        <f>[1]资金台帐!AC588</f>
        <v>0</v>
      </c>
      <c r="AD588">
        <f>[1]资金台帐!AD588</f>
        <v>0</v>
      </c>
      <c r="AJ588">
        <f>[1]资金台帐!AJ588</f>
        <v>0</v>
      </c>
      <c r="AK588">
        <f>[1]资金台帐!AK588</f>
        <v>0</v>
      </c>
      <c r="BA588" s="22">
        <f t="shared" si="0"/>
      </c>
      <c r="BG588" s="22">
        <f t="shared" si="1"/>
      </c>
      <c r="BH588" s="22">
        <f t="shared" si="2"/>
        <v>0</v>
      </c>
    </row>
    <row r="589">
      <c r="B589">
        <f>[1]资金台帐!B589&amp;""</f>
      </c>
      <c r="H589">
        <f>[1]资金台帐!H589&amp;""</f>
      </c>
      <c r="J589">
        <f>[1]资金台帐!J589&amp;""</f>
      </c>
      <c r="N589">
        <f>[1]资金台帐!N589</f>
      </c>
      <c r="O589">
        <f>[1]资金台帐!O589&amp;""</f>
      </c>
      <c r="P589">
        <f>[1]资金台帐!P589&amp;""</f>
      </c>
      <c r="Q589">
        <f>[1]资金台帐!Q589&amp;""</f>
      </c>
      <c r="T589">
        <f>[1]资金台帐!T589&amp;""</f>
      </c>
      <c r="U589">
        <f>[1]资金台帐!U589&amp;""</f>
      </c>
      <c r="W589">
        <f>[1]资金台帐!W589&amp;""</f>
      </c>
      <c r="X589">
        <f>[1]资金台帐!X589&amp;""</f>
      </c>
      <c r="AB589">
        <f>[1]资金台帐!AB589</f>
        <v>0</v>
      </c>
      <c r="AC589">
        <f>[1]资金台帐!AC589</f>
        <v>0</v>
      </c>
      <c r="AD589">
        <f>[1]资金台帐!AD589</f>
        <v>0</v>
      </c>
      <c r="AJ589">
        <f>[1]资金台帐!AJ589</f>
        <v>0</v>
      </c>
      <c r="AK589">
        <f>[1]资金台帐!AK589</f>
        <v>0</v>
      </c>
      <c r="BA589" s="22">
        <f t="shared" si="0"/>
      </c>
      <c r="BG589" s="22">
        <f t="shared" si="1"/>
      </c>
      <c r="BH589" s="22">
        <f t="shared" si="2"/>
        <v>0</v>
      </c>
    </row>
    <row r="590">
      <c r="B590">
        <f>[1]资金台帐!B590&amp;""</f>
      </c>
      <c r="H590">
        <f>[1]资金台帐!H590&amp;""</f>
      </c>
      <c r="J590">
        <f>[1]资金台帐!J590&amp;""</f>
      </c>
      <c r="N590">
        <f>[1]资金台帐!N590</f>
      </c>
      <c r="O590">
        <f>[1]资金台帐!O590&amp;""</f>
      </c>
      <c r="P590">
        <f>[1]资金台帐!P590&amp;""</f>
      </c>
      <c r="Q590">
        <f>[1]资金台帐!Q590&amp;""</f>
      </c>
      <c r="T590">
        <f>[1]资金台帐!T590&amp;""</f>
      </c>
      <c r="U590">
        <f>[1]资金台帐!U590&amp;""</f>
      </c>
      <c r="W590">
        <f>[1]资金台帐!W590&amp;""</f>
      </c>
      <c r="X590">
        <f>[1]资金台帐!X590&amp;""</f>
      </c>
      <c r="AB590">
        <f>[1]资金台帐!AB590</f>
        <v>0</v>
      </c>
      <c r="AC590">
        <f>[1]资金台帐!AC590</f>
        <v>0</v>
      </c>
      <c r="AD590">
        <f>[1]资金台帐!AD590</f>
        <v>0</v>
      </c>
      <c r="AJ590">
        <f>[1]资金台帐!AJ590</f>
        <v>0</v>
      </c>
      <c r="AK590">
        <f>[1]资金台帐!AK590</f>
        <v>0</v>
      </c>
      <c r="BA590" s="22">
        <f t="shared" si="0"/>
      </c>
      <c r="BG590" s="22">
        <f t="shared" si="1"/>
      </c>
      <c r="BH590" s="22">
        <f t="shared" si="2"/>
        <v>0</v>
      </c>
    </row>
    <row r="591">
      <c r="B591">
        <f>[1]资金台帐!B591&amp;""</f>
      </c>
      <c r="H591">
        <f>[1]资金台帐!H591&amp;""</f>
      </c>
      <c r="J591">
        <f>[1]资金台帐!J591&amp;""</f>
      </c>
      <c r="N591">
        <f>[1]资金台帐!N591</f>
      </c>
      <c r="O591">
        <f>[1]资金台帐!O591&amp;""</f>
      </c>
      <c r="P591">
        <f>[1]资金台帐!P591&amp;""</f>
      </c>
      <c r="Q591">
        <f>[1]资金台帐!Q591&amp;""</f>
      </c>
      <c r="T591">
        <f>[1]资金台帐!T591&amp;""</f>
      </c>
      <c r="U591">
        <f>[1]资金台帐!U591&amp;""</f>
      </c>
      <c r="W591">
        <f>[1]资金台帐!W591&amp;""</f>
      </c>
      <c r="X591">
        <f>[1]资金台帐!X591&amp;""</f>
      </c>
      <c r="AB591">
        <f>[1]资金台帐!AB591</f>
        <v>0</v>
      </c>
      <c r="AC591">
        <f>[1]资金台帐!AC591</f>
        <v>0</v>
      </c>
      <c r="AD591">
        <f>[1]资金台帐!AD591</f>
        <v>0</v>
      </c>
      <c r="AJ591">
        <f>[1]资金台帐!AJ591</f>
        <v>0</v>
      </c>
      <c r="AK591">
        <f>[1]资金台帐!AK591</f>
        <v>0</v>
      </c>
      <c r="BA591" s="22">
        <f t="shared" si="0"/>
      </c>
      <c r="BG591" s="22">
        <f t="shared" si="1"/>
      </c>
      <c r="BH591" s="22">
        <f t="shared" si="2"/>
        <v>0</v>
      </c>
    </row>
    <row r="592">
      <c r="B592">
        <f>[1]资金台帐!B592&amp;""</f>
      </c>
      <c r="H592">
        <f>[1]资金台帐!H592&amp;""</f>
      </c>
      <c r="J592">
        <f>[1]资金台帐!J592&amp;""</f>
      </c>
      <c r="N592">
        <f>[1]资金台帐!N592</f>
      </c>
      <c r="O592">
        <f>[1]资金台帐!O592&amp;""</f>
      </c>
      <c r="P592">
        <f>[1]资金台帐!P592&amp;""</f>
      </c>
      <c r="Q592">
        <f>[1]资金台帐!Q592&amp;""</f>
      </c>
      <c r="T592">
        <f>[1]资金台帐!T592&amp;""</f>
      </c>
      <c r="U592">
        <f>[1]资金台帐!U592&amp;""</f>
      </c>
      <c r="W592">
        <f>[1]资金台帐!W592&amp;""</f>
      </c>
      <c r="X592">
        <f>[1]资金台帐!X592&amp;""</f>
      </c>
      <c r="AB592">
        <f>[1]资金台帐!AB592</f>
        <v>0</v>
      </c>
      <c r="AC592">
        <f>[1]资金台帐!AC592</f>
        <v>0</v>
      </c>
      <c r="AD592">
        <f>[1]资金台帐!AD592</f>
        <v>0</v>
      </c>
      <c r="AJ592">
        <f>[1]资金台帐!AJ592</f>
        <v>0</v>
      </c>
      <c r="AK592">
        <f>[1]资金台帐!AK592</f>
        <v>0</v>
      </c>
      <c r="BA592" s="22">
        <f t="shared" si="0"/>
      </c>
      <c r="BG592" s="22">
        <f t="shared" si="1"/>
      </c>
      <c r="BH592" s="22">
        <f t="shared" si="2"/>
        <v>0</v>
      </c>
    </row>
    <row r="593">
      <c r="B593">
        <f>[1]资金台帐!B593&amp;""</f>
      </c>
      <c r="H593">
        <f>[1]资金台帐!H593&amp;""</f>
      </c>
      <c r="J593">
        <f>[1]资金台帐!J593&amp;""</f>
      </c>
      <c r="N593">
        <f>[1]资金台帐!N593</f>
      </c>
      <c r="O593">
        <f>[1]资金台帐!O593&amp;""</f>
      </c>
      <c r="P593">
        <f>[1]资金台帐!P593&amp;""</f>
      </c>
      <c r="Q593">
        <f>[1]资金台帐!Q593&amp;""</f>
      </c>
      <c r="T593">
        <f>[1]资金台帐!T593&amp;""</f>
      </c>
      <c r="U593">
        <f>[1]资金台帐!U593&amp;""</f>
      </c>
      <c r="W593">
        <f>[1]资金台帐!W593&amp;""</f>
      </c>
      <c r="X593">
        <f>[1]资金台帐!X593&amp;""</f>
      </c>
      <c r="AB593">
        <f>[1]资金台帐!AB593</f>
        <v>0</v>
      </c>
      <c r="AC593">
        <f>[1]资金台帐!AC593</f>
        <v>0</v>
      </c>
      <c r="AD593">
        <f>[1]资金台帐!AD593</f>
        <v>0</v>
      </c>
      <c r="AJ593">
        <f>[1]资金台帐!AJ593</f>
        <v>0</v>
      </c>
      <c r="AK593">
        <f>[1]资金台帐!AK593</f>
        <v>0</v>
      </c>
      <c r="BA593" s="22">
        <f t="shared" si="0"/>
      </c>
      <c r="BG593" s="22">
        <f t="shared" si="1"/>
      </c>
      <c r="BH593" s="22">
        <f t="shared" si="2"/>
        <v>0</v>
      </c>
    </row>
    <row r="594">
      <c r="B594">
        <f>[1]资金台帐!B594&amp;""</f>
      </c>
      <c r="H594">
        <f>[1]资金台帐!H594&amp;""</f>
      </c>
      <c r="J594">
        <f>[1]资金台帐!J594&amp;""</f>
      </c>
      <c r="N594">
        <f>[1]资金台帐!N594</f>
      </c>
      <c r="O594">
        <f>[1]资金台帐!O594&amp;""</f>
      </c>
      <c r="P594">
        <f>[1]资金台帐!P594&amp;""</f>
      </c>
      <c r="Q594">
        <f>[1]资金台帐!Q594&amp;""</f>
      </c>
      <c r="T594">
        <f>[1]资金台帐!T594&amp;""</f>
      </c>
      <c r="U594">
        <f>[1]资金台帐!U594&amp;""</f>
      </c>
      <c r="W594">
        <f>[1]资金台帐!W594&amp;""</f>
      </c>
      <c r="X594">
        <f>[1]资金台帐!X594&amp;""</f>
      </c>
      <c r="AB594">
        <f>[1]资金台帐!AB594</f>
        <v>0</v>
      </c>
      <c r="AC594">
        <f>[1]资金台帐!AC594</f>
        <v>0</v>
      </c>
      <c r="AD594">
        <f>[1]资金台帐!AD594</f>
        <v>0</v>
      </c>
      <c r="AJ594">
        <f>[1]资金台帐!AJ594</f>
        <v>0</v>
      </c>
      <c r="AK594">
        <f>[1]资金台帐!AK594</f>
        <v>0</v>
      </c>
      <c r="BA594" s="22">
        <f t="shared" si="0"/>
      </c>
      <c r="BG594" s="22">
        <f t="shared" si="1"/>
      </c>
      <c r="BH594" s="22">
        <f t="shared" si="2"/>
        <v>0</v>
      </c>
    </row>
    <row r="595">
      <c r="B595">
        <f>[1]资金台帐!B595&amp;""</f>
      </c>
      <c r="H595">
        <f>[1]资金台帐!H595&amp;""</f>
      </c>
      <c r="J595">
        <f>[1]资金台帐!J595&amp;""</f>
      </c>
      <c r="N595">
        <f>[1]资金台帐!N595</f>
      </c>
      <c r="O595">
        <f>[1]资金台帐!O595&amp;""</f>
      </c>
      <c r="P595">
        <f>[1]资金台帐!P595&amp;""</f>
      </c>
      <c r="Q595">
        <f>[1]资金台帐!Q595&amp;""</f>
      </c>
      <c r="T595">
        <f>[1]资金台帐!T595&amp;""</f>
      </c>
      <c r="U595">
        <f>[1]资金台帐!U595&amp;""</f>
      </c>
      <c r="W595">
        <f>[1]资金台帐!W595&amp;""</f>
      </c>
      <c r="X595">
        <f>[1]资金台帐!X595&amp;""</f>
      </c>
      <c r="AB595">
        <f>[1]资金台帐!AB595</f>
        <v>0</v>
      </c>
      <c r="AC595">
        <f>[1]资金台帐!AC595</f>
        <v>0</v>
      </c>
      <c r="AD595">
        <f>[1]资金台帐!AD595</f>
        <v>0</v>
      </c>
      <c r="AJ595">
        <f>[1]资金台帐!AJ595</f>
        <v>0</v>
      </c>
      <c r="AK595">
        <f>[1]资金台帐!AK595</f>
        <v>0</v>
      </c>
      <c r="BA595" s="22">
        <f t="shared" si="0"/>
      </c>
      <c r="BG595" s="22">
        <f t="shared" si="1"/>
      </c>
      <c r="BH595" s="22">
        <f t="shared" si="2"/>
        <v>0</v>
      </c>
    </row>
    <row r="596">
      <c r="B596">
        <f>[1]资金台帐!B596&amp;""</f>
      </c>
      <c r="H596">
        <f>[1]资金台帐!H596&amp;""</f>
      </c>
      <c r="J596">
        <f>[1]资金台帐!J596&amp;""</f>
      </c>
      <c r="N596">
        <f>[1]资金台帐!N596</f>
      </c>
      <c r="O596">
        <f>[1]资金台帐!O596&amp;""</f>
      </c>
      <c r="P596">
        <f>[1]资金台帐!P596&amp;""</f>
      </c>
      <c r="Q596">
        <f>[1]资金台帐!Q596&amp;""</f>
      </c>
      <c r="T596">
        <f>[1]资金台帐!T596&amp;""</f>
      </c>
      <c r="U596">
        <f>[1]资金台帐!U596&amp;""</f>
      </c>
      <c r="W596">
        <f>[1]资金台帐!W596&amp;""</f>
      </c>
      <c r="X596">
        <f>[1]资金台帐!X596&amp;""</f>
      </c>
      <c r="AB596">
        <f>[1]资金台帐!AB596</f>
        <v>0</v>
      </c>
      <c r="AC596">
        <f>[1]资金台帐!AC596</f>
        <v>0</v>
      </c>
      <c r="AD596">
        <f>[1]资金台帐!AD596</f>
        <v>0</v>
      </c>
      <c r="AJ596">
        <f>[1]资金台帐!AJ596</f>
        <v>0</v>
      </c>
      <c r="AK596">
        <f>[1]资金台帐!AK596</f>
        <v>0</v>
      </c>
      <c r="BA596" s="22">
        <f t="shared" si="0"/>
      </c>
      <c r="BG596" s="22">
        <f t="shared" si="1"/>
      </c>
      <c r="BH596" s="22">
        <f t="shared" si="2"/>
        <v>0</v>
      </c>
    </row>
    <row r="597">
      <c r="B597">
        <f>[1]资金台帐!B597&amp;""</f>
      </c>
      <c r="H597">
        <f>[1]资金台帐!H597&amp;""</f>
      </c>
      <c r="J597">
        <f>[1]资金台帐!J597&amp;""</f>
      </c>
      <c r="N597">
        <f>[1]资金台帐!N597</f>
      </c>
      <c r="O597">
        <f>[1]资金台帐!O597&amp;""</f>
      </c>
      <c r="P597">
        <f>[1]资金台帐!P597&amp;""</f>
      </c>
      <c r="Q597">
        <f>[1]资金台帐!Q597&amp;""</f>
      </c>
      <c r="T597">
        <f>[1]资金台帐!T597&amp;""</f>
      </c>
      <c r="U597">
        <f>[1]资金台帐!U597&amp;""</f>
      </c>
      <c r="W597">
        <f>[1]资金台帐!W597&amp;""</f>
      </c>
      <c r="X597">
        <f>[1]资金台帐!X597&amp;""</f>
      </c>
      <c r="AB597">
        <f>[1]资金台帐!AB597</f>
        <v>0</v>
      </c>
      <c r="AC597">
        <f>[1]资金台帐!AC597</f>
        <v>0</v>
      </c>
      <c r="AD597">
        <f>[1]资金台帐!AD597</f>
        <v>0</v>
      </c>
      <c r="AJ597">
        <f>[1]资金台帐!AJ597</f>
        <v>0</v>
      </c>
      <c r="AK597">
        <f>[1]资金台帐!AK597</f>
        <v>0</v>
      </c>
      <c r="BA597" s="22">
        <f t="shared" si="0"/>
      </c>
      <c r="BG597" s="22">
        <f t="shared" si="1"/>
      </c>
      <c r="BH597" s="22">
        <f t="shared" si="2"/>
        <v>0</v>
      </c>
    </row>
    <row r="598">
      <c r="B598">
        <f>[1]资金台帐!B598&amp;""</f>
      </c>
      <c r="H598">
        <f>[1]资金台帐!H598&amp;""</f>
      </c>
      <c r="J598">
        <f>[1]资金台帐!J598&amp;""</f>
      </c>
      <c r="N598">
        <f>[1]资金台帐!N598</f>
      </c>
      <c r="O598">
        <f>[1]资金台帐!O598&amp;""</f>
      </c>
      <c r="P598">
        <f>[1]资金台帐!P598&amp;""</f>
      </c>
      <c r="Q598">
        <f>[1]资金台帐!Q598&amp;""</f>
      </c>
      <c r="T598">
        <f>[1]资金台帐!T598&amp;""</f>
      </c>
      <c r="U598">
        <f>[1]资金台帐!U598&amp;""</f>
      </c>
      <c r="W598">
        <f>[1]资金台帐!W598&amp;""</f>
      </c>
      <c r="X598">
        <f>[1]资金台帐!X598&amp;""</f>
      </c>
      <c r="AB598">
        <f>[1]资金台帐!AB598</f>
        <v>0</v>
      </c>
      <c r="AC598">
        <f>[1]资金台帐!AC598</f>
        <v>0</v>
      </c>
      <c r="AD598">
        <f>[1]资金台帐!AD598</f>
        <v>0</v>
      </c>
      <c r="AJ598">
        <f>[1]资金台帐!AJ598</f>
        <v>0</v>
      </c>
      <c r="AK598">
        <f>[1]资金台帐!AK598</f>
        <v>0</v>
      </c>
      <c r="BA598" s="22">
        <f t="shared" si="0"/>
      </c>
      <c r="BG598" s="22">
        <f t="shared" si="1"/>
      </c>
      <c r="BH598" s="22">
        <f t="shared" si="2"/>
        <v>0</v>
      </c>
    </row>
    <row r="599">
      <c r="B599">
        <f>[1]资金台帐!B599&amp;""</f>
      </c>
      <c r="H599">
        <f>[1]资金台帐!H599&amp;""</f>
      </c>
      <c r="J599">
        <f>[1]资金台帐!J599&amp;""</f>
      </c>
      <c r="N599">
        <f>[1]资金台帐!N599</f>
      </c>
      <c r="O599">
        <f>[1]资金台帐!O599&amp;""</f>
      </c>
      <c r="P599">
        <f>[1]资金台帐!P599&amp;""</f>
      </c>
      <c r="Q599">
        <f>[1]资金台帐!Q599&amp;""</f>
      </c>
      <c r="T599">
        <f>[1]资金台帐!T599&amp;""</f>
      </c>
      <c r="U599">
        <f>[1]资金台帐!U599&amp;""</f>
      </c>
      <c r="W599">
        <f>[1]资金台帐!W599&amp;""</f>
      </c>
      <c r="X599">
        <f>[1]资金台帐!X599&amp;""</f>
      </c>
      <c r="AB599">
        <f>[1]资金台帐!AB599</f>
        <v>0</v>
      </c>
      <c r="AC599">
        <f>[1]资金台帐!AC599</f>
        <v>0</v>
      </c>
      <c r="AD599">
        <f>[1]资金台帐!AD599</f>
        <v>0</v>
      </c>
      <c r="AJ599">
        <f>[1]资金台帐!AJ599</f>
        <v>0</v>
      </c>
      <c r="AK599">
        <f>[1]资金台帐!AK599</f>
        <v>0</v>
      </c>
      <c r="BA599" s="22">
        <f t="shared" si="0"/>
      </c>
      <c r="BG599" s="22">
        <f t="shared" si="1"/>
      </c>
      <c r="BH599" s="22">
        <f t="shared" si="2"/>
        <v>0</v>
      </c>
    </row>
    <row r="600">
      <c r="B600">
        <f>[1]资金台帐!B600&amp;""</f>
      </c>
      <c r="H600">
        <f>[1]资金台帐!H600&amp;""</f>
      </c>
      <c r="J600">
        <f>[1]资金台帐!J600&amp;""</f>
      </c>
      <c r="N600">
        <f>[1]资金台帐!N600</f>
      </c>
      <c r="O600">
        <f>[1]资金台帐!O600&amp;""</f>
      </c>
      <c r="P600">
        <f>[1]资金台帐!P600&amp;""</f>
      </c>
      <c r="Q600">
        <f>[1]资金台帐!Q600&amp;""</f>
      </c>
      <c r="T600">
        <f>[1]资金台帐!T600&amp;""</f>
      </c>
      <c r="U600">
        <f>[1]资金台帐!U600&amp;""</f>
      </c>
      <c r="W600">
        <f>[1]资金台帐!W600&amp;""</f>
      </c>
      <c r="X600">
        <f>[1]资金台帐!X600&amp;""</f>
      </c>
      <c r="AB600">
        <f>[1]资金台帐!AB600</f>
        <v>0</v>
      </c>
      <c r="AC600">
        <f>[1]资金台帐!AC600</f>
        <v>0</v>
      </c>
      <c r="AD600">
        <f>[1]资金台帐!AD600</f>
        <v>0</v>
      </c>
      <c r="AJ600">
        <f>[1]资金台帐!AJ600</f>
        <v>0</v>
      </c>
      <c r="AK600">
        <f>[1]资金台帐!AK600</f>
        <v>0</v>
      </c>
      <c r="BA600" s="22">
        <f t="shared" si="0"/>
      </c>
      <c r="BG600" s="22">
        <f t="shared" si="1"/>
      </c>
      <c r="BH600" s="22">
        <f t="shared" si="2"/>
        <v>0</v>
      </c>
    </row>
    <row r="601">
      <c r="B601">
        <f>[1]资金台帐!B601&amp;""</f>
      </c>
      <c r="H601">
        <f>[1]资金台帐!H601&amp;""</f>
      </c>
      <c r="J601">
        <f>[1]资金台帐!J601&amp;""</f>
      </c>
      <c r="N601">
        <f>[1]资金台帐!N601</f>
      </c>
      <c r="O601">
        <f>[1]资金台帐!O601&amp;""</f>
      </c>
      <c r="P601">
        <f>[1]资金台帐!P601&amp;""</f>
      </c>
      <c r="Q601">
        <f>[1]资金台帐!Q601&amp;""</f>
      </c>
      <c r="T601">
        <f>[1]资金台帐!T601&amp;""</f>
      </c>
      <c r="U601">
        <f>[1]资金台帐!U601&amp;""</f>
      </c>
      <c r="W601">
        <f>[1]资金台帐!W601&amp;""</f>
      </c>
      <c r="X601">
        <f>[1]资金台帐!X601&amp;""</f>
      </c>
      <c r="AB601">
        <f>[1]资金台帐!AB601</f>
        <v>0</v>
      </c>
      <c r="AC601">
        <f>[1]资金台帐!AC601</f>
        <v>0</v>
      </c>
      <c r="AD601">
        <f>[1]资金台帐!AD601</f>
        <v>0</v>
      </c>
      <c r="AJ601">
        <f>[1]资金台帐!AJ601</f>
        <v>0</v>
      </c>
      <c r="AK601">
        <f>[1]资金台帐!AK601</f>
        <v>0</v>
      </c>
      <c r="BA601" s="22">
        <f t="shared" si="0"/>
      </c>
      <c r="BG601" s="22">
        <f t="shared" si="1"/>
      </c>
      <c r="BH601" s="22">
        <f t="shared" si="2"/>
        <v>0</v>
      </c>
    </row>
    <row r="602">
      <c r="B602">
        <f>[1]资金台帐!B602&amp;""</f>
      </c>
      <c r="H602">
        <f>[1]资金台帐!H602&amp;""</f>
      </c>
      <c r="J602">
        <f>[1]资金台帐!J602&amp;""</f>
      </c>
      <c r="N602">
        <f>[1]资金台帐!N602</f>
      </c>
      <c r="O602">
        <f>[1]资金台帐!O602&amp;""</f>
      </c>
      <c r="P602">
        <f>[1]资金台帐!P602&amp;""</f>
      </c>
      <c r="Q602">
        <f>[1]资金台帐!Q602&amp;""</f>
      </c>
      <c r="T602">
        <f>[1]资金台帐!T602&amp;""</f>
      </c>
      <c r="U602">
        <f>[1]资金台帐!U602&amp;""</f>
      </c>
      <c r="W602">
        <f>[1]资金台帐!W602&amp;""</f>
      </c>
      <c r="X602">
        <f>[1]资金台帐!X602&amp;""</f>
      </c>
      <c r="AB602">
        <f>[1]资金台帐!AB602</f>
        <v>0</v>
      </c>
      <c r="AC602">
        <f>[1]资金台帐!AC602</f>
        <v>0</v>
      </c>
      <c r="AD602">
        <f>[1]资金台帐!AD602</f>
        <v>0</v>
      </c>
      <c r="AJ602">
        <f>[1]资金台帐!AJ602</f>
        <v>0</v>
      </c>
      <c r="AK602">
        <f>[1]资金台帐!AK602</f>
        <v>0</v>
      </c>
      <c r="BA602" s="22">
        <f t="shared" si="0"/>
      </c>
      <c r="BG602" s="22">
        <f t="shared" si="1"/>
      </c>
      <c r="BH602" s="22">
        <f t="shared" si="2"/>
        <v>0</v>
      </c>
    </row>
    <row r="603">
      <c r="B603">
        <f>[1]资金台帐!B603&amp;""</f>
      </c>
      <c r="H603">
        <f>[1]资金台帐!H603&amp;""</f>
      </c>
      <c r="J603">
        <f>[1]资金台帐!J603&amp;""</f>
      </c>
      <c r="N603">
        <f>[1]资金台帐!N603</f>
      </c>
      <c r="O603">
        <f>[1]资金台帐!O603&amp;""</f>
      </c>
      <c r="P603">
        <f>[1]资金台帐!P603&amp;""</f>
      </c>
      <c r="Q603">
        <f>[1]资金台帐!Q603&amp;""</f>
      </c>
      <c r="T603">
        <f>[1]资金台帐!T603&amp;""</f>
      </c>
      <c r="U603">
        <f>[1]资金台帐!U603&amp;""</f>
      </c>
      <c r="W603">
        <f>[1]资金台帐!W603&amp;""</f>
      </c>
      <c r="X603">
        <f>[1]资金台帐!X603&amp;""</f>
      </c>
      <c r="AB603">
        <f>[1]资金台帐!AB603</f>
        <v>0</v>
      </c>
      <c r="AC603">
        <f>[1]资金台帐!AC603</f>
        <v>0</v>
      </c>
      <c r="AD603">
        <f>[1]资金台帐!AD603</f>
        <v>0</v>
      </c>
      <c r="AJ603">
        <f>[1]资金台帐!AJ603</f>
        <v>0</v>
      </c>
      <c r="AK603">
        <f>[1]资金台帐!AK603</f>
        <v>0</v>
      </c>
      <c r="BA603" s="22">
        <f t="shared" si="0"/>
      </c>
      <c r="BG603" s="22">
        <f t="shared" si="1"/>
      </c>
      <c r="BH603" s="22">
        <f t="shared" si="2"/>
        <v>0</v>
      </c>
    </row>
    <row r="604">
      <c r="B604">
        <f>[1]资金台帐!B604&amp;""</f>
      </c>
      <c r="H604">
        <f>[1]资金台帐!H604&amp;""</f>
      </c>
      <c r="J604">
        <f>[1]资金台帐!J604&amp;""</f>
      </c>
      <c r="N604">
        <f>[1]资金台帐!N604</f>
      </c>
      <c r="O604">
        <f>[1]资金台帐!O604&amp;""</f>
      </c>
      <c r="P604">
        <f>[1]资金台帐!P604&amp;""</f>
      </c>
      <c r="Q604">
        <f>[1]资金台帐!Q604&amp;""</f>
      </c>
      <c r="T604">
        <f>[1]资金台帐!T604&amp;""</f>
      </c>
      <c r="U604">
        <f>[1]资金台帐!U604&amp;""</f>
      </c>
      <c r="W604">
        <f>[1]资金台帐!W604&amp;""</f>
      </c>
      <c r="X604">
        <f>[1]资金台帐!X604&amp;""</f>
      </c>
      <c r="AB604">
        <f>[1]资金台帐!AB604</f>
        <v>0</v>
      </c>
      <c r="AC604">
        <f>[1]资金台帐!AC604</f>
        <v>0</v>
      </c>
      <c r="AD604">
        <f>[1]资金台帐!AD604</f>
        <v>0</v>
      </c>
      <c r="AJ604">
        <f>[1]资金台帐!AJ604</f>
        <v>0</v>
      </c>
      <c r="AK604">
        <f>[1]资金台帐!AK604</f>
        <v>0</v>
      </c>
      <c r="BA604" s="22">
        <f t="shared" si="0"/>
      </c>
      <c r="BG604" s="22">
        <f t="shared" si="1"/>
      </c>
      <c r="BH604" s="22">
        <f t="shared" si="2"/>
        <v>0</v>
      </c>
    </row>
    <row r="605">
      <c r="B605">
        <f>[1]资金台帐!B605&amp;""</f>
      </c>
      <c r="H605">
        <f>[1]资金台帐!H605&amp;""</f>
      </c>
      <c r="J605">
        <f>[1]资金台帐!J605&amp;""</f>
      </c>
      <c r="N605">
        <f>[1]资金台帐!N605</f>
      </c>
      <c r="O605">
        <f>[1]资金台帐!O605&amp;""</f>
      </c>
      <c r="P605">
        <f>[1]资金台帐!P605&amp;""</f>
      </c>
      <c r="Q605">
        <f>[1]资金台帐!Q605&amp;""</f>
      </c>
      <c r="T605">
        <f>[1]资金台帐!T605&amp;""</f>
      </c>
      <c r="U605">
        <f>[1]资金台帐!U605&amp;""</f>
      </c>
      <c r="W605">
        <f>[1]资金台帐!W605&amp;""</f>
      </c>
      <c r="X605">
        <f>[1]资金台帐!X605&amp;""</f>
      </c>
      <c r="AB605">
        <f>[1]资金台帐!AB605</f>
        <v>0</v>
      </c>
      <c r="AC605">
        <f>[1]资金台帐!AC605</f>
        <v>0</v>
      </c>
      <c r="AD605">
        <f>[1]资金台帐!AD605</f>
        <v>0</v>
      </c>
      <c r="AJ605">
        <f>[1]资金台帐!AJ605</f>
        <v>0</v>
      </c>
      <c r="AK605">
        <f>[1]资金台帐!AK605</f>
        <v>0</v>
      </c>
      <c r="BA605" s="22">
        <f t="shared" si="0"/>
      </c>
      <c r="BG605" s="22">
        <f t="shared" si="1"/>
      </c>
      <c r="BH605" s="22">
        <f t="shared" si="2"/>
        <v>0</v>
      </c>
    </row>
    <row r="606">
      <c r="B606">
        <f>[1]资金台帐!B606&amp;""</f>
      </c>
      <c r="H606">
        <f>[1]资金台帐!H606&amp;""</f>
      </c>
      <c r="J606">
        <f>[1]资金台帐!J606&amp;""</f>
      </c>
      <c r="N606">
        <f>[1]资金台帐!N606</f>
      </c>
      <c r="O606">
        <f>[1]资金台帐!O606&amp;""</f>
      </c>
      <c r="P606">
        <f>[1]资金台帐!P606&amp;""</f>
      </c>
      <c r="Q606">
        <f>[1]资金台帐!Q606&amp;""</f>
      </c>
      <c r="T606">
        <f>[1]资金台帐!T606&amp;""</f>
      </c>
      <c r="U606">
        <f>[1]资金台帐!U606&amp;""</f>
      </c>
      <c r="W606">
        <f>[1]资金台帐!W606&amp;""</f>
      </c>
      <c r="X606">
        <f>[1]资金台帐!X606&amp;""</f>
      </c>
      <c r="AB606">
        <f>[1]资金台帐!AB606</f>
        <v>0</v>
      </c>
      <c r="AC606">
        <f>[1]资金台帐!AC606</f>
        <v>0</v>
      </c>
      <c r="AD606">
        <f>[1]资金台帐!AD606</f>
        <v>0</v>
      </c>
      <c r="AJ606">
        <f>[1]资金台帐!AJ606</f>
        <v>0</v>
      </c>
      <c r="AK606">
        <f>[1]资金台帐!AK606</f>
        <v>0</v>
      </c>
      <c r="BA606" s="22">
        <f t="shared" si="0"/>
      </c>
      <c r="BG606" s="22">
        <f t="shared" si="1"/>
      </c>
      <c r="BH606" s="22">
        <f t="shared" si="2"/>
        <v>0</v>
      </c>
    </row>
    <row r="607">
      <c r="B607">
        <f>[1]资金台帐!B607&amp;""</f>
      </c>
      <c r="H607">
        <f>[1]资金台帐!H607&amp;""</f>
      </c>
      <c r="J607">
        <f>[1]资金台帐!J607&amp;""</f>
      </c>
      <c r="N607">
        <f>[1]资金台帐!N607</f>
      </c>
      <c r="O607">
        <f>[1]资金台帐!O607&amp;""</f>
      </c>
      <c r="P607">
        <f>[1]资金台帐!P607&amp;""</f>
      </c>
      <c r="Q607">
        <f>[1]资金台帐!Q607&amp;""</f>
      </c>
      <c r="T607">
        <f>[1]资金台帐!T607&amp;""</f>
      </c>
      <c r="U607">
        <f>[1]资金台帐!U607&amp;""</f>
      </c>
      <c r="W607">
        <f>[1]资金台帐!W607&amp;""</f>
      </c>
      <c r="X607">
        <f>[1]资金台帐!X607&amp;""</f>
      </c>
      <c r="AB607">
        <f>[1]资金台帐!AB607</f>
        <v>0</v>
      </c>
      <c r="AC607">
        <f>[1]资金台帐!AC607</f>
        <v>0</v>
      </c>
      <c r="AD607">
        <f>[1]资金台帐!AD607</f>
        <v>0</v>
      </c>
      <c r="AJ607">
        <f>[1]资金台帐!AJ607</f>
        <v>0</v>
      </c>
      <c r="AK607">
        <f>[1]资金台帐!AK607</f>
        <v>0</v>
      </c>
      <c r="BA607" s="22">
        <f t="shared" si="0"/>
      </c>
      <c r="BG607" s="22">
        <f t="shared" si="1"/>
      </c>
      <c r="BH607" s="22">
        <f t="shared" si="2"/>
        <v>0</v>
      </c>
    </row>
    <row r="608">
      <c r="B608">
        <f>[1]资金台帐!B608&amp;""</f>
      </c>
      <c r="H608">
        <f>[1]资金台帐!H608&amp;""</f>
      </c>
      <c r="J608">
        <f>[1]资金台帐!J608&amp;""</f>
      </c>
      <c r="N608">
        <f>[1]资金台帐!N608</f>
      </c>
      <c r="O608">
        <f>[1]资金台帐!O608&amp;""</f>
      </c>
      <c r="P608">
        <f>[1]资金台帐!P608&amp;""</f>
      </c>
      <c r="Q608">
        <f>[1]资金台帐!Q608&amp;""</f>
      </c>
      <c r="T608">
        <f>[1]资金台帐!T608&amp;""</f>
      </c>
      <c r="U608">
        <f>[1]资金台帐!U608&amp;""</f>
      </c>
      <c r="W608">
        <f>[1]资金台帐!W608&amp;""</f>
      </c>
      <c r="X608">
        <f>[1]资金台帐!X608&amp;""</f>
      </c>
      <c r="AB608">
        <f>[1]资金台帐!AB608</f>
        <v>0</v>
      </c>
      <c r="AC608">
        <f>[1]资金台帐!AC608</f>
        <v>0</v>
      </c>
      <c r="AD608">
        <f>[1]资金台帐!AD608</f>
        <v>0</v>
      </c>
      <c r="AJ608">
        <f>[1]资金台帐!AJ608</f>
        <v>0</v>
      </c>
      <c r="AK608">
        <f>[1]资金台帐!AK608</f>
        <v>0</v>
      </c>
      <c r="BA608" s="22">
        <f t="shared" si="0"/>
      </c>
      <c r="BG608" s="22">
        <f t="shared" si="1"/>
      </c>
      <c r="BH608" s="22">
        <f t="shared" si="2"/>
        <v>0</v>
      </c>
    </row>
    <row r="609">
      <c r="B609">
        <f>[1]资金台帐!B609&amp;""</f>
      </c>
      <c r="H609">
        <f>[1]资金台帐!H609&amp;""</f>
      </c>
      <c r="J609">
        <f>[1]资金台帐!J609&amp;""</f>
      </c>
      <c r="N609">
        <f>[1]资金台帐!N609</f>
      </c>
      <c r="O609">
        <f>[1]资金台帐!O609&amp;""</f>
      </c>
      <c r="P609">
        <f>[1]资金台帐!P609&amp;""</f>
      </c>
      <c r="Q609">
        <f>[1]资金台帐!Q609&amp;""</f>
      </c>
      <c r="T609">
        <f>[1]资金台帐!T609&amp;""</f>
      </c>
      <c r="U609">
        <f>[1]资金台帐!U609&amp;""</f>
      </c>
      <c r="W609">
        <f>[1]资金台帐!W609&amp;""</f>
      </c>
      <c r="X609">
        <f>[1]资金台帐!X609&amp;""</f>
      </c>
      <c r="AB609">
        <f>[1]资金台帐!AB609</f>
        <v>0</v>
      </c>
      <c r="AC609">
        <f>[1]资金台帐!AC609</f>
        <v>0</v>
      </c>
      <c r="AD609">
        <f>[1]资金台帐!AD609</f>
        <v>0</v>
      </c>
      <c r="AJ609">
        <f>[1]资金台帐!AJ609</f>
        <v>0</v>
      </c>
      <c r="AK609">
        <f>[1]资金台帐!AK609</f>
        <v>0</v>
      </c>
      <c r="BA609" s="22">
        <f t="shared" si="0"/>
      </c>
      <c r="BG609" s="22">
        <f t="shared" si="1"/>
      </c>
      <c r="BH609" s="22">
        <f t="shared" si="2"/>
        <v>0</v>
      </c>
    </row>
    <row r="610">
      <c r="B610">
        <f>[1]资金台帐!B610&amp;""</f>
      </c>
      <c r="H610">
        <f>[1]资金台帐!H610&amp;""</f>
      </c>
      <c r="J610">
        <f>[1]资金台帐!J610&amp;""</f>
      </c>
      <c r="N610">
        <f>[1]资金台帐!N610</f>
      </c>
      <c r="O610">
        <f>[1]资金台帐!O610&amp;""</f>
      </c>
      <c r="P610">
        <f>[1]资金台帐!P610&amp;""</f>
      </c>
      <c r="Q610">
        <f>[1]资金台帐!Q610&amp;""</f>
      </c>
      <c r="T610">
        <f>[1]资金台帐!T610&amp;""</f>
      </c>
      <c r="U610">
        <f>[1]资金台帐!U610&amp;""</f>
      </c>
      <c r="W610">
        <f>[1]资金台帐!W610&amp;""</f>
      </c>
      <c r="X610">
        <f>[1]资金台帐!X610&amp;""</f>
      </c>
      <c r="AB610">
        <f>[1]资金台帐!AB610</f>
        <v>0</v>
      </c>
      <c r="AC610">
        <f>[1]资金台帐!AC610</f>
        <v>0</v>
      </c>
      <c r="AD610">
        <f>[1]资金台帐!AD610</f>
        <v>0</v>
      </c>
      <c r="AJ610">
        <f>[1]资金台帐!AJ610</f>
        <v>0</v>
      </c>
      <c r="AK610">
        <f>[1]资金台帐!AK610</f>
        <v>0</v>
      </c>
      <c r="BA610" s="22">
        <f t="shared" si="0"/>
      </c>
      <c r="BG610" s="22">
        <f t="shared" si="1"/>
      </c>
      <c r="BH610" s="22">
        <f t="shared" si="2"/>
        <v>0</v>
      </c>
    </row>
    <row r="611">
      <c r="B611">
        <f>[1]资金台帐!B611&amp;""</f>
      </c>
      <c r="H611">
        <f>[1]资金台帐!H611&amp;""</f>
      </c>
      <c r="J611">
        <f>[1]资金台帐!J611&amp;""</f>
      </c>
      <c r="N611">
        <f>[1]资金台帐!N611</f>
      </c>
      <c r="O611">
        <f>[1]资金台帐!O611&amp;""</f>
      </c>
      <c r="P611">
        <f>[1]资金台帐!P611&amp;""</f>
      </c>
      <c r="Q611">
        <f>[1]资金台帐!Q611&amp;""</f>
      </c>
      <c r="T611">
        <f>[1]资金台帐!T611&amp;""</f>
      </c>
      <c r="U611">
        <f>[1]资金台帐!U611&amp;""</f>
      </c>
      <c r="W611">
        <f>[1]资金台帐!W611&amp;""</f>
      </c>
      <c r="X611">
        <f>[1]资金台帐!X611&amp;""</f>
      </c>
      <c r="AB611">
        <f>[1]资金台帐!AB611</f>
        <v>0</v>
      </c>
      <c r="AC611">
        <f>[1]资金台帐!AC611</f>
        <v>0</v>
      </c>
      <c r="AD611">
        <f>[1]资金台帐!AD611</f>
        <v>0</v>
      </c>
      <c r="AJ611">
        <f>[1]资金台帐!AJ611</f>
        <v>0</v>
      </c>
      <c r="AK611">
        <f>[1]资金台帐!AK611</f>
        <v>0</v>
      </c>
      <c r="BA611" s="22">
        <f t="shared" si="0"/>
      </c>
      <c r="BG611" s="22">
        <f t="shared" si="1"/>
      </c>
      <c r="BH611" s="22">
        <f t="shared" si="2"/>
        <v>0</v>
      </c>
    </row>
    <row r="612">
      <c r="B612">
        <f>[1]资金台帐!B612&amp;""</f>
      </c>
      <c r="H612">
        <f>[1]资金台帐!H612&amp;""</f>
      </c>
      <c r="J612">
        <f>[1]资金台帐!J612&amp;""</f>
      </c>
      <c r="N612">
        <f>[1]资金台帐!N612</f>
      </c>
      <c r="O612">
        <f>[1]资金台帐!O612&amp;""</f>
      </c>
      <c r="P612">
        <f>[1]资金台帐!P612&amp;""</f>
      </c>
      <c r="Q612">
        <f>[1]资金台帐!Q612&amp;""</f>
      </c>
      <c r="T612">
        <f>[1]资金台帐!T612&amp;""</f>
      </c>
      <c r="U612">
        <f>[1]资金台帐!U612&amp;""</f>
      </c>
      <c r="W612">
        <f>[1]资金台帐!W612&amp;""</f>
      </c>
      <c r="X612">
        <f>[1]资金台帐!X612&amp;""</f>
      </c>
      <c r="AB612">
        <f>[1]资金台帐!AB612</f>
        <v>0</v>
      </c>
      <c r="AC612">
        <f>[1]资金台帐!AC612</f>
        <v>0</v>
      </c>
      <c r="AD612">
        <f>[1]资金台帐!AD612</f>
        <v>0</v>
      </c>
      <c r="AJ612">
        <f>[1]资金台帐!AJ612</f>
        <v>0</v>
      </c>
      <c r="AK612">
        <f>[1]资金台帐!AK612</f>
        <v>0</v>
      </c>
      <c r="BA612" s="22">
        <f t="shared" si="0"/>
      </c>
      <c r="BG612" s="22">
        <f t="shared" si="1"/>
      </c>
      <c r="BH612" s="22">
        <f t="shared" si="2"/>
        <v>0</v>
      </c>
    </row>
    <row r="613">
      <c r="B613">
        <f>[1]资金台帐!B613&amp;""</f>
      </c>
      <c r="H613">
        <f>[1]资金台帐!H613&amp;""</f>
      </c>
      <c r="J613">
        <f>[1]资金台帐!J613&amp;""</f>
      </c>
      <c r="N613">
        <f>[1]资金台帐!N613</f>
      </c>
      <c r="O613">
        <f>[1]资金台帐!O613&amp;""</f>
      </c>
      <c r="P613">
        <f>[1]资金台帐!P613&amp;""</f>
      </c>
      <c r="Q613">
        <f>[1]资金台帐!Q613&amp;""</f>
      </c>
      <c r="T613">
        <f>[1]资金台帐!T613&amp;""</f>
      </c>
      <c r="U613">
        <f>[1]资金台帐!U613&amp;""</f>
      </c>
      <c r="W613">
        <f>[1]资金台帐!W613&amp;""</f>
      </c>
      <c r="X613">
        <f>[1]资金台帐!X613&amp;""</f>
      </c>
      <c r="AB613">
        <f>[1]资金台帐!AB613</f>
        <v>0</v>
      </c>
      <c r="AC613">
        <f>[1]资金台帐!AC613</f>
        <v>0</v>
      </c>
      <c r="AD613">
        <f>[1]资金台帐!AD613</f>
        <v>0</v>
      </c>
      <c r="AJ613">
        <f>[1]资金台帐!AJ613</f>
        <v>0</v>
      </c>
      <c r="AK613">
        <f>[1]资金台帐!AK613</f>
        <v>0</v>
      </c>
      <c r="BA613" s="22">
        <f t="shared" si="0"/>
      </c>
      <c r="BG613" s="22">
        <f t="shared" si="1"/>
      </c>
      <c r="BH613" s="22">
        <f t="shared" si="2"/>
        <v>0</v>
      </c>
    </row>
    <row r="614">
      <c r="B614">
        <f>[1]资金台帐!B614&amp;""</f>
      </c>
      <c r="H614">
        <f>[1]资金台帐!H614&amp;""</f>
      </c>
      <c r="J614">
        <f>[1]资金台帐!J614&amp;""</f>
      </c>
      <c r="N614">
        <f>[1]资金台帐!N614</f>
      </c>
      <c r="O614">
        <f>[1]资金台帐!O614&amp;""</f>
      </c>
      <c r="P614">
        <f>[1]资金台帐!P614&amp;""</f>
      </c>
      <c r="Q614">
        <f>[1]资金台帐!Q614&amp;""</f>
      </c>
      <c r="T614">
        <f>[1]资金台帐!T614&amp;""</f>
      </c>
      <c r="U614">
        <f>[1]资金台帐!U614&amp;""</f>
      </c>
      <c r="W614">
        <f>[1]资金台帐!W614&amp;""</f>
      </c>
      <c r="X614">
        <f>[1]资金台帐!X614&amp;""</f>
      </c>
      <c r="AB614">
        <f>[1]资金台帐!AB614</f>
        <v>0</v>
      </c>
      <c r="AC614">
        <f>[1]资金台帐!AC614</f>
        <v>0</v>
      </c>
      <c r="AD614">
        <f>[1]资金台帐!AD614</f>
        <v>0</v>
      </c>
      <c r="AJ614">
        <f>[1]资金台帐!AJ614</f>
        <v>0</v>
      </c>
      <c r="AK614">
        <f>[1]资金台帐!AK614</f>
        <v>0</v>
      </c>
      <c r="BA614" s="22">
        <f t="shared" si="0"/>
      </c>
      <c r="BG614" s="22">
        <f t="shared" si="1"/>
      </c>
      <c r="BH614" s="22">
        <f t="shared" si="2"/>
        <v>0</v>
      </c>
    </row>
    <row r="615">
      <c r="B615">
        <f>[1]资金台帐!B615&amp;""</f>
      </c>
      <c r="H615">
        <f>[1]资金台帐!H615&amp;""</f>
      </c>
      <c r="J615">
        <f>[1]资金台帐!J615&amp;""</f>
      </c>
      <c r="N615">
        <f>[1]资金台帐!N615</f>
      </c>
      <c r="O615">
        <f>[1]资金台帐!O615&amp;""</f>
      </c>
      <c r="P615">
        <f>[1]资金台帐!P615&amp;""</f>
      </c>
      <c r="Q615">
        <f>[1]资金台帐!Q615&amp;""</f>
      </c>
      <c r="T615">
        <f>[1]资金台帐!T615&amp;""</f>
      </c>
      <c r="U615">
        <f>[1]资金台帐!U615&amp;""</f>
      </c>
      <c r="W615">
        <f>[1]资金台帐!W615&amp;""</f>
      </c>
      <c r="X615">
        <f>[1]资金台帐!X615&amp;""</f>
      </c>
      <c r="AB615">
        <f>[1]资金台帐!AB615</f>
        <v>0</v>
      </c>
      <c r="AC615">
        <f>[1]资金台帐!AC615</f>
        <v>0</v>
      </c>
      <c r="AD615">
        <f>[1]资金台帐!AD615</f>
        <v>0</v>
      </c>
      <c r="AJ615">
        <f>[1]资金台帐!AJ615</f>
        <v>0</v>
      </c>
      <c r="AK615">
        <f>[1]资金台帐!AK615</f>
        <v>0</v>
      </c>
      <c r="BA615" s="22">
        <f t="shared" si="0"/>
      </c>
      <c r="BG615" s="22">
        <f t="shared" si="1"/>
      </c>
      <c r="BH615" s="22">
        <f t="shared" si="2"/>
        <v>0</v>
      </c>
    </row>
    <row r="616">
      <c r="B616">
        <f>[1]资金台帐!B616&amp;""</f>
      </c>
      <c r="H616">
        <f>[1]资金台帐!H616&amp;""</f>
      </c>
      <c r="J616">
        <f>[1]资金台帐!J616&amp;""</f>
      </c>
      <c r="N616">
        <f>[1]资金台帐!N616</f>
      </c>
      <c r="O616">
        <f>[1]资金台帐!O616&amp;""</f>
      </c>
      <c r="P616">
        <f>[1]资金台帐!P616&amp;""</f>
      </c>
      <c r="Q616">
        <f>[1]资金台帐!Q616&amp;""</f>
      </c>
      <c r="T616">
        <f>[1]资金台帐!T616&amp;""</f>
      </c>
      <c r="U616">
        <f>[1]资金台帐!U616&amp;""</f>
      </c>
      <c r="W616">
        <f>[1]资金台帐!W616&amp;""</f>
      </c>
      <c r="X616">
        <f>[1]资金台帐!X616&amp;""</f>
      </c>
      <c r="AB616">
        <f>[1]资金台帐!AB616</f>
        <v>0</v>
      </c>
      <c r="AC616">
        <f>[1]资金台帐!AC616</f>
        <v>0</v>
      </c>
      <c r="AD616">
        <f>[1]资金台帐!AD616</f>
        <v>0</v>
      </c>
      <c r="AJ616">
        <f>[1]资金台帐!AJ616</f>
        <v>0</v>
      </c>
      <c r="AK616">
        <f>[1]资金台帐!AK616</f>
        <v>0</v>
      </c>
      <c r="BA616" s="22">
        <f t="shared" si="0"/>
      </c>
      <c r="BG616" s="22">
        <f t="shared" si="1"/>
      </c>
      <c r="BH616" s="22">
        <f t="shared" si="2"/>
        <v>0</v>
      </c>
    </row>
    <row r="617">
      <c r="B617">
        <f>[1]资金台帐!B617&amp;""</f>
      </c>
      <c r="H617">
        <f>[1]资金台帐!H617&amp;""</f>
      </c>
      <c r="J617">
        <f>[1]资金台帐!J617&amp;""</f>
      </c>
      <c r="N617">
        <f>[1]资金台帐!N617</f>
      </c>
      <c r="O617">
        <f>[1]资金台帐!O617&amp;""</f>
      </c>
      <c r="P617">
        <f>[1]资金台帐!P617&amp;""</f>
      </c>
      <c r="Q617">
        <f>[1]资金台帐!Q617&amp;""</f>
      </c>
      <c r="T617">
        <f>[1]资金台帐!T617&amp;""</f>
      </c>
      <c r="U617">
        <f>[1]资金台帐!U617&amp;""</f>
      </c>
      <c r="W617">
        <f>[1]资金台帐!W617&amp;""</f>
      </c>
      <c r="X617">
        <f>[1]资金台帐!X617&amp;""</f>
      </c>
      <c r="AB617">
        <f>[1]资金台帐!AB617</f>
        <v>0</v>
      </c>
      <c r="AC617">
        <f>[1]资金台帐!AC617</f>
        <v>0</v>
      </c>
      <c r="AD617">
        <f>[1]资金台帐!AD617</f>
        <v>0</v>
      </c>
      <c r="AJ617">
        <f>[1]资金台帐!AJ617</f>
        <v>0</v>
      </c>
      <c r="AK617">
        <f>[1]资金台帐!AK617</f>
        <v>0</v>
      </c>
      <c r="BA617" s="22">
        <f t="shared" si="0"/>
      </c>
      <c r="BG617" s="22">
        <f t="shared" si="1"/>
      </c>
      <c r="BH617" s="22">
        <f t="shared" si="2"/>
        <v>0</v>
      </c>
    </row>
    <row r="618">
      <c r="B618">
        <f>[1]资金台帐!B618&amp;""</f>
      </c>
      <c r="H618">
        <f>[1]资金台帐!H618&amp;""</f>
      </c>
      <c r="J618">
        <f>[1]资金台帐!J618&amp;""</f>
      </c>
      <c r="N618">
        <f>[1]资金台帐!N618</f>
      </c>
      <c r="O618">
        <f>[1]资金台帐!O618&amp;""</f>
      </c>
      <c r="P618">
        <f>[1]资金台帐!P618&amp;""</f>
      </c>
      <c r="Q618">
        <f>[1]资金台帐!Q618&amp;""</f>
      </c>
      <c r="T618">
        <f>[1]资金台帐!T618&amp;""</f>
      </c>
      <c r="U618">
        <f>[1]资金台帐!U618&amp;""</f>
      </c>
      <c r="W618">
        <f>[1]资金台帐!W618&amp;""</f>
      </c>
      <c r="X618">
        <f>[1]资金台帐!X618&amp;""</f>
      </c>
      <c r="AB618">
        <f>[1]资金台帐!AB618</f>
        <v>0</v>
      </c>
      <c r="AC618">
        <f>[1]资金台帐!AC618</f>
        <v>0</v>
      </c>
      <c r="AD618">
        <f>[1]资金台帐!AD618</f>
        <v>0</v>
      </c>
      <c r="AJ618">
        <f>[1]资金台帐!AJ618</f>
        <v>0</v>
      </c>
      <c r="AK618">
        <f>[1]资金台帐!AK618</f>
        <v>0</v>
      </c>
      <c r="BA618" s="22">
        <f t="shared" si="0"/>
      </c>
      <c r="BG618" s="22">
        <f t="shared" si="1"/>
      </c>
      <c r="BH618" s="22">
        <f t="shared" si="2"/>
        <v>0</v>
      </c>
    </row>
    <row r="619">
      <c r="B619">
        <f>[1]资金台帐!B619&amp;""</f>
      </c>
      <c r="H619">
        <f>[1]资金台帐!H619&amp;""</f>
      </c>
      <c r="J619">
        <f>[1]资金台帐!J619&amp;""</f>
      </c>
      <c r="N619">
        <f>[1]资金台帐!N619</f>
      </c>
      <c r="O619">
        <f>[1]资金台帐!O619&amp;""</f>
      </c>
      <c r="P619">
        <f>[1]资金台帐!P619&amp;""</f>
      </c>
      <c r="Q619">
        <f>[1]资金台帐!Q619&amp;""</f>
      </c>
      <c r="T619">
        <f>[1]资金台帐!T619&amp;""</f>
      </c>
      <c r="U619">
        <f>[1]资金台帐!U619&amp;""</f>
      </c>
      <c r="W619">
        <f>[1]资金台帐!W619&amp;""</f>
      </c>
      <c r="X619">
        <f>[1]资金台帐!X619&amp;""</f>
      </c>
      <c r="AB619">
        <f>[1]资金台帐!AB619</f>
        <v>0</v>
      </c>
      <c r="AC619">
        <f>[1]资金台帐!AC619</f>
        <v>0</v>
      </c>
      <c r="AD619">
        <f>[1]资金台帐!AD619</f>
        <v>0</v>
      </c>
      <c r="AJ619">
        <f>[1]资金台帐!AJ619</f>
        <v>0</v>
      </c>
      <c r="AK619">
        <f>[1]资金台帐!AK619</f>
        <v>0</v>
      </c>
      <c r="BA619" s="22">
        <f t="shared" si="0"/>
      </c>
      <c r="BG619" s="22">
        <f t="shared" si="1"/>
      </c>
      <c r="BH619" s="22">
        <f t="shared" si="2"/>
        <v>0</v>
      </c>
    </row>
    <row r="620">
      <c r="B620">
        <f>[1]资金台帐!B620&amp;""</f>
      </c>
      <c r="H620">
        <f>[1]资金台帐!H620&amp;""</f>
      </c>
      <c r="J620">
        <f>[1]资金台帐!J620&amp;""</f>
      </c>
      <c r="N620">
        <f>[1]资金台帐!N620</f>
      </c>
      <c r="O620">
        <f>[1]资金台帐!O620&amp;""</f>
      </c>
      <c r="P620">
        <f>[1]资金台帐!P620&amp;""</f>
      </c>
      <c r="Q620">
        <f>[1]资金台帐!Q620&amp;""</f>
      </c>
      <c r="T620">
        <f>[1]资金台帐!T620&amp;""</f>
      </c>
      <c r="U620">
        <f>[1]资金台帐!U620&amp;""</f>
      </c>
      <c r="W620">
        <f>[1]资金台帐!W620&amp;""</f>
      </c>
      <c r="X620">
        <f>[1]资金台帐!X620&amp;""</f>
      </c>
      <c r="AB620">
        <f>[1]资金台帐!AB620</f>
        <v>0</v>
      </c>
      <c r="AC620">
        <f>[1]资金台帐!AC620</f>
        <v>0</v>
      </c>
      <c r="AD620">
        <f>[1]资金台帐!AD620</f>
        <v>0</v>
      </c>
      <c r="AJ620">
        <f>[1]资金台帐!AJ620</f>
        <v>0</v>
      </c>
      <c r="AK620">
        <f>[1]资金台帐!AK620</f>
        <v>0</v>
      </c>
      <c r="BA620" s="22">
        <f t="shared" si="0"/>
      </c>
      <c r="BG620" s="22">
        <f t="shared" si="1"/>
      </c>
      <c r="BH620" s="22">
        <f t="shared" si="2"/>
        <v>0</v>
      </c>
    </row>
    <row r="621">
      <c r="B621">
        <f>[1]资金台帐!B621&amp;""</f>
      </c>
      <c r="H621">
        <f>[1]资金台帐!H621&amp;""</f>
      </c>
      <c r="J621">
        <f>[1]资金台帐!J621&amp;""</f>
      </c>
      <c r="N621">
        <f>[1]资金台帐!N621</f>
      </c>
      <c r="O621">
        <f>[1]资金台帐!O621&amp;""</f>
      </c>
      <c r="P621">
        <f>[1]资金台帐!P621&amp;""</f>
      </c>
      <c r="Q621">
        <f>[1]资金台帐!Q621&amp;""</f>
      </c>
      <c r="T621">
        <f>[1]资金台帐!T621&amp;""</f>
      </c>
      <c r="U621">
        <f>[1]资金台帐!U621&amp;""</f>
      </c>
      <c r="W621">
        <f>[1]资金台帐!W621&amp;""</f>
      </c>
      <c r="X621">
        <f>[1]资金台帐!X621&amp;""</f>
      </c>
      <c r="AB621">
        <f>[1]资金台帐!AB621</f>
        <v>0</v>
      </c>
      <c r="AC621">
        <f>[1]资金台帐!AC621</f>
        <v>0</v>
      </c>
      <c r="AD621">
        <f>[1]资金台帐!AD621</f>
        <v>0</v>
      </c>
      <c r="AJ621">
        <f>[1]资金台帐!AJ621</f>
        <v>0</v>
      </c>
      <c r="AK621">
        <f>[1]资金台帐!AK621</f>
        <v>0</v>
      </c>
      <c r="BA621" s="22">
        <f t="shared" si="0"/>
      </c>
      <c r="BG621" s="22">
        <f t="shared" si="1"/>
      </c>
      <c r="BH621" s="22">
        <f t="shared" si="2"/>
        <v>0</v>
      </c>
    </row>
    <row r="622">
      <c r="B622">
        <f>[1]资金台帐!B622&amp;""</f>
      </c>
      <c r="H622">
        <f>[1]资金台帐!H622&amp;""</f>
      </c>
      <c r="J622">
        <f>[1]资金台帐!J622&amp;""</f>
      </c>
      <c r="N622">
        <f>[1]资金台帐!N622</f>
      </c>
      <c r="O622">
        <f>[1]资金台帐!O622&amp;""</f>
      </c>
      <c r="P622">
        <f>[1]资金台帐!P622&amp;""</f>
      </c>
      <c r="Q622">
        <f>[1]资金台帐!Q622&amp;""</f>
      </c>
      <c r="T622">
        <f>[1]资金台帐!T622&amp;""</f>
      </c>
      <c r="U622">
        <f>[1]资金台帐!U622&amp;""</f>
      </c>
      <c r="W622">
        <f>[1]资金台帐!W622&amp;""</f>
      </c>
      <c r="X622">
        <f>[1]资金台帐!X622&amp;""</f>
      </c>
      <c r="AB622">
        <f>[1]资金台帐!AB622</f>
        <v>0</v>
      </c>
      <c r="AC622">
        <f>[1]资金台帐!AC622</f>
        <v>0</v>
      </c>
      <c r="AD622">
        <f>[1]资金台帐!AD622</f>
        <v>0</v>
      </c>
      <c r="AJ622">
        <f>[1]资金台帐!AJ622</f>
        <v>0</v>
      </c>
      <c r="AK622">
        <f>[1]资金台帐!AK622</f>
        <v>0</v>
      </c>
      <c r="BA622" s="22">
        <f t="shared" si="0"/>
      </c>
      <c r="BG622" s="22">
        <f t="shared" si="1"/>
      </c>
      <c r="BH622" s="22">
        <f t="shared" si="2"/>
        <v>0</v>
      </c>
    </row>
    <row r="623">
      <c r="B623">
        <f>[1]资金台帐!B623&amp;""</f>
      </c>
      <c r="H623">
        <f>[1]资金台帐!H623&amp;""</f>
      </c>
      <c r="J623">
        <f>[1]资金台帐!J623&amp;""</f>
      </c>
      <c r="N623">
        <f>[1]资金台帐!N623</f>
      </c>
      <c r="O623">
        <f>[1]资金台帐!O623&amp;""</f>
      </c>
      <c r="P623">
        <f>[1]资金台帐!P623&amp;""</f>
      </c>
      <c r="Q623">
        <f>[1]资金台帐!Q623&amp;""</f>
      </c>
      <c r="T623">
        <f>[1]资金台帐!T623&amp;""</f>
      </c>
      <c r="U623">
        <f>[1]资金台帐!U623&amp;""</f>
      </c>
      <c r="W623">
        <f>[1]资金台帐!W623&amp;""</f>
      </c>
      <c r="X623">
        <f>[1]资金台帐!X623&amp;""</f>
      </c>
      <c r="AB623">
        <f>[1]资金台帐!AB623</f>
        <v>0</v>
      </c>
      <c r="AC623">
        <f>[1]资金台帐!AC623</f>
        <v>0</v>
      </c>
      <c r="AD623">
        <f>[1]资金台帐!AD623</f>
        <v>0</v>
      </c>
      <c r="AJ623">
        <f>[1]资金台帐!AJ623</f>
        <v>0</v>
      </c>
      <c r="AK623">
        <f>[1]资金台帐!AK623</f>
        <v>0</v>
      </c>
      <c r="BA623" s="22">
        <f t="shared" si="0"/>
      </c>
      <c r="BG623" s="22">
        <f t="shared" si="1"/>
      </c>
      <c r="BH623" s="22">
        <f t="shared" si="2"/>
        <v>0</v>
      </c>
    </row>
    <row r="624">
      <c r="B624">
        <f>[1]资金台帐!B624&amp;""</f>
      </c>
      <c r="H624">
        <f>[1]资金台帐!H624&amp;""</f>
      </c>
      <c r="J624">
        <f>[1]资金台帐!J624&amp;""</f>
      </c>
      <c r="N624">
        <f>[1]资金台帐!N624</f>
      </c>
      <c r="O624">
        <f>[1]资金台帐!O624&amp;""</f>
      </c>
      <c r="P624">
        <f>[1]资金台帐!P624&amp;""</f>
      </c>
      <c r="Q624">
        <f>[1]资金台帐!Q624&amp;""</f>
      </c>
      <c r="T624">
        <f>[1]资金台帐!T624&amp;""</f>
      </c>
      <c r="U624">
        <f>[1]资金台帐!U624&amp;""</f>
      </c>
      <c r="W624">
        <f>[1]资金台帐!W624&amp;""</f>
      </c>
      <c r="X624">
        <f>[1]资金台帐!X624&amp;""</f>
      </c>
      <c r="AB624">
        <f>[1]资金台帐!AB624</f>
        <v>0</v>
      </c>
      <c r="AC624">
        <f>[1]资金台帐!AC624</f>
        <v>0</v>
      </c>
      <c r="AD624">
        <f>[1]资金台帐!AD624</f>
        <v>0</v>
      </c>
      <c r="AJ624">
        <f>[1]资金台帐!AJ624</f>
        <v>0</v>
      </c>
      <c r="AK624">
        <f>[1]资金台帐!AK624</f>
        <v>0</v>
      </c>
      <c r="BA624" s="22">
        <f t="shared" si="0"/>
      </c>
      <c r="BG624" s="22">
        <f t="shared" si="1"/>
      </c>
      <c r="BH624" s="22">
        <f t="shared" si="2"/>
        <v>0</v>
      </c>
    </row>
    <row r="625">
      <c r="B625">
        <f>[1]资金台帐!B625&amp;""</f>
      </c>
      <c r="H625">
        <f>[1]资金台帐!H625&amp;""</f>
      </c>
      <c r="J625">
        <f>[1]资金台帐!J625&amp;""</f>
      </c>
      <c r="N625">
        <f>[1]资金台帐!N625</f>
      </c>
      <c r="O625">
        <f>[1]资金台帐!O625&amp;""</f>
      </c>
      <c r="P625">
        <f>[1]资金台帐!P625&amp;""</f>
      </c>
      <c r="Q625">
        <f>[1]资金台帐!Q625&amp;""</f>
      </c>
      <c r="T625">
        <f>[1]资金台帐!T625&amp;""</f>
      </c>
      <c r="U625">
        <f>[1]资金台帐!U625&amp;""</f>
      </c>
      <c r="W625">
        <f>[1]资金台帐!W625&amp;""</f>
      </c>
      <c r="X625">
        <f>[1]资金台帐!X625&amp;""</f>
      </c>
      <c r="AB625">
        <f>[1]资金台帐!AB625</f>
        <v>0</v>
      </c>
      <c r="AC625">
        <f>[1]资金台帐!AC625</f>
        <v>0</v>
      </c>
      <c r="AD625">
        <f>[1]资金台帐!AD625</f>
        <v>0</v>
      </c>
      <c r="AJ625">
        <f>[1]资金台帐!AJ625</f>
        <v>0</v>
      </c>
      <c r="AK625">
        <f>[1]资金台帐!AK625</f>
        <v>0</v>
      </c>
      <c r="BA625" s="22">
        <f t="shared" si="0"/>
      </c>
      <c r="BG625" s="22">
        <f t="shared" si="1"/>
      </c>
      <c r="BH625" s="22">
        <f t="shared" si="2"/>
        <v>0</v>
      </c>
    </row>
    <row r="626">
      <c r="B626">
        <f>[1]资金台帐!B626&amp;""</f>
      </c>
      <c r="H626">
        <f>[1]资金台帐!H626&amp;""</f>
      </c>
      <c r="J626">
        <f>[1]资金台帐!J626&amp;""</f>
      </c>
      <c r="N626">
        <f>[1]资金台帐!N626</f>
      </c>
      <c r="O626">
        <f>[1]资金台帐!O626&amp;""</f>
      </c>
      <c r="P626">
        <f>[1]资金台帐!P626&amp;""</f>
      </c>
      <c r="Q626">
        <f>[1]资金台帐!Q626&amp;""</f>
      </c>
      <c r="T626">
        <f>[1]资金台帐!T626&amp;""</f>
      </c>
      <c r="U626">
        <f>[1]资金台帐!U626&amp;""</f>
      </c>
      <c r="W626">
        <f>[1]资金台帐!W626&amp;""</f>
      </c>
      <c r="X626">
        <f>[1]资金台帐!X626&amp;""</f>
      </c>
      <c r="AB626">
        <f>[1]资金台帐!AB626</f>
        <v>0</v>
      </c>
      <c r="AC626">
        <f>[1]资金台帐!AC626</f>
        <v>0</v>
      </c>
      <c r="AD626">
        <f>[1]资金台帐!AD626</f>
        <v>0</v>
      </c>
      <c r="AJ626">
        <f>[1]资金台帐!AJ626</f>
        <v>0</v>
      </c>
      <c r="AK626">
        <f>[1]资金台帐!AK626</f>
        <v>0</v>
      </c>
      <c r="BA626" s="22">
        <f t="shared" si="0"/>
      </c>
      <c r="BG626" s="22">
        <f t="shared" si="1"/>
      </c>
      <c r="BH626" s="22">
        <f t="shared" si="2"/>
        <v>0</v>
      </c>
    </row>
    <row r="627">
      <c r="B627">
        <f>[1]资金台帐!B627&amp;""</f>
      </c>
      <c r="H627">
        <f>[1]资金台帐!H627&amp;""</f>
      </c>
      <c r="J627">
        <f>[1]资金台帐!J627&amp;""</f>
      </c>
      <c r="N627">
        <f>[1]资金台帐!N627</f>
      </c>
      <c r="O627">
        <f>[1]资金台帐!O627&amp;""</f>
      </c>
      <c r="P627">
        <f>[1]资金台帐!P627&amp;""</f>
      </c>
      <c r="Q627">
        <f>[1]资金台帐!Q627&amp;""</f>
      </c>
      <c r="T627">
        <f>[1]资金台帐!T627&amp;""</f>
      </c>
      <c r="U627">
        <f>[1]资金台帐!U627&amp;""</f>
      </c>
      <c r="W627">
        <f>[1]资金台帐!W627&amp;""</f>
      </c>
      <c r="X627">
        <f>[1]资金台帐!X627&amp;""</f>
      </c>
      <c r="AB627">
        <f>[1]资金台帐!AB627</f>
        <v>0</v>
      </c>
      <c r="AC627">
        <f>[1]资金台帐!AC627</f>
        <v>0</v>
      </c>
      <c r="AD627">
        <f>[1]资金台帐!AD627</f>
        <v>0</v>
      </c>
      <c r="AJ627">
        <f>[1]资金台帐!AJ627</f>
        <v>0</v>
      </c>
      <c r="AK627">
        <f>[1]资金台帐!AK627</f>
        <v>0</v>
      </c>
      <c r="BA627" s="22">
        <f t="shared" si="0"/>
      </c>
      <c r="BG627" s="22">
        <f t="shared" si="1"/>
      </c>
      <c r="BH627" s="22">
        <f t="shared" si="2"/>
        <v>0</v>
      </c>
    </row>
    <row r="628">
      <c r="B628">
        <f>[1]资金台帐!B628&amp;""</f>
      </c>
      <c r="H628">
        <f>[1]资金台帐!H628&amp;""</f>
      </c>
      <c r="J628">
        <f>[1]资金台帐!J628&amp;""</f>
      </c>
      <c r="N628">
        <f>[1]资金台帐!N628</f>
      </c>
      <c r="O628">
        <f>[1]资金台帐!O628&amp;""</f>
      </c>
      <c r="P628">
        <f>[1]资金台帐!P628&amp;""</f>
      </c>
      <c r="Q628">
        <f>[1]资金台帐!Q628&amp;""</f>
      </c>
      <c r="T628">
        <f>[1]资金台帐!T628&amp;""</f>
      </c>
      <c r="U628">
        <f>[1]资金台帐!U628&amp;""</f>
      </c>
      <c r="W628">
        <f>[1]资金台帐!W628&amp;""</f>
      </c>
      <c r="X628">
        <f>[1]资金台帐!X628&amp;""</f>
      </c>
      <c r="AB628">
        <f>[1]资金台帐!AB628</f>
        <v>0</v>
      </c>
      <c r="AC628">
        <f>[1]资金台帐!AC628</f>
        <v>0</v>
      </c>
      <c r="AD628">
        <f>[1]资金台帐!AD628</f>
        <v>0</v>
      </c>
      <c r="AJ628">
        <f>[1]资金台帐!AJ628</f>
        <v>0</v>
      </c>
      <c r="AK628">
        <f>[1]资金台帐!AK628</f>
        <v>0</v>
      </c>
      <c r="BA628" s="22">
        <f t="shared" si="0"/>
      </c>
      <c r="BG628" s="22">
        <f t="shared" si="1"/>
      </c>
      <c r="BH628" s="22">
        <f t="shared" si="2"/>
        <v>0</v>
      </c>
    </row>
    <row r="629">
      <c r="B629">
        <f>[1]资金台帐!B629&amp;""</f>
      </c>
      <c r="H629">
        <f>[1]资金台帐!H629&amp;""</f>
      </c>
      <c r="J629">
        <f>[1]资金台帐!J629&amp;""</f>
      </c>
      <c r="N629">
        <f>[1]资金台帐!N629</f>
      </c>
      <c r="O629">
        <f>[1]资金台帐!O629&amp;""</f>
      </c>
      <c r="P629">
        <f>[1]资金台帐!P629&amp;""</f>
      </c>
      <c r="Q629">
        <f>[1]资金台帐!Q629&amp;""</f>
      </c>
      <c r="T629">
        <f>[1]资金台帐!T629&amp;""</f>
      </c>
      <c r="U629">
        <f>[1]资金台帐!U629&amp;""</f>
      </c>
      <c r="W629">
        <f>[1]资金台帐!W629&amp;""</f>
      </c>
      <c r="X629">
        <f>[1]资金台帐!X629&amp;""</f>
      </c>
      <c r="AB629">
        <f>[1]资金台帐!AB629</f>
        <v>0</v>
      </c>
      <c r="AC629">
        <f>[1]资金台帐!AC629</f>
        <v>0</v>
      </c>
      <c r="AD629">
        <f>[1]资金台帐!AD629</f>
        <v>0</v>
      </c>
      <c r="AJ629">
        <f>[1]资金台帐!AJ629</f>
        <v>0</v>
      </c>
      <c r="AK629">
        <f>[1]资金台帐!AK629</f>
        <v>0</v>
      </c>
      <c r="BA629" s="22">
        <f t="shared" si="0"/>
      </c>
      <c r="BG629" s="22">
        <f t="shared" si="1"/>
      </c>
      <c r="BH629" s="22">
        <f t="shared" si="2"/>
        <v>0</v>
      </c>
    </row>
    <row r="630">
      <c r="B630">
        <f>[1]资金台帐!B630&amp;""</f>
      </c>
      <c r="H630">
        <f>[1]资金台帐!H630&amp;""</f>
      </c>
      <c r="J630">
        <f>[1]资金台帐!J630&amp;""</f>
      </c>
      <c r="N630">
        <f>[1]资金台帐!N630</f>
      </c>
      <c r="O630">
        <f>[1]资金台帐!O630&amp;""</f>
      </c>
      <c r="P630">
        <f>[1]资金台帐!P630&amp;""</f>
      </c>
      <c r="Q630">
        <f>[1]资金台帐!Q630&amp;""</f>
      </c>
      <c r="T630">
        <f>[1]资金台帐!T630&amp;""</f>
      </c>
      <c r="U630">
        <f>[1]资金台帐!U630&amp;""</f>
      </c>
      <c r="W630">
        <f>[1]资金台帐!W630&amp;""</f>
      </c>
      <c r="X630">
        <f>[1]资金台帐!X630&amp;""</f>
      </c>
      <c r="AB630">
        <f>[1]资金台帐!AB630</f>
        <v>0</v>
      </c>
      <c r="AC630">
        <f>[1]资金台帐!AC630</f>
        <v>0</v>
      </c>
      <c r="AD630">
        <f>[1]资金台帐!AD630</f>
        <v>0</v>
      </c>
      <c r="AJ630">
        <f>[1]资金台帐!AJ630</f>
        <v>0</v>
      </c>
      <c r="AK630">
        <f>[1]资金台帐!AK630</f>
        <v>0</v>
      </c>
      <c r="BA630" s="22">
        <f t="shared" si="0"/>
      </c>
      <c r="BG630" s="22">
        <f t="shared" si="1"/>
      </c>
      <c r="BH630" s="22">
        <f t="shared" si="2"/>
        <v>0</v>
      </c>
    </row>
    <row r="631">
      <c r="B631">
        <f>[1]资金台帐!B631&amp;""</f>
      </c>
      <c r="H631">
        <f>[1]资金台帐!H631&amp;""</f>
      </c>
      <c r="J631">
        <f>[1]资金台帐!J631&amp;""</f>
      </c>
      <c r="N631">
        <f>[1]资金台帐!N631</f>
      </c>
      <c r="O631">
        <f>[1]资金台帐!O631&amp;""</f>
      </c>
      <c r="P631">
        <f>[1]资金台帐!P631&amp;""</f>
      </c>
      <c r="Q631">
        <f>[1]资金台帐!Q631&amp;""</f>
      </c>
      <c r="T631">
        <f>[1]资金台帐!T631&amp;""</f>
      </c>
      <c r="U631">
        <f>[1]资金台帐!U631&amp;""</f>
      </c>
      <c r="W631">
        <f>[1]资金台帐!W631&amp;""</f>
      </c>
      <c r="X631">
        <f>[1]资金台帐!X631&amp;""</f>
      </c>
      <c r="AB631">
        <f>[1]资金台帐!AB631</f>
        <v>0</v>
      </c>
      <c r="AC631">
        <f>[1]资金台帐!AC631</f>
        <v>0</v>
      </c>
      <c r="AD631">
        <f>[1]资金台帐!AD631</f>
        <v>0</v>
      </c>
      <c r="AJ631">
        <f>[1]资金台帐!AJ631</f>
        <v>0</v>
      </c>
      <c r="AK631">
        <f>[1]资金台帐!AK631</f>
        <v>0</v>
      </c>
      <c r="BA631" s="22">
        <f t="shared" si="0"/>
      </c>
      <c r="BG631" s="22">
        <f t="shared" si="1"/>
      </c>
      <c r="BH631" s="22">
        <f t="shared" si="2"/>
        <v>0</v>
      </c>
    </row>
    <row r="632">
      <c r="B632">
        <f>[1]资金台帐!B632&amp;""</f>
      </c>
      <c r="H632">
        <f>[1]资金台帐!H632&amp;""</f>
      </c>
      <c r="J632">
        <f>[1]资金台帐!J632&amp;""</f>
      </c>
      <c r="N632">
        <f>[1]资金台帐!N632</f>
      </c>
      <c r="O632">
        <f>[1]资金台帐!O632&amp;""</f>
      </c>
      <c r="P632">
        <f>[1]资金台帐!P632&amp;""</f>
      </c>
      <c r="Q632">
        <f>[1]资金台帐!Q632&amp;""</f>
      </c>
      <c r="T632">
        <f>[1]资金台帐!T632&amp;""</f>
      </c>
      <c r="U632">
        <f>[1]资金台帐!U632&amp;""</f>
      </c>
      <c r="W632">
        <f>[1]资金台帐!W632&amp;""</f>
      </c>
      <c r="X632">
        <f>[1]资金台帐!X632&amp;""</f>
      </c>
      <c r="AB632">
        <f>[1]资金台帐!AB632</f>
        <v>0</v>
      </c>
      <c r="AC632">
        <f>[1]资金台帐!AC632</f>
        <v>0</v>
      </c>
      <c r="AD632">
        <f>[1]资金台帐!AD632</f>
        <v>0</v>
      </c>
      <c r="AJ632">
        <f>[1]资金台帐!AJ632</f>
        <v>0</v>
      </c>
      <c r="AK632">
        <f>[1]资金台帐!AK632</f>
        <v>0</v>
      </c>
      <c r="BA632" s="22">
        <f t="shared" si="0"/>
      </c>
      <c r="BG632" s="22">
        <f t="shared" si="1"/>
      </c>
      <c r="BH632" s="22">
        <f t="shared" si="2"/>
        <v>0</v>
      </c>
    </row>
    <row r="633">
      <c r="B633">
        <f>[1]资金台帐!B633&amp;""</f>
      </c>
      <c r="H633">
        <f>[1]资金台帐!H633&amp;""</f>
      </c>
      <c r="J633">
        <f>[1]资金台帐!J633&amp;""</f>
      </c>
      <c r="N633">
        <f>[1]资金台帐!N633</f>
      </c>
      <c r="O633">
        <f>[1]资金台帐!O633&amp;""</f>
      </c>
      <c r="P633">
        <f>[1]资金台帐!P633&amp;""</f>
      </c>
      <c r="Q633">
        <f>[1]资金台帐!Q633&amp;""</f>
      </c>
      <c r="T633">
        <f>[1]资金台帐!T633&amp;""</f>
      </c>
      <c r="U633">
        <f>[1]资金台帐!U633&amp;""</f>
      </c>
      <c r="W633">
        <f>[1]资金台帐!W633&amp;""</f>
      </c>
      <c r="X633">
        <f>[1]资金台帐!X633&amp;""</f>
      </c>
      <c r="AB633">
        <f>[1]资金台帐!AB633</f>
        <v>0</v>
      </c>
      <c r="AC633">
        <f>[1]资金台帐!AC633</f>
        <v>0</v>
      </c>
      <c r="AD633">
        <f>[1]资金台帐!AD633</f>
        <v>0</v>
      </c>
      <c r="AJ633">
        <f>[1]资金台帐!AJ633</f>
        <v>0</v>
      </c>
      <c r="AK633">
        <f>[1]资金台帐!AK633</f>
        <v>0</v>
      </c>
      <c r="BA633" s="22">
        <f t="shared" si="0"/>
      </c>
      <c r="BG633" s="22">
        <f t="shared" si="1"/>
      </c>
      <c r="BH633" s="22">
        <f t="shared" si="2"/>
        <v>0</v>
      </c>
    </row>
    <row r="634">
      <c r="B634">
        <f>[1]资金台帐!B634&amp;""</f>
      </c>
      <c r="H634">
        <f>[1]资金台帐!H634&amp;""</f>
      </c>
      <c r="J634">
        <f>[1]资金台帐!J634&amp;""</f>
      </c>
      <c r="N634">
        <f>[1]资金台帐!N634</f>
      </c>
      <c r="O634">
        <f>[1]资金台帐!O634&amp;""</f>
      </c>
      <c r="P634">
        <f>[1]资金台帐!P634&amp;""</f>
      </c>
      <c r="Q634">
        <f>[1]资金台帐!Q634&amp;""</f>
      </c>
      <c r="T634">
        <f>[1]资金台帐!T634&amp;""</f>
      </c>
      <c r="U634">
        <f>[1]资金台帐!U634&amp;""</f>
      </c>
      <c r="W634">
        <f>[1]资金台帐!W634&amp;""</f>
      </c>
      <c r="X634">
        <f>[1]资金台帐!X634&amp;""</f>
      </c>
      <c r="AB634">
        <f>[1]资金台帐!AB634</f>
        <v>0</v>
      </c>
      <c r="AC634">
        <f>[1]资金台帐!AC634</f>
        <v>0</v>
      </c>
      <c r="AD634">
        <f>[1]资金台帐!AD634</f>
        <v>0</v>
      </c>
      <c r="AJ634">
        <f>[1]资金台帐!AJ634</f>
        <v>0</v>
      </c>
      <c r="AK634">
        <f>[1]资金台帐!AK634</f>
        <v>0</v>
      </c>
      <c r="BA634" s="22">
        <f t="shared" si="0"/>
      </c>
      <c r="BG634" s="22">
        <f t="shared" si="1"/>
      </c>
      <c r="BH634" s="22">
        <f t="shared" si="2"/>
        <v>0</v>
      </c>
    </row>
    <row r="635">
      <c r="B635">
        <f>[1]资金台帐!B635&amp;""</f>
      </c>
      <c r="H635">
        <f>[1]资金台帐!H635&amp;""</f>
      </c>
      <c r="J635">
        <f>[1]资金台帐!J635&amp;""</f>
      </c>
      <c r="N635">
        <f>[1]资金台帐!N635</f>
      </c>
      <c r="O635">
        <f>[1]资金台帐!O635&amp;""</f>
      </c>
      <c r="P635">
        <f>[1]资金台帐!P635&amp;""</f>
      </c>
      <c r="Q635">
        <f>[1]资金台帐!Q635&amp;""</f>
      </c>
      <c r="T635">
        <f>[1]资金台帐!T635&amp;""</f>
      </c>
      <c r="U635">
        <f>[1]资金台帐!U635&amp;""</f>
      </c>
      <c r="W635">
        <f>[1]资金台帐!W635&amp;""</f>
      </c>
      <c r="X635">
        <f>[1]资金台帐!X635&amp;""</f>
      </c>
      <c r="AB635">
        <f>[1]资金台帐!AB635</f>
        <v>0</v>
      </c>
      <c r="AC635">
        <f>[1]资金台帐!AC635</f>
        <v>0</v>
      </c>
      <c r="AD635">
        <f>[1]资金台帐!AD635</f>
        <v>0</v>
      </c>
      <c r="AJ635">
        <f>[1]资金台帐!AJ635</f>
        <v>0</v>
      </c>
      <c r="AK635">
        <f>[1]资金台帐!AK635</f>
        <v>0</v>
      </c>
      <c r="BA635" s="22">
        <f t="shared" si="0"/>
      </c>
      <c r="BG635" s="22">
        <f t="shared" si="1"/>
      </c>
      <c r="BH635" s="22">
        <f t="shared" si="2"/>
        <v>0</v>
      </c>
    </row>
    <row r="636">
      <c r="B636">
        <f>[1]资金台帐!B636&amp;""</f>
      </c>
      <c r="H636">
        <f>[1]资金台帐!H636&amp;""</f>
      </c>
      <c r="J636">
        <f>[1]资金台帐!J636&amp;""</f>
      </c>
      <c r="N636">
        <f>[1]资金台帐!N636</f>
      </c>
      <c r="O636">
        <f>[1]资金台帐!O636&amp;""</f>
      </c>
      <c r="P636">
        <f>[1]资金台帐!P636&amp;""</f>
      </c>
      <c r="Q636">
        <f>[1]资金台帐!Q636&amp;""</f>
      </c>
      <c r="T636">
        <f>[1]资金台帐!T636&amp;""</f>
      </c>
      <c r="U636">
        <f>[1]资金台帐!U636&amp;""</f>
      </c>
      <c r="W636">
        <f>[1]资金台帐!W636&amp;""</f>
      </c>
      <c r="X636">
        <f>[1]资金台帐!X636&amp;""</f>
      </c>
      <c r="AB636">
        <f>[1]资金台帐!AB636</f>
        <v>0</v>
      </c>
      <c r="AC636">
        <f>[1]资金台帐!AC636</f>
        <v>0</v>
      </c>
      <c r="AD636">
        <f>[1]资金台帐!AD636</f>
        <v>0</v>
      </c>
      <c r="AJ636">
        <f>[1]资金台帐!AJ636</f>
        <v>0</v>
      </c>
      <c r="AK636">
        <f>[1]资金台帐!AK636</f>
        <v>0</v>
      </c>
      <c r="BA636" s="22">
        <f t="shared" si="0"/>
      </c>
      <c r="BG636" s="22">
        <f t="shared" si="1"/>
      </c>
      <c r="BH636" s="22">
        <f t="shared" si="2"/>
        <v>0</v>
      </c>
    </row>
    <row r="637">
      <c r="B637">
        <f>[1]资金台帐!B637&amp;""</f>
      </c>
      <c r="H637">
        <f>[1]资金台帐!H637&amp;""</f>
      </c>
      <c r="J637">
        <f>[1]资金台帐!J637&amp;""</f>
      </c>
      <c r="N637">
        <f>[1]资金台帐!N637</f>
      </c>
      <c r="O637">
        <f>[1]资金台帐!O637&amp;""</f>
      </c>
      <c r="P637">
        <f>[1]资金台帐!P637&amp;""</f>
      </c>
      <c r="Q637">
        <f>[1]资金台帐!Q637&amp;""</f>
      </c>
      <c r="T637">
        <f>[1]资金台帐!T637&amp;""</f>
      </c>
      <c r="U637">
        <f>[1]资金台帐!U637&amp;""</f>
      </c>
      <c r="W637">
        <f>[1]资金台帐!W637&amp;""</f>
      </c>
      <c r="X637">
        <f>[1]资金台帐!X637&amp;""</f>
      </c>
      <c r="AB637">
        <f>[1]资金台帐!AB637</f>
        <v>0</v>
      </c>
      <c r="AC637">
        <f>[1]资金台帐!AC637</f>
        <v>0</v>
      </c>
      <c r="AD637">
        <f>[1]资金台帐!AD637</f>
        <v>0</v>
      </c>
      <c r="AJ637">
        <f>[1]资金台帐!AJ637</f>
        <v>0</v>
      </c>
      <c r="AK637">
        <f>[1]资金台帐!AK637</f>
        <v>0</v>
      </c>
      <c r="BA637" s="22">
        <f t="shared" si="0"/>
      </c>
      <c r="BG637" s="22">
        <f t="shared" si="1"/>
      </c>
      <c r="BH637" s="22">
        <f t="shared" si="2"/>
        <v>0</v>
      </c>
    </row>
    <row r="638">
      <c r="B638">
        <f>[1]资金台帐!B638&amp;""</f>
      </c>
      <c r="H638">
        <f>[1]资金台帐!H638&amp;""</f>
      </c>
      <c r="J638">
        <f>[1]资金台帐!J638&amp;""</f>
      </c>
      <c r="N638">
        <f>[1]资金台帐!N638</f>
      </c>
      <c r="O638">
        <f>[1]资金台帐!O638&amp;""</f>
      </c>
      <c r="P638">
        <f>[1]资金台帐!P638&amp;""</f>
      </c>
      <c r="Q638">
        <f>[1]资金台帐!Q638&amp;""</f>
      </c>
      <c r="T638">
        <f>[1]资金台帐!T638&amp;""</f>
      </c>
      <c r="U638">
        <f>[1]资金台帐!U638&amp;""</f>
      </c>
      <c r="W638">
        <f>[1]资金台帐!W638&amp;""</f>
      </c>
      <c r="X638">
        <f>[1]资金台帐!X638&amp;""</f>
      </c>
      <c r="AB638">
        <f>[1]资金台帐!AB638</f>
        <v>0</v>
      </c>
      <c r="AC638">
        <f>[1]资金台帐!AC638</f>
        <v>0</v>
      </c>
      <c r="AD638">
        <f>[1]资金台帐!AD638</f>
        <v>0</v>
      </c>
      <c r="AJ638">
        <f>[1]资金台帐!AJ638</f>
        <v>0</v>
      </c>
      <c r="AK638">
        <f>[1]资金台帐!AK638</f>
        <v>0</v>
      </c>
      <c r="BA638" s="22">
        <f t="shared" si="0"/>
      </c>
      <c r="BG638" s="22">
        <f t="shared" si="1"/>
      </c>
      <c r="BH638" s="22">
        <f t="shared" si="2"/>
        <v>0</v>
      </c>
    </row>
    <row r="639">
      <c r="B639">
        <f>[1]资金台帐!B639&amp;""</f>
      </c>
      <c r="H639">
        <f>[1]资金台帐!H639&amp;""</f>
      </c>
      <c r="J639">
        <f>[1]资金台帐!J639&amp;""</f>
      </c>
      <c r="N639">
        <f>[1]资金台帐!N639</f>
      </c>
      <c r="O639">
        <f>[1]资金台帐!O639&amp;""</f>
      </c>
      <c r="P639">
        <f>[1]资金台帐!P639&amp;""</f>
      </c>
      <c r="Q639">
        <f>[1]资金台帐!Q639&amp;""</f>
      </c>
      <c r="T639">
        <f>[1]资金台帐!T639&amp;""</f>
      </c>
      <c r="U639">
        <f>[1]资金台帐!U639&amp;""</f>
      </c>
      <c r="W639">
        <f>[1]资金台帐!W639&amp;""</f>
      </c>
      <c r="X639">
        <f>[1]资金台帐!X639&amp;""</f>
      </c>
      <c r="AB639">
        <f>[1]资金台帐!AB639</f>
        <v>0</v>
      </c>
      <c r="AC639">
        <f>[1]资金台帐!AC639</f>
        <v>0</v>
      </c>
      <c r="AD639">
        <f>[1]资金台帐!AD639</f>
        <v>0</v>
      </c>
      <c r="AJ639">
        <f>[1]资金台帐!AJ639</f>
        <v>0</v>
      </c>
      <c r="AK639">
        <f>[1]资金台帐!AK639</f>
        <v>0</v>
      </c>
      <c r="BA639" s="22">
        <f t="shared" si="0"/>
      </c>
      <c r="BG639" s="22">
        <f t="shared" si="1"/>
      </c>
      <c r="BH639" s="22">
        <f t="shared" si="2"/>
        <v>0</v>
      </c>
    </row>
    <row r="640">
      <c r="B640">
        <f>[1]资金台帐!B640&amp;""</f>
      </c>
      <c r="H640">
        <f>[1]资金台帐!H640&amp;""</f>
      </c>
      <c r="J640">
        <f>[1]资金台帐!J640&amp;""</f>
      </c>
      <c r="N640">
        <f>[1]资金台帐!N640</f>
      </c>
      <c r="O640">
        <f>[1]资金台帐!O640&amp;""</f>
      </c>
      <c r="P640">
        <f>[1]资金台帐!P640&amp;""</f>
      </c>
      <c r="Q640">
        <f>[1]资金台帐!Q640&amp;""</f>
      </c>
      <c r="T640">
        <f>[1]资金台帐!T640&amp;""</f>
      </c>
      <c r="U640">
        <f>[1]资金台帐!U640&amp;""</f>
      </c>
      <c r="W640">
        <f>[1]资金台帐!W640&amp;""</f>
      </c>
      <c r="X640">
        <f>[1]资金台帐!X640&amp;""</f>
      </c>
      <c r="AB640">
        <f>[1]资金台帐!AB640</f>
        <v>0</v>
      </c>
      <c r="AC640">
        <f>[1]资金台帐!AC640</f>
        <v>0</v>
      </c>
      <c r="AD640">
        <f>[1]资金台帐!AD640</f>
        <v>0</v>
      </c>
      <c r="AJ640">
        <f>[1]资金台帐!AJ640</f>
        <v>0</v>
      </c>
      <c r="AK640">
        <f>[1]资金台帐!AK640</f>
        <v>0</v>
      </c>
      <c r="BA640" s="22">
        <f t="shared" si="0"/>
      </c>
      <c r="BG640" s="22">
        <f t="shared" si="1"/>
      </c>
      <c r="BH640" s="22">
        <f t="shared" si="2"/>
        <v>0</v>
      </c>
    </row>
    <row r="641">
      <c r="B641">
        <f>[1]资金台帐!B641&amp;""</f>
      </c>
      <c r="H641">
        <f>[1]资金台帐!H641&amp;""</f>
      </c>
      <c r="J641">
        <f>[1]资金台帐!J641&amp;""</f>
      </c>
      <c r="N641">
        <f>[1]资金台帐!N641</f>
      </c>
      <c r="O641">
        <f>[1]资金台帐!O641&amp;""</f>
      </c>
      <c r="P641">
        <f>[1]资金台帐!P641&amp;""</f>
      </c>
      <c r="Q641">
        <f>[1]资金台帐!Q641&amp;""</f>
      </c>
      <c r="T641">
        <f>[1]资金台帐!T641&amp;""</f>
      </c>
      <c r="U641">
        <f>[1]资金台帐!U641&amp;""</f>
      </c>
      <c r="W641">
        <f>[1]资金台帐!W641&amp;""</f>
      </c>
      <c r="X641">
        <f>[1]资金台帐!X641&amp;""</f>
      </c>
      <c r="AB641">
        <f>[1]资金台帐!AB641</f>
        <v>0</v>
      </c>
      <c r="AC641">
        <f>[1]资金台帐!AC641</f>
        <v>0</v>
      </c>
      <c r="AD641">
        <f>[1]资金台帐!AD641</f>
        <v>0</v>
      </c>
      <c r="AJ641">
        <f>[1]资金台帐!AJ641</f>
        <v>0</v>
      </c>
      <c r="AK641">
        <f>[1]资金台帐!AK641</f>
        <v>0</v>
      </c>
      <c r="BA641" s="22">
        <f t="shared" si="0"/>
      </c>
      <c r="BG641" s="22">
        <f t="shared" si="1"/>
      </c>
      <c r="BH641" s="22">
        <f t="shared" si="2"/>
        <v>0</v>
      </c>
    </row>
    <row r="642">
      <c r="B642">
        <f>[1]资金台帐!B642&amp;""</f>
      </c>
      <c r="H642">
        <f>[1]资金台帐!H642&amp;""</f>
      </c>
      <c r="J642">
        <f>[1]资金台帐!J642&amp;""</f>
      </c>
      <c r="N642">
        <f>[1]资金台帐!N642</f>
      </c>
      <c r="O642">
        <f>[1]资金台帐!O642&amp;""</f>
      </c>
      <c r="P642">
        <f>[1]资金台帐!P642&amp;""</f>
      </c>
      <c r="Q642">
        <f>[1]资金台帐!Q642&amp;""</f>
      </c>
      <c r="T642">
        <f>[1]资金台帐!T642&amp;""</f>
      </c>
      <c r="U642">
        <f>[1]资金台帐!U642&amp;""</f>
      </c>
      <c r="W642">
        <f>[1]资金台帐!W642&amp;""</f>
      </c>
      <c r="X642">
        <f>[1]资金台帐!X642&amp;""</f>
      </c>
      <c r="AB642">
        <f>[1]资金台帐!AB642</f>
        <v>0</v>
      </c>
      <c r="AC642">
        <f>[1]资金台帐!AC642</f>
        <v>0</v>
      </c>
      <c r="AD642">
        <f>[1]资金台帐!AD642</f>
        <v>0</v>
      </c>
      <c r="AJ642">
        <f>[1]资金台帐!AJ642</f>
        <v>0</v>
      </c>
      <c r="AK642">
        <f>[1]资金台帐!AK642</f>
        <v>0</v>
      </c>
      <c r="BA642" s="22">
        <f t="shared" si="0"/>
      </c>
      <c r="BG642" s="22">
        <f t="shared" si="1"/>
      </c>
      <c r="BH642" s="22">
        <f t="shared" si="2"/>
        <v>0</v>
      </c>
    </row>
    <row r="643">
      <c r="B643">
        <f>[1]资金台帐!B643&amp;""</f>
      </c>
      <c r="H643">
        <f>[1]资金台帐!H643&amp;""</f>
      </c>
      <c r="J643">
        <f>[1]资金台帐!J643&amp;""</f>
      </c>
      <c r="N643">
        <f>[1]资金台帐!N643</f>
      </c>
      <c r="O643">
        <f>[1]资金台帐!O643&amp;""</f>
      </c>
      <c r="P643">
        <f>[1]资金台帐!P643&amp;""</f>
      </c>
      <c r="Q643">
        <f>[1]资金台帐!Q643&amp;""</f>
      </c>
      <c r="T643">
        <f>[1]资金台帐!T643&amp;""</f>
      </c>
      <c r="U643">
        <f>[1]资金台帐!U643&amp;""</f>
      </c>
      <c r="W643">
        <f>[1]资金台帐!W643&amp;""</f>
      </c>
      <c r="X643">
        <f>[1]资金台帐!X643&amp;""</f>
      </c>
      <c r="AB643">
        <f>[1]资金台帐!AB643</f>
        <v>0</v>
      </c>
      <c r="AC643">
        <f>[1]资金台帐!AC643</f>
        <v>0</v>
      </c>
      <c r="AD643">
        <f>[1]资金台帐!AD643</f>
        <v>0</v>
      </c>
      <c r="AJ643">
        <f>[1]资金台帐!AJ643</f>
        <v>0</v>
      </c>
      <c r="AK643">
        <f>[1]资金台帐!AK643</f>
        <v>0</v>
      </c>
      <c r="BA643" s="22">
        <f t="shared" si="0"/>
      </c>
      <c r="BG643" s="22">
        <f t="shared" si="1"/>
      </c>
      <c r="BH643" s="22">
        <f t="shared" si="2"/>
        <v>0</v>
      </c>
    </row>
    <row r="644">
      <c r="B644">
        <f>[1]资金台帐!B644&amp;""</f>
      </c>
      <c r="H644">
        <f>[1]资金台帐!H644&amp;""</f>
      </c>
      <c r="J644">
        <f>[1]资金台帐!J644&amp;""</f>
      </c>
      <c r="N644">
        <f>[1]资金台帐!N644</f>
      </c>
      <c r="O644">
        <f>[1]资金台帐!O644&amp;""</f>
      </c>
      <c r="P644">
        <f>[1]资金台帐!P644&amp;""</f>
      </c>
      <c r="Q644">
        <f>[1]资金台帐!Q644&amp;""</f>
      </c>
      <c r="T644">
        <f>[1]资金台帐!T644&amp;""</f>
      </c>
      <c r="U644">
        <f>[1]资金台帐!U644&amp;""</f>
      </c>
      <c r="W644">
        <f>[1]资金台帐!W644&amp;""</f>
      </c>
      <c r="X644">
        <f>[1]资金台帐!X644&amp;""</f>
      </c>
      <c r="AB644">
        <f>[1]资金台帐!AB644</f>
        <v>0</v>
      </c>
      <c r="AC644">
        <f>[1]资金台帐!AC644</f>
        <v>0</v>
      </c>
      <c r="AD644">
        <f>[1]资金台帐!AD644</f>
        <v>0</v>
      </c>
      <c r="AJ644">
        <f>[1]资金台帐!AJ644</f>
        <v>0</v>
      </c>
      <c r="AK644">
        <f>[1]资金台帐!AK644</f>
        <v>0</v>
      </c>
      <c r="BA644" s="22">
        <f t="shared" si="0"/>
      </c>
      <c r="BG644" s="22">
        <f t="shared" si="1"/>
      </c>
      <c r="BH644" s="22">
        <f t="shared" si="2"/>
        <v>0</v>
      </c>
    </row>
    <row r="645">
      <c r="B645">
        <f>[1]资金台帐!B645&amp;""</f>
      </c>
      <c r="H645">
        <f>[1]资金台帐!H645&amp;""</f>
      </c>
      <c r="J645">
        <f>[1]资金台帐!J645&amp;""</f>
      </c>
      <c r="N645">
        <f>[1]资金台帐!N645</f>
      </c>
      <c r="O645">
        <f>[1]资金台帐!O645&amp;""</f>
      </c>
      <c r="P645">
        <f>[1]资金台帐!P645&amp;""</f>
      </c>
      <c r="Q645">
        <f>[1]资金台帐!Q645&amp;""</f>
      </c>
      <c r="T645">
        <f>[1]资金台帐!T645&amp;""</f>
      </c>
      <c r="U645">
        <f>[1]资金台帐!U645&amp;""</f>
      </c>
      <c r="W645">
        <f>[1]资金台帐!W645&amp;""</f>
      </c>
      <c r="X645">
        <f>[1]资金台帐!X645&amp;""</f>
      </c>
      <c r="AB645">
        <f>[1]资金台帐!AB645</f>
        <v>0</v>
      </c>
      <c r="AC645">
        <f>[1]资金台帐!AC645</f>
        <v>0</v>
      </c>
      <c r="AD645">
        <f>[1]资金台帐!AD645</f>
        <v>0</v>
      </c>
      <c r="AJ645">
        <f>[1]资金台帐!AJ645</f>
        <v>0</v>
      </c>
      <c r="AK645">
        <f>[1]资金台帐!AK645</f>
        <v>0</v>
      </c>
      <c r="BA645" s="22">
        <f t="shared" si="0"/>
      </c>
      <c r="BG645" s="22">
        <f t="shared" si="1"/>
      </c>
      <c r="BH645" s="22">
        <f t="shared" si="2"/>
        <v>0</v>
      </c>
    </row>
    <row r="646">
      <c r="B646">
        <f>[1]资金台帐!B646&amp;""</f>
      </c>
      <c r="H646">
        <f>[1]资金台帐!H646&amp;""</f>
      </c>
      <c r="J646">
        <f>[1]资金台帐!J646&amp;""</f>
      </c>
      <c r="N646">
        <f>[1]资金台帐!N646</f>
      </c>
      <c r="O646">
        <f>[1]资金台帐!O646&amp;""</f>
      </c>
      <c r="P646">
        <f>[1]资金台帐!P646&amp;""</f>
      </c>
      <c r="Q646">
        <f>[1]资金台帐!Q646&amp;""</f>
      </c>
      <c r="T646">
        <f>[1]资金台帐!T646&amp;""</f>
      </c>
      <c r="U646">
        <f>[1]资金台帐!U646&amp;""</f>
      </c>
      <c r="W646">
        <f>[1]资金台帐!W646&amp;""</f>
      </c>
      <c r="X646">
        <f>[1]资金台帐!X646&amp;""</f>
      </c>
      <c r="AB646">
        <f>[1]资金台帐!AB646</f>
        <v>0</v>
      </c>
      <c r="AC646">
        <f>[1]资金台帐!AC646</f>
        <v>0</v>
      </c>
      <c r="AD646">
        <f>[1]资金台帐!AD646</f>
        <v>0</v>
      </c>
      <c r="AJ646">
        <f>[1]资金台帐!AJ646</f>
        <v>0</v>
      </c>
      <c r="AK646">
        <f>[1]资金台帐!AK646</f>
        <v>0</v>
      </c>
      <c r="BA646" s="22">
        <f t="shared" si="0"/>
      </c>
      <c r="BG646" s="22">
        <f t="shared" si="1"/>
      </c>
      <c r="BH646" s="22">
        <f t="shared" si="2"/>
        <v>0</v>
      </c>
    </row>
    <row r="647">
      <c r="B647">
        <f>[1]资金台帐!B647&amp;""</f>
      </c>
      <c r="H647">
        <f>[1]资金台帐!H647&amp;""</f>
      </c>
      <c r="J647">
        <f>[1]资金台帐!J647&amp;""</f>
      </c>
      <c r="N647">
        <f>[1]资金台帐!N647</f>
      </c>
      <c r="O647">
        <f>[1]资金台帐!O647&amp;""</f>
      </c>
      <c r="P647">
        <f>[1]资金台帐!P647&amp;""</f>
      </c>
      <c r="Q647">
        <f>[1]资金台帐!Q647&amp;""</f>
      </c>
      <c r="T647">
        <f>[1]资金台帐!T647&amp;""</f>
      </c>
      <c r="U647">
        <f>[1]资金台帐!U647&amp;""</f>
      </c>
      <c r="W647">
        <f>[1]资金台帐!W647&amp;""</f>
      </c>
      <c r="X647">
        <f>[1]资金台帐!X647&amp;""</f>
      </c>
      <c r="AB647">
        <f>[1]资金台帐!AB647</f>
        <v>0</v>
      </c>
      <c r="AC647">
        <f>[1]资金台帐!AC647</f>
        <v>0</v>
      </c>
      <c r="AD647">
        <f>[1]资金台帐!AD647</f>
        <v>0</v>
      </c>
      <c r="AJ647">
        <f>[1]资金台帐!AJ647</f>
        <v>0</v>
      </c>
      <c r="AK647">
        <f>[1]资金台帐!AK647</f>
        <v>0</v>
      </c>
      <c r="BA647" s="22">
        <f t="shared" si="0"/>
      </c>
      <c r="BG647" s="22">
        <f t="shared" si="1"/>
      </c>
      <c r="BH647" s="22">
        <f t="shared" si="2"/>
        <v>0</v>
      </c>
    </row>
    <row r="648">
      <c r="B648">
        <f>[1]资金台帐!B648&amp;""</f>
      </c>
      <c r="H648">
        <f>[1]资金台帐!H648&amp;""</f>
      </c>
      <c r="J648">
        <f>[1]资金台帐!J648&amp;""</f>
      </c>
      <c r="N648">
        <f>[1]资金台帐!N648</f>
      </c>
      <c r="O648">
        <f>[1]资金台帐!O648&amp;""</f>
      </c>
      <c r="P648">
        <f>[1]资金台帐!P648&amp;""</f>
      </c>
      <c r="Q648">
        <f>[1]资金台帐!Q648&amp;""</f>
      </c>
      <c r="T648">
        <f>[1]资金台帐!T648&amp;""</f>
      </c>
      <c r="U648">
        <f>[1]资金台帐!U648&amp;""</f>
      </c>
      <c r="W648">
        <f>[1]资金台帐!W648&amp;""</f>
      </c>
      <c r="X648">
        <f>[1]资金台帐!X648&amp;""</f>
      </c>
      <c r="AB648">
        <f>[1]资金台帐!AB648</f>
        <v>0</v>
      </c>
      <c r="AC648">
        <f>[1]资金台帐!AC648</f>
        <v>0</v>
      </c>
      <c r="AD648">
        <f>[1]资金台帐!AD648</f>
        <v>0</v>
      </c>
      <c r="AJ648">
        <f>[1]资金台帐!AJ648</f>
        <v>0</v>
      </c>
      <c r="AK648">
        <f>[1]资金台帐!AK648</f>
        <v>0</v>
      </c>
      <c r="BA648" s="22">
        <f t="shared" si="0"/>
      </c>
      <c r="BG648" s="22">
        <f t="shared" si="1"/>
      </c>
      <c r="BH648" s="22">
        <f t="shared" si="2"/>
        <v>0</v>
      </c>
    </row>
    <row r="649">
      <c r="B649">
        <f>[1]资金台帐!B649&amp;""</f>
      </c>
      <c r="H649">
        <f>[1]资金台帐!H649&amp;""</f>
      </c>
      <c r="J649">
        <f>[1]资金台帐!J649&amp;""</f>
      </c>
      <c r="N649">
        <f>[1]资金台帐!N649</f>
      </c>
      <c r="O649">
        <f>[1]资金台帐!O649&amp;""</f>
      </c>
      <c r="P649">
        <f>[1]资金台帐!P649&amp;""</f>
      </c>
      <c r="Q649">
        <f>[1]资金台帐!Q649&amp;""</f>
      </c>
      <c r="T649">
        <f>[1]资金台帐!T649&amp;""</f>
      </c>
      <c r="U649">
        <f>[1]资金台帐!U649&amp;""</f>
      </c>
      <c r="W649">
        <f>[1]资金台帐!W649&amp;""</f>
      </c>
      <c r="X649">
        <f>[1]资金台帐!X649&amp;""</f>
      </c>
      <c r="AB649">
        <f>[1]资金台帐!AB649</f>
        <v>0</v>
      </c>
      <c r="AC649">
        <f>[1]资金台帐!AC649</f>
        <v>0</v>
      </c>
      <c r="AD649">
        <f>[1]资金台帐!AD649</f>
        <v>0</v>
      </c>
      <c r="AJ649">
        <f>[1]资金台帐!AJ649</f>
        <v>0</v>
      </c>
      <c r="AK649">
        <f>[1]资金台帐!AK649</f>
        <v>0</v>
      </c>
      <c r="BA649" s="22">
        <f t="shared" si="0"/>
      </c>
      <c r="BG649" s="22">
        <f t="shared" si="1"/>
      </c>
      <c r="BH649" s="22">
        <f t="shared" si="2"/>
        <v>0</v>
      </c>
    </row>
    <row r="650">
      <c r="B650">
        <f>[1]资金台帐!B650&amp;""</f>
      </c>
      <c r="H650">
        <f>[1]资金台帐!H650&amp;""</f>
      </c>
      <c r="J650">
        <f>[1]资金台帐!J650&amp;""</f>
      </c>
      <c r="N650">
        <f>[1]资金台帐!N650</f>
      </c>
      <c r="O650">
        <f>[1]资金台帐!O650&amp;""</f>
      </c>
      <c r="P650">
        <f>[1]资金台帐!P650&amp;""</f>
      </c>
      <c r="Q650">
        <f>[1]资金台帐!Q650&amp;""</f>
      </c>
      <c r="T650">
        <f>[1]资金台帐!T650&amp;""</f>
      </c>
      <c r="U650">
        <f>[1]资金台帐!U650&amp;""</f>
      </c>
      <c r="W650">
        <f>[1]资金台帐!W650&amp;""</f>
      </c>
      <c r="X650">
        <f>[1]资金台帐!X650&amp;""</f>
      </c>
      <c r="AB650">
        <f>[1]资金台帐!AB650</f>
        <v>0</v>
      </c>
      <c r="AC650">
        <f>[1]资金台帐!AC650</f>
        <v>0</v>
      </c>
      <c r="AD650">
        <f>[1]资金台帐!AD650</f>
        <v>0</v>
      </c>
      <c r="AJ650">
        <f>[1]资金台帐!AJ650</f>
        <v>0</v>
      </c>
      <c r="AK650">
        <f>[1]资金台帐!AK650</f>
        <v>0</v>
      </c>
      <c r="BA650" s="22">
        <f t="shared" si="0"/>
      </c>
      <c r="BG650" s="22">
        <f t="shared" si="1"/>
      </c>
      <c r="BH650" s="22">
        <f t="shared" si="2"/>
        <v>0</v>
      </c>
    </row>
    <row r="651">
      <c r="B651">
        <f>[1]资金台帐!B651&amp;""</f>
      </c>
      <c r="H651">
        <f>[1]资金台帐!H651&amp;""</f>
      </c>
      <c r="J651">
        <f>[1]资金台帐!J651&amp;""</f>
      </c>
      <c r="N651">
        <f>[1]资金台帐!N651</f>
      </c>
      <c r="O651">
        <f>[1]资金台帐!O651&amp;""</f>
      </c>
      <c r="P651">
        <f>[1]资金台帐!P651&amp;""</f>
      </c>
      <c r="Q651">
        <f>[1]资金台帐!Q651&amp;""</f>
      </c>
      <c r="T651">
        <f>[1]资金台帐!T651&amp;""</f>
      </c>
      <c r="U651">
        <f>[1]资金台帐!U651&amp;""</f>
      </c>
      <c r="W651">
        <f>[1]资金台帐!W651&amp;""</f>
      </c>
      <c r="X651">
        <f>[1]资金台帐!X651&amp;""</f>
      </c>
      <c r="AB651">
        <f>[1]资金台帐!AB651</f>
        <v>0</v>
      </c>
      <c r="AC651">
        <f>[1]资金台帐!AC651</f>
        <v>0</v>
      </c>
      <c r="AD651">
        <f>[1]资金台帐!AD651</f>
        <v>0</v>
      </c>
      <c r="AJ651">
        <f>[1]资金台帐!AJ651</f>
        <v>0</v>
      </c>
      <c r="AK651">
        <f>[1]资金台帐!AK651</f>
        <v>0</v>
      </c>
      <c r="BA651" s="22">
        <f t="shared" si="0"/>
      </c>
      <c r="BG651" s="22">
        <f t="shared" si="1"/>
      </c>
      <c r="BH651" s="22">
        <f t="shared" si="2"/>
        <v>0</v>
      </c>
    </row>
    <row r="652">
      <c r="B652">
        <f>[1]资金台帐!B652&amp;""</f>
      </c>
      <c r="H652">
        <f>[1]资金台帐!H652&amp;""</f>
      </c>
      <c r="J652">
        <f>[1]资金台帐!J652&amp;""</f>
      </c>
      <c r="N652">
        <f>[1]资金台帐!N652</f>
      </c>
      <c r="O652">
        <f>[1]资金台帐!O652&amp;""</f>
      </c>
      <c r="P652">
        <f>[1]资金台帐!P652&amp;""</f>
      </c>
      <c r="Q652">
        <f>[1]资金台帐!Q652&amp;""</f>
      </c>
      <c r="T652">
        <f>[1]资金台帐!T652&amp;""</f>
      </c>
      <c r="U652">
        <f>[1]资金台帐!U652&amp;""</f>
      </c>
      <c r="W652">
        <f>[1]资金台帐!W652&amp;""</f>
      </c>
      <c r="X652">
        <f>[1]资金台帐!X652&amp;""</f>
      </c>
      <c r="AB652">
        <f>[1]资金台帐!AB652</f>
        <v>0</v>
      </c>
      <c r="AC652">
        <f>[1]资金台帐!AC652</f>
        <v>0</v>
      </c>
      <c r="AD652">
        <f>[1]资金台帐!AD652</f>
        <v>0</v>
      </c>
      <c r="AJ652">
        <f>[1]资金台帐!AJ652</f>
        <v>0</v>
      </c>
      <c r="AK652">
        <f>[1]资金台帐!AK652</f>
        <v>0</v>
      </c>
      <c r="BA652" s="22">
        <f t="shared" si="0"/>
      </c>
      <c r="BG652" s="22">
        <f t="shared" si="1"/>
      </c>
      <c r="BH652" s="22">
        <f t="shared" si="2"/>
        <v>0</v>
      </c>
    </row>
    <row r="653">
      <c r="B653">
        <f>[1]资金台帐!B653&amp;""</f>
      </c>
      <c r="H653">
        <f>[1]资金台帐!H653&amp;""</f>
      </c>
      <c r="J653">
        <f>[1]资金台帐!J653&amp;""</f>
      </c>
      <c r="N653">
        <f>[1]资金台帐!N653</f>
      </c>
      <c r="O653">
        <f>[1]资金台帐!O653&amp;""</f>
      </c>
      <c r="P653">
        <f>[1]资金台帐!P653&amp;""</f>
      </c>
      <c r="Q653">
        <f>[1]资金台帐!Q653&amp;""</f>
      </c>
      <c r="T653">
        <f>[1]资金台帐!T653&amp;""</f>
      </c>
      <c r="U653">
        <f>[1]资金台帐!U653&amp;""</f>
      </c>
      <c r="W653">
        <f>[1]资金台帐!W653&amp;""</f>
      </c>
      <c r="X653">
        <f>[1]资金台帐!X653&amp;""</f>
      </c>
      <c r="AB653">
        <f>[1]资金台帐!AB653</f>
        <v>0</v>
      </c>
      <c r="AC653">
        <f>[1]资金台帐!AC653</f>
        <v>0</v>
      </c>
      <c r="AD653">
        <f>[1]资金台帐!AD653</f>
        <v>0</v>
      </c>
      <c r="AJ653">
        <f>[1]资金台帐!AJ653</f>
        <v>0</v>
      </c>
      <c r="AK653">
        <f>[1]资金台帐!AK653</f>
        <v>0</v>
      </c>
      <c r="BA653" s="22">
        <f t="shared" si="0"/>
      </c>
      <c r="BG653" s="22">
        <f t="shared" si="1"/>
      </c>
      <c r="BH653" s="22">
        <f t="shared" si="2"/>
        <v>0</v>
      </c>
    </row>
    <row r="654">
      <c r="B654">
        <f>[1]资金台帐!B654&amp;""</f>
      </c>
      <c r="H654">
        <f>[1]资金台帐!H654&amp;""</f>
      </c>
      <c r="J654">
        <f>[1]资金台帐!J654&amp;""</f>
      </c>
      <c r="N654">
        <f>[1]资金台帐!N654</f>
      </c>
      <c r="O654">
        <f>[1]资金台帐!O654&amp;""</f>
      </c>
      <c r="P654">
        <f>[1]资金台帐!P654&amp;""</f>
      </c>
      <c r="Q654">
        <f>[1]资金台帐!Q654&amp;""</f>
      </c>
      <c r="T654">
        <f>[1]资金台帐!T654&amp;""</f>
      </c>
      <c r="U654">
        <f>[1]资金台帐!U654&amp;""</f>
      </c>
      <c r="W654">
        <f>[1]资金台帐!W654&amp;""</f>
      </c>
      <c r="X654">
        <f>[1]资金台帐!X654&amp;""</f>
      </c>
      <c r="AB654">
        <f>[1]资金台帐!AB654</f>
        <v>0</v>
      </c>
      <c r="AC654">
        <f>[1]资金台帐!AC654</f>
        <v>0</v>
      </c>
      <c r="AD654">
        <f>[1]资金台帐!AD654</f>
        <v>0</v>
      </c>
      <c r="AJ654">
        <f>[1]资金台帐!AJ654</f>
        <v>0</v>
      </c>
      <c r="AK654">
        <f>[1]资金台帐!AK654</f>
        <v>0</v>
      </c>
      <c r="BA654" s="22">
        <f t="shared" si="0"/>
      </c>
      <c r="BG654" s="22">
        <f t="shared" si="1"/>
      </c>
      <c r="BH654" s="22">
        <f t="shared" si="2"/>
        <v>0</v>
      </c>
    </row>
    <row r="655">
      <c r="B655">
        <f>[1]资金台帐!B655&amp;""</f>
      </c>
      <c r="H655">
        <f>[1]资金台帐!H655&amp;""</f>
      </c>
      <c r="J655">
        <f>[1]资金台帐!J655&amp;""</f>
      </c>
      <c r="N655">
        <f>[1]资金台帐!N655</f>
      </c>
      <c r="O655">
        <f>[1]资金台帐!O655&amp;""</f>
      </c>
      <c r="P655">
        <f>[1]资金台帐!P655&amp;""</f>
      </c>
      <c r="Q655">
        <f>[1]资金台帐!Q655&amp;""</f>
      </c>
      <c r="T655">
        <f>[1]资金台帐!T655&amp;""</f>
      </c>
      <c r="U655">
        <f>[1]资金台帐!U655&amp;""</f>
      </c>
      <c r="W655">
        <f>[1]资金台帐!W655&amp;""</f>
      </c>
      <c r="X655">
        <f>[1]资金台帐!X655&amp;""</f>
      </c>
      <c r="AB655">
        <f>[1]资金台帐!AB655</f>
        <v>0</v>
      </c>
      <c r="AC655">
        <f>[1]资金台帐!AC655</f>
        <v>0</v>
      </c>
      <c r="AD655">
        <f>[1]资金台帐!AD655</f>
        <v>0</v>
      </c>
      <c r="AJ655">
        <f>[1]资金台帐!AJ655</f>
        <v>0</v>
      </c>
      <c r="AK655">
        <f>[1]资金台帐!AK655</f>
        <v>0</v>
      </c>
      <c r="BA655" s="22">
        <f t="shared" si="0"/>
      </c>
      <c r="BG655" s="22">
        <f t="shared" si="1"/>
      </c>
      <c r="BH655" s="22">
        <f t="shared" si="2"/>
        <v>0</v>
      </c>
    </row>
    <row r="656">
      <c r="B656">
        <f>[1]资金台帐!B656&amp;""</f>
      </c>
      <c r="H656">
        <f>[1]资金台帐!H656&amp;""</f>
      </c>
      <c r="J656">
        <f>[1]资金台帐!J656&amp;""</f>
      </c>
      <c r="N656">
        <f>[1]资金台帐!N656</f>
      </c>
      <c r="O656">
        <f>[1]资金台帐!O656&amp;""</f>
      </c>
      <c r="P656">
        <f>[1]资金台帐!P656&amp;""</f>
      </c>
      <c r="Q656">
        <f>[1]资金台帐!Q656&amp;""</f>
      </c>
      <c r="T656">
        <f>[1]资金台帐!T656&amp;""</f>
      </c>
      <c r="U656">
        <f>[1]资金台帐!U656&amp;""</f>
      </c>
      <c r="W656">
        <f>[1]资金台帐!W656&amp;""</f>
      </c>
      <c r="X656">
        <f>[1]资金台帐!X656&amp;""</f>
      </c>
      <c r="AB656">
        <f>[1]资金台帐!AB656</f>
        <v>0</v>
      </c>
      <c r="AC656">
        <f>[1]资金台帐!AC656</f>
        <v>0</v>
      </c>
      <c r="AD656">
        <f>[1]资金台帐!AD656</f>
        <v>0</v>
      </c>
      <c r="AJ656">
        <f>[1]资金台帐!AJ656</f>
        <v>0</v>
      </c>
      <c r="AK656">
        <f>[1]资金台帐!AK656</f>
        <v>0</v>
      </c>
      <c r="BA656" s="22">
        <f t="shared" si="0"/>
      </c>
      <c r="BG656" s="22">
        <f t="shared" si="1"/>
      </c>
      <c r="BH656" s="22">
        <f t="shared" si="2"/>
        <v>0</v>
      </c>
    </row>
    <row r="657">
      <c r="B657">
        <f>[1]资金台帐!B657&amp;""</f>
      </c>
      <c r="H657">
        <f>[1]资金台帐!H657&amp;""</f>
      </c>
      <c r="J657">
        <f>[1]资金台帐!J657&amp;""</f>
      </c>
      <c r="N657">
        <f>[1]资金台帐!N657</f>
      </c>
      <c r="O657">
        <f>[1]资金台帐!O657&amp;""</f>
      </c>
      <c r="P657">
        <f>[1]资金台帐!P657&amp;""</f>
      </c>
      <c r="Q657">
        <f>[1]资金台帐!Q657&amp;""</f>
      </c>
      <c r="T657">
        <f>[1]资金台帐!T657&amp;""</f>
      </c>
      <c r="U657">
        <f>[1]资金台帐!U657&amp;""</f>
      </c>
      <c r="W657">
        <f>[1]资金台帐!W657&amp;""</f>
      </c>
      <c r="X657">
        <f>[1]资金台帐!X657&amp;""</f>
      </c>
      <c r="AB657">
        <f>[1]资金台帐!AB657</f>
        <v>0</v>
      </c>
      <c r="AC657">
        <f>[1]资金台帐!AC657</f>
        <v>0</v>
      </c>
      <c r="AD657">
        <f>[1]资金台帐!AD657</f>
        <v>0</v>
      </c>
      <c r="AJ657">
        <f>[1]资金台帐!AJ657</f>
        <v>0</v>
      </c>
      <c r="AK657">
        <f>[1]资金台帐!AK657</f>
        <v>0</v>
      </c>
      <c r="BA657" s="22">
        <f t="shared" si="0"/>
      </c>
      <c r="BG657" s="22">
        <f t="shared" si="1"/>
      </c>
      <c r="BH657" s="22">
        <f t="shared" si="2"/>
        <v>0</v>
      </c>
    </row>
    <row r="658">
      <c r="B658">
        <f>[1]资金台帐!B658&amp;""</f>
      </c>
      <c r="H658">
        <f>[1]资金台帐!H658&amp;""</f>
      </c>
      <c r="J658">
        <f>[1]资金台帐!J658&amp;""</f>
      </c>
      <c r="N658">
        <f>[1]资金台帐!N658</f>
      </c>
      <c r="O658">
        <f>[1]资金台帐!O658&amp;""</f>
      </c>
      <c r="P658">
        <f>[1]资金台帐!P658&amp;""</f>
      </c>
      <c r="Q658">
        <f>[1]资金台帐!Q658&amp;""</f>
      </c>
      <c r="T658">
        <f>[1]资金台帐!T658&amp;""</f>
      </c>
      <c r="U658">
        <f>[1]资金台帐!U658&amp;""</f>
      </c>
      <c r="W658">
        <f>[1]资金台帐!W658&amp;""</f>
      </c>
      <c r="X658">
        <f>[1]资金台帐!X658&amp;""</f>
      </c>
      <c r="AB658">
        <f>[1]资金台帐!AB658</f>
        <v>0</v>
      </c>
      <c r="AC658">
        <f>[1]资金台帐!AC658</f>
        <v>0</v>
      </c>
      <c r="AD658">
        <f>[1]资金台帐!AD658</f>
        <v>0</v>
      </c>
      <c r="AJ658">
        <f>[1]资金台帐!AJ658</f>
        <v>0</v>
      </c>
      <c r="AK658">
        <f>[1]资金台帐!AK658</f>
        <v>0</v>
      </c>
      <c r="BA658" s="22">
        <f t="shared" si="0"/>
      </c>
      <c r="BG658" s="22">
        <f t="shared" si="1"/>
      </c>
      <c r="BH658" s="22">
        <f t="shared" si="2"/>
        <v>0</v>
      </c>
    </row>
    <row r="659">
      <c r="B659">
        <f>[1]资金台帐!B659&amp;""</f>
      </c>
      <c r="H659">
        <f>[1]资金台帐!H659&amp;""</f>
      </c>
      <c r="J659">
        <f>[1]资金台帐!J659&amp;""</f>
      </c>
      <c r="N659">
        <f>[1]资金台帐!N659</f>
      </c>
      <c r="O659">
        <f>[1]资金台帐!O659&amp;""</f>
      </c>
      <c r="P659">
        <f>[1]资金台帐!P659&amp;""</f>
      </c>
      <c r="Q659">
        <f>[1]资金台帐!Q659&amp;""</f>
      </c>
      <c r="T659">
        <f>[1]资金台帐!T659&amp;""</f>
      </c>
      <c r="U659">
        <f>[1]资金台帐!U659&amp;""</f>
      </c>
      <c r="W659">
        <f>[1]资金台帐!W659&amp;""</f>
      </c>
      <c r="X659">
        <f>[1]资金台帐!X659&amp;""</f>
      </c>
      <c r="AB659">
        <f>[1]资金台帐!AB659</f>
        <v>0</v>
      </c>
      <c r="AC659">
        <f>[1]资金台帐!AC659</f>
        <v>0</v>
      </c>
      <c r="AD659">
        <f>[1]资金台帐!AD659</f>
        <v>0</v>
      </c>
      <c r="AJ659">
        <f>[1]资金台帐!AJ659</f>
        <v>0</v>
      </c>
      <c r="AK659">
        <f>[1]资金台帐!AK659</f>
        <v>0</v>
      </c>
      <c r="BA659" s="22">
        <f t="shared" si="0"/>
      </c>
      <c r="BG659" s="22">
        <f t="shared" si="1"/>
      </c>
      <c r="BH659" s="22">
        <f t="shared" si="2"/>
        <v>0</v>
      </c>
    </row>
    <row r="660">
      <c r="B660">
        <f>[1]资金台帐!B660&amp;""</f>
      </c>
      <c r="H660">
        <f>[1]资金台帐!H660&amp;""</f>
      </c>
      <c r="J660">
        <f>[1]资金台帐!J660&amp;""</f>
      </c>
      <c r="N660">
        <f>[1]资金台帐!N660</f>
      </c>
      <c r="O660">
        <f>[1]资金台帐!O660&amp;""</f>
      </c>
      <c r="P660">
        <f>[1]资金台帐!P660&amp;""</f>
      </c>
      <c r="Q660">
        <f>[1]资金台帐!Q660&amp;""</f>
      </c>
      <c r="T660">
        <f>[1]资金台帐!T660&amp;""</f>
      </c>
      <c r="U660">
        <f>[1]资金台帐!U660&amp;""</f>
      </c>
      <c r="W660">
        <f>[1]资金台帐!W660&amp;""</f>
      </c>
      <c r="X660">
        <f>[1]资金台帐!X660&amp;""</f>
      </c>
      <c r="AB660">
        <f>[1]资金台帐!AB660</f>
        <v>0</v>
      </c>
      <c r="AC660">
        <f>[1]资金台帐!AC660</f>
        <v>0</v>
      </c>
      <c r="AD660">
        <f>[1]资金台帐!AD660</f>
        <v>0</v>
      </c>
      <c r="AJ660">
        <f>[1]资金台帐!AJ660</f>
        <v>0</v>
      </c>
      <c r="AK660">
        <f>[1]资金台帐!AK660</f>
        <v>0</v>
      </c>
      <c r="BA660" s="22">
        <f t="shared" si="0"/>
      </c>
      <c r="BG660" s="22">
        <f t="shared" si="1"/>
      </c>
      <c r="BH660" s="22">
        <f t="shared" si="2"/>
        <v>0</v>
      </c>
    </row>
    <row r="661">
      <c r="B661">
        <f>[1]资金台帐!B661&amp;""</f>
      </c>
      <c r="H661">
        <f>[1]资金台帐!H661&amp;""</f>
      </c>
      <c r="J661">
        <f>[1]资金台帐!J661&amp;""</f>
      </c>
      <c r="N661">
        <f>[1]资金台帐!N661</f>
      </c>
      <c r="O661">
        <f>[1]资金台帐!O661&amp;""</f>
      </c>
      <c r="P661">
        <f>[1]资金台帐!P661&amp;""</f>
      </c>
      <c r="Q661">
        <f>[1]资金台帐!Q661&amp;""</f>
      </c>
      <c r="T661">
        <f>[1]资金台帐!T661&amp;""</f>
      </c>
      <c r="U661">
        <f>[1]资金台帐!U661&amp;""</f>
      </c>
      <c r="W661">
        <f>[1]资金台帐!W661&amp;""</f>
      </c>
      <c r="X661">
        <f>[1]资金台帐!X661&amp;""</f>
      </c>
      <c r="AB661">
        <f>[1]资金台帐!AB661</f>
        <v>0</v>
      </c>
      <c r="AC661">
        <f>[1]资金台帐!AC661</f>
        <v>0</v>
      </c>
      <c r="AD661">
        <f>[1]资金台帐!AD661</f>
        <v>0</v>
      </c>
      <c r="AJ661">
        <f>[1]资金台帐!AJ661</f>
        <v>0</v>
      </c>
      <c r="AK661">
        <f>[1]资金台帐!AK661</f>
        <v>0</v>
      </c>
      <c r="BA661" s="22">
        <f t="shared" si="0"/>
      </c>
      <c r="BG661" s="22">
        <f t="shared" si="1"/>
      </c>
      <c r="BH661" s="22">
        <f t="shared" si="2"/>
        <v>0</v>
      </c>
    </row>
    <row r="662">
      <c r="B662">
        <f>[1]资金台帐!B662&amp;""</f>
      </c>
      <c r="H662">
        <f>[1]资金台帐!H662&amp;""</f>
      </c>
      <c r="J662">
        <f>[1]资金台帐!J662&amp;""</f>
      </c>
      <c r="N662">
        <f>[1]资金台帐!N662</f>
      </c>
      <c r="O662">
        <f>[1]资金台帐!O662&amp;""</f>
      </c>
      <c r="P662">
        <f>[1]资金台帐!P662&amp;""</f>
      </c>
      <c r="Q662">
        <f>[1]资金台帐!Q662&amp;""</f>
      </c>
      <c r="T662">
        <f>[1]资金台帐!T662&amp;""</f>
      </c>
      <c r="U662">
        <f>[1]资金台帐!U662&amp;""</f>
      </c>
      <c r="W662">
        <f>[1]资金台帐!W662&amp;""</f>
      </c>
      <c r="X662">
        <f>[1]资金台帐!X662&amp;""</f>
      </c>
      <c r="AB662">
        <f>[1]资金台帐!AB662</f>
        <v>0</v>
      </c>
      <c r="AC662">
        <f>[1]资金台帐!AC662</f>
        <v>0</v>
      </c>
      <c r="AD662">
        <f>[1]资金台帐!AD662</f>
        <v>0</v>
      </c>
      <c r="AJ662">
        <f>[1]资金台帐!AJ662</f>
        <v>0</v>
      </c>
      <c r="AK662">
        <f>[1]资金台帐!AK662</f>
        <v>0</v>
      </c>
      <c r="BA662" s="22">
        <f t="shared" si="0"/>
      </c>
      <c r="BG662" s="22">
        <f t="shared" si="1"/>
      </c>
      <c r="BH662" s="22">
        <f t="shared" si="2"/>
        <v>0</v>
      </c>
    </row>
    <row r="663">
      <c r="B663">
        <f>[1]资金台帐!B663&amp;""</f>
      </c>
      <c r="H663">
        <f>[1]资金台帐!H663&amp;""</f>
      </c>
      <c r="J663">
        <f>[1]资金台帐!J663&amp;""</f>
      </c>
      <c r="N663">
        <f>[1]资金台帐!N663</f>
      </c>
      <c r="O663">
        <f>[1]资金台帐!O663&amp;""</f>
      </c>
      <c r="P663">
        <f>[1]资金台帐!P663&amp;""</f>
      </c>
      <c r="Q663">
        <f>[1]资金台帐!Q663&amp;""</f>
      </c>
      <c r="T663">
        <f>[1]资金台帐!T663&amp;""</f>
      </c>
      <c r="U663">
        <f>[1]资金台帐!U663&amp;""</f>
      </c>
      <c r="W663">
        <f>[1]资金台帐!W663&amp;""</f>
      </c>
      <c r="X663">
        <f>[1]资金台帐!X663&amp;""</f>
      </c>
      <c r="AB663">
        <f>[1]资金台帐!AB663</f>
        <v>0</v>
      </c>
      <c r="AC663">
        <f>[1]资金台帐!AC663</f>
        <v>0</v>
      </c>
      <c r="AD663">
        <f>[1]资金台帐!AD663</f>
        <v>0</v>
      </c>
      <c r="AJ663">
        <f>[1]资金台帐!AJ663</f>
        <v>0</v>
      </c>
      <c r="AK663">
        <f>[1]资金台帐!AK663</f>
        <v>0</v>
      </c>
      <c r="BA663" s="22">
        <f t="shared" si="0"/>
      </c>
      <c r="BG663" s="22">
        <f t="shared" si="1"/>
      </c>
      <c r="BH663" s="22">
        <f t="shared" si="2"/>
        <v>0</v>
      </c>
    </row>
    <row r="664">
      <c r="B664">
        <f>[1]资金台帐!B664&amp;""</f>
      </c>
      <c r="H664">
        <f>[1]资金台帐!H664&amp;""</f>
      </c>
      <c r="J664">
        <f>[1]资金台帐!J664&amp;""</f>
      </c>
      <c r="N664">
        <f>[1]资金台帐!N664</f>
      </c>
      <c r="O664">
        <f>[1]资金台帐!O664&amp;""</f>
      </c>
      <c r="P664">
        <f>[1]资金台帐!P664&amp;""</f>
      </c>
      <c r="Q664">
        <f>[1]资金台帐!Q664&amp;""</f>
      </c>
      <c r="T664">
        <f>[1]资金台帐!T664&amp;""</f>
      </c>
      <c r="U664">
        <f>[1]资金台帐!U664&amp;""</f>
      </c>
      <c r="W664">
        <f>[1]资金台帐!W664&amp;""</f>
      </c>
      <c r="X664">
        <f>[1]资金台帐!X664&amp;""</f>
      </c>
      <c r="AB664">
        <f>[1]资金台帐!AB664</f>
        <v>0</v>
      </c>
      <c r="AC664">
        <f>[1]资金台帐!AC664</f>
        <v>0</v>
      </c>
      <c r="AD664">
        <f>[1]资金台帐!AD664</f>
        <v>0</v>
      </c>
      <c r="AJ664">
        <f>[1]资金台帐!AJ664</f>
        <v>0</v>
      </c>
      <c r="AK664">
        <f>[1]资金台帐!AK664</f>
        <v>0</v>
      </c>
      <c r="BA664" s="22">
        <f t="shared" si="0"/>
      </c>
      <c r="BG664" s="22">
        <f t="shared" si="1"/>
      </c>
      <c r="BH664" s="22">
        <f t="shared" si="2"/>
        <v>0</v>
      </c>
    </row>
    <row r="665">
      <c r="B665">
        <f>[1]资金台帐!B665&amp;""</f>
      </c>
      <c r="H665">
        <f>[1]资金台帐!H665&amp;""</f>
      </c>
      <c r="J665">
        <f>[1]资金台帐!J665&amp;""</f>
      </c>
      <c r="N665">
        <f>[1]资金台帐!N665</f>
      </c>
      <c r="O665">
        <f>[1]资金台帐!O665&amp;""</f>
      </c>
      <c r="P665">
        <f>[1]资金台帐!P665&amp;""</f>
      </c>
      <c r="Q665">
        <f>[1]资金台帐!Q665&amp;""</f>
      </c>
      <c r="T665">
        <f>[1]资金台帐!T665&amp;""</f>
      </c>
      <c r="U665">
        <f>[1]资金台帐!U665&amp;""</f>
      </c>
      <c r="W665">
        <f>[1]资金台帐!W665&amp;""</f>
      </c>
      <c r="X665">
        <f>[1]资金台帐!X665&amp;""</f>
      </c>
      <c r="AB665">
        <f>[1]资金台帐!AB665</f>
        <v>0</v>
      </c>
      <c r="AC665">
        <f>[1]资金台帐!AC665</f>
        <v>0</v>
      </c>
      <c r="AD665">
        <f>[1]资金台帐!AD665</f>
        <v>0</v>
      </c>
      <c r="AJ665">
        <f>[1]资金台帐!AJ665</f>
        <v>0</v>
      </c>
      <c r="AK665">
        <f>[1]资金台帐!AK665</f>
        <v>0</v>
      </c>
      <c r="BA665" s="22">
        <f t="shared" si="0"/>
      </c>
      <c r="BG665" s="22">
        <f t="shared" si="1"/>
      </c>
      <c r="BH665" s="22">
        <f t="shared" si="2"/>
        <v>0</v>
      </c>
    </row>
    <row r="666">
      <c r="B666">
        <f>[1]资金台帐!B666&amp;""</f>
      </c>
      <c r="H666">
        <f>[1]资金台帐!H666&amp;""</f>
      </c>
      <c r="J666">
        <f>[1]资金台帐!J666&amp;""</f>
      </c>
      <c r="N666">
        <f>[1]资金台帐!N666</f>
      </c>
      <c r="O666">
        <f>[1]资金台帐!O666&amp;""</f>
      </c>
      <c r="P666">
        <f>[1]资金台帐!P666&amp;""</f>
      </c>
      <c r="Q666">
        <f>[1]资金台帐!Q666&amp;""</f>
      </c>
      <c r="T666">
        <f>[1]资金台帐!T666&amp;""</f>
      </c>
      <c r="U666">
        <f>[1]资金台帐!U666&amp;""</f>
      </c>
      <c r="W666">
        <f>[1]资金台帐!W666&amp;""</f>
      </c>
      <c r="X666">
        <f>[1]资金台帐!X666&amp;""</f>
      </c>
      <c r="AB666">
        <f>[1]资金台帐!AB666</f>
        <v>0</v>
      </c>
      <c r="AC666">
        <f>[1]资金台帐!AC666</f>
        <v>0</v>
      </c>
      <c r="AD666">
        <f>[1]资金台帐!AD666</f>
        <v>0</v>
      </c>
      <c r="AJ666">
        <f>[1]资金台帐!AJ666</f>
        <v>0</v>
      </c>
      <c r="AK666">
        <f>[1]资金台帐!AK666</f>
        <v>0</v>
      </c>
      <c r="BA666" s="22">
        <f t="shared" si="0"/>
      </c>
      <c r="BG666" s="22">
        <f t="shared" si="1"/>
      </c>
      <c r="BH666" s="22">
        <f t="shared" si="2"/>
        <v>0</v>
      </c>
    </row>
    <row r="667">
      <c r="B667">
        <f>[1]资金台帐!B667&amp;""</f>
      </c>
      <c r="H667">
        <f>[1]资金台帐!H667&amp;""</f>
      </c>
      <c r="J667">
        <f>[1]资金台帐!J667&amp;""</f>
      </c>
      <c r="N667">
        <f>[1]资金台帐!N667</f>
      </c>
      <c r="O667">
        <f>[1]资金台帐!O667&amp;""</f>
      </c>
      <c r="P667">
        <f>[1]资金台帐!P667&amp;""</f>
      </c>
      <c r="Q667">
        <f>[1]资金台帐!Q667&amp;""</f>
      </c>
      <c r="T667">
        <f>[1]资金台帐!T667&amp;""</f>
      </c>
      <c r="U667">
        <f>[1]资金台帐!U667&amp;""</f>
      </c>
      <c r="W667">
        <f>[1]资金台帐!W667&amp;""</f>
      </c>
      <c r="X667">
        <f>[1]资金台帐!X667&amp;""</f>
      </c>
      <c r="AB667">
        <f>[1]资金台帐!AB667</f>
        <v>0</v>
      </c>
      <c r="AC667">
        <f>[1]资金台帐!AC667</f>
        <v>0</v>
      </c>
      <c r="AD667">
        <f>[1]资金台帐!AD667</f>
        <v>0</v>
      </c>
      <c r="AJ667">
        <f>[1]资金台帐!AJ667</f>
        <v>0</v>
      </c>
      <c r="AK667">
        <f>[1]资金台帐!AK667</f>
        <v>0</v>
      </c>
      <c r="BA667" s="22">
        <f t="shared" si="0"/>
      </c>
      <c r="BG667" s="22">
        <f t="shared" si="1"/>
      </c>
      <c r="BH667" s="22">
        <f t="shared" si="2"/>
        <v>0</v>
      </c>
    </row>
    <row r="668">
      <c r="B668">
        <f>[1]资金台帐!B668&amp;""</f>
      </c>
      <c r="H668">
        <f>[1]资金台帐!H668&amp;""</f>
      </c>
      <c r="J668">
        <f>[1]资金台帐!J668&amp;""</f>
      </c>
      <c r="N668">
        <f>[1]资金台帐!N668</f>
      </c>
      <c r="O668">
        <f>[1]资金台帐!O668&amp;""</f>
      </c>
      <c r="P668">
        <f>[1]资金台帐!P668&amp;""</f>
      </c>
      <c r="Q668">
        <f>[1]资金台帐!Q668&amp;""</f>
      </c>
      <c r="T668">
        <f>[1]资金台帐!T668&amp;""</f>
      </c>
      <c r="U668">
        <f>[1]资金台帐!U668&amp;""</f>
      </c>
      <c r="W668">
        <f>[1]资金台帐!W668&amp;""</f>
      </c>
      <c r="X668">
        <f>[1]资金台帐!X668&amp;""</f>
      </c>
      <c r="AB668">
        <f>[1]资金台帐!AB668</f>
        <v>0</v>
      </c>
      <c r="AC668">
        <f>[1]资金台帐!AC668</f>
        <v>0</v>
      </c>
      <c r="AD668">
        <f>[1]资金台帐!AD668</f>
        <v>0</v>
      </c>
      <c r="AJ668">
        <f>[1]资金台帐!AJ668</f>
        <v>0</v>
      </c>
      <c r="AK668">
        <f>[1]资金台帐!AK668</f>
        <v>0</v>
      </c>
      <c r="BA668" s="22">
        <f t="shared" si="0"/>
      </c>
      <c r="BG668" s="22">
        <f t="shared" si="1"/>
      </c>
      <c r="BH668" s="22">
        <f t="shared" si="2"/>
        <v>0</v>
      </c>
    </row>
    <row r="669">
      <c r="B669">
        <f>[1]资金台帐!B669&amp;""</f>
      </c>
      <c r="H669">
        <f>[1]资金台帐!H669&amp;""</f>
      </c>
      <c r="J669">
        <f>[1]资金台帐!J669&amp;""</f>
      </c>
      <c r="N669">
        <f>[1]资金台帐!N669</f>
      </c>
      <c r="O669">
        <f>[1]资金台帐!O669&amp;""</f>
      </c>
      <c r="P669">
        <f>[1]资金台帐!P669&amp;""</f>
      </c>
      <c r="Q669">
        <f>[1]资金台帐!Q669&amp;""</f>
      </c>
      <c r="T669">
        <f>[1]资金台帐!T669&amp;""</f>
      </c>
      <c r="U669">
        <f>[1]资金台帐!U669&amp;""</f>
      </c>
      <c r="W669">
        <f>[1]资金台帐!W669&amp;""</f>
      </c>
      <c r="X669">
        <f>[1]资金台帐!X669&amp;""</f>
      </c>
      <c r="AB669">
        <f>[1]资金台帐!AB669</f>
        <v>0</v>
      </c>
      <c r="AC669">
        <f>[1]资金台帐!AC669</f>
        <v>0</v>
      </c>
      <c r="AD669">
        <f>[1]资金台帐!AD669</f>
        <v>0</v>
      </c>
      <c r="AJ669">
        <f>[1]资金台帐!AJ669</f>
        <v>0</v>
      </c>
      <c r="AK669">
        <f>[1]资金台帐!AK669</f>
        <v>0</v>
      </c>
      <c r="BA669" s="22">
        <f t="shared" si="0"/>
      </c>
      <c r="BG669" s="22">
        <f t="shared" si="1"/>
      </c>
      <c r="BH669" s="22">
        <f t="shared" si="2"/>
        <v>0</v>
      </c>
    </row>
    <row r="670">
      <c r="B670">
        <f>[1]资金台帐!B670&amp;""</f>
      </c>
      <c r="H670">
        <f>[1]资金台帐!H670&amp;""</f>
      </c>
      <c r="J670">
        <f>[1]资金台帐!J670&amp;""</f>
      </c>
      <c r="N670">
        <f>[1]资金台帐!N670</f>
      </c>
      <c r="O670">
        <f>[1]资金台帐!O670&amp;""</f>
      </c>
      <c r="P670">
        <f>[1]资金台帐!P670&amp;""</f>
      </c>
      <c r="Q670">
        <f>[1]资金台帐!Q670&amp;""</f>
      </c>
      <c r="T670">
        <f>[1]资金台帐!T670&amp;""</f>
      </c>
      <c r="U670">
        <f>[1]资金台帐!U670&amp;""</f>
      </c>
      <c r="W670">
        <f>[1]资金台帐!W670&amp;""</f>
      </c>
      <c r="X670">
        <f>[1]资金台帐!X670&amp;""</f>
      </c>
      <c r="AB670">
        <f>[1]资金台帐!AB670</f>
        <v>0</v>
      </c>
      <c r="AC670">
        <f>[1]资金台帐!AC670</f>
        <v>0</v>
      </c>
      <c r="AD670">
        <f>[1]资金台帐!AD670</f>
        <v>0</v>
      </c>
      <c r="AJ670">
        <f>[1]资金台帐!AJ670</f>
        <v>0</v>
      </c>
      <c r="AK670">
        <f>[1]资金台帐!AK670</f>
        <v>0</v>
      </c>
      <c r="BA670" s="22">
        <f t="shared" si="0"/>
      </c>
      <c r="BG670" s="22">
        <f t="shared" si="1"/>
      </c>
      <c r="BH670" s="22">
        <f t="shared" si="2"/>
        <v>0</v>
      </c>
    </row>
    <row r="671">
      <c r="B671">
        <f>[1]资金台帐!B671&amp;""</f>
      </c>
      <c r="H671">
        <f>[1]资金台帐!H671&amp;""</f>
      </c>
      <c r="J671">
        <f>[1]资金台帐!J671&amp;""</f>
      </c>
      <c r="N671">
        <f>[1]资金台帐!N671</f>
      </c>
      <c r="O671">
        <f>[1]资金台帐!O671&amp;""</f>
      </c>
      <c r="P671">
        <f>[1]资金台帐!P671&amp;""</f>
      </c>
      <c r="Q671">
        <f>[1]资金台帐!Q671&amp;""</f>
      </c>
      <c r="T671">
        <f>[1]资金台帐!T671&amp;""</f>
      </c>
      <c r="U671">
        <f>[1]资金台帐!U671&amp;""</f>
      </c>
      <c r="W671">
        <f>[1]资金台帐!W671&amp;""</f>
      </c>
      <c r="X671">
        <f>[1]资金台帐!X671&amp;""</f>
      </c>
      <c r="AB671">
        <f>[1]资金台帐!AB671</f>
        <v>0</v>
      </c>
      <c r="AC671">
        <f>[1]资金台帐!AC671</f>
        <v>0</v>
      </c>
      <c r="AD671">
        <f>[1]资金台帐!AD671</f>
        <v>0</v>
      </c>
      <c r="AJ671">
        <f>[1]资金台帐!AJ671</f>
        <v>0</v>
      </c>
      <c r="AK671">
        <f>[1]资金台帐!AK671</f>
        <v>0</v>
      </c>
      <c r="BA671" s="22">
        <f t="shared" si="0"/>
      </c>
      <c r="BG671" s="22">
        <f t="shared" si="1"/>
      </c>
      <c r="BH671" s="22">
        <f t="shared" si="2"/>
        <v>0</v>
      </c>
    </row>
    <row r="672">
      <c r="B672">
        <f>[1]资金台帐!B672&amp;""</f>
      </c>
      <c r="H672">
        <f>[1]资金台帐!H672&amp;""</f>
      </c>
      <c r="J672">
        <f>[1]资金台帐!J672&amp;""</f>
      </c>
      <c r="N672">
        <f>[1]资金台帐!N672</f>
      </c>
      <c r="O672">
        <f>[1]资金台帐!O672&amp;""</f>
      </c>
      <c r="P672">
        <f>[1]资金台帐!P672&amp;""</f>
      </c>
      <c r="Q672">
        <f>[1]资金台帐!Q672&amp;""</f>
      </c>
      <c r="T672">
        <f>[1]资金台帐!T672&amp;""</f>
      </c>
      <c r="U672">
        <f>[1]资金台帐!U672&amp;""</f>
      </c>
      <c r="W672">
        <f>[1]资金台帐!W672&amp;""</f>
      </c>
      <c r="X672">
        <f>[1]资金台帐!X672&amp;""</f>
      </c>
      <c r="AB672">
        <f>[1]资金台帐!AB672</f>
        <v>0</v>
      </c>
      <c r="AC672">
        <f>[1]资金台帐!AC672</f>
        <v>0</v>
      </c>
      <c r="AD672">
        <f>[1]资金台帐!AD672</f>
        <v>0</v>
      </c>
      <c r="AJ672">
        <f>[1]资金台帐!AJ672</f>
        <v>0</v>
      </c>
      <c r="AK672">
        <f>[1]资金台帐!AK672</f>
        <v>0</v>
      </c>
      <c r="BA672" s="22">
        <f t="shared" si="0"/>
      </c>
      <c r="BG672" s="22">
        <f t="shared" si="1"/>
      </c>
      <c r="BH672" s="22">
        <f t="shared" si="2"/>
        <v>0</v>
      </c>
    </row>
    <row r="673">
      <c r="B673">
        <f>[1]资金台帐!B673&amp;""</f>
      </c>
      <c r="H673">
        <f>[1]资金台帐!H673&amp;""</f>
      </c>
      <c r="J673">
        <f>[1]资金台帐!J673&amp;""</f>
      </c>
      <c r="N673">
        <f>[1]资金台帐!N673</f>
      </c>
      <c r="O673">
        <f>[1]资金台帐!O673&amp;""</f>
      </c>
      <c r="P673">
        <f>[1]资金台帐!P673&amp;""</f>
      </c>
      <c r="Q673">
        <f>[1]资金台帐!Q673&amp;""</f>
      </c>
      <c r="T673">
        <f>[1]资金台帐!T673&amp;""</f>
      </c>
      <c r="U673">
        <f>[1]资金台帐!U673&amp;""</f>
      </c>
      <c r="W673">
        <f>[1]资金台帐!W673&amp;""</f>
      </c>
      <c r="X673">
        <f>[1]资金台帐!X673&amp;""</f>
      </c>
      <c r="AB673">
        <f>[1]资金台帐!AB673</f>
        <v>0</v>
      </c>
      <c r="AC673">
        <f>[1]资金台帐!AC673</f>
        <v>0</v>
      </c>
      <c r="AD673">
        <f>[1]资金台帐!AD673</f>
        <v>0</v>
      </c>
      <c r="AJ673">
        <f>[1]资金台帐!AJ673</f>
        <v>0</v>
      </c>
      <c r="AK673">
        <f>[1]资金台帐!AK673</f>
        <v>0</v>
      </c>
      <c r="BA673" s="22">
        <f t="shared" si="0"/>
      </c>
      <c r="BG673" s="22">
        <f t="shared" si="1"/>
      </c>
      <c r="BH673" s="22">
        <f t="shared" si="2"/>
        <v>0</v>
      </c>
    </row>
    <row r="674">
      <c r="B674">
        <f>[1]资金台帐!B674&amp;""</f>
      </c>
      <c r="H674">
        <f>[1]资金台帐!H674&amp;""</f>
      </c>
      <c r="J674">
        <f>[1]资金台帐!J674&amp;""</f>
      </c>
      <c r="N674">
        <f>[1]资金台帐!N674</f>
      </c>
      <c r="O674">
        <f>[1]资金台帐!O674&amp;""</f>
      </c>
      <c r="P674">
        <f>[1]资金台帐!P674&amp;""</f>
      </c>
      <c r="Q674">
        <f>[1]资金台帐!Q674&amp;""</f>
      </c>
      <c r="T674">
        <f>[1]资金台帐!T674&amp;""</f>
      </c>
      <c r="U674">
        <f>[1]资金台帐!U674&amp;""</f>
      </c>
      <c r="W674">
        <f>[1]资金台帐!W674&amp;""</f>
      </c>
      <c r="X674">
        <f>[1]资金台帐!X674&amp;""</f>
      </c>
      <c r="AB674">
        <f>[1]资金台帐!AB674</f>
        <v>0</v>
      </c>
      <c r="AC674">
        <f>[1]资金台帐!AC674</f>
        <v>0</v>
      </c>
      <c r="AD674">
        <f>[1]资金台帐!AD674</f>
        <v>0</v>
      </c>
      <c r="AJ674">
        <f>[1]资金台帐!AJ674</f>
        <v>0</v>
      </c>
      <c r="AK674">
        <f>[1]资金台帐!AK674</f>
        <v>0</v>
      </c>
      <c r="BA674" s="22">
        <f t="shared" si="0"/>
      </c>
      <c r="BG674" s="22">
        <f t="shared" si="1"/>
      </c>
      <c r="BH674" s="22">
        <f t="shared" si="2"/>
        <v>0</v>
      </c>
    </row>
    <row r="675">
      <c r="B675">
        <f>[1]资金台帐!B675&amp;""</f>
      </c>
      <c r="H675">
        <f>[1]资金台帐!H675&amp;""</f>
      </c>
      <c r="J675">
        <f>[1]资金台帐!J675&amp;""</f>
      </c>
      <c r="N675">
        <f>[1]资金台帐!N675</f>
      </c>
      <c r="O675">
        <f>[1]资金台帐!O675&amp;""</f>
      </c>
      <c r="P675">
        <f>[1]资金台帐!P675&amp;""</f>
      </c>
      <c r="Q675">
        <f>[1]资金台帐!Q675&amp;""</f>
      </c>
      <c r="T675">
        <f>[1]资金台帐!T675&amp;""</f>
      </c>
      <c r="U675">
        <f>[1]资金台帐!U675&amp;""</f>
      </c>
      <c r="W675">
        <f>[1]资金台帐!W675&amp;""</f>
      </c>
      <c r="X675">
        <f>[1]资金台帐!X675&amp;""</f>
      </c>
      <c r="AB675">
        <f>[1]资金台帐!AB675</f>
        <v>0</v>
      </c>
      <c r="AC675">
        <f>[1]资金台帐!AC675</f>
        <v>0</v>
      </c>
      <c r="AD675">
        <f>[1]资金台帐!AD675</f>
        <v>0</v>
      </c>
      <c r="AJ675">
        <f>[1]资金台帐!AJ675</f>
        <v>0</v>
      </c>
      <c r="AK675">
        <f>[1]资金台帐!AK675</f>
        <v>0</v>
      </c>
      <c r="BA675" s="22">
        <f t="shared" si="0"/>
      </c>
      <c r="BG675" s="22">
        <f t="shared" si="1"/>
      </c>
      <c r="BH675" s="22">
        <f t="shared" si="2"/>
        <v>0</v>
      </c>
    </row>
    <row r="676">
      <c r="B676">
        <f>[1]资金台帐!B676&amp;""</f>
      </c>
      <c r="H676">
        <f>[1]资金台帐!H676&amp;""</f>
      </c>
      <c r="J676">
        <f>[1]资金台帐!J676&amp;""</f>
      </c>
      <c r="N676">
        <f>[1]资金台帐!N676</f>
      </c>
      <c r="O676">
        <f>[1]资金台帐!O676&amp;""</f>
      </c>
      <c r="P676">
        <f>[1]资金台帐!P676&amp;""</f>
      </c>
      <c r="Q676">
        <f>[1]资金台帐!Q676&amp;""</f>
      </c>
      <c r="T676">
        <f>[1]资金台帐!T676&amp;""</f>
      </c>
      <c r="U676">
        <f>[1]资金台帐!U676&amp;""</f>
      </c>
      <c r="W676">
        <f>[1]资金台帐!W676&amp;""</f>
      </c>
      <c r="X676">
        <f>[1]资金台帐!X676&amp;""</f>
      </c>
      <c r="AB676">
        <f>[1]资金台帐!AB676</f>
        <v>0</v>
      </c>
      <c r="AC676">
        <f>[1]资金台帐!AC676</f>
        <v>0</v>
      </c>
      <c r="AD676">
        <f>[1]资金台帐!AD676</f>
        <v>0</v>
      </c>
      <c r="AJ676">
        <f>[1]资金台帐!AJ676</f>
        <v>0</v>
      </c>
      <c r="AK676">
        <f>[1]资金台帐!AK676</f>
        <v>0</v>
      </c>
      <c r="BA676" s="22">
        <f t="shared" si="0"/>
      </c>
      <c r="BG676" s="22">
        <f t="shared" si="1"/>
      </c>
      <c r="BH676" s="22">
        <f t="shared" si="2"/>
        <v>0</v>
      </c>
    </row>
    <row r="677">
      <c r="B677">
        <f>[1]资金台帐!B677&amp;""</f>
      </c>
      <c r="H677">
        <f>[1]资金台帐!H677&amp;""</f>
      </c>
      <c r="J677">
        <f>[1]资金台帐!J677&amp;""</f>
      </c>
      <c r="N677">
        <f>[1]资金台帐!N677</f>
      </c>
      <c r="O677">
        <f>[1]资金台帐!O677&amp;""</f>
      </c>
      <c r="P677">
        <f>[1]资金台帐!P677&amp;""</f>
      </c>
      <c r="Q677">
        <f>[1]资金台帐!Q677&amp;""</f>
      </c>
      <c r="T677">
        <f>[1]资金台帐!T677&amp;""</f>
      </c>
      <c r="U677">
        <f>[1]资金台帐!U677&amp;""</f>
      </c>
      <c r="W677">
        <f>[1]资金台帐!W677&amp;""</f>
      </c>
      <c r="X677">
        <f>[1]资金台帐!X677&amp;""</f>
      </c>
      <c r="AB677">
        <f>[1]资金台帐!AB677</f>
        <v>0</v>
      </c>
      <c r="AC677">
        <f>[1]资金台帐!AC677</f>
        <v>0</v>
      </c>
      <c r="AD677">
        <f>[1]资金台帐!AD677</f>
        <v>0</v>
      </c>
      <c r="AJ677">
        <f>[1]资金台帐!AJ677</f>
        <v>0</v>
      </c>
      <c r="AK677">
        <f>[1]资金台帐!AK677</f>
        <v>0</v>
      </c>
      <c r="BA677" s="22">
        <f t="shared" si="0"/>
      </c>
      <c r="BG677" s="22">
        <f t="shared" si="1"/>
      </c>
      <c r="BH677" s="22">
        <f t="shared" si="2"/>
        <v>0</v>
      </c>
    </row>
    <row r="678">
      <c r="B678">
        <f>[1]资金台帐!B678&amp;""</f>
      </c>
      <c r="H678">
        <f>[1]资金台帐!H678&amp;""</f>
      </c>
      <c r="J678">
        <f>[1]资金台帐!J678&amp;""</f>
      </c>
      <c r="N678">
        <f>[1]资金台帐!N678</f>
      </c>
      <c r="O678">
        <f>[1]资金台帐!O678&amp;""</f>
      </c>
      <c r="P678">
        <f>[1]资金台帐!P678&amp;""</f>
      </c>
      <c r="Q678">
        <f>[1]资金台帐!Q678&amp;""</f>
      </c>
      <c r="T678">
        <f>[1]资金台帐!T678&amp;""</f>
      </c>
      <c r="U678">
        <f>[1]资金台帐!U678&amp;""</f>
      </c>
      <c r="W678">
        <f>[1]资金台帐!W678&amp;""</f>
      </c>
      <c r="X678">
        <f>[1]资金台帐!X678&amp;""</f>
      </c>
      <c r="AB678">
        <f>[1]资金台帐!AB678</f>
        <v>0</v>
      </c>
      <c r="AC678">
        <f>[1]资金台帐!AC678</f>
        <v>0</v>
      </c>
      <c r="AD678">
        <f>[1]资金台帐!AD678</f>
        <v>0</v>
      </c>
      <c r="AJ678">
        <f>[1]资金台帐!AJ678</f>
        <v>0</v>
      </c>
      <c r="AK678">
        <f>[1]资金台帐!AK678</f>
        <v>0</v>
      </c>
      <c r="BA678" s="22">
        <f t="shared" si="0"/>
      </c>
      <c r="BG678" s="22">
        <f t="shared" si="1"/>
      </c>
      <c r="BH678" s="22">
        <f t="shared" si="2"/>
        <v>0</v>
      </c>
    </row>
    <row r="679">
      <c r="B679">
        <f>[1]资金台帐!B679&amp;""</f>
      </c>
      <c r="H679">
        <f>[1]资金台帐!H679&amp;""</f>
      </c>
      <c r="J679">
        <f>[1]资金台帐!J679&amp;""</f>
      </c>
      <c r="N679">
        <f>[1]资金台帐!N679</f>
      </c>
      <c r="O679">
        <f>[1]资金台帐!O679&amp;""</f>
      </c>
      <c r="P679">
        <f>[1]资金台帐!P679&amp;""</f>
      </c>
      <c r="Q679">
        <f>[1]资金台帐!Q679&amp;""</f>
      </c>
      <c r="T679">
        <f>[1]资金台帐!T679&amp;""</f>
      </c>
      <c r="U679">
        <f>[1]资金台帐!U679&amp;""</f>
      </c>
      <c r="W679">
        <f>[1]资金台帐!W679&amp;""</f>
      </c>
      <c r="X679">
        <f>[1]资金台帐!X679&amp;""</f>
      </c>
      <c r="AB679">
        <f>[1]资金台帐!AB679</f>
        <v>0</v>
      </c>
      <c r="AC679">
        <f>[1]资金台帐!AC679</f>
        <v>0</v>
      </c>
      <c r="AD679">
        <f>[1]资金台帐!AD679</f>
        <v>0</v>
      </c>
      <c r="AJ679">
        <f>[1]资金台帐!AJ679</f>
        <v>0</v>
      </c>
      <c r="AK679">
        <f>[1]资金台帐!AK679</f>
        <v>0</v>
      </c>
      <c r="BA679" s="22">
        <f t="shared" si="0"/>
      </c>
      <c r="BG679" s="22">
        <f t="shared" si="1"/>
      </c>
      <c r="BH679" s="22">
        <f t="shared" si="2"/>
        <v>0</v>
      </c>
    </row>
    <row r="680">
      <c r="B680">
        <f>[1]资金台帐!B680&amp;""</f>
      </c>
      <c r="H680">
        <f>[1]资金台帐!H680&amp;""</f>
      </c>
      <c r="J680">
        <f>[1]资金台帐!J680&amp;""</f>
      </c>
      <c r="N680">
        <f>[1]资金台帐!N680</f>
      </c>
      <c r="O680">
        <f>[1]资金台帐!O680&amp;""</f>
      </c>
      <c r="P680">
        <f>[1]资金台帐!P680&amp;""</f>
      </c>
      <c r="Q680">
        <f>[1]资金台帐!Q680&amp;""</f>
      </c>
      <c r="T680">
        <f>[1]资金台帐!T680&amp;""</f>
      </c>
      <c r="U680">
        <f>[1]资金台帐!U680&amp;""</f>
      </c>
      <c r="W680">
        <f>[1]资金台帐!W680&amp;""</f>
      </c>
      <c r="X680">
        <f>[1]资金台帐!X680&amp;""</f>
      </c>
      <c r="AB680">
        <f>[1]资金台帐!AB680</f>
        <v>0</v>
      </c>
      <c r="AC680">
        <f>[1]资金台帐!AC680</f>
        <v>0</v>
      </c>
      <c r="AD680">
        <f>[1]资金台帐!AD680</f>
        <v>0</v>
      </c>
      <c r="AJ680">
        <f>[1]资金台帐!AJ680</f>
        <v>0</v>
      </c>
      <c r="AK680">
        <f>[1]资金台帐!AK680</f>
        <v>0</v>
      </c>
      <c r="BA680" s="22">
        <f t="shared" si="0"/>
      </c>
      <c r="BG680" s="22">
        <f t="shared" si="1"/>
      </c>
      <c r="BH680" s="22">
        <f t="shared" si="2"/>
        <v>0</v>
      </c>
    </row>
    <row r="681">
      <c r="B681">
        <f>[1]资金台帐!B681&amp;""</f>
      </c>
      <c r="H681">
        <f>[1]资金台帐!H681&amp;""</f>
      </c>
      <c r="J681">
        <f>[1]资金台帐!J681&amp;""</f>
      </c>
      <c r="N681">
        <f>[1]资金台帐!N681</f>
      </c>
      <c r="O681">
        <f>[1]资金台帐!O681&amp;""</f>
      </c>
      <c r="P681">
        <f>[1]资金台帐!P681&amp;""</f>
      </c>
      <c r="Q681">
        <f>[1]资金台帐!Q681&amp;""</f>
      </c>
      <c r="T681">
        <f>[1]资金台帐!T681&amp;""</f>
      </c>
      <c r="U681">
        <f>[1]资金台帐!U681&amp;""</f>
      </c>
      <c r="W681">
        <f>[1]资金台帐!W681&amp;""</f>
      </c>
      <c r="X681">
        <f>[1]资金台帐!X681&amp;""</f>
      </c>
      <c r="AB681">
        <f>[1]资金台帐!AB681</f>
        <v>0</v>
      </c>
      <c r="AC681">
        <f>[1]资金台帐!AC681</f>
        <v>0</v>
      </c>
      <c r="AD681">
        <f>[1]资金台帐!AD681</f>
        <v>0</v>
      </c>
      <c r="AJ681">
        <f>[1]资金台帐!AJ681</f>
        <v>0</v>
      </c>
      <c r="AK681">
        <f>[1]资金台帐!AK681</f>
        <v>0</v>
      </c>
      <c r="BA681" s="22">
        <f t="shared" si="0"/>
      </c>
      <c r="BG681" s="22">
        <f t="shared" si="1"/>
      </c>
      <c r="BH681" s="22">
        <f t="shared" si="2"/>
        <v>0</v>
      </c>
    </row>
    <row r="682">
      <c r="B682">
        <f>[1]资金台帐!B682&amp;""</f>
      </c>
      <c r="H682">
        <f>[1]资金台帐!H682&amp;""</f>
      </c>
      <c r="J682">
        <f>[1]资金台帐!J682&amp;""</f>
      </c>
      <c r="N682">
        <f>[1]资金台帐!N682</f>
      </c>
      <c r="O682">
        <f>[1]资金台帐!O682&amp;""</f>
      </c>
      <c r="P682">
        <f>[1]资金台帐!P682&amp;""</f>
      </c>
      <c r="Q682">
        <f>[1]资金台帐!Q682&amp;""</f>
      </c>
      <c r="T682">
        <f>[1]资金台帐!T682&amp;""</f>
      </c>
      <c r="U682">
        <f>[1]资金台帐!U682&amp;""</f>
      </c>
      <c r="W682">
        <f>[1]资金台帐!W682&amp;""</f>
      </c>
      <c r="X682">
        <f>[1]资金台帐!X682&amp;""</f>
      </c>
      <c r="AB682">
        <f>[1]资金台帐!AB682</f>
        <v>0</v>
      </c>
      <c r="AC682">
        <f>[1]资金台帐!AC682</f>
        <v>0</v>
      </c>
      <c r="AD682">
        <f>[1]资金台帐!AD682</f>
        <v>0</v>
      </c>
      <c r="AJ682">
        <f>[1]资金台帐!AJ682</f>
        <v>0</v>
      </c>
      <c r="AK682">
        <f>[1]资金台帐!AK682</f>
        <v>0</v>
      </c>
      <c r="BA682" s="22">
        <f t="shared" si="0"/>
      </c>
      <c r="BG682" s="22">
        <f t="shared" si="1"/>
      </c>
      <c r="BH682" s="22">
        <f t="shared" si="2"/>
        <v>0</v>
      </c>
    </row>
    <row r="683">
      <c r="B683">
        <f>[1]资金台帐!B683&amp;""</f>
      </c>
      <c r="H683">
        <f>[1]资金台帐!H683&amp;""</f>
      </c>
      <c r="J683">
        <f>[1]资金台帐!J683&amp;""</f>
      </c>
      <c r="N683">
        <f>[1]资金台帐!N683</f>
      </c>
      <c r="O683">
        <f>[1]资金台帐!O683&amp;""</f>
      </c>
      <c r="P683">
        <f>[1]资金台帐!P683&amp;""</f>
      </c>
      <c r="Q683">
        <f>[1]资金台帐!Q683&amp;""</f>
      </c>
      <c r="T683">
        <f>[1]资金台帐!T683&amp;""</f>
      </c>
      <c r="U683">
        <f>[1]资金台帐!U683&amp;""</f>
      </c>
      <c r="W683">
        <f>[1]资金台帐!W683&amp;""</f>
      </c>
      <c r="X683">
        <f>[1]资金台帐!X683&amp;""</f>
      </c>
      <c r="AB683">
        <f>[1]资金台帐!AB683</f>
        <v>0</v>
      </c>
      <c r="AC683">
        <f>[1]资金台帐!AC683</f>
        <v>0</v>
      </c>
      <c r="AD683">
        <f>[1]资金台帐!AD683</f>
        <v>0</v>
      </c>
      <c r="AJ683">
        <f>[1]资金台帐!AJ683</f>
        <v>0</v>
      </c>
      <c r="AK683">
        <f>[1]资金台帐!AK683</f>
        <v>0</v>
      </c>
      <c r="BA683" s="22">
        <f t="shared" si="0"/>
      </c>
      <c r="BG683" s="22">
        <f t="shared" si="1"/>
      </c>
      <c r="BH683" s="22">
        <f t="shared" si="2"/>
        <v>0</v>
      </c>
    </row>
    <row r="684">
      <c r="B684">
        <f>[1]资金台帐!B684&amp;""</f>
      </c>
      <c r="H684">
        <f>[1]资金台帐!H684&amp;""</f>
      </c>
      <c r="J684">
        <f>[1]资金台帐!J684&amp;""</f>
      </c>
      <c r="N684">
        <f>[1]资金台帐!N684</f>
      </c>
      <c r="O684">
        <f>[1]资金台帐!O684&amp;""</f>
      </c>
      <c r="P684">
        <f>[1]资金台帐!P684&amp;""</f>
      </c>
      <c r="Q684">
        <f>[1]资金台帐!Q684&amp;""</f>
      </c>
      <c r="T684">
        <f>[1]资金台帐!T684&amp;""</f>
      </c>
      <c r="U684">
        <f>[1]资金台帐!U684&amp;""</f>
      </c>
      <c r="W684">
        <f>[1]资金台帐!W684&amp;""</f>
      </c>
      <c r="X684">
        <f>[1]资金台帐!X684&amp;""</f>
      </c>
      <c r="AB684">
        <f>[1]资金台帐!AB684</f>
        <v>0</v>
      </c>
      <c r="AC684">
        <f>[1]资金台帐!AC684</f>
        <v>0</v>
      </c>
      <c r="AD684">
        <f>[1]资金台帐!AD684</f>
        <v>0</v>
      </c>
      <c r="AJ684">
        <f>[1]资金台帐!AJ684</f>
        <v>0</v>
      </c>
      <c r="AK684">
        <f>[1]资金台帐!AK684</f>
        <v>0</v>
      </c>
      <c r="BA684" s="22">
        <f t="shared" si="0"/>
      </c>
      <c r="BG684" s="22">
        <f t="shared" si="1"/>
      </c>
      <c r="BH684" s="22">
        <f t="shared" si="2"/>
        <v>0</v>
      </c>
    </row>
    <row r="685">
      <c r="B685">
        <f>[1]资金台帐!B685&amp;""</f>
      </c>
      <c r="H685">
        <f>[1]资金台帐!H685&amp;""</f>
      </c>
      <c r="J685">
        <f>[1]资金台帐!J685&amp;""</f>
      </c>
      <c r="N685">
        <f>[1]资金台帐!N685</f>
      </c>
      <c r="O685">
        <f>[1]资金台帐!O685&amp;""</f>
      </c>
      <c r="P685">
        <f>[1]资金台帐!P685&amp;""</f>
      </c>
      <c r="Q685">
        <f>[1]资金台帐!Q685&amp;""</f>
      </c>
      <c r="T685">
        <f>[1]资金台帐!T685&amp;""</f>
      </c>
      <c r="U685">
        <f>[1]资金台帐!U685&amp;""</f>
      </c>
      <c r="W685">
        <f>[1]资金台帐!W685&amp;""</f>
      </c>
      <c r="X685">
        <f>[1]资金台帐!X685&amp;""</f>
      </c>
      <c r="AB685">
        <f>[1]资金台帐!AB685</f>
        <v>0</v>
      </c>
      <c r="AC685">
        <f>[1]资金台帐!AC685</f>
        <v>0</v>
      </c>
      <c r="AD685">
        <f>[1]资金台帐!AD685</f>
        <v>0</v>
      </c>
      <c r="AJ685">
        <f>[1]资金台帐!AJ685</f>
        <v>0</v>
      </c>
      <c r="AK685">
        <f>[1]资金台帐!AK685</f>
        <v>0</v>
      </c>
      <c r="BA685" s="22">
        <f t="shared" si="0"/>
      </c>
      <c r="BG685" s="22">
        <f t="shared" si="1"/>
      </c>
      <c r="BH685" s="22">
        <f t="shared" si="2"/>
        <v>0</v>
      </c>
    </row>
    <row r="686">
      <c r="B686">
        <f>[1]资金台帐!B686&amp;""</f>
      </c>
      <c r="H686">
        <f>[1]资金台帐!H686&amp;""</f>
      </c>
      <c r="J686">
        <f>[1]资金台帐!J686&amp;""</f>
      </c>
      <c r="N686">
        <f>[1]资金台帐!N686</f>
      </c>
      <c r="O686">
        <f>[1]资金台帐!O686&amp;""</f>
      </c>
      <c r="P686">
        <f>[1]资金台帐!P686&amp;""</f>
      </c>
      <c r="Q686">
        <f>[1]资金台帐!Q686&amp;""</f>
      </c>
      <c r="T686">
        <f>[1]资金台帐!T686&amp;""</f>
      </c>
      <c r="U686">
        <f>[1]资金台帐!U686&amp;""</f>
      </c>
      <c r="W686">
        <f>[1]资金台帐!W686&amp;""</f>
      </c>
      <c r="X686">
        <f>[1]资金台帐!X686&amp;""</f>
      </c>
      <c r="AB686">
        <f>[1]资金台帐!AB686</f>
        <v>0</v>
      </c>
      <c r="AC686">
        <f>[1]资金台帐!AC686</f>
        <v>0</v>
      </c>
      <c r="AD686">
        <f>[1]资金台帐!AD686</f>
        <v>0</v>
      </c>
      <c r="AJ686">
        <f>[1]资金台帐!AJ686</f>
        <v>0</v>
      </c>
      <c r="AK686">
        <f>[1]资金台帐!AK686</f>
        <v>0</v>
      </c>
      <c r="BA686" s="22">
        <f t="shared" si="0"/>
      </c>
      <c r="BG686" s="22">
        <f t="shared" si="1"/>
      </c>
      <c r="BH686" s="22">
        <f t="shared" si="2"/>
        <v>0</v>
      </c>
    </row>
    <row r="687">
      <c r="B687">
        <f>[1]资金台帐!B687&amp;""</f>
      </c>
      <c r="H687">
        <f>[1]资金台帐!H687&amp;""</f>
      </c>
      <c r="J687">
        <f>[1]资金台帐!J687&amp;""</f>
      </c>
      <c r="N687">
        <f>[1]资金台帐!N687</f>
      </c>
      <c r="O687">
        <f>[1]资金台帐!O687&amp;""</f>
      </c>
      <c r="P687">
        <f>[1]资金台帐!P687&amp;""</f>
      </c>
      <c r="Q687">
        <f>[1]资金台帐!Q687&amp;""</f>
      </c>
      <c r="T687">
        <f>[1]资金台帐!T687&amp;""</f>
      </c>
      <c r="U687">
        <f>[1]资金台帐!U687&amp;""</f>
      </c>
      <c r="W687">
        <f>[1]资金台帐!W687&amp;""</f>
      </c>
      <c r="X687">
        <f>[1]资金台帐!X687&amp;""</f>
      </c>
      <c r="AB687">
        <f>[1]资金台帐!AB687</f>
        <v>0</v>
      </c>
      <c r="AC687">
        <f>[1]资金台帐!AC687</f>
        <v>0</v>
      </c>
      <c r="AD687">
        <f>[1]资金台帐!AD687</f>
        <v>0</v>
      </c>
      <c r="AJ687">
        <f>[1]资金台帐!AJ687</f>
        <v>0</v>
      </c>
      <c r="AK687">
        <f>[1]资金台帐!AK687</f>
        <v>0</v>
      </c>
      <c r="BA687" s="22">
        <f t="shared" si="0"/>
      </c>
      <c r="BG687" s="22">
        <f t="shared" si="1"/>
      </c>
      <c r="BH687" s="22">
        <f t="shared" si="2"/>
        <v>0</v>
      </c>
    </row>
    <row r="688">
      <c r="B688">
        <f>[1]资金台帐!B688&amp;""</f>
      </c>
      <c r="H688">
        <f>[1]资金台帐!H688&amp;""</f>
      </c>
      <c r="J688">
        <f>[1]资金台帐!J688&amp;""</f>
      </c>
      <c r="N688">
        <f>[1]资金台帐!N688</f>
      </c>
      <c r="O688">
        <f>[1]资金台帐!O688&amp;""</f>
      </c>
      <c r="P688">
        <f>[1]资金台帐!P688&amp;""</f>
      </c>
      <c r="Q688">
        <f>[1]资金台帐!Q688&amp;""</f>
      </c>
      <c r="T688">
        <f>[1]资金台帐!T688&amp;""</f>
      </c>
      <c r="U688">
        <f>[1]资金台帐!U688&amp;""</f>
      </c>
      <c r="W688">
        <f>[1]资金台帐!W688&amp;""</f>
      </c>
      <c r="X688">
        <f>[1]资金台帐!X688&amp;""</f>
      </c>
      <c r="AB688">
        <f>[1]资金台帐!AB688</f>
        <v>0</v>
      </c>
      <c r="AC688">
        <f>[1]资金台帐!AC688</f>
        <v>0</v>
      </c>
      <c r="AD688">
        <f>[1]资金台帐!AD688</f>
        <v>0</v>
      </c>
      <c r="AJ688">
        <f>[1]资金台帐!AJ688</f>
        <v>0</v>
      </c>
      <c r="AK688">
        <f>[1]资金台帐!AK688</f>
        <v>0</v>
      </c>
      <c r="BA688" s="22">
        <f t="shared" si="0"/>
      </c>
      <c r="BG688" s="22">
        <f t="shared" si="1"/>
      </c>
      <c r="BH688" s="22">
        <f t="shared" si="2"/>
        <v>0</v>
      </c>
    </row>
    <row r="689">
      <c r="B689">
        <f>[1]资金台帐!B689&amp;""</f>
      </c>
      <c r="H689">
        <f>[1]资金台帐!H689&amp;""</f>
      </c>
      <c r="J689">
        <f>[1]资金台帐!J689&amp;""</f>
      </c>
      <c r="N689">
        <f>[1]资金台帐!N689</f>
      </c>
      <c r="O689">
        <f>[1]资金台帐!O689&amp;""</f>
      </c>
      <c r="P689">
        <f>[1]资金台帐!P689&amp;""</f>
      </c>
      <c r="Q689">
        <f>[1]资金台帐!Q689&amp;""</f>
      </c>
      <c r="T689">
        <f>[1]资金台帐!T689&amp;""</f>
      </c>
      <c r="U689">
        <f>[1]资金台帐!U689&amp;""</f>
      </c>
      <c r="W689">
        <f>[1]资金台帐!W689&amp;""</f>
      </c>
      <c r="X689">
        <f>[1]资金台帐!X689&amp;""</f>
      </c>
      <c r="AB689">
        <f>[1]资金台帐!AB689</f>
        <v>0</v>
      </c>
      <c r="AC689">
        <f>[1]资金台帐!AC689</f>
        <v>0</v>
      </c>
      <c r="AD689">
        <f>[1]资金台帐!AD689</f>
        <v>0</v>
      </c>
      <c r="AJ689">
        <f>[1]资金台帐!AJ689</f>
        <v>0</v>
      </c>
      <c r="AK689">
        <f>[1]资金台帐!AK689</f>
        <v>0</v>
      </c>
      <c r="BA689" s="22">
        <f t="shared" si="0"/>
      </c>
      <c r="BG689" s="22">
        <f t="shared" si="1"/>
      </c>
      <c r="BH689" s="22">
        <f t="shared" si="2"/>
        <v>0</v>
      </c>
    </row>
    <row r="690">
      <c r="B690">
        <f>[1]资金台帐!B690&amp;""</f>
      </c>
      <c r="H690">
        <f>[1]资金台帐!H690&amp;""</f>
      </c>
      <c r="J690">
        <f>[1]资金台帐!J690&amp;""</f>
      </c>
      <c r="N690">
        <f>[1]资金台帐!N690</f>
      </c>
      <c r="O690">
        <f>[1]资金台帐!O690&amp;""</f>
      </c>
      <c r="P690">
        <f>[1]资金台帐!P690&amp;""</f>
      </c>
      <c r="Q690">
        <f>[1]资金台帐!Q690&amp;""</f>
      </c>
      <c r="T690">
        <f>[1]资金台帐!T690&amp;""</f>
      </c>
      <c r="U690">
        <f>[1]资金台帐!U690&amp;""</f>
      </c>
      <c r="W690">
        <f>[1]资金台帐!W690&amp;""</f>
      </c>
      <c r="X690">
        <f>[1]资金台帐!X690&amp;""</f>
      </c>
      <c r="AB690">
        <f>[1]资金台帐!AB690</f>
        <v>0</v>
      </c>
      <c r="AC690">
        <f>[1]资金台帐!AC690</f>
        <v>0</v>
      </c>
      <c r="AD690">
        <f>[1]资金台帐!AD690</f>
        <v>0</v>
      </c>
      <c r="AJ690">
        <f>[1]资金台帐!AJ690</f>
        <v>0</v>
      </c>
      <c r="AK690">
        <f>[1]资金台帐!AK690</f>
        <v>0</v>
      </c>
      <c r="BA690" s="22">
        <f t="shared" si="0"/>
      </c>
      <c r="BG690" s="22">
        <f t="shared" si="1"/>
      </c>
      <c r="BH690" s="22">
        <f t="shared" si="2"/>
        <v>0</v>
      </c>
    </row>
    <row r="691">
      <c r="B691">
        <f>[1]资金台帐!B691&amp;""</f>
      </c>
      <c r="H691">
        <f>[1]资金台帐!H691&amp;""</f>
      </c>
      <c r="J691">
        <f>[1]资金台帐!J691&amp;""</f>
      </c>
      <c r="N691">
        <f>[1]资金台帐!N691</f>
      </c>
      <c r="O691">
        <f>[1]资金台帐!O691&amp;""</f>
      </c>
      <c r="P691">
        <f>[1]资金台帐!P691&amp;""</f>
      </c>
      <c r="Q691">
        <f>[1]资金台帐!Q691&amp;""</f>
      </c>
      <c r="T691">
        <f>[1]资金台帐!T691&amp;""</f>
      </c>
      <c r="U691">
        <f>[1]资金台帐!U691&amp;""</f>
      </c>
      <c r="W691">
        <f>[1]资金台帐!W691&amp;""</f>
      </c>
      <c r="X691">
        <f>[1]资金台帐!X691&amp;""</f>
      </c>
      <c r="AB691">
        <f>[1]资金台帐!AB691</f>
        <v>0</v>
      </c>
      <c r="AC691">
        <f>[1]资金台帐!AC691</f>
        <v>0</v>
      </c>
      <c r="AD691">
        <f>[1]资金台帐!AD691</f>
        <v>0</v>
      </c>
      <c r="AJ691">
        <f>[1]资金台帐!AJ691</f>
        <v>0</v>
      </c>
      <c r="AK691">
        <f>[1]资金台帐!AK691</f>
        <v>0</v>
      </c>
      <c r="BA691" s="22">
        <f t="shared" si="0"/>
      </c>
      <c r="BG691" s="22">
        <f t="shared" si="1"/>
      </c>
      <c r="BH691" s="22">
        <f t="shared" si="2"/>
        <v>0</v>
      </c>
    </row>
    <row r="692">
      <c r="B692">
        <f>[1]资金台帐!B692&amp;""</f>
      </c>
      <c r="H692">
        <f>[1]资金台帐!H692&amp;""</f>
      </c>
      <c r="J692">
        <f>[1]资金台帐!J692&amp;""</f>
      </c>
      <c r="N692">
        <f>[1]资金台帐!N692</f>
      </c>
      <c r="O692">
        <f>[1]资金台帐!O692&amp;""</f>
      </c>
      <c r="P692">
        <f>[1]资金台帐!P692&amp;""</f>
      </c>
      <c r="Q692">
        <f>[1]资金台帐!Q692&amp;""</f>
      </c>
      <c r="T692">
        <f>[1]资金台帐!T692&amp;""</f>
      </c>
      <c r="U692">
        <f>[1]资金台帐!U692&amp;""</f>
      </c>
      <c r="W692">
        <f>[1]资金台帐!W692&amp;""</f>
      </c>
      <c r="X692">
        <f>[1]资金台帐!X692&amp;""</f>
      </c>
      <c r="AB692">
        <f>[1]资金台帐!AB692</f>
        <v>0</v>
      </c>
      <c r="AC692">
        <f>[1]资金台帐!AC692</f>
        <v>0</v>
      </c>
      <c r="AD692">
        <f>[1]资金台帐!AD692</f>
        <v>0</v>
      </c>
      <c r="AJ692">
        <f>[1]资金台帐!AJ692</f>
        <v>0</v>
      </c>
      <c r="AK692">
        <f>[1]资金台帐!AK692</f>
        <v>0</v>
      </c>
      <c r="BA692" s="22">
        <f t="shared" si="0"/>
      </c>
      <c r="BG692" s="22">
        <f t="shared" si="1"/>
      </c>
      <c r="BH692" s="22">
        <f t="shared" si="2"/>
        <v>0</v>
      </c>
    </row>
    <row r="693">
      <c r="B693">
        <f>[1]资金台帐!B693&amp;""</f>
      </c>
      <c r="H693">
        <f>[1]资金台帐!H693&amp;""</f>
      </c>
      <c r="J693">
        <f>[1]资金台帐!J693&amp;""</f>
      </c>
      <c r="N693">
        <f>[1]资金台帐!N693</f>
      </c>
      <c r="O693">
        <f>[1]资金台帐!O693&amp;""</f>
      </c>
      <c r="P693">
        <f>[1]资金台帐!P693&amp;""</f>
      </c>
      <c r="Q693">
        <f>[1]资金台帐!Q693&amp;""</f>
      </c>
      <c r="T693">
        <f>[1]资金台帐!T693&amp;""</f>
      </c>
      <c r="U693">
        <f>[1]资金台帐!U693&amp;""</f>
      </c>
      <c r="W693">
        <f>[1]资金台帐!W693&amp;""</f>
      </c>
      <c r="X693">
        <f>[1]资金台帐!X693&amp;""</f>
      </c>
      <c r="AB693">
        <f>[1]资金台帐!AB693</f>
        <v>0</v>
      </c>
      <c r="AC693">
        <f>[1]资金台帐!AC693</f>
        <v>0</v>
      </c>
      <c r="AD693">
        <f>[1]资金台帐!AD693</f>
        <v>0</v>
      </c>
      <c r="AJ693">
        <f>[1]资金台帐!AJ693</f>
        <v>0</v>
      </c>
      <c r="AK693">
        <f>[1]资金台帐!AK693</f>
        <v>0</v>
      </c>
      <c r="BA693" s="22">
        <f t="shared" si="0"/>
      </c>
      <c r="BG693" s="22">
        <f t="shared" si="1"/>
      </c>
      <c r="BH693" s="22">
        <f t="shared" si="2"/>
        <v>0</v>
      </c>
    </row>
    <row r="694">
      <c r="B694">
        <f>[1]资金台帐!B694&amp;""</f>
      </c>
      <c r="H694">
        <f>[1]资金台帐!H694&amp;""</f>
      </c>
      <c r="J694">
        <f>[1]资金台帐!J694&amp;""</f>
      </c>
      <c r="N694">
        <f>[1]资金台帐!N694</f>
      </c>
      <c r="O694">
        <f>[1]资金台帐!O694&amp;""</f>
      </c>
      <c r="P694">
        <f>[1]资金台帐!P694&amp;""</f>
      </c>
      <c r="Q694">
        <f>[1]资金台帐!Q694&amp;""</f>
      </c>
      <c r="T694">
        <f>[1]资金台帐!T694&amp;""</f>
      </c>
      <c r="U694">
        <f>[1]资金台帐!U694&amp;""</f>
      </c>
      <c r="W694">
        <f>[1]资金台帐!W694&amp;""</f>
      </c>
      <c r="X694">
        <f>[1]资金台帐!X694&amp;""</f>
      </c>
      <c r="AB694">
        <f>[1]资金台帐!AB694</f>
        <v>0</v>
      </c>
      <c r="AC694">
        <f>[1]资金台帐!AC694</f>
        <v>0</v>
      </c>
      <c r="AD694">
        <f>[1]资金台帐!AD694</f>
        <v>0</v>
      </c>
      <c r="AJ694">
        <f>[1]资金台帐!AJ694</f>
        <v>0</v>
      </c>
      <c r="AK694">
        <f>[1]资金台帐!AK694</f>
        <v>0</v>
      </c>
      <c r="BA694" s="22">
        <f t="shared" si="0"/>
      </c>
      <c r="BG694" s="22">
        <f t="shared" si="1"/>
      </c>
      <c r="BH694" s="22">
        <f t="shared" si="2"/>
        <v>0</v>
      </c>
    </row>
    <row r="695">
      <c r="B695">
        <f>[1]资金台帐!B695&amp;""</f>
      </c>
      <c r="H695">
        <f>[1]资金台帐!H695&amp;""</f>
      </c>
      <c r="J695">
        <f>[1]资金台帐!J695&amp;""</f>
      </c>
      <c r="N695">
        <f>[1]资金台帐!N695</f>
      </c>
      <c r="O695">
        <f>[1]资金台帐!O695&amp;""</f>
      </c>
      <c r="P695">
        <f>[1]资金台帐!P695&amp;""</f>
      </c>
      <c r="Q695">
        <f>[1]资金台帐!Q695&amp;""</f>
      </c>
      <c r="T695">
        <f>[1]资金台帐!T695&amp;""</f>
      </c>
      <c r="U695">
        <f>[1]资金台帐!U695&amp;""</f>
      </c>
      <c r="W695">
        <f>[1]资金台帐!W695&amp;""</f>
      </c>
      <c r="X695">
        <f>[1]资金台帐!X695&amp;""</f>
      </c>
      <c r="AB695">
        <f>[1]资金台帐!AB695</f>
        <v>0</v>
      </c>
      <c r="AC695">
        <f>[1]资金台帐!AC695</f>
        <v>0</v>
      </c>
      <c r="AD695">
        <f>[1]资金台帐!AD695</f>
        <v>0</v>
      </c>
      <c r="AJ695">
        <f>[1]资金台帐!AJ695</f>
        <v>0</v>
      </c>
      <c r="AK695">
        <f>[1]资金台帐!AK695</f>
        <v>0</v>
      </c>
      <c r="BA695" s="22">
        <f t="shared" si="0"/>
      </c>
      <c r="BG695" s="22">
        <f t="shared" si="1"/>
      </c>
      <c r="BH695" s="22">
        <f t="shared" si="2"/>
        <v>0</v>
      </c>
    </row>
    <row r="696">
      <c r="B696">
        <f>[1]资金台帐!B696&amp;""</f>
      </c>
      <c r="H696">
        <f>[1]资金台帐!H696&amp;""</f>
      </c>
      <c r="J696">
        <f>[1]资金台帐!J696&amp;""</f>
      </c>
      <c r="N696">
        <f>[1]资金台帐!N696</f>
      </c>
      <c r="O696">
        <f>[1]资金台帐!O696&amp;""</f>
      </c>
      <c r="P696">
        <f>[1]资金台帐!P696&amp;""</f>
      </c>
      <c r="Q696">
        <f>[1]资金台帐!Q696&amp;""</f>
      </c>
      <c r="T696">
        <f>[1]资金台帐!T696&amp;""</f>
      </c>
      <c r="U696">
        <f>[1]资金台帐!U696&amp;""</f>
      </c>
      <c r="W696">
        <f>[1]资金台帐!W696&amp;""</f>
      </c>
      <c r="X696">
        <f>[1]资金台帐!X696&amp;""</f>
      </c>
      <c r="AB696">
        <f>[1]资金台帐!AB696</f>
        <v>0</v>
      </c>
      <c r="AC696">
        <f>[1]资金台帐!AC696</f>
        <v>0</v>
      </c>
      <c r="AD696">
        <f>[1]资金台帐!AD696</f>
        <v>0</v>
      </c>
      <c r="AJ696">
        <f>[1]资金台帐!AJ696</f>
        <v>0</v>
      </c>
      <c r="AK696">
        <f>[1]资金台帐!AK696</f>
        <v>0</v>
      </c>
      <c r="BA696" s="22">
        <f t="shared" si="0"/>
      </c>
      <c r="BG696" s="22">
        <f t="shared" si="1"/>
      </c>
      <c r="BH696" s="22">
        <f t="shared" si="2"/>
        <v>0</v>
      </c>
    </row>
    <row r="697">
      <c r="B697">
        <f>[1]资金台帐!B697&amp;""</f>
      </c>
      <c r="H697">
        <f>[1]资金台帐!H697&amp;""</f>
      </c>
      <c r="J697">
        <f>[1]资金台帐!J697&amp;""</f>
      </c>
      <c r="N697">
        <f>[1]资金台帐!N697</f>
      </c>
      <c r="O697">
        <f>[1]资金台帐!O697&amp;""</f>
      </c>
      <c r="P697">
        <f>[1]资金台帐!P697&amp;""</f>
      </c>
      <c r="Q697">
        <f>[1]资金台帐!Q697&amp;""</f>
      </c>
      <c r="T697">
        <f>[1]资金台帐!T697&amp;""</f>
      </c>
      <c r="U697">
        <f>[1]资金台帐!U697&amp;""</f>
      </c>
      <c r="W697">
        <f>[1]资金台帐!W697&amp;""</f>
      </c>
      <c r="X697">
        <f>[1]资金台帐!X697&amp;""</f>
      </c>
      <c r="AB697">
        <f>[1]资金台帐!AB697</f>
        <v>0</v>
      </c>
      <c r="AC697">
        <f>[1]资金台帐!AC697</f>
        <v>0</v>
      </c>
      <c r="AD697">
        <f>[1]资金台帐!AD697</f>
        <v>0</v>
      </c>
      <c r="AJ697">
        <f>[1]资金台帐!AJ697</f>
        <v>0</v>
      </c>
      <c r="AK697">
        <f>[1]资金台帐!AK697</f>
        <v>0</v>
      </c>
      <c r="BA697" s="22">
        <f t="shared" si="0"/>
      </c>
      <c r="BG697" s="22">
        <f t="shared" si="1"/>
      </c>
      <c r="BH697" s="22">
        <f t="shared" si="2"/>
        <v>0</v>
      </c>
    </row>
    <row r="698">
      <c r="B698">
        <f>[1]资金台帐!B698&amp;""</f>
      </c>
      <c r="H698">
        <f>[1]资金台帐!H698&amp;""</f>
      </c>
      <c r="J698">
        <f>[1]资金台帐!J698&amp;""</f>
      </c>
      <c r="N698">
        <f>[1]资金台帐!N698</f>
      </c>
      <c r="O698">
        <f>[1]资金台帐!O698&amp;""</f>
      </c>
      <c r="P698">
        <f>[1]资金台帐!P698&amp;""</f>
      </c>
      <c r="Q698">
        <f>[1]资金台帐!Q698&amp;""</f>
      </c>
      <c r="T698">
        <f>[1]资金台帐!T698&amp;""</f>
      </c>
      <c r="U698">
        <f>[1]资金台帐!U698&amp;""</f>
      </c>
      <c r="W698">
        <f>[1]资金台帐!W698&amp;""</f>
      </c>
      <c r="X698">
        <f>[1]资金台帐!X698&amp;""</f>
      </c>
      <c r="AB698">
        <f>[1]资金台帐!AB698</f>
        <v>0</v>
      </c>
      <c r="AC698">
        <f>[1]资金台帐!AC698</f>
        <v>0</v>
      </c>
      <c r="AD698">
        <f>[1]资金台帐!AD698</f>
        <v>0</v>
      </c>
      <c r="AJ698">
        <f>[1]资金台帐!AJ698</f>
        <v>0</v>
      </c>
      <c r="AK698">
        <f>[1]资金台帐!AK698</f>
        <v>0</v>
      </c>
      <c r="BA698" s="22">
        <f t="shared" si="0"/>
      </c>
      <c r="BG698" s="22">
        <f t="shared" si="1"/>
      </c>
      <c r="BH698" s="22">
        <f t="shared" si="2"/>
        <v>0</v>
      </c>
    </row>
    <row r="699">
      <c r="B699">
        <f>[1]资金台帐!B699&amp;""</f>
      </c>
      <c r="H699">
        <f>[1]资金台帐!H699&amp;""</f>
      </c>
      <c r="J699">
        <f>[1]资金台帐!J699&amp;""</f>
      </c>
      <c r="N699">
        <f>[1]资金台帐!N699</f>
      </c>
      <c r="O699">
        <f>[1]资金台帐!O699&amp;""</f>
      </c>
      <c r="P699">
        <f>[1]资金台帐!P699&amp;""</f>
      </c>
      <c r="Q699">
        <f>[1]资金台帐!Q699&amp;""</f>
      </c>
      <c r="T699">
        <f>[1]资金台帐!T699&amp;""</f>
      </c>
      <c r="U699">
        <f>[1]资金台帐!U699&amp;""</f>
      </c>
      <c r="W699">
        <f>[1]资金台帐!W699&amp;""</f>
      </c>
      <c r="X699">
        <f>[1]资金台帐!X699&amp;""</f>
      </c>
      <c r="AB699">
        <f>[1]资金台帐!AB699</f>
        <v>0</v>
      </c>
      <c r="AC699">
        <f>[1]资金台帐!AC699</f>
        <v>0</v>
      </c>
      <c r="AD699">
        <f>[1]资金台帐!AD699</f>
        <v>0</v>
      </c>
      <c r="AJ699">
        <f>[1]资金台帐!AJ699</f>
        <v>0</v>
      </c>
      <c r="AK699">
        <f>[1]资金台帐!AK699</f>
        <v>0</v>
      </c>
      <c r="BA699" s="22">
        <f t="shared" si="0"/>
      </c>
      <c r="BG699" s="22">
        <f t="shared" si="1"/>
      </c>
      <c r="BH699" s="22">
        <f t="shared" si="2"/>
        <v>0</v>
      </c>
    </row>
    <row r="700">
      <c r="B700">
        <f>[1]资金台帐!B700&amp;""</f>
      </c>
      <c r="H700">
        <f>[1]资金台帐!H700&amp;""</f>
      </c>
      <c r="J700">
        <f>[1]资金台帐!J700&amp;""</f>
      </c>
      <c r="N700">
        <f>[1]资金台帐!N700</f>
      </c>
      <c r="O700">
        <f>[1]资金台帐!O700&amp;""</f>
      </c>
      <c r="P700">
        <f>[1]资金台帐!P700&amp;""</f>
      </c>
      <c r="Q700">
        <f>[1]资金台帐!Q700&amp;""</f>
      </c>
      <c r="T700">
        <f>[1]资金台帐!T700&amp;""</f>
      </c>
      <c r="U700">
        <f>[1]资金台帐!U700&amp;""</f>
      </c>
      <c r="W700">
        <f>[1]资金台帐!W700&amp;""</f>
      </c>
      <c r="X700">
        <f>[1]资金台帐!X700&amp;""</f>
      </c>
      <c r="AB700">
        <f>[1]资金台帐!AB700</f>
        <v>0</v>
      </c>
      <c r="AC700">
        <f>[1]资金台帐!AC700</f>
        <v>0</v>
      </c>
      <c r="AD700">
        <f>[1]资金台帐!AD700</f>
        <v>0</v>
      </c>
      <c r="AJ700">
        <f>[1]资金台帐!AJ700</f>
        <v>0</v>
      </c>
      <c r="AK700">
        <f>[1]资金台帐!AK700</f>
        <v>0</v>
      </c>
      <c r="BA700" s="22">
        <f t="shared" si="0"/>
      </c>
      <c r="BG700" s="22">
        <f t="shared" si="1"/>
      </c>
      <c r="BH700" s="22">
        <f t="shared" si="2"/>
        <v>0</v>
      </c>
    </row>
    <row r="701">
      <c r="B701">
        <f>[1]资金台帐!B701&amp;""</f>
      </c>
      <c r="H701">
        <f>[1]资金台帐!H701&amp;""</f>
      </c>
      <c r="J701">
        <f>[1]资金台帐!J701&amp;""</f>
      </c>
      <c r="N701">
        <f>[1]资金台帐!N701</f>
      </c>
      <c r="O701">
        <f>[1]资金台帐!O701&amp;""</f>
      </c>
      <c r="P701">
        <f>[1]资金台帐!P701&amp;""</f>
      </c>
      <c r="Q701">
        <f>[1]资金台帐!Q701&amp;""</f>
      </c>
      <c r="T701">
        <f>[1]资金台帐!T701&amp;""</f>
      </c>
      <c r="U701">
        <f>[1]资金台帐!U701&amp;""</f>
      </c>
      <c r="W701">
        <f>[1]资金台帐!W701&amp;""</f>
      </c>
      <c r="X701">
        <f>[1]资金台帐!X701&amp;""</f>
      </c>
      <c r="AB701">
        <f>[1]资金台帐!AB701</f>
        <v>0</v>
      </c>
      <c r="AC701">
        <f>[1]资金台帐!AC701</f>
        <v>0</v>
      </c>
      <c r="AD701">
        <f>[1]资金台帐!AD701</f>
        <v>0</v>
      </c>
      <c r="AJ701">
        <f>[1]资金台帐!AJ701</f>
        <v>0</v>
      </c>
      <c r="AK701">
        <f>[1]资金台帐!AK701</f>
        <v>0</v>
      </c>
      <c r="BA701" s="22">
        <f t="shared" si="0"/>
      </c>
      <c r="BG701" s="22">
        <f t="shared" si="1"/>
      </c>
      <c r="BH701" s="22">
        <f t="shared" si="2"/>
        <v>0</v>
      </c>
    </row>
    <row r="702">
      <c r="B702">
        <f>[1]资金台帐!B702&amp;""</f>
      </c>
      <c r="H702">
        <f>[1]资金台帐!H702&amp;""</f>
      </c>
      <c r="J702">
        <f>[1]资金台帐!J702&amp;""</f>
      </c>
      <c r="N702">
        <f>[1]资金台帐!N702</f>
      </c>
      <c r="O702">
        <f>[1]资金台帐!O702&amp;""</f>
      </c>
      <c r="P702">
        <f>[1]资金台帐!P702&amp;""</f>
      </c>
      <c r="Q702">
        <f>[1]资金台帐!Q702&amp;""</f>
      </c>
      <c r="T702">
        <f>[1]资金台帐!T702&amp;""</f>
      </c>
      <c r="U702">
        <f>[1]资金台帐!U702&amp;""</f>
      </c>
      <c r="W702">
        <f>[1]资金台帐!W702&amp;""</f>
      </c>
      <c r="X702">
        <f>[1]资金台帐!X702&amp;""</f>
      </c>
      <c r="AB702">
        <f>[1]资金台帐!AB702</f>
        <v>0</v>
      </c>
      <c r="AC702">
        <f>[1]资金台帐!AC702</f>
        <v>0</v>
      </c>
      <c r="AD702">
        <f>[1]资金台帐!AD702</f>
        <v>0</v>
      </c>
      <c r="AJ702">
        <f>[1]资金台帐!AJ702</f>
        <v>0</v>
      </c>
      <c r="AK702">
        <f>[1]资金台帐!AK702</f>
        <v>0</v>
      </c>
      <c r="BA702" s="22">
        <f t="shared" si="0"/>
      </c>
      <c r="BG702" s="22">
        <f t="shared" si="1"/>
      </c>
      <c r="BH702" s="22">
        <f t="shared" si="2"/>
        <v>0</v>
      </c>
    </row>
    <row r="703">
      <c r="B703">
        <f>[1]资金台帐!B703&amp;""</f>
      </c>
      <c r="H703">
        <f>[1]资金台帐!H703&amp;""</f>
      </c>
      <c r="J703">
        <f>[1]资金台帐!J703&amp;""</f>
      </c>
      <c r="N703">
        <f>[1]资金台帐!N703</f>
      </c>
      <c r="O703">
        <f>[1]资金台帐!O703&amp;""</f>
      </c>
      <c r="P703">
        <f>[1]资金台帐!P703&amp;""</f>
      </c>
      <c r="Q703">
        <f>[1]资金台帐!Q703&amp;""</f>
      </c>
      <c r="T703">
        <f>[1]资金台帐!T703&amp;""</f>
      </c>
      <c r="U703">
        <f>[1]资金台帐!U703&amp;""</f>
      </c>
      <c r="W703">
        <f>[1]资金台帐!W703&amp;""</f>
      </c>
      <c r="X703">
        <f>[1]资金台帐!X703&amp;""</f>
      </c>
      <c r="AB703">
        <f>[1]资金台帐!AB703</f>
        <v>0</v>
      </c>
      <c r="AC703">
        <f>[1]资金台帐!AC703</f>
        <v>0</v>
      </c>
      <c r="AD703">
        <f>[1]资金台帐!AD703</f>
        <v>0</v>
      </c>
      <c r="AJ703">
        <f>[1]资金台帐!AJ703</f>
        <v>0</v>
      </c>
      <c r="AK703">
        <f>[1]资金台帐!AK703</f>
        <v>0</v>
      </c>
      <c r="BA703" s="22">
        <f t="shared" si="0"/>
      </c>
      <c r="BG703" s="22">
        <f t="shared" si="1"/>
      </c>
      <c r="BH703" s="22">
        <f t="shared" si="2"/>
        <v>0</v>
      </c>
    </row>
    <row r="704">
      <c r="B704">
        <f>[1]资金台帐!B704&amp;""</f>
      </c>
      <c r="H704">
        <f>[1]资金台帐!H704&amp;""</f>
      </c>
      <c r="J704">
        <f>[1]资金台帐!J704&amp;""</f>
      </c>
      <c r="N704">
        <f>[1]资金台帐!N704</f>
      </c>
      <c r="O704">
        <f>[1]资金台帐!O704&amp;""</f>
      </c>
      <c r="P704">
        <f>[1]资金台帐!P704&amp;""</f>
      </c>
      <c r="Q704">
        <f>[1]资金台帐!Q704&amp;""</f>
      </c>
      <c r="T704">
        <f>[1]资金台帐!T704&amp;""</f>
      </c>
      <c r="U704">
        <f>[1]资金台帐!U704&amp;""</f>
      </c>
      <c r="W704">
        <f>[1]资金台帐!W704&amp;""</f>
      </c>
      <c r="X704">
        <f>[1]资金台帐!X704&amp;""</f>
      </c>
      <c r="AB704">
        <f>[1]资金台帐!AB704</f>
        <v>0</v>
      </c>
      <c r="AC704">
        <f>[1]资金台帐!AC704</f>
        <v>0</v>
      </c>
      <c r="AD704">
        <f>[1]资金台帐!AD704</f>
        <v>0</v>
      </c>
      <c r="AJ704">
        <f>[1]资金台帐!AJ704</f>
        <v>0</v>
      </c>
      <c r="AK704">
        <f>[1]资金台帐!AK704</f>
        <v>0</v>
      </c>
      <c r="BA704" s="22">
        <f t="shared" si="0"/>
      </c>
      <c r="BG704" s="22">
        <f t="shared" si="1"/>
      </c>
      <c r="BH704" s="22">
        <f t="shared" si="2"/>
        <v>0</v>
      </c>
    </row>
    <row r="705">
      <c r="B705">
        <f>[1]资金台帐!B705&amp;""</f>
      </c>
      <c r="H705">
        <f>[1]资金台帐!H705&amp;""</f>
      </c>
      <c r="J705">
        <f>[1]资金台帐!J705&amp;""</f>
      </c>
      <c r="N705">
        <f>[1]资金台帐!N705</f>
      </c>
      <c r="O705">
        <f>[1]资金台帐!O705&amp;""</f>
      </c>
      <c r="P705">
        <f>[1]资金台帐!P705&amp;""</f>
      </c>
      <c r="Q705">
        <f>[1]资金台帐!Q705&amp;""</f>
      </c>
      <c r="T705">
        <f>[1]资金台帐!T705&amp;""</f>
      </c>
      <c r="U705">
        <f>[1]资金台帐!U705&amp;""</f>
      </c>
      <c r="W705">
        <f>[1]资金台帐!W705&amp;""</f>
      </c>
      <c r="X705">
        <f>[1]资金台帐!X705&amp;""</f>
      </c>
      <c r="AB705">
        <f>[1]资金台帐!AB705</f>
        <v>0</v>
      </c>
      <c r="AC705">
        <f>[1]资金台帐!AC705</f>
        <v>0</v>
      </c>
      <c r="AD705">
        <f>[1]资金台帐!AD705</f>
        <v>0</v>
      </c>
      <c r="AJ705">
        <f>[1]资金台帐!AJ705</f>
        <v>0</v>
      </c>
      <c r="AK705">
        <f>[1]资金台帐!AK705</f>
        <v>0</v>
      </c>
      <c r="BA705" s="22">
        <f t="shared" si="0"/>
      </c>
      <c r="BG705" s="22">
        <f t="shared" si="1"/>
      </c>
      <c r="BH705" s="22">
        <f t="shared" si="2"/>
        <v>0</v>
      </c>
    </row>
    <row r="706">
      <c r="B706">
        <f>[1]资金台帐!B706&amp;""</f>
      </c>
      <c r="H706">
        <f>[1]资金台帐!H706&amp;""</f>
      </c>
      <c r="J706">
        <f>[1]资金台帐!J706&amp;""</f>
      </c>
      <c r="N706">
        <f>[1]资金台帐!N706</f>
      </c>
      <c r="O706">
        <f>[1]资金台帐!O706&amp;""</f>
      </c>
      <c r="P706">
        <f>[1]资金台帐!P706&amp;""</f>
      </c>
      <c r="Q706">
        <f>[1]资金台帐!Q706&amp;""</f>
      </c>
      <c r="T706">
        <f>[1]资金台帐!T706&amp;""</f>
      </c>
      <c r="U706">
        <f>[1]资金台帐!U706&amp;""</f>
      </c>
      <c r="W706">
        <f>[1]资金台帐!W706&amp;""</f>
      </c>
      <c r="X706">
        <f>[1]资金台帐!X706&amp;""</f>
      </c>
      <c r="AB706">
        <f>[1]资金台帐!AB706</f>
        <v>0</v>
      </c>
      <c r="AC706">
        <f>[1]资金台帐!AC706</f>
        <v>0</v>
      </c>
      <c r="AD706">
        <f>[1]资金台帐!AD706</f>
        <v>0</v>
      </c>
      <c r="AJ706">
        <f>[1]资金台帐!AJ706</f>
        <v>0</v>
      </c>
      <c r="AK706">
        <f>[1]资金台帐!AK706</f>
        <v>0</v>
      </c>
      <c r="BA706" s="22">
        <f t="shared" si="0"/>
      </c>
      <c r="BG706" s="22">
        <f t="shared" si="1"/>
      </c>
      <c r="BH706" s="22">
        <f t="shared" si="2"/>
        <v>0</v>
      </c>
    </row>
    <row r="707">
      <c r="B707">
        <f>[1]资金台帐!B707&amp;""</f>
      </c>
      <c r="H707">
        <f>[1]资金台帐!H707&amp;""</f>
      </c>
      <c r="J707">
        <f>[1]资金台帐!J707&amp;""</f>
      </c>
      <c r="N707">
        <f>[1]资金台帐!N707</f>
      </c>
      <c r="O707">
        <f>[1]资金台帐!O707&amp;""</f>
      </c>
      <c r="P707">
        <f>[1]资金台帐!P707&amp;""</f>
      </c>
      <c r="Q707">
        <f>[1]资金台帐!Q707&amp;""</f>
      </c>
      <c r="T707">
        <f>[1]资金台帐!T707&amp;""</f>
      </c>
      <c r="U707">
        <f>[1]资金台帐!U707&amp;""</f>
      </c>
      <c r="W707">
        <f>[1]资金台帐!W707&amp;""</f>
      </c>
      <c r="X707">
        <f>[1]资金台帐!X707&amp;""</f>
      </c>
      <c r="AB707">
        <f>[1]资金台帐!AB707</f>
        <v>0</v>
      </c>
      <c r="AC707">
        <f>[1]资金台帐!AC707</f>
        <v>0</v>
      </c>
      <c r="AD707">
        <f>[1]资金台帐!AD707</f>
        <v>0</v>
      </c>
      <c r="AJ707">
        <f>[1]资金台帐!AJ707</f>
        <v>0</v>
      </c>
      <c r="AK707">
        <f>[1]资金台帐!AK707</f>
        <v>0</v>
      </c>
      <c r="BA707" s="22">
        <f t="shared" si="0"/>
      </c>
      <c r="BG707" s="22">
        <f t="shared" si="1"/>
      </c>
      <c r="BH707" s="22">
        <f t="shared" si="2"/>
        <v>0</v>
      </c>
    </row>
    <row r="708">
      <c r="B708">
        <f>[1]资金台帐!B708&amp;""</f>
      </c>
      <c r="H708">
        <f>[1]资金台帐!H708&amp;""</f>
      </c>
      <c r="J708">
        <f>[1]资金台帐!J708&amp;""</f>
      </c>
      <c r="N708">
        <f>[1]资金台帐!N708</f>
      </c>
      <c r="O708">
        <f>[1]资金台帐!O708&amp;""</f>
      </c>
      <c r="P708">
        <f>[1]资金台帐!P708&amp;""</f>
      </c>
      <c r="Q708">
        <f>[1]资金台帐!Q708&amp;""</f>
      </c>
      <c r="T708">
        <f>[1]资金台帐!T708&amp;""</f>
      </c>
      <c r="U708">
        <f>[1]资金台帐!U708&amp;""</f>
      </c>
      <c r="W708">
        <f>[1]资金台帐!W708&amp;""</f>
      </c>
      <c r="X708">
        <f>[1]资金台帐!X708&amp;""</f>
      </c>
      <c r="AB708">
        <f>[1]资金台帐!AB708</f>
        <v>0</v>
      </c>
      <c r="AC708">
        <f>[1]资金台帐!AC708</f>
        <v>0</v>
      </c>
      <c r="AD708">
        <f>[1]资金台帐!AD708</f>
        <v>0</v>
      </c>
      <c r="AJ708">
        <f>[1]资金台帐!AJ708</f>
        <v>0</v>
      </c>
      <c r="AK708">
        <f>[1]资金台帐!AK708</f>
        <v>0</v>
      </c>
      <c r="BA708" s="22">
        <f t="shared" si="0"/>
      </c>
      <c r="BG708" s="22">
        <f t="shared" si="1"/>
      </c>
      <c r="BH708" s="22">
        <f t="shared" si="2"/>
        <v>0</v>
      </c>
    </row>
    <row r="709">
      <c r="B709">
        <f>[1]资金台帐!B709&amp;""</f>
      </c>
      <c r="H709">
        <f>[1]资金台帐!H709&amp;""</f>
      </c>
      <c r="J709">
        <f>[1]资金台帐!J709&amp;""</f>
      </c>
      <c r="N709">
        <f>[1]资金台帐!N709</f>
      </c>
      <c r="O709">
        <f>[1]资金台帐!O709&amp;""</f>
      </c>
      <c r="P709">
        <f>[1]资金台帐!P709&amp;""</f>
      </c>
      <c r="Q709">
        <f>[1]资金台帐!Q709&amp;""</f>
      </c>
      <c r="T709">
        <f>[1]资金台帐!T709&amp;""</f>
      </c>
      <c r="U709">
        <f>[1]资金台帐!U709&amp;""</f>
      </c>
      <c r="W709">
        <f>[1]资金台帐!W709&amp;""</f>
      </c>
      <c r="X709">
        <f>[1]资金台帐!X709&amp;""</f>
      </c>
      <c r="AB709">
        <f>[1]资金台帐!AB709</f>
        <v>0</v>
      </c>
      <c r="AC709">
        <f>[1]资金台帐!AC709</f>
        <v>0</v>
      </c>
      <c r="AD709">
        <f>[1]资金台帐!AD709</f>
        <v>0</v>
      </c>
      <c r="AJ709">
        <f>[1]资金台帐!AJ709</f>
        <v>0</v>
      </c>
      <c r="AK709">
        <f>[1]资金台帐!AK709</f>
        <v>0</v>
      </c>
      <c r="BA709" s="22">
        <f t="shared" si="0"/>
      </c>
      <c r="BG709" s="22">
        <f t="shared" si="1"/>
      </c>
      <c r="BH709" s="22">
        <f t="shared" si="2"/>
        <v>0</v>
      </c>
    </row>
    <row r="710">
      <c r="B710">
        <f>[1]资金台帐!B710&amp;""</f>
      </c>
      <c r="H710">
        <f>[1]资金台帐!H710&amp;""</f>
      </c>
      <c r="J710">
        <f>[1]资金台帐!J710&amp;""</f>
      </c>
      <c r="N710">
        <f>[1]资金台帐!N710</f>
      </c>
      <c r="O710">
        <f>[1]资金台帐!O710&amp;""</f>
      </c>
      <c r="P710">
        <f>[1]资金台帐!P710&amp;""</f>
      </c>
      <c r="Q710">
        <f>[1]资金台帐!Q710&amp;""</f>
      </c>
      <c r="T710">
        <f>[1]资金台帐!T710&amp;""</f>
      </c>
      <c r="U710">
        <f>[1]资金台帐!U710&amp;""</f>
      </c>
      <c r="W710">
        <f>[1]资金台帐!W710&amp;""</f>
      </c>
      <c r="X710">
        <f>[1]资金台帐!X710&amp;""</f>
      </c>
      <c r="AB710">
        <f>[1]资金台帐!AB710</f>
        <v>0</v>
      </c>
      <c r="AC710">
        <f>[1]资金台帐!AC710</f>
        <v>0</v>
      </c>
      <c r="AD710">
        <f>[1]资金台帐!AD710</f>
        <v>0</v>
      </c>
      <c r="AJ710">
        <f>[1]资金台帐!AJ710</f>
        <v>0</v>
      </c>
      <c r="AK710">
        <f>[1]资金台帐!AK710</f>
        <v>0</v>
      </c>
      <c r="BA710" s="22">
        <f t="shared" si="0"/>
      </c>
      <c r="BG710" s="22">
        <f t="shared" si="1"/>
      </c>
      <c r="BH710" s="22">
        <f t="shared" si="2"/>
        <v>0</v>
      </c>
    </row>
    <row r="711">
      <c r="B711">
        <f>[1]资金台帐!B711&amp;""</f>
      </c>
      <c r="H711">
        <f>[1]资金台帐!H711&amp;""</f>
      </c>
      <c r="J711">
        <f>[1]资金台帐!J711&amp;""</f>
      </c>
      <c r="N711">
        <f>[1]资金台帐!N711</f>
      </c>
      <c r="O711">
        <f>[1]资金台帐!O711&amp;""</f>
      </c>
      <c r="P711">
        <f>[1]资金台帐!P711&amp;""</f>
      </c>
      <c r="Q711">
        <f>[1]资金台帐!Q711&amp;""</f>
      </c>
      <c r="T711">
        <f>[1]资金台帐!T711&amp;""</f>
      </c>
      <c r="U711">
        <f>[1]资金台帐!U711&amp;""</f>
      </c>
      <c r="W711">
        <f>[1]资金台帐!W711&amp;""</f>
      </c>
      <c r="X711">
        <f>[1]资金台帐!X711&amp;""</f>
      </c>
      <c r="AB711">
        <f>[1]资金台帐!AB711</f>
        <v>0</v>
      </c>
      <c r="AC711">
        <f>[1]资金台帐!AC711</f>
        <v>0</v>
      </c>
      <c r="AD711">
        <f>[1]资金台帐!AD711</f>
        <v>0</v>
      </c>
      <c r="AJ711">
        <f>[1]资金台帐!AJ711</f>
        <v>0</v>
      </c>
      <c r="AK711">
        <f>[1]资金台帐!AK711</f>
        <v>0</v>
      </c>
      <c r="BA711" s="22">
        <f t="shared" si="0"/>
      </c>
      <c r="BG711" s="22">
        <f t="shared" si="1"/>
      </c>
      <c r="BH711" s="22">
        <f t="shared" si="2"/>
        <v>0</v>
      </c>
    </row>
    <row r="712">
      <c r="B712">
        <f>[1]资金台帐!B712&amp;""</f>
      </c>
      <c r="H712">
        <f>[1]资金台帐!H712&amp;""</f>
      </c>
      <c r="J712">
        <f>[1]资金台帐!J712&amp;""</f>
      </c>
      <c r="N712">
        <f>[1]资金台帐!N712</f>
      </c>
      <c r="O712">
        <f>[1]资金台帐!O712&amp;""</f>
      </c>
      <c r="P712">
        <f>[1]资金台帐!P712&amp;""</f>
      </c>
      <c r="Q712">
        <f>[1]资金台帐!Q712&amp;""</f>
      </c>
      <c r="T712">
        <f>[1]资金台帐!T712&amp;""</f>
      </c>
      <c r="U712">
        <f>[1]资金台帐!U712&amp;""</f>
      </c>
      <c r="W712">
        <f>[1]资金台帐!W712&amp;""</f>
      </c>
      <c r="X712">
        <f>[1]资金台帐!X712&amp;""</f>
      </c>
      <c r="AB712">
        <f>[1]资金台帐!AB712</f>
        <v>0</v>
      </c>
      <c r="AC712">
        <f>[1]资金台帐!AC712</f>
        <v>0</v>
      </c>
      <c r="AD712">
        <f>[1]资金台帐!AD712</f>
        <v>0</v>
      </c>
      <c r="AJ712">
        <f>[1]资金台帐!AJ712</f>
        <v>0</v>
      </c>
      <c r="AK712">
        <f>[1]资金台帐!AK712</f>
        <v>0</v>
      </c>
      <c r="BA712" s="22">
        <f t="shared" si="0"/>
      </c>
      <c r="BG712" s="22">
        <f t="shared" si="1"/>
      </c>
      <c r="BH712" s="22">
        <f t="shared" si="2"/>
        <v>0</v>
      </c>
    </row>
    <row r="713">
      <c r="B713">
        <f>[1]资金台帐!B713&amp;""</f>
      </c>
      <c r="H713">
        <f>[1]资金台帐!H713&amp;""</f>
      </c>
      <c r="J713">
        <f>[1]资金台帐!J713&amp;""</f>
      </c>
      <c r="N713">
        <f>[1]资金台帐!N713</f>
      </c>
      <c r="O713">
        <f>[1]资金台帐!O713&amp;""</f>
      </c>
      <c r="P713">
        <f>[1]资金台帐!P713&amp;""</f>
      </c>
      <c r="Q713">
        <f>[1]资金台帐!Q713&amp;""</f>
      </c>
      <c r="T713">
        <f>[1]资金台帐!T713&amp;""</f>
      </c>
      <c r="U713">
        <f>[1]资金台帐!U713&amp;""</f>
      </c>
      <c r="W713">
        <f>[1]资金台帐!W713&amp;""</f>
      </c>
      <c r="X713">
        <f>[1]资金台帐!X713&amp;""</f>
      </c>
      <c r="AB713">
        <f>[1]资金台帐!AB713</f>
        <v>0</v>
      </c>
      <c r="AC713">
        <f>[1]资金台帐!AC713</f>
        <v>0</v>
      </c>
      <c r="AD713">
        <f>[1]资金台帐!AD713</f>
        <v>0</v>
      </c>
      <c r="AJ713">
        <f>[1]资金台帐!AJ713</f>
        <v>0</v>
      </c>
      <c r="AK713">
        <f>[1]资金台帐!AK713</f>
        <v>0</v>
      </c>
      <c r="BA713" s="22">
        <f t="shared" si="0"/>
      </c>
      <c r="BG713" s="22">
        <f t="shared" si="1"/>
      </c>
      <c r="BH713" s="22">
        <f t="shared" si="2"/>
        <v>0</v>
      </c>
    </row>
    <row r="714">
      <c r="B714">
        <f>[1]资金台帐!B714&amp;""</f>
      </c>
      <c r="H714">
        <f>[1]资金台帐!H714&amp;""</f>
      </c>
      <c r="J714">
        <f>[1]资金台帐!J714&amp;""</f>
      </c>
      <c r="N714">
        <f>[1]资金台帐!N714</f>
      </c>
      <c r="O714">
        <f>[1]资金台帐!O714&amp;""</f>
      </c>
      <c r="P714">
        <f>[1]资金台帐!P714&amp;""</f>
      </c>
      <c r="Q714">
        <f>[1]资金台帐!Q714&amp;""</f>
      </c>
      <c r="T714">
        <f>[1]资金台帐!T714&amp;""</f>
      </c>
      <c r="U714">
        <f>[1]资金台帐!U714&amp;""</f>
      </c>
      <c r="W714">
        <f>[1]资金台帐!W714&amp;""</f>
      </c>
      <c r="X714">
        <f>[1]资金台帐!X714&amp;""</f>
      </c>
      <c r="AB714">
        <f>[1]资金台帐!AB714</f>
        <v>0</v>
      </c>
      <c r="AC714">
        <f>[1]资金台帐!AC714</f>
        <v>0</v>
      </c>
      <c r="AD714">
        <f>[1]资金台帐!AD714</f>
        <v>0</v>
      </c>
      <c r="AJ714">
        <f>[1]资金台帐!AJ714</f>
        <v>0</v>
      </c>
      <c r="AK714">
        <f>[1]资金台帐!AK714</f>
        <v>0</v>
      </c>
      <c r="BA714" s="22">
        <f t="shared" si="0"/>
      </c>
      <c r="BG714" s="22">
        <f t="shared" si="1"/>
      </c>
      <c r="BH714" s="22">
        <f t="shared" si="2"/>
        <v>0</v>
      </c>
    </row>
    <row r="715">
      <c r="B715">
        <f>[1]资金台帐!B715&amp;""</f>
      </c>
      <c r="H715">
        <f>[1]资金台帐!H715&amp;""</f>
      </c>
      <c r="J715">
        <f>[1]资金台帐!J715&amp;""</f>
      </c>
      <c r="N715">
        <f>[1]资金台帐!N715</f>
      </c>
      <c r="O715">
        <f>[1]资金台帐!O715&amp;""</f>
      </c>
      <c r="P715">
        <f>[1]资金台帐!P715&amp;""</f>
      </c>
      <c r="Q715">
        <f>[1]资金台帐!Q715&amp;""</f>
      </c>
      <c r="T715">
        <f>[1]资金台帐!T715&amp;""</f>
      </c>
      <c r="U715">
        <f>[1]资金台帐!U715&amp;""</f>
      </c>
      <c r="W715">
        <f>[1]资金台帐!W715&amp;""</f>
      </c>
      <c r="X715">
        <f>[1]资金台帐!X715&amp;""</f>
      </c>
      <c r="AB715">
        <f>[1]资金台帐!AB715</f>
        <v>0</v>
      </c>
      <c r="AC715">
        <f>[1]资金台帐!AC715</f>
        <v>0</v>
      </c>
      <c r="AD715">
        <f>[1]资金台帐!AD715</f>
        <v>0</v>
      </c>
      <c r="AJ715">
        <f>[1]资金台帐!AJ715</f>
        <v>0</v>
      </c>
      <c r="AK715">
        <f>[1]资金台帐!AK715</f>
        <v>0</v>
      </c>
      <c r="BA715" s="22">
        <f t="shared" si="0"/>
      </c>
      <c r="BG715" s="22">
        <f t="shared" si="1"/>
      </c>
      <c r="BH715" s="22">
        <f t="shared" si="2"/>
        <v>0</v>
      </c>
    </row>
    <row r="716">
      <c r="B716">
        <f>[1]资金台帐!B716&amp;""</f>
      </c>
      <c r="H716">
        <f>[1]资金台帐!H716&amp;""</f>
      </c>
      <c r="J716">
        <f>[1]资金台帐!J716&amp;""</f>
      </c>
      <c r="N716">
        <f>[1]资金台帐!N716</f>
      </c>
      <c r="O716">
        <f>[1]资金台帐!O716&amp;""</f>
      </c>
      <c r="P716">
        <f>[1]资金台帐!P716&amp;""</f>
      </c>
      <c r="Q716">
        <f>[1]资金台帐!Q716&amp;""</f>
      </c>
      <c r="T716">
        <f>[1]资金台帐!T716&amp;""</f>
      </c>
      <c r="U716">
        <f>[1]资金台帐!U716&amp;""</f>
      </c>
      <c r="W716">
        <f>[1]资金台帐!W716&amp;""</f>
      </c>
      <c r="X716">
        <f>[1]资金台帐!X716&amp;""</f>
      </c>
      <c r="AB716">
        <f>[1]资金台帐!AB716</f>
        <v>0</v>
      </c>
      <c r="AC716">
        <f>[1]资金台帐!AC716</f>
        <v>0</v>
      </c>
      <c r="AD716">
        <f>[1]资金台帐!AD716</f>
        <v>0</v>
      </c>
      <c r="AJ716">
        <f>[1]资金台帐!AJ716</f>
        <v>0</v>
      </c>
      <c r="AK716">
        <f>[1]资金台帐!AK716</f>
        <v>0</v>
      </c>
      <c r="BA716" s="22">
        <f t="shared" si="0"/>
      </c>
      <c r="BG716" s="22">
        <f t="shared" si="1"/>
      </c>
      <c r="BH716" s="22">
        <f t="shared" si="2"/>
        <v>0</v>
      </c>
    </row>
    <row r="717">
      <c r="B717">
        <f>[1]资金台帐!B717&amp;""</f>
      </c>
      <c r="H717">
        <f>[1]资金台帐!H717&amp;""</f>
      </c>
      <c r="J717">
        <f>[1]资金台帐!J717&amp;""</f>
      </c>
      <c r="N717">
        <f>[1]资金台帐!N717</f>
      </c>
      <c r="O717">
        <f>[1]资金台帐!O717&amp;""</f>
      </c>
      <c r="P717">
        <f>[1]资金台帐!P717&amp;""</f>
      </c>
      <c r="Q717">
        <f>[1]资金台帐!Q717&amp;""</f>
      </c>
      <c r="T717">
        <f>[1]资金台帐!T717&amp;""</f>
      </c>
      <c r="U717">
        <f>[1]资金台帐!U717&amp;""</f>
      </c>
      <c r="W717">
        <f>[1]资金台帐!W717&amp;""</f>
      </c>
      <c r="X717">
        <f>[1]资金台帐!X717&amp;""</f>
      </c>
      <c r="AB717">
        <f>[1]资金台帐!AB717</f>
        <v>0</v>
      </c>
      <c r="AC717">
        <f>[1]资金台帐!AC717</f>
        <v>0</v>
      </c>
      <c r="AD717">
        <f>[1]资金台帐!AD717</f>
        <v>0</v>
      </c>
      <c r="AJ717">
        <f>[1]资金台帐!AJ717</f>
        <v>0</v>
      </c>
      <c r="AK717">
        <f>[1]资金台帐!AK717</f>
        <v>0</v>
      </c>
      <c r="BA717" s="22">
        <f t="shared" si="0"/>
      </c>
      <c r="BG717" s="22">
        <f t="shared" si="1"/>
      </c>
      <c r="BH717" s="22">
        <f t="shared" si="2"/>
        <v>0</v>
      </c>
    </row>
    <row r="718">
      <c r="B718">
        <f>[1]资金台帐!B718&amp;""</f>
      </c>
      <c r="H718">
        <f>[1]资金台帐!H718&amp;""</f>
      </c>
      <c r="J718">
        <f>[1]资金台帐!J718&amp;""</f>
      </c>
      <c r="N718">
        <f>[1]资金台帐!N718</f>
      </c>
      <c r="O718">
        <f>[1]资金台帐!O718&amp;""</f>
      </c>
      <c r="P718">
        <f>[1]资金台帐!P718&amp;""</f>
      </c>
      <c r="Q718">
        <f>[1]资金台帐!Q718&amp;""</f>
      </c>
      <c r="T718">
        <f>[1]资金台帐!T718&amp;""</f>
      </c>
      <c r="U718">
        <f>[1]资金台帐!U718&amp;""</f>
      </c>
      <c r="W718">
        <f>[1]资金台帐!W718&amp;""</f>
      </c>
      <c r="X718">
        <f>[1]资金台帐!X718&amp;""</f>
      </c>
      <c r="AB718">
        <f>[1]资金台帐!AB718</f>
        <v>0</v>
      </c>
      <c r="AC718">
        <f>[1]资金台帐!AC718</f>
        <v>0</v>
      </c>
      <c r="AD718">
        <f>[1]资金台帐!AD718</f>
        <v>0</v>
      </c>
      <c r="AJ718">
        <f>[1]资金台帐!AJ718</f>
        <v>0</v>
      </c>
      <c r="AK718">
        <f>[1]资金台帐!AK718</f>
        <v>0</v>
      </c>
      <c r="BA718" s="22">
        <f t="shared" si="0"/>
      </c>
      <c r="BG718" s="22">
        <f t="shared" si="1"/>
      </c>
      <c r="BH718" s="22">
        <f t="shared" si="2"/>
        <v>0</v>
      </c>
    </row>
    <row r="719">
      <c r="B719">
        <f>[1]资金台帐!B719&amp;""</f>
      </c>
      <c r="H719">
        <f>[1]资金台帐!H719&amp;""</f>
      </c>
      <c r="J719">
        <f>[1]资金台帐!J719&amp;""</f>
      </c>
      <c r="N719">
        <f>[1]资金台帐!N719</f>
      </c>
      <c r="O719">
        <f>[1]资金台帐!O719&amp;""</f>
      </c>
      <c r="P719">
        <f>[1]资金台帐!P719&amp;""</f>
      </c>
      <c r="Q719">
        <f>[1]资金台帐!Q719&amp;""</f>
      </c>
      <c r="T719">
        <f>[1]资金台帐!T719&amp;""</f>
      </c>
      <c r="U719">
        <f>[1]资金台帐!U719&amp;""</f>
      </c>
      <c r="W719">
        <f>[1]资金台帐!W719&amp;""</f>
      </c>
      <c r="X719">
        <f>[1]资金台帐!X719&amp;""</f>
      </c>
      <c r="AB719">
        <f>[1]资金台帐!AB719</f>
        <v>0</v>
      </c>
      <c r="AC719">
        <f>[1]资金台帐!AC719</f>
        <v>0</v>
      </c>
      <c r="AD719">
        <f>[1]资金台帐!AD719</f>
        <v>0</v>
      </c>
      <c r="AJ719">
        <f>[1]资金台帐!AJ719</f>
        <v>0</v>
      </c>
      <c r="AK719">
        <f>[1]资金台帐!AK719</f>
        <v>0</v>
      </c>
      <c r="BA719" s="22">
        <f t="shared" si="0"/>
      </c>
      <c r="BG719" s="22">
        <f t="shared" si="1"/>
      </c>
      <c r="BH719" s="22">
        <f t="shared" si="2"/>
        <v>0</v>
      </c>
    </row>
    <row r="720">
      <c r="B720">
        <f>[1]资金台帐!B720&amp;""</f>
      </c>
      <c r="H720">
        <f>[1]资金台帐!H720&amp;""</f>
      </c>
      <c r="J720">
        <f>[1]资金台帐!J720&amp;""</f>
      </c>
      <c r="N720">
        <f>[1]资金台帐!N720</f>
      </c>
      <c r="O720">
        <f>[1]资金台帐!O720&amp;""</f>
      </c>
      <c r="P720">
        <f>[1]资金台帐!P720&amp;""</f>
      </c>
      <c r="Q720">
        <f>[1]资金台帐!Q720&amp;""</f>
      </c>
      <c r="T720">
        <f>[1]资金台帐!T720&amp;""</f>
      </c>
      <c r="U720">
        <f>[1]资金台帐!U720&amp;""</f>
      </c>
      <c r="W720">
        <f>[1]资金台帐!W720&amp;""</f>
      </c>
      <c r="X720">
        <f>[1]资金台帐!X720&amp;""</f>
      </c>
      <c r="AB720">
        <f>[1]资金台帐!AB720</f>
        <v>0</v>
      </c>
      <c r="AC720">
        <f>[1]资金台帐!AC720</f>
        <v>0</v>
      </c>
      <c r="AD720">
        <f>[1]资金台帐!AD720</f>
        <v>0</v>
      </c>
      <c r="AJ720">
        <f>[1]资金台帐!AJ720</f>
        <v>0</v>
      </c>
      <c r="AK720">
        <f>[1]资金台帐!AK720</f>
        <v>0</v>
      </c>
      <c r="BA720" s="22">
        <f t="shared" si="0"/>
      </c>
      <c r="BG720" s="22">
        <f t="shared" si="1"/>
      </c>
      <c r="BH720" s="22">
        <f t="shared" si="2"/>
        <v>0</v>
      </c>
    </row>
    <row r="721">
      <c r="B721">
        <f>[1]资金台帐!B721&amp;""</f>
      </c>
      <c r="H721">
        <f>[1]资金台帐!H721&amp;""</f>
      </c>
      <c r="J721">
        <f>[1]资金台帐!J721&amp;""</f>
      </c>
      <c r="N721">
        <f>[1]资金台帐!N721</f>
      </c>
      <c r="O721">
        <f>[1]资金台帐!O721&amp;""</f>
      </c>
      <c r="P721">
        <f>[1]资金台帐!P721&amp;""</f>
      </c>
      <c r="Q721">
        <f>[1]资金台帐!Q721&amp;""</f>
      </c>
      <c r="T721">
        <f>[1]资金台帐!T721&amp;""</f>
      </c>
      <c r="U721">
        <f>[1]资金台帐!U721&amp;""</f>
      </c>
      <c r="W721">
        <f>[1]资金台帐!W721&amp;""</f>
      </c>
      <c r="X721">
        <f>[1]资金台帐!X721&amp;""</f>
      </c>
      <c r="AB721">
        <f>[1]资金台帐!AB721</f>
        <v>0</v>
      </c>
      <c r="AC721">
        <f>[1]资金台帐!AC721</f>
        <v>0</v>
      </c>
      <c r="AD721">
        <f>[1]资金台帐!AD721</f>
        <v>0</v>
      </c>
      <c r="AJ721">
        <f>[1]资金台帐!AJ721</f>
        <v>0</v>
      </c>
      <c r="AK721">
        <f>[1]资金台帐!AK721</f>
        <v>0</v>
      </c>
      <c r="BA721" s="22">
        <f t="shared" si="0"/>
      </c>
      <c r="BG721" s="22">
        <f t="shared" si="1"/>
      </c>
      <c r="BH721" s="22">
        <f t="shared" si="2"/>
        <v>0</v>
      </c>
    </row>
    <row r="722">
      <c r="B722">
        <f>[1]资金台帐!B722&amp;""</f>
      </c>
      <c r="H722">
        <f>[1]资金台帐!H722&amp;""</f>
      </c>
      <c r="J722">
        <f>[1]资金台帐!J722&amp;""</f>
      </c>
      <c r="N722">
        <f>[1]资金台帐!N722</f>
      </c>
      <c r="O722">
        <f>[1]资金台帐!O722&amp;""</f>
      </c>
      <c r="P722">
        <f>[1]资金台帐!P722&amp;""</f>
      </c>
      <c r="Q722">
        <f>[1]资金台帐!Q722&amp;""</f>
      </c>
      <c r="T722">
        <f>[1]资金台帐!T722&amp;""</f>
      </c>
      <c r="U722">
        <f>[1]资金台帐!U722&amp;""</f>
      </c>
      <c r="W722">
        <f>[1]资金台帐!W722&amp;""</f>
      </c>
      <c r="X722">
        <f>[1]资金台帐!X722&amp;""</f>
      </c>
      <c r="AB722">
        <f>[1]资金台帐!AB722</f>
        <v>0</v>
      </c>
      <c r="AC722">
        <f>[1]资金台帐!AC722</f>
        <v>0</v>
      </c>
      <c r="AD722">
        <f>[1]资金台帐!AD722</f>
        <v>0</v>
      </c>
      <c r="AJ722">
        <f>[1]资金台帐!AJ722</f>
        <v>0</v>
      </c>
      <c r="AK722">
        <f>[1]资金台帐!AK722</f>
        <v>0</v>
      </c>
      <c r="BA722" s="22">
        <f t="shared" si="0"/>
      </c>
      <c r="BG722" s="22">
        <f t="shared" si="1"/>
      </c>
      <c r="BH722" s="22">
        <f t="shared" si="2"/>
        <v>0</v>
      </c>
    </row>
    <row r="723">
      <c r="B723">
        <f>[1]资金台帐!B723&amp;""</f>
      </c>
      <c r="H723">
        <f>[1]资金台帐!H723&amp;""</f>
      </c>
      <c r="J723">
        <f>[1]资金台帐!J723&amp;""</f>
      </c>
      <c r="N723">
        <f>[1]资金台帐!N723</f>
      </c>
      <c r="O723">
        <f>[1]资金台帐!O723&amp;""</f>
      </c>
      <c r="P723">
        <f>[1]资金台帐!P723&amp;""</f>
      </c>
      <c r="Q723">
        <f>[1]资金台帐!Q723&amp;""</f>
      </c>
      <c r="T723">
        <f>[1]资金台帐!T723&amp;""</f>
      </c>
      <c r="U723">
        <f>[1]资金台帐!U723&amp;""</f>
      </c>
      <c r="W723">
        <f>[1]资金台帐!W723&amp;""</f>
      </c>
      <c r="X723">
        <f>[1]资金台帐!X723&amp;""</f>
      </c>
      <c r="AB723">
        <f>[1]资金台帐!AB723</f>
        <v>0</v>
      </c>
      <c r="AC723">
        <f>[1]资金台帐!AC723</f>
        <v>0</v>
      </c>
      <c r="AD723">
        <f>[1]资金台帐!AD723</f>
        <v>0</v>
      </c>
      <c r="AJ723">
        <f>[1]资金台帐!AJ723</f>
        <v>0</v>
      </c>
      <c r="AK723">
        <f>[1]资金台帐!AK723</f>
        <v>0</v>
      </c>
      <c r="BA723" s="22">
        <f t="shared" si="0"/>
      </c>
      <c r="BG723" s="22">
        <f t="shared" si="1"/>
      </c>
      <c r="BH723" s="22">
        <f t="shared" si="2"/>
        <v>0</v>
      </c>
    </row>
    <row r="724">
      <c r="B724">
        <f>[1]资金台帐!B724&amp;""</f>
      </c>
      <c r="H724">
        <f>[1]资金台帐!H724&amp;""</f>
      </c>
      <c r="J724">
        <f>[1]资金台帐!J724&amp;""</f>
      </c>
      <c r="N724">
        <f>[1]资金台帐!N724</f>
      </c>
      <c r="O724">
        <f>[1]资金台帐!O724&amp;""</f>
      </c>
      <c r="P724">
        <f>[1]资金台帐!P724&amp;""</f>
      </c>
      <c r="Q724">
        <f>[1]资金台帐!Q724&amp;""</f>
      </c>
      <c r="T724">
        <f>[1]资金台帐!T724&amp;""</f>
      </c>
      <c r="U724">
        <f>[1]资金台帐!U724&amp;""</f>
      </c>
      <c r="W724">
        <f>[1]资金台帐!W724&amp;""</f>
      </c>
      <c r="X724">
        <f>[1]资金台帐!X724&amp;""</f>
      </c>
      <c r="AB724">
        <f>[1]资金台帐!AB724</f>
        <v>0</v>
      </c>
      <c r="AC724">
        <f>[1]资金台帐!AC724</f>
        <v>0</v>
      </c>
      <c r="AD724">
        <f>[1]资金台帐!AD724</f>
        <v>0</v>
      </c>
      <c r="AJ724">
        <f>[1]资金台帐!AJ724</f>
        <v>0</v>
      </c>
      <c r="AK724">
        <f>[1]资金台帐!AK724</f>
        <v>0</v>
      </c>
      <c r="BA724" s="22">
        <f t="shared" si="0"/>
      </c>
      <c r="BG724" s="22">
        <f t="shared" si="1"/>
      </c>
      <c r="BH724" s="22">
        <f t="shared" si="2"/>
        <v>0</v>
      </c>
    </row>
    <row r="725">
      <c r="B725">
        <f>[1]资金台帐!B725&amp;""</f>
      </c>
      <c r="H725">
        <f>[1]资金台帐!H725&amp;""</f>
      </c>
      <c r="J725">
        <f>[1]资金台帐!J725&amp;""</f>
      </c>
      <c r="N725">
        <f>[1]资金台帐!N725</f>
      </c>
      <c r="O725">
        <f>[1]资金台帐!O725&amp;""</f>
      </c>
      <c r="P725">
        <f>[1]资金台帐!P725&amp;""</f>
      </c>
      <c r="Q725">
        <f>[1]资金台帐!Q725&amp;""</f>
      </c>
      <c r="T725">
        <f>[1]资金台帐!T725&amp;""</f>
      </c>
      <c r="U725">
        <f>[1]资金台帐!U725&amp;""</f>
      </c>
      <c r="W725">
        <f>[1]资金台帐!W725&amp;""</f>
      </c>
      <c r="X725">
        <f>[1]资金台帐!X725&amp;""</f>
      </c>
      <c r="AB725">
        <f>[1]资金台帐!AB725</f>
        <v>0</v>
      </c>
      <c r="AC725">
        <f>[1]资金台帐!AC725</f>
        <v>0</v>
      </c>
      <c r="AD725">
        <f>[1]资金台帐!AD725</f>
        <v>0</v>
      </c>
      <c r="AJ725">
        <f>[1]资金台帐!AJ725</f>
        <v>0</v>
      </c>
      <c r="AK725">
        <f>[1]资金台帐!AK725</f>
        <v>0</v>
      </c>
      <c r="BA725" s="22">
        <f t="shared" si="0"/>
      </c>
      <c r="BG725" s="22">
        <f t="shared" si="1"/>
      </c>
      <c r="BH725" s="22">
        <f t="shared" si="2"/>
        <v>0</v>
      </c>
    </row>
    <row r="726">
      <c r="B726">
        <f>[1]资金台帐!B726&amp;""</f>
      </c>
      <c r="H726">
        <f>[1]资金台帐!H726&amp;""</f>
      </c>
      <c r="J726">
        <f>[1]资金台帐!J726&amp;""</f>
      </c>
      <c r="N726">
        <f>[1]资金台帐!N726</f>
      </c>
      <c r="O726">
        <f>[1]资金台帐!O726&amp;""</f>
      </c>
      <c r="P726">
        <f>[1]资金台帐!P726&amp;""</f>
      </c>
      <c r="Q726">
        <f>[1]资金台帐!Q726&amp;""</f>
      </c>
      <c r="T726">
        <f>[1]资金台帐!T726&amp;""</f>
      </c>
      <c r="U726">
        <f>[1]资金台帐!U726&amp;""</f>
      </c>
      <c r="W726">
        <f>[1]资金台帐!W726&amp;""</f>
      </c>
      <c r="X726">
        <f>[1]资金台帐!X726&amp;""</f>
      </c>
      <c r="AB726">
        <f>[1]资金台帐!AB726</f>
        <v>0</v>
      </c>
      <c r="AC726">
        <f>[1]资金台帐!AC726</f>
        <v>0</v>
      </c>
      <c r="AD726">
        <f>[1]资金台帐!AD726</f>
        <v>0</v>
      </c>
      <c r="AJ726">
        <f>[1]资金台帐!AJ726</f>
        <v>0</v>
      </c>
      <c r="AK726">
        <f>[1]资金台帐!AK726</f>
        <v>0</v>
      </c>
      <c r="BA726" s="22">
        <f t="shared" si="0"/>
      </c>
      <c r="BG726" s="22">
        <f t="shared" si="1"/>
      </c>
      <c r="BH726" s="22">
        <f t="shared" si="2"/>
        <v>0</v>
      </c>
    </row>
    <row r="727">
      <c r="B727">
        <f>[1]资金台帐!B727&amp;""</f>
      </c>
      <c r="H727">
        <f>[1]资金台帐!H727&amp;""</f>
      </c>
      <c r="J727">
        <f>[1]资金台帐!J727&amp;""</f>
      </c>
      <c r="N727">
        <f>[1]资金台帐!N727</f>
      </c>
      <c r="O727">
        <f>[1]资金台帐!O727&amp;""</f>
      </c>
      <c r="P727">
        <f>[1]资金台帐!P727&amp;""</f>
      </c>
      <c r="Q727">
        <f>[1]资金台帐!Q727&amp;""</f>
      </c>
      <c r="T727">
        <f>[1]资金台帐!T727&amp;""</f>
      </c>
      <c r="U727">
        <f>[1]资金台帐!U727&amp;""</f>
      </c>
      <c r="W727">
        <f>[1]资金台帐!W727&amp;""</f>
      </c>
      <c r="X727">
        <f>[1]资金台帐!X727&amp;""</f>
      </c>
      <c r="AB727">
        <f>[1]资金台帐!AB727</f>
        <v>0</v>
      </c>
      <c r="AC727">
        <f>[1]资金台帐!AC727</f>
        <v>0</v>
      </c>
      <c r="AD727">
        <f>[1]资金台帐!AD727</f>
        <v>0</v>
      </c>
      <c r="AJ727">
        <f>[1]资金台帐!AJ727</f>
        <v>0</v>
      </c>
      <c r="AK727">
        <f>[1]资金台帐!AK727</f>
        <v>0</v>
      </c>
      <c r="BA727" s="22">
        <f t="shared" si="0"/>
      </c>
      <c r="BG727" s="22">
        <f t="shared" si="1"/>
      </c>
      <c r="BH727" s="22">
        <f t="shared" si="2"/>
        <v>0</v>
      </c>
    </row>
    <row r="728">
      <c r="B728">
        <f>[1]资金台帐!B728&amp;""</f>
      </c>
      <c r="H728">
        <f>[1]资金台帐!H728&amp;""</f>
      </c>
      <c r="J728">
        <f>[1]资金台帐!J728&amp;""</f>
      </c>
      <c r="N728">
        <f>[1]资金台帐!N728</f>
      </c>
      <c r="O728">
        <f>[1]资金台帐!O728&amp;""</f>
      </c>
      <c r="P728">
        <f>[1]资金台帐!P728&amp;""</f>
      </c>
      <c r="Q728">
        <f>[1]资金台帐!Q728&amp;""</f>
      </c>
      <c r="T728">
        <f>[1]资金台帐!T728&amp;""</f>
      </c>
      <c r="U728">
        <f>[1]资金台帐!U728&amp;""</f>
      </c>
      <c r="W728">
        <f>[1]资金台帐!W728&amp;""</f>
      </c>
      <c r="X728">
        <f>[1]资金台帐!X728&amp;""</f>
      </c>
      <c r="AB728">
        <f>[1]资金台帐!AB728</f>
        <v>0</v>
      </c>
      <c r="AC728">
        <f>[1]资金台帐!AC728</f>
        <v>0</v>
      </c>
      <c r="AD728">
        <f>[1]资金台帐!AD728</f>
        <v>0</v>
      </c>
      <c r="AJ728">
        <f>[1]资金台帐!AJ728</f>
        <v>0</v>
      </c>
      <c r="AK728">
        <f>[1]资金台帐!AK728</f>
        <v>0</v>
      </c>
      <c r="BA728" s="22">
        <f t="shared" si="0"/>
      </c>
      <c r="BG728" s="22">
        <f t="shared" si="1"/>
      </c>
      <c r="BH728" s="22">
        <f t="shared" si="2"/>
        <v>0</v>
      </c>
    </row>
    <row r="729">
      <c r="B729">
        <f>[1]资金台帐!B729&amp;""</f>
      </c>
      <c r="H729">
        <f>[1]资金台帐!H729&amp;""</f>
      </c>
      <c r="J729">
        <f>[1]资金台帐!J729&amp;""</f>
      </c>
      <c r="N729">
        <f>[1]资金台帐!N729</f>
      </c>
      <c r="O729">
        <f>[1]资金台帐!O729&amp;""</f>
      </c>
      <c r="P729">
        <f>[1]资金台帐!P729&amp;""</f>
      </c>
      <c r="Q729">
        <f>[1]资金台帐!Q729&amp;""</f>
      </c>
      <c r="T729">
        <f>[1]资金台帐!T729&amp;""</f>
      </c>
      <c r="U729">
        <f>[1]资金台帐!U729&amp;""</f>
      </c>
      <c r="W729">
        <f>[1]资金台帐!W729&amp;""</f>
      </c>
      <c r="X729">
        <f>[1]资金台帐!X729&amp;""</f>
      </c>
      <c r="AB729">
        <f>[1]资金台帐!AB729</f>
        <v>0</v>
      </c>
      <c r="AC729">
        <f>[1]资金台帐!AC729</f>
        <v>0</v>
      </c>
      <c r="AD729">
        <f>[1]资金台帐!AD729</f>
        <v>0</v>
      </c>
      <c r="AJ729">
        <f>[1]资金台帐!AJ729</f>
        <v>0</v>
      </c>
      <c r="AK729">
        <f>[1]资金台帐!AK729</f>
        <v>0</v>
      </c>
      <c r="BA729" s="22">
        <f t="shared" si="0"/>
      </c>
      <c r="BG729" s="22">
        <f t="shared" si="1"/>
      </c>
      <c r="BH729" s="22">
        <f t="shared" si="2"/>
        <v>0</v>
      </c>
    </row>
    <row r="730">
      <c r="B730">
        <f>[1]资金台帐!B730&amp;""</f>
      </c>
      <c r="H730">
        <f>[1]资金台帐!H730&amp;""</f>
      </c>
      <c r="J730">
        <f>[1]资金台帐!J730&amp;""</f>
      </c>
      <c r="N730">
        <f>[1]资金台帐!N730</f>
      </c>
      <c r="O730">
        <f>[1]资金台帐!O730&amp;""</f>
      </c>
      <c r="P730">
        <f>[1]资金台帐!P730&amp;""</f>
      </c>
      <c r="Q730">
        <f>[1]资金台帐!Q730&amp;""</f>
      </c>
      <c r="T730">
        <f>[1]资金台帐!T730&amp;""</f>
      </c>
      <c r="U730">
        <f>[1]资金台帐!U730&amp;""</f>
      </c>
      <c r="W730">
        <f>[1]资金台帐!W730&amp;""</f>
      </c>
      <c r="X730">
        <f>[1]资金台帐!X730&amp;""</f>
      </c>
      <c r="AB730">
        <f>[1]资金台帐!AB730</f>
        <v>0</v>
      </c>
      <c r="AC730">
        <f>[1]资金台帐!AC730</f>
        <v>0</v>
      </c>
      <c r="AD730">
        <f>[1]资金台帐!AD730</f>
        <v>0</v>
      </c>
      <c r="AJ730">
        <f>[1]资金台帐!AJ730</f>
        <v>0</v>
      </c>
      <c r="AK730">
        <f>[1]资金台帐!AK730</f>
        <v>0</v>
      </c>
      <c r="BA730" s="22">
        <f t="shared" si="0"/>
      </c>
      <c r="BG730" s="22">
        <f t="shared" si="1"/>
      </c>
      <c r="BH730" s="22">
        <f t="shared" si="2"/>
        <v>0</v>
      </c>
    </row>
    <row r="731">
      <c r="B731">
        <f>[1]资金台帐!B731&amp;""</f>
      </c>
      <c r="H731">
        <f>[1]资金台帐!H731&amp;""</f>
      </c>
      <c r="J731">
        <f>[1]资金台帐!J731&amp;""</f>
      </c>
      <c r="N731">
        <f>[1]资金台帐!N731</f>
      </c>
      <c r="O731">
        <f>[1]资金台帐!O731&amp;""</f>
      </c>
      <c r="P731">
        <f>[1]资金台帐!P731&amp;""</f>
      </c>
      <c r="Q731">
        <f>[1]资金台帐!Q731&amp;""</f>
      </c>
      <c r="T731">
        <f>[1]资金台帐!T731&amp;""</f>
      </c>
      <c r="U731">
        <f>[1]资金台帐!U731&amp;""</f>
      </c>
      <c r="W731">
        <f>[1]资金台帐!W731&amp;""</f>
      </c>
      <c r="X731">
        <f>[1]资金台帐!X731&amp;""</f>
      </c>
      <c r="AB731">
        <f>[1]资金台帐!AB731</f>
        <v>0</v>
      </c>
      <c r="AC731">
        <f>[1]资金台帐!AC731</f>
        <v>0</v>
      </c>
      <c r="AD731">
        <f>[1]资金台帐!AD731</f>
        <v>0</v>
      </c>
      <c r="AJ731">
        <f>[1]资金台帐!AJ731</f>
        <v>0</v>
      </c>
      <c r="AK731">
        <f>[1]资金台帐!AK731</f>
        <v>0</v>
      </c>
      <c r="BA731" s="22">
        <f t="shared" si="0"/>
      </c>
      <c r="BG731" s="22">
        <f t="shared" si="1"/>
      </c>
      <c r="BH731" s="22">
        <f t="shared" si="2"/>
        <v>0</v>
      </c>
    </row>
    <row r="732">
      <c r="B732">
        <f>[1]资金台帐!B732&amp;""</f>
      </c>
      <c r="H732">
        <f>[1]资金台帐!H732&amp;""</f>
      </c>
      <c r="J732">
        <f>[1]资金台帐!J732&amp;""</f>
      </c>
      <c r="N732">
        <f>[1]资金台帐!N732</f>
      </c>
      <c r="O732">
        <f>[1]资金台帐!O732&amp;""</f>
      </c>
      <c r="P732">
        <f>[1]资金台帐!P732&amp;""</f>
      </c>
      <c r="Q732">
        <f>[1]资金台帐!Q732&amp;""</f>
      </c>
      <c r="T732">
        <f>[1]资金台帐!T732&amp;""</f>
      </c>
      <c r="U732">
        <f>[1]资金台帐!U732&amp;""</f>
      </c>
      <c r="W732">
        <f>[1]资金台帐!W732&amp;""</f>
      </c>
      <c r="X732">
        <f>[1]资金台帐!X732&amp;""</f>
      </c>
      <c r="AB732">
        <f>[1]资金台帐!AB732</f>
        <v>0</v>
      </c>
      <c r="AC732">
        <f>[1]资金台帐!AC732</f>
        <v>0</v>
      </c>
      <c r="AD732">
        <f>[1]资金台帐!AD732</f>
        <v>0</v>
      </c>
      <c r="AJ732">
        <f>[1]资金台帐!AJ732</f>
        <v>0</v>
      </c>
      <c r="AK732">
        <f>[1]资金台帐!AK732</f>
        <v>0</v>
      </c>
      <c r="BA732" s="22">
        <f t="shared" si="0"/>
      </c>
      <c r="BG732" s="22">
        <f t="shared" si="1"/>
      </c>
      <c r="BH732" s="22">
        <f t="shared" si="2"/>
        <v>0</v>
      </c>
    </row>
    <row r="733">
      <c r="B733">
        <f>[1]资金台帐!B733&amp;""</f>
      </c>
      <c r="H733">
        <f>[1]资金台帐!H733&amp;""</f>
      </c>
      <c r="J733">
        <f>[1]资金台帐!J733&amp;""</f>
      </c>
      <c r="N733">
        <f>[1]资金台帐!N733</f>
      </c>
      <c r="O733">
        <f>[1]资金台帐!O733&amp;""</f>
      </c>
      <c r="P733">
        <f>[1]资金台帐!P733&amp;""</f>
      </c>
      <c r="Q733">
        <f>[1]资金台帐!Q733&amp;""</f>
      </c>
      <c r="T733">
        <f>[1]资金台帐!T733&amp;""</f>
      </c>
      <c r="U733">
        <f>[1]资金台帐!U733&amp;""</f>
      </c>
      <c r="W733">
        <f>[1]资金台帐!W733&amp;""</f>
      </c>
      <c r="X733">
        <f>[1]资金台帐!X733&amp;""</f>
      </c>
      <c r="AB733">
        <f>[1]资金台帐!AB733</f>
        <v>0</v>
      </c>
      <c r="AC733">
        <f>[1]资金台帐!AC733</f>
        <v>0</v>
      </c>
      <c r="AD733">
        <f>[1]资金台帐!AD733</f>
        <v>0</v>
      </c>
      <c r="AJ733">
        <f>[1]资金台帐!AJ733</f>
        <v>0</v>
      </c>
      <c r="AK733">
        <f>[1]资金台帐!AK733</f>
        <v>0</v>
      </c>
      <c r="BA733" s="22">
        <f t="shared" si="0"/>
      </c>
      <c r="BG733" s="22">
        <f t="shared" si="1"/>
      </c>
      <c r="BH733" s="22">
        <f t="shared" si="2"/>
        <v>0</v>
      </c>
    </row>
    <row r="734">
      <c r="B734">
        <f>[1]资金台帐!B734&amp;""</f>
      </c>
      <c r="H734">
        <f>[1]资金台帐!H734&amp;""</f>
      </c>
      <c r="J734">
        <f>[1]资金台帐!J734&amp;""</f>
      </c>
      <c r="N734">
        <f>[1]资金台帐!N734</f>
      </c>
      <c r="O734">
        <f>[1]资金台帐!O734&amp;""</f>
      </c>
      <c r="P734">
        <f>[1]资金台帐!P734&amp;""</f>
      </c>
      <c r="Q734">
        <f>[1]资金台帐!Q734&amp;""</f>
      </c>
      <c r="T734">
        <f>[1]资金台帐!T734&amp;""</f>
      </c>
      <c r="U734">
        <f>[1]资金台帐!U734&amp;""</f>
      </c>
      <c r="W734">
        <f>[1]资金台帐!W734&amp;""</f>
      </c>
      <c r="X734">
        <f>[1]资金台帐!X734&amp;""</f>
      </c>
      <c r="AB734">
        <f>[1]资金台帐!AB734</f>
        <v>0</v>
      </c>
      <c r="AC734">
        <f>[1]资金台帐!AC734</f>
        <v>0</v>
      </c>
      <c r="AD734">
        <f>[1]资金台帐!AD734</f>
        <v>0</v>
      </c>
      <c r="AJ734">
        <f>[1]资金台帐!AJ734</f>
        <v>0</v>
      </c>
      <c r="AK734">
        <f>[1]资金台帐!AK734</f>
        <v>0</v>
      </c>
      <c r="BA734" s="22">
        <f t="shared" si="0"/>
      </c>
      <c r="BG734" s="22">
        <f t="shared" si="1"/>
      </c>
      <c r="BH734" s="22">
        <f t="shared" si="2"/>
        <v>0</v>
      </c>
    </row>
    <row r="735">
      <c r="B735">
        <f>[1]资金台帐!B735&amp;""</f>
      </c>
      <c r="H735">
        <f>[1]资金台帐!H735&amp;""</f>
      </c>
      <c r="J735">
        <f>[1]资金台帐!J735&amp;""</f>
      </c>
      <c r="N735">
        <f>[1]资金台帐!N735</f>
      </c>
      <c r="O735">
        <f>[1]资金台帐!O735&amp;""</f>
      </c>
      <c r="P735">
        <f>[1]资金台帐!P735&amp;""</f>
      </c>
      <c r="Q735">
        <f>[1]资金台帐!Q735&amp;""</f>
      </c>
      <c r="T735">
        <f>[1]资金台帐!T735&amp;""</f>
      </c>
      <c r="U735">
        <f>[1]资金台帐!U735&amp;""</f>
      </c>
      <c r="W735">
        <f>[1]资金台帐!W735&amp;""</f>
      </c>
      <c r="X735">
        <f>[1]资金台帐!X735&amp;""</f>
      </c>
      <c r="AB735">
        <f>[1]资金台帐!AB735</f>
        <v>0</v>
      </c>
      <c r="AC735">
        <f>[1]资金台帐!AC735</f>
        <v>0</v>
      </c>
      <c r="AD735">
        <f>[1]资金台帐!AD735</f>
        <v>0</v>
      </c>
      <c r="AJ735">
        <f>[1]资金台帐!AJ735</f>
        <v>0</v>
      </c>
      <c r="AK735">
        <f>[1]资金台帐!AK735</f>
        <v>0</v>
      </c>
      <c r="BA735" s="22">
        <f t="shared" si="0"/>
      </c>
      <c r="BG735" s="22">
        <f t="shared" si="1"/>
      </c>
      <c r="BH735" s="22">
        <f t="shared" si="2"/>
        <v>0</v>
      </c>
    </row>
    <row r="736">
      <c r="B736">
        <f>[1]资金台帐!B736&amp;""</f>
      </c>
      <c r="H736">
        <f>[1]资金台帐!H736&amp;""</f>
      </c>
      <c r="J736">
        <f>[1]资金台帐!J736&amp;""</f>
      </c>
      <c r="N736">
        <f>[1]资金台帐!N736</f>
      </c>
      <c r="O736">
        <f>[1]资金台帐!O736&amp;""</f>
      </c>
      <c r="P736">
        <f>[1]资金台帐!P736&amp;""</f>
      </c>
      <c r="Q736">
        <f>[1]资金台帐!Q736&amp;""</f>
      </c>
      <c r="T736">
        <f>[1]资金台帐!T736&amp;""</f>
      </c>
      <c r="U736">
        <f>[1]资金台帐!U736&amp;""</f>
      </c>
      <c r="W736">
        <f>[1]资金台帐!W736&amp;""</f>
      </c>
      <c r="X736">
        <f>[1]资金台帐!X736&amp;""</f>
      </c>
      <c r="AB736">
        <f>[1]资金台帐!AB736</f>
        <v>0</v>
      </c>
      <c r="AC736">
        <f>[1]资金台帐!AC736</f>
        <v>0</v>
      </c>
      <c r="AD736">
        <f>[1]资金台帐!AD736</f>
        <v>0</v>
      </c>
      <c r="AJ736">
        <f>[1]资金台帐!AJ736</f>
        <v>0</v>
      </c>
      <c r="AK736">
        <f>[1]资金台帐!AK736</f>
        <v>0</v>
      </c>
      <c r="BA736" s="22">
        <f t="shared" si="0"/>
      </c>
      <c r="BG736" s="22">
        <f t="shared" si="1"/>
      </c>
      <c r="BH736" s="22">
        <f t="shared" si="2"/>
        <v>0</v>
      </c>
    </row>
    <row r="737">
      <c r="B737">
        <f>[1]资金台帐!B737&amp;""</f>
      </c>
      <c r="H737">
        <f>[1]资金台帐!H737&amp;""</f>
      </c>
      <c r="J737">
        <f>[1]资金台帐!J737&amp;""</f>
      </c>
      <c r="N737">
        <f>[1]资金台帐!N737</f>
      </c>
      <c r="O737">
        <f>[1]资金台帐!O737&amp;""</f>
      </c>
      <c r="P737">
        <f>[1]资金台帐!P737&amp;""</f>
      </c>
      <c r="Q737">
        <f>[1]资金台帐!Q737&amp;""</f>
      </c>
      <c r="T737">
        <f>[1]资金台帐!T737&amp;""</f>
      </c>
      <c r="U737">
        <f>[1]资金台帐!U737&amp;""</f>
      </c>
      <c r="W737">
        <f>[1]资金台帐!W737&amp;""</f>
      </c>
      <c r="X737">
        <f>[1]资金台帐!X737&amp;""</f>
      </c>
      <c r="AB737">
        <f>[1]资金台帐!AB737</f>
        <v>0</v>
      </c>
      <c r="AC737">
        <f>[1]资金台帐!AC737</f>
        <v>0</v>
      </c>
      <c r="AD737">
        <f>[1]资金台帐!AD737</f>
        <v>0</v>
      </c>
      <c r="AJ737">
        <f>[1]资金台帐!AJ737</f>
        <v>0</v>
      </c>
      <c r="AK737">
        <f>[1]资金台帐!AK737</f>
        <v>0</v>
      </c>
      <c r="BA737" s="22">
        <f t="shared" si="0"/>
      </c>
      <c r="BG737" s="22">
        <f t="shared" si="1"/>
      </c>
      <c r="BH737" s="22">
        <f t="shared" si="2"/>
        <v>0</v>
      </c>
    </row>
    <row r="738">
      <c r="B738">
        <f>[1]资金台帐!B738&amp;""</f>
      </c>
      <c r="H738">
        <f>[1]资金台帐!H738&amp;""</f>
      </c>
      <c r="J738">
        <f>[1]资金台帐!J738&amp;""</f>
      </c>
      <c r="N738">
        <f>[1]资金台帐!N738</f>
      </c>
      <c r="O738">
        <f>[1]资金台帐!O738&amp;""</f>
      </c>
      <c r="P738">
        <f>[1]资金台帐!P738&amp;""</f>
      </c>
      <c r="Q738">
        <f>[1]资金台帐!Q738&amp;""</f>
      </c>
      <c r="T738">
        <f>[1]资金台帐!T738&amp;""</f>
      </c>
      <c r="U738">
        <f>[1]资金台帐!U738&amp;""</f>
      </c>
      <c r="W738">
        <f>[1]资金台帐!W738&amp;""</f>
      </c>
      <c r="X738">
        <f>[1]资金台帐!X738&amp;""</f>
      </c>
      <c r="AB738">
        <f>[1]资金台帐!AB738</f>
        <v>0</v>
      </c>
      <c r="AC738">
        <f>[1]资金台帐!AC738</f>
        <v>0</v>
      </c>
      <c r="AD738">
        <f>[1]资金台帐!AD738</f>
        <v>0</v>
      </c>
      <c r="AJ738">
        <f>[1]资金台帐!AJ738</f>
        <v>0</v>
      </c>
      <c r="AK738">
        <f>[1]资金台帐!AK738</f>
        <v>0</v>
      </c>
      <c r="BA738" s="22">
        <f t="shared" si="0"/>
      </c>
      <c r="BG738" s="22">
        <f t="shared" si="1"/>
      </c>
      <c r="BH738" s="22">
        <f t="shared" si="2"/>
        <v>0</v>
      </c>
    </row>
    <row r="739">
      <c r="B739">
        <f>[1]资金台帐!B739&amp;""</f>
      </c>
      <c r="H739">
        <f>[1]资金台帐!H739&amp;""</f>
      </c>
      <c r="J739">
        <f>[1]资金台帐!J739&amp;""</f>
      </c>
      <c r="N739">
        <f>[1]资金台帐!N739</f>
      </c>
      <c r="O739">
        <f>[1]资金台帐!O739&amp;""</f>
      </c>
      <c r="P739">
        <f>[1]资金台帐!P739&amp;""</f>
      </c>
      <c r="Q739">
        <f>[1]资金台帐!Q739&amp;""</f>
      </c>
      <c r="T739">
        <f>[1]资金台帐!T739&amp;""</f>
      </c>
      <c r="U739">
        <f>[1]资金台帐!U739&amp;""</f>
      </c>
      <c r="W739">
        <f>[1]资金台帐!W739&amp;""</f>
      </c>
      <c r="X739">
        <f>[1]资金台帐!X739&amp;""</f>
      </c>
      <c r="AB739">
        <f>[1]资金台帐!AB739</f>
        <v>0</v>
      </c>
      <c r="AC739">
        <f>[1]资金台帐!AC739</f>
        <v>0</v>
      </c>
      <c r="AD739">
        <f>[1]资金台帐!AD739</f>
        <v>0</v>
      </c>
      <c r="AJ739">
        <f>[1]资金台帐!AJ739</f>
        <v>0</v>
      </c>
      <c r="AK739">
        <f>[1]资金台帐!AK739</f>
        <v>0</v>
      </c>
      <c r="BA739" s="22">
        <f t="shared" si="0"/>
      </c>
      <c r="BG739" s="22">
        <f t="shared" si="1"/>
      </c>
      <c r="BH739" s="22">
        <f t="shared" si="2"/>
        <v>0</v>
      </c>
    </row>
    <row r="740">
      <c r="B740">
        <f>[1]资金台帐!B740&amp;""</f>
      </c>
      <c r="H740">
        <f>[1]资金台帐!H740&amp;""</f>
      </c>
      <c r="J740">
        <f>[1]资金台帐!J740&amp;""</f>
      </c>
      <c r="N740">
        <f>[1]资金台帐!N740</f>
      </c>
      <c r="O740">
        <f>[1]资金台帐!O740&amp;""</f>
      </c>
      <c r="P740">
        <f>[1]资金台帐!P740&amp;""</f>
      </c>
      <c r="Q740">
        <f>[1]资金台帐!Q740&amp;""</f>
      </c>
      <c r="T740">
        <f>[1]资金台帐!T740&amp;""</f>
      </c>
      <c r="U740">
        <f>[1]资金台帐!U740&amp;""</f>
      </c>
      <c r="W740">
        <f>[1]资金台帐!W740&amp;""</f>
      </c>
      <c r="X740">
        <f>[1]资金台帐!X740&amp;""</f>
      </c>
      <c r="AB740">
        <f>[1]资金台帐!AB740</f>
        <v>0</v>
      </c>
      <c r="AC740">
        <f>[1]资金台帐!AC740</f>
        <v>0</v>
      </c>
      <c r="AD740">
        <f>[1]资金台帐!AD740</f>
        <v>0</v>
      </c>
      <c r="AJ740">
        <f>[1]资金台帐!AJ740</f>
        <v>0</v>
      </c>
      <c r="AK740">
        <f>[1]资金台帐!AK740</f>
        <v>0</v>
      </c>
      <c r="BA740" s="22">
        <f t="shared" si="0"/>
      </c>
      <c r="BG740" s="22">
        <f t="shared" si="1"/>
      </c>
      <c r="BH740" s="22">
        <f t="shared" si="2"/>
        <v>0</v>
      </c>
    </row>
    <row r="741">
      <c r="B741">
        <f>[1]资金台帐!B741&amp;""</f>
      </c>
      <c r="H741">
        <f>[1]资金台帐!H741&amp;""</f>
      </c>
      <c r="J741">
        <f>[1]资金台帐!J741&amp;""</f>
      </c>
      <c r="N741">
        <f>[1]资金台帐!N741</f>
      </c>
      <c r="O741">
        <f>[1]资金台帐!O741&amp;""</f>
      </c>
      <c r="P741">
        <f>[1]资金台帐!P741&amp;""</f>
      </c>
      <c r="Q741">
        <f>[1]资金台帐!Q741&amp;""</f>
      </c>
      <c r="T741">
        <f>[1]资金台帐!T741&amp;""</f>
      </c>
      <c r="U741">
        <f>[1]资金台帐!U741&amp;""</f>
      </c>
      <c r="W741">
        <f>[1]资金台帐!W741&amp;""</f>
      </c>
      <c r="X741">
        <f>[1]资金台帐!X741&amp;""</f>
      </c>
      <c r="AB741">
        <f>[1]资金台帐!AB741</f>
        <v>0</v>
      </c>
      <c r="AC741">
        <f>[1]资金台帐!AC741</f>
        <v>0</v>
      </c>
      <c r="AD741">
        <f>[1]资金台帐!AD741</f>
        <v>0</v>
      </c>
      <c r="AJ741">
        <f>[1]资金台帐!AJ741</f>
        <v>0</v>
      </c>
      <c r="AK741">
        <f>[1]资金台帐!AK741</f>
        <v>0</v>
      </c>
      <c r="BA741" s="22">
        <f t="shared" si="0"/>
      </c>
      <c r="BG741" s="22">
        <f t="shared" si="1"/>
      </c>
      <c r="BH741" s="22">
        <f t="shared" si="2"/>
        <v>0</v>
      </c>
    </row>
    <row r="742">
      <c r="B742">
        <f>[1]资金台帐!B742&amp;""</f>
      </c>
      <c r="H742">
        <f>[1]资金台帐!H742&amp;""</f>
      </c>
      <c r="J742">
        <f>[1]资金台帐!J742&amp;""</f>
      </c>
      <c r="N742">
        <f>[1]资金台帐!N742</f>
      </c>
      <c r="O742">
        <f>[1]资金台帐!O742&amp;""</f>
      </c>
      <c r="P742">
        <f>[1]资金台帐!P742&amp;""</f>
      </c>
      <c r="Q742">
        <f>[1]资金台帐!Q742&amp;""</f>
      </c>
      <c r="T742">
        <f>[1]资金台帐!T742&amp;""</f>
      </c>
      <c r="U742">
        <f>[1]资金台帐!U742&amp;""</f>
      </c>
      <c r="W742">
        <f>[1]资金台帐!W742&amp;""</f>
      </c>
      <c r="X742">
        <f>[1]资金台帐!X742&amp;""</f>
      </c>
      <c r="AB742">
        <f>[1]资金台帐!AB742</f>
        <v>0</v>
      </c>
      <c r="AC742">
        <f>[1]资金台帐!AC742</f>
        <v>0</v>
      </c>
      <c r="AD742">
        <f>[1]资金台帐!AD742</f>
        <v>0</v>
      </c>
      <c r="AJ742">
        <f>[1]资金台帐!AJ742</f>
        <v>0</v>
      </c>
      <c r="AK742">
        <f>[1]资金台帐!AK742</f>
        <v>0</v>
      </c>
      <c r="BA742" s="22">
        <f t="shared" si="0"/>
      </c>
      <c r="BG742" s="22">
        <f t="shared" si="1"/>
      </c>
      <c r="BH742" s="22">
        <f t="shared" si="2"/>
        <v>0</v>
      </c>
    </row>
    <row r="743">
      <c r="B743">
        <f>[1]资金台帐!B743&amp;""</f>
      </c>
      <c r="H743">
        <f>[1]资金台帐!H743&amp;""</f>
      </c>
      <c r="J743">
        <f>[1]资金台帐!J743&amp;""</f>
      </c>
      <c r="N743">
        <f>[1]资金台帐!N743</f>
      </c>
      <c r="O743">
        <f>[1]资金台帐!O743&amp;""</f>
      </c>
      <c r="P743">
        <f>[1]资金台帐!P743&amp;""</f>
      </c>
      <c r="Q743">
        <f>[1]资金台帐!Q743&amp;""</f>
      </c>
      <c r="T743">
        <f>[1]资金台帐!T743&amp;""</f>
      </c>
      <c r="U743">
        <f>[1]资金台帐!U743&amp;""</f>
      </c>
      <c r="W743">
        <f>[1]资金台帐!W743&amp;""</f>
      </c>
      <c r="X743">
        <f>[1]资金台帐!X743&amp;""</f>
      </c>
      <c r="AB743">
        <f>[1]资金台帐!AB743</f>
        <v>0</v>
      </c>
      <c r="AC743">
        <f>[1]资金台帐!AC743</f>
        <v>0</v>
      </c>
      <c r="AD743">
        <f>[1]资金台帐!AD743</f>
        <v>0</v>
      </c>
      <c r="AJ743">
        <f>[1]资金台帐!AJ743</f>
        <v>0</v>
      </c>
      <c r="AK743">
        <f>[1]资金台帐!AK743</f>
        <v>0</v>
      </c>
      <c r="BA743" s="22">
        <f t="shared" si="0"/>
      </c>
      <c r="BG743" s="22">
        <f t="shared" si="1"/>
      </c>
      <c r="BH743" s="22">
        <f t="shared" si="2"/>
        <v>0</v>
      </c>
    </row>
    <row r="744">
      <c r="B744">
        <f>[1]资金台帐!B744&amp;""</f>
      </c>
      <c r="H744">
        <f>[1]资金台帐!H744&amp;""</f>
      </c>
      <c r="J744">
        <f>[1]资金台帐!J744&amp;""</f>
      </c>
      <c r="N744">
        <f>[1]资金台帐!N744</f>
      </c>
      <c r="O744">
        <f>[1]资金台帐!O744&amp;""</f>
      </c>
      <c r="P744">
        <f>[1]资金台帐!P744&amp;""</f>
      </c>
      <c r="Q744">
        <f>[1]资金台帐!Q744&amp;""</f>
      </c>
      <c r="T744">
        <f>[1]资金台帐!T744&amp;""</f>
      </c>
      <c r="U744">
        <f>[1]资金台帐!U744&amp;""</f>
      </c>
      <c r="W744">
        <f>[1]资金台帐!W744&amp;""</f>
      </c>
      <c r="X744">
        <f>[1]资金台帐!X744&amp;""</f>
      </c>
      <c r="AB744">
        <f>[1]资金台帐!AB744</f>
        <v>0</v>
      </c>
      <c r="AC744">
        <f>[1]资金台帐!AC744</f>
        <v>0</v>
      </c>
      <c r="AD744">
        <f>[1]资金台帐!AD744</f>
        <v>0</v>
      </c>
      <c r="AJ744">
        <f>[1]资金台帐!AJ744</f>
        <v>0</v>
      </c>
      <c r="AK744">
        <f>[1]资金台帐!AK744</f>
        <v>0</v>
      </c>
      <c r="BA744" s="22">
        <f t="shared" si="0"/>
      </c>
      <c r="BG744" s="22">
        <f t="shared" si="1"/>
      </c>
      <c r="BH744" s="22">
        <f t="shared" si="2"/>
        <v>0</v>
      </c>
    </row>
    <row r="745">
      <c r="B745">
        <f>[1]资金台帐!B745&amp;""</f>
      </c>
      <c r="H745">
        <f>[1]资金台帐!H745&amp;""</f>
      </c>
      <c r="J745">
        <f>[1]资金台帐!J745&amp;""</f>
      </c>
      <c r="N745">
        <f>[1]资金台帐!N745</f>
      </c>
      <c r="O745">
        <f>[1]资金台帐!O745&amp;""</f>
      </c>
      <c r="P745">
        <f>[1]资金台帐!P745&amp;""</f>
      </c>
      <c r="Q745">
        <f>[1]资金台帐!Q745&amp;""</f>
      </c>
      <c r="T745">
        <f>[1]资金台帐!T745&amp;""</f>
      </c>
      <c r="U745">
        <f>[1]资金台帐!U745&amp;""</f>
      </c>
      <c r="W745">
        <f>[1]资金台帐!W745&amp;""</f>
      </c>
      <c r="X745">
        <f>[1]资金台帐!X745&amp;""</f>
      </c>
      <c r="AB745">
        <f>[1]资金台帐!AB745</f>
        <v>0</v>
      </c>
      <c r="AC745">
        <f>[1]资金台帐!AC745</f>
        <v>0</v>
      </c>
      <c r="AD745">
        <f>[1]资金台帐!AD745</f>
        <v>0</v>
      </c>
      <c r="AJ745">
        <f>[1]资金台帐!AJ745</f>
        <v>0</v>
      </c>
      <c r="AK745">
        <f>[1]资金台帐!AK745</f>
        <v>0</v>
      </c>
      <c r="BA745" s="22">
        <f t="shared" si="0"/>
      </c>
      <c r="BG745" s="22">
        <f t="shared" si="1"/>
      </c>
      <c r="BH745" s="22">
        <f t="shared" si="2"/>
        <v>0</v>
      </c>
    </row>
    <row r="746">
      <c r="B746">
        <f>[1]资金台帐!B746&amp;""</f>
      </c>
      <c r="H746">
        <f>[1]资金台帐!H746&amp;""</f>
      </c>
      <c r="J746">
        <f>[1]资金台帐!J746&amp;""</f>
      </c>
      <c r="N746">
        <f>[1]资金台帐!N746</f>
      </c>
      <c r="O746">
        <f>[1]资金台帐!O746&amp;""</f>
      </c>
      <c r="P746">
        <f>[1]资金台帐!P746&amp;""</f>
      </c>
      <c r="Q746">
        <f>[1]资金台帐!Q746&amp;""</f>
      </c>
      <c r="T746">
        <f>[1]资金台帐!T746&amp;""</f>
      </c>
      <c r="U746">
        <f>[1]资金台帐!U746&amp;""</f>
      </c>
      <c r="W746">
        <f>[1]资金台帐!W746&amp;""</f>
      </c>
      <c r="X746">
        <f>[1]资金台帐!X746&amp;""</f>
      </c>
      <c r="AB746">
        <f>[1]资金台帐!AB746</f>
        <v>0</v>
      </c>
      <c r="AC746">
        <f>[1]资金台帐!AC746</f>
        <v>0</v>
      </c>
      <c r="AD746">
        <f>[1]资金台帐!AD746</f>
        <v>0</v>
      </c>
      <c r="AJ746">
        <f>[1]资金台帐!AJ746</f>
        <v>0</v>
      </c>
      <c r="AK746">
        <f>[1]资金台帐!AK746</f>
        <v>0</v>
      </c>
      <c r="BA746" s="22">
        <f t="shared" si="0"/>
      </c>
      <c r="BG746" s="22">
        <f t="shared" si="1"/>
      </c>
      <c r="BH746" s="22">
        <f t="shared" si="2"/>
        <v>0</v>
      </c>
    </row>
    <row r="747">
      <c r="B747">
        <f>[1]资金台帐!B747&amp;""</f>
      </c>
      <c r="H747">
        <f>[1]资金台帐!H747&amp;""</f>
      </c>
      <c r="J747">
        <f>[1]资金台帐!J747&amp;""</f>
      </c>
      <c r="N747">
        <f>[1]资金台帐!N747</f>
      </c>
      <c r="O747">
        <f>[1]资金台帐!O747&amp;""</f>
      </c>
      <c r="P747">
        <f>[1]资金台帐!P747&amp;""</f>
      </c>
      <c r="Q747">
        <f>[1]资金台帐!Q747&amp;""</f>
      </c>
      <c r="T747">
        <f>[1]资金台帐!T747&amp;""</f>
      </c>
      <c r="U747">
        <f>[1]资金台帐!U747&amp;""</f>
      </c>
      <c r="W747">
        <f>[1]资金台帐!W747&amp;""</f>
      </c>
      <c r="X747">
        <f>[1]资金台帐!X747&amp;""</f>
      </c>
      <c r="AB747">
        <f>[1]资金台帐!AB747</f>
        <v>0</v>
      </c>
      <c r="AC747">
        <f>[1]资金台帐!AC747</f>
        <v>0</v>
      </c>
      <c r="AD747">
        <f>[1]资金台帐!AD747</f>
        <v>0</v>
      </c>
      <c r="AJ747">
        <f>[1]资金台帐!AJ747</f>
        <v>0</v>
      </c>
      <c r="AK747">
        <f>[1]资金台帐!AK747</f>
        <v>0</v>
      </c>
      <c r="BA747" s="22">
        <f t="shared" si="0"/>
      </c>
      <c r="BG747" s="22">
        <f t="shared" si="1"/>
      </c>
      <c r="BH747" s="22">
        <f t="shared" si="2"/>
        <v>0</v>
      </c>
    </row>
    <row r="748">
      <c r="B748">
        <f>[1]资金台帐!B748&amp;""</f>
      </c>
      <c r="H748">
        <f>[1]资金台帐!H748&amp;""</f>
      </c>
      <c r="J748">
        <f>[1]资金台帐!J748&amp;""</f>
      </c>
      <c r="N748">
        <f>[1]资金台帐!N748</f>
      </c>
      <c r="O748">
        <f>[1]资金台帐!O748&amp;""</f>
      </c>
      <c r="P748">
        <f>[1]资金台帐!P748&amp;""</f>
      </c>
      <c r="Q748">
        <f>[1]资金台帐!Q748&amp;""</f>
      </c>
      <c r="T748">
        <f>[1]资金台帐!T748&amp;""</f>
      </c>
      <c r="U748">
        <f>[1]资金台帐!U748&amp;""</f>
      </c>
      <c r="W748">
        <f>[1]资金台帐!W748&amp;""</f>
      </c>
      <c r="X748">
        <f>[1]资金台帐!X748&amp;""</f>
      </c>
      <c r="AB748">
        <f>[1]资金台帐!AB748</f>
        <v>0</v>
      </c>
      <c r="AC748">
        <f>[1]资金台帐!AC748</f>
        <v>0</v>
      </c>
      <c r="AD748">
        <f>[1]资金台帐!AD748</f>
        <v>0</v>
      </c>
      <c r="AJ748">
        <f>[1]资金台帐!AJ748</f>
        <v>0</v>
      </c>
      <c r="AK748">
        <f>[1]资金台帐!AK748</f>
        <v>0</v>
      </c>
      <c r="BA748" s="22">
        <f t="shared" si="0"/>
      </c>
      <c r="BG748" s="22">
        <f t="shared" si="1"/>
      </c>
      <c r="BH748" s="22">
        <f t="shared" si="2"/>
        <v>0</v>
      </c>
    </row>
    <row r="749">
      <c r="B749">
        <f>[1]资金台帐!B749&amp;""</f>
      </c>
      <c r="H749">
        <f>[1]资金台帐!H749&amp;""</f>
      </c>
      <c r="J749">
        <f>[1]资金台帐!J749&amp;""</f>
      </c>
      <c r="N749">
        <f>[1]资金台帐!N749</f>
      </c>
      <c r="O749">
        <f>[1]资金台帐!O749&amp;""</f>
      </c>
      <c r="P749">
        <f>[1]资金台帐!P749&amp;""</f>
      </c>
      <c r="Q749">
        <f>[1]资金台帐!Q749&amp;""</f>
      </c>
      <c r="T749">
        <f>[1]资金台帐!T749&amp;""</f>
      </c>
      <c r="U749">
        <f>[1]资金台帐!U749&amp;""</f>
      </c>
      <c r="W749">
        <f>[1]资金台帐!W749&amp;""</f>
      </c>
      <c r="X749">
        <f>[1]资金台帐!X749&amp;""</f>
      </c>
      <c r="AB749">
        <f>[1]资金台帐!AB749</f>
        <v>0</v>
      </c>
      <c r="AC749">
        <f>[1]资金台帐!AC749</f>
        <v>0</v>
      </c>
      <c r="AD749">
        <f>[1]资金台帐!AD749</f>
        <v>0</v>
      </c>
      <c r="AJ749">
        <f>[1]资金台帐!AJ749</f>
        <v>0</v>
      </c>
      <c r="AK749">
        <f>[1]资金台帐!AK749</f>
        <v>0</v>
      </c>
      <c r="BA749" s="22">
        <f t="shared" si="0"/>
      </c>
      <c r="BG749" s="22">
        <f t="shared" si="1"/>
      </c>
      <c r="BH749" s="22">
        <f t="shared" si="2"/>
        <v>0</v>
      </c>
    </row>
    <row r="750">
      <c r="B750">
        <f>[1]资金台帐!B750&amp;""</f>
      </c>
      <c r="H750">
        <f>[1]资金台帐!H750&amp;""</f>
      </c>
      <c r="J750">
        <f>[1]资金台帐!J750&amp;""</f>
      </c>
      <c r="N750">
        <f>[1]资金台帐!N750</f>
      </c>
      <c r="O750">
        <f>[1]资金台帐!O750&amp;""</f>
      </c>
      <c r="P750">
        <f>[1]资金台帐!P750&amp;""</f>
      </c>
      <c r="Q750">
        <f>[1]资金台帐!Q750&amp;""</f>
      </c>
      <c r="T750">
        <f>[1]资金台帐!T750&amp;""</f>
      </c>
      <c r="U750">
        <f>[1]资金台帐!U750&amp;""</f>
      </c>
      <c r="W750">
        <f>[1]资金台帐!W750&amp;""</f>
      </c>
      <c r="X750">
        <f>[1]资金台帐!X750&amp;""</f>
      </c>
      <c r="AB750">
        <f>[1]资金台帐!AB750</f>
        <v>0</v>
      </c>
      <c r="AC750">
        <f>[1]资金台帐!AC750</f>
        <v>0</v>
      </c>
      <c r="AD750">
        <f>[1]资金台帐!AD750</f>
        <v>0</v>
      </c>
      <c r="AJ750">
        <f>[1]资金台帐!AJ750</f>
        <v>0</v>
      </c>
      <c r="AK750">
        <f>[1]资金台帐!AK750</f>
        <v>0</v>
      </c>
      <c r="BA750" s="22">
        <f t="shared" si="0"/>
      </c>
      <c r="BG750" s="22">
        <f t="shared" si="1"/>
      </c>
      <c r="BH750" s="22">
        <f t="shared" si="2"/>
        <v>0</v>
      </c>
    </row>
    <row r="751">
      <c r="B751">
        <f>[1]资金台帐!B751&amp;""</f>
      </c>
      <c r="H751">
        <f>[1]资金台帐!H751&amp;""</f>
      </c>
      <c r="J751">
        <f>[1]资金台帐!J751&amp;""</f>
      </c>
      <c r="N751">
        <f>[1]资金台帐!N751</f>
      </c>
      <c r="O751">
        <f>[1]资金台帐!O751&amp;""</f>
      </c>
      <c r="P751">
        <f>[1]资金台帐!P751&amp;""</f>
      </c>
      <c r="Q751">
        <f>[1]资金台帐!Q751&amp;""</f>
      </c>
      <c r="T751">
        <f>[1]资金台帐!T751&amp;""</f>
      </c>
      <c r="U751">
        <f>[1]资金台帐!U751&amp;""</f>
      </c>
      <c r="W751">
        <f>[1]资金台帐!W751&amp;""</f>
      </c>
      <c r="X751">
        <f>[1]资金台帐!X751&amp;""</f>
      </c>
      <c r="AB751">
        <f>[1]资金台帐!AB751</f>
        <v>0</v>
      </c>
      <c r="AC751">
        <f>[1]资金台帐!AC751</f>
        <v>0</v>
      </c>
      <c r="AD751">
        <f>[1]资金台帐!AD751</f>
        <v>0</v>
      </c>
      <c r="AJ751">
        <f>[1]资金台帐!AJ751</f>
        <v>0</v>
      </c>
      <c r="AK751">
        <f>[1]资金台帐!AK751</f>
        <v>0</v>
      </c>
      <c r="BA751" s="22">
        <f t="shared" si="0"/>
      </c>
      <c r="BG751" s="22">
        <f t="shared" si="1"/>
      </c>
      <c r="BH751" s="22">
        <f t="shared" si="2"/>
        <v>0</v>
      </c>
    </row>
    <row r="752">
      <c r="B752">
        <f>[1]资金台帐!B752&amp;""</f>
      </c>
      <c r="H752">
        <f>[1]资金台帐!H752&amp;""</f>
      </c>
      <c r="J752">
        <f>[1]资金台帐!J752&amp;""</f>
      </c>
      <c r="N752">
        <f>[1]资金台帐!N752</f>
      </c>
      <c r="O752">
        <f>[1]资金台帐!O752&amp;""</f>
      </c>
      <c r="P752">
        <f>[1]资金台帐!P752&amp;""</f>
      </c>
      <c r="Q752">
        <f>[1]资金台帐!Q752&amp;""</f>
      </c>
      <c r="T752">
        <f>[1]资金台帐!T752&amp;""</f>
      </c>
      <c r="U752">
        <f>[1]资金台帐!U752&amp;""</f>
      </c>
      <c r="W752">
        <f>[1]资金台帐!W752&amp;""</f>
      </c>
      <c r="X752">
        <f>[1]资金台帐!X752&amp;""</f>
      </c>
      <c r="AB752">
        <f>[1]资金台帐!AB752</f>
        <v>0</v>
      </c>
      <c r="AC752">
        <f>[1]资金台帐!AC752</f>
        <v>0</v>
      </c>
      <c r="AD752">
        <f>[1]资金台帐!AD752</f>
        <v>0</v>
      </c>
      <c r="AJ752">
        <f>[1]资金台帐!AJ752</f>
        <v>0</v>
      </c>
      <c r="AK752">
        <f>[1]资金台帐!AK752</f>
        <v>0</v>
      </c>
      <c r="BA752" s="22">
        <f t="shared" si="0"/>
      </c>
      <c r="BG752" s="22">
        <f t="shared" si="1"/>
      </c>
      <c r="BH752" s="22">
        <f t="shared" si="2"/>
        <v>0</v>
      </c>
    </row>
    <row r="753">
      <c r="B753">
        <f>[1]资金台帐!B753&amp;""</f>
      </c>
      <c r="H753">
        <f>[1]资金台帐!H753&amp;""</f>
      </c>
      <c r="J753">
        <f>[1]资金台帐!J753&amp;""</f>
      </c>
      <c r="N753">
        <f>[1]资金台帐!N753</f>
      </c>
      <c r="O753">
        <f>[1]资金台帐!O753&amp;""</f>
      </c>
      <c r="P753">
        <f>[1]资金台帐!P753&amp;""</f>
      </c>
      <c r="Q753">
        <f>[1]资金台帐!Q753&amp;""</f>
      </c>
      <c r="T753">
        <f>[1]资金台帐!T753&amp;""</f>
      </c>
      <c r="U753">
        <f>[1]资金台帐!U753&amp;""</f>
      </c>
      <c r="W753">
        <f>[1]资金台帐!W753&amp;""</f>
      </c>
      <c r="X753">
        <f>[1]资金台帐!X753&amp;""</f>
      </c>
      <c r="AB753">
        <f>[1]资金台帐!AB753</f>
        <v>0</v>
      </c>
      <c r="AC753">
        <f>[1]资金台帐!AC753</f>
        <v>0</v>
      </c>
      <c r="AD753">
        <f>[1]资金台帐!AD753</f>
        <v>0</v>
      </c>
      <c r="AJ753">
        <f>[1]资金台帐!AJ753</f>
        <v>0</v>
      </c>
      <c r="AK753">
        <f>[1]资金台帐!AK753</f>
        <v>0</v>
      </c>
      <c r="BA753" s="22">
        <f t="shared" si="0"/>
      </c>
      <c r="BG753" s="22">
        <f t="shared" si="1"/>
      </c>
      <c r="BH753" s="22">
        <f t="shared" si="2"/>
        <v>0</v>
      </c>
    </row>
    <row r="754">
      <c r="B754">
        <f>[1]资金台帐!B754&amp;""</f>
      </c>
      <c r="H754">
        <f>[1]资金台帐!H754&amp;""</f>
      </c>
      <c r="J754">
        <f>[1]资金台帐!J754&amp;""</f>
      </c>
      <c r="N754">
        <f>[1]资金台帐!N754</f>
      </c>
      <c r="O754">
        <f>[1]资金台帐!O754&amp;""</f>
      </c>
      <c r="P754">
        <f>[1]资金台帐!P754&amp;""</f>
      </c>
      <c r="Q754">
        <f>[1]资金台帐!Q754&amp;""</f>
      </c>
      <c r="T754">
        <f>[1]资金台帐!T754&amp;""</f>
      </c>
      <c r="U754">
        <f>[1]资金台帐!U754&amp;""</f>
      </c>
      <c r="W754">
        <f>[1]资金台帐!W754&amp;""</f>
      </c>
      <c r="X754">
        <f>[1]资金台帐!X754&amp;""</f>
      </c>
      <c r="AB754">
        <f>[1]资金台帐!AB754</f>
        <v>0</v>
      </c>
      <c r="AC754">
        <f>[1]资金台帐!AC754</f>
        <v>0</v>
      </c>
      <c r="AD754">
        <f>[1]资金台帐!AD754</f>
        <v>0</v>
      </c>
      <c r="AJ754">
        <f>[1]资金台帐!AJ754</f>
        <v>0</v>
      </c>
      <c r="AK754">
        <f>[1]资金台帐!AK754</f>
        <v>0</v>
      </c>
      <c r="BA754" s="22">
        <f t="shared" si="0"/>
      </c>
      <c r="BG754" s="22">
        <f t="shared" si="1"/>
      </c>
      <c r="BH754" s="22">
        <f t="shared" si="2"/>
        <v>0</v>
      </c>
    </row>
    <row r="755">
      <c r="B755">
        <f>[1]资金台帐!B755&amp;""</f>
      </c>
      <c r="H755">
        <f>[1]资金台帐!H755&amp;""</f>
      </c>
      <c r="J755">
        <f>[1]资金台帐!J755&amp;""</f>
      </c>
      <c r="N755">
        <f>[1]资金台帐!N755</f>
      </c>
      <c r="O755">
        <f>[1]资金台帐!O755&amp;""</f>
      </c>
      <c r="P755">
        <f>[1]资金台帐!P755&amp;""</f>
      </c>
      <c r="Q755">
        <f>[1]资金台帐!Q755&amp;""</f>
      </c>
      <c r="T755">
        <f>[1]资金台帐!T755&amp;""</f>
      </c>
      <c r="U755">
        <f>[1]资金台帐!U755&amp;""</f>
      </c>
      <c r="W755">
        <f>[1]资金台帐!W755&amp;""</f>
      </c>
      <c r="X755">
        <f>[1]资金台帐!X755&amp;""</f>
      </c>
      <c r="AB755">
        <f>[1]资金台帐!AB755</f>
        <v>0</v>
      </c>
      <c r="AC755">
        <f>[1]资金台帐!AC755</f>
        <v>0</v>
      </c>
      <c r="AD755">
        <f>[1]资金台帐!AD755</f>
        <v>0</v>
      </c>
      <c r="AJ755">
        <f>[1]资金台帐!AJ755</f>
        <v>0</v>
      </c>
      <c r="AK755">
        <f>[1]资金台帐!AK755</f>
        <v>0</v>
      </c>
      <c r="BA755" s="22">
        <f t="shared" si="0"/>
      </c>
      <c r="BG755" s="22">
        <f t="shared" si="1"/>
      </c>
      <c r="BH755" s="22">
        <f t="shared" si="2"/>
        <v>0</v>
      </c>
    </row>
    <row r="756">
      <c r="B756">
        <f>[1]资金台帐!B756&amp;""</f>
      </c>
      <c r="H756">
        <f>[1]资金台帐!H756&amp;""</f>
      </c>
      <c r="J756">
        <f>[1]资金台帐!J756&amp;""</f>
      </c>
      <c r="N756">
        <f>[1]资金台帐!N756</f>
      </c>
      <c r="O756">
        <f>[1]资金台帐!O756&amp;""</f>
      </c>
      <c r="P756">
        <f>[1]资金台帐!P756&amp;""</f>
      </c>
      <c r="Q756">
        <f>[1]资金台帐!Q756&amp;""</f>
      </c>
      <c r="T756">
        <f>[1]资金台帐!T756&amp;""</f>
      </c>
      <c r="U756">
        <f>[1]资金台帐!U756&amp;""</f>
      </c>
      <c r="W756">
        <f>[1]资金台帐!W756&amp;""</f>
      </c>
      <c r="X756">
        <f>[1]资金台帐!X756&amp;""</f>
      </c>
      <c r="AB756">
        <f>[1]资金台帐!AB756</f>
        <v>0</v>
      </c>
      <c r="AC756">
        <f>[1]资金台帐!AC756</f>
        <v>0</v>
      </c>
      <c r="AD756">
        <f>[1]资金台帐!AD756</f>
        <v>0</v>
      </c>
      <c r="AJ756">
        <f>[1]资金台帐!AJ756</f>
        <v>0</v>
      </c>
      <c r="AK756">
        <f>[1]资金台帐!AK756</f>
        <v>0</v>
      </c>
      <c r="BA756" s="22">
        <f t="shared" si="0"/>
      </c>
      <c r="BG756" s="22">
        <f t="shared" si="1"/>
      </c>
      <c r="BH756" s="22">
        <f t="shared" si="2"/>
        <v>0</v>
      </c>
    </row>
    <row r="757">
      <c r="B757">
        <f>[1]资金台帐!B757&amp;""</f>
      </c>
      <c r="H757">
        <f>[1]资金台帐!H757&amp;""</f>
      </c>
      <c r="J757">
        <f>[1]资金台帐!J757&amp;""</f>
      </c>
      <c r="N757">
        <f>[1]资金台帐!N757</f>
      </c>
      <c r="O757">
        <f>[1]资金台帐!O757&amp;""</f>
      </c>
      <c r="P757">
        <f>[1]资金台帐!P757&amp;""</f>
      </c>
      <c r="Q757">
        <f>[1]资金台帐!Q757&amp;""</f>
      </c>
      <c r="T757">
        <f>[1]资金台帐!T757&amp;""</f>
      </c>
      <c r="U757">
        <f>[1]资金台帐!U757&amp;""</f>
      </c>
      <c r="W757">
        <f>[1]资金台帐!W757&amp;""</f>
      </c>
      <c r="X757">
        <f>[1]资金台帐!X757&amp;""</f>
      </c>
      <c r="AB757">
        <f>[1]资金台帐!AB757</f>
        <v>0</v>
      </c>
      <c r="AC757">
        <f>[1]资金台帐!AC757</f>
        <v>0</v>
      </c>
      <c r="AD757">
        <f>[1]资金台帐!AD757</f>
        <v>0</v>
      </c>
      <c r="AJ757">
        <f>[1]资金台帐!AJ757</f>
        <v>0</v>
      </c>
      <c r="AK757">
        <f>[1]资金台帐!AK757</f>
        <v>0</v>
      </c>
      <c r="BA757" s="22">
        <f t="shared" si="0"/>
      </c>
      <c r="BG757" s="22">
        <f t="shared" si="1"/>
      </c>
      <c r="BH757" s="22">
        <f t="shared" si="2"/>
        <v>0</v>
      </c>
    </row>
    <row r="758">
      <c r="B758">
        <f>[1]资金台帐!B758&amp;""</f>
      </c>
      <c r="H758">
        <f>[1]资金台帐!H758&amp;""</f>
      </c>
      <c r="J758">
        <f>[1]资金台帐!J758&amp;""</f>
      </c>
      <c r="N758">
        <f>[1]资金台帐!N758</f>
      </c>
      <c r="O758">
        <f>[1]资金台帐!O758&amp;""</f>
      </c>
      <c r="P758">
        <f>[1]资金台帐!P758&amp;""</f>
      </c>
      <c r="Q758">
        <f>[1]资金台帐!Q758&amp;""</f>
      </c>
      <c r="T758">
        <f>[1]资金台帐!T758&amp;""</f>
      </c>
      <c r="U758">
        <f>[1]资金台帐!U758&amp;""</f>
      </c>
      <c r="W758">
        <f>[1]资金台帐!W758&amp;""</f>
      </c>
      <c r="X758">
        <f>[1]资金台帐!X758&amp;""</f>
      </c>
      <c r="AB758">
        <f>[1]资金台帐!AB758</f>
        <v>0</v>
      </c>
      <c r="AC758">
        <f>[1]资金台帐!AC758</f>
        <v>0</v>
      </c>
      <c r="AD758">
        <f>[1]资金台帐!AD758</f>
        <v>0</v>
      </c>
      <c r="AJ758">
        <f>[1]资金台帐!AJ758</f>
        <v>0</v>
      </c>
      <c r="AK758">
        <f>[1]资金台帐!AK758</f>
        <v>0</v>
      </c>
      <c r="BA758" s="22">
        <f t="shared" si="0"/>
      </c>
      <c r="BG758" s="22">
        <f t="shared" si="1"/>
      </c>
      <c r="BH758" s="22">
        <f t="shared" si="2"/>
        <v>0</v>
      </c>
    </row>
    <row r="759">
      <c r="B759">
        <f>[1]资金台帐!B759&amp;""</f>
      </c>
      <c r="H759">
        <f>[1]资金台帐!H759&amp;""</f>
      </c>
      <c r="J759">
        <f>[1]资金台帐!J759&amp;""</f>
      </c>
      <c r="N759">
        <f>[1]资金台帐!N759</f>
      </c>
      <c r="O759">
        <f>[1]资金台帐!O759&amp;""</f>
      </c>
      <c r="P759">
        <f>[1]资金台帐!P759&amp;""</f>
      </c>
      <c r="Q759">
        <f>[1]资金台帐!Q759&amp;""</f>
      </c>
      <c r="T759">
        <f>[1]资金台帐!T759&amp;""</f>
      </c>
      <c r="U759">
        <f>[1]资金台帐!U759&amp;""</f>
      </c>
      <c r="W759">
        <f>[1]资金台帐!W759&amp;""</f>
      </c>
      <c r="X759">
        <f>[1]资金台帐!X759&amp;""</f>
      </c>
      <c r="AB759">
        <f>[1]资金台帐!AB759</f>
        <v>0</v>
      </c>
      <c r="AC759">
        <f>[1]资金台帐!AC759</f>
        <v>0</v>
      </c>
      <c r="AD759">
        <f>[1]资金台帐!AD759</f>
        <v>0</v>
      </c>
      <c r="AJ759">
        <f>[1]资金台帐!AJ759</f>
        <v>0</v>
      </c>
      <c r="AK759">
        <f>[1]资金台帐!AK759</f>
        <v>0</v>
      </c>
      <c r="BA759" s="22">
        <f t="shared" si="0"/>
      </c>
      <c r="BG759" s="22">
        <f t="shared" si="1"/>
      </c>
      <c r="BH759" s="22">
        <f t="shared" si="2"/>
        <v>0</v>
      </c>
    </row>
    <row r="760">
      <c r="B760">
        <f>[1]资金台帐!B760&amp;""</f>
      </c>
      <c r="H760">
        <f>[1]资金台帐!H760&amp;""</f>
      </c>
      <c r="J760">
        <f>[1]资金台帐!J760&amp;""</f>
      </c>
      <c r="N760">
        <f>[1]资金台帐!N760</f>
      </c>
      <c r="O760">
        <f>[1]资金台帐!O760&amp;""</f>
      </c>
      <c r="P760">
        <f>[1]资金台帐!P760&amp;""</f>
      </c>
      <c r="Q760">
        <f>[1]资金台帐!Q760&amp;""</f>
      </c>
      <c r="T760">
        <f>[1]资金台帐!T760&amp;""</f>
      </c>
      <c r="U760">
        <f>[1]资金台帐!U760&amp;""</f>
      </c>
      <c r="W760">
        <f>[1]资金台帐!W760&amp;""</f>
      </c>
      <c r="X760">
        <f>[1]资金台帐!X760&amp;""</f>
      </c>
      <c r="AB760">
        <f>[1]资金台帐!AB760</f>
        <v>0</v>
      </c>
      <c r="AC760">
        <f>[1]资金台帐!AC760</f>
        <v>0</v>
      </c>
      <c r="AD760">
        <f>[1]资金台帐!AD760</f>
        <v>0</v>
      </c>
      <c r="AJ760">
        <f>[1]资金台帐!AJ760</f>
        <v>0</v>
      </c>
      <c r="AK760">
        <f>[1]资金台帐!AK760</f>
        <v>0</v>
      </c>
      <c r="BA760" s="22">
        <f t="shared" si="0"/>
      </c>
      <c r="BG760" s="22">
        <f t="shared" si="1"/>
      </c>
      <c r="BH760" s="22">
        <f t="shared" si="2"/>
        <v>0</v>
      </c>
    </row>
    <row r="761">
      <c r="B761">
        <f>[1]资金台帐!B761&amp;""</f>
      </c>
      <c r="H761">
        <f>[1]资金台帐!H761&amp;""</f>
      </c>
      <c r="J761">
        <f>[1]资金台帐!J761&amp;""</f>
      </c>
      <c r="N761">
        <f>[1]资金台帐!N761</f>
      </c>
      <c r="O761">
        <f>[1]资金台帐!O761&amp;""</f>
      </c>
      <c r="P761">
        <f>[1]资金台帐!P761&amp;""</f>
      </c>
      <c r="Q761">
        <f>[1]资金台帐!Q761&amp;""</f>
      </c>
      <c r="T761">
        <f>[1]资金台帐!T761&amp;""</f>
      </c>
      <c r="U761">
        <f>[1]资金台帐!U761&amp;""</f>
      </c>
      <c r="W761">
        <f>[1]资金台帐!W761&amp;""</f>
      </c>
      <c r="X761">
        <f>[1]资金台帐!X761&amp;""</f>
      </c>
      <c r="AB761">
        <f>[1]资金台帐!AB761</f>
        <v>0</v>
      </c>
      <c r="AC761">
        <f>[1]资金台帐!AC761</f>
        <v>0</v>
      </c>
      <c r="AD761">
        <f>[1]资金台帐!AD761</f>
        <v>0</v>
      </c>
      <c r="AJ761">
        <f>[1]资金台帐!AJ761</f>
        <v>0</v>
      </c>
      <c r="AK761">
        <f>[1]资金台帐!AK761</f>
        <v>0</v>
      </c>
      <c r="BA761" s="22">
        <f t="shared" si="0"/>
      </c>
      <c r="BG761" s="22">
        <f t="shared" si="1"/>
      </c>
      <c r="BH761" s="22">
        <f t="shared" si="2"/>
        <v>0</v>
      </c>
    </row>
    <row r="762">
      <c r="B762">
        <f>[1]资金台帐!B762&amp;""</f>
      </c>
      <c r="H762">
        <f>[1]资金台帐!H762&amp;""</f>
      </c>
      <c r="J762">
        <f>[1]资金台帐!J762&amp;""</f>
      </c>
      <c r="N762">
        <f>[1]资金台帐!N762</f>
      </c>
      <c r="O762">
        <f>[1]资金台帐!O762&amp;""</f>
      </c>
      <c r="P762">
        <f>[1]资金台帐!P762&amp;""</f>
      </c>
      <c r="Q762">
        <f>[1]资金台帐!Q762&amp;""</f>
      </c>
      <c r="T762">
        <f>[1]资金台帐!T762&amp;""</f>
      </c>
      <c r="U762">
        <f>[1]资金台帐!U762&amp;""</f>
      </c>
      <c r="W762">
        <f>[1]资金台帐!W762&amp;""</f>
      </c>
      <c r="X762">
        <f>[1]资金台帐!X762&amp;""</f>
      </c>
      <c r="AB762">
        <f>[1]资金台帐!AB762</f>
        <v>0</v>
      </c>
      <c r="AC762">
        <f>[1]资金台帐!AC762</f>
        <v>0</v>
      </c>
      <c r="AD762">
        <f>[1]资金台帐!AD762</f>
        <v>0</v>
      </c>
      <c r="AJ762">
        <f>[1]资金台帐!AJ762</f>
        <v>0</v>
      </c>
      <c r="AK762">
        <f>[1]资金台帐!AK762</f>
        <v>0</v>
      </c>
      <c r="BA762" s="22">
        <f t="shared" si="0"/>
      </c>
      <c r="BG762" s="22">
        <f t="shared" si="1"/>
      </c>
      <c r="BH762" s="22">
        <f t="shared" si="2"/>
        <v>0</v>
      </c>
    </row>
    <row r="763">
      <c r="B763">
        <f>[1]资金台帐!B763&amp;""</f>
      </c>
      <c r="H763">
        <f>[1]资金台帐!H763&amp;""</f>
      </c>
      <c r="J763">
        <f>[1]资金台帐!J763&amp;""</f>
      </c>
      <c r="N763">
        <f>[1]资金台帐!N763</f>
      </c>
      <c r="O763">
        <f>[1]资金台帐!O763&amp;""</f>
      </c>
      <c r="P763">
        <f>[1]资金台帐!P763&amp;""</f>
      </c>
      <c r="Q763">
        <f>[1]资金台帐!Q763&amp;""</f>
      </c>
      <c r="T763">
        <f>[1]资金台帐!T763&amp;""</f>
      </c>
      <c r="U763">
        <f>[1]资金台帐!U763&amp;""</f>
      </c>
      <c r="W763">
        <f>[1]资金台帐!W763&amp;""</f>
      </c>
      <c r="X763">
        <f>[1]资金台帐!X763&amp;""</f>
      </c>
      <c r="AB763">
        <f>[1]资金台帐!AB763</f>
        <v>0</v>
      </c>
      <c r="AC763">
        <f>[1]资金台帐!AC763</f>
        <v>0</v>
      </c>
      <c r="AD763">
        <f>[1]资金台帐!AD763</f>
        <v>0</v>
      </c>
      <c r="AJ763">
        <f>[1]资金台帐!AJ763</f>
        <v>0</v>
      </c>
      <c r="AK763">
        <f>[1]资金台帐!AK763</f>
        <v>0</v>
      </c>
      <c r="BA763" s="22">
        <f t="shared" si="0"/>
      </c>
      <c r="BG763" s="22">
        <f t="shared" si="1"/>
      </c>
      <c r="BH763" s="22">
        <f t="shared" si="2"/>
        <v>0</v>
      </c>
    </row>
    <row r="764">
      <c r="B764">
        <f>[1]资金台帐!B764&amp;""</f>
      </c>
      <c r="H764">
        <f>[1]资金台帐!H764&amp;""</f>
      </c>
      <c r="J764">
        <f>[1]资金台帐!J764&amp;""</f>
      </c>
      <c r="N764">
        <f>[1]资金台帐!N764</f>
      </c>
      <c r="O764">
        <f>[1]资金台帐!O764&amp;""</f>
      </c>
      <c r="P764">
        <f>[1]资金台帐!P764&amp;""</f>
      </c>
      <c r="Q764">
        <f>[1]资金台帐!Q764&amp;""</f>
      </c>
      <c r="T764">
        <f>[1]资金台帐!T764&amp;""</f>
      </c>
      <c r="U764">
        <f>[1]资金台帐!U764&amp;""</f>
      </c>
      <c r="W764">
        <f>[1]资金台帐!W764&amp;""</f>
      </c>
      <c r="X764">
        <f>[1]资金台帐!X764&amp;""</f>
      </c>
      <c r="AB764">
        <f>[1]资金台帐!AB764</f>
        <v>0</v>
      </c>
      <c r="AC764">
        <f>[1]资金台帐!AC764</f>
        <v>0</v>
      </c>
      <c r="AD764">
        <f>[1]资金台帐!AD764</f>
        <v>0</v>
      </c>
      <c r="AJ764">
        <f>[1]资金台帐!AJ764</f>
        <v>0</v>
      </c>
      <c r="AK764">
        <f>[1]资金台帐!AK764</f>
        <v>0</v>
      </c>
      <c r="BA764" s="22">
        <f t="shared" si="0"/>
      </c>
      <c r="BG764" s="22">
        <f t="shared" si="1"/>
      </c>
      <c r="BH764" s="22">
        <f t="shared" si="2"/>
        <v>0</v>
      </c>
    </row>
    <row r="765">
      <c r="B765">
        <f>[1]资金台帐!B765&amp;""</f>
      </c>
      <c r="H765">
        <f>[1]资金台帐!H765&amp;""</f>
      </c>
      <c r="J765">
        <f>[1]资金台帐!J765&amp;""</f>
      </c>
      <c r="N765">
        <f>[1]资金台帐!N765</f>
      </c>
      <c r="O765">
        <f>[1]资金台帐!O765&amp;""</f>
      </c>
      <c r="P765">
        <f>[1]资金台帐!P765&amp;""</f>
      </c>
      <c r="Q765">
        <f>[1]资金台帐!Q765&amp;""</f>
      </c>
      <c r="T765">
        <f>[1]资金台帐!T765&amp;""</f>
      </c>
      <c r="U765">
        <f>[1]资金台帐!U765&amp;""</f>
      </c>
      <c r="W765">
        <f>[1]资金台帐!W765&amp;""</f>
      </c>
      <c r="X765">
        <f>[1]资金台帐!X765&amp;""</f>
      </c>
      <c r="AB765">
        <f>[1]资金台帐!AB765</f>
        <v>0</v>
      </c>
      <c r="AC765">
        <f>[1]资金台帐!AC765</f>
        <v>0</v>
      </c>
      <c r="AD765">
        <f>[1]资金台帐!AD765</f>
        <v>0</v>
      </c>
      <c r="AJ765">
        <f>[1]资金台帐!AJ765</f>
        <v>0</v>
      </c>
      <c r="AK765">
        <f>[1]资金台帐!AK765</f>
        <v>0</v>
      </c>
      <c r="BA765" s="22">
        <f t="shared" si="0"/>
      </c>
      <c r="BG765" s="22">
        <f t="shared" si="1"/>
      </c>
      <c r="BH765" s="22">
        <f t="shared" si="2"/>
        <v>0</v>
      </c>
    </row>
    <row r="766">
      <c r="B766">
        <f>[1]资金台帐!B766&amp;""</f>
      </c>
      <c r="H766">
        <f>[1]资金台帐!H766&amp;""</f>
      </c>
      <c r="J766">
        <f>[1]资金台帐!J766&amp;""</f>
      </c>
      <c r="N766">
        <f>[1]资金台帐!N766</f>
      </c>
      <c r="O766">
        <f>[1]资金台帐!O766&amp;""</f>
      </c>
      <c r="P766">
        <f>[1]资金台帐!P766&amp;""</f>
      </c>
      <c r="Q766">
        <f>[1]资金台帐!Q766&amp;""</f>
      </c>
      <c r="T766">
        <f>[1]资金台帐!T766&amp;""</f>
      </c>
      <c r="U766">
        <f>[1]资金台帐!U766&amp;""</f>
      </c>
      <c r="W766">
        <f>[1]资金台帐!W766&amp;""</f>
      </c>
      <c r="X766">
        <f>[1]资金台帐!X766&amp;""</f>
      </c>
      <c r="AB766">
        <f>[1]资金台帐!AB766</f>
        <v>0</v>
      </c>
      <c r="AC766">
        <f>[1]资金台帐!AC766</f>
        <v>0</v>
      </c>
      <c r="AD766">
        <f>[1]资金台帐!AD766</f>
        <v>0</v>
      </c>
      <c r="AJ766">
        <f>[1]资金台帐!AJ766</f>
        <v>0</v>
      </c>
      <c r="AK766">
        <f>[1]资金台帐!AK766</f>
        <v>0</v>
      </c>
      <c r="BA766" s="22">
        <f t="shared" si="0"/>
      </c>
      <c r="BG766" s="22">
        <f t="shared" si="1"/>
      </c>
      <c r="BH766" s="22">
        <f t="shared" si="2"/>
        <v>0</v>
      </c>
    </row>
    <row r="767">
      <c r="B767">
        <f>[1]资金台帐!B767&amp;""</f>
      </c>
      <c r="H767">
        <f>[1]资金台帐!H767&amp;""</f>
      </c>
      <c r="J767">
        <f>[1]资金台帐!J767&amp;""</f>
      </c>
      <c r="N767">
        <f>[1]资金台帐!N767</f>
      </c>
      <c r="O767">
        <f>[1]资金台帐!O767&amp;""</f>
      </c>
      <c r="P767">
        <f>[1]资金台帐!P767&amp;""</f>
      </c>
      <c r="Q767">
        <f>[1]资金台帐!Q767&amp;""</f>
      </c>
      <c r="T767">
        <f>[1]资金台帐!T767&amp;""</f>
      </c>
      <c r="U767">
        <f>[1]资金台帐!U767&amp;""</f>
      </c>
      <c r="W767">
        <f>[1]资金台帐!W767&amp;""</f>
      </c>
      <c r="X767">
        <f>[1]资金台帐!X767&amp;""</f>
      </c>
      <c r="AB767">
        <f>[1]资金台帐!AB767</f>
        <v>0</v>
      </c>
      <c r="AC767">
        <f>[1]资金台帐!AC767</f>
        <v>0</v>
      </c>
      <c r="AD767">
        <f>[1]资金台帐!AD767</f>
        <v>0</v>
      </c>
      <c r="AJ767">
        <f>[1]资金台帐!AJ767</f>
        <v>0</v>
      </c>
      <c r="AK767">
        <f>[1]资金台帐!AK767</f>
        <v>0</v>
      </c>
      <c r="BA767" s="22">
        <f t="shared" si="0"/>
      </c>
      <c r="BG767" s="22">
        <f t="shared" si="1"/>
      </c>
      <c r="BH767" s="22">
        <f t="shared" si="2"/>
        <v>0</v>
      </c>
    </row>
    <row r="768">
      <c r="B768">
        <f>[1]资金台帐!B768&amp;""</f>
      </c>
      <c r="H768">
        <f>[1]资金台帐!H768&amp;""</f>
      </c>
      <c r="J768">
        <f>[1]资金台帐!J768&amp;""</f>
      </c>
      <c r="N768">
        <f>[1]资金台帐!N768</f>
      </c>
      <c r="O768">
        <f>[1]资金台帐!O768&amp;""</f>
      </c>
      <c r="P768">
        <f>[1]资金台帐!P768&amp;""</f>
      </c>
      <c r="Q768">
        <f>[1]资金台帐!Q768&amp;""</f>
      </c>
      <c r="T768">
        <f>[1]资金台帐!T768&amp;""</f>
      </c>
      <c r="U768">
        <f>[1]资金台帐!U768&amp;""</f>
      </c>
      <c r="W768">
        <f>[1]资金台帐!W768&amp;""</f>
      </c>
      <c r="X768">
        <f>[1]资金台帐!X768&amp;""</f>
      </c>
      <c r="AB768">
        <f>[1]资金台帐!AB768</f>
        <v>0</v>
      </c>
      <c r="AC768">
        <f>[1]资金台帐!AC768</f>
        <v>0</v>
      </c>
      <c r="AD768">
        <f>[1]资金台帐!AD768</f>
        <v>0</v>
      </c>
      <c r="AJ768">
        <f>[1]资金台帐!AJ768</f>
        <v>0</v>
      </c>
      <c r="AK768">
        <f>[1]资金台帐!AK768</f>
        <v>0</v>
      </c>
      <c r="BA768" s="22">
        <f t="shared" si="0"/>
      </c>
      <c r="BG768" s="22">
        <f t="shared" si="1"/>
      </c>
      <c r="BH768" s="22">
        <f t="shared" si="2"/>
        <v>0</v>
      </c>
    </row>
    <row r="769">
      <c r="B769">
        <f>[1]资金台帐!B769&amp;""</f>
      </c>
      <c r="H769">
        <f>[1]资金台帐!H769&amp;""</f>
      </c>
      <c r="J769">
        <f>[1]资金台帐!J769&amp;""</f>
      </c>
      <c r="N769">
        <f>[1]资金台帐!N769</f>
      </c>
      <c r="O769">
        <f>[1]资金台帐!O769&amp;""</f>
      </c>
      <c r="P769">
        <f>[1]资金台帐!P769&amp;""</f>
      </c>
      <c r="Q769">
        <f>[1]资金台帐!Q769&amp;""</f>
      </c>
      <c r="T769">
        <f>[1]资金台帐!T769&amp;""</f>
      </c>
      <c r="U769">
        <f>[1]资金台帐!U769&amp;""</f>
      </c>
      <c r="W769">
        <f>[1]资金台帐!W769&amp;""</f>
      </c>
      <c r="X769">
        <f>[1]资金台帐!X769&amp;""</f>
      </c>
      <c r="AB769">
        <f>[1]资金台帐!AB769</f>
        <v>0</v>
      </c>
      <c r="AC769">
        <f>[1]资金台帐!AC769</f>
        <v>0</v>
      </c>
      <c r="AD769">
        <f>[1]资金台帐!AD769</f>
        <v>0</v>
      </c>
      <c r="AJ769">
        <f>[1]资金台帐!AJ769</f>
        <v>0</v>
      </c>
      <c r="AK769">
        <f>[1]资金台帐!AK769</f>
        <v>0</v>
      </c>
      <c r="BA769" s="22">
        <f t="shared" si="0"/>
      </c>
      <c r="BG769" s="22">
        <f t="shared" si="1"/>
      </c>
      <c r="BH769" s="22">
        <f t="shared" si="2"/>
        <v>0</v>
      </c>
    </row>
    <row r="770">
      <c r="B770">
        <f>[1]资金台帐!B770&amp;""</f>
      </c>
      <c r="H770">
        <f>[1]资金台帐!H770&amp;""</f>
      </c>
      <c r="J770">
        <f>[1]资金台帐!J770&amp;""</f>
      </c>
      <c r="N770">
        <f>[1]资金台帐!N770</f>
      </c>
      <c r="O770">
        <f>[1]资金台帐!O770&amp;""</f>
      </c>
      <c r="P770">
        <f>[1]资金台帐!P770&amp;""</f>
      </c>
      <c r="Q770">
        <f>[1]资金台帐!Q770&amp;""</f>
      </c>
      <c r="T770">
        <f>[1]资金台帐!T770&amp;""</f>
      </c>
      <c r="U770">
        <f>[1]资金台帐!U770&amp;""</f>
      </c>
      <c r="W770">
        <f>[1]资金台帐!W770&amp;""</f>
      </c>
      <c r="X770">
        <f>[1]资金台帐!X770&amp;""</f>
      </c>
      <c r="AB770">
        <f>[1]资金台帐!AB770</f>
        <v>0</v>
      </c>
      <c r="AC770">
        <f>[1]资金台帐!AC770</f>
        <v>0</v>
      </c>
      <c r="AD770">
        <f>[1]资金台帐!AD770</f>
        <v>0</v>
      </c>
      <c r="AJ770">
        <f>[1]资金台帐!AJ770</f>
        <v>0</v>
      </c>
      <c r="AK770">
        <f>[1]资金台帐!AK770</f>
        <v>0</v>
      </c>
      <c r="BA770" s="22">
        <f t="shared" si="0"/>
      </c>
      <c r="BG770" s="22">
        <f t="shared" si="1"/>
      </c>
      <c r="BH770" s="22">
        <f t="shared" si="2"/>
        <v>0</v>
      </c>
    </row>
    <row r="771">
      <c r="B771">
        <f>[1]资金台帐!B771&amp;""</f>
      </c>
      <c r="H771">
        <f>[1]资金台帐!H771&amp;""</f>
      </c>
      <c r="J771">
        <f>[1]资金台帐!J771&amp;""</f>
      </c>
      <c r="N771">
        <f>[1]资金台帐!N771</f>
      </c>
      <c r="O771">
        <f>[1]资金台帐!O771&amp;""</f>
      </c>
      <c r="P771">
        <f>[1]资金台帐!P771&amp;""</f>
      </c>
      <c r="Q771">
        <f>[1]资金台帐!Q771&amp;""</f>
      </c>
      <c r="T771">
        <f>[1]资金台帐!T771&amp;""</f>
      </c>
      <c r="U771">
        <f>[1]资金台帐!U771&amp;""</f>
      </c>
      <c r="W771">
        <f>[1]资金台帐!W771&amp;""</f>
      </c>
      <c r="X771">
        <f>[1]资金台帐!X771&amp;""</f>
      </c>
      <c r="AB771">
        <f>[1]资金台帐!AB771</f>
        <v>0</v>
      </c>
      <c r="AC771">
        <f>[1]资金台帐!AC771</f>
        <v>0</v>
      </c>
      <c r="AD771">
        <f>[1]资金台帐!AD771</f>
        <v>0</v>
      </c>
      <c r="AJ771">
        <f>[1]资金台帐!AJ771</f>
        <v>0</v>
      </c>
      <c r="AK771">
        <f>[1]资金台帐!AK771</f>
        <v>0</v>
      </c>
      <c r="BA771" s="22">
        <f t="shared" si="0"/>
      </c>
      <c r="BG771" s="22">
        <f t="shared" si="1"/>
      </c>
      <c r="BH771" s="22">
        <f t="shared" si="2"/>
        <v>0</v>
      </c>
    </row>
    <row r="772">
      <c r="B772">
        <f>[1]资金台帐!B772&amp;""</f>
      </c>
      <c r="H772">
        <f>[1]资金台帐!H772&amp;""</f>
      </c>
      <c r="J772">
        <f>[1]资金台帐!J772&amp;""</f>
      </c>
      <c r="N772">
        <f>[1]资金台帐!N772</f>
      </c>
      <c r="O772">
        <f>[1]资金台帐!O772&amp;""</f>
      </c>
      <c r="P772">
        <f>[1]资金台帐!P772&amp;""</f>
      </c>
      <c r="Q772">
        <f>[1]资金台帐!Q772&amp;""</f>
      </c>
      <c r="T772">
        <f>[1]资金台帐!T772&amp;""</f>
      </c>
      <c r="U772">
        <f>[1]资金台帐!U772&amp;""</f>
      </c>
      <c r="W772">
        <f>[1]资金台帐!W772&amp;""</f>
      </c>
      <c r="X772">
        <f>[1]资金台帐!X772&amp;""</f>
      </c>
      <c r="AB772">
        <f>[1]资金台帐!AB772</f>
        <v>0</v>
      </c>
      <c r="AC772">
        <f>[1]资金台帐!AC772</f>
        <v>0</v>
      </c>
      <c r="AD772">
        <f>[1]资金台帐!AD772</f>
        <v>0</v>
      </c>
      <c r="AJ772">
        <f>[1]资金台帐!AJ772</f>
        <v>0</v>
      </c>
      <c r="AK772">
        <f>[1]资金台帐!AK772</f>
        <v>0</v>
      </c>
      <c r="BA772" s="22">
        <f t="shared" si="0"/>
      </c>
      <c r="BG772" s="22">
        <f t="shared" si="1"/>
      </c>
      <c r="BH772" s="22">
        <f t="shared" si="2"/>
        <v>0</v>
      </c>
    </row>
    <row r="773">
      <c r="B773">
        <f>[1]资金台帐!B773&amp;""</f>
      </c>
      <c r="H773">
        <f>[1]资金台帐!H773&amp;""</f>
      </c>
      <c r="J773">
        <f>[1]资金台帐!J773&amp;""</f>
      </c>
      <c r="N773">
        <f>[1]资金台帐!N773</f>
      </c>
      <c r="O773">
        <f>[1]资金台帐!O773&amp;""</f>
      </c>
      <c r="P773">
        <f>[1]资金台帐!P773&amp;""</f>
      </c>
      <c r="Q773">
        <f>[1]资金台帐!Q773&amp;""</f>
      </c>
      <c r="T773">
        <f>[1]资金台帐!T773&amp;""</f>
      </c>
      <c r="U773">
        <f>[1]资金台帐!U773&amp;""</f>
      </c>
      <c r="W773">
        <f>[1]资金台帐!W773&amp;""</f>
      </c>
      <c r="X773">
        <f>[1]资金台帐!X773&amp;""</f>
      </c>
      <c r="AB773">
        <f>[1]资金台帐!AB773</f>
        <v>0</v>
      </c>
      <c r="AC773">
        <f>[1]资金台帐!AC773</f>
        <v>0</v>
      </c>
      <c r="AD773">
        <f>[1]资金台帐!AD773</f>
        <v>0</v>
      </c>
      <c r="AJ773">
        <f>[1]资金台帐!AJ773</f>
        <v>0</v>
      </c>
      <c r="AK773">
        <f>[1]资金台帐!AK773</f>
        <v>0</v>
      </c>
      <c r="BA773" s="22">
        <f t="shared" si="0"/>
      </c>
      <c r="BG773" s="22">
        <f t="shared" si="1"/>
      </c>
      <c r="BH773" s="22">
        <f t="shared" si="2"/>
        <v>0</v>
      </c>
    </row>
    <row r="774">
      <c r="B774">
        <f>[1]资金台帐!B774&amp;""</f>
      </c>
      <c r="H774">
        <f>[1]资金台帐!H774&amp;""</f>
      </c>
      <c r="J774">
        <f>[1]资金台帐!J774&amp;""</f>
      </c>
      <c r="N774">
        <f>[1]资金台帐!N774</f>
      </c>
      <c r="O774">
        <f>[1]资金台帐!O774&amp;""</f>
      </c>
      <c r="P774">
        <f>[1]资金台帐!P774&amp;""</f>
      </c>
      <c r="Q774">
        <f>[1]资金台帐!Q774&amp;""</f>
      </c>
      <c r="T774">
        <f>[1]资金台帐!T774&amp;""</f>
      </c>
      <c r="U774">
        <f>[1]资金台帐!U774&amp;""</f>
      </c>
      <c r="W774">
        <f>[1]资金台帐!W774&amp;""</f>
      </c>
      <c r="X774">
        <f>[1]资金台帐!X774&amp;""</f>
      </c>
      <c r="AB774">
        <f>[1]资金台帐!AB774</f>
        <v>0</v>
      </c>
      <c r="AC774">
        <f>[1]资金台帐!AC774</f>
        <v>0</v>
      </c>
      <c r="AD774">
        <f>[1]资金台帐!AD774</f>
        <v>0</v>
      </c>
      <c r="AJ774">
        <f>[1]资金台帐!AJ774</f>
        <v>0</v>
      </c>
      <c r="AK774">
        <f>[1]资金台帐!AK774</f>
        <v>0</v>
      </c>
      <c r="BA774" s="22">
        <f t="shared" si="0"/>
      </c>
      <c r="BG774" s="22">
        <f t="shared" si="1"/>
      </c>
      <c r="BH774" s="22">
        <f t="shared" si="2"/>
        <v>0</v>
      </c>
    </row>
    <row r="775">
      <c r="B775">
        <f>[1]资金台帐!B775&amp;""</f>
      </c>
      <c r="H775">
        <f>[1]资金台帐!H775&amp;""</f>
      </c>
      <c r="J775">
        <f>[1]资金台帐!J775&amp;""</f>
      </c>
      <c r="N775">
        <f>[1]资金台帐!N775</f>
      </c>
      <c r="O775">
        <f>[1]资金台帐!O775&amp;""</f>
      </c>
      <c r="P775">
        <f>[1]资金台帐!P775&amp;""</f>
      </c>
      <c r="Q775">
        <f>[1]资金台帐!Q775&amp;""</f>
      </c>
      <c r="T775">
        <f>[1]资金台帐!T775&amp;""</f>
      </c>
      <c r="U775">
        <f>[1]资金台帐!U775&amp;""</f>
      </c>
      <c r="W775">
        <f>[1]资金台帐!W775&amp;""</f>
      </c>
      <c r="X775">
        <f>[1]资金台帐!X775&amp;""</f>
      </c>
      <c r="AB775">
        <f>[1]资金台帐!AB775</f>
        <v>0</v>
      </c>
      <c r="AC775">
        <f>[1]资金台帐!AC775</f>
        <v>0</v>
      </c>
      <c r="AD775">
        <f>[1]资金台帐!AD775</f>
        <v>0</v>
      </c>
      <c r="AJ775">
        <f>[1]资金台帐!AJ775</f>
        <v>0</v>
      </c>
      <c r="AK775">
        <f>[1]资金台帐!AK775</f>
        <v>0</v>
      </c>
      <c r="BA775" s="22">
        <f t="shared" si="0"/>
      </c>
      <c r="BG775" s="22">
        <f t="shared" si="1"/>
      </c>
      <c r="BH775" s="22">
        <f t="shared" si="2"/>
        <v>0</v>
      </c>
    </row>
    <row r="776">
      <c r="B776">
        <f>[1]资金台帐!B776&amp;""</f>
      </c>
      <c r="H776">
        <f>[1]资金台帐!H776&amp;""</f>
      </c>
      <c r="J776">
        <f>[1]资金台帐!J776&amp;""</f>
      </c>
      <c r="N776">
        <f>[1]资金台帐!N776</f>
      </c>
      <c r="O776">
        <f>[1]资金台帐!O776&amp;""</f>
      </c>
      <c r="P776">
        <f>[1]资金台帐!P776&amp;""</f>
      </c>
      <c r="Q776">
        <f>[1]资金台帐!Q776&amp;""</f>
      </c>
      <c r="T776">
        <f>[1]资金台帐!T776&amp;""</f>
      </c>
      <c r="U776">
        <f>[1]资金台帐!U776&amp;""</f>
      </c>
      <c r="W776">
        <f>[1]资金台帐!W776&amp;""</f>
      </c>
      <c r="X776">
        <f>[1]资金台帐!X776&amp;""</f>
      </c>
      <c r="AB776">
        <f>[1]资金台帐!AB776</f>
        <v>0</v>
      </c>
      <c r="AC776">
        <f>[1]资金台帐!AC776</f>
        <v>0</v>
      </c>
      <c r="AD776">
        <f>[1]资金台帐!AD776</f>
        <v>0</v>
      </c>
      <c r="AJ776">
        <f>[1]资金台帐!AJ776</f>
        <v>0</v>
      </c>
      <c r="AK776">
        <f>[1]资金台帐!AK776</f>
        <v>0</v>
      </c>
      <c r="BA776" s="22">
        <f t="shared" si="0"/>
      </c>
      <c r="BG776" s="22">
        <f t="shared" si="1"/>
      </c>
      <c r="BH776" s="22">
        <f t="shared" si="2"/>
        <v>0</v>
      </c>
    </row>
    <row r="777">
      <c r="B777">
        <f>[1]资金台帐!B777&amp;""</f>
      </c>
      <c r="H777">
        <f>[1]资金台帐!H777&amp;""</f>
      </c>
      <c r="J777">
        <f>[1]资金台帐!J777&amp;""</f>
      </c>
      <c r="N777">
        <f>[1]资金台帐!N777</f>
      </c>
      <c r="O777">
        <f>[1]资金台帐!O777&amp;""</f>
      </c>
      <c r="P777">
        <f>[1]资金台帐!P777&amp;""</f>
      </c>
      <c r="Q777">
        <f>[1]资金台帐!Q777&amp;""</f>
      </c>
      <c r="T777">
        <f>[1]资金台帐!T777&amp;""</f>
      </c>
      <c r="U777">
        <f>[1]资金台帐!U777&amp;""</f>
      </c>
      <c r="W777">
        <f>[1]资金台帐!W777&amp;""</f>
      </c>
      <c r="X777">
        <f>[1]资金台帐!X777&amp;""</f>
      </c>
      <c r="AB777">
        <f>[1]资金台帐!AB777</f>
        <v>0</v>
      </c>
      <c r="AC777">
        <f>[1]资金台帐!AC777</f>
        <v>0</v>
      </c>
      <c r="AD777">
        <f>[1]资金台帐!AD777</f>
        <v>0</v>
      </c>
      <c r="AJ777">
        <f>[1]资金台帐!AJ777</f>
        <v>0</v>
      </c>
      <c r="AK777">
        <f>[1]资金台帐!AK777</f>
        <v>0</v>
      </c>
      <c r="BA777" s="22">
        <f t="shared" si="0"/>
      </c>
      <c r="BG777" s="22">
        <f t="shared" si="1"/>
      </c>
      <c r="BH777" s="22">
        <f t="shared" si="2"/>
        <v>0</v>
      </c>
    </row>
    <row r="778">
      <c r="B778">
        <f>[1]资金台帐!B778&amp;""</f>
      </c>
      <c r="H778">
        <f>[1]资金台帐!H778&amp;""</f>
      </c>
      <c r="J778">
        <f>[1]资金台帐!J778&amp;""</f>
      </c>
      <c r="N778">
        <f>[1]资金台帐!N778</f>
      </c>
      <c r="O778">
        <f>[1]资金台帐!O778&amp;""</f>
      </c>
      <c r="P778">
        <f>[1]资金台帐!P778&amp;""</f>
      </c>
      <c r="Q778">
        <f>[1]资金台帐!Q778&amp;""</f>
      </c>
      <c r="T778">
        <f>[1]资金台帐!T778&amp;""</f>
      </c>
      <c r="U778">
        <f>[1]资金台帐!U778&amp;""</f>
      </c>
      <c r="W778">
        <f>[1]资金台帐!W778&amp;""</f>
      </c>
      <c r="X778">
        <f>[1]资金台帐!X778&amp;""</f>
      </c>
      <c r="AB778">
        <f>[1]资金台帐!AB778</f>
        <v>0</v>
      </c>
      <c r="AC778">
        <f>[1]资金台帐!AC778</f>
        <v>0</v>
      </c>
      <c r="AD778">
        <f>[1]资金台帐!AD778</f>
        <v>0</v>
      </c>
      <c r="AJ778">
        <f>[1]资金台帐!AJ778</f>
        <v>0</v>
      </c>
      <c r="AK778">
        <f>[1]资金台帐!AK778</f>
        <v>0</v>
      </c>
      <c r="BA778" s="22">
        <f t="shared" si="0"/>
      </c>
      <c r="BG778" s="22">
        <f t="shared" si="1"/>
      </c>
      <c r="BH778" s="22">
        <f t="shared" si="2"/>
        <v>0</v>
      </c>
    </row>
    <row r="779">
      <c r="B779">
        <f>[1]资金台帐!B779&amp;""</f>
      </c>
      <c r="H779">
        <f>[1]资金台帐!H779&amp;""</f>
      </c>
      <c r="J779">
        <f>[1]资金台帐!J779&amp;""</f>
      </c>
      <c r="N779">
        <f>[1]资金台帐!N779</f>
      </c>
      <c r="O779">
        <f>[1]资金台帐!O779&amp;""</f>
      </c>
      <c r="P779">
        <f>[1]资金台帐!P779&amp;""</f>
      </c>
      <c r="Q779">
        <f>[1]资金台帐!Q779&amp;""</f>
      </c>
      <c r="T779">
        <f>[1]资金台帐!T779&amp;""</f>
      </c>
      <c r="U779">
        <f>[1]资金台帐!U779&amp;""</f>
      </c>
      <c r="W779">
        <f>[1]资金台帐!W779&amp;""</f>
      </c>
      <c r="X779">
        <f>[1]资金台帐!X779&amp;""</f>
      </c>
      <c r="AB779">
        <f>[1]资金台帐!AB779</f>
        <v>0</v>
      </c>
      <c r="AC779">
        <f>[1]资金台帐!AC779</f>
        <v>0</v>
      </c>
      <c r="AD779">
        <f>[1]资金台帐!AD779</f>
        <v>0</v>
      </c>
      <c r="AJ779">
        <f>[1]资金台帐!AJ779</f>
        <v>0</v>
      </c>
      <c r="AK779">
        <f>[1]资金台帐!AK779</f>
        <v>0</v>
      </c>
      <c r="BA779" s="22">
        <f t="shared" si="0"/>
      </c>
      <c r="BG779" s="22">
        <f t="shared" si="1"/>
      </c>
      <c r="BH779" s="22">
        <f t="shared" si="2"/>
        <v>0</v>
      </c>
    </row>
    <row r="780">
      <c r="B780">
        <f>[1]资金台帐!B780&amp;""</f>
      </c>
      <c r="H780">
        <f>[1]资金台帐!H780&amp;""</f>
      </c>
      <c r="J780">
        <f>[1]资金台帐!J780&amp;""</f>
      </c>
      <c r="N780">
        <f>[1]资金台帐!N780</f>
      </c>
      <c r="O780">
        <f>[1]资金台帐!O780&amp;""</f>
      </c>
      <c r="P780">
        <f>[1]资金台帐!P780&amp;""</f>
      </c>
      <c r="Q780">
        <f>[1]资金台帐!Q780&amp;""</f>
      </c>
      <c r="T780">
        <f>[1]资金台帐!T780&amp;""</f>
      </c>
      <c r="U780">
        <f>[1]资金台帐!U780&amp;""</f>
      </c>
      <c r="W780">
        <f>[1]资金台帐!W780&amp;""</f>
      </c>
      <c r="X780">
        <f>[1]资金台帐!X780&amp;""</f>
      </c>
      <c r="AB780">
        <f>[1]资金台帐!AB780</f>
        <v>0</v>
      </c>
      <c r="AC780">
        <f>[1]资金台帐!AC780</f>
        <v>0</v>
      </c>
      <c r="AD780">
        <f>[1]资金台帐!AD780</f>
        <v>0</v>
      </c>
      <c r="AJ780">
        <f>[1]资金台帐!AJ780</f>
        <v>0</v>
      </c>
      <c r="AK780">
        <f>[1]资金台帐!AK780</f>
        <v>0</v>
      </c>
      <c r="BA780" s="22">
        <f t="shared" si="0"/>
      </c>
      <c r="BG780" s="22">
        <f t="shared" si="1"/>
      </c>
      <c r="BH780" s="22">
        <f t="shared" si="2"/>
        <v>0</v>
      </c>
    </row>
    <row r="781">
      <c r="B781">
        <f>[1]资金台帐!B781&amp;""</f>
      </c>
      <c r="H781">
        <f>[1]资金台帐!H781&amp;""</f>
      </c>
      <c r="J781">
        <f>[1]资金台帐!J781&amp;""</f>
      </c>
      <c r="N781">
        <f>[1]资金台帐!N781</f>
      </c>
      <c r="O781">
        <f>[1]资金台帐!O781&amp;""</f>
      </c>
      <c r="P781">
        <f>[1]资金台帐!P781&amp;""</f>
      </c>
      <c r="Q781">
        <f>[1]资金台帐!Q781&amp;""</f>
      </c>
      <c r="T781">
        <f>[1]资金台帐!T781&amp;""</f>
      </c>
      <c r="U781">
        <f>[1]资金台帐!U781&amp;""</f>
      </c>
      <c r="W781">
        <f>[1]资金台帐!W781&amp;""</f>
      </c>
      <c r="X781">
        <f>[1]资金台帐!X781&amp;""</f>
      </c>
      <c r="AB781">
        <f>[1]资金台帐!AB781</f>
        <v>0</v>
      </c>
      <c r="AC781">
        <f>[1]资金台帐!AC781</f>
        <v>0</v>
      </c>
      <c r="AD781">
        <f>[1]资金台帐!AD781</f>
        <v>0</v>
      </c>
      <c r="AJ781">
        <f>[1]资金台帐!AJ781</f>
        <v>0</v>
      </c>
      <c r="AK781">
        <f>[1]资金台帐!AK781</f>
        <v>0</v>
      </c>
      <c r="BA781" s="22">
        <f t="shared" si="0"/>
      </c>
      <c r="BG781" s="22">
        <f t="shared" si="1"/>
      </c>
      <c r="BH781" s="22">
        <f t="shared" si="2"/>
        <v>0</v>
      </c>
    </row>
    <row r="782">
      <c r="B782">
        <f>[1]资金台帐!B782&amp;""</f>
      </c>
      <c r="H782">
        <f>[1]资金台帐!H782&amp;""</f>
      </c>
      <c r="J782">
        <f>[1]资金台帐!J782&amp;""</f>
      </c>
      <c r="N782">
        <f>[1]资金台帐!N782</f>
      </c>
      <c r="O782">
        <f>[1]资金台帐!O782&amp;""</f>
      </c>
      <c r="P782">
        <f>[1]资金台帐!P782&amp;""</f>
      </c>
      <c r="Q782">
        <f>[1]资金台帐!Q782&amp;""</f>
      </c>
      <c r="T782">
        <f>[1]资金台帐!T782&amp;""</f>
      </c>
      <c r="U782">
        <f>[1]资金台帐!U782&amp;""</f>
      </c>
      <c r="W782">
        <f>[1]资金台帐!W782&amp;""</f>
      </c>
      <c r="X782">
        <f>[1]资金台帐!X782&amp;""</f>
      </c>
      <c r="AB782">
        <f>[1]资金台帐!AB782</f>
        <v>0</v>
      </c>
      <c r="AC782">
        <f>[1]资金台帐!AC782</f>
        <v>0</v>
      </c>
      <c r="AD782">
        <f>[1]资金台帐!AD782</f>
        <v>0</v>
      </c>
      <c r="AJ782">
        <f>[1]资金台帐!AJ782</f>
        <v>0</v>
      </c>
      <c r="AK782">
        <f>[1]资金台帐!AK782</f>
        <v>0</v>
      </c>
      <c r="BA782" s="22">
        <f t="shared" si="0"/>
      </c>
      <c r="BG782" s="22">
        <f t="shared" si="1"/>
      </c>
      <c r="BH782" s="22">
        <f t="shared" si="2"/>
        <v>0</v>
      </c>
    </row>
    <row r="783">
      <c r="B783">
        <f>[1]资金台帐!B783&amp;""</f>
      </c>
      <c r="H783">
        <f>[1]资金台帐!H783&amp;""</f>
      </c>
      <c r="J783">
        <f>[1]资金台帐!J783&amp;""</f>
      </c>
      <c r="N783">
        <f>[1]资金台帐!N783</f>
      </c>
      <c r="O783">
        <f>[1]资金台帐!O783&amp;""</f>
      </c>
      <c r="P783">
        <f>[1]资金台帐!P783&amp;""</f>
      </c>
      <c r="Q783">
        <f>[1]资金台帐!Q783&amp;""</f>
      </c>
      <c r="T783">
        <f>[1]资金台帐!T783&amp;""</f>
      </c>
      <c r="U783">
        <f>[1]资金台帐!U783&amp;""</f>
      </c>
      <c r="W783">
        <f>[1]资金台帐!W783&amp;""</f>
      </c>
      <c r="X783">
        <f>[1]资金台帐!X783&amp;""</f>
      </c>
      <c r="AB783">
        <f>[1]资金台帐!AB783</f>
        <v>0</v>
      </c>
      <c r="AC783">
        <f>[1]资金台帐!AC783</f>
        <v>0</v>
      </c>
      <c r="AD783">
        <f>[1]资金台帐!AD783</f>
        <v>0</v>
      </c>
      <c r="AJ783">
        <f>[1]资金台帐!AJ783</f>
        <v>0</v>
      </c>
      <c r="AK783">
        <f>[1]资金台帐!AK783</f>
        <v>0</v>
      </c>
      <c r="BA783" s="22">
        <f t="shared" si="0"/>
      </c>
      <c r="BG783" s="22">
        <f t="shared" si="1"/>
      </c>
      <c r="BH783" s="22">
        <f t="shared" si="2"/>
        <v>0</v>
      </c>
    </row>
    <row r="784">
      <c r="B784">
        <f>[1]资金台帐!B784&amp;""</f>
      </c>
      <c r="H784">
        <f>[1]资金台帐!H784&amp;""</f>
      </c>
      <c r="J784">
        <f>[1]资金台帐!J784&amp;""</f>
      </c>
      <c r="N784">
        <f>[1]资金台帐!N784</f>
      </c>
      <c r="O784">
        <f>[1]资金台帐!O784&amp;""</f>
      </c>
      <c r="P784">
        <f>[1]资金台帐!P784&amp;""</f>
      </c>
      <c r="Q784">
        <f>[1]资金台帐!Q784&amp;""</f>
      </c>
      <c r="T784">
        <f>[1]资金台帐!T784&amp;""</f>
      </c>
      <c r="U784">
        <f>[1]资金台帐!U784&amp;""</f>
      </c>
      <c r="W784">
        <f>[1]资金台帐!W784&amp;""</f>
      </c>
      <c r="X784">
        <f>[1]资金台帐!X784&amp;""</f>
      </c>
      <c r="AB784">
        <f>[1]资金台帐!AB784</f>
        <v>0</v>
      </c>
      <c r="AC784">
        <f>[1]资金台帐!AC784</f>
        <v>0</v>
      </c>
      <c r="AD784">
        <f>[1]资金台帐!AD784</f>
        <v>0</v>
      </c>
      <c r="AJ784">
        <f>[1]资金台帐!AJ784</f>
        <v>0</v>
      </c>
      <c r="AK784">
        <f>[1]资金台帐!AK784</f>
        <v>0</v>
      </c>
      <c r="BA784" s="22">
        <f t="shared" si="0"/>
      </c>
      <c r="BG784" s="22">
        <f t="shared" si="1"/>
      </c>
      <c r="BH784" s="22">
        <f t="shared" si="2"/>
        <v>0</v>
      </c>
    </row>
    <row r="785">
      <c r="B785">
        <f>[1]资金台帐!B785&amp;""</f>
      </c>
      <c r="H785">
        <f>[1]资金台帐!H785&amp;""</f>
      </c>
      <c r="J785">
        <f>[1]资金台帐!J785&amp;""</f>
      </c>
      <c r="N785">
        <f>[1]资金台帐!N785</f>
      </c>
      <c r="O785">
        <f>[1]资金台帐!O785&amp;""</f>
      </c>
      <c r="P785">
        <f>[1]资金台帐!P785&amp;""</f>
      </c>
      <c r="Q785">
        <f>[1]资金台帐!Q785&amp;""</f>
      </c>
      <c r="T785">
        <f>[1]资金台帐!T785&amp;""</f>
      </c>
      <c r="U785">
        <f>[1]资金台帐!U785&amp;""</f>
      </c>
      <c r="W785">
        <f>[1]资金台帐!W785&amp;""</f>
      </c>
      <c r="X785">
        <f>[1]资金台帐!X785&amp;""</f>
      </c>
      <c r="AB785">
        <f>[1]资金台帐!AB785</f>
        <v>0</v>
      </c>
      <c r="AC785">
        <f>[1]资金台帐!AC785</f>
        <v>0</v>
      </c>
      <c r="AD785">
        <f>[1]资金台帐!AD785</f>
        <v>0</v>
      </c>
      <c r="AJ785">
        <f>[1]资金台帐!AJ785</f>
        <v>0</v>
      </c>
      <c r="AK785">
        <f>[1]资金台帐!AK785</f>
        <v>0</v>
      </c>
      <c r="BA785" s="22">
        <f t="shared" si="0"/>
      </c>
      <c r="BG785" s="22">
        <f t="shared" si="1"/>
      </c>
      <c r="BH785" s="22">
        <f t="shared" si="2"/>
        <v>0</v>
      </c>
    </row>
    <row r="786">
      <c r="B786">
        <f>[1]资金台帐!B786&amp;""</f>
      </c>
      <c r="H786">
        <f>[1]资金台帐!H786&amp;""</f>
      </c>
      <c r="J786">
        <f>[1]资金台帐!J786&amp;""</f>
      </c>
      <c r="N786">
        <f>[1]资金台帐!N786</f>
      </c>
      <c r="O786">
        <f>[1]资金台帐!O786&amp;""</f>
      </c>
      <c r="P786">
        <f>[1]资金台帐!P786&amp;""</f>
      </c>
      <c r="Q786">
        <f>[1]资金台帐!Q786&amp;""</f>
      </c>
      <c r="T786">
        <f>[1]资金台帐!T786&amp;""</f>
      </c>
      <c r="U786">
        <f>[1]资金台帐!U786&amp;""</f>
      </c>
      <c r="W786">
        <f>[1]资金台帐!W786&amp;""</f>
      </c>
      <c r="X786">
        <f>[1]资金台帐!X786&amp;""</f>
      </c>
      <c r="AB786">
        <f>[1]资金台帐!AB786</f>
        <v>0</v>
      </c>
      <c r="AC786">
        <f>[1]资金台帐!AC786</f>
        <v>0</v>
      </c>
      <c r="AD786">
        <f>[1]资金台帐!AD786</f>
        <v>0</v>
      </c>
      <c r="AJ786">
        <f>[1]资金台帐!AJ786</f>
        <v>0</v>
      </c>
      <c r="AK786">
        <f>[1]资金台帐!AK786</f>
        <v>0</v>
      </c>
      <c r="BA786" s="22">
        <f t="shared" si="0"/>
      </c>
      <c r="BG786" s="22">
        <f t="shared" si="1"/>
      </c>
      <c r="BH786" s="22">
        <f t="shared" si="2"/>
        <v>0</v>
      </c>
    </row>
    <row r="787">
      <c r="B787">
        <f>[1]资金台帐!B787&amp;""</f>
      </c>
      <c r="H787">
        <f>[1]资金台帐!H787&amp;""</f>
      </c>
      <c r="J787">
        <f>[1]资金台帐!J787&amp;""</f>
      </c>
      <c r="N787">
        <f>[1]资金台帐!N787</f>
      </c>
      <c r="O787">
        <f>[1]资金台帐!O787&amp;""</f>
      </c>
      <c r="P787">
        <f>[1]资金台帐!P787&amp;""</f>
      </c>
      <c r="Q787">
        <f>[1]资金台帐!Q787&amp;""</f>
      </c>
      <c r="T787">
        <f>[1]资金台帐!T787&amp;""</f>
      </c>
      <c r="U787">
        <f>[1]资金台帐!U787&amp;""</f>
      </c>
      <c r="W787">
        <f>[1]资金台帐!W787&amp;""</f>
      </c>
      <c r="X787">
        <f>[1]资金台帐!X787&amp;""</f>
      </c>
      <c r="AB787">
        <f>[1]资金台帐!AB787</f>
        <v>0</v>
      </c>
      <c r="AC787">
        <f>[1]资金台帐!AC787</f>
        <v>0</v>
      </c>
      <c r="AD787">
        <f>[1]资金台帐!AD787</f>
        <v>0</v>
      </c>
      <c r="AJ787">
        <f>[1]资金台帐!AJ787</f>
        <v>0</v>
      </c>
      <c r="AK787">
        <f>[1]资金台帐!AK787</f>
        <v>0</v>
      </c>
      <c r="BA787" s="22">
        <f t="shared" si="0"/>
      </c>
      <c r="BG787" s="22">
        <f t="shared" si="1"/>
      </c>
      <c r="BH787" s="22">
        <f t="shared" si="2"/>
        <v>0</v>
      </c>
    </row>
    <row r="788">
      <c r="B788">
        <f>[1]资金台帐!B788&amp;""</f>
      </c>
      <c r="H788">
        <f>[1]资金台帐!H788&amp;""</f>
      </c>
      <c r="J788">
        <f>[1]资金台帐!J788&amp;""</f>
      </c>
      <c r="N788">
        <f>[1]资金台帐!N788</f>
      </c>
      <c r="O788">
        <f>[1]资金台帐!O788&amp;""</f>
      </c>
      <c r="P788">
        <f>[1]资金台帐!P788&amp;""</f>
      </c>
      <c r="Q788">
        <f>[1]资金台帐!Q788&amp;""</f>
      </c>
      <c r="T788">
        <f>[1]资金台帐!T788&amp;""</f>
      </c>
      <c r="U788">
        <f>[1]资金台帐!U788&amp;""</f>
      </c>
      <c r="W788">
        <f>[1]资金台帐!W788&amp;""</f>
      </c>
      <c r="X788">
        <f>[1]资金台帐!X788&amp;""</f>
      </c>
      <c r="AB788">
        <f>[1]资金台帐!AB788</f>
        <v>0</v>
      </c>
      <c r="AC788">
        <f>[1]资金台帐!AC788</f>
        <v>0</v>
      </c>
      <c r="AD788">
        <f>[1]资金台帐!AD788</f>
        <v>0</v>
      </c>
      <c r="AJ788">
        <f>[1]资金台帐!AJ788</f>
        <v>0</v>
      </c>
      <c r="AK788">
        <f>[1]资金台帐!AK788</f>
        <v>0</v>
      </c>
      <c r="BA788" s="22">
        <f t="shared" si="0"/>
      </c>
      <c r="BG788" s="22">
        <f t="shared" si="1"/>
      </c>
      <c r="BH788" s="22">
        <f t="shared" si="2"/>
        <v>0</v>
      </c>
    </row>
    <row r="789">
      <c r="B789">
        <f>[1]资金台帐!B789&amp;""</f>
      </c>
      <c r="H789">
        <f>[1]资金台帐!H789&amp;""</f>
      </c>
      <c r="J789">
        <f>[1]资金台帐!J789&amp;""</f>
      </c>
      <c r="N789">
        <f>[1]资金台帐!N789</f>
      </c>
      <c r="O789">
        <f>[1]资金台帐!O789&amp;""</f>
      </c>
      <c r="P789">
        <f>[1]资金台帐!P789&amp;""</f>
      </c>
      <c r="Q789">
        <f>[1]资金台帐!Q789&amp;""</f>
      </c>
      <c r="T789">
        <f>[1]资金台帐!T789&amp;""</f>
      </c>
      <c r="U789">
        <f>[1]资金台帐!U789&amp;""</f>
      </c>
      <c r="W789">
        <f>[1]资金台帐!W789&amp;""</f>
      </c>
      <c r="X789">
        <f>[1]资金台帐!X789&amp;""</f>
      </c>
      <c r="AB789">
        <f>[1]资金台帐!AB789</f>
        <v>0</v>
      </c>
      <c r="AC789">
        <f>[1]资金台帐!AC789</f>
        <v>0</v>
      </c>
      <c r="AD789">
        <f>[1]资金台帐!AD789</f>
        <v>0</v>
      </c>
      <c r="AJ789">
        <f>[1]资金台帐!AJ789</f>
        <v>0</v>
      </c>
      <c r="AK789">
        <f>[1]资金台帐!AK789</f>
        <v>0</v>
      </c>
      <c r="BA789" s="22">
        <f t="shared" si="0"/>
      </c>
      <c r="BG789" s="22">
        <f t="shared" si="1"/>
      </c>
      <c r="BH789" s="22">
        <f t="shared" si="2"/>
        <v>0</v>
      </c>
    </row>
    <row r="790">
      <c r="B790">
        <f>[1]资金台帐!B790&amp;""</f>
      </c>
      <c r="H790">
        <f>[1]资金台帐!H790&amp;""</f>
      </c>
      <c r="J790">
        <f>[1]资金台帐!J790&amp;""</f>
      </c>
      <c r="N790">
        <f>[1]资金台帐!N790</f>
      </c>
      <c r="O790">
        <f>[1]资金台帐!O790&amp;""</f>
      </c>
      <c r="P790">
        <f>[1]资金台帐!P790&amp;""</f>
      </c>
      <c r="Q790">
        <f>[1]资金台帐!Q790&amp;""</f>
      </c>
      <c r="T790">
        <f>[1]资金台帐!T790&amp;""</f>
      </c>
      <c r="U790">
        <f>[1]资金台帐!U790&amp;""</f>
      </c>
      <c r="W790">
        <f>[1]资金台帐!W790&amp;""</f>
      </c>
      <c r="X790">
        <f>[1]资金台帐!X790&amp;""</f>
      </c>
      <c r="AB790">
        <f>[1]资金台帐!AB790</f>
        <v>0</v>
      </c>
      <c r="AC790">
        <f>[1]资金台帐!AC790</f>
        <v>0</v>
      </c>
      <c r="AD790">
        <f>[1]资金台帐!AD790</f>
        <v>0</v>
      </c>
      <c r="AJ790">
        <f>[1]资金台帐!AJ790</f>
        <v>0</v>
      </c>
      <c r="AK790">
        <f>[1]资金台帐!AK790</f>
        <v>0</v>
      </c>
      <c r="BA790" s="22">
        <f t="shared" si="0"/>
      </c>
      <c r="BG790" s="22">
        <f t="shared" si="1"/>
      </c>
      <c r="BH790" s="22">
        <f t="shared" si="2"/>
        <v>0</v>
      </c>
    </row>
    <row r="791">
      <c r="B791">
        <f>[1]资金台帐!B791&amp;""</f>
      </c>
      <c r="H791">
        <f>[1]资金台帐!H791&amp;""</f>
      </c>
      <c r="J791">
        <f>[1]资金台帐!J791&amp;""</f>
      </c>
      <c r="N791">
        <f>[1]资金台帐!N791</f>
      </c>
      <c r="O791">
        <f>[1]资金台帐!O791&amp;""</f>
      </c>
      <c r="P791">
        <f>[1]资金台帐!P791&amp;""</f>
      </c>
      <c r="Q791">
        <f>[1]资金台帐!Q791&amp;""</f>
      </c>
      <c r="T791">
        <f>[1]资金台帐!T791&amp;""</f>
      </c>
      <c r="U791">
        <f>[1]资金台帐!U791&amp;""</f>
      </c>
      <c r="W791">
        <f>[1]资金台帐!W791&amp;""</f>
      </c>
      <c r="X791">
        <f>[1]资金台帐!X791&amp;""</f>
      </c>
      <c r="AB791">
        <f>[1]资金台帐!AB791</f>
        <v>0</v>
      </c>
      <c r="AC791">
        <f>[1]资金台帐!AC791</f>
        <v>0</v>
      </c>
      <c r="AD791">
        <f>[1]资金台帐!AD791</f>
        <v>0</v>
      </c>
      <c r="AJ791">
        <f>[1]资金台帐!AJ791</f>
        <v>0</v>
      </c>
      <c r="AK791">
        <f>[1]资金台帐!AK791</f>
        <v>0</v>
      </c>
      <c r="BA791" s="22">
        <f t="shared" si="0"/>
      </c>
      <c r="BG791" s="22">
        <f t="shared" si="1"/>
      </c>
      <c r="BH791" s="22">
        <f t="shared" si="2"/>
        <v>0</v>
      </c>
    </row>
    <row r="792">
      <c r="B792">
        <f>[1]资金台帐!B792&amp;""</f>
      </c>
      <c r="H792">
        <f>[1]资金台帐!H792&amp;""</f>
      </c>
      <c r="J792">
        <f>[1]资金台帐!J792&amp;""</f>
      </c>
      <c r="N792">
        <f>[1]资金台帐!N792</f>
      </c>
      <c r="O792">
        <f>[1]资金台帐!O792&amp;""</f>
      </c>
      <c r="P792">
        <f>[1]资金台帐!P792&amp;""</f>
      </c>
      <c r="Q792">
        <f>[1]资金台帐!Q792&amp;""</f>
      </c>
      <c r="T792">
        <f>[1]资金台帐!T792&amp;""</f>
      </c>
      <c r="U792">
        <f>[1]资金台帐!U792&amp;""</f>
      </c>
      <c r="W792">
        <f>[1]资金台帐!W792&amp;""</f>
      </c>
      <c r="X792">
        <f>[1]资金台帐!X792&amp;""</f>
      </c>
      <c r="AB792">
        <f>[1]资金台帐!AB792</f>
        <v>0</v>
      </c>
      <c r="AC792">
        <f>[1]资金台帐!AC792</f>
        <v>0</v>
      </c>
      <c r="AD792">
        <f>[1]资金台帐!AD792</f>
        <v>0</v>
      </c>
      <c r="AJ792">
        <f>[1]资金台帐!AJ792</f>
        <v>0</v>
      </c>
      <c r="AK792">
        <f>[1]资金台帐!AK792</f>
        <v>0</v>
      </c>
      <c r="BA792" s="22">
        <f t="shared" si="0"/>
      </c>
      <c r="BG792" s="22">
        <f t="shared" si="1"/>
      </c>
      <c r="BH792" s="22">
        <f t="shared" si="2"/>
        <v>0</v>
      </c>
    </row>
    <row r="793">
      <c r="B793">
        <f>[1]资金台帐!B793&amp;""</f>
      </c>
      <c r="H793">
        <f>[1]资金台帐!H793&amp;""</f>
      </c>
      <c r="J793">
        <f>[1]资金台帐!J793&amp;""</f>
      </c>
      <c r="N793">
        <f>[1]资金台帐!N793</f>
      </c>
      <c r="O793">
        <f>[1]资金台帐!O793&amp;""</f>
      </c>
      <c r="P793">
        <f>[1]资金台帐!P793&amp;""</f>
      </c>
      <c r="Q793">
        <f>[1]资金台帐!Q793&amp;""</f>
      </c>
      <c r="T793">
        <f>[1]资金台帐!T793&amp;""</f>
      </c>
      <c r="U793">
        <f>[1]资金台帐!U793&amp;""</f>
      </c>
      <c r="W793">
        <f>[1]资金台帐!W793&amp;""</f>
      </c>
      <c r="X793">
        <f>[1]资金台帐!X793&amp;""</f>
      </c>
      <c r="AB793">
        <f>[1]资金台帐!AB793</f>
        <v>0</v>
      </c>
      <c r="AC793">
        <f>[1]资金台帐!AC793</f>
        <v>0</v>
      </c>
      <c r="AD793">
        <f>[1]资金台帐!AD793</f>
        <v>0</v>
      </c>
      <c r="AJ793">
        <f>[1]资金台帐!AJ793</f>
        <v>0</v>
      </c>
      <c r="AK793">
        <f>[1]资金台帐!AK793</f>
        <v>0</v>
      </c>
      <c r="BA793" s="22">
        <f t="shared" si="0"/>
      </c>
      <c r="BG793" s="22">
        <f t="shared" si="1"/>
      </c>
      <c r="BH793" s="22">
        <f t="shared" si="2"/>
        <v>0</v>
      </c>
    </row>
    <row r="794">
      <c r="B794">
        <f>[1]资金台帐!B794&amp;""</f>
      </c>
      <c r="H794">
        <f>[1]资金台帐!H794&amp;""</f>
      </c>
      <c r="J794">
        <f>[1]资金台帐!J794&amp;""</f>
      </c>
      <c r="N794">
        <f>[1]资金台帐!N794</f>
      </c>
      <c r="O794">
        <f>[1]资金台帐!O794&amp;""</f>
      </c>
      <c r="P794">
        <f>[1]资金台帐!P794&amp;""</f>
      </c>
      <c r="Q794">
        <f>[1]资金台帐!Q794&amp;""</f>
      </c>
      <c r="T794">
        <f>[1]资金台帐!T794&amp;""</f>
      </c>
      <c r="U794">
        <f>[1]资金台帐!U794&amp;""</f>
      </c>
      <c r="W794">
        <f>[1]资金台帐!W794&amp;""</f>
      </c>
      <c r="X794">
        <f>[1]资金台帐!X794&amp;""</f>
      </c>
      <c r="AB794">
        <f>[1]资金台帐!AB794</f>
        <v>0</v>
      </c>
      <c r="AC794">
        <f>[1]资金台帐!AC794</f>
        <v>0</v>
      </c>
      <c r="AD794">
        <f>[1]资金台帐!AD794</f>
        <v>0</v>
      </c>
      <c r="AJ794">
        <f>[1]资金台帐!AJ794</f>
        <v>0</v>
      </c>
      <c r="AK794">
        <f>[1]资金台帐!AK794</f>
        <v>0</v>
      </c>
      <c r="BA794" s="22">
        <f t="shared" si="0"/>
      </c>
      <c r="BG794" s="22">
        <f t="shared" si="1"/>
      </c>
      <c r="BH794" s="22">
        <f t="shared" si="2"/>
        <v>0</v>
      </c>
    </row>
    <row r="795">
      <c r="B795">
        <f>[1]资金台帐!B795&amp;""</f>
      </c>
      <c r="H795">
        <f>[1]资金台帐!H795&amp;""</f>
      </c>
      <c r="J795">
        <f>[1]资金台帐!J795&amp;""</f>
      </c>
      <c r="N795">
        <f>[1]资金台帐!N795</f>
      </c>
      <c r="O795">
        <f>[1]资金台帐!O795&amp;""</f>
      </c>
      <c r="P795">
        <f>[1]资金台帐!P795&amp;""</f>
      </c>
      <c r="Q795">
        <f>[1]资金台帐!Q795&amp;""</f>
      </c>
      <c r="T795">
        <f>[1]资金台帐!T795&amp;""</f>
      </c>
      <c r="U795">
        <f>[1]资金台帐!U795&amp;""</f>
      </c>
      <c r="W795">
        <f>[1]资金台帐!W795&amp;""</f>
      </c>
      <c r="X795">
        <f>[1]资金台帐!X795&amp;""</f>
      </c>
      <c r="AB795">
        <f>[1]资金台帐!AB795</f>
        <v>0</v>
      </c>
      <c r="AC795">
        <f>[1]资金台帐!AC795</f>
        <v>0</v>
      </c>
      <c r="AD795">
        <f>[1]资金台帐!AD795</f>
        <v>0</v>
      </c>
      <c r="AJ795">
        <f>[1]资金台帐!AJ795</f>
        <v>0</v>
      </c>
      <c r="AK795">
        <f>[1]资金台帐!AK795</f>
        <v>0</v>
      </c>
      <c r="BA795" s="22">
        <f t="shared" si="0"/>
      </c>
      <c r="BG795" s="22">
        <f t="shared" si="1"/>
      </c>
      <c r="BH795" s="22">
        <f t="shared" si="2"/>
        <v>0</v>
      </c>
    </row>
    <row r="796">
      <c r="B796">
        <f>[1]资金台帐!B796&amp;""</f>
      </c>
      <c r="H796">
        <f>[1]资金台帐!H796&amp;""</f>
      </c>
      <c r="J796">
        <f>[1]资金台帐!J796&amp;""</f>
      </c>
      <c r="N796">
        <f>[1]资金台帐!N796</f>
      </c>
      <c r="O796">
        <f>[1]资金台帐!O796&amp;""</f>
      </c>
      <c r="P796">
        <f>[1]资金台帐!P796&amp;""</f>
      </c>
      <c r="Q796">
        <f>[1]资金台帐!Q796&amp;""</f>
      </c>
      <c r="T796">
        <f>[1]资金台帐!T796&amp;""</f>
      </c>
      <c r="U796">
        <f>[1]资金台帐!U796&amp;""</f>
      </c>
      <c r="W796">
        <f>[1]资金台帐!W796&amp;""</f>
      </c>
      <c r="X796">
        <f>[1]资金台帐!X796&amp;""</f>
      </c>
      <c r="AB796">
        <f>[1]资金台帐!AB796</f>
        <v>0</v>
      </c>
      <c r="AC796">
        <f>[1]资金台帐!AC796</f>
        <v>0</v>
      </c>
      <c r="AD796">
        <f>[1]资金台帐!AD796</f>
        <v>0</v>
      </c>
      <c r="AJ796">
        <f>[1]资金台帐!AJ796</f>
        <v>0</v>
      </c>
      <c r="AK796">
        <f>[1]资金台帐!AK796</f>
        <v>0</v>
      </c>
      <c r="BA796" s="22">
        <f t="shared" si="0"/>
      </c>
      <c r="BG796" s="22">
        <f t="shared" si="1"/>
      </c>
      <c r="BH796" s="22">
        <f t="shared" si="2"/>
        <v>0</v>
      </c>
    </row>
    <row r="797">
      <c r="B797">
        <f>[1]资金台帐!B797&amp;""</f>
      </c>
      <c r="H797">
        <f>[1]资金台帐!H797&amp;""</f>
      </c>
      <c r="J797">
        <f>[1]资金台帐!J797&amp;""</f>
      </c>
      <c r="N797">
        <f>[1]资金台帐!N797</f>
      </c>
      <c r="O797">
        <f>[1]资金台帐!O797&amp;""</f>
      </c>
      <c r="P797">
        <f>[1]资金台帐!P797&amp;""</f>
      </c>
      <c r="Q797">
        <f>[1]资金台帐!Q797&amp;""</f>
      </c>
      <c r="T797">
        <f>[1]资金台帐!T797&amp;""</f>
      </c>
      <c r="U797">
        <f>[1]资金台帐!U797&amp;""</f>
      </c>
      <c r="W797">
        <f>[1]资金台帐!W797&amp;""</f>
      </c>
      <c r="X797">
        <f>[1]资金台帐!X797&amp;""</f>
      </c>
      <c r="AB797">
        <f>[1]资金台帐!AB797</f>
        <v>0</v>
      </c>
      <c r="AC797">
        <f>[1]资金台帐!AC797</f>
        <v>0</v>
      </c>
      <c r="AD797">
        <f>[1]资金台帐!AD797</f>
        <v>0</v>
      </c>
      <c r="AJ797">
        <f>[1]资金台帐!AJ797</f>
        <v>0</v>
      </c>
      <c r="AK797">
        <f>[1]资金台帐!AK797</f>
        <v>0</v>
      </c>
      <c r="BA797" s="22">
        <f t="shared" si="0"/>
      </c>
      <c r="BG797" s="22">
        <f t="shared" si="1"/>
      </c>
      <c r="BH797" s="22">
        <f t="shared" si="2"/>
        <v>0</v>
      </c>
    </row>
    <row r="798">
      <c r="B798">
        <f>[1]资金台帐!B798&amp;""</f>
      </c>
      <c r="H798">
        <f>[1]资金台帐!H798&amp;""</f>
      </c>
      <c r="J798">
        <f>[1]资金台帐!J798&amp;""</f>
      </c>
      <c r="N798">
        <f>[1]资金台帐!N798</f>
      </c>
      <c r="O798">
        <f>[1]资金台帐!O798&amp;""</f>
      </c>
      <c r="P798">
        <f>[1]资金台帐!P798&amp;""</f>
      </c>
      <c r="Q798">
        <f>[1]资金台帐!Q798&amp;""</f>
      </c>
      <c r="T798">
        <f>[1]资金台帐!T798&amp;""</f>
      </c>
      <c r="U798">
        <f>[1]资金台帐!U798&amp;""</f>
      </c>
      <c r="W798">
        <f>[1]资金台帐!W798&amp;""</f>
      </c>
      <c r="X798">
        <f>[1]资金台帐!X798&amp;""</f>
      </c>
      <c r="AB798">
        <f>[1]资金台帐!AB798</f>
        <v>0</v>
      </c>
      <c r="AC798">
        <f>[1]资金台帐!AC798</f>
        <v>0</v>
      </c>
      <c r="AD798">
        <f>[1]资金台帐!AD798</f>
        <v>0</v>
      </c>
      <c r="AJ798">
        <f>[1]资金台帐!AJ798</f>
        <v>0</v>
      </c>
      <c r="AK798">
        <f>[1]资金台帐!AK798</f>
        <v>0</v>
      </c>
      <c r="BA798" s="22">
        <f t="shared" si="0"/>
      </c>
      <c r="BG798" s="22">
        <f t="shared" si="1"/>
      </c>
      <c r="BH798" s="22">
        <f t="shared" si="2"/>
        <v>0</v>
      </c>
    </row>
    <row r="799">
      <c r="B799">
        <f>[1]资金台帐!B799&amp;""</f>
      </c>
      <c r="H799">
        <f>[1]资金台帐!H799&amp;""</f>
      </c>
      <c r="J799">
        <f>[1]资金台帐!J799&amp;""</f>
      </c>
      <c r="N799">
        <f>[1]资金台帐!N799</f>
      </c>
      <c r="O799">
        <f>[1]资金台帐!O799&amp;""</f>
      </c>
      <c r="P799">
        <f>[1]资金台帐!P799&amp;""</f>
      </c>
      <c r="Q799">
        <f>[1]资金台帐!Q799&amp;""</f>
      </c>
      <c r="T799">
        <f>[1]资金台帐!T799&amp;""</f>
      </c>
      <c r="U799">
        <f>[1]资金台帐!U799&amp;""</f>
      </c>
      <c r="W799">
        <f>[1]资金台帐!W799&amp;""</f>
      </c>
      <c r="X799">
        <f>[1]资金台帐!X799&amp;""</f>
      </c>
      <c r="AB799">
        <f>[1]资金台帐!AB799</f>
        <v>0</v>
      </c>
      <c r="AC799">
        <f>[1]资金台帐!AC799</f>
        <v>0</v>
      </c>
      <c r="AD799">
        <f>[1]资金台帐!AD799</f>
        <v>0</v>
      </c>
      <c r="AJ799">
        <f>[1]资金台帐!AJ799</f>
        <v>0</v>
      </c>
      <c r="AK799">
        <f>[1]资金台帐!AK799</f>
        <v>0</v>
      </c>
      <c r="BA799" s="22">
        <f t="shared" si="0"/>
      </c>
      <c r="BG799" s="22">
        <f t="shared" si="1"/>
      </c>
      <c r="BH799" s="22">
        <f t="shared" si="2"/>
        <v>0</v>
      </c>
    </row>
    <row r="800">
      <c r="B800">
        <f>[1]资金台帐!B800&amp;""</f>
      </c>
      <c r="H800">
        <f>[1]资金台帐!H800&amp;""</f>
      </c>
      <c r="J800">
        <f>[1]资金台帐!J800&amp;""</f>
      </c>
      <c r="N800">
        <f>[1]资金台帐!N800</f>
      </c>
      <c r="O800">
        <f>[1]资金台帐!O800&amp;""</f>
      </c>
      <c r="P800">
        <f>[1]资金台帐!P800&amp;""</f>
      </c>
      <c r="Q800">
        <f>[1]资金台帐!Q800&amp;""</f>
      </c>
      <c r="T800">
        <f>[1]资金台帐!T800&amp;""</f>
      </c>
      <c r="U800">
        <f>[1]资金台帐!U800&amp;""</f>
      </c>
      <c r="W800">
        <f>[1]资金台帐!W800&amp;""</f>
      </c>
      <c r="X800">
        <f>[1]资金台帐!X800&amp;""</f>
      </c>
      <c r="AB800">
        <f>[1]资金台帐!AB800</f>
        <v>0</v>
      </c>
      <c r="AC800">
        <f>[1]资金台帐!AC800</f>
        <v>0</v>
      </c>
      <c r="AD800">
        <f>[1]资金台帐!AD800</f>
        <v>0</v>
      </c>
      <c r="AJ800">
        <f>[1]资金台帐!AJ800</f>
        <v>0</v>
      </c>
      <c r="AK800">
        <f>[1]资金台帐!AK800</f>
        <v>0</v>
      </c>
      <c r="BA800" s="22">
        <f t="shared" si="0"/>
      </c>
      <c r="BG800" s="22">
        <f t="shared" si="1"/>
      </c>
      <c r="BH800" s="22">
        <f t="shared" si="2"/>
        <v>0</v>
      </c>
    </row>
    <row r="801">
      <c r="B801">
        <f>[1]资金台帐!B801&amp;""</f>
      </c>
      <c r="H801">
        <f>[1]资金台帐!H801&amp;""</f>
      </c>
      <c r="J801">
        <f>[1]资金台帐!J801&amp;""</f>
      </c>
      <c r="N801">
        <f>[1]资金台帐!N801</f>
      </c>
      <c r="O801">
        <f>[1]资金台帐!O801&amp;""</f>
      </c>
      <c r="P801">
        <f>[1]资金台帐!P801&amp;""</f>
      </c>
      <c r="Q801">
        <f>[1]资金台帐!Q801&amp;""</f>
      </c>
      <c r="T801">
        <f>[1]资金台帐!T801&amp;""</f>
      </c>
      <c r="U801">
        <f>[1]资金台帐!U801&amp;""</f>
      </c>
      <c r="W801">
        <f>[1]资金台帐!W801&amp;""</f>
      </c>
      <c r="X801">
        <f>[1]资金台帐!X801&amp;""</f>
      </c>
      <c r="AB801">
        <f>[1]资金台帐!AB801</f>
        <v>0</v>
      </c>
      <c r="AC801">
        <f>[1]资金台帐!AC801</f>
        <v>0</v>
      </c>
      <c r="AD801">
        <f>[1]资金台帐!AD801</f>
        <v>0</v>
      </c>
      <c r="AJ801">
        <f>[1]资金台帐!AJ801</f>
        <v>0</v>
      </c>
      <c r="AK801">
        <f>[1]资金台帐!AK801</f>
        <v>0</v>
      </c>
      <c r="BA801" s="22">
        <f t="shared" si="0"/>
      </c>
      <c r="BG801" s="22">
        <f t="shared" si="1"/>
      </c>
      <c r="BH801" s="22">
        <f t="shared" si="2"/>
        <v>0</v>
      </c>
    </row>
    <row r="802">
      <c r="B802">
        <f>[1]资金台帐!B802&amp;""</f>
      </c>
      <c r="H802">
        <f>[1]资金台帐!H802&amp;""</f>
      </c>
      <c r="J802">
        <f>[1]资金台帐!J802&amp;""</f>
      </c>
      <c r="N802">
        <f>[1]资金台帐!N802</f>
      </c>
      <c r="O802">
        <f>[1]资金台帐!O802&amp;""</f>
      </c>
      <c r="P802">
        <f>[1]资金台帐!P802&amp;""</f>
      </c>
      <c r="Q802">
        <f>[1]资金台帐!Q802&amp;""</f>
      </c>
      <c r="T802">
        <f>[1]资金台帐!T802&amp;""</f>
      </c>
      <c r="U802">
        <f>[1]资金台帐!U802&amp;""</f>
      </c>
      <c r="W802">
        <f>[1]资金台帐!W802&amp;""</f>
      </c>
      <c r="X802">
        <f>[1]资金台帐!X802&amp;""</f>
      </c>
      <c r="AB802">
        <f>[1]资金台帐!AB802</f>
        <v>0</v>
      </c>
      <c r="AC802">
        <f>[1]资金台帐!AC802</f>
        <v>0</v>
      </c>
      <c r="AD802">
        <f>[1]资金台帐!AD802</f>
        <v>0</v>
      </c>
      <c r="AJ802">
        <f>[1]资金台帐!AJ802</f>
        <v>0</v>
      </c>
      <c r="AK802">
        <f>[1]资金台帐!AK802</f>
        <v>0</v>
      </c>
      <c r="BA802" s="22">
        <f t="shared" si="0"/>
      </c>
      <c r="BG802" s="22">
        <f t="shared" si="1"/>
      </c>
      <c r="BH802" s="22">
        <f t="shared" si="2"/>
        <v>0</v>
      </c>
    </row>
    <row r="803">
      <c r="B803">
        <f>[1]资金台帐!B803&amp;""</f>
      </c>
      <c r="H803">
        <f>[1]资金台帐!H803&amp;""</f>
      </c>
      <c r="J803">
        <f>[1]资金台帐!J803&amp;""</f>
      </c>
      <c r="N803">
        <f>[1]资金台帐!N803</f>
      </c>
      <c r="O803">
        <f>[1]资金台帐!O803&amp;""</f>
      </c>
      <c r="P803">
        <f>[1]资金台帐!P803&amp;""</f>
      </c>
      <c r="Q803">
        <f>[1]资金台帐!Q803&amp;""</f>
      </c>
      <c r="T803">
        <f>[1]资金台帐!T803&amp;""</f>
      </c>
      <c r="U803">
        <f>[1]资金台帐!U803&amp;""</f>
      </c>
      <c r="W803">
        <f>[1]资金台帐!W803&amp;""</f>
      </c>
      <c r="X803">
        <f>[1]资金台帐!X803&amp;""</f>
      </c>
      <c r="AB803">
        <f>[1]资金台帐!AB803</f>
        <v>0</v>
      </c>
      <c r="AC803">
        <f>[1]资金台帐!AC803</f>
        <v>0</v>
      </c>
      <c r="AD803">
        <f>[1]资金台帐!AD803</f>
        <v>0</v>
      </c>
      <c r="AJ803">
        <f>[1]资金台帐!AJ803</f>
        <v>0</v>
      </c>
      <c r="AK803">
        <f>[1]资金台帐!AK803</f>
        <v>0</v>
      </c>
      <c r="BA803" s="22">
        <f t="shared" si="0"/>
      </c>
      <c r="BG803" s="22">
        <f t="shared" si="1"/>
      </c>
      <c r="BH803" s="22">
        <f t="shared" si="2"/>
        <v>0</v>
      </c>
    </row>
    <row r="804">
      <c r="B804">
        <f>[1]资金台帐!B804&amp;""</f>
      </c>
      <c r="H804">
        <f>[1]资金台帐!H804&amp;""</f>
      </c>
      <c r="J804">
        <f>[1]资金台帐!J804&amp;""</f>
      </c>
      <c r="N804">
        <f>[1]资金台帐!N804</f>
      </c>
      <c r="O804">
        <f>[1]资金台帐!O804&amp;""</f>
      </c>
      <c r="P804">
        <f>[1]资金台帐!P804&amp;""</f>
      </c>
      <c r="Q804">
        <f>[1]资金台帐!Q804&amp;""</f>
      </c>
      <c r="T804">
        <f>[1]资金台帐!T804&amp;""</f>
      </c>
      <c r="U804">
        <f>[1]资金台帐!U804&amp;""</f>
      </c>
      <c r="W804">
        <f>[1]资金台帐!W804&amp;""</f>
      </c>
      <c r="X804">
        <f>[1]资金台帐!X804&amp;""</f>
      </c>
      <c r="AB804">
        <f>[1]资金台帐!AB804</f>
        <v>0</v>
      </c>
      <c r="AC804">
        <f>[1]资金台帐!AC804</f>
        <v>0</v>
      </c>
      <c r="AD804">
        <f>[1]资金台帐!AD804</f>
        <v>0</v>
      </c>
      <c r="AJ804">
        <f>[1]资金台帐!AJ804</f>
        <v>0</v>
      </c>
      <c r="AK804">
        <f>[1]资金台帐!AK804</f>
        <v>0</v>
      </c>
      <c r="BA804" s="22">
        <f t="shared" si="0"/>
      </c>
      <c r="BG804" s="22">
        <f t="shared" si="1"/>
      </c>
      <c r="BH804" s="22">
        <f t="shared" si="2"/>
        <v>0</v>
      </c>
    </row>
    <row r="805">
      <c r="B805">
        <f>[1]资金台帐!B805&amp;""</f>
      </c>
      <c r="H805">
        <f>[1]资金台帐!H805&amp;""</f>
      </c>
      <c r="J805">
        <f>[1]资金台帐!J805&amp;""</f>
      </c>
      <c r="N805">
        <f>[1]资金台帐!N805</f>
      </c>
      <c r="O805">
        <f>[1]资金台帐!O805&amp;""</f>
      </c>
      <c r="P805">
        <f>[1]资金台帐!P805&amp;""</f>
      </c>
      <c r="Q805">
        <f>[1]资金台帐!Q805&amp;""</f>
      </c>
      <c r="T805">
        <f>[1]资金台帐!T805&amp;""</f>
      </c>
      <c r="U805">
        <f>[1]资金台帐!U805&amp;""</f>
      </c>
      <c r="W805">
        <f>[1]资金台帐!W805&amp;""</f>
      </c>
      <c r="X805">
        <f>[1]资金台帐!X805&amp;""</f>
      </c>
      <c r="AB805">
        <f>[1]资金台帐!AB805</f>
        <v>0</v>
      </c>
      <c r="AC805">
        <f>[1]资金台帐!AC805</f>
        <v>0</v>
      </c>
      <c r="AD805">
        <f>[1]资金台帐!AD805</f>
        <v>0</v>
      </c>
      <c r="AJ805">
        <f>[1]资金台帐!AJ805</f>
        <v>0</v>
      </c>
      <c r="AK805">
        <f>[1]资金台帐!AK805</f>
        <v>0</v>
      </c>
      <c r="BA805" s="22">
        <f t="shared" si="0"/>
      </c>
      <c r="BG805" s="22">
        <f t="shared" si="1"/>
      </c>
      <c r="BH805" s="22">
        <f t="shared" si="2"/>
        <v>0</v>
      </c>
    </row>
    <row r="806">
      <c r="B806">
        <f>[1]资金台帐!B806&amp;""</f>
      </c>
      <c r="H806">
        <f>[1]资金台帐!H806&amp;""</f>
      </c>
      <c r="J806">
        <f>[1]资金台帐!J806&amp;""</f>
      </c>
      <c r="N806">
        <f>[1]资金台帐!N806</f>
      </c>
      <c r="O806">
        <f>[1]资金台帐!O806&amp;""</f>
      </c>
      <c r="P806">
        <f>[1]资金台帐!P806&amp;""</f>
      </c>
      <c r="Q806">
        <f>[1]资金台帐!Q806&amp;""</f>
      </c>
      <c r="T806">
        <f>[1]资金台帐!T806&amp;""</f>
      </c>
      <c r="U806">
        <f>[1]资金台帐!U806&amp;""</f>
      </c>
      <c r="W806">
        <f>[1]资金台帐!W806&amp;""</f>
      </c>
      <c r="X806">
        <f>[1]资金台帐!X806&amp;""</f>
      </c>
      <c r="AB806">
        <f>[1]资金台帐!AB806</f>
        <v>0</v>
      </c>
      <c r="AC806">
        <f>[1]资金台帐!AC806</f>
        <v>0</v>
      </c>
      <c r="AD806">
        <f>[1]资金台帐!AD806</f>
        <v>0</v>
      </c>
      <c r="AJ806">
        <f>[1]资金台帐!AJ806</f>
        <v>0</v>
      </c>
      <c r="AK806">
        <f>[1]资金台帐!AK806</f>
        <v>0</v>
      </c>
      <c r="BA806" s="22">
        <f t="shared" si="0"/>
      </c>
      <c r="BG806" s="22">
        <f t="shared" si="1"/>
      </c>
      <c r="BH806" s="22">
        <f t="shared" si="2"/>
        <v>0</v>
      </c>
    </row>
    <row r="807">
      <c r="B807">
        <f>[1]资金台帐!B807&amp;""</f>
      </c>
      <c r="H807">
        <f>[1]资金台帐!H807&amp;""</f>
      </c>
      <c r="J807">
        <f>[1]资金台帐!J807&amp;""</f>
      </c>
      <c r="N807">
        <f>[1]资金台帐!N807</f>
      </c>
      <c r="O807">
        <f>[1]资金台帐!O807&amp;""</f>
      </c>
      <c r="P807">
        <f>[1]资金台帐!P807&amp;""</f>
      </c>
      <c r="Q807">
        <f>[1]资金台帐!Q807&amp;""</f>
      </c>
      <c r="T807">
        <f>[1]资金台帐!T807&amp;""</f>
      </c>
      <c r="U807">
        <f>[1]资金台帐!U807&amp;""</f>
      </c>
      <c r="W807">
        <f>[1]资金台帐!W807&amp;""</f>
      </c>
      <c r="X807">
        <f>[1]资金台帐!X807&amp;""</f>
      </c>
      <c r="AB807">
        <f>[1]资金台帐!AB807</f>
        <v>0</v>
      </c>
      <c r="AC807">
        <f>[1]资金台帐!AC807</f>
        <v>0</v>
      </c>
      <c r="AD807">
        <f>[1]资金台帐!AD807</f>
        <v>0</v>
      </c>
      <c r="AJ807">
        <f>[1]资金台帐!AJ807</f>
        <v>0</v>
      </c>
      <c r="AK807">
        <f>[1]资金台帐!AK807</f>
        <v>0</v>
      </c>
      <c r="BA807" s="22">
        <f t="shared" si="0"/>
      </c>
      <c r="BG807" s="22">
        <f t="shared" si="1"/>
      </c>
      <c r="BH807" s="22">
        <f t="shared" si="2"/>
        <v>0</v>
      </c>
    </row>
    <row r="808">
      <c r="B808">
        <f>[1]资金台帐!B808&amp;""</f>
      </c>
      <c r="H808">
        <f>[1]资金台帐!H808&amp;""</f>
      </c>
      <c r="J808">
        <f>[1]资金台帐!J808&amp;""</f>
      </c>
      <c r="N808">
        <f>[1]资金台帐!N808</f>
      </c>
      <c r="O808">
        <f>[1]资金台帐!O808&amp;""</f>
      </c>
      <c r="P808">
        <f>[1]资金台帐!P808&amp;""</f>
      </c>
      <c r="Q808">
        <f>[1]资金台帐!Q808&amp;""</f>
      </c>
      <c r="T808">
        <f>[1]资金台帐!T808&amp;""</f>
      </c>
      <c r="U808">
        <f>[1]资金台帐!U808&amp;""</f>
      </c>
      <c r="W808">
        <f>[1]资金台帐!W808&amp;""</f>
      </c>
      <c r="X808">
        <f>[1]资金台帐!X808&amp;""</f>
      </c>
      <c r="AB808">
        <f>[1]资金台帐!AB808</f>
        <v>0</v>
      </c>
      <c r="AC808">
        <f>[1]资金台帐!AC808</f>
        <v>0</v>
      </c>
      <c r="AD808">
        <f>[1]资金台帐!AD808</f>
        <v>0</v>
      </c>
      <c r="AJ808">
        <f>[1]资金台帐!AJ808</f>
        <v>0</v>
      </c>
      <c r="AK808">
        <f>[1]资金台帐!AK808</f>
        <v>0</v>
      </c>
      <c r="BA808" s="22">
        <f t="shared" si="0"/>
      </c>
      <c r="BG808" s="22">
        <f t="shared" si="1"/>
      </c>
      <c r="BH808" s="22">
        <f t="shared" si="2"/>
        <v>0</v>
      </c>
    </row>
    <row r="809">
      <c r="B809">
        <f>[1]资金台帐!B809&amp;""</f>
      </c>
      <c r="H809">
        <f>[1]资金台帐!H809&amp;""</f>
      </c>
      <c r="J809">
        <f>[1]资金台帐!J809&amp;""</f>
      </c>
      <c r="N809">
        <f>[1]资金台帐!N809</f>
      </c>
      <c r="O809">
        <f>[1]资金台帐!O809&amp;""</f>
      </c>
      <c r="P809">
        <f>[1]资金台帐!P809&amp;""</f>
      </c>
      <c r="Q809">
        <f>[1]资金台帐!Q809&amp;""</f>
      </c>
      <c r="T809">
        <f>[1]资金台帐!T809&amp;""</f>
      </c>
      <c r="U809">
        <f>[1]资金台帐!U809&amp;""</f>
      </c>
      <c r="W809">
        <f>[1]资金台帐!W809&amp;""</f>
      </c>
      <c r="X809">
        <f>[1]资金台帐!X809&amp;""</f>
      </c>
      <c r="AB809">
        <f>[1]资金台帐!AB809</f>
        <v>0</v>
      </c>
      <c r="AC809">
        <f>[1]资金台帐!AC809</f>
        <v>0</v>
      </c>
      <c r="AD809">
        <f>[1]资金台帐!AD809</f>
        <v>0</v>
      </c>
      <c r="AJ809">
        <f>[1]资金台帐!AJ809</f>
        <v>0</v>
      </c>
      <c r="AK809">
        <f>[1]资金台帐!AK809</f>
        <v>0</v>
      </c>
      <c r="BA809" s="22">
        <f t="shared" si="0"/>
      </c>
      <c r="BG809" s="22">
        <f t="shared" si="1"/>
      </c>
      <c r="BH809" s="22">
        <f t="shared" si="2"/>
        <v>0</v>
      </c>
    </row>
    <row r="810">
      <c r="B810">
        <f>[1]资金台帐!B810&amp;""</f>
      </c>
      <c r="H810">
        <f>[1]资金台帐!H810&amp;""</f>
      </c>
      <c r="J810">
        <f>[1]资金台帐!J810&amp;""</f>
      </c>
      <c r="N810">
        <f>[1]资金台帐!N810</f>
      </c>
      <c r="O810">
        <f>[1]资金台帐!O810&amp;""</f>
      </c>
      <c r="P810">
        <f>[1]资金台帐!P810&amp;""</f>
      </c>
      <c r="Q810">
        <f>[1]资金台帐!Q810&amp;""</f>
      </c>
      <c r="T810">
        <f>[1]资金台帐!T810&amp;""</f>
      </c>
      <c r="U810">
        <f>[1]资金台帐!U810&amp;""</f>
      </c>
      <c r="W810">
        <f>[1]资金台帐!W810&amp;""</f>
      </c>
      <c r="X810">
        <f>[1]资金台帐!X810&amp;""</f>
      </c>
      <c r="AB810">
        <f>[1]资金台帐!AB810</f>
        <v>0</v>
      </c>
      <c r="AC810">
        <f>[1]资金台帐!AC810</f>
        <v>0</v>
      </c>
      <c r="AD810">
        <f>[1]资金台帐!AD810</f>
        <v>0</v>
      </c>
      <c r="AJ810">
        <f>[1]资金台帐!AJ810</f>
        <v>0</v>
      </c>
      <c r="AK810">
        <f>[1]资金台帐!AK810</f>
        <v>0</v>
      </c>
      <c r="BA810" s="22">
        <f t="shared" si="0"/>
      </c>
      <c r="BG810" s="22">
        <f t="shared" si="1"/>
      </c>
      <c r="BH810" s="22">
        <f t="shared" si="2"/>
        <v>0</v>
      </c>
    </row>
    <row r="811">
      <c r="B811">
        <f>[1]资金台帐!B811&amp;""</f>
      </c>
      <c r="H811">
        <f>[1]资金台帐!H811&amp;""</f>
      </c>
      <c r="J811">
        <f>[1]资金台帐!J811&amp;""</f>
      </c>
      <c r="N811">
        <f>[1]资金台帐!N811</f>
      </c>
      <c r="O811">
        <f>[1]资金台帐!O811&amp;""</f>
      </c>
      <c r="P811">
        <f>[1]资金台帐!P811&amp;""</f>
      </c>
      <c r="Q811">
        <f>[1]资金台帐!Q811&amp;""</f>
      </c>
      <c r="T811">
        <f>[1]资金台帐!T811&amp;""</f>
      </c>
      <c r="U811">
        <f>[1]资金台帐!U811&amp;""</f>
      </c>
      <c r="W811">
        <f>[1]资金台帐!W811&amp;""</f>
      </c>
      <c r="X811">
        <f>[1]资金台帐!X811&amp;""</f>
      </c>
      <c r="AB811">
        <f>[1]资金台帐!AB811</f>
        <v>0</v>
      </c>
      <c r="AC811">
        <f>[1]资金台帐!AC811</f>
        <v>0</v>
      </c>
      <c r="AD811">
        <f>[1]资金台帐!AD811</f>
        <v>0</v>
      </c>
      <c r="AJ811">
        <f>[1]资金台帐!AJ811</f>
        <v>0</v>
      </c>
      <c r="AK811">
        <f>[1]资金台帐!AK811</f>
        <v>0</v>
      </c>
      <c r="BA811" s="22">
        <f t="shared" si="0"/>
      </c>
      <c r="BG811" s="22">
        <f t="shared" si="1"/>
      </c>
      <c r="BH811" s="22">
        <f t="shared" si="2"/>
        <v>0</v>
      </c>
    </row>
    <row r="812">
      <c r="B812">
        <f>[1]资金台帐!B812&amp;""</f>
      </c>
      <c r="H812">
        <f>[1]资金台帐!H812&amp;""</f>
      </c>
      <c r="J812">
        <f>[1]资金台帐!J812&amp;""</f>
      </c>
      <c r="N812">
        <f>[1]资金台帐!N812</f>
      </c>
      <c r="O812">
        <f>[1]资金台帐!O812&amp;""</f>
      </c>
      <c r="P812">
        <f>[1]资金台帐!P812&amp;""</f>
      </c>
      <c r="Q812">
        <f>[1]资金台帐!Q812&amp;""</f>
      </c>
      <c r="T812">
        <f>[1]资金台帐!T812&amp;""</f>
      </c>
      <c r="U812">
        <f>[1]资金台帐!U812&amp;""</f>
      </c>
      <c r="W812">
        <f>[1]资金台帐!W812&amp;""</f>
      </c>
      <c r="X812">
        <f>[1]资金台帐!X812&amp;""</f>
      </c>
      <c r="AB812">
        <f>[1]资金台帐!AB812</f>
        <v>0</v>
      </c>
      <c r="AC812">
        <f>[1]资金台帐!AC812</f>
        <v>0</v>
      </c>
      <c r="AD812">
        <f>[1]资金台帐!AD812</f>
        <v>0</v>
      </c>
      <c r="AJ812">
        <f>[1]资金台帐!AJ812</f>
        <v>0</v>
      </c>
      <c r="AK812">
        <f>[1]资金台帐!AK812</f>
        <v>0</v>
      </c>
      <c r="BA812" s="22">
        <f t="shared" si="0"/>
      </c>
      <c r="BG812" s="22">
        <f t="shared" si="1"/>
      </c>
      <c r="BH812" s="22">
        <f t="shared" si="2"/>
        <v>0</v>
      </c>
    </row>
    <row r="813">
      <c r="B813">
        <f>[1]资金台帐!B813&amp;""</f>
      </c>
      <c r="H813">
        <f>[1]资金台帐!H813&amp;""</f>
      </c>
      <c r="J813">
        <f>[1]资金台帐!J813&amp;""</f>
      </c>
      <c r="N813">
        <f>[1]资金台帐!N813</f>
      </c>
      <c r="O813">
        <f>[1]资金台帐!O813&amp;""</f>
      </c>
      <c r="P813">
        <f>[1]资金台帐!P813&amp;""</f>
      </c>
      <c r="Q813">
        <f>[1]资金台帐!Q813&amp;""</f>
      </c>
      <c r="T813">
        <f>[1]资金台帐!T813&amp;""</f>
      </c>
      <c r="U813">
        <f>[1]资金台帐!U813&amp;""</f>
      </c>
      <c r="W813">
        <f>[1]资金台帐!W813&amp;""</f>
      </c>
      <c r="X813">
        <f>[1]资金台帐!X813&amp;""</f>
      </c>
      <c r="AB813">
        <f>[1]资金台帐!AB813</f>
        <v>0</v>
      </c>
      <c r="AC813">
        <f>[1]资金台帐!AC813</f>
        <v>0</v>
      </c>
      <c r="AD813">
        <f>[1]资金台帐!AD813</f>
        <v>0</v>
      </c>
      <c r="AJ813">
        <f>[1]资金台帐!AJ813</f>
        <v>0</v>
      </c>
      <c r="AK813">
        <f>[1]资金台帐!AK813</f>
        <v>0</v>
      </c>
      <c r="BA813" s="22">
        <f t="shared" si="0"/>
      </c>
      <c r="BG813" s="22">
        <f t="shared" si="1"/>
      </c>
      <c r="BH813" s="22">
        <f t="shared" si="2"/>
        <v>0</v>
      </c>
    </row>
    <row r="814">
      <c r="B814">
        <f>[1]资金台帐!B814&amp;""</f>
      </c>
      <c r="H814">
        <f>[1]资金台帐!H814&amp;""</f>
      </c>
      <c r="J814">
        <f>[1]资金台帐!J814&amp;""</f>
      </c>
      <c r="N814">
        <f>[1]资金台帐!N814</f>
      </c>
      <c r="O814">
        <f>[1]资金台帐!O814&amp;""</f>
      </c>
      <c r="P814">
        <f>[1]资金台帐!P814&amp;""</f>
      </c>
      <c r="Q814">
        <f>[1]资金台帐!Q814&amp;""</f>
      </c>
      <c r="T814">
        <f>[1]资金台帐!T814&amp;""</f>
      </c>
      <c r="U814">
        <f>[1]资金台帐!U814&amp;""</f>
      </c>
      <c r="W814">
        <f>[1]资金台帐!W814&amp;""</f>
      </c>
      <c r="X814">
        <f>[1]资金台帐!X814&amp;""</f>
      </c>
      <c r="AB814">
        <f>[1]资金台帐!AB814</f>
        <v>0</v>
      </c>
      <c r="AC814">
        <f>[1]资金台帐!AC814</f>
        <v>0</v>
      </c>
      <c r="AD814">
        <f>[1]资金台帐!AD814</f>
        <v>0</v>
      </c>
      <c r="AJ814">
        <f>[1]资金台帐!AJ814</f>
        <v>0</v>
      </c>
      <c r="AK814">
        <f>[1]资金台帐!AK814</f>
        <v>0</v>
      </c>
      <c r="BA814" s="22">
        <f t="shared" si="0"/>
      </c>
      <c r="BG814" s="22">
        <f t="shared" si="1"/>
      </c>
      <c r="BH814" s="22">
        <f t="shared" si="2"/>
        <v>0</v>
      </c>
    </row>
    <row r="815">
      <c r="B815">
        <f>[1]资金台帐!B815&amp;""</f>
      </c>
      <c r="H815">
        <f>[1]资金台帐!H815&amp;""</f>
      </c>
      <c r="J815">
        <f>[1]资金台帐!J815&amp;""</f>
      </c>
      <c r="N815">
        <f>[1]资金台帐!N815</f>
      </c>
      <c r="O815">
        <f>[1]资金台帐!O815&amp;""</f>
      </c>
      <c r="P815">
        <f>[1]资金台帐!P815&amp;""</f>
      </c>
      <c r="Q815">
        <f>[1]资金台帐!Q815&amp;""</f>
      </c>
      <c r="T815">
        <f>[1]资金台帐!T815&amp;""</f>
      </c>
      <c r="U815">
        <f>[1]资金台帐!U815&amp;""</f>
      </c>
      <c r="W815">
        <f>[1]资金台帐!W815&amp;""</f>
      </c>
      <c r="X815">
        <f>[1]资金台帐!X815&amp;""</f>
      </c>
      <c r="AB815">
        <f>[1]资金台帐!AB815</f>
        <v>0</v>
      </c>
      <c r="AC815">
        <f>[1]资金台帐!AC815</f>
        <v>0</v>
      </c>
      <c r="AD815">
        <f>[1]资金台帐!AD815</f>
        <v>0</v>
      </c>
      <c r="AJ815">
        <f>[1]资金台帐!AJ815</f>
        <v>0</v>
      </c>
      <c r="AK815">
        <f>[1]资金台帐!AK815</f>
        <v>0</v>
      </c>
      <c r="BA815" s="22">
        <f t="shared" si="0"/>
      </c>
      <c r="BG815" s="22">
        <f t="shared" si="1"/>
      </c>
      <c r="BH815" s="22">
        <f t="shared" si="2"/>
        <v>0</v>
      </c>
    </row>
    <row r="816">
      <c r="B816">
        <f>[1]资金台帐!B816&amp;""</f>
      </c>
      <c r="H816">
        <f>[1]资金台帐!H816&amp;""</f>
      </c>
      <c r="J816">
        <f>[1]资金台帐!J816&amp;""</f>
      </c>
      <c r="N816">
        <f>[1]资金台帐!N816</f>
      </c>
      <c r="O816">
        <f>[1]资金台帐!O816&amp;""</f>
      </c>
      <c r="P816">
        <f>[1]资金台帐!P816&amp;""</f>
      </c>
      <c r="Q816">
        <f>[1]资金台帐!Q816&amp;""</f>
      </c>
      <c r="T816">
        <f>[1]资金台帐!T816&amp;""</f>
      </c>
      <c r="U816">
        <f>[1]资金台帐!U816&amp;""</f>
      </c>
      <c r="W816">
        <f>[1]资金台帐!W816&amp;""</f>
      </c>
      <c r="X816">
        <f>[1]资金台帐!X816&amp;""</f>
      </c>
      <c r="AB816">
        <f>[1]资金台帐!AB816</f>
        <v>0</v>
      </c>
      <c r="AC816">
        <f>[1]资金台帐!AC816</f>
        <v>0</v>
      </c>
      <c r="AD816">
        <f>[1]资金台帐!AD816</f>
        <v>0</v>
      </c>
      <c r="AJ816">
        <f>[1]资金台帐!AJ816</f>
        <v>0</v>
      </c>
      <c r="AK816">
        <f>[1]资金台帐!AK816</f>
        <v>0</v>
      </c>
      <c r="BA816" s="22">
        <f t="shared" si="0"/>
      </c>
      <c r="BG816" s="22">
        <f t="shared" si="1"/>
      </c>
      <c r="BH816" s="22">
        <f t="shared" si="2"/>
        <v>0</v>
      </c>
    </row>
    <row r="817">
      <c r="B817">
        <f>[1]资金台帐!B817&amp;""</f>
      </c>
      <c r="H817">
        <f>[1]资金台帐!H817&amp;""</f>
      </c>
      <c r="J817">
        <f>[1]资金台帐!J817&amp;""</f>
      </c>
      <c r="N817">
        <f>[1]资金台帐!N817</f>
      </c>
      <c r="O817">
        <f>[1]资金台帐!O817&amp;""</f>
      </c>
      <c r="P817">
        <f>[1]资金台帐!P817&amp;""</f>
      </c>
      <c r="Q817">
        <f>[1]资金台帐!Q817&amp;""</f>
      </c>
      <c r="T817">
        <f>[1]资金台帐!T817&amp;""</f>
      </c>
      <c r="U817">
        <f>[1]资金台帐!U817&amp;""</f>
      </c>
      <c r="W817">
        <f>[1]资金台帐!W817&amp;""</f>
      </c>
      <c r="X817">
        <f>[1]资金台帐!X817&amp;""</f>
      </c>
      <c r="AB817">
        <f>[1]资金台帐!AB817</f>
        <v>0</v>
      </c>
      <c r="AC817">
        <f>[1]资金台帐!AC817</f>
        <v>0</v>
      </c>
      <c r="AD817">
        <f>[1]资金台帐!AD817</f>
        <v>0</v>
      </c>
      <c r="AJ817">
        <f>[1]资金台帐!AJ817</f>
        <v>0</v>
      </c>
      <c r="AK817">
        <f>[1]资金台帐!AK817</f>
        <v>0</v>
      </c>
      <c r="BA817" s="22">
        <f t="shared" si="0"/>
      </c>
      <c r="BG817" s="22">
        <f t="shared" si="1"/>
      </c>
      <c r="BH817" s="22">
        <f t="shared" si="2"/>
        <v>0</v>
      </c>
    </row>
    <row r="818">
      <c r="B818">
        <f>[1]资金台帐!B818&amp;""</f>
      </c>
      <c r="H818">
        <f>[1]资金台帐!H818&amp;""</f>
      </c>
      <c r="J818">
        <f>[1]资金台帐!J818&amp;""</f>
      </c>
      <c r="N818">
        <f>[1]资金台帐!N818</f>
      </c>
      <c r="O818">
        <f>[1]资金台帐!O818&amp;""</f>
      </c>
      <c r="P818">
        <f>[1]资金台帐!P818&amp;""</f>
      </c>
      <c r="Q818">
        <f>[1]资金台帐!Q818&amp;""</f>
      </c>
      <c r="T818">
        <f>[1]资金台帐!T818&amp;""</f>
      </c>
      <c r="U818">
        <f>[1]资金台帐!U818&amp;""</f>
      </c>
      <c r="W818">
        <f>[1]资金台帐!W818&amp;""</f>
      </c>
      <c r="X818">
        <f>[1]资金台帐!X818&amp;""</f>
      </c>
      <c r="AB818">
        <f>[1]资金台帐!AB818</f>
        <v>0</v>
      </c>
      <c r="AC818">
        <f>[1]资金台帐!AC818</f>
        <v>0</v>
      </c>
      <c r="AD818">
        <f>[1]资金台帐!AD818</f>
        <v>0</v>
      </c>
      <c r="AJ818">
        <f>[1]资金台帐!AJ818</f>
        <v>0</v>
      </c>
      <c r="AK818">
        <f>[1]资金台帐!AK818</f>
        <v>0</v>
      </c>
      <c r="BA818" s="22">
        <f t="shared" si="0"/>
      </c>
      <c r="BG818" s="22">
        <f t="shared" si="1"/>
      </c>
      <c r="BH818" s="22">
        <f t="shared" si="2"/>
        <v>0</v>
      </c>
    </row>
    <row r="819">
      <c r="B819">
        <f>[1]资金台帐!B819&amp;""</f>
      </c>
      <c r="H819">
        <f>[1]资金台帐!H819&amp;""</f>
      </c>
      <c r="J819">
        <f>[1]资金台帐!J819&amp;""</f>
      </c>
      <c r="N819">
        <f>[1]资金台帐!N819</f>
      </c>
      <c r="O819">
        <f>[1]资金台帐!O819&amp;""</f>
      </c>
      <c r="P819">
        <f>[1]资金台帐!P819&amp;""</f>
      </c>
      <c r="Q819">
        <f>[1]资金台帐!Q819&amp;""</f>
      </c>
      <c r="T819">
        <f>[1]资金台帐!T819&amp;""</f>
      </c>
      <c r="U819">
        <f>[1]资金台帐!U819&amp;""</f>
      </c>
      <c r="W819">
        <f>[1]资金台帐!W819&amp;""</f>
      </c>
      <c r="X819">
        <f>[1]资金台帐!X819&amp;""</f>
      </c>
      <c r="AB819">
        <f>[1]资金台帐!AB819</f>
        <v>0</v>
      </c>
      <c r="AC819">
        <f>[1]资金台帐!AC819</f>
        <v>0</v>
      </c>
      <c r="AD819">
        <f>[1]资金台帐!AD819</f>
        <v>0</v>
      </c>
      <c r="AJ819">
        <f>[1]资金台帐!AJ819</f>
        <v>0</v>
      </c>
      <c r="AK819">
        <f>[1]资金台帐!AK819</f>
        <v>0</v>
      </c>
      <c r="BA819" s="22">
        <f t="shared" si="0"/>
      </c>
      <c r="BG819" s="22">
        <f t="shared" si="1"/>
      </c>
      <c r="BH819" s="22">
        <f t="shared" si="2"/>
        <v>0</v>
      </c>
    </row>
    <row r="820">
      <c r="B820">
        <f>[1]资金台帐!B820&amp;""</f>
      </c>
      <c r="H820">
        <f>[1]资金台帐!H820&amp;""</f>
      </c>
      <c r="J820">
        <f>[1]资金台帐!J820&amp;""</f>
      </c>
      <c r="N820">
        <f>[1]资金台帐!N820</f>
      </c>
      <c r="O820">
        <f>[1]资金台帐!O820&amp;""</f>
      </c>
      <c r="P820">
        <f>[1]资金台帐!P820&amp;""</f>
      </c>
      <c r="Q820">
        <f>[1]资金台帐!Q820&amp;""</f>
      </c>
      <c r="T820">
        <f>[1]资金台帐!T820&amp;""</f>
      </c>
      <c r="U820">
        <f>[1]资金台帐!U820&amp;""</f>
      </c>
      <c r="W820">
        <f>[1]资金台帐!W820&amp;""</f>
      </c>
      <c r="X820">
        <f>[1]资金台帐!X820&amp;""</f>
      </c>
      <c r="AB820">
        <f>[1]资金台帐!AB820</f>
        <v>0</v>
      </c>
      <c r="AC820">
        <f>[1]资金台帐!AC820</f>
        <v>0</v>
      </c>
      <c r="AD820">
        <f>[1]资金台帐!AD820</f>
        <v>0</v>
      </c>
      <c r="AJ820">
        <f>[1]资金台帐!AJ820</f>
        <v>0</v>
      </c>
      <c r="AK820">
        <f>[1]资金台帐!AK820</f>
        <v>0</v>
      </c>
      <c r="BA820" s="22">
        <f t="shared" si="0"/>
      </c>
      <c r="BG820" s="22">
        <f t="shared" si="1"/>
      </c>
      <c r="BH820" s="22">
        <f t="shared" si="2"/>
        <v>0</v>
      </c>
    </row>
    <row r="821">
      <c r="B821">
        <f>[1]资金台帐!B821&amp;""</f>
      </c>
      <c r="H821">
        <f>[1]资金台帐!H821&amp;""</f>
      </c>
      <c r="J821">
        <f>[1]资金台帐!J821&amp;""</f>
      </c>
      <c r="N821">
        <f>[1]资金台帐!N821</f>
      </c>
      <c r="O821">
        <f>[1]资金台帐!O821&amp;""</f>
      </c>
      <c r="P821">
        <f>[1]资金台帐!P821&amp;""</f>
      </c>
      <c r="Q821">
        <f>[1]资金台帐!Q821&amp;""</f>
      </c>
      <c r="T821">
        <f>[1]资金台帐!T821&amp;""</f>
      </c>
      <c r="U821">
        <f>[1]资金台帐!U821&amp;""</f>
      </c>
      <c r="W821">
        <f>[1]资金台帐!W821&amp;""</f>
      </c>
      <c r="X821">
        <f>[1]资金台帐!X821&amp;""</f>
      </c>
      <c r="AB821">
        <f>[1]资金台帐!AB821</f>
        <v>0</v>
      </c>
      <c r="AC821">
        <f>[1]资金台帐!AC821</f>
        <v>0</v>
      </c>
      <c r="AD821">
        <f>[1]资金台帐!AD821</f>
        <v>0</v>
      </c>
      <c r="AJ821">
        <f>[1]资金台帐!AJ821</f>
        <v>0</v>
      </c>
      <c r="AK821">
        <f>[1]资金台帐!AK821</f>
        <v>0</v>
      </c>
      <c r="BA821" s="22">
        <f t="shared" si="0"/>
      </c>
      <c r="BG821" s="22">
        <f t="shared" si="1"/>
      </c>
      <c r="BH821" s="22">
        <f t="shared" si="2"/>
        <v>0</v>
      </c>
    </row>
    <row r="822">
      <c r="B822">
        <f>[1]资金台帐!B822&amp;""</f>
      </c>
      <c r="H822">
        <f>[1]资金台帐!H822&amp;""</f>
      </c>
      <c r="J822">
        <f>[1]资金台帐!J822&amp;""</f>
      </c>
      <c r="N822">
        <f>[1]资金台帐!N822</f>
      </c>
      <c r="O822">
        <f>[1]资金台帐!O822&amp;""</f>
      </c>
      <c r="P822">
        <f>[1]资金台帐!P822&amp;""</f>
      </c>
      <c r="Q822">
        <f>[1]资金台帐!Q822&amp;""</f>
      </c>
      <c r="T822">
        <f>[1]资金台帐!T822&amp;""</f>
      </c>
      <c r="U822">
        <f>[1]资金台帐!U822&amp;""</f>
      </c>
      <c r="W822">
        <f>[1]资金台帐!W822&amp;""</f>
      </c>
      <c r="X822">
        <f>[1]资金台帐!X822&amp;""</f>
      </c>
      <c r="AB822">
        <f>[1]资金台帐!AB822</f>
        <v>0</v>
      </c>
      <c r="AC822">
        <f>[1]资金台帐!AC822</f>
        <v>0</v>
      </c>
      <c r="AD822">
        <f>[1]资金台帐!AD822</f>
        <v>0</v>
      </c>
      <c r="AJ822">
        <f>[1]资金台帐!AJ822</f>
        <v>0</v>
      </c>
      <c r="AK822">
        <f>[1]资金台帐!AK822</f>
        <v>0</v>
      </c>
      <c r="BA822" s="22">
        <f t="shared" si="0"/>
      </c>
      <c r="BG822" s="22">
        <f t="shared" si="1"/>
      </c>
      <c r="BH822" s="22">
        <f t="shared" si="2"/>
        <v>0</v>
      </c>
    </row>
    <row r="823">
      <c r="B823">
        <f>[1]资金台帐!B823&amp;""</f>
      </c>
      <c r="H823">
        <f>[1]资金台帐!H823&amp;""</f>
      </c>
      <c r="J823">
        <f>[1]资金台帐!J823&amp;""</f>
      </c>
      <c r="N823">
        <f>[1]资金台帐!N823</f>
      </c>
      <c r="O823">
        <f>[1]资金台帐!O823&amp;""</f>
      </c>
      <c r="P823">
        <f>[1]资金台帐!P823&amp;""</f>
      </c>
      <c r="Q823">
        <f>[1]资金台帐!Q823&amp;""</f>
      </c>
      <c r="T823">
        <f>[1]资金台帐!T823&amp;""</f>
      </c>
      <c r="U823">
        <f>[1]资金台帐!U823&amp;""</f>
      </c>
      <c r="W823">
        <f>[1]资金台帐!W823&amp;""</f>
      </c>
      <c r="X823">
        <f>[1]资金台帐!X823&amp;""</f>
      </c>
      <c r="AB823">
        <f>[1]资金台帐!AB823</f>
        <v>0</v>
      </c>
      <c r="AC823">
        <f>[1]资金台帐!AC823</f>
        <v>0</v>
      </c>
      <c r="AD823">
        <f>[1]资金台帐!AD823</f>
        <v>0</v>
      </c>
      <c r="AJ823">
        <f>[1]资金台帐!AJ823</f>
        <v>0</v>
      </c>
      <c r="AK823">
        <f>[1]资金台帐!AK823</f>
        <v>0</v>
      </c>
      <c r="BA823" s="22">
        <f t="shared" si="0"/>
      </c>
      <c r="BG823" s="22">
        <f t="shared" si="1"/>
      </c>
      <c r="BH823" s="22">
        <f t="shared" si="2"/>
        <v>0</v>
      </c>
    </row>
    <row r="824">
      <c r="B824">
        <f>[1]资金台帐!B824&amp;""</f>
      </c>
      <c r="H824">
        <f>[1]资金台帐!H824&amp;""</f>
      </c>
      <c r="J824">
        <f>[1]资金台帐!J824&amp;""</f>
      </c>
      <c r="N824">
        <f>[1]资金台帐!N824</f>
      </c>
      <c r="O824">
        <f>[1]资金台帐!O824&amp;""</f>
      </c>
      <c r="P824">
        <f>[1]资金台帐!P824&amp;""</f>
      </c>
      <c r="Q824">
        <f>[1]资金台帐!Q824&amp;""</f>
      </c>
      <c r="T824">
        <f>[1]资金台帐!T824&amp;""</f>
      </c>
      <c r="U824">
        <f>[1]资金台帐!U824&amp;""</f>
      </c>
      <c r="W824">
        <f>[1]资金台帐!W824&amp;""</f>
      </c>
      <c r="X824">
        <f>[1]资金台帐!X824&amp;""</f>
      </c>
      <c r="AB824">
        <f>[1]资金台帐!AB824</f>
        <v>0</v>
      </c>
      <c r="AC824">
        <f>[1]资金台帐!AC824</f>
        <v>0</v>
      </c>
      <c r="AD824">
        <f>[1]资金台帐!AD824</f>
        <v>0</v>
      </c>
      <c r="AJ824">
        <f>[1]资金台帐!AJ824</f>
        <v>0</v>
      </c>
      <c r="AK824">
        <f>[1]资金台帐!AK824</f>
        <v>0</v>
      </c>
      <c r="BA824" s="22">
        <f t="shared" si="0"/>
      </c>
      <c r="BG824" s="22">
        <f t="shared" si="1"/>
      </c>
      <c r="BH824" s="22">
        <f t="shared" si="2"/>
        <v>0</v>
      </c>
    </row>
    <row r="825">
      <c r="B825">
        <f>[1]资金台帐!B825&amp;""</f>
      </c>
      <c r="H825">
        <f>[1]资金台帐!H825&amp;""</f>
      </c>
      <c r="J825">
        <f>[1]资金台帐!J825&amp;""</f>
      </c>
      <c r="N825">
        <f>[1]资金台帐!N825</f>
      </c>
      <c r="O825">
        <f>[1]资金台帐!O825&amp;""</f>
      </c>
      <c r="P825">
        <f>[1]资金台帐!P825&amp;""</f>
      </c>
      <c r="Q825">
        <f>[1]资金台帐!Q825&amp;""</f>
      </c>
      <c r="T825">
        <f>[1]资金台帐!T825&amp;""</f>
      </c>
      <c r="U825">
        <f>[1]资金台帐!U825&amp;""</f>
      </c>
      <c r="W825">
        <f>[1]资金台帐!W825&amp;""</f>
      </c>
      <c r="X825">
        <f>[1]资金台帐!X825&amp;""</f>
      </c>
      <c r="AB825">
        <f>[1]资金台帐!AB825</f>
        <v>0</v>
      </c>
      <c r="AC825">
        <f>[1]资金台帐!AC825</f>
        <v>0</v>
      </c>
      <c r="AD825">
        <f>[1]资金台帐!AD825</f>
        <v>0</v>
      </c>
      <c r="AJ825">
        <f>[1]资金台帐!AJ825</f>
        <v>0</v>
      </c>
      <c r="AK825">
        <f>[1]资金台帐!AK825</f>
        <v>0</v>
      </c>
      <c r="BA825" s="22">
        <f t="shared" si="0"/>
      </c>
      <c r="BG825" s="22">
        <f t="shared" si="1"/>
      </c>
      <c r="BH825" s="22">
        <f t="shared" si="2"/>
        <v>0</v>
      </c>
    </row>
    <row r="826">
      <c r="B826">
        <f>[1]资金台帐!B826&amp;""</f>
      </c>
      <c r="H826">
        <f>[1]资金台帐!H826&amp;""</f>
      </c>
      <c r="J826">
        <f>[1]资金台帐!J826&amp;""</f>
      </c>
      <c r="N826">
        <f>[1]资金台帐!N826</f>
      </c>
      <c r="O826">
        <f>[1]资金台帐!O826&amp;""</f>
      </c>
      <c r="P826">
        <f>[1]资金台帐!P826&amp;""</f>
      </c>
      <c r="Q826">
        <f>[1]资金台帐!Q826&amp;""</f>
      </c>
      <c r="T826">
        <f>[1]资金台帐!T826&amp;""</f>
      </c>
      <c r="U826">
        <f>[1]资金台帐!U826&amp;""</f>
      </c>
      <c r="W826">
        <f>[1]资金台帐!W826&amp;""</f>
      </c>
      <c r="X826">
        <f>[1]资金台帐!X826&amp;""</f>
      </c>
      <c r="AB826">
        <f>[1]资金台帐!AB826</f>
        <v>0</v>
      </c>
      <c r="AC826">
        <f>[1]资金台帐!AC826</f>
        <v>0</v>
      </c>
      <c r="AD826">
        <f>[1]资金台帐!AD826</f>
        <v>0</v>
      </c>
      <c r="AJ826">
        <f>[1]资金台帐!AJ826</f>
        <v>0</v>
      </c>
      <c r="AK826">
        <f>[1]资金台帐!AK826</f>
        <v>0</v>
      </c>
      <c r="BA826" s="22">
        <f t="shared" si="0"/>
      </c>
      <c r="BG826" s="22">
        <f t="shared" si="1"/>
      </c>
      <c r="BH826" s="22">
        <f t="shared" si="2"/>
        <v>0</v>
      </c>
    </row>
    <row r="827">
      <c r="B827">
        <f>[1]资金台帐!B827&amp;""</f>
      </c>
      <c r="H827">
        <f>[1]资金台帐!H827&amp;""</f>
      </c>
      <c r="J827">
        <f>[1]资金台帐!J827&amp;""</f>
      </c>
      <c r="N827">
        <f>[1]资金台帐!N827</f>
      </c>
      <c r="O827">
        <f>[1]资金台帐!O827&amp;""</f>
      </c>
      <c r="P827">
        <f>[1]资金台帐!P827&amp;""</f>
      </c>
      <c r="Q827">
        <f>[1]资金台帐!Q827&amp;""</f>
      </c>
      <c r="T827">
        <f>[1]资金台帐!T827&amp;""</f>
      </c>
      <c r="U827">
        <f>[1]资金台帐!U827&amp;""</f>
      </c>
      <c r="W827">
        <f>[1]资金台帐!W827&amp;""</f>
      </c>
      <c r="X827">
        <f>[1]资金台帐!X827&amp;""</f>
      </c>
      <c r="AB827">
        <f>[1]资金台帐!AB827</f>
        <v>0</v>
      </c>
      <c r="AC827">
        <f>[1]资金台帐!AC827</f>
        <v>0</v>
      </c>
      <c r="AD827">
        <f>[1]资金台帐!AD827</f>
        <v>0</v>
      </c>
      <c r="AJ827">
        <f>[1]资金台帐!AJ827</f>
        <v>0</v>
      </c>
      <c r="AK827">
        <f>[1]资金台帐!AK827</f>
        <v>0</v>
      </c>
      <c r="BA827" s="22">
        <f t="shared" si="0"/>
      </c>
      <c r="BG827" s="22">
        <f t="shared" si="1"/>
      </c>
      <c r="BH827" s="22">
        <f t="shared" si="2"/>
        <v>0</v>
      </c>
    </row>
    <row r="828">
      <c r="B828">
        <f>[1]资金台帐!B828&amp;""</f>
      </c>
      <c r="H828">
        <f>[1]资金台帐!H828&amp;""</f>
      </c>
      <c r="J828">
        <f>[1]资金台帐!J828&amp;""</f>
      </c>
      <c r="N828">
        <f>[1]资金台帐!N828</f>
      </c>
      <c r="O828">
        <f>[1]资金台帐!O828&amp;""</f>
      </c>
      <c r="P828">
        <f>[1]资金台帐!P828&amp;""</f>
      </c>
      <c r="Q828">
        <f>[1]资金台帐!Q828&amp;""</f>
      </c>
      <c r="T828">
        <f>[1]资金台帐!T828&amp;""</f>
      </c>
      <c r="U828">
        <f>[1]资金台帐!U828&amp;""</f>
      </c>
      <c r="W828">
        <f>[1]资金台帐!W828&amp;""</f>
      </c>
      <c r="X828">
        <f>[1]资金台帐!X828&amp;""</f>
      </c>
      <c r="AB828">
        <f>[1]资金台帐!AB828</f>
        <v>0</v>
      </c>
      <c r="AC828">
        <f>[1]资金台帐!AC828</f>
        <v>0</v>
      </c>
      <c r="AD828">
        <f>[1]资金台帐!AD828</f>
        <v>0</v>
      </c>
      <c r="AJ828">
        <f>[1]资金台帐!AJ828</f>
        <v>0</v>
      </c>
      <c r="AK828">
        <f>[1]资金台帐!AK828</f>
        <v>0</v>
      </c>
      <c r="BA828" s="22">
        <f t="shared" si="0"/>
      </c>
      <c r="BG828" s="22">
        <f t="shared" si="1"/>
      </c>
      <c r="BH828" s="22">
        <f t="shared" si="2"/>
        <v>0</v>
      </c>
    </row>
    <row r="829">
      <c r="B829">
        <f>[1]资金台帐!B829&amp;""</f>
      </c>
      <c r="H829">
        <f>[1]资金台帐!H829&amp;""</f>
      </c>
      <c r="J829">
        <f>[1]资金台帐!J829&amp;""</f>
      </c>
      <c r="N829">
        <f>[1]资金台帐!N829</f>
      </c>
      <c r="O829">
        <f>[1]资金台帐!O829&amp;""</f>
      </c>
      <c r="P829">
        <f>[1]资金台帐!P829&amp;""</f>
      </c>
      <c r="Q829">
        <f>[1]资金台帐!Q829&amp;""</f>
      </c>
      <c r="T829">
        <f>[1]资金台帐!T829&amp;""</f>
      </c>
      <c r="U829">
        <f>[1]资金台帐!U829&amp;""</f>
      </c>
      <c r="W829">
        <f>[1]资金台帐!W829&amp;""</f>
      </c>
      <c r="X829">
        <f>[1]资金台帐!X829&amp;""</f>
      </c>
      <c r="AB829">
        <f>[1]资金台帐!AB829</f>
        <v>0</v>
      </c>
      <c r="AC829">
        <f>[1]资金台帐!AC829</f>
        <v>0</v>
      </c>
      <c r="AD829">
        <f>[1]资金台帐!AD829</f>
        <v>0</v>
      </c>
      <c r="AJ829">
        <f>[1]资金台帐!AJ829</f>
        <v>0</v>
      </c>
      <c r="AK829">
        <f>[1]资金台帐!AK829</f>
        <v>0</v>
      </c>
      <c r="BA829" s="22">
        <f t="shared" si="0"/>
      </c>
      <c r="BG829" s="22">
        <f t="shared" si="1"/>
      </c>
      <c r="BH829" s="22">
        <f t="shared" si="2"/>
        <v>0</v>
      </c>
    </row>
    <row r="830">
      <c r="B830">
        <f>[1]资金台帐!B830&amp;""</f>
      </c>
      <c r="H830">
        <f>[1]资金台帐!H830&amp;""</f>
      </c>
      <c r="J830">
        <f>[1]资金台帐!J830&amp;""</f>
      </c>
      <c r="N830">
        <f>[1]资金台帐!N830</f>
      </c>
      <c r="O830">
        <f>[1]资金台帐!O830&amp;""</f>
      </c>
      <c r="P830">
        <f>[1]资金台帐!P830&amp;""</f>
      </c>
      <c r="Q830">
        <f>[1]资金台帐!Q830&amp;""</f>
      </c>
      <c r="T830">
        <f>[1]资金台帐!T830&amp;""</f>
      </c>
      <c r="U830">
        <f>[1]资金台帐!U830&amp;""</f>
      </c>
      <c r="W830">
        <f>[1]资金台帐!W830&amp;""</f>
      </c>
      <c r="X830">
        <f>[1]资金台帐!X830&amp;""</f>
      </c>
      <c r="AB830">
        <f>[1]资金台帐!AB830</f>
        <v>0</v>
      </c>
      <c r="AC830">
        <f>[1]资金台帐!AC830</f>
        <v>0</v>
      </c>
      <c r="AD830">
        <f>[1]资金台帐!AD830</f>
        <v>0</v>
      </c>
      <c r="AJ830">
        <f>[1]资金台帐!AJ830</f>
        <v>0</v>
      </c>
      <c r="AK830">
        <f>[1]资金台帐!AK830</f>
        <v>0</v>
      </c>
      <c r="BA830" s="22">
        <f t="shared" si="0"/>
      </c>
      <c r="BG830" s="22">
        <f t="shared" si="1"/>
      </c>
      <c r="BH830" s="22">
        <f t="shared" si="2"/>
        <v>0</v>
      </c>
    </row>
    <row r="831">
      <c r="B831">
        <f>[1]资金台帐!B831&amp;""</f>
      </c>
      <c r="H831">
        <f>[1]资金台帐!H831&amp;""</f>
      </c>
      <c r="J831">
        <f>[1]资金台帐!J831&amp;""</f>
      </c>
      <c r="N831">
        <f>[1]资金台帐!N831</f>
      </c>
      <c r="O831">
        <f>[1]资金台帐!O831&amp;""</f>
      </c>
      <c r="P831">
        <f>[1]资金台帐!P831&amp;""</f>
      </c>
      <c r="Q831">
        <f>[1]资金台帐!Q831&amp;""</f>
      </c>
      <c r="T831">
        <f>[1]资金台帐!T831&amp;""</f>
      </c>
      <c r="U831">
        <f>[1]资金台帐!U831&amp;""</f>
      </c>
      <c r="W831">
        <f>[1]资金台帐!W831&amp;""</f>
      </c>
      <c r="X831">
        <f>[1]资金台帐!X831&amp;""</f>
      </c>
      <c r="AB831">
        <f>[1]资金台帐!AB831</f>
        <v>0</v>
      </c>
      <c r="AC831">
        <f>[1]资金台帐!AC831</f>
        <v>0</v>
      </c>
      <c r="AD831">
        <f>[1]资金台帐!AD831</f>
        <v>0</v>
      </c>
      <c r="AJ831">
        <f>[1]资金台帐!AJ831</f>
        <v>0</v>
      </c>
      <c r="AK831">
        <f>[1]资金台帐!AK831</f>
        <v>0</v>
      </c>
      <c r="BA831" s="22">
        <f t="shared" si="0"/>
      </c>
      <c r="BG831" s="22">
        <f t="shared" si="1"/>
      </c>
      <c r="BH831" s="22">
        <f t="shared" si="2"/>
        <v>0</v>
      </c>
    </row>
    <row r="832">
      <c r="B832">
        <f>[1]资金台帐!B832&amp;""</f>
      </c>
      <c r="H832">
        <f>[1]资金台帐!H832&amp;""</f>
      </c>
      <c r="J832">
        <f>[1]资金台帐!J832&amp;""</f>
      </c>
      <c r="N832">
        <f>[1]资金台帐!N832</f>
      </c>
      <c r="O832">
        <f>[1]资金台帐!O832&amp;""</f>
      </c>
      <c r="P832">
        <f>[1]资金台帐!P832&amp;""</f>
      </c>
      <c r="Q832">
        <f>[1]资金台帐!Q832&amp;""</f>
      </c>
      <c r="T832">
        <f>[1]资金台帐!T832&amp;""</f>
      </c>
      <c r="U832">
        <f>[1]资金台帐!U832&amp;""</f>
      </c>
      <c r="W832">
        <f>[1]资金台帐!W832&amp;""</f>
      </c>
      <c r="X832">
        <f>[1]资金台帐!X832&amp;""</f>
      </c>
      <c r="AB832">
        <f>[1]资金台帐!AB832</f>
        <v>0</v>
      </c>
      <c r="AC832">
        <f>[1]资金台帐!AC832</f>
        <v>0</v>
      </c>
      <c r="AD832">
        <f>[1]资金台帐!AD832</f>
        <v>0</v>
      </c>
      <c r="AJ832">
        <f>[1]资金台帐!AJ832</f>
        <v>0</v>
      </c>
      <c r="AK832">
        <f>[1]资金台帐!AK832</f>
        <v>0</v>
      </c>
      <c r="BA832" s="22">
        <f t="shared" si="0"/>
      </c>
      <c r="BG832" s="22">
        <f t="shared" si="1"/>
      </c>
      <c r="BH832" s="22">
        <f t="shared" si="2"/>
        <v>0</v>
      </c>
    </row>
    <row r="833">
      <c r="B833">
        <f>[1]资金台帐!B833&amp;""</f>
      </c>
      <c r="H833">
        <f>[1]资金台帐!H833&amp;""</f>
      </c>
      <c r="J833">
        <f>[1]资金台帐!J833&amp;""</f>
      </c>
      <c r="N833">
        <f>[1]资金台帐!N833</f>
      </c>
      <c r="O833">
        <f>[1]资金台帐!O833&amp;""</f>
      </c>
      <c r="P833">
        <f>[1]资金台帐!P833&amp;""</f>
      </c>
      <c r="Q833">
        <f>[1]资金台帐!Q833&amp;""</f>
      </c>
      <c r="T833">
        <f>[1]资金台帐!T833&amp;""</f>
      </c>
      <c r="U833">
        <f>[1]资金台帐!U833&amp;""</f>
      </c>
      <c r="W833">
        <f>[1]资金台帐!W833&amp;""</f>
      </c>
      <c r="X833">
        <f>[1]资金台帐!X833&amp;""</f>
      </c>
      <c r="AB833">
        <f>[1]资金台帐!AB833</f>
        <v>0</v>
      </c>
      <c r="AC833">
        <f>[1]资金台帐!AC833</f>
        <v>0</v>
      </c>
      <c r="AD833">
        <f>[1]资金台帐!AD833</f>
        <v>0</v>
      </c>
      <c r="AJ833">
        <f>[1]资金台帐!AJ833</f>
        <v>0</v>
      </c>
      <c r="AK833">
        <f>[1]资金台帐!AK833</f>
        <v>0</v>
      </c>
      <c r="BA833" s="22">
        <f t="shared" si="0"/>
      </c>
      <c r="BG833" s="22">
        <f t="shared" si="1"/>
      </c>
      <c r="BH833" s="22">
        <f t="shared" si="2"/>
        <v>0</v>
      </c>
    </row>
    <row r="834">
      <c r="B834">
        <f>[1]资金台帐!B834&amp;""</f>
      </c>
      <c r="H834">
        <f>[1]资金台帐!H834&amp;""</f>
      </c>
      <c r="J834">
        <f>[1]资金台帐!J834&amp;""</f>
      </c>
      <c r="N834">
        <f>[1]资金台帐!N834</f>
      </c>
      <c r="O834">
        <f>[1]资金台帐!O834&amp;""</f>
      </c>
      <c r="P834">
        <f>[1]资金台帐!P834&amp;""</f>
      </c>
      <c r="Q834">
        <f>[1]资金台帐!Q834&amp;""</f>
      </c>
      <c r="T834">
        <f>[1]资金台帐!T834&amp;""</f>
      </c>
      <c r="U834">
        <f>[1]资金台帐!U834&amp;""</f>
      </c>
      <c r="W834">
        <f>[1]资金台帐!W834&amp;""</f>
      </c>
      <c r="X834">
        <f>[1]资金台帐!X834&amp;""</f>
      </c>
      <c r="AB834">
        <f>[1]资金台帐!AB834</f>
        <v>0</v>
      </c>
      <c r="AC834">
        <f>[1]资金台帐!AC834</f>
        <v>0</v>
      </c>
      <c r="AD834">
        <f>[1]资金台帐!AD834</f>
        <v>0</v>
      </c>
      <c r="AJ834">
        <f>[1]资金台帐!AJ834</f>
        <v>0</v>
      </c>
      <c r="AK834">
        <f>[1]资金台帐!AK834</f>
        <v>0</v>
      </c>
      <c r="BA834" s="22">
        <f t="shared" si="0"/>
      </c>
      <c r="BG834" s="22">
        <f t="shared" si="1"/>
      </c>
      <c r="BH834" s="22">
        <f t="shared" si="2"/>
        <v>0</v>
      </c>
    </row>
    <row r="835">
      <c r="B835">
        <f>[1]资金台帐!B835&amp;""</f>
      </c>
      <c r="H835">
        <f>[1]资金台帐!H835&amp;""</f>
      </c>
      <c r="J835">
        <f>[1]资金台帐!J835&amp;""</f>
      </c>
      <c r="N835">
        <f>[1]资金台帐!N835</f>
      </c>
      <c r="O835">
        <f>[1]资金台帐!O835&amp;""</f>
      </c>
      <c r="P835">
        <f>[1]资金台帐!P835&amp;""</f>
      </c>
      <c r="Q835">
        <f>[1]资金台帐!Q835&amp;""</f>
      </c>
      <c r="T835">
        <f>[1]资金台帐!T835&amp;""</f>
      </c>
      <c r="U835">
        <f>[1]资金台帐!U835&amp;""</f>
      </c>
      <c r="W835">
        <f>[1]资金台帐!W835&amp;""</f>
      </c>
      <c r="X835">
        <f>[1]资金台帐!X835&amp;""</f>
      </c>
      <c r="AB835">
        <f>[1]资金台帐!AB835</f>
        <v>0</v>
      </c>
      <c r="AC835">
        <f>[1]资金台帐!AC835</f>
        <v>0</v>
      </c>
      <c r="AD835">
        <f>[1]资金台帐!AD835</f>
        <v>0</v>
      </c>
      <c r="AJ835">
        <f>[1]资金台帐!AJ835</f>
        <v>0</v>
      </c>
      <c r="AK835">
        <f>[1]资金台帐!AK835</f>
        <v>0</v>
      </c>
      <c r="BA835" s="22">
        <f t="shared" si="0"/>
      </c>
      <c r="BG835" s="22">
        <f t="shared" si="1"/>
      </c>
      <c r="BH835" s="22">
        <f t="shared" si="2"/>
        <v>0</v>
      </c>
    </row>
    <row r="836">
      <c r="B836">
        <f>[1]资金台帐!B836&amp;""</f>
      </c>
      <c r="H836">
        <f>[1]资金台帐!H836&amp;""</f>
      </c>
      <c r="J836">
        <f>[1]资金台帐!J836&amp;""</f>
      </c>
      <c r="N836">
        <f>[1]资金台帐!N836</f>
      </c>
      <c r="O836">
        <f>[1]资金台帐!O836&amp;""</f>
      </c>
      <c r="P836">
        <f>[1]资金台帐!P836&amp;""</f>
      </c>
      <c r="Q836">
        <f>[1]资金台帐!Q836&amp;""</f>
      </c>
      <c r="T836">
        <f>[1]资金台帐!T836&amp;""</f>
      </c>
      <c r="U836">
        <f>[1]资金台帐!U836&amp;""</f>
      </c>
      <c r="W836">
        <f>[1]资金台帐!W836&amp;""</f>
      </c>
      <c r="X836">
        <f>[1]资金台帐!X836&amp;""</f>
      </c>
      <c r="AB836">
        <f>[1]资金台帐!AB836</f>
        <v>0</v>
      </c>
      <c r="AC836">
        <f>[1]资金台帐!AC836</f>
        <v>0</v>
      </c>
      <c r="AD836">
        <f>[1]资金台帐!AD836</f>
        <v>0</v>
      </c>
      <c r="AJ836">
        <f>[1]资金台帐!AJ836</f>
        <v>0</v>
      </c>
      <c r="AK836">
        <f>[1]资金台帐!AK836</f>
        <v>0</v>
      </c>
      <c r="BA836" s="22">
        <f t="shared" si="0"/>
      </c>
      <c r="BG836" s="22">
        <f t="shared" si="1"/>
      </c>
      <c r="BH836" s="22">
        <f t="shared" si="2"/>
        <v>0</v>
      </c>
    </row>
    <row r="837">
      <c r="B837">
        <f>[1]资金台帐!B837&amp;""</f>
      </c>
      <c r="H837">
        <f>[1]资金台帐!H837&amp;""</f>
      </c>
      <c r="J837">
        <f>[1]资金台帐!J837&amp;""</f>
      </c>
      <c r="N837">
        <f>[1]资金台帐!N837</f>
      </c>
      <c r="O837">
        <f>[1]资金台帐!O837&amp;""</f>
      </c>
      <c r="P837">
        <f>[1]资金台帐!P837&amp;""</f>
      </c>
      <c r="Q837">
        <f>[1]资金台帐!Q837&amp;""</f>
      </c>
      <c r="T837">
        <f>[1]资金台帐!T837&amp;""</f>
      </c>
      <c r="U837">
        <f>[1]资金台帐!U837&amp;""</f>
      </c>
      <c r="W837">
        <f>[1]资金台帐!W837&amp;""</f>
      </c>
      <c r="X837">
        <f>[1]资金台帐!X837&amp;""</f>
      </c>
      <c r="AB837">
        <f>[1]资金台帐!AB837</f>
        <v>0</v>
      </c>
      <c r="AC837">
        <f>[1]资金台帐!AC837</f>
        <v>0</v>
      </c>
      <c r="AD837">
        <f>[1]资金台帐!AD837</f>
        <v>0</v>
      </c>
      <c r="AJ837">
        <f>[1]资金台帐!AJ837</f>
        <v>0</v>
      </c>
      <c r="AK837">
        <f>[1]资金台帐!AK837</f>
        <v>0</v>
      </c>
      <c r="BA837" s="22">
        <f t="shared" si="0"/>
      </c>
      <c r="BG837" s="22">
        <f t="shared" si="1"/>
      </c>
      <c r="BH837" s="22">
        <f t="shared" si="2"/>
        <v>0</v>
      </c>
    </row>
    <row r="838">
      <c r="B838">
        <f>[1]资金台帐!B838&amp;""</f>
      </c>
      <c r="H838">
        <f>[1]资金台帐!H838&amp;""</f>
      </c>
      <c r="J838">
        <f>[1]资金台帐!J838&amp;""</f>
      </c>
      <c r="N838">
        <f>[1]资金台帐!N838</f>
      </c>
      <c r="O838">
        <f>[1]资金台帐!O838&amp;""</f>
      </c>
      <c r="P838">
        <f>[1]资金台帐!P838&amp;""</f>
      </c>
      <c r="Q838">
        <f>[1]资金台帐!Q838&amp;""</f>
      </c>
      <c r="T838">
        <f>[1]资金台帐!T838&amp;""</f>
      </c>
      <c r="U838">
        <f>[1]资金台帐!U838&amp;""</f>
      </c>
      <c r="W838">
        <f>[1]资金台帐!W838&amp;""</f>
      </c>
      <c r="X838">
        <f>[1]资金台帐!X838&amp;""</f>
      </c>
      <c r="AB838">
        <f>[1]资金台帐!AB838</f>
        <v>0</v>
      </c>
      <c r="AC838">
        <f>[1]资金台帐!AC838</f>
        <v>0</v>
      </c>
      <c r="AD838">
        <f>[1]资金台帐!AD838</f>
        <v>0</v>
      </c>
      <c r="AJ838">
        <f>[1]资金台帐!AJ838</f>
        <v>0</v>
      </c>
      <c r="AK838">
        <f>[1]资金台帐!AK838</f>
        <v>0</v>
      </c>
      <c r="BA838" s="22">
        <f t="shared" si="0"/>
      </c>
      <c r="BG838" s="22">
        <f t="shared" si="1"/>
      </c>
      <c r="BH838" s="22">
        <f t="shared" si="2"/>
        <v>0</v>
      </c>
    </row>
    <row r="839">
      <c r="B839">
        <f>[1]资金台帐!B839&amp;""</f>
      </c>
      <c r="H839">
        <f>[1]资金台帐!H839&amp;""</f>
      </c>
      <c r="J839">
        <f>[1]资金台帐!J839&amp;""</f>
      </c>
      <c r="N839">
        <f>[1]资金台帐!N839</f>
      </c>
      <c r="O839">
        <f>[1]资金台帐!O839&amp;""</f>
      </c>
      <c r="P839">
        <f>[1]资金台帐!P839&amp;""</f>
      </c>
      <c r="Q839">
        <f>[1]资金台帐!Q839&amp;""</f>
      </c>
      <c r="T839">
        <f>[1]资金台帐!T839&amp;""</f>
      </c>
      <c r="U839">
        <f>[1]资金台帐!U839&amp;""</f>
      </c>
      <c r="W839">
        <f>[1]资金台帐!W839&amp;""</f>
      </c>
      <c r="X839">
        <f>[1]资金台帐!X839&amp;""</f>
      </c>
      <c r="AB839">
        <f>[1]资金台帐!AB839</f>
        <v>0</v>
      </c>
      <c r="AC839">
        <f>[1]资金台帐!AC839</f>
        <v>0</v>
      </c>
      <c r="AD839">
        <f>[1]资金台帐!AD839</f>
        <v>0</v>
      </c>
      <c r="AJ839">
        <f>[1]资金台帐!AJ839</f>
        <v>0</v>
      </c>
      <c r="AK839">
        <f>[1]资金台帐!AK839</f>
        <v>0</v>
      </c>
      <c r="BA839" s="22">
        <f t="shared" si="0"/>
      </c>
      <c r="BG839" s="22">
        <f t="shared" si="1"/>
      </c>
      <c r="BH839" s="22">
        <f t="shared" si="2"/>
        <v>0</v>
      </c>
    </row>
    <row r="840">
      <c r="B840">
        <f>[1]资金台帐!B840&amp;""</f>
      </c>
      <c r="H840">
        <f>[1]资金台帐!H840&amp;""</f>
      </c>
      <c r="J840">
        <f>[1]资金台帐!J840&amp;""</f>
      </c>
      <c r="N840">
        <f>[1]资金台帐!N840</f>
      </c>
      <c r="O840">
        <f>[1]资金台帐!O840&amp;""</f>
      </c>
      <c r="P840">
        <f>[1]资金台帐!P840&amp;""</f>
      </c>
      <c r="Q840">
        <f>[1]资金台帐!Q840&amp;""</f>
      </c>
      <c r="T840">
        <f>[1]资金台帐!T840&amp;""</f>
      </c>
      <c r="U840">
        <f>[1]资金台帐!U840&amp;""</f>
      </c>
      <c r="W840">
        <f>[1]资金台帐!W840&amp;""</f>
      </c>
      <c r="X840">
        <f>[1]资金台帐!X840&amp;""</f>
      </c>
      <c r="AB840">
        <f>[1]资金台帐!AB840</f>
        <v>0</v>
      </c>
      <c r="AC840">
        <f>[1]资金台帐!AC840</f>
        <v>0</v>
      </c>
      <c r="AD840">
        <f>[1]资金台帐!AD840</f>
        <v>0</v>
      </c>
      <c r="AJ840">
        <f>[1]资金台帐!AJ840</f>
        <v>0</v>
      </c>
      <c r="AK840">
        <f>[1]资金台帐!AK840</f>
        <v>0</v>
      </c>
      <c r="BA840" s="22">
        <f t="shared" si="0"/>
      </c>
      <c r="BG840" s="22">
        <f t="shared" si="1"/>
      </c>
      <c r="BH840" s="22">
        <f t="shared" si="2"/>
        <v>0</v>
      </c>
    </row>
    <row r="841">
      <c r="B841">
        <f>[1]资金台帐!B841&amp;""</f>
      </c>
      <c r="H841">
        <f>[1]资金台帐!H841&amp;""</f>
      </c>
      <c r="J841">
        <f>[1]资金台帐!J841&amp;""</f>
      </c>
      <c r="N841">
        <f>[1]资金台帐!N841</f>
      </c>
      <c r="O841">
        <f>[1]资金台帐!O841&amp;""</f>
      </c>
      <c r="P841">
        <f>[1]资金台帐!P841&amp;""</f>
      </c>
      <c r="Q841">
        <f>[1]资金台帐!Q841&amp;""</f>
      </c>
      <c r="T841">
        <f>[1]资金台帐!T841&amp;""</f>
      </c>
      <c r="U841">
        <f>[1]资金台帐!U841&amp;""</f>
      </c>
      <c r="W841">
        <f>[1]资金台帐!W841&amp;""</f>
      </c>
      <c r="X841">
        <f>[1]资金台帐!X841&amp;""</f>
      </c>
      <c r="AB841">
        <f>[1]资金台帐!AB841</f>
        <v>0</v>
      </c>
      <c r="AC841">
        <f>[1]资金台帐!AC841</f>
        <v>0</v>
      </c>
      <c r="AD841">
        <f>[1]资金台帐!AD841</f>
        <v>0</v>
      </c>
      <c r="AJ841">
        <f>[1]资金台帐!AJ841</f>
        <v>0</v>
      </c>
      <c r="AK841">
        <f>[1]资金台帐!AK841</f>
        <v>0</v>
      </c>
      <c r="BA841" s="22">
        <f t="shared" si="0"/>
      </c>
      <c r="BG841" s="22">
        <f t="shared" si="1"/>
      </c>
      <c r="BH841" s="22">
        <f t="shared" si="2"/>
        <v>0</v>
      </c>
    </row>
    <row r="842">
      <c r="B842">
        <f>[1]资金台帐!B842&amp;""</f>
      </c>
      <c r="H842">
        <f>[1]资金台帐!H842&amp;""</f>
      </c>
      <c r="J842">
        <f>[1]资金台帐!J842&amp;""</f>
      </c>
      <c r="N842">
        <f>[1]资金台帐!N842</f>
      </c>
      <c r="O842">
        <f>[1]资金台帐!O842&amp;""</f>
      </c>
      <c r="P842">
        <f>[1]资金台帐!P842&amp;""</f>
      </c>
      <c r="Q842">
        <f>[1]资金台帐!Q842&amp;""</f>
      </c>
      <c r="T842">
        <f>[1]资金台帐!T842&amp;""</f>
      </c>
      <c r="U842">
        <f>[1]资金台帐!U842&amp;""</f>
      </c>
      <c r="W842">
        <f>[1]资金台帐!W842&amp;""</f>
      </c>
      <c r="X842">
        <f>[1]资金台帐!X842&amp;""</f>
      </c>
      <c r="AB842">
        <f>[1]资金台帐!AB842</f>
        <v>0</v>
      </c>
      <c r="AC842">
        <f>[1]资金台帐!AC842</f>
        <v>0</v>
      </c>
      <c r="AD842">
        <f>[1]资金台帐!AD842</f>
        <v>0</v>
      </c>
      <c r="AJ842">
        <f>[1]资金台帐!AJ842</f>
        <v>0</v>
      </c>
      <c r="AK842">
        <f>[1]资金台帐!AK842</f>
        <v>0</v>
      </c>
      <c r="BA842" s="22">
        <f t="shared" si="0"/>
      </c>
      <c r="BG842" s="22">
        <f t="shared" si="1"/>
      </c>
      <c r="BH842" s="22">
        <f t="shared" si="2"/>
        <v>0</v>
      </c>
    </row>
    <row r="843">
      <c r="B843">
        <f>[1]资金台帐!B843&amp;""</f>
      </c>
      <c r="H843">
        <f>[1]资金台帐!H843&amp;""</f>
      </c>
      <c r="J843">
        <f>[1]资金台帐!J843&amp;""</f>
      </c>
      <c r="N843">
        <f>[1]资金台帐!N843</f>
      </c>
      <c r="O843">
        <f>[1]资金台帐!O843&amp;""</f>
      </c>
      <c r="P843">
        <f>[1]资金台帐!P843&amp;""</f>
      </c>
      <c r="Q843">
        <f>[1]资金台帐!Q843&amp;""</f>
      </c>
      <c r="T843">
        <f>[1]资金台帐!T843&amp;""</f>
      </c>
      <c r="U843">
        <f>[1]资金台帐!U843&amp;""</f>
      </c>
      <c r="W843">
        <f>[1]资金台帐!W843&amp;""</f>
      </c>
      <c r="X843">
        <f>[1]资金台帐!X843&amp;""</f>
      </c>
      <c r="AB843">
        <f>[1]资金台帐!AB843</f>
        <v>0</v>
      </c>
      <c r="AC843">
        <f>[1]资金台帐!AC843</f>
        <v>0</v>
      </c>
      <c r="AD843">
        <f>[1]资金台帐!AD843</f>
        <v>0</v>
      </c>
      <c r="AJ843">
        <f>[1]资金台帐!AJ843</f>
        <v>0</v>
      </c>
      <c r="AK843">
        <f>[1]资金台帐!AK843</f>
        <v>0</v>
      </c>
      <c r="BA843" s="22">
        <f t="shared" si="0"/>
      </c>
      <c r="BG843" s="22">
        <f t="shared" si="1"/>
      </c>
      <c r="BH843" s="22">
        <f t="shared" si="2"/>
        <v>0</v>
      </c>
    </row>
    <row r="844">
      <c r="B844">
        <f>[1]资金台帐!B844&amp;""</f>
      </c>
      <c r="H844">
        <f>[1]资金台帐!H844&amp;""</f>
      </c>
      <c r="J844">
        <f>[1]资金台帐!J844&amp;""</f>
      </c>
      <c r="N844">
        <f>[1]资金台帐!N844</f>
      </c>
      <c r="O844">
        <f>[1]资金台帐!O844&amp;""</f>
      </c>
      <c r="P844">
        <f>[1]资金台帐!P844&amp;""</f>
      </c>
      <c r="Q844">
        <f>[1]资金台帐!Q844&amp;""</f>
      </c>
      <c r="T844">
        <f>[1]资金台帐!T844&amp;""</f>
      </c>
      <c r="U844">
        <f>[1]资金台帐!U844&amp;""</f>
      </c>
      <c r="W844">
        <f>[1]资金台帐!W844&amp;""</f>
      </c>
      <c r="X844">
        <f>[1]资金台帐!X844&amp;""</f>
      </c>
      <c r="AB844">
        <f>[1]资金台帐!AB844</f>
        <v>0</v>
      </c>
      <c r="AC844">
        <f>[1]资金台帐!AC844</f>
        <v>0</v>
      </c>
      <c r="AD844">
        <f>[1]资金台帐!AD844</f>
        <v>0</v>
      </c>
      <c r="AJ844">
        <f>[1]资金台帐!AJ844</f>
        <v>0</v>
      </c>
      <c r="AK844">
        <f>[1]资金台帐!AK844</f>
        <v>0</v>
      </c>
      <c r="BA844" s="22">
        <f t="shared" si="0"/>
      </c>
      <c r="BG844" s="22">
        <f t="shared" si="1"/>
      </c>
      <c r="BH844" s="22">
        <f t="shared" si="2"/>
        <v>0</v>
      </c>
    </row>
    <row r="845">
      <c r="B845">
        <f>[1]资金台帐!B845&amp;""</f>
      </c>
      <c r="H845">
        <f>[1]资金台帐!H845&amp;""</f>
      </c>
      <c r="J845">
        <f>[1]资金台帐!J845&amp;""</f>
      </c>
      <c r="N845">
        <f>[1]资金台帐!N845</f>
      </c>
      <c r="O845">
        <f>[1]资金台帐!O845&amp;""</f>
      </c>
      <c r="P845">
        <f>[1]资金台帐!P845&amp;""</f>
      </c>
      <c r="Q845">
        <f>[1]资金台帐!Q845&amp;""</f>
      </c>
      <c r="T845">
        <f>[1]资金台帐!T845&amp;""</f>
      </c>
      <c r="U845">
        <f>[1]资金台帐!U845&amp;""</f>
      </c>
      <c r="W845">
        <f>[1]资金台帐!W845&amp;""</f>
      </c>
      <c r="X845">
        <f>[1]资金台帐!X845&amp;""</f>
      </c>
      <c r="AB845">
        <f>[1]资金台帐!AB845</f>
        <v>0</v>
      </c>
      <c r="AC845">
        <f>[1]资金台帐!AC845</f>
        <v>0</v>
      </c>
      <c r="AD845">
        <f>[1]资金台帐!AD845</f>
        <v>0</v>
      </c>
      <c r="AJ845">
        <f>[1]资金台帐!AJ845</f>
        <v>0</v>
      </c>
      <c r="AK845">
        <f>[1]资金台帐!AK845</f>
        <v>0</v>
      </c>
      <c r="BA845" s="22">
        <f t="shared" si="0"/>
      </c>
      <c r="BG845" s="22">
        <f t="shared" si="1"/>
      </c>
      <c r="BH845" s="22">
        <f t="shared" si="2"/>
        <v>0</v>
      </c>
    </row>
    <row r="846">
      <c r="B846">
        <f>[1]资金台帐!B846&amp;""</f>
      </c>
      <c r="H846">
        <f>[1]资金台帐!H846&amp;""</f>
      </c>
      <c r="J846">
        <f>[1]资金台帐!J846&amp;""</f>
      </c>
      <c r="N846">
        <f>[1]资金台帐!N846</f>
      </c>
      <c r="O846">
        <f>[1]资金台帐!O846&amp;""</f>
      </c>
      <c r="P846">
        <f>[1]资金台帐!P846&amp;""</f>
      </c>
      <c r="Q846">
        <f>[1]资金台帐!Q846&amp;""</f>
      </c>
      <c r="T846">
        <f>[1]资金台帐!T846&amp;""</f>
      </c>
      <c r="U846">
        <f>[1]资金台帐!U846&amp;""</f>
      </c>
      <c r="W846">
        <f>[1]资金台帐!W846&amp;""</f>
      </c>
      <c r="X846">
        <f>[1]资金台帐!X846&amp;""</f>
      </c>
      <c r="AB846">
        <f>[1]资金台帐!AB846</f>
        <v>0</v>
      </c>
      <c r="AC846">
        <f>[1]资金台帐!AC846</f>
        <v>0</v>
      </c>
      <c r="AD846">
        <f>[1]资金台帐!AD846</f>
        <v>0</v>
      </c>
      <c r="AJ846">
        <f>[1]资金台帐!AJ846</f>
        <v>0</v>
      </c>
      <c r="AK846">
        <f>[1]资金台帐!AK846</f>
        <v>0</v>
      </c>
      <c r="BA846" s="22">
        <f t="shared" si="0"/>
      </c>
      <c r="BG846" s="22">
        <f t="shared" si="1"/>
      </c>
      <c r="BH846" s="22">
        <f t="shared" si="2"/>
        <v>0</v>
      </c>
    </row>
    <row r="847">
      <c r="B847">
        <f>[1]资金台帐!B847&amp;""</f>
      </c>
      <c r="H847">
        <f>[1]资金台帐!H847&amp;""</f>
      </c>
      <c r="J847">
        <f>[1]资金台帐!J847&amp;""</f>
      </c>
      <c r="N847">
        <f>[1]资金台帐!N847</f>
      </c>
      <c r="O847">
        <f>[1]资金台帐!O847&amp;""</f>
      </c>
      <c r="P847">
        <f>[1]资金台帐!P847&amp;""</f>
      </c>
      <c r="Q847">
        <f>[1]资金台帐!Q847&amp;""</f>
      </c>
      <c r="T847">
        <f>[1]资金台帐!T847&amp;""</f>
      </c>
      <c r="U847">
        <f>[1]资金台帐!U847&amp;""</f>
      </c>
      <c r="W847">
        <f>[1]资金台帐!W847&amp;""</f>
      </c>
      <c r="X847">
        <f>[1]资金台帐!X847&amp;""</f>
      </c>
      <c r="AB847">
        <f>[1]资金台帐!AB847</f>
        <v>0</v>
      </c>
      <c r="AC847">
        <f>[1]资金台帐!AC847</f>
        <v>0</v>
      </c>
      <c r="AD847">
        <f>[1]资金台帐!AD847</f>
        <v>0</v>
      </c>
      <c r="AJ847">
        <f>[1]资金台帐!AJ847</f>
        <v>0</v>
      </c>
      <c r="AK847">
        <f>[1]资金台帐!AK847</f>
        <v>0</v>
      </c>
      <c r="BA847" s="22">
        <f t="shared" si="0"/>
      </c>
      <c r="BG847" s="22">
        <f t="shared" si="1"/>
      </c>
      <c r="BH847" s="22">
        <f t="shared" si="2"/>
        <v>0</v>
      </c>
    </row>
    <row r="848">
      <c r="B848">
        <f>[1]资金台帐!B848&amp;""</f>
      </c>
      <c r="H848">
        <f>[1]资金台帐!H848&amp;""</f>
      </c>
      <c r="J848">
        <f>[1]资金台帐!J848&amp;""</f>
      </c>
      <c r="N848">
        <f>[1]资金台帐!N848</f>
      </c>
      <c r="O848">
        <f>[1]资金台帐!O848&amp;""</f>
      </c>
      <c r="P848">
        <f>[1]资金台帐!P848&amp;""</f>
      </c>
      <c r="Q848">
        <f>[1]资金台帐!Q848&amp;""</f>
      </c>
      <c r="T848">
        <f>[1]资金台帐!T848&amp;""</f>
      </c>
      <c r="U848">
        <f>[1]资金台帐!U848&amp;""</f>
      </c>
      <c r="W848">
        <f>[1]资金台帐!W848&amp;""</f>
      </c>
      <c r="X848">
        <f>[1]资金台帐!X848&amp;""</f>
      </c>
      <c r="AB848">
        <f>[1]资金台帐!AB848</f>
        <v>0</v>
      </c>
      <c r="AC848">
        <f>[1]资金台帐!AC848</f>
        <v>0</v>
      </c>
      <c r="AD848">
        <f>[1]资金台帐!AD848</f>
        <v>0</v>
      </c>
      <c r="AJ848">
        <f>[1]资金台帐!AJ848</f>
        <v>0</v>
      </c>
      <c r="AK848">
        <f>[1]资金台帐!AK848</f>
        <v>0</v>
      </c>
      <c r="BA848" s="22">
        <f t="shared" si="0"/>
      </c>
      <c r="BG848" s="22">
        <f t="shared" si="1"/>
      </c>
      <c r="BH848" s="22">
        <f t="shared" si="2"/>
        <v>0</v>
      </c>
    </row>
    <row r="849">
      <c r="B849">
        <f>[1]资金台帐!B849&amp;""</f>
      </c>
      <c r="H849">
        <f>[1]资金台帐!H849&amp;""</f>
      </c>
      <c r="J849">
        <f>[1]资金台帐!J849&amp;""</f>
      </c>
      <c r="N849">
        <f>[1]资金台帐!N849</f>
      </c>
      <c r="O849">
        <f>[1]资金台帐!O849&amp;""</f>
      </c>
      <c r="P849">
        <f>[1]资金台帐!P849&amp;""</f>
      </c>
      <c r="Q849">
        <f>[1]资金台帐!Q849&amp;""</f>
      </c>
      <c r="T849">
        <f>[1]资金台帐!T849&amp;""</f>
      </c>
      <c r="U849">
        <f>[1]资金台帐!U849&amp;""</f>
      </c>
      <c r="W849">
        <f>[1]资金台帐!W849&amp;""</f>
      </c>
      <c r="X849">
        <f>[1]资金台帐!X849&amp;""</f>
      </c>
      <c r="AB849">
        <f>[1]资金台帐!AB849</f>
        <v>0</v>
      </c>
      <c r="AC849">
        <f>[1]资金台帐!AC849</f>
        <v>0</v>
      </c>
      <c r="AD849">
        <f>[1]资金台帐!AD849</f>
        <v>0</v>
      </c>
      <c r="AJ849">
        <f>[1]资金台帐!AJ849</f>
        <v>0</v>
      </c>
      <c r="AK849">
        <f>[1]资金台帐!AK849</f>
        <v>0</v>
      </c>
      <c r="BA849" s="22">
        <f t="shared" si="0"/>
      </c>
      <c r="BG849" s="22">
        <f t="shared" si="1"/>
      </c>
      <c r="BH849" s="22">
        <f t="shared" si="2"/>
        <v>0</v>
      </c>
    </row>
    <row r="850">
      <c r="B850">
        <f>[1]资金台帐!B850&amp;""</f>
      </c>
      <c r="H850">
        <f>[1]资金台帐!H850&amp;""</f>
      </c>
      <c r="J850">
        <f>[1]资金台帐!J850&amp;""</f>
      </c>
      <c r="N850">
        <f>[1]资金台帐!N850</f>
      </c>
      <c r="O850">
        <f>[1]资金台帐!O850&amp;""</f>
      </c>
      <c r="P850">
        <f>[1]资金台帐!P850&amp;""</f>
      </c>
      <c r="Q850">
        <f>[1]资金台帐!Q850&amp;""</f>
      </c>
      <c r="T850">
        <f>[1]资金台帐!T850&amp;""</f>
      </c>
      <c r="U850">
        <f>[1]资金台帐!U850&amp;""</f>
      </c>
      <c r="W850">
        <f>[1]资金台帐!W850&amp;""</f>
      </c>
      <c r="X850">
        <f>[1]资金台帐!X850&amp;""</f>
      </c>
      <c r="AB850">
        <f>[1]资金台帐!AB850</f>
        <v>0</v>
      </c>
      <c r="AC850">
        <f>[1]资金台帐!AC850</f>
        <v>0</v>
      </c>
      <c r="AD850">
        <f>[1]资金台帐!AD850</f>
        <v>0</v>
      </c>
      <c r="AJ850">
        <f>[1]资金台帐!AJ850</f>
        <v>0</v>
      </c>
      <c r="AK850">
        <f>[1]资金台帐!AK850</f>
        <v>0</v>
      </c>
      <c r="BA850" s="22">
        <f t="shared" si="0"/>
      </c>
      <c r="BG850" s="22">
        <f t="shared" si="1"/>
      </c>
      <c r="BH850" s="22">
        <f t="shared" si="2"/>
        <v>0</v>
      </c>
    </row>
    <row r="851">
      <c r="B851">
        <f>[1]资金台帐!B851&amp;""</f>
      </c>
      <c r="H851">
        <f>[1]资金台帐!H851&amp;""</f>
      </c>
      <c r="J851">
        <f>[1]资金台帐!J851&amp;""</f>
      </c>
      <c r="N851">
        <f>[1]资金台帐!N851</f>
      </c>
      <c r="O851">
        <f>[1]资金台帐!O851&amp;""</f>
      </c>
      <c r="P851">
        <f>[1]资金台帐!P851&amp;""</f>
      </c>
      <c r="Q851">
        <f>[1]资金台帐!Q851&amp;""</f>
      </c>
      <c r="T851">
        <f>[1]资金台帐!T851&amp;""</f>
      </c>
      <c r="U851">
        <f>[1]资金台帐!U851&amp;""</f>
      </c>
      <c r="W851">
        <f>[1]资金台帐!W851&amp;""</f>
      </c>
      <c r="X851">
        <f>[1]资金台帐!X851&amp;""</f>
      </c>
      <c r="AB851">
        <f>[1]资金台帐!AB851</f>
        <v>0</v>
      </c>
      <c r="AC851">
        <f>[1]资金台帐!AC851</f>
        <v>0</v>
      </c>
      <c r="AD851">
        <f>[1]资金台帐!AD851</f>
        <v>0</v>
      </c>
      <c r="AJ851">
        <f>[1]资金台帐!AJ851</f>
        <v>0</v>
      </c>
      <c r="AK851">
        <f>[1]资金台帐!AK851</f>
        <v>0</v>
      </c>
      <c r="BA851" s="22">
        <f t="shared" si="0"/>
      </c>
      <c r="BG851" s="22">
        <f t="shared" si="1"/>
      </c>
      <c r="BH851" s="22">
        <f t="shared" si="2"/>
        <v>0</v>
      </c>
    </row>
    <row r="852">
      <c r="B852">
        <f>[1]资金台帐!B852&amp;""</f>
      </c>
      <c r="H852">
        <f>[1]资金台帐!H852&amp;""</f>
      </c>
      <c r="J852">
        <f>[1]资金台帐!J852&amp;""</f>
      </c>
      <c r="N852">
        <f>[1]资金台帐!N852</f>
      </c>
      <c r="O852">
        <f>[1]资金台帐!O852&amp;""</f>
      </c>
      <c r="P852">
        <f>[1]资金台帐!P852&amp;""</f>
      </c>
      <c r="Q852">
        <f>[1]资金台帐!Q852&amp;""</f>
      </c>
      <c r="T852">
        <f>[1]资金台帐!T852&amp;""</f>
      </c>
      <c r="U852">
        <f>[1]资金台帐!U852&amp;""</f>
      </c>
      <c r="W852">
        <f>[1]资金台帐!W852&amp;""</f>
      </c>
      <c r="X852">
        <f>[1]资金台帐!X852&amp;""</f>
      </c>
      <c r="AB852">
        <f>[1]资金台帐!AB852</f>
        <v>0</v>
      </c>
      <c r="AC852">
        <f>[1]资金台帐!AC852</f>
        <v>0</v>
      </c>
      <c r="AD852">
        <f>[1]资金台帐!AD852</f>
        <v>0</v>
      </c>
      <c r="AJ852">
        <f>[1]资金台帐!AJ852</f>
        <v>0</v>
      </c>
      <c r="AK852">
        <f>[1]资金台帐!AK852</f>
        <v>0</v>
      </c>
      <c r="BA852" s="22">
        <f t="shared" si="0"/>
      </c>
      <c r="BG852" s="22">
        <f t="shared" si="1"/>
      </c>
      <c r="BH852" s="22">
        <f t="shared" si="2"/>
        <v>0</v>
      </c>
    </row>
    <row r="853">
      <c r="B853">
        <f>[1]资金台帐!B853&amp;""</f>
      </c>
      <c r="H853">
        <f>[1]资金台帐!H853&amp;""</f>
      </c>
      <c r="J853">
        <f>[1]资金台帐!J853&amp;""</f>
      </c>
      <c r="N853">
        <f>[1]资金台帐!N853</f>
      </c>
      <c r="O853">
        <f>[1]资金台帐!O853&amp;""</f>
      </c>
      <c r="P853">
        <f>[1]资金台帐!P853&amp;""</f>
      </c>
      <c r="Q853">
        <f>[1]资金台帐!Q853&amp;""</f>
      </c>
      <c r="T853">
        <f>[1]资金台帐!T853&amp;""</f>
      </c>
      <c r="U853">
        <f>[1]资金台帐!U853&amp;""</f>
      </c>
      <c r="W853">
        <f>[1]资金台帐!W853&amp;""</f>
      </c>
      <c r="X853">
        <f>[1]资金台帐!X853&amp;""</f>
      </c>
      <c r="AB853">
        <f>[1]资金台帐!AB853</f>
        <v>0</v>
      </c>
      <c r="AC853">
        <f>[1]资金台帐!AC853</f>
        <v>0</v>
      </c>
      <c r="AD853">
        <f>[1]资金台帐!AD853</f>
        <v>0</v>
      </c>
      <c r="AJ853">
        <f>[1]资金台帐!AJ853</f>
        <v>0</v>
      </c>
      <c r="AK853">
        <f>[1]资金台帐!AK853</f>
        <v>0</v>
      </c>
      <c r="BA853" s="22">
        <f t="shared" si="0"/>
      </c>
      <c r="BG853" s="22">
        <f t="shared" si="1"/>
      </c>
      <c r="BH853" s="22">
        <f t="shared" si="2"/>
        <v>0</v>
      </c>
    </row>
    <row r="854">
      <c r="B854">
        <f>[1]资金台帐!B854&amp;""</f>
      </c>
      <c r="H854">
        <f>[1]资金台帐!H854&amp;""</f>
      </c>
      <c r="J854">
        <f>[1]资金台帐!J854&amp;""</f>
      </c>
      <c r="N854">
        <f>[1]资金台帐!N854</f>
      </c>
      <c r="O854">
        <f>[1]资金台帐!O854&amp;""</f>
      </c>
      <c r="P854">
        <f>[1]资金台帐!P854&amp;""</f>
      </c>
      <c r="Q854">
        <f>[1]资金台帐!Q854&amp;""</f>
      </c>
      <c r="T854">
        <f>[1]资金台帐!T854&amp;""</f>
      </c>
      <c r="U854">
        <f>[1]资金台帐!U854&amp;""</f>
      </c>
      <c r="W854">
        <f>[1]资金台帐!W854&amp;""</f>
      </c>
      <c r="X854">
        <f>[1]资金台帐!X854&amp;""</f>
      </c>
      <c r="AB854">
        <f>[1]资金台帐!AB854</f>
        <v>0</v>
      </c>
      <c r="AC854">
        <f>[1]资金台帐!AC854</f>
        <v>0</v>
      </c>
      <c r="AD854">
        <f>[1]资金台帐!AD854</f>
        <v>0</v>
      </c>
      <c r="AJ854">
        <f>[1]资金台帐!AJ854</f>
        <v>0</v>
      </c>
      <c r="AK854">
        <f>[1]资金台帐!AK854</f>
        <v>0</v>
      </c>
      <c r="BA854" s="22">
        <f t="shared" si="0"/>
      </c>
      <c r="BG854" s="22">
        <f t="shared" si="1"/>
      </c>
      <c r="BH854" s="22">
        <f t="shared" si="2"/>
        <v>0</v>
      </c>
    </row>
    <row r="855">
      <c r="B855">
        <f>[1]资金台帐!B855&amp;""</f>
      </c>
      <c r="H855">
        <f>[1]资金台帐!H855&amp;""</f>
      </c>
      <c r="J855">
        <f>[1]资金台帐!J855&amp;""</f>
      </c>
      <c r="N855">
        <f>[1]资金台帐!N855</f>
      </c>
      <c r="O855">
        <f>[1]资金台帐!O855&amp;""</f>
      </c>
      <c r="P855">
        <f>[1]资金台帐!P855&amp;""</f>
      </c>
      <c r="Q855">
        <f>[1]资金台帐!Q855&amp;""</f>
      </c>
      <c r="T855">
        <f>[1]资金台帐!T855&amp;""</f>
      </c>
      <c r="U855">
        <f>[1]资金台帐!U855&amp;""</f>
      </c>
      <c r="W855">
        <f>[1]资金台帐!W855&amp;""</f>
      </c>
      <c r="X855">
        <f>[1]资金台帐!X855&amp;""</f>
      </c>
      <c r="AB855">
        <f>[1]资金台帐!AB855</f>
        <v>0</v>
      </c>
      <c r="AC855">
        <f>[1]资金台帐!AC855</f>
        <v>0</v>
      </c>
      <c r="AD855">
        <f>[1]资金台帐!AD855</f>
        <v>0</v>
      </c>
      <c r="AJ855">
        <f>[1]资金台帐!AJ855</f>
        <v>0</v>
      </c>
      <c r="AK855">
        <f>[1]资金台帐!AK855</f>
        <v>0</v>
      </c>
      <c r="BA855" s="22">
        <f t="shared" si="0"/>
      </c>
      <c r="BG855" s="22">
        <f t="shared" si="1"/>
      </c>
      <c r="BH855" s="22">
        <f t="shared" si="2"/>
        <v>0</v>
      </c>
    </row>
    <row r="856">
      <c r="B856">
        <f>[1]资金台帐!B856&amp;""</f>
      </c>
      <c r="H856">
        <f>[1]资金台帐!H856&amp;""</f>
      </c>
      <c r="J856">
        <f>[1]资金台帐!J856&amp;""</f>
      </c>
      <c r="N856">
        <f>[1]资金台帐!N856</f>
      </c>
      <c r="O856">
        <f>[1]资金台帐!O856&amp;""</f>
      </c>
      <c r="P856">
        <f>[1]资金台帐!P856&amp;""</f>
      </c>
      <c r="Q856">
        <f>[1]资金台帐!Q856&amp;""</f>
      </c>
      <c r="T856">
        <f>[1]资金台帐!T856&amp;""</f>
      </c>
      <c r="U856">
        <f>[1]资金台帐!U856&amp;""</f>
      </c>
      <c r="W856">
        <f>[1]资金台帐!W856&amp;""</f>
      </c>
      <c r="X856">
        <f>[1]资金台帐!X856&amp;""</f>
      </c>
      <c r="AB856">
        <f>[1]资金台帐!AB856</f>
        <v>0</v>
      </c>
      <c r="AC856">
        <f>[1]资金台帐!AC856</f>
        <v>0</v>
      </c>
      <c r="AD856">
        <f>[1]资金台帐!AD856</f>
        <v>0</v>
      </c>
      <c r="AJ856">
        <f>[1]资金台帐!AJ856</f>
        <v>0</v>
      </c>
      <c r="AK856">
        <f>[1]资金台帐!AK856</f>
        <v>0</v>
      </c>
      <c r="BA856" s="22">
        <f t="shared" si="0"/>
      </c>
      <c r="BG856" s="22">
        <f t="shared" si="1"/>
      </c>
      <c r="BH856" s="22">
        <f t="shared" si="2"/>
        <v>0</v>
      </c>
    </row>
    <row r="857">
      <c r="B857">
        <f>[1]资金台帐!B857&amp;""</f>
      </c>
      <c r="H857">
        <f>[1]资金台帐!H857&amp;""</f>
      </c>
      <c r="J857">
        <f>[1]资金台帐!J857&amp;""</f>
      </c>
      <c r="N857">
        <f>[1]资金台帐!N857</f>
      </c>
      <c r="O857">
        <f>[1]资金台帐!O857&amp;""</f>
      </c>
      <c r="P857">
        <f>[1]资金台帐!P857&amp;""</f>
      </c>
      <c r="Q857">
        <f>[1]资金台帐!Q857&amp;""</f>
      </c>
      <c r="T857">
        <f>[1]资金台帐!T857&amp;""</f>
      </c>
      <c r="U857">
        <f>[1]资金台帐!U857&amp;""</f>
      </c>
      <c r="W857">
        <f>[1]资金台帐!W857&amp;""</f>
      </c>
      <c r="X857">
        <f>[1]资金台帐!X857&amp;""</f>
      </c>
      <c r="AB857">
        <f>[1]资金台帐!AB857</f>
        <v>0</v>
      </c>
      <c r="AC857">
        <f>[1]资金台帐!AC857</f>
        <v>0</v>
      </c>
      <c r="AD857">
        <f>[1]资金台帐!AD857</f>
        <v>0</v>
      </c>
      <c r="AJ857">
        <f>[1]资金台帐!AJ857</f>
        <v>0</v>
      </c>
      <c r="AK857">
        <f>[1]资金台帐!AK857</f>
        <v>0</v>
      </c>
      <c r="BA857" s="22">
        <f t="shared" si="0"/>
      </c>
      <c r="BG857" s="22">
        <f t="shared" si="1"/>
      </c>
      <c r="BH857" s="22">
        <f t="shared" si="2"/>
        <v>0</v>
      </c>
    </row>
    <row r="858">
      <c r="B858">
        <f>[1]资金台帐!B858&amp;""</f>
      </c>
      <c r="H858">
        <f>[1]资金台帐!H858&amp;""</f>
      </c>
      <c r="J858">
        <f>[1]资金台帐!J858&amp;""</f>
      </c>
      <c r="N858">
        <f>[1]资金台帐!N858</f>
      </c>
      <c r="O858">
        <f>[1]资金台帐!O858&amp;""</f>
      </c>
      <c r="P858">
        <f>[1]资金台帐!P858&amp;""</f>
      </c>
      <c r="Q858">
        <f>[1]资金台帐!Q858&amp;""</f>
      </c>
      <c r="T858">
        <f>[1]资金台帐!T858&amp;""</f>
      </c>
      <c r="U858">
        <f>[1]资金台帐!U858&amp;""</f>
      </c>
      <c r="W858">
        <f>[1]资金台帐!W858&amp;""</f>
      </c>
      <c r="X858">
        <f>[1]资金台帐!X858&amp;""</f>
      </c>
      <c r="AB858">
        <f>[1]资金台帐!AB858</f>
        <v>0</v>
      </c>
      <c r="AC858">
        <f>[1]资金台帐!AC858</f>
        <v>0</v>
      </c>
      <c r="AD858">
        <f>[1]资金台帐!AD858</f>
        <v>0</v>
      </c>
      <c r="AJ858">
        <f>[1]资金台帐!AJ858</f>
        <v>0</v>
      </c>
      <c r="AK858">
        <f>[1]资金台帐!AK858</f>
        <v>0</v>
      </c>
      <c r="BA858" s="22">
        <f t="shared" si="0"/>
      </c>
      <c r="BG858" s="22">
        <f t="shared" si="1"/>
      </c>
      <c r="BH858" s="22">
        <f t="shared" si="2"/>
        <v>0</v>
      </c>
    </row>
    <row r="859">
      <c r="B859">
        <f>[1]资金台帐!B859&amp;""</f>
      </c>
      <c r="H859">
        <f>[1]资金台帐!H859&amp;""</f>
      </c>
      <c r="J859">
        <f>[1]资金台帐!J859&amp;""</f>
      </c>
      <c r="N859">
        <f>[1]资金台帐!N859</f>
      </c>
      <c r="O859">
        <f>[1]资金台帐!O859&amp;""</f>
      </c>
      <c r="P859">
        <f>[1]资金台帐!P859&amp;""</f>
      </c>
      <c r="Q859">
        <f>[1]资金台帐!Q859&amp;""</f>
      </c>
      <c r="T859">
        <f>[1]资金台帐!T859&amp;""</f>
      </c>
      <c r="U859">
        <f>[1]资金台帐!U859&amp;""</f>
      </c>
      <c r="W859">
        <f>[1]资金台帐!W859&amp;""</f>
      </c>
      <c r="X859">
        <f>[1]资金台帐!X859&amp;""</f>
      </c>
      <c r="AB859">
        <f>[1]资金台帐!AB859</f>
        <v>0</v>
      </c>
      <c r="AC859">
        <f>[1]资金台帐!AC859</f>
        <v>0</v>
      </c>
      <c r="AD859">
        <f>[1]资金台帐!AD859</f>
        <v>0</v>
      </c>
      <c r="AJ859">
        <f>[1]资金台帐!AJ859</f>
        <v>0</v>
      </c>
      <c r="AK859">
        <f>[1]资金台帐!AK859</f>
        <v>0</v>
      </c>
      <c r="BA859" s="22">
        <f t="shared" si="0"/>
      </c>
      <c r="BG859" s="22">
        <f t="shared" si="1"/>
      </c>
      <c r="BH859" s="22">
        <f t="shared" si="2"/>
        <v>0</v>
      </c>
    </row>
    <row r="860">
      <c r="B860">
        <f>[1]资金台帐!B860&amp;""</f>
      </c>
      <c r="H860">
        <f>[1]资金台帐!H860&amp;""</f>
      </c>
      <c r="J860">
        <f>[1]资金台帐!J860&amp;""</f>
      </c>
      <c r="N860">
        <f>[1]资金台帐!N860</f>
      </c>
      <c r="O860">
        <f>[1]资金台帐!O860&amp;""</f>
      </c>
      <c r="P860">
        <f>[1]资金台帐!P860&amp;""</f>
      </c>
      <c r="Q860">
        <f>[1]资金台帐!Q860&amp;""</f>
      </c>
      <c r="T860">
        <f>[1]资金台帐!T860&amp;""</f>
      </c>
      <c r="U860">
        <f>[1]资金台帐!U860&amp;""</f>
      </c>
      <c r="W860">
        <f>[1]资金台帐!W860&amp;""</f>
      </c>
      <c r="X860">
        <f>[1]资金台帐!X860&amp;""</f>
      </c>
      <c r="AB860">
        <f>[1]资金台帐!AB860</f>
        <v>0</v>
      </c>
      <c r="AC860">
        <f>[1]资金台帐!AC860</f>
        <v>0</v>
      </c>
      <c r="AD860">
        <f>[1]资金台帐!AD860</f>
        <v>0</v>
      </c>
      <c r="AJ860">
        <f>[1]资金台帐!AJ860</f>
        <v>0</v>
      </c>
      <c r="AK860">
        <f>[1]资金台帐!AK860</f>
        <v>0</v>
      </c>
      <c r="BA860" s="22">
        <f t="shared" si="0"/>
      </c>
      <c r="BG860" s="22">
        <f t="shared" si="1"/>
      </c>
      <c r="BH860" s="22">
        <f t="shared" si="2"/>
        <v>0</v>
      </c>
    </row>
    <row r="861">
      <c r="B861">
        <f>[1]资金台帐!B861&amp;""</f>
      </c>
      <c r="H861">
        <f>[1]资金台帐!H861&amp;""</f>
      </c>
      <c r="J861">
        <f>[1]资金台帐!J861&amp;""</f>
      </c>
      <c r="N861">
        <f>[1]资金台帐!N861</f>
      </c>
      <c r="O861">
        <f>[1]资金台帐!O861&amp;""</f>
      </c>
      <c r="P861">
        <f>[1]资金台帐!P861&amp;""</f>
      </c>
      <c r="Q861">
        <f>[1]资金台帐!Q861&amp;""</f>
      </c>
      <c r="T861">
        <f>[1]资金台帐!T861&amp;""</f>
      </c>
      <c r="U861">
        <f>[1]资金台帐!U861&amp;""</f>
      </c>
      <c r="W861">
        <f>[1]资金台帐!W861&amp;""</f>
      </c>
      <c r="X861">
        <f>[1]资金台帐!X861&amp;""</f>
      </c>
      <c r="AB861">
        <f>[1]资金台帐!AB861</f>
        <v>0</v>
      </c>
      <c r="AC861">
        <f>[1]资金台帐!AC861</f>
        <v>0</v>
      </c>
      <c r="AD861">
        <f>[1]资金台帐!AD861</f>
        <v>0</v>
      </c>
      <c r="AJ861">
        <f>[1]资金台帐!AJ861</f>
        <v>0</v>
      </c>
      <c r="AK861">
        <f>[1]资金台帐!AK861</f>
        <v>0</v>
      </c>
      <c r="BA861" s="22">
        <f t="shared" si="0"/>
      </c>
      <c r="BG861" s="22">
        <f t="shared" si="1"/>
      </c>
      <c r="BH861" s="22">
        <f t="shared" si="2"/>
        <v>0</v>
      </c>
    </row>
    <row r="862">
      <c r="B862">
        <f>[1]资金台帐!B862&amp;""</f>
      </c>
      <c r="H862">
        <f>[1]资金台帐!H862&amp;""</f>
      </c>
      <c r="J862">
        <f>[1]资金台帐!J862&amp;""</f>
      </c>
      <c r="N862">
        <f>[1]资金台帐!N862</f>
      </c>
      <c r="O862">
        <f>[1]资金台帐!O862&amp;""</f>
      </c>
      <c r="P862">
        <f>[1]资金台帐!P862&amp;""</f>
      </c>
      <c r="Q862">
        <f>[1]资金台帐!Q862&amp;""</f>
      </c>
      <c r="T862">
        <f>[1]资金台帐!T862&amp;""</f>
      </c>
      <c r="U862">
        <f>[1]资金台帐!U862&amp;""</f>
      </c>
      <c r="W862">
        <f>[1]资金台帐!W862&amp;""</f>
      </c>
      <c r="X862">
        <f>[1]资金台帐!X862&amp;""</f>
      </c>
      <c r="AB862">
        <f>[1]资金台帐!AB862</f>
        <v>0</v>
      </c>
      <c r="AC862">
        <f>[1]资金台帐!AC862</f>
        <v>0</v>
      </c>
      <c r="AD862">
        <f>[1]资金台帐!AD862</f>
        <v>0</v>
      </c>
      <c r="AJ862">
        <f>[1]资金台帐!AJ862</f>
        <v>0</v>
      </c>
      <c r="AK862">
        <f>[1]资金台帐!AK862</f>
        <v>0</v>
      </c>
      <c r="BA862" s="22">
        <f t="shared" si="0"/>
      </c>
      <c r="BG862" s="22">
        <f t="shared" si="1"/>
      </c>
      <c r="BH862" s="22">
        <f t="shared" si="2"/>
        <v>0</v>
      </c>
    </row>
    <row r="863">
      <c r="B863">
        <f>[1]资金台帐!B863&amp;""</f>
      </c>
      <c r="H863">
        <f>[1]资金台帐!H863&amp;""</f>
      </c>
      <c r="J863">
        <f>[1]资金台帐!J863&amp;""</f>
      </c>
      <c r="N863">
        <f>[1]资金台帐!N863</f>
      </c>
      <c r="O863">
        <f>[1]资金台帐!O863&amp;""</f>
      </c>
      <c r="P863">
        <f>[1]资金台帐!P863&amp;""</f>
      </c>
      <c r="Q863">
        <f>[1]资金台帐!Q863&amp;""</f>
      </c>
      <c r="T863">
        <f>[1]资金台帐!T863&amp;""</f>
      </c>
      <c r="U863">
        <f>[1]资金台帐!U863&amp;""</f>
      </c>
      <c r="W863">
        <f>[1]资金台帐!W863&amp;""</f>
      </c>
      <c r="X863">
        <f>[1]资金台帐!X863&amp;""</f>
      </c>
      <c r="AB863">
        <f>[1]资金台帐!AB863</f>
        <v>0</v>
      </c>
      <c r="AC863">
        <f>[1]资金台帐!AC863</f>
        <v>0</v>
      </c>
      <c r="AD863">
        <f>[1]资金台帐!AD863</f>
        <v>0</v>
      </c>
      <c r="AJ863">
        <f>[1]资金台帐!AJ863</f>
        <v>0</v>
      </c>
      <c r="AK863">
        <f>[1]资金台帐!AK863</f>
        <v>0</v>
      </c>
      <c r="BA863" s="22">
        <f t="shared" si="0"/>
      </c>
      <c r="BG863" s="22">
        <f t="shared" si="1"/>
      </c>
      <c r="BH863" s="22">
        <f t="shared" si="2"/>
        <v>0</v>
      </c>
    </row>
    <row r="864">
      <c r="B864">
        <f>[1]资金台帐!B864&amp;""</f>
      </c>
      <c r="H864">
        <f>[1]资金台帐!H864&amp;""</f>
      </c>
      <c r="J864">
        <f>[1]资金台帐!J864&amp;""</f>
      </c>
      <c r="N864">
        <f>[1]资金台帐!N864</f>
      </c>
      <c r="O864">
        <f>[1]资金台帐!O864&amp;""</f>
      </c>
      <c r="P864">
        <f>[1]资金台帐!P864&amp;""</f>
      </c>
      <c r="Q864">
        <f>[1]资金台帐!Q864&amp;""</f>
      </c>
      <c r="T864">
        <f>[1]资金台帐!T864&amp;""</f>
      </c>
      <c r="U864">
        <f>[1]资金台帐!U864&amp;""</f>
      </c>
      <c r="W864">
        <f>[1]资金台帐!W864&amp;""</f>
      </c>
      <c r="X864">
        <f>[1]资金台帐!X864&amp;""</f>
      </c>
      <c r="AB864">
        <f>[1]资金台帐!AB864</f>
        <v>0</v>
      </c>
      <c r="AC864">
        <f>[1]资金台帐!AC864</f>
        <v>0</v>
      </c>
      <c r="AD864">
        <f>[1]资金台帐!AD864</f>
        <v>0</v>
      </c>
      <c r="AJ864">
        <f>[1]资金台帐!AJ864</f>
        <v>0</v>
      </c>
      <c r="AK864">
        <f>[1]资金台帐!AK864</f>
        <v>0</v>
      </c>
      <c r="BA864" s="22">
        <f t="shared" si="0"/>
      </c>
      <c r="BG864" s="22">
        <f t="shared" si="1"/>
      </c>
      <c r="BH864" s="22">
        <f t="shared" si="2"/>
        <v>0</v>
      </c>
    </row>
    <row r="865">
      <c r="B865">
        <f>[1]资金台帐!B865&amp;""</f>
      </c>
      <c r="H865">
        <f>[1]资金台帐!H865&amp;""</f>
      </c>
      <c r="J865">
        <f>[1]资金台帐!J865&amp;""</f>
      </c>
      <c r="N865">
        <f>[1]资金台帐!N865</f>
      </c>
      <c r="O865">
        <f>[1]资金台帐!O865&amp;""</f>
      </c>
      <c r="P865">
        <f>[1]资金台帐!P865&amp;""</f>
      </c>
      <c r="Q865">
        <f>[1]资金台帐!Q865&amp;""</f>
      </c>
      <c r="T865">
        <f>[1]资金台帐!T865&amp;""</f>
      </c>
      <c r="U865">
        <f>[1]资金台帐!U865&amp;""</f>
      </c>
      <c r="W865">
        <f>[1]资金台帐!W865&amp;""</f>
      </c>
      <c r="X865">
        <f>[1]资金台帐!X865&amp;""</f>
      </c>
      <c r="AB865">
        <f>[1]资金台帐!AB865</f>
        <v>0</v>
      </c>
      <c r="AC865">
        <f>[1]资金台帐!AC865</f>
        <v>0</v>
      </c>
      <c r="AD865">
        <f>[1]资金台帐!AD865</f>
        <v>0</v>
      </c>
      <c r="AJ865">
        <f>[1]资金台帐!AJ865</f>
        <v>0</v>
      </c>
      <c r="AK865">
        <f>[1]资金台帐!AK865</f>
        <v>0</v>
      </c>
      <c r="BA865" s="22">
        <f t="shared" si="0"/>
      </c>
      <c r="BG865" s="22">
        <f t="shared" si="1"/>
      </c>
      <c r="BH865" s="22">
        <f t="shared" si="2"/>
        <v>0</v>
      </c>
    </row>
    <row r="866">
      <c r="B866">
        <f>[1]资金台帐!B866&amp;""</f>
      </c>
      <c r="H866">
        <f>[1]资金台帐!H866&amp;""</f>
      </c>
      <c r="J866">
        <f>[1]资金台帐!J866&amp;""</f>
      </c>
      <c r="N866">
        <f>[1]资金台帐!N866</f>
      </c>
      <c r="O866">
        <f>[1]资金台帐!O866&amp;""</f>
      </c>
      <c r="P866">
        <f>[1]资金台帐!P866&amp;""</f>
      </c>
      <c r="Q866">
        <f>[1]资金台帐!Q866&amp;""</f>
      </c>
      <c r="T866">
        <f>[1]资金台帐!T866&amp;""</f>
      </c>
      <c r="U866">
        <f>[1]资金台帐!U866&amp;""</f>
      </c>
      <c r="W866">
        <f>[1]资金台帐!W866&amp;""</f>
      </c>
      <c r="X866">
        <f>[1]资金台帐!X866&amp;""</f>
      </c>
      <c r="AB866">
        <f>[1]资金台帐!AB866</f>
        <v>0</v>
      </c>
      <c r="AC866">
        <f>[1]资金台帐!AC866</f>
        <v>0</v>
      </c>
      <c r="AD866">
        <f>[1]资金台帐!AD866</f>
        <v>0</v>
      </c>
      <c r="AJ866">
        <f>[1]资金台帐!AJ866</f>
        <v>0</v>
      </c>
      <c r="AK866">
        <f>[1]资金台帐!AK866</f>
        <v>0</v>
      </c>
      <c r="BA866" s="22">
        <f t="shared" si="0"/>
      </c>
      <c r="BG866" s="22">
        <f t="shared" si="1"/>
      </c>
      <c r="BH866" s="22">
        <f t="shared" si="2"/>
        <v>0</v>
      </c>
    </row>
    <row r="867">
      <c r="B867">
        <f>[1]资金台帐!B867&amp;""</f>
      </c>
      <c r="H867">
        <f>[1]资金台帐!H867&amp;""</f>
      </c>
      <c r="J867">
        <f>[1]资金台帐!J867&amp;""</f>
      </c>
      <c r="N867">
        <f>[1]资金台帐!N867</f>
      </c>
      <c r="O867">
        <f>[1]资金台帐!O867&amp;""</f>
      </c>
      <c r="P867">
        <f>[1]资金台帐!P867&amp;""</f>
      </c>
      <c r="Q867">
        <f>[1]资金台帐!Q867&amp;""</f>
      </c>
      <c r="T867">
        <f>[1]资金台帐!T867&amp;""</f>
      </c>
      <c r="U867">
        <f>[1]资金台帐!U867&amp;""</f>
      </c>
      <c r="W867">
        <f>[1]资金台帐!W867&amp;""</f>
      </c>
      <c r="X867">
        <f>[1]资金台帐!X867&amp;""</f>
      </c>
      <c r="AB867">
        <f>[1]资金台帐!AB867</f>
        <v>0</v>
      </c>
      <c r="AC867">
        <f>[1]资金台帐!AC867</f>
        <v>0</v>
      </c>
      <c r="AD867">
        <f>[1]资金台帐!AD867</f>
        <v>0</v>
      </c>
      <c r="AJ867">
        <f>[1]资金台帐!AJ867</f>
        <v>0</v>
      </c>
      <c r="AK867">
        <f>[1]资金台帐!AK867</f>
        <v>0</v>
      </c>
      <c r="BA867" s="22">
        <f t="shared" si="0"/>
      </c>
      <c r="BG867" s="22">
        <f t="shared" si="1"/>
      </c>
      <c r="BH867" s="22">
        <f t="shared" si="2"/>
        <v>0</v>
      </c>
    </row>
    <row r="868">
      <c r="B868">
        <f>[1]资金台帐!B868&amp;""</f>
      </c>
      <c r="H868">
        <f>[1]资金台帐!H868&amp;""</f>
      </c>
      <c r="J868">
        <f>[1]资金台帐!J868&amp;""</f>
      </c>
      <c r="N868">
        <f>[1]资金台帐!N868</f>
      </c>
      <c r="O868">
        <f>[1]资金台帐!O868&amp;""</f>
      </c>
      <c r="P868">
        <f>[1]资金台帐!P868&amp;""</f>
      </c>
      <c r="Q868">
        <f>[1]资金台帐!Q868&amp;""</f>
      </c>
      <c r="T868">
        <f>[1]资金台帐!T868&amp;""</f>
      </c>
      <c r="U868">
        <f>[1]资金台帐!U868&amp;""</f>
      </c>
      <c r="W868">
        <f>[1]资金台帐!W868&amp;""</f>
      </c>
      <c r="X868">
        <f>[1]资金台帐!X868&amp;""</f>
      </c>
      <c r="AB868">
        <f>[1]资金台帐!AB868</f>
        <v>0</v>
      </c>
      <c r="AC868">
        <f>[1]资金台帐!AC868</f>
        <v>0</v>
      </c>
      <c r="AD868">
        <f>[1]资金台帐!AD868</f>
        <v>0</v>
      </c>
      <c r="AJ868">
        <f>[1]资金台帐!AJ868</f>
        <v>0</v>
      </c>
      <c r="AK868">
        <f>[1]资金台帐!AK868</f>
        <v>0</v>
      </c>
      <c r="BA868" s="22">
        <f t="shared" si="0"/>
      </c>
      <c r="BG868" s="22">
        <f t="shared" si="1"/>
      </c>
      <c r="BH868" s="22">
        <f t="shared" si="2"/>
        <v>0</v>
      </c>
    </row>
    <row r="869">
      <c r="B869">
        <f>[1]资金台帐!B869&amp;""</f>
      </c>
      <c r="H869">
        <f>[1]资金台帐!H869&amp;""</f>
      </c>
      <c r="J869">
        <f>[1]资金台帐!J869&amp;""</f>
      </c>
      <c r="N869">
        <f>[1]资金台帐!N869</f>
      </c>
      <c r="O869">
        <f>[1]资金台帐!O869&amp;""</f>
      </c>
      <c r="P869">
        <f>[1]资金台帐!P869&amp;""</f>
      </c>
      <c r="Q869">
        <f>[1]资金台帐!Q869&amp;""</f>
      </c>
      <c r="T869">
        <f>[1]资金台帐!T869&amp;""</f>
      </c>
      <c r="U869">
        <f>[1]资金台帐!U869&amp;""</f>
      </c>
      <c r="W869">
        <f>[1]资金台帐!W869&amp;""</f>
      </c>
      <c r="X869">
        <f>[1]资金台帐!X869&amp;""</f>
      </c>
      <c r="AB869">
        <f>[1]资金台帐!AB869</f>
        <v>0</v>
      </c>
      <c r="AC869">
        <f>[1]资金台帐!AC869</f>
        <v>0</v>
      </c>
      <c r="AD869">
        <f>[1]资金台帐!AD869</f>
        <v>0</v>
      </c>
      <c r="AJ869">
        <f>[1]资金台帐!AJ869</f>
        <v>0</v>
      </c>
      <c r="AK869">
        <f>[1]资金台帐!AK869</f>
        <v>0</v>
      </c>
      <c r="BA869" s="22">
        <f t="shared" si="0"/>
      </c>
      <c r="BG869" s="22">
        <f t="shared" si="1"/>
      </c>
      <c r="BH869" s="22">
        <f t="shared" si="2"/>
        <v>0</v>
      </c>
    </row>
    <row r="870">
      <c r="B870">
        <f>[1]资金台帐!B870&amp;""</f>
      </c>
      <c r="H870">
        <f>[1]资金台帐!H870&amp;""</f>
      </c>
      <c r="J870">
        <f>[1]资金台帐!J870&amp;""</f>
      </c>
      <c r="N870">
        <f>[1]资金台帐!N870</f>
      </c>
      <c r="O870">
        <f>[1]资金台帐!O870&amp;""</f>
      </c>
      <c r="P870">
        <f>[1]资金台帐!P870&amp;""</f>
      </c>
      <c r="Q870">
        <f>[1]资金台帐!Q870&amp;""</f>
      </c>
      <c r="T870">
        <f>[1]资金台帐!T870&amp;""</f>
      </c>
      <c r="U870">
        <f>[1]资金台帐!U870&amp;""</f>
      </c>
      <c r="W870">
        <f>[1]资金台帐!W870&amp;""</f>
      </c>
      <c r="X870">
        <f>[1]资金台帐!X870&amp;""</f>
      </c>
      <c r="AB870">
        <f>[1]资金台帐!AB870</f>
        <v>0</v>
      </c>
      <c r="AC870">
        <f>[1]资金台帐!AC870</f>
        <v>0</v>
      </c>
      <c r="AD870">
        <f>[1]资金台帐!AD870</f>
        <v>0</v>
      </c>
      <c r="AJ870">
        <f>[1]资金台帐!AJ870</f>
        <v>0</v>
      </c>
      <c r="AK870">
        <f>[1]资金台帐!AK870</f>
        <v>0</v>
      </c>
      <c r="BA870" s="22">
        <f t="shared" si="0"/>
      </c>
      <c r="BG870" s="22">
        <f t="shared" si="1"/>
      </c>
      <c r="BH870" s="22">
        <f t="shared" si="2"/>
        <v>0</v>
      </c>
    </row>
    <row r="871">
      <c r="B871">
        <f>[1]资金台帐!B871&amp;""</f>
      </c>
      <c r="H871">
        <f>[1]资金台帐!H871&amp;""</f>
      </c>
      <c r="J871">
        <f>[1]资金台帐!J871&amp;""</f>
      </c>
      <c r="N871">
        <f>[1]资金台帐!N871</f>
      </c>
      <c r="O871">
        <f>[1]资金台帐!O871&amp;""</f>
      </c>
      <c r="P871">
        <f>[1]资金台帐!P871&amp;""</f>
      </c>
      <c r="Q871">
        <f>[1]资金台帐!Q871&amp;""</f>
      </c>
      <c r="T871">
        <f>[1]资金台帐!T871&amp;""</f>
      </c>
      <c r="U871">
        <f>[1]资金台帐!U871&amp;""</f>
      </c>
      <c r="W871">
        <f>[1]资金台帐!W871&amp;""</f>
      </c>
      <c r="X871">
        <f>[1]资金台帐!X871&amp;""</f>
      </c>
      <c r="AB871">
        <f>[1]资金台帐!AB871</f>
        <v>0</v>
      </c>
      <c r="AC871">
        <f>[1]资金台帐!AC871</f>
        <v>0</v>
      </c>
      <c r="AD871">
        <f>[1]资金台帐!AD871</f>
        <v>0</v>
      </c>
      <c r="AJ871">
        <f>[1]资金台帐!AJ871</f>
        <v>0</v>
      </c>
      <c r="AK871">
        <f>[1]资金台帐!AK871</f>
        <v>0</v>
      </c>
      <c r="BA871" s="22">
        <f t="shared" si="0"/>
      </c>
      <c r="BG871" s="22">
        <f t="shared" si="1"/>
      </c>
      <c r="BH871" s="22">
        <f t="shared" si="2"/>
        <v>0</v>
      </c>
    </row>
    <row r="872">
      <c r="B872">
        <f>[1]资金台帐!B872&amp;""</f>
      </c>
      <c r="H872">
        <f>[1]资金台帐!H872&amp;""</f>
      </c>
      <c r="J872">
        <f>[1]资金台帐!J872&amp;""</f>
      </c>
      <c r="N872">
        <f>[1]资金台帐!N872</f>
      </c>
      <c r="O872">
        <f>[1]资金台帐!O872&amp;""</f>
      </c>
      <c r="P872">
        <f>[1]资金台帐!P872&amp;""</f>
      </c>
      <c r="Q872">
        <f>[1]资金台帐!Q872&amp;""</f>
      </c>
      <c r="T872">
        <f>[1]资金台帐!T872&amp;""</f>
      </c>
      <c r="U872">
        <f>[1]资金台帐!U872&amp;""</f>
      </c>
      <c r="W872">
        <f>[1]资金台帐!W872&amp;""</f>
      </c>
      <c r="X872">
        <f>[1]资金台帐!X872&amp;""</f>
      </c>
      <c r="AB872">
        <f>[1]资金台帐!AB872</f>
        <v>0</v>
      </c>
      <c r="AC872">
        <f>[1]资金台帐!AC872</f>
        <v>0</v>
      </c>
      <c r="AD872">
        <f>[1]资金台帐!AD872</f>
        <v>0</v>
      </c>
      <c r="AJ872">
        <f>[1]资金台帐!AJ872</f>
        <v>0</v>
      </c>
      <c r="AK872">
        <f>[1]资金台帐!AK872</f>
        <v>0</v>
      </c>
      <c r="BA872" s="22">
        <f t="shared" si="0"/>
      </c>
      <c r="BG872" s="22">
        <f t="shared" si="1"/>
      </c>
      <c r="BH872" s="22">
        <f t="shared" si="2"/>
        <v>0</v>
      </c>
    </row>
    <row r="873">
      <c r="B873">
        <f>[1]资金台帐!B873&amp;""</f>
      </c>
      <c r="H873">
        <f>[1]资金台帐!H873&amp;""</f>
      </c>
      <c r="J873">
        <f>[1]资金台帐!J873&amp;""</f>
      </c>
      <c r="N873">
        <f>[1]资金台帐!N873</f>
      </c>
      <c r="O873">
        <f>[1]资金台帐!O873&amp;""</f>
      </c>
      <c r="P873">
        <f>[1]资金台帐!P873&amp;""</f>
      </c>
      <c r="Q873">
        <f>[1]资金台帐!Q873&amp;""</f>
      </c>
      <c r="T873">
        <f>[1]资金台帐!T873&amp;""</f>
      </c>
      <c r="U873">
        <f>[1]资金台帐!U873&amp;""</f>
      </c>
      <c r="W873">
        <f>[1]资金台帐!W873&amp;""</f>
      </c>
      <c r="X873">
        <f>[1]资金台帐!X873&amp;""</f>
      </c>
      <c r="AB873">
        <f>[1]资金台帐!AB873</f>
        <v>0</v>
      </c>
      <c r="AC873">
        <f>[1]资金台帐!AC873</f>
        <v>0</v>
      </c>
      <c r="AD873">
        <f>[1]资金台帐!AD873</f>
        <v>0</v>
      </c>
      <c r="AJ873">
        <f>[1]资金台帐!AJ873</f>
        <v>0</v>
      </c>
      <c r="AK873">
        <f>[1]资金台帐!AK873</f>
        <v>0</v>
      </c>
      <c r="BA873" s="22">
        <f t="shared" si="0"/>
      </c>
      <c r="BG873" s="22">
        <f t="shared" si="1"/>
      </c>
      <c r="BH873" s="22">
        <f t="shared" si="2"/>
        <v>0</v>
      </c>
    </row>
    <row r="874">
      <c r="B874">
        <f>[1]资金台帐!B874&amp;""</f>
      </c>
      <c r="H874">
        <f>[1]资金台帐!H874&amp;""</f>
      </c>
      <c r="J874">
        <f>[1]资金台帐!J874&amp;""</f>
      </c>
      <c r="N874">
        <f>[1]资金台帐!N874</f>
      </c>
      <c r="O874">
        <f>[1]资金台帐!O874&amp;""</f>
      </c>
      <c r="P874">
        <f>[1]资金台帐!P874&amp;""</f>
      </c>
      <c r="Q874">
        <f>[1]资金台帐!Q874&amp;""</f>
      </c>
      <c r="T874">
        <f>[1]资金台帐!T874&amp;""</f>
      </c>
      <c r="U874">
        <f>[1]资金台帐!U874&amp;""</f>
      </c>
      <c r="W874">
        <f>[1]资金台帐!W874&amp;""</f>
      </c>
      <c r="X874">
        <f>[1]资金台帐!X874&amp;""</f>
      </c>
      <c r="AB874">
        <f>[1]资金台帐!AB874</f>
        <v>0</v>
      </c>
      <c r="AC874">
        <f>[1]资金台帐!AC874</f>
        <v>0</v>
      </c>
      <c r="AD874">
        <f>[1]资金台帐!AD874</f>
        <v>0</v>
      </c>
      <c r="AJ874">
        <f>[1]资金台帐!AJ874</f>
        <v>0</v>
      </c>
      <c r="AK874">
        <f>[1]资金台帐!AK874</f>
        <v>0</v>
      </c>
      <c r="BA874" s="22">
        <f t="shared" si="0"/>
      </c>
      <c r="BG874" s="22">
        <f t="shared" si="1"/>
      </c>
      <c r="BH874" s="22">
        <f t="shared" si="2"/>
        <v>0</v>
      </c>
    </row>
    <row r="875">
      <c r="B875">
        <f>[1]资金台帐!B875&amp;""</f>
      </c>
      <c r="H875">
        <f>[1]资金台帐!H875&amp;""</f>
      </c>
      <c r="J875">
        <f>[1]资金台帐!J875&amp;""</f>
      </c>
      <c r="N875">
        <f>[1]资金台帐!N875</f>
      </c>
      <c r="O875">
        <f>[1]资金台帐!O875&amp;""</f>
      </c>
      <c r="P875">
        <f>[1]资金台帐!P875&amp;""</f>
      </c>
      <c r="Q875">
        <f>[1]资金台帐!Q875&amp;""</f>
      </c>
      <c r="T875">
        <f>[1]资金台帐!T875&amp;""</f>
      </c>
      <c r="U875">
        <f>[1]资金台帐!U875&amp;""</f>
      </c>
      <c r="W875">
        <f>[1]资金台帐!W875&amp;""</f>
      </c>
      <c r="X875">
        <f>[1]资金台帐!X875&amp;""</f>
      </c>
      <c r="AB875">
        <f>[1]资金台帐!AB875</f>
        <v>0</v>
      </c>
      <c r="AC875">
        <f>[1]资金台帐!AC875</f>
        <v>0</v>
      </c>
      <c r="AD875">
        <f>[1]资金台帐!AD875</f>
        <v>0</v>
      </c>
      <c r="AJ875">
        <f>[1]资金台帐!AJ875</f>
        <v>0</v>
      </c>
      <c r="AK875">
        <f>[1]资金台帐!AK875</f>
        <v>0</v>
      </c>
      <c r="BA875" s="22">
        <f t="shared" si="0"/>
      </c>
      <c r="BG875" s="22">
        <f t="shared" si="1"/>
      </c>
      <c r="BH875" s="22">
        <f t="shared" si="2"/>
        <v>0</v>
      </c>
    </row>
    <row r="876">
      <c r="B876">
        <f>[1]资金台帐!B876&amp;""</f>
      </c>
      <c r="H876">
        <f>[1]资金台帐!H876&amp;""</f>
      </c>
      <c r="J876">
        <f>[1]资金台帐!J876&amp;""</f>
      </c>
      <c r="N876">
        <f>[1]资金台帐!N876</f>
      </c>
      <c r="O876">
        <f>[1]资金台帐!O876&amp;""</f>
      </c>
      <c r="P876">
        <f>[1]资金台帐!P876&amp;""</f>
      </c>
      <c r="Q876">
        <f>[1]资金台帐!Q876&amp;""</f>
      </c>
      <c r="T876">
        <f>[1]资金台帐!T876&amp;""</f>
      </c>
      <c r="U876">
        <f>[1]资金台帐!U876&amp;""</f>
      </c>
      <c r="W876">
        <f>[1]资金台帐!W876&amp;""</f>
      </c>
      <c r="X876">
        <f>[1]资金台帐!X876&amp;""</f>
      </c>
      <c r="AB876">
        <f>[1]资金台帐!AB876</f>
        <v>0</v>
      </c>
      <c r="AC876">
        <f>[1]资金台帐!AC876</f>
        <v>0</v>
      </c>
      <c r="AD876">
        <f>[1]资金台帐!AD876</f>
        <v>0</v>
      </c>
      <c r="AJ876">
        <f>[1]资金台帐!AJ876</f>
        <v>0</v>
      </c>
      <c r="AK876">
        <f>[1]资金台帐!AK876</f>
        <v>0</v>
      </c>
      <c r="BA876" s="22">
        <f t="shared" si="0"/>
      </c>
      <c r="BG876" s="22">
        <f t="shared" si="1"/>
      </c>
      <c r="BH876" s="22">
        <f t="shared" si="2"/>
        <v>0</v>
      </c>
    </row>
    <row r="877">
      <c r="B877">
        <f>[1]资金台帐!B877&amp;""</f>
      </c>
      <c r="H877">
        <f>[1]资金台帐!H877&amp;""</f>
      </c>
      <c r="J877">
        <f>[1]资金台帐!J877&amp;""</f>
      </c>
      <c r="N877">
        <f>[1]资金台帐!N877</f>
      </c>
      <c r="O877">
        <f>[1]资金台帐!O877&amp;""</f>
      </c>
      <c r="P877">
        <f>[1]资金台帐!P877&amp;""</f>
      </c>
      <c r="Q877">
        <f>[1]资金台帐!Q877&amp;""</f>
      </c>
      <c r="T877">
        <f>[1]资金台帐!T877&amp;""</f>
      </c>
      <c r="U877">
        <f>[1]资金台帐!U877&amp;""</f>
      </c>
      <c r="W877">
        <f>[1]资金台帐!W877&amp;""</f>
      </c>
      <c r="X877">
        <f>[1]资金台帐!X877&amp;""</f>
      </c>
      <c r="AB877">
        <f>[1]资金台帐!AB877</f>
        <v>0</v>
      </c>
      <c r="AC877">
        <f>[1]资金台帐!AC877</f>
        <v>0</v>
      </c>
      <c r="AD877">
        <f>[1]资金台帐!AD877</f>
        <v>0</v>
      </c>
      <c r="AJ877">
        <f>[1]资金台帐!AJ877</f>
        <v>0</v>
      </c>
      <c r="AK877">
        <f>[1]资金台帐!AK877</f>
        <v>0</v>
      </c>
      <c r="BA877" s="22">
        <f t="shared" si="0"/>
      </c>
      <c r="BG877" s="22">
        <f t="shared" si="1"/>
      </c>
      <c r="BH877" s="22">
        <f t="shared" si="2"/>
        <v>0</v>
      </c>
    </row>
    <row r="878">
      <c r="B878">
        <f>[1]资金台帐!B878&amp;""</f>
      </c>
      <c r="H878">
        <f>[1]资金台帐!H878&amp;""</f>
      </c>
      <c r="J878">
        <f>[1]资金台帐!J878&amp;""</f>
      </c>
      <c r="N878">
        <f>[1]资金台帐!N878</f>
      </c>
      <c r="O878">
        <f>[1]资金台帐!O878&amp;""</f>
      </c>
      <c r="P878">
        <f>[1]资金台帐!P878&amp;""</f>
      </c>
      <c r="Q878">
        <f>[1]资金台帐!Q878&amp;""</f>
      </c>
      <c r="T878">
        <f>[1]资金台帐!T878&amp;""</f>
      </c>
      <c r="U878">
        <f>[1]资金台帐!U878&amp;""</f>
      </c>
      <c r="W878">
        <f>[1]资金台帐!W878&amp;""</f>
      </c>
      <c r="X878">
        <f>[1]资金台帐!X878&amp;""</f>
      </c>
      <c r="AB878">
        <f>[1]资金台帐!AB878</f>
        <v>0</v>
      </c>
      <c r="AC878">
        <f>[1]资金台帐!AC878</f>
        <v>0</v>
      </c>
      <c r="AD878">
        <f>[1]资金台帐!AD878</f>
        <v>0</v>
      </c>
      <c r="AJ878">
        <f>[1]资金台帐!AJ878</f>
        <v>0</v>
      </c>
      <c r="AK878">
        <f>[1]资金台帐!AK878</f>
        <v>0</v>
      </c>
      <c r="BA878" s="22">
        <f t="shared" si="0"/>
      </c>
      <c r="BG878" s="22">
        <f t="shared" si="1"/>
      </c>
      <c r="BH878" s="22">
        <f t="shared" si="2"/>
        <v>0</v>
      </c>
    </row>
    <row r="879">
      <c r="B879">
        <f>[1]资金台帐!B879&amp;""</f>
      </c>
      <c r="H879">
        <f>[1]资金台帐!H879&amp;""</f>
      </c>
      <c r="J879">
        <f>[1]资金台帐!J879&amp;""</f>
      </c>
      <c r="N879">
        <f>[1]资金台帐!N879</f>
      </c>
      <c r="O879">
        <f>[1]资金台帐!O879&amp;""</f>
      </c>
      <c r="P879">
        <f>[1]资金台帐!P879&amp;""</f>
      </c>
      <c r="Q879">
        <f>[1]资金台帐!Q879&amp;""</f>
      </c>
      <c r="T879">
        <f>[1]资金台帐!T879&amp;""</f>
      </c>
      <c r="U879">
        <f>[1]资金台帐!U879&amp;""</f>
      </c>
      <c r="W879">
        <f>[1]资金台帐!W879&amp;""</f>
      </c>
      <c r="X879">
        <f>[1]资金台帐!X879&amp;""</f>
      </c>
      <c r="AB879">
        <f>[1]资金台帐!AB879</f>
        <v>0</v>
      </c>
      <c r="AC879">
        <f>[1]资金台帐!AC879</f>
        <v>0</v>
      </c>
      <c r="AD879">
        <f>[1]资金台帐!AD879</f>
        <v>0</v>
      </c>
      <c r="AJ879">
        <f>[1]资金台帐!AJ879</f>
        <v>0</v>
      </c>
      <c r="AK879">
        <f>[1]资金台帐!AK879</f>
        <v>0</v>
      </c>
      <c r="BA879" s="22">
        <f t="shared" si="0"/>
      </c>
      <c r="BG879" s="22">
        <f t="shared" si="1"/>
      </c>
      <c r="BH879" s="22">
        <f t="shared" si="2"/>
        <v>0</v>
      </c>
    </row>
    <row r="880">
      <c r="B880">
        <f>[1]资金台帐!B880&amp;""</f>
      </c>
      <c r="H880">
        <f>[1]资金台帐!H880&amp;""</f>
      </c>
      <c r="J880">
        <f>[1]资金台帐!J880&amp;""</f>
      </c>
      <c r="N880">
        <f>[1]资金台帐!N880</f>
      </c>
      <c r="O880">
        <f>[1]资金台帐!O880&amp;""</f>
      </c>
      <c r="P880">
        <f>[1]资金台帐!P880&amp;""</f>
      </c>
      <c r="Q880">
        <f>[1]资金台帐!Q880&amp;""</f>
      </c>
      <c r="T880">
        <f>[1]资金台帐!T880&amp;""</f>
      </c>
      <c r="U880">
        <f>[1]资金台帐!U880&amp;""</f>
      </c>
      <c r="W880">
        <f>[1]资金台帐!W880&amp;""</f>
      </c>
      <c r="X880">
        <f>[1]资金台帐!X880&amp;""</f>
      </c>
      <c r="AB880">
        <f>[1]资金台帐!AB880</f>
        <v>0</v>
      </c>
      <c r="AC880">
        <f>[1]资金台帐!AC880</f>
        <v>0</v>
      </c>
      <c r="AD880">
        <f>[1]资金台帐!AD880</f>
        <v>0</v>
      </c>
      <c r="AJ880">
        <f>[1]资金台帐!AJ880</f>
        <v>0</v>
      </c>
      <c r="AK880">
        <f>[1]资金台帐!AK880</f>
        <v>0</v>
      </c>
      <c r="BA880" s="22">
        <f t="shared" si="0"/>
      </c>
      <c r="BG880" s="22">
        <f t="shared" si="1"/>
      </c>
      <c r="BH880" s="22">
        <f t="shared" si="2"/>
        <v>0</v>
      </c>
    </row>
    <row r="881">
      <c r="B881">
        <f>[1]资金台帐!B881&amp;""</f>
      </c>
      <c r="H881">
        <f>[1]资金台帐!H881&amp;""</f>
      </c>
      <c r="J881">
        <f>[1]资金台帐!J881&amp;""</f>
      </c>
      <c r="N881">
        <f>[1]资金台帐!N881</f>
      </c>
      <c r="O881">
        <f>[1]资金台帐!O881&amp;""</f>
      </c>
      <c r="P881">
        <f>[1]资金台帐!P881&amp;""</f>
      </c>
      <c r="Q881">
        <f>[1]资金台帐!Q881&amp;""</f>
      </c>
      <c r="T881">
        <f>[1]资金台帐!T881&amp;""</f>
      </c>
      <c r="U881">
        <f>[1]资金台帐!U881&amp;""</f>
      </c>
      <c r="W881">
        <f>[1]资金台帐!W881&amp;""</f>
      </c>
      <c r="X881">
        <f>[1]资金台帐!X881&amp;""</f>
      </c>
      <c r="AB881">
        <f>[1]资金台帐!AB881</f>
        <v>0</v>
      </c>
      <c r="AC881">
        <f>[1]资金台帐!AC881</f>
        <v>0</v>
      </c>
      <c r="AD881">
        <f>[1]资金台帐!AD881</f>
        <v>0</v>
      </c>
      <c r="AJ881">
        <f>[1]资金台帐!AJ881</f>
        <v>0</v>
      </c>
      <c r="AK881">
        <f>[1]资金台帐!AK881</f>
        <v>0</v>
      </c>
      <c r="BA881" s="22">
        <f t="shared" si="0"/>
      </c>
      <c r="BG881" s="22">
        <f t="shared" si="1"/>
      </c>
      <c r="BH881" s="22">
        <f t="shared" si="2"/>
        <v>0</v>
      </c>
    </row>
    <row r="882">
      <c r="B882">
        <f>[1]资金台帐!B882&amp;""</f>
      </c>
      <c r="H882">
        <f>[1]资金台帐!H882&amp;""</f>
      </c>
      <c r="J882">
        <f>[1]资金台帐!J882&amp;""</f>
      </c>
      <c r="N882">
        <f>[1]资金台帐!N882</f>
      </c>
      <c r="O882">
        <f>[1]资金台帐!O882&amp;""</f>
      </c>
      <c r="P882">
        <f>[1]资金台帐!P882&amp;""</f>
      </c>
      <c r="Q882">
        <f>[1]资金台帐!Q882&amp;""</f>
      </c>
      <c r="T882">
        <f>[1]资金台帐!T882&amp;""</f>
      </c>
      <c r="U882">
        <f>[1]资金台帐!U882&amp;""</f>
      </c>
      <c r="W882">
        <f>[1]资金台帐!W882&amp;""</f>
      </c>
      <c r="X882">
        <f>[1]资金台帐!X882&amp;""</f>
      </c>
      <c r="AB882">
        <f>[1]资金台帐!AB882</f>
        <v>0</v>
      </c>
      <c r="AC882">
        <f>[1]资金台帐!AC882</f>
        <v>0</v>
      </c>
      <c r="AD882">
        <f>[1]资金台帐!AD882</f>
        <v>0</v>
      </c>
      <c r="AJ882">
        <f>[1]资金台帐!AJ882</f>
        <v>0</v>
      </c>
      <c r="AK882">
        <f>[1]资金台帐!AK882</f>
        <v>0</v>
      </c>
      <c r="BA882" s="22">
        <f t="shared" si="0"/>
      </c>
      <c r="BG882" s="22">
        <f t="shared" si="1"/>
      </c>
      <c r="BH882" s="22">
        <f t="shared" si="2"/>
        <v>0</v>
      </c>
    </row>
    <row r="883">
      <c r="B883">
        <f>[1]资金台帐!B883&amp;""</f>
      </c>
      <c r="H883">
        <f>[1]资金台帐!H883&amp;""</f>
      </c>
      <c r="J883">
        <f>[1]资金台帐!J883&amp;""</f>
      </c>
      <c r="N883">
        <f>[1]资金台帐!N883</f>
      </c>
      <c r="O883">
        <f>[1]资金台帐!O883&amp;""</f>
      </c>
      <c r="P883">
        <f>[1]资金台帐!P883&amp;""</f>
      </c>
      <c r="Q883">
        <f>[1]资金台帐!Q883&amp;""</f>
      </c>
      <c r="T883">
        <f>[1]资金台帐!T883&amp;""</f>
      </c>
      <c r="U883">
        <f>[1]资金台帐!U883&amp;""</f>
      </c>
      <c r="W883">
        <f>[1]资金台帐!W883&amp;""</f>
      </c>
      <c r="X883">
        <f>[1]资金台帐!X883&amp;""</f>
      </c>
      <c r="AB883">
        <f>[1]资金台帐!AB883</f>
        <v>0</v>
      </c>
      <c r="AC883">
        <f>[1]资金台帐!AC883</f>
        <v>0</v>
      </c>
      <c r="AD883">
        <f>[1]资金台帐!AD883</f>
        <v>0</v>
      </c>
      <c r="AJ883">
        <f>[1]资金台帐!AJ883</f>
        <v>0</v>
      </c>
      <c r="AK883">
        <f>[1]资金台帐!AK883</f>
        <v>0</v>
      </c>
      <c r="BA883" s="22">
        <f t="shared" si="0"/>
      </c>
      <c r="BG883" s="22">
        <f t="shared" si="1"/>
      </c>
      <c r="BH883" s="22">
        <f t="shared" si="2"/>
        <v>0</v>
      </c>
    </row>
    <row r="884">
      <c r="B884">
        <f>[1]资金台帐!B884&amp;""</f>
      </c>
      <c r="H884">
        <f>[1]资金台帐!H884&amp;""</f>
      </c>
      <c r="J884">
        <f>[1]资金台帐!J884&amp;""</f>
      </c>
      <c r="N884">
        <f>[1]资金台帐!N884</f>
      </c>
      <c r="O884">
        <f>[1]资金台帐!O884&amp;""</f>
      </c>
      <c r="P884">
        <f>[1]资金台帐!P884&amp;""</f>
      </c>
      <c r="Q884">
        <f>[1]资金台帐!Q884&amp;""</f>
      </c>
      <c r="T884">
        <f>[1]资金台帐!T884&amp;""</f>
      </c>
      <c r="U884">
        <f>[1]资金台帐!U884&amp;""</f>
      </c>
      <c r="W884">
        <f>[1]资金台帐!W884&amp;""</f>
      </c>
      <c r="X884">
        <f>[1]资金台帐!X884&amp;""</f>
      </c>
      <c r="AB884">
        <f>[1]资金台帐!AB884</f>
        <v>0</v>
      </c>
      <c r="AC884">
        <f>[1]资金台帐!AC884</f>
        <v>0</v>
      </c>
      <c r="AD884">
        <f>[1]资金台帐!AD884</f>
        <v>0</v>
      </c>
      <c r="AJ884">
        <f>[1]资金台帐!AJ884</f>
        <v>0</v>
      </c>
      <c r="AK884">
        <f>[1]资金台帐!AK884</f>
        <v>0</v>
      </c>
      <c r="BA884" s="22">
        <f t="shared" si="0"/>
      </c>
      <c r="BG884" s="22">
        <f t="shared" si="1"/>
      </c>
      <c r="BH884" s="22">
        <f t="shared" si="2"/>
        <v>0</v>
      </c>
    </row>
    <row r="885">
      <c r="B885">
        <f>[1]资金台帐!B885&amp;""</f>
      </c>
      <c r="H885">
        <f>[1]资金台帐!H885&amp;""</f>
      </c>
      <c r="J885">
        <f>[1]资金台帐!J885&amp;""</f>
      </c>
      <c r="N885">
        <f>[1]资金台帐!N885</f>
      </c>
      <c r="O885">
        <f>[1]资金台帐!O885&amp;""</f>
      </c>
      <c r="P885">
        <f>[1]资金台帐!P885&amp;""</f>
      </c>
      <c r="Q885">
        <f>[1]资金台帐!Q885&amp;""</f>
      </c>
      <c r="T885">
        <f>[1]资金台帐!T885&amp;""</f>
      </c>
      <c r="U885">
        <f>[1]资金台帐!U885&amp;""</f>
      </c>
      <c r="W885">
        <f>[1]资金台帐!W885&amp;""</f>
      </c>
      <c r="X885">
        <f>[1]资金台帐!X885&amp;""</f>
      </c>
      <c r="AB885">
        <f>[1]资金台帐!AB885</f>
        <v>0</v>
      </c>
      <c r="AC885">
        <f>[1]资金台帐!AC885</f>
        <v>0</v>
      </c>
      <c r="AD885">
        <f>[1]资金台帐!AD885</f>
        <v>0</v>
      </c>
      <c r="AJ885">
        <f>[1]资金台帐!AJ885</f>
        <v>0</v>
      </c>
      <c r="AK885">
        <f>[1]资金台帐!AK885</f>
        <v>0</v>
      </c>
      <c r="BA885" s="22">
        <f t="shared" si="0"/>
      </c>
      <c r="BG885" s="22">
        <f t="shared" si="1"/>
      </c>
      <c r="BH885" s="22">
        <f t="shared" si="2"/>
        <v>0</v>
      </c>
    </row>
    <row r="886">
      <c r="B886">
        <f>[1]资金台帐!B886&amp;""</f>
      </c>
      <c r="H886">
        <f>[1]资金台帐!H886&amp;""</f>
      </c>
      <c r="J886">
        <f>[1]资金台帐!J886&amp;""</f>
      </c>
      <c r="N886">
        <f>[1]资金台帐!N886</f>
      </c>
      <c r="O886">
        <f>[1]资金台帐!O886&amp;""</f>
      </c>
      <c r="P886">
        <f>[1]资金台帐!P886&amp;""</f>
      </c>
      <c r="Q886">
        <f>[1]资金台帐!Q886&amp;""</f>
      </c>
      <c r="T886">
        <f>[1]资金台帐!T886&amp;""</f>
      </c>
      <c r="U886">
        <f>[1]资金台帐!U886&amp;""</f>
      </c>
      <c r="W886">
        <f>[1]资金台帐!W886&amp;""</f>
      </c>
      <c r="X886">
        <f>[1]资金台帐!X886&amp;""</f>
      </c>
      <c r="AB886">
        <f>[1]资金台帐!AB886</f>
        <v>0</v>
      </c>
      <c r="AC886">
        <f>[1]资金台帐!AC886</f>
        <v>0</v>
      </c>
      <c r="AD886">
        <f>[1]资金台帐!AD886</f>
        <v>0</v>
      </c>
      <c r="AJ886">
        <f>[1]资金台帐!AJ886</f>
        <v>0</v>
      </c>
      <c r="AK886">
        <f>[1]资金台帐!AK886</f>
        <v>0</v>
      </c>
      <c r="BA886" s="22">
        <f t="shared" si="0"/>
      </c>
      <c r="BG886" s="22">
        <f t="shared" si="1"/>
      </c>
      <c r="BH886" s="22">
        <f t="shared" si="2"/>
        <v>0</v>
      </c>
    </row>
    <row r="887">
      <c r="B887">
        <f>[1]资金台帐!B887&amp;""</f>
      </c>
      <c r="H887">
        <f>[1]资金台帐!H887&amp;""</f>
      </c>
      <c r="J887">
        <f>[1]资金台帐!J887&amp;""</f>
      </c>
      <c r="N887">
        <f>[1]资金台帐!N887</f>
      </c>
      <c r="O887">
        <f>[1]资金台帐!O887&amp;""</f>
      </c>
      <c r="P887">
        <f>[1]资金台帐!P887&amp;""</f>
      </c>
      <c r="Q887">
        <f>[1]资金台帐!Q887&amp;""</f>
      </c>
      <c r="T887">
        <f>[1]资金台帐!T887&amp;""</f>
      </c>
      <c r="U887">
        <f>[1]资金台帐!U887&amp;""</f>
      </c>
      <c r="W887">
        <f>[1]资金台帐!W887&amp;""</f>
      </c>
      <c r="X887">
        <f>[1]资金台帐!X887&amp;""</f>
      </c>
      <c r="AB887">
        <f>[1]资金台帐!AB887</f>
        <v>0</v>
      </c>
      <c r="AC887">
        <f>[1]资金台帐!AC887</f>
        <v>0</v>
      </c>
      <c r="AD887">
        <f>[1]资金台帐!AD887</f>
        <v>0</v>
      </c>
      <c r="AJ887">
        <f>[1]资金台帐!AJ887</f>
        <v>0</v>
      </c>
      <c r="AK887">
        <f>[1]资金台帐!AK887</f>
        <v>0</v>
      </c>
      <c r="BA887" s="22">
        <f t="shared" si="0"/>
      </c>
      <c r="BG887" s="22">
        <f t="shared" si="1"/>
      </c>
      <c r="BH887" s="22">
        <f t="shared" si="2"/>
        <v>0</v>
      </c>
    </row>
    <row r="888">
      <c r="B888">
        <f>[1]资金台帐!B888&amp;""</f>
      </c>
      <c r="H888">
        <f>[1]资金台帐!H888&amp;""</f>
      </c>
      <c r="J888">
        <f>[1]资金台帐!J888&amp;""</f>
      </c>
      <c r="N888">
        <f>[1]资金台帐!N888</f>
      </c>
      <c r="O888">
        <f>[1]资金台帐!O888&amp;""</f>
      </c>
      <c r="P888">
        <f>[1]资金台帐!P888&amp;""</f>
      </c>
      <c r="Q888">
        <f>[1]资金台帐!Q888&amp;""</f>
      </c>
      <c r="T888">
        <f>[1]资金台帐!T888&amp;""</f>
      </c>
      <c r="U888">
        <f>[1]资金台帐!U888&amp;""</f>
      </c>
      <c r="W888">
        <f>[1]资金台帐!W888&amp;""</f>
      </c>
      <c r="X888">
        <f>[1]资金台帐!X888&amp;""</f>
      </c>
      <c r="AB888">
        <f>[1]资金台帐!AB888</f>
        <v>0</v>
      </c>
      <c r="AC888">
        <f>[1]资金台帐!AC888</f>
        <v>0</v>
      </c>
      <c r="AD888">
        <f>[1]资金台帐!AD888</f>
        <v>0</v>
      </c>
      <c r="AJ888">
        <f>[1]资金台帐!AJ888</f>
        <v>0</v>
      </c>
      <c r="AK888">
        <f>[1]资金台帐!AK888</f>
        <v>0</v>
      </c>
      <c r="BA888" s="22">
        <f t="shared" si="0"/>
      </c>
      <c r="BG888" s="22">
        <f t="shared" si="1"/>
      </c>
      <c r="BH888" s="22">
        <f t="shared" si="2"/>
        <v>0</v>
      </c>
    </row>
    <row r="889">
      <c r="B889">
        <f>[1]资金台帐!B889&amp;""</f>
      </c>
      <c r="H889">
        <f>[1]资金台帐!H889&amp;""</f>
      </c>
      <c r="J889">
        <f>[1]资金台帐!J889&amp;""</f>
      </c>
      <c r="N889">
        <f>[1]资金台帐!N889</f>
      </c>
      <c r="O889">
        <f>[1]资金台帐!O889&amp;""</f>
      </c>
      <c r="P889">
        <f>[1]资金台帐!P889&amp;""</f>
      </c>
      <c r="Q889">
        <f>[1]资金台帐!Q889&amp;""</f>
      </c>
      <c r="T889">
        <f>[1]资金台帐!T889&amp;""</f>
      </c>
      <c r="U889">
        <f>[1]资金台帐!U889&amp;""</f>
      </c>
      <c r="W889">
        <f>[1]资金台帐!W889&amp;""</f>
      </c>
      <c r="X889">
        <f>[1]资金台帐!X889&amp;""</f>
      </c>
      <c r="AB889">
        <f>[1]资金台帐!AB889</f>
        <v>0</v>
      </c>
      <c r="AC889">
        <f>[1]资金台帐!AC889</f>
        <v>0</v>
      </c>
      <c r="AD889">
        <f>[1]资金台帐!AD889</f>
        <v>0</v>
      </c>
      <c r="AJ889">
        <f>[1]资金台帐!AJ889</f>
        <v>0</v>
      </c>
      <c r="AK889">
        <f>[1]资金台帐!AK889</f>
        <v>0</v>
      </c>
      <c r="BA889" s="22">
        <f t="shared" si="0"/>
      </c>
      <c r="BG889" s="22">
        <f t="shared" si="1"/>
      </c>
      <c r="BH889" s="22">
        <f t="shared" si="2"/>
        <v>0</v>
      </c>
    </row>
    <row r="890">
      <c r="B890">
        <f>[1]资金台帐!B890&amp;""</f>
      </c>
      <c r="H890">
        <f>[1]资金台帐!H890&amp;""</f>
      </c>
      <c r="J890">
        <f>[1]资金台帐!J890&amp;""</f>
      </c>
      <c r="N890">
        <f>[1]资金台帐!N890</f>
      </c>
      <c r="O890">
        <f>[1]资金台帐!O890&amp;""</f>
      </c>
      <c r="P890">
        <f>[1]资金台帐!P890&amp;""</f>
      </c>
      <c r="Q890">
        <f>[1]资金台帐!Q890&amp;""</f>
      </c>
      <c r="T890">
        <f>[1]资金台帐!T890&amp;""</f>
      </c>
      <c r="U890">
        <f>[1]资金台帐!U890&amp;""</f>
      </c>
      <c r="W890">
        <f>[1]资金台帐!W890&amp;""</f>
      </c>
      <c r="X890">
        <f>[1]资金台帐!X890&amp;""</f>
      </c>
      <c r="AB890">
        <f>[1]资金台帐!AB890</f>
        <v>0</v>
      </c>
      <c r="AC890">
        <f>[1]资金台帐!AC890</f>
        <v>0</v>
      </c>
      <c r="AD890">
        <f>[1]资金台帐!AD890</f>
        <v>0</v>
      </c>
      <c r="AJ890">
        <f>[1]资金台帐!AJ890</f>
        <v>0</v>
      </c>
      <c r="AK890">
        <f>[1]资金台帐!AK890</f>
        <v>0</v>
      </c>
      <c r="BA890" s="22">
        <f t="shared" si="0"/>
      </c>
      <c r="BG890" s="22">
        <f t="shared" si="1"/>
      </c>
      <c r="BH890" s="22">
        <f t="shared" si="2"/>
        <v>0</v>
      </c>
    </row>
    <row r="891">
      <c r="B891">
        <f>[1]资金台帐!B891&amp;""</f>
      </c>
      <c r="H891">
        <f>[1]资金台帐!H891&amp;""</f>
      </c>
      <c r="J891">
        <f>[1]资金台帐!J891&amp;""</f>
      </c>
      <c r="N891">
        <f>[1]资金台帐!N891</f>
      </c>
      <c r="O891">
        <f>[1]资金台帐!O891&amp;""</f>
      </c>
      <c r="P891">
        <f>[1]资金台帐!P891&amp;""</f>
      </c>
      <c r="Q891">
        <f>[1]资金台帐!Q891&amp;""</f>
      </c>
      <c r="T891">
        <f>[1]资金台帐!T891&amp;""</f>
      </c>
      <c r="U891">
        <f>[1]资金台帐!U891&amp;""</f>
      </c>
      <c r="W891">
        <f>[1]资金台帐!W891&amp;""</f>
      </c>
      <c r="X891">
        <f>[1]资金台帐!X891&amp;""</f>
      </c>
      <c r="AB891">
        <f>[1]资金台帐!AB891</f>
        <v>0</v>
      </c>
      <c r="AC891">
        <f>[1]资金台帐!AC891</f>
        <v>0</v>
      </c>
      <c r="AD891">
        <f>[1]资金台帐!AD891</f>
        <v>0</v>
      </c>
      <c r="AJ891">
        <f>[1]资金台帐!AJ891</f>
        <v>0</v>
      </c>
      <c r="AK891">
        <f>[1]资金台帐!AK891</f>
        <v>0</v>
      </c>
      <c r="BA891" s="22">
        <f t="shared" si="0"/>
      </c>
      <c r="BG891" s="22">
        <f t="shared" si="1"/>
      </c>
      <c r="BH891" s="22">
        <f t="shared" si="2"/>
        <v>0</v>
      </c>
    </row>
    <row r="892">
      <c r="B892">
        <f>[1]资金台帐!B892&amp;""</f>
      </c>
      <c r="H892">
        <f>[1]资金台帐!H892&amp;""</f>
      </c>
      <c r="J892">
        <f>[1]资金台帐!J892&amp;""</f>
      </c>
      <c r="N892">
        <f>[1]资金台帐!N892</f>
      </c>
      <c r="O892">
        <f>[1]资金台帐!O892&amp;""</f>
      </c>
      <c r="P892">
        <f>[1]资金台帐!P892&amp;""</f>
      </c>
      <c r="Q892">
        <f>[1]资金台帐!Q892&amp;""</f>
      </c>
      <c r="T892">
        <f>[1]资金台帐!T892&amp;""</f>
      </c>
      <c r="U892">
        <f>[1]资金台帐!U892&amp;""</f>
      </c>
      <c r="W892">
        <f>[1]资金台帐!W892&amp;""</f>
      </c>
      <c r="X892">
        <f>[1]资金台帐!X892&amp;""</f>
      </c>
      <c r="AB892">
        <f>[1]资金台帐!AB892</f>
        <v>0</v>
      </c>
      <c r="AC892">
        <f>[1]资金台帐!AC892</f>
        <v>0</v>
      </c>
      <c r="AD892">
        <f>[1]资金台帐!AD892</f>
        <v>0</v>
      </c>
      <c r="AJ892">
        <f>[1]资金台帐!AJ892</f>
        <v>0</v>
      </c>
      <c r="AK892">
        <f>[1]资金台帐!AK892</f>
        <v>0</v>
      </c>
      <c r="BA892" s="22">
        <f t="shared" si="0"/>
      </c>
      <c r="BG892" s="22">
        <f t="shared" si="1"/>
      </c>
      <c r="BH892" s="22">
        <f t="shared" si="2"/>
        <v>0</v>
      </c>
    </row>
    <row r="893">
      <c r="B893">
        <f>[1]资金台帐!B893&amp;""</f>
      </c>
      <c r="H893">
        <f>[1]资金台帐!H893&amp;""</f>
      </c>
      <c r="J893">
        <f>[1]资金台帐!J893&amp;""</f>
      </c>
      <c r="N893">
        <f>[1]资金台帐!N893</f>
      </c>
      <c r="O893">
        <f>[1]资金台帐!O893&amp;""</f>
      </c>
      <c r="P893">
        <f>[1]资金台帐!P893&amp;""</f>
      </c>
      <c r="Q893">
        <f>[1]资金台帐!Q893&amp;""</f>
      </c>
      <c r="T893">
        <f>[1]资金台帐!T893&amp;""</f>
      </c>
      <c r="U893">
        <f>[1]资金台帐!U893&amp;""</f>
      </c>
      <c r="W893">
        <f>[1]资金台帐!W893&amp;""</f>
      </c>
      <c r="X893">
        <f>[1]资金台帐!X893&amp;""</f>
      </c>
      <c r="AB893">
        <f>[1]资金台帐!AB893</f>
        <v>0</v>
      </c>
      <c r="AC893">
        <f>[1]资金台帐!AC893</f>
        <v>0</v>
      </c>
      <c r="AD893">
        <f>[1]资金台帐!AD893</f>
        <v>0</v>
      </c>
      <c r="AJ893">
        <f>[1]资金台帐!AJ893</f>
        <v>0</v>
      </c>
      <c r="AK893">
        <f>[1]资金台帐!AK893</f>
        <v>0</v>
      </c>
      <c r="BA893" s="22">
        <f t="shared" si="0"/>
      </c>
      <c r="BG893" s="22">
        <f t="shared" si="1"/>
      </c>
      <c r="BH893" s="22">
        <f t="shared" si="2"/>
        <v>0</v>
      </c>
    </row>
    <row r="894">
      <c r="B894">
        <f>[1]资金台帐!B894&amp;""</f>
      </c>
      <c r="H894">
        <f>[1]资金台帐!H894&amp;""</f>
      </c>
      <c r="J894">
        <f>[1]资金台帐!J894&amp;""</f>
      </c>
      <c r="N894">
        <f>[1]资金台帐!N894</f>
      </c>
      <c r="O894">
        <f>[1]资金台帐!O894&amp;""</f>
      </c>
      <c r="P894">
        <f>[1]资金台帐!P894&amp;""</f>
      </c>
      <c r="Q894">
        <f>[1]资金台帐!Q894&amp;""</f>
      </c>
      <c r="T894">
        <f>[1]资金台帐!T894&amp;""</f>
      </c>
      <c r="U894">
        <f>[1]资金台帐!U894&amp;""</f>
      </c>
      <c r="W894">
        <f>[1]资金台帐!W894&amp;""</f>
      </c>
      <c r="X894">
        <f>[1]资金台帐!X894&amp;""</f>
      </c>
      <c r="AB894">
        <f>[1]资金台帐!AB894</f>
        <v>0</v>
      </c>
      <c r="AC894">
        <f>[1]资金台帐!AC894</f>
        <v>0</v>
      </c>
      <c r="AD894">
        <f>[1]资金台帐!AD894</f>
        <v>0</v>
      </c>
      <c r="AJ894">
        <f>[1]资金台帐!AJ894</f>
        <v>0</v>
      </c>
      <c r="AK894">
        <f>[1]资金台帐!AK894</f>
        <v>0</v>
      </c>
      <c r="BA894" s="22">
        <f t="shared" si="0"/>
      </c>
      <c r="BG894" s="22">
        <f t="shared" si="1"/>
      </c>
      <c r="BH894" s="22">
        <f t="shared" si="2"/>
        <v>0</v>
      </c>
    </row>
    <row r="895">
      <c r="B895">
        <f>[1]资金台帐!B895&amp;""</f>
      </c>
      <c r="H895">
        <f>[1]资金台帐!H895&amp;""</f>
      </c>
      <c r="J895">
        <f>[1]资金台帐!J895&amp;""</f>
      </c>
      <c r="N895">
        <f>[1]资金台帐!N895</f>
      </c>
      <c r="O895">
        <f>[1]资金台帐!O895&amp;""</f>
      </c>
      <c r="P895">
        <f>[1]资金台帐!P895&amp;""</f>
      </c>
      <c r="Q895">
        <f>[1]资金台帐!Q895&amp;""</f>
      </c>
      <c r="T895">
        <f>[1]资金台帐!T895&amp;""</f>
      </c>
      <c r="U895">
        <f>[1]资金台帐!U895&amp;""</f>
      </c>
      <c r="W895">
        <f>[1]资金台帐!W895&amp;""</f>
      </c>
      <c r="X895">
        <f>[1]资金台帐!X895&amp;""</f>
      </c>
      <c r="AB895">
        <f>[1]资金台帐!AB895</f>
        <v>0</v>
      </c>
      <c r="AC895">
        <f>[1]资金台帐!AC895</f>
        <v>0</v>
      </c>
      <c r="AD895">
        <f>[1]资金台帐!AD895</f>
        <v>0</v>
      </c>
      <c r="AJ895">
        <f>[1]资金台帐!AJ895</f>
        <v>0</v>
      </c>
      <c r="AK895">
        <f>[1]资金台帐!AK895</f>
        <v>0</v>
      </c>
      <c r="BA895" s="22">
        <f t="shared" si="0"/>
      </c>
      <c r="BG895" s="22">
        <f t="shared" si="1"/>
      </c>
      <c r="BH895" s="22">
        <f t="shared" si="2"/>
        <v>0</v>
      </c>
    </row>
    <row r="896">
      <c r="B896">
        <f>[1]资金台帐!B896&amp;""</f>
      </c>
      <c r="H896">
        <f>[1]资金台帐!H896&amp;""</f>
      </c>
      <c r="J896">
        <f>[1]资金台帐!J896&amp;""</f>
      </c>
      <c r="N896">
        <f>[1]资金台帐!N896</f>
      </c>
      <c r="O896">
        <f>[1]资金台帐!O896&amp;""</f>
      </c>
      <c r="P896">
        <f>[1]资金台帐!P896&amp;""</f>
      </c>
      <c r="Q896">
        <f>[1]资金台帐!Q896&amp;""</f>
      </c>
      <c r="T896">
        <f>[1]资金台帐!T896&amp;""</f>
      </c>
      <c r="U896">
        <f>[1]资金台帐!U896&amp;""</f>
      </c>
      <c r="W896">
        <f>[1]资金台帐!W896&amp;""</f>
      </c>
      <c r="X896">
        <f>[1]资金台帐!X896&amp;""</f>
      </c>
      <c r="AB896">
        <f>[1]资金台帐!AB896</f>
        <v>0</v>
      </c>
      <c r="AC896">
        <f>[1]资金台帐!AC896</f>
        <v>0</v>
      </c>
      <c r="AD896">
        <f>[1]资金台帐!AD896</f>
        <v>0</v>
      </c>
      <c r="AJ896">
        <f>[1]资金台帐!AJ896</f>
        <v>0</v>
      </c>
      <c r="AK896">
        <f>[1]资金台帐!AK896</f>
        <v>0</v>
      </c>
      <c r="BA896" s="22">
        <f t="shared" si="0"/>
      </c>
      <c r="BG896" s="22">
        <f t="shared" si="1"/>
      </c>
      <c r="BH896" s="22">
        <f t="shared" si="2"/>
        <v>0</v>
      </c>
    </row>
    <row r="897">
      <c r="B897">
        <f>[1]资金台帐!B897&amp;""</f>
      </c>
      <c r="H897">
        <f>[1]资金台帐!H897&amp;""</f>
      </c>
      <c r="J897">
        <f>[1]资金台帐!J897&amp;""</f>
      </c>
      <c r="N897">
        <f>[1]资金台帐!N897</f>
      </c>
      <c r="O897">
        <f>[1]资金台帐!O897&amp;""</f>
      </c>
      <c r="P897">
        <f>[1]资金台帐!P897&amp;""</f>
      </c>
      <c r="Q897">
        <f>[1]资金台帐!Q897&amp;""</f>
      </c>
      <c r="T897">
        <f>[1]资金台帐!T897&amp;""</f>
      </c>
      <c r="U897">
        <f>[1]资金台帐!U897&amp;""</f>
      </c>
      <c r="W897">
        <f>[1]资金台帐!W897&amp;""</f>
      </c>
      <c r="X897">
        <f>[1]资金台帐!X897&amp;""</f>
      </c>
      <c r="AB897">
        <f>[1]资金台帐!AB897</f>
        <v>0</v>
      </c>
      <c r="AC897">
        <f>[1]资金台帐!AC897</f>
        <v>0</v>
      </c>
      <c r="AD897">
        <f>[1]资金台帐!AD897</f>
        <v>0</v>
      </c>
      <c r="AJ897">
        <f>[1]资金台帐!AJ897</f>
        <v>0</v>
      </c>
      <c r="AK897">
        <f>[1]资金台帐!AK897</f>
        <v>0</v>
      </c>
      <c r="BA897" s="22">
        <f t="shared" si="0"/>
      </c>
      <c r="BG897" s="22">
        <f t="shared" si="1"/>
      </c>
      <c r="BH897" s="22">
        <f t="shared" si="2"/>
        <v>0</v>
      </c>
    </row>
    <row r="898">
      <c r="B898">
        <f>[1]资金台帐!B898&amp;""</f>
      </c>
      <c r="H898">
        <f>[1]资金台帐!H898&amp;""</f>
      </c>
      <c r="J898">
        <f>[1]资金台帐!J898&amp;""</f>
      </c>
      <c r="N898">
        <f>[1]资金台帐!N898</f>
      </c>
      <c r="O898">
        <f>[1]资金台帐!O898&amp;""</f>
      </c>
      <c r="P898">
        <f>[1]资金台帐!P898&amp;""</f>
      </c>
      <c r="Q898">
        <f>[1]资金台帐!Q898&amp;""</f>
      </c>
      <c r="T898">
        <f>[1]资金台帐!T898&amp;""</f>
      </c>
      <c r="U898">
        <f>[1]资金台帐!U898&amp;""</f>
      </c>
      <c r="W898">
        <f>[1]资金台帐!W898&amp;""</f>
      </c>
      <c r="X898">
        <f>[1]资金台帐!X898&amp;""</f>
      </c>
      <c r="AB898">
        <f>[1]资金台帐!AB898</f>
        <v>0</v>
      </c>
      <c r="AC898">
        <f>[1]资金台帐!AC898</f>
        <v>0</v>
      </c>
      <c r="AD898">
        <f>[1]资金台帐!AD898</f>
        <v>0</v>
      </c>
      <c r="AJ898">
        <f>[1]资金台帐!AJ898</f>
        <v>0</v>
      </c>
      <c r="AK898">
        <f>[1]资金台帐!AK898</f>
        <v>0</v>
      </c>
      <c r="BA898" s="22">
        <f t="shared" si="0"/>
      </c>
      <c r="BG898" s="22">
        <f t="shared" si="1"/>
      </c>
      <c r="BH898" s="22">
        <f t="shared" si="2"/>
        <v>0</v>
      </c>
    </row>
    <row r="899">
      <c r="B899">
        <f>[1]资金台帐!B899&amp;""</f>
      </c>
      <c r="H899">
        <f>[1]资金台帐!H899&amp;""</f>
      </c>
      <c r="J899">
        <f>[1]资金台帐!J899&amp;""</f>
      </c>
      <c r="N899">
        <f>[1]资金台帐!N899</f>
      </c>
      <c r="O899">
        <f>[1]资金台帐!O899&amp;""</f>
      </c>
      <c r="P899">
        <f>[1]资金台帐!P899&amp;""</f>
      </c>
      <c r="Q899">
        <f>[1]资金台帐!Q899&amp;""</f>
      </c>
      <c r="T899">
        <f>[1]资金台帐!T899&amp;""</f>
      </c>
      <c r="U899">
        <f>[1]资金台帐!U899&amp;""</f>
      </c>
      <c r="W899">
        <f>[1]资金台帐!W899&amp;""</f>
      </c>
      <c r="X899">
        <f>[1]资金台帐!X899&amp;""</f>
      </c>
      <c r="AB899">
        <f>[1]资金台帐!AB899</f>
        <v>0</v>
      </c>
      <c r="AC899">
        <f>[1]资金台帐!AC899</f>
        <v>0</v>
      </c>
      <c r="AD899">
        <f>[1]资金台帐!AD899</f>
        <v>0</v>
      </c>
      <c r="AJ899">
        <f>[1]资金台帐!AJ899</f>
        <v>0</v>
      </c>
      <c r="AK899">
        <f>[1]资金台帐!AK899</f>
        <v>0</v>
      </c>
      <c r="BA899" s="22">
        <f t="shared" si="0"/>
      </c>
      <c r="BG899" s="22">
        <f t="shared" si="1"/>
      </c>
      <c r="BH899" s="22">
        <f t="shared" si="2"/>
        <v>0</v>
      </c>
    </row>
    <row r="900">
      <c r="B900">
        <f>[1]资金台帐!B900&amp;""</f>
      </c>
      <c r="H900">
        <f>[1]资金台帐!H900&amp;""</f>
      </c>
      <c r="J900">
        <f>[1]资金台帐!J900&amp;""</f>
      </c>
      <c r="N900">
        <f>[1]资金台帐!N900</f>
      </c>
      <c r="O900">
        <f>[1]资金台帐!O900&amp;""</f>
      </c>
      <c r="P900">
        <f>[1]资金台帐!P900&amp;""</f>
      </c>
      <c r="Q900">
        <f>[1]资金台帐!Q900&amp;""</f>
      </c>
      <c r="T900">
        <f>[1]资金台帐!T900&amp;""</f>
      </c>
      <c r="U900">
        <f>[1]资金台帐!U900&amp;""</f>
      </c>
      <c r="W900">
        <f>[1]资金台帐!W900&amp;""</f>
      </c>
      <c r="X900">
        <f>[1]资金台帐!X900&amp;""</f>
      </c>
      <c r="AB900">
        <f>[1]资金台帐!AB900</f>
        <v>0</v>
      </c>
      <c r="AC900">
        <f>[1]资金台帐!AC900</f>
        <v>0</v>
      </c>
      <c r="AD900">
        <f>[1]资金台帐!AD900</f>
        <v>0</v>
      </c>
      <c r="AJ900">
        <f>[1]资金台帐!AJ900</f>
        <v>0</v>
      </c>
      <c r="AK900">
        <f>[1]资金台帐!AK900</f>
        <v>0</v>
      </c>
      <c r="BA900" s="22">
        <f t="shared" si="0"/>
      </c>
      <c r="BG900" s="22">
        <f t="shared" si="1"/>
      </c>
      <c r="BH900" s="22">
        <f t="shared" si="2"/>
        <v>0</v>
      </c>
    </row>
    <row r="901">
      <c r="B901">
        <f>[1]资金台帐!B901&amp;""</f>
      </c>
      <c r="H901">
        <f>[1]资金台帐!H901&amp;""</f>
      </c>
      <c r="J901">
        <f>[1]资金台帐!J901&amp;""</f>
      </c>
      <c r="N901">
        <f>[1]资金台帐!N901</f>
      </c>
      <c r="O901">
        <f>[1]资金台帐!O901&amp;""</f>
      </c>
      <c r="P901">
        <f>[1]资金台帐!P901&amp;""</f>
      </c>
      <c r="Q901">
        <f>[1]资金台帐!Q901&amp;""</f>
      </c>
      <c r="T901">
        <f>[1]资金台帐!T901&amp;""</f>
      </c>
      <c r="U901">
        <f>[1]资金台帐!U901&amp;""</f>
      </c>
      <c r="W901">
        <f>[1]资金台帐!W901&amp;""</f>
      </c>
      <c r="X901">
        <f>[1]资金台帐!X901&amp;""</f>
      </c>
      <c r="AB901">
        <f>[1]资金台帐!AB901</f>
        <v>0</v>
      </c>
      <c r="AC901">
        <f>[1]资金台帐!AC901</f>
        <v>0</v>
      </c>
      <c r="AD901">
        <f>[1]资金台帐!AD901</f>
        <v>0</v>
      </c>
      <c r="AJ901">
        <f>[1]资金台帐!AJ901</f>
        <v>0</v>
      </c>
      <c r="AK901">
        <f>[1]资金台帐!AK901</f>
        <v>0</v>
      </c>
      <c r="BA901" s="22">
        <f t="shared" si="0"/>
      </c>
      <c r="BG901" s="22">
        <f t="shared" si="1"/>
      </c>
      <c r="BH901" s="22">
        <f t="shared" si="2"/>
        <v>0</v>
      </c>
    </row>
    <row r="902">
      <c r="B902">
        <f>[1]资金台帐!B902&amp;""</f>
      </c>
      <c r="H902">
        <f>[1]资金台帐!H902&amp;""</f>
      </c>
      <c r="J902">
        <f>[1]资金台帐!J902&amp;""</f>
      </c>
      <c r="N902">
        <f>[1]资金台帐!N902</f>
      </c>
      <c r="O902">
        <f>[1]资金台帐!O902&amp;""</f>
      </c>
      <c r="P902">
        <f>[1]资金台帐!P902&amp;""</f>
      </c>
      <c r="Q902">
        <f>[1]资金台帐!Q902&amp;""</f>
      </c>
      <c r="T902">
        <f>[1]资金台帐!T902&amp;""</f>
      </c>
      <c r="U902">
        <f>[1]资金台帐!U902&amp;""</f>
      </c>
      <c r="W902">
        <f>[1]资金台帐!W902&amp;""</f>
      </c>
      <c r="X902">
        <f>[1]资金台帐!X902&amp;""</f>
      </c>
      <c r="AB902">
        <f>[1]资金台帐!AB902</f>
        <v>0</v>
      </c>
      <c r="AC902">
        <f>[1]资金台帐!AC902</f>
        <v>0</v>
      </c>
      <c r="AD902">
        <f>[1]资金台帐!AD902</f>
        <v>0</v>
      </c>
      <c r="AJ902">
        <f>[1]资金台帐!AJ902</f>
        <v>0</v>
      </c>
      <c r="AK902">
        <f>[1]资金台帐!AK902</f>
        <v>0</v>
      </c>
      <c r="BA902" s="22">
        <f t="shared" si="0"/>
      </c>
      <c r="BG902" s="22">
        <f t="shared" si="1"/>
      </c>
      <c r="BH902" s="22">
        <f t="shared" si="2"/>
        <v>0</v>
      </c>
    </row>
    <row r="903">
      <c r="B903">
        <f>[1]资金台帐!B903&amp;""</f>
      </c>
      <c r="H903">
        <f>[1]资金台帐!H903&amp;""</f>
      </c>
      <c r="J903">
        <f>[1]资金台帐!J903&amp;""</f>
      </c>
      <c r="N903">
        <f>[1]资金台帐!N903</f>
      </c>
      <c r="O903">
        <f>[1]资金台帐!O903&amp;""</f>
      </c>
      <c r="P903">
        <f>[1]资金台帐!P903&amp;""</f>
      </c>
      <c r="Q903">
        <f>[1]资金台帐!Q903&amp;""</f>
      </c>
      <c r="T903">
        <f>[1]资金台帐!T903&amp;""</f>
      </c>
      <c r="U903">
        <f>[1]资金台帐!U903&amp;""</f>
      </c>
      <c r="W903">
        <f>[1]资金台帐!W903&amp;""</f>
      </c>
      <c r="X903">
        <f>[1]资金台帐!X903&amp;""</f>
      </c>
      <c r="AB903">
        <f>[1]资金台帐!AB903</f>
        <v>0</v>
      </c>
      <c r="AC903">
        <f>[1]资金台帐!AC903</f>
        <v>0</v>
      </c>
      <c r="AD903">
        <f>[1]资金台帐!AD903</f>
        <v>0</v>
      </c>
      <c r="AJ903">
        <f>[1]资金台帐!AJ903</f>
        <v>0</v>
      </c>
      <c r="AK903">
        <f>[1]资金台帐!AK903</f>
        <v>0</v>
      </c>
      <c r="BA903" s="22">
        <f t="shared" si="0"/>
      </c>
      <c r="BG903" s="22">
        <f t="shared" si="1"/>
      </c>
      <c r="BH903" s="22">
        <f t="shared" si="2"/>
        <v>0</v>
      </c>
    </row>
    <row r="904">
      <c r="B904">
        <f>[1]资金台帐!B904&amp;""</f>
      </c>
      <c r="H904">
        <f>[1]资金台帐!H904&amp;""</f>
      </c>
      <c r="J904">
        <f>[1]资金台帐!J904&amp;""</f>
      </c>
      <c r="N904">
        <f>[1]资金台帐!N904</f>
      </c>
      <c r="O904">
        <f>[1]资金台帐!O904&amp;""</f>
      </c>
      <c r="P904">
        <f>[1]资金台帐!P904&amp;""</f>
      </c>
      <c r="Q904">
        <f>[1]资金台帐!Q904&amp;""</f>
      </c>
      <c r="T904">
        <f>[1]资金台帐!T904&amp;""</f>
      </c>
      <c r="U904">
        <f>[1]资金台帐!U904&amp;""</f>
      </c>
      <c r="W904">
        <f>[1]资金台帐!W904&amp;""</f>
      </c>
      <c r="X904">
        <f>[1]资金台帐!X904&amp;""</f>
      </c>
      <c r="AB904">
        <f>[1]资金台帐!AB904</f>
        <v>0</v>
      </c>
      <c r="AC904">
        <f>[1]资金台帐!AC904</f>
        <v>0</v>
      </c>
      <c r="AD904">
        <f>[1]资金台帐!AD904</f>
        <v>0</v>
      </c>
      <c r="AJ904">
        <f>[1]资金台帐!AJ904</f>
        <v>0</v>
      </c>
      <c r="AK904">
        <f>[1]资金台帐!AK904</f>
        <v>0</v>
      </c>
      <c r="BA904" s="22">
        <f t="shared" si="0"/>
      </c>
      <c r="BG904" s="22">
        <f t="shared" si="1"/>
      </c>
      <c r="BH904" s="22">
        <f t="shared" si="2"/>
        <v>0</v>
      </c>
    </row>
    <row r="905">
      <c r="B905">
        <f>[1]资金台帐!B905&amp;""</f>
      </c>
      <c r="H905">
        <f>[1]资金台帐!H905&amp;""</f>
      </c>
      <c r="J905">
        <f>[1]资金台帐!J905&amp;""</f>
      </c>
      <c r="N905">
        <f>[1]资金台帐!N905</f>
      </c>
      <c r="O905">
        <f>[1]资金台帐!O905&amp;""</f>
      </c>
      <c r="P905">
        <f>[1]资金台帐!P905&amp;""</f>
      </c>
      <c r="Q905">
        <f>[1]资金台帐!Q905&amp;""</f>
      </c>
      <c r="T905">
        <f>[1]资金台帐!T905&amp;""</f>
      </c>
      <c r="U905">
        <f>[1]资金台帐!U905&amp;""</f>
      </c>
      <c r="W905">
        <f>[1]资金台帐!W905&amp;""</f>
      </c>
      <c r="X905">
        <f>[1]资金台帐!X905&amp;""</f>
      </c>
      <c r="AB905">
        <f>[1]资金台帐!AB905</f>
        <v>0</v>
      </c>
      <c r="AC905">
        <f>[1]资金台帐!AC905</f>
        <v>0</v>
      </c>
      <c r="AD905">
        <f>[1]资金台帐!AD905</f>
        <v>0</v>
      </c>
      <c r="AJ905">
        <f>[1]资金台帐!AJ905</f>
        <v>0</v>
      </c>
      <c r="AK905">
        <f>[1]资金台帐!AK905</f>
        <v>0</v>
      </c>
      <c r="BA905" s="22">
        <f t="shared" si="0"/>
      </c>
      <c r="BG905" s="22">
        <f t="shared" si="1"/>
      </c>
      <c r="BH905" s="22">
        <f t="shared" si="2"/>
        <v>0</v>
      </c>
    </row>
    <row r="906">
      <c r="B906">
        <f>[1]资金台帐!B906&amp;""</f>
      </c>
      <c r="H906">
        <f>[1]资金台帐!H906&amp;""</f>
      </c>
      <c r="J906">
        <f>[1]资金台帐!J906&amp;""</f>
      </c>
      <c r="N906">
        <f>[1]资金台帐!N906</f>
      </c>
      <c r="O906">
        <f>[1]资金台帐!O906&amp;""</f>
      </c>
      <c r="P906">
        <f>[1]资金台帐!P906&amp;""</f>
      </c>
      <c r="Q906">
        <f>[1]资金台帐!Q906&amp;""</f>
      </c>
      <c r="T906">
        <f>[1]资金台帐!T906&amp;""</f>
      </c>
      <c r="U906">
        <f>[1]资金台帐!U906&amp;""</f>
      </c>
      <c r="W906">
        <f>[1]资金台帐!W906&amp;""</f>
      </c>
      <c r="X906">
        <f>[1]资金台帐!X906&amp;""</f>
      </c>
      <c r="AB906">
        <f>[1]资金台帐!AB906</f>
        <v>0</v>
      </c>
      <c r="AC906">
        <f>[1]资金台帐!AC906</f>
        <v>0</v>
      </c>
      <c r="AD906">
        <f>[1]资金台帐!AD906</f>
        <v>0</v>
      </c>
      <c r="AJ906">
        <f>[1]资金台帐!AJ906</f>
        <v>0</v>
      </c>
      <c r="AK906">
        <f>[1]资金台帐!AK906</f>
        <v>0</v>
      </c>
      <c r="BA906" s="22">
        <f t="shared" si="0"/>
      </c>
      <c r="BG906" s="22">
        <f t="shared" si="1"/>
      </c>
      <c r="BH906" s="22">
        <f t="shared" si="2"/>
        <v>0</v>
      </c>
    </row>
    <row r="907">
      <c r="B907">
        <f>[1]资金台帐!B907&amp;""</f>
      </c>
      <c r="H907">
        <f>[1]资金台帐!H907&amp;""</f>
      </c>
      <c r="J907">
        <f>[1]资金台帐!J907&amp;""</f>
      </c>
      <c r="N907">
        <f>[1]资金台帐!N907</f>
      </c>
      <c r="O907">
        <f>[1]资金台帐!O907&amp;""</f>
      </c>
      <c r="P907">
        <f>[1]资金台帐!P907&amp;""</f>
      </c>
      <c r="Q907">
        <f>[1]资金台帐!Q907&amp;""</f>
      </c>
      <c r="T907">
        <f>[1]资金台帐!T907&amp;""</f>
      </c>
      <c r="U907">
        <f>[1]资金台帐!U907&amp;""</f>
      </c>
      <c r="W907">
        <f>[1]资金台帐!W907&amp;""</f>
      </c>
      <c r="X907">
        <f>[1]资金台帐!X907&amp;""</f>
      </c>
      <c r="AB907">
        <f>[1]资金台帐!AB907</f>
        <v>0</v>
      </c>
      <c r="AC907">
        <f>[1]资金台帐!AC907</f>
        <v>0</v>
      </c>
      <c r="AD907">
        <f>[1]资金台帐!AD907</f>
        <v>0</v>
      </c>
      <c r="AJ907">
        <f>[1]资金台帐!AJ907</f>
        <v>0</v>
      </c>
      <c r="AK907">
        <f>[1]资金台帐!AK907</f>
        <v>0</v>
      </c>
      <c r="BA907" s="22">
        <f t="shared" si="0"/>
      </c>
      <c r="BG907" s="22">
        <f t="shared" si="1"/>
      </c>
      <c r="BH907" s="22">
        <f t="shared" si="2"/>
        <v>0</v>
      </c>
    </row>
    <row r="908">
      <c r="B908">
        <f>[1]资金台帐!B908&amp;""</f>
      </c>
      <c r="H908">
        <f>[1]资金台帐!H908&amp;""</f>
      </c>
      <c r="J908">
        <f>[1]资金台帐!J908&amp;""</f>
      </c>
      <c r="N908">
        <f>[1]资金台帐!N908</f>
      </c>
      <c r="O908">
        <f>[1]资金台帐!O908&amp;""</f>
      </c>
      <c r="P908">
        <f>[1]资金台帐!P908&amp;""</f>
      </c>
      <c r="Q908">
        <f>[1]资金台帐!Q908&amp;""</f>
      </c>
      <c r="T908">
        <f>[1]资金台帐!T908&amp;""</f>
      </c>
      <c r="U908">
        <f>[1]资金台帐!U908&amp;""</f>
      </c>
      <c r="W908">
        <f>[1]资金台帐!W908&amp;""</f>
      </c>
      <c r="X908">
        <f>[1]资金台帐!X908&amp;""</f>
      </c>
      <c r="AB908">
        <f>[1]资金台帐!AB908</f>
        <v>0</v>
      </c>
      <c r="AC908">
        <f>[1]资金台帐!AC908</f>
        <v>0</v>
      </c>
      <c r="AD908">
        <f>[1]资金台帐!AD908</f>
        <v>0</v>
      </c>
      <c r="AJ908">
        <f>[1]资金台帐!AJ908</f>
        <v>0</v>
      </c>
      <c r="AK908">
        <f>[1]资金台帐!AK908</f>
        <v>0</v>
      </c>
      <c r="BA908" s="22">
        <f t="shared" si="0"/>
      </c>
      <c r="BG908" s="22">
        <f t="shared" si="1"/>
      </c>
      <c r="BH908" s="22">
        <f t="shared" si="2"/>
        <v>0</v>
      </c>
    </row>
    <row r="909">
      <c r="B909">
        <f>[1]资金台帐!B909&amp;""</f>
      </c>
      <c r="H909">
        <f>[1]资金台帐!H909&amp;""</f>
      </c>
      <c r="J909">
        <f>[1]资金台帐!J909&amp;""</f>
      </c>
      <c r="N909">
        <f>[1]资金台帐!N909</f>
      </c>
      <c r="O909">
        <f>[1]资金台帐!O909&amp;""</f>
      </c>
      <c r="P909">
        <f>[1]资金台帐!P909&amp;""</f>
      </c>
      <c r="Q909">
        <f>[1]资金台帐!Q909&amp;""</f>
      </c>
      <c r="T909">
        <f>[1]资金台帐!T909&amp;""</f>
      </c>
      <c r="U909">
        <f>[1]资金台帐!U909&amp;""</f>
      </c>
      <c r="W909">
        <f>[1]资金台帐!W909&amp;""</f>
      </c>
      <c r="X909">
        <f>[1]资金台帐!X909&amp;""</f>
      </c>
      <c r="AB909">
        <f>[1]资金台帐!AB909</f>
        <v>0</v>
      </c>
      <c r="AC909">
        <f>[1]资金台帐!AC909</f>
        <v>0</v>
      </c>
      <c r="AD909">
        <f>[1]资金台帐!AD909</f>
        <v>0</v>
      </c>
      <c r="AJ909">
        <f>[1]资金台帐!AJ909</f>
        <v>0</v>
      </c>
      <c r="AK909">
        <f>[1]资金台帐!AK909</f>
        <v>0</v>
      </c>
      <c r="BA909" s="22">
        <f t="shared" si="0"/>
      </c>
      <c r="BG909" s="22">
        <f t="shared" si="1"/>
      </c>
      <c r="BH909" s="22">
        <f t="shared" si="2"/>
        <v>0</v>
      </c>
    </row>
    <row r="910">
      <c r="B910">
        <f>[1]资金台帐!B910&amp;""</f>
      </c>
      <c r="H910">
        <f>[1]资金台帐!H910&amp;""</f>
      </c>
      <c r="J910">
        <f>[1]资金台帐!J910&amp;""</f>
      </c>
      <c r="N910">
        <f>[1]资金台帐!N910</f>
      </c>
      <c r="O910">
        <f>[1]资金台帐!O910&amp;""</f>
      </c>
      <c r="P910">
        <f>[1]资金台帐!P910&amp;""</f>
      </c>
      <c r="Q910">
        <f>[1]资金台帐!Q910&amp;""</f>
      </c>
      <c r="T910">
        <f>[1]资金台帐!T910&amp;""</f>
      </c>
      <c r="U910">
        <f>[1]资金台帐!U910&amp;""</f>
      </c>
      <c r="W910">
        <f>[1]资金台帐!W910&amp;""</f>
      </c>
      <c r="X910">
        <f>[1]资金台帐!X910&amp;""</f>
      </c>
      <c r="AB910">
        <f>[1]资金台帐!AB910</f>
        <v>0</v>
      </c>
      <c r="AC910">
        <f>[1]资金台帐!AC910</f>
        <v>0</v>
      </c>
      <c r="AD910">
        <f>[1]资金台帐!AD910</f>
        <v>0</v>
      </c>
      <c r="AJ910">
        <f>[1]资金台帐!AJ910</f>
        <v>0</v>
      </c>
      <c r="AK910">
        <f>[1]资金台帐!AK910</f>
        <v>0</v>
      </c>
      <c r="BA910" s="22">
        <f t="shared" si="0"/>
      </c>
      <c r="BG910" s="22">
        <f t="shared" si="1"/>
      </c>
      <c r="BH910" s="22">
        <f t="shared" si="2"/>
        <v>0</v>
      </c>
    </row>
    <row r="911">
      <c r="B911">
        <f>[1]资金台帐!B911&amp;""</f>
      </c>
      <c r="H911">
        <f>[1]资金台帐!H911&amp;""</f>
      </c>
      <c r="J911">
        <f>[1]资金台帐!J911&amp;""</f>
      </c>
      <c r="N911">
        <f>[1]资金台帐!N911</f>
      </c>
      <c r="O911">
        <f>[1]资金台帐!O911&amp;""</f>
      </c>
      <c r="P911">
        <f>[1]资金台帐!P911&amp;""</f>
      </c>
      <c r="Q911">
        <f>[1]资金台帐!Q911&amp;""</f>
      </c>
      <c r="T911">
        <f>[1]资金台帐!T911&amp;""</f>
      </c>
      <c r="U911">
        <f>[1]资金台帐!U911&amp;""</f>
      </c>
      <c r="W911">
        <f>[1]资金台帐!W911&amp;""</f>
      </c>
      <c r="X911">
        <f>[1]资金台帐!X911&amp;""</f>
      </c>
      <c r="AB911">
        <f>[1]资金台帐!AB911</f>
        <v>0</v>
      </c>
      <c r="AC911">
        <f>[1]资金台帐!AC911</f>
        <v>0</v>
      </c>
      <c r="AD911">
        <f>[1]资金台帐!AD911</f>
        <v>0</v>
      </c>
      <c r="AJ911">
        <f>[1]资金台帐!AJ911</f>
        <v>0</v>
      </c>
      <c r="AK911">
        <f>[1]资金台帐!AK911</f>
        <v>0</v>
      </c>
      <c r="BA911" s="22">
        <f t="shared" si="0"/>
      </c>
      <c r="BG911" s="22">
        <f t="shared" si="1"/>
      </c>
      <c r="BH911" s="22">
        <f t="shared" si="2"/>
        <v>0</v>
      </c>
    </row>
    <row r="912">
      <c r="B912">
        <f>[1]资金台帐!B912&amp;""</f>
      </c>
      <c r="H912">
        <f>[1]资金台帐!H912&amp;""</f>
      </c>
      <c r="J912">
        <f>[1]资金台帐!J912&amp;""</f>
      </c>
      <c r="N912">
        <f>[1]资金台帐!N912</f>
      </c>
      <c r="O912">
        <f>[1]资金台帐!O912&amp;""</f>
      </c>
      <c r="P912">
        <f>[1]资金台帐!P912&amp;""</f>
      </c>
      <c r="Q912">
        <f>[1]资金台帐!Q912&amp;""</f>
      </c>
      <c r="T912">
        <f>[1]资金台帐!T912&amp;""</f>
      </c>
      <c r="U912">
        <f>[1]资金台帐!U912&amp;""</f>
      </c>
      <c r="W912">
        <f>[1]资金台帐!W912&amp;""</f>
      </c>
      <c r="X912">
        <f>[1]资金台帐!X912&amp;""</f>
      </c>
      <c r="AB912">
        <f>[1]资金台帐!AB912</f>
        <v>0</v>
      </c>
      <c r="AC912">
        <f>[1]资金台帐!AC912</f>
        <v>0</v>
      </c>
      <c r="AD912">
        <f>[1]资金台帐!AD912</f>
        <v>0</v>
      </c>
      <c r="AJ912">
        <f>[1]资金台帐!AJ912</f>
        <v>0</v>
      </c>
      <c r="AK912">
        <f>[1]资金台帐!AK912</f>
        <v>0</v>
      </c>
      <c r="BA912" s="22">
        <f t="shared" si="0"/>
      </c>
      <c r="BG912" s="22">
        <f t="shared" si="1"/>
      </c>
      <c r="BH912" s="22">
        <f t="shared" si="2"/>
        <v>0</v>
      </c>
    </row>
    <row r="913">
      <c r="B913">
        <f>[1]资金台帐!B913&amp;""</f>
      </c>
      <c r="H913">
        <f>[1]资金台帐!H913&amp;""</f>
      </c>
      <c r="J913">
        <f>[1]资金台帐!J913&amp;""</f>
      </c>
      <c r="N913">
        <f>[1]资金台帐!N913</f>
      </c>
      <c r="O913">
        <f>[1]资金台帐!O913&amp;""</f>
      </c>
      <c r="P913">
        <f>[1]资金台帐!P913&amp;""</f>
      </c>
      <c r="Q913">
        <f>[1]资金台帐!Q913&amp;""</f>
      </c>
      <c r="T913">
        <f>[1]资金台帐!T913&amp;""</f>
      </c>
      <c r="U913">
        <f>[1]资金台帐!U913&amp;""</f>
      </c>
      <c r="W913">
        <f>[1]资金台帐!W913&amp;""</f>
      </c>
      <c r="X913">
        <f>[1]资金台帐!X913&amp;""</f>
      </c>
      <c r="AB913">
        <f>[1]资金台帐!AB913</f>
        <v>0</v>
      </c>
      <c r="AC913">
        <f>[1]资金台帐!AC913</f>
        <v>0</v>
      </c>
      <c r="AD913">
        <f>[1]资金台帐!AD913</f>
        <v>0</v>
      </c>
      <c r="AJ913">
        <f>[1]资金台帐!AJ913</f>
        <v>0</v>
      </c>
      <c r="AK913">
        <f>[1]资金台帐!AK913</f>
        <v>0</v>
      </c>
      <c r="BA913" s="22">
        <f t="shared" si="0"/>
      </c>
      <c r="BG913" s="22">
        <f t="shared" si="1"/>
      </c>
      <c r="BH913" s="22">
        <f t="shared" si="2"/>
        <v>0</v>
      </c>
    </row>
    <row r="914">
      <c r="B914">
        <f>[1]资金台帐!B914&amp;""</f>
      </c>
      <c r="H914">
        <f>[1]资金台帐!H914&amp;""</f>
      </c>
      <c r="J914">
        <f>[1]资金台帐!J914&amp;""</f>
      </c>
      <c r="N914">
        <f>[1]资金台帐!N914</f>
      </c>
      <c r="O914">
        <f>[1]资金台帐!O914&amp;""</f>
      </c>
      <c r="P914">
        <f>[1]资金台帐!P914&amp;""</f>
      </c>
      <c r="Q914">
        <f>[1]资金台帐!Q914&amp;""</f>
      </c>
      <c r="T914">
        <f>[1]资金台帐!T914&amp;""</f>
      </c>
      <c r="U914">
        <f>[1]资金台帐!U914&amp;""</f>
      </c>
      <c r="W914">
        <f>[1]资金台帐!W914&amp;""</f>
      </c>
      <c r="X914">
        <f>[1]资金台帐!X914&amp;""</f>
      </c>
      <c r="AB914">
        <f>[1]资金台帐!AB914</f>
        <v>0</v>
      </c>
      <c r="AC914">
        <f>[1]资金台帐!AC914</f>
        <v>0</v>
      </c>
      <c r="AD914">
        <f>[1]资金台帐!AD914</f>
        <v>0</v>
      </c>
      <c r="AJ914">
        <f>[1]资金台帐!AJ914</f>
        <v>0</v>
      </c>
      <c r="AK914">
        <f>[1]资金台帐!AK914</f>
        <v>0</v>
      </c>
      <c r="BA914" s="22">
        <f t="shared" si="0"/>
      </c>
      <c r="BG914" s="22">
        <f t="shared" si="1"/>
      </c>
      <c r="BH914" s="22">
        <f t="shared" si="2"/>
        <v>0</v>
      </c>
    </row>
    <row r="915">
      <c r="B915">
        <f>[1]资金台帐!B915&amp;""</f>
      </c>
      <c r="H915">
        <f>[1]资金台帐!H915&amp;""</f>
      </c>
      <c r="J915">
        <f>[1]资金台帐!J915&amp;""</f>
      </c>
      <c r="N915">
        <f>[1]资金台帐!N915</f>
      </c>
      <c r="O915">
        <f>[1]资金台帐!O915&amp;""</f>
      </c>
      <c r="P915">
        <f>[1]资金台帐!P915&amp;""</f>
      </c>
      <c r="Q915">
        <f>[1]资金台帐!Q915&amp;""</f>
      </c>
      <c r="T915">
        <f>[1]资金台帐!T915&amp;""</f>
      </c>
      <c r="U915">
        <f>[1]资金台帐!U915&amp;""</f>
      </c>
      <c r="W915">
        <f>[1]资金台帐!W915&amp;""</f>
      </c>
      <c r="X915">
        <f>[1]资金台帐!X915&amp;""</f>
      </c>
      <c r="AB915">
        <f>[1]资金台帐!AB915</f>
        <v>0</v>
      </c>
      <c r="AC915">
        <f>[1]资金台帐!AC915</f>
        <v>0</v>
      </c>
      <c r="AD915">
        <f>[1]资金台帐!AD915</f>
        <v>0</v>
      </c>
      <c r="AJ915">
        <f>[1]资金台帐!AJ915</f>
        <v>0</v>
      </c>
      <c r="AK915">
        <f>[1]资金台帐!AK915</f>
        <v>0</v>
      </c>
      <c r="BA915" s="22">
        <f t="shared" si="0"/>
      </c>
      <c r="BG915" s="22">
        <f t="shared" si="1"/>
      </c>
      <c r="BH915" s="22">
        <f t="shared" si="2"/>
        <v>0</v>
      </c>
    </row>
    <row r="916">
      <c r="B916">
        <f>[1]资金台帐!B916&amp;""</f>
      </c>
      <c r="H916">
        <f>[1]资金台帐!H916&amp;""</f>
      </c>
      <c r="J916">
        <f>[1]资金台帐!J916&amp;""</f>
      </c>
      <c r="N916">
        <f>[1]资金台帐!N916</f>
      </c>
      <c r="O916">
        <f>[1]资金台帐!O916&amp;""</f>
      </c>
      <c r="P916">
        <f>[1]资金台帐!P916&amp;""</f>
      </c>
      <c r="Q916">
        <f>[1]资金台帐!Q916&amp;""</f>
      </c>
      <c r="T916">
        <f>[1]资金台帐!T916&amp;""</f>
      </c>
      <c r="U916">
        <f>[1]资金台帐!U916&amp;""</f>
      </c>
      <c r="W916">
        <f>[1]资金台帐!W916&amp;""</f>
      </c>
      <c r="X916">
        <f>[1]资金台帐!X916&amp;""</f>
      </c>
      <c r="AB916">
        <f>[1]资金台帐!AB916</f>
        <v>0</v>
      </c>
      <c r="AC916">
        <f>[1]资金台帐!AC916</f>
        <v>0</v>
      </c>
      <c r="AD916">
        <f>[1]资金台帐!AD916</f>
        <v>0</v>
      </c>
      <c r="AJ916">
        <f>[1]资金台帐!AJ916</f>
        <v>0</v>
      </c>
      <c r="AK916">
        <f>[1]资金台帐!AK916</f>
        <v>0</v>
      </c>
      <c r="BA916" s="22">
        <f t="shared" si="0"/>
      </c>
      <c r="BG916" s="22">
        <f t="shared" si="1"/>
      </c>
      <c r="BH916" s="22">
        <f t="shared" si="2"/>
        <v>0</v>
      </c>
    </row>
    <row r="917">
      <c r="B917">
        <f>[1]资金台帐!B917&amp;""</f>
      </c>
      <c r="H917">
        <f>[1]资金台帐!H917&amp;""</f>
      </c>
      <c r="J917">
        <f>[1]资金台帐!J917&amp;""</f>
      </c>
      <c r="N917">
        <f>[1]资金台帐!N917</f>
      </c>
      <c r="O917">
        <f>[1]资金台帐!O917&amp;""</f>
      </c>
      <c r="P917">
        <f>[1]资金台帐!P917&amp;""</f>
      </c>
      <c r="Q917">
        <f>[1]资金台帐!Q917&amp;""</f>
      </c>
      <c r="T917">
        <f>[1]资金台帐!T917&amp;""</f>
      </c>
      <c r="U917">
        <f>[1]资金台帐!U917&amp;""</f>
      </c>
      <c r="W917">
        <f>[1]资金台帐!W917&amp;""</f>
      </c>
      <c r="X917">
        <f>[1]资金台帐!X917&amp;""</f>
      </c>
      <c r="AB917">
        <f>[1]资金台帐!AB917</f>
        <v>0</v>
      </c>
      <c r="AC917">
        <f>[1]资金台帐!AC917</f>
        <v>0</v>
      </c>
      <c r="AD917">
        <f>[1]资金台帐!AD917</f>
        <v>0</v>
      </c>
      <c r="AJ917">
        <f>[1]资金台帐!AJ917</f>
        <v>0</v>
      </c>
      <c r="AK917">
        <f>[1]资金台帐!AK917</f>
        <v>0</v>
      </c>
      <c r="BA917" s="22">
        <f t="shared" si="0"/>
      </c>
      <c r="BG917" s="22">
        <f t="shared" si="1"/>
      </c>
      <c r="BH917" s="22">
        <f t="shared" si="2"/>
        <v>0</v>
      </c>
    </row>
    <row r="918">
      <c r="B918">
        <f>[1]资金台帐!B918&amp;""</f>
      </c>
      <c r="H918">
        <f>[1]资金台帐!H918&amp;""</f>
      </c>
      <c r="J918">
        <f>[1]资金台帐!J918&amp;""</f>
      </c>
      <c r="N918">
        <f>[1]资金台帐!N918</f>
      </c>
      <c r="O918">
        <f>[1]资金台帐!O918&amp;""</f>
      </c>
      <c r="P918">
        <f>[1]资金台帐!P918&amp;""</f>
      </c>
      <c r="Q918">
        <f>[1]资金台帐!Q918&amp;""</f>
      </c>
      <c r="T918">
        <f>[1]资金台帐!T918&amp;""</f>
      </c>
      <c r="U918">
        <f>[1]资金台帐!U918&amp;""</f>
      </c>
      <c r="W918">
        <f>[1]资金台帐!W918&amp;""</f>
      </c>
      <c r="X918">
        <f>[1]资金台帐!X918&amp;""</f>
      </c>
      <c r="AB918">
        <f>[1]资金台帐!AB918</f>
        <v>0</v>
      </c>
      <c r="AC918">
        <f>[1]资金台帐!AC918</f>
        <v>0</v>
      </c>
      <c r="AD918">
        <f>[1]资金台帐!AD918</f>
        <v>0</v>
      </c>
      <c r="AJ918">
        <f>[1]资金台帐!AJ918</f>
        <v>0</v>
      </c>
      <c r="AK918">
        <f>[1]资金台帐!AK918</f>
        <v>0</v>
      </c>
      <c r="BA918" s="22">
        <f t="shared" si="0"/>
      </c>
      <c r="BG918" s="22">
        <f t="shared" si="1"/>
      </c>
      <c r="BH918" s="22">
        <f t="shared" si="2"/>
        <v>0</v>
      </c>
    </row>
    <row r="919">
      <c r="B919">
        <f>[1]资金台帐!B919&amp;""</f>
      </c>
      <c r="H919">
        <f>[1]资金台帐!H919&amp;""</f>
      </c>
      <c r="J919">
        <f>[1]资金台帐!J919&amp;""</f>
      </c>
      <c r="N919">
        <f>[1]资金台帐!N919</f>
      </c>
      <c r="O919">
        <f>[1]资金台帐!O919&amp;""</f>
      </c>
      <c r="P919">
        <f>[1]资金台帐!P919&amp;""</f>
      </c>
      <c r="Q919">
        <f>[1]资金台帐!Q919&amp;""</f>
      </c>
      <c r="T919">
        <f>[1]资金台帐!T919&amp;""</f>
      </c>
      <c r="U919">
        <f>[1]资金台帐!U919&amp;""</f>
      </c>
      <c r="W919">
        <f>[1]资金台帐!W919&amp;""</f>
      </c>
      <c r="X919">
        <f>[1]资金台帐!X919&amp;""</f>
      </c>
      <c r="AB919">
        <f>[1]资金台帐!AB919</f>
        <v>0</v>
      </c>
      <c r="AC919">
        <f>[1]资金台帐!AC919</f>
        <v>0</v>
      </c>
      <c r="AD919">
        <f>[1]资金台帐!AD919</f>
        <v>0</v>
      </c>
      <c r="AJ919">
        <f>[1]资金台帐!AJ919</f>
        <v>0</v>
      </c>
      <c r="AK919">
        <f>[1]资金台帐!AK919</f>
        <v>0</v>
      </c>
      <c r="BA919" s="22">
        <f t="shared" si="0"/>
      </c>
      <c r="BG919" s="22">
        <f t="shared" si="1"/>
      </c>
      <c r="BH919" s="22">
        <f t="shared" si="2"/>
        <v>0</v>
      </c>
    </row>
    <row r="920">
      <c r="B920">
        <f>[1]资金台帐!B920&amp;""</f>
      </c>
      <c r="H920">
        <f>[1]资金台帐!H920&amp;""</f>
      </c>
      <c r="J920">
        <f>[1]资金台帐!J920&amp;""</f>
      </c>
      <c r="N920">
        <f>[1]资金台帐!N920</f>
      </c>
      <c r="O920">
        <f>[1]资金台帐!O920&amp;""</f>
      </c>
      <c r="P920">
        <f>[1]资金台帐!P920&amp;""</f>
      </c>
      <c r="Q920">
        <f>[1]资金台帐!Q920&amp;""</f>
      </c>
      <c r="T920">
        <f>[1]资金台帐!T920&amp;""</f>
      </c>
      <c r="U920">
        <f>[1]资金台帐!U920&amp;""</f>
      </c>
      <c r="W920">
        <f>[1]资金台帐!W920&amp;""</f>
      </c>
      <c r="X920">
        <f>[1]资金台帐!X920&amp;""</f>
      </c>
      <c r="AB920">
        <f>[1]资金台帐!AB920</f>
        <v>0</v>
      </c>
      <c r="AC920">
        <f>[1]资金台帐!AC920</f>
        <v>0</v>
      </c>
      <c r="AD920">
        <f>[1]资金台帐!AD920</f>
        <v>0</v>
      </c>
      <c r="AJ920">
        <f>[1]资金台帐!AJ920</f>
        <v>0</v>
      </c>
      <c r="AK920">
        <f>[1]资金台帐!AK920</f>
        <v>0</v>
      </c>
      <c r="BA920" s="22">
        <f t="shared" si="0"/>
      </c>
      <c r="BG920" s="22">
        <f t="shared" si="1"/>
      </c>
      <c r="BH920" s="22">
        <f t="shared" si="2"/>
        <v>0</v>
      </c>
    </row>
    <row r="921">
      <c r="B921">
        <f>[1]资金台帐!B921&amp;""</f>
      </c>
      <c r="H921">
        <f>[1]资金台帐!H921&amp;""</f>
      </c>
      <c r="J921">
        <f>[1]资金台帐!J921&amp;""</f>
      </c>
      <c r="N921">
        <f>[1]资金台帐!N921</f>
      </c>
      <c r="O921">
        <f>[1]资金台帐!O921&amp;""</f>
      </c>
      <c r="P921">
        <f>[1]资金台帐!P921&amp;""</f>
      </c>
      <c r="Q921">
        <f>[1]资金台帐!Q921&amp;""</f>
      </c>
      <c r="T921">
        <f>[1]资金台帐!T921&amp;""</f>
      </c>
      <c r="U921">
        <f>[1]资金台帐!U921&amp;""</f>
      </c>
      <c r="W921">
        <f>[1]资金台帐!W921&amp;""</f>
      </c>
      <c r="X921">
        <f>[1]资金台帐!X921&amp;""</f>
      </c>
      <c r="AB921">
        <f>[1]资金台帐!AB921</f>
        <v>0</v>
      </c>
      <c r="AC921">
        <f>[1]资金台帐!AC921</f>
        <v>0</v>
      </c>
      <c r="AD921">
        <f>[1]资金台帐!AD921</f>
        <v>0</v>
      </c>
      <c r="AJ921">
        <f>[1]资金台帐!AJ921</f>
        <v>0</v>
      </c>
      <c r="AK921">
        <f>[1]资金台帐!AK921</f>
        <v>0</v>
      </c>
      <c r="BA921" s="22">
        <f t="shared" si="0"/>
      </c>
      <c r="BG921" s="22">
        <f t="shared" si="1"/>
      </c>
      <c r="BH921" s="22">
        <f t="shared" si="2"/>
        <v>0</v>
      </c>
    </row>
    <row r="922">
      <c r="B922">
        <f>[1]资金台帐!B922&amp;""</f>
      </c>
      <c r="H922">
        <f>[1]资金台帐!H922&amp;""</f>
      </c>
      <c r="J922">
        <f>[1]资金台帐!J922&amp;""</f>
      </c>
      <c r="N922">
        <f>[1]资金台帐!N922</f>
      </c>
      <c r="O922">
        <f>[1]资金台帐!O922&amp;""</f>
      </c>
      <c r="P922">
        <f>[1]资金台帐!P922&amp;""</f>
      </c>
      <c r="Q922">
        <f>[1]资金台帐!Q922&amp;""</f>
      </c>
      <c r="T922">
        <f>[1]资金台帐!T922&amp;""</f>
      </c>
      <c r="U922">
        <f>[1]资金台帐!U922&amp;""</f>
      </c>
      <c r="W922">
        <f>[1]资金台帐!W922&amp;""</f>
      </c>
      <c r="X922">
        <f>[1]资金台帐!X922&amp;""</f>
      </c>
      <c r="AB922">
        <f>[1]资金台帐!AB922</f>
        <v>0</v>
      </c>
      <c r="AC922">
        <f>[1]资金台帐!AC922</f>
        <v>0</v>
      </c>
      <c r="AD922">
        <f>[1]资金台帐!AD922</f>
        <v>0</v>
      </c>
      <c r="AJ922">
        <f>[1]资金台帐!AJ922</f>
        <v>0</v>
      </c>
      <c r="AK922">
        <f>[1]资金台帐!AK922</f>
        <v>0</v>
      </c>
      <c r="BA922" s="22">
        <f t="shared" si="0"/>
      </c>
      <c r="BG922" s="22">
        <f t="shared" si="1"/>
      </c>
      <c r="BH922" s="22">
        <f t="shared" si="2"/>
        <v>0</v>
      </c>
    </row>
    <row r="923">
      <c r="B923">
        <f>[1]资金台帐!B923&amp;""</f>
      </c>
      <c r="H923">
        <f>[1]资金台帐!H923&amp;""</f>
      </c>
      <c r="J923">
        <f>[1]资金台帐!J923&amp;""</f>
      </c>
      <c r="N923">
        <f>[1]资金台帐!N923</f>
      </c>
      <c r="O923">
        <f>[1]资金台帐!O923&amp;""</f>
      </c>
      <c r="P923">
        <f>[1]资金台帐!P923&amp;""</f>
      </c>
      <c r="Q923">
        <f>[1]资金台帐!Q923&amp;""</f>
      </c>
      <c r="T923">
        <f>[1]资金台帐!T923&amp;""</f>
      </c>
      <c r="U923">
        <f>[1]资金台帐!U923&amp;""</f>
      </c>
      <c r="W923">
        <f>[1]资金台帐!W923&amp;""</f>
      </c>
      <c r="X923">
        <f>[1]资金台帐!X923&amp;""</f>
      </c>
      <c r="AB923">
        <f>[1]资金台帐!AB923</f>
        <v>0</v>
      </c>
      <c r="AC923">
        <f>[1]资金台帐!AC923</f>
        <v>0</v>
      </c>
      <c r="AD923">
        <f>[1]资金台帐!AD923</f>
        <v>0</v>
      </c>
      <c r="AJ923">
        <f>[1]资金台帐!AJ923</f>
        <v>0</v>
      </c>
      <c r="AK923">
        <f>[1]资金台帐!AK923</f>
        <v>0</v>
      </c>
      <c r="BA923" s="22">
        <f t="shared" si="0"/>
      </c>
      <c r="BG923" s="22">
        <f t="shared" si="1"/>
      </c>
      <c r="BH923" s="22">
        <f t="shared" si="2"/>
        <v>0</v>
      </c>
    </row>
    <row r="924">
      <c r="B924">
        <f>[1]资金台帐!B924&amp;""</f>
      </c>
      <c r="H924">
        <f>[1]资金台帐!H924&amp;""</f>
      </c>
      <c r="J924">
        <f>[1]资金台帐!J924&amp;""</f>
      </c>
      <c r="N924">
        <f>[1]资金台帐!N924</f>
      </c>
      <c r="O924">
        <f>[1]资金台帐!O924&amp;""</f>
      </c>
      <c r="P924">
        <f>[1]资金台帐!P924&amp;""</f>
      </c>
      <c r="Q924">
        <f>[1]资金台帐!Q924&amp;""</f>
      </c>
      <c r="T924">
        <f>[1]资金台帐!T924&amp;""</f>
      </c>
      <c r="U924">
        <f>[1]资金台帐!U924&amp;""</f>
      </c>
      <c r="W924">
        <f>[1]资金台帐!W924&amp;""</f>
      </c>
      <c r="X924">
        <f>[1]资金台帐!X924&amp;""</f>
      </c>
      <c r="AB924">
        <f>[1]资金台帐!AB924</f>
        <v>0</v>
      </c>
      <c r="AC924">
        <f>[1]资金台帐!AC924</f>
        <v>0</v>
      </c>
      <c r="AD924">
        <f>[1]资金台帐!AD924</f>
        <v>0</v>
      </c>
      <c r="AJ924">
        <f>[1]资金台帐!AJ924</f>
        <v>0</v>
      </c>
      <c r="AK924">
        <f>[1]资金台帐!AK924</f>
        <v>0</v>
      </c>
      <c r="BA924" s="22">
        <f t="shared" si="0"/>
      </c>
      <c r="BG924" s="22">
        <f t="shared" si="1"/>
      </c>
      <c r="BH924" s="22">
        <f t="shared" si="2"/>
        <v>0</v>
      </c>
    </row>
    <row r="925">
      <c r="B925">
        <f>[1]资金台帐!B925&amp;""</f>
      </c>
      <c r="H925">
        <f>[1]资金台帐!H925&amp;""</f>
      </c>
      <c r="J925">
        <f>[1]资金台帐!J925&amp;""</f>
      </c>
      <c r="N925">
        <f>[1]资金台帐!N925</f>
      </c>
      <c r="O925">
        <f>[1]资金台帐!O925&amp;""</f>
      </c>
      <c r="P925">
        <f>[1]资金台帐!P925&amp;""</f>
      </c>
      <c r="Q925">
        <f>[1]资金台帐!Q925&amp;""</f>
      </c>
      <c r="T925">
        <f>[1]资金台帐!T925&amp;""</f>
      </c>
      <c r="U925">
        <f>[1]资金台帐!U925&amp;""</f>
      </c>
      <c r="W925">
        <f>[1]资金台帐!W925&amp;""</f>
      </c>
      <c r="X925">
        <f>[1]资金台帐!X925&amp;""</f>
      </c>
      <c r="AB925">
        <f>[1]资金台帐!AB925</f>
        <v>0</v>
      </c>
      <c r="AC925">
        <f>[1]资金台帐!AC925</f>
        <v>0</v>
      </c>
      <c r="AD925">
        <f>[1]资金台帐!AD925</f>
        <v>0</v>
      </c>
      <c r="AJ925">
        <f>[1]资金台帐!AJ925</f>
        <v>0</v>
      </c>
      <c r="AK925">
        <f>[1]资金台帐!AK925</f>
        <v>0</v>
      </c>
      <c r="BA925" s="22">
        <f t="shared" si="0"/>
      </c>
      <c r="BG925" s="22">
        <f t="shared" si="1"/>
      </c>
      <c r="BH925" s="22">
        <f t="shared" si="2"/>
        <v>0</v>
      </c>
    </row>
    <row r="926">
      <c r="B926">
        <f>[1]资金台帐!B926&amp;""</f>
      </c>
      <c r="H926">
        <f>[1]资金台帐!H926&amp;""</f>
      </c>
      <c r="J926">
        <f>[1]资金台帐!J926&amp;""</f>
      </c>
      <c r="N926">
        <f>[1]资金台帐!N926</f>
      </c>
      <c r="O926">
        <f>[1]资金台帐!O926&amp;""</f>
      </c>
      <c r="P926">
        <f>[1]资金台帐!P926&amp;""</f>
      </c>
      <c r="Q926">
        <f>[1]资金台帐!Q926&amp;""</f>
      </c>
      <c r="T926">
        <f>[1]资金台帐!T926&amp;""</f>
      </c>
      <c r="U926">
        <f>[1]资金台帐!U926&amp;""</f>
      </c>
      <c r="W926">
        <f>[1]资金台帐!W926&amp;""</f>
      </c>
      <c r="X926">
        <f>[1]资金台帐!X926&amp;""</f>
      </c>
      <c r="AB926">
        <f>[1]资金台帐!AB926</f>
        <v>0</v>
      </c>
      <c r="AC926">
        <f>[1]资金台帐!AC926</f>
        <v>0</v>
      </c>
      <c r="AD926">
        <f>[1]资金台帐!AD926</f>
        <v>0</v>
      </c>
      <c r="AJ926">
        <f>[1]资金台帐!AJ926</f>
        <v>0</v>
      </c>
      <c r="AK926">
        <f>[1]资金台帐!AK926</f>
        <v>0</v>
      </c>
      <c r="BA926" s="22">
        <f t="shared" si="0"/>
      </c>
      <c r="BG926" s="22">
        <f t="shared" si="1"/>
      </c>
      <c r="BH926" s="22">
        <f t="shared" si="2"/>
        <v>0</v>
      </c>
    </row>
    <row r="927">
      <c r="B927">
        <f>[1]资金台帐!B927&amp;""</f>
      </c>
      <c r="H927">
        <f>[1]资金台帐!H927&amp;""</f>
      </c>
      <c r="J927">
        <f>[1]资金台帐!J927&amp;""</f>
      </c>
      <c r="N927">
        <f>[1]资金台帐!N927</f>
      </c>
      <c r="O927">
        <f>[1]资金台帐!O927&amp;""</f>
      </c>
      <c r="P927">
        <f>[1]资金台帐!P927&amp;""</f>
      </c>
      <c r="Q927">
        <f>[1]资金台帐!Q927&amp;""</f>
      </c>
      <c r="T927">
        <f>[1]资金台帐!T927&amp;""</f>
      </c>
      <c r="U927">
        <f>[1]资金台帐!U927&amp;""</f>
      </c>
      <c r="W927">
        <f>[1]资金台帐!W927&amp;""</f>
      </c>
      <c r="X927">
        <f>[1]资金台帐!X927&amp;""</f>
      </c>
      <c r="AB927">
        <f>[1]资金台帐!AB927</f>
        <v>0</v>
      </c>
      <c r="AC927">
        <f>[1]资金台帐!AC927</f>
        <v>0</v>
      </c>
      <c r="AD927">
        <f>[1]资金台帐!AD927</f>
        <v>0</v>
      </c>
      <c r="AJ927">
        <f>[1]资金台帐!AJ927</f>
        <v>0</v>
      </c>
      <c r="AK927">
        <f>[1]资金台帐!AK927</f>
        <v>0</v>
      </c>
      <c r="BA927" s="22">
        <f t="shared" si="0"/>
      </c>
      <c r="BG927" s="22">
        <f t="shared" si="1"/>
      </c>
      <c r="BH927" s="22">
        <f t="shared" si="2"/>
        <v>0</v>
      </c>
    </row>
    <row r="928">
      <c r="B928">
        <f>[1]资金台帐!B928&amp;""</f>
      </c>
      <c r="H928">
        <f>[1]资金台帐!H928&amp;""</f>
      </c>
      <c r="J928">
        <f>[1]资金台帐!J928&amp;""</f>
      </c>
      <c r="N928">
        <f>[1]资金台帐!N928</f>
      </c>
      <c r="O928">
        <f>[1]资金台帐!O928&amp;""</f>
      </c>
      <c r="P928">
        <f>[1]资金台帐!P928&amp;""</f>
      </c>
      <c r="Q928">
        <f>[1]资金台帐!Q928&amp;""</f>
      </c>
      <c r="T928">
        <f>[1]资金台帐!T928&amp;""</f>
      </c>
      <c r="U928">
        <f>[1]资金台帐!U928&amp;""</f>
      </c>
      <c r="W928">
        <f>[1]资金台帐!W928&amp;""</f>
      </c>
      <c r="X928">
        <f>[1]资金台帐!X928&amp;""</f>
      </c>
      <c r="AB928">
        <f>[1]资金台帐!AB928</f>
        <v>0</v>
      </c>
      <c r="AC928">
        <f>[1]资金台帐!AC928</f>
        <v>0</v>
      </c>
      <c r="AD928">
        <f>[1]资金台帐!AD928</f>
        <v>0</v>
      </c>
      <c r="AJ928">
        <f>[1]资金台帐!AJ928</f>
        <v>0</v>
      </c>
      <c r="AK928">
        <f>[1]资金台帐!AK928</f>
        <v>0</v>
      </c>
      <c r="BA928" s="22">
        <f t="shared" si="0"/>
      </c>
      <c r="BG928" s="22">
        <f t="shared" si="1"/>
      </c>
      <c r="BH928" s="22">
        <f t="shared" si="2"/>
        <v>0</v>
      </c>
    </row>
    <row r="929">
      <c r="B929">
        <f>[1]资金台帐!B929&amp;""</f>
      </c>
      <c r="H929">
        <f>[1]资金台帐!H929&amp;""</f>
      </c>
      <c r="J929">
        <f>[1]资金台帐!J929&amp;""</f>
      </c>
      <c r="N929">
        <f>[1]资金台帐!N929</f>
      </c>
      <c r="O929">
        <f>[1]资金台帐!O929&amp;""</f>
      </c>
      <c r="P929">
        <f>[1]资金台帐!P929&amp;""</f>
      </c>
      <c r="Q929">
        <f>[1]资金台帐!Q929&amp;""</f>
      </c>
      <c r="T929">
        <f>[1]资金台帐!T929&amp;""</f>
      </c>
      <c r="U929">
        <f>[1]资金台帐!U929&amp;""</f>
      </c>
      <c r="W929">
        <f>[1]资金台帐!W929&amp;""</f>
      </c>
      <c r="X929">
        <f>[1]资金台帐!X929&amp;""</f>
      </c>
      <c r="AB929">
        <f>[1]资金台帐!AB929</f>
        <v>0</v>
      </c>
      <c r="AC929">
        <f>[1]资金台帐!AC929</f>
        <v>0</v>
      </c>
      <c r="AD929">
        <f>[1]资金台帐!AD929</f>
        <v>0</v>
      </c>
      <c r="AJ929">
        <f>[1]资金台帐!AJ929</f>
        <v>0</v>
      </c>
      <c r="AK929">
        <f>[1]资金台帐!AK929</f>
        <v>0</v>
      </c>
      <c r="BA929" s="22">
        <f t="shared" si="0"/>
      </c>
      <c r="BG929" s="22">
        <f t="shared" si="1"/>
      </c>
      <c r="BH929" s="22">
        <f t="shared" si="2"/>
        <v>0</v>
      </c>
    </row>
    <row r="930">
      <c r="B930">
        <f>[1]资金台帐!B930&amp;""</f>
      </c>
      <c r="H930">
        <f>[1]资金台帐!H930&amp;""</f>
      </c>
      <c r="J930">
        <f>[1]资金台帐!J930&amp;""</f>
      </c>
      <c r="N930">
        <f>[1]资金台帐!N930</f>
      </c>
      <c r="O930">
        <f>[1]资金台帐!O930&amp;""</f>
      </c>
      <c r="P930">
        <f>[1]资金台帐!P930&amp;""</f>
      </c>
      <c r="Q930">
        <f>[1]资金台帐!Q930&amp;""</f>
      </c>
      <c r="T930">
        <f>[1]资金台帐!T930&amp;""</f>
      </c>
      <c r="U930">
        <f>[1]资金台帐!U930&amp;""</f>
      </c>
      <c r="W930">
        <f>[1]资金台帐!W930&amp;""</f>
      </c>
      <c r="X930">
        <f>[1]资金台帐!X930&amp;""</f>
      </c>
      <c r="AB930">
        <f>[1]资金台帐!AB930</f>
        <v>0</v>
      </c>
      <c r="AC930">
        <f>[1]资金台帐!AC930</f>
        <v>0</v>
      </c>
      <c r="AD930">
        <f>[1]资金台帐!AD930</f>
        <v>0</v>
      </c>
      <c r="AJ930">
        <f>[1]资金台帐!AJ930</f>
        <v>0</v>
      </c>
      <c r="AK930">
        <f>[1]资金台帐!AK930</f>
        <v>0</v>
      </c>
      <c r="BA930" s="22">
        <f t="shared" si="0"/>
      </c>
      <c r="BG930" s="22">
        <f t="shared" si="1"/>
      </c>
      <c r="BH930" s="22">
        <f t="shared" si="2"/>
        <v>0</v>
      </c>
    </row>
    <row r="931">
      <c r="B931">
        <f>[1]资金台帐!B931&amp;""</f>
      </c>
      <c r="H931">
        <f>[1]资金台帐!H931&amp;""</f>
      </c>
      <c r="J931">
        <f>[1]资金台帐!J931&amp;""</f>
      </c>
      <c r="N931">
        <f>[1]资金台帐!N931</f>
      </c>
      <c r="O931">
        <f>[1]资金台帐!O931&amp;""</f>
      </c>
      <c r="P931">
        <f>[1]资金台帐!P931&amp;""</f>
      </c>
      <c r="Q931">
        <f>[1]资金台帐!Q931&amp;""</f>
      </c>
      <c r="T931">
        <f>[1]资金台帐!T931&amp;""</f>
      </c>
      <c r="U931">
        <f>[1]资金台帐!U931&amp;""</f>
      </c>
      <c r="W931">
        <f>[1]资金台帐!W931&amp;""</f>
      </c>
      <c r="X931">
        <f>[1]资金台帐!X931&amp;""</f>
      </c>
      <c r="AB931">
        <f>[1]资金台帐!AB931</f>
        <v>0</v>
      </c>
      <c r="AC931">
        <f>[1]资金台帐!AC931</f>
        <v>0</v>
      </c>
      <c r="AD931">
        <f>[1]资金台帐!AD931</f>
        <v>0</v>
      </c>
      <c r="AJ931">
        <f>[1]资金台帐!AJ931</f>
        <v>0</v>
      </c>
      <c r="AK931">
        <f>[1]资金台帐!AK931</f>
        <v>0</v>
      </c>
      <c r="BA931" s="22">
        <f t="shared" si="0"/>
      </c>
      <c r="BG931" s="22">
        <f t="shared" si="1"/>
      </c>
      <c r="BH931" s="22">
        <f t="shared" si="2"/>
        <v>0</v>
      </c>
    </row>
    <row r="932">
      <c r="B932">
        <f>[1]资金台帐!B932&amp;""</f>
      </c>
      <c r="H932">
        <f>[1]资金台帐!H932&amp;""</f>
      </c>
      <c r="J932">
        <f>[1]资金台帐!J932&amp;""</f>
      </c>
      <c r="N932">
        <f>[1]资金台帐!N932</f>
      </c>
      <c r="O932">
        <f>[1]资金台帐!O932&amp;""</f>
      </c>
      <c r="P932">
        <f>[1]资金台帐!P932&amp;""</f>
      </c>
      <c r="Q932">
        <f>[1]资金台帐!Q932&amp;""</f>
      </c>
      <c r="T932">
        <f>[1]资金台帐!T932&amp;""</f>
      </c>
      <c r="U932">
        <f>[1]资金台帐!U932&amp;""</f>
      </c>
      <c r="W932">
        <f>[1]资金台帐!W932&amp;""</f>
      </c>
      <c r="X932">
        <f>[1]资金台帐!X932&amp;""</f>
      </c>
      <c r="AB932">
        <f>[1]资金台帐!AB932</f>
        <v>0</v>
      </c>
      <c r="AC932">
        <f>[1]资金台帐!AC932</f>
        <v>0</v>
      </c>
      <c r="AD932">
        <f>[1]资金台帐!AD932</f>
        <v>0</v>
      </c>
      <c r="AJ932">
        <f>[1]资金台帐!AJ932</f>
        <v>0</v>
      </c>
      <c r="AK932">
        <f>[1]资金台帐!AK932</f>
        <v>0</v>
      </c>
      <c r="BA932" s="22">
        <f t="shared" si="0"/>
      </c>
      <c r="BG932" s="22">
        <f t="shared" si="1"/>
      </c>
      <c r="BH932" s="22">
        <f t="shared" si="2"/>
        <v>0</v>
      </c>
    </row>
    <row r="933">
      <c r="B933">
        <f>[1]资金台帐!B933&amp;""</f>
      </c>
      <c r="H933">
        <f>[1]资金台帐!H933&amp;""</f>
      </c>
      <c r="J933">
        <f>[1]资金台帐!J933&amp;""</f>
      </c>
      <c r="N933">
        <f>[1]资金台帐!N933</f>
      </c>
      <c r="O933">
        <f>[1]资金台帐!O933&amp;""</f>
      </c>
      <c r="P933">
        <f>[1]资金台帐!P933&amp;""</f>
      </c>
      <c r="Q933">
        <f>[1]资金台帐!Q933&amp;""</f>
      </c>
      <c r="T933">
        <f>[1]资金台帐!T933&amp;""</f>
      </c>
      <c r="U933">
        <f>[1]资金台帐!U933&amp;""</f>
      </c>
      <c r="W933">
        <f>[1]资金台帐!W933&amp;""</f>
      </c>
      <c r="X933">
        <f>[1]资金台帐!X933&amp;""</f>
      </c>
      <c r="AB933">
        <f>[1]资金台帐!AB933</f>
        <v>0</v>
      </c>
      <c r="AC933">
        <f>[1]资金台帐!AC933</f>
        <v>0</v>
      </c>
      <c r="AD933">
        <f>[1]资金台帐!AD933</f>
        <v>0</v>
      </c>
      <c r="AJ933">
        <f>[1]资金台帐!AJ933</f>
        <v>0</v>
      </c>
      <c r="AK933">
        <f>[1]资金台帐!AK933</f>
        <v>0</v>
      </c>
      <c r="BA933" s="22">
        <f t="shared" si="0"/>
      </c>
      <c r="BG933" s="22">
        <f t="shared" si="1"/>
      </c>
      <c r="BH933" s="22">
        <f t="shared" si="2"/>
        <v>0</v>
      </c>
    </row>
    <row r="934">
      <c r="B934">
        <f>[1]资金台帐!B934&amp;""</f>
      </c>
      <c r="H934">
        <f>[1]资金台帐!H934&amp;""</f>
      </c>
      <c r="J934">
        <f>[1]资金台帐!J934&amp;""</f>
      </c>
      <c r="N934">
        <f>[1]资金台帐!N934</f>
      </c>
      <c r="O934">
        <f>[1]资金台帐!O934&amp;""</f>
      </c>
      <c r="P934">
        <f>[1]资金台帐!P934&amp;""</f>
      </c>
      <c r="Q934">
        <f>[1]资金台帐!Q934&amp;""</f>
      </c>
      <c r="T934">
        <f>[1]资金台帐!T934&amp;""</f>
      </c>
      <c r="U934">
        <f>[1]资金台帐!U934&amp;""</f>
      </c>
      <c r="W934">
        <f>[1]资金台帐!W934&amp;""</f>
      </c>
      <c r="X934">
        <f>[1]资金台帐!X934&amp;""</f>
      </c>
      <c r="AB934">
        <f>[1]资金台帐!AB934</f>
        <v>0</v>
      </c>
      <c r="AC934">
        <f>[1]资金台帐!AC934</f>
        <v>0</v>
      </c>
      <c r="AD934">
        <f>[1]资金台帐!AD934</f>
        <v>0</v>
      </c>
      <c r="AJ934">
        <f>[1]资金台帐!AJ934</f>
        <v>0</v>
      </c>
      <c r="AK934">
        <f>[1]资金台帐!AK934</f>
        <v>0</v>
      </c>
      <c r="BA934" s="22">
        <f t="shared" si="0"/>
      </c>
      <c r="BG934" s="22">
        <f t="shared" si="1"/>
      </c>
      <c r="BH934" s="22">
        <f t="shared" si="2"/>
        <v>0</v>
      </c>
    </row>
    <row r="935">
      <c r="B935">
        <f>[1]资金台帐!B935&amp;""</f>
      </c>
      <c r="H935">
        <f>[1]资金台帐!H935&amp;""</f>
      </c>
      <c r="J935">
        <f>[1]资金台帐!J935&amp;""</f>
      </c>
      <c r="N935">
        <f>[1]资金台帐!N935</f>
      </c>
      <c r="O935">
        <f>[1]资金台帐!O935&amp;""</f>
      </c>
      <c r="P935">
        <f>[1]资金台帐!P935&amp;""</f>
      </c>
      <c r="Q935">
        <f>[1]资金台帐!Q935&amp;""</f>
      </c>
      <c r="T935">
        <f>[1]资金台帐!T935&amp;""</f>
      </c>
      <c r="U935">
        <f>[1]资金台帐!U935&amp;""</f>
      </c>
      <c r="W935">
        <f>[1]资金台帐!W935&amp;""</f>
      </c>
      <c r="X935">
        <f>[1]资金台帐!X935&amp;""</f>
      </c>
      <c r="AB935">
        <f>[1]资金台帐!AB935</f>
        <v>0</v>
      </c>
      <c r="AC935">
        <f>[1]资金台帐!AC935</f>
        <v>0</v>
      </c>
      <c r="AD935">
        <f>[1]资金台帐!AD935</f>
        <v>0</v>
      </c>
      <c r="AJ935">
        <f>[1]资金台帐!AJ935</f>
        <v>0</v>
      </c>
      <c r="AK935">
        <f>[1]资金台帐!AK935</f>
        <v>0</v>
      </c>
      <c r="BA935" s="22">
        <f t="shared" si="0"/>
      </c>
      <c r="BG935" s="22">
        <f t="shared" si="1"/>
      </c>
      <c r="BH935" s="22">
        <f t="shared" si="2"/>
        <v>0</v>
      </c>
    </row>
    <row r="936">
      <c r="B936">
        <f>[1]资金台帐!B936&amp;""</f>
      </c>
      <c r="H936">
        <f>[1]资金台帐!H936&amp;""</f>
      </c>
      <c r="J936">
        <f>[1]资金台帐!J936&amp;""</f>
      </c>
      <c r="N936">
        <f>[1]资金台帐!N936</f>
      </c>
      <c r="O936">
        <f>[1]资金台帐!O936&amp;""</f>
      </c>
      <c r="P936">
        <f>[1]资金台帐!P936&amp;""</f>
      </c>
      <c r="Q936">
        <f>[1]资金台帐!Q936&amp;""</f>
      </c>
      <c r="T936">
        <f>[1]资金台帐!T936&amp;""</f>
      </c>
      <c r="U936">
        <f>[1]资金台帐!U936&amp;""</f>
      </c>
      <c r="W936">
        <f>[1]资金台帐!W936&amp;""</f>
      </c>
      <c r="X936">
        <f>[1]资金台帐!X936&amp;""</f>
      </c>
      <c r="AB936">
        <f>[1]资金台帐!AB936</f>
        <v>0</v>
      </c>
      <c r="AC936">
        <f>[1]资金台帐!AC936</f>
        <v>0</v>
      </c>
      <c r="AD936">
        <f>[1]资金台帐!AD936</f>
        <v>0</v>
      </c>
      <c r="AJ936">
        <f>[1]资金台帐!AJ936</f>
        <v>0</v>
      </c>
      <c r="AK936">
        <f>[1]资金台帐!AK936</f>
        <v>0</v>
      </c>
      <c r="BA936" s="22">
        <f t="shared" si="0"/>
      </c>
      <c r="BG936" s="22">
        <f t="shared" si="1"/>
      </c>
      <c r="BH936" s="22">
        <f t="shared" si="2"/>
        <v>0</v>
      </c>
    </row>
    <row r="937">
      <c r="B937">
        <f>[1]资金台帐!B937&amp;""</f>
      </c>
      <c r="H937">
        <f>[1]资金台帐!H937&amp;""</f>
      </c>
      <c r="J937">
        <f>[1]资金台帐!J937&amp;""</f>
      </c>
      <c r="N937">
        <f>[1]资金台帐!N937</f>
      </c>
      <c r="O937">
        <f>[1]资金台帐!O937&amp;""</f>
      </c>
      <c r="P937">
        <f>[1]资金台帐!P937&amp;""</f>
      </c>
      <c r="Q937">
        <f>[1]资金台帐!Q937&amp;""</f>
      </c>
      <c r="T937">
        <f>[1]资金台帐!T937&amp;""</f>
      </c>
      <c r="U937">
        <f>[1]资金台帐!U937&amp;""</f>
      </c>
      <c r="W937">
        <f>[1]资金台帐!W937&amp;""</f>
      </c>
      <c r="X937">
        <f>[1]资金台帐!X937&amp;""</f>
      </c>
      <c r="AB937">
        <f>[1]资金台帐!AB937</f>
        <v>0</v>
      </c>
      <c r="AC937">
        <f>[1]资金台帐!AC937</f>
        <v>0</v>
      </c>
      <c r="AD937">
        <f>[1]资金台帐!AD937</f>
        <v>0</v>
      </c>
      <c r="AJ937">
        <f>[1]资金台帐!AJ937</f>
        <v>0</v>
      </c>
      <c r="AK937">
        <f>[1]资金台帐!AK937</f>
        <v>0</v>
      </c>
      <c r="BA937" s="22">
        <f t="shared" si="0"/>
      </c>
      <c r="BG937" s="22">
        <f t="shared" si="1"/>
      </c>
      <c r="BH937" s="22">
        <f t="shared" si="2"/>
        <v>0</v>
      </c>
    </row>
    <row r="938">
      <c r="B938">
        <f>[1]资金台帐!B938&amp;""</f>
      </c>
      <c r="H938">
        <f>[1]资金台帐!H938&amp;""</f>
      </c>
      <c r="J938">
        <f>[1]资金台帐!J938&amp;""</f>
      </c>
      <c r="N938">
        <f>[1]资金台帐!N938</f>
      </c>
      <c r="O938">
        <f>[1]资金台帐!O938&amp;""</f>
      </c>
      <c r="P938">
        <f>[1]资金台帐!P938&amp;""</f>
      </c>
      <c r="Q938">
        <f>[1]资金台帐!Q938&amp;""</f>
      </c>
      <c r="T938">
        <f>[1]资金台帐!T938&amp;""</f>
      </c>
      <c r="U938">
        <f>[1]资金台帐!U938&amp;""</f>
      </c>
      <c r="W938">
        <f>[1]资金台帐!W938&amp;""</f>
      </c>
      <c r="X938">
        <f>[1]资金台帐!X938&amp;""</f>
      </c>
      <c r="AB938">
        <f>[1]资金台帐!AB938</f>
        <v>0</v>
      </c>
      <c r="AC938">
        <f>[1]资金台帐!AC938</f>
        <v>0</v>
      </c>
      <c r="AD938">
        <f>[1]资金台帐!AD938</f>
        <v>0</v>
      </c>
      <c r="AJ938">
        <f>[1]资金台帐!AJ938</f>
        <v>0</v>
      </c>
      <c r="AK938">
        <f>[1]资金台帐!AK938</f>
        <v>0</v>
      </c>
      <c r="BA938" s="22">
        <f t="shared" si="0"/>
      </c>
      <c r="BG938" s="22">
        <f t="shared" si="1"/>
      </c>
      <c r="BH938" s="22">
        <f t="shared" si="2"/>
        <v>0</v>
      </c>
    </row>
    <row r="939">
      <c r="B939">
        <f>[1]资金台帐!B939&amp;""</f>
      </c>
      <c r="H939">
        <f>[1]资金台帐!H939&amp;""</f>
      </c>
      <c r="J939">
        <f>[1]资金台帐!J939&amp;""</f>
      </c>
      <c r="N939">
        <f>[1]资金台帐!N939</f>
      </c>
      <c r="O939">
        <f>[1]资金台帐!O939&amp;""</f>
      </c>
      <c r="P939">
        <f>[1]资金台帐!P939&amp;""</f>
      </c>
      <c r="Q939">
        <f>[1]资金台帐!Q939&amp;""</f>
      </c>
      <c r="T939">
        <f>[1]资金台帐!T939&amp;""</f>
      </c>
      <c r="U939">
        <f>[1]资金台帐!U939&amp;""</f>
      </c>
      <c r="W939">
        <f>[1]资金台帐!W939&amp;""</f>
      </c>
      <c r="X939">
        <f>[1]资金台帐!X939&amp;""</f>
      </c>
      <c r="AB939">
        <f>[1]资金台帐!AB939</f>
        <v>0</v>
      </c>
      <c r="AC939">
        <f>[1]资金台帐!AC939</f>
        <v>0</v>
      </c>
      <c r="AD939">
        <f>[1]资金台帐!AD939</f>
        <v>0</v>
      </c>
      <c r="AJ939">
        <f>[1]资金台帐!AJ939</f>
        <v>0</v>
      </c>
      <c r="AK939">
        <f>[1]资金台帐!AK939</f>
        <v>0</v>
      </c>
      <c r="BA939" s="22">
        <f t="shared" si="0"/>
      </c>
      <c r="BG939" s="22">
        <f t="shared" si="1"/>
      </c>
      <c r="BH939" s="22">
        <f t="shared" si="2"/>
        <v>0</v>
      </c>
    </row>
    <row r="940">
      <c r="B940">
        <f>[1]资金台帐!B940&amp;""</f>
      </c>
      <c r="H940">
        <f>[1]资金台帐!H940&amp;""</f>
      </c>
      <c r="J940">
        <f>[1]资金台帐!J940&amp;""</f>
      </c>
      <c r="N940">
        <f>[1]资金台帐!N940</f>
      </c>
      <c r="O940">
        <f>[1]资金台帐!O940&amp;""</f>
      </c>
      <c r="P940">
        <f>[1]资金台帐!P940&amp;""</f>
      </c>
      <c r="Q940">
        <f>[1]资金台帐!Q940&amp;""</f>
      </c>
      <c r="T940">
        <f>[1]资金台帐!T940&amp;""</f>
      </c>
      <c r="U940">
        <f>[1]资金台帐!U940&amp;""</f>
      </c>
      <c r="W940">
        <f>[1]资金台帐!W940&amp;""</f>
      </c>
      <c r="X940">
        <f>[1]资金台帐!X940&amp;""</f>
      </c>
      <c r="AB940">
        <f>[1]资金台帐!AB940</f>
        <v>0</v>
      </c>
      <c r="AC940">
        <f>[1]资金台帐!AC940</f>
        <v>0</v>
      </c>
      <c r="AD940">
        <f>[1]资金台帐!AD940</f>
        <v>0</v>
      </c>
      <c r="AJ940">
        <f>[1]资金台帐!AJ940</f>
        <v>0</v>
      </c>
      <c r="AK940">
        <f>[1]资金台帐!AK940</f>
        <v>0</v>
      </c>
      <c r="BA940" s="22">
        <f t="shared" si="0"/>
      </c>
      <c r="BG940" s="22">
        <f t="shared" si="1"/>
      </c>
      <c r="BH940" s="22">
        <f t="shared" si="2"/>
        <v>0</v>
      </c>
    </row>
    <row r="941">
      <c r="B941">
        <f>[1]资金台帐!B941&amp;""</f>
      </c>
      <c r="H941">
        <f>[1]资金台帐!H941&amp;""</f>
      </c>
      <c r="J941">
        <f>[1]资金台帐!J941&amp;""</f>
      </c>
      <c r="N941">
        <f>[1]资金台帐!N941</f>
      </c>
      <c r="O941">
        <f>[1]资金台帐!O941&amp;""</f>
      </c>
      <c r="P941">
        <f>[1]资金台帐!P941&amp;""</f>
      </c>
      <c r="Q941">
        <f>[1]资金台帐!Q941&amp;""</f>
      </c>
      <c r="T941">
        <f>[1]资金台帐!T941&amp;""</f>
      </c>
      <c r="U941">
        <f>[1]资金台帐!U941&amp;""</f>
      </c>
      <c r="W941">
        <f>[1]资金台帐!W941&amp;""</f>
      </c>
      <c r="X941">
        <f>[1]资金台帐!X941&amp;""</f>
      </c>
      <c r="AB941">
        <f>[1]资金台帐!AB941</f>
        <v>0</v>
      </c>
      <c r="AC941">
        <f>[1]资金台帐!AC941</f>
        <v>0</v>
      </c>
      <c r="AD941">
        <f>[1]资金台帐!AD941</f>
        <v>0</v>
      </c>
      <c r="AJ941">
        <f>[1]资金台帐!AJ941</f>
        <v>0</v>
      </c>
      <c r="AK941">
        <f>[1]资金台帐!AK941</f>
        <v>0</v>
      </c>
      <c r="BA941" s="22">
        <f t="shared" si="0"/>
      </c>
      <c r="BG941" s="22">
        <f t="shared" si="1"/>
      </c>
      <c r="BH941" s="22">
        <f t="shared" si="2"/>
        <v>0</v>
      </c>
    </row>
    <row r="942">
      <c r="B942">
        <f>[1]资金台帐!B942&amp;""</f>
      </c>
      <c r="H942">
        <f>[1]资金台帐!H942&amp;""</f>
      </c>
      <c r="J942">
        <f>[1]资金台帐!J942&amp;""</f>
      </c>
      <c r="N942">
        <f>[1]资金台帐!N942</f>
      </c>
      <c r="O942">
        <f>[1]资金台帐!O942&amp;""</f>
      </c>
      <c r="P942">
        <f>[1]资金台帐!P942&amp;""</f>
      </c>
      <c r="Q942">
        <f>[1]资金台帐!Q942&amp;""</f>
      </c>
      <c r="T942">
        <f>[1]资金台帐!T942&amp;""</f>
      </c>
      <c r="U942">
        <f>[1]资金台帐!U942&amp;""</f>
      </c>
      <c r="W942">
        <f>[1]资金台帐!W942&amp;""</f>
      </c>
      <c r="X942">
        <f>[1]资金台帐!X942&amp;""</f>
      </c>
      <c r="AB942">
        <f>[1]资金台帐!AB942</f>
        <v>0</v>
      </c>
      <c r="AC942">
        <f>[1]资金台帐!AC942</f>
        <v>0</v>
      </c>
      <c r="AD942">
        <f>[1]资金台帐!AD942</f>
        <v>0</v>
      </c>
      <c r="AJ942">
        <f>[1]资金台帐!AJ942</f>
        <v>0</v>
      </c>
      <c r="AK942">
        <f>[1]资金台帐!AK942</f>
        <v>0</v>
      </c>
      <c r="BA942" s="22">
        <f t="shared" si="0"/>
      </c>
      <c r="BG942" s="22">
        <f t="shared" si="1"/>
      </c>
      <c r="BH942" s="22">
        <f t="shared" si="2"/>
        <v>0</v>
      </c>
    </row>
    <row r="943">
      <c r="B943">
        <f>[1]资金台帐!B943&amp;""</f>
      </c>
      <c r="H943">
        <f>[1]资金台帐!H943&amp;""</f>
      </c>
      <c r="J943">
        <f>[1]资金台帐!J943&amp;""</f>
      </c>
      <c r="N943">
        <f>[1]资金台帐!N943</f>
      </c>
      <c r="O943">
        <f>[1]资金台帐!O943&amp;""</f>
      </c>
      <c r="P943">
        <f>[1]资金台帐!P943&amp;""</f>
      </c>
      <c r="Q943">
        <f>[1]资金台帐!Q943&amp;""</f>
      </c>
      <c r="T943">
        <f>[1]资金台帐!T943&amp;""</f>
      </c>
      <c r="U943">
        <f>[1]资金台帐!U943&amp;""</f>
      </c>
      <c r="W943">
        <f>[1]资金台帐!W943&amp;""</f>
      </c>
      <c r="X943">
        <f>[1]资金台帐!X943&amp;""</f>
      </c>
      <c r="AB943">
        <f>[1]资金台帐!AB943</f>
        <v>0</v>
      </c>
      <c r="AC943">
        <f>[1]资金台帐!AC943</f>
        <v>0</v>
      </c>
      <c r="AD943">
        <f>[1]资金台帐!AD943</f>
        <v>0</v>
      </c>
      <c r="AJ943">
        <f>[1]资金台帐!AJ943</f>
        <v>0</v>
      </c>
      <c r="AK943">
        <f>[1]资金台帐!AK943</f>
        <v>0</v>
      </c>
      <c r="BA943" s="22">
        <f t="shared" si="0"/>
      </c>
      <c r="BG943" s="22">
        <f t="shared" si="1"/>
      </c>
      <c r="BH943" s="22">
        <f t="shared" si="2"/>
        <v>0</v>
      </c>
    </row>
    <row r="944">
      <c r="B944">
        <f>[1]资金台帐!B944&amp;""</f>
      </c>
      <c r="H944">
        <f>[1]资金台帐!H944&amp;""</f>
      </c>
      <c r="J944">
        <f>[1]资金台帐!J944&amp;""</f>
      </c>
      <c r="N944">
        <f>[1]资金台帐!N944</f>
      </c>
      <c r="O944">
        <f>[1]资金台帐!O944&amp;""</f>
      </c>
      <c r="P944">
        <f>[1]资金台帐!P944&amp;""</f>
      </c>
      <c r="Q944">
        <f>[1]资金台帐!Q944&amp;""</f>
      </c>
      <c r="T944">
        <f>[1]资金台帐!T944&amp;""</f>
      </c>
      <c r="U944">
        <f>[1]资金台帐!U944&amp;""</f>
      </c>
      <c r="W944">
        <f>[1]资金台帐!W944&amp;""</f>
      </c>
      <c r="X944">
        <f>[1]资金台帐!X944&amp;""</f>
      </c>
      <c r="AB944">
        <f>[1]资金台帐!AB944</f>
        <v>0</v>
      </c>
      <c r="AC944">
        <f>[1]资金台帐!AC944</f>
        <v>0</v>
      </c>
      <c r="AD944">
        <f>[1]资金台帐!AD944</f>
        <v>0</v>
      </c>
      <c r="AJ944">
        <f>[1]资金台帐!AJ944</f>
        <v>0</v>
      </c>
      <c r="AK944">
        <f>[1]资金台帐!AK944</f>
        <v>0</v>
      </c>
      <c r="BA944" s="22">
        <f t="shared" si="0"/>
      </c>
      <c r="BG944" s="22">
        <f t="shared" si="1"/>
      </c>
      <c r="BH944" s="22">
        <f t="shared" si="2"/>
        <v>0</v>
      </c>
    </row>
    <row r="945">
      <c r="B945">
        <f>[1]资金台帐!B945&amp;""</f>
      </c>
      <c r="H945">
        <f>[1]资金台帐!H945&amp;""</f>
      </c>
      <c r="J945">
        <f>[1]资金台帐!J945&amp;""</f>
      </c>
      <c r="N945">
        <f>[1]资金台帐!N945</f>
      </c>
      <c r="O945">
        <f>[1]资金台帐!O945&amp;""</f>
      </c>
      <c r="P945">
        <f>[1]资金台帐!P945&amp;""</f>
      </c>
      <c r="Q945">
        <f>[1]资金台帐!Q945&amp;""</f>
      </c>
      <c r="T945">
        <f>[1]资金台帐!T945&amp;""</f>
      </c>
      <c r="U945">
        <f>[1]资金台帐!U945&amp;""</f>
      </c>
      <c r="W945">
        <f>[1]资金台帐!W945&amp;""</f>
      </c>
      <c r="X945">
        <f>[1]资金台帐!X945&amp;""</f>
      </c>
      <c r="AB945">
        <f>[1]资金台帐!AB945</f>
        <v>0</v>
      </c>
      <c r="AC945">
        <f>[1]资金台帐!AC945</f>
        <v>0</v>
      </c>
      <c r="AD945">
        <f>[1]资金台帐!AD945</f>
        <v>0</v>
      </c>
      <c r="AJ945">
        <f>[1]资金台帐!AJ945</f>
        <v>0</v>
      </c>
      <c r="AK945">
        <f>[1]资金台帐!AK945</f>
        <v>0</v>
      </c>
      <c r="BA945" s="22">
        <f t="shared" si="0"/>
      </c>
      <c r="BG945" s="22">
        <f t="shared" si="1"/>
      </c>
      <c r="BH945" s="22">
        <f t="shared" si="2"/>
        <v>0</v>
      </c>
    </row>
    <row r="946">
      <c r="B946">
        <f>[1]资金台帐!B946&amp;""</f>
      </c>
      <c r="H946">
        <f>[1]资金台帐!H946&amp;""</f>
      </c>
      <c r="J946">
        <f>[1]资金台帐!J946&amp;""</f>
      </c>
      <c r="N946">
        <f>[1]资金台帐!N946</f>
      </c>
      <c r="O946">
        <f>[1]资金台帐!O946&amp;""</f>
      </c>
      <c r="P946">
        <f>[1]资金台帐!P946&amp;""</f>
      </c>
      <c r="Q946">
        <f>[1]资金台帐!Q946&amp;""</f>
      </c>
      <c r="T946">
        <f>[1]资金台帐!T946&amp;""</f>
      </c>
      <c r="U946">
        <f>[1]资金台帐!U946&amp;""</f>
      </c>
      <c r="W946">
        <f>[1]资金台帐!W946&amp;""</f>
      </c>
      <c r="X946">
        <f>[1]资金台帐!X946&amp;""</f>
      </c>
      <c r="AB946">
        <f>[1]资金台帐!AB946</f>
        <v>0</v>
      </c>
      <c r="AC946">
        <f>[1]资金台帐!AC946</f>
        <v>0</v>
      </c>
      <c r="AD946">
        <f>[1]资金台帐!AD946</f>
        <v>0</v>
      </c>
      <c r="AJ946">
        <f>[1]资金台帐!AJ946</f>
        <v>0</v>
      </c>
      <c r="AK946">
        <f>[1]资金台帐!AK946</f>
        <v>0</v>
      </c>
      <c r="BA946" s="22">
        <f t="shared" si="0"/>
      </c>
      <c r="BG946" s="22">
        <f t="shared" si="1"/>
      </c>
      <c r="BH946" s="22">
        <f t="shared" si="2"/>
        <v>0</v>
      </c>
    </row>
    <row r="947">
      <c r="B947">
        <f>[1]资金台帐!B947&amp;""</f>
      </c>
      <c r="H947">
        <f>[1]资金台帐!H947&amp;""</f>
      </c>
      <c r="J947">
        <f>[1]资金台帐!J947&amp;""</f>
      </c>
      <c r="N947">
        <f>[1]资金台帐!N947</f>
      </c>
      <c r="O947">
        <f>[1]资金台帐!O947&amp;""</f>
      </c>
      <c r="P947">
        <f>[1]资金台帐!P947&amp;""</f>
      </c>
      <c r="Q947">
        <f>[1]资金台帐!Q947&amp;""</f>
      </c>
      <c r="T947">
        <f>[1]资金台帐!T947&amp;""</f>
      </c>
      <c r="U947">
        <f>[1]资金台帐!U947&amp;""</f>
      </c>
      <c r="W947">
        <f>[1]资金台帐!W947&amp;""</f>
      </c>
      <c r="X947">
        <f>[1]资金台帐!X947&amp;""</f>
      </c>
      <c r="AB947">
        <f>[1]资金台帐!AB947</f>
        <v>0</v>
      </c>
      <c r="AC947">
        <f>[1]资金台帐!AC947</f>
        <v>0</v>
      </c>
      <c r="AD947">
        <f>[1]资金台帐!AD947</f>
        <v>0</v>
      </c>
      <c r="AJ947">
        <f>[1]资金台帐!AJ947</f>
        <v>0</v>
      </c>
      <c r="AK947">
        <f>[1]资金台帐!AK947</f>
        <v>0</v>
      </c>
      <c r="BA947" s="22">
        <f t="shared" si="0"/>
      </c>
      <c r="BG947" s="22">
        <f t="shared" si="1"/>
      </c>
      <c r="BH947" s="22">
        <f t="shared" si="2"/>
        <v>0</v>
      </c>
    </row>
    <row r="948">
      <c r="B948">
        <f>[1]资金台帐!B948&amp;""</f>
      </c>
      <c r="H948">
        <f>[1]资金台帐!H948&amp;""</f>
      </c>
      <c r="J948">
        <f>[1]资金台帐!J948&amp;""</f>
      </c>
      <c r="N948">
        <f>[1]资金台帐!N948</f>
      </c>
      <c r="O948">
        <f>[1]资金台帐!O948&amp;""</f>
      </c>
      <c r="P948">
        <f>[1]资金台帐!P948&amp;""</f>
      </c>
      <c r="Q948">
        <f>[1]资金台帐!Q948&amp;""</f>
      </c>
      <c r="T948">
        <f>[1]资金台帐!T948&amp;""</f>
      </c>
      <c r="U948">
        <f>[1]资金台帐!U948&amp;""</f>
      </c>
      <c r="W948">
        <f>[1]资金台帐!W948&amp;""</f>
      </c>
      <c r="X948">
        <f>[1]资金台帐!X948&amp;""</f>
      </c>
      <c r="AB948">
        <f>[1]资金台帐!AB948</f>
        <v>0</v>
      </c>
      <c r="AC948">
        <f>[1]资金台帐!AC948</f>
        <v>0</v>
      </c>
      <c r="AD948">
        <f>[1]资金台帐!AD948</f>
        <v>0</v>
      </c>
      <c r="AJ948">
        <f>[1]资金台帐!AJ948</f>
        <v>0</v>
      </c>
      <c r="AK948">
        <f>[1]资金台帐!AK948</f>
        <v>0</v>
      </c>
      <c r="BA948" s="22">
        <f t="shared" si="0"/>
      </c>
      <c r="BG948" s="22">
        <f t="shared" si="1"/>
      </c>
      <c r="BH948" s="22">
        <f t="shared" si="2"/>
        <v>0</v>
      </c>
    </row>
    <row r="949">
      <c r="B949">
        <f>[1]资金台帐!B949&amp;""</f>
      </c>
      <c r="H949">
        <f>[1]资金台帐!H949&amp;""</f>
      </c>
      <c r="J949">
        <f>[1]资金台帐!J949&amp;""</f>
      </c>
      <c r="N949">
        <f>[1]资金台帐!N949</f>
      </c>
      <c r="O949">
        <f>[1]资金台帐!O949&amp;""</f>
      </c>
      <c r="P949">
        <f>[1]资金台帐!P949&amp;""</f>
      </c>
      <c r="Q949">
        <f>[1]资金台帐!Q949&amp;""</f>
      </c>
      <c r="T949">
        <f>[1]资金台帐!T949&amp;""</f>
      </c>
      <c r="U949">
        <f>[1]资金台帐!U949&amp;""</f>
      </c>
      <c r="W949">
        <f>[1]资金台帐!W949&amp;""</f>
      </c>
      <c r="X949">
        <f>[1]资金台帐!X949&amp;""</f>
      </c>
      <c r="AB949">
        <f>[1]资金台帐!AB949</f>
        <v>0</v>
      </c>
      <c r="AC949">
        <f>[1]资金台帐!AC949</f>
        <v>0</v>
      </c>
      <c r="AD949">
        <f>[1]资金台帐!AD949</f>
        <v>0</v>
      </c>
      <c r="AJ949">
        <f>[1]资金台帐!AJ949</f>
        <v>0</v>
      </c>
      <c r="AK949">
        <f>[1]资金台帐!AK949</f>
        <v>0</v>
      </c>
      <c r="BA949" s="22">
        <f t="shared" si="0"/>
      </c>
      <c r="BG949" s="22">
        <f t="shared" si="1"/>
      </c>
      <c r="BH949" s="22">
        <f t="shared" si="2"/>
        <v>0</v>
      </c>
    </row>
    <row r="950">
      <c r="B950">
        <f>[1]资金台帐!B950&amp;""</f>
      </c>
      <c r="H950">
        <f>[1]资金台帐!H950&amp;""</f>
      </c>
      <c r="J950">
        <f>[1]资金台帐!J950&amp;""</f>
      </c>
      <c r="N950">
        <f>[1]资金台帐!N950</f>
      </c>
      <c r="O950">
        <f>[1]资金台帐!O950&amp;""</f>
      </c>
      <c r="P950">
        <f>[1]资金台帐!P950&amp;""</f>
      </c>
      <c r="Q950">
        <f>[1]资金台帐!Q950&amp;""</f>
      </c>
      <c r="T950">
        <f>[1]资金台帐!T950&amp;""</f>
      </c>
      <c r="U950">
        <f>[1]资金台帐!U950&amp;""</f>
      </c>
      <c r="W950">
        <f>[1]资金台帐!W950&amp;""</f>
      </c>
      <c r="X950">
        <f>[1]资金台帐!X950&amp;""</f>
      </c>
      <c r="AB950">
        <f>[1]资金台帐!AB950</f>
        <v>0</v>
      </c>
      <c r="AC950">
        <f>[1]资金台帐!AC950</f>
        <v>0</v>
      </c>
      <c r="AD950">
        <f>[1]资金台帐!AD950</f>
        <v>0</v>
      </c>
      <c r="AJ950">
        <f>[1]资金台帐!AJ950</f>
        <v>0</v>
      </c>
      <c r="AK950">
        <f>[1]资金台帐!AK950</f>
        <v>0</v>
      </c>
      <c r="BA950" s="22">
        <f t="shared" si="0"/>
      </c>
      <c r="BG950" s="22">
        <f t="shared" si="1"/>
      </c>
      <c r="BH950" s="22">
        <f t="shared" si="2"/>
        <v>0</v>
      </c>
    </row>
    <row r="951">
      <c r="B951">
        <f>[1]资金台帐!B951&amp;""</f>
      </c>
      <c r="H951">
        <f>[1]资金台帐!H951&amp;""</f>
      </c>
      <c r="J951">
        <f>[1]资金台帐!J951&amp;""</f>
      </c>
      <c r="N951">
        <f>[1]资金台帐!N951</f>
      </c>
      <c r="O951">
        <f>[1]资金台帐!O951&amp;""</f>
      </c>
      <c r="P951">
        <f>[1]资金台帐!P951&amp;""</f>
      </c>
      <c r="Q951">
        <f>[1]资金台帐!Q951&amp;""</f>
      </c>
      <c r="T951">
        <f>[1]资金台帐!T951&amp;""</f>
      </c>
      <c r="U951">
        <f>[1]资金台帐!U951&amp;""</f>
      </c>
      <c r="W951">
        <f>[1]资金台帐!W951&amp;""</f>
      </c>
      <c r="X951">
        <f>[1]资金台帐!X951&amp;""</f>
      </c>
      <c r="AB951">
        <f>[1]资金台帐!AB951</f>
        <v>0</v>
      </c>
      <c r="AC951">
        <f>[1]资金台帐!AC951</f>
        <v>0</v>
      </c>
      <c r="AD951">
        <f>[1]资金台帐!AD951</f>
        <v>0</v>
      </c>
      <c r="AJ951">
        <f>[1]资金台帐!AJ951</f>
        <v>0</v>
      </c>
      <c r="AK951">
        <f>[1]资金台帐!AK951</f>
        <v>0</v>
      </c>
      <c r="BA951" s="22">
        <f t="shared" si="0"/>
      </c>
      <c r="BG951" s="22">
        <f t="shared" si="1"/>
      </c>
      <c r="BH951" s="22">
        <f t="shared" si="2"/>
        <v>0</v>
      </c>
    </row>
    <row r="952">
      <c r="B952">
        <f>[1]资金台帐!B952&amp;""</f>
      </c>
      <c r="H952">
        <f>[1]资金台帐!H952&amp;""</f>
      </c>
      <c r="J952">
        <f>[1]资金台帐!J952&amp;""</f>
      </c>
      <c r="N952">
        <f>[1]资金台帐!N952</f>
      </c>
      <c r="O952">
        <f>[1]资金台帐!O952&amp;""</f>
      </c>
      <c r="P952">
        <f>[1]资金台帐!P952&amp;""</f>
      </c>
      <c r="Q952">
        <f>[1]资金台帐!Q952&amp;""</f>
      </c>
      <c r="T952">
        <f>[1]资金台帐!T952&amp;""</f>
      </c>
      <c r="U952">
        <f>[1]资金台帐!U952&amp;""</f>
      </c>
      <c r="W952">
        <f>[1]资金台帐!W952&amp;""</f>
      </c>
      <c r="X952">
        <f>[1]资金台帐!X952&amp;""</f>
      </c>
      <c r="AB952">
        <f>[1]资金台帐!AB952</f>
        <v>0</v>
      </c>
      <c r="AC952">
        <f>[1]资金台帐!AC952</f>
        <v>0</v>
      </c>
      <c r="AD952">
        <f>[1]资金台帐!AD952</f>
        <v>0</v>
      </c>
      <c r="AJ952">
        <f>[1]资金台帐!AJ952</f>
        <v>0</v>
      </c>
      <c r="AK952">
        <f>[1]资金台帐!AK952</f>
        <v>0</v>
      </c>
      <c r="BA952" s="22">
        <f t="shared" si="0"/>
      </c>
      <c r="BG952" s="22">
        <f t="shared" si="1"/>
      </c>
      <c r="BH952" s="22">
        <f t="shared" si="2"/>
        <v>0</v>
      </c>
    </row>
    <row r="953">
      <c r="B953">
        <f>[1]资金台帐!B953&amp;""</f>
      </c>
      <c r="H953">
        <f>[1]资金台帐!H953&amp;""</f>
      </c>
      <c r="J953">
        <f>[1]资金台帐!J953&amp;""</f>
      </c>
      <c r="N953">
        <f>[1]资金台帐!N953</f>
      </c>
      <c r="O953">
        <f>[1]资金台帐!O953&amp;""</f>
      </c>
      <c r="P953">
        <f>[1]资金台帐!P953&amp;""</f>
      </c>
      <c r="Q953">
        <f>[1]资金台帐!Q953&amp;""</f>
      </c>
      <c r="T953">
        <f>[1]资金台帐!T953&amp;""</f>
      </c>
      <c r="U953">
        <f>[1]资金台帐!U953&amp;""</f>
      </c>
      <c r="W953">
        <f>[1]资金台帐!W953&amp;""</f>
      </c>
      <c r="X953">
        <f>[1]资金台帐!X953&amp;""</f>
      </c>
      <c r="AB953">
        <f>[1]资金台帐!AB953</f>
        <v>0</v>
      </c>
      <c r="AC953">
        <f>[1]资金台帐!AC953</f>
        <v>0</v>
      </c>
      <c r="AD953">
        <f>[1]资金台帐!AD953</f>
        <v>0</v>
      </c>
      <c r="AJ953">
        <f>[1]资金台帐!AJ953</f>
        <v>0</v>
      </c>
      <c r="AK953">
        <f>[1]资金台帐!AK953</f>
        <v>0</v>
      </c>
      <c r="BA953" s="22">
        <f t="shared" si="0"/>
      </c>
      <c r="BG953" s="22">
        <f t="shared" si="1"/>
      </c>
      <c r="BH953" s="22">
        <f t="shared" si="2"/>
        <v>0</v>
      </c>
    </row>
    <row r="954">
      <c r="B954">
        <f>[1]资金台帐!B954&amp;""</f>
      </c>
      <c r="H954">
        <f>[1]资金台帐!H954&amp;""</f>
      </c>
      <c r="J954">
        <f>[1]资金台帐!J954&amp;""</f>
      </c>
      <c r="N954">
        <f>[1]资金台帐!N954</f>
      </c>
      <c r="O954">
        <f>[1]资金台帐!O954&amp;""</f>
      </c>
      <c r="P954">
        <f>[1]资金台帐!P954&amp;""</f>
      </c>
      <c r="Q954">
        <f>[1]资金台帐!Q954&amp;""</f>
      </c>
      <c r="T954">
        <f>[1]资金台帐!T954&amp;""</f>
      </c>
      <c r="U954">
        <f>[1]资金台帐!U954&amp;""</f>
      </c>
      <c r="W954">
        <f>[1]资金台帐!W954&amp;""</f>
      </c>
      <c r="X954">
        <f>[1]资金台帐!X954&amp;""</f>
      </c>
      <c r="AB954">
        <f>[1]资金台帐!AB954</f>
        <v>0</v>
      </c>
      <c r="AC954">
        <f>[1]资金台帐!AC954</f>
        <v>0</v>
      </c>
      <c r="AD954">
        <f>[1]资金台帐!AD954</f>
        <v>0</v>
      </c>
      <c r="AJ954">
        <f>[1]资金台帐!AJ954</f>
        <v>0</v>
      </c>
      <c r="AK954">
        <f>[1]资金台帐!AK954</f>
        <v>0</v>
      </c>
      <c r="BA954" s="22">
        <f t="shared" si="0"/>
      </c>
      <c r="BG954" s="22">
        <f t="shared" si="1"/>
      </c>
      <c r="BH954" s="22">
        <f t="shared" si="2"/>
        <v>0</v>
      </c>
    </row>
    <row r="955">
      <c r="B955">
        <f>[1]资金台帐!B955&amp;""</f>
      </c>
      <c r="H955">
        <f>[1]资金台帐!H955&amp;""</f>
      </c>
      <c r="J955">
        <f>[1]资金台帐!J955&amp;""</f>
      </c>
      <c r="N955">
        <f>[1]资金台帐!N955</f>
      </c>
      <c r="O955">
        <f>[1]资金台帐!O955&amp;""</f>
      </c>
      <c r="P955">
        <f>[1]资金台帐!P955&amp;""</f>
      </c>
      <c r="Q955">
        <f>[1]资金台帐!Q955&amp;""</f>
      </c>
      <c r="T955">
        <f>[1]资金台帐!T955&amp;""</f>
      </c>
      <c r="U955">
        <f>[1]资金台帐!U955&amp;""</f>
      </c>
      <c r="W955">
        <f>[1]资金台帐!W955&amp;""</f>
      </c>
      <c r="X955">
        <f>[1]资金台帐!X955&amp;""</f>
      </c>
      <c r="AB955">
        <f>[1]资金台帐!AB955</f>
        <v>0</v>
      </c>
      <c r="AC955">
        <f>[1]资金台帐!AC955</f>
        <v>0</v>
      </c>
      <c r="AD955">
        <f>[1]资金台帐!AD955</f>
        <v>0</v>
      </c>
      <c r="AJ955">
        <f>[1]资金台帐!AJ955</f>
        <v>0</v>
      </c>
      <c r="AK955">
        <f>[1]资金台帐!AK955</f>
        <v>0</v>
      </c>
      <c r="BA955" s="22">
        <f t="shared" si="0"/>
      </c>
      <c r="BG955" s="22">
        <f t="shared" si="1"/>
      </c>
      <c r="BH955" s="22">
        <f t="shared" si="2"/>
        <v>0</v>
      </c>
    </row>
    <row r="956">
      <c r="B956">
        <f>[1]资金台帐!B956&amp;""</f>
      </c>
      <c r="H956">
        <f>[1]资金台帐!H956&amp;""</f>
      </c>
      <c r="J956">
        <f>[1]资金台帐!J956&amp;""</f>
      </c>
      <c r="N956">
        <f>[1]资金台帐!N956</f>
      </c>
      <c r="O956">
        <f>[1]资金台帐!O956&amp;""</f>
      </c>
      <c r="P956">
        <f>[1]资金台帐!P956&amp;""</f>
      </c>
      <c r="Q956">
        <f>[1]资金台帐!Q956&amp;""</f>
      </c>
      <c r="T956">
        <f>[1]资金台帐!T956&amp;""</f>
      </c>
      <c r="U956">
        <f>[1]资金台帐!U956&amp;""</f>
      </c>
      <c r="W956">
        <f>[1]资金台帐!W956&amp;""</f>
      </c>
      <c r="X956">
        <f>[1]资金台帐!X956&amp;""</f>
      </c>
      <c r="AB956">
        <f>[1]资金台帐!AB956</f>
        <v>0</v>
      </c>
      <c r="AC956">
        <f>[1]资金台帐!AC956</f>
        <v>0</v>
      </c>
      <c r="AD956">
        <f>[1]资金台帐!AD956</f>
        <v>0</v>
      </c>
      <c r="AJ956">
        <f>[1]资金台帐!AJ956</f>
        <v>0</v>
      </c>
      <c r="AK956">
        <f>[1]资金台帐!AK956</f>
        <v>0</v>
      </c>
      <c r="BA956" s="22">
        <f t="shared" si="0"/>
      </c>
      <c r="BG956" s="22">
        <f t="shared" si="1"/>
      </c>
      <c r="BH956" s="22">
        <f t="shared" si="2"/>
        <v>0</v>
      </c>
    </row>
    <row r="957">
      <c r="B957">
        <f>[1]资金台帐!B957&amp;""</f>
      </c>
      <c r="H957">
        <f>[1]资金台帐!H957&amp;""</f>
      </c>
      <c r="J957">
        <f>[1]资金台帐!J957&amp;""</f>
      </c>
      <c r="N957">
        <f>[1]资金台帐!N957</f>
      </c>
      <c r="O957">
        <f>[1]资金台帐!O957&amp;""</f>
      </c>
      <c r="P957">
        <f>[1]资金台帐!P957&amp;""</f>
      </c>
      <c r="Q957">
        <f>[1]资金台帐!Q957&amp;""</f>
      </c>
      <c r="T957">
        <f>[1]资金台帐!T957&amp;""</f>
      </c>
      <c r="U957">
        <f>[1]资金台帐!U957&amp;""</f>
      </c>
      <c r="W957">
        <f>[1]资金台帐!W957&amp;""</f>
      </c>
      <c r="X957">
        <f>[1]资金台帐!X957&amp;""</f>
      </c>
      <c r="AB957">
        <f>[1]资金台帐!AB957</f>
        <v>0</v>
      </c>
      <c r="AC957">
        <f>[1]资金台帐!AC957</f>
        <v>0</v>
      </c>
      <c r="AD957">
        <f>[1]资金台帐!AD957</f>
        <v>0</v>
      </c>
      <c r="AJ957">
        <f>[1]资金台帐!AJ957</f>
        <v>0</v>
      </c>
      <c r="AK957">
        <f>[1]资金台帐!AK957</f>
        <v>0</v>
      </c>
      <c r="BA957" s="22">
        <f t="shared" si="0"/>
      </c>
      <c r="BG957" s="22">
        <f t="shared" si="1"/>
      </c>
      <c r="BH957" s="22">
        <f t="shared" si="2"/>
        <v>0</v>
      </c>
    </row>
    <row r="958">
      <c r="B958">
        <f>[1]资金台帐!B958&amp;""</f>
      </c>
      <c r="H958">
        <f>[1]资金台帐!H958&amp;""</f>
      </c>
      <c r="J958">
        <f>[1]资金台帐!J958&amp;""</f>
      </c>
      <c r="N958">
        <f>[1]资金台帐!N958</f>
      </c>
      <c r="O958">
        <f>[1]资金台帐!O958&amp;""</f>
      </c>
      <c r="P958">
        <f>[1]资金台帐!P958&amp;""</f>
      </c>
      <c r="Q958">
        <f>[1]资金台帐!Q958&amp;""</f>
      </c>
      <c r="T958">
        <f>[1]资金台帐!T958&amp;""</f>
      </c>
      <c r="U958">
        <f>[1]资金台帐!U958&amp;""</f>
      </c>
      <c r="W958">
        <f>[1]资金台帐!W958&amp;""</f>
      </c>
      <c r="X958">
        <f>[1]资金台帐!X958&amp;""</f>
      </c>
      <c r="AB958">
        <f>[1]资金台帐!AB958</f>
        <v>0</v>
      </c>
      <c r="AC958">
        <f>[1]资金台帐!AC958</f>
        <v>0</v>
      </c>
      <c r="AD958">
        <f>[1]资金台帐!AD958</f>
        <v>0</v>
      </c>
      <c r="AJ958">
        <f>[1]资金台帐!AJ958</f>
        <v>0</v>
      </c>
      <c r="AK958">
        <f>[1]资金台帐!AK958</f>
        <v>0</v>
      </c>
      <c r="BA958" s="22">
        <f t="shared" si="0"/>
      </c>
      <c r="BG958" s="22">
        <f t="shared" si="1"/>
      </c>
      <c r="BH958" s="22">
        <f t="shared" si="2"/>
        <v>0</v>
      </c>
    </row>
    <row r="959">
      <c r="B959">
        <f>[1]资金台帐!B959&amp;""</f>
      </c>
      <c r="H959">
        <f>[1]资金台帐!H959&amp;""</f>
      </c>
      <c r="J959">
        <f>[1]资金台帐!J959&amp;""</f>
      </c>
      <c r="N959">
        <f>[1]资金台帐!N959</f>
      </c>
      <c r="O959">
        <f>[1]资金台帐!O959&amp;""</f>
      </c>
      <c r="P959">
        <f>[1]资金台帐!P959&amp;""</f>
      </c>
      <c r="Q959">
        <f>[1]资金台帐!Q959&amp;""</f>
      </c>
      <c r="T959">
        <f>[1]资金台帐!T959&amp;""</f>
      </c>
      <c r="U959">
        <f>[1]资金台帐!U959&amp;""</f>
      </c>
      <c r="W959">
        <f>[1]资金台帐!W959&amp;""</f>
      </c>
      <c r="X959">
        <f>[1]资金台帐!X959&amp;""</f>
      </c>
      <c r="AB959">
        <f>[1]资金台帐!AB959</f>
        <v>0</v>
      </c>
      <c r="AC959">
        <f>[1]资金台帐!AC959</f>
        <v>0</v>
      </c>
      <c r="AD959">
        <f>[1]资金台帐!AD959</f>
        <v>0</v>
      </c>
      <c r="AJ959">
        <f>[1]资金台帐!AJ959</f>
        <v>0</v>
      </c>
      <c r="AK959">
        <f>[1]资金台帐!AK959</f>
        <v>0</v>
      </c>
      <c r="BA959" s="22">
        <f t="shared" si="0"/>
      </c>
      <c r="BG959" s="22">
        <f t="shared" si="1"/>
      </c>
      <c r="BH959" s="22">
        <f t="shared" si="2"/>
        <v>0</v>
      </c>
    </row>
    <row r="960">
      <c r="B960">
        <f>[1]资金台帐!B960&amp;""</f>
      </c>
      <c r="H960">
        <f>[1]资金台帐!H960&amp;""</f>
      </c>
      <c r="J960">
        <f>[1]资金台帐!J960&amp;""</f>
      </c>
      <c r="N960">
        <f>[1]资金台帐!N960</f>
      </c>
      <c r="O960">
        <f>[1]资金台帐!O960&amp;""</f>
      </c>
      <c r="P960">
        <f>[1]资金台帐!P960&amp;""</f>
      </c>
      <c r="Q960">
        <f>[1]资金台帐!Q960&amp;""</f>
      </c>
      <c r="T960">
        <f>[1]资金台帐!T960&amp;""</f>
      </c>
      <c r="U960">
        <f>[1]资金台帐!U960&amp;""</f>
      </c>
      <c r="W960">
        <f>[1]资金台帐!W960&amp;""</f>
      </c>
      <c r="X960">
        <f>[1]资金台帐!X960&amp;""</f>
      </c>
      <c r="AB960">
        <f>[1]资金台帐!AB960</f>
        <v>0</v>
      </c>
      <c r="AC960">
        <f>[1]资金台帐!AC960</f>
        <v>0</v>
      </c>
      <c r="AD960">
        <f>[1]资金台帐!AD960</f>
        <v>0</v>
      </c>
      <c r="AJ960">
        <f>[1]资金台帐!AJ960</f>
        <v>0</v>
      </c>
      <c r="AK960">
        <f>[1]资金台帐!AK960</f>
        <v>0</v>
      </c>
      <c r="BA960" s="22">
        <f t="shared" si="0"/>
      </c>
      <c r="BG960" s="22">
        <f t="shared" si="1"/>
      </c>
      <c r="BH960" s="22">
        <f t="shared" si="2"/>
        <v>0</v>
      </c>
    </row>
    <row r="961">
      <c r="B961">
        <f>[1]资金台帐!B961&amp;""</f>
      </c>
      <c r="H961">
        <f>[1]资金台帐!H961&amp;""</f>
      </c>
      <c r="J961">
        <f>[1]资金台帐!J961&amp;""</f>
      </c>
      <c r="N961">
        <f>[1]资金台帐!N961</f>
      </c>
      <c r="O961">
        <f>[1]资金台帐!O961&amp;""</f>
      </c>
      <c r="P961">
        <f>[1]资金台帐!P961&amp;""</f>
      </c>
      <c r="Q961">
        <f>[1]资金台帐!Q961&amp;""</f>
      </c>
      <c r="T961">
        <f>[1]资金台帐!T961&amp;""</f>
      </c>
      <c r="U961">
        <f>[1]资金台帐!U961&amp;""</f>
      </c>
      <c r="W961">
        <f>[1]资金台帐!W961&amp;""</f>
      </c>
      <c r="X961">
        <f>[1]资金台帐!X961&amp;""</f>
      </c>
      <c r="AB961">
        <f>[1]资金台帐!AB961</f>
        <v>0</v>
      </c>
      <c r="AC961">
        <f>[1]资金台帐!AC961</f>
        <v>0</v>
      </c>
      <c r="AD961">
        <f>[1]资金台帐!AD961</f>
        <v>0</v>
      </c>
      <c r="AJ961">
        <f>[1]资金台帐!AJ961</f>
        <v>0</v>
      </c>
      <c r="AK961">
        <f>[1]资金台帐!AK961</f>
        <v>0</v>
      </c>
      <c r="BA961" s="22">
        <f t="shared" si="0"/>
      </c>
      <c r="BG961" s="22">
        <f t="shared" si="1"/>
      </c>
      <c r="BH961" s="22">
        <f t="shared" si="2"/>
        <v>0</v>
      </c>
    </row>
    <row r="962">
      <c r="B962">
        <f>[1]资金台帐!B962&amp;""</f>
      </c>
      <c r="H962">
        <f>[1]资金台帐!H962&amp;""</f>
      </c>
      <c r="J962">
        <f>[1]资金台帐!J962&amp;""</f>
      </c>
      <c r="N962">
        <f>[1]资金台帐!N962</f>
      </c>
      <c r="O962">
        <f>[1]资金台帐!O962&amp;""</f>
      </c>
      <c r="P962">
        <f>[1]资金台帐!P962&amp;""</f>
      </c>
      <c r="Q962">
        <f>[1]资金台帐!Q962&amp;""</f>
      </c>
      <c r="T962">
        <f>[1]资金台帐!T962&amp;""</f>
      </c>
      <c r="U962">
        <f>[1]资金台帐!U962&amp;""</f>
      </c>
      <c r="W962">
        <f>[1]资金台帐!W962&amp;""</f>
      </c>
      <c r="X962">
        <f>[1]资金台帐!X962&amp;""</f>
      </c>
      <c r="AB962">
        <f>[1]资金台帐!AB962</f>
        <v>0</v>
      </c>
      <c r="AC962">
        <f>[1]资金台帐!AC962</f>
        <v>0</v>
      </c>
      <c r="AD962">
        <f>[1]资金台帐!AD962</f>
        <v>0</v>
      </c>
      <c r="AJ962">
        <f>[1]资金台帐!AJ962</f>
        <v>0</v>
      </c>
      <c r="AK962">
        <f>[1]资金台帐!AK962</f>
        <v>0</v>
      </c>
      <c r="BA962" s="22">
        <f t="shared" si="0"/>
      </c>
      <c r="BG962" s="22">
        <f t="shared" si="1"/>
      </c>
      <c r="BH962" s="22">
        <f t="shared" si="2"/>
        <v>0</v>
      </c>
    </row>
    <row r="963">
      <c r="B963">
        <f>[1]资金台帐!B963&amp;""</f>
      </c>
      <c r="H963">
        <f>[1]资金台帐!H963&amp;""</f>
      </c>
      <c r="J963">
        <f>[1]资金台帐!J963&amp;""</f>
      </c>
      <c r="N963">
        <f>[1]资金台帐!N963</f>
      </c>
      <c r="O963">
        <f>[1]资金台帐!O963&amp;""</f>
      </c>
      <c r="P963">
        <f>[1]资金台帐!P963&amp;""</f>
      </c>
      <c r="Q963">
        <f>[1]资金台帐!Q963&amp;""</f>
      </c>
      <c r="T963">
        <f>[1]资金台帐!T963&amp;""</f>
      </c>
      <c r="U963">
        <f>[1]资金台帐!U963&amp;""</f>
      </c>
      <c r="W963">
        <f>[1]资金台帐!W963&amp;""</f>
      </c>
      <c r="X963">
        <f>[1]资金台帐!X963&amp;""</f>
      </c>
      <c r="AB963">
        <f>[1]资金台帐!AB963</f>
        <v>0</v>
      </c>
      <c r="AC963">
        <f>[1]资金台帐!AC963</f>
        <v>0</v>
      </c>
      <c r="AD963">
        <f>[1]资金台帐!AD963</f>
        <v>0</v>
      </c>
      <c r="AJ963">
        <f>[1]资金台帐!AJ963</f>
        <v>0</v>
      </c>
      <c r="AK963">
        <f>[1]资金台帐!AK963</f>
        <v>0</v>
      </c>
      <c r="BA963" s="22">
        <f t="shared" si="0"/>
      </c>
      <c r="BG963" s="22">
        <f t="shared" si="1"/>
      </c>
      <c r="BH963" s="22">
        <f t="shared" si="2"/>
        <v>0</v>
      </c>
    </row>
    <row r="964">
      <c r="B964">
        <f>[1]资金台帐!B964&amp;""</f>
      </c>
      <c r="H964">
        <f>[1]资金台帐!H964&amp;""</f>
      </c>
      <c r="J964">
        <f>[1]资金台帐!J964&amp;""</f>
      </c>
      <c r="N964">
        <f>[1]资金台帐!N964</f>
      </c>
      <c r="O964">
        <f>[1]资金台帐!O964&amp;""</f>
      </c>
      <c r="P964">
        <f>[1]资金台帐!P964&amp;""</f>
      </c>
      <c r="Q964">
        <f>[1]资金台帐!Q964&amp;""</f>
      </c>
      <c r="T964">
        <f>[1]资金台帐!T964&amp;""</f>
      </c>
      <c r="U964">
        <f>[1]资金台帐!U964&amp;""</f>
      </c>
      <c r="W964">
        <f>[1]资金台帐!W964&amp;""</f>
      </c>
      <c r="X964">
        <f>[1]资金台帐!X964&amp;""</f>
      </c>
      <c r="AB964">
        <f>[1]资金台帐!AB964</f>
        <v>0</v>
      </c>
      <c r="AC964">
        <f>[1]资金台帐!AC964</f>
        <v>0</v>
      </c>
      <c r="AD964">
        <f>[1]资金台帐!AD964</f>
        <v>0</v>
      </c>
      <c r="AJ964">
        <f>[1]资金台帐!AJ964</f>
        <v>0</v>
      </c>
      <c r="AK964">
        <f>[1]资金台帐!AK964</f>
        <v>0</v>
      </c>
      <c r="BA964" s="22">
        <f t="shared" si="0"/>
      </c>
      <c r="BG964" s="22">
        <f t="shared" si="1"/>
      </c>
      <c r="BH964" s="22">
        <f t="shared" si="2"/>
        <v>0</v>
      </c>
    </row>
    <row r="965">
      <c r="B965">
        <f>[1]资金台帐!B965&amp;""</f>
      </c>
      <c r="H965">
        <f>[1]资金台帐!H965&amp;""</f>
      </c>
      <c r="J965">
        <f>[1]资金台帐!J965&amp;""</f>
      </c>
      <c r="N965">
        <f>[1]资金台帐!N965</f>
      </c>
      <c r="O965">
        <f>[1]资金台帐!O965&amp;""</f>
      </c>
      <c r="P965">
        <f>[1]资金台帐!P965&amp;""</f>
      </c>
      <c r="Q965">
        <f>[1]资金台帐!Q965&amp;""</f>
      </c>
      <c r="T965">
        <f>[1]资金台帐!T965&amp;""</f>
      </c>
      <c r="U965">
        <f>[1]资金台帐!U965&amp;""</f>
      </c>
      <c r="W965">
        <f>[1]资金台帐!W965&amp;""</f>
      </c>
      <c r="X965">
        <f>[1]资金台帐!X965&amp;""</f>
      </c>
      <c r="AB965">
        <f>[1]资金台帐!AB965</f>
        <v>0</v>
      </c>
      <c r="AC965">
        <f>[1]资金台帐!AC965</f>
        <v>0</v>
      </c>
      <c r="AD965">
        <f>[1]资金台帐!AD965</f>
        <v>0</v>
      </c>
      <c r="AJ965">
        <f>[1]资金台帐!AJ965</f>
        <v>0</v>
      </c>
      <c r="AK965">
        <f>[1]资金台帐!AK965</f>
        <v>0</v>
      </c>
      <c r="BA965" s="22">
        <f t="shared" si="0"/>
      </c>
      <c r="BG965" s="22">
        <f t="shared" si="1"/>
      </c>
      <c r="BH965" s="22">
        <f t="shared" si="2"/>
        <v>0</v>
      </c>
    </row>
    <row r="966">
      <c r="B966">
        <f>[1]资金台帐!B966&amp;""</f>
      </c>
      <c r="H966">
        <f>[1]资金台帐!H966&amp;""</f>
      </c>
      <c r="J966">
        <f>[1]资金台帐!J966&amp;""</f>
      </c>
      <c r="N966">
        <f>[1]资金台帐!N966</f>
      </c>
      <c r="O966">
        <f>[1]资金台帐!O966&amp;""</f>
      </c>
      <c r="P966">
        <f>[1]资金台帐!P966&amp;""</f>
      </c>
      <c r="Q966">
        <f>[1]资金台帐!Q966&amp;""</f>
      </c>
      <c r="T966">
        <f>[1]资金台帐!T966&amp;""</f>
      </c>
      <c r="U966">
        <f>[1]资金台帐!U966&amp;""</f>
      </c>
      <c r="W966">
        <f>[1]资金台帐!W966&amp;""</f>
      </c>
      <c r="X966">
        <f>[1]资金台帐!X966&amp;""</f>
      </c>
      <c r="AB966">
        <f>[1]资金台帐!AB966</f>
        <v>0</v>
      </c>
      <c r="AC966">
        <f>[1]资金台帐!AC966</f>
        <v>0</v>
      </c>
      <c r="AD966">
        <f>[1]资金台帐!AD966</f>
        <v>0</v>
      </c>
      <c r="AJ966">
        <f>[1]资金台帐!AJ966</f>
        <v>0</v>
      </c>
      <c r="AK966">
        <f>[1]资金台帐!AK966</f>
        <v>0</v>
      </c>
      <c r="BA966" s="22">
        <f t="shared" si="0"/>
      </c>
      <c r="BG966" s="22">
        <f t="shared" si="1"/>
      </c>
      <c r="BH966" s="22">
        <f t="shared" si="2"/>
        <v>0</v>
      </c>
    </row>
    <row r="967">
      <c r="B967">
        <f>[1]资金台帐!B967&amp;""</f>
      </c>
      <c r="H967">
        <f>[1]资金台帐!H967&amp;""</f>
      </c>
      <c r="J967">
        <f>[1]资金台帐!J967&amp;""</f>
      </c>
      <c r="N967">
        <f>[1]资金台帐!N967</f>
      </c>
      <c r="O967">
        <f>[1]资金台帐!O967&amp;""</f>
      </c>
      <c r="P967">
        <f>[1]资金台帐!P967&amp;""</f>
      </c>
      <c r="Q967">
        <f>[1]资金台帐!Q967&amp;""</f>
      </c>
      <c r="T967">
        <f>[1]资金台帐!T967&amp;""</f>
      </c>
      <c r="U967">
        <f>[1]资金台帐!U967&amp;""</f>
      </c>
      <c r="W967">
        <f>[1]资金台帐!W967&amp;""</f>
      </c>
      <c r="X967">
        <f>[1]资金台帐!X967&amp;""</f>
      </c>
      <c r="AB967">
        <f>[1]资金台帐!AB967</f>
        <v>0</v>
      </c>
      <c r="AC967">
        <f>[1]资金台帐!AC967</f>
        <v>0</v>
      </c>
      <c r="AD967">
        <f>[1]资金台帐!AD967</f>
        <v>0</v>
      </c>
      <c r="AJ967">
        <f>[1]资金台帐!AJ967</f>
        <v>0</v>
      </c>
      <c r="AK967">
        <f>[1]资金台帐!AK967</f>
        <v>0</v>
      </c>
      <c r="BA967" s="22">
        <f t="shared" si="0"/>
      </c>
      <c r="BG967" s="22">
        <f t="shared" si="1"/>
      </c>
      <c r="BH967" s="22">
        <f t="shared" si="2"/>
        <v>0</v>
      </c>
    </row>
    <row r="968">
      <c r="B968">
        <f>[1]资金台帐!B968&amp;""</f>
      </c>
      <c r="H968">
        <f>[1]资金台帐!H968&amp;""</f>
      </c>
      <c r="J968">
        <f>[1]资金台帐!J968&amp;""</f>
      </c>
      <c r="N968">
        <f>[1]资金台帐!N968</f>
      </c>
      <c r="O968">
        <f>[1]资金台帐!O968&amp;""</f>
      </c>
      <c r="P968">
        <f>[1]资金台帐!P968&amp;""</f>
      </c>
      <c r="Q968">
        <f>[1]资金台帐!Q968&amp;""</f>
      </c>
      <c r="T968">
        <f>[1]资金台帐!T968&amp;""</f>
      </c>
      <c r="U968">
        <f>[1]资金台帐!U968&amp;""</f>
      </c>
      <c r="W968">
        <f>[1]资金台帐!W968&amp;""</f>
      </c>
      <c r="X968">
        <f>[1]资金台帐!X968&amp;""</f>
      </c>
      <c r="AB968">
        <f>[1]资金台帐!AB968</f>
        <v>0</v>
      </c>
      <c r="AC968">
        <f>[1]资金台帐!AC968</f>
        <v>0</v>
      </c>
      <c r="AD968">
        <f>[1]资金台帐!AD968</f>
        <v>0</v>
      </c>
      <c r="AJ968">
        <f>[1]资金台帐!AJ968</f>
        <v>0</v>
      </c>
      <c r="AK968">
        <f>[1]资金台帐!AK968</f>
        <v>0</v>
      </c>
      <c r="BA968" s="22">
        <f t="shared" si="0"/>
      </c>
      <c r="BG968" s="22">
        <f t="shared" si="1"/>
      </c>
      <c r="BH968" s="22">
        <f t="shared" si="2"/>
        <v>0</v>
      </c>
    </row>
    <row r="969">
      <c r="B969">
        <f>[1]资金台帐!B969&amp;""</f>
      </c>
      <c r="H969">
        <f>[1]资金台帐!H969&amp;""</f>
      </c>
      <c r="J969">
        <f>[1]资金台帐!J969&amp;""</f>
      </c>
      <c r="N969">
        <f>[1]资金台帐!N969</f>
      </c>
      <c r="O969">
        <f>[1]资金台帐!O969&amp;""</f>
      </c>
      <c r="P969">
        <f>[1]资金台帐!P969&amp;""</f>
      </c>
      <c r="Q969">
        <f>[1]资金台帐!Q969&amp;""</f>
      </c>
      <c r="T969">
        <f>[1]资金台帐!T969&amp;""</f>
      </c>
      <c r="U969">
        <f>[1]资金台帐!U969&amp;""</f>
      </c>
      <c r="W969">
        <f>[1]资金台帐!W969&amp;""</f>
      </c>
      <c r="X969">
        <f>[1]资金台帐!X969&amp;""</f>
      </c>
      <c r="AB969">
        <f>[1]资金台帐!AB969</f>
        <v>0</v>
      </c>
      <c r="AC969">
        <f>[1]资金台帐!AC969</f>
        <v>0</v>
      </c>
      <c r="AD969">
        <f>[1]资金台帐!AD969</f>
        <v>0</v>
      </c>
      <c r="AJ969">
        <f>[1]资金台帐!AJ969</f>
        <v>0</v>
      </c>
      <c r="AK969">
        <f>[1]资金台帐!AK969</f>
        <v>0</v>
      </c>
      <c r="BA969" s="22">
        <f t="shared" si="0"/>
      </c>
      <c r="BG969" s="22">
        <f t="shared" si="1"/>
      </c>
      <c r="BH969" s="22">
        <f t="shared" si="2"/>
        <v>0</v>
      </c>
    </row>
    <row r="970">
      <c r="B970">
        <f>[1]资金台帐!B970&amp;""</f>
      </c>
      <c r="H970">
        <f>[1]资金台帐!H970&amp;""</f>
      </c>
      <c r="J970">
        <f>[1]资金台帐!J970&amp;""</f>
      </c>
      <c r="N970">
        <f>[1]资金台帐!N970</f>
      </c>
      <c r="O970">
        <f>[1]资金台帐!O970&amp;""</f>
      </c>
      <c r="P970">
        <f>[1]资金台帐!P970&amp;""</f>
      </c>
      <c r="Q970">
        <f>[1]资金台帐!Q970&amp;""</f>
      </c>
      <c r="T970">
        <f>[1]资金台帐!T970&amp;""</f>
      </c>
      <c r="U970">
        <f>[1]资金台帐!U970&amp;""</f>
      </c>
      <c r="W970">
        <f>[1]资金台帐!W970&amp;""</f>
      </c>
      <c r="X970">
        <f>[1]资金台帐!X970&amp;""</f>
      </c>
      <c r="AB970">
        <f>[1]资金台帐!AB970</f>
        <v>0</v>
      </c>
      <c r="AC970">
        <f>[1]资金台帐!AC970</f>
        <v>0</v>
      </c>
      <c r="AD970">
        <f>[1]资金台帐!AD970</f>
        <v>0</v>
      </c>
      <c r="AJ970">
        <f>[1]资金台帐!AJ970</f>
        <v>0</v>
      </c>
      <c r="AK970">
        <f>[1]资金台帐!AK970</f>
        <v>0</v>
      </c>
      <c r="BA970" s="22">
        <f t="shared" si="0"/>
      </c>
      <c r="BG970" s="22">
        <f t="shared" si="1"/>
      </c>
      <c r="BH970" s="22">
        <f t="shared" si="2"/>
        <v>0</v>
      </c>
    </row>
    <row r="971">
      <c r="B971">
        <f>[1]资金台帐!B971&amp;""</f>
      </c>
      <c r="H971">
        <f>[1]资金台帐!H971&amp;""</f>
      </c>
      <c r="J971">
        <f>[1]资金台帐!J971&amp;""</f>
      </c>
      <c r="N971">
        <f>[1]资金台帐!N971</f>
      </c>
      <c r="O971">
        <f>[1]资金台帐!O971&amp;""</f>
      </c>
      <c r="P971">
        <f>[1]资金台帐!P971&amp;""</f>
      </c>
      <c r="Q971">
        <f>[1]资金台帐!Q971&amp;""</f>
      </c>
      <c r="T971">
        <f>[1]资金台帐!T971&amp;""</f>
      </c>
      <c r="U971">
        <f>[1]资金台帐!U971&amp;""</f>
      </c>
      <c r="W971">
        <f>[1]资金台帐!W971&amp;""</f>
      </c>
      <c r="X971">
        <f>[1]资金台帐!X971&amp;""</f>
      </c>
      <c r="AB971">
        <f>[1]资金台帐!AB971</f>
        <v>0</v>
      </c>
      <c r="AC971">
        <f>[1]资金台帐!AC971</f>
        <v>0</v>
      </c>
      <c r="AD971">
        <f>[1]资金台帐!AD971</f>
        <v>0</v>
      </c>
      <c r="AJ971">
        <f>[1]资金台帐!AJ971</f>
        <v>0</v>
      </c>
      <c r="AK971">
        <f>[1]资金台帐!AK971</f>
        <v>0</v>
      </c>
      <c r="BA971" s="22">
        <f t="shared" si="0"/>
      </c>
      <c r="BG971" s="22">
        <f t="shared" si="1"/>
      </c>
      <c r="BH971" s="22">
        <f t="shared" si="2"/>
        <v>0</v>
      </c>
    </row>
    <row r="972">
      <c r="B972">
        <f>[1]资金台帐!B972&amp;""</f>
      </c>
      <c r="H972">
        <f>[1]资金台帐!H972&amp;""</f>
      </c>
      <c r="J972">
        <f>[1]资金台帐!J972&amp;""</f>
      </c>
      <c r="N972">
        <f>[1]资金台帐!N972</f>
      </c>
      <c r="O972">
        <f>[1]资金台帐!O972&amp;""</f>
      </c>
      <c r="P972">
        <f>[1]资金台帐!P972&amp;""</f>
      </c>
      <c r="Q972">
        <f>[1]资金台帐!Q972&amp;""</f>
      </c>
      <c r="T972">
        <f>[1]资金台帐!T972&amp;""</f>
      </c>
      <c r="U972">
        <f>[1]资金台帐!U972&amp;""</f>
      </c>
      <c r="W972">
        <f>[1]资金台帐!W972&amp;""</f>
      </c>
      <c r="X972">
        <f>[1]资金台帐!X972&amp;""</f>
      </c>
      <c r="AB972">
        <f>[1]资金台帐!AB972</f>
        <v>0</v>
      </c>
      <c r="AC972">
        <f>[1]资金台帐!AC972</f>
        <v>0</v>
      </c>
      <c r="AD972">
        <f>[1]资金台帐!AD972</f>
        <v>0</v>
      </c>
      <c r="AJ972">
        <f>[1]资金台帐!AJ972</f>
        <v>0</v>
      </c>
      <c r="AK972">
        <f>[1]资金台帐!AK972</f>
        <v>0</v>
      </c>
      <c r="BA972" s="22">
        <f t="shared" si="0"/>
      </c>
      <c r="BG972" s="22">
        <f t="shared" si="1"/>
      </c>
      <c r="BH972" s="22">
        <f t="shared" si="2"/>
        <v>0</v>
      </c>
    </row>
    <row r="973">
      <c r="B973">
        <f>[1]资金台帐!B973&amp;""</f>
      </c>
      <c r="H973">
        <f>[1]资金台帐!H973&amp;""</f>
      </c>
      <c r="J973">
        <f>[1]资金台帐!J973&amp;""</f>
      </c>
      <c r="N973">
        <f>[1]资金台帐!N973</f>
      </c>
      <c r="O973">
        <f>[1]资金台帐!O973&amp;""</f>
      </c>
      <c r="P973">
        <f>[1]资金台帐!P973&amp;""</f>
      </c>
      <c r="Q973">
        <f>[1]资金台帐!Q973&amp;""</f>
      </c>
      <c r="T973">
        <f>[1]资金台帐!T973&amp;""</f>
      </c>
      <c r="U973">
        <f>[1]资金台帐!U973&amp;""</f>
      </c>
      <c r="W973">
        <f>[1]资金台帐!W973&amp;""</f>
      </c>
      <c r="X973">
        <f>[1]资金台帐!X973&amp;""</f>
      </c>
      <c r="AB973">
        <f>[1]资金台帐!AB973</f>
        <v>0</v>
      </c>
      <c r="AC973">
        <f>[1]资金台帐!AC973</f>
        <v>0</v>
      </c>
      <c r="AD973">
        <f>[1]资金台帐!AD973</f>
        <v>0</v>
      </c>
      <c r="AJ973">
        <f>[1]资金台帐!AJ973</f>
        <v>0</v>
      </c>
      <c r="AK973">
        <f>[1]资金台帐!AK973</f>
        <v>0</v>
      </c>
      <c r="BA973" s="22">
        <f t="shared" si="0"/>
      </c>
      <c r="BG973" s="22">
        <f t="shared" si="1"/>
      </c>
      <c r="BH973" s="22">
        <f t="shared" si="2"/>
        <v>0</v>
      </c>
    </row>
    <row r="974">
      <c r="B974">
        <f>[1]资金台帐!B974&amp;""</f>
      </c>
      <c r="H974">
        <f>[1]资金台帐!H974&amp;""</f>
      </c>
      <c r="J974">
        <f>[1]资金台帐!J974&amp;""</f>
      </c>
      <c r="N974">
        <f>[1]资金台帐!N974</f>
      </c>
      <c r="O974">
        <f>[1]资金台帐!O974&amp;""</f>
      </c>
      <c r="P974">
        <f>[1]资金台帐!P974&amp;""</f>
      </c>
      <c r="Q974">
        <f>[1]资金台帐!Q974&amp;""</f>
      </c>
      <c r="T974">
        <f>[1]资金台帐!T974&amp;""</f>
      </c>
      <c r="U974">
        <f>[1]资金台帐!U974&amp;""</f>
      </c>
      <c r="W974">
        <f>[1]资金台帐!W974&amp;""</f>
      </c>
      <c r="X974">
        <f>[1]资金台帐!X974&amp;""</f>
      </c>
      <c r="AB974">
        <f>[1]资金台帐!AB974</f>
        <v>0</v>
      </c>
      <c r="AC974">
        <f>[1]资金台帐!AC974</f>
        <v>0</v>
      </c>
      <c r="AD974">
        <f>[1]资金台帐!AD974</f>
        <v>0</v>
      </c>
      <c r="AJ974">
        <f>[1]资金台帐!AJ974</f>
        <v>0</v>
      </c>
      <c r="AK974">
        <f>[1]资金台帐!AK974</f>
        <v>0</v>
      </c>
      <c r="BA974" s="22">
        <f t="shared" si="0"/>
      </c>
      <c r="BG974" s="22">
        <f t="shared" si="1"/>
      </c>
      <c r="BH974" s="22">
        <f t="shared" si="2"/>
        <v>0</v>
      </c>
    </row>
    <row r="975">
      <c r="B975">
        <f>[1]资金台帐!B975&amp;""</f>
      </c>
      <c r="H975">
        <f>[1]资金台帐!H975&amp;""</f>
      </c>
      <c r="J975">
        <f>[1]资金台帐!J975&amp;""</f>
      </c>
      <c r="N975">
        <f>[1]资金台帐!N975</f>
      </c>
      <c r="O975">
        <f>[1]资金台帐!O975&amp;""</f>
      </c>
      <c r="P975">
        <f>[1]资金台帐!P975&amp;""</f>
      </c>
      <c r="Q975">
        <f>[1]资金台帐!Q975&amp;""</f>
      </c>
      <c r="T975">
        <f>[1]资金台帐!T975&amp;""</f>
      </c>
      <c r="U975">
        <f>[1]资金台帐!U975&amp;""</f>
      </c>
      <c r="W975">
        <f>[1]资金台帐!W975&amp;""</f>
      </c>
      <c r="X975">
        <f>[1]资金台帐!X975&amp;""</f>
      </c>
      <c r="AB975">
        <f>[1]资金台帐!AB975</f>
        <v>0</v>
      </c>
      <c r="AC975">
        <f>[1]资金台帐!AC975</f>
        <v>0</v>
      </c>
      <c r="AD975">
        <f>[1]资金台帐!AD975</f>
        <v>0</v>
      </c>
      <c r="AJ975">
        <f>[1]资金台帐!AJ975</f>
        <v>0</v>
      </c>
      <c r="AK975">
        <f>[1]资金台帐!AK975</f>
        <v>0</v>
      </c>
      <c r="BA975" s="22">
        <f t="shared" si="0"/>
      </c>
      <c r="BG975" s="22">
        <f t="shared" si="1"/>
      </c>
      <c r="BH975" s="22">
        <f t="shared" si="2"/>
        <v>0</v>
      </c>
    </row>
    <row r="976">
      <c r="B976">
        <f>[1]资金台帐!B976&amp;""</f>
      </c>
      <c r="H976">
        <f>[1]资金台帐!H976&amp;""</f>
      </c>
      <c r="J976">
        <f>[1]资金台帐!J976&amp;""</f>
      </c>
      <c r="N976">
        <f>[1]资金台帐!N976</f>
      </c>
      <c r="O976">
        <f>[1]资金台帐!O976&amp;""</f>
      </c>
      <c r="P976">
        <f>[1]资金台帐!P976&amp;""</f>
      </c>
      <c r="Q976">
        <f>[1]资金台帐!Q976&amp;""</f>
      </c>
      <c r="T976">
        <f>[1]资金台帐!T976&amp;""</f>
      </c>
      <c r="U976">
        <f>[1]资金台帐!U976&amp;""</f>
      </c>
      <c r="W976">
        <f>[1]资金台帐!W976&amp;""</f>
      </c>
      <c r="X976">
        <f>[1]资金台帐!X976&amp;""</f>
      </c>
      <c r="AB976">
        <f>[1]资金台帐!AB976</f>
        <v>0</v>
      </c>
      <c r="AC976">
        <f>[1]资金台帐!AC976</f>
        <v>0</v>
      </c>
      <c r="AD976">
        <f>[1]资金台帐!AD976</f>
        <v>0</v>
      </c>
      <c r="AJ976">
        <f>[1]资金台帐!AJ976</f>
        <v>0</v>
      </c>
      <c r="AK976">
        <f>[1]资金台帐!AK976</f>
        <v>0</v>
      </c>
      <c r="BA976" s="22">
        <f t="shared" si="0"/>
      </c>
      <c r="BG976" s="22">
        <f t="shared" si="1"/>
      </c>
      <c r="BH976" s="22">
        <f t="shared" si="2"/>
        <v>0</v>
      </c>
    </row>
    <row r="977">
      <c r="B977">
        <f>[1]资金台帐!B977&amp;""</f>
      </c>
      <c r="H977">
        <f>[1]资金台帐!H977&amp;""</f>
      </c>
      <c r="J977">
        <f>[1]资金台帐!J977&amp;""</f>
      </c>
      <c r="N977">
        <f>[1]资金台帐!N977</f>
      </c>
      <c r="O977">
        <f>[1]资金台帐!O977&amp;""</f>
      </c>
      <c r="P977">
        <f>[1]资金台帐!P977&amp;""</f>
      </c>
      <c r="Q977">
        <f>[1]资金台帐!Q977&amp;""</f>
      </c>
      <c r="T977">
        <f>[1]资金台帐!T977&amp;""</f>
      </c>
      <c r="U977">
        <f>[1]资金台帐!U977&amp;""</f>
      </c>
      <c r="W977">
        <f>[1]资金台帐!W977&amp;""</f>
      </c>
      <c r="X977">
        <f>[1]资金台帐!X977&amp;""</f>
      </c>
      <c r="AB977">
        <f>[1]资金台帐!AB977</f>
        <v>0</v>
      </c>
      <c r="AC977">
        <f>[1]资金台帐!AC977</f>
        <v>0</v>
      </c>
      <c r="AD977">
        <f>[1]资金台帐!AD977</f>
        <v>0</v>
      </c>
      <c r="AJ977">
        <f>[1]资金台帐!AJ977</f>
        <v>0</v>
      </c>
      <c r="AK977">
        <f>[1]资金台帐!AK977</f>
        <v>0</v>
      </c>
      <c r="BA977" s="22">
        <f t="shared" si="0"/>
      </c>
      <c r="BG977" s="22">
        <f t="shared" si="1"/>
      </c>
      <c r="BH977" s="22">
        <f t="shared" si="2"/>
        <v>0</v>
      </c>
    </row>
    <row r="978">
      <c r="B978">
        <f>[1]资金台帐!B978&amp;""</f>
      </c>
      <c r="H978">
        <f>[1]资金台帐!H978&amp;""</f>
      </c>
      <c r="J978">
        <f>[1]资金台帐!J978&amp;""</f>
      </c>
      <c r="N978">
        <f>[1]资金台帐!N978</f>
      </c>
      <c r="O978">
        <f>[1]资金台帐!O978&amp;""</f>
      </c>
      <c r="P978">
        <f>[1]资金台帐!P978&amp;""</f>
      </c>
      <c r="Q978">
        <f>[1]资金台帐!Q978&amp;""</f>
      </c>
      <c r="T978">
        <f>[1]资金台帐!T978&amp;""</f>
      </c>
      <c r="U978">
        <f>[1]资金台帐!U978&amp;""</f>
      </c>
      <c r="W978">
        <f>[1]资金台帐!W978&amp;""</f>
      </c>
      <c r="X978">
        <f>[1]资金台帐!X978&amp;""</f>
      </c>
      <c r="AB978">
        <f>[1]资金台帐!AB978</f>
        <v>0</v>
      </c>
      <c r="AC978">
        <f>[1]资金台帐!AC978</f>
        <v>0</v>
      </c>
      <c r="AD978">
        <f>[1]资金台帐!AD978</f>
        <v>0</v>
      </c>
      <c r="AJ978">
        <f>[1]资金台帐!AJ978</f>
        <v>0</v>
      </c>
      <c r="AK978">
        <f>[1]资金台帐!AK978</f>
        <v>0</v>
      </c>
      <c r="BA978" s="22">
        <f t="shared" si="0"/>
      </c>
      <c r="BG978" s="22">
        <f t="shared" si="1"/>
      </c>
      <c r="BH978" s="22">
        <f t="shared" si="2"/>
        <v>0</v>
      </c>
    </row>
    <row r="979">
      <c r="B979">
        <f>[1]资金台帐!B979&amp;""</f>
      </c>
      <c r="H979">
        <f>[1]资金台帐!H979&amp;""</f>
      </c>
      <c r="J979">
        <f>[1]资金台帐!J979&amp;""</f>
      </c>
      <c r="N979">
        <f>[1]资金台帐!N979</f>
      </c>
      <c r="O979">
        <f>[1]资金台帐!O979&amp;""</f>
      </c>
      <c r="P979">
        <f>[1]资金台帐!P979&amp;""</f>
      </c>
      <c r="Q979">
        <f>[1]资金台帐!Q979&amp;""</f>
      </c>
      <c r="T979">
        <f>[1]资金台帐!T979&amp;""</f>
      </c>
      <c r="U979">
        <f>[1]资金台帐!U979&amp;""</f>
      </c>
      <c r="W979">
        <f>[1]资金台帐!W979&amp;""</f>
      </c>
      <c r="X979">
        <f>[1]资金台帐!X979&amp;""</f>
      </c>
      <c r="AB979">
        <f>[1]资金台帐!AB979</f>
        <v>0</v>
      </c>
      <c r="AC979">
        <f>[1]资金台帐!AC979</f>
        <v>0</v>
      </c>
      <c r="AD979">
        <f>[1]资金台帐!AD979</f>
        <v>0</v>
      </c>
      <c r="AJ979">
        <f>[1]资金台帐!AJ979</f>
        <v>0</v>
      </c>
      <c r="AK979">
        <f>[1]资金台帐!AK979</f>
        <v>0</v>
      </c>
      <c r="BA979" s="22">
        <f t="shared" si="0"/>
      </c>
      <c r="BG979" s="22">
        <f t="shared" si="1"/>
      </c>
      <c r="BH979" s="22">
        <f t="shared" si="2"/>
        <v>0</v>
      </c>
    </row>
    <row r="980">
      <c r="B980">
        <f>[1]资金台帐!B980&amp;""</f>
      </c>
      <c r="H980">
        <f>[1]资金台帐!H980&amp;""</f>
      </c>
      <c r="J980">
        <f>[1]资金台帐!J980&amp;""</f>
      </c>
      <c r="N980">
        <f>[1]资金台帐!N980</f>
      </c>
      <c r="O980">
        <f>[1]资金台帐!O980&amp;""</f>
      </c>
      <c r="P980">
        <f>[1]资金台帐!P980&amp;""</f>
      </c>
      <c r="Q980">
        <f>[1]资金台帐!Q980&amp;""</f>
      </c>
      <c r="T980">
        <f>[1]资金台帐!T980&amp;""</f>
      </c>
      <c r="U980">
        <f>[1]资金台帐!U980&amp;""</f>
      </c>
      <c r="W980">
        <f>[1]资金台帐!W980&amp;""</f>
      </c>
      <c r="X980">
        <f>[1]资金台帐!X980&amp;""</f>
      </c>
      <c r="AB980">
        <f>[1]资金台帐!AB980</f>
        <v>0</v>
      </c>
      <c r="AC980">
        <f>[1]资金台帐!AC980</f>
        <v>0</v>
      </c>
      <c r="AD980">
        <f>[1]资金台帐!AD980</f>
        <v>0</v>
      </c>
      <c r="AJ980">
        <f>[1]资金台帐!AJ980</f>
        <v>0</v>
      </c>
      <c r="AK980">
        <f>[1]资金台帐!AK980</f>
        <v>0</v>
      </c>
      <c r="BA980" s="22">
        <f t="shared" si="0"/>
      </c>
      <c r="BG980" s="22">
        <f t="shared" si="1"/>
      </c>
      <c r="BH980" s="22">
        <f t="shared" si="2"/>
        <v>0</v>
      </c>
    </row>
    <row r="981">
      <c r="B981">
        <f>[1]资金台帐!B981&amp;""</f>
      </c>
      <c r="H981">
        <f>[1]资金台帐!H981&amp;""</f>
      </c>
      <c r="J981">
        <f>[1]资金台帐!J981&amp;""</f>
      </c>
      <c r="N981">
        <f>[1]资金台帐!N981</f>
      </c>
      <c r="O981">
        <f>[1]资金台帐!O981&amp;""</f>
      </c>
      <c r="P981">
        <f>[1]资金台帐!P981&amp;""</f>
      </c>
      <c r="Q981">
        <f>[1]资金台帐!Q981&amp;""</f>
      </c>
      <c r="T981">
        <f>[1]资金台帐!T981&amp;""</f>
      </c>
      <c r="U981">
        <f>[1]资金台帐!U981&amp;""</f>
      </c>
      <c r="W981">
        <f>[1]资金台帐!W981&amp;""</f>
      </c>
      <c r="X981">
        <f>[1]资金台帐!X981&amp;""</f>
      </c>
      <c r="AB981">
        <f>[1]资金台帐!AB981</f>
        <v>0</v>
      </c>
      <c r="AC981">
        <f>[1]资金台帐!AC981</f>
        <v>0</v>
      </c>
      <c r="AD981">
        <f>[1]资金台帐!AD981</f>
        <v>0</v>
      </c>
      <c r="AJ981">
        <f>[1]资金台帐!AJ981</f>
        <v>0</v>
      </c>
      <c r="AK981">
        <f>[1]资金台帐!AK981</f>
        <v>0</v>
      </c>
      <c r="BA981" s="22">
        <f t="shared" si="0"/>
      </c>
      <c r="BG981" s="22">
        <f t="shared" si="1"/>
      </c>
      <c r="BH981" s="22">
        <f t="shared" si="2"/>
        <v>0</v>
      </c>
    </row>
    <row r="982">
      <c r="B982">
        <f>[1]资金台帐!B982&amp;""</f>
      </c>
      <c r="H982">
        <f>[1]资金台帐!H982&amp;""</f>
      </c>
      <c r="J982">
        <f>[1]资金台帐!J982&amp;""</f>
      </c>
      <c r="N982">
        <f>[1]资金台帐!N982</f>
      </c>
      <c r="O982">
        <f>[1]资金台帐!O982&amp;""</f>
      </c>
      <c r="P982">
        <f>[1]资金台帐!P982&amp;""</f>
      </c>
      <c r="Q982">
        <f>[1]资金台帐!Q982&amp;""</f>
      </c>
      <c r="T982">
        <f>[1]资金台帐!T982&amp;""</f>
      </c>
      <c r="U982">
        <f>[1]资金台帐!U982&amp;""</f>
      </c>
      <c r="W982">
        <f>[1]资金台帐!W982&amp;""</f>
      </c>
      <c r="X982">
        <f>[1]资金台帐!X982&amp;""</f>
      </c>
      <c r="AB982">
        <f>[1]资金台帐!AB982</f>
        <v>0</v>
      </c>
      <c r="AC982">
        <f>[1]资金台帐!AC982</f>
        <v>0</v>
      </c>
      <c r="AD982">
        <f>[1]资金台帐!AD982</f>
        <v>0</v>
      </c>
      <c r="AJ982">
        <f>[1]资金台帐!AJ982</f>
        <v>0</v>
      </c>
      <c r="AK982">
        <f>[1]资金台帐!AK982</f>
        <v>0</v>
      </c>
      <c r="BA982" s="22">
        <f t="shared" si="0"/>
      </c>
      <c r="BG982" s="22">
        <f t="shared" si="1"/>
      </c>
      <c r="BH982" s="22">
        <f t="shared" si="2"/>
        <v>0</v>
      </c>
    </row>
    <row r="983">
      <c r="B983">
        <f>[1]资金台帐!B983&amp;""</f>
      </c>
      <c r="H983">
        <f>[1]资金台帐!H983&amp;""</f>
      </c>
      <c r="J983">
        <f>[1]资金台帐!J983&amp;""</f>
      </c>
      <c r="N983">
        <f>[1]资金台帐!N983</f>
      </c>
      <c r="O983">
        <f>[1]资金台帐!O983&amp;""</f>
      </c>
      <c r="P983">
        <f>[1]资金台帐!P983&amp;""</f>
      </c>
      <c r="Q983">
        <f>[1]资金台帐!Q983&amp;""</f>
      </c>
      <c r="T983">
        <f>[1]资金台帐!T983&amp;""</f>
      </c>
      <c r="U983">
        <f>[1]资金台帐!U983&amp;""</f>
      </c>
      <c r="W983">
        <f>[1]资金台帐!W983&amp;""</f>
      </c>
      <c r="X983">
        <f>[1]资金台帐!X983&amp;""</f>
      </c>
      <c r="AB983">
        <f>[1]资金台帐!AB983</f>
        <v>0</v>
      </c>
      <c r="AC983">
        <f>[1]资金台帐!AC983</f>
        <v>0</v>
      </c>
      <c r="AD983">
        <f>[1]资金台帐!AD983</f>
        <v>0</v>
      </c>
      <c r="AJ983">
        <f>[1]资金台帐!AJ983</f>
        <v>0</v>
      </c>
      <c r="AK983">
        <f>[1]资金台帐!AK983</f>
        <v>0</v>
      </c>
      <c r="BA983" s="22">
        <f t="shared" si="0"/>
      </c>
      <c r="BG983" s="22">
        <f t="shared" si="1"/>
      </c>
      <c r="BH983" s="22">
        <f t="shared" si="2"/>
        <v>0</v>
      </c>
    </row>
    <row r="984">
      <c r="B984">
        <f>[1]资金台帐!B984&amp;""</f>
      </c>
      <c r="H984">
        <f>[1]资金台帐!H984&amp;""</f>
      </c>
      <c r="J984">
        <f>[1]资金台帐!J984&amp;""</f>
      </c>
      <c r="N984">
        <f>[1]资金台帐!N984</f>
      </c>
      <c r="O984">
        <f>[1]资金台帐!O984&amp;""</f>
      </c>
      <c r="P984">
        <f>[1]资金台帐!P984&amp;""</f>
      </c>
      <c r="Q984">
        <f>[1]资金台帐!Q984&amp;""</f>
      </c>
      <c r="T984">
        <f>[1]资金台帐!T984&amp;""</f>
      </c>
      <c r="U984">
        <f>[1]资金台帐!U984&amp;""</f>
      </c>
      <c r="W984">
        <f>[1]资金台帐!W984&amp;""</f>
      </c>
      <c r="X984">
        <f>[1]资金台帐!X984&amp;""</f>
      </c>
      <c r="AB984">
        <f>[1]资金台帐!AB984</f>
        <v>0</v>
      </c>
      <c r="AC984">
        <f>[1]资金台帐!AC984</f>
        <v>0</v>
      </c>
      <c r="AD984">
        <f>[1]资金台帐!AD984</f>
        <v>0</v>
      </c>
      <c r="AJ984">
        <f>[1]资金台帐!AJ984</f>
        <v>0</v>
      </c>
      <c r="AK984">
        <f>[1]资金台帐!AK984</f>
        <v>0</v>
      </c>
      <c r="BA984" s="22">
        <f t="shared" si="0"/>
      </c>
      <c r="BG984" s="22">
        <f t="shared" si="1"/>
      </c>
      <c r="BH984" s="22">
        <f t="shared" si="2"/>
        <v>0</v>
      </c>
    </row>
    <row r="985">
      <c r="B985">
        <f>[1]资金台帐!B985&amp;""</f>
      </c>
      <c r="H985">
        <f>[1]资金台帐!H985&amp;""</f>
      </c>
      <c r="J985">
        <f>[1]资金台帐!J985&amp;""</f>
      </c>
      <c r="N985">
        <f>[1]资金台帐!N985</f>
      </c>
      <c r="O985">
        <f>[1]资金台帐!O985&amp;""</f>
      </c>
      <c r="P985">
        <f>[1]资金台帐!P985&amp;""</f>
      </c>
      <c r="Q985">
        <f>[1]资金台帐!Q985&amp;""</f>
      </c>
      <c r="T985">
        <f>[1]资金台帐!T985&amp;""</f>
      </c>
      <c r="U985">
        <f>[1]资金台帐!U985&amp;""</f>
      </c>
      <c r="W985">
        <f>[1]资金台帐!W985&amp;""</f>
      </c>
      <c r="X985">
        <f>[1]资金台帐!X985&amp;""</f>
      </c>
      <c r="AB985">
        <f>[1]资金台帐!AB985</f>
        <v>0</v>
      </c>
      <c r="AC985">
        <f>[1]资金台帐!AC985</f>
        <v>0</v>
      </c>
      <c r="AD985">
        <f>[1]资金台帐!AD985</f>
        <v>0</v>
      </c>
      <c r="AJ985">
        <f>[1]资金台帐!AJ985</f>
        <v>0</v>
      </c>
      <c r="AK985">
        <f>[1]资金台帐!AK985</f>
        <v>0</v>
      </c>
      <c r="BA985" s="22">
        <f t="shared" si="0"/>
      </c>
      <c r="BG985" s="22">
        <f t="shared" si="1"/>
      </c>
      <c r="BH985" s="22">
        <f t="shared" si="2"/>
        <v>0</v>
      </c>
    </row>
    <row r="986">
      <c r="B986">
        <f>[1]资金台帐!B986&amp;""</f>
      </c>
      <c r="H986">
        <f>[1]资金台帐!H986&amp;""</f>
      </c>
      <c r="J986">
        <f>[1]资金台帐!J986&amp;""</f>
      </c>
      <c r="N986">
        <f>[1]资金台帐!N986</f>
      </c>
      <c r="O986">
        <f>[1]资金台帐!O986&amp;""</f>
      </c>
      <c r="P986">
        <f>[1]资金台帐!P986&amp;""</f>
      </c>
      <c r="Q986">
        <f>[1]资金台帐!Q986&amp;""</f>
      </c>
      <c r="T986">
        <f>[1]资金台帐!T986&amp;""</f>
      </c>
      <c r="U986">
        <f>[1]资金台帐!U986&amp;""</f>
      </c>
      <c r="W986">
        <f>[1]资金台帐!W986&amp;""</f>
      </c>
      <c r="X986">
        <f>[1]资金台帐!X986&amp;""</f>
      </c>
      <c r="AB986">
        <f>[1]资金台帐!AB986</f>
        <v>0</v>
      </c>
      <c r="AC986">
        <f>[1]资金台帐!AC986</f>
        <v>0</v>
      </c>
      <c r="AD986">
        <f>[1]资金台帐!AD986</f>
        <v>0</v>
      </c>
      <c r="AJ986">
        <f>[1]资金台帐!AJ986</f>
        <v>0</v>
      </c>
      <c r="AK986">
        <f>[1]资金台帐!AK986</f>
        <v>0</v>
      </c>
      <c r="BA986" s="22">
        <f t="shared" si="0"/>
      </c>
      <c r="BG986" s="22">
        <f t="shared" si="1"/>
      </c>
      <c r="BH986" s="22">
        <f t="shared" si="2"/>
        <v>0</v>
      </c>
    </row>
    <row r="987">
      <c r="B987">
        <f>[1]资金台帐!B987&amp;""</f>
      </c>
      <c r="H987">
        <f>[1]资金台帐!H987&amp;""</f>
      </c>
      <c r="J987">
        <f>[1]资金台帐!J987&amp;""</f>
      </c>
      <c r="N987">
        <f>[1]资金台帐!N987</f>
      </c>
      <c r="O987">
        <f>[1]资金台帐!O987&amp;""</f>
      </c>
      <c r="P987">
        <f>[1]资金台帐!P987&amp;""</f>
      </c>
      <c r="Q987">
        <f>[1]资金台帐!Q987&amp;""</f>
      </c>
      <c r="T987">
        <f>[1]资金台帐!T987&amp;""</f>
      </c>
      <c r="U987">
        <f>[1]资金台帐!U987&amp;""</f>
      </c>
      <c r="W987">
        <f>[1]资金台帐!W987&amp;""</f>
      </c>
      <c r="X987">
        <f>[1]资金台帐!X987&amp;""</f>
      </c>
      <c r="AB987">
        <f>[1]资金台帐!AB987</f>
        <v>0</v>
      </c>
      <c r="AC987">
        <f>[1]资金台帐!AC987</f>
        <v>0</v>
      </c>
      <c r="AD987">
        <f>[1]资金台帐!AD987</f>
        <v>0</v>
      </c>
      <c r="AJ987">
        <f>[1]资金台帐!AJ987</f>
        <v>0</v>
      </c>
      <c r="AK987">
        <f>[1]资金台帐!AK987</f>
        <v>0</v>
      </c>
      <c r="BA987" s="22">
        <f t="shared" si="0"/>
      </c>
      <c r="BG987" s="22">
        <f t="shared" si="1"/>
      </c>
      <c r="BH987" s="22">
        <f t="shared" si="2"/>
        <v>0</v>
      </c>
    </row>
    <row r="988">
      <c r="B988">
        <f>[1]资金台帐!B988&amp;""</f>
      </c>
      <c r="H988">
        <f>[1]资金台帐!H988&amp;""</f>
      </c>
      <c r="J988">
        <f>[1]资金台帐!J988&amp;""</f>
      </c>
      <c r="N988">
        <f>[1]资金台帐!N988</f>
      </c>
      <c r="O988">
        <f>[1]资金台帐!O988&amp;""</f>
      </c>
      <c r="P988">
        <f>[1]资金台帐!P988&amp;""</f>
      </c>
      <c r="Q988">
        <f>[1]资金台帐!Q988&amp;""</f>
      </c>
      <c r="T988">
        <f>[1]资金台帐!T988&amp;""</f>
      </c>
      <c r="U988">
        <f>[1]资金台帐!U988&amp;""</f>
      </c>
      <c r="W988">
        <f>[1]资金台帐!W988&amp;""</f>
      </c>
      <c r="X988">
        <f>[1]资金台帐!X988&amp;""</f>
      </c>
      <c r="AB988">
        <f>[1]资金台帐!AB988</f>
        <v>0</v>
      </c>
      <c r="AC988">
        <f>[1]资金台帐!AC988</f>
        <v>0</v>
      </c>
      <c r="AD988">
        <f>[1]资金台帐!AD988</f>
        <v>0</v>
      </c>
      <c r="AJ988">
        <f>[1]资金台帐!AJ988</f>
        <v>0</v>
      </c>
      <c r="AK988">
        <f>[1]资金台帐!AK988</f>
        <v>0</v>
      </c>
      <c r="BA988" s="22">
        <f t="shared" si="0"/>
      </c>
      <c r="BG988" s="22">
        <f t="shared" si="1"/>
      </c>
      <c r="BH988" s="22">
        <f t="shared" si="2"/>
        <v>0</v>
      </c>
    </row>
    <row r="989">
      <c r="B989">
        <f>[1]资金台帐!B989&amp;""</f>
      </c>
      <c r="H989">
        <f>[1]资金台帐!H989&amp;""</f>
      </c>
      <c r="J989">
        <f>[1]资金台帐!J989&amp;""</f>
      </c>
      <c r="N989">
        <f>[1]资金台帐!N989</f>
      </c>
      <c r="O989">
        <f>[1]资金台帐!O989&amp;""</f>
      </c>
      <c r="P989">
        <f>[1]资金台帐!P989&amp;""</f>
      </c>
      <c r="Q989">
        <f>[1]资金台帐!Q989&amp;""</f>
      </c>
      <c r="T989">
        <f>[1]资金台帐!T989&amp;""</f>
      </c>
      <c r="U989">
        <f>[1]资金台帐!U989&amp;""</f>
      </c>
      <c r="W989">
        <f>[1]资金台帐!W989&amp;""</f>
      </c>
      <c r="X989">
        <f>[1]资金台帐!X989&amp;""</f>
      </c>
      <c r="AB989">
        <f>[1]资金台帐!AB989</f>
        <v>0</v>
      </c>
      <c r="AC989">
        <f>[1]资金台帐!AC989</f>
        <v>0</v>
      </c>
      <c r="AD989">
        <f>[1]资金台帐!AD989</f>
        <v>0</v>
      </c>
      <c r="AJ989">
        <f>[1]资金台帐!AJ989</f>
        <v>0</v>
      </c>
      <c r="AK989">
        <f>[1]资金台帐!AK989</f>
        <v>0</v>
      </c>
      <c r="BA989" s="22">
        <f t="shared" si="0"/>
      </c>
      <c r="BG989" s="22">
        <f t="shared" si="1"/>
      </c>
      <c r="BH989" s="22">
        <f t="shared" si="2"/>
        <v>0</v>
      </c>
    </row>
    <row r="990">
      <c r="B990">
        <f>[1]资金台帐!B990&amp;""</f>
      </c>
      <c r="H990">
        <f>[1]资金台帐!H990&amp;""</f>
      </c>
      <c r="J990">
        <f>[1]资金台帐!J990&amp;""</f>
      </c>
      <c r="N990">
        <f>[1]资金台帐!N990</f>
      </c>
      <c r="O990">
        <f>[1]资金台帐!O990&amp;""</f>
      </c>
      <c r="P990">
        <f>[1]资金台帐!P990&amp;""</f>
      </c>
      <c r="Q990">
        <f>[1]资金台帐!Q990&amp;""</f>
      </c>
      <c r="T990">
        <f>[1]资金台帐!T990&amp;""</f>
      </c>
      <c r="U990">
        <f>[1]资金台帐!U990&amp;""</f>
      </c>
      <c r="W990">
        <f>[1]资金台帐!W990&amp;""</f>
      </c>
      <c r="X990">
        <f>[1]资金台帐!X990&amp;""</f>
      </c>
      <c r="AB990">
        <f>[1]资金台帐!AB990</f>
        <v>0</v>
      </c>
      <c r="AC990">
        <f>[1]资金台帐!AC990</f>
        <v>0</v>
      </c>
      <c r="AD990">
        <f>[1]资金台帐!AD990</f>
        <v>0</v>
      </c>
      <c r="AJ990">
        <f>[1]资金台帐!AJ990</f>
        <v>0</v>
      </c>
      <c r="AK990">
        <f>[1]资金台帐!AK990</f>
        <v>0</v>
      </c>
      <c r="BA990" s="22">
        <f t="shared" si="0"/>
      </c>
      <c r="BG990" s="22">
        <f t="shared" si="1"/>
      </c>
      <c r="BH990" s="22">
        <f t="shared" si="2"/>
        <v>0</v>
      </c>
    </row>
    <row r="991">
      <c r="B991">
        <f>[1]资金台帐!B991&amp;""</f>
      </c>
      <c r="H991">
        <f>[1]资金台帐!H991&amp;""</f>
      </c>
      <c r="J991">
        <f>[1]资金台帐!J991&amp;""</f>
      </c>
      <c r="N991">
        <f>[1]资金台帐!N991</f>
      </c>
      <c r="O991">
        <f>[1]资金台帐!O991&amp;""</f>
      </c>
      <c r="P991">
        <f>[1]资金台帐!P991&amp;""</f>
      </c>
      <c r="Q991">
        <f>[1]资金台帐!Q991&amp;""</f>
      </c>
      <c r="T991">
        <f>[1]资金台帐!T991&amp;""</f>
      </c>
      <c r="U991">
        <f>[1]资金台帐!U991&amp;""</f>
      </c>
      <c r="W991">
        <f>[1]资金台帐!W991&amp;""</f>
      </c>
      <c r="X991">
        <f>[1]资金台帐!X991&amp;""</f>
      </c>
      <c r="AB991">
        <f>[1]资金台帐!AB991</f>
        <v>0</v>
      </c>
      <c r="AC991">
        <f>[1]资金台帐!AC991</f>
        <v>0</v>
      </c>
      <c r="AD991">
        <f>[1]资金台帐!AD991</f>
        <v>0</v>
      </c>
      <c r="AJ991">
        <f>[1]资金台帐!AJ991</f>
        <v>0</v>
      </c>
      <c r="AK991">
        <f>[1]资金台帐!AK991</f>
        <v>0</v>
      </c>
      <c r="BA991" s="22">
        <f t="shared" si="0"/>
      </c>
      <c r="BG991" s="22">
        <f t="shared" si="1"/>
      </c>
      <c r="BH991" s="22">
        <f t="shared" si="2"/>
        <v>0</v>
      </c>
    </row>
    <row r="992">
      <c r="B992">
        <f>[1]资金台帐!B992&amp;""</f>
      </c>
      <c r="H992">
        <f>[1]资金台帐!H992&amp;""</f>
      </c>
      <c r="J992">
        <f>[1]资金台帐!J992&amp;""</f>
      </c>
      <c r="N992">
        <f>[1]资金台帐!N992</f>
      </c>
      <c r="O992">
        <f>[1]资金台帐!O992&amp;""</f>
      </c>
      <c r="P992">
        <f>[1]资金台帐!P992&amp;""</f>
      </c>
      <c r="Q992">
        <f>[1]资金台帐!Q992&amp;""</f>
      </c>
      <c r="T992">
        <f>[1]资金台帐!T992&amp;""</f>
      </c>
      <c r="U992">
        <f>[1]资金台帐!U992&amp;""</f>
      </c>
      <c r="W992">
        <f>[1]资金台帐!W992&amp;""</f>
      </c>
      <c r="X992">
        <f>[1]资金台帐!X992&amp;""</f>
      </c>
      <c r="AB992">
        <f>[1]资金台帐!AB992</f>
        <v>0</v>
      </c>
      <c r="AC992">
        <f>[1]资金台帐!AC992</f>
        <v>0</v>
      </c>
      <c r="AD992">
        <f>[1]资金台帐!AD992</f>
        <v>0</v>
      </c>
      <c r="AJ992">
        <f>[1]资金台帐!AJ992</f>
        <v>0</v>
      </c>
      <c r="AK992">
        <f>[1]资金台帐!AK992</f>
        <v>0</v>
      </c>
      <c r="BA992" s="22">
        <f t="shared" si="0"/>
      </c>
      <c r="BG992" s="22">
        <f t="shared" si="1"/>
      </c>
      <c r="BH992" s="22">
        <f t="shared" si="2"/>
        <v>0</v>
      </c>
    </row>
    <row r="993">
      <c r="B993">
        <f>[1]资金台帐!B993&amp;""</f>
      </c>
      <c r="H993">
        <f>[1]资金台帐!H993&amp;""</f>
      </c>
      <c r="J993">
        <f>[1]资金台帐!J993&amp;""</f>
      </c>
      <c r="N993">
        <f>[1]资金台帐!N993</f>
      </c>
      <c r="O993">
        <f>[1]资金台帐!O993&amp;""</f>
      </c>
      <c r="P993">
        <f>[1]资金台帐!P993&amp;""</f>
      </c>
      <c r="Q993">
        <f>[1]资金台帐!Q993&amp;""</f>
      </c>
      <c r="T993">
        <f>[1]资金台帐!T993&amp;""</f>
      </c>
      <c r="U993">
        <f>[1]资金台帐!U993&amp;""</f>
      </c>
      <c r="W993">
        <f>[1]资金台帐!W993&amp;""</f>
      </c>
      <c r="X993">
        <f>[1]资金台帐!X993&amp;""</f>
      </c>
      <c r="AB993">
        <f>[1]资金台帐!AB993</f>
        <v>0</v>
      </c>
      <c r="AC993">
        <f>[1]资金台帐!AC993</f>
        <v>0</v>
      </c>
      <c r="AD993">
        <f>[1]资金台帐!AD993</f>
        <v>0</v>
      </c>
      <c r="AJ993">
        <f>[1]资金台帐!AJ993</f>
        <v>0</v>
      </c>
      <c r="AK993">
        <f>[1]资金台帐!AK993</f>
        <v>0</v>
      </c>
      <c r="BA993" s="22">
        <f t="shared" si="0"/>
      </c>
      <c r="BG993" s="22">
        <f t="shared" si="1"/>
      </c>
      <c r="BH993" s="22">
        <f t="shared" si="2"/>
        <v>0</v>
      </c>
    </row>
    <row r="994">
      <c r="B994">
        <f>[1]资金台帐!B994&amp;""</f>
      </c>
      <c r="H994">
        <f>[1]资金台帐!H994&amp;""</f>
      </c>
      <c r="J994">
        <f>[1]资金台帐!J994&amp;""</f>
      </c>
      <c r="N994">
        <f>[1]资金台帐!N994</f>
      </c>
      <c r="O994">
        <f>[1]资金台帐!O994&amp;""</f>
      </c>
      <c r="P994">
        <f>[1]资金台帐!P994&amp;""</f>
      </c>
      <c r="Q994">
        <f>[1]资金台帐!Q994&amp;""</f>
      </c>
      <c r="T994">
        <f>[1]资金台帐!T994&amp;""</f>
      </c>
      <c r="U994">
        <f>[1]资金台帐!U994&amp;""</f>
      </c>
      <c r="W994">
        <f>[1]资金台帐!W994&amp;""</f>
      </c>
      <c r="X994">
        <f>[1]资金台帐!X994&amp;""</f>
      </c>
      <c r="AB994">
        <f>[1]资金台帐!AB994</f>
        <v>0</v>
      </c>
      <c r="AC994">
        <f>[1]资金台帐!AC994</f>
        <v>0</v>
      </c>
      <c r="AD994">
        <f>[1]资金台帐!AD994</f>
        <v>0</v>
      </c>
      <c r="AJ994">
        <f>[1]资金台帐!AJ994</f>
        <v>0</v>
      </c>
      <c r="AK994">
        <f>[1]资金台帐!AK994</f>
        <v>0</v>
      </c>
      <c r="BA994" s="22">
        <f t="shared" si="0"/>
      </c>
      <c r="BG994" s="22">
        <f t="shared" si="1"/>
      </c>
      <c r="BH994" s="22">
        <f t="shared" si="2"/>
        <v>0</v>
      </c>
    </row>
    <row r="995">
      <c r="B995">
        <f>[1]资金台帐!B995&amp;""</f>
      </c>
      <c r="H995">
        <f>[1]资金台帐!H995&amp;""</f>
      </c>
      <c r="J995">
        <f>[1]资金台帐!J995&amp;""</f>
      </c>
      <c r="N995">
        <f>[1]资金台帐!N995</f>
      </c>
      <c r="O995">
        <f>[1]资金台帐!O995&amp;""</f>
      </c>
      <c r="P995">
        <f>[1]资金台帐!P995&amp;""</f>
      </c>
      <c r="Q995">
        <f>[1]资金台帐!Q995&amp;""</f>
      </c>
      <c r="T995">
        <f>[1]资金台帐!T995&amp;""</f>
      </c>
      <c r="U995">
        <f>[1]资金台帐!U995&amp;""</f>
      </c>
      <c r="W995">
        <f>[1]资金台帐!W995&amp;""</f>
      </c>
      <c r="X995">
        <f>[1]资金台帐!X995&amp;""</f>
      </c>
      <c r="AB995">
        <f>[1]资金台帐!AB995</f>
        <v>0</v>
      </c>
      <c r="AC995">
        <f>[1]资金台帐!AC995</f>
        <v>0</v>
      </c>
      <c r="AD995">
        <f>[1]资金台帐!AD995</f>
        <v>0</v>
      </c>
      <c r="AJ995">
        <f>[1]资金台帐!AJ995</f>
        <v>0</v>
      </c>
      <c r="AK995">
        <f>[1]资金台帐!AK995</f>
        <v>0</v>
      </c>
      <c r="BA995" s="22">
        <f t="shared" si="0"/>
      </c>
      <c r="BG995" s="22">
        <f t="shared" si="1"/>
      </c>
      <c r="BH995" s="22">
        <f t="shared" si="2"/>
        <v>0</v>
      </c>
    </row>
    <row r="996">
      <c r="B996">
        <f>[1]资金台帐!B996&amp;""</f>
      </c>
      <c r="H996">
        <f>[1]资金台帐!H996&amp;""</f>
      </c>
      <c r="J996">
        <f>[1]资金台帐!J996&amp;""</f>
      </c>
      <c r="N996">
        <f>[1]资金台帐!N996</f>
      </c>
      <c r="O996">
        <f>[1]资金台帐!O996&amp;""</f>
      </c>
      <c r="P996">
        <f>[1]资金台帐!P996&amp;""</f>
      </c>
      <c r="Q996">
        <f>[1]资金台帐!Q996&amp;""</f>
      </c>
      <c r="T996">
        <f>[1]资金台帐!T996&amp;""</f>
      </c>
      <c r="U996">
        <f>[1]资金台帐!U996&amp;""</f>
      </c>
      <c r="W996">
        <f>[1]资金台帐!W996&amp;""</f>
      </c>
      <c r="X996">
        <f>[1]资金台帐!X996&amp;""</f>
      </c>
      <c r="AB996">
        <f>[1]资金台帐!AB996</f>
        <v>0</v>
      </c>
      <c r="AC996">
        <f>[1]资金台帐!AC996</f>
        <v>0</v>
      </c>
      <c r="AD996">
        <f>[1]资金台帐!AD996</f>
        <v>0</v>
      </c>
      <c r="AJ996">
        <f>[1]资金台帐!AJ996</f>
        <v>0</v>
      </c>
      <c r="AK996">
        <f>[1]资金台帐!AK996</f>
        <v>0</v>
      </c>
      <c r="BA996" s="22">
        <f t="shared" si="0"/>
      </c>
      <c r="BG996" s="22">
        <f t="shared" si="1"/>
      </c>
      <c r="BH996" s="22">
        <f t="shared" si="2"/>
        <v>0</v>
      </c>
    </row>
    <row r="997">
      <c r="B997">
        <f>[1]资金台帐!B997&amp;""</f>
      </c>
      <c r="H997">
        <f>[1]资金台帐!H997&amp;""</f>
      </c>
      <c r="J997">
        <f>[1]资金台帐!J997&amp;""</f>
      </c>
      <c r="N997">
        <f>[1]资金台帐!N997</f>
      </c>
      <c r="O997">
        <f>[1]资金台帐!O997&amp;""</f>
      </c>
      <c r="P997">
        <f>[1]资金台帐!P997&amp;""</f>
      </c>
      <c r="Q997">
        <f>[1]资金台帐!Q997&amp;""</f>
      </c>
      <c r="T997">
        <f>[1]资金台帐!T997&amp;""</f>
      </c>
      <c r="U997">
        <f>[1]资金台帐!U997&amp;""</f>
      </c>
      <c r="W997">
        <f>[1]资金台帐!W997&amp;""</f>
      </c>
      <c r="X997">
        <f>[1]资金台帐!X997&amp;""</f>
      </c>
      <c r="AB997">
        <f>[1]资金台帐!AB997</f>
        <v>0</v>
      </c>
      <c r="AC997">
        <f>[1]资金台帐!AC997</f>
        <v>0</v>
      </c>
      <c r="AD997">
        <f>[1]资金台帐!AD997</f>
        <v>0</v>
      </c>
      <c r="AJ997">
        <f>[1]资金台帐!AJ997</f>
        <v>0</v>
      </c>
      <c r="AK997">
        <f>[1]资金台帐!AK997</f>
        <v>0</v>
      </c>
      <c r="BA997" s="22">
        <f t="shared" si="0"/>
      </c>
      <c r="BG997" s="22">
        <f t="shared" si="1"/>
      </c>
      <c r="BH997" s="22">
        <f t="shared" si="2"/>
        <v>0</v>
      </c>
    </row>
    <row r="998">
      <c r="B998">
        <f>[1]资金台帐!B998&amp;""</f>
      </c>
      <c r="H998">
        <f>[1]资金台帐!H998&amp;""</f>
      </c>
      <c r="J998">
        <f>[1]资金台帐!J998&amp;""</f>
      </c>
      <c r="N998">
        <f>[1]资金台帐!N998</f>
      </c>
      <c r="O998">
        <f>[1]资金台帐!O998&amp;""</f>
      </c>
      <c r="P998">
        <f>[1]资金台帐!P998&amp;""</f>
      </c>
      <c r="Q998">
        <f>[1]资金台帐!Q998&amp;""</f>
      </c>
      <c r="T998">
        <f>[1]资金台帐!T998&amp;""</f>
      </c>
      <c r="U998">
        <f>[1]资金台帐!U998&amp;""</f>
      </c>
      <c r="W998">
        <f>[1]资金台帐!W998&amp;""</f>
      </c>
      <c r="X998">
        <f>[1]资金台帐!X998&amp;""</f>
      </c>
      <c r="AB998">
        <f>[1]资金台帐!AB998</f>
        <v>0</v>
      </c>
      <c r="AC998">
        <f>[1]资金台帐!AC998</f>
        <v>0</v>
      </c>
      <c r="AD998">
        <f>[1]资金台帐!AD998</f>
        <v>0</v>
      </c>
      <c r="AJ998">
        <f>[1]资金台帐!AJ998</f>
        <v>0</v>
      </c>
      <c r="AK998">
        <f>[1]资金台帐!AK998</f>
        <v>0</v>
      </c>
      <c r="BA998" s="22">
        <f t="shared" si="0"/>
      </c>
      <c r="BG998" s="22">
        <f t="shared" si="1"/>
      </c>
      <c r="BH998" s="22">
        <f t="shared" si="2"/>
        <v>0</v>
      </c>
    </row>
    <row r="999">
      <c r="B999">
        <f>[1]资金台帐!B999&amp;""</f>
      </c>
      <c r="H999">
        <f>[1]资金台帐!H999&amp;""</f>
      </c>
      <c r="J999">
        <f>[1]资金台帐!J999&amp;""</f>
      </c>
      <c r="N999">
        <f>[1]资金台帐!N999</f>
      </c>
      <c r="O999">
        <f>[1]资金台帐!O999&amp;""</f>
      </c>
      <c r="P999">
        <f>[1]资金台帐!P999&amp;""</f>
      </c>
      <c r="Q999">
        <f>[1]资金台帐!Q999&amp;""</f>
      </c>
      <c r="T999">
        <f>[1]资金台帐!T999&amp;""</f>
      </c>
      <c r="U999">
        <f>[1]资金台帐!U999&amp;""</f>
      </c>
      <c r="W999">
        <f>[1]资金台帐!W999&amp;""</f>
      </c>
      <c r="X999">
        <f>[1]资金台帐!X999&amp;""</f>
      </c>
      <c r="AB999">
        <f>[1]资金台帐!AB999</f>
        <v>0</v>
      </c>
      <c r="AC999">
        <f>[1]资金台帐!AC999</f>
        <v>0</v>
      </c>
      <c r="AD999">
        <f>[1]资金台帐!AD999</f>
        <v>0</v>
      </c>
      <c r="AJ999">
        <f>[1]资金台帐!AJ999</f>
        <v>0</v>
      </c>
      <c r="AK999">
        <f>[1]资金台帐!AK999</f>
        <v>0</v>
      </c>
      <c r="BA999" s="22">
        <f t="shared" si="0"/>
      </c>
      <c r="BG999" s="22">
        <f t="shared" si="1"/>
      </c>
      <c r="BH999" s="22">
        <f t="shared" si="2"/>
        <v>0</v>
      </c>
    </row>
    <row r="1000">
      <c r="B1000">
        <f>[1]资金台帐!B1000&amp;""</f>
      </c>
      <c r="H1000">
        <f>[1]资金台帐!H1000&amp;""</f>
      </c>
      <c r="J1000">
        <f>[1]资金台帐!J1000&amp;""</f>
      </c>
      <c r="N1000">
        <f>[1]资金台帐!N1000</f>
      </c>
      <c r="O1000">
        <f>[1]资金台帐!O1000&amp;""</f>
      </c>
      <c r="P1000">
        <f>[1]资金台帐!P1000&amp;""</f>
      </c>
      <c r="Q1000">
        <f>[1]资金台帐!Q1000&amp;""</f>
      </c>
      <c r="T1000">
        <f>[1]资金台帐!T1000&amp;""</f>
      </c>
      <c r="U1000">
        <f>[1]资金台帐!U1000&amp;""</f>
      </c>
      <c r="W1000">
        <f>[1]资金台帐!W1000&amp;""</f>
      </c>
      <c r="X1000">
        <f>[1]资金台帐!X1000&amp;""</f>
      </c>
      <c r="AB1000">
        <f>[1]资金台帐!AB1000</f>
        <v>0</v>
      </c>
      <c r="AC1000">
        <f>[1]资金台帐!AC1000</f>
        <v>0</v>
      </c>
      <c r="AD1000">
        <f>[1]资金台帐!AD1000</f>
        <v>0</v>
      </c>
      <c r="AJ1000">
        <f>[1]资金台帐!AJ1000</f>
        <v>0</v>
      </c>
      <c r="AK1000">
        <f>[1]资金台帐!AK1000</f>
        <v>0</v>
      </c>
      <c r="BA1000" s="22">
        <f t="shared" si="0"/>
      </c>
      <c r="BG1000" s="22">
        <f t="shared" si="1"/>
      </c>
      <c r="BH1000" s="22">
        <f t="shared" si="2"/>
        <v>0</v>
      </c>
    </row>
    <row r="1001">
      <c r="B1001">
        <f>[1]资金台帐!B1001&amp;""</f>
      </c>
      <c r="H1001">
        <f>[1]资金台帐!H1001&amp;""</f>
      </c>
      <c r="J1001">
        <f>[1]资金台帐!J1001&amp;""</f>
      </c>
      <c r="N1001">
        <f>[1]资金台帐!N1001</f>
      </c>
      <c r="O1001">
        <f>[1]资金台帐!O1001&amp;""</f>
      </c>
      <c r="P1001">
        <f>[1]资金台帐!P1001&amp;""</f>
      </c>
      <c r="Q1001">
        <f>[1]资金台帐!Q1001&amp;""</f>
      </c>
      <c r="T1001">
        <f>[1]资金台帐!T1001&amp;""</f>
      </c>
      <c r="U1001">
        <f>[1]资金台帐!U1001&amp;""</f>
      </c>
      <c r="W1001">
        <f>[1]资金台帐!W1001&amp;""</f>
      </c>
      <c r="X1001">
        <f>[1]资金台帐!X1001&amp;""</f>
      </c>
      <c r="AB1001">
        <f>[1]资金台帐!AB1001</f>
        <v>0</v>
      </c>
      <c r="AC1001">
        <f>[1]资金台帐!AC1001</f>
        <v>0</v>
      </c>
      <c r="AD1001">
        <f>[1]资金台帐!AD1001</f>
        <v>0</v>
      </c>
      <c r="AJ1001">
        <f>[1]资金台帐!AJ1001</f>
        <v>0</v>
      </c>
      <c r="AK1001">
        <f>[1]资金台帐!AK1001</f>
        <v>0</v>
      </c>
      <c r="BA1001" s="22">
        <f t="shared" si="0"/>
      </c>
      <c r="BG1001" s="22">
        <f t="shared" si="1"/>
      </c>
      <c r="BH1001" s="22">
        <f t="shared" si="2"/>
        <v>0</v>
      </c>
    </row>
    <row r="1002">
      <c r="B1002">
        <f>[1]资金台帐!B1002&amp;""</f>
      </c>
      <c r="H1002">
        <f>[1]资金台帐!H1002&amp;""</f>
      </c>
      <c r="J1002">
        <f>[1]资金台帐!J1002&amp;""</f>
      </c>
      <c r="N1002">
        <f>[1]资金台帐!N1002</f>
      </c>
      <c r="O1002">
        <f>[1]资金台帐!O1002&amp;""</f>
      </c>
      <c r="P1002">
        <f>[1]资金台帐!P1002&amp;""</f>
      </c>
      <c r="Q1002">
        <f>[1]资金台帐!Q1002&amp;""</f>
      </c>
      <c r="T1002">
        <f>[1]资金台帐!T1002&amp;""</f>
      </c>
      <c r="U1002">
        <f>[1]资金台帐!U1002&amp;""</f>
      </c>
      <c r="W1002">
        <f>[1]资金台帐!W1002&amp;""</f>
      </c>
      <c r="X1002">
        <f>[1]资金台帐!X1002&amp;""</f>
      </c>
      <c r="AB1002">
        <f>[1]资金台帐!AB1002</f>
        <v>0</v>
      </c>
      <c r="AC1002">
        <f>[1]资金台帐!AC1002</f>
        <v>0</v>
      </c>
      <c r="AD1002">
        <f>[1]资金台帐!AD1002</f>
        <v>0</v>
      </c>
      <c r="AJ1002">
        <f>[1]资金台帐!AJ1002</f>
        <v>0</v>
      </c>
      <c r="AK1002">
        <f>[1]资金台帐!AK1002</f>
        <v>0</v>
      </c>
      <c r="BA1002" s="22">
        <f t="shared" si="0"/>
      </c>
      <c r="BG1002" s="22">
        <f t="shared" si="1"/>
      </c>
      <c r="BH1002" s="22">
        <f t="shared" si="2"/>
        <v>0</v>
      </c>
    </row>
    <row r="1003">
      <c r="B1003">
        <f>[1]资金台帐!B1003&amp;""</f>
      </c>
      <c r="H1003">
        <f>[1]资金台帐!H1003&amp;""</f>
      </c>
      <c r="J1003">
        <f>[1]资金台帐!J1003&amp;""</f>
      </c>
      <c r="N1003">
        <f>[1]资金台帐!N1003</f>
      </c>
      <c r="O1003">
        <f>[1]资金台帐!O1003&amp;""</f>
      </c>
      <c r="P1003">
        <f>[1]资金台帐!P1003&amp;""</f>
      </c>
      <c r="Q1003">
        <f>[1]资金台帐!Q1003&amp;""</f>
      </c>
      <c r="T1003">
        <f>[1]资金台帐!T1003&amp;""</f>
      </c>
      <c r="U1003">
        <f>[1]资金台帐!U1003&amp;""</f>
      </c>
      <c r="W1003">
        <f>[1]资金台帐!W1003&amp;""</f>
      </c>
      <c r="X1003">
        <f>[1]资金台帐!X1003&amp;""</f>
      </c>
      <c r="AB1003">
        <f>[1]资金台帐!AB1003</f>
        <v>0</v>
      </c>
      <c r="AC1003">
        <f>[1]资金台帐!AC1003</f>
        <v>0</v>
      </c>
      <c r="AD1003">
        <f>[1]资金台帐!AD1003</f>
        <v>0</v>
      </c>
      <c r="AJ1003">
        <f>[1]资金台帐!AJ1003</f>
        <v>0</v>
      </c>
      <c r="AK1003">
        <f>[1]资金台帐!AK1003</f>
        <v>0</v>
      </c>
      <c r="BA1003" s="22">
        <f t="shared" si="0"/>
      </c>
      <c r="BG1003" s="22">
        <f t="shared" si="1"/>
      </c>
      <c r="BH1003" s="22">
        <f t="shared" si="2"/>
        <v>0</v>
      </c>
    </row>
    <row r="1004">
      <c r="B1004">
        <f>[1]资金台帐!B1004&amp;""</f>
      </c>
      <c r="H1004">
        <f>[1]资金台帐!H1004&amp;""</f>
      </c>
      <c r="J1004">
        <f>[1]资金台帐!J1004&amp;""</f>
      </c>
      <c r="N1004">
        <f>[1]资金台帐!N1004</f>
      </c>
      <c r="O1004">
        <f>[1]资金台帐!O1004&amp;""</f>
      </c>
      <c r="P1004">
        <f>[1]资金台帐!P1004&amp;""</f>
      </c>
      <c r="Q1004">
        <f>[1]资金台帐!Q1004&amp;""</f>
      </c>
      <c r="T1004">
        <f>[1]资金台帐!T1004&amp;""</f>
      </c>
      <c r="U1004">
        <f>[1]资金台帐!U1004&amp;""</f>
      </c>
      <c r="W1004">
        <f>[1]资金台帐!W1004&amp;""</f>
      </c>
      <c r="X1004">
        <f>[1]资金台帐!X1004&amp;""</f>
      </c>
      <c r="AB1004">
        <f>[1]资金台帐!AB1004</f>
        <v>0</v>
      </c>
      <c r="AC1004">
        <f>[1]资金台帐!AC1004</f>
        <v>0</v>
      </c>
      <c r="AD1004">
        <f>[1]资金台帐!AD1004</f>
        <v>0</v>
      </c>
      <c r="AJ1004">
        <f>[1]资金台帐!AJ1004</f>
        <v>0</v>
      </c>
      <c r="AK1004">
        <f>[1]资金台帐!AK1004</f>
        <v>0</v>
      </c>
      <c r="BA1004" s="22">
        <f t="shared" si="0"/>
      </c>
      <c r="BG1004" s="22">
        <f t="shared" si="1"/>
      </c>
      <c r="BH1004" s="22">
        <f t="shared" si="2"/>
        <v>0</v>
      </c>
    </row>
    <row r="1005">
      <c r="B1005">
        <f>[1]资金台帐!B1005&amp;""</f>
      </c>
      <c r="H1005">
        <f>[1]资金台帐!H1005&amp;""</f>
      </c>
      <c r="J1005">
        <f>[1]资金台帐!J1005&amp;""</f>
      </c>
      <c r="N1005">
        <f>[1]资金台帐!N1005</f>
      </c>
      <c r="O1005">
        <f>[1]资金台帐!O1005&amp;""</f>
      </c>
      <c r="P1005">
        <f>[1]资金台帐!P1005&amp;""</f>
      </c>
      <c r="Q1005">
        <f>[1]资金台帐!Q1005&amp;""</f>
      </c>
      <c r="T1005">
        <f>[1]资金台帐!T1005&amp;""</f>
      </c>
      <c r="U1005">
        <f>[1]资金台帐!U1005&amp;""</f>
      </c>
      <c r="W1005">
        <f>[1]资金台帐!W1005&amp;""</f>
      </c>
      <c r="X1005">
        <f>[1]资金台帐!X1005&amp;""</f>
      </c>
      <c r="AB1005">
        <f>[1]资金台帐!AB1005</f>
        <v>0</v>
      </c>
      <c r="AC1005">
        <f>[1]资金台帐!AC1005</f>
        <v>0</v>
      </c>
      <c r="AD1005">
        <f>[1]资金台帐!AD1005</f>
        <v>0</v>
      </c>
      <c r="AJ1005">
        <f>[1]资金台帐!AJ1005</f>
        <v>0</v>
      </c>
      <c r="AK1005">
        <f>[1]资金台帐!AK1005</f>
        <v>0</v>
      </c>
      <c r="BA1005" s="22">
        <f t="shared" si="0"/>
      </c>
      <c r="BG1005" s="22">
        <f t="shared" si="1"/>
      </c>
      <c r="BH1005" s="22">
        <f t="shared" si="2"/>
        <v>0</v>
      </c>
    </row>
    <row r="1006">
      <c r="B1006">
        <f>[1]资金台帐!B1006&amp;""</f>
      </c>
      <c r="H1006">
        <f>[1]资金台帐!H1006&amp;""</f>
      </c>
      <c r="J1006">
        <f>[1]资金台帐!J1006&amp;""</f>
      </c>
      <c r="N1006">
        <f>[1]资金台帐!N1006</f>
      </c>
      <c r="O1006">
        <f>[1]资金台帐!O1006&amp;""</f>
      </c>
      <c r="P1006">
        <f>[1]资金台帐!P1006&amp;""</f>
      </c>
      <c r="Q1006">
        <f>[1]资金台帐!Q1006&amp;""</f>
      </c>
      <c r="T1006">
        <f>[1]资金台帐!T1006&amp;""</f>
      </c>
      <c r="U1006">
        <f>[1]资金台帐!U1006&amp;""</f>
      </c>
      <c r="W1006">
        <f>[1]资金台帐!W1006&amp;""</f>
      </c>
      <c r="X1006">
        <f>[1]资金台帐!X1006&amp;""</f>
      </c>
      <c r="AB1006">
        <f>[1]资金台帐!AB1006</f>
        <v>0</v>
      </c>
      <c r="AC1006">
        <f>[1]资金台帐!AC1006</f>
        <v>0</v>
      </c>
      <c r="AD1006">
        <f>[1]资金台帐!AD1006</f>
        <v>0</v>
      </c>
      <c r="AJ1006">
        <f>[1]资金台帐!AJ1006</f>
        <v>0</v>
      </c>
      <c r="AK1006">
        <f>[1]资金台帐!AK1006</f>
        <v>0</v>
      </c>
      <c r="BA1006" s="22">
        <f t="shared" si="0"/>
      </c>
      <c r="BG1006" s="22">
        <f t="shared" si="1"/>
      </c>
      <c r="BH1006" s="22">
        <f t="shared" si="2"/>
        <v>0</v>
      </c>
    </row>
    <row r="1007">
      <c r="B1007">
        <f>[1]资金台帐!B1007&amp;""</f>
      </c>
      <c r="H1007">
        <f>[1]资金台帐!H1007&amp;""</f>
      </c>
      <c r="J1007">
        <f>[1]资金台帐!J1007&amp;""</f>
      </c>
      <c r="N1007">
        <f>[1]资金台帐!N1007</f>
      </c>
      <c r="O1007">
        <f>[1]资金台帐!O1007&amp;""</f>
      </c>
      <c r="P1007">
        <f>[1]资金台帐!P1007&amp;""</f>
      </c>
      <c r="Q1007">
        <f>[1]资金台帐!Q1007&amp;""</f>
      </c>
      <c r="T1007">
        <f>[1]资金台帐!T1007&amp;""</f>
      </c>
      <c r="U1007">
        <f>[1]资金台帐!U1007&amp;""</f>
      </c>
      <c r="W1007">
        <f>[1]资金台帐!W1007&amp;""</f>
      </c>
      <c r="X1007">
        <f>[1]资金台帐!X1007&amp;""</f>
      </c>
      <c r="AB1007">
        <f>[1]资金台帐!AB1007</f>
        <v>0</v>
      </c>
      <c r="AC1007">
        <f>[1]资金台帐!AC1007</f>
        <v>0</v>
      </c>
      <c r="AD1007">
        <f>[1]资金台帐!AD1007</f>
        <v>0</v>
      </c>
      <c r="AJ1007">
        <f>[1]资金台帐!AJ1007</f>
        <v>0</v>
      </c>
      <c r="AK1007">
        <f>[1]资金台帐!AK1007</f>
        <v>0</v>
      </c>
      <c r="BA1007" s="22">
        <f t="shared" si="0"/>
      </c>
      <c r="BG1007" s="22">
        <f t="shared" si="1"/>
      </c>
      <c r="BH1007" s="22">
        <f t="shared" si="2"/>
        <v>0</v>
      </c>
    </row>
    <row r="1008">
      <c r="B1008">
        <f>[1]资金台帐!B1008&amp;""</f>
      </c>
      <c r="H1008">
        <f>[1]资金台帐!H1008&amp;""</f>
      </c>
      <c r="J1008">
        <f>[1]资金台帐!J1008&amp;""</f>
      </c>
      <c r="N1008">
        <f>[1]资金台帐!N1008</f>
      </c>
      <c r="O1008">
        <f>[1]资金台帐!O1008&amp;""</f>
      </c>
      <c r="P1008">
        <f>[1]资金台帐!P1008&amp;""</f>
      </c>
      <c r="Q1008">
        <f>[1]资金台帐!Q1008&amp;""</f>
      </c>
      <c r="T1008">
        <f>[1]资金台帐!T1008&amp;""</f>
      </c>
      <c r="U1008">
        <f>[1]资金台帐!U1008&amp;""</f>
      </c>
      <c r="W1008">
        <f>[1]资金台帐!W1008&amp;""</f>
      </c>
      <c r="X1008">
        <f>[1]资金台帐!X1008&amp;""</f>
      </c>
      <c r="AB1008">
        <f>[1]资金台帐!AB1008</f>
        <v>0</v>
      </c>
      <c r="AC1008">
        <f>[1]资金台帐!AC1008</f>
        <v>0</v>
      </c>
      <c r="AD1008">
        <f>[1]资金台帐!AD1008</f>
        <v>0</v>
      </c>
      <c r="AJ1008">
        <f>[1]资金台帐!AJ1008</f>
        <v>0</v>
      </c>
      <c r="AK1008">
        <f>[1]资金台帐!AK1008</f>
        <v>0</v>
      </c>
      <c r="BA1008" s="22">
        <f t="shared" si="0"/>
      </c>
      <c r="BG1008" s="22">
        <f t="shared" si="1"/>
      </c>
      <c r="BH1008" s="22">
        <f t="shared" si="2"/>
        <v>0</v>
      </c>
    </row>
    <row r="1009">
      <c r="B1009">
        <f>[1]资金台帐!B1009&amp;""</f>
      </c>
      <c r="H1009">
        <f>[1]资金台帐!H1009&amp;""</f>
      </c>
      <c r="J1009">
        <f>[1]资金台帐!J1009&amp;""</f>
      </c>
      <c r="N1009">
        <f>[1]资金台帐!N1009</f>
      </c>
      <c r="O1009">
        <f>[1]资金台帐!O1009&amp;""</f>
      </c>
      <c r="P1009">
        <f>[1]资金台帐!P1009&amp;""</f>
      </c>
      <c r="Q1009">
        <f>[1]资金台帐!Q1009&amp;""</f>
      </c>
      <c r="T1009">
        <f>[1]资金台帐!T1009&amp;""</f>
      </c>
      <c r="U1009">
        <f>[1]资金台帐!U1009&amp;""</f>
      </c>
      <c r="W1009">
        <f>[1]资金台帐!W1009&amp;""</f>
      </c>
      <c r="X1009">
        <f>[1]资金台帐!X1009&amp;""</f>
      </c>
      <c r="AB1009">
        <f>[1]资金台帐!AB1009</f>
        <v>0</v>
      </c>
      <c r="AC1009">
        <f>[1]资金台帐!AC1009</f>
        <v>0</v>
      </c>
      <c r="AD1009">
        <f>[1]资金台帐!AD1009</f>
        <v>0</v>
      </c>
      <c r="AJ1009">
        <f>[1]资金台帐!AJ1009</f>
        <v>0</v>
      </c>
      <c r="AK1009">
        <f>[1]资金台帐!AK1009</f>
        <v>0</v>
      </c>
      <c r="BA1009" s="22">
        <f t="shared" si="0"/>
      </c>
      <c r="BG1009" s="22">
        <f t="shared" si="1"/>
      </c>
      <c r="BH1009" s="22">
        <f t="shared" si="2"/>
        <v>0</v>
      </c>
    </row>
    <row r="1010">
      <c r="B1010">
        <f>[1]资金台帐!B1010&amp;""</f>
      </c>
      <c r="H1010">
        <f>[1]资金台帐!H1010&amp;""</f>
      </c>
      <c r="J1010">
        <f>[1]资金台帐!J1010&amp;""</f>
      </c>
      <c r="N1010">
        <f>[1]资金台帐!N1010</f>
      </c>
      <c r="O1010">
        <f>[1]资金台帐!O1010&amp;""</f>
      </c>
      <c r="P1010">
        <f>[1]资金台帐!P1010&amp;""</f>
      </c>
      <c r="Q1010">
        <f>[1]资金台帐!Q1010&amp;""</f>
      </c>
      <c r="T1010">
        <f>[1]资金台帐!T1010&amp;""</f>
      </c>
      <c r="U1010">
        <f>[1]资金台帐!U1010&amp;""</f>
      </c>
      <c r="W1010">
        <f>[1]资金台帐!W1010&amp;""</f>
      </c>
      <c r="X1010">
        <f>[1]资金台帐!X1010&amp;""</f>
      </c>
      <c r="AB1010">
        <f>[1]资金台帐!AB1010</f>
        <v>0</v>
      </c>
      <c r="AC1010">
        <f>[1]资金台帐!AC1010</f>
        <v>0</v>
      </c>
      <c r="AD1010">
        <f>[1]资金台帐!AD1010</f>
        <v>0</v>
      </c>
      <c r="AJ1010">
        <f>[1]资金台帐!AJ1010</f>
        <v>0</v>
      </c>
      <c r="AK1010">
        <f>[1]资金台帐!AK1010</f>
        <v>0</v>
      </c>
      <c r="BA1010" s="22">
        <f t="shared" si="0"/>
      </c>
      <c r="BG1010" s="22">
        <f t="shared" si="1"/>
      </c>
      <c r="BH1010" s="22">
        <f t="shared" si="2"/>
        <v>0</v>
      </c>
    </row>
    <row r="1011">
      <c r="B1011">
        <f>[1]资金台帐!B1011&amp;""</f>
      </c>
      <c r="H1011">
        <f>[1]资金台帐!H1011&amp;""</f>
      </c>
      <c r="J1011">
        <f>[1]资金台帐!J1011&amp;""</f>
      </c>
      <c r="N1011">
        <f>[1]资金台帐!N1011</f>
      </c>
      <c r="O1011">
        <f>[1]资金台帐!O1011&amp;""</f>
      </c>
      <c r="P1011">
        <f>[1]资金台帐!P1011&amp;""</f>
      </c>
      <c r="Q1011">
        <f>[1]资金台帐!Q1011&amp;""</f>
      </c>
      <c r="T1011">
        <f>[1]资金台帐!T1011&amp;""</f>
      </c>
      <c r="U1011">
        <f>[1]资金台帐!U1011&amp;""</f>
      </c>
      <c r="W1011">
        <f>[1]资金台帐!W1011&amp;""</f>
      </c>
      <c r="X1011">
        <f>[1]资金台帐!X1011&amp;""</f>
      </c>
      <c r="AB1011">
        <f>[1]资金台帐!AB1011</f>
        <v>0</v>
      </c>
      <c r="AC1011">
        <f>[1]资金台帐!AC1011</f>
        <v>0</v>
      </c>
      <c r="AD1011">
        <f>[1]资金台帐!AD1011</f>
        <v>0</v>
      </c>
      <c r="AJ1011">
        <f>[1]资金台帐!AJ1011</f>
        <v>0</v>
      </c>
      <c r="AK1011">
        <f>[1]资金台帐!AK1011</f>
        <v>0</v>
      </c>
      <c r="BA1011" s="22">
        <f t="shared" si="0"/>
      </c>
      <c r="BG1011" s="22">
        <f t="shared" si="1"/>
      </c>
      <c r="BH1011" s="22">
        <f t="shared" si="2"/>
        <v>0</v>
      </c>
    </row>
    <row r="1012">
      <c r="B1012">
        <f>[1]资金台帐!B1012&amp;""</f>
      </c>
      <c r="H1012">
        <f>[1]资金台帐!H1012&amp;""</f>
      </c>
      <c r="J1012">
        <f>[1]资金台帐!J1012&amp;""</f>
      </c>
      <c r="N1012">
        <f>[1]资金台帐!N1012</f>
      </c>
      <c r="O1012">
        <f>[1]资金台帐!O1012&amp;""</f>
      </c>
      <c r="P1012">
        <f>[1]资金台帐!P1012&amp;""</f>
      </c>
      <c r="Q1012">
        <f>[1]资金台帐!Q1012&amp;""</f>
      </c>
      <c r="T1012">
        <f>[1]资金台帐!T1012&amp;""</f>
      </c>
      <c r="U1012">
        <f>[1]资金台帐!U1012&amp;""</f>
      </c>
      <c r="W1012">
        <f>[1]资金台帐!W1012&amp;""</f>
      </c>
      <c r="X1012">
        <f>[1]资金台帐!X1012&amp;""</f>
      </c>
      <c r="AB1012">
        <f>[1]资金台帐!AB1012</f>
        <v>0</v>
      </c>
      <c r="AC1012">
        <f>[1]资金台帐!AC1012</f>
        <v>0</v>
      </c>
      <c r="AD1012">
        <f>[1]资金台帐!AD1012</f>
        <v>0</v>
      </c>
      <c r="AJ1012">
        <f>[1]资金台帐!AJ1012</f>
        <v>0</v>
      </c>
      <c r="AK1012">
        <f>[1]资金台帐!AK1012</f>
        <v>0</v>
      </c>
      <c r="BA1012" s="22">
        <f t="shared" si="0"/>
      </c>
      <c r="BG1012" s="22">
        <f t="shared" si="1"/>
      </c>
      <c r="BH1012" s="22">
        <f t="shared" si="2"/>
        <v>0</v>
      </c>
    </row>
    <row r="1013">
      <c r="B1013">
        <f>[1]资金台帐!B1013&amp;""</f>
      </c>
      <c r="H1013">
        <f>[1]资金台帐!H1013&amp;""</f>
      </c>
      <c r="J1013">
        <f>[1]资金台帐!J1013&amp;""</f>
      </c>
      <c r="N1013">
        <f>[1]资金台帐!N1013</f>
      </c>
      <c r="O1013">
        <f>[1]资金台帐!O1013&amp;""</f>
      </c>
      <c r="P1013">
        <f>[1]资金台帐!P1013&amp;""</f>
      </c>
      <c r="Q1013">
        <f>[1]资金台帐!Q1013&amp;""</f>
      </c>
      <c r="T1013">
        <f>[1]资金台帐!T1013&amp;""</f>
      </c>
      <c r="U1013">
        <f>[1]资金台帐!U1013&amp;""</f>
      </c>
      <c r="W1013">
        <f>[1]资金台帐!W1013&amp;""</f>
      </c>
      <c r="X1013">
        <f>[1]资金台帐!X1013&amp;""</f>
      </c>
      <c r="AB1013">
        <f>[1]资金台帐!AB1013</f>
        <v>0</v>
      </c>
      <c r="AC1013">
        <f>[1]资金台帐!AC1013</f>
        <v>0</v>
      </c>
      <c r="AD1013">
        <f>[1]资金台帐!AD1013</f>
        <v>0</v>
      </c>
      <c r="AJ1013">
        <f>[1]资金台帐!AJ1013</f>
        <v>0</v>
      </c>
      <c r="AK1013">
        <f>[1]资金台帐!AK1013</f>
        <v>0</v>
      </c>
      <c r="BA1013" s="22">
        <f t="shared" si="0"/>
      </c>
      <c r="BG1013" s="22">
        <f t="shared" si="1"/>
      </c>
      <c r="BH1013" s="22">
        <f t="shared" si="2"/>
        <v>0</v>
      </c>
    </row>
    <row r="1014">
      <c r="B1014">
        <f>[1]资金台帐!B1014&amp;""</f>
      </c>
      <c r="H1014">
        <f>[1]资金台帐!H1014&amp;""</f>
      </c>
      <c r="J1014">
        <f>[1]资金台帐!J1014&amp;""</f>
      </c>
      <c r="N1014">
        <f>[1]资金台帐!N1014</f>
      </c>
      <c r="O1014">
        <f>[1]资金台帐!O1014&amp;""</f>
      </c>
      <c r="P1014">
        <f>[1]资金台帐!P1014&amp;""</f>
      </c>
      <c r="Q1014">
        <f>[1]资金台帐!Q1014&amp;""</f>
      </c>
      <c r="T1014">
        <f>[1]资金台帐!T1014&amp;""</f>
      </c>
      <c r="U1014">
        <f>[1]资金台帐!U1014&amp;""</f>
      </c>
      <c r="W1014">
        <f>[1]资金台帐!W1014&amp;""</f>
      </c>
      <c r="X1014">
        <f>[1]资金台帐!X1014&amp;""</f>
      </c>
      <c r="AB1014">
        <f>[1]资金台帐!AB1014</f>
        <v>0</v>
      </c>
      <c r="AC1014">
        <f>[1]资金台帐!AC1014</f>
        <v>0</v>
      </c>
      <c r="AD1014">
        <f>[1]资金台帐!AD1014</f>
        <v>0</v>
      </c>
      <c r="AJ1014">
        <f>[1]资金台帐!AJ1014</f>
        <v>0</v>
      </c>
      <c r="AK1014">
        <f>[1]资金台帐!AK1014</f>
        <v>0</v>
      </c>
      <c r="BA1014" s="22">
        <f t="shared" si="0"/>
      </c>
      <c r="BG1014" s="22">
        <f t="shared" si="1"/>
      </c>
      <c r="BH1014" s="22">
        <f t="shared" si="2"/>
        <v>0</v>
      </c>
    </row>
    <row r="1015">
      <c r="B1015">
        <f>[1]资金台帐!B1015&amp;""</f>
      </c>
      <c r="H1015">
        <f>[1]资金台帐!H1015&amp;""</f>
      </c>
      <c r="J1015">
        <f>[1]资金台帐!J1015&amp;""</f>
      </c>
      <c r="N1015">
        <f>[1]资金台帐!N1015</f>
      </c>
      <c r="O1015">
        <f>[1]资金台帐!O1015&amp;""</f>
      </c>
      <c r="P1015">
        <f>[1]资金台帐!P1015&amp;""</f>
      </c>
      <c r="Q1015">
        <f>[1]资金台帐!Q1015&amp;""</f>
      </c>
      <c r="T1015">
        <f>[1]资金台帐!T1015&amp;""</f>
      </c>
      <c r="U1015">
        <f>[1]资金台帐!U1015&amp;""</f>
      </c>
      <c r="W1015">
        <f>[1]资金台帐!W1015&amp;""</f>
      </c>
      <c r="X1015">
        <f>[1]资金台帐!X1015&amp;""</f>
      </c>
      <c r="AB1015">
        <f>[1]资金台帐!AB1015</f>
        <v>0</v>
      </c>
      <c r="AC1015">
        <f>[1]资金台帐!AC1015</f>
        <v>0</v>
      </c>
      <c r="AD1015">
        <f>[1]资金台帐!AD1015</f>
        <v>0</v>
      </c>
      <c r="AJ1015">
        <f>[1]资金台帐!AJ1015</f>
        <v>0</v>
      </c>
      <c r="AK1015">
        <f>[1]资金台帐!AK1015</f>
        <v>0</v>
      </c>
      <c r="BA1015" s="22">
        <f t="shared" si="0"/>
      </c>
      <c r="BG1015" s="22">
        <f t="shared" si="1"/>
      </c>
      <c r="BH1015" s="22">
        <f t="shared" si="2"/>
        <v>0</v>
      </c>
    </row>
    <row r="1016">
      <c r="B1016">
        <f>[1]资金台帐!B1016&amp;""</f>
      </c>
      <c r="H1016">
        <f>[1]资金台帐!H1016&amp;""</f>
      </c>
      <c r="J1016">
        <f>[1]资金台帐!J1016&amp;""</f>
      </c>
      <c r="N1016">
        <f>[1]资金台帐!N1016</f>
      </c>
      <c r="O1016">
        <f>[1]资金台帐!O1016&amp;""</f>
      </c>
      <c r="P1016">
        <f>[1]资金台帐!P1016&amp;""</f>
      </c>
      <c r="Q1016">
        <f>[1]资金台帐!Q1016&amp;""</f>
      </c>
      <c r="T1016">
        <f>[1]资金台帐!T1016&amp;""</f>
      </c>
      <c r="U1016">
        <f>[1]资金台帐!U1016&amp;""</f>
      </c>
      <c r="W1016">
        <f>[1]资金台帐!W1016&amp;""</f>
      </c>
      <c r="X1016">
        <f>[1]资金台帐!X1016&amp;""</f>
      </c>
      <c r="AB1016">
        <f>[1]资金台帐!AB1016</f>
        <v>0</v>
      </c>
      <c r="AC1016">
        <f>[1]资金台帐!AC1016</f>
        <v>0</v>
      </c>
      <c r="AD1016">
        <f>[1]资金台帐!AD1016</f>
        <v>0</v>
      </c>
      <c r="AJ1016">
        <f>[1]资金台帐!AJ1016</f>
        <v>0</v>
      </c>
      <c r="AK1016">
        <f>[1]资金台帐!AK1016</f>
        <v>0</v>
      </c>
      <c r="BA1016" s="22">
        <f t="shared" si="0"/>
      </c>
      <c r="BG1016" s="22">
        <f t="shared" si="1"/>
      </c>
      <c r="BH1016" s="22">
        <f t="shared" si="2"/>
        <v>0</v>
      </c>
    </row>
    <row r="1017">
      <c r="B1017">
        <f>[1]资金台帐!B1017&amp;""</f>
      </c>
      <c r="H1017">
        <f>[1]资金台帐!H1017&amp;""</f>
      </c>
      <c r="J1017">
        <f>[1]资金台帐!J1017&amp;""</f>
      </c>
      <c r="N1017">
        <f>[1]资金台帐!N1017</f>
      </c>
      <c r="O1017">
        <f>[1]资金台帐!O1017&amp;""</f>
      </c>
      <c r="P1017">
        <f>[1]资金台帐!P1017&amp;""</f>
      </c>
      <c r="Q1017">
        <f>[1]资金台帐!Q1017&amp;""</f>
      </c>
      <c r="T1017">
        <f>[1]资金台帐!T1017&amp;""</f>
      </c>
      <c r="U1017">
        <f>[1]资金台帐!U1017&amp;""</f>
      </c>
      <c r="W1017">
        <f>[1]资金台帐!W1017&amp;""</f>
      </c>
      <c r="X1017">
        <f>[1]资金台帐!X1017&amp;""</f>
      </c>
      <c r="AB1017">
        <f>[1]资金台帐!AB1017</f>
        <v>0</v>
      </c>
      <c r="AC1017">
        <f>[1]资金台帐!AC1017</f>
        <v>0</v>
      </c>
      <c r="AD1017">
        <f>[1]资金台帐!AD1017</f>
        <v>0</v>
      </c>
      <c r="AJ1017">
        <f>[1]资金台帐!AJ1017</f>
        <v>0</v>
      </c>
      <c r="AK1017">
        <f>[1]资金台帐!AK1017</f>
        <v>0</v>
      </c>
      <c r="BA1017" s="22">
        <f t="shared" si="0"/>
      </c>
      <c r="BG1017" s="22">
        <f t="shared" si="1"/>
      </c>
      <c r="BH1017" s="22">
        <f t="shared" si="2"/>
        <v>0</v>
      </c>
    </row>
    <row r="1018">
      <c r="B1018">
        <f>[1]资金台帐!B1018&amp;""</f>
      </c>
      <c r="H1018">
        <f>[1]资金台帐!H1018&amp;""</f>
      </c>
      <c r="J1018">
        <f>[1]资金台帐!J1018&amp;""</f>
      </c>
      <c r="N1018">
        <f>[1]资金台帐!N1018</f>
      </c>
      <c r="O1018">
        <f>[1]资金台帐!O1018&amp;""</f>
      </c>
      <c r="P1018">
        <f>[1]资金台帐!P1018&amp;""</f>
      </c>
      <c r="Q1018">
        <f>[1]资金台帐!Q1018&amp;""</f>
      </c>
      <c r="T1018">
        <f>[1]资金台帐!T1018&amp;""</f>
      </c>
      <c r="U1018">
        <f>[1]资金台帐!U1018&amp;""</f>
      </c>
      <c r="W1018">
        <f>[1]资金台帐!W1018&amp;""</f>
      </c>
      <c r="X1018">
        <f>[1]资金台帐!X1018&amp;""</f>
      </c>
      <c r="AB1018">
        <f>[1]资金台帐!AB1018</f>
        <v>0</v>
      </c>
      <c r="AC1018">
        <f>[1]资金台帐!AC1018</f>
        <v>0</v>
      </c>
      <c r="AD1018">
        <f>[1]资金台帐!AD1018</f>
        <v>0</v>
      </c>
      <c r="AJ1018">
        <f>[1]资金台帐!AJ1018</f>
        <v>0</v>
      </c>
      <c r="AK1018">
        <f>[1]资金台帐!AK1018</f>
        <v>0</v>
      </c>
      <c r="BA1018" s="22">
        <f t="shared" si="0"/>
      </c>
      <c r="BG1018" s="22">
        <f t="shared" si="1"/>
      </c>
      <c r="BH1018" s="22">
        <f t="shared" si="2"/>
        <v>0</v>
      </c>
    </row>
    <row r="1019">
      <c r="B1019">
        <f>[1]资金台帐!B1019&amp;""</f>
      </c>
      <c r="H1019">
        <f>[1]资金台帐!H1019&amp;""</f>
      </c>
      <c r="J1019">
        <f>[1]资金台帐!J1019&amp;""</f>
      </c>
      <c r="N1019">
        <f>[1]资金台帐!N1019</f>
      </c>
      <c r="O1019">
        <f>[1]资金台帐!O1019&amp;""</f>
      </c>
      <c r="P1019">
        <f>[1]资金台帐!P1019&amp;""</f>
      </c>
      <c r="Q1019">
        <f>[1]资金台帐!Q1019&amp;""</f>
      </c>
      <c r="T1019">
        <f>[1]资金台帐!T1019&amp;""</f>
      </c>
      <c r="U1019">
        <f>[1]资金台帐!U1019&amp;""</f>
      </c>
      <c r="W1019">
        <f>[1]资金台帐!W1019&amp;""</f>
      </c>
      <c r="X1019">
        <f>[1]资金台帐!X1019&amp;""</f>
      </c>
      <c r="AB1019">
        <f>[1]资金台帐!AB1019</f>
        <v>0</v>
      </c>
      <c r="AC1019">
        <f>[1]资金台帐!AC1019</f>
        <v>0</v>
      </c>
      <c r="AD1019">
        <f>[1]资金台帐!AD1019</f>
        <v>0</v>
      </c>
      <c r="AJ1019">
        <f>[1]资金台帐!AJ1019</f>
        <v>0</v>
      </c>
      <c r="AK1019">
        <f>[1]资金台帐!AK1019</f>
        <v>0</v>
      </c>
      <c r="BA1019" s="22">
        <f t="shared" si="0"/>
      </c>
      <c r="BG1019" s="22">
        <f t="shared" si="1"/>
      </c>
      <c r="BH1019" s="22">
        <f t="shared" si="2"/>
        <v>0</v>
      </c>
    </row>
    <row r="1020">
      <c r="B1020">
        <f>[1]资金台帐!B1020&amp;""</f>
      </c>
      <c r="H1020">
        <f>[1]资金台帐!H1020&amp;""</f>
      </c>
      <c r="J1020">
        <f>[1]资金台帐!J1020&amp;""</f>
      </c>
      <c r="N1020">
        <f>[1]资金台帐!N1020</f>
      </c>
      <c r="O1020">
        <f>[1]资金台帐!O1020&amp;""</f>
      </c>
      <c r="P1020">
        <f>[1]资金台帐!P1020&amp;""</f>
      </c>
      <c r="Q1020">
        <f>[1]资金台帐!Q1020&amp;""</f>
      </c>
      <c r="T1020">
        <f>[1]资金台帐!T1020&amp;""</f>
      </c>
      <c r="U1020">
        <f>[1]资金台帐!U1020&amp;""</f>
      </c>
      <c r="W1020">
        <f>[1]资金台帐!W1020&amp;""</f>
      </c>
      <c r="X1020">
        <f>[1]资金台帐!X1020&amp;""</f>
      </c>
      <c r="AB1020">
        <f>[1]资金台帐!AB1020</f>
        <v>0</v>
      </c>
      <c r="AC1020">
        <f>[1]资金台帐!AC1020</f>
        <v>0</v>
      </c>
      <c r="AD1020">
        <f>[1]资金台帐!AD1020</f>
        <v>0</v>
      </c>
      <c r="AJ1020">
        <f>[1]资金台帐!AJ1020</f>
        <v>0</v>
      </c>
      <c r="AK1020">
        <f>[1]资金台帐!AK1020</f>
        <v>0</v>
      </c>
      <c r="BA1020" s="22">
        <f t="shared" si="0"/>
      </c>
      <c r="BG1020" s="22">
        <f t="shared" si="1"/>
      </c>
      <c r="BH1020" s="22">
        <f t="shared" si="2"/>
        <v>0</v>
      </c>
    </row>
    <row r="1021">
      <c r="B1021">
        <f>[1]资金台帐!B1021&amp;""</f>
      </c>
      <c r="H1021">
        <f>[1]资金台帐!H1021&amp;""</f>
      </c>
      <c r="J1021">
        <f>[1]资金台帐!J1021&amp;""</f>
      </c>
      <c r="N1021">
        <f>[1]资金台帐!N1021</f>
      </c>
      <c r="O1021">
        <f>[1]资金台帐!O1021&amp;""</f>
      </c>
      <c r="P1021">
        <f>[1]资金台帐!P1021&amp;""</f>
      </c>
      <c r="Q1021">
        <f>[1]资金台帐!Q1021&amp;""</f>
      </c>
      <c r="T1021">
        <f>[1]资金台帐!T1021&amp;""</f>
      </c>
      <c r="U1021">
        <f>[1]资金台帐!U1021&amp;""</f>
      </c>
      <c r="W1021">
        <f>[1]资金台帐!W1021&amp;""</f>
      </c>
      <c r="X1021">
        <f>[1]资金台帐!X1021&amp;""</f>
      </c>
      <c r="AB1021">
        <f>[1]资金台帐!AB1021</f>
        <v>0</v>
      </c>
      <c r="AC1021">
        <f>[1]资金台帐!AC1021</f>
        <v>0</v>
      </c>
      <c r="AD1021">
        <f>[1]资金台帐!AD1021</f>
        <v>0</v>
      </c>
      <c r="AJ1021">
        <f>[1]资金台帐!AJ1021</f>
        <v>0</v>
      </c>
      <c r="AK1021">
        <f>[1]资金台帐!AK1021</f>
        <v>0</v>
      </c>
      <c r="BA1021" s="22">
        <f t="shared" si="0"/>
      </c>
      <c r="BG1021" s="22">
        <f t="shared" si="1"/>
      </c>
      <c r="BH1021" s="22">
        <f t="shared" si="2"/>
        <v>0</v>
      </c>
    </row>
    <row r="1022">
      <c r="B1022">
        <f>[1]资金台帐!B1022&amp;""</f>
      </c>
      <c r="H1022">
        <f>[1]资金台帐!H1022&amp;""</f>
      </c>
      <c r="J1022">
        <f>[1]资金台帐!J1022&amp;""</f>
      </c>
      <c r="N1022">
        <f>[1]资金台帐!N1022</f>
      </c>
      <c r="O1022">
        <f>[1]资金台帐!O1022&amp;""</f>
      </c>
      <c r="P1022">
        <f>[1]资金台帐!P1022&amp;""</f>
      </c>
      <c r="Q1022">
        <f>[1]资金台帐!Q1022&amp;""</f>
      </c>
      <c r="T1022">
        <f>[1]资金台帐!T1022&amp;""</f>
      </c>
      <c r="U1022">
        <f>[1]资金台帐!U1022&amp;""</f>
      </c>
      <c r="W1022">
        <f>[1]资金台帐!W1022&amp;""</f>
      </c>
      <c r="X1022">
        <f>[1]资金台帐!X1022&amp;""</f>
      </c>
      <c r="AB1022">
        <f>[1]资金台帐!AB1022</f>
        <v>0</v>
      </c>
      <c r="AC1022">
        <f>[1]资金台帐!AC1022</f>
        <v>0</v>
      </c>
      <c r="AD1022">
        <f>[1]资金台帐!AD1022</f>
        <v>0</v>
      </c>
      <c r="AJ1022">
        <f>[1]资金台帐!AJ1022</f>
        <v>0</v>
      </c>
      <c r="AK1022">
        <f>[1]资金台帐!AK1022</f>
        <v>0</v>
      </c>
      <c r="BA1022" s="22">
        <f t="shared" si="0"/>
      </c>
      <c r="BG1022" s="22">
        <f t="shared" si="1"/>
      </c>
      <c r="BH1022" s="22">
        <f t="shared" si="2"/>
        <v>0</v>
      </c>
    </row>
    <row r="1023">
      <c r="B1023">
        <f>[1]资金台帐!B1023&amp;""</f>
      </c>
      <c r="H1023">
        <f>[1]资金台帐!H1023&amp;""</f>
      </c>
      <c r="J1023">
        <f>[1]资金台帐!J1023&amp;""</f>
      </c>
      <c r="N1023">
        <f>[1]资金台帐!N1023</f>
      </c>
      <c r="O1023">
        <f>[1]资金台帐!O1023&amp;""</f>
      </c>
      <c r="P1023">
        <f>[1]资金台帐!P1023&amp;""</f>
      </c>
      <c r="Q1023">
        <f>[1]资金台帐!Q1023&amp;""</f>
      </c>
      <c r="T1023">
        <f>[1]资金台帐!T1023&amp;""</f>
      </c>
      <c r="U1023">
        <f>[1]资金台帐!U1023&amp;""</f>
      </c>
      <c r="W1023">
        <f>[1]资金台帐!W1023&amp;""</f>
      </c>
      <c r="X1023">
        <f>[1]资金台帐!X1023&amp;""</f>
      </c>
      <c r="AB1023">
        <f>[1]资金台帐!AB1023</f>
        <v>0</v>
      </c>
      <c r="AC1023">
        <f>[1]资金台帐!AC1023</f>
        <v>0</v>
      </c>
      <c r="AD1023">
        <f>[1]资金台帐!AD1023</f>
        <v>0</v>
      </c>
      <c r="AJ1023">
        <f>[1]资金台帐!AJ1023</f>
        <v>0</v>
      </c>
      <c r="AK1023">
        <f>[1]资金台帐!AK1023</f>
        <v>0</v>
      </c>
      <c r="BA1023" s="22">
        <f t="shared" si="0"/>
      </c>
      <c r="BG1023" s="22">
        <f t="shared" si="1"/>
      </c>
      <c r="BH1023" s="22">
        <f t="shared" si="2"/>
        <v>0</v>
      </c>
    </row>
    <row r="1024">
      <c r="B1024">
        <f>[1]资金台帐!B1024&amp;""</f>
      </c>
      <c r="H1024">
        <f>[1]资金台帐!H1024&amp;""</f>
      </c>
      <c r="J1024">
        <f>[1]资金台帐!J1024&amp;""</f>
      </c>
      <c r="N1024">
        <f>[1]资金台帐!N1024</f>
      </c>
      <c r="O1024">
        <f>[1]资金台帐!O1024&amp;""</f>
      </c>
      <c r="P1024">
        <f>[1]资金台帐!P1024&amp;""</f>
      </c>
      <c r="Q1024">
        <f>[1]资金台帐!Q1024&amp;""</f>
      </c>
      <c r="T1024">
        <f>[1]资金台帐!T1024&amp;""</f>
      </c>
      <c r="U1024">
        <f>[1]资金台帐!U1024&amp;""</f>
      </c>
      <c r="W1024">
        <f>[1]资金台帐!W1024&amp;""</f>
      </c>
      <c r="X1024">
        <f>[1]资金台帐!X1024&amp;""</f>
      </c>
      <c r="AB1024">
        <f>[1]资金台帐!AB1024</f>
        <v>0</v>
      </c>
      <c r="AC1024">
        <f>[1]资金台帐!AC1024</f>
        <v>0</v>
      </c>
      <c r="AD1024">
        <f>[1]资金台帐!AD1024</f>
        <v>0</v>
      </c>
      <c r="AJ1024">
        <f>[1]资金台帐!AJ1024</f>
        <v>0</v>
      </c>
      <c r="AK1024">
        <f>[1]资金台帐!AK1024</f>
        <v>0</v>
      </c>
      <c r="BA1024" s="22">
        <f t="shared" si="0"/>
      </c>
      <c r="BG1024" s="22">
        <f t="shared" si="1"/>
      </c>
      <c r="BH1024" s="22">
        <f t="shared" si="2"/>
        <v>0</v>
      </c>
    </row>
    <row r="1025">
      <c r="B1025">
        <f>[1]资金台帐!B1025&amp;""</f>
      </c>
      <c r="H1025">
        <f>[1]资金台帐!H1025&amp;""</f>
      </c>
      <c r="J1025">
        <f>[1]资金台帐!J1025&amp;""</f>
      </c>
      <c r="N1025">
        <f>[1]资金台帐!N1025</f>
      </c>
      <c r="O1025">
        <f>[1]资金台帐!O1025&amp;""</f>
      </c>
      <c r="P1025">
        <f>[1]资金台帐!P1025&amp;""</f>
      </c>
      <c r="Q1025">
        <f>[1]资金台帐!Q1025&amp;""</f>
      </c>
      <c r="T1025">
        <f>[1]资金台帐!T1025&amp;""</f>
      </c>
      <c r="U1025">
        <f>[1]资金台帐!U1025&amp;""</f>
      </c>
      <c r="W1025">
        <f>[1]资金台帐!W1025&amp;""</f>
      </c>
      <c r="X1025">
        <f>[1]资金台帐!X1025&amp;""</f>
      </c>
      <c r="AB1025">
        <f>[1]资金台帐!AB1025</f>
        <v>0</v>
      </c>
      <c r="AC1025">
        <f>[1]资金台帐!AC1025</f>
        <v>0</v>
      </c>
      <c r="AD1025">
        <f>[1]资金台帐!AD1025</f>
        <v>0</v>
      </c>
      <c r="AJ1025">
        <f>[1]资金台帐!AJ1025</f>
        <v>0</v>
      </c>
      <c r="AK1025">
        <f>[1]资金台帐!AK1025</f>
        <v>0</v>
      </c>
      <c r="BA1025" s="22">
        <f t="shared" si="0"/>
      </c>
      <c r="BG1025" s="22">
        <f t="shared" si="1"/>
      </c>
      <c r="BH1025" s="22">
        <f t="shared" si="2"/>
        <v>0</v>
      </c>
    </row>
    <row r="1026">
      <c r="B1026">
        <f>[1]资金台帐!B1026&amp;""</f>
      </c>
      <c r="H1026">
        <f>[1]资金台帐!H1026&amp;""</f>
      </c>
      <c r="J1026">
        <f>[1]资金台帐!J1026&amp;""</f>
      </c>
      <c r="N1026">
        <f>[1]资金台帐!N1026</f>
      </c>
      <c r="O1026">
        <f>[1]资金台帐!O1026&amp;""</f>
      </c>
      <c r="P1026">
        <f>[1]资金台帐!P1026&amp;""</f>
      </c>
      <c r="Q1026">
        <f>[1]资金台帐!Q1026&amp;""</f>
      </c>
      <c r="T1026">
        <f>[1]资金台帐!T1026&amp;""</f>
      </c>
      <c r="U1026">
        <f>[1]资金台帐!U1026&amp;""</f>
      </c>
      <c r="W1026">
        <f>[1]资金台帐!W1026&amp;""</f>
      </c>
      <c r="X1026">
        <f>[1]资金台帐!X1026&amp;""</f>
      </c>
      <c r="AB1026">
        <f>[1]资金台帐!AB1026</f>
        <v>0</v>
      </c>
      <c r="AC1026">
        <f>[1]资金台帐!AC1026</f>
        <v>0</v>
      </c>
      <c r="AD1026">
        <f>[1]资金台帐!AD1026</f>
        <v>0</v>
      </c>
      <c r="AJ1026">
        <f>[1]资金台帐!AJ1026</f>
        <v>0</v>
      </c>
      <c r="AK1026">
        <f>[1]资金台帐!AK1026</f>
        <v>0</v>
      </c>
      <c r="BA1026" s="22">
        <f t="shared" si="0"/>
      </c>
      <c r="BG1026" s="22">
        <f t="shared" si="1"/>
      </c>
      <c r="BH1026" s="22">
        <f t="shared" si="2"/>
        <v>0</v>
      </c>
    </row>
    <row r="1027">
      <c r="B1027">
        <f>[1]资金台帐!B1027&amp;""</f>
      </c>
      <c r="H1027">
        <f>[1]资金台帐!H1027&amp;""</f>
      </c>
      <c r="J1027">
        <f>[1]资金台帐!J1027&amp;""</f>
      </c>
      <c r="N1027">
        <f>[1]资金台帐!N1027</f>
      </c>
      <c r="O1027">
        <f>[1]资金台帐!O1027&amp;""</f>
      </c>
      <c r="P1027">
        <f>[1]资金台帐!P1027&amp;""</f>
      </c>
      <c r="Q1027">
        <f>[1]资金台帐!Q1027&amp;""</f>
      </c>
      <c r="T1027">
        <f>[1]资金台帐!T1027&amp;""</f>
      </c>
      <c r="U1027">
        <f>[1]资金台帐!U1027&amp;""</f>
      </c>
      <c r="W1027">
        <f>[1]资金台帐!W1027&amp;""</f>
      </c>
      <c r="X1027">
        <f>[1]资金台帐!X1027&amp;""</f>
      </c>
      <c r="AB1027">
        <f>[1]资金台帐!AB1027</f>
        <v>0</v>
      </c>
      <c r="AC1027">
        <f>[1]资金台帐!AC1027</f>
        <v>0</v>
      </c>
      <c r="AD1027">
        <f>[1]资金台帐!AD1027</f>
        <v>0</v>
      </c>
      <c r="AJ1027">
        <f>[1]资金台帐!AJ1027</f>
        <v>0</v>
      </c>
      <c r="AK1027">
        <f>[1]资金台帐!AK1027</f>
        <v>0</v>
      </c>
      <c r="BA1027" s="22">
        <f t="shared" si="0"/>
      </c>
      <c r="BG1027" s="22">
        <f t="shared" si="1"/>
      </c>
      <c r="BH1027" s="22">
        <f t="shared" si="2"/>
        <v>0</v>
      </c>
    </row>
    <row r="1028">
      <c r="B1028">
        <f>[1]资金台帐!B1028&amp;""</f>
      </c>
      <c r="H1028">
        <f>[1]资金台帐!H1028&amp;""</f>
      </c>
      <c r="J1028">
        <f>[1]资金台帐!J1028&amp;""</f>
      </c>
      <c r="N1028">
        <f>[1]资金台帐!N1028</f>
      </c>
      <c r="O1028">
        <f>[1]资金台帐!O1028&amp;""</f>
      </c>
      <c r="P1028">
        <f>[1]资金台帐!P1028&amp;""</f>
      </c>
      <c r="Q1028">
        <f>[1]资金台帐!Q1028&amp;""</f>
      </c>
      <c r="T1028">
        <f>[1]资金台帐!T1028&amp;""</f>
      </c>
      <c r="U1028">
        <f>[1]资金台帐!U1028&amp;""</f>
      </c>
      <c r="W1028">
        <f>[1]资金台帐!W1028&amp;""</f>
      </c>
      <c r="X1028">
        <f>[1]资金台帐!X1028&amp;""</f>
      </c>
      <c r="AB1028">
        <f>[1]资金台帐!AB1028</f>
        <v>0</v>
      </c>
      <c r="AC1028">
        <f>[1]资金台帐!AC1028</f>
        <v>0</v>
      </c>
      <c r="AD1028">
        <f>[1]资金台帐!AD1028</f>
        <v>0</v>
      </c>
      <c r="AJ1028">
        <f>[1]资金台帐!AJ1028</f>
        <v>0</v>
      </c>
      <c r="AK1028">
        <f>[1]资金台帐!AK1028</f>
        <v>0</v>
      </c>
      <c r="BA1028" s="22">
        <f t="shared" si="0"/>
      </c>
      <c r="BG1028" s="22">
        <f t="shared" si="1"/>
      </c>
      <c r="BH1028" s="22">
        <f t="shared" si="2"/>
        <v>0</v>
      </c>
    </row>
    <row r="1029">
      <c r="B1029">
        <f>[1]资金台帐!B1029&amp;""</f>
      </c>
      <c r="H1029">
        <f>[1]资金台帐!H1029&amp;""</f>
      </c>
      <c r="J1029">
        <f>[1]资金台帐!J1029&amp;""</f>
      </c>
      <c r="N1029">
        <f>[1]资金台帐!N1029</f>
      </c>
      <c r="O1029">
        <f>[1]资金台帐!O1029&amp;""</f>
      </c>
      <c r="P1029">
        <f>[1]资金台帐!P1029&amp;""</f>
      </c>
      <c r="Q1029">
        <f>[1]资金台帐!Q1029&amp;""</f>
      </c>
      <c r="T1029">
        <f>[1]资金台帐!T1029&amp;""</f>
      </c>
      <c r="U1029">
        <f>[1]资金台帐!U1029&amp;""</f>
      </c>
      <c r="W1029">
        <f>[1]资金台帐!W1029&amp;""</f>
      </c>
      <c r="X1029">
        <f>[1]资金台帐!X1029&amp;""</f>
      </c>
      <c r="AB1029">
        <f>[1]资金台帐!AB1029</f>
        <v>0</v>
      </c>
      <c r="AC1029">
        <f>[1]资金台帐!AC1029</f>
        <v>0</v>
      </c>
      <c r="AD1029">
        <f>[1]资金台帐!AD1029</f>
        <v>0</v>
      </c>
      <c r="AJ1029">
        <f>[1]资金台帐!AJ1029</f>
        <v>0</v>
      </c>
      <c r="AK1029">
        <f>[1]资金台帐!AK1029</f>
        <v>0</v>
      </c>
      <c r="BA1029" s="22">
        <f t="shared" si="0"/>
      </c>
      <c r="BG1029" s="22">
        <f t="shared" si="1"/>
      </c>
      <c r="BH1029" s="22">
        <f t="shared" si="2"/>
        <v>0</v>
      </c>
    </row>
    <row r="1030">
      <c r="B1030">
        <f>[1]资金台帐!B1030&amp;""</f>
      </c>
      <c r="H1030">
        <f>[1]资金台帐!H1030&amp;""</f>
      </c>
      <c r="J1030">
        <f>[1]资金台帐!J1030&amp;""</f>
      </c>
      <c r="N1030">
        <f>[1]资金台帐!N1030</f>
      </c>
      <c r="O1030">
        <f>[1]资金台帐!O1030&amp;""</f>
      </c>
      <c r="P1030">
        <f>[1]资金台帐!P1030&amp;""</f>
      </c>
      <c r="Q1030">
        <f>[1]资金台帐!Q1030&amp;""</f>
      </c>
      <c r="T1030">
        <f>[1]资金台帐!T1030&amp;""</f>
      </c>
      <c r="U1030">
        <f>[1]资金台帐!U1030&amp;""</f>
      </c>
      <c r="W1030">
        <f>[1]资金台帐!W1030&amp;""</f>
      </c>
      <c r="X1030">
        <f>[1]资金台帐!X1030&amp;""</f>
      </c>
      <c r="AB1030">
        <f>[1]资金台帐!AB1030</f>
        <v>0</v>
      </c>
      <c r="AC1030">
        <f>[1]资金台帐!AC1030</f>
        <v>0</v>
      </c>
      <c r="AD1030">
        <f>[1]资金台帐!AD1030</f>
        <v>0</v>
      </c>
      <c r="AJ1030">
        <f>[1]资金台帐!AJ1030</f>
        <v>0</v>
      </c>
      <c r="AK1030">
        <f>[1]资金台帐!AK1030</f>
        <v>0</v>
      </c>
      <c r="BA1030" s="22">
        <f t="shared" si="0"/>
      </c>
      <c r="BG1030" s="22">
        <f t="shared" si="1"/>
      </c>
      <c r="BH1030" s="22">
        <f t="shared" si="2"/>
        <v>0</v>
      </c>
    </row>
    <row r="1031">
      <c r="B1031">
        <f>[1]资金台帐!B1031&amp;""</f>
      </c>
      <c r="H1031">
        <f>[1]资金台帐!H1031&amp;""</f>
      </c>
      <c r="J1031">
        <f>[1]资金台帐!J1031&amp;""</f>
      </c>
      <c r="N1031">
        <f>[1]资金台帐!N1031</f>
      </c>
      <c r="O1031">
        <f>[1]资金台帐!O1031&amp;""</f>
      </c>
      <c r="P1031">
        <f>[1]资金台帐!P1031&amp;""</f>
      </c>
      <c r="Q1031">
        <f>[1]资金台帐!Q1031&amp;""</f>
      </c>
      <c r="T1031">
        <f>[1]资金台帐!T1031&amp;""</f>
      </c>
      <c r="U1031">
        <f>[1]资金台帐!U1031&amp;""</f>
      </c>
      <c r="W1031">
        <f>[1]资金台帐!W1031&amp;""</f>
      </c>
      <c r="X1031">
        <f>[1]资金台帐!X1031&amp;""</f>
      </c>
      <c r="AB1031">
        <f>[1]资金台帐!AB1031</f>
        <v>0</v>
      </c>
      <c r="AC1031">
        <f>[1]资金台帐!AC1031</f>
        <v>0</v>
      </c>
      <c r="AD1031">
        <f>[1]资金台帐!AD1031</f>
        <v>0</v>
      </c>
      <c r="AJ1031">
        <f>[1]资金台帐!AJ1031</f>
        <v>0</v>
      </c>
      <c r="AK1031">
        <f>[1]资金台帐!AK1031</f>
        <v>0</v>
      </c>
      <c r="BA1031" s="22">
        <f t="shared" si="0"/>
      </c>
      <c r="BG1031" s="22">
        <f t="shared" si="1"/>
      </c>
      <c r="BH1031" s="22">
        <f t="shared" si="2"/>
        <v>0</v>
      </c>
    </row>
    <row r="1032">
      <c r="B1032">
        <f>[1]资金台帐!B1032&amp;""</f>
      </c>
      <c r="H1032">
        <f>[1]资金台帐!H1032&amp;""</f>
      </c>
      <c r="J1032">
        <f>[1]资金台帐!J1032&amp;""</f>
      </c>
      <c r="N1032">
        <f>[1]资金台帐!N1032</f>
      </c>
      <c r="O1032">
        <f>[1]资金台帐!O1032&amp;""</f>
      </c>
      <c r="P1032">
        <f>[1]资金台帐!P1032&amp;""</f>
      </c>
      <c r="Q1032">
        <f>[1]资金台帐!Q1032&amp;""</f>
      </c>
      <c r="T1032">
        <f>[1]资金台帐!T1032&amp;""</f>
      </c>
      <c r="U1032">
        <f>[1]资金台帐!U1032&amp;""</f>
      </c>
      <c r="W1032">
        <f>[1]资金台帐!W1032&amp;""</f>
      </c>
      <c r="X1032">
        <f>[1]资金台帐!X1032&amp;""</f>
      </c>
      <c r="AB1032">
        <f>[1]资金台帐!AB1032</f>
        <v>0</v>
      </c>
      <c r="AC1032">
        <f>[1]资金台帐!AC1032</f>
        <v>0</v>
      </c>
      <c r="AD1032">
        <f>[1]资金台帐!AD1032</f>
        <v>0</v>
      </c>
      <c r="AJ1032">
        <f>[1]资金台帐!AJ1032</f>
        <v>0</v>
      </c>
      <c r="AK1032">
        <f>[1]资金台帐!AK1032</f>
        <v>0</v>
      </c>
      <c r="BA1032" s="22">
        <f t="shared" si="0"/>
      </c>
      <c r="BG1032" s="22">
        <f t="shared" si="1"/>
      </c>
      <c r="BH1032" s="22">
        <f t="shared" si="2"/>
        <v>0</v>
      </c>
    </row>
    <row r="1033">
      <c r="B1033">
        <f>[1]资金台帐!B1033&amp;""</f>
      </c>
      <c r="H1033">
        <f>[1]资金台帐!H1033&amp;""</f>
      </c>
      <c r="J1033">
        <f>[1]资金台帐!J1033&amp;""</f>
      </c>
      <c r="N1033">
        <f>[1]资金台帐!N1033</f>
      </c>
      <c r="O1033">
        <f>[1]资金台帐!O1033&amp;""</f>
      </c>
      <c r="P1033">
        <f>[1]资金台帐!P1033&amp;""</f>
      </c>
      <c r="Q1033">
        <f>[1]资金台帐!Q1033&amp;""</f>
      </c>
      <c r="T1033">
        <f>[1]资金台帐!T1033&amp;""</f>
      </c>
      <c r="U1033">
        <f>[1]资金台帐!U1033&amp;""</f>
      </c>
      <c r="W1033">
        <f>[1]资金台帐!W1033&amp;""</f>
      </c>
      <c r="X1033">
        <f>[1]资金台帐!X1033&amp;""</f>
      </c>
      <c r="AB1033">
        <f>[1]资金台帐!AB1033</f>
        <v>0</v>
      </c>
      <c r="AC1033">
        <f>[1]资金台帐!AC1033</f>
        <v>0</v>
      </c>
      <c r="AD1033">
        <f>[1]资金台帐!AD1033</f>
        <v>0</v>
      </c>
      <c r="AJ1033">
        <f>[1]资金台帐!AJ1033</f>
        <v>0</v>
      </c>
      <c r="AK1033">
        <f>[1]资金台帐!AK1033</f>
        <v>0</v>
      </c>
      <c r="BA1033" s="22">
        <f t="shared" si="0"/>
      </c>
      <c r="BG1033" s="22">
        <f t="shared" si="1"/>
      </c>
      <c r="BH1033" s="22">
        <f t="shared" si="2"/>
        <v>0</v>
      </c>
    </row>
    <row r="1034">
      <c r="B1034">
        <f>[1]资金台帐!B1034&amp;""</f>
      </c>
      <c r="H1034">
        <f>[1]资金台帐!H1034&amp;""</f>
      </c>
      <c r="J1034">
        <f>[1]资金台帐!J1034&amp;""</f>
      </c>
      <c r="N1034">
        <f>[1]资金台帐!N1034</f>
      </c>
      <c r="O1034">
        <f>[1]资金台帐!O1034&amp;""</f>
      </c>
      <c r="P1034">
        <f>[1]资金台帐!P1034&amp;""</f>
      </c>
      <c r="Q1034">
        <f>[1]资金台帐!Q1034&amp;""</f>
      </c>
      <c r="T1034">
        <f>[1]资金台帐!T1034&amp;""</f>
      </c>
      <c r="U1034">
        <f>[1]资金台帐!U1034&amp;""</f>
      </c>
      <c r="W1034">
        <f>[1]资金台帐!W1034&amp;""</f>
      </c>
      <c r="X1034">
        <f>[1]资金台帐!X1034&amp;""</f>
      </c>
      <c r="AB1034">
        <f>[1]资金台帐!AB1034</f>
        <v>0</v>
      </c>
      <c r="AC1034">
        <f>[1]资金台帐!AC1034</f>
        <v>0</v>
      </c>
      <c r="AD1034">
        <f>[1]资金台帐!AD1034</f>
        <v>0</v>
      </c>
      <c r="AJ1034">
        <f>[1]资金台帐!AJ1034</f>
        <v>0</v>
      </c>
      <c r="AK1034">
        <f>[1]资金台帐!AK1034</f>
        <v>0</v>
      </c>
      <c r="BA1034" s="22">
        <f t="shared" si="0"/>
      </c>
      <c r="BG1034" s="22">
        <f t="shared" si="1"/>
      </c>
      <c r="BH1034" s="22">
        <f t="shared" si="2"/>
        <v>0</v>
      </c>
    </row>
    <row r="1035">
      <c r="B1035">
        <f>[1]资金台帐!B1035&amp;""</f>
      </c>
      <c r="H1035">
        <f>[1]资金台帐!H1035&amp;""</f>
      </c>
      <c r="J1035">
        <f>[1]资金台帐!J1035&amp;""</f>
      </c>
      <c r="N1035">
        <f>[1]资金台帐!N1035</f>
      </c>
      <c r="O1035">
        <f>[1]资金台帐!O1035&amp;""</f>
      </c>
      <c r="P1035">
        <f>[1]资金台帐!P1035&amp;""</f>
      </c>
      <c r="Q1035">
        <f>[1]资金台帐!Q1035&amp;""</f>
      </c>
      <c r="T1035">
        <f>[1]资金台帐!T1035&amp;""</f>
      </c>
      <c r="U1035">
        <f>[1]资金台帐!U1035&amp;""</f>
      </c>
      <c r="W1035">
        <f>[1]资金台帐!W1035&amp;""</f>
      </c>
      <c r="X1035">
        <f>[1]资金台帐!X1035&amp;""</f>
      </c>
      <c r="AB1035">
        <f>[1]资金台帐!AB1035</f>
        <v>0</v>
      </c>
      <c r="AC1035">
        <f>[1]资金台帐!AC1035</f>
        <v>0</v>
      </c>
      <c r="AD1035">
        <f>[1]资金台帐!AD1035</f>
        <v>0</v>
      </c>
      <c r="AJ1035">
        <f>[1]资金台帐!AJ1035</f>
        <v>0</v>
      </c>
      <c r="AK1035">
        <f>[1]资金台帐!AK1035</f>
        <v>0</v>
      </c>
      <c r="BA1035" s="22">
        <f t="shared" si="0"/>
      </c>
      <c r="BG1035" s="22">
        <f t="shared" si="1"/>
      </c>
      <c r="BH1035" s="22">
        <f t="shared" si="2"/>
        <v>0</v>
      </c>
    </row>
    <row r="1036">
      <c r="B1036">
        <f>[1]资金台帐!B1036&amp;""</f>
      </c>
      <c r="H1036">
        <f>[1]资金台帐!H1036&amp;""</f>
      </c>
      <c r="J1036">
        <f>[1]资金台帐!J1036&amp;""</f>
      </c>
      <c r="N1036">
        <f>[1]资金台帐!N1036</f>
      </c>
      <c r="O1036">
        <f>[1]资金台帐!O1036&amp;""</f>
      </c>
      <c r="P1036">
        <f>[1]资金台帐!P1036&amp;""</f>
      </c>
      <c r="Q1036">
        <f>[1]资金台帐!Q1036&amp;""</f>
      </c>
      <c r="T1036">
        <f>[1]资金台帐!T1036&amp;""</f>
      </c>
      <c r="U1036">
        <f>[1]资金台帐!U1036&amp;""</f>
      </c>
      <c r="W1036">
        <f>[1]资金台帐!W1036&amp;""</f>
      </c>
      <c r="X1036">
        <f>[1]资金台帐!X1036&amp;""</f>
      </c>
      <c r="AB1036">
        <f>[1]资金台帐!AB1036</f>
        <v>0</v>
      </c>
      <c r="AC1036">
        <f>[1]资金台帐!AC1036</f>
        <v>0</v>
      </c>
      <c r="AD1036">
        <f>[1]资金台帐!AD1036</f>
        <v>0</v>
      </c>
      <c r="AJ1036">
        <f>[1]资金台帐!AJ1036</f>
        <v>0</v>
      </c>
      <c r="AK1036">
        <f>[1]资金台帐!AK1036</f>
        <v>0</v>
      </c>
      <c r="BA1036" s="22">
        <f t="shared" si="0"/>
      </c>
      <c r="BG1036" s="22">
        <f t="shared" si="1"/>
      </c>
      <c r="BH1036" s="22">
        <f t="shared" si="2"/>
        <v>0</v>
      </c>
    </row>
    <row r="1037">
      <c r="B1037">
        <f>[1]资金台帐!B1037&amp;""</f>
      </c>
      <c r="H1037">
        <f>[1]资金台帐!H1037&amp;""</f>
      </c>
      <c r="J1037">
        <f>[1]资金台帐!J1037&amp;""</f>
      </c>
      <c r="N1037">
        <f>[1]资金台帐!N1037</f>
      </c>
      <c r="O1037">
        <f>[1]资金台帐!O1037&amp;""</f>
      </c>
      <c r="P1037">
        <f>[1]资金台帐!P1037&amp;""</f>
      </c>
      <c r="Q1037">
        <f>[1]资金台帐!Q1037&amp;""</f>
      </c>
      <c r="T1037">
        <f>[1]资金台帐!T1037&amp;""</f>
      </c>
      <c r="U1037">
        <f>[1]资金台帐!U1037&amp;""</f>
      </c>
      <c r="W1037">
        <f>[1]资金台帐!W1037&amp;""</f>
      </c>
      <c r="X1037">
        <f>[1]资金台帐!X1037&amp;""</f>
      </c>
      <c r="AB1037">
        <f>[1]资金台帐!AB1037</f>
        <v>0</v>
      </c>
      <c r="AC1037">
        <f>[1]资金台帐!AC1037</f>
        <v>0</v>
      </c>
      <c r="AD1037">
        <f>[1]资金台帐!AD1037</f>
        <v>0</v>
      </c>
      <c r="AJ1037">
        <f>[1]资金台帐!AJ1037</f>
        <v>0</v>
      </c>
      <c r="AK1037">
        <f>[1]资金台帐!AK1037</f>
        <v>0</v>
      </c>
      <c r="BA1037" s="22">
        <f t="shared" si="0"/>
      </c>
      <c r="BG1037" s="22">
        <f t="shared" si="1"/>
      </c>
      <c r="BH1037" s="22">
        <f t="shared" si="2"/>
        <v>0</v>
      </c>
    </row>
    <row r="1038">
      <c r="B1038">
        <f>[1]资金台帐!B1038&amp;""</f>
      </c>
      <c r="H1038">
        <f>[1]资金台帐!H1038&amp;""</f>
      </c>
      <c r="J1038">
        <f>[1]资金台帐!J1038&amp;""</f>
      </c>
      <c r="N1038">
        <f>[1]资金台帐!N1038</f>
      </c>
      <c r="O1038">
        <f>[1]资金台帐!O1038&amp;""</f>
      </c>
      <c r="P1038">
        <f>[1]资金台帐!P1038&amp;""</f>
      </c>
      <c r="Q1038">
        <f>[1]资金台帐!Q1038&amp;""</f>
      </c>
      <c r="T1038">
        <f>[1]资金台帐!T1038&amp;""</f>
      </c>
      <c r="U1038">
        <f>[1]资金台帐!U1038&amp;""</f>
      </c>
      <c r="W1038">
        <f>[1]资金台帐!W1038&amp;""</f>
      </c>
      <c r="X1038">
        <f>[1]资金台帐!X1038&amp;""</f>
      </c>
      <c r="AB1038">
        <f>[1]资金台帐!AB1038</f>
        <v>0</v>
      </c>
      <c r="AC1038">
        <f>[1]资金台帐!AC1038</f>
        <v>0</v>
      </c>
      <c r="AD1038">
        <f>[1]资金台帐!AD1038</f>
        <v>0</v>
      </c>
      <c r="AJ1038">
        <f>[1]资金台帐!AJ1038</f>
        <v>0</v>
      </c>
      <c r="AK1038">
        <f>[1]资金台帐!AK1038</f>
        <v>0</v>
      </c>
      <c r="BA1038" s="22">
        <f t="shared" si="0"/>
      </c>
      <c r="BG1038" s="22">
        <f t="shared" si="1"/>
      </c>
      <c r="BH1038" s="22">
        <f t="shared" si="2"/>
        <v>0</v>
      </c>
    </row>
    <row r="1039">
      <c r="B1039">
        <f>[1]资金台帐!B1039&amp;""</f>
      </c>
      <c r="H1039">
        <f>[1]资金台帐!H1039&amp;""</f>
      </c>
      <c r="J1039">
        <f>[1]资金台帐!J1039&amp;""</f>
      </c>
      <c r="N1039">
        <f>[1]资金台帐!N1039</f>
      </c>
      <c r="O1039">
        <f>[1]资金台帐!O1039&amp;""</f>
      </c>
      <c r="P1039">
        <f>[1]资金台帐!P1039&amp;""</f>
      </c>
      <c r="Q1039">
        <f>[1]资金台帐!Q1039&amp;""</f>
      </c>
      <c r="T1039">
        <f>[1]资金台帐!T1039&amp;""</f>
      </c>
      <c r="U1039">
        <f>[1]资金台帐!U1039&amp;""</f>
      </c>
      <c r="W1039">
        <f>[1]资金台帐!W1039&amp;""</f>
      </c>
      <c r="X1039">
        <f>[1]资金台帐!X1039&amp;""</f>
      </c>
      <c r="AB1039">
        <f>[1]资金台帐!AB1039</f>
        <v>0</v>
      </c>
      <c r="AC1039">
        <f>[1]资金台帐!AC1039</f>
        <v>0</v>
      </c>
      <c r="AD1039">
        <f>[1]资金台帐!AD1039</f>
        <v>0</v>
      </c>
      <c r="AJ1039">
        <f>[1]资金台帐!AJ1039</f>
        <v>0</v>
      </c>
      <c r="AK1039">
        <f>[1]资金台帐!AK1039</f>
        <v>0</v>
      </c>
      <c r="BA1039" s="22">
        <f t="shared" si="0"/>
      </c>
      <c r="BG1039" s="22">
        <f t="shared" si="1"/>
      </c>
      <c r="BH1039" s="22">
        <f t="shared" si="2"/>
        <v>0</v>
      </c>
    </row>
    <row r="1040">
      <c r="B1040">
        <f>[1]资金台帐!B1040&amp;""</f>
      </c>
      <c r="H1040">
        <f>[1]资金台帐!H1040&amp;""</f>
      </c>
      <c r="J1040">
        <f>[1]资金台帐!J1040&amp;""</f>
      </c>
      <c r="N1040">
        <f>[1]资金台帐!N1040</f>
      </c>
      <c r="O1040">
        <f>[1]资金台帐!O1040&amp;""</f>
      </c>
      <c r="P1040">
        <f>[1]资金台帐!P1040&amp;""</f>
      </c>
      <c r="Q1040">
        <f>[1]资金台帐!Q1040&amp;""</f>
      </c>
      <c r="T1040">
        <f>[1]资金台帐!T1040&amp;""</f>
      </c>
      <c r="U1040">
        <f>[1]资金台帐!U1040&amp;""</f>
      </c>
      <c r="W1040">
        <f>[1]资金台帐!W1040&amp;""</f>
      </c>
      <c r="X1040">
        <f>[1]资金台帐!X1040&amp;""</f>
      </c>
      <c r="AB1040">
        <f>[1]资金台帐!AB1040</f>
        <v>0</v>
      </c>
      <c r="AC1040">
        <f>[1]资金台帐!AC1040</f>
        <v>0</v>
      </c>
      <c r="AD1040">
        <f>[1]资金台帐!AD1040</f>
        <v>0</v>
      </c>
      <c r="AJ1040">
        <f>[1]资金台帐!AJ1040</f>
        <v>0</v>
      </c>
      <c r="AK1040">
        <f>[1]资金台帐!AK1040</f>
        <v>0</v>
      </c>
      <c r="BA1040" s="22">
        <f t="shared" si="0"/>
      </c>
      <c r="BG1040" s="22">
        <f t="shared" si="1"/>
      </c>
      <c r="BH1040" s="22">
        <f t="shared" si="2"/>
        <v>0</v>
      </c>
    </row>
    <row r="1041">
      <c r="B1041">
        <f>[1]资金台帐!B1041&amp;""</f>
      </c>
      <c r="H1041">
        <f>[1]资金台帐!H1041&amp;""</f>
      </c>
      <c r="J1041">
        <f>[1]资金台帐!J1041&amp;""</f>
      </c>
      <c r="N1041">
        <f>[1]资金台帐!N1041</f>
      </c>
      <c r="O1041">
        <f>[1]资金台帐!O1041&amp;""</f>
      </c>
      <c r="P1041">
        <f>[1]资金台帐!P1041&amp;""</f>
      </c>
      <c r="Q1041">
        <f>[1]资金台帐!Q1041&amp;""</f>
      </c>
      <c r="T1041">
        <f>[1]资金台帐!T1041&amp;""</f>
      </c>
      <c r="U1041">
        <f>[1]资金台帐!U1041&amp;""</f>
      </c>
      <c r="W1041">
        <f>[1]资金台帐!W1041&amp;""</f>
      </c>
      <c r="X1041">
        <f>[1]资金台帐!X1041&amp;""</f>
      </c>
      <c r="AB1041">
        <f>[1]资金台帐!AB1041</f>
        <v>0</v>
      </c>
      <c r="AC1041">
        <f>[1]资金台帐!AC1041</f>
        <v>0</v>
      </c>
      <c r="AD1041">
        <f>[1]资金台帐!AD1041</f>
        <v>0</v>
      </c>
      <c r="AJ1041">
        <f>[1]资金台帐!AJ1041</f>
        <v>0</v>
      </c>
      <c r="AK1041">
        <f>[1]资金台帐!AK1041</f>
        <v>0</v>
      </c>
      <c r="BA1041" s="22">
        <f t="shared" si="0"/>
      </c>
      <c r="BG1041" s="22">
        <f t="shared" si="1"/>
      </c>
      <c r="BH1041" s="22">
        <f t="shared" si="2"/>
        <v>0</v>
      </c>
    </row>
    <row r="1042">
      <c r="B1042">
        <f>[1]资金台帐!B1042&amp;""</f>
      </c>
      <c r="H1042">
        <f>[1]资金台帐!H1042&amp;""</f>
      </c>
      <c r="J1042">
        <f>[1]资金台帐!J1042&amp;""</f>
      </c>
      <c r="N1042">
        <f>[1]资金台帐!N1042</f>
      </c>
      <c r="O1042">
        <f>[1]资金台帐!O1042&amp;""</f>
      </c>
      <c r="P1042">
        <f>[1]资金台帐!P1042&amp;""</f>
      </c>
      <c r="Q1042">
        <f>[1]资金台帐!Q1042&amp;""</f>
      </c>
      <c r="T1042">
        <f>[1]资金台帐!T1042&amp;""</f>
      </c>
      <c r="U1042">
        <f>[1]资金台帐!U1042&amp;""</f>
      </c>
      <c r="W1042">
        <f>[1]资金台帐!W1042&amp;""</f>
      </c>
      <c r="X1042">
        <f>[1]资金台帐!X1042&amp;""</f>
      </c>
      <c r="AB1042">
        <f>[1]资金台帐!AB1042</f>
        <v>0</v>
      </c>
      <c r="AC1042">
        <f>[1]资金台帐!AC1042</f>
        <v>0</v>
      </c>
      <c r="AD1042">
        <f>[1]资金台帐!AD1042</f>
        <v>0</v>
      </c>
      <c r="AJ1042">
        <f>[1]资金台帐!AJ1042</f>
        <v>0</v>
      </c>
      <c r="AK1042">
        <f>[1]资金台帐!AK1042</f>
        <v>0</v>
      </c>
      <c r="BA1042" s="22">
        <f t="shared" si="0"/>
      </c>
      <c r="BG1042" s="22">
        <f t="shared" si="1"/>
      </c>
      <c r="BH1042" s="22">
        <f t="shared" si="2"/>
        <v>0</v>
      </c>
    </row>
    <row r="1043">
      <c r="B1043">
        <f>[1]资金台帐!B1043&amp;""</f>
      </c>
      <c r="H1043">
        <f>[1]资金台帐!H1043&amp;""</f>
      </c>
      <c r="J1043">
        <f>[1]资金台帐!J1043&amp;""</f>
      </c>
      <c r="N1043">
        <f>[1]资金台帐!N1043</f>
      </c>
      <c r="O1043">
        <f>[1]资金台帐!O1043&amp;""</f>
      </c>
      <c r="P1043">
        <f>[1]资金台帐!P1043&amp;""</f>
      </c>
      <c r="Q1043">
        <f>[1]资金台帐!Q1043&amp;""</f>
      </c>
      <c r="T1043">
        <f>[1]资金台帐!T1043&amp;""</f>
      </c>
      <c r="U1043">
        <f>[1]资金台帐!U1043&amp;""</f>
      </c>
      <c r="W1043">
        <f>[1]资金台帐!W1043&amp;""</f>
      </c>
      <c r="X1043">
        <f>[1]资金台帐!X1043&amp;""</f>
      </c>
      <c r="AB1043">
        <f>[1]资金台帐!AB1043</f>
        <v>0</v>
      </c>
      <c r="AC1043">
        <f>[1]资金台帐!AC1043</f>
        <v>0</v>
      </c>
      <c r="AD1043">
        <f>[1]资金台帐!AD1043</f>
        <v>0</v>
      </c>
      <c r="AJ1043">
        <f>[1]资金台帐!AJ1043</f>
        <v>0</v>
      </c>
      <c r="AK1043">
        <f>[1]资金台帐!AK1043</f>
        <v>0</v>
      </c>
      <c r="BA1043" s="22">
        <f t="shared" si="0"/>
      </c>
      <c r="BG1043" s="22">
        <f t="shared" si="1"/>
      </c>
      <c r="BH1043" s="22">
        <f t="shared" si="2"/>
        <v>0</v>
      </c>
    </row>
    <row r="1044">
      <c r="B1044">
        <f>[1]资金台帐!B1044&amp;""</f>
      </c>
      <c r="H1044">
        <f>[1]资金台帐!H1044&amp;""</f>
      </c>
      <c r="J1044">
        <f>[1]资金台帐!J1044&amp;""</f>
      </c>
      <c r="N1044">
        <f>[1]资金台帐!N1044</f>
      </c>
      <c r="O1044">
        <f>[1]资金台帐!O1044&amp;""</f>
      </c>
      <c r="P1044">
        <f>[1]资金台帐!P1044&amp;""</f>
      </c>
      <c r="Q1044">
        <f>[1]资金台帐!Q1044&amp;""</f>
      </c>
      <c r="T1044">
        <f>[1]资金台帐!T1044&amp;""</f>
      </c>
      <c r="U1044">
        <f>[1]资金台帐!U1044&amp;""</f>
      </c>
      <c r="W1044">
        <f>[1]资金台帐!W1044&amp;""</f>
      </c>
      <c r="X1044">
        <f>[1]资金台帐!X1044&amp;""</f>
      </c>
      <c r="AB1044">
        <f>[1]资金台帐!AB1044</f>
        <v>0</v>
      </c>
      <c r="AC1044">
        <f>[1]资金台帐!AC1044</f>
        <v>0</v>
      </c>
      <c r="AD1044">
        <f>[1]资金台帐!AD1044</f>
        <v>0</v>
      </c>
      <c r="AJ1044">
        <f>[1]资金台帐!AJ1044</f>
        <v>0</v>
      </c>
      <c r="AK1044">
        <f>[1]资金台帐!AK1044</f>
        <v>0</v>
      </c>
      <c r="BA1044" s="22">
        <f t="shared" si="0"/>
      </c>
      <c r="BG1044" s="22">
        <f t="shared" si="1"/>
      </c>
      <c r="BH1044" s="22">
        <f t="shared" si="2"/>
        <v>0</v>
      </c>
    </row>
    <row r="1045">
      <c r="B1045">
        <f>[1]资金台帐!B1045&amp;""</f>
      </c>
      <c r="H1045">
        <f>[1]资金台帐!H1045&amp;""</f>
      </c>
      <c r="J1045">
        <f>[1]资金台帐!J1045&amp;""</f>
      </c>
      <c r="N1045">
        <f>[1]资金台帐!N1045</f>
      </c>
      <c r="O1045">
        <f>[1]资金台帐!O1045&amp;""</f>
      </c>
      <c r="P1045">
        <f>[1]资金台帐!P1045&amp;""</f>
      </c>
      <c r="Q1045">
        <f>[1]资金台帐!Q1045&amp;""</f>
      </c>
      <c r="T1045">
        <f>[1]资金台帐!T1045&amp;""</f>
      </c>
      <c r="U1045">
        <f>[1]资金台帐!U1045&amp;""</f>
      </c>
      <c r="W1045">
        <f>[1]资金台帐!W1045&amp;""</f>
      </c>
      <c r="X1045">
        <f>[1]资金台帐!X1045&amp;""</f>
      </c>
      <c r="AB1045">
        <f>[1]资金台帐!AB1045</f>
        <v>0</v>
      </c>
      <c r="AC1045">
        <f>[1]资金台帐!AC1045</f>
        <v>0</v>
      </c>
      <c r="AD1045">
        <f>[1]资金台帐!AD1045</f>
        <v>0</v>
      </c>
      <c r="AJ1045">
        <f>[1]资金台帐!AJ1045</f>
        <v>0</v>
      </c>
      <c r="AK1045">
        <f>[1]资金台帐!AK1045</f>
        <v>0</v>
      </c>
      <c r="BA1045" s="22">
        <f t="shared" si="0"/>
      </c>
      <c r="BG1045" s="22">
        <f t="shared" si="1"/>
      </c>
      <c r="BH1045" s="22">
        <f t="shared" si="2"/>
        <v>0</v>
      </c>
    </row>
    <row r="1046">
      <c r="B1046">
        <f>[1]资金台帐!B1046&amp;""</f>
      </c>
      <c r="H1046">
        <f>[1]资金台帐!H1046&amp;""</f>
      </c>
      <c r="J1046">
        <f>[1]资金台帐!J1046&amp;""</f>
      </c>
      <c r="N1046">
        <f>[1]资金台帐!N1046</f>
      </c>
      <c r="O1046">
        <f>[1]资金台帐!O1046&amp;""</f>
      </c>
      <c r="P1046">
        <f>[1]资金台帐!P1046&amp;""</f>
      </c>
      <c r="Q1046">
        <f>[1]资金台帐!Q1046&amp;""</f>
      </c>
      <c r="T1046">
        <f>[1]资金台帐!T1046&amp;""</f>
      </c>
      <c r="U1046">
        <f>[1]资金台帐!U1046&amp;""</f>
      </c>
      <c r="W1046">
        <f>[1]资金台帐!W1046&amp;""</f>
      </c>
      <c r="X1046">
        <f>[1]资金台帐!X1046&amp;""</f>
      </c>
      <c r="AB1046">
        <f>[1]资金台帐!AB1046</f>
        <v>0</v>
      </c>
      <c r="AC1046">
        <f>[1]资金台帐!AC1046</f>
        <v>0</v>
      </c>
      <c r="AD1046">
        <f>[1]资金台帐!AD1046</f>
        <v>0</v>
      </c>
      <c r="AJ1046">
        <f>[1]资金台帐!AJ1046</f>
        <v>0</v>
      </c>
      <c r="AK1046">
        <f>[1]资金台帐!AK1046</f>
        <v>0</v>
      </c>
      <c r="BA1046" s="22">
        <f t="shared" si="0"/>
      </c>
      <c r="BG1046" s="22">
        <f t="shared" si="1"/>
      </c>
      <c r="BH1046" s="22">
        <f t="shared" si="2"/>
        <v>0</v>
      </c>
    </row>
    <row r="1047">
      <c r="B1047">
        <f>[1]资金台帐!B1047&amp;""</f>
      </c>
      <c r="H1047">
        <f>[1]资金台帐!H1047&amp;""</f>
      </c>
      <c r="J1047">
        <f>[1]资金台帐!J1047&amp;""</f>
      </c>
      <c r="N1047">
        <f>[1]资金台帐!N1047</f>
      </c>
      <c r="O1047">
        <f>[1]资金台帐!O1047&amp;""</f>
      </c>
      <c r="P1047">
        <f>[1]资金台帐!P1047&amp;""</f>
      </c>
      <c r="Q1047">
        <f>[1]资金台帐!Q1047&amp;""</f>
      </c>
      <c r="T1047">
        <f>[1]资金台帐!T1047&amp;""</f>
      </c>
      <c r="U1047">
        <f>[1]资金台帐!U1047&amp;""</f>
      </c>
      <c r="W1047">
        <f>[1]资金台帐!W1047&amp;""</f>
      </c>
      <c r="X1047">
        <f>[1]资金台帐!X1047&amp;""</f>
      </c>
      <c r="AB1047">
        <f>[1]资金台帐!AB1047</f>
        <v>0</v>
      </c>
      <c r="AC1047">
        <f>[1]资金台帐!AC1047</f>
        <v>0</v>
      </c>
      <c r="AD1047">
        <f>[1]资金台帐!AD1047</f>
        <v>0</v>
      </c>
      <c r="AJ1047">
        <f>[1]资金台帐!AJ1047</f>
        <v>0</v>
      </c>
      <c r="AK1047">
        <f>[1]资金台帐!AK1047</f>
        <v>0</v>
      </c>
      <c r="BA1047" s="22">
        <f t="shared" si="0"/>
      </c>
      <c r="BG1047" s="22">
        <f t="shared" si="1"/>
      </c>
      <c r="BH1047" s="22">
        <f t="shared" si="2"/>
        <v>0</v>
      </c>
    </row>
    <row r="1048">
      <c r="B1048">
        <f>[1]资金台帐!B1048&amp;""</f>
      </c>
      <c r="H1048">
        <f>[1]资金台帐!H1048&amp;""</f>
      </c>
      <c r="J1048">
        <f>[1]资金台帐!J1048&amp;""</f>
      </c>
      <c r="N1048">
        <f>[1]资金台帐!N1048</f>
      </c>
      <c r="O1048">
        <f>[1]资金台帐!O1048&amp;""</f>
      </c>
      <c r="P1048">
        <f>[1]资金台帐!P1048&amp;""</f>
      </c>
      <c r="Q1048">
        <f>[1]资金台帐!Q1048&amp;""</f>
      </c>
      <c r="T1048">
        <f>[1]资金台帐!T1048&amp;""</f>
      </c>
      <c r="U1048">
        <f>[1]资金台帐!U1048&amp;""</f>
      </c>
      <c r="W1048">
        <f>[1]资金台帐!W1048&amp;""</f>
      </c>
      <c r="X1048">
        <f>[1]资金台帐!X1048&amp;""</f>
      </c>
      <c r="AB1048">
        <f>[1]资金台帐!AB1048</f>
        <v>0</v>
      </c>
      <c r="AC1048">
        <f>[1]资金台帐!AC1048</f>
        <v>0</v>
      </c>
      <c r="AD1048">
        <f>[1]资金台帐!AD1048</f>
        <v>0</v>
      </c>
      <c r="AJ1048">
        <f>[1]资金台帐!AJ1048</f>
        <v>0</v>
      </c>
      <c r="AK1048">
        <f>[1]资金台帐!AK1048</f>
        <v>0</v>
      </c>
      <c r="BA1048" s="22">
        <f t="shared" si="0"/>
      </c>
      <c r="BG1048" s="22">
        <f t="shared" si="1"/>
      </c>
      <c r="BH1048" s="22">
        <f t="shared" si="2"/>
        <v>0</v>
      </c>
    </row>
    <row r="1049">
      <c r="B1049">
        <f>[1]资金台帐!B1049&amp;""</f>
      </c>
      <c r="H1049">
        <f>[1]资金台帐!H1049&amp;""</f>
      </c>
      <c r="J1049">
        <f>[1]资金台帐!J1049&amp;""</f>
      </c>
      <c r="N1049">
        <f>[1]资金台帐!N1049</f>
      </c>
      <c r="O1049">
        <f>[1]资金台帐!O1049&amp;""</f>
      </c>
      <c r="P1049">
        <f>[1]资金台帐!P1049&amp;""</f>
      </c>
      <c r="Q1049">
        <f>[1]资金台帐!Q1049&amp;""</f>
      </c>
      <c r="T1049">
        <f>[1]资金台帐!T1049&amp;""</f>
      </c>
      <c r="U1049">
        <f>[1]资金台帐!U1049&amp;""</f>
      </c>
      <c r="W1049">
        <f>[1]资金台帐!W1049&amp;""</f>
      </c>
      <c r="X1049">
        <f>[1]资金台帐!X1049&amp;""</f>
      </c>
      <c r="AB1049">
        <f>[1]资金台帐!AB1049</f>
        <v>0</v>
      </c>
      <c r="AC1049">
        <f>[1]资金台帐!AC1049</f>
        <v>0</v>
      </c>
      <c r="AD1049">
        <f>[1]资金台帐!AD1049</f>
        <v>0</v>
      </c>
      <c r="AJ1049">
        <f>[1]资金台帐!AJ1049</f>
        <v>0</v>
      </c>
      <c r="AK1049">
        <f>[1]资金台帐!AK1049</f>
        <v>0</v>
      </c>
      <c r="BA1049" s="22">
        <f t="shared" si="0"/>
      </c>
      <c r="BG1049" s="22">
        <f t="shared" si="1"/>
      </c>
      <c r="BH1049" s="22">
        <f t="shared" si="2"/>
        <v>0</v>
      </c>
    </row>
    <row r="1050">
      <c r="B1050">
        <f>[1]资金台帐!B1050&amp;""</f>
      </c>
      <c r="H1050">
        <f>[1]资金台帐!H1050&amp;""</f>
      </c>
      <c r="J1050">
        <f>[1]资金台帐!J1050&amp;""</f>
      </c>
      <c r="N1050">
        <f>[1]资金台帐!N1050</f>
      </c>
      <c r="O1050">
        <f>[1]资金台帐!O1050&amp;""</f>
      </c>
      <c r="P1050">
        <f>[1]资金台帐!P1050&amp;""</f>
      </c>
      <c r="Q1050">
        <f>[1]资金台帐!Q1050&amp;""</f>
      </c>
      <c r="T1050">
        <f>[1]资金台帐!T1050&amp;""</f>
      </c>
      <c r="U1050">
        <f>[1]资金台帐!U1050&amp;""</f>
      </c>
      <c r="W1050">
        <f>[1]资金台帐!W1050&amp;""</f>
      </c>
      <c r="X1050">
        <f>[1]资金台帐!X1050&amp;""</f>
      </c>
      <c r="AB1050">
        <f>[1]资金台帐!AB1050</f>
        <v>0</v>
      </c>
      <c r="AC1050">
        <f>[1]资金台帐!AC1050</f>
        <v>0</v>
      </c>
      <c r="AD1050">
        <f>[1]资金台帐!AD1050</f>
        <v>0</v>
      </c>
      <c r="AJ1050">
        <f>[1]资金台帐!AJ1050</f>
        <v>0</v>
      </c>
      <c r="AK1050">
        <f>[1]资金台帐!AK1050</f>
        <v>0</v>
      </c>
      <c r="BA1050" s="22">
        <f t="shared" si="0"/>
      </c>
      <c r="BG1050" s="22">
        <f t="shared" si="1"/>
      </c>
      <c r="BH1050" s="22">
        <f t="shared" si="2"/>
        <v>0</v>
      </c>
    </row>
    <row r="1051">
      <c r="B1051">
        <f>[1]资金台帐!B1051&amp;""</f>
      </c>
      <c r="H1051">
        <f>[1]资金台帐!H1051&amp;""</f>
      </c>
      <c r="J1051">
        <f>[1]资金台帐!J1051&amp;""</f>
      </c>
      <c r="N1051">
        <f>[1]资金台帐!N1051</f>
      </c>
      <c r="O1051">
        <f>[1]资金台帐!O1051&amp;""</f>
      </c>
      <c r="P1051">
        <f>[1]资金台帐!P1051&amp;""</f>
      </c>
      <c r="Q1051">
        <f>[1]资金台帐!Q1051&amp;""</f>
      </c>
      <c r="T1051">
        <f>[1]资金台帐!T1051&amp;""</f>
      </c>
      <c r="U1051">
        <f>[1]资金台帐!U1051&amp;""</f>
      </c>
      <c r="W1051">
        <f>[1]资金台帐!W1051&amp;""</f>
      </c>
      <c r="X1051">
        <f>[1]资金台帐!X1051&amp;""</f>
      </c>
      <c r="AB1051">
        <f>[1]资金台帐!AB1051</f>
        <v>0</v>
      </c>
      <c r="AC1051">
        <f>[1]资金台帐!AC1051</f>
        <v>0</v>
      </c>
      <c r="AD1051">
        <f>[1]资金台帐!AD1051</f>
        <v>0</v>
      </c>
      <c r="AJ1051">
        <f>[1]资金台帐!AJ1051</f>
        <v>0</v>
      </c>
      <c r="AK1051">
        <f>[1]资金台帐!AK1051</f>
        <v>0</v>
      </c>
      <c r="BA1051" s="22">
        <f t="shared" si="0"/>
      </c>
      <c r="BG1051" s="22">
        <f t="shared" si="1"/>
      </c>
      <c r="BH1051" s="22">
        <f t="shared" si="2"/>
        <v>0</v>
      </c>
    </row>
    <row r="1052">
      <c r="B1052">
        <f>[1]资金台帐!B1052&amp;""</f>
      </c>
      <c r="H1052">
        <f>[1]资金台帐!H1052&amp;""</f>
      </c>
      <c r="J1052">
        <f>[1]资金台帐!J1052&amp;""</f>
      </c>
      <c r="N1052">
        <f>[1]资金台帐!N1052</f>
      </c>
      <c r="O1052">
        <f>[1]资金台帐!O1052&amp;""</f>
      </c>
      <c r="P1052">
        <f>[1]资金台帐!P1052&amp;""</f>
      </c>
      <c r="Q1052">
        <f>[1]资金台帐!Q1052&amp;""</f>
      </c>
      <c r="T1052">
        <f>[1]资金台帐!T1052&amp;""</f>
      </c>
      <c r="U1052">
        <f>[1]资金台帐!U1052&amp;""</f>
      </c>
      <c r="W1052">
        <f>[1]资金台帐!W1052&amp;""</f>
      </c>
      <c r="X1052">
        <f>[1]资金台帐!X1052&amp;""</f>
      </c>
      <c r="AB1052">
        <f>[1]资金台帐!AB1052</f>
        <v>0</v>
      </c>
      <c r="AC1052">
        <f>[1]资金台帐!AC1052</f>
        <v>0</v>
      </c>
      <c r="AD1052">
        <f>[1]资金台帐!AD1052</f>
        <v>0</v>
      </c>
      <c r="AJ1052">
        <f>[1]资金台帐!AJ1052</f>
        <v>0</v>
      </c>
      <c r="AK1052">
        <f>[1]资金台帐!AK1052</f>
        <v>0</v>
      </c>
      <c r="BA1052" s="22">
        <f t="shared" si="0"/>
      </c>
      <c r="BG1052" s="22">
        <f t="shared" si="1"/>
      </c>
      <c r="BH1052" s="22">
        <f t="shared" si="2"/>
        <v>0</v>
      </c>
    </row>
    <row r="1053">
      <c r="B1053">
        <f>[1]资金台帐!B1053&amp;""</f>
      </c>
      <c r="H1053">
        <f>[1]资金台帐!H1053&amp;""</f>
      </c>
      <c r="J1053">
        <f>[1]资金台帐!J1053&amp;""</f>
      </c>
      <c r="N1053">
        <f>[1]资金台帐!N1053</f>
      </c>
      <c r="O1053">
        <f>[1]资金台帐!O1053&amp;""</f>
      </c>
      <c r="P1053">
        <f>[1]资金台帐!P1053&amp;""</f>
      </c>
      <c r="Q1053">
        <f>[1]资金台帐!Q1053&amp;""</f>
      </c>
      <c r="T1053">
        <f>[1]资金台帐!T1053&amp;""</f>
      </c>
      <c r="U1053">
        <f>[1]资金台帐!U1053&amp;""</f>
      </c>
      <c r="W1053">
        <f>[1]资金台帐!W1053&amp;""</f>
      </c>
      <c r="X1053">
        <f>[1]资金台帐!X1053&amp;""</f>
      </c>
      <c r="AB1053">
        <f>[1]资金台帐!AB1053</f>
        <v>0</v>
      </c>
      <c r="AC1053">
        <f>[1]资金台帐!AC1053</f>
        <v>0</v>
      </c>
      <c r="AD1053">
        <f>[1]资金台帐!AD1053</f>
        <v>0</v>
      </c>
      <c r="AJ1053">
        <f>[1]资金台帐!AJ1053</f>
        <v>0</v>
      </c>
      <c r="AK1053">
        <f>[1]资金台帐!AK1053</f>
        <v>0</v>
      </c>
      <c r="BA1053" s="22">
        <f t="shared" si="0"/>
      </c>
      <c r="BG1053" s="22">
        <f t="shared" si="1"/>
      </c>
      <c r="BH1053" s="22">
        <f t="shared" si="2"/>
        <v>0</v>
      </c>
    </row>
    <row r="1054">
      <c r="B1054">
        <f>[1]资金台帐!B1054&amp;""</f>
      </c>
      <c r="H1054">
        <f>[1]资金台帐!H1054&amp;""</f>
      </c>
      <c r="J1054">
        <f>[1]资金台帐!J1054&amp;""</f>
      </c>
      <c r="N1054">
        <f>[1]资金台帐!N1054</f>
      </c>
      <c r="O1054">
        <f>[1]资金台帐!O1054&amp;""</f>
      </c>
      <c r="P1054">
        <f>[1]资金台帐!P1054&amp;""</f>
      </c>
      <c r="Q1054">
        <f>[1]资金台帐!Q1054&amp;""</f>
      </c>
      <c r="T1054">
        <f>[1]资金台帐!T1054&amp;""</f>
      </c>
      <c r="U1054">
        <f>[1]资金台帐!U1054&amp;""</f>
      </c>
      <c r="W1054">
        <f>[1]资金台帐!W1054&amp;""</f>
      </c>
      <c r="X1054">
        <f>[1]资金台帐!X1054&amp;""</f>
      </c>
      <c r="AB1054">
        <f>[1]资金台帐!AB1054</f>
        <v>0</v>
      </c>
      <c r="AC1054">
        <f>[1]资金台帐!AC1054</f>
        <v>0</v>
      </c>
      <c r="AD1054">
        <f>[1]资金台帐!AD1054</f>
        <v>0</v>
      </c>
      <c r="AJ1054">
        <f>[1]资金台帐!AJ1054</f>
        <v>0</v>
      </c>
      <c r="AK1054">
        <f>[1]资金台帐!AK1054</f>
        <v>0</v>
      </c>
      <c r="BA1054" s="22">
        <f t="shared" si="0"/>
      </c>
      <c r="BG1054" s="22">
        <f t="shared" si="1"/>
      </c>
      <c r="BH1054" s="22">
        <f t="shared" si="2"/>
        <v>0</v>
      </c>
    </row>
    <row r="1055">
      <c r="B1055">
        <f>[1]资金台帐!B1055&amp;""</f>
      </c>
      <c r="H1055">
        <f>[1]资金台帐!H1055&amp;""</f>
      </c>
      <c r="J1055">
        <f>[1]资金台帐!J1055&amp;""</f>
      </c>
      <c r="N1055">
        <f>[1]资金台帐!N1055</f>
      </c>
      <c r="O1055">
        <f>[1]资金台帐!O1055&amp;""</f>
      </c>
      <c r="P1055">
        <f>[1]资金台帐!P1055&amp;""</f>
      </c>
      <c r="Q1055">
        <f>[1]资金台帐!Q1055&amp;""</f>
      </c>
      <c r="T1055">
        <f>[1]资金台帐!T1055&amp;""</f>
      </c>
      <c r="U1055">
        <f>[1]资金台帐!U1055&amp;""</f>
      </c>
      <c r="W1055">
        <f>[1]资金台帐!W1055&amp;""</f>
      </c>
      <c r="X1055">
        <f>[1]资金台帐!X1055&amp;""</f>
      </c>
      <c r="AB1055">
        <f>[1]资金台帐!AB1055</f>
        <v>0</v>
      </c>
      <c r="AC1055">
        <f>[1]资金台帐!AC1055</f>
        <v>0</v>
      </c>
      <c r="AD1055">
        <f>[1]资金台帐!AD1055</f>
        <v>0</v>
      </c>
      <c r="AJ1055">
        <f>[1]资金台帐!AJ1055</f>
        <v>0</v>
      </c>
      <c r="AK1055">
        <f>[1]资金台帐!AK1055</f>
        <v>0</v>
      </c>
      <c r="BA1055" s="22">
        <f t="shared" si="0"/>
      </c>
      <c r="BG1055" s="22">
        <f t="shared" si="1"/>
      </c>
      <c r="BH1055" s="22">
        <f t="shared" si="2"/>
        <v>0</v>
      </c>
    </row>
    <row r="1056">
      <c r="B1056">
        <f>[1]资金台帐!B1056&amp;""</f>
      </c>
      <c r="H1056">
        <f>[1]资金台帐!H1056&amp;""</f>
      </c>
      <c r="J1056">
        <f>[1]资金台帐!J1056&amp;""</f>
      </c>
      <c r="N1056">
        <f>[1]资金台帐!N1056</f>
      </c>
      <c r="O1056">
        <f>[1]资金台帐!O1056&amp;""</f>
      </c>
      <c r="P1056">
        <f>[1]资金台帐!P1056&amp;""</f>
      </c>
      <c r="Q1056">
        <f>[1]资金台帐!Q1056&amp;""</f>
      </c>
      <c r="T1056">
        <f>[1]资金台帐!T1056&amp;""</f>
      </c>
      <c r="U1056">
        <f>[1]资金台帐!U1056&amp;""</f>
      </c>
      <c r="W1056">
        <f>[1]资金台帐!W1056&amp;""</f>
      </c>
      <c r="X1056">
        <f>[1]资金台帐!X1056&amp;""</f>
      </c>
      <c r="AB1056">
        <f>[1]资金台帐!AB1056</f>
        <v>0</v>
      </c>
      <c r="AC1056">
        <f>[1]资金台帐!AC1056</f>
        <v>0</v>
      </c>
      <c r="AD1056">
        <f>[1]资金台帐!AD1056</f>
        <v>0</v>
      </c>
      <c r="AJ1056">
        <f>[1]资金台帐!AJ1056</f>
        <v>0</v>
      </c>
      <c r="AK1056">
        <f>[1]资金台帐!AK1056</f>
        <v>0</v>
      </c>
      <c r="BA1056" s="22">
        <f t="shared" si="0"/>
      </c>
      <c r="BG1056" s="22">
        <f t="shared" si="1"/>
      </c>
      <c r="BH1056" s="22">
        <f t="shared" si="2"/>
        <v>0</v>
      </c>
    </row>
    <row r="1057">
      <c r="B1057">
        <f>[1]资金台帐!B1057&amp;""</f>
      </c>
      <c r="H1057">
        <f>[1]资金台帐!H1057&amp;""</f>
      </c>
      <c r="J1057">
        <f>[1]资金台帐!J1057&amp;""</f>
      </c>
      <c r="N1057">
        <f>[1]资金台帐!N1057</f>
      </c>
      <c r="O1057">
        <f>[1]资金台帐!O1057&amp;""</f>
      </c>
      <c r="P1057">
        <f>[1]资金台帐!P1057&amp;""</f>
      </c>
      <c r="Q1057">
        <f>[1]资金台帐!Q1057&amp;""</f>
      </c>
      <c r="T1057">
        <f>[1]资金台帐!T1057&amp;""</f>
      </c>
      <c r="U1057">
        <f>[1]资金台帐!U1057&amp;""</f>
      </c>
      <c r="W1057">
        <f>[1]资金台帐!W1057&amp;""</f>
      </c>
      <c r="X1057">
        <f>[1]资金台帐!X1057&amp;""</f>
      </c>
      <c r="AB1057">
        <f>[1]资金台帐!AB1057</f>
        <v>0</v>
      </c>
      <c r="AC1057">
        <f>[1]资金台帐!AC1057</f>
        <v>0</v>
      </c>
      <c r="AD1057">
        <f>[1]资金台帐!AD1057</f>
        <v>0</v>
      </c>
      <c r="AJ1057">
        <f>[1]资金台帐!AJ1057</f>
        <v>0</v>
      </c>
      <c r="AK1057">
        <f>[1]资金台帐!AK1057</f>
        <v>0</v>
      </c>
      <c r="BA1057" s="22">
        <f t="shared" si="0"/>
      </c>
      <c r="BG1057" s="22">
        <f t="shared" si="1"/>
      </c>
      <c r="BH1057" s="22">
        <f t="shared" si="2"/>
        <v>0</v>
      </c>
    </row>
    <row r="1058">
      <c r="B1058">
        <f>[1]资金台帐!B1058&amp;""</f>
      </c>
      <c r="H1058">
        <f>[1]资金台帐!H1058&amp;""</f>
      </c>
      <c r="J1058">
        <f>[1]资金台帐!J1058&amp;""</f>
      </c>
      <c r="N1058">
        <f>[1]资金台帐!N1058</f>
      </c>
      <c r="O1058">
        <f>[1]资金台帐!O1058&amp;""</f>
      </c>
      <c r="P1058">
        <f>[1]资金台帐!P1058&amp;""</f>
      </c>
      <c r="Q1058">
        <f>[1]资金台帐!Q1058&amp;""</f>
      </c>
      <c r="T1058">
        <f>[1]资金台帐!T1058&amp;""</f>
      </c>
      <c r="U1058">
        <f>[1]资金台帐!U1058&amp;""</f>
      </c>
      <c r="W1058">
        <f>[1]资金台帐!W1058&amp;""</f>
      </c>
      <c r="X1058">
        <f>[1]资金台帐!X1058&amp;""</f>
      </c>
      <c r="AB1058">
        <f>[1]资金台帐!AB1058</f>
        <v>0</v>
      </c>
      <c r="AC1058">
        <f>[1]资金台帐!AC1058</f>
        <v>0</v>
      </c>
      <c r="AD1058">
        <f>[1]资金台帐!AD1058</f>
        <v>0</v>
      </c>
      <c r="AJ1058">
        <f>[1]资金台帐!AJ1058</f>
        <v>0</v>
      </c>
      <c r="AK1058">
        <f>[1]资金台帐!AK1058</f>
        <v>0</v>
      </c>
      <c r="BA1058" s="22">
        <f t="shared" si="0"/>
      </c>
      <c r="BG1058" s="22">
        <f t="shared" si="1"/>
      </c>
      <c r="BH1058" s="22">
        <f t="shared" si="2"/>
        <v>0</v>
      </c>
    </row>
    <row r="1059">
      <c r="B1059">
        <f>[1]资金台帐!B1059&amp;""</f>
      </c>
      <c r="H1059">
        <f>[1]资金台帐!H1059&amp;""</f>
      </c>
      <c r="J1059">
        <f>[1]资金台帐!J1059&amp;""</f>
      </c>
      <c r="N1059">
        <f>[1]资金台帐!N1059</f>
      </c>
      <c r="O1059">
        <f>[1]资金台帐!O1059&amp;""</f>
      </c>
      <c r="P1059">
        <f>[1]资金台帐!P1059&amp;""</f>
      </c>
      <c r="Q1059">
        <f>[1]资金台帐!Q1059&amp;""</f>
      </c>
      <c r="T1059">
        <f>[1]资金台帐!T1059&amp;""</f>
      </c>
      <c r="U1059">
        <f>[1]资金台帐!U1059&amp;""</f>
      </c>
      <c r="W1059">
        <f>[1]资金台帐!W1059&amp;""</f>
      </c>
      <c r="X1059">
        <f>[1]资金台帐!X1059&amp;""</f>
      </c>
      <c r="AB1059">
        <f>[1]资金台帐!AB1059</f>
        <v>0</v>
      </c>
      <c r="AC1059">
        <f>[1]资金台帐!AC1059</f>
        <v>0</v>
      </c>
      <c r="AD1059">
        <f>[1]资金台帐!AD1059</f>
        <v>0</v>
      </c>
      <c r="AJ1059">
        <f>[1]资金台帐!AJ1059</f>
        <v>0</v>
      </c>
      <c r="AK1059">
        <f>[1]资金台帐!AK1059</f>
        <v>0</v>
      </c>
      <c r="BA1059" s="22">
        <f t="shared" si="0"/>
      </c>
      <c r="BG1059" s="22">
        <f t="shared" si="1"/>
      </c>
      <c r="BH1059" s="22">
        <f t="shared" si="2"/>
        <v>0</v>
      </c>
    </row>
    <row r="1060">
      <c r="B1060">
        <f>[1]资金台帐!B1060&amp;""</f>
      </c>
      <c r="H1060">
        <f>[1]资金台帐!H1060&amp;""</f>
      </c>
      <c r="J1060">
        <f>[1]资金台帐!J1060&amp;""</f>
      </c>
      <c r="N1060">
        <f>[1]资金台帐!N1060</f>
      </c>
      <c r="O1060">
        <f>[1]资金台帐!O1060&amp;""</f>
      </c>
      <c r="P1060">
        <f>[1]资金台帐!P1060&amp;""</f>
      </c>
      <c r="Q1060">
        <f>[1]资金台帐!Q1060&amp;""</f>
      </c>
      <c r="T1060">
        <f>[1]资金台帐!T1060&amp;""</f>
      </c>
      <c r="U1060">
        <f>[1]资金台帐!U1060&amp;""</f>
      </c>
      <c r="W1060">
        <f>[1]资金台帐!W1060&amp;""</f>
      </c>
      <c r="X1060">
        <f>[1]资金台帐!X1060&amp;""</f>
      </c>
      <c r="AB1060">
        <f>[1]资金台帐!AB1060</f>
        <v>0</v>
      </c>
      <c r="AC1060">
        <f>[1]资金台帐!AC1060</f>
        <v>0</v>
      </c>
      <c r="AD1060">
        <f>[1]资金台帐!AD1060</f>
        <v>0</v>
      </c>
      <c r="AJ1060">
        <f>[1]资金台帐!AJ1060</f>
        <v>0</v>
      </c>
      <c r="AK1060">
        <f>[1]资金台帐!AK1060</f>
        <v>0</v>
      </c>
      <c r="BA1060" s="22">
        <f t="shared" si="0"/>
      </c>
      <c r="BG1060" s="22">
        <f t="shared" si="1"/>
      </c>
      <c r="BH1060" s="22">
        <f t="shared" si="2"/>
        <v>0</v>
      </c>
    </row>
    <row r="1061">
      <c r="B1061">
        <f>[1]资金台帐!B1061&amp;""</f>
      </c>
      <c r="H1061">
        <f>[1]资金台帐!H1061&amp;""</f>
      </c>
      <c r="J1061">
        <f>[1]资金台帐!J1061&amp;""</f>
      </c>
      <c r="N1061">
        <f>[1]资金台帐!N1061</f>
      </c>
      <c r="O1061">
        <f>[1]资金台帐!O1061&amp;""</f>
      </c>
      <c r="P1061">
        <f>[1]资金台帐!P1061&amp;""</f>
      </c>
      <c r="Q1061">
        <f>[1]资金台帐!Q1061&amp;""</f>
      </c>
      <c r="T1061">
        <f>[1]资金台帐!T1061&amp;""</f>
      </c>
      <c r="U1061">
        <f>[1]资金台帐!U1061&amp;""</f>
      </c>
      <c r="W1061">
        <f>[1]资金台帐!W1061&amp;""</f>
      </c>
      <c r="X1061">
        <f>[1]资金台帐!X1061&amp;""</f>
      </c>
      <c r="AB1061">
        <f>[1]资金台帐!AB1061</f>
        <v>0</v>
      </c>
      <c r="AC1061">
        <f>[1]资金台帐!AC1061</f>
        <v>0</v>
      </c>
      <c r="AD1061">
        <f>[1]资金台帐!AD1061</f>
        <v>0</v>
      </c>
      <c r="AJ1061">
        <f>[1]资金台帐!AJ1061</f>
        <v>0</v>
      </c>
      <c r="AK1061">
        <f>[1]资金台帐!AK1061</f>
        <v>0</v>
      </c>
      <c r="BA1061" s="22">
        <f t="shared" si="0"/>
      </c>
      <c r="BG1061" s="22">
        <f t="shared" si="1"/>
      </c>
      <c r="BH1061" s="22">
        <f t="shared" si="2"/>
        <v>0</v>
      </c>
    </row>
    <row r="1062">
      <c r="B1062">
        <f>[1]资金台帐!B1062&amp;""</f>
      </c>
      <c r="H1062">
        <f>[1]资金台帐!H1062&amp;""</f>
      </c>
      <c r="J1062">
        <f>[1]资金台帐!J1062&amp;""</f>
      </c>
      <c r="N1062">
        <f>[1]资金台帐!N1062</f>
      </c>
      <c r="O1062">
        <f>[1]资金台帐!O1062&amp;""</f>
      </c>
      <c r="P1062">
        <f>[1]资金台帐!P1062&amp;""</f>
      </c>
      <c r="Q1062">
        <f>[1]资金台帐!Q1062&amp;""</f>
      </c>
      <c r="T1062">
        <f>[1]资金台帐!T1062&amp;""</f>
      </c>
      <c r="U1062">
        <f>[1]资金台帐!U1062&amp;""</f>
      </c>
      <c r="W1062">
        <f>[1]资金台帐!W1062&amp;""</f>
      </c>
      <c r="X1062">
        <f>[1]资金台帐!X1062&amp;""</f>
      </c>
      <c r="AB1062">
        <f>[1]资金台帐!AB1062</f>
        <v>0</v>
      </c>
      <c r="AC1062">
        <f>[1]资金台帐!AC1062</f>
        <v>0</v>
      </c>
      <c r="AD1062">
        <f>[1]资金台帐!AD1062</f>
        <v>0</v>
      </c>
      <c r="AJ1062">
        <f>[1]资金台帐!AJ1062</f>
        <v>0</v>
      </c>
      <c r="AK1062">
        <f>[1]资金台帐!AK1062</f>
        <v>0</v>
      </c>
      <c r="BA1062" s="22">
        <f t="shared" si="0"/>
      </c>
      <c r="BG1062" s="22">
        <f t="shared" si="1"/>
      </c>
      <c r="BH1062" s="22">
        <f t="shared" si="2"/>
        <v>0</v>
      </c>
    </row>
    <row r="1063">
      <c r="B1063">
        <f>[1]资金台帐!B1063&amp;""</f>
      </c>
      <c r="H1063">
        <f>[1]资金台帐!H1063&amp;""</f>
      </c>
      <c r="J1063">
        <f>[1]资金台帐!J1063&amp;""</f>
      </c>
      <c r="N1063">
        <f>[1]资金台帐!N1063</f>
      </c>
      <c r="O1063">
        <f>[1]资金台帐!O1063&amp;""</f>
      </c>
      <c r="P1063">
        <f>[1]资金台帐!P1063&amp;""</f>
      </c>
      <c r="Q1063">
        <f>[1]资金台帐!Q1063&amp;""</f>
      </c>
      <c r="T1063">
        <f>[1]资金台帐!T1063&amp;""</f>
      </c>
      <c r="U1063">
        <f>[1]资金台帐!U1063&amp;""</f>
      </c>
      <c r="W1063">
        <f>[1]资金台帐!W1063&amp;""</f>
      </c>
      <c r="X1063">
        <f>[1]资金台帐!X1063&amp;""</f>
      </c>
      <c r="AB1063">
        <f>[1]资金台帐!AB1063</f>
        <v>0</v>
      </c>
      <c r="AC1063">
        <f>[1]资金台帐!AC1063</f>
        <v>0</v>
      </c>
      <c r="AD1063">
        <f>[1]资金台帐!AD1063</f>
        <v>0</v>
      </c>
      <c r="AJ1063">
        <f>[1]资金台帐!AJ1063</f>
        <v>0</v>
      </c>
      <c r="AK1063">
        <f>[1]资金台帐!AK1063</f>
        <v>0</v>
      </c>
      <c r="BA1063" s="22">
        <f t="shared" si="0"/>
      </c>
      <c r="BG1063" s="22">
        <f t="shared" si="1"/>
      </c>
      <c r="BH1063" s="22">
        <f t="shared" si="2"/>
        <v>0</v>
      </c>
    </row>
    <row r="1064">
      <c r="B1064">
        <f>[1]资金台帐!B1064&amp;""</f>
      </c>
      <c r="H1064">
        <f>[1]资金台帐!H1064&amp;""</f>
      </c>
      <c r="J1064">
        <f>[1]资金台帐!J1064&amp;""</f>
      </c>
      <c r="N1064">
        <f>[1]资金台帐!N1064</f>
      </c>
      <c r="O1064">
        <f>[1]资金台帐!O1064&amp;""</f>
      </c>
      <c r="P1064">
        <f>[1]资金台帐!P1064&amp;""</f>
      </c>
      <c r="Q1064">
        <f>[1]资金台帐!Q1064&amp;""</f>
      </c>
      <c r="T1064">
        <f>[1]资金台帐!T1064&amp;""</f>
      </c>
      <c r="U1064">
        <f>[1]资金台帐!U1064&amp;""</f>
      </c>
      <c r="W1064">
        <f>[1]资金台帐!W1064&amp;""</f>
      </c>
      <c r="X1064">
        <f>[1]资金台帐!X1064&amp;""</f>
      </c>
      <c r="AB1064">
        <f>[1]资金台帐!AB1064</f>
        <v>0</v>
      </c>
      <c r="AC1064">
        <f>[1]资金台帐!AC1064</f>
        <v>0</v>
      </c>
      <c r="AD1064">
        <f>[1]资金台帐!AD1064</f>
        <v>0</v>
      </c>
      <c r="AJ1064">
        <f>[1]资金台帐!AJ1064</f>
        <v>0</v>
      </c>
      <c r="AK1064">
        <f>[1]资金台帐!AK1064</f>
        <v>0</v>
      </c>
      <c r="BA1064" s="22">
        <f t="shared" si="0"/>
      </c>
      <c r="BG1064" s="22">
        <f t="shared" si="1"/>
      </c>
      <c r="BH1064" s="22">
        <f t="shared" si="2"/>
        <v>0</v>
      </c>
    </row>
    <row r="1065">
      <c r="B1065">
        <f>[1]资金台帐!B1065&amp;""</f>
      </c>
      <c r="H1065">
        <f>[1]资金台帐!H1065&amp;""</f>
      </c>
      <c r="J1065">
        <f>[1]资金台帐!J1065&amp;""</f>
      </c>
      <c r="N1065">
        <f>[1]资金台帐!N1065</f>
      </c>
      <c r="O1065">
        <f>[1]资金台帐!O1065&amp;""</f>
      </c>
      <c r="P1065">
        <f>[1]资金台帐!P1065&amp;""</f>
      </c>
      <c r="Q1065">
        <f>[1]资金台帐!Q1065&amp;""</f>
      </c>
      <c r="T1065">
        <f>[1]资金台帐!T1065&amp;""</f>
      </c>
      <c r="U1065">
        <f>[1]资金台帐!U1065&amp;""</f>
      </c>
      <c r="W1065">
        <f>[1]资金台帐!W1065&amp;""</f>
      </c>
      <c r="X1065">
        <f>[1]资金台帐!X1065&amp;""</f>
      </c>
      <c r="AB1065">
        <f>[1]资金台帐!AB1065</f>
        <v>0</v>
      </c>
      <c r="AC1065">
        <f>[1]资金台帐!AC1065</f>
        <v>0</v>
      </c>
      <c r="AD1065">
        <f>[1]资金台帐!AD1065</f>
        <v>0</v>
      </c>
      <c r="AJ1065">
        <f>[1]资金台帐!AJ1065</f>
        <v>0</v>
      </c>
      <c r="AK1065">
        <f>[1]资金台帐!AK1065</f>
        <v>0</v>
      </c>
      <c r="BA1065" s="22">
        <f t="shared" si="0"/>
      </c>
      <c r="BG1065" s="22">
        <f t="shared" si="1"/>
      </c>
      <c r="BH1065" s="22">
        <f t="shared" si="2"/>
        <v>0</v>
      </c>
    </row>
    <row r="1066">
      <c r="B1066">
        <f>[1]资金台帐!B1066&amp;""</f>
      </c>
      <c r="H1066">
        <f>[1]资金台帐!H1066&amp;""</f>
      </c>
      <c r="J1066">
        <f>[1]资金台帐!J1066&amp;""</f>
      </c>
      <c r="N1066">
        <f>[1]资金台帐!N1066</f>
      </c>
      <c r="O1066">
        <f>[1]资金台帐!O1066&amp;""</f>
      </c>
      <c r="P1066">
        <f>[1]资金台帐!P1066&amp;""</f>
      </c>
      <c r="Q1066">
        <f>[1]资金台帐!Q1066&amp;""</f>
      </c>
      <c r="T1066">
        <f>[1]资金台帐!T1066&amp;""</f>
      </c>
      <c r="U1066">
        <f>[1]资金台帐!U1066&amp;""</f>
      </c>
      <c r="W1066">
        <f>[1]资金台帐!W1066&amp;""</f>
      </c>
      <c r="X1066">
        <f>[1]资金台帐!X1066&amp;""</f>
      </c>
      <c r="AB1066">
        <f>[1]资金台帐!AB1066</f>
        <v>0</v>
      </c>
      <c r="AC1066">
        <f>[1]资金台帐!AC1066</f>
        <v>0</v>
      </c>
      <c r="AD1066">
        <f>[1]资金台帐!AD1066</f>
        <v>0</v>
      </c>
      <c r="AJ1066">
        <f>[1]资金台帐!AJ1066</f>
        <v>0</v>
      </c>
      <c r="AK1066">
        <f>[1]资金台帐!AK1066</f>
        <v>0</v>
      </c>
      <c r="BA1066" s="22">
        <f t="shared" si="0"/>
      </c>
      <c r="BG1066" s="22">
        <f t="shared" si="1"/>
      </c>
      <c r="BH1066" s="22">
        <f t="shared" si="2"/>
        <v>0</v>
      </c>
    </row>
    <row r="1067">
      <c r="B1067">
        <f>[1]资金台帐!B1067&amp;""</f>
      </c>
      <c r="H1067">
        <f>[1]资金台帐!H1067&amp;""</f>
      </c>
      <c r="J1067">
        <f>[1]资金台帐!J1067&amp;""</f>
      </c>
      <c r="N1067">
        <f>[1]资金台帐!N1067</f>
      </c>
      <c r="O1067">
        <f>[1]资金台帐!O1067&amp;""</f>
      </c>
      <c r="P1067">
        <f>[1]资金台帐!P1067&amp;""</f>
      </c>
      <c r="Q1067">
        <f>[1]资金台帐!Q1067&amp;""</f>
      </c>
      <c r="T1067">
        <f>[1]资金台帐!T1067&amp;""</f>
      </c>
      <c r="U1067">
        <f>[1]资金台帐!U1067&amp;""</f>
      </c>
      <c r="W1067">
        <f>[1]资金台帐!W1067&amp;""</f>
      </c>
      <c r="X1067">
        <f>[1]资金台帐!X1067&amp;""</f>
      </c>
      <c r="AB1067">
        <f>[1]资金台帐!AB1067</f>
        <v>0</v>
      </c>
      <c r="AC1067">
        <f>[1]资金台帐!AC1067</f>
        <v>0</v>
      </c>
      <c r="AD1067">
        <f>[1]资金台帐!AD1067</f>
        <v>0</v>
      </c>
      <c r="AJ1067">
        <f>[1]资金台帐!AJ1067</f>
        <v>0</v>
      </c>
      <c r="AK1067">
        <f>[1]资金台帐!AK1067</f>
        <v>0</v>
      </c>
      <c r="BA1067" s="22">
        <f t="shared" si="0"/>
      </c>
      <c r="BG1067" s="22">
        <f t="shared" si="1"/>
      </c>
      <c r="BH1067" s="22">
        <f t="shared" si="2"/>
        <v>0</v>
      </c>
    </row>
    <row r="1068">
      <c r="B1068">
        <f>[1]资金台帐!B1068&amp;""</f>
      </c>
      <c r="H1068">
        <f>[1]资金台帐!H1068&amp;""</f>
      </c>
      <c r="J1068">
        <f>[1]资金台帐!J1068&amp;""</f>
      </c>
      <c r="N1068">
        <f>[1]资金台帐!N1068</f>
      </c>
      <c r="O1068">
        <f>[1]资金台帐!O1068&amp;""</f>
      </c>
      <c r="P1068">
        <f>[1]资金台帐!P1068&amp;""</f>
      </c>
      <c r="Q1068">
        <f>[1]资金台帐!Q1068&amp;""</f>
      </c>
      <c r="T1068">
        <f>[1]资金台帐!T1068&amp;""</f>
      </c>
      <c r="U1068">
        <f>[1]资金台帐!U1068&amp;""</f>
      </c>
      <c r="W1068">
        <f>[1]资金台帐!W1068&amp;""</f>
      </c>
      <c r="X1068">
        <f>[1]资金台帐!X1068&amp;""</f>
      </c>
      <c r="AB1068">
        <f>[1]资金台帐!AB1068</f>
        <v>0</v>
      </c>
      <c r="AC1068">
        <f>[1]资金台帐!AC1068</f>
        <v>0</v>
      </c>
      <c r="AD1068">
        <f>[1]资金台帐!AD1068</f>
        <v>0</v>
      </c>
      <c r="AJ1068">
        <f>[1]资金台帐!AJ1068</f>
        <v>0</v>
      </c>
      <c r="AK1068">
        <f>[1]资金台帐!AK1068</f>
        <v>0</v>
      </c>
      <c r="BA1068" s="22">
        <f t="shared" si="0"/>
      </c>
      <c r="BG1068" s="22">
        <f t="shared" si="1"/>
      </c>
      <c r="BH1068" s="22">
        <f t="shared" si="2"/>
        <v>0</v>
      </c>
    </row>
    <row r="1069">
      <c r="B1069">
        <f>[1]资金台帐!B1069&amp;""</f>
      </c>
      <c r="H1069">
        <f>[1]资金台帐!H1069&amp;""</f>
      </c>
      <c r="J1069">
        <f>[1]资金台帐!J1069&amp;""</f>
      </c>
      <c r="N1069">
        <f>[1]资金台帐!N1069</f>
      </c>
      <c r="O1069">
        <f>[1]资金台帐!O1069&amp;""</f>
      </c>
      <c r="P1069">
        <f>[1]资金台帐!P1069&amp;""</f>
      </c>
      <c r="Q1069">
        <f>[1]资金台帐!Q1069&amp;""</f>
      </c>
      <c r="T1069">
        <f>[1]资金台帐!T1069&amp;""</f>
      </c>
      <c r="U1069">
        <f>[1]资金台帐!U1069&amp;""</f>
      </c>
      <c r="W1069">
        <f>[1]资金台帐!W1069&amp;""</f>
      </c>
      <c r="X1069">
        <f>[1]资金台帐!X1069&amp;""</f>
      </c>
      <c r="AB1069">
        <f>[1]资金台帐!AB1069</f>
        <v>0</v>
      </c>
      <c r="AC1069">
        <f>[1]资金台帐!AC1069</f>
        <v>0</v>
      </c>
      <c r="AD1069">
        <f>[1]资金台帐!AD1069</f>
        <v>0</v>
      </c>
      <c r="AJ1069">
        <f>[1]资金台帐!AJ1069</f>
        <v>0</v>
      </c>
      <c r="AK1069">
        <f>[1]资金台帐!AK1069</f>
        <v>0</v>
      </c>
      <c r="BA1069" s="22">
        <f t="shared" si="0"/>
      </c>
      <c r="BG1069" s="22">
        <f t="shared" si="1"/>
      </c>
      <c r="BH1069" s="22">
        <f t="shared" si="2"/>
        <v>0</v>
      </c>
    </row>
    <row r="1070">
      <c r="B1070">
        <f>[1]资金台帐!B1070&amp;""</f>
      </c>
      <c r="H1070">
        <f>[1]资金台帐!H1070&amp;""</f>
      </c>
      <c r="J1070">
        <f>[1]资金台帐!J1070&amp;""</f>
      </c>
      <c r="N1070">
        <f>[1]资金台帐!N1070</f>
      </c>
      <c r="O1070">
        <f>[1]资金台帐!O1070&amp;""</f>
      </c>
      <c r="P1070">
        <f>[1]资金台帐!P1070&amp;""</f>
      </c>
      <c r="Q1070">
        <f>[1]资金台帐!Q1070&amp;""</f>
      </c>
      <c r="T1070">
        <f>[1]资金台帐!T1070&amp;""</f>
      </c>
      <c r="U1070">
        <f>[1]资金台帐!U1070&amp;""</f>
      </c>
      <c r="W1070">
        <f>[1]资金台帐!W1070&amp;""</f>
      </c>
      <c r="X1070">
        <f>[1]资金台帐!X1070&amp;""</f>
      </c>
      <c r="AB1070">
        <f>[1]资金台帐!AB1070</f>
        <v>0</v>
      </c>
      <c r="AC1070">
        <f>[1]资金台帐!AC1070</f>
        <v>0</v>
      </c>
      <c r="AD1070">
        <f>[1]资金台帐!AD1070</f>
        <v>0</v>
      </c>
      <c r="AJ1070">
        <f>[1]资金台帐!AJ1070</f>
        <v>0</v>
      </c>
      <c r="AK1070">
        <f>[1]资金台帐!AK1070</f>
        <v>0</v>
      </c>
      <c r="BA1070" s="22">
        <f t="shared" si="0"/>
      </c>
      <c r="BG1070" s="22">
        <f t="shared" si="1"/>
      </c>
      <c r="BH1070" s="22">
        <f t="shared" si="2"/>
        <v>0</v>
      </c>
    </row>
    <row r="1071">
      <c r="B1071">
        <f>[1]资金台帐!B1071&amp;""</f>
      </c>
      <c r="H1071">
        <f>[1]资金台帐!H1071&amp;""</f>
      </c>
      <c r="J1071">
        <f>[1]资金台帐!J1071&amp;""</f>
      </c>
      <c r="N1071">
        <f>[1]资金台帐!N1071</f>
      </c>
      <c r="O1071">
        <f>[1]资金台帐!O1071&amp;""</f>
      </c>
      <c r="P1071">
        <f>[1]资金台帐!P1071&amp;""</f>
      </c>
      <c r="Q1071">
        <f>[1]资金台帐!Q1071&amp;""</f>
      </c>
      <c r="T1071">
        <f>[1]资金台帐!T1071&amp;""</f>
      </c>
      <c r="U1071">
        <f>[1]资金台帐!U1071&amp;""</f>
      </c>
      <c r="W1071">
        <f>[1]资金台帐!W1071&amp;""</f>
      </c>
      <c r="X1071">
        <f>[1]资金台帐!X1071&amp;""</f>
      </c>
      <c r="AB1071">
        <f>[1]资金台帐!AB1071</f>
        <v>0</v>
      </c>
      <c r="AC1071">
        <f>[1]资金台帐!AC1071</f>
        <v>0</v>
      </c>
      <c r="AD1071">
        <f>[1]资金台帐!AD1071</f>
        <v>0</v>
      </c>
      <c r="AJ1071">
        <f>[1]资金台帐!AJ1071</f>
        <v>0</v>
      </c>
      <c r="AK1071">
        <f>[1]资金台帐!AK1071</f>
        <v>0</v>
      </c>
      <c r="BA1071" s="22">
        <f t="shared" si="0"/>
      </c>
      <c r="BG1071" s="22">
        <f t="shared" si="1"/>
      </c>
      <c r="BH1071" s="22">
        <f t="shared" si="2"/>
        <v>0</v>
      </c>
    </row>
    <row r="1072">
      <c r="B1072">
        <f>[1]资金台帐!B1072&amp;""</f>
      </c>
      <c r="H1072">
        <f>[1]资金台帐!H1072&amp;""</f>
      </c>
      <c r="J1072">
        <f>[1]资金台帐!J1072&amp;""</f>
      </c>
      <c r="N1072">
        <f>[1]资金台帐!N1072</f>
      </c>
      <c r="O1072">
        <f>[1]资金台帐!O1072&amp;""</f>
      </c>
      <c r="P1072">
        <f>[1]资金台帐!P1072&amp;""</f>
      </c>
      <c r="Q1072">
        <f>[1]资金台帐!Q1072&amp;""</f>
      </c>
      <c r="T1072">
        <f>[1]资金台帐!T1072&amp;""</f>
      </c>
      <c r="U1072">
        <f>[1]资金台帐!U1072&amp;""</f>
      </c>
      <c r="W1072">
        <f>[1]资金台帐!W1072&amp;""</f>
      </c>
      <c r="X1072">
        <f>[1]资金台帐!X1072&amp;""</f>
      </c>
      <c r="AB1072">
        <f>[1]资金台帐!AB1072</f>
        <v>0</v>
      </c>
      <c r="AC1072">
        <f>[1]资金台帐!AC1072</f>
        <v>0</v>
      </c>
      <c r="AD1072">
        <f>[1]资金台帐!AD1072</f>
        <v>0</v>
      </c>
      <c r="AJ1072">
        <f>[1]资金台帐!AJ1072</f>
        <v>0</v>
      </c>
      <c r="AK1072">
        <f>[1]资金台帐!AK1072</f>
        <v>0</v>
      </c>
      <c r="BA1072" s="22">
        <f t="shared" si="0"/>
      </c>
      <c r="BG1072" s="22">
        <f t="shared" si="1"/>
      </c>
      <c r="BH1072" s="22">
        <f t="shared" si="2"/>
        <v>0</v>
      </c>
    </row>
    <row r="1073">
      <c r="B1073">
        <f>[1]资金台帐!B1073&amp;""</f>
      </c>
      <c r="H1073">
        <f>[1]资金台帐!H1073&amp;""</f>
      </c>
      <c r="J1073">
        <f>[1]资金台帐!J1073&amp;""</f>
      </c>
      <c r="N1073">
        <f>[1]资金台帐!N1073</f>
      </c>
      <c r="O1073">
        <f>[1]资金台帐!O1073&amp;""</f>
      </c>
      <c r="P1073">
        <f>[1]资金台帐!P1073&amp;""</f>
      </c>
      <c r="Q1073">
        <f>[1]资金台帐!Q1073&amp;""</f>
      </c>
      <c r="T1073">
        <f>[1]资金台帐!T1073&amp;""</f>
      </c>
      <c r="U1073">
        <f>[1]资金台帐!U1073&amp;""</f>
      </c>
      <c r="W1073">
        <f>[1]资金台帐!W1073&amp;""</f>
      </c>
      <c r="X1073">
        <f>[1]资金台帐!X1073&amp;""</f>
      </c>
      <c r="AB1073">
        <f>[1]资金台帐!AB1073</f>
        <v>0</v>
      </c>
      <c r="AC1073">
        <f>[1]资金台帐!AC1073</f>
        <v>0</v>
      </c>
      <c r="AD1073">
        <f>[1]资金台帐!AD1073</f>
        <v>0</v>
      </c>
      <c r="AJ1073">
        <f>[1]资金台帐!AJ1073</f>
        <v>0</v>
      </c>
      <c r="AK1073">
        <f>[1]资金台帐!AK1073</f>
        <v>0</v>
      </c>
      <c r="BA1073" s="22">
        <f t="shared" si="0"/>
      </c>
      <c r="BG1073" s="22">
        <f t="shared" si="1"/>
      </c>
      <c r="BH1073" s="22">
        <f t="shared" si="2"/>
        <v>0</v>
      </c>
    </row>
    <row r="1074">
      <c r="B1074">
        <f>[1]资金台帐!B1074&amp;""</f>
      </c>
      <c r="H1074">
        <f>[1]资金台帐!H1074&amp;""</f>
      </c>
      <c r="J1074">
        <f>[1]资金台帐!J1074&amp;""</f>
      </c>
      <c r="N1074">
        <f>[1]资金台帐!N1074</f>
      </c>
      <c r="O1074">
        <f>[1]资金台帐!O1074&amp;""</f>
      </c>
      <c r="P1074">
        <f>[1]资金台帐!P1074&amp;""</f>
      </c>
      <c r="Q1074">
        <f>[1]资金台帐!Q1074&amp;""</f>
      </c>
      <c r="T1074">
        <f>[1]资金台帐!T1074&amp;""</f>
      </c>
      <c r="U1074">
        <f>[1]资金台帐!U1074&amp;""</f>
      </c>
      <c r="W1074">
        <f>[1]资金台帐!W1074&amp;""</f>
      </c>
      <c r="X1074">
        <f>[1]资金台帐!X1074&amp;""</f>
      </c>
      <c r="AB1074">
        <f>[1]资金台帐!AB1074</f>
        <v>0</v>
      </c>
      <c r="AC1074">
        <f>[1]资金台帐!AC1074</f>
        <v>0</v>
      </c>
      <c r="AD1074">
        <f>[1]资金台帐!AD1074</f>
        <v>0</v>
      </c>
      <c r="AJ1074">
        <f>[1]资金台帐!AJ1074</f>
        <v>0</v>
      </c>
      <c r="AK1074">
        <f>[1]资金台帐!AK1074</f>
        <v>0</v>
      </c>
      <c r="BA1074" s="22">
        <f t="shared" si="0"/>
      </c>
      <c r="BG1074" s="22">
        <f t="shared" si="1"/>
      </c>
      <c r="BH1074" s="22">
        <f t="shared" si="2"/>
        <v>0</v>
      </c>
    </row>
    <row r="1075">
      <c r="B1075">
        <f>[1]资金台帐!B1075&amp;""</f>
      </c>
      <c r="H1075">
        <f>[1]资金台帐!H1075&amp;""</f>
      </c>
      <c r="J1075">
        <f>[1]资金台帐!J1075&amp;""</f>
      </c>
      <c r="N1075">
        <f>[1]资金台帐!N1075</f>
      </c>
      <c r="O1075">
        <f>[1]资金台帐!O1075&amp;""</f>
      </c>
      <c r="P1075">
        <f>[1]资金台帐!P1075&amp;""</f>
      </c>
      <c r="Q1075">
        <f>[1]资金台帐!Q1075&amp;""</f>
      </c>
      <c r="T1075">
        <f>[1]资金台帐!T1075&amp;""</f>
      </c>
      <c r="U1075">
        <f>[1]资金台帐!U1075&amp;""</f>
      </c>
      <c r="W1075">
        <f>[1]资金台帐!W1075&amp;""</f>
      </c>
      <c r="X1075">
        <f>[1]资金台帐!X1075&amp;""</f>
      </c>
      <c r="AB1075">
        <f>[1]资金台帐!AB1075</f>
        <v>0</v>
      </c>
      <c r="AC1075">
        <f>[1]资金台帐!AC1075</f>
        <v>0</v>
      </c>
      <c r="AD1075">
        <f>[1]资金台帐!AD1075</f>
        <v>0</v>
      </c>
      <c r="AJ1075">
        <f>[1]资金台帐!AJ1075</f>
        <v>0</v>
      </c>
      <c r="AK1075">
        <f>[1]资金台帐!AK1075</f>
        <v>0</v>
      </c>
      <c r="BA1075" s="22">
        <f t="shared" si="0"/>
      </c>
      <c r="BG1075" s="22">
        <f t="shared" si="1"/>
      </c>
      <c r="BH1075" s="22">
        <f t="shared" si="2"/>
        <v>0</v>
      </c>
    </row>
    <row r="1076">
      <c r="B1076">
        <f>[1]资金台帐!B1076&amp;""</f>
      </c>
      <c r="H1076">
        <f>[1]资金台帐!H1076&amp;""</f>
      </c>
      <c r="J1076">
        <f>[1]资金台帐!J1076&amp;""</f>
      </c>
      <c r="N1076">
        <f>[1]资金台帐!N1076</f>
      </c>
      <c r="O1076">
        <f>[1]资金台帐!O1076&amp;""</f>
      </c>
      <c r="P1076">
        <f>[1]资金台帐!P1076&amp;""</f>
      </c>
      <c r="Q1076">
        <f>[1]资金台帐!Q1076&amp;""</f>
      </c>
      <c r="T1076">
        <f>[1]资金台帐!T1076&amp;""</f>
      </c>
      <c r="U1076">
        <f>[1]资金台帐!U1076&amp;""</f>
      </c>
      <c r="W1076">
        <f>[1]资金台帐!W1076&amp;""</f>
      </c>
      <c r="X1076">
        <f>[1]资金台帐!X1076&amp;""</f>
      </c>
      <c r="AB1076">
        <f>[1]资金台帐!AB1076</f>
        <v>0</v>
      </c>
      <c r="AC1076">
        <f>[1]资金台帐!AC1076</f>
        <v>0</v>
      </c>
      <c r="AD1076">
        <f>[1]资金台帐!AD1076</f>
        <v>0</v>
      </c>
      <c r="AJ1076">
        <f>[1]资金台帐!AJ1076</f>
        <v>0</v>
      </c>
      <c r="AK1076">
        <f>[1]资金台帐!AK1076</f>
        <v>0</v>
      </c>
      <c r="BA1076" s="22">
        <f t="shared" si="0"/>
      </c>
      <c r="BG1076" s="22">
        <f t="shared" si="1"/>
      </c>
      <c r="BH1076" s="22">
        <f t="shared" si="2"/>
        <v>0</v>
      </c>
    </row>
    <row r="1077">
      <c r="B1077">
        <f>[1]资金台帐!B1077&amp;""</f>
      </c>
      <c r="H1077">
        <f>[1]资金台帐!H1077&amp;""</f>
      </c>
      <c r="J1077">
        <f>[1]资金台帐!J1077&amp;""</f>
      </c>
      <c r="N1077">
        <f>[1]资金台帐!N1077</f>
      </c>
      <c r="O1077">
        <f>[1]资金台帐!O1077&amp;""</f>
      </c>
      <c r="P1077">
        <f>[1]资金台帐!P1077&amp;""</f>
      </c>
      <c r="Q1077">
        <f>[1]资金台帐!Q1077&amp;""</f>
      </c>
      <c r="T1077">
        <f>[1]资金台帐!T1077&amp;""</f>
      </c>
      <c r="U1077">
        <f>[1]资金台帐!U1077&amp;""</f>
      </c>
      <c r="W1077">
        <f>[1]资金台帐!W1077&amp;""</f>
      </c>
      <c r="X1077">
        <f>[1]资金台帐!X1077&amp;""</f>
      </c>
      <c r="AB1077">
        <f>[1]资金台帐!AB1077</f>
        <v>0</v>
      </c>
      <c r="AC1077">
        <f>[1]资金台帐!AC1077</f>
        <v>0</v>
      </c>
      <c r="AD1077">
        <f>[1]资金台帐!AD1077</f>
        <v>0</v>
      </c>
      <c r="AJ1077">
        <f>[1]资金台帐!AJ1077</f>
        <v>0</v>
      </c>
      <c r="AK1077">
        <f>[1]资金台帐!AK1077</f>
        <v>0</v>
      </c>
      <c r="BA1077" s="22">
        <f t="shared" si="0"/>
      </c>
      <c r="BG1077" s="22">
        <f t="shared" si="1"/>
      </c>
      <c r="BH1077" s="22">
        <f t="shared" si="2"/>
        <v>0</v>
      </c>
    </row>
    <row r="1078">
      <c r="B1078">
        <f>[1]资金台帐!B1078&amp;""</f>
      </c>
      <c r="H1078">
        <f>[1]资金台帐!H1078&amp;""</f>
      </c>
      <c r="J1078">
        <f>[1]资金台帐!J1078&amp;""</f>
      </c>
      <c r="N1078">
        <f>[1]资金台帐!N1078</f>
      </c>
      <c r="O1078">
        <f>[1]资金台帐!O1078&amp;""</f>
      </c>
      <c r="P1078">
        <f>[1]资金台帐!P1078&amp;""</f>
      </c>
      <c r="Q1078">
        <f>[1]资金台帐!Q1078&amp;""</f>
      </c>
      <c r="T1078">
        <f>[1]资金台帐!T1078&amp;""</f>
      </c>
      <c r="U1078">
        <f>[1]资金台帐!U1078&amp;""</f>
      </c>
      <c r="W1078">
        <f>[1]资金台帐!W1078&amp;""</f>
      </c>
      <c r="X1078">
        <f>[1]资金台帐!X1078&amp;""</f>
      </c>
      <c r="AB1078">
        <f>[1]资金台帐!AB1078</f>
        <v>0</v>
      </c>
      <c r="AC1078">
        <f>[1]资金台帐!AC1078</f>
        <v>0</v>
      </c>
      <c r="AD1078">
        <f>[1]资金台帐!AD1078</f>
        <v>0</v>
      </c>
      <c r="AJ1078">
        <f>[1]资金台帐!AJ1078</f>
        <v>0</v>
      </c>
      <c r="AK1078">
        <f>[1]资金台帐!AK1078</f>
        <v>0</v>
      </c>
      <c r="BA1078" s="22">
        <f t="shared" si="0"/>
      </c>
      <c r="BG1078" s="22">
        <f t="shared" si="1"/>
      </c>
      <c r="BH1078" s="22">
        <f t="shared" si="2"/>
        <v>0</v>
      </c>
    </row>
    <row r="1079">
      <c r="B1079">
        <f>[1]资金台帐!B1079&amp;""</f>
      </c>
      <c r="H1079">
        <f>[1]资金台帐!H1079&amp;""</f>
      </c>
      <c r="J1079">
        <f>[1]资金台帐!J1079&amp;""</f>
      </c>
      <c r="N1079">
        <f>[1]资金台帐!N1079</f>
      </c>
      <c r="O1079">
        <f>[1]资金台帐!O1079&amp;""</f>
      </c>
      <c r="P1079">
        <f>[1]资金台帐!P1079&amp;""</f>
      </c>
      <c r="Q1079">
        <f>[1]资金台帐!Q1079&amp;""</f>
      </c>
      <c r="T1079">
        <f>[1]资金台帐!T1079&amp;""</f>
      </c>
      <c r="U1079">
        <f>[1]资金台帐!U1079&amp;""</f>
      </c>
      <c r="W1079">
        <f>[1]资金台帐!W1079&amp;""</f>
      </c>
      <c r="X1079">
        <f>[1]资金台帐!X1079&amp;""</f>
      </c>
      <c r="AB1079">
        <f>[1]资金台帐!AB1079</f>
        <v>0</v>
      </c>
      <c r="AC1079">
        <f>[1]资金台帐!AC1079</f>
        <v>0</v>
      </c>
      <c r="AD1079">
        <f>[1]资金台帐!AD1079</f>
        <v>0</v>
      </c>
      <c r="AJ1079">
        <f>[1]资金台帐!AJ1079</f>
        <v>0</v>
      </c>
      <c r="AK1079">
        <f>[1]资金台帐!AK1079</f>
        <v>0</v>
      </c>
      <c r="BA1079" s="22">
        <f t="shared" si="0"/>
      </c>
      <c r="BG1079" s="22">
        <f t="shared" si="1"/>
      </c>
      <c r="BH1079" s="22">
        <f t="shared" si="2"/>
        <v>0</v>
      </c>
    </row>
    <row r="1080">
      <c r="B1080">
        <f>[1]资金台帐!B1080&amp;""</f>
      </c>
      <c r="H1080">
        <f>[1]资金台帐!H1080&amp;""</f>
      </c>
      <c r="J1080">
        <f>[1]资金台帐!J1080&amp;""</f>
      </c>
      <c r="N1080">
        <f>[1]资金台帐!N1080</f>
      </c>
      <c r="O1080">
        <f>[1]资金台帐!O1080&amp;""</f>
      </c>
      <c r="P1080">
        <f>[1]资金台帐!P1080&amp;""</f>
      </c>
      <c r="Q1080">
        <f>[1]资金台帐!Q1080&amp;""</f>
      </c>
      <c r="T1080">
        <f>[1]资金台帐!T1080&amp;""</f>
      </c>
      <c r="U1080">
        <f>[1]资金台帐!U1080&amp;""</f>
      </c>
      <c r="W1080">
        <f>[1]资金台帐!W1080&amp;""</f>
      </c>
      <c r="X1080">
        <f>[1]资金台帐!X1080&amp;""</f>
      </c>
      <c r="AB1080">
        <f>[1]资金台帐!AB1080</f>
        <v>0</v>
      </c>
      <c r="AC1080">
        <f>[1]资金台帐!AC1080</f>
        <v>0</v>
      </c>
      <c r="AD1080">
        <f>[1]资金台帐!AD1080</f>
        <v>0</v>
      </c>
      <c r="AJ1080">
        <f>[1]资金台帐!AJ1080</f>
        <v>0</v>
      </c>
      <c r="AK1080">
        <f>[1]资金台帐!AK1080</f>
        <v>0</v>
      </c>
      <c r="BA1080" s="22">
        <f t="shared" si="0"/>
      </c>
      <c r="BG1080" s="22">
        <f t="shared" si="1"/>
      </c>
      <c r="BH1080" s="22">
        <f t="shared" si="2"/>
        <v>0</v>
      </c>
    </row>
    <row r="1081">
      <c r="B1081">
        <f>[1]资金台帐!B1081&amp;""</f>
      </c>
      <c r="H1081">
        <f>[1]资金台帐!H1081&amp;""</f>
      </c>
      <c r="J1081">
        <f>[1]资金台帐!J1081&amp;""</f>
      </c>
      <c r="N1081">
        <f>[1]资金台帐!N1081</f>
      </c>
      <c r="O1081">
        <f>[1]资金台帐!O1081&amp;""</f>
      </c>
      <c r="P1081">
        <f>[1]资金台帐!P1081&amp;""</f>
      </c>
      <c r="Q1081">
        <f>[1]资金台帐!Q1081&amp;""</f>
      </c>
      <c r="T1081">
        <f>[1]资金台帐!T1081&amp;""</f>
      </c>
      <c r="U1081">
        <f>[1]资金台帐!U1081&amp;""</f>
      </c>
      <c r="W1081">
        <f>[1]资金台帐!W1081&amp;""</f>
      </c>
      <c r="X1081">
        <f>[1]资金台帐!X1081&amp;""</f>
      </c>
      <c r="AB1081">
        <f>[1]资金台帐!AB1081</f>
        <v>0</v>
      </c>
      <c r="AC1081">
        <f>[1]资金台帐!AC1081</f>
        <v>0</v>
      </c>
      <c r="AD1081">
        <f>[1]资金台帐!AD1081</f>
        <v>0</v>
      </c>
      <c r="AJ1081">
        <f>[1]资金台帐!AJ1081</f>
        <v>0</v>
      </c>
      <c r="AK1081">
        <f>[1]资金台帐!AK1081</f>
        <v>0</v>
      </c>
      <c r="BA1081" s="22">
        <f t="shared" si="0"/>
      </c>
      <c r="BG1081" s="22">
        <f t="shared" si="1"/>
      </c>
      <c r="BH1081" s="22">
        <f t="shared" si="2"/>
        <v>0</v>
      </c>
    </row>
    <row r="1082">
      <c r="B1082">
        <f>[1]资金台帐!B1082&amp;""</f>
      </c>
      <c r="H1082">
        <f>[1]资金台帐!H1082&amp;""</f>
      </c>
      <c r="J1082">
        <f>[1]资金台帐!J1082&amp;""</f>
      </c>
      <c r="N1082">
        <f>[1]资金台帐!N1082</f>
      </c>
      <c r="O1082">
        <f>[1]资金台帐!O1082&amp;""</f>
      </c>
      <c r="P1082">
        <f>[1]资金台帐!P1082&amp;""</f>
      </c>
      <c r="Q1082">
        <f>[1]资金台帐!Q1082&amp;""</f>
      </c>
      <c r="T1082">
        <f>[1]资金台帐!T1082&amp;""</f>
      </c>
      <c r="U1082">
        <f>[1]资金台帐!U1082&amp;""</f>
      </c>
      <c r="W1082">
        <f>[1]资金台帐!W1082&amp;""</f>
      </c>
      <c r="X1082">
        <f>[1]资金台帐!X1082&amp;""</f>
      </c>
      <c r="AB1082">
        <f>[1]资金台帐!AB1082</f>
        <v>0</v>
      </c>
      <c r="AC1082">
        <f>[1]资金台帐!AC1082</f>
        <v>0</v>
      </c>
      <c r="AD1082">
        <f>[1]资金台帐!AD1082</f>
        <v>0</v>
      </c>
      <c r="AJ1082">
        <f>[1]资金台帐!AJ1082</f>
        <v>0</v>
      </c>
      <c r="AK1082">
        <f>[1]资金台帐!AK1082</f>
        <v>0</v>
      </c>
      <c r="BA1082" s="22">
        <f t="shared" si="0"/>
      </c>
      <c r="BG1082" s="22">
        <f t="shared" si="1"/>
      </c>
      <c r="BH1082" s="22">
        <f t="shared" si="2"/>
        <v>0</v>
      </c>
    </row>
    <row r="1083">
      <c r="B1083">
        <f>[1]资金台帐!B1083&amp;""</f>
      </c>
      <c r="H1083">
        <f>[1]资金台帐!H1083&amp;""</f>
      </c>
      <c r="J1083">
        <f>[1]资金台帐!J1083&amp;""</f>
      </c>
      <c r="N1083">
        <f>[1]资金台帐!N1083</f>
      </c>
      <c r="O1083">
        <f>[1]资金台帐!O1083&amp;""</f>
      </c>
      <c r="P1083">
        <f>[1]资金台帐!P1083&amp;""</f>
      </c>
      <c r="Q1083">
        <f>[1]资金台帐!Q1083&amp;""</f>
      </c>
      <c r="T1083">
        <f>[1]资金台帐!T1083&amp;""</f>
      </c>
      <c r="U1083">
        <f>[1]资金台帐!U1083&amp;""</f>
      </c>
      <c r="W1083">
        <f>[1]资金台帐!W1083&amp;""</f>
      </c>
      <c r="X1083">
        <f>[1]资金台帐!X1083&amp;""</f>
      </c>
      <c r="AB1083">
        <f>[1]资金台帐!AB1083</f>
        <v>0</v>
      </c>
      <c r="AC1083">
        <f>[1]资金台帐!AC1083</f>
        <v>0</v>
      </c>
      <c r="AD1083">
        <f>[1]资金台帐!AD1083</f>
        <v>0</v>
      </c>
      <c r="AJ1083">
        <f>[1]资金台帐!AJ1083</f>
        <v>0</v>
      </c>
      <c r="AK1083">
        <f>[1]资金台帐!AK1083</f>
        <v>0</v>
      </c>
      <c r="BA1083" s="22">
        <f t="shared" si="0"/>
      </c>
      <c r="BG1083" s="22">
        <f t="shared" si="1"/>
      </c>
      <c r="BH1083" s="22">
        <f t="shared" si="2"/>
        <v>0</v>
      </c>
    </row>
    <row r="1084">
      <c r="B1084">
        <f>[1]资金台帐!B1084&amp;""</f>
      </c>
      <c r="H1084">
        <f>[1]资金台帐!H1084&amp;""</f>
      </c>
      <c r="J1084">
        <f>[1]资金台帐!J1084&amp;""</f>
      </c>
      <c r="N1084">
        <f>[1]资金台帐!N1084</f>
      </c>
      <c r="O1084">
        <f>[1]资金台帐!O1084&amp;""</f>
      </c>
      <c r="P1084">
        <f>[1]资金台帐!P1084&amp;""</f>
      </c>
      <c r="Q1084">
        <f>[1]资金台帐!Q1084&amp;""</f>
      </c>
      <c r="T1084">
        <f>[1]资金台帐!T1084&amp;""</f>
      </c>
      <c r="U1084">
        <f>[1]资金台帐!U1084&amp;""</f>
      </c>
      <c r="W1084">
        <f>[1]资金台帐!W1084&amp;""</f>
      </c>
      <c r="X1084">
        <f>[1]资金台帐!X1084&amp;""</f>
      </c>
      <c r="AB1084">
        <f>[1]资金台帐!AB1084</f>
        <v>0</v>
      </c>
      <c r="AC1084">
        <f>[1]资金台帐!AC1084</f>
        <v>0</v>
      </c>
      <c r="AD1084">
        <f>[1]资金台帐!AD1084</f>
        <v>0</v>
      </c>
      <c r="AJ1084">
        <f>[1]资金台帐!AJ1084</f>
        <v>0</v>
      </c>
      <c r="AK1084">
        <f>[1]资金台帐!AK1084</f>
        <v>0</v>
      </c>
      <c r="BA1084" s="22">
        <f t="shared" si="0"/>
      </c>
      <c r="BG1084" s="22">
        <f t="shared" si="1"/>
      </c>
      <c r="BH1084" s="22">
        <f t="shared" si="2"/>
        <v>0</v>
      </c>
    </row>
    <row r="1085">
      <c r="B1085">
        <f>[1]资金台帐!B1085&amp;""</f>
      </c>
      <c r="H1085">
        <f>[1]资金台帐!H1085&amp;""</f>
      </c>
      <c r="J1085">
        <f>[1]资金台帐!J1085&amp;""</f>
      </c>
      <c r="N1085">
        <f>[1]资金台帐!N1085</f>
      </c>
      <c r="O1085">
        <f>[1]资金台帐!O1085&amp;""</f>
      </c>
      <c r="P1085">
        <f>[1]资金台帐!P1085&amp;""</f>
      </c>
      <c r="Q1085">
        <f>[1]资金台帐!Q1085&amp;""</f>
      </c>
      <c r="T1085">
        <f>[1]资金台帐!T1085&amp;""</f>
      </c>
      <c r="U1085">
        <f>[1]资金台帐!U1085&amp;""</f>
      </c>
      <c r="W1085">
        <f>[1]资金台帐!W1085&amp;""</f>
      </c>
      <c r="X1085">
        <f>[1]资金台帐!X1085&amp;""</f>
      </c>
      <c r="AB1085">
        <f>[1]资金台帐!AB1085</f>
        <v>0</v>
      </c>
      <c r="AC1085">
        <f>[1]资金台帐!AC1085</f>
        <v>0</v>
      </c>
      <c r="AD1085">
        <f>[1]资金台帐!AD1085</f>
        <v>0</v>
      </c>
      <c r="AJ1085">
        <f>[1]资金台帐!AJ1085</f>
        <v>0</v>
      </c>
      <c r="AK1085">
        <f>[1]资金台帐!AK1085</f>
        <v>0</v>
      </c>
      <c r="BA1085" s="22">
        <f t="shared" si="0"/>
      </c>
      <c r="BG1085" s="22">
        <f t="shared" si="1"/>
      </c>
      <c r="BH1085" s="22">
        <f t="shared" si="2"/>
        <v>0</v>
      </c>
    </row>
    <row r="1086">
      <c r="B1086">
        <f>[1]资金台帐!B1086&amp;""</f>
      </c>
      <c r="H1086">
        <f>[1]资金台帐!H1086&amp;""</f>
      </c>
      <c r="J1086">
        <f>[1]资金台帐!J1086&amp;""</f>
      </c>
      <c r="N1086">
        <f>[1]资金台帐!N1086</f>
      </c>
      <c r="O1086">
        <f>[1]资金台帐!O1086&amp;""</f>
      </c>
      <c r="P1086">
        <f>[1]资金台帐!P1086&amp;""</f>
      </c>
      <c r="Q1086">
        <f>[1]资金台帐!Q1086&amp;""</f>
      </c>
      <c r="T1086">
        <f>[1]资金台帐!T1086&amp;""</f>
      </c>
      <c r="U1086">
        <f>[1]资金台帐!U1086&amp;""</f>
      </c>
      <c r="W1086">
        <f>[1]资金台帐!W1086&amp;""</f>
      </c>
      <c r="X1086">
        <f>[1]资金台帐!X1086&amp;""</f>
      </c>
      <c r="AB1086">
        <f>[1]资金台帐!AB1086</f>
        <v>0</v>
      </c>
      <c r="AC1086">
        <f>[1]资金台帐!AC1086</f>
        <v>0</v>
      </c>
      <c r="AD1086">
        <f>[1]资金台帐!AD1086</f>
        <v>0</v>
      </c>
      <c r="AJ1086">
        <f>[1]资金台帐!AJ1086</f>
        <v>0</v>
      </c>
      <c r="AK1086">
        <f>[1]资金台帐!AK1086</f>
        <v>0</v>
      </c>
      <c r="BA1086" s="22">
        <f t="shared" si="0"/>
      </c>
      <c r="BG1086" s="22">
        <f t="shared" si="1"/>
      </c>
      <c r="BH1086" s="22">
        <f t="shared" si="2"/>
        <v>0</v>
      </c>
    </row>
    <row r="1087">
      <c r="B1087">
        <f>[1]资金台帐!B1087&amp;""</f>
      </c>
      <c r="H1087">
        <f>[1]资金台帐!H1087&amp;""</f>
      </c>
      <c r="J1087">
        <f>[1]资金台帐!J1087&amp;""</f>
      </c>
      <c r="N1087">
        <f>[1]资金台帐!N1087</f>
      </c>
      <c r="O1087">
        <f>[1]资金台帐!O1087&amp;""</f>
      </c>
      <c r="P1087">
        <f>[1]资金台帐!P1087&amp;""</f>
      </c>
      <c r="Q1087">
        <f>[1]资金台帐!Q1087&amp;""</f>
      </c>
      <c r="T1087">
        <f>[1]资金台帐!T1087&amp;""</f>
      </c>
      <c r="U1087">
        <f>[1]资金台帐!U1087&amp;""</f>
      </c>
      <c r="W1087">
        <f>[1]资金台帐!W1087&amp;""</f>
      </c>
      <c r="X1087">
        <f>[1]资金台帐!X1087&amp;""</f>
      </c>
      <c r="AB1087">
        <f>[1]资金台帐!AB1087</f>
        <v>0</v>
      </c>
      <c r="AC1087">
        <f>[1]资金台帐!AC1087</f>
        <v>0</v>
      </c>
      <c r="AD1087">
        <f>[1]资金台帐!AD1087</f>
        <v>0</v>
      </c>
      <c r="AJ1087">
        <f>[1]资金台帐!AJ1087</f>
        <v>0</v>
      </c>
      <c r="AK1087">
        <f>[1]资金台帐!AK1087</f>
        <v>0</v>
      </c>
      <c r="BA1087" s="22">
        <f t="shared" si="0"/>
      </c>
      <c r="BG1087" s="22">
        <f t="shared" si="1"/>
      </c>
      <c r="BH1087" s="22">
        <f t="shared" si="2"/>
        <v>0</v>
      </c>
    </row>
    <row r="1088">
      <c r="B1088">
        <f>[1]资金台帐!B1088&amp;""</f>
      </c>
      <c r="H1088">
        <f>[1]资金台帐!H1088&amp;""</f>
      </c>
      <c r="J1088">
        <f>[1]资金台帐!J1088&amp;""</f>
      </c>
      <c r="N1088">
        <f>[1]资金台帐!N1088</f>
      </c>
      <c r="O1088">
        <f>[1]资金台帐!O1088&amp;""</f>
      </c>
      <c r="P1088">
        <f>[1]资金台帐!P1088&amp;""</f>
      </c>
      <c r="Q1088">
        <f>[1]资金台帐!Q1088&amp;""</f>
      </c>
      <c r="T1088">
        <f>[1]资金台帐!T1088&amp;""</f>
      </c>
      <c r="U1088">
        <f>[1]资金台帐!U1088&amp;""</f>
      </c>
      <c r="W1088">
        <f>[1]资金台帐!W1088&amp;""</f>
      </c>
      <c r="X1088">
        <f>[1]资金台帐!X1088&amp;""</f>
      </c>
      <c r="AB1088">
        <f>[1]资金台帐!AB1088</f>
        <v>0</v>
      </c>
      <c r="AC1088">
        <f>[1]资金台帐!AC1088</f>
        <v>0</v>
      </c>
      <c r="AD1088">
        <f>[1]资金台帐!AD1088</f>
        <v>0</v>
      </c>
      <c r="AJ1088">
        <f>[1]资金台帐!AJ1088</f>
        <v>0</v>
      </c>
      <c r="AK1088">
        <f>[1]资金台帐!AK1088</f>
        <v>0</v>
      </c>
      <c r="BA1088" s="22">
        <f t="shared" si="0"/>
      </c>
      <c r="BG1088" s="22">
        <f t="shared" si="1"/>
      </c>
      <c r="BH1088" s="22">
        <f t="shared" si="2"/>
        <v>0</v>
      </c>
    </row>
    <row r="1089">
      <c r="B1089">
        <f>[1]资金台帐!B1089&amp;""</f>
      </c>
      <c r="H1089">
        <f>[1]资金台帐!H1089&amp;""</f>
      </c>
      <c r="J1089">
        <f>[1]资金台帐!J1089&amp;""</f>
      </c>
      <c r="N1089">
        <f>[1]资金台帐!N1089</f>
      </c>
      <c r="O1089">
        <f>[1]资金台帐!O1089&amp;""</f>
      </c>
      <c r="P1089">
        <f>[1]资金台帐!P1089&amp;""</f>
      </c>
      <c r="Q1089">
        <f>[1]资金台帐!Q1089&amp;""</f>
      </c>
      <c r="T1089">
        <f>[1]资金台帐!T1089&amp;""</f>
      </c>
      <c r="U1089">
        <f>[1]资金台帐!U1089&amp;""</f>
      </c>
      <c r="W1089">
        <f>[1]资金台帐!W1089&amp;""</f>
      </c>
      <c r="X1089">
        <f>[1]资金台帐!X1089&amp;""</f>
      </c>
      <c r="AB1089">
        <f>[1]资金台帐!AB1089</f>
        <v>0</v>
      </c>
      <c r="AC1089">
        <f>[1]资金台帐!AC1089</f>
        <v>0</v>
      </c>
      <c r="AD1089">
        <f>[1]资金台帐!AD1089</f>
        <v>0</v>
      </c>
      <c r="AJ1089">
        <f>[1]资金台帐!AJ1089</f>
        <v>0</v>
      </c>
      <c r="AK1089">
        <f>[1]资金台帐!AK1089</f>
        <v>0</v>
      </c>
      <c r="BA1089" s="22">
        <f t="shared" si="0"/>
      </c>
      <c r="BG1089" s="22">
        <f t="shared" si="1"/>
      </c>
      <c r="BH1089" s="22">
        <f t="shared" si="2"/>
        <v>0</v>
      </c>
    </row>
    <row r="1090">
      <c r="B1090">
        <f>[1]资金台帐!B1090&amp;""</f>
      </c>
      <c r="H1090">
        <f>[1]资金台帐!H1090&amp;""</f>
      </c>
      <c r="J1090">
        <f>[1]资金台帐!J1090&amp;""</f>
      </c>
      <c r="N1090">
        <f>[1]资金台帐!N1090</f>
      </c>
      <c r="O1090">
        <f>[1]资金台帐!O1090&amp;""</f>
      </c>
      <c r="P1090">
        <f>[1]资金台帐!P1090&amp;""</f>
      </c>
      <c r="Q1090">
        <f>[1]资金台帐!Q1090&amp;""</f>
      </c>
      <c r="T1090">
        <f>[1]资金台帐!T1090&amp;""</f>
      </c>
      <c r="U1090">
        <f>[1]资金台帐!U1090&amp;""</f>
      </c>
      <c r="W1090">
        <f>[1]资金台帐!W1090&amp;""</f>
      </c>
      <c r="X1090">
        <f>[1]资金台帐!X1090&amp;""</f>
      </c>
      <c r="AB1090">
        <f>[1]资金台帐!AB1090</f>
        <v>0</v>
      </c>
      <c r="AC1090">
        <f>[1]资金台帐!AC1090</f>
        <v>0</v>
      </c>
      <c r="AD1090">
        <f>[1]资金台帐!AD1090</f>
        <v>0</v>
      </c>
      <c r="AJ1090">
        <f>[1]资金台帐!AJ1090</f>
        <v>0</v>
      </c>
      <c r="AK1090">
        <f>[1]资金台帐!AK1090</f>
        <v>0</v>
      </c>
      <c r="BA1090" s="22">
        <f t="shared" si="0"/>
      </c>
      <c r="BG1090" s="22">
        <f t="shared" si="1"/>
      </c>
      <c r="BH1090" s="22">
        <f t="shared" si="2"/>
        <v>0</v>
      </c>
    </row>
    <row r="1091">
      <c r="B1091">
        <f>[1]资金台帐!B1091&amp;""</f>
      </c>
      <c r="H1091">
        <f>[1]资金台帐!H1091&amp;""</f>
      </c>
      <c r="J1091">
        <f>[1]资金台帐!J1091&amp;""</f>
      </c>
      <c r="N1091">
        <f>[1]资金台帐!N1091</f>
      </c>
      <c r="O1091">
        <f>[1]资金台帐!O1091&amp;""</f>
      </c>
      <c r="P1091">
        <f>[1]资金台帐!P1091&amp;""</f>
      </c>
      <c r="Q1091">
        <f>[1]资金台帐!Q1091&amp;""</f>
      </c>
      <c r="T1091">
        <f>[1]资金台帐!T1091&amp;""</f>
      </c>
      <c r="U1091">
        <f>[1]资金台帐!U1091&amp;""</f>
      </c>
      <c r="W1091">
        <f>[1]资金台帐!W1091&amp;""</f>
      </c>
      <c r="X1091">
        <f>[1]资金台帐!X1091&amp;""</f>
      </c>
      <c r="AB1091">
        <f>[1]资金台帐!AB1091</f>
        <v>0</v>
      </c>
      <c r="AC1091">
        <f>[1]资金台帐!AC1091</f>
        <v>0</v>
      </c>
      <c r="AD1091">
        <f>[1]资金台帐!AD1091</f>
        <v>0</v>
      </c>
      <c r="AJ1091">
        <f>[1]资金台帐!AJ1091</f>
        <v>0</v>
      </c>
      <c r="AK1091">
        <f>[1]资金台帐!AK1091</f>
        <v>0</v>
      </c>
      <c r="BA1091" s="22">
        <f t="shared" si="0"/>
      </c>
      <c r="BG1091" s="22">
        <f t="shared" si="1"/>
      </c>
      <c r="BH1091" s="22">
        <f t="shared" si="2"/>
        <v>0</v>
      </c>
    </row>
    <row r="1092">
      <c r="B1092">
        <f>[1]资金台帐!B1092&amp;""</f>
      </c>
      <c r="H1092">
        <f>[1]资金台帐!H1092&amp;""</f>
      </c>
      <c r="J1092">
        <f>[1]资金台帐!J1092&amp;""</f>
      </c>
      <c r="N1092">
        <f>[1]资金台帐!N1092</f>
      </c>
      <c r="O1092">
        <f>[1]资金台帐!O1092&amp;""</f>
      </c>
      <c r="P1092">
        <f>[1]资金台帐!P1092&amp;""</f>
      </c>
      <c r="Q1092">
        <f>[1]资金台帐!Q1092&amp;""</f>
      </c>
      <c r="T1092">
        <f>[1]资金台帐!T1092&amp;""</f>
      </c>
      <c r="U1092">
        <f>[1]资金台帐!U1092&amp;""</f>
      </c>
      <c r="W1092">
        <f>[1]资金台帐!W1092&amp;""</f>
      </c>
      <c r="X1092">
        <f>[1]资金台帐!X1092&amp;""</f>
      </c>
      <c r="AB1092">
        <f>[1]资金台帐!AB1092</f>
        <v>0</v>
      </c>
      <c r="AC1092">
        <f>[1]资金台帐!AC1092</f>
        <v>0</v>
      </c>
      <c r="AD1092">
        <f>[1]资金台帐!AD1092</f>
        <v>0</v>
      </c>
      <c r="AJ1092">
        <f>[1]资金台帐!AJ1092</f>
        <v>0</v>
      </c>
      <c r="AK1092">
        <f>[1]资金台帐!AK1092</f>
        <v>0</v>
      </c>
      <c r="BA1092" s="22">
        <f t="shared" si="0"/>
      </c>
      <c r="BG1092" s="22">
        <f t="shared" si="1"/>
      </c>
      <c r="BH1092" s="22">
        <f t="shared" si="2"/>
        <v>0</v>
      </c>
    </row>
    <row r="1093">
      <c r="B1093">
        <f>[1]资金台帐!B1093&amp;""</f>
      </c>
      <c r="H1093">
        <f>[1]资金台帐!H1093&amp;""</f>
      </c>
      <c r="J1093">
        <f>[1]资金台帐!J1093&amp;""</f>
      </c>
      <c r="N1093">
        <f>[1]资金台帐!N1093</f>
      </c>
      <c r="O1093">
        <f>[1]资金台帐!O1093&amp;""</f>
      </c>
      <c r="P1093">
        <f>[1]资金台帐!P1093&amp;""</f>
      </c>
      <c r="Q1093">
        <f>[1]资金台帐!Q1093&amp;""</f>
      </c>
      <c r="T1093">
        <f>[1]资金台帐!T1093&amp;""</f>
      </c>
      <c r="U1093">
        <f>[1]资金台帐!U1093&amp;""</f>
      </c>
      <c r="W1093">
        <f>[1]资金台帐!W1093&amp;""</f>
      </c>
      <c r="X1093">
        <f>[1]资金台帐!X1093&amp;""</f>
      </c>
      <c r="AB1093">
        <f>[1]资金台帐!AB1093</f>
        <v>0</v>
      </c>
      <c r="AC1093">
        <f>[1]资金台帐!AC1093</f>
        <v>0</v>
      </c>
      <c r="AD1093">
        <f>[1]资金台帐!AD1093</f>
        <v>0</v>
      </c>
      <c r="AJ1093">
        <f>[1]资金台帐!AJ1093</f>
        <v>0</v>
      </c>
      <c r="AK1093">
        <f>[1]资金台帐!AK1093</f>
        <v>0</v>
      </c>
      <c r="BA1093" s="22">
        <f t="shared" si="0"/>
      </c>
      <c r="BG1093" s="22">
        <f t="shared" si="1"/>
      </c>
      <c r="BH1093" s="22">
        <f t="shared" si="2"/>
        <v>0</v>
      </c>
    </row>
    <row r="1094">
      <c r="B1094">
        <f>[1]资金台帐!B1094&amp;""</f>
      </c>
      <c r="H1094">
        <f>[1]资金台帐!H1094&amp;""</f>
      </c>
      <c r="J1094">
        <f>[1]资金台帐!J1094&amp;""</f>
      </c>
      <c r="N1094">
        <f>[1]资金台帐!N1094</f>
      </c>
      <c r="O1094">
        <f>[1]资金台帐!O1094&amp;""</f>
      </c>
      <c r="P1094">
        <f>[1]资金台帐!P1094&amp;""</f>
      </c>
      <c r="Q1094">
        <f>[1]资金台帐!Q1094&amp;""</f>
      </c>
      <c r="T1094">
        <f>[1]资金台帐!T1094&amp;""</f>
      </c>
      <c r="U1094">
        <f>[1]资金台帐!U1094&amp;""</f>
      </c>
      <c r="W1094">
        <f>[1]资金台帐!W1094&amp;""</f>
      </c>
      <c r="X1094">
        <f>[1]资金台帐!X1094&amp;""</f>
      </c>
      <c r="AB1094">
        <f>[1]资金台帐!AB1094</f>
        <v>0</v>
      </c>
      <c r="AC1094">
        <f>[1]资金台帐!AC1094</f>
        <v>0</v>
      </c>
      <c r="AD1094">
        <f>[1]资金台帐!AD1094</f>
        <v>0</v>
      </c>
      <c r="AJ1094">
        <f>[1]资金台帐!AJ1094</f>
        <v>0</v>
      </c>
      <c r="AK1094">
        <f>[1]资金台帐!AK1094</f>
        <v>0</v>
      </c>
      <c r="BA1094" s="22">
        <f t="shared" si="0"/>
      </c>
      <c r="BG1094" s="22">
        <f t="shared" si="1"/>
      </c>
      <c r="BH1094" s="22">
        <f t="shared" si="2"/>
        <v>0</v>
      </c>
    </row>
    <row r="1095">
      <c r="B1095">
        <f>[1]资金台帐!B1095&amp;""</f>
      </c>
      <c r="H1095">
        <f>[1]资金台帐!H1095&amp;""</f>
      </c>
      <c r="J1095">
        <f>[1]资金台帐!J1095&amp;""</f>
      </c>
      <c r="N1095">
        <f>[1]资金台帐!N1095</f>
      </c>
      <c r="O1095">
        <f>[1]资金台帐!O1095&amp;""</f>
      </c>
      <c r="P1095">
        <f>[1]资金台帐!P1095&amp;""</f>
      </c>
      <c r="Q1095">
        <f>[1]资金台帐!Q1095&amp;""</f>
      </c>
      <c r="T1095">
        <f>[1]资金台帐!T1095&amp;""</f>
      </c>
      <c r="U1095">
        <f>[1]资金台帐!U1095&amp;""</f>
      </c>
      <c r="W1095">
        <f>[1]资金台帐!W1095&amp;""</f>
      </c>
      <c r="X1095">
        <f>[1]资金台帐!X1095&amp;""</f>
      </c>
      <c r="AB1095">
        <f>[1]资金台帐!AB1095</f>
        <v>0</v>
      </c>
      <c r="AC1095">
        <f>[1]资金台帐!AC1095</f>
        <v>0</v>
      </c>
      <c r="AD1095">
        <f>[1]资金台帐!AD1095</f>
        <v>0</v>
      </c>
      <c r="AJ1095">
        <f>[1]资金台帐!AJ1095</f>
        <v>0</v>
      </c>
      <c r="AK1095">
        <f>[1]资金台帐!AK1095</f>
        <v>0</v>
      </c>
      <c r="BA1095" s="22">
        <f t="shared" si="0"/>
      </c>
      <c r="BG1095" s="22">
        <f t="shared" si="1"/>
      </c>
      <c r="BH1095" s="22">
        <f t="shared" si="2"/>
        <v>0</v>
      </c>
    </row>
    <row r="1096">
      <c r="B1096">
        <f>[1]资金台帐!B1096&amp;""</f>
      </c>
      <c r="H1096">
        <f>[1]资金台帐!H1096&amp;""</f>
      </c>
      <c r="J1096">
        <f>[1]资金台帐!J1096&amp;""</f>
      </c>
      <c r="N1096">
        <f>[1]资金台帐!N1096</f>
      </c>
      <c r="O1096">
        <f>[1]资金台帐!O1096&amp;""</f>
      </c>
      <c r="P1096">
        <f>[1]资金台帐!P1096&amp;""</f>
      </c>
      <c r="Q1096">
        <f>[1]资金台帐!Q1096&amp;""</f>
      </c>
      <c r="T1096">
        <f>[1]资金台帐!T1096&amp;""</f>
      </c>
      <c r="U1096">
        <f>[1]资金台帐!U1096&amp;""</f>
      </c>
      <c r="W1096">
        <f>[1]资金台帐!W1096&amp;""</f>
      </c>
      <c r="X1096">
        <f>[1]资金台帐!X1096&amp;""</f>
      </c>
      <c r="AB1096">
        <f>[1]资金台帐!AB1096</f>
        <v>0</v>
      </c>
      <c r="AC1096">
        <f>[1]资金台帐!AC1096</f>
        <v>0</v>
      </c>
      <c r="AD1096">
        <f>[1]资金台帐!AD1096</f>
        <v>0</v>
      </c>
      <c r="AJ1096">
        <f>[1]资金台帐!AJ1096</f>
        <v>0</v>
      </c>
      <c r="AK1096">
        <f>[1]资金台帐!AK1096</f>
        <v>0</v>
      </c>
      <c r="BA1096" s="22">
        <f t="shared" si="0"/>
      </c>
      <c r="BG1096" s="22">
        <f t="shared" si="1"/>
      </c>
      <c r="BH1096" s="22">
        <f t="shared" si="2"/>
        <v>0</v>
      </c>
    </row>
    <row r="1097">
      <c r="B1097">
        <f>[1]资金台帐!B1097&amp;""</f>
      </c>
      <c r="H1097">
        <f>[1]资金台帐!H1097&amp;""</f>
      </c>
      <c r="J1097">
        <f>[1]资金台帐!J1097&amp;""</f>
      </c>
      <c r="N1097">
        <f>[1]资金台帐!N1097</f>
      </c>
      <c r="O1097">
        <f>[1]资金台帐!O1097&amp;""</f>
      </c>
      <c r="P1097">
        <f>[1]资金台帐!P1097&amp;""</f>
      </c>
      <c r="Q1097">
        <f>[1]资金台帐!Q1097&amp;""</f>
      </c>
      <c r="T1097">
        <f>[1]资金台帐!T1097&amp;""</f>
      </c>
      <c r="U1097">
        <f>[1]资金台帐!U1097&amp;""</f>
      </c>
      <c r="W1097">
        <f>[1]资金台帐!W1097&amp;""</f>
      </c>
      <c r="X1097">
        <f>[1]资金台帐!X1097&amp;""</f>
      </c>
      <c r="AB1097">
        <f>[1]资金台帐!AB1097</f>
        <v>0</v>
      </c>
      <c r="AC1097">
        <f>[1]资金台帐!AC1097</f>
        <v>0</v>
      </c>
      <c r="AD1097">
        <f>[1]资金台帐!AD1097</f>
        <v>0</v>
      </c>
      <c r="AJ1097">
        <f>[1]资金台帐!AJ1097</f>
        <v>0</v>
      </c>
      <c r="AK1097">
        <f>[1]资金台帐!AK1097</f>
        <v>0</v>
      </c>
      <c r="BA1097" s="22">
        <f t="shared" si="0"/>
      </c>
      <c r="BG1097" s="22">
        <f t="shared" si="1"/>
      </c>
      <c r="BH1097" s="22">
        <f t="shared" si="2"/>
        <v>0</v>
      </c>
    </row>
    <row r="1098">
      <c r="B1098">
        <f>[1]资金台帐!B1098&amp;""</f>
      </c>
      <c r="H1098">
        <f>[1]资金台帐!H1098&amp;""</f>
      </c>
      <c r="J1098">
        <f>[1]资金台帐!J1098&amp;""</f>
      </c>
      <c r="N1098">
        <f>[1]资金台帐!N1098</f>
      </c>
      <c r="O1098">
        <f>[1]资金台帐!O1098&amp;""</f>
      </c>
      <c r="P1098">
        <f>[1]资金台帐!P1098&amp;""</f>
      </c>
      <c r="Q1098">
        <f>[1]资金台帐!Q1098&amp;""</f>
      </c>
      <c r="T1098">
        <f>[1]资金台帐!T1098&amp;""</f>
      </c>
      <c r="U1098">
        <f>[1]资金台帐!U1098&amp;""</f>
      </c>
      <c r="W1098">
        <f>[1]资金台帐!W1098&amp;""</f>
      </c>
      <c r="X1098">
        <f>[1]资金台帐!X1098&amp;""</f>
      </c>
      <c r="AB1098">
        <f>[1]资金台帐!AB1098</f>
        <v>0</v>
      </c>
      <c r="AC1098">
        <f>[1]资金台帐!AC1098</f>
        <v>0</v>
      </c>
      <c r="AD1098">
        <f>[1]资金台帐!AD1098</f>
        <v>0</v>
      </c>
      <c r="AJ1098">
        <f>[1]资金台帐!AJ1098</f>
        <v>0</v>
      </c>
      <c r="AK1098">
        <f>[1]资金台帐!AK1098</f>
        <v>0</v>
      </c>
      <c r="BA1098" s="22">
        <f t="shared" si="0"/>
      </c>
      <c r="BG1098" s="22">
        <f t="shared" si="1"/>
      </c>
      <c r="BH1098" s="22">
        <f t="shared" si="2"/>
        <v>0</v>
      </c>
    </row>
    <row r="1099">
      <c r="B1099">
        <f>[1]资金台帐!B1099&amp;""</f>
      </c>
      <c r="H1099">
        <f>[1]资金台帐!H1099&amp;""</f>
      </c>
      <c r="J1099">
        <f>[1]资金台帐!J1099&amp;""</f>
      </c>
      <c r="N1099">
        <f>[1]资金台帐!N1099</f>
      </c>
      <c r="O1099">
        <f>[1]资金台帐!O1099&amp;""</f>
      </c>
      <c r="P1099">
        <f>[1]资金台帐!P1099&amp;""</f>
      </c>
      <c r="Q1099">
        <f>[1]资金台帐!Q1099&amp;""</f>
      </c>
      <c r="T1099">
        <f>[1]资金台帐!T1099&amp;""</f>
      </c>
      <c r="U1099">
        <f>[1]资金台帐!U1099&amp;""</f>
      </c>
      <c r="W1099">
        <f>[1]资金台帐!W1099&amp;""</f>
      </c>
      <c r="X1099">
        <f>[1]资金台帐!X1099&amp;""</f>
      </c>
      <c r="AB1099">
        <f>[1]资金台帐!AB1099</f>
        <v>0</v>
      </c>
      <c r="AC1099">
        <f>[1]资金台帐!AC1099</f>
        <v>0</v>
      </c>
      <c r="AD1099">
        <f>[1]资金台帐!AD1099</f>
        <v>0</v>
      </c>
      <c r="AJ1099">
        <f>[1]资金台帐!AJ1099</f>
        <v>0</v>
      </c>
      <c r="AK1099">
        <f>[1]资金台帐!AK1099</f>
        <v>0</v>
      </c>
      <c r="BA1099" s="22">
        <f t="shared" si="0"/>
      </c>
      <c r="BG1099" s="22">
        <f t="shared" si="1"/>
      </c>
      <c r="BH1099" s="22">
        <f t="shared" si="2"/>
        <v>0</v>
      </c>
    </row>
    <row r="1100">
      <c r="B1100">
        <f>[1]资金台帐!B1100&amp;""</f>
      </c>
      <c r="H1100">
        <f>[1]资金台帐!H1100&amp;""</f>
      </c>
      <c r="J1100">
        <f>[1]资金台帐!J1100&amp;""</f>
      </c>
      <c r="N1100">
        <f>[1]资金台帐!N1100</f>
      </c>
      <c r="O1100">
        <f>[1]资金台帐!O1100&amp;""</f>
      </c>
      <c r="P1100">
        <f>[1]资金台帐!P1100&amp;""</f>
      </c>
      <c r="Q1100">
        <f>[1]资金台帐!Q1100&amp;""</f>
      </c>
      <c r="T1100">
        <f>[1]资金台帐!T1100&amp;""</f>
      </c>
      <c r="U1100">
        <f>[1]资金台帐!U1100&amp;""</f>
      </c>
      <c r="W1100">
        <f>[1]资金台帐!W1100&amp;""</f>
      </c>
      <c r="X1100">
        <f>[1]资金台帐!X1100&amp;""</f>
      </c>
      <c r="AB1100">
        <f>[1]资金台帐!AB1100</f>
        <v>0</v>
      </c>
      <c r="AC1100">
        <f>[1]资金台帐!AC1100</f>
        <v>0</v>
      </c>
      <c r="AD1100">
        <f>[1]资金台帐!AD1100</f>
        <v>0</v>
      </c>
      <c r="AJ1100">
        <f>[1]资金台帐!AJ1100</f>
        <v>0</v>
      </c>
      <c r="AK1100">
        <f>[1]资金台帐!AK1100</f>
        <v>0</v>
      </c>
      <c r="BA1100" s="22">
        <f t="shared" si="0"/>
      </c>
      <c r="BG1100" s="22">
        <f t="shared" si="1"/>
      </c>
      <c r="BH1100" s="22">
        <f t="shared" si="2"/>
        <v>0</v>
      </c>
    </row>
    <row r="1101">
      <c r="B1101">
        <f>[1]资金台帐!B1101&amp;""</f>
      </c>
      <c r="H1101">
        <f>[1]资金台帐!H1101&amp;""</f>
      </c>
      <c r="J1101">
        <f>[1]资金台帐!J1101&amp;""</f>
      </c>
      <c r="N1101">
        <f>[1]资金台帐!N1101</f>
      </c>
      <c r="O1101">
        <f>[1]资金台帐!O1101&amp;""</f>
      </c>
      <c r="P1101">
        <f>[1]资金台帐!P1101&amp;""</f>
      </c>
      <c r="Q1101">
        <f>[1]资金台帐!Q1101&amp;""</f>
      </c>
      <c r="T1101">
        <f>[1]资金台帐!T1101&amp;""</f>
      </c>
      <c r="U1101">
        <f>[1]资金台帐!U1101&amp;""</f>
      </c>
      <c r="W1101">
        <f>[1]资金台帐!W1101&amp;""</f>
      </c>
      <c r="X1101">
        <f>[1]资金台帐!X1101&amp;""</f>
      </c>
      <c r="AB1101">
        <f>[1]资金台帐!AB1101</f>
        <v>0</v>
      </c>
      <c r="AC1101">
        <f>[1]资金台帐!AC1101</f>
        <v>0</v>
      </c>
      <c r="AD1101">
        <f>[1]资金台帐!AD1101</f>
        <v>0</v>
      </c>
      <c r="AJ1101">
        <f>[1]资金台帐!AJ1101</f>
        <v>0</v>
      </c>
      <c r="AK1101">
        <f>[1]资金台帐!AK1101</f>
        <v>0</v>
      </c>
      <c r="BA1101" s="22">
        <f t="shared" si="0"/>
      </c>
      <c r="BG1101" s="22">
        <f t="shared" si="1"/>
      </c>
      <c r="BH1101" s="22">
        <f t="shared" si="2"/>
        <v>0</v>
      </c>
    </row>
    <row r="1102">
      <c r="B1102">
        <f>[1]资金台帐!B1102&amp;""</f>
      </c>
      <c r="H1102">
        <f>[1]资金台帐!H1102&amp;""</f>
      </c>
      <c r="J1102">
        <f>[1]资金台帐!J1102&amp;""</f>
      </c>
      <c r="N1102">
        <f>[1]资金台帐!N1102</f>
      </c>
      <c r="O1102">
        <f>[1]资金台帐!O1102&amp;""</f>
      </c>
      <c r="P1102">
        <f>[1]资金台帐!P1102&amp;""</f>
      </c>
      <c r="Q1102">
        <f>[1]资金台帐!Q1102&amp;""</f>
      </c>
      <c r="T1102">
        <f>[1]资金台帐!T1102&amp;""</f>
      </c>
      <c r="U1102">
        <f>[1]资金台帐!U1102&amp;""</f>
      </c>
      <c r="W1102">
        <f>[1]资金台帐!W1102&amp;""</f>
      </c>
      <c r="X1102">
        <f>[1]资金台帐!X1102&amp;""</f>
      </c>
      <c r="AB1102">
        <f>[1]资金台帐!AB1102</f>
        <v>0</v>
      </c>
      <c r="AC1102">
        <f>[1]资金台帐!AC1102</f>
        <v>0</v>
      </c>
      <c r="AD1102">
        <f>[1]资金台帐!AD1102</f>
        <v>0</v>
      </c>
      <c r="AJ1102">
        <f>[1]资金台帐!AJ1102</f>
        <v>0</v>
      </c>
      <c r="AK1102">
        <f>[1]资金台帐!AK1102</f>
        <v>0</v>
      </c>
      <c r="BA1102" s="22">
        <f t="shared" si="0"/>
      </c>
      <c r="BG1102" s="22">
        <f t="shared" si="1"/>
      </c>
      <c r="BH1102" s="22">
        <f t="shared" si="2"/>
        <v>0</v>
      </c>
    </row>
    <row r="1103">
      <c r="B1103">
        <f>[1]资金台帐!B1103&amp;""</f>
      </c>
      <c r="H1103">
        <f>[1]资金台帐!H1103&amp;""</f>
      </c>
      <c r="J1103">
        <f>[1]资金台帐!J1103&amp;""</f>
      </c>
      <c r="N1103">
        <f>[1]资金台帐!N1103</f>
      </c>
      <c r="O1103">
        <f>[1]资金台帐!O1103&amp;""</f>
      </c>
      <c r="P1103">
        <f>[1]资金台帐!P1103&amp;""</f>
      </c>
      <c r="Q1103">
        <f>[1]资金台帐!Q1103&amp;""</f>
      </c>
      <c r="T1103">
        <f>[1]资金台帐!T1103&amp;""</f>
      </c>
      <c r="U1103">
        <f>[1]资金台帐!U1103&amp;""</f>
      </c>
      <c r="W1103">
        <f>[1]资金台帐!W1103&amp;""</f>
      </c>
      <c r="X1103">
        <f>[1]资金台帐!X1103&amp;""</f>
      </c>
      <c r="AB1103">
        <f>[1]资金台帐!AB1103</f>
        <v>0</v>
      </c>
      <c r="AC1103">
        <f>[1]资金台帐!AC1103</f>
        <v>0</v>
      </c>
      <c r="AD1103">
        <f>[1]资金台帐!AD1103</f>
        <v>0</v>
      </c>
      <c r="AJ1103">
        <f>[1]资金台帐!AJ1103</f>
        <v>0</v>
      </c>
      <c r="AK1103">
        <f>[1]资金台帐!AK1103</f>
        <v>0</v>
      </c>
      <c r="BA1103" s="22">
        <f t="shared" si="0"/>
      </c>
      <c r="BG1103" s="22">
        <f t="shared" si="1"/>
      </c>
      <c r="BH1103" s="22">
        <f t="shared" si="2"/>
        <v>0</v>
      </c>
    </row>
    <row r="1104">
      <c r="B1104">
        <f>[1]资金台帐!B1104&amp;""</f>
      </c>
      <c r="H1104">
        <f>[1]资金台帐!H1104&amp;""</f>
      </c>
      <c r="J1104">
        <f>[1]资金台帐!J1104&amp;""</f>
      </c>
      <c r="N1104">
        <f>[1]资金台帐!N1104</f>
      </c>
      <c r="O1104">
        <f>[1]资金台帐!O1104&amp;""</f>
      </c>
      <c r="P1104">
        <f>[1]资金台帐!P1104&amp;""</f>
      </c>
      <c r="Q1104">
        <f>[1]资金台帐!Q1104&amp;""</f>
      </c>
      <c r="T1104">
        <f>[1]资金台帐!T1104&amp;""</f>
      </c>
      <c r="U1104">
        <f>[1]资金台帐!U1104&amp;""</f>
      </c>
      <c r="W1104">
        <f>[1]资金台帐!W1104&amp;""</f>
      </c>
      <c r="X1104">
        <f>[1]资金台帐!X1104&amp;""</f>
      </c>
      <c r="AB1104">
        <f>[1]资金台帐!AB1104</f>
        <v>0</v>
      </c>
      <c r="AC1104">
        <f>[1]资金台帐!AC1104</f>
        <v>0</v>
      </c>
      <c r="AD1104">
        <f>[1]资金台帐!AD1104</f>
        <v>0</v>
      </c>
      <c r="AJ1104">
        <f>[1]资金台帐!AJ1104</f>
        <v>0</v>
      </c>
      <c r="AK1104">
        <f>[1]资金台帐!AK1104</f>
        <v>0</v>
      </c>
      <c r="BA1104" s="22">
        <f t="shared" si="0"/>
      </c>
      <c r="BG1104" s="22">
        <f t="shared" si="1"/>
      </c>
      <c r="BH1104" s="22">
        <f t="shared" si="2"/>
        <v>0</v>
      </c>
    </row>
    <row r="1105">
      <c r="B1105">
        <f>[1]资金台帐!B1105&amp;""</f>
      </c>
      <c r="H1105">
        <f>[1]资金台帐!H1105&amp;""</f>
      </c>
      <c r="J1105">
        <f>[1]资金台帐!J1105&amp;""</f>
      </c>
      <c r="N1105">
        <f>[1]资金台帐!N1105</f>
      </c>
      <c r="O1105">
        <f>[1]资金台帐!O1105&amp;""</f>
      </c>
      <c r="P1105">
        <f>[1]资金台帐!P1105&amp;""</f>
      </c>
      <c r="Q1105">
        <f>[1]资金台帐!Q1105&amp;""</f>
      </c>
      <c r="T1105">
        <f>[1]资金台帐!T1105&amp;""</f>
      </c>
      <c r="U1105">
        <f>[1]资金台帐!U1105&amp;""</f>
      </c>
      <c r="W1105">
        <f>[1]资金台帐!W1105&amp;""</f>
      </c>
      <c r="X1105">
        <f>[1]资金台帐!X1105&amp;""</f>
      </c>
      <c r="AB1105">
        <f>[1]资金台帐!AB1105</f>
        <v>0</v>
      </c>
      <c r="AC1105">
        <f>[1]资金台帐!AC1105</f>
        <v>0</v>
      </c>
      <c r="AD1105">
        <f>[1]资金台帐!AD1105</f>
        <v>0</v>
      </c>
      <c r="AJ1105">
        <f>[1]资金台帐!AJ1105</f>
        <v>0</v>
      </c>
      <c r="AK1105">
        <f>[1]资金台帐!AK1105</f>
        <v>0</v>
      </c>
      <c r="BA1105" s="22">
        <f t="shared" si="0"/>
      </c>
      <c r="BG1105" s="22">
        <f t="shared" si="1"/>
      </c>
      <c r="BH1105" s="22">
        <f t="shared" si="2"/>
        <v>0</v>
      </c>
    </row>
    <row r="1106">
      <c r="B1106">
        <f>[1]资金台帐!B1106&amp;""</f>
      </c>
      <c r="H1106">
        <f>[1]资金台帐!H1106&amp;""</f>
      </c>
      <c r="J1106">
        <f>[1]资金台帐!J1106&amp;""</f>
      </c>
      <c r="N1106">
        <f>[1]资金台帐!N1106</f>
      </c>
      <c r="O1106">
        <f>[1]资金台帐!O1106&amp;""</f>
      </c>
      <c r="P1106">
        <f>[1]资金台帐!P1106&amp;""</f>
      </c>
      <c r="Q1106">
        <f>[1]资金台帐!Q1106&amp;""</f>
      </c>
      <c r="T1106">
        <f>[1]资金台帐!T1106&amp;""</f>
      </c>
      <c r="U1106">
        <f>[1]资金台帐!U1106&amp;""</f>
      </c>
      <c r="W1106">
        <f>[1]资金台帐!W1106&amp;""</f>
      </c>
      <c r="X1106">
        <f>[1]资金台帐!X1106&amp;""</f>
      </c>
      <c r="AB1106">
        <f>[1]资金台帐!AB1106</f>
        <v>0</v>
      </c>
      <c r="AC1106">
        <f>[1]资金台帐!AC1106</f>
        <v>0</v>
      </c>
      <c r="AD1106">
        <f>[1]资金台帐!AD1106</f>
        <v>0</v>
      </c>
      <c r="AJ1106">
        <f>[1]资金台帐!AJ1106</f>
        <v>0</v>
      </c>
      <c r="AK1106">
        <f>[1]资金台帐!AK1106</f>
        <v>0</v>
      </c>
      <c r="BA1106" s="22">
        <f t="shared" si="0"/>
      </c>
      <c r="BG1106" s="22">
        <f t="shared" si="1"/>
      </c>
      <c r="BH1106" s="22">
        <f t="shared" si="2"/>
        <v>0</v>
      </c>
    </row>
    <row r="1107">
      <c r="B1107">
        <f>[1]资金台帐!B1107&amp;""</f>
      </c>
      <c r="H1107">
        <f>[1]资金台帐!H1107&amp;""</f>
      </c>
      <c r="J1107">
        <f>[1]资金台帐!J1107&amp;""</f>
      </c>
      <c r="N1107">
        <f>[1]资金台帐!N1107</f>
      </c>
      <c r="O1107">
        <f>[1]资金台帐!O1107&amp;""</f>
      </c>
      <c r="P1107">
        <f>[1]资金台帐!P1107&amp;""</f>
      </c>
      <c r="Q1107">
        <f>[1]资金台帐!Q1107&amp;""</f>
      </c>
      <c r="T1107">
        <f>[1]资金台帐!T1107&amp;""</f>
      </c>
      <c r="U1107">
        <f>[1]资金台帐!U1107&amp;""</f>
      </c>
      <c r="W1107">
        <f>[1]资金台帐!W1107&amp;""</f>
      </c>
      <c r="X1107">
        <f>[1]资金台帐!X1107&amp;""</f>
      </c>
      <c r="AB1107">
        <f>[1]资金台帐!AB1107</f>
        <v>0</v>
      </c>
      <c r="AC1107">
        <f>[1]资金台帐!AC1107</f>
        <v>0</v>
      </c>
      <c r="AD1107">
        <f>[1]资金台帐!AD1107</f>
        <v>0</v>
      </c>
      <c r="AJ1107">
        <f>[1]资金台帐!AJ1107</f>
        <v>0</v>
      </c>
      <c r="AK1107">
        <f>[1]资金台帐!AK1107</f>
        <v>0</v>
      </c>
      <c r="BA1107" s="22">
        <f t="shared" si="0"/>
      </c>
      <c r="BG1107" s="22">
        <f t="shared" si="1"/>
      </c>
      <c r="BH1107" s="22">
        <f t="shared" si="2"/>
        <v>0</v>
      </c>
    </row>
    <row r="1108">
      <c r="B1108">
        <f>[1]资金台帐!B1108&amp;""</f>
      </c>
      <c r="H1108">
        <f>[1]资金台帐!H1108&amp;""</f>
      </c>
      <c r="J1108">
        <f>[1]资金台帐!J1108&amp;""</f>
      </c>
      <c r="N1108">
        <f>[1]资金台帐!N1108</f>
      </c>
      <c r="O1108">
        <f>[1]资金台帐!O1108&amp;""</f>
      </c>
      <c r="P1108">
        <f>[1]资金台帐!P1108&amp;""</f>
      </c>
      <c r="Q1108">
        <f>[1]资金台帐!Q1108&amp;""</f>
      </c>
      <c r="T1108">
        <f>[1]资金台帐!T1108&amp;""</f>
      </c>
      <c r="U1108">
        <f>[1]资金台帐!U1108&amp;""</f>
      </c>
      <c r="W1108">
        <f>[1]资金台帐!W1108&amp;""</f>
      </c>
      <c r="X1108">
        <f>[1]资金台帐!X1108&amp;""</f>
      </c>
      <c r="AB1108">
        <f>[1]资金台帐!AB1108</f>
        <v>0</v>
      </c>
      <c r="AC1108">
        <f>[1]资金台帐!AC1108</f>
        <v>0</v>
      </c>
      <c r="AD1108">
        <f>[1]资金台帐!AD1108</f>
        <v>0</v>
      </c>
      <c r="AJ1108">
        <f>[1]资金台帐!AJ1108</f>
        <v>0</v>
      </c>
      <c r="AK1108">
        <f>[1]资金台帐!AK1108</f>
        <v>0</v>
      </c>
      <c r="BA1108" s="22">
        <f t="shared" si="0"/>
      </c>
      <c r="BG1108" s="22">
        <f t="shared" si="1"/>
      </c>
      <c r="BH1108" s="22">
        <f t="shared" si="2"/>
        <v>0</v>
      </c>
    </row>
    <row r="1109">
      <c r="B1109">
        <f>[1]资金台帐!B1109&amp;""</f>
      </c>
      <c r="H1109">
        <f>[1]资金台帐!H1109&amp;""</f>
      </c>
      <c r="J1109">
        <f>[1]资金台帐!J1109&amp;""</f>
      </c>
      <c r="N1109">
        <f>[1]资金台帐!N1109</f>
      </c>
      <c r="O1109">
        <f>[1]资金台帐!O1109&amp;""</f>
      </c>
      <c r="P1109">
        <f>[1]资金台帐!P1109&amp;""</f>
      </c>
      <c r="Q1109">
        <f>[1]资金台帐!Q1109&amp;""</f>
      </c>
      <c r="T1109">
        <f>[1]资金台帐!T1109&amp;""</f>
      </c>
      <c r="U1109">
        <f>[1]资金台帐!U1109&amp;""</f>
      </c>
      <c r="W1109">
        <f>[1]资金台帐!W1109&amp;""</f>
      </c>
      <c r="X1109">
        <f>[1]资金台帐!X1109&amp;""</f>
      </c>
      <c r="AB1109">
        <f>[1]资金台帐!AB1109</f>
        <v>0</v>
      </c>
      <c r="AC1109">
        <f>[1]资金台帐!AC1109</f>
        <v>0</v>
      </c>
      <c r="AD1109">
        <f>[1]资金台帐!AD1109</f>
        <v>0</v>
      </c>
      <c r="AJ1109">
        <f>[1]资金台帐!AJ1109</f>
        <v>0</v>
      </c>
      <c r="AK1109">
        <f>[1]资金台帐!AK1109</f>
        <v>0</v>
      </c>
      <c r="BA1109" s="22">
        <f t="shared" si="0"/>
      </c>
      <c r="BG1109" s="22">
        <f t="shared" si="1"/>
      </c>
      <c r="BH1109" s="22">
        <f t="shared" si="2"/>
        <v>0</v>
      </c>
    </row>
    <row r="1110">
      <c r="B1110">
        <f>[1]资金台帐!B1110&amp;""</f>
      </c>
      <c r="H1110">
        <f>[1]资金台帐!H1110&amp;""</f>
      </c>
      <c r="J1110">
        <f>[1]资金台帐!J1110&amp;""</f>
      </c>
      <c r="N1110">
        <f>[1]资金台帐!N1110</f>
      </c>
      <c r="O1110">
        <f>[1]资金台帐!O1110&amp;""</f>
      </c>
      <c r="P1110">
        <f>[1]资金台帐!P1110&amp;""</f>
      </c>
      <c r="Q1110">
        <f>[1]资金台帐!Q1110&amp;""</f>
      </c>
      <c r="T1110">
        <f>[1]资金台帐!T1110&amp;""</f>
      </c>
      <c r="U1110">
        <f>[1]资金台帐!U1110&amp;""</f>
      </c>
      <c r="W1110">
        <f>[1]资金台帐!W1110&amp;""</f>
      </c>
      <c r="X1110">
        <f>[1]资金台帐!X1110&amp;""</f>
      </c>
      <c r="AB1110">
        <f>[1]资金台帐!AB1110</f>
        <v>0</v>
      </c>
      <c r="AC1110">
        <f>[1]资金台帐!AC1110</f>
        <v>0</v>
      </c>
      <c r="AD1110">
        <f>[1]资金台帐!AD1110</f>
        <v>0</v>
      </c>
      <c r="AJ1110">
        <f>[1]资金台帐!AJ1110</f>
        <v>0</v>
      </c>
      <c r="AK1110">
        <f>[1]资金台帐!AK1110</f>
        <v>0</v>
      </c>
      <c r="BA1110" s="22">
        <f t="shared" si="0"/>
      </c>
      <c r="BG1110" s="22">
        <f t="shared" si="1"/>
      </c>
      <c r="BH1110" s="22">
        <f t="shared" si="2"/>
        <v>0</v>
      </c>
    </row>
    <row r="1111">
      <c r="B1111">
        <f>[1]资金台帐!B1111&amp;""</f>
      </c>
      <c r="H1111">
        <f>[1]资金台帐!H1111&amp;""</f>
      </c>
      <c r="J1111">
        <f>[1]资金台帐!J1111&amp;""</f>
      </c>
      <c r="N1111">
        <f>[1]资金台帐!N1111</f>
      </c>
      <c r="O1111">
        <f>[1]资金台帐!O1111&amp;""</f>
      </c>
      <c r="P1111">
        <f>[1]资金台帐!P1111&amp;""</f>
      </c>
      <c r="Q1111">
        <f>[1]资金台帐!Q1111&amp;""</f>
      </c>
      <c r="T1111">
        <f>[1]资金台帐!T1111&amp;""</f>
      </c>
      <c r="U1111">
        <f>[1]资金台帐!U1111&amp;""</f>
      </c>
      <c r="W1111">
        <f>[1]资金台帐!W1111&amp;""</f>
      </c>
      <c r="X1111">
        <f>[1]资金台帐!X1111&amp;""</f>
      </c>
      <c r="AB1111">
        <f>[1]资金台帐!AB1111</f>
        <v>0</v>
      </c>
      <c r="AC1111">
        <f>[1]资金台帐!AC1111</f>
        <v>0</v>
      </c>
      <c r="AD1111">
        <f>[1]资金台帐!AD1111</f>
        <v>0</v>
      </c>
      <c r="AJ1111">
        <f>[1]资金台帐!AJ1111</f>
        <v>0</v>
      </c>
      <c r="AK1111">
        <f>[1]资金台帐!AK1111</f>
        <v>0</v>
      </c>
      <c r="BA1111" s="22">
        <f t="shared" si="0"/>
      </c>
      <c r="BG1111" s="22">
        <f t="shared" si="1"/>
      </c>
      <c r="BH1111" s="22">
        <f t="shared" si="2"/>
        <v>0</v>
      </c>
    </row>
    <row r="1112">
      <c r="B1112">
        <f>[1]资金台帐!B1112&amp;""</f>
      </c>
      <c r="H1112">
        <f>[1]资金台帐!H1112&amp;""</f>
      </c>
      <c r="J1112">
        <f>[1]资金台帐!J1112&amp;""</f>
      </c>
      <c r="N1112">
        <f>[1]资金台帐!N1112</f>
      </c>
      <c r="O1112">
        <f>[1]资金台帐!O1112&amp;""</f>
      </c>
      <c r="P1112">
        <f>[1]资金台帐!P1112&amp;""</f>
      </c>
      <c r="Q1112">
        <f>[1]资金台帐!Q1112&amp;""</f>
      </c>
      <c r="T1112">
        <f>[1]资金台帐!T1112&amp;""</f>
      </c>
      <c r="U1112">
        <f>[1]资金台帐!U1112&amp;""</f>
      </c>
      <c r="W1112">
        <f>[1]资金台帐!W1112&amp;""</f>
      </c>
      <c r="X1112">
        <f>[1]资金台帐!X1112&amp;""</f>
      </c>
      <c r="AB1112">
        <f>[1]资金台帐!AB1112</f>
        <v>0</v>
      </c>
      <c r="AC1112">
        <f>[1]资金台帐!AC1112</f>
        <v>0</v>
      </c>
      <c r="AD1112">
        <f>[1]资金台帐!AD1112</f>
        <v>0</v>
      </c>
      <c r="AJ1112">
        <f>[1]资金台帐!AJ1112</f>
        <v>0</v>
      </c>
      <c r="AK1112">
        <f>[1]资金台帐!AK1112</f>
        <v>0</v>
      </c>
      <c r="BA1112" s="22">
        <f t="shared" si="0"/>
      </c>
      <c r="BG1112" s="22">
        <f t="shared" si="1"/>
      </c>
      <c r="BH1112" s="22">
        <f t="shared" si="2"/>
        <v>0</v>
      </c>
    </row>
    <row r="1113">
      <c r="B1113">
        <f>[1]资金台帐!B1113&amp;""</f>
      </c>
      <c r="H1113">
        <f>[1]资金台帐!H1113&amp;""</f>
      </c>
      <c r="J1113">
        <f>[1]资金台帐!J1113&amp;""</f>
      </c>
      <c r="N1113">
        <f>[1]资金台帐!N1113</f>
      </c>
      <c r="O1113">
        <f>[1]资金台帐!O1113&amp;""</f>
      </c>
      <c r="P1113">
        <f>[1]资金台帐!P1113&amp;""</f>
      </c>
      <c r="Q1113">
        <f>[1]资金台帐!Q1113&amp;""</f>
      </c>
      <c r="T1113">
        <f>[1]资金台帐!T1113&amp;""</f>
      </c>
      <c r="U1113">
        <f>[1]资金台帐!U1113&amp;""</f>
      </c>
      <c r="W1113">
        <f>[1]资金台帐!W1113&amp;""</f>
      </c>
      <c r="X1113">
        <f>[1]资金台帐!X1113&amp;""</f>
      </c>
      <c r="AB1113">
        <f>[1]资金台帐!AB1113</f>
        <v>0</v>
      </c>
      <c r="AC1113">
        <f>[1]资金台帐!AC1113</f>
        <v>0</v>
      </c>
      <c r="AD1113">
        <f>[1]资金台帐!AD1113</f>
        <v>0</v>
      </c>
      <c r="AJ1113">
        <f>[1]资金台帐!AJ1113</f>
        <v>0</v>
      </c>
      <c r="AK1113">
        <f>[1]资金台帐!AK1113</f>
        <v>0</v>
      </c>
      <c r="BA1113" s="22">
        <f t="shared" si="0"/>
      </c>
      <c r="BG1113" s="22">
        <f t="shared" si="1"/>
      </c>
      <c r="BH1113" s="22">
        <f t="shared" si="2"/>
        <v>0</v>
      </c>
    </row>
    <row r="1114">
      <c r="B1114">
        <f>[1]资金台帐!B1114&amp;""</f>
      </c>
      <c r="H1114">
        <f>[1]资金台帐!H1114&amp;""</f>
      </c>
      <c r="J1114">
        <f>[1]资金台帐!J1114&amp;""</f>
      </c>
      <c r="N1114">
        <f>[1]资金台帐!N1114</f>
      </c>
      <c r="O1114">
        <f>[1]资金台帐!O1114&amp;""</f>
      </c>
      <c r="P1114">
        <f>[1]资金台帐!P1114&amp;""</f>
      </c>
      <c r="Q1114">
        <f>[1]资金台帐!Q1114&amp;""</f>
      </c>
      <c r="T1114">
        <f>[1]资金台帐!T1114&amp;""</f>
      </c>
      <c r="U1114">
        <f>[1]资金台帐!U1114&amp;""</f>
      </c>
      <c r="W1114">
        <f>[1]资金台帐!W1114&amp;""</f>
      </c>
      <c r="X1114">
        <f>[1]资金台帐!X1114&amp;""</f>
      </c>
      <c r="AB1114">
        <f>[1]资金台帐!AB1114</f>
        <v>0</v>
      </c>
      <c r="AC1114">
        <f>[1]资金台帐!AC1114</f>
        <v>0</v>
      </c>
      <c r="AD1114">
        <f>[1]资金台帐!AD1114</f>
        <v>0</v>
      </c>
      <c r="AJ1114">
        <f>[1]资金台帐!AJ1114</f>
        <v>0</v>
      </c>
      <c r="AK1114">
        <f>[1]资金台帐!AK1114</f>
        <v>0</v>
      </c>
      <c r="BA1114" s="22">
        <f t="shared" si="0"/>
      </c>
      <c r="BG1114" s="22">
        <f t="shared" si="1"/>
      </c>
      <c r="BH1114" s="22">
        <f t="shared" si="2"/>
        <v>0</v>
      </c>
    </row>
    <row r="1115">
      <c r="B1115">
        <f>[1]资金台帐!B1115&amp;""</f>
      </c>
      <c r="H1115">
        <f>[1]资金台帐!H1115&amp;""</f>
      </c>
      <c r="J1115">
        <f>[1]资金台帐!J1115&amp;""</f>
      </c>
      <c r="N1115">
        <f>[1]资金台帐!N1115</f>
      </c>
      <c r="O1115">
        <f>[1]资金台帐!O1115&amp;""</f>
      </c>
      <c r="P1115">
        <f>[1]资金台帐!P1115&amp;""</f>
      </c>
      <c r="Q1115">
        <f>[1]资金台帐!Q1115&amp;""</f>
      </c>
      <c r="T1115">
        <f>[1]资金台帐!T1115&amp;""</f>
      </c>
      <c r="U1115">
        <f>[1]资金台帐!U1115&amp;""</f>
      </c>
      <c r="W1115">
        <f>[1]资金台帐!W1115&amp;""</f>
      </c>
      <c r="X1115">
        <f>[1]资金台帐!X1115&amp;""</f>
      </c>
      <c r="AB1115">
        <f>[1]资金台帐!AB1115</f>
        <v>0</v>
      </c>
      <c r="AC1115">
        <f>[1]资金台帐!AC1115</f>
        <v>0</v>
      </c>
      <c r="AD1115">
        <f>[1]资金台帐!AD1115</f>
        <v>0</v>
      </c>
      <c r="AJ1115">
        <f>[1]资金台帐!AJ1115</f>
        <v>0</v>
      </c>
      <c r="AK1115">
        <f>[1]资金台帐!AK1115</f>
        <v>0</v>
      </c>
      <c r="BA1115" s="22">
        <f t="shared" si="0"/>
      </c>
      <c r="BG1115" s="22">
        <f t="shared" si="1"/>
      </c>
      <c r="BH1115" s="22">
        <f t="shared" si="2"/>
        <v>0</v>
      </c>
    </row>
    <row r="1116">
      <c r="B1116">
        <f>[1]资金台帐!B1116&amp;""</f>
      </c>
      <c r="H1116">
        <f>[1]资金台帐!H1116&amp;""</f>
      </c>
      <c r="J1116">
        <f>[1]资金台帐!J1116&amp;""</f>
      </c>
      <c r="N1116">
        <f>[1]资金台帐!N1116</f>
      </c>
      <c r="O1116">
        <f>[1]资金台帐!O1116&amp;""</f>
      </c>
      <c r="P1116">
        <f>[1]资金台帐!P1116&amp;""</f>
      </c>
      <c r="Q1116">
        <f>[1]资金台帐!Q1116&amp;""</f>
      </c>
      <c r="T1116">
        <f>[1]资金台帐!T1116&amp;""</f>
      </c>
      <c r="U1116">
        <f>[1]资金台帐!U1116&amp;""</f>
      </c>
      <c r="W1116">
        <f>[1]资金台帐!W1116&amp;""</f>
      </c>
      <c r="X1116">
        <f>[1]资金台帐!X1116&amp;""</f>
      </c>
      <c r="AB1116">
        <f>[1]资金台帐!AB1116</f>
        <v>0</v>
      </c>
      <c r="AC1116">
        <f>[1]资金台帐!AC1116</f>
        <v>0</v>
      </c>
      <c r="AD1116">
        <f>[1]资金台帐!AD1116</f>
        <v>0</v>
      </c>
      <c r="AJ1116">
        <f>[1]资金台帐!AJ1116</f>
        <v>0</v>
      </c>
      <c r="AK1116">
        <f>[1]资金台帐!AK1116</f>
        <v>0</v>
      </c>
      <c r="BA1116" s="22">
        <f t="shared" si="0"/>
      </c>
      <c r="BG1116" s="22">
        <f t="shared" si="1"/>
      </c>
      <c r="BH1116" s="22">
        <f t="shared" si="2"/>
        <v>0</v>
      </c>
    </row>
    <row r="1117">
      <c r="B1117">
        <f>[1]资金台帐!B1117&amp;""</f>
      </c>
      <c r="H1117">
        <f>[1]资金台帐!H1117&amp;""</f>
      </c>
      <c r="J1117">
        <f>[1]资金台帐!J1117&amp;""</f>
      </c>
      <c r="N1117">
        <f>[1]资金台帐!N1117</f>
      </c>
      <c r="O1117">
        <f>[1]资金台帐!O1117&amp;""</f>
      </c>
      <c r="P1117">
        <f>[1]资金台帐!P1117&amp;""</f>
      </c>
      <c r="Q1117">
        <f>[1]资金台帐!Q1117&amp;""</f>
      </c>
      <c r="T1117">
        <f>[1]资金台帐!T1117&amp;""</f>
      </c>
      <c r="U1117">
        <f>[1]资金台帐!U1117&amp;""</f>
      </c>
      <c r="W1117">
        <f>[1]资金台帐!W1117&amp;""</f>
      </c>
      <c r="X1117">
        <f>[1]资金台帐!X1117&amp;""</f>
      </c>
      <c r="AB1117">
        <f>[1]资金台帐!AB1117</f>
        <v>0</v>
      </c>
      <c r="AC1117">
        <f>[1]资金台帐!AC1117</f>
        <v>0</v>
      </c>
      <c r="AD1117">
        <f>[1]资金台帐!AD1117</f>
        <v>0</v>
      </c>
      <c r="AJ1117">
        <f>[1]资金台帐!AJ1117</f>
        <v>0</v>
      </c>
      <c r="AK1117">
        <f>[1]资金台帐!AK1117</f>
        <v>0</v>
      </c>
      <c r="BA1117" s="22">
        <f t="shared" si="0"/>
      </c>
      <c r="BG1117" s="22">
        <f t="shared" si="1"/>
      </c>
      <c r="BH1117" s="22">
        <f t="shared" si="2"/>
        <v>0</v>
      </c>
    </row>
    <row r="1118">
      <c r="B1118">
        <f>[1]资金台帐!B1118&amp;""</f>
      </c>
      <c r="H1118">
        <f>[1]资金台帐!H1118&amp;""</f>
      </c>
      <c r="J1118">
        <f>[1]资金台帐!J1118&amp;""</f>
      </c>
      <c r="N1118">
        <f>[1]资金台帐!N1118</f>
      </c>
      <c r="O1118">
        <f>[1]资金台帐!O1118&amp;""</f>
      </c>
      <c r="P1118">
        <f>[1]资金台帐!P1118&amp;""</f>
      </c>
      <c r="Q1118">
        <f>[1]资金台帐!Q1118&amp;""</f>
      </c>
      <c r="T1118">
        <f>[1]资金台帐!T1118&amp;""</f>
      </c>
      <c r="U1118">
        <f>[1]资金台帐!U1118&amp;""</f>
      </c>
      <c r="W1118">
        <f>[1]资金台帐!W1118&amp;""</f>
      </c>
      <c r="X1118">
        <f>[1]资金台帐!X1118&amp;""</f>
      </c>
      <c r="AB1118">
        <f>[1]资金台帐!AB1118</f>
        <v>0</v>
      </c>
      <c r="AC1118">
        <f>[1]资金台帐!AC1118</f>
        <v>0</v>
      </c>
      <c r="AD1118">
        <f>[1]资金台帐!AD1118</f>
        <v>0</v>
      </c>
      <c r="AJ1118">
        <f>[1]资金台帐!AJ1118</f>
        <v>0</v>
      </c>
      <c r="AK1118">
        <f>[1]资金台帐!AK1118</f>
        <v>0</v>
      </c>
      <c r="BA1118" s="22">
        <f t="shared" si="0"/>
      </c>
      <c r="BG1118" s="22">
        <f t="shared" si="1"/>
      </c>
      <c r="BH1118" s="22">
        <f t="shared" si="2"/>
        <v>0</v>
      </c>
    </row>
    <row r="1119">
      <c r="B1119">
        <f>[1]资金台帐!B1119&amp;""</f>
      </c>
      <c r="H1119">
        <f>[1]资金台帐!H1119&amp;""</f>
      </c>
      <c r="J1119">
        <f>[1]资金台帐!J1119&amp;""</f>
      </c>
      <c r="N1119">
        <f>[1]资金台帐!N1119</f>
      </c>
      <c r="O1119">
        <f>[1]资金台帐!O1119&amp;""</f>
      </c>
      <c r="P1119">
        <f>[1]资金台帐!P1119&amp;""</f>
      </c>
      <c r="Q1119">
        <f>[1]资金台帐!Q1119&amp;""</f>
      </c>
      <c r="T1119">
        <f>[1]资金台帐!T1119&amp;""</f>
      </c>
      <c r="U1119">
        <f>[1]资金台帐!U1119&amp;""</f>
      </c>
      <c r="W1119">
        <f>[1]资金台帐!W1119&amp;""</f>
      </c>
      <c r="X1119">
        <f>[1]资金台帐!X1119&amp;""</f>
      </c>
      <c r="AB1119">
        <f>[1]资金台帐!AB1119</f>
        <v>0</v>
      </c>
      <c r="AC1119">
        <f>[1]资金台帐!AC1119</f>
        <v>0</v>
      </c>
      <c r="AD1119">
        <f>[1]资金台帐!AD1119</f>
        <v>0</v>
      </c>
      <c r="AJ1119">
        <f>[1]资金台帐!AJ1119</f>
        <v>0</v>
      </c>
      <c r="AK1119">
        <f>[1]资金台帐!AK1119</f>
        <v>0</v>
      </c>
      <c r="BA1119" s="22">
        <f t="shared" si="0"/>
      </c>
      <c r="BG1119" s="22">
        <f t="shared" si="1"/>
      </c>
      <c r="BH1119" s="22">
        <f t="shared" si="2"/>
        <v>0</v>
      </c>
    </row>
    <row r="1120">
      <c r="B1120">
        <f>[1]资金台帐!B1120&amp;""</f>
      </c>
      <c r="H1120">
        <f>[1]资金台帐!H1120&amp;""</f>
      </c>
      <c r="J1120">
        <f>[1]资金台帐!J1120&amp;""</f>
      </c>
      <c r="N1120">
        <f>[1]资金台帐!N1120</f>
      </c>
      <c r="O1120">
        <f>[1]资金台帐!O1120&amp;""</f>
      </c>
      <c r="P1120">
        <f>[1]资金台帐!P1120&amp;""</f>
      </c>
      <c r="Q1120">
        <f>[1]资金台帐!Q1120&amp;""</f>
      </c>
      <c r="T1120">
        <f>[1]资金台帐!T1120&amp;""</f>
      </c>
      <c r="U1120">
        <f>[1]资金台帐!U1120&amp;""</f>
      </c>
      <c r="W1120">
        <f>[1]资金台帐!W1120&amp;""</f>
      </c>
      <c r="X1120">
        <f>[1]资金台帐!X1120&amp;""</f>
      </c>
      <c r="AB1120">
        <f>[1]资金台帐!AB1120</f>
        <v>0</v>
      </c>
      <c r="AC1120">
        <f>[1]资金台帐!AC1120</f>
        <v>0</v>
      </c>
      <c r="AD1120">
        <f>[1]资金台帐!AD1120</f>
        <v>0</v>
      </c>
      <c r="AJ1120">
        <f>[1]资金台帐!AJ1120</f>
        <v>0</v>
      </c>
      <c r="AK1120">
        <f>[1]资金台帐!AK1120</f>
        <v>0</v>
      </c>
      <c r="BA1120" s="22">
        <f t="shared" si="0"/>
      </c>
      <c r="BG1120" s="22">
        <f t="shared" si="1"/>
      </c>
      <c r="BH1120" s="22">
        <f t="shared" si="2"/>
        <v>0</v>
      </c>
    </row>
    <row r="1121">
      <c r="B1121">
        <f>[1]资金台帐!B1121&amp;""</f>
      </c>
      <c r="H1121">
        <f>[1]资金台帐!H1121&amp;""</f>
      </c>
      <c r="J1121">
        <f>[1]资金台帐!J1121&amp;""</f>
      </c>
      <c r="N1121">
        <f>[1]资金台帐!N1121</f>
      </c>
      <c r="O1121">
        <f>[1]资金台帐!O1121&amp;""</f>
      </c>
      <c r="P1121">
        <f>[1]资金台帐!P1121&amp;""</f>
      </c>
      <c r="Q1121">
        <f>[1]资金台帐!Q1121&amp;""</f>
      </c>
      <c r="T1121">
        <f>[1]资金台帐!T1121&amp;""</f>
      </c>
      <c r="U1121">
        <f>[1]资金台帐!U1121&amp;""</f>
      </c>
      <c r="W1121">
        <f>[1]资金台帐!W1121&amp;""</f>
      </c>
      <c r="X1121">
        <f>[1]资金台帐!X1121&amp;""</f>
      </c>
      <c r="AB1121">
        <f>[1]资金台帐!AB1121</f>
        <v>0</v>
      </c>
      <c r="AC1121">
        <f>[1]资金台帐!AC1121</f>
        <v>0</v>
      </c>
      <c r="AD1121">
        <f>[1]资金台帐!AD1121</f>
        <v>0</v>
      </c>
      <c r="AJ1121">
        <f>[1]资金台帐!AJ1121</f>
        <v>0</v>
      </c>
      <c r="AK1121">
        <f>[1]资金台帐!AK1121</f>
        <v>0</v>
      </c>
      <c r="BA1121" s="22">
        <f t="shared" si="0"/>
      </c>
      <c r="BG1121" s="22">
        <f t="shared" si="1"/>
      </c>
      <c r="BH1121" s="22">
        <f t="shared" si="2"/>
        <v>0</v>
      </c>
    </row>
    <row r="1122">
      <c r="B1122">
        <f>[1]资金台帐!B1122&amp;""</f>
      </c>
      <c r="H1122">
        <f>[1]资金台帐!H1122&amp;""</f>
      </c>
      <c r="J1122">
        <f>[1]资金台帐!J1122&amp;""</f>
      </c>
      <c r="N1122">
        <f>[1]资金台帐!N1122</f>
      </c>
      <c r="O1122">
        <f>[1]资金台帐!O1122&amp;""</f>
      </c>
      <c r="P1122">
        <f>[1]资金台帐!P1122&amp;""</f>
      </c>
      <c r="Q1122">
        <f>[1]资金台帐!Q1122&amp;""</f>
      </c>
      <c r="T1122">
        <f>[1]资金台帐!T1122&amp;""</f>
      </c>
      <c r="U1122">
        <f>[1]资金台帐!U1122&amp;""</f>
      </c>
      <c r="W1122">
        <f>[1]资金台帐!W1122&amp;""</f>
      </c>
      <c r="X1122">
        <f>[1]资金台帐!X1122&amp;""</f>
      </c>
      <c r="AB1122">
        <f>[1]资金台帐!AB1122</f>
        <v>0</v>
      </c>
      <c r="AC1122">
        <f>[1]资金台帐!AC1122</f>
        <v>0</v>
      </c>
      <c r="AD1122">
        <f>[1]资金台帐!AD1122</f>
        <v>0</v>
      </c>
      <c r="AJ1122">
        <f>[1]资金台帐!AJ1122</f>
        <v>0</v>
      </c>
      <c r="AK1122">
        <f>[1]资金台帐!AK1122</f>
        <v>0</v>
      </c>
      <c r="BA1122" s="22">
        <f t="shared" si="0"/>
      </c>
      <c r="BG1122" s="22">
        <f t="shared" si="1"/>
      </c>
      <c r="BH1122" s="22">
        <f t="shared" si="2"/>
        <v>0</v>
      </c>
    </row>
    <row r="1123">
      <c r="B1123">
        <f>[1]资金台帐!B1123&amp;""</f>
      </c>
      <c r="H1123">
        <f>[1]资金台帐!H1123&amp;""</f>
      </c>
      <c r="J1123">
        <f>[1]资金台帐!J1123&amp;""</f>
      </c>
      <c r="N1123">
        <f>[1]资金台帐!N1123</f>
      </c>
      <c r="O1123">
        <f>[1]资金台帐!O1123&amp;""</f>
      </c>
      <c r="P1123">
        <f>[1]资金台帐!P1123&amp;""</f>
      </c>
      <c r="Q1123">
        <f>[1]资金台帐!Q1123&amp;""</f>
      </c>
      <c r="T1123">
        <f>[1]资金台帐!T1123&amp;""</f>
      </c>
      <c r="U1123">
        <f>[1]资金台帐!U1123&amp;""</f>
      </c>
      <c r="W1123">
        <f>[1]资金台帐!W1123&amp;""</f>
      </c>
      <c r="X1123">
        <f>[1]资金台帐!X1123&amp;""</f>
      </c>
      <c r="AB1123">
        <f>[1]资金台帐!AB1123</f>
        <v>0</v>
      </c>
      <c r="AC1123">
        <f>[1]资金台帐!AC1123</f>
        <v>0</v>
      </c>
      <c r="AD1123">
        <f>[1]资金台帐!AD1123</f>
        <v>0</v>
      </c>
      <c r="AJ1123">
        <f>[1]资金台帐!AJ1123</f>
        <v>0</v>
      </c>
      <c r="AK1123">
        <f>[1]资金台帐!AK1123</f>
        <v>0</v>
      </c>
      <c r="BA1123" s="22">
        <f t="shared" si="0"/>
      </c>
      <c r="BG1123" s="22">
        <f t="shared" si="1"/>
      </c>
      <c r="BH1123" s="22">
        <f t="shared" si="2"/>
        <v>0</v>
      </c>
    </row>
    <row r="1124">
      <c r="B1124">
        <f>[1]资金台帐!B1124&amp;""</f>
      </c>
      <c r="H1124">
        <f>[1]资金台帐!H1124&amp;""</f>
      </c>
      <c r="J1124">
        <f>[1]资金台帐!J1124&amp;""</f>
      </c>
      <c r="N1124">
        <f>[1]资金台帐!N1124</f>
      </c>
      <c r="O1124">
        <f>[1]资金台帐!O1124&amp;""</f>
      </c>
      <c r="P1124">
        <f>[1]资金台帐!P1124&amp;""</f>
      </c>
      <c r="Q1124">
        <f>[1]资金台帐!Q1124&amp;""</f>
      </c>
      <c r="T1124">
        <f>[1]资金台帐!T1124&amp;""</f>
      </c>
      <c r="U1124">
        <f>[1]资金台帐!U1124&amp;""</f>
      </c>
      <c r="W1124">
        <f>[1]资金台帐!W1124&amp;""</f>
      </c>
      <c r="X1124">
        <f>[1]资金台帐!X1124&amp;""</f>
      </c>
      <c r="AB1124">
        <f>[1]资金台帐!AB1124</f>
        <v>0</v>
      </c>
      <c r="AC1124">
        <f>[1]资金台帐!AC1124</f>
        <v>0</v>
      </c>
      <c r="AD1124">
        <f>[1]资金台帐!AD1124</f>
        <v>0</v>
      </c>
      <c r="AJ1124">
        <f>[1]资金台帐!AJ1124</f>
        <v>0</v>
      </c>
      <c r="AK1124">
        <f>[1]资金台帐!AK1124</f>
        <v>0</v>
      </c>
      <c r="BA1124" s="22">
        <f t="shared" si="0"/>
      </c>
      <c r="BG1124" s="22">
        <f t="shared" si="1"/>
      </c>
      <c r="BH1124" s="22">
        <f t="shared" si="2"/>
        <v>0</v>
      </c>
    </row>
    <row r="1125">
      <c r="B1125">
        <f>[1]资金台帐!B1125&amp;""</f>
      </c>
      <c r="H1125">
        <f>[1]资金台帐!H1125&amp;""</f>
      </c>
      <c r="J1125">
        <f>[1]资金台帐!J1125&amp;""</f>
      </c>
      <c r="N1125">
        <f>[1]资金台帐!N1125</f>
      </c>
      <c r="O1125">
        <f>[1]资金台帐!O1125&amp;""</f>
      </c>
      <c r="P1125">
        <f>[1]资金台帐!P1125&amp;""</f>
      </c>
      <c r="Q1125">
        <f>[1]资金台帐!Q1125&amp;""</f>
      </c>
      <c r="T1125">
        <f>[1]资金台帐!T1125&amp;""</f>
      </c>
      <c r="U1125">
        <f>[1]资金台帐!U1125&amp;""</f>
      </c>
      <c r="W1125">
        <f>[1]资金台帐!W1125&amp;""</f>
      </c>
      <c r="X1125">
        <f>[1]资金台帐!X1125&amp;""</f>
      </c>
      <c r="AB1125">
        <f>[1]资金台帐!AB1125</f>
        <v>0</v>
      </c>
      <c r="AC1125">
        <f>[1]资金台帐!AC1125</f>
        <v>0</v>
      </c>
      <c r="AD1125">
        <f>[1]资金台帐!AD1125</f>
        <v>0</v>
      </c>
      <c r="AJ1125">
        <f>[1]资金台帐!AJ1125</f>
        <v>0</v>
      </c>
      <c r="AK1125">
        <f>[1]资金台帐!AK1125</f>
        <v>0</v>
      </c>
      <c r="BA1125" s="22">
        <f t="shared" si="0"/>
      </c>
      <c r="BG1125" s="22">
        <f t="shared" si="1"/>
      </c>
      <c r="BH1125" s="22">
        <f t="shared" si="2"/>
        <v>0</v>
      </c>
    </row>
    <row r="1126">
      <c r="B1126">
        <f>[1]资金台帐!B1126&amp;""</f>
      </c>
      <c r="H1126">
        <f>[1]资金台帐!H1126&amp;""</f>
      </c>
      <c r="J1126">
        <f>[1]资金台帐!J1126&amp;""</f>
      </c>
      <c r="N1126">
        <f>[1]资金台帐!N1126</f>
      </c>
      <c r="O1126">
        <f>[1]资金台帐!O1126&amp;""</f>
      </c>
      <c r="P1126">
        <f>[1]资金台帐!P1126&amp;""</f>
      </c>
      <c r="Q1126">
        <f>[1]资金台帐!Q1126&amp;""</f>
      </c>
      <c r="T1126">
        <f>[1]资金台帐!T1126&amp;""</f>
      </c>
      <c r="U1126">
        <f>[1]资金台帐!U1126&amp;""</f>
      </c>
      <c r="W1126">
        <f>[1]资金台帐!W1126&amp;""</f>
      </c>
      <c r="X1126">
        <f>[1]资金台帐!X1126&amp;""</f>
      </c>
      <c r="AB1126">
        <f>[1]资金台帐!AB1126</f>
        <v>0</v>
      </c>
      <c r="AC1126">
        <f>[1]资金台帐!AC1126</f>
        <v>0</v>
      </c>
      <c r="AD1126">
        <f>[1]资金台帐!AD1126</f>
        <v>0</v>
      </c>
      <c r="AJ1126">
        <f>[1]资金台帐!AJ1126</f>
        <v>0</v>
      </c>
      <c r="AK1126">
        <f>[1]资金台帐!AK1126</f>
        <v>0</v>
      </c>
      <c r="BA1126" s="22">
        <f t="shared" si="0"/>
      </c>
      <c r="BG1126" s="22">
        <f t="shared" si="1"/>
      </c>
      <c r="BH1126" s="22">
        <f t="shared" si="2"/>
        <v>0</v>
      </c>
    </row>
    <row r="1127">
      <c r="B1127">
        <f>[1]资金台帐!B1127&amp;""</f>
      </c>
      <c r="H1127">
        <f>[1]资金台帐!H1127&amp;""</f>
      </c>
      <c r="J1127">
        <f>[1]资金台帐!J1127&amp;""</f>
      </c>
      <c r="N1127">
        <f>[1]资金台帐!N1127</f>
      </c>
      <c r="O1127">
        <f>[1]资金台帐!O1127&amp;""</f>
      </c>
      <c r="P1127">
        <f>[1]资金台帐!P1127&amp;""</f>
      </c>
      <c r="Q1127">
        <f>[1]资金台帐!Q1127&amp;""</f>
      </c>
      <c r="T1127">
        <f>[1]资金台帐!T1127&amp;""</f>
      </c>
      <c r="U1127">
        <f>[1]资金台帐!U1127&amp;""</f>
      </c>
      <c r="W1127">
        <f>[1]资金台帐!W1127&amp;""</f>
      </c>
      <c r="X1127">
        <f>[1]资金台帐!X1127&amp;""</f>
      </c>
      <c r="AB1127">
        <f>[1]资金台帐!AB1127</f>
        <v>0</v>
      </c>
      <c r="AC1127">
        <f>[1]资金台帐!AC1127</f>
        <v>0</v>
      </c>
      <c r="AD1127">
        <f>[1]资金台帐!AD1127</f>
        <v>0</v>
      </c>
      <c r="AJ1127">
        <f>[1]资金台帐!AJ1127</f>
        <v>0</v>
      </c>
      <c r="AK1127">
        <f>[1]资金台帐!AK1127</f>
        <v>0</v>
      </c>
      <c r="BA1127" s="22">
        <f t="shared" si="0"/>
      </c>
      <c r="BG1127" s="22">
        <f t="shared" si="1"/>
      </c>
      <c r="BH1127" s="22">
        <f t="shared" si="2"/>
        <v>0</v>
      </c>
    </row>
    <row r="1128">
      <c r="B1128">
        <f>[1]资金台帐!B1128&amp;""</f>
      </c>
      <c r="H1128">
        <f>[1]资金台帐!H1128&amp;""</f>
      </c>
      <c r="J1128">
        <f>[1]资金台帐!J1128&amp;""</f>
      </c>
      <c r="N1128">
        <f>[1]资金台帐!N1128</f>
      </c>
      <c r="O1128">
        <f>[1]资金台帐!O1128&amp;""</f>
      </c>
      <c r="P1128">
        <f>[1]资金台帐!P1128&amp;""</f>
      </c>
      <c r="Q1128">
        <f>[1]资金台帐!Q1128&amp;""</f>
      </c>
      <c r="T1128">
        <f>[1]资金台帐!T1128&amp;""</f>
      </c>
      <c r="U1128">
        <f>[1]资金台帐!U1128&amp;""</f>
      </c>
      <c r="W1128">
        <f>[1]资金台帐!W1128&amp;""</f>
      </c>
      <c r="X1128">
        <f>[1]资金台帐!X1128&amp;""</f>
      </c>
      <c r="AB1128">
        <f>[1]资金台帐!AB1128</f>
        <v>0</v>
      </c>
      <c r="AC1128">
        <f>[1]资金台帐!AC1128</f>
        <v>0</v>
      </c>
      <c r="AD1128">
        <f>[1]资金台帐!AD1128</f>
        <v>0</v>
      </c>
      <c r="AJ1128">
        <f>[1]资金台帐!AJ1128</f>
        <v>0</v>
      </c>
      <c r="AK1128">
        <f>[1]资金台帐!AK1128</f>
        <v>0</v>
      </c>
      <c r="BA1128" s="22">
        <f t="shared" si="0"/>
      </c>
      <c r="BG1128" s="22">
        <f t="shared" si="1"/>
      </c>
      <c r="BH1128" s="22">
        <f t="shared" si="2"/>
        <v>0</v>
      </c>
    </row>
    <row r="1129">
      <c r="B1129">
        <f>[1]资金台帐!B1129&amp;""</f>
      </c>
      <c r="H1129">
        <f>[1]资金台帐!H1129&amp;""</f>
      </c>
      <c r="J1129">
        <f>[1]资金台帐!J1129&amp;""</f>
      </c>
      <c r="N1129">
        <f>[1]资金台帐!N1129</f>
      </c>
      <c r="O1129">
        <f>[1]资金台帐!O1129&amp;""</f>
      </c>
      <c r="P1129">
        <f>[1]资金台帐!P1129&amp;""</f>
      </c>
      <c r="Q1129">
        <f>[1]资金台帐!Q1129&amp;""</f>
      </c>
      <c r="T1129">
        <f>[1]资金台帐!T1129&amp;""</f>
      </c>
      <c r="U1129">
        <f>[1]资金台帐!U1129&amp;""</f>
      </c>
      <c r="W1129">
        <f>[1]资金台帐!W1129&amp;""</f>
      </c>
      <c r="X1129">
        <f>[1]资金台帐!X1129&amp;""</f>
      </c>
      <c r="AB1129">
        <f>[1]资金台帐!AB1129</f>
        <v>0</v>
      </c>
      <c r="AC1129">
        <f>[1]资金台帐!AC1129</f>
        <v>0</v>
      </c>
      <c r="AD1129">
        <f>[1]资金台帐!AD1129</f>
        <v>0</v>
      </c>
      <c r="AJ1129">
        <f>[1]资金台帐!AJ1129</f>
        <v>0</v>
      </c>
      <c r="AK1129">
        <f>[1]资金台帐!AK1129</f>
        <v>0</v>
      </c>
      <c r="BA1129" s="22">
        <f t="shared" si="0"/>
      </c>
      <c r="BG1129" s="22">
        <f t="shared" si="1"/>
      </c>
      <c r="BH1129" s="22">
        <f t="shared" si="2"/>
        <v>0</v>
      </c>
    </row>
    <row r="1130">
      <c r="B1130">
        <f>[1]资金台帐!B1130&amp;""</f>
      </c>
      <c r="H1130">
        <f>[1]资金台帐!H1130&amp;""</f>
      </c>
      <c r="J1130">
        <f>[1]资金台帐!J1130&amp;""</f>
      </c>
      <c r="N1130">
        <f>[1]资金台帐!N1130</f>
      </c>
      <c r="O1130">
        <f>[1]资金台帐!O1130&amp;""</f>
      </c>
      <c r="P1130">
        <f>[1]资金台帐!P1130&amp;""</f>
      </c>
      <c r="Q1130">
        <f>[1]资金台帐!Q1130&amp;""</f>
      </c>
      <c r="T1130">
        <f>[1]资金台帐!T1130&amp;""</f>
      </c>
      <c r="U1130">
        <f>[1]资金台帐!U1130&amp;""</f>
      </c>
      <c r="W1130">
        <f>[1]资金台帐!W1130&amp;""</f>
      </c>
      <c r="X1130">
        <f>[1]资金台帐!X1130&amp;""</f>
      </c>
      <c r="AB1130">
        <f>[1]资金台帐!AB1130</f>
        <v>0</v>
      </c>
      <c r="AC1130">
        <f>[1]资金台帐!AC1130</f>
        <v>0</v>
      </c>
      <c r="AD1130">
        <f>[1]资金台帐!AD1130</f>
        <v>0</v>
      </c>
      <c r="AJ1130">
        <f>[1]资金台帐!AJ1130</f>
        <v>0</v>
      </c>
      <c r="AK1130">
        <f>[1]资金台帐!AK1130</f>
        <v>0</v>
      </c>
      <c r="BA1130" s="22">
        <f t="shared" si="0"/>
      </c>
      <c r="BG1130" s="22">
        <f t="shared" si="1"/>
      </c>
      <c r="BH1130" s="22">
        <f t="shared" si="2"/>
        <v>0</v>
      </c>
    </row>
    <row r="1131">
      <c r="B1131">
        <f>[1]资金台帐!B1131&amp;""</f>
      </c>
      <c r="H1131">
        <f>[1]资金台帐!H1131&amp;""</f>
      </c>
      <c r="J1131">
        <f>[1]资金台帐!J1131&amp;""</f>
      </c>
      <c r="N1131">
        <f>[1]资金台帐!N1131</f>
      </c>
      <c r="O1131">
        <f>[1]资金台帐!O1131&amp;""</f>
      </c>
      <c r="P1131">
        <f>[1]资金台帐!P1131&amp;""</f>
      </c>
      <c r="Q1131">
        <f>[1]资金台帐!Q1131&amp;""</f>
      </c>
      <c r="T1131">
        <f>[1]资金台帐!T1131&amp;""</f>
      </c>
      <c r="U1131">
        <f>[1]资金台帐!U1131&amp;""</f>
      </c>
      <c r="W1131">
        <f>[1]资金台帐!W1131&amp;""</f>
      </c>
      <c r="X1131">
        <f>[1]资金台帐!X1131&amp;""</f>
      </c>
      <c r="AB1131">
        <f>[1]资金台帐!AB1131</f>
        <v>0</v>
      </c>
      <c r="AC1131">
        <f>[1]资金台帐!AC1131</f>
        <v>0</v>
      </c>
      <c r="AD1131">
        <f>[1]资金台帐!AD1131</f>
        <v>0</v>
      </c>
      <c r="AJ1131">
        <f>[1]资金台帐!AJ1131</f>
        <v>0</v>
      </c>
      <c r="AK1131">
        <f>[1]资金台帐!AK1131</f>
        <v>0</v>
      </c>
      <c r="BA1131" s="22">
        <f t="shared" si="0"/>
      </c>
      <c r="BG1131" s="22">
        <f t="shared" si="1"/>
      </c>
      <c r="BH1131" s="22">
        <f t="shared" si="2"/>
        <v>0</v>
      </c>
    </row>
    <row r="1132">
      <c r="B1132">
        <f>[1]资金台帐!B1132&amp;""</f>
      </c>
      <c r="H1132">
        <f>[1]资金台帐!H1132&amp;""</f>
      </c>
      <c r="J1132">
        <f>[1]资金台帐!J1132&amp;""</f>
      </c>
      <c r="N1132">
        <f>[1]资金台帐!N1132</f>
      </c>
      <c r="O1132">
        <f>[1]资金台帐!O1132&amp;""</f>
      </c>
      <c r="P1132">
        <f>[1]资金台帐!P1132&amp;""</f>
      </c>
      <c r="Q1132">
        <f>[1]资金台帐!Q1132&amp;""</f>
      </c>
      <c r="T1132">
        <f>[1]资金台帐!T1132&amp;""</f>
      </c>
      <c r="U1132">
        <f>[1]资金台帐!U1132&amp;""</f>
      </c>
      <c r="W1132">
        <f>[1]资金台帐!W1132&amp;""</f>
      </c>
      <c r="X1132">
        <f>[1]资金台帐!X1132&amp;""</f>
      </c>
      <c r="AB1132">
        <f>[1]资金台帐!AB1132</f>
        <v>0</v>
      </c>
      <c r="AC1132">
        <f>[1]资金台帐!AC1132</f>
        <v>0</v>
      </c>
      <c r="AD1132">
        <f>[1]资金台帐!AD1132</f>
        <v>0</v>
      </c>
      <c r="AJ1132">
        <f>[1]资金台帐!AJ1132</f>
        <v>0</v>
      </c>
      <c r="AK1132">
        <f>[1]资金台帐!AK1132</f>
        <v>0</v>
      </c>
      <c r="BA1132" s="22">
        <f t="shared" si="0"/>
      </c>
      <c r="BG1132" s="22">
        <f t="shared" si="1"/>
      </c>
      <c r="BH1132" s="22">
        <f t="shared" si="2"/>
        <v>0</v>
      </c>
    </row>
    <row r="1133">
      <c r="B1133">
        <f>[1]资金台帐!B1133&amp;""</f>
      </c>
      <c r="H1133">
        <f>[1]资金台帐!H1133&amp;""</f>
      </c>
      <c r="J1133">
        <f>[1]资金台帐!J1133&amp;""</f>
      </c>
      <c r="N1133">
        <f>[1]资金台帐!N1133</f>
      </c>
      <c r="O1133">
        <f>[1]资金台帐!O1133&amp;""</f>
      </c>
      <c r="P1133">
        <f>[1]资金台帐!P1133&amp;""</f>
      </c>
      <c r="Q1133">
        <f>[1]资金台帐!Q1133&amp;""</f>
      </c>
      <c r="T1133">
        <f>[1]资金台帐!T1133&amp;""</f>
      </c>
      <c r="U1133">
        <f>[1]资金台帐!U1133&amp;""</f>
      </c>
      <c r="W1133">
        <f>[1]资金台帐!W1133&amp;""</f>
      </c>
      <c r="X1133">
        <f>[1]资金台帐!X1133&amp;""</f>
      </c>
      <c r="AB1133">
        <f>[1]资金台帐!AB1133</f>
        <v>0</v>
      </c>
      <c r="AC1133">
        <f>[1]资金台帐!AC1133</f>
        <v>0</v>
      </c>
      <c r="AD1133">
        <f>[1]资金台帐!AD1133</f>
        <v>0</v>
      </c>
      <c r="AJ1133">
        <f>[1]资金台帐!AJ1133</f>
        <v>0</v>
      </c>
      <c r="AK1133">
        <f>[1]资金台帐!AK1133</f>
        <v>0</v>
      </c>
      <c r="BA1133" s="22">
        <f t="shared" si="0"/>
      </c>
      <c r="BG1133" s="22">
        <f t="shared" si="1"/>
      </c>
      <c r="BH1133" s="22">
        <f t="shared" si="2"/>
        <v>0</v>
      </c>
    </row>
    <row r="1134">
      <c r="B1134">
        <f>[1]资金台帐!B1134&amp;""</f>
      </c>
      <c r="H1134">
        <f>[1]资金台帐!H1134&amp;""</f>
      </c>
      <c r="J1134">
        <f>[1]资金台帐!J1134&amp;""</f>
      </c>
      <c r="N1134">
        <f>[1]资金台帐!N1134</f>
      </c>
      <c r="O1134">
        <f>[1]资金台帐!O1134&amp;""</f>
      </c>
      <c r="P1134">
        <f>[1]资金台帐!P1134&amp;""</f>
      </c>
      <c r="Q1134">
        <f>[1]资金台帐!Q1134&amp;""</f>
      </c>
      <c r="T1134">
        <f>[1]资金台帐!T1134&amp;""</f>
      </c>
      <c r="U1134">
        <f>[1]资金台帐!U1134&amp;""</f>
      </c>
      <c r="W1134">
        <f>[1]资金台帐!W1134&amp;""</f>
      </c>
      <c r="X1134">
        <f>[1]资金台帐!X1134&amp;""</f>
      </c>
      <c r="AB1134">
        <f>[1]资金台帐!AB1134</f>
        <v>0</v>
      </c>
      <c r="AC1134">
        <f>[1]资金台帐!AC1134</f>
        <v>0</v>
      </c>
      <c r="AD1134">
        <f>[1]资金台帐!AD1134</f>
        <v>0</v>
      </c>
      <c r="AJ1134">
        <f>[1]资金台帐!AJ1134</f>
        <v>0</v>
      </c>
      <c r="AK1134">
        <f>[1]资金台帐!AK1134</f>
        <v>0</v>
      </c>
      <c r="BA1134" s="22">
        <f t="shared" si="0"/>
      </c>
      <c r="BG1134" s="22">
        <f t="shared" si="1"/>
      </c>
      <c r="BH1134" s="22">
        <f t="shared" si="2"/>
        <v>0</v>
      </c>
    </row>
    <row r="1135">
      <c r="B1135">
        <f>[1]资金台帐!B1135&amp;""</f>
      </c>
      <c r="H1135">
        <f>[1]资金台帐!H1135&amp;""</f>
      </c>
      <c r="J1135">
        <f>[1]资金台帐!J1135&amp;""</f>
      </c>
      <c r="N1135">
        <f>[1]资金台帐!N1135</f>
      </c>
      <c r="O1135">
        <f>[1]资金台帐!O1135&amp;""</f>
      </c>
      <c r="P1135">
        <f>[1]资金台帐!P1135&amp;""</f>
      </c>
      <c r="Q1135">
        <f>[1]资金台帐!Q1135&amp;""</f>
      </c>
      <c r="T1135">
        <f>[1]资金台帐!T1135&amp;""</f>
      </c>
      <c r="U1135">
        <f>[1]资金台帐!U1135&amp;""</f>
      </c>
      <c r="W1135">
        <f>[1]资金台帐!W1135&amp;""</f>
      </c>
      <c r="X1135">
        <f>[1]资金台帐!X1135&amp;""</f>
      </c>
      <c r="AB1135">
        <f>[1]资金台帐!AB1135</f>
        <v>0</v>
      </c>
      <c r="AC1135">
        <f>[1]资金台帐!AC1135</f>
        <v>0</v>
      </c>
      <c r="AD1135">
        <f>[1]资金台帐!AD1135</f>
        <v>0</v>
      </c>
      <c r="AJ1135">
        <f>[1]资金台帐!AJ1135</f>
        <v>0</v>
      </c>
      <c r="AK1135">
        <f>[1]资金台帐!AK1135</f>
        <v>0</v>
      </c>
      <c r="BA1135" s="22">
        <f t="shared" si="0"/>
      </c>
      <c r="BG1135" s="22">
        <f t="shared" si="1"/>
      </c>
      <c r="BH1135" s="22">
        <f t="shared" si="2"/>
        <v>0</v>
      </c>
    </row>
    <row r="1136">
      <c r="B1136">
        <f>[1]资金台帐!B1136&amp;""</f>
      </c>
      <c r="H1136">
        <f>[1]资金台帐!H1136&amp;""</f>
      </c>
      <c r="J1136">
        <f>[1]资金台帐!J1136&amp;""</f>
      </c>
      <c r="N1136">
        <f>[1]资金台帐!N1136</f>
      </c>
      <c r="O1136">
        <f>[1]资金台帐!O1136&amp;""</f>
      </c>
      <c r="P1136">
        <f>[1]资金台帐!P1136&amp;""</f>
      </c>
      <c r="Q1136">
        <f>[1]资金台帐!Q1136&amp;""</f>
      </c>
      <c r="T1136">
        <f>[1]资金台帐!T1136&amp;""</f>
      </c>
      <c r="U1136">
        <f>[1]资金台帐!U1136&amp;""</f>
      </c>
      <c r="W1136">
        <f>[1]资金台帐!W1136&amp;""</f>
      </c>
      <c r="X1136">
        <f>[1]资金台帐!X1136&amp;""</f>
      </c>
      <c r="AB1136">
        <f>[1]资金台帐!AB1136</f>
        <v>0</v>
      </c>
      <c r="AC1136">
        <f>[1]资金台帐!AC1136</f>
        <v>0</v>
      </c>
      <c r="AD1136">
        <f>[1]资金台帐!AD1136</f>
        <v>0</v>
      </c>
      <c r="AJ1136">
        <f>[1]资金台帐!AJ1136</f>
        <v>0</v>
      </c>
      <c r="AK1136">
        <f>[1]资金台帐!AK1136</f>
        <v>0</v>
      </c>
      <c r="BA1136" s="22">
        <f t="shared" si="0"/>
      </c>
      <c r="BG1136" s="22">
        <f t="shared" si="1"/>
      </c>
      <c r="BH1136" s="22">
        <f t="shared" si="2"/>
        <v>0</v>
      </c>
    </row>
    <row r="1137">
      <c r="B1137">
        <f>[1]资金台帐!B1137&amp;""</f>
      </c>
      <c r="H1137">
        <f>[1]资金台帐!H1137&amp;""</f>
      </c>
      <c r="J1137">
        <f>[1]资金台帐!J1137&amp;""</f>
      </c>
      <c r="N1137">
        <f>[1]资金台帐!N1137</f>
      </c>
      <c r="O1137">
        <f>[1]资金台帐!O1137&amp;""</f>
      </c>
      <c r="P1137">
        <f>[1]资金台帐!P1137&amp;""</f>
      </c>
      <c r="Q1137">
        <f>[1]资金台帐!Q1137&amp;""</f>
      </c>
      <c r="T1137">
        <f>[1]资金台帐!T1137&amp;""</f>
      </c>
      <c r="U1137">
        <f>[1]资金台帐!U1137&amp;""</f>
      </c>
      <c r="W1137">
        <f>[1]资金台帐!W1137&amp;""</f>
      </c>
      <c r="X1137">
        <f>[1]资金台帐!X1137&amp;""</f>
      </c>
      <c r="AB1137">
        <f>[1]资金台帐!AB1137</f>
        <v>0</v>
      </c>
      <c r="AC1137">
        <f>[1]资金台帐!AC1137</f>
        <v>0</v>
      </c>
      <c r="AD1137">
        <f>[1]资金台帐!AD1137</f>
        <v>0</v>
      </c>
      <c r="AJ1137">
        <f>[1]资金台帐!AJ1137</f>
        <v>0</v>
      </c>
      <c r="AK1137">
        <f>[1]资金台帐!AK1137</f>
        <v>0</v>
      </c>
      <c r="BA1137" s="22">
        <f t="shared" si="0"/>
      </c>
      <c r="BG1137" s="22">
        <f t="shared" si="1"/>
      </c>
      <c r="BH1137" s="22">
        <f t="shared" si="2"/>
        <v>0</v>
      </c>
    </row>
    <row r="1138">
      <c r="B1138">
        <f>[1]资金台帐!B1138&amp;""</f>
      </c>
      <c r="H1138">
        <f>[1]资金台帐!H1138&amp;""</f>
      </c>
      <c r="J1138">
        <f>[1]资金台帐!J1138&amp;""</f>
      </c>
      <c r="N1138">
        <f>[1]资金台帐!N1138</f>
      </c>
      <c r="O1138">
        <f>[1]资金台帐!O1138&amp;""</f>
      </c>
      <c r="P1138">
        <f>[1]资金台帐!P1138&amp;""</f>
      </c>
      <c r="Q1138">
        <f>[1]资金台帐!Q1138&amp;""</f>
      </c>
      <c r="T1138">
        <f>[1]资金台帐!T1138&amp;""</f>
      </c>
      <c r="U1138">
        <f>[1]资金台帐!U1138&amp;""</f>
      </c>
      <c r="W1138">
        <f>[1]资金台帐!W1138&amp;""</f>
      </c>
      <c r="X1138">
        <f>[1]资金台帐!X1138&amp;""</f>
      </c>
      <c r="AB1138">
        <f>[1]资金台帐!AB1138</f>
        <v>0</v>
      </c>
      <c r="AC1138">
        <f>[1]资金台帐!AC1138</f>
        <v>0</v>
      </c>
      <c r="AD1138">
        <f>[1]资金台帐!AD1138</f>
        <v>0</v>
      </c>
      <c r="AJ1138">
        <f>[1]资金台帐!AJ1138</f>
        <v>0</v>
      </c>
      <c r="AK1138">
        <f>[1]资金台帐!AK1138</f>
        <v>0</v>
      </c>
      <c r="BA1138" s="22">
        <f t="shared" si="0"/>
      </c>
      <c r="BG1138" s="22">
        <f t="shared" si="1"/>
      </c>
      <c r="BH1138" s="22">
        <f t="shared" si="2"/>
        <v>0</v>
      </c>
    </row>
    <row r="1139">
      <c r="B1139">
        <f>[1]资金台帐!B1139&amp;""</f>
      </c>
      <c r="H1139">
        <f>[1]资金台帐!H1139&amp;""</f>
      </c>
      <c r="J1139">
        <f>[1]资金台帐!J1139&amp;""</f>
      </c>
      <c r="N1139">
        <f>[1]资金台帐!N1139</f>
      </c>
      <c r="O1139">
        <f>[1]资金台帐!O1139&amp;""</f>
      </c>
      <c r="P1139">
        <f>[1]资金台帐!P1139&amp;""</f>
      </c>
      <c r="Q1139">
        <f>[1]资金台帐!Q1139&amp;""</f>
      </c>
      <c r="T1139">
        <f>[1]资金台帐!T1139&amp;""</f>
      </c>
      <c r="U1139">
        <f>[1]资金台帐!U1139&amp;""</f>
      </c>
      <c r="W1139">
        <f>[1]资金台帐!W1139&amp;""</f>
      </c>
      <c r="X1139">
        <f>[1]资金台帐!X1139&amp;""</f>
      </c>
      <c r="AB1139">
        <f>[1]资金台帐!AB1139</f>
        <v>0</v>
      </c>
      <c r="AC1139">
        <f>[1]资金台帐!AC1139</f>
        <v>0</v>
      </c>
      <c r="AD1139">
        <f>[1]资金台帐!AD1139</f>
        <v>0</v>
      </c>
      <c r="AJ1139">
        <f>[1]资金台帐!AJ1139</f>
        <v>0</v>
      </c>
      <c r="AK1139">
        <f>[1]资金台帐!AK1139</f>
        <v>0</v>
      </c>
      <c r="BA1139" s="22">
        <f t="shared" si="0"/>
      </c>
      <c r="BG1139" s="22">
        <f t="shared" si="1"/>
      </c>
      <c r="BH1139" s="22">
        <f t="shared" si="2"/>
        <v>0</v>
      </c>
    </row>
    <row r="1140">
      <c r="B1140">
        <f>[1]资金台帐!B1140&amp;""</f>
      </c>
      <c r="H1140">
        <f>[1]资金台帐!H1140&amp;""</f>
      </c>
      <c r="J1140">
        <f>[1]资金台帐!J1140&amp;""</f>
      </c>
      <c r="N1140">
        <f>[1]资金台帐!N1140</f>
      </c>
      <c r="O1140">
        <f>[1]资金台帐!O1140&amp;""</f>
      </c>
      <c r="P1140">
        <f>[1]资金台帐!P1140&amp;""</f>
      </c>
      <c r="Q1140">
        <f>[1]资金台帐!Q1140&amp;""</f>
      </c>
      <c r="T1140">
        <f>[1]资金台帐!T1140&amp;""</f>
      </c>
      <c r="U1140">
        <f>[1]资金台帐!U1140&amp;""</f>
      </c>
      <c r="W1140">
        <f>[1]资金台帐!W1140&amp;""</f>
      </c>
      <c r="X1140">
        <f>[1]资金台帐!X1140&amp;""</f>
      </c>
      <c r="AB1140">
        <f>[1]资金台帐!AB1140</f>
        <v>0</v>
      </c>
      <c r="AC1140">
        <f>[1]资金台帐!AC1140</f>
        <v>0</v>
      </c>
      <c r="AD1140">
        <f>[1]资金台帐!AD1140</f>
        <v>0</v>
      </c>
      <c r="AJ1140">
        <f>[1]资金台帐!AJ1140</f>
        <v>0</v>
      </c>
      <c r="AK1140">
        <f>[1]资金台帐!AK1140</f>
        <v>0</v>
      </c>
      <c r="BA1140" s="22">
        <f t="shared" si="0"/>
      </c>
      <c r="BG1140" s="22">
        <f t="shared" si="1"/>
      </c>
      <c r="BH1140" s="22">
        <f t="shared" si="2"/>
        <v>0</v>
      </c>
    </row>
    <row r="1141">
      <c r="B1141">
        <f>[1]资金台帐!B1141&amp;""</f>
      </c>
      <c r="H1141">
        <f>[1]资金台帐!H1141&amp;""</f>
      </c>
      <c r="J1141">
        <f>[1]资金台帐!J1141&amp;""</f>
      </c>
      <c r="N1141">
        <f>[1]资金台帐!N1141</f>
      </c>
      <c r="O1141">
        <f>[1]资金台帐!O1141&amp;""</f>
      </c>
      <c r="P1141">
        <f>[1]资金台帐!P1141&amp;""</f>
      </c>
      <c r="Q1141">
        <f>[1]资金台帐!Q1141&amp;""</f>
      </c>
      <c r="T1141">
        <f>[1]资金台帐!T1141&amp;""</f>
      </c>
      <c r="U1141">
        <f>[1]资金台帐!U1141&amp;""</f>
      </c>
      <c r="W1141">
        <f>[1]资金台帐!W1141&amp;""</f>
      </c>
      <c r="X1141">
        <f>[1]资金台帐!X1141&amp;""</f>
      </c>
      <c r="AB1141">
        <f>[1]资金台帐!AB1141</f>
        <v>0</v>
      </c>
      <c r="AC1141">
        <f>[1]资金台帐!AC1141</f>
        <v>0</v>
      </c>
      <c r="AD1141">
        <f>[1]资金台帐!AD1141</f>
        <v>0</v>
      </c>
      <c r="AJ1141">
        <f>[1]资金台帐!AJ1141</f>
        <v>0</v>
      </c>
      <c r="AK1141">
        <f>[1]资金台帐!AK1141</f>
        <v>0</v>
      </c>
      <c r="BA1141" s="22">
        <f t="shared" si="0"/>
      </c>
      <c r="BG1141" s="22">
        <f t="shared" si="1"/>
      </c>
      <c r="BH1141" s="22">
        <f t="shared" si="2"/>
        <v>0</v>
      </c>
    </row>
    <row r="1142">
      <c r="B1142">
        <f>[1]资金台帐!B1142&amp;""</f>
      </c>
      <c r="H1142">
        <f>[1]资金台帐!H1142&amp;""</f>
      </c>
      <c r="J1142">
        <f>[1]资金台帐!J1142&amp;""</f>
      </c>
      <c r="N1142">
        <f>[1]资金台帐!N1142</f>
      </c>
      <c r="O1142">
        <f>[1]资金台帐!O1142&amp;""</f>
      </c>
      <c r="P1142">
        <f>[1]资金台帐!P1142&amp;""</f>
      </c>
      <c r="Q1142">
        <f>[1]资金台帐!Q1142&amp;""</f>
      </c>
      <c r="T1142">
        <f>[1]资金台帐!T1142&amp;""</f>
      </c>
      <c r="U1142">
        <f>[1]资金台帐!U1142&amp;""</f>
      </c>
      <c r="W1142">
        <f>[1]资金台帐!W1142&amp;""</f>
      </c>
      <c r="X1142">
        <f>[1]资金台帐!X1142&amp;""</f>
      </c>
      <c r="AB1142">
        <f>[1]资金台帐!AB1142</f>
        <v>0</v>
      </c>
      <c r="AC1142">
        <f>[1]资金台帐!AC1142</f>
        <v>0</v>
      </c>
      <c r="AD1142">
        <f>[1]资金台帐!AD1142</f>
        <v>0</v>
      </c>
      <c r="AJ1142">
        <f>[1]资金台帐!AJ1142</f>
        <v>0</v>
      </c>
      <c r="AK1142">
        <f>[1]资金台帐!AK1142</f>
        <v>0</v>
      </c>
      <c r="BA1142" s="22">
        <f t="shared" si="0"/>
      </c>
      <c r="BG1142" s="22">
        <f t="shared" si="1"/>
      </c>
      <c r="BH1142" s="22">
        <f t="shared" si="2"/>
        <v>0</v>
      </c>
    </row>
    <row r="1143">
      <c r="B1143">
        <f>[1]资金台帐!B1143&amp;""</f>
      </c>
      <c r="H1143">
        <f>[1]资金台帐!H1143&amp;""</f>
      </c>
      <c r="J1143">
        <f>[1]资金台帐!J1143&amp;""</f>
      </c>
      <c r="N1143">
        <f>[1]资金台帐!N1143</f>
      </c>
      <c r="O1143">
        <f>[1]资金台帐!O1143&amp;""</f>
      </c>
      <c r="P1143">
        <f>[1]资金台帐!P1143&amp;""</f>
      </c>
      <c r="Q1143">
        <f>[1]资金台帐!Q1143&amp;""</f>
      </c>
      <c r="T1143">
        <f>[1]资金台帐!T1143&amp;""</f>
      </c>
      <c r="U1143">
        <f>[1]资金台帐!U1143&amp;""</f>
      </c>
      <c r="W1143">
        <f>[1]资金台帐!W1143&amp;""</f>
      </c>
      <c r="X1143">
        <f>[1]资金台帐!X1143&amp;""</f>
      </c>
      <c r="AB1143">
        <f>[1]资金台帐!AB1143</f>
        <v>0</v>
      </c>
      <c r="AC1143">
        <f>[1]资金台帐!AC1143</f>
        <v>0</v>
      </c>
      <c r="AD1143">
        <f>[1]资金台帐!AD1143</f>
        <v>0</v>
      </c>
      <c r="AJ1143">
        <f>[1]资金台帐!AJ1143</f>
        <v>0</v>
      </c>
      <c r="AK1143">
        <f>[1]资金台帐!AK1143</f>
        <v>0</v>
      </c>
      <c r="BA1143" s="22">
        <f t="shared" si="0"/>
      </c>
      <c r="BG1143" s="22">
        <f t="shared" si="1"/>
      </c>
      <c r="BH1143" s="22">
        <f t="shared" si="2"/>
        <v>0</v>
      </c>
    </row>
    <row r="1144">
      <c r="B1144">
        <f>[1]资金台帐!B1144&amp;""</f>
      </c>
      <c r="H1144">
        <f>[1]资金台帐!H1144&amp;""</f>
      </c>
      <c r="J1144">
        <f>[1]资金台帐!J1144&amp;""</f>
      </c>
      <c r="N1144">
        <f>[1]资金台帐!N1144</f>
      </c>
      <c r="O1144">
        <f>[1]资金台帐!O1144&amp;""</f>
      </c>
      <c r="P1144">
        <f>[1]资金台帐!P1144&amp;""</f>
      </c>
      <c r="Q1144">
        <f>[1]资金台帐!Q1144&amp;""</f>
      </c>
      <c r="T1144">
        <f>[1]资金台帐!T1144&amp;""</f>
      </c>
      <c r="U1144">
        <f>[1]资金台帐!U1144&amp;""</f>
      </c>
      <c r="W1144">
        <f>[1]资金台帐!W1144&amp;""</f>
      </c>
      <c r="X1144">
        <f>[1]资金台帐!X1144&amp;""</f>
      </c>
      <c r="AB1144">
        <f>[1]资金台帐!AB1144</f>
        <v>0</v>
      </c>
      <c r="AC1144">
        <f>[1]资金台帐!AC1144</f>
        <v>0</v>
      </c>
      <c r="AD1144">
        <f>[1]资金台帐!AD1144</f>
        <v>0</v>
      </c>
      <c r="AJ1144">
        <f>[1]资金台帐!AJ1144</f>
        <v>0</v>
      </c>
      <c r="AK1144">
        <f>[1]资金台帐!AK1144</f>
        <v>0</v>
      </c>
      <c r="BA1144" s="22">
        <f t="shared" si="0"/>
      </c>
      <c r="BG1144" s="22">
        <f t="shared" si="1"/>
      </c>
      <c r="BH1144" s="22">
        <f t="shared" si="2"/>
        <v>0</v>
      </c>
    </row>
    <row r="1145">
      <c r="B1145">
        <f>[1]资金台帐!B1145&amp;""</f>
      </c>
      <c r="H1145">
        <f>[1]资金台帐!H1145&amp;""</f>
      </c>
      <c r="J1145">
        <f>[1]资金台帐!J1145&amp;""</f>
      </c>
      <c r="N1145">
        <f>[1]资金台帐!N1145</f>
      </c>
      <c r="O1145">
        <f>[1]资金台帐!O1145&amp;""</f>
      </c>
      <c r="P1145">
        <f>[1]资金台帐!P1145&amp;""</f>
      </c>
      <c r="Q1145">
        <f>[1]资金台帐!Q1145&amp;""</f>
      </c>
      <c r="T1145">
        <f>[1]资金台帐!T1145&amp;""</f>
      </c>
      <c r="U1145">
        <f>[1]资金台帐!U1145&amp;""</f>
      </c>
      <c r="W1145">
        <f>[1]资金台帐!W1145&amp;""</f>
      </c>
      <c r="X1145">
        <f>[1]资金台帐!X1145&amp;""</f>
      </c>
      <c r="AB1145">
        <f>[1]资金台帐!AB1145</f>
        <v>0</v>
      </c>
      <c r="AC1145">
        <f>[1]资金台帐!AC1145</f>
        <v>0</v>
      </c>
      <c r="AD1145">
        <f>[1]资金台帐!AD1145</f>
        <v>0</v>
      </c>
      <c r="AJ1145">
        <f>[1]资金台帐!AJ1145</f>
        <v>0</v>
      </c>
      <c r="AK1145">
        <f>[1]资金台帐!AK1145</f>
        <v>0</v>
      </c>
      <c r="BA1145" s="22">
        <f t="shared" si="0"/>
      </c>
      <c r="BG1145" s="22">
        <f t="shared" si="1"/>
      </c>
      <c r="BH1145" s="22">
        <f t="shared" si="2"/>
        <v>0</v>
      </c>
    </row>
    <row r="1146">
      <c r="B1146">
        <f>[1]资金台帐!B1146&amp;""</f>
      </c>
      <c r="H1146">
        <f>[1]资金台帐!H1146&amp;""</f>
      </c>
      <c r="J1146">
        <f>[1]资金台帐!J1146&amp;""</f>
      </c>
      <c r="N1146">
        <f>[1]资金台帐!N1146</f>
      </c>
      <c r="O1146">
        <f>[1]资金台帐!O1146&amp;""</f>
      </c>
      <c r="P1146">
        <f>[1]资金台帐!P1146&amp;""</f>
      </c>
      <c r="Q1146">
        <f>[1]资金台帐!Q1146&amp;""</f>
      </c>
      <c r="T1146">
        <f>[1]资金台帐!T1146&amp;""</f>
      </c>
      <c r="U1146">
        <f>[1]资金台帐!U1146&amp;""</f>
      </c>
      <c r="W1146">
        <f>[1]资金台帐!W1146&amp;""</f>
      </c>
      <c r="X1146">
        <f>[1]资金台帐!X1146&amp;""</f>
      </c>
      <c r="AB1146">
        <f>[1]资金台帐!AB1146</f>
        <v>0</v>
      </c>
      <c r="AC1146">
        <f>[1]资金台帐!AC1146</f>
        <v>0</v>
      </c>
      <c r="AD1146">
        <f>[1]资金台帐!AD1146</f>
        <v>0</v>
      </c>
      <c r="AJ1146">
        <f>[1]资金台帐!AJ1146</f>
        <v>0</v>
      </c>
      <c r="AK1146">
        <f>[1]资金台帐!AK1146</f>
        <v>0</v>
      </c>
      <c r="BA1146" s="22">
        <f t="shared" si="0"/>
      </c>
      <c r="BG1146" s="22">
        <f t="shared" si="1"/>
      </c>
      <c r="BH1146" s="22">
        <f t="shared" si="2"/>
        <v>0</v>
      </c>
    </row>
    <row r="1147">
      <c r="B1147">
        <f>[1]资金台帐!B1147&amp;""</f>
      </c>
      <c r="H1147">
        <f>[1]资金台帐!H1147&amp;""</f>
      </c>
      <c r="J1147">
        <f>[1]资金台帐!J1147&amp;""</f>
      </c>
      <c r="N1147">
        <f>[1]资金台帐!N1147</f>
      </c>
      <c r="O1147">
        <f>[1]资金台帐!O1147&amp;""</f>
      </c>
      <c r="P1147">
        <f>[1]资金台帐!P1147&amp;""</f>
      </c>
      <c r="Q1147">
        <f>[1]资金台帐!Q1147&amp;""</f>
      </c>
      <c r="T1147">
        <f>[1]资金台帐!T1147&amp;""</f>
      </c>
      <c r="U1147">
        <f>[1]资金台帐!U1147&amp;""</f>
      </c>
      <c r="W1147">
        <f>[1]资金台帐!W1147&amp;""</f>
      </c>
      <c r="X1147">
        <f>[1]资金台帐!X1147&amp;""</f>
      </c>
      <c r="AB1147">
        <f>[1]资金台帐!AB1147</f>
        <v>0</v>
      </c>
      <c r="AC1147">
        <f>[1]资金台帐!AC1147</f>
        <v>0</v>
      </c>
      <c r="AD1147">
        <f>[1]资金台帐!AD1147</f>
        <v>0</v>
      </c>
      <c r="AJ1147">
        <f>[1]资金台帐!AJ1147</f>
        <v>0</v>
      </c>
      <c r="AK1147">
        <f>[1]资金台帐!AK1147</f>
        <v>0</v>
      </c>
      <c r="BA1147" s="22">
        <f t="shared" si="0"/>
      </c>
      <c r="BG1147" s="22">
        <f t="shared" si="1"/>
      </c>
      <c r="BH1147" s="22">
        <f t="shared" si="2"/>
        <v>0</v>
      </c>
    </row>
    <row r="1148">
      <c r="B1148">
        <f>[1]资金台帐!B1148&amp;""</f>
      </c>
      <c r="H1148">
        <f>[1]资金台帐!H1148&amp;""</f>
      </c>
      <c r="J1148">
        <f>[1]资金台帐!J1148&amp;""</f>
      </c>
      <c r="N1148">
        <f>[1]资金台帐!N1148</f>
      </c>
      <c r="O1148">
        <f>[1]资金台帐!O1148&amp;""</f>
      </c>
      <c r="P1148">
        <f>[1]资金台帐!P1148&amp;""</f>
      </c>
      <c r="Q1148">
        <f>[1]资金台帐!Q1148&amp;""</f>
      </c>
      <c r="T1148">
        <f>[1]资金台帐!T1148&amp;""</f>
      </c>
      <c r="U1148">
        <f>[1]资金台帐!U1148&amp;""</f>
      </c>
      <c r="W1148">
        <f>[1]资金台帐!W1148&amp;""</f>
      </c>
      <c r="X1148">
        <f>[1]资金台帐!X1148&amp;""</f>
      </c>
      <c r="AB1148">
        <f>[1]资金台帐!AB1148</f>
        <v>0</v>
      </c>
      <c r="AC1148">
        <f>[1]资金台帐!AC1148</f>
        <v>0</v>
      </c>
      <c r="AD1148">
        <f>[1]资金台帐!AD1148</f>
        <v>0</v>
      </c>
      <c r="AJ1148">
        <f>[1]资金台帐!AJ1148</f>
        <v>0</v>
      </c>
      <c r="AK1148">
        <f>[1]资金台帐!AK1148</f>
        <v>0</v>
      </c>
      <c r="BA1148" s="22">
        <f t="shared" si="0"/>
      </c>
      <c r="BG1148" s="22">
        <f t="shared" si="1"/>
      </c>
      <c r="BH1148" s="22">
        <f t="shared" si="2"/>
        <v>0</v>
      </c>
    </row>
    <row r="1149">
      <c r="B1149">
        <f>[1]资金台帐!B1149&amp;""</f>
      </c>
      <c r="H1149">
        <f>[1]资金台帐!H1149&amp;""</f>
      </c>
      <c r="J1149">
        <f>[1]资金台帐!J1149&amp;""</f>
      </c>
      <c r="N1149">
        <f>[1]资金台帐!N1149</f>
      </c>
      <c r="O1149">
        <f>[1]资金台帐!O1149&amp;""</f>
      </c>
      <c r="P1149">
        <f>[1]资金台帐!P1149&amp;""</f>
      </c>
      <c r="Q1149">
        <f>[1]资金台帐!Q1149&amp;""</f>
      </c>
      <c r="T1149">
        <f>[1]资金台帐!T1149&amp;""</f>
      </c>
      <c r="U1149">
        <f>[1]资金台帐!U1149&amp;""</f>
      </c>
      <c r="W1149">
        <f>[1]资金台帐!W1149&amp;""</f>
      </c>
      <c r="X1149">
        <f>[1]资金台帐!X1149&amp;""</f>
      </c>
      <c r="AB1149">
        <f>[1]资金台帐!AB1149</f>
        <v>0</v>
      </c>
      <c r="AC1149">
        <f>[1]资金台帐!AC1149</f>
        <v>0</v>
      </c>
      <c r="AD1149">
        <f>[1]资金台帐!AD1149</f>
        <v>0</v>
      </c>
      <c r="AJ1149">
        <f>[1]资金台帐!AJ1149</f>
        <v>0</v>
      </c>
      <c r="AK1149">
        <f>[1]资金台帐!AK1149</f>
        <v>0</v>
      </c>
      <c r="BA1149" s="22">
        <f t="shared" si="0"/>
      </c>
      <c r="BG1149" s="22">
        <f t="shared" si="1"/>
      </c>
      <c r="BH1149" s="22">
        <f t="shared" si="2"/>
        <v>0</v>
      </c>
    </row>
    <row r="1150">
      <c r="B1150">
        <f>[1]资金台帐!B1150&amp;""</f>
      </c>
      <c r="H1150">
        <f>[1]资金台帐!H1150&amp;""</f>
      </c>
      <c r="J1150">
        <f>[1]资金台帐!J1150&amp;""</f>
      </c>
      <c r="N1150">
        <f>[1]资金台帐!N1150</f>
      </c>
      <c r="O1150">
        <f>[1]资金台帐!O1150&amp;""</f>
      </c>
      <c r="P1150">
        <f>[1]资金台帐!P1150&amp;""</f>
      </c>
      <c r="Q1150">
        <f>[1]资金台帐!Q1150&amp;""</f>
      </c>
      <c r="T1150">
        <f>[1]资金台帐!T1150&amp;""</f>
      </c>
      <c r="U1150">
        <f>[1]资金台帐!U1150&amp;""</f>
      </c>
      <c r="W1150">
        <f>[1]资金台帐!W1150&amp;""</f>
      </c>
      <c r="X1150">
        <f>[1]资金台帐!X1150&amp;""</f>
      </c>
      <c r="AB1150">
        <f>[1]资金台帐!AB1150</f>
        <v>0</v>
      </c>
      <c r="AC1150">
        <f>[1]资金台帐!AC1150</f>
        <v>0</v>
      </c>
      <c r="AD1150">
        <f>[1]资金台帐!AD1150</f>
        <v>0</v>
      </c>
      <c r="AJ1150">
        <f>[1]资金台帐!AJ1150</f>
        <v>0</v>
      </c>
      <c r="AK1150">
        <f>[1]资金台帐!AK1150</f>
        <v>0</v>
      </c>
      <c r="BA1150" s="22">
        <f t="shared" si="0"/>
      </c>
      <c r="BG1150" s="22">
        <f t="shared" si="1"/>
      </c>
      <c r="BH1150" s="22">
        <f t="shared" si="2"/>
        <v>0</v>
      </c>
    </row>
    <row r="1151">
      <c r="B1151">
        <f>[1]资金台帐!B1151&amp;""</f>
      </c>
      <c r="H1151">
        <f>[1]资金台帐!H1151&amp;""</f>
      </c>
      <c r="J1151">
        <f>[1]资金台帐!J1151&amp;""</f>
      </c>
      <c r="N1151">
        <f>[1]资金台帐!N1151</f>
      </c>
      <c r="O1151">
        <f>[1]资金台帐!O1151&amp;""</f>
      </c>
      <c r="P1151">
        <f>[1]资金台帐!P1151&amp;""</f>
      </c>
      <c r="Q1151">
        <f>[1]资金台帐!Q1151&amp;""</f>
      </c>
      <c r="T1151">
        <f>[1]资金台帐!T1151&amp;""</f>
      </c>
      <c r="U1151">
        <f>[1]资金台帐!U1151&amp;""</f>
      </c>
      <c r="W1151">
        <f>[1]资金台帐!W1151&amp;""</f>
      </c>
      <c r="X1151">
        <f>[1]资金台帐!X1151&amp;""</f>
      </c>
      <c r="AB1151">
        <f>[1]资金台帐!AB1151</f>
        <v>0</v>
      </c>
      <c r="AC1151">
        <f>[1]资金台帐!AC1151</f>
        <v>0</v>
      </c>
      <c r="AD1151">
        <f>[1]资金台帐!AD1151</f>
        <v>0</v>
      </c>
      <c r="AJ1151">
        <f>[1]资金台帐!AJ1151</f>
        <v>0</v>
      </c>
      <c r="AK1151">
        <f>[1]资金台帐!AK1151</f>
        <v>0</v>
      </c>
      <c r="BA1151" s="22">
        <f t="shared" si="0"/>
      </c>
      <c r="BG1151" s="22">
        <f t="shared" si="1"/>
      </c>
      <c r="BH1151" s="22">
        <f t="shared" si="2"/>
        <v>0</v>
      </c>
    </row>
    <row r="1152">
      <c r="B1152">
        <f>[1]资金台帐!B1152&amp;""</f>
      </c>
      <c r="H1152">
        <f>[1]资金台帐!H1152&amp;""</f>
      </c>
      <c r="J1152">
        <f>[1]资金台帐!J1152&amp;""</f>
      </c>
      <c r="N1152">
        <f>[1]资金台帐!N1152</f>
      </c>
      <c r="O1152">
        <f>[1]资金台帐!O1152&amp;""</f>
      </c>
      <c r="P1152">
        <f>[1]资金台帐!P1152&amp;""</f>
      </c>
      <c r="Q1152">
        <f>[1]资金台帐!Q1152&amp;""</f>
      </c>
      <c r="T1152">
        <f>[1]资金台帐!T1152&amp;""</f>
      </c>
      <c r="U1152">
        <f>[1]资金台帐!U1152&amp;""</f>
      </c>
      <c r="W1152">
        <f>[1]资金台帐!W1152&amp;""</f>
      </c>
      <c r="X1152">
        <f>[1]资金台帐!X1152&amp;""</f>
      </c>
      <c r="AB1152">
        <f>[1]资金台帐!AB1152</f>
        <v>0</v>
      </c>
      <c r="AC1152">
        <f>[1]资金台帐!AC1152</f>
        <v>0</v>
      </c>
      <c r="AD1152">
        <f>[1]资金台帐!AD1152</f>
        <v>0</v>
      </c>
      <c r="AJ1152">
        <f>[1]资金台帐!AJ1152</f>
        <v>0</v>
      </c>
      <c r="AK1152">
        <f>[1]资金台帐!AK1152</f>
        <v>0</v>
      </c>
      <c r="BA1152" s="22">
        <f t="shared" si="0"/>
      </c>
      <c r="BG1152" s="22">
        <f t="shared" si="1"/>
      </c>
      <c r="BH1152" s="22">
        <f t="shared" si="2"/>
        <v>0</v>
      </c>
    </row>
    <row r="1153">
      <c r="B1153">
        <f>[1]资金台帐!B1153&amp;""</f>
      </c>
      <c r="H1153">
        <f>[1]资金台帐!H1153&amp;""</f>
      </c>
      <c r="J1153">
        <f>[1]资金台帐!J1153&amp;""</f>
      </c>
      <c r="N1153">
        <f>[1]资金台帐!N1153</f>
      </c>
      <c r="O1153">
        <f>[1]资金台帐!O1153&amp;""</f>
      </c>
      <c r="P1153">
        <f>[1]资金台帐!P1153&amp;""</f>
      </c>
      <c r="Q1153">
        <f>[1]资金台帐!Q1153&amp;""</f>
      </c>
      <c r="T1153">
        <f>[1]资金台帐!T1153&amp;""</f>
      </c>
      <c r="U1153">
        <f>[1]资金台帐!U1153&amp;""</f>
      </c>
      <c r="W1153">
        <f>[1]资金台帐!W1153&amp;""</f>
      </c>
      <c r="X1153">
        <f>[1]资金台帐!X1153&amp;""</f>
      </c>
      <c r="AB1153">
        <f>[1]资金台帐!AB1153</f>
        <v>0</v>
      </c>
      <c r="AC1153">
        <f>[1]资金台帐!AC1153</f>
        <v>0</v>
      </c>
      <c r="AD1153">
        <f>[1]资金台帐!AD1153</f>
        <v>0</v>
      </c>
      <c r="AJ1153">
        <f>[1]资金台帐!AJ1153</f>
        <v>0</v>
      </c>
      <c r="AK1153">
        <f>[1]资金台帐!AK1153</f>
        <v>0</v>
      </c>
      <c r="BA1153" s="22">
        <f t="shared" si="0"/>
      </c>
      <c r="BG1153" s="22">
        <f t="shared" si="1"/>
      </c>
      <c r="BH1153" s="22">
        <f t="shared" si="2"/>
        <v>0</v>
      </c>
    </row>
    <row r="1154">
      <c r="B1154">
        <f>[1]资金台帐!B1154&amp;""</f>
      </c>
      <c r="H1154">
        <f>[1]资金台帐!H1154&amp;""</f>
      </c>
      <c r="J1154">
        <f>[1]资金台帐!J1154&amp;""</f>
      </c>
      <c r="N1154">
        <f>[1]资金台帐!N1154</f>
      </c>
      <c r="O1154">
        <f>[1]资金台帐!O1154&amp;""</f>
      </c>
      <c r="P1154">
        <f>[1]资金台帐!P1154&amp;""</f>
      </c>
      <c r="Q1154">
        <f>[1]资金台帐!Q1154&amp;""</f>
      </c>
      <c r="T1154">
        <f>[1]资金台帐!T1154&amp;""</f>
      </c>
      <c r="U1154">
        <f>[1]资金台帐!U1154&amp;""</f>
      </c>
      <c r="W1154">
        <f>[1]资金台帐!W1154&amp;""</f>
      </c>
      <c r="X1154">
        <f>[1]资金台帐!X1154&amp;""</f>
      </c>
      <c r="AB1154">
        <f>[1]资金台帐!AB1154</f>
        <v>0</v>
      </c>
      <c r="AC1154">
        <f>[1]资金台帐!AC1154</f>
        <v>0</v>
      </c>
      <c r="AD1154">
        <f>[1]资金台帐!AD1154</f>
        <v>0</v>
      </c>
      <c r="AJ1154">
        <f>[1]资金台帐!AJ1154</f>
        <v>0</v>
      </c>
      <c r="AK1154">
        <f>[1]资金台帐!AK1154</f>
        <v>0</v>
      </c>
      <c r="BA1154" s="22">
        <f t="shared" si="0"/>
      </c>
      <c r="BG1154" s="22">
        <f t="shared" si="1"/>
      </c>
      <c r="BH1154" s="22">
        <f t="shared" si="2"/>
        <v>0</v>
      </c>
    </row>
    <row r="1155">
      <c r="B1155">
        <f>[1]资金台帐!B1155&amp;""</f>
      </c>
      <c r="H1155">
        <f>[1]资金台帐!H1155&amp;""</f>
      </c>
      <c r="J1155">
        <f>[1]资金台帐!J1155&amp;""</f>
      </c>
      <c r="N1155">
        <f>[1]资金台帐!N1155</f>
      </c>
      <c r="O1155">
        <f>[1]资金台帐!O1155&amp;""</f>
      </c>
      <c r="P1155">
        <f>[1]资金台帐!P1155&amp;""</f>
      </c>
      <c r="Q1155">
        <f>[1]资金台帐!Q1155&amp;""</f>
      </c>
      <c r="T1155">
        <f>[1]资金台帐!T1155&amp;""</f>
      </c>
      <c r="U1155">
        <f>[1]资金台帐!U1155&amp;""</f>
      </c>
      <c r="W1155">
        <f>[1]资金台帐!W1155&amp;""</f>
      </c>
      <c r="X1155">
        <f>[1]资金台帐!X1155&amp;""</f>
      </c>
      <c r="AB1155">
        <f>[1]资金台帐!AB1155</f>
        <v>0</v>
      </c>
      <c r="AC1155">
        <f>[1]资金台帐!AC1155</f>
        <v>0</v>
      </c>
      <c r="AD1155">
        <f>[1]资金台帐!AD1155</f>
        <v>0</v>
      </c>
      <c r="AJ1155">
        <f>[1]资金台帐!AJ1155</f>
        <v>0</v>
      </c>
      <c r="AK1155">
        <f>[1]资金台帐!AK1155</f>
        <v>0</v>
      </c>
      <c r="BA1155" s="22">
        <f t="shared" si="0"/>
      </c>
      <c r="BG1155" s="22">
        <f t="shared" si="1"/>
      </c>
      <c r="BH1155" s="22">
        <f t="shared" si="2"/>
        <v>0</v>
      </c>
    </row>
    <row r="1156">
      <c r="B1156">
        <f>[1]资金台帐!B1156&amp;""</f>
      </c>
      <c r="H1156">
        <f>[1]资金台帐!H1156&amp;""</f>
      </c>
      <c r="J1156">
        <f>[1]资金台帐!J1156&amp;""</f>
      </c>
      <c r="N1156">
        <f>[1]资金台帐!N1156</f>
      </c>
      <c r="O1156">
        <f>[1]资金台帐!O1156&amp;""</f>
      </c>
      <c r="P1156">
        <f>[1]资金台帐!P1156&amp;""</f>
      </c>
      <c r="Q1156">
        <f>[1]资金台帐!Q1156&amp;""</f>
      </c>
      <c r="T1156">
        <f>[1]资金台帐!T1156&amp;""</f>
      </c>
      <c r="U1156">
        <f>[1]资金台帐!U1156&amp;""</f>
      </c>
      <c r="W1156">
        <f>[1]资金台帐!W1156&amp;""</f>
      </c>
      <c r="X1156">
        <f>[1]资金台帐!X1156&amp;""</f>
      </c>
      <c r="AB1156">
        <f>[1]资金台帐!AB1156</f>
        <v>0</v>
      </c>
      <c r="AC1156">
        <f>[1]资金台帐!AC1156</f>
        <v>0</v>
      </c>
      <c r="AD1156">
        <f>[1]资金台帐!AD1156</f>
        <v>0</v>
      </c>
      <c r="AJ1156">
        <f>[1]资金台帐!AJ1156</f>
        <v>0</v>
      </c>
      <c r="AK1156">
        <f>[1]资金台帐!AK1156</f>
        <v>0</v>
      </c>
      <c r="BA1156" s="22">
        <f t="shared" si="0"/>
      </c>
      <c r="BG1156" s="22">
        <f t="shared" si="1"/>
      </c>
      <c r="BH1156" s="22">
        <f t="shared" si="2"/>
        <v>0</v>
      </c>
    </row>
    <row r="1157">
      <c r="B1157">
        <f>[1]资金台帐!B1157&amp;""</f>
      </c>
      <c r="H1157">
        <f>[1]资金台帐!H1157&amp;""</f>
      </c>
      <c r="J1157">
        <f>[1]资金台帐!J1157&amp;""</f>
      </c>
      <c r="N1157">
        <f>[1]资金台帐!N1157</f>
      </c>
      <c r="O1157">
        <f>[1]资金台帐!O1157&amp;""</f>
      </c>
      <c r="P1157">
        <f>[1]资金台帐!P1157&amp;""</f>
      </c>
      <c r="Q1157">
        <f>[1]资金台帐!Q1157&amp;""</f>
      </c>
      <c r="T1157">
        <f>[1]资金台帐!T1157&amp;""</f>
      </c>
      <c r="U1157">
        <f>[1]资金台帐!U1157&amp;""</f>
      </c>
      <c r="W1157">
        <f>[1]资金台帐!W1157&amp;""</f>
      </c>
      <c r="X1157">
        <f>[1]资金台帐!X1157&amp;""</f>
      </c>
      <c r="AB1157">
        <f>[1]资金台帐!AB1157</f>
        <v>0</v>
      </c>
      <c r="AC1157">
        <f>[1]资金台帐!AC1157</f>
        <v>0</v>
      </c>
      <c r="AD1157">
        <f>[1]资金台帐!AD1157</f>
        <v>0</v>
      </c>
      <c r="AJ1157">
        <f>[1]资金台帐!AJ1157</f>
        <v>0</v>
      </c>
      <c r="AK1157">
        <f>[1]资金台帐!AK1157</f>
        <v>0</v>
      </c>
      <c r="BA1157" s="22">
        <f t="shared" si="0"/>
      </c>
      <c r="BG1157" s="22">
        <f t="shared" si="1"/>
      </c>
      <c r="BH1157" s="22">
        <f t="shared" si="2"/>
        <v>0</v>
      </c>
    </row>
    <row r="1158">
      <c r="B1158">
        <f>[1]资金台帐!B1158&amp;""</f>
      </c>
      <c r="H1158">
        <f>[1]资金台帐!H1158&amp;""</f>
      </c>
      <c r="J1158">
        <f>[1]资金台帐!J1158&amp;""</f>
      </c>
      <c r="N1158">
        <f>[1]资金台帐!N1158</f>
      </c>
      <c r="O1158">
        <f>[1]资金台帐!O1158&amp;""</f>
      </c>
      <c r="P1158">
        <f>[1]资金台帐!P1158&amp;""</f>
      </c>
      <c r="Q1158">
        <f>[1]资金台帐!Q1158&amp;""</f>
      </c>
      <c r="T1158">
        <f>[1]资金台帐!T1158&amp;""</f>
      </c>
      <c r="U1158">
        <f>[1]资金台帐!U1158&amp;""</f>
      </c>
      <c r="W1158">
        <f>[1]资金台帐!W1158&amp;""</f>
      </c>
      <c r="X1158">
        <f>[1]资金台帐!X1158&amp;""</f>
      </c>
      <c r="AB1158">
        <f>[1]资金台帐!AB1158</f>
        <v>0</v>
      </c>
      <c r="AC1158">
        <f>[1]资金台帐!AC1158</f>
        <v>0</v>
      </c>
      <c r="AD1158">
        <f>[1]资金台帐!AD1158</f>
        <v>0</v>
      </c>
      <c r="AJ1158">
        <f>[1]资金台帐!AJ1158</f>
        <v>0</v>
      </c>
      <c r="AK1158">
        <f>[1]资金台帐!AK1158</f>
        <v>0</v>
      </c>
      <c r="BA1158" s="22">
        <f t="shared" si="0"/>
      </c>
      <c r="BG1158" s="22">
        <f t="shared" si="1"/>
      </c>
      <c r="BH1158" s="22">
        <f t="shared" si="2"/>
        <v>0</v>
      </c>
    </row>
    <row r="1159">
      <c r="B1159">
        <f>[1]资金台帐!B1159&amp;""</f>
      </c>
      <c r="H1159">
        <f>[1]资金台帐!H1159&amp;""</f>
      </c>
      <c r="J1159">
        <f>[1]资金台帐!J1159&amp;""</f>
      </c>
      <c r="N1159">
        <f>[1]资金台帐!N1159</f>
      </c>
      <c r="O1159">
        <f>[1]资金台帐!O1159&amp;""</f>
      </c>
      <c r="P1159">
        <f>[1]资金台帐!P1159&amp;""</f>
      </c>
      <c r="Q1159">
        <f>[1]资金台帐!Q1159&amp;""</f>
      </c>
      <c r="T1159">
        <f>[1]资金台帐!T1159&amp;""</f>
      </c>
      <c r="U1159">
        <f>[1]资金台帐!U1159&amp;""</f>
      </c>
      <c r="W1159">
        <f>[1]资金台帐!W1159&amp;""</f>
      </c>
      <c r="X1159">
        <f>[1]资金台帐!X1159&amp;""</f>
      </c>
      <c r="AB1159">
        <f>[1]资金台帐!AB1159</f>
        <v>0</v>
      </c>
      <c r="AC1159">
        <f>[1]资金台帐!AC1159</f>
        <v>0</v>
      </c>
      <c r="AD1159">
        <f>[1]资金台帐!AD1159</f>
        <v>0</v>
      </c>
      <c r="AJ1159">
        <f>[1]资金台帐!AJ1159</f>
        <v>0</v>
      </c>
      <c r="AK1159">
        <f>[1]资金台帐!AK1159</f>
        <v>0</v>
      </c>
      <c r="BA1159" s="22">
        <f t="shared" si="0"/>
      </c>
      <c r="BG1159" s="22">
        <f t="shared" si="1"/>
      </c>
      <c r="BH1159" s="22">
        <f t="shared" si="2"/>
        <v>0</v>
      </c>
    </row>
    <row r="1160">
      <c r="B1160">
        <f>[1]资金台帐!B1160&amp;""</f>
      </c>
      <c r="H1160">
        <f>[1]资金台帐!H1160&amp;""</f>
      </c>
      <c r="J1160">
        <f>[1]资金台帐!J1160&amp;""</f>
      </c>
      <c r="N1160">
        <f>[1]资金台帐!N1160</f>
      </c>
      <c r="O1160">
        <f>[1]资金台帐!O1160&amp;""</f>
      </c>
      <c r="P1160">
        <f>[1]资金台帐!P1160&amp;""</f>
      </c>
      <c r="Q1160">
        <f>[1]资金台帐!Q1160&amp;""</f>
      </c>
      <c r="T1160">
        <f>[1]资金台帐!T1160&amp;""</f>
      </c>
      <c r="U1160">
        <f>[1]资金台帐!U1160&amp;""</f>
      </c>
      <c r="W1160">
        <f>[1]资金台帐!W1160&amp;""</f>
      </c>
      <c r="X1160">
        <f>[1]资金台帐!X1160&amp;""</f>
      </c>
      <c r="AB1160">
        <f>[1]资金台帐!AB1160</f>
        <v>0</v>
      </c>
      <c r="AC1160">
        <f>[1]资金台帐!AC1160</f>
        <v>0</v>
      </c>
      <c r="AD1160">
        <f>[1]资金台帐!AD1160</f>
        <v>0</v>
      </c>
      <c r="AJ1160">
        <f>[1]资金台帐!AJ1160</f>
        <v>0</v>
      </c>
      <c r="AK1160">
        <f>[1]资金台帐!AK1160</f>
        <v>0</v>
      </c>
      <c r="BA1160" s="22">
        <f t="shared" si="0"/>
      </c>
      <c r="BG1160" s="22">
        <f t="shared" si="1"/>
      </c>
      <c r="BH1160" s="22">
        <f t="shared" si="2"/>
        <v>0</v>
      </c>
    </row>
    <row r="1161">
      <c r="B1161">
        <f>[1]资金台帐!B1161&amp;""</f>
      </c>
      <c r="H1161">
        <f>[1]资金台帐!H1161&amp;""</f>
      </c>
      <c r="J1161">
        <f>[1]资金台帐!J1161&amp;""</f>
      </c>
      <c r="N1161">
        <f>[1]资金台帐!N1161</f>
      </c>
      <c r="O1161">
        <f>[1]资金台帐!O1161&amp;""</f>
      </c>
      <c r="P1161">
        <f>[1]资金台帐!P1161&amp;""</f>
      </c>
      <c r="Q1161">
        <f>[1]资金台帐!Q1161&amp;""</f>
      </c>
      <c r="T1161">
        <f>[1]资金台帐!T1161&amp;""</f>
      </c>
      <c r="U1161">
        <f>[1]资金台帐!U1161&amp;""</f>
      </c>
      <c r="W1161">
        <f>[1]资金台帐!W1161&amp;""</f>
      </c>
      <c r="X1161">
        <f>[1]资金台帐!X1161&amp;""</f>
      </c>
      <c r="AB1161">
        <f>[1]资金台帐!AB1161</f>
        <v>0</v>
      </c>
      <c r="AC1161">
        <f>[1]资金台帐!AC1161</f>
        <v>0</v>
      </c>
      <c r="AD1161">
        <f>[1]资金台帐!AD1161</f>
        <v>0</v>
      </c>
      <c r="AJ1161">
        <f>[1]资金台帐!AJ1161</f>
        <v>0</v>
      </c>
      <c r="AK1161">
        <f>[1]资金台帐!AK1161</f>
        <v>0</v>
      </c>
      <c r="BA1161" s="22">
        <f t="shared" si="0"/>
      </c>
      <c r="BG1161" s="22">
        <f t="shared" si="1"/>
      </c>
      <c r="BH1161" s="22">
        <f t="shared" si="2"/>
        <v>0</v>
      </c>
    </row>
    <row r="1162">
      <c r="B1162">
        <f>[1]资金台帐!B1162&amp;""</f>
      </c>
      <c r="H1162">
        <f>[1]资金台帐!H1162&amp;""</f>
      </c>
      <c r="J1162">
        <f>[1]资金台帐!J1162&amp;""</f>
      </c>
      <c r="N1162">
        <f>[1]资金台帐!N1162</f>
      </c>
      <c r="O1162">
        <f>[1]资金台帐!O1162&amp;""</f>
      </c>
      <c r="P1162">
        <f>[1]资金台帐!P1162&amp;""</f>
      </c>
      <c r="Q1162">
        <f>[1]资金台帐!Q1162&amp;""</f>
      </c>
      <c r="T1162">
        <f>[1]资金台帐!T1162&amp;""</f>
      </c>
      <c r="U1162">
        <f>[1]资金台帐!U1162&amp;""</f>
      </c>
      <c r="W1162">
        <f>[1]资金台帐!W1162&amp;""</f>
      </c>
      <c r="X1162">
        <f>[1]资金台帐!X1162&amp;""</f>
      </c>
      <c r="AB1162">
        <f>[1]资金台帐!AB1162</f>
        <v>0</v>
      </c>
      <c r="AC1162">
        <f>[1]资金台帐!AC1162</f>
        <v>0</v>
      </c>
      <c r="AD1162">
        <f>[1]资金台帐!AD1162</f>
        <v>0</v>
      </c>
      <c r="AJ1162">
        <f>[1]资金台帐!AJ1162</f>
        <v>0</v>
      </c>
      <c r="AK1162">
        <f>[1]资金台帐!AK1162</f>
        <v>0</v>
      </c>
      <c r="BA1162" s="22">
        <f t="shared" si="0"/>
      </c>
      <c r="BG1162" s="22">
        <f t="shared" si="1"/>
      </c>
      <c r="BH1162" s="22">
        <f t="shared" si="2"/>
        <v>0</v>
      </c>
    </row>
    <row r="1163">
      <c r="B1163">
        <f>[1]资金台帐!B1163&amp;""</f>
      </c>
      <c r="H1163">
        <f>[1]资金台帐!H1163&amp;""</f>
      </c>
      <c r="J1163">
        <f>[1]资金台帐!J1163&amp;""</f>
      </c>
      <c r="N1163">
        <f>[1]资金台帐!N1163</f>
      </c>
      <c r="O1163">
        <f>[1]资金台帐!O1163&amp;""</f>
      </c>
      <c r="P1163">
        <f>[1]资金台帐!P1163&amp;""</f>
      </c>
      <c r="Q1163">
        <f>[1]资金台帐!Q1163&amp;""</f>
      </c>
      <c r="T1163">
        <f>[1]资金台帐!T1163&amp;""</f>
      </c>
      <c r="U1163">
        <f>[1]资金台帐!U1163&amp;""</f>
      </c>
      <c r="W1163">
        <f>[1]资金台帐!W1163&amp;""</f>
      </c>
      <c r="X1163">
        <f>[1]资金台帐!X1163&amp;""</f>
      </c>
      <c r="AB1163">
        <f>[1]资金台帐!AB1163</f>
        <v>0</v>
      </c>
      <c r="AC1163">
        <f>[1]资金台帐!AC1163</f>
        <v>0</v>
      </c>
      <c r="AD1163">
        <f>[1]资金台帐!AD1163</f>
        <v>0</v>
      </c>
      <c r="AJ1163">
        <f>[1]资金台帐!AJ1163</f>
        <v>0</v>
      </c>
      <c r="AK1163">
        <f>[1]资金台帐!AK1163</f>
        <v>0</v>
      </c>
      <c r="BA1163" s="22">
        <f t="shared" si="0"/>
      </c>
      <c r="BG1163" s="22">
        <f t="shared" si="1"/>
      </c>
      <c r="BH1163" s="22">
        <f t="shared" si="2"/>
        <v>0</v>
      </c>
    </row>
    <row r="1164">
      <c r="B1164">
        <f>[1]资金台帐!B1164&amp;""</f>
      </c>
      <c r="H1164">
        <f>[1]资金台帐!H1164&amp;""</f>
      </c>
      <c r="J1164">
        <f>[1]资金台帐!J1164&amp;""</f>
      </c>
      <c r="N1164">
        <f>[1]资金台帐!N1164</f>
      </c>
      <c r="O1164">
        <f>[1]资金台帐!O1164&amp;""</f>
      </c>
      <c r="P1164">
        <f>[1]资金台帐!P1164&amp;""</f>
      </c>
      <c r="Q1164">
        <f>[1]资金台帐!Q1164&amp;""</f>
      </c>
      <c r="T1164">
        <f>[1]资金台帐!T1164&amp;""</f>
      </c>
      <c r="U1164">
        <f>[1]资金台帐!U1164&amp;""</f>
      </c>
      <c r="W1164">
        <f>[1]资金台帐!W1164&amp;""</f>
      </c>
      <c r="X1164">
        <f>[1]资金台帐!X1164&amp;""</f>
      </c>
      <c r="AB1164">
        <f>[1]资金台帐!AB1164</f>
        <v>0</v>
      </c>
      <c r="AC1164">
        <f>[1]资金台帐!AC1164</f>
        <v>0</v>
      </c>
      <c r="AD1164">
        <f>[1]资金台帐!AD1164</f>
        <v>0</v>
      </c>
      <c r="AJ1164">
        <f>[1]资金台帐!AJ1164</f>
        <v>0</v>
      </c>
      <c r="AK1164">
        <f>[1]资金台帐!AK1164</f>
        <v>0</v>
      </c>
      <c r="BA1164" s="22">
        <f t="shared" si="0"/>
      </c>
      <c r="BG1164" s="22">
        <f t="shared" si="1"/>
      </c>
      <c r="BH1164" s="22">
        <f t="shared" si="2"/>
        <v>0</v>
      </c>
    </row>
    <row r="1165">
      <c r="B1165">
        <f>[1]资金台帐!B1165&amp;""</f>
      </c>
      <c r="H1165">
        <f>[1]资金台帐!H1165&amp;""</f>
      </c>
      <c r="J1165">
        <f>[1]资金台帐!J1165&amp;""</f>
      </c>
      <c r="N1165">
        <f>[1]资金台帐!N1165</f>
      </c>
      <c r="O1165">
        <f>[1]资金台帐!O1165&amp;""</f>
      </c>
      <c r="P1165">
        <f>[1]资金台帐!P1165&amp;""</f>
      </c>
      <c r="Q1165">
        <f>[1]资金台帐!Q1165&amp;""</f>
      </c>
      <c r="T1165">
        <f>[1]资金台帐!T1165&amp;""</f>
      </c>
      <c r="U1165">
        <f>[1]资金台帐!U1165&amp;""</f>
      </c>
      <c r="W1165">
        <f>[1]资金台帐!W1165&amp;""</f>
      </c>
      <c r="X1165">
        <f>[1]资金台帐!X1165&amp;""</f>
      </c>
      <c r="AB1165">
        <f>[1]资金台帐!AB1165</f>
        <v>0</v>
      </c>
      <c r="AC1165">
        <f>[1]资金台帐!AC1165</f>
        <v>0</v>
      </c>
      <c r="AD1165">
        <f>[1]资金台帐!AD1165</f>
        <v>0</v>
      </c>
      <c r="AJ1165">
        <f>[1]资金台帐!AJ1165</f>
        <v>0</v>
      </c>
      <c r="AK1165">
        <f>[1]资金台帐!AK1165</f>
        <v>0</v>
      </c>
      <c r="BA1165" s="22">
        <f t="shared" si="0"/>
      </c>
      <c r="BG1165" s="22">
        <f t="shared" si="1"/>
      </c>
      <c r="BH1165" s="22">
        <f t="shared" si="2"/>
        <v>0</v>
      </c>
    </row>
    <row r="1166">
      <c r="B1166">
        <f>[1]资金台帐!B1166&amp;""</f>
      </c>
      <c r="H1166">
        <f>[1]资金台帐!H1166&amp;""</f>
      </c>
      <c r="J1166">
        <f>[1]资金台帐!J1166&amp;""</f>
      </c>
      <c r="N1166">
        <f>[1]资金台帐!N1166</f>
      </c>
      <c r="O1166">
        <f>[1]资金台帐!O1166&amp;""</f>
      </c>
      <c r="P1166">
        <f>[1]资金台帐!P1166&amp;""</f>
      </c>
      <c r="Q1166">
        <f>[1]资金台帐!Q1166&amp;""</f>
      </c>
      <c r="T1166">
        <f>[1]资金台帐!T1166&amp;""</f>
      </c>
      <c r="U1166">
        <f>[1]资金台帐!U1166&amp;""</f>
      </c>
      <c r="W1166">
        <f>[1]资金台帐!W1166&amp;""</f>
      </c>
      <c r="X1166">
        <f>[1]资金台帐!X1166&amp;""</f>
      </c>
      <c r="AB1166">
        <f>[1]资金台帐!AB1166</f>
        <v>0</v>
      </c>
      <c r="AC1166">
        <f>[1]资金台帐!AC1166</f>
        <v>0</v>
      </c>
      <c r="AD1166">
        <f>[1]资金台帐!AD1166</f>
        <v>0</v>
      </c>
      <c r="AJ1166">
        <f>[1]资金台帐!AJ1166</f>
        <v>0</v>
      </c>
      <c r="AK1166">
        <f>[1]资金台帐!AK1166</f>
        <v>0</v>
      </c>
      <c r="BA1166" s="22">
        <f t="shared" si="0"/>
      </c>
      <c r="BG1166" s="22">
        <f t="shared" si="1"/>
      </c>
      <c r="BH1166" s="22">
        <f t="shared" si="2"/>
        <v>0</v>
      </c>
    </row>
    <row r="1167">
      <c r="B1167">
        <f>[1]资金台帐!B1167&amp;""</f>
      </c>
      <c r="H1167">
        <f>[1]资金台帐!H1167&amp;""</f>
      </c>
      <c r="J1167">
        <f>[1]资金台帐!J1167&amp;""</f>
      </c>
      <c r="N1167">
        <f>[1]资金台帐!N1167</f>
      </c>
      <c r="O1167">
        <f>[1]资金台帐!O1167&amp;""</f>
      </c>
      <c r="P1167">
        <f>[1]资金台帐!P1167&amp;""</f>
      </c>
      <c r="Q1167">
        <f>[1]资金台帐!Q1167&amp;""</f>
      </c>
      <c r="T1167">
        <f>[1]资金台帐!T1167&amp;""</f>
      </c>
      <c r="U1167">
        <f>[1]资金台帐!U1167&amp;""</f>
      </c>
      <c r="W1167">
        <f>[1]资金台帐!W1167&amp;""</f>
      </c>
      <c r="X1167">
        <f>[1]资金台帐!X1167&amp;""</f>
      </c>
      <c r="AB1167">
        <f>[1]资金台帐!AB1167</f>
        <v>0</v>
      </c>
      <c r="AC1167">
        <f>[1]资金台帐!AC1167</f>
        <v>0</v>
      </c>
      <c r="AD1167">
        <f>[1]资金台帐!AD1167</f>
        <v>0</v>
      </c>
      <c r="AJ1167">
        <f>[1]资金台帐!AJ1167</f>
        <v>0</v>
      </c>
      <c r="AK1167">
        <f>[1]资金台帐!AK1167</f>
        <v>0</v>
      </c>
      <c r="BA1167" s="22">
        <f t="shared" si="0"/>
      </c>
      <c r="BG1167" s="22">
        <f t="shared" si="1"/>
      </c>
      <c r="BH1167" s="22">
        <f t="shared" si="2"/>
        <v>0</v>
      </c>
    </row>
    <row r="1168">
      <c r="B1168">
        <f>[1]资金台帐!B1168&amp;""</f>
      </c>
      <c r="H1168">
        <f>[1]资金台帐!H1168&amp;""</f>
      </c>
      <c r="J1168">
        <f>[1]资金台帐!J1168&amp;""</f>
      </c>
      <c r="N1168">
        <f>[1]资金台帐!N1168</f>
      </c>
      <c r="O1168">
        <f>[1]资金台帐!O1168&amp;""</f>
      </c>
      <c r="P1168">
        <f>[1]资金台帐!P1168&amp;""</f>
      </c>
      <c r="Q1168">
        <f>[1]资金台帐!Q1168&amp;""</f>
      </c>
      <c r="T1168">
        <f>[1]资金台帐!T1168&amp;""</f>
      </c>
      <c r="U1168">
        <f>[1]资金台帐!U1168&amp;""</f>
      </c>
      <c r="W1168">
        <f>[1]资金台帐!W1168&amp;""</f>
      </c>
      <c r="X1168">
        <f>[1]资金台帐!X1168&amp;""</f>
      </c>
      <c r="AB1168">
        <f>[1]资金台帐!AB1168</f>
        <v>0</v>
      </c>
      <c r="AC1168">
        <f>[1]资金台帐!AC1168</f>
        <v>0</v>
      </c>
      <c r="AD1168">
        <f>[1]资金台帐!AD1168</f>
        <v>0</v>
      </c>
      <c r="AJ1168">
        <f>[1]资金台帐!AJ1168</f>
        <v>0</v>
      </c>
      <c r="AK1168">
        <f>[1]资金台帐!AK1168</f>
        <v>0</v>
      </c>
      <c r="BA1168" s="22">
        <f t="shared" si="0"/>
      </c>
      <c r="BG1168" s="22">
        <f t="shared" si="1"/>
      </c>
      <c r="BH1168" s="22">
        <f t="shared" si="2"/>
        <v>0</v>
      </c>
    </row>
    <row r="1169">
      <c r="B1169">
        <f>[1]资金台帐!B1169&amp;""</f>
      </c>
      <c r="H1169">
        <f>[1]资金台帐!H1169&amp;""</f>
      </c>
      <c r="J1169">
        <f>[1]资金台帐!J1169&amp;""</f>
      </c>
      <c r="N1169">
        <f>[1]资金台帐!N1169</f>
      </c>
      <c r="O1169">
        <f>[1]资金台帐!O1169&amp;""</f>
      </c>
      <c r="P1169">
        <f>[1]资金台帐!P1169&amp;""</f>
      </c>
      <c r="Q1169">
        <f>[1]资金台帐!Q1169&amp;""</f>
      </c>
      <c r="T1169">
        <f>[1]资金台帐!T1169&amp;""</f>
      </c>
      <c r="U1169">
        <f>[1]资金台帐!U1169&amp;""</f>
      </c>
      <c r="W1169">
        <f>[1]资金台帐!W1169&amp;""</f>
      </c>
      <c r="X1169">
        <f>[1]资金台帐!X1169&amp;""</f>
      </c>
      <c r="AB1169">
        <f>[1]资金台帐!AB1169</f>
        <v>0</v>
      </c>
      <c r="AC1169">
        <f>[1]资金台帐!AC1169</f>
        <v>0</v>
      </c>
      <c r="AD1169">
        <f>[1]资金台帐!AD1169</f>
        <v>0</v>
      </c>
      <c r="AJ1169">
        <f>[1]资金台帐!AJ1169</f>
        <v>0</v>
      </c>
      <c r="AK1169">
        <f>[1]资金台帐!AK1169</f>
        <v>0</v>
      </c>
      <c r="BA1169" s="22">
        <f t="shared" si="0"/>
      </c>
      <c r="BG1169" s="22">
        <f t="shared" si="1"/>
      </c>
      <c r="BH1169" s="22">
        <f t="shared" si="2"/>
        <v>0</v>
      </c>
    </row>
    <row r="1170">
      <c r="B1170">
        <f>[1]资金台帐!B1170&amp;""</f>
      </c>
      <c r="H1170">
        <f>[1]资金台帐!H1170&amp;""</f>
      </c>
      <c r="J1170">
        <f>[1]资金台帐!J1170&amp;""</f>
      </c>
      <c r="N1170">
        <f>[1]资金台帐!N1170</f>
      </c>
      <c r="O1170">
        <f>[1]资金台帐!O1170&amp;""</f>
      </c>
      <c r="P1170">
        <f>[1]资金台帐!P1170&amp;""</f>
      </c>
      <c r="Q1170">
        <f>[1]资金台帐!Q1170&amp;""</f>
      </c>
      <c r="T1170">
        <f>[1]资金台帐!T1170&amp;""</f>
      </c>
      <c r="U1170">
        <f>[1]资金台帐!U1170&amp;""</f>
      </c>
      <c r="W1170">
        <f>[1]资金台帐!W1170&amp;""</f>
      </c>
      <c r="X1170">
        <f>[1]资金台帐!X1170&amp;""</f>
      </c>
      <c r="AB1170">
        <f>[1]资金台帐!AB1170</f>
        <v>0</v>
      </c>
      <c r="AC1170">
        <f>[1]资金台帐!AC1170</f>
        <v>0</v>
      </c>
      <c r="AD1170">
        <f>[1]资金台帐!AD1170</f>
        <v>0</v>
      </c>
      <c r="AJ1170">
        <f>[1]资金台帐!AJ1170</f>
        <v>0</v>
      </c>
      <c r="AK1170">
        <f>[1]资金台帐!AK1170</f>
        <v>0</v>
      </c>
      <c r="BA1170" s="22">
        <f t="shared" si="0"/>
      </c>
      <c r="BG1170" s="22">
        <f t="shared" si="1"/>
      </c>
      <c r="BH1170" s="22">
        <f t="shared" si="2"/>
        <v>0</v>
      </c>
    </row>
    <row r="1171">
      <c r="B1171">
        <f>[1]资金台帐!B1171&amp;""</f>
      </c>
      <c r="H1171">
        <f>[1]资金台帐!H1171&amp;""</f>
      </c>
      <c r="J1171">
        <f>[1]资金台帐!J1171&amp;""</f>
      </c>
      <c r="N1171">
        <f>[1]资金台帐!N1171</f>
      </c>
      <c r="O1171">
        <f>[1]资金台帐!O1171&amp;""</f>
      </c>
      <c r="P1171">
        <f>[1]资金台帐!P1171&amp;""</f>
      </c>
      <c r="Q1171">
        <f>[1]资金台帐!Q1171&amp;""</f>
      </c>
      <c r="T1171">
        <f>[1]资金台帐!T1171&amp;""</f>
      </c>
      <c r="U1171">
        <f>[1]资金台帐!U1171&amp;""</f>
      </c>
      <c r="W1171">
        <f>[1]资金台帐!W1171&amp;""</f>
      </c>
      <c r="X1171">
        <f>[1]资金台帐!X1171&amp;""</f>
      </c>
      <c r="AB1171">
        <f>[1]资金台帐!AB1171</f>
        <v>0</v>
      </c>
      <c r="AC1171">
        <f>[1]资金台帐!AC1171</f>
        <v>0</v>
      </c>
      <c r="AD1171">
        <f>[1]资金台帐!AD1171</f>
        <v>0</v>
      </c>
      <c r="AJ1171">
        <f>[1]资金台帐!AJ1171</f>
        <v>0</v>
      </c>
      <c r="AK1171">
        <f>[1]资金台帐!AK1171</f>
        <v>0</v>
      </c>
      <c r="BA1171" s="22">
        <f t="shared" si="0"/>
      </c>
      <c r="BG1171" s="22">
        <f t="shared" si="1"/>
      </c>
      <c r="BH1171" s="22">
        <f t="shared" si="2"/>
        <v>0</v>
      </c>
    </row>
    <row r="1172">
      <c r="B1172">
        <f>[1]资金台帐!B1172&amp;""</f>
      </c>
      <c r="H1172">
        <f>[1]资金台帐!H1172&amp;""</f>
      </c>
      <c r="J1172">
        <f>[1]资金台帐!J1172&amp;""</f>
      </c>
      <c r="N1172">
        <f>[1]资金台帐!N1172</f>
      </c>
      <c r="O1172">
        <f>[1]资金台帐!O1172&amp;""</f>
      </c>
      <c r="P1172">
        <f>[1]资金台帐!P1172&amp;""</f>
      </c>
      <c r="Q1172">
        <f>[1]资金台帐!Q1172&amp;""</f>
      </c>
      <c r="T1172">
        <f>[1]资金台帐!T1172&amp;""</f>
      </c>
      <c r="U1172">
        <f>[1]资金台帐!U1172&amp;""</f>
      </c>
      <c r="W1172">
        <f>[1]资金台帐!W1172&amp;""</f>
      </c>
      <c r="X1172">
        <f>[1]资金台帐!X1172&amp;""</f>
      </c>
      <c r="AB1172">
        <f>[1]资金台帐!AB1172</f>
        <v>0</v>
      </c>
      <c r="AC1172">
        <f>[1]资金台帐!AC1172</f>
        <v>0</v>
      </c>
      <c r="AD1172">
        <f>[1]资金台帐!AD1172</f>
        <v>0</v>
      </c>
      <c r="AJ1172">
        <f>[1]资金台帐!AJ1172</f>
        <v>0</v>
      </c>
      <c r="AK1172">
        <f>[1]资金台帐!AK1172</f>
        <v>0</v>
      </c>
      <c r="BA1172" s="22">
        <f t="shared" si="0"/>
      </c>
      <c r="BG1172" s="22">
        <f t="shared" si="1"/>
      </c>
      <c r="BH1172" s="22">
        <f t="shared" si="2"/>
        <v>0</v>
      </c>
    </row>
    <row r="1173">
      <c r="B1173">
        <f>[1]资金台帐!B1173&amp;""</f>
      </c>
      <c r="H1173">
        <f>[1]资金台帐!H1173&amp;""</f>
      </c>
      <c r="J1173">
        <f>[1]资金台帐!J1173&amp;""</f>
      </c>
      <c r="N1173">
        <f>[1]资金台帐!N1173</f>
      </c>
      <c r="O1173">
        <f>[1]资金台帐!O1173&amp;""</f>
      </c>
      <c r="P1173">
        <f>[1]资金台帐!P1173&amp;""</f>
      </c>
      <c r="Q1173">
        <f>[1]资金台帐!Q1173&amp;""</f>
      </c>
      <c r="T1173">
        <f>[1]资金台帐!T1173&amp;""</f>
      </c>
      <c r="U1173">
        <f>[1]资金台帐!U1173&amp;""</f>
      </c>
      <c r="W1173">
        <f>[1]资金台帐!W1173&amp;""</f>
      </c>
      <c r="X1173">
        <f>[1]资金台帐!X1173&amp;""</f>
      </c>
      <c r="AB1173">
        <f>[1]资金台帐!AB1173</f>
        <v>0</v>
      </c>
      <c r="AC1173">
        <f>[1]资金台帐!AC1173</f>
        <v>0</v>
      </c>
      <c r="AD1173">
        <f>[1]资金台帐!AD1173</f>
        <v>0</v>
      </c>
      <c r="AJ1173">
        <f>[1]资金台帐!AJ1173</f>
        <v>0</v>
      </c>
      <c r="AK1173">
        <f>[1]资金台帐!AK1173</f>
        <v>0</v>
      </c>
      <c r="BA1173" s="22">
        <f t="shared" si="0"/>
      </c>
      <c r="BG1173" s="22">
        <f t="shared" si="1"/>
      </c>
      <c r="BH1173" s="22">
        <f t="shared" si="2"/>
        <v>0</v>
      </c>
    </row>
    <row r="1174">
      <c r="B1174">
        <f>[1]资金台帐!B1174&amp;""</f>
      </c>
      <c r="H1174">
        <f>[1]资金台帐!H1174&amp;""</f>
      </c>
      <c r="J1174">
        <f>[1]资金台帐!J1174&amp;""</f>
      </c>
      <c r="N1174">
        <f>[1]资金台帐!N1174</f>
      </c>
      <c r="O1174">
        <f>[1]资金台帐!O1174&amp;""</f>
      </c>
      <c r="P1174">
        <f>[1]资金台帐!P1174&amp;""</f>
      </c>
      <c r="Q1174">
        <f>[1]资金台帐!Q1174&amp;""</f>
      </c>
      <c r="T1174">
        <f>[1]资金台帐!T1174&amp;""</f>
      </c>
      <c r="U1174">
        <f>[1]资金台帐!U1174&amp;""</f>
      </c>
      <c r="W1174">
        <f>[1]资金台帐!W1174&amp;""</f>
      </c>
      <c r="X1174">
        <f>[1]资金台帐!X1174&amp;""</f>
      </c>
      <c r="AB1174">
        <f>[1]资金台帐!AB1174</f>
        <v>0</v>
      </c>
      <c r="AC1174">
        <f>[1]资金台帐!AC1174</f>
        <v>0</v>
      </c>
      <c r="AD1174">
        <f>[1]资金台帐!AD1174</f>
        <v>0</v>
      </c>
      <c r="AJ1174">
        <f>[1]资金台帐!AJ1174</f>
        <v>0</v>
      </c>
      <c r="AK1174">
        <f>[1]资金台帐!AK1174</f>
        <v>0</v>
      </c>
      <c r="BA1174" s="22">
        <f t="shared" si="0"/>
      </c>
      <c r="BG1174" s="22">
        <f t="shared" si="1"/>
      </c>
      <c r="BH1174" s="22">
        <f t="shared" si="2"/>
        <v>0</v>
      </c>
    </row>
    <row r="1175">
      <c r="B1175">
        <f>[1]资金台帐!B1175&amp;""</f>
      </c>
      <c r="H1175">
        <f>[1]资金台帐!H1175&amp;""</f>
      </c>
      <c r="J1175">
        <f>[1]资金台帐!J1175&amp;""</f>
      </c>
      <c r="N1175">
        <f>[1]资金台帐!N1175</f>
      </c>
      <c r="O1175">
        <f>[1]资金台帐!O1175&amp;""</f>
      </c>
      <c r="P1175">
        <f>[1]资金台帐!P1175&amp;""</f>
      </c>
      <c r="Q1175">
        <f>[1]资金台帐!Q1175&amp;""</f>
      </c>
      <c r="T1175">
        <f>[1]资金台帐!T1175&amp;""</f>
      </c>
      <c r="U1175">
        <f>[1]资金台帐!U1175&amp;""</f>
      </c>
      <c r="W1175">
        <f>[1]资金台帐!W1175&amp;""</f>
      </c>
      <c r="X1175">
        <f>[1]资金台帐!X1175&amp;""</f>
      </c>
      <c r="AB1175">
        <f>[1]资金台帐!AB1175</f>
        <v>0</v>
      </c>
      <c r="AC1175">
        <f>[1]资金台帐!AC1175</f>
        <v>0</v>
      </c>
      <c r="AD1175">
        <f>[1]资金台帐!AD1175</f>
        <v>0</v>
      </c>
      <c r="AJ1175">
        <f>[1]资金台帐!AJ1175</f>
        <v>0</v>
      </c>
      <c r="AK1175">
        <f>[1]资金台帐!AK1175</f>
        <v>0</v>
      </c>
      <c r="BA1175" s="22">
        <f t="shared" si="0"/>
      </c>
      <c r="BG1175" s="22">
        <f t="shared" si="1"/>
      </c>
      <c r="BH1175" s="22">
        <f t="shared" si="2"/>
        <v>0</v>
      </c>
    </row>
    <row r="1176">
      <c r="B1176">
        <f>[1]资金台帐!B1176&amp;""</f>
      </c>
      <c r="H1176">
        <f>[1]资金台帐!H1176&amp;""</f>
      </c>
      <c r="J1176">
        <f>[1]资金台帐!J1176&amp;""</f>
      </c>
      <c r="N1176">
        <f>[1]资金台帐!N1176</f>
      </c>
      <c r="O1176">
        <f>[1]资金台帐!O1176&amp;""</f>
      </c>
      <c r="P1176">
        <f>[1]资金台帐!P1176&amp;""</f>
      </c>
      <c r="Q1176">
        <f>[1]资金台帐!Q1176&amp;""</f>
      </c>
      <c r="T1176">
        <f>[1]资金台帐!T1176&amp;""</f>
      </c>
      <c r="U1176">
        <f>[1]资金台帐!U1176&amp;""</f>
      </c>
      <c r="W1176">
        <f>[1]资金台帐!W1176&amp;""</f>
      </c>
      <c r="X1176">
        <f>[1]资金台帐!X1176&amp;""</f>
      </c>
      <c r="AB1176">
        <f>[1]资金台帐!AB1176</f>
        <v>0</v>
      </c>
      <c r="AC1176">
        <f>[1]资金台帐!AC1176</f>
        <v>0</v>
      </c>
      <c r="AD1176">
        <f>[1]资金台帐!AD1176</f>
        <v>0</v>
      </c>
      <c r="AJ1176">
        <f>[1]资金台帐!AJ1176</f>
        <v>0</v>
      </c>
      <c r="AK1176">
        <f>[1]资金台帐!AK1176</f>
        <v>0</v>
      </c>
      <c r="BA1176" s="22">
        <f t="shared" si="0"/>
      </c>
      <c r="BG1176" s="22">
        <f t="shared" si="1"/>
      </c>
      <c r="BH1176" s="22">
        <f t="shared" si="2"/>
        <v>0</v>
      </c>
    </row>
    <row r="1177">
      <c r="B1177">
        <f>[1]资金台帐!B1177&amp;""</f>
      </c>
      <c r="H1177">
        <f>[1]资金台帐!H1177&amp;""</f>
      </c>
      <c r="J1177">
        <f>[1]资金台帐!J1177&amp;""</f>
      </c>
      <c r="N1177">
        <f>[1]资金台帐!N1177</f>
      </c>
      <c r="O1177">
        <f>[1]资金台帐!O1177&amp;""</f>
      </c>
      <c r="P1177">
        <f>[1]资金台帐!P1177&amp;""</f>
      </c>
      <c r="Q1177">
        <f>[1]资金台帐!Q1177&amp;""</f>
      </c>
      <c r="T1177">
        <f>[1]资金台帐!T1177&amp;""</f>
      </c>
      <c r="U1177">
        <f>[1]资金台帐!U1177&amp;""</f>
      </c>
      <c r="W1177">
        <f>[1]资金台帐!W1177&amp;""</f>
      </c>
      <c r="X1177">
        <f>[1]资金台帐!X1177&amp;""</f>
      </c>
      <c r="AB1177">
        <f>[1]资金台帐!AB1177</f>
        <v>0</v>
      </c>
      <c r="AC1177">
        <f>[1]资金台帐!AC1177</f>
        <v>0</v>
      </c>
      <c r="AD1177">
        <f>[1]资金台帐!AD1177</f>
        <v>0</v>
      </c>
      <c r="AJ1177">
        <f>[1]资金台帐!AJ1177</f>
        <v>0</v>
      </c>
      <c r="AK1177">
        <f>[1]资金台帐!AK1177</f>
        <v>0</v>
      </c>
      <c r="BA1177" s="22">
        <f t="shared" si="0"/>
      </c>
      <c r="BG1177" s="22">
        <f t="shared" si="1"/>
      </c>
      <c r="BH1177" s="22">
        <f t="shared" si="2"/>
        <v>0</v>
      </c>
    </row>
    <row r="1178">
      <c r="B1178">
        <f>[1]资金台帐!B1178&amp;""</f>
      </c>
      <c r="H1178">
        <f>[1]资金台帐!H1178&amp;""</f>
      </c>
      <c r="J1178">
        <f>[1]资金台帐!J1178&amp;""</f>
      </c>
      <c r="N1178">
        <f>[1]资金台帐!N1178</f>
      </c>
      <c r="O1178">
        <f>[1]资金台帐!O1178&amp;""</f>
      </c>
      <c r="P1178">
        <f>[1]资金台帐!P1178&amp;""</f>
      </c>
      <c r="Q1178">
        <f>[1]资金台帐!Q1178&amp;""</f>
      </c>
      <c r="T1178">
        <f>[1]资金台帐!T1178&amp;""</f>
      </c>
      <c r="U1178">
        <f>[1]资金台帐!U1178&amp;""</f>
      </c>
      <c r="W1178">
        <f>[1]资金台帐!W1178&amp;""</f>
      </c>
      <c r="X1178">
        <f>[1]资金台帐!X1178&amp;""</f>
      </c>
      <c r="AB1178">
        <f>[1]资金台帐!AB1178</f>
        <v>0</v>
      </c>
      <c r="AC1178">
        <f>[1]资金台帐!AC1178</f>
        <v>0</v>
      </c>
      <c r="AD1178">
        <f>[1]资金台帐!AD1178</f>
        <v>0</v>
      </c>
      <c r="AJ1178">
        <f>[1]资金台帐!AJ1178</f>
        <v>0</v>
      </c>
      <c r="AK1178">
        <f>[1]资金台帐!AK1178</f>
        <v>0</v>
      </c>
      <c r="BA1178" s="22">
        <f t="shared" si="0"/>
      </c>
      <c r="BG1178" s="22">
        <f t="shared" si="1"/>
      </c>
      <c r="BH1178" s="22">
        <f t="shared" si="2"/>
        <v>0</v>
      </c>
    </row>
    <row r="1179">
      <c r="B1179">
        <f>[1]资金台帐!B1179&amp;""</f>
      </c>
      <c r="H1179">
        <f>[1]资金台帐!H1179&amp;""</f>
      </c>
      <c r="J1179">
        <f>[1]资金台帐!J1179&amp;""</f>
      </c>
      <c r="N1179">
        <f>[1]资金台帐!N1179</f>
      </c>
      <c r="O1179">
        <f>[1]资金台帐!O1179&amp;""</f>
      </c>
      <c r="P1179">
        <f>[1]资金台帐!P1179&amp;""</f>
      </c>
      <c r="Q1179">
        <f>[1]资金台帐!Q1179&amp;""</f>
      </c>
      <c r="T1179">
        <f>[1]资金台帐!T1179&amp;""</f>
      </c>
      <c r="U1179">
        <f>[1]资金台帐!U1179&amp;""</f>
      </c>
      <c r="W1179">
        <f>[1]资金台帐!W1179&amp;""</f>
      </c>
      <c r="X1179">
        <f>[1]资金台帐!X1179&amp;""</f>
      </c>
      <c r="AB1179">
        <f>[1]资金台帐!AB1179</f>
        <v>0</v>
      </c>
      <c r="AC1179">
        <f>[1]资金台帐!AC1179</f>
        <v>0</v>
      </c>
      <c r="AD1179">
        <f>[1]资金台帐!AD1179</f>
        <v>0</v>
      </c>
      <c r="AJ1179">
        <f>[1]资金台帐!AJ1179</f>
        <v>0</v>
      </c>
      <c r="AK1179">
        <f>[1]资金台帐!AK1179</f>
        <v>0</v>
      </c>
      <c r="BA1179" s="22">
        <f t="shared" si="0"/>
      </c>
      <c r="BG1179" s="22">
        <f t="shared" si="1"/>
      </c>
      <c r="BH1179" s="22">
        <f t="shared" si="2"/>
        <v>0</v>
      </c>
    </row>
    <row r="1180">
      <c r="B1180">
        <f>[1]资金台帐!B1180&amp;""</f>
      </c>
      <c r="H1180">
        <f>[1]资金台帐!H1180&amp;""</f>
      </c>
      <c r="J1180">
        <f>[1]资金台帐!J1180&amp;""</f>
      </c>
      <c r="N1180">
        <f>[1]资金台帐!N1180</f>
      </c>
      <c r="O1180">
        <f>[1]资金台帐!O1180&amp;""</f>
      </c>
      <c r="P1180">
        <f>[1]资金台帐!P1180&amp;""</f>
      </c>
      <c r="Q1180">
        <f>[1]资金台帐!Q1180&amp;""</f>
      </c>
      <c r="T1180">
        <f>[1]资金台帐!T1180&amp;""</f>
      </c>
      <c r="U1180">
        <f>[1]资金台帐!U1180&amp;""</f>
      </c>
      <c r="W1180">
        <f>[1]资金台帐!W1180&amp;""</f>
      </c>
      <c r="X1180">
        <f>[1]资金台帐!X1180&amp;""</f>
      </c>
      <c r="AB1180">
        <f>[1]资金台帐!AB1180</f>
        <v>0</v>
      </c>
      <c r="AC1180">
        <f>[1]资金台帐!AC1180</f>
        <v>0</v>
      </c>
      <c r="AD1180">
        <f>[1]资金台帐!AD1180</f>
        <v>0</v>
      </c>
      <c r="AJ1180">
        <f>[1]资金台帐!AJ1180</f>
        <v>0</v>
      </c>
      <c r="AK1180">
        <f>[1]资金台帐!AK1180</f>
        <v>0</v>
      </c>
      <c r="BA1180" s="22">
        <f t="shared" si="0"/>
      </c>
      <c r="BG1180" s="22">
        <f t="shared" si="1"/>
      </c>
      <c r="BH1180" s="22">
        <f t="shared" si="2"/>
        <v>0</v>
      </c>
    </row>
    <row r="1181">
      <c r="B1181">
        <f>[1]资金台帐!B1181&amp;""</f>
      </c>
      <c r="H1181">
        <f>[1]资金台帐!H1181&amp;""</f>
      </c>
      <c r="J1181">
        <f>[1]资金台帐!J1181&amp;""</f>
      </c>
      <c r="N1181">
        <f>[1]资金台帐!N1181</f>
      </c>
      <c r="O1181">
        <f>[1]资金台帐!O1181&amp;""</f>
      </c>
      <c r="P1181">
        <f>[1]资金台帐!P1181&amp;""</f>
      </c>
      <c r="Q1181">
        <f>[1]资金台帐!Q1181&amp;""</f>
      </c>
      <c r="T1181">
        <f>[1]资金台帐!T1181&amp;""</f>
      </c>
      <c r="U1181">
        <f>[1]资金台帐!U1181&amp;""</f>
      </c>
      <c r="W1181">
        <f>[1]资金台帐!W1181&amp;""</f>
      </c>
      <c r="X1181">
        <f>[1]资金台帐!X1181&amp;""</f>
      </c>
      <c r="AB1181">
        <f>[1]资金台帐!AB1181</f>
        <v>0</v>
      </c>
      <c r="AC1181">
        <f>[1]资金台帐!AC1181</f>
        <v>0</v>
      </c>
      <c r="AD1181">
        <f>[1]资金台帐!AD1181</f>
        <v>0</v>
      </c>
      <c r="AJ1181">
        <f>[1]资金台帐!AJ1181</f>
        <v>0</v>
      </c>
      <c r="AK1181">
        <f>[1]资金台帐!AK1181</f>
        <v>0</v>
      </c>
      <c r="BA1181" s="22">
        <f t="shared" si="0"/>
      </c>
      <c r="BG1181" s="22">
        <f t="shared" si="1"/>
      </c>
      <c r="BH1181" s="22">
        <f t="shared" si="2"/>
        <v>0</v>
      </c>
    </row>
    <row r="1182">
      <c r="B1182">
        <f>[1]资金台帐!B1182&amp;""</f>
      </c>
      <c r="H1182">
        <f>[1]资金台帐!H1182&amp;""</f>
      </c>
      <c r="J1182">
        <f>[1]资金台帐!J1182&amp;""</f>
      </c>
      <c r="N1182">
        <f>[1]资金台帐!N1182</f>
      </c>
      <c r="O1182">
        <f>[1]资金台帐!O1182&amp;""</f>
      </c>
      <c r="P1182">
        <f>[1]资金台帐!P1182&amp;""</f>
      </c>
      <c r="Q1182">
        <f>[1]资金台帐!Q1182&amp;""</f>
      </c>
      <c r="T1182">
        <f>[1]资金台帐!T1182&amp;""</f>
      </c>
      <c r="U1182">
        <f>[1]资金台帐!U1182&amp;""</f>
      </c>
      <c r="W1182">
        <f>[1]资金台帐!W1182&amp;""</f>
      </c>
      <c r="X1182">
        <f>[1]资金台帐!X1182&amp;""</f>
      </c>
      <c r="AB1182">
        <f>[1]资金台帐!AB1182</f>
        <v>0</v>
      </c>
      <c r="AC1182">
        <f>[1]资金台帐!AC1182</f>
        <v>0</v>
      </c>
      <c r="AD1182">
        <f>[1]资金台帐!AD1182</f>
        <v>0</v>
      </c>
      <c r="AJ1182">
        <f>[1]资金台帐!AJ1182</f>
        <v>0</v>
      </c>
      <c r="AK1182">
        <f>[1]资金台帐!AK1182</f>
        <v>0</v>
      </c>
      <c r="BA1182" s="22">
        <f t="shared" si="0"/>
      </c>
      <c r="BG1182" s="22">
        <f t="shared" si="1"/>
      </c>
      <c r="BH1182" s="22">
        <f t="shared" si="2"/>
        <v>0</v>
      </c>
    </row>
    <row r="1183">
      <c r="B1183">
        <f>[1]资金台帐!B1183&amp;""</f>
      </c>
      <c r="H1183">
        <f>[1]资金台帐!H1183&amp;""</f>
      </c>
      <c r="J1183">
        <f>[1]资金台帐!J1183&amp;""</f>
      </c>
      <c r="N1183">
        <f>[1]资金台帐!N1183</f>
      </c>
      <c r="O1183">
        <f>[1]资金台帐!O1183&amp;""</f>
      </c>
      <c r="P1183">
        <f>[1]资金台帐!P1183&amp;""</f>
      </c>
      <c r="Q1183">
        <f>[1]资金台帐!Q1183&amp;""</f>
      </c>
      <c r="T1183">
        <f>[1]资金台帐!T1183&amp;""</f>
      </c>
      <c r="U1183">
        <f>[1]资金台帐!U1183&amp;""</f>
      </c>
      <c r="W1183">
        <f>[1]资金台帐!W1183&amp;""</f>
      </c>
      <c r="X1183">
        <f>[1]资金台帐!X1183&amp;""</f>
      </c>
      <c r="AB1183">
        <f>[1]资金台帐!AB1183</f>
        <v>0</v>
      </c>
      <c r="AC1183">
        <f>[1]资金台帐!AC1183</f>
        <v>0</v>
      </c>
      <c r="AD1183">
        <f>[1]资金台帐!AD1183</f>
        <v>0</v>
      </c>
      <c r="AJ1183">
        <f>[1]资金台帐!AJ1183</f>
        <v>0</v>
      </c>
      <c r="AK1183">
        <f>[1]资金台帐!AK1183</f>
        <v>0</v>
      </c>
      <c r="BA1183" s="22">
        <f t="shared" si="0"/>
      </c>
      <c r="BG1183" s="22">
        <f t="shared" si="1"/>
      </c>
      <c r="BH1183" s="22">
        <f t="shared" si="2"/>
        <v>0</v>
      </c>
    </row>
    <row r="1184">
      <c r="B1184">
        <f>[1]资金台帐!B1184&amp;""</f>
      </c>
      <c r="H1184">
        <f>[1]资金台帐!H1184&amp;""</f>
      </c>
      <c r="J1184">
        <f>[1]资金台帐!J1184&amp;""</f>
      </c>
      <c r="N1184">
        <f>[1]资金台帐!N1184</f>
      </c>
      <c r="O1184">
        <f>[1]资金台帐!O1184&amp;""</f>
      </c>
      <c r="P1184">
        <f>[1]资金台帐!P1184&amp;""</f>
      </c>
      <c r="Q1184">
        <f>[1]资金台帐!Q1184&amp;""</f>
      </c>
      <c r="T1184">
        <f>[1]资金台帐!T1184&amp;""</f>
      </c>
      <c r="U1184">
        <f>[1]资金台帐!U1184&amp;""</f>
      </c>
      <c r="W1184">
        <f>[1]资金台帐!W1184&amp;""</f>
      </c>
      <c r="X1184">
        <f>[1]资金台帐!X1184&amp;""</f>
      </c>
      <c r="AB1184">
        <f>[1]资金台帐!AB1184</f>
        <v>0</v>
      </c>
      <c r="AC1184">
        <f>[1]资金台帐!AC1184</f>
        <v>0</v>
      </c>
      <c r="AD1184">
        <f>[1]资金台帐!AD1184</f>
        <v>0</v>
      </c>
      <c r="AJ1184">
        <f>[1]资金台帐!AJ1184</f>
        <v>0</v>
      </c>
      <c r="AK1184">
        <f>[1]资金台帐!AK1184</f>
        <v>0</v>
      </c>
      <c r="BA1184" s="22">
        <f t="shared" si="0"/>
      </c>
      <c r="BG1184" s="22">
        <f t="shared" si="1"/>
      </c>
      <c r="BH1184" s="22">
        <f t="shared" si="2"/>
        <v>0</v>
      </c>
    </row>
    <row r="1185">
      <c r="B1185">
        <f>[1]资金台帐!B1185&amp;""</f>
      </c>
      <c r="H1185">
        <f>[1]资金台帐!H1185&amp;""</f>
      </c>
      <c r="J1185">
        <f>[1]资金台帐!J1185&amp;""</f>
      </c>
      <c r="N1185">
        <f>[1]资金台帐!N1185</f>
      </c>
      <c r="O1185">
        <f>[1]资金台帐!O1185&amp;""</f>
      </c>
      <c r="P1185">
        <f>[1]资金台帐!P1185&amp;""</f>
      </c>
      <c r="Q1185">
        <f>[1]资金台帐!Q1185&amp;""</f>
      </c>
      <c r="T1185">
        <f>[1]资金台帐!T1185&amp;""</f>
      </c>
      <c r="U1185">
        <f>[1]资金台帐!U1185&amp;""</f>
      </c>
      <c r="W1185">
        <f>[1]资金台帐!W1185&amp;""</f>
      </c>
      <c r="X1185">
        <f>[1]资金台帐!X1185&amp;""</f>
      </c>
      <c r="AB1185">
        <f>[1]资金台帐!AB1185</f>
        <v>0</v>
      </c>
      <c r="AC1185">
        <f>[1]资金台帐!AC1185</f>
        <v>0</v>
      </c>
      <c r="AD1185">
        <f>[1]资金台帐!AD1185</f>
        <v>0</v>
      </c>
      <c r="AJ1185">
        <f>[1]资金台帐!AJ1185</f>
        <v>0</v>
      </c>
      <c r="AK1185">
        <f>[1]资金台帐!AK1185</f>
        <v>0</v>
      </c>
      <c r="BA1185" s="22">
        <f t="shared" si="0"/>
      </c>
      <c r="BG1185" s="22">
        <f t="shared" si="1"/>
      </c>
      <c r="BH1185" s="22">
        <f t="shared" si="2"/>
        <v>0</v>
      </c>
    </row>
    <row r="1186">
      <c r="B1186">
        <f>[1]资金台帐!B1186&amp;""</f>
      </c>
      <c r="H1186">
        <f>[1]资金台帐!H1186&amp;""</f>
      </c>
      <c r="J1186">
        <f>[1]资金台帐!J1186&amp;""</f>
      </c>
      <c r="N1186">
        <f>[1]资金台帐!N1186</f>
      </c>
      <c r="O1186">
        <f>[1]资金台帐!O1186&amp;""</f>
      </c>
      <c r="P1186">
        <f>[1]资金台帐!P1186&amp;""</f>
      </c>
      <c r="Q1186">
        <f>[1]资金台帐!Q1186&amp;""</f>
      </c>
      <c r="T1186">
        <f>[1]资金台帐!T1186&amp;""</f>
      </c>
      <c r="U1186">
        <f>[1]资金台帐!U1186&amp;""</f>
      </c>
      <c r="W1186">
        <f>[1]资金台帐!W1186&amp;""</f>
      </c>
      <c r="X1186">
        <f>[1]资金台帐!X1186&amp;""</f>
      </c>
      <c r="AB1186">
        <f>[1]资金台帐!AB1186</f>
        <v>0</v>
      </c>
      <c r="AC1186">
        <f>[1]资金台帐!AC1186</f>
        <v>0</v>
      </c>
      <c r="AD1186">
        <f>[1]资金台帐!AD1186</f>
        <v>0</v>
      </c>
      <c r="AJ1186">
        <f>[1]资金台帐!AJ1186</f>
        <v>0</v>
      </c>
      <c r="AK1186">
        <f>[1]资金台帐!AK1186</f>
        <v>0</v>
      </c>
      <c r="BA1186" s="22">
        <f t="shared" si="0"/>
      </c>
      <c r="BG1186" s="22">
        <f t="shared" si="1"/>
      </c>
      <c r="BH1186" s="22">
        <f t="shared" si="2"/>
        <v>0</v>
      </c>
    </row>
    <row r="1187">
      <c r="B1187">
        <f>[1]资金台帐!B1187&amp;""</f>
      </c>
      <c r="H1187">
        <f>[1]资金台帐!H1187&amp;""</f>
      </c>
      <c r="J1187">
        <f>[1]资金台帐!J1187&amp;""</f>
      </c>
      <c r="N1187">
        <f>[1]资金台帐!N1187</f>
      </c>
      <c r="O1187">
        <f>[1]资金台帐!O1187&amp;""</f>
      </c>
      <c r="P1187">
        <f>[1]资金台帐!P1187&amp;""</f>
      </c>
      <c r="Q1187">
        <f>[1]资金台帐!Q1187&amp;""</f>
      </c>
      <c r="T1187">
        <f>[1]资金台帐!T1187&amp;""</f>
      </c>
      <c r="U1187">
        <f>[1]资金台帐!U1187&amp;""</f>
      </c>
      <c r="W1187">
        <f>[1]资金台帐!W1187&amp;""</f>
      </c>
      <c r="X1187">
        <f>[1]资金台帐!X1187&amp;""</f>
      </c>
      <c r="AB1187">
        <f>[1]资金台帐!AB1187</f>
        <v>0</v>
      </c>
      <c r="AC1187">
        <f>[1]资金台帐!AC1187</f>
        <v>0</v>
      </c>
      <c r="AD1187">
        <f>[1]资金台帐!AD1187</f>
        <v>0</v>
      </c>
      <c r="AJ1187">
        <f>[1]资金台帐!AJ1187</f>
        <v>0</v>
      </c>
      <c r="AK1187">
        <f>[1]资金台帐!AK1187</f>
        <v>0</v>
      </c>
      <c r="BA1187" s="22">
        <f t="shared" si="0"/>
      </c>
      <c r="BG1187" s="22">
        <f t="shared" si="1"/>
      </c>
      <c r="BH1187" s="22">
        <f t="shared" si="2"/>
        <v>0</v>
      </c>
    </row>
    <row r="1188">
      <c r="B1188">
        <f>[1]资金台帐!B1188&amp;""</f>
      </c>
      <c r="H1188">
        <f>[1]资金台帐!H1188&amp;""</f>
      </c>
      <c r="J1188">
        <f>[1]资金台帐!J1188&amp;""</f>
      </c>
      <c r="N1188">
        <f>[1]资金台帐!N1188</f>
      </c>
      <c r="O1188">
        <f>[1]资金台帐!O1188&amp;""</f>
      </c>
      <c r="P1188">
        <f>[1]资金台帐!P1188&amp;""</f>
      </c>
      <c r="Q1188">
        <f>[1]资金台帐!Q1188&amp;""</f>
      </c>
      <c r="T1188">
        <f>[1]资金台帐!T1188&amp;""</f>
      </c>
      <c r="U1188">
        <f>[1]资金台帐!U1188&amp;""</f>
      </c>
      <c r="W1188">
        <f>[1]资金台帐!W1188&amp;""</f>
      </c>
      <c r="X1188">
        <f>[1]资金台帐!X1188&amp;""</f>
      </c>
      <c r="AB1188">
        <f>[1]资金台帐!AB1188</f>
        <v>0</v>
      </c>
      <c r="AC1188">
        <f>[1]资金台帐!AC1188</f>
        <v>0</v>
      </c>
      <c r="AD1188">
        <f>[1]资金台帐!AD1188</f>
        <v>0</v>
      </c>
      <c r="AJ1188">
        <f>[1]资金台帐!AJ1188</f>
        <v>0</v>
      </c>
      <c r="AK1188">
        <f>[1]资金台帐!AK1188</f>
        <v>0</v>
      </c>
      <c r="BA1188" s="22">
        <f t="shared" si="0"/>
      </c>
      <c r="BG1188" s="22">
        <f t="shared" si="1"/>
      </c>
      <c r="BH1188" s="22">
        <f t="shared" si="2"/>
        <v>0</v>
      </c>
    </row>
    <row r="1189">
      <c r="B1189">
        <f>[1]资金台帐!B1189&amp;""</f>
      </c>
      <c r="H1189">
        <f>[1]资金台帐!H1189&amp;""</f>
      </c>
      <c r="J1189">
        <f>[1]资金台帐!J1189&amp;""</f>
      </c>
      <c r="N1189">
        <f>[1]资金台帐!N1189</f>
      </c>
      <c r="O1189">
        <f>[1]资金台帐!O1189&amp;""</f>
      </c>
      <c r="P1189">
        <f>[1]资金台帐!P1189&amp;""</f>
      </c>
      <c r="Q1189">
        <f>[1]资金台帐!Q1189&amp;""</f>
      </c>
      <c r="T1189">
        <f>[1]资金台帐!T1189&amp;""</f>
      </c>
      <c r="U1189">
        <f>[1]资金台帐!U1189&amp;""</f>
      </c>
      <c r="W1189">
        <f>[1]资金台帐!W1189&amp;""</f>
      </c>
      <c r="X1189">
        <f>[1]资金台帐!X1189&amp;""</f>
      </c>
      <c r="AB1189">
        <f>[1]资金台帐!AB1189</f>
        <v>0</v>
      </c>
      <c r="AC1189">
        <f>[1]资金台帐!AC1189</f>
        <v>0</v>
      </c>
      <c r="AD1189">
        <f>[1]资金台帐!AD1189</f>
        <v>0</v>
      </c>
      <c r="AJ1189">
        <f>[1]资金台帐!AJ1189</f>
        <v>0</v>
      </c>
      <c r="AK1189">
        <f>[1]资金台帐!AK1189</f>
        <v>0</v>
      </c>
      <c r="BA1189" s="22">
        <f t="shared" si="0"/>
      </c>
      <c r="BG1189" s="22">
        <f t="shared" si="1"/>
      </c>
      <c r="BH1189" s="22">
        <f t="shared" si="2"/>
        <v>0</v>
      </c>
    </row>
    <row r="1190">
      <c r="B1190">
        <f>[1]资金台帐!B1190&amp;""</f>
      </c>
      <c r="H1190">
        <f>[1]资金台帐!H1190&amp;""</f>
      </c>
      <c r="J1190">
        <f>[1]资金台帐!J1190&amp;""</f>
      </c>
      <c r="N1190">
        <f>[1]资金台帐!N1190</f>
      </c>
      <c r="O1190">
        <f>[1]资金台帐!O1190&amp;""</f>
      </c>
      <c r="P1190">
        <f>[1]资金台帐!P1190&amp;""</f>
      </c>
      <c r="Q1190">
        <f>[1]资金台帐!Q1190&amp;""</f>
      </c>
      <c r="T1190">
        <f>[1]资金台帐!T1190&amp;""</f>
      </c>
      <c r="U1190">
        <f>[1]资金台帐!U1190&amp;""</f>
      </c>
      <c r="W1190">
        <f>[1]资金台帐!W1190&amp;""</f>
      </c>
      <c r="X1190">
        <f>[1]资金台帐!X1190&amp;""</f>
      </c>
      <c r="AB1190">
        <f>[1]资金台帐!AB1190</f>
        <v>0</v>
      </c>
      <c r="AC1190">
        <f>[1]资金台帐!AC1190</f>
        <v>0</v>
      </c>
      <c r="AD1190">
        <f>[1]资金台帐!AD1190</f>
        <v>0</v>
      </c>
      <c r="AJ1190">
        <f>[1]资金台帐!AJ1190</f>
        <v>0</v>
      </c>
      <c r="AK1190">
        <f>[1]资金台帐!AK1190</f>
        <v>0</v>
      </c>
      <c r="BA1190" s="22">
        <f t="shared" si="0"/>
      </c>
      <c r="BG1190" s="22">
        <f t="shared" si="1"/>
      </c>
      <c r="BH1190" s="22">
        <f t="shared" si="2"/>
        <v>0</v>
      </c>
    </row>
    <row r="1191">
      <c r="B1191">
        <f>[1]资金台帐!B1191&amp;""</f>
      </c>
      <c r="H1191">
        <f>[1]资金台帐!H1191&amp;""</f>
      </c>
      <c r="J1191">
        <f>[1]资金台帐!J1191&amp;""</f>
      </c>
      <c r="N1191">
        <f>[1]资金台帐!N1191</f>
      </c>
      <c r="O1191">
        <f>[1]资金台帐!O1191&amp;""</f>
      </c>
      <c r="P1191">
        <f>[1]资金台帐!P1191&amp;""</f>
      </c>
      <c r="Q1191">
        <f>[1]资金台帐!Q1191&amp;""</f>
      </c>
      <c r="T1191">
        <f>[1]资金台帐!T1191&amp;""</f>
      </c>
      <c r="U1191">
        <f>[1]资金台帐!U1191&amp;""</f>
      </c>
      <c r="W1191">
        <f>[1]资金台帐!W1191&amp;""</f>
      </c>
      <c r="X1191">
        <f>[1]资金台帐!X1191&amp;""</f>
      </c>
      <c r="AB1191">
        <f>[1]资金台帐!AB1191</f>
        <v>0</v>
      </c>
      <c r="AC1191">
        <f>[1]资金台帐!AC1191</f>
        <v>0</v>
      </c>
      <c r="AD1191">
        <f>[1]资金台帐!AD1191</f>
        <v>0</v>
      </c>
      <c r="AJ1191">
        <f>[1]资金台帐!AJ1191</f>
        <v>0</v>
      </c>
      <c r="AK1191">
        <f>[1]资金台帐!AK1191</f>
        <v>0</v>
      </c>
      <c r="BA1191" s="22">
        <f t="shared" si="0"/>
      </c>
      <c r="BG1191" s="22">
        <f t="shared" si="1"/>
      </c>
      <c r="BH1191" s="22">
        <f t="shared" si="2"/>
        <v>0</v>
      </c>
    </row>
    <row r="1192">
      <c r="B1192">
        <f>[1]资金台帐!B1192&amp;""</f>
      </c>
      <c r="H1192">
        <f>[1]资金台帐!H1192&amp;""</f>
      </c>
      <c r="J1192">
        <f>[1]资金台帐!J1192&amp;""</f>
      </c>
      <c r="N1192">
        <f>[1]资金台帐!N1192</f>
      </c>
      <c r="O1192">
        <f>[1]资金台帐!O1192&amp;""</f>
      </c>
      <c r="P1192">
        <f>[1]资金台帐!P1192&amp;""</f>
      </c>
      <c r="Q1192">
        <f>[1]资金台帐!Q1192&amp;""</f>
      </c>
      <c r="T1192">
        <f>[1]资金台帐!T1192&amp;""</f>
      </c>
      <c r="U1192">
        <f>[1]资金台帐!U1192&amp;""</f>
      </c>
      <c r="W1192">
        <f>[1]资金台帐!W1192&amp;""</f>
      </c>
      <c r="X1192">
        <f>[1]资金台帐!X1192&amp;""</f>
      </c>
      <c r="AB1192">
        <f>[1]资金台帐!AB1192</f>
        <v>0</v>
      </c>
      <c r="AC1192">
        <f>[1]资金台帐!AC1192</f>
        <v>0</v>
      </c>
      <c r="AD1192">
        <f>[1]资金台帐!AD1192</f>
        <v>0</v>
      </c>
      <c r="AJ1192">
        <f>[1]资金台帐!AJ1192</f>
        <v>0</v>
      </c>
      <c r="AK1192">
        <f>[1]资金台帐!AK1192</f>
        <v>0</v>
      </c>
      <c r="BA1192" s="22">
        <f t="shared" si="0"/>
      </c>
      <c r="BG1192" s="22">
        <f t="shared" si="1"/>
      </c>
      <c r="BH1192" s="22">
        <f t="shared" si="2"/>
        <v>0</v>
      </c>
    </row>
    <row r="1193">
      <c r="B1193">
        <f>[1]资金台帐!B1193&amp;""</f>
      </c>
      <c r="H1193">
        <f>[1]资金台帐!H1193&amp;""</f>
      </c>
      <c r="J1193">
        <f>[1]资金台帐!J1193&amp;""</f>
      </c>
      <c r="N1193">
        <f>[1]资金台帐!N1193</f>
      </c>
      <c r="O1193">
        <f>[1]资金台帐!O1193&amp;""</f>
      </c>
      <c r="P1193">
        <f>[1]资金台帐!P1193&amp;""</f>
      </c>
      <c r="Q1193">
        <f>[1]资金台帐!Q1193&amp;""</f>
      </c>
      <c r="T1193">
        <f>[1]资金台帐!T1193&amp;""</f>
      </c>
      <c r="U1193">
        <f>[1]资金台帐!U1193&amp;""</f>
      </c>
      <c r="W1193">
        <f>[1]资金台帐!W1193&amp;""</f>
      </c>
      <c r="X1193">
        <f>[1]资金台帐!X1193&amp;""</f>
      </c>
      <c r="AB1193">
        <f>[1]资金台帐!AB1193</f>
        <v>0</v>
      </c>
      <c r="AC1193">
        <f>[1]资金台帐!AC1193</f>
        <v>0</v>
      </c>
      <c r="AD1193">
        <f>[1]资金台帐!AD1193</f>
        <v>0</v>
      </c>
      <c r="AJ1193">
        <f>[1]资金台帐!AJ1193</f>
        <v>0</v>
      </c>
      <c r="AK1193">
        <f>[1]资金台帐!AK1193</f>
        <v>0</v>
      </c>
      <c r="BA1193" s="22">
        <f t="shared" si="0"/>
      </c>
      <c r="BG1193" s="22">
        <f t="shared" si="1"/>
      </c>
      <c r="BH1193" s="22">
        <f t="shared" si="2"/>
        <v>0</v>
      </c>
    </row>
    <row r="1194">
      <c r="B1194">
        <f>[1]资金台帐!B1194&amp;""</f>
      </c>
      <c r="H1194">
        <f>[1]资金台帐!H1194&amp;""</f>
      </c>
      <c r="J1194">
        <f>[1]资金台帐!J1194&amp;""</f>
      </c>
      <c r="N1194">
        <f>[1]资金台帐!N1194</f>
      </c>
      <c r="O1194">
        <f>[1]资金台帐!O1194&amp;""</f>
      </c>
      <c r="P1194">
        <f>[1]资金台帐!P1194&amp;""</f>
      </c>
      <c r="Q1194">
        <f>[1]资金台帐!Q1194&amp;""</f>
      </c>
      <c r="T1194">
        <f>[1]资金台帐!T1194&amp;""</f>
      </c>
      <c r="U1194">
        <f>[1]资金台帐!U1194&amp;""</f>
      </c>
      <c r="W1194">
        <f>[1]资金台帐!W1194&amp;""</f>
      </c>
      <c r="X1194">
        <f>[1]资金台帐!X1194&amp;""</f>
      </c>
      <c r="AB1194">
        <f>[1]资金台帐!AB1194</f>
        <v>0</v>
      </c>
      <c r="AC1194">
        <f>[1]资金台帐!AC1194</f>
        <v>0</v>
      </c>
      <c r="AD1194">
        <f>[1]资金台帐!AD1194</f>
        <v>0</v>
      </c>
      <c r="AJ1194">
        <f>[1]资金台帐!AJ1194</f>
        <v>0</v>
      </c>
      <c r="AK1194">
        <f>[1]资金台帐!AK1194</f>
        <v>0</v>
      </c>
      <c r="BA1194" s="22">
        <f t="shared" si="0"/>
      </c>
      <c r="BG1194" s="22">
        <f t="shared" si="1"/>
      </c>
      <c r="BH1194" s="22">
        <f t="shared" si="2"/>
        <v>0</v>
      </c>
    </row>
    <row r="1195">
      <c r="B1195">
        <f>[1]资金台帐!B1195&amp;""</f>
      </c>
      <c r="H1195">
        <f>[1]资金台帐!H1195&amp;""</f>
      </c>
      <c r="J1195">
        <f>[1]资金台帐!J1195&amp;""</f>
      </c>
      <c r="N1195">
        <f>[1]资金台帐!N1195</f>
      </c>
      <c r="O1195">
        <f>[1]资金台帐!O1195&amp;""</f>
      </c>
      <c r="P1195">
        <f>[1]资金台帐!P1195&amp;""</f>
      </c>
      <c r="Q1195">
        <f>[1]资金台帐!Q1195&amp;""</f>
      </c>
      <c r="T1195">
        <f>[1]资金台帐!T1195&amp;""</f>
      </c>
      <c r="U1195">
        <f>[1]资金台帐!U1195&amp;""</f>
      </c>
      <c r="W1195">
        <f>[1]资金台帐!W1195&amp;""</f>
      </c>
      <c r="X1195">
        <f>[1]资金台帐!X1195&amp;""</f>
      </c>
      <c r="AB1195">
        <f>[1]资金台帐!AB1195</f>
        <v>0</v>
      </c>
      <c r="AC1195">
        <f>[1]资金台帐!AC1195</f>
        <v>0</v>
      </c>
      <c r="AD1195">
        <f>[1]资金台帐!AD1195</f>
        <v>0</v>
      </c>
      <c r="AJ1195">
        <f>[1]资金台帐!AJ1195</f>
        <v>0</v>
      </c>
      <c r="AK1195">
        <f>[1]资金台帐!AK1195</f>
        <v>0</v>
      </c>
      <c r="BA1195" s="22">
        <f t="shared" si="0"/>
      </c>
      <c r="BG1195" s="22">
        <f t="shared" si="1"/>
      </c>
      <c r="BH1195" s="22">
        <f t="shared" si="2"/>
        <v>0</v>
      </c>
    </row>
    <row r="1196">
      <c r="B1196">
        <f>[1]资金台帐!B1196&amp;""</f>
      </c>
      <c r="H1196">
        <f>[1]资金台帐!H1196&amp;""</f>
      </c>
      <c r="J1196">
        <f>[1]资金台帐!J1196&amp;""</f>
      </c>
      <c r="N1196">
        <f>[1]资金台帐!N1196</f>
      </c>
      <c r="O1196">
        <f>[1]资金台帐!O1196&amp;""</f>
      </c>
      <c r="P1196">
        <f>[1]资金台帐!P1196&amp;""</f>
      </c>
      <c r="Q1196">
        <f>[1]资金台帐!Q1196&amp;""</f>
      </c>
      <c r="T1196">
        <f>[1]资金台帐!T1196&amp;""</f>
      </c>
      <c r="U1196">
        <f>[1]资金台帐!U1196&amp;""</f>
      </c>
      <c r="W1196">
        <f>[1]资金台帐!W1196&amp;""</f>
      </c>
      <c r="X1196">
        <f>[1]资金台帐!X1196&amp;""</f>
      </c>
      <c r="AB1196">
        <f>[1]资金台帐!AB1196</f>
        <v>0</v>
      </c>
      <c r="AC1196">
        <f>[1]资金台帐!AC1196</f>
        <v>0</v>
      </c>
      <c r="AD1196">
        <f>[1]资金台帐!AD1196</f>
        <v>0</v>
      </c>
      <c r="AJ1196">
        <f>[1]资金台帐!AJ1196</f>
        <v>0</v>
      </c>
      <c r="AK1196">
        <f>[1]资金台帐!AK1196</f>
        <v>0</v>
      </c>
      <c r="BA1196" s="22">
        <f t="shared" si="0"/>
      </c>
      <c r="BG1196" s="22">
        <f t="shared" si="1"/>
      </c>
      <c r="BH1196" s="22">
        <f t="shared" si="2"/>
        <v>0</v>
      </c>
    </row>
    <row r="1197">
      <c r="B1197">
        <f>[1]资金台帐!B1197&amp;""</f>
      </c>
      <c r="H1197">
        <f>[1]资金台帐!H1197&amp;""</f>
      </c>
      <c r="J1197">
        <f>[1]资金台帐!J1197&amp;""</f>
      </c>
      <c r="N1197">
        <f>[1]资金台帐!N1197</f>
      </c>
      <c r="O1197">
        <f>[1]资金台帐!O1197&amp;""</f>
      </c>
      <c r="P1197">
        <f>[1]资金台帐!P1197&amp;""</f>
      </c>
      <c r="Q1197">
        <f>[1]资金台帐!Q1197&amp;""</f>
      </c>
      <c r="T1197">
        <f>[1]资金台帐!T1197&amp;""</f>
      </c>
      <c r="U1197">
        <f>[1]资金台帐!U1197&amp;""</f>
      </c>
      <c r="W1197">
        <f>[1]资金台帐!W1197&amp;""</f>
      </c>
      <c r="X1197">
        <f>[1]资金台帐!X1197&amp;""</f>
      </c>
      <c r="AB1197">
        <f>[1]资金台帐!AB1197</f>
        <v>0</v>
      </c>
      <c r="AC1197">
        <f>[1]资金台帐!AC1197</f>
        <v>0</v>
      </c>
      <c r="AD1197">
        <f>[1]资金台帐!AD1197</f>
        <v>0</v>
      </c>
      <c r="AJ1197">
        <f>[1]资金台帐!AJ1197</f>
        <v>0</v>
      </c>
      <c r="AK1197">
        <f>[1]资金台帐!AK1197</f>
        <v>0</v>
      </c>
      <c r="BA1197" s="22">
        <f t="shared" si="0"/>
      </c>
      <c r="BG1197" s="22">
        <f t="shared" si="1"/>
      </c>
      <c r="BH1197" s="22">
        <f t="shared" si="2"/>
        <v>0</v>
      </c>
    </row>
    <row r="1198">
      <c r="B1198">
        <f>[1]资金台帐!B1198&amp;""</f>
      </c>
      <c r="H1198">
        <f>[1]资金台帐!H1198&amp;""</f>
      </c>
      <c r="J1198">
        <f>[1]资金台帐!J1198&amp;""</f>
      </c>
      <c r="N1198">
        <f>[1]资金台帐!N1198</f>
      </c>
      <c r="O1198">
        <f>[1]资金台帐!O1198&amp;""</f>
      </c>
      <c r="P1198">
        <f>[1]资金台帐!P1198&amp;""</f>
      </c>
      <c r="Q1198">
        <f>[1]资金台帐!Q1198&amp;""</f>
      </c>
      <c r="T1198">
        <f>[1]资金台帐!T1198&amp;""</f>
      </c>
      <c r="U1198">
        <f>[1]资金台帐!U1198&amp;""</f>
      </c>
      <c r="W1198">
        <f>[1]资金台帐!W1198&amp;""</f>
      </c>
      <c r="X1198">
        <f>[1]资金台帐!X1198&amp;""</f>
      </c>
      <c r="AB1198">
        <f>[1]资金台帐!AB1198</f>
        <v>0</v>
      </c>
      <c r="AC1198">
        <f>[1]资金台帐!AC1198</f>
        <v>0</v>
      </c>
      <c r="AD1198">
        <f>[1]资金台帐!AD1198</f>
        <v>0</v>
      </c>
      <c r="AJ1198">
        <f>[1]资金台帐!AJ1198</f>
        <v>0</v>
      </c>
      <c r="AK1198">
        <f>[1]资金台帐!AK1198</f>
        <v>0</v>
      </c>
      <c r="BA1198" s="22">
        <f t="shared" si="0"/>
      </c>
      <c r="BG1198" s="22">
        <f t="shared" si="1"/>
      </c>
      <c r="BH1198" s="22">
        <f t="shared" si="2"/>
        <v>0</v>
      </c>
    </row>
    <row r="1199">
      <c r="B1199">
        <f>[1]资金台帐!B1199&amp;""</f>
      </c>
      <c r="H1199">
        <f>[1]资金台帐!H1199&amp;""</f>
      </c>
      <c r="J1199">
        <f>[1]资金台帐!J1199&amp;""</f>
      </c>
      <c r="N1199">
        <f>[1]资金台帐!N1199</f>
      </c>
      <c r="O1199">
        <f>[1]资金台帐!O1199&amp;""</f>
      </c>
      <c r="P1199">
        <f>[1]资金台帐!P1199&amp;""</f>
      </c>
      <c r="Q1199">
        <f>[1]资金台帐!Q1199&amp;""</f>
      </c>
      <c r="T1199">
        <f>[1]资金台帐!T1199&amp;""</f>
      </c>
      <c r="U1199">
        <f>[1]资金台帐!U1199&amp;""</f>
      </c>
      <c r="W1199">
        <f>[1]资金台帐!W1199&amp;""</f>
      </c>
      <c r="X1199">
        <f>[1]资金台帐!X1199&amp;""</f>
      </c>
      <c r="AB1199">
        <f>[1]资金台帐!AB1199</f>
        <v>0</v>
      </c>
      <c r="AC1199">
        <f>[1]资金台帐!AC1199</f>
        <v>0</v>
      </c>
      <c r="AD1199">
        <f>[1]资金台帐!AD1199</f>
        <v>0</v>
      </c>
      <c r="AJ1199">
        <f>[1]资金台帐!AJ1199</f>
        <v>0</v>
      </c>
      <c r="AK1199">
        <f>[1]资金台帐!AK1199</f>
        <v>0</v>
      </c>
      <c r="BA1199" s="22">
        <f t="shared" si="0"/>
      </c>
      <c r="BG1199" s="22">
        <f t="shared" si="1"/>
      </c>
      <c r="BH1199" s="22">
        <f t="shared" si="2"/>
        <v>0</v>
      </c>
    </row>
    <row r="1200">
      <c r="B1200">
        <f>[1]资金台帐!B1200&amp;""</f>
      </c>
      <c r="H1200">
        <f>[1]资金台帐!H1200&amp;""</f>
      </c>
      <c r="J1200">
        <f>[1]资金台帐!J1200&amp;""</f>
      </c>
      <c r="N1200">
        <f>[1]资金台帐!N1200</f>
      </c>
      <c r="O1200">
        <f>[1]资金台帐!O1200&amp;""</f>
      </c>
      <c r="P1200">
        <f>[1]资金台帐!P1200&amp;""</f>
      </c>
      <c r="Q1200">
        <f>[1]资金台帐!Q1200&amp;""</f>
      </c>
      <c r="T1200">
        <f>[1]资金台帐!T1200&amp;""</f>
      </c>
      <c r="U1200">
        <f>[1]资金台帐!U1200&amp;""</f>
      </c>
      <c r="W1200">
        <f>[1]资金台帐!W1200&amp;""</f>
      </c>
      <c r="X1200">
        <f>[1]资金台帐!X1200&amp;""</f>
      </c>
      <c r="AB1200">
        <f>[1]资金台帐!AB1200</f>
        <v>0</v>
      </c>
      <c r="AC1200">
        <f>[1]资金台帐!AC1200</f>
        <v>0</v>
      </c>
      <c r="AD1200">
        <f>[1]资金台帐!AD1200</f>
        <v>0</v>
      </c>
      <c r="AJ1200">
        <f>[1]资金台帐!AJ1200</f>
        <v>0</v>
      </c>
      <c r="AK1200">
        <f>[1]资金台帐!AK1200</f>
        <v>0</v>
      </c>
      <c r="BA1200" s="22">
        <f t="shared" si="0"/>
      </c>
      <c r="BG1200" s="22">
        <f t="shared" si="1"/>
      </c>
      <c r="BH1200" s="22">
        <f t="shared" si="2"/>
        <v>0</v>
      </c>
    </row>
    <row r="1201">
      <c r="B1201">
        <f>[1]资金台帐!B1201&amp;""</f>
      </c>
      <c r="H1201">
        <f>[1]资金台帐!H1201&amp;""</f>
      </c>
      <c r="J1201">
        <f>[1]资金台帐!J1201&amp;""</f>
      </c>
      <c r="N1201">
        <f>[1]资金台帐!N1201</f>
      </c>
      <c r="O1201">
        <f>[1]资金台帐!O1201&amp;""</f>
      </c>
      <c r="P1201">
        <f>[1]资金台帐!P1201&amp;""</f>
      </c>
      <c r="Q1201">
        <f>[1]资金台帐!Q1201&amp;""</f>
      </c>
      <c r="T1201">
        <f>[1]资金台帐!T1201&amp;""</f>
      </c>
      <c r="U1201">
        <f>[1]资金台帐!U1201&amp;""</f>
      </c>
      <c r="W1201">
        <f>[1]资金台帐!W1201&amp;""</f>
      </c>
      <c r="X1201">
        <f>[1]资金台帐!X1201&amp;""</f>
      </c>
      <c r="AB1201">
        <f>[1]资金台帐!AB1201</f>
        <v>0</v>
      </c>
      <c r="AC1201">
        <f>[1]资金台帐!AC1201</f>
        <v>0</v>
      </c>
      <c r="AD1201">
        <f>[1]资金台帐!AD1201</f>
        <v>0</v>
      </c>
      <c r="AJ1201">
        <f>[1]资金台帐!AJ1201</f>
        <v>0</v>
      </c>
      <c r="AK1201">
        <f>[1]资金台帐!AK1201</f>
        <v>0</v>
      </c>
      <c r="BA1201" s="22">
        <f t="shared" si="0"/>
      </c>
      <c r="BG1201" s="22">
        <f t="shared" si="1"/>
      </c>
      <c r="BH1201" s="22">
        <f t="shared" si="2"/>
        <v>0</v>
      </c>
    </row>
    <row r="1202">
      <c r="B1202">
        <f>[1]资金台帐!B1202&amp;""</f>
      </c>
      <c r="H1202">
        <f>[1]资金台帐!H1202&amp;""</f>
      </c>
      <c r="J1202">
        <f>[1]资金台帐!J1202&amp;""</f>
      </c>
      <c r="N1202">
        <f>[1]资金台帐!N1202</f>
      </c>
      <c r="O1202">
        <f>[1]资金台帐!O1202&amp;""</f>
      </c>
      <c r="P1202">
        <f>[1]资金台帐!P1202&amp;""</f>
      </c>
      <c r="Q1202">
        <f>[1]资金台帐!Q1202&amp;""</f>
      </c>
      <c r="T1202">
        <f>[1]资金台帐!T1202&amp;""</f>
      </c>
      <c r="U1202">
        <f>[1]资金台帐!U1202&amp;""</f>
      </c>
      <c r="W1202">
        <f>[1]资金台帐!W1202&amp;""</f>
      </c>
      <c r="X1202">
        <f>[1]资金台帐!X1202&amp;""</f>
      </c>
      <c r="AB1202">
        <f>[1]资金台帐!AB1202</f>
        <v>0</v>
      </c>
      <c r="AC1202">
        <f>[1]资金台帐!AC1202</f>
        <v>0</v>
      </c>
      <c r="AD1202">
        <f>[1]资金台帐!AD1202</f>
        <v>0</v>
      </c>
      <c r="AJ1202">
        <f>[1]资金台帐!AJ1202</f>
        <v>0</v>
      </c>
      <c r="AK1202">
        <f>[1]资金台帐!AK1202</f>
        <v>0</v>
      </c>
      <c r="BA1202" s="22">
        <f t="shared" si="0"/>
      </c>
      <c r="BG1202" s="22">
        <f t="shared" si="1"/>
      </c>
      <c r="BH1202" s="22">
        <f t="shared" si="2"/>
        <v>0</v>
      </c>
    </row>
    <row r="1203">
      <c r="B1203">
        <f>[1]资金台帐!B1203&amp;""</f>
      </c>
      <c r="H1203">
        <f>[1]资金台帐!H1203&amp;""</f>
      </c>
      <c r="J1203">
        <f>[1]资金台帐!J1203&amp;""</f>
      </c>
      <c r="N1203">
        <f>[1]资金台帐!N1203</f>
      </c>
      <c r="O1203">
        <f>[1]资金台帐!O1203&amp;""</f>
      </c>
      <c r="P1203">
        <f>[1]资金台帐!P1203&amp;""</f>
      </c>
      <c r="Q1203">
        <f>[1]资金台帐!Q1203&amp;""</f>
      </c>
      <c r="T1203">
        <f>[1]资金台帐!T1203&amp;""</f>
      </c>
      <c r="U1203">
        <f>[1]资金台帐!U1203&amp;""</f>
      </c>
      <c r="W1203">
        <f>[1]资金台帐!W1203&amp;""</f>
      </c>
      <c r="X1203">
        <f>[1]资金台帐!X1203&amp;""</f>
      </c>
      <c r="AB1203">
        <f>[1]资金台帐!AB1203</f>
        <v>0</v>
      </c>
      <c r="AC1203">
        <f>[1]资金台帐!AC1203</f>
        <v>0</v>
      </c>
      <c r="AD1203">
        <f>[1]资金台帐!AD1203</f>
        <v>0</v>
      </c>
      <c r="AJ1203">
        <f>[1]资金台帐!AJ1203</f>
        <v>0</v>
      </c>
      <c r="AK1203">
        <f>[1]资金台帐!AK1203</f>
        <v>0</v>
      </c>
      <c r="BA1203" s="22">
        <f t="shared" si="0"/>
      </c>
      <c r="BG1203" s="22">
        <f t="shared" si="1"/>
      </c>
      <c r="BH1203" s="22">
        <f t="shared" si="2"/>
        <v>0</v>
      </c>
    </row>
    <row r="1204">
      <c r="B1204">
        <f>[1]资金台帐!B1204&amp;""</f>
      </c>
      <c r="H1204">
        <f>[1]资金台帐!H1204&amp;""</f>
      </c>
      <c r="J1204">
        <f>[1]资金台帐!J1204&amp;""</f>
      </c>
      <c r="N1204">
        <f>[1]资金台帐!N1204</f>
      </c>
      <c r="O1204">
        <f>[1]资金台帐!O1204&amp;""</f>
      </c>
      <c r="P1204">
        <f>[1]资金台帐!P1204&amp;""</f>
      </c>
      <c r="Q1204">
        <f>[1]资金台帐!Q1204&amp;""</f>
      </c>
      <c r="T1204">
        <f>[1]资金台帐!T1204&amp;""</f>
      </c>
      <c r="U1204">
        <f>[1]资金台帐!U1204&amp;""</f>
      </c>
      <c r="W1204">
        <f>[1]资金台帐!W1204&amp;""</f>
      </c>
      <c r="X1204">
        <f>[1]资金台帐!X1204&amp;""</f>
      </c>
      <c r="AB1204">
        <f>[1]资金台帐!AB1204</f>
        <v>0</v>
      </c>
      <c r="AC1204">
        <f>[1]资金台帐!AC1204</f>
        <v>0</v>
      </c>
      <c r="AD1204">
        <f>[1]资金台帐!AD1204</f>
        <v>0</v>
      </c>
      <c r="AJ1204">
        <f>[1]资金台帐!AJ1204</f>
        <v>0</v>
      </c>
      <c r="AK1204">
        <f>[1]资金台帐!AK1204</f>
        <v>0</v>
      </c>
      <c r="BA1204" s="22">
        <f t="shared" si="0"/>
      </c>
      <c r="BG1204" s="22">
        <f t="shared" si="1"/>
      </c>
      <c r="BH1204" s="22">
        <f t="shared" si="2"/>
        <v>0</v>
      </c>
    </row>
    <row r="1205">
      <c r="B1205">
        <f>[1]资金台帐!B1205&amp;""</f>
      </c>
      <c r="H1205">
        <f>[1]资金台帐!H1205&amp;""</f>
      </c>
      <c r="J1205">
        <f>[1]资金台帐!J1205&amp;""</f>
      </c>
      <c r="N1205">
        <f>[1]资金台帐!N1205</f>
      </c>
      <c r="O1205">
        <f>[1]资金台帐!O1205&amp;""</f>
      </c>
      <c r="P1205">
        <f>[1]资金台帐!P1205&amp;""</f>
      </c>
      <c r="Q1205">
        <f>[1]资金台帐!Q1205&amp;""</f>
      </c>
      <c r="T1205">
        <f>[1]资金台帐!T1205&amp;""</f>
      </c>
      <c r="U1205">
        <f>[1]资金台帐!U1205&amp;""</f>
      </c>
      <c r="W1205">
        <f>[1]资金台帐!W1205&amp;""</f>
      </c>
      <c r="X1205">
        <f>[1]资金台帐!X1205&amp;""</f>
      </c>
      <c r="AB1205">
        <f>[1]资金台帐!AB1205</f>
        <v>0</v>
      </c>
      <c r="AC1205">
        <f>[1]资金台帐!AC1205</f>
        <v>0</v>
      </c>
      <c r="AD1205">
        <f>[1]资金台帐!AD1205</f>
        <v>0</v>
      </c>
      <c r="AJ1205">
        <f>[1]资金台帐!AJ1205</f>
        <v>0</v>
      </c>
      <c r="AK1205">
        <f>[1]资金台帐!AK1205</f>
        <v>0</v>
      </c>
      <c r="BA1205" s="22">
        <f t="shared" si="0"/>
      </c>
      <c r="BG1205" s="22">
        <f t="shared" si="1"/>
      </c>
      <c r="BH1205" s="22">
        <f t="shared" si="2"/>
        <v>0</v>
      </c>
    </row>
    <row r="1206">
      <c r="B1206">
        <f>[1]资金台帐!B1206&amp;""</f>
      </c>
      <c r="H1206">
        <f>[1]资金台帐!H1206&amp;""</f>
      </c>
      <c r="J1206">
        <f>[1]资金台帐!J1206&amp;""</f>
      </c>
      <c r="N1206">
        <f>[1]资金台帐!N1206</f>
      </c>
      <c r="O1206">
        <f>[1]资金台帐!O1206&amp;""</f>
      </c>
      <c r="P1206">
        <f>[1]资金台帐!P1206&amp;""</f>
      </c>
      <c r="Q1206">
        <f>[1]资金台帐!Q1206&amp;""</f>
      </c>
      <c r="T1206">
        <f>[1]资金台帐!T1206&amp;""</f>
      </c>
      <c r="U1206">
        <f>[1]资金台帐!U1206&amp;""</f>
      </c>
      <c r="W1206">
        <f>[1]资金台帐!W1206&amp;""</f>
      </c>
      <c r="X1206">
        <f>[1]资金台帐!X1206&amp;""</f>
      </c>
      <c r="AB1206">
        <f>[1]资金台帐!AB1206</f>
        <v>0</v>
      </c>
      <c r="AC1206">
        <f>[1]资金台帐!AC1206</f>
        <v>0</v>
      </c>
      <c r="AD1206">
        <f>[1]资金台帐!AD1206</f>
        <v>0</v>
      </c>
      <c r="AJ1206">
        <f>[1]资金台帐!AJ1206</f>
        <v>0</v>
      </c>
      <c r="AK1206">
        <f>[1]资金台帐!AK1206</f>
        <v>0</v>
      </c>
      <c r="BA1206" s="22">
        <f t="shared" si="0"/>
      </c>
      <c r="BG1206" s="22">
        <f t="shared" si="1"/>
      </c>
      <c r="BH1206" s="22">
        <f t="shared" si="2"/>
        <v>0</v>
      </c>
    </row>
    <row r="1207">
      <c r="B1207">
        <f>[1]资金台帐!B1207&amp;""</f>
      </c>
      <c r="H1207">
        <f>[1]资金台帐!H1207&amp;""</f>
      </c>
      <c r="J1207">
        <f>[1]资金台帐!J1207&amp;""</f>
      </c>
      <c r="N1207">
        <f>[1]资金台帐!N1207</f>
      </c>
      <c r="O1207">
        <f>[1]资金台帐!O1207&amp;""</f>
      </c>
      <c r="P1207">
        <f>[1]资金台帐!P1207&amp;""</f>
      </c>
      <c r="Q1207">
        <f>[1]资金台帐!Q1207&amp;""</f>
      </c>
      <c r="T1207">
        <f>[1]资金台帐!T1207&amp;""</f>
      </c>
      <c r="U1207">
        <f>[1]资金台帐!U1207&amp;""</f>
      </c>
      <c r="W1207">
        <f>[1]资金台帐!W1207&amp;""</f>
      </c>
      <c r="X1207">
        <f>[1]资金台帐!X1207&amp;""</f>
      </c>
      <c r="AB1207">
        <f>[1]资金台帐!AB1207</f>
        <v>0</v>
      </c>
      <c r="AC1207">
        <f>[1]资金台帐!AC1207</f>
        <v>0</v>
      </c>
      <c r="AD1207">
        <f>[1]资金台帐!AD1207</f>
        <v>0</v>
      </c>
      <c r="AJ1207">
        <f>[1]资金台帐!AJ1207</f>
        <v>0</v>
      </c>
      <c r="AK1207">
        <f>[1]资金台帐!AK1207</f>
        <v>0</v>
      </c>
      <c r="BA1207" s="22">
        <f t="shared" si="0"/>
      </c>
      <c r="BG1207" s="22">
        <f t="shared" si="1"/>
      </c>
      <c r="BH1207" s="22">
        <f t="shared" si="2"/>
        <v>0</v>
      </c>
    </row>
    <row r="1208">
      <c r="B1208">
        <f>[1]资金台帐!B1208&amp;""</f>
      </c>
      <c r="H1208">
        <f>[1]资金台帐!H1208&amp;""</f>
      </c>
      <c r="J1208">
        <f>[1]资金台帐!J1208&amp;""</f>
      </c>
      <c r="N1208">
        <f>[1]资金台帐!N1208</f>
      </c>
      <c r="O1208">
        <f>[1]资金台帐!O1208&amp;""</f>
      </c>
      <c r="P1208">
        <f>[1]资金台帐!P1208&amp;""</f>
      </c>
      <c r="Q1208">
        <f>[1]资金台帐!Q1208&amp;""</f>
      </c>
      <c r="T1208">
        <f>[1]资金台帐!T1208&amp;""</f>
      </c>
      <c r="U1208">
        <f>[1]资金台帐!U1208&amp;""</f>
      </c>
      <c r="W1208">
        <f>[1]资金台帐!W1208&amp;""</f>
      </c>
      <c r="X1208">
        <f>[1]资金台帐!X1208&amp;""</f>
      </c>
      <c r="AB1208">
        <f>[1]资金台帐!AB1208</f>
        <v>0</v>
      </c>
      <c r="AC1208">
        <f>[1]资金台帐!AC1208</f>
        <v>0</v>
      </c>
      <c r="AD1208">
        <f>[1]资金台帐!AD1208</f>
        <v>0</v>
      </c>
      <c r="AJ1208">
        <f>[1]资金台帐!AJ1208</f>
        <v>0</v>
      </c>
      <c r="AK1208">
        <f>[1]资金台帐!AK1208</f>
        <v>0</v>
      </c>
      <c r="BA1208" s="22">
        <f t="shared" si="0"/>
      </c>
      <c r="BG1208" s="22">
        <f t="shared" si="1"/>
      </c>
      <c r="BH1208" s="22">
        <f t="shared" si="2"/>
        <v>0</v>
      </c>
    </row>
    <row r="1209">
      <c r="B1209">
        <f>[1]资金台帐!B1209&amp;""</f>
      </c>
      <c r="H1209">
        <f>[1]资金台帐!H1209&amp;""</f>
      </c>
      <c r="J1209">
        <f>[1]资金台帐!J1209&amp;""</f>
      </c>
      <c r="N1209">
        <f>[1]资金台帐!N1209</f>
      </c>
      <c r="O1209">
        <f>[1]资金台帐!O1209&amp;""</f>
      </c>
      <c r="P1209">
        <f>[1]资金台帐!P1209&amp;""</f>
      </c>
      <c r="Q1209">
        <f>[1]资金台帐!Q1209&amp;""</f>
      </c>
      <c r="T1209">
        <f>[1]资金台帐!T1209&amp;""</f>
      </c>
      <c r="U1209">
        <f>[1]资金台帐!U1209&amp;""</f>
      </c>
      <c r="W1209">
        <f>[1]资金台帐!W1209&amp;""</f>
      </c>
      <c r="X1209">
        <f>[1]资金台帐!X1209&amp;""</f>
      </c>
      <c r="AB1209">
        <f>[1]资金台帐!AB1209</f>
        <v>0</v>
      </c>
      <c r="AC1209">
        <f>[1]资金台帐!AC1209</f>
        <v>0</v>
      </c>
      <c r="AD1209">
        <f>[1]资金台帐!AD1209</f>
        <v>0</v>
      </c>
      <c r="AJ1209">
        <f>[1]资金台帐!AJ1209</f>
        <v>0</v>
      </c>
      <c r="AK1209">
        <f>[1]资金台帐!AK1209</f>
        <v>0</v>
      </c>
      <c r="BA1209" s="22">
        <f t="shared" si="0"/>
      </c>
      <c r="BG1209" s="22">
        <f t="shared" si="1"/>
      </c>
      <c r="BH1209" s="22">
        <f t="shared" si="2"/>
        <v>0</v>
      </c>
    </row>
    <row r="1210">
      <c r="B1210">
        <f>[1]资金台帐!B1210&amp;""</f>
      </c>
      <c r="H1210">
        <f>[1]资金台帐!H1210&amp;""</f>
      </c>
      <c r="J1210">
        <f>[1]资金台帐!J1210&amp;""</f>
      </c>
      <c r="N1210">
        <f>[1]资金台帐!N1210</f>
      </c>
      <c r="O1210">
        <f>[1]资金台帐!O1210&amp;""</f>
      </c>
      <c r="P1210">
        <f>[1]资金台帐!P1210&amp;""</f>
      </c>
      <c r="Q1210">
        <f>[1]资金台帐!Q1210&amp;""</f>
      </c>
      <c r="T1210">
        <f>[1]资金台帐!T1210&amp;""</f>
      </c>
      <c r="U1210">
        <f>[1]资金台帐!U1210&amp;""</f>
      </c>
      <c r="W1210">
        <f>[1]资金台帐!W1210&amp;""</f>
      </c>
      <c r="X1210">
        <f>[1]资金台帐!X1210&amp;""</f>
      </c>
      <c r="AB1210">
        <f>[1]资金台帐!AB1210</f>
        <v>0</v>
      </c>
      <c r="AC1210">
        <f>[1]资金台帐!AC1210</f>
        <v>0</v>
      </c>
      <c r="AD1210">
        <f>[1]资金台帐!AD1210</f>
        <v>0</v>
      </c>
      <c r="AJ1210">
        <f>[1]资金台帐!AJ1210</f>
        <v>0</v>
      </c>
      <c r="AK1210">
        <f>[1]资金台帐!AK1210</f>
        <v>0</v>
      </c>
      <c r="BA1210" s="22">
        <f t="shared" si="0"/>
      </c>
      <c r="BG1210" s="22">
        <f t="shared" si="1"/>
      </c>
      <c r="BH1210" s="22">
        <f t="shared" si="2"/>
        <v>0</v>
      </c>
    </row>
    <row r="1211">
      <c r="B1211">
        <f>[1]资金台帐!B1211&amp;""</f>
      </c>
      <c r="H1211">
        <f>[1]资金台帐!H1211&amp;""</f>
      </c>
      <c r="J1211">
        <f>[1]资金台帐!J1211&amp;""</f>
      </c>
      <c r="N1211">
        <f>[1]资金台帐!N1211</f>
      </c>
      <c r="O1211">
        <f>[1]资金台帐!O1211&amp;""</f>
      </c>
      <c r="P1211">
        <f>[1]资金台帐!P1211&amp;""</f>
      </c>
      <c r="Q1211">
        <f>[1]资金台帐!Q1211&amp;""</f>
      </c>
      <c r="T1211">
        <f>[1]资金台帐!T1211&amp;""</f>
      </c>
      <c r="U1211">
        <f>[1]资金台帐!U1211&amp;""</f>
      </c>
      <c r="W1211">
        <f>[1]资金台帐!W1211&amp;""</f>
      </c>
      <c r="X1211">
        <f>[1]资金台帐!X1211&amp;""</f>
      </c>
      <c r="AB1211">
        <f>[1]资金台帐!AB1211</f>
        <v>0</v>
      </c>
      <c r="AC1211">
        <f>[1]资金台帐!AC1211</f>
        <v>0</v>
      </c>
      <c r="AD1211">
        <f>[1]资金台帐!AD1211</f>
        <v>0</v>
      </c>
      <c r="AJ1211">
        <f>[1]资金台帐!AJ1211</f>
        <v>0</v>
      </c>
      <c r="AK1211">
        <f>[1]资金台帐!AK1211</f>
        <v>0</v>
      </c>
      <c r="BA1211" s="22">
        <f t="shared" si="0"/>
      </c>
      <c r="BG1211" s="22">
        <f t="shared" si="1"/>
      </c>
      <c r="BH1211" s="22">
        <f t="shared" si="2"/>
        <v>0</v>
      </c>
    </row>
    <row r="1212">
      <c r="B1212">
        <f>[1]资金台帐!B1212&amp;""</f>
      </c>
      <c r="H1212">
        <f>[1]资金台帐!H1212&amp;""</f>
      </c>
      <c r="J1212">
        <f>[1]资金台帐!J1212&amp;""</f>
      </c>
      <c r="N1212">
        <f>[1]资金台帐!N1212</f>
      </c>
      <c r="O1212">
        <f>[1]资金台帐!O1212&amp;""</f>
      </c>
      <c r="P1212">
        <f>[1]资金台帐!P1212&amp;""</f>
      </c>
      <c r="Q1212">
        <f>[1]资金台帐!Q1212&amp;""</f>
      </c>
      <c r="T1212">
        <f>[1]资金台帐!T1212&amp;""</f>
      </c>
      <c r="U1212">
        <f>[1]资金台帐!U1212&amp;""</f>
      </c>
      <c r="W1212">
        <f>[1]资金台帐!W1212&amp;""</f>
      </c>
      <c r="X1212">
        <f>[1]资金台帐!X1212&amp;""</f>
      </c>
      <c r="AB1212">
        <f>[1]资金台帐!AB1212</f>
        <v>0</v>
      </c>
      <c r="AC1212">
        <f>[1]资金台帐!AC1212</f>
        <v>0</v>
      </c>
      <c r="AD1212">
        <f>[1]资金台帐!AD1212</f>
        <v>0</v>
      </c>
      <c r="AJ1212">
        <f>[1]资金台帐!AJ1212</f>
        <v>0</v>
      </c>
      <c r="AK1212">
        <f>[1]资金台帐!AK1212</f>
        <v>0</v>
      </c>
      <c r="BA1212" s="22">
        <f t="shared" si="0"/>
      </c>
      <c r="BG1212" s="22">
        <f t="shared" si="1"/>
      </c>
      <c r="BH1212" s="22">
        <f t="shared" si="2"/>
        <v>0</v>
      </c>
    </row>
    <row r="1213">
      <c r="B1213">
        <f>[1]资金台帐!B1213&amp;""</f>
      </c>
      <c r="H1213">
        <f>[1]资金台帐!H1213&amp;""</f>
      </c>
      <c r="J1213">
        <f>[1]资金台帐!J1213&amp;""</f>
      </c>
      <c r="N1213">
        <f>[1]资金台帐!N1213</f>
      </c>
      <c r="O1213">
        <f>[1]资金台帐!O1213&amp;""</f>
      </c>
      <c r="P1213">
        <f>[1]资金台帐!P1213&amp;""</f>
      </c>
      <c r="Q1213">
        <f>[1]资金台帐!Q1213&amp;""</f>
      </c>
      <c r="T1213">
        <f>[1]资金台帐!T1213&amp;""</f>
      </c>
      <c r="U1213">
        <f>[1]资金台帐!U1213&amp;""</f>
      </c>
      <c r="W1213">
        <f>[1]资金台帐!W1213&amp;""</f>
      </c>
      <c r="X1213">
        <f>[1]资金台帐!X1213&amp;""</f>
      </c>
      <c r="AB1213">
        <f>[1]资金台帐!AB1213</f>
        <v>0</v>
      </c>
      <c r="AC1213">
        <f>[1]资金台帐!AC1213</f>
        <v>0</v>
      </c>
      <c r="AD1213">
        <f>[1]资金台帐!AD1213</f>
        <v>0</v>
      </c>
      <c r="AJ1213">
        <f>[1]资金台帐!AJ1213</f>
        <v>0</v>
      </c>
      <c r="AK1213">
        <f>[1]资金台帐!AK1213</f>
        <v>0</v>
      </c>
      <c r="BA1213" s="22">
        <f t="shared" si="0"/>
      </c>
      <c r="BG1213" s="22">
        <f t="shared" si="1"/>
      </c>
      <c r="BH1213" s="22">
        <f t="shared" si="2"/>
        <v>0</v>
      </c>
    </row>
    <row r="1214">
      <c r="B1214">
        <f>[1]资金台帐!B1214&amp;""</f>
      </c>
      <c r="H1214">
        <f>[1]资金台帐!H1214&amp;""</f>
      </c>
      <c r="J1214">
        <f>[1]资金台帐!J1214&amp;""</f>
      </c>
      <c r="N1214">
        <f>[1]资金台帐!N1214</f>
      </c>
      <c r="O1214">
        <f>[1]资金台帐!O1214&amp;""</f>
      </c>
      <c r="P1214">
        <f>[1]资金台帐!P1214&amp;""</f>
      </c>
      <c r="Q1214">
        <f>[1]资金台帐!Q1214&amp;""</f>
      </c>
      <c r="T1214">
        <f>[1]资金台帐!T1214&amp;""</f>
      </c>
      <c r="U1214">
        <f>[1]资金台帐!U1214&amp;""</f>
      </c>
      <c r="W1214">
        <f>[1]资金台帐!W1214&amp;""</f>
      </c>
      <c r="X1214">
        <f>[1]资金台帐!X1214&amp;""</f>
      </c>
      <c r="AB1214">
        <f>[1]资金台帐!AB1214</f>
        <v>0</v>
      </c>
      <c r="AC1214">
        <f>[1]资金台帐!AC1214</f>
        <v>0</v>
      </c>
      <c r="AD1214">
        <f>[1]资金台帐!AD1214</f>
        <v>0</v>
      </c>
      <c r="AJ1214">
        <f>[1]资金台帐!AJ1214</f>
        <v>0</v>
      </c>
      <c r="AK1214">
        <f>[1]资金台帐!AK1214</f>
        <v>0</v>
      </c>
      <c r="BA1214" s="22">
        <f t="shared" si="0"/>
      </c>
      <c r="BG1214" s="22">
        <f t="shared" si="1"/>
      </c>
      <c r="BH1214" s="22">
        <f t="shared" si="2"/>
        <v>0</v>
      </c>
    </row>
    <row r="1215">
      <c r="B1215">
        <f>[1]资金台帐!B1215&amp;""</f>
      </c>
      <c r="H1215">
        <f>[1]资金台帐!H1215&amp;""</f>
      </c>
      <c r="J1215">
        <f>[1]资金台帐!J1215&amp;""</f>
      </c>
      <c r="N1215">
        <f>[1]资金台帐!N1215</f>
      </c>
      <c r="O1215">
        <f>[1]资金台帐!O1215&amp;""</f>
      </c>
      <c r="P1215">
        <f>[1]资金台帐!P1215&amp;""</f>
      </c>
      <c r="Q1215">
        <f>[1]资金台帐!Q1215&amp;""</f>
      </c>
      <c r="T1215">
        <f>[1]资金台帐!T1215&amp;""</f>
      </c>
      <c r="U1215">
        <f>[1]资金台帐!U1215&amp;""</f>
      </c>
      <c r="W1215">
        <f>[1]资金台帐!W1215&amp;""</f>
      </c>
      <c r="X1215">
        <f>[1]资金台帐!X1215&amp;""</f>
      </c>
      <c r="AB1215">
        <f>[1]资金台帐!AB1215</f>
        <v>0</v>
      </c>
      <c r="AC1215">
        <f>[1]资金台帐!AC1215</f>
        <v>0</v>
      </c>
      <c r="AD1215">
        <f>[1]资金台帐!AD1215</f>
        <v>0</v>
      </c>
      <c r="AJ1215">
        <f>[1]资金台帐!AJ1215</f>
        <v>0</v>
      </c>
      <c r="AK1215">
        <f>[1]资金台帐!AK1215</f>
        <v>0</v>
      </c>
      <c r="BA1215" s="22">
        <f t="shared" si="0"/>
      </c>
      <c r="BG1215" s="22">
        <f t="shared" si="1"/>
      </c>
      <c r="BH1215" s="22">
        <f t="shared" si="2"/>
        <v>0</v>
      </c>
    </row>
    <row r="1216">
      <c r="B1216">
        <f>[1]资金台帐!B1216&amp;""</f>
      </c>
      <c r="H1216">
        <f>[1]资金台帐!H1216&amp;""</f>
      </c>
      <c r="J1216">
        <f>[1]资金台帐!J1216&amp;""</f>
      </c>
      <c r="N1216">
        <f>[1]资金台帐!N1216</f>
      </c>
      <c r="O1216">
        <f>[1]资金台帐!O1216&amp;""</f>
      </c>
      <c r="P1216">
        <f>[1]资金台帐!P1216&amp;""</f>
      </c>
      <c r="Q1216">
        <f>[1]资金台帐!Q1216&amp;""</f>
      </c>
      <c r="T1216">
        <f>[1]资金台帐!T1216&amp;""</f>
      </c>
      <c r="U1216">
        <f>[1]资金台帐!U1216&amp;""</f>
      </c>
      <c r="W1216">
        <f>[1]资金台帐!W1216&amp;""</f>
      </c>
      <c r="X1216">
        <f>[1]资金台帐!X1216&amp;""</f>
      </c>
      <c r="AB1216">
        <f>[1]资金台帐!AB1216</f>
        <v>0</v>
      </c>
      <c r="AC1216">
        <f>[1]资金台帐!AC1216</f>
        <v>0</v>
      </c>
      <c r="AD1216">
        <f>[1]资金台帐!AD1216</f>
        <v>0</v>
      </c>
      <c r="AJ1216">
        <f>[1]资金台帐!AJ1216</f>
        <v>0</v>
      </c>
      <c r="AK1216">
        <f>[1]资金台帐!AK1216</f>
        <v>0</v>
      </c>
      <c r="BA1216" s="22">
        <f t="shared" si="0"/>
      </c>
      <c r="BG1216" s="22">
        <f t="shared" si="1"/>
      </c>
      <c r="BH1216" s="22">
        <f t="shared" si="2"/>
        <v>0</v>
      </c>
    </row>
    <row r="1217">
      <c r="B1217">
        <f>[1]资金台帐!B1217&amp;""</f>
      </c>
      <c r="H1217">
        <f>[1]资金台帐!H1217&amp;""</f>
      </c>
      <c r="J1217">
        <f>[1]资金台帐!J1217&amp;""</f>
      </c>
      <c r="N1217">
        <f>[1]资金台帐!N1217</f>
      </c>
      <c r="O1217">
        <f>[1]资金台帐!O1217&amp;""</f>
      </c>
      <c r="P1217">
        <f>[1]资金台帐!P1217&amp;""</f>
      </c>
      <c r="Q1217">
        <f>[1]资金台帐!Q1217&amp;""</f>
      </c>
      <c r="T1217">
        <f>[1]资金台帐!T1217&amp;""</f>
      </c>
      <c r="U1217">
        <f>[1]资金台帐!U1217&amp;""</f>
      </c>
      <c r="W1217">
        <f>[1]资金台帐!W1217&amp;""</f>
      </c>
      <c r="X1217">
        <f>[1]资金台帐!X1217&amp;""</f>
      </c>
      <c r="AB1217">
        <f>[1]资金台帐!AB1217</f>
        <v>0</v>
      </c>
      <c r="AC1217">
        <f>[1]资金台帐!AC1217</f>
        <v>0</v>
      </c>
      <c r="AD1217">
        <f>[1]资金台帐!AD1217</f>
        <v>0</v>
      </c>
      <c r="AJ1217">
        <f>[1]资金台帐!AJ1217</f>
        <v>0</v>
      </c>
      <c r="AK1217">
        <f>[1]资金台帐!AK1217</f>
        <v>0</v>
      </c>
      <c r="BA1217" s="22">
        <f t="shared" si="0"/>
      </c>
      <c r="BG1217" s="22">
        <f t="shared" si="1"/>
      </c>
      <c r="BH1217" s="22">
        <f t="shared" si="2"/>
        <v>0</v>
      </c>
    </row>
    <row r="1218">
      <c r="B1218">
        <f>[1]资金台帐!B1218&amp;""</f>
      </c>
      <c r="H1218">
        <f>[1]资金台帐!H1218&amp;""</f>
      </c>
      <c r="J1218">
        <f>[1]资金台帐!J1218&amp;""</f>
      </c>
      <c r="N1218">
        <f>[1]资金台帐!N1218</f>
      </c>
      <c r="O1218">
        <f>[1]资金台帐!O1218&amp;""</f>
      </c>
      <c r="P1218">
        <f>[1]资金台帐!P1218&amp;""</f>
      </c>
      <c r="Q1218">
        <f>[1]资金台帐!Q1218&amp;""</f>
      </c>
      <c r="T1218">
        <f>[1]资金台帐!T1218&amp;""</f>
      </c>
      <c r="U1218">
        <f>[1]资金台帐!U1218&amp;""</f>
      </c>
      <c r="W1218">
        <f>[1]资金台帐!W1218&amp;""</f>
      </c>
      <c r="X1218">
        <f>[1]资金台帐!X1218&amp;""</f>
      </c>
      <c r="AB1218">
        <f>[1]资金台帐!AB1218</f>
        <v>0</v>
      </c>
      <c r="AC1218">
        <f>[1]资金台帐!AC1218</f>
        <v>0</v>
      </c>
      <c r="AD1218">
        <f>[1]资金台帐!AD1218</f>
        <v>0</v>
      </c>
      <c r="AJ1218">
        <f>[1]资金台帐!AJ1218</f>
        <v>0</v>
      </c>
      <c r="AK1218">
        <f>[1]资金台帐!AK1218</f>
        <v>0</v>
      </c>
      <c r="BA1218" s="22">
        <f t="shared" si="0"/>
      </c>
      <c r="BG1218" s="22">
        <f t="shared" si="1"/>
      </c>
      <c r="BH1218" s="22">
        <f t="shared" si="2"/>
        <v>0</v>
      </c>
    </row>
    <row r="1219">
      <c r="B1219">
        <f>[1]资金台帐!B1219&amp;""</f>
      </c>
      <c r="H1219">
        <f>[1]资金台帐!H1219&amp;""</f>
      </c>
      <c r="J1219">
        <f>[1]资金台帐!J1219&amp;""</f>
      </c>
      <c r="N1219">
        <f>[1]资金台帐!N1219</f>
      </c>
      <c r="O1219">
        <f>[1]资金台帐!O1219&amp;""</f>
      </c>
      <c r="P1219">
        <f>[1]资金台帐!P1219&amp;""</f>
      </c>
      <c r="Q1219">
        <f>[1]资金台帐!Q1219&amp;""</f>
      </c>
      <c r="T1219">
        <f>[1]资金台帐!T1219&amp;""</f>
      </c>
      <c r="U1219">
        <f>[1]资金台帐!U1219&amp;""</f>
      </c>
      <c r="W1219">
        <f>[1]资金台帐!W1219&amp;""</f>
      </c>
      <c r="X1219">
        <f>[1]资金台帐!X1219&amp;""</f>
      </c>
      <c r="AB1219">
        <f>[1]资金台帐!AB1219</f>
        <v>0</v>
      </c>
      <c r="AC1219">
        <f>[1]资金台帐!AC1219</f>
        <v>0</v>
      </c>
      <c r="AD1219">
        <f>[1]资金台帐!AD1219</f>
        <v>0</v>
      </c>
      <c r="AJ1219">
        <f>[1]资金台帐!AJ1219</f>
        <v>0</v>
      </c>
      <c r="AK1219">
        <f>[1]资金台帐!AK1219</f>
        <v>0</v>
      </c>
      <c r="BA1219" s="22">
        <f t="shared" si="0"/>
      </c>
      <c r="BG1219" s="22">
        <f t="shared" si="1"/>
      </c>
      <c r="BH1219" s="22">
        <f t="shared" si="2"/>
        <v>0</v>
      </c>
    </row>
    <row r="1220">
      <c r="B1220">
        <f>[1]资金台帐!B1220&amp;""</f>
      </c>
      <c r="H1220">
        <f>[1]资金台帐!H1220&amp;""</f>
      </c>
      <c r="J1220">
        <f>[1]资金台帐!J1220&amp;""</f>
      </c>
      <c r="N1220">
        <f>[1]资金台帐!N1220</f>
      </c>
      <c r="O1220">
        <f>[1]资金台帐!O1220&amp;""</f>
      </c>
      <c r="P1220">
        <f>[1]资金台帐!P1220&amp;""</f>
      </c>
      <c r="Q1220">
        <f>[1]资金台帐!Q1220&amp;""</f>
      </c>
      <c r="T1220">
        <f>[1]资金台帐!T1220&amp;""</f>
      </c>
      <c r="U1220">
        <f>[1]资金台帐!U1220&amp;""</f>
      </c>
      <c r="W1220">
        <f>[1]资金台帐!W1220&amp;""</f>
      </c>
      <c r="X1220">
        <f>[1]资金台帐!X1220&amp;""</f>
      </c>
      <c r="AB1220">
        <f>[1]资金台帐!AB1220</f>
        <v>0</v>
      </c>
      <c r="AC1220">
        <f>[1]资金台帐!AC1220</f>
        <v>0</v>
      </c>
      <c r="AD1220">
        <f>[1]资金台帐!AD1220</f>
        <v>0</v>
      </c>
      <c r="AJ1220">
        <f>[1]资金台帐!AJ1220</f>
        <v>0</v>
      </c>
      <c r="AK1220">
        <f>[1]资金台帐!AK1220</f>
        <v>0</v>
      </c>
      <c r="BA1220" s="22">
        <f t="shared" si="0"/>
      </c>
      <c r="BG1220" s="22">
        <f t="shared" si="1"/>
      </c>
      <c r="BH1220" s="22">
        <f t="shared" si="2"/>
        <v>0</v>
      </c>
    </row>
    <row r="1221">
      <c r="B1221">
        <f>[1]资金台帐!B1221&amp;""</f>
      </c>
      <c r="H1221">
        <f>[1]资金台帐!H1221&amp;""</f>
      </c>
      <c r="J1221">
        <f>[1]资金台帐!J1221&amp;""</f>
      </c>
      <c r="N1221">
        <f>[1]资金台帐!N1221</f>
      </c>
      <c r="O1221">
        <f>[1]资金台帐!O1221&amp;""</f>
      </c>
      <c r="P1221">
        <f>[1]资金台帐!P1221&amp;""</f>
      </c>
      <c r="Q1221">
        <f>[1]资金台帐!Q1221&amp;""</f>
      </c>
      <c r="T1221">
        <f>[1]资金台帐!T1221&amp;""</f>
      </c>
      <c r="U1221">
        <f>[1]资金台帐!U1221&amp;""</f>
      </c>
      <c r="W1221">
        <f>[1]资金台帐!W1221&amp;""</f>
      </c>
      <c r="X1221">
        <f>[1]资金台帐!X1221&amp;""</f>
      </c>
      <c r="AB1221">
        <f>[1]资金台帐!AB1221</f>
        <v>0</v>
      </c>
      <c r="AC1221">
        <f>[1]资金台帐!AC1221</f>
        <v>0</v>
      </c>
      <c r="AD1221">
        <f>[1]资金台帐!AD1221</f>
        <v>0</v>
      </c>
      <c r="AJ1221">
        <f>[1]资金台帐!AJ1221</f>
        <v>0</v>
      </c>
      <c r="AK1221">
        <f>[1]资金台帐!AK1221</f>
        <v>0</v>
      </c>
      <c r="BA1221" s="22">
        <f t="shared" si="0"/>
      </c>
      <c r="BG1221" s="22">
        <f t="shared" si="1"/>
      </c>
      <c r="BH1221" s="22">
        <f t="shared" si="2"/>
        <v>0</v>
      </c>
    </row>
    <row r="1222">
      <c r="B1222">
        <f>[1]资金台帐!B1222&amp;""</f>
      </c>
      <c r="H1222">
        <f>[1]资金台帐!H1222&amp;""</f>
      </c>
      <c r="J1222">
        <f>[1]资金台帐!J1222&amp;""</f>
      </c>
      <c r="N1222">
        <f>[1]资金台帐!N1222</f>
      </c>
      <c r="O1222">
        <f>[1]资金台帐!O1222&amp;""</f>
      </c>
      <c r="P1222">
        <f>[1]资金台帐!P1222&amp;""</f>
      </c>
      <c r="Q1222">
        <f>[1]资金台帐!Q1222&amp;""</f>
      </c>
      <c r="T1222">
        <f>[1]资金台帐!T1222&amp;""</f>
      </c>
      <c r="U1222">
        <f>[1]资金台帐!U1222&amp;""</f>
      </c>
      <c r="W1222">
        <f>[1]资金台帐!W1222&amp;""</f>
      </c>
      <c r="X1222">
        <f>[1]资金台帐!X1222&amp;""</f>
      </c>
      <c r="AB1222">
        <f>[1]资金台帐!AB1222</f>
        <v>0</v>
      </c>
      <c r="AC1222">
        <f>[1]资金台帐!AC1222</f>
        <v>0</v>
      </c>
      <c r="AD1222">
        <f>[1]资金台帐!AD1222</f>
        <v>0</v>
      </c>
      <c r="AJ1222">
        <f>[1]资金台帐!AJ1222</f>
        <v>0</v>
      </c>
      <c r="AK1222">
        <f>[1]资金台帐!AK1222</f>
        <v>0</v>
      </c>
      <c r="BA1222" s="22">
        <f t="shared" si="0"/>
      </c>
      <c r="BG1222" s="22">
        <f t="shared" si="1"/>
      </c>
      <c r="BH1222" s="22">
        <f t="shared" si="2"/>
        <v>0</v>
      </c>
    </row>
    <row r="1223">
      <c r="B1223">
        <f>[1]资金台帐!B1223&amp;""</f>
      </c>
      <c r="H1223">
        <f>[1]资金台帐!H1223&amp;""</f>
      </c>
      <c r="J1223">
        <f>[1]资金台帐!J1223&amp;""</f>
      </c>
      <c r="N1223">
        <f>[1]资金台帐!N1223</f>
      </c>
      <c r="O1223">
        <f>[1]资金台帐!O1223&amp;""</f>
      </c>
      <c r="P1223">
        <f>[1]资金台帐!P1223&amp;""</f>
      </c>
      <c r="Q1223">
        <f>[1]资金台帐!Q1223&amp;""</f>
      </c>
      <c r="T1223">
        <f>[1]资金台帐!T1223&amp;""</f>
      </c>
      <c r="U1223">
        <f>[1]资金台帐!U1223&amp;""</f>
      </c>
      <c r="W1223">
        <f>[1]资金台帐!W1223&amp;""</f>
      </c>
      <c r="X1223">
        <f>[1]资金台帐!X1223&amp;""</f>
      </c>
      <c r="AB1223">
        <f>[1]资金台帐!AB1223</f>
        <v>0</v>
      </c>
      <c r="AC1223">
        <f>[1]资金台帐!AC1223</f>
        <v>0</v>
      </c>
      <c r="AD1223">
        <f>[1]资金台帐!AD1223</f>
        <v>0</v>
      </c>
      <c r="AJ1223">
        <f>[1]资金台帐!AJ1223</f>
        <v>0</v>
      </c>
      <c r="AK1223">
        <f>[1]资金台帐!AK1223</f>
        <v>0</v>
      </c>
      <c r="BA1223" s="22">
        <f t="shared" si="0"/>
      </c>
      <c r="BG1223" s="22">
        <f t="shared" si="1"/>
      </c>
      <c r="BH1223" s="22">
        <f t="shared" si="2"/>
        <v>0</v>
      </c>
    </row>
    <row r="1224">
      <c r="B1224">
        <f>[1]资金台帐!B1224&amp;""</f>
      </c>
      <c r="H1224">
        <f>[1]资金台帐!H1224&amp;""</f>
      </c>
      <c r="J1224">
        <f>[1]资金台帐!J1224&amp;""</f>
      </c>
      <c r="N1224">
        <f>[1]资金台帐!N1224</f>
      </c>
      <c r="O1224">
        <f>[1]资金台帐!O1224&amp;""</f>
      </c>
      <c r="P1224">
        <f>[1]资金台帐!P1224&amp;""</f>
      </c>
      <c r="Q1224">
        <f>[1]资金台帐!Q1224&amp;""</f>
      </c>
      <c r="T1224">
        <f>[1]资金台帐!T1224&amp;""</f>
      </c>
      <c r="U1224">
        <f>[1]资金台帐!U1224&amp;""</f>
      </c>
      <c r="W1224">
        <f>[1]资金台帐!W1224&amp;""</f>
      </c>
      <c r="X1224">
        <f>[1]资金台帐!X1224&amp;""</f>
      </c>
      <c r="AB1224">
        <f>[1]资金台帐!AB1224</f>
        <v>0</v>
      </c>
      <c r="AC1224">
        <f>[1]资金台帐!AC1224</f>
        <v>0</v>
      </c>
      <c r="AD1224">
        <f>[1]资金台帐!AD1224</f>
        <v>0</v>
      </c>
      <c r="AJ1224">
        <f>[1]资金台帐!AJ1224</f>
        <v>0</v>
      </c>
      <c r="AK1224">
        <f>[1]资金台帐!AK1224</f>
        <v>0</v>
      </c>
      <c r="BA1224" s="22">
        <f t="shared" si="0"/>
      </c>
      <c r="BG1224" s="22">
        <f t="shared" si="1"/>
      </c>
      <c r="BH1224" s="22">
        <f t="shared" si="2"/>
        <v>0</v>
      </c>
    </row>
    <row r="1225">
      <c r="B1225">
        <f>[1]资金台帐!B1225&amp;""</f>
      </c>
      <c r="H1225">
        <f>[1]资金台帐!H1225&amp;""</f>
      </c>
      <c r="J1225">
        <f>[1]资金台帐!J1225&amp;""</f>
      </c>
      <c r="N1225">
        <f>[1]资金台帐!N1225</f>
      </c>
      <c r="O1225">
        <f>[1]资金台帐!O1225&amp;""</f>
      </c>
      <c r="P1225">
        <f>[1]资金台帐!P1225&amp;""</f>
      </c>
      <c r="Q1225">
        <f>[1]资金台帐!Q1225&amp;""</f>
      </c>
      <c r="T1225">
        <f>[1]资金台帐!T1225&amp;""</f>
      </c>
      <c r="U1225">
        <f>[1]资金台帐!U1225&amp;""</f>
      </c>
      <c r="W1225">
        <f>[1]资金台帐!W1225&amp;""</f>
      </c>
      <c r="X1225">
        <f>[1]资金台帐!X1225&amp;""</f>
      </c>
      <c r="AB1225">
        <f>[1]资金台帐!AB1225</f>
        <v>0</v>
      </c>
      <c r="AC1225">
        <f>[1]资金台帐!AC1225</f>
        <v>0</v>
      </c>
      <c r="AD1225">
        <f>[1]资金台帐!AD1225</f>
        <v>0</v>
      </c>
      <c r="AJ1225">
        <f>[1]资金台帐!AJ1225</f>
        <v>0</v>
      </c>
      <c r="AK1225">
        <f>[1]资金台帐!AK1225</f>
        <v>0</v>
      </c>
      <c r="BA1225" s="22">
        <f t="shared" si="0"/>
      </c>
      <c r="BG1225" s="22">
        <f t="shared" si="1"/>
      </c>
      <c r="BH1225" s="22">
        <f t="shared" si="2"/>
        <v>0</v>
      </c>
    </row>
    <row r="1226">
      <c r="B1226">
        <f>[1]资金台帐!B1226&amp;""</f>
      </c>
      <c r="H1226">
        <f>[1]资金台帐!H1226&amp;""</f>
      </c>
      <c r="J1226">
        <f>[1]资金台帐!J1226&amp;""</f>
      </c>
      <c r="N1226">
        <f>[1]资金台帐!N1226</f>
      </c>
      <c r="O1226">
        <f>[1]资金台帐!O1226&amp;""</f>
      </c>
      <c r="P1226">
        <f>[1]资金台帐!P1226&amp;""</f>
      </c>
      <c r="Q1226">
        <f>[1]资金台帐!Q1226&amp;""</f>
      </c>
      <c r="T1226">
        <f>[1]资金台帐!T1226&amp;""</f>
      </c>
      <c r="U1226">
        <f>[1]资金台帐!U1226&amp;""</f>
      </c>
      <c r="W1226">
        <f>[1]资金台帐!W1226&amp;""</f>
      </c>
      <c r="X1226">
        <f>[1]资金台帐!X1226&amp;""</f>
      </c>
      <c r="AB1226">
        <f>[1]资金台帐!AB1226</f>
        <v>0</v>
      </c>
      <c r="AC1226">
        <f>[1]资金台帐!AC1226</f>
        <v>0</v>
      </c>
      <c r="AD1226">
        <f>[1]资金台帐!AD1226</f>
        <v>0</v>
      </c>
      <c r="AJ1226">
        <f>[1]资金台帐!AJ1226</f>
        <v>0</v>
      </c>
      <c r="AK1226">
        <f>[1]资金台帐!AK1226</f>
        <v>0</v>
      </c>
      <c r="BA1226" s="22">
        <f t="shared" si="0"/>
      </c>
      <c r="BG1226" s="22">
        <f t="shared" si="1"/>
      </c>
      <c r="BH1226" s="22">
        <f t="shared" si="2"/>
        <v>0</v>
      </c>
    </row>
    <row r="1227">
      <c r="B1227">
        <f>[1]资金台帐!B1227&amp;""</f>
      </c>
      <c r="H1227">
        <f>[1]资金台帐!H1227&amp;""</f>
      </c>
      <c r="J1227">
        <f>[1]资金台帐!J1227&amp;""</f>
      </c>
      <c r="N1227">
        <f>[1]资金台帐!N1227</f>
      </c>
      <c r="O1227">
        <f>[1]资金台帐!O1227&amp;""</f>
      </c>
      <c r="P1227">
        <f>[1]资金台帐!P1227&amp;""</f>
      </c>
      <c r="Q1227">
        <f>[1]资金台帐!Q1227&amp;""</f>
      </c>
      <c r="T1227">
        <f>[1]资金台帐!T1227&amp;""</f>
      </c>
      <c r="U1227">
        <f>[1]资金台帐!U1227&amp;""</f>
      </c>
      <c r="W1227">
        <f>[1]资金台帐!W1227&amp;""</f>
      </c>
      <c r="X1227">
        <f>[1]资金台帐!X1227&amp;""</f>
      </c>
      <c r="AB1227">
        <f>[1]资金台帐!AB1227</f>
        <v>0</v>
      </c>
      <c r="AC1227">
        <f>[1]资金台帐!AC1227</f>
        <v>0</v>
      </c>
      <c r="AD1227">
        <f>[1]资金台帐!AD1227</f>
        <v>0</v>
      </c>
      <c r="AJ1227">
        <f>[1]资金台帐!AJ1227</f>
        <v>0</v>
      </c>
      <c r="AK1227">
        <f>[1]资金台帐!AK1227</f>
        <v>0</v>
      </c>
      <c r="BA1227" s="22">
        <f t="shared" si="0"/>
      </c>
      <c r="BG1227" s="22">
        <f t="shared" si="1"/>
      </c>
      <c r="BH1227" s="22">
        <f t="shared" si="2"/>
        <v>0</v>
      </c>
    </row>
    <row r="1228">
      <c r="B1228">
        <f>[1]资金台帐!B1228&amp;""</f>
      </c>
      <c r="H1228">
        <f>[1]资金台帐!H1228&amp;""</f>
      </c>
      <c r="J1228">
        <f>[1]资金台帐!J1228&amp;""</f>
      </c>
      <c r="N1228">
        <f>[1]资金台帐!N1228</f>
      </c>
      <c r="O1228">
        <f>[1]资金台帐!O1228&amp;""</f>
      </c>
      <c r="P1228">
        <f>[1]资金台帐!P1228&amp;""</f>
      </c>
      <c r="Q1228">
        <f>[1]资金台帐!Q1228&amp;""</f>
      </c>
      <c r="T1228">
        <f>[1]资金台帐!T1228&amp;""</f>
      </c>
      <c r="U1228">
        <f>[1]资金台帐!U1228&amp;""</f>
      </c>
      <c r="W1228">
        <f>[1]资金台帐!W1228&amp;""</f>
      </c>
      <c r="X1228">
        <f>[1]资金台帐!X1228&amp;""</f>
      </c>
      <c r="AB1228">
        <f>[1]资金台帐!AB1228</f>
        <v>0</v>
      </c>
      <c r="AC1228">
        <f>[1]资金台帐!AC1228</f>
        <v>0</v>
      </c>
      <c r="AD1228">
        <f>[1]资金台帐!AD1228</f>
        <v>0</v>
      </c>
      <c r="AJ1228">
        <f>[1]资金台帐!AJ1228</f>
        <v>0</v>
      </c>
      <c r="AK1228">
        <f>[1]资金台帐!AK1228</f>
        <v>0</v>
      </c>
      <c r="BA1228" s="22">
        <f t="shared" si="0"/>
      </c>
      <c r="BG1228" s="22">
        <f t="shared" si="1"/>
      </c>
      <c r="BH1228" s="22">
        <f t="shared" si="2"/>
        <v>0</v>
      </c>
    </row>
    <row r="1229">
      <c r="B1229">
        <f>[1]资金台帐!B1229&amp;""</f>
      </c>
      <c r="H1229">
        <f>[1]资金台帐!H1229&amp;""</f>
      </c>
      <c r="J1229">
        <f>[1]资金台帐!J1229&amp;""</f>
      </c>
      <c r="N1229">
        <f>[1]资金台帐!N1229</f>
      </c>
      <c r="O1229">
        <f>[1]资金台帐!O1229&amp;""</f>
      </c>
      <c r="P1229">
        <f>[1]资金台帐!P1229&amp;""</f>
      </c>
      <c r="Q1229">
        <f>[1]资金台帐!Q1229&amp;""</f>
      </c>
      <c r="T1229">
        <f>[1]资金台帐!T1229&amp;""</f>
      </c>
      <c r="U1229">
        <f>[1]资金台帐!U1229&amp;""</f>
      </c>
      <c r="W1229">
        <f>[1]资金台帐!W1229&amp;""</f>
      </c>
      <c r="X1229">
        <f>[1]资金台帐!X1229&amp;""</f>
      </c>
      <c r="AB1229">
        <f>[1]资金台帐!AB1229</f>
        <v>0</v>
      </c>
      <c r="AC1229">
        <f>[1]资金台帐!AC1229</f>
        <v>0</v>
      </c>
      <c r="AD1229">
        <f>[1]资金台帐!AD1229</f>
        <v>0</v>
      </c>
      <c r="AJ1229">
        <f>[1]资金台帐!AJ1229</f>
        <v>0</v>
      </c>
      <c r="AK1229">
        <f>[1]资金台帐!AK1229</f>
        <v>0</v>
      </c>
      <c r="BA1229" s="22">
        <f t="shared" si="0"/>
      </c>
      <c r="BG1229" s="22">
        <f t="shared" si="1"/>
      </c>
      <c r="BH1229" s="22">
        <f t="shared" si="2"/>
        <v>0</v>
      </c>
    </row>
    <row r="1230">
      <c r="B1230">
        <f>[1]资金台帐!B1230&amp;""</f>
      </c>
      <c r="H1230">
        <f>[1]资金台帐!H1230&amp;""</f>
      </c>
      <c r="J1230">
        <f>[1]资金台帐!J1230&amp;""</f>
      </c>
      <c r="N1230">
        <f>[1]资金台帐!N1230</f>
      </c>
      <c r="O1230">
        <f>[1]资金台帐!O1230&amp;""</f>
      </c>
      <c r="P1230">
        <f>[1]资金台帐!P1230&amp;""</f>
      </c>
      <c r="Q1230">
        <f>[1]资金台帐!Q1230&amp;""</f>
      </c>
      <c r="T1230">
        <f>[1]资金台帐!T1230&amp;""</f>
      </c>
      <c r="U1230">
        <f>[1]资金台帐!U1230&amp;""</f>
      </c>
      <c r="W1230">
        <f>[1]资金台帐!W1230&amp;""</f>
      </c>
      <c r="X1230">
        <f>[1]资金台帐!X1230&amp;""</f>
      </c>
      <c r="AB1230">
        <f>[1]资金台帐!AB1230</f>
        <v>0</v>
      </c>
      <c r="AC1230">
        <f>[1]资金台帐!AC1230</f>
        <v>0</v>
      </c>
      <c r="AD1230">
        <f>[1]资金台帐!AD1230</f>
        <v>0</v>
      </c>
      <c r="AJ1230">
        <f>[1]资金台帐!AJ1230</f>
        <v>0</v>
      </c>
      <c r="AK1230">
        <f>[1]资金台帐!AK1230</f>
        <v>0</v>
      </c>
      <c r="BA1230" s="22">
        <f t="shared" si="0"/>
      </c>
      <c r="BG1230" s="22">
        <f t="shared" si="1"/>
      </c>
      <c r="BH1230" s="22">
        <f t="shared" si="2"/>
        <v>0</v>
      </c>
    </row>
    <row r="1231">
      <c r="B1231">
        <f>[1]资金台帐!B1231&amp;""</f>
      </c>
      <c r="H1231">
        <f>[1]资金台帐!H1231&amp;""</f>
      </c>
      <c r="J1231">
        <f>[1]资金台帐!J1231&amp;""</f>
      </c>
      <c r="N1231">
        <f>[1]资金台帐!N1231</f>
      </c>
      <c r="O1231">
        <f>[1]资金台帐!O1231&amp;""</f>
      </c>
      <c r="P1231">
        <f>[1]资金台帐!P1231&amp;""</f>
      </c>
      <c r="Q1231">
        <f>[1]资金台帐!Q1231&amp;""</f>
      </c>
      <c r="T1231">
        <f>[1]资金台帐!T1231&amp;""</f>
      </c>
      <c r="U1231">
        <f>[1]资金台帐!U1231&amp;""</f>
      </c>
      <c r="W1231">
        <f>[1]资金台帐!W1231&amp;""</f>
      </c>
      <c r="X1231">
        <f>[1]资金台帐!X1231&amp;""</f>
      </c>
      <c r="AB1231">
        <f>[1]资金台帐!AB1231</f>
        <v>0</v>
      </c>
      <c r="AC1231">
        <f>[1]资金台帐!AC1231</f>
        <v>0</v>
      </c>
      <c r="AD1231">
        <f>[1]资金台帐!AD1231</f>
        <v>0</v>
      </c>
      <c r="AJ1231">
        <f>[1]资金台帐!AJ1231</f>
        <v>0</v>
      </c>
      <c r="AK1231">
        <f>[1]资金台帐!AK1231</f>
        <v>0</v>
      </c>
      <c r="BA1231" s="22">
        <f t="shared" si="0"/>
      </c>
      <c r="BG1231" s="22">
        <f t="shared" si="1"/>
      </c>
      <c r="BH1231" s="22">
        <f t="shared" si="2"/>
        <v>0</v>
      </c>
    </row>
    <row r="1232">
      <c r="B1232">
        <f>[1]资金台帐!B1232&amp;""</f>
      </c>
      <c r="H1232">
        <f>[1]资金台帐!H1232&amp;""</f>
      </c>
      <c r="J1232">
        <f>[1]资金台帐!J1232&amp;""</f>
      </c>
      <c r="N1232">
        <f>[1]资金台帐!N1232</f>
      </c>
      <c r="O1232">
        <f>[1]资金台帐!O1232&amp;""</f>
      </c>
      <c r="P1232">
        <f>[1]资金台帐!P1232&amp;""</f>
      </c>
      <c r="Q1232">
        <f>[1]资金台帐!Q1232&amp;""</f>
      </c>
      <c r="T1232">
        <f>[1]资金台帐!T1232&amp;""</f>
      </c>
      <c r="U1232">
        <f>[1]资金台帐!U1232&amp;""</f>
      </c>
      <c r="W1232">
        <f>[1]资金台帐!W1232&amp;""</f>
      </c>
      <c r="X1232">
        <f>[1]资金台帐!X1232&amp;""</f>
      </c>
      <c r="AB1232">
        <f>[1]资金台帐!AB1232</f>
        <v>0</v>
      </c>
      <c r="AC1232">
        <f>[1]资金台帐!AC1232</f>
        <v>0</v>
      </c>
      <c r="AD1232">
        <f>[1]资金台帐!AD1232</f>
        <v>0</v>
      </c>
      <c r="AJ1232">
        <f>[1]资金台帐!AJ1232</f>
        <v>0</v>
      </c>
      <c r="AK1232">
        <f>[1]资金台帐!AK1232</f>
        <v>0</v>
      </c>
      <c r="BA1232" s="22">
        <f t="shared" si="0"/>
      </c>
      <c r="BG1232" s="22">
        <f t="shared" si="1"/>
      </c>
      <c r="BH1232" s="22">
        <f t="shared" si="2"/>
        <v>0</v>
      </c>
    </row>
    <row r="1233">
      <c r="B1233">
        <f>[1]资金台帐!B1233&amp;""</f>
      </c>
      <c r="H1233">
        <f>[1]资金台帐!H1233&amp;""</f>
      </c>
      <c r="J1233">
        <f>[1]资金台帐!J1233&amp;""</f>
      </c>
      <c r="N1233">
        <f>[1]资金台帐!N1233</f>
      </c>
      <c r="O1233">
        <f>[1]资金台帐!O1233&amp;""</f>
      </c>
      <c r="P1233">
        <f>[1]资金台帐!P1233&amp;""</f>
      </c>
      <c r="Q1233">
        <f>[1]资金台帐!Q1233&amp;""</f>
      </c>
      <c r="T1233">
        <f>[1]资金台帐!T1233&amp;""</f>
      </c>
      <c r="U1233">
        <f>[1]资金台帐!U1233&amp;""</f>
      </c>
      <c r="W1233">
        <f>[1]资金台帐!W1233&amp;""</f>
      </c>
      <c r="X1233">
        <f>[1]资金台帐!X1233&amp;""</f>
      </c>
      <c r="AB1233">
        <f>[1]资金台帐!AB1233</f>
        <v>0</v>
      </c>
      <c r="AC1233">
        <f>[1]资金台帐!AC1233</f>
        <v>0</v>
      </c>
      <c r="AD1233">
        <f>[1]资金台帐!AD1233</f>
        <v>0</v>
      </c>
      <c r="AJ1233">
        <f>[1]资金台帐!AJ1233</f>
        <v>0</v>
      </c>
      <c r="AK1233">
        <f>[1]资金台帐!AK1233</f>
        <v>0</v>
      </c>
      <c r="BA1233" s="22">
        <f t="shared" si="0"/>
      </c>
      <c r="BG1233" s="22">
        <f t="shared" si="1"/>
      </c>
      <c r="BH1233" s="22">
        <f t="shared" si="2"/>
        <v>0</v>
      </c>
    </row>
    <row r="1234">
      <c r="B1234">
        <f>[1]资金台帐!B1234&amp;""</f>
      </c>
      <c r="H1234">
        <f>[1]资金台帐!H1234&amp;""</f>
      </c>
      <c r="J1234">
        <f>[1]资金台帐!J1234&amp;""</f>
      </c>
      <c r="N1234">
        <f>[1]资金台帐!N1234</f>
      </c>
      <c r="O1234">
        <f>[1]资金台帐!O1234&amp;""</f>
      </c>
      <c r="P1234">
        <f>[1]资金台帐!P1234&amp;""</f>
      </c>
      <c r="Q1234">
        <f>[1]资金台帐!Q1234&amp;""</f>
      </c>
      <c r="T1234">
        <f>[1]资金台帐!T1234&amp;""</f>
      </c>
      <c r="U1234">
        <f>[1]资金台帐!U1234&amp;""</f>
      </c>
      <c r="W1234">
        <f>[1]资金台帐!W1234&amp;""</f>
      </c>
      <c r="X1234">
        <f>[1]资金台帐!X1234&amp;""</f>
      </c>
      <c r="AB1234">
        <f>[1]资金台帐!AB1234</f>
        <v>0</v>
      </c>
      <c r="AC1234">
        <f>[1]资金台帐!AC1234</f>
        <v>0</v>
      </c>
      <c r="AD1234">
        <f>[1]资金台帐!AD1234</f>
        <v>0</v>
      </c>
      <c r="AJ1234">
        <f>[1]资金台帐!AJ1234</f>
        <v>0</v>
      </c>
      <c r="AK1234">
        <f>[1]资金台帐!AK1234</f>
        <v>0</v>
      </c>
      <c r="BA1234" s="22">
        <f t="shared" si="0"/>
      </c>
      <c r="BG1234" s="22">
        <f t="shared" si="1"/>
      </c>
      <c r="BH1234" s="22">
        <f t="shared" si="2"/>
        <v>0</v>
      </c>
    </row>
    <row r="1235">
      <c r="B1235">
        <f>[1]资金台帐!B1235&amp;""</f>
      </c>
      <c r="H1235">
        <f>[1]资金台帐!H1235&amp;""</f>
      </c>
      <c r="J1235">
        <f>[1]资金台帐!J1235&amp;""</f>
      </c>
      <c r="N1235">
        <f>[1]资金台帐!N1235</f>
      </c>
      <c r="O1235">
        <f>[1]资金台帐!O1235&amp;""</f>
      </c>
      <c r="P1235">
        <f>[1]资金台帐!P1235&amp;""</f>
      </c>
      <c r="Q1235">
        <f>[1]资金台帐!Q1235&amp;""</f>
      </c>
      <c r="T1235">
        <f>[1]资金台帐!T1235&amp;""</f>
      </c>
      <c r="U1235">
        <f>[1]资金台帐!U1235&amp;""</f>
      </c>
      <c r="W1235">
        <f>[1]资金台帐!W1235&amp;""</f>
      </c>
      <c r="X1235">
        <f>[1]资金台帐!X1235&amp;""</f>
      </c>
      <c r="AB1235">
        <f>[1]资金台帐!AB1235</f>
        <v>0</v>
      </c>
      <c r="AC1235">
        <f>[1]资金台帐!AC1235</f>
        <v>0</v>
      </c>
      <c r="AD1235">
        <f>[1]资金台帐!AD1235</f>
        <v>0</v>
      </c>
      <c r="AJ1235">
        <f>[1]资金台帐!AJ1235</f>
        <v>0</v>
      </c>
      <c r="AK1235">
        <f>[1]资金台帐!AK1235</f>
        <v>0</v>
      </c>
      <c r="BA1235" s="22">
        <f t="shared" si="0"/>
      </c>
      <c r="BG1235" s="22">
        <f t="shared" si="1"/>
      </c>
      <c r="BH1235" s="22">
        <f t="shared" si="2"/>
        <v>0</v>
      </c>
    </row>
    <row r="1236">
      <c r="B1236">
        <f>[1]资金台帐!B1236&amp;""</f>
      </c>
      <c r="H1236">
        <f>[1]资金台帐!H1236&amp;""</f>
      </c>
      <c r="J1236">
        <f>[1]资金台帐!J1236&amp;""</f>
      </c>
      <c r="N1236">
        <f>[1]资金台帐!N1236</f>
      </c>
      <c r="O1236">
        <f>[1]资金台帐!O1236&amp;""</f>
      </c>
      <c r="P1236">
        <f>[1]资金台帐!P1236&amp;""</f>
      </c>
      <c r="Q1236">
        <f>[1]资金台帐!Q1236&amp;""</f>
      </c>
      <c r="T1236">
        <f>[1]资金台帐!T1236&amp;""</f>
      </c>
      <c r="U1236">
        <f>[1]资金台帐!U1236&amp;""</f>
      </c>
      <c r="W1236">
        <f>[1]资金台帐!W1236&amp;""</f>
      </c>
      <c r="X1236">
        <f>[1]资金台帐!X1236&amp;""</f>
      </c>
      <c r="AB1236">
        <f>[1]资金台帐!AB1236</f>
        <v>0</v>
      </c>
      <c r="AC1236">
        <f>[1]资金台帐!AC1236</f>
        <v>0</v>
      </c>
      <c r="AD1236">
        <f>[1]资金台帐!AD1236</f>
        <v>0</v>
      </c>
      <c r="AJ1236">
        <f>[1]资金台帐!AJ1236</f>
        <v>0</v>
      </c>
      <c r="AK1236">
        <f>[1]资金台帐!AK1236</f>
        <v>0</v>
      </c>
      <c r="BA1236" s="22">
        <f t="shared" si="0"/>
      </c>
      <c r="BG1236" s="22">
        <f t="shared" si="1"/>
      </c>
      <c r="BH1236" s="22">
        <f t="shared" si="2"/>
        <v>0</v>
      </c>
    </row>
    <row r="1237">
      <c r="B1237">
        <f>[1]资金台帐!B1237&amp;""</f>
      </c>
      <c r="H1237">
        <f>[1]资金台帐!H1237&amp;""</f>
      </c>
      <c r="J1237">
        <f>[1]资金台帐!J1237&amp;""</f>
      </c>
      <c r="N1237">
        <f>[1]资金台帐!N1237</f>
      </c>
      <c r="O1237">
        <f>[1]资金台帐!O1237&amp;""</f>
      </c>
      <c r="P1237">
        <f>[1]资金台帐!P1237&amp;""</f>
      </c>
      <c r="Q1237">
        <f>[1]资金台帐!Q1237&amp;""</f>
      </c>
      <c r="T1237">
        <f>[1]资金台帐!T1237&amp;""</f>
      </c>
      <c r="U1237">
        <f>[1]资金台帐!U1237&amp;""</f>
      </c>
      <c r="W1237">
        <f>[1]资金台帐!W1237&amp;""</f>
      </c>
      <c r="X1237">
        <f>[1]资金台帐!X1237&amp;""</f>
      </c>
      <c r="AB1237">
        <f>[1]资金台帐!AB1237</f>
        <v>0</v>
      </c>
      <c r="AC1237">
        <f>[1]资金台帐!AC1237</f>
        <v>0</v>
      </c>
      <c r="AD1237">
        <f>[1]资金台帐!AD1237</f>
        <v>0</v>
      </c>
      <c r="AJ1237">
        <f>[1]资金台帐!AJ1237</f>
        <v>0</v>
      </c>
      <c r="AK1237">
        <f>[1]资金台帐!AK1237</f>
        <v>0</v>
      </c>
      <c r="BA1237" s="22">
        <f t="shared" si="0"/>
      </c>
      <c r="BG1237" s="22">
        <f t="shared" si="1"/>
      </c>
      <c r="BH1237" s="22">
        <f t="shared" si="2"/>
        <v>0</v>
      </c>
    </row>
    <row r="1238">
      <c r="B1238">
        <f>[1]资金台帐!B1238&amp;""</f>
      </c>
      <c r="H1238">
        <f>[1]资金台帐!H1238&amp;""</f>
      </c>
      <c r="J1238">
        <f>[1]资金台帐!J1238&amp;""</f>
      </c>
      <c r="N1238">
        <f>[1]资金台帐!N1238</f>
      </c>
      <c r="O1238">
        <f>[1]资金台帐!O1238&amp;""</f>
      </c>
      <c r="P1238">
        <f>[1]资金台帐!P1238&amp;""</f>
      </c>
      <c r="Q1238">
        <f>[1]资金台帐!Q1238&amp;""</f>
      </c>
      <c r="T1238">
        <f>[1]资金台帐!T1238&amp;""</f>
      </c>
      <c r="U1238">
        <f>[1]资金台帐!U1238&amp;""</f>
      </c>
      <c r="W1238">
        <f>[1]资金台帐!W1238&amp;""</f>
      </c>
      <c r="X1238">
        <f>[1]资金台帐!X1238&amp;""</f>
      </c>
      <c r="AB1238">
        <f>[1]资金台帐!AB1238</f>
        <v>0</v>
      </c>
      <c r="AC1238">
        <f>[1]资金台帐!AC1238</f>
        <v>0</v>
      </c>
      <c r="AD1238">
        <f>[1]资金台帐!AD1238</f>
        <v>0</v>
      </c>
      <c r="AJ1238">
        <f>[1]资金台帐!AJ1238</f>
        <v>0</v>
      </c>
      <c r="AK1238">
        <f>[1]资金台帐!AK1238</f>
        <v>0</v>
      </c>
      <c r="BA1238" s="22">
        <f t="shared" si="0"/>
      </c>
      <c r="BG1238" s="22">
        <f t="shared" si="1"/>
      </c>
      <c r="BH1238" s="22">
        <f t="shared" si="2"/>
        <v>0</v>
      </c>
    </row>
    <row r="1239">
      <c r="B1239">
        <f>[1]资金台帐!B1239&amp;""</f>
      </c>
      <c r="H1239">
        <f>[1]资金台帐!H1239&amp;""</f>
      </c>
      <c r="J1239">
        <f>[1]资金台帐!J1239&amp;""</f>
      </c>
      <c r="N1239">
        <f>[1]资金台帐!N1239</f>
      </c>
      <c r="O1239">
        <f>[1]资金台帐!O1239&amp;""</f>
      </c>
      <c r="P1239">
        <f>[1]资金台帐!P1239&amp;""</f>
      </c>
      <c r="Q1239">
        <f>[1]资金台帐!Q1239&amp;""</f>
      </c>
      <c r="T1239">
        <f>[1]资金台帐!T1239&amp;""</f>
      </c>
      <c r="U1239">
        <f>[1]资金台帐!U1239&amp;""</f>
      </c>
      <c r="W1239">
        <f>[1]资金台帐!W1239&amp;""</f>
      </c>
      <c r="X1239">
        <f>[1]资金台帐!X1239&amp;""</f>
      </c>
      <c r="AB1239">
        <f>[1]资金台帐!AB1239</f>
        <v>0</v>
      </c>
      <c r="AC1239">
        <f>[1]资金台帐!AC1239</f>
        <v>0</v>
      </c>
      <c r="AD1239">
        <f>[1]资金台帐!AD1239</f>
        <v>0</v>
      </c>
      <c r="AJ1239">
        <f>[1]资金台帐!AJ1239</f>
        <v>0</v>
      </c>
      <c r="AK1239">
        <f>[1]资金台帐!AK1239</f>
        <v>0</v>
      </c>
      <c r="BA1239" s="22">
        <f t="shared" si="0"/>
      </c>
      <c r="BG1239" s="22">
        <f t="shared" si="1"/>
      </c>
      <c r="BH1239" s="22">
        <f t="shared" si="2"/>
        <v>0</v>
      </c>
    </row>
    <row r="1240">
      <c r="B1240">
        <f>[1]资金台帐!B1240&amp;""</f>
      </c>
      <c r="H1240">
        <f>[1]资金台帐!H1240&amp;""</f>
      </c>
      <c r="J1240">
        <f>[1]资金台帐!J1240&amp;""</f>
      </c>
      <c r="N1240">
        <f>[1]资金台帐!N1240</f>
      </c>
      <c r="O1240">
        <f>[1]资金台帐!O1240&amp;""</f>
      </c>
      <c r="P1240">
        <f>[1]资金台帐!P1240&amp;""</f>
      </c>
      <c r="Q1240">
        <f>[1]资金台帐!Q1240&amp;""</f>
      </c>
      <c r="T1240">
        <f>[1]资金台帐!T1240&amp;""</f>
      </c>
      <c r="U1240">
        <f>[1]资金台帐!U1240&amp;""</f>
      </c>
      <c r="W1240">
        <f>[1]资金台帐!W1240&amp;""</f>
      </c>
      <c r="X1240">
        <f>[1]资金台帐!X1240&amp;""</f>
      </c>
      <c r="AB1240">
        <f>[1]资金台帐!AB1240</f>
        <v>0</v>
      </c>
      <c r="AC1240">
        <f>[1]资金台帐!AC1240</f>
        <v>0</v>
      </c>
      <c r="AD1240">
        <f>[1]资金台帐!AD1240</f>
        <v>0</v>
      </c>
      <c r="AJ1240">
        <f>[1]资金台帐!AJ1240</f>
        <v>0</v>
      </c>
      <c r="AK1240">
        <f>[1]资金台帐!AK1240</f>
        <v>0</v>
      </c>
      <c r="BA1240" s="22">
        <f t="shared" si="0"/>
      </c>
      <c r="BG1240" s="22">
        <f t="shared" si="1"/>
      </c>
      <c r="BH1240" s="22">
        <f t="shared" si="2"/>
        <v>0</v>
      </c>
    </row>
    <row r="1241">
      <c r="B1241">
        <f>[1]资金台帐!B1241&amp;""</f>
      </c>
      <c r="H1241">
        <f>[1]资金台帐!H1241&amp;""</f>
      </c>
      <c r="J1241">
        <f>[1]资金台帐!J1241&amp;""</f>
      </c>
      <c r="N1241">
        <f>[1]资金台帐!N1241</f>
      </c>
      <c r="O1241">
        <f>[1]资金台帐!O1241&amp;""</f>
      </c>
      <c r="P1241">
        <f>[1]资金台帐!P1241&amp;""</f>
      </c>
      <c r="Q1241">
        <f>[1]资金台帐!Q1241&amp;""</f>
      </c>
      <c r="T1241">
        <f>[1]资金台帐!T1241&amp;""</f>
      </c>
      <c r="U1241">
        <f>[1]资金台帐!U1241&amp;""</f>
      </c>
      <c r="W1241">
        <f>[1]资金台帐!W1241&amp;""</f>
      </c>
      <c r="X1241">
        <f>[1]资金台帐!X1241&amp;""</f>
      </c>
      <c r="AB1241">
        <f>[1]资金台帐!AB1241</f>
        <v>0</v>
      </c>
      <c r="AC1241">
        <f>[1]资金台帐!AC1241</f>
        <v>0</v>
      </c>
      <c r="AD1241">
        <f>[1]资金台帐!AD1241</f>
        <v>0</v>
      </c>
      <c r="AJ1241">
        <f>[1]资金台帐!AJ1241</f>
        <v>0</v>
      </c>
      <c r="AK1241">
        <f>[1]资金台帐!AK1241</f>
        <v>0</v>
      </c>
      <c r="BA1241" s="22">
        <f t="shared" si="0"/>
      </c>
      <c r="BG1241" s="22">
        <f t="shared" si="1"/>
      </c>
      <c r="BH1241" s="22">
        <f t="shared" si="2"/>
        <v>0</v>
      </c>
    </row>
    <row r="1242">
      <c r="B1242">
        <f>[1]资金台帐!B1242&amp;""</f>
      </c>
      <c r="H1242">
        <f>[1]资金台帐!H1242&amp;""</f>
      </c>
      <c r="J1242">
        <f>[1]资金台帐!J1242&amp;""</f>
      </c>
      <c r="N1242">
        <f>[1]资金台帐!N1242</f>
      </c>
      <c r="O1242">
        <f>[1]资金台帐!O1242&amp;""</f>
      </c>
      <c r="P1242">
        <f>[1]资金台帐!P1242&amp;""</f>
      </c>
      <c r="Q1242">
        <f>[1]资金台帐!Q1242&amp;""</f>
      </c>
      <c r="T1242">
        <f>[1]资金台帐!T1242&amp;""</f>
      </c>
      <c r="U1242">
        <f>[1]资金台帐!U1242&amp;""</f>
      </c>
      <c r="W1242">
        <f>[1]资金台帐!W1242&amp;""</f>
      </c>
      <c r="X1242">
        <f>[1]资金台帐!X1242&amp;""</f>
      </c>
      <c r="AB1242">
        <f>[1]资金台帐!AB1242</f>
        <v>0</v>
      </c>
      <c r="AC1242">
        <f>[1]资金台帐!AC1242</f>
        <v>0</v>
      </c>
      <c r="AD1242">
        <f>[1]资金台帐!AD1242</f>
        <v>0</v>
      </c>
      <c r="AJ1242">
        <f>[1]资金台帐!AJ1242</f>
        <v>0</v>
      </c>
      <c r="AK1242">
        <f>[1]资金台帐!AK1242</f>
        <v>0</v>
      </c>
      <c r="BA1242" s="22">
        <f t="shared" si="0"/>
      </c>
      <c r="BG1242" s="22">
        <f t="shared" si="1"/>
      </c>
      <c r="BH1242" s="22">
        <f t="shared" si="2"/>
        <v>0</v>
      </c>
    </row>
    <row r="1243">
      <c r="B1243">
        <f>[1]资金台帐!B1243&amp;""</f>
      </c>
      <c r="H1243">
        <f>[1]资金台帐!H1243&amp;""</f>
      </c>
      <c r="J1243">
        <f>[1]资金台帐!J1243&amp;""</f>
      </c>
      <c r="N1243">
        <f>[1]资金台帐!N1243</f>
      </c>
      <c r="O1243">
        <f>[1]资金台帐!O1243&amp;""</f>
      </c>
      <c r="P1243">
        <f>[1]资金台帐!P1243&amp;""</f>
      </c>
      <c r="Q1243">
        <f>[1]资金台帐!Q1243&amp;""</f>
      </c>
      <c r="T1243">
        <f>[1]资金台帐!T1243&amp;""</f>
      </c>
      <c r="U1243">
        <f>[1]资金台帐!U1243&amp;""</f>
      </c>
      <c r="W1243">
        <f>[1]资金台帐!W1243&amp;""</f>
      </c>
      <c r="X1243">
        <f>[1]资金台帐!X1243&amp;""</f>
      </c>
      <c r="AB1243">
        <f>[1]资金台帐!AB1243</f>
        <v>0</v>
      </c>
      <c r="AC1243">
        <f>[1]资金台帐!AC1243</f>
        <v>0</v>
      </c>
      <c r="AD1243">
        <f>[1]资金台帐!AD1243</f>
        <v>0</v>
      </c>
      <c r="AJ1243">
        <f>[1]资金台帐!AJ1243</f>
        <v>0</v>
      </c>
      <c r="AK1243">
        <f>[1]资金台帐!AK1243</f>
        <v>0</v>
      </c>
      <c r="BA1243" s="22">
        <f t="shared" si="0"/>
      </c>
      <c r="BG1243" s="22">
        <f t="shared" si="1"/>
      </c>
      <c r="BH1243" s="22">
        <f t="shared" si="2"/>
        <v>0</v>
      </c>
    </row>
    <row r="1244">
      <c r="B1244">
        <f>[1]资金台帐!B1244&amp;""</f>
      </c>
      <c r="H1244">
        <f>[1]资金台帐!H1244&amp;""</f>
      </c>
      <c r="J1244">
        <f>[1]资金台帐!J1244&amp;""</f>
      </c>
      <c r="N1244">
        <f>[1]资金台帐!N1244</f>
      </c>
      <c r="O1244">
        <f>[1]资金台帐!O1244&amp;""</f>
      </c>
      <c r="P1244">
        <f>[1]资金台帐!P1244&amp;""</f>
      </c>
      <c r="Q1244">
        <f>[1]资金台帐!Q1244&amp;""</f>
      </c>
      <c r="T1244">
        <f>[1]资金台帐!T1244&amp;""</f>
      </c>
      <c r="U1244">
        <f>[1]资金台帐!U1244&amp;""</f>
      </c>
      <c r="W1244">
        <f>[1]资金台帐!W1244&amp;""</f>
      </c>
      <c r="X1244">
        <f>[1]资金台帐!X1244&amp;""</f>
      </c>
      <c r="AB1244">
        <f>[1]资金台帐!AB1244</f>
        <v>0</v>
      </c>
      <c r="AC1244">
        <f>[1]资金台帐!AC1244</f>
        <v>0</v>
      </c>
      <c r="AD1244">
        <f>[1]资金台帐!AD1244</f>
        <v>0</v>
      </c>
      <c r="AJ1244">
        <f>[1]资金台帐!AJ1244</f>
        <v>0</v>
      </c>
      <c r="AK1244">
        <f>[1]资金台帐!AK1244</f>
        <v>0</v>
      </c>
      <c r="BA1244" s="22">
        <f t="shared" si="0"/>
      </c>
      <c r="BG1244" s="22">
        <f t="shared" si="1"/>
      </c>
      <c r="BH1244" s="22">
        <f t="shared" si="2"/>
        <v>0</v>
      </c>
    </row>
    <row r="1245">
      <c r="B1245">
        <f>[1]资金台帐!B1245&amp;""</f>
      </c>
      <c r="H1245">
        <f>[1]资金台帐!H1245&amp;""</f>
      </c>
      <c r="J1245">
        <f>[1]资金台帐!J1245&amp;""</f>
      </c>
      <c r="N1245">
        <f>[1]资金台帐!N1245</f>
      </c>
      <c r="O1245">
        <f>[1]资金台帐!O1245&amp;""</f>
      </c>
      <c r="P1245">
        <f>[1]资金台帐!P1245&amp;""</f>
      </c>
      <c r="Q1245">
        <f>[1]资金台帐!Q1245&amp;""</f>
      </c>
      <c r="T1245">
        <f>[1]资金台帐!T1245&amp;""</f>
      </c>
      <c r="U1245">
        <f>[1]资金台帐!U1245&amp;""</f>
      </c>
      <c r="W1245">
        <f>[1]资金台帐!W1245&amp;""</f>
      </c>
      <c r="X1245">
        <f>[1]资金台帐!X1245&amp;""</f>
      </c>
      <c r="AB1245">
        <f>[1]资金台帐!AB1245</f>
        <v>0</v>
      </c>
      <c r="AC1245">
        <f>[1]资金台帐!AC1245</f>
        <v>0</v>
      </c>
      <c r="AD1245">
        <f>[1]资金台帐!AD1245</f>
        <v>0</v>
      </c>
      <c r="AJ1245">
        <f>[1]资金台帐!AJ1245</f>
        <v>0</v>
      </c>
      <c r="AK1245">
        <f>[1]资金台帐!AK1245</f>
        <v>0</v>
      </c>
      <c r="BA1245" s="22">
        <f t="shared" si="0"/>
      </c>
      <c r="BG1245" s="22">
        <f t="shared" si="1"/>
      </c>
      <c r="BH1245" s="22">
        <f t="shared" si="2"/>
        <v>0</v>
      </c>
    </row>
    <row r="1246">
      <c r="B1246">
        <f>[1]资金台帐!B1246&amp;""</f>
      </c>
      <c r="H1246">
        <f>[1]资金台帐!H1246&amp;""</f>
      </c>
      <c r="J1246">
        <f>[1]资金台帐!J1246&amp;""</f>
      </c>
      <c r="N1246">
        <f>[1]资金台帐!N1246</f>
      </c>
      <c r="O1246">
        <f>[1]资金台帐!O1246&amp;""</f>
      </c>
      <c r="P1246">
        <f>[1]资金台帐!P1246&amp;""</f>
      </c>
      <c r="Q1246">
        <f>[1]资金台帐!Q1246&amp;""</f>
      </c>
      <c r="T1246">
        <f>[1]资金台帐!T1246&amp;""</f>
      </c>
      <c r="U1246">
        <f>[1]资金台帐!U1246&amp;""</f>
      </c>
      <c r="W1246">
        <f>[1]资金台帐!W1246&amp;""</f>
      </c>
      <c r="X1246">
        <f>[1]资金台帐!X1246&amp;""</f>
      </c>
      <c r="AB1246">
        <f>[1]资金台帐!AB1246</f>
        <v>0</v>
      </c>
      <c r="AC1246">
        <f>[1]资金台帐!AC1246</f>
        <v>0</v>
      </c>
      <c r="AD1246">
        <f>[1]资金台帐!AD1246</f>
        <v>0</v>
      </c>
      <c r="AJ1246">
        <f>[1]资金台帐!AJ1246</f>
        <v>0</v>
      </c>
      <c r="AK1246">
        <f>[1]资金台帐!AK1246</f>
        <v>0</v>
      </c>
      <c r="BA1246" s="22">
        <f t="shared" si="0"/>
      </c>
      <c r="BG1246" s="22">
        <f t="shared" si="1"/>
      </c>
      <c r="BH1246" s="22">
        <f t="shared" si="2"/>
        <v>0</v>
      </c>
    </row>
    <row r="1247">
      <c r="B1247">
        <f>[1]资金台帐!B1247&amp;""</f>
      </c>
      <c r="H1247">
        <f>[1]资金台帐!H1247&amp;""</f>
      </c>
      <c r="J1247">
        <f>[1]资金台帐!J1247&amp;""</f>
      </c>
      <c r="N1247">
        <f>[1]资金台帐!N1247</f>
      </c>
      <c r="O1247">
        <f>[1]资金台帐!O1247&amp;""</f>
      </c>
      <c r="P1247">
        <f>[1]资金台帐!P1247&amp;""</f>
      </c>
      <c r="Q1247">
        <f>[1]资金台帐!Q1247&amp;""</f>
      </c>
      <c r="T1247">
        <f>[1]资金台帐!T1247&amp;""</f>
      </c>
      <c r="U1247">
        <f>[1]资金台帐!U1247&amp;""</f>
      </c>
      <c r="W1247">
        <f>[1]资金台帐!W1247&amp;""</f>
      </c>
      <c r="X1247">
        <f>[1]资金台帐!X1247&amp;""</f>
      </c>
      <c r="AB1247">
        <f>[1]资金台帐!AB1247</f>
        <v>0</v>
      </c>
      <c r="AC1247">
        <f>[1]资金台帐!AC1247</f>
        <v>0</v>
      </c>
      <c r="AD1247">
        <f>[1]资金台帐!AD1247</f>
        <v>0</v>
      </c>
      <c r="AJ1247">
        <f>[1]资金台帐!AJ1247</f>
        <v>0</v>
      </c>
      <c r="AK1247">
        <f>[1]资金台帐!AK1247</f>
        <v>0</v>
      </c>
      <c r="BA1247" s="22">
        <f t="shared" si="0"/>
      </c>
      <c r="BG1247" s="22">
        <f t="shared" si="1"/>
      </c>
      <c r="BH1247" s="22">
        <f t="shared" si="2"/>
        <v>0</v>
      </c>
    </row>
    <row r="1248">
      <c r="B1248">
        <f>[1]资金台帐!B1248&amp;""</f>
      </c>
      <c r="H1248">
        <f>[1]资金台帐!H1248&amp;""</f>
      </c>
      <c r="J1248">
        <f>[1]资金台帐!J1248&amp;""</f>
      </c>
      <c r="N1248">
        <f>[1]资金台帐!N1248</f>
      </c>
      <c r="O1248">
        <f>[1]资金台帐!O1248&amp;""</f>
      </c>
      <c r="P1248">
        <f>[1]资金台帐!P1248&amp;""</f>
      </c>
      <c r="Q1248">
        <f>[1]资金台帐!Q1248&amp;""</f>
      </c>
      <c r="T1248">
        <f>[1]资金台帐!T1248&amp;""</f>
      </c>
      <c r="U1248">
        <f>[1]资金台帐!U1248&amp;""</f>
      </c>
      <c r="W1248">
        <f>[1]资金台帐!W1248&amp;""</f>
      </c>
      <c r="X1248">
        <f>[1]资金台帐!X1248&amp;""</f>
      </c>
      <c r="AB1248">
        <f>[1]资金台帐!AB1248</f>
        <v>0</v>
      </c>
      <c r="AC1248">
        <f>[1]资金台帐!AC1248</f>
        <v>0</v>
      </c>
      <c r="AD1248">
        <f>[1]资金台帐!AD1248</f>
        <v>0</v>
      </c>
      <c r="AJ1248">
        <f>[1]资金台帐!AJ1248</f>
        <v>0</v>
      </c>
      <c r="AK1248">
        <f>[1]资金台帐!AK1248</f>
        <v>0</v>
      </c>
      <c r="BA1248" s="22">
        <f t="shared" si="0"/>
      </c>
      <c r="BG1248" s="22">
        <f t="shared" si="1"/>
      </c>
      <c r="BH1248" s="22">
        <f t="shared" si="2"/>
        <v>0</v>
      </c>
    </row>
    <row r="1249">
      <c r="B1249">
        <f>[1]资金台帐!B1249&amp;""</f>
      </c>
      <c r="H1249">
        <f>[1]资金台帐!H1249&amp;""</f>
      </c>
      <c r="J1249">
        <f>[1]资金台帐!J1249&amp;""</f>
      </c>
      <c r="N1249">
        <f>[1]资金台帐!N1249</f>
      </c>
      <c r="O1249">
        <f>[1]资金台帐!O1249&amp;""</f>
      </c>
      <c r="P1249">
        <f>[1]资金台帐!P1249&amp;""</f>
      </c>
      <c r="Q1249">
        <f>[1]资金台帐!Q1249&amp;""</f>
      </c>
      <c r="T1249">
        <f>[1]资金台帐!T1249&amp;""</f>
      </c>
      <c r="U1249">
        <f>[1]资金台帐!U1249&amp;""</f>
      </c>
      <c r="W1249">
        <f>[1]资金台帐!W1249&amp;""</f>
      </c>
      <c r="X1249">
        <f>[1]资金台帐!X1249&amp;""</f>
      </c>
      <c r="AB1249">
        <f>[1]资金台帐!AB1249</f>
        <v>0</v>
      </c>
      <c r="AC1249">
        <f>[1]资金台帐!AC1249</f>
        <v>0</v>
      </c>
      <c r="AD1249">
        <f>[1]资金台帐!AD1249</f>
        <v>0</v>
      </c>
      <c r="AJ1249">
        <f>[1]资金台帐!AJ1249</f>
        <v>0</v>
      </c>
      <c r="AK1249">
        <f>[1]资金台帐!AK1249</f>
        <v>0</v>
      </c>
      <c r="BA1249" s="22">
        <f t="shared" si="0"/>
      </c>
      <c r="BG1249" s="22">
        <f t="shared" si="1"/>
      </c>
      <c r="BH1249" s="22">
        <f t="shared" si="2"/>
        <v>0</v>
      </c>
    </row>
    <row r="1250">
      <c r="B1250">
        <f>[1]资金台帐!B1250&amp;""</f>
      </c>
      <c r="H1250">
        <f>[1]资金台帐!H1250&amp;""</f>
      </c>
      <c r="J1250">
        <f>[1]资金台帐!J1250&amp;""</f>
      </c>
      <c r="N1250">
        <f>[1]资金台帐!N1250</f>
      </c>
      <c r="O1250">
        <f>[1]资金台帐!O1250&amp;""</f>
      </c>
      <c r="P1250">
        <f>[1]资金台帐!P1250&amp;""</f>
      </c>
      <c r="Q1250">
        <f>[1]资金台帐!Q1250&amp;""</f>
      </c>
      <c r="T1250">
        <f>[1]资金台帐!T1250&amp;""</f>
      </c>
      <c r="U1250">
        <f>[1]资金台帐!U1250&amp;""</f>
      </c>
      <c r="W1250">
        <f>[1]资金台帐!W1250&amp;""</f>
      </c>
      <c r="X1250">
        <f>[1]资金台帐!X1250&amp;""</f>
      </c>
      <c r="AB1250">
        <f>[1]资金台帐!AB1250</f>
        <v>0</v>
      </c>
      <c r="AC1250">
        <f>[1]资金台帐!AC1250</f>
        <v>0</v>
      </c>
      <c r="AD1250">
        <f>[1]资金台帐!AD1250</f>
        <v>0</v>
      </c>
      <c r="AJ1250">
        <f>[1]资金台帐!AJ1250</f>
        <v>0</v>
      </c>
      <c r="AK1250">
        <f>[1]资金台帐!AK1250</f>
        <v>0</v>
      </c>
      <c r="BA1250" s="22">
        <f t="shared" si="0"/>
      </c>
      <c r="BG1250" s="22">
        <f t="shared" si="1"/>
      </c>
      <c r="BH1250" s="22">
        <f t="shared" si="2"/>
        <v>0</v>
      </c>
    </row>
    <row r="1251">
      <c r="B1251">
        <f>[1]资金台帐!B1251&amp;""</f>
      </c>
      <c r="H1251">
        <f>[1]资金台帐!H1251&amp;""</f>
      </c>
      <c r="J1251">
        <f>[1]资金台帐!J1251&amp;""</f>
      </c>
      <c r="N1251">
        <f>[1]资金台帐!N1251</f>
      </c>
      <c r="O1251">
        <f>[1]资金台帐!O1251&amp;""</f>
      </c>
      <c r="P1251">
        <f>[1]资金台帐!P1251&amp;""</f>
      </c>
      <c r="Q1251">
        <f>[1]资金台帐!Q1251&amp;""</f>
      </c>
      <c r="T1251">
        <f>[1]资金台帐!T1251&amp;""</f>
      </c>
      <c r="U1251">
        <f>[1]资金台帐!U1251&amp;""</f>
      </c>
      <c r="W1251">
        <f>[1]资金台帐!W1251&amp;""</f>
      </c>
      <c r="X1251">
        <f>[1]资金台帐!X1251&amp;""</f>
      </c>
      <c r="AB1251">
        <f>[1]资金台帐!AB1251</f>
        <v>0</v>
      </c>
      <c r="AC1251">
        <f>[1]资金台帐!AC1251</f>
        <v>0</v>
      </c>
      <c r="AD1251">
        <f>[1]资金台帐!AD1251</f>
        <v>0</v>
      </c>
      <c r="AJ1251">
        <f>[1]资金台帐!AJ1251</f>
        <v>0</v>
      </c>
      <c r="AK1251">
        <f>[1]资金台帐!AK1251</f>
        <v>0</v>
      </c>
      <c r="BA1251" s="22">
        <f t="shared" si="0"/>
      </c>
      <c r="BG1251" s="22">
        <f t="shared" si="1"/>
      </c>
      <c r="BH1251" s="22">
        <f t="shared" si="2"/>
        <v>0</v>
      </c>
    </row>
    <row r="1252">
      <c r="B1252">
        <f>[1]资金台帐!B1252&amp;""</f>
      </c>
      <c r="H1252">
        <f>[1]资金台帐!H1252&amp;""</f>
      </c>
      <c r="J1252">
        <f>[1]资金台帐!J1252&amp;""</f>
      </c>
      <c r="N1252">
        <f>[1]资金台帐!N1252</f>
      </c>
      <c r="O1252">
        <f>[1]资金台帐!O1252&amp;""</f>
      </c>
      <c r="P1252">
        <f>[1]资金台帐!P1252&amp;""</f>
      </c>
      <c r="Q1252">
        <f>[1]资金台帐!Q1252&amp;""</f>
      </c>
      <c r="T1252">
        <f>[1]资金台帐!T1252&amp;""</f>
      </c>
      <c r="U1252">
        <f>[1]资金台帐!U1252&amp;""</f>
      </c>
      <c r="W1252">
        <f>[1]资金台帐!W1252&amp;""</f>
      </c>
      <c r="X1252">
        <f>[1]资金台帐!X1252&amp;""</f>
      </c>
      <c r="AB1252">
        <f>[1]资金台帐!AB1252</f>
        <v>0</v>
      </c>
      <c r="AC1252">
        <f>[1]资金台帐!AC1252</f>
        <v>0</v>
      </c>
      <c r="AD1252">
        <f>[1]资金台帐!AD1252</f>
        <v>0</v>
      </c>
      <c r="AJ1252">
        <f>[1]资金台帐!AJ1252</f>
        <v>0</v>
      </c>
      <c r="AK1252">
        <f>[1]资金台帐!AK1252</f>
        <v>0</v>
      </c>
      <c r="BA1252" s="22">
        <f t="shared" si="0"/>
      </c>
      <c r="BG1252" s="22">
        <f t="shared" si="1"/>
      </c>
      <c r="BH1252" s="22">
        <f t="shared" si="2"/>
        <v>0</v>
      </c>
    </row>
    <row r="1253">
      <c r="B1253">
        <f>[1]资金台帐!B1253&amp;""</f>
      </c>
      <c r="H1253">
        <f>[1]资金台帐!H1253&amp;""</f>
      </c>
      <c r="J1253">
        <f>[1]资金台帐!J1253&amp;""</f>
      </c>
      <c r="N1253">
        <f>[1]资金台帐!N1253</f>
      </c>
      <c r="O1253">
        <f>[1]资金台帐!O1253&amp;""</f>
      </c>
      <c r="P1253">
        <f>[1]资金台帐!P1253&amp;""</f>
      </c>
      <c r="Q1253">
        <f>[1]资金台帐!Q1253&amp;""</f>
      </c>
      <c r="T1253">
        <f>[1]资金台帐!T1253&amp;""</f>
      </c>
      <c r="U1253">
        <f>[1]资金台帐!U1253&amp;""</f>
      </c>
      <c r="W1253">
        <f>[1]资金台帐!W1253&amp;""</f>
      </c>
      <c r="X1253">
        <f>[1]资金台帐!X1253&amp;""</f>
      </c>
      <c r="AB1253">
        <f>[1]资金台帐!AB1253</f>
        <v>0</v>
      </c>
      <c r="AC1253">
        <f>[1]资金台帐!AC1253</f>
        <v>0</v>
      </c>
      <c r="AD1253">
        <f>[1]资金台帐!AD1253</f>
        <v>0</v>
      </c>
      <c r="AJ1253">
        <f>[1]资金台帐!AJ1253</f>
        <v>0</v>
      </c>
      <c r="AK1253">
        <f>[1]资金台帐!AK1253</f>
        <v>0</v>
      </c>
      <c r="BA1253" s="22">
        <f t="shared" si="0"/>
      </c>
      <c r="BG1253" s="22">
        <f t="shared" si="1"/>
      </c>
      <c r="BH1253" s="22">
        <f t="shared" si="2"/>
        <v>0</v>
      </c>
    </row>
    <row r="1254">
      <c r="B1254">
        <f>[1]资金台帐!B1254&amp;""</f>
      </c>
      <c r="H1254">
        <f>[1]资金台帐!H1254&amp;""</f>
      </c>
      <c r="J1254">
        <f>[1]资金台帐!J1254&amp;""</f>
      </c>
      <c r="N1254">
        <f>[1]资金台帐!N1254</f>
      </c>
      <c r="O1254">
        <f>[1]资金台帐!O1254&amp;""</f>
      </c>
      <c r="P1254">
        <f>[1]资金台帐!P1254&amp;""</f>
      </c>
      <c r="Q1254">
        <f>[1]资金台帐!Q1254&amp;""</f>
      </c>
      <c r="T1254">
        <f>[1]资金台帐!T1254&amp;""</f>
      </c>
      <c r="U1254">
        <f>[1]资金台帐!U1254&amp;""</f>
      </c>
      <c r="W1254">
        <f>[1]资金台帐!W1254&amp;""</f>
      </c>
      <c r="X1254">
        <f>[1]资金台帐!X1254&amp;""</f>
      </c>
      <c r="AB1254">
        <f>[1]资金台帐!AB1254</f>
        <v>0</v>
      </c>
      <c r="AC1254">
        <f>[1]资金台帐!AC1254</f>
        <v>0</v>
      </c>
      <c r="AD1254">
        <f>[1]资金台帐!AD1254</f>
        <v>0</v>
      </c>
      <c r="AJ1254">
        <f>[1]资金台帐!AJ1254</f>
        <v>0</v>
      </c>
      <c r="AK1254">
        <f>[1]资金台帐!AK1254</f>
        <v>0</v>
      </c>
      <c r="BA1254" s="22">
        <f t="shared" si="0"/>
      </c>
      <c r="BG1254" s="22">
        <f t="shared" si="1"/>
      </c>
      <c r="BH1254" s="22">
        <f t="shared" si="2"/>
        <v>0</v>
      </c>
    </row>
    <row r="1255">
      <c r="B1255">
        <f>[1]资金台帐!B1255&amp;""</f>
      </c>
      <c r="H1255">
        <f>[1]资金台帐!H1255&amp;""</f>
      </c>
      <c r="J1255">
        <f>[1]资金台帐!J1255&amp;""</f>
      </c>
      <c r="N1255">
        <f>[1]资金台帐!N1255</f>
      </c>
      <c r="O1255">
        <f>[1]资金台帐!O1255&amp;""</f>
      </c>
      <c r="P1255">
        <f>[1]资金台帐!P1255&amp;""</f>
      </c>
      <c r="Q1255">
        <f>[1]资金台帐!Q1255&amp;""</f>
      </c>
      <c r="T1255">
        <f>[1]资金台帐!T1255&amp;""</f>
      </c>
      <c r="U1255">
        <f>[1]资金台帐!U1255&amp;""</f>
      </c>
      <c r="W1255">
        <f>[1]资金台帐!W1255&amp;""</f>
      </c>
      <c r="X1255">
        <f>[1]资金台帐!X1255&amp;""</f>
      </c>
      <c r="AB1255">
        <f>[1]资金台帐!AB1255</f>
        <v>0</v>
      </c>
      <c r="AC1255">
        <f>[1]资金台帐!AC1255</f>
        <v>0</v>
      </c>
      <c r="AD1255">
        <f>[1]资金台帐!AD1255</f>
        <v>0</v>
      </c>
      <c r="AJ1255">
        <f>[1]资金台帐!AJ1255</f>
        <v>0</v>
      </c>
      <c r="AK1255">
        <f>[1]资金台帐!AK1255</f>
        <v>0</v>
      </c>
      <c r="BA1255" s="22">
        <f t="shared" si="0"/>
      </c>
      <c r="BG1255" s="22">
        <f t="shared" si="1"/>
      </c>
      <c r="BH1255" s="22">
        <f t="shared" si="2"/>
        <v>0</v>
      </c>
    </row>
    <row r="1256">
      <c r="B1256">
        <f>[1]资金台帐!B1256&amp;""</f>
      </c>
      <c r="H1256">
        <f>[1]资金台帐!H1256&amp;""</f>
      </c>
      <c r="J1256">
        <f>[1]资金台帐!J1256&amp;""</f>
      </c>
      <c r="N1256">
        <f>[1]资金台帐!N1256</f>
      </c>
      <c r="O1256">
        <f>[1]资金台帐!O1256&amp;""</f>
      </c>
      <c r="P1256">
        <f>[1]资金台帐!P1256&amp;""</f>
      </c>
      <c r="Q1256">
        <f>[1]资金台帐!Q1256&amp;""</f>
      </c>
      <c r="T1256">
        <f>[1]资金台帐!T1256&amp;""</f>
      </c>
      <c r="U1256">
        <f>[1]资金台帐!U1256&amp;""</f>
      </c>
      <c r="W1256">
        <f>[1]资金台帐!W1256&amp;""</f>
      </c>
      <c r="X1256">
        <f>[1]资金台帐!X1256&amp;""</f>
      </c>
      <c r="AB1256">
        <f>[1]资金台帐!AB1256</f>
        <v>0</v>
      </c>
      <c r="AC1256">
        <f>[1]资金台帐!AC1256</f>
        <v>0</v>
      </c>
      <c r="AD1256">
        <f>[1]资金台帐!AD1256</f>
        <v>0</v>
      </c>
      <c r="AJ1256">
        <f>[1]资金台帐!AJ1256</f>
        <v>0</v>
      </c>
      <c r="AK1256">
        <f>[1]资金台帐!AK1256</f>
        <v>0</v>
      </c>
      <c r="BA1256" s="22">
        <f t="shared" si="0"/>
      </c>
      <c r="BG1256" s="22">
        <f t="shared" si="1"/>
      </c>
      <c r="BH1256" s="22">
        <f t="shared" si="2"/>
        <v>0</v>
      </c>
    </row>
    <row r="1257">
      <c r="B1257">
        <f>[1]资金台帐!B1257&amp;""</f>
      </c>
      <c r="H1257">
        <f>[1]资金台帐!H1257&amp;""</f>
      </c>
      <c r="J1257">
        <f>[1]资金台帐!J1257&amp;""</f>
      </c>
      <c r="N1257">
        <f>[1]资金台帐!N1257</f>
      </c>
      <c r="O1257">
        <f>[1]资金台帐!O1257&amp;""</f>
      </c>
      <c r="P1257">
        <f>[1]资金台帐!P1257&amp;""</f>
      </c>
      <c r="Q1257">
        <f>[1]资金台帐!Q1257&amp;""</f>
      </c>
      <c r="T1257">
        <f>[1]资金台帐!T1257&amp;""</f>
      </c>
      <c r="U1257">
        <f>[1]资金台帐!U1257&amp;""</f>
      </c>
      <c r="W1257">
        <f>[1]资金台帐!W1257&amp;""</f>
      </c>
      <c r="X1257">
        <f>[1]资金台帐!X1257&amp;""</f>
      </c>
      <c r="AB1257">
        <f>[1]资金台帐!AB1257</f>
        <v>0</v>
      </c>
      <c r="AC1257">
        <f>[1]资金台帐!AC1257</f>
        <v>0</v>
      </c>
      <c r="AD1257">
        <f>[1]资金台帐!AD1257</f>
        <v>0</v>
      </c>
      <c r="AJ1257">
        <f>[1]资金台帐!AJ1257</f>
        <v>0</v>
      </c>
      <c r="AK1257">
        <f>[1]资金台帐!AK1257</f>
        <v>0</v>
      </c>
      <c r="BA1257" s="22">
        <f t="shared" si="0"/>
      </c>
      <c r="BG1257" s="22">
        <f t="shared" si="1"/>
      </c>
      <c r="BH1257" s="22">
        <f t="shared" si="2"/>
        <v>0</v>
      </c>
    </row>
    <row r="1258">
      <c r="B1258">
        <f>[1]资金台帐!B1258&amp;""</f>
      </c>
      <c r="H1258">
        <f>[1]资金台帐!H1258&amp;""</f>
      </c>
      <c r="J1258">
        <f>[1]资金台帐!J1258&amp;""</f>
      </c>
      <c r="N1258">
        <f>[1]资金台帐!N1258</f>
      </c>
      <c r="O1258">
        <f>[1]资金台帐!O1258&amp;""</f>
      </c>
      <c r="P1258">
        <f>[1]资金台帐!P1258&amp;""</f>
      </c>
      <c r="Q1258">
        <f>[1]资金台帐!Q1258&amp;""</f>
      </c>
      <c r="T1258">
        <f>[1]资金台帐!T1258&amp;""</f>
      </c>
      <c r="U1258">
        <f>[1]资金台帐!U1258&amp;""</f>
      </c>
      <c r="W1258">
        <f>[1]资金台帐!W1258&amp;""</f>
      </c>
      <c r="X1258">
        <f>[1]资金台帐!X1258&amp;""</f>
      </c>
      <c r="AB1258">
        <f>[1]资金台帐!AB1258</f>
        <v>0</v>
      </c>
      <c r="AC1258">
        <f>[1]资金台帐!AC1258</f>
        <v>0</v>
      </c>
      <c r="AD1258">
        <f>[1]资金台帐!AD1258</f>
        <v>0</v>
      </c>
      <c r="AJ1258">
        <f>[1]资金台帐!AJ1258</f>
        <v>0</v>
      </c>
      <c r="AK1258">
        <f>[1]资金台帐!AK1258</f>
        <v>0</v>
      </c>
      <c r="BA1258" s="22">
        <f t="shared" si="0"/>
      </c>
      <c r="BG1258" s="22">
        <f t="shared" si="1"/>
      </c>
      <c r="BH1258" s="22">
        <f t="shared" si="2"/>
        <v>0</v>
      </c>
    </row>
    <row r="1259">
      <c r="B1259">
        <f>[1]资金台帐!B1259&amp;""</f>
      </c>
      <c r="H1259">
        <f>[1]资金台帐!H1259&amp;""</f>
      </c>
      <c r="J1259">
        <f>[1]资金台帐!J1259&amp;""</f>
      </c>
      <c r="N1259">
        <f>[1]资金台帐!N1259</f>
      </c>
      <c r="O1259">
        <f>[1]资金台帐!O1259&amp;""</f>
      </c>
      <c r="P1259">
        <f>[1]资金台帐!P1259&amp;""</f>
      </c>
      <c r="Q1259">
        <f>[1]资金台帐!Q1259&amp;""</f>
      </c>
      <c r="T1259">
        <f>[1]资金台帐!T1259&amp;""</f>
      </c>
      <c r="U1259">
        <f>[1]资金台帐!U1259&amp;""</f>
      </c>
      <c r="W1259">
        <f>[1]资金台帐!W1259&amp;""</f>
      </c>
      <c r="X1259">
        <f>[1]资金台帐!X1259&amp;""</f>
      </c>
      <c r="AB1259">
        <f>[1]资金台帐!AB1259</f>
        <v>0</v>
      </c>
      <c r="AC1259">
        <f>[1]资金台帐!AC1259</f>
        <v>0</v>
      </c>
      <c r="AD1259">
        <f>[1]资金台帐!AD1259</f>
        <v>0</v>
      </c>
      <c r="AJ1259">
        <f>[1]资金台帐!AJ1259</f>
        <v>0</v>
      </c>
      <c r="AK1259">
        <f>[1]资金台帐!AK1259</f>
        <v>0</v>
      </c>
      <c r="BA1259" s="22">
        <f t="shared" si="0"/>
      </c>
      <c r="BG1259" s="22">
        <f t="shared" si="1"/>
      </c>
      <c r="BH1259" s="22">
        <f t="shared" si="2"/>
        <v>0</v>
      </c>
    </row>
    <row r="1260">
      <c r="B1260">
        <f>[1]资金台帐!B1260&amp;""</f>
      </c>
      <c r="H1260">
        <f>[1]资金台帐!H1260&amp;""</f>
      </c>
      <c r="J1260">
        <f>[1]资金台帐!J1260&amp;""</f>
      </c>
      <c r="N1260">
        <f>[1]资金台帐!N1260</f>
      </c>
      <c r="O1260">
        <f>[1]资金台帐!O1260&amp;""</f>
      </c>
      <c r="P1260">
        <f>[1]资金台帐!P1260&amp;""</f>
      </c>
      <c r="Q1260">
        <f>[1]资金台帐!Q1260&amp;""</f>
      </c>
      <c r="T1260">
        <f>[1]资金台帐!T1260&amp;""</f>
      </c>
      <c r="U1260">
        <f>[1]资金台帐!U1260&amp;""</f>
      </c>
      <c r="W1260">
        <f>[1]资金台帐!W1260&amp;""</f>
      </c>
      <c r="X1260">
        <f>[1]资金台帐!X1260&amp;""</f>
      </c>
      <c r="AB1260">
        <f>[1]资金台帐!AB1260</f>
        <v>0</v>
      </c>
      <c r="AC1260">
        <f>[1]资金台帐!AC1260</f>
        <v>0</v>
      </c>
      <c r="AD1260">
        <f>[1]资金台帐!AD1260</f>
        <v>0</v>
      </c>
      <c r="AJ1260">
        <f>[1]资金台帐!AJ1260</f>
        <v>0</v>
      </c>
      <c r="AK1260">
        <f>[1]资金台帐!AK1260</f>
        <v>0</v>
      </c>
      <c r="BA1260" s="22">
        <f t="shared" si="0"/>
      </c>
      <c r="BG1260" s="22">
        <f t="shared" si="1"/>
      </c>
      <c r="BH1260" s="22">
        <f t="shared" si="2"/>
        <v>0</v>
      </c>
    </row>
    <row r="1261">
      <c r="B1261">
        <f>[1]资金台帐!B1261&amp;""</f>
      </c>
      <c r="H1261">
        <f>[1]资金台帐!H1261&amp;""</f>
      </c>
      <c r="J1261">
        <f>[1]资金台帐!J1261&amp;""</f>
      </c>
      <c r="N1261">
        <f>[1]资金台帐!N1261</f>
      </c>
      <c r="O1261">
        <f>[1]资金台帐!O1261&amp;""</f>
      </c>
      <c r="P1261">
        <f>[1]资金台帐!P1261&amp;""</f>
      </c>
      <c r="Q1261">
        <f>[1]资金台帐!Q1261&amp;""</f>
      </c>
      <c r="T1261">
        <f>[1]资金台帐!T1261&amp;""</f>
      </c>
      <c r="U1261">
        <f>[1]资金台帐!U1261&amp;""</f>
      </c>
      <c r="W1261">
        <f>[1]资金台帐!W1261&amp;""</f>
      </c>
      <c r="X1261">
        <f>[1]资金台帐!X1261&amp;""</f>
      </c>
      <c r="AB1261">
        <f>[1]资金台帐!AB1261</f>
        <v>0</v>
      </c>
      <c r="AC1261">
        <f>[1]资金台帐!AC1261</f>
        <v>0</v>
      </c>
      <c r="AD1261">
        <f>[1]资金台帐!AD1261</f>
        <v>0</v>
      </c>
      <c r="AJ1261">
        <f>[1]资金台帐!AJ1261</f>
        <v>0</v>
      </c>
      <c r="AK1261">
        <f>[1]资金台帐!AK1261</f>
        <v>0</v>
      </c>
      <c r="BA1261" s="22">
        <f t="shared" si="0"/>
      </c>
      <c r="BG1261" s="22">
        <f t="shared" si="1"/>
      </c>
      <c r="BH1261" s="22">
        <f t="shared" si="2"/>
        <v>0</v>
      </c>
    </row>
    <row r="1262">
      <c r="B1262">
        <f>[1]资金台帐!B1262&amp;""</f>
      </c>
      <c r="H1262">
        <f>[1]资金台帐!H1262&amp;""</f>
      </c>
      <c r="J1262">
        <f>[1]资金台帐!J1262&amp;""</f>
      </c>
      <c r="N1262">
        <f>[1]资金台帐!N1262</f>
      </c>
      <c r="O1262">
        <f>[1]资金台帐!O1262&amp;""</f>
      </c>
      <c r="P1262">
        <f>[1]资金台帐!P1262&amp;""</f>
      </c>
      <c r="Q1262">
        <f>[1]资金台帐!Q1262&amp;""</f>
      </c>
      <c r="T1262">
        <f>[1]资金台帐!T1262&amp;""</f>
      </c>
      <c r="U1262">
        <f>[1]资金台帐!U1262&amp;""</f>
      </c>
      <c r="W1262">
        <f>[1]资金台帐!W1262&amp;""</f>
      </c>
      <c r="X1262">
        <f>[1]资金台帐!X1262&amp;""</f>
      </c>
      <c r="AB1262">
        <f>[1]资金台帐!AB1262</f>
        <v>0</v>
      </c>
      <c r="AC1262">
        <f>[1]资金台帐!AC1262</f>
        <v>0</v>
      </c>
      <c r="AD1262">
        <f>[1]资金台帐!AD1262</f>
        <v>0</v>
      </c>
      <c r="AJ1262">
        <f>[1]资金台帐!AJ1262</f>
        <v>0</v>
      </c>
      <c r="AK1262">
        <f>[1]资金台帐!AK1262</f>
        <v>0</v>
      </c>
      <c r="BA1262" s="22">
        <f t="shared" si="0"/>
      </c>
      <c r="BG1262" s="22">
        <f t="shared" si="1"/>
      </c>
      <c r="BH1262" s="22">
        <f t="shared" si="2"/>
        <v>0</v>
      </c>
    </row>
    <row r="1263">
      <c r="B1263">
        <f>[1]资金台帐!B1263&amp;""</f>
      </c>
      <c r="H1263">
        <f>[1]资金台帐!H1263&amp;""</f>
      </c>
      <c r="J1263">
        <f>[1]资金台帐!J1263&amp;""</f>
      </c>
      <c r="N1263">
        <f>[1]资金台帐!N1263</f>
      </c>
      <c r="O1263">
        <f>[1]资金台帐!O1263&amp;""</f>
      </c>
      <c r="P1263">
        <f>[1]资金台帐!P1263&amp;""</f>
      </c>
      <c r="Q1263">
        <f>[1]资金台帐!Q1263&amp;""</f>
      </c>
      <c r="T1263">
        <f>[1]资金台帐!T1263&amp;""</f>
      </c>
      <c r="U1263">
        <f>[1]资金台帐!U1263&amp;""</f>
      </c>
      <c r="W1263">
        <f>[1]资金台帐!W1263&amp;""</f>
      </c>
      <c r="X1263">
        <f>[1]资金台帐!X1263&amp;""</f>
      </c>
      <c r="AB1263">
        <f>[1]资金台帐!AB1263</f>
        <v>0</v>
      </c>
      <c r="AC1263">
        <f>[1]资金台帐!AC1263</f>
        <v>0</v>
      </c>
      <c r="AD1263">
        <f>[1]资金台帐!AD1263</f>
        <v>0</v>
      </c>
      <c r="AJ1263">
        <f>[1]资金台帐!AJ1263</f>
        <v>0</v>
      </c>
      <c r="AK1263">
        <f>[1]资金台帐!AK1263</f>
        <v>0</v>
      </c>
      <c r="BA1263" s="22">
        <f t="shared" si="0"/>
      </c>
      <c r="BG1263" s="22">
        <f t="shared" si="1"/>
      </c>
      <c r="BH1263" s="22">
        <f t="shared" si="2"/>
        <v>0</v>
      </c>
    </row>
    <row r="1264">
      <c r="B1264">
        <f>[1]资金台帐!B1264&amp;""</f>
      </c>
      <c r="H1264">
        <f>[1]资金台帐!H1264&amp;""</f>
      </c>
      <c r="J1264">
        <f>[1]资金台帐!J1264&amp;""</f>
      </c>
      <c r="N1264">
        <f>[1]资金台帐!N1264</f>
      </c>
      <c r="O1264">
        <f>[1]资金台帐!O1264&amp;""</f>
      </c>
      <c r="P1264">
        <f>[1]资金台帐!P1264&amp;""</f>
      </c>
      <c r="Q1264">
        <f>[1]资金台帐!Q1264&amp;""</f>
      </c>
      <c r="T1264">
        <f>[1]资金台帐!T1264&amp;""</f>
      </c>
      <c r="U1264">
        <f>[1]资金台帐!U1264&amp;""</f>
      </c>
      <c r="W1264">
        <f>[1]资金台帐!W1264&amp;""</f>
      </c>
      <c r="X1264">
        <f>[1]资金台帐!X1264&amp;""</f>
      </c>
      <c r="AB1264">
        <f>[1]资金台帐!AB1264</f>
        <v>0</v>
      </c>
      <c r="AC1264">
        <f>[1]资金台帐!AC1264</f>
        <v>0</v>
      </c>
      <c r="AD1264">
        <f>[1]资金台帐!AD1264</f>
        <v>0</v>
      </c>
      <c r="AJ1264">
        <f>[1]资金台帐!AJ1264</f>
        <v>0</v>
      </c>
      <c r="AK1264">
        <f>[1]资金台帐!AK1264</f>
        <v>0</v>
      </c>
      <c r="BA1264" s="22">
        <f t="shared" si="0"/>
      </c>
      <c r="BG1264" s="22">
        <f t="shared" si="1"/>
      </c>
      <c r="BH1264" s="22">
        <f t="shared" si="2"/>
        <v>0</v>
      </c>
    </row>
    <row r="1265">
      <c r="B1265">
        <f>[1]资金台帐!B1265&amp;""</f>
      </c>
      <c r="H1265">
        <f>[1]资金台帐!H1265&amp;""</f>
      </c>
      <c r="J1265">
        <f>[1]资金台帐!J1265&amp;""</f>
      </c>
      <c r="N1265">
        <f>[1]资金台帐!N1265</f>
      </c>
      <c r="O1265">
        <f>[1]资金台帐!O1265&amp;""</f>
      </c>
      <c r="P1265">
        <f>[1]资金台帐!P1265&amp;""</f>
      </c>
      <c r="Q1265">
        <f>[1]资金台帐!Q1265&amp;""</f>
      </c>
      <c r="T1265">
        <f>[1]资金台帐!T1265&amp;""</f>
      </c>
      <c r="U1265">
        <f>[1]资金台帐!U1265&amp;""</f>
      </c>
      <c r="W1265">
        <f>[1]资金台帐!W1265&amp;""</f>
      </c>
      <c r="X1265">
        <f>[1]资金台帐!X1265&amp;""</f>
      </c>
      <c r="AB1265">
        <f>[1]资金台帐!AB1265</f>
        <v>0</v>
      </c>
      <c r="AC1265">
        <f>[1]资金台帐!AC1265</f>
        <v>0</v>
      </c>
      <c r="AD1265">
        <f>[1]资金台帐!AD1265</f>
        <v>0</v>
      </c>
      <c r="AJ1265">
        <f>[1]资金台帐!AJ1265</f>
        <v>0</v>
      </c>
      <c r="AK1265">
        <f>[1]资金台帐!AK1265</f>
        <v>0</v>
      </c>
      <c r="BA1265" s="22">
        <f t="shared" si="0"/>
      </c>
      <c r="BG1265" s="22">
        <f t="shared" si="1"/>
      </c>
      <c r="BH1265" s="22">
        <f t="shared" si="2"/>
        <v>0</v>
      </c>
    </row>
    <row r="1266">
      <c r="B1266">
        <f>[1]资金台帐!B1266&amp;""</f>
      </c>
      <c r="H1266">
        <f>[1]资金台帐!H1266&amp;""</f>
      </c>
      <c r="J1266">
        <f>[1]资金台帐!J1266&amp;""</f>
      </c>
      <c r="N1266">
        <f>[1]资金台帐!N1266</f>
      </c>
      <c r="O1266">
        <f>[1]资金台帐!O1266&amp;""</f>
      </c>
      <c r="P1266">
        <f>[1]资金台帐!P1266&amp;""</f>
      </c>
      <c r="Q1266">
        <f>[1]资金台帐!Q1266&amp;""</f>
      </c>
      <c r="T1266">
        <f>[1]资金台帐!T1266&amp;""</f>
      </c>
      <c r="U1266">
        <f>[1]资金台帐!U1266&amp;""</f>
      </c>
      <c r="W1266">
        <f>[1]资金台帐!W1266&amp;""</f>
      </c>
      <c r="X1266">
        <f>[1]资金台帐!X1266&amp;""</f>
      </c>
      <c r="AB1266">
        <f>[1]资金台帐!AB1266</f>
        <v>0</v>
      </c>
      <c r="AC1266">
        <f>[1]资金台帐!AC1266</f>
        <v>0</v>
      </c>
      <c r="AD1266">
        <f>[1]资金台帐!AD1266</f>
        <v>0</v>
      </c>
      <c r="AJ1266">
        <f>[1]资金台帐!AJ1266</f>
        <v>0</v>
      </c>
      <c r="AK1266">
        <f>[1]资金台帐!AK1266</f>
        <v>0</v>
      </c>
      <c r="BA1266" s="22">
        <f t="shared" si="0"/>
      </c>
      <c r="BG1266" s="22">
        <f t="shared" si="1"/>
      </c>
      <c r="BH1266" s="22">
        <f t="shared" si="2"/>
        <v>0</v>
      </c>
    </row>
    <row r="1267">
      <c r="B1267">
        <f>[1]资金台帐!B1267&amp;""</f>
      </c>
      <c r="H1267">
        <f>[1]资金台帐!H1267&amp;""</f>
      </c>
      <c r="J1267">
        <f>[1]资金台帐!J1267&amp;""</f>
      </c>
      <c r="N1267">
        <f>[1]资金台帐!N1267</f>
      </c>
      <c r="O1267">
        <f>[1]资金台帐!O1267&amp;""</f>
      </c>
      <c r="P1267">
        <f>[1]资金台帐!P1267&amp;""</f>
      </c>
      <c r="Q1267">
        <f>[1]资金台帐!Q1267&amp;""</f>
      </c>
      <c r="T1267">
        <f>[1]资金台帐!T1267&amp;""</f>
      </c>
      <c r="U1267">
        <f>[1]资金台帐!U1267&amp;""</f>
      </c>
      <c r="W1267">
        <f>[1]资金台帐!W1267&amp;""</f>
      </c>
      <c r="X1267">
        <f>[1]资金台帐!X1267&amp;""</f>
      </c>
      <c r="AB1267">
        <f>[1]资金台帐!AB1267</f>
        <v>0</v>
      </c>
      <c r="AC1267">
        <f>[1]资金台帐!AC1267</f>
        <v>0</v>
      </c>
      <c r="AD1267">
        <f>[1]资金台帐!AD1267</f>
        <v>0</v>
      </c>
      <c r="AJ1267">
        <f>[1]资金台帐!AJ1267</f>
        <v>0</v>
      </c>
      <c r="AK1267">
        <f>[1]资金台帐!AK1267</f>
        <v>0</v>
      </c>
      <c r="BA1267" s="22">
        <f t="shared" si="0"/>
      </c>
      <c r="BG1267" s="22">
        <f t="shared" si="1"/>
      </c>
      <c r="BH1267" s="22">
        <f t="shared" si="2"/>
        <v>0</v>
      </c>
    </row>
    <row r="1268">
      <c r="B1268">
        <f>[1]资金台帐!B1268&amp;""</f>
      </c>
      <c r="H1268">
        <f>[1]资金台帐!H1268&amp;""</f>
      </c>
      <c r="J1268">
        <f>[1]资金台帐!J1268&amp;""</f>
      </c>
      <c r="N1268">
        <f>[1]资金台帐!N1268</f>
      </c>
      <c r="O1268">
        <f>[1]资金台帐!O1268&amp;""</f>
      </c>
      <c r="P1268">
        <f>[1]资金台帐!P1268&amp;""</f>
      </c>
      <c r="Q1268">
        <f>[1]资金台帐!Q1268&amp;""</f>
      </c>
      <c r="T1268">
        <f>[1]资金台帐!T1268&amp;""</f>
      </c>
      <c r="U1268">
        <f>[1]资金台帐!U1268&amp;""</f>
      </c>
      <c r="W1268">
        <f>[1]资金台帐!W1268&amp;""</f>
      </c>
      <c r="X1268">
        <f>[1]资金台帐!X1268&amp;""</f>
      </c>
      <c r="AB1268">
        <f>[1]资金台帐!AB1268</f>
        <v>0</v>
      </c>
      <c r="AC1268">
        <f>[1]资金台帐!AC1268</f>
        <v>0</v>
      </c>
      <c r="AD1268">
        <f>[1]资金台帐!AD1268</f>
        <v>0</v>
      </c>
      <c r="AJ1268">
        <f>[1]资金台帐!AJ1268</f>
        <v>0</v>
      </c>
      <c r="AK1268">
        <f>[1]资金台帐!AK1268</f>
        <v>0</v>
      </c>
      <c r="BA1268" s="22">
        <f t="shared" si="0"/>
      </c>
      <c r="BG1268" s="22">
        <f t="shared" si="1"/>
      </c>
      <c r="BH1268" s="22">
        <f t="shared" si="2"/>
        <v>0</v>
      </c>
    </row>
    <row r="1269">
      <c r="B1269">
        <f>[1]资金台帐!B1269&amp;""</f>
      </c>
      <c r="H1269">
        <f>[1]资金台帐!H1269&amp;""</f>
      </c>
      <c r="J1269">
        <f>[1]资金台帐!J1269&amp;""</f>
      </c>
      <c r="N1269">
        <f>[1]资金台帐!N1269</f>
      </c>
      <c r="O1269">
        <f>[1]资金台帐!O1269&amp;""</f>
      </c>
      <c r="P1269">
        <f>[1]资金台帐!P1269&amp;""</f>
      </c>
      <c r="Q1269">
        <f>[1]资金台帐!Q1269&amp;""</f>
      </c>
      <c r="T1269">
        <f>[1]资金台帐!T1269&amp;""</f>
      </c>
      <c r="U1269">
        <f>[1]资金台帐!U1269&amp;""</f>
      </c>
      <c r="W1269">
        <f>[1]资金台帐!W1269&amp;""</f>
      </c>
      <c r="X1269">
        <f>[1]资金台帐!X1269&amp;""</f>
      </c>
      <c r="AB1269">
        <f>[1]资金台帐!AB1269</f>
        <v>0</v>
      </c>
      <c r="AC1269">
        <f>[1]资金台帐!AC1269</f>
        <v>0</v>
      </c>
      <c r="AD1269">
        <f>[1]资金台帐!AD1269</f>
        <v>0</v>
      </c>
      <c r="AJ1269">
        <f>[1]资金台帐!AJ1269</f>
        <v>0</v>
      </c>
      <c r="AK1269">
        <f>[1]资金台帐!AK1269</f>
        <v>0</v>
      </c>
      <c r="BA1269" s="22">
        <f t="shared" si="0"/>
      </c>
      <c r="BG1269" s="22">
        <f t="shared" si="1"/>
      </c>
      <c r="BH1269" s="22">
        <f t="shared" si="2"/>
        <v>0</v>
      </c>
    </row>
    <row r="1270">
      <c r="B1270">
        <f>[1]资金台帐!B1270&amp;""</f>
      </c>
      <c r="H1270">
        <f>[1]资金台帐!H1270&amp;""</f>
      </c>
      <c r="J1270">
        <f>[1]资金台帐!J1270&amp;""</f>
      </c>
      <c r="N1270">
        <f>[1]资金台帐!N1270</f>
      </c>
      <c r="O1270">
        <f>[1]资金台帐!O1270&amp;""</f>
      </c>
      <c r="P1270">
        <f>[1]资金台帐!P1270&amp;""</f>
      </c>
      <c r="Q1270">
        <f>[1]资金台帐!Q1270&amp;""</f>
      </c>
      <c r="T1270">
        <f>[1]资金台帐!T1270&amp;""</f>
      </c>
      <c r="U1270">
        <f>[1]资金台帐!U1270&amp;""</f>
      </c>
      <c r="W1270">
        <f>[1]资金台帐!W1270&amp;""</f>
      </c>
      <c r="X1270">
        <f>[1]资金台帐!X1270&amp;""</f>
      </c>
      <c r="AB1270">
        <f>[1]资金台帐!AB1270</f>
        <v>0</v>
      </c>
      <c r="AC1270">
        <f>[1]资金台帐!AC1270</f>
        <v>0</v>
      </c>
      <c r="AD1270">
        <f>[1]资金台帐!AD1270</f>
        <v>0</v>
      </c>
      <c r="AJ1270">
        <f>[1]资金台帐!AJ1270</f>
        <v>0</v>
      </c>
      <c r="AK1270">
        <f>[1]资金台帐!AK1270</f>
        <v>0</v>
      </c>
      <c r="BA1270" s="22">
        <f t="shared" si="0"/>
      </c>
      <c r="BG1270" s="22">
        <f t="shared" si="1"/>
      </c>
      <c r="BH1270" s="22">
        <f t="shared" si="2"/>
        <v>0</v>
      </c>
    </row>
    <row r="1271">
      <c r="B1271">
        <f>[1]资金台帐!B1271&amp;""</f>
      </c>
      <c r="H1271">
        <f>[1]资金台帐!H1271&amp;""</f>
      </c>
      <c r="J1271">
        <f>[1]资金台帐!J1271&amp;""</f>
      </c>
      <c r="N1271">
        <f>[1]资金台帐!N1271</f>
      </c>
      <c r="O1271">
        <f>[1]资金台帐!O1271&amp;""</f>
      </c>
      <c r="P1271">
        <f>[1]资金台帐!P1271&amp;""</f>
      </c>
      <c r="Q1271">
        <f>[1]资金台帐!Q1271&amp;""</f>
      </c>
      <c r="T1271">
        <f>[1]资金台帐!T1271&amp;""</f>
      </c>
      <c r="U1271">
        <f>[1]资金台帐!U1271&amp;""</f>
      </c>
      <c r="W1271">
        <f>[1]资金台帐!W1271&amp;""</f>
      </c>
      <c r="X1271">
        <f>[1]资金台帐!X1271&amp;""</f>
      </c>
      <c r="AB1271">
        <f>[1]资金台帐!AB1271</f>
        <v>0</v>
      </c>
      <c r="AC1271">
        <f>[1]资金台帐!AC1271</f>
        <v>0</v>
      </c>
      <c r="AD1271">
        <f>[1]资金台帐!AD1271</f>
        <v>0</v>
      </c>
      <c r="AJ1271">
        <f>[1]资金台帐!AJ1271</f>
        <v>0</v>
      </c>
      <c r="AK1271">
        <f>[1]资金台帐!AK1271</f>
        <v>0</v>
      </c>
      <c r="BA1271" s="22">
        <f t="shared" si="0"/>
      </c>
      <c r="BG1271" s="22">
        <f t="shared" si="1"/>
      </c>
      <c r="BH1271" s="22">
        <f t="shared" si="2"/>
        <v>0</v>
      </c>
    </row>
    <row r="1272">
      <c r="B1272">
        <f>[1]资金台帐!B1272&amp;""</f>
      </c>
      <c r="H1272">
        <f>[1]资金台帐!H1272&amp;""</f>
      </c>
      <c r="J1272">
        <f>[1]资金台帐!J1272&amp;""</f>
      </c>
      <c r="N1272">
        <f>[1]资金台帐!N1272</f>
      </c>
      <c r="O1272">
        <f>[1]资金台帐!O1272&amp;""</f>
      </c>
      <c r="P1272">
        <f>[1]资金台帐!P1272&amp;""</f>
      </c>
      <c r="Q1272">
        <f>[1]资金台帐!Q1272&amp;""</f>
      </c>
      <c r="T1272">
        <f>[1]资金台帐!T1272&amp;""</f>
      </c>
      <c r="U1272">
        <f>[1]资金台帐!U1272&amp;""</f>
      </c>
      <c r="W1272">
        <f>[1]资金台帐!W1272&amp;""</f>
      </c>
      <c r="X1272">
        <f>[1]资金台帐!X1272&amp;""</f>
      </c>
      <c r="AB1272">
        <f>[1]资金台帐!AB1272</f>
        <v>0</v>
      </c>
      <c r="AC1272">
        <f>[1]资金台帐!AC1272</f>
        <v>0</v>
      </c>
      <c r="AD1272">
        <f>[1]资金台帐!AD1272</f>
        <v>0</v>
      </c>
      <c r="AJ1272">
        <f>[1]资金台帐!AJ1272</f>
        <v>0</v>
      </c>
      <c r="AK1272">
        <f>[1]资金台帐!AK1272</f>
        <v>0</v>
      </c>
      <c r="BA1272" s="22">
        <f t="shared" si="0"/>
      </c>
      <c r="BG1272" s="22">
        <f t="shared" si="1"/>
      </c>
      <c r="BH1272" s="22">
        <f t="shared" si="2"/>
        <v>0</v>
      </c>
    </row>
    <row r="1273">
      <c r="B1273">
        <f>[1]资金台帐!B1273&amp;""</f>
      </c>
      <c r="H1273">
        <f>[1]资金台帐!H1273&amp;""</f>
      </c>
      <c r="J1273">
        <f>[1]资金台帐!J1273&amp;""</f>
      </c>
      <c r="N1273">
        <f>[1]资金台帐!N1273</f>
      </c>
      <c r="O1273">
        <f>[1]资金台帐!O1273&amp;""</f>
      </c>
      <c r="P1273">
        <f>[1]资金台帐!P1273&amp;""</f>
      </c>
      <c r="Q1273">
        <f>[1]资金台帐!Q1273&amp;""</f>
      </c>
      <c r="T1273">
        <f>[1]资金台帐!T1273&amp;""</f>
      </c>
      <c r="U1273">
        <f>[1]资金台帐!U1273&amp;""</f>
      </c>
      <c r="W1273">
        <f>[1]资金台帐!W1273&amp;""</f>
      </c>
      <c r="X1273">
        <f>[1]资金台帐!X1273&amp;""</f>
      </c>
      <c r="AB1273">
        <f>[1]资金台帐!AB1273</f>
        <v>0</v>
      </c>
      <c r="AC1273">
        <f>[1]资金台帐!AC1273</f>
        <v>0</v>
      </c>
      <c r="AD1273">
        <f>[1]资金台帐!AD1273</f>
        <v>0</v>
      </c>
      <c r="AJ1273">
        <f>[1]资金台帐!AJ1273</f>
        <v>0</v>
      </c>
      <c r="AK1273">
        <f>[1]资金台帐!AK1273</f>
        <v>0</v>
      </c>
      <c r="BA1273" s="22">
        <f t="shared" si="0"/>
      </c>
      <c r="BG1273" s="22">
        <f t="shared" si="1"/>
      </c>
      <c r="BH1273" s="22">
        <f t="shared" si="2"/>
        <v>0</v>
      </c>
    </row>
    <row r="1274">
      <c r="B1274">
        <f>[1]资金台帐!B1274&amp;""</f>
      </c>
      <c r="H1274">
        <f>[1]资金台帐!H1274&amp;""</f>
      </c>
      <c r="J1274">
        <f>[1]资金台帐!J1274&amp;""</f>
      </c>
      <c r="N1274">
        <f>[1]资金台帐!N1274</f>
      </c>
      <c r="O1274">
        <f>[1]资金台帐!O1274&amp;""</f>
      </c>
      <c r="P1274">
        <f>[1]资金台帐!P1274&amp;""</f>
      </c>
      <c r="Q1274">
        <f>[1]资金台帐!Q1274&amp;""</f>
      </c>
      <c r="T1274">
        <f>[1]资金台帐!T1274&amp;""</f>
      </c>
      <c r="U1274">
        <f>[1]资金台帐!U1274&amp;""</f>
      </c>
      <c r="W1274">
        <f>[1]资金台帐!W1274&amp;""</f>
      </c>
      <c r="X1274">
        <f>[1]资金台帐!X1274&amp;""</f>
      </c>
      <c r="AB1274">
        <f>[1]资金台帐!AB1274</f>
        <v>0</v>
      </c>
      <c r="AC1274">
        <f>[1]资金台帐!AC1274</f>
        <v>0</v>
      </c>
      <c r="AD1274">
        <f>[1]资金台帐!AD1274</f>
        <v>0</v>
      </c>
      <c r="AJ1274">
        <f>[1]资金台帐!AJ1274</f>
        <v>0</v>
      </c>
      <c r="AK1274">
        <f>[1]资金台帐!AK1274</f>
        <v>0</v>
      </c>
      <c r="BA1274" s="22">
        <f t="shared" si="0"/>
      </c>
      <c r="BG1274" s="22">
        <f t="shared" si="1"/>
      </c>
      <c r="BH1274" s="22">
        <f t="shared" si="2"/>
        <v>0</v>
      </c>
    </row>
    <row r="1275">
      <c r="B1275">
        <f>[1]资金台帐!B1275&amp;""</f>
      </c>
      <c r="H1275">
        <f>[1]资金台帐!H1275&amp;""</f>
      </c>
      <c r="J1275">
        <f>[1]资金台帐!J1275&amp;""</f>
      </c>
      <c r="N1275">
        <f>[1]资金台帐!N1275</f>
      </c>
      <c r="O1275">
        <f>[1]资金台帐!O1275&amp;""</f>
      </c>
      <c r="P1275">
        <f>[1]资金台帐!P1275&amp;""</f>
      </c>
      <c r="Q1275">
        <f>[1]资金台帐!Q1275&amp;""</f>
      </c>
      <c r="T1275">
        <f>[1]资金台帐!T1275&amp;""</f>
      </c>
      <c r="U1275">
        <f>[1]资金台帐!U1275&amp;""</f>
      </c>
      <c r="W1275">
        <f>[1]资金台帐!W1275&amp;""</f>
      </c>
      <c r="X1275">
        <f>[1]资金台帐!X1275&amp;""</f>
      </c>
      <c r="AB1275">
        <f>[1]资金台帐!AB1275</f>
        <v>0</v>
      </c>
      <c r="AC1275">
        <f>[1]资金台帐!AC1275</f>
        <v>0</v>
      </c>
      <c r="AD1275">
        <f>[1]资金台帐!AD1275</f>
        <v>0</v>
      </c>
      <c r="AJ1275">
        <f>[1]资金台帐!AJ1275</f>
        <v>0</v>
      </c>
      <c r="AK1275">
        <f>[1]资金台帐!AK1275</f>
        <v>0</v>
      </c>
      <c r="BA1275" s="22">
        <f t="shared" si="0"/>
      </c>
      <c r="BG1275" s="22">
        <f t="shared" si="1"/>
      </c>
      <c r="BH1275" s="22">
        <f t="shared" si="2"/>
        <v>0</v>
      </c>
    </row>
    <row r="1276">
      <c r="B1276">
        <f>[1]资金台帐!B1276&amp;""</f>
      </c>
      <c r="H1276">
        <f>[1]资金台帐!H1276&amp;""</f>
      </c>
      <c r="J1276">
        <f>[1]资金台帐!J1276&amp;""</f>
      </c>
      <c r="N1276">
        <f>[1]资金台帐!N1276</f>
      </c>
      <c r="O1276">
        <f>[1]资金台帐!O1276&amp;""</f>
      </c>
      <c r="P1276">
        <f>[1]资金台帐!P1276&amp;""</f>
      </c>
      <c r="Q1276">
        <f>[1]资金台帐!Q1276&amp;""</f>
      </c>
      <c r="T1276">
        <f>[1]资金台帐!T1276&amp;""</f>
      </c>
      <c r="U1276">
        <f>[1]资金台帐!U1276&amp;""</f>
      </c>
      <c r="W1276">
        <f>[1]资金台帐!W1276&amp;""</f>
      </c>
      <c r="X1276">
        <f>[1]资金台帐!X1276&amp;""</f>
      </c>
      <c r="AB1276">
        <f>[1]资金台帐!AB1276</f>
        <v>0</v>
      </c>
      <c r="AC1276">
        <f>[1]资金台帐!AC1276</f>
        <v>0</v>
      </c>
      <c r="AD1276">
        <f>[1]资金台帐!AD1276</f>
        <v>0</v>
      </c>
      <c r="AJ1276">
        <f>[1]资金台帐!AJ1276</f>
        <v>0</v>
      </c>
      <c r="AK1276">
        <f>[1]资金台帐!AK1276</f>
        <v>0</v>
      </c>
      <c r="BA1276" s="22">
        <f t="shared" si="0"/>
      </c>
      <c r="BG1276" s="22">
        <f t="shared" si="1"/>
      </c>
      <c r="BH1276" s="22">
        <f t="shared" si="2"/>
        <v>0</v>
      </c>
    </row>
    <row r="1277">
      <c r="B1277">
        <f>[1]资金台帐!B1277&amp;""</f>
      </c>
      <c r="H1277">
        <f>[1]资金台帐!H1277&amp;""</f>
      </c>
      <c r="J1277">
        <f>[1]资金台帐!J1277&amp;""</f>
      </c>
      <c r="N1277">
        <f>[1]资金台帐!N1277</f>
      </c>
      <c r="O1277">
        <f>[1]资金台帐!O1277&amp;""</f>
      </c>
      <c r="P1277">
        <f>[1]资金台帐!P1277&amp;""</f>
      </c>
      <c r="Q1277">
        <f>[1]资金台帐!Q1277&amp;""</f>
      </c>
      <c r="T1277">
        <f>[1]资金台帐!T1277&amp;""</f>
      </c>
      <c r="U1277">
        <f>[1]资金台帐!U1277&amp;""</f>
      </c>
      <c r="W1277">
        <f>[1]资金台帐!W1277&amp;""</f>
      </c>
      <c r="X1277">
        <f>[1]资金台帐!X1277&amp;""</f>
      </c>
      <c r="AB1277">
        <f>[1]资金台帐!AB1277</f>
        <v>0</v>
      </c>
      <c r="AC1277">
        <f>[1]资金台帐!AC1277</f>
        <v>0</v>
      </c>
      <c r="AD1277">
        <f>[1]资金台帐!AD1277</f>
        <v>0</v>
      </c>
      <c r="AJ1277">
        <f>[1]资金台帐!AJ1277</f>
        <v>0</v>
      </c>
      <c r="AK1277">
        <f>[1]资金台帐!AK1277</f>
        <v>0</v>
      </c>
      <c r="BA1277" s="22">
        <f t="shared" si="0"/>
      </c>
      <c r="BG1277" s="22">
        <f t="shared" si="1"/>
      </c>
      <c r="BH1277" s="22">
        <f t="shared" si="2"/>
        <v>0</v>
      </c>
    </row>
    <row r="1278">
      <c r="B1278">
        <f>[1]资金台帐!B1278&amp;""</f>
      </c>
      <c r="H1278">
        <f>[1]资金台帐!H1278&amp;""</f>
      </c>
      <c r="J1278">
        <f>[1]资金台帐!J1278&amp;""</f>
      </c>
      <c r="N1278">
        <f>[1]资金台帐!N1278</f>
      </c>
      <c r="O1278">
        <f>[1]资金台帐!O1278&amp;""</f>
      </c>
      <c r="P1278">
        <f>[1]资金台帐!P1278&amp;""</f>
      </c>
      <c r="Q1278">
        <f>[1]资金台帐!Q1278&amp;""</f>
      </c>
      <c r="T1278">
        <f>[1]资金台帐!T1278&amp;""</f>
      </c>
      <c r="U1278">
        <f>[1]资金台帐!U1278&amp;""</f>
      </c>
      <c r="W1278">
        <f>[1]资金台帐!W1278&amp;""</f>
      </c>
      <c r="X1278">
        <f>[1]资金台帐!X1278&amp;""</f>
      </c>
      <c r="AB1278">
        <f>[1]资金台帐!AB1278</f>
        <v>0</v>
      </c>
      <c r="AC1278">
        <f>[1]资金台帐!AC1278</f>
        <v>0</v>
      </c>
      <c r="AD1278">
        <f>[1]资金台帐!AD1278</f>
        <v>0</v>
      </c>
      <c r="AJ1278">
        <f>[1]资金台帐!AJ1278</f>
        <v>0</v>
      </c>
      <c r="AK1278">
        <f>[1]资金台帐!AK1278</f>
        <v>0</v>
      </c>
      <c r="BA1278" s="22">
        <f t="shared" si="0"/>
      </c>
      <c r="BG1278" s="22">
        <f t="shared" si="1"/>
      </c>
      <c r="BH1278" s="22">
        <f t="shared" si="2"/>
        <v>0</v>
      </c>
    </row>
    <row r="1279">
      <c r="B1279">
        <f>[1]资金台帐!B1279&amp;""</f>
      </c>
      <c r="H1279">
        <f>[1]资金台帐!H1279&amp;""</f>
      </c>
      <c r="J1279">
        <f>[1]资金台帐!J1279&amp;""</f>
      </c>
      <c r="N1279">
        <f>[1]资金台帐!N1279</f>
      </c>
      <c r="O1279">
        <f>[1]资金台帐!O1279&amp;""</f>
      </c>
      <c r="P1279">
        <f>[1]资金台帐!P1279&amp;""</f>
      </c>
      <c r="Q1279">
        <f>[1]资金台帐!Q1279&amp;""</f>
      </c>
      <c r="T1279">
        <f>[1]资金台帐!T1279&amp;""</f>
      </c>
      <c r="U1279">
        <f>[1]资金台帐!U1279&amp;""</f>
      </c>
      <c r="W1279">
        <f>[1]资金台帐!W1279&amp;""</f>
      </c>
      <c r="X1279">
        <f>[1]资金台帐!X1279&amp;""</f>
      </c>
      <c r="AB1279">
        <f>[1]资金台帐!AB1279</f>
        <v>0</v>
      </c>
      <c r="AC1279">
        <f>[1]资金台帐!AC1279</f>
        <v>0</v>
      </c>
      <c r="AD1279">
        <f>[1]资金台帐!AD1279</f>
        <v>0</v>
      </c>
      <c r="AJ1279">
        <f>[1]资金台帐!AJ1279</f>
        <v>0</v>
      </c>
      <c r="AK1279">
        <f>[1]资金台帐!AK1279</f>
        <v>0</v>
      </c>
      <c r="BA1279" s="22">
        <f t="shared" si="0"/>
      </c>
      <c r="BG1279" s="22">
        <f t="shared" si="1"/>
      </c>
      <c r="BH1279" s="22">
        <f t="shared" si="2"/>
        <v>0</v>
      </c>
    </row>
    <row r="1280">
      <c r="B1280">
        <f>[1]资金台帐!B1280&amp;""</f>
      </c>
      <c r="H1280">
        <f>[1]资金台帐!H1280&amp;""</f>
      </c>
      <c r="J1280">
        <f>[1]资金台帐!J1280&amp;""</f>
      </c>
      <c r="N1280">
        <f>[1]资金台帐!N1280</f>
      </c>
      <c r="O1280">
        <f>[1]资金台帐!O1280&amp;""</f>
      </c>
      <c r="P1280">
        <f>[1]资金台帐!P1280&amp;""</f>
      </c>
      <c r="Q1280">
        <f>[1]资金台帐!Q1280&amp;""</f>
      </c>
      <c r="T1280">
        <f>[1]资金台帐!T1280&amp;""</f>
      </c>
      <c r="U1280">
        <f>[1]资金台帐!U1280&amp;""</f>
      </c>
      <c r="W1280">
        <f>[1]资金台帐!W1280&amp;""</f>
      </c>
      <c r="X1280">
        <f>[1]资金台帐!X1280&amp;""</f>
      </c>
      <c r="AB1280">
        <f>[1]资金台帐!AB1280</f>
        <v>0</v>
      </c>
      <c r="AC1280">
        <f>[1]资金台帐!AC1280</f>
        <v>0</v>
      </c>
      <c r="AD1280">
        <f>[1]资金台帐!AD1280</f>
        <v>0</v>
      </c>
      <c r="AJ1280">
        <f>[1]资金台帐!AJ1280</f>
        <v>0</v>
      </c>
      <c r="AK1280">
        <f>[1]资金台帐!AK1280</f>
        <v>0</v>
      </c>
      <c r="BA1280" s="22">
        <f t="shared" si="0"/>
      </c>
      <c r="BG1280" s="22">
        <f t="shared" si="1"/>
      </c>
      <c r="BH1280" s="22">
        <f t="shared" si="2"/>
        <v>0</v>
      </c>
    </row>
    <row r="1281">
      <c r="B1281">
        <f>[1]资金台帐!B1281&amp;""</f>
      </c>
      <c r="H1281">
        <f>[1]资金台帐!H1281&amp;""</f>
      </c>
      <c r="J1281">
        <f>[1]资金台帐!J1281&amp;""</f>
      </c>
      <c r="N1281">
        <f>[1]资金台帐!N1281</f>
      </c>
      <c r="O1281">
        <f>[1]资金台帐!O1281&amp;""</f>
      </c>
      <c r="P1281">
        <f>[1]资金台帐!P1281&amp;""</f>
      </c>
      <c r="Q1281">
        <f>[1]资金台帐!Q1281&amp;""</f>
      </c>
      <c r="T1281">
        <f>[1]资金台帐!T1281&amp;""</f>
      </c>
      <c r="U1281">
        <f>[1]资金台帐!U1281&amp;""</f>
      </c>
      <c r="W1281">
        <f>[1]资金台帐!W1281&amp;""</f>
      </c>
      <c r="X1281">
        <f>[1]资金台帐!X1281&amp;""</f>
      </c>
      <c r="AB1281">
        <f>[1]资金台帐!AB1281</f>
        <v>0</v>
      </c>
      <c r="AC1281">
        <f>[1]资金台帐!AC1281</f>
        <v>0</v>
      </c>
      <c r="AD1281">
        <f>[1]资金台帐!AD1281</f>
        <v>0</v>
      </c>
      <c r="AJ1281">
        <f>[1]资金台帐!AJ1281</f>
        <v>0</v>
      </c>
      <c r="AK1281">
        <f>[1]资金台帐!AK1281</f>
        <v>0</v>
      </c>
      <c r="BA1281" s="22">
        <f t="shared" si="0"/>
      </c>
      <c r="BG1281" s="22">
        <f t="shared" si="1"/>
      </c>
      <c r="BH1281" s="22">
        <f t="shared" si="2"/>
        <v>0</v>
      </c>
    </row>
    <row r="1282">
      <c r="B1282">
        <f>[1]资金台帐!B1282&amp;""</f>
      </c>
      <c r="H1282">
        <f>[1]资金台帐!H1282&amp;""</f>
      </c>
      <c r="J1282">
        <f>[1]资金台帐!J1282&amp;""</f>
      </c>
      <c r="N1282">
        <f>[1]资金台帐!N1282</f>
      </c>
      <c r="O1282">
        <f>[1]资金台帐!O1282&amp;""</f>
      </c>
      <c r="P1282">
        <f>[1]资金台帐!P1282&amp;""</f>
      </c>
      <c r="Q1282">
        <f>[1]资金台帐!Q1282&amp;""</f>
      </c>
      <c r="T1282">
        <f>[1]资金台帐!T1282&amp;""</f>
      </c>
      <c r="U1282">
        <f>[1]资金台帐!U1282&amp;""</f>
      </c>
      <c r="W1282">
        <f>[1]资金台帐!W1282&amp;""</f>
      </c>
      <c r="X1282">
        <f>[1]资金台帐!X1282&amp;""</f>
      </c>
      <c r="AB1282">
        <f>[1]资金台帐!AB1282</f>
        <v>0</v>
      </c>
      <c r="AC1282">
        <f>[1]资金台帐!AC1282</f>
        <v>0</v>
      </c>
      <c r="AD1282">
        <f>[1]资金台帐!AD1282</f>
        <v>0</v>
      </c>
      <c r="AJ1282">
        <f>[1]资金台帐!AJ1282</f>
        <v>0</v>
      </c>
      <c r="AK1282">
        <f>[1]资金台帐!AK1282</f>
        <v>0</v>
      </c>
      <c r="BA1282" s="22">
        <f t="shared" si="0"/>
      </c>
      <c r="BG1282" s="22">
        <f t="shared" si="1"/>
      </c>
      <c r="BH1282" s="22">
        <f t="shared" si="2"/>
        <v>0</v>
      </c>
    </row>
    <row r="1283">
      <c r="B1283">
        <f>[1]资金台帐!B1283&amp;""</f>
      </c>
      <c r="H1283">
        <f>[1]资金台帐!H1283&amp;""</f>
      </c>
      <c r="J1283">
        <f>[1]资金台帐!J1283&amp;""</f>
      </c>
      <c r="N1283">
        <f>[1]资金台帐!N1283</f>
      </c>
      <c r="O1283">
        <f>[1]资金台帐!O1283&amp;""</f>
      </c>
      <c r="P1283">
        <f>[1]资金台帐!P1283&amp;""</f>
      </c>
      <c r="Q1283">
        <f>[1]资金台帐!Q1283&amp;""</f>
      </c>
      <c r="T1283">
        <f>[1]资金台帐!T1283&amp;""</f>
      </c>
      <c r="U1283">
        <f>[1]资金台帐!U1283&amp;""</f>
      </c>
      <c r="W1283">
        <f>[1]资金台帐!W1283&amp;""</f>
      </c>
      <c r="X1283">
        <f>[1]资金台帐!X1283&amp;""</f>
      </c>
      <c r="AB1283">
        <f>[1]资金台帐!AB1283</f>
        <v>0</v>
      </c>
      <c r="AC1283">
        <f>[1]资金台帐!AC1283</f>
        <v>0</v>
      </c>
      <c r="AD1283">
        <f>[1]资金台帐!AD1283</f>
        <v>0</v>
      </c>
      <c r="AJ1283">
        <f>[1]资金台帐!AJ1283</f>
        <v>0</v>
      </c>
      <c r="AK1283">
        <f>[1]资金台帐!AK1283</f>
        <v>0</v>
      </c>
      <c r="BA1283" s="22">
        <f t="shared" si="0"/>
      </c>
      <c r="BG1283" s="22">
        <f t="shared" si="1"/>
      </c>
      <c r="BH1283" s="22">
        <f t="shared" si="2"/>
        <v>0</v>
      </c>
    </row>
    <row r="1284">
      <c r="B1284">
        <f>[1]资金台帐!B1284&amp;""</f>
      </c>
      <c r="H1284">
        <f>[1]资金台帐!H1284&amp;""</f>
      </c>
      <c r="J1284">
        <f>[1]资金台帐!J1284&amp;""</f>
      </c>
      <c r="N1284">
        <f>[1]资金台帐!N1284</f>
      </c>
      <c r="O1284">
        <f>[1]资金台帐!O1284&amp;""</f>
      </c>
      <c r="P1284">
        <f>[1]资金台帐!P1284&amp;""</f>
      </c>
      <c r="Q1284">
        <f>[1]资金台帐!Q1284&amp;""</f>
      </c>
      <c r="T1284">
        <f>[1]资金台帐!T1284&amp;""</f>
      </c>
      <c r="U1284">
        <f>[1]资金台帐!U1284&amp;""</f>
      </c>
      <c r="W1284">
        <f>[1]资金台帐!W1284&amp;""</f>
      </c>
      <c r="X1284">
        <f>[1]资金台帐!X1284&amp;""</f>
      </c>
      <c r="AB1284">
        <f>[1]资金台帐!AB1284</f>
        <v>0</v>
      </c>
      <c r="AC1284">
        <f>[1]资金台帐!AC1284</f>
        <v>0</v>
      </c>
      <c r="AD1284">
        <f>[1]资金台帐!AD1284</f>
        <v>0</v>
      </c>
      <c r="AJ1284">
        <f>[1]资金台帐!AJ1284</f>
        <v>0</v>
      </c>
      <c r="AK1284">
        <f>[1]资金台帐!AK1284</f>
        <v>0</v>
      </c>
      <c r="BA1284" s="22">
        <f t="shared" si="0"/>
      </c>
      <c r="BG1284" s="22">
        <f t="shared" si="1"/>
      </c>
      <c r="BH1284" s="22">
        <f t="shared" si="2"/>
        <v>0</v>
      </c>
    </row>
    <row r="1285">
      <c r="B1285">
        <f>[1]资金台帐!B1285&amp;""</f>
      </c>
      <c r="H1285">
        <f>[1]资金台帐!H1285&amp;""</f>
      </c>
      <c r="J1285">
        <f>[1]资金台帐!J1285&amp;""</f>
      </c>
      <c r="N1285">
        <f>[1]资金台帐!N1285</f>
      </c>
      <c r="O1285">
        <f>[1]资金台帐!O1285&amp;""</f>
      </c>
      <c r="P1285">
        <f>[1]资金台帐!P1285&amp;""</f>
      </c>
      <c r="Q1285">
        <f>[1]资金台帐!Q1285&amp;""</f>
      </c>
      <c r="T1285">
        <f>[1]资金台帐!T1285&amp;""</f>
      </c>
      <c r="U1285">
        <f>[1]资金台帐!U1285&amp;""</f>
      </c>
      <c r="W1285">
        <f>[1]资金台帐!W1285&amp;""</f>
      </c>
      <c r="X1285">
        <f>[1]资金台帐!X1285&amp;""</f>
      </c>
      <c r="AB1285">
        <f>[1]资金台帐!AB1285</f>
        <v>0</v>
      </c>
      <c r="AC1285">
        <f>[1]资金台帐!AC1285</f>
        <v>0</v>
      </c>
      <c r="AD1285">
        <f>[1]资金台帐!AD1285</f>
        <v>0</v>
      </c>
      <c r="AJ1285">
        <f>[1]资金台帐!AJ1285</f>
        <v>0</v>
      </c>
      <c r="AK1285">
        <f>[1]资金台帐!AK1285</f>
        <v>0</v>
      </c>
      <c r="BA1285" s="22">
        <f t="shared" si="0"/>
      </c>
      <c r="BG1285" s="22">
        <f t="shared" si="1"/>
      </c>
      <c r="BH1285" s="22">
        <f t="shared" si="2"/>
        <v>0</v>
      </c>
    </row>
    <row r="1286">
      <c r="B1286">
        <f>[1]资金台帐!B1286&amp;""</f>
      </c>
      <c r="H1286">
        <f>[1]资金台帐!H1286&amp;""</f>
      </c>
      <c r="J1286">
        <f>[1]资金台帐!J1286&amp;""</f>
      </c>
      <c r="N1286">
        <f>[1]资金台帐!N1286</f>
      </c>
      <c r="O1286">
        <f>[1]资金台帐!O1286&amp;""</f>
      </c>
      <c r="P1286">
        <f>[1]资金台帐!P1286&amp;""</f>
      </c>
      <c r="Q1286">
        <f>[1]资金台帐!Q1286&amp;""</f>
      </c>
      <c r="T1286">
        <f>[1]资金台帐!T1286&amp;""</f>
      </c>
      <c r="U1286">
        <f>[1]资金台帐!U1286&amp;""</f>
      </c>
      <c r="W1286">
        <f>[1]资金台帐!W1286&amp;""</f>
      </c>
      <c r="X1286">
        <f>[1]资金台帐!X1286&amp;""</f>
      </c>
      <c r="AB1286">
        <f>[1]资金台帐!AB1286</f>
        <v>0</v>
      </c>
      <c r="AC1286">
        <f>[1]资金台帐!AC1286</f>
        <v>0</v>
      </c>
      <c r="AD1286">
        <f>[1]资金台帐!AD1286</f>
        <v>0</v>
      </c>
      <c r="AJ1286">
        <f>[1]资金台帐!AJ1286</f>
        <v>0</v>
      </c>
      <c r="AK1286">
        <f>[1]资金台帐!AK1286</f>
        <v>0</v>
      </c>
      <c r="BA1286" s="22">
        <f t="shared" si="0"/>
      </c>
      <c r="BG1286" s="22">
        <f t="shared" si="1"/>
      </c>
      <c r="BH1286" s="22">
        <f t="shared" si="2"/>
        <v>0</v>
      </c>
    </row>
    <row r="1287">
      <c r="B1287">
        <f>[1]资金台帐!B1287&amp;""</f>
      </c>
      <c r="H1287">
        <f>[1]资金台帐!H1287&amp;""</f>
      </c>
      <c r="J1287">
        <f>[1]资金台帐!J1287&amp;""</f>
      </c>
      <c r="N1287">
        <f>[1]资金台帐!N1287</f>
      </c>
      <c r="O1287">
        <f>[1]资金台帐!O1287&amp;""</f>
      </c>
      <c r="P1287">
        <f>[1]资金台帐!P1287&amp;""</f>
      </c>
      <c r="Q1287">
        <f>[1]资金台帐!Q1287&amp;""</f>
      </c>
      <c r="T1287">
        <f>[1]资金台帐!T1287&amp;""</f>
      </c>
      <c r="U1287">
        <f>[1]资金台帐!U1287&amp;""</f>
      </c>
      <c r="W1287">
        <f>[1]资金台帐!W1287&amp;""</f>
      </c>
      <c r="X1287">
        <f>[1]资金台帐!X1287&amp;""</f>
      </c>
      <c r="AB1287">
        <f>[1]资金台帐!AB1287</f>
        <v>0</v>
      </c>
      <c r="AC1287">
        <f>[1]资金台帐!AC1287</f>
        <v>0</v>
      </c>
      <c r="AD1287">
        <f>[1]资金台帐!AD1287</f>
        <v>0</v>
      </c>
      <c r="AJ1287">
        <f>[1]资金台帐!AJ1287</f>
        <v>0</v>
      </c>
      <c r="AK1287">
        <f>[1]资金台帐!AK1287</f>
        <v>0</v>
      </c>
      <c r="BA1287" s="22">
        <f t="shared" si="0"/>
      </c>
      <c r="BG1287" s="22">
        <f t="shared" si="1"/>
      </c>
      <c r="BH1287" s="22">
        <f t="shared" si="2"/>
        <v>0</v>
      </c>
    </row>
    <row r="1288">
      <c r="B1288">
        <f>[1]资金台帐!B1288&amp;""</f>
      </c>
      <c r="H1288">
        <f>[1]资金台帐!H1288&amp;""</f>
      </c>
      <c r="J1288">
        <f>[1]资金台帐!J1288&amp;""</f>
      </c>
      <c r="N1288">
        <f>[1]资金台帐!N1288</f>
      </c>
      <c r="O1288">
        <f>[1]资金台帐!O1288&amp;""</f>
      </c>
      <c r="P1288">
        <f>[1]资金台帐!P1288&amp;""</f>
      </c>
      <c r="Q1288">
        <f>[1]资金台帐!Q1288&amp;""</f>
      </c>
      <c r="T1288">
        <f>[1]资金台帐!T1288&amp;""</f>
      </c>
      <c r="U1288">
        <f>[1]资金台帐!U1288&amp;""</f>
      </c>
      <c r="W1288">
        <f>[1]资金台帐!W1288&amp;""</f>
      </c>
      <c r="X1288">
        <f>[1]资金台帐!X1288&amp;""</f>
      </c>
      <c r="AB1288">
        <f>[1]资金台帐!AB1288</f>
        <v>0</v>
      </c>
      <c r="AC1288">
        <f>[1]资金台帐!AC1288</f>
        <v>0</v>
      </c>
      <c r="AD1288">
        <f>[1]资金台帐!AD1288</f>
        <v>0</v>
      </c>
      <c r="AJ1288">
        <f>[1]资金台帐!AJ1288</f>
        <v>0</v>
      </c>
      <c r="AK1288">
        <f>[1]资金台帐!AK1288</f>
        <v>0</v>
      </c>
      <c r="BA1288" s="22">
        <f t="shared" si="0"/>
      </c>
      <c r="BG1288" s="22">
        <f t="shared" si="1"/>
      </c>
      <c r="BH1288" s="22">
        <f t="shared" si="2"/>
        <v>0</v>
      </c>
    </row>
    <row r="1289">
      <c r="B1289">
        <f>[1]资金台帐!B1289&amp;""</f>
      </c>
      <c r="H1289">
        <f>[1]资金台帐!H1289&amp;""</f>
      </c>
      <c r="J1289">
        <f>[1]资金台帐!J1289&amp;""</f>
      </c>
      <c r="N1289">
        <f>[1]资金台帐!N1289</f>
      </c>
      <c r="O1289">
        <f>[1]资金台帐!O1289&amp;""</f>
      </c>
      <c r="P1289">
        <f>[1]资金台帐!P1289&amp;""</f>
      </c>
      <c r="Q1289">
        <f>[1]资金台帐!Q1289&amp;""</f>
      </c>
      <c r="T1289">
        <f>[1]资金台帐!T1289&amp;""</f>
      </c>
      <c r="U1289">
        <f>[1]资金台帐!U1289&amp;""</f>
      </c>
      <c r="W1289">
        <f>[1]资金台帐!W1289&amp;""</f>
      </c>
      <c r="X1289">
        <f>[1]资金台帐!X1289&amp;""</f>
      </c>
      <c r="AB1289">
        <f>[1]资金台帐!AB1289</f>
        <v>0</v>
      </c>
      <c r="AC1289">
        <f>[1]资金台帐!AC1289</f>
        <v>0</v>
      </c>
      <c r="AD1289">
        <f>[1]资金台帐!AD1289</f>
        <v>0</v>
      </c>
      <c r="AJ1289">
        <f>[1]资金台帐!AJ1289</f>
        <v>0</v>
      </c>
      <c r="AK1289">
        <f>[1]资金台帐!AK1289</f>
        <v>0</v>
      </c>
      <c r="BA1289" s="22">
        <f t="shared" si="0"/>
      </c>
      <c r="BG1289" s="22">
        <f t="shared" si="1"/>
      </c>
      <c r="BH1289" s="22">
        <f t="shared" si="2"/>
        <v>0</v>
      </c>
    </row>
    <row r="1290">
      <c r="B1290">
        <f>[1]资金台帐!B1290&amp;""</f>
      </c>
      <c r="H1290">
        <f>[1]资金台帐!H1290&amp;""</f>
      </c>
      <c r="J1290">
        <f>[1]资金台帐!J1290&amp;""</f>
      </c>
      <c r="N1290">
        <f>[1]资金台帐!N1290</f>
      </c>
      <c r="O1290">
        <f>[1]资金台帐!O1290&amp;""</f>
      </c>
      <c r="P1290">
        <f>[1]资金台帐!P1290&amp;""</f>
      </c>
      <c r="Q1290">
        <f>[1]资金台帐!Q1290&amp;""</f>
      </c>
      <c r="T1290">
        <f>[1]资金台帐!T1290&amp;""</f>
      </c>
      <c r="U1290">
        <f>[1]资金台帐!U1290&amp;""</f>
      </c>
      <c r="W1290">
        <f>[1]资金台帐!W1290&amp;""</f>
      </c>
      <c r="X1290">
        <f>[1]资金台帐!X1290&amp;""</f>
      </c>
      <c r="AB1290">
        <f>[1]资金台帐!AB1290</f>
        <v>0</v>
      </c>
      <c r="AC1290">
        <f>[1]资金台帐!AC1290</f>
        <v>0</v>
      </c>
      <c r="AD1290">
        <f>[1]资金台帐!AD1290</f>
        <v>0</v>
      </c>
      <c r="AJ1290">
        <f>[1]资金台帐!AJ1290</f>
        <v>0</v>
      </c>
      <c r="AK1290">
        <f>[1]资金台帐!AK1290</f>
        <v>0</v>
      </c>
      <c r="BA1290" s="22">
        <f t="shared" si="0"/>
      </c>
      <c r="BG1290" s="22">
        <f t="shared" si="1"/>
      </c>
      <c r="BH1290" s="22">
        <f t="shared" si="2"/>
        <v>0</v>
      </c>
    </row>
    <row r="1291">
      <c r="B1291">
        <f>[1]资金台帐!B1291&amp;""</f>
      </c>
      <c r="H1291">
        <f>[1]资金台帐!H1291&amp;""</f>
      </c>
      <c r="J1291">
        <f>[1]资金台帐!J1291&amp;""</f>
      </c>
      <c r="N1291">
        <f>[1]资金台帐!N1291</f>
      </c>
      <c r="O1291">
        <f>[1]资金台帐!O1291&amp;""</f>
      </c>
      <c r="P1291">
        <f>[1]资金台帐!P1291&amp;""</f>
      </c>
      <c r="Q1291">
        <f>[1]资金台帐!Q1291&amp;""</f>
      </c>
      <c r="T1291">
        <f>[1]资金台帐!T1291&amp;""</f>
      </c>
      <c r="U1291">
        <f>[1]资金台帐!U1291&amp;""</f>
      </c>
      <c r="W1291">
        <f>[1]资金台帐!W1291&amp;""</f>
      </c>
      <c r="X1291">
        <f>[1]资金台帐!X1291&amp;""</f>
      </c>
      <c r="AB1291">
        <f>[1]资金台帐!AB1291</f>
        <v>0</v>
      </c>
      <c r="AC1291">
        <f>[1]资金台帐!AC1291</f>
        <v>0</v>
      </c>
      <c r="AD1291">
        <f>[1]资金台帐!AD1291</f>
        <v>0</v>
      </c>
      <c r="AJ1291">
        <f>[1]资金台帐!AJ1291</f>
        <v>0</v>
      </c>
      <c r="AK1291">
        <f>[1]资金台帐!AK1291</f>
        <v>0</v>
      </c>
      <c r="BA1291" s="22">
        <f t="shared" si="0"/>
      </c>
      <c r="BG1291" s="22">
        <f t="shared" si="1"/>
      </c>
      <c r="BH1291" s="22">
        <f t="shared" si="2"/>
        <v>0</v>
      </c>
    </row>
    <row r="1292">
      <c r="B1292">
        <f>[1]资金台帐!B1292&amp;""</f>
      </c>
      <c r="H1292">
        <f>[1]资金台帐!H1292&amp;""</f>
      </c>
      <c r="J1292">
        <f>[1]资金台帐!J1292&amp;""</f>
      </c>
      <c r="N1292">
        <f>[1]资金台帐!N1292</f>
      </c>
      <c r="O1292">
        <f>[1]资金台帐!O1292&amp;""</f>
      </c>
      <c r="P1292">
        <f>[1]资金台帐!P1292&amp;""</f>
      </c>
      <c r="Q1292">
        <f>[1]资金台帐!Q1292&amp;""</f>
      </c>
      <c r="T1292">
        <f>[1]资金台帐!T1292&amp;""</f>
      </c>
      <c r="U1292">
        <f>[1]资金台帐!U1292&amp;""</f>
      </c>
      <c r="W1292">
        <f>[1]资金台帐!W1292&amp;""</f>
      </c>
      <c r="X1292">
        <f>[1]资金台帐!X1292&amp;""</f>
      </c>
      <c r="AB1292">
        <f>[1]资金台帐!AB1292</f>
        <v>0</v>
      </c>
      <c r="AC1292">
        <f>[1]资金台帐!AC1292</f>
        <v>0</v>
      </c>
      <c r="AD1292">
        <f>[1]资金台帐!AD1292</f>
        <v>0</v>
      </c>
      <c r="AJ1292">
        <f>[1]资金台帐!AJ1292</f>
        <v>0</v>
      </c>
      <c r="AK1292">
        <f>[1]资金台帐!AK1292</f>
        <v>0</v>
      </c>
      <c r="BA1292" s="22">
        <f t="shared" si="0"/>
      </c>
      <c r="BG1292" s="22">
        <f t="shared" si="1"/>
      </c>
      <c r="BH1292" s="22">
        <f t="shared" si="2"/>
        <v>0</v>
      </c>
    </row>
    <row r="1293">
      <c r="B1293">
        <f>[1]资金台帐!B1293&amp;""</f>
      </c>
      <c r="H1293">
        <f>[1]资金台帐!H1293&amp;""</f>
      </c>
      <c r="J1293">
        <f>[1]资金台帐!J1293&amp;""</f>
      </c>
      <c r="N1293">
        <f>[1]资金台帐!N1293</f>
      </c>
      <c r="O1293">
        <f>[1]资金台帐!O1293&amp;""</f>
      </c>
      <c r="P1293">
        <f>[1]资金台帐!P1293&amp;""</f>
      </c>
      <c r="Q1293">
        <f>[1]资金台帐!Q1293&amp;""</f>
      </c>
      <c r="T1293">
        <f>[1]资金台帐!T1293&amp;""</f>
      </c>
      <c r="U1293">
        <f>[1]资金台帐!U1293&amp;""</f>
      </c>
      <c r="W1293">
        <f>[1]资金台帐!W1293&amp;""</f>
      </c>
      <c r="X1293">
        <f>[1]资金台帐!X1293&amp;""</f>
      </c>
      <c r="AB1293">
        <f>[1]资金台帐!AB1293</f>
        <v>0</v>
      </c>
      <c r="AC1293">
        <f>[1]资金台帐!AC1293</f>
        <v>0</v>
      </c>
      <c r="AD1293">
        <f>[1]资金台帐!AD1293</f>
        <v>0</v>
      </c>
      <c r="AJ1293">
        <f>[1]资金台帐!AJ1293</f>
        <v>0</v>
      </c>
      <c r="AK1293">
        <f>[1]资金台帐!AK1293</f>
        <v>0</v>
      </c>
      <c r="BA1293" s="22">
        <f t="shared" si="0"/>
      </c>
      <c r="BG1293" s="22">
        <f t="shared" si="1"/>
      </c>
      <c r="BH1293" s="22">
        <f t="shared" si="2"/>
        <v>0</v>
      </c>
    </row>
    <row r="1294">
      <c r="B1294">
        <f>[1]资金台帐!B1294&amp;""</f>
      </c>
      <c r="H1294">
        <f>[1]资金台帐!H1294&amp;""</f>
      </c>
      <c r="J1294">
        <f>[1]资金台帐!J1294&amp;""</f>
      </c>
      <c r="N1294">
        <f>[1]资金台帐!N1294</f>
      </c>
      <c r="O1294">
        <f>[1]资金台帐!O1294&amp;""</f>
      </c>
      <c r="P1294">
        <f>[1]资金台帐!P1294&amp;""</f>
      </c>
      <c r="Q1294">
        <f>[1]资金台帐!Q1294&amp;""</f>
      </c>
      <c r="T1294">
        <f>[1]资金台帐!T1294&amp;""</f>
      </c>
      <c r="U1294">
        <f>[1]资金台帐!U1294&amp;""</f>
      </c>
      <c r="W1294">
        <f>[1]资金台帐!W1294&amp;""</f>
      </c>
      <c r="X1294">
        <f>[1]资金台帐!X1294&amp;""</f>
      </c>
      <c r="AB1294">
        <f>[1]资金台帐!AB1294</f>
        <v>0</v>
      </c>
      <c r="AC1294">
        <f>[1]资金台帐!AC1294</f>
        <v>0</v>
      </c>
      <c r="AD1294">
        <f>[1]资金台帐!AD1294</f>
        <v>0</v>
      </c>
      <c r="AJ1294">
        <f>[1]资金台帐!AJ1294</f>
        <v>0</v>
      </c>
      <c r="AK1294">
        <f>[1]资金台帐!AK1294</f>
        <v>0</v>
      </c>
      <c r="BA1294" s="22">
        <f t="shared" si="0"/>
      </c>
      <c r="BG1294" s="22">
        <f t="shared" si="1"/>
      </c>
      <c r="BH1294" s="22">
        <f t="shared" si="2"/>
        <v>0</v>
      </c>
    </row>
    <row r="1295">
      <c r="B1295">
        <f>[1]资金台帐!B1295&amp;""</f>
      </c>
      <c r="H1295">
        <f>[1]资金台帐!H1295&amp;""</f>
      </c>
      <c r="J1295">
        <f>[1]资金台帐!J1295&amp;""</f>
      </c>
      <c r="N1295">
        <f>[1]资金台帐!N1295</f>
      </c>
      <c r="O1295">
        <f>[1]资金台帐!O1295&amp;""</f>
      </c>
      <c r="P1295">
        <f>[1]资金台帐!P1295&amp;""</f>
      </c>
      <c r="Q1295">
        <f>[1]资金台帐!Q1295&amp;""</f>
      </c>
      <c r="T1295">
        <f>[1]资金台帐!T1295&amp;""</f>
      </c>
      <c r="U1295">
        <f>[1]资金台帐!U1295&amp;""</f>
      </c>
      <c r="W1295">
        <f>[1]资金台帐!W1295&amp;""</f>
      </c>
      <c r="X1295">
        <f>[1]资金台帐!X1295&amp;""</f>
      </c>
      <c r="AB1295">
        <f>[1]资金台帐!AB1295</f>
        <v>0</v>
      </c>
      <c r="AC1295">
        <f>[1]资金台帐!AC1295</f>
        <v>0</v>
      </c>
      <c r="AD1295">
        <f>[1]资金台帐!AD1295</f>
        <v>0</v>
      </c>
      <c r="AJ1295">
        <f>[1]资金台帐!AJ1295</f>
        <v>0</v>
      </c>
      <c r="AK1295">
        <f>[1]资金台帐!AK1295</f>
        <v>0</v>
      </c>
      <c r="BA1295" s="22">
        <f t="shared" si="0"/>
      </c>
      <c r="BG1295" s="22">
        <f t="shared" si="1"/>
      </c>
      <c r="BH1295" s="22">
        <f t="shared" si="2"/>
        <v>0</v>
      </c>
    </row>
    <row r="1296">
      <c r="B1296">
        <f>[1]资金台帐!B1296&amp;""</f>
      </c>
      <c r="H1296">
        <f>[1]资金台帐!H1296&amp;""</f>
      </c>
      <c r="J1296">
        <f>[1]资金台帐!J1296&amp;""</f>
      </c>
      <c r="N1296">
        <f>[1]资金台帐!N1296</f>
      </c>
      <c r="O1296">
        <f>[1]资金台帐!O1296&amp;""</f>
      </c>
      <c r="P1296">
        <f>[1]资金台帐!P1296&amp;""</f>
      </c>
      <c r="Q1296">
        <f>[1]资金台帐!Q1296&amp;""</f>
      </c>
      <c r="T1296">
        <f>[1]资金台帐!T1296&amp;""</f>
      </c>
      <c r="U1296">
        <f>[1]资金台帐!U1296&amp;""</f>
      </c>
      <c r="W1296">
        <f>[1]资金台帐!W1296&amp;""</f>
      </c>
      <c r="X1296">
        <f>[1]资金台帐!X1296&amp;""</f>
      </c>
      <c r="AB1296">
        <f>[1]资金台帐!AB1296</f>
        <v>0</v>
      </c>
      <c r="AC1296">
        <f>[1]资金台帐!AC1296</f>
        <v>0</v>
      </c>
      <c r="AD1296">
        <f>[1]资金台帐!AD1296</f>
        <v>0</v>
      </c>
      <c r="AJ1296">
        <f>[1]资金台帐!AJ1296</f>
        <v>0</v>
      </c>
      <c r="AK1296">
        <f>[1]资金台帐!AK1296</f>
        <v>0</v>
      </c>
      <c r="BA1296" s="22">
        <f t="shared" si="0"/>
      </c>
      <c r="BG1296" s="22">
        <f t="shared" si="1"/>
      </c>
      <c r="BH1296" s="22">
        <f t="shared" si="2"/>
        <v>0</v>
      </c>
    </row>
    <row r="1297">
      <c r="B1297">
        <f>[1]资金台帐!B1297&amp;""</f>
      </c>
      <c r="H1297">
        <f>[1]资金台帐!H1297&amp;""</f>
      </c>
      <c r="J1297">
        <f>[1]资金台帐!J1297&amp;""</f>
      </c>
      <c r="N1297">
        <f>[1]资金台帐!N1297</f>
      </c>
      <c r="O1297">
        <f>[1]资金台帐!O1297&amp;""</f>
      </c>
      <c r="P1297">
        <f>[1]资金台帐!P1297&amp;""</f>
      </c>
      <c r="Q1297">
        <f>[1]资金台帐!Q1297&amp;""</f>
      </c>
      <c r="T1297">
        <f>[1]资金台帐!T1297&amp;""</f>
      </c>
      <c r="U1297">
        <f>[1]资金台帐!U1297&amp;""</f>
      </c>
      <c r="W1297">
        <f>[1]资金台帐!W1297&amp;""</f>
      </c>
      <c r="X1297">
        <f>[1]资金台帐!X1297&amp;""</f>
      </c>
      <c r="AB1297">
        <f>[1]资金台帐!AB1297</f>
        <v>0</v>
      </c>
      <c r="AC1297">
        <f>[1]资金台帐!AC1297</f>
        <v>0</v>
      </c>
      <c r="AD1297">
        <f>[1]资金台帐!AD1297</f>
        <v>0</v>
      </c>
      <c r="AJ1297">
        <f>[1]资金台帐!AJ1297</f>
        <v>0</v>
      </c>
      <c r="AK1297">
        <f>[1]资金台帐!AK1297</f>
        <v>0</v>
      </c>
      <c r="BA1297" s="22">
        <f t="shared" si="0"/>
      </c>
      <c r="BG1297" s="22">
        <f t="shared" si="1"/>
      </c>
      <c r="BH1297" s="22">
        <f t="shared" si="2"/>
        <v>0</v>
      </c>
    </row>
    <row r="1298">
      <c r="B1298">
        <f>[1]资金台帐!B1298&amp;""</f>
      </c>
      <c r="H1298">
        <f>[1]资金台帐!H1298&amp;""</f>
      </c>
      <c r="J1298">
        <f>[1]资金台帐!J1298&amp;""</f>
      </c>
      <c r="N1298">
        <f>[1]资金台帐!N1298</f>
      </c>
      <c r="O1298">
        <f>[1]资金台帐!O1298&amp;""</f>
      </c>
      <c r="P1298">
        <f>[1]资金台帐!P1298&amp;""</f>
      </c>
      <c r="Q1298">
        <f>[1]资金台帐!Q1298&amp;""</f>
      </c>
      <c r="T1298">
        <f>[1]资金台帐!T1298&amp;""</f>
      </c>
      <c r="U1298">
        <f>[1]资金台帐!U1298&amp;""</f>
      </c>
      <c r="W1298">
        <f>[1]资金台帐!W1298&amp;""</f>
      </c>
      <c r="X1298">
        <f>[1]资金台帐!X1298&amp;""</f>
      </c>
      <c r="AB1298">
        <f>[1]资金台帐!AB1298</f>
        <v>0</v>
      </c>
      <c r="AC1298">
        <f>[1]资金台帐!AC1298</f>
        <v>0</v>
      </c>
      <c r="AD1298">
        <f>[1]资金台帐!AD1298</f>
        <v>0</v>
      </c>
      <c r="AJ1298">
        <f>[1]资金台帐!AJ1298</f>
        <v>0</v>
      </c>
      <c r="AK1298">
        <f>[1]资金台帐!AK1298</f>
        <v>0</v>
      </c>
      <c r="BA1298" s="22">
        <f t="shared" si="0"/>
      </c>
      <c r="BG1298" s="22">
        <f t="shared" si="1"/>
      </c>
      <c r="BH1298" s="22">
        <f t="shared" si="2"/>
        <v>0</v>
      </c>
    </row>
    <row r="1299">
      <c r="B1299">
        <f>[1]资金台帐!B1299&amp;""</f>
      </c>
      <c r="H1299">
        <f>[1]资金台帐!H1299&amp;""</f>
      </c>
      <c r="J1299">
        <f>[1]资金台帐!J1299&amp;""</f>
      </c>
      <c r="N1299">
        <f>[1]资金台帐!N1299</f>
      </c>
      <c r="O1299">
        <f>[1]资金台帐!O1299&amp;""</f>
      </c>
      <c r="P1299">
        <f>[1]资金台帐!P1299&amp;""</f>
      </c>
      <c r="Q1299">
        <f>[1]资金台帐!Q1299&amp;""</f>
      </c>
      <c r="T1299">
        <f>[1]资金台帐!T1299&amp;""</f>
      </c>
      <c r="U1299">
        <f>[1]资金台帐!U1299&amp;""</f>
      </c>
      <c r="W1299">
        <f>[1]资金台帐!W1299&amp;""</f>
      </c>
      <c r="X1299">
        <f>[1]资金台帐!X1299&amp;""</f>
      </c>
      <c r="AB1299">
        <f>[1]资金台帐!AB1299</f>
        <v>0</v>
      </c>
      <c r="AC1299">
        <f>[1]资金台帐!AC1299</f>
        <v>0</v>
      </c>
      <c r="AD1299">
        <f>[1]资金台帐!AD1299</f>
        <v>0</v>
      </c>
      <c r="AJ1299">
        <f>[1]资金台帐!AJ1299</f>
        <v>0</v>
      </c>
      <c r="AK1299">
        <f>[1]资金台帐!AK1299</f>
        <v>0</v>
      </c>
      <c r="BA1299" s="22">
        <f t="shared" si="0"/>
      </c>
      <c r="BG1299" s="22">
        <f t="shared" si="1"/>
      </c>
      <c r="BH1299" s="22">
        <f t="shared" si="2"/>
        <v>0</v>
      </c>
    </row>
    <row r="1300">
      <c r="B1300">
        <f>[1]资金台帐!B1300&amp;""</f>
      </c>
      <c r="H1300">
        <f>[1]资金台帐!H1300&amp;""</f>
      </c>
      <c r="J1300">
        <f>[1]资金台帐!J1300&amp;""</f>
      </c>
      <c r="N1300">
        <f>[1]资金台帐!N1300</f>
      </c>
      <c r="O1300">
        <f>[1]资金台帐!O1300&amp;""</f>
      </c>
      <c r="P1300">
        <f>[1]资金台帐!P1300&amp;""</f>
      </c>
      <c r="Q1300">
        <f>[1]资金台帐!Q1300&amp;""</f>
      </c>
      <c r="T1300">
        <f>[1]资金台帐!T1300&amp;""</f>
      </c>
      <c r="U1300">
        <f>[1]资金台帐!U1300&amp;""</f>
      </c>
      <c r="W1300">
        <f>[1]资金台帐!W1300&amp;""</f>
      </c>
      <c r="X1300">
        <f>[1]资金台帐!X1300&amp;""</f>
      </c>
      <c r="AB1300">
        <f>[1]资金台帐!AB1300</f>
        <v>0</v>
      </c>
      <c r="AC1300">
        <f>[1]资金台帐!AC1300</f>
        <v>0</v>
      </c>
      <c r="AD1300">
        <f>[1]资金台帐!AD1300</f>
        <v>0</v>
      </c>
      <c r="AJ1300">
        <f>[1]资金台帐!AJ1300</f>
        <v>0</v>
      </c>
      <c r="AK1300">
        <f>[1]资金台帐!AK1300</f>
        <v>0</v>
      </c>
      <c r="BA1300" s="22">
        <f t="shared" si="0"/>
      </c>
      <c r="BG1300" s="22">
        <f t="shared" si="1"/>
      </c>
      <c r="BH1300" s="22">
        <f t="shared" si="2"/>
        <v>0</v>
      </c>
    </row>
    <row r="1301">
      <c r="B1301">
        <f>[1]资金台帐!B1301&amp;""</f>
      </c>
      <c r="H1301">
        <f>[1]资金台帐!H1301&amp;""</f>
      </c>
      <c r="J1301">
        <f>[1]资金台帐!J1301&amp;""</f>
      </c>
      <c r="N1301">
        <f>[1]资金台帐!N1301</f>
      </c>
      <c r="O1301">
        <f>[1]资金台帐!O1301&amp;""</f>
      </c>
      <c r="P1301">
        <f>[1]资金台帐!P1301&amp;""</f>
      </c>
      <c r="Q1301">
        <f>[1]资金台帐!Q1301&amp;""</f>
      </c>
      <c r="T1301">
        <f>[1]资金台帐!T1301&amp;""</f>
      </c>
      <c r="U1301">
        <f>[1]资金台帐!U1301&amp;""</f>
      </c>
      <c r="W1301">
        <f>[1]资金台帐!W1301&amp;""</f>
      </c>
      <c r="X1301">
        <f>[1]资金台帐!X1301&amp;""</f>
      </c>
      <c r="AB1301">
        <f>[1]资金台帐!AB1301</f>
        <v>0</v>
      </c>
      <c r="AC1301">
        <f>[1]资金台帐!AC1301</f>
        <v>0</v>
      </c>
      <c r="AD1301">
        <f>[1]资金台帐!AD1301</f>
        <v>0</v>
      </c>
      <c r="AJ1301">
        <f>[1]资金台帐!AJ1301</f>
        <v>0</v>
      </c>
      <c r="AK1301">
        <f>[1]资金台帐!AK1301</f>
        <v>0</v>
      </c>
      <c r="BA1301" s="22">
        <f t="shared" si="0"/>
      </c>
      <c r="BG1301" s="22">
        <f t="shared" si="1"/>
      </c>
      <c r="BH1301" s="22">
        <f t="shared" si="2"/>
        <v>0</v>
      </c>
    </row>
    <row r="1302">
      <c r="B1302">
        <f>[1]资金台帐!B1302&amp;""</f>
      </c>
      <c r="H1302">
        <f>[1]资金台帐!H1302&amp;""</f>
      </c>
      <c r="J1302">
        <f>[1]资金台帐!J1302&amp;""</f>
      </c>
      <c r="N1302">
        <f>[1]资金台帐!N1302</f>
      </c>
      <c r="O1302">
        <f>[1]资金台帐!O1302&amp;""</f>
      </c>
      <c r="P1302">
        <f>[1]资金台帐!P1302&amp;""</f>
      </c>
      <c r="Q1302">
        <f>[1]资金台帐!Q1302&amp;""</f>
      </c>
      <c r="T1302">
        <f>[1]资金台帐!T1302&amp;""</f>
      </c>
      <c r="U1302">
        <f>[1]资金台帐!U1302&amp;""</f>
      </c>
      <c r="W1302">
        <f>[1]资金台帐!W1302&amp;""</f>
      </c>
      <c r="X1302">
        <f>[1]资金台帐!X1302&amp;""</f>
      </c>
      <c r="AB1302">
        <f>[1]资金台帐!AB1302</f>
        <v>0</v>
      </c>
      <c r="AC1302">
        <f>[1]资金台帐!AC1302</f>
        <v>0</v>
      </c>
      <c r="AD1302">
        <f>[1]资金台帐!AD1302</f>
        <v>0</v>
      </c>
      <c r="AJ1302">
        <f>[1]资金台帐!AJ1302</f>
        <v>0</v>
      </c>
      <c r="AK1302">
        <f>[1]资金台帐!AK1302</f>
        <v>0</v>
      </c>
      <c r="BA1302" s="22">
        <f t="shared" si="0"/>
      </c>
      <c r="BG1302" s="22">
        <f t="shared" si="1"/>
      </c>
      <c r="BH1302" s="22">
        <f t="shared" si="2"/>
        <v>0</v>
      </c>
    </row>
    <row r="1303">
      <c r="B1303">
        <f>[1]资金台帐!B1303&amp;""</f>
      </c>
      <c r="H1303">
        <f>[1]资金台帐!H1303&amp;""</f>
      </c>
      <c r="J1303">
        <f>[1]资金台帐!J1303&amp;""</f>
      </c>
      <c r="N1303">
        <f>[1]资金台帐!N1303</f>
      </c>
      <c r="O1303">
        <f>[1]资金台帐!O1303&amp;""</f>
      </c>
      <c r="P1303">
        <f>[1]资金台帐!P1303&amp;""</f>
      </c>
      <c r="Q1303">
        <f>[1]资金台帐!Q1303&amp;""</f>
      </c>
      <c r="T1303">
        <f>[1]资金台帐!T1303&amp;""</f>
      </c>
      <c r="U1303">
        <f>[1]资金台帐!U1303&amp;""</f>
      </c>
      <c r="W1303">
        <f>[1]资金台帐!W1303&amp;""</f>
      </c>
      <c r="X1303">
        <f>[1]资金台帐!X1303&amp;""</f>
      </c>
      <c r="AB1303">
        <f>[1]资金台帐!AB1303</f>
        <v>0</v>
      </c>
      <c r="AC1303">
        <f>[1]资金台帐!AC1303</f>
        <v>0</v>
      </c>
      <c r="AD1303">
        <f>[1]资金台帐!AD1303</f>
        <v>0</v>
      </c>
      <c r="AJ1303">
        <f>[1]资金台帐!AJ1303</f>
        <v>0</v>
      </c>
      <c r="AK1303">
        <f>[1]资金台帐!AK1303</f>
        <v>0</v>
      </c>
      <c r="BA1303" s="22">
        <f t="shared" si="0"/>
      </c>
      <c r="BG1303" s="22">
        <f t="shared" si="1"/>
      </c>
      <c r="BH1303" s="22">
        <f t="shared" si="2"/>
        <v>0</v>
      </c>
    </row>
    <row r="1304">
      <c r="B1304">
        <f>[1]资金台帐!B1304&amp;""</f>
      </c>
      <c r="H1304">
        <f>[1]资金台帐!H1304&amp;""</f>
      </c>
      <c r="J1304">
        <f>[1]资金台帐!J1304&amp;""</f>
      </c>
      <c r="N1304">
        <f>[1]资金台帐!N1304</f>
      </c>
      <c r="O1304">
        <f>[1]资金台帐!O1304&amp;""</f>
      </c>
      <c r="P1304">
        <f>[1]资金台帐!P1304&amp;""</f>
      </c>
      <c r="Q1304">
        <f>[1]资金台帐!Q1304&amp;""</f>
      </c>
      <c r="T1304">
        <f>[1]资金台帐!T1304&amp;""</f>
      </c>
      <c r="U1304">
        <f>[1]资金台帐!U1304&amp;""</f>
      </c>
      <c r="W1304">
        <f>[1]资金台帐!W1304&amp;""</f>
      </c>
      <c r="X1304">
        <f>[1]资金台帐!X1304&amp;""</f>
      </c>
      <c r="AB1304">
        <f>[1]资金台帐!AB1304</f>
        <v>0</v>
      </c>
      <c r="AC1304">
        <f>[1]资金台帐!AC1304</f>
        <v>0</v>
      </c>
      <c r="AD1304">
        <f>[1]资金台帐!AD1304</f>
        <v>0</v>
      </c>
      <c r="AJ1304">
        <f>[1]资金台帐!AJ1304</f>
        <v>0</v>
      </c>
      <c r="AK1304">
        <f>[1]资金台帐!AK1304</f>
        <v>0</v>
      </c>
      <c r="BA1304" s="22">
        <f t="shared" si="0"/>
      </c>
      <c r="BG1304" s="22">
        <f t="shared" si="1"/>
      </c>
      <c r="BH1304" s="22">
        <f t="shared" si="2"/>
        <v>0</v>
      </c>
    </row>
    <row r="1305">
      <c r="B1305">
        <f>[1]资金台帐!B1305&amp;""</f>
      </c>
      <c r="H1305">
        <f>[1]资金台帐!H1305&amp;""</f>
      </c>
      <c r="J1305">
        <f>[1]资金台帐!J1305&amp;""</f>
      </c>
      <c r="N1305">
        <f>[1]资金台帐!N1305</f>
      </c>
      <c r="O1305">
        <f>[1]资金台帐!O1305&amp;""</f>
      </c>
      <c r="P1305">
        <f>[1]资金台帐!P1305&amp;""</f>
      </c>
      <c r="Q1305">
        <f>[1]资金台帐!Q1305&amp;""</f>
      </c>
      <c r="T1305">
        <f>[1]资金台帐!T1305&amp;""</f>
      </c>
      <c r="U1305">
        <f>[1]资金台帐!U1305&amp;""</f>
      </c>
      <c r="W1305">
        <f>[1]资金台帐!W1305&amp;""</f>
      </c>
      <c r="X1305">
        <f>[1]资金台帐!X1305&amp;""</f>
      </c>
      <c r="AB1305">
        <f>[1]资金台帐!AB1305</f>
        <v>0</v>
      </c>
      <c r="AC1305">
        <f>[1]资金台帐!AC1305</f>
        <v>0</v>
      </c>
      <c r="AD1305">
        <f>[1]资金台帐!AD1305</f>
        <v>0</v>
      </c>
      <c r="AJ1305">
        <f>[1]资金台帐!AJ1305</f>
        <v>0</v>
      </c>
      <c r="AK1305">
        <f>[1]资金台帐!AK1305</f>
        <v>0</v>
      </c>
      <c r="BA1305" s="22">
        <f t="shared" si="0"/>
      </c>
      <c r="BG1305" s="22">
        <f t="shared" si="1"/>
      </c>
      <c r="BH1305" s="22">
        <f t="shared" si="2"/>
        <v>0</v>
      </c>
    </row>
    <row r="1306">
      <c r="B1306">
        <f>[1]资金台帐!B1306&amp;""</f>
      </c>
      <c r="H1306">
        <f>[1]资金台帐!H1306&amp;""</f>
      </c>
      <c r="J1306">
        <f>[1]资金台帐!J1306&amp;""</f>
      </c>
      <c r="N1306">
        <f>[1]资金台帐!N1306</f>
      </c>
      <c r="O1306">
        <f>[1]资金台帐!O1306&amp;""</f>
      </c>
      <c r="P1306">
        <f>[1]资金台帐!P1306&amp;""</f>
      </c>
      <c r="Q1306">
        <f>[1]资金台帐!Q1306&amp;""</f>
      </c>
      <c r="T1306">
        <f>[1]资金台帐!T1306&amp;""</f>
      </c>
      <c r="U1306">
        <f>[1]资金台帐!U1306&amp;""</f>
      </c>
      <c r="W1306">
        <f>[1]资金台帐!W1306&amp;""</f>
      </c>
      <c r="X1306">
        <f>[1]资金台帐!X1306&amp;""</f>
      </c>
      <c r="AB1306">
        <f>[1]资金台帐!AB1306</f>
        <v>0</v>
      </c>
      <c r="AC1306">
        <f>[1]资金台帐!AC1306</f>
        <v>0</v>
      </c>
      <c r="AD1306">
        <f>[1]资金台帐!AD1306</f>
        <v>0</v>
      </c>
      <c r="AJ1306">
        <f>[1]资金台帐!AJ1306</f>
        <v>0</v>
      </c>
      <c r="AK1306">
        <f>[1]资金台帐!AK1306</f>
        <v>0</v>
      </c>
      <c r="BA1306" s="22">
        <f t="shared" si="0"/>
      </c>
      <c r="BG1306" s="22">
        <f t="shared" si="1"/>
      </c>
      <c r="BH1306" s="22">
        <f t="shared" si="2"/>
        <v>0</v>
      </c>
    </row>
    <row r="1307">
      <c r="B1307">
        <f>[1]资金台帐!B1307&amp;""</f>
      </c>
      <c r="H1307">
        <f>[1]资金台帐!H1307&amp;""</f>
      </c>
      <c r="J1307">
        <f>[1]资金台帐!J1307&amp;""</f>
      </c>
      <c r="N1307">
        <f>[1]资金台帐!N1307</f>
      </c>
      <c r="O1307">
        <f>[1]资金台帐!O1307&amp;""</f>
      </c>
      <c r="P1307">
        <f>[1]资金台帐!P1307&amp;""</f>
      </c>
      <c r="Q1307">
        <f>[1]资金台帐!Q1307&amp;""</f>
      </c>
      <c r="T1307">
        <f>[1]资金台帐!T1307&amp;""</f>
      </c>
      <c r="U1307">
        <f>[1]资金台帐!U1307&amp;""</f>
      </c>
      <c r="W1307">
        <f>[1]资金台帐!W1307&amp;""</f>
      </c>
      <c r="X1307">
        <f>[1]资金台帐!X1307&amp;""</f>
      </c>
      <c r="AB1307">
        <f>[1]资金台帐!AB1307</f>
        <v>0</v>
      </c>
      <c r="AC1307">
        <f>[1]资金台帐!AC1307</f>
        <v>0</v>
      </c>
      <c r="AD1307">
        <f>[1]资金台帐!AD1307</f>
        <v>0</v>
      </c>
      <c r="AJ1307">
        <f>[1]资金台帐!AJ1307</f>
        <v>0</v>
      </c>
      <c r="AK1307">
        <f>[1]资金台帐!AK1307</f>
        <v>0</v>
      </c>
      <c r="BA1307" s="22">
        <f t="shared" si="0"/>
      </c>
      <c r="BG1307" s="22">
        <f t="shared" si="1"/>
      </c>
      <c r="BH1307" s="22">
        <f t="shared" si="2"/>
        <v>0</v>
      </c>
    </row>
    <row r="1308">
      <c r="B1308">
        <f>[1]资金台帐!B1308&amp;""</f>
      </c>
      <c r="H1308">
        <f>[1]资金台帐!H1308&amp;""</f>
      </c>
      <c r="J1308">
        <f>[1]资金台帐!J1308&amp;""</f>
      </c>
      <c r="N1308">
        <f>[1]资金台帐!N1308</f>
      </c>
      <c r="O1308">
        <f>[1]资金台帐!O1308&amp;""</f>
      </c>
      <c r="P1308">
        <f>[1]资金台帐!P1308&amp;""</f>
      </c>
      <c r="Q1308">
        <f>[1]资金台帐!Q1308&amp;""</f>
      </c>
      <c r="T1308">
        <f>[1]资金台帐!T1308&amp;""</f>
      </c>
      <c r="U1308">
        <f>[1]资金台帐!U1308&amp;""</f>
      </c>
      <c r="W1308">
        <f>[1]资金台帐!W1308&amp;""</f>
      </c>
      <c r="X1308">
        <f>[1]资金台帐!X1308&amp;""</f>
      </c>
      <c r="AB1308">
        <f>[1]资金台帐!AB1308</f>
        <v>0</v>
      </c>
      <c r="AC1308">
        <f>[1]资金台帐!AC1308</f>
        <v>0</v>
      </c>
      <c r="AD1308">
        <f>[1]资金台帐!AD1308</f>
        <v>0</v>
      </c>
      <c r="AJ1308">
        <f>[1]资金台帐!AJ1308</f>
        <v>0</v>
      </c>
      <c r="AK1308">
        <f>[1]资金台帐!AK1308</f>
        <v>0</v>
      </c>
      <c r="BA1308" s="22">
        <f t="shared" si="0"/>
      </c>
      <c r="BG1308" s="22">
        <f t="shared" si="1"/>
      </c>
      <c r="BH1308" s="22">
        <f t="shared" si="2"/>
        <v>0</v>
      </c>
    </row>
    <row r="1309">
      <c r="B1309">
        <f>[1]资金台帐!B1309&amp;""</f>
      </c>
      <c r="H1309">
        <f>[1]资金台帐!H1309&amp;""</f>
      </c>
      <c r="J1309">
        <f>[1]资金台帐!J1309&amp;""</f>
      </c>
      <c r="N1309">
        <f>[1]资金台帐!N1309</f>
      </c>
      <c r="O1309">
        <f>[1]资金台帐!O1309&amp;""</f>
      </c>
      <c r="P1309">
        <f>[1]资金台帐!P1309&amp;""</f>
      </c>
      <c r="Q1309">
        <f>[1]资金台帐!Q1309&amp;""</f>
      </c>
      <c r="T1309">
        <f>[1]资金台帐!T1309&amp;""</f>
      </c>
      <c r="U1309">
        <f>[1]资金台帐!U1309&amp;""</f>
      </c>
      <c r="W1309">
        <f>[1]资金台帐!W1309&amp;""</f>
      </c>
      <c r="X1309">
        <f>[1]资金台帐!X1309&amp;""</f>
      </c>
      <c r="AB1309">
        <f>[1]资金台帐!AB1309</f>
        <v>0</v>
      </c>
      <c r="AC1309">
        <f>[1]资金台帐!AC1309</f>
        <v>0</v>
      </c>
      <c r="AD1309">
        <f>[1]资金台帐!AD1309</f>
        <v>0</v>
      </c>
      <c r="AJ1309">
        <f>[1]资金台帐!AJ1309</f>
        <v>0</v>
      </c>
      <c r="AK1309">
        <f>[1]资金台帐!AK1309</f>
        <v>0</v>
      </c>
      <c r="BA1309" s="22">
        <f t="shared" si="0"/>
      </c>
      <c r="BG1309" s="22">
        <f t="shared" si="1"/>
      </c>
      <c r="BH1309" s="22">
        <f t="shared" si="2"/>
        <v>0</v>
      </c>
    </row>
    <row r="1310">
      <c r="B1310">
        <f>[1]资金台帐!B1310&amp;""</f>
      </c>
      <c r="H1310">
        <f>[1]资金台帐!H1310&amp;""</f>
      </c>
      <c r="J1310">
        <f>[1]资金台帐!J1310&amp;""</f>
      </c>
      <c r="N1310">
        <f>[1]资金台帐!N1310</f>
      </c>
      <c r="O1310">
        <f>[1]资金台帐!O1310&amp;""</f>
      </c>
      <c r="P1310">
        <f>[1]资金台帐!P1310&amp;""</f>
      </c>
      <c r="Q1310">
        <f>[1]资金台帐!Q1310&amp;""</f>
      </c>
      <c r="T1310">
        <f>[1]资金台帐!T1310&amp;""</f>
      </c>
      <c r="U1310">
        <f>[1]资金台帐!U1310&amp;""</f>
      </c>
      <c r="W1310">
        <f>[1]资金台帐!W1310&amp;""</f>
      </c>
      <c r="X1310">
        <f>[1]资金台帐!X1310&amp;""</f>
      </c>
      <c r="AB1310">
        <f>[1]资金台帐!AB1310</f>
        <v>0</v>
      </c>
      <c r="AC1310">
        <f>[1]资金台帐!AC1310</f>
        <v>0</v>
      </c>
      <c r="AD1310">
        <f>[1]资金台帐!AD1310</f>
        <v>0</v>
      </c>
      <c r="AJ1310">
        <f>[1]资金台帐!AJ1310</f>
        <v>0</v>
      </c>
      <c r="AK1310">
        <f>[1]资金台帐!AK1310</f>
        <v>0</v>
      </c>
      <c r="BA1310" s="22">
        <f t="shared" si="0"/>
      </c>
      <c r="BG1310" s="22">
        <f t="shared" si="1"/>
      </c>
      <c r="BH1310" s="22">
        <f t="shared" si="2"/>
        <v>0</v>
      </c>
    </row>
    <row r="1311">
      <c r="B1311">
        <f>[1]资金台帐!B1311&amp;""</f>
      </c>
      <c r="H1311">
        <f>[1]资金台帐!H1311&amp;""</f>
      </c>
      <c r="J1311">
        <f>[1]资金台帐!J1311&amp;""</f>
      </c>
      <c r="N1311">
        <f>[1]资金台帐!N1311</f>
      </c>
      <c r="O1311">
        <f>[1]资金台帐!O1311&amp;""</f>
      </c>
      <c r="P1311">
        <f>[1]资金台帐!P1311&amp;""</f>
      </c>
      <c r="Q1311">
        <f>[1]资金台帐!Q1311&amp;""</f>
      </c>
      <c r="T1311">
        <f>[1]资金台帐!T1311&amp;""</f>
      </c>
      <c r="U1311">
        <f>[1]资金台帐!U1311&amp;""</f>
      </c>
      <c r="W1311">
        <f>[1]资金台帐!W1311&amp;""</f>
      </c>
      <c r="X1311">
        <f>[1]资金台帐!X1311&amp;""</f>
      </c>
      <c r="AB1311">
        <f>[1]资金台帐!AB1311</f>
        <v>0</v>
      </c>
      <c r="AC1311">
        <f>[1]资金台帐!AC1311</f>
        <v>0</v>
      </c>
      <c r="AD1311">
        <f>[1]资金台帐!AD1311</f>
        <v>0</v>
      </c>
      <c r="AJ1311">
        <f>[1]资金台帐!AJ1311</f>
        <v>0</v>
      </c>
      <c r="AK1311">
        <f>[1]资金台帐!AK1311</f>
        <v>0</v>
      </c>
      <c r="BA1311" s="22">
        <f t="shared" si="0"/>
      </c>
      <c r="BG1311" s="22">
        <f t="shared" si="1"/>
      </c>
      <c r="BH1311" s="22">
        <f t="shared" si="2"/>
        <v>0</v>
      </c>
    </row>
    <row r="1312">
      <c r="B1312">
        <f>[1]资金台帐!B1312&amp;""</f>
      </c>
      <c r="H1312">
        <f>[1]资金台帐!H1312&amp;""</f>
      </c>
      <c r="J1312">
        <f>[1]资金台帐!J1312&amp;""</f>
      </c>
      <c r="N1312">
        <f>[1]资金台帐!N1312</f>
      </c>
      <c r="O1312">
        <f>[1]资金台帐!O1312&amp;""</f>
      </c>
      <c r="P1312">
        <f>[1]资金台帐!P1312&amp;""</f>
      </c>
      <c r="Q1312">
        <f>[1]资金台帐!Q1312&amp;""</f>
      </c>
      <c r="T1312">
        <f>[1]资金台帐!T1312&amp;""</f>
      </c>
      <c r="U1312">
        <f>[1]资金台帐!U1312&amp;""</f>
      </c>
      <c r="W1312">
        <f>[1]资金台帐!W1312&amp;""</f>
      </c>
      <c r="X1312">
        <f>[1]资金台帐!X1312&amp;""</f>
      </c>
      <c r="AB1312">
        <f>[1]资金台帐!AB1312</f>
        <v>0</v>
      </c>
      <c r="AC1312">
        <f>[1]资金台帐!AC1312</f>
        <v>0</v>
      </c>
      <c r="AD1312">
        <f>[1]资金台帐!AD1312</f>
        <v>0</v>
      </c>
      <c r="AJ1312">
        <f>[1]资金台帐!AJ1312</f>
        <v>0</v>
      </c>
      <c r="AK1312">
        <f>[1]资金台帐!AK1312</f>
        <v>0</v>
      </c>
      <c r="BA1312" s="22">
        <f t="shared" si="0"/>
      </c>
      <c r="BG1312" s="22">
        <f t="shared" si="1"/>
      </c>
      <c r="BH1312" s="22">
        <f t="shared" si="2"/>
        <v>0</v>
      </c>
    </row>
    <row r="1313">
      <c r="B1313">
        <f>[1]资金台帐!B1313&amp;""</f>
      </c>
      <c r="H1313">
        <f>[1]资金台帐!H1313&amp;""</f>
      </c>
      <c r="J1313">
        <f>[1]资金台帐!J1313&amp;""</f>
      </c>
      <c r="N1313">
        <f>[1]资金台帐!N1313</f>
      </c>
      <c r="O1313">
        <f>[1]资金台帐!O1313&amp;""</f>
      </c>
      <c r="P1313">
        <f>[1]资金台帐!P1313&amp;""</f>
      </c>
      <c r="Q1313">
        <f>[1]资金台帐!Q1313&amp;""</f>
      </c>
      <c r="T1313">
        <f>[1]资金台帐!T1313&amp;""</f>
      </c>
      <c r="U1313">
        <f>[1]资金台帐!U1313&amp;""</f>
      </c>
      <c r="W1313">
        <f>[1]资金台帐!W1313&amp;""</f>
      </c>
      <c r="X1313">
        <f>[1]资金台帐!X1313&amp;""</f>
      </c>
      <c r="AB1313">
        <f>[1]资金台帐!AB1313</f>
        <v>0</v>
      </c>
      <c r="AC1313">
        <f>[1]资金台帐!AC1313</f>
        <v>0</v>
      </c>
      <c r="AD1313">
        <f>[1]资金台帐!AD1313</f>
        <v>0</v>
      </c>
      <c r="AJ1313">
        <f>[1]资金台帐!AJ1313</f>
        <v>0</v>
      </c>
      <c r="AK1313">
        <f>[1]资金台帐!AK1313</f>
        <v>0</v>
      </c>
      <c r="BA1313" s="22">
        <f t="shared" si="0"/>
      </c>
      <c r="BG1313" s="22">
        <f t="shared" si="1"/>
      </c>
      <c r="BH1313" s="22">
        <f t="shared" si="2"/>
        <v>0</v>
      </c>
    </row>
    <row r="1314">
      <c r="B1314">
        <f>[1]资金台帐!B1314&amp;""</f>
      </c>
      <c r="H1314">
        <f>[1]资金台帐!H1314&amp;""</f>
      </c>
      <c r="J1314">
        <f>[1]资金台帐!J1314&amp;""</f>
      </c>
      <c r="N1314">
        <f>[1]资金台帐!N1314</f>
      </c>
      <c r="O1314">
        <f>[1]资金台帐!O1314&amp;""</f>
      </c>
      <c r="P1314">
        <f>[1]资金台帐!P1314&amp;""</f>
      </c>
      <c r="Q1314">
        <f>[1]资金台帐!Q1314&amp;""</f>
      </c>
      <c r="T1314">
        <f>[1]资金台帐!T1314&amp;""</f>
      </c>
      <c r="U1314">
        <f>[1]资金台帐!U1314&amp;""</f>
      </c>
      <c r="W1314">
        <f>[1]资金台帐!W1314&amp;""</f>
      </c>
      <c r="X1314">
        <f>[1]资金台帐!X1314&amp;""</f>
      </c>
      <c r="AB1314">
        <f>[1]资金台帐!AB1314</f>
        <v>0</v>
      </c>
      <c r="AC1314">
        <f>[1]资金台帐!AC1314</f>
        <v>0</v>
      </c>
      <c r="AD1314">
        <f>[1]资金台帐!AD1314</f>
        <v>0</v>
      </c>
      <c r="AJ1314">
        <f>[1]资金台帐!AJ1314</f>
        <v>0</v>
      </c>
      <c r="AK1314">
        <f>[1]资金台帐!AK1314</f>
        <v>0</v>
      </c>
      <c r="BA1314" s="22">
        <f t="shared" si="0"/>
      </c>
      <c r="BG1314" s="22">
        <f t="shared" si="1"/>
      </c>
      <c r="BH1314" s="22">
        <f t="shared" si="2"/>
        <v>0</v>
      </c>
    </row>
    <row r="1315">
      <c r="B1315">
        <f>[1]资金台帐!B1315&amp;""</f>
      </c>
      <c r="H1315">
        <f>[1]资金台帐!H1315&amp;""</f>
      </c>
      <c r="J1315">
        <f>[1]资金台帐!J1315&amp;""</f>
      </c>
      <c r="N1315">
        <f>[1]资金台帐!N1315</f>
      </c>
      <c r="O1315">
        <f>[1]资金台帐!O1315&amp;""</f>
      </c>
      <c r="P1315">
        <f>[1]资金台帐!P1315&amp;""</f>
      </c>
      <c r="Q1315">
        <f>[1]资金台帐!Q1315&amp;""</f>
      </c>
      <c r="T1315">
        <f>[1]资金台帐!T1315&amp;""</f>
      </c>
      <c r="U1315">
        <f>[1]资金台帐!U1315&amp;""</f>
      </c>
      <c r="W1315">
        <f>[1]资金台帐!W1315&amp;""</f>
      </c>
      <c r="X1315">
        <f>[1]资金台帐!X1315&amp;""</f>
      </c>
      <c r="AB1315">
        <f>[1]资金台帐!AB1315</f>
        <v>0</v>
      </c>
      <c r="AC1315">
        <f>[1]资金台帐!AC1315</f>
        <v>0</v>
      </c>
      <c r="AD1315">
        <f>[1]资金台帐!AD1315</f>
        <v>0</v>
      </c>
      <c r="AJ1315">
        <f>[1]资金台帐!AJ1315</f>
        <v>0</v>
      </c>
      <c r="AK1315">
        <f>[1]资金台帐!AK1315</f>
        <v>0</v>
      </c>
      <c r="BA1315" s="22">
        <f t="shared" si="0"/>
      </c>
      <c r="BG1315" s="22">
        <f t="shared" si="1"/>
      </c>
      <c r="BH1315" s="22">
        <f t="shared" si="2"/>
        <v>0</v>
      </c>
    </row>
    <row r="1316">
      <c r="B1316">
        <f>[1]资金台帐!B1316&amp;""</f>
      </c>
      <c r="H1316">
        <f>[1]资金台帐!H1316&amp;""</f>
      </c>
      <c r="J1316">
        <f>[1]资金台帐!J1316&amp;""</f>
      </c>
      <c r="N1316">
        <f>[1]资金台帐!N1316</f>
      </c>
      <c r="O1316">
        <f>[1]资金台帐!O1316&amp;""</f>
      </c>
      <c r="P1316">
        <f>[1]资金台帐!P1316&amp;""</f>
      </c>
      <c r="Q1316">
        <f>[1]资金台帐!Q1316&amp;""</f>
      </c>
      <c r="T1316">
        <f>[1]资金台帐!T1316&amp;""</f>
      </c>
      <c r="U1316">
        <f>[1]资金台帐!U1316&amp;""</f>
      </c>
      <c r="W1316">
        <f>[1]资金台帐!W1316&amp;""</f>
      </c>
      <c r="X1316">
        <f>[1]资金台帐!X1316&amp;""</f>
      </c>
      <c r="AB1316">
        <f>[1]资金台帐!AB1316</f>
        <v>0</v>
      </c>
      <c r="AC1316">
        <f>[1]资金台帐!AC1316</f>
        <v>0</v>
      </c>
      <c r="AD1316">
        <f>[1]资金台帐!AD1316</f>
        <v>0</v>
      </c>
      <c r="AJ1316">
        <f>[1]资金台帐!AJ1316</f>
        <v>0</v>
      </c>
      <c r="AK1316">
        <f>[1]资金台帐!AK1316</f>
        <v>0</v>
      </c>
      <c r="BA1316" s="22">
        <f t="shared" si="0"/>
      </c>
      <c r="BG1316" s="22">
        <f t="shared" si="1"/>
      </c>
      <c r="BH1316" s="22">
        <f t="shared" si="2"/>
        <v>0</v>
      </c>
    </row>
    <row r="1317">
      <c r="B1317">
        <f>[1]资金台帐!B1317&amp;""</f>
      </c>
      <c r="H1317">
        <f>[1]资金台帐!H1317&amp;""</f>
      </c>
      <c r="J1317">
        <f>[1]资金台帐!J1317&amp;""</f>
      </c>
      <c r="N1317">
        <f>[1]资金台帐!N1317</f>
      </c>
      <c r="O1317">
        <f>[1]资金台帐!O1317&amp;""</f>
      </c>
      <c r="P1317">
        <f>[1]资金台帐!P1317&amp;""</f>
      </c>
      <c r="Q1317">
        <f>[1]资金台帐!Q1317&amp;""</f>
      </c>
      <c r="T1317">
        <f>[1]资金台帐!T1317&amp;""</f>
      </c>
      <c r="U1317">
        <f>[1]资金台帐!U1317&amp;""</f>
      </c>
      <c r="W1317">
        <f>[1]资金台帐!W1317&amp;""</f>
      </c>
      <c r="X1317">
        <f>[1]资金台帐!X1317&amp;""</f>
      </c>
      <c r="AB1317">
        <f>[1]资金台帐!AB1317</f>
        <v>0</v>
      </c>
      <c r="AC1317">
        <f>[1]资金台帐!AC1317</f>
        <v>0</v>
      </c>
      <c r="AD1317">
        <f>[1]资金台帐!AD1317</f>
        <v>0</v>
      </c>
      <c r="AJ1317">
        <f>[1]资金台帐!AJ1317</f>
        <v>0</v>
      </c>
      <c r="AK1317">
        <f>[1]资金台帐!AK1317</f>
        <v>0</v>
      </c>
      <c r="BA1317" s="22">
        <f t="shared" si="0"/>
      </c>
      <c r="BG1317" s="22">
        <f t="shared" si="1"/>
      </c>
      <c r="BH1317" s="22">
        <f t="shared" si="2"/>
        <v>0</v>
      </c>
    </row>
    <row r="1318">
      <c r="B1318">
        <f>[1]资金台帐!B1318&amp;""</f>
      </c>
      <c r="H1318">
        <f>[1]资金台帐!H1318&amp;""</f>
      </c>
      <c r="J1318">
        <f>[1]资金台帐!J1318&amp;""</f>
      </c>
      <c r="N1318">
        <f>[1]资金台帐!N1318</f>
      </c>
      <c r="O1318">
        <f>[1]资金台帐!O1318&amp;""</f>
      </c>
      <c r="P1318">
        <f>[1]资金台帐!P1318&amp;""</f>
      </c>
      <c r="Q1318">
        <f>[1]资金台帐!Q1318&amp;""</f>
      </c>
      <c r="T1318">
        <f>[1]资金台帐!T1318&amp;""</f>
      </c>
      <c r="U1318">
        <f>[1]资金台帐!U1318&amp;""</f>
      </c>
      <c r="W1318">
        <f>[1]资金台帐!W1318&amp;""</f>
      </c>
      <c r="X1318">
        <f>[1]资金台帐!X1318&amp;""</f>
      </c>
      <c r="AB1318">
        <f>[1]资金台帐!AB1318</f>
        <v>0</v>
      </c>
      <c r="AC1318">
        <f>[1]资金台帐!AC1318</f>
        <v>0</v>
      </c>
      <c r="AD1318">
        <f>[1]资金台帐!AD1318</f>
        <v>0</v>
      </c>
      <c r="AJ1318">
        <f>[1]资金台帐!AJ1318</f>
        <v>0</v>
      </c>
      <c r="AK1318">
        <f>[1]资金台帐!AK1318</f>
        <v>0</v>
      </c>
      <c r="BA1318" s="22">
        <f t="shared" si="0"/>
      </c>
      <c r="BG1318" s="22">
        <f t="shared" si="1"/>
      </c>
      <c r="BH1318" s="22">
        <f t="shared" si="2"/>
        <v>0</v>
      </c>
    </row>
    <row r="1319">
      <c r="B1319">
        <f>[1]资金台帐!B1319&amp;""</f>
      </c>
      <c r="H1319">
        <f>[1]资金台帐!H1319&amp;""</f>
      </c>
      <c r="J1319">
        <f>[1]资金台帐!J1319&amp;""</f>
      </c>
      <c r="N1319">
        <f>[1]资金台帐!N1319</f>
      </c>
      <c r="O1319">
        <f>[1]资金台帐!O1319&amp;""</f>
      </c>
      <c r="P1319">
        <f>[1]资金台帐!P1319&amp;""</f>
      </c>
      <c r="Q1319">
        <f>[1]资金台帐!Q1319&amp;""</f>
      </c>
      <c r="T1319">
        <f>[1]资金台帐!T1319&amp;""</f>
      </c>
      <c r="U1319">
        <f>[1]资金台帐!U1319&amp;""</f>
      </c>
      <c r="W1319">
        <f>[1]资金台帐!W1319&amp;""</f>
      </c>
      <c r="X1319">
        <f>[1]资金台帐!X1319&amp;""</f>
      </c>
      <c r="AB1319">
        <f>[1]资金台帐!AB1319</f>
        <v>0</v>
      </c>
      <c r="AC1319">
        <f>[1]资金台帐!AC1319</f>
        <v>0</v>
      </c>
      <c r="AD1319">
        <f>[1]资金台帐!AD1319</f>
        <v>0</v>
      </c>
      <c r="AJ1319">
        <f>[1]资金台帐!AJ1319</f>
        <v>0</v>
      </c>
      <c r="AK1319">
        <f>[1]资金台帐!AK1319</f>
        <v>0</v>
      </c>
      <c r="BA1319" s="22">
        <f t="shared" si="0"/>
      </c>
      <c r="BG1319" s="22">
        <f t="shared" si="1"/>
      </c>
      <c r="BH1319" s="22">
        <f t="shared" si="2"/>
        <v>0</v>
      </c>
    </row>
    <row r="1320">
      <c r="B1320">
        <f>[1]资金台帐!B1320&amp;""</f>
      </c>
      <c r="H1320">
        <f>[1]资金台帐!H1320&amp;""</f>
      </c>
      <c r="J1320">
        <f>[1]资金台帐!J1320&amp;""</f>
      </c>
      <c r="N1320">
        <f>[1]资金台帐!N1320</f>
      </c>
      <c r="O1320">
        <f>[1]资金台帐!O1320&amp;""</f>
      </c>
      <c r="P1320">
        <f>[1]资金台帐!P1320&amp;""</f>
      </c>
      <c r="Q1320">
        <f>[1]资金台帐!Q1320&amp;""</f>
      </c>
      <c r="T1320">
        <f>[1]资金台帐!T1320&amp;""</f>
      </c>
      <c r="U1320">
        <f>[1]资金台帐!U1320&amp;""</f>
      </c>
      <c r="W1320">
        <f>[1]资金台帐!W1320&amp;""</f>
      </c>
      <c r="X1320">
        <f>[1]资金台帐!X1320&amp;""</f>
      </c>
      <c r="AB1320">
        <f>[1]资金台帐!AB1320</f>
        <v>0</v>
      </c>
      <c r="AC1320">
        <f>[1]资金台帐!AC1320</f>
        <v>0</v>
      </c>
      <c r="AD1320">
        <f>[1]资金台帐!AD1320</f>
        <v>0</v>
      </c>
      <c r="AJ1320">
        <f>[1]资金台帐!AJ1320</f>
        <v>0</v>
      </c>
      <c r="AK1320">
        <f>[1]资金台帐!AK1320</f>
        <v>0</v>
      </c>
      <c r="BA1320" s="22">
        <f t="shared" si="0"/>
      </c>
      <c r="BG1320" s="22">
        <f t="shared" si="1"/>
      </c>
      <c r="BH1320" s="22">
        <f t="shared" si="2"/>
        <v>0</v>
      </c>
    </row>
    <row r="1321">
      <c r="B1321">
        <f>[1]资金台帐!B1321&amp;""</f>
      </c>
      <c r="H1321">
        <f>[1]资金台帐!H1321&amp;""</f>
      </c>
      <c r="J1321">
        <f>[1]资金台帐!J1321&amp;""</f>
      </c>
      <c r="N1321">
        <f>[1]资金台帐!N1321</f>
      </c>
      <c r="O1321">
        <f>[1]资金台帐!O1321&amp;""</f>
      </c>
      <c r="P1321">
        <f>[1]资金台帐!P1321&amp;""</f>
      </c>
      <c r="Q1321">
        <f>[1]资金台帐!Q1321&amp;""</f>
      </c>
      <c r="T1321">
        <f>[1]资金台帐!T1321&amp;""</f>
      </c>
      <c r="U1321">
        <f>[1]资金台帐!U1321&amp;""</f>
      </c>
      <c r="W1321">
        <f>[1]资金台帐!W1321&amp;""</f>
      </c>
      <c r="X1321">
        <f>[1]资金台帐!X1321&amp;""</f>
      </c>
      <c r="AB1321">
        <f>[1]资金台帐!AB1321</f>
        <v>0</v>
      </c>
      <c r="AC1321">
        <f>[1]资金台帐!AC1321</f>
        <v>0</v>
      </c>
      <c r="AD1321">
        <f>[1]资金台帐!AD1321</f>
        <v>0</v>
      </c>
      <c r="AJ1321">
        <f>[1]资金台帐!AJ1321</f>
        <v>0</v>
      </c>
      <c r="AK1321">
        <f>[1]资金台帐!AK1321</f>
        <v>0</v>
      </c>
      <c r="BA1321" s="22">
        <f t="shared" si="0"/>
      </c>
      <c r="BG1321" s="22">
        <f t="shared" si="1"/>
      </c>
      <c r="BH1321" s="22">
        <f t="shared" si="2"/>
        <v>0</v>
      </c>
    </row>
    <row r="1322">
      <c r="B1322">
        <f>[1]资金台帐!B1322&amp;""</f>
      </c>
      <c r="H1322">
        <f>[1]资金台帐!H1322&amp;""</f>
      </c>
      <c r="J1322">
        <f>[1]资金台帐!J1322&amp;""</f>
      </c>
      <c r="N1322">
        <f>[1]资金台帐!N1322</f>
      </c>
      <c r="O1322">
        <f>[1]资金台帐!O1322&amp;""</f>
      </c>
      <c r="P1322">
        <f>[1]资金台帐!P1322&amp;""</f>
      </c>
      <c r="Q1322">
        <f>[1]资金台帐!Q1322&amp;""</f>
      </c>
      <c r="T1322">
        <f>[1]资金台帐!T1322&amp;""</f>
      </c>
      <c r="U1322">
        <f>[1]资金台帐!U1322&amp;""</f>
      </c>
      <c r="W1322">
        <f>[1]资金台帐!W1322&amp;""</f>
      </c>
      <c r="X1322">
        <f>[1]资金台帐!X1322&amp;""</f>
      </c>
      <c r="AB1322">
        <f>[1]资金台帐!AB1322</f>
        <v>0</v>
      </c>
      <c r="AC1322">
        <f>[1]资金台帐!AC1322</f>
        <v>0</v>
      </c>
      <c r="AD1322">
        <f>[1]资金台帐!AD1322</f>
        <v>0</v>
      </c>
      <c r="AJ1322">
        <f>[1]资金台帐!AJ1322</f>
        <v>0</v>
      </c>
      <c r="AK1322">
        <f>[1]资金台帐!AK1322</f>
        <v>0</v>
      </c>
      <c r="BA1322" s="22">
        <f t="shared" si="0"/>
      </c>
      <c r="BG1322" s="22">
        <f t="shared" si="1"/>
      </c>
      <c r="BH1322" s="22">
        <f t="shared" si="2"/>
        <v>0</v>
      </c>
    </row>
    <row r="1323">
      <c r="B1323">
        <f>[1]资金台帐!B1323&amp;""</f>
      </c>
      <c r="H1323">
        <f>[1]资金台帐!H1323&amp;""</f>
      </c>
      <c r="J1323">
        <f>[1]资金台帐!J1323&amp;""</f>
      </c>
      <c r="N1323">
        <f>[1]资金台帐!N1323</f>
      </c>
      <c r="O1323">
        <f>[1]资金台帐!O1323&amp;""</f>
      </c>
      <c r="P1323">
        <f>[1]资金台帐!P1323&amp;""</f>
      </c>
      <c r="Q1323">
        <f>[1]资金台帐!Q1323&amp;""</f>
      </c>
      <c r="T1323">
        <f>[1]资金台帐!T1323&amp;""</f>
      </c>
      <c r="U1323">
        <f>[1]资金台帐!U1323&amp;""</f>
      </c>
      <c r="W1323">
        <f>[1]资金台帐!W1323&amp;""</f>
      </c>
      <c r="X1323">
        <f>[1]资金台帐!X1323&amp;""</f>
      </c>
      <c r="AB1323">
        <f>[1]资金台帐!AB1323</f>
        <v>0</v>
      </c>
      <c r="AC1323">
        <f>[1]资金台帐!AC1323</f>
        <v>0</v>
      </c>
      <c r="AD1323">
        <f>[1]资金台帐!AD1323</f>
        <v>0</v>
      </c>
      <c r="AJ1323">
        <f>[1]资金台帐!AJ1323</f>
        <v>0</v>
      </c>
      <c r="AK1323">
        <f>[1]资金台帐!AK1323</f>
        <v>0</v>
      </c>
      <c r="BA1323" s="22">
        <f t="shared" si="0"/>
      </c>
      <c r="BG1323" s="22">
        <f t="shared" si="1"/>
      </c>
      <c r="BH1323" s="22">
        <f t="shared" si="2"/>
        <v>0</v>
      </c>
    </row>
    <row r="1324">
      <c r="B1324">
        <f>[1]资金台帐!B1324&amp;""</f>
      </c>
      <c r="H1324">
        <f>[1]资金台帐!H1324&amp;""</f>
      </c>
      <c r="J1324">
        <f>[1]资金台帐!J1324&amp;""</f>
      </c>
      <c r="N1324">
        <f>[1]资金台帐!N1324</f>
      </c>
      <c r="O1324">
        <f>[1]资金台帐!O1324&amp;""</f>
      </c>
      <c r="P1324">
        <f>[1]资金台帐!P1324&amp;""</f>
      </c>
      <c r="Q1324">
        <f>[1]资金台帐!Q1324&amp;""</f>
      </c>
      <c r="T1324">
        <f>[1]资金台帐!T1324&amp;""</f>
      </c>
      <c r="U1324">
        <f>[1]资金台帐!U1324&amp;""</f>
      </c>
      <c r="W1324">
        <f>[1]资金台帐!W1324&amp;""</f>
      </c>
      <c r="X1324">
        <f>[1]资金台帐!X1324&amp;""</f>
      </c>
      <c r="AB1324">
        <f>[1]资金台帐!AB1324</f>
        <v>0</v>
      </c>
      <c r="AC1324">
        <f>[1]资金台帐!AC1324</f>
        <v>0</v>
      </c>
      <c r="AD1324">
        <f>[1]资金台帐!AD1324</f>
        <v>0</v>
      </c>
      <c r="AJ1324">
        <f>[1]资金台帐!AJ1324</f>
        <v>0</v>
      </c>
      <c r="AK1324">
        <f>[1]资金台帐!AK1324</f>
        <v>0</v>
      </c>
      <c r="BA1324" s="22">
        <f t="shared" si="0"/>
      </c>
      <c r="BG1324" s="22">
        <f t="shared" si="1"/>
      </c>
      <c r="BH1324" s="22">
        <f t="shared" si="2"/>
        <v>0</v>
      </c>
    </row>
    <row r="1325">
      <c r="B1325">
        <f>[1]资金台帐!B1325&amp;""</f>
      </c>
      <c r="H1325">
        <f>[1]资金台帐!H1325&amp;""</f>
      </c>
      <c r="J1325">
        <f>[1]资金台帐!J1325&amp;""</f>
      </c>
      <c r="N1325">
        <f>[1]资金台帐!N1325</f>
      </c>
      <c r="O1325">
        <f>[1]资金台帐!O1325&amp;""</f>
      </c>
      <c r="P1325">
        <f>[1]资金台帐!P1325&amp;""</f>
      </c>
      <c r="Q1325">
        <f>[1]资金台帐!Q1325&amp;""</f>
      </c>
      <c r="T1325">
        <f>[1]资金台帐!T1325&amp;""</f>
      </c>
      <c r="U1325">
        <f>[1]资金台帐!U1325&amp;""</f>
      </c>
      <c r="W1325">
        <f>[1]资金台帐!W1325&amp;""</f>
      </c>
      <c r="X1325">
        <f>[1]资金台帐!X1325&amp;""</f>
      </c>
      <c r="AB1325">
        <f>[1]资金台帐!AB1325</f>
        <v>0</v>
      </c>
      <c r="AC1325">
        <f>[1]资金台帐!AC1325</f>
        <v>0</v>
      </c>
      <c r="AD1325">
        <f>[1]资金台帐!AD1325</f>
        <v>0</v>
      </c>
      <c r="AJ1325">
        <f>[1]资金台帐!AJ1325</f>
        <v>0</v>
      </c>
      <c r="AK1325">
        <f>[1]资金台帐!AK1325</f>
        <v>0</v>
      </c>
      <c r="BA1325" s="22">
        <f t="shared" si="0"/>
      </c>
      <c r="BG1325" s="22">
        <f t="shared" si="1"/>
      </c>
      <c r="BH1325" s="22">
        <f t="shared" si="2"/>
        <v>0</v>
      </c>
    </row>
    <row r="1326">
      <c r="B1326">
        <f>[1]资金台帐!B1326&amp;""</f>
      </c>
      <c r="H1326">
        <f>[1]资金台帐!H1326&amp;""</f>
      </c>
      <c r="J1326">
        <f>[1]资金台帐!J1326&amp;""</f>
      </c>
      <c r="N1326">
        <f>[1]资金台帐!N1326</f>
      </c>
      <c r="O1326">
        <f>[1]资金台帐!O1326&amp;""</f>
      </c>
      <c r="P1326">
        <f>[1]资金台帐!P1326&amp;""</f>
      </c>
      <c r="Q1326">
        <f>[1]资金台帐!Q1326&amp;""</f>
      </c>
      <c r="T1326">
        <f>[1]资金台帐!T1326&amp;""</f>
      </c>
      <c r="U1326">
        <f>[1]资金台帐!U1326&amp;""</f>
      </c>
      <c r="W1326">
        <f>[1]资金台帐!W1326&amp;""</f>
      </c>
      <c r="X1326">
        <f>[1]资金台帐!X1326&amp;""</f>
      </c>
      <c r="AB1326">
        <f>[1]资金台帐!AB1326</f>
        <v>0</v>
      </c>
      <c r="AC1326">
        <f>[1]资金台帐!AC1326</f>
        <v>0</v>
      </c>
      <c r="AD1326">
        <f>[1]资金台帐!AD1326</f>
        <v>0</v>
      </c>
      <c r="AJ1326">
        <f>[1]资金台帐!AJ1326</f>
        <v>0</v>
      </c>
      <c r="AK1326">
        <f>[1]资金台帐!AK1326</f>
        <v>0</v>
      </c>
      <c r="BA1326" s="22">
        <f t="shared" si="0"/>
      </c>
      <c r="BG1326" s="22">
        <f t="shared" si="1"/>
      </c>
      <c r="BH1326" s="22">
        <f t="shared" si="2"/>
        <v>0</v>
      </c>
    </row>
    <row r="1327">
      <c r="B1327">
        <f>[1]资金台帐!B1327&amp;""</f>
      </c>
      <c r="H1327">
        <f>[1]资金台帐!H1327&amp;""</f>
      </c>
      <c r="J1327">
        <f>[1]资金台帐!J1327&amp;""</f>
      </c>
      <c r="N1327">
        <f>[1]资金台帐!N1327</f>
      </c>
      <c r="O1327">
        <f>[1]资金台帐!O1327&amp;""</f>
      </c>
      <c r="P1327">
        <f>[1]资金台帐!P1327&amp;""</f>
      </c>
      <c r="Q1327">
        <f>[1]资金台帐!Q1327&amp;""</f>
      </c>
      <c r="T1327">
        <f>[1]资金台帐!T1327&amp;""</f>
      </c>
      <c r="U1327">
        <f>[1]资金台帐!U1327&amp;""</f>
      </c>
      <c r="W1327">
        <f>[1]资金台帐!W1327&amp;""</f>
      </c>
      <c r="X1327">
        <f>[1]资金台帐!X1327&amp;""</f>
      </c>
      <c r="AB1327">
        <f>[1]资金台帐!AB1327</f>
        <v>0</v>
      </c>
      <c r="AC1327">
        <f>[1]资金台帐!AC1327</f>
        <v>0</v>
      </c>
      <c r="AD1327">
        <f>[1]资金台帐!AD1327</f>
        <v>0</v>
      </c>
      <c r="AJ1327">
        <f>[1]资金台帐!AJ1327</f>
        <v>0</v>
      </c>
      <c r="AK1327">
        <f>[1]资金台帐!AK1327</f>
        <v>0</v>
      </c>
      <c r="BA1327" s="22">
        <f t="shared" si="0"/>
      </c>
      <c r="BG1327" s="22">
        <f t="shared" si="1"/>
      </c>
      <c r="BH1327" s="22">
        <f t="shared" si="2"/>
        <v>0</v>
      </c>
    </row>
    <row r="1328">
      <c r="B1328">
        <f>[1]资金台帐!B1328&amp;""</f>
      </c>
      <c r="H1328">
        <f>[1]资金台帐!H1328&amp;""</f>
      </c>
      <c r="J1328">
        <f>[1]资金台帐!J1328&amp;""</f>
      </c>
      <c r="N1328">
        <f>[1]资金台帐!N1328</f>
      </c>
      <c r="O1328">
        <f>[1]资金台帐!O1328&amp;""</f>
      </c>
      <c r="P1328">
        <f>[1]资金台帐!P1328&amp;""</f>
      </c>
      <c r="Q1328">
        <f>[1]资金台帐!Q1328&amp;""</f>
      </c>
      <c r="T1328">
        <f>[1]资金台帐!T1328&amp;""</f>
      </c>
      <c r="U1328">
        <f>[1]资金台帐!U1328&amp;""</f>
      </c>
      <c r="W1328">
        <f>[1]资金台帐!W1328&amp;""</f>
      </c>
      <c r="X1328">
        <f>[1]资金台帐!X1328&amp;""</f>
      </c>
      <c r="AB1328">
        <f>[1]资金台帐!AB1328</f>
        <v>0</v>
      </c>
      <c r="AC1328">
        <f>[1]资金台帐!AC1328</f>
        <v>0</v>
      </c>
      <c r="AD1328">
        <f>[1]资金台帐!AD1328</f>
        <v>0</v>
      </c>
      <c r="AJ1328">
        <f>[1]资金台帐!AJ1328</f>
        <v>0</v>
      </c>
      <c r="AK1328">
        <f>[1]资金台帐!AK1328</f>
        <v>0</v>
      </c>
      <c r="BA1328" s="22">
        <f t="shared" si="0"/>
      </c>
      <c r="BG1328" s="22">
        <f t="shared" si="1"/>
      </c>
      <c r="BH1328" s="22">
        <f t="shared" si="2"/>
        <v>0</v>
      </c>
    </row>
    <row r="1329">
      <c r="B1329">
        <f>[1]资金台帐!B1329&amp;""</f>
      </c>
      <c r="H1329">
        <f>[1]资金台帐!H1329&amp;""</f>
      </c>
      <c r="J1329">
        <f>[1]资金台帐!J1329&amp;""</f>
      </c>
      <c r="N1329">
        <f>[1]资金台帐!N1329</f>
      </c>
      <c r="O1329">
        <f>[1]资金台帐!O1329&amp;""</f>
      </c>
      <c r="P1329">
        <f>[1]资金台帐!P1329&amp;""</f>
      </c>
      <c r="Q1329">
        <f>[1]资金台帐!Q1329&amp;""</f>
      </c>
      <c r="T1329">
        <f>[1]资金台帐!T1329&amp;""</f>
      </c>
      <c r="U1329">
        <f>[1]资金台帐!U1329&amp;""</f>
      </c>
      <c r="W1329">
        <f>[1]资金台帐!W1329&amp;""</f>
      </c>
      <c r="X1329">
        <f>[1]资金台帐!X1329&amp;""</f>
      </c>
      <c r="AB1329">
        <f>[1]资金台帐!AB1329</f>
        <v>0</v>
      </c>
      <c r="AC1329">
        <f>[1]资金台帐!AC1329</f>
        <v>0</v>
      </c>
      <c r="AD1329">
        <f>[1]资金台帐!AD1329</f>
        <v>0</v>
      </c>
      <c r="AJ1329">
        <f>[1]资金台帐!AJ1329</f>
        <v>0</v>
      </c>
      <c r="AK1329">
        <f>[1]资金台帐!AK1329</f>
        <v>0</v>
      </c>
      <c r="BA1329" s="22">
        <f t="shared" si="0"/>
      </c>
      <c r="BG1329" s="22">
        <f t="shared" si="1"/>
      </c>
      <c r="BH1329" s="22">
        <f t="shared" si="2"/>
        <v>0</v>
      </c>
    </row>
    <row r="1330">
      <c r="B1330">
        <f>[1]资金台帐!B1330&amp;""</f>
      </c>
      <c r="H1330">
        <f>[1]资金台帐!H1330&amp;""</f>
      </c>
      <c r="J1330">
        <f>[1]资金台帐!J1330&amp;""</f>
      </c>
      <c r="N1330">
        <f>[1]资金台帐!N1330</f>
      </c>
      <c r="O1330">
        <f>[1]资金台帐!O1330&amp;""</f>
      </c>
      <c r="P1330">
        <f>[1]资金台帐!P1330&amp;""</f>
      </c>
      <c r="Q1330">
        <f>[1]资金台帐!Q1330&amp;""</f>
      </c>
      <c r="T1330">
        <f>[1]资金台帐!T1330&amp;""</f>
      </c>
      <c r="U1330">
        <f>[1]资金台帐!U1330&amp;""</f>
      </c>
      <c r="W1330">
        <f>[1]资金台帐!W1330&amp;""</f>
      </c>
      <c r="X1330">
        <f>[1]资金台帐!X1330&amp;""</f>
      </c>
      <c r="AB1330">
        <f>[1]资金台帐!AB1330</f>
        <v>0</v>
      </c>
      <c r="AC1330">
        <f>[1]资金台帐!AC1330</f>
        <v>0</v>
      </c>
      <c r="AD1330">
        <f>[1]资金台帐!AD1330</f>
        <v>0</v>
      </c>
      <c r="AJ1330">
        <f>[1]资金台帐!AJ1330</f>
        <v>0</v>
      </c>
      <c r="AK1330">
        <f>[1]资金台帐!AK1330</f>
        <v>0</v>
      </c>
      <c r="BA1330" s="22">
        <f t="shared" si="0"/>
      </c>
      <c r="BG1330" s="22">
        <f t="shared" si="1"/>
      </c>
      <c r="BH1330" s="22">
        <f t="shared" si="2"/>
        <v>0</v>
      </c>
    </row>
    <row r="1331">
      <c r="B1331">
        <f>[1]资金台帐!B1331&amp;""</f>
      </c>
      <c r="H1331">
        <f>[1]资金台帐!H1331&amp;""</f>
      </c>
      <c r="J1331">
        <f>[1]资金台帐!J1331&amp;""</f>
      </c>
      <c r="N1331">
        <f>[1]资金台帐!N1331</f>
      </c>
      <c r="O1331">
        <f>[1]资金台帐!O1331&amp;""</f>
      </c>
      <c r="P1331">
        <f>[1]资金台帐!P1331&amp;""</f>
      </c>
      <c r="Q1331">
        <f>[1]资金台帐!Q1331&amp;""</f>
      </c>
      <c r="T1331">
        <f>[1]资金台帐!T1331&amp;""</f>
      </c>
      <c r="U1331">
        <f>[1]资金台帐!U1331&amp;""</f>
      </c>
      <c r="W1331">
        <f>[1]资金台帐!W1331&amp;""</f>
      </c>
      <c r="X1331">
        <f>[1]资金台帐!X1331&amp;""</f>
      </c>
      <c r="AB1331">
        <f>[1]资金台帐!AB1331</f>
        <v>0</v>
      </c>
      <c r="AC1331">
        <f>[1]资金台帐!AC1331</f>
        <v>0</v>
      </c>
      <c r="AD1331">
        <f>[1]资金台帐!AD1331</f>
        <v>0</v>
      </c>
      <c r="AJ1331">
        <f>[1]资金台帐!AJ1331</f>
        <v>0</v>
      </c>
      <c r="AK1331">
        <f>[1]资金台帐!AK1331</f>
        <v>0</v>
      </c>
      <c r="BA1331" s="22">
        <f t="shared" si="0"/>
      </c>
      <c r="BG1331" s="22">
        <f t="shared" si="1"/>
      </c>
      <c r="BH1331" s="22">
        <f t="shared" si="2"/>
        <v>0</v>
      </c>
    </row>
    <row r="1332">
      <c r="B1332">
        <f>[1]资金台帐!B1332&amp;""</f>
      </c>
      <c r="H1332">
        <f>[1]资金台帐!H1332&amp;""</f>
      </c>
      <c r="J1332">
        <f>[1]资金台帐!J1332&amp;""</f>
      </c>
      <c r="N1332">
        <f>[1]资金台帐!N1332</f>
      </c>
      <c r="O1332">
        <f>[1]资金台帐!O1332&amp;""</f>
      </c>
      <c r="P1332">
        <f>[1]资金台帐!P1332&amp;""</f>
      </c>
      <c r="Q1332">
        <f>[1]资金台帐!Q1332&amp;""</f>
      </c>
      <c r="T1332">
        <f>[1]资金台帐!T1332&amp;""</f>
      </c>
      <c r="U1332">
        <f>[1]资金台帐!U1332&amp;""</f>
      </c>
      <c r="W1332">
        <f>[1]资金台帐!W1332&amp;""</f>
      </c>
      <c r="X1332">
        <f>[1]资金台帐!X1332&amp;""</f>
      </c>
      <c r="AB1332">
        <f>[1]资金台帐!AB1332</f>
        <v>0</v>
      </c>
      <c r="AC1332">
        <f>[1]资金台帐!AC1332</f>
        <v>0</v>
      </c>
      <c r="AD1332">
        <f>[1]资金台帐!AD1332</f>
        <v>0</v>
      </c>
      <c r="AJ1332">
        <f>[1]资金台帐!AJ1332</f>
        <v>0</v>
      </c>
      <c r="AK1332">
        <f>[1]资金台帐!AK1332</f>
        <v>0</v>
      </c>
      <c r="BA1332" s="22">
        <f t="shared" si="0"/>
      </c>
      <c r="BG1332" s="22">
        <f t="shared" si="1"/>
      </c>
      <c r="BH1332" s="22">
        <f t="shared" si="2"/>
        <v>0</v>
      </c>
    </row>
    <row r="1333">
      <c r="B1333">
        <f>[1]资金台帐!B1333&amp;""</f>
      </c>
      <c r="H1333">
        <f>[1]资金台帐!H1333&amp;""</f>
      </c>
      <c r="J1333">
        <f>[1]资金台帐!J1333&amp;""</f>
      </c>
      <c r="N1333">
        <f>[1]资金台帐!N1333</f>
      </c>
      <c r="O1333">
        <f>[1]资金台帐!O1333&amp;""</f>
      </c>
      <c r="P1333">
        <f>[1]资金台帐!P1333&amp;""</f>
      </c>
      <c r="Q1333">
        <f>[1]资金台帐!Q1333&amp;""</f>
      </c>
      <c r="T1333">
        <f>[1]资金台帐!T1333&amp;""</f>
      </c>
      <c r="U1333">
        <f>[1]资金台帐!U1333&amp;""</f>
      </c>
      <c r="W1333">
        <f>[1]资金台帐!W1333&amp;""</f>
      </c>
      <c r="X1333">
        <f>[1]资金台帐!X1333&amp;""</f>
      </c>
      <c r="AB1333">
        <f>[1]资金台帐!AB1333</f>
        <v>0</v>
      </c>
      <c r="AC1333">
        <f>[1]资金台帐!AC1333</f>
        <v>0</v>
      </c>
      <c r="AD1333">
        <f>[1]资金台帐!AD1333</f>
        <v>0</v>
      </c>
      <c r="AJ1333">
        <f>[1]资金台帐!AJ1333</f>
        <v>0</v>
      </c>
      <c r="AK1333">
        <f>[1]资金台帐!AK1333</f>
        <v>0</v>
      </c>
      <c r="BA1333" s="22">
        <f t="shared" si="0"/>
      </c>
      <c r="BG1333" s="22">
        <f t="shared" si="1"/>
      </c>
      <c r="BH1333" s="22">
        <f t="shared" si="2"/>
        <v>0</v>
      </c>
    </row>
    <row r="1334">
      <c r="B1334">
        <f>[1]资金台帐!B1334&amp;""</f>
      </c>
      <c r="H1334">
        <f>[1]资金台帐!H1334&amp;""</f>
      </c>
      <c r="J1334">
        <f>[1]资金台帐!J1334&amp;""</f>
      </c>
      <c r="N1334">
        <f>[1]资金台帐!N1334</f>
      </c>
      <c r="O1334">
        <f>[1]资金台帐!O1334&amp;""</f>
      </c>
      <c r="P1334">
        <f>[1]资金台帐!P1334&amp;""</f>
      </c>
      <c r="Q1334">
        <f>[1]资金台帐!Q1334&amp;""</f>
      </c>
      <c r="T1334">
        <f>[1]资金台帐!T1334&amp;""</f>
      </c>
      <c r="U1334">
        <f>[1]资金台帐!U1334&amp;""</f>
      </c>
      <c r="W1334">
        <f>[1]资金台帐!W1334&amp;""</f>
      </c>
      <c r="X1334">
        <f>[1]资金台帐!X1334&amp;""</f>
      </c>
      <c r="AB1334">
        <f>[1]资金台帐!AB1334</f>
        <v>0</v>
      </c>
      <c r="AC1334">
        <f>[1]资金台帐!AC1334</f>
        <v>0</v>
      </c>
      <c r="AD1334">
        <f>[1]资金台帐!AD1334</f>
        <v>0</v>
      </c>
      <c r="AJ1334">
        <f>[1]资金台帐!AJ1334</f>
        <v>0</v>
      </c>
      <c r="AK1334">
        <f>[1]资金台帐!AK1334</f>
        <v>0</v>
      </c>
      <c r="BA1334" s="22">
        <f t="shared" si="0"/>
      </c>
      <c r="BG1334" s="22">
        <f t="shared" si="1"/>
      </c>
      <c r="BH1334" s="22">
        <f t="shared" si="2"/>
        <v>0</v>
      </c>
    </row>
    <row r="1335">
      <c r="B1335">
        <f>[1]资金台帐!B1335&amp;""</f>
      </c>
      <c r="H1335">
        <f>[1]资金台帐!H1335&amp;""</f>
      </c>
      <c r="J1335">
        <f>[1]资金台帐!J1335&amp;""</f>
      </c>
      <c r="N1335">
        <f>[1]资金台帐!N1335</f>
      </c>
      <c r="O1335">
        <f>[1]资金台帐!O1335&amp;""</f>
      </c>
      <c r="P1335">
        <f>[1]资金台帐!P1335&amp;""</f>
      </c>
      <c r="Q1335">
        <f>[1]资金台帐!Q1335&amp;""</f>
      </c>
      <c r="T1335">
        <f>[1]资金台帐!T1335&amp;""</f>
      </c>
      <c r="U1335">
        <f>[1]资金台帐!U1335&amp;""</f>
      </c>
      <c r="W1335">
        <f>[1]资金台帐!W1335&amp;""</f>
      </c>
      <c r="X1335">
        <f>[1]资金台帐!X1335&amp;""</f>
      </c>
      <c r="AB1335">
        <f>[1]资金台帐!AB1335</f>
        <v>0</v>
      </c>
      <c r="AC1335">
        <f>[1]资金台帐!AC1335</f>
        <v>0</v>
      </c>
      <c r="AD1335">
        <f>[1]资金台帐!AD1335</f>
        <v>0</v>
      </c>
      <c r="AJ1335">
        <f>[1]资金台帐!AJ1335</f>
        <v>0</v>
      </c>
      <c r="AK1335">
        <f>[1]资金台帐!AK1335</f>
        <v>0</v>
      </c>
      <c r="BA1335" s="22">
        <f t="shared" si="0"/>
      </c>
      <c r="BG1335" s="22">
        <f t="shared" si="1"/>
      </c>
      <c r="BH1335" s="22">
        <f t="shared" si="2"/>
        <v>0</v>
      </c>
    </row>
    <row r="1336">
      <c r="B1336">
        <f>[1]资金台帐!B1336&amp;""</f>
      </c>
      <c r="H1336">
        <f>[1]资金台帐!H1336&amp;""</f>
      </c>
      <c r="J1336">
        <f>[1]资金台帐!J1336&amp;""</f>
      </c>
      <c r="N1336">
        <f>[1]资金台帐!N1336</f>
      </c>
      <c r="O1336">
        <f>[1]资金台帐!O1336&amp;""</f>
      </c>
      <c r="P1336">
        <f>[1]资金台帐!P1336&amp;""</f>
      </c>
      <c r="Q1336">
        <f>[1]资金台帐!Q1336&amp;""</f>
      </c>
      <c r="T1336">
        <f>[1]资金台帐!T1336&amp;""</f>
      </c>
      <c r="U1336">
        <f>[1]资金台帐!U1336&amp;""</f>
      </c>
      <c r="W1336">
        <f>[1]资金台帐!W1336&amp;""</f>
      </c>
      <c r="X1336">
        <f>[1]资金台帐!X1336&amp;""</f>
      </c>
      <c r="AB1336">
        <f>[1]资金台帐!AB1336</f>
        <v>0</v>
      </c>
      <c r="AC1336">
        <f>[1]资金台帐!AC1336</f>
        <v>0</v>
      </c>
      <c r="AD1336">
        <f>[1]资金台帐!AD1336</f>
        <v>0</v>
      </c>
      <c r="AJ1336">
        <f>[1]资金台帐!AJ1336</f>
        <v>0</v>
      </c>
      <c r="AK1336">
        <f>[1]资金台帐!AK1336</f>
        <v>0</v>
      </c>
      <c r="BA1336" s="22">
        <f t="shared" si="0"/>
      </c>
      <c r="BG1336" s="22">
        <f t="shared" si="1"/>
      </c>
      <c r="BH1336" s="22">
        <f t="shared" si="2"/>
        <v>0</v>
      </c>
    </row>
    <row r="1337">
      <c r="B1337">
        <f>[1]资金台帐!B1337&amp;""</f>
      </c>
      <c r="H1337">
        <f>[1]资金台帐!H1337&amp;""</f>
      </c>
      <c r="J1337">
        <f>[1]资金台帐!J1337&amp;""</f>
      </c>
      <c r="N1337">
        <f>[1]资金台帐!N1337</f>
      </c>
      <c r="O1337">
        <f>[1]资金台帐!O1337&amp;""</f>
      </c>
      <c r="P1337">
        <f>[1]资金台帐!P1337&amp;""</f>
      </c>
      <c r="Q1337">
        <f>[1]资金台帐!Q1337&amp;""</f>
      </c>
      <c r="T1337">
        <f>[1]资金台帐!T1337&amp;""</f>
      </c>
      <c r="U1337">
        <f>[1]资金台帐!U1337&amp;""</f>
      </c>
      <c r="W1337">
        <f>[1]资金台帐!W1337&amp;""</f>
      </c>
      <c r="X1337">
        <f>[1]资金台帐!X1337&amp;""</f>
      </c>
      <c r="AB1337">
        <f>[1]资金台帐!AB1337</f>
        <v>0</v>
      </c>
      <c r="AC1337">
        <f>[1]资金台帐!AC1337</f>
        <v>0</v>
      </c>
      <c r="AD1337">
        <f>[1]资金台帐!AD1337</f>
        <v>0</v>
      </c>
      <c r="AJ1337">
        <f>[1]资金台帐!AJ1337</f>
        <v>0</v>
      </c>
      <c r="AK1337">
        <f>[1]资金台帐!AK1337</f>
        <v>0</v>
      </c>
      <c r="BA1337" s="22">
        <f t="shared" si="0"/>
      </c>
      <c r="BG1337" s="22">
        <f t="shared" si="1"/>
      </c>
      <c r="BH1337" s="22">
        <f t="shared" si="2"/>
        <v>0</v>
      </c>
    </row>
    <row r="1338">
      <c r="B1338">
        <f>[1]资金台帐!B1338&amp;""</f>
      </c>
      <c r="H1338">
        <f>[1]资金台帐!H1338&amp;""</f>
      </c>
      <c r="J1338">
        <f>[1]资金台帐!J1338&amp;""</f>
      </c>
      <c r="N1338">
        <f>[1]资金台帐!N1338</f>
      </c>
      <c r="O1338">
        <f>[1]资金台帐!O1338&amp;""</f>
      </c>
      <c r="P1338">
        <f>[1]资金台帐!P1338&amp;""</f>
      </c>
      <c r="Q1338">
        <f>[1]资金台帐!Q1338&amp;""</f>
      </c>
      <c r="T1338">
        <f>[1]资金台帐!T1338&amp;""</f>
      </c>
      <c r="U1338">
        <f>[1]资金台帐!U1338&amp;""</f>
      </c>
      <c r="W1338">
        <f>[1]资金台帐!W1338&amp;""</f>
      </c>
      <c r="X1338">
        <f>[1]资金台帐!X1338&amp;""</f>
      </c>
      <c r="AB1338">
        <f>[1]资金台帐!AB1338</f>
        <v>0</v>
      </c>
      <c r="AC1338">
        <f>[1]资金台帐!AC1338</f>
        <v>0</v>
      </c>
      <c r="AD1338">
        <f>[1]资金台帐!AD1338</f>
        <v>0</v>
      </c>
      <c r="AJ1338">
        <f>[1]资金台帐!AJ1338</f>
        <v>0</v>
      </c>
      <c r="AK1338">
        <f>[1]资金台帐!AK1338</f>
        <v>0</v>
      </c>
      <c r="BA1338" s="22">
        <f t="shared" si="0"/>
      </c>
      <c r="BG1338" s="22">
        <f t="shared" si="1"/>
      </c>
      <c r="BH1338" s="22">
        <f t="shared" si="2"/>
        <v>0</v>
      </c>
    </row>
    <row r="1339">
      <c r="B1339">
        <f>[1]资金台帐!B1339&amp;""</f>
      </c>
      <c r="H1339">
        <f>[1]资金台帐!H1339&amp;""</f>
      </c>
      <c r="J1339">
        <f>[1]资金台帐!J1339&amp;""</f>
      </c>
      <c r="N1339">
        <f>[1]资金台帐!N1339</f>
      </c>
      <c r="O1339">
        <f>[1]资金台帐!O1339&amp;""</f>
      </c>
      <c r="P1339">
        <f>[1]资金台帐!P1339&amp;""</f>
      </c>
      <c r="Q1339">
        <f>[1]资金台帐!Q1339&amp;""</f>
      </c>
      <c r="T1339">
        <f>[1]资金台帐!T1339&amp;""</f>
      </c>
      <c r="U1339">
        <f>[1]资金台帐!U1339&amp;""</f>
      </c>
      <c r="W1339">
        <f>[1]资金台帐!W1339&amp;""</f>
      </c>
      <c r="X1339">
        <f>[1]资金台帐!X1339&amp;""</f>
      </c>
      <c r="AB1339">
        <f>[1]资金台帐!AB1339</f>
        <v>0</v>
      </c>
      <c r="AC1339">
        <f>[1]资金台帐!AC1339</f>
        <v>0</v>
      </c>
      <c r="AD1339">
        <f>[1]资金台帐!AD1339</f>
        <v>0</v>
      </c>
      <c r="AJ1339">
        <f>[1]资金台帐!AJ1339</f>
        <v>0</v>
      </c>
      <c r="AK1339">
        <f>[1]资金台帐!AK1339</f>
        <v>0</v>
      </c>
      <c r="BA1339" s="22">
        <f t="shared" si="0"/>
      </c>
      <c r="BG1339" s="22">
        <f t="shared" si="1"/>
      </c>
      <c r="BH1339" s="22">
        <f t="shared" si="2"/>
        <v>0</v>
      </c>
    </row>
    <row r="1340">
      <c r="B1340">
        <f>[1]资金台帐!B1340&amp;""</f>
      </c>
      <c r="H1340">
        <f>[1]资金台帐!H1340&amp;""</f>
      </c>
      <c r="J1340">
        <f>[1]资金台帐!J1340&amp;""</f>
      </c>
      <c r="N1340">
        <f>[1]资金台帐!N1340</f>
      </c>
      <c r="O1340">
        <f>[1]资金台帐!O1340&amp;""</f>
      </c>
      <c r="P1340">
        <f>[1]资金台帐!P1340&amp;""</f>
      </c>
      <c r="Q1340">
        <f>[1]资金台帐!Q1340&amp;""</f>
      </c>
      <c r="T1340">
        <f>[1]资金台帐!T1340&amp;""</f>
      </c>
      <c r="U1340">
        <f>[1]资金台帐!U1340&amp;""</f>
      </c>
      <c r="W1340">
        <f>[1]资金台帐!W1340&amp;""</f>
      </c>
      <c r="X1340">
        <f>[1]资金台帐!X1340&amp;""</f>
      </c>
      <c r="AB1340">
        <f>[1]资金台帐!AB1340</f>
        <v>0</v>
      </c>
      <c r="AC1340">
        <f>[1]资金台帐!AC1340</f>
        <v>0</v>
      </c>
      <c r="AD1340">
        <f>[1]资金台帐!AD1340</f>
        <v>0</v>
      </c>
      <c r="AJ1340">
        <f>[1]资金台帐!AJ1340</f>
        <v>0</v>
      </c>
      <c r="AK1340">
        <f>[1]资金台帐!AK1340</f>
        <v>0</v>
      </c>
      <c r="BA1340" s="22">
        <f t="shared" si="0"/>
      </c>
      <c r="BG1340" s="22">
        <f t="shared" si="1"/>
      </c>
      <c r="BH1340" s="22">
        <f t="shared" si="2"/>
        <v>0</v>
      </c>
    </row>
    <row r="1341">
      <c r="B1341">
        <f>[1]资金台帐!B1341&amp;""</f>
      </c>
      <c r="H1341">
        <f>[1]资金台帐!H1341&amp;""</f>
      </c>
      <c r="J1341">
        <f>[1]资金台帐!J1341&amp;""</f>
      </c>
      <c r="N1341">
        <f>[1]资金台帐!N1341</f>
      </c>
      <c r="O1341">
        <f>[1]资金台帐!O1341&amp;""</f>
      </c>
      <c r="P1341">
        <f>[1]资金台帐!P1341&amp;""</f>
      </c>
      <c r="Q1341">
        <f>[1]资金台帐!Q1341&amp;""</f>
      </c>
      <c r="T1341">
        <f>[1]资金台帐!T1341&amp;""</f>
      </c>
      <c r="U1341">
        <f>[1]资金台帐!U1341&amp;""</f>
      </c>
      <c r="W1341">
        <f>[1]资金台帐!W1341&amp;""</f>
      </c>
      <c r="X1341">
        <f>[1]资金台帐!X1341&amp;""</f>
      </c>
      <c r="AB1341">
        <f>[1]资金台帐!AB1341</f>
        <v>0</v>
      </c>
      <c r="AC1341">
        <f>[1]资金台帐!AC1341</f>
        <v>0</v>
      </c>
      <c r="AD1341">
        <f>[1]资金台帐!AD1341</f>
        <v>0</v>
      </c>
      <c r="AJ1341">
        <f>[1]资金台帐!AJ1341</f>
        <v>0</v>
      </c>
      <c r="AK1341">
        <f>[1]资金台帐!AK1341</f>
        <v>0</v>
      </c>
      <c r="BA1341" s="22">
        <f t="shared" si="0"/>
      </c>
      <c r="BG1341" s="22">
        <f t="shared" si="1"/>
      </c>
      <c r="BH1341" s="22">
        <f t="shared" si="2"/>
        <v>0</v>
      </c>
    </row>
    <row r="1342">
      <c r="B1342">
        <f>[1]资金台帐!B1342&amp;""</f>
      </c>
      <c r="H1342">
        <f>[1]资金台帐!H1342&amp;""</f>
      </c>
      <c r="J1342">
        <f>[1]资金台帐!J1342&amp;""</f>
      </c>
      <c r="N1342">
        <f>[1]资金台帐!N1342</f>
      </c>
      <c r="O1342">
        <f>[1]资金台帐!O1342&amp;""</f>
      </c>
      <c r="P1342">
        <f>[1]资金台帐!P1342&amp;""</f>
      </c>
      <c r="Q1342">
        <f>[1]资金台帐!Q1342&amp;""</f>
      </c>
      <c r="T1342">
        <f>[1]资金台帐!T1342&amp;""</f>
      </c>
      <c r="U1342">
        <f>[1]资金台帐!U1342&amp;""</f>
      </c>
      <c r="W1342">
        <f>[1]资金台帐!W1342&amp;""</f>
      </c>
      <c r="X1342">
        <f>[1]资金台帐!X1342&amp;""</f>
      </c>
      <c r="AB1342">
        <f>[1]资金台帐!AB1342</f>
        <v>0</v>
      </c>
      <c r="AC1342">
        <f>[1]资金台帐!AC1342</f>
        <v>0</v>
      </c>
      <c r="AD1342">
        <f>[1]资金台帐!AD1342</f>
        <v>0</v>
      </c>
      <c r="AJ1342">
        <f>[1]资金台帐!AJ1342</f>
        <v>0</v>
      </c>
      <c r="AK1342">
        <f>[1]资金台帐!AK1342</f>
        <v>0</v>
      </c>
      <c r="BA1342" s="22">
        <f t="shared" si="0"/>
      </c>
      <c r="BG1342" s="22">
        <f t="shared" si="1"/>
      </c>
      <c r="BH1342" s="22">
        <f t="shared" si="2"/>
        <v>0</v>
      </c>
    </row>
    <row r="1343">
      <c r="B1343">
        <f>[1]资金台帐!B1343&amp;""</f>
      </c>
      <c r="H1343">
        <f>[1]资金台帐!H1343&amp;""</f>
      </c>
      <c r="J1343">
        <f>[1]资金台帐!J1343&amp;""</f>
      </c>
      <c r="N1343">
        <f>[1]资金台帐!N1343</f>
      </c>
      <c r="O1343">
        <f>[1]资金台帐!O1343&amp;""</f>
      </c>
      <c r="P1343">
        <f>[1]资金台帐!P1343&amp;""</f>
      </c>
      <c r="Q1343">
        <f>[1]资金台帐!Q1343&amp;""</f>
      </c>
      <c r="T1343">
        <f>[1]资金台帐!T1343&amp;""</f>
      </c>
      <c r="U1343">
        <f>[1]资金台帐!U1343&amp;""</f>
      </c>
      <c r="W1343">
        <f>[1]资金台帐!W1343&amp;""</f>
      </c>
      <c r="X1343">
        <f>[1]资金台帐!X1343&amp;""</f>
      </c>
      <c r="AB1343">
        <f>[1]资金台帐!AB1343</f>
        <v>0</v>
      </c>
      <c r="AC1343">
        <f>[1]资金台帐!AC1343</f>
        <v>0</v>
      </c>
      <c r="AD1343">
        <f>[1]资金台帐!AD1343</f>
        <v>0</v>
      </c>
      <c r="AJ1343">
        <f>[1]资金台帐!AJ1343</f>
        <v>0</v>
      </c>
      <c r="AK1343">
        <f>[1]资金台帐!AK1343</f>
        <v>0</v>
      </c>
      <c r="BA1343" s="22">
        <f t="shared" si="0"/>
      </c>
      <c r="BG1343" s="22">
        <f t="shared" si="1"/>
      </c>
      <c r="BH1343" s="22">
        <f t="shared" si="2"/>
        <v>0</v>
      </c>
    </row>
    <row r="1344">
      <c r="B1344">
        <f>[1]资金台帐!B1344&amp;""</f>
      </c>
      <c r="H1344">
        <f>[1]资金台帐!H1344&amp;""</f>
      </c>
      <c r="J1344">
        <f>[1]资金台帐!J1344&amp;""</f>
      </c>
      <c r="N1344">
        <f>[1]资金台帐!N1344</f>
      </c>
      <c r="O1344">
        <f>[1]资金台帐!O1344&amp;""</f>
      </c>
      <c r="P1344">
        <f>[1]资金台帐!P1344&amp;""</f>
      </c>
      <c r="Q1344">
        <f>[1]资金台帐!Q1344&amp;""</f>
      </c>
      <c r="T1344">
        <f>[1]资金台帐!T1344&amp;""</f>
      </c>
      <c r="U1344">
        <f>[1]资金台帐!U1344&amp;""</f>
      </c>
      <c r="W1344">
        <f>[1]资金台帐!W1344&amp;""</f>
      </c>
      <c r="X1344">
        <f>[1]资金台帐!X1344&amp;""</f>
      </c>
      <c r="AB1344">
        <f>[1]资金台帐!AB1344</f>
        <v>0</v>
      </c>
      <c r="AC1344">
        <f>[1]资金台帐!AC1344</f>
        <v>0</v>
      </c>
      <c r="AD1344">
        <f>[1]资金台帐!AD1344</f>
        <v>0</v>
      </c>
      <c r="AJ1344">
        <f>[1]资金台帐!AJ1344</f>
        <v>0</v>
      </c>
      <c r="AK1344">
        <f>[1]资金台帐!AK1344</f>
        <v>0</v>
      </c>
      <c r="BA1344" s="22">
        <f t="shared" si="0"/>
      </c>
      <c r="BG1344" s="22">
        <f t="shared" si="1"/>
      </c>
      <c r="BH1344" s="22">
        <f t="shared" si="2"/>
        <v>0</v>
      </c>
    </row>
    <row r="1345">
      <c r="B1345">
        <f>[1]资金台帐!B1345&amp;""</f>
      </c>
      <c r="H1345">
        <f>[1]资金台帐!H1345&amp;""</f>
      </c>
      <c r="J1345">
        <f>[1]资金台帐!J1345&amp;""</f>
      </c>
      <c r="N1345">
        <f>[1]资金台帐!N1345</f>
      </c>
      <c r="O1345">
        <f>[1]资金台帐!O1345&amp;""</f>
      </c>
      <c r="P1345">
        <f>[1]资金台帐!P1345&amp;""</f>
      </c>
      <c r="Q1345">
        <f>[1]资金台帐!Q1345&amp;""</f>
      </c>
      <c r="T1345">
        <f>[1]资金台帐!T1345&amp;""</f>
      </c>
      <c r="U1345">
        <f>[1]资金台帐!U1345&amp;""</f>
      </c>
      <c r="W1345">
        <f>[1]资金台帐!W1345&amp;""</f>
      </c>
      <c r="X1345">
        <f>[1]资金台帐!X1345&amp;""</f>
      </c>
      <c r="AB1345">
        <f>[1]资金台帐!AB1345</f>
        <v>0</v>
      </c>
      <c r="AC1345">
        <f>[1]资金台帐!AC1345</f>
        <v>0</v>
      </c>
      <c r="AD1345">
        <f>[1]资金台帐!AD1345</f>
        <v>0</v>
      </c>
      <c r="AJ1345">
        <f>[1]资金台帐!AJ1345</f>
        <v>0</v>
      </c>
      <c r="AK1345">
        <f>[1]资金台帐!AK1345</f>
        <v>0</v>
      </c>
      <c r="BA1345" s="22">
        <f t="shared" si="0"/>
      </c>
      <c r="BG1345" s="22">
        <f t="shared" si="1"/>
      </c>
      <c r="BH1345" s="22">
        <f t="shared" si="2"/>
        <v>0</v>
      </c>
    </row>
    <row r="1346">
      <c r="B1346">
        <f>[1]资金台帐!B1346&amp;""</f>
      </c>
      <c r="H1346">
        <f>[1]资金台帐!H1346&amp;""</f>
      </c>
      <c r="J1346">
        <f>[1]资金台帐!J1346&amp;""</f>
      </c>
      <c r="N1346">
        <f>[1]资金台帐!N1346</f>
      </c>
      <c r="O1346">
        <f>[1]资金台帐!O1346&amp;""</f>
      </c>
      <c r="P1346">
        <f>[1]资金台帐!P1346&amp;""</f>
      </c>
      <c r="Q1346">
        <f>[1]资金台帐!Q1346&amp;""</f>
      </c>
      <c r="T1346">
        <f>[1]资金台帐!T1346&amp;""</f>
      </c>
      <c r="U1346">
        <f>[1]资金台帐!U1346&amp;""</f>
      </c>
      <c r="W1346">
        <f>[1]资金台帐!W1346&amp;""</f>
      </c>
      <c r="X1346">
        <f>[1]资金台帐!X1346&amp;""</f>
      </c>
      <c r="AB1346">
        <f>[1]资金台帐!AB1346</f>
        <v>0</v>
      </c>
      <c r="AC1346">
        <f>[1]资金台帐!AC1346</f>
        <v>0</v>
      </c>
      <c r="AD1346">
        <f>[1]资金台帐!AD1346</f>
        <v>0</v>
      </c>
      <c r="AJ1346">
        <f>[1]资金台帐!AJ1346</f>
        <v>0</v>
      </c>
      <c r="AK1346">
        <f>[1]资金台帐!AK1346</f>
        <v>0</v>
      </c>
      <c r="BA1346" s="22">
        <f t="shared" si="0"/>
      </c>
      <c r="BG1346" s="22">
        <f t="shared" si="1"/>
      </c>
      <c r="BH1346" s="22">
        <f t="shared" si="2"/>
        <v>0</v>
      </c>
    </row>
    <row r="1347">
      <c r="B1347">
        <f>[1]资金台帐!B1347&amp;""</f>
      </c>
      <c r="H1347">
        <f>[1]资金台帐!H1347&amp;""</f>
      </c>
      <c r="J1347">
        <f>[1]资金台帐!J1347&amp;""</f>
      </c>
      <c r="N1347">
        <f>[1]资金台帐!N1347</f>
      </c>
      <c r="O1347">
        <f>[1]资金台帐!O1347&amp;""</f>
      </c>
      <c r="P1347">
        <f>[1]资金台帐!P1347&amp;""</f>
      </c>
      <c r="Q1347">
        <f>[1]资金台帐!Q1347&amp;""</f>
      </c>
      <c r="T1347">
        <f>[1]资金台帐!T1347&amp;""</f>
      </c>
      <c r="U1347">
        <f>[1]资金台帐!U1347&amp;""</f>
      </c>
      <c r="W1347">
        <f>[1]资金台帐!W1347&amp;""</f>
      </c>
      <c r="X1347">
        <f>[1]资金台帐!X1347&amp;""</f>
      </c>
      <c r="AB1347">
        <f>[1]资金台帐!AB1347</f>
        <v>0</v>
      </c>
      <c r="AC1347">
        <f>[1]资金台帐!AC1347</f>
        <v>0</v>
      </c>
      <c r="AD1347">
        <f>[1]资金台帐!AD1347</f>
        <v>0</v>
      </c>
      <c r="AJ1347">
        <f>[1]资金台帐!AJ1347</f>
        <v>0</v>
      </c>
      <c r="AK1347">
        <f>[1]资金台帐!AK1347</f>
        <v>0</v>
      </c>
      <c r="BA1347" s="22">
        <f t="shared" si="0"/>
      </c>
      <c r="BG1347" s="22">
        <f t="shared" si="1"/>
      </c>
      <c r="BH1347" s="22">
        <f t="shared" si="2"/>
        <v>0</v>
      </c>
    </row>
    <row r="1348">
      <c r="B1348">
        <f>[1]资金台帐!B1348&amp;""</f>
      </c>
      <c r="H1348">
        <f>[1]资金台帐!H1348&amp;""</f>
      </c>
      <c r="J1348">
        <f>[1]资金台帐!J1348&amp;""</f>
      </c>
      <c r="N1348">
        <f>[1]资金台帐!N1348</f>
      </c>
      <c r="O1348">
        <f>[1]资金台帐!O1348&amp;""</f>
      </c>
      <c r="P1348">
        <f>[1]资金台帐!P1348&amp;""</f>
      </c>
      <c r="Q1348">
        <f>[1]资金台帐!Q1348&amp;""</f>
      </c>
      <c r="T1348">
        <f>[1]资金台帐!T1348&amp;""</f>
      </c>
      <c r="U1348">
        <f>[1]资金台帐!U1348&amp;""</f>
      </c>
      <c r="W1348">
        <f>[1]资金台帐!W1348&amp;""</f>
      </c>
      <c r="X1348">
        <f>[1]资金台帐!X1348&amp;""</f>
      </c>
      <c r="AB1348">
        <f>[1]资金台帐!AB1348</f>
        <v>0</v>
      </c>
      <c r="AC1348">
        <f>[1]资金台帐!AC1348</f>
        <v>0</v>
      </c>
      <c r="AD1348">
        <f>[1]资金台帐!AD1348</f>
        <v>0</v>
      </c>
      <c r="AJ1348">
        <f>[1]资金台帐!AJ1348</f>
        <v>0</v>
      </c>
      <c r="AK1348">
        <f>[1]资金台帐!AK1348</f>
        <v>0</v>
      </c>
      <c r="BA1348" s="22">
        <f t="shared" si="0"/>
      </c>
      <c r="BG1348" s="22">
        <f t="shared" si="1"/>
      </c>
      <c r="BH1348" s="22">
        <f t="shared" si="2"/>
        <v>0</v>
      </c>
    </row>
    <row r="1349">
      <c r="B1349">
        <f>[1]资金台帐!B1349&amp;""</f>
      </c>
      <c r="H1349">
        <f>[1]资金台帐!H1349&amp;""</f>
      </c>
      <c r="J1349">
        <f>[1]资金台帐!J1349&amp;""</f>
      </c>
      <c r="N1349">
        <f>[1]资金台帐!N1349</f>
      </c>
      <c r="O1349">
        <f>[1]资金台帐!O1349&amp;""</f>
      </c>
      <c r="P1349">
        <f>[1]资金台帐!P1349&amp;""</f>
      </c>
      <c r="Q1349">
        <f>[1]资金台帐!Q1349&amp;""</f>
      </c>
      <c r="T1349">
        <f>[1]资金台帐!T1349&amp;""</f>
      </c>
      <c r="U1349">
        <f>[1]资金台帐!U1349&amp;""</f>
      </c>
      <c r="W1349">
        <f>[1]资金台帐!W1349&amp;""</f>
      </c>
      <c r="X1349">
        <f>[1]资金台帐!X1349&amp;""</f>
      </c>
      <c r="AB1349">
        <f>[1]资金台帐!AB1349</f>
        <v>0</v>
      </c>
      <c r="AC1349">
        <f>[1]资金台帐!AC1349</f>
        <v>0</v>
      </c>
      <c r="AD1349">
        <f>[1]资金台帐!AD1349</f>
        <v>0</v>
      </c>
      <c r="AJ1349">
        <f>[1]资金台帐!AJ1349</f>
        <v>0</v>
      </c>
      <c r="AK1349">
        <f>[1]资金台帐!AK1349</f>
        <v>0</v>
      </c>
      <c r="BA1349" s="22">
        <f t="shared" si="0"/>
      </c>
      <c r="BG1349" s="22">
        <f t="shared" si="1"/>
      </c>
      <c r="BH1349" s="22">
        <f t="shared" si="2"/>
        <v>0</v>
      </c>
    </row>
    <row r="1350">
      <c r="B1350">
        <f>[1]资金台帐!B1350&amp;""</f>
      </c>
      <c r="H1350">
        <f>[1]资金台帐!H1350&amp;""</f>
      </c>
      <c r="J1350">
        <f>[1]资金台帐!J1350&amp;""</f>
      </c>
      <c r="N1350">
        <f>[1]资金台帐!N1350</f>
      </c>
      <c r="O1350">
        <f>[1]资金台帐!O1350&amp;""</f>
      </c>
      <c r="P1350">
        <f>[1]资金台帐!P1350&amp;""</f>
      </c>
      <c r="Q1350">
        <f>[1]资金台帐!Q1350&amp;""</f>
      </c>
      <c r="T1350">
        <f>[1]资金台帐!T1350&amp;""</f>
      </c>
      <c r="U1350">
        <f>[1]资金台帐!U1350&amp;""</f>
      </c>
      <c r="W1350">
        <f>[1]资金台帐!W1350&amp;""</f>
      </c>
      <c r="X1350">
        <f>[1]资金台帐!X1350&amp;""</f>
      </c>
      <c r="AB1350">
        <f>[1]资金台帐!AB1350</f>
        <v>0</v>
      </c>
      <c r="AC1350">
        <f>[1]资金台帐!AC1350</f>
        <v>0</v>
      </c>
      <c r="AD1350">
        <f>[1]资金台帐!AD1350</f>
        <v>0</v>
      </c>
      <c r="AJ1350">
        <f>[1]资金台帐!AJ1350</f>
        <v>0</v>
      </c>
      <c r="AK1350">
        <f>[1]资金台帐!AK1350</f>
        <v>0</v>
      </c>
      <c r="BA1350" s="22">
        <f t="shared" si="0"/>
      </c>
      <c r="BG1350" s="22">
        <f t="shared" si="1"/>
      </c>
      <c r="BH1350" s="22">
        <f t="shared" si="2"/>
        <v>0</v>
      </c>
    </row>
    <row r="1351">
      <c r="B1351">
        <f>[1]资金台帐!B1351&amp;""</f>
      </c>
      <c r="H1351">
        <f>[1]资金台帐!H1351&amp;""</f>
      </c>
      <c r="J1351">
        <f>[1]资金台帐!J1351&amp;""</f>
      </c>
      <c r="N1351">
        <f>[1]资金台帐!N1351</f>
      </c>
      <c r="O1351">
        <f>[1]资金台帐!O1351&amp;""</f>
      </c>
      <c r="P1351">
        <f>[1]资金台帐!P1351&amp;""</f>
      </c>
      <c r="Q1351">
        <f>[1]资金台帐!Q1351&amp;""</f>
      </c>
      <c r="T1351">
        <f>[1]资金台帐!T1351&amp;""</f>
      </c>
      <c r="U1351">
        <f>[1]资金台帐!U1351&amp;""</f>
      </c>
      <c r="W1351">
        <f>[1]资金台帐!W1351&amp;""</f>
      </c>
      <c r="X1351">
        <f>[1]资金台帐!X1351&amp;""</f>
      </c>
      <c r="AB1351">
        <f>[1]资金台帐!AB1351</f>
        <v>0</v>
      </c>
      <c r="AC1351">
        <f>[1]资金台帐!AC1351</f>
        <v>0</v>
      </c>
      <c r="AD1351">
        <f>[1]资金台帐!AD1351</f>
        <v>0</v>
      </c>
      <c r="AJ1351">
        <f>[1]资金台帐!AJ1351</f>
        <v>0</v>
      </c>
      <c r="AK1351">
        <f>[1]资金台帐!AK1351</f>
        <v>0</v>
      </c>
      <c r="BA1351" s="22">
        <f t="shared" si="0"/>
      </c>
      <c r="BG1351" s="22">
        <f t="shared" si="1"/>
      </c>
      <c r="BH1351" s="22">
        <f t="shared" si="2"/>
        <v>0</v>
      </c>
    </row>
    <row r="1352">
      <c r="B1352">
        <f>[1]资金台帐!B1352&amp;""</f>
      </c>
      <c r="H1352">
        <f>[1]资金台帐!H1352&amp;""</f>
      </c>
      <c r="J1352">
        <f>[1]资金台帐!J1352&amp;""</f>
      </c>
      <c r="N1352">
        <f>[1]资金台帐!N1352</f>
      </c>
      <c r="O1352">
        <f>[1]资金台帐!O1352&amp;""</f>
      </c>
      <c r="P1352">
        <f>[1]资金台帐!P1352&amp;""</f>
      </c>
      <c r="Q1352">
        <f>[1]资金台帐!Q1352&amp;""</f>
      </c>
      <c r="T1352">
        <f>[1]资金台帐!T1352&amp;""</f>
      </c>
      <c r="U1352">
        <f>[1]资金台帐!U1352&amp;""</f>
      </c>
      <c r="W1352">
        <f>[1]资金台帐!W1352&amp;""</f>
      </c>
      <c r="X1352">
        <f>[1]资金台帐!X1352&amp;""</f>
      </c>
      <c r="AB1352">
        <f>[1]资金台帐!AB1352</f>
        <v>0</v>
      </c>
      <c r="AC1352">
        <f>[1]资金台帐!AC1352</f>
        <v>0</v>
      </c>
      <c r="AD1352">
        <f>[1]资金台帐!AD1352</f>
        <v>0</v>
      </c>
      <c r="AJ1352">
        <f>[1]资金台帐!AJ1352</f>
        <v>0</v>
      </c>
      <c r="AK1352">
        <f>[1]资金台帐!AK1352</f>
        <v>0</v>
      </c>
      <c r="BA1352" s="22">
        <f t="shared" si="0"/>
      </c>
      <c r="BG1352" s="22">
        <f t="shared" si="1"/>
      </c>
      <c r="BH1352" s="22">
        <f t="shared" si="2"/>
        <v>0</v>
      </c>
    </row>
    <row r="1353">
      <c r="B1353">
        <f>[1]资金台帐!B1353&amp;""</f>
      </c>
      <c r="H1353">
        <f>[1]资金台帐!H1353&amp;""</f>
      </c>
      <c r="J1353">
        <f>[1]资金台帐!J1353&amp;""</f>
      </c>
      <c r="N1353">
        <f>[1]资金台帐!N1353</f>
      </c>
      <c r="O1353">
        <f>[1]资金台帐!O1353&amp;""</f>
      </c>
      <c r="P1353">
        <f>[1]资金台帐!P1353&amp;""</f>
      </c>
      <c r="Q1353">
        <f>[1]资金台帐!Q1353&amp;""</f>
      </c>
      <c r="T1353">
        <f>[1]资金台帐!T1353&amp;""</f>
      </c>
      <c r="U1353">
        <f>[1]资金台帐!U1353&amp;""</f>
      </c>
      <c r="W1353">
        <f>[1]资金台帐!W1353&amp;""</f>
      </c>
      <c r="X1353">
        <f>[1]资金台帐!X1353&amp;""</f>
      </c>
      <c r="AB1353">
        <f>[1]资金台帐!AB1353</f>
        <v>0</v>
      </c>
      <c r="AC1353">
        <f>[1]资金台帐!AC1353</f>
        <v>0</v>
      </c>
      <c r="AD1353">
        <f>[1]资金台帐!AD1353</f>
        <v>0</v>
      </c>
      <c r="AJ1353">
        <f>[1]资金台帐!AJ1353</f>
        <v>0</v>
      </c>
      <c r="AK1353">
        <f>[1]资金台帐!AK1353</f>
        <v>0</v>
      </c>
      <c r="BA1353" s="22">
        <f t="shared" si="0"/>
      </c>
      <c r="BG1353" s="22">
        <f t="shared" si="1"/>
      </c>
      <c r="BH1353" s="22">
        <f t="shared" si="2"/>
        <v>0</v>
      </c>
    </row>
    <row r="1354">
      <c r="B1354">
        <f>[1]资金台帐!B1354&amp;""</f>
      </c>
      <c r="H1354">
        <f>[1]资金台帐!H1354&amp;""</f>
      </c>
      <c r="J1354">
        <f>[1]资金台帐!J1354&amp;""</f>
      </c>
      <c r="N1354">
        <f>[1]资金台帐!N1354</f>
      </c>
      <c r="O1354">
        <f>[1]资金台帐!O1354&amp;""</f>
      </c>
      <c r="P1354">
        <f>[1]资金台帐!P1354&amp;""</f>
      </c>
      <c r="Q1354">
        <f>[1]资金台帐!Q1354&amp;""</f>
      </c>
      <c r="T1354">
        <f>[1]资金台帐!T1354&amp;""</f>
      </c>
      <c r="U1354">
        <f>[1]资金台帐!U1354&amp;""</f>
      </c>
      <c r="W1354">
        <f>[1]资金台帐!W1354&amp;""</f>
      </c>
      <c r="X1354">
        <f>[1]资金台帐!X1354&amp;""</f>
      </c>
      <c r="AB1354">
        <f>[1]资金台帐!AB1354</f>
        <v>0</v>
      </c>
      <c r="AC1354">
        <f>[1]资金台帐!AC1354</f>
        <v>0</v>
      </c>
      <c r="AD1354">
        <f>[1]资金台帐!AD1354</f>
        <v>0</v>
      </c>
      <c r="AJ1354">
        <f>[1]资金台帐!AJ1354</f>
        <v>0</v>
      </c>
      <c r="AK1354">
        <f>[1]资金台帐!AK1354</f>
        <v>0</v>
      </c>
      <c r="BA1354" s="22">
        <f t="shared" si="0"/>
      </c>
      <c r="BG1354" s="22">
        <f t="shared" si="1"/>
      </c>
      <c r="BH1354" s="22">
        <f t="shared" si="2"/>
        <v>0</v>
      </c>
    </row>
    <row r="1355">
      <c r="B1355">
        <f>[1]资金台帐!B1355&amp;""</f>
      </c>
      <c r="H1355">
        <f>[1]资金台帐!H1355&amp;""</f>
      </c>
      <c r="J1355">
        <f>[1]资金台帐!J1355&amp;""</f>
      </c>
      <c r="N1355">
        <f>[1]资金台帐!N1355</f>
      </c>
      <c r="O1355">
        <f>[1]资金台帐!O1355&amp;""</f>
      </c>
      <c r="P1355">
        <f>[1]资金台帐!P1355&amp;""</f>
      </c>
      <c r="Q1355">
        <f>[1]资金台帐!Q1355&amp;""</f>
      </c>
      <c r="T1355">
        <f>[1]资金台帐!T1355&amp;""</f>
      </c>
      <c r="U1355">
        <f>[1]资金台帐!U1355&amp;""</f>
      </c>
      <c r="W1355">
        <f>[1]资金台帐!W1355&amp;""</f>
      </c>
      <c r="X1355">
        <f>[1]资金台帐!X1355&amp;""</f>
      </c>
      <c r="AB1355">
        <f>[1]资金台帐!AB1355</f>
        <v>0</v>
      </c>
      <c r="AC1355">
        <f>[1]资金台帐!AC1355</f>
        <v>0</v>
      </c>
      <c r="AD1355">
        <f>[1]资金台帐!AD1355</f>
        <v>0</v>
      </c>
      <c r="AJ1355">
        <f>[1]资金台帐!AJ1355</f>
        <v>0</v>
      </c>
      <c r="AK1355">
        <f>[1]资金台帐!AK1355</f>
        <v>0</v>
      </c>
      <c r="BA1355" s="22">
        <f t="shared" si="0"/>
      </c>
      <c r="BG1355" s="22">
        <f t="shared" si="1"/>
      </c>
      <c r="BH1355" s="22">
        <f t="shared" si="2"/>
        <v>0</v>
      </c>
    </row>
    <row r="1356">
      <c r="B1356">
        <f>[1]资金台帐!B1356&amp;""</f>
      </c>
      <c r="H1356">
        <f>[1]资金台帐!H1356&amp;""</f>
      </c>
      <c r="J1356">
        <f>[1]资金台帐!J1356&amp;""</f>
      </c>
      <c r="N1356">
        <f>[1]资金台帐!N1356</f>
      </c>
      <c r="O1356">
        <f>[1]资金台帐!O1356&amp;""</f>
      </c>
      <c r="P1356">
        <f>[1]资金台帐!P1356&amp;""</f>
      </c>
      <c r="Q1356">
        <f>[1]资金台帐!Q1356&amp;""</f>
      </c>
      <c r="T1356">
        <f>[1]资金台帐!T1356&amp;""</f>
      </c>
      <c r="U1356">
        <f>[1]资金台帐!U1356&amp;""</f>
      </c>
      <c r="W1356">
        <f>[1]资金台帐!W1356&amp;""</f>
      </c>
      <c r="X1356">
        <f>[1]资金台帐!X1356&amp;""</f>
      </c>
      <c r="AB1356">
        <f>[1]资金台帐!AB1356</f>
        <v>0</v>
      </c>
      <c r="AC1356">
        <f>[1]资金台帐!AC1356</f>
        <v>0</v>
      </c>
      <c r="AD1356">
        <f>[1]资金台帐!AD1356</f>
        <v>0</v>
      </c>
      <c r="AJ1356">
        <f>[1]资金台帐!AJ1356</f>
        <v>0</v>
      </c>
      <c r="AK1356">
        <f>[1]资金台帐!AK1356</f>
        <v>0</v>
      </c>
      <c r="BA1356" s="22">
        <f t="shared" si="0"/>
      </c>
      <c r="BG1356" s="22">
        <f t="shared" si="1"/>
      </c>
      <c r="BH1356" s="22">
        <f t="shared" si="2"/>
        <v>0</v>
      </c>
    </row>
    <row r="1357">
      <c r="B1357">
        <f>[1]资金台帐!B1357&amp;""</f>
      </c>
      <c r="H1357">
        <f>[1]资金台帐!H1357&amp;""</f>
      </c>
      <c r="J1357">
        <f>[1]资金台帐!J1357&amp;""</f>
      </c>
      <c r="N1357">
        <f>[1]资金台帐!N1357</f>
      </c>
      <c r="O1357">
        <f>[1]资金台帐!O1357&amp;""</f>
      </c>
      <c r="P1357">
        <f>[1]资金台帐!P1357&amp;""</f>
      </c>
      <c r="Q1357">
        <f>[1]资金台帐!Q1357&amp;""</f>
      </c>
      <c r="T1357">
        <f>[1]资金台帐!T1357&amp;""</f>
      </c>
      <c r="U1357">
        <f>[1]资金台帐!U1357&amp;""</f>
      </c>
      <c r="W1357">
        <f>[1]资金台帐!W1357&amp;""</f>
      </c>
      <c r="X1357">
        <f>[1]资金台帐!X1357&amp;""</f>
      </c>
      <c r="AB1357">
        <f>[1]资金台帐!AB1357</f>
        <v>0</v>
      </c>
      <c r="AC1357">
        <f>[1]资金台帐!AC1357</f>
        <v>0</v>
      </c>
      <c r="AD1357">
        <f>[1]资金台帐!AD1357</f>
        <v>0</v>
      </c>
      <c r="AJ1357">
        <f>[1]资金台帐!AJ1357</f>
        <v>0</v>
      </c>
      <c r="AK1357">
        <f>[1]资金台帐!AK1357</f>
        <v>0</v>
      </c>
      <c r="BA1357" s="22">
        <f t="shared" si="0"/>
      </c>
      <c r="BG1357" s="22">
        <f t="shared" si="1"/>
      </c>
      <c r="BH1357" s="22">
        <f t="shared" si="2"/>
        <v>0</v>
      </c>
    </row>
    <row r="1358">
      <c r="B1358">
        <f>[1]资金台帐!B1358&amp;""</f>
      </c>
      <c r="H1358">
        <f>[1]资金台帐!H1358&amp;""</f>
      </c>
      <c r="J1358">
        <f>[1]资金台帐!J1358&amp;""</f>
      </c>
      <c r="N1358">
        <f>[1]资金台帐!N1358</f>
      </c>
      <c r="O1358">
        <f>[1]资金台帐!O1358&amp;""</f>
      </c>
      <c r="P1358">
        <f>[1]资金台帐!P1358&amp;""</f>
      </c>
      <c r="Q1358">
        <f>[1]资金台帐!Q1358&amp;""</f>
      </c>
      <c r="T1358">
        <f>[1]资金台帐!T1358&amp;""</f>
      </c>
      <c r="U1358">
        <f>[1]资金台帐!U1358&amp;""</f>
      </c>
      <c r="W1358">
        <f>[1]资金台帐!W1358&amp;""</f>
      </c>
      <c r="X1358">
        <f>[1]资金台帐!X1358&amp;""</f>
      </c>
      <c r="AB1358">
        <f>[1]资金台帐!AB1358</f>
        <v>0</v>
      </c>
      <c r="AC1358">
        <f>[1]资金台帐!AC1358</f>
        <v>0</v>
      </c>
      <c r="AD1358">
        <f>[1]资金台帐!AD1358</f>
        <v>0</v>
      </c>
      <c r="AJ1358">
        <f>[1]资金台帐!AJ1358</f>
        <v>0</v>
      </c>
      <c r="AK1358">
        <f>[1]资金台帐!AK1358</f>
        <v>0</v>
      </c>
      <c r="BA1358" s="22">
        <f t="shared" si="0"/>
      </c>
      <c r="BG1358" s="22">
        <f t="shared" si="1"/>
      </c>
      <c r="BH1358" s="22">
        <f t="shared" si="2"/>
        <v>0</v>
      </c>
    </row>
    <row r="1359">
      <c r="B1359">
        <f>[1]资金台帐!B1359&amp;""</f>
      </c>
      <c r="H1359">
        <f>[1]资金台帐!H1359&amp;""</f>
      </c>
      <c r="J1359">
        <f>[1]资金台帐!J1359&amp;""</f>
      </c>
      <c r="N1359">
        <f>[1]资金台帐!N1359</f>
      </c>
      <c r="O1359">
        <f>[1]资金台帐!O1359&amp;""</f>
      </c>
      <c r="P1359">
        <f>[1]资金台帐!P1359&amp;""</f>
      </c>
      <c r="Q1359">
        <f>[1]资金台帐!Q1359&amp;""</f>
      </c>
      <c r="T1359">
        <f>[1]资金台帐!T1359&amp;""</f>
      </c>
      <c r="U1359">
        <f>[1]资金台帐!U1359&amp;""</f>
      </c>
      <c r="W1359">
        <f>[1]资金台帐!W1359&amp;""</f>
      </c>
      <c r="X1359">
        <f>[1]资金台帐!X1359&amp;""</f>
      </c>
      <c r="AB1359">
        <f>[1]资金台帐!AB1359</f>
        <v>0</v>
      </c>
      <c r="AC1359">
        <f>[1]资金台帐!AC1359</f>
        <v>0</v>
      </c>
      <c r="AD1359">
        <f>[1]资金台帐!AD1359</f>
        <v>0</v>
      </c>
      <c r="AJ1359">
        <f>[1]资金台帐!AJ1359</f>
        <v>0</v>
      </c>
      <c r="AK1359">
        <f>[1]资金台帐!AK1359</f>
        <v>0</v>
      </c>
      <c r="BA1359" s="22">
        <f t="shared" si="0"/>
      </c>
      <c r="BG1359" s="22">
        <f t="shared" si="1"/>
      </c>
      <c r="BH1359" s="22">
        <f t="shared" si="2"/>
        <v>0</v>
      </c>
    </row>
    <row r="1360">
      <c r="B1360">
        <f>[1]资金台帐!B1360&amp;""</f>
      </c>
      <c r="H1360">
        <f>[1]资金台帐!H1360&amp;""</f>
      </c>
      <c r="J1360">
        <f>[1]资金台帐!J1360&amp;""</f>
      </c>
      <c r="N1360">
        <f>[1]资金台帐!N1360</f>
      </c>
      <c r="O1360">
        <f>[1]资金台帐!O1360&amp;""</f>
      </c>
      <c r="P1360">
        <f>[1]资金台帐!P1360&amp;""</f>
      </c>
      <c r="Q1360">
        <f>[1]资金台帐!Q1360&amp;""</f>
      </c>
      <c r="T1360">
        <f>[1]资金台帐!T1360&amp;""</f>
      </c>
      <c r="U1360">
        <f>[1]资金台帐!U1360&amp;""</f>
      </c>
      <c r="W1360">
        <f>[1]资金台帐!W1360&amp;""</f>
      </c>
      <c r="X1360">
        <f>[1]资金台帐!X1360&amp;""</f>
      </c>
      <c r="AB1360">
        <f>[1]资金台帐!AB1360</f>
        <v>0</v>
      </c>
      <c r="AC1360">
        <f>[1]资金台帐!AC1360</f>
        <v>0</v>
      </c>
      <c r="AD1360">
        <f>[1]资金台帐!AD1360</f>
        <v>0</v>
      </c>
      <c r="AJ1360">
        <f>[1]资金台帐!AJ1360</f>
        <v>0</v>
      </c>
      <c r="AK1360">
        <f>[1]资金台帐!AK1360</f>
        <v>0</v>
      </c>
      <c r="BA1360" s="22">
        <f t="shared" si="0"/>
      </c>
      <c r="BG1360" s="22">
        <f t="shared" si="1"/>
      </c>
      <c r="BH1360" s="22">
        <f t="shared" si="2"/>
        <v>0</v>
      </c>
    </row>
    <row r="1361">
      <c r="B1361">
        <f>[1]资金台帐!B1361&amp;""</f>
      </c>
      <c r="H1361">
        <f>[1]资金台帐!H1361&amp;""</f>
      </c>
      <c r="J1361">
        <f>[1]资金台帐!J1361&amp;""</f>
      </c>
      <c r="N1361">
        <f>[1]资金台帐!N1361</f>
      </c>
      <c r="O1361">
        <f>[1]资金台帐!O1361&amp;""</f>
      </c>
      <c r="P1361">
        <f>[1]资金台帐!P1361&amp;""</f>
      </c>
      <c r="Q1361">
        <f>[1]资金台帐!Q1361&amp;""</f>
      </c>
      <c r="T1361">
        <f>[1]资金台帐!T1361&amp;""</f>
      </c>
      <c r="U1361">
        <f>[1]资金台帐!U1361&amp;""</f>
      </c>
      <c r="W1361">
        <f>[1]资金台帐!W1361&amp;""</f>
      </c>
      <c r="X1361">
        <f>[1]资金台帐!X1361&amp;""</f>
      </c>
      <c r="AB1361">
        <f>[1]资金台帐!AB1361</f>
        <v>0</v>
      </c>
      <c r="AC1361">
        <f>[1]资金台帐!AC1361</f>
        <v>0</v>
      </c>
      <c r="AD1361">
        <f>[1]资金台帐!AD1361</f>
        <v>0</v>
      </c>
      <c r="AJ1361">
        <f>[1]资金台帐!AJ1361</f>
        <v>0</v>
      </c>
      <c r="AK1361">
        <f>[1]资金台帐!AK1361</f>
        <v>0</v>
      </c>
      <c r="BA1361" s="22">
        <f t="shared" si="0"/>
      </c>
      <c r="BG1361" s="22">
        <f t="shared" si="1"/>
      </c>
      <c r="BH1361" s="22">
        <f t="shared" si="2"/>
        <v>0</v>
      </c>
    </row>
    <row r="1362">
      <c r="B1362">
        <f>[1]资金台帐!B1362&amp;""</f>
      </c>
      <c r="H1362">
        <f>[1]资金台帐!H1362&amp;""</f>
      </c>
      <c r="J1362">
        <f>[1]资金台帐!J1362&amp;""</f>
      </c>
      <c r="N1362">
        <f>[1]资金台帐!N1362</f>
      </c>
      <c r="O1362">
        <f>[1]资金台帐!O1362&amp;""</f>
      </c>
      <c r="P1362">
        <f>[1]资金台帐!P1362&amp;""</f>
      </c>
      <c r="Q1362">
        <f>[1]资金台帐!Q1362&amp;""</f>
      </c>
      <c r="T1362">
        <f>[1]资金台帐!T1362&amp;""</f>
      </c>
      <c r="U1362">
        <f>[1]资金台帐!U1362&amp;""</f>
      </c>
      <c r="W1362">
        <f>[1]资金台帐!W1362&amp;""</f>
      </c>
      <c r="X1362">
        <f>[1]资金台帐!X1362&amp;""</f>
      </c>
      <c r="AB1362">
        <f>[1]资金台帐!AB1362</f>
        <v>0</v>
      </c>
      <c r="AC1362">
        <f>[1]资金台帐!AC1362</f>
        <v>0</v>
      </c>
      <c r="AD1362">
        <f>[1]资金台帐!AD1362</f>
        <v>0</v>
      </c>
      <c r="AJ1362">
        <f>[1]资金台帐!AJ1362</f>
        <v>0</v>
      </c>
      <c r="AK1362">
        <f>[1]资金台帐!AK1362</f>
        <v>0</v>
      </c>
      <c r="BA1362" s="22">
        <f t="shared" si="0"/>
      </c>
      <c r="BG1362" s="22">
        <f t="shared" si="1"/>
      </c>
      <c r="BH1362" s="22">
        <f t="shared" si="2"/>
        <v>0</v>
      </c>
    </row>
    <row r="1363">
      <c r="B1363">
        <f>[1]资金台帐!B1363&amp;""</f>
      </c>
      <c r="H1363">
        <f>[1]资金台帐!H1363&amp;""</f>
      </c>
      <c r="J1363">
        <f>[1]资金台帐!J1363&amp;""</f>
      </c>
      <c r="N1363">
        <f>[1]资金台帐!N1363</f>
      </c>
      <c r="O1363">
        <f>[1]资金台帐!O1363&amp;""</f>
      </c>
      <c r="P1363">
        <f>[1]资金台帐!P1363&amp;""</f>
      </c>
      <c r="Q1363">
        <f>[1]资金台帐!Q1363&amp;""</f>
      </c>
      <c r="T1363">
        <f>[1]资金台帐!T1363&amp;""</f>
      </c>
      <c r="U1363">
        <f>[1]资金台帐!U1363&amp;""</f>
      </c>
      <c r="W1363">
        <f>[1]资金台帐!W1363&amp;""</f>
      </c>
      <c r="X1363">
        <f>[1]资金台帐!X1363&amp;""</f>
      </c>
      <c r="AB1363">
        <f>[1]资金台帐!AB1363</f>
        <v>0</v>
      </c>
      <c r="AC1363">
        <f>[1]资金台帐!AC1363</f>
        <v>0</v>
      </c>
      <c r="AD1363">
        <f>[1]资金台帐!AD1363</f>
        <v>0</v>
      </c>
      <c r="AJ1363">
        <f>[1]资金台帐!AJ1363</f>
        <v>0</v>
      </c>
      <c r="AK1363">
        <f>[1]资金台帐!AK1363</f>
        <v>0</v>
      </c>
      <c r="BA1363" s="22">
        <f t="shared" si="0"/>
      </c>
      <c r="BG1363" s="22">
        <f t="shared" si="1"/>
      </c>
      <c r="BH1363" s="22">
        <f t="shared" si="2"/>
        <v>0</v>
      </c>
    </row>
    <row r="1364">
      <c r="B1364">
        <f>[1]资金台帐!B1364&amp;""</f>
      </c>
      <c r="H1364">
        <f>[1]资金台帐!H1364&amp;""</f>
      </c>
      <c r="J1364">
        <f>[1]资金台帐!J1364&amp;""</f>
      </c>
      <c r="N1364">
        <f>[1]资金台帐!N1364</f>
      </c>
      <c r="O1364">
        <f>[1]资金台帐!O1364&amp;""</f>
      </c>
      <c r="P1364">
        <f>[1]资金台帐!P1364&amp;""</f>
      </c>
      <c r="Q1364">
        <f>[1]资金台帐!Q1364&amp;""</f>
      </c>
      <c r="T1364">
        <f>[1]资金台帐!T1364&amp;""</f>
      </c>
      <c r="U1364">
        <f>[1]资金台帐!U1364&amp;""</f>
      </c>
      <c r="W1364">
        <f>[1]资金台帐!W1364&amp;""</f>
      </c>
      <c r="X1364">
        <f>[1]资金台帐!X1364&amp;""</f>
      </c>
      <c r="AB1364">
        <f>[1]资金台帐!AB1364</f>
        <v>0</v>
      </c>
      <c r="AC1364">
        <f>[1]资金台帐!AC1364</f>
        <v>0</v>
      </c>
      <c r="AD1364">
        <f>[1]资金台帐!AD1364</f>
        <v>0</v>
      </c>
      <c r="AJ1364">
        <f>[1]资金台帐!AJ1364</f>
        <v>0</v>
      </c>
      <c r="AK1364">
        <f>[1]资金台帐!AK1364</f>
        <v>0</v>
      </c>
      <c r="BA1364" s="22">
        <f t="shared" si="0"/>
      </c>
      <c r="BG1364" s="22">
        <f t="shared" si="1"/>
      </c>
      <c r="BH1364" s="22">
        <f t="shared" si="2"/>
        <v>0</v>
      </c>
    </row>
    <row r="1365">
      <c r="B1365">
        <f>[1]资金台帐!B1365&amp;""</f>
      </c>
      <c r="H1365">
        <f>[1]资金台帐!H1365&amp;""</f>
      </c>
      <c r="J1365">
        <f>[1]资金台帐!J1365&amp;""</f>
      </c>
      <c r="N1365">
        <f>[1]资金台帐!N1365</f>
      </c>
      <c r="O1365">
        <f>[1]资金台帐!O1365&amp;""</f>
      </c>
      <c r="P1365">
        <f>[1]资金台帐!P1365&amp;""</f>
      </c>
      <c r="Q1365">
        <f>[1]资金台帐!Q1365&amp;""</f>
      </c>
      <c r="T1365">
        <f>[1]资金台帐!T1365&amp;""</f>
      </c>
      <c r="U1365">
        <f>[1]资金台帐!U1365&amp;""</f>
      </c>
      <c r="W1365">
        <f>[1]资金台帐!W1365&amp;""</f>
      </c>
      <c r="X1365">
        <f>[1]资金台帐!X1365&amp;""</f>
      </c>
      <c r="AB1365">
        <f>[1]资金台帐!AB1365</f>
        <v>0</v>
      </c>
      <c r="AC1365">
        <f>[1]资金台帐!AC1365</f>
        <v>0</v>
      </c>
      <c r="AD1365">
        <f>[1]资金台帐!AD1365</f>
        <v>0</v>
      </c>
      <c r="AJ1365">
        <f>[1]资金台帐!AJ1365</f>
        <v>0</v>
      </c>
      <c r="AK1365">
        <f>[1]资金台帐!AK1365</f>
        <v>0</v>
      </c>
      <c r="BA1365" s="22">
        <f t="shared" si="0"/>
      </c>
      <c r="BG1365" s="22">
        <f t="shared" si="1"/>
      </c>
      <c r="BH1365" s="22">
        <f t="shared" si="2"/>
        <v>0</v>
      </c>
    </row>
    <row r="1366">
      <c r="B1366">
        <f>[1]资金台帐!B1366&amp;""</f>
      </c>
      <c r="H1366">
        <f>[1]资金台帐!H1366&amp;""</f>
      </c>
      <c r="J1366">
        <f>[1]资金台帐!J1366&amp;""</f>
      </c>
      <c r="N1366">
        <f>[1]资金台帐!N1366</f>
      </c>
      <c r="O1366">
        <f>[1]资金台帐!O1366&amp;""</f>
      </c>
      <c r="P1366">
        <f>[1]资金台帐!P1366&amp;""</f>
      </c>
      <c r="Q1366">
        <f>[1]资金台帐!Q1366&amp;""</f>
      </c>
      <c r="T1366">
        <f>[1]资金台帐!T1366&amp;""</f>
      </c>
      <c r="U1366">
        <f>[1]资金台帐!U1366&amp;""</f>
      </c>
      <c r="W1366">
        <f>[1]资金台帐!W1366&amp;""</f>
      </c>
      <c r="X1366">
        <f>[1]资金台帐!X1366&amp;""</f>
      </c>
      <c r="AB1366">
        <f>[1]资金台帐!AB1366</f>
        <v>0</v>
      </c>
      <c r="AC1366">
        <f>[1]资金台帐!AC1366</f>
        <v>0</v>
      </c>
      <c r="AD1366">
        <f>[1]资金台帐!AD1366</f>
        <v>0</v>
      </c>
      <c r="AJ1366">
        <f>[1]资金台帐!AJ1366</f>
        <v>0</v>
      </c>
      <c r="AK1366">
        <f>[1]资金台帐!AK1366</f>
        <v>0</v>
      </c>
      <c r="BA1366" s="22">
        <f t="shared" si="0"/>
      </c>
      <c r="BG1366" s="22">
        <f t="shared" si="1"/>
      </c>
      <c r="BH1366" s="22">
        <f t="shared" si="2"/>
        <v>0</v>
      </c>
    </row>
    <row r="1367">
      <c r="B1367">
        <f>[1]资金台帐!B1367&amp;""</f>
      </c>
      <c r="H1367">
        <f>[1]资金台帐!H1367&amp;""</f>
      </c>
      <c r="J1367">
        <f>[1]资金台帐!J1367&amp;""</f>
      </c>
      <c r="N1367">
        <f>[1]资金台帐!N1367</f>
      </c>
      <c r="O1367">
        <f>[1]资金台帐!O1367&amp;""</f>
      </c>
      <c r="P1367">
        <f>[1]资金台帐!P1367&amp;""</f>
      </c>
      <c r="Q1367">
        <f>[1]资金台帐!Q1367&amp;""</f>
      </c>
      <c r="T1367">
        <f>[1]资金台帐!T1367&amp;""</f>
      </c>
      <c r="U1367">
        <f>[1]资金台帐!U1367&amp;""</f>
      </c>
      <c r="W1367">
        <f>[1]资金台帐!W1367&amp;""</f>
      </c>
      <c r="X1367">
        <f>[1]资金台帐!X1367&amp;""</f>
      </c>
      <c r="AB1367">
        <f>[1]资金台帐!AB1367</f>
        <v>0</v>
      </c>
      <c r="AC1367">
        <f>[1]资金台帐!AC1367</f>
        <v>0</v>
      </c>
      <c r="AD1367">
        <f>[1]资金台帐!AD1367</f>
        <v>0</v>
      </c>
      <c r="AJ1367">
        <f>[1]资金台帐!AJ1367</f>
        <v>0</v>
      </c>
      <c r="AK1367">
        <f>[1]资金台帐!AK1367</f>
        <v>0</v>
      </c>
      <c r="BA1367" s="22">
        <f t="shared" si="0"/>
      </c>
      <c r="BG1367" s="22">
        <f t="shared" si="1"/>
      </c>
      <c r="BH1367" s="22">
        <f t="shared" si="2"/>
        <v>0</v>
      </c>
    </row>
    <row r="1368">
      <c r="B1368">
        <f>[1]资金台帐!B1368&amp;""</f>
      </c>
      <c r="H1368">
        <f>[1]资金台帐!H1368&amp;""</f>
      </c>
      <c r="J1368">
        <f>[1]资金台帐!J1368&amp;""</f>
      </c>
      <c r="N1368">
        <f>[1]资金台帐!N1368</f>
      </c>
      <c r="O1368">
        <f>[1]资金台帐!O1368&amp;""</f>
      </c>
      <c r="P1368">
        <f>[1]资金台帐!P1368&amp;""</f>
      </c>
      <c r="Q1368">
        <f>[1]资金台帐!Q1368&amp;""</f>
      </c>
      <c r="T1368">
        <f>[1]资金台帐!T1368&amp;""</f>
      </c>
      <c r="U1368">
        <f>[1]资金台帐!U1368&amp;""</f>
      </c>
      <c r="W1368">
        <f>[1]资金台帐!W1368&amp;""</f>
      </c>
      <c r="X1368">
        <f>[1]资金台帐!X1368&amp;""</f>
      </c>
      <c r="AB1368">
        <f>[1]资金台帐!AB1368</f>
        <v>0</v>
      </c>
      <c r="AC1368">
        <f>[1]资金台帐!AC1368</f>
        <v>0</v>
      </c>
      <c r="AD1368">
        <f>[1]资金台帐!AD1368</f>
        <v>0</v>
      </c>
      <c r="AJ1368">
        <f>[1]资金台帐!AJ1368</f>
        <v>0</v>
      </c>
      <c r="AK1368">
        <f>[1]资金台帐!AK1368</f>
        <v>0</v>
      </c>
      <c r="BA1368" s="22">
        <f t="shared" si="0"/>
      </c>
      <c r="BG1368" s="22">
        <f t="shared" si="1"/>
      </c>
      <c r="BH1368" s="22">
        <f t="shared" si="2"/>
        <v>0</v>
      </c>
    </row>
    <row r="1369">
      <c r="B1369">
        <f>[1]资金台帐!B1369&amp;""</f>
      </c>
      <c r="H1369">
        <f>[1]资金台帐!H1369&amp;""</f>
      </c>
      <c r="J1369">
        <f>[1]资金台帐!J1369&amp;""</f>
      </c>
      <c r="N1369">
        <f>[1]资金台帐!N1369</f>
      </c>
      <c r="O1369">
        <f>[1]资金台帐!O1369&amp;""</f>
      </c>
      <c r="P1369">
        <f>[1]资金台帐!P1369&amp;""</f>
      </c>
      <c r="Q1369">
        <f>[1]资金台帐!Q1369&amp;""</f>
      </c>
      <c r="T1369">
        <f>[1]资金台帐!T1369&amp;""</f>
      </c>
      <c r="U1369">
        <f>[1]资金台帐!U1369&amp;""</f>
      </c>
      <c r="W1369">
        <f>[1]资金台帐!W1369&amp;""</f>
      </c>
      <c r="X1369">
        <f>[1]资金台帐!X1369&amp;""</f>
      </c>
      <c r="AB1369">
        <f>[1]资金台帐!AB1369</f>
        <v>0</v>
      </c>
      <c r="AC1369">
        <f>[1]资金台帐!AC1369</f>
        <v>0</v>
      </c>
      <c r="AD1369">
        <f>[1]资金台帐!AD1369</f>
        <v>0</v>
      </c>
      <c r="AJ1369">
        <f>[1]资金台帐!AJ1369</f>
        <v>0</v>
      </c>
      <c r="AK1369">
        <f>[1]资金台帐!AK1369</f>
        <v>0</v>
      </c>
      <c r="BA1369" s="22">
        <f t="shared" si="0"/>
      </c>
      <c r="BG1369" s="22">
        <f t="shared" si="1"/>
      </c>
      <c r="BH1369" s="22">
        <f t="shared" si="2"/>
        <v>0</v>
      </c>
    </row>
    <row r="1370">
      <c r="B1370">
        <f>[1]资金台帐!B1370&amp;""</f>
      </c>
      <c r="H1370">
        <f>[1]资金台帐!H1370&amp;""</f>
      </c>
      <c r="J1370">
        <f>[1]资金台帐!J1370&amp;""</f>
      </c>
      <c r="N1370">
        <f>[1]资金台帐!N1370</f>
      </c>
      <c r="O1370">
        <f>[1]资金台帐!O1370&amp;""</f>
      </c>
      <c r="P1370">
        <f>[1]资金台帐!P1370&amp;""</f>
      </c>
      <c r="Q1370">
        <f>[1]资金台帐!Q1370&amp;""</f>
      </c>
      <c r="T1370">
        <f>[1]资金台帐!T1370&amp;""</f>
      </c>
      <c r="U1370">
        <f>[1]资金台帐!U1370&amp;""</f>
      </c>
      <c r="W1370">
        <f>[1]资金台帐!W1370&amp;""</f>
      </c>
      <c r="X1370">
        <f>[1]资金台帐!X1370&amp;""</f>
      </c>
      <c r="AB1370">
        <f>[1]资金台帐!AB1370</f>
        <v>0</v>
      </c>
      <c r="AC1370">
        <f>[1]资金台帐!AC1370</f>
        <v>0</v>
      </c>
      <c r="AD1370">
        <f>[1]资金台帐!AD1370</f>
        <v>0</v>
      </c>
      <c r="AJ1370">
        <f>[1]资金台帐!AJ1370</f>
        <v>0</v>
      </c>
      <c r="AK1370">
        <f>[1]资金台帐!AK1370</f>
        <v>0</v>
      </c>
      <c r="BA1370" s="22">
        <f t="shared" si="0"/>
      </c>
      <c r="BG1370" s="22">
        <f t="shared" si="1"/>
      </c>
      <c r="BH1370" s="22">
        <f t="shared" si="2"/>
        <v>0</v>
      </c>
    </row>
    <row r="1371">
      <c r="B1371">
        <f>[1]资金台帐!B1371&amp;""</f>
      </c>
      <c r="H1371">
        <f>[1]资金台帐!H1371&amp;""</f>
      </c>
      <c r="J1371">
        <f>[1]资金台帐!J1371&amp;""</f>
      </c>
      <c r="N1371">
        <f>[1]资金台帐!N1371</f>
      </c>
      <c r="O1371">
        <f>[1]资金台帐!O1371&amp;""</f>
      </c>
      <c r="P1371">
        <f>[1]资金台帐!P1371&amp;""</f>
      </c>
      <c r="Q1371">
        <f>[1]资金台帐!Q1371&amp;""</f>
      </c>
      <c r="T1371">
        <f>[1]资金台帐!T1371&amp;""</f>
      </c>
      <c r="U1371">
        <f>[1]资金台帐!U1371&amp;""</f>
      </c>
      <c r="W1371">
        <f>[1]资金台帐!W1371&amp;""</f>
      </c>
      <c r="X1371">
        <f>[1]资金台帐!X1371&amp;""</f>
      </c>
      <c r="AB1371">
        <f>[1]资金台帐!AB1371</f>
        <v>0</v>
      </c>
      <c r="AC1371">
        <f>[1]资金台帐!AC1371</f>
        <v>0</v>
      </c>
      <c r="AD1371">
        <f>[1]资金台帐!AD1371</f>
        <v>0</v>
      </c>
      <c r="AJ1371">
        <f>[1]资金台帐!AJ1371</f>
        <v>0</v>
      </c>
      <c r="AK1371">
        <f>[1]资金台帐!AK1371</f>
        <v>0</v>
      </c>
      <c r="BA1371" s="22">
        <f t="shared" si="0"/>
      </c>
      <c r="BG1371" s="22">
        <f t="shared" si="1"/>
      </c>
      <c r="BH1371" s="22">
        <f t="shared" si="2"/>
        <v>0</v>
      </c>
    </row>
    <row r="1372">
      <c r="B1372">
        <f>[1]资金台帐!B1372&amp;""</f>
      </c>
      <c r="H1372">
        <f>[1]资金台帐!H1372&amp;""</f>
      </c>
      <c r="J1372">
        <f>[1]资金台帐!J1372&amp;""</f>
      </c>
      <c r="N1372">
        <f>[1]资金台帐!N1372</f>
      </c>
      <c r="O1372">
        <f>[1]资金台帐!O1372&amp;""</f>
      </c>
      <c r="P1372">
        <f>[1]资金台帐!P1372&amp;""</f>
      </c>
      <c r="Q1372">
        <f>[1]资金台帐!Q1372&amp;""</f>
      </c>
      <c r="T1372">
        <f>[1]资金台帐!T1372&amp;""</f>
      </c>
      <c r="U1372">
        <f>[1]资金台帐!U1372&amp;""</f>
      </c>
      <c r="W1372">
        <f>[1]资金台帐!W1372&amp;""</f>
      </c>
      <c r="X1372">
        <f>[1]资金台帐!X1372&amp;""</f>
      </c>
      <c r="AB1372">
        <f>[1]资金台帐!AB1372</f>
        <v>0</v>
      </c>
      <c r="AC1372">
        <f>[1]资金台帐!AC1372</f>
        <v>0</v>
      </c>
      <c r="AD1372">
        <f>[1]资金台帐!AD1372</f>
        <v>0</v>
      </c>
      <c r="AJ1372">
        <f>[1]资金台帐!AJ1372</f>
        <v>0</v>
      </c>
      <c r="AK1372">
        <f>[1]资金台帐!AK1372</f>
        <v>0</v>
      </c>
      <c r="BA1372" s="22">
        <f t="shared" si="0"/>
      </c>
      <c r="BG1372" s="22">
        <f t="shared" si="1"/>
      </c>
      <c r="BH1372" s="22">
        <f t="shared" si="2"/>
        <v>0</v>
      </c>
    </row>
    <row r="1373">
      <c r="B1373">
        <f>[1]资金台帐!B1373&amp;""</f>
      </c>
      <c r="H1373">
        <f>[1]资金台帐!H1373&amp;""</f>
      </c>
      <c r="J1373">
        <f>[1]资金台帐!J1373&amp;""</f>
      </c>
      <c r="N1373">
        <f>[1]资金台帐!N1373</f>
      </c>
      <c r="O1373">
        <f>[1]资金台帐!O1373&amp;""</f>
      </c>
      <c r="P1373">
        <f>[1]资金台帐!P1373&amp;""</f>
      </c>
      <c r="Q1373">
        <f>[1]资金台帐!Q1373&amp;""</f>
      </c>
      <c r="T1373">
        <f>[1]资金台帐!T1373&amp;""</f>
      </c>
      <c r="U1373">
        <f>[1]资金台帐!U1373&amp;""</f>
      </c>
      <c r="W1373">
        <f>[1]资金台帐!W1373&amp;""</f>
      </c>
      <c r="X1373">
        <f>[1]资金台帐!X1373&amp;""</f>
      </c>
      <c r="AB1373">
        <f>[1]资金台帐!AB1373</f>
        <v>0</v>
      </c>
      <c r="AC1373">
        <f>[1]资金台帐!AC1373</f>
        <v>0</v>
      </c>
      <c r="AD1373">
        <f>[1]资金台帐!AD1373</f>
        <v>0</v>
      </c>
      <c r="AJ1373">
        <f>[1]资金台帐!AJ1373</f>
        <v>0</v>
      </c>
      <c r="AK1373">
        <f>[1]资金台帐!AK1373</f>
        <v>0</v>
      </c>
      <c r="BA1373" s="22">
        <f t="shared" si="0"/>
      </c>
      <c r="BG1373" s="22">
        <f t="shared" si="1"/>
      </c>
      <c r="BH1373" s="22">
        <f t="shared" si="2"/>
        <v>0</v>
      </c>
    </row>
    <row r="1374">
      <c r="B1374">
        <f>[1]资金台帐!B1374&amp;""</f>
      </c>
      <c r="H1374">
        <f>[1]资金台帐!H1374&amp;""</f>
      </c>
      <c r="J1374">
        <f>[1]资金台帐!J1374&amp;""</f>
      </c>
      <c r="N1374">
        <f>[1]资金台帐!N1374</f>
      </c>
      <c r="O1374">
        <f>[1]资金台帐!O1374&amp;""</f>
      </c>
      <c r="P1374">
        <f>[1]资金台帐!P1374&amp;""</f>
      </c>
      <c r="Q1374">
        <f>[1]资金台帐!Q1374&amp;""</f>
      </c>
      <c r="T1374">
        <f>[1]资金台帐!T1374&amp;""</f>
      </c>
      <c r="U1374">
        <f>[1]资金台帐!U1374&amp;""</f>
      </c>
      <c r="W1374">
        <f>[1]资金台帐!W1374&amp;""</f>
      </c>
      <c r="X1374">
        <f>[1]资金台帐!X1374&amp;""</f>
      </c>
      <c r="AB1374">
        <f>[1]资金台帐!AB1374</f>
        <v>0</v>
      </c>
      <c r="AC1374">
        <f>[1]资金台帐!AC1374</f>
        <v>0</v>
      </c>
      <c r="AD1374">
        <f>[1]资金台帐!AD1374</f>
        <v>0</v>
      </c>
      <c r="AJ1374">
        <f>[1]资金台帐!AJ1374</f>
        <v>0</v>
      </c>
      <c r="AK1374">
        <f>[1]资金台帐!AK1374</f>
        <v>0</v>
      </c>
      <c r="BA1374" s="22">
        <f t="shared" si="0"/>
      </c>
      <c r="BG1374" s="22">
        <f t="shared" si="1"/>
      </c>
      <c r="BH1374" s="22">
        <f t="shared" si="2"/>
        <v>0</v>
      </c>
    </row>
    <row r="1375">
      <c r="B1375">
        <f>[1]资金台帐!B1375&amp;""</f>
      </c>
      <c r="H1375">
        <f>[1]资金台帐!H1375&amp;""</f>
      </c>
      <c r="J1375">
        <f>[1]资金台帐!J1375&amp;""</f>
      </c>
      <c r="N1375">
        <f>[1]资金台帐!N1375</f>
      </c>
      <c r="O1375">
        <f>[1]资金台帐!O1375&amp;""</f>
      </c>
      <c r="P1375">
        <f>[1]资金台帐!P1375&amp;""</f>
      </c>
      <c r="Q1375">
        <f>[1]资金台帐!Q1375&amp;""</f>
      </c>
      <c r="T1375">
        <f>[1]资金台帐!T1375&amp;""</f>
      </c>
      <c r="U1375">
        <f>[1]资金台帐!U1375&amp;""</f>
      </c>
      <c r="W1375">
        <f>[1]资金台帐!W1375&amp;""</f>
      </c>
      <c r="X1375">
        <f>[1]资金台帐!X1375&amp;""</f>
      </c>
      <c r="AB1375">
        <f>[1]资金台帐!AB1375</f>
        <v>0</v>
      </c>
      <c r="AC1375">
        <f>[1]资金台帐!AC1375</f>
        <v>0</v>
      </c>
      <c r="AD1375">
        <f>[1]资金台帐!AD1375</f>
        <v>0</v>
      </c>
      <c r="AJ1375">
        <f>[1]资金台帐!AJ1375</f>
        <v>0</v>
      </c>
      <c r="AK1375">
        <f>[1]资金台帐!AK1375</f>
        <v>0</v>
      </c>
      <c r="BA1375" s="22">
        <f t="shared" si="0"/>
      </c>
      <c r="BG1375" s="22">
        <f t="shared" si="1"/>
      </c>
      <c r="BH1375" s="22">
        <f t="shared" si="2"/>
        <v>0</v>
      </c>
    </row>
    <row r="1376">
      <c r="B1376">
        <f>[1]资金台帐!B1376&amp;""</f>
      </c>
      <c r="H1376">
        <f>[1]资金台帐!H1376&amp;""</f>
      </c>
      <c r="J1376">
        <f>[1]资金台帐!J1376&amp;""</f>
      </c>
      <c r="N1376">
        <f>[1]资金台帐!N1376</f>
      </c>
      <c r="O1376">
        <f>[1]资金台帐!O1376&amp;""</f>
      </c>
      <c r="P1376">
        <f>[1]资金台帐!P1376&amp;""</f>
      </c>
      <c r="Q1376">
        <f>[1]资金台帐!Q1376&amp;""</f>
      </c>
      <c r="T1376">
        <f>[1]资金台帐!T1376&amp;""</f>
      </c>
      <c r="U1376">
        <f>[1]资金台帐!U1376&amp;""</f>
      </c>
      <c r="W1376">
        <f>[1]资金台帐!W1376&amp;""</f>
      </c>
      <c r="X1376">
        <f>[1]资金台帐!X1376&amp;""</f>
      </c>
      <c r="AB1376">
        <f>[1]资金台帐!AB1376</f>
        <v>0</v>
      </c>
      <c r="AC1376">
        <f>[1]资金台帐!AC1376</f>
        <v>0</v>
      </c>
      <c r="AD1376">
        <f>[1]资金台帐!AD1376</f>
        <v>0</v>
      </c>
      <c r="AJ1376">
        <f>[1]资金台帐!AJ1376</f>
        <v>0</v>
      </c>
      <c r="AK1376">
        <f>[1]资金台帐!AK1376</f>
        <v>0</v>
      </c>
      <c r="BA1376" s="22">
        <f t="shared" si="0"/>
      </c>
      <c r="BG1376" s="22">
        <f t="shared" si="1"/>
      </c>
      <c r="BH1376" s="22">
        <f t="shared" si="2"/>
        <v>0</v>
      </c>
    </row>
    <row r="1377">
      <c r="B1377">
        <f>[1]资金台帐!B1377&amp;""</f>
      </c>
      <c r="H1377">
        <f>[1]资金台帐!H1377&amp;""</f>
      </c>
      <c r="J1377">
        <f>[1]资金台帐!J1377&amp;""</f>
      </c>
      <c r="N1377">
        <f>[1]资金台帐!N1377</f>
      </c>
      <c r="O1377">
        <f>[1]资金台帐!O1377&amp;""</f>
      </c>
      <c r="P1377">
        <f>[1]资金台帐!P1377&amp;""</f>
      </c>
      <c r="Q1377">
        <f>[1]资金台帐!Q1377&amp;""</f>
      </c>
      <c r="T1377">
        <f>[1]资金台帐!T1377&amp;""</f>
      </c>
      <c r="U1377">
        <f>[1]资金台帐!U1377&amp;""</f>
      </c>
      <c r="W1377">
        <f>[1]资金台帐!W1377&amp;""</f>
      </c>
      <c r="X1377">
        <f>[1]资金台帐!X1377&amp;""</f>
      </c>
      <c r="AB1377">
        <f>[1]资金台帐!AB1377</f>
        <v>0</v>
      </c>
      <c r="AC1377">
        <f>[1]资金台帐!AC1377</f>
        <v>0</v>
      </c>
      <c r="AD1377">
        <f>[1]资金台帐!AD1377</f>
        <v>0</v>
      </c>
      <c r="AJ1377">
        <f>[1]资金台帐!AJ1377</f>
        <v>0</v>
      </c>
      <c r="AK1377">
        <f>[1]资金台帐!AK1377</f>
        <v>0</v>
      </c>
      <c r="BA1377" s="22">
        <f t="shared" si="0"/>
      </c>
      <c r="BG1377" s="22">
        <f t="shared" si="1"/>
      </c>
      <c r="BH1377" s="22">
        <f t="shared" si="2"/>
        <v>0</v>
      </c>
    </row>
    <row r="1378">
      <c r="B1378">
        <f>[1]资金台帐!B1378&amp;""</f>
      </c>
      <c r="H1378">
        <f>[1]资金台帐!H1378&amp;""</f>
      </c>
      <c r="J1378">
        <f>[1]资金台帐!J1378&amp;""</f>
      </c>
      <c r="N1378">
        <f>[1]资金台帐!N1378</f>
      </c>
      <c r="O1378">
        <f>[1]资金台帐!O1378&amp;""</f>
      </c>
      <c r="P1378">
        <f>[1]资金台帐!P1378&amp;""</f>
      </c>
      <c r="Q1378">
        <f>[1]资金台帐!Q1378&amp;""</f>
      </c>
      <c r="T1378">
        <f>[1]资金台帐!T1378&amp;""</f>
      </c>
      <c r="U1378">
        <f>[1]资金台帐!U1378&amp;""</f>
      </c>
      <c r="W1378">
        <f>[1]资金台帐!W1378&amp;""</f>
      </c>
      <c r="X1378">
        <f>[1]资金台帐!X1378&amp;""</f>
      </c>
      <c r="AB1378">
        <f>[1]资金台帐!AB1378</f>
        <v>0</v>
      </c>
      <c r="AC1378">
        <f>[1]资金台帐!AC1378</f>
        <v>0</v>
      </c>
      <c r="AD1378">
        <f>[1]资金台帐!AD1378</f>
        <v>0</v>
      </c>
      <c r="AJ1378">
        <f>[1]资金台帐!AJ1378</f>
        <v>0</v>
      </c>
      <c r="AK1378">
        <f>[1]资金台帐!AK1378</f>
        <v>0</v>
      </c>
      <c r="BA1378" s="22">
        <f t="shared" si="0"/>
      </c>
      <c r="BG1378" s="22">
        <f t="shared" si="1"/>
      </c>
      <c r="BH1378" s="22">
        <f t="shared" si="2"/>
        <v>0</v>
      </c>
    </row>
    <row r="1379">
      <c r="B1379">
        <f>[1]资金台帐!B1379&amp;""</f>
      </c>
      <c r="H1379">
        <f>[1]资金台帐!H1379&amp;""</f>
      </c>
      <c r="J1379">
        <f>[1]资金台帐!J1379&amp;""</f>
      </c>
      <c r="N1379">
        <f>[1]资金台帐!N1379</f>
      </c>
      <c r="O1379">
        <f>[1]资金台帐!O1379&amp;""</f>
      </c>
      <c r="P1379">
        <f>[1]资金台帐!P1379&amp;""</f>
      </c>
      <c r="Q1379">
        <f>[1]资金台帐!Q1379&amp;""</f>
      </c>
      <c r="T1379">
        <f>[1]资金台帐!T1379&amp;""</f>
      </c>
      <c r="U1379">
        <f>[1]资金台帐!U1379&amp;""</f>
      </c>
      <c r="W1379">
        <f>[1]资金台帐!W1379&amp;""</f>
      </c>
      <c r="X1379">
        <f>[1]资金台帐!X1379&amp;""</f>
      </c>
      <c r="AB1379">
        <f>[1]资金台帐!AB1379</f>
        <v>0</v>
      </c>
      <c r="AC1379">
        <f>[1]资金台帐!AC1379</f>
        <v>0</v>
      </c>
      <c r="AD1379">
        <f>[1]资金台帐!AD1379</f>
        <v>0</v>
      </c>
      <c r="AJ1379">
        <f>[1]资金台帐!AJ1379</f>
        <v>0</v>
      </c>
      <c r="AK1379">
        <f>[1]资金台帐!AK1379</f>
        <v>0</v>
      </c>
      <c r="BA1379" s="22">
        <f t="shared" si="0"/>
      </c>
      <c r="BG1379" s="22">
        <f t="shared" si="1"/>
      </c>
      <c r="BH1379" s="22">
        <f t="shared" si="2"/>
        <v>0</v>
      </c>
    </row>
    <row r="1380">
      <c r="B1380">
        <f>[1]资金台帐!B1380&amp;""</f>
      </c>
      <c r="H1380">
        <f>[1]资金台帐!H1380&amp;""</f>
      </c>
      <c r="J1380">
        <f>[1]资金台帐!J1380&amp;""</f>
      </c>
      <c r="N1380">
        <f>[1]资金台帐!N1380</f>
      </c>
      <c r="O1380">
        <f>[1]资金台帐!O1380&amp;""</f>
      </c>
      <c r="P1380">
        <f>[1]资金台帐!P1380&amp;""</f>
      </c>
      <c r="Q1380">
        <f>[1]资金台帐!Q1380&amp;""</f>
      </c>
      <c r="T1380">
        <f>[1]资金台帐!T1380&amp;""</f>
      </c>
      <c r="U1380">
        <f>[1]资金台帐!U1380&amp;""</f>
      </c>
      <c r="W1380">
        <f>[1]资金台帐!W1380&amp;""</f>
      </c>
      <c r="X1380">
        <f>[1]资金台帐!X1380&amp;""</f>
      </c>
      <c r="AB1380">
        <f>[1]资金台帐!AB1380</f>
        <v>0</v>
      </c>
      <c r="AC1380">
        <f>[1]资金台帐!AC1380</f>
        <v>0</v>
      </c>
      <c r="AD1380">
        <f>[1]资金台帐!AD1380</f>
        <v>0</v>
      </c>
      <c r="AJ1380">
        <f>[1]资金台帐!AJ1380</f>
        <v>0</v>
      </c>
      <c r="AK1380">
        <f>[1]资金台帐!AK1380</f>
        <v>0</v>
      </c>
      <c r="BA1380" s="22">
        <f t="shared" si="0"/>
      </c>
      <c r="BG1380" s="22">
        <f t="shared" si="1"/>
      </c>
      <c r="BH1380" s="22">
        <f t="shared" si="2"/>
        <v>0</v>
      </c>
    </row>
    <row r="1381">
      <c r="B1381">
        <f>[1]资金台帐!B1381&amp;""</f>
      </c>
      <c r="H1381">
        <f>[1]资金台帐!H1381&amp;""</f>
      </c>
      <c r="J1381">
        <f>[1]资金台帐!J1381&amp;""</f>
      </c>
      <c r="N1381">
        <f>[1]资金台帐!N1381</f>
      </c>
      <c r="O1381">
        <f>[1]资金台帐!O1381&amp;""</f>
      </c>
      <c r="P1381">
        <f>[1]资金台帐!P1381&amp;""</f>
      </c>
      <c r="Q1381">
        <f>[1]资金台帐!Q1381&amp;""</f>
      </c>
      <c r="T1381">
        <f>[1]资金台帐!T1381&amp;""</f>
      </c>
      <c r="U1381">
        <f>[1]资金台帐!U1381&amp;""</f>
      </c>
      <c r="W1381">
        <f>[1]资金台帐!W1381&amp;""</f>
      </c>
      <c r="X1381">
        <f>[1]资金台帐!X1381&amp;""</f>
      </c>
      <c r="AB1381">
        <f>[1]资金台帐!AB1381</f>
        <v>0</v>
      </c>
      <c r="AC1381">
        <f>[1]资金台帐!AC1381</f>
        <v>0</v>
      </c>
      <c r="AD1381">
        <f>[1]资金台帐!AD1381</f>
        <v>0</v>
      </c>
      <c r="AJ1381">
        <f>[1]资金台帐!AJ1381</f>
        <v>0</v>
      </c>
      <c r="AK1381">
        <f>[1]资金台帐!AK1381</f>
        <v>0</v>
      </c>
      <c r="BA1381" s="22">
        <f t="shared" si="0"/>
      </c>
      <c r="BG1381" s="22">
        <f t="shared" si="1"/>
      </c>
      <c r="BH1381" s="22">
        <f t="shared" si="2"/>
        <v>0</v>
      </c>
    </row>
    <row r="1382">
      <c r="B1382">
        <f>[1]资金台帐!B1382&amp;""</f>
      </c>
      <c r="H1382">
        <f>[1]资金台帐!H1382&amp;""</f>
      </c>
      <c r="J1382">
        <f>[1]资金台帐!J1382&amp;""</f>
      </c>
      <c r="N1382">
        <f>[1]资金台帐!N1382</f>
      </c>
      <c r="O1382">
        <f>[1]资金台帐!O1382&amp;""</f>
      </c>
      <c r="P1382">
        <f>[1]资金台帐!P1382&amp;""</f>
      </c>
      <c r="Q1382">
        <f>[1]资金台帐!Q1382&amp;""</f>
      </c>
      <c r="T1382">
        <f>[1]资金台帐!T1382&amp;""</f>
      </c>
      <c r="U1382">
        <f>[1]资金台帐!U1382&amp;""</f>
      </c>
      <c r="W1382">
        <f>[1]资金台帐!W1382&amp;""</f>
      </c>
      <c r="X1382">
        <f>[1]资金台帐!X1382&amp;""</f>
      </c>
      <c r="AB1382">
        <f>[1]资金台帐!AB1382</f>
        <v>0</v>
      </c>
      <c r="AC1382">
        <f>[1]资金台帐!AC1382</f>
        <v>0</v>
      </c>
      <c r="AD1382">
        <f>[1]资金台帐!AD1382</f>
        <v>0</v>
      </c>
      <c r="AJ1382">
        <f>[1]资金台帐!AJ1382</f>
        <v>0</v>
      </c>
      <c r="AK1382">
        <f>[1]资金台帐!AK1382</f>
        <v>0</v>
      </c>
      <c r="BA1382" s="22">
        <f t="shared" si="0"/>
      </c>
      <c r="BG1382" s="22">
        <f t="shared" si="1"/>
      </c>
      <c r="BH1382" s="22">
        <f t="shared" si="2"/>
        <v>0</v>
      </c>
    </row>
    <row r="1383">
      <c r="B1383">
        <f>[1]资金台帐!B1383&amp;""</f>
      </c>
      <c r="H1383">
        <f>[1]资金台帐!H1383&amp;""</f>
      </c>
      <c r="J1383">
        <f>[1]资金台帐!J1383&amp;""</f>
      </c>
      <c r="N1383">
        <f>[1]资金台帐!N1383</f>
      </c>
      <c r="O1383">
        <f>[1]资金台帐!O1383&amp;""</f>
      </c>
      <c r="P1383">
        <f>[1]资金台帐!P1383&amp;""</f>
      </c>
      <c r="Q1383">
        <f>[1]资金台帐!Q1383&amp;""</f>
      </c>
      <c r="T1383">
        <f>[1]资金台帐!T1383&amp;""</f>
      </c>
      <c r="U1383">
        <f>[1]资金台帐!U1383&amp;""</f>
      </c>
      <c r="W1383">
        <f>[1]资金台帐!W1383&amp;""</f>
      </c>
      <c r="X1383">
        <f>[1]资金台帐!X1383&amp;""</f>
      </c>
      <c r="AB1383">
        <f>[1]资金台帐!AB1383</f>
        <v>0</v>
      </c>
      <c r="AC1383">
        <f>[1]资金台帐!AC1383</f>
        <v>0</v>
      </c>
      <c r="AD1383">
        <f>[1]资金台帐!AD1383</f>
        <v>0</v>
      </c>
      <c r="AJ1383">
        <f>[1]资金台帐!AJ1383</f>
        <v>0</v>
      </c>
      <c r="AK1383">
        <f>[1]资金台帐!AK1383</f>
        <v>0</v>
      </c>
      <c r="BA1383" s="22">
        <f t="shared" si="0"/>
      </c>
      <c r="BG1383" s="22">
        <f t="shared" si="1"/>
      </c>
      <c r="BH1383" s="22">
        <f t="shared" si="2"/>
        <v>0</v>
      </c>
    </row>
    <row r="1384">
      <c r="B1384">
        <f>[1]资金台帐!B1384&amp;""</f>
      </c>
      <c r="H1384">
        <f>[1]资金台帐!H1384&amp;""</f>
      </c>
      <c r="J1384">
        <f>[1]资金台帐!J1384&amp;""</f>
      </c>
      <c r="N1384">
        <f>[1]资金台帐!N1384</f>
      </c>
      <c r="O1384">
        <f>[1]资金台帐!O1384&amp;""</f>
      </c>
      <c r="P1384">
        <f>[1]资金台帐!P1384&amp;""</f>
      </c>
      <c r="Q1384">
        <f>[1]资金台帐!Q1384&amp;""</f>
      </c>
      <c r="T1384">
        <f>[1]资金台帐!T1384&amp;""</f>
      </c>
      <c r="U1384">
        <f>[1]资金台帐!U1384&amp;""</f>
      </c>
      <c r="W1384">
        <f>[1]资金台帐!W1384&amp;""</f>
      </c>
      <c r="X1384">
        <f>[1]资金台帐!X1384&amp;""</f>
      </c>
      <c r="AB1384">
        <f>[1]资金台帐!AB1384</f>
        <v>0</v>
      </c>
      <c r="AC1384">
        <f>[1]资金台帐!AC1384</f>
        <v>0</v>
      </c>
      <c r="AD1384">
        <f>[1]资金台帐!AD1384</f>
        <v>0</v>
      </c>
      <c r="AJ1384">
        <f>[1]资金台帐!AJ1384</f>
        <v>0</v>
      </c>
      <c r="AK1384">
        <f>[1]资金台帐!AK1384</f>
        <v>0</v>
      </c>
      <c r="BA1384" s="22">
        <f t="shared" si="0"/>
      </c>
      <c r="BG1384" s="22">
        <f t="shared" si="1"/>
      </c>
      <c r="BH1384" s="22">
        <f t="shared" si="2"/>
        <v>0</v>
      </c>
    </row>
    <row r="1385">
      <c r="B1385">
        <f>[1]资金台帐!B1385&amp;""</f>
      </c>
      <c r="H1385">
        <f>[1]资金台帐!H1385&amp;""</f>
      </c>
      <c r="J1385">
        <f>[1]资金台帐!J1385&amp;""</f>
      </c>
      <c r="N1385">
        <f>[1]资金台帐!N1385</f>
      </c>
      <c r="O1385">
        <f>[1]资金台帐!O1385&amp;""</f>
      </c>
      <c r="P1385">
        <f>[1]资金台帐!P1385&amp;""</f>
      </c>
      <c r="Q1385">
        <f>[1]资金台帐!Q1385&amp;""</f>
      </c>
      <c r="T1385">
        <f>[1]资金台帐!T1385&amp;""</f>
      </c>
      <c r="U1385">
        <f>[1]资金台帐!U1385&amp;""</f>
      </c>
      <c r="W1385">
        <f>[1]资金台帐!W1385&amp;""</f>
      </c>
      <c r="X1385">
        <f>[1]资金台帐!X1385&amp;""</f>
      </c>
      <c r="AB1385">
        <f>[1]资金台帐!AB1385</f>
        <v>0</v>
      </c>
      <c r="AC1385">
        <f>[1]资金台帐!AC1385</f>
        <v>0</v>
      </c>
      <c r="AD1385">
        <f>[1]资金台帐!AD1385</f>
        <v>0</v>
      </c>
      <c r="AJ1385">
        <f>[1]资金台帐!AJ1385</f>
        <v>0</v>
      </c>
      <c r="AK1385">
        <f>[1]资金台帐!AK1385</f>
        <v>0</v>
      </c>
      <c r="BA1385" s="22">
        <f t="shared" si="0"/>
      </c>
      <c r="BG1385" s="22">
        <f t="shared" si="1"/>
      </c>
      <c r="BH1385" s="22">
        <f t="shared" si="2"/>
        <v>0</v>
      </c>
    </row>
    <row r="1386">
      <c r="B1386">
        <f>[1]资金台帐!B1386&amp;""</f>
      </c>
      <c r="H1386">
        <f>[1]资金台帐!H1386&amp;""</f>
      </c>
      <c r="J1386">
        <f>[1]资金台帐!J1386&amp;""</f>
      </c>
      <c r="N1386">
        <f>[1]资金台帐!N1386</f>
      </c>
      <c r="O1386">
        <f>[1]资金台帐!O1386&amp;""</f>
      </c>
      <c r="P1386">
        <f>[1]资金台帐!P1386&amp;""</f>
      </c>
      <c r="Q1386">
        <f>[1]资金台帐!Q1386&amp;""</f>
      </c>
      <c r="T1386">
        <f>[1]资金台帐!T1386&amp;""</f>
      </c>
      <c r="U1386">
        <f>[1]资金台帐!U1386&amp;""</f>
      </c>
      <c r="W1386">
        <f>[1]资金台帐!W1386&amp;""</f>
      </c>
      <c r="X1386">
        <f>[1]资金台帐!X1386&amp;""</f>
      </c>
      <c r="AB1386">
        <f>[1]资金台帐!AB1386</f>
        <v>0</v>
      </c>
      <c r="AC1386">
        <f>[1]资金台帐!AC1386</f>
        <v>0</v>
      </c>
      <c r="AD1386">
        <f>[1]资金台帐!AD1386</f>
        <v>0</v>
      </c>
      <c r="AJ1386">
        <f>[1]资金台帐!AJ1386</f>
        <v>0</v>
      </c>
      <c r="AK1386">
        <f>[1]资金台帐!AK1386</f>
        <v>0</v>
      </c>
      <c r="BA1386" s="22">
        <f t="shared" si="0"/>
      </c>
      <c r="BG1386" s="22">
        <f t="shared" si="1"/>
      </c>
      <c r="BH1386" s="22">
        <f t="shared" si="2"/>
        <v>0</v>
      </c>
    </row>
    <row r="1387">
      <c r="B1387">
        <f>[1]资金台帐!B1387&amp;""</f>
      </c>
      <c r="H1387">
        <f>[1]资金台帐!H1387&amp;""</f>
      </c>
      <c r="J1387">
        <f>[1]资金台帐!J1387&amp;""</f>
      </c>
      <c r="N1387">
        <f>[1]资金台帐!N1387</f>
      </c>
      <c r="O1387">
        <f>[1]资金台帐!O1387&amp;""</f>
      </c>
      <c r="P1387">
        <f>[1]资金台帐!P1387&amp;""</f>
      </c>
      <c r="Q1387">
        <f>[1]资金台帐!Q1387&amp;""</f>
      </c>
      <c r="T1387">
        <f>[1]资金台帐!T1387&amp;""</f>
      </c>
      <c r="U1387">
        <f>[1]资金台帐!U1387&amp;""</f>
      </c>
      <c r="W1387">
        <f>[1]资金台帐!W1387&amp;""</f>
      </c>
      <c r="X1387">
        <f>[1]资金台帐!X1387&amp;""</f>
      </c>
      <c r="AB1387">
        <f>[1]资金台帐!AB1387</f>
        <v>0</v>
      </c>
      <c r="AC1387">
        <f>[1]资金台帐!AC1387</f>
        <v>0</v>
      </c>
      <c r="AD1387">
        <f>[1]资金台帐!AD1387</f>
        <v>0</v>
      </c>
      <c r="AJ1387">
        <f>[1]资金台帐!AJ1387</f>
        <v>0</v>
      </c>
      <c r="AK1387">
        <f>[1]资金台帐!AK1387</f>
        <v>0</v>
      </c>
      <c r="BA1387" s="22">
        <f t="shared" si="0"/>
      </c>
      <c r="BG1387" s="22">
        <f t="shared" si="1"/>
      </c>
      <c r="BH1387" s="22">
        <f t="shared" si="2"/>
        <v>0</v>
      </c>
    </row>
    <row r="1388">
      <c r="B1388">
        <f>[1]资金台帐!B1388&amp;""</f>
      </c>
      <c r="H1388">
        <f>[1]资金台帐!H1388&amp;""</f>
      </c>
      <c r="J1388">
        <f>[1]资金台帐!J1388&amp;""</f>
      </c>
      <c r="N1388">
        <f>[1]资金台帐!N1388</f>
      </c>
      <c r="O1388">
        <f>[1]资金台帐!O1388&amp;""</f>
      </c>
      <c r="P1388">
        <f>[1]资金台帐!P1388&amp;""</f>
      </c>
      <c r="Q1388">
        <f>[1]资金台帐!Q1388&amp;""</f>
      </c>
      <c r="T1388">
        <f>[1]资金台帐!T1388&amp;""</f>
      </c>
      <c r="U1388">
        <f>[1]资金台帐!U1388&amp;""</f>
      </c>
      <c r="W1388">
        <f>[1]资金台帐!W1388&amp;""</f>
      </c>
      <c r="X1388">
        <f>[1]资金台帐!X1388&amp;""</f>
      </c>
      <c r="AB1388">
        <f>[1]资金台帐!AB1388</f>
        <v>0</v>
      </c>
      <c r="AC1388">
        <f>[1]资金台帐!AC1388</f>
        <v>0</v>
      </c>
      <c r="AD1388">
        <f>[1]资金台帐!AD1388</f>
        <v>0</v>
      </c>
      <c r="AJ1388">
        <f>[1]资金台帐!AJ1388</f>
        <v>0</v>
      </c>
      <c r="AK1388">
        <f>[1]资金台帐!AK1388</f>
        <v>0</v>
      </c>
      <c r="BA1388" s="22">
        <f t="shared" si="0"/>
      </c>
      <c r="BG1388" s="22">
        <f t="shared" si="1"/>
      </c>
      <c r="BH1388" s="22">
        <f t="shared" si="2"/>
        <v>0</v>
      </c>
    </row>
    <row r="1389">
      <c r="B1389">
        <f>[1]资金台帐!B1389&amp;""</f>
      </c>
      <c r="H1389">
        <f>[1]资金台帐!H1389&amp;""</f>
      </c>
      <c r="J1389">
        <f>[1]资金台帐!J1389&amp;""</f>
      </c>
      <c r="N1389">
        <f>[1]资金台帐!N1389</f>
      </c>
      <c r="O1389">
        <f>[1]资金台帐!O1389&amp;""</f>
      </c>
      <c r="P1389">
        <f>[1]资金台帐!P1389&amp;""</f>
      </c>
      <c r="Q1389">
        <f>[1]资金台帐!Q1389&amp;""</f>
      </c>
      <c r="T1389">
        <f>[1]资金台帐!T1389&amp;""</f>
      </c>
      <c r="U1389">
        <f>[1]资金台帐!U1389&amp;""</f>
      </c>
      <c r="W1389">
        <f>[1]资金台帐!W1389&amp;""</f>
      </c>
      <c r="X1389">
        <f>[1]资金台帐!X1389&amp;""</f>
      </c>
      <c r="AB1389">
        <f>[1]资金台帐!AB1389</f>
        <v>0</v>
      </c>
      <c r="AC1389">
        <f>[1]资金台帐!AC1389</f>
        <v>0</v>
      </c>
      <c r="AD1389">
        <f>[1]资金台帐!AD1389</f>
        <v>0</v>
      </c>
      <c r="AJ1389">
        <f>[1]资金台帐!AJ1389</f>
        <v>0</v>
      </c>
      <c r="AK1389">
        <f>[1]资金台帐!AK1389</f>
        <v>0</v>
      </c>
      <c r="BA1389" s="22">
        <f t="shared" si="0"/>
      </c>
      <c r="BG1389" s="22">
        <f t="shared" si="1"/>
      </c>
      <c r="BH1389" s="22">
        <f t="shared" si="2"/>
        <v>0</v>
      </c>
    </row>
    <row r="1390">
      <c r="B1390">
        <f>[1]资金台帐!B1390&amp;""</f>
      </c>
      <c r="H1390">
        <f>[1]资金台帐!H1390&amp;""</f>
      </c>
      <c r="J1390">
        <f>[1]资金台帐!J1390&amp;""</f>
      </c>
      <c r="N1390">
        <f>[1]资金台帐!N1390</f>
      </c>
      <c r="O1390">
        <f>[1]资金台帐!O1390&amp;""</f>
      </c>
      <c r="P1390">
        <f>[1]资金台帐!P1390&amp;""</f>
      </c>
      <c r="Q1390">
        <f>[1]资金台帐!Q1390&amp;""</f>
      </c>
      <c r="T1390">
        <f>[1]资金台帐!T1390&amp;""</f>
      </c>
      <c r="U1390">
        <f>[1]资金台帐!U1390&amp;""</f>
      </c>
      <c r="W1390">
        <f>[1]资金台帐!W1390&amp;""</f>
      </c>
      <c r="X1390">
        <f>[1]资金台帐!X1390&amp;""</f>
      </c>
      <c r="AB1390">
        <f>[1]资金台帐!AB1390</f>
        <v>0</v>
      </c>
      <c r="AC1390">
        <f>[1]资金台帐!AC1390</f>
        <v>0</v>
      </c>
      <c r="AD1390">
        <f>[1]资金台帐!AD1390</f>
        <v>0</v>
      </c>
      <c r="AJ1390">
        <f>[1]资金台帐!AJ1390</f>
        <v>0</v>
      </c>
      <c r="AK1390">
        <f>[1]资金台帐!AK1390</f>
        <v>0</v>
      </c>
      <c r="BA1390" s="22">
        <f t="shared" si="0"/>
      </c>
      <c r="BG1390" s="22">
        <f t="shared" si="1"/>
      </c>
      <c r="BH1390" s="22">
        <f t="shared" si="2"/>
        <v>0</v>
      </c>
    </row>
    <row r="1391">
      <c r="B1391">
        <f>[1]资金台帐!B1391&amp;""</f>
      </c>
      <c r="H1391">
        <f>[1]资金台帐!H1391&amp;""</f>
      </c>
      <c r="J1391">
        <f>[1]资金台帐!J1391&amp;""</f>
      </c>
      <c r="N1391">
        <f>[1]资金台帐!N1391</f>
      </c>
      <c r="O1391">
        <f>[1]资金台帐!O1391&amp;""</f>
      </c>
      <c r="P1391">
        <f>[1]资金台帐!P1391&amp;""</f>
      </c>
      <c r="Q1391">
        <f>[1]资金台帐!Q1391&amp;""</f>
      </c>
      <c r="T1391">
        <f>[1]资金台帐!T1391&amp;""</f>
      </c>
      <c r="U1391">
        <f>[1]资金台帐!U1391&amp;""</f>
      </c>
      <c r="W1391">
        <f>[1]资金台帐!W1391&amp;""</f>
      </c>
      <c r="X1391">
        <f>[1]资金台帐!X1391&amp;""</f>
      </c>
      <c r="AB1391">
        <f>[1]资金台帐!AB1391</f>
        <v>0</v>
      </c>
      <c r="AC1391">
        <f>[1]资金台帐!AC1391</f>
        <v>0</v>
      </c>
      <c r="AD1391">
        <f>[1]资金台帐!AD1391</f>
        <v>0</v>
      </c>
      <c r="AJ1391">
        <f>[1]资金台帐!AJ1391</f>
        <v>0</v>
      </c>
      <c r="AK1391">
        <f>[1]资金台帐!AK1391</f>
        <v>0</v>
      </c>
      <c r="BA1391" s="22">
        <f t="shared" si="0"/>
      </c>
      <c r="BG1391" s="22">
        <f t="shared" si="1"/>
      </c>
      <c r="BH1391" s="22">
        <f t="shared" si="2"/>
        <v>0</v>
      </c>
    </row>
    <row r="1392">
      <c r="B1392">
        <f>[1]资金台帐!B1392&amp;""</f>
      </c>
      <c r="H1392">
        <f>[1]资金台帐!H1392&amp;""</f>
      </c>
      <c r="J1392">
        <f>[1]资金台帐!J1392&amp;""</f>
      </c>
      <c r="N1392">
        <f>[1]资金台帐!N1392</f>
      </c>
      <c r="O1392">
        <f>[1]资金台帐!O1392&amp;""</f>
      </c>
      <c r="P1392">
        <f>[1]资金台帐!P1392&amp;""</f>
      </c>
      <c r="Q1392">
        <f>[1]资金台帐!Q1392&amp;""</f>
      </c>
      <c r="T1392">
        <f>[1]资金台帐!T1392&amp;""</f>
      </c>
      <c r="U1392">
        <f>[1]资金台帐!U1392&amp;""</f>
      </c>
      <c r="W1392">
        <f>[1]资金台帐!W1392&amp;""</f>
      </c>
      <c r="X1392">
        <f>[1]资金台帐!X1392&amp;""</f>
      </c>
      <c r="AB1392">
        <f>[1]资金台帐!AB1392</f>
        <v>0</v>
      </c>
      <c r="AC1392">
        <f>[1]资金台帐!AC1392</f>
        <v>0</v>
      </c>
      <c r="AD1392">
        <f>[1]资金台帐!AD1392</f>
        <v>0</v>
      </c>
      <c r="AJ1392">
        <f>[1]资金台帐!AJ1392</f>
        <v>0</v>
      </c>
      <c r="AK1392">
        <f>[1]资金台帐!AK1392</f>
        <v>0</v>
      </c>
      <c r="BA1392" s="22">
        <f t="shared" si="0"/>
      </c>
      <c r="BG1392" s="22">
        <f t="shared" si="1"/>
      </c>
      <c r="BH1392" s="22">
        <f t="shared" si="2"/>
        <v>0</v>
      </c>
    </row>
    <row r="1393">
      <c r="B1393">
        <f>[1]资金台帐!B1393&amp;""</f>
      </c>
      <c r="H1393">
        <f>[1]资金台帐!H1393&amp;""</f>
      </c>
      <c r="J1393">
        <f>[1]资金台帐!J1393&amp;""</f>
      </c>
      <c r="N1393">
        <f>[1]资金台帐!N1393</f>
      </c>
      <c r="O1393">
        <f>[1]资金台帐!O1393&amp;""</f>
      </c>
      <c r="P1393">
        <f>[1]资金台帐!P1393&amp;""</f>
      </c>
      <c r="Q1393">
        <f>[1]资金台帐!Q1393&amp;""</f>
      </c>
      <c r="T1393">
        <f>[1]资金台帐!T1393&amp;""</f>
      </c>
      <c r="U1393">
        <f>[1]资金台帐!U1393&amp;""</f>
      </c>
      <c r="W1393">
        <f>[1]资金台帐!W1393&amp;""</f>
      </c>
      <c r="X1393">
        <f>[1]资金台帐!X1393&amp;""</f>
      </c>
      <c r="AB1393">
        <f>[1]资金台帐!AB1393</f>
        <v>0</v>
      </c>
      <c r="AC1393">
        <f>[1]资金台帐!AC1393</f>
        <v>0</v>
      </c>
      <c r="AD1393">
        <f>[1]资金台帐!AD1393</f>
        <v>0</v>
      </c>
      <c r="AJ1393">
        <f>[1]资金台帐!AJ1393</f>
        <v>0</v>
      </c>
      <c r="AK1393">
        <f>[1]资金台帐!AK1393</f>
        <v>0</v>
      </c>
      <c r="BA1393" s="22">
        <f t="shared" si="0"/>
      </c>
      <c r="BG1393" s="22">
        <f t="shared" si="1"/>
      </c>
      <c r="BH1393" s="22">
        <f t="shared" si="2"/>
        <v>0</v>
      </c>
    </row>
    <row r="1394">
      <c r="B1394">
        <f>[1]资金台帐!B1394&amp;""</f>
      </c>
      <c r="H1394">
        <f>[1]资金台帐!H1394&amp;""</f>
      </c>
      <c r="J1394">
        <f>[1]资金台帐!J1394&amp;""</f>
      </c>
      <c r="N1394">
        <f>[1]资金台帐!N1394</f>
      </c>
      <c r="O1394">
        <f>[1]资金台帐!O1394&amp;""</f>
      </c>
      <c r="P1394">
        <f>[1]资金台帐!P1394&amp;""</f>
      </c>
      <c r="Q1394">
        <f>[1]资金台帐!Q1394&amp;""</f>
      </c>
      <c r="T1394">
        <f>[1]资金台帐!T1394&amp;""</f>
      </c>
      <c r="U1394">
        <f>[1]资金台帐!U1394&amp;""</f>
      </c>
      <c r="W1394">
        <f>[1]资金台帐!W1394&amp;""</f>
      </c>
      <c r="X1394">
        <f>[1]资金台帐!X1394&amp;""</f>
      </c>
      <c r="AB1394">
        <f>[1]资金台帐!AB1394</f>
        <v>0</v>
      </c>
      <c r="AC1394">
        <f>[1]资金台帐!AC1394</f>
        <v>0</v>
      </c>
      <c r="AD1394">
        <f>[1]资金台帐!AD1394</f>
        <v>0</v>
      </c>
      <c r="AJ1394">
        <f>[1]资金台帐!AJ1394</f>
        <v>0</v>
      </c>
      <c r="AK1394">
        <f>[1]资金台帐!AK1394</f>
        <v>0</v>
      </c>
      <c r="BA1394" s="22">
        <f t="shared" si="0"/>
      </c>
      <c r="BG1394" s="22">
        <f t="shared" si="1"/>
      </c>
      <c r="BH1394" s="22">
        <f t="shared" si="2"/>
        <v>0</v>
      </c>
    </row>
    <row r="1395">
      <c r="B1395">
        <f>[1]资金台帐!B1395&amp;""</f>
      </c>
      <c r="H1395">
        <f>[1]资金台帐!H1395&amp;""</f>
      </c>
      <c r="J1395">
        <f>[1]资金台帐!J1395&amp;""</f>
      </c>
      <c r="N1395">
        <f>[1]资金台帐!N1395</f>
      </c>
      <c r="O1395">
        <f>[1]资金台帐!O1395&amp;""</f>
      </c>
      <c r="P1395">
        <f>[1]资金台帐!P1395&amp;""</f>
      </c>
      <c r="Q1395">
        <f>[1]资金台帐!Q1395&amp;""</f>
      </c>
      <c r="T1395">
        <f>[1]资金台帐!T1395&amp;""</f>
      </c>
      <c r="U1395">
        <f>[1]资金台帐!U1395&amp;""</f>
      </c>
      <c r="W1395">
        <f>[1]资金台帐!W1395&amp;""</f>
      </c>
      <c r="X1395">
        <f>[1]资金台帐!X1395&amp;""</f>
      </c>
      <c r="AB1395">
        <f>[1]资金台帐!AB1395</f>
        <v>0</v>
      </c>
      <c r="AC1395">
        <f>[1]资金台帐!AC1395</f>
        <v>0</v>
      </c>
      <c r="AD1395">
        <f>[1]资金台帐!AD1395</f>
        <v>0</v>
      </c>
      <c r="AJ1395">
        <f>[1]资金台帐!AJ1395</f>
        <v>0</v>
      </c>
      <c r="AK1395">
        <f>[1]资金台帐!AK1395</f>
        <v>0</v>
      </c>
      <c r="BA1395" s="22">
        <f t="shared" si="0"/>
      </c>
      <c r="BG1395" s="22">
        <f t="shared" si="1"/>
      </c>
      <c r="BH1395" s="22">
        <f t="shared" si="2"/>
        <v>0</v>
      </c>
    </row>
    <row r="1396">
      <c r="B1396">
        <f>[1]资金台帐!B1396&amp;""</f>
      </c>
      <c r="H1396">
        <f>[1]资金台帐!H1396&amp;""</f>
      </c>
      <c r="J1396">
        <f>[1]资金台帐!J1396&amp;""</f>
      </c>
      <c r="N1396">
        <f>[1]资金台帐!N1396</f>
      </c>
      <c r="O1396">
        <f>[1]资金台帐!O1396&amp;""</f>
      </c>
      <c r="P1396">
        <f>[1]资金台帐!P1396&amp;""</f>
      </c>
      <c r="Q1396">
        <f>[1]资金台帐!Q1396&amp;""</f>
      </c>
      <c r="T1396">
        <f>[1]资金台帐!T1396&amp;""</f>
      </c>
      <c r="U1396">
        <f>[1]资金台帐!U1396&amp;""</f>
      </c>
      <c r="W1396">
        <f>[1]资金台帐!W1396&amp;""</f>
      </c>
      <c r="X1396">
        <f>[1]资金台帐!X1396&amp;""</f>
      </c>
      <c r="AB1396">
        <f>[1]资金台帐!AB1396</f>
        <v>0</v>
      </c>
      <c r="AC1396">
        <f>[1]资金台帐!AC1396</f>
        <v>0</v>
      </c>
      <c r="AD1396">
        <f>[1]资金台帐!AD1396</f>
        <v>0</v>
      </c>
      <c r="AJ1396">
        <f>[1]资金台帐!AJ1396</f>
        <v>0</v>
      </c>
      <c r="AK1396">
        <f>[1]资金台帐!AK1396</f>
        <v>0</v>
      </c>
      <c r="BA1396" s="22">
        <f t="shared" si="0"/>
      </c>
      <c r="BG1396" s="22">
        <f t="shared" si="1"/>
      </c>
      <c r="BH1396" s="22">
        <f t="shared" si="2"/>
        <v>0</v>
      </c>
    </row>
    <row r="1397">
      <c r="B1397">
        <f>[1]资金台帐!B1397&amp;""</f>
      </c>
      <c r="H1397">
        <f>[1]资金台帐!H1397&amp;""</f>
      </c>
      <c r="J1397">
        <f>[1]资金台帐!J1397&amp;""</f>
      </c>
      <c r="N1397">
        <f>[1]资金台帐!N1397</f>
      </c>
      <c r="O1397">
        <f>[1]资金台帐!O1397&amp;""</f>
      </c>
      <c r="P1397">
        <f>[1]资金台帐!P1397&amp;""</f>
      </c>
      <c r="Q1397">
        <f>[1]资金台帐!Q1397&amp;""</f>
      </c>
      <c r="T1397">
        <f>[1]资金台帐!T1397&amp;""</f>
      </c>
      <c r="U1397">
        <f>[1]资金台帐!U1397&amp;""</f>
      </c>
      <c r="W1397">
        <f>[1]资金台帐!W1397&amp;""</f>
      </c>
      <c r="X1397">
        <f>[1]资金台帐!X1397&amp;""</f>
      </c>
      <c r="AB1397">
        <f>[1]资金台帐!AB1397</f>
        <v>0</v>
      </c>
      <c r="AC1397">
        <f>[1]资金台帐!AC1397</f>
        <v>0</v>
      </c>
      <c r="AD1397">
        <f>[1]资金台帐!AD1397</f>
        <v>0</v>
      </c>
      <c r="AJ1397">
        <f>[1]资金台帐!AJ1397</f>
        <v>0</v>
      </c>
      <c r="AK1397">
        <f>[1]资金台帐!AK1397</f>
        <v>0</v>
      </c>
      <c r="BA1397" s="22">
        <f t="shared" si="0"/>
      </c>
      <c r="BG1397" s="22">
        <f t="shared" si="1"/>
      </c>
      <c r="BH1397" s="22">
        <f t="shared" si="2"/>
        <v>0</v>
      </c>
    </row>
    <row r="1398">
      <c r="B1398">
        <f>[1]资金台帐!B1398&amp;""</f>
      </c>
      <c r="H1398">
        <f>[1]资金台帐!H1398&amp;""</f>
      </c>
      <c r="J1398">
        <f>[1]资金台帐!J1398&amp;""</f>
      </c>
      <c r="N1398">
        <f>[1]资金台帐!N1398</f>
      </c>
      <c r="O1398">
        <f>[1]资金台帐!O1398&amp;""</f>
      </c>
      <c r="P1398">
        <f>[1]资金台帐!P1398&amp;""</f>
      </c>
      <c r="Q1398">
        <f>[1]资金台帐!Q1398&amp;""</f>
      </c>
      <c r="T1398">
        <f>[1]资金台帐!T1398&amp;""</f>
      </c>
      <c r="U1398">
        <f>[1]资金台帐!U1398&amp;""</f>
      </c>
      <c r="W1398">
        <f>[1]资金台帐!W1398&amp;""</f>
      </c>
      <c r="X1398">
        <f>[1]资金台帐!X1398&amp;""</f>
      </c>
      <c r="AB1398">
        <f>[1]资金台帐!AB1398</f>
        <v>0</v>
      </c>
      <c r="AC1398">
        <f>[1]资金台帐!AC1398</f>
        <v>0</v>
      </c>
      <c r="AD1398">
        <f>[1]资金台帐!AD1398</f>
        <v>0</v>
      </c>
      <c r="AJ1398">
        <f>[1]资金台帐!AJ1398</f>
        <v>0</v>
      </c>
      <c r="AK1398">
        <f>[1]资金台帐!AK1398</f>
        <v>0</v>
      </c>
      <c r="BA1398" s="22">
        <f t="shared" si="0"/>
      </c>
      <c r="BG1398" s="22">
        <f t="shared" si="1"/>
      </c>
      <c r="BH1398" s="22">
        <f t="shared" si="2"/>
        <v>0</v>
      </c>
    </row>
    <row r="1399">
      <c r="B1399">
        <f>[1]资金台帐!B1399&amp;""</f>
      </c>
      <c r="H1399">
        <f>[1]资金台帐!H1399&amp;""</f>
      </c>
      <c r="J1399">
        <f>[1]资金台帐!J1399&amp;""</f>
      </c>
      <c r="N1399">
        <f>[1]资金台帐!N1399</f>
      </c>
      <c r="O1399">
        <f>[1]资金台帐!O1399&amp;""</f>
      </c>
      <c r="P1399">
        <f>[1]资金台帐!P1399&amp;""</f>
      </c>
      <c r="Q1399">
        <f>[1]资金台帐!Q1399&amp;""</f>
      </c>
      <c r="T1399">
        <f>[1]资金台帐!T1399&amp;""</f>
      </c>
      <c r="U1399">
        <f>[1]资金台帐!U1399&amp;""</f>
      </c>
      <c r="W1399">
        <f>[1]资金台帐!W1399&amp;""</f>
      </c>
      <c r="X1399">
        <f>[1]资金台帐!X1399&amp;""</f>
      </c>
      <c r="AB1399">
        <f>[1]资金台帐!AB1399</f>
        <v>0</v>
      </c>
      <c r="AC1399">
        <f>[1]资金台帐!AC1399</f>
        <v>0</v>
      </c>
      <c r="AD1399">
        <f>[1]资金台帐!AD1399</f>
        <v>0</v>
      </c>
      <c r="AJ1399">
        <f>[1]资金台帐!AJ1399</f>
        <v>0</v>
      </c>
      <c r="AK1399">
        <f>[1]资金台帐!AK1399</f>
        <v>0</v>
      </c>
      <c r="BA1399" s="22">
        <f t="shared" si="0"/>
      </c>
      <c r="BG1399" s="22">
        <f t="shared" si="1"/>
      </c>
      <c r="BH1399" s="22">
        <f t="shared" si="2"/>
        <v>0</v>
      </c>
    </row>
    <row r="1400">
      <c r="B1400">
        <f>[1]资金台帐!B1400&amp;""</f>
      </c>
      <c r="H1400">
        <f>[1]资金台帐!H1400&amp;""</f>
      </c>
      <c r="J1400">
        <f>[1]资金台帐!J1400&amp;""</f>
      </c>
      <c r="N1400">
        <f>[1]资金台帐!N1400</f>
      </c>
      <c r="O1400">
        <f>[1]资金台帐!O1400&amp;""</f>
      </c>
      <c r="P1400">
        <f>[1]资金台帐!P1400&amp;""</f>
      </c>
      <c r="Q1400">
        <f>[1]资金台帐!Q1400&amp;""</f>
      </c>
      <c r="T1400">
        <f>[1]资金台帐!T1400&amp;""</f>
      </c>
      <c r="U1400">
        <f>[1]资金台帐!U1400&amp;""</f>
      </c>
      <c r="W1400">
        <f>[1]资金台帐!W1400&amp;""</f>
      </c>
      <c r="X1400">
        <f>[1]资金台帐!X1400&amp;""</f>
      </c>
      <c r="AB1400">
        <f>[1]资金台帐!AB1400</f>
        <v>0</v>
      </c>
      <c r="AC1400">
        <f>[1]资金台帐!AC1400</f>
        <v>0</v>
      </c>
      <c r="AD1400">
        <f>[1]资金台帐!AD1400</f>
        <v>0</v>
      </c>
      <c r="AJ1400">
        <f>[1]资金台帐!AJ1400</f>
        <v>0</v>
      </c>
      <c r="AK1400">
        <f>[1]资金台帐!AK1400</f>
        <v>0</v>
      </c>
      <c r="BA1400" s="22">
        <f t="shared" si="0"/>
      </c>
      <c r="BG1400" s="22">
        <f t="shared" si="1"/>
      </c>
      <c r="BH1400" s="22">
        <f t="shared" si="2"/>
        <v>0</v>
      </c>
    </row>
    <row r="1401">
      <c r="B1401">
        <f>[1]资金台帐!B1401&amp;""</f>
      </c>
      <c r="H1401">
        <f>[1]资金台帐!H1401&amp;""</f>
      </c>
      <c r="J1401">
        <f>[1]资金台帐!J1401&amp;""</f>
      </c>
      <c r="N1401">
        <f>[1]资金台帐!N1401</f>
      </c>
      <c r="O1401">
        <f>[1]资金台帐!O1401&amp;""</f>
      </c>
      <c r="P1401">
        <f>[1]资金台帐!P1401&amp;""</f>
      </c>
      <c r="Q1401">
        <f>[1]资金台帐!Q1401&amp;""</f>
      </c>
      <c r="T1401">
        <f>[1]资金台帐!T1401&amp;""</f>
      </c>
      <c r="U1401">
        <f>[1]资金台帐!U1401&amp;""</f>
      </c>
      <c r="W1401">
        <f>[1]资金台帐!W1401&amp;""</f>
      </c>
      <c r="X1401">
        <f>[1]资金台帐!X1401&amp;""</f>
      </c>
      <c r="AB1401">
        <f>[1]资金台帐!AB1401</f>
        <v>0</v>
      </c>
      <c r="AC1401">
        <f>[1]资金台帐!AC1401</f>
        <v>0</v>
      </c>
      <c r="AD1401">
        <f>[1]资金台帐!AD1401</f>
        <v>0</v>
      </c>
      <c r="AJ1401">
        <f>[1]资金台帐!AJ1401</f>
        <v>0</v>
      </c>
      <c r="AK1401">
        <f>[1]资金台帐!AK1401</f>
        <v>0</v>
      </c>
      <c r="BA1401" s="22">
        <f t="shared" si="0"/>
      </c>
      <c r="BG1401" s="22">
        <f t="shared" si="1"/>
      </c>
      <c r="BH1401" s="22">
        <f t="shared" si="2"/>
        <v>0</v>
      </c>
    </row>
    <row r="1402">
      <c r="B1402">
        <f>[1]资金台帐!B1402&amp;""</f>
      </c>
      <c r="H1402">
        <f>[1]资金台帐!H1402&amp;""</f>
      </c>
      <c r="J1402">
        <f>[1]资金台帐!J1402&amp;""</f>
      </c>
      <c r="N1402">
        <f>[1]资金台帐!N1402</f>
      </c>
      <c r="O1402">
        <f>[1]资金台帐!O1402&amp;""</f>
      </c>
      <c r="P1402">
        <f>[1]资金台帐!P1402&amp;""</f>
      </c>
      <c r="Q1402">
        <f>[1]资金台帐!Q1402&amp;""</f>
      </c>
      <c r="T1402">
        <f>[1]资金台帐!T1402&amp;""</f>
      </c>
      <c r="U1402">
        <f>[1]资金台帐!U1402&amp;""</f>
      </c>
      <c r="W1402">
        <f>[1]资金台帐!W1402&amp;""</f>
      </c>
      <c r="X1402">
        <f>[1]资金台帐!X1402&amp;""</f>
      </c>
      <c r="AB1402">
        <f>[1]资金台帐!AB1402</f>
        <v>0</v>
      </c>
      <c r="AC1402">
        <f>[1]资金台帐!AC1402</f>
        <v>0</v>
      </c>
      <c r="AD1402">
        <f>[1]资金台帐!AD1402</f>
        <v>0</v>
      </c>
      <c r="AJ1402">
        <f>[1]资金台帐!AJ1402</f>
        <v>0</v>
      </c>
      <c r="AK1402">
        <f>[1]资金台帐!AK1402</f>
        <v>0</v>
      </c>
      <c r="BA1402" s="22">
        <f t="shared" si="0"/>
      </c>
      <c r="BG1402" s="22">
        <f t="shared" si="1"/>
      </c>
      <c r="BH1402" s="22">
        <f t="shared" si="2"/>
        <v>0</v>
      </c>
    </row>
    <row r="1403">
      <c r="B1403">
        <f>[1]资金台帐!B1403&amp;""</f>
      </c>
      <c r="H1403">
        <f>[1]资金台帐!H1403&amp;""</f>
      </c>
      <c r="J1403">
        <f>[1]资金台帐!J1403&amp;""</f>
      </c>
      <c r="N1403">
        <f>[1]资金台帐!N1403</f>
      </c>
      <c r="O1403">
        <f>[1]资金台帐!O1403&amp;""</f>
      </c>
      <c r="P1403">
        <f>[1]资金台帐!P1403&amp;""</f>
      </c>
      <c r="Q1403">
        <f>[1]资金台帐!Q1403&amp;""</f>
      </c>
      <c r="T1403">
        <f>[1]资金台帐!T1403&amp;""</f>
      </c>
      <c r="U1403">
        <f>[1]资金台帐!U1403&amp;""</f>
      </c>
      <c r="W1403">
        <f>[1]资金台帐!W1403&amp;""</f>
      </c>
      <c r="X1403">
        <f>[1]资金台帐!X1403&amp;""</f>
      </c>
      <c r="AB1403">
        <f>[1]资金台帐!AB1403</f>
        <v>0</v>
      </c>
      <c r="AC1403">
        <f>[1]资金台帐!AC1403</f>
        <v>0</v>
      </c>
      <c r="AD1403">
        <f>[1]资金台帐!AD1403</f>
        <v>0</v>
      </c>
      <c r="AJ1403">
        <f>[1]资金台帐!AJ1403</f>
        <v>0</v>
      </c>
      <c r="AK1403">
        <f>[1]资金台帐!AK1403</f>
        <v>0</v>
      </c>
      <c r="BA1403" s="22">
        <f t="shared" si="0"/>
      </c>
      <c r="BG1403" s="22">
        <f t="shared" si="1"/>
      </c>
      <c r="BH1403" s="22">
        <f t="shared" si="2"/>
        <v>0</v>
      </c>
    </row>
    <row r="1404">
      <c r="B1404">
        <f>[1]资金台帐!B1404&amp;""</f>
      </c>
      <c r="H1404">
        <f>[1]资金台帐!H1404&amp;""</f>
      </c>
      <c r="J1404">
        <f>[1]资金台帐!J1404&amp;""</f>
      </c>
      <c r="N1404">
        <f>[1]资金台帐!N1404</f>
      </c>
      <c r="O1404">
        <f>[1]资金台帐!O1404&amp;""</f>
      </c>
      <c r="P1404">
        <f>[1]资金台帐!P1404&amp;""</f>
      </c>
      <c r="Q1404">
        <f>[1]资金台帐!Q1404&amp;""</f>
      </c>
      <c r="T1404">
        <f>[1]资金台帐!T1404&amp;""</f>
      </c>
      <c r="U1404">
        <f>[1]资金台帐!U1404&amp;""</f>
      </c>
      <c r="W1404">
        <f>[1]资金台帐!W1404&amp;""</f>
      </c>
      <c r="X1404">
        <f>[1]资金台帐!X1404&amp;""</f>
      </c>
      <c r="AB1404">
        <f>[1]资金台帐!AB1404</f>
        <v>0</v>
      </c>
      <c r="AC1404">
        <f>[1]资金台帐!AC1404</f>
        <v>0</v>
      </c>
      <c r="AD1404">
        <f>[1]资金台帐!AD1404</f>
        <v>0</v>
      </c>
      <c r="AJ1404">
        <f>[1]资金台帐!AJ1404</f>
        <v>0</v>
      </c>
      <c r="AK1404">
        <f>[1]资金台帐!AK1404</f>
        <v>0</v>
      </c>
      <c r="BA1404" s="22">
        <f t="shared" si="0"/>
      </c>
      <c r="BG1404" s="22">
        <f t="shared" si="1"/>
      </c>
      <c r="BH1404" s="22">
        <f t="shared" si="2"/>
        <v>0</v>
      </c>
    </row>
    <row r="1405">
      <c r="B1405">
        <f>[1]资金台帐!B1405&amp;""</f>
      </c>
      <c r="H1405">
        <f>[1]资金台帐!H1405&amp;""</f>
      </c>
      <c r="J1405">
        <f>[1]资金台帐!J1405&amp;""</f>
      </c>
      <c r="N1405">
        <f>[1]资金台帐!N1405</f>
      </c>
      <c r="O1405">
        <f>[1]资金台帐!O1405&amp;""</f>
      </c>
      <c r="P1405">
        <f>[1]资金台帐!P1405&amp;""</f>
      </c>
      <c r="Q1405">
        <f>[1]资金台帐!Q1405&amp;""</f>
      </c>
      <c r="T1405">
        <f>[1]资金台帐!T1405&amp;""</f>
      </c>
      <c r="U1405">
        <f>[1]资金台帐!U1405&amp;""</f>
      </c>
      <c r="W1405">
        <f>[1]资金台帐!W1405&amp;""</f>
      </c>
      <c r="X1405">
        <f>[1]资金台帐!X1405&amp;""</f>
      </c>
      <c r="AB1405">
        <f>[1]资金台帐!AB1405</f>
        <v>0</v>
      </c>
      <c r="AC1405">
        <f>[1]资金台帐!AC1405</f>
        <v>0</v>
      </c>
      <c r="AD1405">
        <f>[1]资金台帐!AD1405</f>
        <v>0</v>
      </c>
      <c r="AJ1405">
        <f>[1]资金台帐!AJ1405</f>
        <v>0</v>
      </c>
      <c r="AK1405">
        <f>[1]资金台帐!AK1405</f>
        <v>0</v>
      </c>
      <c r="BA1405" s="22">
        <f t="shared" si="0"/>
      </c>
      <c r="BG1405" s="22">
        <f t="shared" si="1"/>
      </c>
      <c r="BH1405" s="22">
        <f t="shared" si="2"/>
        <v>0</v>
      </c>
    </row>
    <row r="1406">
      <c r="B1406">
        <f>[1]资金台帐!B1406&amp;""</f>
      </c>
      <c r="H1406">
        <f>[1]资金台帐!H1406&amp;""</f>
      </c>
      <c r="J1406">
        <f>[1]资金台帐!J1406&amp;""</f>
      </c>
      <c r="N1406">
        <f>[1]资金台帐!N1406</f>
      </c>
      <c r="O1406">
        <f>[1]资金台帐!O1406&amp;""</f>
      </c>
      <c r="P1406">
        <f>[1]资金台帐!P1406&amp;""</f>
      </c>
      <c r="Q1406">
        <f>[1]资金台帐!Q1406&amp;""</f>
      </c>
      <c r="T1406">
        <f>[1]资金台帐!T1406&amp;""</f>
      </c>
      <c r="U1406">
        <f>[1]资金台帐!U1406&amp;""</f>
      </c>
      <c r="W1406">
        <f>[1]资金台帐!W1406&amp;""</f>
      </c>
      <c r="X1406">
        <f>[1]资金台帐!X1406&amp;""</f>
      </c>
      <c r="AB1406">
        <f>[1]资金台帐!AB1406</f>
        <v>0</v>
      </c>
      <c r="AC1406">
        <f>[1]资金台帐!AC1406</f>
        <v>0</v>
      </c>
      <c r="AD1406">
        <f>[1]资金台帐!AD1406</f>
        <v>0</v>
      </c>
      <c r="AJ1406">
        <f>[1]资金台帐!AJ1406</f>
        <v>0</v>
      </c>
      <c r="AK1406">
        <f>[1]资金台帐!AK1406</f>
        <v>0</v>
      </c>
      <c r="BA1406" s="22">
        <f t="shared" si="0"/>
      </c>
      <c r="BG1406" s="22">
        <f t="shared" si="1"/>
      </c>
      <c r="BH1406" s="22">
        <f t="shared" si="2"/>
        <v>0</v>
      </c>
    </row>
    <row r="1407">
      <c r="B1407">
        <f>[1]资金台帐!B1407&amp;""</f>
      </c>
      <c r="H1407">
        <f>[1]资金台帐!H1407&amp;""</f>
      </c>
      <c r="J1407">
        <f>[1]资金台帐!J1407&amp;""</f>
      </c>
      <c r="N1407">
        <f>[1]资金台帐!N1407</f>
      </c>
      <c r="O1407">
        <f>[1]资金台帐!O1407&amp;""</f>
      </c>
      <c r="P1407">
        <f>[1]资金台帐!P1407&amp;""</f>
      </c>
      <c r="Q1407">
        <f>[1]资金台帐!Q1407&amp;""</f>
      </c>
      <c r="T1407">
        <f>[1]资金台帐!T1407&amp;""</f>
      </c>
      <c r="U1407">
        <f>[1]资金台帐!U1407&amp;""</f>
      </c>
      <c r="W1407">
        <f>[1]资金台帐!W1407&amp;""</f>
      </c>
      <c r="X1407">
        <f>[1]资金台帐!X1407&amp;""</f>
      </c>
      <c r="AB1407">
        <f>[1]资金台帐!AB1407</f>
        <v>0</v>
      </c>
      <c r="AC1407">
        <f>[1]资金台帐!AC1407</f>
        <v>0</v>
      </c>
      <c r="AD1407">
        <f>[1]资金台帐!AD1407</f>
        <v>0</v>
      </c>
      <c r="AJ1407">
        <f>[1]资金台帐!AJ1407</f>
        <v>0</v>
      </c>
      <c r="AK1407">
        <f>[1]资金台帐!AK1407</f>
        <v>0</v>
      </c>
      <c r="BA1407" s="22">
        <f t="shared" si="0"/>
      </c>
      <c r="BG1407" s="22">
        <f t="shared" si="1"/>
      </c>
      <c r="BH1407" s="22">
        <f t="shared" si="2"/>
        <v>0</v>
      </c>
    </row>
    <row r="1408">
      <c r="B1408">
        <f>[1]资金台帐!B1408&amp;""</f>
      </c>
      <c r="H1408">
        <f>[1]资金台帐!H1408&amp;""</f>
      </c>
      <c r="J1408">
        <f>[1]资金台帐!J1408&amp;""</f>
      </c>
      <c r="N1408">
        <f>[1]资金台帐!N1408</f>
      </c>
      <c r="O1408">
        <f>[1]资金台帐!O1408&amp;""</f>
      </c>
      <c r="P1408">
        <f>[1]资金台帐!P1408&amp;""</f>
      </c>
      <c r="Q1408">
        <f>[1]资金台帐!Q1408&amp;""</f>
      </c>
      <c r="T1408">
        <f>[1]资金台帐!T1408&amp;""</f>
      </c>
      <c r="U1408">
        <f>[1]资金台帐!U1408&amp;""</f>
      </c>
      <c r="W1408">
        <f>[1]资金台帐!W1408&amp;""</f>
      </c>
      <c r="X1408">
        <f>[1]资金台帐!X1408&amp;""</f>
      </c>
      <c r="AB1408">
        <f>[1]资金台帐!AB1408</f>
        <v>0</v>
      </c>
      <c r="AC1408">
        <f>[1]资金台帐!AC1408</f>
        <v>0</v>
      </c>
      <c r="AD1408">
        <f>[1]资金台帐!AD1408</f>
        <v>0</v>
      </c>
      <c r="AJ1408">
        <f>[1]资金台帐!AJ1408</f>
        <v>0</v>
      </c>
      <c r="AK1408">
        <f>[1]资金台帐!AK1408</f>
        <v>0</v>
      </c>
      <c r="BA1408" s="22">
        <f t="shared" si="0"/>
      </c>
      <c r="BG1408" s="22">
        <f t="shared" si="1"/>
      </c>
      <c r="BH1408" s="22">
        <f t="shared" si="2"/>
        <v>0</v>
      </c>
    </row>
    <row r="1409">
      <c r="B1409">
        <f>[1]资金台帐!B1409&amp;""</f>
      </c>
      <c r="H1409">
        <f>[1]资金台帐!H1409&amp;""</f>
      </c>
      <c r="J1409">
        <f>[1]资金台帐!J1409&amp;""</f>
      </c>
      <c r="N1409">
        <f>[1]资金台帐!N1409</f>
      </c>
      <c r="O1409">
        <f>[1]资金台帐!O1409&amp;""</f>
      </c>
      <c r="P1409">
        <f>[1]资金台帐!P1409&amp;""</f>
      </c>
      <c r="Q1409">
        <f>[1]资金台帐!Q1409&amp;""</f>
      </c>
      <c r="T1409">
        <f>[1]资金台帐!T1409&amp;""</f>
      </c>
      <c r="U1409">
        <f>[1]资金台帐!U1409&amp;""</f>
      </c>
      <c r="W1409">
        <f>[1]资金台帐!W1409&amp;""</f>
      </c>
      <c r="X1409">
        <f>[1]资金台帐!X1409&amp;""</f>
      </c>
      <c r="AB1409">
        <f>[1]资金台帐!AB1409</f>
        <v>0</v>
      </c>
      <c r="AC1409">
        <f>[1]资金台帐!AC1409</f>
        <v>0</v>
      </c>
      <c r="AD1409">
        <f>[1]资金台帐!AD1409</f>
        <v>0</v>
      </c>
      <c r="AJ1409">
        <f>[1]资金台帐!AJ1409</f>
        <v>0</v>
      </c>
      <c r="AK1409">
        <f>[1]资金台帐!AK1409</f>
        <v>0</v>
      </c>
      <c r="BA1409" s="22">
        <f t="shared" si="0"/>
      </c>
      <c r="BG1409" s="22">
        <f t="shared" si="1"/>
      </c>
      <c r="BH1409" s="22">
        <f t="shared" si="2"/>
        <v>0</v>
      </c>
    </row>
    <row r="1410">
      <c r="B1410">
        <f>[1]资金台帐!B1410&amp;""</f>
      </c>
      <c r="H1410">
        <f>[1]资金台帐!H1410&amp;""</f>
      </c>
      <c r="J1410">
        <f>[1]资金台帐!J1410&amp;""</f>
      </c>
      <c r="N1410">
        <f>[1]资金台帐!N1410</f>
      </c>
      <c r="O1410">
        <f>[1]资金台帐!O1410&amp;""</f>
      </c>
      <c r="P1410">
        <f>[1]资金台帐!P1410&amp;""</f>
      </c>
      <c r="Q1410">
        <f>[1]资金台帐!Q1410&amp;""</f>
      </c>
      <c r="T1410">
        <f>[1]资金台帐!T1410&amp;""</f>
      </c>
      <c r="U1410">
        <f>[1]资金台帐!U1410&amp;""</f>
      </c>
      <c r="W1410">
        <f>[1]资金台帐!W1410&amp;""</f>
      </c>
      <c r="X1410">
        <f>[1]资金台帐!X1410&amp;""</f>
      </c>
      <c r="AB1410">
        <f>[1]资金台帐!AB1410</f>
        <v>0</v>
      </c>
      <c r="AC1410">
        <f>[1]资金台帐!AC1410</f>
        <v>0</v>
      </c>
      <c r="AD1410">
        <f>[1]资金台帐!AD1410</f>
        <v>0</v>
      </c>
      <c r="AJ1410">
        <f>[1]资金台帐!AJ1410</f>
        <v>0</v>
      </c>
      <c r="AK1410">
        <f>[1]资金台帐!AK1410</f>
        <v>0</v>
      </c>
      <c r="BA1410" s="22">
        <f t="shared" si="0"/>
      </c>
      <c r="BG1410" s="22">
        <f t="shared" si="1"/>
      </c>
      <c r="BH1410" s="22">
        <f t="shared" si="2"/>
        <v>0</v>
      </c>
    </row>
    <row r="1411">
      <c r="B1411">
        <f>[1]资金台帐!B1411&amp;""</f>
      </c>
      <c r="H1411">
        <f>[1]资金台帐!H1411&amp;""</f>
      </c>
      <c r="J1411">
        <f>[1]资金台帐!J1411&amp;""</f>
      </c>
      <c r="N1411">
        <f>[1]资金台帐!N1411</f>
      </c>
      <c r="O1411">
        <f>[1]资金台帐!O1411&amp;""</f>
      </c>
      <c r="P1411">
        <f>[1]资金台帐!P1411&amp;""</f>
      </c>
      <c r="Q1411">
        <f>[1]资金台帐!Q1411&amp;""</f>
      </c>
      <c r="T1411">
        <f>[1]资金台帐!T1411&amp;""</f>
      </c>
      <c r="U1411">
        <f>[1]资金台帐!U1411&amp;""</f>
      </c>
      <c r="W1411">
        <f>[1]资金台帐!W1411&amp;""</f>
      </c>
      <c r="X1411">
        <f>[1]资金台帐!X1411&amp;""</f>
      </c>
      <c r="AB1411">
        <f>[1]资金台帐!AB1411</f>
        <v>0</v>
      </c>
      <c r="AC1411">
        <f>[1]资金台帐!AC1411</f>
        <v>0</v>
      </c>
      <c r="AD1411">
        <f>[1]资金台帐!AD1411</f>
        <v>0</v>
      </c>
      <c r="AJ1411">
        <f>[1]资金台帐!AJ1411</f>
        <v>0</v>
      </c>
      <c r="AK1411">
        <f>[1]资金台帐!AK1411</f>
        <v>0</v>
      </c>
      <c r="BA1411" s="22">
        <f t="shared" si="0"/>
      </c>
      <c r="BG1411" s="22">
        <f t="shared" si="1"/>
      </c>
      <c r="BH1411" s="22">
        <f t="shared" si="2"/>
        <v>0</v>
      </c>
    </row>
    <row r="1412">
      <c r="B1412">
        <f>[1]资金台帐!B1412&amp;""</f>
      </c>
      <c r="H1412">
        <f>[1]资金台帐!H1412&amp;""</f>
      </c>
      <c r="J1412">
        <f>[1]资金台帐!J1412&amp;""</f>
      </c>
      <c r="N1412">
        <f>[1]资金台帐!N1412</f>
      </c>
      <c r="O1412">
        <f>[1]资金台帐!O1412&amp;""</f>
      </c>
      <c r="P1412">
        <f>[1]资金台帐!P1412&amp;""</f>
      </c>
      <c r="Q1412">
        <f>[1]资金台帐!Q1412&amp;""</f>
      </c>
      <c r="T1412">
        <f>[1]资金台帐!T1412&amp;""</f>
      </c>
      <c r="U1412">
        <f>[1]资金台帐!U1412&amp;""</f>
      </c>
      <c r="W1412">
        <f>[1]资金台帐!W1412&amp;""</f>
      </c>
      <c r="X1412">
        <f>[1]资金台帐!X1412&amp;""</f>
      </c>
      <c r="AB1412">
        <f>[1]资金台帐!AB1412</f>
        <v>0</v>
      </c>
      <c r="AC1412">
        <f>[1]资金台帐!AC1412</f>
        <v>0</v>
      </c>
      <c r="AD1412">
        <f>[1]资金台帐!AD1412</f>
        <v>0</v>
      </c>
      <c r="AJ1412">
        <f>[1]资金台帐!AJ1412</f>
        <v>0</v>
      </c>
      <c r="AK1412">
        <f>[1]资金台帐!AK1412</f>
        <v>0</v>
      </c>
      <c r="BA1412" s="22">
        <f t="shared" si="0"/>
      </c>
      <c r="BG1412" s="22">
        <f t="shared" si="1"/>
      </c>
      <c r="BH1412" s="22">
        <f t="shared" si="2"/>
        <v>0</v>
      </c>
    </row>
    <row r="1413">
      <c r="B1413">
        <f>[1]资金台帐!B1413&amp;""</f>
      </c>
      <c r="H1413">
        <f>[1]资金台帐!H1413&amp;""</f>
      </c>
      <c r="J1413">
        <f>[1]资金台帐!J1413&amp;""</f>
      </c>
      <c r="N1413">
        <f>[1]资金台帐!N1413</f>
      </c>
      <c r="O1413">
        <f>[1]资金台帐!O1413&amp;""</f>
      </c>
      <c r="P1413">
        <f>[1]资金台帐!P1413&amp;""</f>
      </c>
      <c r="Q1413">
        <f>[1]资金台帐!Q1413&amp;""</f>
      </c>
      <c r="T1413">
        <f>[1]资金台帐!T1413&amp;""</f>
      </c>
      <c r="U1413">
        <f>[1]资金台帐!U1413&amp;""</f>
      </c>
      <c r="W1413">
        <f>[1]资金台帐!W1413&amp;""</f>
      </c>
      <c r="X1413">
        <f>[1]资金台帐!X1413&amp;""</f>
      </c>
      <c r="AB1413">
        <f>[1]资金台帐!AB1413</f>
        <v>0</v>
      </c>
      <c r="AC1413">
        <f>[1]资金台帐!AC1413</f>
        <v>0</v>
      </c>
      <c r="AD1413">
        <f>[1]资金台帐!AD1413</f>
        <v>0</v>
      </c>
      <c r="AJ1413">
        <f>[1]资金台帐!AJ1413</f>
        <v>0</v>
      </c>
      <c r="AK1413">
        <f>[1]资金台帐!AK1413</f>
        <v>0</v>
      </c>
      <c r="BA1413" s="22">
        <f t="shared" si="0"/>
      </c>
      <c r="BG1413" s="22">
        <f t="shared" si="1"/>
      </c>
      <c r="BH1413" s="22">
        <f t="shared" si="2"/>
        <v>0</v>
      </c>
    </row>
    <row r="1414">
      <c r="B1414">
        <f>[1]资金台帐!B1414&amp;""</f>
      </c>
      <c r="H1414">
        <f>[1]资金台帐!H1414&amp;""</f>
      </c>
      <c r="J1414">
        <f>[1]资金台帐!J1414&amp;""</f>
      </c>
      <c r="N1414">
        <f>[1]资金台帐!N1414</f>
      </c>
      <c r="O1414">
        <f>[1]资金台帐!O1414&amp;""</f>
      </c>
      <c r="P1414">
        <f>[1]资金台帐!P1414&amp;""</f>
      </c>
      <c r="Q1414">
        <f>[1]资金台帐!Q1414&amp;""</f>
      </c>
      <c r="T1414">
        <f>[1]资金台帐!T1414&amp;""</f>
      </c>
      <c r="U1414">
        <f>[1]资金台帐!U1414&amp;""</f>
      </c>
      <c r="W1414">
        <f>[1]资金台帐!W1414&amp;""</f>
      </c>
      <c r="X1414">
        <f>[1]资金台帐!X1414&amp;""</f>
      </c>
      <c r="AB1414">
        <f>[1]资金台帐!AB1414</f>
        <v>0</v>
      </c>
      <c r="AC1414">
        <f>[1]资金台帐!AC1414</f>
        <v>0</v>
      </c>
      <c r="AD1414">
        <f>[1]资金台帐!AD1414</f>
        <v>0</v>
      </c>
      <c r="AJ1414">
        <f>[1]资金台帐!AJ1414</f>
        <v>0</v>
      </c>
      <c r="AK1414">
        <f>[1]资金台帐!AK1414</f>
        <v>0</v>
      </c>
      <c r="BA1414" s="22">
        <f t="shared" si="0"/>
      </c>
      <c r="BG1414" s="22">
        <f t="shared" si="1"/>
      </c>
      <c r="BH1414" s="22">
        <f t="shared" si="2"/>
        <v>0</v>
      </c>
    </row>
    <row r="1415">
      <c r="B1415">
        <f>[1]资金台帐!B1415&amp;""</f>
      </c>
      <c r="H1415">
        <f>[1]资金台帐!H1415&amp;""</f>
      </c>
      <c r="J1415">
        <f>[1]资金台帐!J1415&amp;""</f>
      </c>
      <c r="N1415">
        <f>[1]资金台帐!N1415</f>
      </c>
      <c r="O1415">
        <f>[1]资金台帐!O1415&amp;""</f>
      </c>
      <c r="P1415">
        <f>[1]资金台帐!P1415&amp;""</f>
      </c>
      <c r="Q1415">
        <f>[1]资金台帐!Q1415&amp;""</f>
      </c>
      <c r="T1415">
        <f>[1]资金台帐!T1415&amp;""</f>
      </c>
      <c r="U1415">
        <f>[1]资金台帐!U1415&amp;""</f>
      </c>
      <c r="W1415">
        <f>[1]资金台帐!W1415&amp;""</f>
      </c>
      <c r="X1415">
        <f>[1]资金台帐!X1415&amp;""</f>
      </c>
      <c r="AB1415">
        <f>[1]资金台帐!AB1415</f>
        <v>0</v>
      </c>
      <c r="AC1415">
        <f>[1]资金台帐!AC1415</f>
        <v>0</v>
      </c>
      <c r="AD1415">
        <f>[1]资金台帐!AD1415</f>
        <v>0</v>
      </c>
      <c r="AJ1415">
        <f>[1]资金台帐!AJ1415</f>
        <v>0</v>
      </c>
      <c r="AK1415">
        <f>[1]资金台帐!AK1415</f>
        <v>0</v>
      </c>
      <c r="BA1415" s="22">
        <f t="shared" si="0"/>
      </c>
      <c r="BG1415" s="22">
        <f t="shared" si="1"/>
      </c>
      <c r="BH1415" s="22">
        <f t="shared" si="2"/>
        <v>0</v>
      </c>
    </row>
    <row r="1416">
      <c r="B1416">
        <f>[1]资金台帐!B1416&amp;""</f>
      </c>
      <c r="H1416">
        <f>[1]资金台帐!H1416&amp;""</f>
      </c>
      <c r="J1416">
        <f>[1]资金台帐!J1416&amp;""</f>
      </c>
      <c r="N1416">
        <f>[1]资金台帐!N1416</f>
      </c>
      <c r="O1416">
        <f>[1]资金台帐!O1416&amp;""</f>
      </c>
      <c r="P1416">
        <f>[1]资金台帐!P1416&amp;""</f>
      </c>
      <c r="Q1416">
        <f>[1]资金台帐!Q1416&amp;""</f>
      </c>
      <c r="T1416">
        <f>[1]资金台帐!T1416&amp;""</f>
      </c>
      <c r="U1416">
        <f>[1]资金台帐!U1416&amp;""</f>
      </c>
      <c r="W1416">
        <f>[1]资金台帐!W1416&amp;""</f>
      </c>
      <c r="X1416">
        <f>[1]资金台帐!X1416&amp;""</f>
      </c>
      <c r="AB1416">
        <f>[1]资金台帐!AB1416</f>
        <v>0</v>
      </c>
      <c r="AC1416">
        <f>[1]资金台帐!AC1416</f>
        <v>0</v>
      </c>
      <c r="AD1416">
        <f>[1]资金台帐!AD1416</f>
        <v>0</v>
      </c>
      <c r="AJ1416">
        <f>[1]资金台帐!AJ1416</f>
        <v>0</v>
      </c>
      <c r="AK1416">
        <f>[1]资金台帐!AK1416</f>
        <v>0</v>
      </c>
      <c r="BA1416" s="22">
        <f t="shared" si="0"/>
      </c>
      <c r="BG1416" s="22">
        <f t="shared" si="1"/>
      </c>
      <c r="BH1416" s="22">
        <f t="shared" si="2"/>
        <v>0</v>
      </c>
    </row>
    <row r="1417">
      <c r="B1417">
        <f>[1]资金台帐!B1417&amp;""</f>
      </c>
      <c r="H1417">
        <f>[1]资金台帐!H1417&amp;""</f>
      </c>
      <c r="J1417">
        <f>[1]资金台帐!J1417&amp;""</f>
      </c>
      <c r="N1417">
        <f>[1]资金台帐!N1417</f>
      </c>
      <c r="O1417">
        <f>[1]资金台帐!O1417&amp;""</f>
      </c>
      <c r="P1417">
        <f>[1]资金台帐!P1417&amp;""</f>
      </c>
      <c r="Q1417">
        <f>[1]资金台帐!Q1417&amp;""</f>
      </c>
      <c r="T1417">
        <f>[1]资金台帐!T1417&amp;""</f>
      </c>
      <c r="U1417">
        <f>[1]资金台帐!U1417&amp;""</f>
      </c>
      <c r="W1417">
        <f>[1]资金台帐!W1417&amp;""</f>
      </c>
      <c r="X1417">
        <f>[1]资金台帐!X1417&amp;""</f>
      </c>
      <c r="AB1417">
        <f>[1]资金台帐!AB1417</f>
        <v>0</v>
      </c>
      <c r="AC1417">
        <f>[1]资金台帐!AC1417</f>
        <v>0</v>
      </c>
      <c r="AD1417">
        <f>[1]资金台帐!AD1417</f>
        <v>0</v>
      </c>
      <c r="AJ1417">
        <f>[1]资金台帐!AJ1417</f>
        <v>0</v>
      </c>
      <c r="AK1417">
        <f>[1]资金台帐!AK1417</f>
        <v>0</v>
      </c>
      <c r="BA1417" s="22">
        <f t="shared" si="0"/>
      </c>
      <c r="BG1417" s="22">
        <f t="shared" si="1"/>
      </c>
      <c r="BH1417" s="22">
        <f t="shared" si="2"/>
        <v>0</v>
      </c>
    </row>
    <row r="1418">
      <c r="B1418">
        <f>[1]资金台帐!B1418&amp;""</f>
      </c>
      <c r="H1418">
        <f>[1]资金台帐!H1418&amp;""</f>
      </c>
      <c r="J1418">
        <f>[1]资金台帐!J1418&amp;""</f>
      </c>
      <c r="N1418">
        <f>[1]资金台帐!N1418</f>
      </c>
      <c r="O1418">
        <f>[1]资金台帐!O1418&amp;""</f>
      </c>
      <c r="P1418">
        <f>[1]资金台帐!P1418&amp;""</f>
      </c>
      <c r="Q1418">
        <f>[1]资金台帐!Q1418&amp;""</f>
      </c>
      <c r="T1418">
        <f>[1]资金台帐!T1418&amp;""</f>
      </c>
      <c r="U1418">
        <f>[1]资金台帐!U1418&amp;""</f>
      </c>
      <c r="W1418">
        <f>[1]资金台帐!W1418&amp;""</f>
      </c>
      <c r="X1418">
        <f>[1]资金台帐!X1418&amp;""</f>
      </c>
      <c r="AB1418">
        <f>[1]资金台帐!AB1418</f>
        <v>0</v>
      </c>
      <c r="AC1418">
        <f>[1]资金台帐!AC1418</f>
        <v>0</v>
      </c>
      <c r="AD1418">
        <f>[1]资金台帐!AD1418</f>
        <v>0</v>
      </c>
      <c r="AJ1418">
        <f>[1]资金台帐!AJ1418</f>
        <v>0</v>
      </c>
      <c r="AK1418">
        <f>[1]资金台帐!AK1418</f>
        <v>0</v>
      </c>
      <c r="BA1418" s="22">
        <f t="shared" si="0"/>
      </c>
      <c r="BG1418" s="22">
        <f t="shared" si="1"/>
      </c>
      <c r="BH1418" s="22">
        <f t="shared" si="2"/>
        <v>0</v>
      </c>
    </row>
    <row r="1419">
      <c r="B1419">
        <f>[1]资金台帐!B1419&amp;""</f>
      </c>
      <c r="H1419">
        <f>[1]资金台帐!H1419&amp;""</f>
      </c>
      <c r="J1419">
        <f>[1]资金台帐!J1419&amp;""</f>
      </c>
      <c r="N1419">
        <f>[1]资金台帐!N1419</f>
      </c>
      <c r="O1419">
        <f>[1]资金台帐!O1419&amp;""</f>
      </c>
      <c r="P1419">
        <f>[1]资金台帐!P1419&amp;""</f>
      </c>
      <c r="Q1419">
        <f>[1]资金台帐!Q1419&amp;""</f>
      </c>
      <c r="T1419">
        <f>[1]资金台帐!T1419&amp;""</f>
      </c>
      <c r="U1419">
        <f>[1]资金台帐!U1419&amp;""</f>
      </c>
      <c r="W1419">
        <f>[1]资金台帐!W1419&amp;""</f>
      </c>
      <c r="X1419">
        <f>[1]资金台帐!X1419&amp;""</f>
      </c>
      <c r="AB1419">
        <f>[1]资金台帐!AB1419</f>
        <v>0</v>
      </c>
      <c r="AC1419">
        <f>[1]资金台帐!AC1419</f>
        <v>0</v>
      </c>
      <c r="AD1419">
        <f>[1]资金台帐!AD1419</f>
        <v>0</v>
      </c>
      <c r="AJ1419">
        <f>[1]资金台帐!AJ1419</f>
        <v>0</v>
      </c>
      <c r="AK1419">
        <f>[1]资金台帐!AK1419</f>
        <v>0</v>
      </c>
      <c r="BA1419" s="22">
        <f t="shared" si="0"/>
      </c>
      <c r="BG1419" s="22">
        <f t="shared" si="1"/>
      </c>
      <c r="BH1419" s="22">
        <f t="shared" si="2"/>
        <v>0</v>
      </c>
    </row>
    <row r="1420">
      <c r="B1420">
        <f>[1]资金台帐!B1420&amp;""</f>
      </c>
      <c r="H1420">
        <f>[1]资金台帐!H1420&amp;""</f>
      </c>
      <c r="J1420">
        <f>[1]资金台帐!J1420&amp;""</f>
      </c>
      <c r="N1420">
        <f>[1]资金台帐!N1420</f>
      </c>
      <c r="O1420">
        <f>[1]资金台帐!O1420&amp;""</f>
      </c>
      <c r="P1420">
        <f>[1]资金台帐!P1420&amp;""</f>
      </c>
      <c r="Q1420">
        <f>[1]资金台帐!Q1420&amp;""</f>
      </c>
      <c r="T1420">
        <f>[1]资金台帐!T1420&amp;""</f>
      </c>
      <c r="U1420">
        <f>[1]资金台帐!U1420&amp;""</f>
      </c>
      <c r="W1420">
        <f>[1]资金台帐!W1420&amp;""</f>
      </c>
      <c r="X1420">
        <f>[1]资金台帐!X1420&amp;""</f>
      </c>
      <c r="AB1420">
        <f>[1]资金台帐!AB1420</f>
        <v>0</v>
      </c>
      <c r="AC1420">
        <f>[1]资金台帐!AC1420</f>
        <v>0</v>
      </c>
      <c r="AD1420">
        <f>[1]资金台帐!AD1420</f>
        <v>0</v>
      </c>
      <c r="AJ1420">
        <f>[1]资金台帐!AJ1420</f>
        <v>0</v>
      </c>
      <c r="AK1420">
        <f>[1]资金台帐!AK1420</f>
        <v>0</v>
      </c>
      <c r="BA1420" s="22">
        <f t="shared" si="0"/>
      </c>
      <c r="BG1420" s="22">
        <f t="shared" si="1"/>
      </c>
      <c r="BH1420" s="22">
        <f t="shared" si="2"/>
        <v>0</v>
      </c>
    </row>
    <row r="1421">
      <c r="B1421">
        <f>[1]资金台帐!B1421&amp;""</f>
      </c>
      <c r="H1421">
        <f>[1]资金台帐!H1421&amp;""</f>
      </c>
      <c r="J1421">
        <f>[1]资金台帐!J1421&amp;""</f>
      </c>
      <c r="N1421">
        <f>[1]资金台帐!N1421</f>
      </c>
      <c r="O1421">
        <f>[1]资金台帐!O1421&amp;""</f>
      </c>
      <c r="P1421">
        <f>[1]资金台帐!P1421&amp;""</f>
      </c>
      <c r="Q1421">
        <f>[1]资金台帐!Q1421&amp;""</f>
      </c>
      <c r="T1421">
        <f>[1]资金台帐!T1421&amp;""</f>
      </c>
      <c r="U1421">
        <f>[1]资金台帐!U1421&amp;""</f>
      </c>
      <c r="W1421">
        <f>[1]资金台帐!W1421&amp;""</f>
      </c>
      <c r="X1421">
        <f>[1]资金台帐!X1421&amp;""</f>
      </c>
      <c r="AB1421">
        <f>[1]资金台帐!AB1421</f>
        <v>0</v>
      </c>
      <c r="AC1421">
        <f>[1]资金台帐!AC1421</f>
        <v>0</v>
      </c>
      <c r="AD1421">
        <f>[1]资金台帐!AD1421</f>
        <v>0</v>
      </c>
      <c r="AJ1421">
        <f>[1]资金台帐!AJ1421</f>
        <v>0</v>
      </c>
      <c r="AK1421">
        <f>[1]资金台帐!AK1421</f>
        <v>0</v>
      </c>
      <c r="BA1421" s="22">
        <f t="shared" si="0"/>
      </c>
      <c r="BG1421" s="22">
        <f t="shared" si="1"/>
      </c>
      <c r="BH1421" s="22">
        <f t="shared" si="2"/>
        <v>0</v>
      </c>
    </row>
    <row r="1422">
      <c r="B1422">
        <f>[1]资金台帐!B1422&amp;""</f>
      </c>
      <c r="H1422">
        <f>[1]资金台帐!H1422&amp;""</f>
      </c>
      <c r="J1422">
        <f>[1]资金台帐!J1422&amp;""</f>
      </c>
      <c r="N1422">
        <f>[1]资金台帐!N1422</f>
      </c>
      <c r="O1422">
        <f>[1]资金台帐!O1422&amp;""</f>
      </c>
      <c r="P1422">
        <f>[1]资金台帐!P1422&amp;""</f>
      </c>
      <c r="Q1422">
        <f>[1]资金台帐!Q1422&amp;""</f>
      </c>
      <c r="T1422">
        <f>[1]资金台帐!T1422&amp;""</f>
      </c>
      <c r="U1422">
        <f>[1]资金台帐!U1422&amp;""</f>
      </c>
      <c r="W1422">
        <f>[1]资金台帐!W1422&amp;""</f>
      </c>
      <c r="X1422">
        <f>[1]资金台帐!X1422&amp;""</f>
      </c>
      <c r="AB1422">
        <f>[1]资金台帐!AB1422</f>
        <v>0</v>
      </c>
      <c r="AC1422">
        <f>[1]资金台帐!AC1422</f>
        <v>0</v>
      </c>
      <c r="AD1422">
        <f>[1]资金台帐!AD1422</f>
        <v>0</v>
      </c>
      <c r="AJ1422">
        <f>[1]资金台帐!AJ1422</f>
        <v>0</v>
      </c>
      <c r="AK1422">
        <f>[1]资金台帐!AK1422</f>
        <v>0</v>
      </c>
      <c r="BA1422" s="22">
        <f t="shared" si="0"/>
      </c>
      <c r="BG1422" s="22">
        <f t="shared" si="1"/>
      </c>
      <c r="BH1422" s="22">
        <f t="shared" si="2"/>
        <v>0</v>
      </c>
    </row>
    <row r="1423">
      <c r="B1423">
        <f>[1]资金台帐!B1423&amp;""</f>
      </c>
      <c r="H1423">
        <f>[1]资金台帐!H1423&amp;""</f>
      </c>
      <c r="J1423">
        <f>[1]资金台帐!J1423&amp;""</f>
      </c>
      <c r="N1423">
        <f>[1]资金台帐!N1423</f>
      </c>
      <c r="O1423">
        <f>[1]资金台帐!O1423&amp;""</f>
      </c>
      <c r="P1423">
        <f>[1]资金台帐!P1423&amp;""</f>
      </c>
      <c r="Q1423">
        <f>[1]资金台帐!Q1423&amp;""</f>
      </c>
      <c r="T1423">
        <f>[1]资金台帐!T1423&amp;""</f>
      </c>
      <c r="U1423">
        <f>[1]资金台帐!U1423&amp;""</f>
      </c>
      <c r="W1423">
        <f>[1]资金台帐!W1423&amp;""</f>
      </c>
      <c r="X1423">
        <f>[1]资金台帐!X1423&amp;""</f>
      </c>
      <c r="AB1423">
        <f>[1]资金台帐!AB1423</f>
        <v>0</v>
      </c>
      <c r="AC1423">
        <f>[1]资金台帐!AC1423</f>
        <v>0</v>
      </c>
      <c r="AD1423">
        <f>[1]资金台帐!AD1423</f>
        <v>0</v>
      </c>
      <c r="AJ1423">
        <f>[1]资金台帐!AJ1423</f>
        <v>0</v>
      </c>
      <c r="AK1423">
        <f>[1]资金台帐!AK1423</f>
        <v>0</v>
      </c>
      <c r="BA1423" s="22">
        <f t="shared" si="0"/>
      </c>
      <c r="BG1423" s="22">
        <f t="shared" si="1"/>
      </c>
      <c r="BH1423" s="22">
        <f t="shared" si="2"/>
        <v>0</v>
      </c>
    </row>
    <row r="1424">
      <c r="B1424">
        <f>[1]资金台帐!B1424&amp;""</f>
      </c>
      <c r="H1424">
        <f>[1]资金台帐!H1424&amp;""</f>
      </c>
      <c r="J1424">
        <f>[1]资金台帐!J1424&amp;""</f>
      </c>
      <c r="N1424">
        <f>[1]资金台帐!N1424</f>
      </c>
      <c r="O1424">
        <f>[1]资金台帐!O1424&amp;""</f>
      </c>
      <c r="P1424">
        <f>[1]资金台帐!P1424&amp;""</f>
      </c>
      <c r="Q1424">
        <f>[1]资金台帐!Q1424&amp;""</f>
      </c>
      <c r="T1424">
        <f>[1]资金台帐!T1424&amp;""</f>
      </c>
      <c r="U1424">
        <f>[1]资金台帐!U1424&amp;""</f>
      </c>
      <c r="W1424">
        <f>[1]资金台帐!W1424&amp;""</f>
      </c>
      <c r="X1424">
        <f>[1]资金台帐!X1424&amp;""</f>
      </c>
      <c r="AB1424">
        <f>[1]资金台帐!AB1424</f>
        <v>0</v>
      </c>
      <c r="AC1424">
        <f>[1]资金台帐!AC1424</f>
        <v>0</v>
      </c>
      <c r="AD1424">
        <f>[1]资金台帐!AD1424</f>
        <v>0</v>
      </c>
      <c r="AJ1424">
        <f>[1]资金台帐!AJ1424</f>
        <v>0</v>
      </c>
      <c r="AK1424">
        <f>[1]资金台帐!AK1424</f>
        <v>0</v>
      </c>
      <c r="BA1424" s="22">
        <f t="shared" si="0"/>
      </c>
      <c r="BG1424" s="22">
        <f t="shared" si="1"/>
      </c>
      <c r="BH1424" s="22">
        <f t="shared" si="2"/>
        <v>0</v>
      </c>
    </row>
    <row r="1425">
      <c r="B1425">
        <f>[1]资金台帐!B1425&amp;""</f>
      </c>
      <c r="H1425">
        <f>[1]资金台帐!H1425&amp;""</f>
      </c>
      <c r="J1425">
        <f>[1]资金台帐!J1425&amp;""</f>
      </c>
      <c r="N1425">
        <f>[1]资金台帐!N1425</f>
      </c>
      <c r="O1425">
        <f>[1]资金台帐!O1425&amp;""</f>
      </c>
      <c r="P1425">
        <f>[1]资金台帐!P1425&amp;""</f>
      </c>
      <c r="Q1425">
        <f>[1]资金台帐!Q1425&amp;""</f>
      </c>
      <c r="T1425">
        <f>[1]资金台帐!T1425&amp;""</f>
      </c>
      <c r="U1425">
        <f>[1]资金台帐!U1425&amp;""</f>
      </c>
      <c r="W1425">
        <f>[1]资金台帐!W1425&amp;""</f>
      </c>
      <c r="X1425">
        <f>[1]资金台帐!X1425&amp;""</f>
      </c>
      <c r="AB1425">
        <f>[1]资金台帐!AB1425</f>
        <v>0</v>
      </c>
      <c r="AC1425">
        <f>[1]资金台帐!AC1425</f>
        <v>0</v>
      </c>
      <c r="AD1425">
        <f>[1]资金台帐!AD1425</f>
        <v>0</v>
      </c>
      <c r="AJ1425">
        <f>[1]资金台帐!AJ1425</f>
        <v>0</v>
      </c>
      <c r="AK1425">
        <f>[1]资金台帐!AK1425</f>
        <v>0</v>
      </c>
      <c r="BA1425" s="22">
        <f t="shared" si="0"/>
      </c>
      <c r="BG1425" s="22">
        <f t="shared" si="1"/>
      </c>
      <c r="BH1425" s="22">
        <f t="shared" si="2"/>
        <v>0</v>
      </c>
    </row>
    <row r="1426">
      <c r="B1426">
        <f>[1]资金台帐!B1426&amp;""</f>
      </c>
      <c r="H1426">
        <f>[1]资金台帐!H1426&amp;""</f>
      </c>
      <c r="J1426">
        <f>[1]资金台帐!J1426&amp;""</f>
      </c>
      <c r="N1426">
        <f>[1]资金台帐!N1426</f>
      </c>
      <c r="O1426">
        <f>[1]资金台帐!O1426&amp;""</f>
      </c>
      <c r="P1426">
        <f>[1]资金台帐!P1426&amp;""</f>
      </c>
      <c r="Q1426">
        <f>[1]资金台帐!Q1426&amp;""</f>
      </c>
      <c r="T1426">
        <f>[1]资金台帐!T1426&amp;""</f>
      </c>
      <c r="U1426">
        <f>[1]资金台帐!U1426&amp;""</f>
      </c>
      <c r="W1426">
        <f>[1]资金台帐!W1426&amp;""</f>
      </c>
      <c r="X1426">
        <f>[1]资金台帐!X1426&amp;""</f>
      </c>
      <c r="AB1426">
        <f>[1]资金台帐!AB1426</f>
        <v>0</v>
      </c>
      <c r="AC1426">
        <f>[1]资金台帐!AC1426</f>
        <v>0</v>
      </c>
      <c r="AD1426">
        <f>[1]资金台帐!AD1426</f>
        <v>0</v>
      </c>
      <c r="AJ1426">
        <f>[1]资金台帐!AJ1426</f>
        <v>0</v>
      </c>
      <c r="AK1426">
        <f>[1]资金台帐!AK1426</f>
        <v>0</v>
      </c>
      <c r="BA1426" s="22">
        <f t="shared" si="0"/>
      </c>
      <c r="BG1426" s="22">
        <f t="shared" si="1"/>
      </c>
      <c r="BH1426" s="22">
        <f t="shared" si="2"/>
        <v>0</v>
      </c>
    </row>
    <row r="1427">
      <c r="B1427">
        <f>[1]资金台帐!B1427&amp;""</f>
      </c>
      <c r="H1427">
        <f>[1]资金台帐!H1427&amp;""</f>
      </c>
      <c r="J1427">
        <f>[1]资金台帐!J1427&amp;""</f>
      </c>
      <c r="N1427">
        <f>[1]资金台帐!N1427</f>
      </c>
      <c r="O1427">
        <f>[1]资金台帐!O1427&amp;""</f>
      </c>
      <c r="P1427">
        <f>[1]资金台帐!P1427&amp;""</f>
      </c>
      <c r="Q1427">
        <f>[1]资金台帐!Q1427&amp;""</f>
      </c>
      <c r="T1427">
        <f>[1]资金台帐!T1427&amp;""</f>
      </c>
      <c r="U1427">
        <f>[1]资金台帐!U1427&amp;""</f>
      </c>
      <c r="W1427">
        <f>[1]资金台帐!W1427&amp;""</f>
      </c>
      <c r="X1427">
        <f>[1]资金台帐!X1427&amp;""</f>
      </c>
      <c r="AB1427">
        <f>[1]资金台帐!AB1427</f>
        <v>0</v>
      </c>
      <c r="AC1427">
        <f>[1]资金台帐!AC1427</f>
        <v>0</v>
      </c>
      <c r="AD1427">
        <f>[1]资金台帐!AD1427</f>
        <v>0</v>
      </c>
      <c r="AJ1427">
        <f>[1]资金台帐!AJ1427</f>
        <v>0</v>
      </c>
      <c r="AK1427">
        <f>[1]资金台帐!AK1427</f>
        <v>0</v>
      </c>
      <c r="BA1427" s="22">
        <f t="shared" si="0"/>
      </c>
      <c r="BG1427" s="22">
        <f t="shared" si="1"/>
      </c>
      <c r="BH1427" s="22">
        <f t="shared" si="2"/>
        <v>0</v>
      </c>
    </row>
    <row r="1428">
      <c r="B1428">
        <f>[1]资金台帐!B1428&amp;""</f>
      </c>
      <c r="H1428">
        <f>[1]资金台帐!H1428&amp;""</f>
      </c>
      <c r="J1428">
        <f>[1]资金台帐!J1428&amp;""</f>
      </c>
      <c r="N1428">
        <f>[1]资金台帐!N1428</f>
      </c>
      <c r="O1428">
        <f>[1]资金台帐!O1428&amp;""</f>
      </c>
      <c r="P1428">
        <f>[1]资金台帐!P1428&amp;""</f>
      </c>
      <c r="Q1428">
        <f>[1]资金台帐!Q1428&amp;""</f>
      </c>
      <c r="T1428">
        <f>[1]资金台帐!T1428&amp;""</f>
      </c>
      <c r="U1428">
        <f>[1]资金台帐!U1428&amp;""</f>
      </c>
      <c r="W1428">
        <f>[1]资金台帐!W1428&amp;""</f>
      </c>
      <c r="X1428">
        <f>[1]资金台帐!X1428&amp;""</f>
      </c>
      <c r="AB1428">
        <f>[1]资金台帐!AB1428</f>
        <v>0</v>
      </c>
      <c r="AC1428">
        <f>[1]资金台帐!AC1428</f>
        <v>0</v>
      </c>
      <c r="AD1428">
        <f>[1]资金台帐!AD1428</f>
        <v>0</v>
      </c>
      <c r="AJ1428">
        <f>[1]资金台帐!AJ1428</f>
        <v>0</v>
      </c>
      <c r="AK1428">
        <f>[1]资金台帐!AK1428</f>
        <v>0</v>
      </c>
      <c r="BA1428" s="22">
        <f t="shared" si="0"/>
      </c>
      <c r="BG1428" s="22">
        <f t="shared" si="1"/>
      </c>
      <c r="BH1428" s="22">
        <f t="shared" si="2"/>
        <v>0</v>
      </c>
    </row>
    <row r="1429">
      <c r="B1429">
        <f>[1]资金台帐!B1429&amp;""</f>
      </c>
      <c r="H1429">
        <f>[1]资金台帐!H1429&amp;""</f>
      </c>
      <c r="J1429">
        <f>[1]资金台帐!J1429&amp;""</f>
      </c>
      <c r="N1429">
        <f>[1]资金台帐!N1429</f>
      </c>
      <c r="O1429">
        <f>[1]资金台帐!O1429&amp;""</f>
      </c>
      <c r="P1429">
        <f>[1]资金台帐!P1429&amp;""</f>
      </c>
      <c r="Q1429">
        <f>[1]资金台帐!Q1429&amp;""</f>
      </c>
      <c r="T1429">
        <f>[1]资金台帐!T1429&amp;""</f>
      </c>
      <c r="U1429">
        <f>[1]资金台帐!U1429&amp;""</f>
      </c>
      <c r="W1429">
        <f>[1]资金台帐!W1429&amp;""</f>
      </c>
      <c r="X1429">
        <f>[1]资金台帐!X1429&amp;""</f>
      </c>
      <c r="AB1429">
        <f>[1]资金台帐!AB1429</f>
        <v>0</v>
      </c>
      <c r="AC1429">
        <f>[1]资金台帐!AC1429</f>
        <v>0</v>
      </c>
      <c r="AD1429">
        <f>[1]资金台帐!AD1429</f>
        <v>0</v>
      </c>
      <c r="AJ1429">
        <f>[1]资金台帐!AJ1429</f>
        <v>0</v>
      </c>
      <c r="AK1429">
        <f>[1]资金台帐!AK1429</f>
        <v>0</v>
      </c>
      <c r="BA1429" s="22">
        <f t="shared" si="0"/>
      </c>
      <c r="BG1429" s="22">
        <f t="shared" si="1"/>
      </c>
      <c r="BH1429" s="22">
        <f t="shared" si="2"/>
        <v>0</v>
      </c>
    </row>
    <row r="1430">
      <c r="B1430">
        <f>[1]资金台帐!B1430&amp;""</f>
      </c>
      <c r="H1430">
        <f>[1]资金台帐!H1430&amp;""</f>
      </c>
      <c r="J1430">
        <f>[1]资金台帐!J1430&amp;""</f>
      </c>
      <c r="N1430">
        <f>[1]资金台帐!N1430</f>
      </c>
      <c r="O1430">
        <f>[1]资金台帐!O1430&amp;""</f>
      </c>
      <c r="P1430">
        <f>[1]资金台帐!P1430&amp;""</f>
      </c>
      <c r="Q1430">
        <f>[1]资金台帐!Q1430&amp;""</f>
      </c>
      <c r="T1430">
        <f>[1]资金台帐!T1430&amp;""</f>
      </c>
      <c r="U1430">
        <f>[1]资金台帐!U1430&amp;""</f>
      </c>
      <c r="W1430">
        <f>[1]资金台帐!W1430&amp;""</f>
      </c>
      <c r="X1430">
        <f>[1]资金台帐!X1430&amp;""</f>
      </c>
      <c r="AB1430">
        <f>[1]资金台帐!AB1430</f>
        <v>0</v>
      </c>
      <c r="AC1430">
        <f>[1]资金台帐!AC1430</f>
        <v>0</v>
      </c>
      <c r="AD1430">
        <f>[1]资金台帐!AD1430</f>
        <v>0</v>
      </c>
      <c r="AJ1430">
        <f>[1]资金台帐!AJ1430</f>
        <v>0</v>
      </c>
      <c r="AK1430">
        <f>[1]资金台帐!AK1430</f>
        <v>0</v>
      </c>
      <c r="BA1430" s="22">
        <f t="shared" si="0"/>
      </c>
      <c r="BG1430" s="22">
        <f t="shared" si="1"/>
      </c>
      <c r="BH1430" s="22">
        <f t="shared" si="2"/>
        <v>0</v>
      </c>
    </row>
    <row r="1431">
      <c r="B1431">
        <f>[1]资金台帐!B1431&amp;""</f>
      </c>
      <c r="H1431">
        <f>[1]资金台帐!H1431&amp;""</f>
      </c>
      <c r="J1431">
        <f>[1]资金台帐!J1431&amp;""</f>
      </c>
      <c r="N1431">
        <f>[1]资金台帐!N1431</f>
      </c>
      <c r="O1431">
        <f>[1]资金台帐!O1431&amp;""</f>
      </c>
      <c r="P1431">
        <f>[1]资金台帐!P1431&amp;""</f>
      </c>
      <c r="Q1431">
        <f>[1]资金台帐!Q1431&amp;""</f>
      </c>
      <c r="T1431">
        <f>[1]资金台帐!T1431&amp;""</f>
      </c>
      <c r="U1431">
        <f>[1]资金台帐!U1431&amp;""</f>
      </c>
      <c r="W1431">
        <f>[1]资金台帐!W1431&amp;""</f>
      </c>
      <c r="X1431">
        <f>[1]资金台帐!X1431&amp;""</f>
      </c>
      <c r="AB1431">
        <f>[1]资金台帐!AB1431</f>
        <v>0</v>
      </c>
      <c r="AC1431">
        <f>[1]资金台帐!AC1431</f>
        <v>0</v>
      </c>
      <c r="AD1431">
        <f>[1]资金台帐!AD1431</f>
        <v>0</v>
      </c>
      <c r="AJ1431">
        <f>[1]资金台帐!AJ1431</f>
        <v>0</v>
      </c>
      <c r="AK1431">
        <f>[1]资金台帐!AK1431</f>
        <v>0</v>
      </c>
      <c r="BA1431" s="22">
        <f t="shared" si="0"/>
      </c>
      <c r="BG1431" s="22">
        <f t="shared" si="1"/>
      </c>
      <c r="BH1431" s="22">
        <f t="shared" si="2"/>
        <v>0</v>
      </c>
    </row>
    <row r="1432">
      <c r="B1432">
        <f>[1]资金台帐!B1432&amp;""</f>
      </c>
      <c r="H1432">
        <f>[1]资金台帐!H1432&amp;""</f>
      </c>
      <c r="J1432">
        <f>[1]资金台帐!J1432&amp;""</f>
      </c>
      <c r="N1432">
        <f>[1]资金台帐!N1432</f>
      </c>
      <c r="O1432">
        <f>[1]资金台帐!O1432&amp;""</f>
      </c>
      <c r="P1432">
        <f>[1]资金台帐!P1432&amp;""</f>
      </c>
      <c r="Q1432">
        <f>[1]资金台帐!Q1432&amp;""</f>
      </c>
      <c r="T1432">
        <f>[1]资金台帐!T1432&amp;""</f>
      </c>
      <c r="U1432">
        <f>[1]资金台帐!U1432&amp;""</f>
      </c>
      <c r="W1432">
        <f>[1]资金台帐!W1432&amp;""</f>
      </c>
      <c r="X1432">
        <f>[1]资金台帐!X1432&amp;""</f>
      </c>
      <c r="AB1432">
        <f>[1]资金台帐!AB1432</f>
        <v>0</v>
      </c>
      <c r="AC1432">
        <f>[1]资金台帐!AC1432</f>
        <v>0</v>
      </c>
      <c r="AD1432">
        <f>[1]资金台帐!AD1432</f>
        <v>0</v>
      </c>
      <c r="AJ1432">
        <f>[1]资金台帐!AJ1432</f>
        <v>0</v>
      </c>
      <c r="AK1432">
        <f>[1]资金台帐!AK1432</f>
        <v>0</v>
      </c>
      <c r="BA1432" s="22">
        <f t="shared" si="0"/>
      </c>
      <c r="BG1432" s="22">
        <f t="shared" si="1"/>
      </c>
      <c r="BH1432" s="22">
        <f t="shared" si="2"/>
        <v>0</v>
      </c>
    </row>
    <row r="1433">
      <c r="B1433">
        <f>[1]资金台帐!B1433&amp;""</f>
      </c>
      <c r="H1433">
        <f>[1]资金台帐!H1433&amp;""</f>
      </c>
      <c r="J1433">
        <f>[1]资金台帐!J1433&amp;""</f>
      </c>
      <c r="N1433">
        <f>[1]资金台帐!N1433</f>
      </c>
      <c r="O1433">
        <f>[1]资金台帐!O1433&amp;""</f>
      </c>
      <c r="P1433">
        <f>[1]资金台帐!P1433&amp;""</f>
      </c>
      <c r="Q1433">
        <f>[1]资金台帐!Q1433&amp;""</f>
      </c>
      <c r="T1433">
        <f>[1]资金台帐!T1433&amp;""</f>
      </c>
      <c r="U1433">
        <f>[1]资金台帐!U1433&amp;""</f>
      </c>
      <c r="W1433">
        <f>[1]资金台帐!W1433&amp;""</f>
      </c>
      <c r="X1433">
        <f>[1]资金台帐!X1433&amp;""</f>
      </c>
      <c r="AB1433">
        <f>[1]资金台帐!AB1433</f>
        <v>0</v>
      </c>
      <c r="AC1433">
        <f>[1]资金台帐!AC1433</f>
        <v>0</v>
      </c>
      <c r="AD1433">
        <f>[1]资金台帐!AD1433</f>
        <v>0</v>
      </c>
      <c r="AJ1433">
        <f>[1]资金台帐!AJ1433</f>
        <v>0</v>
      </c>
      <c r="AK1433">
        <f>[1]资金台帐!AK1433</f>
        <v>0</v>
      </c>
      <c r="BA1433" s="22">
        <f t="shared" si="0"/>
      </c>
      <c r="BG1433" s="22">
        <f t="shared" si="1"/>
      </c>
      <c r="BH1433" s="22">
        <f t="shared" si="2"/>
        <v>0</v>
      </c>
    </row>
    <row r="1434">
      <c r="B1434">
        <f>[1]资金台帐!B1434&amp;""</f>
      </c>
      <c r="H1434">
        <f>[1]资金台帐!H1434&amp;""</f>
      </c>
      <c r="J1434">
        <f>[1]资金台帐!J1434&amp;""</f>
      </c>
      <c r="N1434">
        <f>[1]资金台帐!N1434</f>
      </c>
      <c r="O1434">
        <f>[1]资金台帐!O1434&amp;""</f>
      </c>
      <c r="P1434">
        <f>[1]资金台帐!P1434&amp;""</f>
      </c>
      <c r="Q1434">
        <f>[1]资金台帐!Q1434&amp;""</f>
      </c>
      <c r="T1434">
        <f>[1]资金台帐!T1434&amp;""</f>
      </c>
      <c r="U1434">
        <f>[1]资金台帐!U1434&amp;""</f>
      </c>
      <c r="W1434">
        <f>[1]资金台帐!W1434&amp;""</f>
      </c>
      <c r="X1434">
        <f>[1]资金台帐!X1434&amp;""</f>
      </c>
      <c r="AB1434">
        <f>[1]资金台帐!AB1434</f>
        <v>0</v>
      </c>
      <c r="AC1434">
        <f>[1]资金台帐!AC1434</f>
        <v>0</v>
      </c>
      <c r="AD1434">
        <f>[1]资金台帐!AD1434</f>
        <v>0</v>
      </c>
      <c r="AJ1434">
        <f>[1]资金台帐!AJ1434</f>
        <v>0</v>
      </c>
      <c r="AK1434">
        <f>[1]资金台帐!AK1434</f>
        <v>0</v>
      </c>
      <c r="BA1434" s="22">
        <f t="shared" si="0"/>
      </c>
      <c r="BG1434" s="22">
        <f t="shared" si="1"/>
      </c>
      <c r="BH1434" s="22">
        <f t="shared" si="2"/>
        <v>0</v>
      </c>
    </row>
    <row r="1435">
      <c r="B1435">
        <f>[1]资金台帐!B1435&amp;""</f>
      </c>
      <c r="H1435">
        <f>[1]资金台帐!H1435&amp;""</f>
      </c>
      <c r="J1435">
        <f>[1]资金台帐!J1435&amp;""</f>
      </c>
      <c r="N1435">
        <f>[1]资金台帐!N1435</f>
      </c>
      <c r="O1435">
        <f>[1]资金台帐!O1435&amp;""</f>
      </c>
      <c r="P1435">
        <f>[1]资金台帐!P1435&amp;""</f>
      </c>
      <c r="Q1435">
        <f>[1]资金台帐!Q1435&amp;""</f>
      </c>
      <c r="T1435">
        <f>[1]资金台帐!T1435&amp;""</f>
      </c>
      <c r="U1435">
        <f>[1]资金台帐!U1435&amp;""</f>
      </c>
      <c r="W1435">
        <f>[1]资金台帐!W1435&amp;""</f>
      </c>
      <c r="X1435">
        <f>[1]资金台帐!X1435&amp;""</f>
      </c>
      <c r="AB1435">
        <f>[1]资金台帐!AB1435</f>
        <v>0</v>
      </c>
      <c r="AC1435">
        <f>[1]资金台帐!AC1435</f>
        <v>0</v>
      </c>
      <c r="AD1435">
        <f>[1]资金台帐!AD1435</f>
        <v>0</v>
      </c>
      <c r="AJ1435">
        <f>[1]资金台帐!AJ1435</f>
        <v>0</v>
      </c>
      <c r="AK1435">
        <f>[1]资金台帐!AK1435</f>
        <v>0</v>
      </c>
      <c r="BA1435" s="22">
        <f t="shared" si="0"/>
      </c>
      <c r="BG1435" s="22">
        <f t="shared" si="1"/>
      </c>
      <c r="BH1435" s="22">
        <f t="shared" si="2"/>
        <v>0</v>
      </c>
    </row>
    <row r="1436">
      <c r="B1436">
        <f>[1]资金台帐!B1436&amp;""</f>
      </c>
      <c r="H1436">
        <f>[1]资金台帐!H1436&amp;""</f>
      </c>
      <c r="J1436">
        <f>[1]资金台帐!J1436&amp;""</f>
      </c>
      <c r="N1436">
        <f>[1]资金台帐!N1436</f>
      </c>
      <c r="O1436">
        <f>[1]资金台帐!O1436&amp;""</f>
      </c>
      <c r="P1436">
        <f>[1]资金台帐!P1436&amp;""</f>
      </c>
      <c r="Q1436">
        <f>[1]资金台帐!Q1436&amp;""</f>
      </c>
      <c r="T1436">
        <f>[1]资金台帐!T1436&amp;""</f>
      </c>
      <c r="U1436">
        <f>[1]资金台帐!U1436&amp;""</f>
      </c>
      <c r="W1436">
        <f>[1]资金台帐!W1436&amp;""</f>
      </c>
      <c r="X1436">
        <f>[1]资金台帐!X1436&amp;""</f>
      </c>
      <c r="AB1436">
        <f>[1]资金台帐!AB1436</f>
        <v>0</v>
      </c>
      <c r="AC1436">
        <f>[1]资金台帐!AC1436</f>
        <v>0</v>
      </c>
      <c r="AD1436">
        <f>[1]资金台帐!AD1436</f>
        <v>0</v>
      </c>
      <c r="AJ1436">
        <f>[1]资金台帐!AJ1436</f>
        <v>0</v>
      </c>
      <c r="AK1436">
        <f>[1]资金台帐!AK1436</f>
        <v>0</v>
      </c>
      <c r="BA1436" s="22">
        <f t="shared" si="0"/>
      </c>
      <c r="BG1436" s="22">
        <f t="shared" si="1"/>
      </c>
      <c r="BH1436" s="22">
        <f t="shared" si="2"/>
        <v>0</v>
      </c>
    </row>
    <row r="1437">
      <c r="B1437">
        <f>[1]资金台帐!B1437&amp;""</f>
      </c>
      <c r="H1437">
        <f>[1]资金台帐!H1437&amp;""</f>
      </c>
      <c r="J1437">
        <f>[1]资金台帐!J1437&amp;""</f>
      </c>
      <c r="N1437">
        <f>[1]资金台帐!N1437</f>
      </c>
      <c r="O1437">
        <f>[1]资金台帐!O1437&amp;""</f>
      </c>
      <c r="P1437">
        <f>[1]资金台帐!P1437&amp;""</f>
      </c>
      <c r="Q1437">
        <f>[1]资金台帐!Q1437&amp;""</f>
      </c>
      <c r="T1437">
        <f>[1]资金台帐!T1437&amp;""</f>
      </c>
      <c r="U1437">
        <f>[1]资金台帐!U1437&amp;""</f>
      </c>
      <c r="W1437">
        <f>[1]资金台帐!W1437&amp;""</f>
      </c>
      <c r="X1437">
        <f>[1]资金台帐!X1437&amp;""</f>
      </c>
      <c r="AB1437">
        <f>[1]资金台帐!AB1437</f>
        <v>0</v>
      </c>
      <c r="AC1437">
        <f>[1]资金台帐!AC1437</f>
        <v>0</v>
      </c>
      <c r="AD1437">
        <f>[1]资金台帐!AD1437</f>
        <v>0</v>
      </c>
      <c r="AJ1437">
        <f>[1]资金台帐!AJ1437</f>
        <v>0</v>
      </c>
      <c r="AK1437">
        <f>[1]资金台帐!AK1437</f>
        <v>0</v>
      </c>
      <c r="BA1437" s="22">
        <f t="shared" si="0"/>
      </c>
      <c r="BG1437" s="22">
        <f t="shared" si="1"/>
      </c>
      <c r="BH1437" s="22">
        <f t="shared" si="2"/>
        <v>0</v>
      </c>
    </row>
    <row r="1438">
      <c r="B1438">
        <f>[1]资金台帐!B1438&amp;""</f>
      </c>
      <c r="H1438">
        <f>[1]资金台帐!H1438&amp;""</f>
      </c>
      <c r="J1438">
        <f>[1]资金台帐!J1438&amp;""</f>
      </c>
      <c r="N1438">
        <f>[1]资金台帐!N1438</f>
      </c>
      <c r="O1438">
        <f>[1]资金台帐!O1438&amp;""</f>
      </c>
      <c r="P1438">
        <f>[1]资金台帐!P1438&amp;""</f>
      </c>
      <c r="Q1438">
        <f>[1]资金台帐!Q1438&amp;""</f>
      </c>
      <c r="T1438">
        <f>[1]资金台帐!T1438&amp;""</f>
      </c>
      <c r="U1438">
        <f>[1]资金台帐!U1438&amp;""</f>
      </c>
      <c r="W1438">
        <f>[1]资金台帐!W1438&amp;""</f>
      </c>
      <c r="X1438">
        <f>[1]资金台帐!X1438&amp;""</f>
      </c>
      <c r="AB1438">
        <f>[1]资金台帐!AB1438</f>
        <v>0</v>
      </c>
      <c r="AC1438">
        <f>[1]资金台帐!AC1438</f>
        <v>0</v>
      </c>
      <c r="AD1438">
        <f>[1]资金台帐!AD1438</f>
        <v>0</v>
      </c>
      <c r="AJ1438">
        <f>[1]资金台帐!AJ1438</f>
        <v>0</v>
      </c>
      <c r="AK1438">
        <f>[1]资金台帐!AK1438</f>
        <v>0</v>
      </c>
      <c r="BA1438" s="22">
        <f t="shared" si="0"/>
      </c>
      <c r="BG1438" s="22">
        <f t="shared" si="1"/>
      </c>
      <c r="BH1438" s="22">
        <f t="shared" si="2"/>
        <v>0</v>
      </c>
    </row>
    <row r="1439">
      <c r="B1439">
        <f>[1]资金台帐!B1439&amp;""</f>
      </c>
      <c r="H1439">
        <f>[1]资金台帐!H1439&amp;""</f>
      </c>
      <c r="J1439">
        <f>[1]资金台帐!J1439&amp;""</f>
      </c>
      <c r="N1439">
        <f>[1]资金台帐!N1439</f>
      </c>
      <c r="O1439">
        <f>[1]资金台帐!O1439&amp;""</f>
      </c>
      <c r="P1439">
        <f>[1]资金台帐!P1439&amp;""</f>
      </c>
      <c r="Q1439">
        <f>[1]资金台帐!Q1439&amp;""</f>
      </c>
      <c r="T1439">
        <f>[1]资金台帐!T1439&amp;""</f>
      </c>
      <c r="U1439">
        <f>[1]资金台帐!U1439&amp;""</f>
      </c>
      <c r="W1439">
        <f>[1]资金台帐!W1439&amp;""</f>
      </c>
      <c r="X1439">
        <f>[1]资金台帐!X1439&amp;""</f>
      </c>
      <c r="AB1439">
        <f>[1]资金台帐!AB1439</f>
        <v>0</v>
      </c>
      <c r="AC1439">
        <f>[1]资金台帐!AC1439</f>
        <v>0</v>
      </c>
      <c r="AD1439">
        <f>[1]资金台帐!AD1439</f>
        <v>0</v>
      </c>
      <c r="AJ1439">
        <f>[1]资金台帐!AJ1439</f>
        <v>0</v>
      </c>
      <c r="AK1439">
        <f>[1]资金台帐!AK1439</f>
        <v>0</v>
      </c>
      <c r="BA1439" s="22">
        <f t="shared" si="0"/>
      </c>
      <c r="BG1439" s="22">
        <f t="shared" si="1"/>
      </c>
      <c r="BH1439" s="22">
        <f t="shared" si="2"/>
        <v>0</v>
      </c>
    </row>
    <row r="1440">
      <c r="B1440">
        <f>[1]资金台帐!B1440&amp;""</f>
      </c>
      <c r="H1440">
        <f>[1]资金台帐!H1440&amp;""</f>
      </c>
      <c r="J1440">
        <f>[1]资金台帐!J1440&amp;""</f>
      </c>
      <c r="N1440">
        <f>[1]资金台帐!N1440</f>
      </c>
      <c r="O1440">
        <f>[1]资金台帐!O1440&amp;""</f>
      </c>
      <c r="P1440">
        <f>[1]资金台帐!P1440&amp;""</f>
      </c>
      <c r="Q1440">
        <f>[1]资金台帐!Q1440&amp;""</f>
      </c>
      <c r="T1440">
        <f>[1]资金台帐!T1440&amp;""</f>
      </c>
      <c r="U1440">
        <f>[1]资金台帐!U1440&amp;""</f>
      </c>
      <c r="W1440">
        <f>[1]资金台帐!W1440&amp;""</f>
      </c>
      <c r="X1440">
        <f>[1]资金台帐!X1440&amp;""</f>
      </c>
      <c r="AB1440">
        <f>[1]资金台帐!AB1440</f>
        <v>0</v>
      </c>
      <c r="AC1440">
        <f>[1]资金台帐!AC1440</f>
        <v>0</v>
      </c>
      <c r="AD1440">
        <f>[1]资金台帐!AD1440</f>
        <v>0</v>
      </c>
      <c r="AJ1440">
        <f>[1]资金台帐!AJ1440</f>
        <v>0</v>
      </c>
      <c r="AK1440">
        <f>[1]资金台帐!AK1440</f>
        <v>0</v>
      </c>
      <c r="BA1440" s="22">
        <f t="shared" si="0"/>
      </c>
      <c r="BG1440" s="22">
        <f t="shared" si="1"/>
      </c>
      <c r="BH1440" s="22">
        <f t="shared" si="2"/>
        <v>0</v>
      </c>
    </row>
    <row r="1441">
      <c r="B1441">
        <f>[1]资金台帐!B1441&amp;""</f>
      </c>
      <c r="H1441">
        <f>[1]资金台帐!H1441&amp;""</f>
      </c>
      <c r="J1441">
        <f>[1]资金台帐!J1441&amp;""</f>
      </c>
      <c r="N1441">
        <f>[1]资金台帐!N1441</f>
      </c>
      <c r="O1441">
        <f>[1]资金台帐!O1441&amp;""</f>
      </c>
      <c r="P1441">
        <f>[1]资金台帐!P1441&amp;""</f>
      </c>
      <c r="Q1441">
        <f>[1]资金台帐!Q1441&amp;""</f>
      </c>
      <c r="T1441">
        <f>[1]资金台帐!T1441&amp;""</f>
      </c>
      <c r="U1441">
        <f>[1]资金台帐!U1441&amp;""</f>
      </c>
      <c r="W1441">
        <f>[1]资金台帐!W1441&amp;""</f>
      </c>
      <c r="X1441">
        <f>[1]资金台帐!X1441&amp;""</f>
      </c>
      <c r="AB1441">
        <f>[1]资金台帐!AB1441</f>
        <v>0</v>
      </c>
      <c r="AC1441">
        <f>[1]资金台帐!AC1441</f>
        <v>0</v>
      </c>
      <c r="AD1441">
        <f>[1]资金台帐!AD1441</f>
        <v>0</v>
      </c>
      <c r="AJ1441">
        <f>[1]资金台帐!AJ1441</f>
        <v>0</v>
      </c>
      <c r="AK1441">
        <f>[1]资金台帐!AK1441</f>
        <v>0</v>
      </c>
      <c r="BA1441" s="22">
        <f t="shared" si="0"/>
      </c>
      <c r="BG1441" s="22">
        <f t="shared" si="1"/>
      </c>
      <c r="BH1441" s="22">
        <f t="shared" si="2"/>
        <v>0</v>
      </c>
    </row>
    <row r="1442">
      <c r="B1442">
        <f>[1]资金台帐!B1442&amp;""</f>
      </c>
      <c r="H1442">
        <f>[1]资金台帐!H1442&amp;""</f>
      </c>
      <c r="J1442">
        <f>[1]资金台帐!J1442&amp;""</f>
      </c>
      <c r="N1442">
        <f>[1]资金台帐!N1442</f>
      </c>
      <c r="O1442">
        <f>[1]资金台帐!O1442&amp;""</f>
      </c>
      <c r="P1442">
        <f>[1]资金台帐!P1442&amp;""</f>
      </c>
      <c r="Q1442">
        <f>[1]资金台帐!Q1442&amp;""</f>
      </c>
      <c r="T1442">
        <f>[1]资金台帐!T1442&amp;""</f>
      </c>
      <c r="U1442">
        <f>[1]资金台帐!U1442&amp;""</f>
      </c>
      <c r="W1442">
        <f>[1]资金台帐!W1442&amp;""</f>
      </c>
      <c r="X1442">
        <f>[1]资金台帐!X1442&amp;""</f>
      </c>
      <c r="AB1442">
        <f>[1]资金台帐!AB1442</f>
        <v>0</v>
      </c>
      <c r="AC1442">
        <f>[1]资金台帐!AC1442</f>
        <v>0</v>
      </c>
      <c r="AD1442">
        <f>[1]资金台帐!AD1442</f>
        <v>0</v>
      </c>
      <c r="AJ1442">
        <f>[1]资金台帐!AJ1442</f>
        <v>0</v>
      </c>
      <c r="AK1442">
        <f>[1]资金台帐!AK1442</f>
        <v>0</v>
      </c>
      <c r="BA1442" s="22">
        <f t="shared" si="0"/>
      </c>
      <c r="BG1442" s="22">
        <f t="shared" si="1"/>
      </c>
      <c r="BH1442" s="22">
        <f t="shared" si="2"/>
        <v>0</v>
      </c>
    </row>
    <row r="1443">
      <c r="B1443">
        <f>[1]资金台帐!B1443&amp;""</f>
      </c>
      <c r="H1443">
        <f>[1]资金台帐!H1443&amp;""</f>
      </c>
      <c r="J1443">
        <f>[1]资金台帐!J1443&amp;""</f>
      </c>
      <c r="N1443">
        <f>[1]资金台帐!N1443</f>
      </c>
      <c r="O1443">
        <f>[1]资金台帐!O1443&amp;""</f>
      </c>
      <c r="P1443">
        <f>[1]资金台帐!P1443&amp;""</f>
      </c>
      <c r="Q1443">
        <f>[1]资金台帐!Q1443&amp;""</f>
      </c>
      <c r="T1443">
        <f>[1]资金台帐!T1443&amp;""</f>
      </c>
      <c r="U1443">
        <f>[1]资金台帐!U1443&amp;""</f>
      </c>
      <c r="W1443">
        <f>[1]资金台帐!W1443&amp;""</f>
      </c>
      <c r="X1443">
        <f>[1]资金台帐!X1443&amp;""</f>
      </c>
      <c r="AB1443">
        <f>[1]资金台帐!AB1443</f>
        <v>0</v>
      </c>
      <c r="AC1443">
        <f>[1]资金台帐!AC1443</f>
        <v>0</v>
      </c>
      <c r="AD1443">
        <f>[1]资金台帐!AD1443</f>
        <v>0</v>
      </c>
      <c r="AJ1443">
        <f>[1]资金台帐!AJ1443</f>
        <v>0</v>
      </c>
      <c r="AK1443">
        <f>[1]资金台帐!AK1443</f>
        <v>0</v>
      </c>
      <c r="BA1443" s="22">
        <f t="shared" si="0"/>
      </c>
      <c r="BG1443" s="22">
        <f t="shared" si="1"/>
      </c>
      <c r="BH1443" s="22">
        <f t="shared" si="2"/>
        <v>0</v>
      </c>
    </row>
    <row r="1444">
      <c r="B1444">
        <f>[1]资金台帐!B1444&amp;""</f>
      </c>
      <c r="H1444">
        <f>[1]资金台帐!H1444&amp;""</f>
      </c>
      <c r="J1444">
        <f>[1]资金台帐!J1444&amp;""</f>
      </c>
      <c r="N1444">
        <f>[1]资金台帐!N1444</f>
      </c>
      <c r="O1444">
        <f>[1]资金台帐!O1444&amp;""</f>
      </c>
      <c r="P1444">
        <f>[1]资金台帐!P1444&amp;""</f>
      </c>
      <c r="Q1444">
        <f>[1]资金台帐!Q1444&amp;""</f>
      </c>
      <c r="T1444">
        <f>[1]资金台帐!T1444&amp;""</f>
      </c>
      <c r="U1444">
        <f>[1]资金台帐!U1444&amp;""</f>
      </c>
      <c r="W1444">
        <f>[1]资金台帐!W1444&amp;""</f>
      </c>
      <c r="X1444">
        <f>[1]资金台帐!X1444&amp;""</f>
      </c>
      <c r="AB1444">
        <f>[1]资金台帐!AB1444</f>
        <v>0</v>
      </c>
      <c r="AC1444">
        <f>[1]资金台帐!AC1444</f>
        <v>0</v>
      </c>
      <c r="AD1444">
        <f>[1]资金台帐!AD1444</f>
        <v>0</v>
      </c>
      <c r="AJ1444">
        <f>[1]资金台帐!AJ1444</f>
        <v>0</v>
      </c>
      <c r="AK1444">
        <f>[1]资金台帐!AK1444</f>
        <v>0</v>
      </c>
      <c r="BA1444" s="22">
        <f t="shared" si="0"/>
      </c>
      <c r="BG1444" s="22">
        <f t="shared" si="1"/>
      </c>
      <c r="BH1444" s="22">
        <f t="shared" si="2"/>
        <v>0</v>
      </c>
    </row>
    <row r="1445">
      <c r="B1445">
        <f>[1]资金台帐!B1445&amp;""</f>
      </c>
      <c r="H1445">
        <f>[1]资金台帐!H1445&amp;""</f>
      </c>
      <c r="J1445">
        <f>[1]资金台帐!J1445&amp;""</f>
      </c>
      <c r="N1445">
        <f>[1]资金台帐!N1445</f>
      </c>
      <c r="O1445">
        <f>[1]资金台帐!O1445&amp;""</f>
      </c>
      <c r="P1445">
        <f>[1]资金台帐!P1445&amp;""</f>
      </c>
      <c r="Q1445">
        <f>[1]资金台帐!Q1445&amp;""</f>
      </c>
      <c r="T1445">
        <f>[1]资金台帐!T1445&amp;""</f>
      </c>
      <c r="U1445">
        <f>[1]资金台帐!U1445&amp;""</f>
      </c>
      <c r="W1445">
        <f>[1]资金台帐!W1445&amp;""</f>
      </c>
      <c r="X1445">
        <f>[1]资金台帐!X1445&amp;""</f>
      </c>
      <c r="AB1445">
        <f>[1]资金台帐!AB1445</f>
        <v>0</v>
      </c>
      <c r="AC1445">
        <f>[1]资金台帐!AC1445</f>
        <v>0</v>
      </c>
      <c r="AD1445">
        <f>[1]资金台帐!AD1445</f>
        <v>0</v>
      </c>
      <c r="AJ1445">
        <f>[1]资金台帐!AJ1445</f>
        <v>0</v>
      </c>
      <c r="AK1445">
        <f>[1]资金台帐!AK1445</f>
        <v>0</v>
      </c>
      <c r="BA1445" s="22">
        <f t="shared" si="0"/>
      </c>
      <c r="BG1445" s="22">
        <f t="shared" si="1"/>
      </c>
      <c r="BH1445" s="22">
        <f t="shared" si="2"/>
        <v>0</v>
      </c>
    </row>
    <row r="1446">
      <c r="B1446">
        <f>[1]资金台帐!B1446&amp;""</f>
      </c>
      <c r="H1446">
        <f>[1]资金台帐!H1446&amp;""</f>
      </c>
      <c r="J1446">
        <f>[1]资金台帐!J1446&amp;""</f>
      </c>
      <c r="N1446">
        <f>[1]资金台帐!N1446</f>
      </c>
      <c r="O1446">
        <f>[1]资金台帐!O1446&amp;""</f>
      </c>
      <c r="P1446">
        <f>[1]资金台帐!P1446&amp;""</f>
      </c>
      <c r="Q1446">
        <f>[1]资金台帐!Q1446&amp;""</f>
      </c>
      <c r="T1446">
        <f>[1]资金台帐!T1446&amp;""</f>
      </c>
      <c r="U1446">
        <f>[1]资金台帐!U1446&amp;""</f>
      </c>
      <c r="W1446">
        <f>[1]资金台帐!W1446&amp;""</f>
      </c>
      <c r="X1446">
        <f>[1]资金台帐!X1446&amp;""</f>
      </c>
      <c r="AB1446">
        <f>[1]资金台帐!AB1446</f>
        <v>0</v>
      </c>
      <c r="AC1446">
        <f>[1]资金台帐!AC1446</f>
        <v>0</v>
      </c>
      <c r="AD1446">
        <f>[1]资金台帐!AD1446</f>
        <v>0</v>
      </c>
      <c r="AJ1446">
        <f>[1]资金台帐!AJ1446</f>
        <v>0</v>
      </c>
      <c r="AK1446">
        <f>[1]资金台帐!AK1446</f>
        <v>0</v>
      </c>
      <c r="BA1446" s="22">
        <f t="shared" si="0"/>
      </c>
      <c r="BG1446" s="22">
        <f t="shared" si="1"/>
      </c>
      <c r="BH1446" s="22">
        <f t="shared" si="2"/>
        <v>0</v>
      </c>
    </row>
    <row r="1447">
      <c r="B1447">
        <f>[1]资金台帐!B1447&amp;""</f>
      </c>
      <c r="H1447">
        <f>[1]资金台帐!H1447&amp;""</f>
      </c>
      <c r="J1447">
        <f>[1]资金台帐!J1447&amp;""</f>
      </c>
      <c r="N1447">
        <f>[1]资金台帐!N1447</f>
      </c>
      <c r="O1447">
        <f>[1]资金台帐!O1447&amp;""</f>
      </c>
      <c r="P1447">
        <f>[1]资金台帐!P1447&amp;""</f>
      </c>
      <c r="Q1447">
        <f>[1]资金台帐!Q1447&amp;""</f>
      </c>
      <c r="T1447">
        <f>[1]资金台帐!T1447&amp;""</f>
      </c>
      <c r="U1447">
        <f>[1]资金台帐!U1447&amp;""</f>
      </c>
      <c r="W1447">
        <f>[1]资金台帐!W1447&amp;""</f>
      </c>
      <c r="X1447">
        <f>[1]资金台帐!X1447&amp;""</f>
      </c>
      <c r="AB1447">
        <f>[1]资金台帐!AB1447</f>
        <v>0</v>
      </c>
      <c r="AC1447">
        <f>[1]资金台帐!AC1447</f>
        <v>0</v>
      </c>
      <c r="AD1447">
        <f>[1]资金台帐!AD1447</f>
        <v>0</v>
      </c>
      <c r="AJ1447">
        <f>[1]资金台帐!AJ1447</f>
        <v>0</v>
      </c>
      <c r="AK1447">
        <f>[1]资金台帐!AK1447</f>
        <v>0</v>
      </c>
      <c r="BA1447" s="22">
        <f t="shared" si="0"/>
      </c>
      <c r="BG1447" s="22">
        <f t="shared" si="1"/>
      </c>
      <c r="BH1447" s="22">
        <f t="shared" si="2"/>
        <v>0</v>
      </c>
    </row>
    <row r="1448">
      <c r="B1448">
        <f>[1]资金台帐!B1448&amp;""</f>
      </c>
      <c r="H1448">
        <f>[1]资金台帐!H1448&amp;""</f>
      </c>
      <c r="J1448">
        <f>[1]资金台帐!J1448&amp;""</f>
      </c>
      <c r="N1448">
        <f>[1]资金台帐!N1448</f>
      </c>
      <c r="O1448">
        <f>[1]资金台帐!O1448&amp;""</f>
      </c>
      <c r="P1448">
        <f>[1]资金台帐!P1448&amp;""</f>
      </c>
      <c r="Q1448">
        <f>[1]资金台帐!Q1448&amp;""</f>
      </c>
      <c r="T1448">
        <f>[1]资金台帐!T1448&amp;""</f>
      </c>
      <c r="U1448">
        <f>[1]资金台帐!U1448&amp;""</f>
      </c>
      <c r="W1448">
        <f>[1]资金台帐!W1448&amp;""</f>
      </c>
      <c r="X1448">
        <f>[1]资金台帐!X1448&amp;""</f>
      </c>
      <c r="AB1448">
        <f>[1]资金台帐!AB1448</f>
        <v>0</v>
      </c>
      <c r="AC1448">
        <f>[1]资金台帐!AC1448</f>
        <v>0</v>
      </c>
      <c r="AD1448">
        <f>[1]资金台帐!AD1448</f>
        <v>0</v>
      </c>
      <c r="AJ1448">
        <f>[1]资金台帐!AJ1448</f>
        <v>0</v>
      </c>
      <c r="AK1448">
        <f>[1]资金台帐!AK1448</f>
        <v>0</v>
      </c>
      <c r="BA1448" s="22">
        <f t="shared" si="0"/>
      </c>
      <c r="BG1448" s="22">
        <f t="shared" si="1"/>
      </c>
      <c r="BH1448" s="22">
        <f t="shared" si="2"/>
        <v>0</v>
      </c>
    </row>
    <row r="1449">
      <c r="B1449">
        <f>[1]资金台帐!B1449&amp;""</f>
      </c>
      <c r="H1449">
        <f>[1]资金台帐!H1449&amp;""</f>
      </c>
      <c r="J1449">
        <f>[1]资金台帐!J1449&amp;""</f>
      </c>
      <c r="N1449">
        <f>[1]资金台帐!N1449</f>
      </c>
      <c r="O1449">
        <f>[1]资金台帐!O1449&amp;""</f>
      </c>
      <c r="P1449">
        <f>[1]资金台帐!P1449&amp;""</f>
      </c>
      <c r="Q1449">
        <f>[1]资金台帐!Q1449&amp;""</f>
      </c>
      <c r="T1449">
        <f>[1]资金台帐!T1449&amp;""</f>
      </c>
      <c r="U1449">
        <f>[1]资金台帐!U1449&amp;""</f>
      </c>
      <c r="W1449">
        <f>[1]资金台帐!W1449&amp;""</f>
      </c>
      <c r="X1449">
        <f>[1]资金台帐!X1449&amp;""</f>
      </c>
      <c r="AB1449">
        <f>[1]资金台帐!AB1449</f>
        <v>0</v>
      </c>
      <c r="AC1449">
        <f>[1]资金台帐!AC1449</f>
        <v>0</v>
      </c>
      <c r="AD1449">
        <f>[1]资金台帐!AD1449</f>
        <v>0</v>
      </c>
      <c r="AJ1449">
        <f>[1]资金台帐!AJ1449</f>
        <v>0</v>
      </c>
      <c r="AK1449">
        <f>[1]资金台帐!AK1449</f>
        <v>0</v>
      </c>
      <c r="BA1449" s="22">
        <f t="shared" si="0"/>
      </c>
      <c r="BG1449" s="22">
        <f t="shared" si="1"/>
      </c>
      <c r="BH1449" s="22">
        <f t="shared" si="2"/>
        <v>0</v>
      </c>
    </row>
    <row r="1450">
      <c r="B1450">
        <f>[1]资金台帐!B1450&amp;""</f>
      </c>
      <c r="H1450">
        <f>[1]资金台帐!H1450&amp;""</f>
      </c>
      <c r="J1450">
        <f>[1]资金台帐!J1450&amp;""</f>
      </c>
      <c r="N1450">
        <f>[1]资金台帐!N1450</f>
      </c>
      <c r="O1450">
        <f>[1]资金台帐!O1450&amp;""</f>
      </c>
      <c r="P1450">
        <f>[1]资金台帐!P1450&amp;""</f>
      </c>
      <c r="Q1450">
        <f>[1]资金台帐!Q1450&amp;""</f>
      </c>
      <c r="T1450">
        <f>[1]资金台帐!T1450&amp;""</f>
      </c>
      <c r="U1450">
        <f>[1]资金台帐!U1450&amp;""</f>
      </c>
      <c r="W1450">
        <f>[1]资金台帐!W1450&amp;""</f>
      </c>
      <c r="X1450">
        <f>[1]资金台帐!X1450&amp;""</f>
      </c>
      <c r="AB1450">
        <f>[1]资金台帐!AB1450</f>
        <v>0</v>
      </c>
      <c r="AC1450">
        <f>[1]资金台帐!AC1450</f>
        <v>0</v>
      </c>
      <c r="AD1450">
        <f>[1]资金台帐!AD1450</f>
        <v>0</v>
      </c>
      <c r="AJ1450">
        <f>[1]资金台帐!AJ1450</f>
        <v>0</v>
      </c>
      <c r="AK1450">
        <f>[1]资金台帐!AK1450</f>
        <v>0</v>
      </c>
      <c r="BA1450" s="22">
        <f t="shared" si="0"/>
      </c>
      <c r="BG1450" s="22">
        <f t="shared" si="1"/>
      </c>
      <c r="BH1450" s="22">
        <f t="shared" si="2"/>
        <v>0</v>
      </c>
    </row>
    <row r="1451">
      <c r="B1451">
        <f>[1]资金台帐!B1451&amp;""</f>
      </c>
      <c r="H1451">
        <f>[1]资金台帐!H1451&amp;""</f>
      </c>
      <c r="J1451">
        <f>[1]资金台帐!J1451&amp;""</f>
      </c>
      <c r="N1451">
        <f>[1]资金台帐!N1451</f>
      </c>
      <c r="O1451">
        <f>[1]资金台帐!O1451&amp;""</f>
      </c>
      <c r="P1451">
        <f>[1]资金台帐!P1451&amp;""</f>
      </c>
      <c r="Q1451">
        <f>[1]资金台帐!Q1451&amp;""</f>
      </c>
      <c r="T1451">
        <f>[1]资金台帐!T1451&amp;""</f>
      </c>
      <c r="U1451">
        <f>[1]资金台帐!U1451&amp;""</f>
      </c>
      <c r="W1451">
        <f>[1]资金台帐!W1451&amp;""</f>
      </c>
      <c r="X1451">
        <f>[1]资金台帐!X1451&amp;""</f>
      </c>
      <c r="AB1451">
        <f>[1]资金台帐!AB1451</f>
        <v>0</v>
      </c>
      <c r="AC1451">
        <f>[1]资金台帐!AC1451</f>
        <v>0</v>
      </c>
      <c r="AD1451">
        <f>[1]资金台帐!AD1451</f>
        <v>0</v>
      </c>
      <c r="AJ1451">
        <f>[1]资金台帐!AJ1451</f>
        <v>0</v>
      </c>
      <c r="AK1451">
        <f>[1]资金台帐!AK1451</f>
        <v>0</v>
      </c>
      <c r="BA1451" s="22">
        <f t="shared" si="0"/>
      </c>
      <c r="BG1451" s="22">
        <f t="shared" si="1"/>
      </c>
      <c r="BH1451" s="22">
        <f t="shared" si="2"/>
        <v>0</v>
      </c>
    </row>
    <row r="1452">
      <c r="B1452">
        <f>[1]资金台帐!B1452&amp;""</f>
      </c>
      <c r="H1452">
        <f>[1]资金台帐!H1452&amp;""</f>
      </c>
      <c r="J1452">
        <f>[1]资金台帐!J1452&amp;""</f>
      </c>
      <c r="N1452">
        <f>[1]资金台帐!N1452</f>
      </c>
      <c r="O1452">
        <f>[1]资金台帐!O1452&amp;""</f>
      </c>
      <c r="P1452">
        <f>[1]资金台帐!P1452&amp;""</f>
      </c>
      <c r="Q1452">
        <f>[1]资金台帐!Q1452&amp;""</f>
      </c>
      <c r="T1452">
        <f>[1]资金台帐!T1452&amp;""</f>
      </c>
      <c r="U1452">
        <f>[1]资金台帐!U1452&amp;""</f>
      </c>
      <c r="W1452">
        <f>[1]资金台帐!W1452&amp;""</f>
      </c>
      <c r="X1452">
        <f>[1]资金台帐!X1452&amp;""</f>
      </c>
      <c r="AB1452">
        <f>[1]资金台帐!AB1452</f>
        <v>0</v>
      </c>
      <c r="AC1452">
        <f>[1]资金台帐!AC1452</f>
        <v>0</v>
      </c>
      <c r="AD1452">
        <f>[1]资金台帐!AD1452</f>
        <v>0</v>
      </c>
      <c r="AJ1452">
        <f>[1]资金台帐!AJ1452</f>
        <v>0</v>
      </c>
      <c r="AK1452">
        <f>[1]资金台帐!AK1452</f>
        <v>0</v>
      </c>
      <c r="BA1452" s="22">
        <f t="shared" si="0"/>
      </c>
      <c r="BG1452" s="22">
        <f t="shared" si="1"/>
      </c>
      <c r="BH1452" s="22">
        <f t="shared" si="2"/>
        <v>0</v>
      </c>
    </row>
    <row r="1453">
      <c r="B1453">
        <f>[1]资金台帐!B1453&amp;""</f>
      </c>
      <c r="H1453">
        <f>[1]资金台帐!H1453&amp;""</f>
      </c>
      <c r="J1453">
        <f>[1]资金台帐!J1453&amp;""</f>
      </c>
      <c r="N1453">
        <f>[1]资金台帐!N1453</f>
      </c>
      <c r="O1453">
        <f>[1]资金台帐!O1453&amp;""</f>
      </c>
      <c r="P1453">
        <f>[1]资金台帐!P1453&amp;""</f>
      </c>
      <c r="Q1453">
        <f>[1]资金台帐!Q1453&amp;""</f>
      </c>
      <c r="T1453">
        <f>[1]资金台帐!T1453&amp;""</f>
      </c>
      <c r="U1453">
        <f>[1]资金台帐!U1453&amp;""</f>
      </c>
      <c r="W1453">
        <f>[1]资金台帐!W1453&amp;""</f>
      </c>
      <c r="X1453">
        <f>[1]资金台帐!X1453&amp;""</f>
      </c>
      <c r="AB1453">
        <f>[1]资金台帐!AB1453</f>
        <v>0</v>
      </c>
      <c r="AC1453">
        <f>[1]资金台帐!AC1453</f>
        <v>0</v>
      </c>
      <c r="AD1453">
        <f>[1]资金台帐!AD1453</f>
        <v>0</v>
      </c>
      <c r="AJ1453">
        <f>[1]资金台帐!AJ1453</f>
        <v>0</v>
      </c>
      <c r="AK1453">
        <f>[1]资金台帐!AK1453</f>
        <v>0</v>
      </c>
      <c r="BA1453" s="22">
        <f t="shared" si="0"/>
      </c>
      <c r="BG1453" s="22">
        <f t="shared" si="1"/>
      </c>
      <c r="BH1453" s="22">
        <f t="shared" si="2"/>
        <v>0</v>
      </c>
    </row>
    <row r="1454">
      <c r="B1454">
        <f>[1]资金台帐!B1454&amp;""</f>
      </c>
      <c r="H1454">
        <f>[1]资金台帐!H1454&amp;""</f>
      </c>
      <c r="J1454">
        <f>[1]资金台帐!J1454&amp;""</f>
      </c>
      <c r="N1454">
        <f>[1]资金台帐!N1454</f>
      </c>
      <c r="O1454">
        <f>[1]资金台帐!O1454&amp;""</f>
      </c>
      <c r="P1454">
        <f>[1]资金台帐!P1454&amp;""</f>
      </c>
      <c r="Q1454">
        <f>[1]资金台帐!Q1454&amp;""</f>
      </c>
      <c r="T1454">
        <f>[1]资金台帐!T1454&amp;""</f>
      </c>
      <c r="U1454">
        <f>[1]资金台帐!U1454&amp;""</f>
      </c>
      <c r="W1454">
        <f>[1]资金台帐!W1454&amp;""</f>
      </c>
      <c r="X1454">
        <f>[1]资金台帐!X1454&amp;""</f>
      </c>
      <c r="AB1454">
        <f>[1]资金台帐!AB1454</f>
        <v>0</v>
      </c>
      <c r="AC1454">
        <f>[1]资金台帐!AC1454</f>
        <v>0</v>
      </c>
      <c r="AD1454">
        <f>[1]资金台帐!AD1454</f>
        <v>0</v>
      </c>
      <c r="AJ1454">
        <f>[1]资金台帐!AJ1454</f>
        <v>0</v>
      </c>
      <c r="AK1454">
        <f>[1]资金台帐!AK1454</f>
        <v>0</v>
      </c>
      <c r="BA1454" s="22">
        <f t="shared" si="0"/>
      </c>
      <c r="BG1454" s="22">
        <f t="shared" si="1"/>
      </c>
      <c r="BH1454" s="22">
        <f t="shared" si="2"/>
        <v>0</v>
      </c>
    </row>
    <row r="1455">
      <c r="B1455">
        <f>[1]资金台帐!B1455&amp;""</f>
      </c>
      <c r="H1455">
        <f>[1]资金台帐!H1455&amp;""</f>
      </c>
      <c r="J1455">
        <f>[1]资金台帐!J1455&amp;""</f>
      </c>
      <c r="N1455">
        <f>[1]资金台帐!N1455</f>
      </c>
      <c r="O1455">
        <f>[1]资金台帐!O1455&amp;""</f>
      </c>
      <c r="P1455">
        <f>[1]资金台帐!P1455&amp;""</f>
      </c>
      <c r="Q1455">
        <f>[1]资金台帐!Q1455&amp;""</f>
      </c>
      <c r="T1455">
        <f>[1]资金台帐!T1455&amp;""</f>
      </c>
      <c r="U1455">
        <f>[1]资金台帐!U1455&amp;""</f>
      </c>
      <c r="W1455">
        <f>[1]资金台帐!W1455&amp;""</f>
      </c>
      <c r="X1455">
        <f>[1]资金台帐!X1455&amp;""</f>
      </c>
      <c r="AB1455">
        <f>[1]资金台帐!AB1455</f>
        <v>0</v>
      </c>
      <c r="AC1455">
        <f>[1]资金台帐!AC1455</f>
        <v>0</v>
      </c>
      <c r="AD1455">
        <f>[1]资金台帐!AD1455</f>
        <v>0</v>
      </c>
      <c r="AJ1455">
        <f>[1]资金台帐!AJ1455</f>
        <v>0</v>
      </c>
      <c r="AK1455">
        <f>[1]资金台帐!AK1455</f>
        <v>0</v>
      </c>
      <c r="BA1455" s="22">
        <f t="shared" si="0"/>
      </c>
      <c r="BG1455" s="22">
        <f t="shared" si="1"/>
      </c>
      <c r="BH1455" s="22">
        <f t="shared" si="2"/>
        <v>0</v>
      </c>
    </row>
    <row r="1456">
      <c r="B1456">
        <f>[1]资金台帐!B1456&amp;""</f>
      </c>
      <c r="H1456">
        <f>[1]资金台帐!H1456&amp;""</f>
      </c>
      <c r="J1456">
        <f>[1]资金台帐!J1456&amp;""</f>
      </c>
      <c r="N1456">
        <f>[1]资金台帐!N1456</f>
      </c>
      <c r="O1456">
        <f>[1]资金台帐!O1456&amp;""</f>
      </c>
      <c r="P1456">
        <f>[1]资金台帐!P1456&amp;""</f>
      </c>
      <c r="Q1456">
        <f>[1]资金台帐!Q1456&amp;""</f>
      </c>
      <c r="T1456">
        <f>[1]资金台帐!T1456&amp;""</f>
      </c>
      <c r="U1456">
        <f>[1]资金台帐!U1456&amp;""</f>
      </c>
      <c r="W1456">
        <f>[1]资金台帐!W1456&amp;""</f>
      </c>
      <c r="X1456">
        <f>[1]资金台帐!X1456&amp;""</f>
      </c>
      <c r="AB1456">
        <f>[1]资金台帐!AB1456</f>
        <v>0</v>
      </c>
      <c r="AC1456">
        <f>[1]资金台帐!AC1456</f>
        <v>0</v>
      </c>
      <c r="AD1456">
        <f>[1]资金台帐!AD1456</f>
        <v>0</v>
      </c>
      <c r="AJ1456">
        <f>[1]资金台帐!AJ1456</f>
        <v>0</v>
      </c>
      <c r="AK1456">
        <f>[1]资金台帐!AK1456</f>
        <v>0</v>
      </c>
      <c r="BA1456" s="22">
        <f t="shared" si="0"/>
      </c>
      <c r="BG1456" s="22">
        <f t="shared" si="1"/>
      </c>
      <c r="BH1456" s="22">
        <f t="shared" si="2"/>
        <v>0</v>
      </c>
    </row>
    <row r="1457">
      <c r="B1457">
        <f>[1]资金台帐!B1457&amp;""</f>
      </c>
      <c r="H1457">
        <f>[1]资金台帐!H1457&amp;""</f>
      </c>
      <c r="J1457">
        <f>[1]资金台帐!J1457&amp;""</f>
      </c>
      <c r="N1457">
        <f>[1]资金台帐!N1457</f>
      </c>
      <c r="O1457">
        <f>[1]资金台帐!O1457&amp;""</f>
      </c>
      <c r="P1457">
        <f>[1]资金台帐!P1457&amp;""</f>
      </c>
      <c r="Q1457">
        <f>[1]资金台帐!Q1457&amp;""</f>
      </c>
      <c r="T1457">
        <f>[1]资金台帐!T1457&amp;""</f>
      </c>
      <c r="U1457">
        <f>[1]资金台帐!U1457&amp;""</f>
      </c>
      <c r="W1457">
        <f>[1]资金台帐!W1457&amp;""</f>
      </c>
      <c r="X1457">
        <f>[1]资金台帐!X1457&amp;""</f>
      </c>
      <c r="AB1457">
        <f>[1]资金台帐!AB1457</f>
        <v>0</v>
      </c>
      <c r="AC1457">
        <f>[1]资金台帐!AC1457</f>
        <v>0</v>
      </c>
      <c r="AD1457">
        <f>[1]资金台帐!AD1457</f>
        <v>0</v>
      </c>
      <c r="AJ1457">
        <f>[1]资金台帐!AJ1457</f>
        <v>0</v>
      </c>
      <c r="AK1457">
        <f>[1]资金台帐!AK1457</f>
        <v>0</v>
      </c>
      <c r="BA1457" s="22">
        <f t="shared" si="0"/>
      </c>
      <c r="BG1457" s="22">
        <f t="shared" si="1"/>
      </c>
      <c r="BH1457" s="22">
        <f t="shared" si="2"/>
        <v>0</v>
      </c>
    </row>
    <row r="1458">
      <c r="B1458">
        <f>[1]资金台帐!B1458&amp;""</f>
      </c>
      <c r="H1458">
        <f>[1]资金台帐!H1458&amp;""</f>
      </c>
      <c r="J1458">
        <f>[1]资金台帐!J1458&amp;""</f>
      </c>
      <c r="N1458">
        <f>[1]资金台帐!N1458</f>
      </c>
      <c r="O1458">
        <f>[1]资金台帐!O1458&amp;""</f>
      </c>
      <c r="P1458">
        <f>[1]资金台帐!P1458&amp;""</f>
      </c>
      <c r="Q1458">
        <f>[1]资金台帐!Q1458&amp;""</f>
      </c>
      <c r="T1458">
        <f>[1]资金台帐!T1458&amp;""</f>
      </c>
      <c r="U1458">
        <f>[1]资金台帐!U1458&amp;""</f>
      </c>
      <c r="W1458">
        <f>[1]资金台帐!W1458&amp;""</f>
      </c>
      <c r="X1458">
        <f>[1]资金台帐!X1458&amp;""</f>
      </c>
      <c r="AB1458">
        <f>[1]资金台帐!AB1458</f>
        <v>0</v>
      </c>
      <c r="AC1458">
        <f>[1]资金台帐!AC1458</f>
        <v>0</v>
      </c>
      <c r="AD1458">
        <f>[1]资金台帐!AD1458</f>
        <v>0</v>
      </c>
      <c r="AJ1458">
        <f>[1]资金台帐!AJ1458</f>
        <v>0</v>
      </c>
      <c r="AK1458">
        <f>[1]资金台帐!AK1458</f>
        <v>0</v>
      </c>
      <c r="BA1458" s="22">
        <f t="shared" si="0"/>
      </c>
      <c r="BG1458" s="22">
        <f t="shared" si="1"/>
      </c>
      <c r="BH1458" s="22">
        <f t="shared" si="2"/>
        <v>0</v>
      </c>
    </row>
    <row r="1459">
      <c r="B1459">
        <f>[1]资金台帐!B1459&amp;""</f>
      </c>
      <c r="H1459">
        <f>[1]资金台帐!H1459&amp;""</f>
      </c>
      <c r="J1459">
        <f>[1]资金台帐!J1459&amp;""</f>
      </c>
      <c r="N1459">
        <f>[1]资金台帐!N1459</f>
      </c>
      <c r="O1459">
        <f>[1]资金台帐!O1459&amp;""</f>
      </c>
      <c r="P1459">
        <f>[1]资金台帐!P1459&amp;""</f>
      </c>
      <c r="Q1459">
        <f>[1]资金台帐!Q1459&amp;""</f>
      </c>
      <c r="T1459">
        <f>[1]资金台帐!T1459&amp;""</f>
      </c>
      <c r="U1459">
        <f>[1]资金台帐!U1459&amp;""</f>
      </c>
      <c r="W1459">
        <f>[1]资金台帐!W1459&amp;""</f>
      </c>
      <c r="X1459">
        <f>[1]资金台帐!X1459&amp;""</f>
      </c>
      <c r="AB1459">
        <f>[1]资金台帐!AB1459</f>
        <v>0</v>
      </c>
      <c r="AC1459">
        <f>[1]资金台帐!AC1459</f>
        <v>0</v>
      </c>
      <c r="AD1459">
        <f>[1]资金台帐!AD1459</f>
        <v>0</v>
      </c>
      <c r="AJ1459">
        <f>[1]资金台帐!AJ1459</f>
        <v>0</v>
      </c>
      <c r="AK1459">
        <f>[1]资金台帐!AK1459</f>
        <v>0</v>
      </c>
      <c r="BA1459" s="22">
        <f t="shared" si="0"/>
      </c>
      <c r="BG1459" s="22">
        <f t="shared" si="1"/>
      </c>
      <c r="BH1459" s="22">
        <f t="shared" si="2"/>
        <v>0</v>
      </c>
    </row>
    <row r="1460">
      <c r="B1460">
        <f>[1]资金台帐!B1460&amp;""</f>
      </c>
      <c r="H1460">
        <f>[1]资金台帐!H1460&amp;""</f>
      </c>
      <c r="J1460">
        <f>[1]资金台帐!J1460&amp;""</f>
      </c>
      <c r="N1460">
        <f>[1]资金台帐!N1460</f>
      </c>
      <c r="O1460">
        <f>[1]资金台帐!O1460&amp;""</f>
      </c>
      <c r="P1460">
        <f>[1]资金台帐!P1460&amp;""</f>
      </c>
      <c r="Q1460">
        <f>[1]资金台帐!Q1460&amp;""</f>
      </c>
      <c r="T1460">
        <f>[1]资金台帐!T1460&amp;""</f>
      </c>
      <c r="U1460">
        <f>[1]资金台帐!U1460&amp;""</f>
      </c>
      <c r="W1460">
        <f>[1]资金台帐!W1460&amp;""</f>
      </c>
      <c r="X1460">
        <f>[1]资金台帐!X1460&amp;""</f>
      </c>
      <c r="AB1460">
        <f>[1]资金台帐!AB1460</f>
        <v>0</v>
      </c>
      <c r="AC1460">
        <f>[1]资金台帐!AC1460</f>
        <v>0</v>
      </c>
      <c r="AD1460">
        <f>[1]资金台帐!AD1460</f>
        <v>0</v>
      </c>
      <c r="AJ1460">
        <f>[1]资金台帐!AJ1460</f>
        <v>0</v>
      </c>
      <c r="AK1460">
        <f>[1]资金台帐!AK1460</f>
        <v>0</v>
      </c>
      <c r="BA1460" s="22">
        <f t="shared" si="0"/>
      </c>
      <c r="BG1460" s="22">
        <f t="shared" si="1"/>
      </c>
      <c r="BH1460" s="22">
        <f t="shared" si="2"/>
        <v>0</v>
      </c>
    </row>
    <row r="1461">
      <c r="B1461">
        <f>[1]资金台帐!B1461&amp;""</f>
      </c>
      <c r="H1461">
        <f>[1]资金台帐!H1461&amp;""</f>
      </c>
      <c r="J1461">
        <f>[1]资金台帐!J1461&amp;""</f>
      </c>
      <c r="N1461">
        <f>[1]资金台帐!N1461</f>
      </c>
      <c r="O1461">
        <f>[1]资金台帐!O1461&amp;""</f>
      </c>
      <c r="P1461">
        <f>[1]资金台帐!P1461&amp;""</f>
      </c>
      <c r="Q1461">
        <f>[1]资金台帐!Q1461&amp;""</f>
      </c>
      <c r="T1461">
        <f>[1]资金台帐!T1461&amp;""</f>
      </c>
      <c r="U1461">
        <f>[1]资金台帐!U1461&amp;""</f>
      </c>
      <c r="W1461">
        <f>[1]资金台帐!W1461&amp;""</f>
      </c>
      <c r="X1461">
        <f>[1]资金台帐!X1461&amp;""</f>
      </c>
      <c r="AB1461">
        <f>[1]资金台帐!AB1461</f>
        <v>0</v>
      </c>
      <c r="AC1461">
        <f>[1]资金台帐!AC1461</f>
        <v>0</v>
      </c>
      <c r="AD1461">
        <f>[1]资金台帐!AD1461</f>
        <v>0</v>
      </c>
      <c r="AJ1461">
        <f>[1]资金台帐!AJ1461</f>
        <v>0</v>
      </c>
      <c r="AK1461">
        <f>[1]资金台帐!AK1461</f>
        <v>0</v>
      </c>
      <c r="BA1461" s="22">
        <f t="shared" si="0"/>
      </c>
      <c r="BG1461" s="22">
        <f t="shared" si="1"/>
      </c>
      <c r="BH1461" s="22">
        <f t="shared" si="2"/>
        <v>0</v>
      </c>
    </row>
    <row r="1462">
      <c r="B1462">
        <f>[1]资金台帐!B1462&amp;""</f>
      </c>
      <c r="H1462">
        <f>[1]资金台帐!H1462&amp;""</f>
      </c>
      <c r="J1462">
        <f>[1]资金台帐!J1462&amp;""</f>
      </c>
      <c r="N1462">
        <f>[1]资金台帐!N1462</f>
      </c>
      <c r="O1462">
        <f>[1]资金台帐!O1462&amp;""</f>
      </c>
      <c r="P1462">
        <f>[1]资金台帐!P1462&amp;""</f>
      </c>
      <c r="Q1462">
        <f>[1]资金台帐!Q1462&amp;""</f>
      </c>
      <c r="T1462">
        <f>[1]资金台帐!T1462&amp;""</f>
      </c>
      <c r="U1462">
        <f>[1]资金台帐!U1462&amp;""</f>
      </c>
      <c r="W1462">
        <f>[1]资金台帐!W1462&amp;""</f>
      </c>
      <c r="X1462">
        <f>[1]资金台帐!X1462&amp;""</f>
      </c>
      <c r="AB1462">
        <f>[1]资金台帐!AB1462</f>
        <v>0</v>
      </c>
      <c r="AC1462">
        <f>[1]资金台帐!AC1462</f>
        <v>0</v>
      </c>
      <c r="AD1462">
        <f>[1]资金台帐!AD1462</f>
        <v>0</v>
      </c>
      <c r="AJ1462">
        <f>[1]资金台帐!AJ1462</f>
        <v>0</v>
      </c>
      <c r="AK1462">
        <f>[1]资金台帐!AK1462</f>
        <v>0</v>
      </c>
      <c r="BA1462" s="22">
        <f t="shared" si="0"/>
      </c>
      <c r="BG1462" s="22">
        <f t="shared" si="1"/>
      </c>
      <c r="BH1462" s="22">
        <f t="shared" si="2"/>
        <v>0</v>
      </c>
    </row>
    <row r="1463">
      <c r="B1463">
        <f>[1]资金台帐!B1463&amp;""</f>
      </c>
      <c r="H1463">
        <f>[1]资金台帐!H1463&amp;""</f>
      </c>
      <c r="J1463">
        <f>[1]资金台帐!J1463&amp;""</f>
      </c>
      <c r="N1463">
        <f>[1]资金台帐!N1463</f>
      </c>
      <c r="O1463">
        <f>[1]资金台帐!O1463&amp;""</f>
      </c>
      <c r="P1463">
        <f>[1]资金台帐!P1463&amp;""</f>
      </c>
      <c r="Q1463">
        <f>[1]资金台帐!Q1463&amp;""</f>
      </c>
      <c r="T1463">
        <f>[1]资金台帐!T1463&amp;""</f>
      </c>
      <c r="U1463">
        <f>[1]资金台帐!U1463&amp;""</f>
      </c>
      <c r="W1463">
        <f>[1]资金台帐!W1463&amp;""</f>
      </c>
      <c r="X1463">
        <f>[1]资金台帐!X1463&amp;""</f>
      </c>
      <c r="AB1463">
        <f>[1]资金台帐!AB1463</f>
        <v>0</v>
      </c>
      <c r="AC1463">
        <f>[1]资金台帐!AC1463</f>
        <v>0</v>
      </c>
      <c r="AD1463">
        <f>[1]资金台帐!AD1463</f>
        <v>0</v>
      </c>
      <c r="AJ1463">
        <f>[1]资金台帐!AJ1463</f>
        <v>0</v>
      </c>
      <c r="AK1463">
        <f>[1]资金台帐!AK1463</f>
        <v>0</v>
      </c>
      <c r="BA1463" s="22">
        <f t="shared" si="0"/>
      </c>
      <c r="BG1463" s="22">
        <f t="shared" si="1"/>
      </c>
      <c r="BH1463" s="22">
        <f t="shared" si="2"/>
        <v>0</v>
      </c>
    </row>
    <row r="1464">
      <c r="B1464">
        <f>[1]资金台帐!B1464&amp;""</f>
      </c>
      <c r="H1464">
        <f>[1]资金台帐!H1464&amp;""</f>
      </c>
      <c r="J1464">
        <f>[1]资金台帐!J1464&amp;""</f>
      </c>
      <c r="N1464">
        <f>[1]资金台帐!N1464</f>
      </c>
      <c r="O1464">
        <f>[1]资金台帐!O1464&amp;""</f>
      </c>
      <c r="P1464">
        <f>[1]资金台帐!P1464&amp;""</f>
      </c>
      <c r="Q1464">
        <f>[1]资金台帐!Q1464&amp;""</f>
      </c>
      <c r="T1464">
        <f>[1]资金台帐!T1464&amp;""</f>
      </c>
      <c r="U1464">
        <f>[1]资金台帐!U1464&amp;""</f>
      </c>
      <c r="W1464">
        <f>[1]资金台帐!W1464&amp;""</f>
      </c>
      <c r="X1464">
        <f>[1]资金台帐!X1464&amp;""</f>
      </c>
      <c r="AB1464">
        <f>[1]资金台帐!AB1464</f>
        <v>0</v>
      </c>
      <c r="AC1464">
        <f>[1]资金台帐!AC1464</f>
        <v>0</v>
      </c>
      <c r="AD1464">
        <f>[1]资金台帐!AD1464</f>
        <v>0</v>
      </c>
      <c r="AJ1464">
        <f>[1]资金台帐!AJ1464</f>
        <v>0</v>
      </c>
      <c r="AK1464">
        <f>[1]资金台帐!AK1464</f>
        <v>0</v>
      </c>
      <c r="BA1464" s="22">
        <f t="shared" si="0"/>
      </c>
      <c r="BG1464" s="22">
        <f t="shared" si="1"/>
      </c>
      <c r="BH1464" s="22">
        <f t="shared" si="2"/>
        <v>0</v>
      </c>
    </row>
    <row r="1465">
      <c r="B1465">
        <f>[1]资金台帐!B1465&amp;""</f>
      </c>
      <c r="H1465">
        <f>[1]资金台帐!H1465&amp;""</f>
      </c>
      <c r="J1465">
        <f>[1]资金台帐!J1465&amp;""</f>
      </c>
      <c r="N1465">
        <f>[1]资金台帐!N1465</f>
      </c>
      <c r="O1465">
        <f>[1]资金台帐!O1465&amp;""</f>
      </c>
      <c r="P1465">
        <f>[1]资金台帐!P1465&amp;""</f>
      </c>
      <c r="Q1465">
        <f>[1]资金台帐!Q1465&amp;""</f>
      </c>
      <c r="T1465">
        <f>[1]资金台帐!T1465&amp;""</f>
      </c>
      <c r="U1465">
        <f>[1]资金台帐!U1465&amp;""</f>
      </c>
      <c r="W1465">
        <f>[1]资金台帐!W1465&amp;""</f>
      </c>
      <c r="X1465">
        <f>[1]资金台帐!X1465&amp;""</f>
      </c>
      <c r="AB1465">
        <f>[1]资金台帐!AB1465</f>
        <v>0</v>
      </c>
      <c r="AC1465">
        <f>[1]资金台帐!AC1465</f>
        <v>0</v>
      </c>
      <c r="AD1465">
        <f>[1]资金台帐!AD1465</f>
        <v>0</v>
      </c>
      <c r="AJ1465">
        <f>[1]资金台帐!AJ1465</f>
        <v>0</v>
      </c>
      <c r="AK1465">
        <f>[1]资金台帐!AK1465</f>
        <v>0</v>
      </c>
      <c r="BA1465" s="22">
        <f t="shared" si="0"/>
      </c>
      <c r="BG1465" s="22">
        <f t="shared" si="1"/>
      </c>
      <c r="BH1465" s="22">
        <f t="shared" si="2"/>
        <v>0</v>
      </c>
    </row>
    <row r="1466">
      <c r="B1466">
        <f>[1]资金台帐!B1466&amp;""</f>
      </c>
      <c r="H1466">
        <f>[1]资金台帐!H1466&amp;""</f>
      </c>
      <c r="J1466">
        <f>[1]资金台帐!J1466&amp;""</f>
      </c>
      <c r="N1466">
        <f>[1]资金台帐!N1466</f>
      </c>
      <c r="O1466">
        <f>[1]资金台帐!O1466&amp;""</f>
      </c>
      <c r="P1466">
        <f>[1]资金台帐!P1466&amp;""</f>
      </c>
      <c r="Q1466">
        <f>[1]资金台帐!Q1466&amp;""</f>
      </c>
      <c r="T1466">
        <f>[1]资金台帐!T1466&amp;""</f>
      </c>
      <c r="U1466">
        <f>[1]资金台帐!U1466&amp;""</f>
      </c>
      <c r="W1466">
        <f>[1]资金台帐!W1466&amp;""</f>
      </c>
      <c r="X1466">
        <f>[1]资金台帐!X1466&amp;""</f>
      </c>
      <c r="AB1466">
        <f>[1]资金台帐!AB1466</f>
        <v>0</v>
      </c>
      <c r="AC1466">
        <f>[1]资金台帐!AC1466</f>
        <v>0</v>
      </c>
      <c r="AD1466">
        <f>[1]资金台帐!AD1466</f>
        <v>0</v>
      </c>
      <c r="AJ1466">
        <f>[1]资金台帐!AJ1466</f>
        <v>0</v>
      </c>
      <c r="AK1466">
        <f>[1]资金台帐!AK1466</f>
        <v>0</v>
      </c>
      <c r="BA1466" s="22">
        <f t="shared" si="0"/>
      </c>
      <c r="BG1466" s="22">
        <f t="shared" si="1"/>
      </c>
      <c r="BH1466" s="22">
        <f t="shared" si="2"/>
        <v>0</v>
      </c>
    </row>
    <row r="1467">
      <c r="B1467">
        <f>[1]资金台帐!B1467&amp;""</f>
      </c>
      <c r="H1467">
        <f>[1]资金台帐!H1467&amp;""</f>
      </c>
      <c r="J1467">
        <f>[1]资金台帐!J1467&amp;""</f>
      </c>
      <c r="N1467">
        <f>[1]资金台帐!N1467</f>
      </c>
      <c r="O1467">
        <f>[1]资金台帐!O1467&amp;""</f>
      </c>
      <c r="P1467">
        <f>[1]资金台帐!P1467&amp;""</f>
      </c>
      <c r="Q1467">
        <f>[1]资金台帐!Q1467&amp;""</f>
      </c>
      <c r="T1467">
        <f>[1]资金台帐!T1467&amp;""</f>
      </c>
      <c r="U1467">
        <f>[1]资金台帐!U1467&amp;""</f>
      </c>
      <c r="W1467">
        <f>[1]资金台帐!W1467&amp;""</f>
      </c>
      <c r="X1467">
        <f>[1]资金台帐!X1467&amp;""</f>
      </c>
      <c r="AB1467">
        <f>[1]资金台帐!AB1467</f>
        <v>0</v>
      </c>
      <c r="AC1467">
        <f>[1]资金台帐!AC1467</f>
        <v>0</v>
      </c>
      <c r="AD1467">
        <f>[1]资金台帐!AD1467</f>
        <v>0</v>
      </c>
      <c r="AJ1467">
        <f>[1]资金台帐!AJ1467</f>
        <v>0</v>
      </c>
      <c r="AK1467">
        <f>[1]资金台帐!AK1467</f>
        <v>0</v>
      </c>
      <c r="BA1467" s="22">
        <f t="shared" si="0"/>
      </c>
      <c r="BG1467" s="22">
        <f t="shared" si="1"/>
      </c>
      <c r="BH1467" s="22">
        <f t="shared" si="2"/>
        <v>0</v>
      </c>
    </row>
    <row r="1468">
      <c r="B1468">
        <f>[1]资金台帐!B1468&amp;""</f>
      </c>
      <c r="H1468">
        <f>[1]资金台帐!H1468&amp;""</f>
      </c>
      <c r="J1468">
        <f>[1]资金台帐!J1468&amp;""</f>
      </c>
      <c r="N1468">
        <f>[1]资金台帐!N1468</f>
      </c>
      <c r="O1468">
        <f>[1]资金台帐!O1468&amp;""</f>
      </c>
      <c r="P1468">
        <f>[1]资金台帐!P1468&amp;""</f>
      </c>
      <c r="Q1468">
        <f>[1]资金台帐!Q1468&amp;""</f>
      </c>
      <c r="T1468">
        <f>[1]资金台帐!T1468&amp;""</f>
      </c>
      <c r="U1468">
        <f>[1]资金台帐!U1468&amp;""</f>
      </c>
      <c r="W1468">
        <f>[1]资金台帐!W1468&amp;""</f>
      </c>
      <c r="X1468">
        <f>[1]资金台帐!X1468&amp;""</f>
      </c>
      <c r="AB1468">
        <f>[1]资金台帐!AB1468</f>
        <v>0</v>
      </c>
      <c r="AC1468">
        <f>[1]资金台帐!AC1468</f>
        <v>0</v>
      </c>
      <c r="AD1468">
        <f>[1]资金台帐!AD1468</f>
        <v>0</v>
      </c>
      <c r="AJ1468">
        <f>[1]资金台帐!AJ1468</f>
        <v>0</v>
      </c>
      <c r="AK1468">
        <f>[1]资金台帐!AK1468</f>
        <v>0</v>
      </c>
      <c r="BA1468" s="22">
        <f t="shared" si="0"/>
      </c>
      <c r="BG1468" s="22">
        <f t="shared" si="1"/>
      </c>
      <c r="BH1468" s="22">
        <f t="shared" si="2"/>
        <v>0</v>
      </c>
    </row>
    <row r="1469">
      <c r="B1469">
        <f>[1]资金台帐!B1469&amp;""</f>
      </c>
      <c r="H1469">
        <f>[1]资金台帐!H1469&amp;""</f>
      </c>
      <c r="J1469">
        <f>[1]资金台帐!J1469&amp;""</f>
      </c>
      <c r="N1469">
        <f>[1]资金台帐!N1469</f>
      </c>
      <c r="O1469">
        <f>[1]资金台帐!O1469&amp;""</f>
      </c>
      <c r="P1469">
        <f>[1]资金台帐!P1469&amp;""</f>
      </c>
      <c r="Q1469">
        <f>[1]资金台帐!Q1469&amp;""</f>
      </c>
      <c r="T1469">
        <f>[1]资金台帐!T1469&amp;""</f>
      </c>
      <c r="U1469">
        <f>[1]资金台帐!U1469&amp;""</f>
      </c>
      <c r="W1469">
        <f>[1]资金台帐!W1469&amp;""</f>
      </c>
      <c r="X1469">
        <f>[1]资金台帐!X1469&amp;""</f>
      </c>
      <c r="AB1469">
        <f>[1]资金台帐!AB1469</f>
        <v>0</v>
      </c>
      <c r="AC1469">
        <f>[1]资金台帐!AC1469</f>
        <v>0</v>
      </c>
      <c r="AD1469">
        <f>[1]资金台帐!AD1469</f>
        <v>0</v>
      </c>
      <c r="AJ1469">
        <f>[1]资金台帐!AJ1469</f>
        <v>0</v>
      </c>
      <c r="AK1469">
        <f>[1]资金台帐!AK1469</f>
        <v>0</v>
      </c>
      <c r="BA1469" s="22">
        <f t="shared" si="0"/>
      </c>
      <c r="BG1469" s="22">
        <f t="shared" si="1"/>
      </c>
      <c r="BH1469" s="22">
        <f t="shared" si="2"/>
        <v>0</v>
      </c>
    </row>
    <row r="1470">
      <c r="B1470">
        <f>[1]资金台帐!B1470&amp;""</f>
      </c>
      <c r="H1470">
        <f>[1]资金台帐!H1470&amp;""</f>
      </c>
      <c r="J1470">
        <f>[1]资金台帐!J1470&amp;""</f>
      </c>
      <c r="N1470">
        <f>[1]资金台帐!N1470</f>
      </c>
      <c r="O1470">
        <f>[1]资金台帐!O1470&amp;""</f>
      </c>
      <c r="P1470">
        <f>[1]资金台帐!P1470&amp;""</f>
      </c>
      <c r="Q1470">
        <f>[1]资金台帐!Q1470&amp;""</f>
      </c>
      <c r="T1470">
        <f>[1]资金台帐!T1470&amp;""</f>
      </c>
      <c r="U1470">
        <f>[1]资金台帐!U1470&amp;""</f>
      </c>
      <c r="W1470">
        <f>[1]资金台帐!W1470&amp;""</f>
      </c>
      <c r="X1470">
        <f>[1]资金台帐!X1470&amp;""</f>
      </c>
      <c r="AB1470">
        <f>[1]资金台帐!AB1470</f>
        <v>0</v>
      </c>
      <c r="AC1470">
        <f>[1]资金台帐!AC1470</f>
        <v>0</v>
      </c>
      <c r="AD1470">
        <f>[1]资金台帐!AD1470</f>
        <v>0</v>
      </c>
      <c r="AJ1470">
        <f>[1]资金台帐!AJ1470</f>
        <v>0</v>
      </c>
      <c r="AK1470">
        <f>[1]资金台帐!AK1470</f>
        <v>0</v>
      </c>
      <c r="BA1470" s="22">
        <f t="shared" si="0"/>
      </c>
      <c r="BG1470" s="22">
        <f t="shared" si="1"/>
      </c>
      <c r="BH1470" s="22">
        <f t="shared" si="2"/>
        <v>0</v>
      </c>
    </row>
    <row r="1471">
      <c r="B1471">
        <f>[1]资金台帐!B1471&amp;""</f>
      </c>
      <c r="H1471">
        <f>[1]资金台帐!H1471&amp;""</f>
      </c>
      <c r="J1471">
        <f>[1]资金台帐!J1471&amp;""</f>
      </c>
      <c r="N1471">
        <f>[1]资金台帐!N1471</f>
      </c>
      <c r="O1471">
        <f>[1]资金台帐!O1471&amp;""</f>
      </c>
      <c r="P1471">
        <f>[1]资金台帐!P1471&amp;""</f>
      </c>
      <c r="Q1471">
        <f>[1]资金台帐!Q1471&amp;""</f>
      </c>
      <c r="T1471">
        <f>[1]资金台帐!T1471&amp;""</f>
      </c>
      <c r="U1471">
        <f>[1]资金台帐!U1471&amp;""</f>
      </c>
      <c r="W1471">
        <f>[1]资金台帐!W1471&amp;""</f>
      </c>
      <c r="X1471">
        <f>[1]资金台帐!X1471&amp;""</f>
      </c>
      <c r="AB1471">
        <f>[1]资金台帐!AB1471</f>
        <v>0</v>
      </c>
      <c r="AC1471">
        <f>[1]资金台帐!AC1471</f>
        <v>0</v>
      </c>
      <c r="AD1471">
        <f>[1]资金台帐!AD1471</f>
        <v>0</v>
      </c>
      <c r="AJ1471">
        <f>[1]资金台帐!AJ1471</f>
        <v>0</v>
      </c>
      <c r="AK1471">
        <f>[1]资金台帐!AK1471</f>
        <v>0</v>
      </c>
      <c r="BA1471" s="22">
        <f t="shared" si="0"/>
      </c>
      <c r="BG1471" s="22">
        <f t="shared" si="1"/>
      </c>
      <c r="BH1471" s="22">
        <f t="shared" si="2"/>
        <v>0</v>
      </c>
    </row>
    <row r="1472">
      <c r="B1472">
        <f>[1]资金台帐!B1472&amp;""</f>
      </c>
      <c r="H1472">
        <f>[1]资金台帐!H1472&amp;""</f>
      </c>
      <c r="J1472">
        <f>[1]资金台帐!J1472&amp;""</f>
      </c>
      <c r="N1472">
        <f>[1]资金台帐!N1472</f>
      </c>
      <c r="O1472">
        <f>[1]资金台帐!O1472&amp;""</f>
      </c>
      <c r="P1472">
        <f>[1]资金台帐!P1472&amp;""</f>
      </c>
      <c r="Q1472">
        <f>[1]资金台帐!Q1472&amp;""</f>
      </c>
      <c r="T1472">
        <f>[1]资金台帐!T1472&amp;""</f>
      </c>
      <c r="U1472">
        <f>[1]资金台帐!U1472&amp;""</f>
      </c>
      <c r="W1472">
        <f>[1]资金台帐!W1472&amp;""</f>
      </c>
      <c r="X1472">
        <f>[1]资金台帐!X1472&amp;""</f>
      </c>
      <c r="AB1472">
        <f>[1]资金台帐!AB1472</f>
        <v>0</v>
      </c>
      <c r="AC1472">
        <f>[1]资金台帐!AC1472</f>
        <v>0</v>
      </c>
      <c r="AD1472">
        <f>[1]资金台帐!AD1472</f>
        <v>0</v>
      </c>
      <c r="AJ1472">
        <f>[1]资金台帐!AJ1472</f>
        <v>0</v>
      </c>
      <c r="AK1472">
        <f>[1]资金台帐!AK1472</f>
        <v>0</v>
      </c>
      <c r="BA1472" s="22">
        <f t="shared" si="0"/>
      </c>
      <c r="BG1472" s="22">
        <f t="shared" si="1"/>
      </c>
      <c r="BH1472" s="22">
        <f t="shared" si="2"/>
        <v>0</v>
      </c>
    </row>
    <row r="1473">
      <c r="B1473">
        <f>[1]资金台帐!B1473&amp;""</f>
      </c>
      <c r="H1473">
        <f>[1]资金台帐!H1473&amp;""</f>
      </c>
      <c r="J1473">
        <f>[1]资金台帐!J1473&amp;""</f>
      </c>
      <c r="N1473">
        <f>[1]资金台帐!N1473</f>
      </c>
      <c r="O1473">
        <f>[1]资金台帐!O1473&amp;""</f>
      </c>
      <c r="P1473">
        <f>[1]资金台帐!P1473&amp;""</f>
      </c>
      <c r="Q1473">
        <f>[1]资金台帐!Q1473&amp;""</f>
      </c>
      <c r="T1473">
        <f>[1]资金台帐!T1473&amp;""</f>
      </c>
      <c r="U1473">
        <f>[1]资金台帐!U1473&amp;""</f>
      </c>
      <c r="W1473">
        <f>[1]资金台帐!W1473&amp;""</f>
      </c>
      <c r="X1473">
        <f>[1]资金台帐!X1473&amp;""</f>
      </c>
      <c r="AB1473">
        <f>[1]资金台帐!AB1473</f>
        <v>0</v>
      </c>
      <c r="AC1473">
        <f>[1]资金台帐!AC1473</f>
        <v>0</v>
      </c>
      <c r="AD1473">
        <f>[1]资金台帐!AD1473</f>
        <v>0</v>
      </c>
      <c r="AJ1473">
        <f>[1]资金台帐!AJ1473</f>
        <v>0</v>
      </c>
      <c r="AK1473">
        <f>[1]资金台帐!AK1473</f>
        <v>0</v>
      </c>
      <c r="BA1473" s="22">
        <f t="shared" si="0"/>
      </c>
      <c r="BG1473" s="22">
        <f t="shared" si="1"/>
      </c>
      <c r="BH1473" s="22">
        <f t="shared" si="2"/>
        <v>0</v>
      </c>
    </row>
    <row r="1474">
      <c r="B1474">
        <f>[1]资金台帐!B1474&amp;""</f>
      </c>
      <c r="H1474">
        <f>[1]资金台帐!H1474&amp;""</f>
      </c>
      <c r="J1474">
        <f>[1]资金台帐!J1474&amp;""</f>
      </c>
      <c r="N1474">
        <f>[1]资金台帐!N1474</f>
      </c>
      <c r="O1474">
        <f>[1]资金台帐!O1474&amp;""</f>
      </c>
      <c r="P1474">
        <f>[1]资金台帐!P1474&amp;""</f>
      </c>
      <c r="Q1474">
        <f>[1]资金台帐!Q1474&amp;""</f>
      </c>
      <c r="T1474">
        <f>[1]资金台帐!T1474&amp;""</f>
      </c>
      <c r="U1474">
        <f>[1]资金台帐!U1474&amp;""</f>
      </c>
      <c r="W1474">
        <f>[1]资金台帐!W1474&amp;""</f>
      </c>
      <c r="X1474">
        <f>[1]资金台帐!X1474&amp;""</f>
      </c>
      <c r="AB1474">
        <f>[1]资金台帐!AB1474</f>
        <v>0</v>
      </c>
      <c r="AC1474">
        <f>[1]资金台帐!AC1474</f>
        <v>0</v>
      </c>
      <c r="AD1474">
        <f>[1]资金台帐!AD1474</f>
        <v>0</v>
      </c>
      <c r="AJ1474">
        <f>[1]资金台帐!AJ1474</f>
        <v>0</v>
      </c>
      <c r="AK1474">
        <f>[1]资金台帐!AK1474</f>
        <v>0</v>
      </c>
      <c r="BA1474" s="22">
        <f t="shared" si="0"/>
      </c>
      <c r="BG1474" s="22">
        <f t="shared" si="1"/>
      </c>
      <c r="BH1474" s="22">
        <f t="shared" si="2"/>
        <v>0</v>
      </c>
    </row>
    <row r="1475">
      <c r="B1475">
        <f>[1]资金台帐!B1475&amp;""</f>
      </c>
      <c r="H1475">
        <f>[1]资金台帐!H1475&amp;""</f>
      </c>
      <c r="J1475">
        <f>[1]资金台帐!J1475&amp;""</f>
      </c>
      <c r="N1475">
        <f>[1]资金台帐!N1475</f>
      </c>
      <c r="O1475">
        <f>[1]资金台帐!O1475&amp;""</f>
      </c>
      <c r="P1475">
        <f>[1]资金台帐!P1475&amp;""</f>
      </c>
      <c r="Q1475">
        <f>[1]资金台帐!Q1475&amp;""</f>
      </c>
      <c r="T1475">
        <f>[1]资金台帐!T1475&amp;""</f>
      </c>
      <c r="U1475">
        <f>[1]资金台帐!U1475&amp;""</f>
      </c>
      <c r="W1475">
        <f>[1]资金台帐!W1475&amp;""</f>
      </c>
      <c r="X1475">
        <f>[1]资金台帐!X1475&amp;""</f>
      </c>
      <c r="AB1475">
        <f>[1]资金台帐!AB1475</f>
        <v>0</v>
      </c>
      <c r="AC1475">
        <f>[1]资金台帐!AC1475</f>
        <v>0</v>
      </c>
      <c r="AD1475">
        <f>[1]资金台帐!AD1475</f>
        <v>0</v>
      </c>
      <c r="AJ1475">
        <f>[1]资金台帐!AJ1475</f>
        <v>0</v>
      </c>
      <c r="AK1475">
        <f>[1]资金台帐!AK1475</f>
        <v>0</v>
      </c>
      <c r="BA1475" s="22">
        <f t="shared" si="0"/>
      </c>
      <c r="BG1475" s="22">
        <f t="shared" si="1"/>
      </c>
      <c r="BH1475" s="22">
        <f t="shared" si="2"/>
        <v>0</v>
      </c>
    </row>
    <row r="1476">
      <c r="B1476">
        <f>[1]资金台帐!B1476&amp;""</f>
      </c>
      <c r="H1476">
        <f>[1]资金台帐!H1476&amp;""</f>
      </c>
      <c r="J1476">
        <f>[1]资金台帐!J1476&amp;""</f>
      </c>
      <c r="N1476">
        <f>[1]资金台帐!N1476</f>
      </c>
      <c r="O1476">
        <f>[1]资金台帐!O1476&amp;""</f>
      </c>
      <c r="P1476">
        <f>[1]资金台帐!P1476&amp;""</f>
      </c>
      <c r="Q1476">
        <f>[1]资金台帐!Q1476&amp;""</f>
      </c>
      <c r="T1476">
        <f>[1]资金台帐!T1476&amp;""</f>
      </c>
      <c r="U1476">
        <f>[1]资金台帐!U1476&amp;""</f>
      </c>
      <c r="W1476">
        <f>[1]资金台帐!W1476&amp;""</f>
      </c>
      <c r="X1476">
        <f>[1]资金台帐!X1476&amp;""</f>
      </c>
      <c r="AB1476">
        <f>[1]资金台帐!AB1476</f>
        <v>0</v>
      </c>
      <c r="AC1476">
        <f>[1]资金台帐!AC1476</f>
        <v>0</v>
      </c>
      <c r="AD1476">
        <f>[1]资金台帐!AD1476</f>
        <v>0</v>
      </c>
      <c r="AJ1476">
        <f>[1]资金台帐!AJ1476</f>
        <v>0</v>
      </c>
      <c r="AK1476">
        <f>[1]资金台帐!AK1476</f>
        <v>0</v>
      </c>
      <c r="BA1476" s="22">
        <f t="shared" si="0"/>
      </c>
      <c r="BG1476" s="22">
        <f t="shared" si="1"/>
      </c>
      <c r="BH1476" s="22">
        <f t="shared" si="2"/>
        <v>0</v>
      </c>
    </row>
    <row r="1477">
      <c r="B1477">
        <f>[1]资金台帐!B1477&amp;""</f>
      </c>
      <c r="H1477">
        <f>[1]资金台帐!H1477&amp;""</f>
      </c>
      <c r="J1477">
        <f>[1]资金台帐!J1477&amp;""</f>
      </c>
      <c r="N1477">
        <f>[1]资金台帐!N1477</f>
      </c>
      <c r="O1477">
        <f>[1]资金台帐!O1477&amp;""</f>
      </c>
      <c r="P1477">
        <f>[1]资金台帐!P1477&amp;""</f>
      </c>
      <c r="Q1477">
        <f>[1]资金台帐!Q1477&amp;""</f>
      </c>
      <c r="T1477">
        <f>[1]资金台帐!T1477&amp;""</f>
      </c>
      <c r="U1477">
        <f>[1]资金台帐!U1477&amp;""</f>
      </c>
      <c r="W1477">
        <f>[1]资金台帐!W1477&amp;""</f>
      </c>
      <c r="X1477">
        <f>[1]资金台帐!X1477&amp;""</f>
      </c>
      <c r="AB1477">
        <f>[1]资金台帐!AB1477</f>
        <v>0</v>
      </c>
      <c r="AC1477">
        <f>[1]资金台帐!AC1477</f>
        <v>0</v>
      </c>
      <c r="AD1477">
        <f>[1]资金台帐!AD1477</f>
        <v>0</v>
      </c>
      <c r="AJ1477">
        <f>[1]资金台帐!AJ1477</f>
        <v>0</v>
      </c>
      <c r="AK1477">
        <f>[1]资金台帐!AK1477</f>
        <v>0</v>
      </c>
      <c r="BA1477" s="22">
        <f t="shared" si="0"/>
      </c>
      <c r="BG1477" s="22">
        <f t="shared" si="1"/>
      </c>
      <c r="BH1477" s="22">
        <f t="shared" si="2"/>
        <v>0</v>
      </c>
    </row>
    <row r="1478">
      <c r="B1478">
        <f>[1]资金台帐!B1478&amp;""</f>
      </c>
      <c r="H1478">
        <f>[1]资金台帐!H1478&amp;""</f>
      </c>
      <c r="J1478">
        <f>[1]资金台帐!J1478&amp;""</f>
      </c>
      <c r="N1478">
        <f>[1]资金台帐!N1478</f>
      </c>
      <c r="O1478">
        <f>[1]资金台帐!O1478&amp;""</f>
      </c>
      <c r="P1478">
        <f>[1]资金台帐!P1478&amp;""</f>
      </c>
      <c r="Q1478">
        <f>[1]资金台帐!Q1478&amp;""</f>
      </c>
      <c r="T1478">
        <f>[1]资金台帐!T1478&amp;""</f>
      </c>
      <c r="U1478">
        <f>[1]资金台帐!U1478&amp;""</f>
      </c>
      <c r="W1478">
        <f>[1]资金台帐!W1478&amp;""</f>
      </c>
      <c r="X1478">
        <f>[1]资金台帐!X1478&amp;""</f>
      </c>
      <c r="AB1478">
        <f>[1]资金台帐!AB1478</f>
        <v>0</v>
      </c>
      <c r="AC1478">
        <f>[1]资金台帐!AC1478</f>
        <v>0</v>
      </c>
      <c r="AD1478">
        <f>[1]资金台帐!AD1478</f>
        <v>0</v>
      </c>
      <c r="AJ1478">
        <f>[1]资金台帐!AJ1478</f>
        <v>0</v>
      </c>
      <c r="AK1478">
        <f>[1]资金台帐!AK1478</f>
        <v>0</v>
      </c>
      <c r="BA1478" s="22">
        <f t="shared" si="0"/>
      </c>
      <c r="BG1478" s="22">
        <f t="shared" si="1"/>
      </c>
      <c r="BH1478" s="22">
        <f t="shared" si="2"/>
        <v>0</v>
      </c>
    </row>
    <row r="1479">
      <c r="B1479">
        <f>[1]资金台帐!B1479&amp;""</f>
      </c>
      <c r="H1479">
        <f>[1]资金台帐!H1479&amp;""</f>
      </c>
      <c r="J1479">
        <f>[1]资金台帐!J1479&amp;""</f>
      </c>
      <c r="N1479">
        <f>[1]资金台帐!N1479</f>
      </c>
      <c r="O1479">
        <f>[1]资金台帐!O1479&amp;""</f>
      </c>
      <c r="P1479">
        <f>[1]资金台帐!P1479&amp;""</f>
      </c>
      <c r="Q1479">
        <f>[1]资金台帐!Q1479&amp;""</f>
      </c>
      <c r="T1479">
        <f>[1]资金台帐!T1479&amp;""</f>
      </c>
      <c r="U1479">
        <f>[1]资金台帐!U1479&amp;""</f>
      </c>
      <c r="W1479">
        <f>[1]资金台帐!W1479&amp;""</f>
      </c>
      <c r="X1479">
        <f>[1]资金台帐!X1479&amp;""</f>
      </c>
      <c r="AB1479">
        <f>[1]资金台帐!AB1479</f>
        <v>0</v>
      </c>
      <c r="AC1479">
        <f>[1]资金台帐!AC1479</f>
        <v>0</v>
      </c>
      <c r="AD1479">
        <f>[1]资金台帐!AD1479</f>
        <v>0</v>
      </c>
      <c r="AJ1479">
        <f>[1]资金台帐!AJ1479</f>
        <v>0</v>
      </c>
      <c r="AK1479">
        <f>[1]资金台帐!AK1479</f>
        <v>0</v>
      </c>
      <c r="BA1479" s="22">
        <f t="shared" si="0"/>
      </c>
      <c r="BG1479" s="22">
        <f t="shared" si="1"/>
      </c>
      <c r="BH1479" s="22">
        <f t="shared" si="2"/>
        <v>0</v>
      </c>
    </row>
    <row r="1480">
      <c r="B1480">
        <f>[1]资金台帐!B1480&amp;""</f>
      </c>
      <c r="H1480">
        <f>[1]资金台帐!H1480&amp;""</f>
      </c>
      <c r="J1480">
        <f>[1]资金台帐!J1480&amp;""</f>
      </c>
      <c r="N1480">
        <f>[1]资金台帐!N1480</f>
      </c>
      <c r="O1480">
        <f>[1]资金台帐!O1480&amp;""</f>
      </c>
      <c r="P1480">
        <f>[1]资金台帐!P1480&amp;""</f>
      </c>
      <c r="Q1480">
        <f>[1]资金台帐!Q1480&amp;""</f>
      </c>
      <c r="T1480">
        <f>[1]资金台帐!T1480&amp;""</f>
      </c>
      <c r="U1480">
        <f>[1]资金台帐!U1480&amp;""</f>
      </c>
      <c r="W1480">
        <f>[1]资金台帐!W1480&amp;""</f>
      </c>
      <c r="X1480">
        <f>[1]资金台帐!X1480&amp;""</f>
      </c>
      <c r="AB1480">
        <f>[1]资金台帐!AB1480</f>
        <v>0</v>
      </c>
      <c r="AC1480">
        <f>[1]资金台帐!AC1480</f>
        <v>0</v>
      </c>
      <c r="AD1480">
        <f>[1]资金台帐!AD1480</f>
        <v>0</v>
      </c>
      <c r="AJ1480">
        <f>[1]资金台帐!AJ1480</f>
        <v>0</v>
      </c>
      <c r="AK1480">
        <f>[1]资金台帐!AK1480</f>
        <v>0</v>
      </c>
      <c r="BA1480" s="22">
        <f t="shared" si="0"/>
      </c>
      <c r="BG1480" s="22">
        <f t="shared" si="1"/>
      </c>
      <c r="BH1480" s="22">
        <f t="shared" si="2"/>
        <v>0</v>
      </c>
    </row>
    <row r="1481">
      <c r="B1481">
        <f>[1]资金台帐!B1481&amp;""</f>
      </c>
      <c r="H1481">
        <f>[1]资金台帐!H1481&amp;""</f>
      </c>
      <c r="J1481">
        <f>[1]资金台帐!J1481&amp;""</f>
      </c>
      <c r="N1481">
        <f>[1]资金台帐!N1481</f>
      </c>
      <c r="O1481">
        <f>[1]资金台帐!O1481&amp;""</f>
      </c>
      <c r="P1481">
        <f>[1]资金台帐!P1481&amp;""</f>
      </c>
      <c r="Q1481">
        <f>[1]资金台帐!Q1481&amp;""</f>
      </c>
      <c r="T1481">
        <f>[1]资金台帐!T1481&amp;""</f>
      </c>
      <c r="U1481">
        <f>[1]资金台帐!U1481&amp;""</f>
      </c>
      <c r="W1481">
        <f>[1]资金台帐!W1481&amp;""</f>
      </c>
      <c r="X1481">
        <f>[1]资金台帐!X1481&amp;""</f>
      </c>
      <c r="AB1481">
        <f>[1]资金台帐!AB1481</f>
        <v>0</v>
      </c>
      <c r="AC1481">
        <f>[1]资金台帐!AC1481</f>
        <v>0</v>
      </c>
      <c r="AD1481">
        <f>[1]资金台帐!AD1481</f>
        <v>0</v>
      </c>
      <c r="AJ1481">
        <f>[1]资金台帐!AJ1481</f>
        <v>0</v>
      </c>
      <c r="AK1481">
        <f>[1]资金台帐!AK1481</f>
        <v>0</v>
      </c>
      <c r="BA1481" s="22">
        <f t="shared" si="0"/>
      </c>
      <c r="BG1481" s="22">
        <f t="shared" si="1"/>
      </c>
      <c r="BH1481" s="22">
        <f t="shared" si="2"/>
        <v>0</v>
      </c>
    </row>
    <row r="1482">
      <c r="B1482">
        <f>[1]资金台帐!B1482&amp;""</f>
      </c>
      <c r="H1482">
        <f>[1]资金台帐!H1482&amp;""</f>
      </c>
      <c r="J1482">
        <f>[1]资金台帐!J1482&amp;""</f>
      </c>
      <c r="N1482">
        <f>[1]资金台帐!N1482</f>
      </c>
      <c r="O1482">
        <f>[1]资金台帐!O1482&amp;""</f>
      </c>
      <c r="P1482">
        <f>[1]资金台帐!P1482&amp;""</f>
      </c>
      <c r="Q1482">
        <f>[1]资金台帐!Q1482&amp;""</f>
      </c>
      <c r="T1482">
        <f>[1]资金台帐!T1482&amp;""</f>
      </c>
      <c r="U1482">
        <f>[1]资金台帐!U1482&amp;""</f>
      </c>
      <c r="W1482">
        <f>[1]资金台帐!W1482&amp;""</f>
      </c>
      <c r="X1482">
        <f>[1]资金台帐!X1482&amp;""</f>
      </c>
      <c r="AB1482">
        <f>[1]资金台帐!AB1482</f>
        <v>0</v>
      </c>
      <c r="AC1482">
        <f>[1]资金台帐!AC1482</f>
        <v>0</v>
      </c>
      <c r="AD1482">
        <f>[1]资金台帐!AD1482</f>
        <v>0</v>
      </c>
      <c r="AJ1482">
        <f>[1]资金台帐!AJ1482</f>
        <v>0</v>
      </c>
      <c r="AK1482">
        <f>[1]资金台帐!AK1482</f>
        <v>0</v>
      </c>
      <c r="BA1482" s="22">
        <f t="shared" si="0"/>
      </c>
      <c r="BG1482" s="22">
        <f t="shared" si="1"/>
      </c>
      <c r="BH1482" s="22">
        <f t="shared" si="2"/>
        <v>0</v>
      </c>
    </row>
    <row r="1483">
      <c r="B1483">
        <f>[1]资金台帐!B1483&amp;""</f>
      </c>
      <c r="H1483">
        <f>[1]资金台帐!H1483&amp;""</f>
      </c>
      <c r="J1483">
        <f>[1]资金台帐!J1483&amp;""</f>
      </c>
      <c r="N1483">
        <f>[1]资金台帐!N1483</f>
      </c>
      <c r="O1483">
        <f>[1]资金台帐!O1483&amp;""</f>
      </c>
      <c r="P1483">
        <f>[1]资金台帐!P1483&amp;""</f>
      </c>
      <c r="Q1483">
        <f>[1]资金台帐!Q1483&amp;""</f>
      </c>
      <c r="T1483">
        <f>[1]资金台帐!T1483&amp;""</f>
      </c>
      <c r="U1483">
        <f>[1]资金台帐!U1483&amp;""</f>
      </c>
      <c r="W1483">
        <f>[1]资金台帐!W1483&amp;""</f>
      </c>
      <c r="X1483">
        <f>[1]资金台帐!X1483&amp;""</f>
      </c>
      <c r="AB1483">
        <f>[1]资金台帐!AB1483</f>
        <v>0</v>
      </c>
      <c r="AC1483">
        <f>[1]资金台帐!AC1483</f>
        <v>0</v>
      </c>
      <c r="AD1483">
        <f>[1]资金台帐!AD1483</f>
        <v>0</v>
      </c>
      <c r="AJ1483">
        <f>[1]资金台帐!AJ1483</f>
        <v>0</v>
      </c>
      <c r="AK1483">
        <f>[1]资金台帐!AK1483</f>
        <v>0</v>
      </c>
      <c r="BA1483" s="22">
        <f t="shared" si="0"/>
      </c>
      <c r="BG1483" s="22">
        <f t="shared" si="1"/>
      </c>
      <c r="BH1483" s="22">
        <f t="shared" si="2"/>
        <v>0</v>
      </c>
    </row>
    <row r="1484">
      <c r="B1484">
        <f>[1]资金台帐!B1484&amp;""</f>
      </c>
      <c r="H1484">
        <f>[1]资金台帐!H1484&amp;""</f>
      </c>
      <c r="J1484">
        <f>[1]资金台帐!J1484&amp;""</f>
      </c>
      <c r="N1484">
        <f>[1]资金台帐!N1484</f>
      </c>
      <c r="O1484">
        <f>[1]资金台帐!O1484&amp;""</f>
      </c>
      <c r="P1484">
        <f>[1]资金台帐!P1484&amp;""</f>
      </c>
      <c r="Q1484">
        <f>[1]资金台帐!Q1484&amp;""</f>
      </c>
      <c r="T1484">
        <f>[1]资金台帐!T1484&amp;""</f>
      </c>
      <c r="U1484">
        <f>[1]资金台帐!U1484&amp;""</f>
      </c>
      <c r="W1484">
        <f>[1]资金台帐!W1484&amp;""</f>
      </c>
      <c r="X1484">
        <f>[1]资金台帐!X1484&amp;""</f>
      </c>
      <c r="AB1484">
        <f>[1]资金台帐!AB1484</f>
        <v>0</v>
      </c>
      <c r="AC1484">
        <f>[1]资金台帐!AC1484</f>
        <v>0</v>
      </c>
      <c r="AD1484">
        <f>[1]资金台帐!AD1484</f>
        <v>0</v>
      </c>
      <c r="AJ1484">
        <f>[1]资金台帐!AJ1484</f>
        <v>0</v>
      </c>
      <c r="AK1484">
        <f>[1]资金台帐!AK1484</f>
        <v>0</v>
      </c>
      <c r="BA1484" s="22">
        <f t="shared" si="0"/>
      </c>
      <c r="BG1484" s="22">
        <f t="shared" si="1"/>
      </c>
      <c r="BH1484" s="22">
        <f t="shared" si="2"/>
        <v>0</v>
      </c>
    </row>
    <row r="1485">
      <c r="B1485">
        <f>[1]资金台帐!B1485&amp;""</f>
      </c>
      <c r="H1485">
        <f>[1]资金台帐!H1485&amp;""</f>
      </c>
      <c r="J1485">
        <f>[1]资金台帐!J1485&amp;""</f>
      </c>
      <c r="N1485">
        <f>[1]资金台帐!N1485</f>
      </c>
      <c r="O1485">
        <f>[1]资金台帐!O1485&amp;""</f>
      </c>
      <c r="P1485">
        <f>[1]资金台帐!P1485&amp;""</f>
      </c>
      <c r="Q1485">
        <f>[1]资金台帐!Q1485&amp;""</f>
      </c>
      <c r="T1485">
        <f>[1]资金台帐!T1485&amp;""</f>
      </c>
      <c r="U1485">
        <f>[1]资金台帐!U1485&amp;""</f>
      </c>
      <c r="W1485">
        <f>[1]资金台帐!W1485&amp;""</f>
      </c>
      <c r="X1485">
        <f>[1]资金台帐!X1485&amp;""</f>
      </c>
      <c r="AB1485">
        <f>[1]资金台帐!AB1485</f>
        <v>0</v>
      </c>
      <c r="AC1485">
        <f>[1]资金台帐!AC1485</f>
        <v>0</v>
      </c>
      <c r="AD1485">
        <f>[1]资金台帐!AD1485</f>
        <v>0</v>
      </c>
      <c r="AJ1485">
        <f>[1]资金台帐!AJ1485</f>
        <v>0</v>
      </c>
      <c r="AK1485">
        <f>[1]资金台帐!AK1485</f>
        <v>0</v>
      </c>
      <c r="BA1485" s="22">
        <f t="shared" si="0"/>
      </c>
      <c r="BG1485" s="22">
        <f t="shared" si="1"/>
      </c>
      <c r="BH1485" s="22">
        <f t="shared" si="2"/>
        <v>0</v>
      </c>
    </row>
    <row r="1486">
      <c r="B1486">
        <f>[1]资金台帐!B1486&amp;""</f>
      </c>
      <c r="H1486">
        <f>[1]资金台帐!H1486&amp;""</f>
      </c>
      <c r="J1486">
        <f>[1]资金台帐!J1486&amp;""</f>
      </c>
      <c r="N1486">
        <f>[1]资金台帐!N1486</f>
      </c>
      <c r="O1486">
        <f>[1]资金台帐!O1486&amp;""</f>
      </c>
      <c r="P1486">
        <f>[1]资金台帐!P1486&amp;""</f>
      </c>
      <c r="Q1486">
        <f>[1]资金台帐!Q1486&amp;""</f>
      </c>
      <c r="T1486">
        <f>[1]资金台帐!T1486&amp;""</f>
      </c>
      <c r="U1486">
        <f>[1]资金台帐!U1486&amp;""</f>
      </c>
      <c r="W1486">
        <f>[1]资金台帐!W1486&amp;""</f>
      </c>
      <c r="X1486">
        <f>[1]资金台帐!X1486&amp;""</f>
      </c>
      <c r="AB1486">
        <f>[1]资金台帐!AB1486</f>
        <v>0</v>
      </c>
      <c r="AC1486">
        <f>[1]资金台帐!AC1486</f>
        <v>0</v>
      </c>
      <c r="AD1486">
        <f>[1]资金台帐!AD1486</f>
        <v>0</v>
      </c>
      <c r="AJ1486">
        <f>[1]资金台帐!AJ1486</f>
        <v>0</v>
      </c>
      <c r="AK1486">
        <f>[1]资金台帐!AK1486</f>
        <v>0</v>
      </c>
      <c r="BA1486" s="22">
        <f t="shared" si="0"/>
      </c>
      <c r="BG1486" s="22">
        <f t="shared" si="1"/>
      </c>
      <c r="BH1486" s="22">
        <f t="shared" si="2"/>
        <v>0</v>
      </c>
    </row>
    <row r="1487">
      <c r="B1487">
        <f>[1]资金台帐!B1487&amp;""</f>
      </c>
      <c r="H1487">
        <f>[1]资金台帐!H1487&amp;""</f>
      </c>
      <c r="J1487">
        <f>[1]资金台帐!J1487&amp;""</f>
      </c>
      <c r="N1487">
        <f>[1]资金台帐!N1487</f>
      </c>
      <c r="O1487">
        <f>[1]资金台帐!O1487&amp;""</f>
      </c>
      <c r="P1487">
        <f>[1]资金台帐!P1487&amp;""</f>
      </c>
      <c r="Q1487">
        <f>[1]资金台帐!Q1487&amp;""</f>
      </c>
      <c r="T1487">
        <f>[1]资金台帐!T1487&amp;""</f>
      </c>
      <c r="U1487">
        <f>[1]资金台帐!U1487&amp;""</f>
      </c>
      <c r="W1487">
        <f>[1]资金台帐!W1487&amp;""</f>
      </c>
      <c r="X1487">
        <f>[1]资金台帐!X1487&amp;""</f>
      </c>
      <c r="AB1487">
        <f>[1]资金台帐!AB1487</f>
        <v>0</v>
      </c>
      <c r="AC1487">
        <f>[1]资金台帐!AC1487</f>
        <v>0</v>
      </c>
      <c r="AD1487">
        <f>[1]资金台帐!AD1487</f>
        <v>0</v>
      </c>
      <c r="AJ1487">
        <f>[1]资金台帐!AJ1487</f>
        <v>0</v>
      </c>
      <c r="AK1487">
        <f>[1]资金台帐!AK1487</f>
        <v>0</v>
      </c>
      <c r="BA1487" s="22">
        <f t="shared" si="0"/>
      </c>
      <c r="BG1487" s="22">
        <f t="shared" si="1"/>
      </c>
      <c r="BH1487" s="22">
        <f t="shared" si="2"/>
        <v>0</v>
      </c>
    </row>
    <row r="1488">
      <c r="B1488">
        <f>[1]资金台帐!B1488&amp;""</f>
      </c>
      <c r="H1488">
        <f>[1]资金台帐!H1488&amp;""</f>
      </c>
      <c r="J1488">
        <f>[1]资金台帐!J1488&amp;""</f>
      </c>
      <c r="N1488">
        <f>[1]资金台帐!N1488</f>
      </c>
      <c r="O1488">
        <f>[1]资金台帐!O1488&amp;""</f>
      </c>
      <c r="P1488">
        <f>[1]资金台帐!P1488&amp;""</f>
      </c>
      <c r="Q1488">
        <f>[1]资金台帐!Q1488&amp;""</f>
      </c>
      <c r="T1488">
        <f>[1]资金台帐!T1488&amp;""</f>
      </c>
      <c r="U1488">
        <f>[1]资金台帐!U1488&amp;""</f>
      </c>
      <c r="W1488">
        <f>[1]资金台帐!W1488&amp;""</f>
      </c>
      <c r="X1488">
        <f>[1]资金台帐!X1488&amp;""</f>
      </c>
      <c r="AB1488">
        <f>[1]资金台帐!AB1488</f>
        <v>0</v>
      </c>
      <c r="AC1488">
        <f>[1]资金台帐!AC1488</f>
        <v>0</v>
      </c>
      <c r="AD1488">
        <f>[1]资金台帐!AD1488</f>
        <v>0</v>
      </c>
      <c r="AJ1488">
        <f>[1]资金台帐!AJ1488</f>
        <v>0</v>
      </c>
      <c r="AK1488">
        <f>[1]资金台帐!AK1488</f>
        <v>0</v>
      </c>
      <c r="BA1488" s="22">
        <f t="shared" si="0"/>
      </c>
      <c r="BG1488" s="22">
        <f t="shared" si="1"/>
      </c>
      <c r="BH1488" s="22">
        <f t="shared" si="2"/>
        <v>0</v>
      </c>
    </row>
    <row r="1489">
      <c r="B1489">
        <f>[1]资金台帐!B1489&amp;""</f>
      </c>
      <c r="H1489">
        <f>[1]资金台帐!H1489&amp;""</f>
      </c>
      <c r="J1489">
        <f>[1]资金台帐!J1489&amp;""</f>
      </c>
      <c r="N1489">
        <f>[1]资金台帐!N1489</f>
      </c>
      <c r="O1489">
        <f>[1]资金台帐!O1489&amp;""</f>
      </c>
      <c r="P1489">
        <f>[1]资金台帐!P1489&amp;""</f>
      </c>
      <c r="Q1489">
        <f>[1]资金台帐!Q1489&amp;""</f>
      </c>
      <c r="T1489">
        <f>[1]资金台帐!T1489&amp;""</f>
      </c>
      <c r="U1489">
        <f>[1]资金台帐!U1489&amp;""</f>
      </c>
      <c r="W1489">
        <f>[1]资金台帐!W1489&amp;""</f>
      </c>
      <c r="X1489">
        <f>[1]资金台帐!X1489&amp;""</f>
      </c>
      <c r="AB1489">
        <f>[1]资金台帐!AB1489</f>
        <v>0</v>
      </c>
      <c r="AC1489">
        <f>[1]资金台帐!AC1489</f>
        <v>0</v>
      </c>
      <c r="AD1489">
        <f>[1]资金台帐!AD1489</f>
        <v>0</v>
      </c>
      <c r="AJ1489">
        <f>[1]资金台帐!AJ1489</f>
        <v>0</v>
      </c>
      <c r="AK1489">
        <f>[1]资金台帐!AK1489</f>
        <v>0</v>
      </c>
      <c r="BA1489" s="22">
        <f t="shared" si="0"/>
      </c>
      <c r="BG1489" s="22">
        <f t="shared" si="1"/>
      </c>
      <c r="BH1489" s="22">
        <f t="shared" si="2"/>
        <v>0</v>
      </c>
    </row>
    <row r="1490">
      <c r="B1490">
        <f>[1]资金台帐!B1490&amp;""</f>
      </c>
      <c r="H1490">
        <f>[1]资金台帐!H1490&amp;""</f>
      </c>
      <c r="J1490">
        <f>[1]资金台帐!J1490&amp;""</f>
      </c>
      <c r="N1490">
        <f>[1]资金台帐!N1490</f>
      </c>
      <c r="O1490">
        <f>[1]资金台帐!O1490&amp;""</f>
      </c>
      <c r="P1490">
        <f>[1]资金台帐!P1490&amp;""</f>
      </c>
      <c r="Q1490">
        <f>[1]资金台帐!Q1490&amp;""</f>
      </c>
      <c r="T1490">
        <f>[1]资金台帐!T1490&amp;""</f>
      </c>
      <c r="U1490">
        <f>[1]资金台帐!U1490&amp;""</f>
      </c>
      <c r="W1490">
        <f>[1]资金台帐!W1490&amp;""</f>
      </c>
      <c r="X1490">
        <f>[1]资金台帐!X1490&amp;""</f>
      </c>
      <c r="AB1490">
        <f>[1]资金台帐!AB1490</f>
        <v>0</v>
      </c>
      <c r="AC1490">
        <f>[1]资金台帐!AC1490</f>
        <v>0</v>
      </c>
      <c r="AD1490">
        <f>[1]资金台帐!AD1490</f>
        <v>0</v>
      </c>
      <c r="AJ1490">
        <f>[1]资金台帐!AJ1490</f>
        <v>0</v>
      </c>
      <c r="AK1490">
        <f>[1]资金台帐!AK1490</f>
        <v>0</v>
      </c>
      <c r="BA1490" s="22">
        <f t="shared" si="0"/>
      </c>
      <c r="BG1490" s="22">
        <f t="shared" si="1"/>
      </c>
      <c r="BH1490" s="22">
        <f t="shared" si="2"/>
        <v>0</v>
      </c>
    </row>
    <row r="1491">
      <c r="B1491">
        <f>[1]资金台帐!B1491&amp;""</f>
      </c>
      <c r="H1491">
        <f>[1]资金台帐!H1491&amp;""</f>
      </c>
      <c r="J1491">
        <f>[1]资金台帐!J1491&amp;""</f>
      </c>
      <c r="N1491">
        <f>[1]资金台帐!N1491</f>
      </c>
      <c r="O1491">
        <f>[1]资金台帐!O1491&amp;""</f>
      </c>
      <c r="P1491">
        <f>[1]资金台帐!P1491&amp;""</f>
      </c>
      <c r="Q1491">
        <f>[1]资金台帐!Q1491&amp;""</f>
      </c>
      <c r="T1491">
        <f>[1]资金台帐!T1491&amp;""</f>
      </c>
      <c r="U1491">
        <f>[1]资金台帐!U1491&amp;""</f>
      </c>
      <c r="W1491">
        <f>[1]资金台帐!W1491&amp;""</f>
      </c>
      <c r="X1491">
        <f>[1]资金台帐!X1491&amp;""</f>
      </c>
      <c r="AB1491">
        <f>[1]资金台帐!AB1491</f>
        <v>0</v>
      </c>
      <c r="AC1491">
        <f>[1]资金台帐!AC1491</f>
        <v>0</v>
      </c>
      <c r="AD1491">
        <f>[1]资金台帐!AD1491</f>
        <v>0</v>
      </c>
      <c r="AJ1491">
        <f>[1]资金台帐!AJ1491</f>
        <v>0</v>
      </c>
      <c r="AK1491">
        <f>[1]资金台帐!AK1491</f>
        <v>0</v>
      </c>
      <c r="BA1491" s="22">
        <f t="shared" si="0"/>
      </c>
      <c r="BG1491" s="22">
        <f t="shared" si="1"/>
      </c>
      <c r="BH1491" s="22">
        <f t="shared" si="2"/>
        <v>0</v>
      </c>
    </row>
    <row r="1492">
      <c r="B1492">
        <f>[1]资金台帐!B1492&amp;""</f>
      </c>
      <c r="H1492">
        <f>[1]资金台帐!H1492&amp;""</f>
      </c>
      <c r="J1492">
        <f>[1]资金台帐!J1492&amp;""</f>
      </c>
      <c r="N1492">
        <f>[1]资金台帐!N1492</f>
      </c>
      <c r="O1492">
        <f>[1]资金台帐!O1492&amp;""</f>
      </c>
      <c r="P1492">
        <f>[1]资金台帐!P1492&amp;""</f>
      </c>
      <c r="Q1492">
        <f>[1]资金台帐!Q1492&amp;""</f>
      </c>
      <c r="T1492">
        <f>[1]资金台帐!T1492&amp;""</f>
      </c>
      <c r="U1492">
        <f>[1]资金台帐!U1492&amp;""</f>
      </c>
      <c r="W1492">
        <f>[1]资金台帐!W1492&amp;""</f>
      </c>
      <c r="X1492">
        <f>[1]资金台帐!X1492&amp;""</f>
      </c>
      <c r="AB1492">
        <f>[1]资金台帐!AB1492</f>
        <v>0</v>
      </c>
      <c r="AC1492">
        <f>[1]资金台帐!AC1492</f>
        <v>0</v>
      </c>
      <c r="AD1492">
        <f>[1]资金台帐!AD1492</f>
        <v>0</v>
      </c>
      <c r="AJ1492">
        <f>[1]资金台帐!AJ1492</f>
        <v>0</v>
      </c>
      <c r="AK1492">
        <f>[1]资金台帐!AK1492</f>
        <v>0</v>
      </c>
      <c r="BA1492" s="22">
        <f t="shared" si="0"/>
      </c>
      <c r="BG1492" s="22">
        <f t="shared" si="1"/>
      </c>
      <c r="BH1492" s="22">
        <f t="shared" si="2"/>
        <v>0</v>
      </c>
    </row>
    <row r="1493">
      <c r="B1493">
        <f>[1]资金台帐!B1493&amp;""</f>
      </c>
      <c r="H1493">
        <f>[1]资金台帐!H1493&amp;""</f>
      </c>
      <c r="J1493">
        <f>[1]资金台帐!J1493&amp;""</f>
      </c>
      <c r="N1493">
        <f>[1]资金台帐!N1493</f>
      </c>
      <c r="O1493">
        <f>[1]资金台帐!O1493&amp;""</f>
      </c>
      <c r="P1493">
        <f>[1]资金台帐!P1493&amp;""</f>
      </c>
      <c r="Q1493">
        <f>[1]资金台帐!Q1493&amp;""</f>
      </c>
      <c r="T1493">
        <f>[1]资金台帐!T1493&amp;""</f>
      </c>
      <c r="U1493">
        <f>[1]资金台帐!U1493&amp;""</f>
      </c>
      <c r="W1493">
        <f>[1]资金台帐!W1493&amp;""</f>
      </c>
      <c r="X1493">
        <f>[1]资金台帐!X1493&amp;""</f>
      </c>
      <c r="AB1493">
        <f>[1]资金台帐!AB1493</f>
        <v>0</v>
      </c>
      <c r="AC1493">
        <f>[1]资金台帐!AC1493</f>
        <v>0</v>
      </c>
      <c r="AD1493">
        <f>[1]资金台帐!AD1493</f>
        <v>0</v>
      </c>
      <c r="AJ1493">
        <f>[1]资金台帐!AJ1493</f>
        <v>0</v>
      </c>
      <c r="AK1493">
        <f>[1]资金台帐!AK1493</f>
        <v>0</v>
      </c>
      <c r="BA1493" s="22">
        <f t="shared" si="0"/>
      </c>
      <c r="BG1493" s="22">
        <f t="shared" si="1"/>
      </c>
      <c r="BH1493" s="22">
        <f t="shared" si="2"/>
        <v>0</v>
      </c>
    </row>
    <row r="1494">
      <c r="B1494">
        <f>[1]资金台帐!B1494&amp;""</f>
      </c>
      <c r="H1494">
        <f>[1]资金台帐!H1494&amp;""</f>
      </c>
      <c r="J1494">
        <f>[1]资金台帐!J1494&amp;""</f>
      </c>
      <c r="N1494">
        <f>[1]资金台帐!N1494</f>
      </c>
      <c r="O1494">
        <f>[1]资金台帐!O1494&amp;""</f>
      </c>
      <c r="P1494">
        <f>[1]资金台帐!P1494&amp;""</f>
      </c>
      <c r="Q1494">
        <f>[1]资金台帐!Q1494&amp;""</f>
      </c>
      <c r="T1494">
        <f>[1]资金台帐!T1494&amp;""</f>
      </c>
      <c r="U1494">
        <f>[1]资金台帐!U1494&amp;""</f>
      </c>
      <c r="W1494">
        <f>[1]资金台帐!W1494&amp;""</f>
      </c>
      <c r="X1494">
        <f>[1]资金台帐!X1494&amp;""</f>
      </c>
      <c r="AB1494">
        <f>[1]资金台帐!AB1494</f>
        <v>0</v>
      </c>
      <c r="AC1494">
        <f>[1]资金台帐!AC1494</f>
        <v>0</v>
      </c>
      <c r="AD1494">
        <f>[1]资金台帐!AD1494</f>
        <v>0</v>
      </c>
      <c r="AJ1494">
        <f>[1]资金台帐!AJ1494</f>
        <v>0</v>
      </c>
      <c r="AK1494">
        <f>[1]资金台帐!AK1494</f>
        <v>0</v>
      </c>
      <c r="BA1494" s="22">
        <f t="shared" si="0"/>
      </c>
      <c r="BG1494" s="22">
        <f t="shared" si="1"/>
      </c>
      <c r="BH1494" s="22">
        <f t="shared" si="2"/>
        <v>0</v>
      </c>
    </row>
    <row r="1495">
      <c r="B1495">
        <f>[1]资金台帐!B1495&amp;""</f>
      </c>
      <c r="H1495">
        <f>[1]资金台帐!H1495&amp;""</f>
      </c>
      <c r="J1495">
        <f>[1]资金台帐!J1495&amp;""</f>
      </c>
      <c r="N1495">
        <f>[1]资金台帐!N1495</f>
      </c>
      <c r="O1495">
        <f>[1]资金台帐!O1495&amp;""</f>
      </c>
      <c r="P1495">
        <f>[1]资金台帐!P1495&amp;""</f>
      </c>
      <c r="Q1495">
        <f>[1]资金台帐!Q1495&amp;""</f>
      </c>
      <c r="T1495">
        <f>[1]资金台帐!T1495&amp;""</f>
      </c>
      <c r="U1495">
        <f>[1]资金台帐!U1495&amp;""</f>
      </c>
      <c r="W1495">
        <f>[1]资金台帐!W1495&amp;""</f>
      </c>
      <c r="X1495">
        <f>[1]资金台帐!X1495&amp;""</f>
      </c>
      <c r="AB1495">
        <f>[1]资金台帐!AB1495</f>
        <v>0</v>
      </c>
      <c r="AC1495">
        <f>[1]资金台帐!AC1495</f>
        <v>0</v>
      </c>
      <c r="AD1495">
        <f>[1]资金台帐!AD1495</f>
        <v>0</v>
      </c>
      <c r="AJ1495">
        <f>[1]资金台帐!AJ1495</f>
        <v>0</v>
      </c>
      <c r="AK1495">
        <f>[1]资金台帐!AK1495</f>
        <v>0</v>
      </c>
      <c r="BA1495" s="22">
        <f t="shared" si="0"/>
      </c>
      <c r="BG1495" s="22">
        <f t="shared" si="1"/>
      </c>
      <c r="BH1495" s="22">
        <f t="shared" si="2"/>
        <v>0</v>
      </c>
    </row>
    <row r="1496">
      <c r="B1496">
        <f>[1]资金台帐!B1496&amp;""</f>
      </c>
      <c r="H1496">
        <f>[1]资金台帐!H1496&amp;""</f>
      </c>
      <c r="J1496">
        <f>[1]资金台帐!J1496&amp;""</f>
      </c>
      <c r="N1496">
        <f>[1]资金台帐!N1496</f>
      </c>
      <c r="O1496">
        <f>[1]资金台帐!O1496&amp;""</f>
      </c>
      <c r="P1496">
        <f>[1]资金台帐!P1496&amp;""</f>
      </c>
      <c r="Q1496">
        <f>[1]资金台帐!Q1496&amp;""</f>
      </c>
      <c r="T1496">
        <f>[1]资金台帐!T1496&amp;""</f>
      </c>
      <c r="U1496">
        <f>[1]资金台帐!U1496&amp;""</f>
      </c>
      <c r="W1496">
        <f>[1]资金台帐!W1496&amp;""</f>
      </c>
      <c r="X1496">
        <f>[1]资金台帐!X1496&amp;""</f>
      </c>
      <c r="AB1496">
        <f>[1]资金台帐!AB1496</f>
        <v>0</v>
      </c>
      <c r="AC1496">
        <f>[1]资金台帐!AC1496</f>
        <v>0</v>
      </c>
      <c r="AD1496">
        <f>[1]资金台帐!AD1496</f>
        <v>0</v>
      </c>
      <c r="AJ1496">
        <f>[1]资金台帐!AJ1496</f>
        <v>0</v>
      </c>
      <c r="AK1496">
        <f>[1]资金台帐!AK1496</f>
        <v>0</v>
      </c>
      <c r="BA1496" s="22">
        <f t="shared" si="0"/>
      </c>
      <c r="BG1496" s="22">
        <f t="shared" si="1"/>
      </c>
      <c r="BH1496" s="22">
        <f t="shared" si="2"/>
        <v>0</v>
      </c>
    </row>
    <row r="1497">
      <c r="B1497">
        <f>[1]资金台帐!B1497&amp;""</f>
      </c>
      <c r="H1497">
        <f>[1]资金台帐!H1497&amp;""</f>
      </c>
      <c r="J1497">
        <f>[1]资金台帐!J1497&amp;""</f>
      </c>
      <c r="N1497">
        <f>[1]资金台帐!N1497</f>
      </c>
      <c r="O1497">
        <f>[1]资金台帐!O1497&amp;""</f>
      </c>
      <c r="P1497">
        <f>[1]资金台帐!P1497&amp;""</f>
      </c>
      <c r="Q1497">
        <f>[1]资金台帐!Q1497&amp;""</f>
      </c>
      <c r="T1497">
        <f>[1]资金台帐!T1497&amp;""</f>
      </c>
      <c r="U1497">
        <f>[1]资金台帐!U1497&amp;""</f>
      </c>
      <c r="W1497">
        <f>[1]资金台帐!W1497&amp;""</f>
      </c>
      <c r="X1497">
        <f>[1]资金台帐!X1497&amp;""</f>
      </c>
      <c r="AB1497">
        <f>[1]资金台帐!AB1497</f>
        <v>0</v>
      </c>
      <c r="AC1497">
        <f>[1]资金台帐!AC1497</f>
        <v>0</v>
      </c>
      <c r="AD1497">
        <f>[1]资金台帐!AD1497</f>
        <v>0</v>
      </c>
      <c r="AJ1497">
        <f>[1]资金台帐!AJ1497</f>
        <v>0</v>
      </c>
      <c r="AK1497">
        <f>[1]资金台帐!AK1497</f>
        <v>0</v>
      </c>
      <c r="BA1497" s="22">
        <f t="shared" si="0"/>
      </c>
      <c r="BG1497" s="22">
        <f t="shared" si="1"/>
      </c>
      <c r="BH1497" s="22">
        <f t="shared" si="2"/>
        <v>0</v>
      </c>
    </row>
    <row r="1498">
      <c r="B1498">
        <f>[1]资金台帐!B1498&amp;""</f>
      </c>
      <c r="H1498">
        <f>[1]资金台帐!H1498&amp;""</f>
      </c>
      <c r="J1498">
        <f>[1]资金台帐!J1498&amp;""</f>
      </c>
      <c r="N1498">
        <f>[1]资金台帐!N1498</f>
      </c>
      <c r="O1498">
        <f>[1]资金台帐!O1498&amp;""</f>
      </c>
      <c r="P1498">
        <f>[1]资金台帐!P1498&amp;""</f>
      </c>
      <c r="Q1498">
        <f>[1]资金台帐!Q1498&amp;""</f>
      </c>
      <c r="T1498">
        <f>[1]资金台帐!T1498&amp;""</f>
      </c>
      <c r="U1498">
        <f>[1]资金台帐!U1498&amp;""</f>
      </c>
      <c r="W1498">
        <f>[1]资金台帐!W1498&amp;""</f>
      </c>
      <c r="X1498">
        <f>[1]资金台帐!X1498&amp;""</f>
      </c>
      <c r="AB1498">
        <f>[1]资金台帐!AB1498</f>
        <v>0</v>
      </c>
      <c r="AC1498">
        <f>[1]资金台帐!AC1498</f>
        <v>0</v>
      </c>
      <c r="AD1498">
        <f>[1]资金台帐!AD1498</f>
        <v>0</v>
      </c>
      <c r="AJ1498">
        <f>[1]资金台帐!AJ1498</f>
        <v>0</v>
      </c>
      <c r="AK1498">
        <f>[1]资金台帐!AK1498</f>
        <v>0</v>
      </c>
      <c r="BA1498" s="22">
        <f t="shared" si="0"/>
      </c>
      <c r="BG1498" s="22">
        <f t="shared" si="1"/>
      </c>
      <c r="BH1498" s="22">
        <f t="shared" si="2"/>
        <v>0</v>
      </c>
    </row>
    <row r="1499">
      <c r="B1499">
        <f>[1]资金台帐!B1499&amp;""</f>
      </c>
      <c r="H1499">
        <f>[1]资金台帐!H1499&amp;""</f>
      </c>
      <c r="J1499">
        <f>[1]资金台帐!J1499&amp;""</f>
      </c>
      <c r="N1499">
        <f>[1]资金台帐!N1499</f>
      </c>
      <c r="O1499">
        <f>[1]资金台帐!O1499&amp;""</f>
      </c>
      <c r="P1499">
        <f>[1]资金台帐!P1499&amp;""</f>
      </c>
      <c r="Q1499">
        <f>[1]资金台帐!Q1499&amp;""</f>
      </c>
      <c r="T1499">
        <f>[1]资金台帐!T1499&amp;""</f>
      </c>
      <c r="U1499">
        <f>[1]资金台帐!U1499&amp;""</f>
      </c>
      <c r="W1499">
        <f>[1]资金台帐!W1499&amp;""</f>
      </c>
      <c r="X1499">
        <f>[1]资金台帐!X1499&amp;""</f>
      </c>
      <c r="AB1499">
        <f>[1]资金台帐!AB1499</f>
        <v>0</v>
      </c>
      <c r="AC1499">
        <f>[1]资金台帐!AC1499</f>
        <v>0</v>
      </c>
      <c r="AD1499">
        <f>[1]资金台帐!AD1499</f>
        <v>0</v>
      </c>
      <c r="AJ1499">
        <f>[1]资金台帐!AJ1499</f>
        <v>0</v>
      </c>
      <c r="AK1499">
        <f>[1]资金台帐!AK1499</f>
        <v>0</v>
      </c>
      <c r="BA1499" s="22">
        <f t="shared" si="0"/>
      </c>
      <c r="BG1499" s="22">
        <f t="shared" si="1"/>
      </c>
      <c r="BH1499" s="22">
        <f t="shared" si="2"/>
        <v>0</v>
      </c>
    </row>
    <row r="1500">
      <c r="B1500">
        <f>[1]资金台帐!B1500&amp;""</f>
      </c>
      <c r="H1500">
        <f>[1]资金台帐!H1500&amp;""</f>
      </c>
      <c r="J1500">
        <f>[1]资金台帐!J1500&amp;""</f>
      </c>
      <c r="N1500">
        <f>[1]资金台帐!N1500</f>
      </c>
      <c r="O1500">
        <f>[1]资金台帐!O1500&amp;""</f>
      </c>
      <c r="P1500">
        <f>[1]资金台帐!P1500&amp;""</f>
      </c>
      <c r="Q1500">
        <f>[1]资金台帐!Q1500&amp;""</f>
      </c>
      <c r="T1500">
        <f>[1]资金台帐!T1500&amp;""</f>
      </c>
      <c r="U1500">
        <f>[1]资金台帐!U1500&amp;""</f>
      </c>
      <c r="W1500">
        <f>[1]资金台帐!W1500&amp;""</f>
      </c>
      <c r="X1500">
        <f>[1]资金台帐!X1500&amp;""</f>
      </c>
      <c r="AB1500">
        <f>[1]资金台帐!AB1500</f>
        <v>0</v>
      </c>
      <c r="AC1500">
        <f>[1]资金台帐!AC1500</f>
        <v>0</v>
      </c>
      <c r="AD1500">
        <f>[1]资金台帐!AD1500</f>
        <v>0</v>
      </c>
      <c r="AJ1500">
        <f>[1]资金台帐!AJ1500</f>
        <v>0</v>
      </c>
      <c r="AK1500">
        <f>[1]资金台帐!AK1500</f>
        <v>0</v>
      </c>
      <c r="BA1500" s="22">
        <f t="shared" si="0"/>
      </c>
      <c r="BG1500" s="22">
        <f t="shared" si="1"/>
      </c>
      <c r="BH1500" s="22">
        <f t="shared" si="2"/>
        <v>0</v>
      </c>
    </row>
    <row r="1501">
      <c r="B1501">
        <f>[1]资金台帐!B1501&amp;""</f>
      </c>
      <c r="H1501">
        <f>[1]资金台帐!H1501&amp;""</f>
      </c>
      <c r="J1501">
        <f>[1]资金台帐!J1501&amp;""</f>
      </c>
      <c r="N1501">
        <f>[1]资金台帐!N1501</f>
      </c>
      <c r="O1501">
        <f>[1]资金台帐!O1501&amp;""</f>
      </c>
      <c r="P1501">
        <f>[1]资金台帐!P1501&amp;""</f>
      </c>
      <c r="Q1501">
        <f>[1]资金台帐!Q1501&amp;""</f>
      </c>
      <c r="T1501">
        <f>[1]资金台帐!T1501&amp;""</f>
      </c>
      <c r="U1501">
        <f>[1]资金台帐!U1501&amp;""</f>
      </c>
      <c r="W1501">
        <f>[1]资金台帐!W1501&amp;""</f>
      </c>
      <c r="X1501">
        <f>[1]资金台帐!X1501&amp;""</f>
      </c>
      <c r="AB1501">
        <f>[1]资金台帐!AB1501</f>
        <v>0</v>
      </c>
      <c r="AC1501">
        <f>[1]资金台帐!AC1501</f>
        <v>0</v>
      </c>
      <c r="AD1501">
        <f>[1]资金台帐!AD1501</f>
        <v>0</v>
      </c>
      <c r="AJ1501">
        <f>[1]资金台帐!AJ1501</f>
        <v>0</v>
      </c>
      <c r="AK1501">
        <f>[1]资金台帐!AK1501</f>
        <v>0</v>
      </c>
      <c r="BA1501" s="22">
        <f t="shared" si="0"/>
      </c>
      <c r="BG1501" s="22">
        <f t="shared" si="1"/>
      </c>
      <c r="BH1501" s="22">
        <f t="shared" si="2"/>
        <v>0</v>
      </c>
    </row>
    <row r="1502">
      <c r="B1502">
        <f>[1]资金台帐!B1502&amp;""</f>
      </c>
      <c r="H1502">
        <f>[1]资金台帐!H1502&amp;""</f>
      </c>
      <c r="J1502">
        <f>[1]资金台帐!J1502&amp;""</f>
      </c>
      <c r="N1502">
        <f>[1]资金台帐!N1502</f>
      </c>
      <c r="O1502">
        <f>[1]资金台帐!O1502&amp;""</f>
      </c>
      <c r="P1502">
        <f>[1]资金台帐!P1502&amp;""</f>
      </c>
      <c r="Q1502">
        <f>[1]资金台帐!Q1502&amp;""</f>
      </c>
      <c r="T1502">
        <f>[1]资金台帐!T1502&amp;""</f>
      </c>
      <c r="U1502">
        <f>[1]资金台帐!U1502&amp;""</f>
      </c>
      <c r="W1502">
        <f>[1]资金台帐!W1502&amp;""</f>
      </c>
      <c r="X1502">
        <f>[1]资金台帐!X1502&amp;""</f>
      </c>
      <c r="AB1502">
        <f>[1]资金台帐!AB1502</f>
        <v>0</v>
      </c>
      <c r="AC1502">
        <f>[1]资金台帐!AC1502</f>
        <v>0</v>
      </c>
      <c r="AD1502">
        <f>[1]资金台帐!AD1502</f>
        <v>0</v>
      </c>
      <c r="AJ1502">
        <f>[1]资金台帐!AJ1502</f>
        <v>0</v>
      </c>
      <c r="AK1502">
        <f>[1]资金台帐!AK1502</f>
        <v>0</v>
      </c>
      <c r="BA1502" s="22">
        <f t="shared" si="0"/>
      </c>
      <c r="BG1502" s="22">
        <f t="shared" si="1"/>
      </c>
      <c r="BH1502" s="22">
        <f t="shared" si="2"/>
        <v>0</v>
      </c>
    </row>
    <row r="1503">
      <c r="B1503">
        <f>[1]资金台帐!B1503&amp;""</f>
      </c>
      <c r="H1503">
        <f>[1]资金台帐!H1503&amp;""</f>
      </c>
      <c r="J1503">
        <f>[1]资金台帐!J1503&amp;""</f>
      </c>
      <c r="N1503">
        <f>[1]资金台帐!N1503</f>
      </c>
      <c r="O1503">
        <f>[1]资金台帐!O1503&amp;""</f>
      </c>
      <c r="P1503">
        <f>[1]资金台帐!P1503&amp;""</f>
      </c>
      <c r="Q1503">
        <f>[1]资金台帐!Q1503&amp;""</f>
      </c>
      <c r="T1503">
        <f>[1]资金台帐!T1503&amp;""</f>
      </c>
      <c r="U1503">
        <f>[1]资金台帐!U1503&amp;""</f>
      </c>
      <c r="W1503">
        <f>[1]资金台帐!W1503&amp;""</f>
      </c>
      <c r="X1503">
        <f>[1]资金台帐!X1503&amp;""</f>
      </c>
      <c r="AB1503">
        <f>[1]资金台帐!AB1503</f>
        <v>0</v>
      </c>
      <c r="AC1503">
        <f>[1]资金台帐!AC1503</f>
        <v>0</v>
      </c>
      <c r="AD1503">
        <f>[1]资金台帐!AD1503</f>
        <v>0</v>
      </c>
      <c r="AJ1503">
        <f>[1]资金台帐!AJ1503</f>
        <v>0</v>
      </c>
      <c r="AK1503">
        <f>[1]资金台帐!AK1503</f>
        <v>0</v>
      </c>
      <c r="BA1503" s="22">
        <f t="shared" si="0"/>
      </c>
      <c r="BG1503" s="22">
        <f t="shared" si="1"/>
      </c>
      <c r="BH1503" s="22">
        <f t="shared" si="2"/>
        <v>0</v>
      </c>
    </row>
    <row r="1504">
      <c r="B1504">
        <f>[1]资金台帐!B1504&amp;""</f>
      </c>
      <c r="H1504">
        <f>[1]资金台帐!H1504&amp;""</f>
      </c>
      <c r="J1504">
        <f>[1]资金台帐!J1504&amp;""</f>
      </c>
      <c r="N1504">
        <f>[1]资金台帐!N1504</f>
      </c>
      <c r="O1504">
        <f>[1]资金台帐!O1504&amp;""</f>
      </c>
      <c r="P1504">
        <f>[1]资金台帐!P1504&amp;""</f>
      </c>
      <c r="Q1504">
        <f>[1]资金台帐!Q1504&amp;""</f>
      </c>
      <c r="T1504">
        <f>[1]资金台帐!T1504&amp;""</f>
      </c>
      <c r="U1504">
        <f>[1]资金台帐!U1504&amp;""</f>
      </c>
      <c r="W1504">
        <f>[1]资金台帐!W1504&amp;""</f>
      </c>
      <c r="X1504">
        <f>[1]资金台帐!X1504&amp;""</f>
      </c>
      <c r="AB1504">
        <f>[1]资金台帐!AB1504</f>
        <v>0</v>
      </c>
      <c r="AC1504">
        <f>[1]资金台帐!AC1504</f>
        <v>0</v>
      </c>
      <c r="AD1504">
        <f>[1]资金台帐!AD1504</f>
        <v>0</v>
      </c>
      <c r="AJ1504">
        <f>[1]资金台帐!AJ1504</f>
        <v>0</v>
      </c>
      <c r="AK1504">
        <f>[1]资金台帐!AK1504</f>
        <v>0</v>
      </c>
      <c r="BA1504" s="22">
        <f t="shared" si="0"/>
      </c>
      <c r="BG1504" s="22">
        <f t="shared" si="1"/>
      </c>
      <c r="BH1504" s="22">
        <f t="shared" si="2"/>
        <v>0</v>
      </c>
    </row>
    <row r="1505">
      <c r="B1505">
        <f>[1]资金台帐!B1505&amp;""</f>
      </c>
      <c r="H1505">
        <f>[1]资金台帐!H1505&amp;""</f>
      </c>
      <c r="J1505">
        <f>[1]资金台帐!J1505&amp;""</f>
      </c>
      <c r="N1505">
        <f>[1]资金台帐!N1505</f>
      </c>
      <c r="O1505">
        <f>[1]资金台帐!O1505&amp;""</f>
      </c>
      <c r="P1505">
        <f>[1]资金台帐!P1505&amp;""</f>
      </c>
      <c r="Q1505">
        <f>[1]资金台帐!Q1505&amp;""</f>
      </c>
      <c r="T1505">
        <f>[1]资金台帐!T1505&amp;""</f>
      </c>
      <c r="U1505">
        <f>[1]资金台帐!U1505&amp;""</f>
      </c>
      <c r="W1505">
        <f>[1]资金台帐!W1505&amp;""</f>
      </c>
      <c r="X1505">
        <f>[1]资金台帐!X1505&amp;""</f>
      </c>
      <c r="AB1505">
        <f>[1]资金台帐!AB1505</f>
        <v>0</v>
      </c>
      <c r="AC1505">
        <f>[1]资金台帐!AC1505</f>
        <v>0</v>
      </c>
      <c r="AD1505">
        <f>[1]资金台帐!AD1505</f>
        <v>0</v>
      </c>
      <c r="AJ1505">
        <f>[1]资金台帐!AJ1505</f>
        <v>0</v>
      </c>
      <c r="AK1505">
        <f>[1]资金台帐!AK1505</f>
        <v>0</v>
      </c>
      <c r="BA1505" s="22">
        <f t="shared" si="0"/>
      </c>
      <c r="BG1505" s="22">
        <f t="shared" si="1"/>
      </c>
      <c r="BH1505" s="22">
        <f t="shared" si="2"/>
        <v>0</v>
      </c>
    </row>
    <row r="1506">
      <c r="B1506">
        <f>[1]资金台帐!B1506&amp;""</f>
      </c>
      <c r="H1506">
        <f>[1]资金台帐!H1506&amp;""</f>
      </c>
      <c r="J1506">
        <f>[1]资金台帐!J1506&amp;""</f>
      </c>
      <c r="N1506">
        <f>[1]资金台帐!N1506</f>
      </c>
      <c r="O1506">
        <f>[1]资金台帐!O1506&amp;""</f>
      </c>
      <c r="P1506">
        <f>[1]资金台帐!P1506&amp;""</f>
      </c>
      <c r="Q1506">
        <f>[1]资金台帐!Q1506&amp;""</f>
      </c>
      <c r="T1506">
        <f>[1]资金台帐!T1506&amp;""</f>
      </c>
      <c r="U1506">
        <f>[1]资金台帐!U1506&amp;""</f>
      </c>
      <c r="W1506">
        <f>[1]资金台帐!W1506&amp;""</f>
      </c>
      <c r="X1506">
        <f>[1]资金台帐!X1506&amp;""</f>
      </c>
      <c r="AB1506">
        <f>[1]资金台帐!AB1506</f>
        <v>0</v>
      </c>
      <c r="AC1506">
        <f>[1]资金台帐!AC1506</f>
        <v>0</v>
      </c>
      <c r="AD1506">
        <f>[1]资金台帐!AD1506</f>
        <v>0</v>
      </c>
      <c r="AJ1506">
        <f>[1]资金台帐!AJ1506</f>
        <v>0</v>
      </c>
      <c r="AK1506">
        <f>[1]资金台帐!AK1506</f>
        <v>0</v>
      </c>
      <c r="BA1506" s="22">
        <f t="shared" si="0"/>
      </c>
      <c r="BG1506" s="22">
        <f t="shared" si="1"/>
      </c>
      <c r="BH1506" s="22">
        <f t="shared" si="2"/>
        <v>0</v>
      </c>
    </row>
    <row r="1507">
      <c r="B1507">
        <f>[1]资金台帐!B1507&amp;""</f>
      </c>
      <c r="H1507">
        <f>[1]资金台帐!H1507&amp;""</f>
      </c>
      <c r="J1507">
        <f>[1]资金台帐!J1507&amp;""</f>
      </c>
      <c r="N1507">
        <f>[1]资金台帐!N1507</f>
      </c>
      <c r="O1507">
        <f>[1]资金台帐!O1507&amp;""</f>
      </c>
      <c r="P1507">
        <f>[1]资金台帐!P1507&amp;""</f>
      </c>
      <c r="Q1507">
        <f>[1]资金台帐!Q1507&amp;""</f>
      </c>
      <c r="T1507">
        <f>[1]资金台帐!T1507&amp;""</f>
      </c>
      <c r="U1507">
        <f>[1]资金台帐!U1507&amp;""</f>
      </c>
      <c r="W1507">
        <f>[1]资金台帐!W1507&amp;""</f>
      </c>
      <c r="X1507">
        <f>[1]资金台帐!X1507&amp;""</f>
      </c>
      <c r="AB1507">
        <f>[1]资金台帐!AB1507</f>
        <v>0</v>
      </c>
      <c r="AC1507">
        <f>[1]资金台帐!AC1507</f>
        <v>0</v>
      </c>
      <c r="AD1507">
        <f>[1]资金台帐!AD1507</f>
        <v>0</v>
      </c>
      <c r="AJ1507">
        <f>[1]资金台帐!AJ1507</f>
        <v>0</v>
      </c>
      <c r="AK1507">
        <f>[1]资金台帐!AK1507</f>
        <v>0</v>
      </c>
      <c r="BA1507" s="22">
        <f t="shared" si="0"/>
      </c>
      <c r="BG1507" s="22">
        <f t="shared" si="1"/>
      </c>
      <c r="BH1507" s="22">
        <f t="shared" si="2"/>
        <v>0</v>
      </c>
    </row>
    <row r="1508">
      <c r="B1508">
        <f>[1]资金台帐!B1508&amp;""</f>
      </c>
      <c r="H1508">
        <f>[1]资金台帐!H1508&amp;""</f>
      </c>
      <c r="J1508">
        <f>[1]资金台帐!J1508&amp;""</f>
      </c>
      <c r="N1508">
        <f>[1]资金台帐!N1508</f>
      </c>
      <c r="O1508">
        <f>[1]资金台帐!O1508&amp;""</f>
      </c>
      <c r="P1508">
        <f>[1]资金台帐!P1508&amp;""</f>
      </c>
      <c r="Q1508">
        <f>[1]资金台帐!Q1508&amp;""</f>
      </c>
      <c r="T1508">
        <f>[1]资金台帐!T1508&amp;""</f>
      </c>
      <c r="U1508">
        <f>[1]资金台帐!U1508&amp;""</f>
      </c>
      <c r="W1508">
        <f>[1]资金台帐!W1508&amp;""</f>
      </c>
      <c r="X1508">
        <f>[1]资金台帐!X1508&amp;""</f>
      </c>
      <c r="AB1508">
        <f>[1]资金台帐!AB1508</f>
        <v>0</v>
      </c>
      <c r="AC1508">
        <f>[1]资金台帐!AC1508</f>
        <v>0</v>
      </c>
      <c r="AD1508">
        <f>[1]资金台帐!AD1508</f>
        <v>0</v>
      </c>
      <c r="AJ1508">
        <f>[1]资金台帐!AJ1508</f>
        <v>0</v>
      </c>
      <c r="AK1508">
        <f>[1]资金台帐!AK1508</f>
        <v>0</v>
      </c>
      <c r="BA1508" s="22">
        <f t="shared" si="0"/>
      </c>
      <c r="BG1508" s="22">
        <f t="shared" si="1"/>
      </c>
      <c r="BH1508" s="22">
        <f t="shared" si="2"/>
        <v>0</v>
      </c>
    </row>
    <row r="1509">
      <c r="B1509">
        <f>[1]资金台帐!B1509&amp;""</f>
      </c>
      <c r="H1509">
        <f>[1]资金台帐!H1509&amp;""</f>
      </c>
      <c r="J1509">
        <f>[1]资金台帐!J1509&amp;""</f>
      </c>
      <c r="N1509">
        <f>[1]资金台帐!N1509</f>
      </c>
      <c r="O1509">
        <f>[1]资金台帐!O1509&amp;""</f>
      </c>
      <c r="P1509">
        <f>[1]资金台帐!P1509&amp;""</f>
      </c>
      <c r="Q1509">
        <f>[1]资金台帐!Q1509&amp;""</f>
      </c>
      <c r="T1509">
        <f>[1]资金台帐!T1509&amp;""</f>
      </c>
      <c r="U1509">
        <f>[1]资金台帐!U1509&amp;""</f>
      </c>
      <c r="W1509">
        <f>[1]资金台帐!W1509&amp;""</f>
      </c>
      <c r="X1509">
        <f>[1]资金台帐!X1509&amp;""</f>
      </c>
      <c r="AB1509">
        <f>[1]资金台帐!AB1509</f>
        <v>0</v>
      </c>
      <c r="AC1509">
        <f>[1]资金台帐!AC1509</f>
        <v>0</v>
      </c>
      <c r="AD1509">
        <f>[1]资金台帐!AD1509</f>
        <v>0</v>
      </c>
      <c r="AJ1509">
        <f>[1]资金台帐!AJ1509</f>
        <v>0</v>
      </c>
      <c r="AK1509">
        <f>[1]资金台帐!AK1509</f>
        <v>0</v>
      </c>
      <c r="BA1509" s="22">
        <f t="shared" si="0"/>
      </c>
      <c r="BG1509" s="22">
        <f t="shared" si="1"/>
      </c>
      <c r="BH1509" s="22">
        <f t="shared" si="2"/>
        <v>0</v>
      </c>
    </row>
    <row r="1510">
      <c r="B1510">
        <f>[1]资金台帐!B1510&amp;""</f>
      </c>
      <c r="H1510">
        <f>[1]资金台帐!H1510&amp;""</f>
      </c>
      <c r="J1510">
        <f>[1]资金台帐!J1510&amp;""</f>
      </c>
      <c r="N1510">
        <f>[1]资金台帐!N1510</f>
      </c>
      <c r="O1510">
        <f>[1]资金台帐!O1510&amp;""</f>
      </c>
      <c r="P1510">
        <f>[1]资金台帐!P1510&amp;""</f>
      </c>
      <c r="Q1510">
        <f>[1]资金台帐!Q1510&amp;""</f>
      </c>
      <c r="T1510">
        <f>[1]资金台帐!T1510&amp;""</f>
      </c>
      <c r="U1510">
        <f>[1]资金台帐!U1510&amp;""</f>
      </c>
      <c r="W1510">
        <f>[1]资金台帐!W1510&amp;""</f>
      </c>
      <c r="X1510">
        <f>[1]资金台帐!X1510&amp;""</f>
      </c>
      <c r="AB1510">
        <f>[1]资金台帐!AB1510</f>
        <v>0</v>
      </c>
      <c r="AC1510">
        <f>[1]资金台帐!AC1510</f>
        <v>0</v>
      </c>
      <c r="AD1510">
        <f>[1]资金台帐!AD1510</f>
        <v>0</v>
      </c>
      <c r="AJ1510">
        <f>[1]资金台帐!AJ1510</f>
        <v>0</v>
      </c>
      <c r="AK1510">
        <f>[1]资金台帐!AK1510</f>
        <v>0</v>
      </c>
      <c r="BA1510" s="22">
        <f t="shared" si="0"/>
      </c>
      <c r="BG1510" s="22">
        <f t="shared" si="1"/>
      </c>
      <c r="BH1510" s="22">
        <f t="shared" si="2"/>
        <v>0</v>
      </c>
    </row>
    <row r="1511">
      <c r="B1511">
        <f>[1]资金台帐!B1511&amp;""</f>
      </c>
      <c r="H1511">
        <f>[1]资金台帐!H1511&amp;""</f>
      </c>
      <c r="J1511">
        <f>[1]资金台帐!J1511&amp;""</f>
      </c>
      <c r="N1511">
        <f>[1]资金台帐!N1511</f>
      </c>
      <c r="O1511">
        <f>[1]资金台帐!O1511&amp;""</f>
      </c>
      <c r="P1511">
        <f>[1]资金台帐!P1511&amp;""</f>
      </c>
      <c r="Q1511">
        <f>[1]资金台帐!Q1511&amp;""</f>
      </c>
      <c r="T1511">
        <f>[1]资金台帐!T1511&amp;""</f>
      </c>
      <c r="U1511">
        <f>[1]资金台帐!U1511&amp;""</f>
      </c>
      <c r="W1511">
        <f>[1]资金台帐!W1511&amp;""</f>
      </c>
      <c r="X1511">
        <f>[1]资金台帐!X1511&amp;""</f>
      </c>
      <c r="AB1511">
        <f>[1]资金台帐!AB1511</f>
        <v>0</v>
      </c>
      <c r="AC1511">
        <f>[1]资金台帐!AC1511</f>
        <v>0</v>
      </c>
      <c r="AD1511">
        <f>[1]资金台帐!AD1511</f>
        <v>0</v>
      </c>
      <c r="AJ1511">
        <f>[1]资金台帐!AJ1511</f>
        <v>0</v>
      </c>
      <c r="AK1511">
        <f>[1]资金台帐!AK1511</f>
        <v>0</v>
      </c>
      <c r="BA1511" s="22">
        <f t="shared" si="0"/>
      </c>
      <c r="BG1511" s="22">
        <f t="shared" si="1"/>
      </c>
      <c r="BH1511" s="22">
        <f t="shared" si="2"/>
        <v>0</v>
      </c>
    </row>
    <row r="1512">
      <c r="B1512">
        <f>[1]资金台帐!B1512&amp;""</f>
      </c>
      <c r="H1512">
        <f>[1]资金台帐!H1512&amp;""</f>
      </c>
      <c r="J1512">
        <f>[1]资金台帐!J1512&amp;""</f>
      </c>
      <c r="N1512">
        <f>[1]资金台帐!N1512</f>
      </c>
      <c r="O1512">
        <f>[1]资金台帐!O1512&amp;""</f>
      </c>
      <c r="P1512">
        <f>[1]资金台帐!P1512&amp;""</f>
      </c>
      <c r="Q1512">
        <f>[1]资金台帐!Q1512&amp;""</f>
      </c>
      <c r="T1512">
        <f>[1]资金台帐!T1512&amp;""</f>
      </c>
      <c r="U1512">
        <f>[1]资金台帐!U1512&amp;""</f>
      </c>
      <c r="W1512">
        <f>[1]资金台帐!W1512&amp;""</f>
      </c>
      <c r="X1512">
        <f>[1]资金台帐!X1512&amp;""</f>
      </c>
      <c r="AB1512">
        <f>[1]资金台帐!AB1512</f>
        <v>0</v>
      </c>
      <c r="AC1512">
        <f>[1]资金台帐!AC1512</f>
        <v>0</v>
      </c>
      <c r="AD1512">
        <f>[1]资金台帐!AD1512</f>
        <v>0</v>
      </c>
      <c r="AJ1512">
        <f>[1]资金台帐!AJ1512</f>
        <v>0</v>
      </c>
      <c r="AK1512">
        <f>[1]资金台帐!AK1512</f>
        <v>0</v>
      </c>
      <c r="BA1512" s="22">
        <f t="shared" si="0"/>
      </c>
      <c r="BG1512" s="22">
        <f t="shared" si="1"/>
      </c>
      <c r="BH1512" s="22">
        <f t="shared" si="2"/>
        <v>0</v>
      </c>
    </row>
    <row r="1513">
      <c r="B1513">
        <f>[1]资金台帐!B1513&amp;""</f>
      </c>
      <c r="H1513">
        <f>[1]资金台帐!H1513&amp;""</f>
      </c>
      <c r="J1513">
        <f>[1]资金台帐!J1513&amp;""</f>
      </c>
      <c r="N1513">
        <f>[1]资金台帐!N1513</f>
      </c>
      <c r="O1513">
        <f>[1]资金台帐!O1513&amp;""</f>
      </c>
      <c r="P1513">
        <f>[1]资金台帐!P1513&amp;""</f>
      </c>
      <c r="Q1513">
        <f>[1]资金台帐!Q1513&amp;""</f>
      </c>
      <c r="T1513">
        <f>[1]资金台帐!T1513&amp;""</f>
      </c>
      <c r="U1513">
        <f>[1]资金台帐!U1513&amp;""</f>
      </c>
      <c r="W1513">
        <f>[1]资金台帐!W1513&amp;""</f>
      </c>
      <c r="X1513">
        <f>[1]资金台帐!X1513&amp;""</f>
      </c>
      <c r="AB1513">
        <f>[1]资金台帐!AB1513</f>
        <v>0</v>
      </c>
      <c r="AC1513">
        <f>[1]资金台帐!AC1513</f>
        <v>0</v>
      </c>
      <c r="AD1513">
        <f>[1]资金台帐!AD1513</f>
        <v>0</v>
      </c>
      <c r="AJ1513">
        <f>[1]资金台帐!AJ1513</f>
        <v>0</v>
      </c>
      <c r="AK1513">
        <f>[1]资金台帐!AK1513</f>
        <v>0</v>
      </c>
      <c r="BA1513" s="22">
        <f t="shared" si="0"/>
      </c>
      <c r="BG1513" s="22">
        <f t="shared" si="1"/>
      </c>
      <c r="BH1513" s="22">
        <f t="shared" si="2"/>
        <v>0</v>
      </c>
    </row>
    <row r="1514">
      <c r="B1514">
        <f>[1]资金台帐!B1514&amp;""</f>
      </c>
      <c r="H1514">
        <f>[1]资金台帐!H1514&amp;""</f>
      </c>
      <c r="J1514">
        <f>[1]资金台帐!J1514&amp;""</f>
      </c>
      <c r="N1514">
        <f>[1]资金台帐!N1514</f>
      </c>
      <c r="O1514">
        <f>[1]资金台帐!O1514&amp;""</f>
      </c>
      <c r="P1514">
        <f>[1]资金台帐!P1514&amp;""</f>
      </c>
      <c r="Q1514">
        <f>[1]资金台帐!Q1514&amp;""</f>
      </c>
      <c r="T1514">
        <f>[1]资金台帐!T1514&amp;""</f>
      </c>
      <c r="U1514">
        <f>[1]资金台帐!U1514&amp;""</f>
      </c>
      <c r="W1514">
        <f>[1]资金台帐!W1514&amp;""</f>
      </c>
      <c r="X1514">
        <f>[1]资金台帐!X1514&amp;""</f>
      </c>
      <c r="AB1514">
        <f>[1]资金台帐!AB1514</f>
        <v>0</v>
      </c>
      <c r="AC1514">
        <f>[1]资金台帐!AC1514</f>
        <v>0</v>
      </c>
      <c r="AD1514">
        <f>[1]资金台帐!AD1514</f>
        <v>0</v>
      </c>
      <c r="AJ1514">
        <f>[1]资金台帐!AJ1514</f>
        <v>0</v>
      </c>
      <c r="AK1514">
        <f>[1]资金台帐!AK1514</f>
        <v>0</v>
      </c>
      <c r="BA1514" s="22">
        <f t="shared" si="0"/>
      </c>
      <c r="BG1514" s="22">
        <f t="shared" si="1"/>
      </c>
      <c r="BH1514" s="22">
        <f t="shared" si="2"/>
        <v>0</v>
      </c>
    </row>
    <row r="1515">
      <c r="B1515">
        <f>[1]资金台帐!B1515&amp;""</f>
      </c>
      <c r="H1515">
        <f>[1]资金台帐!H1515&amp;""</f>
      </c>
      <c r="J1515">
        <f>[1]资金台帐!J1515&amp;""</f>
      </c>
      <c r="N1515">
        <f>[1]资金台帐!N1515</f>
      </c>
      <c r="O1515">
        <f>[1]资金台帐!O1515&amp;""</f>
      </c>
      <c r="P1515">
        <f>[1]资金台帐!P1515&amp;""</f>
      </c>
      <c r="Q1515">
        <f>[1]资金台帐!Q1515&amp;""</f>
      </c>
      <c r="T1515">
        <f>[1]资金台帐!T1515&amp;""</f>
      </c>
      <c r="U1515">
        <f>[1]资金台帐!U1515&amp;""</f>
      </c>
      <c r="W1515">
        <f>[1]资金台帐!W1515&amp;""</f>
      </c>
      <c r="X1515">
        <f>[1]资金台帐!X1515&amp;""</f>
      </c>
      <c r="AB1515">
        <f>[1]资金台帐!AB1515</f>
        <v>0</v>
      </c>
      <c r="AC1515">
        <f>[1]资金台帐!AC1515</f>
        <v>0</v>
      </c>
      <c r="AD1515">
        <f>[1]资金台帐!AD1515</f>
        <v>0</v>
      </c>
      <c r="AJ1515">
        <f>[1]资金台帐!AJ1515</f>
        <v>0</v>
      </c>
      <c r="AK1515">
        <f>[1]资金台帐!AK1515</f>
        <v>0</v>
      </c>
      <c r="BA1515" s="22">
        <f t="shared" si="0"/>
      </c>
      <c r="BG1515" s="22">
        <f t="shared" si="1"/>
      </c>
      <c r="BH1515" s="22">
        <f t="shared" si="2"/>
        <v>0</v>
      </c>
    </row>
    <row r="1516">
      <c r="B1516">
        <f>[1]资金台帐!B1516&amp;""</f>
      </c>
      <c r="H1516">
        <f>[1]资金台帐!H1516&amp;""</f>
      </c>
      <c r="J1516">
        <f>[1]资金台帐!J1516&amp;""</f>
      </c>
      <c r="N1516">
        <f>[1]资金台帐!N1516</f>
      </c>
      <c r="O1516">
        <f>[1]资金台帐!O1516&amp;""</f>
      </c>
      <c r="P1516">
        <f>[1]资金台帐!P1516&amp;""</f>
      </c>
      <c r="Q1516">
        <f>[1]资金台帐!Q1516&amp;""</f>
      </c>
      <c r="T1516">
        <f>[1]资金台帐!T1516&amp;""</f>
      </c>
      <c r="U1516">
        <f>[1]资金台帐!U1516&amp;""</f>
      </c>
      <c r="W1516">
        <f>[1]资金台帐!W1516&amp;""</f>
      </c>
      <c r="X1516">
        <f>[1]资金台帐!X1516&amp;""</f>
      </c>
      <c r="AB1516">
        <f>[1]资金台帐!AB1516</f>
        <v>0</v>
      </c>
      <c r="AC1516">
        <f>[1]资金台帐!AC1516</f>
        <v>0</v>
      </c>
      <c r="AD1516">
        <f>[1]资金台帐!AD1516</f>
        <v>0</v>
      </c>
      <c r="AJ1516">
        <f>[1]资金台帐!AJ1516</f>
        <v>0</v>
      </c>
      <c r="AK1516">
        <f>[1]资金台帐!AK1516</f>
        <v>0</v>
      </c>
      <c r="BA1516" s="22">
        <f t="shared" si="0"/>
      </c>
      <c r="BG1516" s="22">
        <f t="shared" si="1"/>
      </c>
      <c r="BH1516" s="22">
        <f t="shared" si="2"/>
        <v>0</v>
      </c>
    </row>
    <row r="1517">
      <c r="B1517">
        <f>[1]资金台帐!B1517&amp;""</f>
      </c>
      <c r="H1517">
        <f>[1]资金台帐!H1517&amp;""</f>
      </c>
      <c r="J1517">
        <f>[1]资金台帐!J1517&amp;""</f>
      </c>
      <c r="N1517">
        <f>[1]资金台帐!N1517</f>
      </c>
      <c r="O1517">
        <f>[1]资金台帐!O1517&amp;""</f>
      </c>
      <c r="P1517">
        <f>[1]资金台帐!P1517&amp;""</f>
      </c>
      <c r="Q1517">
        <f>[1]资金台帐!Q1517&amp;""</f>
      </c>
      <c r="T1517">
        <f>[1]资金台帐!T1517&amp;""</f>
      </c>
      <c r="U1517">
        <f>[1]资金台帐!U1517&amp;""</f>
      </c>
      <c r="W1517">
        <f>[1]资金台帐!W1517&amp;""</f>
      </c>
      <c r="X1517">
        <f>[1]资金台帐!X1517&amp;""</f>
      </c>
      <c r="AB1517">
        <f>[1]资金台帐!AB1517</f>
        <v>0</v>
      </c>
      <c r="AC1517">
        <f>[1]资金台帐!AC1517</f>
        <v>0</v>
      </c>
      <c r="AD1517">
        <f>[1]资金台帐!AD1517</f>
        <v>0</v>
      </c>
      <c r="AJ1517">
        <f>[1]资金台帐!AJ1517</f>
        <v>0</v>
      </c>
      <c r="AK1517">
        <f>[1]资金台帐!AK1517</f>
        <v>0</v>
      </c>
      <c r="BA1517" s="22">
        <f t="shared" si="0"/>
      </c>
      <c r="BG1517" s="22">
        <f t="shared" si="1"/>
      </c>
      <c r="BH1517" s="22">
        <f t="shared" si="2"/>
        <v>0</v>
      </c>
    </row>
    <row r="1518">
      <c r="B1518">
        <f>[1]资金台帐!B1518&amp;""</f>
      </c>
      <c r="H1518">
        <f>[1]资金台帐!H1518&amp;""</f>
      </c>
      <c r="J1518">
        <f>[1]资金台帐!J1518&amp;""</f>
      </c>
      <c r="N1518">
        <f>[1]资金台帐!N1518</f>
      </c>
      <c r="O1518">
        <f>[1]资金台帐!O1518&amp;""</f>
      </c>
      <c r="P1518">
        <f>[1]资金台帐!P1518&amp;""</f>
      </c>
      <c r="Q1518">
        <f>[1]资金台帐!Q1518&amp;""</f>
      </c>
      <c r="T1518">
        <f>[1]资金台帐!T1518&amp;""</f>
      </c>
      <c r="U1518">
        <f>[1]资金台帐!U1518&amp;""</f>
      </c>
      <c r="W1518">
        <f>[1]资金台帐!W1518&amp;""</f>
      </c>
      <c r="X1518">
        <f>[1]资金台帐!X1518&amp;""</f>
      </c>
      <c r="AB1518">
        <f>[1]资金台帐!AB1518</f>
        <v>0</v>
      </c>
      <c r="AC1518">
        <f>[1]资金台帐!AC1518</f>
        <v>0</v>
      </c>
      <c r="AD1518">
        <f>[1]资金台帐!AD1518</f>
        <v>0</v>
      </c>
      <c r="AJ1518">
        <f>[1]资金台帐!AJ1518</f>
        <v>0</v>
      </c>
      <c r="AK1518">
        <f>[1]资金台帐!AK1518</f>
        <v>0</v>
      </c>
      <c r="BA1518" s="22">
        <f t="shared" si="0"/>
      </c>
      <c r="BG1518" s="22">
        <f t="shared" si="1"/>
      </c>
      <c r="BH1518" s="22">
        <f t="shared" si="2"/>
        <v>0</v>
      </c>
    </row>
    <row r="1519">
      <c r="B1519">
        <f>[1]资金台帐!B1519&amp;""</f>
      </c>
      <c r="H1519">
        <f>[1]资金台帐!H1519&amp;""</f>
      </c>
      <c r="J1519">
        <f>[1]资金台帐!J1519&amp;""</f>
      </c>
      <c r="N1519">
        <f>[1]资金台帐!N1519</f>
      </c>
      <c r="O1519">
        <f>[1]资金台帐!O1519&amp;""</f>
      </c>
      <c r="P1519">
        <f>[1]资金台帐!P1519&amp;""</f>
      </c>
      <c r="Q1519">
        <f>[1]资金台帐!Q1519&amp;""</f>
      </c>
      <c r="T1519">
        <f>[1]资金台帐!T1519&amp;""</f>
      </c>
      <c r="U1519">
        <f>[1]资金台帐!U1519&amp;""</f>
      </c>
      <c r="W1519">
        <f>[1]资金台帐!W1519&amp;""</f>
      </c>
      <c r="X1519">
        <f>[1]资金台帐!X1519&amp;""</f>
      </c>
      <c r="AB1519">
        <f>[1]资金台帐!AB1519</f>
        <v>0</v>
      </c>
      <c r="AC1519">
        <f>[1]资金台帐!AC1519</f>
        <v>0</v>
      </c>
      <c r="AD1519">
        <f>[1]资金台帐!AD1519</f>
        <v>0</v>
      </c>
      <c r="AJ1519">
        <f>[1]资金台帐!AJ1519</f>
        <v>0</v>
      </c>
      <c r="AK1519">
        <f>[1]资金台帐!AK1519</f>
        <v>0</v>
      </c>
      <c r="BA1519" s="22">
        <f t="shared" si="0"/>
      </c>
      <c r="BG1519" s="22">
        <f t="shared" si="1"/>
      </c>
      <c r="BH1519" s="22">
        <f t="shared" si="2"/>
        <v>0</v>
      </c>
    </row>
    <row r="1520">
      <c r="B1520">
        <f>[1]资金台帐!B1520&amp;""</f>
      </c>
      <c r="H1520">
        <f>[1]资金台帐!H1520&amp;""</f>
      </c>
      <c r="J1520">
        <f>[1]资金台帐!J1520&amp;""</f>
      </c>
      <c r="N1520">
        <f>[1]资金台帐!N1520</f>
      </c>
      <c r="O1520">
        <f>[1]资金台帐!O1520&amp;""</f>
      </c>
      <c r="P1520">
        <f>[1]资金台帐!P1520&amp;""</f>
      </c>
      <c r="Q1520">
        <f>[1]资金台帐!Q1520&amp;""</f>
      </c>
      <c r="T1520">
        <f>[1]资金台帐!T1520&amp;""</f>
      </c>
      <c r="U1520">
        <f>[1]资金台帐!U1520&amp;""</f>
      </c>
      <c r="W1520">
        <f>[1]资金台帐!W1520&amp;""</f>
      </c>
      <c r="X1520">
        <f>[1]资金台帐!X1520&amp;""</f>
      </c>
      <c r="AB1520">
        <f>[1]资金台帐!AB1520</f>
        <v>0</v>
      </c>
      <c r="AC1520">
        <f>[1]资金台帐!AC1520</f>
        <v>0</v>
      </c>
      <c r="AD1520">
        <f>[1]资金台帐!AD1520</f>
        <v>0</v>
      </c>
      <c r="AJ1520">
        <f>[1]资金台帐!AJ1520</f>
        <v>0</v>
      </c>
      <c r="AK1520">
        <f>[1]资金台帐!AK1520</f>
        <v>0</v>
      </c>
      <c r="BA1520" s="22">
        <f t="shared" si="0"/>
      </c>
      <c r="BG1520" s="22">
        <f t="shared" si="1"/>
      </c>
      <c r="BH1520" s="22">
        <f t="shared" si="2"/>
        <v>0</v>
      </c>
    </row>
    <row r="1521">
      <c r="B1521">
        <f>[1]资金台帐!B1521&amp;""</f>
      </c>
      <c r="H1521">
        <f>[1]资金台帐!H1521&amp;""</f>
      </c>
      <c r="J1521">
        <f>[1]资金台帐!J1521&amp;""</f>
      </c>
      <c r="N1521">
        <f>[1]资金台帐!N1521</f>
      </c>
      <c r="O1521">
        <f>[1]资金台帐!O1521&amp;""</f>
      </c>
      <c r="P1521">
        <f>[1]资金台帐!P1521&amp;""</f>
      </c>
      <c r="Q1521">
        <f>[1]资金台帐!Q1521&amp;""</f>
      </c>
      <c r="T1521">
        <f>[1]资金台帐!T1521&amp;""</f>
      </c>
      <c r="U1521">
        <f>[1]资金台帐!U1521&amp;""</f>
      </c>
      <c r="W1521">
        <f>[1]资金台帐!W1521&amp;""</f>
      </c>
      <c r="X1521">
        <f>[1]资金台帐!X1521&amp;""</f>
      </c>
      <c r="AB1521">
        <f>[1]资金台帐!AB1521</f>
        <v>0</v>
      </c>
      <c r="AC1521">
        <f>[1]资金台帐!AC1521</f>
        <v>0</v>
      </c>
      <c r="AD1521">
        <f>[1]资金台帐!AD1521</f>
        <v>0</v>
      </c>
      <c r="AJ1521">
        <f>[1]资金台帐!AJ1521</f>
        <v>0</v>
      </c>
      <c r="AK1521">
        <f>[1]资金台帐!AK1521</f>
        <v>0</v>
      </c>
      <c r="BA1521" s="22">
        <f t="shared" si="0"/>
      </c>
      <c r="BG1521" s="22">
        <f t="shared" si="1"/>
      </c>
      <c r="BH1521" s="22">
        <f t="shared" si="2"/>
        <v>0</v>
      </c>
    </row>
    <row r="1522">
      <c r="B1522">
        <f>[1]资金台帐!B1522&amp;""</f>
      </c>
      <c r="H1522">
        <f>[1]资金台帐!H1522&amp;""</f>
      </c>
      <c r="J1522">
        <f>[1]资金台帐!J1522&amp;""</f>
      </c>
      <c r="N1522">
        <f>[1]资金台帐!N1522</f>
      </c>
      <c r="O1522">
        <f>[1]资金台帐!O1522&amp;""</f>
      </c>
      <c r="P1522">
        <f>[1]资金台帐!P1522&amp;""</f>
      </c>
      <c r="Q1522">
        <f>[1]资金台帐!Q1522&amp;""</f>
      </c>
      <c r="T1522">
        <f>[1]资金台帐!T1522&amp;""</f>
      </c>
      <c r="U1522">
        <f>[1]资金台帐!U1522&amp;""</f>
      </c>
      <c r="W1522">
        <f>[1]资金台帐!W1522&amp;""</f>
      </c>
      <c r="X1522">
        <f>[1]资金台帐!X1522&amp;""</f>
      </c>
      <c r="AB1522">
        <f>[1]资金台帐!AB1522</f>
        <v>0</v>
      </c>
      <c r="AC1522">
        <f>[1]资金台帐!AC1522</f>
        <v>0</v>
      </c>
      <c r="AD1522">
        <f>[1]资金台帐!AD1522</f>
        <v>0</v>
      </c>
      <c r="AJ1522">
        <f>[1]资金台帐!AJ1522</f>
        <v>0</v>
      </c>
      <c r="AK1522">
        <f>[1]资金台帐!AK1522</f>
        <v>0</v>
      </c>
      <c r="BA1522" s="22">
        <f t="shared" si="0"/>
      </c>
      <c r="BG1522" s="22">
        <f t="shared" si="1"/>
      </c>
      <c r="BH1522" s="22">
        <f t="shared" si="2"/>
        <v>0</v>
      </c>
    </row>
    <row r="1523">
      <c r="B1523">
        <f>[1]资金台帐!B1523&amp;""</f>
      </c>
      <c r="H1523">
        <f>[1]资金台帐!H1523&amp;""</f>
      </c>
      <c r="J1523">
        <f>[1]资金台帐!J1523&amp;""</f>
      </c>
      <c r="N1523">
        <f>[1]资金台帐!N1523</f>
      </c>
      <c r="O1523">
        <f>[1]资金台帐!O1523&amp;""</f>
      </c>
      <c r="P1523">
        <f>[1]资金台帐!P1523&amp;""</f>
      </c>
      <c r="Q1523">
        <f>[1]资金台帐!Q1523&amp;""</f>
      </c>
      <c r="T1523">
        <f>[1]资金台帐!T1523&amp;""</f>
      </c>
      <c r="U1523">
        <f>[1]资金台帐!U1523&amp;""</f>
      </c>
      <c r="W1523">
        <f>[1]资金台帐!W1523&amp;""</f>
      </c>
      <c r="X1523">
        <f>[1]资金台帐!X1523&amp;""</f>
      </c>
      <c r="AB1523">
        <f>[1]资金台帐!AB1523</f>
        <v>0</v>
      </c>
      <c r="AC1523">
        <f>[1]资金台帐!AC1523</f>
        <v>0</v>
      </c>
      <c r="AD1523">
        <f>[1]资金台帐!AD1523</f>
        <v>0</v>
      </c>
      <c r="AJ1523">
        <f>[1]资金台帐!AJ1523</f>
        <v>0</v>
      </c>
      <c r="AK1523">
        <f>[1]资金台帐!AK1523</f>
        <v>0</v>
      </c>
      <c r="BA1523" s="22">
        <f t="shared" si="0"/>
      </c>
      <c r="BG1523" s="22">
        <f t="shared" si="1"/>
      </c>
      <c r="BH1523" s="22">
        <f t="shared" si="2"/>
        <v>0</v>
      </c>
    </row>
    <row r="1524">
      <c r="B1524">
        <f>[1]资金台帐!B1524&amp;""</f>
      </c>
      <c r="H1524">
        <f>[1]资金台帐!H1524&amp;""</f>
      </c>
      <c r="J1524">
        <f>[1]资金台帐!J1524&amp;""</f>
      </c>
      <c r="N1524">
        <f>[1]资金台帐!N1524</f>
      </c>
      <c r="O1524">
        <f>[1]资金台帐!O1524&amp;""</f>
      </c>
      <c r="P1524">
        <f>[1]资金台帐!P1524&amp;""</f>
      </c>
      <c r="Q1524">
        <f>[1]资金台帐!Q1524&amp;""</f>
      </c>
      <c r="T1524">
        <f>[1]资金台帐!T1524&amp;""</f>
      </c>
      <c r="U1524">
        <f>[1]资金台帐!U1524&amp;""</f>
      </c>
      <c r="W1524">
        <f>[1]资金台帐!W1524&amp;""</f>
      </c>
      <c r="X1524">
        <f>[1]资金台帐!X1524&amp;""</f>
      </c>
      <c r="AB1524">
        <f>[1]资金台帐!AB1524</f>
        <v>0</v>
      </c>
      <c r="AC1524">
        <f>[1]资金台帐!AC1524</f>
        <v>0</v>
      </c>
      <c r="AD1524">
        <f>[1]资金台帐!AD1524</f>
        <v>0</v>
      </c>
      <c r="AJ1524">
        <f>[1]资金台帐!AJ1524</f>
        <v>0</v>
      </c>
      <c r="AK1524">
        <f>[1]资金台帐!AK1524</f>
        <v>0</v>
      </c>
      <c r="BA1524" s="22">
        <f t="shared" si="0"/>
      </c>
      <c r="BG1524" s="22">
        <f t="shared" si="1"/>
      </c>
      <c r="BH1524" s="22">
        <f t="shared" si="2"/>
        <v>0</v>
      </c>
    </row>
    <row r="1525">
      <c r="B1525">
        <f>[1]资金台帐!B1525&amp;""</f>
      </c>
      <c r="H1525">
        <f>[1]资金台帐!H1525&amp;""</f>
      </c>
      <c r="J1525">
        <f>[1]资金台帐!J1525&amp;""</f>
      </c>
      <c r="N1525">
        <f>[1]资金台帐!N1525</f>
      </c>
      <c r="O1525">
        <f>[1]资金台帐!O1525&amp;""</f>
      </c>
      <c r="P1525">
        <f>[1]资金台帐!P1525&amp;""</f>
      </c>
      <c r="Q1525">
        <f>[1]资金台帐!Q1525&amp;""</f>
      </c>
      <c r="T1525">
        <f>[1]资金台帐!T1525&amp;""</f>
      </c>
      <c r="U1525">
        <f>[1]资金台帐!U1525&amp;""</f>
      </c>
      <c r="W1525">
        <f>[1]资金台帐!W1525&amp;""</f>
      </c>
      <c r="X1525">
        <f>[1]资金台帐!X1525&amp;""</f>
      </c>
      <c r="AB1525">
        <f>[1]资金台帐!AB1525</f>
        <v>0</v>
      </c>
      <c r="AC1525">
        <f>[1]资金台帐!AC1525</f>
        <v>0</v>
      </c>
      <c r="AD1525">
        <f>[1]资金台帐!AD1525</f>
        <v>0</v>
      </c>
      <c r="AJ1525">
        <f>[1]资金台帐!AJ1525</f>
        <v>0</v>
      </c>
      <c r="AK1525">
        <f>[1]资金台帐!AK1525</f>
        <v>0</v>
      </c>
      <c r="BA1525" s="22">
        <f t="shared" si="0"/>
      </c>
      <c r="BG1525" s="22">
        <f t="shared" si="1"/>
      </c>
      <c r="BH1525" s="22">
        <f t="shared" si="2"/>
        <v>0</v>
      </c>
    </row>
    <row r="1526">
      <c r="B1526">
        <f>[1]资金台帐!B1526&amp;""</f>
      </c>
      <c r="H1526">
        <f>[1]资金台帐!H1526&amp;""</f>
      </c>
      <c r="J1526">
        <f>[1]资金台帐!J1526&amp;""</f>
      </c>
      <c r="N1526">
        <f>[1]资金台帐!N1526</f>
      </c>
      <c r="O1526">
        <f>[1]资金台帐!O1526&amp;""</f>
      </c>
      <c r="P1526">
        <f>[1]资金台帐!P1526&amp;""</f>
      </c>
      <c r="Q1526">
        <f>[1]资金台帐!Q1526&amp;""</f>
      </c>
      <c r="T1526">
        <f>[1]资金台帐!T1526&amp;""</f>
      </c>
      <c r="U1526">
        <f>[1]资金台帐!U1526&amp;""</f>
      </c>
      <c r="W1526">
        <f>[1]资金台帐!W1526&amp;""</f>
      </c>
      <c r="X1526">
        <f>[1]资金台帐!X1526&amp;""</f>
      </c>
      <c r="AB1526">
        <f>[1]资金台帐!AB1526</f>
        <v>0</v>
      </c>
      <c r="AC1526">
        <f>[1]资金台帐!AC1526</f>
        <v>0</v>
      </c>
      <c r="AD1526">
        <f>[1]资金台帐!AD1526</f>
        <v>0</v>
      </c>
      <c r="AJ1526">
        <f>[1]资金台帐!AJ1526</f>
        <v>0</v>
      </c>
      <c r="AK1526">
        <f>[1]资金台帐!AK1526</f>
        <v>0</v>
      </c>
      <c r="BA1526" s="22">
        <f t="shared" si="0"/>
      </c>
      <c r="BG1526" s="22">
        <f t="shared" si="1"/>
      </c>
      <c r="BH1526" s="22">
        <f t="shared" si="2"/>
        <v>0</v>
      </c>
    </row>
    <row r="1527">
      <c r="B1527">
        <f>[1]资金台帐!B1527&amp;""</f>
      </c>
      <c r="H1527">
        <f>[1]资金台帐!H1527&amp;""</f>
      </c>
      <c r="J1527">
        <f>[1]资金台帐!J1527&amp;""</f>
      </c>
      <c r="N1527">
        <f>[1]资金台帐!N1527</f>
      </c>
      <c r="O1527">
        <f>[1]资金台帐!O1527&amp;""</f>
      </c>
      <c r="P1527">
        <f>[1]资金台帐!P1527&amp;""</f>
      </c>
      <c r="Q1527">
        <f>[1]资金台帐!Q1527&amp;""</f>
      </c>
      <c r="T1527">
        <f>[1]资金台帐!T1527&amp;""</f>
      </c>
      <c r="U1527">
        <f>[1]资金台帐!U1527&amp;""</f>
      </c>
      <c r="W1527">
        <f>[1]资金台帐!W1527&amp;""</f>
      </c>
      <c r="X1527">
        <f>[1]资金台帐!X1527&amp;""</f>
      </c>
      <c r="AB1527">
        <f>[1]资金台帐!AB1527</f>
        <v>0</v>
      </c>
      <c r="AC1527">
        <f>[1]资金台帐!AC1527</f>
        <v>0</v>
      </c>
      <c r="AD1527">
        <f>[1]资金台帐!AD1527</f>
        <v>0</v>
      </c>
      <c r="AJ1527">
        <f>[1]资金台帐!AJ1527</f>
        <v>0</v>
      </c>
      <c r="AK1527">
        <f>[1]资金台帐!AK1527</f>
        <v>0</v>
      </c>
      <c r="BA1527" s="22">
        <f t="shared" si="0"/>
      </c>
      <c r="BG1527" s="22">
        <f t="shared" si="1"/>
      </c>
      <c r="BH1527" s="22">
        <f t="shared" si="2"/>
        <v>0</v>
      </c>
    </row>
    <row r="1528">
      <c r="B1528">
        <f>[1]资金台帐!B1528&amp;""</f>
      </c>
      <c r="H1528">
        <f>[1]资金台帐!H1528&amp;""</f>
      </c>
      <c r="J1528">
        <f>[1]资金台帐!J1528&amp;""</f>
      </c>
      <c r="N1528">
        <f>[1]资金台帐!N1528</f>
      </c>
      <c r="O1528">
        <f>[1]资金台帐!O1528&amp;""</f>
      </c>
      <c r="P1528">
        <f>[1]资金台帐!P1528&amp;""</f>
      </c>
      <c r="Q1528">
        <f>[1]资金台帐!Q1528&amp;""</f>
      </c>
      <c r="T1528">
        <f>[1]资金台帐!T1528&amp;""</f>
      </c>
      <c r="U1528">
        <f>[1]资金台帐!U1528&amp;""</f>
      </c>
      <c r="W1528">
        <f>[1]资金台帐!W1528&amp;""</f>
      </c>
      <c r="X1528">
        <f>[1]资金台帐!X1528&amp;""</f>
      </c>
      <c r="AB1528">
        <f>[1]资金台帐!AB1528</f>
        <v>0</v>
      </c>
      <c r="AC1528">
        <f>[1]资金台帐!AC1528</f>
        <v>0</v>
      </c>
      <c r="AD1528">
        <f>[1]资金台帐!AD1528</f>
        <v>0</v>
      </c>
      <c r="AJ1528">
        <f>[1]资金台帐!AJ1528</f>
        <v>0</v>
      </c>
      <c r="AK1528">
        <f>[1]资金台帐!AK1528</f>
        <v>0</v>
      </c>
      <c r="BA1528" s="22">
        <f t="shared" si="0"/>
      </c>
      <c r="BG1528" s="22">
        <f t="shared" si="1"/>
      </c>
      <c r="BH1528" s="22">
        <f t="shared" si="2"/>
        <v>0</v>
      </c>
    </row>
    <row r="1529">
      <c r="B1529">
        <f>[1]资金台帐!B1529&amp;""</f>
      </c>
      <c r="H1529">
        <f>[1]资金台帐!H1529&amp;""</f>
      </c>
      <c r="J1529">
        <f>[1]资金台帐!J1529&amp;""</f>
      </c>
      <c r="N1529">
        <f>[1]资金台帐!N1529</f>
      </c>
      <c r="O1529">
        <f>[1]资金台帐!O1529&amp;""</f>
      </c>
      <c r="P1529">
        <f>[1]资金台帐!P1529&amp;""</f>
      </c>
      <c r="Q1529">
        <f>[1]资金台帐!Q1529&amp;""</f>
      </c>
      <c r="T1529">
        <f>[1]资金台帐!T1529&amp;""</f>
      </c>
      <c r="U1529">
        <f>[1]资金台帐!U1529&amp;""</f>
      </c>
      <c r="W1529">
        <f>[1]资金台帐!W1529&amp;""</f>
      </c>
      <c r="X1529">
        <f>[1]资金台帐!X1529&amp;""</f>
      </c>
      <c r="AB1529">
        <f>[1]资金台帐!AB1529</f>
        <v>0</v>
      </c>
      <c r="AC1529">
        <f>[1]资金台帐!AC1529</f>
        <v>0</v>
      </c>
      <c r="AD1529">
        <f>[1]资金台帐!AD1529</f>
        <v>0</v>
      </c>
      <c r="AJ1529">
        <f>[1]资金台帐!AJ1529</f>
        <v>0</v>
      </c>
      <c r="AK1529">
        <f>[1]资金台帐!AK1529</f>
        <v>0</v>
      </c>
      <c r="BA1529" s="22">
        <f t="shared" si="0"/>
      </c>
      <c r="BG1529" s="22">
        <f t="shared" si="1"/>
      </c>
      <c r="BH1529" s="22">
        <f t="shared" si="2"/>
        <v>0</v>
      </c>
    </row>
    <row r="1530">
      <c r="B1530">
        <f>[1]资金台帐!B1530&amp;""</f>
      </c>
      <c r="H1530">
        <f>[1]资金台帐!H1530&amp;""</f>
      </c>
      <c r="J1530">
        <f>[1]资金台帐!J1530&amp;""</f>
      </c>
      <c r="N1530">
        <f>[1]资金台帐!N1530</f>
      </c>
      <c r="O1530">
        <f>[1]资金台帐!O1530&amp;""</f>
      </c>
      <c r="P1530">
        <f>[1]资金台帐!P1530&amp;""</f>
      </c>
      <c r="Q1530">
        <f>[1]资金台帐!Q1530&amp;""</f>
      </c>
      <c r="T1530">
        <f>[1]资金台帐!T1530&amp;""</f>
      </c>
      <c r="U1530">
        <f>[1]资金台帐!U1530&amp;""</f>
      </c>
      <c r="W1530">
        <f>[1]资金台帐!W1530&amp;""</f>
      </c>
      <c r="X1530">
        <f>[1]资金台帐!X1530&amp;""</f>
      </c>
      <c r="AB1530">
        <f>[1]资金台帐!AB1530</f>
        <v>0</v>
      </c>
      <c r="AC1530">
        <f>[1]资金台帐!AC1530</f>
        <v>0</v>
      </c>
      <c r="AD1530">
        <f>[1]资金台帐!AD1530</f>
        <v>0</v>
      </c>
      <c r="AJ1530">
        <f>[1]资金台帐!AJ1530</f>
        <v>0</v>
      </c>
      <c r="AK1530">
        <f>[1]资金台帐!AK1530</f>
        <v>0</v>
      </c>
      <c r="BA1530" s="22">
        <f t="shared" si="0"/>
      </c>
      <c r="BG1530" s="22">
        <f t="shared" si="1"/>
      </c>
      <c r="BH1530" s="22">
        <f t="shared" si="2"/>
        <v>0</v>
      </c>
    </row>
    <row r="1531">
      <c r="B1531">
        <f>[1]资金台帐!B1531&amp;""</f>
      </c>
      <c r="H1531">
        <f>[1]资金台帐!H1531&amp;""</f>
      </c>
      <c r="J1531">
        <f>[1]资金台帐!J1531&amp;""</f>
      </c>
      <c r="N1531">
        <f>[1]资金台帐!N1531</f>
      </c>
      <c r="O1531">
        <f>[1]资金台帐!O1531&amp;""</f>
      </c>
      <c r="P1531">
        <f>[1]资金台帐!P1531&amp;""</f>
      </c>
      <c r="Q1531">
        <f>[1]资金台帐!Q1531&amp;""</f>
      </c>
      <c r="T1531">
        <f>[1]资金台帐!T1531&amp;""</f>
      </c>
      <c r="U1531">
        <f>[1]资金台帐!U1531&amp;""</f>
      </c>
      <c r="W1531">
        <f>[1]资金台帐!W1531&amp;""</f>
      </c>
      <c r="X1531">
        <f>[1]资金台帐!X1531&amp;""</f>
      </c>
      <c r="AB1531">
        <f>[1]资金台帐!AB1531</f>
        <v>0</v>
      </c>
      <c r="AC1531">
        <f>[1]资金台帐!AC1531</f>
        <v>0</v>
      </c>
      <c r="AD1531">
        <f>[1]资金台帐!AD1531</f>
        <v>0</v>
      </c>
      <c r="AJ1531">
        <f>[1]资金台帐!AJ1531</f>
        <v>0</v>
      </c>
      <c r="AK1531">
        <f>[1]资金台帐!AK1531</f>
        <v>0</v>
      </c>
      <c r="BA1531" s="22">
        <f t="shared" si="0"/>
      </c>
      <c r="BG1531" s="22">
        <f t="shared" si="1"/>
      </c>
      <c r="BH1531" s="22">
        <f t="shared" si="2"/>
        <v>0</v>
      </c>
    </row>
    <row r="1532">
      <c r="B1532">
        <f>[1]资金台帐!B1532&amp;""</f>
      </c>
      <c r="H1532">
        <f>[1]资金台帐!H1532&amp;""</f>
      </c>
      <c r="J1532">
        <f>[1]资金台帐!J1532&amp;""</f>
      </c>
      <c r="N1532">
        <f>[1]资金台帐!N1532</f>
      </c>
      <c r="O1532">
        <f>[1]资金台帐!O1532&amp;""</f>
      </c>
      <c r="P1532">
        <f>[1]资金台帐!P1532&amp;""</f>
      </c>
      <c r="Q1532">
        <f>[1]资金台帐!Q1532&amp;""</f>
      </c>
      <c r="T1532">
        <f>[1]资金台帐!T1532&amp;""</f>
      </c>
      <c r="U1532">
        <f>[1]资金台帐!U1532&amp;""</f>
      </c>
      <c r="W1532">
        <f>[1]资金台帐!W1532&amp;""</f>
      </c>
      <c r="X1532">
        <f>[1]资金台帐!X1532&amp;""</f>
      </c>
      <c r="AB1532">
        <f>[1]资金台帐!AB1532</f>
        <v>0</v>
      </c>
      <c r="AC1532">
        <f>[1]资金台帐!AC1532</f>
        <v>0</v>
      </c>
      <c r="AD1532">
        <f>[1]资金台帐!AD1532</f>
        <v>0</v>
      </c>
      <c r="AJ1532">
        <f>[1]资金台帐!AJ1532</f>
        <v>0</v>
      </c>
      <c r="AK1532">
        <f>[1]资金台帐!AK1532</f>
        <v>0</v>
      </c>
      <c r="BA1532" s="22">
        <f t="shared" si="0"/>
      </c>
      <c r="BG1532" s="22">
        <f t="shared" si="1"/>
      </c>
      <c r="BH1532" s="22">
        <f t="shared" si="2"/>
        <v>0</v>
      </c>
    </row>
    <row r="1533">
      <c r="B1533">
        <f>[1]资金台帐!B1533&amp;""</f>
      </c>
      <c r="H1533">
        <f>[1]资金台帐!H1533&amp;""</f>
      </c>
      <c r="J1533">
        <f>[1]资金台帐!J1533&amp;""</f>
      </c>
      <c r="N1533">
        <f>[1]资金台帐!N1533</f>
      </c>
      <c r="O1533">
        <f>[1]资金台帐!O1533&amp;""</f>
      </c>
      <c r="P1533">
        <f>[1]资金台帐!P1533&amp;""</f>
      </c>
      <c r="Q1533">
        <f>[1]资金台帐!Q1533&amp;""</f>
      </c>
      <c r="T1533">
        <f>[1]资金台帐!T1533&amp;""</f>
      </c>
      <c r="U1533">
        <f>[1]资金台帐!U1533&amp;""</f>
      </c>
      <c r="W1533">
        <f>[1]资金台帐!W1533&amp;""</f>
      </c>
      <c r="X1533">
        <f>[1]资金台帐!X1533&amp;""</f>
      </c>
      <c r="AB1533">
        <f>[1]资金台帐!AB1533</f>
        <v>0</v>
      </c>
      <c r="AC1533">
        <f>[1]资金台帐!AC1533</f>
        <v>0</v>
      </c>
      <c r="AD1533">
        <f>[1]资金台帐!AD1533</f>
        <v>0</v>
      </c>
      <c r="AJ1533">
        <f>[1]资金台帐!AJ1533</f>
        <v>0</v>
      </c>
      <c r="AK1533">
        <f>[1]资金台帐!AK1533</f>
        <v>0</v>
      </c>
      <c r="BA1533" s="22">
        <f t="shared" si="0"/>
      </c>
      <c r="BG1533" s="22">
        <f t="shared" si="1"/>
      </c>
      <c r="BH1533" s="22">
        <f t="shared" si="2"/>
        <v>0</v>
      </c>
    </row>
    <row r="1534">
      <c r="B1534">
        <f>[1]资金台帐!B1534&amp;""</f>
      </c>
      <c r="H1534">
        <f>[1]资金台帐!H1534&amp;""</f>
      </c>
      <c r="J1534">
        <f>[1]资金台帐!J1534&amp;""</f>
      </c>
      <c r="N1534">
        <f>[1]资金台帐!N1534</f>
      </c>
      <c r="O1534">
        <f>[1]资金台帐!O1534&amp;""</f>
      </c>
      <c r="P1534">
        <f>[1]资金台帐!P1534&amp;""</f>
      </c>
      <c r="Q1534">
        <f>[1]资金台帐!Q1534&amp;""</f>
      </c>
      <c r="T1534">
        <f>[1]资金台帐!T1534&amp;""</f>
      </c>
      <c r="U1534">
        <f>[1]资金台帐!U1534&amp;""</f>
      </c>
      <c r="W1534">
        <f>[1]资金台帐!W1534&amp;""</f>
      </c>
      <c r="X1534">
        <f>[1]资金台帐!X1534&amp;""</f>
      </c>
      <c r="AB1534">
        <f>[1]资金台帐!AB1534</f>
        <v>0</v>
      </c>
      <c r="AC1534">
        <f>[1]资金台帐!AC1534</f>
        <v>0</v>
      </c>
      <c r="AD1534">
        <f>[1]资金台帐!AD1534</f>
        <v>0</v>
      </c>
      <c r="AJ1534">
        <f>[1]资金台帐!AJ1534</f>
        <v>0</v>
      </c>
      <c r="AK1534">
        <f>[1]资金台帐!AK1534</f>
        <v>0</v>
      </c>
      <c r="BA1534" s="22">
        <f t="shared" si="0"/>
      </c>
      <c r="BG1534" s="22">
        <f t="shared" si="1"/>
      </c>
      <c r="BH1534" s="22">
        <f t="shared" si="2"/>
        <v>0</v>
      </c>
    </row>
    <row r="1535">
      <c r="B1535">
        <f>[1]资金台帐!B1535&amp;""</f>
      </c>
      <c r="H1535">
        <f>[1]资金台帐!H1535&amp;""</f>
      </c>
      <c r="J1535">
        <f>[1]资金台帐!J1535&amp;""</f>
      </c>
      <c r="N1535">
        <f>[1]资金台帐!N1535</f>
      </c>
      <c r="O1535">
        <f>[1]资金台帐!O1535&amp;""</f>
      </c>
      <c r="P1535">
        <f>[1]资金台帐!P1535&amp;""</f>
      </c>
      <c r="Q1535">
        <f>[1]资金台帐!Q1535&amp;""</f>
      </c>
      <c r="T1535">
        <f>[1]资金台帐!T1535&amp;""</f>
      </c>
      <c r="U1535">
        <f>[1]资金台帐!U1535&amp;""</f>
      </c>
      <c r="W1535">
        <f>[1]资金台帐!W1535&amp;""</f>
      </c>
      <c r="X1535">
        <f>[1]资金台帐!X1535&amp;""</f>
      </c>
      <c r="AB1535">
        <f>[1]资金台帐!AB1535</f>
        <v>0</v>
      </c>
      <c r="AC1535">
        <f>[1]资金台帐!AC1535</f>
        <v>0</v>
      </c>
      <c r="AD1535">
        <f>[1]资金台帐!AD1535</f>
        <v>0</v>
      </c>
      <c r="AJ1535">
        <f>[1]资金台帐!AJ1535</f>
        <v>0</v>
      </c>
      <c r="AK1535">
        <f>[1]资金台帐!AK1535</f>
        <v>0</v>
      </c>
      <c r="BA1535" s="22">
        <f t="shared" si="0"/>
      </c>
      <c r="BG1535" s="22">
        <f t="shared" si="1"/>
      </c>
      <c r="BH1535" s="22">
        <f t="shared" si="2"/>
        <v>0</v>
      </c>
    </row>
    <row r="1536">
      <c r="B1536">
        <f>[1]资金台帐!B1536&amp;""</f>
      </c>
      <c r="H1536">
        <f>[1]资金台帐!H1536&amp;""</f>
      </c>
      <c r="J1536">
        <f>[1]资金台帐!J1536&amp;""</f>
      </c>
      <c r="N1536">
        <f>[1]资金台帐!N1536</f>
      </c>
      <c r="O1536">
        <f>[1]资金台帐!O1536&amp;""</f>
      </c>
      <c r="P1536">
        <f>[1]资金台帐!P1536&amp;""</f>
      </c>
      <c r="Q1536">
        <f>[1]资金台帐!Q1536&amp;""</f>
      </c>
      <c r="T1536">
        <f>[1]资金台帐!T1536&amp;""</f>
      </c>
      <c r="U1536">
        <f>[1]资金台帐!U1536&amp;""</f>
      </c>
      <c r="W1536">
        <f>[1]资金台帐!W1536&amp;""</f>
      </c>
      <c r="X1536">
        <f>[1]资金台帐!X1536&amp;""</f>
      </c>
      <c r="AB1536">
        <f>[1]资金台帐!AB1536</f>
        <v>0</v>
      </c>
      <c r="AC1536">
        <f>[1]资金台帐!AC1536</f>
        <v>0</v>
      </c>
      <c r="AD1536">
        <f>[1]资金台帐!AD1536</f>
        <v>0</v>
      </c>
      <c r="AJ1536">
        <f>[1]资金台帐!AJ1536</f>
        <v>0</v>
      </c>
      <c r="AK1536">
        <f>[1]资金台帐!AK1536</f>
        <v>0</v>
      </c>
      <c r="BA1536" s="22">
        <f t="shared" si="0"/>
      </c>
      <c r="BG1536" s="22">
        <f t="shared" si="1"/>
      </c>
      <c r="BH1536" s="22">
        <f t="shared" si="2"/>
        <v>0</v>
      </c>
    </row>
    <row r="1537">
      <c r="B1537">
        <f>[1]资金台帐!B1537&amp;""</f>
      </c>
      <c r="H1537">
        <f>[1]资金台帐!H1537&amp;""</f>
      </c>
      <c r="J1537">
        <f>[1]资金台帐!J1537&amp;""</f>
      </c>
      <c r="N1537">
        <f>[1]资金台帐!N1537</f>
      </c>
      <c r="O1537">
        <f>[1]资金台帐!O1537&amp;""</f>
      </c>
      <c r="P1537">
        <f>[1]资金台帐!P1537&amp;""</f>
      </c>
      <c r="Q1537">
        <f>[1]资金台帐!Q1537&amp;""</f>
      </c>
      <c r="T1537">
        <f>[1]资金台帐!T1537&amp;""</f>
      </c>
      <c r="U1537">
        <f>[1]资金台帐!U1537&amp;""</f>
      </c>
      <c r="W1537">
        <f>[1]资金台帐!W1537&amp;""</f>
      </c>
      <c r="X1537">
        <f>[1]资金台帐!X1537&amp;""</f>
      </c>
      <c r="AB1537">
        <f>[1]资金台帐!AB1537</f>
        <v>0</v>
      </c>
      <c r="AC1537">
        <f>[1]资金台帐!AC1537</f>
        <v>0</v>
      </c>
      <c r="AD1537">
        <f>[1]资金台帐!AD1537</f>
        <v>0</v>
      </c>
      <c r="AJ1537">
        <f>[1]资金台帐!AJ1537</f>
        <v>0</v>
      </c>
      <c r="AK1537">
        <f>[1]资金台帐!AK1537</f>
        <v>0</v>
      </c>
      <c r="BA1537" s="22">
        <f t="shared" si="0"/>
      </c>
      <c r="BG1537" s="22">
        <f t="shared" si="1"/>
      </c>
      <c r="BH1537" s="22">
        <f t="shared" si="2"/>
        <v>0</v>
      </c>
    </row>
    <row r="1538">
      <c r="B1538">
        <f>[1]资金台帐!B1538&amp;""</f>
      </c>
      <c r="H1538">
        <f>[1]资金台帐!H1538&amp;""</f>
      </c>
      <c r="J1538">
        <f>[1]资金台帐!J1538&amp;""</f>
      </c>
      <c r="N1538">
        <f>[1]资金台帐!N1538</f>
      </c>
      <c r="O1538">
        <f>[1]资金台帐!O1538&amp;""</f>
      </c>
      <c r="P1538">
        <f>[1]资金台帐!P1538&amp;""</f>
      </c>
      <c r="Q1538">
        <f>[1]资金台帐!Q1538&amp;""</f>
      </c>
      <c r="T1538">
        <f>[1]资金台帐!T1538&amp;""</f>
      </c>
      <c r="U1538">
        <f>[1]资金台帐!U1538&amp;""</f>
      </c>
      <c r="W1538">
        <f>[1]资金台帐!W1538&amp;""</f>
      </c>
      <c r="X1538">
        <f>[1]资金台帐!X1538&amp;""</f>
      </c>
      <c r="AB1538">
        <f>[1]资金台帐!AB1538</f>
        <v>0</v>
      </c>
      <c r="AC1538">
        <f>[1]资金台帐!AC1538</f>
        <v>0</v>
      </c>
      <c r="AD1538">
        <f>[1]资金台帐!AD1538</f>
        <v>0</v>
      </c>
      <c r="AJ1538">
        <f>[1]资金台帐!AJ1538</f>
        <v>0</v>
      </c>
      <c r="AK1538">
        <f>[1]资金台帐!AK1538</f>
        <v>0</v>
      </c>
      <c r="BA1538" s="22">
        <f t="shared" si="0"/>
      </c>
      <c r="BG1538" s="22">
        <f t="shared" si="1"/>
      </c>
      <c r="BH1538" s="22">
        <f t="shared" si="2"/>
        <v>0</v>
      </c>
    </row>
    <row r="1539">
      <c r="B1539">
        <f>[1]资金台帐!B1539&amp;""</f>
      </c>
      <c r="H1539">
        <f>[1]资金台帐!H1539&amp;""</f>
      </c>
      <c r="J1539">
        <f>[1]资金台帐!J1539&amp;""</f>
      </c>
      <c r="N1539">
        <f>[1]资金台帐!N1539</f>
      </c>
      <c r="O1539">
        <f>[1]资金台帐!O1539&amp;""</f>
      </c>
      <c r="P1539">
        <f>[1]资金台帐!P1539&amp;""</f>
      </c>
      <c r="Q1539">
        <f>[1]资金台帐!Q1539&amp;""</f>
      </c>
      <c r="T1539">
        <f>[1]资金台帐!T1539&amp;""</f>
      </c>
      <c r="U1539">
        <f>[1]资金台帐!U1539&amp;""</f>
      </c>
      <c r="W1539">
        <f>[1]资金台帐!W1539&amp;""</f>
      </c>
      <c r="X1539">
        <f>[1]资金台帐!X1539&amp;""</f>
      </c>
      <c r="AB1539">
        <f>[1]资金台帐!AB1539</f>
        <v>0</v>
      </c>
      <c r="AC1539">
        <f>[1]资金台帐!AC1539</f>
        <v>0</v>
      </c>
      <c r="AD1539">
        <f>[1]资金台帐!AD1539</f>
        <v>0</v>
      </c>
      <c r="AJ1539">
        <f>[1]资金台帐!AJ1539</f>
        <v>0</v>
      </c>
      <c r="AK1539">
        <f>[1]资金台帐!AK1539</f>
        <v>0</v>
      </c>
      <c r="BA1539" s="22">
        <f t="shared" si="0"/>
      </c>
      <c r="BG1539" s="22">
        <f t="shared" si="1"/>
      </c>
      <c r="BH1539" s="22">
        <f t="shared" si="2"/>
        <v>0</v>
      </c>
    </row>
    <row r="1540">
      <c r="B1540">
        <f>[1]资金台帐!B1540&amp;""</f>
      </c>
      <c r="H1540">
        <f>[1]资金台帐!H1540&amp;""</f>
      </c>
      <c r="J1540">
        <f>[1]资金台帐!J1540&amp;""</f>
      </c>
      <c r="N1540">
        <f>[1]资金台帐!N1540</f>
      </c>
      <c r="O1540">
        <f>[1]资金台帐!O1540&amp;""</f>
      </c>
      <c r="P1540">
        <f>[1]资金台帐!P1540&amp;""</f>
      </c>
      <c r="Q1540">
        <f>[1]资金台帐!Q1540&amp;""</f>
      </c>
      <c r="T1540">
        <f>[1]资金台帐!T1540&amp;""</f>
      </c>
      <c r="U1540">
        <f>[1]资金台帐!U1540&amp;""</f>
      </c>
      <c r="W1540">
        <f>[1]资金台帐!W1540&amp;""</f>
      </c>
      <c r="X1540">
        <f>[1]资金台帐!X1540&amp;""</f>
      </c>
      <c r="AB1540">
        <f>[1]资金台帐!AB1540</f>
        <v>0</v>
      </c>
      <c r="AC1540">
        <f>[1]资金台帐!AC1540</f>
        <v>0</v>
      </c>
      <c r="AD1540">
        <f>[1]资金台帐!AD1540</f>
        <v>0</v>
      </c>
      <c r="AJ1540">
        <f>[1]资金台帐!AJ1540</f>
        <v>0</v>
      </c>
      <c r="AK1540">
        <f>[1]资金台帐!AK1540</f>
        <v>0</v>
      </c>
      <c r="BA1540" s="22">
        <f t="shared" si="0"/>
      </c>
      <c r="BG1540" s="22">
        <f t="shared" si="1"/>
      </c>
      <c r="BH1540" s="22">
        <f t="shared" si="2"/>
        <v>0</v>
      </c>
    </row>
    <row r="1541">
      <c r="B1541">
        <f>[1]资金台帐!B1541&amp;""</f>
      </c>
      <c r="H1541">
        <f>[1]资金台帐!H1541&amp;""</f>
      </c>
      <c r="J1541">
        <f>[1]资金台帐!J1541&amp;""</f>
      </c>
      <c r="N1541">
        <f>[1]资金台帐!N1541</f>
      </c>
      <c r="O1541">
        <f>[1]资金台帐!O1541&amp;""</f>
      </c>
      <c r="P1541">
        <f>[1]资金台帐!P1541&amp;""</f>
      </c>
      <c r="Q1541">
        <f>[1]资金台帐!Q1541&amp;""</f>
      </c>
      <c r="T1541">
        <f>[1]资金台帐!T1541&amp;""</f>
      </c>
      <c r="U1541">
        <f>[1]资金台帐!U1541&amp;""</f>
      </c>
      <c r="W1541">
        <f>[1]资金台帐!W1541&amp;""</f>
      </c>
      <c r="X1541">
        <f>[1]资金台帐!X1541&amp;""</f>
      </c>
      <c r="AB1541">
        <f>[1]资金台帐!AB1541</f>
        <v>0</v>
      </c>
      <c r="AC1541">
        <f>[1]资金台帐!AC1541</f>
        <v>0</v>
      </c>
      <c r="AD1541">
        <f>[1]资金台帐!AD1541</f>
        <v>0</v>
      </c>
      <c r="AJ1541">
        <f>[1]资金台帐!AJ1541</f>
        <v>0</v>
      </c>
      <c r="AK1541">
        <f>[1]资金台帐!AK1541</f>
        <v>0</v>
      </c>
      <c r="BA1541" s="22">
        <f t="shared" si="0"/>
      </c>
      <c r="BG1541" s="22">
        <f t="shared" si="1"/>
      </c>
      <c r="BH1541" s="22">
        <f t="shared" si="2"/>
        <v>0</v>
      </c>
    </row>
    <row r="1542">
      <c r="B1542">
        <f>[1]资金台帐!B1542&amp;""</f>
      </c>
      <c r="H1542">
        <f>[1]资金台帐!H1542&amp;""</f>
      </c>
      <c r="J1542">
        <f>[1]资金台帐!J1542&amp;""</f>
      </c>
      <c r="N1542">
        <f>[1]资金台帐!N1542</f>
      </c>
      <c r="O1542">
        <f>[1]资金台帐!O1542&amp;""</f>
      </c>
      <c r="P1542">
        <f>[1]资金台帐!P1542&amp;""</f>
      </c>
      <c r="Q1542">
        <f>[1]资金台帐!Q1542&amp;""</f>
      </c>
      <c r="T1542">
        <f>[1]资金台帐!T1542&amp;""</f>
      </c>
      <c r="U1542">
        <f>[1]资金台帐!U1542&amp;""</f>
      </c>
      <c r="W1542">
        <f>[1]资金台帐!W1542&amp;""</f>
      </c>
      <c r="X1542">
        <f>[1]资金台帐!X1542&amp;""</f>
      </c>
      <c r="AB1542">
        <f>[1]资金台帐!AB1542</f>
        <v>0</v>
      </c>
      <c r="AC1542">
        <f>[1]资金台帐!AC1542</f>
        <v>0</v>
      </c>
      <c r="AD1542">
        <f>[1]资金台帐!AD1542</f>
        <v>0</v>
      </c>
      <c r="AJ1542">
        <f>[1]资金台帐!AJ1542</f>
        <v>0</v>
      </c>
      <c r="AK1542">
        <f>[1]资金台帐!AK1542</f>
        <v>0</v>
      </c>
      <c r="BA1542" s="22">
        <f t="shared" si="0"/>
      </c>
      <c r="BG1542" s="22">
        <f t="shared" si="1"/>
      </c>
      <c r="BH1542" s="22">
        <f t="shared" si="2"/>
        <v>0</v>
      </c>
    </row>
    <row r="1543">
      <c r="B1543">
        <f>[1]资金台帐!B1543&amp;""</f>
      </c>
      <c r="H1543">
        <f>[1]资金台帐!H1543&amp;""</f>
      </c>
      <c r="J1543">
        <f>[1]资金台帐!J1543&amp;""</f>
      </c>
      <c r="N1543">
        <f>[1]资金台帐!N1543</f>
      </c>
      <c r="O1543">
        <f>[1]资金台帐!O1543&amp;""</f>
      </c>
      <c r="P1543">
        <f>[1]资金台帐!P1543&amp;""</f>
      </c>
      <c r="Q1543">
        <f>[1]资金台帐!Q1543&amp;""</f>
      </c>
      <c r="T1543">
        <f>[1]资金台帐!T1543&amp;""</f>
      </c>
      <c r="U1543">
        <f>[1]资金台帐!U1543&amp;""</f>
      </c>
      <c r="W1543">
        <f>[1]资金台帐!W1543&amp;""</f>
      </c>
      <c r="X1543">
        <f>[1]资金台帐!X1543&amp;""</f>
      </c>
      <c r="AB1543">
        <f>[1]资金台帐!AB1543</f>
        <v>0</v>
      </c>
      <c r="AC1543">
        <f>[1]资金台帐!AC1543</f>
        <v>0</v>
      </c>
      <c r="AD1543">
        <f>[1]资金台帐!AD1543</f>
        <v>0</v>
      </c>
      <c r="AJ1543">
        <f>[1]资金台帐!AJ1543</f>
        <v>0</v>
      </c>
      <c r="AK1543">
        <f>[1]资金台帐!AK1543</f>
        <v>0</v>
      </c>
      <c r="BA1543" s="22">
        <f t="shared" si="0"/>
      </c>
      <c r="BG1543" s="22">
        <f t="shared" si="1"/>
      </c>
      <c r="BH1543" s="22">
        <f t="shared" si="2"/>
        <v>0</v>
      </c>
    </row>
    <row r="1544">
      <c r="B1544">
        <f>[1]资金台帐!B1544&amp;""</f>
      </c>
      <c r="H1544">
        <f>[1]资金台帐!H1544&amp;""</f>
      </c>
      <c r="J1544">
        <f>[1]资金台帐!J1544&amp;""</f>
      </c>
      <c r="N1544">
        <f>[1]资金台帐!N1544</f>
      </c>
      <c r="O1544">
        <f>[1]资金台帐!O1544&amp;""</f>
      </c>
      <c r="P1544">
        <f>[1]资金台帐!P1544&amp;""</f>
      </c>
      <c r="Q1544">
        <f>[1]资金台帐!Q1544&amp;""</f>
      </c>
      <c r="T1544">
        <f>[1]资金台帐!T1544&amp;""</f>
      </c>
      <c r="U1544">
        <f>[1]资金台帐!U1544&amp;""</f>
      </c>
      <c r="W1544">
        <f>[1]资金台帐!W1544&amp;""</f>
      </c>
      <c r="X1544">
        <f>[1]资金台帐!X1544&amp;""</f>
      </c>
      <c r="AB1544">
        <f>[1]资金台帐!AB1544</f>
        <v>0</v>
      </c>
      <c r="AC1544">
        <f>[1]资金台帐!AC1544</f>
        <v>0</v>
      </c>
      <c r="AD1544">
        <f>[1]资金台帐!AD1544</f>
        <v>0</v>
      </c>
      <c r="AJ1544">
        <f>[1]资金台帐!AJ1544</f>
        <v>0</v>
      </c>
      <c r="AK1544">
        <f>[1]资金台帐!AK1544</f>
        <v>0</v>
      </c>
      <c r="BA1544" s="22">
        <f t="shared" si="0"/>
      </c>
      <c r="BG1544" s="22">
        <f t="shared" si="1"/>
      </c>
      <c r="BH1544" s="22">
        <f t="shared" si="2"/>
        <v>0</v>
      </c>
    </row>
    <row r="1545">
      <c r="B1545">
        <f>[1]资金台帐!B1545&amp;""</f>
      </c>
      <c r="H1545">
        <f>[1]资金台帐!H1545&amp;""</f>
      </c>
      <c r="J1545">
        <f>[1]资金台帐!J1545&amp;""</f>
      </c>
      <c r="N1545">
        <f>[1]资金台帐!N1545</f>
      </c>
      <c r="O1545">
        <f>[1]资金台帐!O1545&amp;""</f>
      </c>
      <c r="P1545">
        <f>[1]资金台帐!P1545&amp;""</f>
      </c>
      <c r="Q1545">
        <f>[1]资金台帐!Q1545&amp;""</f>
      </c>
      <c r="T1545">
        <f>[1]资金台帐!T1545&amp;""</f>
      </c>
      <c r="U1545">
        <f>[1]资金台帐!U1545&amp;""</f>
      </c>
      <c r="W1545">
        <f>[1]资金台帐!W1545&amp;""</f>
      </c>
      <c r="X1545">
        <f>[1]资金台帐!X1545&amp;""</f>
      </c>
      <c r="AB1545">
        <f>[1]资金台帐!AB1545</f>
        <v>0</v>
      </c>
      <c r="AC1545">
        <f>[1]资金台帐!AC1545</f>
        <v>0</v>
      </c>
      <c r="AD1545">
        <f>[1]资金台帐!AD1545</f>
        <v>0</v>
      </c>
      <c r="AJ1545">
        <f>[1]资金台帐!AJ1545</f>
        <v>0</v>
      </c>
      <c r="AK1545">
        <f>[1]资金台帐!AK1545</f>
        <v>0</v>
      </c>
      <c r="BA1545" s="22">
        <f t="shared" si="0"/>
      </c>
      <c r="BG1545" s="22">
        <f t="shared" si="1"/>
      </c>
      <c r="BH1545" s="22">
        <f t="shared" si="2"/>
        <v>0</v>
      </c>
    </row>
    <row r="1546">
      <c r="B1546">
        <f>[1]资金台帐!B1546&amp;""</f>
      </c>
      <c r="H1546">
        <f>[1]资金台帐!H1546&amp;""</f>
      </c>
      <c r="J1546">
        <f>[1]资金台帐!J1546&amp;""</f>
      </c>
      <c r="N1546">
        <f>[1]资金台帐!N1546</f>
      </c>
      <c r="O1546">
        <f>[1]资金台帐!O1546&amp;""</f>
      </c>
      <c r="P1546">
        <f>[1]资金台帐!P1546&amp;""</f>
      </c>
      <c r="Q1546">
        <f>[1]资金台帐!Q1546&amp;""</f>
      </c>
      <c r="T1546">
        <f>[1]资金台帐!T1546&amp;""</f>
      </c>
      <c r="U1546">
        <f>[1]资金台帐!U1546&amp;""</f>
      </c>
      <c r="W1546">
        <f>[1]资金台帐!W1546&amp;""</f>
      </c>
      <c r="X1546">
        <f>[1]资金台帐!X1546&amp;""</f>
      </c>
      <c r="AB1546">
        <f>[1]资金台帐!AB1546</f>
        <v>0</v>
      </c>
      <c r="AC1546">
        <f>[1]资金台帐!AC1546</f>
        <v>0</v>
      </c>
      <c r="AD1546">
        <f>[1]资金台帐!AD1546</f>
        <v>0</v>
      </c>
      <c r="AJ1546">
        <f>[1]资金台帐!AJ1546</f>
        <v>0</v>
      </c>
      <c r="AK1546">
        <f>[1]资金台帐!AK1546</f>
        <v>0</v>
      </c>
      <c r="BA1546" s="22">
        <f t="shared" si="0"/>
      </c>
      <c r="BG1546" s="22">
        <f t="shared" si="1"/>
      </c>
      <c r="BH1546" s="22">
        <f t="shared" si="2"/>
        <v>0</v>
      </c>
    </row>
    <row r="1547">
      <c r="B1547">
        <f>[1]资金台帐!B1547&amp;""</f>
      </c>
      <c r="H1547">
        <f>[1]资金台帐!H1547&amp;""</f>
      </c>
      <c r="J1547">
        <f>[1]资金台帐!J1547&amp;""</f>
      </c>
      <c r="N1547">
        <f>[1]资金台帐!N1547</f>
      </c>
      <c r="O1547">
        <f>[1]资金台帐!O1547&amp;""</f>
      </c>
      <c r="P1547">
        <f>[1]资金台帐!P1547&amp;""</f>
      </c>
      <c r="Q1547">
        <f>[1]资金台帐!Q1547&amp;""</f>
      </c>
      <c r="T1547">
        <f>[1]资金台帐!T1547&amp;""</f>
      </c>
      <c r="U1547">
        <f>[1]资金台帐!U1547&amp;""</f>
      </c>
      <c r="W1547">
        <f>[1]资金台帐!W1547&amp;""</f>
      </c>
      <c r="X1547">
        <f>[1]资金台帐!X1547&amp;""</f>
      </c>
      <c r="AB1547">
        <f>[1]资金台帐!AB1547</f>
        <v>0</v>
      </c>
      <c r="AC1547">
        <f>[1]资金台帐!AC1547</f>
        <v>0</v>
      </c>
      <c r="AD1547">
        <f>[1]资金台帐!AD1547</f>
        <v>0</v>
      </c>
      <c r="AJ1547">
        <f>[1]资金台帐!AJ1547</f>
        <v>0</v>
      </c>
      <c r="AK1547">
        <f>[1]资金台帐!AK1547</f>
        <v>0</v>
      </c>
      <c r="BA1547" s="22">
        <f t="shared" si="0"/>
      </c>
      <c r="BG1547" s="22">
        <f t="shared" si="1"/>
      </c>
      <c r="BH1547" s="22">
        <f t="shared" si="2"/>
        <v>0</v>
      </c>
    </row>
    <row r="1548">
      <c r="B1548">
        <f>[1]资金台帐!B1548&amp;""</f>
      </c>
      <c r="H1548">
        <f>[1]资金台帐!H1548&amp;""</f>
      </c>
      <c r="J1548">
        <f>[1]资金台帐!J1548&amp;""</f>
      </c>
      <c r="N1548">
        <f>[1]资金台帐!N1548</f>
      </c>
      <c r="O1548">
        <f>[1]资金台帐!O1548&amp;""</f>
      </c>
      <c r="P1548">
        <f>[1]资金台帐!P1548&amp;""</f>
      </c>
      <c r="Q1548">
        <f>[1]资金台帐!Q1548&amp;""</f>
      </c>
      <c r="T1548">
        <f>[1]资金台帐!T1548&amp;""</f>
      </c>
      <c r="U1548">
        <f>[1]资金台帐!U1548&amp;""</f>
      </c>
      <c r="W1548">
        <f>[1]资金台帐!W1548&amp;""</f>
      </c>
      <c r="X1548">
        <f>[1]资金台帐!X1548&amp;""</f>
      </c>
      <c r="AB1548">
        <f>[1]资金台帐!AB1548</f>
        <v>0</v>
      </c>
      <c r="AC1548">
        <f>[1]资金台帐!AC1548</f>
        <v>0</v>
      </c>
      <c r="AD1548">
        <f>[1]资金台帐!AD1548</f>
        <v>0</v>
      </c>
      <c r="AJ1548">
        <f>[1]资金台帐!AJ1548</f>
        <v>0</v>
      </c>
      <c r="AK1548">
        <f>[1]资金台帐!AK1548</f>
        <v>0</v>
      </c>
      <c r="BA1548" s="22">
        <f t="shared" si="0"/>
      </c>
      <c r="BG1548" s="22">
        <f t="shared" si="1"/>
      </c>
      <c r="BH1548" s="22">
        <f t="shared" si="2"/>
        <v>0</v>
      </c>
    </row>
    <row r="1549">
      <c r="B1549">
        <f>[1]资金台帐!B1549&amp;""</f>
      </c>
      <c r="H1549">
        <f>[1]资金台帐!H1549&amp;""</f>
      </c>
      <c r="J1549">
        <f>[1]资金台帐!J1549&amp;""</f>
      </c>
      <c r="N1549">
        <f>[1]资金台帐!N1549</f>
      </c>
      <c r="O1549">
        <f>[1]资金台帐!O1549&amp;""</f>
      </c>
      <c r="P1549">
        <f>[1]资金台帐!P1549&amp;""</f>
      </c>
      <c r="Q1549">
        <f>[1]资金台帐!Q1549&amp;""</f>
      </c>
      <c r="T1549">
        <f>[1]资金台帐!T1549&amp;""</f>
      </c>
      <c r="U1549">
        <f>[1]资金台帐!U1549&amp;""</f>
      </c>
      <c r="W1549">
        <f>[1]资金台帐!W1549&amp;""</f>
      </c>
      <c r="X1549">
        <f>[1]资金台帐!X1549&amp;""</f>
      </c>
      <c r="AB1549">
        <f>[1]资金台帐!AB1549</f>
        <v>0</v>
      </c>
      <c r="AC1549">
        <f>[1]资金台帐!AC1549</f>
        <v>0</v>
      </c>
      <c r="AD1549">
        <f>[1]资金台帐!AD1549</f>
        <v>0</v>
      </c>
      <c r="AJ1549">
        <f>[1]资金台帐!AJ1549</f>
        <v>0</v>
      </c>
      <c r="AK1549">
        <f>[1]资金台帐!AK1549</f>
        <v>0</v>
      </c>
      <c r="BA1549" s="22">
        <f t="shared" si="0"/>
      </c>
      <c r="BG1549" s="22">
        <f t="shared" si="1"/>
      </c>
      <c r="BH1549" s="22">
        <f t="shared" si="2"/>
        <v>0</v>
      </c>
    </row>
    <row r="1550">
      <c r="B1550">
        <f>[1]资金台帐!B1550&amp;""</f>
      </c>
      <c r="H1550">
        <f>[1]资金台帐!H1550&amp;""</f>
      </c>
      <c r="J1550">
        <f>[1]资金台帐!J1550&amp;""</f>
      </c>
      <c r="N1550">
        <f>[1]资金台帐!N1550</f>
      </c>
      <c r="O1550">
        <f>[1]资金台帐!O1550&amp;""</f>
      </c>
      <c r="P1550">
        <f>[1]资金台帐!P1550&amp;""</f>
      </c>
      <c r="Q1550">
        <f>[1]资金台帐!Q1550&amp;""</f>
      </c>
      <c r="T1550">
        <f>[1]资金台帐!T1550&amp;""</f>
      </c>
      <c r="U1550">
        <f>[1]资金台帐!U1550&amp;""</f>
      </c>
      <c r="W1550">
        <f>[1]资金台帐!W1550&amp;""</f>
      </c>
      <c r="X1550">
        <f>[1]资金台帐!X1550&amp;""</f>
      </c>
      <c r="AB1550">
        <f>[1]资金台帐!AB1550</f>
        <v>0</v>
      </c>
      <c r="AC1550">
        <f>[1]资金台帐!AC1550</f>
        <v>0</v>
      </c>
      <c r="AD1550">
        <f>[1]资金台帐!AD1550</f>
        <v>0</v>
      </c>
      <c r="AJ1550">
        <f>[1]资金台帐!AJ1550</f>
        <v>0</v>
      </c>
      <c r="AK1550">
        <f>[1]资金台帐!AK1550</f>
        <v>0</v>
      </c>
      <c r="BA1550" s="22">
        <f t="shared" si="0"/>
      </c>
      <c r="BG1550" s="22">
        <f t="shared" si="1"/>
      </c>
      <c r="BH1550" s="22">
        <f t="shared" si="2"/>
        <v>0</v>
      </c>
    </row>
    <row r="1551">
      <c r="B1551">
        <f>[1]资金台帐!B1551&amp;""</f>
      </c>
      <c r="H1551">
        <f>[1]资金台帐!H1551&amp;""</f>
      </c>
      <c r="J1551">
        <f>[1]资金台帐!J1551&amp;""</f>
      </c>
      <c r="N1551">
        <f>[1]资金台帐!N1551</f>
      </c>
      <c r="O1551">
        <f>[1]资金台帐!O1551&amp;""</f>
      </c>
      <c r="P1551">
        <f>[1]资金台帐!P1551&amp;""</f>
      </c>
      <c r="Q1551">
        <f>[1]资金台帐!Q1551&amp;""</f>
      </c>
      <c r="T1551">
        <f>[1]资金台帐!T1551&amp;""</f>
      </c>
      <c r="U1551">
        <f>[1]资金台帐!U1551&amp;""</f>
      </c>
      <c r="W1551">
        <f>[1]资金台帐!W1551&amp;""</f>
      </c>
      <c r="X1551">
        <f>[1]资金台帐!X1551&amp;""</f>
      </c>
      <c r="AB1551">
        <f>[1]资金台帐!AB1551</f>
        <v>0</v>
      </c>
      <c r="AC1551">
        <f>[1]资金台帐!AC1551</f>
        <v>0</v>
      </c>
      <c r="AD1551">
        <f>[1]资金台帐!AD1551</f>
        <v>0</v>
      </c>
      <c r="AJ1551">
        <f>[1]资金台帐!AJ1551</f>
        <v>0</v>
      </c>
      <c r="AK1551">
        <f>[1]资金台帐!AK1551</f>
        <v>0</v>
      </c>
      <c r="BA1551" s="22">
        <f t="shared" si="0"/>
      </c>
      <c r="BG1551" s="22">
        <f t="shared" si="1"/>
      </c>
      <c r="BH1551" s="22">
        <f t="shared" si="2"/>
        <v>0</v>
      </c>
    </row>
    <row r="1552">
      <c r="B1552">
        <f>[1]资金台帐!B1552&amp;""</f>
      </c>
      <c r="H1552">
        <f>[1]资金台帐!H1552&amp;""</f>
      </c>
      <c r="J1552">
        <f>[1]资金台帐!J1552&amp;""</f>
      </c>
      <c r="N1552">
        <f>[1]资金台帐!N1552</f>
      </c>
      <c r="O1552">
        <f>[1]资金台帐!O1552&amp;""</f>
      </c>
      <c r="P1552">
        <f>[1]资金台帐!P1552&amp;""</f>
      </c>
      <c r="Q1552">
        <f>[1]资金台帐!Q1552&amp;""</f>
      </c>
      <c r="T1552">
        <f>[1]资金台帐!T1552&amp;""</f>
      </c>
      <c r="U1552">
        <f>[1]资金台帐!U1552&amp;""</f>
      </c>
      <c r="W1552">
        <f>[1]资金台帐!W1552&amp;""</f>
      </c>
      <c r="X1552">
        <f>[1]资金台帐!X1552&amp;""</f>
      </c>
      <c r="AB1552">
        <f>[1]资金台帐!AB1552</f>
        <v>0</v>
      </c>
      <c r="AC1552">
        <f>[1]资金台帐!AC1552</f>
        <v>0</v>
      </c>
      <c r="AD1552">
        <f>[1]资金台帐!AD1552</f>
        <v>0</v>
      </c>
      <c r="AJ1552">
        <f>[1]资金台帐!AJ1552</f>
        <v>0</v>
      </c>
      <c r="AK1552">
        <f>[1]资金台帐!AK1552</f>
        <v>0</v>
      </c>
      <c r="BA1552" s="22">
        <f t="shared" si="0"/>
      </c>
      <c r="BG1552" s="22">
        <f t="shared" si="1"/>
      </c>
      <c r="BH1552" s="22">
        <f t="shared" si="2"/>
        <v>0</v>
      </c>
    </row>
    <row r="1553">
      <c r="B1553">
        <f>[1]资金台帐!B1553&amp;""</f>
      </c>
      <c r="H1553">
        <f>[1]资金台帐!H1553&amp;""</f>
      </c>
      <c r="J1553">
        <f>[1]资金台帐!J1553&amp;""</f>
      </c>
      <c r="N1553">
        <f>[1]资金台帐!N1553</f>
      </c>
      <c r="O1553">
        <f>[1]资金台帐!O1553&amp;""</f>
      </c>
      <c r="P1553">
        <f>[1]资金台帐!P1553&amp;""</f>
      </c>
      <c r="Q1553">
        <f>[1]资金台帐!Q1553&amp;""</f>
      </c>
      <c r="T1553">
        <f>[1]资金台帐!T1553&amp;""</f>
      </c>
      <c r="U1553">
        <f>[1]资金台帐!U1553&amp;""</f>
      </c>
      <c r="W1553">
        <f>[1]资金台帐!W1553&amp;""</f>
      </c>
      <c r="X1553">
        <f>[1]资金台帐!X1553&amp;""</f>
      </c>
      <c r="AB1553">
        <f>[1]资金台帐!AB1553</f>
        <v>0</v>
      </c>
      <c r="AC1553">
        <f>[1]资金台帐!AC1553</f>
        <v>0</v>
      </c>
      <c r="AD1553">
        <f>[1]资金台帐!AD1553</f>
        <v>0</v>
      </c>
      <c r="AJ1553">
        <f>[1]资金台帐!AJ1553</f>
        <v>0</v>
      </c>
      <c r="AK1553">
        <f>[1]资金台帐!AK1553</f>
        <v>0</v>
      </c>
      <c r="BA1553" s="22">
        <f t="shared" si="0"/>
      </c>
      <c r="BG1553" s="22">
        <f t="shared" si="1"/>
      </c>
      <c r="BH1553" s="22">
        <f t="shared" si="2"/>
        <v>0</v>
      </c>
    </row>
    <row r="1554">
      <c r="B1554">
        <f>[1]资金台帐!B1554&amp;""</f>
      </c>
      <c r="H1554">
        <f>[1]资金台帐!H1554&amp;""</f>
      </c>
      <c r="J1554">
        <f>[1]资金台帐!J1554&amp;""</f>
      </c>
      <c r="N1554">
        <f>[1]资金台帐!N1554</f>
      </c>
      <c r="O1554">
        <f>[1]资金台帐!O1554&amp;""</f>
      </c>
      <c r="P1554">
        <f>[1]资金台帐!P1554&amp;""</f>
      </c>
      <c r="Q1554">
        <f>[1]资金台帐!Q1554&amp;""</f>
      </c>
      <c r="T1554">
        <f>[1]资金台帐!T1554&amp;""</f>
      </c>
      <c r="U1554">
        <f>[1]资金台帐!U1554&amp;""</f>
      </c>
      <c r="W1554">
        <f>[1]资金台帐!W1554&amp;""</f>
      </c>
      <c r="X1554">
        <f>[1]资金台帐!X1554&amp;""</f>
      </c>
      <c r="AB1554">
        <f>[1]资金台帐!AB1554</f>
        <v>0</v>
      </c>
      <c r="AC1554">
        <f>[1]资金台帐!AC1554</f>
        <v>0</v>
      </c>
      <c r="AD1554">
        <f>[1]资金台帐!AD1554</f>
        <v>0</v>
      </c>
      <c r="AJ1554">
        <f>[1]资金台帐!AJ1554</f>
        <v>0</v>
      </c>
      <c r="AK1554">
        <f>[1]资金台帐!AK1554</f>
        <v>0</v>
      </c>
      <c r="BA1554" s="22">
        <f t="shared" si="0"/>
      </c>
      <c r="BG1554" s="22">
        <f t="shared" si="1"/>
      </c>
      <c r="BH1554" s="22">
        <f t="shared" si="2"/>
        <v>0</v>
      </c>
    </row>
    <row r="1555">
      <c r="B1555">
        <f>[1]资金台帐!B1555&amp;""</f>
      </c>
      <c r="H1555">
        <f>[1]资金台帐!H1555&amp;""</f>
      </c>
      <c r="J1555">
        <f>[1]资金台帐!J1555&amp;""</f>
      </c>
      <c r="N1555">
        <f>[1]资金台帐!N1555</f>
      </c>
      <c r="O1555">
        <f>[1]资金台帐!O1555&amp;""</f>
      </c>
      <c r="P1555">
        <f>[1]资金台帐!P1555&amp;""</f>
      </c>
      <c r="Q1555">
        <f>[1]资金台帐!Q1555&amp;""</f>
      </c>
      <c r="T1555">
        <f>[1]资金台帐!T1555&amp;""</f>
      </c>
      <c r="U1555">
        <f>[1]资金台帐!U1555&amp;""</f>
      </c>
      <c r="W1555">
        <f>[1]资金台帐!W1555&amp;""</f>
      </c>
      <c r="X1555">
        <f>[1]资金台帐!X1555&amp;""</f>
      </c>
      <c r="AB1555">
        <f>[1]资金台帐!AB1555</f>
        <v>0</v>
      </c>
      <c r="AC1555">
        <f>[1]资金台帐!AC1555</f>
        <v>0</v>
      </c>
      <c r="AD1555">
        <f>[1]资金台帐!AD1555</f>
        <v>0</v>
      </c>
      <c r="AJ1555">
        <f>[1]资金台帐!AJ1555</f>
        <v>0</v>
      </c>
      <c r="AK1555">
        <f>[1]资金台帐!AK1555</f>
        <v>0</v>
      </c>
      <c r="BA1555" s="22">
        <f t="shared" si="0"/>
      </c>
      <c r="BG1555" s="22">
        <f t="shared" si="1"/>
      </c>
      <c r="BH1555" s="22">
        <f t="shared" si="2"/>
        <v>0</v>
      </c>
    </row>
    <row r="1556">
      <c r="B1556">
        <f>[1]资金台帐!B1556&amp;""</f>
      </c>
      <c r="H1556">
        <f>[1]资金台帐!H1556&amp;""</f>
      </c>
      <c r="J1556">
        <f>[1]资金台帐!J1556&amp;""</f>
      </c>
      <c r="N1556">
        <f>[1]资金台帐!N1556</f>
      </c>
      <c r="O1556">
        <f>[1]资金台帐!O1556&amp;""</f>
      </c>
      <c r="P1556">
        <f>[1]资金台帐!P1556&amp;""</f>
      </c>
      <c r="Q1556">
        <f>[1]资金台帐!Q1556&amp;""</f>
      </c>
      <c r="T1556">
        <f>[1]资金台帐!T1556&amp;""</f>
      </c>
      <c r="U1556">
        <f>[1]资金台帐!U1556&amp;""</f>
      </c>
      <c r="W1556">
        <f>[1]资金台帐!W1556&amp;""</f>
      </c>
      <c r="X1556">
        <f>[1]资金台帐!X1556&amp;""</f>
      </c>
      <c r="AB1556">
        <f>[1]资金台帐!AB1556</f>
        <v>0</v>
      </c>
      <c r="AC1556">
        <f>[1]资金台帐!AC1556</f>
        <v>0</v>
      </c>
      <c r="AD1556">
        <f>[1]资金台帐!AD1556</f>
        <v>0</v>
      </c>
      <c r="AJ1556">
        <f>[1]资金台帐!AJ1556</f>
        <v>0</v>
      </c>
      <c r="AK1556">
        <f>[1]资金台帐!AK1556</f>
        <v>0</v>
      </c>
      <c r="BA1556" s="22">
        <f t="shared" si="0"/>
      </c>
      <c r="BG1556" s="22">
        <f t="shared" si="1"/>
      </c>
      <c r="BH1556" s="22">
        <f t="shared" si="2"/>
        <v>0</v>
      </c>
    </row>
    <row r="1557">
      <c r="B1557">
        <f>[1]资金台帐!B1557&amp;""</f>
      </c>
      <c r="H1557">
        <f>[1]资金台帐!H1557&amp;""</f>
      </c>
      <c r="J1557">
        <f>[1]资金台帐!J1557&amp;""</f>
      </c>
      <c r="N1557">
        <f>[1]资金台帐!N1557</f>
      </c>
      <c r="O1557">
        <f>[1]资金台帐!O1557&amp;""</f>
      </c>
      <c r="P1557">
        <f>[1]资金台帐!P1557&amp;""</f>
      </c>
      <c r="Q1557">
        <f>[1]资金台帐!Q1557&amp;""</f>
      </c>
      <c r="T1557">
        <f>[1]资金台帐!T1557&amp;""</f>
      </c>
      <c r="U1557">
        <f>[1]资金台帐!U1557&amp;""</f>
      </c>
      <c r="W1557">
        <f>[1]资金台帐!W1557&amp;""</f>
      </c>
      <c r="X1557">
        <f>[1]资金台帐!X1557&amp;""</f>
      </c>
      <c r="AB1557">
        <f>[1]资金台帐!AB1557</f>
        <v>0</v>
      </c>
      <c r="AC1557">
        <f>[1]资金台帐!AC1557</f>
        <v>0</v>
      </c>
      <c r="AD1557">
        <f>[1]资金台帐!AD1557</f>
        <v>0</v>
      </c>
      <c r="AJ1557">
        <f>[1]资金台帐!AJ1557</f>
        <v>0</v>
      </c>
      <c r="AK1557">
        <f>[1]资金台帐!AK1557</f>
        <v>0</v>
      </c>
      <c r="BA1557" s="22">
        <f t="shared" si="0"/>
      </c>
      <c r="BG1557" s="22">
        <f t="shared" si="1"/>
      </c>
      <c r="BH1557" s="22">
        <f t="shared" si="2"/>
        <v>0</v>
      </c>
    </row>
    <row r="1558">
      <c r="B1558">
        <f>[1]资金台帐!B1558&amp;""</f>
      </c>
      <c r="H1558">
        <f>[1]资金台帐!H1558&amp;""</f>
      </c>
      <c r="J1558">
        <f>[1]资金台帐!J1558&amp;""</f>
      </c>
      <c r="N1558">
        <f>[1]资金台帐!N1558</f>
      </c>
      <c r="O1558">
        <f>[1]资金台帐!O1558&amp;""</f>
      </c>
      <c r="P1558">
        <f>[1]资金台帐!P1558&amp;""</f>
      </c>
      <c r="Q1558">
        <f>[1]资金台帐!Q1558&amp;""</f>
      </c>
      <c r="T1558">
        <f>[1]资金台帐!T1558&amp;""</f>
      </c>
      <c r="U1558">
        <f>[1]资金台帐!U1558&amp;""</f>
      </c>
      <c r="W1558">
        <f>[1]资金台帐!W1558&amp;""</f>
      </c>
      <c r="X1558">
        <f>[1]资金台帐!X1558&amp;""</f>
      </c>
      <c r="AB1558">
        <f>[1]资金台帐!AB1558</f>
        <v>0</v>
      </c>
      <c r="AC1558">
        <f>[1]资金台帐!AC1558</f>
        <v>0</v>
      </c>
      <c r="AD1558">
        <f>[1]资金台帐!AD1558</f>
        <v>0</v>
      </c>
      <c r="AJ1558">
        <f>[1]资金台帐!AJ1558</f>
        <v>0</v>
      </c>
      <c r="AK1558">
        <f>[1]资金台帐!AK1558</f>
        <v>0</v>
      </c>
      <c r="BA1558" s="22">
        <f t="shared" si="0"/>
      </c>
      <c r="BG1558" s="22">
        <f t="shared" si="1"/>
      </c>
      <c r="BH1558" s="22">
        <f t="shared" si="2"/>
        <v>0</v>
      </c>
    </row>
    <row r="1559">
      <c r="B1559">
        <f>[1]资金台帐!B1559&amp;""</f>
      </c>
      <c r="H1559">
        <f>[1]资金台帐!H1559&amp;""</f>
      </c>
      <c r="J1559">
        <f>[1]资金台帐!J1559&amp;""</f>
      </c>
      <c r="N1559">
        <f>[1]资金台帐!N1559</f>
      </c>
      <c r="O1559">
        <f>[1]资金台帐!O1559&amp;""</f>
      </c>
      <c r="P1559">
        <f>[1]资金台帐!P1559&amp;""</f>
      </c>
      <c r="Q1559">
        <f>[1]资金台帐!Q1559&amp;""</f>
      </c>
      <c r="T1559">
        <f>[1]资金台帐!T1559&amp;""</f>
      </c>
      <c r="U1559">
        <f>[1]资金台帐!U1559&amp;""</f>
      </c>
      <c r="W1559">
        <f>[1]资金台帐!W1559&amp;""</f>
      </c>
      <c r="X1559">
        <f>[1]资金台帐!X1559&amp;""</f>
      </c>
      <c r="AB1559">
        <f>[1]资金台帐!AB1559</f>
        <v>0</v>
      </c>
      <c r="AC1559">
        <f>[1]资金台帐!AC1559</f>
        <v>0</v>
      </c>
      <c r="AD1559">
        <f>[1]资金台帐!AD1559</f>
        <v>0</v>
      </c>
      <c r="AJ1559">
        <f>[1]资金台帐!AJ1559</f>
        <v>0</v>
      </c>
      <c r="AK1559">
        <f>[1]资金台帐!AK1559</f>
        <v>0</v>
      </c>
      <c r="BA1559" s="22">
        <f t="shared" si="0"/>
      </c>
      <c r="BG1559" s="22">
        <f t="shared" si="1"/>
      </c>
      <c r="BH1559" s="22">
        <f t="shared" si="2"/>
        <v>0</v>
      </c>
    </row>
    <row r="1560">
      <c r="B1560">
        <f>[1]资金台帐!B1560&amp;""</f>
      </c>
      <c r="H1560">
        <f>[1]资金台帐!H1560&amp;""</f>
      </c>
      <c r="J1560">
        <f>[1]资金台帐!J1560&amp;""</f>
      </c>
      <c r="N1560">
        <f>[1]资金台帐!N1560</f>
      </c>
      <c r="O1560">
        <f>[1]资金台帐!O1560&amp;""</f>
      </c>
      <c r="P1560">
        <f>[1]资金台帐!P1560&amp;""</f>
      </c>
      <c r="Q1560">
        <f>[1]资金台帐!Q1560&amp;""</f>
      </c>
      <c r="T1560">
        <f>[1]资金台帐!T1560&amp;""</f>
      </c>
      <c r="U1560">
        <f>[1]资金台帐!U1560&amp;""</f>
      </c>
      <c r="W1560">
        <f>[1]资金台帐!W1560&amp;""</f>
      </c>
      <c r="X1560">
        <f>[1]资金台帐!X1560&amp;""</f>
      </c>
      <c r="AB1560">
        <f>[1]资金台帐!AB1560</f>
        <v>0</v>
      </c>
      <c r="AC1560">
        <f>[1]资金台帐!AC1560</f>
        <v>0</v>
      </c>
      <c r="AD1560">
        <f>[1]资金台帐!AD1560</f>
        <v>0</v>
      </c>
      <c r="AJ1560">
        <f>[1]资金台帐!AJ1560</f>
        <v>0</v>
      </c>
      <c r="AK1560">
        <f>[1]资金台帐!AK1560</f>
        <v>0</v>
      </c>
      <c r="BA1560" s="22">
        <f t="shared" si="0"/>
      </c>
      <c r="BG1560" s="22">
        <f t="shared" si="1"/>
      </c>
      <c r="BH1560" s="22">
        <f t="shared" si="2"/>
        <v>0</v>
      </c>
    </row>
    <row r="1561">
      <c r="B1561">
        <f>[1]资金台帐!B1561&amp;""</f>
      </c>
      <c r="H1561">
        <f>[1]资金台帐!H1561&amp;""</f>
      </c>
      <c r="J1561">
        <f>[1]资金台帐!J1561&amp;""</f>
      </c>
      <c r="N1561">
        <f>[1]资金台帐!N1561</f>
      </c>
      <c r="O1561">
        <f>[1]资金台帐!O1561&amp;""</f>
      </c>
      <c r="P1561">
        <f>[1]资金台帐!P1561&amp;""</f>
      </c>
      <c r="Q1561">
        <f>[1]资金台帐!Q1561&amp;""</f>
      </c>
      <c r="T1561">
        <f>[1]资金台帐!T1561&amp;""</f>
      </c>
      <c r="U1561">
        <f>[1]资金台帐!U1561&amp;""</f>
      </c>
      <c r="W1561">
        <f>[1]资金台帐!W1561&amp;""</f>
      </c>
      <c r="X1561">
        <f>[1]资金台帐!X1561&amp;""</f>
      </c>
      <c r="AB1561">
        <f>[1]资金台帐!AB1561</f>
        <v>0</v>
      </c>
      <c r="AC1561">
        <f>[1]资金台帐!AC1561</f>
        <v>0</v>
      </c>
      <c r="AD1561">
        <f>[1]资金台帐!AD1561</f>
        <v>0</v>
      </c>
      <c r="AJ1561">
        <f>[1]资金台帐!AJ1561</f>
        <v>0</v>
      </c>
      <c r="AK1561">
        <f>[1]资金台帐!AK1561</f>
        <v>0</v>
      </c>
      <c r="BA1561" s="22">
        <f t="shared" si="0"/>
      </c>
      <c r="BG1561" s="22">
        <f t="shared" si="1"/>
      </c>
      <c r="BH1561" s="22">
        <f t="shared" si="2"/>
        <v>0</v>
      </c>
    </row>
    <row r="1562">
      <c r="B1562">
        <f>[1]资金台帐!B1562&amp;""</f>
      </c>
      <c r="H1562">
        <f>[1]资金台帐!H1562&amp;""</f>
      </c>
      <c r="J1562">
        <f>[1]资金台帐!J1562&amp;""</f>
      </c>
      <c r="N1562">
        <f>[1]资金台帐!N1562</f>
      </c>
      <c r="O1562">
        <f>[1]资金台帐!O1562&amp;""</f>
      </c>
      <c r="P1562">
        <f>[1]资金台帐!P1562&amp;""</f>
      </c>
      <c r="Q1562">
        <f>[1]资金台帐!Q1562&amp;""</f>
      </c>
      <c r="T1562">
        <f>[1]资金台帐!T1562&amp;""</f>
      </c>
      <c r="U1562">
        <f>[1]资金台帐!U1562&amp;""</f>
      </c>
      <c r="W1562">
        <f>[1]资金台帐!W1562&amp;""</f>
      </c>
      <c r="X1562">
        <f>[1]资金台帐!X1562&amp;""</f>
      </c>
      <c r="AB1562">
        <f>[1]资金台帐!AB1562</f>
        <v>0</v>
      </c>
      <c r="AC1562">
        <f>[1]资金台帐!AC1562</f>
        <v>0</v>
      </c>
      <c r="AD1562">
        <f>[1]资金台帐!AD1562</f>
        <v>0</v>
      </c>
      <c r="AJ1562">
        <f>[1]资金台帐!AJ1562</f>
        <v>0</v>
      </c>
      <c r="AK1562">
        <f>[1]资金台帐!AK1562</f>
        <v>0</v>
      </c>
      <c r="BA1562" s="22">
        <f t="shared" si="0"/>
      </c>
      <c r="BG1562" s="22">
        <f t="shared" si="1"/>
      </c>
      <c r="BH1562" s="22">
        <f t="shared" si="2"/>
        <v>0</v>
      </c>
    </row>
    <row r="1563">
      <c r="B1563">
        <f>[1]资金台帐!B1563&amp;""</f>
      </c>
      <c r="H1563">
        <f>[1]资金台帐!H1563&amp;""</f>
      </c>
      <c r="J1563">
        <f>[1]资金台帐!J1563&amp;""</f>
      </c>
      <c r="N1563">
        <f>[1]资金台帐!N1563</f>
      </c>
      <c r="O1563">
        <f>[1]资金台帐!O1563&amp;""</f>
      </c>
      <c r="P1563">
        <f>[1]资金台帐!P1563&amp;""</f>
      </c>
      <c r="Q1563">
        <f>[1]资金台帐!Q1563&amp;""</f>
      </c>
      <c r="T1563">
        <f>[1]资金台帐!T1563&amp;""</f>
      </c>
      <c r="U1563">
        <f>[1]资金台帐!U1563&amp;""</f>
      </c>
      <c r="W1563">
        <f>[1]资金台帐!W1563&amp;""</f>
      </c>
      <c r="X1563">
        <f>[1]资金台帐!X1563&amp;""</f>
      </c>
      <c r="AB1563">
        <f>[1]资金台帐!AB1563</f>
        <v>0</v>
      </c>
      <c r="AC1563">
        <f>[1]资金台帐!AC1563</f>
        <v>0</v>
      </c>
      <c r="AD1563">
        <f>[1]资金台帐!AD1563</f>
        <v>0</v>
      </c>
      <c r="AJ1563">
        <f>[1]资金台帐!AJ1563</f>
        <v>0</v>
      </c>
      <c r="AK1563">
        <f>[1]资金台帐!AK1563</f>
        <v>0</v>
      </c>
      <c r="BA1563" s="22">
        <f t="shared" si="0"/>
      </c>
      <c r="BG1563" s="22">
        <f t="shared" si="1"/>
      </c>
      <c r="BH1563" s="22">
        <f t="shared" si="2"/>
        <v>0</v>
      </c>
    </row>
    <row r="1564">
      <c r="B1564">
        <f>[1]资金台帐!B1564&amp;""</f>
      </c>
      <c r="H1564">
        <f>[1]资金台帐!H1564&amp;""</f>
      </c>
      <c r="J1564">
        <f>[1]资金台帐!J1564&amp;""</f>
      </c>
      <c r="N1564">
        <f>[1]资金台帐!N1564</f>
      </c>
      <c r="O1564">
        <f>[1]资金台帐!O1564&amp;""</f>
      </c>
      <c r="P1564">
        <f>[1]资金台帐!P1564&amp;""</f>
      </c>
      <c r="Q1564">
        <f>[1]资金台帐!Q1564&amp;""</f>
      </c>
      <c r="T1564">
        <f>[1]资金台帐!T1564&amp;""</f>
      </c>
      <c r="U1564">
        <f>[1]资金台帐!U1564&amp;""</f>
      </c>
      <c r="W1564">
        <f>[1]资金台帐!W1564&amp;""</f>
      </c>
      <c r="X1564">
        <f>[1]资金台帐!X1564&amp;""</f>
      </c>
      <c r="AB1564">
        <f>[1]资金台帐!AB1564</f>
        <v>0</v>
      </c>
      <c r="AC1564">
        <f>[1]资金台帐!AC1564</f>
        <v>0</v>
      </c>
      <c r="AD1564">
        <f>[1]资金台帐!AD1564</f>
        <v>0</v>
      </c>
      <c r="AJ1564">
        <f>[1]资金台帐!AJ1564</f>
        <v>0</v>
      </c>
      <c r="AK1564">
        <f>[1]资金台帐!AK1564</f>
        <v>0</v>
      </c>
      <c r="BA1564" s="22">
        <f t="shared" si="0"/>
      </c>
      <c r="BG1564" s="22">
        <f t="shared" si="1"/>
      </c>
      <c r="BH1564" s="22">
        <f t="shared" si="2"/>
        <v>0</v>
      </c>
    </row>
    <row r="1565">
      <c r="B1565">
        <f>[1]资金台帐!B1565&amp;""</f>
      </c>
      <c r="H1565">
        <f>[1]资金台帐!H1565&amp;""</f>
      </c>
      <c r="J1565">
        <f>[1]资金台帐!J1565&amp;""</f>
      </c>
      <c r="N1565">
        <f>[1]资金台帐!N1565</f>
      </c>
      <c r="O1565">
        <f>[1]资金台帐!O1565&amp;""</f>
      </c>
      <c r="P1565">
        <f>[1]资金台帐!P1565&amp;""</f>
      </c>
      <c r="Q1565">
        <f>[1]资金台帐!Q1565&amp;""</f>
      </c>
      <c r="T1565">
        <f>[1]资金台帐!T1565&amp;""</f>
      </c>
      <c r="U1565">
        <f>[1]资金台帐!U1565&amp;""</f>
      </c>
      <c r="W1565">
        <f>[1]资金台帐!W1565&amp;""</f>
      </c>
      <c r="X1565">
        <f>[1]资金台帐!X1565&amp;""</f>
      </c>
      <c r="AB1565">
        <f>[1]资金台帐!AB1565</f>
        <v>0</v>
      </c>
      <c r="AC1565">
        <f>[1]资金台帐!AC1565</f>
        <v>0</v>
      </c>
      <c r="AD1565">
        <f>[1]资金台帐!AD1565</f>
        <v>0</v>
      </c>
      <c r="AJ1565">
        <f>[1]资金台帐!AJ1565</f>
        <v>0</v>
      </c>
      <c r="AK1565">
        <f>[1]资金台帐!AK1565</f>
        <v>0</v>
      </c>
      <c r="BA1565" s="22">
        <f t="shared" si="0"/>
      </c>
      <c r="BG1565" s="22">
        <f t="shared" si="1"/>
      </c>
      <c r="BH1565" s="22">
        <f t="shared" si="2"/>
        <v>0</v>
      </c>
    </row>
    <row r="1566">
      <c r="B1566">
        <f>[1]资金台帐!B1566&amp;""</f>
      </c>
      <c r="H1566">
        <f>[1]资金台帐!H1566&amp;""</f>
      </c>
      <c r="J1566">
        <f>[1]资金台帐!J1566&amp;""</f>
      </c>
      <c r="N1566">
        <f>[1]资金台帐!N1566</f>
      </c>
      <c r="O1566">
        <f>[1]资金台帐!O1566&amp;""</f>
      </c>
      <c r="P1566">
        <f>[1]资金台帐!P1566&amp;""</f>
      </c>
      <c r="Q1566">
        <f>[1]资金台帐!Q1566&amp;""</f>
      </c>
      <c r="T1566">
        <f>[1]资金台帐!T1566&amp;""</f>
      </c>
      <c r="U1566">
        <f>[1]资金台帐!U1566&amp;""</f>
      </c>
      <c r="W1566">
        <f>[1]资金台帐!W1566&amp;""</f>
      </c>
      <c r="X1566">
        <f>[1]资金台帐!X1566&amp;""</f>
      </c>
      <c r="AB1566">
        <f>[1]资金台帐!AB1566</f>
        <v>0</v>
      </c>
      <c r="AC1566">
        <f>[1]资金台帐!AC1566</f>
        <v>0</v>
      </c>
      <c r="AD1566">
        <f>[1]资金台帐!AD1566</f>
        <v>0</v>
      </c>
      <c r="AJ1566">
        <f>[1]资金台帐!AJ1566</f>
        <v>0</v>
      </c>
      <c r="AK1566">
        <f>[1]资金台帐!AK1566</f>
        <v>0</v>
      </c>
      <c r="BA1566" s="22">
        <f t="shared" si="0"/>
      </c>
      <c r="BG1566" s="22">
        <f t="shared" si="1"/>
      </c>
      <c r="BH1566" s="22">
        <f t="shared" si="2"/>
        <v>0</v>
      </c>
    </row>
    <row r="1567">
      <c r="B1567">
        <f>[1]资金台帐!B1567&amp;""</f>
      </c>
      <c r="H1567">
        <f>[1]资金台帐!H1567&amp;""</f>
      </c>
      <c r="J1567">
        <f>[1]资金台帐!J1567&amp;""</f>
      </c>
      <c r="N1567">
        <f>[1]资金台帐!N1567</f>
      </c>
      <c r="O1567">
        <f>[1]资金台帐!O1567&amp;""</f>
      </c>
      <c r="P1567">
        <f>[1]资金台帐!P1567&amp;""</f>
      </c>
      <c r="Q1567">
        <f>[1]资金台帐!Q1567&amp;""</f>
      </c>
      <c r="T1567">
        <f>[1]资金台帐!T1567&amp;""</f>
      </c>
      <c r="U1567">
        <f>[1]资金台帐!U1567&amp;""</f>
      </c>
      <c r="W1567">
        <f>[1]资金台帐!W1567&amp;""</f>
      </c>
      <c r="X1567">
        <f>[1]资金台帐!X1567&amp;""</f>
      </c>
      <c r="AB1567">
        <f>[1]资金台帐!AB1567</f>
        <v>0</v>
      </c>
      <c r="AC1567">
        <f>[1]资金台帐!AC1567</f>
        <v>0</v>
      </c>
      <c r="AD1567">
        <f>[1]资金台帐!AD1567</f>
        <v>0</v>
      </c>
      <c r="AJ1567">
        <f>[1]资金台帐!AJ1567</f>
        <v>0</v>
      </c>
      <c r="AK1567">
        <f>[1]资金台帐!AK1567</f>
        <v>0</v>
      </c>
      <c r="BA1567" s="22">
        <f t="shared" si="0"/>
      </c>
      <c r="BG1567" s="22">
        <f t="shared" si="1"/>
      </c>
      <c r="BH1567" s="22">
        <f t="shared" si="2"/>
        <v>0</v>
      </c>
    </row>
    <row r="1568">
      <c r="B1568">
        <f>[1]资金台帐!B1568&amp;""</f>
      </c>
      <c r="H1568">
        <f>[1]资金台帐!H1568&amp;""</f>
      </c>
      <c r="J1568">
        <f>[1]资金台帐!J1568&amp;""</f>
      </c>
      <c r="N1568">
        <f>[1]资金台帐!N1568</f>
      </c>
      <c r="O1568">
        <f>[1]资金台帐!O1568&amp;""</f>
      </c>
      <c r="P1568">
        <f>[1]资金台帐!P1568&amp;""</f>
      </c>
      <c r="Q1568">
        <f>[1]资金台帐!Q1568&amp;""</f>
      </c>
      <c r="T1568">
        <f>[1]资金台帐!T1568&amp;""</f>
      </c>
      <c r="U1568">
        <f>[1]资金台帐!U1568&amp;""</f>
      </c>
      <c r="W1568">
        <f>[1]资金台帐!W1568&amp;""</f>
      </c>
      <c r="X1568">
        <f>[1]资金台帐!X1568&amp;""</f>
      </c>
      <c r="AB1568">
        <f>[1]资金台帐!AB1568</f>
        <v>0</v>
      </c>
      <c r="AC1568">
        <f>[1]资金台帐!AC1568</f>
        <v>0</v>
      </c>
      <c r="AD1568">
        <f>[1]资金台帐!AD1568</f>
        <v>0</v>
      </c>
      <c r="AJ1568">
        <f>[1]资金台帐!AJ1568</f>
        <v>0</v>
      </c>
      <c r="AK1568">
        <f>[1]资金台帐!AK1568</f>
        <v>0</v>
      </c>
      <c r="BA1568" s="22">
        <f t="shared" si="0"/>
      </c>
      <c r="BG1568" s="22">
        <f t="shared" si="1"/>
      </c>
      <c r="BH1568" s="22">
        <f t="shared" si="2"/>
        <v>0</v>
      </c>
    </row>
    <row r="1569">
      <c r="B1569">
        <f>[1]资金台帐!B1569&amp;""</f>
      </c>
      <c r="H1569">
        <f>[1]资金台帐!H1569&amp;""</f>
      </c>
      <c r="J1569">
        <f>[1]资金台帐!J1569&amp;""</f>
      </c>
      <c r="N1569">
        <f>[1]资金台帐!N1569</f>
      </c>
      <c r="O1569">
        <f>[1]资金台帐!O1569&amp;""</f>
      </c>
      <c r="P1569">
        <f>[1]资金台帐!P1569&amp;""</f>
      </c>
      <c r="Q1569">
        <f>[1]资金台帐!Q1569&amp;""</f>
      </c>
      <c r="T1569">
        <f>[1]资金台帐!T1569&amp;""</f>
      </c>
      <c r="U1569">
        <f>[1]资金台帐!U1569&amp;""</f>
      </c>
      <c r="W1569">
        <f>[1]资金台帐!W1569&amp;""</f>
      </c>
      <c r="X1569">
        <f>[1]资金台帐!X1569&amp;""</f>
      </c>
      <c r="AB1569">
        <f>[1]资金台帐!AB1569</f>
        <v>0</v>
      </c>
      <c r="AC1569">
        <f>[1]资金台帐!AC1569</f>
        <v>0</v>
      </c>
      <c r="AD1569">
        <f>[1]资金台帐!AD1569</f>
        <v>0</v>
      </c>
      <c r="AJ1569">
        <f>[1]资金台帐!AJ1569</f>
        <v>0</v>
      </c>
      <c r="AK1569">
        <f>[1]资金台帐!AK1569</f>
        <v>0</v>
      </c>
      <c r="BA1569" s="22">
        <f t="shared" si="0"/>
      </c>
      <c r="BG1569" s="22">
        <f t="shared" si="1"/>
      </c>
      <c r="BH1569" s="22">
        <f t="shared" si="2"/>
        <v>0</v>
      </c>
    </row>
    <row r="1570">
      <c r="B1570">
        <f>[1]资金台帐!B1570&amp;""</f>
      </c>
      <c r="H1570">
        <f>[1]资金台帐!H1570&amp;""</f>
      </c>
      <c r="J1570">
        <f>[1]资金台帐!J1570&amp;""</f>
      </c>
      <c r="N1570">
        <f>[1]资金台帐!N1570</f>
      </c>
      <c r="O1570">
        <f>[1]资金台帐!O1570&amp;""</f>
      </c>
      <c r="P1570">
        <f>[1]资金台帐!P1570&amp;""</f>
      </c>
      <c r="Q1570">
        <f>[1]资金台帐!Q1570&amp;""</f>
      </c>
      <c r="T1570">
        <f>[1]资金台帐!T1570&amp;""</f>
      </c>
      <c r="U1570">
        <f>[1]资金台帐!U1570&amp;""</f>
      </c>
      <c r="W1570">
        <f>[1]资金台帐!W1570&amp;""</f>
      </c>
      <c r="X1570">
        <f>[1]资金台帐!X1570&amp;""</f>
      </c>
      <c r="AB1570">
        <f>[1]资金台帐!AB1570</f>
        <v>0</v>
      </c>
      <c r="AC1570">
        <f>[1]资金台帐!AC1570</f>
        <v>0</v>
      </c>
      <c r="AD1570">
        <f>[1]资金台帐!AD1570</f>
        <v>0</v>
      </c>
      <c r="AJ1570">
        <f>[1]资金台帐!AJ1570</f>
        <v>0</v>
      </c>
      <c r="AK1570">
        <f>[1]资金台帐!AK1570</f>
        <v>0</v>
      </c>
      <c r="BA1570" s="22">
        <f t="shared" si="0"/>
      </c>
      <c r="BG1570" s="22">
        <f t="shared" si="1"/>
      </c>
      <c r="BH1570" s="22">
        <f t="shared" si="2"/>
        <v>0</v>
      </c>
    </row>
    <row r="1571">
      <c r="B1571">
        <f>[1]资金台帐!B1571&amp;""</f>
      </c>
      <c r="H1571">
        <f>[1]资金台帐!H1571&amp;""</f>
      </c>
      <c r="J1571">
        <f>[1]资金台帐!J1571&amp;""</f>
      </c>
      <c r="N1571">
        <f>[1]资金台帐!N1571</f>
      </c>
      <c r="O1571">
        <f>[1]资金台帐!O1571&amp;""</f>
      </c>
      <c r="P1571">
        <f>[1]资金台帐!P1571&amp;""</f>
      </c>
      <c r="Q1571">
        <f>[1]资金台帐!Q1571&amp;""</f>
      </c>
      <c r="T1571">
        <f>[1]资金台帐!T1571&amp;""</f>
      </c>
      <c r="U1571">
        <f>[1]资金台帐!U1571&amp;""</f>
      </c>
      <c r="W1571">
        <f>[1]资金台帐!W1571&amp;""</f>
      </c>
      <c r="X1571">
        <f>[1]资金台帐!X1571&amp;""</f>
      </c>
      <c r="AB1571">
        <f>[1]资金台帐!AB1571</f>
        <v>0</v>
      </c>
      <c r="AC1571">
        <f>[1]资金台帐!AC1571</f>
        <v>0</v>
      </c>
      <c r="AD1571">
        <f>[1]资金台帐!AD1571</f>
        <v>0</v>
      </c>
      <c r="AJ1571">
        <f>[1]资金台帐!AJ1571</f>
        <v>0</v>
      </c>
      <c r="AK1571">
        <f>[1]资金台帐!AK1571</f>
        <v>0</v>
      </c>
      <c r="BA1571" s="22">
        <f t="shared" si="0"/>
      </c>
      <c r="BG1571" s="22">
        <f t="shared" si="1"/>
      </c>
      <c r="BH1571" s="22">
        <f t="shared" si="2"/>
        <v>0</v>
      </c>
    </row>
    <row r="1572">
      <c r="B1572">
        <f>[1]资金台帐!B1572&amp;""</f>
      </c>
      <c r="H1572">
        <f>[1]资金台帐!H1572&amp;""</f>
      </c>
      <c r="J1572">
        <f>[1]资金台帐!J1572&amp;""</f>
      </c>
      <c r="N1572">
        <f>[1]资金台帐!N1572</f>
      </c>
      <c r="O1572">
        <f>[1]资金台帐!O1572&amp;""</f>
      </c>
      <c r="P1572">
        <f>[1]资金台帐!P1572&amp;""</f>
      </c>
      <c r="Q1572">
        <f>[1]资金台帐!Q1572&amp;""</f>
      </c>
      <c r="T1572">
        <f>[1]资金台帐!T1572&amp;""</f>
      </c>
      <c r="U1572">
        <f>[1]资金台帐!U1572&amp;""</f>
      </c>
      <c r="W1572">
        <f>[1]资金台帐!W1572&amp;""</f>
      </c>
      <c r="X1572">
        <f>[1]资金台帐!X1572&amp;""</f>
      </c>
      <c r="AB1572">
        <f>[1]资金台帐!AB1572</f>
        <v>0</v>
      </c>
      <c r="AC1572">
        <f>[1]资金台帐!AC1572</f>
        <v>0</v>
      </c>
      <c r="AD1572">
        <f>[1]资金台帐!AD1572</f>
        <v>0</v>
      </c>
      <c r="AJ1572">
        <f>[1]资金台帐!AJ1572</f>
        <v>0</v>
      </c>
      <c r="AK1572">
        <f>[1]资金台帐!AK1572</f>
        <v>0</v>
      </c>
      <c r="BA1572" s="22">
        <f t="shared" si="0"/>
      </c>
      <c r="BG1572" s="22">
        <f t="shared" si="1"/>
      </c>
      <c r="BH1572" s="22">
        <f t="shared" si="2"/>
        <v>0</v>
      </c>
    </row>
    <row r="1573">
      <c r="B1573">
        <f>[1]资金台帐!B1573&amp;""</f>
      </c>
      <c r="H1573">
        <f>[1]资金台帐!H1573&amp;""</f>
      </c>
      <c r="J1573">
        <f>[1]资金台帐!J1573&amp;""</f>
      </c>
      <c r="N1573">
        <f>[1]资金台帐!N1573</f>
      </c>
      <c r="O1573">
        <f>[1]资金台帐!O1573&amp;""</f>
      </c>
      <c r="P1573">
        <f>[1]资金台帐!P1573&amp;""</f>
      </c>
      <c r="Q1573">
        <f>[1]资金台帐!Q1573&amp;""</f>
      </c>
      <c r="T1573">
        <f>[1]资金台帐!T1573&amp;""</f>
      </c>
      <c r="U1573">
        <f>[1]资金台帐!U1573&amp;""</f>
      </c>
      <c r="W1573">
        <f>[1]资金台帐!W1573&amp;""</f>
      </c>
      <c r="X1573">
        <f>[1]资金台帐!X1573&amp;""</f>
      </c>
      <c r="AB1573">
        <f>[1]资金台帐!AB1573</f>
        <v>0</v>
      </c>
      <c r="AC1573">
        <f>[1]资金台帐!AC1573</f>
        <v>0</v>
      </c>
      <c r="AD1573">
        <f>[1]资金台帐!AD1573</f>
        <v>0</v>
      </c>
      <c r="AJ1573">
        <f>[1]资金台帐!AJ1573</f>
        <v>0</v>
      </c>
      <c r="AK1573">
        <f>[1]资金台帐!AK1573</f>
        <v>0</v>
      </c>
      <c r="BA1573" s="22">
        <f t="shared" si="0"/>
      </c>
      <c r="BG1573" s="22">
        <f t="shared" si="1"/>
      </c>
      <c r="BH1573" s="22">
        <f t="shared" si="2"/>
        <v>0</v>
      </c>
    </row>
    <row r="1574">
      <c r="B1574">
        <f>[1]资金台帐!B1574&amp;""</f>
      </c>
      <c r="H1574">
        <f>[1]资金台帐!H1574&amp;""</f>
      </c>
      <c r="J1574">
        <f>[1]资金台帐!J1574&amp;""</f>
      </c>
      <c r="N1574">
        <f>[1]资金台帐!N1574</f>
      </c>
      <c r="O1574">
        <f>[1]资金台帐!O1574&amp;""</f>
      </c>
      <c r="P1574">
        <f>[1]资金台帐!P1574&amp;""</f>
      </c>
      <c r="Q1574">
        <f>[1]资金台帐!Q1574&amp;""</f>
      </c>
      <c r="T1574">
        <f>[1]资金台帐!T1574&amp;""</f>
      </c>
      <c r="U1574">
        <f>[1]资金台帐!U1574&amp;""</f>
      </c>
      <c r="W1574">
        <f>[1]资金台帐!W1574&amp;""</f>
      </c>
      <c r="X1574">
        <f>[1]资金台帐!X1574&amp;""</f>
      </c>
      <c r="AB1574">
        <f>[1]资金台帐!AB1574</f>
        <v>0</v>
      </c>
      <c r="AC1574">
        <f>[1]资金台帐!AC1574</f>
        <v>0</v>
      </c>
      <c r="AD1574">
        <f>[1]资金台帐!AD1574</f>
        <v>0</v>
      </c>
      <c r="AJ1574">
        <f>[1]资金台帐!AJ1574</f>
        <v>0</v>
      </c>
      <c r="AK1574">
        <f>[1]资金台帐!AK1574</f>
        <v>0</v>
      </c>
      <c r="BA1574" s="22">
        <f t="shared" si="0"/>
      </c>
      <c r="BG1574" s="22">
        <f t="shared" si="1"/>
      </c>
      <c r="BH1574" s="22">
        <f t="shared" si="2"/>
        <v>0</v>
      </c>
    </row>
    <row r="1575">
      <c r="B1575">
        <f>[1]资金台帐!B1575&amp;""</f>
      </c>
      <c r="H1575">
        <f>[1]资金台帐!H1575&amp;""</f>
      </c>
      <c r="J1575">
        <f>[1]资金台帐!J1575&amp;""</f>
      </c>
      <c r="N1575">
        <f>[1]资金台帐!N1575</f>
      </c>
      <c r="O1575">
        <f>[1]资金台帐!O1575&amp;""</f>
      </c>
      <c r="P1575">
        <f>[1]资金台帐!P1575&amp;""</f>
      </c>
      <c r="Q1575">
        <f>[1]资金台帐!Q1575&amp;""</f>
      </c>
      <c r="T1575">
        <f>[1]资金台帐!T1575&amp;""</f>
      </c>
      <c r="U1575">
        <f>[1]资金台帐!U1575&amp;""</f>
      </c>
      <c r="W1575">
        <f>[1]资金台帐!W1575&amp;""</f>
      </c>
      <c r="X1575">
        <f>[1]资金台帐!X1575&amp;""</f>
      </c>
      <c r="AB1575">
        <f>[1]资金台帐!AB1575</f>
        <v>0</v>
      </c>
      <c r="AC1575">
        <f>[1]资金台帐!AC1575</f>
        <v>0</v>
      </c>
      <c r="AD1575">
        <f>[1]资金台帐!AD1575</f>
        <v>0</v>
      </c>
      <c r="AJ1575">
        <f>[1]资金台帐!AJ1575</f>
        <v>0</v>
      </c>
      <c r="AK1575">
        <f>[1]资金台帐!AK1575</f>
        <v>0</v>
      </c>
      <c r="BA1575" s="22">
        <f t="shared" si="0"/>
      </c>
      <c r="BG1575" s="22">
        <f t="shared" si="1"/>
      </c>
      <c r="BH1575" s="22">
        <f t="shared" si="2"/>
        <v>0</v>
      </c>
    </row>
    <row r="1576">
      <c r="B1576">
        <f>[1]资金台帐!B1576&amp;""</f>
      </c>
      <c r="H1576">
        <f>[1]资金台帐!H1576&amp;""</f>
      </c>
      <c r="J1576">
        <f>[1]资金台帐!J1576&amp;""</f>
      </c>
      <c r="N1576">
        <f>[1]资金台帐!N1576</f>
      </c>
      <c r="O1576">
        <f>[1]资金台帐!O1576&amp;""</f>
      </c>
      <c r="P1576">
        <f>[1]资金台帐!P1576&amp;""</f>
      </c>
      <c r="Q1576">
        <f>[1]资金台帐!Q1576&amp;""</f>
      </c>
      <c r="T1576">
        <f>[1]资金台帐!T1576&amp;""</f>
      </c>
      <c r="U1576">
        <f>[1]资金台帐!U1576&amp;""</f>
      </c>
      <c r="W1576">
        <f>[1]资金台帐!W1576&amp;""</f>
      </c>
      <c r="X1576">
        <f>[1]资金台帐!X1576&amp;""</f>
      </c>
      <c r="AB1576">
        <f>[1]资金台帐!AB1576</f>
        <v>0</v>
      </c>
      <c r="AC1576">
        <f>[1]资金台帐!AC1576</f>
        <v>0</v>
      </c>
      <c r="AD1576">
        <f>[1]资金台帐!AD1576</f>
        <v>0</v>
      </c>
      <c r="AJ1576">
        <f>[1]资金台帐!AJ1576</f>
        <v>0</v>
      </c>
      <c r="AK1576">
        <f>[1]资金台帐!AK1576</f>
        <v>0</v>
      </c>
      <c r="BA1576" s="22">
        <f t="shared" si="0"/>
      </c>
      <c r="BG1576" s="22">
        <f t="shared" si="1"/>
      </c>
      <c r="BH1576" s="22">
        <f t="shared" si="2"/>
        <v>0</v>
      </c>
    </row>
    <row r="1577">
      <c r="B1577">
        <f>[1]资金台帐!B1577&amp;""</f>
      </c>
      <c r="H1577">
        <f>[1]资金台帐!H1577&amp;""</f>
      </c>
      <c r="J1577">
        <f>[1]资金台帐!J1577&amp;""</f>
      </c>
      <c r="N1577">
        <f>[1]资金台帐!N1577</f>
      </c>
      <c r="O1577">
        <f>[1]资金台帐!O1577&amp;""</f>
      </c>
      <c r="P1577">
        <f>[1]资金台帐!P1577&amp;""</f>
      </c>
      <c r="Q1577">
        <f>[1]资金台帐!Q1577&amp;""</f>
      </c>
      <c r="T1577">
        <f>[1]资金台帐!T1577&amp;""</f>
      </c>
      <c r="U1577">
        <f>[1]资金台帐!U1577&amp;""</f>
      </c>
      <c r="W1577">
        <f>[1]资金台帐!W1577&amp;""</f>
      </c>
      <c r="X1577">
        <f>[1]资金台帐!X1577&amp;""</f>
      </c>
      <c r="AB1577">
        <f>[1]资金台帐!AB1577</f>
        <v>0</v>
      </c>
      <c r="AC1577">
        <f>[1]资金台帐!AC1577</f>
        <v>0</v>
      </c>
      <c r="AD1577">
        <f>[1]资金台帐!AD1577</f>
        <v>0</v>
      </c>
      <c r="AJ1577">
        <f>[1]资金台帐!AJ1577</f>
        <v>0</v>
      </c>
      <c r="AK1577">
        <f>[1]资金台帐!AK1577</f>
        <v>0</v>
      </c>
      <c r="BA1577" s="22">
        <f t="shared" si="0"/>
      </c>
      <c r="BG1577" s="22">
        <f t="shared" si="1"/>
      </c>
      <c r="BH1577" s="22">
        <f t="shared" si="2"/>
        <v>0</v>
      </c>
    </row>
    <row r="1578">
      <c r="B1578">
        <f>[1]资金台帐!B1578&amp;""</f>
      </c>
      <c r="H1578">
        <f>[1]资金台帐!H1578&amp;""</f>
      </c>
      <c r="J1578">
        <f>[1]资金台帐!J1578&amp;""</f>
      </c>
      <c r="N1578">
        <f>[1]资金台帐!N1578</f>
      </c>
      <c r="O1578">
        <f>[1]资金台帐!O1578&amp;""</f>
      </c>
      <c r="P1578">
        <f>[1]资金台帐!P1578&amp;""</f>
      </c>
      <c r="Q1578">
        <f>[1]资金台帐!Q1578&amp;""</f>
      </c>
      <c r="T1578">
        <f>[1]资金台帐!T1578&amp;""</f>
      </c>
      <c r="U1578">
        <f>[1]资金台帐!U1578&amp;""</f>
      </c>
      <c r="W1578">
        <f>[1]资金台帐!W1578&amp;""</f>
      </c>
      <c r="X1578">
        <f>[1]资金台帐!X1578&amp;""</f>
      </c>
      <c r="AB1578">
        <f>[1]资金台帐!AB1578</f>
        <v>0</v>
      </c>
      <c r="AC1578">
        <f>[1]资金台帐!AC1578</f>
        <v>0</v>
      </c>
      <c r="AD1578">
        <f>[1]资金台帐!AD1578</f>
        <v>0</v>
      </c>
      <c r="AJ1578">
        <f>[1]资金台帐!AJ1578</f>
        <v>0</v>
      </c>
      <c r="AK1578">
        <f>[1]资金台帐!AK1578</f>
        <v>0</v>
      </c>
      <c r="BA1578" s="22">
        <f t="shared" si="0"/>
      </c>
      <c r="BG1578" s="22">
        <f t="shared" si="1"/>
      </c>
      <c r="BH1578" s="22">
        <f t="shared" si="2"/>
        <v>0</v>
      </c>
    </row>
    <row r="1579">
      <c r="B1579">
        <f>[1]资金台帐!B1579&amp;""</f>
      </c>
      <c r="H1579">
        <f>[1]资金台帐!H1579&amp;""</f>
      </c>
      <c r="J1579">
        <f>[1]资金台帐!J1579&amp;""</f>
      </c>
      <c r="N1579">
        <f>[1]资金台帐!N1579</f>
      </c>
      <c r="O1579">
        <f>[1]资金台帐!O1579&amp;""</f>
      </c>
      <c r="P1579">
        <f>[1]资金台帐!P1579&amp;""</f>
      </c>
      <c r="Q1579">
        <f>[1]资金台帐!Q1579&amp;""</f>
      </c>
      <c r="T1579">
        <f>[1]资金台帐!T1579&amp;""</f>
      </c>
      <c r="U1579">
        <f>[1]资金台帐!U1579&amp;""</f>
      </c>
      <c r="W1579">
        <f>[1]资金台帐!W1579&amp;""</f>
      </c>
      <c r="X1579">
        <f>[1]资金台帐!X1579&amp;""</f>
      </c>
      <c r="AB1579">
        <f>[1]资金台帐!AB1579</f>
        <v>0</v>
      </c>
      <c r="AC1579">
        <f>[1]资金台帐!AC1579</f>
        <v>0</v>
      </c>
      <c r="AD1579">
        <f>[1]资金台帐!AD1579</f>
        <v>0</v>
      </c>
      <c r="AJ1579">
        <f>[1]资金台帐!AJ1579</f>
        <v>0</v>
      </c>
      <c r="AK1579">
        <f>[1]资金台帐!AK1579</f>
        <v>0</v>
      </c>
      <c r="BA1579" s="22">
        <f t="shared" si="0"/>
      </c>
      <c r="BG1579" s="22">
        <f t="shared" si="1"/>
      </c>
      <c r="BH1579" s="22">
        <f t="shared" si="2"/>
        <v>0</v>
      </c>
    </row>
    <row r="1580">
      <c r="B1580">
        <f>[1]资金台帐!B1580&amp;""</f>
      </c>
      <c r="H1580">
        <f>[1]资金台帐!H1580&amp;""</f>
      </c>
      <c r="J1580">
        <f>[1]资金台帐!J1580&amp;""</f>
      </c>
      <c r="N1580">
        <f>[1]资金台帐!N1580</f>
      </c>
      <c r="O1580">
        <f>[1]资金台帐!O1580&amp;""</f>
      </c>
      <c r="P1580">
        <f>[1]资金台帐!P1580&amp;""</f>
      </c>
      <c r="Q1580">
        <f>[1]资金台帐!Q1580&amp;""</f>
      </c>
      <c r="T1580">
        <f>[1]资金台帐!T1580&amp;""</f>
      </c>
      <c r="U1580">
        <f>[1]资金台帐!U1580&amp;""</f>
      </c>
      <c r="W1580">
        <f>[1]资金台帐!W1580&amp;""</f>
      </c>
      <c r="X1580">
        <f>[1]资金台帐!X1580&amp;""</f>
      </c>
      <c r="AB1580">
        <f>[1]资金台帐!AB1580</f>
        <v>0</v>
      </c>
      <c r="AC1580">
        <f>[1]资金台帐!AC1580</f>
        <v>0</v>
      </c>
      <c r="AD1580">
        <f>[1]资金台帐!AD1580</f>
        <v>0</v>
      </c>
      <c r="AJ1580">
        <f>[1]资金台帐!AJ1580</f>
        <v>0</v>
      </c>
      <c r="AK1580">
        <f>[1]资金台帐!AK1580</f>
        <v>0</v>
      </c>
      <c r="BA1580" s="22">
        <f t="shared" si="0"/>
      </c>
      <c r="BG1580" s="22">
        <f t="shared" si="1"/>
      </c>
      <c r="BH1580" s="22">
        <f t="shared" si="2"/>
        <v>0</v>
      </c>
    </row>
    <row r="1581">
      <c r="B1581">
        <f>[1]资金台帐!B1581&amp;""</f>
      </c>
      <c r="H1581">
        <f>[1]资金台帐!H1581&amp;""</f>
      </c>
      <c r="J1581">
        <f>[1]资金台帐!J1581&amp;""</f>
      </c>
      <c r="N1581">
        <f>[1]资金台帐!N1581</f>
      </c>
      <c r="O1581">
        <f>[1]资金台帐!O1581&amp;""</f>
      </c>
      <c r="P1581">
        <f>[1]资金台帐!P1581&amp;""</f>
      </c>
      <c r="Q1581">
        <f>[1]资金台帐!Q1581&amp;""</f>
      </c>
      <c r="T1581">
        <f>[1]资金台帐!T1581&amp;""</f>
      </c>
      <c r="U1581">
        <f>[1]资金台帐!U1581&amp;""</f>
      </c>
      <c r="W1581">
        <f>[1]资金台帐!W1581&amp;""</f>
      </c>
      <c r="X1581">
        <f>[1]资金台帐!X1581&amp;""</f>
      </c>
      <c r="AB1581">
        <f>[1]资金台帐!AB1581</f>
        <v>0</v>
      </c>
      <c r="AC1581">
        <f>[1]资金台帐!AC1581</f>
        <v>0</v>
      </c>
      <c r="AD1581">
        <f>[1]资金台帐!AD1581</f>
        <v>0</v>
      </c>
      <c r="AJ1581">
        <f>[1]资金台帐!AJ1581</f>
        <v>0</v>
      </c>
      <c r="AK1581">
        <f>[1]资金台帐!AK1581</f>
        <v>0</v>
      </c>
      <c r="BA1581" s="22">
        <f t="shared" si="0"/>
      </c>
      <c r="BG1581" s="22">
        <f t="shared" si="1"/>
      </c>
      <c r="BH1581" s="22">
        <f t="shared" si="2"/>
        <v>0</v>
      </c>
    </row>
    <row r="1582">
      <c r="B1582">
        <f>[1]资金台帐!B1582&amp;""</f>
      </c>
      <c r="H1582">
        <f>[1]资金台帐!H1582&amp;""</f>
      </c>
      <c r="J1582">
        <f>[1]资金台帐!J1582&amp;""</f>
      </c>
      <c r="N1582">
        <f>[1]资金台帐!N1582</f>
      </c>
      <c r="O1582">
        <f>[1]资金台帐!O1582&amp;""</f>
      </c>
      <c r="P1582">
        <f>[1]资金台帐!P1582&amp;""</f>
      </c>
      <c r="Q1582">
        <f>[1]资金台帐!Q1582&amp;""</f>
      </c>
      <c r="T1582">
        <f>[1]资金台帐!T1582&amp;""</f>
      </c>
      <c r="U1582">
        <f>[1]资金台帐!U1582&amp;""</f>
      </c>
      <c r="W1582">
        <f>[1]资金台帐!W1582&amp;""</f>
      </c>
      <c r="X1582">
        <f>[1]资金台帐!X1582&amp;""</f>
      </c>
      <c r="AB1582">
        <f>[1]资金台帐!AB1582</f>
        <v>0</v>
      </c>
      <c r="AC1582">
        <f>[1]资金台帐!AC1582</f>
        <v>0</v>
      </c>
      <c r="AD1582">
        <f>[1]资金台帐!AD1582</f>
        <v>0</v>
      </c>
      <c r="AJ1582">
        <f>[1]资金台帐!AJ1582</f>
        <v>0</v>
      </c>
      <c r="AK1582">
        <f>[1]资金台帐!AK1582</f>
        <v>0</v>
      </c>
      <c r="BA1582" s="22">
        <f t="shared" si="0"/>
      </c>
      <c r="BG1582" s="22">
        <f t="shared" si="1"/>
      </c>
      <c r="BH1582" s="22">
        <f t="shared" si="2"/>
        <v>0</v>
      </c>
    </row>
    <row r="1583">
      <c r="B1583">
        <f>[1]资金台帐!B1583&amp;""</f>
      </c>
      <c r="H1583">
        <f>[1]资金台帐!H1583&amp;""</f>
      </c>
      <c r="J1583">
        <f>[1]资金台帐!J1583&amp;""</f>
      </c>
      <c r="N1583">
        <f>[1]资金台帐!N1583</f>
      </c>
      <c r="O1583">
        <f>[1]资金台帐!O1583&amp;""</f>
      </c>
      <c r="P1583">
        <f>[1]资金台帐!P1583&amp;""</f>
      </c>
      <c r="Q1583">
        <f>[1]资金台帐!Q1583&amp;""</f>
      </c>
      <c r="T1583">
        <f>[1]资金台帐!T1583&amp;""</f>
      </c>
      <c r="U1583">
        <f>[1]资金台帐!U1583&amp;""</f>
      </c>
      <c r="W1583">
        <f>[1]资金台帐!W1583&amp;""</f>
      </c>
      <c r="X1583">
        <f>[1]资金台帐!X1583&amp;""</f>
      </c>
      <c r="AB1583">
        <f>[1]资金台帐!AB1583</f>
        <v>0</v>
      </c>
      <c r="AC1583">
        <f>[1]资金台帐!AC1583</f>
        <v>0</v>
      </c>
      <c r="AD1583">
        <f>[1]资金台帐!AD1583</f>
        <v>0</v>
      </c>
      <c r="AJ1583">
        <f>[1]资金台帐!AJ1583</f>
        <v>0</v>
      </c>
      <c r="AK1583">
        <f>[1]资金台帐!AK1583</f>
        <v>0</v>
      </c>
      <c r="BA1583" s="22">
        <f t="shared" si="0"/>
      </c>
      <c r="BG1583" s="22">
        <f t="shared" si="1"/>
      </c>
      <c r="BH1583" s="22">
        <f t="shared" si="2"/>
        <v>0</v>
      </c>
    </row>
    <row r="1584">
      <c r="B1584">
        <f>[1]资金台帐!B1584&amp;""</f>
      </c>
      <c r="H1584">
        <f>[1]资金台帐!H1584&amp;""</f>
      </c>
      <c r="J1584">
        <f>[1]资金台帐!J1584&amp;""</f>
      </c>
      <c r="N1584">
        <f>[1]资金台帐!N1584</f>
      </c>
      <c r="O1584">
        <f>[1]资金台帐!O1584&amp;""</f>
      </c>
      <c r="P1584">
        <f>[1]资金台帐!P1584&amp;""</f>
      </c>
      <c r="Q1584">
        <f>[1]资金台帐!Q1584&amp;""</f>
      </c>
      <c r="T1584">
        <f>[1]资金台帐!T1584&amp;""</f>
      </c>
      <c r="U1584">
        <f>[1]资金台帐!U1584&amp;""</f>
      </c>
      <c r="W1584">
        <f>[1]资金台帐!W1584&amp;""</f>
      </c>
      <c r="X1584">
        <f>[1]资金台帐!X1584&amp;""</f>
      </c>
      <c r="AB1584">
        <f>[1]资金台帐!AB1584</f>
        <v>0</v>
      </c>
      <c r="AC1584">
        <f>[1]资金台帐!AC1584</f>
        <v>0</v>
      </c>
      <c r="AD1584">
        <f>[1]资金台帐!AD1584</f>
        <v>0</v>
      </c>
      <c r="AJ1584">
        <f>[1]资金台帐!AJ1584</f>
        <v>0</v>
      </c>
      <c r="AK1584">
        <f>[1]资金台帐!AK1584</f>
        <v>0</v>
      </c>
      <c r="BA1584" s="22">
        <f t="shared" si="0"/>
      </c>
      <c r="BG1584" s="22">
        <f t="shared" si="1"/>
      </c>
      <c r="BH1584" s="22">
        <f t="shared" si="2"/>
        <v>0</v>
      </c>
    </row>
    <row r="1585">
      <c r="B1585">
        <f>[1]资金台帐!B1585&amp;""</f>
      </c>
      <c r="H1585">
        <f>[1]资金台帐!H1585&amp;""</f>
      </c>
      <c r="J1585">
        <f>[1]资金台帐!J1585&amp;""</f>
      </c>
      <c r="N1585">
        <f>[1]资金台帐!N1585</f>
      </c>
      <c r="O1585">
        <f>[1]资金台帐!O1585&amp;""</f>
      </c>
      <c r="P1585">
        <f>[1]资金台帐!P1585&amp;""</f>
      </c>
      <c r="Q1585">
        <f>[1]资金台帐!Q1585&amp;""</f>
      </c>
      <c r="T1585">
        <f>[1]资金台帐!T1585&amp;""</f>
      </c>
      <c r="U1585">
        <f>[1]资金台帐!U1585&amp;""</f>
      </c>
      <c r="W1585">
        <f>[1]资金台帐!W1585&amp;""</f>
      </c>
      <c r="X1585">
        <f>[1]资金台帐!X1585&amp;""</f>
      </c>
      <c r="AB1585">
        <f>[1]资金台帐!AB1585</f>
        <v>0</v>
      </c>
      <c r="AC1585">
        <f>[1]资金台帐!AC1585</f>
        <v>0</v>
      </c>
      <c r="AD1585">
        <f>[1]资金台帐!AD1585</f>
        <v>0</v>
      </c>
      <c r="AJ1585">
        <f>[1]资金台帐!AJ1585</f>
        <v>0</v>
      </c>
      <c r="AK1585">
        <f>[1]资金台帐!AK1585</f>
        <v>0</v>
      </c>
      <c r="BA1585" s="22">
        <f t="shared" si="0"/>
      </c>
      <c r="BG1585" s="22">
        <f t="shared" si="1"/>
      </c>
      <c r="BH1585" s="22">
        <f t="shared" si="2"/>
        <v>0</v>
      </c>
    </row>
    <row r="1586">
      <c r="B1586">
        <f>[1]资金台帐!B1586&amp;""</f>
      </c>
      <c r="H1586">
        <f>[1]资金台帐!H1586&amp;""</f>
      </c>
      <c r="J1586">
        <f>[1]资金台帐!J1586&amp;""</f>
      </c>
      <c r="N1586">
        <f>[1]资金台帐!N1586</f>
      </c>
      <c r="O1586">
        <f>[1]资金台帐!O1586&amp;""</f>
      </c>
      <c r="P1586">
        <f>[1]资金台帐!P1586&amp;""</f>
      </c>
      <c r="Q1586">
        <f>[1]资金台帐!Q1586&amp;""</f>
      </c>
      <c r="T1586">
        <f>[1]资金台帐!T1586&amp;""</f>
      </c>
      <c r="U1586">
        <f>[1]资金台帐!U1586&amp;""</f>
      </c>
      <c r="W1586">
        <f>[1]资金台帐!W1586&amp;""</f>
      </c>
      <c r="X1586">
        <f>[1]资金台帐!X1586&amp;""</f>
      </c>
      <c r="AB1586">
        <f>[1]资金台帐!AB1586</f>
        <v>0</v>
      </c>
      <c r="AC1586">
        <f>[1]资金台帐!AC1586</f>
        <v>0</v>
      </c>
      <c r="AD1586">
        <f>[1]资金台帐!AD1586</f>
        <v>0</v>
      </c>
      <c r="AJ1586">
        <f>[1]资金台帐!AJ1586</f>
        <v>0</v>
      </c>
      <c r="AK1586">
        <f>[1]资金台帐!AK1586</f>
        <v>0</v>
      </c>
      <c r="BA1586" s="22">
        <f t="shared" si="0"/>
      </c>
      <c r="BG1586" s="22">
        <f t="shared" si="1"/>
      </c>
      <c r="BH1586" s="22">
        <f t="shared" si="2"/>
        <v>0</v>
      </c>
    </row>
    <row r="1587">
      <c r="B1587">
        <f>[1]资金台帐!B1587&amp;""</f>
      </c>
      <c r="H1587">
        <f>[1]资金台帐!H1587&amp;""</f>
      </c>
      <c r="J1587">
        <f>[1]资金台帐!J1587&amp;""</f>
      </c>
      <c r="N1587">
        <f>[1]资金台帐!N1587</f>
      </c>
      <c r="O1587">
        <f>[1]资金台帐!O1587&amp;""</f>
      </c>
      <c r="P1587">
        <f>[1]资金台帐!P1587&amp;""</f>
      </c>
      <c r="Q1587">
        <f>[1]资金台帐!Q1587&amp;""</f>
      </c>
      <c r="T1587">
        <f>[1]资金台帐!T1587&amp;""</f>
      </c>
      <c r="U1587">
        <f>[1]资金台帐!U1587&amp;""</f>
      </c>
      <c r="W1587">
        <f>[1]资金台帐!W1587&amp;""</f>
      </c>
      <c r="X1587">
        <f>[1]资金台帐!X1587&amp;""</f>
      </c>
      <c r="AB1587">
        <f>[1]资金台帐!AB1587</f>
        <v>0</v>
      </c>
      <c r="AC1587">
        <f>[1]资金台帐!AC1587</f>
        <v>0</v>
      </c>
      <c r="AD1587">
        <f>[1]资金台帐!AD1587</f>
        <v>0</v>
      </c>
      <c r="AJ1587">
        <f>[1]资金台帐!AJ1587</f>
        <v>0</v>
      </c>
      <c r="AK1587">
        <f>[1]资金台帐!AK1587</f>
        <v>0</v>
      </c>
      <c r="BA1587" s="22">
        <f t="shared" si="0"/>
      </c>
      <c r="BG1587" s="22">
        <f t="shared" si="1"/>
      </c>
      <c r="BH1587" s="22">
        <f t="shared" si="2"/>
        <v>0</v>
      </c>
    </row>
    <row r="1588">
      <c r="B1588">
        <f>[1]资金台帐!B1588&amp;""</f>
      </c>
      <c r="H1588">
        <f>[1]资金台帐!H1588&amp;""</f>
      </c>
      <c r="J1588">
        <f>[1]资金台帐!J1588&amp;""</f>
      </c>
      <c r="N1588">
        <f>[1]资金台帐!N1588</f>
      </c>
      <c r="O1588">
        <f>[1]资金台帐!O1588&amp;""</f>
      </c>
      <c r="P1588">
        <f>[1]资金台帐!P1588&amp;""</f>
      </c>
      <c r="Q1588">
        <f>[1]资金台帐!Q1588&amp;""</f>
      </c>
      <c r="T1588">
        <f>[1]资金台帐!T1588&amp;""</f>
      </c>
      <c r="U1588">
        <f>[1]资金台帐!U1588&amp;""</f>
      </c>
      <c r="W1588">
        <f>[1]资金台帐!W1588&amp;""</f>
      </c>
      <c r="X1588">
        <f>[1]资金台帐!X1588&amp;""</f>
      </c>
      <c r="AB1588">
        <f>[1]资金台帐!AB1588</f>
        <v>0</v>
      </c>
      <c r="AC1588">
        <f>[1]资金台帐!AC1588</f>
        <v>0</v>
      </c>
      <c r="AD1588">
        <f>[1]资金台帐!AD1588</f>
        <v>0</v>
      </c>
      <c r="AJ1588">
        <f>[1]资金台帐!AJ1588</f>
        <v>0</v>
      </c>
      <c r="AK1588">
        <f>[1]资金台帐!AK1588</f>
        <v>0</v>
      </c>
      <c r="BA1588" s="22">
        <f t="shared" si="0"/>
      </c>
      <c r="BG1588" s="22">
        <f t="shared" si="1"/>
      </c>
      <c r="BH1588" s="22">
        <f t="shared" si="2"/>
        <v>0</v>
      </c>
    </row>
    <row r="1589">
      <c r="B1589">
        <f>[1]资金台帐!B1589&amp;""</f>
      </c>
      <c r="H1589">
        <f>[1]资金台帐!H1589&amp;""</f>
      </c>
      <c r="J1589">
        <f>[1]资金台帐!J1589&amp;""</f>
      </c>
      <c r="N1589">
        <f>[1]资金台帐!N1589</f>
      </c>
      <c r="O1589">
        <f>[1]资金台帐!O1589&amp;""</f>
      </c>
      <c r="P1589">
        <f>[1]资金台帐!P1589&amp;""</f>
      </c>
      <c r="Q1589">
        <f>[1]资金台帐!Q1589&amp;""</f>
      </c>
      <c r="T1589">
        <f>[1]资金台帐!T1589&amp;""</f>
      </c>
      <c r="U1589">
        <f>[1]资金台帐!U1589&amp;""</f>
      </c>
      <c r="W1589">
        <f>[1]资金台帐!W1589&amp;""</f>
      </c>
      <c r="X1589">
        <f>[1]资金台帐!X1589&amp;""</f>
      </c>
      <c r="AB1589">
        <f>[1]资金台帐!AB1589</f>
        <v>0</v>
      </c>
      <c r="AC1589">
        <f>[1]资金台帐!AC1589</f>
        <v>0</v>
      </c>
      <c r="AD1589">
        <f>[1]资金台帐!AD1589</f>
        <v>0</v>
      </c>
      <c r="AJ1589">
        <f>[1]资金台帐!AJ1589</f>
        <v>0</v>
      </c>
      <c r="AK1589">
        <f>[1]资金台帐!AK1589</f>
        <v>0</v>
      </c>
      <c r="BA1589" s="22">
        <f t="shared" si="0"/>
      </c>
      <c r="BG1589" s="22">
        <f t="shared" si="1"/>
      </c>
      <c r="BH1589" s="22">
        <f t="shared" si="2"/>
        <v>0</v>
      </c>
    </row>
    <row r="1590">
      <c r="B1590">
        <f>[1]资金台帐!B1590&amp;""</f>
      </c>
      <c r="H1590">
        <f>[1]资金台帐!H1590&amp;""</f>
      </c>
      <c r="J1590">
        <f>[1]资金台帐!J1590&amp;""</f>
      </c>
      <c r="N1590">
        <f>[1]资金台帐!N1590</f>
      </c>
      <c r="O1590">
        <f>[1]资金台帐!O1590&amp;""</f>
      </c>
      <c r="P1590">
        <f>[1]资金台帐!P1590&amp;""</f>
      </c>
      <c r="Q1590">
        <f>[1]资金台帐!Q1590&amp;""</f>
      </c>
      <c r="T1590">
        <f>[1]资金台帐!T1590&amp;""</f>
      </c>
      <c r="U1590">
        <f>[1]资金台帐!U1590&amp;""</f>
      </c>
      <c r="W1590">
        <f>[1]资金台帐!W1590&amp;""</f>
      </c>
      <c r="X1590">
        <f>[1]资金台帐!X1590&amp;""</f>
      </c>
      <c r="AB1590">
        <f>[1]资金台帐!AB1590</f>
        <v>0</v>
      </c>
      <c r="AC1590">
        <f>[1]资金台帐!AC1590</f>
        <v>0</v>
      </c>
      <c r="AD1590">
        <f>[1]资金台帐!AD1590</f>
        <v>0</v>
      </c>
      <c r="AJ1590">
        <f>[1]资金台帐!AJ1590</f>
        <v>0</v>
      </c>
      <c r="AK1590">
        <f>[1]资金台帐!AK1590</f>
        <v>0</v>
      </c>
      <c r="BA1590" s="22">
        <f t="shared" si="0"/>
      </c>
      <c r="BG1590" s="22">
        <f t="shared" si="1"/>
      </c>
      <c r="BH1590" s="22">
        <f t="shared" si="2"/>
        <v>0</v>
      </c>
    </row>
    <row r="1591">
      <c r="B1591">
        <f>[1]资金台帐!B1591&amp;""</f>
      </c>
      <c r="H1591">
        <f>[1]资金台帐!H1591&amp;""</f>
      </c>
      <c r="J1591">
        <f>[1]资金台帐!J1591&amp;""</f>
      </c>
      <c r="N1591">
        <f>[1]资金台帐!N1591</f>
      </c>
      <c r="O1591">
        <f>[1]资金台帐!O1591&amp;""</f>
      </c>
      <c r="P1591">
        <f>[1]资金台帐!P1591&amp;""</f>
      </c>
      <c r="Q1591">
        <f>[1]资金台帐!Q1591&amp;""</f>
      </c>
      <c r="T1591">
        <f>[1]资金台帐!T1591&amp;""</f>
      </c>
      <c r="U1591">
        <f>[1]资金台帐!U1591&amp;""</f>
      </c>
      <c r="W1591">
        <f>[1]资金台帐!W1591&amp;""</f>
      </c>
      <c r="X1591">
        <f>[1]资金台帐!X1591&amp;""</f>
      </c>
      <c r="AB1591">
        <f>[1]资金台帐!AB1591</f>
        <v>0</v>
      </c>
      <c r="AC1591">
        <f>[1]资金台帐!AC1591</f>
        <v>0</v>
      </c>
      <c r="AD1591">
        <f>[1]资金台帐!AD1591</f>
        <v>0</v>
      </c>
      <c r="AJ1591">
        <f>[1]资金台帐!AJ1591</f>
        <v>0</v>
      </c>
      <c r="AK1591">
        <f>[1]资金台帐!AK1591</f>
        <v>0</v>
      </c>
      <c r="BA1591" s="22">
        <f t="shared" si="0"/>
      </c>
      <c r="BG1591" s="22">
        <f t="shared" si="1"/>
      </c>
      <c r="BH1591" s="22">
        <f t="shared" si="2"/>
        <v>0</v>
      </c>
    </row>
    <row r="1592">
      <c r="B1592">
        <f>[1]资金台帐!B1592&amp;""</f>
      </c>
      <c r="H1592">
        <f>[1]资金台帐!H1592&amp;""</f>
      </c>
      <c r="J1592">
        <f>[1]资金台帐!J1592&amp;""</f>
      </c>
      <c r="N1592">
        <f>[1]资金台帐!N1592</f>
      </c>
      <c r="O1592">
        <f>[1]资金台帐!O1592&amp;""</f>
      </c>
      <c r="P1592">
        <f>[1]资金台帐!P1592&amp;""</f>
      </c>
      <c r="Q1592">
        <f>[1]资金台帐!Q1592&amp;""</f>
      </c>
      <c r="T1592">
        <f>[1]资金台帐!T1592&amp;""</f>
      </c>
      <c r="U1592">
        <f>[1]资金台帐!U1592&amp;""</f>
      </c>
      <c r="W1592">
        <f>[1]资金台帐!W1592&amp;""</f>
      </c>
      <c r="X1592">
        <f>[1]资金台帐!X1592&amp;""</f>
      </c>
      <c r="AB1592">
        <f>[1]资金台帐!AB1592</f>
        <v>0</v>
      </c>
      <c r="AC1592">
        <f>[1]资金台帐!AC1592</f>
        <v>0</v>
      </c>
      <c r="AD1592">
        <f>[1]资金台帐!AD1592</f>
        <v>0</v>
      </c>
      <c r="AJ1592">
        <f>[1]资金台帐!AJ1592</f>
        <v>0</v>
      </c>
      <c r="AK1592">
        <f>[1]资金台帐!AK1592</f>
        <v>0</v>
      </c>
      <c r="BA1592" s="22">
        <f t="shared" si="0"/>
      </c>
      <c r="BG1592" s="22">
        <f t="shared" si="1"/>
      </c>
      <c r="BH1592" s="22">
        <f t="shared" si="2"/>
        <v>0</v>
      </c>
    </row>
    <row r="1593">
      <c r="B1593">
        <f>[1]资金台帐!B1593&amp;""</f>
      </c>
      <c r="H1593">
        <f>[1]资金台帐!H1593&amp;""</f>
      </c>
      <c r="J1593">
        <f>[1]资金台帐!J1593&amp;""</f>
      </c>
      <c r="N1593">
        <f>[1]资金台帐!N1593</f>
      </c>
      <c r="O1593">
        <f>[1]资金台帐!O1593&amp;""</f>
      </c>
      <c r="P1593">
        <f>[1]资金台帐!P1593&amp;""</f>
      </c>
      <c r="Q1593">
        <f>[1]资金台帐!Q1593&amp;""</f>
      </c>
      <c r="T1593">
        <f>[1]资金台帐!T1593&amp;""</f>
      </c>
      <c r="U1593">
        <f>[1]资金台帐!U1593&amp;""</f>
      </c>
      <c r="W1593">
        <f>[1]资金台帐!W1593&amp;""</f>
      </c>
      <c r="X1593">
        <f>[1]资金台帐!X1593&amp;""</f>
      </c>
      <c r="AB1593">
        <f>[1]资金台帐!AB1593</f>
        <v>0</v>
      </c>
      <c r="AC1593">
        <f>[1]资金台帐!AC1593</f>
        <v>0</v>
      </c>
      <c r="AD1593">
        <f>[1]资金台帐!AD1593</f>
        <v>0</v>
      </c>
      <c r="AJ1593">
        <f>[1]资金台帐!AJ1593</f>
        <v>0</v>
      </c>
      <c r="AK1593">
        <f>[1]资金台帐!AK1593</f>
        <v>0</v>
      </c>
      <c r="BA1593" s="22">
        <f t="shared" si="0"/>
      </c>
      <c r="BG1593" s="22">
        <f t="shared" si="1"/>
      </c>
      <c r="BH1593" s="22">
        <f t="shared" si="2"/>
        <v>0</v>
      </c>
    </row>
    <row r="1594">
      <c r="B1594">
        <f>[1]资金台帐!B1594&amp;""</f>
      </c>
      <c r="H1594">
        <f>[1]资金台帐!H1594&amp;""</f>
      </c>
      <c r="J1594">
        <f>[1]资金台帐!J1594&amp;""</f>
      </c>
      <c r="N1594">
        <f>[1]资金台帐!N1594</f>
      </c>
      <c r="O1594">
        <f>[1]资金台帐!O1594&amp;""</f>
      </c>
      <c r="P1594">
        <f>[1]资金台帐!P1594&amp;""</f>
      </c>
      <c r="Q1594">
        <f>[1]资金台帐!Q1594&amp;""</f>
      </c>
      <c r="T1594">
        <f>[1]资金台帐!T1594&amp;""</f>
      </c>
      <c r="U1594">
        <f>[1]资金台帐!U1594&amp;""</f>
      </c>
      <c r="W1594">
        <f>[1]资金台帐!W1594&amp;""</f>
      </c>
      <c r="X1594">
        <f>[1]资金台帐!X1594&amp;""</f>
      </c>
      <c r="AB1594">
        <f>[1]资金台帐!AB1594</f>
        <v>0</v>
      </c>
      <c r="AC1594">
        <f>[1]资金台帐!AC1594</f>
        <v>0</v>
      </c>
      <c r="AD1594">
        <f>[1]资金台帐!AD1594</f>
        <v>0</v>
      </c>
      <c r="AJ1594">
        <f>[1]资金台帐!AJ1594</f>
        <v>0</v>
      </c>
      <c r="AK1594">
        <f>[1]资金台帐!AK1594</f>
        <v>0</v>
      </c>
      <c r="BA1594" s="22">
        <f t="shared" si="0"/>
      </c>
      <c r="BG1594" s="22">
        <f t="shared" si="1"/>
      </c>
      <c r="BH1594" s="22">
        <f t="shared" si="2"/>
        <v>0</v>
      </c>
    </row>
    <row r="1595">
      <c r="B1595">
        <f>[1]资金台帐!B1595&amp;""</f>
      </c>
      <c r="H1595">
        <f>[1]资金台帐!H1595&amp;""</f>
      </c>
      <c r="J1595">
        <f>[1]资金台帐!J1595&amp;""</f>
      </c>
      <c r="N1595">
        <f>[1]资金台帐!N1595</f>
      </c>
      <c r="O1595">
        <f>[1]资金台帐!O1595&amp;""</f>
      </c>
      <c r="P1595">
        <f>[1]资金台帐!P1595&amp;""</f>
      </c>
      <c r="Q1595">
        <f>[1]资金台帐!Q1595&amp;""</f>
      </c>
      <c r="T1595">
        <f>[1]资金台帐!T1595&amp;""</f>
      </c>
      <c r="U1595">
        <f>[1]资金台帐!U1595&amp;""</f>
      </c>
      <c r="W1595">
        <f>[1]资金台帐!W1595&amp;""</f>
      </c>
      <c r="X1595">
        <f>[1]资金台帐!X1595&amp;""</f>
      </c>
      <c r="AB1595">
        <f>[1]资金台帐!AB1595</f>
        <v>0</v>
      </c>
      <c r="AC1595">
        <f>[1]资金台帐!AC1595</f>
        <v>0</v>
      </c>
      <c r="AD1595">
        <f>[1]资金台帐!AD1595</f>
        <v>0</v>
      </c>
      <c r="AJ1595">
        <f>[1]资金台帐!AJ1595</f>
        <v>0</v>
      </c>
      <c r="AK1595">
        <f>[1]资金台帐!AK1595</f>
        <v>0</v>
      </c>
      <c r="BA1595" s="22">
        <f t="shared" si="0"/>
      </c>
      <c r="BG1595" s="22">
        <f t="shared" si="1"/>
      </c>
      <c r="BH1595" s="22">
        <f t="shared" si="2"/>
        <v>0</v>
      </c>
    </row>
    <row r="1596">
      <c r="B1596">
        <f>[1]资金台帐!B1596&amp;""</f>
      </c>
      <c r="H1596">
        <f>[1]资金台帐!H1596&amp;""</f>
      </c>
      <c r="J1596">
        <f>[1]资金台帐!J1596&amp;""</f>
      </c>
      <c r="N1596">
        <f>[1]资金台帐!N1596</f>
      </c>
      <c r="O1596">
        <f>[1]资金台帐!O1596&amp;""</f>
      </c>
      <c r="P1596">
        <f>[1]资金台帐!P1596&amp;""</f>
      </c>
      <c r="Q1596">
        <f>[1]资金台帐!Q1596&amp;""</f>
      </c>
      <c r="T1596">
        <f>[1]资金台帐!T1596&amp;""</f>
      </c>
      <c r="U1596">
        <f>[1]资金台帐!U1596&amp;""</f>
      </c>
      <c r="W1596">
        <f>[1]资金台帐!W1596&amp;""</f>
      </c>
      <c r="X1596">
        <f>[1]资金台帐!X1596&amp;""</f>
      </c>
      <c r="AB1596">
        <f>[1]资金台帐!AB1596</f>
        <v>0</v>
      </c>
      <c r="AC1596">
        <f>[1]资金台帐!AC1596</f>
        <v>0</v>
      </c>
      <c r="AD1596">
        <f>[1]资金台帐!AD1596</f>
        <v>0</v>
      </c>
      <c r="AJ1596">
        <f>[1]资金台帐!AJ1596</f>
        <v>0</v>
      </c>
      <c r="AK1596">
        <f>[1]资金台帐!AK1596</f>
        <v>0</v>
      </c>
      <c r="BA1596" s="22">
        <f t="shared" si="0"/>
      </c>
      <c r="BG1596" s="22">
        <f t="shared" si="1"/>
      </c>
      <c r="BH1596" s="22">
        <f t="shared" si="2"/>
        <v>0</v>
      </c>
    </row>
    <row r="1597">
      <c r="B1597">
        <f>[1]资金台帐!B1597&amp;""</f>
      </c>
      <c r="H1597">
        <f>[1]资金台帐!H1597&amp;""</f>
      </c>
      <c r="J1597">
        <f>[1]资金台帐!J1597&amp;""</f>
      </c>
      <c r="N1597">
        <f>[1]资金台帐!N1597</f>
      </c>
      <c r="O1597">
        <f>[1]资金台帐!O1597&amp;""</f>
      </c>
      <c r="P1597">
        <f>[1]资金台帐!P1597&amp;""</f>
      </c>
      <c r="Q1597">
        <f>[1]资金台帐!Q1597&amp;""</f>
      </c>
      <c r="T1597">
        <f>[1]资金台帐!T1597&amp;""</f>
      </c>
      <c r="U1597">
        <f>[1]资金台帐!U1597&amp;""</f>
      </c>
      <c r="W1597">
        <f>[1]资金台帐!W1597&amp;""</f>
      </c>
      <c r="X1597">
        <f>[1]资金台帐!X1597&amp;""</f>
      </c>
      <c r="AB1597">
        <f>[1]资金台帐!AB1597</f>
        <v>0</v>
      </c>
      <c r="AC1597">
        <f>[1]资金台帐!AC1597</f>
        <v>0</v>
      </c>
      <c r="AD1597">
        <f>[1]资金台帐!AD1597</f>
        <v>0</v>
      </c>
      <c r="AJ1597">
        <f>[1]资金台帐!AJ1597</f>
        <v>0</v>
      </c>
      <c r="AK1597">
        <f>[1]资金台帐!AK1597</f>
        <v>0</v>
      </c>
      <c r="BA1597" s="22">
        <f t="shared" si="0"/>
      </c>
      <c r="BG1597" s="22">
        <f t="shared" si="1"/>
      </c>
      <c r="BH1597" s="22">
        <f t="shared" si="2"/>
        <v>0</v>
      </c>
    </row>
    <row r="1598">
      <c r="B1598">
        <f>[1]资金台帐!B1598&amp;""</f>
      </c>
      <c r="H1598">
        <f>[1]资金台帐!H1598&amp;""</f>
      </c>
      <c r="J1598">
        <f>[1]资金台帐!J1598&amp;""</f>
      </c>
      <c r="N1598">
        <f>[1]资金台帐!N1598</f>
      </c>
      <c r="O1598">
        <f>[1]资金台帐!O1598&amp;""</f>
      </c>
      <c r="P1598">
        <f>[1]资金台帐!P1598&amp;""</f>
      </c>
      <c r="Q1598">
        <f>[1]资金台帐!Q1598&amp;""</f>
      </c>
      <c r="T1598">
        <f>[1]资金台帐!T1598&amp;""</f>
      </c>
      <c r="U1598">
        <f>[1]资金台帐!U1598&amp;""</f>
      </c>
      <c r="W1598">
        <f>[1]资金台帐!W1598&amp;""</f>
      </c>
      <c r="X1598">
        <f>[1]资金台帐!X1598&amp;""</f>
      </c>
      <c r="AB1598">
        <f>[1]资金台帐!AB1598</f>
        <v>0</v>
      </c>
      <c r="AC1598">
        <f>[1]资金台帐!AC1598</f>
        <v>0</v>
      </c>
      <c r="AD1598">
        <f>[1]资金台帐!AD1598</f>
        <v>0</v>
      </c>
      <c r="AJ1598">
        <f>[1]资金台帐!AJ1598</f>
        <v>0</v>
      </c>
      <c r="AK1598">
        <f>[1]资金台帐!AK1598</f>
        <v>0</v>
      </c>
      <c r="BA1598" s="22">
        <f t="shared" si="0"/>
      </c>
      <c r="BG1598" s="22">
        <f t="shared" si="1"/>
      </c>
      <c r="BH1598" s="22">
        <f t="shared" si="2"/>
        <v>0</v>
      </c>
    </row>
    <row r="1599">
      <c r="B1599">
        <f>[1]资金台帐!B1599&amp;""</f>
      </c>
      <c r="H1599">
        <f>[1]资金台帐!H1599&amp;""</f>
      </c>
      <c r="J1599">
        <f>[1]资金台帐!J1599&amp;""</f>
      </c>
      <c r="N1599">
        <f>[1]资金台帐!N1599</f>
      </c>
      <c r="O1599">
        <f>[1]资金台帐!O1599&amp;""</f>
      </c>
      <c r="P1599">
        <f>[1]资金台帐!P1599&amp;""</f>
      </c>
      <c r="Q1599">
        <f>[1]资金台帐!Q1599&amp;""</f>
      </c>
      <c r="T1599">
        <f>[1]资金台帐!T1599&amp;""</f>
      </c>
      <c r="U1599">
        <f>[1]资金台帐!U1599&amp;""</f>
      </c>
      <c r="W1599">
        <f>[1]资金台帐!W1599&amp;""</f>
      </c>
      <c r="X1599">
        <f>[1]资金台帐!X1599&amp;""</f>
      </c>
      <c r="AB1599">
        <f>[1]资金台帐!AB1599</f>
        <v>0</v>
      </c>
      <c r="AC1599">
        <f>[1]资金台帐!AC1599</f>
        <v>0</v>
      </c>
      <c r="AD1599">
        <f>[1]资金台帐!AD1599</f>
        <v>0</v>
      </c>
      <c r="AJ1599">
        <f>[1]资金台帐!AJ1599</f>
        <v>0</v>
      </c>
      <c r="AK1599">
        <f>[1]资金台帐!AK1599</f>
        <v>0</v>
      </c>
      <c r="BA1599" s="22">
        <f t="shared" si="0"/>
      </c>
      <c r="BG1599" s="22">
        <f t="shared" si="1"/>
      </c>
      <c r="BH1599" s="22">
        <f t="shared" si="2"/>
        <v>0</v>
      </c>
    </row>
    <row r="1600">
      <c r="B1600">
        <f>[1]资金台帐!B1600&amp;""</f>
      </c>
      <c r="H1600">
        <f>[1]资金台帐!H1600&amp;""</f>
      </c>
      <c r="J1600">
        <f>[1]资金台帐!J1600&amp;""</f>
      </c>
      <c r="N1600">
        <f>[1]资金台帐!N1600</f>
      </c>
      <c r="O1600">
        <f>[1]资金台帐!O1600&amp;""</f>
      </c>
      <c r="P1600">
        <f>[1]资金台帐!P1600&amp;""</f>
      </c>
      <c r="Q1600">
        <f>[1]资金台帐!Q1600&amp;""</f>
      </c>
      <c r="T1600">
        <f>[1]资金台帐!T1600&amp;""</f>
      </c>
      <c r="U1600">
        <f>[1]资金台帐!U1600&amp;""</f>
      </c>
      <c r="W1600">
        <f>[1]资金台帐!W1600&amp;""</f>
      </c>
      <c r="X1600">
        <f>[1]资金台帐!X1600&amp;""</f>
      </c>
      <c r="AB1600">
        <f>[1]资金台帐!AB1600</f>
        <v>0</v>
      </c>
      <c r="AC1600">
        <f>[1]资金台帐!AC1600</f>
        <v>0</v>
      </c>
      <c r="AD1600">
        <f>[1]资金台帐!AD1600</f>
        <v>0</v>
      </c>
      <c r="AJ1600">
        <f>[1]资金台帐!AJ1600</f>
        <v>0</v>
      </c>
      <c r="AK1600">
        <f>[1]资金台帐!AK1600</f>
        <v>0</v>
      </c>
      <c r="BA1600" s="22">
        <f t="shared" si="0"/>
      </c>
      <c r="BG1600" s="22">
        <f t="shared" si="1"/>
      </c>
      <c r="BH1600" s="22">
        <f t="shared" si="2"/>
        <v>0</v>
      </c>
    </row>
    <row r="1601">
      <c r="B1601">
        <f>[1]资金台帐!B1601&amp;""</f>
      </c>
      <c r="H1601">
        <f>[1]资金台帐!H1601&amp;""</f>
      </c>
      <c r="J1601">
        <f>[1]资金台帐!J1601&amp;""</f>
      </c>
      <c r="N1601">
        <f>[1]资金台帐!N1601</f>
      </c>
      <c r="O1601">
        <f>[1]资金台帐!O1601&amp;""</f>
      </c>
      <c r="P1601">
        <f>[1]资金台帐!P1601&amp;""</f>
      </c>
      <c r="Q1601">
        <f>[1]资金台帐!Q1601&amp;""</f>
      </c>
      <c r="T1601">
        <f>[1]资金台帐!T1601&amp;""</f>
      </c>
      <c r="U1601">
        <f>[1]资金台帐!U1601&amp;""</f>
      </c>
      <c r="W1601">
        <f>[1]资金台帐!W1601&amp;""</f>
      </c>
      <c r="X1601">
        <f>[1]资金台帐!X1601&amp;""</f>
      </c>
      <c r="AB1601">
        <f>[1]资金台帐!AB1601</f>
        <v>0</v>
      </c>
      <c r="AC1601">
        <f>[1]资金台帐!AC1601</f>
        <v>0</v>
      </c>
      <c r="AD1601">
        <f>[1]资金台帐!AD1601</f>
        <v>0</v>
      </c>
      <c r="AJ1601">
        <f>[1]资金台帐!AJ1601</f>
        <v>0</v>
      </c>
      <c r="AK1601">
        <f>[1]资金台帐!AK1601</f>
        <v>0</v>
      </c>
      <c r="BA1601" s="22">
        <f t="shared" si="0"/>
      </c>
      <c r="BG1601" s="22">
        <f t="shared" si="1"/>
      </c>
      <c r="BH1601" s="22">
        <f t="shared" si="2"/>
        <v>0</v>
      </c>
    </row>
    <row r="1602">
      <c r="B1602">
        <f>[1]资金台帐!B1602&amp;""</f>
      </c>
      <c r="H1602">
        <f>[1]资金台帐!H1602&amp;""</f>
      </c>
      <c r="J1602">
        <f>[1]资金台帐!J1602&amp;""</f>
      </c>
      <c r="N1602">
        <f>[1]资金台帐!N1602</f>
      </c>
      <c r="O1602">
        <f>[1]资金台帐!O1602&amp;""</f>
      </c>
      <c r="P1602">
        <f>[1]资金台帐!P1602&amp;""</f>
      </c>
      <c r="Q1602">
        <f>[1]资金台帐!Q1602&amp;""</f>
      </c>
      <c r="T1602">
        <f>[1]资金台帐!T1602&amp;""</f>
      </c>
      <c r="U1602">
        <f>[1]资金台帐!U1602&amp;""</f>
      </c>
      <c r="W1602">
        <f>[1]资金台帐!W1602&amp;""</f>
      </c>
      <c r="X1602">
        <f>[1]资金台帐!X1602&amp;""</f>
      </c>
      <c r="AB1602">
        <f>[1]资金台帐!AB1602</f>
        <v>0</v>
      </c>
      <c r="AC1602">
        <f>[1]资金台帐!AC1602</f>
        <v>0</v>
      </c>
      <c r="AD1602">
        <f>[1]资金台帐!AD1602</f>
        <v>0</v>
      </c>
      <c r="AJ1602">
        <f>[1]资金台帐!AJ1602</f>
        <v>0</v>
      </c>
      <c r="AK1602">
        <f>[1]资金台帐!AK1602</f>
        <v>0</v>
      </c>
      <c r="BA1602" s="22">
        <f t="shared" si="0"/>
      </c>
      <c r="BG1602" s="22">
        <f t="shared" si="1"/>
      </c>
      <c r="BH1602" s="22">
        <f t="shared" si="2"/>
        <v>0</v>
      </c>
    </row>
    <row r="1603">
      <c r="B1603">
        <f>[1]资金台帐!B1603&amp;""</f>
      </c>
      <c r="H1603">
        <f>[1]资金台帐!H1603&amp;""</f>
      </c>
      <c r="J1603">
        <f>[1]资金台帐!J1603&amp;""</f>
      </c>
      <c r="N1603">
        <f>[1]资金台帐!N1603</f>
      </c>
      <c r="O1603">
        <f>[1]资金台帐!O1603&amp;""</f>
      </c>
      <c r="P1603">
        <f>[1]资金台帐!P1603&amp;""</f>
      </c>
      <c r="Q1603">
        <f>[1]资金台帐!Q1603&amp;""</f>
      </c>
      <c r="T1603">
        <f>[1]资金台帐!T1603&amp;""</f>
      </c>
      <c r="U1603">
        <f>[1]资金台帐!U1603&amp;""</f>
      </c>
      <c r="W1603">
        <f>[1]资金台帐!W1603&amp;""</f>
      </c>
      <c r="X1603">
        <f>[1]资金台帐!X1603&amp;""</f>
      </c>
      <c r="AB1603">
        <f>[1]资金台帐!AB1603</f>
        <v>0</v>
      </c>
      <c r="AC1603">
        <f>[1]资金台帐!AC1603</f>
        <v>0</v>
      </c>
      <c r="AD1603">
        <f>[1]资金台帐!AD1603</f>
        <v>0</v>
      </c>
      <c r="AJ1603">
        <f>[1]资金台帐!AJ1603</f>
        <v>0</v>
      </c>
      <c r="AK1603">
        <f>[1]资金台帐!AK1603</f>
        <v>0</v>
      </c>
      <c r="BA1603" s="22">
        <f t="shared" si="0"/>
      </c>
      <c r="BG1603" s="22">
        <f t="shared" si="1"/>
      </c>
      <c r="BH1603" s="22">
        <f t="shared" si="2"/>
        <v>0</v>
      </c>
    </row>
    <row r="1604">
      <c r="B1604">
        <f>[1]资金台帐!B1604&amp;""</f>
      </c>
      <c r="H1604">
        <f>[1]资金台帐!H1604&amp;""</f>
      </c>
      <c r="J1604">
        <f>[1]资金台帐!J1604&amp;""</f>
      </c>
      <c r="N1604">
        <f>[1]资金台帐!N1604</f>
      </c>
      <c r="O1604">
        <f>[1]资金台帐!O1604&amp;""</f>
      </c>
      <c r="P1604">
        <f>[1]资金台帐!P1604&amp;""</f>
      </c>
      <c r="Q1604">
        <f>[1]资金台帐!Q1604&amp;""</f>
      </c>
      <c r="T1604">
        <f>[1]资金台帐!T1604&amp;""</f>
      </c>
      <c r="U1604">
        <f>[1]资金台帐!U1604&amp;""</f>
      </c>
      <c r="W1604">
        <f>[1]资金台帐!W1604&amp;""</f>
      </c>
      <c r="X1604">
        <f>[1]资金台帐!X1604&amp;""</f>
      </c>
      <c r="AB1604">
        <f>[1]资金台帐!AB1604</f>
        <v>0</v>
      </c>
      <c r="AC1604">
        <f>[1]资金台帐!AC1604</f>
        <v>0</v>
      </c>
      <c r="AD1604">
        <f>[1]资金台帐!AD1604</f>
        <v>0</v>
      </c>
      <c r="AJ1604">
        <f>[1]资金台帐!AJ1604</f>
        <v>0</v>
      </c>
      <c r="AK1604">
        <f>[1]资金台帐!AK1604</f>
        <v>0</v>
      </c>
      <c r="BA1604" s="22">
        <f t="shared" si="0"/>
      </c>
      <c r="BG1604" s="22">
        <f t="shared" si="1"/>
      </c>
      <c r="BH1604" s="22">
        <f t="shared" si="2"/>
        <v>0</v>
      </c>
    </row>
    <row r="1605">
      <c r="B1605">
        <f>[1]资金台帐!B1605&amp;""</f>
      </c>
      <c r="H1605">
        <f>[1]资金台帐!H1605&amp;""</f>
      </c>
      <c r="J1605">
        <f>[1]资金台帐!J1605&amp;""</f>
      </c>
      <c r="N1605">
        <f>[1]资金台帐!N1605</f>
      </c>
      <c r="O1605">
        <f>[1]资金台帐!O1605&amp;""</f>
      </c>
      <c r="P1605">
        <f>[1]资金台帐!P1605&amp;""</f>
      </c>
      <c r="Q1605">
        <f>[1]资金台帐!Q1605&amp;""</f>
      </c>
      <c r="T1605">
        <f>[1]资金台帐!T1605&amp;""</f>
      </c>
      <c r="U1605">
        <f>[1]资金台帐!U1605&amp;""</f>
      </c>
      <c r="W1605">
        <f>[1]资金台帐!W1605&amp;""</f>
      </c>
      <c r="X1605">
        <f>[1]资金台帐!X1605&amp;""</f>
      </c>
      <c r="AB1605">
        <f>[1]资金台帐!AB1605</f>
        <v>0</v>
      </c>
      <c r="AC1605">
        <f>[1]资金台帐!AC1605</f>
        <v>0</v>
      </c>
      <c r="AD1605">
        <f>[1]资金台帐!AD1605</f>
        <v>0</v>
      </c>
      <c r="AJ1605">
        <f>[1]资金台帐!AJ1605</f>
        <v>0</v>
      </c>
      <c r="AK1605">
        <f>[1]资金台帐!AK1605</f>
        <v>0</v>
      </c>
      <c r="BA1605" s="22">
        <f t="shared" si="0"/>
      </c>
      <c r="BG1605" s="22">
        <f t="shared" si="1"/>
      </c>
      <c r="BH1605" s="22">
        <f t="shared" si="2"/>
        <v>0</v>
      </c>
    </row>
    <row r="1606">
      <c r="B1606">
        <f>[1]资金台帐!B1606&amp;""</f>
      </c>
      <c r="H1606">
        <f>[1]资金台帐!H1606&amp;""</f>
      </c>
      <c r="J1606">
        <f>[1]资金台帐!J1606&amp;""</f>
      </c>
      <c r="N1606">
        <f>[1]资金台帐!N1606</f>
      </c>
      <c r="O1606">
        <f>[1]资金台帐!O1606&amp;""</f>
      </c>
      <c r="P1606">
        <f>[1]资金台帐!P1606&amp;""</f>
      </c>
      <c r="Q1606">
        <f>[1]资金台帐!Q1606&amp;""</f>
      </c>
      <c r="T1606">
        <f>[1]资金台帐!T1606&amp;""</f>
      </c>
      <c r="U1606">
        <f>[1]资金台帐!U1606&amp;""</f>
      </c>
      <c r="W1606">
        <f>[1]资金台帐!W1606&amp;""</f>
      </c>
      <c r="X1606">
        <f>[1]资金台帐!X1606&amp;""</f>
      </c>
      <c r="AB1606">
        <f>[1]资金台帐!AB1606</f>
        <v>0</v>
      </c>
      <c r="AC1606">
        <f>[1]资金台帐!AC1606</f>
        <v>0</v>
      </c>
      <c r="AD1606">
        <f>[1]资金台帐!AD1606</f>
        <v>0</v>
      </c>
      <c r="AJ1606">
        <f>[1]资金台帐!AJ1606</f>
        <v>0</v>
      </c>
      <c r="AK1606">
        <f>[1]资金台帐!AK1606</f>
        <v>0</v>
      </c>
      <c r="BA1606" s="22">
        <f t="shared" si="0"/>
      </c>
      <c r="BG1606" s="22">
        <f t="shared" si="1"/>
      </c>
      <c r="BH1606" s="22">
        <f t="shared" si="2"/>
        <v>0</v>
      </c>
    </row>
    <row r="1607">
      <c r="B1607">
        <f>[1]资金台帐!B1607&amp;""</f>
      </c>
      <c r="H1607">
        <f>[1]资金台帐!H1607&amp;""</f>
      </c>
      <c r="J1607">
        <f>[1]资金台帐!J1607&amp;""</f>
      </c>
      <c r="N1607">
        <f>[1]资金台帐!N1607</f>
      </c>
      <c r="O1607">
        <f>[1]资金台帐!O1607&amp;""</f>
      </c>
      <c r="P1607">
        <f>[1]资金台帐!P1607&amp;""</f>
      </c>
      <c r="Q1607">
        <f>[1]资金台帐!Q1607&amp;""</f>
      </c>
      <c r="T1607">
        <f>[1]资金台帐!T1607&amp;""</f>
      </c>
      <c r="U1607">
        <f>[1]资金台帐!U1607&amp;""</f>
      </c>
      <c r="W1607">
        <f>[1]资金台帐!W1607&amp;""</f>
      </c>
      <c r="X1607">
        <f>[1]资金台帐!X1607&amp;""</f>
      </c>
      <c r="AB1607">
        <f>[1]资金台帐!AB1607</f>
        <v>0</v>
      </c>
      <c r="AC1607">
        <f>[1]资金台帐!AC1607</f>
        <v>0</v>
      </c>
      <c r="AD1607">
        <f>[1]资金台帐!AD1607</f>
        <v>0</v>
      </c>
      <c r="AJ1607">
        <f>[1]资金台帐!AJ1607</f>
        <v>0</v>
      </c>
      <c r="AK1607">
        <f>[1]资金台帐!AK1607</f>
        <v>0</v>
      </c>
      <c r="BA1607" s="22">
        <f t="shared" si="0"/>
      </c>
      <c r="BG1607" s="22">
        <f t="shared" si="1"/>
      </c>
      <c r="BH1607" s="22">
        <f t="shared" si="2"/>
        <v>0</v>
      </c>
    </row>
    <row r="1608">
      <c r="B1608">
        <f>[1]资金台帐!B1608&amp;""</f>
      </c>
      <c r="H1608">
        <f>[1]资金台帐!H1608&amp;""</f>
      </c>
      <c r="J1608">
        <f>[1]资金台帐!J1608&amp;""</f>
      </c>
      <c r="N1608">
        <f>[1]资金台帐!N1608</f>
      </c>
      <c r="O1608">
        <f>[1]资金台帐!O1608&amp;""</f>
      </c>
      <c r="P1608">
        <f>[1]资金台帐!P1608&amp;""</f>
      </c>
      <c r="Q1608">
        <f>[1]资金台帐!Q1608&amp;""</f>
      </c>
      <c r="T1608">
        <f>[1]资金台帐!T1608&amp;""</f>
      </c>
      <c r="U1608">
        <f>[1]资金台帐!U1608&amp;""</f>
      </c>
      <c r="W1608">
        <f>[1]资金台帐!W1608&amp;""</f>
      </c>
      <c r="X1608">
        <f>[1]资金台帐!X1608&amp;""</f>
      </c>
      <c r="AB1608">
        <f>[1]资金台帐!AB1608</f>
        <v>0</v>
      </c>
      <c r="AC1608">
        <f>[1]资金台帐!AC1608</f>
        <v>0</v>
      </c>
      <c r="AD1608">
        <f>[1]资金台帐!AD1608</f>
        <v>0</v>
      </c>
      <c r="AJ1608">
        <f>[1]资金台帐!AJ1608</f>
        <v>0</v>
      </c>
      <c r="AK1608">
        <f>[1]资金台帐!AK1608</f>
        <v>0</v>
      </c>
      <c r="BA1608" s="22">
        <f t="shared" si="0"/>
      </c>
      <c r="BG1608" s="22">
        <f t="shared" si="1"/>
      </c>
      <c r="BH1608" s="22">
        <f t="shared" si="2"/>
        <v>0</v>
      </c>
    </row>
    <row r="1609">
      <c r="B1609">
        <f>[1]资金台帐!B1609&amp;""</f>
      </c>
      <c r="H1609">
        <f>[1]资金台帐!H1609&amp;""</f>
      </c>
      <c r="J1609">
        <f>[1]资金台帐!J1609&amp;""</f>
      </c>
      <c r="N1609">
        <f>[1]资金台帐!N1609</f>
      </c>
      <c r="O1609">
        <f>[1]资金台帐!O1609&amp;""</f>
      </c>
      <c r="P1609">
        <f>[1]资金台帐!P1609&amp;""</f>
      </c>
      <c r="Q1609">
        <f>[1]资金台帐!Q1609&amp;""</f>
      </c>
      <c r="T1609">
        <f>[1]资金台帐!T1609&amp;""</f>
      </c>
      <c r="U1609">
        <f>[1]资金台帐!U1609&amp;""</f>
      </c>
      <c r="W1609">
        <f>[1]资金台帐!W1609&amp;""</f>
      </c>
      <c r="X1609">
        <f>[1]资金台帐!X1609&amp;""</f>
      </c>
      <c r="AB1609">
        <f>[1]资金台帐!AB1609</f>
        <v>0</v>
      </c>
      <c r="AC1609">
        <f>[1]资金台帐!AC1609</f>
        <v>0</v>
      </c>
      <c r="AD1609">
        <f>[1]资金台帐!AD1609</f>
        <v>0</v>
      </c>
      <c r="AJ1609">
        <f>[1]资金台帐!AJ1609</f>
        <v>0</v>
      </c>
      <c r="AK1609">
        <f>[1]资金台帐!AK1609</f>
        <v>0</v>
      </c>
      <c r="BA1609" s="22">
        <f t="shared" si="0"/>
      </c>
      <c r="BG1609" s="22">
        <f t="shared" si="1"/>
      </c>
      <c r="BH1609" s="22">
        <f t="shared" si="2"/>
        <v>0</v>
      </c>
    </row>
    <row r="1610">
      <c r="B1610">
        <f>[1]资金台帐!B1610&amp;""</f>
      </c>
      <c r="H1610">
        <f>[1]资金台帐!H1610&amp;""</f>
      </c>
      <c r="J1610">
        <f>[1]资金台帐!J1610&amp;""</f>
      </c>
      <c r="N1610">
        <f>[1]资金台帐!N1610</f>
      </c>
      <c r="O1610">
        <f>[1]资金台帐!O1610&amp;""</f>
      </c>
      <c r="P1610">
        <f>[1]资金台帐!P1610&amp;""</f>
      </c>
      <c r="Q1610">
        <f>[1]资金台帐!Q1610&amp;""</f>
      </c>
      <c r="T1610">
        <f>[1]资金台帐!T1610&amp;""</f>
      </c>
      <c r="U1610">
        <f>[1]资金台帐!U1610&amp;""</f>
      </c>
      <c r="W1610">
        <f>[1]资金台帐!W1610&amp;""</f>
      </c>
      <c r="X1610">
        <f>[1]资金台帐!X1610&amp;""</f>
      </c>
      <c r="AB1610">
        <f>[1]资金台帐!AB1610</f>
        <v>0</v>
      </c>
      <c r="AC1610">
        <f>[1]资金台帐!AC1610</f>
        <v>0</v>
      </c>
      <c r="AD1610">
        <f>[1]资金台帐!AD1610</f>
        <v>0</v>
      </c>
      <c r="AJ1610">
        <f>[1]资金台帐!AJ1610</f>
        <v>0</v>
      </c>
      <c r="AK1610">
        <f>[1]资金台帐!AK1610</f>
        <v>0</v>
      </c>
      <c r="BA1610" s="22">
        <f t="shared" si="0"/>
      </c>
      <c r="BG1610" s="22">
        <f t="shared" si="1"/>
      </c>
      <c r="BH1610" s="22">
        <f t="shared" si="2"/>
        <v>0</v>
      </c>
    </row>
    <row r="1611">
      <c r="B1611">
        <f>[1]资金台帐!B1611&amp;""</f>
      </c>
      <c r="H1611">
        <f>[1]资金台帐!H1611&amp;""</f>
      </c>
      <c r="J1611">
        <f>[1]资金台帐!J1611&amp;""</f>
      </c>
      <c r="N1611">
        <f>[1]资金台帐!N1611</f>
      </c>
      <c r="O1611">
        <f>[1]资金台帐!O1611&amp;""</f>
      </c>
      <c r="P1611">
        <f>[1]资金台帐!P1611&amp;""</f>
      </c>
      <c r="Q1611">
        <f>[1]资金台帐!Q1611&amp;""</f>
      </c>
      <c r="T1611">
        <f>[1]资金台帐!T1611&amp;""</f>
      </c>
      <c r="U1611">
        <f>[1]资金台帐!U1611&amp;""</f>
      </c>
      <c r="W1611">
        <f>[1]资金台帐!W1611&amp;""</f>
      </c>
      <c r="X1611">
        <f>[1]资金台帐!X1611&amp;""</f>
      </c>
      <c r="AB1611">
        <f>[1]资金台帐!AB1611</f>
        <v>0</v>
      </c>
      <c r="AC1611">
        <f>[1]资金台帐!AC1611</f>
        <v>0</v>
      </c>
      <c r="AD1611">
        <f>[1]资金台帐!AD1611</f>
        <v>0</v>
      </c>
      <c r="AJ1611">
        <f>[1]资金台帐!AJ1611</f>
        <v>0</v>
      </c>
      <c r="AK1611">
        <f>[1]资金台帐!AK1611</f>
        <v>0</v>
      </c>
      <c r="BA1611" s="22">
        <f t="shared" si="0"/>
      </c>
      <c r="BG1611" s="22">
        <f t="shared" si="1"/>
      </c>
      <c r="BH1611" s="22">
        <f t="shared" si="2"/>
        <v>0</v>
      </c>
    </row>
    <row r="1612">
      <c r="B1612">
        <f>[1]资金台帐!B1612&amp;""</f>
      </c>
      <c r="H1612">
        <f>[1]资金台帐!H1612&amp;""</f>
      </c>
      <c r="J1612">
        <f>[1]资金台帐!J1612&amp;""</f>
      </c>
      <c r="N1612">
        <f>[1]资金台帐!N1612</f>
      </c>
      <c r="O1612">
        <f>[1]资金台帐!O1612&amp;""</f>
      </c>
      <c r="P1612">
        <f>[1]资金台帐!P1612&amp;""</f>
      </c>
      <c r="Q1612">
        <f>[1]资金台帐!Q1612&amp;""</f>
      </c>
      <c r="T1612">
        <f>[1]资金台帐!T1612&amp;""</f>
      </c>
      <c r="U1612">
        <f>[1]资金台帐!U1612&amp;""</f>
      </c>
      <c r="W1612">
        <f>[1]资金台帐!W1612&amp;""</f>
      </c>
      <c r="X1612">
        <f>[1]资金台帐!X1612&amp;""</f>
      </c>
      <c r="AB1612">
        <f>[1]资金台帐!AB1612</f>
        <v>0</v>
      </c>
      <c r="AC1612">
        <f>[1]资金台帐!AC1612</f>
        <v>0</v>
      </c>
      <c r="AD1612">
        <f>[1]资金台帐!AD1612</f>
        <v>0</v>
      </c>
      <c r="AJ1612">
        <f>[1]资金台帐!AJ1612</f>
        <v>0</v>
      </c>
      <c r="AK1612">
        <f>[1]资金台帐!AK1612</f>
        <v>0</v>
      </c>
      <c r="BA1612" s="22">
        <f t="shared" si="0"/>
      </c>
      <c r="BG1612" s="22">
        <f t="shared" si="1"/>
      </c>
      <c r="BH1612" s="22">
        <f t="shared" si="2"/>
        <v>0</v>
      </c>
    </row>
    <row r="1613">
      <c r="B1613">
        <f>[1]资金台帐!B1613&amp;""</f>
      </c>
      <c r="H1613">
        <f>[1]资金台帐!H1613&amp;""</f>
      </c>
      <c r="J1613">
        <f>[1]资金台帐!J1613&amp;""</f>
      </c>
      <c r="N1613">
        <f>[1]资金台帐!N1613</f>
      </c>
      <c r="O1613">
        <f>[1]资金台帐!O1613&amp;""</f>
      </c>
      <c r="P1613">
        <f>[1]资金台帐!P1613&amp;""</f>
      </c>
      <c r="Q1613">
        <f>[1]资金台帐!Q1613&amp;""</f>
      </c>
      <c r="T1613">
        <f>[1]资金台帐!T1613&amp;""</f>
      </c>
      <c r="U1613">
        <f>[1]资金台帐!U1613&amp;""</f>
      </c>
      <c r="W1613">
        <f>[1]资金台帐!W1613&amp;""</f>
      </c>
      <c r="X1613">
        <f>[1]资金台帐!X1613&amp;""</f>
      </c>
      <c r="AB1613">
        <f>[1]资金台帐!AB1613</f>
        <v>0</v>
      </c>
      <c r="AC1613">
        <f>[1]资金台帐!AC1613</f>
        <v>0</v>
      </c>
      <c r="AD1613">
        <f>[1]资金台帐!AD1613</f>
        <v>0</v>
      </c>
      <c r="AJ1613">
        <f>[1]资金台帐!AJ1613</f>
        <v>0</v>
      </c>
      <c r="AK1613">
        <f>[1]资金台帐!AK1613</f>
        <v>0</v>
      </c>
      <c r="BA1613" s="22">
        <f t="shared" si="0"/>
      </c>
      <c r="BG1613" s="22">
        <f t="shared" si="1"/>
      </c>
      <c r="BH1613" s="22">
        <f t="shared" si="2"/>
        <v>0</v>
      </c>
    </row>
    <row r="1614">
      <c r="B1614">
        <f>[1]资金台帐!B1614&amp;""</f>
      </c>
      <c r="H1614">
        <f>[1]资金台帐!H1614&amp;""</f>
      </c>
      <c r="J1614">
        <f>[1]资金台帐!J1614&amp;""</f>
      </c>
      <c r="N1614">
        <f>[1]资金台帐!N1614</f>
      </c>
      <c r="O1614">
        <f>[1]资金台帐!O1614&amp;""</f>
      </c>
      <c r="P1614">
        <f>[1]资金台帐!P1614&amp;""</f>
      </c>
      <c r="Q1614">
        <f>[1]资金台帐!Q1614&amp;""</f>
      </c>
      <c r="T1614">
        <f>[1]资金台帐!T1614&amp;""</f>
      </c>
      <c r="U1614">
        <f>[1]资金台帐!U1614&amp;""</f>
      </c>
      <c r="W1614">
        <f>[1]资金台帐!W1614&amp;""</f>
      </c>
      <c r="X1614">
        <f>[1]资金台帐!X1614&amp;""</f>
      </c>
      <c r="AB1614">
        <f>[1]资金台帐!AB1614</f>
        <v>0</v>
      </c>
      <c r="AC1614">
        <f>[1]资金台帐!AC1614</f>
        <v>0</v>
      </c>
      <c r="AD1614">
        <f>[1]资金台帐!AD1614</f>
        <v>0</v>
      </c>
      <c r="AJ1614">
        <f>[1]资金台帐!AJ1614</f>
        <v>0</v>
      </c>
      <c r="AK1614">
        <f>[1]资金台帐!AK1614</f>
        <v>0</v>
      </c>
      <c r="BA1614" s="22">
        <f t="shared" si="0"/>
      </c>
      <c r="BG1614" s="22">
        <f t="shared" si="1"/>
      </c>
      <c r="BH1614" s="22">
        <f t="shared" si="2"/>
        <v>0</v>
      </c>
    </row>
    <row r="1615">
      <c r="B1615">
        <f>[1]资金台帐!B1615&amp;""</f>
      </c>
      <c r="H1615">
        <f>[1]资金台帐!H1615&amp;""</f>
      </c>
      <c r="J1615">
        <f>[1]资金台帐!J1615&amp;""</f>
      </c>
      <c r="N1615">
        <f>[1]资金台帐!N1615</f>
      </c>
      <c r="O1615">
        <f>[1]资金台帐!O1615&amp;""</f>
      </c>
      <c r="P1615">
        <f>[1]资金台帐!P1615&amp;""</f>
      </c>
      <c r="Q1615">
        <f>[1]资金台帐!Q1615&amp;""</f>
      </c>
      <c r="T1615">
        <f>[1]资金台帐!T1615&amp;""</f>
      </c>
      <c r="U1615">
        <f>[1]资金台帐!U1615&amp;""</f>
      </c>
      <c r="W1615">
        <f>[1]资金台帐!W1615&amp;""</f>
      </c>
      <c r="X1615">
        <f>[1]资金台帐!X1615&amp;""</f>
      </c>
      <c r="AB1615">
        <f>[1]资金台帐!AB1615</f>
        <v>0</v>
      </c>
      <c r="AC1615">
        <f>[1]资金台帐!AC1615</f>
        <v>0</v>
      </c>
      <c r="AD1615">
        <f>[1]资金台帐!AD1615</f>
        <v>0</v>
      </c>
      <c r="AJ1615">
        <f>[1]资金台帐!AJ1615</f>
        <v>0</v>
      </c>
      <c r="AK1615">
        <f>[1]资金台帐!AK1615</f>
        <v>0</v>
      </c>
      <c r="BA1615" s="22">
        <f t="shared" si="0"/>
      </c>
      <c r="BG1615" s="22">
        <f t="shared" si="1"/>
      </c>
      <c r="BH1615" s="22">
        <f t="shared" si="2"/>
        <v>0</v>
      </c>
    </row>
    <row r="1616">
      <c r="B1616">
        <f>[1]资金台帐!B1616&amp;""</f>
      </c>
      <c r="H1616">
        <f>[1]资金台帐!H1616&amp;""</f>
      </c>
      <c r="J1616">
        <f>[1]资金台帐!J1616&amp;""</f>
      </c>
      <c r="N1616">
        <f>[1]资金台帐!N1616</f>
      </c>
      <c r="O1616">
        <f>[1]资金台帐!O1616&amp;""</f>
      </c>
      <c r="P1616">
        <f>[1]资金台帐!P1616&amp;""</f>
      </c>
      <c r="Q1616">
        <f>[1]资金台帐!Q1616&amp;""</f>
      </c>
      <c r="T1616">
        <f>[1]资金台帐!T1616&amp;""</f>
      </c>
      <c r="U1616">
        <f>[1]资金台帐!U1616&amp;""</f>
      </c>
      <c r="W1616">
        <f>[1]资金台帐!W1616&amp;""</f>
      </c>
      <c r="X1616">
        <f>[1]资金台帐!X1616&amp;""</f>
      </c>
      <c r="AB1616">
        <f>[1]资金台帐!AB1616</f>
        <v>0</v>
      </c>
      <c r="AC1616">
        <f>[1]资金台帐!AC1616</f>
        <v>0</v>
      </c>
      <c r="AD1616">
        <f>[1]资金台帐!AD1616</f>
        <v>0</v>
      </c>
      <c r="AJ1616">
        <f>[1]资金台帐!AJ1616</f>
        <v>0</v>
      </c>
      <c r="AK1616">
        <f>[1]资金台帐!AK1616</f>
        <v>0</v>
      </c>
      <c r="BA1616" s="22">
        <f t="shared" si="0"/>
      </c>
      <c r="BG1616" s="22">
        <f t="shared" si="1"/>
      </c>
      <c r="BH1616" s="22">
        <f t="shared" si="2"/>
        <v>0</v>
      </c>
    </row>
    <row r="1617">
      <c r="B1617">
        <f>[1]资金台帐!B1617&amp;""</f>
      </c>
      <c r="H1617">
        <f>[1]资金台帐!H1617&amp;""</f>
      </c>
      <c r="J1617">
        <f>[1]资金台帐!J1617&amp;""</f>
      </c>
      <c r="N1617">
        <f>[1]资金台帐!N1617</f>
      </c>
      <c r="O1617">
        <f>[1]资金台帐!O1617&amp;""</f>
      </c>
      <c r="P1617">
        <f>[1]资金台帐!P1617&amp;""</f>
      </c>
      <c r="Q1617">
        <f>[1]资金台帐!Q1617&amp;""</f>
      </c>
      <c r="T1617">
        <f>[1]资金台帐!T1617&amp;""</f>
      </c>
      <c r="U1617">
        <f>[1]资金台帐!U1617&amp;""</f>
      </c>
      <c r="W1617">
        <f>[1]资金台帐!W1617&amp;""</f>
      </c>
      <c r="X1617">
        <f>[1]资金台帐!X1617&amp;""</f>
      </c>
      <c r="AB1617">
        <f>[1]资金台帐!AB1617</f>
        <v>0</v>
      </c>
      <c r="AC1617">
        <f>[1]资金台帐!AC1617</f>
        <v>0</v>
      </c>
      <c r="AD1617">
        <f>[1]资金台帐!AD1617</f>
        <v>0</v>
      </c>
      <c r="AJ1617">
        <f>[1]资金台帐!AJ1617</f>
        <v>0</v>
      </c>
      <c r="AK1617">
        <f>[1]资金台帐!AK1617</f>
        <v>0</v>
      </c>
      <c r="BA1617" s="22">
        <f t="shared" si="0"/>
      </c>
      <c r="BG1617" s="22">
        <f t="shared" si="1"/>
      </c>
      <c r="BH1617" s="22">
        <f t="shared" si="2"/>
        <v>0</v>
      </c>
    </row>
    <row r="1618">
      <c r="B1618">
        <f>[1]资金台帐!B1618&amp;""</f>
      </c>
      <c r="H1618">
        <f>[1]资金台帐!H1618&amp;""</f>
      </c>
      <c r="J1618">
        <f>[1]资金台帐!J1618&amp;""</f>
      </c>
      <c r="N1618">
        <f>[1]资金台帐!N1618</f>
      </c>
      <c r="O1618">
        <f>[1]资金台帐!O1618&amp;""</f>
      </c>
      <c r="P1618">
        <f>[1]资金台帐!P1618&amp;""</f>
      </c>
      <c r="Q1618">
        <f>[1]资金台帐!Q1618&amp;""</f>
      </c>
      <c r="T1618">
        <f>[1]资金台帐!T1618&amp;""</f>
      </c>
      <c r="U1618">
        <f>[1]资金台帐!U1618&amp;""</f>
      </c>
      <c r="W1618">
        <f>[1]资金台帐!W1618&amp;""</f>
      </c>
      <c r="X1618">
        <f>[1]资金台帐!X1618&amp;""</f>
      </c>
      <c r="AB1618">
        <f>[1]资金台帐!AB1618</f>
        <v>0</v>
      </c>
      <c r="AC1618">
        <f>[1]资金台帐!AC1618</f>
        <v>0</v>
      </c>
      <c r="AD1618">
        <f>[1]资金台帐!AD1618</f>
        <v>0</v>
      </c>
      <c r="AJ1618">
        <f>[1]资金台帐!AJ1618</f>
        <v>0</v>
      </c>
      <c r="AK1618">
        <f>[1]资金台帐!AK1618</f>
        <v>0</v>
      </c>
      <c r="BA1618" s="22">
        <f t="shared" si="0"/>
      </c>
      <c r="BG1618" s="22">
        <f t="shared" si="1"/>
      </c>
      <c r="BH1618" s="22">
        <f t="shared" si="2"/>
        <v>0</v>
      </c>
    </row>
    <row r="1619">
      <c r="B1619">
        <f>[1]资金台帐!B1619&amp;""</f>
      </c>
      <c r="H1619">
        <f>[1]资金台帐!H1619&amp;""</f>
      </c>
      <c r="J1619">
        <f>[1]资金台帐!J1619&amp;""</f>
      </c>
      <c r="N1619">
        <f>[1]资金台帐!N1619</f>
      </c>
      <c r="O1619">
        <f>[1]资金台帐!O1619&amp;""</f>
      </c>
      <c r="P1619">
        <f>[1]资金台帐!P1619&amp;""</f>
      </c>
      <c r="Q1619">
        <f>[1]资金台帐!Q1619&amp;""</f>
      </c>
      <c r="T1619">
        <f>[1]资金台帐!T1619&amp;""</f>
      </c>
      <c r="U1619">
        <f>[1]资金台帐!U1619&amp;""</f>
      </c>
      <c r="W1619">
        <f>[1]资金台帐!W1619&amp;""</f>
      </c>
      <c r="X1619">
        <f>[1]资金台帐!X1619&amp;""</f>
      </c>
      <c r="AB1619">
        <f>[1]资金台帐!AB1619</f>
        <v>0</v>
      </c>
      <c r="AC1619">
        <f>[1]资金台帐!AC1619</f>
        <v>0</v>
      </c>
      <c r="AD1619">
        <f>[1]资金台帐!AD1619</f>
        <v>0</v>
      </c>
      <c r="AJ1619">
        <f>[1]资金台帐!AJ1619</f>
        <v>0</v>
      </c>
      <c r="AK1619">
        <f>[1]资金台帐!AK1619</f>
        <v>0</v>
      </c>
      <c r="BA1619" s="22">
        <f t="shared" si="0"/>
      </c>
      <c r="BG1619" s="22">
        <f t="shared" si="1"/>
      </c>
      <c r="BH1619" s="22">
        <f t="shared" si="2"/>
        <v>0</v>
      </c>
    </row>
    <row r="1620">
      <c r="B1620">
        <f>[1]资金台帐!B1620&amp;""</f>
      </c>
      <c r="H1620">
        <f>[1]资金台帐!H1620&amp;""</f>
      </c>
      <c r="J1620">
        <f>[1]资金台帐!J1620&amp;""</f>
      </c>
      <c r="N1620">
        <f>[1]资金台帐!N1620</f>
      </c>
      <c r="O1620">
        <f>[1]资金台帐!O1620&amp;""</f>
      </c>
      <c r="P1620">
        <f>[1]资金台帐!P1620&amp;""</f>
      </c>
      <c r="Q1620">
        <f>[1]资金台帐!Q1620&amp;""</f>
      </c>
      <c r="T1620">
        <f>[1]资金台帐!T1620&amp;""</f>
      </c>
      <c r="U1620">
        <f>[1]资金台帐!U1620&amp;""</f>
      </c>
      <c r="W1620">
        <f>[1]资金台帐!W1620&amp;""</f>
      </c>
      <c r="X1620">
        <f>[1]资金台帐!X1620&amp;""</f>
      </c>
      <c r="AB1620">
        <f>[1]资金台帐!AB1620</f>
        <v>0</v>
      </c>
      <c r="AC1620">
        <f>[1]资金台帐!AC1620</f>
        <v>0</v>
      </c>
      <c r="AD1620">
        <f>[1]资金台帐!AD1620</f>
        <v>0</v>
      </c>
      <c r="AJ1620">
        <f>[1]资金台帐!AJ1620</f>
        <v>0</v>
      </c>
      <c r="AK1620">
        <f>[1]资金台帐!AK1620</f>
        <v>0</v>
      </c>
      <c r="BA1620" s="22">
        <f t="shared" si="0"/>
      </c>
      <c r="BG1620" s="22">
        <f t="shared" si="1"/>
      </c>
      <c r="BH1620" s="22">
        <f t="shared" si="2"/>
        <v>0</v>
      </c>
    </row>
    <row r="1621">
      <c r="B1621">
        <f>[1]资金台帐!B1621&amp;""</f>
      </c>
      <c r="H1621">
        <f>[1]资金台帐!H1621&amp;""</f>
      </c>
      <c r="J1621">
        <f>[1]资金台帐!J1621&amp;""</f>
      </c>
      <c r="N1621">
        <f>[1]资金台帐!N1621</f>
      </c>
      <c r="O1621">
        <f>[1]资金台帐!O1621&amp;""</f>
      </c>
      <c r="P1621">
        <f>[1]资金台帐!P1621&amp;""</f>
      </c>
      <c r="Q1621">
        <f>[1]资金台帐!Q1621&amp;""</f>
      </c>
      <c r="T1621">
        <f>[1]资金台帐!T1621&amp;""</f>
      </c>
      <c r="U1621">
        <f>[1]资金台帐!U1621&amp;""</f>
      </c>
      <c r="W1621">
        <f>[1]资金台帐!W1621&amp;""</f>
      </c>
      <c r="X1621">
        <f>[1]资金台帐!X1621&amp;""</f>
      </c>
      <c r="AB1621">
        <f>[1]资金台帐!AB1621</f>
        <v>0</v>
      </c>
      <c r="AC1621">
        <f>[1]资金台帐!AC1621</f>
        <v>0</v>
      </c>
      <c r="AD1621">
        <f>[1]资金台帐!AD1621</f>
        <v>0</v>
      </c>
      <c r="AJ1621">
        <f>[1]资金台帐!AJ1621</f>
        <v>0</v>
      </c>
      <c r="AK1621">
        <f>[1]资金台帐!AK1621</f>
        <v>0</v>
      </c>
      <c r="BA1621" s="22">
        <f t="shared" si="0"/>
      </c>
      <c r="BG1621" s="22">
        <f t="shared" si="1"/>
      </c>
      <c r="BH1621" s="22">
        <f t="shared" si="2"/>
        <v>0</v>
      </c>
    </row>
    <row r="1622">
      <c r="B1622">
        <f>[1]资金台帐!B1622&amp;""</f>
      </c>
      <c r="H1622">
        <f>[1]资金台帐!H1622&amp;""</f>
      </c>
      <c r="J1622">
        <f>[1]资金台帐!J1622&amp;""</f>
      </c>
      <c r="N1622">
        <f>[1]资金台帐!N1622</f>
      </c>
      <c r="O1622">
        <f>[1]资金台帐!O1622&amp;""</f>
      </c>
      <c r="P1622">
        <f>[1]资金台帐!P1622&amp;""</f>
      </c>
      <c r="Q1622">
        <f>[1]资金台帐!Q1622&amp;""</f>
      </c>
      <c r="T1622">
        <f>[1]资金台帐!T1622&amp;""</f>
      </c>
      <c r="U1622">
        <f>[1]资金台帐!U1622&amp;""</f>
      </c>
      <c r="W1622">
        <f>[1]资金台帐!W1622&amp;""</f>
      </c>
      <c r="X1622">
        <f>[1]资金台帐!X1622&amp;""</f>
      </c>
      <c r="AB1622">
        <f>[1]资金台帐!AB1622</f>
        <v>0</v>
      </c>
      <c r="AC1622">
        <f>[1]资金台帐!AC1622</f>
        <v>0</v>
      </c>
      <c r="AD1622">
        <f>[1]资金台帐!AD1622</f>
        <v>0</v>
      </c>
      <c r="AJ1622">
        <f>[1]资金台帐!AJ1622</f>
        <v>0</v>
      </c>
      <c r="AK1622">
        <f>[1]资金台帐!AK1622</f>
        <v>0</v>
      </c>
      <c r="BA1622" s="22">
        <f t="shared" si="0"/>
      </c>
      <c r="BG1622" s="22">
        <f t="shared" si="1"/>
      </c>
      <c r="BH1622" s="22">
        <f t="shared" si="2"/>
        <v>0</v>
      </c>
    </row>
    <row r="1623">
      <c r="B1623">
        <f>[1]资金台帐!B1623&amp;""</f>
      </c>
      <c r="H1623">
        <f>[1]资金台帐!H1623&amp;""</f>
      </c>
      <c r="J1623">
        <f>[1]资金台帐!J1623&amp;""</f>
      </c>
      <c r="N1623">
        <f>[1]资金台帐!N1623</f>
      </c>
      <c r="O1623">
        <f>[1]资金台帐!O1623&amp;""</f>
      </c>
      <c r="P1623">
        <f>[1]资金台帐!P1623&amp;""</f>
      </c>
      <c r="Q1623">
        <f>[1]资金台帐!Q1623&amp;""</f>
      </c>
      <c r="T1623">
        <f>[1]资金台帐!T1623&amp;""</f>
      </c>
      <c r="U1623">
        <f>[1]资金台帐!U1623&amp;""</f>
      </c>
      <c r="W1623">
        <f>[1]资金台帐!W1623&amp;""</f>
      </c>
      <c r="X1623">
        <f>[1]资金台帐!X1623&amp;""</f>
      </c>
      <c r="AB1623">
        <f>[1]资金台帐!AB1623</f>
        <v>0</v>
      </c>
      <c r="AC1623">
        <f>[1]资金台帐!AC1623</f>
        <v>0</v>
      </c>
      <c r="AD1623">
        <f>[1]资金台帐!AD1623</f>
        <v>0</v>
      </c>
      <c r="AJ1623">
        <f>[1]资金台帐!AJ1623</f>
        <v>0</v>
      </c>
      <c r="AK1623">
        <f>[1]资金台帐!AK1623</f>
        <v>0</v>
      </c>
      <c r="BA1623" s="22">
        <f t="shared" si="0"/>
      </c>
      <c r="BG1623" s="22">
        <f t="shared" si="1"/>
      </c>
      <c r="BH1623" s="22">
        <f t="shared" si="2"/>
        <v>0</v>
      </c>
    </row>
    <row r="1624">
      <c r="B1624">
        <f>[1]资金台帐!B1624&amp;""</f>
      </c>
      <c r="H1624">
        <f>[1]资金台帐!H1624&amp;""</f>
      </c>
      <c r="J1624">
        <f>[1]资金台帐!J1624&amp;""</f>
      </c>
      <c r="N1624">
        <f>[1]资金台帐!N1624</f>
      </c>
      <c r="O1624">
        <f>[1]资金台帐!O1624&amp;""</f>
      </c>
      <c r="P1624">
        <f>[1]资金台帐!P1624&amp;""</f>
      </c>
      <c r="Q1624">
        <f>[1]资金台帐!Q1624&amp;""</f>
      </c>
      <c r="T1624">
        <f>[1]资金台帐!T1624&amp;""</f>
      </c>
      <c r="U1624">
        <f>[1]资金台帐!U1624&amp;""</f>
      </c>
      <c r="W1624">
        <f>[1]资金台帐!W1624&amp;""</f>
      </c>
      <c r="X1624">
        <f>[1]资金台帐!X1624&amp;""</f>
      </c>
      <c r="AB1624">
        <f>[1]资金台帐!AB1624</f>
        <v>0</v>
      </c>
      <c r="AC1624">
        <f>[1]资金台帐!AC1624</f>
        <v>0</v>
      </c>
      <c r="AD1624">
        <f>[1]资金台帐!AD1624</f>
        <v>0</v>
      </c>
      <c r="AJ1624">
        <f>[1]资金台帐!AJ1624</f>
        <v>0</v>
      </c>
      <c r="AK1624">
        <f>[1]资金台帐!AK1624</f>
        <v>0</v>
      </c>
      <c r="BA1624" s="22">
        <f t="shared" si="0"/>
      </c>
      <c r="BG1624" s="22">
        <f t="shared" si="1"/>
      </c>
      <c r="BH1624" s="22">
        <f t="shared" si="2"/>
        <v>0</v>
      </c>
    </row>
    <row r="1625">
      <c r="B1625">
        <f>[1]资金台帐!B1625&amp;""</f>
      </c>
      <c r="H1625">
        <f>[1]资金台帐!H1625&amp;""</f>
      </c>
      <c r="J1625">
        <f>[1]资金台帐!J1625&amp;""</f>
      </c>
      <c r="N1625">
        <f>[1]资金台帐!N1625</f>
      </c>
      <c r="O1625">
        <f>[1]资金台帐!O1625&amp;""</f>
      </c>
      <c r="P1625">
        <f>[1]资金台帐!P1625&amp;""</f>
      </c>
      <c r="Q1625">
        <f>[1]资金台帐!Q1625&amp;""</f>
      </c>
      <c r="T1625">
        <f>[1]资金台帐!T1625&amp;""</f>
      </c>
      <c r="U1625">
        <f>[1]资金台帐!U1625&amp;""</f>
      </c>
      <c r="W1625">
        <f>[1]资金台帐!W1625&amp;""</f>
      </c>
      <c r="X1625">
        <f>[1]资金台帐!X1625&amp;""</f>
      </c>
      <c r="AB1625">
        <f>[1]资金台帐!AB1625</f>
        <v>0</v>
      </c>
      <c r="AC1625">
        <f>[1]资金台帐!AC1625</f>
        <v>0</v>
      </c>
      <c r="AD1625">
        <f>[1]资金台帐!AD1625</f>
        <v>0</v>
      </c>
      <c r="AJ1625">
        <f>[1]资金台帐!AJ1625</f>
        <v>0</v>
      </c>
      <c r="AK1625">
        <f>[1]资金台帐!AK1625</f>
        <v>0</v>
      </c>
      <c r="BA1625" s="22">
        <f t="shared" si="0"/>
      </c>
      <c r="BG1625" s="22">
        <f t="shared" si="1"/>
      </c>
      <c r="BH1625" s="22">
        <f t="shared" si="2"/>
        <v>0</v>
      </c>
    </row>
    <row r="1626">
      <c r="B1626">
        <f>[1]资金台帐!B1626&amp;""</f>
      </c>
      <c r="H1626">
        <f>[1]资金台帐!H1626&amp;""</f>
      </c>
      <c r="J1626">
        <f>[1]资金台帐!J1626&amp;""</f>
      </c>
      <c r="N1626">
        <f>[1]资金台帐!N1626</f>
      </c>
      <c r="O1626">
        <f>[1]资金台帐!O1626&amp;""</f>
      </c>
      <c r="P1626">
        <f>[1]资金台帐!P1626&amp;""</f>
      </c>
      <c r="Q1626">
        <f>[1]资金台帐!Q1626&amp;""</f>
      </c>
      <c r="T1626">
        <f>[1]资金台帐!T1626&amp;""</f>
      </c>
      <c r="U1626">
        <f>[1]资金台帐!U1626&amp;""</f>
      </c>
      <c r="W1626">
        <f>[1]资金台帐!W1626&amp;""</f>
      </c>
      <c r="X1626">
        <f>[1]资金台帐!X1626&amp;""</f>
      </c>
      <c r="AB1626">
        <f>[1]资金台帐!AB1626</f>
        <v>0</v>
      </c>
      <c r="AC1626">
        <f>[1]资金台帐!AC1626</f>
        <v>0</v>
      </c>
      <c r="AD1626">
        <f>[1]资金台帐!AD1626</f>
        <v>0</v>
      </c>
      <c r="AJ1626">
        <f>[1]资金台帐!AJ1626</f>
        <v>0</v>
      </c>
      <c r="AK1626">
        <f>[1]资金台帐!AK1626</f>
        <v>0</v>
      </c>
      <c r="BA1626" s="22">
        <f t="shared" si="0"/>
      </c>
      <c r="BG1626" s="22">
        <f t="shared" si="1"/>
      </c>
      <c r="BH1626" s="22">
        <f t="shared" si="2"/>
        <v>0</v>
      </c>
    </row>
    <row r="1627">
      <c r="B1627">
        <f>[1]资金台帐!B1627&amp;""</f>
      </c>
      <c r="H1627">
        <f>[1]资金台帐!H1627&amp;""</f>
      </c>
      <c r="J1627">
        <f>[1]资金台帐!J1627&amp;""</f>
      </c>
      <c r="N1627">
        <f>[1]资金台帐!N1627</f>
      </c>
      <c r="O1627">
        <f>[1]资金台帐!O1627&amp;""</f>
      </c>
      <c r="P1627">
        <f>[1]资金台帐!P1627&amp;""</f>
      </c>
      <c r="Q1627">
        <f>[1]资金台帐!Q1627&amp;""</f>
      </c>
      <c r="T1627">
        <f>[1]资金台帐!T1627&amp;""</f>
      </c>
      <c r="U1627">
        <f>[1]资金台帐!U1627&amp;""</f>
      </c>
      <c r="W1627">
        <f>[1]资金台帐!W1627&amp;""</f>
      </c>
      <c r="X1627">
        <f>[1]资金台帐!X1627&amp;""</f>
      </c>
      <c r="AB1627">
        <f>[1]资金台帐!AB1627</f>
        <v>0</v>
      </c>
      <c r="AC1627">
        <f>[1]资金台帐!AC1627</f>
        <v>0</v>
      </c>
      <c r="AD1627">
        <f>[1]资金台帐!AD1627</f>
        <v>0</v>
      </c>
      <c r="AJ1627">
        <f>[1]资金台帐!AJ1627</f>
        <v>0</v>
      </c>
      <c r="AK1627">
        <f>[1]资金台帐!AK1627</f>
        <v>0</v>
      </c>
      <c r="BA1627" s="22">
        <f t="shared" si="0"/>
      </c>
      <c r="BG1627" s="22">
        <f t="shared" si="1"/>
      </c>
      <c r="BH1627" s="22">
        <f t="shared" si="2"/>
        <v>0</v>
      </c>
    </row>
    <row r="1628">
      <c r="B1628">
        <f>[1]资金台帐!B1628&amp;""</f>
      </c>
      <c r="H1628">
        <f>[1]资金台帐!H1628&amp;""</f>
      </c>
      <c r="J1628">
        <f>[1]资金台帐!J1628&amp;""</f>
      </c>
      <c r="N1628">
        <f>[1]资金台帐!N1628</f>
      </c>
      <c r="O1628">
        <f>[1]资金台帐!O1628&amp;""</f>
      </c>
      <c r="P1628">
        <f>[1]资金台帐!P1628&amp;""</f>
      </c>
      <c r="Q1628">
        <f>[1]资金台帐!Q1628&amp;""</f>
      </c>
      <c r="T1628">
        <f>[1]资金台帐!T1628&amp;""</f>
      </c>
      <c r="U1628">
        <f>[1]资金台帐!U1628&amp;""</f>
      </c>
      <c r="W1628">
        <f>[1]资金台帐!W1628&amp;""</f>
      </c>
      <c r="X1628">
        <f>[1]资金台帐!X1628&amp;""</f>
      </c>
      <c r="AB1628">
        <f>[1]资金台帐!AB1628</f>
        <v>0</v>
      </c>
      <c r="AC1628">
        <f>[1]资金台帐!AC1628</f>
        <v>0</v>
      </c>
      <c r="AD1628">
        <f>[1]资金台帐!AD1628</f>
        <v>0</v>
      </c>
      <c r="AJ1628">
        <f>[1]资金台帐!AJ1628</f>
        <v>0</v>
      </c>
      <c r="AK1628">
        <f>[1]资金台帐!AK1628</f>
        <v>0</v>
      </c>
      <c r="BA1628" s="22">
        <f t="shared" si="0"/>
      </c>
      <c r="BG1628" s="22">
        <f t="shared" si="1"/>
      </c>
      <c r="BH1628" s="22">
        <f t="shared" si="2"/>
        <v>0</v>
      </c>
    </row>
    <row r="1629">
      <c r="B1629">
        <f>[1]资金台帐!B1629&amp;""</f>
      </c>
      <c r="H1629">
        <f>[1]资金台帐!H1629&amp;""</f>
      </c>
      <c r="J1629">
        <f>[1]资金台帐!J1629&amp;""</f>
      </c>
      <c r="N1629">
        <f>[1]资金台帐!N1629</f>
      </c>
      <c r="O1629">
        <f>[1]资金台帐!O1629&amp;""</f>
      </c>
      <c r="P1629">
        <f>[1]资金台帐!P1629&amp;""</f>
      </c>
      <c r="Q1629">
        <f>[1]资金台帐!Q1629&amp;""</f>
      </c>
      <c r="T1629">
        <f>[1]资金台帐!T1629&amp;""</f>
      </c>
      <c r="U1629">
        <f>[1]资金台帐!U1629&amp;""</f>
      </c>
      <c r="W1629">
        <f>[1]资金台帐!W1629&amp;""</f>
      </c>
      <c r="X1629">
        <f>[1]资金台帐!X1629&amp;""</f>
      </c>
      <c r="AB1629">
        <f>[1]资金台帐!AB1629</f>
        <v>0</v>
      </c>
      <c r="AC1629">
        <f>[1]资金台帐!AC1629</f>
        <v>0</v>
      </c>
      <c r="AD1629">
        <f>[1]资金台帐!AD1629</f>
        <v>0</v>
      </c>
      <c r="AJ1629">
        <f>[1]资金台帐!AJ1629</f>
        <v>0</v>
      </c>
      <c r="AK1629">
        <f>[1]资金台帐!AK1629</f>
        <v>0</v>
      </c>
      <c r="BA1629" s="22">
        <f t="shared" si="0"/>
      </c>
      <c r="BG1629" s="22">
        <f t="shared" si="1"/>
      </c>
      <c r="BH1629" s="22">
        <f t="shared" si="2"/>
        <v>0</v>
      </c>
    </row>
    <row r="1630">
      <c r="B1630">
        <f>[1]资金台帐!B1630&amp;""</f>
      </c>
      <c r="H1630">
        <f>[1]资金台帐!H1630&amp;""</f>
      </c>
      <c r="J1630">
        <f>[1]资金台帐!J1630&amp;""</f>
      </c>
      <c r="N1630">
        <f>[1]资金台帐!N1630</f>
      </c>
      <c r="O1630">
        <f>[1]资金台帐!O1630&amp;""</f>
      </c>
      <c r="P1630">
        <f>[1]资金台帐!P1630&amp;""</f>
      </c>
      <c r="Q1630">
        <f>[1]资金台帐!Q1630&amp;""</f>
      </c>
      <c r="T1630">
        <f>[1]资金台帐!T1630&amp;""</f>
      </c>
      <c r="U1630">
        <f>[1]资金台帐!U1630&amp;""</f>
      </c>
      <c r="W1630">
        <f>[1]资金台帐!W1630&amp;""</f>
      </c>
      <c r="X1630">
        <f>[1]资金台帐!X1630&amp;""</f>
      </c>
      <c r="AB1630">
        <f>[1]资金台帐!AB1630</f>
        <v>0</v>
      </c>
      <c r="AC1630">
        <f>[1]资金台帐!AC1630</f>
        <v>0</v>
      </c>
      <c r="AD1630">
        <f>[1]资金台帐!AD1630</f>
        <v>0</v>
      </c>
      <c r="AJ1630">
        <f>[1]资金台帐!AJ1630</f>
        <v>0</v>
      </c>
      <c r="AK1630">
        <f>[1]资金台帐!AK1630</f>
        <v>0</v>
      </c>
      <c r="BA1630" s="22">
        <f t="shared" si="0"/>
      </c>
      <c r="BG1630" s="22">
        <f t="shared" si="1"/>
      </c>
      <c r="BH1630" s="22">
        <f t="shared" si="2"/>
        <v>0</v>
      </c>
    </row>
    <row r="1631">
      <c r="B1631">
        <f>[1]资金台帐!B1631&amp;""</f>
      </c>
      <c r="H1631">
        <f>[1]资金台帐!H1631&amp;""</f>
      </c>
      <c r="J1631">
        <f>[1]资金台帐!J1631&amp;""</f>
      </c>
      <c r="N1631">
        <f>[1]资金台帐!N1631</f>
      </c>
      <c r="O1631">
        <f>[1]资金台帐!O1631&amp;""</f>
      </c>
      <c r="P1631">
        <f>[1]资金台帐!P1631&amp;""</f>
      </c>
      <c r="Q1631">
        <f>[1]资金台帐!Q1631&amp;""</f>
      </c>
      <c r="T1631">
        <f>[1]资金台帐!T1631&amp;""</f>
      </c>
      <c r="U1631">
        <f>[1]资金台帐!U1631&amp;""</f>
      </c>
      <c r="W1631">
        <f>[1]资金台帐!W1631&amp;""</f>
      </c>
      <c r="X1631">
        <f>[1]资金台帐!X1631&amp;""</f>
      </c>
      <c r="AB1631">
        <f>[1]资金台帐!AB1631</f>
        <v>0</v>
      </c>
      <c r="AC1631">
        <f>[1]资金台帐!AC1631</f>
        <v>0</v>
      </c>
      <c r="AD1631">
        <f>[1]资金台帐!AD1631</f>
        <v>0</v>
      </c>
      <c r="AJ1631">
        <f>[1]资金台帐!AJ1631</f>
        <v>0</v>
      </c>
      <c r="AK1631">
        <f>[1]资金台帐!AK1631</f>
        <v>0</v>
      </c>
      <c r="BA1631" s="22">
        <f t="shared" si="0"/>
      </c>
      <c r="BG1631" s="22">
        <f t="shared" si="1"/>
      </c>
      <c r="BH1631" s="22">
        <f t="shared" si="2"/>
        <v>0</v>
      </c>
    </row>
    <row r="1632">
      <c r="B1632">
        <f>[1]资金台帐!B1632&amp;""</f>
      </c>
      <c r="H1632">
        <f>[1]资金台帐!H1632&amp;""</f>
      </c>
      <c r="J1632">
        <f>[1]资金台帐!J1632&amp;""</f>
      </c>
      <c r="N1632">
        <f>[1]资金台帐!N1632</f>
      </c>
      <c r="O1632">
        <f>[1]资金台帐!O1632&amp;""</f>
      </c>
      <c r="P1632">
        <f>[1]资金台帐!P1632&amp;""</f>
      </c>
      <c r="Q1632">
        <f>[1]资金台帐!Q1632&amp;""</f>
      </c>
      <c r="T1632">
        <f>[1]资金台帐!T1632&amp;""</f>
      </c>
      <c r="U1632">
        <f>[1]资金台帐!U1632&amp;""</f>
      </c>
      <c r="W1632">
        <f>[1]资金台帐!W1632&amp;""</f>
      </c>
      <c r="X1632">
        <f>[1]资金台帐!X1632&amp;""</f>
      </c>
      <c r="AB1632">
        <f>[1]资金台帐!AB1632</f>
        <v>0</v>
      </c>
      <c r="AC1632">
        <f>[1]资金台帐!AC1632</f>
        <v>0</v>
      </c>
      <c r="AD1632">
        <f>[1]资金台帐!AD1632</f>
        <v>0</v>
      </c>
      <c r="AJ1632">
        <f>[1]资金台帐!AJ1632</f>
        <v>0</v>
      </c>
      <c r="AK1632">
        <f>[1]资金台帐!AK1632</f>
        <v>0</v>
      </c>
      <c r="BA1632" s="22">
        <f t="shared" si="0"/>
      </c>
      <c r="BG1632" s="22">
        <f t="shared" si="1"/>
      </c>
      <c r="BH1632" s="22">
        <f t="shared" si="2"/>
        <v>0</v>
      </c>
    </row>
    <row r="1633">
      <c r="B1633">
        <f>[1]资金台帐!B1633&amp;""</f>
      </c>
      <c r="H1633">
        <f>[1]资金台帐!H1633&amp;""</f>
      </c>
      <c r="J1633">
        <f>[1]资金台帐!J1633&amp;""</f>
      </c>
      <c r="N1633">
        <f>[1]资金台帐!N1633</f>
      </c>
      <c r="O1633">
        <f>[1]资金台帐!O1633&amp;""</f>
      </c>
      <c r="P1633">
        <f>[1]资金台帐!P1633&amp;""</f>
      </c>
      <c r="Q1633">
        <f>[1]资金台帐!Q1633&amp;""</f>
      </c>
      <c r="T1633">
        <f>[1]资金台帐!T1633&amp;""</f>
      </c>
      <c r="U1633">
        <f>[1]资金台帐!U1633&amp;""</f>
      </c>
      <c r="W1633">
        <f>[1]资金台帐!W1633&amp;""</f>
      </c>
      <c r="X1633">
        <f>[1]资金台帐!X1633&amp;""</f>
      </c>
      <c r="AB1633">
        <f>[1]资金台帐!AB1633</f>
        <v>0</v>
      </c>
      <c r="AC1633">
        <f>[1]资金台帐!AC1633</f>
        <v>0</v>
      </c>
      <c r="AD1633">
        <f>[1]资金台帐!AD1633</f>
        <v>0</v>
      </c>
      <c r="AJ1633">
        <f>[1]资金台帐!AJ1633</f>
        <v>0</v>
      </c>
      <c r="AK1633">
        <f>[1]资金台帐!AK1633</f>
        <v>0</v>
      </c>
      <c r="BA1633" s="22">
        <f t="shared" si="0"/>
      </c>
      <c r="BG1633" s="22">
        <f t="shared" si="1"/>
      </c>
      <c r="BH1633" s="22">
        <f t="shared" si="2"/>
        <v>0</v>
      </c>
    </row>
    <row r="1634">
      <c r="B1634">
        <f>[1]资金台帐!B1634&amp;""</f>
      </c>
      <c r="H1634">
        <f>[1]资金台帐!H1634&amp;""</f>
      </c>
      <c r="J1634">
        <f>[1]资金台帐!J1634&amp;""</f>
      </c>
      <c r="N1634">
        <f>[1]资金台帐!N1634</f>
      </c>
      <c r="O1634">
        <f>[1]资金台帐!O1634&amp;""</f>
      </c>
      <c r="P1634">
        <f>[1]资金台帐!P1634&amp;""</f>
      </c>
      <c r="Q1634">
        <f>[1]资金台帐!Q1634&amp;""</f>
      </c>
      <c r="T1634">
        <f>[1]资金台帐!T1634&amp;""</f>
      </c>
      <c r="U1634">
        <f>[1]资金台帐!U1634&amp;""</f>
      </c>
      <c r="W1634">
        <f>[1]资金台帐!W1634&amp;""</f>
      </c>
      <c r="X1634">
        <f>[1]资金台帐!X1634&amp;""</f>
      </c>
      <c r="AB1634">
        <f>[1]资金台帐!AB1634</f>
        <v>0</v>
      </c>
      <c r="AC1634">
        <f>[1]资金台帐!AC1634</f>
        <v>0</v>
      </c>
      <c r="AD1634">
        <f>[1]资金台帐!AD1634</f>
        <v>0</v>
      </c>
      <c r="AJ1634">
        <f>[1]资金台帐!AJ1634</f>
        <v>0</v>
      </c>
      <c r="AK1634">
        <f>[1]资金台帐!AK1634</f>
        <v>0</v>
      </c>
      <c r="BA1634" s="22">
        <f t="shared" si="0"/>
      </c>
      <c r="BG1634" s="22">
        <f t="shared" si="1"/>
      </c>
      <c r="BH1634" s="22">
        <f t="shared" si="2"/>
        <v>0</v>
      </c>
    </row>
    <row r="1635">
      <c r="B1635">
        <f>[1]资金台帐!B1635&amp;""</f>
      </c>
      <c r="H1635">
        <f>[1]资金台帐!H1635&amp;""</f>
      </c>
      <c r="J1635">
        <f>[1]资金台帐!J1635&amp;""</f>
      </c>
      <c r="N1635">
        <f>[1]资金台帐!N1635</f>
      </c>
      <c r="O1635">
        <f>[1]资金台帐!O1635&amp;""</f>
      </c>
      <c r="P1635">
        <f>[1]资金台帐!P1635&amp;""</f>
      </c>
      <c r="Q1635">
        <f>[1]资金台帐!Q1635&amp;""</f>
      </c>
      <c r="T1635">
        <f>[1]资金台帐!T1635&amp;""</f>
      </c>
      <c r="U1635">
        <f>[1]资金台帐!U1635&amp;""</f>
      </c>
      <c r="W1635">
        <f>[1]资金台帐!W1635&amp;""</f>
      </c>
      <c r="X1635">
        <f>[1]资金台帐!X1635&amp;""</f>
      </c>
      <c r="AB1635">
        <f>[1]资金台帐!AB1635</f>
        <v>0</v>
      </c>
      <c r="AC1635">
        <f>[1]资金台帐!AC1635</f>
        <v>0</v>
      </c>
      <c r="AD1635">
        <f>[1]资金台帐!AD1635</f>
        <v>0</v>
      </c>
      <c r="AJ1635">
        <f>[1]资金台帐!AJ1635</f>
        <v>0</v>
      </c>
      <c r="AK1635">
        <f>[1]资金台帐!AK1635</f>
        <v>0</v>
      </c>
      <c r="BA1635" s="22">
        <f t="shared" si="0"/>
      </c>
      <c r="BG1635" s="22">
        <f t="shared" si="1"/>
      </c>
      <c r="BH1635" s="22">
        <f t="shared" si="2"/>
        <v>0</v>
      </c>
    </row>
    <row r="1636">
      <c r="B1636">
        <f>[1]资金台帐!B1636&amp;""</f>
      </c>
      <c r="H1636">
        <f>[1]资金台帐!H1636&amp;""</f>
      </c>
      <c r="J1636">
        <f>[1]资金台帐!J1636&amp;""</f>
      </c>
      <c r="N1636">
        <f>[1]资金台帐!N1636</f>
      </c>
      <c r="O1636">
        <f>[1]资金台帐!O1636&amp;""</f>
      </c>
      <c r="P1636">
        <f>[1]资金台帐!P1636&amp;""</f>
      </c>
      <c r="Q1636">
        <f>[1]资金台帐!Q1636&amp;""</f>
      </c>
      <c r="T1636">
        <f>[1]资金台帐!T1636&amp;""</f>
      </c>
      <c r="U1636">
        <f>[1]资金台帐!U1636&amp;""</f>
      </c>
      <c r="W1636">
        <f>[1]资金台帐!W1636&amp;""</f>
      </c>
      <c r="X1636">
        <f>[1]资金台帐!X1636&amp;""</f>
      </c>
      <c r="AB1636">
        <f>[1]资金台帐!AB1636</f>
        <v>0</v>
      </c>
      <c r="AC1636">
        <f>[1]资金台帐!AC1636</f>
        <v>0</v>
      </c>
      <c r="AD1636">
        <f>[1]资金台帐!AD1636</f>
        <v>0</v>
      </c>
      <c r="AJ1636">
        <f>[1]资金台帐!AJ1636</f>
        <v>0</v>
      </c>
      <c r="AK1636">
        <f>[1]资金台帐!AK1636</f>
        <v>0</v>
      </c>
      <c r="BA1636" s="22">
        <f t="shared" si="0"/>
      </c>
      <c r="BG1636" s="22">
        <f t="shared" si="1"/>
      </c>
      <c r="BH1636" s="22">
        <f t="shared" si="2"/>
        <v>0</v>
      </c>
    </row>
    <row r="1637">
      <c r="B1637">
        <f>[1]资金台帐!B1637&amp;""</f>
      </c>
      <c r="H1637">
        <f>[1]资金台帐!H1637&amp;""</f>
      </c>
      <c r="J1637">
        <f>[1]资金台帐!J1637&amp;""</f>
      </c>
      <c r="N1637">
        <f>[1]资金台帐!N1637</f>
      </c>
      <c r="O1637">
        <f>[1]资金台帐!O1637&amp;""</f>
      </c>
      <c r="P1637">
        <f>[1]资金台帐!P1637&amp;""</f>
      </c>
      <c r="Q1637">
        <f>[1]资金台帐!Q1637&amp;""</f>
      </c>
      <c r="T1637">
        <f>[1]资金台帐!T1637&amp;""</f>
      </c>
      <c r="U1637">
        <f>[1]资金台帐!U1637&amp;""</f>
      </c>
      <c r="W1637">
        <f>[1]资金台帐!W1637&amp;""</f>
      </c>
      <c r="X1637">
        <f>[1]资金台帐!X1637&amp;""</f>
      </c>
      <c r="AB1637">
        <f>[1]资金台帐!AB1637</f>
        <v>0</v>
      </c>
      <c r="AC1637">
        <f>[1]资金台帐!AC1637</f>
        <v>0</v>
      </c>
      <c r="AD1637">
        <f>[1]资金台帐!AD1637</f>
        <v>0</v>
      </c>
      <c r="AJ1637">
        <f>[1]资金台帐!AJ1637</f>
        <v>0</v>
      </c>
      <c r="AK1637">
        <f>[1]资金台帐!AK1637</f>
        <v>0</v>
      </c>
      <c r="BA1637" s="22">
        <f t="shared" si="0"/>
      </c>
      <c r="BG1637" s="22">
        <f t="shared" si="1"/>
      </c>
      <c r="BH1637" s="22">
        <f t="shared" si="2"/>
        <v>0</v>
      </c>
    </row>
    <row r="1638">
      <c r="B1638">
        <f>[1]资金台帐!B1638&amp;""</f>
      </c>
      <c r="H1638">
        <f>[1]资金台帐!H1638&amp;""</f>
      </c>
      <c r="J1638">
        <f>[1]资金台帐!J1638&amp;""</f>
      </c>
      <c r="N1638">
        <f>[1]资金台帐!N1638</f>
      </c>
      <c r="O1638">
        <f>[1]资金台帐!O1638&amp;""</f>
      </c>
      <c r="P1638">
        <f>[1]资金台帐!P1638&amp;""</f>
      </c>
      <c r="Q1638">
        <f>[1]资金台帐!Q1638&amp;""</f>
      </c>
      <c r="T1638">
        <f>[1]资金台帐!T1638&amp;""</f>
      </c>
      <c r="U1638">
        <f>[1]资金台帐!U1638&amp;""</f>
      </c>
      <c r="W1638">
        <f>[1]资金台帐!W1638&amp;""</f>
      </c>
      <c r="X1638">
        <f>[1]资金台帐!X1638&amp;""</f>
      </c>
      <c r="AB1638">
        <f>[1]资金台帐!AB1638</f>
        <v>0</v>
      </c>
      <c r="AC1638">
        <f>[1]资金台帐!AC1638</f>
        <v>0</v>
      </c>
      <c r="AD1638">
        <f>[1]资金台帐!AD1638</f>
        <v>0</v>
      </c>
      <c r="AJ1638">
        <f>[1]资金台帐!AJ1638</f>
        <v>0</v>
      </c>
      <c r="AK1638">
        <f>[1]资金台帐!AK1638</f>
        <v>0</v>
      </c>
      <c r="BA1638" s="22">
        <f t="shared" si="0"/>
      </c>
      <c r="BG1638" s="22">
        <f t="shared" si="1"/>
      </c>
      <c r="BH1638" s="22">
        <f t="shared" si="2"/>
        <v>0</v>
      </c>
    </row>
    <row r="1639">
      <c r="B1639">
        <f>[1]资金台帐!B1639&amp;""</f>
      </c>
      <c r="H1639">
        <f>[1]资金台帐!H1639&amp;""</f>
      </c>
      <c r="J1639">
        <f>[1]资金台帐!J1639&amp;""</f>
      </c>
      <c r="N1639">
        <f>[1]资金台帐!N1639</f>
      </c>
      <c r="O1639">
        <f>[1]资金台帐!O1639&amp;""</f>
      </c>
      <c r="P1639">
        <f>[1]资金台帐!P1639&amp;""</f>
      </c>
      <c r="Q1639">
        <f>[1]资金台帐!Q1639&amp;""</f>
      </c>
      <c r="T1639">
        <f>[1]资金台帐!T1639&amp;""</f>
      </c>
      <c r="U1639">
        <f>[1]资金台帐!U1639&amp;""</f>
      </c>
      <c r="W1639">
        <f>[1]资金台帐!W1639&amp;""</f>
      </c>
      <c r="X1639">
        <f>[1]资金台帐!X1639&amp;""</f>
      </c>
      <c r="AB1639">
        <f>[1]资金台帐!AB1639</f>
        <v>0</v>
      </c>
      <c r="AC1639">
        <f>[1]资金台帐!AC1639</f>
        <v>0</v>
      </c>
      <c r="AD1639">
        <f>[1]资金台帐!AD1639</f>
        <v>0</v>
      </c>
      <c r="AJ1639">
        <f>[1]资金台帐!AJ1639</f>
        <v>0</v>
      </c>
      <c r="AK1639">
        <f>[1]资金台帐!AK1639</f>
        <v>0</v>
      </c>
      <c r="BA1639" s="22">
        <f t="shared" si="0"/>
      </c>
      <c r="BG1639" s="22">
        <f t="shared" si="1"/>
      </c>
      <c r="BH1639" s="22">
        <f t="shared" si="2"/>
        <v>0</v>
      </c>
    </row>
    <row r="1640">
      <c r="B1640">
        <f>[1]资金台帐!B1640&amp;""</f>
      </c>
      <c r="H1640">
        <f>[1]资金台帐!H1640&amp;""</f>
      </c>
      <c r="J1640">
        <f>[1]资金台帐!J1640&amp;""</f>
      </c>
      <c r="N1640">
        <f>[1]资金台帐!N1640</f>
      </c>
      <c r="O1640">
        <f>[1]资金台帐!O1640&amp;""</f>
      </c>
      <c r="P1640">
        <f>[1]资金台帐!P1640&amp;""</f>
      </c>
      <c r="Q1640">
        <f>[1]资金台帐!Q1640&amp;""</f>
      </c>
      <c r="T1640">
        <f>[1]资金台帐!T1640&amp;""</f>
      </c>
      <c r="U1640">
        <f>[1]资金台帐!U1640&amp;""</f>
      </c>
      <c r="W1640">
        <f>[1]资金台帐!W1640&amp;""</f>
      </c>
      <c r="X1640">
        <f>[1]资金台帐!X1640&amp;""</f>
      </c>
      <c r="AB1640">
        <f>[1]资金台帐!AB1640</f>
        <v>0</v>
      </c>
      <c r="AC1640">
        <f>[1]资金台帐!AC1640</f>
        <v>0</v>
      </c>
      <c r="AD1640">
        <f>[1]资金台帐!AD1640</f>
        <v>0</v>
      </c>
      <c r="AJ1640">
        <f>[1]资金台帐!AJ1640</f>
        <v>0</v>
      </c>
      <c r="AK1640">
        <f>[1]资金台帐!AK1640</f>
        <v>0</v>
      </c>
      <c r="BA1640" s="22">
        <f t="shared" si="0"/>
      </c>
      <c r="BG1640" s="22">
        <f t="shared" si="1"/>
      </c>
      <c r="BH1640" s="22">
        <f t="shared" si="2"/>
        <v>0</v>
      </c>
    </row>
    <row r="1641">
      <c r="B1641">
        <f>[1]资金台帐!B1641&amp;""</f>
      </c>
      <c r="H1641">
        <f>[1]资金台帐!H1641&amp;""</f>
      </c>
      <c r="J1641">
        <f>[1]资金台帐!J1641&amp;""</f>
      </c>
      <c r="N1641">
        <f>[1]资金台帐!N1641</f>
      </c>
      <c r="O1641">
        <f>[1]资金台帐!O1641&amp;""</f>
      </c>
      <c r="P1641">
        <f>[1]资金台帐!P1641&amp;""</f>
      </c>
      <c r="Q1641">
        <f>[1]资金台帐!Q1641&amp;""</f>
      </c>
      <c r="T1641">
        <f>[1]资金台帐!T1641&amp;""</f>
      </c>
      <c r="U1641">
        <f>[1]资金台帐!U1641&amp;""</f>
      </c>
      <c r="W1641">
        <f>[1]资金台帐!W1641&amp;""</f>
      </c>
      <c r="X1641">
        <f>[1]资金台帐!X1641&amp;""</f>
      </c>
      <c r="AB1641">
        <f>[1]资金台帐!AB1641</f>
        <v>0</v>
      </c>
      <c r="AC1641">
        <f>[1]资金台帐!AC1641</f>
        <v>0</v>
      </c>
      <c r="AD1641">
        <f>[1]资金台帐!AD1641</f>
        <v>0</v>
      </c>
      <c r="AJ1641">
        <f>[1]资金台帐!AJ1641</f>
        <v>0</v>
      </c>
      <c r="AK1641">
        <f>[1]资金台帐!AK1641</f>
        <v>0</v>
      </c>
      <c r="BA1641" s="22">
        <f t="shared" si="0"/>
      </c>
      <c r="BG1641" s="22">
        <f t="shared" si="1"/>
      </c>
      <c r="BH1641" s="22">
        <f t="shared" si="2"/>
        <v>0</v>
      </c>
    </row>
    <row r="1642">
      <c r="B1642">
        <f>[1]资金台帐!B1642&amp;""</f>
      </c>
      <c r="H1642">
        <f>[1]资金台帐!H1642&amp;""</f>
      </c>
      <c r="J1642">
        <f>[1]资金台帐!J1642&amp;""</f>
      </c>
      <c r="N1642">
        <f>[1]资金台帐!N1642</f>
      </c>
      <c r="O1642">
        <f>[1]资金台帐!O1642&amp;""</f>
      </c>
      <c r="P1642">
        <f>[1]资金台帐!P1642&amp;""</f>
      </c>
      <c r="Q1642">
        <f>[1]资金台帐!Q1642&amp;""</f>
      </c>
      <c r="T1642">
        <f>[1]资金台帐!T1642&amp;""</f>
      </c>
      <c r="U1642">
        <f>[1]资金台帐!U1642&amp;""</f>
      </c>
      <c r="W1642">
        <f>[1]资金台帐!W1642&amp;""</f>
      </c>
      <c r="X1642">
        <f>[1]资金台帐!X1642&amp;""</f>
      </c>
      <c r="AB1642">
        <f>[1]资金台帐!AB1642</f>
        <v>0</v>
      </c>
      <c r="AC1642">
        <f>[1]资金台帐!AC1642</f>
        <v>0</v>
      </c>
      <c r="AD1642">
        <f>[1]资金台帐!AD1642</f>
        <v>0</v>
      </c>
      <c r="AJ1642">
        <f>[1]资金台帐!AJ1642</f>
        <v>0</v>
      </c>
      <c r="AK1642">
        <f>[1]资金台帐!AK1642</f>
        <v>0</v>
      </c>
      <c r="BA1642" s="22">
        <f t="shared" si="0"/>
      </c>
      <c r="BG1642" s="22">
        <f t="shared" si="1"/>
      </c>
      <c r="BH1642" s="22">
        <f t="shared" si="2"/>
        <v>0</v>
      </c>
    </row>
    <row r="1643">
      <c r="B1643">
        <f>[1]资金台帐!B1643&amp;""</f>
      </c>
      <c r="H1643">
        <f>[1]资金台帐!H1643&amp;""</f>
      </c>
      <c r="J1643">
        <f>[1]资金台帐!J1643&amp;""</f>
      </c>
      <c r="N1643">
        <f>[1]资金台帐!N1643</f>
      </c>
      <c r="O1643">
        <f>[1]资金台帐!O1643&amp;""</f>
      </c>
      <c r="P1643">
        <f>[1]资金台帐!P1643&amp;""</f>
      </c>
      <c r="Q1643">
        <f>[1]资金台帐!Q1643&amp;""</f>
      </c>
      <c r="T1643">
        <f>[1]资金台帐!T1643&amp;""</f>
      </c>
      <c r="U1643">
        <f>[1]资金台帐!U1643&amp;""</f>
      </c>
      <c r="W1643">
        <f>[1]资金台帐!W1643&amp;""</f>
      </c>
      <c r="X1643">
        <f>[1]资金台帐!X1643&amp;""</f>
      </c>
      <c r="AB1643">
        <f>[1]资金台帐!AB1643</f>
        <v>0</v>
      </c>
      <c r="AC1643">
        <f>[1]资金台帐!AC1643</f>
        <v>0</v>
      </c>
      <c r="AD1643">
        <f>[1]资金台帐!AD1643</f>
        <v>0</v>
      </c>
      <c r="AJ1643">
        <f>[1]资金台帐!AJ1643</f>
        <v>0</v>
      </c>
      <c r="AK1643">
        <f>[1]资金台帐!AK1643</f>
        <v>0</v>
      </c>
      <c r="BA1643" s="22">
        <f t="shared" si="0"/>
      </c>
      <c r="BG1643" s="22">
        <f t="shared" si="1"/>
      </c>
      <c r="BH1643" s="22">
        <f t="shared" si="2"/>
        <v>0</v>
      </c>
    </row>
    <row r="1644">
      <c r="B1644">
        <f>[1]资金台帐!B1644&amp;""</f>
      </c>
      <c r="H1644">
        <f>[1]资金台帐!H1644&amp;""</f>
      </c>
      <c r="J1644">
        <f>[1]资金台帐!J1644&amp;""</f>
      </c>
      <c r="N1644">
        <f>[1]资金台帐!N1644</f>
      </c>
      <c r="O1644">
        <f>[1]资金台帐!O1644&amp;""</f>
      </c>
      <c r="P1644">
        <f>[1]资金台帐!P1644&amp;""</f>
      </c>
      <c r="Q1644">
        <f>[1]资金台帐!Q1644&amp;""</f>
      </c>
      <c r="T1644">
        <f>[1]资金台帐!T1644&amp;""</f>
      </c>
      <c r="U1644">
        <f>[1]资金台帐!U1644&amp;""</f>
      </c>
      <c r="W1644">
        <f>[1]资金台帐!W1644&amp;""</f>
      </c>
      <c r="X1644">
        <f>[1]资金台帐!X1644&amp;""</f>
      </c>
      <c r="AB1644">
        <f>[1]资金台帐!AB1644</f>
        <v>0</v>
      </c>
      <c r="AC1644">
        <f>[1]资金台帐!AC1644</f>
        <v>0</v>
      </c>
      <c r="AD1644">
        <f>[1]资金台帐!AD1644</f>
        <v>0</v>
      </c>
      <c r="AJ1644">
        <f>[1]资金台帐!AJ1644</f>
        <v>0</v>
      </c>
      <c r="AK1644">
        <f>[1]资金台帐!AK1644</f>
        <v>0</v>
      </c>
      <c r="BA1644" s="22">
        <f t="shared" si="0"/>
      </c>
      <c r="BG1644" s="22">
        <f t="shared" si="1"/>
      </c>
      <c r="BH1644" s="22">
        <f t="shared" si="2"/>
        <v>0</v>
      </c>
    </row>
    <row r="1645">
      <c r="B1645">
        <f>[1]资金台帐!B1645&amp;""</f>
      </c>
      <c r="H1645">
        <f>[1]资金台帐!H1645&amp;""</f>
      </c>
      <c r="J1645">
        <f>[1]资金台帐!J1645&amp;""</f>
      </c>
      <c r="N1645">
        <f>[1]资金台帐!N1645</f>
      </c>
      <c r="O1645">
        <f>[1]资金台帐!O1645&amp;""</f>
      </c>
      <c r="P1645">
        <f>[1]资金台帐!P1645&amp;""</f>
      </c>
      <c r="Q1645">
        <f>[1]资金台帐!Q1645&amp;""</f>
      </c>
      <c r="T1645">
        <f>[1]资金台帐!T1645&amp;""</f>
      </c>
      <c r="U1645">
        <f>[1]资金台帐!U1645&amp;""</f>
      </c>
      <c r="W1645">
        <f>[1]资金台帐!W1645&amp;""</f>
      </c>
      <c r="X1645">
        <f>[1]资金台帐!X1645&amp;""</f>
      </c>
      <c r="AB1645">
        <f>[1]资金台帐!AB1645</f>
        <v>0</v>
      </c>
      <c r="AC1645">
        <f>[1]资金台帐!AC1645</f>
        <v>0</v>
      </c>
      <c r="AD1645">
        <f>[1]资金台帐!AD1645</f>
        <v>0</v>
      </c>
      <c r="AJ1645">
        <f>[1]资金台帐!AJ1645</f>
        <v>0</v>
      </c>
      <c r="AK1645">
        <f>[1]资金台帐!AK1645</f>
        <v>0</v>
      </c>
      <c r="BA1645" s="22">
        <f t="shared" si="0"/>
      </c>
      <c r="BG1645" s="22">
        <f t="shared" si="1"/>
      </c>
      <c r="BH1645" s="22">
        <f t="shared" si="2"/>
        <v>0</v>
      </c>
    </row>
    <row r="1646">
      <c r="B1646">
        <f>[1]资金台帐!B1646&amp;""</f>
      </c>
      <c r="H1646">
        <f>[1]资金台帐!H1646&amp;""</f>
      </c>
      <c r="J1646">
        <f>[1]资金台帐!J1646&amp;""</f>
      </c>
      <c r="N1646">
        <f>[1]资金台帐!N1646</f>
      </c>
      <c r="O1646">
        <f>[1]资金台帐!O1646&amp;""</f>
      </c>
      <c r="P1646">
        <f>[1]资金台帐!P1646&amp;""</f>
      </c>
      <c r="Q1646">
        <f>[1]资金台帐!Q1646&amp;""</f>
      </c>
      <c r="T1646">
        <f>[1]资金台帐!T1646&amp;""</f>
      </c>
      <c r="U1646">
        <f>[1]资金台帐!U1646&amp;""</f>
      </c>
      <c r="W1646">
        <f>[1]资金台帐!W1646&amp;""</f>
      </c>
      <c r="X1646">
        <f>[1]资金台帐!X1646&amp;""</f>
      </c>
      <c r="AB1646">
        <f>[1]资金台帐!AB1646</f>
        <v>0</v>
      </c>
      <c r="AC1646">
        <f>[1]资金台帐!AC1646</f>
        <v>0</v>
      </c>
      <c r="AD1646">
        <f>[1]资金台帐!AD1646</f>
        <v>0</v>
      </c>
      <c r="AJ1646">
        <f>[1]资金台帐!AJ1646</f>
        <v>0</v>
      </c>
      <c r="AK1646">
        <f>[1]资金台帐!AK1646</f>
        <v>0</v>
      </c>
      <c r="BA1646" s="22">
        <f t="shared" si="0"/>
      </c>
      <c r="BG1646" s="22">
        <f t="shared" si="1"/>
      </c>
      <c r="BH1646" s="22">
        <f t="shared" si="2"/>
        <v>0</v>
      </c>
    </row>
    <row r="1647">
      <c r="B1647">
        <f>[1]资金台帐!B1647&amp;""</f>
      </c>
      <c r="H1647">
        <f>[1]资金台帐!H1647&amp;""</f>
      </c>
      <c r="J1647">
        <f>[1]资金台帐!J1647&amp;""</f>
      </c>
      <c r="N1647">
        <f>[1]资金台帐!N1647</f>
      </c>
      <c r="O1647">
        <f>[1]资金台帐!O1647&amp;""</f>
      </c>
      <c r="P1647">
        <f>[1]资金台帐!P1647&amp;""</f>
      </c>
      <c r="Q1647">
        <f>[1]资金台帐!Q1647&amp;""</f>
      </c>
      <c r="T1647">
        <f>[1]资金台帐!T1647&amp;""</f>
      </c>
      <c r="U1647">
        <f>[1]资金台帐!U1647&amp;""</f>
      </c>
      <c r="W1647">
        <f>[1]资金台帐!W1647&amp;""</f>
      </c>
      <c r="X1647">
        <f>[1]资金台帐!X1647&amp;""</f>
      </c>
      <c r="AB1647">
        <f>[1]资金台帐!AB1647</f>
        <v>0</v>
      </c>
      <c r="AC1647">
        <f>[1]资金台帐!AC1647</f>
        <v>0</v>
      </c>
      <c r="AD1647">
        <f>[1]资金台帐!AD1647</f>
        <v>0</v>
      </c>
      <c r="AJ1647">
        <f>[1]资金台帐!AJ1647</f>
        <v>0</v>
      </c>
      <c r="AK1647">
        <f>[1]资金台帐!AK1647</f>
        <v>0</v>
      </c>
      <c r="BA1647" s="22">
        <f t="shared" si="0"/>
      </c>
      <c r="BG1647" s="22">
        <f t="shared" si="1"/>
      </c>
      <c r="BH1647" s="22">
        <f t="shared" si="2"/>
        <v>0</v>
      </c>
    </row>
    <row r="1648">
      <c r="B1648">
        <f>[1]资金台帐!B1648&amp;""</f>
      </c>
      <c r="H1648">
        <f>[1]资金台帐!H1648&amp;""</f>
      </c>
      <c r="J1648">
        <f>[1]资金台帐!J1648&amp;""</f>
      </c>
      <c r="N1648">
        <f>[1]资金台帐!N1648</f>
      </c>
      <c r="O1648">
        <f>[1]资金台帐!O1648&amp;""</f>
      </c>
      <c r="P1648">
        <f>[1]资金台帐!P1648&amp;""</f>
      </c>
      <c r="Q1648">
        <f>[1]资金台帐!Q1648&amp;""</f>
      </c>
      <c r="T1648">
        <f>[1]资金台帐!T1648&amp;""</f>
      </c>
      <c r="U1648">
        <f>[1]资金台帐!U1648&amp;""</f>
      </c>
      <c r="W1648">
        <f>[1]资金台帐!W1648&amp;""</f>
      </c>
      <c r="X1648">
        <f>[1]资金台帐!X1648&amp;""</f>
      </c>
      <c r="AB1648">
        <f>[1]资金台帐!AB1648</f>
        <v>0</v>
      </c>
      <c r="AC1648">
        <f>[1]资金台帐!AC1648</f>
        <v>0</v>
      </c>
      <c r="AD1648">
        <f>[1]资金台帐!AD1648</f>
        <v>0</v>
      </c>
      <c r="AJ1648">
        <f>[1]资金台帐!AJ1648</f>
        <v>0</v>
      </c>
      <c r="AK1648">
        <f>[1]资金台帐!AK1648</f>
        <v>0</v>
      </c>
      <c r="BA1648" s="22">
        <f t="shared" si="0"/>
      </c>
      <c r="BG1648" s="22">
        <f t="shared" si="1"/>
      </c>
      <c r="BH1648" s="22">
        <f t="shared" si="2"/>
        <v>0</v>
      </c>
    </row>
    <row r="1649">
      <c r="B1649">
        <f>[1]资金台帐!B1649&amp;""</f>
      </c>
      <c r="H1649">
        <f>[1]资金台帐!H1649&amp;""</f>
      </c>
      <c r="J1649">
        <f>[1]资金台帐!J1649&amp;""</f>
      </c>
      <c r="N1649">
        <f>[1]资金台帐!N1649</f>
      </c>
      <c r="O1649">
        <f>[1]资金台帐!O1649&amp;""</f>
      </c>
      <c r="P1649">
        <f>[1]资金台帐!P1649&amp;""</f>
      </c>
      <c r="Q1649">
        <f>[1]资金台帐!Q1649&amp;""</f>
      </c>
      <c r="T1649">
        <f>[1]资金台帐!T1649&amp;""</f>
      </c>
      <c r="U1649">
        <f>[1]资金台帐!U1649&amp;""</f>
      </c>
      <c r="W1649">
        <f>[1]资金台帐!W1649&amp;""</f>
      </c>
      <c r="X1649">
        <f>[1]资金台帐!X1649&amp;""</f>
      </c>
      <c r="AB1649">
        <f>[1]资金台帐!AB1649</f>
        <v>0</v>
      </c>
      <c r="AC1649">
        <f>[1]资金台帐!AC1649</f>
        <v>0</v>
      </c>
      <c r="AD1649">
        <f>[1]资金台帐!AD1649</f>
        <v>0</v>
      </c>
      <c r="AJ1649">
        <f>[1]资金台帐!AJ1649</f>
        <v>0</v>
      </c>
      <c r="AK1649">
        <f>[1]资金台帐!AK1649</f>
        <v>0</v>
      </c>
      <c r="BA1649" s="22">
        <f t="shared" si="0"/>
      </c>
      <c r="BG1649" s="22">
        <f t="shared" si="1"/>
      </c>
      <c r="BH1649" s="22">
        <f t="shared" si="2"/>
        <v>0</v>
      </c>
    </row>
    <row r="1650">
      <c r="B1650">
        <f>[1]资金台帐!B1650&amp;""</f>
      </c>
      <c r="H1650">
        <f>[1]资金台帐!H1650&amp;""</f>
      </c>
      <c r="J1650">
        <f>[1]资金台帐!J1650&amp;""</f>
      </c>
      <c r="N1650">
        <f>[1]资金台帐!N1650</f>
      </c>
      <c r="O1650">
        <f>[1]资金台帐!O1650&amp;""</f>
      </c>
      <c r="P1650">
        <f>[1]资金台帐!P1650&amp;""</f>
      </c>
      <c r="Q1650">
        <f>[1]资金台帐!Q1650&amp;""</f>
      </c>
      <c r="T1650">
        <f>[1]资金台帐!T1650&amp;""</f>
      </c>
      <c r="U1650">
        <f>[1]资金台帐!U1650&amp;""</f>
      </c>
      <c r="W1650">
        <f>[1]资金台帐!W1650&amp;""</f>
      </c>
      <c r="X1650">
        <f>[1]资金台帐!X1650&amp;""</f>
      </c>
      <c r="AB1650">
        <f>[1]资金台帐!AB1650</f>
        <v>0</v>
      </c>
      <c r="AC1650">
        <f>[1]资金台帐!AC1650</f>
        <v>0</v>
      </c>
      <c r="AD1650">
        <f>[1]资金台帐!AD1650</f>
        <v>0</v>
      </c>
      <c r="AJ1650">
        <f>[1]资金台帐!AJ1650</f>
        <v>0</v>
      </c>
      <c r="AK1650">
        <f>[1]资金台帐!AK1650</f>
        <v>0</v>
      </c>
      <c r="BA1650" s="22">
        <f t="shared" si="0"/>
      </c>
      <c r="BG1650" s="22">
        <f t="shared" si="1"/>
      </c>
      <c r="BH1650" s="22">
        <f t="shared" si="2"/>
        <v>0</v>
      </c>
    </row>
    <row r="1651">
      <c r="B1651">
        <f>[1]资金台帐!B1651&amp;""</f>
      </c>
      <c r="H1651">
        <f>[1]资金台帐!H1651&amp;""</f>
      </c>
      <c r="J1651">
        <f>[1]资金台帐!J1651&amp;""</f>
      </c>
      <c r="N1651">
        <f>[1]资金台帐!N1651</f>
      </c>
      <c r="O1651">
        <f>[1]资金台帐!O1651&amp;""</f>
      </c>
      <c r="P1651">
        <f>[1]资金台帐!P1651&amp;""</f>
      </c>
      <c r="Q1651">
        <f>[1]资金台帐!Q1651&amp;""</f>
      </c>
      <c r="T1651">
        <f>[1]资金台帐!T1651&amp;""</f>
      </c>
      <c r="U1651">
        <f>[1]资金台帐!U1651&amp;""</f>
      </c>
      <c r="W1651">
        <f>[1]资金台帐!W1651&amp;""</f>
      </c>
      <c r="X1651">
        <f>[1]资金台帐!X1651&amp;""</f>
      </c>
      <c r="AB1651">
        <f>[1]资金台帐!AB1651</f>
        <v>0</v>
      </c>
      <c r="AC1651">
        <f>[1]资金台帐!AC1651</f>
        <v>0</v>
      </c>
      <c r="AD1651">
        <f>[1]资金台帐!AD1651</f>
        <v>0</v>
      </c>
      <c r="AJ1651">
        <f>[1]资金台帐!AJ1651</f>
        <v>0</v>
      </c>
      <c r="AK1651">
        <f>[1]资金台帐!AK1651</f>
        <v>0</v>
      </c>
      <c r="BA1651" s="22">
        <f t="shared" si="0"/>
      </c>
      <c r="BG1651" s="22">
        <f t="shared" si="1"/>
      </c>
      <c r="BH1651" s="22">
        <f t="shared" si="2"/>
        <v>0</v>
      </c>
    </row>
    <row r="1652">
      <c r="B1652">
        <f>[1]资金台帐!B1652&amp;""</f>
      </c>
      <c r="H1652">
        <f>[1]资金台帐!H1652&amp;""</f>
      </c>
      <c r="J1652">
        <f>[1]资金台帐!J1652&amp;""</f>
      </c>
      <c r="N1652">
        <f>[1]资金台帐!N1652</f>
      </c>
      <c r="O1652">
        <f>[1]资金台帐!O1652&amp;""</f>
      </c>
      <c r="P1652">
        <f>[1]资金台帐!P1652&amp;""</f>
      </c>
      <c r="Q1652">
        <f>[1]资金台帐!Q1652&amp;""</f>
      </c>
      <c r="T1652">
        <f>[1]资金台帐!T1652&amp;""</f>
      </c>
      <c r="U1652">
        <f>[1]资金台帐!U1652&amp;""</f>
      </c>
      <c r="W1652">
        <f>[1]资金台帐!W1652&amp;""</f>
      </c>
      <c r="X1652">
        <f>[1]资金台帐!X1652&amp;""</f>
      </c>
      <c r="AB1652">
        <f>[1]资金台帐!AB1652</f>
        <v>0</v>
      </c>
      <c r="AC1652">
        <f>[1]资金台帐!AC1652</f>
        <v>0</v>
      </c>
      <c r="AD1652">
        <f>[1]资金台帐!AD1652</f>
        <v>0</v>
      </c>
      <c r="AJ1652">
        <f>[1]资金台帐!AJ1652</f>
        <v>0</v>
      </c>
      <c r="AK1652">
        <f>[1]资金台帐!AK1652</f>
        <v>0</v>
      </c>
      <c r="BA1652" s="22">
        <f t="shared" si="0"/>
      </c>
      <c r="BG1652" s="22">
        <f t="shared" si="1"/>
      </c>
      <c r="BH1652" s="22">
        <f t="shared" si="2"/>
        <v>0</v>
      </c>
    </row>
    <row r="1653">
      <c r="B1653">
        <f>[1]资金台帐!B1653&amp;""</f>
      </c>
      <c r="H1653">
        <f>[1]资金台帐!H1653&amp;""</f>
      </c>
      <c r="J1653">
        <f>[1]资金台帐!J1653&amp;""</f>
      </c>
      <c r="N1653">
        <f>[1]资金台帐!N1653</f>
      </c>
      <c r="O1653">
        <f>[1]资金台帐!O1653&amp;""</f>
      </c>
      <c r="P1653">
        <f>[1]资金台帐!P1653&amp;""</f>
      </c>
      <c r="Q1653">
        <f>[1]资金台帐!Q1653&amp;""</f>
      </c>
      <c r="T1653">
        <f>[1]资金台帐!T1653&amp;""</f>
      </c>
      <c r="U1653">
        <f>[1]资金台帐!U1653&amp;""</f>
      </c>
      <c r="W1653">
        <f>[1]资金台帐!W1653&amp;""</f>
      </c>
      <c r="X1653">
        <f>[1]资金台帐!X1653&amp;""</f>
      </c>
      <c r="AB1653">
        <f>[1]资金台帐!AB1653</f>
        <v>0</v>
      </c>
      <c r="AC1653">
        <f>[1]资金台帐!AC1653</f>
        <v>0</v>
      </c>
      <c r="AD1653">
        <f>[1]资金台帐!AD1653</f>
        <v>0</v>
      </c>
      <c r="AJ1653">
        <f>[1]资金台帐!AJ1653</f>
        <v>0</v>
      </c>
      <c r="AK1653">
        <f>[1]资金台帐!AK1653</f>
        <v>0</v>
      </c>
      <c r="BA1653" s="22">
        <f t="shared" si="0"/>
      </c>
      <c r="BG1653" s="22">
        <f t="shared" si="1"/>
      </c>
      <c r="BH1653" s="22">
        <f t="shared" si="2"/>
        <v>0</v>
      </c>
    </row>
    <row r="1654">
      <c r="B1654">
        <f>[1]资金台帐!B1654&amp;""</f>
      </c>
      <c r="H1654">
        <f>[1]资金台帐!H1654&amp;""</f>
      </c>
      <c r="J1654">
        <f>[1]资金台帐!J1654&amp;""</f>
      </c>
      <c r="N1654">
        <f>[1]资金台帐!N1654</f>
      </c>
      <c r="O1654">
        <f>[1]资金台帐!O1654&amp;""</f>
      </c>
      <c r="P1654">
        <f>[1]资金台帐!P1654&amp;""</f>
      </c>
      <c r="Q1654">
        <f>[1]资金台帐!Q1654&amp;""</f>
      </c>
      <c r="T1654">
        <f>[1]资金台帐!T1654&amp;""</f>
      </c>
      <c r="U1654">
        <f>[1]资金台帐!U1654&amp;""</f>
      </c>
      <c r="W1654">
        <f>[1]资金台帐!W1654&amp;""</f>
      </c>
      <c r="X1654">
        <f>[1]资金台帐!X1654&amp;""</f>
      </c>
      <c r="AB1654">
        <f>[1]资金台帐!AB1654</f>
        <v>0</v>
      </c>
      <c r="AC1654">
        <f>[1]资金台帐!AC1654</f>
        <v>0</v>
      </c>
      <c r="AD1654">
        <f>[1]资金台帐!AD1654</f>
        <v>0</v>
      </c>
      <c r="AJ1654">
        <f>[1]资金台帐!AJ1654</f>
        <v>0</v>
      </c>
      <c r="AK1654">
        <f>[1]资金台帐!AK1654</f>
        <v>0</v>
      </c>
      <c r="BA1654" s="22">
        <f t="shared" si="0"/>
      </c>
      <c r="BG1654" s="22">
        <f t="shared" si="1"/>
      </c>
      <c r="BH1654" s="22">
        <f t="shared" si="2"/>
        <v>0</v>
      </c>
    </row>
    <row r="1655">
      <c r="B1655">
        <f>[1]资金台帐!B1655&amp;""</f>
      </c>
      <c r="H1655">
        <f>[1]资金台帐!H1655&amp;""</f>
      </c>
      <c r="J1655">
        <f>[1]资金台帐!J1655&amp;""</f>
      </c>
      <c r="N1655">
        <f>[1]资金台帐!N1655</f>
      </c>
      <c r="O1655">
        <f>[1]资金台帐!O1655&amp;""</f>
      </c>
      <c r="P1655">
        <f>[1]资金台帐!P1655&amp;""</f>
      </c>
      <c r="Q1655">
        <f>[1]资金台帐!Q1655&amp;""</f>
      </c>
      <c r="T1655">
        <f>[1]资金台帐!T1655&amp;""</f>
      </c>
      <c r="U1655">
        <f>[1]资金台帐!U1655&amp;""</f>
      </c>
      <c r="W1655">
        <f>[1]资金台帐!W1655&amp;""</f>
      </c>
      <c r="X1655">
        <f>[1]资金台帐!X1655&amp;""</f>
      </c>
      <c r="AB1655">
        <f>[1]资金台帐!AB1655</f>
        <v>0</v>
      </c>
      <c r="AC1655">
        <f>[1]资金台帐!AC1655</f>
        <v>0</v>
      </c>
      <c r="AD1655">
        <f>[1]资金台帐!AD1655</f>
        <v>0</v>
      </c>
      <c r="AJ1655">
        <f>[1]资金台帐!AJ1655</f>
        <v>0</v>
      </c>
      <c r="AK1655">
        <f>[1]资金台帐!AK1655</f>
        <v>0</v>
      </c>
      <c r="BA1655" s="22">
        <f t="shared" si="0"/>
      </c>
      <c r="BG1655" s="22">
        <f t="shared" si="1"/>
      </c>
      <c r="BH1655" s="22">
        <f t="shared" si="2"/>
        <v>0</v>
      </c>
    </row>
    <row r="1656">
      <c r="B1656">
        <f>[1]资金台帐!B1656&amp;""</f>
      </c>
      <c r="H1656">
        <f>[1]资金台帐!H1656&amp;""</f>
      </c>
      <c r="J1656">
        <f>[1]资金台帐!J1656&amp;""</f>
      </c>
      <c r="N1656">
        <f>[1]资金台帐!N1656</f>
      </c>
      <c r="O1656">
        <f>[1]资金台帐!O1656&amp;""</f>
      </c>
      <c r="P1656">
        <f>[1]资金台帐!P1656&amp;""</f>
      </c>
      <c r="Q1656">
        <f>[1]资金台帐!Q1656&amp;""</f>
      </c>
      <c r="T1656">
        <f>[1]资金台帐!T1656&amp;""</f>
      </c>
      <c r="U1656">
        <f>[1]资金台帐!U1656&amp;""</f>
      </c>
      <c r="W1656">
        <f>[1]资金台帐!W1656&amp;""</f>
      </c>
      <c r="X1656">
        <f>[1]资金台帐!X1656&amp;""</f>
      </c>
      <c r="AB1656">
        <f>[1]资金台帐!AB1656</f>
        <v>0</v>
      </c>
      <c r="AC1656">
        <f>[1]资金台帐!AC1656</f>
        <v>0</v>
      </c>
      <c r="AD1656">
        <f>[1]资金台帐!AD1656</f>
        <v>0</v>
      </c>
      <c r="AJ1656">
        <f>[1]资金台帐!AJ1656</f>
        <v>0</v>
      </c>
      <c r="AK1656">
        <f>[1]资金台帐!AK1656</f>
        <v>0</v>
      </c>
      <c r="BA1656" s="22">
        <f t="shared" si="0"/>
      </c>
      <c r="BG1656" s="22">
        <f t="shared" si="1"/>
      </c>
      <c r="BH1656" s="22">
        <f t="shared" si="2"/>
        <v>0</v>
      </c>
    </row>
    <row r="1657">
      <c r="B1657">
        <f>[1]资金台帐!B1657&amp;""</f>
      </c>
      <c r="H1657">
        <f>[1]资金台帐!H1657&amp;""</f>
      </c>
      <c r="J1657">
        <f>[1]资金台帐!J1657&amp;""</f>
      </c>
      <c r="N1657">
        <f>[1]资金台帐!N1657</f>
      </c>
      <c r="O1657">
        <f>[1]资金台帐!O1657&amp;""</f>
      </c>
      <c r="P1657">
        <f>[1]资金台帐!P1657&amp;""</f>
      </c>
      <c r="Q1657">
        <f>[1]资金台帐!Q1657&amp;""</f>
      </c>
      <c r="T1657">
        <f>[1]资金台帐!T1657&amp;""</f>
      </c>
      <c r="U1657">
        <f>[1]资金台帐!U1657&amp;""</f>
      </c>
      <c r="W1657">
        <f>[1]资金台帐!W1657&amp;""</f>
      </c>
      <c r="X1657">
        <f>[1]资金台帐!X1657&amp;""</f>
      </c>
      <c r="AB1657">
        <f>[1]资金台帐!AB1657</f>
        <v>0</v>
      </c>
      <c r="AC1657">
        <f>[1]资金台帐!AC1657</f>
        <v>0</v>
      </c>
      <c r="AD1657">
        <f>[1]资金台帐!AD1657</f>
        <v>0</v>
      </c>
      <c r="AJ1657">
        <f>[1]资金台帐!AJ1657</f>
        <v>0</v>
      </c>
      <c r="AK1657">
        <f>[1]资金台帐!AK1657</f>
        <v>0</v>
      </c>
      <c r="BA1657" s="22">
        <f t="shared" si="0"/>
      </c>
      <c r="BG1657" s="22">
        <f t="shared" si="1"/>
      </c>
      <c r="BH1657" s="22">
        <f t="shared" si="2"/>
        <v>0</v>
      </c>
    </row>
    <row r="1658">
      <c r="B1658">
        <f>[1]资金台帐!B1658&amp;""</f>
      </c>
      <c r="H1658">
        <f>[1]资金台帐!H1658&amp;""</f>
      </c>
      <c r="J1658">
        <f>[1]资金台帐!J1658&amp;""</f>
      </c>
      <c r="N1658">
        <f>[1]资金台帐!N1658</f>
      </c>
      <c r="O1658">
        <f>[1]资金台帐!O1658&amp;""</f>
      </c>
      <c r="P1658">
        <f>[1]资金台帐!P1658&amp;""</f>
      </c>
      <c r="Q1658">
        <f>[1]资金台帐!Q1658&amp;""</f>
      </c>
      <c r="T1658">
        <f>[1]资金台帐!T1658&amp;""</f>
      </c>
      <c r="U1658">
        <f>[1]资金台帐!U1658&amp;""</f>
      </c>
      <c r="W1658">
        <f>[1]资金台帐!W1658&amp;""</f>
      </c>
      <c r="X1658">
        <f>[1]资金台帐!X1658&amp;""</f>
      </c>
      <c r="AB1658">
        <f>[1]资金台帐!AB1658</f>
        <v>0</v>
      </c>
      <c r="AC1658">
        <f>[1]资金台帐!AC1658</f>
        <v>0</v>
      </c>
      <c r="AD1658">
        <f>[1]资金台帐!AD1658</f>
        <v>0</v>
      </c>
      <c r="AJ1658">
        <f>[1]资金台帐!AJ1658</f>
        <v>0</v>
      </c>
      <c r="AK1658">
        <f>[1]资金台帐!AK1658</f>
        <v>0</v>
      </c>
      <c r="BA1658" s="22">
        <f t="shared" si="0"/>
      </c>
      <c r="BG1658" s="22">
        <f t="shared" si="1"/>
      </c>
      <c r="BH1658" s="22">
        <f t="shared" si="2"/>
        <v>0</v>
      </c>
    </row>
    <row r="1659">
      <c r="B1659">
        <f>[1]资金台帐!B1659&amp;""</f>
      </c>
      <c r="H1659">
        <f>[1]资金台帐!H1659&amp;""</f>
      </c>
      <c r="J1659">
        <f>[1]资金台帐!J1659&amp;""</f>
      </c>
      <c r="N1659">
        <f>[1]资金台帐!N1659</f>
      </c>
      <c r="O1659">
        <f>[1]资金台帐!O1659&amp;""</f>
      </c>
      <c r="P1659">
        <f>[1]资金台帐!P1659&amp;""</f>
      </c>
      <c r="Q1659">
        <f>[1]资金台帐!Q1659&amp;""</f>
      </c>
      <c r="T1659">
        <f>[1]资金台帐!T1659&amp;""</f>
      </c>
      <c r="U1659">
        <f>[1]资金台帐!U1659&amp;""</f>
      </c>
      <c r="W1659">
        <f>[1]资金台帐!W1659&amp;""</f>
      </c>
      <c r="X1659">
        <f>[1]资金台帐!X1659&amp;""</f>
      </c>
      <c r="AB1659">
        <f>[1]资金台帐!AB1659</f>
        <v>0</v>
      </c>
      <c r="AC1659">
        <f>[1]资金台帐!AC1659</f>
        <v>0</v>
      </c>
      <c r="AD1659">
        <f>[1]资金台帐!AD1659</f>
        <v>0</v>
      </c>
      <c r="AJ1659">
        <f>[1]资金台帐!AJ1659</f>
        <v>0</v>
      </c>
      <c r="AK1659">
        <f>[1]资金台帐!AK1659</f>
        <v>0</v>
      </c>
      <c r="BA1659" s="22">
        <f t="shared" si="0"/>
      </c>
      <c r="BG1659" s="22">
        <f t="shared" si="1"/>
      </c>
      <c r="BH1659" s="22">
        <f t="shared" si="2"/>
        <v>0</v>
      </c>
    </row>
    <row r="1660">
      <c r="B1660">
        <f>[1]资金台帐!B1660&amp;""</f>
      </c>
      <c r="H1660">
        <f>[1]资金台帐!H1660&amp;""</f>
      </c>
      <c r="J1660">
        <f>[1]资金台帐!J1660&amp;""</f>
      </c>
      <c r="N1660">
        <f>[1]资金台帐!N1660</f>
      </c>
      <c r="O1660">
        <f>[1]资金台帐!O1660&amp;""</f>
      </c>
      <c r="P1660">
        <f>[1]资金台帐!P1660&amp;""</f>
      </c>
      <c r="Q1660">
        <f>[1]资金台帐!Q1660&amp;""</f>
      </c>
      <c r="T1660">
        <f>[1]资金台帐!T1660&amp;""</f>
      </c>
      <c r="U1660">
        <f>[1]资金台帐!U1660&amp;""</f>
      </c>
      <c r="W1660">
        <f>[1]资金台帐!W1660&amp;""</f>
      </c>
      <c r="X1660">
        <f>[1]资金台帐!X1660&amp;""</f>
      </c>
      <c r="AB1660">
        <f>[1]资金台帐!AB1660</f>
        <v>0</v>
      </c>
      <c r="AC1660">
        <f>[1]资金台帐!AC1660</f>
        <v>0</v>
      </c>
      <c r="AD1660">
        <f>[1]资金台帐!AD1660</f>
        <v>0</v>
      </c>
      <c r="AJ1660">
        <f>[1]资金台帐!AJ1660</f>
        <v>0</v>
      </c>
      <c r="AK1660">
        <f>[1]资金台帐!AK1660</f>
        <v>0</v>
      </c>
      <c r="BA1660" s="22">
        <f t="shared" si="0"/>
      </c>
      <c r="BG1660" s="22">
        <f t="shared" si="1"/>
      </c>
      <c r="BH1660" s="22">
        <f t="shared" si="2"/>
        <v>0</v>
      </c>
    </row>
    <row r="1661">
      <c r="B1661">
        <f>[1]资金台帐!B1661&amp;""</f>
      </c>
      <c r="H1661">
        <f>[1]资金台帐!H1661&amp;""</f>
      </c>
      <c r="J1661">
        <f>[1]资金台帐!J1661&amp;""</f>
      </c>
      <c r="N1661">
        <f>[1]资金台帐!N1661</f>
      </c>
      <c r="O1661">
        <f>[1]资金台帐!O1661&amp;""</f>
      </c>
      <c r="P1661">
        <f>[1]资金台帐!P1661&amp;""</f>
      </c>
      <c r="Q1661">
        <f>[1]资金台帐!Q1661&amp;""</f>
      </c>
      <c r="T1661">
        <f>[1]资金台帐!T1661&amp;""</f>
      </c>
      <c r="U1661">
        <f>[1]资金台帐!U1661&amp;""</f>
      </c>
      <c r="W1661">
        <f>[1]资金台帐!W1661&amp;""</f>
      </c>
      <c r="X1661">
        <f>[1]资金台帐!X1661&amp;""</f>
      </c>
      <c r="AB1661">
        <f>[1]资金台帐!AB1661</f>
        <v>0</v>
      </c>
      <c r="AC1661">
        <f>[1]资金台帐!AC1661</f>
        <v>0</v>
      </c>
      <c r="AD1661">
        <f>[1]资金台帐!AD1661</f>
        <v>0</v>
      </c>
      <c r="AJ1661">
        <f>[1]资金台帐!AJ1661</f>
        <v>0</v>
      </c>
      <c r="AK1661">
        <f>[1]资金台帐!AK1661</f>
        <v>0</v>
      </c>
      <c r="BA1661" s="22">
        <f t="shared" si="0"/>
      </c>
      <c r="BG1661" s="22">
        <f t="shared" si="1"/>
      </c>
      <c r="BH1661" s="22">
        <f t="shared" si="2"/>
        <v>0</v>
      </c>
    </row>
    <row r="1662">
      <c r="B1662">
        <f>[1]资金台帐!B1662&amp;""</f>
      </c>
      <c r="H1662">
        <f>[1]资金台帐!H1662&amp;""</f>
      </c>
      <c r="J1662">
        <f>[1]资金台帐!J1662&amp;""</f>
      </c>
      <c r="N1662">
        <f>[1]资金台帐!N1662</f>
      </c>
      <c r="O1662">
        <f>[1]资金台帐!O1662&amp;""</f>
      </c>
      <c r="P1662">
        <f>[1]资金台帐!P1662&amp;""</f>
      </c>
      <c r="Q1662">
        <f>[1]资金台帐!Q1662&amp;""</f>
      </c>
      <c r="T1662">
        <f>[1]资金台帐!T1662&amp;""</f>
      </c>
      <c r="U1662">
        <f>[1]资金台帐!U1662&amp;""</f>
      </c>
      <c r="W1662">
        <f>[1]资金台帐!W1662&amp;""</f>
      </c>
      <c r="X1662">
        <f>[1]资金台帐!X1662&amp;""</f>
      </c>
      <c r="AB1662">
        <f>[1]资金台帐!AB1662</f>
        <v>0</v>
      </c>
      <c r="AC1662">
        <f>[1]资金台帐!AC1662</f>
        <v>0</v>
      </c>
      <c r="AD1662">
        <f>[1]资金台帐!AD1662</f>
        <v>0</v>
      </c>
      <c r="AJ1662">
        <f>[1]资金台帐!AJ1662</f>
        <v>0</v>
      </c>
      <c r="AK1662">
        <f>[1]资金台帐!AK1662</f>
        <v>0</v>
      </c>
      <c r="BA1662" s="22">
        <f t="shared" si="0"/>
      </c>
      <c r="BG1662" s="22">
        <f t="shared" si="1"/>
      </c>
      <c r="BH1662" s="22">
        <f t="shared" si="2"/>
        <v>0</v>
      </c>
    </row>
    <row r="1663">
      <c r="B1663">
        <f>[1]资金台帐!B1663&amp;""</f>
      </c>
      <c r="H1663">
        <f>[1]资金台帐!H1663&amp;""</f>
      </c>
      <c r="J1663">
        <f>[1]资金台帐!J1663&amp;""</f>
      </c>
      <c r="N1663">
        <f>[1]资金台帐!N1663</f>
      </c>
      <c r="O1663">
        <f>[1]资金台帐!O1663&amp;""</f>
      </c>
      <c r="P1663">
        <f>[1]资金台帐!P1663&amp;""</f>
      </c>
      <c r="Q1663">
        <f>[1]资金台帐!Q1663&amp;""</f>
      </c>
      <c r="T1663">
        <f>[1]资金台帐!T1663&amp;""</f>
      </c>
      <c r="U1663">
        <f>[1]资金台帐!U1663&amp;""</f>
      </c>
      <c r="W1663">
        <f>[1]资金台帐!W1663&amp;""</f>
      </c>
      <c r="X1663">
        <f>[1]资金台帐!X1663&amp;""</f>
      </c>
      <c r="AB1663">
        <f>[1]资金台帐!AB1663</f>
        <v>0</v>
      </c>
      <c r="AC1663">
        <f>[1]资金台帐!AC1663</f>
        <v>0</v>
      </c>
      <c r="AD1663">
        <f>[1]资金台帐!AD1663</f>
        <v>0</v>
      </c>
      <c r="AJ1663">
        <f>[1]资金台帐!AJ1663</f>
        <v>0</v>
      </c>
      <c r="AK1663">
        <f>[1]资金台帐!AK1663</f>
        <v>0</v>
      </c>
      <c r="BA1663" s="22">
        <f t="shared" si="0"/>
      </c>
      <c r="BG1663" s="22">
        <f t="shared" si="1"/>
      </c>
      <c r="BH1663" s="22">
        <f t="shared" si="2"/>
        <v>0</v>
      </c>
    </row>
    <row r="1664">
      <c r="B1664">
        <f>[1]资金台帐!B1664&amp;""</f>
      </c>
      <c r="H1664">
        <f>[1]资金台帐!H1664&amp;""</f>
      </c>
      <c r="J1664">
        <f>[1]资金台帐!J1664&amp;""</f>
      </c>
      <c r="N1664">
        <f>[1]资金台帐!N1664</f>
      </c>
      <c r="O1664">
        <f>[1]资金台帐!O1664&amp;""</f>
      </c>
      <c r="P1664">
        <f>[1]资金台帐!P1664&amp;""</f>
      </c>
      <c r="Q1664">
        <f>[1]资金台帐!Q1664&amp;""</f>
      </c>
      <c r="T1664">
        <f>[1]资金台帐!T1664&amp;""</f>
      </c>
      <c r="U1664">
        <f>[1]资金台帐!U1664&amp;""</f>
      </c>
      <c r="W1664">
        <f>[1]资金台帐!W1664&amp;""</f>
      </c>
      <c r="X1664">
        <f>[1]资金台帐!X1664&amp;""</f>
      </c>
      <c r="AB1664">
        <f>[1]资金台帐!AB1664</f>
        <v>0</v>
      </c>
      <c r="AC1664">
        <f>[1]资金台帐!AC1664</f>
        <v>0</v>
      </c>
      <c r="AD1664">
        <f>[1]资金台帐!AD1664</f>
        <v>0</v>
      </c>
      <c r="AJ1664">
        <f>[1]资金台帐!AJ1664</f>
        <v>0</v>
      </c>
      <c r="AK1664">
        <f>[1]资金台帐!AK1664</f>
        <v>0</v>
      </c>
      <c r="BA1664" s="22">
        <f t="shared" si="0"/>
      </c>
      <c r="BG1664" s="22">
        <f t="shared" si="1"/>
      </c>
      <c r="BH1664" s="22">
        <f t="shared" si="2"/>
        <v>0</v>
      </c>
    </row>
    <row r="1665">
      <c r="B1665">
        <f>[1]资金台帐!B1665&amp;""</f>
      </c>
      <c r="H1665">
        <f>[1]资金台帐!H1665&amp;""</f>
      </c>
      <c r="J1665">
        <f>[1]资金台帐!J1665&amp;""</f>
      </c>
      <c r="N1665">
        <f>[1]资金台帐!N1665</f>
      </c>
      <c r="O1665">
        <f>[1]资金台帐!O1665&amp;""</f>
      </c>
      <c r="P1665">
        <f>[1]资金台帐!P1665&amp;""</f>
      </c>
      <c r="Q1665">
        <f>[1]资金台帐!Q1665&amp;""</f>
      </c>
      <c r="T1665">
        <f>[1]资金台帐!T1665&amp;""</f>
      </c>
      <c r="U1665">
        <f>[1]资金台帐!U1665&amp;""</f>
      </c>
      <c r="W1665">
        <f>[1]资金台帐!W1665&amp;""</f>
      </c>
      <c r="X1665">
        <f>[1]资金台帐!X1665&amp;""</f>
      </c>
      <c r="AB1665">
        <f>[1]资金台帐!AB1665</f>
        <v>0</v>
      </c>
      <c r="AC1665">
        <f>[1]资金台帐!AC1665</f>
        <v>0</v>
      </c>
      <c r="AD1665">
        <f>[1]资金台帐!AD1665</f>
        <v>0</v>
      </c>
      <c r="AJ1665">
        <f>[1]资金台帐!AJ1665</f>
        <v>0</v>
      </c>
      <c r="AK1665">
        <f>[1]资金台帐!AK1665</f>
        <v>0</v>
      </c>
      <c r="BA1665" s="22">
        <f t="shared" si="0"/>
      </c>
      <c r="BG1665" s="22">
        <f t="shared" si="1"/>
      </c>
      <c r="BH1665" s="22">
        <f t="shared" si="2"/>
        <v>0</v>
      </c>
    </row>
    <row r="1666">
      <c r="B1666">
        <f>[1]资金台帐!B1666&amp;""</f>
      </c>
      <c r="H1666">
        <f>[1]资金台帐!H1666&amp;""</f>
      </c>
      <c r="J1666">
        <f>[1]资金台帐!J1666&amp;""</f>
      </c>
      <c r="N1666">
        <f>[1]资金台帐!N1666</f>
      </c>
      <c r="O1666">
        <f>[1]资金台帐!O1666&amp;""</f>
      </c>
      <c r="P1666">
        <f>[1]资金台帐!P1666&amp;""</f>
      </c>
      <c r="Q1666">
        <f>[1]资金台帐!Q1666&amp;""</f>
      </c>
      <c r="T1666">
        <f>[1]资金台帐!T1666&amp;""</f>
      </c>
      <c r="U1666">
        <f>[1]资金台帐!U1666&amp;""</f>
      </c>
      <c r="W1666">
        <f>[1]资金台帐!W1666&amp;""</f>
      </c>
      <c r="X1666">
        <f>[1]资金台帐!X1666&amp;""</f>
      </c>
      <c r="AB1666">
        <f>[1]资金台帐!AB1666</f>
        <v>0</v>
      </c>
      <c r="AC1666">
        <f>[1]资金台帐!AC1666</f>
        <v>0</v>
      </c>
      <c r="AD1666">
        <f>[1]资金台帐!AD1666</f>
        <v>0</v>
      </c>
      <c r="AJ1666">
        <f>[1]资金台帐!AJ1666</f>
        <v>0</v>
      </c>
      <c r="AK1666">
        <f>[1]资金台帐!AK1666</f>
        <v>0</v>
      </c>
      <c r="BA1666" s="22">
        <f t="shared" si="0"/>
      </c>
      <c r="BG1666" s="22">
        <f t="shared" si="1"/>
      </c>
      <c r="BH1666" s="22">
        <f t="shared" si="2"/>
        <v>0</v>
      </c>
    </row>
    <row r="1667">
      <c r="B1667">
        <f>[1]资金台帐!B1667&amp;""</f>
      </c>
      <c r="H1667">
        <f>[1]资金台帐!H1667&amp;""</f>
      </c>
      <c r="J1667">
        <f>[1]资金台帐!J1667&amp;""</f>
      </c>
      <c r="N1667">
        <f>[1]资金台帐!N1667</f>
      </c>
      <c r="O1667">
        <f>[1]资金台帐!O1667&amp;""</f>
      </c>
      <c r="P1667">
        <f>[1]资金台帐!P1667&amp;""</f>
      </c>
      <c r="Q1667">
        <f>[1]资金台帐!Q1667&amp;""</f>
      </c>
      <c r="T1667">
        <f>[1]资金台帐!T1667&amp;""</f>
      </c>
      <c r="U1667">
        <f>[1]资金台帐!U1667&amp;""</f>
      </c>
      <c r="W1667">
        <f>[1]资金台帐!W1667&amp;""</f>
      </c>
      <c r="X1667">
        <f>[1]资金台帐!X1667&amp;""</f>
      </c>
      <c r="AB1667">
        <f>[1]资金台帐!AB1667</f>
        <v>0</v>
      </c>
      <c r="AC1667">
        <f>[1]资金台帐!AC1667</f>
        <v>0</v>
      </c>
      <c r="AD1667">
        <f>[1]资金台帐!AD1667</f>
        <v>0</v>
      </c>
      <c r="AJ1667">
        <f>[1]资金台帐!AJ1667</f>
        <v>0</v>
      </c>
      <c r="AK1667">
        <f>[1]资金台帐!AK1667</f>
        <v>0</v>
      </c>
      <c r="BA1667" s="22">
        <f t="shared" si="0"/>
      </c>
      <c r="BG1667" s="22">
        <f t="shared" si="1"/>
      </c>
      <c r="BH1667" s="22">
        <f t="shared" si="2"/>
        <v>0</v>
      </c>
    </row>
    <row r="1668">
      <c r="B1668">
        <f>[1]资金台帐!B1668&amp;""</f>
      </c>
      <c r="H1668">
        <f>[1]资金台帐!H1668&amp;""</f>
      </c>
      <c r="J1668">
        <f>[1]资金台帐!J1668&amp;""</f>
      </c>
      <c r="N1668">
        <f>[1]资金台帐!N1668</f>
      </c>
      <c r="O1668">
        <f>[1]资金台帐!O1668&amp;""</f>
      </c>
      <c r="P1668">
        <f>[1]资金台帐!P1668&amp;""</f>
      </c>
      <c r="Q1668">
        <f>[1]资金台帐!Q1668&amp;""</f>
      </c>
      <c r="T1668">
        <f>[1]资金台帐!T1668&amp;""</f>
      </c>
      <c r="U1668">
        <f>[1]资金台帐!U1668&amp;""</f>
      </c>
      <c r="W1668">
        <f>[1]资金台帐!W1668&amp;""</f>
      </c>
      <c r="X1668">
        <f>[1]资金台帐!X1668&amp;""</f>
      </c>
      <c r="AB1668">
        <f>[1]资金台帐!AB1668</f>
        <v>0</v>
      </c>
      <c r="AC1668">
        <f>[1]资金台帐!AC1668</f>
        <v>0</v>
      </c>
      <c r="AD1668">
        <f>[1]资金台帐!AD1668</f>
        <v>0</v>
      </c>
      <c r="AJ1668">
        <f>[1]资金台帐!AJ1668</f>
        <v>0</v>
      </c>
      <c r="AK1668">
        <f>[1]资金台帐!AK1668</f>
        <v>0</v>
      </c>
      <c r="BA1668" s="22">
        <f t="shared" si="0"/>
      </c>
      <c r="BG1668" s="22">
        <f t="shared" si="1"/>
      </c>
      <c r="BH1668" s="22">
        <f t="shared" si="2"/>
        <v>0</v>
      </c>
    </row>
    <row r="1669">
      <c r="B1669">
        <f>[1]资金台帐!B1669&amp;""</f>
      </c>
      <c r="H1669">
        <f>[1]资金台帐!H1669&amp;""</f>
      </c>
      <c r="J1669">
        <f>[1]资金台帐!J1669&amp;""</f>
      </c>
      <c r="N1669">
        <f>[1]资金台帐!N1669</f>
      </c>
      <c r="O1669">
        <f>[1]资金台帐!O1669&amp;""</f>
      </c>
      <c r="P1669">
        <f>[1]资金台帐!P1669&amp;""</f>
      </c>
      <c r="Q1669">
        <f>[1]资金台帐!Q1669&amp;""</f>
      </c>
      <c r="T1669">
        <f>[1]资金台帐!T1669&amp;""</f>
      </c>
      <c r="U1669">
        <f>[1]资金台帐!U1669&amp;""</f>
      </c>
      <c r="W1669">
        <f>[1]资金台帐!W1669&amp;""</f>
      </c>
      <c r="X1669">
        <f>[1]资金台帐!X1669&amp;""</f>
      </c>
      <c r="AB1669">
        <f>[1]资金台帐!AB1669</f>
        <v>0</v>
      </c>
      <c r="AC1669">
        <f>[1]资金台帐!AC1669</f>
        <v>0</v>
      </c>
      <c r="AD1669">
        <f>[1]资金台帐!AD1669</f>
        <v>0</v>
      </c>
      <c r="AJ1669">
        <f>[1]资金台帐!AJ1669</f>
        <v>0</v>
      </c>
      <c r="AK1669">
        <f>[1]资金台帐!AK1669</f>
        <v>0</v>
      </c>
      <c r="BA1669" s="22">
        <f t="shared" si="0"/>
      </c>
      <c r="BG1669" s="22">
        <f t="shared" si="1"/>
      </c>
      <c r="BH1669" s="22">
        <f t="shared" si="2"/>
        <v>0</v>
      </c>
    </row>
    <row r="1670">
      <c r="B1670">
        <f>[1]资金台帐!B1670&amp;""</f>
      </c>
      <c r="H1670">
        <f>[1]资金台帐!H1670&amp;""</f>
      </c>
      <c r="J1670">
        <f>[1]资金台帐!J1670&amp;""</f>
      </c>
      <c r="N1670">
        <f>[1]资金台帐!N1670</f>
      </c>
      <c r="O1670">
        <f>[1]资金台帐!O1670&amp;""</f>
      </c>
      <c r="P1670">
        <f>[1]资金台帐!P1670&amp;""</f>
      </c>
      <c r="Q1670">
        <f>[1]资金台帐!Q1670&amp;""</f>
      </c>
      <c r="T1670">
        <f>[1]资金台帐!T1670&amp;""</f>
      </c>
      <c r="U1670">
        <f>[1]资金台帐!U1670&amp;""</f>
      </c>
      <c r="W1670">
        <f>[1]资金台帐!W1670&amp;""</f>
      </c>
      <c r="X1670">
        <f>[1]资金台帐!X1670&amp;""</f>
      </c>
      <c r="AB1670">
        <f>[1]资金台帐!AB1670</f>
        <v>0</v>
      </c>
      <c r="AC1670">
        <f>[1]资金台帐!AC1670</f>
        <v>0</v>
      </c>
      <c r="AD1670">
        <f>[1]资金台帐!AD1670</f>
        <v>0</v>
      </c>
      <c r="AJ1670">
        <f>[1]资金台帐!AJ1670</f>
        <v>0</v>
      </c>
      <c r="AK1670">
        <f>[1]资金台帐!AK1670</f>
        <v>0</v>
      </c>
      <c r="BA1670" s="22">
        <f t="shared" si="0"/>
      </c>
      <c r="BG1670" s="22">
        <f t="shared" si="1"/>
      </c>
      <c r="BH1670" s="22">
        <f t="shared" si="2"/>
        <v>0</v>
      </c>
    </row>
    <row r="1671">
      <c r="B1671">
        <f>[1]资金台帐!B1671&amp;""</f>
      </c>
      <c r="H1671">
        <f>[1]资金台帐!H1671&amp;""</f>
      </c>
      <c r="J1671">
        <f>[1]资金台帐!J1671&amp;""</f>
      </c>
      <c r="N1671">
        <f>[1]资金台帐!N1671</f>
      </c>
      <c r="O1671">
        <f>[1]资金台帐!O1671&amp;""</f>
      </c>
      <c r="P1671">
        <f>[1]资金台帐!P1671&amp;""</f>
      </c>
      <c r="Q1671">
        <f>[1]资金台帐!Q1671&amp;""</f>
      </c>
      <c r="T1671">
        <f>[1]资金台帐!T1671&amp;""</f>
      </c>
      <c r="U1671">
        <f>[1]资金台帐!U1671&amp;""</f>
      </c>
      <c r="W1671">
        <f>[1]资金台帐!W1671&amp;""</f>
      </c>
      <c r="X1671">
        <f>[1]资金台帐!X1671&amp;""</f>
      </c>
      <c r="AB1671">
        <f>[1]资金台帐!AB1671</f>
        <v>0</v>
      </c>
      <c r="AC1671">
        <f>[1]资金台帐!AC1671</f>
        <v>0</v>
      </c>
      <c r="AD1671">
        <f>[1]资金台帐!AD1671</f>
        <v>0</v>
      </c>
      <c r="AJ1671">
        <f>[1]资金台帐!AJ1671</f>
        <v>0</v>
      </c>
      <c r="AK1671">
        <f>[1]资金台帐!AK1671</f>
        <v>0</v>
      </c>
      <c r="BA1671" s="22">
        <f t="shared" si="0"/>
      </c>
      <c r="BG1671" s="22">
        <f t="shared" si="1"/>
      </c>
      <c r="BH1671" s="22">
        <f t="shared" si="2"/>
        <v>0</v>
      </c>
    </row>
    <row r="1672">
      <c r="B1672">
        <f>[1]资金台帐!B1672&amp;""</f>
      </c>
      <c r="H1672">
        <f>[1]资金台帐!H1672&amp;""</f>
      </c>
      <c r="J1672">
        <f>[1]资金台帐!J1672&amp;""</f>
      </c>
      <c r="N1672">
        <f>[1]资金台帐!N1672</f>
      </c>
      <c r="O1672">
        <f>[1]资金台帐!O1672&amp;""</f>
      </c>
      <c r="P1672">
        <f>[1]资金台帐!P1672&amp;""</f>
      </c>
      <c r="Q1672">
        <f>[1]资金台帐!Q1672&amp;""</f>
      </c>
      <c r="T1672">
        <f>[1]资金台帐!T1672&amp;""</f>
      </c>
      <c r="U1672">
        <f>[1]资金台帐!U1672&amp;""</f>
      </c>
      <c r="W1672">
        <f>[1]资金台帐!W1672&amp;""</f>
      </c>
      <c r="X1672">
        <f>[1]资金台帐!X1672&amp;""</f>
      </c>
      <c r="AB1672">
        <f>[1]资金台帐!AB1672</f>
        <v>0</v>
      </c>
      <c r="AC1672">
        <f>[1]资金台帐!AC1672</f>
        <v>0</v>
      </c>
      <c r="AD1672">
        <f>[1]资金台帐!AD1672</f>
        <v>0</v>
      </c>
      <c r="AJ1672">
        <f>[1]资金台帐!AJ1672</f>
        <v>0</v>
      </c>
      <c r="AK1672">
        <f>[1]资金台帐!AK1672</f>
        <v>0</v>
      </c>
      <c r="BA1672" s="22">
        <f t="shared" si="0"/>
      </c>
      <c r="BG1672" s="22">
        <f t="shared" si="1"/>
      </c>
      <c r="BH1672" s="22">
        <f t="shared" si="2"/>
        <v>0</v>
      </c>
    </row>
    <row r="1673">
      <c r="B1673">
        <f>[1]资金台帐!B1673&amp;""</f>
      </c>
      <c r="H1673">
        <f>[1]资金台帐!H1673&amp;""</f>
      </c>
      <c r="J1673">
        <f>[1]资金台帐!J1673&amp;""</f>
      </c>
      <c r="N1673">
        <f>[1]资金台帐!N1673</f>
      </c>
      <c r="O1673">
        <f>[1]资金台帐!O1673&amp;""</f>
      </c>
      <c r="P1673">
        <f>[1]资金台帐!P1673&amp;""</f>
      </c>
      <c r="Q1673">
        <f>[1]资金台帐!Q1673&amp;""</f>
      </c>
      <c r="T1673">
        <f>[1]资金台帐!T1673&amp;""</f>
      </c>
      <c r="U1673">
        <f>[1]资金台帐!U1673&amp;""</f>
      </c>
      <c r="W1673">
        <f>[1]资金台帐!W1673&amp;""</f>
      </c>
      <c r="X1673">
        <f>[1]资金台帐!X1673&amp;""</f>
      </c>
      <c r="AB1673">
        <f>[1]资金台帐!AB1673</f>
        <v>0</v>
      </c>
      <c r="AC1673">
        <f>[1]资金台帐!AC1673</f>
        <v>0</v>
      </c>
      <c r="AD1673">
        <f>[1]资金台帐!AD1673</f>
        <v>0</v>
      </c>
      <c r="AJ1673">
        <f>[1]资金台帐!AJ1673</f>
        <v>0</v>
      </c>
      <c r="AK1673">
        <f>[1]资金台帐!AK1673</f>
        <v>0</v>
      </c>
      <c r="BA1673" s="22">
        <f t="shared" si="0"/>
      </c>
      <c r="BG1673" s="22">
        <f t="shared" si="1"/>
      </c>
      <c r="BH1673" s="22">
        <f t="shared" si="2"/>
        <v>0</v>
      </c>
    </row>
    <row r="1674">
      <c r="B1674">
        <f>[1]资金台帐!B1674&amp;""</f>
      </c>
      <c r="H1674">
        <f>[1]资金台帐!H1674&amp;""</f>
      </c>
      <c r="J1674">
        <f>[1]资金台帐!J1674&amp;""</f>
      </c>
      <c r="N1674">
        <f>[1]资金台帐!N1674</f>
      </c>
      <c r="O1674">
        <f>[1]资金台帐!O1674&amp;""</f>
      </c>
      <c r="P1674">
        <f>[1]资金台帐!P1674&amp;""</f>
      </c>
      <c r="Q1674">
        <f>[1]资金台帐!Q1674&amp;""</f>
      </c>
      <c r="T1674">
        <f>[1]资金台帐!T1674&amp;""</f>
      </c>
      <c r="U1674">
        <f>[1]资金台帐!U1674&amp;""</f>
      </c>
      <c r="W1674">
        <f>[1]资金台帐!W1674&amp;""</f>
      </c>
      <c r="X1674">
        <f>[1]资金台帐!X1674&amp;""</f>
      </c>
      <c r="AB1674">
        <f>[1]资金台帐!AB1674</f>
        <v>0</v>
      </c>
      <c r="AC1674">
        <f>[1]资金台帐!AC1674</f>
        <v>0</v>
      </c>
      <c r="AD1674">
        <f>[1]资金台帐!AD1674</f>
        <v>0</v>
      </c>
      <c r="AJ1674">
        <f>[1]资金台帐!AJ1674</f>
        <v>0</v>
      </c>
      <c r="AK1674">
        <f>[1]资金台帐!AK1674</f>
        <v>0</v>
      </c>
      <c r="BA1674" s="22">
        <f t="shared" si="0"/>
      </c>
      <c r="BG1674" s="22">
        <f t="shared" si="1"/>
      </c>
      <c r="BH1674" s="22">
        <f t="shared" si="2"/>
        <v>0</v>
      </c>
    </row>
    <row r="1675">
      <c r="B1675">
        <f>[1]资金台帐!B1675&amp;""</f>
      </c>
      <c r="H1675">
        <f>[1]资金台帐!H1675&amp;""</f>
      </c>
      <c r="J1675">
        <f>[1]资金台帐!J1675&amp;""</f>
      </c>
      <c r="N1675">
        <f>[1]资金台帐!N1675</f>
      </c>
      <c r="O1675">
        <f>[1]资金台帐!O1675&amp;""</f>
      </c>
      <c r="P1675">
        <f>[1]资金台帐!P1675&amp;""</f>
      </c>
      <c r="Q1675">
        <f>[1]资金台帐!Q1675&amp;""</f>
      </c>
      <c r="T1675">
        <f>[1]资金台帐!T1675&amp;""</f>
      </c>
      <c r="U1675">
        <f>[1]资金台帐!U1675&amp;""</f>
      </c>
      <c r="W1675">
        <f>[1]资金台帐!W1675&amp;""</f>
      </c>
      <c r="X1675">
        <f>[1]资金台帐!X1675&amp;""</f>
      </c>
      <c r="AB1675">
        <f>[1]资金台帐!AB1675</f>
        <v>0</v>
      </c>
      <c r="AC1675">
        <f>[1]资金台帐!AC1675</f>
        <v>0</v>
      </c>
      <c r="AD1675">
        <f>[1]资金台帐!AD1675</f>
        <v>0</v>
      </c>
      <c r="AJ1675">
        <f>[1]资金台帐!AJ1675</f>
        <v>0</v>
      </c>
      <c r="AK1675">
        <f>[1]资金台帐!AK1675</f>
        <v>0</v>
      </c>
      <c r="BA1675" s="22">
        <f t="shared" si="0"/>
      </c>
      <c r="BG1675" s="22">
        <f t="shared" si="1"/>
      </c>
      <c r="BH1675" s="22">
        <f t="shared" si="2"/>
        <v>0</v>
      </c>
    </row>
    <row r="1676">
      <c r="B1676">
        <f>[1]资金台帐!B1676&amp;""</f>
      </c>
      <c r="H1676">
        <f>[1]资金台帐!H1676&amp;""</f>
      </c>
      <c r="J1676">
        <f>[1]资金台帐!J1676&amp;""</f>
      </c>
      <c r="N1676">
        <f>[1]资金台帐!N1676</f>
      </c>
      <c r="O1676">
        <f>[1]资金台帐!O1676&amp;""</f>
      </c>
      <c r="P1676">
        <f>[1]资金台帐!P1676&amp;""</f>
      </c>
      <c r="Q1676">
        <f>[1]资金台帐!Q1676&amp;""</f>
      </c>
      <c r="T1676">
        <f>[1]资金台帐!T1676&amp;""</f>
      </c>
      <c r="U1676">
        <f>[1]资金台帐!U1676&amp;""</f>
      </c>
      <c r="W1676">
        <f>[1]资金台帐!W1676&amp;""</f>
      </c>
      <c r="X1676">
        <f>[1]资金台帐!X1676&amp;""</f>
      </c>
      <c r="AB1676">
        <f>[1]资金台帐!AB1676</f>
        <v>0</v>
      </c>
      <c r="AC1676">
        <f>[1]资金台帐!AC1676</f>
        <v>0</v>
      </c>
      <c r="AD1676">
        <f>[1]资金台帐!AD1676</f>
        <v>0</v>
      </c>
      <c r="AJ1676">
        <f>[1]资金台帐!AJ1676</f>
        <v>0</v>
      </c>
      <c r="AK1676">
        <f>[1]资金台帐!AK1676</f>
        <v>0</v>
      </c>
      <c r="BA1676" s="22">
        <f t="shared" si="0"/>
      </c>
      <c r="BG1676" s="22">
        <f t="shared" si="1"/>
      </c>
      <c r="BH1676" s="22">
        <f t="shared" si="2"/>
        <v>0</v>
      </c>
    </row>
    <row r="1677">
      <c r="B1677">
        <f>[1]资金台帐!B1677&amp;""</f>
      </c>
      <c r="H1677">
        <f>[1]资金台帐!H1677&amp;""</f>
      </c>
      <c r="J1677">
        <f>[1]资金台帐!J1677&amp;""</f>
      </c>
      <c r="N1677">
        <f>[1]资金台帐!N1677</f>
      </c>
      <c r="O1677">
        <f>[1]资金台帐!O1677&amp;""</f>
      </c>
      <c r="P1677">
        <f>[1]资金台帐!P1677&amp;""</f>
      </c>
      <c r="Q1677">
        <f>[1]资金台帐!Q1677&amp;""</f>
      </c>
      <c r="T1677">
        <f>[1]资金台帐!T1677&amp;""</f>
      </c>
      <c r="U1677">
        <f>[1]资金台帐!U1677&amp;""</f>
      </c>
      <c r="W1677">
        <f>[1]资金台帐!W1677&amp;""</f>
      </c>
      <c r="X1677">
        <f>[1]资金台帐!X1677&amp;""</f>
      </c>
      <c r="AB1677">
        <f>[1]资金台帐!AB1677</f>
        <v>0</v>
      </c>
      <c r="AC1677">
        <f>[1]资金台帐!AC1677</f>
        <v>0</v>
      </c>
      <c r="AD1677">
        <f>[1]资金台帐!AD1677</f>
        <v>0</v>
      </c>
      <c r="AJ1677">
        <f>[1]资金台帐!AJ1677</f>
        <v>0</v>
      </c>
      <c r="AK1677">
        <f>[1]资金台帐!AK1677</f>
        <v>0</v>
      </c>
      <c r="BA1677" s="22">
        <f t="shared" si="0"/>
      </c>
      <c r="BG1677" s="22">
        <f t="shared" si="1"/>
      </c>
      <c r="BH1677" s="22">
        <f t="shared" si="2"/>
        <v>0</v>
      </c>
    </row>
    <row r="1678">
      <c r="B1678">
        <f>[1]资金台帐!B1678&amp;""</f>
      </c>
      <c r="H1678">
        <f>[1]资金台帐!H1678&amp;""</f>
      </c>
      <c r="J1678">
        <f>[1]资金台帐!J1678&amp;""</f>
      </c>
      <c r="N1678">
        <f>[1]资金台帐!N1678</f>
      </c>
      <c r="O1678">
        <f>[1]资金台帐!O1678&amp;""</f>
      </c>
      <c r="P1678">
        <f>[1]资金台帐!P1678&amp;""</f>
      </c>
      <c r="Q1678">
        <f>[1]资金台帐!Q1678&amp;""</f>
      </c>
      <c r="T1678">
        <f>[1]资金台帐!T1678&amp;""</f>
      </c>
      <c r="U1678">
        <f>[1]资金台帐!U1678&amp;""</f>
      </c>
      <c r="W1678">
        <f>[1]资金台帐!W1678&amp;""</f>
      </c>
      <c r="X1678">
        <f>[1]资金台帐!X1678&amp;""</f>
      </c>
      <c r="AB1678">
        <f>[1]资金台帐!AB1678</f>
        <v>0</v>
      </c>
      <c r="AC1678">
        <f>[1]资金台帐!AC1678</f>
        <v>0</v>
      </c>
      <c r="AD1678">
        <f>[1]资金台帐!AD1678</f>
        <v>0</v>
      </c>
      <c r="AJ1678">
        <f>[1]资金台帐!AJ1678</f>
        <v>0</v>
      </c>
      <c r="AK1678">
        <f>[1]资金台帐!AK1678</f>
        <v>0</v>
      </c>
      <c r="BA1678" s="22">
        <f t="shared" si="0"/>
      </c>
      <c r="BG1678" s="22">
        <f t="shared" si="1"/>
      </c>
      <c r="BH1678" s="22">
        <f t="shared" si="2"/>
        <v>0</v>
      </c>
    </row>
    <row r="1679">
      <c r="B1679">
        <f>[1]资金台帐!B1679&amp;""</f>
      </c>
      <c r="H1679">
        <f>[1]资金台帐!H1679&amp;""</f>
      </c>
      <c r="J1679">
        <f>[1]资金台帐!J1679&amp;""</f>
      </c>
      <c r="N1679">
        <f>[1]资金台帐!N1679</f>
      </c>
      <c r="O1679">
        <f>[1]资金台帐!O1679&amp;""</f>
      </c>
      <c r="P1679">
        <f>[1]资金台帐!P1679&amp;""</f>
      </c>
      <c r="Q1679">
        <f>[1]资金台帐!Q1679&amp;""</f>
      </c>
      <c r="T1679">
        <f>[1]资金台帐!T1679&amp;""</f>
      </c>
      <c r="U1679">
        <f>[1]资金台帐!U1679&amp;""</f>
      </c>
      <c r="W1679">
        <f>[1]资金台帐!W1679&amp;""</f>
      </c>
      <c r="X1679">
        <f>[1]资金台帐!X1679&amp;""</f>
      </c>
      <c r="AB1679">
        <f>[1]资金台帐!AB1679</f>
        <v>0</v>
      </c>
      <c r="AC1679">
        <f>[1]资金台帐!AC1679</f>
        <v>0</v>
      </c>
      <c r="AD1679">
        <f>[1]资金台帐!AD1679</f>
        <v>0</v>
      </c>
      <c r="AJ1679">
        <f>[1]资金台帐!AJ1679</f>
        <v>0</v>
      </c>
      <c r="AK1679">
        <f>[1]资金台帐!AK1679</f>
        <v>0</v>
      </c>
      <c r="BA1679" s="22">
        <f t="shared" si="0"/>
      </c>
      <c r="BG1679" s="22">
        <f t="shared" si="1"/>
      </c>
      <c r="BH1679" s="22">
        <f t="shared" si="2"/>
        <v>0</v>
      </c>
    </row>
    <row r="1680">
      <c r="B1680">
        <f>[1]资金台帐!B1680&amp;""</f>
      </c>
      <c r="H1680">
        <f>[1]资金台帐!H1680&amp;""</f>
      </c>
      <c r="J1680">
        <f>[1]资金台帐!J1680&amp;""</f>
      </c>
      <c r="N1680">
        <f>[1]资金台帐!N1680</f>
      </c>
      <c r="O1680">
        <f>[1]资金台帐!O1680&amp;""</f>
      </c>
      <c r="P1680">
        <f>[1]资金台帐!P1680&amp;""</f>
      </c>
      <c r="Q1680">
        <f>[1]资金台帐!Q1680&amp;""</f>
      </c>
      <c r="T1680">
        <f>[1]资金台帐!T1680&amp;""</f>
      </c>
      <c r="U1680">
        <f>[1]资金台帐!U1680&amp;""</f>
      </c>
      <c r="W1680">
        <f>[1]资金台帐!W1680&amp;""</f>
      </c>
      <c r="X1680">
        <f>[1]资金台帐!X1680&amp;""</f>
      </c>
      <c r="AB1680">
        <f>[1]资金台帐!AB1680</f>
        <v>0</v>
      </c>
      <c r="AC1680">
        <f>[1]资金台帐!AC1680</f>
        <v>0</v>
      </c>
      <c r="AD1680">
        <f>[1]资金台帐!AD1680</f>
        <v>0</v>
      </c>
      <c r="AJ1680">
        <f>[1]资金台帐!AJ1680</f>
        <v>0</v>
      </c>
      <c r="AK1680">
        <f>[1]资金台帐!AK1680</f>
        <v>0</v>
      </c>
      <c r="BA1680" s="22">
        <f t="shared" si="0"/>
      </c>
      <c r="BG1680" s="22">
        <f t="shared" si="1"/>
      </c>
      <c r="BH1680" s="22">
        <f t="shared" si="2"/>
        <v>0</v>
      </c>
    </row>
    <row r="1681">
      <c r="B1681">
        <f>[1]资金台帐!B1681&amp;""</f>
      </c>
      <c r="H1681">
        <f>[1]资金台帐!H1681&amp;""</f>
      </c>
      <c r="J1681">
        <f>[1]资金台帐!J1681&amp;""</f>
      </c>
      <c r="N1681">
        <f>[1]资金台帐!N1681</f>
      </c>
      <c r="O1681">
        <f>[1]资金台帐!O1681&amp;""</f>
      </c>
      <c r="P1681">
        <f>[1]资金台帐!P1681&amp;""</f>
      </c>
      <c r="Q1681">
        <f>[1]资金台帐!Q1681&amp;""</f>
      </c>
      <c r="T1681">
        <f>[1]资金台帐!T1681&amp;""</f>
      </c>
      <c r="U1681">
        <f>[1]资金台帐!U1681&amp;""</f>
      </c>
      <c r="W1681">
        <f>[1]资金台帐!W1681&amp;""</f>
      </c>
      <c r="X1681">
        <f>[1]资金台帐!X1681&amp;""</f>
      </c>
      <c r="AB1681">
        <f>[1]资金台帐!AB1681</f>
        <v>0</v>
      </c>
      <c r="AC1681">
        <f>[1]资金台帐!AC1681</f>
        <v>0</v>
      </c>
      <c r="AD1681">
        <f>[1]资金台帐!AD1681</f>
        <v>0</v>
      </c>
      <c r="AJ1681">
        <f>[1]资金台帐!AJ1681</f>
        <v>0</v>
      </c>
      <c r="AK1681">
        <f>[1]资金台帐!AK1681</f>
        <v>0</v>
      </c>
      <c r="BA1681" s="22">
        <f t="shared" si="0"/>
      </c>
      <c r="BG1681" s="22">
        <f t="shared" si="1"/>
      </c>
      <c r="BH1681" s="22">
        <f t="shared" si="2"/>
        <v>0</v>
      </c>
    </row>
    <row r="1682">
      <c r="B1682">
        <f>[1]资金台帐!B1682&amp;""</f>
      </c>
      <c r="H1682">
        <f>[1]资金台帐!H1682&amp;""</f>
      </c>
      <c r="J1682">
        <f>[1]资金台帐!J1682&amp;""</f>
      </c>
      <c r="N1682">
        <f>[1]资金台帐!N1682</f>
      </c>
      <c r="O1682">
        <f>[1]资金台帐!O1682&amp;""</f>
      </c>
      <c r="P1682">
        <f>[1]资金台帐!P1682&amp;""</f>
      </c>
      <c r="Q1682">
        <f>[1]资金台帐!Q1682&amp;""</f>
      </c>
      <c r="T1682">
        <f>[1]资金台帐!T1682&amp;""</f>
      </c>
      <c r="U1682">
        <f>[1]资金台帐!U1682&amp;""</f>
      </c>
      <c r="W1682">
        <f>[1]资金台帐!W1682&amp;""</f>
      </c>
      <c r="X1682">
        <f>[1]资金台帐!X1682&amp;""</f>
      </c>
      <c r="AB1682">
        <f>[1]资金台帐!AB1682</f>
        <v>0</v>
      </c>
      <c r="AC1682">
        <f>[1]资金台帐!AC1682</f>
        <v>0</v>
      </c>
      <c r="AD1682">
        <f>[1]资金台帐!AD1682</f>
        <v>0</v>
      </c>
      <c r="AJ1682">
        <f>[1]资金台帐!AJ1682</f>
        <v>0</v>
      </c>
      <c r="AK1682">
        <f>[1]资金台帐!AK1682</f>
        <v>0</v>
      </c>
      <c r="BA1682" s="22">
        <f t="shared" si="0"/>
      </c>
      <c r="BG1682" s="22">
        <f t="shared" si="1"/>
      </c>
      <c r="BH1682" s="22">
        <f t="shared" si="2"/>
        <v>0</v>
      </c>
    </row>
    <row r="1683">
      <c r="B1683">
        <f>[1]资金台帐!B1683&amp;""</f>
      </c>
      <c r="H1683">
        <f>[1]资金台帐!H1683&amp;""</f>
      </c>
      <c r="J1683">
        <f>[1]资金台帐!J1683&amp;""</f>
      </c>
      <c r="N1683">
        <f>[1]资金台帐!N1683</f>
      </c>
      <c r="O1683">
        <f>[1]资金台帐!O1683&amp;""</f>
      </c>
      <c r="P1683">
        <f>[1]资金台帐!P1683&amp;""</f>
      </c>
      <c r="Q1683">
        <f>[1]资金台帐!Q1683&amp;""</f>
      </c>
      <c r="T1683">
        <f>[1]资金台帐!T1683&amp;""</f>
      </c>
      <c r="U1683">
        <f>[1]资金台帐!U1683&amp;""</f>
      </c>
      <c r="W1683">
        <f>[1]资金台帐!W1683&amp;""</f>
      </c>
      <c r="X1683">
        <f>[1]资金台帐!X1683&amp;""</f>
      </c>
      <c r="AB1683">
        <f>[1]资金台帐!AB1683</f>
        <v>0</v>
      </c>
      <c r="AC1683">
        <f>[1]资金台帐!AC1683</f>
        <v>0</v>
      </c>
      <c r="AD1683">
        <f>[1]资金台帐!AD1683</f>
        <v>0</v>
      </c>
      <c r="AJ1683">
        <f>[1]资金台帐!AJ1683</f>
        <v>0</v>
      </c>
      <c r="AK1683">
        <f>[1]资金台帐!AK1683</f>
        <v>0</v>
      </c>
      <c r="BA1683" s="22">
        <f t="shared" si="0"/>
      </c>
      <c r="BG1683" s="22">
        <f t="shared" si="1"/>
      </c>
      <c r="BH1683" s="22">
        <f t="shared" si="2"/>
        <v>0</v>
      </c>
    </row>
    <row r="1684">
      <c r="B1684">
        <f>[1]资金台帐!B1684&amp;""</f>
      </c>
      <c r="H1684">
        <f>[1]资金台帐!H1684&amp;""</f>
      </c>
      <c r="J1684">
        <f>[1]资金台帐!J1684&amp;""</f>
      </c>
      <c r="N1684">
        <f>[1]资金台帐!N1684</f>
      </c>
      <c r="O1684">
        <f>[1]资金台帐!O1684&amp;""</f>
      </c>
      <c r="P1684">
        <f>[1]资金台帐!P1684&amp;""</f>
      </c>
      <c r="Q1684">
        <f>[1]资金台帐!Q1684&amp;""</f>
      </c>
      <c r="T1684">
        <f>[1]资金台帐!T1684&amp;""</f>
      </c>
      <c r="U1684">
        <f>[1]资金台帐!U1684&amp;""</f>
      </c>
      <c r="W1684">
        <f>[1]资金台帐!W1684&amp;""</f>
      </c>
      <c r="X1684">
        <f>[1]资金台帐!X1684&amp;""</f>
      </c>
      <c r="AB1684">
        <f>[1]资金台帐!AB1684</f>
        <v>0</v>
      </c>
      <c r="AC1684">
        <f>[1]资金台帐!AC1684</f>
        <v>0</v>
      </c>
      <c r="AD1684">
        <f>[1]资金台帐!AD1684</f>
        <v>0</v>
      </c>
      <c r="AJ1684">
        <f>[1]资金台帐!AJ1684</f>
        <v>0</v>
      </c>
      <c r="AK1684">
        <f>[1]资金台帐!AK1684</f>
        <v>0</v>
      </c>
      <c r="BA1684" s="22">
        <f t="shared" si="0"/>
      </c>
      <c r="BG1684" s="22">
        <f t="shared" si="1"/>
      </c>
      <c r="BH1684" s="22">
        <f t="shared" si="2"/>
        <v>0</v>
      </c>
    </row>
    <row r="1685">
      <c r="B1685">
        <f>[1]资金台帐!B1685&amp;""</f>
      </c>
      <c r="H1685">
        <f>[1]资金台帐!H1685&amp;""</f>
      </c>
      <c r="J1685">
        <f>[1]资金台帐!J1685&amp;""</f>
      </c>
      <c r="N1685">
        <f>[1]资金台帐!N1685</f>
      </c>
      <c r="O1685">
        <f>[1]资金台帐!O1685&amp;""</f>
      </c>
      <c r="P1685">
        <f>[1]资金台帐!P1685&amp;""</f>
      </c>
      <c r="Q1685">
        <f>[1]资金台帐!Q1685&amp;""</f>
      </c>
      <c r="T1685">
        <f>[1]资金台帐!T1685&amp;""</f>
      </c>
      <c r="U1685">
        <f>[1]资金台帐!U1685&amp;""</f>
      </c>
      <c r="W1685">
        <f>[1]资金台帐!W1685&amp;""</f>
      </c>
      <c r="X1685">
        <f>[1]资金台帐!X1685&amp;""</f>
      </c>
      <c r="AB1685">
        <f>[1]资金台帐!AB1685</f>
        <v>0</v>
      </c>
      <c r="AC1685">
        <f>[1]资金台帐!AC1685</f>
        <v>0</v>
      </c>
      <c r="AD1685">
        <f>[1]资金台帐!AD1685</f>
        <v>0</v>
      </c>
      <c r="AJ1685">
        <f>[1]资金台帐!AJ1685</f>
        <v>0</v>
      </c>
      <c r="AK1685">
        <f>[1]资金台帐!AK1685</f>
        <v>0</v>
      </c>
      <c r="BA1685" s="22">
        <f t="shared" si="0"/>
      </c>
      <c r="BG1685" s="22">
        <f t="shared" si="1"/>
      </c>
      <c r="BH1685" s="22">
        <f t="shared" si="2"/>
        <v>0</v>
      </c>
    </row>
    <row r="1686">
      <c r="B1686">
        <f>[1]资金台帐!B1686&amp;""</f>
      </c>
      <c r="H1686">
        <f>[1]资金台帐!H1686&amp;""</f>
      </c>
      <c r="J1686">
        <f>[1]资金台帐!J1686&amp;""</f>
      </c>
      <c r="N1686">
        <f>[1]资金台帐!N1686</f>
      </c>
      <c r="O1686">
        <f>[1]资金台帐!O1686&amp;""</f>
      </c>
      <c r="P1686">
        <f>[1]资金台帐!P1686&amp;""</f>
      </c>
      <c r="Q1686">
        <f>[1]资金台帐!Q1686&amp;""</f>
      </c>
      <c r="T1686">
        <f>[1]资金台帐!T1686&amp;""</f>
      </c>
      <c r="U1686">
        <f>[1]资金台帐!U1686&amp;""</f>
      </c>
      <c r="W1686">
        <f>[1]资金台帐!W1686&amp;""</f>
      </c>
      <c r="X1686">
        <f>[1]资金台帐!X1686&amp;""</f>
      </c>
      <c r="AB1686">
        <f>[1]资金台帐!AB1686</f>
        <v>0</v>
      </c>
      <c r="AC1686">
        <f>[1]资金台帐!AC1686</f>
        <v>0</v>
      </c>
      <c r="AD1686">
        <f>[1]资金台帐!AD1686</f>
        <v>0</v>
      </c>
      <c r="AJ1686">
        <f>[1]资金台帐!AJ1686</f>
        <v>0</v>
      </c>
      <c r="AK1686">
        <f>[1]资金台帐!AK1686</f>
        <v>0</v>
      </c>
      <c r="BA1686" s="22">
        <f t="shared" si="0"/>
      </c>
      <c r="BG1686" s="22">
        <f t="shared" si="1"/>
      </c>
      <c r="BH1686" s="22">
        <f t="shared" si="2"/>
        <v>0</v>
      </c>
    </row>
    <row r="1687">
      <c r="B1687">
        <f>[1]资金台帐!B1687&amp;""</f>
      </c>
      <c r="H1687">
        <f>[1]资金台帐!H1687&amp;""</f>
      </c>
      <c r="J1687">
        <f>[1]资金台帐!J1687&amp;""</f>
      </c>
      <c r="N1687">
        <f>[1]资金台帐!N1687</f>
      </c>
      <c r="O1687">
        <f>[1]资金台帐!O1687&amp;""</f>
      </c>
      <c r="P1687">
        <f>[1]资金台帐!P1687&amp;""</f>
      </c>
      <c r="Q1687">
        <f>[1]资金台帐!Q1687&amp;""</f>
      </c>
      <c r="T1687">
        <f>[1]资金台帐!T1687&amp;""</f>
      </c>
      <c r="U1687">
        <f>[1]资金台帐!U1687&amp;""</f>
      </c>
      <c r="W1687">
        <f>[1]资金台帐!W1687&amp;""</f>
      </c>
      <c r="X1687">
        <f>[1]资金台帐!X1687&amp;""</f>
      </c>
      <c r="AB1687">
        <f>[1]资金台帐!AB1687</f>
        <v>0</v>
      </c>
      <c r="AC1687">
        <f>[1]资金台帐!AC1687</f>
        <v>0</v>
      </c>
      <c r="AD1687">
        <f>[1]资金台帐!AD1687</f>
        <v>0</v>
      </c>
      <c r="AJ1687">
        <f>[1]资金台帐!AJ1687</f>
        <v>0</v>
      </c>
      <c r="AK1687">
        <f>[1]资金台帐!AK1687</f>
        <v>0</v>
      </c>
      <c r="BA1687" s="22">
        <f t="shared" si="0"/>
      </c>
      <c r="BG1687" s="22">
        <f t="shared" si="1"/>
      </c>
      <c r="BH1687" s="22">
        <f t="shared" si="2"/>
        <v>0</v>
      </c>
    </row>
    <row r="1688">
      <c r="B1688">
        <f>[1]资金台帐!B1688&amp;""</f>
      </c>
      <c r="H1688">
        <f>[1]资金台帐!H1688&amp;""</f>
      </c>
      <c r="J1688">
        <f>[1]资金台帐!J1688&amp;""</f>
      </c>
      <c r="N1688">
        <f>[1]资金台帐!N1688</f>
      </c>
      <c r="O1688">
        <f>[1]资金台帐!O1688&amp;""</f>
      </c>
      <c r="P1688">
        <f>[1]资金台帐!P1688&amp;""</f>
      </c>
      <c r="Q1688">
        <f>[1]资金台帐!Q1688&amp;""</f>
      </c>
      <c r="T1688">
        <f>[1]资金台帐!T1688&amp;""</f>
      </c>
      <c r="U1688">
        <f>[1]资金台帐!U1688&amp;""</f>
      </c>
      <c r="W1688">
        <f>[1]资金台帐!W1688&amp;""</f>
      </c>
      <c r="X1688">
        <f>[1]资金台帐!X1688&amp;""</f>
      </c>
      <c r="AB1688">
        <f>[1]资金台帐!AB1688</f>
        <v>0</v>
      </c>
      <c r="AC1688">
        <f>[1]资金台帐!AC1688</f>
        <v>0</v>
      </c>
      <c r="AD1688">
        <f>[1]资金台帐!AD1688</f>
        <v>0</v>
      </c>
      <c r="AJ1688">
        <f>[1]资金台帐!AJ1688</f>
        <v>0</v>
      </c>
      <c r="AK1688">
        <f>[1]资金台帐!AK1688</f>
        <v>0</v>
      </c>
      <c r="BA1688" s="22">
        <f t="shared" si="0"/>
      </c>
      <c r="BG1688" s="22">
        <f t="shared" si="1"/>
      </c>
      <c r="BH1688" s="22">
        <f t="shared" si="2"/>
        <v>0</v>
      </c>
    </row>
    <row r="1689">
      <c r="B1689">
        <f>[1]资金台帐!B1689&amp;""</f>
      </c>
      <c r="H1689">
        <f>[1]资金台帐!H1689&amp;""</f>
      </c>
      <c r="J1689">
        <f>[1]资金台帐!J1689&amp;""</f>
      </c>
      <c r="N1689">
        <f>[1]资金台帐!N1689</f>
      </c>
      <c r="O1689">
        <f>[1]资金台帐!O1689&amp;""</f>
      </c>
      <c r="P1689">
        <f>[1]资金台帐!P1689&amp;""</f>
      </c>
      <c r="Q1689">
        <f>[1]资金台帐!Q1689&amp;""</f>
      </c>
      <c r="T1689">
        <f>[1]资金台帐!T1689&amp;""</f>
      </c>
      <c r="U1689">
        <f>[1]资金台帐!U1689&amp;""</f>
      </c>
      <c r="W1689">
        <f>[1]资金台帐!W1689&amp;""</f>
      </c>
      <c r="X1689">
        <f>[1]资金台帐!X1689&amp;""</f>
      </c>
      <c r="AB1689">
        <f>[1]资金台帐!AB1689</f>
        <v>0</v>
      </c>
      <c r="AC1689">
        <f>[1]资金台帐!AC1689</f>
        <v>0</v>
      </c>
      <c r="AD1689">
        <f>[1]资金台帐!AD1689</f>
        <v>0</v>
      </c>
      <c r="AJ1689">
        <f>[1]资金台帐!AJ1689</f>
        <v>0</v>
      </c>
      <c r="AK1689">
        <f>[1]资金台帐!AK1689</f>
        <v>0</v>
      </c>
      <c r="BA1689" s="22">
        <f t="shared" si="0"/>
      </c>
      <c r="BG1689" s="22">
        <f t="shared" si="1"/>
      </c>
      <c r="BH1689" s="22">
        <f t="shared" si="2"/>
        <v>0</v>
      </c>
    </row>
    <row r="1690">
      <c r="B1690">
        <f>[1]资金台帐!B1690&amp;""</f>
      </c>
      <c r="H1690">
        <f>[1]资金台帐!H1690&amp;""</f>
      </c>
      <c r="J1690">
        <f>[1]资金台帐!J1690&amp;""</f>
      </c>
      <c r="N1690">
        <f>[1]资金台帐!N1690</f>
      </c>
      <c r="O1690">
        <f>[1]资金台帐!O1690&amp;""</f>
      </c>
      <c r="P1690">
        <f>[1]资金台帐!P1690&amp;""</f>
      </c>
      <c r="Q1690">
        <f>[1]资金台帐!Q1690&amp;""</f>
      </c>
      <c r="T1690">
        <f>[1]资金台帐!T1690&amp;""</f>
      </c>
      <c r="U1690">
        <f>[1]资金台帐!U1690&amp;""</f>
      </c>
      <c r="W1690">
        <f>[1]资金台帐!W1690&amp;""</f>
      </c>
      <c r="X1690">
        <f>[1]资金台帐!X1690&amp;""</f>
      </c>
      <c r="AB1690">
        <f>[1]资金台帐!AB1690</f>
        <v>0</v>
      </c>
      <c r="AC1690">
        <f>[1]资金台帐!AC1690</f>
        <v>0</v>
      </c>
      <c r="AD1690">
        <f>[1]资金台帐!AD1690</f>
        <v>0</v>
      </c>
      <c r="AJ1690">
        <f>[1]资金台帐!AJ1690</f>
        <v>0</v>
      </c>
      <c r="AK1690">
        <f>[1]资金台帐!AK1690</f>
        <v>0</v>
      </c>
      <c r="BA1690" s="22">
        <f t="shared" si="0"/>
      </c>
      <c r="BG1690" s="22">
        <f t="shared" si="1"/>
      </c>
      <c r="BH1690" s="22">
        <f t="shared" si="2"/>
        <v>0</v>
      </c>
    </row>
    <row r="1691">
      <c r="B1691">
        <f>[1]资金台帐!B1691&amp;""</f>
      </c>
      <c r="H1691">
        <f>[1]资金台帐!H1691&amp;""</f>
      </c>
      <c r="J1691">
        <f>[1]资金台帐!J1691&amp;""</f>
      </c>
      <c r="N1691">
        <f>[1]资金台帐!N1691</f>
      </c>
      <c r="O1691">
        <f>[1]资金台帐!O1691&amp;""</f>
      </c>
      <c r="P1691">
        <f>[1]资金台帐!P1691&amp;""</f>
      </c>
      <c r="Q1691">
        <f>[1]资金台帐!Q1691&amp;""</f>
      </c>
      <c r="T1691">
        <f>[1]资金台帐!T1691&amp;""</f>
      </c>
      <c r="U1691">
        <f>[1]资金台帐!U1691&amp;""</f>
      </c>
      <c r="W1691">
        <f>[1]资金台帐!W1691&amp;""</f>
      </c>
      <c r="X1691">
        <f>[1]资金台帐!X1691&amp;""</f>
      </c>
      <c r="AB1691">
        <f>[1]资金台帐!AB1691</f>
        <v>0</v>
      </c>
      <c r="AC1691">
        <f>[1]资金台帐!AC1691</f>
        <v>0</v>
      </c>
      <c r="AD1691">
        <f>[1]资金台帐!AD1691</f>
        <v>0</v>
      </c>
      <c r="AJ1691">
        <f>[1]资金台帐!AJ1691</f>
        <v>0</v>
      </c>
      <c r="AK1691">
        <f>[1]资金台帐!AK1691</f>
        <v>0</v>
      </c>
      <c r="BA1691" s="22">
        <f t="shared" si="0"/>
      </c>
      <c r="BG1691" s="22">
        <f t="shared" si="1"/>
      </c>
      <c r="BH1691" s="22">
        <f t="shared" si="2"/>
        <v>0</v>
      </c>
    </row>
    <row r="1692">
      <c r="B1692">
        <f>[1]资金台帐!B1692&amp;""</f>
      </c>
      <c r="H1692">
        <f>[1]资金台帐!H1692&amp;""</f>
      </c>
      <c r="J1692">
        <f>[1]资金台帐!J1692&amp;""</f>
      </c>
      <c r="N1692">
        <f>[1]资金台帐!N1692</f>
      </c>
      <c r="O1692">
        <f>[1]资金台帐!O1692&amp;""</f>
      </c>
      <c r="P1692">
        <f>[1]资金台帐!P1692&amp;""</f>
      </c>
      <c r="Q1692">
        <f>[1]资金台帐!Q1692&amp;""</f>
      </c>
      <c r="T1692">
        <f>[1]资金台帐!T1692&amp;""</f>
      </c>
      <c r="U1692">
        <f>[1]资金台帐!U1692&amp;""</f>
      </c>
      <c r="W1692">
        <f>[1]资金台帐!W1692&amp;""</f>
      </c>
      <c r="X1692">
        <f>[1]资金台帐!X1692&amp;""</f>
      </c>
      <c r="AB1692">
        <f>[1]资金台帐!AB1692</f>
        <v>0</v>
      </c>
      <c r="AC1692">
        <f>[1]资金台帐!AC1692</f>
        <v>0</v>
      </c>
      <c r="AD1692">
        <f>[1]资金台帐!AD1692</f>
        <v>0</v>
      </c>
      <c r="AJ1692">
        <f>[1]资金台帐!AJ1692</f>
        <v>0</v>
      </c>
      <c r="AK1692">
        <f>[1]资金台帐!AK1692</f>
        <v>0</v>
      </c>
      <c r="BA1692" s="22">
        <f t="shared" si="0"/>
      </c>
      <c r="BG1692" s="22">
        <f t="shared" si="1"/>
      </c>
      <c r="BH1692" s="22">
        <f t="shared" si="2"/>
        <v>0</v>
      </c>
    </row>
    <row r="1693">
      <c r="B1693">
        <f>[1]资金台帐!B1693&amp;""</f>
      </c>
      <c r="H1693">
        <f>[1]资金台帐!H1693&amp;""</f>
      </c>
      <c r="J1693">
        <f>[1]资金台帐!J1693&amp;""</f>
      </c>
      <c r="N1693">
        <f>[1]资金台帐!N1693</f>
      </c>
      <c r="O1693">
        <f>[1]资金台帐!O1693&amp;""</f>
      </c>
      <c r="P1693">
        <f>[1]资金台帐!P1693&amp;""</f>
      </c>
      <c r="Q1693">
        <f>[1]资金台帐!Q1693&amp;""</f>
      </c>
      <c r="T1693">
        <f>[1]资金台帐!T1693&amp;""</f>
      </c>
      <c r="U1693">
        <f>[1]资金台帐!U1693&amp;""</f>
      </c>
      <c r="W1693">
        <f>[1]资金台帐!W1693&amp;""</f>
      </c>
      <c r="X1693">
        <f>[1]资金台帐!X1693&amp;""</f>
      </c>
      <c r="AB1693">
        <f>[1]资金台帐!AB1693</f>
        <v>0</v>
      </c>
      <c r="AC1693">
        <f>[1]资金台帐!AC1693</f>
        <v>0</v>
      </c>
      <c r="AD1693">
        <f>[1]资金台帐!AD1693</f>
        <v>0</v>
      </c>
      <c r="AJ1693">
        <f>[1]资金台帐!AJ1693</f>
        <v>0</v>
      </c>
      <c r="AK1693">
        <f>[1]资金台帐!AK1693</f>
        <v>0</v>
      </c>
      <c r="BA1693" s="22">
        <f t="shared" si="0"/>
      </c>
      <c r="BG1693" s="22">
        <f t="shared" si="1"/>
      </c>
      <c r="BH1693" s="22">
        <f t="shared" si="2"/>
        <v>0</v>
      </c>
    </row>
    <row r="1694">
      <c r="B1694">
        <f>[1]资金台帐!B1694&amp;""</f>
      </c>
      <c r="H1694">
        <f>[1]资金台帐!H1694&amp;""</f>
      </c>
      <c r="J1694">
        <f>[1]资金台帐!J1694&amp;""</f>
      </c>
      <c r="N1694">
        <f>[1]资金台帐!N1694</f>
      </c>
      <c r="O1694">
        <f>[1]资金台帐!O1694&amp;""</f>
      </c>
      <c r="P1694">
        <f>[1]资金台帐!P1694&amp;""</f>
      </c>
      <c r="Q1694">
        <f>[1]资金台帐!Q1694&amp;""</f>
      </c>
      <c r="T1694">
        <f>[1]资金台帐!T1694&amp;""</f>
      </c>
      <c r="U1694">
        <f>[1]资金台帐!U1694&amp;""</f>
      </c>
      <c r="W1694">
        <f>[1]资金台帐!W1694&amp;""</f>
      </c>
      <c r="X1694">
        <f>[1]资金台帐!X1694&amp;""</f>
      </c>
      <c r="AB1694">
        <f>[1]资金台帐!AB1694</f>
        <v>0</v>
      </c>
      <c r="AC1694">
        <f>[1]资金台帐!AC1694</f>
        <v>0</v>
      </c>
      <c r="AD1694">
        <f>[1]资金台帐!AD1694</f>
        <v>0</v>
      </c>
      <c r="AJ1694">
        <f>[1]资金台帐!AJ1694</f>
        <v>0</v>
      </c>
      <c r="AK1694">
        <f>[1]资金台帐!AK1694</f>
        <v>0</v>
      </c>
      <c r="BA1694" s="22">
        <f t="shared" si="0"/>
      </c>
      <c r="BG1694" s="22">
        <f t="shared" si="1"/>
      </c>
      <c r="BH1694" s="22">
        <f t="shared" si="2"/>
        <v>0</v>
      </c>
    </row>
    <row r="1695">
      <c r="B1695">
        <f>[1]资金台帐!B1695&amp;""</f>
      </c>
      <c r="H1695">
        <f>[1]资金台帐!H1695&amp;""</f>
      </c>
      <c r="J1695">
        <f>[1]资金台帐!J1695&amp;""</f>
      </c>
      <c r="N1695">
        <f>[1]资金台帐!N1695</f>
      </c>
      <c r="O1695">
        <f>[1]资金台帐!O1695&amp;""</f>
      </c>
      <c r="P1695">
        <f>[1]资金台帐!P1695&amp;""</f>
      </c>
      <c r="Q1695">
        <f>[1]资金台帐!Q1695&amp;""</f>
      </c>
      <c r="T1695">
        <f>[1]资金台帐!T1695&amp;""</f>
      </c>
      <c r="U1695">
        <f>[1]资金台帐!U1695&amp;""</f>
      </c>
      <c r="W1695">
        <f>[1]资金台帐!W1695&amp;""</f>
      </c>
      <c r="X1695">
        <f>[1]资金台帐!X1695&amp;""</f>
      </c>
      <c r="AB1695">
        <f>[1]资金台帐!AB1695</f>
        <v>0</v>
      </c>
      <c r="AC1695">
        <f>[1]资金台帐!AC1695</f>
        <v>0</v>
      </c>
      <c r="AD1695">
        <f>[1]资金台帐!AD1695</f>
        <v>0</v>
      </c>
      <c r="AJ1695">
        <f>[1]资金台帐!AJ1695</f>
        <v>0</v>
      </c>
      <c r="AK1695">
        <f>[1]资金台帐!AK1695</f>
        <v>0</v>
      </c>
      <c r="BA1695" s="22">
        <f t="shared" si="0"/>
      </c>
      <c r="BG1695" s="22">
        <f t="shared" si="1"/>
      </c>
      <c r="BH1695" s="22">
        <f t="shared" si="2"/>
        <v>0</v>
      </c>
    </row>
    <row r="1696">
      <c r="B1696">
        <f>[1]资金台帐!B1696&amp;""</f>
      </c>
      <c r="H1696">
        <f>[1]资金台帐!H1696&amp;""</f>
      </c>
      <c r="J1696">
        <f>[1]资金台帐!J1696&amp;""</f>
      </c>
      <c r="N1696">
        <f>[1]资金台帐!N1696</f>
      </c>
      <c r="O1696">
        <f>[1]资金台帐!O1696&amp;""</f>
      </c>
      <c r="P1696">
        <f>[1]资金台帐!P1696&amp;""</f>
      </c>
      <c r="Q1696">
        <f>[1]资金台帐!Q1696&amp;""</f>
      </c>
      <c r="T1696">
        <f>[1]资金台帐!T1696&amp;""</f>
      </c>
      <c r="U1696">
        <f>[1]资金台帐!U1696&amp;""</f>
      </c>
      <c r="W1696">
        <f>[1]资金台帐!W1696&amp;""</f>
      </c>
      <c r="X1696">
        <f>[1]资金台帐!X1696&amp;""</f>
      </c>
      <c r="AB1696">
        <f>[1]资金台帐!AB1696</f>
        <v>0</v>
      </c>
      <c r="AC1696">
        <f>[1]资金台帐!AC1696</f>
        <v>0</v>
      </c>
      <c r="AD1696">
        <f>[1]资金台帐!AD1696</f>
        <v>0</v>
      </c>
      <c r="AJ1696">
        <f>[1]资金台帐!AJ1696</f>
        <v>0</v>
      </c>
      <c r="AK1696">
        <f>[1]资金台帐!AK1696</f>
        <v>0</v>
      </c>
      <c r="BA1696" s="22">
        <f t="shared" si="0"/>
      </c>
      <c r="BG1696" s="22">
        <f t="shared" si="1"/>
      </c>
      <c r="BH1696" s="22">
        <f t="shared" si="2"/>
        <v>0</v>
      </c>
    </row>
    <row r="1697">
      <c r="B1697">
        <f>[1]资金台帐!B1697&amp;""</f>
      </c>
      <c r="H1697">
        <f>[1]资金台帐!H1697&amp;""</f>
      </c>
      <c r="J1697">
        <f>[1]资金台帐!J1697&amp;""</f>
      </c>
      <c r="N1697">
        <f>[1]资金台帐!N1697</f>
      </c>
      <c r="O1697">
        <f>[1]资金台帐!O1697&amp;""</f>
      </c>
      <c r="P1697">
        <f>[1]资金台帐!P1697&amp;""</f>
      </c>
      <c r="Q1697">
        <f>[1]资金台帐!Q1697&amp;""</f>
      </c>
      <c r="T1697">
        <f>[1]资金台帐!T1697&amp;""</f>
      </c>
      <c r="U1697">
        <f>[1]资金台帐!U1697&amp;""</f>
      </c>
      <c r="W1697">
        <f>[1]资金台帐!W1697&amp;""</f>
      </c>
      <c r="X1697">
        <f>[1]资金台帐!X1697&amp;""</f>
      </c>
      <c r="AB1697">
        <f>[1]资金台帐!AB1697</f>
        <v>0</v>
      </c>
      <c r="AC1697">
        <f>[1]资金台帐!AC1697</f>
        <v>0</v>
      </c>
      <c r="AD1697">
        <f>[1]资金台帐!AD1697</f>
        <v>0</v>
      </c>
      <c r="AJ1697">
        <f>[1]资金台帐!AJ1697</f>
        <v>0</v>
      </c>
      <c r="AK1697">
        <f>[1]资金台帐!AK1697</f>
        <v>0</v>
      </c>
      <c r="BA1697" s="22">
        <f t="shared" si="0"/>
      </c>
      <c r="BG1697" s="22">
        <f t="shared" si="1"/>
      </c>
      <c r="BH1697" s="22">
        <f t="shared" si="2"/>
        <v>0</v>
      </c>
    </row>
    <row r="1698">
      <c r="B1698">
        <f>[1]资金台帐!B1698&amp;""</f>
      </c>
      <c r="H1698">
        <f>[1]资金台帐!H1698&amp;""</f>
      </c>
      <c r="J1698">
        <f>[1]资金台帐!J1698&amp;""</f>
      </c>
      <c r="N1698">
        <f>[1]资金台帐!N1698</f>
      </c>
      <c r="O1698">
        <f>[1]资金台帐!O1698&amp;""</f>
      </c>
      <c r="P1698">
        <f>[1]资金台帐!P1698&amp;""</f>
      </c>
      <c r="Q1698">
        <f>[1]资金台帐!Q1698&amp;""</f>
      </c>
      <c r="T1698">
        <f>[1]资金台帐!T1698&amp;""</f>
      </c>
      <c r="U1698">
        <f>[1]资金台帐!U1698&amp;""</f>
      </c>
      <c r="W1698">
        <f>[1]资金台帐!W1698&amp;""</f>
      </c>
      <c r="X1698">
        <f>[1]资金台帐!X1698&amp;""</f>
      </c>
      <c r="AB1698">
        <f>[1]资金台帐!AB1698</f>
        <v>0</v>
      </c>
      <c r="AC1698">
        <f>[1]资金台帐!AC1698</f>
        <v>0</v>
      </c>
      <c r="AD1698">
        <f>[1]资金台帐!AD1698</f>
        <v>0</v>
      </c>
      <c r="AJ1698">
        <f>[1]资金台帐!AJ1698</f>
        <v>0</v>
      </c>
      <c r="AK1698">
        <f>[1]资金台帐!AK1698</f>
        <v>0</v>
      </c>
      <c r="BA1698" s="22">
        <f t="shared" si="0"/>
      </c>
      <c r="BG1698" s="22">
        <f t="shared" si="1"/>
      </c>
      <c r="BH1698" s="22">
        <f t="shared" si="2"/>
        <v>0</v>
      </c>
    </row>
    <row r="1699">
      <c r="B1699">
        <f>[1]资金台帐!B1699&amp;""</f>
      </c>
      <c r="H1699">
        <f>[1]资金台帐!H1699&amp;""</f>
      </c>
      <c r="J1699">
        <f>[1]资金台帐!J1699&amp;""</f>
      </c>
      <c r="N1699">
        <f>[1]资金台帐!N1699</f>
      </c>
      <c r="O1699">
        <f>[1]资金台帐!O1699&amp;""</f>
      </c>
      <c r="P1699">
        <f>[1]资金台帐!P1699&amp;""</f>
      </c>
      <c r="Q1699">
        <f>[1]资金台帐!Q1699&amp;""</f>
      </c>
      <c r="T1699">
        <f>[1]资金台帐!T1699&amp;""</f>
      </c>
      <c r="U1699">
        <f>[1]资金台帐!U1699&amp;""</f>
      </c>
      <c r="W1699">
        <f>[1]资金台帐!W1699&amp;""</f>
      </c>
      <c r="X1699">
        <f>[1]资金台帐!X1699&amp;""</f>
      </c>
      <c r="AB1699">
        <f>[1]资金台帐!AB1699</f>
        <v>0</v>
      </c>
      <c r="AC1699">
        <f>[1]资金台帐!AC1699</f>
        <v>0</v>
      </c>
      <c r="AD1699">
        <f>[1]资金台帐!AD1699</f>
        <v>0</v>
      </c>
      <c r="AJ1699">
        <f>[1]资金台帐!AJ1699</f>
        <v>0</v>
      </c>
      <c r="AK1699">
        <f>[1]资金台帐!AK1699</f>
        <v>0</v>
      </c>
      <c r="BA1699" s="22">
        <f t="shared" si="0"/>
      </c>
      <c r="BG1699" s="22">
        <f t="shared" si="1"/>
      </c>
      <c r="BH1699" s="22">
        <f t="shared" si="2"/>
        <v>0</v>
      </c>
    </row>
    <row r="1700">
      <c r="B1700">
        <f>[1]资金台帐!B1700&amp;""</f>
      </c>
      <c r="H1700">
        <f>[1]资金台帐!H1700&amp;""</f>
      </c>
      <c r="J1700">
        <f>[1]资金台帐!J1700&amp;""</f>
      </c>
      <c r="N1700">
        <f>[1]资金台帐!N1700</f>
      </c>
      <c r="O1700">
        <f>[1]资金台帐!O1700&amp;""</f>
      </c>
      <c r="P1700">
        <f>[1]资金台帐!P1700&amp;""</f>
      </c>
      <c r="Q1700">
        <f>[1]资金台帐!Q1700&amp;""</f>
      </c>
      <c r="T1700">
        <f>[1]资金台帐!T1700&amp;""</f>
      </c>
      <c r="U1700">
        <f>[1]资金台帐!U1700&amp;""</f>
      </c>
      <c r="W1700">
        <f>[1]资金台帐!W1700&amp;""</f>
      </c>
      <c r="X1700">
        <f>[1]资金台帐!X1700&amp;""</f>
      </c>
      <c r="AB1700">
        <f>[1]资金台帐!AB1700</f>
        <v>0</v>
      </c>
      <c r="AC1700">
        <f>[1]资金台帐!AC1700</f>
        <v>0</v>
      </c>
      <c r="AD1700">
        <f>[1]资金台帐!AD1700</f>
        <v>0</v>
      </c>
      <c r="AJ1700">
        <f>[1]资金台帐!AJ1700</f>
        <v>0</v>
      </c>
      <c r="AK1700">
        <f>[1]资金台帐!AK1700</f>
        <v>0</v>
      </c>
      <c r="BA1700" s="22">
        <f t="shared" si="0"/>
      </c>
      <c r="BG1700" s="22">
        <f t="shared" si="1"/>
      </c>
      <c r="BH1700" s="22">
        <f t="shared" si="2"/>
        <v>0</v>
      </c>
    </row>
    <row r="1701">
      <c r="B1701">
        <f>[1]资金台帐!B1701&amp;""</f>
      </c>
      <c r="H1701">
        <f>[1]资金台帐!H1701&amp;""</f>
      </c>
      <c r="J1701">
        <f>[1]资金台帐!J1701&amp;""</f>
      </c>
      <c r="N1701">
        <f>[1]资金台帐!N1701</f>
      </c>
      <c r="O1701">
        <f>[1]资金台帐!O1701&amp;""</f>
      </c>
      <c r="P1701">
        <f>[1]资金台帐!P1701&amp;""</f>
      </c>
      <c r="Q1701">
        <f>[1]资金台帐!Q1701&amp;""</f>
      </c>
      <c r="T1701">
        <f>[1]资金台帐!T1701&amp;""</f>
      </c>
      <c r="U1701">
        <f>[1]资金台帐!U1701&amp;""</f>
      </c>
      <c r="W1701">
        <f>[1]资金台帐!W1701&amp;""</f>
      </c>
      <c r="X1701">
        <f>[1]资金台帐!X1701&amp;""</f>
      </c>
      <c r="AB1701">
        <f>[1]资金台帐!AB1701</f>
        <v>0</v>
      </c>
      <c r="AC1701">
        <f>[1]资金台帐!AC1701</f>
        <v>0</v>
      </c>
      <c r="AD1701">
        <f>[1]资金台帐!AD1701</f>
        <v>0</v>
      </c>
      <c r="AJ1701">
        <f>[1]资金台帐!AJ1701</f>
        <v>0</v>
      </c>
      <c r="AK1701">
        <f>[1]资金台帐!AK1701</f>
        <v>0</v>
      </c>
      <c r="BA1701" s="22">
        <f t="shared" si="0"/>
      </c>
      <c r="BG1701" s="22">
        <f t="shared" si="1"/>
      </c>
      <c r="BH1701" s="22">
        <f t="shared" si="2"/>
        <v>0</v>
      </c>
    </row>
    <row r="1702">
      <c r="B1702">
        <f>[1]资金台帐!B1702&amp;""</f>
      </c>
      <c r="H1702">
        <f>[1]资金台帐!H1702&amp;""</f>
      </c>
      <c r="J1702">
        <f>[1]资金台帐!J1702&amp;""</f>
      </c>
      <c r="N1702">
        <f>[1]资金台帐!N1702</f>
      </c>
      <c r="O1702">
        <f>[1]资金台帐!O1702&amp;""</f>
      </c>
      <c r="P1702">
        <f>[1]资金台帐!P1702&amp;""</f>
      </c>
      <c r="Q1702">
        <f>[1]资金台帐!Q1702&amp;""</f>
      </c>
      <c r="T1702">
        <f>[1]资金台帐!T1702&amp;""</f>
      </c>
      <c r="U1702">
        <f>[1]资金台帐!U1702&amp;""</f>
      </c>
      <c r="W1702">
        <f>[1]资金台帐!W1702&amp;""</f>
      </c>
      <c r="X1702">
        <f>[1]资金台帐!X1702&amp;""</f>
      </c>
      <c r="AB1702">
        <f>[1]资金台帐!AB1702</f>
        <v>0</v>
      </c>
      <c r="AC1702">
        <f>[1]资金台帐!AC1702</f>
        <v>0</v>
      </c>
      <c r="AD1702">
        <f>[1]资金台帐!AD1702</f>
        <v>0</v>
      </c>
      <c r="AJ1702">
        <f>[1]资金台帐!AJ1702</f>
        <v>0</v>
      </c>
      <c r="AK1702">
        <f>[1]资金台帐!AK1702</f>
        <v>0</v>
      </c>
      <c r="BA1702" s="22">
        <f t="shared" si="0"/>
      </c>
      <c r="BG1702" s="22">
        <f t="shared" si="1"/>
      </c>
      <c r="BH1702" s="22">
        <f t="shared" si="2"/>
        <v>0</v>
      </c>
    </row>
    <row r="1703">
      <c r="B1703">
        <f>[1]资金台帐!B1703&amp;""</f>
      </c>
      <c r="H1703">
        <f>[1]资金台帐!H1703&amp;""</f>
      </c>
      <c r="J1703">
        <f>[1]资金台帐!J1703&amp;""</f>
      </c>
      <c r="N1703">
        <f>[1]资金台帐!N1703</f>
      </c>
      <c r="O1703">
        <f>[1]资金台帐!O1703&amp;""</f>
      </c>
      <c r="P1703">
        <f>[1]资金台帐!P1703&amp;""</f>
      </c>
      <c r="Q1703">
        <f>[1]资金台帐!Q1703&amp;""</f>
      </c>
      <c r="T1703">
        <f>[1]资金台帐!T1703&amp;""</f>
      </c>
      <c r="U1703">
        <f>[1]资金台帐!U1703&amp;""</f>
      </c>
      <c r="W1703">
        <f>[1]资金台帐!W1703&amp;""</f>
      </c>
      <c r="X1703">
        <f>[1]资金台帐!X1703&amp;""</f>
      </c>
      <c r="AB1703">
        <f>[1]资金台帐!AB1703</f>
        <v>0</v>
      </c>
      <c r="AC1703">
        <f>[1]资金台帐!AC1703</f>
        <v>0</v>
      </c>
      <c r="AD1703">
        <f>[1]资金台帐!AD1703</f>
        <v>0</v>
      </c>
      <c r="AJ1703">
        <f>[1]资金台帐!AJ1703</f>
        <v>0</v>
      </c>
      <c r="AK1703">
        <f>[1]资金台帐!AK1703</f>
        <v>0</v>
      </c>
      <c r="BA1703" s="22">
        <f t="shared" si="0"/>
      </c>
      <c r="BG1703" s="22">
        <f t="shared" si="1"/>
      </c>
      <c r="BH1703" s="22">
        <f t="shared" si="2"/>
        <v>0</v>
      </c>
    </row>
    <row r="1704">
      <c r="B1704">
        <f>[1]资金台帐!B1704&amp;""</f>
      </c>
      <c r="H1704">
        <f>[1]资金台帐!H1704&amp;""</f>
      </c>
      <c r="J1704">
        <f>[1]资金台帐!J1704&amp;""</f>
      </c>
      <c r="N1704">
        <f>[1]资金台帐!N1704</f>
      </c>
      <c r="O1704">
        <f>[1]资金台帐!O1704&amp;""</f>
      </c>
      <c r="P1704">
        <f>[1]资金台帐!P1704&amp;""</f>
      </c>
      <c r="Q1704">
        <f>[1]资金台帐!Q1704&amp;""</f>
      </c>
      <c r="T1704">
        <f>[1]资金台帐!T1704&amp;""</f>
      </c>
      <c r="U1704">
        <f>[1]资金台帐!U1704&amp;""</f>
      </c>
      <c r="W1704">
        <f>[1]资金台帐!W1704&amp;""</f>
      </c>
      <c r="X1704">
        <f>[1]资金台帐!X1704&amp;""</f>
      </c>
      <c r="AB1704">
        <f>[1]资金台帐!AB1704</f>
        <v>0</v>
      </c>
      <c r="AC1704">
        <f>[1]资金台帐!AC1704</f>
        <v>0</v>
      </c>
      <c r="AD1704">
        <f>[1]资金台帐!AD1704</f>
        <v>0</v>
      </c>
      <c r="AJ1704">
        <f>[1]资金台帐!AJ1704</f>
        <v>0</v>
      </c>
      <c r="AK1704">
        <f>[1]资金台帐!AK1704</f>
        <v>0</v>
      </c>
      <c r="BA1704" s="22">
        <f t="shared" si="0"/>
      </c>
      <c r="BG1704" s="22">
        <f t="shared" si="1"/>
      </c>
      <c r="BH1704" s="22">
        <f t="shared" si="2"/>
        <v>0</v>
      </c>
    </row>
    <row r="1705">
      <c r="B1705">
        <f>[1]资金台帐!B1705&amp;""</f>
      </c>
      <c r="H1705">
        <f>[1]资金台帐!H1705&amp;""</f>
      </c>
      <c r="J1705">
        <f>[1]资金台帐!J1705&amp;""</f>
      </c>
      <c r="N1705">
        <f>[1]资金台帐!N1705</f>
      </c>
      <c r="O1705">
        <f>[1]资金台帐!O1705&amp;""</f>
      </c>
      <c r="P1705">
        <f>[1]资金台帐!P1705&amp;""</f>
      </c>
      <c r="Q1705">
        <f>[1]资金台帐!Q1705&amp;""</f>
      </c>
      <c r="T1705">
        <f>[1]资金台帐!T1705&amp;""</f>
      </c>
      <c r="U1705">
        <f>[1]资金台帐!U1705&amp;""</f>
      </c>
      <c r="W1705">
        <f>[1]资金台帐!W1705&amp;""</f>
      </c>
      <c r="X1705">
        <f>[1]资金台帐!X1705&amp;""</f>
      </c>
      <c r="AB1705">
        <f>[1]资金台帐!AB1705</f>
        <v>0</v>
      </c>
      <c r="AC1705">
        <f>[1]资金台帐!AC1705</f>
        <v>0</v>
      </c>
      <c r="AD1705">
        <f>[1]资金台帐!AD1705</f>
        <v>0</v>
      </c>
      <c r="AJ1705">
        <f>[1]资金台帐!AJ1705</f>
        <v>0</v>
      </c>
      <c r="AK1705">
        <f>[1]资金台帐!AK1705</f>
        <v>0</v>
      </c>
      <c r="BA1705" s="22">
        <f t="shared" si="0"/>
      </c>
      <c r="BG1705" s="22">
        <f t="shared" si="1"/>
      </c>
      <c r="BH1705" s="22">
        <f t="shared" si="2"/>
        <v>0</v>
      </c>
    </row>
    <row r="1706">
      <c r="B1706">
        <f>[1]资金台帐!B1706&amp;""</f>
      </c>
      <c r="H1706">
        <f>[1]资金台帐!H1706&amp;""</f>
      </c>
      <c r="J1706">
        <f>[1]资金台帐!J1706&amp;""</f>
      </c>
      <c r="N1706">
        <f>[1]资金台帐!N1706</f>
      </c>
      <c r="O1706">
        <f>[1]资金台帐!O1706&amp;""</f>
      </c>
      <c r="P1706">
        <f>[1]资金台帐!P1706&amp;""</f>
      </c>
      <c r="Q1706">
        <f>[1]资金台帐!Q1706&amp;""</f>
      </c>
      <c r="T1706">
        <f>[1]资金台帐!T1706&amp;""</f>
      </c>
      <c r="U1706">
        <f>[1]资金台帐!U1706&amp;""</f>
      </c>
      <c r="W1706">
        <f>[1]资金台帐!W1706&amp;""</f>
      </c>
      <c r="X1706">
        <f>[1]资金台帐!X1706&amp;""</f>
      </c>
      <c r="AB1706">
        <f>[1]资金台帐!AB1706</f>
        <v>0</v>
      </c>
      <c r="AC1706">
        <f>[1]资金台帐!AC1706</f>
        <v>0</v>
      </c>
      <c r="AD1706">
        <f>[1]资金台帐!AD1706</f>
        <v>0</v>
      </c>
      <c r="AJ1706">
        <f>[1]资金台帐!AJ1706</f>
        <v>0</v>
      </c>
      <c r="AK1706">
        <f>[1]资金台帐!AK1706</f>
        <v>0</v>
      </c>
      <c r="BA1706" s="22">
        <f t="shared" si="0"/>
      </c>
      <c r="BG1706" s="22">
        <f t="shared" si="1"/>
      </c>
      <c r="BH1706" s="22">
        <f t="shared" si="2"/>
        <v>0</v>
      </c>
    </row>
    <row r="1707">
      <c r="B1707">
        <f>[1]资金台帐!B1707&amp;""</f>
      </c>
      <c r="H1707">
        <f>[1]资金台帐!H1707&amp;""</f>
      </c>
      <c r="J1707">
        <f>[1]资金台帐!J1707&amp;""</f>
      </c>
      <c r="N1707">
        <f>[1]资金台帐!N1707</f>
      </c>
      <c r="O1707">
        <f>[1]资金台帐!O1707&amp;""</f>
      </c>
      <c r="P1707">
        <f>[1]资金台帐!P1707&amp;""</f>
      </c>
      <c r="Q1707">
        <f>[1]资金台帐!Q1707&amp;""</f>
      </c>
      <c r="T1707">
        <f>[1]资金台帐!T1707&amp;""</f>
      </c>
      <c r="U1707">
        <f>[1]资金台帐!U1707&amp;""</f>
      </c>
      <c r="W1707">
        <f>[1]资金台帐!W1707&amp;""</f>
      </c>
      <c r="X1707">
        <f>[1]资金台帐!X1707&amp;""</f>
      </c>
      <c r="AB1707">
        <f>[1]资金台帐!AB1707</f>
        <v>0</v>
      </c>
      <c r="AC1707">
        <f>[1]资金台帐!AC1707</f>
        <v>0</v>
      </c>
      <c r="AD1707">
        <f>[1]资金台帐!AD1707</f>
        <v>0</v>
      </c>
      <c r="AJ1707">
        <f>[1]资金台帐!AJ1707</f>
        <v>0</v>
      </c>
      <c r="AK1707">
        <f>[1]资金台帐!AK1707</f>
        <v>0</v>
      </c>
      <c r="BA1707" s="22">
        <f t="shared" si="0"/>
      </c>
      <c r="BG1707" s="22">
        <f t="shared" si="1"/>
      </c>
      <c r="BH1707" s="22">
        <f t="shared" si="2"/>
        <v>0</v>
      </c>
    </row>
    <row r="1708">
      <c r="B1708">
        <f>[1]资金台帐!B1708&amp;""</f>
      </c>
      <c r="H1708">
        <f>[1]资金台帐!H1708&amp;""</f>
      </c>
      <c r="J1708">
        <f>[1]资金台帐!J1708&amp;""</f>
      </c>
      <c r="N1708">
        <f>[1]资金台帐!N1708</f>
      </c>
      <c r="O1708">
        <f>[1]资金台帐!O1708&amp;""</f>
      </c>
      <c r="P1708">
        <f>[1]资金台帐!P1708&amp;""</f>
      </c>
      <c r="Q1708">
        <f>[1]资金台帐!Q1708&amp;""</f>
      </c>
      <c r="T1708">
        <f>[1]资金台帐!T1708&amp;""</f>
      </c>
      <c r="U1708">
        <f>[1]资金台帐!U1708&amp;""</f>
      </c>
      <c r="W1708">
        <f>[1]资金台帐!W1708&amp;""</f>
      </c>
      <c r="X1708">
        <f>[1]资金台帐!X1708&amp;""</f>
      </c>
      <c r="AB1708">
        <f>[1]资金台帐!AB1708</f>
        <v>0</v>
      </c>
      <c r="AC1708">
        <f>[1]资金台帐!AC1708</f>
        <v>0</v>
      </c>
      <c r="AD1708">
        <f>[1]资金台帐!AD1708</f>
        <v>0</v>
      </c>
      <c r="AJ1708">
        <f>[1]资金台帐!AJ1708</f>
        <v>0</v>
      </c>
      <c r="AK1708">
        <f>[1]资金台帐!AK1708</f>
        <v>0</v>
      </c>
      <c r="BA1708" s="22">
        <f t="shared" si="0"/>
      </c>
      <c r="BG1708" s="22">
        <f t="shared" si="1"/>
      </c>
      <c r="BH1708" s="22">
        <f t="shared" si="2"/>
        <v>0</v>
      </c>
    </row>
    <row r="1709">
      <c r="B1709">
        <f>[1]资金台帐!B1709&amp;""</f>
      </c>
      <c r="H1709">
        <f>[1]资金台帐!H1709&amp;""</f>
      </c>
      <c r="J1709">
        <f>[1]资金台帐!J1709&amp;""</f>
      </c>
      <c r="N1709">
        <f>[1]资金台帐!N1709</f>
      </c>
      <c r="O1709">
        <f>[1]资金台帐!O1709&amp;""</f>
      </c>
      <c r="P1709">
        <f>[1]资金台帐!P1709&amp;""</f>
      </c>
      <c r="Q1709">
        <f>[1]资金台帐!Q1709&amp;""</f>
      </c>
      <c r="T1709">
        <f>[1]资金台帐!T1709&amp;""</f>
      </c>
      <c r="U1709">
        <f>[1]资金台帐!U1709&amp;""</f>
      </c>
      <c r="W1709">
        <f>[1]资金台帐!W1709&amp;""</f>
      </c>
      <c r="X1709">
        <f>[1]资金台帐!X1709&amp;""</f>
      </c>
      <c r="AB1709">
        <f>[1]资金台帐!AB1709</f>
        <v>0</v>
      </c>
      <c r="AC1709">
        <f>[1]资金台帐!AC1709</f>
        <v>0</v>
      </c>
      <c r="AD1709">
        <f>[1]资金台帐!AD1709</f>
        <v>0</v>
      </c>
      <c r="AJ1709">
        <f>[1]资金台帐!AJ1709</f>
        <v>0</v>
      </c>
      <c r="AK1709">
        <f>[1]资金台帐!AK1709</f>
        <v>0</v>
      </c>
      <c r="BA1709" s="22">
        <f t="shared" si="0"/>
      </c>
      <c r="BG1709" s="22">
        <f t="shared" si="1"/>
      </c>
      <c r="BH1709" s="22">
        <f t="shared" si="2"/>
        <v>0</v>
      </c>
    </row>
    <row r="1710">
      <c r="B1710">
        <f>[1]资金台帐!B1710&amp;""</f>
      </c>
      <c r="H1710">
        <f>[1]资金台帐!H1710&amp;""</f>
      </c>
      <c r="J1710">
        <f>[1]资金台帐!J1710&amp;""</f>
      </c>
      <c r="N1710">
        <f>[1]资金台帐!N1710</f>
      </c>
      <c r="O1710">
        <f>[1]资金台帐!O1710&amp;""</f>
      </c>
      <c r="P1710">
        <f>[1]资金台帐!P1710&amp;""</f>
      </c>
      <c r="Q1710">
        <f>[1]资金台帐!Q1710&amp;""</f>
      </c>
      <c r="T1710">
        <f>[1]资金台帐!T1710&amp;""</f>
      </c>
      <c r="U1710">
        <f>[1]资金台帐!U1710&amp;""</f>
      </c>
      <c r="W1710">
        <f>[1]资金台帐!W1710&amp;""</f>
      </c>
      <c r="X1710">
        <f>[1]资金台帐!X1710&amp;""</f>
      </c>
      <c r="AB1710">
        <f>[1]资金台帐!AB1710</f>
        <v>0</v>
      </c>
      <c r="AC1710">
        <f>[1]资金台帐!AC1710</f>
        <v>0</v>
      </c>
      <c r="AD1710">
        <f>[1]资金台帐!AD1710</f>
        <v>0</v>
      </c>
      <c r="AJ1710">
        <f>[1]资金台帐!AJ1710</f>
        <v>0</v>
      </c>
      <c r="AK1710">
        <f>[1]资金台帐!AK1710</f>
        <v>0</v>
      </c>
      <c r="BA1710" s="22">
        <f t="shared" si="0"/>
      </c>
      <c r="BG1710" s="22">
        <f t="shared" si="1"/>
      </c>
      <c r="BH1710" s="22">
        <f t="shared" si="2"/>
        <v>0</v>
      </c>
    </row>
    <row r="1711">
      <c r="B1711">
        <f>[1]资金台帐!B1711&amp;""</f>
      </c>
      <c r="H1711">
        <f>[1]资金台帐!H1711&amp;""</f>
      </c>
      <c r="J1711">
        <f>[1]资金台帐!J1711&amp;""</f>
      </c>
      <c r="N1711">
        <f>[1]资金台帐!N1711</f>
      </c>
      <c r="O1711">
        <f>[1]资金台帐!O1711&amp;""</f>
      </c>
      <c r="P1711">
        <f>[1]资金台帐!P1711&amp;""</f>
      </c>
      <c r="Q1711">
        <f>[1]资金台帐!Q1711&amp;""</f>
      </c>
      <c r="T1711">
        <f>[1]资金台帐!T1711&amp;""</f>
      </c>
      <c r="U1711">
        <f>[1]资金台帐!U1711&amp;""</f>
      </c>
      <c r="W1711">
        <f>[1]资金台帐!W1711&amp;""</f>
      </c>
      <c r="X1711">
        <f>[1]资金台帐!X1711&amp;""</f>
      </c>
      <c r="AB1711">
        <f>[1]资金台帐!AB1711</f>
        <v>0</v>
      </c>
      <c r="AC1711">
        <f>[1]资金台帐!AC1711</f>
        <v>0</v>
      </c>
      <c r="AD1711">
        <f>[1]资金台帐!AD1711</f>
        <v>0</v>
      </c>
      <c r="AJ1711">
        <f>[1]资金台帐!AJ1711</f>
        <v>0</v>
      </c>
      <c r="AK1711">
        <f>[1]资金台帐!AK1711</f>
        <v>0</v>
      </c>
      <c r="BA1711" s="22">
        <f t="shared" si="0"/>
      </c>
      <c r="BG1711" s="22">
        <f t="shared" si="1"/>
      </c>
      <c r="BH1711" s="22">
        <f t="shared" si="2"/>
        <v>0</v>
      </c>
    </row>
    <row r="1712">
      <c r="B1712">
        <f>[1]资金台帐!B1712&amp;""</f>
      </c>
      <c r="H1712">
        <f>[1]资金台帐!H1712&amp;""</f>
      </c>
      <c r="J1712">
        <f>[1]资金台帐!J1712&amp;""</f>
      </c>
      <c r="N1712">
        <f>[1]资金台帐!N1712</f>
      </c>
      <c r="O1712">
        <f>[1]资金台帐!O1712&amp;""</f>
      </c>
      <c r="P1712">
        <f>[1]资金台帐!P1712&amp;""</f>
      </c>
      <c r="Q1712">
        <f>[1]资金台帐!Q1712&amp;""</f>
      </c>
      <c r="T1712">
        <f>[1]资金台帐!T1712&amp;""</f>
      </c>
      <c r="U1712">
        <f>[1]资金台帐!U1712&amp;""</f>
      </c>
      <c r="W1712">
        <f>[1]资金台帐!W1712&amp;""</f>
      </c>
      <c r="X1712">
        <f>[1]资金台帐!X1712&amp;""</f>
      </c>
      <c r="AB1712">
        <f>[1]资金台帐!AB1712</f>
        <v>0</v>
      </c>
      <c r="AC1712">
        <f>[1]资金台帐!AC1712</f>
        <v>0</v>
      </c>
      <c r="AD1712">
        <f>[1]资金台帐!AD1712</f>
        <v>0</v>
      </c>
      <c r="AJ1712">
        <f>[1]资金台帐!AJ1712</f>
        <v>0</v>
      </c>
      <c r="AK1712">
        <f>[1]资金台帐!AK1712</f>
        <v>0</v>
      </c>
      <c r="BA1712" s="22">
        <f t="shared" si="0"/>
      </c>
      <c r="BG1712" s="22">
        <f t="shared" si="1"/>
      </c>
      <c r="BH1712" s="22">
        <f t="shared" si="2"/>
        <v>0</v>
      </c>
    </row>
    <row r="1713">
      <c r="B1713">
        <f>[1]资金台帐!B1713&amp;""</f>
      </c>
      <c r="H1713">
        <f>[1]资金台帐!H1713&amp;""</f>
      </c>
      <c r="J1713">
        <f>[1]资金台帐!J1713&amp;""</f>
      </c>
      <c r="N1713">
        <f>[1]资金台帐!N1713</f>
      </c>
      <c r="O1713">
        <f>[1]资金台帐!O1713&amp;""</f>
      </c>
      <c r="P1713">
        <f>[1]资金台帐!P1713&amp;""</f>
      </c>
      <c r="Q1713">
        <f>[1]资金台帐!Q1713&amp;""</f>
      </c>
      <c r="T1713">
        <f>[1]资金台帐!T1713&amp;""</f>
      </c>
      <c r="U1713">
        <f>[1]资金台帐!U1713&amp;""</f>
      </c>
      <c r="W1713">
        <f>[1]资金台帐!W1713&amp;""</f>
      </c>
      <c r="X1713">
        <f>[1]资金台帐!X1713&amp;""</f>
      </c>
      <c r="AB1713">
        <f>[1]资金台帐!AB1713</f>
        <v>0</v>
      </c>
      <c r="AC1713">
        <f>[1]资金台帐!AC1713</f>
        <v>0</v>
      </c>
      <c r="AD1713">
        <f>[1]资金台帐!AD1713</f>
        <v>0</v>
      </c>
      <c r="AJ1713">
        <f>[1]资金台帐!AJ1713</f>
        <v>0</v>
      </c>
      <c r="AK1713">
        <f>[1]资金台帐!AK1713</f>
        <v>0</v>
      </c>
      <c r="BA1713" s="22">
        <f t="shared" si="0"/>
      </c>
      <c r="BG1713" s="22">
        <f t="shared" si="1"/>
      </c>
      <c r="BH1713" s="22">
        <f t="shared" si="2"/>
        <v>0</v>
      </c>
    </row>
    <row r="1714">
      <c r="B1714">
        <f>[1]资金台帐!B1714&amp;""</f>
      </c>
      <c r="H1714">
        <f>[1]资金台帐!H1714&amp;""</f>
      </c>
      <c r="J1714">
        <f>[1]资金台帐!J1714&amp;""</f>
      </c>
      <c r="N1714">
        <f>[1]资金台帐!N1714</f>
      </c>
      <c r="O1714">
        <f>[1]资金台帐!O1714&amp;""</f>
      </c>
      <c r="P1714">
        <f>[1]资金台帐!P1714&amp;""</f>
      </c>
      <c r="Q1714">
        <f>[1]资金台帐!Q1714&amp;""</f>
      </c>
      <c r="T1714">
        <f>[1]资金台帐!T1714&amp;""</f>
      </c>
      <c r="U1714">
        <f>[1]资金台帐!U1714&amp;""</f>
      </c>
      <c r="W1714">
        <f>[1]资金台帐!W1714&amp;""</f>
      </c>
      <c r="X1714">
        <f>[1]资金台帐!X1714&amp;""</f>
      </c>
      <c r="AB1714">
        <f>[1]资金台帐!AB1714</f>
        <v>0</v>
      </c>
      <c r="AC1714">
        <f>[1]资金台帐!AC1714</f>
        <v>0</v>
      </c>
      <c r="AD1714">
        <f>[1]资金台帐!AD1714</f>
        <v>0</v>
      </c>
      <c r="AJ1714">
        <f>[1]资金台帐!AJ1714</f>
        <v>0</v>
      </c>
      <c r="AK1714">
        <f>[1]资金台帐!AK1714</f>
        <v>0</v>
      </c>
      <c r="BA1714" s="22">
        <f t="shared" si="0"/>
      </c>
      <c r="BG1714" s="22">
        <f t="shared" si="1"/>
      </c>
      <c r="BH1714" s="22">
        <f t="shared" si="2"/>
        <v>0</v>
      </c>
    </row>
    <row r="1715">
      <c r="B1715">
        <f>[1]资金台帐!B1715&amp;""</f>
      </c>
      <c r="H1715">
        <f>[1]资金台帐!H1715&amp;""</f>
      </c>
      <c r="J1715">
        <f>[1]资金台帐!J1715&amp;""</f>
      </c>
      <c r="N1715">
        <f>[1]资金台帐!N1715</f>
      </c>
      <c r="O1715">
        <f>[1]资金台帐!O1715&amp;""</f>
      </c>
      <c r="P1715">
        <f>[1]资金台帐!P1715&amp;""</f>
      </c>
      <c r="Q1715">
        <f>[1]资金台帐!Q1715&amp;""</f>
      </c>
      <c r="T1715">
        <f>[1]资金台帐!T1715&amp;""</f>
      </c>
      <c r="U1715">
        <f>[1]资金台帐!U1715&amp;""</f>
      </c>
      <c r="W1715">
        <f>[1]资金台帐!W1715&amp;""</f>
      </c>
      <c r="X1715">
        <f>[1]资金台帐!X1715&amp;""</f>
      </c>
      <c r="AB1715">
        <f>[1]资金台帐!AB1715</f>
        <v>0</v>
      </c>
      <c r="AC1715">
        <f>[1]资金台帐!AC1715</f>
        <v>0</v>
      </c>
      <c r="AD1715">
        <f>[1]资金台帐!AD1715</f>
        <v>0</v>
      </c>
      <c r="AJ1715">
        <f>[1]资金台帐!AJ1715</f>
        <v>0</v>
      </c>
      <c r="AK1715">
        <f>[1]资金台帐!AK1715</f>
        <v>0</v>
      </c>
      <c r="BA1715" s="22">
        <f t="shared" si="0"/>
      </c>
      <c r="BG1715" s="22">
        <f t="shared" si="1"/>
      </c>
      <c r="BH1715" s="22">
        <f t="shared" si="2"/>
        <v>0</v>
      </c>
    </row>
    <row r="1716">
      <c r="B1716">
        <f>[1]资金台帐!B1716&amp;""</f>
      </c>
      <c r="H1716">
        <f>[1]资金台帐!H1716&amp;""</f>
      </c>
      <c r="J1716">
        <f>[1]资金台帐!J1716&amp;""</f>
      </c>
      <c r="N1716">
        <f>[1]资金台帐!N1716</f>
      </c>
      <c r="O1716">
        <f>[1]资金台帐!O1716&amp;""</f>
      </c>
      <c r="P1716">
        <f>[1]资金台帐!P1716&amp;""</f>
      </c>
      <c r="Q1716">
        <f>[1]资金台帐!Q1716&amp;""</f>
      </c>
      <c r="T1716">
        <f>[1]资金台帐!T1716&amp;""</f>
      </c>
      <c r="U1716">
        <f>[1]资金台帐!U1716&amp;""</f>
      </c>
      <c r="W1716">
        <f>[1]资金台帐!W1716&amp;""</f>
      </c>
      <c r="X1716">
        <f>[1]资金台帐!X1716&amp;""</f>
      </c>
      <c r="AB1716">
        <f>[1]资金台帐!AB1716</f>
        <v>0</v>
      </c>
      <c r="AC1716">
        <f>[1]资金台帐!AC1716</f>
        <v>0</v>
      </c>
      <c r="AD1716">
        <f>[1]资金台帐!AD1716</f>
        <v>0</v>
      </c>
      <c r="AJ1716">
        <f>[1]资金台帐!AJ1716</f>
        <v>0</v>
      </c>
      <c r="AK1716">
        <f>[1]资金台帐!AK1716</f>
        <v>0</v>
      </c>
      <c r="BA1716" s="22">
        <f t="shared" si="0"/>
      </c>
      <c r="BG1716" s="22">
        <f t="shared" si="1"/>
      </c>
      <c r="BH1716" s="22">
        <f t="shared" si="2"/>
        <v>0</v>
      </c>
    </row>
    <row r="1717">
      <c r="B1717">
        <f>[1]资金台帐!B1717&amp;""</f>
      </c>
      <c r="H1717">
        <f>[1]资金台帐!H1717&amp;""</f>
      </c>
      <c r="J1717">
        <f>[1]资金台帐!J1717&amp;""</f>
      </c>
      <c r="N1717">
        <f>[1]资金台帐!N1717</f>
      </c>
      <c r="O1717">
        <f>[1]资金台帐!O1717&amp;""</f>
      </c>
      <c r="P1717">
        <f>[1]资金台帐!P1717&amp;""</f>
      </c>
      <c r="Q1717">
        <f>[1]资金台帐!Q1717&amp;""</f>
      </c>
      <c r="T1717">
        <f>[1]资金台帐!T1717&amp;""</f>
      </c>
      <c r="U1717">
        <f>[1]资金台帐!U1717&amp;""</f>
      </c>
      <c r="W1717">
        <f>[1]资金台帐!W1717&amp;""</f>
      </c>
      <c r="X1717">
        <f>[1]资金台帐!X1717&amp;""</f>
      </c>
      <c r="AB1717">
        <f>[1]资金台帐!AB1717</f>
        <v>0</v>
      </c>
      <c r="AC1717">
        <f>[1]资金台帐!AC1717</f>
        <v>0</v>
      </c>
      <c r="AD1717">
        <f>[1]资金台帐!AD1717</f>
        <v>0</v>
      </c>
      <c r="AJ1717">
        <f>[1]资金台帐!AJ1717</f>
        <v>0</v>
      </c>
      <c r="AK1717">
        <f>[1]资金台帐!AK1717</f>
        <v>0</v>
      </c>
      <c r="BA1717" s="22">
        <f t="shared" si="0"/>
      </c>
      <c r="BG1717" s="22">
        <f t="shared" si="1"/>
      </c>
      <c r="BH1717" s="22">
        <f t="shared" si="2"/>
        <v>0</v>
      </c>
    </row>
    <row r="1718">
      <c r="B1718">
        <f>[1]资金台帐!B1718&amp;""</f>
      </c>
      <c r="H1718">
        <f>[1]资金台帐!H1718&amp;""</f>
      </c>
      <c r="J1718">
        <f>[1]资金台帐!J1718&amp;""</f>
      </c>
      <c r="N1718">
        <f>[1]资金台帐!N1718</f>
      </c>
      <c r="O1718">
        <f>[1]资金台帐!O1718&amp;""</f>
      </c>
      <c r="P1718">
        <f>[1]资金台帐!P1718&amp;""</f>
      </c>
      <c r="Q1718">
        <f>[1]资金台帐!Q1718&amp;""</f>
      </c>
      <c r="T1718">
        <f>[1]资金台帐!T1718&amp;""</f>
      </c>
      <c r="U1718">
        <f>[1]资金台帐!U1718&amp;""</f>
      </c>
      <c r="W1718">
        <f>[1]资金台帐!W1718&amp;""</f>
      </c>
      <c r="X1718">
        <f>[1]资金台帐!X1718&amp;""</f>
      </c>
      <c r="AB1718">
        <f>[1]资金台帐!AB1718</f>
        <v>0</v>
      </c>
      <c r="AC1718">
        <f>[1]资金台帐!AC1718</f>
        <v>0</v>
      </c>
      <c r="AD1718">
        <f>[1]资金台帐!AD1718</f>
        <v>0</v>
      </c>
      <c r="AJ1718">
        <f>[1]资金台帐!AJ1718</f>
        <v>0</v>
      </c>
      <c r="AK1718">
        <f>[1]资金台帐!AK1718</f>
        <v>0</v>
      </c>
      <c r="BA1718" s="22">
        <f t="shared" si="0"/>
      </c>
      <c r="BG1718" s="22">
        <f t="shared" si="1"/>
      </c>
      <c r="BH1718" s="22">
        <f t="shared" si="2"/>
        <v>0</v>
      </c>
    </row>
    <row r="1719">
      <c r="B1719">
        <f>[1]资金台帐!B1719&amp;""</f>
      </c>
      <c r="H1719">
        <f>[1]资金台帐!H1719&amp;""</f>
      </c>
      <c r="J1719">
        <f>[1]资金台帐!J1719&amp;""</f>
      </c>
      <c r="N1719">
        <f>[1]资金台帐!N1719</f>
      </c>
      <c r="O1719">
        <f>[1]资金台帐!O1719&amp;""</f>
      </c>
      <c r="P1719">
        <f>[1]资金台帐!P1719&amp;""</f>
      </c>
      <c r="Q1719">
        <f>[1]资金台帐!Q1719&amp;""</f>
      </c>
      <c r="T1719">
        <f>[1]资金台帐!T1719&amp;""</f>
      </c>
      <c r="U1719">
        <f>[1]资金台帐!U1719&amp;""</f>
      </c>
      <c r="W1719">
        <f>[1]资金台帐!W1719&amp;""</f>
      </c>
      <c r="X1719">
        <f>[1]资金台帐!X1719&amp;""</f>
      </c>
      <c r="AB1719">
        <f>[1]资金台帐!AB1719</f>
        <v>0</v>
      </c>
      <c r="AC1719">
        <f>[1]资金台帐!AC1719</f>
        <v>0</v>
      </c>
      <c r="AD1719">
        <f>[1]资金台帐!AD1719</f>
        <v>0</v>
      </c>
      <c r="AJ1719">
        <f>[1]资金台帐!AJ1719</f>
        <v>0</v>
      </c>
      <c r="AK1719">
        <f>[1]资金台帐!AK1719</f>
        <v>0</v>
      </c>
      <c r="BA1719" s="22">
        <f t="shared" si="0"/>
      </c>
      <c r="BG1719" s="22">
        <f t="shared" si="1"/>
      </c>
      <c r="BH1719" s="22">
        <f t="shared" si="2"/>
        <v>0</v>
      </c>
    </row>
    <row r="1720">
      <c r="B1720">
        <f>[1]资金台帐!B1720&amp;""</f>
      </c>
      <c r="H1720">
        <f>[1]资金台帐!H1720&amp;""</f>
      </c>
      <c r="J1720">
        <f>[1]资金台帐!J1720&amp;""</f>
      </c>
      <c r="N1720">
        <f>[1]资金台帐!N1720</f>
      </c>
      <c r="O1720">
        <f>[1]资金台帐!O1720&amp;""</f>
      </c>
      <c r="P1720">
        <f>[1]资金台帐!P1720&amp;""</f>
      </c>
      <c r="Q1720">
        <f>[1]资金台帐!Q1720&amp;""</f>
      </c>
      <c r="T1720">
        <f>[1]资金台帐!T1720&amp;""</f>
      </c>
      <c r="U1720">
        <f>[1]资金台帐!U1720&amp;""</f>
      </c>
      <c r="W1720">
        <f>[1]资金台帐!W1720&amp;""</f>
      </c>
      <c r="X1720">
        <f>[1]资金台帐!X1720&amp;""</f>
      </c>
      <c r="AB1720">
        <f>[1]资金台帐!AB1720</f>
        <v>0</v>
      </c>
      <c r="AC1720">
        <f>[1]资金台帐!AC1720</f>
        <v>0</v>
      </c>
      <c r="AD1720">
        <f>[1]资金台帐!AD1720</f>
        <v>0</v>
      </c>
      <c r="AJ1720">
        <f>[1]资金台帐!AJ1720</f>
        <v>0</v>
      </c>
      <c r="AK1720">
        <f>[1]资金台帐!AK1720</f>
        <v>0</v>
      </c>
      <c r="BA1720" s="22">
        <f t="shared" si="0"/>
      </c>
      <c r="BG1720" s="22">
        <f t="shared" si="1"/>
      </c>
      <c r="BH1720" s="22">
        <f t="shared" si="2"/>
        <v>0</v>
      </c>
    </row>
    <row r="1721">
      <c r="B1721">
        <f>[1]资金台帐!B1721&amp;""</f>
      </c>
      <c r="H1721">
        <f>[1]资金台帐!H1721&amp;""</f>
      </c>
      <c r="J1721">
        <f>[1]资金台帐!J1721&amp;""</f>
      </c>
      <c r="N1721">
        <f>[1]资金台帐!N1721</f>
      </c>
      <c r="O1721">
        <f>[1]资金台帐!O1721&amp;""</f>
      </c>
      <c r="P1721">
        <f>[1]资金台帐!P1721&amp;""</f>
      </c>
      <c r="Q1721">
        <f>[1]资金台帐!Q1721&amp;""</f>
      </c>
      <c r="T1721">
        <f>[1]资金台帐!T1721&amp;""</f>
      </c>
      <c r="U1721">
        <f>[1]资金台帐!U1721&amp;""</f>
      </c>
      <c r="W1721">
        <f>[1]资金台帐!W1721&amp;""</f>
      </c>
      <c r="X1721">
        <f>[1]资金台帐!X1721&amp;""</f>
      </c>
      <c r="AB1721">
        <f>[1]资金台帐!AB1721</f>
        <v>0</v>
      </c>
      <c r="AC1721">
        <f>[1]资金台帐!AC1721</f>
        <v>0</v>
      </c>
      <c r="AD1721">
        <f>[1]资金台帐!AD1721</f>
        <v>0</v>
      </c>
      <c r="AJ1721">
        <f>[1]资金台帐!AJ1721</f>
        <v>0</v>
      </c>
      <c r="AK1721">
        <f>[1]资金台帐!AK1721</f>
        <v>0</v>
      </c>
      <c r="BA1721" s="22">
        <f t="shared" si="0"/>
      </c>
      <c r="BG1721" s="22">
        <f t="shared" si="1"/>
      </c>
      <c r="BH1721" s="22">
        <f t="shared" si="2"/>
        <v>0</v>
      </c>
    </row>
    <row r="1722">
      <c r="B1722">
        <f>[1]资金台帐!B1722&amp;""</f>
      </c>
      <c r="H1722">
        <f>[1]资金台帐!H1722&amp;""</f>
      </c>
      <c r="J1722">
        <f>[1]资金台帐!J1722&amp;""</f>
      </c>
      <c r="N1722">
        <f>[1]资金台帐!N1722</f>
      </c>
      <c r="O1722">
        <f>[1]资金台帐!O1722&amp;""</f>
      </c>
      <c r="P1722">
        <f>[1]资金台帐!P1722&amp;""</f>
      </c>
      <c r="Q1722">
        <f>[1]资金台帐!Q1722&amp;""</f>
      </c>
      <c r="T1722">
        <f>[1]资金台帐!T1722&amp;""</f>
      </c>
      <c r="U1722">
        <f>[1]资金台帐!U1722&amp;""</f>
      </c>
      <c r="W1722">
        <f>[1]资金台帐!W1722&amp;""</f>
      </c>
      <c r="X1722">
        <f>[1]资金台帐!X1722&amp;""</f>
      </c>
      <c r="AB1722">
        <f>[1]资金台帐!AB1722</f>
        <v>0</v>
      </c>
      <c r="AC1722">
        <f>[1]资金台帐!AC1722</f>
        <v>0</v>
      </c>
      <c r="AD1722">
        <f>[1]资金台帐!AD1722</f>
        <v>0</v>
      </c>
      <c r="AJ1722">
        <f>[1]资金台帐!AJ1722</f>
        <v>0</v>
      </c>
      <c r="AK1722">
        <f>[1]资金台帐!AK1722</f>
        <v>0</v>
      </c>
      <c r="BA1722" s="22">
        <f t="shared" si="0"/>
      </c>
      <c r="BG1722" s="22">
        <f t="shared" si="1"/>
      </c>
      <c r="BH1722" s="22">
        <f t="shared" si="2"/>
        <v>0</v>
      </c>
    </row>
    <row r="1723">
      <c r="B1723">
        <f>[1]资金台帐!B1723&amp;""</f>
      </c>
      <c r="H1723">
        <f>[1]资金台帐!H1723&amp;""</f>
      </c>
      <c r="J1723">
        <f>[1]资金台帐!J1723&amp;""</f>
      </c>
      <c r="N1723">
        <f>[1]资金台帐!N1723</f>
      </c>
      <c r="O1723">
        <f>[1]资金台帐!O1723&amp;""</f>
      </c>
      <c r="P1723">
        <f>[1]资金台帐!P1723&amp;""</f>
      </c>
      <c r="Q1723">
        <f>[1]资金台帐!Q1723&amp;""</f>
      </c>
      <c r="T1723">
        <f>[1]资金台帐!T1723&amp;""</f>
      </c>
      <c r="U1723">
        <f>[1]资金台帐!U1723&amp;""</f>
      </c>
      <c r="W1723">
        <f>[1]资金台帐!W1723&amp;""</f>
      </c>
      <c r="X1723">
        <f>[1]资金台帐!X1723&amp;""</f>
      </c>
      <c r="AB1723">
        <f>[1]资金台帐!AB1723</f>
        <v>0</v>
      </c>
      <c r="AC1723">
        <f>[1]资金台帐!AC1723</f>
        <v>0</v>
      </c>
      <c r="AD1723">
        <f>[1]资金台帐!AD1723</f>
        <v>0</v>
      </c>
      <c r="AJ1723">
        <f>[1]资金台帐!AJ1723</f>
        <v>0</v>
      </c>
      <c r="AK1723">
        <f>[1]资金台帐!AK1723</f>
        <v>0</v>
      </c>
      <c r="BA1723" s="22">
        <f t="shared" si="0"/>
      </c>
      <c r="BG1723" s="22">
        <f t="shared" si="1"/>
      </c>
      <c r="BH1723" s="22">
        <f t="shared" si="2"/>
        <v>0</v>
      </c>
    </row>
    <row r="1724">
      <c r="B1724">
        <f>[1]资金台帐!B1724&amp;""</f>
      </c>
      <c r="H1724">
        <f>[1]资金台帐!H1724&amp;""</f>
      </c>
      <c r="J1724">
        <f>[1]资金台帐!J1724&amp;""</f>
      </c>
      <c r="N1724">
        <f>[1]资金台帐!N1724</f>
      </c>
      <c r="O1724">
        <f>[1]资金台帐!O1724&amp;""</f>
      </c>
      <c r="P1724">
        <f>[1]资金台帐!P1724&amp;""</f>
      </c>
      <c r="Q1724">
        <f>[1]资金台帐!Q1724&amp;""</f>
      </c>
      <c r="T1724">
        <f>[1]资金台帐!T1724&amp;""</f>
      </c>
      <c r="U1724">
        <f>[1]资金台帐!U1724&amp;""</f>
      </c>
      <c r="W1724">
        <f>[1]资金台帐!W1724&amp;""</f>
      </c>
      <c r="X1724">
        <f>[1]资金台帐!X1724&amp;""</f>
      </c>
      <c r="AB1724">
        <f>[1]资金台帐!AB1724</f>
        <v>0</v>
      </c>
      <c r="AC1724">
        <f>[1]资金台帐!AC1724</f>
        <v>0</v>
      </c>
      <c r="AD1724">
        <f>[1]资金台帐!AD1724</f>
        <v>0</v>
      </c>
      <c r="AJ1724">
        <f>[1]资金台帐!AJ1724</f>
        <v>0</v>
      </c>
      <c r="AK1724">
        <f>[1]资金台帐!AK1724</f>
        <v>0</v>
      </c>
      <c r="BA1724" s="22">
        <f t="shared" si="0"/>
      </c>
      <c r="BG1724" s="22">
        <f t="shared" si="1"/>
      </c>
      <c r="BH1724" s="22">
        <f t="shared" si="2"/>
        <v>0</v>
      </c>
    </row>
    <row r="1725">
      <c r="B1725">
        <f>[1]资金台帐!B1725&amp;""</f>
      </c>
      <c r="H1725">
        <f>[1]资金台帐!H1725&amp;""</f>
      </c>
      <c r="J1725">
        <f>[1]资金台帐!J1725&amp;""</f>
      </c>
      <c r="N1725">
        <f>[1]资金台帐!N1725</f>
      </c>
      <c r="O1725">
        <f>[1]资金台帐!O1725&amp;""</f>
      </c>
      <c r="P1725">
        <f>[1]资金台帐!P1725&amp;""</f>
      </c>
      <c r="Q1725">
        <f>[1]资金台帐!Q1725&amp;""</f>
      </c>
      <c r="T1725">
        <f>[1]资金台帐!T1725&amp;""</f>
      </c>
      <c r="U1725">
        <f>[1]资金台帐!U1725&amp;""</f>
      </c>
      <c r="W1725">
        <f>[1]资金台帐!W1725&amp;""</f>
      </c>
      <c r="X1725">
        <f>[1]资金台帐!X1725&amp;""</f>
      </c>
      <c r="AB1725">
        <f>[1]资金台帐!AB1725</f>
        <v>0</v>
      </c>
      <c r="AC1725">
        <f>[1]资金台帐!AC1725</f>
        <v>0</v>
      </c>
      <c r="AD1725">
        <f>[1]资金台帐!AD1725</f>
        <v>0</v>
      </c>
      <c r="AJ1725">
        <f>[1]资金台帐!AJ1725</f>
        <v>0</v>
      </c>
      <c r="AK1725">
        <f>[1]资金台帐!AK1725</f>
        <v>0</v>
      </c>
      <c r="BA1725" s="22">
        <f t="shared" si="0"/>
      </c>
      <c r="BG1725" s="22">
        <f t="shared" si="1"/>
      </c>
      <c r="BH1725" s="22">
        <f t="shared" si="2"/>
        <v>0</v>
      </c>
    </row>
    <row r="1726">
      <c r="B1726">
        <f>[1]资金台帐!B1726&amp;""</f>
      </c>
      <c r="H1726">
        <f>[1]资金台帐!H1726&amp;""</f>
      </c>
      <c r="J1726">
        <f>[1]资金台帐!J1726&amp;""</f>
      </c>
      <c r="N1726">
        <f>[1]资金台帐!N1726</f>
      </c>
      <c r="O1726">
        <f>[1]资金台帐!O1726&amp;""</f>
      </c>
      <c r="P1726">
        <f>[1]资金台帐!P1726&amp;""</f>
      </c>
      <c r="Q1726">
        <f>[1]资金台帐!Q1726&amp;""</f>
      </c>
      <c r="T1726">
        <f>[1]资金台帐!T1726&amp;""</f>
      </c>
      <c r="U1726">
        <f>[1]资金台帐!U1726&amp;""</f>
      </c>
      <c r="W1726">
        <f>[1]资金台帐!W1726&amp;""</f>
      </c>
      <c r="X1726">
        <f>[1]资金台帐!X1726&amp;""</f>
      </c>
      <c r="AB1726">
        <f>[1]资金台帐!AB1726</f>
        <v>0</v>
      </c>
      <c r="AC1726">
        <f>[1]资金台帐!AC1726</f>
        <v>0</v>
      </c>
      <c r="AD1726">
        <f>[1]资金台帐!AD1726</f>
        <v>0</v>
      </c>
      <c r="AJ1726">
        <f>[1]资金台帐!AJ1726</f>
        <v>0</v>
      </c>
      <c r="AK1726">
        <f>[1]资金台帐!AK1726</f>
        <v>0</v>
      </c>
      <c r="BA1726" s="22">
        <f t="shared" si="0"/>
      </c>
      <c r="BG1726" s="22">
        <f t="shared" si="1"/>
      </c>
      <c r="BH1726" s="22">
        <f t="shared" si="2"/>
        <v>0</v>
      </c>
    </row>
    <row r="1727">
      <c r="B1727">
        <f>[1]资金台帐!B1727&amp;""</f>
      </c>
      <c r="H1727">
        <f>[1]资金台帐!H1727&amp;""</f>
      </c>
      <c r="J1727">
        <f>[1]资金台帐!J1727&amp;""</f>
      </c>
      <c r="N1727">
        <f>[1]资金台帐!N1727</f>
      </c>
      <c r="O1727">
        <f>[1]资金台帐!O1727&amp;""</f>
      </c>
      <c r="P1727">
        <f>[1]资金台帐!P1727&amp;""</f>
      </c>
      <c r="Q1727">
        <f>[1]资金台帐!Q1727&amp;""</f>
      </c>
      <c r="T1727">
        <f>[1]资金台帐!T1727&amp;""</f>
      </c>
      <c r="U1727">
        <f>[1]资金台帐!U1727&amp;""</f>
      </c>
      <c r="W1727">
        <f>[1]资金台帐!W1727&amp;""</f>
      </c>
      <c r="X1727">
        <f>[1]资金台帐!X1727&amp;""</f>
      </c>
      <c r="AB1727">
        <f>[1]资金台帐!AB1727</f>
        <v>0</v>
      </c>
      <c r="AC1727">
        <f>[1]资金台帐!AC1727</f>
        <v>0</v>
      </c>
      <c r="AD1727">
        <f>[1]资金台帐!AD1727</f>
        <v>0</v>
      </c>
      <c r="AJ1727">
        <f>[1]资金台帐!AJ1727</f>
        <v>0</v>
      </c>
      <c r="AK1727">
        <f>[1]资金台帐!AK1727</f>
        <v>0</v>
      </c>
      <c r="BA1727" s="22">
        <f t="shared" si="0"/>
      </c>
      <c r="BG1727" s="22">
        <f t="shared" si="1"/>
      </c>
      <c r="BH1727" s="22">
        <f t="shared" si="2"/>
        <v>0</v>
      </c>
    </row>
    <row r="1728">
      <c r="B1728">
        <f>[1]资金台帐!B1728&amp;""</f>
      </c>
      <c r="H1728">
        <f>[1]资金台帐!H1728&amp;""</f>
      </c>
      <c r="J1728">
        <f>[1]资金台帐!J1728&amp;""</f>
      </c>
      <c r="N1728">
        <f>[1]资金台帐!N1728</f>
      </c>
      <c r="O1728">
        <f>[1]资金台帐!O1728&amp;""</f>
      </c>
      <c r="P1728">
        <f>[1]资金台帐!P1728&amp;""</f>
      </c>
      <c r="Q1728">
        <f>[1]资金台帐!Q1728&amp;""</f>
      </c>
      <c r="T1728">
        <f>[1]资金台帐!T1728&amp;""</f>
      </c>
      <c r="U1728">
        <f>[1]资金台帐!U1728&amp;""</f>
      </c>
      <c r="W1728">
        <f>[1]资金台帐!W1728&amp;""</f>
      </c>
      <c r="X1728">
        <f>[1]资金台帐!X1728&amp;""</f>
      </c>
      <c r="AB1728">
        <f>[1]资金台帐!AB1728</f>
        <v>0</v>
      </c>
      <c r="AC1728">
        <f>[1]资金台帐!AC1728</f>
        <v>0</v>
      </c>
      <c r="AD1728">
        <f>[1]资金台帐!AD1728</f>
        <v>0</v>
      </c>
      <c r="AJ1728">
        <f>[1]资金台帐!AJ1728</f>
        <v>0</v>
      </c>
      <c r="AK1728">
        <f>[1]资金台帐!AK1728</f>
        <v>0</v>
      </c>
      <c r="BA1728" s="22">
        <f t="shared" si="0"/>
      </c>
      <c r="BG1728" s="22">
        <f t="shared" si="1"/>
      </c>
      <c r="BH1728" s="22">
        <f t="shared" si="2"/>
        <v>0</v>
      </c>
    </row>
    <row r="1729">
      <c r="B1729">
        <f>[1]资金台帐!B1729&amp;""</f>
      </c>
      <c r="H1729">
        <f>[1]资金台帐!H1729&amp;""</f>
      </c>
      <c r="J1729">
        <f>[1]资金台帐!J1729&amp;""</f>
      </c>
      <c r="N1729">
        <f>[1]资金台帐!N1729</f>
      </c>
      <c r="O1729">
        <f>[1]资金台帐!O1729&amp;""</f>
      </c>
      <c r="P1729">
        <f>[1]资金台帐!P1729&amp;""</f>
      </c>
      <c r="Q1729">
        <f>[1]资金台帐!Q1729&amp;""</f>
      </c>
      <c r="T1729">
        <f>[1]资金台帐!T1729&amp;""</f>
      </c>
      <c r="U1729">
        <f>[1]资金台帐!U1729&amp;""</f>
      </c>
      <c r="W1729">
        <f>[1]资金台帐!W1729&amp;""</f>
      </c>
      <c r="X1729">
        <f>[1]资金台帐!X1729&amp;""</f>
      </c>
      <c r="AB1729">
        <f>[1]资金台帐!AB1729</f>
        <v>0</v>
      </c>
      <c r="AC1729">
        <f>[1]资金台帐!AC1729</f>
        <v>0</v>
      </c>
      <c r="AD1729">
        <f>[1]资金台帐!AD1729</f>
        <v>0</v>
      </c>
      <c r="AJ1729">
        <f>[1]资金台帐!AJ1729</f>
        <v>0</v>
      </c>
      <c r="AK1729">
        <f>[1]资金台帐!AK1729</f>
        <v>0</v>
      </c>
      <c r="BA1729" s="22">
        <f t="shared" si="0"/>
      </c>
      <c r="BG1729" s="22">
        <f t="shared" si="1"/>
      </c>
      <c r="BH1729" s="22">
        <f t="shared" si="2"/>
        <v>0</v>
      </c>
    </row>
    <row r="1730">
      <c r="B1730">
        <f>[1]资金台帐!B1730&amp;""</f>
      </c>
      <c r="H1730">
        <f>[1]资金台帐!H1730&amp;""</f>
      </c>
      <c r="J1730">
        <f>[1]资金台帐!J1730&amp;""</f>
      </c>
      <c r="N1730">
        <f>[1]资金台帐!N1730</f>
      </c>
      <c r="O1730">
        <f>[1]资金台帐!O1730&amp;""</f>
      </c>
      <c r="P1730">
        <f>[1]资金台帐!P1730&amp;""</f>
      </c>
      <c r="Q1730">
        <f>[1]资金台帐!Q1730&amp;""</f>
      </c>
      <c r="T1730">
        <f>[1]资金台帐!T1730&amp;""</f>
      </c>
      <c r="U1730">
        <f>[1]资金台帐!U1730&amp;""</f>
      </c>
      <c r="W1730">
        <f>[1]资金台帐!W1730&amp;""</f>
      </c>
      <c r="X1730">
        <f>[1]资金台帐!X1730&amp;""</f>
      </c>
      <c r="AB1730">
        <f>[1]资金台帐!AB1730</f>
        <v>0</v>
      </c>
      <c r="AC1730">
        <f>[1]资金台帐!AC1730</f>
        <v>0</v>
      </c>
      <c r="AD1730">
        <f>[1]资金台帐!AD1730</f>
        <v>0</v>
      </c>
      <c r="AJ1730">
        <f>[1]资金台帐!AJ1730</f>
        <v>0</v>
      </c>
      <c r="AK1730">
        <f>[1]资金台帐!AK1730</f>
        <v>0</v>
      </c>
      <c r="BA1730" s="22">
        <f t="shared" si="0"/>
      </c>
      <c r="BG1730" s="22">
        <f t="shared" si="1"/>
      </c>
      <c r="BH1730" s="22">
        <f t="shared" si="2"/>
        <v>0</v>
      </c>
    </row>
    <row r="1731">
      <c r="B1731">
        <f>[1]资金台帐!B1731&amp;""</f>
      </c>
      <c r="H1731">
        <f>[1]资金台帐!H1731&amp;""</f>
      </c>
      <c r="J1731">
        <f>[1]资金台帐!J1731&amp;""</f>
      </c>
      <c r="N1731">
        <f>[1]资金台帐!N1731</f>
      </c>
      <c r="O1731">
        <f>[1]资金台帐!O1731&amp;""</f>
      </c>
      <c r="P1731">
        <f>[1]资金台帐!P1731&amp;""</f>
      </c>
      <c r="Q1731">
        <f>[1]资金台帐!Q1731&amp;""</f>
      </c>
      <c r="T1731">
        <f>[1]资金台帐!T1731&amp;""</f>
      </c>
      <c r="U1731">
        <f>[1]资金台帐!U1731&amp;""</f>
      </c>
      <c r="W1731">
        <f>[1]资金台帐!W1731&amp;""</f>
      </c>
      <c r="X1731">
        <f>[1]资金台帐!X1731&amp;""</f>
      </c>
      <c r="AB1731">
        <f>[1]资金台帐!AB1731</f>
        <v>0</v>
      </c>
      <c r="AC1731">
        <f>[1]资金台帐!AC1731</f>
        <v>0</v>
      </c>
      <c r="AD1731">
        <f>[1]资金台帐!AD1731</f>
        <v>0</v>
      </c>
      <c r="AJ1731">
        <f>[1]资金台帐!AJ1731</f>
        <v>0</v>
      </c>
      <c r="AK1731">
        <f>[1]资金台帐!AK1731</f>
        <v>0</v>
      </c>
      <c r="BA1731" s="22">
        <f t="shared" si="0"/>
      </c>
      <c r="BG1731" s="22">
        <f t="shared" si="1"/>
      </c>
      <c r="BH1731" s="22">
        <f t="shared" si="2"/>
        <v>0</v>
      </c>
    </row>
    <row r="1732">
      <c r="B1732">
        <f>[1]资金台帐!B1732&amp;""</f>
      </c>
      <c r="H1732">
        <f>[1]资金台帐!H1732&amp;""</f>
      </c>
      <c r="J1732">
        <f>[1]资金台帐!J1732&amp;""</f>
      </c>
      <c r="N1732">
        <f>[1]资金台帐!N1732</f>
      </c>
      <c r="O1732">
        <f>[1]资金台帐!O1732&amp;""</f>
      </c>
      <c r="P1732">
        <f>[1]资金台帐!P1732&amp;""</f>
      </c>
      <c r="Q1732">
        <f>[1]资金台帐!Q1732&amp;""</f>
      </c>
      <c r="T1732">
        <f>[1]资金台帐!T1732&amp;""</f>
      </c>
      <c r="U1732">
        <f>[1]资金台帐!U1732&amp;""</f>
      </c>
      <c r="W1732">
        <f>[1]资金台帐!W1732&amp;""</f>
      </c>
      <c r="X1732">
        <f>[1]资金台帐!X1732&amp;""</f>
      </c>
      <c r="AB1732">
        <f>[1]资金台帐!AB1732</f>
        <v>0</v>
      </c>
      <c r="AC1732">
        <f>[1]资金台帐!AC1732</f>
        <v>0</v>
      </c>
      <c r="AD1732">
        <f>[1]资金台帐!AD1732</f>
        <v>0</v>
      </c>
      <c r="AJ1732">
        <f>[1]资金台帐!AJ1732</f>
        <v>0</v>
      </c>
      <c r="AK1732">
        <f>[1]资金台帐!AK1732</f>
        <v>0</v>
      </c>
      <c r="BA1732" s="22">
        <f t="shared" si="0"/>
      </c>
      <c r="BG1732" s="22">
        <f t="shared" si="1"/>
      </c>
      <c r="BH1732" s="22">
        <f t="shared" si="2"/>
        <v>0</v>
      </c>
    </row>
    <row r="1733">
      <c r="B1733">
        <f>[1]资金台帐!B1733&amp;""</f>
      </c>
      <c r="H1733">
        <f>[1]资金台帐!H1733&amp;""</f>
      </c>
      <c r="J1733">
        <f>[1]资金台帐!J1733&amp;""</f>
      </c>
      <c r="N1733">
        <f>[1]资金台帐!N1733</f>
      </c>
      <c r="O1733">
        <f>[1]资金台帐!O1733&amp;""</f>
      </c>
      <c r="P1733">
        <f>[1]资金台帐!P1733&amp;""</f>
      </c>
      <c r="Q1733">
        <f>[1]资金台帐!Q1733&amp;""</f>
      </c>
      <c r="T1733">
        <f>[1]资金台帐!T1733&amp;""</f>
      </c>
      <c r="U1733">
        <f>[1]资金台帐!U1733&amp;""</f>
      </c>
      <c r="W1733">
        <f>[1]资金台帐!W1733&amp;""</f>
      </c>
      <c r="X1733">
        <f>[1]资金台帐!X1733&amp;""</f>
      </c>
      <c r="AB1733">
        <f>[1]资金台帐!AB1733</f>
        <v>0</v>
      </c>
      <c r="AC1733">
        <f>[1]资金台帐!AC1733</f>
        <v>0</v>
      </c>
      <c r="AD1733">
        <f>[1]资金台帐!AD1733</f>
        <v>0</v>
      </c>
      <c r="AJ1733">
        <f>[1]资金台帐!AJ1733</f>
        <v>0</v>
      </c>
      <c r="AK1733">
        <f>[1]资金台帐!AK1733</f>
        <v>0</v>
      </c>
      <c r="BA1733" s="22">
        <f t="shared" si="0"/>
      </c>
      <c r="BG1733" s="22">
        <f t="shared" si="1"/>
      </c>
      <c r="BH1733" s="22">
        <f t="shared" si="2"/>
        <v>0</v>
      </c>
    </row>
    <row r="1734">
      <c r="B1734">
        <f>[1]资金台帐!B1734&amp;""</f>
      </c>
      <c r="H1734">
        <f>[1]资金台帐!H1734&amp;""</f>
      </c>
      <c r="J1734">
        <f>[1]资金台帐!J1734&amp;""</f>
      </c>
      <c r="N1734">
        <f>[1]资金台帐!N1734</f>
      </c>
      <c r="O1734">
        <f>[1]资金台帐!O1734&amp;""</f>
      </c>
      <c r="P1734">
        <f>[1]资金台帐!P1734&amp;""</f>
      </c>
      <c r="Q1734">
        <f>[1]资金台帐!Q1734&amp;""</f>
      </c>
      <c r="T1734">
        <f>[1]资金台帐!T1734&amp;""</f>
      </c>
      <c r="U1734">
        <f>[1]资金台帐!U1734&amp;""</f>
      </c>
      <c r="W1734">
        <f>[1]资金台帐!W1734&amp;""</f>
      </c>
      <c r="X1734">
        <f>[1]资金台帐!X1734&amp;""</f>
      </c>
      <c r="AB1734">
        <f>[1]资金台帐!AB1734</f>
        <v>0</v>
      </c>
      <c r="AC1734">
        <f>[1]资金台帐!AC1734</f>
        <v>0</v>
      </c>
      <c r="AD1734">
        <f>[1]资金台帐!AD1734</f>
        <v>0</v>
      </c>
      <c r="AJ1734">
        <f>[1]资金台帐!AJ1734</f>
        <v>0</v>
      </c>
      <c r="AK1734">
        <f>[1]资金台帐!AK1734</f>
        <v>0</v>
      </c>
      <c r="BA1734" s="22">
        <f t="shared" si="0"/>
      </c>
      <c r="BG1734" s="22">
        <f t="shared" si="1"/>
      </c>
      <c r="BH1734" s="22">
        <f t="shared" si="2"/>
        <v>0</v>
      </c>
    </row>
    <row r="1735">
      <c r="B1735">
        <f>[1]资金台帐!B1735&amp;""</f>
      </c>
      <c r="H1735">
        <f>[1]资金台帐!H1735&amp;""</f>
      </c>
      <c r="J1735">
        <f>[1]资金台帐!J1735&amp;""</f>
      </c>
      <c r="N1735">
        <f>[1]资金台帐!N1735</f>
      </c>
      <c r="O1735">
        <f>[1]资金台帐!O1735&amp;""</f>
      </c>
      <c r="P1735">
        <f>[1]资金台帐!P1735&amp;""</f>
      </c>
      <c r="Q1735">
        <f>[1]资金台帐!Q1735&amp;""</f>
      </c>
      <c r="T1735">
        <f>[1]资金台帐!T1735&amp;""</f>
      </c>
      <c r="U1735">
        <f>[1]资金台帐!U1735&amp;""</f>
      </c>
      <c r="W1735">
        <f>[1]资金台帐!W1735&amp;""</f>
      </c>
      <c r="X1735">
        <f>[1]资金台帐!X1735&amp;""</f>
      </c>
      <c r="AB1735">
        <f>[1]资金台帐!AB1735</f>
        <v>0</v>
      </c>
      <c r="AC1735">
        <f>[1]资金台帐!AC1735</f>
        <v>0</v>
      </c>
      <c r="AD1735">
        <f>[1]资金台帐!AD1735</f>
        <v>0</v>
      </c>
      <c r="AJ1735">
        <f>[1]资金台帐!AJ1735</f>
        <v>0</v>
      </c>
      <c r="AK1735">
        <f>[1]资金台帐!AK1735</f>
        <v>0</v>
      </c>
      <c r="BA1735" s="22">
        <f t="shared" si="0"/>
      </c>
      <c r="BG1735" s="22">
        <f t="shared" si="1"/>
      </c>
      <c r="BH1735" s="22">
        <f t="shared" si="2"/>
        <v>0</v>
      </c>
    </row>
    <row r="1736">
      <c r="B1736">
        <f>[1]资金台帐!B1736&amp;""</f>
      </c>
      <c r="H1736">
        <f>[1]资金台帐!H1736&amp;""</f>
      </c>
      <c r="J1736">
        <f>[1]资金台帐!J1736&amp;""</f>
      </c>
      <c r="N1736">
        <f>[1]资金台帐!N1736</f>
      </c>
      <c r="O1736">
        <f>[1]资金台帐!O1736&amp;""</f>
      </c>
      <c r="P1736">
        <f>[1]资金台帐!P1736&amp;""</f>
      </c>
      <c r="Q1736">
        <f>[1]资金台帐!Q1736&amp;""</f>
      </c>
      <c r="T1736">
        <f>[1]资金台帐!T1736&amp;""</f>
      </c>
      <c r="U1736">
        <f>[1]资金台帐!U1736&amp;""</f>
      </c>
      <c r="W1736">
        <f>[1]资金台帐!W1736&amp;""</f>
      </c>
      <c r="X1736">
        <f>[1]资金台帐!X1736&amp;""</f>
      </c>
      <c r="AB1736">
        <f>[1]资金台帐!AB1736</f>
        <v>0</v>
      </c>
      <c r="AC1736">
        <f>[1]资金台帐!AC1736</f>
        <v>0</v>
      </c>
      <c r="AD1736">
        <f>[1]资金台帐!AD1736</f>
        <v>0</v>
      </c>
      <c r="AJ1736">
        <f>[1]资金台帐!AJ1736</f>
        <v>0</v>
      </c>
      <c r="AK1736">
        <f>[1]资金台帐!AK1736</f>
        <v>0</v>
      </c>
      <c r="BA1736" s="22">
        <f t="shared" si="0"/>
      </c>
      <c r="BG1736" s="22">
        <f t="shared" si="1"/>
      </c>
      <c r="BH1736" s="22">
        <f t="shared" si="2"/>
        <v>0</v>
      </c>
    </row>
    <row r="1737">
      <c r="B1737">
        <f>[1]资金台帐!B1737&amp;""</f>
      </c>
      <c r="H1737">
        <f>[1]资金台帐!H1737&amp;""</f>
      </c>
      <c r="J1737">
        <f>[1]资金台帐!J1737&amp;""</f>
      </c>
      <c r="N1737">
        <f>[1]资金台帐!N1737</f>
      </c>
      <c r="O1737">
        <f>[1]资金台帐!O1737&amp;""</f>
      </c>
      <c r="P1737">
        <f>[1]资金台帐!P1737&amp;""</f>
      </c>
      <c r="Q1737">
        <f>[1]资金台帐!Q1737&amp;""</f>
      </c>
      <c r="T1737">
        <f>[1]资金台帐!T1737&amp;""</f>
      </c>
      <c r="U1737">
        <f>[1]资金台帐!U1737&amp;""</f>
      </c>
      <c r="W1737">
        <f>[1]资金台帐!W1737&amp;""</f>
      </c>
      <c r="X1737">
        <f>[1]资金台帐!X1737&amp;""</f>
      </c>
      <c r="AB1737">
        <f>[1]资金台帐!AB1737</f>
        <v>0</v>
      </c>
      <c r="AC1737">
        <f>[1]资金台帐!AC1737</f>
        <v>0</v>
      </c>
      <c r="AD1737">
        <f>[1]资金台帐!AD1737</f>
        <v>0</v>
      </c>
      <c r="AJ1737">
        <f>[1]资金台帐!AJ1737</f>
        <v>0</v>
      </c>
      <c r="AK1737">
        <f>[1]资金台帐!AK1737</f>
        <v>0</v>
      </c>
      <c r="BA1737" s="22">
        <f t="shared" si="0"/>
      </c>
      <c r="BG1737" s="22">
        <f t="shared" si="1"/>
      </c>
      <c r="BH1737" s="22">
        <f t="shared" si="2"/>
        <v>0</v>
      </c>
    </row>
    <row r="1738">
      <c r="B1738">
        <f>[1]资金台帐!B1738&amp;""</f>
      </c>
      <c r="H1738">
        <f>[1]资金台帐!H1738&amp;""</f>
      </c>
      <c r="J1738">
        <f>[1]资金台帐!J1738&amp;""</f>
      </c>
      <c r="N1738">
        <f>[1]资金台帐!N1738</f>
      </c>
      <c r="O1738">
        <f>[1]资金台帐!O1738&amp;""</f>
      </c>
      <c r="P1738">
        <f>[1]资金台帐!P1738&amp;""</f>
      </c>
      <c r="Q1738">
        <f>[1]资金台帐!Q1738&amp;""</f>
      </c>
      <c r="T1738">
        <f>[1]资金台帐!T1738&amp;""</f>
      </c>
      <c r="U1738">
        <f>[1]资金台帐!U1738&amp;""</f>
      </c>
      <c r="W1738">
        <f>[1]资金台帐!W1738&amp;""</f>
      </c>
      <c r="X1738">
        <f>[1]资金台帐!X1738&amp;""</f>
      </c>
      <c r="AB1738">
        <f>[1]资金台帐!AB1738</f>
        <v>0</v>
      </c>
      <c r="AC1738">
        <f>[1]资金台帐!AC1738</f>
        <v>0</v>
      </c>
      <c r="AD1738">
        <f>[1]资金台帐!AD1738</f>
        <v>0</v>
      </c>
      <c r="AJ1738">
        <f>[1]资金台帐!AJ1738</f>
        <v>0</v>
      </c>
      <c r="AK1738">
        <f>[1]资金台帐!AK1738</f>
        <v>0</v>
      </c>
      <c r="BA1738" s="22">
        <f t="shared" si="0"/>
      </c>
      <c r="BG1738" s="22">
        <f t="shared" si="1"/>
      </c>
      <c r="BH1738" s="22">
        <f t="shared" si="2"/>
        <v>0</v>
      </c>
    </row>
    <row r="1739">
      <c r="B1739">
        <f>[1]资金台帐!B1739&amp;""</f>
      </c>
      <c r="H1739">
        <f>[1]资金台帐!H1739&amp;""</f>
      </c>
      <c r="J1739">
        <f>[1]资金台帐!J1739&amp;""</f>
      </c>
      <c r="N1739">
        <f>[1]资金台帐!N1739</f>
      </c>
      <c r="O1739">
        <f>[1]资金台帐!O1739&amp;""</f>
      </c>
      <c r="P1739">
        <f>[1]资金台帐!P1739&amp;""</f>
      </c>
      <c r="Q1739">
        <f>[1]资金台帐!Q1739&amp;""</f>
      </c>
      <c r="T1739">
        <f>[1]资金台帐!T1739&amp;""</f>
      </c>
      <c r="U1739">
        <f>[1]资金台帐!U1739&amp;""</f>
      </c>
      <c r="W1739">
        <f>[1]资金台帐!W1739&amp;""</f>
      </c>
      <c r="X1739">
        <f>[1]资金台帐!X1739&amp;""</f>
      </c>
      <c r="AB1739">
        <f>[1]资金台帐!AB1739</f>
        <v>0</v>
      </c>
      <c r="AC1739">
        <f>[1]资金台帐!AC1739</f>
        <v>0</v>
      </c>
      <c r="AD1739">
        <f>[1]资金台帐!AD1739</f>
        <v>0</v>
      </c>
      <c r="AJ1739">
        <f>[1]资金台帐!AJ1739</f>
        <v>0</v>
      </c>
      <c r="AK1739">
        <f>[1]资金台帐!AK1739</f>
        <v>0</v>
      </c>
      <c r="BA1739" s="22">
        <f t="shared" si="0"/>
      </c>
      <c r="BG1739" s="22">
        <f t="shared" si="1"/>
      </c>
      <c r="BH1739" s="22">
        <f t="shared" si="2"/>
        <v>0</v>
      </c>
    </row>
    <row r="1740">
      <c r="B1740">
        <f>[1]资金台帐!B1740&amp;""</f>
      </c>
      <c r="H1740">
        <f>[1]资金台帐!H1740&amp;""</f>
      </c>
      <c r="J1740">
        <f>[1]资金台帐!J1740&amp;""</f>
      </c>
      <c r="N1740">
        <f>[1]资金台帐!N1740</f>
      </c>
      <c r="O1740">
        <f>[1]资金台帐!O1740&amp;""</f>
      </c>
      <c r="P1740">
        <f>[1]资金台帐!P1740&amp;""</f>
      </c>
      <c r="Q1740">
        <f>[1]资金台帐!Q1740&amp;""</f>
      </c>
      <c r="T1740">
        <f>[1]资金台帐!T1740&amp;""</f>
      </c>
      <c r="U1740">
        <f>[1]资金台帐!U1740&amp;""</f>
      </c>
      <c r="W1740">
        <f>[1]资金台帐!W1740&amp;""</f>
      </c>
      <c r="X1740">
        <f>[1]资金台帐!X1740&amp;""</f>
      </c>
      <c r="AB1740">
        <f>[1]资金台帐!AB1740</f>
        <v>0</v>
      </c>
      <c r="AC1740">
        <f>[1]资金台帐!AC1740</f>
        <v>0</v>
      </c>
      <c r="AD1740">
        <f>[1]资金台帐!AD1740</f>
        <v>0</v>
      </c>
      <c r="AJ1740">
        <f>[1]资金台帐!AJ1740</f>
        <v>0</v>
      </c>
      <c r="AK1740">
        <f>[1]资金台帐!AK1740</f>
        <v>0</v>
      </c>
      <c r="BA1740" s="22">
        <f t="shared" si="0"/>
      </c>
      <c r="BG1740" s="22">
        <f t="shared" si="1"/>
      </c>
      <c r="BH1740" s="22">
        <f t="shared" si="2"/>
        <v>0</v>
      </c>
    </row>
    <row r="1741">
      <c r="B1741">
        <f>[1]资金台帐!B1741&amp;""</f>
      </c>
      <c r="H1741">
        <f>[1]资金台帐!H1741&amp;""</f>
      </c>
      <c r="J1741">
        <f>[1]资金台帐!J1741&amp;""</f>
      </c>
      <c r="N1741">
        <f>[1]资金台帐!N1741</f>
      </c>
      <c r="O1741">
        <f>[1]资金台帐!O1741&amp;""</f>
      </c>
      <c r="P1741">
        <f>[1]资金台帐!P1741&amp;""</f>
      </c>
      <c r="Q1741">
        <f>[1]资金台帐!Q1741&amp;""</f>
      </c>
      <c r="T1741">
        <f>[1]资金台帐!T1741&amp;""</f>
      </c>
      <c r="U1741">
        <f>[1]资金台帐!U1741&amp;""</f>
      </c>
      <c r="W1741">
        <f>[1]资金台帐!W1741&amp;""</f>
      </c>
      <c r="X1741">
        <f>[1]资金台帐!X1741&amp;""</f>
      </c>
      <c r="AB1741">
        <f>[1]资金台帐!AB1741</f>
        <v>0</v>
      </c>
      <c r="AC1741">
        <f>[1]资金台帐!AC1741</f>
        <v>0</v>
      </c>
      <c r="AD1741">
        <f>[1]资金台帐!AD1741</f>
        <v>0</v>
      </c>
      <c r="AJ1741">
        <f>[1]资金台帐!AJ1741</f>
        <v>0</v>
      </c>
      <c r="AK1741">
        <f>[1]资金台帐!AK1741</f>
        <v>0</v>
      </c>
      <c r="BA1741" s="22">
        <f t="shared" si="0"/>
      </c>
      <c r="BG1741" s="22">
        <f t="shared" si="1"/>
      </c>
      <c r="BH1741" s="22">
        <f t="shared" si="2"/>
        <v>0</v>
      </c>
    </row>
    <row r="1742">
      <c r="B1742">
        <f>[1]资金台帐!B1742&amp;""</f>
      </c>
      <c r="H1742">
        <f>[1]资金台帐!H1742&amp;""</f>
      </c>
      <c r="J1742">
        <f>[1]资金台帐!J1742&amp;""</f>
      </c>
      <c r="N1742">
        <f>[1]资金台帐!N1742</f>
      </c>
      <c r="O1742">
        <f>[1]资金台帐!O1742&amp;""</f>
      </c>
      <c r="P1742">
        <f>[1]资金台帐!P1742&amp;""</f>
      </c>
      <c r="Q1742">
        <f>[1]资金台帐!Q1742&amp;""</f>
      </c>
      <c r="T1742">
        <f>[1]资金台帐!T1742&amp;""</f>
      </c>
      <c r="U1742">
        <f>[1]资金台帐!U1742&amp;""</f>
      </c>
      <c r="W1742">
        <f>[1]资金台帐!W1742&amp;""</f>
      </c>
      <c r="X1742">
        <f>[1]资金台帐!X1742&amp;""</f>
      </c>
      <c r="AB1742">
        <f>[1]资金台帐!AB1742</f>
        <v>0</v>
      </c>
      <c r="AC1742">
        <f>[1]资金台帐!AC1742</f>
        <v>0</v>
      </c>
      <c r="AD1742">
        <f>[1]资金台帐!AD1742</f>
        <v>0</v>
      </c>
      <c r="AJ1742">
        <f>[1]资金台帐!AJ1742</f>
        <v>0</v>
      </c>
      <c r="AK1742">
        <f>[1]资金台帐!AK1742</f>
        <v>0</v>
      </c>
      <c r="BA1742" s="22">
        <f t="shared" si="0"/>
      </c>
      <c r="BG1742" s="22">
        <f t="shared" si="1"/>
      </c>
      <c r="BH1742" s="22">
        <f t="shared" si="2"/>
        <v>0</v>
      </c>
    </row>
    <row r="1743">
      <c r="B1743">
        <f>[1]资金台帐!B1743&amp;""</f>
      </c>
      <c r="H1743">
        <f>[1]资金台帐!H1743&amp;""</f>
      </c>
      <c r="J1743">
        <f>[1]资金台帐!J1743&amp;""</f>
      </c>
      <c r="N1743">
        <f>[1]资金台帐!N1743</f>
      </c>
      <c r="O1743">
        <f>[1]资金台帐!O1743&amp;""</f>
      </c>
      <c r="P1743">
        <f>[1]资金台帐!P1743&amp;""</f>
      </c>
      <c r="Q1743">
        <f>[1]资金台帐!Q1743&amp;""</f>
      </c>
      <c r="T1743">
        <f>[1]资金台帐!T1743&amp;""</f>
      </c>
      <c r="U1743">
        <f>[1]资金台帐!U1743&amp;""</f>
      </c>
      <c r="W1743">
        <f>[1]资金台帐!W1743&amp;""</f>
      </c>
      <c r="X1743">
        <f>[1]资金台帐!X1743&amp;""</f>
      </c>
      <c r="AB1743">
        <f>[1]资金台帐!AB1743</f>
        <v>0</v>
      </c>
      <c r="AC1743">
        <f>[1]资金台帐!AC1743</f>
        <v>0</v>
      </c>
      <c r="AD1743">
        <f>[1]资金台帐!AD1743</f>
        <v>0</v>
      </c>
      <c r="AJ1743">
        <f>[1]资金台帐!AJ1743</f>
        <v>0</v>
      </c>
      <c r="AK1743">
        <f>[1]资金台帐!AK1743</f>
        <v>0</v>
      </c>
      <c r="BA1743" s="22">
        <f t="shared" si="0"/>
      </c>
      <c r="BG1743" s="22">
        <f t="shared" si="1"/>
      </c>
      <c r="BH1743" s="22">
        <f t="shared" si="2"/>
        <v>0</v>
      </c>
    </row>
    <row r="1744">
      <c r="B1744">
        <f>[1]资金台帐!B1744&amp;""</f>
      </c>
      <c r="H1744">
        <f>[1]资金台帐!H1744&amp;""</f>
      </c>
      <c r="J1744">
        <f>[1]资金台帐!J1744&amp;""</f>
      </c>
      <c r="N1744">
        <f>[1]资金台帐!N1744</f>
      </c>
      <c r="O1744">
        <f>[1]资金台帐!O1744&amp;""</f>
      </c>
      <c r="P1744">
        <f>[1]资金台帐!P1744&amp;""</f>
      </c>
      <c r="Q1744">
        <f>[1]资金台帐!Q1744&amp;""</f>
      </c>
      <c r="T1744">
        <f>[1]资金台帐!T1744&amp;""</f>
      </c>
      <c r="U1744">
        <f>[1]资金台帐!U1744&amp;""</f>
      </c>
      <c r="W1744">
        <f>[1]资金台帐!W1744&amp;""</f>
      </c>
      <c r="X1744">
        <f>[1]资金台帐!X1744&amp;""</f>
      </c>
      <c r="AB1744">
        <f>[1]资金台帐!AB1744</f>
        <v>0</v>
      </c>
      <c r="AC1744">
        <f>[1]资金台帐!AC1744</f>
        <v>0</v>
      </c>
      <c r="AD1744">
        <f>[1]资金台帐!AD1744</f>
        <v>0</v>
      </c>
      <c r="AJ1744">
        <f>[1]资金台帐!AJ1744</f>
        <v>0</v>
      </c>
      <c r="AK1744">
        <f>[1]资金台帐!AK1744</f>
        <v>0</v>
      </c>
      <c r="BA1744" s="22">
        <f t="shared" si="0"/>
      </c>
      <c r="BG1744" s="22">
        <f t="shared" si="1"/>
      </c>
      <c r="BH1744" s="22">
        <f t="shared" si="2"/>
        <v>0</v>
      </c>
    </row>
    <row r="1745">
      <c r="B1745">
        <f>[1]资金台帐!B1745&amp;""</f>
      </c>
      <c r="H1745">
        <f>[1]资金台帐!H1745&amp;""</f>
      </c>
      <c r="J1745">
        <f>[1]资金台帐!J1745&amp;""</f>
      </c>
      <c r="N1745">
        <f>[1]资金台帐!N1745</f>
      </c>
      <c r="O1745">
        <f>[1]资金台帐!O1745&amp;""</f>
      </c>
      <c r="P1745">
        <f>[1]资金台帐!P1745&amp;""</f>
      </c>
      <c r="Q1745">
        <f>[1]资金台帐!Q1745&amp;""</f>
      </c>
      <c r="T1745">
        <f>[1]资金台帐!T1745&amp;""</f>
      </c>
      <c r="U1745">
        <f>[1]资金台帐!U1745&amp;""</f>
      </c>
      <c r="W1745">
        <f>[1]资金台帐!W1745&amp;""</f>
      </c>
      <c r="X1745">
        <f>[1]资金台帐!X1745&amp;""</f>
      </c>
      <c r="AB1745">
        <f>[1]资金台帐!AB1745</f>
        <v>0</v>
      </c>
      <c r="AC1745">
        <f>[1]资金台帐!AC1745</f>
        <v>0</v>
      </c>
      <c r="AD1745">
        <f>[1]资金台帐!AD1745</f>
        <v>0</v>
      </c>
      <c r="AJ1745">
        <f>[1]资金台帐!AJ1745</f>
        <v>0</v>
      </c>
      <c r="AK1745">
        <f>[1]资金台帐!AK1745</f>
        <v>0</v>
      </c>
      <c r="BA1745" s="22">
        <f t="shared" si="0"/>
      </c>
      <c r="BG1745" s="22">
        <f t="shared" si="1"/>
      </c>
      <c r="BH1745" s="22">
        <f t="shared" si="2"/>
        <v>0</v>
      </c>
    </row>
    <row r="1746">
      <c r="B1746">
        <f>[1]资金台帐!B1746&amp;""</f>
      </c>
      <c r="H1746">
        <f>[1]资金台帐!H1746&amp;""</f>
      </c>
      <c r="J1746">
        <f>[1]资金台帐!J1746&amp;""</f>
      </c>
      <c r="N1746">
        <f>[1]资金台帐!N1746</f>
      </c>
      <c r="O1746">
        <f>[1]资金台帐!O1746&amp;""</f>
      </c>
      <c r="P1746">
        <f>[1]资金台帐!P1746&amp;""</f>
      </c>
      <c r="Q1746">
        <f>[1]资金台帐!Q1746&amp;""</f>
      </c>
      <c r="T1746">
        <f>[1]资金台帐!T1746&amp;""</f>
      </c>
      <c r="U1746">
        <f>[1]资金台帐!U1746&amp;""</f>
      </c>
      <c r="W1746">
        <f>[1]资金台帐!W1746&amp;""</f>
      </c>
      <c r="X1746">
        <f>[1]资金台帐!X1746&amp;""</f>
      </c>
      <c r="AB1746">
        <f>[1]资金台帐!AB1746</f>
        <v>0</v>
      </c>
      <c r="AC1746">
        <f>[1]资金台帐!AC1746</f>
        <v>0</v>
      </c>
      <c r="AD1746">
        <f>[1]资金台帐!AD1746</f>
        <v>0</v>
      </c>
      <c r="AJ1746">
        <f>[1]资金台帐!AJ1746</f>
        <v>0</v>
      </c>
      <c r="AK1746">
        <f>[1]资金台帐!AK1746</f>
        <v>0</v>
      </c>
      <c r="BA1746" s="22">
        <f t="shared" si="0"/>
      </c>
      <c r="BG1746" s="22">
        <f t="shared" si="1"/>
      </c>
      <c r="BH1746" s="22">
        <f t="shared" si="2"/>
        <v>0</v>
      </c>
    </row>
    <row r="1747">
      <c r="B1747">
        <f>[1]资金台帐!B1747&amp;""</f>
      </c>
      <c r="H1747">
        <f>[1]资金台帐!H1747&amp;""</f>
      </c>
      <c r="J1747">
        <f>[1]资金台帐!J1747&amp;""</f>
      </c>
      <c r="N1747">
        <f>[1]资金台帐!N1747</f>
      </c>
      <c r="O1747">
        <f>[1]资金台帐!O1747&amp;""</f>
      </c>
      <c r="P1747">
        <f>[1]资金台帐!P1747&amp;""</f>
      </c>
      <c r="Q1747">
        <f>[1]资金台帐!Q1747&amp;""</f>
      </c>
      <c r="T1747">
        <f>[1]资金台帐!T1747&amp;""</f>
      </c>
      <c r="U1747">
        <f>[1]资金台帐!U1747&amp;""</f>
      </c>
      <c r="W1747">
        <f>[1]资金台帐!W1747&amp;""</f>
      </c>
      <c r="X1747">
        <f>[1]资金台帐!X1747&amp;""</f>
      </c>
      <c r="AB1747">
        <f>[1]资金台帐!AB1747</f>
        <v>0</v>
      </c>
      <c r="AC1747">
        <f>[1]资金台帐!AC1747</f>
        <v>0</v>
      </c>
      <c r="AD1747">
        <f>[1]资金台帐!AD1747</f>
        <v>0</v>
      </c>
      <c r="AJ1747">
        <f>[1]资金台帐!AJ1747</f>
        <v>0</v>
      </c>
      <c r="AK1747">
        <f>[1]资金台帐!AK1747</f>
        <v>0</v>
      </c>
      <c r="BA1747" s="22">
        <f t="shared" si="0"/>
      </c>
      <c r="BG1747" s="22">
        <f t="shared" si="1"/>
      </c>
      <c r="BH1747" s="22">
        <f t="shared" si="2"/>
        <v>0</v>
      </c>
    </row>
    <row r="1748">
      <c r="B1748">
        <f>[1]资金台帐!B1748&amp;""</f>
      </c>
      <c r="H1748">
        <f>[1]资金台帐!H1748&amp;""</f>
      </c>
      <c r="J1748">
        <f>[1]资金台帐!J1748&amp;""</f>
      </c>
      <c r="N1748">
        <f>[1]资金台帐!N1748</f>
      </c>
      <c r="O1748">
        <f>[1]资金台帐!O1748&amp;""</f>
      </c>
      <c r="P1748">
        <f>[1]资金台帐!P1748&amp;""</f>
      </c>
      <c r="Q1748">
        <f>[1]资金台帐!Q1748&amp;""</f>
      </c>
      <c r="T1748">
        <f>[1]资金台帐!T1748&amp;""</f>
      </c>
      <c r="U1748">
        <f>[1]资金台帐!U1748&amp;""</f>
      </c>
      <c r="W1748">
        <f>[1]资金台帐!W1748&amp;""</f>
      </c>
      <c r="X1748">
        <f>[1]资金台帐!X1748&amp;""</f>
      </c>
      <c r="AB1748">
        <f>[1]资金台帐!AB1748</f>
        <v>0</v>
      </c>
      <c r="AC1748">
        <f>[1]资金台帐!AC1748</f>
        <v>0</v>
      </c>
      <c r="AD1748">
        <f>[1]资金台帐!AD1748</f>
        <v>0</v>
      </c>
      <c r="AJ1748">
        <f>[1]资金台帐!AJ1748</f>
        <v>0</v>
      </c>
      <c r="AK1748">
        <f>[1]资金台帐!AK1748</f>
        <v>0</v>
      </c>
      <c r="BA1748" s="22">
        <f t="shared" si="0"/>
      </c>
      <c r="BG1748" s="22">
        <f t="shared" si="1"/>
      </c>
      <c r="BH1748" s="22">
        <f t="shared" si="2"/>
        <v>0</v>
      </c>
    </row>
    <row r="1749">
      <c r="B1749">
        <f>[1]资金台帐!B1749&amp;""</f>
      </c>
      <c r="H1749">
        <f>[1]资金台帐!H1749&amp;""</f>
      </c>
      <c r="J1749">
        <f>[1]资金台帐!J1749&amp;""</f>
      </c>
      <c r="N1749">
        <f>[1]资金台帐!N1749</f>
      </c>
      <c r="O1749">
        <f>[1]资金台帐!O1749&amp;""</f>
      </c>
      <c r="P1749">
        <f>[1]资金台帐!P1749&amp;""</f>
      </c>
      <c r="Q1749">
        <f>[1]资金台帐!Q1749&amp;""</f>
      </c>
      <c r="T1749">
        <f>[1]资金台帐!T1749&amp;""</f>
      </c>
      <c r="U1749">
        <f>[1]资金台帐!U1749&amp;""</f>
      </c>
      <c r="W1749">
        <f>[1]资金台帐!W1749&amp;""</f>
      </c>
      <c r="X1749">
        <f>[1]资金台帐!X1749&amp;""</f>
      </c>
      <c r="AB1749">
        <f>[1]资金台帐!AB1749</f>
        <v>0</v>
      </c>
      <c r="AC1749">
        <f>[1]资金台帐!AC1749</f>
        <v>0</v>
      </c>
      <c r="AD1749">
        <f>[1]资金台帐!AD1749</f>
        <v>0</v>
      </c>
      <c r="AJ1749">
        <f>[1]资金台帐!AJ1749</f>
        <v>0</v>
      </c>
      <c r="AK1749">
        <f>[1]资金台帐!AK1749</f>
        <v>0</v>
      </c>
      <c r="BA1749" s="22">
        <f t="shared" si="0"/>
      </c>
      <c r="BG1749" s="22">
        <f t="shared" si="1"/>
      </c>
      <c r="BH1749" s="22">
        <f t="shared" si="2"/>
        <v>0</v>
      </c>
    </row>
    <row r="1750">
      <c r="B1750">
        <f>[1]资金台帐!B1750&amp;""</f>
      </c>
      <c r="H1750">
        <f>[1]资金台帐!H1750&amp;""</f>
      </c>
      <c r="J1750">
        <f>[1]资金台帐!J1750&amp;""</f>
      </c>
      <c r="N1750">
        <f>[1]资金台帐!N1750</f>
      </c>
      <c r="O1750">
        <f>[1]资金台帐!O1750&amp;""</f>
      </c>
      <c r="P1750">
        <f>[1]资金台帐!P1750&amp;""</f>
      </c>
      <c r="Q1750">
        <f>[1]资金台帐!Q1750&amp;""</f>
      </c>
      <c r="T1750">
        <f>[1]资金台帐!T1750&amp;""</f>
      </c>
      <c r="U1750">
        <f>[1]资金台帐!U1750&amp;""</f>
      </c>
      <c r="W1750">
        <f>[1]资金台帐!W1750&amp;""</f>
      </c>
      <c r="X1750">
        <f>[1]资金台帐!X1750&amp;""</f>
      </c>
      <c r="AB1750">
        <f>[1]资金台帐!AB1750</f>
        <v>0</v>
      </c>
      <c r="AC1750">
        <f>[1]资金台帐!AC1750</f>
        <v>0</v>
      </c>
      <c r="AD1750">
        <f>[1]资金台帐!AD1750</f>
        <v>0</v>
      </c>
      <c r="AJ1750">
        <f>[1]资金台帐!AJ1750</f>
        <v>0</v>
      </c>
      <c r="AK1750">
        <f>[1]资金台帐!AK1750</f>
        <v>0</v>
      </c>
      <c r="BA1750" s="22">
        <f t="shared" si="0"/>
      </c>
      <c r="BG1750" s="22">
        <f t="shared" si="1"/>
      </c>
      <c r="BH1750" s="22">
        <f t="shared" si="2"/>
        <v>0</v>
      </c>
    </row>
    <row r="1751">
      <c r="B1751">
        <f>[1]资金台帐!B1751&amp;""</f>
      </c>
      <c r="H1751">
        <f>[1]资金台帐!H1751&amp;""</f>
      </c>
      <c r="J1751">
        <f>[1]资金台帐!J1751&amp;""</f>
      </c>
      <c r="N1751">
        <f>[1]资金台帐!N1751</f>
      </c>
      <c r="O1751">
        <f>[1]资金台帐!O1751&amp;""</f>
      </c>
      <c r="P1751">
        <f>[1]资金台帐!P1751&amp;""</f>
      </c>
      <c r="Q1751">
        <f>[1]资金台帐!Q1751&amp;""</f>
      </c>
      <c r="T1751">
        <f>[1]资金台帐!T1751&amp;""</f>
      </c>
      <c r="U1751">
        <f>[1]资金台帐!U1751&amp;""</f>
      </c>
      <c r="W1751">
        <f>[1]资金台帐!W1751&amp;""</f>
      </c>
      <c r="X1751">
        <f>[1]资金台帐!X1751&amp;""</f>
      </c>
      <c r="AB1751">
        <f>[1]资金台帐!AB1751</f>
        <v>0</v>
      </c>
      <c r="AC1751">
        <f>[1]资金台帐!AC1751</f>
        <v>0</v>
      </c>
      <c r="AD1751">
        <f>[1]资金台帐!AD1751</f>
        <v>0</v>
      </c>
      <c r="AJ1751">
        <f>[1]资金台帐!AJ1751</f>
        <v>0</v>
      </c>
      <c r="AK1751">
        <f>[1]资金台帐!AK1751</f>
        <v>0</v>
      </c>
      <c r="BA1751" s="22">
        <f t="shared" si="0"/>
      </c>
      <c r="BG1751" s="22">
        <f t="shared" si="1"/>
      </c>
      <c r="BH1751" s="22">
        <f t="shared" si="2"/>
        <v>0</v>
      </c>
    </row>
    <row r="1752">
      <c r="B1752">
        <f>[1]资金台帐!B1752&amp;""</f>
      </c>
      <c r="H1752">
        <f>[1]资金台帐!H1752&amp;""</f>
      </c>
      <c r="J1752">
        <f>[1]资金台帐!J1752&amp;""</f>
      </c>
      <c r="N1752">
        <f>[1]资金台帐!N1752</f>
      </c>
      <c r="O1752">
        <f>[1]资金台帐!O1752&amp;""</f>
      </c>
      <c r="P1752">
        <f>[1]资金台帐!P1752&amp;""</f>
      </c>
      <c r="Q1752">
        <f>[1]资金台帐!Q1752&amp;""</f>
      </c>
      <c r="T1752">
        <f>[1]资金台帐!T1752&amp;""</f>
      </c>
      <c r="U1752">
        <f>[1]资金台帐!U1752&amp;""</f>
      </c>
      <c r="W1752">
        <f>[1]资金台帐!W1752&amp;""</f>
      </c>
      <c r="X1752">
        <f>[1]资金台帐!X1752&amp;""</f>
      </c>
      <c r="AB1752">
        <f>[1]资金台帐!AB1752</f>
        <v>0</v>
      </c>
      <c r="AC1752">
        <f>[1]资金台帐!AC1752</f>
        <v>0</v>
      </c>
      <c r="AD1752">
        <f>[1]资金台帐!AD1752</f>
        <v>0</v>
      </c>
      <c r="AJ1752">
        <f>[1]资金台帐!AJ1752</f>
        <v>0</v>
      </c>
      <c r="AK1752">
        <f>[1]资金台帐!AK1752</f>
        <v>0</v>
      </c>
      <c r="BA1752" s="22">
        <f t="shared" si="0"/>
      </c>
      <c r="BG1752" s="22">
        <f t="shared" si="1"/>
      </c>
      <c r="BH1752" s="22">
        <f t="shared" si="2"/>
        <v>0</v>
      </c>
    </row>
    <row r="1753">
      <c r="B1753">
        <f>[1]资金台帐!B1753&amp;""</f>
      </c>
      <c r="H1753">
        <f>[1]资金台帐!H1753&amp;""</f>
      </c>
      <c r="J1753">
        <f>[1]资金台帐!J1753&amp;""</f>
      </c>
      <c r="N1753">
        <f>[1]资金台帐!N1753</f>
      </c>
      <c r="O1753">
        <f>[1]资金台帐!O1753&amp;""</f>
      </c>
      <c r="P1753">
        <f>[1]资金台帐!P1753&amp;""</f>
      </c>
      <c r="Q1753">
        <f>[1]资金台帐!Q1753&amp;""</f>
      </c>
      <c r="T1753">
        <f>[1]资金台帐!T1753&amp;""</f>
      </c>
      <c r="U1753">
        <f>[1]资金台帐!U1753&amp;""</f>
      </c>
      <c r="W1753">
        <f>[1]资金台帐!W1753&amp;""</f>
      </c>
      <c r="X1753">
        <f>[1]资金台帐!X1753&amp;""</f>
      </c>
      <c r="AB1753">
        <f>[1]资金台帐!AB1753</f>
        <v>0</v>
      </c>
      <c r="AC1753">
        <f>[1]资金台帐!AC1753</f>
        <v>0</v>
      </c>
      <c r="AD1753">
        <f>[1]资金台帐!AD1753</f>
        <v>0</v>
      </c>
      <c r="AJ1753">
        <f>[1]资金台帐!AJ1753</f>
        <v>0</v>
      </c>
      <c r="AK1753">
        <f>[1]资金台帐!AK1753</f>
        <v>0</v>
      </c>
      <c r="BA1753" s="22">
        <f t="shared" si="0"/>
      </c>
      <c r="BG1753" s="22">
        <f t="shared" si="1"/>
      </c>
      <c r="BH1753" s="22">
        <f t="shared" si="2"/>
        <v>0</v>
      </c>
    </row>
    <row r="1754">
      <c r="B1754">
        <f>[1]资金台帐!B1754&amp;""</f>
      </c>
      <c r="H1754">
        <f>[1]资金台帐!H1754&amp;""</f>
      </c>
      <c r="J1754">
        <f>[1]资金台帐!J1754&amp;""</f>
      </c>
      <c r="N1754">
        <f>[1]资金台帐!N1754</f>
      </c>
      <c r="O1754">
        <f>[1]资金台帐!O1754&amp;""</f>
      </c>
      <c r="P1754">
        <f>[1]资金台帐!P1754&amp;""</f>
      </c>
      <c r="Q1754">
        <f>[1]资金台帐!Q1754&amp;""</f>
      </c>
      <c r="T1754">
        <f>[1]资金台帐!T1754&amp;""</f>
      </c>
      <c r="U1754">
        <f>[1]资金台帐!U1754&amp;""</f>
      </c>
      <c r="W1754">
        <f>[1]资金台帐!W1754&amp;""</f>
      </c>
      <c r="X1754">
        <f>[1]资金台帐!X1754&amp;""</f>
      </c>
      <c r="AB1754">
        <f>[1]资金台帐!AB1754</f>
        <v>0</v>
      </c>
      <c r="AC1754">
        <f>[1]资金台帐!AC1754</f>
        <v>0</v>
      </c>
      <c r="AD1754">
        <f>[1]资金台帐!AD1754</f>
        <v>0</v>
      </c>
      <c r="AJ1754">
        <f>[1]资金台帐!AJ1754</f>
        <v>0</v>
      </c>
      <c r="AK1754">
        <f>[1]资金台帐!AK1754</f>
        <v>0</v>
      </c>
      <c r="BA1754" s="22">
        <f t="shared" si="0"/>
      </c>
      <c r="BG1754" s="22">
        <f t="shared" si="1"/>
      </c>
      <c r="BH1754" s="22">
        <f t="shared" si="2"/>
        <v>0</v>
      </c>
    </row>
    <row r="1755">
      <c r="B1755">
        <f>[1]资金台帐!B1755&amp;""</f>
      </c>
      <c r="H1755">
        <f>[1]资金台帐!H1755&amp;""</f>
      </c>
      <c r="J1755">
        <f>[1]资金台帐!J1755&amp;""</f>
      </c>
      <c r="N1755">
        <f>[1]资金台帐!N1755</f>
      </c>
      <c r="O1755">
        <f>[1]资金台帐!O1755&amp;""</f>
      </c>
      <c r="P1755">
        <f>[1]资金台帐!P1755&amp;""</f>
      </c>
      <c r="Q1755">
        <f>[1]资金台帐!Q1755&amp;""</f>
      </c>
      <c r="T1755">
        <f>[1]资金台帐!T1755&amp;""</f>
      </c>
      <c r="U1755">
        <f>[1]资金台帐!U1755&amp;""</f>
      </c>
      <c r="W1755">
        <f>[1]资金台帐!W1755&amp;""</f>
      </c>
      <c r="X1755">
        <f>[1]资金台帐!X1755&amp;""</f>
      </c>
      <c r="AB1755">
        <f>[1]资金台帐!AB1755</f>
        <v>0</v>
      </c>
      <c r="AC1755">
        <f>[1]资金台帐!AC1755</f>
        <v>0</v>
      </c>
      <c r="AD1755">
        <f>[1]资金台帐!AD1755</f>
        <v>0</v>
      </c>
      <c r="AJ1755">
        <f>[1]资金台帐!AJ1755</f>
        <v>0</v>
      </c>
      <c r="AK1755">
        <f>[1]资金台帐!AK1755</f>
        <v>0</v>
      </c>
      <c r="BA1755" s="22">
        <f t="shared" si="0"/>
      </c>
      <c r="BG1755" s="22">
        <f t="shared" si="1"/>
      </c>
      <c r="BH1755" s="22">
        <f t="shared" si="2"/>
        <v>0</v>
      </c>
    </row>
    <row r="1756">
      <c r="B1756">
        <f>[1]资金台帐!B1756&amp;""</f>
      </c>
      <c r="H1756">
        <f>[1]资金台帐!H1756&amp;""</f>
      </c>
      <c r="J1756">
        <f>[1]资金台帐!J1756&amp;""</f>
      </c>
      <c r="N1756">
        <f>[1]资金台帐!N1756</f>
      </c>
      <c r="O1756">
        <f>[1]资金台帐!O1756&amp;""</f>
      </c>
      <c r="P1756">
        <f>[1]资金台帐!P1756&amp;""</f>
      </c>
      <c r="Q1756">
        <f>[1]资金台帐!Q1756&amp;""</f>
      </c>
      <c r="T1756">
        <f>[1]资金台帐!T1756&amp;""</f>
      </c>
      <c r="U1756">
        <f>[1]资金台帐!U1756&amp;""</f>
      </c>
      <c r="W1756">
        <f>[1]资金台帐!W1756&amp;""</f>
      </c>
      <c r="X1756">
        <f>[1]资金台帐!X1756&amp;""</f>
      </c>
      <c r="AB1756">
        <f>[1]资金台帐!AB1756</f>
        <v>0</v>
      </c>
      <c r="AC1756">
        <f>[1]资金台帐!AC1756</f>
        <v>0</v>
      </c>
      <c r="AD1756">
        <f>[1]资金台帐!AD1756</f>
        <v>0</v>
      </c>
      <c r="AJ1756">
        <f>[1]资金台帐!AJ1756</f>
        <v>0</v>
      </c>
      <c r="AK1756">
        <f>[1]资金台帐!AK1756</f>
        <v>0</v>
      </c>
      <c r="BA1756" s="22">
        <f t="shared" si="0"/>
      </c>
      <c r="BG1756" s="22">
        <f t="shared" si="1"/>
      </c>
      <c r="BH1756" s="22">
        <f t="shared" si="2"/>
        <v>0</v>
      </c>
    </row>
    <row r="1757">
      <c r="B1757">
        <f>[1]资金台帐!B1757&amp;""</f>
      </c>
      <c r="H1757">
        <f>[1]资金台帐!H1757&amp;""</f>
      </c>
      <c r="J1757">
        <f>[1]资金台帐!J1757&amp;""</f>
      </c>
      <c r="N1757">
        <f>[1]资金台帐!N1757</f>
      </c>
      <c r="O1757">
        <f>[1]资金台帐!O1757&amp;""</f>
      </c>
      <c r="P1757">
        <f>[1]资金台帐!P1757&amp;""</f>
      </c>
      <c r="Q1757">
        <f>[1]资金台帐!Q1757&amp;""</f>
      </c>
      <c r="T1757">
        <f>[1]资金台帐!T1757&amp;""</f>
      </c>
      <c r="U1757">
        <f>[1]资金台帐!U1757&amp;""</f>
      </c>
      <c r="W1757">
        <f>[1]资金台帐!W1757&amp;""</f>
      </c>
      <c r="X1757">
        <f>[1]资金台帐!X1757&amp;""</f>
      </c>
      <c r="AB1757">
        <f>[1]资金台帐!AB1757</f>
        <v>0</v>
      </c>
      <c r="AC1757">
        <f>[1]资金台帐!AC1757</f>
        <v>0</v>
      </c>
      <c r="AD1757">
        <f>[1]资金台帐!AD1757</f>
        <v>0</v>
      </c>
      <c r="AJ1757">
        <f>[1]资金台帐!AJ1757</f>
        <v>0</v>
      </c>
      <c r="AK1757">
        <f>[1]资金台帐!AK1757</f>
        <v>0</v>
      </c>
      <c r="BA1757" s="22">
        <f t="shared" si="0"/>
      </c>
      <c r="BG1757" s="22">
        <f t="shared" si="1"/>
      </c>
      <c r="BH1757" s="22">
        <f t="shared" si="2"/>
        <v>0</v>
      </c>
    </row>
    <row r="1758">
      <c r="B1758">
        <f>[1]资金台帐!B1758&amp;""</f>
      </c>
      <c r="H1758">
        <f>[1]资金台帐!H1758&amp;""</f>
      </c>
      <c r="J1758">
        <f>[1]资金台帐!J1758&amp;""</f>
      </c>
      <c r="N1758">
        <f>[1]资金台帐!N1758</f>
      </c>
      <c r="O1758">
        <f>[1]资金台帐!O1758&amp;""</f>
      </c>
      <c r="P1758">
        <f>[1]资金台帐!P1758&amp;""</f>
      </c>
      <c r="Q1758">
        <f>[1]资金台帐!Q1758&amp;""</f>
      </c>
      <c r="T1758">
        <f>[1]资金台帐!T1758&amp;""</f>
      </c>
      <c r="U1758">
        <f>[1]资金台帐!U1758&amp;""</f>
      </c>
      <c r="W1758">
        <f>[1]资金台帐!W1758&amp;""</f>
      </c>
      <c r="X1758">
        <f>[1]资金台帐!X1758&amp;""</f>
      </c>
      <c r="AB1758">
        <f>[1]资金台帐!AB1758</f>
        <v>0</v>
      </c>
      <c r="AC1758">
        <f>[1]资金台帐!AC1758</f>
        <v>0</v>
      </c>
      <c r="AD1758">
        <f>[1]资金台帐!AD1758</f>
        <v>0</v>
      </c>
      <c r="AJ1758">
        <f>[1]资金台帐!AJ1758</f>
        <v>0</v>
      </c>
      <c r="AK1758">
        <f>[1]资金台帐!AK1758</f>
        <v>0</v>
      </c>
      <c r="BA1758" s="22">
        <f t="shared" si="0"/>
      </c>
      <c r="BG1758" s="22">
        <f t="shared" si="1"/>
      </c>
      <c r="BH1758" s="22">
        <f t="shared" si="2"/>
        <v>0</v>
      </c>
    </row>
    <row r="1759">
      <c r="B1759">
        <f>[1]资金台帐!B1759&amp;""</f>
      </c>
      <c r="H1759">
        <f>[1]资金台帐!H1759&amp;""</f>
      </c>
      <c r="J1759">
        <f>[1]资金台帐!J1759&amp;""</f>
      </c>
      <c r="N1759">
        <f>[1]资金台帐!N1759</f>
      </c>
      <c r="O1759">
        <f>[1]资金台帐!O1759&amp;""</f>
      </c>
      <c r="P1759">
        <f>[1]资金台帐!P1759&amp;""</f>
      </c>
      <c r="Q1759">
        <f>[1]资金台帐!Q1759&amp;""</f>
      </c>
      <c r="T1759">
        <f>[1]资金台帐!T1759&amp;""</f>
      </c>
      <c r="U1759">
        <f>[1]资金台帐!U1759&amp;""</f>
      </c>
      <c r="W1759">
        <f>[1]资金台帐!W1759&amp;""</f>
      </c>
      <c r="X1759">
        <f>[1]资金台帐!X1759&amp;""</f>
      </c>
      <c r="AB1759">
        <f>[1]资金台帐!AB1759</f>
        <v>0</v>
      </c>
      <c r="AC1759">
        <f>[1]资金台帐!AC1759</f>
        <v>0</v>
      </c>
      <c r="AD1759">
        <f>[1]资金台帐!AD1759</f>
        <v>0</v>
      </c>
      <c r="AJ1759">
        <f>[1]资金台帐!AJ1759</f>
        <v>0</v>
      </c>
      <c r="AK1759">
        <f>[1]资金台帐!AK1759</f>
        <v>0</v>
      </c>
      <c r="BA1759" s="22">
        <f t="shared" si="0"/>
      </c>
      <c r="BG1759" s="22">
        <f t="shared" si="1"/>
      </c>
      <c r="BH1759" s="22">
        <f t="shared" si="2"/>
        <v>0</v>
      </c>
    </row>
    <row r="1760">
      <c r="B1760">
        <f>[1]资金台帐!B1760&amp;""</f>
      </c>
      <c r="H1760">
        <f>[1]资金台帐!H1760&amp;""</f>
      </c>
      <c r="J1760">
        <f>[1]资金台帐!J1760&amp;""</f>
      </c>
      <c r="N1760">
        <f>[1]资金台帐!N1760</f>
      </c>
      <c r="O1760">
        <f>[1]资金台帐!O1760&amp;""</f>
      </c>
      <c r="P1760">
        <f>[1]资金台帐!P1760&amp;""</f>
      </c>
      <c r="Q1760">
        <f>[1]资金台帐!Q1760&amp;""</f>
      </c>
      <c r="T1760">
        <f>[1]资金台帐!T1760&amp;""</f>
      </c>
      <c r="U1760">
        <f>[1]资金台帐!U1760&amp;""</f>
      </c>
      <c r="W1760">
        <f>[1]资金台帐!W1760&amp;""</f>
      </c>
      <c r="X1760">
        <f>[1]资金台帐!X1760&amp;""</f>
      </c>
      <c r="AB1760">
        <f>[1]资金台帐!AB1760</f>
        <v>0</v>
      </c>
      <c r="AC1760">
        <f>[1]资金台帐!AC1760</f>
        <v>0</v>
      </c>
      <c r="AD1760">
        <f>[1]资金台帐!AD1760</f>
        <v>0</v>
      </c>
      <c r="AJ1760">
        <f>[1]资金台帐!AJ1760</f>
        <v>0</v>
      </c>
      <c r="AK1760">
        <f>[1]资金台帐!AK1760</f>
        <v>0</v>
      </c>
      <c r="BA1760" s="22">
        <f t="shared" si="0"/>
      </c>
      <c r="BG1760" s="22">
        <f t="shared" si="1"/>
      </c>
      <c r="BH1760" s="22">
        <f t="shared" si="2"/>
        <v>0</v>
      </c>
    </row>
    <row r="1761">
      <c r="B1761">
        <f>[1]资金台帐!B1761&amp;""</f>
      </c>
      <c r="H1761">
        <f>[1]资金台帐!H1761&amp;""</f>
      </c>
      <c r="J1761">
        <f>[1]资金台帐!J1761&amp;""</f>
      </c>
      <c r="N1761">
        <f>[1]资金台帐!N1761</f>
      </c>
      <c r="O1761">
        <f>[1]资金台帐!O1761&amp;""</f>
      </c>
      <c r="P1761">
        <f>[1]资金台帐!P1761&amp;""</f>
      </c>
      <c r="Q1761">
        <f>[1]资金台帐!Q1761&amp;""</f>
      </c>
      <c r="T1761">
        <f>[1]资金台帐!T1761&amp;""</f>
      </c>
      <c r="U1761">
        <f>[1]资金台帐!U1761&amp;""</f>
      </c>
      <c r="W1761">
        <f>[1]资金台帐!W1761&amp;""</f>
      </c>
      <c r="X1761">
        <f>[1]资金台帐!X1761&amp;""</f>
      </c>
      <c r="AB1761">
        <f>[1]资金台帐!AB1761</f>
        <v>0</v>
      </c>
      <c r="AC1761">
        <f>[1]资金台帐!AC1761</f>
        <v>0</v>
      </c>
      <c r="AD1761">
        <f>[1]资金台帐!AD1761</f>
        <v>0</v>
      </c>
      <c r="AJ1761">
        <f>[1]资金台帐!AJ1761</f>
        <v>0</v>
      </c>
      <c r="AK1761">
        <f>[1]资金台帐!AK1761</f>
        <v>0</v>
      </c>
      <c r="BA1761" s="22">
        <f t="shared" si="0"/>
      </c>
      <c r="BG1761" s="22">
        <f t="shared" si="1"/>
      </c>
      <c r="BH1761" s="22">
        <f t="shared" si="2"/>
        <v>0</v>
      </c>
    </row>
    <row r="1762">
      <c r="B1762">
        <f>[1]资金台帐!B1762&amp;""</f>
      </c>
      <c r="H1762">
        <f>[1]资金台帐!H1762&amp;""</f>
      </c>
      <c r="J1762">
        <f>[1]资金台帐!J1762&amp;""</f>
      </c>
      <c r="N1762">
        <f>[1]资金台帐!N1762</f>
      </c>
      <c r="O1762">
        <f>[1]资金台帐!O1762&amp;""</f>
      </c>
      <c r="P1762">
        <f>[1]资金台帐!P1762&amp;""</f>
      </c>
      <c r="Q1762">
        <f>[1]资金台帐!Q1762&amp;""</f>
      </c>
      <c r="T1762">
        <f>[1]资金台帐!T1762&amp;""</f>
      </c>
      <c r="U1762">
        <f>[1]资金台帐!U1762&amp;""</f>
      </c>
      <c r="W1762">
        <f>[1]资金台帐!W1762&amp;""</f>
      </c>
      <c r="X1762">
        <f>[1]资金台帐!X1762&amp;""</f>
      </c>
      <c r="AB1762">
        <f>[1]资金台帐!AB1762</f>
        <v>0</v>
      </c>
      <c r="AC1762">
        <f>[1]资金台帐!AC1762</f>
        <v>0</v>
      </c>
      <c r="AD1762">
        <f>[1]资金台帐!AD1762</f>
        <v>0</v>
      </c>
      <c r="AJ1762">
        <f>[1]资金台帐!AJ1762</f>
        <v>0</v>
      </c>
      <c r="AK1762">
        <f>[1]资金台帐!AK1762</f>
        <v>0</v>
      </c>
      <c r="BA1762" s="22">
        <f t="shared" si="0"/>
      </c>
      <c r="BG1762" s="22">
        <f t="shared" si="1"/>
      </c>
      <c r="BH1762" s="22">
        <f t="shared" si="2"/>
        <v>0</v>
      </c>
    </row>
    <row r="1763">
      <c r="B1763">
        <f>[1]资金台帐!B1763&amp;""</f>
      </c>
      <c r="H1763">
        <f>[1]资金台帐!H1763&amp;""</f>
      </c>
      <c r="J1763">
        <f>[1]资金台帐!J1763&amp;""</f>
      </c>
      <c r="N1763">
        <f>[1]资金台帐!N1763</f>
      </c>
      <c r="O1763">
        <f>[1]资金台帐!O1763&amp;""</f>
      </c>
      <c r="P1763">
        <f>[1]资金台帐!P1763&amp;""</f>
      </c>
      <c r="Q1763">
        <f>[1]资金台帐!Q1763&amp;""</f>
      </c>
      <c r="T1763">
        <f>[1]资金台帐!T1763&amp;""</f>
      </c>
      <c r="U1763">
        <f>[1]资金台帐!U1763&amp;""</f>
      </c>
      <c r="W1763">
        <f>[1]资金台帐!W1763&amp;""</f>
      </c>
      <c r="X1763">
        <f>[1]资金台帐!X1763&amp;""</f>
      </c>
      <c r="AB1763">
        <f>[1]资金台帐!AB1763</f>
        <v>0</v>
      </c>
      <c r="AC1763">
        <f>[1]资金台帐!AC1763</f>
        <v>0</v>
      </c>
      <c r="AD1763">
        <f>[1]资金台帐!AD1763</f>
        <v>0</v>
      </c>
      <c r="AJ1763">
        <f>[1]资金台帐!AJ1763</f>
        <v>0</v>
      </c>
      <c r="AK1763">
        <f>[1]资金台帐!AK1763</f>
        <v>0</v>
      </c>
      <c r="BA1763" s="22">
        <f t="shared" si="0"/>
      </c>
      <c r="BG1763" s="22">
        <f t="shared" si="1"/>
      </c>
      <c r="BH1763" s="22">
        <f t="shared" si="2"/>
        <v>0</v>
      </c>
    </row>
    <row r="1764">
      <c r="B1764">
        <f>[1]资金台帐!B1764&amp;""</f>
      </c>
      <c r="H1764">
        <f>[1]资金台帐!H1764&amp;""</f>
      </c>
      <c r="J1764">
        <f>[1]资金台帐!J1764&amp;""</f>
      </c>
      <c r="N1764">
        <f>[1]资金台帐!N1764</f>
      </c>
      <c r="O1764">
        <f>[1]资金台帐!O1764&amp;""</f>
      </c>
      <c r="P1764">
        <f>[1]资金台帐!P1764&amp;""</f>
      </c>
      <c r="Q1764">
        <f>[1]资金台帐!Q1764&amp;""</f>
      </c>
      <c r="T1764">
        <f>[1]资金台帐!T1764&amp;""</f>
      </c>
      <c r="U1764">
        <f>[1]资金台帐!U1764&amp;""</f>
      </c>
      <c r="W1764">
        <f>[1]资金台帐!W1764&amp;""</f>
      </c>
      <c r="X1764">
        <f>[1]资金台帐!X1764&amp;""</f>
      </c>
      <c r="AB1764">
        <f>[1]资金台帐!AB1764</f>
        <v>0</v>
      </c>
      <c r="AC1764">
        <f>[1]资金台帐!AC1764</f>
        <v>0</v>
      </c>
      <c r="AD1764">
        <f>[1]资金台帐!AD1764</f>
        <v>0</v>
      </c>
      <c r="AJ1764">
        <f>[1]资金台帐!AJ1764</f>
        <v>0</v>
      </c>
      <c r="AK1764">
        <f>[1]资金台帐!AK1764</f>
        <v>0</v>
      </c>
      <c r="BA1764" s="22">
        <f t="shared" si="0"/>
      </c>
      <c r="BG1764" s="22">
        <f t="shared" si="1"/>
      </c>
      <c r="BH1764" s="22">
        <f t="shared" si="2"/>
        <v>0</v>
      </c>
    </row>
    <row r="1765">
      <c r="B1765">
        <f>[1]资金台帐!B1765&amp;""</f>
      </c>
      <c r="H1765">
        <f>[1]资金台帐!H1765&amp;""</f>
      </c>
      <c r="J1765">
        <f>[1]资金台帐!J1765&amp;""</f>
      </c>
      <c r="N1765">
        <f>[1]资金台帐!N1765</f>
      </c>
      <c r="O1765">
        <f>[1]资金台帐!O1765&amp;""</f>
      </c>
      <c r="P1765">
        <f>[1]资金台帐!P1765&amp;""</f>
      </c>
      <c r="Q1765">
        <f>[1]资金台帐!Q1765&amp;""</f>
      </c>
      <c r="T1765">
        <f>[1]资金台帐!T1765&amp;""</f>
      </c>
      <c r="U1765">
        <f>[1]资金台帐!U1765&amp;""</f>
      </c>
      <c r="W1765">
        <f>[1]资金台帐!W1765&amp;""</f>
      </c>
      <c r="X1765">
        <f>[1]资金台帐!X1765&amp;""</f>
      </c>
      <c r="AB1765">
        <f>[1]资金台帐!AB1765</f>
        <v>0</v>
      </c>
      <c r="AC1765">
        <f>[1]资金台帐!AC1765</f>
        <v>0</v>
      </c>
      <c r="AD1765">
        <f>[1]资金台帐!AD1765</f>
        <v>0</v>
      </c>
      <c r="AJ1765">
        <f>[1]资金台帐!AJ1765</f>
        <v>0</v>
      </c>
      <c r="AK1765">
        <f>[1]资金台帐!AK1765</f>
        <v>0</v>
      </c>
      <c r="BA1765" s="22">
        <f t="shared" si="0"/>
      </c>
      <c r="BG1765" s="22">
        <f t="shared" si="1"/>
      </c>
      <c r="BH1765" s="22">
        <f t="shared" si="2"/>
        <v>0</v>
      </c>
    </row>
    <row r="1766">
      <c r="B1766">
        <f>[1]资金台帐!B1766&amp;""</f>
      </c>
      <c r="H1766">
        <f>[1]资金台帐!H1766&amp;""</f>
      </c>
      <c r="J1766">
        <f>[1]资金台帐!J1766&amp;""</f>
      </c>
      <c r="N1766">
        <f>[1]资金台帐!N1766</f>
      </c>
      <c r="O1766">
        <f>[1]资金台帐!O1766&amp;""</f>
      </c>
      <c r="P1766">
        <f>[1]资金台帐!P1766&amp;""</f>
      </c>
      <c r="Q1766">
        <f>[1]资金台帐!Q1766&amp;""</f>
      </c>
      <c r="T1766">
        <f>[1]资金台帐!T1766&amp;""</f>
      </c>
      <c r="U1766">
        <f>[1]资金台帐!U1766&amp;""</f>
      </c>
      <c r="W1766">
        <f>[1]资金台帐!W1766&amp;""</f>
      </c>
      <c r="X1766">
        <f>[1]资金台帐!X1766&amp;""</f>
      </c>
      <c r="AB1766">
        <f>[1]资金台帐!AB1766</f>
        <v>0</v>
      </c>
      <c r="AC1766">
        <f>[1]资金台帐!AC1766</f>
        <v>0</v>
      </c>
      <c r="AD1766">
        <f>[1]资金台帐!AD1766</f>
        <v>0</v>
      </c>
      <c r="AJ1766">
        <f>[1]资金台帐!AJ1766</f>
        <v>0</v>
      </c>
      <c r="AK1766">
        <f>[1]资金台帐!AK1766</f>
        <v>0</v>
      </c>
      <c r="BA1766" s="22">
        <f t="shared" si="0"/>
      </c>
      <c r="BG1766" s="22">
        <f t="shared" si="1"/>
      </c>
      <c r="BH1766" s="22">
        <f t="shared" si="2"/>
        <v>0</v>
      </c>
    </row>
    <row r="1767">
      <c r="B1767">
        <f>[1]资金台帐!B1767&amp;""</f>
      </c>
      <c r="H1767">
        <f>[1]资金台帐!H1767&amp;""</f>
      </c>
      <c r="J1767">
        <f>[1]资金台帐!J1767&amp;""</f>
      </c>
      <c r="N1767">
        <f>[1]资金台帐!N1767</f>
      </c>
      <c r="O1767">
        <f>[1]资金台帐!O1767&amp;""</f>
      </c>
      <c r="P1767">
        <f>[1]资金台帐!P1767&amp;""</f>
      </c>
      <c r="Q1767">
        <f>[1]资金台帐!Q1767&amp;""</f>
      </c>
      <c r="T1767">
        <f>[1]资金台帐!T1767&amp;""</f>
      </c>
      <c r="U1767">
        <f>[1]资金台帐!U1767&amp;""</f>
      </c>
      <c r="W1767">
        <f>[1]资金台帐!W1767&amp;""</f>
      </c>
      <c r="X1767">
        <f>[1]资金台帐!X1767&amp;""</f>
      </c>
      <c r="AB1767">
        <f>[1]资金台帐!AB1767</f>
        <v>0</v>
      </c>
      <c r="AC1767">
        <f>[1]资金台帐!AC1767</f>
        <v>0</v>
      </c>
      <c r="AD1767">
        <f>[1]资金台帐!AD1767</f>
        <v>0</v>
      </c>
      <c r="AJ1767">
        <f>[1]资金台帐!AJ1767</f>
        <v>0</v>
      </c>
      <c r="AK1767">
        <f>[1]资金台帐!AK1767</f>
        <v>0</v>
      </c>
      <c r="BA1767" s="22">
        <f t="shared" si="0"/>
      </c>
      <c r="BG1767" s="22">
        <f t="shared" si="1"/>
      </c>
      <c r="BH1767" s="22">
        <f t="shared" si="2"/>
        <v>0</v>
      </c>
    </row>
    <row r="1768">
      <c r="B1768">
        <f>[1]资金台帐!B1768&amp;""</f>
      </c>
      <c r="H1768">
        <f>[1]资金台帐!H1768&amp;""</f>
      </c>
      <c r="J1768">
        <f>[1]资金台帐!J1768&amp;""</f>
      </c>
      <c r="N1768">
        <f>[1]资金台帐!N1768</f>
      </c>
      <c r="O1768">
        <f>[1]资金台帐!O1768&amp;""</f>
      </c>
      <c r="P1768">
        <f>[1]资金台帐!P1768&amp;""</f>
      </c>
      <c r="Q1768">
        <f>[1]资金台帐!Q1768&amp;""</f>
      </c>
      <c r="T1768">
        <f>[1]资金台帐!T1768&amp;""</f>
      </c>
      <c r="U1768">
        <f>[1]资金台帐!U1768&amp;""</f>
      </c>
      <c r="W1768">
        <f>[1]资金台帐!W1768&amp;""</f>
      </c>
      <c r="X1768">
        <f>[1]资金台帐!X1768&amp;""</f>
      </c>
      <c r="AB1768">
        <f>[1]资金台帐!AB1768</f>
        <v>0</v>
      </c>
      <c r="AC1768">
        <f>[1]资金台帐!AC1768</f>
        <v>0</v>
      </c>
      <c r="AD1768">
        <f>[1]资金台帐!AD1768</f>
        <v>0</v>
      </c>
      <c r="AJ1768">
        <f>[1]资金台帐!AJ1768</f>
        <v>0</v>
      </c>
      <c r="AK1768">
        <f>[1]资金台帐!AK1768</f>
        <v>0</v>
      </c>
      <c r="BA1768" s="22">
        <f t="shared" si="0"/>
      </c>
      <c r="BG1768" s="22">
        <f t="shared" si="1"/>
      </c>
      <c r="BH1768" s="22">
        <f t="shared" si="2"/>
        <v>0</v>
      </c>
    </row>
    <row r="1769">
      <c r="B1769">
        <f>[1]资金台帐!B1769&amp;""</f>
      </c>
      <c r="H1769">
        <f>[1]资金台帐!H1769&amp;""</f>
      </c>
      <c r="J1769">
        <f>[1]资金台帐!J1769&amp;""</f>
      </c>
      <c r="N1769">
        <f>[1]资金台帐!N1769</f>
      </c>
      <c r="O1769">
        <f>[1]资金台帐!O1769&amp;""</f>
      </c>
      <c r="P1769">
        <f>[1]资金台帐!P1769&amp;""</f>
      </c>
      <c r="Q1769">
        <f>[1]资金台帐!Q1769&amp;""</f>
      </c>
      <c r="T1769">
        <f>[1]资金台帐!T1769&amp;""</f>
      </c>
      <c r="U1769">
        <f>[1]资金台帐!U1769&amp;""</f>
      </c>
      <c r="W1769">
        <f>[1]资金台帐!W1769&amp;""</f>
      </c>
      <c r="X1769">
        <f>[1]资金台帐!X1769&amp;""</f>
      </c>
      <c r="AB1769">
        <f>[1]资金台帐!AB1769</f>
        <v>0</v>
      </c>
      <c r="AC1769">
        <f>[1]资金台帐!AC1769</f>
        <v>0</v>
      </c>
      <c r="AD1769">
        <f>[1]资金台帐!AD1769</f>
        <v>0</v>
      </c>
      <c r="AJ1769">
        <f>[1]资金台帐!AJ1769</f>
        <v>0</v>
      </c>
      <c r="AK1769">
        <f>[1]资金台帐!AK1769</f>
        <v>0</v>
      </c>
      <c r="BA1769" s="22">
        <f t="shared" si="0"/>
      </c>
      <c r="BG1769" s="22">
        <f t="shared" si="1"/>
      </c>
      <c r="BH1769" s="22">
        <f t="shared" si="2"/>
        <v>0</v>
      </c>
    </row>
    <row r="1770">
      <c r="B1770">
        <f>[1]资金台帐!B1770&amp;""</f>
      </c>
      <c r="H1770">
        <f>[1]资金台帐!H1770&amp;""</f>
      </c>
      <c r="J1770">
        <f>[1]资金台帐!J1770&amp;""</f>
      </c>
      <c r="N1770">
        <f>[1]资金台帐!N1770</f>
      </c>
      <c r="O1770">
        <f>[1]资金台帐!O1770&amp;""</f>
      </c>
      <c r="P1770">
        <f>[1]资金台帐!P1770&amp;""</f>
      </c>
      <c r="Q1770">
        <f>[1]资金台帐!Q1770&amp;""</f>
      </c>
      <c r="T1770">
        <f>[1]资金台帐!T1770&amp;""</f>
      </c>
      <c r="U1770">
        <f>[1]资金台帐!U1770&amp;""</f>
      </c>
      <c r="W1770">
        <f>[1]资金台帐!W1770&amp;""</f>
      </c>
      <c r="X1770">
        <f>[1]资金台帐!X1770&amp;""</f>
      </c>
      <c r="AB1770">
        <f>[1]资金台帐!AB1770</f>
        <v>0</v>
      </c>
      <c r="AC1770">
        <f>[1]资金台帐!AC1770</f>
        <v>0</v>
      </c>
      <c r="AD1770">
        <f>[1]资金台帐!AD1770</f>
        <v>0</v>
      </c>
      <c r="AJ1770">
        <f>[1]资金台帐!AJ1770</f>
        <v>0</v>
      </c>
      <c r="AK1770">
        <f>[1]资金台帐!AK1770</f>
        <v>0</v>
      </c>
      <c r="BA1770" s="22">
        <f t="shared" si="0"/>
      </c>
      <c r="BG1770" s="22">
        <f t="shared" si="1"/>
      </c>
      <c r="BH1770" s="22">
        <f t="shared" si="2"/>
        <v>0</v>
      </c>
    </row>
    <row r="1771">
      <c r="B1771">
        <f>[1]资金台帐!B1771&amp;""</f>
      </c>
      <c r="H1771">
        <f>[1]资金台帐!H1771&amp;""</f>
      </c>
      <c r="J1771">
        <f>[1]资金台帐!J1771&amp;""</f>
      </c>
      <c r="N1771">
        <f>[1]资金台帐!N1771</f>
      </c>
      <c r="O1771">
        <f>[1]资金台帐!O1771&amp;""</f>
      </c>
      <c r="P1771">
        <f>[1]资金台帐!P1771&amp;""</f>
      </c>
      <c r="Q1771">
        <f>[1]资金台帐!Q1771&amp;""</f>
      </c>
      <c r="T1771">
        <f>[1]资金台帐!T1771&amp;""</f>
      </c>
      <c r="U1771">
        <f>[1]资金台帐!U1771&amp;""</f>
      </c>
      <c r="W1771">
        <f>[1]资金台帐!W1771&amp;""</f>
      </c>
      <c r="X1771">
        <f>[1]资金台帐!X1771&amp;""</f>
      </c>
      <c r="AB1771">
        <f>[1]资金台帐!AB1771</f>
        <v>0</v>
      </c>
      <c r="AC1771">
        <f>[1]资金台帐!AC1771</f>
        <v>0</v>
      </c>
      <c r="AD1771">
        <f>[1]资金台帐!AD1771</f>
        <v>0</v>
      </c>
      <c r="AJ1771">
        <f>[1]资金台帐!AJ1771</f>
        <v>0</v>
      </c>
      <c r="AK1771">
        <f>[1]资金台帐!AK1771</f>
        <v>0</v>
      </c>
      <c r="BA1771" s="22">
        <f t="shared" si="0"/>
      </c>
      <c r="BG1771" s="22">
        <f t="shared" si="1"/>
      </c>
      <c r="BH1771" s="22">
        <f t="shared" si="2"/>
        <v>0</v>
      </c>
    </row>
    <row r="1772">
      <c r="B1772">
        <f>[1]资金台帐!B1772&amp;""</f>
      </c>
      <c r="H1772">
        <f>[1]资金台帐!H1772&amp;""</f>
      </c>
      <c r="J1772">
        <f>[1]资金台帐!J1772&amp;""</f>
      </c>
      <c r="N1772">
        <f>[1]资金台帐!N1772</f>
      </c>
      <c r="O1772">
        <f>[1]资金台帐!O1772&amp;""</f>
      </c>
      <c r="P1772">
        <f>[1]资金台帐!P1772&amp;""</f>
      </c>
      <c r="Q1772">
        <f>[1]资金台帐!Q1772&amp;""</f>
      </c>
      <c r="T1772">
        <f>[1]资金台帐!T1772&amp;""</f>
      </c>
      <c r="U1772">
        <f>[1]资金台帐!U1772&amp;""</f>
      </c>
      <c r="W1772">
        <f>[1]资金台帐!W1772&amp;""</f>
      </c>
      <c r="X1772">
        <f>[1]资金台帐!X1772&amp;""</f>
      </c>
      <c r="AB1772">
        <f>[1]资金台帐!AB1772</f>
        <v>0</v>
      </c>
      <c r="AC1772">
        <f>[1]资金台帐!AC1772</f>
        <v>0</v>
      </c>
      <c r="AD1772">
        <f>[1]资金台帐!AD1772</f>
        <v>0</v>
      </c>
      <c r="AJ1772">
        <f>[1]资金台帐!AJ1772</f>
        <v>0</v>
      </c>
      <c r="AK1772">
        <f>[1]资金台帐!AK1772</f>
        <v>0</v>
      </c>
      <c r="BA1772" s="22">
        <f t="shared" si="0"/>
      </c>
      <c r="BG1772" s="22">
        <f t="shared" si="1"/>
      </c>
      <c r="BH1772" s="22">
        <f t="shared" si="2"/>
        <v>0</v>
      </c>
    </row>
    <row r="1773">
      <c r="B1773">
        <f>[1]资金台帐!B1773&amp;""</f>
      </c>
      <c r="H1773">
        <f>[1]资金台帐!H1773&amp;""</f>
      </c>
      <c r="J1773">
        <f>[1]资金台帐!J1773&amp;""</f>
      </c>
      <c r="N1773">
        <f>[1]资金台帐!N1773</f>
      </c>
      <c r="O1773">
        <f>[1]资金台帐!O1773&amp;""</f>
      </c>
      <c r="P1773">
        <f>[1]资金台帐!P1773&amp;""</f>
      </c>
      <c r="Q1773">
        <f>[1]资金台帐!Q1773&amp;""</f>
      </c>
      <c r="T1773">
        <f>[1]资金台帐!T1773&amp;""</f>
      </c>
      <c r="U1773">
        <f>[1]资金台帐!U1773&amp;""</f>
      </c>
      <c r="W1773">
        <f>[1]资金台帐!W1773&amp;""</f>
      </c>
      <c r="X1773">
        <f>[1]资金台帐!X1773&amp;""</f>
      </c>
      <c r="AB1773">
        <f>[1]资金台帐!AB1773</f>
        <v>0</v>
      </c>
      <c r="AC1773">
        <f>[1]资金台帐!AC1773</f>
        <v>0</v>
      </c>
      <c r="AD1773">
        <f>[1]资金台帐!AD1773</f>
        <v>0</v>
      </c>
      <c r="AJ1773">
        <f>[1]资金台帐!AJ1773</f>
        <v>0</v>
      </c>
      <c r="AK1773">
        <f>[1]资金台帐!AK1773</f>
        <v>0</v>
      </c>
      <c r="BA1773" s="22">
        <f t="shared" si="0"/>
      </c>
      <c r="BG1773" s="22">
        <f t="shared" si="1"/>
      </c>
      <c r="BH1773" s="22">
        <f t="shared" si="2"/>
        <v>0</v>
      </c>
    </row>
    <row r="1774">
      <c r="B1774">
        <f>[1]资金台帐!B1774&amp;""</f>
      </c>
      <c r="H1774">
        <f>[1]资金台帐!H1774&amp;""</f>
      </c>
      <c r="J1774">
        <f>[1]资金台帐!J1774&amp;""</f>
      </c>
      <c r="N1774">
        <f>[1]资金台帐!N1774</f>
      </c>
      <c r="O1774">
        <f>[1]资金台帐!O1774&amp;""</f>
      </c>
      <c r="P1774">
        <f>[1]资金台帐!P1774&amp;""</f>
      </c>
      <c r="Q1774">
        <f>[1]资金台帐!Q1774&amp;""</f>
      </c>
      <c r="T1774">
        <f>[1]资金台帐!T1774&amp;""</f>
      </c>
      <c r="U1774">
        <f>[1]资金台帐!U1774&amp;""</f>
      </c>
      <c r="W1774">
        <f>[1]资金台帐!W1774&amp;""</f>
      </c>
      <c r="X1774">
        <f>[1]资金台帐!X1774&amp;""</f>
      </c>
      <c r="AB1774">
        <f>[1]资金台帐!AB1774</f>
        <v>0</v>
      </c>
      <c r="AC1774">
        <f>[1]资金台帐!AC1774</f>
        <v>0</v>
      </c>
      <c r="AD1774">
        <f>[1]资金台帐!AD1774</f>
        <v>0</v>
      </c>
      <c r="AJ1774">
        <f>[1]资金台帐!AJ1774</f>
        <v>0</v>
      </c>
      <c r="AK1774">
        <f>[1]资金台帐!AK1774</f>
        <v>0</v>
      </c>
      <c r="BA1774" s="22">
        <f t="shared" si="0"/>
      </c>
      <c r="BG1774" s="22">
        <f t="shared" si="1"/>
      </c>
      <c r="BH1774" s="22">
        <f t="shared" si="2"/>
        <v>0</v>
      </c>
    </row>
    <row r="1775">
      <c r="B1775">
        <f>[1]资金台帐!B1775&amp;""</f>
      </c>
      <c r="H1775">
        <f>[1]资金台帐!H1775&amp;""</f>
      </c>
      <c r="J1775">
        <f>[1]资金台帐!J1775&amp;""</f>
      </c>
      <c r="N1775">
        <f>[1]资金台帐!N1775</f>
      </c>
      <c r="O1775">
        <f>[1]资金台帐!O1775&amp;""</f>
      </c>
      <c r="P1775">
        <f>[1]资金台帐!P1775&amp;""</f>
      </c>
      <c r="Q1775">
        <f>[1]资金台帐!Q1775&amp;""</f>
      </c>
      <c r="T1775">
        <f>[1]资金台帐!T1775&amp;""</f>
      </c>
      <c r="U1775">
        <f>[1]资金台帐!U1775&amp;""</f>
      </c>
      <c r="W1775">
        <f>[1]资金台帐!W1775&amp;""</f>
      </c>
      <c r="X1775">
        <f>[1]资金台帐!X1775&amp;""</f>
      </c>
      <c r="AB1775">
        <f>[1]资金台帐!AB1775</f>
        <v>0</v>
      </c>
      <c r="AC1775">
        <f>[1]资金台帐!AC1775</f>
        <v>0</v>
      </c>
      <c r="AD1775">
        <f>[1]资金台帐!AD1775</f>
        <v>0</v>
      </c>
      <c r="AJ1775">
        <f>[1]资金台帐!AJ1775</f>
        <v>0</v>
      </c>
      <c r="AK1775">
        <f>[1]资金台帐!AK1775</f>
        <v>0</v>
      </c>
      <c r="BA1775" s="22">
        <f t="shared" si="0"/>
      </c>
      <c r="BG1775" s="22">
        <f t="shared" si="1"/>
      </c>
      <c r="BH1775" s="22">
        <f t="shared" si="2"/>
        <v>0</v>
      </c>
    </row>
    <row r="1776">
      <c r="B1776">
        <f>[1]资金台帐!B1776&amp;""</f>
      </c>
      <c r="H1776">
        <f>[1]资金台帐!H1776&amp;""</f>
      </c>
      <c r="J1776">
        <f>[1]资金台帐!J1776&amp;""</f>
      </c>
      <c r="N1776">
        <f>[1]资金台帐!N1776</f>
      </c>
      <c r="O1776">
        <f>[1]资金台帐!O1776&amp;""</f>
      </c>
      <c r="P1776">
        <f>[1]资金台帐!P1776&amp;""</f>
      </c>
      <c r="Q1776">
        <f>[1]资金台帐!Q1776&amp;""</f>
      </c>
      <c r="T1776">
        <f>[1]资金台帐!T1776&amp;""</f>
      </c>
      <c r="U1776">
        <f>[1]资金台帐!U1776&amp;""</f>
      </c>
      <c r="W1776">
        <f>[1]资金台帐!W1776&amp;""</f>
      </c>
      <c r="X1776">
        <f>[1]资金台帐!X1776&amp;""</f>
      </c>
      <c r="AB1776">
        <f>[1]资金台帐!AB1776</f>
        <v>0</v>
      </c>
      <c r="AC1776">
        <f>[1]资金台帐!AC1776</f>
        <v>0</v>
      </c>
      <c r="AD1776">
        <f>[1]资金台帐!AD1776</f>
        <v>0</v>
      </c>
      <c r="AJ1776">
        <f>[1]资金台帐!AJ1776</f>
        <v>0</v>
      </c>
      <c r="AK1776">
        <f>[1]资金台帐!AK1776</f>
        <v>0</v>
      </c>
      <c r="BA1776" s="22">
        <f t="shared" si="0"/>
      </c>
      <c r="BG1776" s="22">
        <f t="shared" si="1"/>
      </c>
      <c r="BH1776" s="22">
        <f t="shared" si="2"/>
        <v>0</v>
      </c>
    </row>
    <row r="1777">
      <c r="B1777">
        <f>[1]资金台帐!B1777&amp;""</f>
      </c>
      <c r="H1777">
        <f>[1]资金台帐!H1777&amp;""</f>
      </c>
      <c r="J1777">
        <f>[1]资金台帐!J1777&amp;""</f>
      </c>
      <c r="N1777">
        <f>[1]资金台帐!N1777</f>
      </c>
      <c r="O1777">
        <f>[1]资金台帐!O1777&amp;""</f>
      </c>
      <c r="P1777">
        <f>[1]资金台帐!P1777&amp;""</f>
      </c>
      <c r="Q1777">
        <f>[1]资金台帐!Q1777&amp;""</f>
      </c>
      <c r="T1777">
        <f>[1]资金台帐!T1777&amp;""</f>
      </c>
      <c r="U1777">
        <f>[1]资金台帐!U1777&amp;""</f>
      </c>
      <c r="W1777">
        <f>[1]资金台帐!W1777&amp;""</f>
      </c>
      <c r="X1777">
        <f>[1]资金台帐!X1777&amp;""</f>
      </c>
      <c r="AB1777">
        <f>[1]资金台帐!AB1777</f>
        <v>0</v>
      </c>
      <c r="AC1777">
        <f>[1]资金台帐!AC1777</f>
        <v>0</v>
      </c>
      <c r="AD1777">
        <f>[1]资金台帐!AD1777</f>
        <v>0</v>
      </c>
      <c r="AJ1777">
        <f>[1]资金台帐!AJ1777</f>
        <v>0</v>
      </c>
      <c r="AK1777">
        <f>[1]资金台帐!AK1777</f>
        <v>0</v>
      </c>
      <c r="BA1777" s="22">
        <f t="shared" si="0"/>
      </c>
      <c r="BG1777" s="22">
        <f t="shared" si="1"/>
      </c>
      <c r="BH1777" s="22">
        <f t="shared" si="2"/>
        <v>0</v>
      </c>
    </row>
    <row r="1778">
      <c r="B1778">
        <f>[1]资金台帐!B1778&amp;""</f>
      </c>
      <c r="H1778">
        <f>[1]资金台帐!H1778&amp;""</f>
      </c>
      <c r="J1778">
        <f>[1]资金台帐!J1778&amp;""</f>
      </c>
      <c r="N1778">
        <f>[1]资金台帐!N1778</f>
      </c>
      <c r="O1778">
        <f>[1]资金台帐!O1778&amp;""</f>
      </c>
      <c r="P1778">
        <f>[1]资金台帐!P1778&amp;""</f>
      </c>
      <c r="Q1778">
        <f>[1]资金台帐!Q1778&amp;""</f>
      </c>
      <c r="T1778">
        <f>[1]资金台帐!T1778&amp;""</f>
      </c>
      <c r="U1778">
        <f>[1]资金台帐!U1778&amp;""</f>
      </c>
      <c r="W1778">
        <f>[1]资金台帐!W1778&amp;""</f>
      </c>
      <c r="X1778">
        <f>[1]资金台帐!X1778&amp;""</f>
      </c>
      <c r="AB1778">
        <f>[1]资金台帐!AB1778</f>
        <v>0</v>
      </c>
      <c r="AC1778">
        <f>[1]资金台帐!AC1778</f>
        <v>0</v>
      </c>
      <c r="AD1778">
        <f>[1]资金台帐!AD1778</f>
        <v>0</v>
      </c>
      <c r="AJ1778">
        <f>[1]资金台帐!AJ1778</f>
        <v>0</v>
      </c>
      <c r="AK1778">
        <f>[1]资金台帐!AK1778</f>
        <v>0</v>
      </c>
      <c r="BA1778" s="22">
        <f t="shared" si="0"/>
      </c>
      <c r="BG1778" s="22">
        <f t="shared" si="1"/>
      </c>
      <c r="BH1778" s="22">
        <f t="shared" si="2"/>
        <v>0</v>
      </c>
    </row>
    <row r="1779">
      <c r="B1779">
        <f>[1]资金台帐!B1779&amp;""</f>
      </c>
      <c r="H1779">
        <f>[1]资金台帐!H1779&amp;""</f>
      </c>
      <c r="J1779">
        <f>[1]资金台帐!J1779&amp;""</f>
      </c>
      <c r="N1779">
        <f>[1]资金台帐!N1779</f>
      </c>
      <c r="O1779">
        <f>[1]资金台帐!O1779&amp;""</f>
      </c>
      <c r="P1779">
        <f>[1]资金台帐!P1779&amp;""</f>
      </c>
      <c r="Q1779">
        <f>[1]资金台帐!Q1779&amp;""</f>
      </c>
      <c r="T1779">
        <f>[1]资金台帐!T1779&amp;""</f>
      </c>
      <c r="U1779">
        <f>[1]资金台帐!U1779&amp;""</f>
      </c>
      <c r="W1779">
        <f>[1]资金台帐!W1779&amp;""</f>
      </c>
      <c r="X1779">
        <f>[1]资金台帐!X1779&amp;""</f>
      </c>
      <c r="AB1779">
        <f>[1]资金台帐!AB1779</f>
        <v>0</v>
      </c>
      <c r="AC1779">
        <f>[1]资金台帐!AC1779</f>
        <v>0</v>
      </c>
      <c r="AD1779">
        <f>[1]资金台帐!AD1779</f>
        <v>0</v>
      </c>
      <c r="AJ1779">
        <f>[1]资金台帐!AJ1779</f>
        <v>0</v>
      </c>
      <c r="AK1779">
        <f>[1]资金台帐!AK1779</f>
        <v>0</v>
      </c>
      <c r="BA1779" s="22">
        <f t="shared" si="0"/>
      </c>
      <c r="BG1779" s="22">
        <f t="shared" si="1"/>
      </c>
      <c r="BH1779" s="22">
        <f t="shared" si="2"/>
        <v>0</v>
      </c>
    </row>
    <row r="1780">
      <c r="B1780">
        <f>[1]资金台帐!B1780&amp;""</f>
      </c>
      <c r="H1780">
        <f>[1]资金台帐!H1780&amp;""</f>
      </c>
      <c r="J1780">
        <f>[1]资金台帐!J1780&amp;""</f>
      </c>
      <c r="N1780">
        <f>[1]资金台帐!N1780</f>
      </c>
      <c r="O1780">
        <f>[1]资金台帐!O1780&amp;""</f>
      </c>
      <c r="P1780">
        <f>[1]资金台帐!P1780&amp;""</f>
      </c>
      <c r="Q1780">
        <f>[1]资金台帐!Q1780&amp;""</f>
      </c>
      <c r="T1780">
        <f>[1]资金台帐!T1780&amp;""</f>
      </c>
      <c r="U1780">
        <f>[1]资金台帐!U1780&amp;""</f>
      </c>
      <c r="W1780">
        <f>[1]资金台帐!W1780&amp;""</f>
      </c>
      <c r="X1780">
        <f>[1]资金台帐!X1780&amp;""</f>
      </c>
      <c r="AB1780">
        <f>[1]资金台帐!AB1780</f>
        <v>0</v>
      </c>
      <c r="AC1780">
        <f>[1]资金台帐!AC1780</f>
        <v>0</v>
      </c>
      <c r="AD1780">
        <f>[1]资金台帐!AD1780</f>
        <v>0</v>
      </c>
      <c r="AJ1780">
        <f>[1]资金台帐!AJ1780</f>
        <v>0</v>
      </c>
      <c r="AK1780">
        <f>[1]资金台帐!AK1780</f>
        <v>0</v>
      </c>
      <c r="BA1780" s="22">
        <f t="shared" si="0"/>
      </c>
      <c r="BG1780" s="22">
        <f t="shared" si="1"/>
      </c>
      <c r="BH1780" s="22">
        <f t="shared" si="2"/>
        <v>0</v>
      </c>
    </row>
    <row r="1781">
      <c r="B1781">
        <f>[1]资金台帐!B1781&amp;""</f>
      </c>
      <c r="H1781">
        <f>[1]资金台帐!H1781&amp;""</f>
      </c>
      <c r="J1781">
        <f>[1]资金台帐!J1781&amp;""</f>
      </c>
      <c r="N1781">
        <f>[1]资金台帐!N1781</f>
      </c>
      <c r="O1781">
        <f>[1]资金台帐!O1781&amp;""</f>
      </c>
      <c r="P1781">
        <f>[1]资金台帐!P1781&amp;""</f>
      </c>
      <c r="Q1781">
        <f>[1]资金台帐!Q1781&amp;""</f>
      </c>
      <c r="T1781">
        <f>[1]资金台帐!T1781&amp;""</f>
      </c>
      <c r="U1781">
        <f>[1]资金台帐!U1781&amp;""</f>
      </c>
      <c r="W1781">
        <f>[1]资金台帐!W1781&amp;""</f>
      </c>
      <c r="X1781">
        <f>[1]资金台帐!X1781&amp;""</f>
      </c>
      <c r="AB1781">
        <f>[1]资金台帐!AB1781</f>
        <v>0</v>
      </c>
      <c r="AC1781">
        <f>[1]资金台帐!AC1781</f>
        <v>0</v>
      </c>
      <c r="AD1781">
        <f>[1]资金台帐!AD1781</f>
        <v>0</v>
      </c>
      <c r="AJ1781">
        <f>[1]资金台帐!AJ1781</f>
        <v>0</v>
      </c>
      <c r="AK1781">
        <f>[1]资金台帐!AK1781</f>
        <v>0</v>
      </c>
      <c r="BA1781" s="22">
        <f t="shared" si="0"/>
      </c>
      <c r="BG1781" s="22">
        <f t="shared" si="1"/>
      </c>
      <c r="BH1781" s="22">
        <f t="shared" si="2"/>
        <v>0</v>
      </c>
    </row>
    <row r="1782">
      <c r="B1782">
        <f>[1]资金台帐!B1782&amp;""</f>
      </c>
      <c r="H1782">
        <f>[1]资金台帐!H1782&amp;""</f>
      </c>
      <c r="J1782">
        <f>[1]资金台帐!J1782&amp;""</f>
      </c>
      <c r="N1782">
        <f>[1]资金台帐!N1782</f>
      </c>
      <c r="O1782">
        <f>[1]资金台帐!O1782&amp;""</f>
      </c>
      <c r="P1782">
        <f>[1]资金台帐!P1782&amp;""</f>
      </c>
      <c r="Q1782">
        <f>[1]资金台帐!Q1782&amp;""</f>
      </c>
      <c r="T1782">
        <f>[1]资金台帐!T1782&amp;""</f>
      </c>
      <c r="U1782">
        <f>[1]资金台帐!U1782&amp;""</f>
      </c>
      <c r="W1782">
        <f>[1]资金台帐!W1782&amp;""</f>
      </c>
      <c r="X1782">
        <f>[1]资金台帐!X1782&amp;""</f>
      </c>
      <c r="AB1782">
        <f>[1]资金台帐!AB1782</f>
        <v>0</v>
      </c>
      <c r="AC1782">
        <f>[1]资金台帐!AC1782</f>
        <v>0</v>
      </c>
      <c r="AD1782">
        <f>[1]资金台帐!AD1782</f>
        <v>0</v>
      </c>
      <c r="AJ1782">
        <f>[1]资金台帐!AJ1782</f>
        <v>0</v>
      </c>
      <c r="AK1782">
        <f>[1]资金台帐!AK1782</f>
        <v>0</v>
      </c>
      <c r="BA1782" s="22">
        <f t="shared" si="0"/>
      </c>
      <c r="BG1782" s="22">
        <f t="shared" si="1"/>
      </c>
      <c r="BH1782" s="22">
        <f t="shared" si="2"/>
        <v>0</v>
      </c>
    </row>
    <row r="1783">
      <c r="B1783">
        <f>[1]资金台帐!B1783&amp;""</f>
      </c>
      <c r="H1783">
        <f>[1]资金台帐!H1783&amp;""</f>
      </c>
      <c r="J1783">
        <f>[1]资金台帐!J1783&amp;""</f>
      </c>
      <c r="N1783">
        <f>[1]资金台帐!N1783</f>
      </c>
      <c r="O1783">
        <f>[1]资金台帐!O1783&amp;""</f>
      </c>
      <c r="P1783">
        <f>[1]资金台帐!P1783&amp;""</f>
      </c>
      <c r="Q1783">
        <f>[1]资金台帐!Q1783&amp;""</f>
      </c>
      <c r="T1783">
        <f>[1]资金台帐!T1783&amp;""</f>
      </c>
      <c r="U1783">
        <f>[1]资金台帐!U1783&amp;""</f>
      </c>
      <c r="W1783">
        <f>[1]资金台帐!W1783&amp;""</f>
      </c>
      <c r="X1783">
        <f>[1]资金台帐!X1783&amp;""</f>
      </c>
      <c r="AB1783">
        <f>[1]资金台帐!AB1783</f>
        <v>0</v>
      </c>
      <c r="AC1783">
        <f>[1]资金台帐!AC1783</f>
        <v>0</v>
      </c>
      <c r="AD1783">
        <f>[1]资金台帐!AD1783</f>
        <v>0</v>
      </c>
      <c r="AJ1783">
        <f>[1]资金台帐!AJ1783</f>
        <v>0</v>
      </c>
      <c r="AK1783">
        <f>[1]资金台帐!AK1783</f>
        <v>0</v>
      </c>
      <c r="BA1783" s="22">
        <f t="shared" si="0"/>
      </c>
      <c r="BG1783" s="22">
        <f t="shared" si="1"/>
      </c>
      <c r="BH1783" s="22">
        <f t="shared" si="2"/>
        <v>0</v>
      </c>
    </row>
    <row r="1784">
      <c r="B1784">
        <f>[1]资金台帐!B1784&amp;""</f>
      </c>
      <c r="H1784">
        <f>[1]资金台帐!H1784&amp;""</f>
      </c>
      <c r="J1784">
        <f>[1]资金台帐!J1784&amp;""</f>
      </c>
      <c r="N1784">
        <f>[1]资金台帐!N1784</f>
      </c>
      <c r="O1784">
        <f>[1]资金台帐!O1784&amp;""</f>
      </c>
      <c r="P1784">
        <f>[1]资金台帐!P1784&amp;""</f>
      </c>
      <c r="Q1784">
        <f>[1]资金台帐!Q1784&amp;""</f>
      </c>
      <c r="T1784">
        <f>[1]资金台帐!T1784&amp;""</f>
      </c>
      <c r="U1784">
        <f>[1]资金台帐!U1784&amp;""</f>
      </c>
      <c r="W1784">
        <f>[1]资金台帐!W1784&amp;""</f>
      </c>
      <c r="X1784">
        <f>[1]资金台帐!X1784&amp;""</f>
      </c>
      <c r="AB1784">
        <f>[1]资金台帐!AB1784</f>
        <v>0</v>
      </c>
      <c r="AC1784">
        <f>[1]资金台帐!AC1784</f>
        <v>0</v>
      </c>
      <c r="AD1784">
        <f>[1]资金台帐!AD1784</f>
        <v>0</v>
      </c>
      <c r="AJ1784">
        <f>[1]资金台帐!AJ1784</f>
        <v>0</v>
      </c>
      <c r="AK1784">
        <f>[1]资金台帐!AK1784</f>
        <v>0</v>
      </c>
      <c r="BA1784" s="22">
        <f t="shared" si="0"/>
      </c>
      <c r="BG1784" s="22">
        <f t="shared" si="1"/>
      </c>
      <c r="BH1784" s="22">
        <f t="shared" si="2"/>
        <v>0</v>
      </c>
    </row>
    <row r="1785">
      <c r="B1785">
        <f>[1]资金台帐!B1785&amp;""</f>
      </c>
      <c r="H1785">
        <f>[1]资金台帐!H1785&amp;""</f>
      </c>
      <c r="J1785">
        <f>[1]资金台帐!J1785&amp;""</f>
      </c>
      <c r="N1785">
        <f>[1]资金台帐!N1785</f>
      </c>
      <c r="O1785">
        <f>[1]资金台帐!O1785&amp;""</f>
      </c>
      <c r="P1785">
        <f>[1]资金台帐!P1785&amp;""</f>
      </c>
      <c r="Q1785">
        <f>[1]资金台帐!Q1785&amp;""</f>
      </c>
      <c r="T1785">
        <f>[1]资金台帐!T1785&amp;""</f>
      </c>
      <c r="U1785">
        <f>[1]资金台帐!U1785&amp;""</f>
      </c>
      <c r="W1785">
        <f>[1]资金台帐!W1785&amp;""</f>
      </c>
      <c r="X1785">
        <f>[1]资金台帐!X1785&amp;""</f>
      </c>
      <c r="AB1785">
        <f>[1]资金台帐!AB1785</f>
        <v>0</v>
      </c>
      <c r="AC1785">
        <f>[1]资金台帐!AC1785</f>
        <v>0</v>
      </c>
      <c r="AD1785">
        <f>[1]资金台帐!AD1785</f>
        <v>0</v>
      </c>
      <c r="AJ1785">
        <f>[1]资金台帐!AJ1785</f>
        <v>0</v>
      </c>
      <c r="AK1785">
        <f>[1]资金台帐!AK1785</f>
        <v>0</v>
      </c>
      <c r="BA1785" s="22">
        <f t="shared" si="0"/>
      </c>
      <c r="BG1785" s="22">
        <f t="shared" si="1"/>
      </c>
      <c r="BH1785" s="22">
        <f t="shared" si="2"/>
        <v>0</v>
      </c>
    </row>
    <row r="1786">
      <c r="B1786">
        <f>[1]资金台帐!B1786&amp;""</f>
      </c>
      <c r="H1786">
        <f>[1]资金台帐!H1786&amp;""</f>
      </c>
      <c r="J1786">
        <f>[1]资金台帐!J1786&amp;""</f>
      </c>
      <c r="N1786">
        <f>[1]资金台帐!N1786</f>
      </c>
      <c r="O1786">
        <f>[1]资金台帐!O1786&amp;""</f>
      </c>
      <c r="P1786">
        <f>[1]资金台帐!P1786&amp;""</f>
      </c>
      <c r="Q1786">
        <f>[1]资金台帐!Q1786&amp;""</f>
      </c>
      <c r="T1786">
        <f>[1]资金台帐!T1786&amp;""</f>
      </c>
      <c r="U1786">
        <f>[1]资金台帐!U1786&amp;""</f>
      </c>
      <c r="W1786">
        <f>[1]资金台帐!W1786&amp;""</f>
      </c>
      <c r="X1786">
        <f>[1]资金台帐!X1786&amp;""</f>
      </c>
      <c r="AB1786">
        <f>[1]资金台帐!AB1786</f>
        <v>0</v>
      </c>
      <c r="AC1786">
        <f>[1]资金台帐!AC1786</f>
        <v>0</v>
      </c>
      <c r="AD1786">
        <f>[1]资金台帐!AD1786</f>
        <v>0</v>
      </c>
      <c r="AJ1786">
        <f>[1]资金台帐!AJ1786</f>
        <v>0</v>
      </c>
      <c r="AK1786">
        <f>[1]资金台帐!AK1786</f>
        <v>0</v>
      </c>
      <c r="BA1786" s="22">
        <f t="shared" si="0"/>
      </c>
      <c r="BG1786" s="22">
        <f t="shared" si="1"/>
      </c>
      <c r="BH1786" s="22">
        <f t="shared" si="2"/>
        <v>0</v>
      </c>
    </row>
    <row r="1787">
      <c r="B1787">
        <f>[1]资金台帐!B1787&amp;""</f>
      </c>
      <c r="H1787">
        <f>[1]资金台帐!H1787&amp;""</f>
      </c>
      <c r="J1787">
        <f>[1]资金台帐!J1787&amp;""</f>
      </c>
      <c r="N1787">
        <f>[1]资金台帐!N1787</f>
      </c>
      <c r="O1787">
        <f>[1]资金台帐!O1787&amp;""</f>
      </c>
      <c r="P1787">
        <f>[1]资金台帐!P1787&amp;""</f>
      </c>
      <c r="Q1787">
        <f>[1]资金台帐!Q1787&amp;""</f>
      </c>
      <c r="T1787">
        <f>[1]资金台帐!T1787&amp;""</f>
      </c>
      <c r="U1787">
        <f>[1]资金台帐!U1787&amp;""</f>
      </c>
      <c r="W1787">
        <f>[1]资金台帐!W1787&amp;""</f>
      </c>
      <c r="X1787">
        <f>[1]资金台帐!X1787&amp;""</f>
      </c>
      <c r="AB1787">
        <f>[1]资金台帐!AB1787</f>
        <v>0</v>
      </c>
      <c r="AC1787">
        <f>[1]资金台帐!AC1787</f>
        <v>0</v>
      </c>
      <c r="AD1787">
        <f>[1]资金台帐!AD1787</f>
        <v>0</v>
      </c>
      <c r="AJ1787">
        <f>[1]资金台帐!AJ1787</f>
        <v>0</v>
      </c>
      <c r="AK1787">
        <f>[1]资金台帐!AK1787</f>
        <v>0</v>
      </c>
      <c r="BA1787" s="22">
        <f t="shared" si="0"/>
      </c>
      <c r="BG1787" s="22">
        <f t="shared" si="1"/>
      </c>
      <c r="BH1787" s="22">
        <f t="shared" si="2"/>
        <v>0</v>
      </c>
    </row>
    <row r="1788">
      <c r="B1788">
        <f>[1]资金台帐!B1788&amp;""</f>
      </c>
      <c r="H1788">
        <f>[1]资金台帐!H1788&amp;""</f>
      </c>
      <c r="J1788">
        <f>[1]资金台帐!J1788&amp;""</f>
      </c>
      <c r="N1788">
        <f>[1]资金台帐!N1788</f>
      </c>
      <c r="O1788">
        <f>[1]资金台帐!O1788&amp;""</f>
      </c>
      <c r="P1788">
        <f>[1]资金台帐!P1788&amp;""</f>
      </c>
      <c r="Q1788">
        <f>[1]资金台帐!Q1788&amp;""</f>
      </c>
      <c r="T1788">
        <f>[1]资金台帐!T1788&amp;""</f>
      </c>
      <c r="U1788">
        <f>[1]资金台帐!U1788&amp;""</f>
      </c>
      <c r="W1788">
        <f>[1]资金台帐!W1788&amp;""</f>
      </c>
      <c r="X1788">
        <f>[1]资金台帐!X1788&amp;""</f>
      </c>
      <c r="AB1788">
        <f>[1]资金台帐!AB1788</f>
        <v>0</v>
      </c>
      <c r="AC1788">
        <f>[1]资金台帐!AC1788</f>
        <v>0</v>
      </c>
      <c r="AD1788">
        <f>[1]资金台帐!AD1788</f>
        <v>0</v>
      </c>
      <c r="AJ1788">
        <f>[1]资金台帐!AJ1788</f>
        <v>0</v>
      </c>
      <c r="AK1788">
        <f>[1]资金台帐!AK1788</f>
        <v>0</v>
      </c>
      <c r="BA1788" s="22">
        <f t="shared" si="0"/>
      </c>
      <c r="BG1788" s="22">
        <f t="shared" si="1"/>
      </c>
      <c r="BH1788" s="22">
        <f t="shared" si="2"/>
        <v>0</v>
      </c>
    </row>
    <row r="1789">
      <c r="B1789">
        <f>[1]资金台帐!B1789&amp;""</f>
      </c>
      <c r="H1789">
        <f>[1]资金台帐!H1789&amp;""</f>
      </c>
      <c r="J1789">
        <f>[1]资金台帐!J1789&amp;""</f>
      </c>
      <c r="N1789">
        <f>[1]资金台帐!N1789</f>
      </c>
      <c r="O1789">
        <f>[1]资金台帐!O1789&amp;""</f>
      </c>
      <c r="P1789">
        <f>[1]资金台帐!P1789&amp;""</f>
      </c>
      <c r="Q1789">
        <f>[1]资金台帐!Q1789&amp;""</f>
      </c>
      <c r="T1789">
        <f>[1]资金台帐!T1789&amp;""</f>
      </c>
      <c r="U1789">
        <f>[1]资金台帐!U1789&amp;""</f>
      </c>
      <c r="W1789">
        <f>[1]资金台帐!W1789&amp;""</f>
      </c>
      <c r="X1789">
        <f>[1]资金台帐!X1789&amp;""</f>
      </c>
      <c r="AB1789">
        <f>[1]资金台帐!AB1789</f>
        <v>0</v>
      </c>
      <c r="AC1789">
        <f>[1]资金台帐!AC1789</f>
        <v>0</v>
      </c>
      <c r="AD1789">
        <f>[1]资金台帐!AD1789</f>
        <v>0</v>
      </c>
      <c r="AJ1789">
        <f>[1]资金台帐!AJ1789</f>
        <v>0</v>
      </c>
      <c r="AK1789">
        <f>[1]资金台帐!AK1789</f>
        <v>0</v>
      </c>
      <c r="BA1789" s="22">
        <f t="shared" si="0"/>
      </c>
      <c r="BG1789" s="22">
        <f t="shared" si="1"/>
      </c>
      <c r="BH1789" s="22">
        <f t="shared" si="2"/>
        <v>0</v>
      </c>
    </row>
    <row r="1790">
      <c r="B1790">
        <f>[1]资金台帐!B1790&amp;""</f>
      </c>
      <c r="H1790">
        <f>[1]资金台帐!H1790&amp;""</f>
      </c>
      <c r="J1790">
        <f>[1]资金台帐!J1790&amp;""</f>
      </c>
      <c r="N1790">
        <f>[1]资金台帐!N1790</f>
      </c>
      <c r="O1790">
        <f>[1]资金台帐!O1790&amp;""</f>
      </c>
      <c r="P1790">
        <f>[1]资金台帐!P1790&amp;""</f>
      </c>
      <c r="Q1790">
        <f>[1]资金台帐!Q1790&amp;""</f>
      </c>
      <c r="T1790">
        <f>[1]资金台帐!T1790&amp;""</f>
      </c>
      <c r="U1790">
        <f>[1]资金台帐!U1790&amp;""</f>
      </c>
      <c r="W1790">
        <f>[1]资金台帐!W1790&amp;""</f>
      </c>
      <c r="X1790">
        <f>[1]资金台帐!X1790&amp;""</f>
      </c>
      <c r="AB1790">
        <f>[1]资金台帐!AB1790</f>
        <v>0</v>
      </c>
      <c r="AC1790">
        <f>[1]资金台帐!AC1790</f>
        <v>0</v>
      </c>
      <c r="AD1790">
        <f>[1]资金台帐!AD1790</f>
        <v>0</v>
      </c>
      <c r="AJ1790">
        <f>[1]资金台帐!AJ1790</f>
        <v>0</v>
      </c>
      <c r="AK1790">
        <f>[1]资金台帐!AK1790</f>
        <v>0</v>
      </c>
      <c r="BA1790" s="22">
        <f t="shared" si="0"/>
      </c>
      <c r="BG1790" s="22">
        <f t="shared" si="1"/>
      </c>
      <c r="BH1790" s="22">
        <f t="shared" si="2"/>
        <v>0</v>
      </c>
    </row>
    <row r="1791">
      <c r="B1791">
        <f>[1]资金台帐!B1791&amp;""</f>
      </c>
      <c r="H1791">
        <f>[1]资金台帐!H1791&amp;""</f>
      </c>
      <c r="J1791">
        <f>[1]资金台帐!J1791&amp;""</f>
      </c>
      <c r="N1791">
        <f>[1]资金台帐!N1791</f>
      </c>
      <c r="O1791">
        <f>[1]资金台帐!O1791&amp;""</f>
      </c>
      <c r="P1791">
        <f>[1]资金台帐!P1791&amp;""</f>
      </c>
      <c r="Q1791">
        <f>[1]资金台帐!Q1791&amp;""</f>
      </c>
      <c r="T1791">
        <f>[1]资金台帐!T1791&amp;""</f>
      </c>
      <c r="U1791">
        <f>[1]资金台帐!U1791&amp;""</f>
      </c>
      <c r="W1791">
        <f>[1]资金台帐!W1791&amp;""</f>
      </c>
      <c r="X1791">
        <f>[1]资金台帐!X1791&amp;""</f>
      </c>
      <c r="AB1791">
        <f>[1]资金台帐!AB1791</f>
        <v>0</v>
      </c>
      <c r="AC1791">
        <f>[1]资金台帐!AC1791</f>
        <v>0</v>
      </c>
      <c r="AD1791">
        <f>[1]资金台帐!AD1791</f>
        <v>0</v>
      </c>
      <c r="AJ1791">
        <f>[1]资金台帐!AJ1791</f>
        <v>0</v>
      </c>
      <c r="AK1791">
        <f>[1]资金台帐!AK1791</f>
        <v>0</v>
      </c>
      <c r="BA1791" s="22">
        <f t="shared" si="0"/>
      </c>
      <c r="BG1791" s="22">
        <f t="shared" si="1"/>
      </c>
      <c r="BH1791" s="22">
        <f t="shared" si="2"/>
        <v>0</v>
      </c>
    </row>
    <row r="1792">
      <c r="B1792">
        <f>[1]资金台帐!B1792&amp;""</f>
      </c>
      <c r="H1792">
        <f>[1]资金台帐!H1792&amp;""</f>
      </c>
      <c r="J1792">
        <f>[1]资金台帐!J1792&amp;""</f>
      </c>
      <c r="N1792">
        <f>[1]资金台帐!N1792</f>
      </c>
      <c r="O1792">
        <f>[1]资金台帐!O1792&amp;""</f>
      </c>
      <c r="P1792">
        <f>[1]资金台帐!P1792&amp;""</f>
      </c>
      <c r="Q1792">
        <f>[1]资金台帐!Q1792&amp;""</f>
      </c>
      <c r="T1792">
        <f>[1]资金台帐!T1792&amp;""</f>
      </c>
      <c r="U1792">
        <f>[1]资金台帐!U1792&amp;""</f>
      </c>
      <c r="W1792">
        <f>[1]资金台帐!W1792&amp;""</f>
      </c>
      <c r="X1792">
        <f>[1]资金台帐!X1792&amp;""</f>
      </c>
      <c r="AB1792">
        <f>[1]资金台帐!AB1792</f>
        <v>0</v>
      </c>
      <c r="AC1792">
        <f>[1]资金台帐!AC1792</f>
        <v>0</v>
      </c>
      <c r="AD1792">
        <f>[1]资金台帐!AD1792</f>
        <v>0</v>
      </c>
      <c r="AJ1792">
        <f>[1]资金台帐!AJ1792</f>
        <v>0</v>
      </c>
      <c r="AK1792">
        <f>[1]资金台帐!AK1792</f>
        <v>0</v>
      </c>
      <c r="BA1792" s="22">
        <f t="shared" si="0"/>
      </c>
      <c r="BG1792" s="22">
        <f t="shared" si="1"/>
      </c>
      <c r="BH1792" s="22">
        <f t="shared" si="2"/>
        <v>0</v>
      </c>
    </row>
    <row r="1793">
      <c r="B1793">
        <f>[1]资金台帐!B1793&amp;""</f>
      </c>
      <c r="H1793">
        <f>[1]资金台帐!H1793&amp;""</f>
      </c>
      <c r="J1793">
        <f>[1]资金台帐!J1793&amp;""</f>
      </c>
      <c r="N1793">
        <f>[1]资金台帐!N1793</f>
      </c>
      <c r="O1793">
        <f>[1]资金台帐!O1793&amp;""</f>
      </c>
      <c r="P1793">
        <f>[1]资金台帐!P1793&amp;""</f>
      </c>
      <c r="Q1793">
        <f>[1]资金台帐!Q1793&amp;""</f>
      </c>
      <c r="T1793">
        <f>[1]资金台帐!T1793&amp;""</f>
      </c>
      <c r="U1793">
        <f>[1]资金台帐!U1793&amp;""</f>
      </c>
      <c r="W1793">
        <f>[1]资金台帐!W1793&amp;""</f>
      </c>
      <c r="X1793">
        <f>[1]资金台帐!X1793&amp;""</f>
      </c>
      <c r="AB1793">
        <f>[1]资金台帐!AB1793</f>
        <v>0</v>
      </c>
      <c r="AC1793">
        <f>[1]资金台帐!AC1793</f>
        <v>0</v>
      </c>
      <c r="AD1793">
        <f>[1]资金台帐!AD1793</f>
        <v>0</v>
      </c>
      <c r="AJ1793">
        <f>[1]资金台帐!AJ1793</f>
        <v>0</v>
      </c>
      <c r="AK1793">
        <f>[1]资金台帐!AK1793</f>
        <v>0</v>
      </c>
      <c r="BA1793" s="22">
        <f t="shared" si="0"/>
      </c>
      <c r="BG1793" s="22">
        <f t="shared" si="1"/>
      </c>
      <c r="BH1793" s="22">
        <f t="shared" si="2"/>
        <v>0</v>
      </c>
    </row>
    <row r="1794">
      <c r="B1794">
        <f>[1]资金台帐!B1794&amp;""</f>
      </c>
      <c r="H1794">
        <f>[1]资金台帐!H1794&amp;""</f>
      </c>
      <c r="J1794">
        <f>[1]资金台帐!J1794&amp;""</f>
      </c>
      <c r="N1794">
        <f>[1]资金台帐!N1794</f>
      </c>
      <c r="O1794">
        <f>[1]资金台帐!O1794&amp;""</f>
      </c>
      <c r="P1794">
        <f>[1]资金台帐!P1794&amp;""</f>
      </c>
      <c r="Q1794">
        <f>[1]资金台帐!Q1794&amp;""</f>
      </c>
      <c r="T1794">
        <f>[1]资金台帐!T1794&amp;""</f>
      </c>
      <c r="U1794">
        <f>[1]资金台帐!U1794&amp;""</f>
      </c>
      <c r="W1794">
        <f>[1]资金台帐!W1794&amp;""</f>
      </c>
      <c r="X1794">
        <f>[1]资金台帐!X1794&amp;""</f>
      </c>
      <c r="AB1794">
        <f>[1]资金台帐!AB1794</f>
        <v>0</v>
      </c>
      <c r="AC1794">
        <f>[1]资金台帐!AC1794</f>
        <v>0</v>
      </c>
      <c r="AD1794">
        <f>[1]资金台帐!AD1794</f>
        <v>0</v>
      </c>
      <c r="AJ1794">
        <f>[1]资金台帐!AJ1794</f>
        <v>0</v>
      </c>
      <c r="AK1794">
        <f>[1]资金台帐!AK1794</f>
        <v>0</v>
      </c>
      <c r="BA1794" s="22">
        <f t="shared" si="0"/>
      </c>
      <c r="BG1794" s="22">
        <f t="shared" si="1"/>
      </c>
      <c r="BH1794" s="22">
        <f t="shared" si="2"/>
        <v>0</v>
      </c>
    </row>
    <row r="1795">
      <c r="B1795">
        <f>[1]资金台帐!B1795&amp;""</f>
      </c>
      <c r="H1795">
        <f>[1]资金台帐!H1795&amp;""</f>
      </c>
      <c r="J1795">
        <f>[1]资金台帐!J1795&amp;""</f>
      </c>
      <c r="N1795">
        <f>[1]资金台帐!N1795</f>
      </c>
      <c r="O1795">
        <f>[1]资金台帐!O1795&amp;""</f>
      </c>
      <c r="P1795">
        <f>[1]资金台帐!P1795&amp;""</f>
      </c>
      <c r="Q1795">
        <f>[1]资金台帐!Q1795&amp;""</f>
      </c>
      <c r="T1795">
        <f>[1]资金台帐!T1795&amp;""</f>
      </c>
      <c r="U1795">
        <f>[1]资金台帐!U1795&amp;""</f>
      </c>
      <c r="W1795">
        <f>[1]资金台帐!W1795&amp;""</f>
      </c>
      <c r="X1795">
        <f>[1]资金台帐!X1795&amp;""</f>
      </c>
      <c r="AB1795">
        <f>[1]资金台帐!AB1795</f>
        <v>0</v>
      </c>
      <c r="AC1795">
        <f>[1]资金台帐!AC1795</f>
        <v>0</v>
      </c>
      <c r="AD1795">
        <f>[1]资金台帐!AD1795</f>
        <v>0</v>
      </c>
      <c r="AJ1795">
        <f>[1]资金台帐!AJ1795</f>
        <v>0</v>
      </c>
      <c r="AK1795">
        <f>[1]资金台帐!AK1795</f>
        <v>0</v>
      </c>
      <c r="BA1795" s="22">
        <f t="shared" si="0"/>
      </c>
      <c r="BG1795" s="22">
        <f t="shared" si="1"/>
      </c>
      <c r="BH1795" s="22">
        <f t="shared" si="2"/>
        <v>0</v>
      </c>
    </row>
    <row r="1796">
      <c r="B1796">
        <f>[1]资金台帐!B1796&amp;""</f>
      </c>
      <c r="H1796">
        <f>[1]资金台帐!H1796&amp;""</f>
      </c>
      <c r="J1796">
        <f>[1]资金台帐!J1796&amp;""</f>
      </c>
      <c r="N1796">
        <f>[1]资金台帐!N1796</f>
      </c>
      <c r="O1796">
        <f>[1]资金台帐!O1796&amp;""</f>
      </c>
      <c r="P1796">
        <f>[1]资金台帐!P1796&amp;""</f>
      </c>
      <c r="Q1796">
        <f>[1]资金台帐!Q1796&amp;""</f>
      </c>
      <c r="T1796">
        <f>[1]资金台帐!T1796&amp;""</f>
      </c>
      <c r="U1796">
        <f>[1]资金台帐!U1796&amp;""</f>
      </c>
      <c r="W1796">
        <f>[1]资金台帐!W1796&amp;""</f>
      </c>
      <c r="X1796">
        <f>[1]资金台帐!X1796&amp;""</f>
      </c>
      <c r="AB1796">
        <f>[1]资金台帐!AB1796</f>
        <v>0</v>
      </c>
      <c r="AC1796">
        <f>[1]资金台帐!AC1796</f>
        <v>0</v>
      </c>
      <c r="AD1796">
        <f>[1]资金台帐!AD1796</f>
        <v>0</v>
      </c>
      <c r="AJ1796">
        <f>[1]资金台帐!AJ1796</f>
        <v>0</v>
      </c>
      <c r="AK1796">
        <f>[1]资金台帐!AK1796</f>
        <v>0</v>
      </c>
      <c r="BA1796" s="22">
        <f t="shared" si="0"/>
      </c>
      <c r="BG1796" s="22">
        <f t="shared" si="1"/>
      </c>
      <c r="BH1796" s="22">
        <f t="shared" si="2"/>
        <v>0</v>
      </c>
    </row>
    <row r="1797">
      <c r="B1797">
        <f>[1]资金台帐!B1797&amp;""</f>
      </c>
      <c r="H1797">
        <f>[1]资金台帐!H1797&amp;""</f>
      </c>
      <c r="J1797">
        <f>[1]资金台帐!J1797&amp;""</f>
      </c>
      <c r="N1797">
        <f>[1]资金台帐!N1797</f>
      </c>
      <c r="O1797">
        <f>[1]资金台帐!O1797&amp;""</f>
      </c>
      <c r="P1797">
        <f>[1]资金台帐!P1797&amp;""</f>
      </c>
      <c r="Q1797">
        <f>[1]资金台帐!Q1797&amp;""</f>
      </c>
      <c r="T1797">
        <f>[1]资金台帐!T1797&amp;""</f>
      </c>
      <c r="U1797">
        <f>[1]资金台帐!U1797&amp;""</f>
      </c>
      <c r="W1797">
        <f>[1]资金台帐!W1797&amp;""</f>
      </c>
      <c r="X1797">
        <f>[1]资金台帐!X1797&amp;""</f>
      </c>
      <c r="AB1797">
        <f>[1]资金台帐!AB1797</f>
        <v>0</v>
      </c>
      <c r="AC1797">
        <f>[1]资金台帐!AC1797</f>
        <v>0</v>
      </c>
      <c r="AD1797">
        <f>[1]资金台帐!AD1797</f>
        <v>0</v>
      </c>
      <c r="AJ1797">
        <f>[1]资金台帐!AJ1797</f>
        <v>0</v>
      </c>
      <c r="AK1797">
        <f>[1]资金台帐!AK1797</f>
        <v>0</v>
      </c>
      <c r="BA1797" s="22">
        <f t="shared" si="0"/>
      </c>
      <c r="BG1797" s="22">
        <f t="shared" si="1"/>
      </c>
      <c r="BH1797" s="22">
        <f t="shared" si="2"/>
        <v>0</v>
      </c>
    </row>
    <row r="1798">
      <c r="B1798">
        <f>[1]资金台帐!B1798&amp;""</f>
      </c>
      <c r="H1798">
        <f>[1]资金台帐!H1798&amp;""</f>
      </c>
      <c r="J1798">
        <f>[1]资金台帐!J1798&amp;""</f>
      </c>
      <c r="N1798">
        <f>[1]资金台帐!N1798</f>
      </c>
      <c r="O1798">
        <f>[1]资金台帐!O1798&amp;""</f>
      </c>
      <c r="P1798">
        <f>[1]资金台帐!P1798&amp;""</f>
      </c>
      <c r="Q1798">
        <f>[1]资金台帐!Q1798&amp;""</f>
      </c>
      <c r="T1798">
        <f>[1]资金台帐!T1798&amp;""</f>
      </c>
      <c r="U1798">
        <f>[1]资金台帐!U1798&amp;""</f>
      </c>
      <c r="W1798">
        <f>[1]资金台帐!W1798&amp;""</f>
      </c>
      <c r="X1798">
        <f>[1]资金台帐!X1798&amp;""</f>
      </c>
      <c r="AB1798">
        <f>[1]资金台帐!AB1798</f>
        <v>0</v>
      </c>
      <c r="AC1798">
        <f>[1]资金台帐!AC1798</f>
        <v>0</v>
      </c>
      <c r="AD1798">
        <f>[1]资金台帐!AD1798</f>
        <v>0</v>
      </c>
      <c r="AJ1798">
        <f>[1]资金台帐!AJ1798</f>
        <v>0</v>
      </c>
      <c r="AK1798">
        <f>[1]资金台帐!AK1798</f>
        <v>0</v>
      </c>
      <c r="BA1798" s="22">
        <f t="shared" si="0"/>
      </c>
      <c r="BG1798" s="22">
        <f t="shared" si="1"/>
      </c>
      <c r="BH1798" s="22">
        <f t="shared" si="2"/>
        <v>0</v>
      </c>
    </row>
    <row r="1799">
      <c r="B1799">
        <f>[1]资金台帐!B1799&amp;""</f>
      </c>
      <c r="H1799">
        <f>[1]资金台帐!H1799&amp;""</f>
      </c>
      <c r="J1799">
        <f>[1]资金台帐!J1799&amp;""</f>
      </c>
      <c r="N1799">
        <f>[1]资金台帐!N1799</f>
      </c>
      <c r="O1799">
        <f>[1]资金台帐!O1799&amp;""</f>
      </c>
      <c r="P1799">
        <f>[1]资金台帐!P1799&amp;""</f>
      </c>
      <c r="Q1799">
        <f>[1]资金台帐!Q1799&amp;""</f>
      </c>
      <c r="T1799">
        <f>[1]资金台帐!T1799&amp;""</f>
      </c>
      <c r="U1799">
        <f>[1]资金台帐!U1799&amp;""</f>
      </c>
      <c r="W1799">
        <f>[1]资金台帐!W1799&amp;""</f>
      </c>
      <c r="X1799">
        <f>[1]资金台帐!X1799&amp;""</f>
      </c>
      <c r="AB1799">
        <f>[1]资金台帐!AB1799</f>
        <v>0</v>
      </c>
      <c r="AC1799">
        <f>[1]资金台帐!AC1799</f>
        <v>0</v>
      </c>
      <c r="AD1799">
        <f>[1]资金台帐!AD1799</f>
        <v>0</v>
      </c>
      <c r="AJ1799">
        <f>[1]资金台帐!AJ1799</f>
        <v>0</v>
      </c>
      <c r="AK1799">
        <f>[1]资金台帐!AK1799</f>
        <v>0</v>
      </c>
      <c r="BA1799" s="22">
        <f t="shared" si="0"/>
      </c>
      <c r="BG1799" s="22">
        <f t="shared" si="1"/>
      </c>
      <c r="BH1799" s="22">
        <f t="shared" si="2"/>
        <v>0</v>
      </c>
    </row>
    <row r="1800">
      <c r="B1800">
        <f>[1]资金台帐!B1800&amp;""</f>
      </c>
      <c r="H1800">
        <f>[1]资金台帐!H1800&amp;""</f>
      </c>
      <c r="J1800">
        <f>[1]资金台帐!J1800&amp;""</f>
      </c>
      <c r="N1800">
        <f>[1]资金台帐!N1800</f>
      </c>
      <c r="O1800">
        <f>[1]资金台帐!O1800&amp;""</f>
      </c>
      <c r="P1800">
        <f>[1]资金台帐!P1800&amp;""</f>
      </c>
      <c r="Q1800">
        <f>[1]资金台帐!Q1800&amp;""</f>
      </c>
      <c r="T1800">
        <f>[1]资金台帐!T1800&amp;""</f>
      </c>
      <c r="U1800">
        <f>[1]资金台帐!U1800&amp;""</f>
      </c>
      <c r="W1800">
        <f>[1]资金台帐!W1800&amp;""</f>
      </c>
      <c r="X1800">
        <f>[1]资金台帐!X1800&amp;""</f>
      </c>
      <c r="AB1800">
        <f>[1]资金台帐!AB1800</f>
        <v>0</v>
      </c>
      <c r="AC1800">
        <f>[1]资金台帐!AC1800</f>
        <v>0</v>
      </c>
      <c r="AD1800">
        <f>[1]资金台帐!AD1800</f>
        <v>0</v>
      </c>
      <c r="AJ1800">
        <f>[1]资金台帐!AJ1800</f>
        <v>0</v>
      </c>
      <c r="AK1800">
        <f>[1]资金台帐!AK1800</f>
        <v>0</v>
      </c>
      <c r="BA1800" s="22">
        <f t="shared" si="0"/>
      </c>
      <c r="BG1800" s="22">
        <f t="shared" si="1"/>
      </c>
      <c r="BH1800" s="22">
        <f t="shared" si="2"/>
        <v>0</v>
      </c>
    </row>
    <row r="1801">
      <c r="B1801">
        <f>[1]资金台帐!B1801&amp;""</f>
      </c>
      <c r="H1801">
        <f>[1]资金台帐!H1801&amp;""</f>
      </c>
      <c r="J1801">
        <f>[1]资金台帐!J1801&amp;""</f>
      </c>
      <c r="N1801">
        <f>[1]资金台帐!N1801</f>
      </c>
      <c r="O1801">
        <f>[1]资金台帐!O1801&amp;""</f>
      </c>
      <c r="P1801">
        <f>[1]资金台帐!P1801&amp;""</f>
      </c>
      <c r="Q1801">
        <f>[1]资金台帐!Q1801&amp;""</f>
      </c>
      <c r="T1801">
        <f>[1]资金台帐!T1801&amp;""</f>
      </c>
      <c r="U1801">
        <f>[1]资金台帐!U1801&amp;""</f>
      </c>
      <c r="W1801">
        <f>[1]资金台帐!W1801&amp;""</f>
      </c>
      <c r="X1801">
        <f>[1]资金台帐!X1801&amp;""</f>
      </c>
      <c r="AB1801">
        <f>[1]资金台帐!AB1801</f>
        <v>0</v>
      </c>
      <c r="AC1801">
        <f>[1]资金台帐!AC1801</f>
        <v>0</v>
      </c>
      <c r="AD1801">
        <f>[1]资金台帐!AD1801</f>
        <v>0</v>
      </c>
      <c r="AJ1801">
        <f>[1]资金台帐!AJ1801</f>
        <v>0</v>
      </c>
      <c r="AK1801">
        <f>[1]资金台帐!AK1801</f>
        <v>0</v>
      </c>
      <c r="BA1801" s="22">
        <f t="shared" si="0"/>
      </c>
      <c r="BG1801" s="22">
        <f t="shared" si="1"/>
      </c>
      <c r="BH1801" s="22">
        <f t="shared" si="2"/>
        <v>0</v>
      </c>
    </row>
    <row r="1802">
      <c r="B1802">
        <f>[1]资金台帐!B1802&amp;""</f>
      </c>
      <c r="H1802">
        <f>[1]资金台帐!H1802&amp;""</f>
      </c>
      <c r="J1802">
        <f>[1]资金台帐!J1802&amp;""</f>
      </c>
      <c r="N1802">
        <f>[1]资金台帐!N1802</f>
      </c>
      <c r="O1802">
        <f>[1]资金台帐!O1802&amp;""</f>
      </c>
      <c r="P1802">
        <f>[1]资金台帐!P1802&amp;""</f>
      </c>
      <c r="Q1802">
        <f>[1]资金台帐!Q1802&amp;""</f>
      </c>
      <c r="T1802">
        <f>[1]资金台帐!T1802&amp;""</f>
      </c>
      <c r="U1802">
        <f>[1]资金台帐!U1802&amp;""</f>
      </c>
      <c r="W1802">
        <f>[1]资金台帐!W1802&amp;""</f>
      </c>
      <c r="X1802">
        <f>[1]资金台帐!X1802&amp;""</f>
      </c>
      <c r="AB1802">
        <f>[1]资金台帐!AB1802</f>
        <v>0</v>
      </c>
      <c r="AC1802">
        <f>[1]资金台帐!AC1802</f>
        <v>0</v>
      </c>
      <c r="AD1802">
        <f>[1]资金台帐!AD1802</f>
        <v>0</v>
      </c>
      <c r="AJ1802">
        <f>[1]资金台帐!AJ1802</f>
        <v>0</v>
      </c>
      <c r="AK1802">
        <f>[1]资金台帐!AK1802</f>
        <v>0</v>
      </c>
      <c r="BA1802" s="22">
        <f t="shared" si="0"/>
      </c>
      <c r="BG1802" s="22">
        <f t="shared" si="1"/>
      </c>
      <c r="BH1802" s="22">
        <f t="shared" si="2"/>
        <v>0</v>
      </c>
    </row>
    <row r="1803">
      <c r="B1803">
        <f>[1]资金台帐!B1803&amp;""</f>
      </c>
      <c r="H1803">
        <f>[1]资金台帐!H1803&amp;""</f>
      </c>
      <c r="J1803">
        <f>[1]资金台帐!J1803&amp;""</f>
      </c>
      <c r="N1803">
        <f>[1]资金台帐!N1803</f>
      </c>
      <c r="O1803">
        <f>[1]资金台帐!O1803&amp;""</f>
      </c>
      <c r="P1803">
        <f>[1]资金台帐!P1803&amp;""</f>
      </c>
      <c r="Q1803">
        <f>[1]资金台帐!Q1803&amp;""</f>
      </c>
      <c r="T1803">
        <f>[1]资金台帐!T1803&amp;""</f>
      </c>
      <c r="U1803">
        <f>[1]资金台帐!U1803&amp;""</f>
      </c>
      <c r="W1803">
        <f>[1]资金台帐!W1803&amp;""</f>
      </c>
      <c r="X1803">
        <f>[1]资金台帐!X1803&amp;""</f>
      </c>
      <c r="AB1803">
        <f>[1]资金台帐!AB1803</f>
        <v>0</v>
      </c>
      <c r="AC1803">
        <f>[1]资金台帐!AC1803</f>
        <v>0</v>
      </c>
      <c r="AD1803">
        <f>[1]资金台帐!AD1803</f>
        <v>0</v>
      </c>
      <c r="AJ1803">
        <f>[1]资金台帐!AJ1803</f>
        <v>0</v>
      </c>
      <c r="AK1803">
        <f>[1]资金台帐!AK1803</f>
        <v>0</v>
      </c>
      <c r="BA1803" s="22">
        <f t="shared" si="0"/>
      </c>
      <c r="BG1803" s="22">
        <f t="shared" si="1"/>
      </c>
      <c r="BH1803" s="22">
        <f t="shared" si="2"/>
        <v>0</v>
      </c>
    </row>
    <row r="1804">
      <c r="B1804">
        <f>[1]资金台帐!B1804&amp;""</f>
      </c>
      <c r="H1804">
        <f>[1]资金台帐!H1804&amp;""</f>
      </c>
      <c r="J1804">
        <f>[1]资金台帐!J1804&amp;""</f>
      </c>
      <c r="N1804">
        <f>[1]资金台帐!N1804</f>
      </c>
      <c r="O1804">
        <f>[1]资金台帐!O1804&amp;""</f>
      </c>
      <c r="P1804">
        <f>[1]资金台帐!P1804&amp;""</f>
      </c>
      <c r="Q1804">
        <f>[1]资金台帐!Q1804&amp;""</f>
      </c>
      <c r="T1804">
        <f>[1]资金台帐!T1804&amp;""</f>
      </c>
      <c r="U1804">
        <f>[1]资金台帐!U1804&amp;""</f>
      </c>
      <c r="W1804">
        <f>[1]资金台帐!W1804&amp;""</f>
      </c>
      <c r="X1804">
        <f>[1]资金台帐!X1804&amp;""</f>
      </c>
      <c r="AB1804">
        <f>[1]资金台帐!AB1804</f>
        <v>0</v>
      </c>
      <c r="AC1804">
        <f>[1]资金台帐!AC1804</f>
        <v>0</v>
      </c>
      <c r="AD1804">
        <f>[1]资金台帐!AD1804</f>
        <v>0</v>
      </c>
      <c r="AJ1804">
        <f>[1]资金台帐!AJ1804</f>
        <v>0</v>
      </c>
      <c r="AK1804">
        <f>[1]资金台帐!AK1804</f>
        <v>0</v>
      </c>
      <c r="BA1804" s="22">
        <f t="shared" si="0"/>
      </c>
      <c r="BG1804" s="22">
        <f t="shared" si="1"/>
      </c>
      <c r="BH1804" s="22">
        <f t="shared" si="2"/>
        <v>0</v>
      </c>
    </row>
    <row r="1805">
      <c r="B1805">
        <f>[1]资金台帐!B1805&amp;""</f>
      </c>
      <c r="H1805">
        <f>[1]资金台帐!H1805&amp;""</f>
      </c>
      <c r="J1805">
        <f>[1]资金台帐!J1805&amp;""</f>
      </c>
      <c r="N1805">
        <f>[1]资金台帐!N1805</f>
      </c>
      <c r="O1805">
        <f>[1]资金台帐!O1805&amp;""</f>
      </c>
      <c r="P1805">
        <f>[1]资金台帐!P1805&amp;""</f>
      </c>
      <c r="Q1805">
        <f>[1]资金台帐!Q1805&amp;""</f>
      </c>
      <c r="T1805">
        <f>[1]资金台帐!T1805&amp;""</f>
      </c>
      <c r="U1805">
        <f>[1]资金台帐!U1805&amp;""</f>
      </c>
      <c r="W1805">
        <f>[1]资金台帐!W1805&amp;""</f>
      </c>
      <c r="X1805">
        <f>[1]资金台帐!X1805&amp;""</f>
      </c>
      <c r="AB1805">
        <f>[1]资金台帐!AB1805</f>
        <v>0</v>
      </c>
      <c r="AC1805">
        <f>[1]资金台帐!AC1805</f>
        <v>0</v>
      </c>
      <c r="AD1805">
        <f>[1]资金台帐!AD1805</f>
        <v>0</v>
      </c>
      <c r="AJ1805">
        <f>[1]资金台帐!AJ1805</f>
        <v>0</v>
      </c>
      <c r="AK1805">
        <f>[1]资金台帐!AK1805</f>
        <v>0</v>
      </c>
      <c r="BA1805" s="22">
        <f t="shared" si="0"/>
      </c>
      <c r="BG1805" s="22">
        <f t="shared" si="1"/>
      </c>
      <c r="BH1805" s="22">
        <f t="shared" si="2"/>
        <v>0</v>
      </c>
    </row>
    <row r="1806">
      <c r="B1806">
        <f>[1]资金台帐!B1806&amp;""</f>
      </c>
      <c r="H1806">
        <f>[1]资金台帐!H1806&amp;""</f>
      </c>
      <c r="J1806">
        <f>[1]资金台帐!J1806&amp;""</f>
      </c>
      <c r="N1806">
        <f>[1]资金台帐!N1806</f>
      </c>
      <c r="O1806">
        <f>[1]资金台帐!O1806&amp;""</f>
      </c>
      <c r="P1806">
        <f>[1]资金台帐!P1806&amp;""</f>
      </c>
      <c r="Q1806">
        <f>[1]资金台帐!Q1806&amp;""</f>
      </c>
      <c r="T1806">
        <f>[1]资金台帐!T1806&amp;""</f>
      </c>
      <c r="U1806">
        <f>[1]资金台帐!U1806&amp;""</f>
      </c>
      <c r="W1806">
        <f>[1]资金台帐!W1806&amp;""</f>
      </c>
      <c r="X1806">
        <f>[1]资金台帐!X1806&amp;""</f>
      </c>
      <c r="AB1806">
        <f>[1]资金台帐!AB1806</f>
        <v>0</v>
      </c>
      <c r="AC1806">
        <f>[1]资金台帐!AC1806</f>
        <v>0</v>
      </c>
      <c r="AD1806">
        <f>[1]资金台帐!AD1806</f>
        <v>0</v>
      </c>
      <c r="AJ1806">
        <f>[1]资金台帐!AJ1806</f>
        <v>0</v>
      </c>
      <c r="AK1806">
        <f>[1]资金台帐!AK1806</f>
        <v>0</v>
      </c>
      <c r="BA1806" s="22">
        <f t="shared" si="0"/>
      </c>
      <c r="BG1806" s="22">
        <f t="shared" si="1"/>
      </c>
      <c r="BH1806" s="22">
        <f t="shared" si="2"/>
        <v>0</v>
      </c>
    </row>
    <row r="1807">
      <c r="B1807">
        <f>[1]资金台帐!B1807&amp;""</f>
      </c>
      <c r="H1807">
        <f>[1]资金台帐!H1807&amp;""</f>
      </c>
      <c r="J1807">
        <f>[1]资金台帐!J1807&amp;""</f>
      </c>
      <c r="N1807">
        <f>[1]资金台帐!N1807</f>
      </c>
      <c r="O1807">
        <f>[1]资金台帐!O1807&amp;""</f>
      </c>
      <c r="P1807">
        <f>[1]资金台帐!P1807&amp;""</f>
      </c>
      <c r="Q1807">
        <f>[1]资金台帐!Q1807&amp;""</f>
      </c>
      <c r="T1807">
        <f>[1]资金台帐!T1807&amp;""</f>
      </c>
      <c r="U1807">
        <f>[1]资金台帐!U1807&amp;""</f>
      </c>
      <c r="W1807">
        <f>[1]资金台帐!W1807&amp;""</f>
      </c>
      <c r="X1807">
        <f>[1]资金台帐!X1807&amp;""</f>
      </c>
      <c r="AB1807">
        <f>[1]资金台帐!AB1807</f>
        <v>0</v>
      </c>
      <c r="AC1807">
        <f>[1]资金台帐!AC1807</f>
        <v>0</v>
      </c>
      <c r="AD1807">
        <f>[1]资金台帐!AD1807</f>
        <v>0</v>
      </c>
      <c r="AJ1807">
        <f>[1]资金台帐!AJ1807</f>
        <v>0</v>
      </c>
      <c r="AK1807">
        <f>[1]资金台帐!AK1807</f>
        <v>0</v>
      </c>
      <c r="BA1807" s="22">
        <f t="shared" si="0"/>
      </c>
      <c r="BG1807" s="22">
        <f t="shared" si="1"/>
      </c>
      <c r="BH1807" s="22">
        <f t="shared" si="2"/>
        <v>0</v>
      </c>
    </row>
    <row r="1808">
      <c r="B1808">
        <f>[1]资金台帐!B1808&amp;""</f>
      </c>
      <c r="H1808">
        <f>[1]资金台帐!H1808&amp;""</f>
      </c>
      <c r="J1808">
        <f>[1]资金台帐!J1808&amp;""</f>
      </c>
      <c r="N1808">
        <f>[1]资金台帐!N1808</f>
      </c>
      <c r="O1808">
        <f>[1]资金台帐!O1808&amp;""</f>
      </c>
      <c r="P1808">
        <f>[1]资金台帐!P1808&amp;""</f>
      </c>
      <c r="Q1808">
        <f>[1]资金台帐!Q1808&amp;""</f>
      </c>
      <c r="T1808">
        <f>[1]资金台帐!T1808&amp;""</f>
      </c>
      <c r="U1808">
        <f>[1]资金台帐!U1808&amp;""</f>
      </c>
      <c r="W1808">
        <f>[1]资金台帐!W1808&amp;""</f>
      </c>
      <c r="X1808">
        <f>[1]资金台帐!X1808&amp;""</f>
      </c>
      <c r="AB1808">
        <f>[1]资金台帐!AB1808</f>
        <v>0</v>
      </c>
      <c r="AC1808">
        <f>[1]资金台帐!AC1808</f>
        <v>0</v>
      </c>
      <c r="AD1808">
        <f>[1]资金台帐!AD1808</f>
        <v>0</v>
      </c>
      <c r="AJ1808">
        <f>[1]资金台帐!AJ1808</f>
        <v>0</v>
      </c>
      <c r="AK1808">
        <f>[1]资金台帐!AK1808</f>
        <v>0</v>
      </c>
      <c r="BA1808" s="22">
        <f t="shared" si="0"/>
      </c>
      <c r="BG1808" s="22">
        <f t="shared" si="1"/>
      </c>
      <c r="BH1808" s="22">
        <f t="shared" si="2"/>
        <v>0</v>
      </c>
    </row>
    <row r="1809">
      <c r="B1809">
        <f>[1]资金台帐!B1809&amp;""</f>
      </c>
      <c r="H1809">
        <f>[1]资金台帐!H1809&amp;""</f>
      </c>
      <c r="J1809">
        <f>[1]资金台帐!J1809&amp;""</f>
      </c>
      <c r="N1809">
        <f>[1]资金台帐!N1809</f>
      </c>
      <c r="O1809">
        <f>[1]资金台帐!O1809&amp;""</f>
      </c>
      <c r="P1809">
        <f>[1]资金台帐!P1809&amp;""</f>
      </c>
      <c r="Q1809">
        <f>[1]资金台帐!Q1809&amp;""</f>
      </c>
      <c r="T1809">
        <f>[1]资金台帐!T1809&amp;""</f>
      </c>
      <c r="U1809">
        <f>[1]资金台帐!U1809&amp;""</f>
      </c>
      <c r="W1809">
        <f>[1]资金台帐!W1809&amp;""</f>
      </c>
      <c r="X1809">
        <f>[1]资金台帐!X1809&amp;""</f>
      </c>
      <c r="AB1809">
        <f>[1]资金台帐!AB1809</f>
        <v>0</v>
      </c>
      <c r="AC1809">
        <f>[1]资金台帐!AC1809</f>
        <v>0</v>
      </c>
      <c r="AD1809">
        <f>[1]资金台帐!AD1809</f>
        <v>0</v>
      </c>
      <c r="AJ1809">
        <f>[1]资金台帐!AJ1809</f>
        <v>0</v>
      </c>
      <c r="AK1809">
        <f>[1]资金台帐!AK1809</f>
        <v>0</v>
      </c>
      <c r="BA1809" s="22">
        <f t="shared" si="0"/>
      </c>
      <c r="BG1809" s="22">
        <f t="shared" si="1"/>
      </c>
      <c r="BH1809" s="22">
        <f t="shared" si="2"/>
        <v>0</v>
      </c>
    </row>
    <row r="1810">
      <c r="B1810">
        <f>[1]资金台帐!B1810&amp;""</f>
      </c>
      <c r="H1810">
        <f>[1]资金台帐!H1810&amp;""</f>
      </c>
      <c r="J1810">
        <f>[1]资金台帐!J1810&amp;""</f>
      </c>
      <c r="N1810">
        <f>[1]资金台帐!N1810</f>
      </c>
      <c r="O1810">
        <f>[1]资金台帐!O1810&amp;""</f>
      </c>
      <c r="P1810">
        <f>[1]资金台帐!P1810&amp;""</f>
      </c>
      <c r="Q1810">
        <f>[1]资金台帐!Q1810&amp;""</f>
      </c>
      <c r="T1810">
        <f>[1]资金台帐!T1810&amp;""</f>
      </c>
      <c r="U1810">
        <f>[1]资金台帐!U1810&amp;""</f>
      </c>
      <c r="W1810">
        <f>[1]资金台帐!W1810&amp;""</f>
      </c>
      <c r="X1810">
        <f>[1]资金台帐!X1810&amp;""</f>
      </c>
      <c r="AB1810">
        <f>[1]资金台帐!AB1810</f>
        <v>0</v>
      </c>
      <c r="AC1810">
        <f>[1]资金台帐!AC1810</f>
        <v>0</v>
      </c>
      <c r="AD1810">
        <f>[1]资金台帐!AD1810</f>
        <v>0</v>
      </c>
      <c r="AJ1810">
        <f>[1]资金台帐!AJ1810</f>
        <v>0</v>
      </c>
      <c r="AK1810">
        <f>[1]资金台帐!AK1810</f>
        <v>0</v>
      </c>
      <c r="BA1810" s="22">
        <f t="shared" si="0"/>
      </c>
      <c r="BG1810" s="22">
        <f t="shared" si="1"/>
      </c>
      <c r="BH1810" s="22">
        <f t="shared" si="2"/>
        <v>0</v>
      </c>
    </row>
    <row r="1811">
      <c r="B1811">
        <f>[1]资金台帐!B1811&amp;""</f>
      </c>
      <c r="H1811">
        <f>[1]资金台帐!H1811&amp;""</f>
      </c>
      <c r="J1811">
        <f>[1]资金台帐!J1811&amp;""</f>
      </c>
      <c r="N1811">
        <f>[1]资金台帐!N1811</f>
      </c>
      <c r="O1811">
        <f>[1]资金台帐!O1811&amp;""</f>
      </c>
      <c r="P1811">
        <f>[1]资金台帐!P1811&amp;""</f>
      </c>
      <c r="Q1811">
        <f>[1]资金台帐!Q1811&amp;""</f>
      </c>
      <c r="T1811">
        <f>[1]资金台帐!T1811&amp;""</f>
      </c>
      <c r="U1811">
        <f>[1]资金台帐!U1811&amp;""</f>
      </c>
      <c r="W1811">
        <f>[1]资金台帐!W1811&amp;""</f>
      </c>
      <c r="X1811">
        <f>[1]资金台帐!X1811&amp;""</f>
      </c>
      <c r="AB1811">
        <f>[1]资金台帐!AB1811</f>
        <v>0</v>
      </c>
      <c r="AC1811">
        <f>[1]资金台帐!AC1811</f>
        <v>0</v>
      </c>
      <c r="AD1811">
        <f>[1]资金台帐!AD1811</f>
        <v>0</v>
      </c>
      <c r="AJ1811">
        <f>[1]资金台帐!AJ1811</f>
        <v>0</v>
      </c>
      <c r="AK1811">
        <f>[1]资金台帐!AK1811</f>
        <v>0</v>
      </c>
      <c r="BA1811" s="22">
        <f t="shared" si="0"/>
      </c>
      <c r="BG1811" s="22">
        <f t="shared" si="1"/>
      </c>
      <c r="BH1811" s="22">
        <f t="shared" si="2"/>
        <v>0</v>
      </c>
    </row>
    <row r="1812">
      <c r="B1812">
        <f>[1]资金台帐!B1812&amp;""</f>
      </c>
      <c r="H1812">
        <f>[1]资金台帐!H1812&amp;""</f>
      </c>
      <c r="J1812">
        <f>[1]资金台帐!J1812&amp;""</f>
      </c>
      <c r="N1812">
        <f>[1]资金台帐!N1812</f>
      </c>
      <c r="O1812">
        <f>[1]资金台帐!O1812&amp;""</f>
      </c>
      <c r="P1812">
        <f>[1]资金台帐!P1812&amp;""</f>
      </c>
      <c r="Q1812">
        <f>[1]资金台帐!Q1812&amp;""</f>
      </c>
      <c r="T1812">
        <f>[1]资金台帐!T1812&amp;""</f>
      </c>
      <c r="U1812">
        <f>[1]资金台帐!U1812&amp;""</f>
      </c>
      <c r="W1812">
        <f>[1]资金台帐!W1812&amp;""</f>
      </c>
      <c r="X1812">
        <f>[1]资金台帐!X1812&amp;""</f>
      </c>
      <c r="AB1812">
        <f>[1]资金台帐!AB1812</f>
        <v>0</v>
      </c>
      <c r="AC1812">
        <f>[1]资金台帐!AC1812</f>
        <v>0</v>
      </c>
      <c r="AD1812">
        <f>[1]资金台帐!AD1812</f>
        <v>0</v>
      </c>
      <c r="AJ1812">
        <f>[1]资金台帐!AJ1812</f>
        <v>0</v>
      </c>
      <c r="AK1812">
        <f>[1]资金台帐!AK1812</f>
        <v>0</v>
      </c>
      <c r="BA1812" s="22">
        <f t="shared" si="0"/>
      </c>
      <c r="BG1812" s="22">
        <f t="shared" si="1"/>
      </c>
      <c r="BH1812" s="22">
        <f t="shared" si="2"/>
        <v>0</v>
      </c>
    </row>
    <row r="1813">
      <c r="B1813">
        <f>[1]资金台帐!B1813&amp;""</f>
      </c>
      <c r="H1813">
        <f>[1]资金台帐!H1813&amp;""</f>
      </c>
      <c r="J1813">
        <f>[1]资金台帐!J1813&amp;""</f>
      </c>
      <c r="N1813">
        <f>[1]资金台帐!N1813</f>
      </c>
      <c r="O1813">
        <f>[1]资金台帐!O1813&amp;""</f>
      </c>
      <c r="P1813">
        <f>[1]资金台帐!P1813&amp;""</f>
      </c>
      <c r="Q1813">
        <f>[1]资金台帐!Q1813&amp;""</f>
      </c>
      <c r="T1813">
        <f>[1]资金台帐!T1813&amp;""</f>
      </c>
      <c r="U1813">
        <f>[1]资金台帐!U1813&amp;""</f>
      </c>
      <c r="W1813">
        <f>[1]资金台帐!W1813&amp;""</f>
      </c>
      <c r="X1813">
        <f>[1]资金台帐!X1813&amp;""</f>
      </c>
      <c r="AB1813">
        <f>[1]资金台帐!AB1813</f>
        <v>0</v>
      </c>
      <c r="AC1813">
        <f>[1]资金台帐!AC1813</f>
        <v>0</v>
      </c>
      <c r="AD1813">
        <f>[1]资金台帐!AD1813</f>
        <v>0</v>
      </c>
      <c r="AJ1813">
        <f>[1]资金台帐!AJ1813</f>
        <v>0</v>
      </c>
      <c r="AK1813">
        <f>[1]资金台帐!AK1813</f>
        <v>0</v>
      </c>
      <c r="BA1813" s="22">
        <f t="shared" si="0"/>
      </c>
      <c r="BG1813" s="22">
        <f t="shared" si="1"/>
      </c>
      <c r="BH1813" s="22">
        <f t="shared" si="2"/>
        <v>0</v>
      </c>
    </row>
    <row r="1814">
      <c r="B1814">
        <f>[1]资金台帐!B1814&amp;""</f>
      </c>
      <c r="H1814">
        <f>[1]资金台帐!H1814&amp;""</f>
      </c>
      <c r="J1814">
        <f>[1]资金台帐!J1814&amp;""</f>
      </c>
      <c r="N1814">
        <f>[1]资金台帐!N1814</f>
      </c>
      <c r="O1814">
        <f>[1]资金台帐!O1814&amp;""</f>
      </c>
      <c r="P1814">
        <f>[1]资金台帐!P1814&amp;""</f>
      </c>
      <c r="Q1814">
        <f>[1]资金台帐!Q1814&amp;""</f>
      </c>
      <c r="T1814">
        <f>[1]资金台帐!T1814&amp;""</f>
      </c>
      <c r="U1814">
        <f>[1]资金台帐!U1814&amp;""</f>
      </c>
      <c r="W1814">
        <f>[1]资金台帐!W1814&amp;""</f>
      </c>
      <c r="X1814">
        <f>[1]资金台帐!X1814&amp;""</f>
      </c>
      <c r="AB1814">
        <f>[1]资金台帐!AB1814</f>
        <v>0</v>
      </c>
      <c r="AC1814">
        <f>[1]资金台帐!AC1814</f>
        <v>0</v>
      </c>
      <c r="AD1814">
        <f>[1]资金台帐!AD1814</f>
        <v>0</v>
      </c>
      <c r="AJ1814">
        <f>[1]资金台帐!AJ1814</f>
        <v>0</v>
      </c>
      <c r="AK1814">
        <f>[1]资金台帐!AK1814</f>
        <v>0</v>
      </c>
      <c r="BA1814" s="22">
        <f t="shared" si="0"/>
      </c>
      <c r="BG1814" s="22">
        <f t="shared" si="1"/>
      </c>
      <c r="BH1814" s="22">
        <f t="shared" si="2"/>
        <v>0</v>
      </c>
    </row>
    <row r="1815">
      <c r="B1815">
        <f>[1]资金台帐!B1815&amp;""</f>
      </c>
      <c r="H1815">
        <f>[1]资金台帐!H1815&amp;""</f>
      </c>
      <c r="J1815">
        <f>[1]资金台帐!J1815&amp;""</f>
      </c>
      <c r="N1815">
        <f>[1]资金台帐!N1815</f>
      </c>
      <c r="O1815">
        <f>[1]资金台帐!O1815&amp;""</f>
      </c>
      <c r="P1815">
        <f>[1]资金台帐!P1815&amp;""</f>
      </c>
      <c r="Q1815">
        <f>[1]资金台帐!Q1815&amp;""</f>
      </c>
      <c r="T1815">
        <f>[1]资金台帐!T1815&amp;""</f>
      </c>
      <c r="U1815">
        <f>[1]资金台帐!U1815&amp;""</f>
      </c>
      <c r="W1815">
        <f>[1]资金台帐!W1815&amp;""</f>
      </c>
      <c r="X1815">
        <f>[1]资金台帐!X1815&amp;""</f>
      </c>
      <c r="AB1815">
        <f>[1]资金台帐!AB1815</f>
        <v>0</v>
      </c>
      <c r="AC1815">
        <f>[1]资金台帐!AC1815</f>
        <v>0</v>
      </c>
      <c r="AD1815">
        <f>[1]资金台帐!AD1815</f>
        <v>0</v>
      </c>
      <c r="AJ1815">
        <f>[1]资金台帐!AJ1815</f>
        <v>0</v>
      </c>
      <c r="AK1815">
        <f>[1]资金台帐!AK1815</f>
        <v>0</v>
      </c>
      <c r="BA1815" s="22">
        <f t="shared" si="0"/>
      </c>
      <c r="BG1815" s="22">
        <f t="shared" si="1"/>
      </c>
      <c r="BH1815" s="22">
        <f t="shared" si="2"/>
        <v>0</v>
      </c>
    </row>
    <row r="1816">
      <c r="B1816">
        <f>[1]资金台帐!B1816&amp;""</f>
      </c>
      <c r="H1816">
        <f>[1]资金台帐!H1816&amp;""</f>
      </c>
      <c r="J1816">
        <f>[1]资金台帐!J1816&amp;""</f>
      </c>
      <c r="N1816">
        <f>[1]资金台帐!N1816</f>
      </c>
      <c r="O1816">
        <f>[1]资金台帐!O1816&amp;""</f>
      </c>
      <c r="P1816">
        <f>[1]资金台帐!P1816&amp;""</f>
      </c>
      <c r="Q1816">
        <f>[1]资金台帐!Q1816&amp;""</f>
      </c>
      <c r="T1816">
        <f>[1]资金台帐!T1816&amp;""</f>
      </c>
      <c r="U1816">
        <f>[1]资金台帐!U1816&amp;""</f>
      </c>
      <c r="W1816">
        <f>[1]资金台帐!W1816&amp;""</f>
      </c>
      <c r="X1816">
        <f>[1]资金台帐!X1816&amp;""</f>
      </c>
      <c r="AB1816">
        <f>[1]资金台帐!AB1816</f>
        <v>0</v>
      </c>
      <c r="AC1816">
        <f>[1]资金台帐!AC1816</f>
        <v>0</v>
      </c>
      <c r="AD1816">
        <f>[1]资金台帐!AD1816</f>
        <v>0</v>
      </c>
      <c r="AJ1816">
        <f>[1]资金台帐!AJ1816</f>
        <v>0</v>
      </c>
      <c r="AK1816">
        <f>[1]资金台帐!AK1816</f>
        <v>0</v>
      </c>
      <c r="BA1816" s="22">
        <f t="shared" si="0"/>
      </c>
      <c r="BG1816" s="22">
        <f t="shared" si="1"/>
      </c>
      <c r="BH1816" s="22">
        <f t="shared" si="2"/>
        <v>0</v>
      </c>
    </row>
    <row r="1817">
      <c r="B1817">
        <f>[1]资金台帐!B1817&amp;""</f>
      </c>
      <c r="H1817">
        <f>[1]资金台帐!H1817&amp;""</f>
      </c>
      <c r="J1817">
        <f>[1]资金台帐!J1817&amp;""</f>
      </c>
      <c r="N1817">
        <f>[1]资金台帐!N1817</f>
      </c>
      <c r="O1817">
        <f>[1]资金台帐!O1817&amp;""</f>
      </c>
      <c r="P1817">
        <f>[1]资金台帐!P1817&amp;""</f>
      </c>
      <c r="Q1817">
        <f>[1]资金台帐!Q1817&amp;""</f>
      </c>
      <c r="T1817">
        <f>[1]资金台帐!T1817&amp;""</f>
      </c>
      <c r="U1817">
        <f>[1]资金台帐!U1817&amp;""</f>
      </c>
      <c r="W1817">
        <f>[1]资金台帐!W1817&amp;""</f>
      </c>
      <c r="X1817">
        <f>[1]资金台帐!X1817&amp;""</f>
      </c>
      <c r="AB1817">
        <f>[1]资金台帐!AB1817</f>
        <v>0</v>
      </c>
      <c r="AC1817">
        <f>[1]资金台帐!AC1817</f>
        <v>0</v>
      </c>
      <c r="AD1817">
        <f>[1]资金台帐!AD1817</f>
        <v>0</v>
      </c>
      <c r="AJ1817">
        <f>[1]资金台帐!AJ1817</f>
        <v>0</v>
      </c>
      <c r="AK1817">
        <f>[1]资金台帐!AK1817</f>
        <v>0</v>
      </c>
      <c r="BA1817" s="22">
        <f t="shared" si="0"/>
      </c>
      <c r="BG1817" s="22">
        <f t="shared" si="1"/>
      </c>
      <c r="BH1817" s="22">
        <f t="shared" si="2"/>
        <v>0</v>
      </c>
    </row>
    <row r="1818">
      <c r="B1818">
        <f>[1]资金台帐!B1818&amp;""</f>
      </c>
      <c r="H1818">
        <f>[1]资金台帐!H1818&amp;""</f>
      </c>
      <c r="J1818">
        <f>[1]资金台帐!J1818&amp;""</f>
      </c>
      <c r="N1818">
        <f>[1]资金台帐!N1818</f>
      </c>
      <c r="O1818">
        <f>[1]资金台帐!O1818&amp;""</f>
      </c>
      <c r="P1818">
        <f>[1]资金台帐!P1818&amp;""</f>
      </c>
      <c r="Q1818">
        <f>[1]资金台帐!Q1818&amp;""</f>
      </c>
      <c r="T1818">
        <f>[1]资金台帐!T1818&amp;""</f>
      </c>
      <c r="U1818">
        <f>[1]资金台帐!U1818&amp;""</f>
      </c>
      <c r="W1818">
        <f>[1]资金台帐!W1818&amp;""</f>
      </c>
      <c r="X1818">
        <f>[1]资金台帐!X1818&amp;""</f>
      </c>
      <c r="AB1818">
        <f>[1]资金台帐!AB1818</f>
        <v>0</v>
      </c>
      <c r="AC1818">
        <f>[1]资金台帐!AC1818</f>
        <v>0</v>
      </c>
      <c r="AD1818">
        <f>[1]资金台帐!AD1818</f>
        <v>0</v>
      </c>
      <c r="AJ1818">
        <f>[1]资金台帐!AJ1818</f>
        <v>0</v>
      </c>
      <c r="AK1818">
        <f>[1]资金台帐!AK1818</f>
        <v>0</v>
      </c>
      <c r="BA1818" s="22">
        <f t="shared" si="0"/>
      </c>
      <c r="BG1818" s="22">
        <f t="shared" si="1"/>
      </c>
      <c r="BH1818" s="22">
        <f t="shared" si="2"/>
        <v>0</v>
      </c>
    </row>
    <row r="1819">
      <c r="B1819">
        <f>[1]资金台帐!B1819&amp;""</f>
      </c>
      <c r="H1819">
        <f>[1]资金台帐!H1819&amp;""</f>
      </c>
      <c r="J1819">
        <f>[1]资金台帐!J1819&amp;""</f>
      </c>
      <c r="N1819">
        <f>[1]资金台帐!N1819</f>
      </c>
      <c r="O1819">
        <f>[1]资金台帐!O1819&amp;""</f>
      </c>
      <c r="P1819">
        <f>[1]资金台帐!P1819&amp;""</f>
      </c>
      <c r="Q1819">
        <f>[1]资金台帐!Q1819&amp;""</f>
      </c>
      <c r="T1819">
        <f>[1]资金台帐!T1819&amp;""</f>
      </c>
      <c r="U1819">
        <f>[1]资金台帐!U1819&amp;""</f>
      </c>
      <c r="W1819">
        <f>[1]资金台帐!W1819&amp;""</f>
      </c>
      <c r="X1819">
        <f>[1]资金台帐!X1819&amp;""</f>
      </c>
      <c r="AB1819">
        <f>[1]资金台帐!AB1819</f>
        <v>0</v>
      </c>
      <c r="AC1819">
        <f>[1]资金台帐!AC1819</f>
        <v>0</v>
      </c>
      <c r="AD1819">
        <f>[1]资金台帐!AD1819</f>
        <v>0</v>
      </c>
      <c r="AJ1819">
        <f>[1]资金台帐!AJ1819</f>
        <v>0</v>
      </c>
      <c r="AK1819">
        <f>[1]资金台帐!AK1819</f>
        <v>0</v>
      </c>
      <c r="BA1819" s="22">
        <f t="shared" si="0"/>
      </c>
      <c r="BG1819" s="22">
        <f t="shared" si="1"/>
      </c>
      <c r="BH1819" s="22">
        <f t="shared" si="2"/>
        <v>0</v>
      </c>
    </row>
    <row r="1820">
      <c r="B1820">
        <f>[1]资金台帐!B1820&amp;""</f>
      </c>
      <c r="H1820">
        <f>[1]资金台帐!H1820&amp;""</f>
      </c>
      <c r="J1820">
        <f>[1]资金台帐!J1820&amp;""</f>
      </c>
      <c r="N1820">
        <f>[1]资金台帐!N1820</f>
      </c>
      <c r="O1820">
        <f>[1]资金台帐!O1820&amp;""</f>
      </c>
      <c r="P1820">
        <f>[1]资金台帐!P1820&amp;""</f>
      </c>
      <c r="Q1820">
        <f>[1]资金台帐!Q1820&amp;""</f>
      </c>
      <c r="T1820">
        <f>[1]资金台帐!T1820&amp;""</f>
      </c>
      <c r="U1820">
        <f>[1]资金台帐!U1820&amp;""</f>
      </c>
      <c r="W1820">
        <f>[1]资金台帐!W1820&amp;""</f>
      </c>
      <c r="X1820">
        <f>[1]资金台帐!X1820&amp;""</f>
      </c>
      <c r="AB1820">
        <f>[1]资金台帐!AB1820</f>
        <v>0</v>
      </c>
      <c r="AC1820">
        <f>[1]资金台帐!AC1820</f>
        <v>0</v>
      </c>
      <c r="AD1820">
        <f>[1]资金台帐!AD1820</f>
        <v>0</v>
      </c>
      <c r="AJ1820">
        <f>[1]资金台帐!AJ1820</f>
        <v>0</v>
      </c>
      <c r="AK1820">
        <f>[1]资金台帐!AK1820</f>
        <v>0</v>
      </c>
      <c r="BA1820" s="22">
        <f t="shared" si="0"/>
      </c>
      <c r="BG1820" s="22">
        <f t="shared" si="1"/>
      </c>
      <c r="BH1820" s="22">
        <f t="shared" si="2"/>
        <v>0</v>
      </c>
    </row>
    <row r="1821">
      <c r="B1821">
        <f>[1]资金台帐!B1821&amp;""</f>
      </c>
      <c r="H1821">
        <f>[1]资金台帐!H1821&amp;""</f>
      </c>
      <c r="J1821">
        <f>[1]资金台帐!J1821&amp;""</f>
      </c>
      <c r="N1821">
        <f>[1]资金台帐!N1821</f>
      </c>
      <c r="O1821">
        <f>[1]资金台帐!O1821&amp;""</f>
      </c>
      <c r="P1821">
        <f>[1]资金台帐!P1821&amp;""</f>
      </c>
      <c r="Q1821">
        <f>[1]资金台帐!Q1821&amp;""</f>
      </c>
      <c r="T1821">
        <f>[1]资金台帐!T1821&amp;""</f>
      </c>
      <c r="U1821">
        <f>[1]资金台帐!U1821&amp;""</f>
      </c>
      <c r="W1821">
        <f>[1]资金台帐!W1821&amp;""</f>
      </c>
      <c r="X1821">
        <f>[1]资金台帐!X1821&amp;""</f>
      </c>
      <c r="AB1821">
        <f>[1]资金台帐!AB1821</f>
        <v>0</v>
      </c>
      <c r="AC1821">
        <f>[1]资金台帐!AC1821</f>
        <v>0</v>
      </c>
      <c r="AD1821">
        <f>[1]资金台帐!AD1821</f>
        <v>0</v>
      </c>
      <c r="AJ1821">
        <f>[1]资金台帐!AJ1821</f>
        <v>0</v>
      </c>
      <c r="AK1821">
        <f>[1]资金台帐!AK1821</f>
        <v>0</v>
      </c>
      <c r="BA1821" s="22">
        <f t="shared" si="0"/>
      </c>
      <c r="BG1821" s="22">
        <f t="shared" si="1"/>
      </c>
      <c r="BH1821" s="22">
        <f t="shared" si="2"/>
        <v>0</v>
      </c>
    </row>
    <row r="1822">
      <c r="B1822">
        <f>[1]资金台帐!B1822&amp;""</f>
      </c>
      <c r="H1822">
        <f>[1]资金台帐!H1822&amp;""</f>
      </c>
      <c r="J1822">
        <f>[1]资金台帐!J1822&amp;""</f>
      </c>
      <c r="N1822">
        <f>[1]资金台帐!N1822</f>
      </c>
      <c r="O1822">
        <f>[1]资金台帐!O1822&amp;""</f>
      </c>
      <c r="P1822">
        <f>[1]资金台帐!P1822&amp;""</f>
      </c>
      <c r="Q1822">
        <f>[1]资金台帐!Q1822&amp;""</f>
      </c>
      <c r="T1822">
        <f>[1]资金台帐!T1822&amp;""</f>
      </c>
      <c r="U1822">
        <f>[1]资金台帐!U1822&amp;""</f>
      </c>
      <c r="W1822">
        <f>[1]资金台帐!W1822&amp;""</f>
      </c>
      <c r="X1822">
        <f>[1]资金台帐!X1822&amp;""</f>
      </c>
      <c r="AB1822">
        <f>[1]资金台帐!AB1822</f>
        <v>0</v>
      </c>
      <c r="AC1822">
        <f>[1]资金台帐!AC1822</f>
        <v>0</v>
      </c>
      <c r="AD1822">
        <f>[1]资金台帐!AD1822</f>
        <v>0</v>
      </c>
      <c r="AJ1822">
        <f>[1]资金台帐!AJ1822</f>
        <v>0</v>
      </c>
      <c r="AK1822">
        <f>[1]资金台帐!AK1822</f>
        <v>0</v>
      </c>
      <c r="BA1822" s="22">
        <f t="shared" si="0"/>
      </c>
      <c r="BG1822" s="22">
        <f t="shared" si="1"/>
      </c>
      <c r="BH1822" s="22">
        <f t="shared" si="2"/>
        <v>0</v>
      </c>
    </row>
    <row r="1823">
      <c r="B1823">
        <f>[1]资金台帐!B1823&amp;""</f>
      </c>
      <c r="H1823">
        <f>[1]资金台帐!H1823&amp;""</f>
      </c>
      <c r="J1823">
        <f>[1]资金台帐!J1823&amp;""</f>
      </c>
      <c r="N1823">
        <f>[1]资金台帐!N1823</f>
      </c>
      <c r="O1823">
        <f>[1]资金台帐!O1823&amp;""</f>
      </c>
      <c r="P1823">
        <f>[1]资金台帐!P1823&amp;""</f>
      </c>
      <c r="Q1823">
        <f>[1]资金台帐!Q1823&amp;""</f>
      </c>
      <c r="T1823">
        <f>[1]资金台帐!T1823&amp;""</f>
      </c>
      <c r="U1823">
        <f>[1]资金台帐!U1823&amp;""</f>
      </c>
      <c r="W1823">
        <f>[1]资金台帐!W1823&amp;""</f>
      </c>
      <c r="X1823">
        <f>[1]资金台帐!X1823&amp;""</f>
      </c>
      <c r="AB1823">
        <f>[1]资金台帐!AB1823</f>
        <v>0</v>
      </c>
      <c r="AC1823">
        <f>[1]资金台帐!AC1823</f>
        <v>0</v>
      </c>
      <c r="AD1823">
        <f>[1]资金台帐!AD1823</f>
        <v>0</v>
      </c>
      <c r="AJ1823">
        <f>[1]资金台帐!AJ1823</f>
        <v>0</v>
      </c>
      <c r="AK1823">
        <f>[1]资金台帐!AK1823</f>
        <v>0</v>
      </c>
      <c r="BA1823" s="22">
        <f t="shared" si="0"/>
      </c>
      <c r="BG1823" s="22">
        <f t="shared" si="1"/>
      </c>
      <c r="BH1823" s="22">
        <f t="shared" si="2"/>
        <v>0</v>
      </c>
    </row>
    <row r="1824">
      <c r="B1824">
        <f>[1]资金台帐!B1824&amp;""</f>
      </c>
      <c r="H1824">
        <f>[1]资金台帐!H1824&amp;""</f>
      </c>
      <c r="J1824">
        <f>[1]资金台帐!J1824&amp;""</f>
      </c>
      <c r="N1824">
        <f>[1]资金台帐!N1824</f>
      </c>
      <c r="O1824">
        <f>[1]资金台帐!O1824&amp;""</f>
      </c>
      <c r="P1824">
        <f>[1]资金台帐!P1824&amp;""</f>
      </c>
      <c r="Q1824">
        <f>[1]资金台帐!Q1824&amp;""</f>
      </c>
      <c r="T1824">
        <f>[1]资金台帐!T1824&amp;""</f>
      </c>
      <c r="U1824">
        <f>[1]资金台帐!U1824&amp;""</f>
      </c>
      <c r="W1824">
        <f>[1]资金台帐!W1824&amp;""</f>
      </c>
      <c r="X1824">
        <f>[1]资金台帐!X1824&amp;""</f>
      </c>
      <c r="AB1824">
        <f>[1]资金台帐!AB1824</f>
        <v>0</v>
      </c>
      <c r="AC1824">
        <f>[1]资金台帐!AC1824</f>
        <v>0</v>
      </c>
      <c r="AD1824">
        <f>[1]资金台帐!AD1824</f>
        <v>0</v>
      </c>
      <c r="AJ1824">
        <f>[1]资金台帐!AJ1824</f>
        <v>0</v>
      </c>
      <c r="AK1824">
        <f>[1]资金台帐!AK1824</f>
        <v>0</v>
      </c>
      <c r="BA1824" s="22">
        <f t="shared" si="0"/>
      </c>
      <c r="BG1824" s="22">
        <f t="shared" si="1"/>
      </c>
      <c r="BH1824" s="22">
        <f t="shared" si="2"/>
        <v>0</v>
      </c>
    </row>
    <row r="1825">
      <c r="B1825">
        <f>[1]资金台帐!B1825&amp;""</f>
      </c>
      <c r="H1825">
        <f>[1]资金台帐!H1825&amp;""</f>
      </c>
      <c r="J1825">
        <f>[1]资金台帐!J1825&amp;""</f>
      </c>
      <c r="N1825">
        <f>[1]资金台帐!N1825</f>
      </c>
      <c r="O1825">
        <f>[1]资金台帐!O1825&amp;""</f>
      </c>
      <c r="P1825">
        <f>[1]资金台帐!P1825&amp;""</f>
      </c>
      <c r="Q1825">
        <f>[1]资金台帐!Q1825&amp;""</f>
      </c>
      <c r="T1825">
        <f>[1]资金台帐!T1825&amp;""</f>
      </c>
      <c r="U1825">
        <f>[1]资金台帐!U1825&amp;""</f>
      </c>
      <c r="W1825">
        <f>[1]资金台帐!W1825&amp;""</f>
      </c>
      <c r="X1825">
        <f>[1]资金台帐!X1825&amp;""</f>
      </c>
      <c r="AB1825">
        <f>[1]资金台帐!AB1825</f>
        <v>0</v>
      </c>
      <c r="AC1825">
        <f>[1]资金台帐!AC1825</f>
        <v>0</v>
      </c>
      <c r="AD1825">
        <f>[1]资金台帐!AD1825</f>
        <v>0</v>
      </c>
      <c r="AJ1825">
        <f>[1]资金台帐!AJ1825</f>
        <v>0</v>
      </c>
      <c r="AK1825">
        <f>[1]资金台帐!AK1825</f>
        <v>0</v>
      </c>
      <c r="BA1825" s="22">
        <f t="shared" si="0"/>
      </c>
      <c r="BG1825" s="22">
        <f t="shared" si="1"/>
      </c>
      <c r="BH1825" s="22">
        <f t="shared" si="2"/>
        <v>0</v>
      </c>
    </row>
    <row r="1826">
      <c r="B1826">
        <f>[1]资金台帐!B1826&amp;""</f>
      </c>
      <c r="H1826">
        <f>[1]资金台帐!H1826&amp;""</f>
      </c>
      <c r="J1826">
        <f>[1]资金台帐!J1826&amp;""</f>
      </c>
      <c r="N1826">
        <f>[1]资金台帐!N1826</f>
      </c>
      <c r="O1826">
        <f>[1]资金台帐!O1826&amp;""</f>
      </c>
      <c r="P1826">
        <f>[1]资金台帐!P1826&amp;""</f>
      </c>
      <c r="Q1826">
        <f>[1]资金台帐!Q1826&amp;""</f>
      </c>
      <c r="T1826">
        <f>[1]资金台帐!T1826&amp;""</f>
      </c>
      <c r="U1826">
        <f>[1]资金台帐!U1826&amp;""</f>
      </c>
      <c r="W1826">
        <f>[1]资金台帐!W1826&amp;""</f>
      </c>
      <c r="X1826">
        <f>[1]资金台帐!X1826&amp;""</f>
      </c>
      <c r="AB1826">
        <f>[1]资金台帐!AB1826</f>
        <v>0</v>
      </c>
      <c r="AC1826">
        <f>[1]资金台帐!AC1826</f>
        <v>0</v>
      </c>
      <c r="AD1826">
        <f>[1]资金台帐!AD1826</f>
        <v>0</v>
      </c>
      <c r="AJ1826">
        <f>[1]资金台帐!AJ1826</f>
        <v>0</v>
      </c>
      <c r="AK1826">
        <f>[1]资金台帐!AK1826</f>
        <v>0</v>
      </c>
      <c r="BA1826" s="22">
        <f t="shared" si="0"/>
      </c>
      <c r="BG1826" s="22">
        <f t="shared" si="1"/>
      </c>
      <c r="BH1826" s="22">
        <f t="shared" si="2"/>
        <v>0</v>
      </c>
    </row>
    <row r="1827">
      <c r="B1827">
        <f>[1]资金台帐!B1827&amp;""</f>
      </c>
      <c r="H1827">
        <f>[1]资金台帐!H1827&amp;""</f>
      </c>
      <c r="J1827">
        <f>[1]资金台帐!J1827&amp;""</f>
      </c>
      <c r="N1827">
        <f>[1]资金台帐!N1827</f>
      </c>
      <c r="O1827">
        <f>[1]资金台帐!O1827&amp;""</f>
      </c>
      <c r="P1827">
        <f>[1]资金台帐!P1827&amp;""</f>
      </c>
      <c r="Q1827">
        <f>[1]资金台帐!Q1827&amp;""</f>
      </c>
      <c r="T1827">
        <f>[1]资金台帐!T1827&amp;""</f>
      </c>
      <c r="U1827">
        <f>[1]资金台帐!U1827&amp;""</f>
      </c>
      <c r="W1827">
        <f>[1]资金台帐!W1827&amp;""</f>
      </c>
      <c r="X1827">
        <f>[1]资金台帐!X1827&amp;""</f>
      </c>
      <c r="AB1827">
        <f>[1]资金台帐!AB1827</f>
        <v>0</v>
      </c>
      <c r="AC1827">
        <f>[1]资金台帐!AC1827</f>
        <v>0</v>
      </c>
      <c r="AD1827">
        <f>[1]资金台帐!AD1827</f>
        <v>0</v>
      </c>
      <c r="AJ1827">
        <f>[1]资金台帐!AJ1827</f>
        <v>0</v>
      </c>
      <c r="AK1827">
        <f>[1]资金台帐!AK1827</f>
        <v>0</v>
      </c>
      <c r="BA1827" s="22">
        <f t="shared" si="0"/>
      </c>
      <c r="BG1827" s="22">
        <f t="shared" si="1"/>
      </c>
      <c r="BH1827" s="22">
        <f t="shared" si="2"/>
        <v>0</v>
      </c>
    </row>
    <row r="1828">
      <c r="B1828">
        <f>[1]资金台帐!B1828&amp;""</f>
      </c>
      <c r="H1828">
        <f>[1]资金台帐!H1828&amp;""</f>
      </c>
      <c r="J1828">
        <f>[1]资金台帐!J1828&amp;""</f>
      </c>
      <c r="N1828">
        <f>[1]资金台帐!N1828</f>
      </c>
      <c r="O1828">
        <f>[1]资金台帐!O1828&amp;""</f>
      </c>
      <c r="P1828">
        <f>[1]资金台帐!P1828&amp;""</f>
      </c>
      <c r="Q1828">
        <f>[1]资金台帐!Q1828&amp;""</f>
      </c>
      <c r="T1828">
        <f>[1]资金台帐!T1828&amp;""</f>
      </c>
      <c r="U1828">
        <f>[1]资金台帐!U1828&amp;""</f>
      </c>
      <c r="W1828">
        <f>[1]资金台帐!W1828&amp;""</f>
      </c>
      <c r="X1828">
        <f>[1]资金台帐!X1828&amp;""</f>
      </c>
      <c r="AB1828">
        <f>[1]资金台帐!AB1828</f>
        <v>0</v>
      </c>
      <c r="AC1828">
        <f>[1]资金台帐!AC1828</f>
        <v>0</v>
      </c>
      <c r="AD1828">
        <f>[1]资金台帐!AD1828</f>
        <v>0</v>
      </c>
      <c r="AJ1828">
        <f>[1]资金台帐!AJ1828</f>
        <v>0</v>
      </c>
      <c r="AK1828">
        <f>[1]资金台帐!AK1828</f>
        <v>0</v>
      </c>
      <c r="BA1828" s="22">
        <f t="shared" si="0"/>
      </c>
      <c r="BG1828" s="22">
        <f t="shared" si="1"/>
      </c>
      <c r="BH1828" s="22">
        <f t="shared" si="2"/>
        <v>0</v>
      </c>
    </row>
    <row r="1829">
      <c r="B1829">
        <f>[1]资金台帐!B1829&amp;""</f>
      </c>
      <c r="H1829">
        <f>[1]资金台帐!H1829&amp;""</f>
      </c>
      <c r="J1829">
        <f>[1]资金台帐!J1829&amp;""</f>
      </c>
      <c r="N1829">
        <f>[1]资金台帐!N1829</f>
      </c>
      <c r="O1829">
        <f>[1]资金台帐!O1829&amp;""</f>
      </c>
      <c r="P1829">
        <f>[1]资金台帐!P1829&amp;""</f>
      </c>
      <c r="Q1829">
        <f>[1]资金台帐!Q1829&amp;""</f>
      </c>
      <c r="T1829">
        <f>[1]资金台帐!T1829&amp;""</f>
      </c>
      <c r="U1829">
        <f>[1]资金台帐!U1829&amp;""</f>
      </c>
      <c r="W1829">
        <f>[1]资金台帐!W1829&amp;""</f>
      </c>
      <c r="X1829">
        <f>[1]资金台帐!X1829&amp;""</f>
      </c>
      <c r="AB1829">
        <f>[1]资金台帐!AB1829</f>
        <v>0</v>
      </c>
      <c r="AC1829">
        <f>[1]资金台帐!AC1829</f>
        <v>0</v>
      </c>
      <c r="AD1829">
        <f>[1]资金台帐!AD1829</f>
        <v>0</v>
      </c>
      <c r="AJ1829">
        <f>[1]资金台帐!AJ1829</f>
        <v>0</v>
      </c>
      <c r="AK1829">
        <f>[1]资金台帐!AK1829</f>
        <v>0</v>
      </c>
      <c r="BA1829" s="22">
        <f t="shared" si="0"/>
      </c>
      <c r="BG1829" s="22">
        <f t="shared" si="1"/>
      </c>
      <c r="BH1829" s="22">
        <f t="shared" si="2"/>
        <v>0</v>
      </c>
    </row>
    <row r="1830">
      <c r="B1830">
        <f>[1]资金台帐!B1830&amp;""</f>
      </c>
      <c r="H1830">
        <f>[1]资金台帐!H1830&amp;""</f>
      </c>
      <c r="J1830">
        <f>[1]资金台帐!J1830&amp;""</f>
      </c>
      <c r="N1830">
        <f>[1]资金台帐!N1830</f>
      </c>
      <c r="O1830">
        <f>[1]资金台帐!O1830&amp;""</f>
      </c>
      <c r="P1830">
        <f>[1]资金台帐!P1830&amp;""</f>
      </c>
      <c r="Q1830">
        <f>[1]资金台帐!Q1830&amp;""</f>
      </c>
      <c r="T1830">
        <f>[1]资金台帐!T1830&amp;""</f>
      </c>
      <c r="U1830">
        <f>[1]资金台帐!U1830&amp;""</f>
      </c>
      <c r="W1830">
        <f>[1]资金台帐!W1830&amp;""</f>
      </c>
      <c r="X1830">
        <f>[1]资金台帐!X1830&amp;""</f>
      </c>
      <c r="AB1830">
        <f>[1]资金台帐!AB1830</f>
        <v>0</v>
      </c>
      <c r="AC1830">
        <f>[1]资金台帐!AC1830</f>
        <v>0</v>
      </c>
      <c r="AD1830">
        <f>[1]资金台帐!AD1830</f>
        <v>0</v>
      </c>
      <c r="AJ1830">
        <f>[1]资金台帐!AJ1830</f>
        <v>0</v>
      </c>
      <c r="AK1830">
        <f>[1]资金台帐!AK1830</f>
        <v>0</v>
      </c>
      <c r="BA1830" s="22">
        <f t="shared" si="0"/>
      </c>
      <c r="BG1830" s="22">
        <f t="shared" si="1"/>
      </c>
      <c r="BH1830" s="22">
        <f t="shared" si="2"/>
        <v>0</v>
      </c>
    </row>
    <row r="1831">
      <c r="B1831">
        <f>[1]资金台帐!B1831&amp;""</f>
      </c>
      <c r="H1831">
        <f>[1]资金台帐!H1831&amp;""</f>
      </c>
      <c r="J1831">
        <f>[1]资金台帐!J1831&amp;""</f>
      </c>
      <c r="N1831">
        <f>[1]资金台帐!N1831</f>
      </c>
      <c r="O1831">
        <f>[1]资金台帐!O1831&amp;""</f>
      </c>
      <c r="P1831">
        <f>[1]资金台帐!P1831&amp;""</f>
      </c>
      <c r="Q1831">
        <f>[1]资金台帐!Q1831&amp;""</f>
      </c>
      <c r="T1831">
        <f>[1]资金台帐!T1831&amp;""</f>
      </c>
      <c r="U1831">
        <f>[1]资金台帐!U1831&amp;""</f>
      </c>
      <c r="W1831">
        <f>[1]资金台帐!W1831&amp;""</f>
      </c>
      <c r="X1831">
        <f>[1]资金台帐!X1831&amp;""</f>
      </c>
      <c r="AB1831">
        <f>[1]资金台帐!AB1831</f>
        <v>0</v>
      </c>
      <c r="AC1831">
        <f>[1]资金台帐!AC1831</f>
        <v>0</v>
      </c>
      <c r="AD1831">
        <f>[1]资金台帐!AD1831</f>
        <v>0</v>
      </c>
      <c r="AJ1831">
        <f>[1]资金台帐!AJ1831</f>
        <v>0</v>
      </c>
      <c r="AK1831">
        <f>[1]资金台帐!AK1831</f>
        <v>0</v>
      </c>
      <c r="BA1831" s="22">
        <f t="shared" si="0"/>
      </c>
      <c r="BG1831" s="22">
        <f t="shared" si="1"/>
      </c>
      <c r="BH1831" s="22">
        <f t="shared" si="2"/>
        <v>0</v>
      </c>
    </row>
    <row r="1832">
      <c r="B1832">
        <f>[1]资金台帐!B1832&amp;""</f>
      </c>
      <c r="H1832">
        <f>[1]资金台帐!H1832&amp;""</f>
      </c>
      <c r="J1832">
        <f>[1]资金台帐!J1832&amp;""</f>
      </c>
      <c r="N1832">
        <f>[1]资金台帐!N1832</f>
      </c>
      <c r="O1832">
        <f>[1]资金台帐!O1832&amp;""</f>
      </c>
      <c r="P1832">
        <f>[1]资金台帐!P1832&amp;""</f>
      </c>
      <c r="Q1832">
        <f>[1]资金台帐!Q1832&amp;""</f>
      </c>
      <c r="T1832">
        <f>[1]资金台帐!T1832&amp;""</f>
      </c>
      <c r="U1832">
        <f>[1]资金台帐!U1832&amp;""</f>
      </c>
      <c r="W1832">
        <f>[1]资金台帐!W1832&amp;""</f>
      </c>
      <c r="X1832">
        <f>[1]资金台帐!X1832&amp;""</f>
      </c>
      <c r="AB1832">
        <f>[1]资金台帐!AB1832</f>
        <v>0</v>
      </c>
      <c r="AC1832">
        <f>[1]资金台帐!AC1832</f>
        <v>0</v>
      </c>
      <c r="AD1832">
        <f>[1]资金台帐!AD1832</f>
        <v>0</v>
      </c>
      <c r="AJ1832">
        <f>[1]资金台帐!AJ1832</f>
        <v>0</v>
      </c>
      <c r="AK1832">
        <f>[1]资金台帐!AK1832</f>
        <v>0</v>
      </c>
      <c r="BA1832" s="22">
        <f t="shared" si="0"/>
      </c>
      <c r="BG1832" s="22">
        <f t="shared" si="1"/>
      </c>
      <c r="BH1832" s="22">
        <f t="shared" si="2"/>
        <v>0</v>
      </c>
    </row>
    <row r="1833">
      <c r="B1833">
        <f>[1]资金台帐!B1833&amp;""</f>
      </c>
      <c r="H1833">
        <f>[1]资金台帐!H1833&amp;""</f>
      </c>
      <c r="J1833">
        <f>[1]资金台帐!J1833&amp;""</f>
      </c>
      <c r="N1833">
        <f>[1]资金台帐!N1833</f>
      </c>
      <c r="O1833">
        <f>[1]资金台帐!O1833&amp;""</f>
      </c>
      <c r="P1833">
        <f>[1]资金台帐!P1833&amp;""</f>
      </c>
      <c r="Q1833">
        <f>[1]资金台帐!Q1833&amp;""</f>
      </c>
      <c r="T1833">
        <f>[1]资金台帐!T1833&amp;""</f>
      </c>
      <c r="U1833">
        <f>[1]资金台帐!U1833&amp;""</f>
      </c>
      <c r="W1833">
        <f>[1]资金台帐!W1833&amp;""</f>
      </c>
      <c r="X1833">
        <f>[1]资金台帐!X1833&amp;""</f>
      </c>
      <c r="AB1833">
        <f>[1]资金台帐!AB1833</f>
        <v>0</v>
      </c>
      <c r="AC1833">
        <f>[1]资金台帐!AC1833</f>
        <v>0</v>
      </c>
      <c r="AD1833">
        <f>[1]资金台帐!AD1833</f>
        <v>0</v>
      </c>
      <c r="AJ1833">
        <f>[1]资金台帐!AJ1833</f>
        <v>0</v>
      </c>
      <c r="AK1833">
        <f>[1]资金台帐!AK1833</f>
        <v>0</v>
      </c>
      <c r="BA1833" s="22">
        <f t="shared" si="0"/>
      </c>
      <c r="BG1833" s="22">
        <f t="shared" si="1"/>
      </c>
      <c r="BH1833" s="22">
        <f t="shared" si="2"/>
        <v>0</v>
      </c>
    </row>
    <row r="1834">
      <c r="B1834">
        <f>[1]资金台帐!B1834&amp;""</f>
      </c>
      <c r="H1834">
        <f>[1]资金台帐!H1834&amp;""</f>
      </c>
      <c r="J1834">
        <f>[1]资金台帐!J1834&amp;""</f>
      </c>
      <c r="N1834">
        <f>[1]资金台帐!N1834</f>
      </c>
      <c r="O1834">
        <f>[1]资金台帐!O1834&amp;""</f>
      </c>
      <c r="P1834">
        <f>[1]资金台帐!P1834&amp;""</f>
      </c>
      <c r="Q1834">
        <f>[1]资金台帐!Q1834&amp;""</f>
      </c>
      <c r="T1834">
        <f>[1]资金台帐!T1834&amp;""</f>
      </c>
      <c r="U1834">
        <f>[1]资金台帐!U1834&amp;""</f>
      </c>
      <c r="W1834">
        <f>[1]资金台帐!W1834&amp;""</f>
      </c>
      <c r="X1834">
        <f>[1]资金台帐!X1834&amp;""</f>
      </c>
      <c r="AB1834">
        <f>[1]资金台帐!AB1834</f>
        <v>0</v>
      </c>
      <c r="AC1834">
        <f>[1]资金台帐!AC1834</f>
        <v>0</v>
      </c>
      <c r="AD1834">
        <f>[1]资金台帐!AD1834</f>
        <v>0</v>
      </c>
      <c r="AJ1834">
        <f>[1]资金台帐!AJ1834</f>
        <v>0</v>
      </c>
      <c r="AK1834">
        <f>[1]资金台帐!AK1834</f>
        <v>0</v>
      </c>
      <c r="BA1834" s="22">
        <f t="shared" si="0"/>
      </c>
      <c r="BG1834" s="22">
        <f t="shared" si="1"/>
      </c>
      <c r="BH1834" s="22">
        <f t="shared" si="2"/>
        <v>0</v>
      </c>
    </row>
    <row r="1835">
      <c r="B1835">
        <f>[1]资金台帐!B1835&amp;""</f>
      </c>
      <c r="H1835">
        <f>[1]资金台帐!H1835&amp;""</f>
      </c>
      <c r="J1835">
        <f>[1]资金台帐!J1835&amp;""</f>
      </c>
      <c r="N1835">
        <f>[1]资金台帐!N1835</f>
      </c>
      <c r="O1835">
        <f>[1]资金台帐!O1835&amp;""</f>
      </c>
      <c r="P1835">
        <f>[1]资金台帐!P1835&amp;""</f>
      </c>
      <c r="Q1835">
        <f>[1]资金台帐!Q1835&amp;""</f>
      </c>
      <c r="T1835">
        <f>[1]资金台帐!T1835&amp;""</f>
      </c>
      <c r="U1835">
        <f>[1]资金台帐!U1835&amp;""</f>
      </c>
      <c r="W1835">
        <f>[1]资金台帐!W1835&amp;""</f>
      </c>
      <c r="X1835">
        <f>[1]资金台帐!X1835&amp;""</f>
      </c>
      <c r="AB1835">
        <f>[1]资金台帐!AB1835</f>
        <v>0</v>
      </c>
      <c r="AC1835">
        <f>[1]资金台帐!AC1835</f>
        <v>0</v>
      </c>
      <c r="AD1835">
        <f>[1]资金台帐!AD1835</f>
        <v>0</v>
      </c>
      <c r="AJ1835">
        <f>[1]资金台帐!AJ1835</f>
        <v>0</v>
      </c>
      <c r="AK1835">
        <f>[1]资金台帐!AK1835</f>
        <v>0</v>
      </c>
      <c r="BA1835" s="22">
        <f t="shared" si="0"/>
      </c>
      <c r="BG1835" s="22">
        <f t="shared" si="1"/>
      </c>
      <c r="BH1835" s="22">
        <f t="shared" si="2"/>
        <v>0</v>
      </c>
    </row>
    <row r="1836">
      <c r="B1836">
        <f>[1]资金台帐!B1836&amp;""</f>
      </c>
      <c r="H1836">
        <f>[1]资金台帐!H1836&amp;""</f>
      </c>
      <c r="J1836">
        <f>[1]资金台帐!J1836&amp;""</f>
      </c>
      <c r="N1836">
        <f>[1]资金台帐!N1836</f>
      </c>
      <c r="O1836">
        <f>[1]资金台帐!O1836&amp;""</f>
      </c>
      <c r="P1836">
        <f>[1]资金台帐!P1836&amp;""</f>
      </c>
      <c r="Q1836">
        <f>[1]资金台帐!Q1836&amp;""</f>
      </c>
      <c r="T1836">
        <f>[1]资金台帐!T1836&amp;""</f>
      </c>
      <c r="U1836">
        <f>[1]资金台帐!U1836&amp;""</f>
      </c>
      <c r="W1836">
        <f>[1]资金台帐!W1836&amp;""</f>
      </c>
      <c r="X1836">
        <f>[1]资金台帐!X1836&amp;""</f>
      </c>
      <c r="AB1836">
        <f>[1]资金台帐!AB1836</f>
        <v>0</v>
      </c>
      <c r="AC1836">
        <f>[1]资金台帐!AC1836</f>
        <v>0</v>
      </c>
      <c r="AD1836">
        <f>[1]资金台帐!AD1836</f>
        <v>0</v>
      </c>
      <c r="AJ1836">
        <f>[1]资金台帐!AJ1836</f>
        <v>0</v>
      </c>
      <c r="AK1836">
        <f>[1]资金台帐!AK1836</f>
        <v>0</v>
      </c>
      <c r="BA1836" s="22">
        <f t="shared" si="0"/>
      </c>
      <c r="BG1836" s="22">
        <f t="shared" si="1"/>
      </c>
      <c r="BH1836" s="22">
        <f t="shared" si="2"/>
        <v>0</v>
      </c>
    </row>
    <row r="1837">
      <c r="B1837">
        <f>[1]资金台帐!B1837&amp;""</f>
      </c>
      <c r="H1837">
        <f>[1]资金台帐!H1837&amp;""</f>
      </c>
      <c r="J1837">
        <f>[1]资金台帐!J1837&amp;""</f>
      </c>
      <c r="N1837">
        <f>[1]资金台帐!N1837</f>
      </c>
      <c r="O1837">
        <f>[1]资金台帐!O1837&amp;""</f>
      </c>
      <c r="P1837">
        <f>[1]资金台帐!P1837&amp;""</f>
      </c>
      <c r="Q1837">
        <f>[1]资金台帐!Q1837&amp;""</f>
      </c>
      <c r="T1837">
        <f>[1]资金台帐!T1837&amp;""</f>
      </c>
      <c r="U1837">
        <f>[1]资金台帐!U1837&amp;""</f>
      </c>
      <c r="W1837">
        <f>[1]资金台帐!W1837&amp;""</f>
      </c>
      <c r="X1837">
        <f>[1]资金台帐!X1837&amp;""</f>
      </c>
      <c r="AB1837">
        <f>[1]资金台帐!AB1837</f>
        <v>0</v>
      </c>
      <c r="AC1837">
        <f>[1]资金台帐!AC1837</f>
        <v>0</v>
      </c>
      <c r="AD1837">
        <f>[1]资金台帐!AD1837</f>
        <v>0</v>
      </c>
      <c r="AJ1837">
        <f>[1]资金台帐!AJ1837</f>
        <v>0</v>
      </c>
      <c r="AK1837">
        <f>[1]资金台帐!AK1837</f>
        <v>0</v>
      </c>
      <c r="BA1837" s="22">
        <f t="shared" si="0"/>
      </c>
      <c r="BG1837" s="22">
        <f t="shared" si="1"/>
      </c>
      <c r="BH1837" s="22">
        <f t="shared" si="2"/>
        <v>0</v>
      </c>
    </row>
    <row r="1838">
      <c r="B1838">
        <f>[1]资金台帐!B1838&amp;""</f>
      </c>
      <c r="H1838">
        <f>[1]资金台帐!H1838&amp;""</f>
      </c>
      <c r="J1838">
        <f>[1]资金台帐!J1838&amp;""</f>
      </c>
      <c r="N1838">
        <f>[1]资金台帐!N1838</f>
      </c>
      <c r="O1838">
        <f>[1]资金台帐!O1838&amp;""</f>
      </c>
      <c r="P1838">
        <f>[1]资金台帐!P1838&amp;""</f>
      </c>
      <c r="Q1838">
        <f>[1]资金台帐!Q1838&amp;""</f>
      </c>
      <c r="T1838">
        <f>[1]资金台帐!T1838&amp;""</f>
      </c>
      <c r="U1838">
        <f>[1]资金台帐!U1838&amp;""</f>
      </c>
      <c r="W1838">
        <f>[1]资金台帐!W1838&amp;""</f>
      </c>
      <c r="X1838">
        <f>[1]资金台帐!X1838&amp;""</f>
      </c>
      <c r="AB1838">
        <f>[1]资金台帐!AB1838</f>
        <v>0</v>
      </c>
      <c r="AC1838">
        <f>[1]资金台帐!AC1838</f>
        <v>0</v>
      </c>
      <c r="AD1838">
        <f>[1]资金台帐!AD1838</f>
        <v>0</v>
      </c>
      <c r="AJ1838">
        <f>[1]资金台帐!AJ1838</f>
        <v>0</v>
      </c>
      <c r="AK1838">
        <f>[1]资金台帐!AK1838</f>
        <v>0</v>
      </c>
      <c r="BA1838" s="22">
        <f t="shared" si="0"/>
      </c>
      <c r="BG1838" s="22">
        <f t="shared" si="1"/>
      </c>
      <c r="BH1838" s="22">
        <f t="shared" si="2"/>
        <v>0</v>
      </c>
    </row>
    <row r="1839">
      <c r="B1839">
        <f>[1]资金台帐!B1839&amp;""</f>
      </c>
      <c r="H1839">
        <f>[1]资金台帐!H1839&amp;""</f>
      </c>
      <c r="J1839">
        <f>[1]资金台帐!J1839&amp;""</f>
      </c>
      <c r="N1839">
        <f>[1]资金台帐!N1839</f>
      </c>
      <c r="O1839">
        <f>[1]资金台帐!O1839&amp;""</f>
      </c>
      <c r="P1839">
        <f>[1]资金台帐!P1839&amp;""</f>
      </c>
      <c r="Q1839">
        <f>[1]资金台帐!Q1839&amp;""</f>
      </c>
      <c r="T1839">
        <f>[1]资金台帐!T1839&amp;""</f>
      </c>
      <c r="U1839">
        <f>[1]资金台帐!U1839&amp;""</f>
      </c>
      <c r="W1839">
        <f>[1]资金台帐!W1839&amp;""</f>
      </c>
      <c r="X1839">
        <f>[1]资金台帐!X1839&amp;""</f>
      </c>
      <c r="AB1839">
        <f>[1]资金台帐!AB1839</f>
        <v>0</v>
      </c>
      <c r="AC1839">
        <f>[1]资金台帐!AC1839</f>
        <v>0</v>
      </c>
      <c r="AD1839">
        <f>[1]资金台帐!AD1839</f>
        <v>0</v>
      </c>
      <c r="AJ1839">
        <f>[1]资金台帐!AJ1839</f>
        <v>0</v>
      </c>
      <c r="AK1839">
        <f>[1]资金台帐!AK1839</f>
        <v>0</v>
      </c>
      <c r="BA1839" s="22">
        <f t="shared" si="0"/>
      </c>
      <c r="BG1839" s="22">
        <f t="shared" si="1"/>
      </c>
      <c r="BH1839" s="22">
        <f t="shared" si="2"/>
        <v>0</v>
      </c>
    </row>
    <row r="1840">
      <c r="B1840">
        <f>[1]资金台帐!B1840&amp;""</f>
      </c>
      <c r="H1840">
        <f>[1]资金台帐!H1840&amp;""</f>
      </c>
      <c r="J1840">
        <f>[1]资金台帐!J1840&amp;""</f>
      </c>
      <c r="N1840">
        <f>[1]资金台帐!N1840</f>
      </c>
      <c r="O1840">
        <f>[1]资金台帐!O1840&amp;""</f>
      </c>
      <c r="P1840">
        <f>[1]资金台帐!P1840&amp;""</f>
      </c>
      <c r="Q1840">
        <f>[1]资金台帐!Q1840&amp;""</f>
      </c>
      <c r="T1840">
        <f>[1]资金台帐!T1840&amp;""</f>
      </c>
      <c r="U1840">
        <f>[1]资金台帐!U1840&amp;""</f>
      </c>
      <c r="W1840">
        <f>[1]资金台帐!W1840&amp;""</f>
      </c>
      <c r="X1840">
        <f>[1]资金台帐!X1840&amp;""</f>
      </c>
      <c r="AB1840">
        <f>[1]资金台帐!AB1840</f>
        <v>0</v>
      </c>
      <c r="AC1840">
        <f>[1]资金台帐!AC1840</f>
        <v>0</v>
      </c>
      <c r="AD1840">
        <f>[1]资金台帐!AD1840</f>
        <v>0</v>
      </c>
      <c r="AJ1840">
        <f>[1]资金台帐!AJ1840</f>
        <v>0</v>
      </c>
      <c r="AK1840">
        <f>[1]资金台帐!AK1840</f>
        <v>0</v>
      </c>
      <c r="BA1840" s="22">
        <f t="shared" si="0"/>
      </c>
      <c r="BG1840" s="22">
        <f t="shared" si="1"/>
      </c>
      <c r="BH1840" s="22">
        <f t="shared" si="2"/>
        <v>0</v>
      </c>
    </row>
    <row r="1841">
      <c r="B1841">
        <f>[1]资金台帐!B1841&amp;""</f>
      </c>
      <c r="H1841">
        <f>[1]资金台帐!H1841&amp;""</f>
      </c>
      <c r="J1841">
        <f>[1]资金台帐!J1841&amp;""</f>
      </c>
      <c r="N1841">
        <f>[1]资金台帐!N1841</f>
      </c>
      <c r="O1841">
        <f>[1]资金台帐!O1841&amp;""</f>
      </c>
      <c r="P1841">
        <f>[1]资金台帐!P1841&amp;""</f>
      </c>
      <c r="Q1841">
        <f>[1]资金台帐!Q1841&amp;""</f>
      </c>
      <c r="T1841">
        <f>[1]资金台帐!T1841&amp;""</f>
      </c>
      <c r="U1841">
        <f>[1]资金台帐!U1841&amp;""</f>
      </c>
      <c r="W1841">
        <f>[1]资金台帐!W1841&amp;""</f>
      </c>
      <c r="X1841">
        <f>[1]资金台帐!X1841&amp;""</f>
      </c>
      <c r="AB1841">
        <f>[1]资金台帐!AB1841</f>
        <v>0</v>
      </c>
      <c r="AC1841">
        <f>[1]资金台帐!AC1841</f>
        <v>0</v>
      </c>
      <c r="AD1841">
        <f>[1]资金台帐!AD1841</f>
        <v>0</v>
      </c>
      <c r="AJ1841">
        <f>[1]资金台帐!AJ1841</f>
        <v>0</v>
      </c>
      <c r="AK1841">
        <f>[1]资金台帐!AK1841</f>
        <v>0</v>
      </c>
      <c r="BA1841" s="22">
        <f t="shared" si="0"/>
      </c>
      <c r="BG1841" s="22">
        <f t="shared" si="1"/>
      </c>
      <c r="BH1841" s="22">
        <f t="shared" si="2"/>
        <v>0</v>
      </c>
    </row>
    <row r="1842">
      <c r="B1842">
        <f>[1]资金台帐!B1842&amp;""</f>
      </c>
      <c r="H1842">
        <f>[1]资金台帐!H1842&amp;""</f>
      </c>
      <c r="J1842">
        <f>[1]资金台帐!J1842&amp;""</f>
      </c>
      <c r="N1842">
        <f>[1]资金台帐!N1842</f>
      </c>
      <c r="O1842">
        <f>[1]资金台帐!O1842&amp;""</f>
      </c>
      <c r="P1842">
        <f>[1]资金台帐!P1842&amp;""</f>
      </c>
      <c r="Q1842">
        <f>[1]资金台帐!Q1842&amp;""</f>
      </c>
      <c r="T1842">
        <f>[1]资金台帐!T1842&amp;""</f>
      </c>
      <c r="U1842">
        <f>[1]资金台帐!U1842&amp;""</f>
      </c>
      <c r="W1842">
        <f>[1]资金台帐!W1842&amp;""</f>
      </c>
      <c r="X1842">
        <f>[1]资金台帐!X1842&amp;""</f>
      </c>
      <c r="AB1842">
        <f>[1]资金台帐!AB1842</f>
        <v>0</v>
      </c>
      <c r="AC1842">
        <f>[1]资金台帐!AC1842</f>
        <v>0</v>
      </c>
      <c r="AD1842">
        <f>[1]资金台帐!AD1842</f>
        <v>0</v>
      </c>
      <c r="AJ1842">
        <f>[1]资金台帐!AJ1842</f>
        <v>0</v>
      </c>
      <c r="AK1842">
        <f>[1]资金台帐!AK1842</f>
        <v>0</v>
      </c>
      <c r="BA1842" s="22">
        <f t="shared" si="0"/>
      </c>
      <c r="BG1842" s="22">
        <f t="shared" si="1"/>
      </c>
      <c r="BH1842" s="22">
        <f t="shared" si="2"/>
        <v>0</v>
      </c>
    </row>
    <row r="1843">
      <c r="B1843">
        <f>[1]资金台帐!B1843&amp;""</f>
      </c>
      <c r="H1843">
        <f>[1]资金台帐!H1843&amp;""</f>
      </c>
      <c r="J1843">
        <f>[1]资金台帐!J1843&amp;""</f>
      </c>
      <c r="N1843">
        <f>[1]资金台帐!N1843</f>
      </c>
      <c r="O1843">
        <f>[1]资金台帐!O1843&amp;""</f>
      </c>
      <c r="P1843">
        <f>[1]资金台帐!P1843&amp;""</f>
      </c>
      <c r="Q1843">
        <f>[1]资金台帐!Q1843&amp;""</f>
      </c>
      <c r="T1843">
        <f>[1]资金台帐!T1843&amp;""</f>
      </c>
      <c r="U1843">
        <f>[1]资金台帐!U1843&amp;""</f>
      </c>
      <c r="W1843">
        <f>[1]资金台帐!W1843&amp;""</f>
      </c>
      <c r="X1843">
        <f>[1]资金台帐!X1843&amp;""</f>
      </c>
      <c r="AB1843">
        <f>[1]资金台帐!AB1843</f>
        <v>0</v>
      </c>
      <c r="AC1843">
        <f>[1]资金台帐!AC1843</f>
        <v>0</v>
      </c>
      <c r="AD1843">
        <f>[1]资金台帐!AD1843</f>
        <v>0</v>
      </c>
      <c r="AJ1843">
        <f>[1]资金台帐!AJ1843</f>
        <v>0</v>
      </c>
      <c r="AK1843">
        <f>[1]资金台帐!AK1843</f>
        <v>0</v>
      </c>
      <c r="BA1843" s="22">
        <f t="shared" si="0"/>
      </c>
      <c r="BG1843" s="22">
        <f t="shared" si="1"/>
      </c>
      <c r="BH1843" s="22">
        <f t="shared" si="2"/>
        <v>0</v>
      </c>
    </row>
    <row r="1844">
      <c r="B1844">
        <f>[1]资金台帐!B1844&amp;""</f>
      </c>
      <c r="H1844">
        <f>[1]资金台帐!H1844&amp;""</f>
      </c>
      <c r="J1844">
        <f>[1]资金台帐!J1844&amp;""</f>
      </c>
      <c r="N1844">
        <f>[1]资金台帐!N1844</f>
      </c>
      <c r="O1844">
        <f>[1]资金台帐!O1844&amp;""</f>
      </c>
      <c r="P1844">
        <f>[1]资金台帐!P1844&amp;""</f>
      </c>
      <c r="Q1844">
        <f>[1]资金台帐!Q1844&amp;""</f>
      </c>
      <c r="T1844">
        <f>[1]资金台帐!T1844&amp;""</f>
      </c>
      <c r="U1844">
        <f>[1]资金台帐!U1844&amp;""</f>
      </c>
      <c r="W1844">
        <f>[1]资金台帐!W1844&amp;""</f>
      </c>
      <c r="X1844">
        <f>[1]资金台帐!X1844&amp;""</f>
      </c>
      <c r="AB1844">
        <f>[1]资金台帐!AB1844</f>
        <v>0</v>
      </c>
      <c r="AC1844">
        <f>[1]资金台帐!AC1844</f>
        <v>0</v>
      </c>
      <c r="AD1844">
        <f>[1]资金台帐!AD1844</f>
        <v>0</v>
      </c>
      <c r="AJ1844">
        <f>[1]资金台帐!AJ1844</f>
        <v>0</v>
      </c>
      <c r="AK1844">
        <f>[1]资金台帐!AK1844</f>
        <v>0</v>
      </c>
      <c r="BA1844" s="22">
        <f t="shared" si="0"/>
      </c>
      <c r="BG1844" s="22">
        <f t="shared" si="1"/>
      </c>
      <c r="BH1844" s="22">
        <f t="shared" si="2"/>
        <v>0</v>
      </c>
    </row>
    <row r="1845">
      <c r="B1845">
        <f>[1]资金台帐!B1845&amp;""</f>
      </c>
      <c r="H1845">
        <f>[1]资金台帐!H1845&amp;""</f>
      </c>
      <c r="J1845">
        <f>[1]资金台帐!J1845&amp;""</f>
      </c>
      <c r="N1845">
        <f>[1]资金台帐!N1845</f>
      </c>
      <c r="O1845">
        <f>[1]资金台帐!O1845&amp;""</f>
      </c>
      <c r="P1845">
        <f>[1]资金台帐!P1845&amp;""</f>
      </c>
      <c r="Q1845">
        <f>[1]资金台帐!Q1845&amp;""</f>
      </c>
      <c r="T1845">
        <f>[1]资金台帐!T1845&amp;""</f>
      </c>
      <c r="U1845">
        <f>[1]资金台帐!U1845&amp;""</f>
      </c>
      <c r="W1845">
        <f>[1]资金台帐!W1845&amp;""</f>
      </c>
      <c r="X1845">
        <f>[1]资金台帐!X1845&amp;""</f>
      </c>
      <c r="AB1845">
        <f>[1]资金台帐!AB1845</f>
        <v>0</v>
      </c>
      <c r="AC1845">
        <f>[1]资金台帐!AC1845</f>
        <v>0</v>
      </c>
      <c r="AD1845">
        <f>[1]资金台帐!AD1845</f>
        <v>0</v>
      </c>
      <c r="AJ1845">
        <f>[1]资金台帐!AJ1845</f>
        <v>0</v>
      </c>
      <c r="AK1845">
        <f>[1]资金台帐!AK1845</f>
        <v>0</v>
      </c>
      <c r="BA1845" s="22">
        <f t="shared" si="0"/>
      </c>
      <c r="BG1845" s="22">
        <f t="shared" si="1"/>
      </c>
      <c r="BH1845" s="22">
        <f t="shared" si="2"/>
        <v>0</v>
      </c>
    </row>
    <row r="1846">
      <c r="B1846">
        <f>[1]资金台帐!B1846&amp;""</f>
      </c>
      <c r="H1846">
        <f>[1]资金台帐!H1846&amp;""</f>
      </c>
      <c r="J1846">
        <f>[1]资金台帐!J1846&amp;""</f>
      </c>
      <c r="N1846">
        <f>[1]资金台帐!N1846</f>
      </c>
      <c r="O1846">
        <f>[1]资金台帐!O1846&amp;""</f>
      </c>
      <c r="P1846">
        <f>[1]资金台帐!P1846&amp;""</f>
      </c>
      <c r="Q1846">
        <f>[1]资金台帐!Q1846&amp;""</f>
      </c>
      <c r="T1846">
        <f>[1]资金台帐!T1846&amp;""</f>
      </c>
      <c r="U1846">
        <f>[1]资金台帐!U1846&amp;""</f>
      </c>
      <c r="W1846">
        <f>[1]资金台帐!W1846&amp;""</f>
      </c>
      <c r="X1846">
        <f>[1]资金台帐!X1846&amp;""</f>
      </c>
      <c r="AB1846">
        <f>[1]资金台帐!AB1846</f>
        <v>0</v>
      </c>
      <c r="AC1846">
        <f>[1]资金台帐!AC1846</f>
        <v>0</v>
      </c>
      <c r="AD1846">
        <f>[1]资金台帐!AD1846</f>
        <v>0</v>
      </c>
      <c r="AJ1846">
        <f>[1]资金台帐!AJ1846</f>
        <v>0</v>
      </c>
      <c r="AK1846">
        <f>[1]资金台帐!AK1846</f>
        <v>0</v>
      </c>
      <c r="BA1846" s="22">
        <f t="shared" si="0"/>
      </c>
      <c r="BG1846" s="22">
        <f t="shared" si="1"/>
      </c>
      <c r="BH1846" s="22">
        <f t="shared" si="2"/>
        <v>0</v>
      </c>
    </row>
    <row r="1847">
      <c r="B1847">
        <f>[1]资金台帐!B1847&amp;""</f>
      </c>
      <c r="H1847">
        <f>[1]资金台帐!H1847&amp;""</f>
      </c>
      <c r="J1847">
        <f>[1]资金台帐!J1847&amp;""</f>
      </c>
      <c r="N1847">
        <f>[1]资金台帐!N1847</f>
      </c>
      <c r="O1847">
        <f>[1]资金台帐!O1847&amp;""</f>
      </c>
      <c r="P1847">
        <f>[1]资金台帐!P1847&amp;""</f>
      </c>
      <c r="Q1847">
        <f>[1]资金台帐!Q1847&amp;""</f>
      </c>
      <c r="T1847">
        <f>[1]资金台帐!T1847&amp;""</f>
      </c>
      <c r="U1847">
        <f>[1]资金台帐!U1847&amp;""</f>
      </c>
      <c r="W1847">
        <f>[1]资金台帐!W1847&amp;""</f>
      </c>
      <c r="X1847">
        <f>[1]资金台帐!X1847&amp;""</f>
      </c>
      <c r="AB1847">
        <f>[1]资金台帐!AB1847</f>
        <v>0</v>
      </c>
      <c r="AC1847">
        <f>[1]资金台帐!AC1847</f>
        <v>0</v>
      </c>
      <c r="AD1847">
        <f>[1]资金台帐!AD1847</f>
        <v>0</v>
      </c>
      <c r="AJ1847">
        <f>[1]资金台帐!AJ1847</f>
        <v>0</v>
      </c>
      <c r="AK1847">
        <f>[1]资金台帐!AK1847</f>
        <v>0</v>
      </c>
      <c r="BA1847" s="22">
        <f t="shared" si="0"/>
      </c>
      <c r="BG1847" s="22">
        <f t="shared" si="1"/>
      </c>
      <c r="BH1847" s="22">
        <f t="shared" si="2"/>
        <v>0</v>
      </c>
    </row>
    <row r="1848">
      <c r="B1848">
        <f>[1]资金台帐!B1848&amp;""</f>
      </c>
      <c r="H1848">
        <f>[1]资金台帐!H1848&amp;""</f>
      </c>
      <c r="J1848">
        <f>[1]资金台帐!J1848&amp;""</f>
      </c>
      <c r="N1848">
        <f>[1]资金台帐!N1848</f>
      </c>
      <c r="O1848">
        <f>[1]资金台帐!O1848&amp;""</f>
      </c>
      <c r="P1848">
        <f>[1]资金台帐!P1848&amp;""</f>
      </c>
      <c r="Q1848">
        <f>[1]资金台帐!Q1848&amp;""</f>
      </c>
      <c r="T1848">
        <f>[1]资金台帐!T1848&amp;""</f>
      </c>
      <c r="U1848">
        <f>[1]资金台帐!U1848&amp;""</f>
      </c>
      <c r="W1848">
        <f>[1]资金台帐!W1848&amp;""</f>
      </c>
      <c r="X1848">
        <f>[1]资金台帐!X1848&amp;""</f>
      </c>
      <c r="AB1848">
        <f>[1]资金台帐!AB1848</f>
        <v>0</v>
      </c>
      <c r="AC1848">
        <f>[1]资金台帐!AC1848</f>
        <v>0</v>
      </c>
      <c r="AD1848">
        <f>[1]资金台帐!AD1848</f>
        <v>0</v>
      </c>
      <c r="AJ1848">
        <f>[1]资金台帐!AJ1848</f>
        <v>0</v>
      </c>
      <c r="AK1848">
        <f>[1]资金台帐!AK1848</f>
        <v>0</v>
      </c>
      <c r="BA1848" s="22">
        <f t="shared" si="0"/>
      </c>
      <c r="BG1848" s="22">
        <f t="shared" si="1"/>
      </c>
      <c r="BH1848" s="22">
        <f t="shared" si="2"/>
        <v>0</v>
      </c>
    </row>
    <row r="1849">
      <c r="B1849">
        <f>[1]资金台帐!B1849&amp;""</f>
      </c>
      <c r="H1849">
        <f>[1]资金台帐!H1849&amp;""</f>
      </c>
      <c r="J1849">
        <f>[1]资金台帐!J1849&amp;""</f>
      </c>
      <c r="N1849">
        <f>[1]资金台帐!N1849</f>
      </c>
      <c r="O1849">
        <f>[1]资金台帐!O1849&amp;""</f>
      </c>
      <c r="P1849">
        <f>[1]资金台帐!P1849&amp;""</f>
      </c>
      <c r="Q1849">
        <f>[1]资金台帐!Q1849&amp;""</f>
      </c>
      <c r="T1849">
        <f>[1]资金台帐!T1849&amp;""</f>
      </c>
      <c r="U1849">
        <f>[1]资金台帐!U1849&amp;""</f>
      </c>
      <c r="W1849">
        <f>[1]资金台帐!W1849&amp;""</f>
      </c>
      <c r="X1849">
        <f>[1]资金台帐!X1849&amp;""</f>
      </c>
      <c r="AB1849">
        <f>[1]资金台帐!AB1849</f>
        <v>0</v>
      </c>
      <c r="AC1849">
        <f>[1]资金台帐!AC1849</f>
        <v>0</v>
      </c>
      <c r="AD1849">
        <f>[1]资金台帐!AD1849</f>
        <v>0</v>
      </c>
      <c r="AJ1849">
        <f>[1]资金台帐!AJ1849</f>
        <v>0</v>
      </c>
      <c r="AK1849">
        <f>[1]资金台帐!AK1849</f>
        <v>0</v>
      </c>
      <c r="BA1849" s="22">
        <f t="shared" si="0"/>
      </c>
      <c r="BG1849" s="22">
        <f t="shared" si="1"/>
      </c>
      <c r="BH1849" s="22">
        <f t="shared" si="2"/>
        <v>0</v>
      </c>
    </row>
    <row r="1850">
      <c r="B1850">
        <f>[1]资金台帐!B1850&amp;""</f>
      </c>
      <c r="H1850">
        <f>[1]资金台帐!H1850&amp;""</f>
      </c>
      <c r="J1850">
        <f>[1]资金台帐!J1850&amp;""</f>
      </c>
      <c r="N1850">
        <f>[1]资金台帐!N1850</f>
      </c>
      <c r="O1850">
        <f>[1]资金台帐!O1850&amp;""</f>
      </c>
      <c r="P1850">
        <f>[1]资金台帐!P1850&amp;""</f>
      </c>
      <c r="Q1850">
        <f>[1]资金台帐!Q1850&amp;""</f>
      </c>
      <c r="T1850">
        <f>[1]资金台帐!T1850&amp;""</f>
      </c>
      <c r="U1850">
        <f>[1]资金台帐!U1850&amp;""</f>
      </c>
      <c r="W1850">
        <f>[1]资金台帐!W1850&amp;""</f>
      </c>
      <c r="X1850">
        <f>[1]资金台帐!X1850&amp;""</f>
      </c>
      <c r="AB1850">
        <f>[1]资金台帐!AB1850</f>
        <v>0</v>
      </c>
      <c r="AC1850">
        <f>[1]资金台帐!AC1850</f>
        <v>0</v>
      </c>
      <c r="AD1850">
        <f>[1]资金台帐!AD1850</f>
        <v>0</v>
      </c>
      <c r="AJ1850">
        <f>[1]资金台帐!AJ1850</f>
        <v>0</v>
      </c>
      <c r="AK1850">
        <f>[1]资金台帐!AK1850</f>
        <v>0</v>
      </c>
      <c r="BA1850" s="22">
        <f t="shared" si="0"/>
      </c>
      <c r="BG1850" s="22">
        <f t="shared" si="1"/>
      </c>
      <c r="BH1850" s="22">
        <f t="shared" si="2"/>
        <v>0</v>
      </c>
    </row>
    <row r="1851">
      <c r="B1851">
        <f>[1]资金台帐!B1851&amp;""</f>
      </c>
      <c r="H1851">
        <f>[1]资金台帐!H1851&amp;""</f>
      </c>
      <c r="J1851">
        <f>[1]资金台帐!J1851&amp;""</f>
      </c>
      <c r="N1851">
        <f>[1]资金台帐!N1851</f>
      </c>
      <c r="O1851">
        <f>[1]资金台帐!O1851&amp;""</f>
      </c>
      <c r="P1851">
        <f>[1]资金台帐!P1851&amp;""</f>
      </c>
      <c r="Q1851">
        <f>[1]资金台帐!Q1851&amp;""</f>
      </c>
      <c r="T1851">
        <f>[1]资金台帐!T1851&amp;""</f>
      </c>
      <c r="U1851">
        <f>[1]资金台帐!U1851&amp;""</f>
      </c>
      <c r="W1851">
        <f>[1]资金台帐!W1851&amp;""</f>
      </c>
      <c r="X1851">
        <f>[1]资金台帐!X1851&amp;""</f>
      </c>
      <c r="AB1851">
        <f>[1]资金台帐!AB1851</f>
        <v>0</v>
      </c>
      <c r="AC1851">
        <f>[1]资金台帐!AC1851</f>
        <v>0</v>
      </c>
      <c r="AD1851">
        <f>[1]资金台帐!AD1851</f>
        <v>0</v>
      </c>
      <c r="AJ1851">
        <f>[1]资金台帐!AJ1851</f>
        <v>0</v>
      </c>
      <c r="AK1851">
        <f>[1]资金台帐!AK1851</f>
        <v>0</v>
      </c>
      <c r="BA1851" s="22">
        <f t="shared" si="0"/>
      </c>
      <c r="BG1851" s="22">
        <f t="shared" si="1"/>
      </c>
      <c r="BH1851" s="22">
        <f t="shared" si="2"/>
        <v>0</v>
      </c>
    </row>
    <row r="1852">
      <c r="B1852">
        <f>[1]资金台帐!B1852&amp;""</f>
      </c>
      <c r="H1852">
        <f>[1]资金台帐!H1852&amp;""</f>
      </c>
      <c r="J1852">
        <f>[1]资金台帐!J1852&amp;""</f>
      </c>
      <c r="N1852">
        <f>[1]资金台帐!N1852</f>
      </c>
      <c r="O1852">
        <f>[1]资金台帐!O1852&amp;""</f>
      </c>
      <c r="P1852">
        <f>[1]资金台帐!P1852&amp;""</f>
      </c>
      <c r="Q1852">
        <f>[1]资金台帐!Q1852&amp;""</f>
      </c>
      <c r="T1852">
        <f>[1]资金台帐!T1852&amp;""</f>
      </c>
      <c r="U1852">
        <f>[1]资金台帐!U1852&amp;""</f>
      </c>
      <c r="W1852">
        <f>[1]资金台帐!W1852&amp;""</f>
      </c>
      <c r="X1852">
        <f>[1]资金台帐!X1852&amp;""</f>
      </c>
      <c r="AB1852">
        <f>[1]资金台帐!AB1852</f>
        <v>0</v>
      </c>
      <c r="AC1852">
        <f>[1]资金台帐!AC1852</f>
        <v>0</v>
      </c>
      <c r="AD1852">
        <f>[1]资金台帐!AD1852</f>
        <v>0</v>
      </c>
      <c r="AJ1852">
        <f>[1]资金台帐!AJ1852</f>
        <v>0</v>
      </c>
      <c r="AK1852">
        <f>[1]资金台帐!AK1852</f>
        <v>0</v>
      </c>
      <c r="BA1852" s="22">
        <f t="shared" si="0"/>
      </c>
      <c r="BG1852" s="22">
        <f t="shared" si="1"/>
      </c>
      <c r="BH1852" s="22">
        <f t="shared" si="2"/>
        <v>0</v>
      </c>
    </row>
    <row r="1853">
      <c r="B1853">
        <f>[1]资金台帐!B1853&amp;""</f>
      </c>
      <c r="H1853">
        <f>[1]资金台帐!H1853&amp;""</f>
      </c>
      <c r="J1853">
        <f>[1]资金台帐!J1853&amp;""</f>
      </c>
      <c r="N1853">
        <f>[1]资金台帐!N1853</f>
      </c>
      <c r="O1853">
        <f>[1]资金台帐!O1853&amp;""</f>
      </c>
      <c r="P1853">
        <f>[1]资金台帐!P1853&amp;""</f>
      </c>
      <c r="Q1853">
        <f>[1]资金台帐!Q1853&amp;""</f>
      </c>
      <c r="T1853">
        <f>[1]资金台帐!T1853&amp;""</f>
      </c>
      <c r="U1853">
        <f>[1]资金台帐!U1853&amp;""</f>
      </c>
      <c r="W1853">
        <f>[1]资金台帐!W1853&amp;""</f>
      </c>
      <c r="X1853">
        <f>[1]资金台帐!X1853&amp;""</f>
      </c>
      <c r="AB1853">
        <f>[1]资金台帐!AB1853</f>
        <v>0</v>
      </c>
      <c r="AC1853">
        <f>[1]资金台帐!AC1853</f>
        <v>0</v>
      </c>
      <c r="AD1853">
        <f>[1]资金台帐!AD1853</f>
        <v>0</v>
      </c>
      <c r="AJ1853">
        <f>[1]资金台帐!AJ1853</f>
        <v>0</v>
      </c>
      <c r="AK1853">
        <f>[1]资金台帐!AK1853</f>
        <v>0</v>
      </c>
      <c r="BA1853" s="22">
        <f t="shared" si="0"/>
      </c>
      <c r="BG1853" s="22">
        <f t="shared" si="1"/>
      </c>
      <c r="BH1853" s="22">
        <f t="shared" si="2"/>
        <v>0</v>
      </c>
    </row>
    <row r="1854">
      <c r="B1854">
        <f>[1]资金台帐!B1854&amp;""</f>
      </c>
      <c r="H1854">
        <f>[1]资金台帐!H1854&amp;""</f>
      </c>
      <c r="J1854">
        <f>[1]资金台帐!J1854&amp;""</f>
      </c>
      <c r="N1854">
        <f>[1]资金台帐!N1854</f>
      </c>
      <c r="O1854">
        <f>[1]资金台帐!O1854&amp;""</f>
      </c>
      <c r="P1854">
        <f>[1]资金台帐!P1854&amp;""</f>
      </c>
      <c r="Q1854">
        <f>[1]资金台帐!Q1854&amp;""</f>
      </c>
      <c r="T1854">
        <f>[1]资金台帐!T1854&amp;""</f>
      </c>
      <c r="U1854">
        <f>[1]资金台帐!U1854&amp;""</f>
      </c>
      <c r="W1854">
        <f>[1]资金台帐!W1854&amp;""</f>
      </c>
      <c r="X1854">
        <f>[1]资金台帐!X1854&amp;""</f>
      </c>
      <c r="AB1854">
        <f>[1]资金台帐!AB1854</f>
        <v>0</v>
      </c>
      <c r="AC1854">
        <f>[1]资金台帐!AC1854</f>
        <v>0</v>
      </c>
      <c r="AD1854">
        <f>[1]资金台帐!AD1854</f>
        <v>0</v>
      </c>
      <c r="AJ1854">
        <f>[1]资金台帐!AJ1854</f>
        <v>0</v>
      </c>
      <c r="AK1854">
        <f>[1]资金台帐!AK1854</f>
        <v>0</v>
      </c>
      <c r="BA1854" s="22">
        <f t="shared" si="0"/>
      </c>
      <c r="BG1854" s="22">
        <f t="shared" si="1"/>
      </c>
      <c r="BH1854" s="22">
        <f t="shared" si="2"/>
        <v>0</v>
      </c>
    </row>
    <row r="1855">
      <c r="B1855">
        <f>[1]资金台帐!B1855&amp;""</f>
      </c>
      <c r="H1855">
        <f>[1]资金台帐!H1855&amp;""</f>
      </c>
      <c r="J1855">
        <f>[1]资金台帐!J1855&amp;""</f>
      </c>
      <c r="N1855">
        <f>[1]资金台帐!N1855</f>
      </c>
      <c r="O1855">
        <f>[1]资金台帐!O1855&amp;""</f>
      </c>
      <c r="P1855">
        <f>[1]资金台帐!P1855&amp;""</f>
      </c>
      <c r="Q1855">
        <f>[1]资金台帐!Q1855&amp;""</f>
      </c>
      <c r="T1855">
        <f>[1]资金台帐!T1855&amp;""</f>
      </c>
      <c r="U1855">
        <f>[1]资金台帐!U1855&amp;""</f>
      </c>
      <c r="W1855">
        <f>[1]资金台帐!W1855&amp;""</f>
      </c>
      <c r="X1855">
        <f>[1]资金台帐!X1855&amp;""</f>
      </c>
      <c r="AB1855">
        <f>[1]资金台帐!AB1855</f>
        <v>0</v>
      </c>
      <c r="AC1855">
        <f>[1]资金台帐!AC1855</f>
        <v>0</v>
      </c>
      <c r="AD1855">
        <f>[1]资金台帐!AD1855</f>
        <v>0</v>
      </c>
      <c r="AJ1855">
        <f>[1]资金台帐!AJ1855</f>
        <v>0</v>
      </c>
      <c r="AK1855">
        <f>[1]资金台帐!AK1855</f>
        <v>0</v>
      </c>
      <c r="BA1855" s="22">
        <f t="shared" si="0"/>
      </c>
      <c r="BG1855" s="22">
        <f t="shared" si="1"/>
      </c>
      <c r="BH1855" s="22">
        <f t="shared" si="2"/>
        <v>0</v>
      </c>
    </row>
    <row r="1856">
      <c r="B1856">
        <f>[1]资金台帐!B1856&amp;""</f>
      </c>
      <c r="H1856">
        <f>[1]资金台帐!H1856&amp;""</f>
      </c>
      <c r="J1856">
        <f>[1]资金台帐!J1856&amp;""</f>
      </c>
      <c r="N1856">
        <f>[1]资金台帐!N1856</f>
      </c>
      <c r="O1856">
        <f>[1]资金台帐!O1856&amp;""</f>
      </c>
      <c r="P1856">
        <f>[1]资金台帐!P1856&amp;""</f>
      </c>
      <c r="Q1856">
        <f>[1]资金台帐!Q1856&amp;""</f>
      </c>
      <c r="T1856">
        <f>[1]资金台帐!T1856&amp;""</f>
      </c>
      <c r="U1856">
        <f>[1]资金台帐!U1856&amp;""</f>
      </c>
      <c r="W1856">
        <f>[1]资金台帐!W1856&amp;""</f>
      </c>
      <c r="X1856">
        <f>[1]资金台帐!X1856&amp;""</f>
      </c>
      <c r="AB1856">
        <f>[1]资金台帐!AB1856</f>
        <v>0</v>
      </c>
      <c r="AC1856">
        <f>[1]资金台帐!AC1856</f>
        <v>0</v>
      </c>
      <c r="AD1856">
        <f>[1]资金台帐!AD1856</f>
        <v>0</v>
      </c>
      <c r="AJ1856">
        <f>[1]资金台帐!AJ1856</f>
        <v>0</v>
      </c>
      <c r="AK1856">
        <f>[1]资金台帐!AK1856</f>
        <v>0</v>
      </c>
      <c r="BA1856" s="22">
        <f t="shared" si="0"/>
      </c>
      <c r="BG1856" s="22">
        <f t="shared" si="1"/>
      </c>
      <c r="BH1856" s="22">
        <f t="shared" si="2"/>
        <v>0</v>
      </c>
    </row>
    <row r="1857">
      <c r="B1857">
        <f>[1]资金台帐!B1857&amp;""</f>
      </c>
      <c r="H1857">
        <f>[1]资金台帐!H1857&amp;""</f>
      </c>
      <c r="J1857">
        <f>[1]资金台帐!J1857&amp;""</f>
      </c>
      <c r="N1857">
        <f>[1]资金台帐!N1857</f>
      </c>
      <c r="O1857">
        <f>[1]资金台帐!O1857&amp;""</f>
      </c>
      <c r="P1857">
        <f>[1]资金台帐!P1857&amp;""</f>
      </c>
      <c r="Q1857">
        <f>[1]资金台帐!Q1857&amp;""</f>
      </c>
      <c r="T1857">
        <f>[1]资金台帐!T1857&amp;""</f>
      </c>
      <c r="U1857">
        <f>[1]资金台帐!U1857&amp;""</f>
      </c>
      <c r="W1857">
        <f>[1]资金台帐!W1857&amp;""</f>
      </c>
      <c r="X1857">
        <f>[1]资金台帐!X1857&amp;""</f>
      </c>
      <c r="AB1857">
        <f>[1]资金台帐!AB1857</f>
        <v>0</v>
      </c>
      <c r="AC1857">
        <f>[1]资金台帐!AC1857</f>
        <v>0</v>
      </c>
      <c r="AD1857">
        <f>[1]资金台帐!AD1857</f>
        <v>0</v>
      </c>
      <c r="AJ1857">
        <f>[1]资金台帐!AJ1857</f>
        <v>0</v>
      </c>
      <c r="AK1857">
        <f>[1]资金台帐!AK1857</f>
        <v>0</v>
      </c>
      <c r="BA1857" s="22">
        <f t="shared" si="0"/>
      </c>
      <c r="BG1857" s="22">
        <f t="shared" si="1"/>
      </c>
      <c r="BH1857" s="22">
        <f t="shared" si="2"/>
        <v>0</v>
      </c>
    </row>
    <row r="1858">
      <c r="B1858">
        <f>[1]资金台帐!B1858&amp;""</f>
      </c>
      <c r="H1858">
        <f>[1]资金台帐!H1858&amp;""</f>
      </c>
      <c r="J1858">
        <f>[1]资金台帐!J1858&amp;""</f>
      </c>
      <c r="N1858">
        <f>[1]资金台帐!N1858</f>
      </c>
      <c r="O1858">
        <f>[1]资金台帐!O1858&amp;""</f>
      </c>
      <c r="P1858">
        <f>[1]资金台帐!P1858&amp;""</f>
      </c>
      <c r="Q1858">
        <f>[1]资金台帐!Q1858&amp;""</f>
      </c>
      <c r="T1858">
        <f>[1]资金台帐!T1858&amp;""</f>
      </c>
      <c r="U1858">
        <f>[1]资金台帐!U1858&amp;""</f>
      </c>
      <c r="W1858">
        <f>[1]资金台帐!W1858&amp;""</f>
      </c>
      <c r="X1858">
        <f>[1]资金台帐!X1858&amp;""</f>
      </c>
      <c r="AB1858">
        <f>[1]资金台帐!AB1858</f>
        <v>0</v>
      </c>
      <c r="AC1858">
        <f>[1]资金台帐!AC1858</f>
        <v>0</v>
      </c>
      <c r="AD1858">
        <f>[1]资金台帐!AD1858</f>
        <v>0</v>
      </c>
      <c r="AJ1858">
        <f>[1]资金台帐!AJ1858</f>
        <v>0</v>
      </c>
      <c r="AK1858">
        <f>[1]资金台帐!AK1858</f>
        <v>0</v>
      </c>
      <c r="BA1858" s="22">
        <f t="shared" si="0"/>
      </c>
      <c r="BG1858" s="22">
        <f t="shared" si="1"/>
      </c>
      <c r="BH1858" s="22">
        <f t="shared" si="2"/>
        <v>0</v>
      </c>
    </row>
    <row r="1859">
      <c r="B1859">
        <f>[1]资金台帐!B1859&amp;""</f>
      </c>
      <c r="H1859">
        <f>[1]资金台帐!H1859&amp;""</f>
      </c>
      <c r="J1859">
        <f>[1]资金台帐!J1859&amp;""</f>
      </c>
      <c r="N1859">
        <f>[1]资金台帐!N1859</f>
      </c>
      <c r="O1859">
        <f>[1]资金台帐!O1859&amp;""</f>
      </c>
      <c r="P1859">
        <f>[1]资金台帐!P1859&amp;""</f>
      </c>
      <c r="Q1859">
        <f>[1]资金台帐!Q1859&amp;""</f>
      </c>
      <c r="T1859">
        <f>[1]资金台帐!T1859&amp;""</f>
      </c>
      <c r="U1859">
        <f>[1]资金台帐!U1859&amp;""</f>
      </c>
      <c r="W1859">
        <f>[1]资金台帐!W1859&amp;""</f>
      </c>
      <c r="X1859">
        <f>[1]资金台帐!X1859&amp;""</f>
      </c>
      <c r="AB1859">
        <f>[1]资金台帐!AB1859</f>
        <v>0</v>
      </c>
      <c r="AC1859">
        <f>[1]资金台帐!AC1859</f>
        <v>0</v>
      </c>
      <c r="AD1859">
        <f>[1]资金台帐!AD1859</f>
        <v>0</v>
      </c>
      <c r="AJ1859">
        <f>[1]资金台帐!AJ1859</f>
        <v>0</v>
      </c>
      <c r="AK1859">
        <f>[1]资金台帐!AK1859</f>
        <v>0</v>
      </c>
      <c r="BA1859" s="22">
        <f t="shared" si="0"/>
      </c>
      <c r="BG1859" s="22">
        <f t="shared" si="1"/>
      </c>
      <c r="BH1859" s="22">
        <f t="shared" si="2"/>
        <v>0</v>
      </c>
    </row>
    <row r="1860">
      <c r="B1860">
        <f>[1]资金台帐!B1860&amp;""</f>
      </c>
      <c r="H1860">
        <f>[1]资金台帐!H1860&amp;""</f>
      </c>
      <c r="J1860">
        <f>[1]资金台帐!J1860&amp;""</f>
      </c>
      <c r="N1860">
        <f>[1]资金台帐!N1860</f>
      </c>
      <c r="O1860">
        <f>[1]资金台帐!O1860&amp;""</f>
      </c>
      <c r="P1860">
        <f>[1]资金台帐!P1860&amp;""</f>
      </c>
      <c r="Q1860">
        <f>[1]资金台帐!Q1860&amp;""</f>
      </c>
      <c r="T1860">
        <f>[1]资金台帐!T1860&amp;""</f>
      </c>
      <c r="U1860">
        <f>[1]资金台帐!U1860&amp;""</f>
      </c>
      <c r="W1860">
        <f>[1]资金台帐!W1860&amp;""</f>
      </c>
      <c r="X1860">
        <f>[1]资金台帐!X1860&amp;""</f>
      </c>
      <c r="AB1860">
        <f>[1]资金台帐!AB1860</f>
        <v>0</v>
      </c>
      <c r="AC1860">
        <f>[1]资金台帐!AC1860</f>
        <v>0</v>
      </c>
      <c r="AD1860">
        <f>[1]资金台帐!AD1860</f>
        <v>0</v>
      </c>
      <c r="AJ1860">
        <f>[1]资金台帐!AJ1860</f>
        <v>0</v>
      </c>
      <c r="AK1860">
        <f>[1]资金台帐!AK1860</f>
        <v>0</v>
      </c>
      <c r="BA1860" s="22">
        <f t="shared" si="0"/>
      </c>
      <c r="BG1860" s="22">
        <f t="shared" si="1"/>
      </c>
      <c r="BH1860" s="22">
        <f t="shared" si="2"/>
        <v>0</v>
      </c>
    </row>
    <row r="1861">
      <c r="B1861">
        <f>[1]资金台帐!B1861&amp;""</f>
      </c>
      <c r="H1861">
        <f>[1]资金台帐!H1861&amp;""</f>
      </c>
      <c r="J1861">
        <f>[1]资金台帐!J1861&amp;""</f>
      </c>
      <c r="N1861">
        <f>[1]资金台帐!N1861</f>
      </c>
      <c r="O1861">
        <f>[1]资金台帐!O1861&amp;""</f>
      </c>
      <c r="P1861">
        <f>[1]资金台帐!P1861&amp;""</f>
      </c>
      <c r="Q1861">
        <f>[1]资金台帐!Q1861&amp;""</f>
      </c>
      <c r="T1861">
        <f>[1]资金台帐!T1861&amp;""</f>
      </c>
      <c r="U1861">
        <f>[1]资金台帐!U1861&amp;""</f>
      </c>
      <c r="W1861">
        <f>[1]资金台帐!W1861&amp;""</f>
      </c>
      <c r="X1861">
        <f>[1]资金台帐!X1861&amp;""</f>
      </c>
      <c r="AB1861">
        <f>[1]资金台帐!AB1861</f>
        <v>0</v>
      </c>
      <c r="AC1861">
        <f>[1]资金台帐!AC1861</f>
        <v>0</v>
      </c>
      <c r="AD1861">
        <f>[1]资金台帐!AD1861</f>
        <v>0</v>
      </c>
      <c r="AJ1861">
        <f>[1]资金台帐!AJ1861</f>
        <v>0</v>
      </c>
      <c r="AK1861">
        <f>[1]资金台帐!AK1861</f>
        <v>0</v>
      </c>
      <c r="BA1861" s="22">
        <f t="shared" si="0"/>
      </c>
      <c r="BG1861" s="22">
        <f t="shared" si="1"/>
      </c>
      <c r="BH1861" s="22">
        <f t="shared" si="2"/>
        <v>0</v>
      </c>
    </row>
    <row r="1862">
      <c r="B1862">
        <f>[1]资金台帐!B1862&amp;""</f>
      </c>
      <c r="H1862">
        <f>[1]资金台帐!H1862&amp;""</f>
      </c>
      <c r="J1862">
        <f>[1]资金台帐!J1862&amp;""</f>
      </c>
      <c r="N1862">
        <f>[1]资金台帐!N1862</f>
      </c>
      <c r="O1862">
        <f>[1]资金台帐!O1862&amp;""</f>
      </c>
      <c r="P1862">
        <f>[1]资金台帐!P1862&amp;""</f>
      </c>
      <c r="Q1862">
        <f>[1]资金台帐!Q1862&amp;""</f>
      </c>
      <c r="T1862">
        <f>[1]资金台帐!T1862&amp;""</f>
      </c>
      <c r="U1862">
        <f>[1]资金台帐!U1862&amp;""</f>
      </c>
      <c r="W1862">
        <f>[1]资金台帐!W1862&amp;""</f>
      </c>
      <c r="X1862">
        <f>[1]资金台帐!X1862&amp;""</f>
      </c>
      <c r="AB1862">
        <f>[1]资金台帐!AB1862</f>
        <v>0</v>
      </c>
      <c r="AC1862">
        <f>[1]资金台帐!AC1862</f>
        <v>0</v>
      </c>
      <c r="AD1862">
        <f>[1]资金台帐!AD1862</f>
        <v>0</v>
      </c>
      <c r="AJ1862">
        <f>[1]资金台帐!AJ1862</f>
        <v>0</v>
      </c>
      <c r="AK1862">
        <f>[1]资金台帐!AK1862</f>
        <v>0</v>
      </c>
      <c r="BA1862" s="22">
        <f t="shared" si="0"/>
      </c>
      <c r="BG1862" s="22">
        <f t="shared" si="1"/>
      </c>
      <c r="BH1862" s="22">
        <f t="shared" si="2"/>
        <v>0</v>
      </c>
    </row>
    <row r="1863">
      <c r="B1863">
        <f>[1]资金台帐!B1863&amp;""</f>
      </c>
      <c r="H1863">
        <f>[1]资金台帐!H1863&amp;""</f>
      </c>
      <c r="J1863">
        <f>[1]资金台帐!J1863&amp;""</f>
      </c>
      <c r="N1863">
        <f>[1]资金台帐!N1863</f>
      </c>
      <c r="O1863">
        <f>[1]资金台帐!O1863&amp;""</f>
      </c>
      <c r="P1863">
        <f>[1]资金台帐!P1863&amp;""</f>
      </c>
      <c r="Q1863">
        <f>[1]资金台帐!Q1863&amp;""</f>
      </c>
      <c r="T1863">
        <f>[1]资金台帐!T1863&amp;""</f>
      </c>
      <c r="U1863">
        <f>[1]资金台帐!U1863&amp;""</f>
      </c>
      <c r="W1863">
        <f>[1]资金台帐!W1863&amp;""</f>
      </c>
      <c r="X1863">
        <f>[1]资金台帐!X1863&amp;""</f>
      </c>
      <c r="AB1863">
        <f>[1]资金台帐!AB1863</f>
        <v>0</v>
      </c>
      <c r="AC1863">
        <f>[1]资金台帐!AC1863</f>
        <v>0</v>
      </c>
      <c r="AD1863">
        <f>[1]资金台帐!AD1863</f>
        <v>0</v>
      </c>
      <c r="AJ1863">
        <f>[1]资金台帐!AJ1863</f>
        <v>0</v>
      </c>
      <c r="AK1863">
        <f>[1]资金台帐!AK1863</f>
        <v>0</v>
      </c>
      <c r="BA1863" s="22">
        <f t="shared" si="0"/>
      </c>
      <c r="BG1863" s="22">
        <f t="shared" si="1"/>
      </c>
      <c r="BH1863" s="22">
        <f t="shared" si="2"/>
        <v>0</v>
      </c>
    </row>
    <row r="1864">
      <c r="B1864">
        <f>[1]资金台帐!B1864&amp;""</f>
      </c>
      <c r="H1864">
        <f>[1]资金台帐!H1864&amp;""</f>
      </c>
      <c r="J1864">
        <f>[1]资金台帐!J1864&amp;""</f>
      </c>
      <c r="N1864">
        <f>[1]资金台帐!N1864</f>
      </c>
      <c r="O1864">
        <f>[1]资金台帐!O1864&amp;""</f>
      </c>
      <c r="P1864">
        <f>[1]资金台帐!P1864&amp;""</f>
      </c>
      <c r="Q1864">
        <f>[1]资金台帐!Q1864&amp;""</f>
      </c>
      <c r="T1864">
        <f>[1]资金台帐!T1864&amp;""</f>
      </c>
      <c r="U1864">
        <f>[1]资金台帐!U1864&amp;""</f>
      </c>
      <c r="W1864">
        <f>[1]资金台帐!W1864&amp;""</f>
      </c>
      <c r="X1864">
        <f>[1]资金台帐!X1864&amp;""</f>
      </c>
      <c r="AB1864">
        <f>[1]资金台帐!AB1864</f>
        <v>0</v>
      </c>
      <c r="AC1864">
        <f>[1]资金台帐!AC1864</f>
        <v>0</v>
      </c>
      <c r="AD1864">
        <f>[1]资金台帐!AD1864</f>
        <v>0</v>
      </c>
      <c r="AJ1864">
        <f>[1]资金台帐!AJ1864</f>
        <v>0</v>
      </c>
      <c r="AK1864">
        <f>[1]资金台帐!AK1864</f>
        <v>0</v>
      </c>
      <c r="BA1864" s="22">
        <f t="shared" si="0"/>
      </c>
      <c r="BG1864" s="22">
        <f t="shared" si="1"/>
      </c>
      <c r="BH1864" s="22">
        <f t="shared" si="2"/>
        <v>0</v>
      </c>
    </row>
    <row r="1865">
      <c r="B1865">
        <f>[1]资金台帐!B1865&amp;""</f>
      </c>
      <c r="H1865">
        <f>[1]资金台帐!H1865&amp;""</f>
      </c>
      <c r="J1865">
        <f>[1]资金台帐!J1865&amp;""</f>
      </c>
      <c r="N1865">
        <f>[1]资金台帐!N1865</f>
      </c>
      <c r="O1865">
        <f>[1]资金台帐!O1865&amp;""</f>
      </c>
      <c r="P1865">
        <f>[1]资金台帐!P1865&amp;""</f>
      </c>
      <c r="Q1865">
        <f>[1]资金台帐!Q1865&amp;""</f>
      </c>
      <c r="T1865">
        <f>[1]资金台帐!T1865&amp;""</f>
      </c>
      <c r="U1865">
        <f>[1]资金台帐!U1865&amp;""</f>
      </c>
      <c r="W1865">
        <f>[1]资金台帐!W1865&amp;""</f>
      </c>
      <c r="X1865">
        <f>[1]资金台帐!X1865&amp;""</f>
      </c>
      <c r="AB1865">
        <f>[1]资金台帐!AB1865</f>
        <v>0</v>
      </c>
      <c r="AC1865">
        <f>[1]资金台帐!AC1865</f>
        <v>0</v>
      </c>
      <c r="AD1865">
        <f>[1]资金台帐!AD1865</f>
        <v>0</v>
      </c>
      <c r="AJ1865">
        <f>[1]资金台帐!AJ1865</f>
        <v>0</v>
      </c>
      <c r="AK1865">
        <f>[1]资金台帐!AK1865</f>
        <v>0</v>
      </c>
      <c r="BA1865" s="22">
        <f t="shared" si="0"/>
      </c>
      <c r="BG1865" s="22">
        <f t="shared" si="1"/>
      </c>
      <c r="BH1865" s="22">
        <f t="shared" si="2"/>
        <v>0</v>
      </c>
    </row>
    <row r="1866">
      <c r="B1866">
        <f>[1]资金台帐!B1866&amp;""</f>
      </c>
      <c r="H1866">
        <f>[1]资金台帐!H1866&amp;""</f>
      </c>
      <c r="J1866">
        <f>[1]资金台帐!J1866&amp;""</f>
      </c>
      <c r="N1866">
        <f>[1]资金台帐!N1866</f>
      </c>
      <c r="O1866">
        <f>[1]资金台帐!O1866&amp;""</f>
      </c>
      <c r="P1866">
        <f>[1]资金台帐!P1866&amp;""</f>
      </c>
      <c r="Q1866">
        <f>[1]资金台帐!Q1866&amp;""</f>
      </c>
      <c r="T1866">
        <f>[1]资金台帐!T1866&amp;""</f>
      </c>
      <c r="U1866">
        <f>[1]资金台帐!U1866&amp;""</f>
      </c>
      <c r="W1866">
        <f>[1]资金台帐!W1866&amp;""</f>
      </c>
      <c r="X1866">
        <f>[1]资金台帐!X1866&amp;""</f>
      </c>
      <c r="AB1866">
        <f>[1]资金台帐!AB1866</f>
        <v>0</v>
      </c>
      <c r="AC1866">
        <f>[1]资金台帐!AC1866</f>
        <v>0</v>
      </c>
      <c r="AD1866">
        <f>[1]资金台帐!AD1866</f>
        <v>0</v>
      </c>
      <c r="AJ1866">
        <f>[1]资金台帐!AJ1866</f>
        <v>0</v>
      </c>
      <c r="AK1866">
        <f>[1]资金台帐!AK1866</f>
        <v>0</v>
      </c>
      <c r="BA1866" s="22">
        <f t="shared" si="0"/>
      </c>
      <c r="BG1866" s="22">
        <f t="shared" si="1"/>
      </c>
      <c r="BH1866" s="22">
        <f t="shared" si="2"/>
        <v>0</v>
      </c>
    </row>
    <row r="1867">
      <c r="B1867">
        <f>[1]资金台帐!B1867&amp;""</f>
      </c>
      <c r="H1867">
        <f>[1]资金台帐!H1867&amp;""</f>
      </c>
      <c r="J1867">
        <f>[1]资金台帐!J1867&amp;""</f>
      </c>
      <c r="N1867">
        <f>[1]资金台帐!N1867</f>
      </c>
      <c r="O1867">
        <f>[1]资金台帐!O1867&amp;""</f>
      </c>
      <c r="P1867">
        <f>[1]资金台帐!P1867&amp;""</f>
      </c>
      <c r="Q1867">
        <f>[1]资金台帐!Q1867&amp;""</f>
      </c>
      <c r="T1867">
        <f>[1]资金台帐!T1867&amp;""</f>
      </c>
      <c r="U1867">
        <f>[1]资金台帐!U1867&amp;""</f>
      </c>
      <c r="W1867">
        <f>[1]资金台帐!W1867&amp;""</f>
      </c>
      <c r="X1867">
        <f>[1]资金台帐!X1867&amp;""</f>
      </c>
      <c r="AB1867">
        <f>[1]资金台帐!AB1867</f>
        <v>0</v>
      </c>
      <c r="AC1867">
        <f>[1]资金台帐!AC1867</f>
        <v>0</v>
      </c>
      <c r="AD1867">
        <f>[1]资金台帐!AD1867</f>
        <v>0</v>
      </c>
      <c r="AJ1867">
        <f>[1]资金台帐!AJ1867</f>
        <v>0</v>
      </c>
      <c r="AK1867">
        <f>[1]资金台帐!AK1867</f>
        <v>0</v>
      </c>
      <c r="BA1867" s="22">
        <f t="shared" si="0"/>
      </c>
      <c r="BG1867" s="22">
        <f t="shared" si="1"/>
      </c>
      <c r="BH1867" s="22">
        <f t="shared" si="2"/>
        <v>0</v>
      </c>
    </row>
    <row r="1868">
      <c r="B1868">
        <f>[1]资金台帐!B1868&amp;""</f>
      </c>
      <c r="H1868">
        <f>[1]资金台帐!H1868&amp;""</f>
      </c>
      <c r="J1868">
        <f>[1]资金台帐!J1868&amp;""</f>
      </c>
      <c r="N1868">
        <f>[1]资金台帐!N1868</f>
      </c>
      <c r="O1868">
        <f>[1]资金台帐!O1868&amp;""</f>
      </c>
      <c r="P1868">
        <f>[1]资金台帐!P1868&amp;""</f>
      </c>
      <c r="Q1868">
        <f>[1]资金台帐!Q1868&amp;""</f>
      </c>
      <c r="T1868">
        <f>[1]资金台帐!T1868&amp;""</f>
      </c>
      <c r="U1868">
        <f>[1]资金台帐!U1868&amp;""</f>
      </c>
      <c r="W1868">
        <f>[1]资金台帐!W1868&amp;""</f>
      </c>
      <c r="X1868">
        <f>[1]资金台帐!X1868&amp;""</f>
      </c>
      <c r="AB1868">
        <f>[1]资金台帐!AB1868</f>
        <v>0</v>
      </c>
      <c r="AC1868">
        <f>[1]资金台帐!AC1868</f>
        <v>0</v>
      </c>
      <c r="AD1868">
        <f>[1]资金台帐!AD1868</f>
        <v>0</v>
      </c>
      <c r="AJ1868">
        <f>[1]资金台帐!AJ1868</f>
        <v>0</v>
      </c>
      <c r="AK1868">
        <f>[1]资金台帐!AK1868</f>
        <v>0</v>
      </c>
      <c r="BA1868" s="22">
        <f t="shared" si="0"/>
      </c>
      <c r="BG1868" s="22">
        <f t="shared" si="1"/>
      </c>
      <c r="BH1868" s="22">
        <f t="shared" si="2"/>
        <v>0</v>
      </c>
    </row>
    <row r="1869">
      <c r="B1869">
        <f>[1]资金台帐!B1869&amp;""</f>
      </c>
      <c r="H1869">
        <f>[1]资金台帐!H1869&amp;""</f>
      </c>
      <c r="J1869">
        <f>[1]资金台帐!J1869&amp;""</f>
      </c>
      <c r="N1869">
        <f>[1]资金台帐!N1869</f>
      </c>
      <c r="O1869">
        <f>[1]资金台帐!O1869&amp;""</f>
      </c>
      <c r="P1869">
        <f>[1]资金台帐!P1869&amp;""</f>
      </c>
      <c r="Q1869">
        <f>[1]资金台帐!Q1869&amp;""</f>
      </c>
      <c r="T1869">
        <f>[1]资金台帐!T1869&amp;""</f>
      </c>
      <c r="U1869">
        <f>[1]资金台帐!U1869&amp;""</f>
      </c>
      <c r="W1869">
        <f>[1]资金台帐!W1869&amp;""</f>
      </c>
      <c r="X1869">
        <f>[1]资金台帐!X1869&amp;""</f>
      </c>
      <c r="AB1869">
        <f>[1]资金台帐!AB1869</f>
        <v>0</v>
      </c>
      <c r="AC1869">
        <f>[1]资金台帐!AC1869</f>
        <v>0</v>
      </c>
      <c r="AD1869">
        <f>[1]资金台帐!AD1869</f>
        <v>0</v>
      </c>
      <c r="AJ1869">
        <f>[1]资金台帐!AJ1869</f>
        <v>0</v>
      </c>
      <c r="AK1869">
        <f>[1]资金台帐!AK1869</f>
        <v>0</v>
      </c>
      <c r="BA1869" s="22">
        <f t="shared" si="0"/>
      </c>
      <c r="BG1869" s="22">
        <f t="shared" si="1"/>
      </c>
      <c r="BH1869" s="22">
        <f t="shared" si="2"/>
        <v>0</v>
      </c>
    </row>
    <row r="1870">
      <c r="B1870">
        <f>[1]资金台帐!B1870&amp;""</f>
      </c>
      <c r="H1870">
        <f>[1]资金台帐!H1870&amp;""</f>
      </c>
      <c r="J1870">
        <f>[1]资金台帐!J1870&amp;""</f>
      </c>
      <c r="N1870">
        <f>[1]资金台帐!N1870</f>
      </c>
      <c r="O1870">
        <f>[1]资金台帐!O1870&amp;""</f>
      </c>
      <c r="P1870">
        <f>[1]资金台帐!P1870&amp;""</f>
      </c>
      <c r="Q1870">
        <f>[1]资金台帐!Q1870&amp;""</f>
      </c>
      <c r="T1870">
        <f>[1]资金台帐!T1870&amp;""</f>
      </c>
      <c r="U1870">
        <f>[1]资金台帐!U1870&amp;""</f>
      </c>
      <c r="W1870">
        <f>[1]资金台帐!W1870&amp;""</f>
      </c>
      <c r="X1870">
        <f>[1]资金台帐!X1870&amp;""</f>
      </c>
      <c r="AB1870">
        <f>[1]资金台帐!AB1870</f>
        <v>0</v>
      </c>
      <c r="AC1870">
        <f>[1]资金台帐!AC1870</f>
        <v>0</v>
      </c>
      <c r="AD1870">
        <f>[1]资金台帐!AD1870</f>
        <v>0</v>
      </c>
      <c r="AJ1870">
        <f>[1]资金台帐!AJ1870</f>
        <v>0</v>
      </c>
      <c r="AK1870">
        <f>[1]资金台帐!AK1870</f>
        <v>0</v>
      </c>
      <c r="BA1870" s="22">
        <f t="shared" si="0"/>
      </c>
      <c r="BG1870" s="22">
        <f t="shared" si="1"/>
      </c>
      <c r="BH1870" s="22">
        <f t="shared" si="2"/>
        <v>0</v>
      </c>
    </row>
    <row r="1871">
      <c r="B1871">
        <f>[1]资金台帐!B1871&amp;""</f>
      </c>
      <c r="H1871">
        <f>[1]资金台帐!H1871&amp;""</f>
      </c>
      <c r="J1871">
        <f>[1]资金台帐!J1871&amp;""</f>
      </c>
      <c r="N1871">
        <f>[1]资金台帐!N1871</f>
      </c>
      <c r="O1871">
        <f>[1]资金台帐!O1871&amp;""</f>
      </c>
      <c r="P1871">
        <f>[1]资金台帐!P1871&amp;""</f>
      </c>
      <c r="Q1871">
        <f>[1]资金台帐!Q1871&amp;""</f>
      </c>
      <c r="T1871">
        <f>[1]资金台帐!T1871&amp;""</f>
      </c>
      <c r="U1871">
        <f>[1]资金台帐!U1871&amp;""</f>
      </c>
      <c r="W1871">
        <f>[1]资金台帐!W1871&amp;""</f>
      </c>
      <c r="X1871">
        <f>[1]资金台帐!X1871&amp;""</f>
      </c>
      <c r="AB1871">
        <f>[1]资金台帐!AB1871</f>
        <v>0</v>
      </c>
      <c r="AC1871">
        <f>[1]资金台帐!AC1871</f>
        <v>0</v>
      </c>
      <c r="AD1871">
        <f>[1]资金台帐!AD1871</f>
        <v>0</v>
      </c>
      <c r="AJ1871">
        <f>[1]资金台帐!AJ1871</f>
        <v>0</v>
      </c>
      <c r="AK1871">
        <f>[1]资金台帐!AK1871</f>
        <v>0</v>
      </c>
      <c r="BA1871" s="22">
        <f t="shared" si="0"/>
      </c>
      <c r="BG1871" s="22">
        <f t="shared" si="1"/>
      </c>
      <c r="BH1871" s="22">
        <f t="shared" si="2"/>
        <v>0</v>
      </c>
    </row>
    <row r="1872">
      <c r="B1872">
        <f>[1]资金台帐!B1872&amp;""</f>
      </c>
      <c r="H1872">
        <f>[1]资金台帐!H1872&amp;""</f>
      </c>
      <c r="J1872">
        <f>[1]资金台帐!J1872&amp;""</f>
      </c>
      <c r="N1872">
        <f>[1]资金台帐!N1872</f>
      </c>
      <c r="O1872">
        <f>[1]资金台帐!O1872&amp;""</f>
      </c>
      <c r="P1872">
        <f>[1]资金台帐!P1872&amp;""</f>
      </c>
      <c r="Q1872">
        <f>[1]资金台帐!Q1872&amp;""</f>
      </c>
      <c r="T1872">
        <f>[1]资金台帐!T1872&amp;""</f>
      </c>
      <c r="U1872">
        <f>[1]资金台帐!U1872&amp;""</f>
      </c>
      <c r="W1872">
        <f>[1]资金台帐!W1872&amp;""</f>
      </c>
      <c r="X1872">
        <f>[1]资金台帐!X1872&amp;""</f>
      </c>
      <c r="AB1872">
        <f>[1]资金台帐!AB1872</f>
        <v>0</v>
      </c>
      <c r="AC1872">
        <f>[1]资金台帐!AC1872</f>
        <v>0</v>
      </c>
      <c r="AD1872">
        <f>[1]资金台帐!AD1872</f>
        <v>0</v>
      </c>
      <c r="AJ1872">
        <f>[1]资金台帐!AJ1872</f>
        <v>0</v>
      </c>
      <c r="AK1872">
        <f>[1]资金台帐!AK1872</f>
        <v>0</v>
      </c>
      <c r="BA1872" s="22">
        <f t="shared" si="0"/>
      </c>
      <c r="BG1872" s="22">
        <f t="shared" si="1"/>
      </c>
      <c r="BH1872" s="22">
        <f t="shared" si="2"/>
        <v>0</v>
      </c>
    </row>
    <row r="1873">
      <c r="B1873">
        <f>[1]资金台帐!B1873&amp;""</f>
      </c>
      <c r="H1873">
        <f>[1]资金台帐!H1873&amp;""</f>
      </c>
      <c r="J1873">
        <f>[1]资金台帐!J1873&amp;""</f>
      </c>
      <c r="N1873">
        <f>[1]资金台帐!N1873</f>
      </c>
      <c r="O1873">
        <f>[1]资金台帐!O1873&amp;""</f>
      </c>
      <c r="P1873">
        <f>[1]资金台帐!P1873&amp;""</f>
      </c>
      <c r="Q1873">
        <f>[1]资金台帐!Q1873&amp;""</f>
      </c>
      <c r="T1873">
        <f>[1]资金台帐!T1873&amp;""</f>
      </c>
      <c r="U1873">
        <f>[1]资金台帐!U1873&amp;""</f>
      </c>
      <c r="W1873">
        <f>[1]资金台帐!W1873&amp;""</f>
      </c>
      <c r="X1873">
        <f>[1]资金台帐!X1873&amp;""</f>
      </c>
      <c r="AB1873">
        <f>[1]资金台帐!AB1873</f>
        <v>0</v>
      </c>
      <c r="AC1873">
        <f>[1]资金台帐!AC1873</f>
        <v>0</v>
      </c>
      <c r="AD1873">
        <f>[1]资金台帐!AD1873</f>
        <v>0</v>
      </c>
      <c r="AJ1873">
        <f>[1]资金台帐!AJ1873</f>
        <v>0</v>
      </c>
      <c r="AK1873">
        <f>[1]资金台帐!AK1873</f>
        <v>0</v>
      </c>
      <c r="BA1873" s="22">
        <f t="shared" si="0"/>
      </c>
      <c r="BG1873" s="22">
        <f t="shared" si="1"/>
      </c>
      <c r="BH1873" s="22">
        <f t="shared" si="2"/>
        <v>0</v>
      </c>
    </row>
    <row r="1874">
      <c r="B1874">
        <f>[1]资金台帐!B1874&amp;""</f>
      </c>
      <c r="H1874">
        <f>[1]资金台帐!H1874&amp;""</f>
      </c>
      <c r="J1874">
        <f>[1]资金台帐!J1874&amp;""</f>
      </c>
      <c r="N1874">
        <f>[1]资金台帐!N1874</f>
      </c>
      <c r="O1874">
        <f>[1]资金台帐!O1874&amp;""</f>
      </c>
      <c r="P1874">
        <f>[1]资金台帐!P1874&amp;""</f>
      </c>
      <c r="Q1874">
        <f>[1]资金台帐!Q1874&amp;""</f>
      </c>
      <c r="T1874">
        <f>[1]资金台帐!T1874&amp;""</f>
      </c>
      <c r="U1874">
        <f>[1]资金台帐!U1874&amp;""</f>
      </c>
      <c r="W1874">
        <f>[1]资金台帐!W1874&amp;""</f>
      </c>
      <c r="X1874">
        <f>[1]资金台帐!X1874&amp;""</f>
      </c>
      <c r="AB1874">
        <f>[1]资金台帐!AB1874</f>
        <v>0</v>
      </c>
      <c r="AC1874">
        <f>[1]资金台帐!AC1874</f>
        <v>0</v>
      </c>
      <c r="AD1874">
        <f>[1]资金台帐!AD1874</f>
        <v>0</v>
      </c>
      <c r="AJ1874">
        <f>[1]资金台帐!AJ1874</f>
        <v>0</v>
      </c>
      <c r="AK1874">
        <f>[1]资金台帐!AK1874</f>
        <v>0</v>
      </c>
      <c r="BA1874" s="22">
        <f t="shared" si="0"/>
      </c>
      <c r="BG1874" s="22">
        <f t="shared" si="1"/>
      </c>
      <c r="BH1874" s="22">
        <f t="shared" si="2"/>
        <v>0</v>
      </c>
    </row>
    <row r="1875">
      <c r="B1875">
        <f>[1]资金台帐!B1875&amp;""</f>
      </c>
      <c r="H1875">
        <f>[1]资金台帐!H1875&amp;""</f>
      </c>
      <c r="J1875">
        <f>[1]资金台帐!J1875&amp;""</f>
      </c>
      <c r="N1875">
        <f>[1]资金台帐!N1875</f>
      </c>
      <c r="O1875">
        <f>[1]资金台帐!O1875&amp;""</f>
      </c>
      <c r="P1875">
        <f>[1]资金台帐!P1875&amp;""</f>
      </c>
      <c r="Q1875">
        <f>[1]资金台帐!Q1875&amp;""</f>
      </c>
      <c r="T1875">
        <f>[1]资金台帐!T1875&amp;""</f>
      </c>
      <c r="U1875">
        <f>[1]资金台帐!U1875&amp;""</f>
      </c>
      <c r="W1875">
        <f>[1]资金台帐!W1875&amp;""</f>
      </c>
      <c r="X1875">
        <f>[1]资金台帐!X1875&amp;""</f>
      </c>
      <c r="AB1875">
        <f>[1]资金台帐!AB1875</f>
        <v>0</v>
      </c>
      <c r="AC1875">
        <f>[1]资金台帐!AC1875</f>
        <v>0</v>
      </c>
      <c r="AD1875">
        <f>[1]资金台帐!AD1875</f>
        <v>0</v>
      </c>
      <c r="AJ1875">
        <f>[1]资金台帐!AJ1875</f>
        <v>0</v>
      </c>
      <c r="AK1875">
        <f>[1]资金台帐!AK1875</f>
        <v>0</v>
      </c>
      <c r="BA1875" s="22">
        <f t="shared" si="0"/>
      </c>
      <c r="BG1875" s="22">
        <f t="shared" si="1"/>
      </c>
      <c r="BH1875" s="22">
        <f t="shared" si="2"/>
        <v>0</v>
      </c>
    </row>
    <row r="1876">
      <c r="B1876">
        <f>[1]资金台帐!B1876&amp;""</f>
      </c>
      <c r="H1876">
        <f>[1]资金台帐!H1876&amp;""</f>
      </c>
      <c r="J1876">
        <f>[1]资金台帐!J1876&amp;""</f>
      </c>
      <c r="N1876">
        <f>[1]资金台帐!N1876</f>
      </c>
      <c r="O1876">
        <f>[1]资金台帐!O1876&amp;""</f>
      </c>
      <c r="P1876">
        <f>[1]资金台帐!P1876&amp;""</f>
      </c>
      <c r="Q1876">
        <f>[1]资金台帐!Q1876&amp;""</f>
      </c>
      <c r="T1876">
        <f>[1]资金台帐!T1876&amp;""</f>
      </c>
      <c r="U1876">
        <f>[1]资金台帐!U1876&amp;""</f>
      </c>
      <c r="W1876">
        <f>[1]资金台帐!W1876&amp;""</f>
      </c>
      <c r="X1876">
        <f>[1]资金台帐!X1876&amp;""</f>
      </c>
      <c r="AB1876">
        <f>[1]资金台帐!AB1876</f>
        <v>0</v>
      </c>
      <c r="AC1876">
        <f>[1]资金台帐!AC1876</f>
        <v>0</v>
      </c>
      <c r="AD1876">
        <f>[1]资金台帐!AD1876</f>
        <v>0</v>
      </c>
      <c r="AJ1876">
        <f>[1]资金台帐!AJ1876</f>
        <v>0</v>
      </c>
      <c r="AK1876">
        <f>[1]资金台帐!AK1876</f>
        <v>0</v>
      </c>
      <c r="BA1876" s="22">
        <f t="shared" si="0"/>
      </c>
      <c r="BG1876" s="22">
        <f t="shared" si="1"/>
      </c>
      <c r="BH1876" s="22">
        <f t="shared" si="2"/>
        <v>0</v>
      </c>
    </row>
    <row r="1877">
      <c r="B1877">
        <f>[1]资金台帐!B1877&amp;""</f>
      </c>
      <c r="H1877">
        <f>[1]资金台帐!H1877&amp;""</f>
      </c>
      <c r="J1877">
        <f>[1]资金台帐!J1877&amp;""</f>
      </c>
      <c r="N1877">
        <f>[1]资金台帐!N1877</f>
      </c>
      <c r="O1877">
        <f>[1]资金台帐!O1877&amp;""</f>
      </c>
      <c r="P1877">
        <f>[1]资金台帐!P1877&amp;""</f>
      </c>
      <c r="Q1877">
        <f>[1]资金台帐!Q1877&amp;""</f>
      </c>
      <c r="T1877">
        <f>[1]资金台帐!T1877&amp;""</f>
      </c>
      <c r="U1877">
        <f>[1]资金台帐!U1877&amp;""</f>
      </c>
      <c r="W1877">
        <f>[1]资金台帐!W1877&amp;""</f>
      </c>
      <c r="X1877">
        <f>[1]资金台帐!X1877&amp;""</f>
      </c>
      <c r="AB1877">
        <f>[1]资金台帐!AB1877</f>
        <v>0</v>
      </c>
      <c r="AC1877">
        <f>[1]资金台帐!AC1877</f>
        <v>0</v>
      </c>
      <c r="AD1877">
        <f>[1]资金台帐!AD1877</f>
        <v>0</v>
      </c>
      <c r="AJ1877">
        <f>[1]资金台帐!AJ1877</f>
        <v>0</v>
      </c>
      <c r="AK1877">
        <f>[1]资金台帐!AK1877</f>
        <v>0</v>
      </c>
      <c r="BA1877" s="22">
        <f t="shared" si="0"/>
      </c>
      <c r="BG1877" s="22">
        <f t="shared" si="1"/>
      </c>
      <c r="BH1877" s="22">
        <f t="shared" si="2"/>
        <v>0</v>
      </c>
    </row>
    <row r="1878">
      <c r="B1878">
        <f>[1]资金台帐!B1878&amp;""</f>
      </c>
      <c r="H1878">
        <f>[1]资金台帐!H1878&amp;""</f>
      </c>
      <c r="J1878">
        <f>[1]资金台帐!J1878&amp;""</f>
      </c>
      <c r="N1878">
        <f>[1]资金台帐!N1878</f>
      </c>
      <c r="O1878">
        <f>[1]资金台帐!O1878&amp;""</f>
      </c>
      <c r="P1878">
        <f>[1]资金台帐!P1878&amp;""</f>
      </c>
      <c r="Q1878">
        <f>[1]资金台帐!Q1878&amp;""</f>
      </c>
      <c r="T1878">
        <f>[1]资金台帐!T1878&amp;""</f>
      </c>
      <c r="U1878">
        <f>[1]资金台帐!U1878&amp;""</f>
      </c>
      <c r="W1878">
        <f>[1]资金台帐!W1878&amp;""</f>
      </c>
      <c r="X1878">
        <f>[1]资金台帐!X1878&amp;""</f>
      </c>
      <c r="AB1878">
        <f>[1]资金台帐!AB1878</f>
        <v>0</v>
      </c>
      <c r="AC1878">
        <f>[1]资金台帐!AC1878</f>
        <v>0</v>
      </c>
      <c r="AD1878">
        <f>[1]资金台帐!AD1878</f>
        <v>0</v>
      </c>
      <c r="AJ1878">
        <f>[1]资金台帐!AJ1878</f>
        <v>0</v>
      </c>
      <c r="AK1878">
        <f>[1]资金台帐!AK1878</f>
        <v>0</v>
      </c>
      <c r="BA1878" s="22">
        <f t="shared" si="0"/>
      </c>
      <c r="BG1878" s="22">
        <f t="shared" si="1"/>
      </c>
      <c r="BH1878" s="22">
        <f t="shared" si="2"/>
        <v>0</v>
      </c>
    </row>
    <row r="1879">
      <c r="B1879">
        <f>[1]资金台帐!B1879&amp;""</f>
      </c>
      <c r="H1879">
        <f>[1]资金台帐!H1879&amp;""</f>
      </c>
      <c r="J1879">
        <f>[1]资金台帐!J1879&amp;""</f>
      </c>
      <c r="N1879">
        <f>[1]资金台帐!N1879</f>
      </c>
      <c r="O1879">
        <f>[1]资金台帐!O1879&amp;""</f>
      </c>
      <c r="P1879">
        <f>[1]资金台帐!P1879&amp;""</f>
      </c>
      <c r="Q1879">
        <f>[1]资金台帐!Q1879&amp;""</f>
      </c>
      <c r="T1879">
        <f>[1]资金台帐!T1879&amp;""</f>
      </c>
      <c r="U1879">
        <f>[1]资金台帐!U1879&amp;""</f>
      </c>
      <c r="W1879">
        <f>[1]资金台帐!W1879&amp;""</f>
      </c>
      <c r="X1879">
        <f>[1]资金台帐!X1879&amp;""</f>
      </c>
      <c r="AB1879">
        <f>[1]资金台帐!AB1879</f>
        <v>0</v>
      </c>
      <c r="AC1879">
        <f>[1]资金台帐!AC1879</f>
        <v>0</v>
      </c>
      <c r="AD1879">
        <f>[1]资金台帐!AD1879</f>
        <v>0</v>
      </c>
      <c r="AJ1879">
        <f>[1]资金台帐!AJ1879</f>
        <v>0</v>
      </c>
      <c r="AK1879">
        <f>[1]资金台帐!AK1879</f>
        <v>0</v>
      </c>
      <c r="BA1879" s="22">
        <f t="shared" si="0"/>
      </c>
      <c r="BG1879" s="22">
        <f t="shared" si="1"/>
      </c>
      <c r="BH1879" s="22">
        <f t="shared" si="2"/>
        <v>0</v>
      </c>
    </row>
    <row r="1880">
      <c r="B1880">
        <f>[1]资金台帐!B1880&amp;""</f>
      </c>
      <c r="H1880">
        <f>[1]资金台帐!H1880&amp;""</f>
      </c>
      <c r="J1880">
        <f>[1]资金台帐!J1880&amp;""</f>
      </c>
      <c r="N1880">
        <f>[1]资金台帐!N1880</f>
      </c>
      <c r="O1880">
        <f>[1]资金台帐!O1880&amp;""</f>
      </c>
      <c r="P1880">
        <f>[1]资金台帐!P1880&amp;""</f>
      </c>
      <c r="Q1880">
        <f>[1]资金台帐!Q1880&amp;""</f>
      </c>
      <c r="T1880">
        <f>[1]资金台帐!T1880&amp;""</f>
      </c>
      <c r="U1880">
        <f>[1]资金台帐!U1880&amp;""</f>
      </c>
      <c r="W1880">
        <f>[1]资金台帐!W1880&amp;""</f>
      </c>
      <c r="X1880">
        <f>[1]资金台帐!X1880&amp;""</f>
      </c>
      <c r="AB1880">
        <f>[1]资金台帐!AB1880</f>
        <v>0</v>
      </c>
      <c r="AC1880">
        <f>[1]资金台帐!AC1880</f>
        <v>0</v>
      </c>
      <c r="AD1880">
        <f>[1]资金台帐!AD1880</f>
        <v>0</v>
      </c>
      <c r="AJ1880">
        <f>[1]资金台帐!AJ1880</f>
        <v>0</v>
      </c>
      <c r="AK1880">
        <f>[1]资金台帐!AK1880</f>
        <v>0</v>
      </c>
      <c r="BA1880" s="22">
        <f t="shared" si="0"/>
      </c>
      <c r="BG1880" s="22">
        <f t="shared" si="1"/>
      </c>
      <c r="BH1880" s="22">
        <f t="shared" si="2"/>
        <v>0</v>
      </c>
    </row>
    <row r="1881">
      <c r="B1881">
        <f>[1]资金台帐!B1881&amp;""</f>
      </c>
      <c r="H1881">
        <f>[1]资金台帐!H1881&amp;""</f>
      </c>
      <c r="J1881">
        <f>[1]资金台帐!J1881&amp;""</f>
      </c>
      <c r="N1881">
        <f>[1]资金台帐!N1881</f>
      </c>
      <c r="O1881">
        <f>[1]资金台帐!O1881&amp;""</f>
      </c>
      <c r="P1881">
        <f>[1]资金台帐!P1881&amp;""</f>
      </c>
      <c r="Q1881">
        <f>[1]资金台帐!Q1881&amp;""</f>
      </c>
      <c r="T1881">
        <f>[1]资金台帐!T1881&amp;""</f>
      </c>
      <c r="U1881">
        <f>[1]资金台帐!U1881&amp;""</f>
      </c>
      <c r="W1881">
        <f>[1]资金台帐!W1881&amp;""</f>
      </c>
      <c r="X1881">
        <f>[1]资金台帐!X1881&amp;""</f>
      </c>
      <c r="AB1881">
        <f>[1]资金台帐!AB1881</f>
        <v>0</v>
      </c>
      <c r="AC1881">
        <f>[1]资金台帐!AC1881</f>
        <v>0</v>
      </c>
      <c r="AD1881">
        <f>[1]资金台帐!AD1881</f>
        <v>0</v>
      </c>
      <c r="AJ1881">
        <f>[1]资金台帐!AJ1881</f>
        <v>0</v>
      </c>
      <c r="AK1881">
        <f>[1]资金台帐!AK1881</f>
        <v>0</v>
      </c>
      <c r="BA1881" s="22">
        <f t="shared" si="0"/>
      </c>
      <c r="BG1881" s="22">
        <f t="shared" si="1"/>
      </c>
      <c r="BH1881" s="22">
        <f t="shared" si="2"/>
        <v>0</v>
      </c>
    </row>
    <row r="1882">
      <c r="B1882">
        <f>[1]资金台帐!B1882&amp;""</f>
      </c>
      <c r="H1882">
        <f>[1]资金台帐!H1882&amp;""</f>
      </c>
      <c r="J1882">
        <f>[1]资金台帐!J1882&amp;""</f>
      </c>
      <c r="N1882">
        <f>[1]资金台帐!N1882</f>
      </c>
      <c r="O1882">
        <f>[1]资金台帐!O1882&amp;""</f>
      </c>
      <c r="P1882">
        <f>[1]资金台帐!P1882&amp;""</f>
      </c>
      <c r="Q1882">
        <f>[1]资金台帐!Q1882&amp;""</f>
      </c>
      <c r="T1882">
        <f>[1]资金台帐!T1882&amp;""</f>
      </c>
      <c r="U1882">
        <f>[1]资金台帐!U1882&amp;""</f>
      </c>
      <c r="W1882">
        <f>[1]资金台帐!W1882&amp;""</f>
      </c>
      <c r="X1882">
        <f>[1]资金台帐!X1882&amp;""</f>
      </c>
      <c r="AB1882">
        <f>[1]资金台帐!AB1882</f>
        <v>0</v>
      </c>
      <c r="AC1882">
        <f>[1]资金台帐!AC1882</f>
        <v>0</v>
      </c>
      <c r="AD1882">
        <f>[1]资金台帐!AD1882</f>
        <v>0</v>
      </c>
      <c r="AJ1882">
        <f>[1]资金台帐!AJ1882</f>
        <v>0</v>
      </c>
      <c r="AK1882">
        <f>[1]资金台帐!AK1882</f>
        <v>0</v>
      </c>
      <c r="BA1882" s="22">
        <f t="shared" si="0"/>
      </c>
      <c r="BG1882" s="22">
        <f t="shared" si="1"/>
      </c>
      <c r="BH1882" s="22">
        <f t="shared" si="2"/>
        <v>0</v>
      </c>
    </row>
    <row r="1883">
      <c r="B1883">
        <f>[1]资金台帐!B1883&amp;""</f>
      </c>
      <c r="H1883">
        <f>[1]资金台帐!H1883&amp;""</f>
      </c>
      <c r="J1883">
        <f>[1]资金台帐!J1883&amp;""</f>
      </c>
      <c r="N1883">
        <f>[1]资金台帐!N1883</f>
      </c>
      <c r="O1883">
        <f>[1]资金台帐!O1883&amp;""</f>
      </c>
      <c r="P1883">
        <f>[1]资金台帐!P1883&amp;""</f>
      </c>
      <c r="Q1883">
        <f>[1]资金台帐!Q1883&amp;""</f>
      </c>
      <c r="T1883">
        <f>[1]资金台帐!T1883&amp;""</f>
      </c>
      <c r="U1883">
        <f>[1]资金台帐!U1883&amp;""</f>
      </c>
      <c r="W1883">
        <f>[1]资金台帐!W1883&amp;""</f>
      </c>
      <c r="X1883">
        <f>[1]资金台帐!X1883&amp;""</f>
      </c>
      <c r="AB1883">
        <f>[1]资金台帐!AB1883</f>
        <v>0</v>
      </c>
      <c r="AC1883">
        <f>[1]资金台帐!AC1883</f>
        <v>0</v>
      </c>
      <c r="AD1883">
        <f>[1]资金台帐!AD1883</f>
        <v>0</v>
      </c>
      <c r="AJ1883">
        <f>[1]资金台帐!AJ1883</f>
        <v>0</v>
      </c>
      <c r="AK1883">
        <f>[1]资金台帐!AK1883</f>
        <v>0</v>
      </c>
      <c r="BA1883" s="22">
        <f t="shared" si="0"/>
      </c>
      <c r="BG1883" s="22">
        <f t="shared" si="1"/>
      </c>
      <c r="BH1883" s="22">
        <f t="shared" si="2"/>
        <v>0</v>
      </c>
    </row>
    <row r="1884">
      <c r="B1884">
        <f>[1]资金台帐!B1884&amp;""</f>
      </c>
      <c r="H1884">
        <f>[1]资金台帐!H1884&amp;""</f>
      </c>
      <c r="J1884">
        <f>[1]资金台帐!J1884&amp;""</f>
      </c>
      <c r="N1884">
        <f>[1]资金台帐!N1884</f>
      </c>
      <c r="O1884">
        <f>[1]资金台帐!O1884&amp;""</f>
      </c>
      <c r="P1884">
        <f>[1]资金台帐!P1884&amp;""</f>
      </c>
      <c r="Q1884">
        <f>[1]资金台帐!Q1884&amp;""</f>
      </c>
      <c r="T1884">
        <f>[1]资金台帐!T1884&amp;""</f>
      </c>
      <c r="U1884">
        <f>[1]资金台帐!U1884&amp;""</f>
      </c>
      <c r="W1884">
        <f>[1]资金台帐!W1884&amp;""</f>
      </c>
      <c r="X1884">
        <f>[1]资金台帐!X1884&amp;""</f>
      </c>
      <c r="AB1884">
        <f>[1]资金台帐!AB1884</f>
        <v>0</v>
      </c>
      <c r="AC1884">
        <f>[1]资金台帐!AC1884</f>
        <v>0</v>
      </c>
      <c r="AD1884">
        <f>[1]资金台帐!AD1884</f>
        <v>0</v>
      </c>
      <c r="AJ1884">
        <f>[1]资金台帐!AJ1884</f>
        <v>0</v>
      </c>
      <c r="AK1884">
        <f>[1]资金台帐!AK1884</f>
        <v>0</v>
      </c>
      <c r="BA1884" s="22">
        <f t="shared" si="0"/>
      </c>
      <c r="BG1884" s="22">
        <f t="shared" si="1"/>
      </c>
      <c r="BH1884" s="22">
        <f t="shared" si="2"/>
        <v>0</v>
      </c>
    </row>
    <row r="1885">
      <c r="B1885">
        <f>[1]资金台帐!B1885&amp;""</f>
      </c>
      <c r="H1885">
        <f>[1]资金台帐!H1885&amp;""</f>
      </c>
      <c r="J1885">
        <f>[1]资金台帐!J1885&amp;""</f>
      </c>
      <c r="N1885">
        <f>[1]资金台帐!N1885</f>
      </c>
      <c r="O1885">
        <f>[1]资金台帐!O1885&amp;""</f>
      </c>
      <c r="P1885">
        <f>[1]资金台帐!P1885&amp;""</f>
      </c>
      <c r="Q1885">
        <f>[1]资金台帐!Q1885&amp;""</f>
      </c>
      <c r="T1885">
        <f>[1]资金台帐!T1885&amp;""</f>
      </c>
      <c r="U1885">
        <f>[1]资金台帐!U1885&amp;""</f>
      </c>
      <c r="W1885">
        <f>[1]资金台帐!W1885&amp;""</f>
      </c>
      <c r="X1885">
        <f>[1]资金台帐!X1885&amp;""</f>
      </c>
      <c r="AB1885">
        <f>[1]资金台帐!AB1885</f>
        <v>0</v>
      </c>
      <c r="AC1885">
        <f>[1]资金台帐!AC1885</f>
        <v>0</v>
      </c>
      <c r="AD1885">
        <f>[1]资金台帐!AD1885</f>
        <v>0</v>
      </c>
      <c r="AJ1885">
        <f>[1]资金台帐!AJ1885</f>
        <v>0</v>
      </c>
      <c r="AK1885">
        <f>[1]资金台帐!AK1885</f>
        <v>0</v>
      </c>
      <c r="BA1885" s="22">
        <f t="shared" si="0"/>
      </c>
      <c r="BG1885" s="22">
        <f t="shared" si="1"/>
      </c>
      <c r="BH1885" s="22">
        <f t="shared" si="2"/>
        <v>0</v>
      </c>
    </row>
    <row r="1886">
      <c r="B1886">
        <f>[1]资金台帐!B1886&amp;""</f>
      </c>
      <c r="H1886">
        <f>[1]资金台帐!H1886&amp;""</f>
      </c>
      <c r="J1886">
        <f>[1]资金台帐!J1886&amp;""</f>
      </c>
      <c r="N1886">
        <f>[1]资金台帐!N1886</f>
      </c>
      <c r="O1886">
        <f>[1]资金台帐!O1886&amp;""</f>
      </c>
      <c r="P1886">
        <f>[1]资金台帐!P1886&amp;""</f>
      </c>
      <c r="Q1886">
        <f>[1]资金台帐!Q1886&amp;""</f>
      </c>
      <c r="T1886">
        <f>[1]资金台帐!T1886&amp;""</f>
      </c>
      <c r="U1886">
        <f>[1]资金台帐!U1886&amp;""</f>
      </c>
      <c r="W1886">
        <f>[1]资金台帐!W1886&amp;""</f>
      </c>
      <c r="X1886">
        <f>[1]资金台帐!X1886&amp;""</f>
      </c>
      <c r="AB1886">
        <f>[1]资金台帐!AB1886</f>
        <v>0</v>
      </c>
      <c r="AC1886">
        <f>[1]资金台帐!AC1886</f>
        <v>0</v>
      </c>
      <c r="AD1886">
        <f>[1]资金台帐!AD1886</f>
        <v>0</v>
      </c>
      <c r="AJ1886">
        <f>[1]资金台帐!AJ1886</f>
        <v>0</v>
      </c>
      <c r="AK1886">
        <f>[1]资金台帐!AK1886</f>
        <v>0</v>
      </c>
      <c r="BA1886" s="22">
        <f t="shared" si="0"/>
      </c>
      <c r="BG1886" s="22">
        <f t="shared" si="1"/>
      </c>
      <c r="BH1886" s="22">
        <f t="shared" si="2"/>
        <v>0</v>
      </c>
    </row>
    <row r="1887">
      <c r="B1887">
        <f>[1]资金台帐!B1887&amp;""</f>
      </c>
      <c r="H1887">
        <f>[1]资金台帐!H1887&amp;""</f>
      </c>
      <c r="J1887">
        <f>[1]资金台帐!J1887&amp;""</f>
      </c>
      <c r="N1887">
        <f>[1]资金台帐!N1887</f>
      </c>
      <c r="O1887">
        <f>[1]资金台帐!O1887&amp;""</f>
      </c>
      <c r="P1887">
        <f>[1]资金台帐!P1887&amp;""</f>
      </c>
      <c r="Q1887">
        <f>[1]资金台帐!Q1887&amp;""</f>
      </c>
      <c r="T1887">
        <f>[1]资金台帐!T1887&amp;""</f>
      </c>
      <c r="U1887">
        <f>[1]资金台帐!U1887&amp;""</f>
      </c>
      <c r="W1887">
        <f>[1]资金台帐!W1887&amp;""</f>
      </c>
      <c r="X1887">
        <f>[1]资金台帐!X1887&amp;""</f>
      </c>
      <c r="AB1887">
        <f>[1]资金台帐!AB1887</f>
        <v>0</v>
      </c>
      <c r="AC1887">
        <f>[1]资金台帐!AC1887</f>
        <v>0</v>
      </c>
      <c r="AD1887">
        <f>[1]资金台帐!AD1887</f>
        <v>0</v>
      </c>
      <c r="AJ1887">
        <f>[1]资金台帐!AJ1887</f>
        <v>0</v>
      </c>
      <c r="AK1887">
        <f>[1]资金台帐!AK1887</f>
        <v>0</v>
      </c>
      <c r="BA1887" s="22">
        <f t="shared" si="0"/>
      </c>
      <c r="BG1887" s="22">
        <f t="shared" si="1"/>
      </c>
      <c r="BH1887" s="22">
        <f t="shared" si="2"/>
        <v>0</v>
      </c>
    </row>
    <row r="1888">
      <c r="B1888">
        <f>[1]资金台帐!B1888&amp;""</f>
      </c>
      <c r="H1888">
        <f>[1]资金台帐!H1888&amp;""</f>
      </c>
      <c r="J1888">
        <f>[1]资金台帐!J1888&amp;""</f>
      </c>
      <c r="N1888">
        <f>[1]资金台帐!N1888</f>
      </c>
      <c r="O1888">
        <f>[1]资金台帐!O1888&amp;""</f>
      </c>
      <c r="P1888">
        <f>[1]资金台帐!P1888&amp;""</f>
      </c>
      <c r="Q1888">
        <f>[1]资金台帐!Q1888&amp;""</f>
      </c>
      <c r="T1888">
        <f>[1]资金台帐!T1888&amp;""</f>
      </c>
      <c r="U1888">
        <f>[1]资金台帐!U1888&amp;""</f>
      </c>
      <c r="W1888">
        <f>[1]资金台帐!W1888&amp;""</f>
      </c>
      <c r="X1888">
        <f>[1]资金台帐!X1888&amp;""</f>
      </c>
      <c r="AB1888">
        <f>[1]资金台帐!AB1888</f>
        <v>0</v>
      </c>
      <c r="AC1888">
        <f>[1]资金台帐!AC1888</f>
        <v>0</v>
      </c>
      <c r="AD1888">
        <f>[1]资金台帐!AD1888</f>
        <v>0</v>
      </c>
      <c r="AJ1888">
        <f>[1]资金台帐!AJ1888</f>
        <v>0</v>
      </c>
      <c r="AK1888">
        <f>[1]资金台帐!AK1888</f>
        <v>0</v>
      </c>
      <c r="BA1888" s="22">
        <f t="shared" si="0"/>
      </c>
      <c r="BG1888" s="22">
        <f t="shared" si="1"/>
      </c>
      <c r="BH1888" s="22">
        <f t="shared" si="2"/>
        <v>0</v>
      </c>
    </row>
    <row r="1889">
      <c r="B1889">
        <f>[1]资金台帐!B1889&amp;""</f>
      </c>
      <c r="H1889">
        <f>[1]资金台帐!H1889&amp;""</f>
      </c>
      <c r="J1889">
        <f>[1]资金台帐!J1889&amp;""</f>
      </c>
      <c r="N1889">
        <f>[1]资金台帐!N1889</f>
      </c>
      <c r="O1889">
        <f>[1]资金台帐!O1889&amp;""</f>
      </c>
      <c r="P1889">
        <f>[1]资金台帐!P1889&amp;""</f>
      </c>
      <c r="Q1889">
        <f>[1]资金台帐!Q1889&amp;""</f>
      </c>
      <c r="T1889">
        <f>[1]资金台帐!T1889&amp;""</f>
      </c>
      <c r="U1889">
        <f>[1]资金台帐!U1889&amp;""</f>
      </c>
      <c r="W1889">
        <f>[1]资金台帐!W1889&amp;""</f>
      </c>
      <c r="X1889">
        <f>[1]资金台帐!X1889&amp;""</f>
      </c>
      <c r="AB1889">
        <f>[1]资金台帐!AB1889</f>
        <v>0</v>
      </c>
      <c r="AC1889">
        <f>[1]资金台帐!AC1889</f>
        <v>0</v>
      </c>
      <c r="AD1889">
        <f>[1]资金台帐!AD1889</f>
        <v>0</v>
      </c>
      <c r="AJ1889">
        <f>[1]资金台帐!AJ1889</f>
        <v>0</v>
      </c>
      <c r="AK1889">
        <f>[1]资金台帐!AK1889</f>
        <v>0</v>
      </c>
      <c r="BA1889" s="22">
        <f t="shared" si="0"/>
      </c>
      <c r="BG1889" s="22">
        <f t="shared" si="1"/>
      </c>
      <c r="BH1889" s="22">
        <f t="shared" si="2"/>
        <v>0</v>
      </c>
    </row>
    <row r="1890">
      <c r="B1890">
        <f>[1]资金台帐!B1890&amp;""</f>
      </c>
      <c r="H1890">
        <f>[1]资金台帐!H1890&amp;""</f>
      </c>
      <c r="J1890">
        <f>[1]资金台帐!J1890&amp;""</f>
      </c>
      <c r="N1890">
        <f>[1]资金台帐!N1890</f>
      </c>
      <c r="O1890">
        <f>[1]资金台帐!O1890&amp;""</f>
      </c>
      <c r="P1890">
        <f>[1]资金台帐!P1890&amp;""</f>
      </c>
      <c r="Q1890">
        <f>[1]资金台帐!Q1890&amp;""</f>
      </c>
      <c r="T1890">
        <f>[1]资金台帐!T1890&amp;""</f>
      </c>
      <c r="U1890">
        <f>[1]资金台帐!U1890&amp;""</f>
      </c>
      <c r="W1890">
        <f>[1]资金台帐!W1890&amp;""</f>
      </c>
      <c r="X1890">
        <f>[1]资金台帐!X1890&amp;""</f>
      </c>
      <c r="AB1890">
        <f>[1]资金台帐!AB1890</f>
        <v>0</v>
      </c>
      <c r="AC1890">
        <f>[1]资金台帐!AC1890</f>
        <v>0</v>
      </c>
      <c r="AD1890">
        <f>[1]资金台帐!AD1890</f>
        <v>0</v>
      </c>
      <c r="AJ1890">
        <f>[1]资金台帐!AJ1890</f>
        <v>0</v>
      </c>
      <c r="AK1890">
        <f>[1]资金台帐!AK1890</f>
        <v>0</v>
      </c>
      <c r="BA1890" s="22">
        <f t="shared" si="0"/>
      </c>
      <c r="BG1890" s="22">
        <f t="shared" si="1"/>
      </c>
      <c r="BH1890" s="22">
        <f t="shared" si="2"/>
        <v>0</v>
      </c>
    </row>
    <row r="1891">
      <c r="B1891">
        <f>[1]资金台帐!B1891&amp;""</f>
      </c>
      <c r="H1891">
        <f>[1]资金台帐!H1891&amp;""</f>
      </c>
      <c r="J1891">
        <f>[1]资金台帐!J1891&amp;""</f>
      </c>
      <c r="N1891">
        <f>[1]资金台帐!N1891</f>
      </c>
      <c r="O1891">
        <f>[1]资金台帐!O1891&amp;""</f>
      </c>
      <c r="P1891">
        <f>[1]资金台帐!P1891&amp;""</f>
      </c>
      <c r="Q1891">
        <f>[1]资金台帐!Q1891&amp;""</f>
      </c>
      <c r="T1891">
        <f>[1]资金台帐!T1891&amp;""</f>
      </c>
      <c r="U1891">
        <f>[1]资金台帐!U1891&amp;""</f>
      </c>
      <c r="W1891">
        <f>[1]资金台帐!W1891&amp;""</f>
      </c>
      <c r="X1891">
        <f>[1]资金台帐!X1891&amp;""</f>
      </c>
      <c r="AB1891">
        <f>[1]资金台帐!AB1891</f>
        <v>0</v>
      </c>
      <c r="AC1891">
        <f>[1]资金台帐!AC1891</f>
        <v>0</v>
      </c>
      <c r="AD1891">
        <f>[1]资金台帐!AD1891</f>
        <v>0</v>
      </c>
      <c r="AJ1891">
        <f>[1]资金台帐!AJ1891</f>
        <v>0</v>
      </c>
      <c r="AK1891">
        <f>[1]资金台帐!AK1891</f>
        <v>0</v>
      </c>
      <c r="BA1891" s="22">
        <f t="shared" si="0"/>
      </c>
      <c r="BG1891" s="22">
        <f t="shared" si="1"/>
      </c>
      <c r="BH1891" s="22">
        <f t="shared" si="2"/>
        <v>0</v>
      </c>
    </row>
    <row r="1892">
      <c r="B1892">
        <f>[1]资金台帐!B1892&amp;""</f>
      </c>
      <c r="H1892">
        <f>[1]资金台帐!H1892&amp;""</f>
      </c>
      <c r="J1892">
        <f>[1]资金台帐!J1892&amp;""</f>
      </c>
      <c r="N1892">
        <f>[1]资金台帐!N1892</f>
      </c>
      <c r="O1892">
        <f>[1]资金台帐!O1892&amp;""</f>
      </c>
      <c r="P1892">
        <f>[1]资金台帐!P1892&amp;""</f>
      </c>
      <c r="Q1892">
        <f>[1]资金台帐!Q1892&amp;""</f>
      </c>
      <c r="T1892">
        <f>[1]资金台帐!T1892&amp;""</f>
      </c>
      <c r="U1892">
        <f>[1]资金台帐!U1892&amp;""</f>
      </c>
      <c r="W1892">
        <f>[1]资金台帐!W1892&amp;""</f>
      </c>
      <c r="X1892">
        <f>[1]资金台帐!X1892&amp;""</f>
      </c>
      <c r="AB1892">
        <f>[1]资金台帐!AB1892</f>
        <v>0</v>
      </c>
      <c r="AC1892">
        <f>[1]资金台帐!AC1892</f>
        <v>0</v>
      </c>
      <c r="AD1892">
        <f>[1]资金台帐!AD1892</f>
        <v>0</v>
      </c>
      <c r="AJ1892">
        <f>[1]资金台帐!AJ1892</f>
        <v>0</v>
      </c>
      <c r="AK1892">
        <f>[1]资金台帐!AK1892</f>
        <v>0</v>
      </c>
      <c r="BA1892" s="22">
        <f t="shared" si="0"/>
      </c>
      <c r="BG1892" s="22">
        <f t="shared" si="1"/>
      </c>
      <c r="BH1892" s="22">
        <f t="shared" si="2"/>
        <v>0</v>
      </c>
    </row>
    <row r="1893">
      <c r="B1893">
        <f>[1]资金台帐!B1893&amp;""</f>
      </c>
      <c r="H1893">
        <f>[1]资金台帐!H1893&amp;""</f>
      </c>
      <c r="J1893">
        <f>[1]资金台帐!J1893&amp;""</f>
      </c>
      <c r="N1893">
        <f>[1]资金台帐!N1893</f>
      </c>
      <c r="O1893">
        <f>[1]资金台帐!O1893&amp;""</f>
      </c>
      <c r="P1893">
        <f>[1]资金台帐!P1893&amp;""</f>
      </c>
      <c r="Q1893">
        <f>[1]资金台帐!Q1893&amp;""</f>
      </c>
      <c r="T1893">
        <f>[1]资金台帐!T1893&amp;""</f>
      </c>
      <c r="U1893">
        <f>[1]资金台帐!U1893&amp;""</f>
      </c>
      <c r="W1893">
        <f>[1]资金台帐!W1893&amp;""</f>
      </c>
      <c r="X1893">
        <f>[1]资金台帐!X1893&amp;""</f>
      </c>
      <c r="AB1893">
        <f>[1]资金台帐!AB1893</f>
        <v>0</v>
      </c>
      <c r="AC1893">
        <f>[1]资金台帐!AC1893</f>
        <v>0</v>
      </c>
      <c r="AD1893">
        <f>[1]资金台帐!AD1893</f>
        <v>0</v>
      </c>
      <c r="AJ1893">
        <f>[1]资金台帐!AJ1893</f>
        <v>0</v>
      </c>
      <c r="AK1893">
        <f>[1]资金台帐!AK1893</f>
        <v>0</v>
      </c>
      <c r="BA1893" s="22">
        <f t="shared" si="0"/>
      </c>
      <c r="BG1893" s="22">
        <f t="shared" si="1"/>
      </c>
      <c r="BH1893" s="22">
        <f t="shared" si="2"/>
        <v>0</v>
      </c>
    </row>
    <row r="1894">
      <c r="B1894">
        <f>[1]资金台帐!B1894&amp;""</f>
      </c>
      <c r="H1894">
        <f>[1]资金台帐!H1894&amp;""</f>
      </c>
      <c r="J1894">
        <f>[1]资金台帐!J1894&amp;""</f>
      </c>
      <c r="N1894">
        <f>[1]资金台帐!N1894</f>
      </c>
      <c r="O1894">
        <f>[1]资金台帐!O1894&amp;""</f>
      </c>
      <c r="P1894">
        <f>[1]资金台帐!P1894&amp;""</f>
      </c>
      <c r="Q1894">
        <f>[1]资金台帐!Q1894&amp;""</f>
      </c>
      <c r="T1894">
        <f>[1]资金台帐!T1894&amp;""</f>
      </c>
      <c r="U1894">
        <f>[1]资金台帐!U1894&amp;""</f>
      </c>
      <c r="W1894">
        <f>[1]资金台帐!W1894&amp;""</f>
      </c>
      <c r="X1894">
        <f>[1]资金台帐!X1894&amp;""</f>
      </c>
      <c r="AB1894">
        <f>[1]资金台帐!AB1894</f>
        <v>0</v>
      </c>
      <c r="AC1894">
        <f>[1]资金台帐!AC1894</f>
        <v>0</v>
      </c>
      <c r="AD1894">
        <f>[1]资金台帐!AD1894</f>
        <v>0</v>
      </c>
      <c r="AJ1894">
        <f>[1]资金台帐!AJ1894</f>
        <v>0</v>
      </c>
      <c r="AK1894">
        <f>[1]资金台帐!AK1894</f>
        <v>0</v>
      </c>
      <c r="BA1894" s="22">
        <f t="shared" si="0"/>
      </c>
      <c r="BG1894" s="22">
        <f t="shared" si="1"/>
      </c>
      <c r="BH1894" s="22">
        <f t="shared" si="2"/>
        <v>0</v>
      </c>
    </row>
    <row r="1895">
      <c r="B1895">
        <f>[1]资金台帐!B1895&amp;""</f>
      </c>
      <c r="H1895">
        <f>[1]资金台帐!H1895&amp;""</f>
      </c>
      <c r="J1895">
        <f>[1]资金台帐!J1895&amp;""</f>
      </c>
      <c r="N1895">
        <f>[1]资金台帐!N1895</f>
      </c>
      <c r="O1895">
        <f>[1]资金台帐!O1895&amp;""</f>
      </c>
      <c r="P1895">
        <f>[1]资金台帐!P1895&amp;""</f>
      </c>
      <c r="Q1895">
        <f>[1]资金台帐!Q1895&amp;""</f>
      </c>
      <c r="T1895">
        <f>[1]资金台帐!T1895&amp;""</f>
      </c>
      <c r="U1895">
        <f>[1]资金台帐!U1895&amp;""</f>
      </c>
      <c r="W1895">
        <f>[1]资金台帐!W1895&amp;""</f>
      </c>
      <c r="X1895">
        <f>[1]资金台帐!X1895&amp;""</f>
      </c>
      <c r="AB1895">
        <f>[1]资金台帐!AB1895</f>
        <v>0</v>
      </c>
      <c r="AC1895">
        <f>[1]资金台帐!AC1895</f>
        <v>0</v>
      </c>
      <c r="AD1895">
        <f>[1]资金台帐!AD1895</f>
        <v>0</v>
      </c>
      <c r="AJ1895">
        <f>[1]资金台帐!AJ1895</f>
        <v>0</v>
      </c>
      <c r="AK1895">
        <f>[1]资金台帐!AK1895</f>
        <v>0</v>
      </c>
      <c r="BA1895" s="22">
        <f t="shared" si="0"/>
      </c>
      <c r="BG1895" s="22">
        <f t="shared" si="1"/>
      </c>
      <c r="BH1895" s="22">
        <f t="shared" si="2"/>
        <v>0</v>
      </c>
    </row>
    <row r="1896">
      <c r="B1896">
        <f>[1]资金台帐!B1896&amp;""</f>
      </c>
      <c r="H1896">
        <f>[1]资金台帐!H1896&amp;""</f>
      </c>
      <c r="J1896">
        <f>[1]资金台帐!J1896&amp;""</f>
      </c>
      <c r="N1896">
        <f>[1]资金台帐!N1896</f>
      </c>
      <c r="O1896">
        <f>[1]资金台帐!O1896&amp;""</f>
      </c>
      <c r="P1896">
        <f>[1]资金台帐!P1896&amp;""</f>
      </c>
      <c r="Q1896">
        <f>[1]资金台帐!Q1896&amp;""</f>
      </c>
      <c r="T1896">
        <f>[1]资金台帐!T1896&amp;""</f>
      </c>
      <c r="U1896">
        <f>[1]资金台帐!U1896&amp;""</f>
      </c>
      <c r="W1896">
        <f>[1]资金台帐!W1896&amp;""</f>
      </c>
      <c r="X1896">
        <f>[1]资金台帐!X1896&amp;""</f>
      </c>
      <c r="AB1896">
        <f>[1]资金台帐!AB1896</f>
        <v>0</v>
      </c>
      <c r="AC1896">
        <f>[1]资金台帐!AC1896</f>
        <v>0</v>
      </c>
      <c r="AD1896">
        <f>[1]资金台帐!AD1896</f>
        <v>0</v>
      </c>
      <c r="AJ1896">
        <f>[1]资金台帐!AJ1896</f>
        <v>0</v>
      </c>
      <c r="AK1896">
        <f>[1]资金台帐!AK1896</f>
        <v>0</v>
      </c>
      <c r="BA1896" s="22">
        <f t="shared" si="0"/>
      </c>
      <c r="BG1896" s="22">
        <f t="shared" si="1"/>
      </c>
      <c r="BH1896" s="22">
        <f t="shared" si="2"/>
        <v>0</v>
      </c>
    </row>
    <row r="1897">
      <c r="B1897">
        <f>[1]资金台帐!B1897&amp;""</f>
      </c>
      <c r="H1897">
        <f>[1]资金台帐!H1897&amp;""</f>
      </c>
      <c r="J1897">
        <f>[1]资金台帐!J1897&amp;""</f>
      </c>
      <c r="N1897">
        <f>[1]资金台帐!N1897</f>
      </c>
      <c r="O1897">
        <f>[1]资金台帐!O1897&amp;""</f>
      </c>
      <c r="P1897">
        <f>[1]资金台帐!P1897&amp;""</f>
      </c>
      <c r="Q1897">
        <f>[1]资金台帐!Q1897&amp;""</f>
      </c>
      <c r="T1897">
        <f>[1]资金台帐!T1897&amp;""</f>
      </c>
      <c r="U1897">
        <f>[1]资金台帐!U1897&amp;""</f>
      </c>
      <c r="W1897">
        <f>[1]资金台帐!W1897&amp;""</f>
      </c>
      <c r="X1897">
        <f>[1]资金台帐!X1897&amp;""</f>
      </c>
      <c r="AB1897">
        <f>[1]资金台帐!AB1897</f>
        <v>0</v>
      </c>
      <c r="AC1897">
        <f>[1]资金台帐!AC1897</f>
        <v>0</v>
      </c>
      <c r="AD1897">
        <f>[1]资金台帐!AD1897</f>
        <v>0</v>
      </c>
      <c r="AJ1897">
        <f>[1]资金台帐!AJ1897</f>
        <v>0</v>
      </c>
      <c r="AK1897">
        <f>[1]资金台帐!AK1897</f>
        <v>0</v>
      </c>
      <c r="BA1897" s="22">
        <f t="shared" si="0"/>
      </c>
      <c r="BG1897" s="22">
        <f t="shared" si="1"/>
      </c>
      <c r="BH1897" s="22">
        <f t="shared" si="2"/>
        <v>0</v>
      </c>
    </row>
    <row r="1898">
      <c r="B1898">
        <f>[1]资金台帐!B1898&amp;""</f>
      </c>
      <c r="H1898">
        <f>[1]资金台帐!H1898&amp;""</f>
      </c>
      <c r="J1898">
        <f>[1]资金台帐!J1898&amp;""</f>
      </c>
      <c r="N1898">
        <f>[1]资金台帐!N1898</f>
      </c>
      <c r="O1898">
        <f>[1]资金台帐!O1898&amp;""</f>
      </c>
      <c r="P1898">
        <f>[1]资金台帐!P1898&amp;""</f>
      </c>
      <c r="Q1898">
        <f>[1]资金台帐!Q1898&amp;""</f>
      </c>
      <c r="T1898">
        <f>[1]资金台帐!T1898&amp;""</f>
      </c>
      <c r="U1898">
        <f>[1]资金台帐!U1898&amp;""</f>
      </c>
      <c r="W1898">
        <f>[1]资金台帐!W1898&amp;""</f>
      </c>
      <c r="X1898">
        <f>[1]资金台帐!X1898&amp;""</f>
      </c>
      <c r="AB1898">
        <f>[1]资金台帐!AB1898</f>
        <v>0</v>
      </c>
      <c r="AC1898">
        <f>[1]资金台帐!AC1898</f>
        <v>0</v>
      </c>
      <c r="AD1898">
        <f>[1]资金台帐!AD1898</f>
        <v>0</v>
      </c>
      <c r="AJ1898">
        <f>[1]资金台帐!AJ1898</f>
        <v>0</v>
      </c>
      <c r="AK1898">
        <f>[1]资金台帐!AK1898</f>
        <v>0</v>
      </c>
      <c r="BA1898" s="22">
        <f t="shared" si="0"/>
      </c>
      <c r="BG1898" s="22">
        <f t="shared" si="1"/>
      </c>
      <c r="BH1898" s="22">
        <f t="shared" si="2"/>
        <v>0</v>
      </c>
    </row>
    <row r="1899">
      <c r="B1899">
        <f>[1]资金台帐!B1899&amp;""</f>
      </c>
      <c r="H1899">
        <f>[1]资金台帐!H1899&amp;""</f>
      </c>
      <c r="J1899">
        <f>[1]资金台帐!J1899&amp;""</f>
      </c>
      <c r="N1899">
        <f>[1]资金台帐!N1899</f>
      </c>
      <c r="O1899">
        <f>[1]资金台帐!O1899&amp;""</f>
      </c>
      <c r="P1899">
        <f>[1]资金台帐!P1899&amp;""</f>
      </c>
      <c r="Q1899">
        <f>[1]资金台帐!Q1899&amp;""</f>
      </c>
      <c r="T1899">
        <f>[1]资金台帐!T1899&amp;""</f>
      </c>
      <c r="U1899">
        <f>[1]资金台帐!U1899&amp;""</f>
      </c>
      <c r="W1899">
        <f>[1]资金台帐!W1899&amp;""</f>
      </c>
      <c r="X1899">
        <f>[1]资金台帐!X1899&amp;""</f>
      </c>
      <c r="AB1899">
        <f>[1]资金台帐!AB1899</f>
        <v>0</v>
      </c>
      <c r="AC1899">
        <f>[1]资金台帐!AC1899</f>
        <v>0</v>
      </c>
      <c r="AD1899">
        <f>[1]资金台帐!AD1899</f>
        <v>0</v>
      </c>
      <c r="AJ1899">
        <f>[1]资金台帐!AJ1899</f>
        <v>0</v>
      </c>
      <c r="AK1899">
        <f>[1]资金台帐!AK1899</f>
        <v>0</v>
      </c>
      <c r="BA1899" s="22">
        <f t="shared" si="0"/>
      </c>
      <c r="BG1899" s="22">
        <f t="shared" si="1"/>
      </c>
      <c r="BH1899" s="22">
        <f t="shared" si="2"/>
        <v>0</v>
      </c>
    </row>
    <row r="1900">
      <c r="B1900">
        <f>[1]资金台帐!B1900&amp;""</f>
      </c>
      <c r="H1900">
        <f>[1]资金台帐!H1900&amp;""</f>
      </c>
      <c r="J1900">
        <f>[1]资金台帐!J1900&amp;""</f>
      </c>
      <c r="N1900">
        <f>[1]资金台帐!N1900</f>
      </c>
      <c r="O1900">
        <f>[1]资金台帐!O1900&amp;""</f>
      </c>
      <c r="P1900">
        <f>[1]资金台帐!P1900&amp;""</f>
      </c>
      <c r="Q1900">
        <f>[1]资金台帐!Q1900&amp;""</f>
      </c>
      <c r="T1900">
        <f>[1]资金台帐!T1900&amp;""</f>
      </c>
      <c r="U1900">
        <f>[1]资金台帐!U1900&amp;""</f>
      </c>
      <c r="W1900">
        <f>[1]资金台帐!W1900&amp;""</f>
      </c>
      <c r="X1900">
        <f>[1]资金台帐!X1900&amp;""</f>
      </c>
      <c r="AB1900">
        <f>[1]资金台帐!AB1900</f>
        <v>0</v>
      </c>
      <c r="AC1900">
        <f>[1]资金台帐!AC1900</f>
        <v>0</v>
      </c>
      <c r="AD1900">
        <f>[1]资金台帐!AD1900</f>
        <v>0</v>
      </c>
      <c r="AJ1900">
        <f>[1]资金台帐!AJ1900</f>
        <v>0</v>
      </c>
      <c r="AK1900">
        <f>[1]资金台帐!AK1900</f>
        <v>0</v>
      </c>
      <c r="BA1900" s="22">
        <f t="shared" si="0"/>
      </c>
      <c r="BG1900" s="22">
        <f t="shared" si="1"/>
      </c>
      <c r="BH1900" s="22">
        <f t="shared" si="2"/>
        <v>0</v>
      </c>
    </row>
    <row r="1901">
      <c r="B1901">
        <f>[1]资金台帐!B1901&amp;""</f>
      </c>
      <c r="H1901">
        <f>[1]资金台帐!H1901&amp;""</f>
      </c>
      <c r="J1901">
        <f>[1]资金台帐!J1901&amp;""</f>
      </c>
      <c r="N1901">
        <f>[1]资金台帐!N1901</f>
      </c>
      <c r="O1901">
        <f>[1]资金台帐!O1901&amp;""</f>
      </c>
      <c r="P1901">
        <f>[1]资金台帐!P1901&amp;""</f>
      </c>
      <c r="Q1901">
        <f>[1]资金台帐!Q1901&amp;""</f>
      </c>
      <c r="T1901">
        <f>[1]资金台帐!T1901&amp;""</f>
      </c>
      <c r="U1901">
        <f>[1]资金台帐!U1901&amp;""</f>
      </c>
      <c r="W1901">
        <f>[1]资金台帐!W1901&amp;""</f>
      </c>
      <c r="X1901">
        <f>[1]资金台帐!X1901&amp;""</f>
      </c>
      <c r="AB1901">
        <f>[1]资金台帐!AB1901</f>
        <v>0</v>
      </c>
      <c r="AC1901">
        <f>[1]资金台帐!AC1901</f>
        <v>0</v>
      </c>
      <c r="AD1901">
        <f>[1]资金台帐!AD1901</f>
        <v>0</v>
      </c>
      <c r="AJ1901">
        <f>[1]资金台帐!AJ1901</f>
        <v>0</v>
      </c>
      <c r="AK1901">
        <f>[1]资金台帐!AK1901</f>
        <v>0</v>
      </c>
      <c r="BA1901" s="22">
        <f t="shared" si="0"/>
      </c>
      <c r="BG1901" s="22">
        <f t="shared" si="1"/>
      </c>
      <c r="BH1901" s="22">
        <f t="shared" si="2"/>
        <v>0</v>
      </c>
    </row>
    <row r="1902">
      <c r="B1902">
        <f>[1]资金台帐!B1902&amp;""</f>
      </c>
      <c r="H1902">
        <f>[1]资金台帐!H1902&amp;""</f>
      </c>
      <c r="J1902">
        <f>[1]资金台帐!J1902&amp;""</f>
      </c>
      <c r="N1902">
        <f>[1]资金台帐!N1902</f>
      </c>
      <c r="O1902">
        <f>[1]资金台帐!O1902&amp;""</f>
      </c>
      <c r="P1902">
        <f>[1]资金台帐!P1902&amp;""</f>
      </c>
      <c r="Q1902">
        <f>[1]资金台帐!Q1902&amp;""</f>
      </c>
      <c r="T1902">
        <f>[1]资金台帐!T1902&amp;""</f>
      </c>
      <c r="U1902">
        <f>[1]资金台帐!U1902&amp;""</f>
      </c>
      <c r="W1902">
        <f>[1]资金台帐!W1902&amp;""</f>
      </c>
      <c r="X1902">
        <f>[1]资金台帐!X1902&amp;""</f>
      </c>
      <c r="AB1902">
        <f>[1]资金台帐!AB1902</f>
        <v>0</v>
      </c>
      <c r="AC1902">
        <f>[1]资金台帐!AC1902</f>
        <v>0</v>
      </c>
      <c r="AD1902">
        <f>[1]资金台帐!AD1902</f>
        <v>0</v>
      </c>
      <c r="AJ1902">
        <f>[1]资金台帐!AJ1902</f>
        <v>0</v>
      </c>
      <c r="AK1902">
        <f>[1]资金台帐!AK1902</f>
        <v>0</v>
      </c>
      <c r="BA1902" s="22">
        <f t="shared" si="0"/>
      </c>
      <c r="BG1902" s="22">
        <f t="shared" si="1"/>
      </c>
      <c r="BH1902" s="22">
        <f t="shared" si="2"/>
        <v>0</v>
      </c>
    </row>
    <row r="1903">
      <c r="B1903">
        <f>[1]资金台帐!B1903&amp;""</f>
      </c>
      <c r="H1903">
        <f>[1]资金台帐!H1903&amp;""</f>
      </c>
      <c r="J1903">
        <f>[1]资金台帐!J1903&amp;""</f>
      </c>
      <c r="N1903">
        <f>[1]资金台帐!N1903</f>
      </c>
      <c r="O1903">
        <f>[1]资金台帐!O1903&amp;""</f>
      </c>
      <c r="P1903">
        <f>[1]资金台帐!P1903&amp;""</f>
      </c>
      <c r="Q1903">
        <f>[1]资金台帐!Q1903&amp;""</f>
      </c>
      <c r="T1903">
        <f>[1]资金台帐!T1903&amp;""</f>
      </c>
      <c r="U1903">
        <f>[1]资金台帐!U1903&amp;""</f>
      </c>
      <c r="W1903">
        <f>[1]资金台帐!W1903&amp;""</f>
      </c>
      <c r="X1903">
        <f>[1]资金台帐!X1903&amp;""</f>
      </c>
      <c r="AB1903">
        <f>[1]资金台帐!AB1903</f>
        <v>0</v>
      </c>
      <c r="AC1903">
        <f>[1]资金台帐!AC1903</f>
        <v>0</v>
      </c>
      <c r="AD1903">
        <f>[1]资金台帐!AD1903</f>
        <v>0</v>
      </c>
      <c r="AJ1903">
        <f>[1]资金台帐!AJ1903</f>
        <v>0</v>
      </c>
      <c r="AK1903">
        <f>[1]资金台帐!AK1903</f>
        <v>0</v>
      </c>
      <c r="BA1903" s="22">
        <f t="shared" si="0"/>
      </c>
      <c r="BG1903" s="22">
        <f t="shared" si="1"/>
      </c>
      <c r="BH1903" s="22">
        <f t="shared" si="2"/>
        <v>0</v>
      </c>
    </row>
    <row r="1904">
      <c r="B1904">
        <f>[1]资金台帐!B1904&amp;""</f>
      </c>
      <c r="H1904">
        <f>[1]资金台帐!H1904&amp;""</f>
      </c>
      <c r="J1904">
        <f>[1]资金台帐!J1904&amp;""</f>
      </c>
      <c r="N1904">
        <f>[1]资金台帐!N1904</f>
      </c>
      <c r="O1904">
        <f>[1]资金台帐!O1904&amp;""</f>
      </c>
      <c r="P1904">
        <f>[1]资金台帐!P1904&amp;""</f>
      </c>
      <c r="Q1904">
        <f>[1]资金台帐!Q1904&amp;""</f>
      </c>
      <c r="T1904">
        <f>[1]资金台帐!T1904&amp;""</f>
      </c>
      <c r="U1904">
        <f>[1]资金台帐!U1904&amp;""</f>
      </c>
      <c r="W1904">
        <f>[1]资金台帐!W1904&amp;""</f>
      </c>
      <c r="X1904">
        <f>[1]资金台帐!X1904&amp;""</f>
      </c>
      <c r="AB1904">
        <f>[1]资金台帐!AB1904</f>
        <v>0</v>
      </c>
      <c r="AC1904">
        <f>[1]资金台帐!AC1904</f>
        <v>0</v>
      </c>
      <c r="AD1904">
        <f>[1]资金台帐!AD1904</f>
        <v>0</v>
      </c>
      <c r="AJ1904">
        <f>[1]资金台帐!AJ1904</f>
        <v>0</v>
      </c>
      <c r="AK1904">
        <f>[1]资金台帐!AK1904</f>
        <v>0</v>
      </c>
      <c r="BA1904" s="22">
        <f t="shared" si="0"/>
      </c>
      <c r="BG1904" s="22">
        <f t="shared" si="1"/>
      </c>
      <c r="BH1904" s="22">
        <f t="shared" si="2"/>
        <v>0</v>
      </c>
    </row>
    <row r="1905">
      <c r="B1905">
        <f>[1]资金台帐!B1905&amp;""</f>
      </c>
      <c r="H1905">
        <f>[1]资金台帐!H1905&amp;""</f>
      </c>
      <c r="J1905">
        <f>[1]资金台帐!J1905&amp;""</f>
      </c>
      <c r="N1905">
        <f>[1]资金台帐!N1905</f>
      </c>
      <c r="O1905">
        <f>[1]资金台帐!O1905&amp;""</f>
      </c>
      <c r="P1905">
        <f>[1]资金台帐!P1905&amp;""</f>
      </c>
      <c r="Q1905">
        <f>[1]资金台帐!Q1905&amp;""</f>
      </c>
      <c r="T1905">
        <f>[1]资金台帐!T1905&amp;""</f>
      </c>
      <c r="U1905">
        <f>[1]资金台帐!U1905&amp;""</f>
      </c>
      <c r="W1905">
        <f>[1]资金台帐!W1905&amp;""</f>
      </c>
      <c r="X1905">
        <f>[1]资金台帐!X1905&amp;""</f>
      </c>
      <c r="AB1905">
        <f>[1]资金台帐!AB1905</f>
        <v>0</v>
      </c>
      <c r="AC1905">
        <f>[1]资金台帐!AC1905</f>
        <v>0</v>
      </c>
      <c r="AD1905">
        <f>[1]资金台帐!AD1905</f>
        <v>0</v>
      </c>
      <c r="AJ1905">
        <f>[1]资金台帐!AJ1905</f>
        <v>0</v>
      </c>
      <c r="AK1905">
        <f>[1]资金台帐!AK1905</f>
        <v>0</v>
      </c>
      <c r="BA1905" s="22">
        <f t="shared" si="0"/>
      </c>
      <c r="BG1905" s="22">
        <f t="shared" si="1"/>
      </c>
      <c r="BH1905" s="22">
        <f t="shared" si="2"/>
        <v>0</v>
      </c>
    </row>
    <row r="1906">
      <c r="B1906">
        <f>[1]资金台帐!B1906&amp;""</f>
      </c>
      <c r="H1906">
        <f>[1]资金台帐!H1906&amp;""</f>
      </c>
      <c r="J1906">
        <f>[1]资金台帐!J1906&amp;""</f>
      </c>
      <c r="N1906">
        <f>[1]资金台帐!N1906</f>
      </c>
      <c r="O1906">
        <f>[1]资金台帐!O1906&amp;""</f>
      </c>
      <c r="P1906">
        <f>[1]资金台帐!P1906&amp;""</f>
      </c>
      <c r="Q1906">
        <f>[1]资金台帐!Q1906&amp;""</f>
      </c>
      <c r="T1906">
        <f>[1]资金台帐!T1906&amp;""</f>
      </c>
      <c r="U1906">
        <f>[1]资金台帐!U1906&amp;""</f>
      </c>
      <c r="W1906">
        <f>[1]资金台帐!W1906&amp;""</f>
      </c>
      <c r="X1906">
        <f>[1]资金台帐!X1906&amp;""</f>
      </c>
      <c r="AB1906">
        <f>[1]资金台帐!AB1906</f>
        <v>0</v>
      </c>
      <c r="AC1906">
        <f>[1]资金台帐!AC1906</f>
        <v>0</v>
      </c>
      <c r="AD1906">
        <f>[1]资金台帐!AD1906</f>
        <v>0</v>
      </c>
      <c r="AJ1906">
        <f>[1]资金台帐!AJ1906</f>
        <v>0</v>
      </c>
      <c r="AK1906">
        <f>[1]资金台帐!AK1906</f>
        <v>0</v>
      </c>
      <c r="BA1906" s="22">
        <f t="shared" si="0"/>
      </c>
      <c r="BG1906" s="22">
        <f t="shared" si="1"/>
      </c>
      <c r="BH1906" s="22">
        <f t="shared" si="2"/>
        <v>0</v>
      </c>
    </row>
    <row r="1907">
      <c r="B1907">
        <f>[1]资金台帐!B1907&amp;""</f>
      </c>
      <c r="H1907">
        <f>[1]资金台帐!H1907&amp;""</f>
      </c>
      <c r="J1907">
        <f>[1]资金台帐!J1907&amp;""</f>
      </c>
      <c r="N1907">
        <f>[1]资金台帐!N1907</f>
      </c>
      <c r="O1907">
        <f>[1]资金台帐!O1907&amp;""</f>
      </c>
      <c r="P1907">
        <f>[1]资金台帐!P1907&amp;""</f>
      </c>
      <c r="Q1907">
        <f>[1]资金台帐!Q1907&amp;""</f>
      </c>
      <c r="T1907">
        <f>[1]资金台帐!T1907&amp;""</f>
      </c>
      <c r="U1907">
        <f>[1]资金台帐!U1907&amp;""</f>
      </c>
      <c r="W1907">
        <f>[1]资金台帐!W1907&amp;""</f>
      </c>
      <c r="X1907">
        <f>[1]资金台帐!X1907&amp;""</f>
      </c>
      <c r="AB1907">
        <f>[1]资金台帐!AB1907</f>
        <v>0</v>
      </c>
      <c r="AC1907">
        <f>[1]资金台帐!AC1907</f>
        <v>0</v>
      </c>
      <c r="AD1907">
        <f>[1]资金台帐!AD1907</f>
        <v>0</v>
      </c>
      <c r="AJ1907">
        <f>[1]资金台帐!AJ1907</f>
        <v>0</v>
      </c>
      <c r="AK1907">
        <f>[1]资金台帐!AK1907</f>
        <v>0</v>
      </c>
      <c r="BA1907" s="22">
        <f t="shared" si="0"/>
      </c>
      <c r="BG1907" s="22">
        <f t="shared" si="1"/>
      </c>
      <c r="BH1907" s="22">
        <f t="shared" si="2"/>
        <v>0</v>
      </c>
    </row>
    <row r="1908">
      <c r="B1908">
        <f>[1]资金台帐!B1908&amp;""</f>
      </c>
      <c r="H1908">
        <f>[1]资金台帐!H1908&amp;""</f>
      </c>
      <c r="J1908">
        <f>[1]资金台帐!J1908&amp;""</f>
      </c>
      <c r="N1908">
        <f>[1]资金台帐!N1908</f>
      </c>
      <c r="O1908">
        <f>[1]资金台帐!O1908&amp;""</f>
      </c>
      <c r="P1908">
        <f>[1]资金台帐!P1908&amp;""</f>
      </c>
      <c r="Q1908">
        <f>[1]资金台帐!Q1908&amp;""</f>
      </c>
      <c r="T1908">
        <f>[1]资金台帐!T1908&amp;""</f>
      </c>
      <c r="U1908">
        <f>[1]资金台帐!U1908&amp;""</f>
      </c>
      <c r="W1908">
        <f>[1]资金台帐!W1908&amp;""</f>
      </c>
      <c r="X1908">
        <f>[1]资金台帐!X1908&amp;""</f>
      </c>
      <c r="AB1908">
        <f>[1]资金台帐!AB1908</f>
        <v>0</v>
      </c>
      <c r="AC1908">
        <f>[1]资金台帐!AC1908</f>
        <v>0</v>
      </c>
      <c r="AD1908">
        <f>[1]资金台帐!AD1908</f>
        <v>0</v>
      </c>
      <c r="AJ1908">
        <f>[1]资金台帐!AJ1908</f>
        <v>0</v>
      </c>
      <c r="AK1908">
        <f>[1]资金台帐!AK1908</f>
        <v>0</v>
      </c>
      <c r="BA1908" s="22">
        <f t="shared" si="0"/>
      </c>
      <c r="BG1908" s="22">
        <f t="shared" si="1"/>
      </c>
      <c r="BH1908" s="22">
        <f t="shared" si="2"/>
        <v>0</v>
      </c>
    </row>
    <row r="1909">
      <c r="B1909">
        <f>[1]资金台帐!B1909&amp;""</f>
      </c>
      <c r="H1909">
        <f>[1]资金台帐!H1909&amp;""</f>
      </c>
      <c r="J1909">
        <f>[1]资金台帐!J1909&amp;""</f>
      </c>
      <c r="N1909">
        <f>[1]资金台帐!N1909</f>
      </c>
      <c r="O1909">
        <f>[1]资金台帐!O1909&amp;""</f>
      </c>
      <c r="P1909">
        <f>[1]资金台帐!P1909&amp;""</f>
      </c>
      <c r="Q1909">
        <f>[1]资金台帐!Q1909&amp;""</f>
      </c>
      <c r="T1909">
        <f>[1]资金台帐!T1909&amp;""</f>
      </c>
      <c r="U1909">
        <f>[1]资金台帐!U1909&amp;""</f>
      </c>
      <c r="W1909">
        <f>[1]资金台帐!W1909&amp;""</f>
      </c>
      <c r="X1909">
        <f>[1]资金台帐!X1909&amp;""</f>
      </c>
      <c r="AB1909">
        <f>[1]资金台帐!AB1909</f>
        <v>0</v>
      </c>
      <c r="AC1909">
        <f>[1]资金台帐!AC1909</f>
        <v>0</v>
      </c>
      <c r="AD1909">
        <f>[1]资金台帐!AD1909</f>
        <v>0</v>
      </c>
      <c r="AJ1909">
        <f>[1]资金台帐!AJ1909</f>
        <v>0</v>
      </c>
      <c r="AK1909">
        <f>[1]资金台帐!AK1909</f>
        <v>0</v>
      </c>
      <c r="BA1909" s="22">
        <f t="shared" si="0"/>
      </c>
      <c r="BG1909" s="22">
        <f t="shared" si="1"/>
      </c>
      <c r="BH1909" s="22">
        <f t="shared" si="2"/>
        <v>0</v>
      </c>
    </row>
    <row r="1910">
      <c r="B1910">
        <f>[1]资金台帐!B1910&amp;""</f>
      </c>
      <c r="H1910">
        <f>[1]资金台帐!H1910&amp;""</f>
      </c>
      <c r="J1910">
        <f>[1]资金台帐!J1910&amp;""</f>
      </c>
      <c r="N1910">
        <f>[1]资金台帐!N1910</f>
      </c>
      <c r="O1910">
        <f>[1]资金台帐!O1910&amp;""</f>
      </c>
      <c r="P1910">
        <f>[1]资金台帐!P1910&amp;""</f>
      </c>
      <c r="Q1910">
        <f>[1]资金台帐!Q1910&amp;""</f>
      </c>
      <c r="T1910">
        <f>[1]资金台帐!T1910&amp;""</f>
      </c>
      <c r="U1910">
        <f>[1]资金台帐!U1910&amp;""</f>
      </c>
      <c r="W1910">
        <f>[1]资金台帐!W1910&amp;""</f>
      </c>
      <c r="X1910">
        <f>[1]资金台帐!X1910&amp;""</f>
      </c>
      <c r="AB1910">
        <f>[1]资金台帐!AB1910</f>
        <v>0</v>
      </c>
      <c r="AC1910">
        <f>[1]资金台帐!AC1910</f>
        <v>0</v>
      </c>
      <c r="AD1910">
        <f>[1]资金台帐!AD1910</f>
        <v>0</v>
      </c>
      <c r="AJ1910">
        <f>[1]资金台帐!AJ1910</f>
        <v>0</v>
      </c>
      <c r="AK1910">
        <f>[1]资金台帐!AK1910</f>
        <v>0</v>
      </c>
      <c r="BA1910" s="22">
        <f t="shared" si="0"/>
      </c>
      <c r="BG1910" s="22">
        <f t="shared" si="1"/>
      </c>
      <c r="BH1910" s="22">
        <f t="shared" si="2"/>
        <v>0</v>
      </c>
    </row>
    <row r="1911">
      <c r="B1911">
        <f>[1]资金台帐!B1911&amp;""</f>
      </c>
      <c r="H1911">
        <f>[1]资金台帐!H1911&amp;""</f>
      </c>
      <c r="J1911">
        <f>[1]资金台帐!J1911&amp;""</f>
      </c>
      <c r="N1911">
        <f>[1]资金台帐!N1911</f>
      </c>
      <c r="O1911">
        <f>[1]资金台帐!O1911&amp;""</f>
      </c>
      <c r="P1911">
        <f>[1]资金台帐!P1911&amp;""</f>
      </c>
      <c r="Q1911">
        <f>[1]资金台帐!Q1911&amp;""</f>
      </c>
      <c r="T1911">
        <f>[1]资金台帐!T1911&amp;""</f>
      </c>
      <c r="U1911">
        <f>[1]资金台帐!U1911&amp;""</f>
      </c>
      <c r="W1911">
        <f>[1]资金台帐!W1911&amp;""</f>
      </c>
      <c r="X1911">
        <f>[1]资金台帐!X1911&amp;""</f>
      </c>
      <c r="AB1911">
        <f>[1]资金台帐!AB1911</f>
        <v>0</v>
      </c>
      <c r="AC1911">
        <f>[1]资金台帐!AC1911</f>
        <v>0</v>
      </c>
      <c r="AD1911">
        <f>[1]资金台帐!AD1911</f>
        <v>0</v>
      </c>
      <c r="AJ1911">
        <f>[1]资金台帐!AJ1911</f>
        <v>0</v>
      </c>
      <c r="AK1911">
        <f>[1]资金台帐!AK1911</f>
        <v>0</v>
      </c>
      <c r="BA1911" s="22">
        <f t="shared" si="0"/>
      </c>
      <c r="BG1911" s="22">
        <f t="shared" si="1"/>
      </c>
      <c r="BH1911" s="22">
        <f t="shared" si="2"/>
        <v>0</v>
      </c>
    </row>
    <row r="1912">
      <c r="B1912">
        <f>[1]资金台帐!B1912&amp;""</f>
      </c>
      <c r="H1912">
        <f>[1]资金台帐!H1912&amp;""</f>
      </c>
      <c r="J1912">
        <f>[1]资金台帐!J1912&amp;""</f>
      </c>
      <c r="N1912">
        <f>[1]资金台帐!N1912</f>
      </c>
      <c r="O1912">
        <f>[1]资金台帐!O1912&amp;""</f>
      </c>
      <c r="P1912">
        <f>[1]资金台帐!P1912&amp;""</f>
      </c>
      <c r="Q1912">
        <f>[1]资金台帐!Q1912&amp;""</f>
      </c>
      <c r="T1912">
        <f>[1]资金台帐!T1912&amp;""</f>
      </c>
      <c r="U1912">
        <f>[1]资金台帐!U1912&amp;""</f>
      </c>
      <c r="W1912">
        <f>[1]资金台帐!W1912&amp;""</f>
      </c>
      <c r="X1912">
        <f>[1]资金台帐!X1912&amp;""</f>
      </c>
      <c r="AB1912">
        <f>[1]资金台帐!AB1912</f>
        <v>0</v>
      </c>
      <c r="AC1912">
        <f>[1]资金台帐!AC1912</f>
        <v>0</v>
      </c>
      <c r="AD1912">
        <f>[1]资金台帐!AD1912</f>
        <v>0</v>
      </c>
      <c r="AJ1912">
        <f>[1]资金台帐!AJ1912</f>
        <v>0</v>
      </c>
      <c r="AK1912">
        <f>[1]资金台帐!AK1912</f>
        <v>0</v>
      </c>
      <c r="BA1912" s="22">
        <f t="shared" si="0"/>
      </c>
      <c r="BG1912" s="22">
        <f t="shared" si="1"/>
      </c>
      <c r="BH1912" s="22">
        <f t="shared" si="2"/>
        <v>0</v>
      </c>
    </row>
    <row r="1913">
      <c r="B1913">
        <f>[1]资金台帐!B1913&amp;""</f>
      </c>
      <c r="H1913">
        <f>[1]资金台帐!H1913&amp;""</f>
      </c>
      <c r="J1913">
        <f>[1]资金台帐!J1913&amp;""</f>
      </c>
      <c r="N1913">
        <f>[1]资金台帐!N1913</f>
      </c>
      <c r="O1913">
        <f>[1]资金台帐!O1913&amp;""</f>
      </c>
      <c r="P1913">
        <f>[1]资金台帐!P1913&amp;""</f>
      </c>
      <c r="Q1913">
        <f>[1]资金台帐!Q1913&amp;""</f>
      </c>
      <c r="T1913">
        <f>[1]资金台帐!T1913&amp;""</f>
      </c>
      <c r="U1913">
        <f>[1]资金台帐!U1913&amp;""</f>
      </c>
      <c r="W1913">
        <f>[1]资金台帐!W1913&amp;""</f>
      </c>
      <c r="X1913">
        <f>[1]资金台帐!X1913&amp;""</f>
      </c>
      <c r="AB1913">
        <f>[1]资金台帐!AB1913</f>
        <v>0</v>
      </c>
      <c r="AC1913">
        <f>[1]资金台帐!AC1913</f>
        <v>0</v>
      </c>
      <c r="AD1913">
        <f>[1]资金台帐!AD1913</f>
        <v>0</v>
      </c>
      <c r="AJ1913">
        <f>[1]资金台帐!AJ1913</f>
        <v>0</v>
      </c>
      <c r="AK1913">
        <f>[1]资金台帐!AK1913</f>
        <v>0</v>
      </c>
      <c r="BA1913" s="22">
        <f t="shared" si="0"/>
      </c>
      <c r="BG1913" s="22">
        <f t="shared" si="1"/>
      </c>
      <c r="BH1913" s="22">
        <f t="shared" si="2"/>
        <v>0</v>
      </c>
    </row>
    <row r="1914">
      <c r="B1914">
        <f>[1]资金台帐!B1914&amp;""</f>
      </c>
      <c r="H1914">
        <f>[1]资金台帐!H1914&amp;""</f>
      </c>
      <c r="J1914">
        <f>[1]资金台帐!J1914&amp;""</f>
      </c>
      <c r="N1914">
        <f>[1]资金台帐!N1914</f>
      </c>
      <c r="O1914">
        <f>[1]资金台帐!O1914&amp;""</f>
      </c>
      <c r="P1914">
        <f>[1]资金台帐!P1914&amp;""</f>
      </c>
      <c r="Q1914">
        <f>[1]资金台帐!Q1914&amp;""</f>
      </c>
      <c r="T1914">
        <f>[1]资金台帐!T1914&amp;""</f>
      </c>
      <c r="U1914">
        <f>[1]资金台帐!U1914&amp;""</f>
      </c>
      <c r="W1914">
        <f>[1]资金台帐!W1914&amp;""</f>
      </c>
      <c r="X1914">
        <f>[1]资金台帐!X1914&amp;""</f>
      </c>
      <c r="AB1914">
        <f>[1]资金台帐!AB1914</f>
        <v>0</v>
      </c>
      <c r="AC1914">
        <f>[1]资金台帐!AC1914</f>
        <v>0</v>
      </c>
      <c r="AD1914">
        <f>[1]资金台帐!AD1914</f>
        <v>0</v>
      </c>
      <c r="AJ1914">
        <f>[1]资金台帐!AJ1914</f>
        <v>0</v>
      </c>
      <c r="AK1914">
        <f>[1]资金台帐!AK1914</f>
        <v>0</v>
      </c>
      <c r="BA1914" s="22">
        <f t="shared" si="0"/>
      </c>
      <c r="BG1914" s="22">
        <f t="shared" si="1"/>
      </c>
      <c r="BH1914" s="22">
        <f t="shared" si="2"/>
        <v>0</v>
      </c>
    </row>
    <row r="1915">
      <c r="B1915">
        <f>[1]资金台帐!B1915&amp;""</f>
      </c>
      <c r="H1915">
        <f>[1]资金台帐!H1915&amp;""</f>
      </c>
      <c r="J1915">
        <f>[1]资金台帐!J1915&amp;""</f>
      </c>
      <c r="N1915">
        <f>[1]资金台帐!N1915</f>
      </c>
      <c r="O1915">
        <f>[1]资金台帐!O1915&amp;""</f>
      </c>
      <c r="P1915">
        <f>[1]资金台帐!P1915&amp;""</f>
      </c>
      <c r="Q1915">
        <f>[1]资金台帐!Q1915&amp;""</f>
      </c>
      <c r="T1915">
        <f>[1]资金台帐!T1915&amp;""</f>
      </c>
      <c r="U1915">
        <f>[1]资金台帐!U1915&amp;""</f>
      </c>
      <c r="W1915">
        <f>[1]资金台帐!W1915&amp;""</f>
      </c>
      <c r="X1915">
        <f>[1]资金台帐!X1915&amp;""</f>
      </c>
      <c r="AB1915">
        <f>[1]资金台帐!AB1915</f>
        <v>0</v>
      </c>
      <c r="AC1915">
        <f>[1]资金台帐!AC1915</f>
        <v>0</v>
      </c>
      <c r="AD1915">
        <f>[1]资金台帐!AD1915</f>
        <v>0</v>
      </c>
      <c r="AJ1915">
        <f>[1]资金台帐!AJ1915</f>
        <v>0</v>
      </c>
      <c r="AK1915">
        <f>[1]资金台帐!AK1915</f>
        <v>0</v>
      </c>
      <c r="BA1915" s="22">
        <f t="shared" si="0"/>
      </c>
      <c r="BG1915" s="22">
        <f t="shared" si="1"/>
      </c>
      <c r="BH1915" s="22">
        <f t="shared" si="2"/>
        <v>0</v>
      </c>
    </row>
    <row r="1916">
      <c r="B1916">
        <f>[1]资金台帐!B1916&amp;""</f>
      </c>
      <c r="H1916">
        <f>[1]资金台帐!H1916&amp;""</f>
      </c>
      <c r="J1916">
        <f>[1]资金台帐!J1916&amp;""</f>
      </c>
      <c r="N1916">
        <f>[1]资金台帐!N1916</f>
      </c>
      <c r="O1916">
        <f>[1]资金台帐!O1916&amp;""</f>
      </c>
      <c r="P1916">
        <f>[1]资金台帐!P1916&amp;""</f>
      </c>
      <c r="Q1916">
        <f>[1]资金台帐!Q1916&amp;""</f>
      </c>
      <c r="T1916">
        <f>[1]资金台帐!T1916&amp;""</f>
      </c>
      <c r="U1916">
        <f>[1]资金台帐!U1916&amp;""</f>
      </c>
      <c r="W1916">
        <f>[1]资金台帐!W1916&amp;""</f>
      </c>
      <c r="X1916">
        <f>[1]资金台帐!X1916&amp;""</f>
      </c>
      <c r="AB1916">
        <f>[1]资金台帐!AB1916</f>
        <v>0</v>
      </c>
      <c r="AC1916">
        <f>[1]资金台帐!AC1916</f>
        <v>0</v>
      </c>
      <c r="AD1916">
        <f>[1]资金台帐!AD1916</f>
        <v>0</v>
      </c>
      <c r="AJ1916">
        <f>[1]资金台帐!AJ1916</f>
        <v>0</v>
      </c>
      <c r="AK1916">
        <f>[1]资金台帐!AK1916</f>
        <v>0</v>
      </c>
      <c r="BA1916" s="22">
        <f t="shared" si="0"/>
      </c>
      <c r="BG1916" s="22">
        <f t="shared" si="1"/>
      </c>
      <c r="BH1916" s="22">
        <f t="shared" si="2"/>
        <v>0</v>
      </c>
    </row>
    <row r="1917">
      <c r="B1917">
        <f>[1]资金台帐!B1917&amp;""</f>
      </c>
      <c r="H1917">
        <f>[1]资金台帐!H1917&amp;""</f>
      </c>
      <c r="J1917">
        <f>[1]资金台帐!J1917&amp;""</f>
      </c>
      <c r="N1917">
        <f>[1]资金台帐!N1917</f>
      </c>
      <c r="O1917">
        <f>[1]资金台帐!O1917&amp;""</f>
      </c>
      <c r="P1917">
        <f>[1]资金台帐!P1917&amp;""</f>
      </c>
      <c r="Q1917">
        <f>[1]资金台帐!Q1917&amp;""</f>
      </c>
      <c r="T1917">
        <f>[1]资金台帐!T1917&amp;""</f>
      </c>
      <c r="U1917">
        <f>[1]资金台帐!U1917&amp;""</f>
      </c>
      <c r="W1917">
        <f>[1]资金台帐!W1917&amp;""</f>
      </c>
      <c r="X1917">
        <f>[1]资金台帐!X1917&amp;""</f>
      </c>
      <c r="AB1917">
        <f>[1]资金台帐!AB1917</f>
        <v>0</v>
      </c>
      <c r="AC1917">
        <f>[1]资金台帐!AC1917</f>
        <v>0</v>
      </c>
      <c r="AD1917">
        <f>[1]资金台帐!AD1917</f>
        <v>0</v>
      </c>
      <c r="AJ1917">
        <f>[1]资金台帐!AJ1917</f>
        <v>0</v>
      </c>
      <c r="AK1917">
        <f>[1]资金台帐!AK1917</f>
        <v>0</v>
      </c>
      <c r="BA1917" s="22">
        <f t="shared" si="0"/>
      </c>
      <c r="BG1917" s="22">
        <f t="shared" si="1"/>
      </c>
      <c r="BH1917" s="22">
        <f t="shared" si="2"/>
        <v>0</v>
      </c>
    </row>
    <row r="1918">
      <c r="B1918">
        <f>[1]资金台帐!B1918&amp;""</f>
      </c>
      <c r="H1918">
        <f>[1]资金台帐!H1918&amp;""</f>
      </c>
      <c r="J1918">
        <f>[1]资金台帐!J1918&amp;""</f>
      </c>
      <c r="N1918">
        <f>[1]资金台帐!N1918</f>
      </c>
      <c r="O1918">
        <f>[1]资金台帐!O1918&amp;""</f>
      </c>
      <c r="P1918">
        <f>[1]资金台帐!P1918&amp;""</f>
      </c>
      <c r="Q1918">
        <f>[1]资金台帐!Q1918&amp;""</f>
      </c>
      <c r="T1918">
        <f>[1]资金台帐!T1918&amp;""</f>
      </c>
      <c r="U1918">
        <f>[1]资金台帐!U1918&amp;""</f>
      </c>
      <c r="W1918">
        <f>[1]资金台帐!W1918&amp;""</f>
      </c>
      <c r="X1918">
        <f>[1]资金台帐!X1918&amp;""</f>
      </c>
      <c r="AB1918">
        <f>[1]资金台帐!AB1918</f>
        <v>0</v>
      </c>
      <c r="AC1918">
        <f>[1]资金台帐!AC1918</f>
        <v>0</v>
      </c>
      <c r="AD1918">
        <f>[1]资金台帐!AD1918</f>
        <v>0</v>
      </c>
      <c r="AJ1918">
        <f>[1]资金台帐!AJ1918</f>
        <v>0</v>
      </c>
      <c r="AK1918">
        <f>[1]资金台帐!AK1918</f>
        <v>0</v>
      </c>
      <c r="BA1918" s="22">
        <f t="shared" si="0"/>
      </c>
      <c r="BG1918" s="22">
        <f t="shared" si="1"/>
      </c>
      <c r="BH1918" s="22">
        <f t="shared" si="2"/>
        <v>0</v>
      </c>
    </row>
    <row r="1919">
      <c r="B1919">
        <f>[1]资金台帐!B1919&amp;""</f>
      </c>
      <c r="H1919">
        <f>[1]资金台帐!H1919&amp;""</f>
      </c>
      <c r="J1919">
        <f>[1]资金台帐!J1919&amp;""</f>
      </c>
      <c r="N1919">
        <f>[1]资金台帐!N1919</f>
      </c>
      <c r="O1919">
        <f>[1]资金台帐!O1919&amp;""</f>
      </c>
      <c r="P1919">
        <f>[1]资金台帐!P1919&amp;""</f>
      </c>
      <c r="Q1919">
        <f>[1]资金台帐!Q1919&amp;""</f>
      </c>
      <c r="T1919">
        <f>[1]资金台帐!T1919&amp;""</f>
      </c>
      <c r="U1919">
        <f>[1]资金台帐!U1919&amp;""</f>
      </c>
      <c r="W1919">
        <f>[1]资金台帐!W1919&amp;""</f>
      </c>
      <c r="X1919">
        <f>[1]资金台帐!X1919&amp;""</f>
      </c>
      <c r="AB1919">
        <f>[1]资金台帐!AB1919</f>
        <v>0</v>
      </c>
      <c r="AC1919">
        <f>[1]资金台帐!AC1919</f>
        <v>0</v>
      </c>
      <c r="AD1919">
        <f>[1]资金台帐!AD1919</f>
        <v>0</v>
      </c>
      <c r="AJ1919">
        <f>[1]资金台帐!AJ1919</f>
        <v>0</v>
      </c>
      <c r="AK1919">
        <f>[1]资金台帐!AK1919</f>
        <v>0</v>
      </c>
      <c r="BA1919" s="22">
        <f t="shared" si="0"/>
      </c>
      <c r="BG1919" s="22">
        <f t="shared" si="1"/>
      </c>
      <c r="BH1919" s="22">
        <f t="shared" si="2"/>
        <v>0</v>
      </c>
    </row>
    <row r="1920">
      <c r="B1920">
        <f>[1]资金台帐!B1920&amp;""</f>
      </c>
      <c r="H1920">
        <f>[1]资金台帐!H1920&amp;""</f>
      </c>
      <c r="J1920">
        <f>[1]资金台帐!J1920&amp;""</f>
      </c>
      <c r="N1920">
        <f>[1]资金台帐!N1920</f>
      </c>
      <c r="O1920">
        <f>[1]资金台帐!O1920&amp;""</f>
      </c>
      <c r="P1920">
        <f>[1]资金台帐!P1920&amp;""</f>
      </c>
      <c r="Q1920">
        <f>[1]资金台帐!Q1920&amp;""</f>
      </c>
      <c r="T1920">
        <f>[1]资金台帐!T1920&amp;""</f>
      </c>
      <c r="U1920">
        <f>[1]资金台帐!U1920&amp;""</f>
      </c>
      <c r="W1920">
        <f>[1]资金台帐!W1920&amp;""</f>
      </c>
      <c r="X1920">
        <f>[1]资金台帐!X1920&amp;""</f>
      </c>
      <c r="AB1920">
        <f>[1]资金台帐!AB1920</f>
        <v>0</v>
      </c>
      <c r="AC1920">
        <f>[1]资金台帐!AC1920</f>
        <v>0</v>
      </c>
      <c r="AD1920">
        <f>[1]资金台帐!AD1920</f>
        <v>0</v>
      </c>
      <c r="AJ1920">
        <f>[1]资金台帐!AJ1920</f>
        <v>0</v>
      </c>
      <c r="AK1920">
        <f>[1]资金台帐!AK1920</f>
        <v>0</v>
      </c>
      <c r="BA1920" s="22">
        <f t="shared" si="0"/>
      </c>
      <c r="BG1920" s="22">
        <f t="shared" si="1"/>
      </c>
      <c r="BH1920" s="22">
        <f t="shared" si="2"/>
        <v>0</v>
      </c>
    </row>
    <row r="1921">
      <c r="B1921">
        <f>[1]资金台帐!B1921&amp;""</f>
      </c>
      <c r="H1921">
        <f>[1]资金台帐!H1921&amp;""</f>
      </c>
      <c r="J1921">
        <f>[1]资金台帐!J1921&amp;""</f>
      </c>
      <c r="N1921">
        <f>[1]资金台帐!N1921</f>
      </c>
      <c r="O1921">
        <f>[1]资金台帐!O1921&amp;""</f>
      </c>
      <c r="P1921">
        <f>[1]资金台帐!P1921&amp;""</f>
      </c>
      <c r="Q1921">
        <f>[1]资金台帐!Q1921&amp;""</f>
      </c>
      <c r="T1921">
        <f>[1]资金台帐!T1921&amp;""</f>
      </c>
      <c r="U1921">
        <f>[1]资金台帐!U1921&amp;""</f>
      </c>
      <c r="W1921">
        <f>[1]资金台帐!W1921&amp;""</f>
      </c>
      <c r="X1921">
        <f>[1]资金台帐!X1921&amp;""</f>
      </c>
      <c r="AB1921">
        <f>[1]资金台帐!AB1921</f>
        <v>0</v>
      </c>
      <c r="AC1921">
        <f>[1]资金台帐!AC1921</f>
        <v>0</v>
      </c>
      <c r="AD1921">
        <f>[1]资金台帐!AD1921</f>
        <v>0</v>
      </c>
      <c r="AJ1921">
        <f>[1]资金台帐!AJ1921</f>
        <v>0</v>
      </c>
      <c r="AK1921">
        <f>[1]资金台帐!AK1921</f>
        <v>0</v>
      </c>
      <c r="BA1921" s="22">
        <f t="shared" si="0"/>
      </c>
      <c r="BG1921" s="22">
        <f t="shared" si="1"/>
      </c>
      <c r="BH1921" s="22">
        <f t="shared" si="2"/>
        <v>0</v>
      </c>
    </row>
    <row r="1922">
      <c r="B1922">
        <f>[1]资金台帐!B1922&amp;""</f>
      </c>
      <c r="H1922">
        <f>[1]资金台帐!H1922&amp;""</f>
      </c>
      <c r="J1922">
        <f>[1]资金台帐!J1922&amp;""</f>
      </c>
      <c r="N1922">
        <f>[1]资金台帐!N1922</f>
      </c>
      <c r="O1922">
        <f>[1]资金台帐!O1922&amp;""</f>
      </c>
      <c r="P1922">
        <f>[1]资金台帐!P1922&amp;""</f>
      </c>
      <c r="Q1922">
        <f>[1]资金台帐!Q1922&amp;""</f>
      </c>
      <c r="T1922">
        <f>[1]资金台帐!T1922&amp;""</f>
      </c>
      <c r="U1922">
        <f>[1]资金台帐!U1922&amp;""</f>
      </c>
      <c r="W1922">
        <f>[1]资金台帐!W1922&amp;""</f>
      </c>
      <c r="X1922">
        <f>[1]资金台帐!X1922&amp;""</f>
      </c>
      <c r="AB1922">
        <f>[1]资金台帐!AB1922</f>
        <v>0</v>
      </c>
      <c r="AC1922">
        <f>[1]资金台帐!AC1922</f>
        <v>0</v>
      </c>
      <c r="AD1922">
        <f>[1]资金台帐!AD1922</f>
        <v>0</v>
      </c>
      <c r="AJ1922">
        <f>[1]资金台帐!AJ1922</f>
        <v>0</v>
      </c>
      <c r="AK1922">
        <f>[1]资金台帐!AK1922</f>
        <v>0</v>
      </c>
      <c r="BA1922" s="22">
        <f t="shared" si="0"/>
      </c>
      <c r="BG1922" s="22">
        <f t="shared" si="1"/>
      </c>
      <c r="BH1922" s="22">
        <f t="shared" si="2"/>
        <v>0</v>
      </c>
    </row>
    <row r="1923">
      <c r="B1923">
        <f>[1]资金台帐!B1923&amp;""</f>
      </c>
      <c r="H1923">
        <f>[1]资金台帐!H1923&amp;""</f>
      </c>
      <c r="J1923">
        <f>[1]资金台帐!J1923&amp;""</f>
      </c>
      <c r="N1923">
        <f>[1]资金台帐!N1923</f>
      </c>
      <c r="O1923">
        <f>[1]资金台帐!O1923&amp;""</f>
      </c>
      <c r="P1923">
        <f>[1]资金台帐!P1923&amp;""</f>
      </c>
      <c r="Q1923">
        <f>[1]资金台帐!Q1923&amp;""</f>
      </c>
      <c r="T1923">
        <f>[1]资金台帐!T1923&amp;""</f>
      </c>
      <c r="U1923">
        <f>[1]资金台帐!U1923&amp;""</f>
      </c>
      <c r="W1923">
        <f>[1]资金台帐!W1923&amp;""</f>
      </c>
      <c r="X1923">
        <f>[1]资金台帐!X1923&amp;""</f>
      </c>
      <c r="AB1923">
        <f>[1]资金台帐!AB1923</f>
        <v>0</v>
      </c>
      <c r="AC1923">
        <f>[1]资金台帐!AC1923</f>
        <v>0</v>
      </c>
      <c r="AD1923">
        <f>[1]资金台帐!AD1923</f>
        <v>0</v>
      </c>
      <c r="AJ1923">
        <f>[1]资金台帐!AJ1923</f>
        <v>0</v>
      </c>
      <c r="AK1923">
        <f>[1]资金台帐!AK1923</f>
        <v>0</v>
      </c>
      <c r="BA1923" s="22">
        <f t="shared" si="0"/>
      </c>
      <c r="BG1923" s="22">
        <f t="shared" si="1"/>
      </c>
      <c r="BH1923" s="22">
        <f t="shared" si="2"/>
        <v>0</v>
      </c>
    </row>
    <row r="1924">
      <c r="B1924">
        <f>[1]资金台帐!B1924&amp;""</f>
      </c>
      <c r="H1924">
        <f>[1]资金台帐!H1924&amp;""</f>
      </c>
      <c r="J1924">
        <f>[1]资金台帐!J1924&amp;""</f>
      </c>
      <c r="N1924">
        <f>[1]资金台帐!N1924</f>
      </c>
      <c r="O1924">
        <f>[1]资金台帐!O1924&amp;""</f>
      </c>
      <c r="P1924">
        <f>[1]资金台帐!P1924&amp;""</f>
      </c>
      <c r="Q1924">
        <f>[1]资金台帐!Q1924&amp;""</f>
      </c>
      <c r="T1924">
        <f>[1]资金台帐!T1924&amp;""</f>
      </c>
      <c r="U1924">
        <f>[1]资金台帐!U1924&amp;""</f>
      </c>
      <c r="W1924">
        <f>[1]资金台帐!W1924&amp;""</f>
      </c>
      <c r="X1924">
        <f>[1]资金台帐!X1924&amp;""</f>
      </c>
      <c r="AB1924">
        <f>[1]资金台帐!AB1924</f>
        <v>0</v>
      </c>
      <c r="AC1924">
        <f>[1]资金台帐!AC1924</f>
        <v>0</v>
      </c>
      <c r="AD1924">
        <f>[1]资金台帐!AD1924</f>
        <v>0</v>
      </c>
      <c r="AJ1924">
        <f>[1]资金台帐!AJ1924</f>
        <v>0</v>
      </c>
      <c r="AK1924">
        <f>[1]资金台帐!AK1924</f>
        <v>0</v>
      </c>
      <c r="BA1924" s="22">
        <f t="shared" si="0"/>
      </c>
      <c r="BG1924" s="22">
        <f t="shared" si="1"/>
      </c>
      <c r="BH1924" s="22">
        <f t="shared" si="2"/>
        <v>0</v>
      </c>
    </row>
    <row r="1925">
      <c r="B1925">
        <f>[1]资金台帐!B1925&amp;""</f>
      </c>
      <c r="H1925">
        <f>[1]资金台帐!H1925&amp;""</f>
      </c>
      <c r="J1925">
        <f>[1]资金台帐!J1925&amp;""</f>
      </c>
      <c r="N1925">
        <f>[1]资金台帐!N1925</f>
      </c>
      <c r="O1925">
        <f>[1]资金台帐!O1925&amp;""</f>
      </c>
      <c r="P1925">
        <f>[1]资金台帐!P1925&amp;""</f>
      </c>
      <c r="Q1925">
        <f>[1]资金台帐!Q1925&amp;""</f>
      </c>
      <c r="T1925">
        <f>[1]资金台帐!T1925&amp;""</f>
      </c>
      <c r="U1925">
        <f>[1]资金台帐!U1925&amp;""</f>
      </c>
      <c r="W1925">
        <f>[1]资金台帐!W1925&amp;""</f>
      </c>
      <c r="X1925">
        <f>[1]资金台帐!X1925&amp;""</f>
      </c>
      <c r="AB1925">
        <f>[1]资金台帐!AB1925</f>
        <v>0</v>
      </c>
      <c r="AC1925">
        <f>[1]资金台帐!AC1925</f>
        <v>0</v>
      </c>
      <c r="AD1925">
        <f>[1]资金台帐!AD1925</f>
        <v>0</v>
      </c>
      <c r="AJ1925">
        <f>[1]资金台帐!AJ1925</f>
        <v>0</v>
      </c>
      <c r="AK1925">
        <f>[1]资金台帐!AK1925</f>
        <v>0</v>
      </c>
      <c r="BA1925" s="22">
        <f t="shared" si="0"/>
      </c>
      <c r="BG1925" s="22">
        <f t="shared" si="1"/>
      </c>
      <c r="BH1925" s="22">
        <f t="shared" si="2"/>
        <v>0</v>
      </c>
    </row>
    <row r="1926">
      <c r="B1926">
        <f>[1]资金台帐!B1926&amp;""</f>
      </c>
      <c r="H1926">
        <f>[1]资金台帐!H1926&amp;""</f>
      </c>
      <c r="J1926">
        <f>[1]资金台帐!J1926&amp;""</f>
      </c>
      <c r="N1926">
        <f>[1]资金台帐!N1926</f>
      </c>
      <c r="O1926">
        <f>[1]资金台帐!O1926&amp;""</f>
      </c>
      <c r="P1926">
        <f>[1]资金台帐!P1926&amp;""</f>
      </c>
      <c r="Q1926">
        <f>[1]资金台帐!Q1926&amp;""</f>
      </c>
      <c r="T1926">
        <f>[1]资金台帐!T1926&amp;""</f>
      </c>
      <c r="U1926">
        <f>[1]资金台帐!U1926&amp;""</f>
      </c>
      <c r="W1926">
        <f>[1]资金台帐!W1926&amp;""</f>
      </c>
      <c r="X1926">
        <f>[1]资金台帐!X1926&amp;""</f>
      </c>
      <c r="AB1926">
        <f>[1]资金台帐!AB1926</f>
        <v>0</v>
      </c>
      <c r="AC1926">
        <f>[1]资金台帐!AC1926</f>
        <v>0</v>
      </c>
      <c r="AD1926">
        <f>[1]资金台帐!AD1926</f>
        <v>0</v>
      </c>
      <c r="AJ1926">
        <f>[1]资金台帐!AJ1926</f>
        <v>0</v>
      </c>
      <c r="AK1926">
        <f>[1]资金台帐!AK1926</f>
        <v>0</v>
      </c>
      <c r="BA1926" s="22">
        <f t="shared" si="0"/>
      </c>
      <c r="BG1926" s="22">
        <f t="shared" si="1"/>
      </c>
      <c r="BH1926" s="22">
        <f t="shared" si="2"/>
        <v>0</v>
      </c>
    </row>
    <row r="1927">
      <c r="B1927">
        <f>[1]资金台帐!B1927&amp;""</f>
      </c>
      <c r="H1927">
        <f>[1]资金台帐!H1927&amp;""</f>
      </c>
      <c r="J1927">
        <f>[1]资金台帐!J1927&amp;""</f>
      </c>
      <c r="N1927">
        <f>[1]资金台帐!N1927</f>
      </c>
      <c r="O1927">
        <f>[1]资金台帐!O1927&amp;""</f>
      </c>
      <c r="P1927">
        <f>[1]资金台帐!P1927&amp;""</f>
      </c>
      <c r="Q1927">
        <f>[1]资金台帐!Q1927&amp;""</f>
      </c>
      <c r="T1927">
        <f>[1]资金台帐!T1927&amp;""</f>
      </c>
      <c r="U1927">
        <f>[1]资金台帐!U1927&amp;""</f>
      </c>
      <c r="W1927">
        <f>[1]资金台帐!W1927&amp;""</f>
      </c>
      <c r="X1927">
        <f>[1]资金台帐!X1927&amp;""</f>
      </c>
      <c r="AB1927">
        <f>[1]资金台帐!AB1927</f>
        <v>0</v>
      </c>
      <c r="AC1927">
        <f>[1]资金台帐!AC1927</f>
        <v>0</v>
      </c>
      <c r="AD1927">
        <f>[1]资金台帐!AD1927</f>
        <v>0</v>
      </c>
      <c r="AJ1927">
        <f>[1]资金台帐!AJ1927</f>
        <v>0</v>
      </c>
      <c r="AK1927">
        <f>[1]资金台帐!AK1927</f>
        <v>0</v>
      </c>
      <c r="BA1927" s="22">
        <f t="shared" si="0"/>
      </c>
      <c r="BG1927" s="22">
        <f t="shared" si="1"/>
      </c>
      <c r="BH1927" s="22">
        <f t="shared" si="2"/>
        <v>0</v>
      </c>
    </row>
    <row r="1928">
      <c r="B1928">
        <f>[1]资金台帐!B1928&amp;""</f>
      </c>
      <c r="H1928">
        <f>[1]资金台帐!H1928&amp;""</f>
      </c>
      <c r="J1928">
        <f>[1]资金台帐!J1928&amp;""</f>
      </c>
      <c r="N1928">
        <f>[1]资金台帐!N1928</f>
      </c>
      <c r="O1928">
        <f>[1]资金台帐!O1928&amp;""</f>
      </c>
      <c r="P1928">
        <f>[1]资金台帐!P1928&amp;""</f>
      </c>
      <c r="Q1928">
        <f>[1]资金台帐!Q1928&amp;""</f>
      </c>
      <c r="T1928">
        <f>[1]资金台帐!T1928&amp;""</f>
      </c>
      <c r="U1928">
        <f>[1]资金台帐!U1928&amp;""</f>
      </c>
      <c r="W1928">
        <f>[1]资金台帐!W1928&amp;""</f>
      </c>
      <c r="X1928">
        <f>[1]资金台帐!X1928&amp;""</f>
      </c>
      <c r="AB1928">
        <f>[1]资金台帐!AB1928</f>
        <v>0</v>
      </c>
      <c r="AC1928">
        <f>[1]资金台帐!AC1928</f>
        <v>0</v>
      </c>
      <c r="AD1928">
        <f>[1]资金台帐!AD1928</f>
        <v>0</v>
      </c>
      <c r="AJ1928">
        <f>[1]资金台帐!AJ1928</f>
        <v>0</v>
      </c>
      <c r="AK1928">
        <f>[1]资金台帐!AK1928</f>
        <v>0</v>
      </c>
      <c r="BA1928" s="22">
        <f t="shared" si="0"/>
      </c>
      <c r="BG1928" s="22">
        <f t="shared" si="1"/>
      </c>
      <c r="BH1928" s="22">
        <f t="shared" si="2"/>
        <v>0</v>
      </c>
    </row>
    <row r="1929">
      <c r="B1929">
        <f>[1]资金台帐!B1929&amp;""</f>
      </c>
      <c r="H1929">
        <f>[1]资金台帐!H1929&amp;""</f>
      </c>
      <c r="J1929">
        <f>[1]资金台帐!J1929&amp;""</f>
      </c>
      <c r="N1929">
        <f>[1]资金台帐!N1929</f>
      </c>
      <c r="O1929">
        <f>[1]资金台帐!O1929&amp;""</f>
      </c>
      <c r="P1929">
        <f>[1]资金台帐!P1929&amp;""</f>
      </c>
      <c r="Q1929">
        <f>[1]资金台帐!Q1929&amp;""</f>
      </c>
      <c r="T1929">
        <f>[1]资金台帐!T1929&amp;""</f>
      </c>
      <c r="U1929">
        <f>[1]资金台帐!U1929&amp;""</f>
      </c>
      <c r="W1929">
        <f>[1]资金台帐!W1929&amp;""</f>
      </c>
      <c r="X1929">
        <f>[1]资金台帐!X1929&amp;""</f>
      </c>
      <c r="AB1929">
        <f>[1]资金台帐!AB1929</f>
        <v>0</v>
      </c>
      <c r="AC1929">
        <f>[1]资金台帐!AC1929</f>
        <v>0</v>
      </c>
      <c r="AD1929">
        <f>[1]资金台帐!AD1929</f>
        <v>0</v>
      </c>
      <c r="AJ1929">
        <f>[1]资金台帐!AJ1929</f>
        <v>0</v>
      </c>
      <c r="AK1929">
        <f>[1]资金台帐!AK1929</f>
        <v>0</v>
      </c>
      <c r="BA1929" s="22">
        <f t="shared" si="0"/>
      </c>
      <c r="BG1929" s="22">
        <f t="shared" si="1"/>
      </c>
      <c r="BH1929" s="22">
        <f t="shared" si="2"/>
        <v>0</v>
      </c>
    </row>
    <row r="1930">
      <c r="B1930">
        <f>[1]资金台帐!B1930&amp;""</f>
      </c>
      <c r="H1930">
        <f>[1]资金台帐!H1930&amp;""</f>
      </c>
      <c r="J1930">
        <f>[1]资金台帐!J1930&amp;""</f>
      </c>
      <c r="N1930">
        <f>[1]资金台帐!N1930</f>
      </c>
      <c r="O1930">
        <f>[1]资金台帐!O1930&amp;""</f>
      </c>
      <c r="P1930">
        <f>[1]资金台帐!P1930&amp;""</f>
      </c>
      <c r="Q1930">
        <f>[1]资金台帐!Q1930&amp;""</f>
      </c>
      <c r="T1930">
        <f>[1]资金台帐!T1930&amp;""</f>
      </c>
      <c r="U1930">
        <f>[1]资金台帐!U1930&amp;""</f>
      </c>
      <c r="W1930">
        <f>[1]资金台帐!W1930&amp;""</f>
      </c>
      <c r="X1930">
        <f>[1]资金台帐!X1930&amp;""</f>
      </c>
      <c r="AB1930">
        <f>[1]资金台帐!AB1930</f>
        <v>0</v>
      </c>
      <c r="AC1930">
        <f>[1]资金台帐!AC1930</f>
        <v>0</v>
      </c>
      <c r="AD1930">
        <f>[1]资金台帐!AD1930</f>
        <v>0</v>
      </c>
      <c r="AJ1930">
        <f>[1]资金台帐!AJ1930</f>
        <v>0</v>
      </c>
      <c r="AK1930">
        <f>[1]资金台帐!AK1930</f>
        <v>0</v>
      </c>
      <c r="BA1930" s="22">
        <f t="shared" si="0"/>
      </c>
      <c r="BG1930" s="22">
        <f t="shared" si="1"/>
      </c>
      <c r="BH1930" s="22">
        <f t="shared" si="2"/>
        <v>0</v>
      </c>
    </row>
    <row r="1931">
      <c r="B1931">
        <f>[1]资金台帐!B1931&amp;""</f>
      </c>
      <c r="H1931">
        <f>[1]资金台帐!H1931&amp;""</f>
      </c>
      <c r="J1931">
        <f>[1]资金台帐!J1931&amp;""</f>
      </c>
      <c r="N1931">
        <f>[1]资金台帐!N1931</f>
      </c>
      <c r="O1931">
        <f>[1]资金台帐!O1931&amp;""</f>
      </c>
      <c r="P1931">
        <f>[1]资金台帐!P1931&amp;""</f>
      </c>
      <c r="Q1931">
        <f>[1]资金台帐!Q1931&amp;""</f>
      </c>
      <c r="T1931">
        <f>[1]资金台帐!T1931&amp;""</f>
      </c>
      <c r="U1931">
        <f>[1]资金台帐!U1931&amp;""</f>
      </c>
      <c r="W1931">
        <f>[1]资金台帐!W1931&amp;""</f>
      </c>
      <c r="X1931">
        <f>[1]资金台帐!X1931&amp;""</f>
      </c>
      <c r="AB1931">
        <f>[1]资金台帐!AB1931</f>
        <v>0</v>
      </c>
      <c r="AC1931">
        <f>[1]资金台帐!AC1931</f>
        <v>0</v>
      </c>
      <c r="AD1931">
        <f>[1]资金台帐!AD1931</f>
        <v>0</v>
      </c>
      <c r="AJ1931">
        <f>[1]资金台帐!AJ1931</f>
        <v>0</v>
      </c>
      <c r="AK1931">
        <f>[1]资金台帐!AK1931</f>
        <v>0</v>
      </c>
      <c r="BA1931" s="22">
        <f t="shared" si="0"/>
      </c>
      <c r="BG1931" s="22">
        <f t="shared" si="1"/>
      </c>
      <c r="BH1931" s="22">
        <f t="shared" si="2"/>
        <v>0</v>
      </c>
    </row>
    <row r="1932">
      <c r="B1932">
        <f>[1]资金台帐!B1932&amp;""</f>
      </c>
      <c r="H1932">
        <f>[1]资金台帐!H1932&amp;""</f>
      </c>
      <c r="J1932">
        <f>[1]资金台帐!J1932&amp;""</f>
      </c>
      <c r="N1932">
        <f>[1]资金台帐!N1932</f>
      </c>
      <c r="O1932">
        <f>[1]资金台帐!O1932&amp;""</f>
      </c>
      <c r="P1932">
        <f>[1]资金台帐!P1932&amp;""</f>
      </c>
      <c r="Q1932">
        <f>[1]资金台帐!Q1932&amp;""</f>
      </c>
      <c r="T1932">
        <f>[1]资金台帐!T1932&amp;""</f>
      </c>
      <c r="U1932">
        <f>[1]资金台帐!U1932&amp;""</f>
      </c>
      <c r="W1932">
        <f>[1]资金台帐!W1932&amp;""</f>
      </c>
      <c r="X1932">
        <f>[1]资金台帐!X1932&amp;""</f>
      </c>
      <c r="AB1932">
        <f>[1]资金台帐!AB1932</f>
        <v>0</v>
      </c>
      <c r="AC1932">
        <f>[1]资金台帐!AC1932</f>
        <v>0</v>
      </c>
      <c r="AD1932">
        <f>[1]资金台帐!AD1932</f>
        <v>0</v>
      </c>
      <c r="AJ1932">
        <f>[1]资金台帐!AJ1932</f>
        <v>0</v>
      </c>
      <c r="AK1932">
        <f>[1]资金台帐!AK1932</f>
        <v>0</v>
      </c>
      <c r="BA1932" s="22">
        <f t="shared" si="0"/>
      </c>
      <c r="BG1932" s="22">
        <f t="shared" si="1"/>
      </c>
      <c r="BH1932" s="22">
        <f t="shared" si="2"/>
        <v>0</v>
      </c>
    </row>
    <row r="1933">
      <c r="B1933">
        <f>[1]资金台帐!B1933&amp;""</f>
      </c>
      <c r="H1933">
        <f>[1]资金台帐!H1933&amp;""</f>
      </c>
      <c r="J1933">
        <f>[1]资金台帐!J1933&amp;""</f>
      </c>
      <c r="N1933">
        <f>[1]资金台帐!N1933</f>
      </c>
      <c r="O1933">
        <f>[1]资金台帐!O1933&amp;""</f>
      </c>
      <c r="P1933">
        <f>[1]资金台帐!P1933&amp;""</f>
      </c>
      <c r="Q1933">
        <f>[1]资金台帐!Q1933&amp;""</f>
      </c>
      <c r="T1933">
        <f>[1]资金台帐!T1933&amp;""</f>
      </c>
      <c r="U1933">
        <f>[1]资金台帐!U1933&amp;""</f>
      </c>
      <c r="W1933">
        <f>[1]资金台帐!W1933&amp;""</f>
      </c>
      <c r="X1933">
        <f>[1]资金台帐!X1933&amp;""</f>
      </c>
      <c r="AB1933">
        <f>[1]资金台帐!AB1933</f>
        <v>0</v>
      </c>
      <c r="AC1933">
        <f>[1]资金台帐!AC1933</f>
        <v>0</v>
      </c>
      <c r="AD1933">
        <f>[1]资金台帐!AD1933</f>
        <v>0</v>
      </c>
      <c r="AJ1933">
        <f>[1]资金台帐!AJ1933</f>
        <v>0</v>
      </c>
      <c r="AK1933">
        <f>[1]资金台帐!AK1933</f>
        <v>0</v>
      </c>
      <c r="BA1933" s="22">
        <f t="shared" si="0"/>
      </c>
      <c r="BG1933" s="22">
        <f t="shared" si="1"/>
      </c>
      <c r="BH1933" s="22">
        <f t="shared" si="2"/>
        <v>0</v>
      </c>
    </row>
    <row r="1934">
      <c r="B1934">
        <f>[1]资金台帐!B1934&amp;""</f>
      </c>
      <c r="H1934">
        <f>[1]资金台帐!H1934&amp;""</f>
      </c>
      <c r="J1934">
        <f>[1]资金台帐!J1934&amp;""</f>
      </c>
      <c r="N1934">
        <f>[1]资金台帐!N1934</f>
      </c>
      <c r="O1934">
        <f>[1]资金台帐!O1934&amp;""</f>
      </c>
      <c r="P1934">
        <f>[1]资金台帐!P1934&amp;""</f>
      </c>
      <c r="Q1934">
        <f>[1]资金台帐!Q1934&amp;""</f>
      </c>
      <c r="T1934">
        <f>[1]资金台帐!T1934&amp;""</f>
      </c>
      <c r="U1934">
        <f>[1]资金台帐!U1934&amp;""</f>
      </c>
      <c r="W1934">
        <f>[1]资金台帐!W1934&amp;""</f>
      </c>
      <c r="X1934">
        <f>[1]资金台帐!X1934&amp;""</f>
      </c>
      <c r="AB1934">
        <f>[1]资金台帐!AB1934</f>
        <v>0</v>
      </c>
      <c r="AC1934">
        <f>[1]资金台帐!AC1934</f>
        <v>0</v>
      </c>
      <c r="AD1934">
        <f>[1]资金台帐!AD1934</f>
        <v>0</v>
      </c>
      <c r="AJ1934">
        <f>[1]资金台帐!AJ1934</f>
        <v>0</v>
      </c>
      <c r="AK1934">
        <f>[1]资金台帐!AK1934</f>
        <v>0</v>
      </c>
      <c r="BA1934" s="22">
        <f t="shared" si="0"/>
      </c>
      <c r="BG1934" s="22">
        <f t="shared" si="1"/>
      </c>
      <c r="BH1934" s="22">
        <f t="shared" si="2"/>
        <v>0</v>
      </c>
    </row>
    <row r="1935">
      <c r="B1935">
        <f>[1]资金台帐!B1935&amp;""</f>
      </c>
      <c r="H1935">
        <f>[1]资金台帐!H1935&amp;""</f>
      </c>
      <c r="J1935">
        <f>[1]资金台帐!J1935&amp;""</f>
      </c>
      <c r="N1935">
        <f>[1]资金台帐!N1935</f>
      </c>
      <c r="O1935">
        <f>[1]资金台帐!O1935&amp;""</f>
      </c>
      <c r="P1935">
        <f>[1]资金台帐!P1935&amp;""</f>
      </c>
      <c r="Q1935">
        <f>[1]资金台帐!Q1935&amp;""</f>
      </c>
      <c r="T1935">
        <f>[1]资金台帐!T1935&amp;""</f>
      </c>
      <c r="U1935">
        <f>[1]资金台帐!U1935&amp;""</f>
      </c>
      <c r="W1935">
        <f>[1]资金台帐!W1935&amp;""</f>
      </c>
      <c r="X1935">
        <f>[1]资金台帐!X1935&amp;""</f>
      </c>
      <c r="AB1935">
        <f>[1]资金台帐!AB1935</f>
        <v>0</v>
      </c>
      <c r="AC1935">
        <f>[1]资金台帐!AC1935</f>
        <v>0</v>
      </c>
      <c r="AD1935">
        <f>[1]资金台帐!AD1935</f>
        <v>0</v>
      </c>
      <c r="AJ1935">
        <f>[1]资金台帐!AJ1935</f>
        <v>0</v>
      </c>
      <c r="AK1935">
        <f>[1]资金台帐!AK1935</f>
        <v>0</v>
      </c>
      <c r="BA1935" s="22">
        <f t="shared" si="0"/>
      </c>
      <c r="BG1935" s="22">
        <f t="shared" si="1"/>
      </c>
      <c r="BH1935" s="22">
        <f t="shared" si="2"/>
        <v>0</v>
      </c>
    </row>
    <row r="1936">
      <c r="B1936">
        <f>[1]资金台帐!B1936&amp;""</f>
      </c>
      <c r="H1936">
        <f>[1]资金台帐!H1936&amp;""</f>
      </c>
      <c r="J1936">
        <f>[1]资金台帐!J1936&amp;""</f>
      </c>
      <c r="N1936">
        <f>[1]资金台帐!N1936</f>
      </c>
      <c r="O1936">
        <f>[1]资金台帐!O1936&amp;""</f>
      </c>
      <c r="P1936">
        <f>[1]资金台帐!P1936&amp;""</f>
      </c>
      <c r="Q1936">
        <f>[1]资金台帐!Q1936&amp;""</f>
      </c>
      <c r="T1936">
        <f>[1]资金台帐!T1936&amp;""</f>
      </c>
      <c r="U1936">
        <f>[1]资金台帐!U1936&amp;""</f>
      </c>
      <c r="W1936">
        <f>[1]资金台帐!W1936&amp;""</f>
      </c>
      <c r="X1936">
        <f>[1]资金台帐!X1936&amp;""</f>
      </c>
      <c r="AB1936">
        <f>[1]资金台帐!AB1936</f>
        <v>0</v>
      </c>
      <c r="AC1936">
        <f>[1]资金台帐!AC1936</f>
        <v>0</v>
      </c>
      <c r="AD1936">
        <f>[1]资金台帐!AD1936</f>
        <v>0</v>
      </c>
      <c r="AJ1936">
        <f>[1]资金台帐!AJ1936</f>
        <v>0</v>
      </c>
      <c r="AK1936">
        <f>[1]资金台帐!AK1936</f>
        <v>0</v>
      </c>
      <c r="BA1936" s="22">
        <f t="shared" si="0"/>
      </c>
      <c r="BG1936" s="22">
        <f t="shared" si="1"/>
      </c>
      <c r="BH1936" s="22">
        <f t="shared" si="2"/>
        <v>0</v>
      </c>
    </row>
    <row r="1937">
      <c r="B1937">
        <f>[1]资金台帐!B1937&amp;""</f>
      </c>
      <c r="H1937">
        <f>[1]资金台帐!H1937&amp;""</f>
      </c>
      <c r="J1937">
        <f>[1]资金台帐!J1937&amp;""</f>
      </c>
      <c r="N1937">
        <f>[1]资金台帐!N1937</f>
      </c>
      <c r="O1937">
        <f>[1]资金台帐!O1937&amp;""</f>
      </c>
      <c r="P1937">
        <f>[1]资金台帐!P1937&amp;""</f>
      </c>
      <c r="Q1937">
        <f>[1]资金台帐!Q1937&amp;""</f>
      </c>
      <c r="T1937">
        <f>[1]资金台帐!T1937&amp;""</f>
      </c>
      <c r="U1937">
        <f>[1]资金台帐!U1937&amp;""</f>
      </c>
      <c r="W1937">
        <f>[1]资金台帐!W1937&amp;""</f>
      </c>
      <c r="X1937">
        <f>[1]资金台帐!X1937&amp;""</f>
      </c>
      <c r="AB1937">
        <f>[1]资金台帐!AB1937</f>
        <v>0</v>
      </c>
      <c r="AC1937">
        <f>[1]资金台帐!AC1937</f>
        <v>0</v>
      </c>
      <c r="AD1937">
        <f>[1]资金台帐!AD1937</f>
        <v>0</v>
      </c>
      <c r="AJ1937">
        <f>[1]资金台帐!AJ1937</f>
        <v>0</v>
      </c>
      <c r="AK1937">
        <f>[1]资金台帐!AK1937</f>
        <v>0</v>
      </c>
      <c r="BA1937" s="22">
        <f t="shared" si="0"/>
      </c>
      <c r="BG1937" s="22">
        <f t="shared" si="1"/>
      </c>
      <c r="BH1937" s="22">
        <f t="shared" si="2"/>
        <v>0</v>
      </c>
    </row>
    <row r="1938">
      <c r="B1938">
        <f>[1]资金台帐!B1938&amp;""</f>
      </c>
      <c r="H1938">
        <f>[1]资金台帐!H1938&amp;""</f>
      </c>
      <c r="J1938">
        <f>[1]资金台帐!J1938&amp;""</f>
      </c>
      <c r="N1938">
        <f>[1]资金台帐!N1938</f>
      </c>
      <c r="O1938">
        <f>[1]资金台帐!O1938&amp;""</f>
      </c>
      <c r="P1938">
        <f>[1]资金台帐!P1938&amp;""</f>
      </c>
      <c r="Q1938">
        <f>[1]资金台帐!Q1938&amp;""</f>
      </c>
      <c r="T1938">
        <f>[1]资金台帐!T1938&amp;""</f>
      </c>
      <c r="U1938">
        <f>[1]资金台帐!U1938&amp;""</f>
      </c>
      <c r="W1938">
        <f>[1]资金台帐!W1938&amp;""</f>
      </c>
      <c r="X1938">
        <f>[1]资金台帐!X1938&amp;""</f>
      </c>
      <c r="AB1938">
        <f>[1]资金台帐!AB1938</f>
        <v>0</v>
      </c>
      <c r="AC1938">
        <f>[1]资金台帐!AC1938</f>
        <v>0</v>
      </c>
      <c r="AD1938">
        <f>[1]资金台帐!AD1938</f>
        <v>0</v>
      </c>
      <c r="AJ1938">
        <f>[1]资金台帐!AJ1938</f>
        <v>0</v>
      </c>
      <c r="AK1938">
        <f>[1]资金台帐!AK1938</f>
        <v>0</v>
      </c>
      <c r="BA1938" s="22">
        <f t="shared" si="0"/>
      </c>
      <c r="BG1938" s="22">
        <f t="shared" si="1"/>
      </c>
      <c r="BH1938" s="22">
        <f t="shared" si="2"/>
        <v>0</v>
      </c>
    </row>
    <row r="1939">
      <c r="B1939">
        <f>[1]资金台帐!B1939&amp;""</f>
      </c>
      <c r="H1939">
        <f>[1]资金台帐!H1939&amp;""</f>
      </c>
      <c r="J1939">
        <f>[1]资金台帐!J1939&amp;""</f>
      </c>
      <c r="N1939">
        <f>[1]资金台帐!N1939</f>
      </c>
      <c r="O1939">
        <f>[1]资金台帐!O1939&amp;""</f>
      </c>
      <c r="P1939">
        <f>[1]资金台帐!P1939&amp;""</f>
      </c>
      <c r="Q1939">
        <f>[1]资金台帐!Q1939&amp;""</f>
      </c>
      <c r="T1939">
        <f>[1]资金台帐!T1939&amp;""</f>
      </c>
      <c r="U1939">
        <f>[1]资金台帐!U1939&amp;""</f>
      </c>
      <c r="W1939">
        <f>[1]资金台帐!W1939&amp;""</f>
      </c>
      <c r="X1939">
        <f>[1]资金台帐!X1939&amp;""</f>
      </c>
      <c r="AB1939">
        <f>[1]资金台帐!AB1939</f>
        <v>0</v>
      </c>
      <c r="AC1939">
        <f>[1]资金台帐!AC1939</f>
        <v>0</v>
      </c>
      <c r="AD1939">
        <f>[1]资金台帐!AD1939</f>
        <v>0</v>
      </c>
      <c r="AJ1939">
        <f>[1]资金台帐!AJ1939</f>
        <v>0</v>
      </c>
      <c r="AK1939">
        <f>[1]资金台帐!AK1939</f>
        <v>0</v>
      </c>
      <c r="BA1939" s="22">
        <f t="shared" si="0"/>
      </c>
      <c r="BG1939" s="22">
        <f t="shared" si="1"/>
      </c>
      <c r="BH1939" s="22">
        <f t="shared" si="2"/>
        <v>0</v>
      </c>
    </row>
    <row r="1940">
      <c r="B1940">
        <f>[1]资金台帐!B1940&amp;""</f>
      </c>
      <c r="H1940">
        <f>[1]资金台帐!H1940&amp;""</f>
      </c>
      <c r="J1940">
        <f>[1]资金台帐!J1940&amp;""</f>
      </c>
      <c r="N1940">
        <f>[1]资金台帐!N1940</f>
      </c>
      <c r="O1940">
        <f>[1]资金台帐!O1940&amp;""</f>
      </c>
      <c r="P1940">
        <f>[1]资金台帐!P1940&amp;""</f>
      </c>
      <c r="Q1940">
        <f>[1]资金台帐!Q1940&amp;""</f>
      </c>
      <c r="T1940">
        <f>[1]资金台帐!T1940&amp;""</f>
      </c>
      <c r="U1940">
        <f>[1]资金台帐!U1940&amp;""</f>
      </c>
      <c r="W1940">
        <f>[1]资金台帐!W1940&amp;""</f>
      </c>
      <c r="X1940">
        <f>[1]资金台帐!X1940&amp;""</f>
      </c>
      <c r="AB1940">
        <f>[1]资金台帐!AB1940</f>
        <v>0</v>
      </c>
      <c r="AC1940">
        <f>[1]资金台帐!AC1940</f>
        <v>0</v>
      </c>
      <c r="AD1940">
        <f>[1]资金台帐!AD1940</f>
        <v>0</v>
      </c>
      <c r="AJ1940">
        <f>[1]资金台帐!AJ1940</f>
        <v>0</v>
      </c>
      <c r="AK1940">
        <f>[1]资金台帐!AK1940</f>
        <v>0</v>
      </c>
      <c r="BA1940" s="22">
        <f t="shared" si="0"/>
      </c>
      <c r="BG1940" s="22">
        <f t="shared" si="1"/>
      </c>
      <c r="BH1940" s="22">
        <f t="shared" si="2"/>
        <v>0</v>
      </c>
    </row>
    <row r="1941">
      <c r="B1941">
        <f>[1]资金台帐!B1941&amp;""</f>
      </c>
      <c r="H1941">
        <f>[1]资金台帐!H1941&amp;""</f>
      </c>
      <c r="J1941">
        <f>[1]资金台帐!J1941&amp;""</f>
      </c>
      <c r="N1941">
        <f>[1]资金台帐!N1941</f>
      </c>
      <c r="O1941">
        <f>[1]资金台帐!O1941&amp;""</f>
      </c>
      <c r="P1941">
        <f>[1]资金台帐!P1941&amp;""</f>
      </c>
      <c r="Q1941">
        <f>[1]资金台帐!Q1941&amp;""</f>
      </c>
      <c r="T1941">
        <f>[1]资金台帐!T1941&amp;""</f>
      </c>
      <c r="U1941">
        <f>[1]资金台帐!U1941&amp;""</f>
      </c>
      <c r="W1941">
        <f>[1]资金台帐!W1941&amp;""</f>
      </c>
      <c r="X1941">
        <f>[1]资金台帐!X1941&amp;""</f>
      </c>
      <c r="AB1941">
        <f>[1]资金台帐!AB1941</f>
        <v>0</v>
      </c>
      <c r="AC1941">
        <f>[1]资金台帐!AC1941</f>
        <v>0</v>
      </c>
      <c r="AD1941">
        <f>[1]资金台帐!AD1941</f>
        <v>0</v>
      </c>
      <c r="AJ1941">
        <f>[1]资金台帐!AJ1941</f>
        <v>0</v>
      </c>
      <c r="AK1941">
        <f>[1]资金台帐!AK1941</f>
        <v>0</v>
      </c>
      <c r="BA1941" s="22">
        <f t="shared" si="0"/>
      </c>
      <c r="BG1941" s="22">
        <f t="shared" si="1"/>
      </c>
      <c r="BH1941" s="22">
        <f t="shared" si="2"/>
        <v>0</v>
      </c>
    </row>
    <row r="1942">
      <c r="B1942">
        <f>[1]资金台帐!B1942&amp;""</f>
      </c>
      <c r="H1942">
        <f>[1]资金台帐!H1942&amp;""</f>
      </c>
      <c r="J1942">
        <f>[1]资金台帐!J1942&amp;""</f>
      </c>
      <c r="N1942">
        <f>[1]资金台帐!N1942</f>
      </c>
      <c r="O1942">
        <f>[1]资金台帐!O1942&amp;""</f>
      </c>
      <c r="P1942">
        <f>[1]资金台帐!P1942&amp;""</f>
      </c>
      <c r="Q1942">
        <f>[1]资金台帐!Q1942&amp;""</f>
      </c>
      <c r="T1942">
        <f>[1]资金台帐!T1942&amp;""</f>
      </c>
      <c r="U1942">
        <f>[1]资金台帐!U1942&amp;""</f>
      </c>
      <c r="W1942">
        <f>[1]资金台帐!W1942&amp;""</f>
      </c>
      <c r="X1942">
        <f>[1]资金台帐!X1942&amp;""</f>
      </c>
      <c r="AB1942">
        <f>[1]资金台帐!AB1942</f>
        <v>0</v>
      </c>
      <c r="AC1942">
        <f>[1]资金台帐!AC1942</f>
        <v>0</v>
      </c>
      <c r="AD1942">
        <f>[1]资金台帐!AD1942</f>
        <v>0</v>
      </c>
      <c r="AJ1942">
        <f>[1]资金台帐!AJ1942</f>
        <v>0</v>
      </c>
      <c r="AK1942">
        <f>[1]资金台帐!AK1942</f>
        <v>0</v>
      </c>
      <c r="BA1942" s="22">
        <f t="shared" si="0"/>
      </c>
      <c r="BG1942" s="22">
        <f t="shared" si="1"/>
      </c>
      <c r="BH1942" s="22">
        <f t="shared" si="2"/>
        <v>0</v>
      </c>
    </row>
    <row r="1943">
      <c r="B1943">
        <f>[1]资金台帐!B1943&amp;""</f>
      </c>
      <c r="H1943">
        <f>[1]资金台帐!H1943&amp;""</f>
      </c>
      <c r="J1943">
        <f>[1]资金台帐!J1943&amp;""</f>
      </c>
      <c r="N1943">
        <f>[1]资金台帐!N1943</f>
      </c>
      <c r="O1943">
        <f>[1]资金台帐!O1943&amp;""</f>
      </c>
      <c r="P1943">
        <f>[1]资金台帐!P1943&amp;""</f>
      </c>
      <c r="Q1943">
        <f>[1]资金台帐!Q1943&amp;""</f>
      </c>
      <c r="T1943">
        <f>[1]资金台帐!T1943&amp;""</f>
      </c>
      <c r="U1943">
        <f>[1]资金台帐!U1943&amp;""</f>
      </c>
      <c r="W1943">
        <f>[1]资金台帐!W1943&amp;""</f>
      </c>
      <c r="X1943">
        <f>[1]资金台帐!X1943&amp;""</f>
      </c>
      <c r="AB1943">
        <f>[1]资金台帐!AB1943</f>
        <v>0</v>
      </c>
      <c r="AC1943">
        <f>[1]资金台帐!AC1943</f>
        <v>0</v>
      </c>
      <c r="AD1943">
        <f>[1]资金台帐!AD1943</f>
        <v>0</v>
      </c>
      <c r="AJ1943">
        <f>[1]资金台帐!AJ1943</f>
        <v>0</v>
      </c>
      <c r="AK1943">
        <f>[1]资金台帐!AK1943</f>
        <v>0</v>
      </c>
      <c r="BA1943" s="22">
        <f t="shared" si="0"/>
      </c>
      <c r="BG1943" s="22">
        <f t="shared" si="1"/>
      </c>
      <c r="BH1943" s="22">
        <f t="shared" si="2"/>
        <v>0</v>
      </c>
    </row>
    <row r="1944">
      <c r="B1944">
        <f>[1]资金台帐!B1944&amp;""</f>
      </c>
      <c r="H1944">
        <f>[1]资金台帐!H1944&amp;""</f>
      </c>
      <c r="J1944">
        <f>[1]资金台帐!J1944&amp;""</f>
      </c>
      <c r="N1944">
        <f>[1]资金台帐!N1944</f>
      </c>
      <c r="O1944">
        <f>[1]资金台帐!O1944&amp;""</f>
      </c>
      <c r="P1944">
        <f>[1]资金台帐!P1944&amp;""</f>
      </c>
      <c r="Q1944">
        <f>[1]资金台帐!Q1944&amp;""</f>
      </c>
      <c r="T1944">
        <f>[1]资金台帐!T1944&amp;""</f>
      </c>
      <c r="U1944">
        <f>[1]资金台帐!U1944&amp;""</f>
      </c>
      <c r="W1944">
        <f>[1]资金台帐!W1944&amp;""</f>
      </c>
      <c r="X1944">
        <f>[1]资金台帐!X1944&amp;""</f>
      </c>
      <c r="AB1944">
        <f>[1]资金台帐!AB1944</f>
        <v>0</v>
      </c>
      <c r="AC1944">
        <f>[1]资金台帐!AC1944</f>
        <v>0</v>
      </c>
      <c r="AD1944">
        <f>[1]资金台帐!AD1944</f>
        <v>0</v>
      </c>
      <c r="AJ1944">
        <f>[1]资金台帐!AJ1944</f>
        <v>0</v>
      </c>
      <c r="AK1944">
        <f>[1]资金台帐!AK1944</f>
        <v>0</v>
      </c>
      <c r="BA1944" s="22">
        <f t="shared" si="0"/>
      </c>
      <c r="BG1944" s="22">
        <f t="shared" si="1"/>
      </c>
      <c r="BH1944" s="22">
        <f t="shared" si="2"/>
        <v>0</v>
      </c>
    </row>
    <row r="1945">
      <c r="B1945">
        <f>[1]资金台帐!B1945&amp;""</f>
      </c>
      <c r="H1945">
        <f>[1]资金台帐!H1945&amp;""</f>
      </c>
      <c r="J1945">
        <f>[1]资金台帐!J1945&amp;""</f>
      </c>
      <c r="N1945">
        <f>[1]资金台帐!N1945</f>
      </c>
      <c r="O1945">
        <f>[1]资金台帐!O1945&amp;""</f>
      </c>
      <c r="P1945">
        <f>[1]资金台帐!P1945&amp;""</f>
      </c>
      <c r="Q1945">
        <f>[1]资金台帐!Q1945&amp;""</f>
      </c>
      <c r="T1945">
        <f>[1]资金台帐!T1945&amp;""</f>
      </c>
      <c r="U1945">
        <f>[1]资金台帐!U1945&amp;""</f>
      </c>
      <c r="W1945">
        <f>[1]资金台帐!W1945&amp;""</f>
      </c>
      <c r="X1945">
        <f>[1]资金台帐!X1945&amp;""</f>
      </c>
      <c r="AB1945">
        <f>[1]资金台帐!AB1945</f>
        <v>0</v>
      </c>
      <c r="AC1945">
        <f>[1]资金台帐!AC1945</f>
        <v>0</v>
      </c>
      <c r="AD1945">
        <f>[1]资金台帐!AD1945</f>
        <v>0</v>
      </c>
      <c r="AJ1945">
        <f>[1]资金台帐!AJ1945</f>
        <v>0</v>
      </c>
      <c r="AK1945">
        <f>[1]资金台帐!AK1945</f>
        <v>0</v>
      </c>
      <c r="BA1945" s="22">
        <f t="shared" si="0"/>
      </c>
      <c r="BG1945" s="22">
        <f t="shared" si="1"/>
      </c>
      <c r="BH1945" s="22">
        <f t="shared" si="2"/>
        <v>0</v>
      </c>
    </row>
    <row r="1946">
      <c r="B1946">
        <f>[1]资金台帐!B1946&amp;""</f>
      </c>
      <c r="H1946">
        <f>[1]资金台帐!H1946&amp;""</f>
      </c>
      <c r="J1946">
        <f>[1]资金台帐!J1946&amp;""</f>
      </c>
      <c r="N1946">
        <f>[1]资金台帐!N1946</f>
      </c>
      <c r="O1946">
        <f>[1]资金台帐!O1946&amp;""</f>
      </c>
      <c r="P1946">
        <f>[1]资金台帐!P1946&amp;""</f>
      </c>
      <c r="Q1946">
        <f>[1]资金台帐!Q1946&amp;""</f>
      </c>
      <c r="T1946">
        <f>[1]资金台帐!T1946&amp;""</f>
      </c>
      <c r="U1946">
        <f>[1]资金台帐!U1946&amp;""</f>
      </c>
      <c r="W1946">
        <f>[1]资金台帐!W1946&amp;""</f>
      </c>
      <c r="X1946">
        <f>[1]资金台帐!X1946&amp;""</f>
      </c>
      <c r="AB1946">
        <f>[1]资金台帐!AB1946</f>
        <v>0</v>
      </c>
      <c r="AC1946">
        <f>[1]资金台帐!AC1946</f>
        <v>0</v>
      </c>
      <c r="AD1946">
        <f>[1]资金台帐!AD1946</f>
        <v>0</v>
      </c>
      <c r="AJ1946">
        <f>[1]资金台帐!AJ1946</f>
        <v>0</v>
      </c>
      <c r="AK1946">
        <f>[1]资金台帐!AK1946</f>
        <v>0</v>
      </c>
      <c r="BA1946" s="22">
        <f t="shared" si="0"/>
      </c>
      <c r="BG1946" s="22">
        <f t="shared" si="1"/>
      </c>
      <c r="BH1946" s="22">
        <f t="shared" si="2"/>
        <v>0</v>
      </c>
    </row>
    <row r="1947">
      <c r="B1947">
        <f>[1]资金台帐!B1947&amp;""</f>
      </c>
      <c r="H1947">
        <f>[1]资金台帐!H1947&amp;""</f>
      </c>
      <c r="J1947">
        <f>[1]资金台帐!J1947&amp;""</f>
      </c>
      <c r="N1947">
        <f>[1]资金台帐!N1947</f>
      </c>
      <c r="O1947">
        <f>[1]资金台帐!O1947&amp;""</f>
      </c>
      <c r="P1947">
        <f>[1]资金台帐!P1947&amp;""</f>
      </c>
      <c r="Q1947">
        <f>[1]资金台帐!Q1947&amp;""</f>
      </c>
      <c r="T1947">
        <f>[1]资金台帐!T1947&amp;""</f>
      </c>
      <c r="U1947">
        <f>[1]资金台帐!U1947&amp;""</f>
      </c>
      <c r="W1947">
        <f>[1]资金台帐!W1947&amp;""</f>
      </c>
      <c r="X1947">
        <f>[1]资金台帐!X1947&amp;""</f>
      </c>
      <c r="AB1947">
        <f>[1]资金台帐!AB1947</f>
        <v>0</v>
      </c>
      <c r="AC1947">
        <f>[1]资金台帐!AC1947</f>
        <v>0</v>
      </c>
      <c r="AD1947">
        <f>[1]资金台帐!AD1947</f>
        <v>0</v>
      </c>
      <c r="AJ1947">
        <f>[1]资金台帐!AJ1947</f>
        <v>0</v>
      </c>
      <c r="AK1947">
        <f>[1]资金台帐!AK1947</f>
        <v>0</v>
      </c>
      <c r="BA1947" s="22">
        <f t="shared" si="0"/>
      </c>
      <c r="BG1947" s="22">
        <f t="shared" si="1"/>
      </c>
      <c r="BH1947" s="22">
        <f t="shared" si="2"/>
        <v>0</v>
      </c>
    </row>
    <row r="1948">
      <c r="B1948">
        <f>[1]资金台帐!B1948&amp;""</f>
      </c>
      <c r="H1948">
        <f>[1]资金台帐!H1948&amp;""</f>
      </c>
      <c r="J1948">
        <f>[1]资金台帐!J1948&amp;""</f>
      </c>
      <c r="N1948">
        <f>[1]资金台帐!N1948</f>
      </c>
      <c r="O1948">
        <f>[1]资金台帐!O1948&amp;""</f>
      </c>
      <c r="P1948">
        <f>[1]资金台帐!P1948&amp;""</f>
      </c>
      <c r="Q1948">
        <f>[1]资金台帐!Q1948&amp;""</f>
      </c>
      <c r="T1948">
        <f>[1]资金台帐!T1948&amp;""</f>
      </c>
      <c r="U1948">
        <f>[1]资金台帐!U1948&amp;""</f>
      </c>
      <c r="W1948">
        <f>[1]资金台帐!W1948&amp;""</f>
      </c>
      <c r="X1948">
        <f>[1]资金台帐!X1948&amp;""</f>
      </c>
      <c r="AB1948">
        <f>[1]资金台帐!AB1948</f>
        <v>0</v>
      </c>
      <c r="AC1948">
        <f>[1]资金台帐!AC1948</f>
        <v>0</v>
      </c>
      <c r="AD1948">
        <f>[1]资金台帐!AD1948</f>
        <v>0</v>
      </c>
      <c r="AJ1948">
        <f>[1]资金台帐!AJ1948</f>
        <v>0</v>
      </c>
      <c r="AK1948">
        <f>[1]资金台帐!AK1948</f>
        <v>0</v>
      </c>
      <c r="BA1948" s="22">
        <f t="shared" si="0"/>
      </c>
      <c r="BG1948" s="22">
        <f t="shared" si="1"/>
      </c>
      <c r="BH1948" s="22">
        <f t="shared" si="2"/>
        <v>0</v>
      </c>
    </row>
    <row r="1949">
      <c r="B1949">
        <f>[1]资金台帐!B1949&amp;""</f>
      </c>
      <c r="H1949">
        <f>[1]资金台帐!H1949&amp;""</f>
      </c>
      <c r="J1949">
        <f>[1]资金台帐!J1949&amp;""</f>
      </c>
      <c r="N1949">
        <f>[1]资金台帐!N1949</f>
      </c>
      <c r="O1949">
        <f>[1]资金台帐!O1949&amp;""</f>
      </c>
      <c r="P1949">
        <f>[1]资金台帐!P1949&amp;""</f>
      </c>
      <c r="Q1949">
        <f>[1]资金台帐!Q1949&amp;""</f>
      </c>
      <c r="T1949">
        <f>[1]资金台帐!T1949&amp;""</f>
      </c>
      <c r="U1949">
        <f>[1]资金台帐!U1949&amp;""</f>
      </c>
      <c r="W1949">
        <f>[1]资金台帐!W1949&amp;""</f>
      </c>
      <c r="X1949">
        <f>[1]资金台帐!X1949&amp;""</f>
      </c>
      <c r="AB1949">
        <f>[1]资金台帐!AB1949</f>
        <v>0</v>
      </c>
      <c r="AC1949">
        <f>[1]资金台帐!AC1949</f>
        <v>0</v>
      </c>
      <c r="AD1949">
        <f>[1]资金台帐!AD1949</f>
        <v>0</v>
      </c>
      <c r="AJ1949">
        <f>[1]资金台帐!AJ1949</f>
        <v>0</v>
      </c>
      <c r="AK1949">
        <f>[1]资金台帐!AK1949</f>
        <v>0</v>
      </c>
      <c r="BA1949" s="22">
        <f t="shared" si="0"/>
      </c>
      <c r="BG1949" s="22">
        <f t="shared" si="1"/>
      </c>
      <c r="BH1949" s="22">
        <f t="shared" si="2"/>
        <v>0</v>
      </c>
    </row>
    <row r="1950">
      <c r="B1950">
        <f>[1]资金台帐!B1950&amp;""</f>
      </c>
      <c r="H1950">
        <f>[1]资金台帐!H1950&amp;""</f>
      </c>
      <c r="J1950">
        <f>[1]资金台帐!J1950&amp;""</f>
      </c>
      <c r="N1950">
        <f>[1]资金台帐!N1950</f>
      </c>
      <c r="O1950">
        <f>[1]资金台帐!O1950&amp;""</f>
      </c>
      <c r="P1950">
        <f>[1]资金台帐!P1950&amp;""</f>
      </c>
      <c r="Q1950">
        <f>[1]资金台帐!Q1950&amp;""</f>
      </c>
      <c r="T1950">
        <f>[1]资金台帐!T1950&amp;""</f>
      </c>
      <c r="U1950">
        <f>[1]资金台帐!U1950&amp;""</f>
      </c>
      <c r="W1950">
        <f>[1]资金台帐!W1950&amp;""</f>
      </c>
      <c r="X1950">
        <f>[1]资金台帐!X1950&amp;""</f>
      </c>
      <c r="AB1950">
        <f>[1]资金台帐!AB1950</f>
        <v>0</v>
      </c>
      <c r="AC1950">
        <f>[1]资金台帐!AC1950</f>
        <v>0</v>
      </c>
      <c r="AD1950">
        <f>[1]资金台帐!AD1950</f>
        <v>0</v>
      </c>
      <c r="AJ1950">
        <f>[1]资金台帐!AJ1950</f>
        <v>0</v>
      </c>
      <c r="AK1950">
        <f>[1]资金台帐!AK1950</f>
        <v>0</v>
      </c>
      <c r="BA1950" s="22">
        <f t="shared" si="0"/>
      </c>
      <c r="BG1950" s="22">
        <f t="shared" si="1"/>
      </c>
      <c r="BH1950" s="22">
        <f t="shared" si="2"/>
        <v>0</v>
      </c>
    </row>
    <row r="1951">
      <c r="B1951">
        <f>[1]资金台帐!B1951&amp;""</f>
      </c>
      <c r="H1951">
        <f>[1]资金台帐!H1951&amp;""</f>
      </c>
      <c r="J1951">
        <f>[1]资金台帐!J1951&amp;""</f>
      </c>
      <c r="N1951">
        <f>[1]资金台帐!N1951</f>
      </c>
      <c r="O1951">
        <f>[1]资金台帐!O1951&amp;""</f>
      </c>
      <c r="P1951">
        <f>[1]资金台帐!P1951&amp;""</f>
      </c>
      <c r="Q1951">
        <f>[1]资金台帐!Q1951&amp;""</f>
      </c>
      <c r="T1951">
        <f>[1]资金台帐!T1951&amp;""</f>
      </c>
      <c r="U1951">
        <f>[1]资金台帐!U1951&amp;""</f>
      </c>
      <c r="W1951">
        <f>[1]资金台帐!W1951&amp;""</f>
      </c>
      <c r="X1951">
        <f>[1]资金台帐!X1951&amp;""</f>
      </c>
      <c r="AB1951">
        <f>[1]资金台帐!AB1951</f>
        <v>0</v>
      </c>
      <c r="AC1951">
        <f>[1]资金台帐!AC1951</f>
        <v>0</v>
      </c>
      <c r="AD1951">
        <f>[1]资金台帐!AD1951</f>
        <v>0</v>
      </c>
      <c r="AJ1951">
        <f>[1]资金台帐!AJ1951</f>
        <v>0</v>
      </c>
      <c r="AK1951">
        <f>[1]资金台帐!AK1951</f>
        <v>0</v>
      </c>
      <c r="BA1951" s="22">
        <f t="shared" si="0"/>
      </c>
      <c r="BG1951" s="22">
        <f t="shared" si="1"/>
      </c>
      <c r="BH1951" s="22">
        <f t="shared" si="2"/>
        <v>0</v>
      </c>
    </row>
    <row r="1952">
      <c r="B1952">
        <f>[1]资金台帐!B1952&amp;""</f>
      </c>
      <c r="H1952">
        <f>[1]资金台帐!H1952&amp;""</f>
      </c>
      <c r="J1952">
        <f>[1]资金台帐!J1952&amp;""</f>
      </c>
      <c r="N1952">
        <f>[1]资金台帐!N1952</f>
      </c>
      <c r="O1952">
        <f>[1]资金台帐!O1952&amp;""</f>
      </c>
      <c r="P1952">
        <f>[1]资金台帐!P1952&amp;""</f>
      </c>
      <c r="Q1952">
        <f>[1]资金台帐!Q1952&amp;""</f>
      </c>
      <c r="T1952">
        <f>[1]资金台帐!T1952&amp;""</f>
      </c>
      <c r="U1952">
        <f>[1]资金台帐!U1952&amp;""</f>
      </c>
      <c r="W1952">
        <f>[1]资金台帐!W1952&amp;""</f>
      </c>
      <c r="X1952">
        <f>[1]资金台帐!X1952&amp;""</f>
      </c>
      <c r="AB1952">
        <f>[1]资金台帐!AB1952</f>
        <v>0</v>
      </c>
      <c r="AC1952">
        <f>[1]资金台帐!AC1952</f>
        <v>0</v>
      </c>
      <c r="AD1952">
        <f>[1]资金台帐!AD1952</f>
        <v>0</v>
      </c>
      <c r="AJ1952">
        <f>[1]资金台帐!AJ1952</f>
        <v>0</v>
      </c>
      <c r="AK1952">
        <f>[1]资金台帐!AK1952</f>
        <v>0</v>
      </c>
      <c r="BA1952" s="22">
        <f t="shared" si="0"/>
      </c>
      <c r="BG1952" s="22">
        <f t="shared" si="1"/>
      </c>
      <c r="BH1952" s="22">
        <f t="shared" si="2"/>
        <v>0</v>
      </c>
    </row>
    <row r="1953">
      <c r="B1953">
        <f>[1]资金台帐!B1953&amp;""</f>
      </c>
      <c r="H1953">
        <f>[1]资金台帐!H1953&amp;""</f>
      </c>
      <c r="J1953">
        <f>[1]资金台帐!J1953&amp;""</f>
      </c>
      <c r="N1953">
        <f>[1]资金台帐!N1953</f>
      </c>
      <c r="O1953">
        <f>[1]资金台帐!O1953&amp;""</f>
      </c>
      <c r="P1953">
        <f>[1]资金台帐!P1953&amp;""</f>
      </c>
      <c r="Q1953">
        <f>[1]资金台帐!Q1953&amp;""</f>
      </c>
      <c r="T1953">
        <f>[1]资金台帐!T1953&amp;""</f>
      </c>
      <c r="U1953">
        <f>[1]资金台帐!U1953&amp;""</f>
      </c>
      <c r="W1953">
        <f>[1]资金台帐!W1953&amp;""</f>
      </c>
      <c r="X1953">
        <f>[1]资金台帐!X1953&amp;""</f>
      </c>
      <c r="AB1953">
        <f>[1]资金台帐!AB1953</f>
        <v>0</v>
      </c>
      <c r="AC1953">
        <f>[1]资金台帐!AC1953</f>
        <v>0</v>
      </c>
      <c r="AD1953">
        <f>[1]资金台帐!AD1953</f>
        <v>0</v>
      </c>
      <c r="AJ1953">
        <f>[1]资金台帐!AJ1953</f>
        <v>0</v>
      </c>
      <c r="AK1953">
        <f>[1]资金台帐!AK1953</f>
        <v>0</v>
      </c>
      <c r="BA1953" s="22">
        <f t="shared" si="0"/>
      </c>
      <c r="BG1953" s="22">
        <f t="shared" si="1"/>
      </c>
      <c r="BH1953" s="22">
        <f t="shared" si="2"/>
        <v>0</v>
      </c>
    </row>
    <row r="1954">
      <c r="B1954">
        <f>[1]资金台帐!B1954&amp;""</f>
      </c>
      <c r="H1954">
        <f>[1]资金台帐!H1954&amp;""</f>
      </c>
      <c r="J1954">
        <f>[1]资金台帐!J1954&amp;""</f>
      </c>
      <c r="N1954">
        <f>[1]资金台帐!N1954</f>
      </c>
      <c r="O1954">
        <f>[1]资金台帐!O1954&amp;""</f>
      </c>
      <c r="P1954">
        <f>[1]资金台帐!P1954&amp;""</f>
      </c>
      <c r="Q1954">
        <f>[1]资金台帐!Q1954&amp;""</f>
      </c>
      <c r="T1954">
        <f>[1]资金台帐!T1954&amp;""</f>
      </c>
      <c r="U1954">
        <f>[1]资金台帐!U1954&amp;""</f>
      </c>
      <c r="W1954">
        <f>[1]资金台帐!W1954&amp;""</f>
      </c>
      <c r="X1954">
        <f>[1]资金台帐!X1954&amp;""</f>
      </c>
      <c r="AB1954">
        <f>[1]资金台帐!AB1954</f>
        <v>0</v>
      </c>
      <c r="AC1954">
        <f>[1]资金台帐!AC1954</f>
        <v>0</v>
      </c>
      <c r="AD1954">
        <f>[1]资金台帐!AD1954</f>
        <v>0</v>
      </c>
      <c r="AJ1954">
        <f>[1]资金台帐!AJ1954</f>
        <v>0</v>
      </c>
      <c r="AK1954">
        <f>[1]资金台帐!AK1954</f>
        <v>0</v>
      </c>
      <c r="BA1954" s="22">
        <f t="shared" si="0"/>
      </c>
      <c r="BG1954" s="22">
        <f t="shared" si="1"/>
      </c>
      <c r="BH1954" s="22">
        <f t="shared" si="2"/>
        <v>0</v>
      </c>
    </row>
    <row r="1955">
      <c r="B1955">
        <f>[1]资金台帐!B1955&amp;""</f>
      </c>
      <c r="H1955">
        <f>[1]资金台帐!H1955&amp;""</f>
      </c>
      <c r="J1955">
        <f>[1]资金台帐!J1955&amp;""</f>
      </c>
      <c r="N1955">
        <f>[1]资金台帐!N1955</f>
      </c>
      <c r="O1955">
        <f>[1]资金台帐!O1955&amp;""</f>
      </c>
      <c r="P1955">
        <f>[1]资金台帐!P1955&amp;""</f>
      </c>
      <c r="Q1955">
        <f>[1]资金台帐!Q1955&amp;""</f>
      </c>
      <c r="T1955">
        <f>[1]资金台帐!T1955&amp;""</f>
      </c>
      <c r="U1955">
        <f>[1]资金台帐!U1955&amp;""</f>
      </c>
      <c r="W1955">
        <f>[1]资金台帐!W1955&amp;""</f>
      </c>
      <c r="X1955">
        <f>[1]资金台帐!X1955&amp;""</f>
      </c>
      <c r="AB1955">
        <f>[1]资金台帐!AB1955</f>
        <v>0</v>
      </c>
      <c r="AC1955">
        <f>[1]资金台帐!AC1955</f>
        <v>0</v>
      </c>
      <c r="AD1955">
        <f>[1]资金台帐!AD1955</f>
        <v>0</v>
      </c>
      <c r="AJ1955">
        <f>[1]资金台帐!AJ1955</f>
        <v>0</v>
      </c>
      <c r="AK1955">
        <f>[1]资金台帐!AK1955</f>
        <v>0</v>
      </c>
      <c r="BA1955" s="22">
        <f t="shared" si="0"/>
      </c>
      <c r="BG1955" s="22">
        <f t="shared" si="1"/>
      </c>
      <c r="BH1955" s="22">
        <f t="shared" si="2"/>
        <v>0</v>
      </c>
    </row>
    <row r="1956">
      <c r="B1956">
        <f>[1]资金台帐!B1956&amp;""</f>
      </c>
      <c r="H1956">
        <f>[1]资金台帐!H1956&amp;""</f>
      </c>
      <c r="J1956">
        <f>[1]资金台帐!J1956&amp;""</f>
      </c>
      <c r="N1956">
        <f>[1]资金台帐!N1956</f>
      </c>
      <c r="O1956">
        <f>[1]资金台帐!O1956&amp;""</f>
      </c>
      <c r="P1956">
        <f>[1]资金台帐!P1956&amp;""</f>
      </c>
      <c r="Q1956">
        <f>[1]资金台帐!Q1956&amp;""</f>
      </c>
      <c r="T1956">
        <f>[1]资金台帐!T1956&amp;""</f>
      </c>
      <c r="U1956">
        <f>[1]资金台帐!U1956&amp;""</f>
      </c>
      <c r="W1956">
        <f>[1]资金台帐!W1956&amp;""</f>
      </c>
      <c r="X1956">
        <f>[1]资金台帐!X1956&amp;""</f>
      </c>
      <c r="AB1956">
        <f>[1]资金台帐!AB1956</f>
        <v>0</v>
      </c>
      <c r="AC1956">
        <f>[1]资金台帐!AC1956</f>
        <v>0</v>
      </c>
      <c r="AD1956">
        <f>[1]资金台帐!AD1956</f>
        <v>0</v>
      </c>
      <c r="AJ1956">
        <f>[1]资金台帐!AJ1956</f>
        <v>0</v>
      </c>
      <c r="AK1956">
        <f>[1]资金台帐!AK1956</f>
        <v>0</v>
      </c>
      <c r="BA1956" s="22">
        <f t="shared" si="0"/>
      </c>
      <c r="BG1956" s="22">
        <f t="shared" si="1"/>
      </c>
      <c r="BH1956" s="22">
        <f t="shared" si="2"/>
        <v>0</v>
      </c>
    </row>
    <row r="1957">
      <c r="B1957">
        <f>[1]资金台帐!B1957&amp;""</f>
      </c>
      <c r="H1957">
        <f>[1]资金台帐!H1957&amp;""</f>
      </c>
      <c r="J1957">
        <f>[1]资金台帐!J1957&amp;""</f>
      </c>
      <c r="N1957">
        <f>[1]资金台帐!N1957</f>
      </c>
      <c r="O1957">
        <f>[1]资金台帐!O1957&amp;""</f>
      </c>
      <c r="P1957">
        <f>[1]资金台帐!P1957&amp;""</f>
      </c>
      <c r="Q1957">
        <f>[1]资金台帐!Q1957&amp;""</f>
      </c>
      <c r="T1957">
        <f>[1]资金台帐!T1957&amp;""</f>
      </c>
      <c r="U1957">
        <f>[1]资金台帐!U1957&amp;""</f>
      </c>
      <c r="W1957">
        <f>[1]资金台帐!W1957&amp;""</f>
      </c>
      <c r="X1957">
        <f>[1]资金台帐!X1957&amp;""</f>
      </c>
      <c r="AB1957">
        <f>[1]资金台帐!AB1957</f>
        <v>0</v>
      </c>
      <c r="AC1957">
        <f>[1]资金台帐!AC1957</f>
        <v>0</v>
      </c>
      <c r="AD1957">
        <f>[1]资金台帐!AD1957</f>
        <v>0</v>
      </c>
      <c r="AJ1957">
        <f>[1]资金台帐!AJ1957</f>
        <v>0</v>
      </c>
      <c r="AK1957">
        <f>[1]资金台帐!AK1957</f>
        <v>0</v>
      </c>
      <c r="BA1957" s="22">
        <f t="shared" si="0"/>
      </c>
      <c r="BG1957" s="22">
        <f t="shared" si="1"/>
      </c>
      <c r="BH1957" s="22">
        <f t="shared" si="2"/>
        <v>0</v>
      </c>
    </row>
    <row r="1958">
      <c r="B1958">
        <f>[1]资金台帐!B1958&amp;""</f>
      </c>
      <c r="H1958">
        <f>[1]资金台帐!H1958&amp;""</f>
      </c>
      <c r="J1958">
        <f>[1]资金台帐!J1958&amp;""</f>
      </c>
      <c r="N1958">
        <f>[1]资金台帐!N1958</f>
      </c>
      <c r="O1958">
        <f>[1]资金台帐!O1958&amp;""</f>
      </c>
      <c r="P1958">
        <f>[1]资金台帐!P1958&amp;""</f>
      </c>
      <c r="Q1958">
        <f>[1]资金台帐!Q1958&amp;""</f>
      </c>
      <c r="T1958">
        <f>[1]资金台帐!T1958&amp;""</f>
      </c>
      <c r="U1958">
        <f>[1]资金台帐!U1958&amp;""</f>
      </c>
      <c r="W1958">
        <f>[1]资金台帐!W1958&amp;""</f>
      </c>
      <c r="X1958">
        <f>[1]资金台帐!X1958&amp;""</f>
      </c>
      <c r="AB1958">
        <f>[1]资金台帐!AB1958</f>
        <v>0</v>
      </c>
      <c r="AC1958">
        <f>[1]资金台帐!AC1958</f>
        <v>0</v>
      </c>
      <c r="AD1958">
        <f>[1]资金台帐!AD1958</f>
        <v>0</v>
      </c>
      <c r="AJ1958">
        <f>[1]资金台帐!AJ1958</f>
        <v>0</v>
      </c>
      <c r="AK1958">
        <f>[1]资金台帐!AK1958</f>
        <v>0</v>
      </c>
      <c r="BA1958" s="22">
        <f t="shared" si="0"/>
      </c>
      <c r="BG1958" s="22">
        <f t="shared" si="1"/>
      </c>
      <c r="BH1958" s="22">
        <f t="shared" si="2"/>
        <v>0</v>
      </c>
    </row>
    <row r="1959">
      <c r="B1959">
        <f>[1]资金台帐!B1959&amp;""</f>
      </c>
      <c r="H1959">
        <f>[1]资金台帐!H1959&amp;""</f>
      </c>
      <c r="J1959">
        <f>[1]资金台帐!J1959&amp;""</f>
      </c>
      <c r="N1959">
        <f>[1]资金台帐!N1959</f>
      </c>
      <c r="O1959">
        <f>[1]资金台帐!O1959&amp;""</f>
      </c>
      <c r="P1959">
        <f>[1]资金台帐!P1959&amp;""</f>
      </c>
      <c r="Q1959">
        <f>[1]资金台帐!Q1959&amp;""</f>
      </c>
      <c r="T1959">
        <f>[1]资金台帐!T1959&amp;""</f>
      </c>
      <c r="U1959">
        <f>[1]资金台帐!U1959&amp;""</f>
      </c>
      <c r="W1959">
        <f>[1]资金台帐!W1959&amp;""</f>
      </c>
      <c r="X1959">
        <f>[1]资金台帐!X1959&amp;""</f>
      </c>
      <c r="AB1959">
        <f>[1]资金台帐!AB1959</f>
        <v>0</v>
      </c>
      <c r="AC1959">
        <f>[1]资金台帐!AC1959</f>
        <v>0</v>
      </c>
      <c r="AD1959">
        <f>[1]资金台帐!AD1959</f>
        <v>0</v>
      </c>
      <c r="AJ1959">
        <f>[1]资金台帐!AJ1959</f>
        <v>0</v>
      </c>
      <c r="AK1959">
        <f>[1]资金台帐!AK1959</f>
        <v>0</v>
      </c>
      <c r="BA1959" s="22">
        <f t="shared" si="0"/>
      </c>
      <c r="BG1959" s="22">
        <f t="shared" si="1"/>
      </c>
      <c r="BH1959" s="22">
        <f t="shared" si="2"/>
        <v>0</v>
      </c>
    </row>
    <row r="1960">
      <c r="B1960">
        <f>[1]资金台帐!B1960&amp;""</f>
      </c>
      <c r="H1960">
        <f>[1]资金台帐!H1960&amp;""</f>
      </c>
      <c r="J1960">
        <f>[1]资金台帐!J1960&amp;""</f>
      </c>
      <c r="N1960">
        <f>[1]资金台帐!N1960</f>
      </c>
      <c r="O1960">
        <f>[1]资金台帐!O1960&amp;""</f>
      </c>
      <c r="P1960">
        <f>[1]资金台帐!P1960&amp;""</f>
      </c>
      <c r="Q1960">
        <f>[1]资金台帐!Q1960&amp;""</f>
      </c>
      <c r="T1960">
        <f>[1]资金台帐!T1960&amp;""</f>
      </c>
      <c r="U1960">
        <f>[1]资金台帐!U1960&amp;""</f>
      </c>
      <c r="W1960">
        <f>[1]资金台帐!W1960&amp;""</f>
      </c>
      <c r="X1960">
        <f>[1]资金台帐!X1960&amp;""</f>
      </c>
      <c r="AB1960">
        <f>[1]资金台帐!AB1960</f>
        <v>0</v>
      </c>
      <c r="AC1960">
        <f>[1]资金台帐!AC1960</f>
        <v>0</v>
      </c>
      <c r="AD1960">
        <f>[1]资金台帐!AD1960</f>
        <v>0</v>
      </c>
      <c r="AJ1960">
        <f>[1]资金台帐!AJ1960</f>
        <v>0</v>
      </c>
      <c r="AK1960">
        <f>[1]资金台帐!AK1960</f>
        <v>0</v>
      </c>
      <c r="BA1960" s="22">
        <f t="shared" si="0"/>
      </c>
      <c r="BG1960" s="22">
        <f t="shared" si="1"/>
      </c>
      <c r="BH1960" s="22">
        <f t="shared" si="2"/>
        <v>0</v>
      </c>
    </row>
    <row r="1961">
      <c r="B1961">
        <f>[1]资金台帐!B1961&amp;""</f>
      </c>
      <c r="H1961">
        <f>[1]资金台帐!H1961&amp;""</f>
      </c>
      <c r="J1961">
        <f>[1]资金台帐!J1961&amp;""</f>
      </c>
      <c r="N1961">
        <f>[1]资金台帐!N1961</f>
      </c>
      <c r="O1961">
        <f>[1]资金台帐!O1961&amp;""</f>
      </c>
      <c r="P1961">
        <f>[1]资金台帐!P1961&amp;""</f>
      </c>
      <c r="Q1961">
        <f>[1]资金台帐!Q1961&amp;""</f>
      </c>
      <c r="T1961">
        <f>[1]资金台帐!T1961&amp;""</f>
      </c>
      <c r="U1961">
        <f>[1]资金台帐!U1961&amp;""</f>
      </c>
      <c r="W1961">
        <f>[1]资金台帐!W1961&amp;""</f>
      </c>
      <c r="X1961">
        <f>[1]资金台帐!X1961&amp;""</f>
      </c>
      <c r="AB1961">
        <f>[1]资金台帐!AB1961</f>
        <v>0</v>
      </c>
      <c r="AC1961">
        <f>[1]资金台帐!AC1961</f>
        <v>0</v>
      </c>
      <c r="AD1961">
        <f>[1]资金台帐!AD1961</f>
        <v>0</v>
      </c>
      <c r="AJ1961">
        <f>[1]资金台帐!AJ1961</f>
        <v>0</v>
      </c>
      <c r="AK1961">
        <f>[1]资金台帐!AK1961</f>
        <v>0</v>
      </c>
      <c r="BA1961" s="22">
        <f t="shared" si="0"/>
      </c>
      <c r="BG1961" s="22">
        <f t="shared" si="1"/>
      </c>
      <c r="BH1961" s="22">
        <f t="shared" si="2"/>
        <v>0</v>
      </c>
    </row>
    <row r="1962">
      <c r="B1962">
        <f>[1]资金台帐!B1962&amp;""</f>
      </c>
      <c r="H1962">
        <f>[1]资金台帐!H1962&amp;""</f>
      </c>
      <c r="J1962">
        <f>[1]资金台帐!J1962&amp;""</f>
      </c>
      <c r="N1962">
        <f>[1]资金台帐!N1962</f>
      </c>
      <c r="O1962">
        <f>[1]资金台帐!O1962&amp;""</f>
      </c>
      <c r="P1962">
        <f>[1]资金台帐!P1962&amp;""</f>
      </c>
      <c r="Q1962">
        <f>[1]资金台帐!Q1962&amp;""</f>
      </c>
      <c r="T1962">
        <f>[1]资金台帐!T1962&amp;""</f>
      </c>
      <c r="U1962">
        <f>[1]资金台帐!U1962&amp;""</f>
      </c>
      <c r="W1962">
        <f>[1]资金台帐!W1962&amp;""</f>
      </c>
      <c r="X1962">
        <f>[1]资金台帐!X1962&amp;""</f>
      </c>
      <c r="AB1962">
        <f>[1]资金台帐!AB1962</f>
        <v>0</v>
      </c>
      <c r="AC1962">
        <f>[1]资金台帐!AC1962</f>
        <v>0</v>
      </c>
      <c r="AD1962">
        <f>[1]资金台帐!AD1962</f>
        <v>0</v>
      </c>
      <c r="AJ1962">
        <f>[1]资金台帐!AJ1962</f>
        <v>0</v>
      </c>
      <c r="AK1962">
        <f>[1]资金台帐!AK1962</f>
        <v>0</v>
      </c>
      <c r="BA1962" s="22">
        <f t="shared" si="0"/>
      </c>
      <c r="BG1962" s="22">
        <f t="shared" si="1"/>
      </c>
      <c r="BH1962" s="22">
        <f t="shared" si="2"/>
        <v>0</v>
      </c>
    </row>
    <row r="1963">
      <c r="B1963">
        <f>[1]资金台帐!B1963&amp;""</f>
      </c>
      <c r="H1963">
        <f>[1]资金台帐!H1963&amp;""</f>
      </c>
      <c r="J1963">
        <f>[1]资金台帐!J1963&amp;""</f>
      </c>
      <c r="N1963">
        <f>[1]资金台帐!N1963</f>
      </c>
      <c r="O1963">
        <f>[1]资金台帐!O1963&amp;""</f>
      </c>
      <c r="P1963">
        <f>[1]资金台帐!P1963&amp;""</f>
      </c>
      <c r="Q1963">
        <f>[1]资金台帐!Q1963&amp;""</f>
      </c>
      <c r="T1963">
        <f>[1]资金台帐!T1963&amp;""</f>
      </c>
      <c r="U1963">
        <f>[1]资金台帐!U1963&amp;""</f>
      </c>
      <c r="W1963">
        <f>[1]资金台帐!W1963&amp;""</f>
      </c>
      <c r="X1963">
        <f>[1]资金台帐!X1963&amp;""</f>
      </c>
      <c r="AB1963">
        <f>[1]资金台帐!AB1963</f>
        <v>0</v>
      </c>
      <c r="AC1963">
        <f>[1]资金台帐!AC1963</f>
        <v>0</v>
      </c>
      <c r="AD1963">
        <f>[1]资金台帐!AD1963</f>
        <v>0</v>
      </c>
      <c r="AJ1963">
        <f>[1]资金台帐!AJ1963</f>
        <v>0</v>
      </c>
      <c r="AK1963">
        <f>[1]资金台帐!AK1963</f>
        <v>0</v>
      </c>
      <c r="BA1963" s="22">
        <f t="shared" si="0"/>
      </c>
      <c r="BG1963" s="22">
        <f t="shared" si="1"/>
      </c>
      <c r="BH1963" s="22">
        <f t="shared" si="2"/>
        <v>0</v>
      </c>
    </row>
    <row r="1964">
      <c r="B1964">
        <f>[1]资金台帐!B1964&amp;""</f>
      </c>
      <c r="H1964">
        <f>[1]资金台帐!H1964&amp;""</f>
      </c>
      <c r="J1964">
        <f>[1]资金台帐!J1964&amp;""</f>
      </c>
      <c r="N1964">
        <f>[1]资金台帐!N1964</f>
      </c>
      <c r="O1964">
        <f>[1]资金台帐!O1964&amp;""</f>
      </c>
      <c r="P1964">
        <f>[1]资金台帐!P1964&amp;""</f>
      </c>
      <c r="Q1964">
        <f>[1]资金台帐!Q1964&amp;""</f>
      </c>
      <c r="T1964">
        <f>[1]资金台帐!T1964&amp;""</f>
      </c>
      <c r="U1964">
        <f>[1]资金台帐!U1964&amp;""</f>
      </c>
      <c r="W1964">
        <f>[1]资金台帐!W1964&amp;""</f>
      </c>
      <c r="X1964">
        <f>[1]资金台帐!X1964&amp;""</f>
      </c>
      <c r="AB1964">
        <f>[1]资金台帐!AB1964</f>
        <v>0</v>
      </c>
      <c r="AC1964">
        <f>[1]资金台帐!AC1964</f>
        <v>0</v>
      </c>
      <c r="AD1964">
        <f>[1]资金台帐!AD1964</f>
        <v>0</v>
      </c>
      <c r="AJ1964">
        <f>[1]资金台帐!AJ1964</f>
        <v>0</v>
      </c>
      <c r="AK1964">
        <f>[1]资金台帐!AK1964</f>
        <v>0</v>
      </c>
      <c r="BA1964" s="22">
        <f t="shared" si="0"/>
      </c>
      <c r="BG1964" s="22">
        <f t="shared" si="1"/>
      </c>
      <c r="BH1964" s="22">
        <f t="shared" si="2"/>
        <v>0</v>
      </c>
    </row>
    <row r="1965">
      <c r="B1965">
        <f>[1]资金台帐!B1965&amp;""</f>
      </c>
      <c r="H1965">
        <f>[1]资金台帐!H1965&amp;""</f>
      </c>
      <c r="J1965">
        <f>[1]资金台帐!J1965&amp;""</f>
      </c>
      <c r="N1965">
        <f>[1]资金台帐!N1965</f>
      </c>
      <c r="O1965">
        <f>[1]资金台帐!O1965&amp;""</f>
      </c>
      <c r="P1965">
        <f>[1]资金台帐!P1965&amp;""</f>
      </c>
      <c r="Q1965">
        <f>[1]资金台帐!Q1965&amp;""</f>
      </c>
      <c r="T1965">
        <f>[1]资金台帐!T1965&amp;""</f>
      </c>
      <c r="U1965">
        <f>[1]资金台帐!U1965&amp;""</f>
      </c>
      <c r="W1965">
        <f>[1]资金台帐!W1965&amp;""</f>
      </c>
      <c r="X1965">
        <f>[1]资金台帐!X1965&amp;""</f>
      </c>
      <c r="AB1965">
        <f>[1]资金台帐!AB1965</f>
        <v>0</v>
      </c>
      <c r="AC1965">
        <f>[1]资金台帐!AC1965</f>
        <v>0</v>
      </c>
      <c r="AD1965">
        <f>[1]资金台帐!AD1965</f>
        <v>0</v>
      </c>
      <c r="AJ1965">
        <f>[1]资金台帐!AJ1965</f>
        <v>0</v>
      </c>
      <c r="AK1965">
        <f>[1]资金台帐!AK1965</f>
        <v>0</v>
      </c>
      <c r="BA1965" s="22">
        <f t="shared" si="0"/>
      </c>
      <c r="BG1965" s="22">
        <f t="shared" si="1"/>
      </c>
      <c r="BH1965" s="22">
        <f t="shared" si="2"/>
        <v>0</v>
      </c>
    </row>
    <row r="1966">
      <c r="B1966">
        <f>[1]资金台帐!B1966&amp;""</f>
      </c>
      <c r="H1966">
        <f>[1]资金台帐!H1966&amp;""</f>
      </c>
      <c r="J1966">
        <f>[1]资金台帐!J1966&amp;""</f>
      </c>
      <c r="N1966">
        <f>[1]资金台帐!N1966</f>
      </c>
      <c r="O1966">
        <f>[1]资金台帐!O1966&amp;""</f>
      </c>
      <c r="P1966">
        <f>[1]资金台帐!P1966&amp;""</f>
      </c>
      <c r="Q1966">
        <f>[1]资金台帐!Q1966&amp;""</f>
      </c>
      <c r="T1966">
        <f>[1]资金台帐!T1966&amp;""</f>
      </c>
      <c r="U1966">
        <f>[1]资金台帐!U1966&amp;""</f>
      </c>
      <c r="W1966">
        <f>[1]资金台帐!W1966&amp;""</f>
      </c>
      <c r="X1966">
        <f>[1]资金台帐!X1966&amp;""</f>
      </c>
      <c r="AB1966">
        <f>[1]资金台帐!AB1966</f>
        <v>0</v>
      </c>
      <c r="AC1966">
        <f>[1]资金台帐!AC1966</f>
        <v>0</v>
      </c>
      <c r="AD1966">
        <f>[1]资金台帐!AD1966</f>
        <v>0</v>
      </c>
      <c r="AJ1966">
        <f>[1]资金台帐!AJ1966</f>
        <v>0</v>
      </c>
      <c r="AK1966">
        <f>[1]资金台帐!AK1966</f>
        <v>0</v>
      </c>
      <c r="BA1966" s="22">
        <f t="shared" si="0"/>
      </c>
      <c r="BG1966" s="22">
        <f t="shared" si="1"/>
      </c>
      <c r="BH1966" s="22">
        <f t="shared" si="2"/>
        <v>0</v>
      </c>
    </row>
    <row r="1967">
      <c r="B1967">
        <f>[1]资金台帐!B1967&amp;""</f>
      </c>
      <c r="H1967">
        <f>[1]资金台帐!H1967&amp;""</f>
      </c>
      <c r="J1967">
        <f>[1]资金台帐!J1967&amp;""</f>
      </c>
      <c r="N1967">
        <f>[1]资金台帐!N1967</f>
      </c>
      <c r="O1967">
        <f>[1]资金台帐!O1967&amp;""</f>
      </c>
      <c r="P1967">
        <f>[1]资金台帐!P1967&amp;""</f>
      </c>
      <c r="Q1967">
        <f>[1]资金台帐!Q1967&amp;""</f>
      </c>
      <c r="T1967">
        <f>[1]资金台帐!T1967&amp;""</f>
      </c>
      <c r="U1967">
        <f>[1]资金台帐!U1967&amp;""</f>
      </c>
      <c r="W1967">
        <f>[1]资金台帐!W1967&amp;""</f>
      </c>
      <c r="X1967">
        <f>[1]资金台帐!X1967&amp;""</f>
      </c>
      <c r="AB1967">
        <f>[1]资金台帐!AB1967</f>
        <v>0</v>
      </c>
      <c r="AC1967">
        <f>[1]资金台帐!AC1967</f>
        <v>0</v>
      </c>
      <c r="AD1967">
        <f>[1]资金台帐!AD1967</f>
        <v>0</v>
      </c>
      <c r="AJ1967">
        <f>[1]资金台帐!AJ1967</f>
        <v>0</v>
      </c>
      <c r="AK1967">
        <f>[1]资金台帐!AK1967</f>
        <v>0</v>
      </c>
      <c r="BA1967" s="22">
        <f t="shared" si="0"/>
      </c>
      <c r="BG1967" s="22">
        <f t="shared" si="1"/>
      </c>
      <c r="BH1967" s="22">
        <f t="shared" si="2"/>
        <v>0</v>
      </c>
    </row>
    <row r="1968">
      <c r="B1968">
        <f>[1]资金台帐!B1968&amp;""</f>
      </c>
      <c r="H1968">
        <f>[1]资金台帐!H1968&amp;""</f>
      </c>
      <c r="J1968">
        <f>[1]资金台帐!J1968&amp;""</f>
      </c>
      <c r="N1968">
        <f>[1]资金台帐!N1968</f>
      </c>
      <c r="O1968">
        <f>[1]资金台帐!O1968&amp;""</f>
      </c>
      <c r="P1968">
        <f>[1]资金台帐!P1968&amp;""</f>
      </c>
      <c r="Q1968">
        <f>[1]资金台帐!Q1968&amp;""</f>
      </c>
      <c r="T1968">
        <f>[1]资金台帐!T1968&amp;""</f>
      </c>
      <c r="U1968">
        <f>[1]资金台帐!U1968&amp;""</f>
      </c>
      <c r="W1968">
        <f>[1]资金台帐!W1968&amp;""</f>
      </c>
      <c r="X1968">
        <f>[1]资金台帐!X1968&amp;""</f>
      </c>
      <c r="AB1968">
        <f>[1]资金台帐!AB1968</f>
        <v>0</v>
      </c>
      <c r="AC1968">
        <f>[1]资金台帐!AC1968</f>
        <v>0</v>
      </c>
      <c r="AD1968">
        <f>[1]资金台帐!AD1968</f>
        <v>0</v>
      </c>
      <c r="AJ1968">
        <f>[1]资金台帐!AJ1968</f>
        <v>0</v>
      </c>
      <c r="AK1968">
        <f>[1]资金台帐!AK1968</f>
        <v>0</v>
      </c>
      <c r="BA1968" s="22">
        <f t="shared" si="0"/>
      </c>
      <c r="BG1968" s="22">
        <f t="shared" si="1"/>
      </c>
      <c r="BH1968" s="22">
        <f t="shared" si="2"/>
        <v>0</v>
      </c>
    </row>
    <row r="1969">
      <c r="B1969">
        <f>[1]资金台帐!B1969&amp;""</f>
      </c>
      <c r="H1969">
        <f>[1]资金台帐!H1969&amp;""</f>
      </c>
      <c r="J1969">
        <f>[1]资金台帐!J1969&amp;""</f>
      </c>
      <c r="N1969">
        <f>[1]资金台帐!N1969</f>
      </c>
      <c r="O1969">
        <f>[1]资金台帐!O1969&amp;""</f>
      </c>
      <c r="P1969">
        <f>[1]资金台帐!P1969&amp;""</f>
      </c>
      <c r="Q1969">
        <f>[1]资金台帐!Q1969&amp;""</f>
      </c>
      <c r="T1969">
        <f>[1]资金台帐!T1969&amp;""</f>
      </c>
      <c r="U1969">
        <f>[1]资金台帐!U1969&amp;""</f>
      </c>
      <c r="W1969">
        <f>[1]资金台帐!W1969&amp;""</f>
      </c>
      <c r="X1969">
        <f>[1]资金台帐!X1969&amp;""</f>
      </c>
      <c r="AB1969">
        <f>[1]资金台帐!AB1969</f>
        <v>0</v>
      </c>
      <c r="AC1969">
        <f>[1]资金台帐!AC1969</f>
        <v>0</v>
      </c>
      <c r="AD1969">
        <f>[1]资金台帐!AD1969</f>
        <v>0</v>
      </c>
      <c r="AJ1969">
        <f>[1]资金台帐!AJ1969</f>
        <v>0</v>
      </c>
      <c r="AK1969">
        <f>[1]资金台帐!AK1969</f>
        <v>0</v>
      </c>
      <c r="BA1969" s="22">
        <f t="shared" si="0"/>
      </c>
      <c r="BG1969" s="22">
        <f t="shared" si="1"/>
      </c>
      <c r="BH1969" s="22">
        <f t="shared" si="2"/>
        <v>0</v>
      </c>
    </row>
    <row r="1970">
      <c r="B1970">
        <f>[1]资金台帐!B1970&amp;""</f>
      </c>
      <c r="H1970">
        <f>[1]资金台帐!H1970&amp;""</f>
      </c>
      <c r="J1970">
        <f>[1]资金台帐!J1970&amp;""</f>
      </c>
      <c r="N1970">
        <f>[1]资金台帐!N1970</f>
      </c>
      <c r="O1970">
        <f>[1]资金台帐!O1970&amp;""</f>
      </c>
      <c r="P1970">
        <f>[1]资金台帐!P1970&amp;""</f>
      </c>
      <c r="Q1970">
        <f>[1]资金台帐!Q1970&amp;""</f>
      </c>
      <c r="T1970">
        <f>[1]资金台帐!T1970&amp;""</f>
      </c>
      <c r="U1970">
        <f>[1]资金台帐!U1970&amp;""</f>
      </c>
      <c r="W1970">
        <f>[1]资金台帐!W1970&amp;""</f>
      </c>
      <c r="X1970">
        <f>[1]资金台帐!X1970&amp;""</f>
      </c>
      <c r="AB1970">
        <f>[1]资金台帐!AB1970</f>
        <v>0</v>
      </c>
      <c r="AC1970">
        <f>[1]资金台帐!AC1970</f>
        <v>0</v>
      </c>
      <c r="AD1970">
        <f>[1]资金台帐!AD1970</f>
        <v>0</v>
      </c>
      <c r="AJ1970">
        <f>[1]资金台帐!AJ1970</f>
        <v>0</v>
      </c>
      <c r="AK1970">
        <f>[1]资金台帐!AK1970</f>
        <v>0</v>
      </c>
      <c r="BA1970" s="22">
        <f t="shared" si="0"/>
      </c>
      <c r="BG1970" s="22">
        <f t="shared" si="1"/>
      </c>
      <c r="BH1970" s="22">
        <f t="shared" si="2"/>
        <v>0</v>
      </c>
    </row>
    <row r="1971">
      <c r="B1971">
        <f>[1]资金台帐!B1971&amp;""</f>
      </c>
      <c r="H1971">
        <f>[1]资金台帐!H1971&amp;""</f>
      </c>
      <c r="J1971">
        <f>[1]资金台帐!J1971&amp;""</f>
      </c>
      <c r="N1971">
        <f>[1]资金台帐!N1971</f>
      </c>
      <c r="O1971">
        <f>[1]资金台帐!O1971&amp;""</f>
      </c>
      <c r="P1971">
        <f>[1]资金台帐!P1971&amp;""</f>
      </c>
      <c r="Q1971">
        <f>[1]资金台帐!Q1971&amp;""</f>
      </c>
      <c r="T1971">
        <f>[1]资金台帐!T1971&amp;""</f>
      </c>
      <c r="U1971">
        <f>[1]资金台帐!U1971&amp;""</f>
      </c>
      <c r="W1971">
        <f>[1]资金台帐!W1971&amp;""</f>
      </c>
      <c r="X1971">
        <f>[1]资金台帐!X1971&amp;""</f>
      </c>
      <c r="AB1971">
        <f>[1]资金台帐!AB1971</f>
        <v>0</v>
      </c>
      <c r="AC1971">
        <f>[1]资金台帐!AC1971</f>
        <v>0</v>
      </c>
      <c r="AD1971">
        <f>[1]资金台帐!AD1971</f>
        <v>0</v>
      </c>
      <c r="AJ1971">
        <f>[1]资金台帐!AJ1971</f>
        <v>0</v>
      </c>
      <c r="AK1971">
        <f>[1]资金台帐!AK1971</f>
        <v>0</v>
      </c>
      <c r="BA1971" s="22">
        <f t="shared" si="0"/>
      </c>
      <c r="BG1971" s="22">
        <f t="shared" si="1"/>
      </c>
      <c r="BH1971" s="22">
        <f t="shared" si="2"/>
        <v>0</v>
      </c>
    </row>
    <row r="1972">
      <c r="B1972">
        <f>[1]资金台帐!B1972&amp;""</f>
      </c>
      <c r="H1972">
        <f>[1]资金台帐!H1972&amp;""</f>
      </c>
      <c r="J1972">
        <f>[1]资金台帐!J1972&amp;""</f>
      </c>
      <c r="N1972">
        <f>[1]资金台帐!N1972</f>
      </c>
      <c r="O1972">
        <f>[1]资金台帐!O1972&amp;""</f>
      </c>
      <c r="P1972">
        <f>[1]资金台帐!P1972&amp;""</f>
      </c>
      <c r="Q1972">
        <f>[1]资金台帐!Q1972&amp;""</f>
      </c>
      <c r="T1972">
        <f>[1]资金台帐!T1972&amp;""</f>
      </c>
      <c r="U1972">
        <f>[1]资金台帐!U1972&amp;""</f>
      </c>
      <c r="W1972">
        <f>[1]资金台帐!W1972&amp;""</f>
      </c>
      <c r="X1972">
        <f>[1]资金台帐!X1972&amp;""</f>
      </c>
      <c r="AB1972">
        <f>[1]资金台帐!AB1972</f>
        <v>0</v>
      </c>
      <c r="AC1972">
        <f>[1]资金台帐!AC1972</f>
        <v>0</v>
      </c>
      <c r="AD1972">
        <f>[1]资金台帐!AD1972</f>
        <v>0</v>
      </c>
      <c r="AJ1972">
        <f>[1]资金台帐!AJ1972</f>
        <v>0</v>
      </c>
      <c r="AK1972">
        <f>[1]资金台帐!AK1972</f>
        <v>0</v>
      </c>
      <c r="BA1972" s="22">
        <f t="shared" si="0"/>
      </c>
      <c r="BG1972" s="22">
        <f t="shared" si="1"/>
      </c>
      <c r="BH1972" s="22">
        <f t="shared" si="2"/>
        <v>0</v>
      </c>
    </row>
    <row r="1973">
      <c r="B1973">
        <f>[1]资金台帐!B1973&amp;""</f>
      </c>
      <c r="H1973">
        <f>[1]资金台帐!H1973&amp;""</f>
      </c>
      <c r="J1973">
        <f>[1]资金台帐!J1973&amp;""</f>
      </c>
      <c r="N1973">
        <f>[1]资金台帐!N1973</f>
      </c>
      <c r="O1973">
        <f>[1]资金台帐!O1973&amp;""</f>
      </c>
      <c r="P1973">
        <f>[1]资金台帐!P1973&amp;""</f>
      </c>
      <c r="Q1973">
        <f>[1]资金台帐!Q1973&amp;""</f>
      </c>
      <c r="T1973">
        <f>[1]资金台帐!T1973&amp;""</f>
      </c>
      <c r="U1973">
        <f>[1]资金台帐!U1973&amp;""</f>
      </c>
      <c r="W1973">
        <f>[1]资金台帐!W1973&amp;""</f>
      </c>
      <c r="X1973">
        <f>[1]资金台帐!X1973&amp;""</f>
      </c>
      <c r="AB1973">
        <f>[1]资金台帐!AB1973</f>
        <v>0</v>
      </c>
      <c r="AC1973">
        <f>[1]资金台帐!AC1973</f>
        <v>0</v>
      </c>
      <c r="AD1973">
        <f>[1]资金台帐!AD1973</f>
        <v>0</v>
      </c>
      <c r="AJ1973">
        <f>[1]资金台帐!AJ1973</f>
        <v>0</v>
      </c>
      <c r="AK1973">
        <f>[1]资金台帐!AK1973</f>
        <v>0</v>
      </c>
      <c r="BA1973" s="22">
        <f t="shared" si="0"/>
      </c>
      <c r="BG1973" s="22">
        <f t="shared" si="1"/>
      </c>
      <c r="BH1973" s="22">
        <f t="shared" si="2"/>
        <v>0</v>
      </c>
    </row>
    <row r="1974">
      <c r="B1974">
        <f>[1]资金台帐!B1974&amp;""</f>
      </c>
      <c r="H1974">
        <f>[1]资金台帐!H1974&amp;""</f>
      </c>
      <c r="J1974">
        <f>[1]资金台帐!J1974&amp;""</f>
      </c>
      <c r="N1974">
        <f>[1]资金台帐!N1974</f>
      </c>
      <c r="O1974">
        <f>[1]资金台帐!O1974&amp;""</f>
      </c>
      <c r="P1974">
        <f>[1]资金台帐!P1974&amp;""</f>
      </c>
      <c r="Q1974">
        <f>[1]资金台帐!Q1974&amp;""</f>
      </c>
      <c r="T1974">
        <f>[1]资金台帐!T1974&amp;""</f>
      </c>
      <c r="U1974">
        <f>[1]资金台帐!U1974&amp;""</f>
      </c>
      <c r="W1974">
        <f>[1]资金台帐!W1974&amp;""</f>
      </c>
      <c r="X1974">
        <f>[1]资金台帐!X1974&amp;""</f>
      </c>
      <c r="AB1974">
        <f>[1]资金台帐!AB1974</f>
        <v>0</v>
      </c>
      <c r="AC1974">
        <f>[1]资金台帐!AC1974</f>
        <v>0</v>
      </c>
      <c r="AD1974">
        <f>[1]资金台帐!AD1974</f>
        <v>0</v>
      </c>
      <c r="AJ1974">
        <f>[1]资金台帐!AJ1974</f>
        <v>0</v>
      </c>
      <c r="AK1974">
        <f>[1]资金台帐!AK1974</f>
        <v>0</v>
      </c>
      <c r="BA1974" s="22">
        <f t="shared" si="0"/>
      </c>
      <c r="BG1974" s="22">
        <f t="shared" si="1"/>
      </c>
      <c r="BH1974" s="22">
        <f t="shared" si="2"/>
        <v>0</v>
      </c>
    </row>
    <row r="1975">
      <c r="B1975">
        <f>[1]资金台帐!B1975&amp;""</f>
      </c>
      <c r="H1975">
        <f>[1]资金台帐!H1975&amp;""</f>
      </c>
      <c r="J1975">
        <f>[1]资金台帐!J1975&amp;""</f>
      </c>
      <c r="N1975">
        <f>[1]资金台帐!N1975</f>
      </c>
      <c r="O1975">
        <f>[1]资金台帐!O1975&amp;""</f>
      </c>
      <c r="P1975">
        <f>[1]资金台帐!P1975&amp;""</f>
      </c>
      <c r="Q1975">
        <f>[1]资金台帐!Q1975&amp;""</f>
      </c>
      <c r="T1975">
        <f>[1]资金台帐!T1975&amp;""</f>
      </c>
      <c r="U1975">
        <f>[1]资金台帐!U1975&amp;""</f>
      </c>
      <c r="W1975">
        <f>[1]资金台帐!W1975&amp;""</f>
      </c>
      <c r="X1975">
        <f>[1]资金台帐!X1975&amp;""</f>
      </c>
      <c r="AB1975">
        <f>[1]资金台帐!AB1975</f>
        <v>0</v>
      </c>
      <c r="AC1975">
        <f>[1]资金台帐!AC1975</f>
        <v>0</v>
      </c>
      <c r="AD1975">
        <f>[1]资金台帐!AD1975</f>
        <v>0</v>
      </c>
      <c r="AJ1975">
        <f>[1]资金台帐!AJ1975</f>
        <v>0</v>
      </c>
      <c r="AK1975">
        <f>[1]资金台帐!AK1975</f>
        <v>0</v>
      </c>
      <c r="BA1975" s="22">
        <f t="shared" si="0"/>
      </c>
      <c r="BG1975" s="22">
        <f t="shared" si="1"/>
      </c>
      <c r="BH1975" s="22">
        <f t="shared" si="2"/>
        <v>0</v>
      </c>
    </row>
    <row r="1976">
      <c r="B1976">
        <f>[1]资金台帐!B1976&amp;""</f>
      </c>
      <c r="H1976">
        <f>[1]资金台帐!H1976&amp;""</f>
      </c>
      <c r="J1976">
        <f>[1]资金台帐!J1976&amp;""</f>
      </c>
      <c r="N1976">
        <f>[1]资金台帐!N1976</f>
      </c>
      <c r="O1976">
        <f>[1]资金台帐!O1976&amp;""</f>
      </c>
      <c r="P1976">
        <f>[1]资金台帐!P1976&amp;""</f>
      </c>
      <c r="Q1976">
        <f>[1]资金台帐!Q1976&amp;""</f>
      </c>
      <c r="T1976">
        <f>[1]资金台帐!T1976&amp;""</f>
      </c>
      <c r="U1976">
        <f>[1]资金台帐!U1976&amp;""</f>
      </c>
      <c r="W1976">
        <f>[1]资金台帐!W1976&amp;""</f>
      </c>
      <c r="X1976">
        <f>[1]资金台帐!X1976&amp;""</f>
      </c>
      <c r="AB1976">
        <f>[1]资金台帐!AB1976</f>
        <v>0</v>
      </c>
      <c r="AC1976">
        <f>[1]资金台帐!AC1976</f>
        <v>0</v>
      </c>
      <c r="AD1976">
        <f>[1]资金台帐!AD1976</f>
        <v>0</v>
      </c>
      <c r="AJ1976">
        <f>[1]资金台帐!AJ1976</f>
        <v>0</v>
      </c>
      <c r="AK1976">
        <f>[1]资金台帐!AK1976</f>
        <v>0</v>
      </c>
      <c r="BA1976" s="22">
        <f t="shared" si="0"/>
      </c>
      <c r="BG1976" s="22">
        <f t="shared" si="1"/>
      </c>
      <c r="BH1976" s="22">
        <f t="shared" si="2"/>
        <v>0</v>
      </c>
    </row>
    <row r="1977">
      <c r="B1977">
        <f>[1]资金台帐!B1977&amp;""</f>
      </c>
      <c r="H1977">
        <f>[1]资金台帐!H1977&amp;""</f>
      </c>
      <c r="J1977">
        <f>[1]资金台帐!J1977&amp;""</f>
      </c>
      <c r="N1977">
        <f>[1]资金台帐!N1977</f>
      </c>
      <c r="O1977">
        <f>[1]资金台帐!O1977&amp;""</f>
      </c>
      <c r="P1977">
        <f>[1]资金台帐!P1977&amp;""</f>
      </c>
      <c r="Q1977">
        <f>[1]资金台帐!Q1977&amp;""</f>
      </c>
      <c r="T1977">
        <f>[1]资金台帐!T1977&amp;""</f>
      </c>
      <c r="U1977">
        <f>[1]资金台帐!U1977&amp;""</f>
      </c>
      <c r="W1977">
        <f>[1]资金台帐!W1977&amp;""</f>
      </c>
      <c r="X1977">
        <f>[1]资金台帐!X1977&amp;""</f>
      </c>
      <c r="AB1977">
        <f>[1]资金台帐!AB1977</f>
        <v>0</v>
      </c>
      <c r="AC1977">
        <f>[1]资金台帐!AC1977</f>
        <v>0</v>
      </c>
      <c r="AD1977">
        <f>[1]资金台帐!AD1977</f>
        <v>0</v>
      </c>
      <c r="AJ1977">
        <f>[1]资金台帐!AJ1977</f>
        <v>0</v>
      </c>
      <c r="AK1977">
        <f>[1]资金台帐!AK1977</f>
        <v>0</v>
      </c>
      <c r="BA1977" s="22">
        <f t="shared" si="0"/>
      </c>
      <c r="BG1977" s="22">
        <f t="shared" si="1"/>
      </c>
      <c r="BH1977" s="22">
        <f t="shared" si="2"/>
        <v>0</v>
      </c>
    </row>
    <row r="1978">
      <c r="B1978">
        <f>[1]资金台帐!B1978&amp;""</f>
      </c>
      <c r="H1978">
        <f>[1]资金台帐!H1978&amp;""</f>
      </c>
      <c r="J1978">
        <f>[1]资金台帐!J1978&amp;""</f>
      </c>
      <c r="N1978">
        <f>[1]资金台帐!N1978</f>
      </c>
      <c r="O1978">
        <f>[1]资金台帐!O1978&amp;""</f>
      </c>
      <c r="P1978">
        <f>[1]资金台帐!P1978&amp;""</f>
      </c>
      <c r="Q1978">
        <f>[1]资金台帐!Q1978&amp;""</f>
      </c>
      <c r="T1978">
        <f>[1]资金台帐!T1978&amp;""</f>
      </c>
      <c r="U1978">
        <f>[1]资金台帐!U1978&amp;""</f>
      </c>
      <c r="W1978">
        <f>[1]资金台帐!W1978&amp;""</f>
      </c>
      <c r="X1978">
        <f>[1]资金台帐!X1978&amp;""</f>
      </c>
      <c r="AB1978">
        <f>[1]资金台帐!AB1978</f>
        <v>0</v>
      </c>
      <c r="AC1978">
        <f>[1]资金台帐!AC1978</f>
        <v>0</v>
      </c>
      <c r="AD1978">
        <f>[1]资金台帐!AD1978</f>
        <v>0</v>
      </c>
      <c r="AJ1978">
        <f>[1]资金台帐!AJ1978</f>
        <v>0</v>
      </c>
      <c r="AK1978">
        <f>[1]资金台帐!AK1978</f>
        <v>0</v>
      </c>
      <c r="BA1978" s="22">
        <f t="shared" si="0"/>
      </c>
      <c r="BG1978" s="22">
        <f t="shared" si="1"/>
      </c>
      <c r="BH1978" s="22">
        <f t="shared" si="2"/>
        <v>0</v>
      </c>
    </row>
    <row r="1979">
      <c r="B1979">
        <f>[1]资金台帐!B1979&amp;""</f>
      </c>
      <c r="H1979">
        <f>[1]资金台帐!H1979&amp;""</f>
      </c>
      <c r="J1979">
        <f>[1]资金台帐!J1979&amp;""</f>
      </c>
      <c r="N1979">
        <f>[1]资金台帐!N1979</f>
      </c>
      <c r="O1979">
        <f>[1]资金台帐!O1979&amp;""</f>
      </c>
      <c r="P1979">
        <f>[1]资金台帐!P1979&amp;""</f>
      </c>
      <c r="Q1979">
        <f>[1]资金台帐!Q1979&amp;""</f>
      </c>
      <c r="T1979">
        <f>[1]资金台帐!T1979&amp;""</f>
      </c>
      <c r="U1979">
        <f>[1]资金台帐!U1979&amp;""</f>
      </c>
      <c r="W1979">
        <f>[1]资金台帐!W1979&amp;""</f>
      </c>
      <c r="X1979">
        <f>[1]资金台帐!X1979&amp;""</f>
      </c>
      <c r="AB1979">
        <f>[1]资金台帐!AB1979</f>
        <v>0</v>
      </c>
      <c r="AC1979">
        <f>[1]资金台帐!AC1979</f>
        <v>0</v>
      </c>
      <c r="AD1979">
        <f>[1]资金台帐!AD1979</f>
        <v>0</v>
      </c>
      <c r="AJ1979">
        <f>[1]资金台帐!AJ1979</f>
        <v>0</v>
      </c>
      <c r="AK1979">
        <f>[1]资金台帐!AK1979</f>
        <v>0</v>
      </c>
      <c r="BA1979" s="22">
        <f t="shared" si="0"/>
      </c>
      <c r="BG1979" s="22">
        <f t="shared" si="1"/>
      </c>
      <c r="BH1979" s="22">
        <f t="shared" si="2"/>
        <v>0</v>
      </c>
    </row>
    <row r="1980">
      <c r="B1980">
        <f>[1]资金台帐!B1980&amp;""</f>
      </c>
      <c r="H1980">
        <f>[1]资金台帐!H1980&amp;""</f>
      </c>
      <c r="J1980">
        <f>[1]资金台帐!J1980&amp;""</f>
      </c>
      <c r="N1980">
        <f>[1]资金台帐!N1980</f>
      </c>
      <c r="O1980">
        <f>[1]资金台帐!O1980&amp;""</f>
      </c>
      <c r="P1980">
        <f>[1]资金台帐!P1980&amp;""</f>
      </c>
      <c r="Q1980">
        <f>[1]资金台帐!Q1980&amp;""</f>
      </c>
      <c r="T1980">
        <f>[1]资金台帐!T1980&amp;""</f>
      </c>
      <c r="U1980">
        <f>[1]资金台帐!U1980&amp;""</f>
      </c>
      <c r="W1980">
        <f>[1]资金台帐!W1980&amp;""</f>
      </c>
      <c r="X1980">
        <f>[1]资金台帐!X1980&amp;""</f>
      </c>
      <c r="AB1980">
        <f>[1]资金台帐!AB1980</f>
        <v>0</v>
      </c>
      <c r="AC1980">
        <f>[1]资金台帐!AC1980</f>
        <v>0</v>
      </c>
      <c r="AD1980">
        <f>[1]资金台帐!AD1980</f>
        <v>0</v>
      </c>
      <c r="AJ1980">
        <f>[1]资金台帐!AJ1980</f>
        <v>0</v>
      </c>
      <c r="AK1980">
        <f>[1]资金台帐!AK1980</f>
        <v>0</v>
      </c>
      <c r="BA1980" s="22">
        <f t="shared" si="0"/>
      </c>
      <c r="BG1980" s="22">
        <f t="shared" si="1"/>
      </c>
      <c r="BH1980" s="22">
        <f t="shared" si="2"/>
        <v>0</v>
      </c>
    </row>
    <row r="1981">
      <c r="B1981">
        <f>[1]资金台帐!B1981&amp;""</f>
      </c>
      <c r="H1981">
        <f>[1]资金台帐!H1981&amp;""</f>
      </c>
      <c r="J1981">
        <f>[1]资金台帐!J1981&amp;""</f>
      </c>
      <c r="N1981">
        <f>[1]资金台帐!N1981</f>
      </c>
      <c r="O1981">
        <f>[1]资金台帐!O1981&amp;""</f>
      </c>
      <c r="P1981">
        <f>[1]资金台帐!P1981&amp;""</f>
      </c>
      <c r="Q1981">
        <f>[1]资金台帐!Q1981&amp;""</f>
      </c>
      <c r="T1981">
        <f>[1]资金台帐!T1981&amp;""</f>
      </c>
      <c r="U1981">
        <f>[1]资金台帐!U1981&amp;""</f>
      </c>
      <c r="W1981">
        <f>[1]资金台帐!W1981&amp;""</f>
      </c>
      <c r="X1981">
        <f>[1]资金台帐!X1981&amp;""</f>
      </c>
      <c r="AB1981">
        <f>[1]资金台帐!AB1981</f>
        <v>0</v>
      </c>
      <c r="AC1981">
        <f>[1]资金台帐!AC1981</f>
        <v>0</v>
      </c>
      <c r="AD1981">
        <f>[1]资金台帐!AD1981</f>
        <v>0</v>
      </c>
      <c r="AJ1981">
        <f>[1]资金台帐!AJ1981</f>
        <v>0</v>
      </c>
      <c r="AK1981">
        <f>[1]资金台帐!AK1981</f>
        <v>0</v>
      </c>
      <c r="BA1981" s="22">
        <f t="shared" si="0"/>
      </c>
      <c r="BG1981" s="22">
        <f t="shared" si="1"/>
      </c>
      <c r="BH1981" s="22">
        <f t="shared" si="2"/>
        <v>0</v>
      </c>
    </row>
    <row r="1982">
      <c r="B1982">
        <f>[1]资金台帐!B1982&amp;""</f>
      </c>
      <c r="H1982">
        <f>[1]资金台帐!H1982&amp;""</f>
      </c>
      <c r="J1982">
        <f>[1]资金台帐!J1982&amp;""</f>
      </c>
      <c r="N1982">
        <f>[1]资金台帐!N1982</f>
      </c>
      <c r="O1982">
        <f>[1]资金台帐!O1982&amp;""</f>
      </c>
      <c r="P1982">
        <f>[1]资金台帐!P1982&amp;""</f>
      </c>
      <c r="Q1982">
        <f>[1]资金台帐!Q1982&amp;""</f>
      </c>
      <c r="T1982">
        <f>[1]资金台帐!T1982&amp;""</f>
      </c>
      <c r="U1982">
        <f>[1]资金台帐!U1982&amp;""</f>
      </c>
      <c r="W1982">
        <f>[1]资金台帐!W1982&amp;""</f>
      </c>
      <c r="X1982">
        <f>[1]资金台帐!X1982&amp;""</f>
      </c>
      <c r="AB1982">
        <f>[1]资金台帐!AB1982</f>
        <v>0</v>
      </c>
      <c r="AC1982">
        <f>[1]资金台帐!AC1982</f>
        <v>0</v>
      </c>
      <c r="AD1982">
        <f>[1]资金台帐!AD1982</f>
        <v>0</v>
      </c>
      <c r="AJ1982">
        <f>[1]资金台帐!AJ1982</f>
        <v>0</v>
      </c>
      <c r="AK1982">
        <f>[1]资金台帐!AK1982</f>
        <v>0</v>
      </c>
      <c r="BA1982" s="22">
        <f t="shared" si="0"/>
      </c>
      <c r="BG1982" s="22">
        <f t="shared" si="1"/>
      </c>
      <c r="BH1982" s="22">
        <f t="shared" si="2"/>
        <v>0</v>
      </c>
    </row>
    <row r="1983">
      <c r="B1983">
        <f>[1]资金台帐!B1983&amp;""</f>
      </c>
      <c r="H1983">
        <f>[1]资金台帐!H1983&amp;""</f>
      </c>
      <c r="J1983">
        <f>[1]资金台帐!J1983&amp;""</f>
      </c>
      <c r="N1983">
        <f>[1]资金台帐!N1983</f>
      </c>
      <c r="O1983">
        <f>[1]资金台帐!O1983&amp;""</f>
      </c>
      <c r="P1983">
        <f>[1]资金台帐!P1983&amp;""</f>
      </c>
      <c r="Q1983">
        <f>[1]资金台帐!Q1983&amp;""</f>
      </c>
      <c r="T1983">
        <f>[1]资金台帐!T1983&amp;""</f>
      </c>
      <c r="U1983">
        <f>[1]资金台帐!U1983&amp;""</f>
      </c>
      <c r="W1983">
        <f>[1]资金台帐!W1983&amp;""</f>
      </c>
      <c r="X1983">
        <f>[1]资金台帐!X1983&amp;""</f>
      </c>
      <c r="AB1983">
        <f>[1]资金台帐!AB1983</f>
        <v>0</v>
      </c>
      <c r="AC1983">
        <f>[1]资金台帐!AC1983</f>
        <v>0</v>
      </c>
      <c r="AD1983">
        <f>[1]资金台帐!AD1983</f>
        <v>0</v>
      </c>
      <c r="AJ1983">
        <f>[1]资金台帐!AJ1983</f>
        <v>0</v>
      </c>
      <c r="AK1983">
        <f>[1]资金台帐!AK1983</f>
        <v>0</v>
      </c>
      <c r="BA1983" s="22">
        <f t="shared" si="0"/>
      </c>
      <c r="BG1983" s="22">
        <f t="shared" si="1"/>
      </c>
      <c r="BH1983" s="22">
        <f t="shared" si="2"/>
        <v>0</v>
      </c>
    </row>
    <row r="1984">
      <c r="B1984">
        <f>[1]资金台帐!B1984&amp;""</f>
      </c>
      <c r="H1984">
        <f>[1]资金台帐!H1984&amp;""</f>
      </c>
      <c r="J1984">
        <f>[1]资金台帐!J1984&amp;""</f>
      </c>
      <c r="N1984">
        <f>[1]资金台帐!N1984</f>
      </c>
      <c r="O1984">
        <f>[1]资金台帐!O1984&amp;""</f>
      </c>
      <c r="P1984">
        <f>[1]资金台帐!P1984&amp;""</f>
      </c>
      <c r="Q1984">
        <f>[1]资金台帐!Q1984&amp;""</f>
      </c>
      <c r="T1984">
        <f>[1]资金台帐!T1984&amp;""</f>
      </c>
      <c r="U1984">
        <f>[1]资金台帐!U1984&amp;""</f>
      </c>
      <c r="W1984">
        <f>[1]资金台帐!W1984&amp;""</f>
      </c>
      <c r="X1984">
        <f>[1]资金台帐!X1984&amp;""</f>
      </c>
      <c r="AB1984">
        <f>[1]资金台帐!AB1984</f>
        <v>0</v>
      </c>
      <c r="AC1984">
        <f>[1]资金台帐!AC1984</f>
        <v>0</v>
      </c>
      <c r="AD1984">
        <f>[1]资金台帐!AD1984</f>
        <v>0</v>
      </c>
      <c r="AJ1984">
        <f>[1]资金台帐!AJ1984</f>
        <v>0</v>
      </c>
      <c r="AK1984">
        <f>[1]资金台帐!AK1984</f>
        <v>0</v>
      </c>
      <c r="BA1984" s="22">
        <f t="shared" si="0"/>
      </c>
      <c r="BG1984" s="22">
        <f t="shared" si="1"/>
      </c>
      <c r="BH1984" s="22">
        <f t="shared" si="2"/>
        <v>0</v>
      </c>
    </row>
    <row r="1985">
      <c r="B1985">
        <f>[1]资金台帐!B1985&amp;""</f>
      </c>
      <c r="H1985">
        <f>[1]资金台帐!H1985&amp;""</f>
      </c>
      <c r="J1985">
        <f>[1]资金台帐!J1985&amp;""</f>
      </c>
      <c r="N1985">
        <f>[1]资金台帐!N1985</f>
      </c>
      <c r="O1985">
        <f>[1]资金台帐!O1985&amp;""</f>
      </c>
      <c r="P1985">
        <f>[1]资金台帐!P1985&amp;""</f>
      </c>
      <c r="Q1985">
        <f>[1]资金台帐!Q1985&amp;""</f>
      </c>
      <c r="T1985">
        <f>[1]资金台帐!T1985&amp;""</f>
      </c>
      <c r="U1985">
        <f>[1]资金台帐!U1985&amp;""</f>
      </c>
      <c r="W1985">
        <f>[1]资金台帐!W1985&amp;""</f>
      </c>
      <c r="X1985">
        <f>[1]资金台帐!X1985&amp;""</f>
      </c>
      <c r="AB1985">
        <f>[1]资金台帐!AB1985</f>
        <v>0</v>
      </c>
      <c r="AC1985">
        <f>[1]资金台帐!AC1985</f>
        <v>0</v>
      </c>
      <c r="AD1985">
        <f>[1]资金台帐!AD1985</f>
        <v>0</v>
      </c>
      <c r="AJ1985">
        <f>[1]资金台帐!AJ1985</f>
        <v>0</v>
      </c>
      <c r="AK1985">
        <f>[1]资金台帐!AK1985</f>
        <v>0</v>
      </c>
      <c r="BA1985" s="22">
        <f t="shared" si="0"/>
      </c>
      <c r="BG1985" s="22">
        <f t="shared" si="1"/>
      </c>
      <c r="BH1985" s="22">
        <f t="shared" si="2"/>
        <v>0</v>
      </c>
    </row>
    <row r="1986">
      <c r="B1986">
        <f>[1]资金台帐!B1986&amp;""</f>
      </c>
      <c r="H1986">
        <f>[1]资金台帐!H1986&amp;""</f>
      </c>
      <c r="J1986">
        <f>[1]资金台帐!J1986&amp;""</f>
      </c>
      <c r="N1986">
        <f>[1]资金台帐!N1986</f>
      </c>
      <c r="O1986">
        <f>[1]资金台帐!O1986&amp;""</f>
      </c>
      <c r="P1986">
        <f>[1]资金台帐!P1986&amp;""</f>
      </c>
      <c r="Q1986">
        <f>[1]资金台帐!Q1986&amp;""</f>
      </c>
      <c r="T1986">
        <f>[1]资金台帐!T1986&amp;""</f>
      </c>
      <c r="U1986">
        <f>[1]资金台帐!U1986&amp;""</f>
      </c>
      <c r="W1986">
        <f>[1]资金台帐!W1986&amp;""</f>
      </c>
      <c r="X1986">
        <f>[1]资金台帐!X1986&amp;""</f>
      </c>
      <c r="AB1986">
        <f>[1]资金台帐!AB1986</f>
        <v>0</v>
      </c>
      <c r="AC1986">
        <f>[1]资金台帐!AC1986</f>
        <v>0</v>
      </c>
      <c r="AD1986">
        <f>[1]资金台帐!AD1986</f>
        <v>0</v>
      </c>
      <c r="AJ1986">
        <f>[1]资金台帐!AJ1986</f>
        <v>0</v>
      </c>
      <c r="AK1986">
        <f>[1]资金台帐!AK1986</f>
        <v>0</v>
      </c>
      <c r="BA1986" s="22">
        <f t="shared" si="0"/>
      </c>
      <c r="BG1986" s="22">
        <f t="shared" si="1"/>
      </c>
      <c r="BH1986" s="22">
        <f t="shared" si="2"/>
        <v>0</v>
      </c>
    </row>
    <row r="1987">
      <c r="B1987">
        <f>[1]资金台帐!B1987&amp;""</f>
      </c>
      <c r="H1987">
        <f>[1]资金台帐!H1987&amp;""</f>
      </c>
      <c r="J1987">
        <f>[1]资金台帐!J1987&amp;""</f>
      </c>
      <c r="N1987">
        <f>[1]资金台帐!N1987</f>
      </c>
      <c r="O1987">
        <f>[1]资金台帐!O1987&amp;""</f>
      </c>
      <c r="P1987">
        <f>[1]资金台帐!P1987&amp;""</f>
      </c>
      <c r="Q1987">
        <f>[1]资金台帐!Q1987&amp;""</f>
      </c>
      <c r="T1987">
        <f>[1]资金台帐!T1987&amp;""</f>
      </c>
      <c r="U1987">
        <f>[1]资金台帐!U1987&amp;""</f>
      </c>
      <c r="W1987">
        <f>[1]资金台帐!W1987&amp;""</f>
      </c>
      <c r="X1987">
        <f>[1]资金台帐!X1987&amp;""</f>
      </c>
      <c r="AB1987">
        <f>[1]资金台帐!AB1987</f>
        <v>0</v>
      </c>
      <c r="AC1987">
        <f>[1]资金台帐!AC1987</f>
        <v>0</v>
      </c>
      <c r="AD1987">
        <f>[1]资金台帐!AD1987</f>
        <v>0</v>
      </c>
      <c r="AJ1987">
        <f>[1]资金台帐!AJ1987</f>
        <v>0</v>
      </c>
      <c r="AK1987">
        <f>[1]资金台帐!AK1987</f>
        <v>0</v>
      </c>
      <c r="BA1987" s="22">
        <f t="shared" si="0"/>
      </c>
      <c r="BG1987" s="22">
        <f t="shared" si="1"/>
      </c>
      <c r="BH1987" s="22">
        <f t="shared" si="2"/>
        <v>0</v>
      </c>
    </row>
    <row r="1988">
      <c r="B1988">
        <f>[1]资金台帐!B1988&amp;""</f>
      </c>
      <c r="H1988">
        <f>[1]资金台帐!H1988&amp;""</f>
      </c>
      <c r="J1988">
        <f>[1]资金台帐!J1988&amp;""</f>
      </c>
      <c r="N1988">
        <f>[1]资金台帐!N1988</f>
      </c>
      <c r="O1988">
        <f>[1]资金台帐!O1988&amp;""</f>
      </c>
      <c r="P1988">
        <f>[1]资金台帐!P1988&amp;""</f>
      </c>
      <c r="Q1988">
        <f>[1]资金台帐!Q1988&amp;""</f>
      </c>
      <c r="T1988">
        <f>[1]资金台帐!T1988&amp;""</f>
      </c>
      <c r="U1988">
        <f>[1]资金台帐!U1988&amp;""</f>
      </c>
      <c r="W1988">
        <f>[1]资金台帐!W1988&amp;""</f>
      </c>
      <c r="X1988">
        <f>[1]资金台帐!X1988&amp;""</f>
      </c>
      <c r="AB1988">
        <f>[1]资金台帐!AB1988</f>
        <v>0</v>
      </c>
      <c r="AC1988">
        <f>[1]资金台帐!AC1988</f>
        <v>0</v>
      </c>
      <c r="AD1988">
        <f>[1]资金台帐!AD1988</f>
        <v>0</v>
      </c>
      <c r="AJ1988">
        <f>[1]资金台帐!AJ1988</f>
        <v>0</v>
      </c>
      <c r="AK1988">
        <f>[1]资金台帐!AK1988</f>
        <v>0</v>
      </c>
      <c r="BA1988" s="22">
        <f t="shared" si="0"/>
      </c>
      <c r="BG1988" s="22">
        <f t="shared" si="1"/>
      </c>
      <c r="BH1988" s="22">
        <f t="shared" si="2"/>
        <v>0</v>
      </c>
    </row>
    <row r="1989">
      <c r="B1989">
        <f>[1]资金台帐!B1989&amp;""</f>
      </c>
      <c r="H1989">
        <f>[1]资金台帐!H1989&amp;""</f>
      </c>
      <c r="J1989">
        <f>[1]资金台帐!J1989&amp;""</f>
      </c>
      <c r="N1989">
        <f>[1]资金台帐!N1989</f>
      </c>
      <c r="O1989">
        <f>[1]资金台帐!O1989&amp;""</f>
      </c>
      <c r="P1989">
        <f>[1]资金台帐!P1989&amp;""</f>
      </c>
      <c r="Q1989">
        <f>[1]资金台帐!Q1989&amp;""</f>
      </c>
      <c r="T1989">
        <f>[1]资金台帐!T1989&amp;""</f>
      </c>
      <c r="U1989">
        <f>[1]资金台帐!U1989&amp;""</f>
      </c>
      <c r="W1989">
        <f>[1]资金台帐!W1989&amp;""</f>
      </c>
      <c r="X1989">
        <f>[1]资金台帐!X1989&amp;""</f>
      </c>
      <c r="AB1989">
        <f>[1]资金台帐!AB1989</f>
        <v>0</v>
      </c>
      <c r="AC1989">
        <f>[1]资金台帐!AC1989</f>
        <v>0</v>
      </c>
      <c r="AD1989">
        <f>[1]资金台帐!AD1989</f>
        <v>0</v>
      </c>
      <c r="AJ1989">
        <f>[1]资金台帐!AJ1989</f>
        <v>0</v>
      </c>
      <c r="AK1989">
        <f>[1]资金台帐!AK1989</f>
        <v>0</v>
      </c>
      <c r="BA1989" s="22">
        <f t="shared" si="0"/>
      </c>
      <c r="BG1989" s="22">
        <f t="shared" si="1"/>
      </c>
      <c r="BH1989" s="22">
        <f t="shared" si="2"/>
        <v>0</v>
      </c>
    </row>
    <row r="1990">
      <c r="B1990">
        <f>[1]资金台帐!B1990&amp;""</f>
      </c>
      <c r="H1990">
        <f>[1]资金台帐!H1990&amp;""</f>
      </c>
      <c r="J1990">
        <f>[1]资金台帐!J1990&amp;""</f>
      </c>
      <c r="N1990">
        <f>[1]资金台帐!N1990</f>
      </c>
      <c r="O1990">
        <f>[1]资金台帐!O1990&amp;""</f>
      </c>
      <c r="P1990">
        <f>[1]资金台帐!P1990&amp;""</f>
      </c>
      <c r="Q1990">
        <f>[1]资金台帐!Q1990&amp;""</f>
      </c>
      <c r="T1990">
        <f>[1]资金台帐!T1990&amp;""</f>
      </c>
      <c r="U1990">
        <f>[1]资金台帐!U1990&amp;""</f>
      </c>
      <c r="W1990">
        <f>[1]资金台帐!W1990&amp;""</f>
      </c>
      <c r="X1990">
        <f>[1]资金台帐!X1990&amp;""</f>
      </c>
      <c r="AB1990">
        <f>[1]资金台帐!AB1990</f>
        <v>0</v>
      </c>
      <c r="AC1990">
        <f>[1]资金台帐!AC1990</f>
        <v>0</v>
      </c>
      <c r="AD1990">
        <f>[1]资金台帐!AD1990</f>
        <v>0</v>
      </c>
      <c r="AJ1990">
        <f>[1]资金台帐!AJ1990</f>
        <v>0</v>
      </c>
      <c r="AK1990">
        <f>[1]资金台帐!AK1990</f>
        <v>0</v>
      </c>
      <c r="BA1990" s="22">
        <f t="shared" si="0"/>
      </c>
      <c r="BG1990" s="22">
        <f t="shared" si="1"/>
      </c>
      <c r="BH1990" s="22">
        <f t="shared" si="2"/>
        <v>0</v>
      </c>
    </row>
    <row r="1991">
      <c r="B1991">
        <f>[1]资金台帐!B1991&amp;""</f>
      </c>
      <c r="H1991">
        <f>[1]资金台帐!H1991&amp;""</f>
      </c>
      <c r="J1991">
        <f>[1]资金台帐!J1991&amp;""</f>
      </c>
      <c r="N1991">
        <f>[1]资金台帐!N1991</f>
      </c>
      <c r="O1991">
        <f>[1]资金台帐!O1991&amp;""</f>
      </c>
      <c r="P1991">
        <f>[1]资金台帐!P1991&amp;""</f>
      </c>
      <c r="Q1991">
        <f>[1]资金台帐!Q1991&amp;""</f>
      </c>
      <c r="T1991">
        <f>[1]资金台帐!T1991&amp;""</f>
      </c>
      <c r="U1991">
        <f>[1]资金台帐!U1991&amp;""</f>
      </c>
      <c r="W1991">
        <f>[1]资金台帐!W1991&amp;""</f>
      </c>
      <c r="X1991">
        <f>[1]资金台帐!X1991&amp;""</f>
      </c>
      <c r="AB1991">
        <f>[1]资金台帐!AB1991</f>
        <v>0</v>
      </c>
      <c r="AC1991">
        <f>[1]资金台帐!AC1991</f>
        <v>0</v>
      </c>
      <c r="AD1991">
        <f>[1]资金台帐!AD1991</f>
        <v>0</v>
      </c>
      <c r="AJ1991">
        <f>[1]资金台帐!AJ1991</f>
        <v>0</v>
      </c>
      <c r="AK1991">
        <f>[1]资金台帐!AK1991</f>
        <v>0</v>
      </c>
      <c r="BA1991" s="22">
        <f t="shared" si="0"/>
      </c>
      <c r="BG1991" s="22">
        <f t="shared" si="1"/>
      </c>
      <c r="BH1991" s="22">
        <f t="shared" si="2"/>
        <v>0</v>
      </c>
    </row>
    <row r="1992">
      <c r="B1992">
        <f>[1]资金台帐!B1992&amp;""</f>
      </c>
      <c r="H1992">
        <f>[1]资金台帐!H1992&amp;""</f>
      </c>
      <c r="J1992">
        <f>[1]资金台帐!J1992&amp;""</f>
      </c>
      <c r="N1992">
        <f>[1]资金台帐!N1992</f>
      </c>
      <c r="O1992">
        <f>[1]资金台帐!O1992&amp;""</f>
      </c>
      <c r="P1992">
        <f>[1]资金台帐!P1992&amp;""</f>
      </c>
      <c r="Q1992">
        <f>[1]资金台帐!Q1992&amp;""</f>
      </c>
      <c r="T1992">
        <f>[1]资金台帐!T1992&amp;""</f>
      </c>
      <c r="U1992">
        <f>[1]资金台帐!U1992&amp;""</f>
      </c>
      <c r="W1992">
        <f>[1]资金台帐!W1992&amp;""</f>
      </c>
      <c r="X1992">
        <f>[1]资金台帐!X1992&amp;""</f>
      </c>
      <c r="AB1992">
        <f>[1]资金台帐!AB1992</f>
        <v>0</v>
      </c>
      <c r="AC1992">
        <f>[1]资金台帐!AC1992</f>
        <v>0</v>
      </c>
      <c r="AD1992">
        <f>[1]资金台帐!AD1992</f>
        <v>0</v>
      </c>
      <c r="AJ1992">
        <f>[1]资金台帐!AJ1992</f>
        <v>0</v>
      </c>
      <c r="AK1992">
        <f>[1]资金台帐!AK1992</f>
        <v>0</v>
      </c>
      <c r="BA1992" s="22">
        <f t="shared" si="0"/>
      </c>
      <c r="BG1992" s="22">
        <f t="shared" si="1"/>
      </c>
      <c r="BH1992" s="22">
        <f t="shared" si="2"/>
        <v>0</v>
      </c>
    </row>
    <row r="1993">
      <c r="B1993">
        <f>[1]资金台帐!B1993&amp;""</f>
      </c>
      <c r="H1993">
        <f>[1]资金台帐!H1993&amp;""</f>
      </c>
      <c r="J1993">
        <f>[1]资金台帐!J1993&amp;""</f>
      </c>
      <c r="N1993">
        <f>[1]资金台帐!N1993</f>
      </c>
      <c r="O1993">
        <f>[1]资金台帐!O1993&amp;""</f>
      </c>
      <c r="P1993">
        <f>[1]资金台帐!P1993&amp;""</f>
      </c>
      <c r="Q1993">
        <f>[1]资金台帐!Q1993&amp;""</f>
      </c>
      <c r="T1993">
        <f>[1]资金台帐!T1993&amp;""</f>
      </c>
      <c r="U1993">
        <f>[1]资金台帐!U1993&amp;""</f>
      </c>
      <c r="W1993">
        <f>[1]资金台帐!W1993&amp;""</f>
      </c>
      <c r="X1993">
        <f>[1]资金台帐!X1993&amp;""</f>
      </c>
      <c r="AB1993">
        <f>[1]资金台帐!AB1993</f>
        <v>0</v>
      </c>
      <c r="AC1993">
        <f>[1]资金台帐!AC1993</f>
        <v>0</v>
      </c>
      <c r="AD1993">
        <f>[1]资金台帐!AD1993</f>
        <v>0</v>
      </c>
      <c r="AJ1993">
        <f>[1]资金台帐!AJ1993</f>
        <v>0</v>
      </c>
      <c r="AK1993">
        <f>[1]资金台帐!AK1993</f>
        <v>0</v>
      </c>
      <c r="BA1993" s="22">
        <f t="shared" si="0"/>
      </c>
      <c r="BG1993" s="22">
        <f t="shared" si="1"/>
      </c>
      <c r="BH1993" s="22">
        <f t="shared" si="2"/>
        <v>0</v>
      </c>
    </row>
    <row r="1994">
      <c r="B1994">
        <f>[1]资金台帐!B1994&amp;""</f>
      </c>
      <c r="H1994">
        <f>[1]资金台帐!H1994&amp;""</f>
      </c>
      <c r="J1994">
        <f>[1]资金台帐!J1994&amp;""</f>
      </c>
      <c r="N1994">
        <f>[1]资金台帐!N1994</f>
      </c>
      <c r="O1994">
        <f>[1]资金台帐!O1994&amp;""</f>
      </c>
      <c r="P1994">
        <f>[1]资金台帐!P1994&amp;""</f>
      </c>
      <c r="Q1994">
        <f>[1]资金台帐!Q1994&amp;""</f>
      </c>
      <c r="T1994">
        <f>[1]资金台帐!T1994&amp;""</f>
      </c>
      <c r="U1994">
        <f>[1]资金台帐!U1994&amp;""</f>
      </c>
      <c r="W1994">
        <f>[1]资金台帐!W1994&amp;""</f>
      </c>
      <c r="X1994">
        <f>[1]资金台帐!X1994&amp;""</f>
      </c>
      <c r="AB1994">
        <f>[1]资金台帐!AB1994</f>
        <v>0</v>
      </c>
      <c r="AC1994">
        <f>[1]资金台帐!AC1994</f>
        <v>0</v>
      </c>
      <c r="AD1994">
        <f>[1]资金台帐!AD1994</f>
        <v>0</v>
      </c>
      <c r="AJ1994">
        <f>[1]资金台帐!AJ1994</f>
        <v>0</v>
      </c>
      <c r="AK1994">
        <f>[1]资金台帐!AK1994</f>
        <v>0</v>
      </c>
      <c r="BA1994" s="22">
        <f t="shared" si="0"/>
      </c>
      <c r="BG1994" s="22">
        <f t="shared" si="1"/>
      </c>
      <c r="BH1994" s="22">
        <f t="shared" si="2"/>
        <v>0</v>
      </c>
    </row>
    <row r="1995">
      <c r="B1995">
        <f>[1]资金台帐!B1995&amp;""</f>
      </c>
      <c r="H1995">
        <f>[1]资金台帐!H1995&amp;""</f>
      </c>
      <c r="J1995">
        <f>[1]资金台帐!J1995&amp;""</f>
      </c>
      <c r="N1995">
        <f>[1]资金台帐!N1995</f>
      </c>
      <c r="O1995">
        <f>[1]资金台帐!O1995&amp;""</f>
      </c>
      <c r="P1995">
        <f>[1]资金台帐!P1995&amp;""</f>
      </c>
      <c r="Q1995">
        <f>[1]资金台帐!Q1995&amp;""</f>
      </c>
      <c r="T1995">
        <f>[1]资金台帐!T1995&amp;""</f>
      </c>
      <c r="U1995">
        <f>[1]资金台帐!U1995&amp;""</f>
      </c>
      <c r="W1995">
        <f>[1]资金台帐!W1995&amp;""</f>
      </c>
      <c r="X1995">
        <f>[1]资金台帐!X1995&amp;""</f>
      </c>
      <c r="AB1995">
        <f>[1]资金台帐!AB1995</f>
        <v>0</v>
      </c>
      <c r="AC1995">
        <f>[1]资金台帐!AC1995</f>
        <v>0</v>
      </c>
      <c r="AD1995">
        <f>[1]资金台帐!AD1995</f>
        <v>0</v>
      </c>
      <c r="AJ1995">
        <f>[1]资金台帐!AJ1995</f>
        <v>0</v>
      </c>
      <c r="AK1995">
        <f>[1]资金台帐!AK1995</f>
        <v>0</v>
      </c>
      <c r="BA1995" s="22">
        <f t="shared" si="0"/>
      </c>
      <c r="BG1995" s="22">
        <f t="shared" si="1"/>
      </c>
      <c r="BH1995" s="22">
        <f t="shared" si="2"/>
        <v>0</v>
      </c>
    </row>
    <row r="1996">
      <c r="B1996">
        <f>[1]资金台帐!B1996&amp;""</f>
      </c>
      <c r="H1996">
        <f>[1]资金台帐!H1996&amp;""</f>
      </c>
      <c r="J1996">
        <f>[1]资金台帐!J1996&amp;""</f>
      </c>
      <c r="N1996">
        <f>[1]资金台帐!N1996</f>
      </c>
      <c r="O1996">
        <f>[1]资金台帐!O1996&amp;""</f>
      </c>
      <c r="P1996">
        <f>[1]资金台帐!P1996&amp;""</f>
      </c>
      <c r="Q1996">
        <f>[1]资金台帐!Q1996&amp;""</f>
      </c>
      <c r="T1996">
        <f>[1]资金台帐!T1996&amp;""</f>
      </c>
      <c r="U1996">
        <f>[1]资金台帐!U1996&amp;""</f>
      </c>
      <c r="W1996">
        <f>[1]资金台帐!W1996&amp;""</f>
      </c>
      <c r="X1996">
        <f>[1]资金台帐!X1996&amp;""</f>
      </c>
      <c r="AB1996">
        <f>[1]资金台帐!AB1996</f>
        <v>0</v>
      </c>
      <c r="AC1996">
        <f>[1]资金台帐!AC1996</f>
        <v>0</v>
      </c>
      <c r="AD1996">
        <f>[1]资金台帐!AD1996</f>
        <v>0</v>
      </c>
      <c r="AJ1996">
        <f>[1]资金台帐!AJ1996</f>
        <v>0</v>
      </c>
      <c r="AK1996">
        <f>[1]资金台帐!AK1996</f>
        <v>0</v>
      </c>
      <c r="BA1996" s="22">
        <f t="shared" si="0"/>
      </c>
      <c r="BG1996" s="22">
        <f t="shared" si="1"/>
      </c>
      <c r="BH1996" s="22">
        <f t="shared" si="2"/>
        <v>0</v>
      </c>
    </row>
    <row r="1997">
      <c r="B1997">
        <f>[1]资金台帐!B1997&amp;""</f>
      </c>
      <c r="H1997">
        <f>[1]资金台帐!H1997&amp;""</f>
      </c>
      <c r="J1997">
        <f>[1]资金台帐!J1997&amp;""</f>
      </c>
      <c r="N1997">
        <f>[1]资金台帐!N1997</f>
      </c>
      <c r="O1997">
        <f>[1]资金台帐!O1997&amp;""</f>
      </c>
      <c r="P1997">
        <f>[1]资金台帐!P1997&amp;""</f>
      </c>
      <c r="Q1997">
        <f>[1]资金台帐!Q1997&amp;""</f>
      </c>
      <c r="T1997">
        <f>[1]资金台帐!T1997&amp;""</f>
      </c>
      <c r="U1997">
        <f>[1]资金台帐!U1997&amp;""</f>
      </c>
      <c r="W1997">
        <f>[1]资金台帐!W1997&amp;""</f>
      </c>
      <c r="X1997">
        <f>[1]资金台帐!X1997&amp;""</f>
      </c>
      <c r="AB1997">
        <f>[1]资金台帐!AB1997</f>
        <v>0</v>
      </c>
      <c r="AC1997">
        <f>[1]资金台帐!AC1997</f>
        <v>0</v>
      </c>
      <c r="AD1997">
        <f>[1]资金台帐!AD1997</f>
        <v>0</v>
      </c>
      <c r="AJ1997">
        <f>[1]资金台帐!AJ1997</f>
        <v>0</v>
      </c>
      <c r="AK1997">
        <f>[1]资金台帐!AK1997</f>
        <v>0</v>
      </c>
      <c r="BA1997" s="22">
        <f t="shared" si="0"/>
      </c>
      <c r="BG1997" s="22">
        <f t="shared" si="1"/>
      </c>
      <c r="BH1997" s="22">
        <f t="shared" si="2"/>
        <v>0</v>
      </c>
    </row>
    <row r="1998">
      <c r="B1998">
        <f>[1]资金台帐!B1998&amp;""</f>
      </c>
      <c r="H1998">
        <f>[1]资金台帐!H1998&amp;""</f>
      </c>
      <c r="J1998">
        <f>[1]资金台帐!J1998&amp;""</f>
      </c>
      <c r="N1998">
        <f>[1]资金台帐!N1998</f>
      </c>
      <c r="O1998">
        <f>[1]资金台帐!O1998&amp;""</f>
      </c>
      <c r="P1998">
        <f>[1]资金台帐!P1998&amp;""</f>
      </c>
      <c r="Q1998">
        <f>[1]资金台帐!Q1998&amp;""</f>
      </c>
      <c r="T1998">
        <f>[1]资金台帐!T1998&amp;""</f>
      </c>
      <c r="U1998">
        <f>[1]资金台帐!U1998&amp;""</f>
      </c>
      <c r="W1998">
        <f>[1]资金台帐!W1998&amp;""</f>
      </c>
      <c r="X1998">
        <f>[1]资金台帐!X1998&amp;""</f>
      </c>
      <c r="AB1998">
        <f>[1]资金台帐!AB1998</f>
        <v>0</v>
      </c>
      <c r="AC1998">
        <f>[1]资金台帐!AC1998</f>
        <v>0</v>
      </c>
      <c r="AD1998">
        <f>[1]资金台帐!AD1998</f>
        <v>0</v>
      </c>
      <c r="AJ1998">
        <f>[1]资金台帐!AJ1998</f>
        <v>0</v>
      </c>
      <c r="AK1998">
        <f>[1]资金台帐!AK1998</f>
        <v>0</v>
      </c>
      <c r="BA1998" s="22">
        <f t="shared" si="0"/>
      </c>
      <c r="BG1998" s="22">
        <f t="shared" si="1"/>
      </c>
      <c r="BH1998" s="22">
        <f t="shared" si="2"/>
        <v>0</v>
      </c>
    </row>
    <row r="1999">
      <c r="B1999">
        <f>[1]资金台帐!B1999&amp;""</f>
      </c>
      <c r="H1999">
        <f>[1]资金台帐!H1999&amp;""</f>
      </c>
      <c r="J1999">
        <f>[1]资金台帐!J1999&amp;""</f>
      </c>
      <c r="N1999">
        <f>[1]资金台帐!N1999</f>
      </c>
      <c r="O1999">
        <f>[1]资金台帐!O1999&amp;""</f>
      </c>
      <c r="P1999">
        <f>[1]资金台帐!P1999&amp;""</f>
      </c>
      <c r="Q1999">
        <f>[1]资金台帐!Q1999&amp;""</f>
      </c>
      <c r="T1999">
        <f>[1]资金台帐!T1999&amp;""</f>
      </c>
      <c r="U1999">
        <f>[1]资金台帐!U1999&amp;""</f>
      </c>
      <c r="W1999">
        <f>[1]资金台帐!W1999&amp;""</f>
      </c>
      <c r="X1999">
        <f>[1]资金台帐!X1999&amp;""</f>
      </c>
      <c r="AB1999">
        <f>[1]资金台帐!AB1999</f>
        <v>0</v>
      </c>
      <c r="AC1999">
        <f>[1]资金台帐!AC1999</f>
        <v>0</v>
      </c>
      <c r="AD1999">
        <f>[1]资金台帐!AD1999</f>
        <v>0</v>
      </c>
      <c r="AJ1999">
        <f>[1]资金台帐!AJ1999</f>
        <v>0</v>
      </c>
      <c r="AK1999">
        <f>[1]资金台帐!AK1999</f>
        <v>0</v>
      </c>
      <c r="BA1999" s="22">
        <f t="shared" si="0"/>
      </c>
      <c r="BG1999" s="22">
        <f t="shared" si="1"/>
      </c>
      <c r="BH1999" s="22">
        <f t="shared" si="2"/>
        <v>0</v>
      </c>
    </row>
    <row r="2000">
      <c r="B2000">
        <f>[1]资金台帐!B2000&amp;""</f>
      </c>
      <c r="H2000">
        <f>[1]资金台帐!H2000&amp;""</f>
      </c>
      <c r="J2000">
        <f>[1]资金台帐!J2000&amp;""</f>
      </c>
      <c r="N2000">
        <f>[1]资金台帐!N2000</f>
      </c>
      <c r="O2000">
        <f>[1]资金台帐!O2000&amp;""</f>
      </c>
      <c r="P2000">
        <f>[1]资金台帐!P2000&amp;""</f>
      </c>
      <c r="Q2000">
        <f>[1]资金台帐!Q2000&amp;""</f>
      </c>
      <c r="T2000">
        <f>[1]资金台帐!T2000&amp;""</f>
      </c>
      <c r="U2000">
        <f>[1]资金台帐!U2000&amp;""</f>
      </c>
      <c r="W2000">
        <f>[1]资金台帐!W2000&amp;""</f>
      </c>
      <c r="X2000">
        <f>[1]资金台帐!X2000&amp;""</f>
      </c>
      <c r="AB2000">
        <f>[1]资金台帐!AB2000</f>
        <v>0</v>
      </c>
      <c r="AC2000">
        <f>[1]资金台帐!AC2000</f>
        <v>0</v>
      </c>
      <c r="AD2000">
        <f>[1]资金台帐!AD2000</f>
        <v>0</v>
      </c>
      <c r="AJ2000">
        <f>[1]资金台帐!AJ2000</f>
        <v>0</v>
      </c>
      <c r="AK2000">
        <f>[1]资金台帐!AK2000</f>
        <v>0</v>
      </c>
      <c r="BA2000" s="22">
        <f t="shared" si="0"/>
      </c>
      <c r="BG2000" s="22">
        <f t="shared" si="1"/>
      </c>
      <c r="BH2000" s="22">
        <f t="shared" si="2"/>
        <v>0</v>
      </c>
    </row>
    <row r="2001">
      <c r="B2001">
        <f>[1]资金台帐!B2001&amp;""</f>
      </c>
      <c r="H2001">
        <f>[1]资金台帐!H2001&amp;""</f>
      </c>
      <c r="J2001">
        <f>[1]资金台帐!J2001&amp;""</f>
      </c>
      <c r="N2001">
        <f>[1]资金台帐!N2001</f>
      </c>
      <c r="O2001">
        <f>[1]资金台帐!O2001&amp;""</f>
      </c>
      <c r="P2001">
        <f>[1]资金台帐!P2001&amp;""</f>
      </c>
      <c r="Q2001">
        <f>[1]资金台帐!Q2001&amp;""</f>
      </c>
      <c r="T2001">
        <f>[1]资金台帐!T2001&amp;""</f>
      </c>
      <c r="U2001">
        <f>[1]资金台帐!U2001&amp;""</f>
      </c>
      <c r="W2001">
        <f>[1]资金台帐!W2001&amp;""</f>
      </c>
      <c r="X2001">
        <f>[1]资金台帐!X2001&amp;""</f>
      </c>
      <c r="AB2001">
        <f>[1]资金台帐!AB2001</f>
        <v>0</v>
      </c>
      <c r="AC2001">
        <f>[1]资金台帐!AC2001</f>
        <v>0</v>
      </c>
      <c r="AD2001">
        <f>[1]资金台帐!AD2001</f>
        <v>0</v>
      </c>
      <c r="AJ2001">
        <f>[1]资金台帐!AJ2001</f>
        <v>0</v>
      </c>
      <c r="AK2001">
        <f>[1]资金台帐!AK2001</f>
        <v>0</v>
      </c>
      <c r="BA2001" s="22">
        <f t="shared" si="0"/>
      </c>
      <c r="BG2001" s="22">
        <f t="shared" si="1"/>
      </c>
      <c r="BH2001" s="22">
        <f t="shared" si="2"/>
        <v>0</v>
      </c>
    </row>
    <row r="2002">
      <c r="B2002">
        <f>[1]资金台帐!B2002&amp;""</f>
      </c>
      <c r="H2002">
        <f>[1]资金台帐!H2002&amp;""</f>
      </c>
      <c r="J2002">
        <f>[1]资金台帐!J2002&amp;""</f>
      </c>
      <c r="N2002">
        <f>[1]资金台帐!N2002</f>
      </c>
      <c r="O2002">
        <f>[1]资金台帐!O2002&amp;""</f>
      </c>
      <c r="P2002">
        <f>[1]资金台帐!P2002&amp;""</f>
      </c>
      <c r="Q2002">
        <f>[1]资金台帐!Q2002&amp;""</f>
      </c>
      <c r="T2002">
        <f>[1]资金台帐!T2002&amp;""</f>
      </c>
      <c r="U2002">
        <f>[1]资金台帐!U2002&amp;""</f>
      </c>
      <c r="W2002">
        <f>[1]资金台帐!W2002&amp;""</f>
      </c>
      <c r="X2002">
        <f>[1]资金台帐!X2002&amp;""</f>
      </c>
      <c r="AB2002">
        <f>[1]资金台帐!AB2002</f>
        <v>0</v>
      </c>
      <c r="AC2002">
        <f>[1]资金台帐!AC2002</f>
        <v>0</v>
      </c>
      <c r="AD2002">
        <f>[1]资金台帐!AD2002</f>
        <v>0</v>
      </c>
      <c r="AJ2002">
        <f>[1]资金台帐!AJ2002</f>
        <v>0</v>
      </c>
      <c r="AK2002">
        <f>[1]资金台帐!AK2002</f>
        <v>0</v>
      </c>
      <c r="BA2002" s="22">
        <f t="shared" si="0"/>
      </c>
      <c r="BG2002" s="22">
        <f t="shared" si="1"/>
      </c>
      <c r="BH2002" s="22">
        <f t="shared" si="2"/>
        <v>0</v>
      </c>
    </row>
    <row r="2003">
      <c r="B2003">
        <f>[1]资金台帐!B2003&amp;""</f>
      </c>
      <c r="H2003">
        <f>[1]资金台帐!H2003&amp;""</f>
      </c>
      <c r="J2003">
        <f>[1]资金台帐!J2003&amp;""</f>
      </c>
      <c r="N2003">
        <f>[1]资金台帐!N2003</f>
      </c>
      <c r="O2003">
        <f>[1]资金台帐!O2003&amp;""</f>
      </c>
      <c r="P2003">
        <f>[1]资金台帐!P2003&amp;""</f>
      </c>
      <c r="Q2003">
        <f>[1]资金台帐!Q2003&amp;""</f>
      </c>
      <c r="T2003">
        <f>[1]资金台帐!T2003&amp;""</f>
      </c>
      <c r="U2003">
        <f>[1]资金台帐!U2003&amp;""</f>
      </c>
      <c r="W2003">
        <f>[1]资金台帐!W2003&amp;""</f>
      </c>
      <c r="X2003">
        <f>[1]资金台帐!X2003&amp;""</f>
      </c>
      <c r="AB2003">
        <f>[1]资金台帐!AB2003</f>
        <v>0</v>
      </c>
      <c r="AC2003">
        <f>[1]资金台帐!AC2003</f>
        <v>0</v>
      </c>
      <c r="AD2003">
        <f>[1]资金台帐!AD2003</f>
        <v>0</v>
      </c>
      <c r="AJ2003">
        <f>[1]资金台帐!AJ2003</f>
        <v>0</v>
      </c>
      <c r="AK2003">
        <f>[1]资金台帐!AK2003</f>
        <v>0</v>
      </c>
      <c r="BA2003" s="22">
        <f t="shared" si="0"/>
      </c>
      <c r="BG2003" s="22">
        <f t="shared" si="1"/>
      </c>
      <c r="BH2003" s="22">
        <f t="shared" si="2"/>
        <v>0</v>
      </c>
    </row>
    <row r="2004">
      <c r="B2004">
        <f>[1]资金台帐!B2004&amp;""</f>
      </c>
      <c r="H2004">
        <f>[1]资金台帐!H2004&amp;""</f>
      </c>
      <c r="J2004">
        <f>[1]资金台帐!J2004&amp;""</f>
      </c>
      <c r="N2004">
        <f>[1]资金台帐!N2004</f>
      </c>
      <c r="O2004">
        <f>[1]资金台帐!O2004&amp;""</f>
      </c>
      <c r="P2004">
        <f>[1]资金台帐!P2004&amp;""</f>
      </c>
      <c r="Q2004">
        <f>[1]资金台帐!Q2004&amp;""</f>
      </c>
      <c r="T2004">
        <f>[1]资金台帐!T2004&amp;""</f>
      </c>
      <c r="U2004">
        <f>[1]资金台帐!U2004&amp;""</f>
      </c>
      <c r="W2004">
        <f>[1]资金台帐!W2004&amp;""</f>
      </c>
      <c r="X2004">
        <f>[1]资金台帐!X2004&amp;""</f>
      </c>
      <c r="AB2004">
        <f>[1]资金台帐!AB2004</f>
        <v>0</v>
      </c>
      <c r="AC2004">
        <f>[1]资金台帐!AC2004</f>
        <v>0</v>
      </c>
      <c r="AD2004">
        <f>[1]资金台帐!AD2004</f>
        <v>0</v>
      </c>
      <c r="AJ2004">
        <f>[1]资金台帐!AJ2004</f>
        <v>0</v>
      </c>
      <c r="AK2004">
        <f>[1]资金台帐!AK2004</f>
        <v>0</v>
      </c>
      <c r="BA2004" s="22">
        <f t="shared" si="0"/>
      </c>
      <c r="BG2004" s="22">
        <f t="shared" si="1"/>
      </c>
      <c r="BH2004" s="22">
        <f t="shared" si="2"/>
        <v>0</v>
      </c>
    </row>
    <row r="2005">
      <c r="B2005">
        <f>[1]资金台帐!B2005&amp;""</f>
      </c>
      <c r="H2005">
        <f>[1]资金台帐!H2005&amp;""</f>
      </c>
      <c r="J2005">
        <f>[1]资金台帐!J2005&amp;""</f>
      </c>
      <c r="N2005">
        <f>[1]资金台帐!N2005</f>
      </c>
      <c r="O2005">
        <f>[1]资金台帐!O2005&amp;""</f>
      </c>
      <c r="P2005">
        <f>[1]资金台帐!P2005&amp;""</f>
      </c>
      <c r="Q2005">
        <f>[1]资金台帐!Q2005&amp;""</f>
      </c>
      <c r="T2005">
        <f>[1]资金台帐!T2005&amp;""</f>
      </c>
      <c r="U2005">
        <f>[1]资金台帐!U2005&amp;""</f>
      </c>
      <c r="W2005">
        <f>[1]资金台帐!W2005&amp;""</f>
      </c>
      <c r="X2005">
        <f>[1]资金台帐!X2005&amp;""</f>
      </c>
      <c r="AB2005">
        <f>[1]资金台帐!AB2005</f>
        <v>0</v>
      </c>
      <c r="AC2005">
        <f>[1]资金台帐!AC2005</f>
        <v>0</v>
      </c>
      <c r="AD2005">
        <f>[1]资金台帐!AD2005</f>
        <v>0</v>
      </c>
      <c r="AJ2005">
        <f>[1]资金台帐!AJ2005</f>
        <v>0</v>
      </c>
      <c r="AK2005">
        <f>[1]资金台帐!AK2005</f>
        <v>0</v>
      </c>
      <c r="BA2005" s="22">
        <f t="shared" si="0"/>
      </c>
      <c r="BG2005" s="22">
        <f t="shared" si="1"/>
      </c>
      <c r="BH2005" s="22">
        <f t="shared" si="2"/>
        <v>0</v>
      </c>
    </row>
    <row r="2006">
      <c r="B2006">
        <f>[1]资金台帐!B2006&amp;""</f>
      </c>
      <c r="H2006">
        <f>[1]资金台帐!H2006&amp;""</f>
      </c>
      <c r="J2006">
        <f>[1]资金台帐!J2006&amp;""</f>
      </c>
      <c r="N2006">
        <f>[1]资金台帐!N2006</f>
      </c>
      <c r="O2006">
        <f>[1]资金台帐!O2006&amp;""</f>
      </c>
      <c r="P2006">
        <f>[1]资金台帐!P2006&amp;""</f>
      </c>
      <c r="Q2006">
        <f>[1]资金台帐!Q2006&amp;""</f>
      </c>
      <c r="T2006">
        <f>[1]资金台帐!T2006&amp;""</f>
      </c>
      <c r="U2006">
        <f>[1]资金台帐!U2006&amp;""</f>
      </c>
      <c r="W2006">
        <f>[1]资金台帐!W2006&amp;""</f>
      </c>
      <c r="X2006">
        <f>[1]资金台帐!X2006&amp;""</f>
      </c>
      <c r="AB2006">
        <f>[1]资金台帐!AB2006</f>
        <v>0</v>
      </c>
      <c r="AC2006">
        <f>[1]资金台帐!AC2006</f>
        <v>0</v>
      </c>
      <c r="AD2006">
        <f>[1]资金台帐!AD2006</f>
        <v>0</v>
      </c>
      <c r="AJ2006">
        <f>[1]资金台帐!AJ2006</f>
        <v>0</v>
      </c>
      <c r="AK2006">
        <f>[1]资金台帐!AK2006</f>
        <v>0</v>
      </c>
      <c r="BA2006" s="22">
        <f t="shared" si="0"/>
      </c>
      <c r="BG2006" s="22">
        <f t="shared" si="1"/>
      </c>
      <c r="BH2006" s="22">
        <f t="shared" si="2"/>
        <v>0</v>
      </c>
    </row>
    <row r="2007">
      <c r="B2007">
        <f>[1]资金台帐!B2007&amp;""</f>
      </c>
      <c r="H2007">
        <f>[1]资金台帐!H2007&amp;""</f>
      </c>
      <c r="J2007">
        <f>[1]资金台帐!J2007&amp;""</f>
      </c>
      <c r="N2007">
        <f>[1]资金台帐!N2007</f>
      </c>
      <c r="O2007">
        <f>[1]资金台帐!O2007&amp;""</f>
      </c>
      <c r="P2007">
        <f>[1]资金台帐!P2007&amp;""</f>
      </c>
      <c r="Q2007">
        <f>[1]资金台帐!Q2007&amp;""</f>
      </c>
      <c r="T2007">
        <f>[1]资金台帐!T2007&amp;""</f>
      </c>
      <c r="U2007">
        <f>[1]资金台帐!U2007&amp;""</f>
      </c>
      <c r="W2007">
        <f>[1]资金台帐!W2007&amp;""</f>
      </c>
      <c r="X2007">
        <f>[1]资金台帐!X2007&amp;""</f>
      </c>
      <c r="AB2007">
        <f>[1]资金台帐!AB2007</f>
        <v>0</v>
      </c>
      <c r="AC2007">
        <f>[1]资金台帐!AC2007</f>
        <v>0</v>
      </c>
      <c r="AD2007">
        <f>[1]资金台帐!AD2007</f>
        <v>0</v>
      </c>
      <c r="AJ2007">
        <f>[1]资金台帐!AJ2007</f>
        <v>0</v>
      </c>
      <c r="AK2007">
        <f>[1]资金台帐!AK2007</f>
        <v>0</v>
      </c>
      <c r="BA2007" s="22">
        <f t="shared" si="0"/>
      </c>
      <c r="BG2007" s="22">
        <f t="shared" si="1"/>
      </c>
      <c r="BH2007" s="22">
        <f t="shared" si="2"/>
        <v>0</v>
      </c>
    </row>
    <row r="2008">
      <c r="B2008">
        <f>[1]资金台帐!B2008&amp;""</f>
      </c>
      <c r="H2008">
        <f>[1]资金台帐!H2008&amp;""</f>
      </c>
      <c r="J2008">
        <f>[1]资金台帐!J2008&amp;""</f>
      </c>
      <c r="N2008">
        <f>[1]资金台帐!N2008</f>
      </c>
      <c r="O2008">
        <f>[1]资金台帐!O2008&amp;""</f>
      </c>
      <c r="P2008">
        <f>[1]资金台帐!P2008&amp;""</f>
      </c>
      <c r="Q2008">
        <f>[1]资金台帐!Q2008&amp;""</f>
      </c>
      <c r="T2008">
        <f>[1]资金台帐!T2008&amp;""</f>
      </c>
      <c r="U2008">
        <f>[1]资金台帐!U2008&amp;""</f>
      </c>
      <c r="W2008">
        <f>[1]资金台帐!W2008&amp;""</f>
      </c>
      <c r="X2008">
        <f>[1]资金台帐!X2008&amp;""</f>
      </c>
      <c r="AB2008">
        <f>[1]资金台帐!AB2008</f>
        <v>0</v>
      </c>
      <c r="AC2008">
        <f>[1]资金台帐!AC2008</f>
        <v>0</v>
      </c>
      <c r="AD2008">
        <f>[1]资金台帐!AD2008</f>
        <v>0</v>
      </c>
      <c r="AJ2008">
        <f>[1]资金台帐!AJ2008</f>
        <v>0</v>
      </c>
      <c r="AK2008">
        <f>[1]资金台帐!AK2008</f>
        <v>0</v>
      </c>
      <c r="BA2008" s="22">
        <f t="shared" si="0"/>
      </c>
      <c r="BG2008" s="22">
        <f t="shared" si="1"/>
      </c>
      <c r="BH2008" s="22">
        <f t="shared" si="2"/>
        <v>0</v>
      </c>
    </row>
    <row r="2009">
      <c r="B2009">
        <f>[1]资金台帐!B2009&amp;""</f>
      </c>
      <c r="H2009">
        <f>[1]资金台帐!H2009&amp;""</f>
      </c>
      <c r="J2009">
        <f>[1]资金台帐!J2009&amp;""</f>
      </c>
      <c r="N2009">
        <f>[1]资金台帐!N2009</f>
      </c>
      <c r="O2009">
        <f>[1]资金台帐!O2009&amp;""</f>
      </c>
      <c r="P2009">
        <f>[1]资金台帐!P2009&amp;""</f>
      </c>
      <c r="Q2009">
        <f>[1]资金台帐!Q2009&amp;""</f>
      </c>
      <c r="T2009">
        <f>[1]资金台帐!T2009&amp;""</f>
      </c>
      <c r="U2009">
        <f>[1]资金台帐!U2009&amp;""</f>
      </c>
      <c r="W2009">
        <f>[1]资金台帐!W2009&amp;""</f>
      </c>
      <c r="X2009">
        <f>[1]资金台帐!X2009&amp;""</f>
      </c>
      <c r="AB2009">
        <f>[1]资金台帐!AB2009</f>
        <v>0</v>
      </c>
      <c r="AC2009">
        <f>[1]资金台帐!AC2009</f>
        <v>0</v>
      </c>
      <c r="AD2009">
        <f>[1]资金台帐!AD2009</f>
        <v>0</v>
      </c>
      <c r="AJ2009">
        <f>[1]资金台帐!AJ2009</f>
        <v>0</v>
      </c>
      <c r="AK2009">
        <f>[1]资金台帐!AK2009</f>
        <v>0</v>
      </c>
      <c r="BA2009" s="22">
        <f t="shared" si="0"/>
      </c>
      <c r="BG2009" s="22">
        <f t="shared" si="1"/>
      </c>
      <c r="BH2009" s="22">
        <f t="shared" si="2"/>
        <v>0</v>
      </c>
    </row>
    <row r="2010">
      <c r="B2010">
        <f>[1]资金台帐!B2010&amp;""</f>
      </c>
      <c r="H2010">
        <f>[1]资金台帐!H2010&amp;""</f>
      </c>
      <c r="J2010">
        <f>[1]资金台帐!J2010&amp;""</f>
      </c>
      <c r="N2010">
        <f>[1]资金台帐!N2010</f>
      </c>
      <c r="O2010">
        <f>[1]资金台帐!O2010&amp;""</f>
      </c>
      <c r="P2010">
        <f>[1]资金台帐!P2010&amp;""</f>
      </c>
      <c r="Q2010">
        <f>[1]资金台帐!Q2010&amp;""</f>
      </c>
      <c r="T2010">
        <f>[1]资金台帐!T2010&amp;""</f>
      </c>
      <c r="U2010">
        <f>[1]资金台帐!U2010&amp;""</f>
      </c>
      <c r="W2010">
        <f>[1]资金台帐!W2010&amp;""</f>
      </c>
      <c r="X2010">
        <f>[1]资金台帐!X2010&amp;""</f>
      </c>
      <c r="AB2010">
        <f>[1]资金台帐!AB2010</f>
        <v>0</v>
      </c>
      <c r="AC2010">
        <f>[1]资金台帐!AC2010</f>
        <v>0</v>
      </c>
      <c r="AD2010">
        <f>[1]资金台帐!AD2010</f>
        <v>0</v>
      </c>
      <c r="AJ2010">
        <f>[1]资金台帐!AJ2010</f>
        <v>0</v>
      </c>
      <c r="AK2010">
        <f>[1]资金台帐!AK2010</f>
        <v>0</v>
      </c>
      <c r="BA2010" s="22">
        <f t="shared" si="0"/>
      </c>
      <c r="BG2010" s="22">
        <f t="shared" si="1"/>
      </c>
      <c r="BH2010" s="22">
        <f t="shared" si="2"/>
        <v>0</v>
      </c>
    </row>
    <row r="2011">
      <c r="B2011">
        <f>[1]资金台帐!B2011&amp;""</f>
      </c>
      <c r="H2011">
        <f>[1]资金台帐!H2011&amp;""</f>
      </c>
      <c r="J2011">
        <f>[1]资金台帐!J2011&amp;""</f>
      </c>
      <c r="N2011">
        <f>[1]资金台帐!N2011</f>
      </c>
      <c r="O2011">
        <f>[1]资金台帐!O2011&amp;""</f>
      </c>
      <c r="P2011">
        <f>[1]资金台帐!P2011&amp;""</f>
      </c>
      <c r="Q2011">
        <f>[1]资金台帐!Q2011&amp;""</f>
      </c>
      <c r="T2011">
        <f>[1]资金台帐!T2011&amp;""</f>
      </c>
      <c r="U2011">
        <f>[1]资金台帐!U2011&amp;""</f>
      </c>
      <c r="W2011">
        <f>[1]资金台帐!W2011&amp;""</f>
      </c>
      <c r="X2011">
        <f>[1]资金台帐!X2011&amp;""</f>
      </c>
      <c r="AB2011">
        <f>[1]资金台帐!AB2011</f>
        <v>0</v>
      </c>
      <c r="AC2011">
        <f>[1]资金台帐!AC2011</f>
        <v>0</v>
      </c>
      <c r="AD2011">
        <f>[1]资金台帐!AD2011</f>
        <v>0</v>
      </c>
      <c r="AJ2011">
        <f>[1]资金台帐!AJ2011</f>
        <v>0</v>
      </c>
      <c r="AK2011">
        <f>[1]资金台帐!AK2011</f>
        <v>0</v>
      </c>
      <c r="BA2011" s="22">
        <f t="shared" si="0"/>
      </c>
      <c r="BG2011" s="22">
        <f t="shared" si="1"/>
      </c>
      <c r="BH2011" s="22">
        <f t="shared" si="2"/>
        <v>0</v>
      </c>
    </row>
    <row r="2012">
      <c r="B2012">
        <f>[1]资金台帐!B2012&amp;""</f>
      </c>
      <c r="H2012">
        <f>[1]资金台帐!H2012&amp;""</f>
      </c>
      <c r="J2012">
        <f>[1]资金台帐!J2012&amp;""</f>
      </c>
      <c r="N2012">
        <f>[1]资金台帐!N2012</f>
      </c>
      <c r="O2012">
        <f>[1]资金台帐!O2012&amp;""</f>
      </c>
      <c r="P2012">
        <f>[1]资金台帐!P2012&amp;""</f>
      </c>
      <c r="Q2012">
        <f>[1]资金台帐!Q2012&amp;""</f>
      </c>
      <c r="T2012">
        <f>[1]资金台帐!T2012&amp;""</f>
      </c>
      <c r="U2012">
        <f>[1]资金台帐!U2012&amp;""</f>
      </c>
      <c r="W2012">
        <f>[1]资金台帐!W2012&amp;""</f>
      </c>
      <c r="X2012">
        <f>[1]资金台帐!X2012&amp;""</f>
      </c>
      <c r="AB2012">
        <f>[1]资金台帐!AB2012</f>
        <v>0</v>
      </c>
      <c r="AC2012">
        <f>[1]资金台帐!AC2012</f>
        <v>0</v>
      </c>
      <c r="AD2012">
        <f>[1]资金台帐!AD2012</f>
        <v>0</v>
      </c>
      <c r="AJ2012">
        <f>[1]资金台帐!AJ2012</f>
        <v>0</v>
      </c>
      <c r="AK2012">
        <f>[1]资金台帐!AK2012</f>
        <v>0</v>
      </c>
      <c r="BA2012" s="22">
        <f t="shared" si="0"/>
      </c>
      <c r="BG2012" s="22">
        <f t="shared" si="1"/>
      </c>
      <c r="BH2012" s="22">
        <f t="shared" si="2"/>
        <v>0</v>
      </c>
    </row>
    <row r="2013">
      <c r="B2013">
        <f>[1]资金台帐!B2013&amp;""</f>
      </c>
      <c r="H2013">
        <f>[1]资金台帐!H2013&amp;""</f>
      </c>
      <c r="J2013">
        <f>[1]资金台帐!J2013&amp;""</f>
      </c>
      <c r="N2013">
        <f>[1]资金台帐!N2013</f>
      </c>
      <c r="O2013">
        <f>[1]资金台帐!O2013&amp;""</f>
      </c>
      <c r="P2013">
        <f>[1]资金台帐!P2013&amp;""</f>
      </c>
      <c r="Q2013">
        <f>[1]资金台帐!Q2013&amp;""</f>
      </c>
      <c r="T2013">
        <f>[1]资金台帐!T2013&amp;""</f>
      </c>
      <c r="U2013">
        <f>[1]资金台帐!U2013&amp;""</f>
      </c>
      <c r="W2013">
        <f>[1]资金台帐!W2013&amp;""</f>
      </c>
      <c r="X2013">
        <f>[1]资金台帐!X2013&amp;""</f>
      </c>
      <c r="AB2013">
        <f>[1]资金台帐!AB2013</f>
        <v>0</v>
      </c>
      <c r="AC2013">
        <f>[1]资金台帐!AC2013</f>
        <v>0</v>
      </c>
      <c r="AD2013">
        <f>[1]资金台帐!AD2013</f>
        <v>0</v>
      </c>
      <c r="AJ2013">
        <f>[1]资金台帐!AJ2013</f>
        <v>0</v>
      </c>
      <c r="AK2013">
        <f>[1]资金台帐!AK2013</f>
        <v>0</v>
      </c>
      <c r="BA2013" s="22">
        <f t="shared" si="0"/>
      </c>
      <c r="BG2013" s="22">
        <f t="shared" si="1"/>
      </c>
      <c r="BH2013" s="22">
        <f t="shared" si="2"/>
        <v>0</v>
      </c>
    </row>
    <row r="2014">
      <c r="B2014">
        <f>[1]资金台帐!B2014&amp;""</f>
      </c>
      <c r="H2014">
        <f>[1]资金台帐!H2014&amp;""</f>
      </c>
      <c r="J2014">
        <f>[1]资金台帐!J2014&amp;""</f>
      </c>
      <c r="N2014">
        <f>[1]资金台帐!N2014</f>
      </c>
      <c r="O2014">
        <f>[1]资金台帐!O2014&amp;""</f>
      </c>
      <c r="P2014">
        <f>[1]资金台帐!P2014&amp;""</f>
      </c>
      <c r="Q2014">
        <f>[1]资金台帐!Q2014&amp;""</f>
      </c>
      <c r="T2014">
        <f>[1]资金台帐!T2014&amp;""</f>
      </c>
      <c r="U2014">
        <f>[1]资金台帐!U2014&amp;""</f>
      </c>
      <c r="W2014">
        <f>[1]资金台帐!W2014&amp;""</f>
      </c>
      <c r="X2014">
        <f>[1]资金台帐!X2014&amp;""</f>
      </c>
      <c r="AB2014">
        <f>[1]资金台帐!AB2014</f>
        <v>0</v>
      </c>
      <c r="AC2014">
        <f>[1]资金台帐!AC2014</f>
        <v>0</v>
      </c>
      <c r="AD2014">
        <f>[1]资金台帐!AD2014</f>
        <v>0</v>
      </c>
      <c r="AJ2014">
        <f>[1]资金台帐!AJ2014</f>
        <v>0</v>
      </c>
      <c r="AK2014">
        <f>[1]资金台帐!AK2014</f>
        <v>0</v>
      </c>
      <c r="BA2014" s="22">
        <f t="shared" si="0"/>
      </c>
      <c r="BG2014" s="22">
        <f t="shared" si="1"/>
      </c>
      <c r="BH2014" s="22">
        <f t="shared" si="2"/>
        <v>0</v>
      </c>
    </row>
    <row r="2015">
      <c r="B2015">
        <f>[1]资金台帐!B2015&amp;""</f>
      </c>
      <c r="H2015">
        <f>[1]资金台帐!H2015&amp;""</f>
      </c>
      <c r="J2015">
        <f>[1]资金台帐!J2015&amp;""</f>
      </c>
      <c r="N2015">
        <f>[1]资金台帐!N2015</f>
      </c>
      <c r="O2015">
        <f>[1]资金台帐!O2015&amp;""</f>
      </c>
      <c r="P2015">
        <f>[1]资金台帐!P2015&amp;""</f>
      </c>
      <c r="Q2015">
        <f>[1]资金台帐!Q2015&amp;""</f>
      </c>
      <c r="T2015">
        <f>[1]资金台帐!T2015&amp;""</f>
      </c>
      <c r="U2015">
        <f>[1]资金台帐!U2015&amp;""</f>
      </c>
      <c r="W2015">
        <f>[1]资金台帐!W2015&amp;""</f>
      </c>
      <c r="X2015">
        <f>[1]资金台帐!X2015&amp;""</f>
      </c>
      <c r="AB2015">
        <f>[1]资金台帐!AB2015</f>
        <v>0</v>
      </c>
      <c r="AC2015">
        <f>[1]资金台帐!AC2015</f>
        <v>0</v>
      </c>
      <c r="AD2015">
        <f>[1]资金台帐!AD2015</f>
        <v>0</v>
      </c>
      <c r="AJ2015">
        <f>[1]资金台帐!AJ2015</f>
        <v>0</v>
      </c>
      <c r="AK2015">
        <f>[1]资金台帐!AK2015</f>
        <v>0</v>
      </c>
      <c r="BA2015" s="22">
        <f t="shared" si="0"/>
      </c>
      <c r="BG2015" s="22">
        <f t="shared" si="1"/>
      </c>
      <c r="BH2015" s="22">
        <f t="shared" si="2"/>
        <v>0</v>
      </c>
    </row>
    <row r="2016">
      <c r="B2016">
        <f>[1]资金台帐!B2016&amp;""</f>
      </c>
      <c r="H2016">
        <f>[1]资金台帐!H2016&amp;""</f>
      </c>
      <c r="J2016">
        <f>[1]资金台帐!J2016&amp;""</f>
      </c>
      <c r="N2016">
        <f>[1]资金台帐!N2016</f>
      </c>
      <c r="O2016">
        <f>[1]资金台帐!O2016&amp;""</f>
      </c>
      <c r="P2016">
        <f>[1]资金台帐!P2016&amp;""</f>
      </c>
      <c r="Q2016">
        <f>[1]资金台帐!Q2016&amp;""</f>
      </c>
      <c r="T2016">
        <f>[1]资金台帐!T2016&amp;""</f>
      </c>
      <c r="U2016">
        <f>[1]资金台帐!U2016&amp;""</f>
      </c>
      <c r="W2016">
        <f>[1]资金台帐!W2016&amp;""</f>
      </c>
      <c r="X2016">
        <f>[1]资金台帐!X2016&amp;""</f>
      </c>
      <c r="AB2016">
        <f>[1]资金台帐!AB2016</f>
        <v>0</v>
      </c>
      <c r="AC2016">
        <f>[1]资金台帐!AC2016</f>
        <v>0</v>
      </c>
      <c r="AD2016">
        <f>[1]资金台帐!AD2016</f>
        <v>0</v>
      </c>
      <c r="AJ2016">
        <f>[1]资金台帐!AJ2016</f>
        <v>0</v>
      </c>
      <c r="AK2016">
        <f>[1]资金台帐!AK2016</f>
        <v>0</v>
      </c>
      <c r="BA2016" s="22">
        <f t="shared" si="0"/>
      </c>
      <c r="BG2016" s="22">
        <f t="shared" si="1"/>
      </c>
      <c r="BH2016" s="22">
        <f t="shared" si="2"/>
        <v>0</v>
      </c>
    </row>
    <row r="2017">
      <c r="B2017">
        <f>[1]资金台帐!B2017&amp;""</f>
      </c>
      <c r="H2017">
        <f>[1]资金台帐!H2017&amp;""</f>
      </c>
      <c r="J2017">
        <f>[1]资金台帐!J2017&amp;""</f>
      </c>
      <c r="N2017">
        <f>[1]资金台帐!N2017</f>
      </c>
      <c r="O2017">
        <f>[1]资金台帐!O2017&amp;""</f>
      </c>
      <c r="P2017">
        <f>[1]资金台帐!P2017&amp;""</f>
      </c>
      <c r="Q2017">
        <f>[1]资金台帐!Q2017&amp;""</f>
      </c>
      <c r="T2017">
        <f>[1]资金台帐!T2017&amp;""</f>
      </c>
      <c r="U2017">
        <f>[1]资金台帐!U2017&amp;""</f>
      </c>
      <c r="W2017">
        <f>[1]资金台帐!W2017&amp;""</f>
      </c>
      <c r="X2017">
        <f>[1]资金台帐!X2017&amp;""</f>
      </c>
      <c r="AB2017">
        <f>[1]资金台帐!AB2017</f>
        <v>0</v>
      </c>
      <c r="AC2017">
        <f>[1]资金台帐!AC2017</f>
        <v>0</v>
      </c>
      <c r="AD2017">
        <f>[1]资金台帐!AD2017</f>
        <v>0</v>
      </c>
      <c r="AJ2017">
        <f>[1]资金台帐!AJ2017</f>
        <v>0</v>
      </c>
      <c r="AK2017">
        <f>[1]资金台帐!AK2017</f>
        <v>0</v>
      </c>
      <c r="BA2017" s="22">
        <f t="shared" si="0"/>
      </c>
      <c r="BG2017" s="22">
        <f t="shared" si="1"/>
      </c>
      <c r="BH2017" s="22">
        <f t="shared" si="2"/>
        <v>0</v>
      </c>
    </row>
    <row r="2018">
      <c r="B2018">
        <f>[1]资金台帐!B2018&amp;""</f>
      </c>
      <c r="H2018">
        <f>[1]资金台帐!H2018&amp;""</f>
      </c>
      <c r="J2018">
        <f>[1]资金台帐!J2018&amp;""</f>
      </c>
      <c r="N2018">
        <f>[1]资金台帐!N2018</f>
      </c>
      <c r="O2018">
        <f>[1]资金台帐!O2018&amp;""</f>
      </c>
      <c r="P2018">
        <f>[1]资金台帐!P2018&amp;""</f>
      </c>
      <c r="Q2018">
        <f>[1]资金台帐!Q2018&amp;""</f>
      </c>
      <c r="T2018">
        <f>[1]资金台帐!T2018&amp;""</f>
      </c>
      <c r="U2018">
        <f>[1]资金台帐!U2018&amp;""</f>
      </c>
      <c r="W2018">
        <f>[1]资金台帐!W2018&amp;""</f>
      </c>
      <c r="X2018">
        <f>[1]资金台帐!X2018&amp;""</f>
      </c>
      <c r="AB2018">
        <f>[1]资金台帐!AB2018</f>
        <v>0</v>
      </c>
      <c r="AC2018">
        <f>[1]资金台帐!AC2018</f>
        <v>0</v>
      </c>
      <c r="AD2018">
        <f>[1]资金台帐!AD2018</f>
        <v>0</v>
      </c>
      <c r="AJ2018">
        <f>[1]资金台帐!AJ2018</f>
        <v>0</v>
      </c>
      <c r="AK2018">
        <f>[1]资金台帐!AK2018</f>
        <v>0</v>
      </c>
      <c r="BA2018" s="22">
        <f t="shared" si="0"/>
      </c>
      <c r="BG2018" s="22">
        <f t="shared" si="1"/>
      </c>
      <c r="BH2018" s="22">
        <f t="shared" si="2"/>
        <v>0</v>
      </c>
    </row>
    <row r="2019">
      <c r="B2019">
        <f>[1]资金台帐!B2019&amp;""</f>
      </c>
      <c r="H2019">
        <f>[1]资金台帐!H2019&amp;""</f>
      </c>
      <c r="J2019">
        <f>[1]资金台帐!J2019&amp;""</f>
      </c>
      <c r="N2019">
        <f>[1]资金台帐!N2019</f>
      </c>
      <c r="O2019">
        <f>[1]资金台帐!O2019&amp;""</f>
      </c>
      <c r="P2019">
        <f>[1]资金台帐!P2019&amp;""</f>
      </c>
      <c r="Q2019">
        <f>[1]资金台帐!Q2019&amp;""</f>
      </c>
      <c r="T2019">
        <f>[1]资金台帐!T2019&amp;""</f>
      </c>
      <c r="U2019">
        <f>[1]资金台帐!U2019&amp;""</f>
      </c>
      <c r="W2019">
        <f>[1]资金台帐!W2019&amp;""</f>
      </c>
      <c r="X2019">
        <f>[1]资金台帐!X2019&amp;""</f>
      </c>
      <c r="AB2019">
        <f>[1]资金台帐!AB2019</f>
        <v>0</v>
      </c>
      <c r="AC2019">
        <f>[1]资金台帐!AC2019</f>
        <v>0</v>
      </c>
      <c r="AD2019">
        <f>[1]资金台帐!AD2019</f>
        <v>0</v>
      </c>
      <c r="AJ2019">
        <f>[1]资金台帐!AJ2019</f>
        <v>0</v>
      </c>
      <c r="AK2019">
        <f>[1]资金台帐!AK2019</f>
        <v>0</v>
      </c>
      <c r="BA2019" s="22">
        <f t="shared" si="0"/>
      </c>
      <c r="BG2019" s="22">
        <f t="shared" si="1"/>
      </c>
      <c r="BH2019" s="22">
        <f t="shared" si="2"/>
        <v>0</v>
      </c>
    </row>
    <row r="2020">
      <c r="B2020">
        <f>[1]资金台帐!B2020&amp;""</f>
      </c>
      <c r="H2020">
        <f>[1]资金台帐!H2020&amp;""</f>
      </c>
      <c r="J2020">
        <f>[1]资金台帐!J2020&amp;""</f>
      </c>
      <c r="N2020">
        <f>[1]资金台帐!N2020</f>
      </c>
      <c r="O2020">
        <f>[1]资金台帐!O2020&amp;""</f>
      </c>
      <c r="P2020">
        <f>[1]资金台帐!P2020&amp;""</f>
      </c>
      <c r="Q2020">
        <f>[1]资金台帐!Q2020&amp;""</f>
      </c>
      <c r="T2020">
        <f>[1]资金台帐!T2020&amp;""</f>
      </c>
      <c r="U2020">
        <f>[1]资金台帐!U2020&amp;""</f>
      </c>
      <c r="W2020">
        <f>[1]资金台帐!W2020&amp;""</f>
      </c>
      <c r="X2020">
        <f>[1]资金台帐!X2020&amp;""</f>
      </c>
      <c r="AB2020">
        <f>[1]资金台帐!AB2020</f>
        <v>0</v>
      </c>
      <c r="AC2020">
        <f>[1]资金台帐!AC2020</f>
        <v>0</v>
      </c>
      <c r="AD2020">
        <f>[1]资金台帐!AD2020</f>
        <v>0</v>
      </c>
      <c r="AJ2020">
        <f>[1]资金台帐!AJ2020</f>
        <v>0</v>
      </c>
      <c r="AK2020">
        <f>[1]资金台帐!AK2020</f>
        <v>0</v>
      </c>
      <c r="BA2020" s="22">
        <f t="shared" si="0"/>
      </c>
      <c r="BG2020" s="22">
        <f t="shared" si="1"/>
      </c>
      <c r="BH2020" s="22">
        <f t="shared" si="2"/>
        <v>0</v>
      </c>
    </row>
    <row r="2021">
      <c r="B2021">
        <f>[1]资金台帐!B2021&amp;""</f>
      </c>
      <c r="H2021">
        <f>[1]资金台帐!H2021&amp;""</f>
      </c>
      <c r="J2021">
        <f>[1]资金台帐!J2021&amp;""</f>
      </c>
      <c r="N2021">
        <f>[1]资金台帐!N2021</f>
      </c>
      <c r="O2021">
        <f>[1]资金台帐!O2021&amp;""</f>
      </c>
      <c r="P2021">
        <f>[1]资金台帐!P2021&amp;""</f>
      </c>
      <c r="Q2021">
        <f>[1]资金台帐!Q2021&amp;""</f>
      </c>
      <c r="T2021">
        <f>[1]资金台帐!T2021&amp;""</f>
      </c>
      <c r="U2021">
        <f>[1]资金台帐!U2021&amp;""</f>
      </c>
      <c r="W2021">
        <f>[1]资金台帐!W2021&amp;""</f>
      </c>
      <c r="X2021">
        <f>[1]资金台帐!X2021&amp;""</f>
      </c>
      <c r="AB2021">
        <f>[1]资金台帐!AB2021</f>
        <v>0</v>
      </c>
      <c r="AC2021">
        <f>[1]资金台帐!AC2021</f>
        <v>0</v>
      </c>
      <c r="AD2021">
        <f>[1]资金台帐!AD2021</f>
        <v>0</v>
      </c>
      <c r="AJ2021">
        <f>[1]资金台帐!AJ2021</f>
        <v>0</v>
      </c>
      <c r="AK2021">
        <f>[1]资金台帐!AK2021</f>
        <v>0</v>
      </c>
      <c r="BA2021" s="22">
        <f t="shared" si="0"/>
      </c>
      <c r="BG2021" s="22">
        <f t="shared" si="1"/>
      </c>
      <c r="BH2021" s="22">
        <f t="shared" si="2"/>
        <v>0</v>
      </c>
    </row>
    <row r="2022">
      <c r="B2022">
        <f>[1]资金台帐!B2022&amp;""</f>
      </c>
      <c r="H2022">
        <f>[1]资金台帐!H2022&amp;""</f>
      </c>
      <c r="J2022">
        <f>[1]资金台帐!J2022&amp;""</f>
      </c>
      <c r="N2022">
        <f>[1]资金台帐!N2022</f>
      </c>
      <c r="O2022">
        <f>[1]资金台帐!O2022&amp;""</f>
      </c>
      <c r="P2022">
        <f>[1]资金台帐!P2022&amp;""</f>
      </c>
      <c r="Q2022">
        <f>[1]资金台帐!Q2022&amp;""</f>
      </c>
      <c r="T2022">
        <f>[1]资金台帐!T2022&amp;""</f>
      </c>
      <c r="U2022">
        <f>[1]资金台帐!U2022&amp;""</f>
      </c>
      <c r="W2022">
        <f>[1]资金台帐!W2022&amp;""</f>
      </c>
      <c r="X2022">
        <f>[1]资金台帐!X2022&amp;""</f>
      </c>
      <c r="AB2022">
        <f>[1]资金台帐!AB2022</f>
        <v>0</v>
      </c>
      <c r="AC2022">
        <f>[1]资金台帐!AC2022</f>
        <v>0</v>
      </c>
      <c r="AD2022">
        <f>[1]资金台帐!AD2022</f>
        <v>0</v>
      </c>
      <c r="AJ2022">
        <f>[1]资金台帐!AJ2022</f>
        <v>0</v>
      </c>
      <c r="AK2022">
        <f>[1]资金台帐!AK2022</f>
        <v>0</v>
      </c>
      <c r="BA2022" s="22">
        <f t="shared" si="0"/>
      </c>
      <c r="BG2022" s="22">
        <f t="shared" si="1"/>
      </c>
      <c r="BH2022" s="22">
        <f t="shared" si="2"/>
        <v>0</v>
      </c>
    </row>
    <row r="2023">
      <c r="B2023">
        <f>[1]资金台帐!B2023&amp;""</f>
      </c>
      <c r="H2023">
        <f>[1]资金台帐!H2023&amp;""</f>
      </c>
      <c r="J2023">
        <f>[1]资金台帐!J2023&amp;""</f>
      </c>
      <c r="N2023">
        <f>[1]资金台帐!N2023</f>
      </c>
      <c r="O2023">
        <f>[1]资金台帐!O2023&amp;""</f>
      </c>
      <c r="P2023">
        <f>[1]资金台帐!P2023&amp;""</f>
      </c>
      <c r="Q2023">
        <f>[1]资金台帐!Q2023&amp;""</f>
      </c>
      <c r="T2023">
        <f>[1]资金台帐!T2023&amp;""</f>
      </c>
      <c r="U2023">
        <f>[1]资金台帐!U2023&amp;""</f>
      </c>
      <c r="W2023">
        <f>[1]资金台帐!W2023&amp;""</f>
      </c>
      <c r="X2023">
        <f>[1]资金台帐!X2023&amp;""</f>
      </c>
      <c r="AB2023">
        <f>[1]资金台帐!AB2023</f>
        <v>0</v>
      </c>
      <c r="AC2023">
        <f>[1]资金台帐!AC2023</f>
        <v>0</v>
      </c>
      <c r="AD2023">
        <f>[1]资金台帐!AD2023</f>
        <v>0</v>
      </c>
      <c r="AJ2023">
        <f>[1]资金台帐!AJ2023</f>
        <v>0</v>
      </c>
      <c r="AK2023">
        <f>[1]资金台帐!AK2023</f>
        <v>0</v>
      </c>
      <c r="BA2023" s="22">
        <f t="shared" si="0"/>
      </c>
      <c r="BG2023" s="22">
        <f t="shared" si="1"/>
      </c>
      <c r="BH2023" s="22">
        <f t="shared" si="2"/>
        <v>0</v>
      </c>
    </row>
    <row r="2024">
      <c r="B2024">
        <f>[1]资金台帐!B2024&amp;""</f>
      </c>
      <c r="H2024">
        <f>[1]资金台帐!H2024&amp;""</f>
      </c>
      <c r="J2024">
        <f>[1]资金台帐!J2024&amp;""</f>
      </c>
      <c r="N2024">
        <f>[1]资金台帐!N2024</f>
      </c>
      <c r="O2024">
        <f>[1]资金台帐!O2024&amp;""</f>
      </c>
      <c r="P2024">
        <f>[1]资金台帐!P2024&amp;""</f>
      </c>
      <c r="Q2024">
        <f>[1]资金台帐!Q2024&amp;""</f>
      </c>
      <c r="T2024">
        <f>[1]资金台帐!T2024&amp;""</f>
      </c>
      <c r="U2024">
        <f>[1]资金台帐!U2024&amp;""</f>
      </c>
      <c r="W2024">
        <f>[1]资金台帐!W2024&amp;""</f>
      </c>
      <c r="X2024">
        <f>[1]资金台帐!X2024&amp;""</f>
      </c>
      <c r="AB2024">
        <f>[1]资金台帐!AB2024</f>
        <v>0</v>
      </c>
      <c r="AC2024">
        <f>[1]资金台帐!AC2024</f>
        <v>0</v>
      </c>
      <c r="AD2024">
        <f>[1]资金台帐!AD2024</f>
        <v>0</v>
      </c>
      <c r="AJ2024">
        <f>[1]资金台帐!AJ2024</f>
        <v>0</v>
      </c>
      <c r="AK2024">
        <f>[1]资金台帐!AK2024</f>
        <v>0</v>
      </c>
      <c r="BA2024" s="22">
        <f t="shared" si="0"/>
      </c>
      <c r="BG2024" s="22">
        <f t="shared" si="1"/>
      </c>
      <c r="BH2024" s="22">
        <f t="shared" si="2"/>
        <v>0</v>
      </c>
    </row>
    <row r="2025">
      <c r="B2025">
        <f>[1]资金台帐!B2025&amp;""</f>
      </c>
      <c r="H2025">
        <f>[1]资金台帐!H2025&amp;""</f>
      </c>
      <c r="J2025">
        <f>[1]资金台帐!J2025&amp;""</f>
      </c>
      <c r="N2025">
        <f>[1]资金台帐!N2025</f>
      </c>
      <c r="O2025">
        <f>[1]资金台帐!O2025&amp;""</f>
      </c>
      <c r="P2025">
        <f>[1]资金台帐!P2025&amp;""</f>
      </c>
      <c r="Q2025">
        <f>[1]资金台帐!Q2025&amp;""</f>
      </c>
      <c r="T2025">
        <f>[1]资金台帐!T2025&amp;""</f>
      </c>
      <c r="U2025">
        <f>[1]资金台帐!U2025&amp;""</f>
      </c>
      <c r="W2025">
        <f>[1]资金台帐!W2025&amp;""</f>
      </c>
      <c r="X2025">
        <f>[1]资金台帐!X2025&amp;""</f>
      </c>
      <c r="AB2025">
        <f>[1]资金台帐!AB2025</f>
        <v>0</v>
      </c>
      <c r="AC2025">
        <f>[1]资金台帐!AC2025</f>
        <v>0</v>
      </c>
      <c r="AD2025">
        <f>[1]资金台帐!AD2025</f>
        <v>0</v>
      </c>
      <c r="AJ2025">
        <f>[1]资金台帐!AJ2025</f>
        <v>0</v>
      </c>
      <c r="AK2025">
        <f>[1]资金台帐!AK2025</f>
        <v>0</v>
      </c>
      <c r="BA2025" s="22">
        <f t="shared" si="0"/>
      </c>
      <c r="BG2025" s="22">
        <f t="shared" si="1"/>
      </c>
      <c r="BH2025" s="22">
        <f t="shared" si="2"/>
        <v>0</v>
      </c>
    </row>
    <row r="2026">
      <c r="B2026">
        <f>[1]资金台帐!B2026&amp;""</f>
      </c>
      <c r="H2026">
        <f>[1]资金台帐!H2026&amp;""</f>
      </c>
      <c r="J2026">
        <f>[1]资金台帐!J2026&amp;""</f>
      </c>
      <c r="N2026">
        <f>[1]资金台帐!N2026</f>
      </c>
      <c r="O2026">
        <f>[1]资金台帐!O2026&amp;""</f>
      </c>
      <c r="P2026">
        <f>[1]资金台帐!P2026&amp;""</f>
      </c>
      <c r="Q2026">
        <f>[1]资金台帐!Q2026&amp;""</f>
      </c>
      <c r="T2026">
        <f>[1]资金台帐!T2026&amp;""</f>
      </c>
      <c r="U2026">
        <f>[1]资金台帐!U2026&amp;""</f>
      </c>
      <c r="W2026">
        <f>[1]资金台帐!W2026&amp;""</f>
      </c>
      <c r="X2026">
        <f>[1]资金台帐!X2026&amp;""</f>
      </c>
      <c r="AB2026">
        <f>[1]资金台帐!AB2026</f>
        <v>0</v>
      </c>
      <c r="AC2026">
        <f>[1]资金台帐!AC2026</f>
        <v>0</v>
      </c>
      <c r="AD2026">
        <f>[1]资金台帐!AD2026</f>
        <v>0</v>
      </c>
      <c r="AJ2026">
        <f>[1]资金台帐!AJ2026</f>
        <v>0</v>
      </c>
      <c r="AK2026">
        <f>[1]资金台帐!AK2026</f>
        <v>0</v>
      </c>
      <c r="BA2026" s="22">
        <f t="shared" si="0"/>
      </c>
      <c r="BG2026" s="22">
        <f t="shared" si="1"/>
      </c>
      <c r="BH2026" s="22">
        <f t="shared" si="2"/>
        <v>0</v>
      </c>
    </row>
    <row r="2027">
      <c r="B2027">
        <f>[1]资金台帐!B2027&amp;""</f>
      </c>
      <c r="H2027">
        <f>[1]资金台帐!H2027&amp;""</f>
      </c>
      <c r="J2027">
        <f>[1]资金台帐!J2027&amp;""</f>
      </c>
      <c r="N2027">
        <f>[1]资金台帐!N2027</f>
      </c>
      <c r="O2027">
        <f>[1]资金台帐!O2027&amp;""</f>
      </c>
      <c r="P2027">
        <f>[1]资金台帐!P2027&amp;""</f>
      </c>
      <c r="Q2027">
        <f>[1]资金台帐!Q2027&amp;""</f>
      </c>
      <c r="T2027">
        <f>[1]资金台帐!T2027&amp;""</f>
      </c>
      <c r="U2027">
        <f>[1]资金台帐!U2027&amp;""</f>
      </c>
      <c r="W2027">
        <f>[1]资金台帐!W2027&amp;""</f>
      </c>
      <c r="X2027">
        <f>[1]资金台帐!X2027&amp;""</f>
      </c>
      <c r="AB2027">
        <f>[1]资金台帐!AB2027</f>
        <v>0</v>
      </c>
      <c r="AC2027">
        <f>[1]资金台帐!AC2027</f>
        <v>0</v>
      </c>
      <c r="AD2027">
        <f>[1]资金台帐!AD2027</f>
        <v>0</v>
      </c>
      <c r="AJ2027">
        <f>[1]资金台帐!AJ2027</f>
        <v>0</v>
      </c>
      <c r="AK2027">
        <f>[1]资金台帐!AK2027</f>
        <v>0</v>
      </c>
      <c r="BA2027" s="22">
        <f t="shared" si="0"/>
      </c>
      <c r="BG2027" s="22">
        <f t="shared" si="1"/>
      </c>
      <c r="BH2027" s="22">
        <f t="shared" si="2"/>
        <v>0</v>
      </c>
    </row>
    <row r="2028">
      <c r="B2028">
        <f>[1]资金台帐!B2028&amp;""</f>
      </c>
      <c r="H2028">
        <f>[1]资金台帐!H2028&amp;""</f>
      </c>
      <c r="J2028">
        <f>[1]资金台帐!J2028&amp;""</f>
      </c>
      <c r="N2028">
        <f>[1]资金台帐!N2028</f>
      </c>
      <c r="O2028">
        <f>[1]资金台帐!O2028&amp;""</f>
      </c>
      <c r="P2028">
        <f>[1]资金台帐!P2028&amp;""</f>
      </c>
      <c r="Q2028">
        <f>[1]资金台帐!Q2028&amp;""</f>
      </c>
      <c r="T2028">
        <f>[1]资金台帐!T2028&amp;""</f>
      </c>
      <c r="U2028">
        <f>[1]资金台帐!U2028&amp;""</f>
      </c>
      <c r="W2028">
        <f>[1]资金台帐!W2028&amp;""</f>
      </c>
      <c r="X2028">
        <f>[1]资金台帐!X2028&amp;""</f>
      </c>
      <c r="AB2028">
        <f>[1]资金台帐!AB2028</f>
        <v>0</v>
      </c>
      <c r="AC2028">
        <f>[1]资金台帐!AC2028</f>
        <v>0</v>
      </c>
      <c r="AD2028">
        <f>[1]资金台帐!AD2028</f>
        <v>0</v>
      </c>
      <c r="AJ2028">
        <f>[1]资金台帐!AJ2028</f>
        <v>0</v>
      </c>
      <c r="AK2028">
        <f>[1]资金台帐!AK2028</f>
        <v>0</v>
      </c>
      <c r="BA2028" s="22">
        <f t="shared" si="0"/>
      </c>
      <c r="BG2028" s="22">
        <f t="shared" si="1"/>
      </c>
      <c r="BH2028" s="22">
        <f t="shared" si="2"/>
        <v>0</v>
      </c>
    </row>
    <row r="2029">
      <c r="B2029">
        <f>[1]资金台帐!B2029&amp;""</f>
      </c>
      <c r="H2029">
        <f>[1]资金台帐!H2029&amp;""</f>
      </c>
      <c r="J2029">
        <f>[1]资金台帐!J2029&amp;""</f>
      </c>
      <c r="N2029">
        <f>[1]资金台帐!N2029</f>
      </c>
      <c r="O2029">
        <f>[1]资金台帐!O2029&amp;""</f>
      </c>
      <c r="P2029">
        <f>[1]资金台帐!P2029&amp;""</f>
      </c>
      <c r="Q2029">
        <f>[1]资金台帐!Q2029&amp;""</f>
      </c>
      <c r="T2029">
        <f>[1]资金台帐!T2029&amp;""</f>
      </c>
      <c r="U2029">
        <f>[1]资金台帐!U2029&amp;""</f>
      </c>
      <c r="W2029">
        <f>[1]资金台帐!W2029&amp;""</f>
      </c>
      <c r="X2029">
        <f>[1]资金台帐!X2029&amp;""</f>
      </c>
      <c r="AB2029">
        <f>[1]资金台帐!AB2029</f>
        <v>0</v>
      </c>
      <c r="AC2029">
        <f>[1]资金台帐!AC2029</f>
        <v>0</v>
      </c>
      <c r="AD2029">
        <f>[1]资金台帐!AD2029</f>
        <v>0</v>
      </c>
      <c r="AJ2029">
        <f>[1]资金台帐!AJ2029</f>
        <v>0</v>
      </c>
      <c r="AK2029">
        <f>[1]资金台帐!AK2029</f>
        <v>0</v>
      </c>
      <c r="BA2029" s="22">
        <f t="shared" si="0"/>
      </c>
      <c r="BG2029" s="22">
        <f t="shared" si="1"/>
      </c>
      <c r="BH2029" s="22">
        <f t="shared" si="2"/>
        <v>0</v>
      </c>
    </row>
    <row r="2030">
      <c r="B2030">
        <f>[1]资金台帐!B2030&amp;""</f>
      </c>
      <c r="H2030">
        <f>[1]资金台帐!H2030&amp;""</f>
      </c>
      <c r="J2030">
        <f>[1]资金台帐!J2030&amp;""</f>
      </c>
      <c r="N2030">
        <f>[1]资金台帐!N2030</f>
      </c>
      <c r="O2030">
        <f>[1]资金台帐!O2030&amp;""</f>
      </c>
      <c r="P2030">
        <f>[1]资金台帐!P2030&amp;""</f>
      </c>
      <c r="Q2030">
        <f>[1]资金台帐!Q2030&amp;""</f>
      </c>
      <c r="T2030">
        <f>[1]资金台帐!T2030&amp;""</f>
      </c>
      <c r="U2030">
        <f>[1]资金台帐!U2030&amp;""</f>
      </c>
      <c r="W2030">
        <f>[1]资金台帐!W2030&amp;""</f>
      </c>
      <c r="X2030">
        <f>[1]资金台帐!X2030&amp;""</f>
      </c>
      <c r="AB2030">
        <f>[1]资金台帐!AB2030</f>
        <v>0</v>
      </c>
      <c r="AC2030">
        <f>[1]资金台帐!AC2030</f>
        <v>0</v>
      </c>
      <c r="AD2030">
        <f>[1]资金台帐!AD2030</f>
        <v>0</v>
      </c>
      <c r="AJ2030">
        <f>[1]资金台帐!AJ2030</f>
        <v>0</v>
      </c>
      <c r="AK2030">
        <f>[1]资金台帐!AK2030</f>
        <v>0</v>
      </c>
      <c r="BA2030" s="22">
        <f t="shared" si="0"/>
      </c>
      <c r="BG2030" s="22">
        <f t="shared" si="1"/>
      </c>
      <c r="BH2030" s="22">
        <f t="shared" si="2"/>
        <v>0</v>
      </c>
    </row>
    <row r="2031">
      <c r="B2031">
        <f>[1]资金台帐!B2031&amp;""</f>
      </c>
      <c r="H2031">
        <f>[1]资金台帐!H2031&amp;""</f>
      </c>
      <c r="J2031">
        <f>[1]资金台帐!J2031&amp;""</f>
      </c>
      <c r="N2031">
        <f>[1]资金台帐!N2031</f>
      </c>
      <c r="O2031">
        <f>[1]资金台帐!O2031&amp;""</f>
      </c>
      <c r="P2031">
        <f>[1]资金台帐!P2031&amp;""</f>
      </c>
      <c r="Q2031">
        <f>[1]资金台帐!Q2031&amp;""</f>
      </c>
      <c r="T2031">
        <f>[1]资金台帐!T2031&amp;""</f>
      </c>
      <c r="U2031">
        <f>[1]资金台帐!U2031&amp;""</f>
      </c>
      <c r="W2031">
        <f>[1]资金台帐!W2031&amp;""</f>
      </c>
      <c r="X2031">
        <f>[1]资金台帐!X2031&amp;""</f>
      </c>
      <c r="AB2031">
        <f>[1]资金台帐!AB2031</f>
        <v>0</v>
      </c>
      <c r="AC2031">
        <f>[1]资金台帐!AC2031</f>
        <v>0</v>
      </c>
      <c r="AD2031">
        <f>[1]资金台帐!AD2031</f>
        <v>0</v>
      </c>
      <c r="AJ2031">
        <f>[1]资金台帐!AJ2031</f>
        <v>0</v>
      </c>
      <c r="AK2031">
        <f>[1]资金台帐!AK2031</f>
        <v>0</v>
      </c>
      <c r="BA2031" s="22">
        <f t="shared" si="0"/>
      </c>
      <c r="BG2031" s="22">
        <f t="shared" si="1"/>
      </c>
      <c r="BH2031" s="22">
        <f t="shared" si="2"/>
        <v>0</v>
      </c>
    </row>
    <row r="2032">
      <c r="B2032">
        <f>[1]资金台帐!B2032&amp;""</f>
      </c>
      <c r="H2032">
        <f>[1]资金台帐!H2032&amp;""</f>
      </c>
      <c r="J2032">
        <f>[1]资金台帐!J2032&amp;""</f>
      </c>
      <c r="N2032">
        <f>[1]资金台帐!N2032</f>
      </c>
      <c r="O2032">
        <f>[1]资金台帐!O2032&amp;""</f>
      </c>
      <c r="P2032">
        <f>[1]资金台帐!P2032&amp;""</f>
      </c>
      <c r="Q2032">
        <f>[1]资金台帐!Q2032&amp;""</f>
      </c>
      <c r="T2032">
        <f>[1]资金台帐!T2032&amp;""</f>
      </c>
      <c r="U2032">
        <f>[1]资金台帐!U2032&amp;""</f>
      </c>
      <c r="W2032">
        <f>[1]资金台帐!W2032&amp;""</f>
      </c>
      <c r="X2032">
        <f>[1]资金台帐!X2032&amp;""</f>
      </c>
      <c r="AB2032">
        <f>[1]资金台帐!AB2032</f>
        <v>0</v>
      </c>
      <c r="AC2032">
        <f>[1]资金台帐!AC2032</f>
        <v>0</v>
      </c>
      <c r="AD2032">
        <f>[1]资金台帐!AD2032</f>
        <v>0</v>
      </c>
      <c r="AJ2032">
        <f>[1]资金台帐!AJ2032</f>
        <v>0</v>
      </c>
      <c r="AK2032">
        <f>[1]资金台帐!AK2032</f>
        <v>0</v>
      </c>
      <c r="BA2032" s="22">
        <f t="shared" si="0"/>
      </c>
      <c r="BG2032" s="22">
        <f t="shared" si="1"/>
      </c>
      <c r="BH2032" s="22">
        <f t="shared" si="2"/>
        <v>0</v>
      </c>
    </row>
    <row r="2033">
      <c r="B2033">
        <f>[1]资金台帐!B2033&amp;""</f>
      </c>
      <c r="H2033">
        <f>[1]资金台帐!H2033&amp;""</f>
      </c>
      <c r="J2033">
        <f>[1]资金台帐!J2033&amp;""</f>
      </c>
      <c r="N2033">
        <f>[1]资金台帐!N2033</f>
      </c>
      <c r="O2033">
        <f>[1]资金台帐!O2033&amp;""</f>
      </c>
      <c r="P2033">
        <f>[1]资金台帐!P2033&amp;""</f>
      </c>
      <c r="Q2033">
        <f>[1]资金台帐!Q2033&amp;""</f>
      </c>
      <c r="T2033">
        <f>[1]资金台帐!T2033&amp;""</f>
      </c>
      <c r="U2033">
        <f>[1]资金台帐!U2033&amp;""</f>
      </c>
      <c r="W2033">
        <f>[1]资金台帐!W2033&amp;""</f>
      </c>
      <c r="X2033">
        <f>[1]资金台帐!X2033&amp;""</f>
      </c>
      <c r="AB2033">
        <f>[1]资金台帐!AB2033</f>
        <v>0</v>
      </c>
      <c r="AC2033">
        <f>[1]资金台帐!AC2033</f>
        <v>0</v>
      </c>
      <c r="AD2033">
        <f>[1]资金台帐!AD2033</f>
        <v>0</v>
      </c>
      <c r="AJ2033">
        <f>[1]资金台帐!AJ2033</f>
        <v>0</v>
      </c>
      <c r="AK2033">
        <f>[1]资金台帐!AK2033</f>
        <v>0</v>
      </c>
      <c r="BA2033" s="22">
        <f t="shared" si="0"/>
      </c>
      <c r="BG2033" s="22">
        <f t="shared" si="1"/>
      </c>
      <c r="BH2033" s="22">
        <f t="shared" si="2"/>
        <v>0</v>
      </c>
    </row>
    <row r="2034">
      <c r="B2034">
        <f>[1]资金台帐!B2034&amp;""</f>
      </c>
      <c r="H2034">
        <f>[1]资金台帐!H2034&amp;""</f>
      </c>
      <c r="J2034">
        <f>[1]资金台帐!J2034&amp;""</f>
      </c>
      <c r="N2034">
        <f>[1]资金台帐!N2034</f>
      </c>
      <c r="O2034">
        <f>[1]资金台帐!O2034&amp;""</f>
      </c>
      <c r="P2034">
        <f>[1]资金台帐!P2034&amp;""</f>
      </c>
      <c r="Q2034">
        <f>[1]资金台帐!Q2034&amp;""</f>
      </c>
      <c r="T2034">
        <f>[1]资金台帐!T2034&amp;""</f>
      </c>
      <c r="U2034">
        <f>[1]资金台帐!U2034&amp;""</f>
      </c>
      <c r="W2034">
        <f>[1]资金台帐!W2034&amp;""</f>
      </c>
      <c r="X2034">
        <f>[1]资金台帐!X2034&amp;""</f>
      </c>
      <c r="AB2034">
        <f>[1]资金台帐!AB2034</f>
        <v>0</v>
      </c>
      <c r="AC2034">
        <f>[1]资金台帐!AC2034</f>
        <v>0</v>
      </c>
      <c r="AD2034">
        <f>[1]资金台帐!AD2034</f>
        <v>0</v>
      </c>
      <c r="AJ2034">
        <f>[1]资金台帐!AJ2034</f>
        <v>0</v>
      </c>
      <c r="AK2034">
        <f>[1]资金台帐!AK2034</f>
        <v>0</v>
      </c>
      <c r="BA2034" s="22">
        <f t="shared" si="0"/>
      </c>
      <c r="BG2034" s="22">
        <f t="shared" si="1"/>
      </c>
      <c r="BH2034" s="22">
        <f t="shared" si="2"/>
        <v>0</v>
      </c>
    </row>
    <row r="2035">
      <c r="B2035">
        <f>[1]资金台帐!B2035&amp;""</f>
      </c>
      <c r="H2035">
        <f>[1]资金台帐!H2035&amp;""</f>
      </c>
      <c r="J2035">
        <f>[1]资金台帐!J2035&amp;""</f>
      </c>
      <c r="N2035">
        <f>[1]资金台帐!N2035</f>
      </c>
      <c r="O2035">
        <f>[1]资金台帐!O2035&amp;""</f>
      </c>
      <c r="P2035">
        <f>[1]资金台帐!P2035&amp;""</f>
      </c>
      <c r="Q2035">
        <f>[1]资金台帐!Q2035&amp;""</f>
      </c>
      <c r="T2035">
        <f>[1]资金台帐!T2035&amp;""</f>
      </c>
      <c r="U2035">
        <f>[1]资金台帐!U2035&amp;""</f>
      </c>
      <c r="W2035">
        <f>[1]资金台帐!W2035&amp;""</f>
      </c>
      <c r="X2035">
        <f>[1]资金台帐!X2035&amp;""</f>
      </c>
      <c r="AB2035">
        <f>[1]资金台帐!AB2035</f>
        <v>0</v>
      </c>
      <c r="AC2035">
        <f>[1]资金台帐!AC2035</f>
        <v>0</v>
      </c>
      <c r="AD2035">
        <f>[1]资金台帐!AD2035</f>
        <v>0</v>
      </c>
      <c r="AJ2035">
        <f>[1]资金台帐!AJ2035</f>
        <v>0</v>
      </c>
      <c r="AK2035">
        <f>[1]资金台帐!AK2035</f>
        <v>0</v>
      </c>
      <c r="BA2035" s="22">
        <f t="shared" si="0"/>
      </c>
      <c r="BG2035" s="22">
        <f t="shared" si="1"/>
      </c>
      <c r="BH2035" s="22">
        <f t="shared" si="2"/>
        <v>0</v>
      </c>
    </row>
    <row r="2036">
      <c r="B2036">
        <f>[1]资金台帐!B2036&amp;""</f>
      </c>
      <c r="H2036">
        <f>[1]资金台帐!H2036&amp;""</f>
      </c>
      <c r="J2036">
        <f>[1]资金台帐!J2036&amp;""</f>
      </c>
      <c r="N2036">
        <f>[1]资金台帐!N2036</f>
      </c>
      <c r="O2036">
        <f>[1]资金台帐!O2036&amp;""</f>
      </c>
      <c r="P2036">
        <f>[1]资金台帐!P2036&amp;""</f>
      </c>
      <c r="Q2036">
        <f>[1]资金台帐!Q2036&amp;""</f>
      </c>
      <c r="T2036">
        <f>[1]资金台帐!T2036&amp;""</f>
      </c>
      <c r="U2036">
        <f>[1]资金台帐!U2036&amp;""</f>
      </c>
      <c r="W2036">
        <f>[1]资金台帐!W2036&amp;""</f>
      </c>
      <c r="X2036">
        <f>[1]资金台帐!X2036&amp;""</f>
      </c>
      <c r="AB2036">
        <f>[1]资金台帐!AB2036</f>
        <v>0</v>
      </c>
      <c r="AC2036">
        <f>[1]资金台帐!AC2036</f>
        <v>0</v>
      </c>
      <c r="AD2036">
        <f>[1]资金台帐!AD2036</f>
        <v>0</v>
      </c>
      <c r="AJ2036">
        <f>[1]资金台帐!AJ2036</f>
        <v>0</v>
      </c>
      <c r="AK2036">
        <f>[1]资金台帐!AK2036</f>
        <v>0</v>
      </c>
      <c r="BA2036" s="22">
        <f t="shared" si="0"/>
      </c>
      <c r="BG2036" s="22">
        <f t="shared" si="1"/>
      </c>
      <c r="BH2036" s="22">
        <f t="shared" si="2"/>
        <v>0</v>
      </c>
    </row>
    <row r="2037">
      <c r="B2037">
        <f>[1]资金台帐!B2037&amp;""</f>
      </c>
      <c r="H2037">
        <f>[1]资金台帐!H2037&amp;""</f>
      </c>
      <c r="J2037">
        <f>[1]资金台帐!J2037&amp;""</f>
      </c>
      <c r="N2037">
        <f>[1]资金台帐!N2037</f>
      </c>
      <c r="O2037">
        <f>[1]资金台帐!O2037&amp;""</f>
      </c>
      <c r="P2037">
        <f>[1]资金台帐!P2037&amp;""</f>
      </c>
      <c r="Q2037">
        <f>[1]资金台帐!Q2037&amp;""</f>
      </c>
      <c r="T2037">
        <f>[1]资金台帐!T2037&amp;""</f>
      </c>
      <c r="U2037">
        <f>[1]资金台帐!U2037&amp;""</f>
      </c>
      <c r="W2037">
        <f>[1]资金台帐!W2037&amp;""</f>
      </c>
      <c r="X2037">
        <f>[1]资金台帐!X2037&amp;""</f>
      </c>
      <c r="AB2037">
        <f>[1]资金台帐!AB2037</f>
        <v>0</v>
      </c>
      <c r="AC2037">
        <f>[1]资金台帐!AC2037</f>
        <v>0</v>
      </c>
      <c r="AD2037">
        <f>[1]资金台帐!AD2037</f>
        <v>0</v>
      </c>
      <c r="AJ2037">
        <f>[1]资金台帐!AJ2037</f>
        <v>0</v>
      </c>
      <c r="AK2037">
        <f>[1]资金台帐!AK2037</f>
        <v>0</v>
      </c>
      <c r="BA2037" s="22">
        <f t="shared" si="0"/>
      </c>
      <c r="BG2037" s="22">
        <f t="shared" si="1"/>
      </c>
      <c r="BH2037" s="22">
        <f t="shared" si="2"/>
        <v>0</v>
      </c>
    </row>
    <row r="2038">
      <c r="B2038">
        <f>[1]资金台帐!B2038&amp;""</f>
      </c>
      <c r="H2038">
        <f>[1]资金台帐!H2038&amp;""</f>
      </c>
      <c r="J2038">
        <f>[1]资金台帐!J2038&amp;""</f>
      </c>
      <c r="N2038">
        <f>[1]资金台帐!N2038</f>
      </c>
      <c r="O2038">
        <f>[1]资金台帐!O2038&amp;""</f>
      </c>
      <c r="P2038">
        <f>[1]资金台帐!P2038&amp;""</f>
      </c>
      <c r="Q2038">
        <f>[1]资金台帐!Q2038&amp;""</f>
      </c>
      <c r="T2038">
        <f>[1]资金台帐!T2038&amp;""</f>
      </c>
      <c r="U2038">
        <f>[1]资金台帐!U2038&amp;""</f>
      </c>
      <c r="W2038">
        <f>[1]资金台帐!W2038&amp;""</f>
      </c>
      <c r="X2038">
        <f>[1]资金台帐!X2038&amp;""</f>
      </c>
      <c r="AB2038">
        <f>[1]资金台帐!AB2038</f>
        <v>0</v>
      </c>
      <c r="AC2038">
        <f>[1]资金台帐!AC2038</f>
        <v>0</v>
      </c>
      <c r="AD2038">
        <f>[1]资金台帐!AD2038</f>
        <v>0</v>
      </c>
      <c r="AJ2038">
        <f>[1]资金台帐!AJ2038</f>
        <v>0</v>
      </c>
      <c r="AK2038">
        <f>[1]资金台帐!AK2038</f>
        <v>0</v>
      </c>
      <c r="BA2038" s="22">
        <f t="shared" si="0"/>
      </c>
      <c r="BG2038" s="22">
        <f t="shared" si="1"/>
      </c>
      <c r="BH2038" s="22">
        <f t="shared" si="2"/>
        <v>0</v>
      </c>
    </row>
    <row r="2039">
      <c r="B2039">
        <f>[1]资金台帐!B2039&amp;""</f>
      </c>
      <c r="H2039">
        <f>[1]资金台帐!H2039&amp;""</f>
      </c>
      <c r="J2039">
        <f>[1]资金台帐!J2039&amp;""</f>
      </c>
      <c r="N2039">
        <f>[1]资金台帐!N2039</f>
      </c>
      <c r="O2039">
        <f>[1]资金台帐!O2039&amp;""</f>
      </c>
      <c r="P2039">
        <f>[1]资金台帐!P2039&amp;""</f>
      </c>
      <c r="Q2039">
        <f>[1]资金台帐!Q2039&amp;""</f>
      </c>
      <c r="T2039">
        <f>[1]资金台帐!T2039&amp;""</f>
      </c>
      <c r="U2039">
        <f>[1]资金台帐!U2039&amp;""</f>
      </c>
      <c r="W2039">
        <f>[1]资金台帐!W2039&amp;""</f>
      </c>
      <c r="X2039">
        <f>[1]资金台帐!X2039&amp;""</f>
      </c>
      <c r="AB2039">
        <f>[1]资金台帐!AB2039</f>
        <v>0</v>
      </c>
      <c r="AC2039">
        <f>[1]资金台帐!AC2039</f>
        <v>0</v>
      </c>
      <c r="AD2039">
        <f>[1]资金台帐!AD2039</f>
        <v>0</v>
      </c>
      <c r="AJ2039">
        <f>[1]资金台帐!AJ2039</f>
        <v>0</v>
      </c>
      <c r="AK2039">
        <f>[1]资金台帐!AK2039</f>
        <v>0</v>
      </c>
      <c r="BA2039" s="22">
        <f t="shared" si="0"/>
      </c>
      <c r="BG2039" s="22">
        <f t="shared" si="1"/>
      </c>
      <c r="BH2039" s="22">
        <f t="shared" si="2"/>
        <v>0</v>
      </c>
    </row>
    <row r="2040">
      <c r="B2040">
        <f>[1]资金台帐!B2040&amp;""</f>
      </c>
      <c r="H2040">
        <f>[1]资金台帐!H2040&amp;""</f>
      </c>
      <c r="J2040">
        <f>[1]资金台帐!J2040&amp;""</f>
      </c>
      <c r="N2040">
        <f>[1]资金台帐!N2040</f>
      </c>
      <c r="O2040">
        <f>[1]资金台帐!O2040&amp;""</f>
      </c>
      <c r="P2040">
        <f>[1]资金台帐!P2040&amp;""</f>
      </c>
      <c r="Q2040">
        <f>[1]资金台帐!Q2040&amp;""</f>
      </c>
      <c r="T2040">
        <f>[1]资金台帐!T2040&amp;""</f>
      </c>
      <c r="U2040">
        <f>[1]资金台帐!U2040&amp;""</f>
      </c>
      <c r="W2040">
        <f>[1]资金台帐!W2040&amp;""</f>
      </c>
      <c r="X2040">
        <f>[1]资金台帐!X2040&amp;""</f>
      </c>
      <c r="AB2040">
        <f>[1]资金台帐!AB2040</f>
        <v>0</v>
      </c>
      <c r="AC2040">
        <f>[1]资金台帐!AC2040</f>
        <v>0</v>
      </c>
      <c r="AD2040">
        <f>[1]资金台帐!AD2040</f>
        <v>0</v>
      </c>
      <c r="AJ2040">
        <f>[1]资金台帐!AJ2040</f>
        <v>0</v>
      </c>
      <c r="AK2040">
        <f>[1]资金台帐!AK2040</f>
        <v>0</v>
      </c>
      <c r="BA2040" s="22">
        <f t="shared" si="0"/>
      </c>
      <c r="BG2040" s="22">
        <f t="shared" si="1"/>
      </c>
      <c r="BH2040" s="22">
        <f t="shared" si="2"/>
        <v>0</v>
      </c>
    </row>
    <row r="2041">
      <c r="B2041">
        <f>[1]资金台帐!B2041&amp;""</f>
      </c>
      <c r="H2041">
        <f>[1]资金台帐!H2041&amp;""</f>
      </c>
      <c r="J2041">
        <f>[1]资金台帐!J2041&amp;""</f>
      </c>
      <c r="N2041">
        <f>[1]资金台帐!N2041</f>
      </c>
      <c r="O2041">
        <f>[1]资金台帐!O2041&amp;""</f>
      </c>
      <c r="P2041">
        <f>[1]资金台帐!P2041&amp;""</f>
      </c>
      <c r="Q2041">
        <f>[1]资金台帐!Q2041&amp;""</f>
      </c>
      <c r="T2041">
        <f>[1]资金台帐!T2041&amp;""</f>
      </c>
      <c r="U2041">
        <f>[1]资金台帐!U2041&amp;""</f>
      </c>
      <c r="W2041">
        <f>[1]资金台帐!W2041&amp;""</f>
      </c>
      <c r="X2041">
        <f>[1]资金台帐!X2041&amp;""</f>
      </c>
      <c r="AB2041">
        <f>[1]资金台帐!AB2041</f>
        <v>0</v>
      </c>
      <c r="AC2041">
        <f>[1]资金台帐!AC2041</f>
        <v>0</v>
      </c>
      <c r="AD2041">
        <f>[1]资金台帐!AD2041</f>
        <v>0</v>
      </c>
      <c r="AJ2041">
        <f>[1]资金台帐!AJ2041</f>
        <v>0</v>
      </c>
      <c r="AK2041">
        <f>[1]资金台帐!AK2041</f>
        <v>0</v>
      </c>
      <c r="BA2041" s="22">
        <f t="shared" si="0"/>
      </c>
      <c r="BG2041" s="22">
        <f t="shared" si="1"/>
      </c>
      <c r="BH2041" s="22">
        <f t="shared" si="2"/>
        <v>0</v>
      </c>
    </row>
    <row r="2042">
      <c r="B2042">
        <f>[1]资金台帐!B2042&amp;""</f>
      </c>
      <c r="H2042">
        <f>[1]资金台帐!H2042&amp;""</f>
      </c>
      <c r="J2042">
        <f>[1]资金台帐!J2042&amp;""</f>
      </c>
      <c r="N2042">
        <f>[1]资金台帐!N2042</f>
      </c>
      <c r="O2042">
        <f>[1]资金台帐!O2042&amp;""</f>
      </c>
      <c r="P2042">
        <f>[1]资金台帐!P2042&amp;""</f>
      </c>
      <c r="Q2042">
        <f>[1]资金台帐!Q2042&amp;""</f>
      </c>
      <c r="T2042">
        <f>[1]资金台帐!T2042&amp;""</f>
      </c>
      <c r="U2042">
        <f>[1]资金台帐!U2042&amp;""</f>
      </c>
      <c r="W2042">
        <f>[1]资金台帐!W2042&amp;""</f>
      </c>
      <c r="X2042">
        <f>[1]资金台帐!X2042&amp;""</f>
      </c>
      <c r="AB2042">
        <f>[1]资金台帐!AB2042</f>
        <v>0</v>
      </c>
      <c r="AC2042">
        <f>[1]资金台帐!AC2042</f>
        <v>0</v>
      </c>
      <c r="AD2042">
        <f>[1]资金台帐!AD2042</f>
        <v>0</v>
      </c>
      <c r="AJ2042">
        <f>[1]资金台帐!AJ2042</f>
        <v>0</v>
      </c>
      <c r="AK2042">
        <f>[1]资金台帐!AK2042</f>
        <v>0</v>
      </c>
      <c r="BA2042" s="22">
        <f t="shared" si="0"/>
      </c>
      <c r="BG2042" s="22">
        <f t="shared" si="1"/>
      </c>
      <c r="BH2042" s="22">
        <f t="shared" si="2"/>
        <v>0</v>
      </c>
    </row>
    <row r="2043">
      <c r="B2043">
        <f>[1]资金台帐!B2043&amp;""</f>
      </c>
      <c r="H2043">
        <f>[1]资金台帐!H2043&amp;""</f>
      </c>
      <c r="J2043">
        <f>[1]资金台帐!J2043&amp;""</f>
      </c>
      <c r="N2043">
        <f>[1]资金台帐!N2043</f>
      </c>
      <c r="O2043">
        <f>[1]资金台帐!O2043&amp;""</f>
      </c>
      <c r="P2043">
        <f>[1]资金台帐!P2043&amp;""</f>
      </c>
      <c r="Q2043">
        <f>[1]资金台帐!Q2043&amp;""</f>
      </c>
      <c r="T2043">
        <f>[1]资金台帐!T2043&amp;""</f>
      </c>
      <c r="U2043">
        <f>[1]资金台帐!U2043&amp;""</f>
      </c>
      <c r="W2043">
        <f>[1]资金台帐!W2043&amp;""</f>
      </c>
      <c r="X2043">
        <f>[1]资金台帐!X2043&amp;""</f>
      </c>
      <c r="AB2043">
        <f>[1]资金台帐!AB2043</f>
        <v>0</v>
      </c>
      <c r="AC2043">
        <f>[1]资金台帐!AC2043</f>
        <v>0</v>
      </c>
      <c r="AD2043">
        <f>[1]资金台帐!AD2043</f>
        <v>0</v>
      </c>
      <c r="AJ2043">
        <f>[1]资金台帐!AJ2043</f>
        <v>0</v>
      </c>
      <c r="AK2043">
        <f>[1]资金台帐!AK2043</f>
        <v>0</v>
      </c>
      <c r="BA2043" s="22">
        <f t="shared" si="0"/>
      </c>
      <c r="BG2043" s="22">
        <f t="shared" si="1"/>
      </c>
      <c r="BH2043" s="22">
        <f t="shared" si="2"/>
        <v>0</v>
      </c>
    </row>
    <row r="2044">
      <c r="B2044">
        <f>[1]资金台帐!B2044&amp;""</f>
      </c>
      <c r="H2044">
        <f>[1]资金台帐!H2044&amp;""</f>
      </c>
      <c r="J2044">
        <f>[1]资金台帐!J2044&amp;""</f>
      </c>
      <c r="N2044">
        <f>[1]资金台帐!N2044</f>
      </c>
      <c r="O2044">
        <f>[1]资金台帐!O2044&amp;""</f>
      </c>
      <c r="P2044">
        <f>[1]资金台帐!P2044&amp;""</f>
      </c>
      <c r="Q2044">
        <f>[1]资金台帐!Q2044&amp;""</f>
      </c>
      <c r="T2044">
        <f>[1]资金台帐!T2044&amp;""</f>
      </c>
      <c r="U2044">
        <f>[1]资金台帐!U2044&amp;""</f>
      </c>
      <c r="W2044">
        <f>[1]资金台帐!W2044&amp;""</f>
      </c>
      <c r="X2044">
        <f>[1]资金台帐!X2044&amp;""</f>
      </c>
      <c r="AB2044">
        <f>[1]资金台帐!AB2044</f>
        <v>0</v>
      </c>
      <c r="AC2044">
        <f>[1]资金台帐!AC2044</f>
        <v>0</v>
      </c>
      <c r="AD2044">
        <f>[1]资金台帐!AD2044</f>
        <v>0</v>
      </c>
      <c r="AJ2044">
        <f>[1]资金台帐!AJ2044</f>
        <v>0</v>
      </c>
      <c r="AK2044">
        <f>[1]资金台帐!AK2044</f>
        <v>0</v>
      </c>
      <c r="BA2044" s="22">
        <f t="shared" si="0"/>
      </c>
      <c r="BG2044" s="22">
        <f t="shared" si="1"/>
      </c>
      <c r="BH2044" s="22">
        <f t="shared" si="2"/>
        <v>0</v>
      </c>
    </row>
    <row r="2045">
      <c r="B2045">
        <f>[1]资金台帐!B2045&amp;""</f>
      </c>
      <c r="H2045">
        <f>[1]资金台帐!H2045&amp;""</f>
      </c>
      <c r="J2045">
        <f>[1]资金台帐!J2045&amp;""</f>
      </c>
      <c r="N2045">
        <f>[1]资金台帐!N2045</f>
      </c>
      <c r="O2045">
        <f>[1]资金台帐!O2045&amp;""</f>
      </c>
      <c r="P2045">
        <f>[1]资金台帐!P2045&amp;""</f>
      </c>
      <c r="Q2045">
        <f>[1]资金台帐!Q2045&amp;""</f>
      </c>
      <c r="T2045">
        <f>[1]资金台帐!T2045&amp;""</f>
      </c>
      <c r="U2045">
        <f>[1]资金台帐!U2045&amp;""</f>
      </c>
      <c r="W2045">
        <f>[1]资金台帐!W2045&amp;""</f>
      </c>
      <c r="X2045">
        <f>[1]资金台帐!X2045&amp;""</f>
      </c>
      <c r="AB2045">
        <f>[1]资金台帐!AB2045</f>
        <v>0</v>
      </c>
      <c r="AC2045">
        <f>[1]资金台帐!AC2045</f>
        <v>0</v>
      </c>
      <c r="AD2045">
        <f>[1]资金台帐!AD2045</f>
        <v>0</v>
      </c>
      <c r="AJ2045">
        <f>[1]资金台帐!AJ2045</f>
        <v>0</v>
      </c>
      <c r="AK2045">
        <f>[1]资金台帐!AK2045</f>
        <v>0</v>
      </c>
      <c r="BA2045" s="22">
        <f t="shared" si="0"/>
      </c>
      <c r="BG2045" s="22">
        <f t="shared" si="1"/>
      </c>
      <c r="BH2045" s="22">
        <f t="shared" si="2"/>
        <v>0</v>
      </c>
    </row>
    <row r="2046">
      <c r="B2046">
        <f>[1]资金台帐!B2046&amp;""</f>
      </c>
      <c r="H2046">
        <f>[1]资金台帐!H2046&amp;""</f>
      </c>
      <c r="J2046">
        <f>[1]资金台帐!J2046&amp;""</f>
      </c>
      <c r="N2046">
        <f>[1]资金台帐!N2046</f>
      </c>
      <c r="O2046">
        <f>[1]资金台帐!O2046&amp;""</f>
      </c>
      <c r="P2046">
        <f>[1]资金台帐!P2046&amp;""</f>
      </c>
      <c r="Q2046">
        <f>[1]资金台帐!Q2046&amp;""</f>
      </c>
      <c r="T2046">
        <f>[1]资金台帐!T2046&amp;""</f>
      </c>
      <c r="U2046">
        <f>[1]资金台帐!U2046&amp;""</f>
      </c>
      <c r="W2046">
        <f>[1]资金台帐!W2046&amp;""</f>
      </c>
      <c r="X2046">
        <f>[1]资金台帐!X2046&amp;""</f>
      </c>
      <c r="AB2046">
        <f>[1]资金台帐!AB2046</f>
        <v>0</v>
      </c>
      <c r="AC2046">
        <f>[1]资金台帐!AC2046</f>
        <v>0</v>
      </c>
      <c r="AD2046">
        <f>[1]资金台帐!AD2046</f>
        <v>0</v>
      </c>
      <c r="AJ2046">
        <f>[1]资金台帐!AJ2046</f>
        <v>0</v>
      </c>
      <c r="AK2046">
        <f>[1]资金台帐!AK2046</f>
        <v>0</v>
      </c>
      <c r="BA2046" s="22">
        <f t="shared" si="0"/>
      </c>
      <c r="BG2046" s="22">
        <f t="shared" si="1"/>
      </c>
      <c r="BH2046" s="22">
        <f t="shared" si="2"/>
        <v>0</v>
      </c>
    </row>
    <row r="2047">
      <c r="B2047">
        <f>[1]资金台帐!B2047&amp;""</f>
      </c>
      <c r="H2047">
        <f>[1]资金台帐!H2047&amp;""</f>
      </c>
      <c r="J2047">
        <f>[1]资金台帐!J2047&amp;""</f>
      </c>
      <c r="N2047">
        <f>[1]资金台帐!N2047</f>
      </c>
      <c r="O2047">
        <f>[1]资金台帐!O2047&amp;""</f>
      </c>
      <c r="P2047">
        <f>[1]资金台帐!P2047&amp;""</f>
      </c>
      <c r="Q2047">
        <f>[1]资金台帐!Q2047&amp;""</f>
      </c>
      <c r="T2047">
        <f>[1]资金台帐!T2047&amp;""</f>
      </c>
      <c r="U2047">
        <f>[1]资金台帐!U2047&amp;""</f>
      </c>
      <c r="W2047">
        <f>[1]资金台帐!W2047&amp;""</f>
      </c>
      <c r="X2047">
        <f>[1]资金台帐!X2047&amp;""</f>
      </c>
      <c r="AB2047">
        <f>[1]资金台帐!AB2047</f>
        <v>0</v>
      </c>
      <c r="AC2047">
        <f>[1]资金台帐!AC2047</f>
        <v>0</v>
      </c>
      <c r="AD2047">
        <f>[1]资金台帐!AD2047</f>
        <v>0</v>
      </c>
      <c r="AJ2047">
        <f>[1]资金台帐!AJ2047</f>
        <v>0</v>
      </c>
      <c r="AK2047">
        <f>[1]资金台帐!AK2047</f>
        <v>0</v>
      </c>
      <c r="BA2047" s="22">
        <f t="shared" si="0"/>
      </c>
      <c r="BG2047" s="22">
        <f t="shared" si="1"/>
      </c>
      <c r="BH2047" s="22">
        <f t="shared" si="2"/>
        <v>0</v>
      </c>
    </row>
    <row r="2048">
      <c r="B2048">
        <f>[1]资金台帐!B2048&amp;""</f>
      </c>
      <c r="H2048">
        <f>[1]资金台帐!H2048&amp;""</f>
      </c>
      <c r="J2048">
        <f>[1]资金台帐!J2048&amp;""</f>
      </c>
      <c r="N2048">
        <f>[1]资金台帐!N2048</f>
      </c>
      <c r="O2048">
        <f>[1]资金台帐!O2048&amp;""</f>
      </c>
      <c r="P2048">
        <f>[1]资金台帐!P2048&amp;""</f>
      </c>
      <c r="Q2048">
        <f>[1]资金台帐!Q2048&amp;""</f>
      </c>
      <c r="T2048">
        <f>[1]资金台帐!T2048&amp;""</f>
      </c>
      <c r="U2048">
        <f>[1]资金台帐!U2048&amp;""</f>
      </c>
      <c r="W2048">
        <f>[1]资金台帐!W2048&amp;""</f>
      </c>
      <c r="X2048">
        <f>[1]资金台帐!X2048&amp;""</f>
      </c>
      <c r="AB2048">
        <f>[1]资金台帐!AB2048</f>
        <v>0</v>
      </c>
      <c r="AC2048">
        <f>[1]资金台帐!AC2048</f>
        <v>0</v>
      </c>
      <c r="AD2048">
        <f>[1]资金台帐!AD2048</f>
        <v>0</v>
      </c>
      <c r="AJ2048">
        <f>[1]资金台帐!AJ2048</f>
        <v>0</v>
      </c>
      <c r="AK2048">
        <f>[1]资金台帐!AK2048</f>
        <v>0</v>
      </c>
      <c r="BA2048" s="22">
        <f t="shared" si="0"/>
      </c>
      <c r="BG2048" s="22">
        <f t="shared" si="1"/>
      </c>
      <c r="BH2048" s="22">
        <f t="shared" si="2"/>
        <v>0</v>
      </c>
    </row>
    <row r="2049">
      <c r="B2049">
        <f>[1]资金台帐!B2049&amp;""</f>
      </c>
      <c r="H2049">
        <f>[1]资金台帐!H2049&amp;""</f>
      </c>
      <c r="J2049">
        <f>[1]资金台帐!J2049&amp;""</f>
      </c>
      <c r="N2049">
        <f>[1]资金台帐!N2049</f>
      </c>
      <c r="O2049">
        <f>[1]资金台帐!O2049&amp;""</f>
      </c>
      <c r="P2049">
        <f>[1]资金台帐!P2049&amp;""</f>
      </c>
      <c r="Q2049">
        <f>[1]资金台帐!Q2049&amp;""</f>
      </c>
      <c r="T2049">
        <f>[1]资金台帐!T2049&amp;""</f>
      </c>
      <c r="U2049">
        <f>[1]资金台帐!U2049&amp;""</f>
      </c>
      <c r="W2049">
        <f>[1]资金台帐!W2049&amp;""</f>
      </c>
      <c r="X2049">
        <f>[1]资金台帐!X2049&amp;""</f>
      </c>
      <c r="AB2049">
        <f>[1]资金台帐!AB2049</f>
        <v>0</v>
      </c>
      <c r="AC2049">
        <f>[1]资金台帐!AC2049</f>
        <v>0</v>
      </c>
      <c r="AD2049">
        <f>[1]资金台帐!AD2049</f>
        <v>0</v>
      </c>
      <c r="AJ2049">
        <f>[1]资金台帐!AJ2049</f>
        <v>0</v>
      </c>
      <c r="AK2049">
        <f>[1]资金台帐!AK2049</f>
        <v>0</v>
      </c>
      <c r="BA2049" s="22">
        <f t="shared" si="0"/>
      </c>
      <c r="BG2049" s="22">
        <f t="shared" si="1"/>
      </c>
      <c r="BH2049" s="22">
        <f t="shared" si="2"/>
        <v>0</v>
      </c>
    </row>
    <row r="2050">
      <c r="B2050">
        <f>[1]资金台帐!B2050&amp;""</f>
      </c>
      <c r="H2050">
        <f>[1]资金台帐!H2050&amp;""</f>
      </c>
      <c r="J2050">
        <f>[1]资金台帐!J2050&amp;""</f>
      </c>
      <c r="N2050">
        <f>[1]资金台帐!N2050</f>
      </c>
      <c r="O2050">
        <f>[1]资金台帐!O2050&amp;""</f>
      </c>
      <c r="P2050">
        <f>[1]资金台帐!P2050&amp;""</f>
      </c>
      <c r="Q2050">
        <f>[1]资金台帐!Q2050&amp;""</f>
      </c>
      <c r="T2050">
        <f>[1]资金台帐!T2050&amp;""</f>
      </c>
      <c r="U2050">
        <f>[1]资金台帐!U2050&amp;""</f>
      </c>
      <c r="W2050">
        <f>[1]资金台帐!W2050&amp;""</f>
      </c>
      <c r="X2050">
        <f>[1]资金台帐!X2050&amp;""</f>
      </c>
      <c r="AB2050">
        <f>[1]资金台帐!AB2050</f>
        <v>0</v>
      </c>
      <c r="AC2050">
        <f>[1]资金台帐!AC2050</f>
        <v>0</v>
      </c>
      <c r="AD2050">
        <f>[1]资金台帐!AD2050</f>
        <v>0</v>
      </c>
      <c r="AJ2050">
        <f>[1]资金台帐!AJ2050</f>
        <v>0</v>
      </c>
      <c r="AK2050">
        <f>[1]资金台帐!AK2050</f>
        <v>0</v>
      </c>
      <c r="BA2050" s="22">
        <f t="shared" si="0"/>
      </c>
      <c r="BG2050" s="22">
        <f t="shared" si="1"/>
      </c>
      <c r="BH2050" s="22">
        <f t="shared" si="2"/>
        <v>0</v>
      </c>
    </row>
    <row r="2051">
      <c r="B2051">
        <f>[1]资金台帐!B2051&amp;""</f>
      </c>
      <c r="H2051">
        <f>[1]资金台帐!H2051&amp;""</f>
      </c>
      <c r="J2051">
        <f>[1]资金台帐!J2051&amp;""</f>
      </c>
      <c r="N2051">
        <f>[1]资金台帐!N2051</f>
      </c>
      <c r="O2051">
        <f>[1]资金台帐!O2051&amp;""</f>
      </c>
      <c r="P2051">
        <f>[1]资金台帐!P2051&amp;""</f>
      </c>
      <c r="Q2051">
        <f>[1]资金台帐!Q2051&amp;""</f>
      </c>
      <c r="T2051">
        <f>[1]资金台帐!T2051&amp;""</f>
      </c>
      <c r="U2051">
        <f>[1]资金台帐!U2051&amp;""</f>
      </c>
      <c r="W2051">
        <f>[1]资金台帐!W2051&amp;""</f>
      </c>
      <c r="X2051">
        <f>[1]资金台帐!X2051&amp;""</f>
      </c>
      <c r="AB2051">
        <f>[1]资金台帐!AB2051</f>
        <v>0</v>
      </c>
      <c r="AC2051">
        <f>[1]资金台帐!AC2051</f>
        <v>0</v>
      </c>
      <c r="AD2051">
        <f>[1]资金台帐!AD2051</f>
        <v>0</v>
      </c>
      <c r="AJ2051">
        <f>[1]资金台帐!AJ2051</f>
        <v>0</v>
      </c>
      <c r="AK2051">
        <f>[1]资金台帐!AK2051</f>
        <v>0</v>
      </c>
      <c r="BA2051" s="22">
        <f t="shared" si="0"/>
      </c>
      <c r="BG2051" s="22">
        <f t="shared" si="1"/>
      </c>
      <c r="BH2051" s="22">
        <f t="shared" si="2"/>
        <v>0</v>
      </c>
    </row>
    <row r="2052">
      <c r="B2052">
        <f>[1]资金台帐!B2052&amp;""</f>
      </c>
      <c r="H2052">
        <f>[1]资金台帐!H2052&amp;""</f>
      </c>
      <c r="J2052">
        <f>[1]资金台帐!J2052&amp;""</f>
      </c>
      <c r="N2052">
        <f>[1]资金台帐!N2052</f>
      </c>
      <c r="O2052">
        <f>[1]资金台帐!O2052&amp;""</f>
      </c>
      <c r="P2052">
        <f>[1]资金台帐!P2052&amp;""</f>
      </c>
      <c r="Q2052">
        <f>[1]资金台帐!Q2052&amp;""</f>
      </c>
      <c r="T2052">
        <f>[1]资金台帐!T2052&amp;""</f>
      </c>
      <c r="U2052">
        <f>[1]资金台帐!U2052&amp;""</f>
      </c>
      <c r="W2052">
        <f>[1]资金台帐!W2052&amp;""</f>
      </c>
      <c r="X2052">
        <f>[1]资金台帐!X2052&amp;""</f>
      </c>
      <c r="AB2052">
        <f>[1]资金台帐!AB2052</f>
        <v>0</v>
      </c>
      <c r="AC2052">
        <f>[1]资金台帐!AC2052</f>
        <v>0</v>
      </c>
      <c r="AD2052">
        <f>[1]资金台帐!AD2052</f>
        <v>0</v>
      </c>
      <c r="AJ2052">
        <f>[1]资金台帐!AJ2052</f>
        <v>0</v>
      </c>
      <c r="AK2052">
        <f>[1]资金台帐!AK2052</f>
        <v>0</v>
      </c>
      <c r="BA2052" s="22">
        <f t="shared" si="0"/>
      </c>
      <c r="BG2052" s="22">
        <f t="shared" si="1"/>
      </c>
      <c r="BH2052" s="22">
        <f t="shared" si="2"/>
        <v>0</v>
      </c>
    </row>
    <row r="2053">
      <c r="B2053">
        <f>[1]资金台帐!B2053&amp;""</f>
      </c>
      <c r="H2053">
        <f>[1]资金台帐!H2053&amp;""</f>
      </c>
      <c r="J2053">
        <f>[1]资金台帐!J2053&amp;""</f>
      </c>
      <c r="N2053">
        <f>[1]资金台帐!N2053</f>
      </c>
      <c r="O2053">
        <f>[1]资金台帐!O2053&amp;""</f>
      </c>
      <c r="P2053">
        <f>[1]资金台帐!P2053&amp;""</f>
      </c>
      <c r="Q2053">
        <f>[1]资金台帐!Q2053&amp;""</f>
      </c>
      <c r="T2053">
        <f>[1]资金台帐!T2053&amp;""</f>
      </c>
      <c r="U2053">
        <f>[1]资金台帐!U2053&amp;""</f>
      </c>
      <c r="W2053">
        <f>[1]资金台帐!W2053&amp;""</f>
      </c>
      <c r="X2053">
        <f>[1]资金台帐!X2053&amp;""</f>
      </c>
      <c r="AB2053">
        <f>[1]资金台帐!AB2053</f>
        <v>0</v>
      </c>
      <c r="AC2053">
        <f>[1]资金台帐!AC2053</f>
        <v>0</v>
      </c>
      <c r="AD2053">
        <f>[1]资金台帐!AD2053</f>
        <v>0</v>
      </c>
      <c r="AJ2053">
        <f>[1]资金台帐!AJ2053</f>
        <v>0</v>
      </c>
      <c r="AK2053">
        <f>[1]资金台帐!AK2053</f>
        <v>0</v>
      </c>
      <c r="BA2053" s="22">
        <f t="shared" si="0"/>
      </c>
      <c r="BG2053" s="22">
        <f t="shared" si="1"/>
      </c>
      <c r="BH2053" s="22">
        <f t="shared" si="2"/>
        <v>0</v>
      </c>
    </row>
    <row r="2054">
      <c r="B2054">
        <f>[1]资金台帐!B2054&amp;""</f>
      </c>
      <c r="H2054">
        <f>[1]资金台帐!H2054&amp;""</f>
      </c>
      <c r="J2054">
        <f>[1]资金台帐!J2054&amp;""</f>
      </c>
      <c r="N2054">
        <f>[1]资金台帐!N2054</f>
      </c>
      <c r="O2054">
        <f>[1]资金台帐!O2054&amp;""</f>
      </c>
      <c r="P2054">
        <f>[1]资金台帐!P2054&amp;""</f>
      </c>
      <c r="Q2054">
        <f>[1]资金台帐!Q2054&amp;""</f>
      </c>
      <c r="T2054">
        <f>[1]资金台帐!T2054&amp;""</f>
      </c>
      <c r="U2054">
        <f>[1]资金台帐!U2054&amp;""</f>
      </c>
      <c r="W2054">
        <f>[1]资金台帐!W2054&amp;""</f>
      </c>
      <c r="X2054">
        <f>[1]资金台帐!X2054&amp;""</f>
      </c>
      <c r="AB2054">
        <f>[1]资金台帐!AB2054</f>
        <v>0</v>
      </c>
      <c r="AC2054">
        <f>[1]资金台帐!AC2054</f>
        <v>0</v>
      </c>
      <c r="AD2054">
        <f>[1]资金台帐!AD2054</f>
        <v>0</v>
      </c>
      <c r="AJ2054">
        <f>[1]资金台帐!AJ2054</f>
        <v>0</v>
      </c>
      <c r="AK2054">
        <f>[1]资金台帐!AK2054</f>
        <v>0</v>
      </c>
      <c r="BA2054" s="22">
        <f t="shared" si="0"/>
      </c>
      <c r="BG2054" s="22">
        <f t="shared" si="1"/>
      </c>
      <c r="BH2054" s="22">
        <f t="shared" si="2"/>
        <v>0</v>
      </c>
    </row>
    <row r="2055">
      <c r="B2055">
        <f>[1]资金台帐!B2055&amp;""</f>
      </c>
      <c r="H2055">
        <f>[1]资金台帐!H2055&amp;""</f>
      </c>
      <c r="J2055">
        <f>[1]资金台帐!J2055&amp;""</f>
      </c>
      <c r="N2055">
        <f>[1]资金台帐!N2055</f>
      </c>
      <c r="O2055">
        <f>[1]资金台帐!O2055&amp;""</f>
      </c>
      <c r="P2055">
        <f>[1]资金台帐!P2055&amp;""</f>
      </c>
      <c r="Q2055">
        <f>[1]资金台帐!Q2055&amp;""</f>
      </c>
      <c r="T2055">
        <f>[1]资金台帐!T2055&amp;""</f>
      </c>
      <c r="U2055">
        <f>[1]资金台帐!U2055&amp;""</f>
      </c>
      <c r="W2055">
        <f>[1]资金台帐!W2055&amp;""</f>
      </c>
      <c r="X2055">
        <f>[1]资金台帐!X2055&amp;""</f>
      </c>
      <c r="AB2055">
        <f>[1]资金台帐!AB2055</f>
        <v>0</v>
      </c>
      <c r="AC2055">
        <f>[1]资金台帐!AC2055</f>
        <v>0</v>
      </c>
      <c r="AD2055">
        <f>[1]资金台帐!AD2055</f>
        <v>0</v>
      </c>
      <c r="AJ2055">
        <f>[1]资金台帐!AJ2055</f>
        <v>0</v>
      </c>
      <c r="AK2055">
        <f>[1]资金台帐!AK2055</f>
        <v>0</v>
      </c>
      <c r="BA2055" s="22">
        <f t="shared" si="0"/>
      </c>
      <c r="BG2055" s="22">
        <f t="shared" si="1"/>
      </c>
      <c r="BH2055" s="22">
        <f t="shared" si="2"/>
        <v>0</v>
      </c>
    </row>
    <row r="2056">
      <c r="B2056">
        <f>[1]资金台帐!B2056&amp;""</f>
      </c>
      <c r="H2056">
        <f>[1]资金台帐!H2056&amp;""</f>
      </c>
      <c r="J2056">
        <f>[1]资金台帐!J2056&amp;""</f>
      </c>
      <c r="N2056">
        <f>[1]资金台帐!N2056</f>
      </c>
      <c r="O2056">
        <f>[1]资金台帐!O2056&amp;""</f>
      </c>
      <c r="P2056">
        <f>[1]资金台帐!P2056&amp;""</f>
      </c>
      <c r="Q2056">
        <f>[1]资金台帐!Q2056&amp;""</f>
      </c>
      <c r="T2056">
        <f>[1]资金台帐!T2056&amp;""</f>
      </c>
      <c r="U2056">
        <f>[1]资金台帐!U2056&amp;""</f>
      </c>
      <c r="W2056">
        <f>[1]资金台帐!W2056&amp;""</f>
      </c>
      <c r="X2056">
        <f>[1]资金台帐!X2056&amp;""</f>
      </c>
      <c r="AB2056">
        <f>[1]资金台帐!AB2056</f>
        <v>0</v>
      </c>
      <c r="AC2056">
        <f>[1]资金台帐!AC2056</f>
        <v>0</v>
      </c>
      <c r="AD2056">
        <f>[1]资金台帐!AD2056</f>
        <v>0</v>
      </c>
      <c r="AJ2056">
        <f>[1]资金台帐!AJ2056</f>
        <v>0</v>
      </c>
      <c r="AK2056">
        <f>[1]资金台帐!AK2056</f>
        <v>0</v>
      </c>
      <c r="BA2056" s="22">
        <f t="shared" si="0"/>
      </c>
      <c r="BG2056" s="22">
        <f t="shared" si="1"/>
      </c>
      <c r="BH2056" s="22">
        <f t="shared" si="2"/>
        <v>0</v>
      </c>
    </row>
    <row r="2057">
      <c r="B2057">
        <f>[1]资金台帐!B2057&amp;""</f>
      </c>
      <c r="H2057">
        <f>[1]资金台帐!H2057&amp;""</f>
      </c>
      <c r="J2057">
        <f>[1]资金台帐!J2057&amp;""</f>
      </c>
      <c r="N2057">
        <f>[1]资金台帐!N2057</f>
      </c>
      <c r="O2057">
        <f>[1]资金台帐!O2057&amp;""</f>
      </c>
      <c r="P2057">
        <f>[1]资金台帐!P2057&amp;""</f>
      </c>
      <c r="Q2057">
        <f>[1]资金台帐!Q2057&amp;""</f>
      </c>
      <c r="T2057">
        <f>[1]资金台帐!T2057&amp;""</f>
      </c>
      <c r="U2057">
        <f>[1]资金台帐!U2057&amp;""</f>
      </c>
      <c r="W2057">
        <f>[1]资金台帐!W2057&amp;""</f>
      </c>
      <c r="X2057">
        <f>[1]资金台帐!X2057&amp;""</f>
      </c>
      <c r="AB2057">
        <f>[1]资金台帐!AB2057</f>
        <v>0</v>
      </c>
      <c r="AC2057">
        <f>[1]资金台帐!AC2057</f>
        <v>0</v>
      </c>
      <c r="AD2057">
        <f>[1]资金台帐!AD2057</f>
        <v>0</v>
      </c>
      <c r="AJ2057">
        <f>[1]资金台帐!AJ2057</f>
        <v>0</v>
      </c>
      <c r="AK2057">
        <f>[1]资金台帐!AK2057</f>
        <v>0</v>
      </c>
      <c r="BA2057" s="22">
        <f t="shared" si="0"/>
      </c>
      <c r="BG2057" s="22">
        <f t="shared" si="1"/>
      </c>
      <c r="BH2057" s="22">
        <f t="shared" si="2"/>
        <v>0</v>
      </c>
    </row>
    <row r="2058">
      <c r="B2058">
        <f>[1]资金台帐!B2058&amp;""</f>
      </c>
      <c r="H2058">
        <f>[1]资金台帐!H2058&amp;""</f>
      </c>
      <c r="J2058">
        <f>[1]资金台帐!J2058&amp;""</f>
      </c>
      <c r="N2058">
        <f>[1]资金台帐!N2058</f>
      </c>
      <c r="O2058">
        <f>[1]资金台帐!O2058&amp;""</f>
      </c>
      <c r="P2058">
        <f>[1]资金台帐!P2058&amp;""</f>
      </c>
      <c r="Q2058">
        <f>[1]资金台帐!Q2058&amp;""</f>
      </c>
      <c r="T2058">
        <f>[1]资金台帐!T2058&amp;""</f>
      </c>
      <c r="U2058">
        <f>[1]资金台帐!U2058&amp;""</f>
      </c>
      <c r="W2058">
        <f>[1]资金台帐!W2058&amp;""</f>
      </c>
      <c r="X2058">
        <f>[1]资金台帐!X2058&amp;""</f>
      </c>
      <c r="AB2058">
        <f>[1]资金台帐!AB2058</f>
        <v>0</v>
      </c>
      <c r="AC2058">
        <f>[1]资金台帐!AC2058</f>
        <v>0</v>
      </c>
      <c r="AD2058">
        <f>[1]资金台帐!AD2058</f>
        <v>0</v>
      </c>
      <c r="AJ2058">
        <f>[1]资金台帐!AJ2058</f>
        <v>0</v>
      </c>
      <c r="AK2058">
        <f>[1]资金台帐!AK2058</f>
        <v>0</v>
      </c>
      <c r="BA2058" s="22">
        <f t="shared" si="0"/>
      </c>
      <c r="BG2058" s="22">
        <f t="shared" si="1"/>
      </c>
      <c r="BH2058" s="22">
        <f t="shared" si="2"/>
        <v>0</v>
      </c>
    </row>
    <row r="2059">
      <c r="B2059">
        <f>[1]资金台帐!B2059&amp;""</f>
      </c>
      <c r="H2059">
        <f>[1]资金台帐!H2059&amp;""</f>
      </c>
      <c r="J2059">
        <f>[1]资金台帐!J2059&amp;""</f>
      </c>
      <c r="N2059">
        <f>[1]资金台帐!N2059</f>
      </c>
      <c r="O2059">
        <f>[1]资金台帐!O2059&amp;""</f>
      </c>
      <c r="P2059">
        <f>[1]资金台帐!P2059&amp;""</f>
      </c>
      <c r="Q2059">
        <f>[1]资金台帐!Q2059&amp;""</f>
      </c>
      <c r="T2059">
        <f>[1]资金台帐!T2059&amp;""</f>
      </c>
      <c r="U2059">
        <f>[1]资金台帐!U2059&amp;""</f>
      </c>
      <c r="W2059">
        <f>[1]资金台帐!W2059&amp;""</f>
      </c>
      <c r="X2059">
        <f>[1]资金台帐!X2059&amp;""</f>
      </c>
      <c r="AB2059">
        <f>[1]资金台帐!AB2059</f>
        <v>0</v>
      </c>
      <c r="AC2059">
        <f>[1]资金台帐!AC2059</f>
        <v>0</v>
      </c>
      <c r="AD2059">
        <f>[1]资金台帐!AD2059</f>
        <v>0</v>
      </c>
      <c r="AJ2059">
        <f>[1]资金台帐!AJ2059</f>
        <v>0</v>
      </c>
      <c r="AK2059">
        <f>[1]资金台帐!AK2059</f>
        <v>0</v>
      </c>
      <c r="BA2059" s="22">
        <f t="shared" si="0"/>
      </c>
      <c r="BG2059" s="22">
        <f t="shared" si="1"/>
      </c>
      <c r="BH2059" s="22">
        <f t="shared" si="2"/>
        <v>0</v>
      </c>
    </row>
    <row r="2060">
      <c r="B2060">
        <f>[1]资金台帐!B2060&amp;""</f>
      </c>
      <c r="H2060">
        <f>[1]资金台帐!H2060&amp;""</f>
      </c>
      <c r="J2060">
        <f>[1]资金台帐!J2060&amp;""</f>
      </c>
      <c r="N2060">
        <f>[1]资金台帐!N2060</f>
      </c>
      <c r="O2060">
        <f>[1]资金台帐!O2060&amp;""</f>
      </c>
      <c r="P2060">
        <f>[1]资金台帐!P2060&amp;""</f>
      </c>
      <c r="Q2060">
        <f>[1]资金台帐!Q2060&amp;""</f>
      </c>
      <c r="T2060">
        <f>[1]资金台帐!T2060&amp;""</f>
      </c>
      <c r="U2060">
        <f>[1]资金台帐!U2060&amp;""</f>
      </c>
      <c r="W2060">
        <f>[1]资金台帐!W2060&amp;""</f>
      </c>
      <c r="X2060">
        <f>[1]资金台帐!X2060&amp;""</f>
      </c>
      <c r="AB2060">
        <f>[1]资金台帐!AB2060</f>
        <v>0</v>
      </c>
      <c r="AC2060">
        <f>[1]资金台帐!AC2060</f>
        <v>0</v>
      </c>
      <c r="AD2060">
        <f>[1]资金台帐!AD2060</f>
        <v>0</v>
      </c>
      <c r="AJ2060">
        <f>[1]资金台帐!AJ2060</f>
        <v>0</v>
      </c>
      <c r="AK2060">
        <f>[1]资金台帐!AK2060</f>
        <v>0</v>
      </c>
      <c r="BA2060" s="22">
        <f t="shared" si="0"/>
      </c>
      <c r="BG2060" s="22">
        <f t="shared" si="1"/>
      </c>
      <c r="BH2060" s="22">
        <f t="shared" si="2"/>
        <v>0</v>
      </c>
    </row>
    <row r="2061">
      <c r="B2061">
        <f>[1]资金台帐!B2061&amp;""</f>
      </c>
      <c r="H2061">
        <f>[1]资金台帐!H2061&amp;""</f>
      </c>
      <c r="J2061">
        <f>[1]资金台帐!J2061&amp;""</f>
      </c>
      <c r="N2061">
        <f>[1]资金台帐!N2061</f>
      </c>
      <c r="O2061">
        <f>[1]资金台帐!O2061&amp;""</f>
      </c>
      <c r="P2061">
        <f>[1]资金台帐!P2061&amp;""</f>
      </c>
      <c r="Q2061">
        <f>[1]资金台帐!Q2061&amp;""</f>
      </c>
      <c r="T2061">
        <f>[1]资金台帐!T2061&amp;""</f>
      </c>
      <c r="U2061">
        <f>[1]资金台帐!U2061&amp;""</f>
      </c>
      <c r="W2061">
        <f>[1]资金台帐!W2061&amp;""</f>
      </c>
      <c r="X2061">
        <f>[1]资金台帐!X2061&amp;""</f>
      </c>
      <c r="AB2061">
        <f>[1]资金台帐!AB2061</f>
        <v>0</v>
      </c>
      <c r="AC2061">
        <f>[1]资金台帐!AC2061</f>
        <v>0</v>
      </c>
      <c r="AD2061">
        <f>[1]资金台帐!AD2061</f>
        <v>0</v>
      </c>
      <c r="AJ2061">
        <f>[1]资金台帐!AJ2061</f>
        <v>0</v>
      </c>
      <c r="AK2061">
        <f>[1]资金台帐!AK2061</f>
        <v>0</v>
      </c>
      <c r="BA2061" s="22">
        <f t="shared" si="0"/>
      </c>
      <c r="BG2061" s="22">
        <f t="shared" si="1"/>
      </c>
      <c r="BH2061" s="22">
        <f t="shared" si="2"/>
        <v>0</v>
      </c>
    </row>
    <row r="2062">
      <c r="B2062">
        <f>[1]资金台帐!B2062&amp;""</f>
      </c>
      <c r="H2062">
        <f>[1]资金台帐!H2062&amp;""</f>
      </c>
      <c r="J2062">
        <f>[1]资金台帐!J2062&amp;""</f>
      </c>
      <c r="N2062">
        <f>[1]资金台帐!N2062</f>
      </c>
      <c r="O2062">
        <f>[1]资金台帐!O2062&amp;""</f>
      </c>
      <c r="P2062">
        <f>[1]资金台帐!P2062&amp;""</f>
      </c>
      <c r="Q2062">
        <f>[1]资金台帐!Q2062&amp;""</f>
      </c>
      <c r="T2062">
        <f>[1]资金台帐!T2062&amp;""</f>
      </c>
      <c r="U2062">
        <f>[1]资金台帐!U2062&amp;""</f>
      </c>
      <c r="W2062">
        <f>[1]资金台帐!W2062&amp;""</f>
      </c>
      <c r="X2062">
        <f>[1]资金台帐!X2062&amp;""</f>
      </c>
      <c r="AB2062">
        <f>[1]资金台帐!AB2062</f>
        <v>0</v>
      </c>
      <c r="AC2062">
        <f>[1]资金台帐!AC2062</f>
        <v>0</v>
      </c>
      <c r="AD2062">
        <f>[1]资金台帐!AD2062</f>
        <v>0</v>
      </c>
      <c r="AJ2062">
        <f>[1]资金台帐!AJ2062</f>
        <v>0</v>
      </c>
      <c r="AK2062">
        <f>[1]资金台帐!AK2062</f>
        <v>0</v>
      </c>
      <c r="BA2062" s="22">
        <f t="shared" si="0"/>
      </c>
      <c r="BG2062" s="22">
        <f t="shared" si="1"/>
      </c>
      <c r="BH2062" s="22">
        <f t="shared" si="2"/>
        <v>0</v>
      </c>
    </row>
    <row r="2063">
      <c r="B2063">
        <f>[1]资金台帐!B2063&amp;""</f>
      </c>
      <c r="H2063">
        <f>[1]资金台帐!H2063&amp;""</f>
      </c>
      <c r="J2063">
        <f>[1]资金台帐!J2063&amp;""</f>
      </c>
      <c r="N2063">
        <f>[1]资金台帐!N2063</f>
      </c>
      <c r="O2063">
        <f>[1]资金台帐!O2063&amp;""</f>
      </c>
      <c r="P2063">
        <f>[1]资金台帐!P2063&amp;""</f>
      </c>
      <c r="Q2063">
        <f>[1]资金台帐!Q2063&amp;""</f>
      </c>
      <c r="T2063">
        <f>[1]资金台帐!T2063&amp;""</f>
      </c>
      <c r="U2063">
        <f>[1]资金台帐!U2063&amp;""</f>
      </c>
      <c r="W2063">
        <f>[1]资金台帐!W2063&amp;""</f>
      </c>
      <c r="X2063">
        <f>[1]资金台帐!X2063&amp;""</f>
      </c>
      <c r="AB2063">
        <f>[1]资金台帐!AB2063</f>
        <v>0</v>
      </c>
      <c r="AC2063">
        <f>[1]资金台帐!AC2063</f>
        <v>0</v>
      </c>
      <c r="AD2063">
        <f>[1]资金台帐!AD2063</f>
        <v>0</v>
      </c>
      <c r="AJ2063">
        <f>[1]资金台帐!AJ2063</f>
        <v>0</v>
      </c>
      <c r="AK2063">
        <f>[1]资金台帐!AK2063</f>
        <v>0</v>
      </c>
      <c r="BA2063" s="22">
        <f t="shared" si="0"/>
      </c>
      <c r="BG2063" s="22">
        <f t="shared" si="1"/>
      </c>
      <c r="BH2063" s="22">
        <f t="shared" si="2"/>
        <v>0</v>
      </c>
    </row>
    <row r="2064">
      <c r="B2064">
        <f>[1]资金台帐!B2064&amp;""</f>
      </c>
      <c r="H2064">
        <f>[1]资金台帐!H2064&amp;""</f>
      </c>
      <c r="J2064">
        <f>[1]资金台帐!J2064&amp;""</f>
      </c>
      <c r="N2064">
        <f>[1]资金台帐!N2064</f>
      </c>
      <c r="O2064">
        <f>[1]资金台帐!O2064&amp;""</f>
      </c>
      <c r="P2064">
        <f>[1]资金台帐!P2064&amp;""</f>
      </c>
      <c r="Q2064">
        <f>[1]资金台帐!Q2064&amp;""</f>
      </c>
      <c r="T2064">
        <f>[1]资金台帐!T2064&amp;""</f>
      </c>
      <c r="U2064">
        <f>[1]资金台帐!U2064&amp;""</f>
      </c>
      <c r="W2064">
        <f>[1]资金台帐!W2064&amp;""</f>
      </c>
      <c r="X2064">
        <f>[1]资金台帐!X2064&amp;""</f>
      </c>
      <c r="AB2064">
        <f>[1]资金台帐!AB2064</f>
        <v>0</v>
      </c>
      <c r="AC2064">
        <f>[1]资金台帐!AC2064</f>
        <v>0</v>
      </c>
      <c r="AD2064">
        <f>[1]资金台帐!AD2064</f>
        <v>0</v>
      </c>
      <c r="AJ2064">
        <f>[1]资金台帐!AJ2064</f>
        <v>0</v>
      </c>
      <c r="AK2064">
        <f>[1]资金台帐!AK2064</f>
        <v>0</v>
      </c>
      <c r="BA2064" s="22">
        <f t="shared" si="0"/>
      </c>
      <c r="BG2064" s="22">
        <f t="shared" si="1"/>
      </c>
      <c r="BH2064" s="22">
        <f t="shared" si="2"/>
        <v>0</v>
      </c>
    </row>
    <row r="2065">
      <c r="B2065">
        <f>[1]资金台帐!B2065&amp;""</f>
      </c>
      <c r="H2065">
        <f>[1]资金台帐!H2065&amp;""</f>
      </c>
      <c r="J2065">
        <f>[1]资金台帐!J2065&amp;""</f>
      </c>
      <c r="N2065">
        <f>[1]资金台帐!N2065</f>
      </c>
      <c r="O2065">
        <f>[1]资金台帐!O2065&amp;""</f>
      </c>
      <c r="P2065">
        <f>[1]资金台帐!P2065&amp;""</f>
      </c>
      <c r="Q2065">
        <f>[1]资金台帐!Q2065&amp;""</f>
      </c>
      <c r="T2065">
        <f>[1]资金台帐!T2065&amp;""</f>
      </c>
      <c r="U2065">
        <f>[1]资金台帐!U2065&amp;""</f>
      </c>
      <c r="W2065">
        <f>[1]资金台帐!W2065&amp;""</f>
      </c>
      <c r="X2065">
        <f>[1]资金台帐!X2065&amp;""</f>
      </c>
      <c r="AB2065">
        <f>[1]资金台帐!AB2065</f>
        <v>0</v>
      </c>
      <c r="AC2065">
        <f>[1]资金台帐!AC2065</f>
        <v>0</v>
      </c>
      <c r="AD2065">
        <f>[1]资金台帐!AD2065</f>
        <v>0</v>
      </c>
      <c r="AJ2065">
        <f>[1]资金台帐!AJ2065</f>
        <v>0</v>
      </c>
      <c r="AK2065">
        <f>[1]资金台帐!AK2065</f>
        <v>0</v>
      </c>
      <c r="BA2065" s="22">
        <f t="shared" si="0"/>
      </c>
      <c r="BG2065" s="22">
        <f t="shared" si="1"/>
      </c>
      <c r="BH2065" s="22">
        <f t="shared" si="2"/>
        <v>0</v>
      </c>
    </row>
    <row r="2066">
      <c r="B2066">
        <f>[1]资金台帐!B2066&amp;""</f>
      </c>
      <c r="H2066">
        <f>[1]资金台帐!H2066&amp;""</f>
      </c>
      <c r="J2066">
        <f>[1]资金台帐!J2066&amp;""</f>
      </c>
      <c r="N2066">
        <f>[1]资金台帐!N2066</f>
      </c>
      <c r="O2066">
        <f>[1]资金台帐!O2066&amp;""</f>
      </c>
      <c r="P2066">
        <f>[1]资金台帐!P2066&amp;""</f>
      </c>
      <c r="Q2066">
        <f>[1]资金台帐!Q2066&amp;""</f>
      </c>
      <c r="T2066">
        <f>[1]资金台帐!T2066&amp;""</f>
      </c>
      <c r="U2066">
        <f>[1]资金台帐!U2066&amp;""</f>
      </c>
      <c r="W2066">
        <f>[1]资金台帐!W2066&amp;""</f>
      </c>
      <c r="X2066">
        <f>[1]资金台帐!X2066&amp;""</f>
      </c>
      <c r="AB2066">
        <f>[1]资金台帐!AB2066</f>
        <v>0</v>
      </c>
      <c r="AC2066">
        <f>[1]资金台帐!AC2066</f>
        <v>0</v>
      </c>
      <c r="AD2066">
        <f>[1]资金台帐!AD2066</f>
        <v>0</v>
      </c>
      <c r="AJ2066">
        <f>[1]资金台帐!AJ2066</f>
        <v>0</v>
      </c>
      <c r="AK2066">
        <f>[1]资金台帐!AK2066</f>
        <v>0</v>
      </c>
      <c r="BA2066" s="22">
        <f t="shared" si="0"/>
      </c>
      <c r="BG2066" s="22">
        <f t="shared" si="1"/>
      </c>
      <c r="BH2066" s="22">
        <f t="shared" si="2"/>
        <v>0</v>
      </c>
    </row>
    <row r="2067">
      <c r="B2067">
        <f>[1]资金台帐!B2067&amp;""</f>
      </c>
      <c r="H2067">
        <f>[1]资金台帐!H2067&amp;""</f>
      </c>
      <c r="J2067">
        <f>[1]资金台帐!J2067&amp;""</f>
      </c>
      <c r="N2067">
        <f>[1]资金台帐!N2067</f>
      </c>
      <c r="O2067">
        <f>[1]资金台帐!O2067&amp;""</f>
      </c>
      <c r="P2067">
        <f>[1]资金台帐!P2067&amp;""</f>
      </c>
      <c r="Q2067">
        <f>[1]资金台帐!Q2067&amp;""</f>
      </c>
      <c r="T2067">
        <f>[1]资金台帐!T2067&amp;""</f>
      </c>
      <c r="U2067">
        <f>[1]资金台帐!U2067&amp;""</f>
      </c>
      <c r="W2067">
        <f>[1]资金台帐!W2067&amp;""</f>
      </c>
      <c r="X2067">
        <f>[1]资金台帐!X2067&amp;""</f>
      </c>
      <c r="AB2067">
        <f>[1]资金台帐!AB2067</f>
        <v>0</v>
      </c>
      <c r="AC2067">
        <f>[1]资金台帐!AC2067</f>
        <v>0</v>
      </c>
      <c r="AD2067">
        <f>[1]资金台帐!AD2067</f>
        <v>0</v>
      </c>
      <c r="AJ2067">
        <f>[1]资金台帐!AJ2067</f>
        <v>0</v>
      </c>
      <c r="AK2067">
        <f>[1]资金台帐!AK2067</f>
        <v>0</v>
      </c>
      <c r="BA2067" s="22">
        <f t="shared" si="0"/>
      </c>
      <c r="BG2067" s="22">
        <f t="shared" si="1"/>
      </c>
      <c r="BH2067" s="22">
        <f t="shared" si="2"/>
        <v>0</v>
      </c>
    </row>
    <row r="2068">
      <c r="B2068">
        <f>[1]资金台帐!B2068&amp;""</f>
      </c>
      <c r="H2068">
        <f>[1]资金台帐!H2068&amp;""</f>
      </c>
      <c r="J2068">
        <f>[1]资金台帐!J2068&amp;""</f>
      </c>
      <c r="N2068">
        <f>[1]资金台帐!N2068</f>
      </c>
      <c r="O2068">
        <f>[1]资金台帐!O2068&amp;""</f>
      </c>
      <c r="P2068">
        <f>[1]资金台帐!P2068&amp;""</f>
      </c>
      <c r="Q2068">
        <f>[1]资金台帐!Q2068&amp;""</f>
      </c>
      <c r="T2068">
        <f>[1]资金台帐!T2068&amp;""</f>
      </c>
      <c r="U2068">
        <f>[1]资金台帐!U2068&amp;""</f>
      </c>
      <c r="W2068">
        <f>[1]资金台帐!W2068&amp;""</f>
      </c>
      <c r="X2068">
        <f>[1]资金台帐!X2068&amp;""</f>
      </c>
      <c r="AB2068">
        <f>[1]资金台帐!AB2068</f>
        <v>0</v>
      </c>
      <c r="AC2068">
        <f>[1]资金台帐!AC2068</f>
        <v>0</v>
      </c>
      <c r="AD2068">
        <f>[1]资金台帐!AD2068</f>
        <v>0</v>
      </c>
      <c r="AJ2068">
        <f>[1]资金台帐!AJ2068</f>
        <v>0</v>
      </c>
      <c r="AK2068">
        <f>[1]资金台帐!AK2068</f>
        <v>0</v>
      </c>
      <c r="BA2068" s="22">
        <f t="shared" si="0"/>
      </c>
      <c r="BG2068" s="22">
        <f t="shared" si="1"/>
      </c>
      <c r="BH2068" s="22">
        <f t="shared" si="2"/>
        <v>0</v>
      </c>
    </row>
    <row r="2069">
      <c r="B2069">
        <f>[1]资金台帐!B2069&amp;""</f>
      </c>
      <c r="H2069">
        <f>[1]资金台帐!H2069&amp;""</f>
      </c>
      <c r="J2069">
        <f>[1]资金台帐!J2069&amp;""</f>
      </c>
      <c r="N2069">
        <f>[1]资金台帐!N2069</f>
      </c>
      <c r="O2069">
        <f>[1]资金台帐!O2069&amp;""</f>
      </c>
      <c r="P2069">
        <f>[1]资金台帐!P2069&amp;""</f>
      </c>
      <c r="Q2069">
        <f>[1]资金台帐!Q2069&amp;""</f>
      </c>
      <c r="T2069">
        <f>[1]资金台帐!T2069&amp;""</f>
      </c>
      <c r="U2069">
        <f>[1]资金台帐!U2069&amp;""</f>
      </c>
      <c r="W2069">
        <f>[1]资金台帐!W2069&amp;""</f>
      </c>
      <c r="X2069">
        <f>[1]资金台帐!X2069&amp;""</f>
      </c>
      <c r="AB2069">
        <f>[1]资金台帐!AB2069</f>
        <v>0</v>
      </c>
      <c r="AC2069">
        <f>[1]资金台帐!AC2069</f>
        <v>0</v>
      </c>
      <c r="AD2069">
        <f>[1]资金台帐!AD2069</f>
        <v>0</v>
      </c>
      <c r="AJ2069">
        <f>[1]资金台帐!AJ2069</f>
        <v>0</v>
      </c>
      <c r="AK2069">
        <f>[1]资金台帐!AK2069</f>
        <v>0</v>
      </c>
      <c r="BA2069" s="22">
        <f t="shared" si="0"/>
      </c>
      <c r="BG2069" s="22">
        <f t="shared" si="1"/>
      </c>
      <c r="BH2069" s="22">
        <f t="shared" si="2"/>
        <v>0</v>
      </c>
    </row>
    <row r="2070">
      <c r="B2070">
        <f>[1]资金台帐!B2070&amp;""</f>
      </c>
      <c r="H2070">
        <f>[1]资金台帐!H2070&amp;""</f>
      </c>
      <c r="J2070">
        <f>[1]资金台帐!J2070&amp;""</f>
      </c>
      <c r="N2070">
        <f>[1]资金台帐!N2070</f>
      </c>
      <c r="O2070">
        <f>[1]资金台帐!O2070&amp;""</f>
      </c>
      <c r="P2070">
        <f>[1]资金台帐!P2070&amp;""</f>
      </c>
      <c r="Q2070">
        <f>[1]资金台帐!Q2070&amp;""</f>
      </c>
      <c r="T2070">
        <f>[1]资金台帐!T2070&amp;""</f>
      </c>
      <c r="U2070">
        <f>[1]资金台帐!U2070&amp;""</f>
      </c>
      <c r="W2070">
        <f>[1]资金台帐!W2070&amp;""</f>
      </c>
      <c r="X2070">
        <f>[1]资金台帐!X2070&amp;""</f>
      </c>
      <c r="AB2070">
        <f>[1]资金台帐!AB2070</f>
        <v>0</v>
      </c>
      <c r="AC2070">
        <f>[1]资金台帐!AC2070</f>
        <v>0</v>
      </c>
      <c r="AD2070">
        <f>[1]资金台帐!AD2070</f>
        <v>0</v>
      </c>
      <c r="AJ2070">
        <f>[1]资金台帐!AJ2070</f>
        <v>0</v>
      </c>
      <c r="AK2070">
        <f>[1]资金台帐!AK2070</f>
        <v>0</v>
      </c>
      <c r="BA2070" s="22">
        <f t="shared" si="0"/>
      </c>
      <c r="BG2070" s="22">
        <f t="shared" si="1"/>
      </c>
      <c r="BH2070" s="22">
        <f t="shared" si="2"/>
        <v>0</v>
      </c>
    </row>
    <row r="2071">
      <c r="B2071">
        <f>[1]资金台帐!B2071&amp;""</f>
      </c>
      <c r="H2071">
        <f>[1]资金台帐!H2071&amp;""</f>
      </c>
      <c r="J2071">
        <f>[1]资金台帐!J2071&amp;""</f>
      </c>
      <c r="N2071">
        <f>[1]资金台帐!N2071</f>
      </c>
      <c r="O2071">
        <f>[1]资金台帐!O2071&amp;""</f>
      </c>
      <c r="P2071">
        <f>[1]资金台帐!P2071&amp;""</f>
      </c>
      <c r="Q2071">
        <f>[1]资金台帐!Q2071&amp;""</f>
      </c>
      <c r="T2071">
        <f>[1]资金台帐!T2071&amp;""</f>
      </c>
      <c r="U2071">
        <f>[1]资金台帐!U2071&amp;""</f>
      </c>
      <c r="W2071">
        <f>[1]资金台帐!W2071&amp;""</f>
      </c>
      <c r="X2071">
        <f>[1]资金台帐!X2071&amp;""</f>
      </c>
      <c r="AB2071">
        <f>[1]资金台帐!AB2071</f>
        <v>0</v>
      </c>
      <c r="AC2071">
        <f>[1]资金台帐!AC2071</f>
        <v>0</v>
      </c>
      <c r="AD2071">
        <f>[1]资金台帐!AD2071</f>
        <v>0</v>
      </c>
      <c r="AJ2071">
        <f>[1]资金台帐!AJ2071</f>
        <v>0</v>
      </c>
      <c r="AK2071">
        <f>[1]资金台帐!AK2071</f>
        <v>0</v>
      </c>
      <c r="BA2071" s="22">
        <f t="shared" si="0"/>
      </c>
      <c r="BG2071" s="22">
        <f t="shared" si="1"/>
      </c>
      <c r="BH2071" s="22">
        <f t="shared" si="2"/>
        <v>0</v>
      </c>
    </row>
    <row r="2072">
      <c r="B2072">
        <f>[1]资金台帐!B2072&amp;""</f>
      </c>
      <c r="H2072">
        <f>[1]资金台帐!H2072&amp;""</f>
      </c>
      <c r="J2072">
        <f>[1]资金台帐!J2072&amp;""</f>
      </c>
      <c r="N2072">
        <f>[1]资金台帐!N2072</f>
      </c>
      <c r="O2072">
        <f>[1]资金台帐!O2072&amp;""</f>
      </c>
      <c r="P2072">
        <f>[1]资金台帐!P2072&amp;""</f>
      </c>
      <c r="Q2072">
        <f>[1]资金台帐!Q2072&amp;""</f>
      </c>
      <c r="T2072">
        <f>[1]资金台帐!T2072&amp;""</f>
      </c>
      <c r="U2072">
        <f>[1]资金台帐!U2072&amp;""</f>
      </c>
      <c r="W2072">
        <f>[1]资金台帐!W2072&amp;""</f>
      </c>
      <c r="X2072">
        <f>[1]资金台帐!X2072&amp;""</f>
      </c>
      <c r="AB2072">
        <f>[1]资金台帐!AB2072</f>
        <v>0</v>
      </c>
      <c r="AC2072">
        <f>[1]资金台帐!AC2072</f>
        <v>0</v>
      </c>
      <c r="AD2072">
        <f>[1]资金台帐!AD2072</f>
        <v>0</v>
      </c>
      <c r="AJ2072">
        <f>[1]资金台帐!AJ2072</f>
        <v>0</v>
      </c>
      <c r="AK2072">
        <f>[1]资金台帐!AK2072</f>
        <v>0</v>
      </c>
      <c r="BA2072" s="22">
        <f t="shared" si="0"/>
      </c>
      <c r="BG2072" s="22">
        <f t="shared" si="1"/>
      </c>
      <c r="BH2072" s="22">
        <f t="shared" si="2"/>
        <v>0</v>
      </c>
    </row>
    <row r="2073">
      <c r="B2073">
        <f>[1]资金台帐!B2073&amp;""</f>
      </c>
      <c r="H2073">
        <f>[1]资金台帐!H2073&amp;""</f>
      </c>
      <c r="J2073">
        <f>[1]资金台帐!J2073&amp;""</f>
      </c>
      <c r="N2073">
        <f>[1]资金台帐!N2073</f>
      </c>
      <c r="O2073">
        <f>[1]资金台帐!O2073&amp;""</f>
      </c>
      <c r="P2073">
        <f>[1]资金台帐!P2073&amp;""</f>
      </c>
      <c r="Q2073">
        <f>[1]资金台帐!Q2073&amp;""</f>
      </c>
      <c r="T2073">
        <f>[1]资金台帐!T2073&amp;""</f>
      </c>
      <c r="U2073">
        <f>[1]资金台帐!U2073&amp;""</f>
      </c>
      <c r="W2073">
        <f>[1]资金台帐!W2073&amp;""</f>
      </c>
      <c r="X2073">
        <f>[1]资金台帐!X2073&amp;""</f>
      </c>
      <c r="AB2073">
        <f>[1]资金台帐!AB2073</f>
        <v>0</v>
      </c>
      <c r="AC2073">
        <f>[1]资金台帐!AC2073</f>
        <v>0</v>
      </c>
      <c r="AD2073">
        <f>[1]资金台帐!AD2073</f>
        <v>0</v>
      </c>
      <c r="AJ2073">
        <f>[1]资金台帐!AJ2073</f>
        <v>0</v>
      </c>
      <c r="AK2073">
        <f>[1]资金台帐!AK2073</f>
        <v>0</v>
      </c>
      <c r="BA2073" s="22">
        <f t="shared" si="0"/>
      </c>
      <c r="BG2073" s="22">
        <f t="shared" si="1"/>
      </c>
      <c r="BH2073" s="22">
        <f t="shared" si="2"/>
        <v>0</v>
      </c>
    </row>
    <row r="2074">
      <c r="B2074">
        <f>[1]资金台帐!B2074&amp;""</f>
      </c>
      <c r="H2074">
        <f>[1]资金台帐!H2074&amp;""</f>
      </c>
      <c r="J2074">
        <f>[1]资金台帐!J2074&amp;""</f>
      </c>
      <c r="N2074">
        <f>[1]资金台帐!N2074</f>
      </c>
      <c r="O2074">
        <f>[1]资金台帐!O2074&amp;""</f>
      </c>
      <c r="P2074">
        <f>[1]资金台帐!P2074&amp;""</f>
      </c>
      <c r="Q2074">
        <f>[1]资金台帐!Q2074&amp;""</f>
      </c>
      <c r="T2074">
        <f>[1]资金台帐!T2074&amp;""</f>
      </c>
      <c r="U2074">
        <f>[1]资金台帐!U2074&amp;""</f>
      </c>
      <c r="W2074">
        <f>[1]资金台帐!W2074&amp;""</f>
      </c>
      <c r="X2074">
        <f>[1]资金台帐!X2074&amp;""</f>
      </c>
      <c r="AB2074">
        <f>[1]资金台帐!AB2074</f>
        <v>0</v>
      </c>
      <c r="AC2074">
        <f>[1]资金台帐!AC2074</f>
        <v>0</v>
      </c>
      <c r="AD2074">
        <f>[1]资金台帐!AD2074</f>
        <v>0</v>
      </c>
      <c r="AJ2074">
        <f>[1]资金台帐!AJ2074</f>
        <v>0</v>
      </c>
      <c r="AK2074">
        <f>[1]资金台帐!AK2074</f>
        <v>0</v>
      </c>
      <c r="BA2074" s="22">
        <f t="shared" si="0"/>
      </c>
      <c r="BG2074" s="22">
        <f t="shared" si="1"/>
      </c>
      <c r="BH2074" s="22">
        <f t="shared" si="2"/>
        <v>0</v>
      </c>
    </row>
    <row r="2075">
      <c r="B2075">
        <f>[1]资金台帐!B2075&amp;""</f>
      </c>
      <c r="H2075">
        <f>[1]资金台帐!H2075&amp;""</f>
      </c>
      <c r="J2075">
        <f>[1]资金台帐!J2075&amp;""</f>
      </c>
      <c r="N2075">
        <f>[1]资金台帐!N2075</f>
      </c>
      <c r="O2075">
        <f>[1]资金台帐!O2075&amp;""</f>
      </c>
      <c r="P2075">
        <f>[1]资金台帐!P2075&amp;""</f>
      </c>
      <c r="Q2075">
        <f>[1]资金台帐!Q2075&amp;""</f>
      </c>
      <c r="T2075">
        <f>[1]资金台帐!T2075&amp;""</f>
      </c>
      <c r="U2075">
        <f>[1]资金台帐!U2075&amp;""</f>
      </c>
      <c r="W2075">
        <f>[1]资金台帐!W2075&amp;""</f>
      </c>
      <c r="X2075">
        <f>[1]资金台帐!X2075&amp;""</f>
      </c>
      <c r="AB2075">
        <f>[1]资金台帐!AB2075</f>
        <v>0</v>
      </c>
      <c r="AC2075">
        <f>[1]资金台帐!AC2075</f>
        <v>0</v>
      </c>
      <c r="AD2075">
        <f>[1]资金台帐!AD2075</f>
        <v>0</v>
      </c>
      <c r="AJ2075">
        <f>[1]资金台帐!AJ2075</f>
        <v>0</v>
      </c>
      <c r="AK2075">
        <f>[1]资金台帐!AK2075</f>
        <v>0</v>
      </c>
      <c r="BA2075" s="22">
        <f t="shared" si="0"/>
      </c>
      <c r="BG2075" s="22">
        <f t="shared" si="1"/>
      </c>
      <c r="BH2075" s="22">
        <f t="shared" si="2"/>
        <v>0</v>
      </c>
    </row>
    <row r="2076">
      <c r="B2076">
        <f>[1]资金台帐!B2076&amp;""</f>
      </c>
      <c r="H2076">
        <f>[1]资金台帐!H2076&amp;""</f>
      </c>
      <c r="J2076">
        <f>[1]资金台帐!J2076&amp;""</f>
      </c>
      <c r="N2076">
        <f>[1]资金台帐!N2076</f>
      </c>
      <c r="O2076">
        <f>[1]资金台帐!O2076&amp;""</f>
      </c>
      <c r="P2076">
        <f>[1]资金台帐!P2076&amp;""</f>
      </c>
      <c r="Q2076">
        <f>[1]资金台帐!Q2076&amp;""</f>
      </c>
      <c r="T2076">
        <f>[1]资金台帐!T2076&amp;""</f>
      </c>
      <c r="U2076">
        <f>[1]资金台帐!U2076&amp;""</f>
      </c>
      <c r="W2076">
        <f>[1]资金台帐!W2076&amp;""</f>
      </c>
      <c r="X2076">
        <f>[1]资金台帐!X2076&amp;""</f>
      </c>
      <c r="AB2076">
        <f>[1]资金台帐!AB2076</f>
        <v>0</v>
      </c>
      <c r="AC2076">
        <f>[1]资金台帐!AC2076</f>
        <v>0</v>
      </c>
      <c r="AD2076">
        <f>[1]资金台帐!AD2076</f>
        <v>0</v>
      </c>
      <c r="AJ2076">
        <f>[1]资金台帐!AJ2076</f>
        <v>0</v>
      </c>
      <c r="AK2076">
        <f>[1]资金台帐!AK2076</f>
        <v>0</v>
      </c>
      <c r="BA2076" s="22">
        <f t="shared" si="0"/>
      </c>
      <c r="BG2076" s="22">
        <f t="shared" si="1"/>
      </c>
      <c r="BH2076" s="22">
        <f t="shared" si="2"/>
        <v>0</v>
      </c>
    </row>
    <row r="2077">
      <c r="B2077">
        <f>[1]资金台帐!B2077&amp;""</f>
      </c>
      <c r="H2077">
        <f>[1]资金台帐!H2077&amp;""</f>
      </c>
      <c r="J2077">
        <f>[1]资金台帐!J2077&amp;""</f>
      </c>
      <c r="N2077">
        <f>[1]资金台帐!N2077</f>
      </c>
      <c r="O2077">
        <f>[1]资金台帐!O2077&amp;""</f>
      </c>
      <c r="P2077">
        <f>[1]资金台帐!P2077&amp;""</f>
      </c>
      <c r="Q2077">
        <f>[1]资金台帐!Q2077&amp;""</f>
      </c>
      <c r="T2077">
        <f>[1]资金台帐!T2077&amp;""</f>
      </c>
      <c r="U2077">
        <f>[1]资金台帐!U2077&amp;""</f>
      </c>
      <c r="W2077">
        <f>[1]资金台帐!W2077&amp;""</f>
      </c>
      <c r="X2077">
        <f>[1]资金台帐!X2077&amp;""</f>
      </c>
      <c r="AB2077">
        <f>[1]资金台帐!AB2077</f>
        <v>0</v>
      </c>
      <c r="AC2077">
        <f>[1]资金台帐!AC2077</f>
        <v>0</v>
      </c>
      <c r="AD2077">
        <f>[1]资金台帐!AD2077</f>
        <v>0</v>
      </c>
      <c r="AJ2077">
        <f>[1]资金台帐!AJ2077</f>
        <v>0</v>
      </c>
      <c r="AK2077">
        <f>[1]资金台帐!AK2077</f>
        <v>0</v>
      </c>
      <c r="BA2077" s="22">
        <f t="shared" si="0"/>
      </c>
      <c r="BG2077" s="22">
        <f t="shared" si="1"/>
      </c>
      <c r="BH2077" s="22">
        <f t="shared" si="2"/>
        <v>0</v>
      </c>
    </row>
    <row r="2078">
      <c r="B2078">
        <f>[1]资金台帐!B2078&amp;""</f>
      </c>
      <c r="H2078">
        <f>[1]资金台帐!H2078&amp;""</f>
      </c>
      <c r="J2078">
        <f>[1]资金台帐!J2078&amp;""</f>
      </c>
      <c r="N2078">
        <f>[1]资金台帐!N2078</f>
      </c>
      <c r="O2078">
        <f>[1]资金台帐!O2078&amp;""</f>
      </c>
      <c r="P2078">
        <f>[1]资金台帐!P2078&amp;""</f>
      </c>
      <c r="Q2078">
        <f>[1]资金台帐!Q2078&amp;""</f>
      </c>
      <c r="T2078">
        <f>[1]资金台帐!T2078&amp;""</f>
      </c>
      <c r="U2078">
        <f>[1]资金台帐!U2078&amp;""</f>
      </c>
      <c r="W2078">
        <f>[1]资金台帐!W2078&amp;""</f>
      </c>
      <c r="X2078">
        <f>[1]资金台帐!X2078&amp;""</f>
      </c>
      <c r="AB2078">
        <f>[1]资金台帐!AB2078</f>
        <v>0</v>
      </c>
      <c r="AC2078">
        <f>[1]资金台帐!AC2078</f>
        <v>0</v>
      </c>
      <c r="AD2078">
        <f>[1]资金台帐!AD2078</f>
        <v>0</v>
      </c>
      <c r="AJ2078">
        <f>[1]资金台帐!AJ2078</f>
        <v>0</v>
      </c>
      <c r="AK2078">
        <f>[1]资金台帐!AK2078</f>
        <v>0</v>
      </c>
      <c r="BA2078" s="22">
        <f t="shared" si="0"/>
      </c>
      <c r="BG2078" s="22">
        <f t="shared" si="1"/>
      </c>
      <c r="BH2078" s="22">
        <f t="shared" si="2"/>
        <v>0</v>
      </c>
    </row>
    <row r="2079">
      <c r="B2079">
        <f>[1]资金台帐!B2079&amp;""</f>
      </c>
      <c r="H2079">
        <f>[1]资金台帐!H2079&amp;""</f>
      </c>
      <c r="J2079">
        <f>[1]资金台帐!J2079&amp;""</f>
      </c>
      <c r="N2079">
        <f>[1]资金台帐!N2079</f>
      </c>
      <c r="O2079">
        <f>[1]资金台帐!O2079&amp;""</f>
      </c>
      <c r="P2079">
        <f>[1]资金台帐!P2079&amp;""</f>
      </c>
      <c r="Q2079">
        <f>[1]资金台帐!Q2079&amp;""</f>
      </c>
      <c r="T2079">
        <f>[1]资金台帐!T2079&amp;""</f>
      </c>
      <c r="U2079">
        <f>[1]资金台帐!U2079&amp;""</f>
      </c>
      <c r="W2079">
        <f>[1]资金台帐!W2079&amp;""</f>
      </c>
      <c r="X2079">
        <f>[1]资金台帐!X2079&amp;""</f>
      </c>
      <c r="AB2079">
        <f>[1]资金台帐!AB2079</f>
        <v>0</v>
      </c>
      <c r="AC2079">
        <f>[1]资金台帐!AC2079</f>
        <v>0</v>
      </c>
      <c r="AD2079">
        <f>[1]资金台帐!AD2079</f>
        <v>0</v>
      </c>
      <c r="AJ2079">
        <f>[1]资金台帐!AJ2079</f>
        <v>0</v>
      </c>
      <c r="AK2079">
        <f>[1]资金台帐!AK2079</f>
        <v>0</v>
      </c>
      <c r="BA2079" s="22">
        <f t="shared" si="0"/>
      </c>
      <c r="BG2079" s="22">
        <f t="shared" si="1"/>
      </c>
      <c r="BH2079" s="22">
        <f t="shared" si="2"/>
        <v>0</v>
      </c>
    </row>
    <row r="2080">
      <c r="B2080">
        <f>[1]资金台帐!B2080&amp;""</f>
      </c>
      <c r="H2080">
        <f>[1]资金台帐!H2080&amp;""</f>
      </c>
      <c r="J2080">
        <f>[1]资金台帐!J2080&amp;""</f>
      </c>
      <c r="N2080">
        <f>[1]资金台帐!N2080</f>
      </c>
      <c r="O2080">
        <f>[1]资金台帐!O2080&amp;""</f>
      </c>
      <c r="P2080">
        <f>[1]资金台帐!P2080&amp;""</f>
      </c>
      <c r="Q2080">
        <f>[1]资金台帐!Q2080&amp;""</f>
      </c>
      <c r="T2080">
        <f>[1]资金台帐!T2080&amp;""</f>
      </c>
      <c r="U2080">
        <f>[1]资金台帐!U2080&amp;""</f>
      </c>
      <c r="W2080">
        <f>[1]资金台帐!W2080&amp;""</f>
      </c>
      <c r="X2080">
        <f>[1]资金台帐!X2080&amp;""</f>
      </c>
      <c r="AB2080">
        <f>[1]资金台帐!AB2080</f>
        <v>0</v>
      </c>
      <c r="AC2080">
        <f>[1]资金台帐!AC2080</f>
        <v>0</v>
      </c>
      <c r="AD2080">
        <f>[1]资金台帐!AD2080</f>
        <v>0</v>
      </c>
      <c r="AJ2080">
        <f>[1]资金台帐!AJ2080</f>
        <v>0</v>
      </c>
      <c r="AK2080">
        <f>[1]资金台帐!AK2080</f>
        <v>0</v>
      </c>
      <c r="BA2080" s="22">
        <f t="shared" si="0"/>
      </c>
      <c r="BG2080" s="22">
        <f t="shared" si="1"/>
      </c>
      <c r="BH2080" s="22">
        <f t="shared" si="2"/>
        <v>0</v>
      </c>
    </row>
    <row r="2081">
      <c r="B2081">
        <f>[1]资金台帐!B2081&amp;""</f>
      </c>
      <c r="H2081">
        <f>[1]资金台帐!H2081&amp;""</f>
      </c>
      <c r="J2081">
        <f>[1]资金台帐!J2081&amp;""</f>
      </c>
      <c r="N2081">
        <f>[1]资金台帐!N2081</f>
      </c>
      <c r="O2081">
        <f>[1]资金台帐!O2081&amp;""</f>
      </c>
      <c r="P2081">
        <f>[1]资金台帐!P2081&amp;""</f>
      </c>
      <c r="Q2081">
        <f>[1]资金台帐!Q2081&amp;""</f>
      </c>
      <c r="T2081">
        <f>[1]资金台帐!T2081&amp;""</f>
      </c>
      <c r="U2081">
        <f>[1]资金台帐!U2081&amp;""</f>
      </c>
      <c r="W2081">
        <f>[1]资金台帐!W2081&amp;""</f>
      </c>
      <c r="X2081">
        <f>[1]资金台帐!X2081&amp;""</f>
      </c>
      <c r="AB2081">
        <f>[1]资金台帐!AB2081</f>
        <v>0</v>
      </c>
      <c r="AC2081">
        <f>[1]资金台帐!AC2081</f>
        <v>0</v>
      </c>
      <c r="AD2081">
        <f>[1]资金台帐!AD2081</f>
        <v>0</v>
      </c>
      <c r="AJ2081">
        <f>[1]资金台帐!AJ2081</f>
        <v>0</v>
      </c>
      <c r="AK2081">
        <f>[1]资金台帐!AK2081</f>
        <v>0</v>
      </c>
      <c r="BA2081" s="22">
        <f t="shared" si="0"/>
      </c>
      <c r="BG2081" s="22">
        <f t="shared" si="1"/>
      </c>
      <c r="BH2081" s="22">
        <f t="shared" si="2"/>
        <v>0</v>
      </c>
    </row>
    <row r="2082">
      <c r="B2082">
        <f>[1]资金台帐!B2082&amp;""</f>
      </c>
      <c r="H2082">
        <f>[1]资金台帐!H2082&amp;""</f>
      </c>
      <c r="J2082">
        <f>[1]资金台帐!J2082&amp;""</f>
      </c>
      <c r="N2082">
        <f>[1]资金台帐!N2082</f>
      </c>
      <c r="O2082">
        <f>[1]资金台帐!O2082&amp;""</f>
      </c>
      <c r="P2082">
        <f>[1]资金台帐!P2082&amp;""</f>
      </c>
      <c r="Q2082">
        <f>[1]资金台帐!Q2082&amp;""</f>
      </c>
      <c r="T2082">
        <f>[1]资金台帐!T2082&amp;""</f>
      </c>
      <c r="U2082">
        <f>[1]资金台帐!U2082&amp;""</f>
      </c>
      <c r="W2082">
        <f>[1]资金台帐!W2082&amp;""</f>
      </c>
      <c r="X2082">
        <f>[1]资金台帐!X2082&amp;""</f>
      </c>
      <c r="AB2082">
        <f>[1]资金台帐!AB2082</f>
        <v>0</v>
      </c>
      <c r="AC2082">
        <f>[1]资金台帐!AC2082</f>
        <v>0</v>
      </c>
      <c r="AD2082">
        <f>[1]资金台帐!AD2082</f>
        <v>0</v>
      </c>
      <c r="AJ2082">
        <f>[1]资金台帐!AJ2082</f>
        <v>0</v>
      </c>
      <c r="AK2082">
        <f>[1]资金台帐!AK2082</f>
        <v>0</v>
      </c>
      <c r="BA2082" s="22">
        <f t="shared" si="0"/>
      </c>
      <c r="BG2082" s="22">
        <f t="shared" si="1"/>
      </c>
      <c r="BH2082" s="22">
        <f t="shared" si="2"/>
        <v>0</v>
      </c>
    </row>
    <row r="2083">
      <c r="B2083">
        <f>[1]资金台帐!B2083&amp;""</f>
      </c>
      <c r="H2083">
        <f>[1]资金台帐!H2083&amp;""</f>
      </c>
      <c r="J2083">
        <f>[1]资金台帐!J2083&amp;""</f>
      </c>
      <c r="N2083">
        <f>[1]资金台帐!N2083</f>
      </c>
      <c r="O2083">
        <f>[1]资金台帐!O2083&amp;""</f>
      </c>
      <c r="P2083">
        <f>[1]资金台帐!P2083&amp;""</f>
      </c>
      <c r="Q2083">
        <f>[1]资金台帐!Q2083&amp;""</f>
      </c>
      <c r="T2083">
        <f>[1]资金台帐!T2083&amp;""</f>
      </c>
      <c r="U2083">
        <f>[1]资金台帐!U2083&amp;""</f>
      </c>
      <c r="W2083">
        <f>[1]资金台帐!W2083&amp;""</f>
      </c>
      <c r="X2083">
        <f>[1]资金台帐!X2083&amp;""</f>
      </c>
      <c r="AB2083">
        <f>[1]资金台帐!AB2083</f>
        <v>0</v>
      </c>
      <c r="AC2083">
        <f>[1]资金台帐!AC2083</f>
        <v>0</v>
      </c>
      <c r="AD2083">
        <f>[1]资金台帐!AD2083</f>
        <v>0</v>
      </c>
      <c r="AJ2083">
        <f>[1]资金台帐!AJ2083</f>
        <v>0</v>
      </c>
      <c r="AK2083">
        <f>[1]资金台帐!AK2083</f>
        <v>0</v>
      </c>
      <c r="BA2083" s="22">
        <f t="shared" si="0"/>
      </c>
      <c r="BG2083" s="22">
        <f t="shared" si="1"/>
      </c>
      <c r="BH2083" s="22">
        <f t="shared" si="2"/>
        <v>0</v>
      </c>
    </row>
    <row r="2084">
      <c r="B2084">
        <f>[1]资金台帐!B2084&amp;""</f>
      </c>
      <c r="H2084">
        <f>[1]资金台帐!H2084&amp;""</f>
      </c>
      <c r="J2084">
        <f>[1]资金台帐!J2084&amp;""</f>
      </c>
      <c r="N2084">
        <f>[1]资金台帐!N2084</f>
      </c>
      <c r="O2084">
        <f>[1]资金台帐!O2084&amp;""</f>
      </c>
      <c r="P2084">
        <f>[1]资金台帐!P2084&amp;""</f>
      </c>
      <c r="Q2084">
        <f>[1]资金台帐!Q2084&amp;""</f>
      </c>
      <c r="T2084">
        <f>[1]资金台帐!T2084&amp;""</f>
      </c>
      <c r="U2084">
        <f>[1]资金台帐!U2084&amp;""</f>
      </c>
      <c r="W2084">
        <f>[1]资金台帐!W2084&amp;""</f>
      </c>
      <c r="X2084">
        <f>[1]资金台帐!X2084&amp;""</f>
      </c>
      <c r="AB2084">
        <f>[1]资金台帐!AB2084</f>
        <v>0</v>
      </c>
      <c r="AC2084">
        <f>[1]资金台帐!AC2084</f>
        <v>0</v>
      </c>
      <c r="AD2084">
        <f>[1]资金台帐!AD2084</f>
        <v>0</v>
      </c>
      <c r="AJ2084">
        <f>[1]资金台帐!AJ2084</f>
        <v>0</v>
      </c>
      <c r="AK2084">
        <f>[1]资金台帐!AK2084</f>
        <v>0</v>
      </c>
      <c r="BA2084" s="22">
        <f t="shared" si="0"/>
      </c>
      <c r="BG2084" s="22">
        <f t="shared" si="1"/>
      </c>
      <c r="BH2084" s="22">
        <f t="shared" si="2"/>
        <v>0</v>
      </c>
    </row>
    <row r="2085">
      <c r="B2085">
        <f>[1]资金台帐!B2085&amp;""</f>
      </c>
      <c r="H2085">
        <f>[1]资金台帐!H2085&amp;""</f>
      </c>
      <c r="J2085">
        <f>[1]资金台帐!J2085&amp;""</f>
      </c>
      <c r="N2085">
        <f>[1]资金台帐!N2085</f>
      </c>
      <c r="O2085">
        <f>[1]资金台帐!O2085&amp;""</f>
      </c>
      <c r="P2085">
        <f>[1]资金台帐!P2085&amp;""</f>
      </c>
      <c r="Q2085">
        <f>[1]资金台帐!Q2085&amp;""</f>
      </c>
      <c r="T2085">
        <f>[1]资金台帐!T2085&amp;""</f>
      </c>
      <c r="U2085">
        <f>[1]资金台帐!U2085&amp;""</f>
      </c>
      <c r="W2085">
        <f>[1]资金台帐!W2085&amp;""</f>
      </c>
      <c r="X2085">
        <f>[1]资金台帐!X2085&amp;""</f>
      </c>
      <c r="AB2085">
        <f>[1]资金台帐!AB2085</f>
        <v>0</v>
      </c>
      <c r="AC2085">
        <f>[1]资金台帐!AC2085</f>
        <v>0</v>
      </c>
      <c r="AD2085">
        <f>[1]资金台帐!AD2085</f>
        <v>0</v>
      </c>
      <c r="AJ2085">
        <f>[1]资金台帐!AJ2085</f>
        <v>0</v>
      </c>
      <c r="AK2085">
        <f>[1]资金台帐!AK2085</f>
        <v>0</v>
      </c>
      <c r="BA2085" s="22">
        <f t="shared" si="0"/>
      </c>
      <c r="BG2085" s="22">
        <f t="shared" si="1"/>
      </c>
      <c r="BH2085" s="22">
        <f t="shared" si="2"/>
        <v>0</v>
      </c>
    </row>
    <row r="2086">
      <c r="B2086">
        <f>[1]资金台帐!B2086&amp;""</f>
      </c>
      <c r="H2086">
        <f>[1]资金台帐!H2086&amp;""</f>
      </c>
      <c r="J2086">
        <f>[1]资金台帐!J2086&amp;""</f>
      </c>
      <c r="N2086">
        <f>[1]资金台帐!N2086</f>
      </c>
      <c r="O2086">
        <f>[1]资金台帐!O2086&amp;""</f>
      </c>
      <c r="P2086">
        <f>[1]资金台帐!P2086&amp;""</f>
      </c>
      <c r="Q2086">
        <f>[1]资金台帐!Q2086&amp;""</f>
      </c>
      <c r="T2086">
        <f>[1]资金台帐!T2086&amp;""</f>
      </c>
      <c r="U2086">
        <f>[1]资金台帐!U2086&amp;""</f>
      </c>
      <c r="W2086">
        <f>[1]资金台帐!W2086&amp;""</f>
      </c>
      <c r="X2086">
        <f>[1]资金台帐!X2086&amp;""</f>
      </c>
      <c r="AB2086">
        <f>[1]资金台帐!AB2086</f>
        <v>0</v>
      </c>
      <c r="AC2086">
        <f>[1]资金台帐!AC2086</f>
        <v>0</v>
      </c>
      <c r="AD2086">
        <f>[1]资金台帐!AD2086</f>
        <v>0</v>
      </c>
      <c r="AJ2086">
        <f>[1]资金台帐!AJ2086</f>
        <v>0</v>
      </c>
      <c r="AK2086">
        <f>[1]资金台帐!AK2086</f>
        <v>0</v>
      </c>
      <c r="BA2086" s="22">
        <f t="shared" si="0"/>
      </c>
      <c r="BG2086" s="22">
        <f t="shared" si="1"/>
      </c>
      <c r="BH2086" s="22">
        <f t="shared" si="2"/>
        <v>0</v>
      </c>
    </row>
    <row r="2087">
      <c r="B2087">
        <f>[1]资金台帐!B2087&amp;""</f>
      </c>
      <c r="H2087">
        <f>[1]资金台帐!H2087&amp;""</f>
      </c>
      <c r="J2087">
        <f>[1]资金台帐!J2087&amp;""</f>
      </c>
      <c r="N2087">
        <f>[1]资金台帐!N2087</f>
      </c>
      <c r="O2087">
        <f>[1]资金台帐!O2087&amp;""</f>
      </c>
      <c r="P2087">
        <f>[1]资金台帐!P2087&amp;""</f>
      </c>
      <c r="Q2087">
        <f>[1]资金台帐!Q2087&amp;""</f>
      </c>
      <c r="T2087">
        <f>[1]资金台帐!T2087&amp;""</f>
      </c>
      <c r="U2087">
        <f>[1]资金台帐!U2087&amp;""</f>
      </c>
      <c r="W2087">
        <f>[1]资金台帐!W2087&amp;""</f>
      </c>
      <c r="X2087">
        <f>[1]资金台帐!X2087&amp;""</f>
      </c>
      <c r="AB2087">
        <f>[1]资金台帐!AB2087</f>
        <v>0</v>
      </c>
      <c r="AC2087">
        <f>[1]资金台帐!AC2087</f>
        <v>0</v>
      </c>
      <c r="AD2087">
        <f>[1]资金台帐!AD2087</f>
        <v>0</v>
      </c>
      <c r="AJ2087">
        <f>[1]资金台帐!AJ2087</f>
        <v>0</v>
      </c>
      <c r="AK2087">
        <f>[1]资金台帐!AK2087</f>
        <v>0</v>
      </c>
      <c r="BA2087" s="22">
        <f t="shared" si="0"/>
      </c>
      <c r="BG2087" s="22">
        <f t="shared" si="1"/>
      </c>
      <c r="BH2087" s="22">
        <f t="shared" si="2"/>
        <v>0</v>
      </c>
    </row>
    <row r="2088">
      <c r="B2088">
        <f>[1]资金台帐!B2088&amp;""</f>
      </c>
      <c r="H2088">
        <f>[1]资金台帐!H2088&amp;""</f>
      </c>
      <c r="J2088">
        <f>[1]资金台帐!J2088&amp;""</f>
      </c>
      <c r="N2088">
        <f>[1]资金台帐!N2088</f>
      </c>
      <c r="O2088">
        <f>[1]资金台帐!O2088&amp;""</f>
      </c>
      <c r="P2088">
        <f>[1]资金台帐!P2088&amp;""</f>
      </c>
      <c r="Q2088">
        <f>[1]资金台帐!Q2088&amp;""</f>
      </c>
      <c r="T2088">
        <f>[1]资金台帐!T2088&amp;""</f>
      </c>
      <c r="U2088">
        <f>[1]资金台帐!U2088&amp;""</f>
      </c>
      <c r="W2088">
        <f>[1]资金台帐!W2088&amp;""</f>
      </c>
      <c r="X2088">
        <f>[1]资金台帐!X2088&amp;""</f>
      </c>
      <c r="AB2088">
        <f>[1]资金台帐!AB2088</f>
        <v>0</v>
      </c>
      <c r="AC2088">
        <f>[1]资金台帐!AC2088</f>
        <v>0</v>
      </c>
      <c r="AD2088">
        <f>[1]资金台帐!AD2088</f>
        <v>0</v>
      </c>
      <c r="AJ2088">
        <f>[1]资金台帐!AJ2088</f>
        <v>0</v>
      </c>
      <c r="AK2088">
        <f>[1]资金台帐!AK2088</f>
        <v>0</v>
      </c>
      <c r="BA2088" s="22">
        <f t="shared" si="0"/>
      </c>
      <c r="BG2088" s="22">
        <f t="shared" si="1"/>
      </c>
      <c r="BH2088" s="22">
        <f t="shared" si="2"/>
        <v>0</v>
      </c>
    </row>
    <row r="2089">
      <c r="B2089">
        <f>[1]资金台帐!B2089&amp;""</f>
      </c>
      <c r="H2089">
        <f>[1]资金台帐!H2089&amp;""</f>
      </c>
      <c r="J2089">
        <f>[1]资金台帐!J2089&amp;""</f>
      </c>
      <c r="N2089">
        <f>[1]资金台帐!N2089</f>
      </c>
      <c r="O2089">
        <f>[1]资金台帐!O2089&amp;""</f>
      </c>
      <c r="P2089">
        <f>[1]资金台帐!P2089&amp;""</f>
      </c>
      <c r="Q2089">
        <f>[1]资金台帐!Q2089&amp;""</f>
      </c>
      <c r="T2089">
        <f>[1]资金台帐!T2089&amp;""</f>
      </c>
      <c r="U2089">
        <f>[1]资金台帐!U2089&amp;""</f>
      </c>
      <c r="W2089">
        <f>[1]资金台帐!W2089&amp;""</f>
      </c>
      <c r="X2089">
        <f>[1]资金台帐!X2089&amp;""</f>
      </c>
      <c r="AB2089">
        <f>[1]资金台帐!AB2089</f>
        <v>0</v>
      </c>
      <c r="AC2089">
        <f>[1]资金台帐!AC2089</f>
        <v>0</v>
      </c>
      <c r="AD2089">
        <f>[1]资金台帐!AD2089</f>
        <v>0</v>
      </c>
      <c r="AJ2089">
        <f>[1]资金台帐!AJ2089</f>
        <v>0</v>
      </c>
      <c r="AK2089">
        <f>[1]资金台帐!AK2089</f>
        <v>0</v>
      </c>
      <c r="BA2089" s="22">
        <f t="shared" si="0"/>
      </c>
      <c r="BG2089" s="22">
        <f t="shared" si="1"/>
      </c>
      <c r="BH2089" s="22">
        <f t="shared" si="2"/>
        <v>0</v>
      </c>
    </row>
    <row r="2090">
      <c r="B2090">
        <f>[1]资金台帐!B2090&amp;""</f>
      </c>
      <c r="H2090">
        <f>[1]资金台帐!H2090&amp;""</f>
      </c>
      <c r="J2090">
        <f>[1]资金台帐!J2090&amp;""</f>
      </c>
      <c r="N2090">
        <f>[1]资金台帐!N2090</f>
      </c>
      <c r="O2090">
        <f>[1]资金台帐!O2090&amp;""</f>
      </c>
      <c r="P2090">
        <f>[1]资金台帐!P2090&amp;""</f>
      </c>
      <c r="Q2090">
        <f>[1]资金台帐!Q2090&amp;""</f>
      </c>
      <c r="T2090">
        <f>[1]资金台帐!T2090&amp;""</f>
      </c>
      <c r="U2090">
        <f>[1]资金台帐!U2090&amp;""</f>
      </c>
      <c r="W2090">
        <f>[1]资金台帐!W2090&amp;""</f>
      </c>
      <c r="X2090">
        <f>[1]资金台帐!X2090&amp;""</f>
      </c>
      <c r="AB2090">
        <f>[1]资金台帐!AB2090</f>
        <v>0</v>
      </c>
      <c r="AC2090">
        <f>[1]资金台帐!AC2090</f>
        <v>0</v>
      </c>
      <c r="AD2090">
        <f>[1]资金台帐!AD2090</f>
        <v>0</v>
      </c>
      <c r="AJ2090">
        <f>[1]资金台帐!AJ2090</f>
        <v>0</v>
      </c>
      <c r="AK2090">
        <f>[1]资金台帐!AK2090</f>
        <v>0</v>
      </c>
      <c r="BA2090" s="22">
        <f t="shared" si="0"/>
      </c>
      <c r="BG2090" s="22">
        <f t="shared" si="1"/>
      </c>
      <c r="BH2090" s="22">
        <f t="shared" si="2"/>
        <v>0</v>
      </c>
    </row>
    <row r="2091">
      <c r="B2091">
        <f>[1]资金台帐!B2091&amp;""</f>
      </c>
      <c r="H2091">
        <f>[1]资金台帐!H2091&amp;""</f>
      </c>
      <c r="J2091">
        <f>[1]资金台帐!J2091&amp;""</f>
      </c>
      <c r="N2091">
        <f>[1]资金台帐!N2091</f>
      </c>
      <c r="O2091">
        <f>[1]资金台帐!O2091&amp;""</f>
      </c>
      <c r="P2091">
        <f>[1]资金台帐!P2091&amp;""</f>
      </c>
      <c r="Q2091">
        <f>[1]资金台帐!Q2091&amp;""</f>
      </c>
      <c r="T2091">
        <f>[1]资金台帐!T2091&amp;""</f>
      </c>
      <c r="U2091">
        <f>[1]资金台帐!U2091&amp;""</f>
      </c>
      <c r="W2091">
        <f>[1]资金台帐!W2091&amp;""</f>
      </c>
      <c r="X2091">
        <f>[1]资金台帐!X2091&amp;""</f>
      </c>
      <c r="AB2091">
        <f>[1]资金台帐!AB2091</f>
        <v>0</v>
      </c>
      <c r="AC2091">
        <f>[1]资金台帐!AC2091</f>
        <v>0</v>
      </c>
      <c r="AD2091">
        <f>[1]资金台帐!AD2091</f>
        <v>0</v>
      </c>
      <c r="AJ2091">
        <f>[1]资金台帐!AJ2091</f>
        <v>0</v>
      </c>
      <c r="AK2091">
        <f>[1]资金台帐!AK2091</f>
        <v>0</v>
      </c>
      <c r="BA2091" s="22">
        <f t="shared" si="0"/>
      </c>
      <c r="BG2091" s="22">
        <f t="shared" si="1"/>
      </c>
      <c r="BH2091" s="22">
        <f t="shared" si="2"/>
        <v>0</v>
      </c>
    </row>
    <row r="2092">
      <c r="B2092">
        <f>[1]资金台帐!B2092&amp;""</f>
      </c>
      <c r="H2092">
        <f>[1]资金台帐!H2092&amp;""</f>
      </c>
      <c r="J2092">
        <f>[1]资金台帐!J2092&amp;""</f>
      </c>
      <c r="N2092">
        <f>[1]资金台帐!N2092</f>
      </c>
      <c r="O2092">
        <f>[1]资金台帐!O2092&amp;""</f>
      </c>
      <c r="P2092">
        <f>[1]资金台帐!P2092&amp;""</f>
      </c>
      <c r="Q2092">
        <f>[1]资金台帐!Q2092&amp;""</f>
      </c>
      <c r="T2092">
        <f>[1]资金台帐!T2092&amp;""</f>
      </c>
      <c r="U2092">
        <f>[1]资金台帐!U2092&amp;""</f>
      </c>
      <c r="W2092">
        <f>[1]资金台帐!W2092&amp;""</f>
      </c>
      <c r="X2092">
        <f>[1]资金台帐!X2092&amp;""</f>
      </c>
      <c r="AB2092">
        <f>[1]资金台帐!AB2092</f>
        <v>0</v>
      </c>
      <c r="AC2092">
        <f>[1]资金台帐!AC2092</f>
        <v>0</v>
      </c>
      <c r="AD2092">
        <f>[1]资金台帐!AD2092</f>
        <v>0</v>
      </c>
      <c r="AJ2092">
        <f>[1]资金台帐!AJ2092</f>
        <v>0</v>
      </c>
      <c r="AK2092">
        <f>[1]资金台帐!AK2092</f>
        <v>0</v>
      </c>
      <c r="BA2092" s="22">
        <f t="shared" si="0"/>
      </c>
      <c r="BG2092" s="22">
        <f t="shared" si="1"/>
      </c>
      <c r="BH2092" s="22">
        <f t="shared" si="2"/>
        <v>0</v>
      </c>
    </row>
    <row r="2093">
      <c r="B2093">
        <f>[1]资金台帐!B2093&amp;""</f>
      </c>
      <c r="H2093">
        <f>[1]资金台帐!H2093&amp;""</f>
      </c>
      <c r="J2093">
        <f>[1]资金台帐!J2093&amp;""</f>
      </c>
      <c r="N2093">
        <f>[1]资金台帐!N2093</f>
      </c>
      <c r="O2093">
        <f>[1]资金台帐!O2093&amp;""</f>
      </c>
      <c r="P2093">
        <f>[1]资金台帐!P2093&amp;""</f>
      </c>
      <c r="Q2093">
        <f>[1]资金台帐!Q2093&amp;""</f>
      </c>
      <c r="T2093">
        <f>[1]资金台帐!T2093&amp;""</f>
      </c>
      <c r="U2093">
        <f>[1]资金台帐!U2093&amp;""</f>
      </c>
      <c r="W2093">
        <f>[1]资金台帐!W2093&amp;""</f>
      </c>
      <c r="X2093">
        <f>[1]资金台帐!X2093&amp;""</f>
      </c>
      <c r="AB2093">
        <f>[1]资金台帐!AB2093</f>
        <v>0</v>
      </c>
      <c r="AC2093">
        <f>[1]资金台帐!AC2093</f>
        <v>0</v>
      </c>
      <c r="AD2093">
        <f>[1]资金台帐!AD2093</f>
        <v>0</v>
      </c>
      <c r="AJ2093">
        <f>[1]资金台帐!AJ2093</f>
        <v>0</v>
      </c>
      <c r="AK2093">
        <f>[1]资金台帐!AK2093</f>
        <v>0</v>
      </c>
      <c r="BA2093" s="22">
        <f t="shared" si="0"/>
      </c>
      <c r="BG2093" s="22">
        <f t="shared" si="1"/>
      </c>
      <c r="BH2093" s="22">
        <f t="shared" si="2"/>
        <v>0</v>
      </c>
    </row>
    <row r="2094">
      <c r="B2094">
        <f>[1]资金台帐!B2094&amp;""</f>
      </c>
      <c r="H2094">
        <f>[1]资金台帐!H2094&amp;""</f>
      </c>
      <c r="J2094">
        <f>[1]资金台帐!J2094&amp;""</f>
      </c>
      <c r="N2094">
        <f>[1]资金台帐!N2094</f>
      </c>
      <c r="O2094">
        <f>[1]资金台帐!O2094&amp;""</f>
      </c>
      <c r="P2094">
        <f>[1]资金台帐!P2094&amp;""</f>
      </c>
      <c r="Q2094">
        <f>[1]资金台帐!Q2094&amp;""</f>
      </c>
      <c r="T2094">
        <f>[1]资金台帐!T2094&amp;""</f>
      </c>
      <c r="U2094">
        <f>[1]资金台帐!U2094&amp;""</f>
      </c>
      <c r="W2094">
        <f>[1]资金台帐!W2094&amp;""</f>
      </c>
      <c r="X2094">
        <f>[1]资金台帐!X2094&amp;""</f>
      </c>
      <c r="AB2094">
        <f>[1]资金台帐!AB2094</f>
        <v>0</v>
      </c>
      <c r="AC2094">
        <f>[1]资金台帐!AC2094</f>
        <v>0</v>
      </c>
      <c r="AD2094">
        <f>[1]资金台帐!AD2094</f>
        <v>0</v>
      </c>
      <c r="AJ2094">
        <f>[1]资金台帐!AJ2094</f>
        <v>0</v>
      </c>
      <c r="AK2094">
        <f>[1]资金台帐!AK2094</f>
        <v>0</v>
      </c>
      <c r="BA2094" s="22">
        <f t="shared" si="0"/>
      </c>
      <c r="BG2094" s="22">
        <f t="shared" si="1"/>
      </c>
      <c r="BH2094" s="22">
        <f t="shared" si="2"/>
        <v>0</v>
      </c>
    </row>
    <row r="2095">
      <c r="B2095">
        <f>[1]资金台帐!B2095&amp;""</f>
      </c>
      <c r="H2095">
        <f>[1]资金台帐!H2095&amp;""</f>
      </c>
      <c r="J2095">
        <f>[1]资金台帐!J2095&amp;""</f>
      </c>
      <c r="N2095">
        <f>[1]资金台帐!N2095</f>
      </c>
      <c r="O2095">
        <f>[1]资金台帐!O2095&amp;""</f>
      </c>
      <c r="P2095">
        <f>[1]资金台帐!P2095&amp;""</f>
      </c>
      <c r="Q2095">
        <f>[1]资金台帐!Q2095&amp;""</f>
      </c>
      <c r="T2095">
        <f>[1]资金台帐!T2095&amp;""</f>
      </c>
      <c r="U2095">
        <f>[1]资金台帐!U2095&amp;""</f>
      </c>
      <c r="W2095">
        <f>[1]资金台帐!W2095&amp;""</f>
      </c>
      <c r="X2095">
        <f>[1]资金台帐!X2095&amp;""</f>
      </c>
      <c r="AB2095">
        <f>[1]资金台帐!AB2095</f>
        <v>0</v>
      </c>
      <c r="AC2095">
        <f>[1]资金台帐!AC2095</f>
        <v>0</v>
      </c>
      <c r="AD2095">
        <f>[1]资金台帐!AD2095</f>
        <v>0</v>
      </c>
      <c r="AJ2095">
        <f>[1]资金台帐!AJ2095</f>
        <v>0</v>
      </c>
      <c r="AK2095">
        <f>[1]资金台帐!AK2095</f>
        <v>0</v>
      </c>
      <c r="BA2095" s="22">
        <f t="shared" si="0"/>
      </c>
      <c r="BG2095" s="22">
        <f t="shared" si="1"/>
      </c>
      <c r="BH2095" s="22">
        <f t="shared" si="2"/>
        <v>0</v>
      </c>
    </row>
    <row r="2096">
      <c r="B2096">
        <f>[1]资金台帐!B2096&amp;""</f>
      </c>
      <c r="H2096">
        <f>[1]资金台帐!H2096&amp;""</f>
      </c>
      <c r="J2096">
        <f>[1]资金台帐!J2096&amp;""</f>
      </c>
      <c r="N2096">
        <f>[1]资金台帐!N2096</f>
      </c>
      <c r="O2096">
        <f>[1]资金台帐!O2096&amp;""</f>
      </c>
      <c r="P2096">
        <f>[1]资金台帐!P2096&amp;""</f>
      </c>
      <c r="Q2096">
        <f>[1]资金台帐!Q2096&amp;""</f>
      </c>
      <c r="T2096">
        <f>[1]资金台帐!T2096&amp;""</f>
      </c>
      <c r="U2096">
        <f>[1]资金台帐!U2096&amp;""</f>
      </c>
      <c r="W2096">
        <f>[1]资金台帐!W2096&amp;""</f>
      </c>
      <c r="X2096">
        <f>[1]资金台帐!X2096&amp;""</f>
      </c>
      <c r="AB2096">
        <f>[1]资金台帐!AB2096</f>
        <v>0</v>
      </c>
      <c r="AC2096">
        <f>[1]资金台帐!AC2096</f>
        <v>0</v>
      </c>
      <c r="AD2096">
        <f>[1]资金台帐!AD2096</f>
        <v>0</v>
      </c>
      <c r="AJ2096">
        <f>[1]资金台帐!AJ2096</f>
        <v>0</v>
      </c>
      <c r="AK2096">
        <f>[1]资金台帐!AK2096</f>
        <v>0</v>
      </c>
      <c r="BA2096" s="22">
        <f t="shared" si="0"/>
      </c>
      <c r="BG2096" s="22">
        <f t="shared" si="1"/>
      </c>
      <c r="BH2096" s="22">
        <f t="shared" si="2"/>
        <v>0</v>
      </c>
    </row>
    <row r="2097">
      <c r="B2097">
        <f>[1]资金台帐!B2097&amp;""</f>
      </c>
      <c r="H2097">
        <f>[1]资金台帐!H2097&amp;""</f>
      </c>
      <c r="J2097">
        <f>[1]资金台帐!J2097&amp;""</f>
      </c>
      <c r="N2097">
        <f>[1]资金台帐!N2097</f>
      </c>
      <c r="O2097">
        <f>[1]资金台帐!O2097&amp;""</f>
      </c>
      <c r="P2097">
        <f>[1]资金台帐!P2097&amp;""</f>
      </c>
      <c r="Q2097">
        <f>[1]资金台帐!Q2097&amp;""</f>
      </c>
      <c r="T2097">
        <f>[1]资金台帐!T2097&amp;""</f>
      </c>
      <c r="U2097">
        <f>[1]资金台帐!U2097&amp;""</f>
      </c>
      <c r="W2097">
        <f>[1]资金台帐!W2097&amp;""</f>
      </c>
      <c r="X2097">
        <f>[1]资金台帐!X2097&amp;""</f>
      </c>
      <c r="AB2097">
        <f>[1]资金台帐!AB2097</f>
        <v>0</v>
      </c>
      <c r="AC2097">
        <f>[1]资金台帐!AC2097</f>
        <v>0</v>
      </c>
      <c r="AD2097">
        <f>[1]资金台帐!AD2097</f>
        <v>0</v>
      </c>
      <c r="AJ2097">
        <f>[1]资金台帐!AJ2097</f>
        <v>0</v>
      </c>
      <c r="AK2097">
        <f>[1]资金台帐!AK2097</f>
        <v>0</v>
      </c>
      <c r="BA2097" s="22">
        <f t="shared" si="0"/>
      </c>
      <c r="BG2097" s="22">
        <f t="shared" si="1"/>
      </c>
      <c r="BH2097" s="22">
        <f t="shared" si="2"/>
        <v>0</v>
      </c>
    </row>
    <row r="2098">
      <c r="B2098">
        <f>[1]资金台帐!B2098&amp;""</f>
      </c>
      <c r="H2098">
        <f>[1]资金台帐!H2098&amp;""</f>
      </c>
      <c r="J2098">
        <f>[1]资金台帐!J2098&amp;""</f>
      </c>
      <c r="N2098">
        <f>[1]资金台帐!N2098</f>
      </c>
      <c r="O2098">
        <f>[1]资金台帐!O2098&amp;""</f>
      </c>
      <c r="P2098">
        <f>[1]资金台帐!P2098&amp;""</f>
      </c>
      <c r="Q2098">
        <f>[1]资金台帐!Q2098&amp;""</f>
      </c>
      <c r="T2098">
        <f>[1]资金台帐!T2098&amp;""</f>
      </c>
      <c r="U2098">
        <f>[1]资金台帐!U2098&amp;""</f>
      </c>
      <c r="W2098">
        <f>[1]资金台帐!W2098&amp;""</f>
      </c>
      <c r="X2098">
        <f>[1]资金台帐!X2098&amp;""</f>
      </c>
      <c r="AB2098">
        <f>[1]资金台帐!AB2098</f>
        <v>0</v>
      </c>
      <c r="AC2098">
        <f>[1]资金台帐!AC2098</f>
        <v>0</v>
      </c>
      <c r="AD2098">
        <f>[1]资金台帐!AD2098</f>
        <v>0</v>
      </c>
      <c r="AJ2098">
        <f>[1]资金台帐!AJ2098</f>
        <v>0</v>
      </c>
      <c r="AK2098">
        <f>[1]资金台帐!AK2098</f>
        <v>0</v>
      </c>
      <c r="BA2098" s="22">
        <f t="shared" si="0"/>
      </c>
      <c r="BG2098" s="22">
        <f t="shared" si="1"/>
      </c>
      <c r="BH2098" s="22">
        <f t="shared" si="2"/>
        <v>0</v>
      </c>
    </row>
    <row r="2099">
      <c r="B2099">
        <f>[1]资金台帐!B2099&amp;""</f>
      </c>
      <c r="H2099">
        <f>[1]资金台帐!H2099&amp;""</f>
      </c>
      <c r="J2099">
        <f>[1]资金台帐!J2099&amp;""</f>
      </c>
      <c r="N2099">
        <f>[1]资金台帐!N2099</f>
      </c>
      <c r="O2099">
        <f>[1]资金台帐!O2099&amp;""</f>
      </c>
      <c r="P2099">
        <f>[1]资金台帐!P2099&amp;""</f>
      </c>
      <c r="Q2099">
        <f>[1]资金台帐!Q2099&amp;""</f>
      </c>
      <c r="T2099">
        <f>[1]资金台帐!T2099&amp;""</f>
      </c>
      <c r="U2099">
        <f>[1]资金台帐!U2099&amp;""</f>
      </c>
      <c r="W2099">
        <f>[1]资金台帐!W2099&amp;""</f>
      </c>
      <c r="X2099">
        <f>[1]资金台帐!X2099&amp;""</f>
      </c>
      <c r="AB2099">
        <f>[1]资金台帐!AB2099</f>
        <v>0</v>
      </c>
      <c r="AC2099">
        <f>[1]资金台帐!AC2099</f>
        <v>0</v>
      </c>
      <c r="AD2099">
        <f>[1]资金台帐!AD2099</f>
        <v>0</v>
      </c>
      <c r="AJ2099">
        <f>[1]资金台帐!AJ2099</f>
        <v>0</v>
      </c>
      <c r="AK2099">
        <f>[1]资金台帐!AK2099</f>
        <v>0</v>
      </c>
      <c r="BA2099" s="22">
        <f t="shared" si="0"/>
      </c>
      <c r="BG2099" s="22">
        <f t="shared" si="1"/>
      </c>
      <c r="BH2099" s="22">
        <f t="shared" si="2"/>
        <v>0</v>
      </c>
    </row>
    <row r="2100">
      <c r="B2100">
        <f>[1]资金台帐!B2100&amp;""</f>
      </c>
      <c r="H2100">
        <f>[1]资金台帐!H2100&amp;""</f>
      </c>
      <c r="J2100">
        <f>[1]资金台帐!J2100&amp;""</f>
      </c>
      <c r="N2100">
        <f>[1]资金台帐!N2100</f>
      </c>
      <c r="O2100">
        <f>[1]资金台帐!O2100&amp;""</f>
      </c>
      <c r="P2100">
        <f>[1]资金台帐!P2100&amp;""</f>
      </c>
      <c r="Q2100">
        <f>[1]资金台帐!Q2100&amp;""</f>
      </c>
      <c r="T2100">
        <f>[1]资金台帐!T2100&amp;""</f>
      </c>
      <c r="U2100">
        <f>[1]资金台帐!U2100&amp;""</f>
      </c>
      <c r="W2100">
        <f>[1]资金台帐!W2100&amp;""</f>
      </c>
      <c r="X2100">
        <f>[1]资金台帐!X2100&amp;""</f>
      </c>
      <c r="AB2100">
        <f>[1]资金台帐!AB2100</f>
        <v>0</v>
      </c>
      <c r="AC2100">
        <f>[1]资金台帐!AC2100</f>
        <v>0</v>
      </c>
      <c r="AD2100">
        <f>[1]资金台帐!AD2100</f>
        <v>0</v>
      </c>
      <c r="AJ2100">
        <f>[1]资金台帐!AJ2100</f>
        <v>0</v>
      </c>
      <c r="AK2100">
        <f>[1]资金台帐!AK2100</f>
        <v>0</v>
      </c>
      <c r="BA2100" s="22">
        <f t="shared" si="0"/>
      </c>
      <c r="BG2100" s="22">
        <f t="shared" si="1"/>
      </c>
      <c r="BH2100" s="22">
        <f t="shared" si="2"/>
        <v>0</v>
      </c>
    </row>
    <row r="2101">
      <c r="B2101">
        <f>[1]资金台帐!B2101&amp;""</f>
      </c>
      <c r="H2101">
        <f>[1]资金台帐!H2101&amp;""</f>
      </c>
      <c r="J2101">
        <f>[1]资金台帐!J2101&amp;""</f>
      </c>
      <c r="N2101">
        <f>[1]资金台帐!N2101</f>
      </c>
      <c r="O2101">
        <f>[1]资金台帐!O2101&amp;""</f>
      </c>
      <c r="P2101">
        <f>[1]资金台帐!P2101&amp;""</f>
      </c>
      <c r="Q2101">
        <f>[1]资金台帐!Q2101&amp;""</f>
      </c>
      <c r="T2101">
        <f>[1]资金台帐!T2101&amp;""</f>
      </c>
      <c r="U2101">
        <f>[1]资金台帐!U2101&amp;""</f>
      </c>
      <c r="W2101">
        <f>[1]资金台帐!W2101&amp;""</f>
      </c>
      <c r="X2101">
        <f>[1]资金台帐!X2101&amp;""</f>
      </c>
      <c r="AB2101">
        <f>[1]资金台帐!AB2101</f>
        <v>0</v>
      </c>
      <c r="AC2101">
        <f>[1]资金台帐!AC2101</f>
        <v>0</v>
      </c>
      <c r="AD2101">
        <f>[1]资金台帐!AD2101</f>
        <v>0</v>
      </c>
      <c r="AJ2101">
        <f>[1]资金台帐!AJ2101</f>
        <v>0</v>
      </c>
      <c r="AK2101">
        <f>[1]资金台帐!AK2101</f>
        <v>0</v>
      </c>
      <c r="BA2101" s="22">
        <f t="shared" si="0"/>
      </c>
      <c r="BG2101" s="22">
        <f t="shared" si="1"/>
      </c>
      <c r="BH2101" s="22">
        <f t="shared" si="2"/>
        <v>0</v>
      </c>
    </row>
    <row r="2102">
      <c r="B2102">
        <f>[1]资金台帐!B2102&amp;""</f>
      </c>
      <c r="H2102">
        <f>[1]资金台帐!H2102&amp;""</f>
      </c>
      <c r="J2102">
        <f>[1]资金台帐!J2102&amp;""</f>
      </c>
      <c r="N2102">
        <f>[1]资金台帐!N2102</f>
      </c>
      <c r="O2102">
        <f>[1]资金台帐!O2102&amp;""</f>
      </c>
      <c r="P2102">
        <f>[1]资金台帐!P2102&amp;""</f>
      </c>
      <c r="Q2102">
        <f>[1]资金台帐!Q2102&amp;""</f>
      </c>
      <c r="T2102">
        <f>[1]资金台帐!T2102&amp;""</f>
      </c>
      <c r="U2102">
        <f>[1]资金台帐!U2102&amp;""</f>
      </c>
      <c r="W2102">
        <f>[1]资金台帐!W2102&amp;""</f>
      </c>
      <c r="X2102">
        <f>[1]资金台帐!X2102&amp;""</f>
      </c>
      <c r="AB2102">
        <f>[1]资金台帐!AB2102</f>
        <v>0</v>
      </c>
      <c r="AC2102">
        <f>[1]资金台帐!AC2102</f>
        <v>0</v>
      </c>
      <c r="AD2102">
        <f>[1]资金台帐!AD2102</f>
        <v>0</v>
      </c>
      <c r="AJ2102">
        <f>[1]资金台帐!AJ2102</f>
        <v>0</v>
      </c>
      <c r="AK2102">
        <f>[1]资金台帐!AK2102</f>
        <v>0</v>
      </c>
      <c r="BA2102" s="22">
        <f t="shared" si="0"/>
      </c>
      <c r="BG2102" s="22">
        <f t="shared" si="1"/>
      </c>
      <c r="BH2102" s="22">
        <f t="shared" si="2"/>
        <v>0</v>
      </c>
    </row>
    <row r="2103">
      <c r="B2103">
        <f>[1]资金台帐!B2103&amp;""</f>
      </c>
      <c r="H2103">
        <f>[1]资金台帐!H2103&amp;""</f>
      </c>
      <c r="J2103">
        <f>[1]资金台帐!J2103&amp;""</f>
      </c>
      <c r="N2103">
        <f>[1]资金台帐!N2103</f>
      </c>
      <c r="O2103">
        <f>[1]资金台帐!O2103&amp;""</f>
      </c>
      <c r="P2103">
        <f>[1]资金台帐!P2103&amp;""</f>
      </c>
      <c r="Q2103">
        <f>[1]资金台帐!Q2103&amp;""</f>
      </c>
      <c r="T2103">
        <f>[1]资金台帐!T2103&amp;""</f>
      </c>
      <c r="U2103">
        <f>[1]资金台帐!U2103&amp;""</f>
      </c>
      <c r="W2103">
        <f>[1]资金台帐!W2103&amp;""</f>
      </c>
      <c r="X2103">
        <f>[1]资金台帐!X2103&amp;""</f>
      </c>
      <c r="AB2103">
        <f>[1]资金台帐!AB2103</f>
        <v>0</v>
      </c>
      <c r="AC2103">
        <f>[1]资金台帐!AC2103</f>
        <v>0</v>
      </c>
      <c r="AD2103">
        <f>[1]资金台帐!AD2103</f>
        <v>0</v>
      </c>
      <c r="AJ2103">
        <f>[1]资金台帐!AJ2103</f>
        <v>0</v>
      </c>
      <c r="AK2103">
        <f>[1]资金台帐!AK2103</f>
        <v>0</v>
      </c>
      <c r="BA2103" s="22">
        <f t="shared" si="0"/>
      </c>
      <c r="BG2103" s="22">
        <f t="shared" si="1"/>
      </c>
      <c r="BH2103" s="22">
        <f t="shared" si="2"/>
        <v>0</v>
      </c>
    </row>
    <row r="2104">
      <c r="B2104">
        <f>[1]资金台帐!B2104&amp;""</f>
      </c>
      <c r="H2104">
        <f>[1]资金台帐!H2104&amp;""</f>
      </c>
      <c r="J2104">
        <f>[1]资金台帐!J2104&amp;""</f>
      </c>
      <c r="N2104">
        <f>[1]资金台帐!N2104</f>
      </c>
      <c r="O2104">
        <f>[1]资金台帐!O2104&amp;""</f>
      </c>
      <c r="P2104">
        <f>[1]资金台帐!P2104&amp;""</f>
      </c>
      <c r="Q2104">
        <f>[1]资金台帐!Q2104&amp;""</f>
      </c>
      <c r="T2104">
        <f>[1]资金台帐!T2104&amp;""</f>
      </c>
      <c r="U2104">
        <f>[1]资金台帐!U2104&amp;""</f>
      </c>
      <c r="W2104">
        <f>[1]资金台帐!W2104&amp;""</f>
      </c>
      <c r="X2104">
        <f>[1]资金台帐!X2104&amp;""</f>
      </c>
      <c r="AB2104">
        <f>[1]资金台帐!AB2104</f>
        <v>0</v>
      </c>
      <c r="AC2104">
        <f>[1]资金台帐!AC2104</f>
        <v>0</v>
      </c>
      <c r="AD2104">
        <f>[1]资金台帐!AD2104</f>
        <v>0</v>
      </c>
      <c r="AJ2104">
        <f>[1]资金台帐!AJ2104</f>
        <v>0</v>
      </c>
      <c r="AK2104">
        <f>[1]资金台帐!AK2104</f>
        <v>0</v>
      </c>
      <c r="BA2104" s="22">
        <f t="shared" si="0"/>
      </c>
      <c r="BG2104" s="22">
        <f t="shared" si="1"/>
      </c>
      <c r="BH2104" s="22">
        <f t="shared" si="2"/>
        <v>0</v>
      </c>
    </row>
    <row r="2105">
      <c r="B2105">
        <f>[1]资金台帐!B2105&amp;""</f>
      </c>
      <c r="H2105">
        <f>[1]资金台帐!H2105&amp;""</f>
      </c>
      <c r="J2105">
        <f>[1]资金台帐!J2105&amp;""</f>
      </c>
      <c r="N2105">
        <f>[1]资金台帐!N2105</f>
      </c>
      <c r="O2105">
        <f>[1]资金台帐!O2105&amp;""</f>
      </c>
      <c r="P2105">
        <f>[1]资金台帐!P2105&amp;""</f>
      </c>
      <c r="Q2105">
        <f>[1]资金台帐!Q2105&amp;""</f>
      </c>
      <c r="T2105">
        <f>[1]资金台帐!T2105&amp;""</f>
      </c>
      <c r="U2105">
        <f>[1]资金台帐!U2105&amp;""</f>
      </c>
      <c r="W2105">
        <f>[1]资金台帐!W2105&amp;""</f>
      </c>
      <c r="X2105">
        <f>[1]资金台帐!X2105&amp;""</f>
      </c>
      <c r="AB2105">
        <f>[1]资金台帐!AB2105</f>
        <v>0</v>
      </c>
      <c r="AC2105">
        <f>[1]资金台帐!AC2105</f>
        <v>0</v>
      </c>
      <c r="AD2105">
        <f>[1]资金台帐!AD2105</f>
        <v>0</v>
      </c>
      <c r="AJ2105">
        <f>[1]资金台帐!AJ2105</f>
        <v>0</v>
      </c>
      <c r="AK2105">
        <f>[1]资金台帐!AK2105</f>
        <v>0</v>
      </c>
      <c r="BA2105" s="22">
        <f t="shared" si="0"/>
      </c>
      <c r="BG2105" s="22">
        <f t="shared" si="1"/>
      </c>
      <c r="BH2105" s="22">
        <f t="shared" si="2"/>
        <v>0</v>
      </c>
    </row>
    <row r="2106">
      <c r="B2106">
        <f>[1]资金台帐!B2106&amp;""</f>
      </c>
      <c r="H2106">
        <f>[1]资金台帐!H2106&amp;""</f>
      </c>
      <c r="J2106">
        <f>[1]资金台帐!J2106&amp;""</f>
      </c>
      <c r="N2106">
        <f>[1]资金台帐!N2106</f>
      </c>
      <c r="O2106">
        <f>[1]资金台帐!O2106&amp;""</f>
      </c>
      <c r="P2106">
        <f>[1]资金台帐!P2106&amp;""</f>
      </c>
      <c r="Q2106">
        <f>[1]资金台帐!Q2106&amp;""</f>
      </c>
      <c r="T2106">
        <f>[1]资金台帐!T2106&amp;""</f>
      </c>
      <c r="U2106">
        <f>[1]资金台帐!U2106&amp;""</f>
      </c>
      <c r="W2106">
        <f>[1]资金台帐!W2106&amp;""</f>
      </c>
      <c r="X2106">
        <f>[1]资金台帐!X2106&amp;""</f>
      </c>
      <c r="AB2106">
        <f>[1]资金台帐!AB2106</f>
        <v>0</v>
      </c>
      <c r="AC2106">
        <f>[1]资金台帐!AC2106</f>
        <v>0</v>
      </c>
      <c r="AD2106">
        <f>[1]资金台帐!AD2106</f>
        <v>0</v>
      </c>
      <c r="AJ2106">
        <f>[1]资金台帐!AJ2106</f>
        <v>0</v>
      </c>
      <c r="AK2106">
        <f>[1]资金台帐!AK2106</f>
        <v>0</v>
      </c>
      <c r="BA2106" s="22">
        <f t="shared" si="0"/>
      </c>
      <c r="BG2106" s="22">
        <f t="shared" si="1"/>
      </c>
      <c r="BH2106" s="22">
        <f t="shared" si="2"/>
        <v>0</v>
      </c>
    </row>
    <row r="2107">
      <c r="B2107">
        <f>[1]资金台帐!B2107&amp;""</f>
      </c>
      <c r="H2107">
        <f>[1]资金台帐!H2107&amp;""</f>
      </c>
      <c r="J2107">
        <f>[1]资金台帐!J2107&amp;""</f>
      </c>
      <c r="N2107">
        <f>[1]资金台帐!N2107</f>
      </c>
      <c r="O2107">
        <f>[1]资金台帐!O2107&amp;""</f>
      </c>
      <c r="P2107">
        <f>[1]资金台帐!P2107&amp;""</f>
      </c>
      <c r="Q2107">
        <f>[1]资金台帐!Q2107&amp;""</f>
      </c>
      <c r="T2107">
        <f>[1]资金台帐!T2107&amp;""</f>
      </c>
      <c r="U2107">
        <f>[1]资金台帐!U2107&amp;""</f>
      </c>
      <c r="W2107">
        <f>[1]资金台帐!W2107&amp;""</f>
      </c>
      <c r="X2107">
        <f>[1]资金台帐!X2107&amp;""</f>
      </c>
      <c r="AB2107">
        <f>[1]资金台帐!AB2107</f>
        <v>0</v>
      </c>
      <c r="AC2107">
        <f>[1]资金台帐!AC2107</f>
        <v>0</v>
      </c>
      <c r="AD2107">
        <f>[1]资金台帐!AD2107</f>
        <v>0</v>
      </c>
      <c r="AJ2107">
        <f>[1]资金台帐!AJ2107</f>
        <v>0</v>
      </c>
      <c r="AK2107">
        <f>[1]资金台帐!AK2107</f>
        <v>0</v>
      </c>
      <c r="BA2107" s="22">
        <f t="shared" si="0"/>
      </c>
      <c r="BG2107" s="22">
        <f t="shared" si="1"/>
      </c>
      <c r="BH2107" s="22">
        <f t="shared" si="2"/>
        <v>0</v>
      </c>
    </row>
    <row r="2108">
      <c r="B2108">
        <f>[1]资金台帐!B2108&amp;""</f>
      </c>
      <c r="H2108">
        <f>[1]资金台帐!H2108&amp;""</f>
      </c>
      <c r="J2108">
        <f>[1]资金台帐!J2108&amp;""</f>
      </c>
      <c r="N2108">
        <f>[1]资金台帐!N2108</f>
      </c>
      <c r="O2108">
        <f>[1]资金台帐!O2108&amp;""</f>
      </c>
      <c r="P2108">
        <f>[1]资金台帐!P2108&amp;""</f>
      </c>
      <c r="Q2108">
        <f>[1]资金台帐!Q2108&amp;""</f>
      </c>
      <c r="T2108">
        <f>[1]资金台帐!T2108&amp;""</f>
      </c>
      <c r="U2108">
        <f>[1]资金台帐!U2108&amp;""</f>
      </c>
      <c r="W2108">
        <f>[1]资金台帐!W2108&amp;""</f>
      </c>
      <c r="X2108">
        <f>[1]资金台帐!X2108&amp;""</f>
      </c>
      <c r="AB2108">
        <f>[1]资金台帐!AB2108</f>
        <v>0</v>
      </c>
      <c r="AC2108">
        <f>[1]资金台帐!AC2108</f>
        <v>0</v>
      </c>
      <c r="AD2108">
        <f>[1]资金台帐!AD2108</f>
        <v>0</v>
      </c>
      <c r="AJ2108">
        <f>[1]资金台帐!AJ2108</f>
        <v>0</v>
      </c>
      <c r="AK2108">
        <f>[1]资金台帐!AK2108</f>
        <v>0</v>
      </c>
      <c r="BA2108" s="22">
        <f t="shared" si="0"/>
      </c>
      <c r="BG2108" s="22">
        <f t="shared" si="1"/>
      </c>
      <c r="BH2108" s="22">
        <f t="shared" si="2"/>
        <v>0</v>
      </c>
    </row>
    <row r="2109">
      <c r="B2109">
        <f>[1]资金台帐!B2109&amp;""</f>
      </c>
      <c r="H2109">
        <f>[1]资金台帐!H2109&amp;""</f>
      </c>
      <c r="J2109">
        <f>[1]资金台帐!J2109&amp;""</f>
      </c>
      <c r="N2109">
        <f>[1]资金台帐!N2109</f>
      </c>
      <c r="O2109">
        <f>[1]资金台帐!O2109&amp;""</f>
      </c>
      <c r="P2109">
        <f>[1]资金台帐!P2109&amp;""</f>
      </c>
      <c r="Q2109">
        <f>[1]资金台帐!Q2109&amp;""</f>
      </c>
      <c r="T2109">
        <f>[1]资金台帐!T2109&amp;""</f>
      </c>
      <c r="U2109">
        <f>[1]资金台帐!U2109&amp;""</f>
      </c>
      <c r="W2109">
        <f>[1]资金台帐!W2109&amp;""</f>
      </c>
      <c r="X2109">
        <f>[1]资金台帐!X2109&amp;""</f>
      </c>
      <c r="AB2109">
        <f>[1]资金台帐!AB2109</f>
        <v>0</v>
      </c>
      <c r="AC2109">
        <f>[1]资金台帐!AC2109</f>
        <v>0</v>
      </c>
      <c r="AD2109">
        <f>[1]资金台帐!AD2109</f>
        <v>0</v>
      </c>
      <c r="AJ2109">
        <f>[1]资金台帐!AJ2109</f>
        <v>0</v>
      </c>
      <c r="AK2109">
        <f>[1]资金台帐!AK2109</f>
        <v>0</v>
      </c>
      <c r="BA2109" s="22">
        <f t="shared" si="0"/>
      </c>
      <c r="BG2109" s="22">
        <f t="shared" si="1"/>
      </c>
      <c r="BH2109" s="22">
        <f t="shared" si="2"/>
        <v>0</v>
      </c>
    </row>
    <row r="2110">
      <c r="B2110">
        <f>[1]资金台帐!B2110&amp;""</f>
      </c>
      <c r="H2110">
        <f>[1]资金台帐!H2110&amp;""</f>
      </c>
      <c r="J2110">
        <f>[1]资金台帐!J2110&amp;""</f>
      </c>
      <c r="N2110">
        <f>[1]资金台帐!N2110</f>
      </c>
      <c r="O2110">
        <f>[1]资金台帐!O2110&amp;""</f>
      </c>
      <c r="P2110">
        <f>[1]资金台帐!P2110&amp;""</f>
      </c>
      <c r="Q2110">
        <f>[1]资金台帐!Q2110&amp;""</f>
      </c>
      <c r="T2110">
        <f>[1]资金台帐!T2110&amp;""</f>
      </c>
      <c r="U2110">
        <f>[1]资金台帐!U2110&amp;""</f>
      </c>
      <c r="W2110">
        <f>[1]资金台帐!W2110&amp;""</f>
      </c>
      <c r="X2110">
        <f>[1]资金台帐!X2110&amp;""</f>
      </c>
      <c r="AB2110">
        <f>[1]资金台帐!AB2110</f>
        <v>0</v>
      </c>
      <c r="AC2110">
        <f>[1]资金台帐!AC2110</f>
        <v>0</v>
      </c>
      <c r="AD2110">
        <f>[1]资金台帐!AD2110</f>
        <v>0</v>
      </c>
      <c r="AJ2110">
        <f>[1]资金台帐!AJ2110</f>
        <v>0</v>
      </c>
      <c r="AK2110">
        <f>[1]资金台帐!AK2110</f>
        <v>0</v>
      </c>
      <c r="BA2110" s="22">
        <f t="shared" si="0"/>
      </c>
      <c r="BG2110" s="22">
        <f t="shared" si="1"/>
      </c>
      <c r="BH2110" s="22">
        <f t="shared" si="2"/>
        <v>0</v>
      </c>
    </row>
    <row r="2111">
      <c r="B2111">
        <f>[1]资金台帐!B2111&amp;""</f>
      </c>
      <c r="H2111">
        <f>[1]资金台帐!H2111&amp;""</f>
      </c>
      <c r="J2111">
        <f>[1]资金台帐!J2111&amp;""</f>
      </c>
      <c r="N2111">
        <f>[1]资金台帐!N2111</f>
      </c>
      <c r="O2111">
        <f>[1]资金台帐!O2111&amp;""</f>
      </c>
      <c r="P2111">
        <f>[1]资金台帐!P2111&amp;""</f>
      </c>
      <c r="Q2111">
        <f>[1]资金台帐!Q2111&amp;""</f>
      </c>
      <c r="T2111">
        <f>[1]资金台帐!T2111&amp;""</f>
      </c>
      <c r="U2111">
        <f>[1]资金台帐!U2111&amp;""</f>
      </c>
      <c r="W2111">
        <f>[1]资金台帐!W2111&amp;""</f>
      </c>
      <c r="X2111">
        <f>[1]资金台帐!X2111&amp;""</f>
      </c>
      <c r="AB2111">
        <f>[1]资金台帐!AB2111</f>
        <v>0</v>
      </c>
      <c r="AC2111">
        <f>[1]资金台帐!AC2111</f>
        <v>0</v>
      </c>
      <c r="AD2111">
        <f>[1]资金台帐!AD2111</f>
        <v>0</v>
      </c>
      <c r="AJ2111">
        <f>[1]资金台帐!AJ2111</f>
        <v>0</v>
      </c>
      <c r="AK2111">
        <f>[1]资金台帐!AK2111</f>
        <v>0</v>
      </c>
      <c r="BA2111" s="22">
        <f t="shared" si="0"/>
      </c>
      <c r="BG2111" s="22">
        <f t="shared" si="1"/>
      </c>
      <c r="BH2111" s="22">
        <f t="shared" si="2"/>
        <v>0</v>
      </c>
    </row>
    <row r="2112">
      <c r="B2112">
        <f>[1]资金台帐!B2112&amp;""</f>
      </c>
      <c r="H2112">
        <f>[1]资金台帐!H2112&amp;""</f>
      </c>
      <c r="J2112">
        <f>[1]资金台帐!J2112&amp;""</f>
      </c>
      <c r="N2112">
        <f>[1]资金台帐!N2112</f>
      </c>
      <c r="O2112">
        <f>[1]资金台帐!O2112&amp;""</f>
      </c>
      <c r="P2112">
        <f>[1]资金台帐!P2112&amp;""</f>
      </c>
      <c r="Q2112">
        <f>[1]资金台帐!Q2112&amp;""</f>
      </c>
      <c r="T2112">
        <f>[1]资金台帐!T2112&amp;""</f>
      </c>
      <c r="U2112">
        <f>[1]资金台帐!U2112&amp;""</f>
      </c>
      <c r="W2112">
        <f>[1]资金台帐!W2112&amp;""</f>
      </c>
      <c r="X2112">
        <f>[1]资金台帐!X2112&amp;""</f>
      </c>
      <c r="AB2112">
        <f>[1]资金台帐!AB2112</f>
        <v>0</v>
      </c>
      <c r="AC2112">
        <f>[1]资金台帐!AC2112</f>
        <v>0</v>
      </c>
      <c r="AD2112">
        <f>[1]资金台帐!AD2112</f>
        <v>0</v>
      </c>
      <c r="AJ2112">
        <f>[1]资金台帐!AJ2112</f>
        <v>0</v>
      </c>
      <c r="AK2112">
        <f>[1]资金台帐!AK2112</f>
        <v>0</v>
      </c>
      <c r="BA2112" s="22">
        <f t="shared" si="0"/>
      </c>
      <c r="BG2112" s="22">
        <f t="shared" si="1"/>
      </c>
      <c r="BH2112" s="22">
        <f t="shared" si="2"/>
        <v>0</v>
      </c>
    </row>
    <row r="2113">
      <c r="B2113">
        <f>[1]资金台帐!B2113&amp;""</f>
      </c>
      <c r="H2113">
        <f>[1]资金台帐!H2113&amp;""</f>
      </c>
      <c r="J2113">
        <f>[1]资金台帐!J2113&amp;""</f>
      </c>
      <c r="N2113">
        <f>[1]资金台帐!N2113</f>
      </c>
      <c r="O2113">
        <f>[1]资金台帐!O2113&amp;""</f>
      </c>
      <c r="P2113">
        <f>[1]资金台帐!P2113&amp;""</f>
      </c>
      <c r="Q2113">
        <f>[1]资金台帐!Q2113&amp;""</f>
      </c>
      <c r="T2113">
        <f>[1]资金台帐!T2113&amp;""</f>
      </c>
      <c r="U2113">
        <f>[1]资金台帐!U2113&amp;""</f>
      </c>
      <c r="W2113">
        <f>[1]资金台帐!W2113&amp;""</f>
      </c>
      <c r="X2113">
        <f>[1]资金台帐!X2113&amp;""</f>
      </c>
      <c r="AB2113">
        <f>[1]资金台帐!AB2113</f>
        <v>0</v>
      </c>
      <c r="AC2113">
        <f>[1]资金台帐!AC2113</f>
        <v>0</v>
      </c>
      <c r="AD2113">
        <f>[1]资金台帐!AD2113</f>
        <v>0</v>
      </c>
      <c r="AJ2113">
        <f>[1]资金台帐!AJ2113</f>
        <v>0</v>
      </c>
      <c r="AK2113">
        <f>[1]资金台帐!AK2113</f>
        <v>0</v>
      </c>
      <c r="BA2113" s="22">
        <f t="shared" si="0"/>
      </c>
      <c r="BG2113" s="22">
        <f t="shared" si="1"/>
      </c>
      <c r="BH2113" s="22">
        <f t="shared" si="2"/>
        <v>0</v>
      </c>
    </row>
    <row r="2114">
      <c r="B2114">
        <f>[1]资金台帐!B2114&amp;""</f>
      </c>
      <c r="H2114">
        <f>[1]资金台帐!H2114&amp;""</f>
      </c>
      <c r="J2114">
        <f>[1]资金台帐!J2114&amp;""</f>
      </c>
      <c r="N2114">
        <f>[1]资金台帐!N2114</f>
      </c>
      <c r="O2114">
        <f>[1]资金台帐!O2114&amp;""</f>
      </c>
      <c r="P2114">
        <f>[1]资金台帐!P2114&amp;""</f>
      </c>
      <c r="Q2114">
        <f>[1]资金台帐!Q2114&amp;""</f>
      </c>
      <c r="T2114">
        <f>[1]资金台帐!T2114&amp;""</f>
      </c>
      <c r="U2114">
        <f>[1]资金台帐!U2114&amp;""</f>
      </c>
      <c r="W2114">
        <f>[1]资金台帐!W2114&amp;""</f>
      </c>
      <c r="X2114">
        <f>[1]资金台帐!X2114&amp;""</f>
      </c>
      <c r="AB2114">
        <f>[1]资金台帐!AB2114</f>
        <v>0</v>
      </c>
      <c r="AC2114">
        <f>[1]资金台帐!AC2114</f>
        <v>0</v>
      </c>
      <c r="AD2114">
        <f>[1]资金台帐!AD2114</f>
        <v>0</v>
      </c>
      <c r="AJ2114">
        <f>[1]资金台帐!AJ2114</f>
        <v>0</v>
      </c>
      <c r="AK2114">
        <f>[1]资金台帐!AK2114</f>
        <v>0</v>
      </c>
      <c r="BA2114" s="22">
        <f t="shared" si="0"/>
      </c>
      <c r="BG2114" s="22">
        <f t="shared" si="1"/>
      </c>
      <c r="BH2114" s="22">
        <f t="shared" si="2"/>
        <v>0</v>
      </c>
    </row>
    <row r="2115">
      <c r="B2115">
        <f>[1]资金台帐!B2115&amp;""</f>
      </c>
      <c r="H2115">
        <f>[1]资金台帐!H2115&amp;""</f>
      </c>
      <c r="J2115">
        <f>[1]资金台帐!J2115&amp;""</f>
      </c>
      <c r="N2115">
        <f>[1]资金台帐!N2115</f>
      </c>
      <c r="O2115">
        <f>[1]资金台帐!O2115&amp;""</f>
      </c>
      <c r="P2115">
        <f>[1]资金台帐!P2115&amp;""</f>
      </c>
      <c r="Q2115">
        <f>[1]资金台帐!Q2115&amp;""</f>
      </c>
      <c r="T2115">
        <f>[1]资金台帐!T2115&amp;""</f>
      </c>
      <c r="U2115">
        <f>[1]资金台帐!U2115&amp;""</f>
      </c>
      <c r="W2115">
        <f>[1]资金台帐!W2115&amp;""</f>
      </c>
      <c r="X2115">
        <f>[1]资金台帐!X2115&amp;""</f>
      </c>
      <c r="AB2115">
        <f>[1]资金台帐!AB2115</f>
        <v>0</v>
      </c>
      <c r="AC2115">
        <f>[1]资金台帐!AC2115</f>
        <v>0</v>
      </c>
      <c r="AD2115">
        <f>[1]资金台帐!AD2115</f>
        <v>0</v>
      </c>
      <c r="AJ2115">
        <f>[1]资金台帐!AJ2115</f>
        <v>0</v>
      </c>
      <c r="AK2115">
        <f>[1]资金台帐!AK2115</f>
        <v>0</v>
      </c>
      <c r="BA2115" s="22">
        <f t="shared" si="0"/>
      </c>
      <c r="BG2115" s="22">
        <f t="shared" si="1"/>
      </c>
      <c r="BH2115" s="22">
        <f t="shared" si="2"/>
        <v>0</v>
      </c>
    </row>
    <row r="2116">
      <c r="B2116">
        <f>[1]资金台帐!B2116&amp;""</f>
      </c>
      <c r="H2116">
        <f>[1]资金台帐!H2116&amp;""</f>
      </c>
      <c r="J2116">
        <f>[1]资金台帐!J2116&amp;""</f>
      </c>
      <c r="N2116">
        <f>[1]资金台帐!N2116</f>
      </c>
      <c r="O2116">
        <f>[1]资金台帐!O2116&amp;""</f>
      </c>
      <c r="P2116">
        <f>[1]资金台帐!P2116&amp;""</f>
      </c>
      <c r="Q2116">
        <f>[1]资金台帐!Q2116&amp;""</f>
      </c>
      <c r="T2116">
        <f>[1]资金台帐!T2116&amp;""</f>
      </c>
      <c r="U2116">
        <f>[1]资金台帐!U2116&amp;""</f>
      </c>
      <c r="W2116">
        <f>[1]资金台帐!W2116&amp;""</f>
      </c>
      <c r="X2116">
        <f>[1]资金台帐!X2116&amp;""</f>
      </c>
      <c r="AB2116">
        <f>[1]资金台帐!AB2116</f>
        <v>0</v>
      </c>
      <c r="AC2116">
        <f>[1]资金台帐!AC2116</f>
        <v>0</v>
      </c>
      <c r="AD2116">
        <f>[1]资金台帐!AD2116</f>
        <v>0</v>
      </c>
      <c r="AJ2116">
        <f>[1]资金台帐!AJ2116</f>
        <v>0</v>
      </c>
      <c r="AK2116">
        <f>[1]资金台帐!AK2116</f>
        <v>0</v>
      </c>
      <c r="BA2116" s="22">
        <f t="shared" si="0"/>
      </c>
      <c r="BG2116" s="22">
        <f t="shared" si="1"/>
      </c>
      <c r="BH2116" s="22">
        <f t="shared" si="2"/>
        <v>0</v>
      </c>
    </row>
    <row r="2117">
      <c r="B2117">
        <f>[1]资金台帐!B2117&amp;""</f>
      </c>
      <c r="H2117">
        <f>[1]资金台帐!H2117&amp;""</f>
      </c>
      <c r="J2117">
        <f>[1]资金台帐!J2117&amp;""</f>
      </c>
      <c r="N2117">
        <f>[1]资金台帐!N2117</f>
      </c>
      <c r="O2117">
        <f>[1]资金台帐!O2117&amp;""</f>
      </c>
      <c r="P2117">
        <f>[1]资金台帐!P2117&amp;""</f>
      </c>
      <c r="Q2117">
        <f>[1]资金台帐!Q2117&amp;""</f>
      </c>
      <c r="T2117">
        <f>[1]资金台帐!T2117&amp;""</f>
      </c>
      <c r="U2117">
        <f>[1]资金台帐!U2117&amp;""</f>
      </c>
      <c r="W2117">
        <f>[1]资金台帐!W2117&amp;""</f>
      </c>
      <c r="X2117">
        <f>[1]资金台帐!X2117&amp;""</f>
      </c>
      <c r="AB2117">
        <f>[1]资金台帐!AB2117</f>
        <v>0</v>
      </c>
      <c r="AC2117">
        <f>[1]资金台帐!AC2117</f>
        <v>0</v>
      </c>
      <c r="AD2117">
        <f>[1]资金台帐!AD2117</f>
        <v>0</v>
      </c>
      <c r="AJ2117">
        <f>[1]资金台帐!AJ2117</f>
        <v>0</v>
      </c>
      <c r="AK2117">
        <f>[1]资金台帐!AK2117</f>
        <v>0</v>
      </c>
      <c r="BA2117" s="22">
        <f t="shared" si="0"/>
      </c>
      <c r="BG2117" s="22">
        <f t="shared" si="1"/>
      </c>
      <c r="BH2117" s="22">
        <f t="shared" si="2"/>
        <v>0</v>
      </c>
    </row>
    <row r="2118">
      <c r="B2118">
        <f>[1]资金台帐!B2118&amp;""</f>
      </c>
      <c r="H2118">
        <f>[1]资金台帐!H2118&amp;""</f>
      </c>
      <c r="J2118">
        <f>[1]资金台帐!J2118&amp;""</f>
      </c>
      <c r="N2118">
        <f>[1]资金台帐!N2118</f>
      </c>
      <c r="O2118">
        <f>[1]资金台帐!O2118&amp;""</f>
      </c>
      <c r="P2118">
        <f>[1]资金台帐!P2118&amp;""</f>
      </c>
      <c r="Q2118">
        <f>[1]资金台帐!Q2118&amp;""</f>
      </c>
      <c r="T2118">
        <f>[1]资金台帐!T2118&amp;""</f>
      </c>
      <c r="U2118">
        <f>[1]资金台帐!U2118&amp;""</f>
      </c>
      <c r="W2118">
        <f>[1]资金台帐!W2118&amp;""</f>
      </c>
      <c r="X2118">
        <f>[1]资金台帐!X2118&amp;""</f>
      </c>
      <c r="AB2118">
        <f>[1]资金台帐!AB2118</f>
        <v>0</v>
      </c>
      <c r="AC2118">
        <f>[1]资金台帐!AC2118</f>
        <v>0</v>
      </c>
      <c r="AD2118">
        <f>[1]资金台帐!AD2118</f>
        <v>0</v>
      </c>
      <c r="AJ2118">
        <f>[1]资金台帐!AJ2118</f>
        <v>0</v>
      </c>
      <c r="AK2118">
        <f>[1]资金台帐!AK2118</f>
        <v>0</v>
      </c>
      <c r="BA2118" s="22">
        <f t="shared" si="0"/>
      </c>
      <c r="BG2118" s="22">
        <f t="shared" si="1"/>
      </c>
      <c r="BH2118" s="22">
        <f t="shared" si="2"/>
        <v>0</v>
      </c>
    </row>
    <row r="2119">
      <c r="B2119">
        <f>[1]资金台帐!B2119&amp;""</f>
      </c>
      <c r="H2119">
        <f>[1]资金台帐!H2119&amp;""</f>
      </c>
      <c r="J2119">
        <f>[1]资金台帐!J2119&amp;""</f>
      </c>
      <c r="N2119">
        <f>[1]资金台帐!N2119</f>
      </c>
      <c r="O2119">
        <f>[1]资金台帐!O2119&amp;""</f>
      </c>
      <c r="P2119">
        <f>[1]资金台帐!P2119&amp;""</f>
      </c>
      <c r="Q2119">
        <f>[1]资金台帐!Q2119&amp;""</f>
      </c>
      <c r="T2119">
        <f>[1]资金台帐!T2119&amp;""</f>
      </c>
      <c r="U2119">
        <f>[1]资金台帐!U2119&amp;""</f>
      </c>
      <c r="W2119">
        <f>[1]资金台帐!W2119&amp;""</f>
      </c>
      <c r="X2119">
        <f>[1]资金台帐!X2119&amp;""</f>
      </c>
      <c r="AB2119">
        <f>[1]资金台帐!AB2119</f>
        <v>0</v>
      </c>
      <c r="AC2119">
        <f>[1]资金台帐!AC2119</f>
        <v>0</v>
      </c>
      <c r="AD2119">
        <f>[1]资金台帐!AD2119</f>
        <v>0</v>
      </c>
      <c r="AJ2119">
        <f>[1]资金台帐!AJ2119</f>
        <v>0</v>
      </c>
      <c r="AK2119">
        <f>[1]资金台帐!AK2119</f>
        <v>0</v>
      </c>
      <c r="BA2119" s="22">
        <f t="shared" si="0"/>
      </c>
      <c r="BG2119" s="22">
        <f t="shared" si="1"/>
      </c>
      <c r="BH2119" s="22">
        <f t="shared" si="2"/>
        <v>0</v>
      </c>
    </row>
    <row r="2120">
      <c r="B2120">
        <f>[1]资金台帐!B2120&amp;""</f>
      </c>
      <c r="H2120">
        <f>[1]资金台帐!H2120&amp;""</f>
      </c>
      <c r="J2120">
        <f>[1]资金台帐!J2120&amp;""</f>
      </c>
      <c r="N2120">
        <f>[1]资金台帐!N2120</f>
      </c>
      <c r="O2120">
        <f>[1]资金台帐!O2120&amp;""</f>
      </c>
      <c r="P2120">
        <f>[1]资金台帐!P2120&amp;""</f>
      </c>
      <c r="Q2120">
        <f>[1]资金台帐!Q2120&amp;""</f>
      </c>
      <c r="T2120">
        <f>[1]资金台帐!T2120&amp;""</f>
      </c>
      <c r="U2120">
        <f>[1]资金台帐!U2120&amp;""</f>
      </c>
      <c r="W2120">
        <f>[1]资金台帐!W2120&amp;""</f>
      </c>
      <c r="X2120">
        <f>[1]资金台帐!X2120&amp;""</f>
      </c>
      <c r="AB2120">
        <f>[1]资金台帐!AB2120</f>
        <v>0</v>
      </c>
      <c r="AC2120">
        <f>[1]资金台帐!AC2120</f>
        <v>0</v>
      </c>
      <c r="AD2120">
        <f>[1]资金台帐!AD2120</f>
        <v>0</v>
      </c>
      <c r="AJ2120">
        <f>[1]资金台帐!AJ2120</f>
        <v>0</v>
      </c>
      <c r="AK2120">
        <f>[1]资金台帐!AK2120</f>
        <v>0</v>
      </c>
      <c r="BA2120" s="22">
        <f t="shared" si="0"/>
      </c>
      <c r="BG2120" s="22">
        <f t="shared" si="1"/>
      </c>
      <c r="BH2120" s="22">
        <f t="shared" si="2"/>
        <v>0</v>
      </c>
    </row>
    <row r="2121">
      <c r="B2121">
        <f>[1]资金台帐!B2121&amp;""</f>
      </c>
      <c r="H2121">
        <f>[1]资金台帐!H2121&amp;""</f>
      </c>
      <c r="J2121">
        <f>[1]资金台帐!J2121&amp;""</f>
      </c>
      <c r="N2121">
        <f>[1]资金台帐!N2121</f>
      </c>
      <c r="O2121">
        <f>[1]资金台帐!O2121&amp;""</f>
      </c>
      <c r="P2121">
        <f>[1]资金台帐!P2121&amp;""</f>
      </c>
      <c r="Q2121">
        <f>[1]资金台帐!Q2121&amp;""</f>
      </c>
      <c r="T2121">
        <f>[1]资金台帐!T2121&amp;""</f>
      </c>
      <c r="U2121">
        <f>[1]资金台帐!U2121&amp;""</f>
      </c>
      <c r="W2121">
        <f>[1]资金台帐!W2121&amp;""</f>
      </c>
      <c r="X2121">
        <f>[1]资金台帐!X2121&amp;""</f>
      </c>
      <c r="AB2121">
        <f>[1]资金台帐!AB2121</f>
        <v>0</v>
      </c>
      <c r="AC2121">
        <f>[1]资金台帐!AC2121</f>
        <v>0</v>
      </c>
      <c r="AD2121">
        <f>[1]资金台帐!AD2121</f>
        <v>0</v>
      </c>
      <c r="AJ2121">
        <f>[1]资金台帐!AJ2121</f>
        <v>0</v>
      </c>
      <c r="AK2121">
        <f>[1]资金台帐!AK2121</f>
        <v>0</v>
      </c>
      <c r="BA2121" s="22">
        <f t="shared" si="0"/>
      </c>
      <c r="BG2121" s="22">
        <f t="shared" si="1"/>
      </c>
      <c r="BH2121" s="22">
        <f t="shared" si="2"/>
        <v>0</v>
      </c>
    </row>
    <row r="2122">
      <c r="B2122">
        <f>[1]资金台帐!B2122&amp;""</f>
      </c>
      <c r="H2122">
        <f>[1]资金台帐!H2122&amp;""</f>
      </c>
      <c r="J2122">
        <f>[1]资金台帐!J2122&amp;""</f>
      </c>
      <c r="N2122">
        <f>[1]资金台帐!N2122</f>
      </c>
      <c r="O2122">
        <f>[1]资金台帐!O2122&amp;""</f>
      </c>
      <c r="P2122">
        <f>[1]资金台帐!P2122&amp;""</f>
      </c>
      <c r="Q2122">
        <f>[1]资金台帐!Q2122&amp;""</f>
      </c>
      <c r="T2122">
        <f>[1]资金台帐!T2122&amp;""</f>
      </c>
      <c r="U2122">
        <f>[1]资金台帐!U2122&amp;""</f>
      </c>
      <c r="W2122">
        <f>[1]资金台帐!W2122&amp;""</f>
      </c>
      <c r="X2122">
        <f>[1]资金台帐!X2122&amp;""</f>
      </c>
      <c r="AB2122">
        <f>[1]资金台帐!AB2122</f>
        <v>0</v>
      </c>
      <c r="AC2122">
        <f>[1]资金台帐!AC2122</f>
        <v>0</v>
      </c>
      <c r="AD2122">
        <f>[1]资金台帐!AD2122</f>
        <v>0</v>
      </c>
      <c r="AJ2122">
        <f>[1]资金台帐!AJ2122</f>
        <v>0</v>
      </c>
      <c r="AK2122">
        <f>[1]资金台帐!AK2122</f>
        <v>0</v>
      </c>
      <c r="BA2122" s="22">
        <f t="shared" si="0"/>
      </c>
      <c r="BG2122" s="22">
        <f t="shared" si="1"/>
      </c>
      <c r="BH2122" s="22">
        <f t="shared" si="2"/>
        <v>0</v>
      </c>
    </row>
    <row r="2123">
      <c r="B2123">
        <f>[1]资金台帐!B2123&amp;""</f>
      </c>
      <c r="H2123">
        <f>[1]资金台帐!H2123&amp;""</f>
      </c>
      <c r="J2123">
        <f>[1]资金台帐!J2123&amp;""</f>
      </c>
      <c r="N2123">
        <f>[1]资金台帐!N2123</f>
      </c>
      <c r="O2123">
        <f>[1]资金台帐!O2123&amp;""</f>
      </c>
      <c r="P2123">
        <f>[1]资金台帐!P2123&amp;""</f>
      </c>
      <c r="Q2123">
        <f>[1]资金台帐!Q2123&amp;""</f>
      </c>
      <c r="T2123">
        <f>[1]资金台帐!T2123&amp;""</f>
      </c>
      <c r="U2123">
        <f>[1]资金台帐!U2123&amp;""</f>
      </c>
      <c r="W2123">
        <f>[1]资金台帐!W2123&amp;""</f>
      </c>
      <c r="X2123">
        <f>[1]资金台帐!X2123&amp;""</f>
      </c>
      <c r="AB2123">
        <f>[1]资金台帐!AB2123</f>
        <v>0</v>
      </c>
      <c r="AC2123">
        <f>[1]资金台帐!AC2123</f>
        <v>0</v>
      </c>
      <c r="AD2123">
        <f>[1]资金台帐!AD2123</f>
        <v>0</v>
      </c>
      <c r="AJ2123">
        <f>[1]资金台帐!AJ2123</f>
        <v>0</v>
      </c>
      <c r="AK2123">
        <f>[1]资金台帐!AK2123</f>
        <v>0</v>
      </c>
      <c r="BA2123" s="22">
        <f t="shared" si="0"/>
      </c>
      <c r="BG2123" s="22">
        <f t="shared" si="1"/>
      </c>
      <c r="BH2123" s="22">
        <f t="shared" si="2"/>
        <v>0</v>
      </c>
    </row>
    <row r="2124">
      <c r="B2124">
        <f>[1]资金台帐!B2124&amp;""</f>
      </c>
      <c r="H2124">
        <f>[1]资金台帐!H2124&amp;""</f>
      </c>
      <c r="J2124">
        <f>[1]资金台帐!J2124&amp;""</f>
      </c>
      <c r="N2124">
        <f>[1]资金台帐!N2124</f>
      </c>
      <c r="O2124">
        <f>[1]资金台帐!O2124&amp;""</f>
      </c>
      <c r="P2124">
        <f>[1]资金台帐!P2124&amp;""</f>
      </c>
      <c r="Q2124">
        <f>[1]资金台帐!Q2124&amp;""</f>
      </c>
      <c r="T2124">
        <f>[1]资金台帐!T2124&amp;""</f>
      </c>
      <c r="U2124">
        <f>[1]资金台帐!U2124&amp;""</f>
      </c>
      <c r="W2124">
        <f>[1]资金台帐!W2124&amp;""</f>
      </c>
      <c r="X2124">
        <f>[1]资金台帐!X2124&amp;""</f>
      </c>
      <c r="AB2124">
        <f>[1]资金台帐!AB2124</f>
        <v>0</v>
      </c>
      <c r="AC2124">
        <f>[1]资金台帐!AC2124</f>
        <v>0</v>
      </c>
      <c r="AD2124">
        <f>[1]资金台帐!AD2124</f>
        <v>0</v>
      </c>
      <c r="AJ2124">
        <f>[1]资金台帐!AJ2124</f>
        <v>0</v>
      </c>
      <c r="AK2124">
        <f>[1]资金台帐!AK2124</f>
        <v>0</v>
      </c>
      <c r="BA2124" s="22">
        <f t="shared" si="0"/>
      </c>
      <c r="BG2124" s="22">
        <f t="shared" si="1"/>
      </c>
      <c r="BH2124" s="22">
        <f t="shared" si="2"/>
        <v>0</v>
      </c>
    </row>
    <row r="2125">
      <c r="B2125">
        <f>[1]资金台帐!B2125&amp;""</f>
      </c>
      <c r="H2125">
        <f>[1]资金台帐!H2125&amp;""</f>
      </c>
      <c r="J2125">
        <f>[1]资金台帐!J2125&amp;""</f>
      </c>
      <c r="N2125">
        <f>[1]资金台帐!N2125</f>
      </c>
      <c r="O2125">
        <f>[1]资金台帐!O2125&amp;""</f>
      </c>
      <c r="P2125">
        <f>[1]资金台帐!P2125&amp;""</f>
      </c>
      <c r="Q2125">
        <f>[1]资金台帐!Q2125&amp;""</f>
      </c>
      <c r="T2125">
        <f>[1]资金台帐!T2125&amp;""</f>
      </c>
      <c r="U2125">
        <f>[1]资金台帐!U2125&amp;""</f>
      </c>
      <c r="W2125">
        <f>[1]资金台帐!W2125&amp;""</f>
      </c>
      <c r="X2125">
        <f>[1]资金台帐!X2125&amp;""</f>
      </c>
      <c r="AB2125">
        <f>[1]资金台帐!AB2125</f>
        <v>0</v>
      </c>
      <c r="AC2125">
        <f>[1]资金台帐!AC2125</f>
        <v>0</v>
      </c>
      <c r="AD2125">
        <f>[1]资金台帐!AD2125</f>
        <v>0</v>
      </c>
      <c r="AJ2125">
        <f>[1]资金台帐!AJ2125</f>
        <v>0</v>
      </c>
      <c r="AK2125">
        <f>[1]资金台帐!AK2125</f>
        <v>0</v>
      </c>
      <c r="BA2125" s="22">
        <f t="shared" si="0"/>
      </c>
      <c r="BG2125" s="22">
        <f t="shared" si="1"/>
      </c>
      <c r="BH2125" s="22">
        <f t="shared" si="2"/>
        <v>0</v>
      </c>
    </row>
    <row r="2126">
      <c r="B2126">
        <f>[1]资金台帐!B2126&amp;""</f>
      </c>
      <c r="H2126">
        <f>[1]资金台帐!H2126&amp;""</f>
      </c>
      <c r="J2126">
        <f>[1]资金台帐!J2126&amp;""</f>
      </c>
      <c r="N2126">
        <f>[1]资金台帐!N2126</f>
      </c>
      <c r="O2126">
        <f>[1]资金台帐!O2126&amp;""</f>
      </c>
      <c r="P2126">
        <f>[1]资金台帐!P2126&amp;""</f>
      </c>
      <c r="Q2126">
        <f>[1]资金台帐!Q2126&amp;""</f>
      </c>
      <c r="T2126">
        <f>[1]资金台帐!T2126&amp;""</f>
      </c>
      <c r="U2126">
        <f>[1]资金台帐!U2126&amp;""</f>
      </c>
      <c r="W2126">
        <f>[1]资金台帐!W2126&amp;""</f>
      </c>
      <c r="X2126">
        <f>[1]资金台帐!X2126&amp;""</f>
      </c>
      <c r="AB2126">
        <f>[1]资金台帐!AB2126</f>
        <v>0</v>
      </c>
      <c r="AC2126">
        <f>[1]资金台帐!AC2126</f>
        <v>0</v>
      </c>
      <c r="AD2126">
        <f>[1]资金台帐!AD2126</f>
        <v>0</v>
      </c>
      <c r="AJ2126">
        <f>[1]资金台帐!AJ2126</f>
        <v>0</v>
      </c>
      <c r="AK2126">
        <f>[1]资金台帐!AK2126</f>
        <v>0</v>
      </c>
      <c r="BA2126" s="22">
        <f t="shared" si="0"/>
      </c>
      <c r="BG2126" s="22">
        <f t="shared" si="1"/>
      </c>
      <c r="BH2126" s="22">
        <f t="shared" si="2"/>
        <v>0</v>
      </c>
    </row>
    <row r="2127">
      <c r="B2127">
        <f>[1]资金台帐!B2127&amp;""</f>
      </c>
      <c r="H2127">
        <f>[1]资金台帐!H2127&amp;""</f>
      </c>
      <c r="J2127">
        <f>[1]资金台帐!J2127&amp;""</f>
      </c>
      <c r="N2127">
        <f>[1]资金台帐!N2127</f>
      </c>
      <c r="O2127">
        <f>[1]资金台帐!O2127&amp;""</f>
      </c>
      <c r="P2127">
        <f>[1]资金台帐!P2127&amp;""</f>
      </c>
      <c r="Q2127">
        <f>[1]资金台帐!Q2127&amp;""</f>
      </c>
      <c r="T2127">
        <f>[1]资金台帐!T2127&amp;""</f>
      </c>
      <c r="U2127">
        <f>[1]资金台帐!U2127&amp;""</f>
      </c>
      <c r="W2127">
        <f>[1]资金台帐!W2127&amp;""</f>
      </c>
      <c r="X2127">
        <f>[1]资金台帐!X2127&amp;""</f>
      </c>
      <c r="AB2127">
        <f>[1]资金台帐!AB2127</f>
        <v>0</v>
      </c>
      <c r="AC2127">
        <f>[1]资金台帐!AC2127</f>
        <v>0</v>
      </c>
      <c r="AD2127">
        <f>[1]资金台帐!AD2127</f>
        <v>0</v>
      </c>
      <c r="AJ2127">
        <f>[1]资金台帐!AJ2127</f>
        <v>0</v>
      </c>
      <c r="AK2127">
        <f>[1]资金台帐!AK2127</f>
        <v>0</v>
      </c>
      <c r="BA2127" s="22">
        <f t="shared" si="0"/>
      </c>
      <c r="BG2127" s="22">
        <f t="shared" si="1"/>
      </c>
      <c r="BH2127" s="22">
        <f t="shared" si="2"/>
        <v>0</v>
      </c>
    </row>
    <row r="2128">
      <c r="B2128">
        <f>[1]资金台帐!B2128&amp;""</f>
      </c>
      <c r="H2128">
        <f>[1]资金台帐!H2128&amp;""</f>
      </c>
      <c r="J2128">
        <f>[1]资金台帐!J2128&amp;""</f>
      </c>
      <c r="N2128">
        <f>[1]资金台帐!N2128</f>
      </c>
      <c r="O2128">
        <f>[1]资金台帐!O2128&amp;""</f>
      </c>
      <c r="P2128">
        <f>[1]资金台帐!P2128&amp;""</f>
      </c>
      <c r="Q2128">
        <f>[1]资金台帐!Q2128&amp;""</f>
      </c>
      <c r="T2128">
        <f>[1]资金台帐!T2128&amp;""</f>
      </c>
      <c r="U2128">
        <f>[1]资金台帐!U2128&amp;""</f>
      </c>
      <c r="W2128">
        <f>[1]资金台帐!W2128&amp;""</f>
      </c>
      <c r="X2128">
        <f>[1]资金台帐!X2128&amp;""</f>
      </c>
      <c r="AB2128">
        <f>[1]资金台帐!AB2128</f>
        <v>0</v>
      </c>
      <c r="AC2128">
        <f>[1]资金台帐!AC2128</f>
        <v>0</v>
      </c>
      <c r="AD2128">
        <f>[1]资金台帐!AD2128</f>
        <v>0</v>
      </c>
      <c r="AJ2128">
        <f>[1]资金台帐!AJ2128</f>
        <v>0</v>
      </c>
      <c r="AK2128">
        <f>[1]资金台帐!AK2128</f>
        <v>0</v>
      </c>
      <c r="BA2128" s="22">
        <f t="shared" si="0"/>
      </c>
      <c r="BG2128" s="22">
        <f t="shared" si="1"/>
      </c>
      <c r="BH2128" s="22">
        <f t="shared" si="2"/>
        <v>0</v>
      </c>
    </row>
    <row r="2129">
      <c r="B2129">
        <f>[1]资金台帐!B2129&amp;""</f>
      </c>
      <c r="H2129">
        <f>[1]资金台帐!H2129&amp;""</f>
      </c>
      <c r="J2129">
        <f>[1]资金台帐!J2129&amp;""</f>
      </c>
      <c r="N2129">
        <f>[1]资金台帐!N2129</f>
      </c>
      <c r="O2129">
        <f>[1]资金台帐!O2129&amp;""</f>
      </c>
      <c r="P2129">
        <f>[1]资金台帐!P2129&amp;""</f>
      </c>
      <c r="Q2129">
        <f>[1]资金台帐!Q2129&amp;""</f>
      </c>
      <c r="T2129">
        <f>[1]资金台帐!T2129&amp;""</f>
      </c>
      <c r="U2129">
        <f>[1]资金台帐!U2129&amp;""</f>
      </c>
      <c r="W2129">
        <f>[1]资金台帐!W2129&amp;""</f>
      </c>
      <c r="X2129">
        <f>[1]资金台帐!X2129&amp;""</f>
      </c>
      <c r="AB2129">
        <f>[1]资金台帐!AB2129</f>
        <v>0</v>
      </c>
      <c r="AC2129">
        <f>[1]资金台帐!AC2129</f>
        <v>0</v>
      </c>
      <c r="AD2129">
        <f>[1]资金台帐!AD2129</f>
        <v>0</v>
      </c>
      <c r="AJ2129">
        <f>[1]资金台帐!AJ2129</f>
        <v>0</v>
      </c>
      <c r="AK2129">
        <f>[1]资金台帐!AK2129</f>
        <v>0</v>
      </c>
      <c r="BA2129" s="22">
        <f t="shared" si="0"/>
      </c>
      <c r="BG2129" s="22">
        <f t="shared" si="1"/>
      </c>
      <c r="BH2129" s="22">
        <f t="shared" si="2"/>
        <v>0</v>
      </c>
    </row>
    <row r="2130">
      <c r="B2130">
        <f>[1]资金台帐!B2130&amp;""</f>
      </c>
      <c r="H2130">
        <f>[1]资金台帐!H2130&amp;""</f>
      </c>
      <c r="J2130">
        <f>[1]资金台帐!J2130&amp;""</f>
      </c>
      <c r="N2130">
        <f>[1]资金台帐!N2130</f>
      </c>
      <c r="O2130">
        <f>[1]资金台帐!O2130&amp;""</f>
      </c>
      <c r="P2130">
        <f>[1]资金台帐!P2130&amp;""</f>
      </c>
      <c r="Q2130">
        <f>[1]资金台帐!Q2130&amp;""</f>
      </c>
      <c r="T2130">
        <f>[1]资金台帐!T2130&amp;""</f>
      </c>
      <c r="U2130">
        <f>[1]资金台帐!U2130&amp;""</f>
      </c>
      <c r="W2130">
        <f>[1]资金台帐!W2130&amp;""</f>
      </c>
      <c r="X2130">
        <f>[1]资金台帐!X2130&amp;""</f>
      </c>
      <c r="AB2130">
        <f>[1]资金台帐!AB2130</f>
        <v>0</v>
      </c>
      <c r="AC2130">
        <f>[1]资金台帐!AC2130</f>
        <v>0</v>
      </c>
      <c r="AD2130">
        <f>[1]资金台帐!AD2130</f>
        <v>0</v>
      </c>
      <c r="AJ2130">
        <f>[1]资金台帐!AJ2130</f>
        <v>0</v>
      </c>
      <c r="AK2130">
        <f>[1]资金台帐!AK2130</f>
        <v>0</v>
      </c>
      <c r="BA2130" s="22">
        <f t="shared" si="0"/>
      </c>
      <c r="BG2130" s="22">
        <f t="shared" si="1"/>
      </c>
      <c r="BH2130" s="22">
        <f t="shared" si="2"/>
        <v>0</v>
      </c>
    </row>
    <row r="2131">
      <c r="B2131">
        <f>[1]资金台帐!B2131&amp;""</f>
      </c>
      <c r="H2131">
        <f>[1]资金台帐!H2131&amp;""</f>
      </c>
      <c r="J2131">
        <f>[1]资金台帐!J2131&amp;""</f>
      </c>
      <c r="N2131">
        <f>[1]资金台帐!N2131</f>
      </c>
      <c r="O2131">
        <f>[1]资金台帐!O2131&amp;""</f>
      </c>
      <c r="P2131">
        <f>[1]资金台帐!P2131&amp;""</f>
      </c>
      <c r="Q2131">
        <f>[1]资金台帐!Q2131&amp;""</f>
      </c>
      <c r="T2131">
        <f>[1]资金台帐!T2131&amp;""</f>
      </c>
      <c r="U2131">
        <f>[1]资金台帐!U2131&amp;""</f>
      </c>
      <c r="W2131">
        <f>[1]资金台帐!W2131&amp;""</f>
      </c>
      <c r="X2131">
        <f>[1]资金台帐!X2131&amp;""</f>
      </c>
      <c r="AB2131">
        <f>[1]资金台帐!AB2131</f>
        <v>0</v>
      </c>
      <c r="AC2131">
        <f>[1]资金台帐!AC2131</f>
        <v>0</v>
      </c>
      <c r="AD2131">
        <f>[1]资金台帐!AD2131</f>
        <v>0</v>
      </c>
      <c r="AJ2131">
        <f>[1]资金台帐!AJ2131</f>
        <v>0</v>
      </c>
      <c r="AK2131">
        <f>[1]资金台帐!AK2131</f>
        <v>0</v>
      </c>
      <c r="BA2131" s="22">
        <f t="shared" si="0"/>
      </c>
      <c r="BG2131" s="22">
        <f t="shared" si="1"/>
      </c>
      <c r="BH2131" s="22">
        <f t="shared" si="2"/>
        <v>0</v>
      </c>
    </row>
    <row r="2132">
      <c r="B2132">
        <f>[1]资金台帐!B2132&amp;""</f>
      </c>
      <c r="H2132">
        <f>[1]资金台帐!H2132&amp;""</f>
      </c>
      <c r="J2132">
        <f>[1]资金台帐!J2132&amp;""</f>
      </c>
      <c r="N2132">
        <f>[1]资金台帐!N2132</f>
      </c>
      <c r="O2132">
        <f>[1]资金台帐!O2132&amp;""</f>
      </c>
      <c r="P2132">
        <f>[1]资金台帐!P2132&amp;""</f>
      </c>
      <c r="Q2132">
        <f>[1]资金台帐!Q2132&amp;""</f>
      </c>
      <c r="T2132">
        <f>[1]资金台帐!T2132&amp;""</f>
      </c>
      <c r="U2132">
        <f>[1]资金台帐!U2132&amp;""</f>
      </c>
      <c r="W2132">
        <f>[1]资金台帐!W2132&amp;""</f>
      </c>
      <c r="X2132">
        <f>[1]资金台帐!X2132&amp;""</f>
      </c>
      <c r="AB2132">
        <f>[1]资金台帐!AB2132</f>
        <v>0</v>
      </c>
      <c r="AC2132">
        <f>[1]资金台帐!AC2132</f>
        <v>0</v>
      </c>
      <c r="AD2132">
        <f>[1]资金台帐!AD2132</f>
        <v>0</v>
      </c>
      <c r="AJ2132">
        <f>[1]资金台帐!AJ2132</f>
        <v>0</v>
      </c>
      <c r="AK2132">
        <f>[1]资金台帐!AK2132</f>
        <v>0</v>
      </c>
      <c r="BA2132" s="22">
        <f t="shared" si="0"/>
      </c>
      <c r="BG2132" s="22">
        <f t="shared" si="1"/>
      </c>
      <c r="BH2132" s="22">
        <f t="shared" si="2"/>
        <v>0</v>
      </c>
    </row>
    <row r="2133">
      <c r="B2133">
        <f>[1]资金台帐!B2133&amp;""</f>
      </c>
      <c r="H2133">
        <f>[1]资金台帐!H2133&amp;""</f>
      </c>
      <c r="J2133">
        <f>[1]资金台帐!J2133&amp;""</f>
      </c>
      <c r="N2133">
        <f>[1]资金台帐!N2133</f>
      </c>
      <c r="O2133">
        <f>[1]资金台帐!O2133&amp;""</f>
      </c>
      <c r="P2133">
        <f>[1]资金台帐!P2133&amp;""</f>
      </c>
      <c r="Q2133">
        <f>[1]资金台帐!Q2133&amp;""</f>
      </c>
      <c r="T2133">
        <f>[1]资金台帐!T2133&amp;""</f>
      </c>
      <c r="U2133">
        <f>[1]资金台帐!U2133&amp;""</f>
      </c>
      <c r="W2133">
        <f>[1]资金台帐!W2133&amp;""</f>
      </c>
      <c r="X2133">
        <f>[1]资金台帐!X2133&amp;""</f>
      </c>
      <c r="AB2133">
        <f>[1]资金台帐!AB2133</f>
        <v>0</v>
      </c>
      <c r="AC2133">
        <f>[1]资金台帐!AC2133</f>
        <v>0</v>
      </c>
      <c r="AD2133">
        <f>[1]资金台帐!AD2133</f>
        <v>0</v>
      </c>
      <c r="AJ2133">
        <f>[1]资金台帐!AJ2133</f>
        <v>0</v>
      </c>
      <c r="AK2133">
        <f>[1]资金台帐!AK2133</f>
        <v>0</v>
      </c>
      <c r="BA2133" s="22">
        <f t="shared" si="0"/>
      </c>
      <c r="BG2133" s="22">
        <f t="shared" si="1"/>
      </c>
      <c r="BH2133" s="22">
        <f t="shared" si="2"/>
        <v>0</v>
      </c>
    </row>
    <row r="2134">
      <c r="B2134">
        <f>[1]资金台帐!B2134&amp;""</f>
      </c>
      <c r="H2134">
        <f>[1]资金台帐!H2134&amp;""</f>
      </c>
      <c r="J2134">
        <f>[1]资金台帐!J2134&amp;""</f>
      </c>
      <c r="N2134">
        <f>[1]资金台帐!N2134</f>
      </c>
      <c r="O2134">
        <f>[1]资金台帐!O2134&amp;""</f>
      </c>
      <c r="P2134">
        <f>[1]资金台帐!P2134&amp;""</f>
      </c>
      <c r="Q2134">
        <f>[1]资金台帐!Q2134&amp;""</f>
      </c>
      <c r="T2134">
        <f>[1]资金台帐!T2134&amp;""</f>
      </c>
      <c r="U2134">
        <f>[1]资金台帐!U2134&amp;""</f>
      </c>
      <c r="W2134">
        <f>[1]资金台帐!W2134&amp;""</f>
      </c>
      <c r="X2134">
        <f>[1]资金台帐!X2134&amp;""</f>
      </c>
      <c r="AB2134">
        <f>[1]资金台帐!AB2134</f>
        <v>0</v>
      </c>
      <c r="AC2134">
        <f>[1]资金台帐!AC2134</f>
        <v>0</v>
      </c>
      <c r="AD2134">
        <f>[1]资金台帐!AD2134</f>
        <v>0</v>
      </c>
      <c r="AJ2134">
        <f>[1]资金台帐!AJ2134</f>
        <v>0</v>
      </c>
      <c r="AK2134">
        <f>[1]资金台帐!AK2134</f>
        <v>0</v>
      </c>
      <c r="BA2134" s="22">
        <f t="shared" si="0"/>
      </c>
      <c r="BG2134" s="22">
        <f t="shared" si="1"/>
      </c>
      <c r="BH2134" s="22">
        <f t="shared" si="2"/>
        <v>0</v>
      </c>
    </row>
    <row r="2135">
      <c r="B2135">
        <f>[1]资金台帐!B2135&amp;""</f>
      </c>
      <c r="H2135">
        <f>[1]资金台帐!H2135&amp;""</f>
      </c>
      <c r="J2135">
        <f>[1]资金台帐!J2135&amp;""</f>
      </c>
      <c r="N2135">
        <f>[1]资金台帐!N2135</f>
      </c>
      <c r="O2135">
        <f>[1]资金台帐!O2135&amp;""</f>
      </c>
      <c r="P2135">
        <f>[1]资金台帐!P2135&amp;""</f>
      </c>
      <c r="Q2135">
        <f>[1]资金台帐!Q2135&amp;""</f>
      </c>
      <c r="T2135">
        <f>[1]资金台帐!T2135&amp;""</f>
      </c>
      <c r="U2135">
        <f>[1]资金台帐!U2135&amp;""</f>
      </c>
      <c r="W2135">
        <f>[1]资金台帐!W2135&amp;""</f>
      </c>
      <c r="X2135">
        <f>[1]资金台帐!X2135&amp;""</f>
      </c>
      <c r="AB2135">
        <f>[1]资金台帐!AB2135</f>
        <v>0</v>
      </c>
      <c r="AC2135">
        <f>[1]资金台帐!AC2135</f>
        <v>0</v>
      </c>
      <c r="AD2135">
        <f>[1]资金台帐!AD2135</f>
        <v>0</v>
      </c>
      <c r="AJ2135">
        <f>[1]资金台帐!AJ2135</f>
        <v>0</v>
      </c>
      <c r="AK2135">
        <f>[1]资金台帐!AK2135</f>
        <v>0</v>
      </c>
      <c r="BA2135" s="22">
        <f t="shared" si="0"/>
      </c>
      <c r="BG2135" s="22">
        <f t="shared" si="1"/>
      </c>
      <c r="BH2135" s="22">
        <f t="shared" si="2"/>
        <v>0</v>
      </c>
    </row>
    <row r="2136">
      <c r="B2136">
        <f>[1]资金台帐!B2136&amp;""</f>
      </c>
      <c r="H2136">
        <f>[1]资金台帐!H2136&amp;""</f>
      </c>
      <c r="J2136">
        <f>[1]资金台帐!J2136&amp;""</f>
      </c>
      <c r="N2136">
        <f>[1]资金台帐!N2136</f>
      </c>
      <c r="O2136">
        <f>[1]资金台帐!O2136&amp;""</f>
      </c>
      <c r="P2136">
        <f>[1]资金台帐!P2136&amp;""</f>
      </c>
      <c r="Q2136">
        <f>[1]资金台帐!Q2136&amp;""</f>
      </c>
      <c r="T2136">
        <f>[1]资金台帐!T2136&amp;""</f>
      </c>
      <c r="U2136">
        <f>[1]资金台帐!U2136&amp;""</f>
      </c>
      <c r="W2136">
        <f>[1]资金台帐!W2136&amp;""</f>
      </c>
      <c r="X2136">
        <f>[1]资金台帐!X2136&amp;""</f>
      </c>
      <c r="AB2136">
        <f>[1]资金台帐!AB2136</f>
        <v>0</v>
      </c>
      <c r="AC2136">
        <f>[1]资金台帐!AC2136</f>
        <v>0</v>
      </c>
      <c r="AD2136">
        <f>[1]资金台帐!AD2136</f>
        <v>0</v>
      </c>
      <c r="AJ2136">
        <f>[1]资金台帐!AJ2136</f>
        <v>0</v>
      </c>
      <c r="AK2136">
        <f>[1]资金台帐!AK2136</f>
        <v>0</v>
      </c>
      <c r="BA2136" s="22">
        <f t="shared" si="0"/>
      </c>
      <c r="BG2136" s="22">
        <f t="shared" si="1"/>
      </c>
      <c r="BH2136" s="22">
        <f t="shared" si="2"/>
        <v>0</v>
      </c>
    </row>
    <row r="2137">
      <c r="B2137">
        <f>[1]资金台帐!B2137&amp;""</f>
      </c>
      <c r="H2137">
        <f>[1]资金台帐!H2137&amp;""</f>
      </c>
      <c r="J2137">
        <f>[1]资金台帐!J2137&amp;""</f>
      </c>
      <c r="N2137">
        <f>[1]资金台帐!N2137</f>
      </c>
      <c r="O2137">
        <f>[1]资金台帐!O2137&amp;""</f>
      </c>
      <c r="P2137">
        <f>[1]资金台帐!P2137&amp;""</f>
      </c>
      <c r="Q2137">
        <f>[1]资金台帐!Q2137&amp;""</f>
      </c>
      <c r="T2137">
        <f>[1]资金台帐!T2137&amp;""</f>
      </c>
      <c r="U2137">
        <f>[1]资金台帐!U2137&amp;""</f>
      </c>
      <c r="W2137">
        <f>[1]资金台帐!W2137&amp;""</f>
      </c>
      <c r="X2137">
        <f>[1]资金台帐!X2137&amp;""</f>
      </c>
      <c r="AB2137">
        <f>[1]资金台帐!AB2137</f>
        <v>0</v>
      </c>
      <c r="AC2137">
        <f>[1]资金台帐!AC2137</f>
        <v>0</v>
      </c>
      <c r="AD2137">
        <f>[1]资金台帐!AD2137</f>
        <v>0</v>
      </c>
      <c r="AJ2137">
        <f>[1]资金台帐!AJ2137</f>
        <v>0</v>
      </c>
      <c r="AK2137">
        <f>[1]资金台帐!AK2137</f>
        <v>0</v>
      </c>
      <c r="BA2137" s="22">
        <f t="shared" si="0"/>
      </c>
      <c r="BG2137" s="22">
        <f t="shared" si="1"/>
      </c>
      <c r="BH2137" s="22">
        <f t="shared" si="2"/>
        <v>0</v>
      </c>
    </row>
    <row r="2138">
      <c r="B2138">
        <f>[1]资金台帐!B2138&amp;""</f>
      </c>
      <c r="H2138">
        <f>[1]资金台帐!H2138&amp;""</f>
      </c>
      <c r="J2138">
        <f>[1]资金台帐!J2138&amp;""</f>
      </c>
      <c r="N2138">
        <f>[1]资金台帐!N2138</f>
      </c>
      <c r="O2138">
        <f>[1]资金台帐!O2138&amp;""</f>
      </c>
      <c r="P2138">
        <f>[1]资金台帐!P2138&amp;""</f>
      </c>
      <c r="Q2138">
        <f>[1]资金台帐!Q2138&amp;""</f>
      </c>
      <c r="T2138">
        <f>[1]资金台帐!T2138&amp;""</f>
      </c>
      <c r="U2138">
        <f>[1]资金台帐!U2138&amp;""</f>
      </c>
      <c r="W2138">
        <f>[1]资金台帐!W2138&amp;""</f>
      </c>
      <c r="X2138">
        <f>[1]资金台帐!X2138&amp;""</f>
      </c>
      <c r="AB2138">
        <f>[1]资金台帐!AB2138</f>
        <v>0</v>
      </c>
      <c r="AC2138">
        <f>[1]资金台帐!AC2138</f>
        <v>0</v>
      </c>
      <c r="AD2138">
        <f>[1]资金台帐!AD2138</f>
        <v>0</v>
      </c>
      <c r="AJ2138">
        <f>[1]资金台帐!AJ2138</f>
        <v>0</v>
      </c>
      <c r="AK2138">
        <f>[1]资金台帐!AK2138</f>
        <v>0</v>
      </c>
      <c r="BA2138" s="22">
        <f t="shared" si="0"/>
      </c>
      <c r="BG2138" s="22">
        <f t="shared" si="1"/>
      </c>
      <c r="BH2138" s="22">
        <f t="shared" si="2"/>
        <v>0</v>
      </c>
    </row>
    <row r="2139">
      <c r="B2139">
        <f>[1]资金台帐!B2139&amp;""</f>
      </c>
      <c r="H2139">
        <f>[1]资金台帐!H2139&amp;""</f>
      </c>
      <c r="J2139">
        <f>[1]资金台帐!J2139&amp;""</f>
      </c>
      <c r="N2139">
        <f>[1]资金台帐!N2139</f>
      </c>
      <c r="O2139">
        <f>[1]资金台帐!O2139&amp;""</f>
      </c>
      <c r="P2139">
        <f>[1]资金台帐!P2139&amp;""</f>
      </c>
      <c r="Q2139">
        <f>[1]资金台帐!Q2139&amp;""</f>
      </c>
      <c r="T2139">
        <f>[1]资金台帐!T2139&amp;""</f>
      </c>
      <c r="U2139">
        <f>[1]资金台帐!U2139&amp;""</f>
      </c>
      <c r="W2139">
        <f>[1]资金台帐!W2139&amp;""</f>
      </c>
      <c r="X2139">
        <f>[1]资金台帐!X2139&amp;""</f>
      </c>
      <c r="AB2139">
        <f>[1]资金台帐!AB2139</f>
        <v>0</v>
      </c>
      <c r="AC2139">
        <f>[1]资金台帐!AC2139</f>
        <v>0</v>
      </c>
      <c r="AD2139">
        <f>[1]资金台帐!AD2139</f>
        <v>0</v>
      </c>
      <c r="AJ2139">
        <f>[1]资金台帐!AJ2139</f>
        <v>0</v>
      </c>
      <c r="AK2139">
        <f>[1]资金台帐!AK2139</f>
        <v>0</v>
      </c>
      <c r="BA2139" s="22">
        <f t="shared" si="0"/>
      </c>
      <c r="BG2139" s="22">
        <f t="shared" si="1"/>
      </c>
      <c r="BH2139" s="22">
        <f t="shared" si="2"/>
        <v>0</v>
      </c>
    </row>
    <row r="2140">
      <c r="B2140">
        <f>[1]资金台帐!B2140&amp;""</f>
      </c>
      <c r="H2140">
        <f>[1]资金台帐!H2140&amp;""</f>
      </c>
      <c r="J2140">
        <f>[1]资金台帐!J2140&amp;""</f>
      </c>
      <c r="N2140">
        <f>[1]资金台帐!N2140</f>
      </c>
      <c r="O2140">
        <f>[1]资金台帐!O2140&amp;""</f>
      </c>
      <c r="P2140">
        <f>[1]资金台帐!P2140&amp;""</f>
      </c>
      <c r="Q2140">
        <f>[1]资金台帐!Q2140&amp;""</f>
      </c>
      <c r="T2140">
        <f>[1]资金台帐!T2140&amp;""</f>
      </c>
      <c r="U2140">
        <f>[1]资金台帐!U2140&amp;""</f>
      </c>
      <c r="W2140">
        <f>[1]资金台帐!W2140&amp;""</f>
      </c>
      <c r="X2140">
        <f>[1]资金台帐!X2140&amp;""</f>
      </c>
      <c r="AB2140">
        <f>[1]资金台帐!AB2140</f>
        <v>0</v>
      </c>
      <c r="AC2140">
        <f>[1]资金台帐!AC2140</f>
        <v>0</v>
      </c>
      <c r="AD2140">
        <f>[1]资金台帐!AD2140</f>
        <v>0</v>
      </c>
      <c r="AJ2140">
        <f>[1]资金台帐!AJ2140</f>
        <v>0</v>
      </c>
      <c r="AK2140">
        <f>[1]资金台帐!AK2140</f>
        <v>0</v>
      </c>
      <c r="BA2140" s="22">
        <f t="shared" si="0"/>
      </c>
      <c r="BG2140" s="22">
        <f t="shared" si="1"/>
      </c>
      <c r="BH2140" s="22">
        <f t="shared" si="2"/>
        <v>0</v>
      </c>
    </row>
    <row r="2141">
      <c r="B2141">
        <f>[1]资金台帐!B2141&amp;""</f>
      </c>
      <c r="H2141">
        <f>[1]资金台帐!H2141&amp;""</f>
      </c>
      <c r="J2141">
        <f>[1]资金台帐!J2141&amp;""</f>
      </c>
      <c r="N2141">
        <f>[1]资金台帐!N2141</f>
      </c>
      <c r="O2141">
        <f>[1]资金台帐!O2141&amp;""</f>
      </c>
      <c r="P2141">
        <f>[1]资金台帐!P2141&amp;""</f>
      </c>
      <c r="Q2141">
        <f>[1]资金台帐!Q2141&amp;""</f>
      </c>
      <c r="T2141">
        <f>[1]资金台帐!T2141&amp;""</f>
      </c>
      <c r="U2141">
        <f>[1]资金台帐!U2141&amp;""</f>
      </c>
      <c r="W2141">
        <f>[1]资金台帐!W2141&amp;""</f>
      </c>
      <c r="X2141">
        <f>[1]资金台帐!X2141&amp;""</f>
      </c>
      <c r="AB2141">
        <f>[1]资金台帐!AB2141</f>
        <v>0</v>
      </c>
      <c r="AC2141">
        <f>[1]资金台帐!AC2141</f>
        <v>0</v>
      </c>
      <c r="AD2141">
        <f>[1]资金台帐!AD2141</f>
        <v>0</v>
      </c>
      <c r="AJ2141">
        <f>[1]资金台帐!AJ2141</f>
        <v>0</v>
      </c>
      <c r="AK2141">
        <f>[1]资金台帐!AK2141</f>
        <v>0</v>
      </c>
      <c r="BA2141" s="22">
        <f t="shared" si="0"/>
      </c>
      <c r="BG2141" s="22">
        <f t="shared" si="1"/>
      </c>
      <c r="BH2141" s="22">
        <f t="shared" si="2"/>
        <v>0</v>
      </c>
    </row>
    <row r="2142">
      <c r="B2142">
        <f>[1]资金台帐!B2142&amp;""</f>
      </c>
      <c r="H2142">
        <f>[1]资金台帐!H2142&amp;""</f>
      </c>
      <c r="J2142">
        <f>[1]资金台帐!J2142&amp;""</f>
      </c>
      <c r="N2142">
        <f>[1]资金台帐!N2142</f>
      </c>
      <c r="O2142">
        <f>[1]资金台帐!O2142&amp;""</f>
      </c>
      <c r="P2142">
        <f>[1]资金台帐!P2142&amp;""</f>
      </c>
      <c r="Q2142">
        <f>[1]资金台帐!Q2142&amp;""</f>
      </c>
      <c r="T2142">
        <f>[1]资金台帐!T2142&amp;""</f>
      </c>
      <c r="U2142">
        <f>[1]资金台帐!U2142&amp;""</f>
      </c>
      <c r="W2142">
        <f>[1]资金台帐!W2142&amp;""</f>
      </c>
      <c r="X2142">
        <f>[1]资金台帐!X2142&amp;""</f>
      </c>
      <c r="AB2142">
        <f>[1]资金台帐!AB2142</f>
        <v>0</v>
      </c>
      <c r="AC2142">
        <f>[1]资金台帐!AC2142</f>
        <v>0</v>
      </c>
      <c r="AD2142">
        <f>[1]资金台帐!AD2142</f>
        <v>0</v>
      </c>
      <c r="AJ2142">
        <f>[1]资金台帐!AJ2142</f>
        <v>0</v>
      </c>
      <c r="AK2142">
        <f>[1]资金台帐!AK2142</f>
        <v>0</v>
      </c>
      <c r="BA2142" s="22">
        <f t="shared" si="0"/>
      </c>
      <c r="BG2142" s="22">
        <f t="shared" si="1"/>
      </c>
      <c r="BH2142" s="22">
        <f t="shared" si="2"/>
        <v>0</v>
      </c>
    </row>
    <row r="2143">
      <c r="B2143">
        <f>[1]资金台帐!B2143&amp;""</f>
      </c>
      <c r="H2143">
        <f>[1]资金台帐!H2143&amp;""</f>
      </c>
      <c r="J2143">
        <f>[1]资金台帐!J2143&amp;""</f>
      </c>
      <c r="N2143">
        <f>[1]资金台帐!N2143</f>
      </c>
      <c r="O2143">
        <f>[1]资金台帐!O2143&amp;""</f>
      </c>
      <c r="P2143">
        <f>[1]资金台帐!P2143&amp;""</f>
      </c>
      <c r="Q2143">
        <f>[1]资金台帐!Q2143&amp;""</f>
      </c>
      <c r="T2143">
        <f>[1]资金台帐!T2143&amp;""</f>
      </c>
      <c r="U2143">
        <f>[1]资金台帐!U2143&amp;""</f>
      </c>
      <c r="W2143">
        <f>[1]资金台帐!W2143&amp;""</f>
      </c>
      <c r="X2143">
        <f>[1]资金台帐!X2143&amp;""</f>
      </c>
      <c r="AB2143">
        <f>[1]资金台帐!AB2143</f>
        <v>0</v>
      </c>
      <c r="AC2143">
        <f>[1]资金台帐!AC2143</f>
        <v>0</v>
      </c>
      <c r="AD2143">
        <f>[1]资金台帐!AD2143</f>
        <v>0</v>
      </c>
      <c r="AJ2143">
        <f>[1]资金台帐!AJ2143</f>
        <v>0</v>
      </c>
      <c r="AK2143">
        <f>[1]资金台帐!AK2143</f>
        <v>0</v>
      </c>
      <c r="BA2143" s="22">
        <f t="shared" si="0"/>
      </c>
      <c r="BG2143" s="22">
        <f t="shared" si="1"/>
      </c>
      <c r="BH2143" s="22">
        <f t="shared" si="2"/>
        <v>0</v>
      </c>
    </row>
    <row r="2144">
      <c r="B2144">
        <f>[1]资金台帐!B2144&amp;""</f>
      </c>
      <c r="H2144">
        <f>[1]资金台帐!H2144&amp;""</f>
      </c>
      <c r="J2144">
        <f>[1]资金台帐!J2144&amp;""</f>
      </c>
      <c r="N2144">
        <f>[1]资金台帐!N2144</f>
      </c>
      <c r="O2144">
        <f>[1]资金台帐!O2144&amp;""</f>
      </c>
      <c r="P2144">
        <f>[1]资金台帐!P2144&amp;""</f>
      </c>
      <c r="Q2144">
        <f>[1]资金台帐!Q2144&amp;""</f>
      </c>
      <c r="T2144">
        <f>[1]资金台帐!T2144&amp;""</f>
      </c>
      <c r="U2144">
        <f>[1]资金台帐!U2144&amp;""</f>
      </c>
      <c r="W2144">
        <f>[1]资金台帐!W2144&amp;""</f>
      </c>
      <c r="X2144">
        <f>[1]资金台帐!X2144&amp;""</f>
      </c>
      <c r="AB2144">
        <f>[1]资金台帐!AB2144</f>
        <v>0</v>
      </c>
      <c r="AC2144">
        <f>[1]资金台帐!AC2144</f>
        <v>0</v>
      </c>
      <c r="AD2144">
        <f>[1]资金台帐!AD2144</f>
        <v>0</v>
      </c>
      <c r="AJ2144">
        <f>[1]资金台帐!AJ2144</f>
        <v>0</v>
      </c>
      <c r="AK2144">
        <f>[1]资金台帐!AK2144</f>
        <v>0</v>
      </c>
      <c r="BA2144" s="22">
        <f t="shared" si="0"/>
      </c>
      <c r="BG2144" s="22">
        <f t="shared" si="1"/>
      </c>
      <c r="BH2144" s="22">
        <f t="shared" si="2"/>
        <v>0</v>
      </c>
    </row>
    <row r="2145">
      <c r="B2145">
        <f>[1]资金台帐!B2145&amp;""</f>
      </c>
      <c r="H2145">
        <f>[1]资金台帐!H2145&amp;""</f>
      </c>
      <c r="J2145">
        <f>[1]资金台帐!J2145&amp;""</f>
      </c>
      <c r="N2145">
        <f>[1]资金台帐!N2145</f>
      </c>
      <c r="O2145">
        <f>[1]资金台帐!O2145&amp;""</f>
      </c>
      <c r="P2145">
        <f>[1]资金台帐!P2145&amp;""</f>
      </c>
      <c r="Q2145">
        <f>[1]资金台帐!Q2145&amp;""</f>
      </c>
      <c r="T2145">
        <f>[1]资金台帐!T2145&amp;""</f>
      </c>
      <c r="U2145">
        <f>[1]资金台帐!U2145&amp;""</f>
      </c>
      <c r="W2145">
        <f>[1]资金台帐!W2145&amp;""</f>
      </c>
      <c r="X2145">
        <f>[1]资金台帐!X2145&amp;""</f>
      </c>
      <c r="AB2145">
        <f>[1]资金台帐!AB2145</f>
        <v>0</v>
      </c>
      <c r="AC2145">
        <f>[1]资金台帐!AC2145</f>
        <v>0</v>
      </c>
      <c r="AD2145">
        <f>[1]资金台帐!AD2145</f>
        <v>0</v>
      </c>
      <c r="AJ2145">
        <f>[1]资金台帐!AJ2145</f>
        <v>0</v>
      </c>
      <c r="AK2145">
        <f>[1]资金台帐!AK2145</f>
        <v>0</v>
      </c>
      <c r="BA2145" s="22">
        <f t="shared" si="0"/>
      </c>
      <c r="BG2145" s="22">
        <f t="shared" si="1"/>
      </c>
      <c r="BH2145" s="22">
        <f t="shared" si="2"/>
        <v>0</v>
      </c>
    </row>
    <row r="2146">
      <c r="B2146">
        <f>[1]资金台帐!B2146&amp;""</f>
      </c>
      <c r="H2146">
        <f>[1]资金台帐!H2146&amp;""</f>
      </c>
      <c r="J2146">
        <f>[1]资金台帐!J2146&amp;""</f>
      </c>
      <c r="N2146">
        <f>[1]资金台帐!N2146</f>
      </c>
      <c r="O2146">
        <f>[1]资金台帐!O2146&amp;""</f>
      </c>
      <c r="P2146">
        <f>[1]资金台帐!P2146&amp;""</f>
      </c>
      <c r="Q2146">
        <f>[1]资金台帐!Q2146&amp;""</f>
      </c>
      <c r="T2146">
        <f>[1]资金台帐!T2146&amp;""</f>
      </c>
      <c r="U2146">
        <f>[1]资金台帐!U2146&amp;""</f>
      </c>
      <c r="W2146">
        <f>[1]资金台帐!W2146&amp;""</f>
      </c>
      <c r="X2146">
        <f>[1]资金台帐!X2146&amp;""</f>
      </c>
      <c r="AB2146">
        <f>[1]资金台帐!AB2146</f>
        <v>0</v>
      </c>
      <c r="AC2146">
        <f>[1]资金台帐!AC2146</f>
        <v>0</v>
      </c>
      <c r="AD2146">
        <f>[1]资金台帐!AD2146</f>
        <v>0</v>
      </c>
      <c r="AJ2146">
        <f>[1]资金台帐!AJ2146</f>
        <v>0</v>
      </c>
      <c r="AK2146">
        <f>[1]资金台帐!AK2146</f>
        <v>0</v>
      </c>
      <c r="BA2146" s="22">
        <f t="shared" si="0"/>
      </c>
      <c r="BG2146" s="22">
        <f t="shared" si="1"/>
      </c>
      <c r="BH2146" s="22">
        <f t="shared" si="2"/>
        <v>0</v>
      </c>
    </row>
    <row r="2147">
      <c r="B2147">
        <f>[1]资金台帐!B2147&amp;""</f>
      </c>
      <c r="H2147">
        <f>[1]资金台帐!H2147&amp;""</f>
      </c>
      <c r="J2147">
        <f>[1]资金台帐!J2147&amp;""</f>
      </c>
      <c r="N2147">
        <f>[1]资金台帐!N2147</f>
      </c>
      <c r="O2147">
        <f>[1]资金台帐!O2147&amp;""</f>
      </c>
      <c r="P2147">
        <f>[1]资金台帐!P2147&amp;""</f>
      </c>
      <c r="Q2147">
        <f>[1]资金台帐!Q2147&amp;""</f>
      </c>
      <c r="T2147">
        <f>[1]资金台帐!T2147&amp;""</f>
      </c>
      <c r="U2147">
        <f>[1]资金台帐!U2147&amp;""</f>
      </c>
      <c r="W2147">
        <f>[1]资金台帐!W2147&amp;""</f>
      </c>
      <c r="X2147">
        <f>[1]资金台帐!X2147&amp;""</f>
      </c>
      <c r="AB2147">
        <f>[1]资金台帐!AB2147</f>
        <v>0</v>
      </c>
      <c r="AC2147">
        <f>[1]资金台帐!AC2147</f>
        <v>0</v>
      </c>
      <c r="AD2147">
        <f>[1]资金台帐!AD2147</f>
        <v>0</v>
      </c>
      <c r="AJ2147">
        <f>[1]资金台帐!AJ2147</f>
        <v>0</v>
      </c>
      <c r="AK2147">
        <f>[1]资金台帐!AK2147</f>
        <v>0</v>
      </c>
      <c r="BA2147" s="22">
        <f t="shared" si="0"/>
      </c>
      <c r="BG2147" s="22">
        <f t="shared" si="1"/>
      </c>
      <c r="BH2147" s="22">
        <f t="shared" si="2"/>
        <v>0</v>
      </c>
    </row>
    <row r="2148">
      <c r="B2148">
        <f>[1]资金台帐!B2148&amp;""</f>
      </c>
      <c r="H2148">
        <f>[1]资金台帐!H2148&amp;""</f>
      </c>
      <c r="J2148">
        <f>[1]资金台帐!J2148&amp;""</f>
      </c>
      <c r="N2148">
        <f>[1]资金台帐!N2148</f>
      </c>
      <c r="O2148">
        <f>[1]资金台帐!O2148&amp;""</f>
      </c>
      <c r="P2148">
        <f>[1]资金台帐!P2148&amp;""</f>
      </c>
      <c r="Q2148">
        <f>[1]资金台帐!Q2148&amp;""</f>
      </c>
      <c r="T2148">
        <f>[1]资金台帐!T2148&amp;""</f>
      </c>
      <c r="U2148">
        <f>[1]资金台帐!U2148&amp;""</f>
      </c>
      <c r="W2148">
        <f>[1]资金台帐!W2148&amp;""</f>
      </c>
      <c r="X2148">
        <f>[1]资金台帐!X2148&amp;""</f>
      </c>
      <c r="AB2148">
        <f>[1]资金台帐!AB2148</f>
        <v>0</v>
      </c>
      <c r="AC2148">
        <f>[1]资金台帐!AC2148</f>
        <v>0</v>
      </c>
      <c r="AD2148">
        <f>[1]资金台帐!AD2148</f>
        <v>0</v>
      </c>
      <c r="AJ2148">
        <f>[1]资金台帐!AJ2148</f>
        <v>0</v>
      </c>
      <c r="AK2148">
        <f>[1]资金台帐!AK2148</f>
        <v>0</v>
      </c>
      <c r="BA2148" s="22">
        <f t="shared" si="0"/>
      </c>
      <c r="BG2148" s="22">
        <f t="shared" si="1"/>
      </c>
      <c r="BH2148" s="22">
        <f t="shared" si="2"/>
        <v>0</v>
      </c>
    </row>
    <row r="2149">
      <c r="B2149">
        <f>[1]资金台帐!B2149&amp;""</f>
      </c>
      <c r="H2149">
        <f>[1]资金台帐!H2149&amp;""</f>
      </c>
      <c r="J2149">
        <f>[1]资金台帐!J2149&amp;""</f>
      </c>
      <c r="N2149">
        <f>[1]资金台帐!N2149</f>
      </c>
      <c r="O2149">
        <f>[1]资金台帐!O2149&amp;""</f>
      </c>
      <c r="P2149">
        <f>[1]资金台帐!P2149&amp;""</f>
      </c>
      <c r="Q2149">
        <f>[1]资金台帐!Q2149&amp;""</f>
      </c>
      <c r="T2149">
        <f>[1]资金台帐!T2149&amp;""</f>
      </c>
      <c r="U2149">
        <f>[1]资金台帐!U2149&amp;""</f>
      </c>
      <c r="W2149">
        <f>[1]资金台帐!W2149&amp;""</f>
      </c>
      <c r="X2149">
        <f>[1]资金台帐!X2149&amp;""</f>
      </c>
      <c r="AB2149">
        <f>[1]资金台帐!AB2149</f>
        <v>0</v>
      </c>
      <c r="AC2149">
        <f>[1]资金台帐!AC2149</f>
        <v>0</v>
      </c>
      <c r="AD2149">
        <f>[1]资金台帐!AD2149</f>
        <v>0</v>
      </c>
      <c r="AJ2149">
        <f>[1]资金台帐!AJ2149</f>
        <v>0</v>
      </c>
      <c r="AK2149">
        <f>[1]资金台帐!AK2149</f>
        <v>0</v>
      </c>
      <c r="BA2149" s="22">
        <f t="shared" si="0"/>
      </c>
      <c r="BG2149" s="22">
        <f t="shared" si="1"/>
      </c>
      <c r="BH2149" s="22">
        <f t="shared" si="2"/>
        <v>0</v>
      </c>
    </row>
    <row r="2150">
      <c r="B2150">
        <f>[1]资金台帐!B2150&amp;""</f>
      </c>
      <c r="H2150">
        <f>[1]资金台帐!H2150&amp;""</f>
      </c>
      <c r="J2150">
        <f>[1]资金台帐!J2150&amp;""</f>
      </c>
      <c r="N2150">
        <f>[1]资金台帐!N2150</f>
      </c>
      <c r="O2150">
        <f>[1]资金台帐!O2150&amp;""</f>
      </c>
      <c r="P2150">
        <f>[1]资金台帐!P2150&amp;""</f>
      </c>
      <c r="Q2150">
        <f>[1]资金台帐!Q2150&amp;""</f>
      </c>
      <c r="T2150">
        <f>[1]资金台帐!T2150&amp;""</f>
      </c>
      <c r="U2150">
        <f>[1]资金台帐!U2150&amp;""</f>
      </c>
      <c r="W2150">
        <f>[1]资金台帐!W2150&amp;""</f>
      </c>
      <c r="X2150">
        <f>[1]资金台帐!X2150&amp;""</f>
      </c>
      <c r="AB2150">
        <f>[1]资金台帐!AB2150</f>
        <v>0</v>
      </c>
      <c r="AC2150">
        <f>[1]资金台帐!AC2150</f>
        <v>0</v>
      </c>
      <c r="AD2150">
        <f>[1]资金台帐!AD2150</f>
        <v>0</v>
      </c>
      <c r="AJ2150">
        <f>[1]资金台帐!AJ2150</f>
        <v>0</v>
      </c>
      <c r="AK2150">
        <f>[1]资金台帐!AK2150</f>
        <v>0</v>
      </c>
      <c r="BA2150" s="22">
        <f t="shared" si="0"/>
      </c>
      <c r="BG2150" s="22">
        <f t="shared" si="1"/>
      </c>
      <c r="BH2150" s="22">
        <f t="shared" si="2"/>
        <v>0</v>
      </c>
    </row>
    <row r="2151">
      <c r="B2151">
        <f>[1]资金台帐!B2151&amp;""</f>
      </c>
      <c r="H2151">
        <f>[1]资金台帐!H2151&amp;""</f>
      </c>
      <c r="J2151">
        <f>[1]资金台帐!J2151&amp;""</f>
      </c>
      <c r="N2151">
        <f>[1]资金台帐!N2151</f>
      </c>
      <c r="O2151">
        <f>[1]资金台帐!O2151&amp;""</f>
      </c>
      <c r="P2151">
        <f>[1]资金台帐!P2151&amp;""</f>
      </c>
      <c r="Q2151">
        <f>[1]资金台帐!Q2151&amp;""</f>
      </c>
      <c r="T2151">
        <f>[1]资金台帐!T2151&amp;""</f>
      </c>
      <c r="U2151">
        <f>[1]资金台帐!U2151&amp;""</f>
      </c>
      <c r="W2151">
        <f>[1]资金台帐!W2151&amp;""</f>
      </c>
      <c r="X2151">
        <f>[1]资金台帐!X2151&amp;""</f>
      </c>
      <c r="AB2151">
        <f>[1]资金台帐!AB2151</f>
        <v>0</v>
      </c>
      <c r="AC2151">
        <f>[1]资金台帐!AC2151</f>
        <v>0</v>
      </c>
      <c r="AD2151">
        <f>[1]资金台帐!AD2151</f>
        <v>0</v>
      </c>
      <c r="AJ2151">
        <f>[1]资金台帐!AJ2151</f>
        <v>0</v>
      </c>
      <c r="AK2151">
        <f>[1]资金台帐!AK2151</f>
        <v>0</v>
      </c>
      <c r="BA2151" s="22">
        <f t="shared" si="0"/>
      </c>
      <c r="BG2151" s="22">
        <f t="shared" si="1"/>
      </c>
      <c r="BH2151" s="22">
        <f t="shared" si="2"/>
        <v>0</v>
      </c>
    </row>
    <row r="2152">
      <c r="B2152">
        <f>[1]资金台帐!B2152&amp;""</f>
      </c>
      <c r="H2152">
        <f>[1]资金台帐!H2152&amp;""</f>
      </c>
      <c r="J2152">
        <f>[1]资金台帐!J2152&amp;""</f>
      </c>
      <c r="N2152">
        <f>[1]资金台帐!N2152</f>
      </c>
      <c r="O2152">
        <f>[1]资金台帐!O2152&amp;""</f>
      </c>
      <c r="P2152">
        <f>[1]资金台帐!P2152&amp;""</f>
      </c>
      <c r="Q2152">
        <f>[1]资金台帐!Q2152&amp;""</f>
      </c>
      <c r="T2152">
        <f>[1]资金台帐!T2152&amp;""</f>
      </c>
      <c r="U2152">
        <f>[1]资金台帐!U2152&amp;""</f>
      </c>
      <c r="W2152">
        <f>[1]资金台帐!W2152&amp;""</f>
      </c>
      <c r="X2152">
        <f>[1]资金台帐!X2152&amp;""</f>
      </c>
      <c r="AB2152">
        <f>[1]资金台帐!AB2152</f>
        <v>0</v>
      </c>
      <c r="AC2152">
        <f>[1]资金台帐!AC2152</f>
        <v>0</v>
      </c>
      <c r="AD2152">
        <f>[1]资金台帐!AD2152</f>
        <v>0</v>
      </c>
      <c r="AJ2152">
        <f>[1]资金台帐!AJ2152</f>
        <v>0</v>
      </c>
      <c r="AK2152">
        <f>[1]资金台帐!AK2152</f>
        <v>0</v>
      </c>
      <c r="BA2152" s="22">
        <f t="shared" si="0"/>
      </c>
      <c r="BG2152" s="22">
        <f t="shared" si="1"/>
      </c>
      <c r="BH2152" s="22">
        <f t="shared" si="2"/>
        <v>0</v>
      </c>
    </row>
    <row r="2153">
      <c r="B2153">
        <f>[1]资金台帐!B2153&amp;""</f>
      </c>
      <c r="H2153">
        <f>[1]资金台帐!H2153&amp;""</f>
      </c>
      <c r="J2153">
        <f>[1]资金台帐!J2153&amp;""</f>
      </c>
      <c r="N2153">
        <f>[1]资金台帐!N2153</f>
      </c>
      <c r="O2153">
        <f>[1]资金台帐!O2153&amp;""</f>
      </c>
      <c r="P2153">
        <f>[1]资金台帐!P2153&amp;""</f>
      </c>
      <c r="Q2153">
        <f>[1]资金台帐!Q2153&amp;""</f>
      </c>
      <c r="T2153">
        <f>[1]资金台帐!T2153&amp;""</f>
      </c>
      <c r="U2153">
        <f>[1]资金台帐!U2153&amp;""</f>
      </c>
      <c r="W2153">
        <f>[1]资金台帐!W2153&amp;""</f>
      </c>
      <c r="X2153">
        <f>[1]资金台帐!X2153&amp;""</f>
      </c>
      <c r="AB2153">
        <f>[1]资金台帐!AB2153</f>
        <v>0</v>
      </c>
      <c r="AC2153">
        <f>[1]资金台帐!AC2153</f>
        <v>0</v>
      </c>
      <c r="AD2153">
        <f>[1]资金台帐!AD2153</f>
        <v>0</v>
      </c>
      <c r="AJ2153">
        <f>[1]资金台帐!AJ2153</f>
        <v>0</v>
      </c>
      <c r="AK2153">
        <f>[1]资金台帐!AK2153</f>
        <v>0</v>
      </c>
      <c r="BA2153" s="22">
        <f t="shared" si="0"/>
      </c>
      <c r="BG2153" s="22">
        <f t="shared" si="1"/>
      </c>
      <c r="BH2153" s="22">
        <f t="shared" si="2"/>
        <v>0</v>
      </c>
    </row>
    <row r="2154">
      <c r="B2154">
        <f>[1]资金台帐!B2154&amp;""</f>
      </c>
      <c r="H2154">
        <f>[1]资金台帐!H2154&amp;""</f>
      </c>
      <c r="J2154">
        <f>[1]资金台帐!J2154&amp;""</f>
      </c>
      <c r="N2154">
        <f>[1]资金台帐!N2154</f>
      </c>
      <c r="O2154">
        <f>[1]资金台帐!O2154&amp;""</f>
      </c>
      <c r="P2154">
        <f>[1]资金台帐!P2154&amp;""</f>
      </c>
      <c r="Q2154">
        <f>[1]资金台帐!Q2154&amp;""</f>
      </c>
      <c r="T2154">
        <f>[1]资金台帐!T2154&amp;""</f>
      </c>
      <c r="U2154">
        <f>[1]资金台帐!U2154&amp;""</f>
      </c>
      <c r="W2154">
        <f>[1]资金台帐!W2154&amp;""</f>
      </c>
      <c r="X2154">
        <f>[1]资金台帐!X2154&amp;""</f>
      </c>
      <c r="AB2154">
        <f>[1]资金台帐!AB2154</f>
        <v>0</v>
      </c>
      <c r="AC2154">
        <f>[1]资金台帐!AC2154</f>
        <v>0</v>
      </c>
      <c r="AD2154">
        <f>[1]资金台帐!AD2154</f>
        <v>0</v>
      </c>
      <c r="AJ2154">
        <f>[1]资金台帐!AJ2154</f>
        <v>0</v>
      </c>
      <c r="AK2154">
        <f>[1]资金台帐!AK2154</f>
        <v>0</v>
      </c>
      <c r="BA2154" s="22">
        <f t="shared" si="0"/>
      </c>
      <c r="BG2154" s="22">
        <f t="shared" si="1"/>
      </c>
      <c r="BH2154" s="22">
        <f t="shared" si="2"/>
        <v>0</v>
      </c>
    </row>
    <row r="2155">
      <c r="B2155">
        <f>[1]资金台帐!B2155&amp;""</f>
      </c>
      <c r="H2155">
        <f>[1]资金台帐!H2155&amp;""</f>
      </c>
      <c r="J2155">
        <f>[1]资金台帐!J2155&amp;""</f>
      </c>
      <c r="N2155">
        <f>[1]资金台帐!N2155</f>
      </c>
      <c r="O2155">
        <f>[1]资金台帐!O2155&amp;""</f>
      </c>
      <c r="P2155">
        <f>[1]资金台帐!P2155&amp;""</f>
      </c>
      <c r="Q2155">
        <f>[1]资金台帐!Q2155&amp;""</f>
      </c>
      <c r="T2155">
        <f>[1]资金台帐!T2155&amp;""</f>
      </c>
      <c r="U2155">
        <f>[1]资金台帐!U2155&amp;""</f>
      </c>
      <c r="W2155">
        <f>[1]资金台帐!W2155&amp;""</f>
      </c>
      <c r="X2155">
        <f>[1]资金台帐!X2155&amp;""</f>
      </c>
      <c r="AB2155">
        <f>[1]资金台帐!AB2155</f>
        <v>0</v>
      </c>
      <c r="AC2155">
        <f>[1]资金台帐!AC2155</f>
        <v>0</v>
      </c>
      <c r="AD2155">
        <f>[1]资金台帐!AD2155</f>
        <v>0</v>
      </c>
      <c r="AJ2155">
        <f>[1]资金台帐!AJ2155</f>
        <v>0</v>
      </c>
      <c r="AK2155">
        <f>[1]资金台帐!AK2155</f>
        <v>0</v>
      </c>
      <c r="BA2155" s="22">
        <f t="shared" si="0"/>
      </c>
      <c r="BG2155" s="22">
        <f t="shared" si="1"/>
      </c>
      <c r="BH2155" s="22">
        <f t="shared" si="2"/>
        <v>0</v>
      </c>
    </row>
    <row r="2156">
      <c r="B2156">
        <f>[1]资金台帐!B2156&amp;""</f>
      </c>
      <c r="H2156">
        <f>[1]资金台帐!H2156&amp;""</f>
      </c>
      <c r="J2156">
        <f>[1]资金台帐!J2156&amp;""</f>
      </c>
      <c r="N2156">
        <f>[1]资金台帐!N2156</f>
      </c>
      <c r="O2156">
        <f>[1]资金台帐!O2156&amp;""</f>
      </c>
      <c r="P2156">
        <f>[1]资金台帐!P2156&amp;""</f>
      </c>
      <c r="Q2156">
        <f>[1]资金台帐!Q2156&amp;""</f>
      </c>
      <c r="T2156">
        <f>[1]资金台帐!T2156&amp;""</f>
      </c>
      <c r="U2156">
        <f>[1]资金台帐!U2156&amp;""</f>
      </c>
      <c r="W2156">
        <f>[1]资金台帐!W2156&amp;""</f>
      </c>
      <c r="X2156">
        <f>[1]资金台帐!X2156&amp;""</f>
      </c>
      <c r="AB2156">
        <f>[1]资金台帐!AB2156</f>
        <v>0</v>
      </c>
      <c r="AC2156">
        <f>[1]资金台帐!AC2156</f>
        <v>0</v>
      </c>
      <c r="AD2156">
        <f>[1]资金台帐!AD2156</f>
        <v>0</v>
      </c>
      <c r="AJ2156">
        <f>[1]资金台帐!AJ2156</f>
        <v>0</v>
      </c>
      <c r="AK2156">
        <f>[1]资金台帐!AK2156</f>
        <v>0</v>
      </c>
      <c r="BA2156" s="22">
        <f t="shared" si="0"/>
      </c>
      <c r="BG2156" s="22">
        <f t="shared" si="1"/>
      </c>
      <c r="BH2156" s="22">
        <f t="shared" si="2"/>
        <v>0</v>
      </c>
    </row>
    <row r="2157">
      <c r="B2157">
        <f>[1]资金台帐!B2157&amp;""</f>
      </c>
      <c r="H2157">
        <f>[1]资金台帐!H2157&amp;""</f>
      </c>
      <c r="J2157">
        <f>[1]资金台帐!J2157&amp;""</f>
      </c>
      <c r="N2157">
        <f>[1]资金台帐!N2157</f>
      </c>
      <c r="O2157">
        <f>[1]资金台帐!O2157&amp;""</f>
      </c>
      <c r="P2157">
        <f>[1]资金台帐!P2157&amp;""</f>
      </c>
      <c r="Q2157">
        <f>[1]资金台帐!Q2157&amp;""</f>
      </c>
      <c r="T2157">
        <f>[1]资金台帐!T2157&amp;""</f>
      </c>
      <c r="U2157">
        <f>[1]资金台帐!U2157&amp;""</f>
      </c>
      <c r="W2157">
        <f>[1]资金台帐!W2157&amp;""</f>
      </c>
      <c r="X2157">
        <f>[1]资金台帐!X2157&amp;""</f>
      </c>
      <c r="AB2157">
        <f>[1]资金台帐!AB2157</f>
        <v>0</v>
      </c>
      <c r="AC2157">
        <f>[1]资金台帐!AC2157</f>
        <v>0</v>
      </c>
      <c r="AD2157">
        <f>[1]资金台帐!AD2157</f>
        <v>0</v>
      </c>
      <c r="AJ2157">
        <f>[1]资金台帐!AJ2157</f>
        <v>0</v>
      </c>
      <c r="AK2157">
        <f>[1]资金台帐!AK2157</f>
        <v>0</v>
      </c>
      <c r="BA2157" s="22">
        <f t="shared" si="0"/>
      </c>
      <c r="BG2157" s="22">
        <f t="shared" si="1"/>
      </c>
      <c r="BH2157" s="22">
        <f t="shared" si="2"/>
        <v>0</v>
      </c>
    </row>
    <row r="2158">
      <c r="B2158">
        <f>[1]资金台帐!B2158&amp;""</f>
      </c>
      <c r="H2158">
        <f>[1]资金台帐!H2158&amp;""</f>
      </c>
      <c r="J2158">
        <f>[1]资金台帐!J2158&amp;""</f>
      </c>
      <c r="N2158">
        <f>[1]资金台帐!N2158</f>
      </c>
      <c r="O2158">
        <f>[1]资金台帐!O2158&amp;""</f>
      </c>
      <c r="P2158">
        <f>[1]资金台帐!P2158&amp;""</f>
      </c>
      <c r="Q2158">
        <f>[1]资金台帐!Q2158&amp;""</f>
      </c>
      <c r="T2158">
        <f>[1]资金台帐!T2158&amp;""</f>
      </c>
      <c r="U2158">
        <f>[1]资金台帐!U2158&amp;""</f>
      </c>
      <c r="W2158">
        <f>[1]资金台帐!W2158&amp;""</f>
      </c>
      <c r="X2158">
        <f>[1]资金台帐!X2158&amp;""</f>
      </c>
      <c r="AB2158">
        <f>[1]资金台帐!AB2158</f>
        <v>0</v>
      </c>
      <c r="AC2158">
        <f>[1]资金台帐!AC2158</f>
        <v>0</v>
      </c>
      <c r="AD2158">
        <f>[1]资金台帐!AD2158</f>
        <v>0</v>
      </c>
      <c r="AJ2158">
        <f>[1]资金台帐!AJ2158</f>
        <v>0</v>
      </c>
      <c r="AK2158">
        <f>[1]资金台帐!AK2158</f>
        <v>0</v>
      </c>
      <c r="BA2158" s="22">
        <f t="shared" si="0"/>
      </c>
      <c r="BG2158" s="22">
        <f t="shared" si="1"/>
      </c>
      <c r="BH2158" s="22">
        <f t="shared" si="2"/>
        <v>0</v>
      </c>
    </row>
    <row r="2159">
      <c r="B2159">
        <f>[1]资金台帐!B2159&amp;""</f>
      </c>
      <c r="H2159">
        <f>[1]资金台帐!H2159&amp;""</f>
      </c>
      <c r="J2159">
        <f>[1]资金台帐!J2159&amp;""</f>
      </c>
      <c r="N2159">
        <f>[1]资金台帐!N2159</f>
      </c>
      <c r="O2159">
        <f>[1]资金台帐!O2159&amp;""</f>
      </c>
      <c r="P2159">
        <f>[1]资金台帐!P2159&amp;""</f>
      </c>
      <c r="Q2159">
        <f>[1]资金台帐!Q2159&amp;""</f>
      </c>
      <c r="T2159">
        <f>[1]资金台帐!T2159&amp;""</f>
      </c>
      <c r="U2159">
        <f>[1]资金台帐!U2159&amp;""</f>
      </c>
      <c r="W2159">
        <f>[1]资金台帐!W2159&amp;""</f>
      </c>
      <c r="X2159">
        <f>[1]资金台帐!X2159&amp;""</f>
      </c>
      <c r="AB2159">
        <f>[1]资金台帐!AB2159</f>
        <v>0</v>
      </c>
      <c r="AC2159">
        <f>[1]资金台帐!AC2159</f>
        <v>0</v>
      </c>
      <c r="AD2159">
        <f>[1]资金台帐!AD2159</f>
        <v>0</v>
      </c>
      <c r="AJ2159">
        <f>[1]资金台帐!AJ2159</f>
        <v>0</v>
      </c>
      <c r="AK2159">
        <f>[1]资金台帐!AK2159</f>
        <v>0</v>
      </c>
      <c r="BA2159" s="22">
        <f t="shared" si="0"/>
      </c>
      <c r="BG2159" s="22">
        <f t="shared" si="1"/>
      </c>
      <c r="BH2159" s="22">
        <f t="shared" si="2"/>
        <v>0</v>
      </c>
    </row>
    <row r="2160">
      <c r="B2160">
        <f>[1]资金台帐!B2160&amp;""</f>
      </c>
      <c r="H2160">
        <f>[1]资金台帐!H2160&amp;""</f>
      </c>
      <c r="J2160">
        <f>[1]资金台帐!J2160&amp;""</f>
      </c>
      <c r="N2160">
        <f>[1]资金台帐!N2160</f>
      </c>
      <c r="O2160">
        <f>[1]资金台帐!O2160&amp;""</f>
      </c>
      <c r="P2160">
        <f>[1]资金台帐!P2160&amp;""</f>
      </c>
      <c r="Q2160">
        <f>[1]资金台帐!Q2160&amp;""</f>
      </c>
      <c r="T2160">
        <f>[1]资金台帐!T2160&amp;""</f>
      </c>
      <c r="U2160">
        <f>[1]资金台帐!U2160&amp;""</f>
      </c>
      <c r="W2160">
        <f>[1]资金台帐!W2160&amp;""</f>
      </c>
      <c r="X2160">
        <f>[1]资金台帐!X2160&amp;""</f>
      </c>
      <c r="AB2160">
        <f>[1]资金台帐!AB2160</f>
        <v>0</v>
      </c>
      <c r="AC2160">
        <f>[1]资金台帐!AC2160</f>
        <v>0</v>
      </c>
      <c r="AD2160">
        <f>[1]资金台帐!AD2160</f>
        <v>0</v>
      </c>
      <c r="AJ2160">
        <f>[1]资金台帐!AJ2160</f>
        <v>0</v>
      </c>
      <c r="AK2160">
        <f>[1]资金台帐!AK2160</f>
        <v>0</v>
      </c>
      <c r="BA2160" s="22">
        <f t="shared" si="0"/>
      </c>
      <c r="BG2160" s="22">
        <f t="shared" si="1"/>
      </c>
      <c r="BH2160" s="22">
        <f t="shared" si="2"/>
        <v>0</v>
      </c>
    </row>
    <row r="2161">
      <c r="B2161">
        <f>[1]资金台帐!B2161&amp;""</f>
      </c>
      <c r="H2161">
        <f>[1]资金台帐!H2161&amp;""</f>
      </c>
      <c r="J2161">
        <f>[1]资金台帐!J2161&amp;""</f>
      </c>
      <c r="N2161">
        <f>[1]资金台帐!N2161</f>
      </c>
      <c r="O2161">
        <f>[1]资金台帐!O2161&amp;""</f>
      </c>
      <c r="P2161">
        <f>[1]资金台帐!P2161&amp;""</f>
      </c>
      <c r="Q2161">
        <f>[1]资金台帐!Q2161&amp;""</f>
      </c>
      <c r="T2161">
        <f>[1]资金台帐!T2161&amp;""</f>
      </c>
      <c r="U2161">
        <f>[1]资金台帐!U2161&amp;""</f>
      </c>
      <c r="W2161">
        <f>[1]资金台帐!W2161&amp;""</f>
      </c>
      <c r="X2161">
        <f>[1]资金台帐!X2161&amp;""</f>
      </c>
      <c r="AB2161">
        <f>[1]资金台帐!AB2161</f>
        <v>0</v>
      </c>
      <c r="AC2161">
        <f>[1]资金台帐!AC2161</f>
        <v>0</v>
      </c>
      <c r="AD2161">
        <f>[1]资金台帐!AD2161</f>
        <v>0</v>
      </c>
      <c r="AJ2161">
        <f>[1]资金台帐!AJ2161</f>
        <v>0</v>
      </c>
      <c r="AK2161">
        <f>[1]资金台帐!AK2161</f>
        <v>0</v>
      </c>
      <c r="BA2161" s="22">
        <f t="shared" si="0"/>
      </c>
      <c r="BG2161" s="22">
        <f t="shared" si="1"/>
      </c>
      <c r="BH2161" s="22">
        <f t="shared" si="2"/>
        <v>0</v>
      </c>
    </row>
    <row r="2162">
      <c r="B2162">
        <f>[1]资金台帐!B2162&amp;""</f>
      </c>
      <c r="H2162">
        <f>[1]资金台帐!H2162&amp;""</f>
      </c>
      <c r="J2162">
        <f>[1]资金台帐!J2162&amp;""</f>
      </c>
      <c r="N2162">
        <f>[1]资金台帐!N2162</f>
      </c>
      <c r="O2162">
        <f>[1]资金台帐!O2162&amp;""</f>
      </c>
      <c r="P2162">
        <f>[1]资金台帐!P2162&amp;""</f>
      </c>
      <c r="Q2162">
        <f>[1]资金台帐!Q2162&amp;""</f>
      </c>
      <c r="T2162">
        <f>[1]资金台帐!T2162&amp;""</f>
      </c>
      <c r="U2162">
        <f>[1]资金台帐!U2162&amp;""</f>
      </c>
      <c r="W2162">
        <f>[1]资金台帐!W2162&amp;""</f>
      </c>
      <c r="X2162">
        <f>[1]资金台帐!X2162&amp;""</f>
      </c>
      <c r="AB2162">
        <f>[1]资金台帐!AB2162</f>
        <v>0</v>
      </c>
      <c r="AC2162">
        <f>[1]资金台帐!AC2162</f>
        <v>0</v>
      </c>
      <c r="AD2162">
        <f>[1]资金台帐!AD2162</f>
        <v>0</v>
      </c>
      <c r="AJ2162">
        <f>[1]资金台帐!AJ2162</f>
        <v>0</v>
      </c>
      <c r="AK2162">
        <f>[1]资金台帐!AK2162</f>
        <v>0</v>
      </c>
      <c r="BA2162" s="22">
        <f t="shared" si="0"/>
      </c>
      <c r="BG2162" s="22">
        <f t="shared" si="1"/>
      </c>
      <c r="BH2162" s="22">
        <f t="shared" si="2"/>
        <v>0</v>
      </c>
    </row>
    <row r="2163">
      <c r="B2163">
        <f>[1]资金台帐!B2163&amp;""</f>
      </c>
      <c r="H2163">
        <f>[1]资金台帐!H2163&amp;""</f>
      </c>
      <c r="J2163">
        <f>[1]资金台帐!J2163&amp;""</f>
      </c>
      <c r="N2163">
        <f>[1]资金台帐!N2163</f>
      </c>
      <c r="O2163">
        <f>[1]资金台帐!O2163&amp;""</f>
      </c>
      <c r="P2163">
        <f>[1]资金台帐!P2163&amp;""</f>
      </c>
      <c r="Q2163">
        <f>[1]资金台帐!Q2163&amp;""</f>
      </c>
      <c r="T2163">
        <f>[1]资金台帐!T2163&amp;""</f>
      </c>
      <c r="U2163">
        <f>[1]资金台帐!U2163&amp;""</f>
      </c>
      <c r="W2163">
        <f>[1]资金台帐!W2163&amp;""</f>
      </c>
      <c r="X2163">
        <f>[1]资金台帐!X2163&amp;""</f>
      </c>
      <c r="AB2163">
        <f>[1]资金台帐!AB2163</f>
        <v>0</v>
      </c>
      <c r="AC2163">
        <f>[1]资金台帐!AC2163</f>
        <v>0</v>
      </c>
      <c r="AD2163">
        <f>[1]资金台帐!AD2163</f>
        <v>0</v>
      </c>
      <c r="AJ2163">
        <f>[1]资金台帐!AJ2163</f>
        <v>0</v>
      </c>
      <c r="AK2163">
        <f>[1]资金台帐!AK2163</f>
        <v>0</v>
      </c>
      <c r="BA2163" s="22">
        <f t="shared" si="0"/>
      </c>
      <c r="BG2163" s="22">
        <f t="shared" si="1"/>
      </c>
      <c r="BH2163" s="22">
        <f t="shared" si="2"/>
        <v>0</v>
      </c>
    </row>
    <row r="2164">
      <c r="B2164">
        <f>[1]资金台帐!B2164&amp;""</f>
      </c>
      <c r="H2164">
        <f>[1]资金台帐!H2164&amp;""</f>
      </c>
      <c r="J2164">
        <f>[1]资金台帐!J2164&amp;""</f>
      </c>
      <c r="N2164">
        <f>[1]资金台帐!N2164</f>
      </c>
      <c r="O2164">
        <f>[1]资金台帐!O2164&amp;""</f>
      </c>
      <c r="P2164">
        <f>[1]资金台帐!P2164&amp;""</f>
      </c>
      <c r="Q2164">
        <f>[1]资金台帐!Q2164&amp;""</f>
      </c>
      <c r="T2164">
        <f>[1]资金台帐!T2164&amp;""</f>
      </c>
      <c r="U2164">
        <f>[1]资金台帐!U2164&amp;""</f>
      </c>
      <c r="W2164">
        <f>[1]资金台帐!W2164&amp;""</f>
      </c>
      <c r="X2164">
        <f>[1]资金台帐!X2164&amp;""</f>
      </c>
      <c r="AB2164">
        <f>[1]资金台帐!AB2164</f>
        <v>0</v>
      </c>
      <c r="AC2164">
        <f>[1]资金台帐!AC2164</f>
        <v>0</v>
      </c>
      <c r="AD2164">
        <f>[1]资金台帐!AD2164</f>
        <v>0</v>
      </c>
      <c r="AJ2164">
        <f>[1]资金台帐!AJ2164</f>
        <v>0</v>
      </c>
      <c r="AK2164">
        <f>[1]资金台帐!AK2164</f>
        <v>0</v>
      </c>
      <c r="BA2164" s="22">
        <f t="shared" si="0"/>
      </c>
      <c r="BG2164" s="22">
        <f t="shared" si="1"/>
      </c>
      <c r="BH2164" s="22">
        <f t="shared" si="2"/>
        <v>0</v>
      </c>
    </row>
    <row r="2165">
      <c r="B2165">
        <f>[1]资金台帐!B2165&amp;""</f>
      </c>
      <c r="H2165">
        <f>[1]资金台帐!H2165&amp;""</f>
      </c>
      <c r="J2165">
        <f>[1]资金台帐!J2165&amp;""</f>
      </c>
      <c r="N2165">
        <f>[1]资金台帐!N2165</f>
      </c>
      <c r="O2165">
        <f>[1]资金台帐!O2165&amp;""</f>
      </c>
      <c r="P2165">
        <f>[1]资金台帐!P2165&amp;""</f>
      </c>
      <c r="Q2165">
        <f>[1]资金台帐!Q2165&amp;""</f>
      </c>
      <c r="T2165">
        <f>[1]资金台帐!T2165&amp;""</f>
      </c>
      <c r="U2165">
        <f>[1]资金台帐!U2165&amp;""</f>
      </c>
      <c r="W2165">
        <f>[1]资金台帐!W2165&amp;""</f>
      </c>
      <c r="X2165">
        <f>[1]资金台帐!X2165&amp;""</f>
      </c>
      <c r="AB2165">
        <f>[1]资金台帐!AB2165</f>
        <v>0</v>
      </c>
      <c r="AC2165">
        <f>[1]资金台帐!AC2165</f>
        <v>0</v>
      </c>
      <c r="AD2165">
        <f>[1]资金台帐!AD2165</f>
        <v>0</v>
      </c>
      <c r="AJ2165">
        <f>[1]资金台帐!AJ2165</f>
        <v>0</v>
      </c>
      <c r="AK2165">
        <f>[1]资金台帐!AK2165</f>
        <v>0</v>
      </c>
      <c r="BA2165" s="22">
        <f t="shared" si="0"/>
      </c>
      <c r="BG2165" s="22">
        <f t="shared" si="1"/>
      </c>
      <c r="BH2165" s="22">
        <f t="shared" si="2"/>
        <v>0</v>
      </c>
    </row>
    <row r="2166">
      <c r="B2166">
        <f>[1]资金台帐!B2166&amp;""</f>
      </c>
      <c r="H2166">
        <f>[1]资金台帐!H2166&amp;""</f>
      </c>
      <c r="J2166">
        <f>[1]资金台帐!J2166&amp;""</f>
      </c>
      <c r="N2166">
        <f>[1]资金台帐!N2166</f>
      </c>
      <c r="O2166">
        <f>[1]资金台帐!O2166&amp;""</f>
      </c>
      <c r="P2166">
        <f>[1]资金台帐!P2166&amp;""</f>
      </c>
      <c r="Q2166">
        <f>[1]资金台帐!Q2166&amp;""</f>
      </c>
      <c r="T2166">
        <f>[1]资金台帐!T2166&amp;""</f>
      </c>
      <c r="U2166">
        <f>[1]资金台帐!U2166&amp;""</f>
      </c>
      <c r="W2166">
        <f>[1]资金台帐!W2166&amp;""</f>
      </c>
      <c r="X2166">
        <f>[1]资金台帐!X2166&amp;""</f>
      </c>
      <c r="AB2166">
        <f>[1]资金台帐!AB2166</f>
        <v>0</v>
      </c>
      <c r="AC2166">
        <f>[1]资金台帐!AC2166</f>
        <v>0</v>
      </c>
      <c r="AD2166">
        <f>[1]资金台帐!AD2166</f>
        <v>0</v>
      </c>
      <c r="AJ2166">
        <f>[1]资金台帐!AJ2166</f>
        <v>0</v>
      </c>
      <c r="AK2166">
        <f>[1]资金台帐!AK2166</f>
        <v>0</v>
      </c>
      <c r="BA2166" s="22">
        <f t="shared" si="0"/>
      </c>
      <c r="BG2166" s="22">
        <f t="shared" si="1"/>
      </c>
      <c r="BH2166" s="22">
        <f t="shared" si="2"/>
        <v>0</v>
      </c>
    </row>
    <row r="2167">
      <c r="B2167">
        <f>[1]资金台帐!B2167&amp;""</f>
      </c>
      <c r="H2167">
        <f>[1]资金台帐!H2167&amp;""</f>
      </c>
      <c r="J2167">
        <f>[1]资金台帐!J2167&amp;""</f>
      </c>
      <c r="N2167">
        <f>[1]资金台帐!N2167</f>
      </c>
      <c r="O2167">
        <f>[1]资金台帐!O2167&amp;""</f>
      </c>
      <c r="P2167">
        <f>[1]资金台帐!P2167&amp;""</f>
      </c>
      <c r="Q2167">
        <f>[1]资金台帐!Q2167&amp;""</f>
      </c>
      <c r="T2167">
        <f>[1]资金台帐!T2167&amp;""</f>
      </c>
      <c r="U2167">
        <f>[1]资金台帐!U2167&amp;""</f>
      </c>
      <c r="W2167">
        <f>[1]资金台帐!W2167&amp;""</f>
      </c>
      <c r="X2167">
        <f>[1]资金台帐!X2167&amp;""</f>
      </c>
      <c r="AB2167">
        <f>[1]资金台帐!AB2167</f>
        <v>0</v>
      </c>
      <c r="AC2167">
        <f>[1]资金台帐!AC2167</f>
        <v>0</v>
      </c>
      <c r="AD2167">
        <f>[1]资金台帐!AD2167</f>
        <v>0</v>
      </c>
      <c r="AJ2167">
        <f>[1]资金台帐!AJ2167</f>
        <v>0</v>
      </c>
      <c r="AK2167">
        <f>[1]资金台帐!AK2167</f>
        <v>0</v>
      </c>
      <c r="BA2167" s="22">
        <f t="shared" si="0"/>
      </c>
      <c r="BG2167" s="22">
        <f t="shared" si="1"/>
      </c>
      <c r="BH2167" s="22">
        <f t="shared" si="2"/>
        <v>0</v>
      </c>
    </row>
    <row r="2168">
      <c r="B2168">
        <f>[1]资金台帐!B2168&amp;""</f>
      </c>
      <c r="H2168">
        <f>[1]资金台帐!H2168&amp;""</f>
      </c>
      <c r="J2168">
        <f>[1]资金台帐!J2168&amp;""</f>
      </c>
      <c r="N2168">
        <f>[1]资金台帐!N2168</f>
      </c>
      <c r="O2168">
        <f>[1]资金台帐!O2168&amp;""</f>
      </c>
      <c r="P2168">
        <f>[1]资金台帐!P2168&amp;""</f>
      </c>
      <c r="Q2168">
        <f>[1]资金台帐!Q2168&amp;""</f>
      </c>
      <c r="T2168">
        <f>[1]资金台帐!T2168&amp;""</f>
      </c>
      <c r="U2168">
        <f>[1]资金台帐!U2168&amp;""</f>
      </c>
      <c r="W2168">
        <f>[1]资金台帐!W2168&amp;""</f>
      </c>
      <c r="X2168">
        <f>[1]资金台帐!X2168&amp;""</f>
      </c>
      <c r="AB2168">
        <f>[1]资金台帐!AB2168</f>
        <v>0</v>
      </c>
      <c r="AC2168">
        <f>[1]资金台帐!AC2168</f>
        <v>0</v>
      </c>
      <c r="AD2168">
        <f>[1]资金台帐!AD2168</f>
        <v>0</v>
      </c>
      <c r="AJ2168">
        <f>[1]资金台帐!AJ2168</f>
        <v>0</v>
      </c>
      <c r="AK2168">
        <f>[1]资金台帐!AK2168</f>
        <v>0</v>
      </c>
      <c r="BA2168" s="22">
        <f t="shared" si="0"/>
      </c>
      <c r="BG2168" s="22">
        <f t="shared" si="1"/>
      </c>
      <c r="BH2168" s="22">
        <f t="shared" si="2"/>
        <v>0</v>
      </c>
    </row>
    <row r="2169">
      <c r="B2169">
        <f>[1]资金台帐!B2169&amp;""</f>
      </c>
      <c r="H2169">
        <f>[1]资金台帐!H2169&amp;""</f>
      </c>
      <c r="J2169">
        <f>[1]资金台帐!J2169&amp;""</f>
      </c>
      <c r="N2169">
        <f>[1]资金台帐!N2169</f>
      </c>
      <c r="O2169">
        <f>[1]资金台帐!O2169&amp;""</f>
      </c>
      <c r="P2169">
        <f>[1]资金台帐!P2169&amp;""</f>
      </c>
      <c r="Q2169">
        <f>[1]资金台帐!Q2169&amp;""</f>
      </c>
      <c r="T2169">
        <f>[1]资金台帐!T2169&amp;""</f>
      </c>
      <c r="U2169">
        <f>[1]资金台帐!U2169&amp;""</f>
      </c>
      <c r="W2169">
        <f>[1]资金台帐!W2169&amp;""</f>
      </c>
      <c r="X2169">
        <f>[1]资金台帐!X2169&amp;""</f>
      </c>
      <c r="AB2169">
        <f>[1]资金台帐!AB2169</f>
        <v>0</v>
      </c>
      <c r="AC2169">
        <f>[1]资金台帐!AC2169</f>
        <v>0</v>
      </c>
      <c r="AD2169">
        <f>[1]资金台帐!AD2169</f>
        <v>0</v>
      </c>
      <c r="AJ2169">
        <f>[1]资金台帐!AJ2169</f>
        <v>0</v>
      </c>
      <c r="AK2169">
        <f>[1]资金台帐!AK2169</f>
        <v>0</v>
      </c>
      <c r="BA2169" s="22">
        <f t="shared" si="0"/>
      </c>
      <c r="BG2169" s="22">
        <f t="shared" si="1"/>
      </c>
      <c r="BH2169" s="22">
        <f t="shared" si="2"/>
        <v>0</v>
      </c>
    </row>
    <row r="2170">
      <c r="B2170">
        <f>[1]资金台帐!B2170&amp;""</f>
      </c>
      <c r="H2170">
        <f>[1]资金台帐!H2170&amp;""</f>
      </c>
      <c r="J2170">
        <f>[1]资金台帐!J2170&amp;""</f>
      </c>
      <c r="N2170">
        <f>[1]资金台帐!N2170</f>
      </c>
      <c r="O2170">
        <f>[1]资金台帐!O2170&amp;""</f>
      </c>
      <c r="P2170">
        <f>[1]资金台帐!P2170&amp;""</f>
      </c>
      <c r="Q2170">
        <f>[1]资金台帐!Q2170&amp;""</f>
      </c>
      <c r="T2170">
        <f>[1]资金台帐!T2170&amp;""</f>
      </c>
      <c r="U2170">
        <f>[1]资金台帐!U2170&amp;""</f>
      </c>
      <c r="W2170">
        <f>[1]资金台帐!W2170&amp;""</f>
      </c>
      <c r="X2170">
        <f>[1]资金台帐!X2170&amp;""</f>
      </c>
      <c r="AB2170">
        <f>[1]资金台帐!AB2170</f>
        <v>0</v>
      </c>
      <c r="AC2170">
        <f>[1]资金台帐!AC2170</f>
        <v>0</v>
      </c>
      <c r="AD2170">
        <f>[1]资金台帐!AD2170</f>
        <v>0</v>
      </c>
      <c r="AJ2170">
        <f>[1]资金台帐!AJ2170</f>
        <v>0</v>
      </c>
      <c r="AK2170">
        <f>[1]资金台帐!AK2170</f>
        <v>0</v>
      </c>
      <c r="BA2170" s="22">
        <f t="shared" si="0"/>
      </c>
      <c r="BG2170" s="22">
        <f t="shared" si="1"/>
      </c>
      <c r="BH2170" s="22">
        <f t="shared" si="2"/>
        <v>0</v>
      </c>
    </row>
    <row r="2171">
      <c r="B2171">
        <f>[1]资金台帐!B2171&amp;""</f>
      </c>
      <c r="H2171">
        <f>[1]资金台帐!H2171&amp;""</f>
      </c>
      <c r="J2171">
        <f>[1]资金台帐!J2171&amp;""</f>
      </c>
      <c r="N2171">
        <f>[1]资金台帐!N2171</f>
      </c>
      <c r="O2171">
        <f>[1]资金台帐!O2171&amp;""</f>
      </c>
      <c r="P2171">
        <f>[1]资金台帐!P2171&amp;""</f>
      </c>
      <c r="Q2171">
        <f>[1]资金台帐!Q2171&amp;""</f>
      </c>
      <c r="T2171">
        <f>[1]资金台帐!T2171&amp;""</f>
      </c>
      <c r="U2171">
        <f>[1]资金台帐!U2171&amp;""</f>
      </c>
      <c r="W2171">
        <f>[1]资金台帐!W2171&amp;""</f>
      </c>
      <c r="X2171">
        <f>[1]资金台帐!X2171&amp;""</f>
      </c>
      <c r="AB2171">
        <f>[1]资金台帐!AB2171</f>
        <v>0</v>
      </c>
      <c r="AC2171">
        <f>[1]资金台帐!AC2171</f>
        <v>0</v>
      </c>
      <c r="AD2171">
        <f>[1]资金台帐!AD2171</f>
        <v>0</v>
      </c>
      <c r="AJ2171">
        <f>[1]资金台帐!AJ2171</f>
        <v>0</v>
      </c>
      <c r="AK2171">
        <f>[1]资金台帐!AK2171</f>
        <v>0</v>
      </c>
      <c r="BA2171" s="22">
        <f t="shared" si="0"/>
      </c>
      <c r="BG2171" s="22">
        <f t="shared" si="1"/>
      </c>
      <c r="BH2171" s="22">
        <f t="shared" si="2"/>
        <v>0</v>
      </c>
    </row>
    <row r="2172">
      <c r="B2172">
        <f>[1]资金台帐!B2172&amp;""</f>
      </c>
      <c r="H2172">
        <f>[1]资金台帐!H2172&amp;""</f>
      </c>
      <c r="J2172">
        <f>[1]资金台帐!J2172&amp;""</f>
      </c>
      <c r="N2172">
        <f>[1]资金台帐!N2172</f>
      </c>
      <c r="O2172">
        <f>[1]资金台帐!O2172&amp;""</f>
      </c>
      <c r="P2172">
        <f>[1]资金台帐!P2172&amp;""</f>
      </c>
      <c r="Q2172">
        <f>[1]资金台帐!Q2172&amp;""</f>
      </c>
      <c r="T2172">
        <f>[1]资金台帐!T2172&amp;""</f>
      </c>
      <c r="U2172">
        <f>[1]资金台帐!U2172&amp;""</f>
      </c>
      <c r="W2172">
        <f>[1]资金台帐!W2172&amp;""</f>
      </c>
      <c r="X2172">
        <f>[1]资金台帐!X2172&amp;""</f>
      </c>
      <c r="AB2172">
        <f>[1]资金台帐!AB2172</f>
        <v>0</v>
      </c>
      <c r="AC2172">
        <f>[1]资金台帐!AC2172</f>
        <v>0</v>
      </c>
      <c r="AD2172">
        <f>[1]资金台帐!AD2172</f>
        <v>0</v>
      </c>
      <c r="AJ2172">
        <f>[1]资金台帐!AJ2172</f>
        <v>0</v>
      </c>
      <c r="AK2172">
        <f>[1]资金台帐!AK2172</f>
        <v>0</v>
      </c>
      <c r="BA2172" s="22">
        <f t="shared" si="0"/>
      </c>
      <c r="BG2172" s="22">
        <f t="shared" si="1"/>
      </c>
      <c r="BH2172" s="22">
        <f t="shared" si="2"/>
        <v>0</v>
      </c>
    </row>
    <row r="2173">
      <c r="B2173">
        <f>[1]资金台帐!B2173&amp;""</f>
      </c>
      <c r="H2173">
        <f>[1]资金台帐!H2173&amp;""</f>
      </c>
      <c r="J2173">
        <f>[1]资金台帐!J2173&amp;""</f>
      </c>
      <c r="N2173">
        <f>[1]资金台帐!N2173</f>
      </c>
      <c r="O2173">
        <f>[1]资金台帐!O2173&amp;""</f>
      </c>
      <c r="P2173">
        <f>[1]资金台帐!P2173&amp;""</f>
      </c>
      <c r="Q2173">
        <f>[1]资金台帐!Q2173&amp;""</f>
      </c>
      <c r="T2173">
        <f>[1]资金台帐!T2173&amp;""</f>
      </c>
      <c r="U2173">
        <f>[1]资金台帐!U2173&amp;""</f>
      </c>
      <c r="W2173">
        <f>[1]资金台帐!W2173&amp;""</f>
      </c>
      <c r="X2173">
        <f>[1]资金台帐!X2173&amp;""</f>
      </c>
      <c r="AB2173">
        <f>[1]资金台帐!AB2173</f>
        <v>0</v>
      </c>
      <c r="AC2173">
        <f>[1]资金台帐!AC2173</f>
        <v>0</v>
      </c>
      <c r="AD2173">
        <f>[1]资金台帐!AD2173</f>
        <v>0</v>
      </c>
      <c r="AJ2173">
        <f>[1]资金台帐!AJ2173</f>
        <v>0</v>
      </c>
      <c r="AK2173">
        <f>[1]资金台帐!AK2173</f>
        <v>0</v>
      </c>
      <c r="BA2173" s="22">
        <f t="shared" si="0"/>
      </c>
      <c r="BG2173" s="22">
        <f t="shared" si="1"/>
      </c>
      <c r="BH2173" s="22">
        <f t="shared" si="2"/>
        <v>0</v>
      </c>
    </row>
    <row r="2174">
      <c r="B2174">
        <f>[1]资金台帐!B2174&amp;""</f>
      </c>
      <c r="H2174">
        <f>[1]资金台帐!H2174&amp;""</f>
      </c>
      <c r="J2174">
        <f>[1]资金台帐!J2174&amp;""</f>
      </c>
      <c r="N2174">
        <f>[1]资金台帐!N2174</f>
      </c>
      <c r="O2174">
        <f>[1]资金台帐!O2174&amp;""</f>
      </c>
      <c r="P2174">
        <f>[1]资金台帐!P2174&amp;""</f>
      </c>
      <c r="Q2174">
        <f>[1]资金台帐!Q2174&amp;""</f>
      </c>
      <c r="T2174">
        <f>[1]资金台帐!T2174&amp;""</f>
      </c>
      <c r="U2174">
        <f>[1]资金台帐!U2174&amp;""</f>
      </c>
      <c r="W2174">
        <f>[1]资金台帐!W2174&amp;""</f>
      </c>
      <c r="X2174">
        <f>[1]资金台帐!X2174&amp;""</f>
      </c>
      <c r="AB2174">
        <f>[1]资金台帐!AB2174</f>
        <v>0</v>
      </c>
      <c r="AC2174">
        <f>[1]资金台帐!AC2174</f>
        <v>0</v>
      </c>
      <c r="AD2174">
        <f>[1]资金台帐!AD2174</f>
        <v>0</v>
      </c>
      <c r="AJ2174">
        <f>[1]资金台帐!AJ2174</f>
        <v>0</v>
      </c>
      <c r="AK2174">
        <f>[1]资金台帐!AK2174</f>
        <v>0</v>
      </c>
      <c r="BA2174" s="22">
        <f t="shared" si="0"/>
      </c>
      <c r="BG2174" s="22">
        <f t="shared" si="1"/>
      </c>
      <c r="BH2174" s="22">
        <f t="shared" si="2"/>
        <v>0</v>
      </c>
    </row>
    <row r="2175">
      <c r="B2175">
        <f>[1]资金台帐!B2175&amp;""</f>
      </c>
      <c r="H2175">
        <f>[1]资金台帐!H2175&amp;""</f>
      </c>
      <c r="J2175">
        <f>[1]资金台帐!J2175&amp;""</f>
      </c>
      <c r="N2175">
        <f>[1]资金台帐!N2175</f>
      </c>
      <c r="O2175">
        <f>[1]资金台帐!O2175&amp;""</f>
      </c>
      <c r="P2175">
        <f>[1]资金台帐!P2175&amp;""</f>
      </c>
      <c r="Q2175">
        <f>[1]资金台帐!Q2175&amp;""</f>
      </c>
      <c r="T2175">
        <f>[1]资金台帐!T2175&amp;""</f>
      </c>
      <c r="U2175">
        <f>[1]资金台帐!U2175&amp;""</f>
      </c>
      <c r="W2175">
        <f>[1]资金台帐!W2175&amp;""</f>
      </c>
      <c r="X2175">
        <f>[1]资金台帐!X2175&amp;""</f>
      </c>
      <c r="AB2175">
        <f>[1]资金台帐!AB2175</f>
        <v>0</v>
      </c>
      <c r="AC2175">
        <f>[1]资金台帐!AC2175</f>
        <v>0</v>
      </c>
      <c r="AD2175">
        <f>[1]资金台帐!AD2175</f>
        <v>0</v>
      </c>
      <c r="AJ2175">
        <f>[1]资金台帐!AJ2175</f>
        <v>0</v>
      </c>
      <c r="AK2175">
        <f>[1]资金台帐!AK2175</f>
        <v>0</v>
      </c>
      <c r="BA2175" s="22">
        <f t="shared" si="0"/>
      </c>
      <c r="BG2175" s="22">
        <f t="shared" si="1"/>
      </c>
      <c r="BH2175" s="22">
        <f t="shared" si="2"/>
        <v>0</v>
      </c>
    </row>
    <row r="2176">
      <c r="B2176">
        <f>[1]资金台帐!B2176&amp;""</f>
      </c>
      <c r="H2176">
        <f>[1]资金台帐!H2176&amp;""</f>
      </c>
      <c r="J2176">
        <f>[1]资金台帐!J2176&amp;""</f>
      </c>
      <c r="N2176">
        <f>[1]资金台帐!N2176</f>
      </c>
      <c r="O2176">
        <f>[1]资金台帐!O2176&amp;""</f>
      </c>
      <c r="P2176">
        <f>[1]资金台帐!P2176&amp;""</f>
      </c>
      <c r="Q2176">
        <f>[1]资金台帐!Q2176&amp;""</f>
      </c>
      <c r="T2176">
        <f>[1]资金台帐!T2176&amp;""</f>
      </c>
      <c r="U2176">
        <f>[1]资金台帐!U2176&amp;""</f>
      </c>
      <c r="W2176">
        <f>[1]资金台帐!W2176&amp;""</f>
      </c>
      <c r="X2176">
        <f>[1]资金台帐!X2176&amp;""</f>
      </c>
      <c r="AB2176">
        <f>[1]资金台帐!AB2176</f>
        <v>0</v>
      </c>
      <c r="AC2176">
        <f>[1]资金台帐!AC2176</f>
        <v>0</v>
      </c>
      <c r="AD2176">
        <f>[1]资金台帐!AD2176</f>
        <v>0</v>
      </c>
      <c r="AJ2176">
        <f>[1]资金台帐!AJ2176</f>
        <v>0</v>
      </c>
      <c r="AK2176">
        <f>[1]资金台帐!AK2176</f>
        <v>0</v>
      </c>
      <c r="BA2176" s="22">
        <f t="shared" si="0"/>
      </c>
      <c r="BG2176" s="22">
        <f t="shared" si="1"/>
      </c>
      <c r="BH2176" s="22">
        <f t="shared" si="2"/>
        <v>0</v>
      </c>
    </row>
    <row r="2177">
      <c r="B2177">
        <f>[1]资金台帐!B2177&amp;""</f>
      </c>
      <c r="H2177">
        <f>[1]资金台帐!H2177&amp;""</f>
      </c>
      <c r="J2177">
        <f>[1]资金台帐!J2177&amp;""</f>
      </c>
      <c r="N2177">
        <f>[1]资金台帐!N2177</f>
      </c>
      <c r="O2177">
        <f>[1]资金台帐!O2177&amp;""</f>
      </c>
      <c r="P2177">
        <f>[1]资金台帐!P2177&amp;""</f>
      </c>
      <c r="Q2177">
        <f>[1]资金台帐!Q2177&amp;""</f>
      </c>
      <c r="T2177">
        <f>[1]资金台帐!T2177&amp;""</f>
      </c>
      <c r="U2177">
        <f>[1]资金台帐!U2177&amp;""</f>
      </c>
      <c r="W2177">
        <f>[1]资金台帐!W2177&amp;""</f>
      </c>
      <c r="X2177">
        <f>[1]资金台帐!X2177&amp;""</f>
      </c>
      <c r="AB2177">
        <f>[1]资金台帐!AB2177</f>
        <v>0</v>
      </c>
      <c r="AC2177">
        <f>[1]资金台帐!AC2177</f>
        <v>0</v>
      </c>
      <c r="AD2177">
        <f>[1]资金台帐!AD2177</f>
        <v>0</v>
      </c>
      <c r="AJ2177">
        <f>[1]资金台帐!AJ2177</f>
        <v>0</v>
      </c>
      <c r="AK2177">
        <f>[1]资金台帐!AK2177</f>
        <v>0</v>
      </c>
      <c r="BA2177" s="22">
        <f t="shared" si="0"/>
      </c>
      <c r="BG2177" s="22">
        <f t="shared" si="1"/>
      </c>
      <c r="BH2177" s="22">
        <f t="shared" si="2"/>
        <v>0</v>
      </c>
    </row>
    <row r="2178">
      <c r="B2178">
        <f>[1]资金台帐!B2178&amp;""</f>
      </c>
      <c r="H2178">
        <f>[1]资金台帐!H2178&amp;""</f>
      </c>
      <c r="J2178">
        <f>[1]资金台帐!J2178&amp;""</f>
      </c>
      <c r="N2178">
        <f>[1]资金台帐!N2178</f>
      </c>
      <c r="O2178">
        <f>[1]资金台帐!O2178&amp;""</f>
      </c>
      <c r="P2178">
        <f>[1]资金台帐!P2178&amp;""</f>
      </c>
      <c r="Q2178">
        <f>[1]资金台帐!Q2178&amp;""</f>
      </c>
      <c r="T2178">
        <f>[1]资金台帐!T2178&amp;""</f>
      </c>
      <c r="U2178">
        <f>[1]资金台帐!U2178&amp;""</f>
      </c>
      <c r="W2178">
        <f>[1]资金台帐!W2178&amp;""</f>
      </c>
      <c r="X2178">
        <f>[1]资金台帐!X2178&amp;""</f>
      </c>
      <c r="AB2178">
        <f>[1]资金台帐!AB2178</f>
        <v>0</v>
      </c>
      <c r="AC2178">
        <f>[1]资金台帐!AC2178</f>
        <v>0</v>
      </c>
      <c r="AD2178">
        <f>[1]资金台帐!AD2178</f>
        <v>0</v>
      </c>
      <c r="AJ2178">
        <f>[1]资金台帐!AJ2178</f>
        <v>0</v>
      </c>
      <c r="AK2178">
        <f>[1]资金台帐!AK2178</f>
        <v>0</v>
      </c>
      <c r="BA2178" s="22">
        <f t="shared" si="0"/>
      </c>
      <c r="BG2178" s="22">
        <f t="shared" si="1"/>
      </c>
      <c r="BH2178" s="22">
        <f t="shared" si="2"/>
        <v>0</v>
      </c>
    </row>
    <row r="2179">
      <c r="B2179">
        <f>[1]资金台帐!B2179&amp;""</f>
      </c>
      <c r="H2179">
        <f>[1]资金台帐!H2179&amp;""</f>
      </c>
      <c r="J2179">
        <f>[1]资金台帐!J2179&amp;""</f>
      </c>
      <c r="N2179">
        <f>[1]资金台帐!N2179</f>
      </c>
      <c r="O2179">
        <f>[1]资金台帐!O2179&amp;""</f>
      </c>
      <c r="P2179">
        <f>[1]资金台帐!P2179&amp;""</f>
      </c>
      <c r="Q2179">
        <f>[1]资金台帐!Q2179&amp;""</f>
      </c>
      <c r="T2179">
        <f>[1]资金台帐!T2179&amp;""</f>
      </c>
      <c r="U2179">
        <f>[1]资金台帐!U2179&amp;""</f>
      </c>
      <c r="W2179">
        <f>[1]资金台帐!W2179&amp;""</f>
      </c>
      <c r="X2179">
        <f>[1]资金台帐!X2179&amp;""</f>
      </c>
      <c r="AB2179">
        <f>[1]资金台帐!AB2179</f>
        <v>0</v>
      </c>
      <c r="AC2179">
        <f>[1]资金台帐!AC2179</f>
        <v>0</v>
      </c>
      <c r="AD2179">
        <f>[1]资金台帐!AD2179</f>
        <v>0</v>
      </c>
      <c r="AJ2179">
        <f>[1]资金台帐!AJ2179</f>
        <v>0</v>
      </c>
      <c r="AK2179">
        <f>[1]资金台帐!AK2179</f>
        <v>0</v>
      </c>
      <c r="BA2179" s="22">
        <f t="shared" si="0"/>
      </c>
      <c r="BG2179" s="22">
        <f t="shared" si="1"/>
      </c>
      <c r="BH2179" s="22">
        <f t="shared" si="2"/>
        <v>0</v>
      </c>
    </row>
    <row r="2180">
      <c r="B2180">
        <f>[1]资金台帐!B2180&amp;""</f>
      </c>
      <c r="H2180">
        <f>[1]资金台帐!H2180&amp;""</f>
      </c>
      <c r="J2180">
        <f>[1]资金台帐!J2180&amp;""</f>
      </c>
      <c r="N2180">
        <f>[1]资金台帐!N2180</f>
      </c>
      <c r="O2180">
        <f>[1]资金台帐!O2180&amp;""</f>
      </c>
      <c r="P2180">
        <f>[1]资金台帐!P2180&amp;""</f>
      </c>
      <c r="Q2180">
        <f>[1]资金台帐!Q2180&amp;""</f>
      </c>
      <c r="T2180">
        <f>[1]资金台帐!T2180&amp;""</f>
      </c>
      <c r="U2180">
        <f>[1]资金台帐!U2180&amp;""</f>
      </c>
      <c r="W2180">
        <f>[1]资金台帐!W2180&amp;""</f>
      </c>
      <c r="X2180">
        <f>[1]资金台帐!X2180&amp;""</f>
      </c>
      <c r="AB2180">
        <f>[1]资金台帐!AB2180</f>
        <v>0</v>
      </c>
      <c r="AC2180">
        <f>[1]资金台帐!AC2180</f>
        <v>0</v>
      </c>
      <c r="AD2180">
        <f>[1]资金台帐!AD2180</f>
        <v>0</v>
      </c>
      <c r="AJ2180">
        <f>[1]资金台帐!AJ2180</f>
        <v>0</v>
      </c>
      <c r="AK2180">
        <f>[1]资金台帐!AK2180</f>
        <v>0</v>
      </c>
      <c r="BA2180" s="22">
        <f t="shared" si="0"/>
      </c>
      <c r="BG2180" s="22">
        <f t="shared" si="1"/>
      </c>
      <c r="BH2180" s="22">
        <f t="shared" si="2"/>
        <v>0</v>
      </c>
    </row>
    <row r="2181">
      <c r="B2181">
        <f>[1]资金台帐!B2181&amp;""</f>
      </c>
      <c r="H2181">
        <f>[1]资金台帐!H2181&amp;""</f>
      </c>
      <c r="J2181">
        <f>[1]资金台帐!J2181&amp;""</f>
      </c>
      <c r="N2181">
        <f>[1]资金台帐!N2181</f>
      </c>
      <c r="O2181">
        <f>[1]资金台帐!O2181&amp;""</f>
      </c>
      <c r="P2181">
        <f>[1]资金台帐!P2181&amp;""</f>
      </c>
      <c r="Q2181">
        <f>[1]资金台帐!Q2181&amp;""</f>
      </c>
      <c r="T2181">
        <f>[1]资金台帐!T2181&amp;""</f>
      </c>
      <c r="U2181">
        <f>[1]资金台帐!U2181&amp;""</f>
      </c>
      <c r="W2181">
        <f>[1]资金台帐!W2181&amp;""</f>
      </c>
      <c r="X2181">
        <f>[1]资金台帐!X2181&amp;""</f>
      </c>
      <c r="AB2181">
        <f>[1]资金台帐!AB2181</f>
        <v>0</v>
      </c>
      <c r="AC2181">
        <f>[1]资金台帐!AC2181</f>
        <v>0</v>
      </c>
      <c r="AD2181">
        <f>[1]资金台帐!AD2181</f>
        <v>0</v>
      </c>
      <c r="AJ2181">
        <f>[1]资金台帐!AJ2181</f>
        <v>0</v>
      </c>
      <c r="AK2181">
        <f>[1]资金台帐!AK2181</f>
        <v>0</v>
      </c>
      <c r="BA2181" s="22">
        <f t="shared" si="0"/>
      </c>
      <c r="BG2181" s="22">
        <f t="shared" si="1"/>
      </c>
      <c r="BH2181" s="22">
        <f t="shared" si="2"/>
        <v>0</v>
      </c>
    </row>
    <row r="2182">
      <c r="B2182">
        <f>[1]资金台帐!B2182&amp;""</f>
      </c>
      <c r="H2182">
        <f>[1]资金台帐!H2182&amp;""</f>
      </c>
      <c r="J2182">
        <f>[1]资金台帐!J2182&amp;""</f>
      </c>
      <c r="N2182">
        <f>[1]资金台帐!N2182</f>
      </c>
      <c r="O2182">
        <f>[1]资金台帐!O2182&amp;""</f>
      </c>
      <c r="P2182">
        <f>[1]资金台帐!P2182&amp;""</f>
      </c>
      <c r="Q2182">
        <f>[1]资金台帐!Q2182&amp;""</f>
      </c>
      <c r="T2182">
        <f>[1]资金台帐!T2182&amp;""</f>
      </c>
      <c r="U2182">
        <f>[1]资金台帐!U2182&amp;""</f>
      </c>
      <c r="W2182">
        <f>[1]资金台帐!W2182&amp;""</f>
      </c>
      <c r="X2182">
        <f>[1]资金台帐!X2182&amp;""</f>
      </c>
      <c r="AB2182">
        <f>[1]资金台帐!AB2182</f>
        <v>0</v>
      </c>
      <c r="AC2182">
        <f>[1]资金台帐!AC2182</f>
        <v>0</v>
      </c>
      <c r="AD2182">
        <f>[1]资金台帐!AD2182</f>
        <v>0</v>
      </c>
      <c r="AJ2182">
        <f>[1]资金台帐!AJ2182</f>
        <v>0</v>
      </c>
      <c r="AK2182">
        <f>[1]资金台帐!AK2182</f>
        <v>0</v>
      </c>
      <c r="BA2182" s="22">
        <f t="shared" si="0"/>
      </c>
      <c r="BG2182" s="22">
        <f t="shared" si="1"/>
      </c>
      <c r="BH2182" s="22">
        <f t="shared" si="2"/>
        <v>0</v>
      </c>
    </row>
    <row r="2183">
      <c r="B2183">
        <f>[1]资金台帐!B2183&amp;""</f>
      </c>
      <c r="H2183">
        <f>[1]资金台帐!H2183&amp;""</f>
      </c>
      <c r="J2183">
        <f>[1]资金台帐!J2183&amp;""</f>
      </c>
      <c r="N2183">
        <f>[1]资金台帐!N2183</f>
      </c>
      <c r="O2183">
        <f>[1]资金台帐!O2183&amp;""</f>
      </c>
      <c r="P2183">
        <f>[1]资金台帐!P2183&amp;""</f>
      </c>
      <c r="Q2183">
        <f>[1]资金台帐!Q2183&amp;""</f>
      </c>
      <c r="T2183">
        <f>[1]资金台帐!T2183&amp;""</f>
      </c>
      <c r="U2183">
        <f>[1]资金台帐!U2183&amp;""</f>
      </c>
      <c r="W2183">
        <f>[1]资金台帐!W2183&amp;""</f>
      </c>
      <c r="X2183">
        <f>[1]资金台帐!X2183&amp;""</f>
      </c>
      <c r="AB2183">
        <f>[1]资金台帐!AB2183</f>
        <v>0</v>
      </c>
      <c r="AC2183">
        <f>[1]资金台帐!AC2183</f>
        <v>0</v>
      </c>
      <c r="AD2183">
        <f>[1]资金台帐!AD2183</f>
        <v>0</v>
      </c>
      <c r="AJ2183">
        <f>[1]资金台帐!AJ2183</f>
        <v>0</v>
      </c>
      <c r="AK2183">
        <f>[1]资金台帐!AK2183</f>
        <v>0</v>
      </c>
      <c r="BA2183" s="22">
        <f t="shared" si="0"/>
      </c>
      <c r="BG2183" s="22">
        <f t="shared" si="1"/>
      </c>
      <c r="BH2183" s="22">
        <f t="shared" si="2"/>
        <v>0</v>
      </c>
    </row>
    <row r="2184">
      <c r="B2184">
        <f>[1]资金台帐!B2184&amp;""</f>
      </c>
      <c r="H2184">
        <f>[1]资金台帐!H2184&amp;""</f>
      </c>
      <c r="J2184">
        <f>[1]资金台帐!J2184&amp;""</f>
      </c>
      <c r="N2184">
        <f>[1]资金台帐!N2184</f>
      </c>
      <c r="O2184">
        <f>[1]资金台帐!O2184&amp;""</f>
      </c>
      <c r="P2184">
        <f>[1]资金台帐!P2184&amp;""</f>
      </c>
      <c r="Q2184">
        <f>[1]资金台帐!Q2184&amp;""</f>
      </c>
      <c r="T2184">
        <f>[1]资金台帐!T2184&amp;""</f>
      </c>
      <c r="U2184">
        <f>[1]资金台帐!U2184&amp;""</f>
      </c>
      <c r="W2184">
        <f>[1]资金台帐!W2184&amp;""</f>
      </c>
      <c r="X2184">
        <f>[1]资金台帐!X2184&amp;""</f>
      </c>
      <c r="AB2184">
        <f>[1]资金台帐!AB2184</f>
        <v>0</v>
      </c>
      <c r="AC2184">
        <f>[1]资金台帐!AC2184</f>
        <v>0</v>
      </c>
      <c r="AD2184">
        <f>[1]资金台帐!AD2184</f>
        <v>0</v>
      </c>
      <c r="AJ2184">
        <f>[1]资金台帐!AJ2184</f>
        <v>0</v>
      </c>
      <c r="AK2184">
        <f>[1]资金台帐!AK2184</f>
        <v>0</v>
      </c>
      <c r="BA2184" s="22">
        <f t="shared" si="0"/>
      </c>
      <c r="BG2184" s="22">
        <f t="shared" si="1"/>
      </c>
      <c r="BH2184" s="22">
        <f t="shared" si="2"/>
        <v>0</v>
      </c>
    </row>
    <row r="2185">
      <c r="B2185">
        <f>[1]资金台帐!B2185&amp;""</f>
      </c>
      <c r="H2185">
        <f>[1]资金台帐!H2185&amp;""</f>
      </c>
      <c r="J2185">
        <f>[1]资金台帐!J2185&amp;""</f>
      </c>
      <c r="N2185">
        <f>[1]资金台帐!N2185</f>
      </c>
      <c r="O2185">
        <f>[1]资金台帐!O2185&amp;""</f>
      </c>
      <c r="P2185">
        <f>[1]资金台帐!P2185&amp;""</f>
      </c>
      <c r="Q2185">
        <f>[1]资金台帐!Q2185&amp;""</f>
      </c>
      <c r="T2185">
        <f>[1]资金台帐!T2185&amp;""</f>
      </c>
      <c r="U2185">
        <f>[1]资金台帐!U2185&amp;""</f>
      </c>
      <c r="W2185">
        <f>[1]资金台帐!W2185&amp;""</f>
      </c>
      <c r="X2185">
        <f>[1]资金台帐!X2185&amp;""</f>
      </c>
      <c r="AB2185">
        <f>[1]资金台帐!AB2185</f>
        <v>0</v>
      </c>
      <c r="AC2185">
        <f>[1]资金台帐!AC2185</f>
        <v>0</v>
      </c>
      <c r="AD2185">
        <f>[1]资金台帐!AD2185</f>
        <v>0</v>
      </c>
      <c r="AJ2185">
        <f>[1]资金台帐!AJ2185</f>
        <v>0</v>
      </c>
      <c r="AK2185">
        <f>[1]资金台帐!AK2185</f>
        <v>0</v>
      </c>
      <c r="BA2185" s="22">
        <f t="shared" si="0"/>
      </c>
      <c r="BG2185" s="22">
        <f t="shared" si="1"/>
      </c>
      <c r="BH2185" s="22">
        <f t="shared" si="2"/>
        <v>0</v>
      </c>
    </row>
    <row r="2186">
      <c r="B2186">
        <f>[1]资金台帐!B2186&amp;""</f>
      </c>
      <c r="H2186">
        <f>[1]资金台帐!H2186&amp;""</f>
      </c>
      <c r="J2186">
        <f>[1]资金台帐!J2186&amp;""</f>
      </c>
      <c r="N2186">
        <f>[1]资金台帐!N2186</f>
      </c>
      <c r="O2186">
        <f>[1]资金台帐!O2186&amp;""</f>
      </c>
      <c r="P2186">
        <f>[1]资金台帐!P2186&amp;""</f>
      </c>
      <c r="Q2186">
        <f>[1]资金台帐!Q2186&amp;""</f>
      </c>
      <c r="T2186">
        <f>[1]资金台帐!T2186&amp;""</f>
      </c>
      <c r="U2186">
        <f>[1]资金台帐!U2186&amp;""</f>
      </c>
      <c r="W2186">
        <f>[1]资金台帐!W2186&amp;""</f>
      </c>
      <c r="X2186">
        <f>[1]资金台帐!X2186&amp;""</f>
      </c>
      <c r="AB2186">
        <f>[1]资金台帐!AB2186</f>
        <v>0</v>
      </c>
      <c r="AC2186">
        <f>[1]资金台帐!AC2186</f>
        <v>0</v>
      </c>
      <c r="AD2186">
        <f>[1]资金台帐!AD2186</f>
        <v>0</v>
      </c>
      <c r="AJ2186">
        <f>[1]资金台帐!AJ2186</f>
        <v>0</v>
      </c>
      <c r="AK2186">
        <f>[1]资金台帐!AK2186</f>
        <v>0</v>
      </c>
      <c r="BA2186" s="22">
        <f t="shared" si="0"/>
      </c>
      <c r="BG2186" s="22">
        <f t="shared" si="1"/>
      </c>
      <c r="BH2186" s="22">
        <f t="shared" si="2"/>
        <v>0</v>
      </c>
    </row>
    <row r="2187">
      <c r="B2187">
        <f>[1]资金台帐!B2187&amp;""</f>
      </c>
      <c r="H2187">
        <f>[1]资金台帐!H2187&amp;""</f>
      </c>
      <c r="J2187">
        <f>[1]资金台帐!J2187&amp;""</f>
      </c>
      <c r="N2187">
        <f>[1]资金台帐!N2187</f>
      </c>
      <c r="O2187">
        <f>[1]资金台帐!O2187&amp;""</f>
      </c>
      <c r="P2187">
        <f>[1]资金台帐!P2187&amp;""</f>
      </c>
      <c r="Q2187">
        <f>[1]资金台帐!Q2187&amp;""</f>
      </c>
      <c r="T2187">
        <f>[1]资金台帐!T2187&amp;""</f>
      </c>
      <c r="U2187">
        <f>[1]资金台帐!U2187&amp;""</f>
      </c>
      <c r="W2187">
        <f>[1]资金台帐!W2187&amp;""</f>
      </c>
      <c r="X2187">
        <f>[1]资金台帐!X2187&amp;""</f>
      </c>
      <c r="AB2187">
        <f>[1]资金台帐!AB2187</f>
        <v>0</v>
      </c>
      <c r="AC2187">
        <f>[1]资金台帐!AC2187</f>
        <v>0</v>
      </c>
      <c r="AD2187">
        <f>[1]资金台帐!AD2187</f>
        <v>0</v>
      </c>
      <c r="AJ2187">
        <f>[1]资金台帐!AJ2187</f>
        <v>0</v>
      </c>
      <c r="AK2187">
        <f>[1]资金台帐!AK2187</f>
        <v>0</v>
      </c>
      <c r="BA2187" s="22">
        <f t="shared" si="0"/>
      </c>
      <c r="BG2187" s="22">
        <f t="shared" si="1"/>
      </c>
      <c r="BH2187" s="22">
        <f t="shared" si="2"/>
        <v>0</v>
      </c>
    </row>
    <row r="2188">
      <c r="B2188">
        <f>[1]资金台帐!B2188&amp;""</f>
      </c>
      <c r="H2188">
        <f>[1]资金台帐!H2188&amp;""</f>
      </c>
      <c r="J2188">
        <f>[1]资金台帐!J2188&amp;""</f>
      </c>
      <c r="N2188">
        <f>[1]资金台帐!N2188</f>
      </c>
      <c r="O2188">
        <f>[1]资金台帐!O2188&amp;""</f>
      </c>
      <c r="P2188">
        <f>[1]资金台帐!P2188&amp;""</f>
      </c>
      <c r="Q2188">
        <f>[1]资金台帐!Q2188&amp;""</f>
      </c>
      <c r="T2188">
        <f>[1]资金台帐!T2188&amp;""</f>
      </c>
      <c r="U2188">
        <f>[1]资金台帐!U2188&amp;""</f>
      </c>
      <c r="W2188">
        <f>[1]资金台帐!W2188&amp;""</f>
      </c>
      <c r="X2188">
        <f>[1]资金台帐!X2188&amp;""</f>
      </c>
      <c r="AB2188">
        <f>[1]资金台帐!AB2188</f>
        <v>0</v>
      </c>
      <c r="AC2188">
        <f>[1]资金台帐!AC2188</f>
        <v>0</v>
      </c>
      <c r="AD2188">
        <f>[1]资金台帐!AD2188</f>
        <v>0</v>
      </c>
      <c r="AJ2188">
        <f>[1]资金台帐!AJ2188</f>
        <v>0</v>
      </c>
      <c r="AK2188">
        <f>[1]资金台帐!AK2188</f>
        <v>0</v>
      </c>
      <c r="BA2188" s="22">
        <f t="shared" si="0"/>
      </c>
      <c r="BG2188" s="22">
        <f t="shared" si="1"/>
      </c>
      <c r="BH2188" s="22">
        <f t="shared" si="2"/>
        <v>0</v>
      </c>
    </row>
    <row r="2189">
      <c r="B2189">
        <f>[1]资金台帐!B2189&amp;""</f>
      </c>
      <c r="H2189">
        <f>[1]资金台帐!H2189&amp;""</f>
      </c>
      <c r="J2189">
        <f>[1]资金台帐!J2189&amp;""</f>
      </c>
      <c r="N2189">
        <f>[1]资金台帐!N2189</f>
      </c>
      <c r="O2189">
        <f>[1]资金台帐!O2189&amp;""</f>
      </c>
      <c r="P2189">
        <f>[1]资金台帐!P2189&amp;""</f>
      </c>
      <c r="Q2189">
        <f>[1]资金台帐!Q2189&amp;""</f>
      </c>
      <c r="T2189">
        <f>[1]资金台帐!T2189&amp;""</f>
      </c>
      <c r="U2189">
        <f>[1]资金台帐!U2189&amp;""</f>
      </c>
      <c r="W2189">
        <f>[1]资金台帐!W2189&amp;""</f>
      </c>
      <c r="X2189">
        <f>[1]资金台帐!X2189&amp;""</f>
      </c>
      <c r="AB2189">
        <f>[1]资金台帐!AB2189</f>
        <v>0</v>
      </c>
      <c r="AC2189">
        <f>[1]资金台帐!AC2189</f>
        <v>0</v>
      </c>
      <c r="AD2189">
        <f>[1]资金台帐!AD2189</f>
        <v>0</v>
      </c>
      <c r="AJ2189">
        <f>[1]资金台帐!AJ2189</f>
        <v>0</v>
      </c>
      <c r="AK2189">
        <f>[1]资金台帐!AK2189</f>
        <v>0</v>
      </c>
      <c r="BA2189" s="22">
        <f t="shared" si="0"/>
      </c>
      <c r="BG2189" s="22">
        <f t="shared" si="1"/>
      </c>
      <c r="BH2189" s="22">
        <f t="shared" si="2"/>
        <v>0</v>
      </c>
    </row>
    <row r="2190">
      <c r="B2190">
        <f>[1]资金台帐!B2190&amp;""</f>
      </c>
      <c r="H2190">
        <f>[1]资金台帐!H2190&amp;""</f>
      </c>
      <c r="J2190">
        <f>[1]资金台帐!J2190&amp;""</f>
      </c>
      <c r="N2190">
        <f>[1]资金台帐!N2190</f>
      </c>
      <c r="O2190">
        <f>[1]资金台帐!O2190&amp;""</f>
      </c>
      <c r="P2190">
        <f>[1]资金台帐!P2190&amp;""</f>
      </c>
      <c r="Q2190">
        <f>[1]资金台帐!Q2190&amp;""</f>
      </c>
      <c r="T2190">
        <f>[1]资金台帐!T2190&amp;""</f>
      </c>
      <c r="U2190">
        <f>[1]资金台帐!U2190&amp;""</f>
      </c>
      <c r="W2190">
        <f>[1]资金台帐!W2190&amp;""</f>
      </c>
      <c r="X2190">
        <f>[1]资金台帐!X2190&amp;""</f>
      </c>
      <c r="AB2190">
        <f>[1]资金台帐!AB2190</f>
        <v>0</v>
      </c>
      <c r="AC2190">
        <f>[1]资金台帐!AC2190</f>
        <v>0</v>
      </c>
      <c r="AD2190">
        <f>[1]资金台帐!AD2190</f>
        <v>0</v>
      </c>
      <c r="AJ2190">
        <f>[1]资金台帐!AJ2190</f>
        <v>0</v>
      </c>
      <c r="AK2190">
        <f>[1]资金台帐!AK2190</f>
        <v>0</v>
      </c>
      <c r="BA2190" s="22">
        <f t="shared" si="0"/>
      </c>
      <c r="BG2190" s="22">
        <f t="shared" si="1"/>
      </c>
      <c r="BH2190" s="22">
        <f t="shared" si="2"/>
        <v>0</v>
      </c>
    </row>
    <row r="2191">
      <c r="B2191">
        <f>[1]资金台帐!B2191&amp;""</f>
      </c>
      <c r="H2191">
        <f>[1]资金台帐!H2191&amp;""</f>
      </c>
      <c r="J2191">
        <f>[1]资金台帐!J2191&amp;""</f>
      </c>
      <c r="N2191">
        <f>[1]资金台帐!N2191</f>
      </c>
      <c r="O2191">
        <f>[1]资金台帐!O2191&amp;""</f>
      </c>
      <c r="P2191">
        <f>[1]资金台帐!P2191&amp;""</f>
      </c>
      <c r="Q2191">
        <f>[1]资金台帐!Q2191&amp;""</f>
      </c>
      <c r="T2191">
        <f>[1]资金台帐!T2191&amp;""</f>
      </c>
      <c r="U2191">
        <f>[1]资金台帐!U2191&amp;""</f>
      </c>
      <c r="W2191">
        <f>[1]资金台帐!W2191&amp;""</f>
      </c>
      <c r="X2191">
        <f>[1]资金台帐!X2191&amp;""</f>
      </c>
      <c r="AB2191">
        <f>[1]资金台帐!AB2191</f>
        <v>0</v>
      </c>
      <c r="AC2191">
        <f>[1]资金台帐!AC2191</f>
        <v>0</v>
      </c>
      <c r="AD2191">
        <f>[1]资金台帐!AD2191</f>
        <v>0</v>
      </c>
      <c r="AJ2191">
        <f>[1]资金台帐!AJ2191</f>
        <v>0</v>
      </c>
      <c r="AK2191">
        <f>[1]资金台帐!AK2191</f>
        <v>0</v>
      </c>
      <c r="BA2191" s="22">
        <f t="shared" si="0"/>
      </c>
      <c r="BG2191" s="22">
        <f t="shared" si="1"/>
      </c>
      <c r="BH2191" s="22">
        <f t="shared" si="2"/>
        <v>0</v>
      </c>
    </row>
    <row r="2192">
      <c r="B2192">
        <f>[1]资金台帐!B2192&amp;""</f>
      </c>
      <c r="H2192">
        <f>[1]资金台帐!H2192&amp;""</f>
      </c>
      <c r="J2192">
        <f>[1]资金台帐!J2192&amp;""</f>
      </c>
      <c r="N2192">
        <f>[1]资金台帐!N2192</f>
      </c>
      <c r="O2192">
        <f>[1]资金台帐!O2192&amp;""</f>
      </c>
      <c r="P2192">
        <f>[1]资金台帐!P2192&amp;""</f>
      </c>
      <c r="Q2192">
        <f>[1]资金台帐!Q2192&amp;""</f>
      </c>
      <c r="T2192">
        <f>[1]资金台帐!T2192&amp;""</f>
      </c>
      <c r="U2192">
        <f>[1]资金台帐!U2192&amp;""</f>
      </c>
      <c r="W2192">
        <f>[1]资金台帐!W2192&amp;""</f>
      </c>
      <c r="X2192">
        <f>[1]资金台帐!X2192&amp;""</f>
      </c>
      <c r="AB2192">
        <f>[1]资金台帐!AB2192</f>
        <v>0</v>
      </c>
      <c r="AC2192">
        <f>[1]资金台帐!AC2192</f>
        <v>0</v>
      </c>
      <c r="AD2192">
        <f>[1]资金台帐!AD2192</f>
        <v>0</v>
      </c>
      <c r="AJ2192">
        <f>[1]资金台帐!AJ2192</f>
        <v>0</v>
      </c>
      <c r="AK2192">
        <f>[1]资金台帐!AK2192</f>
        <v>0</v>
      </c>
      <c r="BA2192" s="22">
        <f t="shared" si="0"/>
      </c>
      <c r="BG2192" s="22">
        <f t="shared" si="1"/>
      </c>
      <c r="BH2192" s="22">
        <f t="shared" si="2"/>
        <v>0</v>
      </c>
    </row>
    <row r="2193">
      <c r="B2193">
        <f>[1]资金台帐!B2193&amp;""</f>
      </c>
      <c r="H2193">
        <f>[1]资金台帐!H2193&amp;""</f>
      </c>
      <c r="J2193">
        <f>[1]资金台帐!J2193&amp;""</f>
      </c>
      <c r="N2193">
        <f>[1]资金台帐!N2193</f>
      </c>
      <c r="O2193">
        <f>[1]资金台帐!O2193&amp;""</f>
      </c>
      <c r="P2193">
        <f>[1]资金台帐!P2193&amp;""</f>
      </c>
      <c r="Q2193">
        <f>[1]资金台帐!Q2193&amp;""</f>
      </c>
      <c r="T2193">
        <f>[1]资金台帐!T2193&amp;""</f>
      </c>
      <c r="U2193">
        <f>[1]资金台帐!U2193&amp;""</f>
      </c>
      <c r="W2193">
        <f>[1]资金台帐!W2193&amp;""</f>
      </c>
      <c r="X2193">
        <f>[1]资金台帐!X2193&amp;""</f>
      </c>
      <c r="AB2193">
        <f>[1]资金台帐!AB2193</f>
        <v>0</v>
      </c>
      <c r="AC2193">
        <f>[1]资金台帐!AC2193</f>
        <v>0</v>
      </c>
      <c r="AD2193">
        <f>[1]资金台帐!AD2193</f>
        <v>0</v>
      </c>
      <c r="AJ2193">
        <f>[1]资金台帐!AJ2193</f>
        <v>0</v>
      </c>
      <c r="AK2193">
        <f>[1]资金台帐!AK2193</f>
        <v>0</v>
      </c>
      <c r="BA2193" s="22">
        <f t="shared" si="0"/>
      </c>
      <c r="BG2193" s="22">
        <f t="shared" si="1"/>
      </c>
      <c r="BH2193" s="22">
        <f t="shared" si="2"/>
        <v>0</v>
      </c>
    </row>
    <row r="2194">
      <c r="B2194">
        <f>[1]资金台帐!B2194&amp;""</f>
      </c>
      <c r="H2194">
        <f>[1]资金台帐!H2194&amp;""</f>
      </c>
      <c r="J2194">
        <f>[1]资金台帐!J2194&amp;""</f>
      </c>
      <c r="N2194">
        <f>[1]资金台帐!N2194</f>
      </c>
      <c r="O2194">
        <f>[1]资金台帐!O2194&amp;""</f>
      </c>
      <c r="P2194">
        <f>[1]资金台帐!P2194&amp;""</f>
      </c>
      <c r="Q2194">
        <f>[1]资金台帐!Q2194&amp;""</f>
      </c>
      <c r="T2194">
        <f>[1]资金台帐!T2194&amp;""</f>
      </c>
      <c r="U2194">
        <f>[1]资金台帐!U2194&amp;""</f>
      </c>
      <c r="W2194">
        <f>[1]资金台帐!W2194&amp;""</f>
      </c>
      <c r="X2194">
        <f>[1]资金台帐!X2194&amp;""</f>
      </c>
      <c r="AB2194">
        <f>[1]资金台帐!AB2194</f>
        <v>0</v>
      </c>
      <c r="AC2194">
        <f>[1]资金台帐!AC2194</f>
        <v>0</v>
      </c>
      <c r="AD2194">
        <f>[1]资金台帐!AD2194</f>
        <v>0</v>
      </c>
      <c r="AJ2194">
        <f>[1]资金台帐!AJ2194</f>
        <v>0</v>
      </c>
      <c r="AK2194">
        <f>[1]资金台帐!AK2194</f>
        <v>0</v>
      </c>
      <c r="BA2194" s="22">
        <f t="shared" si="0"/>
      </c>
      <c r="BG2194" s="22">
        <f t="shared" si="1"/>
      </c>
      <c r="BH2194" s="22">
        <f t="shared" si="2"/>
        <v>0</v>
      </c>
    </row>
    <row r="2195">
      <c r="B2195">
        <f>[1]资金台帐!B2195&amp;""</f>
      </c>
      <c r="H2195">
        <f>[1]资金台帐!H2195&amp;""</f>
      </c>
      <c r="J2195">
        <f>[1]资金台帐!J2195&amp;""</f>
      </c>
      <c r="N2195">
        <f>[1]资金台帐!N2195</f>
      </c>
      <c r="O2195">
        <f>[1]资金台帐!O2195&amp;""</f>
      </c>
      <c r="P2195">
        <f>[1]资金台帐!P2195&amp;""</f>
      </c>
      <c r="Q2195">
        <f>[1]资金台帐!Q2195&amp;""</f>
      </c>
      <c r="T2195">
        <f>[1]资金台帐!T2195&amp;""</f>
      </c>
      <c r="U2195">
        <f>[1]资金台帐!U2195&amp;""</f>
      </c>
      <c r="W2195">
        <f>[1]资金台帐!W2195&amp;""</f>
      </c>
      <c r="X2195">
        <f>[1]资金台帐!X2195&amp;""</f>
      </c>
      <c r="AB2195">
        <f>[1]资金台帐!AB2195</f>
        <v>0</v>
      </c>
      <c r="AC2195">
        <f>[1]资金台帐!AC2195</f>
        <v>0</v>
      </c>
      <c r="AD2195">
        <f>[1]资金台帐!AD2195</f>
        <v>0</v>
      </c>
      <c r="AJ2195">
        <f>[1]资金台帐!AJ2195</f>
        <v>0</v>
      </c>
      <c r="AK2195">
        <f>[1]资金台帐!AK2195</f>
        <v>0</v>
      </c>
      <c r="BA2195" s="22">
        <f t="shared" si="0"/>
      </c>
      <c r="BG2195" s="22">
        <f t="shared" si="1"/>
      </c>
      <c r="BH2195" s="22">
        <f t="shared" si="2"/>
        <v>0</v>
      </c>
    </row>
    <row r="2196">
      <c r="B2196">
        <f>[1]资金台帐!B2196&amp;""</f>
      </c>
      <c r="H2196">
        <f>[1]资金台帐!H2196&amp;""</f>
      </c>
      <c r="J2196">
        <f>[1]资金台帐!J2196&amp;""</f>
      </c>
      <c r="N2196">
        <f>[1]资金台帐!N2196</f>
      </c>
      <c r="O2196">
        <f>[1]资金台帐!O2196&amp;""</f>
      </c>
      <c r="P2196">
        <f>[1]资金台帐!P2196&amp;""</f>
      </c>
      <c r="Q2196">
        <f>[1]资金台帐!Q2196&amp;""</f>
      </c>
      <c r="T2196">
        <f>[1]资金台帐!T2196&amp;""</f>
      </c>
      <c r="U2196">
        <f>[1]资金台帐!U2196&amp;""</f>
      </c>
      <c r="W2196">
        <f>[1]资金台帐!W2196&amp;""</f>
      </c>
      <c r="X2196">
        <f>[1]资金台帐!X2196&amp;""</f>
      </c>
      <c r="AB2196">
        <f>[1]资金台帐!AB2196</f>
        <v>0</v>
      </c>
      <c r="AC2196">
        <f>[1]资金台帐!AC2196</f>
        <v>0</v>
      </c>
      <c r="AD2196">
        <f>[1]资金台帐!AD2196</f>
        <v>0</v>
      </c>
      <c r="AJ2196">
        <f>[1]资金台帐!AJ2196</f>
        <v>0</v>
      </c>
      <c r="AK2196">
        <f>[1]资金台帐!AK2196</f>
        <v>0</v>
      </c>
      <c r="BA2196" s="22">
        <f t="shared" si="0"/>
      </c>
      <c r="BG2196" s="22">
        <f t="shared" si="1"/>
      </c>
      <c r="BH2196" s="22">
        <f t="shared" si="2"/>
        <v>0</v>
      </c>
    </row>
    <row r="2197">
      <c r="B2197">
        <f>[1]资金台帐!B2197&amp;""</f>
      </c>
      <c r="H2197">
        <f>[1]资金台帐!H2197&amp;""</f>
      </c>
      <c r="J2197">
        <f>[1]资金台帐!J2197&amp;""</f>
      </c>
      <c r="N2197">
        <f>[1]资金台帐!N2197</f>
      </c>
      <c r="O2197">
        <f>[1]资金台帐!O2197&amp;""</f>
      </c>
      <c r="P2197">
        <f>[1]资金台帐!P2197&amp;""</f>
      </c>
      <c r="Q2197">
        <f>[1]资金台帐!Q2197&amp;""</f>
      </c>
      <c r="T2197">
        <f>[1]资金台帐!T2197&amp;""</f>
      </c>
      <c r="U2197">
        <f>[1]资金台帐!U2197&amp;""</f>
      </c>
      <c r="W2197">
        <f>[1]资金台帐!W2197&amp;""</f>
      </c>
      <c r="X2197">
        <f>[1]资金台帐!X2197&amp;""</f>
      </c>
      <c r="AB2197">
        <f>[1]资金台帐!AB2197</f>
        <v>0</v>
      </c>
      <c r="AC2197">
        <f>[1]资金台帐!AC2197</f>
        <v>0</v>
      </c>
      <c r="AD2197">
        <f>[1]资金台帐!AD2197</f>
        <v>0</v>
      </c>
      <c r="AJ2197">
        <f>[1]资金台帐!AJ2197</f>
        <v>0</v>
      </c>
      <c r="AK2197">
        <f>[1]资金台帐!AK2197</f>
        <v>0</v>
      </c>
      <c r="BA2197" s="22">
        <f t="shared" si="0"/>
      </c>
      <c r="BG2197" s="22">
        <f t="shared" si="1"/>
      </c>
      <c r="BH2197" s="22">
        <f t="shared" si="2"/>
        <v>0</v>
      </c>
    </row>
    <row r="2198">
      <c r="B2198">
        <f>[1]资金台帐!B2198&amp;""</f>
      </c>
      <c r="H2198">
        <f>[1]资金台帐!H2198&amp;""</f>
      </c>
      <c r="J2198">
        <f>[1]资金台帐!J2198&amp;""</f>
      </c>
      <c r="N2198">
        <f>[1]资金台帐!N2198</f>
      </c>
      <c r="O2198">
        <f>[1]资金台帐!O2198&amp;""</f>
      </c>
      <c r="P2198">
        <f>[1]资金台帐!P2198&amp;""</f>
      </c>
      <c r="Q2198">
        <f>[1]资金台帐!Q2198&amp;""</f>
      </c>
      <c r="T2198">
        <f>[1]资金台帐!T2198&amp;""</f>
      </c>
      <c r="U2198">
        <f>[1]资金台帐!U2198&amp;""</f>
      </c>
      <c r="W2198">
        <f>[1]资金台帐!W2198&amp;""</f>
      </c>
      <c r="X2198">
        <f>[1]资金台帐!X2198&amp;""</f>
      </c>
      <c r="AB2198">
        <f>[1]资金台帐!AB2198</f>
        <v>0</v>
      </c>
      <c r="AC2198">
        <f>[1]资金台帐!AC2198</f>
        <v>0</v>
      </c>
      <c r="AD2198">
        <f>[1]资金台帐!AD2198</f>
        <v>0</v>
      </c>
      <c r="AJ2198">
        <f>[1]资金台帐!AJ2198</f>
        <v>0</v>
      </c>
      <c r="AK2198">
        <f>[1]资金台帐!AK2198</f>
        <v>0</v>
      </c>
      <c r="BA2198" s="22">
        <f t="shared" si="0"/>
      </c>
      <c r="BG2198" s="22">
        <f t="shared" si="1"/>
      </c>
      <c r="BH2198" s="22">
        <f t="shared" si="2"/>
        <v>0</v>
      </c>
    </row>
    <row r="2199">
      <c r="B2199">
        <f>[1]资金台帐!B2199&amp;""</f>
      </c>
      <c r="H2199">
        <f>[1]资金台帐!H2199&amp;""</f>
      </c>
      <c r="J2199">
        <f>[1]资金台帐!J2199&amp;""</f>
      </c>
      <c r="N2199">
        <f>[1]资金台帐!N2199</f>
      </c>
      <c r="O2199">
        <f>[1]资金台帐!O2199&amp;""</f>
      </c>
      <c r="P2199">
        <f>[1]资金台帐!P2199&amp;""</f>
      </c>
      <c r="Q2199">
        <f>[1]资金台帐!Q2199&amp;""</f>
      </c>
      <c r="T2199">
        <f>[1]资金台帐!T2199&amp;""</f>
      </c>
      <c r="U2199">
        <f>[1]资金台帐!U2199&amp;""</f>
      </c>
      <c r="W2199">
        <f>[1]资金台帐!W2199&amp;""</f>
      </c>
      <c r="X2199">
        <f>[1]资金台帐!X2199&amp;""</f>
      </c>
      <c r="AB2199">
        <f>[1]资金台帐!AB2199</f>
        <v>0</v>
      </c>
      <c r="AC2199">
        <f>[1]资金台帐!AC2199</f>
        <v>0</v>
      </c>
      <c r="AD2199">
        <f>[1]资金台帐!AD2199</f>
        <v>0</v>
      </c>
      <c r="AJ2199">
        <f>[1]资金台帐!AJ2199</f>
        <v>0</v>
      </c>
      <c r="AK2199">
        <f>[1]资金台帐!AK2199</f>
        <v>0</v>
      </c>
      <c r="BA2199" s="22">
        <f t="shared" si="0"/>
      </c>
      <c r="BG2199" s="22">
        <f t="shared" si="1"/>
      </c>
      <c r="BH2199" s="22">
        <f t="shared" si="2"/>
        <v>0</v>
      </c>
    </row>
    <row r="2200">
      <c r="B2200">
        <f>[1]资金台帐!B2200&amp;""</f>
      </c>
      <c r="H2200">
        <f>[1]资金台帐!H2200&amp;""</f>
      </c>
      <c r="J2200">
        <f>[1]资金台帐!J2200&amp;""</f>
      </c>
      <c r="N2200">
        <f>[1]资金台帐!N2200</f>
      </c>
      <c r="O2200">
        <f>[1]资金台帐!O2200&amp;""</f>
      </c>
      <c r="P2200">
        <f>[1]资金台帐!P2200&amp;""</f>
      </c>
      <c r="Q2200">
        <f>[1]资金台帐!Q2200&amp;""</f>
      </c>
      <c r="T2200">
        <f>[1]资金台帐!T2200&amp;""</f>
      </c>
      <c r="U2200">
        <f>[1]资金台帐!U2200&amp;""</f>
      </c>
      <c r="W2200">
        <f>[1]资金台帐!W2200&amp;""</f>
      </c>
      <c r="X2200">
        <f>[1]资金台帐!X2200&amp;""</f>
      </c>
      <c r="AB2200">
        <f>[1]资金台帐!AB2200</f>
        <v>0</v>
      </c>
      <c r="AC2200">
        <f>[1]资金台帐!AC2200</f>
        <v>0</v>
      </c>
      <c r="AD2200">
        <f>[1]资金台帐!AD2200</f>
        <v>0</v>
      </c>
      <c r="AJ2200">
        <f>[1]资金台帐!AJ2200</f>
        <v>0</v>
      </c>
      <c r="AK2200">
        <f>[1]资金台帐!AK2200</f>
        <v>0</v>
      </c>
      <c r="BA2200" s="22">
        <f t="shared" si="0"/>
      </c>
      <c r="BG2200" s="22">
        <f t="shared" si="1"/>
      </c>
      <c r="BH2200" s="22">
        <f t="shared" si="2"/>
        <v>0</v>
      </c>
    </row>
    <row r="2201">
      <c r="B2201">
        <f>[1]资金台帐!B2201&amp;""</f>
      </c>
      <c r="H2201">
        <f>[1]资金台帐!H2201&amp;""</f>
      </c>
      <c r="J2201">
        <f>[1]资金台帐!J2201&amp;""</f>
      </c>
      <c r="N2201">
        <f>[1]资金台帐!N2201</f>
      </c>
      <c r="O2201">
        <f>[1]资金台帐!O2201&amp;""</f>
      </c>
      <c r="P2201">
        <f>[1]资金台帐!P2201&amp;""</f>
      </c>
      <c r="Q2201">
        <f>[1]资金台帐!Q2201&amp;""</f>
      </c>
      <c r="T2201">
        <f>[1]资金台帐!T2201&amp;""</f>
      </c>
      <c r="U2201">
        <f>[1]资金台帐!U2201&amp;""</f>
      </c>
      <c r="W2201">
        <f>[1]资金台帐!W2201&amp;""</f>
      </c>
      <c r="X2201">
        <f>[1]资金台帐!X2201&amp;""</f>
      </c>
      <c r="AB2201">
        <f>[1]资金台帐!AB2201</f>
        <v>0</v>
      </c>
      <c r="AC2201">
        <f>[1]资金台帐!AC2201</f>
        <v>0</v>
      </c>
      <c r="AD2201">
        <f>[1]资金台帐!AD2201</f>
        <v>0</v>
      </c>
      <c r="AJ2201">
        <f>[1]资金台帐!AJ2201</f>
        <v>0</v>
      </c>
      <c r="AK2201">
        <f>[1]资金台帐!AK2201</f>
        <v>0</v>
      </c>
      <c r="BA2201" s="22">
        <f t="shared" si="0"/>
      </c>
      <c r="BG2201" s="22">
        <f t="shared" si="1"/>
      </c>
      <c r="BH2201" s="22">
        <f t="shared" si="2"/>
        <v>0</v>
      </c>
    </row>
    <row r="2202">
      <c r="B2202">
        <f>[1]资金台帐!B2202&amp;""</f>
      </c>
      <c r="H2202">
        <f>[1]资金台帐!H2202&amp;""</f>
      </c>
      <c r="J2202">
        <f>[1]资金台帐!J2202&amp;""</f>
      </c>
      <c r="N2202">
        <f>[1]资金台帐!N2202</f>
      </c>
      <c r="O2202">
        <f>[1]资金台帐!O2202&amp;""</f>
      </c>
      <c r="P2202">
        <f>[1]资金台帐!P2202&amp;""</f>
      </c>
      <c r="Q2202">
        <f>[1]资金台帐!Q2202&amp;""</f>
      </c>
      <c r="T2202">
        <f>[1]资金台帐!T2202&amp;""</f>
      </c>
      <c r="U2202">
        <f>[1]资金台帐!U2202&amp;""</f>
      </c>
      <c r="W2202">
        <f>[1]资金台帐!W2202&amp;""</f>
      </c>
      <c r="X2202">
        <f>[1]资金台帐!X2202&amp;""</f>
      </c>
      <c r="AB2202">
        <f>[1]资金台帐!AB2202</f>
        <v>0</v>
      </c>
      <c r="AC2202">
        <f>[1]资金台帐!AC2202</f>
        <v>0</v>
      </c>
      <c r="AD2202">
        <f>[1]资金台帐!AD2202</f>
        <v>0</v>
      </c>
      <c r="AJ2202">
        <f>[1]资金台帐!AJ2202</f>
        <v>0</v>
      </c>
      <c r="AK2202">
        <f>[1]资金台帐!AK2202</f>
        <v>0</v>
      </c>
      <c r="BA2202" s="22">
        <f t="shared" si="0"/>
      </c>
      <c r="BG2202" s="22">
        <f t="shared" si="1"/>
      </c>
      <c r="BH2202" s="22">
        <f t="shared" si="2"/>
        <v>0</v>
      </c>
    </row>
    <row r="2203">
      <c r="B2203">
        <f>[1]资金台帐!B2203&amp;""</f>
      </c>
      <c r="H2203">
        <f>[1]资金台帐!H2203&amp;""</f>
      </c>
      <c r="J2203">
        <f>[1]资金台帐!J2203&amp;""</f>
      </c>
      <c r="N2203">
        <f>[1]资金台帐!N2203</f>
      </c>
      <c r="O2203">
        <f>[1]资金台帐!O2203&amp;""</f>
      </c>
      <c r="P2203">
        <f>[1]资金台帐!P2203&amp;""</f>
      </c>
      <c r="Q2203">
        <f>[1]资金台帐!Q2203&amp;""</f>
      </c>
      <c r="T2203">
        <f>[1]资金台帐!T2203&amp;""</f>
      </c>
      <c r="U2203">
        <f>[1]资金台帐!U2203&amp;""</f>
      </c>
      <c r="W2203">
        <f>[1]资金台帐!W2203&amp;""</f>
      </c>
      <c r="X2203">
        <f>[1]资金台帐!X2203&amp;""</f>
      </c>
      <c r="AB2203">
        <f>[1]资金台帐!AB2203</f>
        <v>0</v>
      </c>
      <c r="AC2203">
        <f>[1]资金台帐!AC2203</f>
        <v>0</v>
      </c>
      <c r="AD2203">
        <f>[1]资金台帐!AD2203</f>
        <v>0</v>
      </c>
      <c r="AJ2203">
        <f>[1]资金台帐!AJ2203</f>
        <v>0</v>
      </c>
      <c r="AK2203">
        <f>[1]资金台帐!AK2203</f>
        <v>0</v>
      </c>
      <c r="BA2203" s="22">
        <f t="shared" si="0"/>
      </c>
      <c r="BG2203" s="22">
        <f t="shared" si="1"/>
      </c>
      <c r="BH2203" s="22">
        <f t="shared" si="2"/>
        <v>0</v>
      </c>
    </row>
    <row r="2204">
      <c r="B2204">
        <f>[1]资金台帐!B2204&amp;""</f>
      </c>
      <c r="H2204">
        <f>[1]资金台帐!H2204&amp;""</f>
      </c>
      <c r="J2204">
        <f>[1]资金台帐!J2204&amp;""</f>
      </c>
      <c r="N2204">
        <f>[1]资金台帐!N2204</f>
      </c>
      <c r="O2204">
        <f>[1]资金台帐!O2204&amp;""</f>
      </c>
      <c r="P2204">
        <f>[1]资金台帐!P2204&amp;""</f>
      </c>
      <c r="Q2204">
        <f>[1]资金台帐!Q2204&amp;""</f>
      </c>
      <c r="T2204">
        <f>[1]资金台帐!T2204&amp;""</f>
      </c>
      <c r="U2204">
        <f>[1]资金台帐!U2204&amp;""</f>
      </c>
      <c r="W2204">
        <f>[1]资金台帐!W2204&amp;""</f>
      </c>
      <c r="X2204">
        <f>[1]资金台帐!X2204&amp;""</f>
      </c>
      <c r="AB2204">
        <f>[1]资金台帐!AB2204</f>
        <v>0</v>
      </c>
      <c r="AC2204">
        <f>[1]资金台帐!AC2204</f>
        <v>0</v>
      </c>
      <c r="AD2204">
        <f>[1]资金台帐!AD2204</f>
        <v>0</v>
      </c>
      <c r="AJ2204">
        <f>[1]资金台帐!AJ2204</f>
        <v>0</v>
      </c>
      <c r="AK2204">
        <f>[1]资金台帐!AK2204</f>
        <v>0</v>
      </c>
      <c r="BA2204" s="22">
        <f t="shared" si="0"/>
      </c>
      <c r="BG2204" s="22">
        <f t="shared" si="1"/>
      </c>
      <c r="BH2204" s="22">
        <f t="shared" si="2"/>
        <v>0</v>
      </c>
    </row>
    <row r="2205">
      <c r="B2205">
        <f>[1]资金台帐!B2205&amp;""</f>
      </c>
      <c r="H2205">
        <f>[1]资金台帐!H2205&amp;""</f>
      </c>
      <c r="J2205">
        <f>[1]资金台帐!J2205&amp;""</f>
      </c>
      <c r="N2205">
        <f>[1]资金台帐!N2205</f>
      </c>
      <c r="O2205">
        <f>[1]资金台帐!O2205&amp;""</f>
      </c>
      <c r="P2205">
        <f>[1]资金台帐!P2205&amp;""</f>
      </c>
      <c r="Q2205">
        <f>[1]资金台帐!Q2205&amp;""</f>
      </c>
      <c r="T2205">
        <f>[1]资金台帐!T2205&amp;""</f>
      </c>
      <c r="U2205">
        <f>[1]资金台帐!U2205&amp;""</f>
      </c>
      <c r="W2205">
        <f>[1]资金台帐!W2205&amp;""</f>
      </c>
      <c r="X2205">
        <f>[1]资金台帐!X2205&amp;""</f>
      </c>
      <c r="AB2205">
        <f>[1]资金台帐!AB2205</f>
        <v>0</v>
      </c>
      <c r="AC2205">
        <f>[1]资金台帐!AC2205</f>
        <v>0</v>
      </c>
      <c r="AD2205">
        <f>[1]资金台帐!AD2205</f>
        <v>0</v>
      </c>
      <c r="AJ2205">
        <f>[1]资金台帐!AJ2205</f>
        <v>0</v>
      </c>
      <c r="AK2205">
        <f>[1]资金台帐!AK2205</f>
        <v>0</v>
      </c>
      <c r="BA2205" s="22">
        <f t="shared" si="0"/>
      </c>
      <c r="BG2205" s="22">
        <f t="shared" si="1"/>
      </c>
      <c r="BH2205" s="22">
        <f t="shared" si="2"/>
        <v>0</v>
      </c>
    </row>
    <row r="2206">
      <c r="B2206">
        <f>[1]资金台帐!B2206&amp;""</f>
      </c>
      <c r="H2206">
        <f>[1]资金台帐!H2206&amp;""</f>
      </c>
      <c r="J2206">
        <f>[1]资金台帐!J2206&amp;""</f>
      </c>
      <c r="N2206">
        <f>[1]资金台帐!N2206</f>
      </c>
      <c r="O2206">
        <f>[1]资金台帐!O2206&amp;""</f>
      </c>
      <c r="P2206">
        <f>[1]资金台帐!P2206&amp;""</f>
      </c>
      <c r="Q2206">
        <f>[1]资金台帐!Q2206&amp;""</f>
      </c>
      <c r="T2206">
        <f>[1]资金台帐!T2206&amp;""</f>
      </c>
      <c r="U2206">
        <f>[1]资金台帐!U2206&amp;""</f>
      </c>
      <c r="W2206">
        <f>[1]资金台帐!W2206&amp;""</f>
      </c>
      <c r="X2206">
        <f>[1]资金台帐!X2206&amp;""</f>
      </c>
      <c r="AB2206">
        <f>[1]资金台帐!AB2206</f>
        <v>0</v>
      </c>
      <c r="AC2206">
        <f>[1]资金台帐!AC2206</f>
        <v>0</v>
      </c>
      <c r="AD2206">
        <f>[1]资金台帐!AD2206</f>
        <v>0</v>
      </c>
      <c r="AJ2206">
        <f>[1]资金台帐!AJ2206</f>
        <v>0</v>
      </c>
      <c r="AK2206">
        <f>[1]资金台帐!AK2206</f>
        <v>0</v>
      </c>
      <c r="BA2206" s="22">
        <f t="shared" si="0"/>
      </c>
      <c r="BG2206" s="22">
        <f t="shared" si="1"/>
      </c>
      <c r="BH2206" s="22">
        <f t="shared" si="2"/>
        <v>0</v>
      </c>
    </row>
    <row r="2207">
      <c r="B2207">
        <f>[1]资金台帐!B2207&amp;""</f>
      </c>
      <c r="H2207">
        <f>[1]资金台帐!H2207&amp;""</f>
      </c>
      <c r="J2207">
        <f>[1]资金台帐!J2207&amp;""</f>
      </c>
      <c r="N2207">
        <f>[1]资金台帐!N2207</f>
      </c>
      <c r="O2207">
        <f>[1]资金台帐!O2207&amp;""</f>
      </c>
      <c r="P2207">
        <f>[1]资金台帐!P2207&amp;""</f>
      </c>
      <c r="Q2207">
        <f>[1]资金台帐!Q2207&amp;""</f>
      </c>
      <c r="T2207">
        <f>[1]资金台帐!T2207&amp;""</f>
      </c>
      <c r="U2207">
        <f>[1]资金台帐!U2207&amp;""</f>
      </c>
      <c r="W2207">
        <f>[1]资金台帐!W2207&amp;""</f>
      </c>
      <c r="X2207">
        <f>[1]资金台帐!X2207&amp;""</f>
      </c>
      <c r="AB2207">
        <f>[1]资金台帐!AB2207</f>
        <v>0</v>
      </c>
      <c r="AC2207">
        <f>[1]资金台帐!AC2207</f>
        <v>0</v>
      </c>
      <c r="AD2207">
        <f>[1]资金台帐!AD2207</f>
        <v>0</v>
      </c>
      <c r="AJ2207">
        <f>[1]资金台帐!AJ2207</f>
        <v>0</v>
      </c>
      <c r="AK2207">
        <f>[1]资金台帐!AK2207</f>
        <v>0</v>
      </c>
      <c r="BA2207" s="22">
        <f t="shared" si="0"/>
      </c>
      <c r="BG2207" s="22">
        <f t="shared" si="1"/>
      </c>
      <c r="BH2207" s="22">
        <f t="shared" si="2"/>
        <v>0</v>
      </c>
    </row>
    <row r="2208">
      <c r="B2208">
        <f>[1]资金台帐!B2208&amp;""</f>
      </c>
      <c r="H2208">
        <f>[1]资金台帐!H2208&amp;""</f>
      </c>
      <c r="J2208">
        <f>[1]资金台帐!J2208&amp;""</f>
      </c>
      <c r="N2208">
        <f>[1]资金台帐!N2208</f>
      </c>
      <c r="O2208">
        <f>[1]资金台帐!O2208&amp;""</f>
      </c>
      <c r="P2208">
        <f>[1]资金台帐!P2208&amp;""</f>
      </c>
      <c r="Q2208">
        <f>[1]资金台帐!Q2208&amp;""</f>
      </c>
      <c r="T2208">
        <f>[1]资金台帐!T2208&amp;""</f>
      </c>
      <c r="U2208">
        <f>[1]资金台帐!U2208&amp;""</f>
      </c>
      <c r="W2208">
        <f>[1]资金台帐!W2208&amp;""</f>
      </c>
      <c r="X2208">
        <f>[1]资金台帐!X2208&amp;""</f>
      </c>
      <c r="AB2208">
        <f>[1]资金台帐!AB2208</f>
        <v>0</v>
      </c>
      <c r="AC2208">
        <f>[1]资金台帐!AC2208</f>
        <v>0</v>
      </c>
      <c r="AD2208">
        <f>[1]资金台帐!AD2208</f>
        <v>0</v>
      </c>
      <c r="AJ2208">
        <f>[1]资金台帐!AJ2208</f>
        <v>0</v>
      </c>
      <c r="AK2208">
        <f>[1]资金台帐!AK2208</f>
        <v>0</v>
      </c>
      <c r="BA2208" s="22">
        <f t="shared" si="0"/>
      </c>
      <c r="BG2208" s="22">
        <f t="shared" si="1"/>
      </c>
      <c r="BH2208" s="22">
        <f t="shared" si="2"/>
        <v>0</v>
      </c>
    </row>
    <row r="2209">
      <c r="B2209">
        <f>[1]资金台帐!B2209&amp;""</f>
      </c>
      <c r="H2209">
        <f>[1]资金台帐!H2209&amp;""</f>
      </c>
      <c r="J2209">
        <f>[1]资金台帐!J2209&amp;""</f>
      </c>
      <c r="N2209">
        <f>[1]资金台帐!N2209</f>
      </c>
      <c r="O2209">
        <f>[1]资金台帐!O2209&amp;""</f>
      </c>
      <c r="P2209">
        <f>[1]资金台帐!P2209&amp;""</f>
      </c>
      <c r="Q2209">
        <f>[1]资金台帐!Q2209&amp;""</f>
      </c>
      <c r="T2209">
        <f>[1]资金台帐!T2209&amp;""</f>
      </c>
      <c r="U2209">
        <f>[1]资金台帐!U2209&amp;""</f>
      </c>
      <c r="W2209">
        <f>[1]资金台帐!W2209&amp;""</f>
      </c>
      <c r="X2209">
        <f>[1]资金台帐!X2209&amp;""</f>
      </c>
      <c r="AB2209">
        <f>[1]资金台帐!AB2209</f>
        <v>0</v>
      </c>
      <c r="AC2209">
        <f>[1]资金台帐!AC2209</f>
        <v>0</v>
      </c>
      <c r="AD2209">
        <f>[1]资金台帐!AD2209</f>
        <v>0</v>
      </c>
      <c r="AJ2209">
        <f>[1]资金台帐!AJ2209</f>
        <v>0</v>
      </c>
      <c r="AK2209">
        <f>[1]资金台帐!AK2209</f>
        <v>0</v>
      </c>
      <c r="BA2209" s="22">
        <f t="shared" si="0"/>
      </c>
      <c r="BG2209" s="22">
        <f t="shared" si="1"/>
      </c>
      <c r="BH2209" s="22">
        <f t="shared" si="2"/>
        <v>0</v>
      </c>
    </row>
    <row r="2210">
      <c r="B2210">
        <f>[1]资金台帐!B2210&amp;""</f>
      </c>
      <c r="H2210">
        <f>[1]资金台帐!H2210&amp;""</f>
      </c>
      <c r="J2210">
        <f>[1]资金台帐!J2210&amp;""</f>
      </c>
      <c r="N2210">
        <f>[1]资金台帐!N2210</f>
      </c>
      <c r="O2210">
        <f>[1]资金台帐!O2210&amp;""</f>
      </c>
      <c r="P2210">
        <f>[1]资金台帐!P2210&amp;""</f>
      </c>
      <c r="Q2210">
        <f>[1]资金台帐!Q2210&amp;""</f>
      </c>
      <c r="T2210">
        <f>[1]资金台帐!T2210&amp;""</f>
      </c>
      <c r="U2210">
        <f>[1]资金台帐!U2210&amp;""</f>
      </c>
      <c r="W2210">
        <f>[1]资金台帐!W2210&amp;""</f>
      </c>
      <c r="X2210">
        <f>[1]资金台帐!X2210&amp;""</f>
      </c>
      <c r="AB2210">
        <f>[1]资金台帐!AB2210</f>
        <v>0</v>
      </c>
      <c r="AC2210">
        <f>[1]资金台帐!AC2210</f>
        <v>0</v>
      </c>
      <c r="AD2210">
        <f>[1]资金台帐!AD2210</f>
        <v>0</v>
      </c>
      <c r="AJ2210">
        <f>[1]资金台帐!AJ2210</f>
        <v>0</v>
      </c>
      <c r="AK2210">
        <f>[1]资金台帐!AK2210</f>
        <v>0</v>
      </c>
      <c r="BA2210" s="22">
        <f t="shared" si="0"/>
      </c>
      <c r="BG2210" s="22">
        <f t="shared" si="1"/>
      </c>
      <c r="BH2210" s="22">
        <f t="shared" si="2"/>
        <v>0</v>
      </c>
    </row>
    <row r="2211">
      <c r="B2211">
        <f>[1]资金台帐!B2211&amp;""</f>
      </c>
      <c r="H2211">
        <f>[1]资金台帐!H2211&amp;""</f>
      </c>
      <c r="J2211">
        <f>[1]资金台帐!J2211&amp;""</f>
      </c>
      <c r="N2211">
        <f>[1]资金台帐!N2211</f>
      </c>
      <c r="O2211">
        <f>[1]资金台帐!O2211&amp;""</f>
      </c>
      <c r="P2211">
        <f>[1]资金台帐!P2211&amp;""</f>
      </c>
      <c r="Q2211">
        <f>[1]资金台帐!Q2211&amp;""</f>
      </c>
      <c r="T2211">
        <f>[1]资金台帐!T2211&amp;""</f>
      </c>
      <c r="U2211">
        <f>[1]资金台帐!U2211&amp;""</f>
      </c>
      <c r="W2211">
        <f>[1]资金台帐!W2211&amp;""</f>
      </c>
      <c r="X2211">
        <f>[1]资金台帐!X2211&amp;""</f>
      </c>
      <c r="AB2211">
        <f>[1]资金台帐!AB2211</f>
        <v>0</v>
      </c>
      <c r="AC2211">
        <f>[1]资金台帐!AC2211</f>
        <v>0</v>
      </c>
      <c r="AD2211">
        <f>[1]资金台帐!AD2211</f>
        <v>0</v>
      </c>
      <c r="AJ2211">
        <f>[1]资金台帐!AJ2211</f>
        <v>0</v>
      </c>
      <c r="AK2211">
        <f>[1]资金台帐!AK2211</f>
        <v>0</v>
      </c>
      <c r="BA2211" s="22">
        <f t="shared" si="0"/>
      </c>
      <c r="BG2211" s="22">
        <f t="shared" si="1"/>
      </c>
      <c r="BH2211" s="22">
        <f t="shared" si="2"/>
        <v>0</v>
      </c>
    </row>
    <row r="2212">
      <c r="B2212">
        <f>[1]资金台帐!B2212&amp;""</f>
      </c>
      <c r="H2212">
        <f>[1]资金台帐!H2212&amp;""</f>
      </c>
      <c r="J2212">
        <f>[1]资金台帐!J2212&amp;""</f>
      </c>
      <c r="N2212">
        <f>[1]资金台帐!N2212</f>
      </c>
      <c r="O2212">
        <f>[1]资金台帐!O2212&amp;""</f>
      </c>
      <c r="P2212">
        <f>[1]资金台帐!P2212&amp;""</f>
      </c>
      <c r="Q2212">
        <f>[1]资金台帐!Q2212&amp;""</f>
      </c>
      <c r="T2212">
        <f>[1]资金台帐!T2212&amp;""</f>
      </c>
      <c r="U2212">
        <f>[1]资金台帐!U2212&amp;""</f>
      </c>
      <c r="W2212">
        <f>[1]资金台帐!W2212&amp;""</f>
      </c>
      <c r="X2212">
        <f>[1]资金台帐!X2212&amp;""</f>
      </c>
      <c r="AB2212">
        <f>[1]资金台帐!AB2212</f>
        <v>0</v>
      </c>
      <c r="AC2212">
        <f>[1]资金台帐!AC2212</f>
        <v>0</v>
      </c>
      <c r="AD2212">
        <f>[1]资金台帐!AD2212</f>
        <v>0</v>
      </c>
      <c r="AJ2212">
        <f>[1]资金台帐!AJ2212</f>
        <v>0</v>
      </c>
      <c r="AK2212">
        <f>[1]资金台帐!AK2212</f>
        <v>0</v>
      </c>
      <c r="BA2212" s="22">
        <f t="shared" si="0"/>
      </c>
      <c r="BG2212" s="22">
        <f t="shared" si="1"/>
      </c>
      <c r="BH2212" s="22">
        <f t="shared" si="2"/>
        <v>0</v>
      </c>
    </row>
    <row r="2213">
      <c r="B2213">
        <f>[1]资金台帐!B2213&amp;""</f>
      </c>
      <c r="H2213">
        <f>[1]资金台帐!H2213&amp;""</f>
      </c>
      <c r="J2213">
        <f>[1]资金台帐!J2213&amp;""</f>
      </c>
      <c r="N2213">
        <f>[1]资金台帐!N2213</f>
      </c>
      <c r="O2213">
        <f>[1]资金台帐!O2213&amp;""</f>
      </c>
      <c r="P2213">
        <f>[1]资金台帐!P2213&amp;""</f>
      </c>
      <c r="Q2213">
        <f>[1]资金台帐!Q2213&amp;""</f>
      </c>
      <c r="T2213">
        <f>[1]资金台帐!T2213&amp;""</f>
      </c>
      <c r="U2213">
        <f>[1]资金台帐!U2213&amp;""</f>
      </c>
      <c r="W2213">
        <f>[1]资金台帐!W2213&amp;""</f>
      </c>
      <c r="X2213">
        <f>[1]资金台帐!X2213&amp;""</f>
      </c>
      <c r="AB2213">
        <f>[1]资金台帐!AB2213</f>
        <v>0</v>
      </c>
      <c r="AC2213">
        <f>[1]资金台帐!AC2213</f>
        <v>0</v>
      </c>
      <c r="AD2213">
        <f>[1]资金台帐!AD2213</f>
        <v>0</v>
      </c>
      <c r="AJ2213">
        <f>[1]资金台帐!AJ2213</f>
        <v>0</v>
      </c>
      <c r="AK2213">
        <f>[1]资金台帐!AK2213</f>
        <v>0</v>
      </c>
      <c r="BA2213" s="22">
        <f t="shared" si="0"/>
      </c>
      <c r="BG2213" s="22">
        <f t="shared" si="1"/>
      </c>
      <c r="BH2213" s="22">
        <f t="shared" si="2"/>
        <v>0</v>
      </c>
    </row>
    <row r="2214">
      <c r="B2214">
        <f>[1]资金台帐!B2214&amp;""</f>
      </c>
      <c r="H2214">
        <f>[1]资金台帐!H2214&amp;""</f>
      </c>
      <c r="J2214">
        <f>[1]资金台帐!J2214&amp;""</f>
      </c>
      <c r="N2214">
        <f>[1]资金台帐!N2214</f>
      </c>
      <c r="O2214">
        <f>[1]资金台帐!O2214&amp;""</f>
      </c>
      <c r="P2214">
        <f>[1]资金台帐!P2214&amp;""</f>
      </c>
      <c r="Q2214">
        <f>[1]资金台帐!Q2214&amp;""</f>
      </c>
      <c r="T2214">
        <f>[1]资金台帐!T2214&amp;""</f>
      </c>
      <c r="U2214">
        <f>[1]资金台帐!U2214&amp;""</f>
      </c>
      <c r="W2214">
        <f>[1]资金台帐!W2214&amp;""</f>
      </c>
      <c r="X2214">
        <f>[1]资金台帐!X2214&amp;""</f>
      </c>
      <c r="AB2214">
        <f>[1]资金台帐!AB2214</f>
        <v>0</v>
      </c>
      <c r="AC2214">
        <f>[1]资金台帐!AC2214</f>
        <v>0</v>
      </c>
      <c r="AD2214">
        <f>[1]资金台帐!AD2214</f>
        <v>0</v>
      </c>
      <c r="AJ2214">
        <f>[1]资金台帐!AJ2214</f>
        <v>0</v>
      </c>
      <c r="AK2214">
        <f>[1]资金台帐!AK2214</f>
        <v>0</v>
      </c>
      <c r="BA2214" s="22">
        <f t="shared" si="0"/>
      </c>
      <c r="BG2214" s="22">
        <f t="shared" si="1"/>
      </c>
      <c r="BH2214" s="22">
        <f t="shared" si="2"/>
        <v>0</v>
      </c>
    </row>
    <row r="2215">
      <c r="B2215">
        <f>[1]资金台帐!B2215&amp;""</f>
      </c>
      <c r="H2215">
        <f>[1]资金台帐!H2215&amp;""</f>
      </c>
      <c r="J2215">
        <f>[1]资金台帐!J2215&amp;""</f>
      </c>
      <c r="N2215">
        <f>[1]资金台帐!N2215</f>
      </c>
      <c r="O2215">
        <f>[1]资金台帐!O2215&amp;""</f>
      </c>
      <c r="P2215">
        <f>[1]资金台帐!P2215&amp;""</f>
      </c>
      <c r="Q2215">
        <f>[1]资金台帐!Q2215&amp;""</f>
      </c>
      <c r="T2215">
        <f>[1]资金台帐!T2215&amp;""</f>
      </c>
      <c r="U2215">
        <f>[1]资金台帐!U2215&amp;""</f>
      </c>
      <c r="W2215">
        <f>[1]资金台帐!W2215&amp;""</f>
      </c>
      <c r="X2215">
        <f>[1]资金台帐!X2215&amp;""</f>
      </c>
      <c r="AB2215">
        <f>[1]资金台帐!AB2215</f>
        <v>0</v>
      </c>
      <c r="AC2215">
        <f>[1]资金台帐!AC2215</f>
        <v>0</v>
      </c>
      <c r="AD2215">
        <f>[1]资金台帐!AD2215</f>
        <v>0</v>
      </c>
      <c r="AJ2215">
        <f>[1]资金台帐!AJ2215</f>
        <v>0</v>
      </c>
      <c r="AK2215">
        <f>[1]资金台帐!AK2215</f>
        <v>0</v>
      </c>
      <c r="BA2215" s="22">
        <f t="shared" si="0"/>
      </c>
      <c r="BG2215" s="22">
        <f t="shared" si="1"/>
      </c>
      <c r="BH2215" s="22">
        <f t="shared" si="2"/>
        <v>0</v>
      </c>
    </row>
    <row r="2216">
      <c r="B2216">
        <f>[1]资金台帐!B2216&amp;""</f>
      </c>
      <c r="H2216">
        <f>[1]资金台帐!H2216&amp;""</f>
      </c>
      <c r="J2216">
        <f>[1]资金台帐!J2216&amp;""</f>
      </c>
      <c r="N2216">
        <f>[1]资金台帐!N2216</f>
      </c>
      <c r="O2216">
        <f>[1]资金台帐!O2216&amp;""</f>
      </c>
      <c r="P2216">
        <f>[1]资金台帐!P2216&amp;""</f>
      </c>
      <c r="Q2216">
        <f>[1]资金台帐!Q2216&amp;""</f>
      </c>
      <c r="T2216">
        <f>[1]资金台帐!T2216&amp;""</f>
      </c>
      <c r="U2216">
        <f>[1]资金台帐!U2216&amp;""</f>
      </c>
      <c r="W2216">
        <f>[1]资金台帐!W2216&amp;""</f>
      </c>
      <c r="X2216">
        <f>[1]资金台帐!X2216&amp;""</f>
      </c>
      <c r="AB2216">
        <f>[1]资金台帐!AB2216</f>
        <v>0</v>
      </c>
      <c r="AC2216">
        <f>[1]资金台帐!AC2216</f>
        <v>0</v>
      </c>
      <c r="AD2216">
        <f>[1]资金台帐!AD2216</f>
        <v>0</v>
      </c>
      <c r="AJ2216">
        <f>[1]资金台帐!AJ2216</f>
        <v>0</v>
      </c>
      <c r="AK2216">
        <f>[1]资金台帐!AK2216</f>
        <v>0</v>
      </c>
      <c r="BA2216" s="22">
        <f t="shared" si="0"/>
      </c>
      <c r="BG2216" s="22">
        <f t="shared" si="1"/>
      </c>
      <c r="BH2216" s="22">
        <f t="shared" si="2"/>
        <v>0</v>
      </c>
    </row>
    <row r="2217">
      <c r="B2217">
        <f>[1]资金台帐!B2217&amp;""</f>
      </c>
      <c r="H2217">
        <f>[1]资金台帐!H2217&amp;""</f>
      </c>
      <c r="J2217">
        <f>[1]资金台帐!J2217&amp;""</f>
      </c>
      <c r="N2217">
        <f>[1]资金台帐!N2217</f>
      </c>
      <c r="O2217">
        <f>[1]资金台帐!O2217&amp;""</f>
      </c>
      <c r="P2217">
        <f>[1]资金台帐!P2217&amp;""</f>
      </c>
      <c r="Q2217">
        <f>[1]资金台帐!Q2217&amp;""</f>
      </c>
      <c r="T2217">
        <f>[1]资金台帐!T2217&amp;""</f>
      </c>
      <c r="U2217">
        <f>[1]资金台帐!U2217&amp;""</f>
      </c>
      <c r="W2217">
        <f>[1]资金台帐!W2217&amp;""</f>
      </c>
      <c r="X2217">
        <f>[1]资金台帐!X2217&amp;""</f>
      </c>
      <c r="AB2217">
        <f>[1]资金台帐!AB2217</f>
        <v>0</v>
      </c>
      <c r="AC2217">
        <f>[1]资金台帐!AC2217</f>
        <v>0</v>
      </c>
      <c r="AD2217">
        <f>[1]资金台帐!AD2217</f>
        <v>0</v>
      </c>
      <c r="AJ2217">
        <f>[1]资金台帐!AJ2217</f>
        <v>0</v>
      </c>
      <c r="AK2217">
        <f>[1]资金台帐!AK2217</f>
        <v>0</v>
      </c>
      <c r="BA2217" s="22">
        <f t="shared" si="0"/>
      </c>
      <c r="BG2217" s="22">
        <f t="shared" si="1"/>
      </c>
      <c r="BH2217" s="22">
        <f t="shared" si="2"/>
        <v>0</v>
      </c>
    </row>
    <row r="2218">
      <c r="B2218">
        <f>[1]资金台帐!B2218&amp;""</f>
      </c>
      <c r="H2218">
        <f>[1]资金台帐!H2218&amp;""</f>
      </c>
      <c r="J2218">
        <f>[1]资金台帐!J2218&amp;""</f>
      </c>
      <c r="N2218">
        <f>[1]资金台帐!N2218</f>
      </c>
      <c r="O2218">
        <f>[1]资金台帐!O2218&amp;""</f>
      </c>
      <c r="P2218">
        <f>[1]资金台帐!P2218&amp;""</f>
      </c>
      <c r="Q2218">
        <f>[1]资金台帐!Q2218&amp;""</f>
      </c>
      <c r="T2218">
        <f>[1]资金台帐!T2218&amp;""</f>
      </c>
      <c r="U2218">
        <f>[1]资金台帐!U2218&amp;""</f>
      </c>
      <c r="W2218">
        <f>[1]资金台帐!W2218&amp;""</f>
      </c>
      <c r="X2218">
        <f>[1]资金台帐!X2218&amp;""</f>
      </c>
      <c r="AB2218">
        <f>[1]资金台帐!AB2218</f>
        <v>0</v>
      </c>
      <c r="AC2218">
        <f>[1]资金台帐!AC2218</f>
        <v>0</v>
      </c>
      <c r="AD2218">
        <f>[1]资金台帐!AD2218</f>
        <v>0</v>
      </c>
      <c r="AJ2218">
        <f>[1]资金台帐!AJ2218</f>
        <v>0</v>
      </c>
      <c r="AK2218">
        <f>[1]资金台帐!AK2218</f>
        <v>0</v>
      </c>
      <c r="BA2218" s="22">
        <f t="shared" si="0"/>
      </c>
      <c r="BG2218" s="22">
        <f t="shared" si="1"/>
      </c>
      <c r="BH2218" s="22">
        <f t="shared" si="2"/>
        <v>0</v>
      </c>
    </row>
    <row r="2219">
      <c r="B2219">
        <f>[1]资金台帐!B2219&amp;""</f>
      </c>
      <c r="H2219">
        <f>[1]资金台帐!H2219&amp;""</f>
      </c>
      <c r="J2219">
        <f>[1]资金台帐!J2219&amp;""</f>
      </c>
      <c r="N2219">
        <f>[1]资金台帐!N2219</f>
      </c>
      <c r="O2219">
        <f>[1]资金台帐!O2219&amp;""</f>
      </c>
      <c r="P2219">
        <f>[1]资金台帐!P2219&amp;""</f>
      </c>
      <c r="Q2219">
        <f>[1]资金台帐!Q2219&amp;""</f>
      </c>
      <c r="T2219">
        <f>[1]资金台帐!T2219&amp;""</f>
      </c>
      <c r="U2219">
        <f>[1]资金台帐!U2219&amp;""</f>
      </c>
      <c r="W2219">
        <f>[1]资金台帐!W2219&amp;""</f>
      </c>
      <c r="X2219">
        <f>[1]资金台帐!X2219&amp;""</f>
      </c>
      <c r="AB2219">
        <f>[1]资金台帐!AB2219</f>
        <v>0</v>
      </c>
      <c r="AC2219">
        <f>[1]资金台帐!AC2219</f>
        <v>0</v>
      </c>
      <c r="AD2219">
        <f>[1]资金台帐!AD2219</f>
        <v>0</v>
      </c>
      <c r="AJ2219">
        <f>[1]资金台帐!AJ2219</f>
        <v>0</v>
      </c>
      <c r="AK2219">
        <f>[1]资金台帐!AK2219</f>
        <v>0</v>
      </c>
      <c r="BA2219" s="22">
        <f t="shared" si="0"/>
      </c>
      <c r="BG2219" s="22">
        <f t="shared" si="1"/>
      </c>
      <c r="BH2219" s="22">
        <f t="shared" si="2"/>
        <v>0</v>
      </c>
    </row>
    <row r="2220">
      <c r="B2220">
        <f>[1]资金台帐!B2220&amp;""</f>
      </c>
      <c r="H2220">
        <f>[1]资金台帐!H2220&amp;""</f>
      </c>
      <c r="J2220">
        <f>[1]资金台帐!J2220&amp;""</f>
      </c>
      <c r="N2220">
        <f>[1]资金台帐!N2220</f>
      </c>
      <c r="O2220">
        <f>[1]资金台帐!O2220&amp;""</f>
      </c>
      <c r="P2220">
        <f>[1]资金台帐!P2220&amp;""</f>
      </c>
      <c r="Q2220">
        <f>[1]资金台帐!Q2220&amp;""</f>
      </c>
      <c r="T2220">
        <f>[1]资金台帐!T2220&amp;""</f>
      </c>
      <c r="U2220">
        <f>[1]资金台帐!U2220&amp;""</f>
      </c>
      <c r="W2220">
        <f>[1]资金台帐!W2220&amp;""</f>
      </c>
      <c r="X2220">
        <f>[1]资金台帐!X2220&amp;""</f>
      </c>
      <c r="AB2220">
        <f>[1]资金台帐!AB2220</f>
        <v>0</v>
      </c>
      <c r="AC2220">
        <f>[1]资金台帐!AC2220</f>
        <v>0</v>
      </c>
      <c r="AD2220">
        <f>[1]资金台帐!AD2220</f>
        <v>0</v>
      </c>
      <c r="AJ2220">
        <f>[1]资金台帐!AJ2220</f>
        <v>0</v>
      </c>
      <c r="AK2220">
        <f>[1]资金台帐!AK2220</f>
        <v>0</v>
      </c>
      <c r="BA2220" s="22">
        <f t="shared" si="0"/>
      </c>
      <c r="BG2220" s="22">
        <f t="shared" si="1"/>
      </c>
      <c r="BH2220" s="22">
        <f t="shared" si="2"/>
        <v>0</v>
      </c>
    </row>
    <row r="2221">
      <c r="B2221">
        <f>[1]资金台帐!B2221&amp;""</f>
      </c>
      <c r="H2221">
        <f>[1]资金台帐!H2221&amp;""</f>
      </c>
      <c r="J2221">
        <f>[1]资金台帐!J2221&amp;""</f>
      </c>
      <c r="N2221">
        <f>[1]资金台帐!N2221</f>
      </c>
      <c r="O2221">
        <f>[1]资金台帐!O2221&amp;""</f>
      </c>
      <c r="P2221">
        <f>[1]资金台帐!P2221&amp;""</f>
      </c>
      <c r="Q2221">
        <f>[1]资金台帐!Q2221&amp;""</f>
      </c>
      <c r="T2221">
        <f>[1]资金台帐!T2221&amp;""</f>
      </c>
      <c r="U2221">
        <f>[1]资金台帐!U2221&amp;""</f>
      </c>
      <c r="W2221">
        <f>[1]资金台帐!W2221&amp;""</f>
      </c>
      <c r="X2221">
        <f>[1]资金台帐!X2221&amp;""</f>
      </c>
      <c r="AB2221">
        <f>[1]资金台帐!AB2221</f>
        <v>0</v>
      </c>
      <c r="AC2221">
        <f>[1]资金台帐!AC2221</f>
        <v>0</v>
      </c>
      <c r="AD2221">
        <f>[1]资金台帐!AD2221</f>
        <v>0</v>
      </c>
      <c r="AJ2221">
        <f>[1]资金台帐!AJ2221</f>
        <v>0</v>
      </c>
      <c r="AK2221">
        <f>[1]资金台帐!AK2221</f>
        <v>0</v>
      </c>
      <c r="BA2221" s="22">
        <f t="shared" si="0"/>
      </c>
      <c r="BG2221" s="22">
        <f t="shared" si="1"/>
      </c>
      <c r="BH2221" s="22">
        <f t="shared" si="2"/>
        <v>0</v>
      </c>
    </row>
    <row r="2222">
      <c r="B2222">
        <f>[1]资金台帐!B2222&amp;""</f>
      </c>
      <c r="H2222">
        <f>[1]资金台帐!H2222&amp;""</f>
      </c>
      <c r="J2222">
        <f>[1]资金台帐!J2222&amp;""</f>
      </c>
      <c r="N2222">
        <f>[1]资金台帐!N2222</f>
      </c>
      <c r="O2222">
        <f>[1]资金台帐!O2222&amp;""</f>
      </c>
      <c r="P2222">
        <f>[1]资金台帐!P2222&amp;""</f>
      </c>
      <c r="Q2222">
        <f>[1]资金台帐!Q2222&amp;""</f>
      </c>
      <c r="T2222">
        <f>[1]资金台帐!T2222&amp;""</f>
      </c>
      <c r="U2222">
        <f>[1]资金台帐!U2222&amp;""</f>
      </c>
      <c r="W2222">
        <f>[1]资金台帐!W2222&amp;""</f>
      </c>
      <c r="X2222">
        <f>[1]资金台帐!X2222&amp;""</f>
      </c>
      <c r="AB2222">
        <f>[1]资金台帐!AB2222</f>
        <v>0</v>
      </c>
      <c r="AC2222">
        <f>[1]资金台帐!AC2222</f>
        <v>0</v>
      </c>
      <c r="AD2222">
        <f>[1]资金台帐!AD2222</f>
        <v>0</v>
      </c>
      <c r="AJ2222">
        <f>[1]资金台帐!AJ2222</f>
        <v>0</v>
      </c>
      <c r="AK2222">
        <f>[1]资金台帐!AK2222</f>
        <v>0</v>
      </c>
      <c r="BA2222" s="22">
        <f t="shared" si="0"/>
      </c>
      <c r="BG2222" s="22">
        <f t="shared" si="1"/>
      </c>
      <c r="BH2222" s="22">
        <f t="shared" si="2"/>
        <v>0</v>
      </c>
    </row>
    <row r="2223">
      <c r="B2223">
        <f>[1]资金台帐!B2223&amp;""</f>
      </c>
      <c r="H2223">
        <f>[1]资金台帐!H2223&amp;""</f>
      </c>
      <c r="J2223">
        <f>[1]资金台帐!J2223&amp;""</f>
      </c>
      <c r="N2223">
        <f>[1]资金台帐!N2223</f>
      </c>
      <c r="O2223">
        <f>[1]资金台帐!O2223&amp;""</f>
      </c>
      <c r="P2223">
        <f>[1]资金台帐!P2223&amp;""</f>
      </c>
      <c r="Q2223">
        <f>[1]资金台帐!Q2223&amp;""</f>
      </c>
      <c r="T2223">
        <f>[1]资金台帐!T2223&amp;""</f>
      </c>
      <c r="U2223">
        <f>[1]资金台帐!U2223&amp;""</f>
      </c>
      <c r="W2223">
        <f>[1]资金台帐!W2223&amp;""</f>
      </c>
      <c r="X2223">
        <f>[1]资金台帐!X2223&amp;""</f>
      </c>
      <c r="AB2223">
        <f>[1]资金台帐!AB2223</f>
        <v>0</v>
      </c>
      <c r="AC2223">
        <f>[1]资金台帐!AC2223</f>
        <v>0</v>
      </c>
      <c r="AD2223">
        <f>[1]资金台帐!AD2223</f>
        <v>0</v>
      </c>
      <c r="AJ2223">
        <f>[1]资金台帐!AJ2223</f>
        <v>0</v>
      </c>
      <c r="AK2223">
        <f>[1]资金台帐!AK2223</f>
        <v>0</v>
      </c>
      <c r="BA2223" s="22">
        <f t="shared" si="0"/>
      </c>
      <c r="BG2223" s="22">
        <f t="shared" si="1"/>
      </c>
      <c r="BH2223" s="22">
        <f t="shared" si="2"/>
        <v>0</v>
      </c>
    </row>
    <row r="2224">
      <c r="B2224">
        <f>[1]资金台帐!B2224&amp;""</f>
      </c>
      <c r="H2224">
        <f>[1]资金台帐!H2224&amp;""</f>
      </c>
      <c r="J2224">
        <f>[1]资金台帐!J2224&amp;""</f>
      </c>
      <c r="N2224">
        <f>[1]资金台帐!N2224</f>
      </c>
      <c r="O2224">
        <f>[1]资金台帐!O2224&amp;""</f>
      </c>
      <c r="P2224">
        <f>[1]资金台帐!P2224&amp;""</f>
      </c>
      <c r="Q2224">
        <f>[1]资金台帐!Q2224&amp;""</f>
      </c>
      <c r="T2224">
        <f>[1]资金台帐!T2224&amp;""</f>
      </c>
      <c r="U2224">
        <f>[1]资金台帐!U2224&amp;""</f>
      </c>
      <c r="W2224">
        <f>[1]资金台帐!W2224&amp;""</f>
      </c>
      <c r="X2224">
        <f>[1]资金台帐!X2224&amp;""</f>
      </c>
      <c r="AB2224">
        <f>[1]资金台帐!AB2224</f>
        <v>0</v>
      </c>
      <c r="AC2224">
        <f>[1]资金台帐!AC2224</f>
        <v>0</v>
      </c>
      <c r="AD2224">
        <f>[1]资金台帐!AD2224</f>
        <v>0</v>
      </c>
      <c r="AJ2224">
        <f>[1]资金台帐!AJ2224</f>
        <v>0</v>
      </c>
      <c r="AK2224">
        <f>[1]资金台帐!AK2224</f>
        <v>0</v>
      </c>
      <c r="BA2224" s="22">
        <f t="shared" si="0"/>
      </c>
      <c r="BG2224" s="22">
        <f t="shared" si="1"/>
      </c>
      <c r="BH2224" s="22">
        <f t="shared" si="2"/>
        <v>0</v>
      </c>
    </row>
    <row r="2225">
      <c r="B2225">
        <f>[1]资金台帐!B2225&amp;""</f>
      </c>
      <c r="H2225">
        <f>[1]资金台帐!H2225&amp;""</f>
      </c>
      <c r="J2225">
        <f>[1]资金台帐!J2225&amp;""</f>
      </c>
      <c r="N2225">
        <f>[1]资金台帐!N2225</f>
      </c>
      <c r="O2225">
        <f>[1]资金台帐!O2225&amp;""</f>
      </c>
      <c r="P2225">
        <f>[1]资金台帐!P2225&amp;""</f>
      </c>
      <c r="Q2225">
        <f>[1]资金台帐!Q2225&amp;""</f>
      </c>
      <c r="T2225">
        <f>[1]资金台帐!T2225&amp;""</f>
      </c>
      <c r="U2225">
        <f>[1]资金台帐!U2225&amp;""</f>
      </c>
      <c r="W2225">
        <f>[1]资金台帐!W2225&amp;""</f>
      </c>
      <c r="X2225">
        <f>[1]资金台帐!X2225&amp;""</f>
      </c>
      <c r="AB2225">
        <f>[1]资金台帐!AB2225</f>
        <v>0</v>
      </c>
      <c r="AC2225">
        <f>[1]资金台帐!AC2225</f>
        <v>0</v>
      </c>
      <c r="AD2225">
        <f>[1]资金台帐!AD2225</f>
        <v>0</v>
      </c>
      <c r="AJ2225">
        <f>[1]资金台帐!AJ2225</f>
        <v>0</v>
      </c>
      <c r="AK2225">
        <f>[1]资金台帐!AK2225</f>
        <v>0</v>
      </c>
      <c r="BA2225" s="22">
        <f t="shared" si="0"/>
      </c>
      <c r="BG2225" s="22">
        <f t="shared" si="1"/>
      </c>
      <c r="BH2225" s="22">
        <f t="shared" si="2"/>
        <v>0</v>
      </c>
    </row>
    <row r="2226">
      <c r="B2226">
        <f>[1]资金台帐!B2226&amp;""</f>
      </c>
      <c r="H2226">
        <f>[1]资金台帐!H2226&amp;""</f>
      </c>
      <c r="J2226">
        <f>[1]资金台帐!J2226&amp;""</f>
      </c>
      <c r="N2226">
        <f>[1]资金台帐!N2226</f>
      </c>
      <c r="O2226">
        <f>[1]资金台帐!O2226&amp;""</f>
      </c>
      <c r="P2226">
        <f>[1]资金台帐!P2226&amp;""</f>
      </c>
      <c r="Q2226">
        <f>[1]资金台帐!Q2226&amp;""</f>
      </c>
      <c r="T2226">
        <f>[1]资金台帐!T2226&amp;""</f>
      </c>
      <c r="U2226">
        <f>[1]资金台帐!U2226&amp;""</f>
      </c>
      <c r="W2226">
        <f>[1]资金台帐!W2226&amp;""</f>
      </c>
      <c r="X2226">
        <f>[1]资金台帐!X2226&amp;""</f>
      </c>
      <c r="AB2226">
        <f>[1]资金台帐!AB2226</f>
        <v>0</v>
      </c>
      <c r="AC2226">
        <f>[1]资金台帐!AC2226</f>
        <v>0</v>
      </c>
      <c r="AD2226">
        <f>[1]资金台帐!AD2226</f>
        <v>0</v>
      </c>
      <c r="AJ2226">
        <f>[1]资金台帐!AJ2226</f>
        <v>0</v>
      </c>
      <c r="AK2226">
        <f>[1]资金台帐!AK2226</f>
        <v>0</v>
      </c>
      <c r="BA2226" s="22">
        <f t="shared" si="0"/>
      </c>
      <c r="BG2226" s="22">
        <f t="shared" si="1"/>
      </c>
      <c r="BH2226" s="22">
        <f t="shared" si="2"/>
        <v>0</v>
      </c>
    </row>
    <row r="2227">
      <c r="B2227">
        <f>[1]资金台帐!B2227&amp;""</f>
      </c>
      <c r="H2227">
        <f>[1]资金台帐!H2227&amp;""</f>
      </c>
      <c r="J2227">
        <f>[1]资金台帐!J2227&amp;""</f>
      </c>
      <c r="N2227">
        <f>[1]资金台帐!N2227</f>
      </c>
      <c r="O2227">
        <f>[1]资金台帐!O2227&amp;""</f>
      </c>
      <c r="P2227">
        <f>[1]资金台帐!P2227&amp;""</f>
      </c>
      <c r="Q2227">
        <f>[1]资金台帐!Q2227&amp;""</f>
      </c>
      <c r="T2227">
        <f>[1]资金台帐!T2227&amp;""</f>
      </c>
      <c r="U2227">
        <f>[1]资金台帐!U2227&amp;""</f>
      </c>
      <c r="W2227">
        <f>[1]资金台帐!W2227&amp;""</f>
      </c>
      <c r="X2227">
        <f>[1]资金台帐!X2227&amp;""</f>
      </c>
      <c r="AB2227">
        <f>[1]资金台帐!AB2227</f>
        <v>0</v>
      </c>
      <c r="AC2227">
        <f>[1]资金台帐!AC2227</f>
        <v>0</v>
      </c>
      <c r="AD2227">
        <f>[1]资金台帐!AD2227</f>
        <v>0</v>
      </c>
      <c r="AJ2227">
        <f>[1]资金台帐!AJ2227</f>
        <v>0</v>
      </c>
      <c r="AK2227">
        <f>[1]资金台帐!AK2227</f>
        <v>0</v>
      </c>
      <c r="BA2227" s="22">
        <f t="shared" si="0"/>
      </c>
      <c r="BG2227" s="22">
        <f t="shared" si="1"/>
      </c>
      <c r="BH2227" s="22">
        <f t="shared" si="2"/>
        <v>0</v>
      </c>
    </row>
    <row r="2228">
      <c r="B2228">
        <f>[1]资金台帐!B2228&amp;""</f>
      </c>
      <c r="H2228">
        <f>[1]资金台帐!H2228&amp;""</f>
      </c>
      <c r="J2228">
        <f>[1]资金台帐!J2228&amp;""</f>
      </c>
      <c r="N2228">
        <f>[1]资金台帐!N2228</f>
      </c>
      <c r="O2228">
        <f>[1]资金台帐!O2228&amp;""</f>
      </c>
      <c r="P2228">
        <f>[1]资金台帐!P2228&amp;""</f>
      </c>
      <c r="Q2228">
        <f>[1]资金台帐!Q2228&amp;""</f>
      </c>
      <c r="T2228">
        <f>[1]资金台帐!T2228&amp;""</f>
      </c>
      <c r="U2228">
        <f>[1]资金台帐!U2228&amp;""</f>
      </c>
      <c r="W2228">
        <f>[1]资金台帐!W2228&amp;""</f>
      </c>
      <c r="X2228">
        <f>[1]资金台帐!X2228&amp;""</f>
      </c>
      <c r="AB2228">
        <f>[1]资金台帐!AB2228</f>
        <v>0</v>
      </c>
      <c r="AC2228">
        <f>[1]资金台帐!AC2228</f>
        <v>0</v>
      </c>
      <c r="AD2228">
        <f>[1]资金台帐!AD2228</f>
        <v>0</v>
      </c>
      <c r="AJ2228">
        <f>[1]资金台帐!AJ2228</f>
        <v>0</v>
      </c>
      <c r="AK2228">
        <f>[1]资金台帐!AK2228</f>
        <v>0</v>
      </c>
      <c r="BA2228" s="22">
        <f t="shared" si="0"/>
      </c>
      <c r="BG2228" s="22">
        <f t="shared" si="1"/>
      </c>
      <c r="BH2228" s="22">
        <f t="shared" si="2"/>
        <v>0</v>
      </c>
    </row>
    <row r="2229">
      <c r="B2229">
        <f>[1]资金台帐!B2229&amp;""</f>
      </c>
      <c r="H2229">
        <f>[1]资金台帐!H2229&amp;""</f>
      </c>
      <c r="J2229">
        <f>[1]资金台帐!J2229&amp;""</f>
      </c>
      <c r="N2229">
        <f>[1]资金台帐!N2229</f>
      </c>
      <c r="O2229">
        <f>[1]资金台帐!O2229&amp;""</f>
      </c>
      <c r="P2229">
        <f>[1]资金台帐!P2229&amp;""</f>
      </c>
      <c r="Q2229">
        <f>[1]资金台帐!Q2229&amp;""</f>
      </c>
      <c r="T2229">
        <f>[1]资金台帐!T2229&amp;""</f>
      </c>
      <c r="U2229">
        <f>[1]资金台帐!U2229&amp;""</f>
      </c>
      <c r="W2229">
        <f>[1]资金台帐!W2229&amp;""</f>
      </c>
      <c r="X2229">
        <f>[1]资金台帐!X2229&amp;""</f>
      </c>
      <c r="AB2229">
        <f>[1]资金台帐!AB2229</f>
        <v>0</v>
      </c>
      <c r="AC2229">
        <f>[1]资金台帐!AC2229</f>
        <v>0</v>
      </c>
      <c r="AD2229">
        <f>[1]资金台帐!AD2229</f>
        <v>0</v>
      </c>
      <c r="AJ2229">
        <f>[1]资金台帐!AJ2229</f>
        <v>0</v>
      </c>
      <c r="AK2229">
        <f>[1]资金台帐!AK2229</f>
        <v>0</v>
      </c>
      <c r="BA2229" s="22">
        <f t="shared" si="0"/>
      </c>
      <c r="BG2229" s="22">
        <f t="shared" si="1"/>
      </c>
      <c r="BH2229" s="22">
        <f t="shared" si="2"/>
        <v>0</v>
      </c>
    </row>
    <row r="2230">
      <c r="B2230">
        <f>[1]资金台帐!B2230&amp;""</f>
      </c>
      <c r="H2230">
        <f>[1]资金台帐!H2230&amp;""</f>
      </c>
      <c r="J2230">
        <f>[1]资金台帐!J2230&amp;""</f>
      </c>
      <c r="N2230">
        <f>[1]资金台帐!N2230</f>
      </c>
      <c r="O2230">
        <f>[1]资金台帐!O2230&amp;""</f>
      </c>
      <c r="P2230">
        <f>[1]资金台帐!P2230&amp;""</f>
      </c>
      <c r="Q2230">
        <f>[1]资金台帐!Q2230&amp;""</f>
      </c>
      <c r="T2230">
        <f>[1]资金台帐!T2230&amp;""</f>
      </c>
      <c r="U2230">
        <f>[1]资金台帐!U2230&amp;""</f>
      </c>
      <c r="W2230">
        <f>[1]资金台帐!W2230&amp;""</f>
      </c>
      <c r="X2230">
        <f>[1]资金台帐!X2230&amp;""</f>
      </c>
      <c r="AB2230">
        <f>[1]资金台帐!AB2230</f>
        <v>0</v>
      </c>
      <c r="AC2230">
        <f>[1]资金台帐!AC2230</f>
        <v>0</v>
      </c>
      <c r="AD2230">
        <f>[1]资金台帐!AD2230</f>
        <v>0</v>
      </c>
      <c r="AJ2230">
        <f>[1]资金台帐!AJ2230</f>
        <v>0</v>
      </c>
      <c r="AK2230">
        <f>[1]资金台帐!AK2230</f>
        <v>0</v>
      </c>
      <c r="BA2230" s="22">
        <f t="shared" si="0"/>
      </c>
      <c r="BG2230" s="22">
        <f t="shared" si="1"/>
      </c>
      <c r="BH2230" s="22">
        <f t="shared" si="2"/>
        <v>0</v>
      </c>
    </row>
    <row r="2231">
      <c r="B2231">
        <f>[1]资金台帐!B2231&amp;""</f>
      </c>
      <c r="H2231">
        <f>[1]资金台帐!H2231&amp;""</f>
      </c>
      <c r="J2231">
        <f>[1]资金台帐!J2231&amp;""</f>
      </c>
      <c r="N2231">
        <f>[1]资金台帐!N2231</f>
      </c>
      <c r="O2231">
        <f>[1]资金台帐!O2231&amp;""</f>
      </c>
      <c r="P2231">
        <f>[1]资金台帐!P2231&amp;""</f>
      </c>
      <c r="Q2231">
        <f>[1]资金台帐!Q2231&amp;""</f>
      </c>
      <c r="T2231">
        <f>[1]资金台帐!T2231&amp;""</f>
      </c>
      <c r="U2231">
        <f>[1]资金台帐!U2231&amp;""</f>
      </c>
      <c r="W2231">
        <f>[1]资金台帐!W2231&amp;""</f>
      </c>
      <c r="X2231">
        <f>[1]资金台帐!X2231&amp;""</f>
      </c>
      <c r="AB2231">
        <f>[1]资金台帐!AB2231</f>
        <v>0</v>
      </c>
      <c r="AC2231">
        <f>[1]资金台帐!AC2231</f>
        <v>0</v>
      </c>
      <c r="AD2231">
        <f>[1]资金台帐!AD2231</f>
        <v>0</v>
      </c>
      <c r="AJ2231">
        <f>[1]资金台帐!AJ2231</f>
        <v>0</v>
      </c>
      <c r="AK2231">
        <f>[1]资金台帐!AK2231</f>
        <v>0</v>
      </c>
      <c r="BA2231" s="22">
        <f t="shared" si="0"/>
      </c>
      <c r="BG2231" s="22">
        <f t="shared" si="1"/>
      </c>
      <c r="BH2231" s="22">
        <f t="shared" si="2"/>
        <v>0</v>
      </c>
    </row>
    <row r="2232">
      <c r="B2232">
        <f>[1]资金台帐!B2232&amp;""</f>
      </c>
      <c r="H2232">
        <f>[1]资金台帐!H2232&amp;""</f>
      </c>
      <c r="J2232">
        <f>[1]资金台帐!J2232&amp;""</f>
      </c>
      <c r="N2232">
        <f>[1]资金台帐!N2232</f>
      </c>
      <c r="O2232">
        <f>[1]资金台帐!O2232&amp;""</f>
      </c>
      <c r="P2232">
        <f>[1]资金台帐!P2232&amp;""</f>
      </c>
      <c r="Q2232">
        <f>[1]资金台帐!Q2232&amp;""</f>
      </c>
      <c r="T2232">
        <f>[1]资金台帐!T2232&amp;""</f>
      </c>
      <c r="U2232">
        <f>[1]资金台帐!U2232&amp;""</f>
      </c>
      <c r="W2232">
        <f>[1]资金台帐!W2232&amp;""</f>
      </c>
      <c r="X2232">
        <f>[1]资金台帐!X2232&amp;""</f>
      </c>
      <c r="AB2232">
        <f>[1]资金台帐!AB2232</f>
        <v>0</v>
      </c>
      <c r="AC2232">
        <f>[1]资金台帐!AC2232</f>
        <v>0</v>
      </c>
      <c r="AD2232">
        <f>[1]资金台帐!AD2232</f>
        <v>0</v>
      </c>
      <c r="AJ2232">
        <f>[1]资金台帐!AJ2232</f>
        <v>0</v>
      </c>
      <c r="AK2232">
        <f>[1]资金台帐!AK2232</f>
        <v>0</v>
      </c>
      <c r="BA2232" s="22">
        <f t="shared" si="0"/>
      </c>
      <c r="BG2232" s="22">
        <f t="shared" si="1"/>
      </c>
      <c r="BH2232" s="22">
        <f t="shared" si="2"/>
        <v>0</v>
      </c>
    </row>
    <row r="2233">
      <c r="B2233">
        <f>[1]资金台帐!B2233&amp;""</f>
      </c>
      <c r="H2233">
        <f>[1]资金台帐!H2233&amp;""</f>
      </c>
      <c r="J2233">
        <f>[1]资金台帐!J2233&amp;""</f>
      </c>
      <c r="N2233">
        <f>[1]资金台帐!N2233</f>
      </c>
      <c r="O2233">
        <f>[1]资金台帐!O2233&amp;""</f>
      </c>
      <c r="P2233">
        <f>[1]资金台帐!P2233&amp;""</f>
      </c>
      <c r="Q2233">
        <f>[1]资金台帐!Q2233&amp;""</f>
      </c>
      <c r="T2233">
        <f>[1]资金台帐!T2233&amp;""</f>
      </c>
      <c r="U2233">
        <f>[1]资金台帐!U2233&amp;""</f>
      </c>
      <c r="W2233">
        <f>[1]资金台帐!W2233&amp;""</f>
      </c>
      <c r="X2233">
        <f>[1]资金台帐!X2233&amp;""</f>
      </c>
      <c r="AB2233">
        <f>[1]资金台帐!AB2233</f>
        <v>0</v>
      </c>
      <c r="AC2233">
        <f>[1]资金台帐!AC2233</f>
        <v>0</v>
      </c>
      <c r="AD2233">
        <f>[1]资金台帐!AD2233</f>
        <v>0</v>
      </c>
      <c r="AJ2233">
        <f>[1]资金台帐!AJ2233</f>
        <v>0</v>
      </c>
      <c r="AK2233">
        <f>[1]资金台帐!AK2233</f>
        <v>0</v>
      </c>
      <c r="BA2233" s="22">
        <f t="shared" si="0"/>
      </c>
      <c r="BG2233" s="22">
        <f t="shared" si="1"/>
      </c>
      <c r="BH2233" s="22">
        <f t="shared" si="2"/>
        <v>0</v>
      </c>
    </row>
    <row r="2234">
      <c r="B2234">
        <f>[1]资金台帐!B2234&amp;""</f>
      </c>
      <c r="H2234">
        <f>[1]资金台帐!H2234&amp;""</f>
      </c>
      <c r="J2234">
        <f>[1]资金台帐!J2234&amp;""</f>
      </c>
      <c r="N2234">
        <f>[1]资金台帐!N2234</f>
      </c>
      <c r="O2234">
        <f>[1]资金台帐!O2234&amp;""</f>
      </c>
      <c r="P2234">
        <f>[1]资金台帐!P2234&amp;""</f>
      </c>
      <c r="Q2234">
        <f>[1]资金台帐!Q2234&amp;""</f>
      </c>
      <c r="T2234">
        <f>[1]资金台帐!T2234&amp;""</f>
      </c>
      <c r="U2234">
        <f>[1]资金台帐!U2234&amp;""</f>
      </c>
      <c r="W2234">
        <f>[1]资金台帐!W2234&amp;""</f>
      </c>
      <c r="X2234">
        <f>[1]资金台帐!X2234&amp;""</f>
      </c>
      <c r="AB2234">
        <f>[1]资金台帐!AB2234</f>
        <v>0</v>
      </c>
      <c r="AC2234">
        <f>[1]资金台帐!AC2234</f>
        <v>0</v>
      </c>
      <c r="AD2234">
        <f>[1]资金台帐!AD2234</f>
        <v>0</v>
      </c>
      <c r="AJ2234">
        <f>[1]资金台帐!AJ2234</f>
        <v>0</v>
      </c>
      <c r="AK2234">
        <f>[1]资金台帐!AK2234</f>
        <v>0</v>
      </c>
      <c r="BA2234" s="22">
        <f t="shared" si="0"/>
      </c>
      <c r="BG2234" s="22">
        <f t="shared" si="1"/>
      </c>
      <c r="BH2234" s="22">
        <f t="shared" si="2"/>
        <v>0</v>
      </c>
    </row>
    <row r="2235">
      <c r="B2235">
        <f>[1]资金台帐!B2235&amp;""</f>
      </c>
      <c r="H2235">
        <f>[1]资金台帐!H2235&amp;""</f>
      </c>
      <c r="J2235">
        <f>[1]资金台帐!J2235&amp;""</f>
      </c>
      <c r="N2235">
        <f>[1]资金台帐!N2235</f>
      </c>
      <c r="O2235">
        <f>[1]资金台帐!O2235&amp;""</f>
      </c>
      <c r="P2235">
        <f>[1]资金台帐!P2235&amp;""</f>
      </c>
      <c r="Q2235">
        <f>[1]资金台帐!Q2235&amp;""</f>
      </c>
      <c r="T2235">
        <f>[1]资金台帐!T2235&amp;""</f>
      </c>
      <c r="U2235">
        <f>[1]资金台帐!U2235&amp;""</f>
      </c>
      <c r="W2235">
        <f>[1]资金台帐!W2235&amp;""</f>
      </c>
      <c r="X2235">
        <f>[1]资金台帐!X2235&amp;""</f>
      </c>
      <c r="AB2235">
        <f>[1]资金台帐!AB2235</f>
        <v>0</v>
      </c>
      <c r="AC2235">
        <f>[1]资金台帐!AC2235</f>
        <v>0</v>
      </c>
      <c r="AD2235">
        <f>[1]资金台帐!AD2235</f>
        <v>0</v>
      </c>
      <c r="AJ2235">
        <f>[1]资金台帐!AJ2235</f>
        <v>0</v>
      </c>
      <c r="AK2235">
        <f>[1]资金台帐!AK2235</f>
        <v>0</v>
      </c>
      <c r="BA2235" s="22">
        <f t="shared" si="0"/>
      </c>
      <c r="BG2235" s="22">
        <f t="shared" si="1"/>
      </c>
      <c r="BH2235" s="22">
        <f t="shared" si="2"/>
        <v>0</v>
      </c>
    </row>
    <row r="2236">
      <c r="B2236">
        <f>[1]资金台帐!B2236&amp;""</f>
      </c>
      <c r="H2236">
        <f>[1]资金台帐!H2236&amp;""</f>
      </c>
      <c r="J2236">
        <f>[1]资金台帐!J2236&amp;""</f>
      </c>
      <c r="N2236">
        <f>[1]资金台帐!N2236</f>
      </c>
      <c r="O2236">
        <f>[1]资金台帐!O2236&amp;""</f>
      </c>
      <c r="P2236">
        <f>[1]资金台帐!P2236&amp;""</f>
      </c>
      <c r="Q2236">
        <f>[1]资金台帐!Q2236&amp;""</f>
      </c>
      <c r="T2236">
        <f>[1]资金台帐!T2236&amp;""</f>
      </c>
      <c r="U2236">
        <f>[1]资金台帐!U2236&amp;""</f>
      </c>
      <c r="W2236">
        <f>[1]资金台帐!W2236&amp;""</f>
      </c>
      <c r="X2236">
        <f>[1]资金台帐!X2236&amp;""</f>
      </c>
      <c r="AB2236">
        <f>[1]资金台帐!AB2236</f>
        <v>0</v>
      </c>
      <c r="AC2236">
        <f>[1]资金台帐!AC2236</f>
        <v>0</v>
      </c>
      <c r="AD2236">
        <f>[1]资金台帐!AD2236</f>
        <v>0</v>
      </c>
      <c r="AJ2236">
        <f>[1]资金台帐!AJ2236</f>
        <v>0</v>
      </c>
      <c r="AK2236">
        <f>[1]资金台帐!AK2236</f>
        <v>0</v>
      </c>
      <c r="BA2236" s="22">
        <f t="shared" si="0"/>
      </c>
      <c r="BG2236" s="22">
        <f t="shared" si="1"/>
      </c>
      <c r="BH2236" s="22">
        <f t="shared" si="2"/>
        <v>0</v>
      </c>
    </row>
    <row r="2237">
      <c r="B2237">
        <f>[1]资金台帐!B2237&amp;""</f>
      </c>
      <c r="H2237">
        <f>[1]资金台帐!H2237&amp;""</f>
      </c>
      <c r="J2237">
        <f>[1]资金台帐!J2237&amp;""</f>
      </c>
      <c r="N2237">
        <f>[1]资金台帐!N2237</f>
      </c>
      <c r="O2237">
        <f>[1]资金台帐!O2237&amp;""</f>
      </c>
      <c r="P2237">
        <f>[1]资金台帐!P2237&amp;""</f>
      </c>
      <c r="Q2237">
        <f>[1]资金台帐!Q2237&amp;""</f>
      </c>
      <c r="T2237">
        <f>[1]资金台帐!T2237&amp;""</f>
      </c>
      <c r="U2237">
        <f>[1]资金台帐!U2237&amp;""</f>
      </c>
      <c r="W2237">
        <f>[1]资金台帐!W2237&amp;""</f>
      </c>
      <c r="X2237">
        <f>[1]资金台帐!X2237&amp;""</f>
      </c>
      <c r="AB2237">
        <f>[1]资金台帐!AB2237</f>
        <v>0</v>
      </c>
      <c r="AC2237">
        <f>[1]资金台帐!AC2237</f>
        <v>0</v>
      </c>
      <c r="AD2237">
        <f>[1]资金台帐!AD2237</f>
        <v>0</v>
      </c>
      <c r="AJ2237">
        <f>[1]资金台帐!AJ2237</f>
        <v>0</v>
      </c>
      <c r="AK2237">
        <f>[1]资金台帐!AK2237</f>
        <v>0</v>
      </c>
      <c r="BA2237" s="22">
        <f t="shared" si="0"/>
      </c>
      <c r="BG2237" s="22">
        <f t="shared" si="1"/>
      </c>
      <c r="BH2237" s="22">
        <f t="shared" si="2"/>
        <v>0</v>
      </c>
    </row>
    <row r="2238">
      <c r="B2238">
        <f>[1]资金台帐!B2238&amp;""</f>
      </c>
      <c r="H2238">
        <f>[1]资金台帐!H2238&amp;""</f>
      </c>
      <c r="J2238">
        <f>[1]资金台帐!J2238&amp;""</f>
      </c>
      <c r="N2238">
        <f>[1]资金台帐!N2238</f>
      </c>
      <c r="O2238">
        <f>[1]资金台帐!O2238&amp;""</f>
      </c>
      <c r="P2238">
        <f>[1]资金台帐!P2238&amp;""</f>
      </c>
      <c r="Q2238">
        <f>[1]资金台帐!Q2238&amp;""</f>
      </c>
      <c r="T2238">
        <f>[1]资金台帐!T2238&amp;""</f>
      </c>
      <c r="U2238">
        <f>[1]资金台帐!U2238&amp;""</f>
      </c>
      <c r="W2238">
        <f>[1]资金台帐!W2238&amp;""</f>
      </c>
      <c r="X2238">
        <f>[1]资金台帐!X2238&amp;""</f>
      </c>
      <c r="AB2238">
        <f>[1]资金台帐!AB2238</f>
        <v>0</v>
      </c>
      <c r="AC2238">
        <f>[1]资金台帐!AC2238</f>
        <v>0</v>
      </c>
      <c r="AD2238">
        <f>[1]资金台帐!AD2238</f>
        <v>0</v>
      </c>
      <c r="AJ2238">
        <f>[1]资金台帐!AJ2238</f>
        <v>0</v>
      </c>
      <c r="AK2238">
        <f>[1]资金台帐!AK2238</f>
        <v>0</v>
      </c>
      <c r="BA2238" s="22">
        <f t="shared" si="0"/>
      </c>
      <c r="BG2238" s="22">
        <f t="shared" si="1"/>
      </c>
      <c r="BH2238" s="22">
        <f t="shared" si="2"/>
        <v>0</v>
      </c>
    </row>
    <row r="2239">
      <c r="B2239">
        <f>[1]资金台帐!B2239&amp;""</f>
      </c>
      <c r="H2239">
        <f>[1]资金台帐!H2239&amp;""</f>
      </c>
      <c r="J2239">
        <f>[1]资金台帐!J2239&amp;""</f>
      </c>
      <c r="N2239">
        <f>[1]资金台帐!N2239</f>
      </c>
      <c r="O2239">
        <f>[1]资金台帐!O2239&amp;""</f>
      </c>
      <c r="P2239">
        <f>[1]资金台帐!P2239&amp;""</f>
      </c>
      <c r="Q2239">
        <f>[1]资金台帐!Q2239&amp;""</f>
      </c>
      <c r="T2239">
        <f>[1]资金台帐!T2239&amp;""</f>
      </c>
      <c r="U2239">
        <f>[1]资金台帐!U2239&amp;""</f>
      </c>
      <c r="W2239">
        <f>[1]资金台帐!W2239&amp;""</f>
      </c>
      <c r="X2239">
        <f>[1]资金台帐!X2239&amp;""</f>
      </c>
      <c r="AB2239">
        <f>[1]资金台帐!AB2239</f>
        <v>0</v>
      </c>
      <c r="AC2239">
        <f>[1]资金台帐!AC2239</f>
        <v>0</v>
      </c>
      <c r="AD2239">
        <f>[1]资金台帐!AD2239</f>
        <v>0</v>
      </c>
      <c r="AJ2239">
        <f>[1]资金台帐!AJ2239</f>
        <v>0</v>
      </c>
      <c r="AK2239">
        <f>[1]资金台帐!AK2239</f>
        <v>0</v>
      </c>
      <c r="BA2239" s="22">
        <f t="shared" si="0"/>
      </c>
      <c r="BG2239" s="22">
        <f t="shared" si="1"/>
      </c>
      <c r="BH2239" s="22">
        <f t="shared" si="2"/>
        <v>0</v>
      </c>
    </row>
    <row r="2240">
      <c r="B2240">
        <f>[1]资金台帐!B2240&amp;""</f>
      </c>
      <c r="H2240">
        <f>[1]资金台帐!H2240&amp;""</f>
      </c>
      <c r="J2240">
        <f>[1]资金台帐!J2240&amp;""</f>
      </c>
      <c r="N2240">
        <f>[1]资金台帐!N2240</f>
      </c>
      <c r="O2240">
        <f>[1]资金台帐!O2240&amp;""</f>
      </c>
      <c r="P2240">
        <f>[1]资金台帐!P2240&amp;""</f>
      </c>
      <c r="Q2240">
        <f>[1]资金台帐!Q2240&amp;""</f>
      </c>
      <c r="T2240">
        <f>[1]资金台帐!T2240&amp;""</f>
      </c>
      <c r="U2240">
        <f>[1]资金台帐!U2240&amp;""</f>
      </c>
      <c r="W2240">
        <f>[1]资金台帐!W2240&amp;""</f>
      </c>
      <c r="X2240">
        <f>[1]资金台帐!X2240&amp;""</f>
      </c>
      <c r="AB2240">
        <f>[1]资金台帐!AB2240</f>
        <v>0</v>
      </c>
      <c r="AC2240">
        <f>[1]资金台帐!AC2240</f>
        <v>0</v>
      </c>
      <c r="AD2240">
        <f>[1]资金台帐!AD2240</f>
        <v>0</v>
      </c>
      <c r="AJ2240">
        <f>[1]资金台帐!AJ2240</f>
        <v>0</v>
      </c>
      <c r="AK2240">
        <f>[1]资金台帐!AK2240</f>
        <v>0</v>
      </c>
      <c r="BA2240" s="22">
        <f t="shared" si="0"/>
      </c>
      <c r="BG2240" s="22">
        <f t="shared" si="1"/>
      </c>
      <c r="BH2240" s="22">
        <f t="shared" si="2"/>
        <v>0</v>
      </c>
    </row>
    <row r="2241">
      <c r="B2241">
        <f>[1]资金台帐!B2241&amp;""</f>
      </c>
      <c r="H2241">
        <f>[1]资金台帐!H2241&amp;""</f>
      </c>
      <c r="J2241">
        <f>[1]资金台帐!J2241&amp;""</f>
      </c>
      <c r="N2241">
        <f>[1]资金台帐!N2241</f>
      </c>
      <c r="O2241">
        <f>[1]资金台帐!O2241&amp;""</f>
      </c>
      <c r="P2241">
        <f>[1]资金台帐!P2241&amp;""</f>
      </c>
      <c r="Q2241">
        <f>[1]资金台帐!Q2241&amp;""</f>
      </c>
      <c r="T2241">
        <f>[1]资金台帐!T2241&amp;""</f>
      </c>
      <c r="U2241">
        <f>[1]资金台帐!U2241&amp;""</f>
      </c>
      <c r="W2241">
        <f>[1]资金台帐!W2241&amp;""</f>
      </c>
      <c r="X2241">
        <f>[1]资金台帐!X2241&amp;""</f>
      </c>
      <c r="AB2241">
        <f>[1]资金台帐!AB2241</f>
        <v>0</v>
      </c>
      <c r="AC2241">
        <f>[1]资金台帐!AC2241</f>
        <v>0</v>
      </c>
      <c r="AD2241">
        <f>[1]资金台帐!AD2241</f>
        <v>0</v>
      </c>
      <c r="AJ2241">
        <f>[1]资金台帐!AJ2241</f>
        <v>0</v>
      </c>
      <c r="AK2241">
        <f>[1]资金台帐!AK2241</f>
        <v>0</v>
      </c>
      <c r="BA2241" s="22">
        <f t="shared" si="0"/>
      </c>
      <c r="BG2241" s="22">
        <f t="shared" si="1"/>
      </c>
      <c r="BH2241" s="22">
        <f t="shared" si="2"/>
        <v>0</v>
      </c>
    </row>
    <row r="2242">
      <c r="B2242">
        <f>[1]资金台帐!B2242&amp;""</f>
      </c>
      <c r="H2242">
        <f>[1]资金台帐!H2242&amp;""</f>
      </c>
      <c r="J2242">
        <f>[1]资金台帐!J2242&amp;""</f>
      </c>
      <c r="N2242">
        <f>[1]资金台帐!N2242</f>
      </c>
      <c r="O2242">
        <f>[1]资金台帐!O2242&amp;""</f>
      </c>
      <c r="P2242">
        <f>[1]资金台帐!P2242&amp;""</f>
      </c>
      <c r="Q2242">
        <f>[1]资金台帐!Q2242&amp;""</f>
      </c>
      <c r="T2242">
        <f>[1]资金台帐!T2242&amp;""</f>
      </c>
      <c r="U2242">
        <f>[1]资金台帐!U2242&amp;""</f>
      </c>
      <c r="W2242">
        <f>[1]资金台帐!W2242&amp;""</f>
      </c>
      <c r="X2242">
        <f>[1]资金台帐!X2242&amp;""</f>
      </c>
      <c r="AB2242">
        <f>[1]资金台帐!AB2242</f>
        <v>0</v>
      </c>
      <c r="AC2242">
        <f>[1]资金台帐!AC2242</f>
        <v>0</v>
      </c>
      <c r="AD2242">
        <f>[1]资金台帐!AD2242</f>
        <v>0</v>
      </c>
      <c r="AJ2242">
        <f>[1]资金台帐!AJ2242</f>
        <v>0</v>
      </c>
      <c r="AK2242">
        <f>[1]资金台帐!AK2242</f>
        <v>0</v>
      </c>
      <c r="BA2242" s="22">
        <f t="shared" si="0"/>
      </c>
      <c r="BG2242" s="22">
        <f t="shared" si="1"/>
      </c>
      <c r="BH2242" s="22">
        <f t="shared" si="2"/>
        <v>0</v>
      </c>
    </row>
    <row r="2243">
      <c r="B2243">
        <f>[1]资金台帐!B2243&amp;""</f>
      </c>
      <c r="H2243">
        <f>[1]资金台帐!H2243&amp;""</f>
      </c>
      <c r="J2243">
        <f>[1]资金台帐!J2243&amp;""</f>
      </c>
      <c r="N2243">
        <f>[1]资金台帐!N2243</f>
      </c>
      <c r="O2243">
        <f>[1]资金台帐!O2243&amp;""</f>
      </c>
      <c r="P2243">
        <f>[1]资金台帐!P2243&amp;""</f>
      </c>
      <c r="Q2243">
        <f>[1]资金台帐!Q2243&amp;""</f>
      </c>
      <c r="T2243">
        <f>[1]资金台帐!T2243&amp;""</f>
      </c>
      <c r="U2243">
        <f>[1]资金台帐!U2243&amp;""</f>
      </c>
      <c r="W2243">
        <f>[1]资金台帐!W2243&amp;""</f>
      </c>
      <c r="X2243">
        <f>[1]资金台帐!X2243&amp;""</f>
      </c>
      <c r="AB2243">
        <f>[1]资金台帐!AB2243</f>
        <v>0</v>
      </c>
      <c r="AC2243">
        <f>[1]资金台帐!AC2243</f>
        <v>0</v>
      </c>
      <c r="AD2243">
        <f>[1]资金台帐!AD2243</f>
        <v>0</v>
      </c>
      <c r="AJ2243">
        <f>[1]资金台帐!AJ2243</f>
        <v>0</v>
      </c>
      <c r="AK2243">
        <f>[1]资金台帐!AK2243</f>
        <v>0</v>
      </c>
      <c r="BA2243" s="22">
        <f t="shared" si="0"/>
      </c>
      <c r="BG2243" s="22">
        <f t="shared" si="1"/>
      </c>
      <c r="BH2243" s="22">
        <f t="shared" si="2"/>
        <v>0</v>
      </c>
    </row>
    <row r="2244">
      <c r="B2244">
        <f>[1]资金台帐!B2244&amp;""</f>
      </c>
      <c r="H2244">
        <f>[1]资金台帐!H2244&amp;""</f>
      </c>
      <c r="J2244">
        <f>[1]资金台帐!J2244&amp;""</f>
      </c>
      <c r="N2244">
        <f>[1]资金台帐!N2244</f>
      </c>
      <c r="O2244">
        <f>[1]资金台帐!O2244&amp;""</f>
      </c>
      <c r="P2244">
        <f>[1]资金台帐!P2244&amp;""</f>
      </c>
      <c r="Q2244">
        <f>[1]资金台帐!Q2244&amp;""</f>
      </c>
      <c r="T2244">
        <f>[1]资金台帐!T2244&amp;""</f>
      </c>
      <c r="U2244">
        <f>[1]资金台帐!U2244&amp;""</f>
      </c>
      <c r="W2244">
        <f>[1]资金台帐!W2244&amp;""</f>
      </c>
      <c r="X2244">
        <f>[1]资金台帐!X2244&amp;""</f>
      </c>
      <c r="AB2244">
        <f>[1]资金台帐!AB2244</f>
        <v>0</v>
      </c>
      <c r="AC2244">
        <f>[1]资金台帐!AC2244</f>
        <v>0</v>
      </c>
      <c r="AD2244">
        <f>[1]资金台帐!AD2244</f>
        <v>0</v>
      </c>
      <c r="AJ2244">
        <f>[1]资金台帐!AJ2244</f>
        <v>0</v>
      </c>
      <c r="AK2244">
        <f>[1]资金台帐!AK2244</f>
        <v>0</v>
      </c>
      <c r="BA2244" s="22">
        <f t="shared" si="0"/>
      </c>
      <c r="BG2244" s="22">
        <f t="shared" si="1"/>
      </c>
      <c r="BH2244" s="22">
        <f t="shared" si="2"/>
        <v>0</v>
      </c>
    </row>
    <row r="2245">
      <c r="B2245">
        <f>[1]资金台帐!B2245&amp;""</f>
      </c>
      <c r="H2245">
        <f>[1]资金台帐!H2245&amp;""</f>
      </c>
      <c r="J2245">
        <f>[1]资金台帐!J2245&amp;""</f>
      </c>
      <c r="N2245">
        <f>[1]资金台帐!N2245</f>
      </c>
      <c r="O2245">
        <f>[1]资金台帐!O2245&amp;""</f>
      </c>
      <c r="P2245">
        <f>[1]资金台帐!P2245&amp;""</f>
      </c>
      <c r="Q2245">
        <f>[1]资金台帐!Q2245&amp;""</f>
      </c>
      <c r="T2245">
        <f>[1]资金台帐!T2245&amp;""</f>
      </c>
      <c r="U2245">
        <f>[1]资金台帐!U2245&amp;""</f>
      </c>
      <c r="W2245">
        <f>[1]资金台帐!W2245&amp;""</f>
      </c>
      <c r="X2245">
        <f>[1]资金台帐!X2245&amp;""</f>
      </c>
      <c r="AB2245">
        <f>[1]资金台帐!AB2245</f>
        <v>0</v>
      </c>
      <c r="AC2245">
        <f>[1]资金台帐!AC2245</f>
        <v>0</v>
      </c>
      <c r="AD2245">
        <f>[1]资金台帐!AD2245</f>
        <v>0</v>
      </c>
      <c r="AJ2245">
        <f>[1]资金台帐!AJ2245</f>
        <v>0</v>
      </c>
      <c r="AK2245">
        <f>[1]资金台帐!AK2245</f>
        <v>0</v>
      </c>
      <c r="BA2245" s="22">
        <f t="shared" si="0"/>
      </c>
      <c r="BG2245" s="22">
        <f t="shared" si="1"/>
      </c>
      <c r="BH2245" s="22">
        <f t="shared" si="2"/>
        <v>0</v>
      </c>
    </row>
    <row r="2246">
      <c r="B2246">
        <f>[1]资金台帐!B2246&amp;""</f>
      </c>
      <c r="H2246">
        <f>[1]资金台帐!H2246&amp;""</f>
      </c>
      <c r="J2246">
        <f>[1]资金台帐!J2246&amp;""</f>
      </c>
      <c r="N2246">
        <f>[1]资金台帐!N2246</f>
      </c>
      <c r="O2246">
        <f>[1]资金台帐!O2246&amp;""</f>
      </c>
      <c r="P2246">
        <f>[1]资金台帐!P2246&amp;""</f>
      </c>
      <c r="Q2246">
        <f>[1]资金台帐!Q2246&amp;""</f>
      </c>
      <c r="T2246">
        <f>[1]资金台帐!T2246&amp;""</f>
      </c>
      <c r="U2246">
        <f>[1]资金台帐!U2246&amp;""</f>
      </c>
      <c r="W2246">
        <f>[1]资金台帐!W2246&amp;""</f>
      </c>
      <c r="X2246">
        <f>[1]资金台帐!X2246&amp;""</f>
      </c>
      <c r="AB2246">
        <f>[1]资金台帐!AB2246</f>
        <v>0</v>
      </c>
      <c r="AC2246">
        <f>[1]资金台帐!AC2246</f>
        <v>0</v>
      </c>
      <c r="AD2246">
        <f>[1]资金台帐!AD2246</f>
        <v>0</v>
      </c>
      <c r="AJ2246">
        <f>[1]资金台帐!AJ2246</f>
        <v>0</v>
      </c>
      <c r="AK2246">
        <f>[1]资金台帐!AK2246</f>
        <v>0</v>
      </c>
      <c r="BA2246" s="22">
        <f t="shared" si="0"/>
      </c>
      <c r="BG2246" s="22">
        <f t="shared" si="1"/>
      </c>
      <c r="BH2246" s="22">
        <f t="shared" si="2"/>
        <v>0</v>
      </c>
    </row>
    <row r="2247">
      <c r="B2247">
        <f>[1]资金台帐!B2247&amp;""</f>
      </c>
      <c r="H2247">
        <f>[1]资金台帐!H2247&amp;""</f>
      </c>
      <c r="J2247">
        <f>[1]资金台帐!J2247&amp;""</f>
      </c>
      <c r="N2247">
        <f>[1]资金台帐!N2247</f>
      </c>
      <c r="O2247">
        <f>[1]资金台帐!O2247&amp;""</f>
      </c>
      <c r="P2247">
        <f>[1]资金台帐!P2247&amp;""</f>
      </c>
      <c r="Q2247">
        <f>[1]资金台帐!Q2247&amp;""</f>
      </c>
      <c r="T2247">
        <f>[1]资金台帐!T2247&amp;""</f>
      </c>
      <c r="U2247">
        <f>[1]资金台帐!U2247&amp;""</f>
      </c>
      <c r="W2247">
        <f>[1]资金台帐!W2247&amp;""</f>
      </c>
      <c r="X2247">
        <f>[1]资金台帐!X2247&amp;""</f>
      </c>
      <c r="AB2247">
        <f>[1]资金台帐!AB2247</f>
        <v>0</v>
      </c>
      <c r="AC2247">
        <f>[1]资金台帐!AC2247</f>
        <v>0</v>
      </c>
      <c r="AD2247">
        <f>[1]资金台帐!AD2247</f>
        <v>0</v>
      </c>
      <c r="AJ2247">
        <f>[1]资金台帐!AJ2247</f>
        <v>0</v>
      </c>
      <c r="AK2247">
        <f>[1]资金台帐!AK2247</f>
        <v>0</v>
      </c>
      <c r="BA2247" s="22">
        <f t="shared" si="0"/>
      </c>
      <c r="BG2247" s="22">
        <f t="shared" si="1"/>
      </c>
      <c r="BH2247" s="22">
        <f t="shared" si="2"/>
        <v>0</v>
      </c>
    </row>
    <row r="2248">
      <c r="B2248">
        <f>[1]资金台帐!B2248&amp;""</f>
      </c>
      <c r="H2248">
        <f>[1]资金台帐!H2248&amp;""</f>
      </c>
      <c r="J2248">
        <f>[1]资金台帐!J2248&amp;""</f>
      </c>
      <c r="N2248">
        <f>[1]资金台帐!N2248</f>
      </c>
      <c r="O2248">
        <f>[1]资金台帐!O2248&amp;""</f>
      </c>
      <c r="P2248">
        <f>[1]资金台帐!P2248&amp;""</f>
      </c>
      <c r="Q2248">
        <f>[1]资金台帐!Q2248&amp;""</f>
      </c>
      <c r="T2248">
        <f>[1]资金台帐!T2248&amp;""</f>
      </c>
      <c r="U2248">
        <f>[1]资金台帐!U2248&amp;""</f>
      </c>
      <c r="W2248">
        <f>[1]资金台帐!W2248&amp;""</f>
      </c>
      <c r="X2248">
        <f>[1]资金台帐!X2248&amp;""</f>
      </c>
      <c r="AB2248">
        <f>[1]资金台帐!AB2248</f>
        <v>0</v>
      </c>
      <c r="AC2248">
        <f>[1]资金台帐!AC2248</f>
        <v>0</v>
      </c>
      <c r="AD2248">
        <f>[1]资金台帐!AD2248</f>
        <v>0</v>
      </c>
      <c r="AJ2248">
        <f>[1]资金台帐!AJ2248</f>
        <v>0</v>
      </c>
      <c r="AK2248">
        <f>[1]资金台帐!AK2248</f>
        <v>0</v>
      </c>
      <c r="BA2248" s="22">
        <f t="shared" si="0"/>
      </c>
      <c r="BG2248" s="22">
        <f t="shared" si="1"/>
      </c>
      <c r="BH2248" s="22">
        <f t="shared" si="2"/>
        <v>0</v>
      </c>
    </row>
    <row r="2249">
      <c r="B2249">
        <f>[1]资金台帐!B2249&amp;""</f>
      </c>
      <c r="H2249">
        <f>[1]资金台帐!H2249&amp;""</f>
      </c>
      <c r="J2249">
        <f>[1]资金台帐!J2249&amp;""</f>
      </c>
      <c r="N2249">
        <f>[1]资金台帐!N2249</f>
      </c>
      <c r="O2249">
        <f>[1]资金台帐!O2249&amp;""</f>
      </c>
      <c r="P2249">
        <f>[1]资金台帐!P2249&amp;""</f>
      </c>
      <c r="Q2249">
        <f>[1]资金台帐!Q2249&amp;""</f>
      </c>
      <c r="T2249">
        <f>[1]资金台帐!T2249&amp;""</f>
      </c>
      <c r="U2249">
        <f>[1]资金台帐!U2249&amp;""</f>
      </c>
      <c r="W2249">
        <f>[1]资金台帐!W2249&amp;""</f>
      </c>
      <c r="X2249">
        <f>[1]资金台帐!X2249&amp;""</f>
      </c>
      <c r="AB2249">
        <f>[1]资金台帐!AB2249</f>
        <v>0</v>
      </c>
      <c r="AC2249">
        <f>[1]资金台帐!AC2249</f>
        <v>0</v>
      </c>
      <c r="AD2249">
        <f>[1]资金台帐!AD2249</f>
        <v>0</v>
      </c>
      <c r="AJ2249">
        <f>[1]资金台帐!AJ2249</f>
        <v>0</v>
      </c>
      <c r="AK2249">
        <f>[1]资金台帐!AK2249</f>
        <v>0</v>
      </c>
      <c r="BA2249" s="22">
        <f t="shared" si="0"/>
      </c>
      <c r="BG2249" s="22">
        <f t="shared" si="1"/>
      </c>
      <c r="BH2249" s="22">
        <f t="shared" si="2"/>
        <v>0</v>
      </c>
    </row>
    <row r="2250">
      <c r="B2250">
        <f>[1]资金台帐!B2250&amp;""</f>
      </c>
      <c r="H2250">
        <f>[1]资金台帐!H2250&amp;""</f>
      </c>
      <c r="J2250">
        <f>[1]资金台帐!J2250&amp;""</f>
      </c>
      <c r="N2250">
        <f>[1]资金台帐!N2250</f>
      </c>
      <c r="O2250">
        <f>[1]资金台帐!O2250&amp;""</f>
      </c>
      <c r="P2250">
        <f>[1]资金台帐!P2250&amp;""</f>
      </c>
      <c r="Q2250">
        <f>[1]资金台帐!Q2250&amp;""</f>
      </c>
      <c r="T2250">
        <f>[1]资金台帐!T2250&amp;""</f>
      </c>
      <c r="U2250">
        <f>[1]资金台帐!U2250&amp;""</f>
      </c>
      <c r="W2250">
        <f>[1]资金台帐!W2250&amp;""</f>
      </c>
      <c r="X2250">
        <f>[1]资金台帐!X2250&amp;""</f>
      </c>
      <c r="AB2250">
        <f>[1]资金台帐!AB2250</f>
        <v>0</v>
      </c>
      <c r="AC2250">
        <f>[1]资金台帐!AC2250</f>
        <v>0</v>
      </c>
      <c r="AD2250">
        <f>[1]资金台帐!AD2250</f>
        <v>0</v>
      </c>
      <c r="AJ2250">
        <f>[1]资金台帐!AJ2250</f>
        <v>0</v>
      </c>
      <c r="AK2250">
        <f>[1]资金台帐!AK2250</f>
        <v>0</v>
      </c>
      <c r="BA2250" s="22">
        <f t="shared" si="0"/>
      </c>
      <c r="BG2250" s="22">
        <f t="shared" si="1"/>
      </c>
      <c r="BH2250" s="22">
        <f t="shared" si="2"/>
        <v>0</v>
      </c>
    </row>
    <row r="2251">
      <c r="B2251">
        <f>[1]资金台帐!B2251&amp;""</f>
      </c>
      <c r="H2251">
        <f>[1]资金台帐!H2251&amp;""</f>
      </c>
      <c r="J2251">
        <f>[1]资金台帐!J2251&amp;""</f>
      </c>
      <c r="N2251">
        <f>[1]资金台帐!N2251</f>
      </c>
      <c r="O2251">
        <f>[1]资金台帐!O2251&amp;""</f>
      </c>
      <c r="P2251">
        <f>[1]资金台帐!P2251&amp;""</f>
      </c>
      <c r="Q2251">
        <f>[1]资金台帐!Q2251&amp;""</f>
      </c>
      <c r="T2251">
        <f>[1]资金台帐!T2251&amp;""</f>
      </c>
      <c r="U2251">
        <f>[1]资金台帐!U2251&amp;""</f>
      </c>
      <c r="W2251">
        <f>[1]资金台帐!W2251&amp;""</f>
      </c>
      <c r="X2251">
        <f>[1]资金台帐!X2251&amp;""</f>
      </c>
      <c r="AB2251">
        <f>[1]资金台帐!AB2251</f>
        <v>0</v>
      </c>
      <c r="AC2251">
        <f>[1]资金台帐!AC2251</f>
        <v>0</v>
      </c>
      <c r="AD2251">
        <f>[1]资金台帐!AD2251</f>
        <v>0</v>
      </c>
      <c r="AJ2251">
        <f>[1]资金台帐!AJ2251</f>
        <v>0</v>
      </c>
      <c r="AK2251">
        <f>[1]资金台帐!AK2251</f>
        <v>0</v>
      </c>
      <c r="BA2251" s="22">
        <f t="shared" si="0"/>
      </c>
      <c r="BG2251" s="22">
        <f t="shared" si="1"/>
      </c>
      <c r="BH2251" s="22">
        <f t="shared" si="2"/>
        <v>0</v>
      </c>
    </row>
    <row r="2252">
      <c r="B2252">
        <f>[1]资金台帐!B2252&amp;""</f>
      </c>
      <c r="H2252">
        <f>[1]资金台帐!H2252&amp;""</f>
      </c>
      <c r="J2252">
        <f>[1]资金台帐!J2252&amp;""</f>
      </c>
      <c r="N2252">
        <f>[1]资金台帐!N2252</f>
      </c>
      <c r="O2252">
        <f>[1]资金台帐!O2252&amp;""</f>
      </c>
      <c r="P2252">
        <f>[1]资金台帐!P2252&amp;""</f>
      </c>
      <c r="Q2252">
        <f>[1]资金台帐!Q2252&amp;""</f>
      </c>
      <c r="T2252">
        <f>[1]资金台帐!T2252&amp;""</f>
      </c>
      <c r="U2252">
        <f>[1]资金台帐!U2252&amp;""</f>
      </c>
      <c r="W2252">
        <f>[1]资金台帐!W2252&amp;""</f>
      </c>
      <c r="X2252">
        <f>[1]资金台帐!X2252&amp;""</f>
      </c>
      <c r="AB2252">
        <f>[1]资金台帐!AB2252</f>
        <v>0</v>
      </c>
      <c r="AC2252">
        <f>[1]资金台帐!AC2252</f>
        <v>0</v>
      </c>
      <c r="AD2252">
        <f>[1]资金台帐!AD2252</f>
        <v>0</v>
      </c>
      <c r="AJ2252">
        <f>[1]资金台帐!AJ2252</f>
        <v>0</v>
      </c>
      <c r="AK2252">
        <f>[1]资金台帐!AK2252</f>
        <v>0</v>
      </c>
      <c r="BA2252" s="22">
        <f t="shared" si="0"/>
      </c>
      <c r="BG2252" s="22">
        <f t="shared" si="1"/>
      </c>
      <c r="BH2252" s="22">
        <f t="shared" si="2"/>
        <v>0</v>
      </c>
    </row>
    <row r="2253">
      <c r="B2253">
        <f>[1]资金台帐!B2253&amp;""</f>
      </c>
      <c r="H2253">
        <f>[1]资金台帐!H2253&amp;""</f>
      </c>
      <c r="J2253">
        <f>[1]资金台帐!J2253&amp;""</f>
      </c>
      <c r="N2253">
        <f>[1]资金台帐!N2253</f>
      </c>
      <c r="O2253">
        <f>[1]资金台帐!O2253&amp;""</f>
      </c>
      <c r="P2253">
        <f>[1]资金台帐!P2253&amp;""</f>
      </c>
      <c r="Q2253">
        <f>[1]资金台帐!Q2253&amp;""</f>
      </c>
      <c r="T2253">
        <f>[1]资金台帐!T2253&amp;""</f>
      </c>
      <c r="U2253">
        <f>[1]资金台帐!U2253&amp;""</f>
      </c>
      <c r="W2253">
        <f>[1]资金台帐!W2253&amp;""</f>
      </c>
      <c r="X2253">
        <f>[1]资金台帐!X2253&amp;""</f>
      </c>
      <c r="AB2253">
        <f>[1]资金台帐!AB2253</f>
        <v>0</v>
      </c>
      <c r="AC2253">
        <f>[1]资金台帐!AC2253</f>
        <v>0</v>
      </c>
      <c r="AD2253">
        <f>[1]资金台帐!AD2253</f>
        <v>0</v>
      </c>
      <c r="AJ2253">
        <f>[1]资金台帐!AJ2253</f>
        <v>0</v>
      </c>
      <c r="AK2253">
        <f>[1]资金台帐!AK2253</f>
        <v>0</v>
      </c>
      <c r="BA2253" s="22">
        <f t="shared" si="0"/>
      </c>
      <c r="BG2253" s="22">
        <f t="shared" si="1"/>
      </c>
      <c r="BH2253" s="22">
        <f t="shared" si="2"/>
        <v>0</v>
      </c>
    </row>
    <row r="2254">
      <c r="B2254">
        <f>[1]资金台帐!B2254&amp;""</f>
      </c>
      <c r="H2254">
        <f>[1]资金台帐!H2254&amp;""</f>
      </c>
      <c r="J2254">
        <f>[1]资金台帐!J2254&amp;""</f>
      </c>
      <c r="N2254">
        <f>[1]资金台帐!N2254</f>
      </c>
      <c r="O2254">
        <f>[1]资金台帐!O2254&amp;""</f>
      </c>
      <c r="P2254">
        <f>[1]资金台帐!P2254&amp;""</f>
      </c>
      <c r="Q2254">
        <f>[1]资金台帐!Q2254&amp;""</f>
      </c>
      <c r="T2254">
        <f>[1]资金台帐!T2254&amp;""</f>
      </c>
      <c r="U2254">
        <f>[1]资金台帐!U2254&amp;""</f>
      </c>
      <c r="W2254">
        <f>[1]资金台帐!W2254&amp;""</f>
      </c>
      <c r="X2254">
        <f>[1]资金台帐!X2254&amp;""</f>
      </c>
      <c r="AB2254">
        <f>[1]资金台帐!AB2254</f>
        <v>0</v>
      </c>
      <c r="AC2254">
        <f>[1]资金台帐!AC2254</f>
        <v>0</v>
      </c>
      <c r="AD2254">
        <f>[1]资金台帐!AD2254</f>
        <v>0</v>
      </c>
      <c r="AJ2254">
        <f>[1]资金台帐!AJ2254</f>
        <v>0</v>
      </c>
      <c r="AK2254">
        <f>[1]资金台帐!AK2254</f>
        <v>0</v>
      </c>
      <c r="BA2254" s="22">
        <f t="shared" si="0"/>
      </c>
      <c r="BG2254" s="22">
        <f t="shared" si="1"/>
      </c>
      <c r="BH2254" s="22">
        <f t="shared" si="2"/>
        <v>0</v>
      </c>
    </row>
    <row r="2255">
      <c r="B2255">
        <f>[1]资金台帐!B2255&amp;""</f>
      </c>
      <c r="H2255">
        <f>[1]资金台帐!H2255&amp;""</f>
      </c>
      <c r="J2255">
        <f>[1]资金台帐!J2255&amp;""</f>
      </c>
      <c r="N2255">
        <f>[1]资金台帐!N2255</f>
      </c>
      <c r="O2255">
        <f>[1]资金台帐!O2255&amp;""</f>
      </c>
      <c r="P2255">
        <f>[1]资金台帐!P2255&amp;""</f>
      </c>
      <c r="Q2255">
        <f>[1]资金台帐!Q2255&amp;""</f>
      </c>
      <c r="T2255">
        <f>[1]资金台帐!T2255&amp;""</f>
      </c>
      <c r="U2255">
        <f>[1]资金台帐!U2255&amp;""</f>
      </c>
      <c r="W2255">
        <f>[1]资金台帐!W2255&amp;""</f>
      </c>
      <c r="X2255">
        <f>[1]资金台帐!X2255&amp;""</f>
      </c>
      <c r="AB2255">
        <f>[1]资金台帐!AB2255</f>
        <v>0</v>
      </c>
      <c r="AC2255">
        <f>[1]资金台帐!AC2255</f>
        <v>0</v>
      </c>
      <c r="AD2255">
        <f>[1]资金台帐!AD2255</f>
        <v>0</v>
      </c>
      <c r="AJ2255">
        <f>[1]资金台帐!AJ2255</f>
        <v>0</v>
      </c>
      <c r="AK2255">
        <f>[1]资金台帐!AK2255</f>
        <v>0</v>
      </c>
      <c r="BA2255" s="22">
        <f t="shared" si="0"/>
      </c>
      <c r="BG2255" s="22">
        <f t="shared" si="1"/>
      </c>
      <c r="BH2255" s="22">
        <f t="shared" si="2"/>
        <v>0</v>
      </c>
    </row>
    <row r="2256">
      <c r="B2256">
        <f>[1]资金台帐!B2256&amp;""</f>
      </c>
      <c r="H2256">
        <f>[1]资金台帐!H2256&amp;""</f>
      </c>
      <c r="J2256">
        <f>[1]资金台帐!J2256&amp;""</f>
      </c>
      <c r="N2256">
        <f>[1]资金台帐!N2256</f>
      </c>
      <c r="O2256">
        <f>[1]资金台帐!O2256&amp;""</f>
      </c>
      <c r="P2256">
        <f>[1]资金台帐!P2256&amp;""</f>
      </c>
      <c r="Q2256">
        <f>[1]资金台帐!Q2256&amp;""</f>
      </c>
      <c r="T2256">
        <f>[1]资金台帐!T2256&amp;""</f>
      </c>
      <c r="U2256">
        <f>[1]资金台帐!U2256&amp;""</f>
      </c>
      <c r="W2256">
        <f>[1]资金台帐!W2256&amp;""</f>
      </c>
      <c r="X2256">
        <f>[1]资金台帐!X2256&amp;""</f>
      </c>
      <c r="AB2256">
        <f>[1]资金台帐!AB2256</f>
        <v>0</v>
      </c>
      <c r="AC2256">
        <f>[1]资金台帐!AC2256</f>
        <v>0</v>
      </c>
      <c r="AD2256">
        <f>[1]资金台帐!AD2256</f>
        <v>0</v>
      </c>
      <c r="AJ2256">
        <f>[1]资金台帐!AJ2256</f>
        <v>0</v>
      </c>
      <c r="AK2256">
        <f>[1]资金台帐!AK2256</f>
        <v>0</v>
      </c>
      <c r="BA2256" s="22">
        <f t="shared" si="0"/>
      </c>
      <c r="BG2256" s="22">
        <f t="shared" si="1"/>
      </c>
      <c r="BH2256" s="22">
        <f t="shared" si="2"/>
        <v>0</v>
      </c>
    </row>
    <row r="2257">
      <c r="B2257">
        <f>[1]资金台帐!B2257&amp;""</f>
      </c>
      <c r="H2257">
        <f>[1]资金台帐!H2257&amp;""</f>
      </c>
      <c r="J2257">
        <f>[1]资金台帐!J2257&amp;""</f>
      </c>
      <c r="N2257">
        <f>[1]资金台帐!N2257</f>
      </c>
      <c r="O2257">
        <f>[1]资金台帐!O2257&amp;""</f>
      </c>
      <c r="P2257">
        <f>[1]资金台帐!P2257&amp;""</f>
      </c>
      <c r="Q2257">
        <f>[1]资金台帐!Q2257&amp;""</f>
      </c>
      <c r="T2257">
        <f>[1]资金台帐!T2257&amp;""</f>
      </c>
      <c r="U2257">
        <f>[1]资金台帐!U2257&amp;""</f>
      </c>
      <c r="W2257">
        <f>[1]资金台帐!W2257&amp;""</f>
      </c>
      <c r="X2257">
        <f>[1]资金台帐!X2257&amp;""</f>
      </c>
      <c r="AB2257">
        <f>[1]资金台帐!AB2257</f>
        <v>0</v>
      </c>
      <c r="AC2257">
        <f>[1]资金台帐!AC2257</f>
        <v>0</v>
      </c>
      <c r="AD2257">
        <f>[1]资金台帐!AD2257</f>
        <v>0</v>
      </c>
      <c r="AJ2257">
        <f>[1]资金台帐!AJ2257</f>
        <v>0</v>
      </c>
      <c r="AK2257">
        <f>[1]资金台帐!AK2257</f>
        <v>0</v>
      </c>
      <c r="BA2257" s="22">
        <f t="shared" si="0"/>
      </c>
      <c r="BG2257" s="22">
        <f t="shared" si="1"/>
      </c>
      <c r="BH2257" s="22">
        <f t="shared" si="2"/>
        <v>0</v>
      </c>
    </row>
    <row r="2258">
      <c r="B2258">
        <f>[1]资金台帐!B2258&amp;""</f>
      </c>
      <c r="H2258">
        <f>[1]资金台帐!H2258&amp;""</f>
      </c>
      <c r="J2258">
        <f>[1]资金台帐!J2258&amp;""</f>
      </c>
      <c r="N2258">
        <f>[1]资金台帐!N2258</f>
      </c>
      <c r="O2258">
        <f>[1]资金台帐!O2258&amp;""</f>
      </c>
      <c r="P2258">
        <f>[1]资金台帐!P2258&amp;""</f>
      </c>
      <c r="Q2258">
        <f>[1]资金台帐!Q2258&amp;""</f>
      </c>
      <c r="T2258">
        <f>[1]资金台帐!T2258&amp;""</f>
      </c>
      <c r="U2258">
        <f>[1]资金台帐!U2258&amp;""</f>
      </c>
      <c r="W2258">
        <f>[1]资金台帐!W2258&amp;""</f>
      </c>
      <c r="X2258">
        <f>[1]资金台帐!X2258&amp;""</f>
      </c>
      <c r="AB2258">
        <f>[1]资金台帐!AB2258</f>
        <v>0</v>
      </c>
      <c r="AC2258">
        <f>[1]资金台帐!AC2258</f>
        <v>0</v>
      </c>
      <c r="AD2258">
        <f>[1]资金台帐!AD2258</f>
        <v>0</v>
      </c>
      <c r="AJ2258">
        <f>[1]资金台帐!AJ2258</f>
        <v>0</v>
      </c>
      <c r="AK2258">
        <f>[1]资金台帐!AK2258</f>
        <v>0</v>
      </c>
      <c r="BA2258" s="22">
        <f t="shared" si="0"/>
      </c>
      <c r="BG2258" s="22">
        <f t="shared" si="1"/>
      </c>
      <c r="BH2258" s="22">
        <f t="shared" si="2"/>
        <v>0</v>
      </c>
    </row>
    <row r="2259">
      <c r="B2259">
        <f>[1]资金台帐!B2259&amp;""</f>
      </c>
      <c r="H2259">
        <f>[1]资金台帐!H2259&amp;""</f>
      </c>
      <c r="J2259">
        <f>[1]资金台帐!J2259&amp;""</f>
      </c>
      <c r="N2259">
        <f>[1]资金台帐!N2259</f>
      </c>
      <c r="O2259">
        <f>[1]资金台帐!O2259&amp;""</f>
      </c>
      <c r="P2259">
        <f>[1]资金台帐!P2259&amp;""</f>
      </c>
      <c r="Q2259">
        <f>[1]资金台帐!Q2259&amp;""</f>
      </c>
      <c r="T2259">
        <f>[1]资金台帐!T2259&amp;""</f>
      </c>
      <c r="U2259">
        <f>[1]资金台帐!U2259&amp;""</f>
      </c>
      <c r="W2259">
        <f>[1]资金台帐!W2259&amp;""</f>
      </c>
      <c r="X2259">
        <f>[1]资金台帐!X2259&amp;""</f>
      </c>
      <c r="AB2259">
        <f>[1]资金台帐!AB2259</f>
        <v>0</v>
      </c>
      <c r="AC2259">
        <f>[1]资金台帐!AC2259</f>
        <v>0</v>
      </c>
      <c r="AD2259">
        <f>[1]资金台帐!AD2259</f>
        <v>0</v>
      </c>
      <c r="AJ2259">
        <f>[1]资金台帐!AJ2259</f>
        <v>0</v>
      </c>
      <c r="AK2259">
        <f>[1]资金台帐!AK2259</f>
        <v>0</v>
      </c>
      <c r="BA2259" s="22">
        <f t="shared" si="0"/>
      </c>
      <c r="BG2259" s="22">
        <f t="shared" si="1"/>
      </c>
      <c r="BH2259" s="22">
        <f t="shared" si="2"/>
        <v>0</v>
      </c>
    </row>
    <row r="2260">
      <c r="B2260">
        <f>[1]资金台帐!B2260&amp;""</f>
      </c>
      <c r="H2260">
        <f>[1]资金台帐!H2260&amp;""</f>
      </c>
      <c r="J2260">
        <f>[1]资金台帐!J2260&amp;""</f>
      </c>
      <c r="N2260">
        <f>[1]资金台帐!N2260</f>
      </c>
      <c r="O2260">
        <f>[1]资金台帐!O2260&amp;""</f>
      </c>
      <c r="P2260">
        <f>[1]资金台帐!P2260&amp;""</f>
      </c>
      <c r="Q2260">
        <f>[1]资金台帐!Q2260&amp;""</f>
      </c>
      <c r="T2260">
        <f>[1]资金台帐!T2260&amp;""</f>
      </c>
      <c r="U2260">
        <f>[1]资金台帐!U2260&amp;""</f>
      </c>
      <c r="W2260">
        <f>[1]资金台帐!W2260&amp;""</f>
      </c>
      <c r="X2260">
        <f>[1]资金台帐!X2260&amp;""</f>
      </c>
      <c r="AB2260">
        <f>[1]资金台帐!AB2260</f>
        <v>0</v>
      </c>
      <c r="AC2260">
        <f>[1]资金台帐!AC2260</f>
        <v>0</v>
      </c>
      <c r="AD2260">
        <f>[1]资金台帐!AD2260</f>
        <v>0</v>
      </c>
      <c r="AJ2260">
        <f>[1]资金台帐!AJ2260</f>
        <v>0</v>
      </c>
      <c r="AK2260">
        <f>[1]资金台帐!AK2260</f>
        <v>0</v>
      </c>
      <c r="BA2260" s="22">
        <f t="shared" si="0"/>
      </c>
      <c r="BG2260" s="22">
        <f t="shared" si="1"/>
      </c>
      <c r="BH2260" s="22">
        <f t="shared" si="2"/>
        <v>0</v>
      </c>
    </row>
    <row r="2261">
      <c r="B2261">
        <f>[1]资金台帐!B2261&amp;""</f>
      </c>
      <c r="H2261">
        <f>[1]资金台帐!H2261&amp;""</f>
      </c>
      <c r="J2261">
        <f>[1]资金台帐!J2261&amp;""</f>
      </c>
      <c r="N2261">
        <f>[1]资金台帐!N2261</f>
      </c>
      <c r="O2261">
        <f>[1]资金台帐!O2261&amp;""</f>
      </c>
      <c r="P2261">
        <f>[1]资金台帐!P2261&amp;""</f>
      </c>
      <c r="Q2261">
        <f>[1]资金台帐!Q2261&amp;""</f>
      </c>
      <c r="T2261">
        <f>[1]资金台帐!T2261&amp;""</f>
      </c>
      <c r="U2261">
        <f>[1]资金台帐!U2261&amp;""</f>
      </c>
      <c r="W2261">
        <f>[1]资金台帐!W2261&amp;""</f>
      </c>
      <c r="X2261">
        <f>[1]资金台帐!X2261&amp;""</f>
      </c>
      <c r="AB2261">
        <f>[1]资金台帐!AB2261</f>
        <v>0</v>
      </c>
      <c r="AC2261">
        <f>[1]资金台帐!AC2261</f>
        <v>0</v>
      </c>
      <c r="AD2261">
        <f>[1]资金台帐!AD2261</f>
        <v>0</v>
      </c>
      <c r="AJ2261">
        <f>[1]资金台帐!AJ2261</f>
        <v>0</v>
      </c>
      <c r="AK2261">
        <f>[1]资金台帐!AK2261</f>
        <v>0</v>
      </c>
      <c r="BA2261" s="22">
        <f t="shared" si="0"/>
      </c>
      <c r="BG2261" s="22">
        <f t="shared" si="1"/>
      </c>
      <c r="BH2261" s="22">
        <f t="shared" si="2"/>
        <v>0</v>
      </c>
    </row>
    <row r="2262">
      <c r="B2262">
        <f>[1]资金台帐!B2262&amp;""</f>
      </c>
      <c r="H2262">
        <f>[1]资金台帐!H2262&amp;""</f>
      </c>
      <c r="J2262">
        <f>[1]资金台帐!J2262&amp;""</f>
      </c>
      <c r="N2262">
        <f>[1]资金台帐!N2262</f>
      </c>
      <c r="O2262">
        <f>[1]资金台帐!O2262&amp;""</f>
      </c>
      <c r="P2262">
        <f>[1]资金台帐!P2262&amp;""</f>
      </c>
      <c r="Q2262">
        <f>[1]资金台帐!Q2262&amp;""</f>
      </c>
      <c r="T2262">
        <f>[1]资金台帐!T2262&amp;""</f>
      </c>
      <c r="U2262">
        <f>[1]资金台帐!U2262&amp;""</f>
      </c>
      <c r="W2262">
        <f>[1]资金台帐!W2262&amp;""</f>
      </c>
      <c r="X2262">
        <f>[1]资金台帐!X2262&amp;""</f>
      </c>
      <c r="AB2262">
        <f>[1]资金台帐!AB2262</f>
        <v>0</v>
      </c>
      <c r="AC2262">
        <f>[1]资金台帐!AC2262</f>
        <v>0</v>
      </c>
      <c r="AD2262">
        <f>[1]资金台帐!AD2262</f>
        <v>0</v>
      </c>
      <c r="AJ2262">
        <f>[1]资金台帐!AJ2262</f>
        <v>0</v>
      </c>
      <c r="AK2262">
        <f>[1]资金台帐!AK2262</f>
        <v>0</v>
      </c>
      <c r="BA2262" s="22">
        <f t="shared" si="0"/>
      </c>
      <c r="BG2262" s="22">
        <f t="shared" si="1"/>
      </c>
      <c r="BH2262" s="22">
        <f t="shared" si="2"/>
        <v>0</v>
      </c>
    </row>
    <row r="2263">
      <c r="B2263">
        <f>[1]资金台帐!B2263&amp;""</f>
      </c>
      <c r="H2263">
        <f>[1]资金台帐!H2263&amp;""</f>
      </c>
      <c r="J2263">
        <f>[1]资金台帐!J2263&amp;""</f>
      </c>
      <c r="N2263">
        <f>[1]资金台帐!N2263</f>
      </c>
      <c r="O2263">
        <f>[1]资金台帐!O2263&amp;""</f>
      </c>
      <c r="P2263">
        <f>[1]资金台帐!P2263&amp;""</f>
      </c>
      <c r="Q2263">
        <f>[1]资金台帐!Q2263&amp;""</f>
      </c>
      <c r="T2263">
        <f>[1]资金台帐!T2263&amp;""</f>
      </c>
      <c r="U2263">
        <f>[1]资金台帐!U2263&amp;""</f>
      </c>
      <c r="W2263">
        <f>[1]资金台帐!W2263&amp;""</f>
      </c>
      <c r="X2263">
        <f>[1]资金台帐!X2263&amp;""</f>
      </c>
      <c r="AB2263">
        <f>[1]资金台帐!AB2263</f>
        <v>0</v>
      </c>
      <c r="AC2263">
        <f>[1]资金台帐!AC2263</f>
        <v>0</v>
      </c>
      <c r="AD2263">
        <f>[1]资金台帐!AD2263</f>
        <v>0</v>
      </c>
      <c r="AJ2263">
        <f>[1]资金台帐!AJ2263</f>
        <v>0</v>
      </c>
      <c r="AK2263">
        <f>[1]资金台帐!AK2263</f>
        <v>0</v>
      </c>
      <c r="BA2263" s="22">
        <f t="shared" si="0"/>
      </c>
      <c r="BG2263" s="22">
        <f t="shared" si="1"/>
      </c>
      <c r="BH2263" s="22">
        <f t="shared" si="2"/>
        <v>0</v>
      </c>
    </row>
    <row r="2264">
      <c r="B2264">
        <f>[1]资金台帐!B2264&amp;""</f>
      </c>
      <c r="H2264">
        <f>[1]资金台帐!H2264&amp;""</f>
      </c>
      <c r="J2264">
        <f>[1]资金台帐!J2264&amp;""</f>
      </c>
      <c r="N2264">
        <f>[1]资金台帐!N2264</f>
      </c>
      <c r="O2264">
        <f>[1]资金台帐!O2264&amp;""</f>
      </c>
      <c r="P2264">
        <f>[1]资金台帐!P2264&amp;""</f>
      </c>
      <c r="Q2264">
        <f>[1]资金台帐!Q2264&amp;""</f>
      </c>
      <c r="T2264">
        <f>[1]资金台帐!T2264&amp;""</f>
      </c>
      <c r="U2264">
        <f>[1]资金台帐!U2264&amp;""</f>
      </c>
      <c r="W2264">
        <f>[1]资金台帐!W2264&amp;""</f>
      </c>
      <c r="X2264">
        <f>[1]资金台帐!X2264&amp;""</f>
      </c>
      <c r="AB2264">
        <f>[1]资金台帐!AB2264</f>
        <v>0</v>
      </c>
      <c r="AC2264">
        <f>[1]资金台帐!AC2264</f>
        <v>0</v>
      </c>
      <c r="AD2264">
        <f>[1]资金台帐!AD2264</f>
        <v>0</v>
      </c>
      <c r="AJ2264">
        <f>[1]资金台帐!AJ2264</f>
        <v>0</v>
      </c>
      <c r="AK2264">
        <f>[1]资金台帐!AK2264</f>
        <v>0</v>
      </c>
      <c r="BA2264" s="22">
        <f t="shared" si="0"/>
      </c>
      <c r="BG2264" s="22">
        <f t="shared" si="1"/>
      </c>
      <c r="BH2264" s="22">
        <f t="shared" si="2"/>
        <v>0</v>
      </c>
    </row>
    <row r="2265">
      <c r="B2265">
        <f>[1]资金台帐!B2265&amp;""</f>
      </c>
      <c r="H2265">
        <f>[1]资金台帐!H2265&amp;""</f>
      </c>
      <c r="J2265">
        <f>[1]资金台帐!J2265&amp;""</f>
      </c>
      <c r="N2265">
        <f>[1]资金台帐!N2265</f>
      </c>
      <c r="O2265">
        <f>[1]资金台帐!O2265&amp;""</f>
      </c>
      <c r="P2265">
        <f>[1]资金台帐!P2265&amp;""</f>
      </c>
      <c r="Q2265">
        <f>[1]资金台帐!Q2265&amp;""</f>
      </c>
      <c r="T2265">
        <f>[1]资金台帐!T2265&amp;""</f>
      </c>
      <c r="U2265">
        <f>[1]资金台帐!U2265&amp;""</f>
      </c>
      <c r="W2265">
        <f>[1]资金台帐!W2265&amp;""</f>
      </c>
      <c r="X2265">
        <f>[1]资金台帐!X2265&amp;""</f>
      </c>
      <c r="AB2265">
        <f>[1]资金台帐!AB2265</f>
        <v>0</v>
      </c>
      <c r="AC2265">
        <f>[1]资金台帐!AC2265</f>
        <v>0</v>
      </c>
      <c r="AD2265">
        <f>[1]资金台帐!AD2265</f>
        <v>0</v>
      </c>
      <c r="AJ2265">
        <f>[1]资金台帐!AJ2265</f>
        <v>0</v>
      </c>
      <c r="AK2265">
        <f>[1]资金台帐!AK2265</f>
        <v>0</v>
      </c>
      <c r="BA2265" s="22">
        <f t="shared" si="0"/>
      </c>
      <c r="BG2265" s="22">
        <f t="shared" si="1"/>
      </c>
      <c r="BH2265" s="22">
        <f t="shared" si="2"/>
        <v>0</v>
      </c>
    </row>
    <row r="2266">
      <c r="B2266">
        <f>[1]资金台帐!B2266&amp;""</f>
      </c>
      <c r="H2266">
        <f>[1]资金台帐!H2266&amp;""</f>
      </c>
      <c r="J2266">
        <f>[1]资金台帐!J2266&amp;""</f>
      </c>
      <c r="N2266">
        <f>[1]资金台帐!N2266</f>
      </c>
      <c r="O2266">
        <f>[1]资金台帐!O2266&amp;""</f>
      </c>
      <c r="P2266">
        <f>[1]资金台帐!P2266&amp;""</f>
      </c>
      <c r="Q2266">
        <f>[1]资金台帐!Q2266&amp;""</f>
      </c>
      <c r="T2266">
        <f>[1]资金台帐!T2266&amp;""</f>
      </c>
      <c r="U2266">
        <f>[1]资金台帐!U2266&amp;""</f>
      </c>
      <c r="W2266">
        <f>[1]资金台帐!W2266&amp;""</f>
      </c>
      <c r="X2266">
        <f>[1]资金台帐!X2266&amp;""</f>
      </c>
      <c r="AB2266">
        <f>[1]资金台帐!AB2266</f>
        <v>0</v>
      </c>
      <c r="AC2266">
        <f>[1]资金台帐!AC2266</f>
        <v>0</v>
      </c>
      <c r="AD2266">
        <f>[1]资金台帐!AD2266</f>
        <v>0</v>
      </c>
      <c r="AJ2266">
        <f>[1]资金台帐!AJ2266</f>
        <v>0</v>
      </c>
      <c r="AK2266">
        <f>[1]资金台帐!AK2266</f>
        <v>0</v>
      </c>
      <c r="BA2266" s="22">
        <f t="shared" si="0"/>
      </c>
      <c r="BG2266" s="22">
        <f t="shared" si="1"/>
      </c>
      <c r="BH2266" s="22">
        <f t="shared" si="2"/>
        <v>0</v>
      </c>
    </row>
    <row r="2267">
      <c r="B2267">
        <f>[1]资金台帐!B2267&amp;""</f>
      </c>
      <c r="H2267">
        <f>[1]资金台帐!H2267&amp;""</f>
      </c>
      <c r="J2267">
        <f>[1]资金台帐!J2267&amp;""</f>
      </c>
      <c r="N2267">
        <f>[1]资金台帐!N2267</f>
      </c>
      <c r="O2267">
        <f>[1]资金台帐!O2267&amp;""</f>
      </c>
      <c r="P2267">
        <f>[1]资金台帐!P2267&amp;""</f>
      </c>
      <c r="Q2267">
        <f>[1]资金台帐!Q2267&amp;""</f>
      </c>
      <c r="T2267">
        <f>[1]资金台帐!T2267&amp;""</f>
      </c>
      <c r="U2267">
        <f>[1]资金台帐!U2267&amp;""</f>
      </c>
      <c r="W2267">
        <f>[1]资金台帐!W2267&amp;""</f>
      </c>
      <c r="X2267">
        <f>[1]资金台帐!X2267&amp;""</f>
      </c>
      <c r="AB2267">
        <f>[1]资金台帐!AB2267</f>
        <v>0</v>
      </c>
      <c r="AC2267">
        <f>[1]资金台帐!AC2267</f>
        <v>0</v>
      </c>
      <c r="AD2267">
        <f>[1]资金台帐!AD2267</f>
        <v>0</v>
      </c>
      <c r="AJ2267">
        <f>[1]资金台帐!AJ2267</f>
        <v>0</v>
      </c>
      <c r="AK2267">
        <f>[1]资金台帐!AK2267</f>
        <v>0</v>
      </c>
      <c r="BA2267" s="22">
        <f t="shared" si="0"/>
      </c>
      <c r="BG2267" s="22">
        <f t="shared" si="1"/>
      </c>
      <c r="BH2267" s="22">
        <f t="shared" si="2"/>
        <v>0</v>
      </c>
    </row>
    <row r="2268">
      <c r="B2268">
        <f>[1]资金台帐!B2268&amp;""</f>
      </c>
      <c r="H2268">
        <f>[1]资金台帐!H2268&amp;""</f>
      </c>
      <c r="J2268">
        <f>[1]资金台帐!J2268&amp;""</f>
      </c>
      <c r="N2268">
        <f>[1]资金台帐!N2268</f>
      </c>
      <c r="O2268">
        <f>[1]资金台帐!O2268&amp;""</f>
      </c>
      <c r="P2268">
        <f>[1]资金台帐!P2268&amp;""</f>
      </c>
      <c r="Q2268">
        <f>[1]资金台帐!Q2268&amp;""</f>
      </c>
      <c r="T2268">
        <f>[1]资金台帐!T2268&amp;""</f>
      </c>
      <c r="U2268">
        <f>[1]资金台帐!U2268&amp;""</f>
      </c>
      <c r="W2268">
        <f>[1]资金台帐!W2268&amp;""</f>
      </c>
      <c r="X2268">
        <f>[1]资金台帐!X2268&amp;""</f>
      </c>
      <c r="AB2268">
        <f>[1]资金台帐!AB2268</f>
        <v>0</v>
      </c>
      <c r="AC2268">
        <f>[1]资金台帐!AC2268</f>
        <v>0</v>
      </c>
      <c r="AD2268">
        <f>[1]资金台帐!AD2268</f>
        <v>0</v>
      </c>
      <c r="AJ2268">
        <f>[1]资金台帐!AJ2268</f>
        <v>0</v>
      </c>
      <c r="AK2268">
        <f>[1]资金台帐!AK2268</f>
        <v>0</v>
      </c>
      <c r="BA2268" s="22">
        <f t="shared" si="0"/>
      </c>
      <c r="BG2268" s="22">
        <f t="shared" si="1"/>
      </c>
      <c r="BH2268" s="22">
        <f t="shared" si="2"/>
        <v>0</v>
      </c>
    </row>
    <row r="2269">
      <c r="B2269">
        <f>[1]资金台帐!B2269&amp;""</f>
      </c>
      <c r="H2269">
        <f>[1]资金台帐!H2269&amp;""</f>
      </c>
      <c r="J2269">
        <f>[1]资金台帐!J2269&amp;""</f>
      </c>
      <c r="N2269">
        <f>[1]资金台帐!N2269</f>
      </c>
      <c r="O2269">
        <f>[1]资金台帐!O2269&amp;""</f>
      </c>
      <c r="P2269">
        <f>[1]资金台帐!P2269&amp;""</f>
      </c>
      <c r="Q2269">
        <f>[1]资金台帐!Q2269&amp;""</f>
      </c>
      <c r="T2269">
        <f>[1]资金台帐!T2269&amp;""</f>
      </c>
      <c r="U2269">
        <f>[1]资金台帐!U2269&amp;""</f>
      </c>
      <c r="W2269">
        <f>[1]资金台帐!W2269&amp;""</f>
      </c>
      <c r="X2269">
        <f>[1]资金台帐!X2269&amp;""</f>
      </c>
      <c r="AB2269">
        <f>[1]资金台帐!AB2269</f>
        <v>0</v>
      </c>
      <c r="AC2269">
        <f>[1]资金台帐!AC2269</f>
        <v>0</v>
      </c>
      <c r="AD2269">
        <f>[1]资金台帐!AD2269</f>
        <v>0</v>
      </c>
      <c r="AJ2269">
        <f>[1]资金台帐!AJ2269</f>
        <v>0</v>
      </c>
      <c r="AK2269">
        <f>[1]资金台帐!AK2269</f>
        <v>0</v>
      </c>
      <c r="BA2269" s="22">
        <f t="shared" si="0"/>
      </c>
      <c r="BG2269" s="22">
        <f t="shared" si="1"/>
      </c>
      <c r="BH2269" s="22">
        <f t="shared" si="2"/>
        <v>0</v>
      </c>
    </row>
    <row r="2270">
      <c r="B2270">
        <f>[1]资金台帐!B2270&amp;""</f>
      </c>
      <c r="H2270">
        <f>[1]资金台帐!H2270&amp;""</f>
      </c>
      <c r="J2270">
        <f>[1]资金台帐!J2270&amp;""</f>
      </c>
      <c r="N2270">
        <f>[1]资金台帐!N2270</f>
      </c>
      <c r="O2270">
        <f>[1]资金台帐!O2270&amp;""</f>
      </c>
      <c r="P2270">
        <f>[1]资金台帐!P2270&amp;""</f>
      </c>
      <c r="Q2270">
        <f>[1]资金台帐!Q2270&amp;""</f>
      </c>
      <c r="T2270">
        <f>[1]资金台帐!T2270&amp;""</f>
      </c>
      <c r="U2270">
        <f>[1]资金台帐!U2270&amp;""</f>
      </c>
      <c r="W2270">
        <f>[1]资金台帐!W2270&amp;""</f>
      </c>
      <c r="X2270">
        <f>[1]资金台帐!X2270&amp;""</f>
      </c>
      <c r="AB2270">
        <f>[1]资金台帐!AB2270</f>
        <v>0</v>
      </c>
      <c r="AC2270">
        <f>[1]资金台帐!AC2270</f>
        <v>0</v>
      </c>
      <c r="AD2270">
        <f>[1]资金台帐!AD2270</f>
        <v>0</v>
      </c>
      <c r="AJ2270">
        <f>[1]资金台帐!AJ2270</f>
        <v>0</v>
      </c>
      <c r="AK2270">
        <f>[1]资金台帐!AK2270</f>
        <v>0</v>
      </c>
      <c r="BA2270" s="22">
        <f t="shared" si="0"/>
      </c>
      <c r="BG2270" s="22">
        <f t="shared" si="1"/>
      </c>
      <c r="BH2270" s="22">
        <f t="shared" si="2"/>
        <v>0</v>
      </c>
    </row>
    <row r="2271">
      <c r="B2271">
        <f>[1]资金台帐!B2271&amp;""</f>
      </c>
      <c r="H2271">
        <f>[1]资金台帐!H2271&amp;""</f>
      </c>
      <c r="J2271">
        <f>[1]资金台帐!J2271&amp;""</f>
      </c>
      <c r="N2271">
        <f>[1]资金台帐!N2271</f>
      </c>
      <c r="O2271">
        <f>[1]资金台帐!O2271&amp;""</f>
      </c>
      <c r="P2271">
        <f>[1]资金台帐!P2271&amp;""</f>
      </c>
      <c r="Q2271">
        <f>[1]资金台帐!Q2271&amp;""</f>
      </c>
      <c r="T2271">
        <f>[1]资金台帐!T2271&amp;""</f>
      </c>
      <c r="U2271">
        <f>[1]资金台帐!U2271&amp;""</f>
      </c>
      <c r="W2271">
        <f>[1]资金台帐!W2271&amp;""</f>
      </c>
      <c r="X2271">
        <f>[1]资金台帐!X2271&amp;""</f>
      </c>
      <c r="AB2271">
        <f>[1]资金台帐!AB2271</f>
        <v>0</v>
      </c>
      <c r="AC2271">
        <f>[1]资金台帐!AC2271</f>
        <v>0</v>
      </c>
      <c r="AD2271">
        <f>[1]资金台帐!AD2271</f>
        <v>0</v>
      </c>
      <c r="AJ2271">
        <f>[1]资金台帐!AJ2271</f>
        <v>0</v>
      </c>
      <c r="AK2271">
        <f>[1]资金台帐!AK2271</f>
        <v>0</v>
      </c>
      <c r="BA2271" s="22">
        <f t="shared" si="0"/>
      </c>
      <c r="BG2271" s="22">
        <f t="shared" si="1"/>
      </c>
      <c r="BH2271" s="22">
        <f t="shared" si="2"/>
        <v>0</v>
      </c>
    </row>
    <row r="2272">
      <c r="B2272">
        <f>[1]资金台帐!B2272&amp;""</f>
      </c>
      <c r="H2272">
        <f>[1]资金台帐!H2272&amp;""</f>
      </c>
      <c r="J2272">
        <f>[1]资金台帐!J2272&amp;""</f>
      </c>
      <c r="N2272">
        <f>[1]资金台帐!N2272</f>
      </c>
      <c r="O2272">
        <f>[1]资金台帐!O2272&amp;""</f>
      </c>
      <c r="P2272">
        <f>[1]资金台帐!P2272&amp;""</f>
      </c>
      <c r="Q2272">
        <f>[1]资金台帐!Q2272&amp;""</f>
      </c>
      <c r="T2272">
        <f>[1]资金台帐!T2272&amp;""</f>
      </c>
      <c r="U2272">
        <f>[1]资金台帐!U2272&amp;""</f>
      </c>
      <c r="W2272">
        <f>[1]资金台帐!W2272&amp;""</f>
      </c>
      <c r="X2272">
        <f>[1]资金台帐!X2272&amp;""</f>
      </c>
      <c r="AB2272">
        <f>[1]资金台帐!AB2272</f>
        <v>0</v>
      </c>
      <c r="AC2272">
        <f>[1]资金台帐!AC2272</f>
        <v>0</v>
      </c>
      <c r="AD2272">
        <f>[1]资金台帐!AD2272</f>
        <v>0</v>
      </c>
      <c r="AJ2272">
        <f>[1]资金台帐!AJ2272</f>
        <v>0</v>
      </c>
      <c r="AK2272">
        <f>[1]资金台帐!AK2272</f>
        <v>0</v>
      </c>
      <c r="BA2272" s="22">
        <f t="shared" si="0"/>
      </c>
      <c r="BG2272" s="22">
        <f t="shared" si="1"/>
      </c>
      <c r="BH2272" s="22">
        <f t="shared" si="2"/>
        <v>0</v>
      </c>
    </row>
    <row r="2273">
      <c r="B2273">
        <f>[1]资金台帐!B2273&amp;""</f>
      </c>
      <c r="H2273">
        <f>[1]资金台帐!H2273&amp;""</f>
      </c>
      <c r="J2273">
        <f>[1]资金台帐!J2273&amp;""</f>
      </c>
      <c r="N2273">
        <f>[1]资金台帐!N2273</f>
      </c>
      <c r="O2273">
        <f>[1]资金台帐!O2273&amp;""</f>
      </c>
      <c r="P2273">
        <f>[1]资金台帐!P2273&amp;""</f>
      </c>
      <c r="Q2273">
        <f>[1]资金台帐!Q2273&amp;""</f>
      </c>
      <c r="T2273">
        <f>[1]资金台帐!T2273&amp;""</f>
      </c>
      <c r="U2273">
        <f>[1]资金台帐!U2273&amp;""</f>
      </c>
      <c r="W2273">
        <f>[1]资金台帐!W2273&amp;""</f>
      </c>
      <c r="X2273">
        <f>[1]资金台帐!X2273&amp;""</f>
      </c>
      <c r="AB2273">
        <f>[1]资金台帐!AB2273</f>
        <v>0</v>
      </c>
      <c r="AC2273">
        <f>[1]资金台帐!AC2273</f>
        <v>0</v>
      </c>
      <c r="AD2273">
        <f>[1]资金台帐!AD2273</f>
        <v>0</v>
      </c>
      <c r="AJ2273">
        <f>[1]资金台帐!AJ2273</f>
        <v>0</v>
      </c>
      <c r="AK2273">
        <f>[1]资金台帐!AK2273</f>
        <v>0</v>
      </c>
      <c r="BA2273" s="22">
        <f t="shared" si="0"/>
      </c>
      <c r="BG2273" s="22">
        <f t="shared" si="1"/>
      </c>
      <c r="BH2273" s="22">
        <f t="shared" si="2"/>
        <v>0</v>
      </c>
    </row>
    <row r="2274">
      <c r="B2274">
        <f>[1]资金台帐!B2274&amp;""</f>
      </c>
      <c r="H2274">
        <f>[1]资金台帐!H2274&amp;""</f>
      </c>
      <c r="J2274">
        <f>[1]资金台帐!J2274&amp;""</f>
      </c>
      <c r="N2274">
        <f>[1]资金台帐!N2274</f>
      </c>
      <c r="O2274">
        <f>[1]资金台帐!O2274&amp;""</f>
      </c>
      <c r="P2274">
        <f>[1]资金台帐!P2274&amp;""</f>
      </c>
      <c r="Q2274">
        <f>[1]资金台帐!Q2274&amp;""</f>
      </c>
      <c r="T2274">
        <f>[1]资金台帐!T2274&amp;""</f>
      </c>
      <c r="U2274">
        <f>[1]资金台帐!U2274&amp;""</f>
      </c>
      <c r="W2274">
        <f>[1]资金台帐!W2274&amp;""</f>
      </c>
      <c r="X2274">
        <f>[1]资金台帐!X2274&amp;""</f>
      </c>
      <c r="AB2274">
        <f>[1]资金台帐!AB2274</f>
        <v>0</v>
      </c>
      <c r="AC2274">
        <f>[1]资金台帐!AC2274</f>
        <v>0</v>
      </c>
      <c r="AD2274">
        <f>[1]资金台帐!AD2274</f>
        <v>0</v>
      </c>
      <c r="AJ2274">
        <f>[1]资金台帐!AJ2274</f>
        <v>0</v>
      </c>
      <c r="AK2274">
        <f>[1]资金台帐!AK2274</f>
        <v>0</v>
      </c>
      <c r="BA2274" s="22">
        <f t="shared" si="0"/>
      </c>
      <c r="BG2274" s="22">
        <f t="shared" si="1"/>
      </c>
      <c r="BH2274" s="22">
        <f t="shared" si="2"/>
        <v>0</v>
      </c>
    </row>
    <row r="2275">
      <c r="B2275">
        <f>[1]资金台帐!B2275&amp;""</f>
      </c>
      <c r="H2275">
        <f>[1]资金台帐!H2275&amp;""</f>
      </c>
      <c r="J2275">
        <f>[1]资金台帐!J2275&amp;""</f>
      </c>
      <c r="N2275">
        <f>[1]资金台帐!N2275</f>
      </c>
      <c r="O2275">
        <f>[1]资金台帐!O2275&amp;""</f>
      </c>
      <c r="P2275">
        <f>[1]资金台帐!P2275&amp;""</f>
      </c>
      <c r="Q2275">
        <f>[1]资金台帐!Q2275&amp;""</f>
      </c>
      <c r="T2275">
        <f>[1]资金台帐!T2275&amp;""</f>
      </c>
      <c r="U2275">
        <f>[1]资金台帐!U2275&amp;""</f>
      </c>
      <c r="W2275">
        <f>[1]资金台帐!W2275&amp;""</f>
      </c>
      <c r="X2275">
        <f>[1]资金台帐!X2275&amp;""</f>
      </c>
      <c r="AB2275">
        <f>[1]资金台帐!AB2275</f>
        <v>0</v>
      </c>
      <c r="AC2275">
        <f>[1]资金台帐!AC2275</f>
        <v>0</v>
      </c>
      <c r="AD2275">
        <f>[1]资金台帐!AD2275</f>
        <v>0</v>
      </c>
      <c r="AJ2275">
        <f>[1]资金台帐!AJ2275</f>
        <v>0</v>
      </c>
      <c r="AK2275">
        <f>[1]资金台帐!AK2275</f>
        <v>0</v>
      </c>
      <c r="BA2275" s="22">
        <f t="shared" si="0"/>
      </c>
      <c r="BG2275" s="22">
        <f t="shared" si="1"/>
      </c>
      <c r="BH2275" s="22">
        <f t="shared" si="2"/>
        <v>0</v>
      </c>
    </row>
    <row r="2276">
      <c r="B2276">
        <f>[1]资金台帐!B2276&amp;""</f>
      </c>
      <c r="H2276">
        <f>[1]资金台帐!H2276&amp;""</f>
      </c>
      <c r="J2276">
        <f>[1]资金台帐!J2276&amp;""</f>
      </c>
      <c r="N2276">
        <f>[1]资金台帐!N2276</f>
      </c>
      <c r="O2276">
        <f>[1]资金台帐!O2276&amp;""</f>
      </c>
      <c r="P2276">
        <f>[1]资金台帐!P2276&amp;""</f>
      </c>
      <c r="Q2276">
        <f>[1]资金台帐!Q2276&amp;""</f>
      </c>
      <c r="T2276">
        <f>[1]资金台帐!T2276&amp;""</f>
      </c>
      <c r="U2276">
        <f>[1]资金台帐!U2276&amp;""</f>
      </c>
      <c r="W2276">
        <f>[1]资金台帐!W2276&amp;""</f>
      </c>
      <c r="X2276">
        <f>[1]资金台帐!X2276&amp;""</f>
      </c>
      <c r="AB2276">
        <f>[1]资金台帐!AB2276</f>
        <v>0</v>
      </c>
      <c r="AC2276">
        <f>[1]资金台帐!AC2276</f>
        <v>0</v>
      </c>
      <c r="AD2276">
        <f>[1]资金台帐!AD2276</f>
        <v>0</v>
      </c>
      <c r="AJ2276">
        <f>[1]资金台帐!AJ2276</f>
        <v>0</v>
      </c>
      <c r="AK2276">
        <f>[1]资金台帐!AK2276</f>
        <v>0</v>
      </c>
      <c r="BA2276" s="22">
        <f t="shared" si="0"/>
      </c>
      <c r="BG2276" s="22">
        <f t="shared" si="1"/>
      </c>
      <c r="BH2276" s="22">
        <f t="shared" si="2"/>
        <v>0</v>
      </c>
    </row>
    <row r="2277">
      <c r="B2277">
        <f>[1]资金台帐!B2277&amp;""</f>
      </c>
      <c r="H2277">
        <f>[1]资金台帐!H2277&amp;""</f>
      </c>
      <c r="J2277">
        <f>[1]资金台帐!J2277&amp;""</f>
      </c>
      <c r="N2277">
        <f>[1]资金台帐!N2277</f>
      </c>
      <c r="O2277">
        <f>[1]资金台帐!O2277&amp;""</f>
      </c>
      <c r="P2277">
        <f>[1]资金台帐!P2277&amp;""</f>
      </c>
      <c r="Q2277">
        <f>[1]资金台帐!Q2277&amp;""</f>
      </c>
      <c r="T2277">
        <f>[1]资金台帐!T2277&amp;""</f>
      </c>
      <c r="U2277">
        <f>[1]资金台帐!U2277&amp;""</f>
      </c>
      <c r="W2277">
        <f>[1]资金台帐!W2277&amp;""</f>
      </c>
      <c r="X2277">
        <f>[1]资金台帐!X2277&amp;""</f>
      </c>
      <c r="AB2277">
        <f>[1]资金台帐!AB2277</f>
        <v>0</v>
      </c>
      <c r="AC2277">
        <f>[1]资金台帐!AC2277</f>
        <v>0</v>
      </c>
      <c r="AD2277">
        <f>[1]资金台帐!AD2277</f>
        <v>0</v>
      </c>
      <c r="AJ2277">
        <f>[1]资金台帐!AJ2277</f>
        <v>0</v>
      </c>
      <c r="AK2277">
        <f>[1]资金台帐!AK2277</f>
        <v>0</v>
      </c>
      <c r="BA2277" s="22">
        <f t="shared" si="0"/>
      </c>
      <c r="BG2277" s="22">
        <f t="shared" si="1"/>
      </c>
      <c r="BH2277" s="22">
        <f t="shared" si="2"/>
        <v>0</v>
      </c>
    </row>
    <row r="2278">
      <c r="B2278">
        <f>[1]资金台帐!B2278&amp;""</f>
      </c>
      <c r="H2278">
        <f>[1]资金台帐!H2278&amp;""</f>
      </c>
      <c r="J2278">
        <f>[1]资金台帐!J2278&amp;""</f>
      </c>
      <c r="N2278">
        <f>[1]资金台帐!N2278</f>
      </c>
      <c r="O2278">
        <f>[1]资金台帐!O2278&amp;""</f>
      </c>
      <c r="P2278">
        <f>[1]资金台帐!P2278&amp;""</f>
      </c>
      <c r="Q2278">
        <f>[1]资金台帐!Q2278&amp;""</f>
      </c>
      <c r="T2278">
        <f>[1]资金台帐!T2278&amp;""</f>
      </c>
      <c r="U2278">
        <f>[1]资金台帐!U2278&amp;""</f>
      </c>
      <c r="W2278">
        <f>[1]资金台帐!W2278&amp;""</f>
      </c>
      <c r="X2278">
        <f>[1]资金台帐!X2278&amp;""</f>
      </c>
      <c r="AB2278">
        <f>[1]资金台帐!AB2278</f>
        <v>0</v>
      </c>
      <c r="AC2278">
        <f>[1]资金台帐!AC2278</f>
        <v>0</v>
      </c>
      <c r="AD2278">
        <f>[1]资金台帐!AD2278</f>
        <v>0</v>
      </c>
      <c r="AJ2278">
        <f>[1]资金台帐!AJ2278</f>
        <v>0</v>
      </c>
      <c r="AK2278">
        <f>[1]资金台帐!AK2278</f>
        <v>0</v>
      </c>
      <c r="BA2278" s="22">
        <f t="shared" si="0"/>
      </c>
      <c r="BG2278" s="22">
        <f t="shared" si="1"/>
      </c>
      <c r="BH2278" s="22">
        <f t="shared" si="2"/>
        <v>0</v>
      </c>
    </row>
    <row r="2279">
      <c r="B2279">
        <f>[1]资金台帐!B2279&amp;""</f>
      </c>
      <c r="H2279">
        <f>[1]资金台帐!H2279&amp;""</f>
      </c>
      <c r="J2279">
        <f>[1]资金台帐!J2279&amp;""</f>
      </c>
      <c r="N2279">
        <f>[1]资金台帐!N2279</f>
      </c>
      <c r="O2279">
        <f>[1]资金台帐!O2279&amp;""</f>
      </c>
      <c r="P2279">
        <f>[1]资金台帐!P2279&amp;""</f>
      </c>
      <c r="Q2279">
        <f>[1]资金台帐!Q2279&amp;""</f>
      </c>
      <c r="T2279">
        <f>[1]资金台帐!T2279&amp;""</f>
      </c>
      <c r="U2279">
        <f>[1]资金台帐!U2279&amp;""</f>
      </c>
      <c r="W2279">
        <f>[1]资金台帐!W2279&amp;""</f>
      </c>
      <c r="X2279">
        <f>[1]资金台帐!X2279&amp;""</f>
      </c>
      <c r="AB2279">
        <f>[1]资金台帐!AB2279</f>
        <v>0</v>
      </c>
      <c r="AC2279">
        <f>[1]资金台帐!AC2279</f>
        <v>0</v>
      </c>
      <c r="AD2279">
        <f>[1]资金台帐!AD2279</f>
        <v>0</v>
      </c>
      <c r="AJ2279">
        <f>[1]资金台帐!AJ2279</f>
        <v>0</v>
      </c>
      <c r="AK2279">
        <f>[1]资金台帐!AK2279</f>
        <v>0</v>
      </c>
      <c r="BA2279" s="22">
        <f t="shared" si="0"/>
      </c>
      <c r="BG2279" s="22">
        <f t="shared" si="1"/>
      </c>
      <c r="BH2279" s="22">
        <f t="shared" si="2"/>
        <v>0</v>
      </c>
    </row>
    <row r="2280">
      <c r="B2280">
        <f>[1]资金台帐!B2280&amp;""</f>
      </c>
      <c r="H2280">
        <f>[1]资金台帐!H2280&amp;""</f>
      </c>
      <c r="J2280">
        <f>[1]资金台帐!J2280&amp;""</f>
      </c>
      <c r="N2280">
        <f>[1]资金台帐!N2280</f>
      </c>
      <c r="O2280">
        <f>[1]资金台帐!O2280&amp;""</f>
      </c>
      <c r="P2280">
        <f>[1]资金台帐!P2280&amp;""</f>
      </c>
      <c r="Q2280">
        <f>[1]资金台帐!Q2280&amp;""</f>
      </c>
      <c r="T2280">
        <f>[1]资金台帐!T2280&amp;""</f>
      </c>
      <c r="U2280">
        <f>[1]资金台帐!U2280&amp;""</f>
      </c>
      <c r="W2280">
        <f>[1]资金台帐!W2280&amp;""</f>
      </c>
      <c r="X2280">
        <f>[1]资金台帐!X2280&amp;""</f>
      </c>
      <c r="AB2280">
        <f>[1]资金台帐!AB2280</f>
        <v>0</v>
      </c>
      <c r="AC2280">
        <f>[1]资金台帐!AC2280</f>
        <v>0</v>
      </c>
      <c r="AD2280">
        <f>[1]资金台帐!AD2280</f>
        <v>0</v>
      </c>
      <c r="AJ2280">
        <f>[1]资金台帐!AJ2280</f>
        <v>0</v>
      </c>
      <c r="AK2280">
        <f>[1]资金台帐!AK2280</f>
        <v>0</v>
      </c>
      <c r="BA2280" s="22">
        <f t="shared" si="0"/>
      </c>
      <c r="BG2280" s="22">
        <f t="shared" si="1"/>
      </c>
      <c r="BH2280" s="22">
        <f t="shared" si="2"/>
        <v>0</v>
      </c>
    </row>
    <row r="2281">
      <c r="B2281">
        <f>[1]资金台帐!B2281&amp;""</f>
      </c>
      <c r="H2281">
        <f>[1]资金台帐!H2281&amp;""</f>
      </c>
      <c r="J2281">
        <f>[1]资金台帐!J2281&amp;""</f>
      </c>
      <c r="N2281">
        <f>[1]资金台帐!N2281</f>
      </c>
      <c r="O2281">
        <f>[1]资金台帐!O2281&amp;""</f>
      </c>
      <c r="P2281">
        <f>[1]资金台帐!P2281&amp;""</f>
      </c>
      <c r="Q2281">
        <f>[1]资金台帐!Q2281&amp;""</f>
      </c>
      <c r="T2281">
        <f>[1]资金台帐!T2281&amp;""</f>
      </c>
      <c r="U2281">
        <f>[1]资金台帐!U2281&amp;""</f>
      </c>
      <c r="W2281">
        <f>[1]资金台帐!W2281&amp;""</f>
      </c>
      <c r="X2281">
        <f>[1]资金台帐!X2281&amp;""</f>
      </c>
      <c r="AB2281">
        <f>[1]资金台帐!AB2281</f>
        <v>0</v>
      </c>
      <c r="AC2281">
        <f>[1]资金台帐!AC2281</f>
        <v>0</v>
      </c>
      <c r="AD2281">
        <f>[1]资金台帐!AD2281</f>
        <v>0</v>
      </c>
      <c r="AJ2281">
        <f>[1]资金台帐!AJ2281</f>
        <v>0</v>
      </c>
      <c r="AK2281">
        <f>[1]资金台帐!AK2281</f>
        <v>0</v>
      </c>
      <c r="BA2281" s="22">
        <f t="shared" si="0"/>
      </c>
      <c r="BG2281" s="22">
        <f t="shared" si="1"/>
      </c>
      <c r="BH2281" s="22">
        <f t="shared" si="2"/>
        <v>0</v>
      </c>
    </row>
    <row r="2282">
      <c r="B2282">
        <f>[1]资金台帐!B2282&amp;""</f>
      </c>
      <c r="H2282">
        <f>[1]资金台帐!H2282&amp;""</f>
      </c>
      <c r="J2282">
        <f>[1]资金台帐!J2282&amp;""</f>
      </c>
      <c r="N2282">
        <f>[1]资金台帐!N2282</f>
      </c>
      <c r="O2282">
        <f>[1]资金台帐!O2282&amp;""</f>
      </c>
      <c r="P2282">
        <f>[1]资金台帐!P2282&amp;""</f>
      </c>
      <c r="Q2282">
        <f>[1]资金台帐!Q2282&amp;""</f>
      </c>
      <c r="T2282">
        <f>[1]资金台帐!T2282&amp;""</f>
      </c>
      <c r="U2282">
        <f>[1]资金台帐!U2282&amp;""</f>
      </c>
      <c r="W2282">
        <f>[1]资金台帐!W2282&amp;""</f>
      </c>
      <c r="X2282">
        <f>[1]资金台帐!X2282&amp;""</f>
      </c>
      <c r="AB2282">
        <f>[1]资金台帐!AB2282</f>
        <v>0</v>
      </c>
      <c r="AC2282">
        <f>[1]资金台帐!AC2282</f>
        <v>0</v>
      </c>
      <c r="AD2282">
        <f>[1]资金台帐!AD2282</f>
        <v>0</v>
      </c>
      <c r="AJ2282">
        <f>[1]资金台帐!AJ2282</f>
        <v>0</v>
      </c>
      <c r="AK2282">
        <f>[1]资金台帐!AK2282</f>
        <v>0</v>
      </c>
      <c r="BA2282" s="22">
        <f t="shared" si="0"/>
      </c>
      <c r="BG2282" s="22">
        <f t="shared" si="1"/>
      </c>
      <c r="BH2282" s="22">
        <f t="shared" si="2"/>
        <v>0</v>
      </c>
    </row>
    <row r="2283">
      <c r="B2283">
        <f>[1]资金台帐!B2283&amp;""</f>
      </c>
      <c r="H2283">
        <f>[1]资金台帐!H2283&amp;""</f>
      </c>
      <c r="J2283">
        <f>[1]资金台帐!J2283&amp;""</f>
      </c>
      <c r="N2283">
        <f>[1]资金台帐!N2283</f>
      </c>
      <c r="O2283">
        <f>[1]资金台帐!O2283&amp;""</f>
      </c>
      <c r="P2283">
        <f>[1]资金台帐!P2283&amp;""</f>
      </c>
      <c r="Q2283">
        <f>[1]资金台帐!Q2283&amp;""</f>
      </c>
      <c r="T2283">
        <f>[1]资金台帐!T2283&amp;""</f>
      </c>
      <c r="U2283">
        <f>[1]资金台帐!U2283&amp;""</f>
      </c>
      <c r="W2283">
        <f>[1]资金台帐!W2283&amp;""</f>
      </c>
      <c r="X2283">
        <f>[1]资金台帐!X2283&amp;""</f>
      </c>
      <c r="AB2283">
        <f>[1]资金台帐!AB2283</f>
        <v>0</v>
      </c>
      <c r="AC2283">
        <f>[1]资金台帐!AC2283</f>
        <v>0</v>
      </c>
      <c r="AD2283">
        <f>[1]资金台帐!AD2283</f>
        <v>0</v>
      </c>
      <c r="AJ2283">
        <f>[1]资金台帐!AJ2283</f>
        <v>0</v>
      </c>
      <c r="AK2283">
        <f>[1]资金台帐!AK2283</f>
        <v>0</v>
      </c>
      <c r="BA2283" s="22">
        <f t="shared" si="0"/>
      </c>
      <c r="BG2283" s="22">
        <f t="shared" si="1"/>
      </c>
      <c r="BH2283" s="22">
        <f t="shared" si="2"/>
        <v>0</v>
      </c>
    </row>
    <row r="2284">
      <c r="B2284">
        <f>[1]资金台帐!B2284&amp;""</f>
      </c>
      <c r="H2284">
        <f>[1]资金台帐!H2284&amp;""</f>
      </c>
      <c r="J2284">
        <f>[1]资金台帐!J2284&amp;""</f>
      </c>
      <c r="N2284">
        <f>[1]资金台帐!N2284</f>
      </c>
      <c r="O2284">
        <f>[1]资金台帐!O2284&amp;""</f>
      </c>
      <c r="P2284">
        <f>[1]资金台帐!P2284&amp;""</f>
      </c>
      <c r="Q2284">
        <f>[1]资金台帐!Q2284&amp;""</f>
      </c>
      <c r="T2284">
        <f>[1]资金台帐!T2284&amp;""</f>
      </c>
      <c r="U2284">
        <f>[1]资金台帐!U2284&amp;""</f>
      </c>
      <c r="W2284">
        <f>[1]资金台帐!W2284&amp;""</f>
      </c>
      <c r="X2284">
        <f>[1]资金台帐!X2284&amp;""</f>
      </c>
      <c r="AB2284">
        <f>[1]资金台帐!AB2284</f>
        <v>0</v>
      </c>
      <c r="AC2284">
        <f>[1]资金台帐!AC2284</f>
        <v>0</v>
      </c>
      <c r="AD2284">
        <f>[1]资金台帐!AD2284</f>
        <v>0</v>
      </c>
      <c r="AJ2284">
        <f>[1]资金台帐!AJ2284</f>
        <v>0</v>
      </c>
      <c r="AK2284">
        <f>[1]资金台帐!AK2284</f>
        <v>0</v>
      </c>
      <c r="BA2284" s="22">
        <f t="shared" si="0"/>
      </c>
      <c r="BG2284" s="22">
        <f t="shared" si="1"/>
      </c>
      <c r="BH2284" s="22">
        <f t="shared" si="2"/>
        <v>0</v>
      </c>
    </row>
    <row r="2285">
      <c r="B2285">
        <f>[1]资金台帐!B2285&amp;""</f>
      </c>
      <c r="H2285">
        <f>[1]资金台帐!H2285&amp;""</f>
      </c>
      <c r="J2285">
        <f>[1]资金台帐!J2285&amp;""</f>
      </c>
      <c r="N2285">
        <f>[1]资金台帐!N2285</f>
      </c>
      <c r="O2285">
        <f>[1]资金台帐!O2285&amp;""</f>
      </c>
      <c r="P2285">
        <f>[1]资金台帐!P2285&amp;""</f>
      </c>
      <c r="Q2285">
        <f>[1]资金台帐!Q2285&amp;""</f>
      </c>
      <c r="T2285">
        <f>[1]资金台帐!T2285&amp;""</f>
      </c>
      <c r="U2285">
        <f>[1]资金台帐!U2285&amp;""</f>
      </c>
      <c r="W2285">
        <f>[1]资金台帐!W2285&amp;""</f>
      </c>
      <c r="X2285">
        <f>[1]资金台帐!X2285&amp;""</f>
      </c>
      <c r="AB2285">
        <f>[1]资金台帐!AB2285</f>
        <v>0</v>
      </c>
      <c r="AC2285">
        <f>[1]资金台帐!AC2285</f>
        <v>0</v>
      </c>
      <c r="AD2285">
        <f>[1]资金台帐!AD2285</f>
        <v>0</v>
      </c>
      <c r="AJ2285">
        <f>[1]资金台帐!AJ2285</f>
        <v>0</v>
      </c>
      <c r="AK2285">
        <f>[1]资金台帐!AK2285</f>
        <v>0</v>
      </c>
      <c r="BA2285" s="22">
        <f t="shared" si="0"/>
      </c>
      <c r="BG2285" s="22">
        <f t="shared" si="1"/>
      </c>
      <c r="BH2285" s="22">
        <f t="shared" si="2"/>
        <v>0</v>
      </c>
    </row>
    <row r="2286">
      <c r="B2286">
        <f>[1]资金台帐!B2286&amp;""</f>
      </c>
      <c r="H2286">
        <f>[1]资金台帐!H2286&amp;""</f>
      </c>
      <c r="J2286">
        <f>[1]资金台帐!J2286&amp;""</f>
      </c>
      <c r="N2286">
        <f>[1]资金台帐!N2286</f>
      </c>
      <c r="O2286">
        <f>[1]资金台帐!O2286&amp;""</f>
      </c>
      <c r="P2286">
        <f>[1]资金台帐!P2286&amp;""</f>
      </c>
      <c r="Q2286">
        <f>[1]资金台帐!Q2286&amp;""</f>
      </c>
      <c r="T2286">
        <f>[1]资金台帐!T2286&amp;""</f>
      </c>
      <c r="U2286">
        <f>[1]资金台帐!U2286&amp;""</f>
      </c>
      <c r="W2286">
        <f>[1]资金台帐!W2286&amp;""</f>
      </c>
      <c r="X2286">
        <f>[1]资金台帐!X2286&amp;""</f>
      </c>
      <c r="AB2286">
        <f>[1]资金台帐!AB2286</f>
        <v>0</v>
      </c>
      <c r="AC2286">
        <f>[1]资金台帐!AC2286</f>
        <v>0</v>
      </c>
      <c r="AD2286">
        <f>[1]资金台帐!AD2286</f>
        <v>0</v>
      </c>
      <c r="AJ2286">
        <f>[1]资金台帐!AJ2286</f>
        <v>0</v>
      </c>
      <c r="AK2286">
        <f>[1]资金台帐!AK2286</f>
        <v>0</v>
      </c>
      <c r="BA2286" s="22">
        <f t="shared" si="0"/>
      </c>
      <c r="BG2286" s="22">
        <f t="shared" si="1"/>
      </c>
      <c r="BH2286" s="22">
        <f t="shared" si="2"/>
        <v>0</v>
      </c>
    </row>
    <row r="2287">
      <c r="B2287">
        <f>[1]资金台帐!B2287&amp;""</f>
      </c>
      <c r="H2287">
        <f>[1]资金台帐!H2287&amp;""</f>
      </c>
      <c r="J2287">
        <f>[1]资金台帐!J2287&amp;""</f>
      </c>
      <c r="N2287">
        <f>[1]资金台帐!N2287</f>
      </c>
      <c r="O2287">
        <f>[1]资金台帐!O2287&amp;""</f>
      </c>
      <c r="P2287">
        <f>[1]资金台帐!P2287&amp;""</f>
      </c>
      <c r="Q2287">
        <f>[1]资金台帐!Q2287&amp;""</f>
      </c>
      <c r="T2287">
        <f>[1]资金台帐!T2287&amp;""</f>
      </c>
      <c r="U2287">
        <f>[1]资金台帐!U2287&amp;""</f>
      </c>
      <c r="W2287">
        <f>[1]资金台帐!W2287&amp;""</f>
      </c>
      <c r="X2287">
        <f>[1]资金台帐!X2287&amp;""</f>
      </c>
      <c r="AB2287">
        <f>[1]资金台帐!AB2287</f>
        <v>0</v>
      </c>
      <c r="AC2287">
        <f>[1]资金台帐!AC2287</f>
        <v>0</v>
      </c>
      <c r="AD2287">
        <f>[1]资金台帐!AD2287</f>
        <v>0</v>
      </c>
      <c r="AJ2287">
        <f>[1]资金台帐!AJ2287</f>
        <v>0</v>
      </c>
      <c r="AK2287">
        <f>[1]资金台帐!AK2287</f>
        <v>0</v>
      </c>
      <c r="BA2287" s="22">
        <f t="shared" si="0"/>
      </c>
      <c r="BG2287" s="22">
        <f t="shared" si="1"/>
      </c>
      <c r="BH2287" s="22">
        <f t="shared" si="2"/>
        <v>0</v>
      </c>
    </row>
    <row r="2288">
      <c r="B2288">
        <f>[1]资金台帐!B2288&amp;""</f>
      </c>
      <c r="H2288">
        <f>[1]资金台帐!H2288&amp;""</f>
      </c>
      <c r="J2288">
        <f>[1]资金台帐!J2288&amp;""</f>
      </c>
      <c r="N2288">
        <f>[1]资金台帐!N2288</f>
      </c>
      <c r="O2288">
        <f>[1]资金台帐!O2288&amp;""</f>
      </c>
      <c r="P2288">
        <f>[1]资金台帐!P2288&amp;""</f>
      </c>
      <c r="Q2288">
        <f>[1]资金台帐!Q2288&amp;""</f>
      </c>
      <c r="T2288">
        <f>[1]资金台帐!T2288&amp;""</f>
      </c>
      <c r="U2288">
        <f>[1]资金台帐!U2288&amp;""</f>
      </c>
      <c r="W2288">
        <f>[1]资金台帐!W2288&amp;""</f>
      </c>
      <c r="X2288">
        <f>[1]资金台帐!X2288&amp;""</f>
      </c>
      <c r="AB2288">
        <f>[1]资金台帐!AB2288</f>
        <v>0</v>
      </c>
      <c r="AC2288">
        <f>[1]资金台帐!AC2288</f>
        <v>0</v>
      </c>
      <c r="AD2288">
        <f>[1]资金台帐!AD2288</f>
        <v>0</v>
      </c>
      <c r="AJ2288">
        <f>[1]资金台帐!AJ2288</f>
        <v>0</v>
      </c>
      <c r="AK2288">
        <f>[1]资金台帐!AK2288</f>
        <v>0</v>
      </c>
      <c r="BA2288" s="22">
        <f t="shared" si="0"/>
      </c>
      <c r="BG2288" s="22">
        <f t="shared" si="1"/>
      </c>
      <c r="BH2288" s="22">
        <f t="shared" si="2"/>
        <v>0</v>
      </c>
    </row>
    <row r="2289">
      <c r="B2289">
        <f>[1]资金台帐!B2289&amp;""</f>
      </c>
      <c r="H2289">
        <f>[1]资金台帐!H2289&amp;""</f>
      </c>
      <c r="J2289">
        <f>[1]资金台帐!J2289&amp;""</f>
      </c>
      <c r="N2289">
        <f>[1]资金台帐!N2289</f>
      </c>
      <c r="O2289">
        <f>[1]资金台帐!O2289&amp;""</f>
      </c>
      <c r="P2289">
        <f>[1]资金台帐!P2289&amp;""</f>
      </c>
      <c r="Q2289">
        <f>[1]资金台帐!Q2289&amp;""</f>
      </c>
      <c r="T2289">
        <f>[1]资金台帐!T2289&amp;""</f>
      </c>
      <c r="U2289">
        <f>[1]资金台帐!U2289&amp;""</f>
      </c>
      <c r="W2289">
        <f>[1]资金台帐!W2289&amp;""</f>
      </c>
      <c r="X2289">
        <f>[1]资金台帐!X2289&amp;""</f>
      </c>
      <c r="AB2289">
        <f>[1]资金台帐!AB2289</f>
        <v>0</v>
      </c>
      <c r="AC2289">
        <f>[1]资金台帐!AC2289</f>
        <v>0</v>
      </c>
      <c r="AD2289">
        <f>[1]资金台帐!AD2289</f>
        <v>0</v>
      </c>
      <c r="AJ2289">
        <f>[1]资金台帐!AJ2289</f>
        <v>0</v>
      </c>
      <c r="AK2289">
        <f>[1]资金台帐!AK2289</f>
        <v>0</v>
      </c>
      <c r="BA2289" s="22">
        <f t="shared" si="0"/>
      </c>
      <c r="BG2289" s="22">
        <f t="shared" si="1"/>
      </c>
      <c r="BH2289" s="22">
        <f t="shared" si="2"/>
        <v>0</v>
      </c>
    </row>
    <row r="2290">
      <c r="B2290">
        <f>[1]资金台帐!B2290&amp;""</f>
      </c>
      <c r="H2290">
        <f>[1]资金台帐!H2290&amp;""</f>
      </c>
      <c r="J2290">
        <f>[1]资金台帐!J2290&amp;""</f>
      </c>
      <c r="N2290">
        <f>[1]资金台帐!N2290</f>
      </c>
      <c r="O2290">
        <f>[1]资金台帐!O2290&amp;""</f>
      </c>
      <c r="P2290">
        <f>[1]资金台帐!P2290&amp;""</f>
      </c>
      <c r="Q2290">
        <f>[1]资金台帐!Q2290&amp;""</f>
      </c>
      <c r="T2290">
        <f>[1]资金台帐!T2290&amp;""</f>
      </c>
      <c r="U2290">
        <f>[1]资金台帐!U2290&amp;""</f>
      </c>
      <c r="W2290">
        <f>[1]资金台帐!W2290&amp;""</f>
      </c>
      <c r="X2290">
        <f>[1]资金台帐!X2290&amp;""</f>
      </c>
      <c r="AB2290">
        <f>[1]资金台帐!AB2290</f>
        <v>0</v>
      </c>
      <c r="AC2290">
        <f>[1]资金台帐!AC2290</f>
        <v>0</v>
      </c>
      <c r="AD2290">
        <f>[1]资金台帐!AD2290</f>
        <v>0</v>
      </c>
      <c r="AJ2290">
        <f>[1]资金台帐!AJ2290</f>
        <v>0</v>
      </c>
      <c r="AK2290">
        <f>[1]资金台帐!AK2290</f>
        <v>0</v>
      </c>
      <c r="BA2290" s="22">
        <f t="shared" si="0"/>
      </c>
      <c r="BG2290" s="22">
        <f t="shared" si="1"/>
      </c>
      <c r="BH2290" s="22">
        <f t="shared" si="2"/>
        <v>0</v>
      </c>
    </row>
    <row r="2291">
      <c r="B2291">
        <f>[1]资金台帐!B2291&amp;""</f>
      </c>
      <c r="H2291">
        <f>[1]资金台帐!H2291&amp;""</f>
      </c>
      <c r="J2291">
        <f>[1]资金台帐!J2291&amp;""</f>
      </c>
      <c r="N2291">
        <f>[1]资金台帐!N2291</f>
      </c>
      <c r="O2291">
        <f>[1]资金台帐!O2291&amp;""</f>
      </c>
      <c r="P2291">
        <f>[1]资金台帐!P2291&amp;""</f>
      </c>
      <c r="Q2291">
        <f>[1]资金台帐!Q2291&amp;""</f>
      </c>
      <c r="T2291">
        <f>[1]资金台帐!T2291&amp;""</f>
      </c>
      <c r="U2291">
        <f>[1]资金台帐!U2291&amp;""</f>
      </c>
      <c r="W2291">
        <f>[1]资金台帐!W2291&amp;""</f>
      </c>
      <c r="X2291">
        <f>[1]资金台帐!X2291&amp;""</f>
      </c>
      <c r="AB2291">
        <f>[1]资金台帐!AB2291</f>
        <v>0</v>
      </c>
      <c r="AC2291">
        <f>[1]资金台帐!AC2291</f>
        <v>0</v>
      </c>
      <c r="AD2291">
        <f>[1]资金台帐!AD2291</f>
        <v>0</v>
      </c>
      <c r="AJ2291">
        <f>[1]资金台帐!AJ2291</f>
        <v>0</v>
      </c>
      <c r="AK2291">
        <f>[1]资金台帐!AK2291</f>
        <v>0</v>
      </c>
      <c r="BA2291" s="22">
        <f t="shared" si="0"/>
      </c>
      <c r="BG2291" s="22">
        <f t="shared" si="1"/>
      </c>
      <c r="BH2291" s="22">
        <f t="shared" si="2"/>
        <v>0</v>
      </c>
    </row>
    <row r="2292">
      <c r="B2292">
        <f>[1]资金台帐!B2292&amp;""</f>
      </c>
      <c r="H2292">
        <f>[1]资金台帐!H2292&amp;""</f>
      </c>
      <c r="J2292">
        <f>[1]资金台帐!J2292&amp;""</f>
      </c>
      <c r="N2292">
        <f>[1]资金台帐!N2292</f>
      </c>
      <c r="O2292">
        <f>[1]资金台帐!O2292&amp;""</f>
      </c>
      <c r="P2292">
        <f>[1]资金台帐!P2292&amp;""</f>
      </c>
      <c r="Q2292">
        <f>[1]资金台帐!Q2292&amp;""</f>
      </c>
      <c r="T2292">
        <f>[1]资金台帐!T2292&amp;""</f>
      </c>
      <c r="U2292">
        <f>[1]资金台帐!U2292&amp;""</f>
      </c>
      <c r="W2292">
        <f>[1]资金台帐!W2292&amp;""</f>
      </c>
      <c r="X2292">
        <f>[1]资金台帐!X2292&amp;""</f>
      </c>
      <c r="AB2292">
        <f>[1]资金台帐!AB2292</f>
        <v>0</v>
      </c>
      <c r="AC2292">
        <f>[1]资金台帐!AC2292</f>
        <v>0</v>
      </c>
      <c r="AD2292">
        <f>[1]资金台帐!AD2292</f>
        <v>0</v>
      </c>
      <c r="AJ2292">
        <f>[1]资金台帐!AJ2292</f>
        <v>0</v>
      </c>
      <c r="AK2292">
        <f>[1]资金台帐!AK2292</f>
        <v>0</v>
      </c>
      <c r="BA2292" s="22">
        <f t="shared" si="0"/>
      </c>
      <c r="BG2292" s="22">
        <f t="shared" si="1"/>
      </c>
      <c r="BH2292" s="22">
        <f t="shared" si="2"/>
        <v>0</v>
      </c>
    </row>
    <row r="2293">
      <c r="B2293">
        <f>[1]资金台帐!B2293&amp;""</f>
      </c>
      <c r="H2293">
        <f>[1]资金台帐!H2293&amp;""</f>
      </c>
      <c r="J2293">
        <f>[1]资金台帐!J2293&amp;""</f>
      </c>
      <c r="N2293">
        <f>[1]资金台帐!N2293</f>
      </c>
      <c r="O2293">
        <f>[1]资金台帐!O2293&amp;""</f>
      </c>
      <c r="P2293">
        <f>[1]资金台帐!P2293&amp;""</f>
      </c>
      <c r="Q2293">
        <f>[1]资金台帐!Q2293&amp;""</f>
      </c>
      <c r="T2293">
        <f>[1]资金台帐!T2293&amp;""</f>
      </c>
      <c r="U2293">
        <f>[1]资金台帐!U2293&amp;""</f>
      </c>
      <c r="W2293">
        <f>[1]资金台帐!W2293&amp;""</f>
      </c>
      <c r="X2293">
        <f>[1]资金台帐!X2293&amp;""</f>
      </c>
      <c r="AB2293">
        <f>[1]资金台帐!AB2293</f>
        <v>0</v>
      </c>
      <c r="AC2293">
        <f>[1]资金台帐!AC2293</f>
        <v>0</v>
      </c>
      <c r="AD2293">
        <f>[1]资金台帐!AD2293</f>
        <v>0</v>
      </c>
      <c r="AJ2293">
        <f>[1]资金台帐!AJ2293</f>
        <v>0</v>
      </c>
      <c r="AK2293">
        <f>[1]资金台帐!AK2293</f>
        <v>0</v>
      </c>
      <c r="BA2293" s="22">
        <f t="shared" si="0"/>
      </c>
      <c r="BG2293" s="22">
        <f t="shared" si="1"/>
      </c>
      <c r="BH2293" s="22">
        <f t="shared" si="2"/>
        <v>0</v>
      </c>
    </row>
    <row r="2294">
      <c r="B2294">
        <f>[1]资金台帐!B2294&amp;""</f>
      </c>
      <c r="H2294">
        <f>[1]资金台帐!H2294&amp;""</f>
      </c>
      <c r="J2294">
        <f>[1]资金台帐!J2294&amp;""</f>
      </c>
      <c r="N2294">
        <f>[1]资金台帐!N2294</f>
      </c>
      <c r="O2294">
        <f>[1]资金台帐!O2294&amp;""</f>
      </c>
      <c r="P2294">
        <f>[1]资金台帐!P2294&amp;""</f>
      </c>
      <c r="Q2294">
        <f>[1]资金台帐!Q2294&amp;""</f>
      </c>
      <c r="T2294">
        <f>[1]资金台帐!T2294&amp;""</f>
      </c>
      <c r="U2294">
        <f>[1]资金台帐!U2294&amp;""</f>
      </c>
      <c r="W2294">
        <f>[1]资金台帐!W2294&amp;""</f>
      </c>
      <c r="X2294">
        <f>[1]资金台帐!X2294&amp;""</f>
      </c>
      <c r="AB2294">
        <f>[1]资金台帐!AB2294</f>
        <v>0</v>
      </c>
      <c r="AC2294">
        <f>[1]资金台帐!AC2294</f>
        <v>0</v>
      </c>
      <c r="AD2294">
        <f>[1]资金台帐!AD2294</f>
        <v>0</v>
      </c>
      <c r="AJ2294">
        <f>[1]资金台帐!AJ2294</f>
        <v>0</v>
      </c>
      <c r="AK2294">
        <f>[1]资金台帐!AK2294</f>
        <v>0</v>
      </c>
      <c r="BA2294" s="22">
        <f t="shared" si="0"/>
      </c>
      <c r="BG2294" s="22">
        <f t="shared" si="1"/>
      </c>
      <c r="BH2294" s="22">
        <f t="shared" si="2"/>
        <v>0</v>
      </c>
    </row>
    <row r="2295">
      <c r="B2295">
        <f>[1]资金台帐!B2295&amp;""</f>
      </c>
      <c r="H2295">
        <f>[1]资金台帐!H2295&amp;""</f>
      </c>
      <c r="J2295">
        <f>[1]资金台帐!J2295&amp;""</f>
      </c>
      <c r="N2295">
        <f>[1]资金台帐!N2295</f>
      </c>
      <c r="O2295">
        <f>[1]资金台帐!O2295&amp;""</f>
      </c>
      <c r="P2295">
        <f>[1]资金台帐!P2295&amp;""</f>
      </c>
      <c r="Q2295">
        <f>[1]资金台帐!Q2295&amp;""</f>
      </c>
      <c r="T2295">
        <f>[1]资金台帐!T2295&amp;""</f>
      </c>
      <c r="U2295">
        <f>[1]资金台帐!U2295&amp;""</f>
      </c>
      <c r="W2295">
        <f>[1]资金台帐!W2295&amp;""</f>
      </c>
      <c r="X2295">
        <f>[1]资金台帐!X2295&amp;""</f>
      </c>
      <c r="AB2295">
        <f>[1]资金台帐!AB2295</f>
        <v>0</v>
      </c>
      <c r="AC2295">
        <f>[1]资金台帐!AC2295</f>
        <v>0</v>
      </c>
      <c r="AD2295">
        <f>[1]资金台帐!AD2295</f>
        <v>0</v>
      </c>
      <c r="AJ2295">
        <f>[1]资金台帐!AJ2295</f>
        <v>0</v>
      </c>
      <c r="AK2295">
        <f>[1]资金台帐!AK2295</f>
        <v>0</v>
      </c>
      <c r="BA2295" s="22">
        <f t="shared" si="0"/>
      </c>
      <c r="BG2295" s="22">
        <f t="shared" si="1"/>
      </c>
      <c r="BH2295" s="22">
        <f t="shared" si="2"/>
        <v>0</v>
      </c>
    </row>
    <row r="2296">
      <c r="B2296">
        <f>[1]资金台帐!B2296&amp;""</f>
      </c>
      <c r="H2296">
        <f>[1]资金台帐!H2296&amp;""</f>
      </c>
      <c r="J2296">
        <f>[1]资金台帐!J2296&amp;""</f>
      </c>
      <c r="N2296">
        <f>[1]资金台帐!N2296</f>
      </c>
      <c r="O2296">
        <f>[1]资金台帐!O2296&amp;""</f>
      </c>
      <c r="P2296">
        <f>[1]资金台帐!P2296&amp;""</f>
      </c>
      <c r="Q2296">
        <f>[1]资金台帐!Q2296&amp;""</f>
      </c>
      <c r="T2296">
        <f>[1]资金台帐!T2296&amp;""</f>
      </c>
      <c r="U2296">
        <f>[1]资金台帐!U2296&amp;""</f>
      </c>
      <c r="W2296">
        <f>[1]资金台帐!W2296&amp;""</f>
      </c>
      <c r="X2296">
        <f>[1]资金台帐!X2296&amp;""</f>
      </c>
      <c r="AB2296">
        <f>[1]资金台帐!AB2296</f>
        <v>0</v>
      </c>
      <c r="AC2296">
        <f>[1]资金台帐!AC2296</f>
        <v>0</v>
      </c>
      <c r="AD2296">
        <f>[1]资金台帐!AD2296</f>
        <v>0</v>
      </c>
      <c r="AJ2296">
        <f>[1]资金台帐!AJ2296</f>
        <v>0</v>
      </c>
      <c r="AK2296">
        <f>[1]资金台帐!AK2296</f>
        <v>0</v>
      </c>
      <c r="BA2296" s="22">
        <f t="shared" si="0"/>
      </c>
      <c r="BG2296" s="22">
        <f t="shared" si="1"/>
      </c>
      <c r="BH2296" s="22">
        <f t="shared" si="2"/>
        <v>0</v>
      </c>
    </row>
    <row r="2297">
      <c r="B2297">
        <f>[1]资金台帐!B2297&amp;""</f>
      </c>
      <c r="H2297">
        <f>[1]资金台帐!H2297&amp;""</f>
      </c>
      <c r="J2297">
        <f>[1]资金台帐!J2297&amp;""</f>
      </c>
      <c r="N2297">
        <f>[1]资金台帐!N2297</f>
      </c>
      <c r="O2297">
        <f>[1]资金台帐!O2297&amp;""</f>
      </c>
      <c r="P2297">
        <f>[1]资金台帐!P2297&amp;""</f>
      </c>
      <c r="Q2297">
        <f>[1]资金台帐!Q2297&amp;""</f>
      </c>
      <c r="T2297">
        <f>[1]资金台帐!T2297&amp;""</f>
      </c>
      <c r="U2297">
        <f>[1]资金台帐!U2297&amp;""</f>
      </c>
      <c r="W2297">
        <f>[1]资金台帐!W2297&amp;""</f>
      </c>
      <c r="X2297">
        <f>[1]资金台帐!X2297&amp;""</f>
      </c>
      <c r="AB2297">
        <f>[1]资金台帐!AB2297</f>
        <v>0</v>
      </c>
      <c r="AC2297">
        <f>[1]资金台帐!AC2297</f>
        <v>0</v>
      </c>
      <c r="AD2297">
        <f>[1]资金台帐!AD2297</f>
        <v>0</v>
      </c>
      <c r="AJ2297">
        <f>[1]资金台帐!AJ2297</f>
        <v>0</v>
      </c>
      <c r="AK2297">
        <f>[1]资金台帐!AK2297</f>
        <v>0</v>
      </c>
      <c r="BA2297" s="22">
        <f t="shared" si="0"/>
      </c>
      <c r="BG2297" s="22">
        <f t="shared" si="1"/>
      </c>
      <c r="BH2297" s="22">
        <f t="shared" si="2"/>
        <v>0</v>
      </c>
    </row>
    <row r="2298">
      <c r="B2298">
        <f>[1]资金台帐!B2298&amp;""</f>
      </c>
      <c r="H2298">
        <f>[1]资金台帐!H2298&amp;""</f>
      </c>
      <c r="J2298">
        <f>[1]资金台帐!J2298&amp;""</f>
      </c>
      <c r="N2298">
        <f>[1]资金台帐!N2298</f>
      </c>
      <c r="O2298">
        <f>[1]资金台帐!O2298&amp;""</f>
      </c>
      <c r="P2298">
        <f>[1]资金台帐!P2298&amp;""</f>
      </c>
      <c r="Q2298">
        <f>[1]资金台帐!Q2298&amp;""</f>
      </c>
      <c r="T2298">
        <f>[1]资金台帐!T2298&amp;""</f>
      </c>
      <c r="U2298">
        <f>[1]资金台帐!U2298&amp;""</f>
      </c>
      <c r="W2298">
        <f>[1]资金台帐!W2298&amp;""</f>
      </c>
      <c r="X2298">
        <f>[1]资金台帐!X2298&amp;""</f>
      </c>
      <c r="AB2298">
        <f>[1]资金台帐!AB2298</f>
        <v>0</v>
      </c>
      <c r="AC2298">
        <f>[1]资金台帐!AC2298</f>
        <v>0</v>
      </c>
      <c r="AD2298">
        <f>[1]资金台帐!AD2298</f>
        <v>0</v>
      </c>
      <c r="AJ2298">
        <f>[1]资金台帐!AJ2298</f>
        <v>0</v>
      </c>
      <c r="AK2298">
        <f>[1]资金台帐!AK2298</f>
        <v>0</v>
      </c>
      <c r="BA2298" s="22">
        <f t="shared" si="0"/>
      </c>
      <c r="BG2298" s="22">
        <f t="shared" si="1"/>
      </c>
      <c r="BH2298" s="22">
        <f t="shared" si="2"/>
        <v>0</v>
      </c>
    </row>
    <row r="2299">
      <c r="B2299">
        <f>[1]资金台帐!B2299&amp;""</f>
      </c>
      <c r="H2299">
        <f>[1]资金台帐!H2299&amp;""</f>
      </c>
      <c r="J2299">
        <f>[1]资金台帐!J2299&amp;""</f>
      </c>
      <c r="N2299">
        <f>[1]资金台帐!N2299</f>
      </c>
      <c r="O2299">
        <f>[1]资金台帐!O2299&amp;""</f>
      </c>
      <c r="P2299">
        <f>[1]资金台帐!P2299&amp;""</f>
      </c>
      <c r="Q2299">
        <f>[1]资金台帐!Q2299&amp;""</f>
      </c>
      <c r="T2299">
        <f>[1]资金台帐!T2299&amp;""</f>
      </c>
      <c r="U2299">
        <f>[1]资金台帐!U2299&amp;""</f>
      </c>
      <c r="W2299">
        <f>[1]资金台帐!W2299&amp;""</f>
      </c>
      <c r="X2299">
        <f>[1]资金台帐!X2299&amp;""</f>
      </c>
      <c r="AB2299">
        <f>[1]资金台帐!AB2299</f>
        <v>0</v>
      </c>
      <c r="AC2299">
        <f>[1]资金台帐!AC2299</f>
        <v>0</v>
      </c>
      <c r="AD2299">
        <f>[1]资金台帐!AD2299</f>
        <v>0</v>
      </c>
      <c r="AJ2299">
        <f>[1]资金台帐!AJ2299</f>
        <v>0</v>
      </c>
      <c r="AK2299">
        <f>[1]资金台帐!AK2299</f>
        <v>0</v>
      </c>
      <c r="BA2299" s="22">
        <f t="shared" si="0"/>
      </c>
      <c r="BG2299" s="22">
        <f t="shared" si="1"/>
      </c>
      <c r="BH2299" s="22">
        <f t="shared" si="2"/>
        <v>0</v>
      </c>
    </row>
    <row r="2300">
      <c r="B2300">
        <f>[1]资金台帐!B2300&amp;""</f>
      </c>
      <c r="H2300">
        <f>[1]资金台帐!H2300&amp;""</f>
      </c>
      <c r="J2300">
        <f>[1]资金台帐!J2300&amp;""</f>
      </c>
      <c r="N2300">
        <f>[1]资金台帐!N2300</f>
      </c>
      <c r="O2300">
        <f>[1]资金台帐!O2300&amp;""</f>
      </c>
      <c r="P2300">
        <f>[1]资金台帐!P2300&amp;""</f>
      </c>
      <c r="Q2300">
        <f>[1]资金台帐!Q2300&amp;""</f>
      </c>
      <c r="T2300">
        <f>[1]资金台帐!T2300&amp;""</f>
      </c>
      <c r="U2300">
        <f>[1]资金台帐!U2300&amp;""</f>
      </c>
      <c r="W2300">
        <f>[1]资金台帐!W2300&amp;""</f>
      </c>
      <c r="X2300">
        <f>[1]资金台帐!X2300&amp;""</f>
      </c>
      <c r="AB2300">
        <f>[1]资金台帐!AB2300</f>
        <v>0</v>
      </c>
      <c r="AC2300">
        <f>[1]资金台帐!AC2300</f>
        <v>0</v>
      </c>
      <c r="AD2300">
        <f>[1]资金台帐!AD2300</f>
        <v>0</v>
      </c>
      <c r="AJ2300">
        <f>[1]资金台帐!AJ2300</f>
        <v>0</v>
      </c>
      <c r="AK2300">
        <f>[1]资金台帐!AK2300</f>
        <v>0</v>
      </c>
      <c r="BA2300" s="22">
        <f t="shared" si="0"/>
      </c>
      <c r="BG2300" s="22">
        <f t="shared" si="1"/>
      </c>
      <c r="BH2300" s="22">
        <f t="shared" si="2"/>
        <v>0</v>
      </c>
    </row>
    <row r="2301">
      <c r="B2301">
        <f>[1]资金台帐!B2301&amp;""</f>
      </c>
      <c r="H2301">
        <f>[1]资金台帐!H2301&amp;""</f>
      </c>
      <c r="J2301">
        <f>[1]资金台帐!J2301&amp;""</f>
      </c>
      <c r="N2301">
        <f>[1]资金台帐!N2301</f>
      </c>
      <c r="O2301">
        <f>[1]资金台帐!O2301&amp;""</f>
      </c>
      <c r="P2301">
        <f>[1]资金台帐!P2301&amp;""</f>
      </c>
      <c r="Q2301">
        <f>[1]资金台帐!Q2301&amp;""</f>
      </c>
      <c r="T2301">
        <f>[1]资金台帐!T2301&amp;""</f>
      </c>
      <c r="U2301">
        <f>[1]资金台帐!U2301&amp;""</f>
      </c>
      <c r="W2301">
        <f>[1]资金台帐!W2301&amp;""</f>
      </c>
      <c r="X2301">
        <f>[1]资金台帐!X2301&amp;""</f>
      </c>
      <c r="AB2301">
        <f>[1]资金台帐!AB2301</f>
        <v>0</v>
      </c>
      <c r="AC2301">
        <f>[1]资金台帐!AC2301</f>
        <v>0</v>
      </c>
      <c r="AD2301">
        <f>[1]资金台帐!AD2301</f>
        <v>0</v>
      </c>
      <c r="AJ2301">
        <f>[1]资金台帐!AJ2301</f>
        <v>0</v>
      </c>
      <c r="AK2301">
        <f>[1]资金台帐!AK2301</f>
        <v>0</v>
      </c>
      <c r="BA2301" s="22">
        <f t="shared" si="0"/>
      </c>
      <c r="BG2301" s="22">
        <f t="shared" si="1"/>
      </c>
      <c r="BH2301" s="22">
        <f t="shared" si="2"/>
        <v>0</v>
      </c>
    </row>
    <row r="2302">
      <c r="B2302">
        <f>[1]资金台帐!B2302&amp;""</f>
      </c>
      <c r="H2302">
        <f>[1]资金台帐!H2302&amp;""</f>
      </c>
      <c r="J2302">
        <f>[1]资金台帐!J2302&amp;""</f>
      </c>
      <c r="N2302">
        <f>[1]资金台帐!N2302</f>
      </c>
      <c r="O2302">
        <f>[1]资金台帐!O2302&amp;""</f>
      </c>
      <c r="P2302">
        <f>[1]资金台帐!P2302&amp;""</f>
      </c>
      <c r="Q2302">
        <f>[1]资金台帐!Q2302&amp;""</f>
      </c>
      <c r="T2302">
        <f>[1]资金台帐!T2302&amp;""</f>
      </c>
      <c r="U2302">
        <f>[1]资金台帐!U2302&amp;""</f>
      </c>
      <c r="W2302">
        <f>[1]资金台帐!W2302&amp;""</f>
      </c>
      <c r="X2302">
        <f>[1]资金台帐!X2302&amp;""</f>
      </c>
      <c r="AB2302">
        <f>[1]资金台帐!AB2302</f>
        <v>0</v>
      </c>
      <c r="AC2302">
        <f>[1]资金台帐!AC2302</f>
        <v>0</v>
      </c>
      <c r="AD2302">
        <f>[1]资金台帐!AD2302</f>
        <v>0</v>
      </c>
      <c r="AJ2302">
        <f>[1]资金台帐!AJ2302</f>
        <v>0</v>
      </c>
      <c r="AK2302">
        <f>[1]资金台帐!AK2302</f>
        <v>0</v>
      </c>
      <c r="BA2302" s="22">
        <f t="shared" si="0"/>
      </c>
      <c r="BG2302" s="22">
        <f t="shared" si="1"/>
      </c>
      <c r="BH2302" s="22">
        <f t="shared" si="2"/>
        <v>0</v>
      </c>
    </row>
    <row r="2303">
      <c r="B2303">
        <f>[1]资金台帐!B2303&amp;""</f>
      </c>
      <c r="H2303">
        <f>[1]资金台帐!H2303&amp;""</f>
      </c>
      <c r="J2303">
        <f>[1]资金台帐!J2303&amp;""</f>
      </c>
      <c r="N2303">
        <f>[1]资金台帐!N2303</f>
      </c>
      <c r="O2303">
        <f>[1]资金台帐!O2303&amp;""</f>
      </c>
      <c r="P2303">
        <f>[1]资金台帐!P2303&amp;""</f>
      </c>
      <c r="Q2303">
        <f>[1]资金台帐!Q2303&amp;""</f>
      </c>
      <c r="T2303">
        <f>[1]资金台帐!T2303&amp;""</f>
      </c>
      <c r="U2303">
        <f>[1]资金台帐!U2303&amp;""</f>
      </c>
      <c r="W2303">
        <f>[1]资金台帐!W2303&amp;""</f>
      </c>
      <c r="X2303">
        <f>[1]资金台帐!X2303&amp;""</f>
      </c>
      <c r="AB2303">
        <f>[1]资金台帐!AB2303</f>
        <v>0</v>
      </c>
      <c r="AC2303">
        <f>[1]资金台帐!AC2303</f>
        <v>0</v>
      </c>
      <c r="AD2303">
        <f>[1]资金台帐!AD2303</f>
        <v>0</v>
      </c>
      <c r="AJ2303">
        <f>[1]资金台帐!AJ2303</f>
        <v>0</v>
      </c>
      <c r="AK2303">
        <f>[1]资金台帐!AK2303</f>
        <v>0</v>
      </c>
      <c r="BA2303" s="22">
        <f t="shared" si="0"/>
      </c>
      <c r="BG2303" s="22">
        <f t="shared" si="1"/>
      </c>
      <c r="BH2303" s="22">
        <f t="shared" si="2"/>
        <v>0</v>
      </c>
    </row>
    <row r="2304">
      <c r="B2304">
        <f>[1]资金台帐!B2304&amp;""</f>
      </c>
      <c r="H2304">
        <f>[1]资金台帐!H2304&amp;""</f>
      </c>
      <c r="J2304">
        <f>[1]资金台帐!J2304&amp;""</f>
      </c>
      <c r="N2304">
        <f>[1]资金台帐!N2304</f>
      </c>
      <c r="O2304">
        <f>[1]资金台帐!O2304&amp;""</f>
      </c>
      <c r="P2304">
        <f>[1]资金台帐!P2304&amp;""</f>
      </c>
      <c r="Q2304">
        <f>[1]资金台帐!Q2304&amp;""</f>
      </c>
      <c r="T2304">
        <f>[1]资金台帐!T2304&amp;""</f>
      </c>
      <c r="U2304">
        <f>[1]资金台帐!U2304&amp;""</f>
      </c>
      <c r="W2304">
        <f>[1]资金台帐!W2304&amp;""</f>
      </c>
      <c r="X2304">
        <f>[1]资金台帐!X2304&amp;""</f>
      </c>
      <c r="AB2304">
        <f>[1]资金台帐!AB2304</f>
        <v>0</v>
      </c>
      <c r="AC2304">
        <f>[1]资金台帐!AC2304</f>
        <v>0</v>
      </c>
      <c r="AD2304">
        <f>[1]资金台帐!AD2304</f>
        <v>0</v>
      </c>
      <c r="AJ2304">
        <f>[1]资金台帐!AJ2304</f>
        <v>0</v>
      </c>
      <c r="AK2304">
        <f>[1]资金台帐!AK2304</f>
        <v>0</v>
      </c>
      <c r="BA2304" s="22">
        <f t="shared" si="0"/>
      </c>
      <c r="BG2304" s="22">
        <f t="shared" si="1"/>
      </c>
      <c r="BH2304" s="22">
        <f t="shared" si="2"/>
        <v>0</v>
      </c>
    </row>
    <row r="2305">
      <c r="B2305">
        <f>[1]资金台帐!B2305&amp;""</f>
      </c>
      <c r="H2305">
        <f>[1]资金台帐!H2305&amp;""</f>
      </c>
      <c r="J2305">
        <f>[1]资金台帐!J2305&amp;""</f>
      </c>
      <c r="N2305">
        <f>[1]资金台帐!N2305</f>
      </c>
      <c r="O2305">
        <f>[1]资金台帐!O2305&amp;""</f>
      </c>
      <c r="P2305">
        <f>[1]资金台帐!P2305&amp;""</f>
      </c>
      <c r="Q2305">
        <f>[1]资金台帐!Q2305&amp;""</f>
      </c>
      <c r="T2305">
        <f>[1]资金台帐!T2305&amp;""</f>
      </c>
      <c r="U2305">
        <f>[1]资金台帐!U2305&amp;""</f>
      </c>
      <c r="W2305">
        <f>[1]资金台帐!W2305&amp;""</f>
      </c>
      <c r="X2305">
        <f>[1]资金台帐!X2305&amp;""</f>
      </c>
      <c r="AB2305">
        <f>[1]资金台帐!AB2305</f>
        <v>0</v>
      </c>
      <c r="AC2305">
        <f>[1]资金台帐!AC2305</f>
        <v>0</v>
      </c>
      <c r="AD2305">
        <f>[1]资金台帐!AD2305</f>
        <v>0</v>
      </c>
      <c r="AJ2305">
        <f>[1]资金台帐!AJ2305</f>
        <v>0</v>
      </c>
      <c r="AK2305">
        <f>[1]资金台帐!AK2305</f>
        <v>0</v>
      </c>
      <c r="BA2305" s="22">
        <f t="shared" si="0"/>
      </c>
      <c r="BG2305" s="22">
        <f t="shared" si="1"/>
      </c>
      <c r="BH2305" s="22">
        <f t="shared" si="2"/>
        <v>0</v>
      </c>
    </row>
    <row r="2306">
      <c r="B2306">
        <f>[1]资金台帐!B2306&amp;""</f>
      </c>
      <c r="H2306">
        <f>[1]资金台帐!H2306&amp;""</f>
      </c>
      <c r="J2306">
        <f>[1]资金台帐!J2306&amp;""</f>
      </c>
      <c r="N2306">
        <f>[1]资金台帐!N2306</f>
      </c>
      <c r="O2306">
        <f>[1]资金台帐!O2306&amp;""</f>
      </c>
      <c r="P2306">
        <f>[1]资金台帐!P2306&amp;""</f>
      </c>
      <c r="Q2306">
        <f>[1]资金台帐!Q2306&amp;""</f>
      </c>
      <c r="T2306">
        <f>[1]资金台帐!T2306&amp;""</f>
      </c>
      <c r="U2306">
        <f>[1]资金台帐!U2306&amp;""</f>
      </c>
      <c r="W2306">
        <f>[1]资金台帐!W2306&amp;""</f>
      </c>
      <c r="X2306">
        <f>[1]资金台帐!X2306&amp;""</f>
      </c>
      <c r="AB2306">
        <f>[1]资金台帐!AB2306</f>
        <v>0</v>
      </c>
      <c r="AC2306">
        <f>[1]资金台帐!AC2306</f>
        <v>0</v>
      </c>
      <c r="AD2306">
        <f>[1]资金台帐!AD2306</f>
        <v>0</v>
      </c>
      <c r="AJ2306">
        <f>[1]资金台帐!AJ2306</f>
        <v>0</v>
      </c>
      <c r="AK2306">
        <f>[1]资金台帐!AK2306</f>
        <v>0</v>
      </c>
      <c r="BA2306" s="22">
        <f t="shared" si="0"/>
      </c>
      <c r="BG2306" s="22">
        <f t="shared" si="1"/>
      </c>
      <c r="BH2306" s="22">
        <f t="shared" si="2"/>
        <v>0</v>
      </c>
    </row>
    <row r="2307">
      <c r="B2307">
        <f>[1]资金台帐!B2307&amp;""</f>
      </c>
      <c r="H2307">
        <f>[1]资金台帐!H2307&amp;""</f>
      </c>
      <c r="J2307">
        <f>[1]资金台帐!J2307&amp;""</f>
      </c>
      <c r="N2307">
        <f>[1]资金台帐!N2307</f>
      </c>
      <c r="O2307">
        <f>[1]资金台帐!O2307&amp;""</f>
      </c>
      <c r="P2307">
        <f>[1]资金台帐!P2307&amp;""</f>
      </c>
      <c r="Q2307">
        <f>[1]资金台帐!Q2307&amp;""</f>
      </c>
      <c r="T2307">
        <f>[1]资金台帐!T2307&amp;""</f>
      </c>
      <c r="U2307">
        <f>[1]资金台帐!U2307&amp;""</f>
      </c>
      <c r="W2307">
        <f>[1]资金台帐!W2307&amp;""</f>
      </c>
      <c r="X2307">
        <f>[1]资金台帐!X2307&amp;""</f>
      </c>
      <c r="AB2307">
        <f>[1]资金台帐!AB2307</f>
        <v>0</v>
      </c>
      <c r="AC2307">
        <f>[1]资金台帐!AC2307</f>
        <v>0</v>
      </c>
      <c r="AD2307">
        <f>[1]资金台帐!AD2307</f>
        <v>0</v>
      </c>
      <c r="AJ2307">
        <f>[1]资金台帐!AJ2307</f>
        <v>0</v>
      </c>
      <c r="AK2307">
        <f>[1]资金台帐!AK2307</f>
        <v>0</v>
      </c>
      <c r="BA2307" s="22">
        <f t="shared" si="0"/>
      </c>
      <c r="BG2307" s="22">
        <f t="shared" si="1"/>
      </c>
      <c r="BH2307" s="22">
        <f t="shared" si="2"/>
        <v>0</v>
      </c>
    </row>
    <row r="2308">
      <c r="B2308">
        <f>[1]资金台帐!B2308&amp;""</f>
      </c>
      <c r="H2308">
        <f>[1]资金台帐!H2308&amp;""</f>
      </c>
      <c r="J2308">
        <f>[1]资金台帐!J2308&amp;""</f>
      </c>
      <c r="N2308">
        <f>[1]资金台帐!N2308</f>
      </c>
      <c r="O2308">
        <f>[1]资金台帐!O2308&amp;""</f>
      </c>
      <c r="P2308">
        <f>[1]资金台帐!P2308&amp;""</f>
      </c>
      <c r="Q2308">
        <f>[1]资金台帐!Q2308&amp;""</f>
      </c>
      <c r="T2308">
        <f>[1]资金台帐!T2308&amp;""</f>
      </c>
      <c r="U2308">
        <f>[1]资金台帐!U2308&amp;""</f>
      </c>
      <c r="W2308">
        <f>[1]资金台帐!W2308&amp;""</f>
      </c>
      <c r="X2308">
        <f>[1]资金台帐!X2308&amp;""</f>
      </c>
      <c r="AB2308">
        <f>[1]资金台帐!AB2308</f>
        <v>0</v>
      </c>
      <c r="AC2308">
        <f>[1]资金台帐!AC2308</f>
        <v>0</v>
      </c>
      <c r="AD2308">
        <f>[1]资金台帐!AD2308</f>
        <v>0</v>
      </c>
      <c r="AJ2308">
        <f>[1]资金台帐!AJ2308</f>
        <v>0</v>
      </c>
      <c r="AK2308">
        <f>[1]资金台帐!AK2308</f>
        <v>0</v>
      </c>
      <c r="BA2308" s="22">
        <f t="shared" si="0"/>
      </c>
      <c r="BG2308" s="22">
        <f t="shared" si="1"/>
      </c>
      <c r="BH2308" s="22">
        <f t="shared" si="2"/>
        <v>0</v>
      </c>
    </row>
    <row r="2309">
      <c r="B2309">
        <f>[1]资金台帐!B2309&amp;""</f>
      </c>
      <c r="H2309">
        <f>[1]资金台帐!H2309&amp;""</f>
      </c>
      <c r="J2309">
        <f>[1]资金台帐!J2309&amp;""</f>
      </c>
      <c r="N2309">
        <f>[1]资金台帐!N2309</f>
      </c>
      <c r="O2309">
        <f>[1]资金台帐!O2309&amp;""</f>
      </c>
      <c r="P2309">
        <f>[1]资金台帐!P2309&amp;""</f>
      </c>
      <c r="Q2309">
        <f>[1]资金台帐!Q2309&amp;""</f>
      </c>
      <c r="T2309">
        <f>[1]资金台帐!T2309&amp;""</f>
      </c>
      <c r="U2309">
        <f>[1]资金台帐!U2309&amp;""</f>
      </c>
      <c r="W2309">
        <f>[1]资金台帐!W2309&amp;""</f>
      </c>
      <c r="X2309">
        <f>[1]资金台帐!X2309&amp;""</f>
      </c>
      <c r="AB2309">
        <f>[1]资金台帐!AB2309</f>
        <v>0</v>
      </c>
      <c r="AC2309">
        <f>[1]资金台帐!AC2309</f>
        <v>0</v>
      </c>
      <c r="AD2309">
        <f>[1]资金台帐!AD2309</f>
        <v>0</v>
      </c>
      <c r="AJ2309">
        <f>[1]资金台帐!AJ2309</f>
        <v>0</v>
      </c>
      <c r="AK2309">
        <f>[1]资金台帐!AK2309</f>
        <v>0</v>
      </c>
      <c r="BA2309" s="22">
        <f t="shared" si="0"/>
      </c>
      <c r="BG2309" s="22">
        <f t="shared" si="1"/>
      </c>
      <c r="BH2309" s="22">
        <f t="shared" si="2"/>
        <v>0</v>
      </c>
    </row>
    <row r="2310">
      <c r="B2310">
        <f>[1]资金台帐!B2310&amp;""</f>
      </c>
      <c r="H2310">
        <f>[1]资金台帐!H2310&amp;""</f>
      </c>
      <c r="J2310">
        <f>[1]资金台帐!J2310&amp;""</f>
      </c>
      <c r="N2310">
        <f>[1]资金台帐!N2310</f>
      </c>
      <c r="O2310">
        <f>[1]资金台帐!O2310&amp;""</f>
      </c>
      <c r="P2310">
        <f>[1]资金台帐!P2310&amp;""</f>
      </c>
      <c r="Q2310">
        <f>[1]资金台帐!Q2310&amp;""</f>
      </c>
      <c r="T2310">
        <f>[1]资金台帐!T2310&amp;""</f>
      </c>
      <c r="U2310">
        <f>[1]资金台帐!U2310&amp;""</f>
      </c>
      <c r="W2310">
        <f>[1]资金台帐!W2310&amp;""</f>
      </c>
      <c r="X2310">
        <f>[1]资金台帐!X2310&amp;""</f>
      </c>
      <c r="AB2310">
        <f>[1]资金台帐!AB2310</f>
        <v>0</v>
      </c>
      <c r="AC2310">
        <f>[1]资金台帐!AC2310</f>
        <v>0</v>
      </c>
      <c r="AD2310">
        <f>[1]资金台帐!AD2310</f>
        <v>0</v>
      </c>
      <c r="AJ2310">
        <f>[1]资金台帐!AJ2310</f>
        <v>0</v>
      </c>
      <c r="AK2310">
        <f>[1]资金台帐!AK2310</f>
        <v>0</v>
      </c>
      <c r="BA2310" s="22">
        <f t="shared" si="0"/>
      </c>
      <c r="BG2310" s="22">
        <f t="shared" si="1"/>
      </c>
      <c r="BH2310" s="22">
        <f t="shared" si="2"/>
        <v>0</v>
      </c>
    </row>
    <row r="2311">
      <c r="B2311">
        <f>[1]资金台帐!B2311&amp;""</f>
      </c>
      <c r="H2311">
        <f>[1]资金台帐!H2311&amp;""</f>
      </c>
      <c r="J2311">
        <f>[1]资金台帐!J2311&amp;""</f>
      </c>
      <c r="N2311">
        <f>[1]资金台帐!N2311</f>
      </c>
      <c r="O2311">
        <f>[1]资金台帐!O2311&amp;""</f>
      </c>
      <c r="P2311">
        <f>[1]资金台帐!P2311&amp;""</f>
      </c>
      <c r="Q2311">
        <f>[1]资金台帐!Q2311&amp;""</f>
      </c>
      <c r="T2311">
        <f>[1]资金台帐!T2311&amp;""</f>
      </c>
      <c r="U2311">
        <f>[1]资金台帐!U2311&amp;""</f>
      </c>
      <c r="W2311">
        <f>[1]资金台帐!W2311&amp;""</f>
      </c>
      <c r="X2311">
        <f>[1]资金台帐!X2311&amp;""</f>
      </c>
      <c r="AB2311">
        <f>[1]资金台帐!AB2311</f>
        <v>0</v>
      </c>
      <c r="AC2311">
        <f>[1]资金台帐!AC2311</f>
        <v>0</v>
      </c>
      <c r="AD2311">
        <f>[1]资金台帐!AD2311</f>
        <v>0</v>
      </c>
      <c r="AJ2311">
        <f>[1]资金台帐!AJ2311</f>
        <v>0</v>
      </c>
      <c r="AK2311">
        <f>[1]资金台帐!AK2311</f>
        <v>0</v>
      </c>
      <c r="BA2311" s="22">
        <f t="shared" si="0"/>
      </c>
      <c r="BG2311" s="22">
        <f t="shared" si="1"/>
      </c>
      <c r="BH2311" s="22">
        <f t="shared" si="2"/>
        <v>0</v>
      </c>
    </row>
    <row r="2312">
      <c r="B2312">
        <f>[1]资金台帐!B2312&amp;""</f>
      </c>
      <c r="H2312">
        <f>[1]资金台帐!H2312&amp;""</f>
      </c>
      <c r="J2312">
        <f>[1]资金台帐!J2312&amp;""</f>
      </c>
      <c r="N2312">
        <f>[1]资金台帐!N2312</f>
      </c>
      <c r="O2312">
        <f>[1]资金台帐!O2312&amp;""</f>
      </c>
      <c r="P2312">
        <f>[1]资金台帐!P2312&amp;""</f>
      </c>
      <c r="Q2312">
        <f>[1]资金台帐!Q2312&amp;""</f>
      </c>
      <c r="T2312">
        <f>[1]资金台帐!T2312&amp;""</f>
      </c>
      <c r="U2312">
        <f>[1]资金台帐!U2312&amp;""</f>
      </c>
      <c r="W2312">
        <f>[1]资金台帐!W2312&amp;""</f>
      </c>
      <c r="X2312">
        <f>[1]资金台帐!X2312&amp;""</f>
      </c>
      <c r="AB2312">
        <f>[1]资金台帐!AB2312</f>
        <v>0</v>
      </c>
      <c r="AC2312">
        <f>[1]资金台帐!AC2312</f>
        <v>0</v>
      </c>
      <c r="AD2312">
        <f>[1]资金台帐!AD2312</f>
        <v>0</v>
      </c>
      <c r="AJ2312">
        <f>[1]资金台帐!AJ2312</f>
        <v>0</v>
      </c>
      <c r="AK2312">
        <f>[1]资金台帐!AK2312</f>
        <v>0</v>
      </c>
      <c r="BA2312" s="22">
        <f t="shared" si="0"/>
      </c>
      <c r="BG2312" s="22">
        <f t="shared" si="1"/>
      </c>
      <c r="BH2312" s="22">
        <f t="shared" si="2"/>
        <v>0</v>
      </c>
    </row>
    <row r="2313">
      <c r="B2313">
        <f>[1]资金台帐!B2313&amp;""</f>
      </c>
      <c r="H2313">
        <f>[1]资金台帐!H2313&amp;""</f>
      </c>
      <c r="J2313">
        <f>[1]资金台帐!J2313&amp;""</f>
      </c>
      <c r="N2313">
        <f>[1]资金台帐!N2313</f>
      </c>
      <c r="O2313">
        <f>[1]资金台帐!O2313&amp;""</f>
      </c>
      <c r="P2313">
        <f>[1]资金台帐!P2313&amp;""</f>
      </c>
      <c r="Q2313">
        <f>[1]资金台帐!Q2313&amp;""</f>
      </c>
      <c r="T2313">
        <f>[1]资金台帐!T2313&amp;""</f>
      </c>
      <c r="U2313">
        <f>[1]资金台帐!U2313&amp;""</f>
      </c>
      <c r="W2313">
        <f>[1]资金台帐!W2313&amp;""</f>
      </c>
      <c r="X2313">
        <f>[1]资金台帐!X2313&amp;""</f>
      </c>
      <c r="AB2313">
        <f>[1]资金台帐!AB2313</f>
        <v>0</v>
      </c>
      <c r="AC2313">
        <f>[1]资金台帐!AC2313</f>
        <v>0</v>
      </c>
      <c r="AD2313">
        <f>[1]资金台帐!AD2313</f>
        <v>0</v>
      </c>
      <c r="AJ2313">
        <f>[1]资金台帐!AJ2313</f>
        <v>0</v>
      </c>
      <c r="AK2313">
        <f>[1]资金台帐!AK2313</f>
        <v>0</v>
      </c>
      <c r="BA2313" s="22">
        <f t="shared" si="0"/>
      </c>
      <c r="BG2313" s="22">
        <f t="shared" si="1"/>
      </c>
      <c r="BH2313" s="22">
        <f t="shared" si="2"/>
        <v>0</v>
      </c>
    </row>
    <row r="2314">
      <c r="B2314">
        <f>[1]资金台帐!B2314&amp;""</f>
      </c>
      <c r="H2314">
        <f>[1]资金台帐!H2314&amp;""</f>
      </c>
      <c r="J2314">
        <f>[1]资金台帐!J2314&amp;""</f>
      </c>
      <c r="N2314">
        <f>[1]资金台帐!N2314</f>
      </c>
      <c r="O2314">
        <f>[1]资金台帐!O2314&amp;""</f>
      </c>
      <c r="P2314">
        <f>[1]资金台帐!P2314&amp;""</f>
      </c>
      <c r="Q2314">
        <f>[1]资金台帐!Q2314&amp;""</f>
      </c>
      <c r="T2314">
        <f>[1]资金台帐!T2314&amp;""</f>
      </c>
      <c r="U2314">
        <f>[1]资金台帐!U2314&amp;""</f>
      </c>
      <c r="W2314">
        <f>[1]资金台帐!W2314&amp;""</f>
      </c>
      <c r="X2314">
        <f>[1]资金台帐!X2314&amp;""</f>
      </c>
      <c r="AB2314">
        <f>[1]资金台帐!AB2314</f>
        <v>0</v>
      </c>
      <c r="AC2314">
        <f>[1]资金台帐!AC2314</f>
        <v>0</v>
      </c>
      <c r="AD2314">
        <f>[1]资金台帐!AD2314</f>
        <v>0</v>
      </c>
      <c r="AJ2314">
        <f>[1]资金台帐!AJ2314</f>
        <v>0</v>
      </c>
      <c r="AK2314">
        <f>[1]资金台帐!AK2314</f>
        <v>0</v>
      </c>
      <c r="BA2314" s="22">
        <f t="shared" si="0"/>
      </c>
      <c r="BG2314" s="22">
        <f t="shared" si="1"/>
      </c>
      <c r="BH2314" s="22">
        <f t="shared" si="2"/>
        <v>0</v>
      </c>
    </row>
    <row r="2315">
      <c r="B2315">
        <f>[1]资金台帐!B2315&amp;""</f>
      </c>
      <c r="H2315">
        <f>[1]资金台帐!H2315&amp;""</f>
      </c>
      <c r="J2315">
        <f>[1]资金台帐!J2315&amp;""</f>
      </c>
      <c r="N2315">
        <f>[1]资金台帐!N2315</f>
      </c>
      <c r="O2315">
        <f>[1]资金台帐!O2315&amp;""</f>
      </c>
      <c r="P2315">
        <f>[1]资金台帐!P2315&amp;""</f>
      </c>
      <c r="Q2315">
        <f>[1]资金台帐!Q2315&amp;""</f>
      </c>
      <c r="T2315">
        <f>[1]资金台帐!T2315&amp;""</f>
      </c>
      <c r="U2315">
        <f>[1]资金台帐!U2315&amp;""</f>
      </c>
      <c r="W2315">
        <f>[1]资金台帐!W2315&amp;""</f>
      </c>
      <c r="X2315">
        <f>[1]资金台帐!X2315&amp;""</f>
      </c>
      <c r="AB2315">
        <f>[1]资金台帐!AB2315</f>
        <v>0</v>
      </c>
      <c r="AC2315">
        <f>[1]资金台帐!AC2315</f>
        <v>0</v>
      </c>
      <c r="AD2315">
        <f>[1]资金台帐!AD2315</f>
        <v>0</v>
      </c>
      <c r="AJ2315">
        <f>[1]资金台帐!AJ2315</f>
        <v>0</v>
      </c>
      <c r="AK2315">
        <f>[1]资金台帐!AK2315</f>
        <v>0</v>
      </c>
      <c r="BA2315" s="22">
        <f t="shared" si="0"/>
      </c>
      <c r="BG2315" s="22">
        <f t="shared" si="1"/>
      </c>
      <c r="BH2315" s="22">
        <f t="shared" si="2"/>
        <v>0</v>
      </c>
    </row>
    <row r="2316">
      <c r="B2316">
        <f>[1]资金台帐!B2316&amp;""</f>
      </c>
      <c r="H2316">
        <f>[1]资金台帐!H2316&amp;""</f>
      </c>
      <c r="J2316">
        <f>[1]资金台帐!J2316&amp;""</f>
      </c>
      <c r="N2316">
        <f>[1]资金台帐!N2316</f>
      </c>
      <c r="O2316">
        <f>[1]资金台帐!O2316&amp;""</f>
      </c>
      <c r="P2316">
        <f>[1]资金台帐!P2316&amp;""</f>
      </c>
      <c r="Q2316">
        <f>[1]资金台帐!Q2316&amp;""</f>
      </c>
      <c r="T2316">
        <f>[1]资金台帐!T2316&amp;""</f>
      </c>
      <c r="U2316">
        <f>[1]资金台帐!U2316&amp;""</f>
      </c>
      <c r="W2316">
        <f>[1]资金台帐!W2316&amp;""</f>
      </c>
      <c r="X2316">
        <f>[1]资金台帐!X2316&amp;""</f>
      </c>
      <c r="AB2316">
        <f>[1]资金台帐!AB2316</f>
        <v>0</v>
      </c>
      <c r="AC2316">
        <f>[1]资金台帐!AC2316</f>
        <v>0</v>
      </c>
      <c r="AD2316">
        <f>[1]资金台帐!AD2316</f>
        <v>0</v>
      </c>
      <c r="AJ2316">
        <f>[1]资金台帐!AJ2316</f>
        <v>0</v>
      </c>
      <c r="AK2316">
        <f>[1]资金台帐!AK2316</f>
        <v>0</v>
      </c>
      <c r="BA2316" s="22">
        <f t="shared" si="0"/>
      </c>
      <c r="BG2316" s="22">
        <f t="shared" si="1"/>
      </c>
      <c r="BH2316" s="22">
        <f t="shared" si="2"/>
        <v>0</v>
      </c>
    </row>
    <row r="2317">
      <c r="B2317">
        <f>[1]资金台帐!B2317&amp;""</f>
      </c>
      <c r="H2317">
        <f>[1]资金台帐!H2317&amp;""</f>
      </c>
      <c r="J2317">
        <f>[1]资金台帐!J2317&amp;""</f>
      </c>
      <c r="N2317">
        <f>[1]资金台帐!N2317</f>
      </c>
      <c r="O2317">
        <f>[1]资金台帐!O2317&amp;""</f>
      </c>
      <c r="P2317">
        <f>[1]资金台帐!P2317&amp;""</f>
      </c>
      <c r="Q2317">
        <f>[1]资金台帐!Q2317&amp;""</f>
      </c>
      <c r="T2317">
        <f>[1]资金台帐!T2317&amp;""</f>
      </c>
      <c r="U2317">
        <f>[1]资金台帐!U2317&amp;""</f>
      </c>
      <c r="W2317">
        <f>[1]资金台帐!W2317&amp;""</f>
      </c>
      <c r="X2317">
        <f>[1]资金台帐!X2317&amp;""</f>
      </c>
      <c r="AB2317">
        <f>[1]资金台帐!AB2317</f>
        <v>0</v>
      </c>
      <c r="AC2317">
        <f>[1]资金台帐!AC2317</f>
        <v>0</v>
      </c>
      <c r="AD2317">
        <f>[1]资金台帐!AD2317</f>
        <v>0</v>
      </c>
      <c r="AJ2317">
        <f>[1]资金台帐!AJ2317</f>
        <v>0</v>
      </c>
      <c r="AK2317">
        <f>[1]资金台帐!AK2317</f>
        <v>0</v>
      </c>
      <c r="BA2317" s="22">
        <f t="shared" si="0"/>
      </c>
      <c r="BG2317" s="22">
        <f t="shared" si="1"/>
      </c>
      <c r="BH2317" s="22">
        <f t="shared" si="2"/>
        <v>0</v>
      </c>
    </row>
    <row r="2318">
      <c r="B2318">
        <f>[1]资金台帐!B2318&amp;""</f>
      </c>
      <c r="H2318">
        <f>[1]资金台帐!H2318&amp;""</f>
      </c>
      <c r="J2318">
        <f>[1]资金台帐!J2318&amp;""</f>
      </c>
      <c r="N2318">
        <f>[1]资金台帐!N2318</f>
      </c>
      <c r="O2318">
        <f>[1]资金台帐!O2318&amp;""</f>
      </c>
      <c r="P2318">
        <f>[1]资金台帐!P2318&amp;""</f>
      </c>
      <c r="Q2318">
        <f>[1]资金台帐!Q2318&amp;""</f>
      </c>
      <c r="T2318">
        <f>[1]资金台帐!T2318&amp;""</f>
      </c>
      <c r="U2318">
        <f>[1]资金台帐!U2318&amp;""</f>
      </c>
      <c r="W2318">
        <f>[1]资金台帐!W2318&amp;""</f>
      </c>
      <c r="X2318">
        <f>[1]资金台帐!X2318&amp;""</f>
      </c>
      <c r="AB2318">
        <f>[1]资金台帐!AB2318</f>
        <v>0</v>
      </c>
      <c r="AC2318">
        <f>[1]资金台帐!AC2318</f>
        <v>0</v>
      </c>
      <c r="AD2318">
        <f>[1]资金台帐!AD2318</f>
        <v>0</v>
      </c>
      <c r="AJ2318">
        <f>[1]资金台帐!AJ2318</f>
        <v>0</v>
      </c>
      <c r="AK2318">
        <f>[1]资金台帐!AK2318</f>
        <v>0</v>
      </c>
      <c r="BA2318" s="22">
        <f t="shared" si="0"/>
      </c>
      <c r="BG2318" s="22">
        <f t="shared" si="1"/>
      </c>
      <c r="BH2318" s="22">
        <f t="shared" si="2"/>
        <v>0</v>
      </c>
    </row>
    <row r="2319">
      <c r="B2319">
        <f>[1]资金台帐!B2319&amp;""</f>
      </c>
      <c r="H2319">
        <f>[1]资金台帐!H2319&amp;""</f>
      </c>
      <c r="J2319">
        <f>[1]资金台帐!J2319&amp;""</f>
      </c>
      <c r="N2319">
        <f>[1]资金台帐!N2319</f>
      </c>
      <c r="O2319">
        <f>[1]资金台帐!O2319&amp;""</f>
      </c>
      <c r="P2319">
        <f>[1]资金台帐!P2319&amp;""</f>
      </c>
      <c r="Q2319">
        <f>[1]资金台帐!Q2319&amp;""</f>
      </c>
      <c r="T2319">
        <f>[1]资金台帐!T2319&amp;""</f>
      </c>
      <c r="U2319">
        <f>[1]资金台帐!U2319&amp;""</f>
      </c>
      <c r="W2319">
        <f>[1]资金台帐!W2319&amp;""</f>
      </c>
      <c r="X2319">
        <f>[1]资金台帐!X2319&amp;""</f>
      </c>
      <c r="AB2319">
        <f>[1]资金台帐!AB2319</f>
        <v>0</v>
      </c>
      <c r="AC2319">
        <f>[1]资金台帐!AC2319</f>
        <v>0</v>
      </c>
      <c r="AD2319">
        <f>[1]资金台帐!AD2319</f>
        <v>0</v>
      </c>
      <c r="AJ2319">
        <f>[1]资金台帐!AJ2319</f>
        <v>0</v>
      </c>
      <c r="AK2319">
        <f>[1]资金台帐!AK2319</f>
        <v>0</v>
      </c>
      <c r="BA2319" s="22">
        <f t="shared" si="0"/>
      </c>
      <c r="BG2319" s="22">
        <f t="shared" si="1"/>
      </c>
      <c r="BH2319" s="22">
        <f t="shared" si="2"/>
        <v>0</v>
      </c>
    </row>
    <row r="2320">
      <c r="B2320">
        <f>[1]资金台帐!B2320&amp;""</f>
      </c>
      <c r="H2320">
        <f>[1]资金台帐!H2320&amp;""</f>
      </c>
      <c r="J2320">
        <f>[1]资金台帐!J2320&amp;""</f>
      </c>
      <c r="N2320">
        <f>[1]资金台帐!N2320</f>
      </c>
      <c r="O2320">
        <f>[1]资金台帐!O2320&amp;""</f>
      </c>
      <c r="P2320">
        <f>[1]资金台帐!P2320&amp;""</f>
      </c>
      <c r="Q2320">
        <f>[1]资金台帐!Q2320&amp;""</f>
      </c>
      <c r="T2320">
        <f>[1]资金台帐!T2320&amp;""</f>
      </c>
      <c r="U2320">
        <f>[1]资金台帐!U2320&amp;""</f>
      </c>
      <c r="W2320">
        <f>[1]资金台帐!W2320&amp;""</f>
      </c>
      <c r="X2320">
        <f>[1]资金台帐!X2320&amp;""</f>
      </c>
      <c r="AB2320">
        <f>[1]资金台帐!AB2320</f>
        <v>0</v>
      </c>
      <c r="AC2320">
        <f>[1]资金台帐!AC2320</f>
        <v>0</v>
      </c>
      <c r="AD2320">
        <f>[1]资金台帐!AD2320</f>
        <v>0</v>
      </c>
      <c r="AJ2320">
        <f>[1]资金台帐!AJ2320</f>
        <v>0</v>
      </c>
      <c r="AK2320">
        <f>[1]资金台帐!AK2320</f>
        <v>0</v>
      </c>
      <c r="BA2320" s="22">
        <f t="shared" si="0"/>
      </c>
      <c r="BG2320" s="22">
        <f t="shared" si="1"/>
      </c>
      <c r="BH2320" s="22">
        <f t="shared" si="2"/>
        <v>0</v>
      </c>
    </row>
    <row r="2321">
      <c r="B2321">
        <f>[1]资金台帐!B2321&amp;""</f>
      </c>
      <c r="H2321">
        <f>[1]资金台帐!H2321&amp;""</f>
      </c>
      <c r="J2321">
        <f>[1]资金台帐!J2321&amp;""</f>
      </c>
      <c r="N2321">
        <f>[1]资金台帐!N2321</f>
      </c>
      <c r="O2321">
        <f>[1]资金台帐!O2321&amp;""</f>
      </c>
      <c r="P2321">
        <f>[1]资金台帐!P2321&amp;""</f>
      </c>
      <c r="Q2321">
        <f>[1]资金台帐!Q2321&amp;""</f>
      </c>
      <c r="T2321">
        <f>[1]资金台帐!T2321&amp;""</f>
      </c>
      <c r="U2321">
        <f>[1]资金台帐!U2321&amp;""</f>
      </c>
      <c r="W2321">
        <f>[1]资金台帐!W2321&amp;""</f>
      </c>
      <c r="X2321">
        <f>[1]资金台帐!X2321&amp;""</f>
      </c>
      <c r="AB2321">
        <f>[1]资金台帐!AB2321</f>
        <v>0</v>
      </c>
      <c r="AC2321">
        <f>[1]资金台帐!AC2321</f>
        <v>0</v>
      </c>
      <c r="AD2321">
        <f>[1]资金台帐!AD2321</f>
        <v>0</v>
      </c>
      <c r="AJ2321">
        <f>[1]资金台帐!AJ2321</f>
        <v>0</v>
      </c>
      <c r="AK2321">
        <f>[1]资金台帐!AK2321</f>
        <v>0</v>
      </c>
      <c r="BA2321" s="22">
        <f t="shared" si="0"/>
      </c>
      <c r="BG2321" s="22">
        <f t="shared" si="1"/>
      </c>
      <c r="BH2321" s="22">
        <f t="shared" si="2"/>
        <v>0</v>
      </c>
    </row>
    <row r="2322">
      <c r="B2322">
        <f>[1]资金台帐!B2322&amp;""</f>
      </c>
      <c r="H2322">
        <f>[1]资金台帐!H2322&amp;""</f>
      </c>
      <c r="J2322">
        <f>[1]资金台帐!J2322&amp;""</f>
      </c>
      <c r="N2322">
        <f>[1]资金台帐!N2322</f>
      </c>
      <c r="O2322">
        <f>[1]资金台帐!O2322&amp;""</f>
      </c>
      <c r="P2322">
        <f>[1]资金台帐!P2322&amp;""</f>
      </c>
      <c r="Q2322">
        <f>[1]资金台帐!Q2322&amp;""</f>
      </c>
      <c r="T2322">
        <f>[1]资金台帐!T2322&amp;""</f>
      </c>
      <c r="U2322">
        <f>[1]资金台帐!U2322&amp;""</f>
      </c>
      <c r="W2322">
        <f>[1]资金台帐!W2322&amp;""</f>
      </c>
      <c r="X2322">
        <f>[1]资金台帐!X2322&amp;""</f>
      </c>
      <c r="AB2322">
        <f>[1]资金台帐!AB2322</f>
        <v>0</v>
      </c>
      <c r="AC2322">
        <f>[1]资金台帐!AC2322</f>
        <v>0</v>
      </c>
      <c r="AD2322">
        <f>[1]资金台帐!AD2322</f>
        <v>0</v>
      </c>
      <c r="AJ2322">
        <f>[1]资金台帐!AJ2322</f>
        <v>0</v>
      </c>
      <c r="AK2322">
        <f>[1]资金台帐!AK2322</f>
        <v>0</v>
      </c>
      <c r="BA2322" s="22">
        <f t="shared" si="0"/>
      </c>
      <c r="BG2322" s="22">
        <f t="shared" si="1"/>
      </c>
      <c r="BH2322" s="22">
        <f t="shared" si="2"/>
        <v>0</v>
      </c>
    </row>
    <row r="2323">
      <c r="B2323">
        <f>[1]资金台帐!B2323&amp;""</f>
      </c>
      <c r="H2323">
        <f>[1]资金台帐!H2323&amp;""</f>
      </c>
      <c r="J2323">
        <f>[1]资金台帐!J2323&amp;""</f>
      </c>
      <c r="N2323">
        <f>[1]资金台帐!N2323</f>
      </c>
      <c r="O2323">
        <f>[1]资金台帐!O2323&amp;""</f>
      </c>
      <c r="P2323">
        <f>[1]资金台帐!P2323&amp;""</f>
      </c>
      <c r="Q2323">
        <f>[1]资金台帐!Q2323&amp;""</f>
      </c>
      <c r="T2323">
        <f>[1]资金台帐!T2323&amp;""</f>
      </c>
      <c r="U2323">
        <f>[1]资金台帐!U2323&amp;""</f>
      </c>
      <c r="W2323">
        <f>[1]资金台帐!W2323&amp;""</f>
      </c>
      <c r="X2323">
        <f>[1]资金台帐!X2323&amp;""</f>
      </c>
      <c r="AB2323">
        <f>[1]资金台帐!AB2323</f>
        <v>0</v>
      </c>
      <c r="AC2323">
        <f>[1]资金台帐!AC2323</f>
        <v>0</v>
      </c>
      <c r="AD2323">
        <f>[1]资金台帐!AD2323</f>
        <v>0</v>
      </c>
      <c r="AJ2323">
        <f>[1]资金台帐!AJ2323</f>
        <v>0</v>
      </c>
      <c r="AK2323">
        <f>[1]资金台帐!AK2323</f>
        <v>0</v>
      </c>
      <c r="BA2323" s="22">
        <f t="shared" si="0"/>
      </c>
      <c r="BG2323" s="22">
        <f t="shared" si="1"/>
      </c>
      <c r="BH2323" s="22">
        <f t="shared" si="2"/>
        <v>0</v>
      </c>
    </row>
    <row r="2324">
      <c r="B2324">
        <f>[1]资金台帐!B2324&amp;""</f>
      </c>
      <c r="H2324">
        <f>[1]资金台帐!H2324&amp;""</f>
      </c>
      <c r="J2324">
        <f>[1]资金台帐!J2324&amp;""</f>
      </c>
      <c r="N2324">
        <f>[1]资金台帐!N2324</f>
      </c>
      <c r="O2324">
        <f>[1]资金台帐!O2324&amp;""</f>
      </c>
      <c r="P2324">
        <f>[1]资金台帐!P2324&amp;""</f>
      </c>
      <c r="Q2324">
        <f>[1]资金台帐!Q2324&amp;""</f>
      </c>
      <c r="T2324">
        <f>[1]资金台帐!T2324&amp;""</f>
      </c>
      <c r="U2324">
        <f>[1]资金台帐!U2324&amp;""</f>
      </c>
      <c r="W2324">
        <f>[1]资金台帐!W2324&amp;""</f>
      </c>
      <c r="X2324">
        <f>[1]资金台帐!X2324&amp;""</f>
      </c>
      <c r="AB2324">
        <f>[1]资金台帐!AB2324</f>
        <v>0</v>
      </c>
      <c r="AC2324">
        <f>[1]资金台帐!AC2324</f>
        <v>0</v>
      </c>
      <c r="AD2324">
        <f>[1]资金台帐!AD2324</f>
        <v>0</v>
      </c>
      <c r="AJ2324">
        <f>[1]资金台帐!AJ2324</f>
        <v>0</v>
      </c>
      <c r="AK2324">
        <f>[1]资金台帐!AK2324</f>
        <v>0</v>
      </c>
      <c r="BA2324" s="22">
        <f t="shared" si="0"/>
      </c>
      <c r="BG2324" s="22">
        <f t="shared" si="1"/>
      </c>
      <c r="BH2324" s="22">
        <f t="shared" si="2"/>
        <v>0</v>
      </c>
    </row>
    <row r="2325">
      <c r="B2325">
        <f>[1]资金台帐!B2325&amp;""</f>
      </c>
      <c r="H2325">
        <f>[1]资金台帐!H2325&amp;""</f>
      </c>
      <c r="J2325">
        <f>[1]资金台帐!J2325&amp;""</f>
      </c>
      <c r="N2325">
        <f>[1]资金台帐!N2325</f>
      </c>
      <c r="O2325">
        <f>[1]资金台帐!O2325&amp;""</f>
      </c>
      <c r="P2325">
        <f>[1]资金台帐!P2325&amp;""</f>
      </c>
      <c r="Q2325">
        <f>[1]资金台帐!Q2325&amp;""</f>
      </c>
      <c r="T2325">
        <f>[1]资金台帐!T2325&amp;""</f>
      </c>
      <c r="U2325">
        <f>[1]资金台帐!U2325&amp;""</f>
      </c>
      <c r="W2325">
        <f>[1]资金台帐!W2325&amp;""</f>
      </c>
      <c r="X2325">
        <f>[1]资金台帐!X2325&amp;""</f>
      </c>
      <c r="AB2325">
        <f>[1]资金台帐!AB2325</f>
        <v>0</v>
      </c>
      <c r="AC2325">
        <f>[1]资金台帐!AC2325</f>
        <v>0</v>
      </c>
      <c r="AD2325">
        <f>[1]资金台帐!AD2325</f>
        <v>0</v>
      </c>
      <c r="AJ2325">
        <f>[1]资金台帐!AJ2325</f>
        <v>0</v>
      </c>
      <c r="AK2325">
        <f>[1]资金台帐!AK2325</f>
        <v>0</v>
      </c>
      <c r="BA2325" s="22">
        <f t="shared" si="0"/>
      </c>
      <c r="BG2325" s="22">
        <f t="shared" si="1"/>
      </c>
      <c r="BH2325" s="22">
        <f t="shared" si="2"/>
        <v>0</v>
      </c>
    </row>
    <row r="2326">
      <c r="B2326">
        <f>[1]资金台帐!B2326&amp;""</f>
      </c>
      <c r="H2326">
        <f>[1]资金台帐!H2326&amp;""</f>
      </c>
      <c r="J2326">
        <f>[1]资金台帐!J2326&amp;""</f>
      </c>
      <c r="N2326">
        <f>[1]资金台帐!N2326</f>
      </c>
      <c r="O2326">
        <f>[1]资金台帐!O2326&amp;""</f>
      </c>
      <c r="P2326">
        <f>[1]资金台帐!P2326&amp;""</f>
      </c>
      <c r="Q2326">
        <f>[1]资金台帐!Q2326&amp;""</f>
      </c>
      <c r="T2326">
        <f>[1]资金台帐!T2326&amp;""</f>
      </c>
      <c r="U2326">
        <f>[1]资金台帐!U2326&amp;""</f>
      </c>
      <c r="W2326">
        <f>[1]资金台帐!W2326&amp;""</f>
      </c>
      <c r="X2326">
        <f>[1]资金台帐!X2326&amp;""</f>
      </c>
      <c r="AB2326">
        <f>[1]资金台帐!AB2326</f>
        <v>0</v>
      </c>
      <c r="AC2326">
        <f>[1]资金台帐!AC2326</f>
        <v>0</v>
      </c>
      <c r="AD2326">
        <f>[1]资金台帐!AD2326</f>
        <v>0</v>
      </c>
      <c r="AJ2326">
        <f>[1]资金台帐!AJ2326</f>
        <v>0</v>
      </c>
      <c r="AK2326">
        <f>[1]资金台帐!AK2326</f>
        <v>0</v>
      </c>
      <c r="BA2326" s="22">
        <f t="shared" si="0"/>
      </c>
      <c r="BG2326" s="22">
        <f t="shared" si="1"/>
      </c>
      <c r="BH2326" s="22">
        <f t="shared" si="2"/>
        <v>0</v>
      </c>
    </row>
    <row r="2327">
      <c r="B2327">
        <f>[1]资金台帐!B2327&amp;""</f>
      </c>
      <c r="H2327">
        <f>[1]资金台帐!H2327&amp;""</f>
      </c>
      <c r="J2327">
        <f>[1]资金台帐!J2327&amp;""</f>
      </c>
      <c r="N2327">
        <f>[1]资金台帐!N2327</f>
      </c>
      <c r="O2327">
        <f>[1]资金台帐!O2327&amp;""</f>
      </c>
      <c r="P2327">
        <f>[1]资金台帐!P2327&amp;""</f>
      </c>
      <c r="Q2327">
        <f>[1]资金台帐!Q2327&amp;""</f>
      </c>
      <c r="T2327">
        <f>[1]资金台帐!T2327&amp;""</f>
      </c>
      <c r="U2327">
        <f>[1]资金台帐!U2327&amp;""</f>
      </c>
      <c r="W2327">
        <f>[1]资金台帐!W2327&amp;""</f>
      </c>
      <c r="X2327">
        <f>[1]资金台帐!X2327&amp;""</f>
      </c>
      <c r="AB2327">
        <f>[1]资金台帐!AB2327</f>
        <v>0</v>
      </c>
      <c r="AC2327">
        <f>[1]资金台帐!AC2327</f>
        <v>0</v>
      </c>
      <c r="AD2327">
        <f>[1]资金台帐!AD2327</f>
        <v>0</v>
      </c>
      <c r="AJ2327">
        <f>[1]资金台帐!AJ2327</f>
        <v>0</v>
      </c>
      <c r="AK2327">
        <f>[1]资金台帐!AK2327</f>
        <v>0</v>
      </c>
      <c r="BA2327" s="22">
        <f t="shared" si="0"/>
      </c>
      <c r="BG2327" s="22">
        <f t="shared" si="1"/>
      </c>
      <c r="BH2327" s="22">
        <f t="shared" si="2"/>
        <v>0</v>
      </c>
    </row>
    <row r="2328">
      <c r="B2328">
        <f>[1]资金台帐!B2328&amp;""</f>
      </c>
      <c r="H2328">
        <f>[1]资金台帐!H2328&amp;""</f>
      </c>
      <c r="J2328">
        <f>[1]资金台帐!J2328&amp;""</f>
      </c>
      <c r="N2328">
        <f>[1]资金台帐!N2328</f>
      </c>
      <c r="O2328">
        <f>[1]资金台帐!O2328&amp;""</f>
      </c>
      <c r="P2328">
        <f>[1]资金台帐!P2328&amp;""</f>
      </c>
      <c r="Q2328">
        <f>[1]资金台帐!Q2328&amp;""</f>
      </c>
      <c r="T2328">
        <f>[1]资金台帐!T2328&amp;""</f>
      </c>
      <c r="U2328">
        <f>[1]资金台帐!U2328&amp;""</f>
      </c>
      <c r="W2328">
        <f>[1]资金台帐!W2328&amp;""</f>
      </c>
      <c r="X2328">
        <f>[1]资金台帐!X2328&amp;""</f>
      </c>
      <c r="AB2328">
        <f>[1]资金台帐!AB2328</f>
        <v>0</v>
      </c>
      <c r="AC2328">
        <f>[1]资金台帐!AC2328</f>
        <v>0</v>
      </c>
      <c r="AD2328">
        <f>[1]资金台帐!AD2328</f>
        <v>0</v>
      </c>
      <c r="AJ2328">
        <f>[1]资金台帐!AJ2328</f>
        <v>0</v>
      </c>
      <c r="AK2328">
        <f>[1]资金台帐!AK2328</f>
        <v>0</v>
      </c>
      <c r="BA2328" s="22">
        <f t="shared" si="0"/>
      </c>
      <c r="BG2328" s="22">
        <f t="shared" si="1"/>
      </c>
      <c r="BH2328" s="22">
        <f t="shared" si="2"/>
        <v>0</v>
      </c>
    </row>
    <row r="2329">
      <c r="B2329">
        <f>[1]资金台帐!B2329&amp;""</f>
      </c>
      <c r="H2329">
        <f>[1]资金台帐!H2329&amp;""</f>
      </c>
      <c r="J2329">
        <f>[1]资金台帐!J2329&amp;""</f>
      </c>
      <c r="N2329">
        <f>[1]资金台帐!N2329</f>
      </c>
      <c r="O2329">
        <f>[1]资金台帐!O2329&amp;""</f>
      </c>
      <c r="P2329">
        <f>[1]资金台帐!P2329&amp;""</f>
      </c>
      <c r="Q2329">
        <f>[1]资金台帐!Q2329&amp;""</f>
      </c>
      <c r="T2329">
        <f>[1]资金台帐!T2329&amp;""</f>
      </c>
      <c r="U2329">
        <f>[1]资金台帐!U2329&amp;""</f>
      </c>
      <c r="W2329">
        <f>[1]资金台帐!W2329&amp;""</f>
      </c>
      <c r="X2329">
        <f>[1]资金台帐!X2329&amp;""</f>
      </c>
      <c r="AB2329">
        <f>[1]资金台帐!AB2329</f>
        <v>0</v>
      </c>
      <c r="AC2329">
        <f>[1]资金台帐!AC2329</f>
        <v>0</v>
      </c>
      <c r="AD2329">
        <f>[1]资金台帐!AD2329</f>
        <v>0</v>
      </c>
      <c r="AJ2329">
        <f>[1]资金台帐!AJ2329</f>
        <v>0</v>
      </c>
      <c r="AK2329">
        <f>[1]资金台帐!AK2329</f>
        <v>0</v>
      </c>
      <c r="BA2329" s="22">
        <f t="shared" si="0"/>
      </c>
      <c r="BG2329" s="22">
        <f t="shared" si="1"/>
      </c>
      <c r="BH2329" s="22">
        <f t="shared" si="2"/>
        <v>0</v>
      </c>
    </row>
    <row r="2330">
      <c r="B2330">
        <f>[1]资金台帐!B2330&amp;""</f>
      </c>
      <c r="H2330">
        <f>[1]资金台帐!H2330&amp;""</f>
      </c>
      <c r="J2330">
        <f>[1]资金台帐!J2330&amp;""</f>
      </c>
      <c r="N2330">
        <f>[1]资金台帐!N2330</f>
      </c>
      <c r="O2330">
        <f>[1]资金台帐!O2330&amp;""</f>
      </c>
      <c r="P2330">
        <f>[1]资金台帐!P2330&amp;""</f>
      </c>
      <c r="Q2330">
        <f>[1]资金台帐!Q2330&amp;""</f>
      </c>
      <c r="T2330">
        <f>[1]资金台帐!T2330&amp;""</f>
      </c>
      <c r="U2330">
        <f>[1]资金台帐!U2330&amp;""</f>
      </c>
      <c r="W2330">
        <f>[1]资金台帐!W2330&amp;""</f>
      </c>
      <c r="X2330">
        <f>[1]资金台帐!X2330&amp;""</f>
      </c>
      <c r="AB2330">
        <f>[1]资金台帐!AB2330</f>
        <v>0</v>
      </c>
      <c r="AC2330">
        <f>[1]资金台帐!AC2330</f>
        <v>0</v>
      </c>
      <c r="AD2330">
        <f>[1]资金台帐!AD2330</f>
        <v>0</v>
      </c>
      <c r="AJ2330">
        <f>[1]资金台帐!AJ2330</f>
        <v>0</v>
      </c>
      <c r="AK2330">
        <f>[1]资金台帐!AK2330</f>
        <v>0</v>
      </c>
      <c r="BA2330" s="22">
        <f t="shared" si="0"/>
      </c>
      <c r="BG2330" s="22">
        <f t="shared" si="1"/>
      </c>
      <c r="BH2330" s="22">
        <f t="shared" si="2"/>
        <v>0</v>
      </c>
    </row>
    <row r="2331">
      <c r="B2331">
        <f>[1]资金台帐!B2331&amp;""</f>
      </c>
      <c r="H2331">
        <f>[1]资金台帐!H2331&amp;""</f>
      </c>
      <c r="J2331">
        <f>[1]资金台帐!J2331&amp;""</f>
      </c>
      <c r="N2331">
        <f>[1]资金台帐!N2331</f>
      </c>
      <c r="O2331">
        <f>[1]资金台帐!O2331&amp;""</f>
      </c>
      <c r="P2331">
        <f>[1]资金台帐!P2331&amp;""</f>
      </c>
      <c r="Q2331">
        <f>[1]资金台帐!Q2331&amp;""</f>
      </c>
      <c r="T2331">
        <f>[1]资金台帐!T2331&amp;""</f>
      </c>
      <c r="U2331">
        <f>[1]资金台帐!U2331&amp;""</f>
      </c>
      <c r="W2331">
        <f>[1]资金台帐!W2331&amp;""</f>
      </c>
      <c r="X2331">
        <f>[1]资金台帐!X2331&amp;""</f>
      </c>
      <c r="AB2331">
        <f>[1]资金台帐!AB2331</f>
        <v>0</v>
      </c>
      <c r="AC2331">
        <f>[1]资金台帐!AC2331</f>
        <v>0</v>
      </c>
      <c r="AD2331">
        <f>[1]资金台帐!AD2331</f>
        <v>0</v>
      </c>
      <c r="AJ2331">
        <f>[1]资金台帐!AJ2331</f>
        <v>0</v>
      </c>
      <c r="AK2331">
        <f>[1]资金台帐!AK2331</f>
        <v>0</v>
      </c>
      <c r="BA2331" s="22">
        <f t="shared" si="0"/>
      </c>
      <c r="BG2331" s="22">
        <f t="shared" si="1"/>
      </c>
      <c r="BH2331" s="22">
        <f t="shared" si="2"/>
        <v>0</v>
      </c>
    </row>
    <row r="2332">
      <c r="B2332">
        <f>[1]资金台帐!B2332&amp;""</f>
      </c>
      <c r="H2332">
        <f>[1]资金台帐!H2332&amp;""</f>
      </c>
      <c r="J2332">
        <f>[1]资金台帐!J2332&amp;""</f>
      </c>
      <c r="N2332">
        <f>[1]资金台帐!N2332</f>
      </c>
      <c r="O2332">
        <f>[1]资金台帐!O2332&amp;""</f>
      </c>
      <c r="P2332">
        <f>[1]资金台帐!P2332&amp;""</f>
      </c>
      <c r="Q2332">
        <f>[1]资金台帐!Q2332&amp;""</f>
      </c>
      <c r="T2332">
        <f>[1]资金台帐!T2332&amp;""</f>
      </c>
      <c r="U2332">
        <f>[1]资金台帐!U2332&amp;""</f>
      </c>
      <c r="W2332">
        <f>[1]资金台帐!W2332&amp;""</f>
      </c>
      <c r="X2332">
        <f>[1]资金台帐!X2332&amp;""</f>
      </c>
      <c r="AB2332">
        <f>[1]资金台帐!AB2332</f>
        <v>0</v>
      </c>
      <c r="AC2332">
        <f>[1]资金台帐!AC2332</f>
        <v>0</v>
      </c>
      <c r="AD2332">
        <f>[1]资金台帐!AD2332</f>
        <v>0</v>
      </c>
      <c r="AJ2332">
        <f>[1]资金台帐!AJ2332</f>
        <v>0</v>
      </c>
      <c r="AK2332">
        <f>[1]资金台帐!AK2332</f>
        <v>0</v>
      </c>
      <c r="BA2332" s="22">
        <f t="shared" si="0"/>
      </c>
      <c r="BG2332" s="22">
        <f t="shared" si="1"/>
      </c>
      <c r="BH2332" s="22">
        <f t="shared" si="2"/>
        <v>0</v>
      </c>
    </row>
    <row r="2333">
      <c r="B2333">
        <f>[1]资金台帐!B2333&amp;""</f>
      </c>
      <c r="H2333">
        <f>[1]资金台帐!H2333&amp;""</f>
      </c>
      <c r="J2333">
        <f>[1]资金台帐!J2333&amp;""</f>
      </c>
      <c r="N2333">
        <f>[1]资金台帐!N2333</f>
      </c>
      <c r="O2333">
        <f>[1]资金台帐!O2333&amp;""</f>
      </c>
      <c r="P2333">
        <f>[1]资金台帐!P2333&amp;""</f>
      </c>
      <c r="Q2333">
        <f>[1]资金台帐!Q2333&amp;""</f>
      </c>
      <c r="T2333">
        <f>[1]资金台帐!T2333&amp;""</f>
      </c>
      <c r="U2333">
        <f>[1]资金台帐!U2333&amp;""</f>
      </c>
      <c r="W2333">
        <f>[1]资金台帐!W2333&amp;""</f>
      </c>
      <c r="X2333">
        <f>[1]资金台帐!X2333&amp;""</f>
      </c>
      <c r="AB2333">
        <f>[1]资金台帐!AB2333</f>
        <v>0</v>
      </c>
      <c r="AC2333">
        <f>[1]资金台帐!AC2333</f>
        <v>0</v>
      </c>
      <c r="AD2333">
        <f>[1]资金台帐!AD2333</f>
        <v>0</v>
      </c>
      <c r="AJ2333">
        <f>[1]资金台帐!AJ2333</f>
        <v>0</v>
      </c>
      <c r="AK2333">
        <f>[1]资金台帐!AK2333</f>
        <v>0</v>
      </c>
      <c r="BA2333" s="22">
        <f t="shared" si="0"/>
      </c>
      <c r="BG2333" s="22">
        <f t="shared" si="1"/>
      </c>
      <c r="BH2333" s="22">
        <f t="shared" si="2"/>
        <v>0</v>
      </c>
    </row>
    <row r="2334">
      <c r="B2334">
        <f>[1]资金台帐!B2334&amp;""</f>
      </c>
      <c r="H2334">
        <f>[1]资金台帐!H2334&amp;""</f>
      </c>
      <c r="J2334">
        <f>[1]资金台帐!J2334&amp;""</f>
      </c>
      <c r="N2334">
        <f>[1]资金台帐!N2334</f>
      </c>
      <c r="O2334">
        <f>[1]资金台帐!O2334&amp;""</f>
      </c>
      <c r="P2334">
        <f>[1]资金台帐!P2334&amp;""</f>
      </c>
      <c r="Q2334">
        <f>[1]资金台帐!Q2334&amp;""</f>
      </c>
      <c r="T2334">
        <f>[1]资金台帐!T2334&amp;""</f>
      </c>
      <c r="U2334">
        <f>[1]资金台帐!U2334&amp;""</f>
      </c>
      <c r="W2334">
        <f>[1]资金台帐!W2334&amp;""</f>
      </c>
      <c r="X2334">
        <f>[1]资金台帐!X2334&amp;""</f>
      </c>
      <c r="AB2334">
        <f>[1]资金台帐!AB2334</f>
        <v>0</v>
      </c>
      <c r="AC2334">
        <f>[1]资金台帐!AC2334</f>
        <v>0</v>
      </c>
      <c r="AD2334">
        <f>[1]资金台帐!AD2334</f>
        <v>0</v>
      </c>
      <c r="AJ2334">
        <f>[1]资金台帐!AJ2334</f>
        <v>0</v>
      </c>
      <c r="AK2334">
        <f>[1]资金台帐!AK2334</f>
        <v>0</v>
      </c>
      <c r="BA2334" s="22">
        <f t="shared" si="0"/>
      </c>
      <c r="BG2334" s="22">
        <f t="shared" si="1"/>
      </c>
      <c r="BH2334" s="22">
        <f t="shared" si="2"/>
        <v>0</v>
      </c>
    </row>
    <row r="2335">
      <c r="B2335">
        <f>[1]资金台帐!B2335&amp;""</f>
      </c>
      <c r="H2335">
        <f>[1]资金台帐!H2335&amp;""</f>
      </c>
      <c r="J2335">
        <f>[1]资金台帐!J2335&amp;""</f>
      </c>
      <c r="N2335">
        <f>[1]资金台帐!N2335</f>
      </c>
      <c r="O2335">
        <f>[1]资金台帐!O2335&amp;""</f>
      </c>
      <c r="P2335">
        <f>[1]资金台帐!P2335&amp;""</f>
      </c>
      <c r="Q2335">
        <f>[1]资金台帐!Q2335&amp;""</f>
      </c>
      <c r="T2335">
        <f>[1]资金台帐!T2335&amp;""</f>
      </c>
      <c r="U2335">
        <f>[1]资金台帐!U2335&amp;""</f>
      </c>
      <c r="W2335">
        <f>[1]资金台帐!W2335&amp;""</f>
      </c>
      <c r="X2335">
        <f>[1]资金台帐!X2335&amp;""</f>
      </c>
      <c r="AB2335">
        <f>[1]资金台帐!AB2335</f>
        <v>0</v>
      </c>
      <c r="AC2335">
        <f>[1]资金台帐!AC2335</f>
        <v>0</v>
      </c>
      <c r="AD2335">
        <f>[1]资金台帐!AD2335</f>
        <v>0</v>
      </c>
      <c r="AJ2335">
        <f>[1]资金台帐!AJ2335</f>
        <v>0</v>
      </c>
      <c r="AK2335">
        <f>[1]资金台帐!AK2335</f>
        <v>0</v>
      </c>
      <c r="BA2335" s="22">
        <f t="shared" si="0"/>
      </c>
      <c r="BG2335" s="22">
        <f t="shared" si="1"/>
      </c>
      <c r="BH2335" s="22">
        <f t="shared" si="2"/>
        <v>0</v>
      </c>
    </row>
    <row r="2336">
      <c r="B2336">
        <f>[1]资金台帐!B2336&amp;""</f>
      </c>
      <c r="H2336">
        <f>[1]资金台帐!H2336&amp;""</f>
      </c>
      <c r="J2336">
        <f>[1]资金台帐!J2336&amp;""</f>
      </c>
      <c r="N2336">
        <f>[1]资金台帐!N2336</f>
      </c>
      <c r="O2336">
        <f>[1]资金台帐!O2336&amp;""</f>
      </c>
      <c r="P2336">
        <f>[1]资金台帐!P2336&amp;""</f>
      </c>
      <c r="Q2336">
        <f>[1]资金台帐!Q2336&amp;""</f>
      </c>
      <c r="T2336">
        <f>[1]资金台帐!T2336&amp;""</f>
      </c>
      <c r="U2336">
        <f>[1]资金台帐!U2336&amp;""</f>
      </c>
      <c r="W2336">
        <f>[1]资金台帐!W2336&amp;""</f>
      </c>
      <c r="X2336">
        <f>[1]资金台帐!X2336&amp;""</f>
      </c>
      <c r="AB2336">
        <f>[1]资金台帐!AB2336</f>
        <v>0</v>
      </c>
      <c r="AC2336">
        <f>[1]资金台帐!AC2336</f>
        <v>0</v>
      </c>
      <c r="AD2336">
        <f>[1]资金台帐!AD2336</f>
        <v>0</v>
      </c>
      <c r="AJ2336">
        <f>[1]资金台帐!AJ2336</f>
        <v>0</v>
      </c>
      <c r="AK2336">
        <f>[1]资金台帐!AK2336</f>
        <v>0</v>
      </c>
      <c r="BA2336" s="22">
        <f t="shared" si="0"/>
      </c>
      <c r="BG2336" s="22">
        <f t="shared" si="1"/>
      </c>
      <c r="BH2336" s="22">
        <f t="shared" si="2"/>
        <v>0</v>
      </c>
    </row>
    <row r="2337">
      <c r="B2337">
        <f>[1]资金台帐!B2337&amp;""</f>
      </c>
      <c r="H2337">
        <f>[1]资金台帐!H2337&amp;""</f>
      </c>
      <c r="J2337">
        <f>[1]资金台帐!J2337&amp;""</f>
      </c>
      <c r="N2337">
        <f>[1]资金台帐!N2337</f>
      </c>
      <c r="O2337">
        <f>[1]资金台帐!O2337&amp;""</f>
      </c>
      <c r="P2337">
        <f>[1]资金台帐!P2337&amp;""</f>
      </c>
      <c r="Q2337">
        <f>[1]资金台帐!Q2337&amp;""</f>
      </c>
      <c r="T2337">
        <f>[1]资金台帐!T2337&amp;""</f>
      </c>
      <c r="U2337">
        <f>[1]资金台帐!U2337&amp;""</f>
      </c>
      <c r="W2337">
        <f>[1]资金台帐!W2337&amp;""</f>
      </c>
      <c r="X2337">
        <f>[1]资金台帐!X2337&amp;""</f>
      </c>
      <c r="AB2337">
        <f>[1]资金台帐!AB2337</f>
        <v>0</v>
      </c>
      <c r="AC2337">
        <f>[1]资金台帐!AC2337</f>
        <v>0</v>
      </c>
      <c r="AD2337">
        <f>[1]资金台帐!AD2337</f>
        <v>0</v>
      </c>
      <c r="AJ2337">
        <f>[1]资金台帐!AJ2337</f>
        <v>0</v>
      </c>
      <c r="AK2337">
        <f>[1]资金台帐!AK2337</f>
        <v>0</v>
      </c>
      <c r="BA2337" s="22">
        <f t="shared" si="0"/>
      </c>
      <c r="BG2337" s="22">
        <f t="shared" si="1"/>
      </c>
      <c r="BH2337" s="22">
        <f t="shared" si="2"/>
        <v>0</v>
      </c>
    </row>
    <row r="2338">
      <c r="B2338">
        <f>[1]资金台帐!B2338&amp;""</f>
      </c>
      <c r="H2338">
        <f>[1]资金台帐!H2338&amp;""</f>
      </c>
      <c r="J2338">
        <f>[1]资金台帐!J2338&amp;""</f>
      </c>
      <c r="N2338">
        <f>[1]资金台帐!N2338</f>
      </c>
      <c r="O2338">
        <f>[1]资金台帐!O2338&amp;""</f>
      </c>
      <c r="P2338">
        <f>[1]资金台帐!P2338&amp;""</f>
      </c>
      <c r="Q2338">
        <f>[1]资金台帐!Q2338&amp;""</f>
      </c>
      <c r="T2338">
        <f>[1]资金台帐!T2338&amp;""</f>
      </c>
      <c r="U2338">
        <f>[1]资金台帐!U2338&amp;""</f>
      </c>
      <c r="W2338">
        <f>[1]资金台帐!W2338&amp;""</f>
      </c>
      <c r="X2338">
        <f>[1]资金台帐!X2338&amp;""</f>
      </c>
      <c r="AB2338">
        <f>[1]资金台帐!AB2338</f>
        <v>0</v>
      </c>
      <c r="AC2338">
        <f>[1]资金台帐!AC2338</f>
        <v>0</v>
      </c>
      <c r="AD2338">
        <f>[1]资金台帐!AD2338</f>
        <v>0</v>
      </c>
      <c r="AJ2338">
        <f>[1]资金台帐!AJ2338</f>
        <v>0</v>
      </c>
      <c r="AK2338">
        <f>[1]资金台帐!AK2338</f>
        <v>0</v>
      </c>
      <c r="BA2338" s="22">
        <f t="shared" si="0"/>
      </c>
      <c r="BG2338" s="22">
        <f t="shared" si="1"/>
      </c>
      <c r="BH2338" s="22">
        <f t="shared" si="2"/>
        <v>0</v>
      </c>
    </row>
    <row r="2339">
      <c r="B2339">
        <f>[1]资金台帐!B2339&amp;""</f>
      </c>
      <c r="H2339">
        <f>[1]资金台帐!H2339&amp;""</f>
      </c>
      <c r="J2339">
        <f>[1]资金台帐!J2339&amp;""</f>
      </c>
      <c r="N2339">
        <f>[1]资金台帐!N2339</f>
      </c>
      <c r="O2339">
        <f>[1]资金台帐!O2339&amp;""</f>
      </c>
      <c r="P2339">
        <f>[1]资金台帐!P2339&amp;""</f>
      </c>
      <c r="Q2339">
        <f>[1]资金台帐!Q2339&amp;""</f>
      </c>
      <c r="T2339">
        <f>[1]资金台帐!T2339&amp;""</f>
      </c>
      <c r="U2339">
        <f>[1]资金台帐!U2339&amp;""</f>
      </c>
      <c r="W2339">
        <f>[1]资金台帐!W2339&amp;""</f>
      </c>
      <c r="X2339">
        <f>[1]资金台帐!X2339&amp;""</f>
      </c>
      <c r="AB2339">
        <f>[1]资金台帐!AB2339</f>
        <v>0</v>
      </c>
      <c r="AC2339">
        <f>[1]资金台帐!AC2339</f>
        <v>0</v>
      </c>
      <c r="AD2339">
        <f>[1]资金台帐!AD2339</f>
        <v>0</v>
      </c>
      <c r="AJ2339">
        <f>[1]资金台帐!AJ2339</f>
        <v>0</v>
      </c>
      <c r="AK2339">
        <f>[1]资金台帐!AK2339</f>
        <v>0</v>
      </c>
      <c r="BA2339" s="22">
        <f t="shared" si="0"/>
      </c>
      <c r="BG2339" s="22">
        <f t="shared" si="1"/>
      </c>
      <c r="BH2339" s="22">
        <f t="shared" si="2"/>
        <v>0</v>
      </c>
    </row>
    <row r="2340">
      <c r="B2340">
        <f>[1]资金台帐!B2340&amp;""</f>
      </c>
      <c r="H2340">
        <f>[1]资金台帐!H2340&amp;""</f>
      </c>
      <c r="J2340">
        <f>[1]资金台帐!J2340&amp;""</f>
      </c>
      <c r="N2340">
        <f>[1]资金台帐!N2340</f>
      </c>
      <c r="O2340">
        <f>[1]资金台帐!O2340&amp;""</f>
      </c>
      <c r="P2340">
        <f>[1]资金台帐!P2340&amp;""</f>
      </c>
      <c r="Q2340">
        <f>[1]资金台帐!Q2340&amp;""</f>
      </c>
      <c r="T2340">
        <f>[1]资金台帐!T2340&amp;""</f>
      </c>
      <c r="U2340">
        <f>[1]资金台帐!U2340&amp;""</f>
      </c>
      <c r="W2340">
        <f>[1]资金台帐!W2340&amp;""</f>
      </c>
      <c r="X2340">
        <f>[1]资金台帐!X2340&amp;""</f>
      </c>
      <c r="AB2340">
        <f>[1]资金台帐!AB2340</f>
        <v>0</v>
      </c>
      <c r="AC2340">
        <f>[1]资金台帐!AC2340</f>
        <v>0</v>
      </c>
      <c r="AD2340">
        <f>[1]资金台帐!AD2340</f>
        <v>0</v>
      </c>
      <c r="AJ2340">
        <f>[1]资金台帐!AJ2340</f>
        <v>0</v>
      </c>
      <c r="AK2340">
        <f>[1]资金台帐!AK2340</f>
        <v>0</v>
      </c>
      <c r="BA2340" s="22">
        <f t="shared" si="0"/>
      </c>
      <c r="BG2340" s="22">
        <f t="shared" si="1"/>
      </c>
      <c r="BH2340" s="22">
        <f t="shared" si="2"/>
        <v>0</v>
      </c>
    </row>
    <row r="2341">
      <c r="B2341">
        <f>[1]资金台帐!B2341&amp;""</f>
      </c>
      <c r="H2341">
        <f>[1]资金台帐!H2341&amp;""</f>
      </c>
      <c r="J2341">
        <f>[1]资金台帐!J2341&amp;""</f>
      </c>
      <c r="N2341">
        <f>[1]资金台帐!N2341</f>
      </c>
      <c r="O2341">
        <f>[1]资金台帐!O2341&amp;""</f>
      </c>
      <c r="P2341">
        <f>[1]资金台帐!P2341&amp;""</f>
      </c>
      <c r="Q2341">
        <f>[1]资金台帐!Q2341&amp;""</f>
      </c>
      <c r="T2341">
        <f>[1]资金台帐!T2341&amp;""</f>
      </c>
      <c r="U2341">
        <f>[1]资金台帐!U2341&amp;""</f>
      </c>
      <c r="W2341">
        <f>[1]资金台帐!W2341&amp;""</f>
      </c>
      <c r="X2341">
        <f>[1]资金台帐!X2341&amp;""</f>
      </c>
      <c r="AB2341">
        <f>[1]资金台帐!AB2341</f>
        <v>0</v>
      </c>
      <c r="AC2341">
        <f>[1]资金台帐!AC2341</f>
        <v>0</v>
      </c>
      <c r="AD2341">
        <f>[1]资金台帐!AD2341</f>
        <v>0</v>
      </c>
      <c r="AJ2341">
        <f>[1]资金台帐!AJ2341</f>
        <v>0</v>
      </c>
      <c r="AK2341">
        <f>[1]资金台帐!AK2341</f>
        <v>0</v>
      </c>
      <c r="BA2341" s="22">
        <f t="shared" si="0"/>
      </c>
      <c r="BG2341" s="22">
        <f t="shared" si="1"/>
      </c>
      <c r="BH2341" s="22">
        <f t="shared" si="2"/>
        <v>0</v>
      </c>
    </row>
    <row r="2342">
      <c r="B2342">
        <f>[1]资金台帐!B2342&amp;""</f>
      </c>
      <c r="H2342">
        <f>[1]资金台帐!H2342&amp;""</f>
      </c>
      <c r="J2342">
        <f>[1]资金台帐!J2342&amp;""</f>
      </c>
      <c r="N2342">
        <f>[1]资金台帐!N2342</f>
      </c>
      <c r="O2342">
        <f>[1]资金台帐!O2342&amp;""</f>
      </c>
      <c r="P2342">
        <f>[1]资金台帐!P2342&amp;""</f>
      </c>
      <c r="Q2342">
        <f>[1]资金台帐!Q2342&amp;""</f>
      </c>
      <c r="T2342">
        <f>[1]资金台帐!T2342&amp;""</f>
      </c>
      <c r="U2342">
        <f>[1]资金台帐!U2342&amp;""</f>
      </c>
      <c r="W2342">
        <f>[1]资金台帐!W2342&amp;""</f>
      </c>
      <c r="X2342">
        <f>[1]资金台帐!X2342&amp;""</f>
      </c>
      <c r="AB2342">
        <f>[1]资金台帐!AB2342</f>
        <v>0</v>
      </c>
      <c r="AC2342">
        <f>[1]资金台帐!AC2342</f>
        <v>0</v>
      </c>
      <c r="AD2342">
        <f>[1]资金台帐!AD2342</f>
        <v>0</v>
      </c>
      <c r="AJ2342">
        <f>[1]资金台帐!AJ2342</f>
        <v>0</v>
      </c>
      <c r="AK2342">
        <f>[1]资金台帐!AK2342</f>
        <v>0</v>
      </c>
      <c r="BA2342" s="22">
        <f t="shared" si="0"/>
      </c>
      <c r="BG2342" s="22">
        <f t="shared" si="1"/>
      </c>
      <c r="BH2342" s="22">
        <f t="shared" si="2"/>
        <v>0</v>
      </c>
    </row>
    <row r="2343">
      <c r="B2343">
        <f>[1]资金台帐!B2343&amp;""</f>
      </c>
      <c r="H2343">
        <f>[1]资金台帐!H2343&amp;""</f>
      </c>
      <c r="J2343">
        <f>[1]资金台帐!J2343&amp;""</f>
      </c>
      <c r="N2343">
        <f>[1]资金台帐!N2343</f>
      </c>
      <c r="O2343">
        <f>[1]资金台帐!O2343&amp;""</f>
      </c>
      <c r="P2343">
        <f>[1]资金台帐!P2343&amp;""</f>
      </c>
      <c r="Q2343">
        <f>[1]资金台帐!Q2343&amp;""</f>
      </c>
      <c r="T2343">
        <f>[1]资金台帐!T2343&amp;""</f>
      </c>
      <c r="U2343">
        <f>[1]资金台帐!U2343&amp;""</f>
      </c>
      <c r="W2343">
        <f>[1]资金台帐!W2343&amp;""</f>
      </c>
      <c r="X2343">
        <f>[1]资金台帐!X2343&amp;""</f>
      </c>
      <c r="AB2343">
        <f>[1]资金台帐!AB2343</f>
        <v>0</v>
      </c>
      <c r="AC2343">
        <f>[1]资金台帐!AC2343</f>
        <v>0</v>
      </c>
      <c r="AD2343">
        <f>[1]资金台帐!AD2343</f>
        <v>0</v>
      </c>
      <c r="AJ2343">
        <f>[1]资金台帐!AJ2343</f>
        <v>0</v>
      </c>
      <c r="AK2343">
        <f>[1]资金台帐!AK2343</f>
        <v>0</v>
      </c>
      <c r="BA2343" s="22">
        <f t="shared" si="0"/>
      </c>
      <c r="BG2343" s="22">
        <f t="shared" si="1"/>
      </c>
      <c r="BH2343" s="22">
        <f t="shared" si="2"/>
        <v>0</v>
      </c>
    </row>
    <row r="2344">
      <c r="B2344">
        <f>[1]资金台帐!B2344&amp;""</f>
      </c>
      <c r="H2344">
        <f>[1]资金台帐!H2344&amp;""</f>
      </c>
      <c r="J2344">
        <f>[1]资金台帐!J2344&amp;""</f>
      </c>
      <c r="N2344">
        <f>[1]资金台帐!N2344</f>
      </c>
      <c r="O2344">
        <f>[1]资金台帐!O2344&amp;""</f>
      </c>
      <c r="P2344">
        <f>[1]资金台帐!P2344&amp;""</f>
      </c>
      <c r="Q2344">
        <f>[1]资金台帐!Q2344&amp;""</f>
      </c>
      <c r="T2344">
        <f>[1]资金台帐!T2344&amp;""</f>
      </c>
      <c r="U2344">
        <f>[1]资金台帐!U2344&amp;""</f>
      </c>
      <c r="W2344">
        <f>[1]资金台帐!W2344&amp;""</f>
      </c>
      <c r="X2344">
        <f>[1]资金台帐!X2344&amp;""</f>
      </c>
      <c r="AB2344">
        <f>[1]资金台帐!AB2344</f>
        <v>0</v>
      </c>
      <c r="AC2344">
        <f>[1]资金台帐!AC2344</f>
        <v>0</v>
      </c>
      <c r="AD2344">
        <f>[1]资金台帐!AD2344</f>
        <v>0</v>
      </c>
      <c r="AJ2344">
        <f>[1]资金台帐!AJ2344</f>
        <v>0</v>
      </c>
      <c r="AK2344">
        <f>[1]资金台帐!AK2344</f>
        <v>0</v>
      </c>
      <c r="BA2344" s="22">
        <f t="shared" si="0"/>
      </c>
      <c r="BG2344" s="22">
        <f t="shared" si="1"/>
      </c>
      <c r="BH2344" s="22">
        <f t="shared" si="2"/>
        <v>0</v>
      </c>
    </row>
    <row r="2345">
      <c r="B2345">
        <f>[1]资金台帐!B2345&amp;""</f>
      </c>
      <c r="H2345">
        <f>[1]资金台帐!H2345&amp;""</f>
      </c>
      <c r="J2345">
        <f>[1]资金台帐!J2345&amp;""</f>
      </c>
      <c r="N2345">
        <f>[1]资金台帐!N2345</f>
      </c>
      <c r="O2345">
        <f>[1]资金台帐!O2345&amp;""</f>
      </c>
      <c r="P2345">
        <f>[1]资金台帐!P2345&amp;""</f>
      </c>
      <c r="Q2345">
        <f>[1]资金台帐!Q2345&amp;""</f>
      </c>
      <c r="T2345">
        <f>[1]资金台帐!T2345&amp;""</f>
      </c>
      <c r="U2345">
        <f>[1]资金台帐!U2345&amp;""</f>
      </c>
      <c r="W2345">
        <f>[1]资金台帐!W2345&amp;""</f>
      </c>
      <c r="X2345">
        <f>[1]资金台帐!X2345&amp;""</f>
      </c>
      <c r="AB2345">
        <f>[1]资金台帐!AB2345</f>
        <v>0</v>
      </c>
      <c r="AC2345">
        <f>[1]资金台帐!AC2345</f>
        <v>0</v>
      </c>
      <c r="AD2345">
        <f>[1]资金台帐!AD2345</f>
        <v>0</v>
      </c>
      <c r="AJ2345">
        <f>[1]资金台帐!AJ2345</f>
        <v>0</v>
      </c>
      <c r="AK2345">
        <f>[1]资金台帐!AK2345</f>
        <v>0</v>
      </c>
      <c r="BA2345" s="22">
        <f t="shared" si="0"/>
      </c>
      <c r="BG2345" s="22">
        <f t="shared" si="1"/>
      </c>
      <c r="BH2345" s="22">
        <f t="shared" si="2"/>
        <v>0</v>
      </c>
    </row>
    <row r="2346">
      <c r="B2346">
        <f>[1]资金台帐!B2346&amp;""</f>
      </c>
      <c r="H2346">
        <f>[1]资金台帐!H2346&amp;""</f>
      </c>
      <c r="J2346">
        <f>[1]资金台帐!J2346&amp;""</f>
      </c>
      <c r="N2346">
        <f>[1]资金台帐!N2346</f>
      </c>
      <c r="O2346">
        <f>[1]资金台帐!O2346&amp;""</f>
      </c>
      <c r="P2346">
        <f>[1]资金台帐!P2346&amp;""</f>
      </c>
      <c r="Q2346">
        <f>[1]资金台帐!Q2346&amp;""</f>
      </c>
      <c r="T2346">
        <f>[1]资金台帐!T2346&amp;""</f>
      </c>
      <c r="U2346">
        <f>[1]资金台帐!U2346&amp;""</f>
      </c>
      <c r="W2346">
        <f>[1]资金台帐!W2346&amp;""</f>
      </c>
      <c r="X2346">
        <f>[1]资金台帐!X2346&amp;""</f>
      </c>
      <c r="AB2346">
        <f>[1]资金台帐!AB2346</f>
        <v>0</v>
      </c>
      <c r="AC2346">
        <f>[1]资金台帐!AC2346</f>
        <v>0</v>
      </c>
      <c r="AD2346">
        <f>[1]资金台帐!AD2346</f>
        <v>0</v>
      </c>
      <c r="AJ2346">
        <f>[1]资金台帐!AJ2346</f>
        <v>0</v>
      </c>
      <c r="AK2346">
        <f>[1]资金台帐!AK2346</f>
        <v>0</v>
      </c>
      <c r="BA2346" s="22">
        <f t="shared" si="0"/>
      </c>
      <c r="BG2346" s="22">
        <f t="shared" si="1"/>
      </c>
      <c r="BH2346" s="22">
        <f t="shared" si="2"/>
        <v>0</v>
      </c>
    </row>
    <row r="2347">
      <c r="B2347">
        <f>[1]资金台帐!B2347&amp;""</f>
      </c>
      <c r="H2347">
        <f>[1]资金台帐!H2347&amp;""</f>
      </c>
      <c r="J2347">
        <f>[1]资金台帐!J2347&amp;""</f>
      </c>
      <c r="N2347">
        <f>[1]资金台帐!N2347</f>
      </c>
      <c r="O2347">
        <f>[1]资金台帐!O2347&amp;""</f>
      </c>
      <c r="P2347">
        <f>[1]资金台帐!P2347&amp;""</f>
      </c>
      <c r="Q2347">
        <f>[1]资金台帐!Q2347&amp;""</f>
      </c>
      <c r="T2347">
        <f>[1]资金台帐!T2347&amp;""</f>
      </c>
      <c r="U2347">
        <f>[1]资金台帐!U2347&amp;""</f>
      </c>
      <c r="W2347">
        <f>[1]资金台帐!W2347&amp;""</f>
      </c>
      <c r="X2347">
        <f>[1]资金台帐!X2347&amp;""</f>
      </c>
      <c r="AB2347">
        <f>[1]资金台帐!AB2347</f>
        <v>0</v>
      </c>
      <c r="AC2347">
        <f>[1]资金台帐!AC2347</f>
        <v>0</v>
      </c>
      <c r="AD2347">
        <f>[1]资金台帐!AD2347</f>
        <v>0</v>
      </c>
      <c r="AJ2347">
        <f>[1]资金台帐!AJ2347</f>
        <v>0</v>
      </c>
      <c r="AK2347">
        <f>[1]资金台帐!AK2347</f>
        <v>0</v>
      </c>
      <c r="BA2347" s="22">
        <f t="shared" si="0"/>
      </c>
      <c r="BG2347" s="22">
        <f t="shared" si="1"/>
      </c>
      <c r="BH2347" s="22">
        <f t="shared" si="2"/>
        <v>0</v>
      </c>
    </row>
    <row r="2348">
      <c r="B2348">
        <f>[1]资金台帐!B2348&amp;""</f>
      </c>
      <c r="H2348">
        <f>[1]资金台帐!H2348&amp;""</f>
      </c>
      <c r="J2348">
        <f>[1]资金台帐!J2348&amp;""</f>
      </c>
      <c r="N2348">
        <f>[1]资金台帐!N2348</f>
      </c>
      <c r="O2348">
        <f>[1]资金台帐!O2348&amp;""</f>
      </c>
      <c r="P2348">
        <f>[1]资金台帐!P2348&amp;""</f>
      </c>
      <c r="Q2348">
        <f>[1]资金台帐!Q2348&amp;""</f>
      </c>
      <c r="T2348">
        <f>[1]资金台帐!T2348&amp;""</f>
      </c>
      <c r="U2348">
        <f>[1]资金台帐!U2348&amp;""</f>
      </c>
      <c r="W2348">
        <f>[1]资金台帐!W2348&amp;""</f>
      </c>
      <c r="X2348">
        <f>[1]资金台帐!X2348&amp;""</f>
      </c>
      <c r="AB2348">
        <f>[1]资金台帐!AB2348</f>
        <v>0</v>
      </c>
      <c r="AC2348">
        <f>[1]资金台帐!AC2348</f>
        <v>0</v>
      </c>
      <c r="AD2348">
        <f>[1]资金台帐!AD2348</f>
        <v>0</v>
      </c>
      <c r="AJ2348">
        <f>[1]资金台帐!AJ2348</f>
        <v>0</v>
      </c>
      <c r="AK2348">
        <f>[1]资金台帐!AK2348</f>
        <v>0</v>
      </c>
      <c r="BA2348" s="22">
        <f t="shared" si="0"/>
      </c>
      <c r="BG2348" s="22">
        <f t="shared" si="1"/>
      </c>
      <c r="BH2348" s="22">
        <f t="shared" si="2"/>
        <v>0</v>
      </c>
    </row>
    <row r="2349">
      <c r="B2349">
        <f>[1]资金台帐!B2349&amp;""</f>
      </c>
      <c r="H2349">
        <f>[1]资金台帐!H2349&amp;""</f>
      </c>
      <c r="J2349">
        <f>[1]资金台帐!J2349&amp;""</f>
      </c>
      <c r="N2349">
        <f>[1]资金台帐!N2349</f>
      </c>
      <c r="O2349">
        <f>[1]资金台帐!O2349&amp;""</f>
      </c>
      <c r="P2349">
        <f>[1]资金台帐!P2349&amp;""</f>
      </c>
      <c r="Q2349">
        <f>[1]资金台帐!Q2349&amp;""</f>
      </c>
      <c r="T2349">
        <f>[1]资金台帐!T2349&amp;""</f>
      </c>
      <c r="U2349">
        <f>[1]资金台帐!U2349&amp;""</f>
      </c>
      <c r="W2349">
        <f>[1]资金台帐!W2349&amp;""</f>
      </c>
      <c r="X2349">
        <f>[1]资金台帐!X2349&amp;""</f>
      </c>
      <c r="AB2349">
        <f>[1]资金台帐!AB2349</f>
        <v>0</v>
      </c>
      <c r="AC2349">
        <f>[1]资金台帐!AC2349</f>
        <v>0</v>
      </c>
      <c r="AD2349">
        <f>[1]资金台帐!AD2349</f>
        <v>0</v>
      </c>
      <c r="AJ2349">
        <f>[1]资金台帐!AJ2349</f>
        <v>0</v>
      </c>
      <c r="AK2349">
        <f>[1]资金台帐!AK2349</f>
        <v>0</v>
      </c>
      <c r="BA2349" s="22">
        <f t="shared" si="0"/>
      </c>
      <c r="BG2349" s="22">
        <f t="shared" si="1"/>
      </c>
      <c r="BH2349" s="22">
        <f t="shared" si="2"/>
        <v>0</v>
      </c>
    </row>
    <row r="2350">
      <c r="B2350">
        <f>[1]资金台帐!B2350&amp;""</f>
      </c>
      <c r="H2350">
        <f>[1]资金台帐!H2350&amp;""</f>
      </c>
      <c r="J2350">
        <f>[1]资金台帐!J2350&amp;""</f>
      </c>
      <c r="N2350">
        <f>[1]资金台帐!N2350</f>
      </c>
      <c r="O2350">
        <f>[1]资金台帐!O2350&amp;""</f>
      </c>
      <c r="P2350">
        <f>[1]资金台帐!P2350&amp;""</f>
      </c>
      <c r="Q2350">
        <f>[1]资金台帐!Q2350&amp;""</f>
      </c>
      <c r="T2350">
        <f>[1]资金台帐!T2350&amp;""</f>
      </c>
      <c r="U2350">
        <f>[1]资金台帐!U2350&amp;""</f>
      </c>
      <c r="W2350">
        <f>[1]资金台帐!W2350&amp;""</f>
      </c>
      <c r="X2350">
        <f>[1]资金台帐!X2350&amp;""</f>
      </c>
      <c r="AB2350">
        <f>[1]资金台帐!AB2350</f>
        <v>0</v>
      </c>
      <c r="AC2350">
        <f>[1]资金台帐!AC2350</f>
        <v>0</v>
      </c>
      <c r="AD2350">
        <f>[1]资金台帐!AD2350</f>
        <v>0</v>
      </c>
      <c r="AJ2350">
        <f>[1]资金台帐!AJ2350</f>
        <v>0</v>
      </c>
      <c r="AK2350">
        <f>[1]资金台帐!AK2350</f>
        <v>0</v>
      </c>
      <c r="BA2350" s="22">
        <f t="shared" si="0"/>
      </c>
      <c r="BG2350" s="22">
        <f t="shared" si="1"/>
      </c>
      <c r="BH2350" s="22">
        <f t="shared" si="2"/>
        <v>0</v>
      </c>
    </row>
    <row r="2351">
      <c r="B2351">
        <f>[1]资金台帐!B2351&amp;""</f>
      </c>
      <c r="H2351">
        <f>[1]资金台帐!H2351&amp;""</f>
      </c>
      <c r="J2351">
        <f>[1]资金台帐!J2351&amp;""</f>
      </c>
      <c r="N2351">
        <f>[1]资金台帐!N2351</f>
      </c>
      <c r="O2351">
        <f>[1]资金台帐!O2351&amp;""</f>
      </c>
      <c r="P2351">
        <f>[1]资金台帐!P2351&amp;""</f>
      </c>
      <c r="Q2351">
        <f>[1]资金台帐!Q2351&amp;""</f>
      </c>
      <c r="T2351">
        <f>[1]资金台帐!T2351&amp;""</f>
      </c>
      <c r="U2351">
        <f>[1]资金台帐!U2351&amp;""</f>
      </c>
      <c r="W2351">
        <f>[1]资金台帐!W2351&amp;""</f>
      </c>
      <c r="X2351">
        <f>[1]资金台帐!X2351&amp;""</f>
      </c>
      <c r="AB2351">
        <f>[1]资金台帐!AB2351</f>
        <v>0</v>
      </c>
      <c r="AC2351">
        <f>[1]资金台帐!AC2351</f>
        <v>0</v>
      </c>
      <c r="AD2351">
        <f>[1]资金台帐!AD2351</f>
        <v>0</v>
      </c>
      <c r="AJ2351">
        <f>[1]资金台帐!AJ2351</f>
        <v>0</v>
      </c>
      <c r="AK2351">
        <f>[1]资金台帐!AK2351</f>
        <v>0</v>
      </c>
      <c r="BA2351" s="22">
        <f t="shared" si="0"/>
      </c>
      <c r="BG2351" s="22">
        <f t="shared" si="1"/>
      </c>
      <c r="BH2351" s="22">
        <f t="shared" si="2"/>
        <v>0</v>
      </c>
    </row>
    <row r="2352">
      <c r="B2352">
        <f>[1]资金台帐!B2352&amp;""</f>
      </c>
      <c r="H2352">
        <f>[1]资金台帐!H2352&amp;""</f>
      </c>
      <c r="J2352">
        <f>[1]资金台帐!J2352&amp;""</f>
      </c>
      <c r="N2352">
        <f>[1]资金台帐!N2352</f>
      </c>
      <c r="O2352">
        <f>[1]资金台帐!O2352&amp;""</f>
      </c>
      <c r="P2352">
        <f>[1]资金台帐!P2352&amp;""</f>
      </c>
      <c r="Q2352">
        <f>[1]资金台帐!Q2352&amp;""</f>
      </c>
      <c r="T2352">
        <f>[1]资金台帐!T2352&amp;""</f>
      </c>
      <c r="U2352">
        <f>[1]资金台帐!U2352&amp;""</f>
      </c>
      <c r="W2352">
        <f>[1]资金台帐!W2352&amp;""</f>
      </c>
      <c r="X2352">
        <f>[1]资金台帐!X2352&amp;""</f>
      </c>
      <c r="AB2352">
        <f>[1]资金台帐!AB2352</f>
        <v>0</v>
      </c>
      <c r="AC2352">
        <f>[1]资金台帐!AC2352</f>
        <v>0</v>
      </c>
      <c r="AD2352">
        <f>[1]资金台帐!AD2352</f>
        <v>0</v>
      </c>
      <c r="AJ2352">
        <f>[1]资金台帐!AJ2352</f>
        <v>0</v>
      </c>
      <c r="AK2352">
        <f>[1]资金台帐!AK2352</f>
        <v>0</v>
      </c>
      <c r="BA2352" s="22">
        <f t="shared" si="0"/>
      </c>
      <c r="BG2352" s="22">
        <f t="shared" si="1"/>
      </c>
      <c r="BH2352" s="22">
        <f t="shared" si="2"/>
        <v>0</v>
      </c>
    </row>
    <row r="2353">
      <c r="B2353">
        <f>[1]资金台帐!B2353&amp;""</f>
      </c>
      <c r="H2353">
        <f>[1]资金台帐!H2353&amp;""</f>
      </c>
      <c r="J2353">
        <f>[1]资金台帐!J2353&amp;""</f>
      </c>
      <c r="N2353">
        <f>[1]资金台帐!N2353</f>
      </c>
      <c r="O2353">
        <f>[1]资金台帐!O2353&amp;""</f>
      </c>
      <c r="P2353">
        <f>[1]资金台帐!P2353&amp;""</f>
      </c>
      <c r="Q2353">
        <f>[1]资金台帐!Q2353&amp;""</f>
      </c>
      <c r="T2353">
        <f>[1]资金台帐!T2353&amp;""</f>
      </c>
      <c r="U2353">
        <f>[1]资金台帐!U2353&amp;""</f>
      </c>
      <c r="W2353">
        <f>[1]资金台帐!W2353&amp;""</f>
      </c>
      <c r="X2353">
        <f>[1]资金台帐!X2353&amp;""</f>
      </c>
      <c r="AB2353">
        <f>[1]资金台帐!AB2353</f>
        <v>0</v>
      </c>
      <c r="AC2353">
        <f>[1]资金台帐!AC2353</f>
        <v>0</v>
      </c>
      <c r="AD2353">
        <f>[1]资金台帐!AD2353</f>
        <v>0</v>
      </c>
      <c r="AJ2353">
        <f>[1]资金台帐!AJ2353</f>
        <v>0</v>
      </c>
      <c r="AK2353">
        <f>[1]资金台帐!AK2353</f>
        <v>0</v>
      </c>
      <c r="BA2353" s="22">
        <f t="shared" si="0"/>
      </c>
      <c r="BG2353" s="22">
        <f t="shared" si="1"/>
      </c>
      <c r="BH2353" s="22">
        <f t="shared" si="2"/>
        <v>0</v>
      </c>
    </row>
    <row r="2354">
      <c r="B2354">
        <f>[1]资金台帐!B2354&amp;""</f>
      </c>
      <c r="H2354">
        <f>[1]资金台帐!H2354&amp;""</f>
      </c>
      <c r="J2354">
        <f>[1]资金台帐!J2354&amp;""</f>
      </c>
      <c r="N2354">
        <f>[1]资金台帐!N2354</f>
      </c>
      <c r="O2354">
        <f>[1]资金台帐!O2354&amp;""</f>
      </c>
      <c r="P2354">
        <f>[1]资金台帐!P2354&amp;""</f>
      </c>
      <c r="Q2354">
        <f>[1]资金台帐!Q2354&amp;""</f>
      </c>
      <c r="T2354">
        <f>[1]资金台帐!T2354&amp;""</f>
      </c>
      <c r="U2354">
        <f>[1]资金台帐!U2354&amp;""</f>
      </c>
      <c r="W2354">
        <f>[1]资金台帐!W2354&amp;""</f>
      </c>
      <c r="X2354">
        <f>[1]资金台帐!X2354&amp;""</f>
      </c>
      <c r="AB2354">
        <f>[1]资金台帐!AB2354</f>
        <v>0</v>
      </c>
      <c r="AC2354">
        <f>[1]资金台帐!AC2354</f>
        <v>0</v>
      </c>
      <c r="AD2354">
        <f>[1]资金台帐!AD2354</f>
        <v>0</v>
      </c>
      <c r="AJ2354">
        <f>[1]资金台帐!AJ2354</f>
        <v>0</v>
      </c>
      <c r="AK2354">
        <f>[1]资金台帐!AK2354</f>
        <v>0</v>
      </c>
      <c r="BA2354" s="22">
        <f t="shared" si="0"/>
      </c>
      <c r="BG2354" s="22">
        <f t="shared" si="1"/>
      </c>
      <c r="BH2354" s="22">
        <f t="shared" si="2"/>
        <v>0</v>
      </c>
    </row>
    <row r="2355">
      <c r="B2355">
        <f>[1]资金台帐!B2355&amp;""</f>
      </c>
      <c r="H2355">
        <f>[1]资金台帐!H2355&amp;""</f>
      </c>
      <c r="J2355">
        <f>[1]资金台帐!J2355&amp;""</f>
      </c>
      <c r="N2355">
        <f>[1]资金台帐!N2355</f>
      </c>
      <c r="O2355">
        <f>[1]资金台帐!O2355&amp;""</f>
      </c>
      <c r="P2355">
        <f>[1]资金台帐!P2355&amp;""</f>
      </c>
      <c r="Q2355">
        <f>[1]资金台帐!Q2355&amp;""</f>
      </c>
      <c r="T2355">
        <f>[1]资金台帐!T2355&amp;""</f>
      </c>
      <c r="U2355">
        <f>[1]资金台帐!U2355&amp;""</f>
      </c>
      <c r="W2355">
        <f>[1]资金台帐!W2355&amp;""</f>
      </c>
      <c r="X2355">
        <f>[1]资金台帐!X2355&amp;""</f>
      </c>
      <c r="AB2355">
        <f>[1]资金台帐!AB2355</f>
        <v>0</v>
      </c>
      <c r="AC2355">
        <f>[1]资金台帐!AC2355</f>
        <v>0</v>
      </c>
      <c r="AD2355">
        <f>[1]资金台帐!AD2355</f>
        <v>0</v>
      </c>
      <c r="AJ2355">
        <f>[1]资金台帐!AJ2355</f>
        <v>0</v>
      </c>
      <c r="AK2355">
        <f>[1]资金台帐!AK2355</f>
        <v>0</v>
      </c>
      <c r="BA2355" s="22">
        <f t="shared" si="0"/>
      </c>
      <c r="BG2355" s="22">
        <f t="shared" si="1"/>
      </c>
      <c r="BH2355" s="22">
        <f t="shared" si="2"/>
        <v>0</v>
      </c>
    </row>
    <row r="2356">
      <c r="B2356">
        <f>[1]资金台帐!B2356&amp;""</f>
      </c>
      <c r="H2356">
        <f>[1]资金台帐!H2356&amp;""</f>
      </c>
      <c r="J2356">
        <f>[1]资金台帐!J2356&amp;""</f>
      </c>
      <c r="N2356">
        <f>[1]资金台帐!N2356</f>
      </c>
      <c r="O2356">
        <f>[1]资金台帐!O2356&amp;""</f>
      </c>
      <c r="P2356">
        <f>[1]资金台帐!P2356&amp;""</f>
      </c>
      <c r="Q2356">
        <f>[1]资金台帐!Q2356&amp;""</f>
      </c>
      <c r="T2356">
        <f>[1]资金台帐!T2356&amp;""</f>
      </c>
      <c r="U2356">
        <f>[1]资金台帐!U2356&amp;""</f>
      </c>
      <c r="W2356">
        <f>[1]资金台帐!W2356&amp;""</f>
      </c>
      <c r="X2356">
        <f>[1]资金台帐!X2356&amp;""</f>
      </c>
      <c r="AB2356">
        <f>[1]资金台帐!AB2356</f>
        <v>0</v>
      </c>
      <c r="AC2356">
        <f>[1]资金台帐!AC2356</f>
        <v>0</v>
      </c>
      <c r="AD2356">
        <f>[1]资金台帐!AD2356</f>
        <v>0</v>
      </c>
      <c r="AJ2356">
        <f>[1]资金台帐!AJ2356</f>
        <v>0</v>
      </c>
      <c r="AK2356">
        <f>[1]资金台帐!AK2356</f>
        <v>0</v>
      </c>
      <c r="BA2356" s="22">
        <f t="shared" si="0"/>
      </c>
      <c r="BG2356" s="22">
        <f t="shared" si="1"/>
      </c>
      <c r="BH2356" s="22">
        <f t="shared" si="2"/>
        <v>0</v>
      </c>
    </row>
    <row r="2357">
      <c r="B2357">
        <f>[1]资金台帐!B2357&amp;""</f>
      </c>
      <c r="H2357">
        <f>[1]资金台帐!H2357&amp;""</f>
      </c>
      <c r="J2357">
        <f>[1]资金台帐!J2357&amp;""</f>
      </c>
      <c r="N2357">
        <f>[1]资金台帐!N2357</f>
      </c>
      <c r="O2357">
        <f>[1]资金台帐!O2357&amp;""</f>
      </c>
      <c r="P2357">
        <f>[1]资金台帐!P2357&amp;""</f>
      </c>
      <c r="Q2357">
        <f>[1]资金台帐!Q2357&amp;""</f>
      </c>
      <c r="T2357">
        <f>[1]资金台帐!T2357&amp;""</f>
      </c>
      <c r="U2357">
        <f>[1]资金台帐!U2357&amp;""</f>
      </c>
      <c r="W2357">
        <f>[1]资金台帐!W2357&amp;""</f>
      </c>
      <c r="X2357">
        <f>[1]资金台帐!X2357&amp;""</f>
      </c>
      <c r="AB2357">
        <f>[1]资金台帐!AB2357</f>
        <v>0</v>
      </c>
      <c r="AC2357">
        <f>[1]资金台帐!AC2357</f>
        <v>0</v>
      </c>
      <c r="AD2357">
        <f>[1]资金台帐!AD2357</f>
        <v>0</v>
      </c>
      <c r="AJ2357">
        <f>[1]资金台帐!AJ2357</f>
        <v>0</v>
      </c>
      <c r="AK2357">
        <f>[1]资金台帐!AK2357</f>
        <v>0</v>
      </c>
      <c r="BA2357" s="22">
        <f t="shared" si="0"/>
      </c>
      <c r="BG2357" s="22">
        <f t="shared" si="1"/>
      </c>
      <c r="BH2357" s="22">
        <f t="shared" si="2"/>
        <v>0</v>
      </c>
    </row>
    <row r="2358">
      <c r="B2358">
        <f>[1]资金台帐!B2358&amp;""</f>
      </c>
      <c r="H2358">
        <f>[1]资金台帐!H2358&amp;""</f>
      </c>
      <c r="J2358">
        <f>[1]资金台帐!J2358&amp;""</f>
      </c>
      <c r="N2358">
        <f>[1]资金台帐!N2358</f>
      </c>
      <c r="O2358">
        <f>[1]资金台帐!O2358&amp;""</f>
      </c>
      <c r="P2358">
        <f>[1]资金台帐!P2358&amp;""</f>
      </c>
      <c r="Q2358">
        <f>[1]资金台帐!Q2358&amp;""</f>
      </c>
      <c r="T2358">
        <f>[1]资金台帐!T2358&amp;""</f>
      </c>
      <c r="U2358">
        <f>[1]资金台帐!U2358&amp;""</f>
      </c>
      <c r="W2358">
        <f>[1]资金台帐!W2358&amp;""</f>
      </c>
      <c r="X2358">
        <f>[1]资金台帐!X2358&amp;""</f>
      </c>
      <c r="AB2358">
        <f>[1]资金台帐!AB2358</f>
        <v>0</v>
      </c>
      <c r="AC2358">
        <f>[1]资金台帐!AC2358</f>
        <v>0</v>
      </c>
      <c r="AD2358">
        <f>[1]资金台帐!AD2358</f>
        <v>0</v>
      </c>
      <c r="AJ2358">
        <f>[1]资金台帐!AJ2358</f>
        <v>0</v>
      </c>
      <c r="AK2358">
        <f>[1]资金台帐!AK2358</f>
        <v>0</v>
      </c>
      <c r="BA2358" s="22">
        <f t="shared" si="0"/>
      </c>
      <c r="BG2358" s="22">
        <f t="shared" si="1"/>
      </c>
      <c r="BH2358" s="22">
        <f t="shared" si="2"/>
        <v>0</v>
      </c>
    </row>
    <row r="2359">
      <c r="B2359">
        <f>[1]资金台帐!B2359&amp;""</f>
      </c>
      <c r="H2359">
        <f>[1]资金台帐!H2359&amp;""</f>
      </c>
      <c r="J2359">
        <f>[1]资金台帐!J2359&amp;""</f>
      </c>
      <c r="N2359">
        <f>[1]资金台帐!N2359</f>
      </c>
      <c r="O2359">
        <f>[1]资金台帐!O2359&amp;""</f>
      </c>
      <c r="P2359">
        <f>[1]资金台帐!P2359&amp;""</f>
      </c>
      <c r="Q2359">
        <f>[1]资金台帐!Q2359&amp;""</f>
      </c>
      <c r="T2359">
        <f>[1]资金台帐!T2359&amp;""</f>
      </c>
      <c r="U2359">
        <f>[1]资金台帐!U2359&amp;""</f>
      </c>
      <c r="W2359">
        <f>[1]资金台帐!W2359&amp;""</f>
      </c>
      <c r="X2359">
        <f>[1]资金台帐!X2359&amp;""</f>
      </c>
      <c r="AB2359">
        <f>[1]资金台帐!AB2359</f>
        <v>0</v>
      </c>
      <c r="AC2359">
        <f>[1]资金台帐!AC2359</f>
        <v>0</v>
      </c>
      <c r="AD2359">
        <f>[1]资金台帐!AD2359</f>
        <v>0</v>
      </c>
      <c r="AJ2359">
        <f>[1]资金台帐!AJ2359</f>
        <v>0</v>
      </c>
      <c r="AK2359">
        <f>[1]资金台帐!AK2359</f>
        <v>0</v>
      </c>
      <c r="BA2359" s="22">
        <f t="shared" si="0"/>
      </c>
      <c r="BG2359" s="22">
        <f t="shared" si="1"/>
      </c>
      <c r="BH2359" s="22">
        <f t="shared" si="2"/>
        <v>0</v>
      </c>
    </row>
    <row r="2360">
      <c r="B2360">
        <f>[1]资金台帐!B2360&amp;""</f>
      </c>
      <c r="H2360">
        <f>[1]资金台帐!H2360&amp;""</f>
      </c>
      <c r="J2360">
        <f>[1]资金台帐!J2360&amp;""</f>
      </c>
      <c r="N2360">
        <f>[1]资金台帐!N2360</f>
      </c>
      <c r="O2360">
        <f>[1]资金台帐!O2360&amp;""</f>
      </c>
      <c r="P2360">
        <f>[1]资金台帐!P2360&amp;""</f>
      </c>
      <c r="Q2360">
        <f>[1]资金台帐!Q2360&amp;""</f>
      </c>
      <c r="T2360">
        <f>[1]资金台帐!T2360&amp;""</f>
      </c>
      <c r="U2360">
        <f>[1]资金台帐!U2360&amp;""</f>
      </c>
      <c r="W2360">
        <f>[1]资金台帐!W2360&amp;""</f>
      </c>
      <c r="X2360">
        <f>[1]资金台帐!X2360&amp;""</f>
      </c>
      <c r="AB2360">
        <f>[1]资金台帐!AB2360</f>
        <v>0</v>
      </c>
      <c r="AC2360">
        <f>[1]资金台帐!AC2360</f>
        <v>0</v>
      </c>
      <c r="AD2360">
        <f>[1]资金台帐!AD2360</f>
        <v>0</v>
      </c>
      <c r="AJ2360">
        <f>[1]资金台帐!AJ2360</f>
        <v>0</v>
      </c>
      <c r="AK2360">
        <f>[1]资金台帐!AK2360</f>
        <v>0</v>
      </c>
      <c r="BA2360" s="22">
        <f t="shared" si="0"/>
      </c>
      <c r="BG2360" s="22">
        <f t="shared" si="1"/>
      </c>
      <c r="BH2360" s="22">
        <f t="shared" si="2"/>
        <v>0</v>
      </c>
    </row>
    <row r="2361">
      <c r="B2361">
        <f>[1]资金台帐!B2361&amp;""</f>
      </c>
      <c r="H2361">
        <f>[1]资金台帐!H2361&amp;""</f>
      </c>
      <c r="J2361">
        <f>[1]资金台帐!J2361&amp;""</f>
      </c>
      <c r="N2361">
        <f>[1]资金台帐!N2361</f>
      </c>
      <c r="O2361">
        <f>[1]资金台帐!O2361&amp;""</f>
      </c>
      <c r="P2361">
        <f>[1]资金台帐!P2361&amp;""</f>
      </c>
      <c r="Q2361">
        <f>[1]资金台帐!Q2361&amp;""</f>
      </c>
      <c r="T2361">
        <f>[1]资金台帐!T2361&amp;""</f>
      </c>
      <c r="U2361">
        <f>[1]资金台帐!U2361&amp;""</f>
      </c>
      <c r="W2361">
        <f>[1]资金台帐!W2361&amp;""</f>
      </c>
      <c r="X2361">
        <f>[1]资金台帐!X2361&amp;""</f>
      </c>
      <c r="AB2361">
        <f>[1]资金台帐!AB2361</f>
        <v>0</v>
      </c>
      <c r="AC2361">
        <f>[1]资金台帐!AC2361</f>
        <v>0</v>
      </c>
      <c r="AD2361">
        <f>[1]资金台帐!AD2361</f>
        <v>0</v>
      </c>
      <c r="AJ2361">
        <f>[1]资金台帐!AJ2361</f>
        <v>0</v>
      </c>
      <c r="AK2361">
        <f>[1]资金台帐!AK2361</f>
        <v>0</v>
      </c>
      <c r="BA2361" s="22">
        <f t="shared" si="0"/>
      </c>
      <c r="BG2361" s="22">
        <f t="shared" si="1"/>
      </c>
      <c r="BH2361" s="22">
        <f t="shared" si="2"/>
        <v>0</v>
      </c>
    </row>
    <row r="2362">
      <c r="B2362">
        <f>[1]资金台帐!B2362&amp;""</f>
      </c>
      <c r="H2362">
        <f>[1]资金台帐!H2362&amp;""</f>
      </c>
      <c r="J2362">
        <f>[1]资金台帐!J2362&amp;""</f>
      </c>
      <c r="N2362">
        <f>[1]资金台帐!N2362</f>
      </c>
      <c r="O2362">
        <f>[1]资金台帐!O2362&amp;""</f>
      </c>
      <c r="P2362">
        <f>[1]资金台帐!P2362&amp;""</f>
      </c>
      <c r="Q2362">
        <f>[1]资金台帐!Q2362&amp;""</f>
      </c>
      <c r="T2362">
        <f>[1]资金台帐!T2362&amp;""</f>
      </c>
      <c r="U2362">
        <f>[1]资金台帐!U2362&amp;""</f>
      </c>
      <c r="W2362">
        <f>[1]资金台帐!W2362&amp;""</f>
      </c>
      <c r="X2362">
        <f>[1]资金台帐!X2362&amp;""</f>
      </c>
      <c r="AB2362">
        <f>[1]资金台帐!AB2362</f>
        <v>0</v>
      </c>
      <c r="AC2362">
        <f>[1]资金台帐!AC2362</f>
        <v>0</v>
      </c>
      <c r="AD2362">
        <f>[1]资金台帐!AD2362</f>
        <v>0</v>
      </c>
      <c r="AJ2362">
        <f>[1]资金台帐!AJ2362</f>
        <v>0</v>
      </c>
      <c r="AK2362">
        <f>[1]资金台帐!AK2362</f>
        <v>0</v>
      </c>
      <c r="BA2362" s="22">
        <f t="shared" si="0"/>
      </c>
      <c r="BG2362" s="22">
        <f t="shared" si="1"/>
      </c>
      <c r="BH2362" s="22">
        <f t="shared" si="2"/>
        <v>0</v>
      </c>
    </row>
    <row r="2363">
      <c r="B2363">
        <f>[1]资金台帐!B2363&amp;""</f>
      </c>
      <c r="H2363">
        <f>[1]资金台帐!H2363&amp;""</f>
      </c>
      <c r="J2363">
        <f>[1]资金台帐!J2363&amp;""</f>
      </c>
      <c r="N2363">
        <f>[1]资金台帐!N2363</f>
      </c>
      <c r="O2363">
        <f>[1]资金台帐!O2363&amp;""</f>
      </c>
      <c r="P2363">
        <f>[1]资金台帐!P2363&amp;""</f>
      </c>
      <c r="Q2363">
        <f>[1]资金台帐!Q2363&amp;""</f>
      </c>
      <c r="T2363">
        <f>[1]资金台帐!T2363&amp;""</f>
      </c>
      <c r="U2363">
        <f>[1]资金台帐!U2363&amp;""</f>
      </c>
      <c r="W2363">
        <f>[1]资金台帐!W2363&amp;""</f>
      </c>
      <c r="X2363">
        <f>[1]资金台帐!X2363&amp;""</f>
      </c>
      <c r="AB2363">
        <f>[1]资金台帐!AB2363</f>
        <v>0</v>
      </c>
      <c r="AC2363">
        <f>[1]资金台帐!AC2363</f>
        <v>0</v>
      </c>
      <c r="AD2363">
        <f>[1]资金台帐!AD2363</f>
        <v>0</v>
      </c>
      <c r="AJ2363">
        <f>[1]资金台帐!AJ2363</f>
        <v>0</v>
      </c>
      <c r="AK2363">
        <f>[1]资金台帐!AK2363</f>
        <v>0</v>
      </c>
      <c r="BA2363" s="22">
        <f t="shared" si="0"/>
      </c>
      <c r="BG2363" s="22">
        <f t="shared" si="1"/>
      </c>
      <c r="BH2363" s="22">
        <f t="shared" si="2"/>
        <v>0</v>
      </c>
    </row>
    <row r="2364">
      <c r="B2364">
        <f>[1]资金台帐!B2364&amp;""</f>
      </c>
      <c r="H2364">
        <f>[1]资金台帐!H2364&amp;""</f>
      </c>
      <c r="J2364">
        <f>[1]资金台帐!J2364&amp;""</f>
      </c>
      <c r="N2364">
        <f>[1]资金台帐!N2364</f>
      </c>
      <c r="O2364">
        <f>[1]资金台帐!O2364&amp;""</f>
      </c>
      <c r="P2364">
        <f>[1]资金台帐!P2364&amp;""</f>
      </c>
      <c r="Q2364">
        <f>[1]资金台帐!Q2364&amp;""</f>
      </c>
      <c r="T2364">
        <f>[1]资金台帐!T2364&amp;""</f>
      </c>
      <c r="U2364">
        <f>[1]资金台帐!U2364&amp;""</f>
      </c>
      <c r="W2364">
        <f>[1]资金台帐!W2364&amp;""</f>
      </c>
      <c r="X2364">
        <f>[1]资金台帐!X2364&amp;""</f>
      </c>
      <c r="AB2364">
        <f>[1]资金台帐!AB2364</f>
        <v>0</v>
      </c>
      <c r="AC2364">
        <f>[1]资金台帐!AC2364</f>
        <v>0</v>
      </c>
      <c r="AD2364">
        <f>[1]资金台帐!AD2364</f>
        <v>0</v>
      </c>
      <c r="AJ2364">
        <f>[1]资金台帐!AJ2364</f>
        <v>0</v>
      </c>
      <c r="AK2364">
        <f>[1]资金台帐!AK2364</f>
        <v>0</v>
      </c>
      <c r="BA2364" s="22">
        <f t="shared" si="0"/>
      </c>
      <c r="BG2364" s="22">
        <f t="shared" si="1"/>
      </c>
      <c r="BH2364" s="22">
        <f t="shared" si="2"/>
        <v>0</v>
      </c>
    </row>
    <row r="2365">
      <c r="B2365">
        <f>[1]资金台帐!B2365&amp;""</f>
      </c>
      <c r="H2365">
        <f>[1]资金台帐!H2365&amp;""</f>
      </c>
      <c r="J2365">
        <f>[1]资金台帐!J2365&amp;""</f>
      </c>
      <c r="N2365">
        <f>[1]资金台帐!N2365</f>
      </c>
      <c r="O2365">
        <f>[1]资金台帐!O2365&amp;""</f>
      </c>
      <c r="P2365">
        <f>[1]资金台帐!P2365&amp;""</f>
      </c>
      <c r="Q2365">
        <f>[1]资金台帐!Q2365&amp;""</f>
      </c>
      <c r="T2365">
        <f>[1]资金台帐!T2365&amp;""</f>
      </c>
      <c r="U2365">
        <f>[1]资金台帐!U2365&amp;""</f>
      </c>
      <c r="W2365">
        <f>[1]资金台帐!W2365&amp;""</f>
      </c>
      <c r="X2365">
        <f>[1]资金台帐!X2365&amp;""</f>
      </c>
      <c r="AB2365">
        <f>[1]资金台帐!AB2365</f>
        <v>0</v>
      </c>
      <c r="AC2365">
        <f>[1]资金台帐!AC2365</f>
        <v>0</v>
      </c>
      <c r="AD2365">
        <f>[1]资金台帐!AD2365</f>
        <v>0</v>
      </c>
      <c r="AJ2365">
        <f>[1]资金台帐!AJ2365</f>
        <v>0</v>
      </c>
      <c r="AK2365">
        <f>[1]资金台帐!AK2365</f>
        <v>0</v>
      </c>
      <c r="BA2365" s="22">
        <f t="shared" si="0"/>
      </c>
      <c r="BG2365" s="22">
        <f t="shared" si="1"/>
      </c>
      <c r="BH2365" s="22">
        <f t="shared" si="2"/>
        <v>0</v>
      </c>
    </row>
    <row r="2366">
      <c r="B2366">
        <f>[1]资金台帐!B2366&amp;""</f>
      </c>
      <c r="H2366">
        <f>[1]资金台帐!H2366&amp;""</f>
      </c>
      <c r="J2366">
        <f>[1]资金台帐!J2366&amp;""</f>
      </c>
      <c r="N2366">
        <f>[1]资金台帐!N2366</f>
      </c>
      <c r="O2366">
        <f>[1]资金台帐!O2366&amp;""</f>
      </c>
      <c r="P2366">
        <f>[1]资金台帐!P2366&amp;""</f>
      </c>
      <c r="Q2366">
        <f>[1]资金台帐!Q2366&amp;""</f>
      </c>
      <c r="T2366">
        <f>[1]资金台帐!T2366&amp;""</f>
      </c>
      <c r="U2366">
        <f>[1]资金台帐!U2366&amp;""</f>
      </c>
      <c r="W2366">
        <f>[1]资金台帐!W2366&amp;""</f>
      </c>
      <c r="X2366">
        <f>[1]资金台帐!X2366&amp;""</f>
      </c>
      <c r="AB2366">
        <f>[1]资金台帐!AB2366</f>
        <v>0</v>
      </c>
      <c r="AC2366">
        <f>[1]资金台帐!AC2366</f>
        <v>0</v>
      </c>
      <c r="AD2366">
        <f>[1]资金台帐!AD2366</f>
        <v>0</v>
      </c>
      <c r="AJ2366">
        <f>[1]资金台帐!AJ2366</f>
        <v>0</v>
      </c>
      <c r="AK2366">
        <f>[1]资金台帐!AK2366</f>
        <v>0</v>
      </c>
      <c r="BA2366" s="22">
        <f t="shared" si="0"/>
      </c>
      <c r="BG2366" s="22">
        <f t="shared" si="1"/>
      </c>
      <c r="BH2366" s="22">
        <f t="shared" si="2"/>
        <v>0</v>
      </c>
    </row>
    <row r="2367">
      <c r="B2367">
        <f>[1]资金台帐!B2367&amp;""</f>
      </c>
      <c r="H2367">
        <f>[1]资金台帐!H2367&amp;""</f>
      </c>
      <c r="J2367">
        <f>[1]资金台帐!J2367&amp;""</f>
      </c>
      <c r="N2367">
        <f>[1]资金台帐!N2367</f>
      </c>
      <c r="O2367">
        <f>[1]资金台帐!O2367&amp;""</f>
      </c>
      <c r="P2367">
        <f>[1]资金台帐!P2367&amp;""</f>
      </c>
      <c r="Q2367">
        <f>[1]资金台帐!Q2367&amp;""</f>
      </c>
      <c r="T2367">
        <f>[1]资金台帐!T2367&amp;""</f>
      </c>
      <c r="U2367">
        <f>[1]资金台帐!U2367&amp;""</f>
      </c>
      <c r="W2367">
        <f>[1]资金台帐!W2367&amp;""</f>
      </c>
      <c r="X2367">
        <f>[1]资金台帐!X2367&amp;""</f>
      </c>
      <c r="AB2367">
        <f>[1]资金台帐!AB2367</f>
        <v>0</v>
      </c>
      <c r="AC2367">
        <f>[1]资金台帐!AC2367</f>
        <v>0</v>
      </c>
      <c r="AD2367">
        <f>[1]资金台帐!AD2367</f>
        <v>0</v>
      </c>
      <c r="AJ2367">
        <f>[1]资金台帐!AJ2367</f>
        <v>0</v>
      </c>
      <c r="AK2367">
        <f>[1]资金台帐!AK2367</f>
        <v>0</v>
      </c>
      <c r="BA2367" s="22">
        <f t="shared" si="0"/>
      </c>
      <c r="BG2367" s="22">
        <f t="shared" si="1"/>
      </c>
      <c r="BH2367" s="22">
        <f t="shared" si="2"/>
        <v>0</v>
      </c>
    </row>
    <row r="2368">
      <c r="B2368">
        <f>[1]资金台帐!B2368&amp;""</f>
      </c>
      <c r="H2368">
        <f>[1]资金台帐!H2368&amp;""</f>
      </c>
      <c r="J2368">
        <f>[1]资金台帐!J2368&amp;""</f>
      </c>
      <c r="N2368">
        <f>[1]资金台帐!N2368</f>
      </c>
      <c r="O2368">
        <f>[1]资金台帐!O2368&amp;""</f>
      </c>
      <c r="P2368">
        <f>[1]资金台帐!P2368&amp;""</f>
      </c>
      <c r="Q2368">
        <f>[1]资金台帐!Q2368&amp;""</f>
      </c>
      <c r="T2368">
        <f>[1]资金台帐!T2368&amp;""</f>
      </c>
      <c r="U2368">
        <f>[1]资金台帐!U2368&amp;""</f>
      </c>
      <c r="W2368">
        <f>[1]资金台帐!W2368&amp;""</f>
      </c>
      <c r="X2368">
        <f>[1]资金台帐!X2368&amp;""</f>
      </c>
      <c r="AB2368">
        <f>[1]资金台帐!AB2368</f>
        <v>0</v>
      </c>
      <c r="AC2368">
        <f>[1]资金台帐!AC2368</f>
        <v>0</v>
      </c>
      <c r="AD2368">
        <f>[1]资金台帐!AD2368</f>
        <v>0</v>
      </c>
      <c r="AJ2368">
        <f>[1]资金台帐!AJ2368</f>
        <v>0</v>
      </c>
      <c r="AK2368">
        <f>[1]资金台帐!AK2368</f>
        <v>0</v>
      </c>
      <c r="BA2368" s="22">
        <f t="shared" si="0"/>
      </c>
      <c r="BG2368" s="22">
        <f t="shared" si="1"/>
      </c>
      <c r="BH2368" s="22">
        <f t="shared" si="2"/>
        <v>0</v>
      </c>
    </row>
    <row r="2369">
      <c r="B2369">
        <f>[1]资金台帐!B2369&amp;""</f>
      </c>
      <c r="H2369">
        <f>[1]资金台帐!H2369&amp;""</f>
      </c>
      <c r="J2369">
        <f>[1]资金台帐!J2369&amp;""</f>
      </c>
      <c r="N2369">
        <f>[1]资金台帐!N2369</f>
      </c>
      <c r="O2369">
        <f>[1]资金台帐!O2369&amp;""</f>
      </c>
      <c r="P2369">
        <f>[1]资金台帐!P2369&amp;""</f>
      </c>
      <c r="Q2369">
        <f>[1]资金台帐!Q2369&amp;""</f>
      </c>
      <c r="T2369">
        <f>[1]资金台帐!T2369&amp;""</f>
      </c>
      <c r="U2369">
        <f>[1]资金台帐!U2369&amp;""</f>
      </c>
      <c r="W2369">
        <f>[1]资金台帐!W2369&amp;""</f>
      </c>
      <c r="X2369">
        <f>[1]资金台帐!X2369&amp;""</f>
      </c>
      <c r="AB2369">
        <f>[1]资金台帐!AB2369</f>
        <v>0</v>
      </c>
      <c r="AC2369">
        <f>[1]资金台帐!AC2369</f>
        <v>0</v>
      </c>
      <c r="AD2369">
        <f>[1]资金台帐!AD2369</f>
        <v>0</v>
      </c>
      <c r="AJ2369">
        <f>[1]资金台帐!AJ2369</f>
        <v>0</v>
      </c>
      <c r="AK2369">
        <f>[1]资金台帐!AK2369</f>
        <v>0</v>
      </c>
      <c r="BA2369" s="22">
        <f t="shared" si="0"/>
      </c>
      <c r="BG2369" s="22">
        <f t="shared" si="1"/>
      </c>
      <c r="BH2369" s="22">
        <f t="shared" si="2"/>
        <v>0</v>
      </c>
    </row>
    <row r="2370">
      <c r="B2370">
        <f>[1]资金台帐!B2370&amp;""</f>
      </c>
      <c r="H2370">
        <f>[1]资金台帐!H2370&amp;""</f>
      </c>
      <c r="J2370">
        <f>[1]资金台帐!J2370&amp;""</f>
      </c>
      <c r="N2370">
        <f>[1]资金台帐!N2370</f>
      </c>
      <c r="O2370">
        <f>[1]资金台帐!O2370&amp;""</f>
      </c>
      <c r="P2370">
        <f>[1]资金台帐!P2370&amp;""</f>
      </c>
      <c r="Q2370">
        <f>[1]资金台帐!Q2370&amp;""</f>
      </c>
      <c r="T2370">
        <f>[1]资金台帐!T2370&amp;""</f>
      </c>
      <c r="U2370">
        <f>[1]资金台帐!U2370&amp;""</f>
      </c>
      <c r="W2370">
        <f>[1]资金台帐!W2370&amp;""</f>
      </c>
      <c r="X2370">
        <f>[1]资金台帐!X2370&amp;""</f>
      </c>
      <c r="AB2370">
        <f>[1]资金台帐!AB2370</f>
        <v>0</v>
      </c>
      <c r="AC2370">
        <f>[1]资金台帐!AC2370</f>
        <v>0</v>
      </c>
      <c r="AD2370">
        <f>[1]资金台帐!AD2370</f>
        <v>0</v>
      </c>
      <c r="AJ2370">
        <f>[1]资金台帐!AJ2370</f>
        <v>0</v>
      </c>
      <c r="AK2370">
        <f>[1]资金台帐!AK2370</f>
        <v>0</v>
      </c>
      <c r="BA2370" s="22">
        <f t="shared" si="0"/>
      </c>
      <c r="BG2370" s="22">
        <f t="shared" si="1"/>
      </c>
      <c r="BH2370" s="22">
        <f t="shared" si="2"/>
        <v>0</v>
      </c>
    </row>
    <row r="2371">
      <c r="B2371">
        <f>[1]资金台帐!B2371&amp;""</f>
      </c>
      <c r="H2371">
        <f>[1]资金台帐!H2371&amp;""</f>
      </c>
      <c r="J2371">
        <f>[1]资金台帐!J2371&amp;""</f>
      </c>
      <c r="N2371">
        <f>[1]资金台帐!N2371</f>
      </c>
      <c r="O2371">
        <f>[1]资金台帐!O2371&amp;""</f>
      </c>
      <c r="P2371">
        <f>[1]资金台帐!P2371&amp;""</f>
      </c>
      <c r="Q2371">
        <f>[1]资金台帐!Q2371&amp;""</f>
      </c>
      <c r="T2371">
        <f>[1]资金台帐!T2371&amp;""</f>
      </c>
      <c r="U2371">
        <f>[1]资金台帐!U2371&amp;""</f>
      </c>
      <c r="W2371">
        <f>[1]资金台帐!W2371&amp;""</f>
      </c>
      <c r="X2371">
        <f>[1]资金台帐!X2371&amp;""</f>
      </c>
      <c r="AB2371">
        <f>[1]资金台帐!AB2371</f>
        <v>0</v>
      </c>
      <c r="AC2371">
        <f>[1]资金台帐!AC2371</f>
        <v>0</v>
      </c>
      <c r="AD2371">
        <f>[1]资金台帐!AD2371</f>
        <v>0</v>
      </c>
      <c r="AJ2371">
        <f>[1]资金台帐!AJ2371</f>
        <v>0</v>
      </c>
      <c r="AK2371">
        <f>[1]资金台帐!AK2371</f>
        <v>0</v>
      </c>
      <c r="BA2371" s="22">
        <f t="shared" si="0"/>
      </c>
      <c r="BG2371" s="22">
        <f t="shared" si="1"/>
      </c>
      <c r="BH2371" s="22">
        <f t="shared" si="2"/>
        <v>0</v>
      </c>
    </row>
    <row r="2372">
      <c r="B2372">
        <f>[1]资金台帐!B2372&amp;""</f>
      </c>
      <c r="H2372">
        <f>[1]资金台帐!H2372&amp;""</f>
      </c>
      <c r="J2372">
        <f>[1]资金台帐!J2372&amp;""</f>
      </c>
      <c r="N2372">
        <f>[1]资金台帐!N2372</f>
      </c>
      <c r="O2372">
        <f>[1]资金台帐!O2372&amp;""</f>
      </c>
      <c r="P2372">
        <f>[1]资金台帐!P2372&amp;""</f>
      </c>
      <c r="Q2372">
        <f>[1]资金台帐!Q2372&amp;""</f>
      </c>
      <c r="T2372">
        <f>[1]资金台帐!T2372&amp;""</f>
      </c>
      <c r="U2372">
        <f>[1]资金台帐!U2372&amp;""</f>
      </c>
      <c r="W2372">
        <f>[1]资金台帐!W2372&amp;""</f>
      </c>
      <c r="X2372">
        <f>[1]资金台帐!X2372&amp;""</f>
      </c>
      <c r="AB2372">
        <f>[1]资金台帐!AB2372</f>
        <v>0</v>
      </c>
      <c r="AC2372">
        <f>[1]资金台帐!AC2372</f>
        <v>0</v>
      </c>
      <c r="AD2372">
        <f>[1]资金台帐!AD2372</f>
        <v>0</v>
      </c>
      <c r="AJ2372">
        <f>[1]资金台帐!AJ2372</f>
        <v>0</v>
      </c>
      <c r="AK2372">
        <f>[1]资金台帐!AK2372</f>
        <v>0</v>
      </c>
      <c r="BA2372" s="22">
        <f t="shared" si="0"/>
      </c>
      <c r="BG2372" s="22">
        <f t="shared" si="1"/>
      </c>
      <c r="BH2372" s="22">
        <f t="shared" si="2"/>
        <v>0</v>
      </c>
    </row>
    <row r="2373">
      <c r="B2373">
        <f>[1]资金台帐!B2373&amp;""</f>
      </c>
      <c r="H2373">
        <f>[1]资金台帐!H2373&amp;""</f>
      </c>
      <c r="J2373">
        <f>[1]资金台帐!J2373&amp;""</f>
      </c>
      <c r="N2373">
        <f>[1]资金台帐!N2373</f>
      </c>
      <c r="O2373">
        <f>[1]资金台帐!O2373&amp;""</f>
      </c>
      <c r="P2373">
        <f>[1]资金台帐!P2373&amp;""</f>
      </c>
      <c r="Q2373">
        <f>[1]资金台帐!Q2373&amp;""</f>
      </c>
      <c r="T2373">
        <f>[1]资金台帐!T2373&amp;""</f>
      </c>
      <c r="U2373">
        <f>[1]资金台帐!U2373&amp;""</f>
      </c>
      <c r="W2373">
        <f>[1]资金台帐!W2373&amp;""</f>
      </c>
      <c r="X2373">
        <f>[1]资金台帐!X2373&amp;""</f>
      </c>
      <c r="AB2373">
        <f>[1]资金台帐!AB2373</f>
        <v>0</v>
      </c>
      <c r="AC2373">
        <f>[1]资金台帐!AC2373</f>
        <v>0</v>
      </c>
      <c r="AD2373">
        <f>[1]资金台帐!AD2373</f>
        <v>0</v>
      </c>
      <c r="AJ2373">
        <f>[1]资金台帐!AJ2373</f>
        <v>0</v>
      </c>
      <c r="AK2373">
        <f>[1]资金台帐!AK2373</f>
        <v>0</v>
      </c>
      <c r="BA2373" s="22">
        <f t="shared" si="0"/>
      </c>
      <c r="BG2373" s="22">
        <f t="shared" si="1"/>
      </c>
      <c r="BH2373" s="22">
        <f t="shared" si="2"/>
        <v>0</v>
      </c>
    </row>
    <row r="2374">
      <c r="B2374">
        <f>[1]资金台帐!B2374&amp;""</f>
      </c>
      <c r="H2374">
        <f>[1]资金台帐!H2374&amp;""</f>
      </c>
      <c r="J2374">
        <f>[1]资金台帐!J2374&amp;""</f>
      </c>
      <c r="N2374">
        <f>[1]资金台帐!N2374</f>
      </c>
      <c r="O2374">
        <f>[1]资金台帐!O2374&amp;""</f>
      </c>
      <c r="P2374">
        <f>[1]资金台帐!P2374&amp;""</f>
      </c>
      <c r="Q2374">
        <f>[1]资金台帐!Q2374&amp;""</f>
      </c>
      <c r="T2374">
        <f>[1]资金台帐!T2374&amp;""</f>
      </c>
      <c r="U2374">
        <f>[1]资金台帐!U2374&amp;""</f>
      </c>
      <c r="W2374">
        <f>[1]资金台帐!W2374&amp;""</f>
      </c>
      <c r="X2374">
        <f>[1]资金台帐!X2374&amp;""</f>
      </c>
      <c r="AB2374">
        <f>[1]资金台帐!AB2374</f>
        <v>0</v>
      </c>
      <c r="AC2374">
        <f>[1]资金台帐!AC2374</f>
        <v>0</v>
      </c>
      <c r="AD2374">
        <f>[1]资金台帐!AD2374</f>
        <v>0</v>
      </c>
      <c r="AJ2374">
        <f>[1]资金台帐!AJ2374</f>
        <v>0</v>
      </c>
      <c r="AK2374">
        <f>[1]资金台帐!AK2374</f>
        <v>0</v>
      </c>
      <c r="BA2374" s="22">
        <f t="shared" si="0"/>
      </c>
      <c r="BG2374" s="22">
        <f t="shared" si="1"/>
      </c>
      <c r="BH2374" s="22">
        <f t="shared" si="2"/>
        <v>0</v>
      </c>
    </row>
    <row r="2375">
      <c r="B2375">
        <f>[1]资金台帐!B2375&amp;""</f>
      </c>
      <c r="H2375">
        <f>[1]资金台帐!H2375&amp;""</f>
      </c>
      <c r="J2375">
        <f>[1]资金台帐!J2375&amp;""</f>
      </c>
      <c r="N2375">
        <f>[1]资金台帐!N2375</f>
      </c>
      <c r="O2375">
        <f>[1]资金台帐!O2375&amp;""</f>
      </c>
      <c r="P2375">
        <f>[1]资金台帐!P2375&amp;""</f>
      </c>
      <c r="Q2375">
        <f>[1]资金台帐!Q2375&amp;""</f>
      </c>
      <c r="T2375">
        <f>[1]资金台帐!T2375&amp;""</f>
      </c>
      <c r="U2375">
        <f>[1]资金台帐!U2375&amp;""</f>
      </c>
      <c r="W2375">
        <f>[1]资金台帐!W2375&amp;""</f>
      </c>
      <c r="X2375">
        <f>[1]资金台帐!X2375&amp;""</f>
      </c>
      <c r="AB2375">
        <f>[1]资金台帐!AB2375</f>
        <v>0</v>
      </c>
      <c r="AC2375">
        <f>[1]资金台帐!AC2375</f>
        <v>0</v>
      </c>
      <c r="AD2375">
        <f>[1]资金台帐!AD2375</f>
        <v>0</v>
      </c>
      <c r="AJ2375">
        <f>[1]资金台帐!AJ2375</f>
        <v>0</v>
      </c>
      <c r="AK2375">
        <f>[1]资金台帐!AK2375</f>
        <v>0</v>
      </c>
      <c r="BA2375" s="22">
        <f t="shared" si="0"/>
      </c>
      <c r="BG2375" s="22">
        <f t="shared" si="1"/>
      </c>
      <c r="BH2375" s="22">
        <f t="shared" si="2"/>
        <v>0</v>
      </c>
    </row>
    <row r="2376">
      <c r="B2376">
        <f>[1]资金台帐!B2376&amp;""</f>
      </c>
      <c r="H2376">
        <f>[1]资金台帐!H2376&amp;""</f>
      </c>
      <c r="J2376">
        <f>[1]资金台帐!J2376&amp;""</f>
      </c>
      <c r="N2376">
        <f>[1]资金台帐!N2376</f>
      </c>
      <c r="O2376">
        <f>[1]资金台帐!O2376&amp;""</f>
      </c>
      <c r="P2376">
        <f>[1]资金台帐!P2376&amp;""</f>
      </c>
      <c r="Q2376">
        <f>[1]资金台帐!Q2376&amp;""</f>
      </c>
      <c r="T2376">
        <f>[1]资金台帐!T2376&amp;""</f>
      </c>
      <c r="U2376">
        <f>[1]资金台帐!U2376&amp;""</f>
      </c>
      <c r="W2376">
        <f>[1]资金台帐!W2376&amp;""</f>
      </c>
      <c r="X2376">
        <f>[1]资金台帐!X2376&amp;""</f>
      </c>
      <c r="AB2376">
        <f>[1]资金台帐!AB2376</f>
        <v>0</v>
      </c>
      <c r="AC2376">
        <f>[1]资金台帐!AC2376</f>
        <v>0</v>
      </c>
      <c r="AD2376">
        <f>[1]资金台帐!AD2376</f>
        <v>0</v>
      </c>
      <c r="AJ2376">
        <f>[1]资金台帐!AJ2376</f>
        <v>0</v>
      </c>
      <c r="AK2376">
        <f>[1]资金台帐!AK2376</f>
        <v>0</v>
      </c>
      <c r="BA2376" s="22">
        <f t="shared" si="0"/>
      </c>
      <c r="BG2376" s="22">
        <f t="shared" si="1"/>
      </c>
      <c r="BH2376" s="22">
        <f t="shared" si="2"/>
        <v>0</v>
      </c>
    </row>
    <row r="2377">
      <c r="B2377">
        <f>[1]资金台帐!B2377&amp;""</f>
      </c>
      <c r="H2377">
        <f>[1]资金台帐!H2377&amp;""</f>
      </c>
      <c r="J2377">
        <f>[1]资金台帐!J2377&amp;""</f>
      </c>
      <c r="N2377">
        <f>[1]资金台帐!N2377</f>
      </c>
      <c r="O2377">
        <f>[1]资金台帐!O2377&amp;""</f>
      </c>
      <c r="P2377">
        <f>[1]资金台帐!P2377&amp;""</f>
      </c>
      <c r="Q2377">
        <f>[1]资金台帐!Q2377&amp;""</f>
      </c>
      <c r="T2377">
        <f>[1]资金台帐!T2377&amp;""</f>
      </c>
      <c r="U2377">
        <f>[1]资金台帐!U2377&amp;""</f>
      </c>
      <c r="W2377">
        <f>[1]资金台帐!W2377&amp;""</f>
      </c>
      <c r="X2377">
        <f>[1]资金台帐!X2377&amp;""</f>
      </c>
      <c r="AB2377">
        <f>[1]资金台帐!AB2377</f>
        <v>0</v>
      </c>
      <c r="AC2377">
        <f>[1]资金台帐!AC2377</f>
        <v>0</v>
      </c>
      <c r="AD2377">
        <f>[1]资金台帐!AD2377</f>
        <v>0</v>
      </c>
      <c r="AJ2377">
        <f>[1]资金台帐!AJ2377</f>
        <v>0</v>
      </c>
      <c r="AK2377">
        <f>[1]资金台帐!AK2377</f>
        <v>0</v>
      </c>
      <c r="BA2377" s="22">
        <f t="shared" si="0"/>
      </c>
      <c r="BG2377" s="22">
        <f t="shared" si="1"/>
      </c>
      <c r="BH2377" s="22">
        <f t="shared" si="2"/>
        <v>0</v>
      </c>
    </row>
    <row r="2378">
      <c r="B2378">
        <f>[1]资金台帐!B2378&amp;""</f>
      </c>
      <c r="H2378">
        <f>[1]资金台帐!H2378&amp;""</f>
      </c>
      <c r="J2378">
        <f>[1]资金台帐!J2378&amp;""</f>
      </c>
      <c r="N2378">
        <f>[1]资金台帐!N2378</f>
      </c>
      <c r="O2378">
        <f>[1]资金台帐!O2378&amp;""</f>
      </c>
      <c r="P2378">
        <f>[1]资金台帐!P2378&amp;""</f>
      </c>
      <c r="Q2378">
        <f>[1]资金台帐!Q2378&amp;""</f>
      </c>
      <c r="T2378">
        <f>[1]资金台帐!T2378&amp;""</f>
      </c>
      <c r="U2378">
        <f>[1]资金台帐!U2378&amp;""</f>
      </c>
      <c r="W2378">
        <f>[1]资金台帐!W2378&amp;""</f>
      </c>
      <c r="X2378">
        <f>[1]资金台帐!X2378&amp;""</f>
      </c>
      <c r="AB2378">
        <f>[1]资金台帐!AB2378</f>
        <v>0</v>
      </c>
      <c r="AC2378">
        <f>[1]资金台帐!AC2378</f>
        <v>0</v>
      </c>
      <c r="AD2378">
        <f>[1]资金台帐!AD2378</f>
        <v>0</v>
      </c>
      <c r="AJ2378">
        <f>[1]资金台帐!AJ2378</f>
        <v>0</v>
      </c>
      <c r="AK2378">
        <f>[1]资金台帐!AK2378</f>
        <v>0</v>
      </c>
      <c r="BA2378" s="22">
        <f t="shared" si="0"/>
      </c>
      <c r="BG2378" s="22">
        <f t="shared" si="1"/>
      </c>
      <c r="BH2378" s="22">
        <f t="shared" si="2"/>
        <v>0</v>
      </c>
    </row>
    <row r="2379">
      <c r="B2379">
        <f>[1]资金台帐!B2379&amp;""</f>
      </c>
      <c r="H2379">
        <f>[1]资金台帐!H2379&amp;""</f>
      </c>
      <c r="J2379">
        <f>[1]资金台帐!J2379&amp;""</f>
      </c>
      <c r="N2379">
        <f>[1]资金台帐!N2379</f>
      </c>
      <c r="O2379">
        <f>[1]资金台帐!O2379&amp;""</f>
      </c>
      <c r="P2379">
        <f>[1]资金台帐!P2379&amp;""</f>
      </c>
      <c r="Q2379">
        <f>[1]资金台帐!Q2379&amp;""</f>
      </c>
      <c r="T2379">
        <f>[1]资金台帐!T2379&amp;""</f>
      </c>
      <c r="U2379">
        <f>[1]资金台帐!U2379&amp;""</f>
      </c>
      <c r="W2379">
        <f>[1]资金台帐!W2379&amp;""</f>
      </c>
      <c r="X2379">
        <f>[1]资金台帐!X2379&amp;""</f>
      </c>
      <c r="AB2379">
        <f>[1]资金台帐!AB2379</f>
        <v>0</v>
      </c>
      <c r="AC2379">
        <f>[1]资金台帐!AC2379</f>
        <v>0</v>
      </c>
      <c r="AD2379">
        <f>[1]资金台帐!AD2379</f>
        <v>0</v>
      </c>
      <c r="AJ2379">
        <f>[1]资金台帐!AJ2379</f>
        <v>0</v>
      </c>
      <c r="AK2379">
        <f>[1]资金台帐!AK2379</f>
        <v>0</v>
      </c>
      <c r="BA2379" s="22">
        <f t="shared" si="0"/>
      </c>
      <c r="BG2379" s="22">
        <f t="shared" si="1"/>
      </c>
      <c r="BH2379" s="22">
        <f t="shared" si="2"/>
        <v>0</v>
      </c>
    </row>
    <row r="2380">
      <c r="B2380">
        <f>[1]资金台帐!B2380&amp;""</f>
      </c>
      <c r="H2380">
        <f>[1]资金台帐!H2380&amp;""</f>
      </c>
      <c r="J2380">
        <f>[1]资金台帐!J2380&amp;""</f>
      </c>
      <c r="N2380">
        <f>[1]资金台帐!N2380</f>
      </c>
      <c r="O2380">
        <f>[1]资金台帐!O2380&amp;""</f>
      </c>
      <c r="P2380">
        <f>[1]资金台帐!P2380&amp;""</f>
      </c>
      <c r="Q2380">
        <f>[1]资金台帐!Q2380&amp;""</f>
      </c>
      <c r="T2380">
        <f>[1]资金台帐!T2380&amp;""</f>
      </c>
      <c r="U2380">
        <f>[1]资金台帐!U2380&amp;""</f>
      </c>
      <c r="W2380">
        <f>[1]资金台帐!W2380&amp;""</f>
      </c>
      <c r="X2380">
        <f>[1]资金台帐!X2380&amp;""</f>
      </c>
      <c r="AB2380">
        <f>[1]资金台帐!AB2380</f>
        <v>0</v>
      </c>
      <c r="AC2380">
        <f>[1]资金台帐!AC2380</f>
        <v>0</v>
      </c>
      <c r="AD2380">
        <f>[1]资金台帐!AD2380</f>
        <v>0</v>
      </c>
      <c r="AJ2380">
        <f>[1]资金台帐!AJ2380</f>
        <v>0</v>
      </c>
      <c r="AK2380">
        <f>[1]资金台帐!AK2380</f>
        <v>0</v>
      </c>
      <c r="BA2380" s="22">
        <f t="shared" si="0"/>
      </c>
      <c r="BG2380" s="22">
        <f t="shared" si="1"/>
      </c>
      <c r="BH2380" s="22">
        <f t="shared" si="2"/>
        <v>0</v>
      </c>
    </row>
    <row r="2381">
      <c r="B2381">
        <f>[1]资金台帐!B2381&amp;""</f>
      </c>
      <c r="H2381">
        <f>[1]资金台帐!H2381&amp;""</f>
      </c>
      <c r="J2381">
        <f>[1]资金台帐!J2381&amp;""</f>
      </c>
      <c r="N2381">
        <f>[1]资金台帐!N2381</f>
      </c>
      <c r="O2381">
        <f>[1]资金台帐!O2381&amp;""</f>
      </c>
      <c r="P2381">
        <f>[1]资金台帐!P2381&amp;""</f>
      </c>
      <c r="Q2381">
        <f>[1]资金台帐!Q2381&amp;""</f>
      </c>
      <c r="T2381">
        <f>[1]资金台帐!T2381&amp;""</f>
      </c>
      <c r="U2381">
        <f>[1]资金台帐!U2381&amp;""</f>
      </c>
      <c r="W2381">
        <f>[1]资金台帐!W2381&amp;""</f>
      </c>
      <c r="X2381">
        <f>[1]资金台帐!X2381&amp;""</f>
      </c>
      <c r="AB2381">
        <f>[1]资金台帐!AB2381</f>
        <v>0</v>
      </c>
      <c r="AC2381">
        <f>[1]资金台帐!AC2381</f>
        <v>0</v>
      </c>
      <c r="AD2381">
        <f>[1]资金台帐!AD2381</f>
        <v>0</v>
      </c>
      <c r="AJ2381">
        <f>[1]资金台帐!AJ2381</f>
        <v>0</v>
      </c>
      <c r="AK2381">
        <f>[1]资金台帐!AK2381</f>
        <v>0</v>
      </c>
      <c r="BA2381" s="22">
        <f t="shared" si="0"/>
      </c>
      <c r="BG2381" s="22">
        <f t="shared" si="1"/>
      </c>
      <c r="BH2381" s="22">
        <f t="shared" si="2"/>
        <v>0</v>
      </c>
    </row>
    <row r="2382">
      <c r="B2382">
        <f>[1]资金台帐!B2382&amp;""</f>
      </c>
      <c r="H2382">
        <f>[1]资金台帐!H2382&amp;""</f>
      </c>
      <c r="J2382">
        <f>[1]资金台帐!J2382&amp;""</f>
      </c>
      <c r="N2382">
        <f>[1]资金台帐!N2382</f>
      </c>
      <c r="O2382">
        <f>[1]资金台帐!O2382&amp;""</f>
      </c>
      <c r="P2382">
        <f>[1]资金台帐!P2382&amp;""</f>
      </c>
      <c r="Q2382">
        <f>[1]资金台帐!Q2382&amp;""</f>
      </c>
      <c r="T2382">
        <f>[1]资金台帐!T2382&amp;""</f>
      </c>
      <c r="U2382">
        <f>[1]资金台帐!U2382&amp;""</f>
      </c>
      <c r="W2382">
        <f>[1]资金台帐!W2382&amp;""</f>
      </c>
      <c r="X2382">
        <f>[1]资金台帐!X2382&amp;""</f>
      </c>
      <c r="AB2382">
        <f>[1]资金台帐!AB2382</f>
        <v>0</v>
      </c>
      <c r="AC2382">
        <f>[1]资金台帐!AC2382</f>
        <v>0</v>
      </c>
      <c r="AD2382">
        <f>[1]资金台帐!AD2382</f>
        <v>0</v>
      </c>
      <c r="AJ2382">
        <f>[1]资金台帐!AJ2382</f>
        <v>0</v>
      </c>
      <c r="AK2382">
        <f>[1]资金台帐!AK2382</f>
        <v>0</v>
      </c>
      <c r="BA2382" s="22">
        <f t="shared" si="0"/>
      </c>
      <c r="BG2382" s="22">
        <f t="shared" si="1"/>
      </c>
      <c r="BH2382" s="22">
        <f t="shared" si="2"/>
        <v>0</v>
      </c>
    </row>
    <row r="2383">
      <c r="B2383">
        <f>[1]资金台帐!B2383&amp;""</f>
      </c>
      <c r="H2383">
        <f>[1]资金台帐!H2383&amp;""</f>
      </c>
      <c r="J2383">
        <f>[1]资金台帐!J2383&amp;""</f>
      </c>
      <c r="N2383">
        <f>[1]资金台帐!N2383</f>
      </c>
      <c r="O2383">
        <f>[1]资金台帐!O2383&amp;""</f>
      </c>
      <c r="P2383">
        <f>[1]资金台帐!P2383&amp;""</f>
      </c>
      <c r="Q2383">
        <f>[1]资金台帐!Q2383&amp;""</f>
      </c>
      <c r="T2383">
        <f>[1]资金台帐!T2383&amp;""</f>
      </c>
      <c r="U2383">
        <f>[1]资金台帐!U2383&amp;""</f>
      </c>
      <c r="W2383">
        <f>[1]资金台帐!W2383&amp;""</f>
      </c>
      <c r="X2383">
        <f>[1]资金台帐!X2383&amp;""</f>
      </c>
      <c r="AB2383">
        <f>[1]资金台帐!AB2383</f>
        <v>0</v>
      </c>
      <c r="AC2383">
        <f>[1]资金台帐!AC2383</f>
        <v>0</v>
      </c>
      <c r="AD2383">
        <f>[1]资金台帐!AD2383</f>
        <v>0</v>
      </c>
      <c r="AJ2383">
        <f>[1]资金台帐!AJ2383</f>
        <v>0</v>
      </c>
      <c r="AK2383">
        <f>[1]资金台帐!AK2383</f>
        <v>0</v>
      </c>
      <c r="BA2383" s="22">
        <f t="shared" si="0"/>
      </c>
      <c r="BG2383" s="22">
        <f t="shared" si="1"/>
      </c>
      <c r="BH2383" s="22">
        <f t="shared" si="2"/>
        <v>0</v>
      </c>
    </row>
    <row r="2384">
      <c r="B2384">
        <f>[1]资金台帐!B2384&amp;""</f>
      </c>
      <c r="H2384">
        <f>[1]资金台帐!H2384&amp;""</f>
      </c>
      <c r="J2384">
        <f>[1]资金台帐!J2384&amp;""</f>
      </c>
      <c r="N2384">
        <f>[1]资金台帐!N2384</f>
      </c>
      <c r="O2384">
        <f>[1]资金台帐!O2384&amp;""</f>
      </c>
      <c r="P2384">
        <f>[1]资金台帐!P2384&amp;""</f>
      </c>
      <c r="Q2384">
        <f>[1]资金台帐!Q2384&amp;""</f>
      </c>
      <c r="T2384">
        <f>[1]资金台帐!T2384&amp;""</f>
      </c>
      <c r="U2384">
        <f>[1]资金台帐!U2384&amp;""</f>
      </c>
      <c r="W2384">
        <f>[1]资金台帐!W2384&amp;""</f>
      </c>
      <c r="X2384">
        <f>[1]资金台帐!X2384&amp;""</f>
      </c>
      <c r="AB2384">
        <f>[1]资金台帐!AB2384</f>
        <v>0</v>
      </c>
      <c r="AC2384">
        <f>[1]资金台帐!AC2384</f>
        <v>0</v>
      </c>
      <c r="AD2384">
        <f>[1]资金台帐!AD2384</f>
        <v>0</v>
      </c>
      <c r="AJ2384">
        <f>[1]资金台帐!AJ2384</f>
        <v>0</v>
      </c>
      <c r="AK2384">
        <f>[1]资金台帐!AK2384</f>
        <v>0</v>
      </c>
      <c r="BA2384" s="22">
        <f t="shared" si="0"/>
      </c>
      <c r="BG2384" s="22">
        <f t="shared" si="1"/>
      </c>
      <c r="BH2384" s="22">
        <f t="shared" si="2"/>
        <v>0</v>
      </c>
    </row>
    <row r="2385">
      <c r="B2385">
        <f>[1]资金台帐!B2385&amp;""</f>
      </c>
      <c r="H2385">
        <f>[1]资金台帐!H2385&amp;""</f>
      </c>
      <c r="J2385">
        <f>[1]资金台帐!J2385&amp;""</f>
      </c>
      <c r="N2385">
        <f>[1]资金台帐!N2385</f>
      </c>
      <c r="O2385">
        <f>[1]资金台帐!O2385&amp;""</f>
      </c>
      <c r="P2385">
        <f>[1]资金台帐!P2385&amp;""</f>
      </c>
      <c r="Q2385">
        <f>[1]资金台帐!Q2385&amp;""</f>
      </c>
      <c r="T2385">
        <f>[1]资金台帐!T2385&amp;""</f>
      </c>
      <c r="U2385">
        <f>[1]资金台帐!U2385&amp;""</f>
      </c>
      <c r="W2385">
        <f>[1]资金台帐!W2385&amp;""</f>
      </c>
      <c r="X2385">
        <f>[1]资金台帐!X2385&amp;""</f>
      </c>
      <c r="AB2385">
        <f>[1]资金台帐!AB2385</f>
        <v>0</v>
      </c>
      <c r="AC2385">
        <f>[1]资金台帐!AC2385</f>
        <v>0</v>
      </c>
      <c r="AD2385">
        <f>[1]资金台帐!AD2385</f>
        <v>0</v>
      </c>
      <c r="AJ2385">
        <f>[1]资金台帐!AJ2385</f>
        <v>0</v>
      </c>
      <c r="AK2385">
        <f>[1]资金台帐!AK2385</f>
        <v>0</v>
      </c>
      <c r="BA2385" s="22">
        <f t="shared" si="0"/>
      </c>
      <c r="BG2385" s="22">
        <f t="shared" si="1"/>
      </c>
      <c r="BH2385" s="22">
        <f t="shared" si="2"/>
        <v>0</v>
      </c>
    </row>
    <row r="2386">
      <c r="B2386">
        <f>[1]资金台帐!B2386&amp;""</f>
      </c>
      <c r="H2386">
        <f>[1]资金台帐!H2386&amp;""</f>
      </c>
      <c r="J2386">
        <f>[1]资金台帐!J2386&amp;""</f>
      </c>
      <c r="N2386">
        <f>[1]资金台帐!N2386</f>
      </c>
      <c r="O2386">
        <f>[1]资金台帐!O2386&amp;""</f>
      </c>
      <c r="P2386">
        <f>[1]资金台帐!P2386&amp;""</f>
      </c>
      <c r="Q2386">
        <f>[1]资金台帐!Q2386&amp;""</f>
      </c>
      <c r="T2386">
        <f>[1]资金台帐!T2386&amp;""</f>
      </c>
      <c r="U2386">
        <f>[1]资金台帐!U2386&amp;""</f>
      </c>
      <c r="W2386">
        <f>[1]资金台帐!W2386&amp;""</f>
      </c>
      <c r="X2386">
        <f>[1]资金台帐!X2386&amp;""</f>
      </c>
      <c r="AB2386">
        <f>[1]资金台帐!AB2386</f>
        <v>0</v>
      </c>
      <c r="AC2386">
        <f>[1]资金台帐!AC2386</f>
        <v>0</v>
      </c>
      <c r="AD2386">
        <f>[1]资金台帐!AD2386</f>
        <v>0</v>
      </c>
      <c r="AJ2386">
        <f>[1]资金台帐!AJ2386</f>
        <v>0</v>
      </c>
      <c r="AK2386">
        <f>[1]资金台帐!AK2386</f>
        <v>0</v>
      </c>
      <c r="BA2386" s="22">
        <f t="shared" si="0"/>
      </c>
      <c r="BG2386" s="22">
        <f t="shared" si="1"/>
      </c>
      <c r="BH2386" s="22">
        <f t="shared" si="2"/>
        <v>0</v>
      </c>
    </row>
    <row r="2387">
      <c r="B2387">
        <f>[1]资金台帐!B2387&amp;""</f>
      </c>
      <c r="H2387">
        <f>[1]资金台帐!H2387&amp;""</f>
      </c>
      <c r="J2387">
        <f>[1]资金台帐!J2387&amp;""</f>
      </c>
      <c r="N2387">
        <f>[1]资金台帐!N2387</f>
      </c>
      <c r="O2387">
        <f>[1]资金台帐!O2387&amp;""</f>
      </c>
      <c r="P2387">
        <f>[1]资金台帐!P2387&amp;""</f>
      </c>
      <c r="Q2387">
        <f>[1]资金台帐!Q2387&amp;""</f>
      </c>
      <c r="T2387">
        <f>[1]资金台帐!T2387&amp;""</f>
      </c>
      <c r="U2387">
        <f>[1]资金台帐!U2387&amp;""</f>
      </c>
      <c r="W2387">
        <f>[1]资金台帐!W2387&amp;""</f>
      </c>
      <c r="X2387">
        <f>[1]资金台帐!X2387&amp;""</f>
      </c>
      <c r="AB2387">
        <f>[1]资金台帐!AB2387</f>
        <v>0</v>
      </c>
      <c r="AC2387">
        <f>[1]资金台帐!AC2387</f>
        <v>0</v>
      </c>
      <c r="AD2387">
        <f>[1]资金台帐!AD2387</f>
        <v>0</v>
      </c>
      <c r="AJ2387">
        <f>[1]资金台帐!AJ2387</f>
        <v>0</v>
      </c>
      <c r="AK2387">
        <f>[1]资金台帐!AK2387</f>
        <v>0</v>
      </c>
      <c r="BA2387" s="22">
        <f t="shared" si="0"/>
      </c>
      <c r="BG2387" s="22">
        <f t="shared" si="1"/>
      </c>
      <c r="BH2387" s="22">
        <f t="shared" si="2"/>
        <v>0</v>
      </c>
    </row>
    <row r="2388">
      <c r="B2388">
        <f>[1]资金台帐!B2388&amp;""</f>
      </c>
      <c r="H2388">
        <f>[1]资金台帐!H2388&amp;""</f>
      </c>
      <c r="J2388">
        <f>[1]资金台帐!J2388&amp;""</f>
      </c>
      <c r="N2388">
        <f>[1]资金台帐!N2388</f>
      </c>
      <c r="O2388">
        <f>[1]资金台帐!O2388&amp;""</f>
      </c>
      <c r="P2388">
        <f>[1]资金台帐!P2388&amp;""</f>
      </c>
      <c r="Q2388">
        <f>[1]资金台帐!Q2388&amp;""</f>
      </c>
      <c r="T2388">
        <f>[1]资金台帐!T2388&amp;""</f>
      </c>
      <c r="U2388">
        <f>[1]资金台帐!U2388&amp;""</f>
      </c>
      <c r="W2388">
        <f>[1]资金台帐!W2388&amp;""</f>
      </c>
      <c r="X2388">
        <f>[1]资金台帐!X2388&amp;""</f>
      </c>
      <c r="AB2388">
        <f>[1]资金台帐!AB2388</f>
        <v>0</v>
      </c>
      <c r="AC2388">
        <f>[1]资金台帐!AC2388</f>
        <v>0</v>
      </c>
      <c r="AD2388">
        <f>[1]资金台帐!AD2388</f>
        <v>0</v>
      </c>
      <c r="AJ2388">
        <f>[1]资金台帐!AJ2388</f>
        <v>0</v>
      </c>
      <c r="AK2388">
        <f>[1]资金台帐!AK2388</f>
        <v>0</v>
      </c>
      <c r="BA2388" s="22">
        <f t="shared" si="0"/>
      </c>
      <c r="BG2388" s="22">
        <f t="shared" si="1"/>
      </c>
      <c r="BH2388" s="22">
        <f t="shared" si="2"/>
        <v>0</v>
      </c>
    </row>
    <row r="2389">
      <c r="B2389">
        <f>[1]资金台帐!B2389&amp;""</f>
      </c>
      <c r="H2389">
        <f>[1]资金台帐!H2389&amp;""</f>
      </c>
      <c r="J2389">
        <f>[1]资金台帐!J2389&amp;""</f>
      </c>
      <c r="N2389">
        <f>[1]资金台帐!N2389</f>
      </c>
      <c r="O2389">
        <f>[1]资金台帐!O2389&amp;""</f>
      </c>
      <c r="P2389">
        <f>[1]资金台帐!P2389&amp;""</f>
      </c>
      <c r="Q2389">
        <f>[1]资金台帐!Q2389&amp;""</f>
      </c>
      <c r="T2389">
        <f>[1]资金台帐!T2389&amp;""</f>
      </c>
      <c r="U2389">
        <f>[1]资金台帐!U2389&amp;""</f>
      </c>
      <c r="W2389">
        <f>[1]资金台帐!W2389&amp;""</f>
      </c>
      <c r="X2389">
        <f>[1]资金台帐!X2389&amp;""</f>
      </c>
      <c r="AB2389">
        <f>[1]资金台帐!AB2389</f>
        <v>0</v>
      </c>
      <c r="AC2389">
        <f>[1]资金台帐!AC2389</f>
        <v>0</v>
      </c>
      <c r="AD2389">
        <f>[1]资金台帐!AD2389</f>
        <v>0</v>
      </c>
      <c r="AJ2389">
        <f>[1]资金台帐!AJ2389</f>
        <v>0</v>
      </c>
      <c r="AK2389">
        <f>[1]资金台帐!AK2389</f>
        <v>0</v>
      </c>
      <c r="BA2389" s="22">
        <f t="shared" si="0"/>
      </c>
      <c r="BG2389" s="22">
        <f t="shared" si="1"/>
      </c>
      <c r="BH2389" s="22">
        <f t="shared" si="2"/>
        <v>0</v>
      </c>
    </row>
    <row r="2390">
      <c r="B2390">
        <f>[1]资金台帐!B2390&amp;""</f>
      </c>
      <c r="H2390">
        <f>[1]资金台帐!H2390&amp;""</f>
      </c>
      <c r="J2390">
        <f>[1]资金台帐!J2390&amp;""</f>
      </c>
      <c r="N2390">
        <f>[1]资金台帐!N2390</f>
      </c>
      <c r="O2390">
        <f>[1]资金台帐!O2390&amp;""</f>
      </c>
      <c r="P2390">
        <f>[1]资金台帐!P2390&amp;""</f>
      </c>
      <c r="Q2390">
        <f>[1]资金台帐!Q2390&amp;""</f>
      </c>
      <c r="T2390">
        <f>[1]资金台帐!T2390&amp;""</f>
      </c>
      <c r="U2390">
        <f>[1]资金台帐!U2390&amp;""</f>
      </c>
      <c r="W2390">
        <f>[1]资金台帐!W2390&amp;""</f>
      </c>
      <c r="X2390">
        <f>[1]资金台帐!X2390&amp;""</f>
      </c>
      <c r="AB2390">
        <f>[1]资金台帐!AB2390</f>
        <v>0</v>
      </c>
      <c r="AC2390">
        <f>[1]资金台帐!AC2390</f>
        <v>0</v>
      </c>
      <c r="AD2390">
        <f>[1]资金台帐!AD2390</f>
        <v>0</v>
      </c>
      <c r="AJ2390">
        <f>[1]资金台帐!AJ2390</f>
        <v>0</v>
      </c>
      <c r="AK2390">
        <f>[1]资金台帐!AK2390</f>
        <v>0</v>
      </c>
      <c r="BA2390" s="22">
        <f t="shared" si="0"/>
      </c>
      <c r="BG2390" s="22">
        <f t="shared" si="1"/>
      </c>
      <c r="BH2390" s="22">
        <f t="shared" si="2"/>
        <v>0</v>
      </c>
    </row>
    <row r="2391">
      <c r="B2391">
        <f>[1]资金台帐!B2391&amp;""</f>
      </c>
      <c r="H2391">
        <f>[1]资金台帐!H2391&amp;""</f>
      </c>
      <c r="J2391">
        <f>[1]资金台帐!J2391&amp;""</f>
      </c>
      <c r="N2391">
        <f>[1]资金台帐!N2391</f>
      </c>
      <c r="O2391">
        <f>[1]资金台帐!O2391&amp;""</f>
      </c>
      <c r="P2391">
        <f>[1]资金台帐!P2391&amp;""</f>
      </c>
      <c r="Q2391">
        <f>[1]资金台帐!Q2391&amp;""</f>
      </c>
      <c r="T2391">
        <f>[1]资金台帐!T2391&amp;""</f>
      </c>
      <c r="U2391">
        <f>[1]资金台帐!U2391&amp;""</f>
      </c>
      <c r="W2391">
        <f>[1]资金台帐!W2391&amp;""</f>
      </c>
      <c r="X2391">
        <f>[1]资金台帐!X2391&amp;""</f>
      </c>
      <c r="AB2391">
        <f>[1]资金台帐!AB2391</f>
        <v>0</v>
      </c>
      <c r="AC2391">
        <f>[1]资金台帐!AC2391</f>
        <v>0</v>
      </c>
      <c r="AD2391">
        <f>[1]资金台帐!AD2391</f>
        <v>0</v>
      </c>
      <c r="AJ2391">
        <f>[1]资金台帐!AJ2391</f>
        <v>0</v>
      </c>
      <c r="AK2391">
        <f>[1]资金台帐!AK2391</f>
        <v>0</v>
      </c>
      <c r="BA2391" s="22">
        <f t="shared" si="0"/>
      </c>
      <c r="BG2391" s="22">
        <f t="shared" si="1"/>
      </c>
      <c r="BH2391" s="22">
        <f t="shared" si="2"/>
        <v>0</v>
      </c>
    </row>
    <row r="2392">
      <c r="B2392">
        <f>[1]资金台帐!B2392&amp;""</f>
      </c>
      <c r="H2392">
        <f>[1]资金台帐!H2392&amp;""</f>
      </c>
      <c r="J2392">
        <f>[1]资金台帐!J2392&amp;""</f>
      </c>
      <c r="N2392">
        <f>[1]资金台帐!N2392</f>
      </c>
      <c r="O2392">
        <f>[1]资金台帐!O2392&amp;""</f>
      </c>
      <c r="P2392">
        <f>[1]资金台帐!P2392&amp;""</f>
      </c>
      <c r="Q2392">
        <f>[1]资金台帐!Q2392&amp;""</f>
      </c>
      <c r="T2392">
        <f>[1]资金台帐!T2392&amp;""</f>
      </c>
      <c r="U2392">
        <f>[1]资金台帐!U2392&amp;""</f>
      </c>
      <c r="W2392">
        <f>[1]资金台帐!W2392&amp;""</f>
      </c>
      <c r="X2392">
        <f>[1]资金台帐!X2392&amp;""</f>
      </c>
      <c r="AB2392">
        <f>[1]资金台帐!AB2392</f>
        <v>0</v>
      </c>
      <c r="AC2392">
        <f>[1]资金台帐!AC2392</f>
        <v>0</v>
      </c>
      <c r="AD2392">
        <f>[1]资金台帐!AD2392</f>
        <v>0</v>
      </c>
      <c r="AJ2392">
        <f>[1]资金台帐!AJ2392</f>
        <v>0</v>
      </c>
      <c r="AK2392">
        <f>[1]资金台帐!AK2392</f>
        <v>0</v>
      </c>
      <c r="BA2392" s="22">
        <f t="shared" si="0"/>
      </c>
      <c r="BG2392" s="22">
        <f t="shared" si="1"/>
      </c>
      <c r="BH2392" s="22">
        <f t="shared" si="2"/>
        <v>0</v>
      </c>
    </row>
    <row r="2393">
      <c r="B2393">
        <f>[1]资金台帐!B2393&amp;""</f>
      </c>
      <c r="H2393">
        <f>[1]资金台帐!H2393&amp;""</f>
      </c>
      <c r="J2393">
        <f>[1]资金台帐!J2393&amp;""</f>
      </c>
      <c r="N2393">
        <f>[1]资金台帐!N2393</f>
      </c>
      <c r="O2393">
        <f>[1]资金台帐!O2393&amp;""</f>
      </c>
      <c r="P2393">
        <f>[1]资金台帐!P2393&amp;""</f>
      </c>
      <c r="Q2393">
        <f>[1]资金台帐!Q2393&amp;""</f>
      </c>
      <c r="T2393">
        <f>[1]资金台帐!T2393&amp;""</f>
      </c>
      <c r="U2393">
        <f>[1]资金台帐!U2393&amp;""</f>
      </c>
      <c r="W2393">
        <f>[1]资金台帐!W2393&amp;""</f>
      </c>
      <c r="X2393">
        <f>[1]资金台帐!X2393&amp;""</f>
      </c>
      <c r="AB2393">
        <f>[1]资金台帐!AB2393</f>
        <v>0</v>
      </c>
      <c r="AC2393">
        <f>[1]资金台帐!AC2393</f>
        <v>0</v>
      </c>
      <c r="AD2393">
        <f>[1]资金台帐!AD2393</f>
        <v>0</v>
      </c>
      <c r="AJ2393">
        <f>[1]资金台帐!AJ2393</f>
        <v>0</v>
      </c>
      <c r="AK2393">
        <f>[1]资金台帐!AK2393</f>
        <v>0</v>
      </c>
      <c r="BA2393" s="22">
        <f t="shared" si="0"/>
      </c>
      <c r="BG2393" s="22">
        <f t="shared" si="1"/>
      </c>
      <c r="BH2393" s="22">
        <f t="shared" si="2"/>
        <v>0</v>
      </c>
    </row>
    <row r="2394">
      <c r="B2394">
        <f>[1]资金台帐!B2394&amp;""</f>
      </c>
      <c r="H2394">
        <f>[1]资金台帐!H2394&amp;""</f>
      </c>
      <c r="J2394">
        <f>[1]资金台帐!J2394&amp;""</f>
      </c>
      <c r="N2394">
        <f>[1]资金台帐!N2394</f>
      </c>
      <c r="O2394">
        <f>[1]资金台帐!O2394&amp;""</f>
      </c>
      <c r="P2394">
        <f>[1]资金台帐!P2394&amp;""</f>
      </c>
      <c r="Q2394">
        <f>[1]资金台帐!Q2394&amp;""</f>
      </c>
      <c r="T2394">
        <f>[1]资金台帐!T2394&amp;""</f>
      </c>
      <c r="U2394">
        <f>[1]资金台帐!U2394&amp;""</f>
      </c>
      <c r="W2394">
        <f>[1]资金台帐!W2394&amp;""</f>
      </c>
      <c r="X2394">
        <f>[1]资金台帐!X2394&amp;""</f>
      </c>
      <c r="AB2394">
        <f>[1]资金台帐!AB2394</f>
        <v>0</v>
      </c>
      <c r="AC2394">
        <f>[1]资金台帐!AC2394</f>
        <v>0</v>
      </c>
      <c r="AD2394">
        <f>[1]资金台帐!AD2394</f>
        <v>0</v>
      </c>
      <c r="AJ2394">
        <f>[1]资金台帐!AJ2394</f>
        <v>0</v>
      </c>
      <c r="AK2394">
        <f>[1]资金台帐!AK2394</f>
        <v>0</v>
      </c>
      <c r="BA2394" s="22">
        <f t="shared" si="0"/>
      </c>
      <c r="BG2394" s="22">
        <f t="shared" si="1"/>
      </c>
      <c r="BH2394" s="22">
        <f t="shared" si="2"/>
        <v>0</v>
      </c>
    </row>
    <row r="2395">
      <c r="B2395">
        <f>[1]资金台帐!B2395&amp;""</f>
      </c>
      <c r="H2395">
        <f>[1]资金台帐!H2395&amp;""</f>
      </c>
      <c r="J2395">
        <f>[1]资金台帐!J2395&amp;""</f>
      </c>
      <c r="N2395">
        <f>[1]资金台帐!N2395</f>
      </c>
      <c r="O2395">
        <f>[1]资金台帐!O2395&amp;""</f>
      </c>
      <c r="P2395">
        <f>[1]资金台帐!P2395&amp;""</f>
      </c>
      <c r="Q2395">
        <f>[1]资金台帐!Q2395&amp;""</f>
      </c>
      <c r="T2395">
        <f>[1]资金台帐!T2395&amp;""</f>
      </c>
      <c r="U2395">
        <f>[1]资金台帐!U2395&amp;""</f>
      </c>
      <c r="W2395">
        <f>[1]资金台帐!W2395&amp;""</f>
      </c>
      <c r="X2395">
        <f>[1]资金台帐!X2395&amp;""</f>
      </c>
      <c r="AB2395">
        <f>[1]资金台帐!AB2395</f>
        <v>0</v>
      </c>
      <c r="AC2395">
        <f>[1]资金台帐!AC2395</f>
        <v>0</v>
      </c>
      <c r="AD2395">
        <f>[1]资金台帐!AD2395</f>
        <v>0</v>
      </c>
      <c r="AJ2395">
        <f>[1]资金台帐!AJ2395</f>
        <v>0</v>
      </c>
      <c r="AK2395">
        <f>[1]资金台帐!AK2395</f>
        <v>0</v>
      </c>
      <c r="BA2395" s="22">
        <f t="shared" si="0"/>
      </c>
      <c r="BG2395" s="22">
        <f t="shared" si="1"/>
      </c>
      <c r="BH2395" s="22">
        <f t="shared" si="2"/>
        <v>0</v>
      </c>
    </row>
    <row r="2396">
      <c r="B2396">
        <f>[1]资金台帐!B2396&amp;""</f>
      </c>
      <c r="H2396">
        <f>[1]资金台帐!H2396&amp;""</f>
      </c>
      <c r="J2396">
        <f>[1]资金台帐!J2396&amp;""</f>
      </c>
      <c r="N2396">
        <f>[1]资金台帐!N2396</f>
      </c>
      <c r="O2396">
        <f>[1]资金台帐!O2396&amp;""</f>
      </c>
      <c r="P2396">
        <f>[1]资金台帐!P2396&amp;""</f>
      </c>
      <c r="Q2396">
        <f>[1]资金台帐!Q2396&amp;""</f>
      </c>
      <c r="T2396">
        <f>[1]资金台帐!T2396&amp;""</f>
      </c>
      <c r="U2396">
        <f>[1]资金台帐!U2396&amp;""</f>
      </c>
      <c r="W2396">
        <f>[1]资金台帐!W2396&amp;""</f>
      </c>
      <c r="X2396">
        <f>[1]资金台帐!X2396&amp;""</f>
      </c>
      <c r="AB2396">
        <f>[1]资金台帐!AB2396</f>
        <v>0</v>
      </c>
      <c r="AC2396">
        <f>[1]资金台帐!AC2396</f>
        <v>0</v>
      </c>
      <c r="AD2396">
        <f>[1]资金台帐!AD2396</f>
        <v>0</v>
      </c>
      <c r="AJ2396">
        <f>[1]资金台帐!AJ2396</f>
        <v>0</v>
      </c>
      <c r="AK2396">
        <f>[1]资金台帐!AK2396</f>
        <v>0</v>
      </c>
      <c r="BA2396" s="22">
        <f t="shared" si="0"/>
      </c>
      <c r="BG2396" s="22">
        <f t="shared" si="1"/>
      </c>
      <c r="BH2396" s="22">
        <f t="shared" si="2"/>
        <v>0</v>
      </c>
    </row>
    <row r="2397">
      <c r="B2397">
        <f>[1]资金台帐!B2397&amp;""</f>
      </c>
      <c r="H2397">
        <f>[1]资金台帐!H2397&amp;""</f>
      </c>
      <c r="J2397">
        <f>[1]资金台帐!J2397&amp;""</f>
      </c>
      <c r="N2397">
        <f>[1]资金台帐!N2397</f>
      </c>
      <c r="O2397">
        <f>[1]资金台帐!O2397&amp;""</f>
      </c>
      <c r="P2397">
        <f>[1]资金台帐!P2397&amp;""</f>
      </c>
      <c r="Q2397">
        <f>[1]资金台帐!Q2397&amp;""</f>
      </c>
      <c r="T2397">
        <f>[1]资金台帐!T2397&amp;""</f>
      </c>
      <c r="U2397">
        <f>[1]资金台帐!U2397&amp;""</f>
      </c>
      <c r="W2397">
        <f>[1]资金台帐!W2397&amp;""</f>
      </c>
      <c r="X2397">
        <f>[1]资金台帐!X2397&amp;""</f>
      </c>
      <c r="AB2397">
        <f>[1]资金台帐!AB2397</f>
        <v>0</v>
      </c>
      <c r="AC2397">
        <f>[1]资金台帐!AC2397</f>
        <v>0</v>
      </c>
      <c r="AD2397">
        <f>[1]资金台帐!AD2397</f>
        <v>0</v>
      </c>
      <c r="AJ2397">
        <f>[1]资金台帐!AJ2397</f>
        <v>0</v>
      </c>
      <c r="AK2397">
        <f>[1]资金台帐!AK2397</f>
        <v>0</v>
      </c>
      <c r="BA2397" s="22">
        <f t="shared" si="0"/>
      </c>
      <c r="BG2397" s="22">
        <f t="shared" si="1"/>
      </c>
      <c r="BH2397" s="22">
        <f t="shared" si="2"/>
        <v>0</v>
      </c>
    </row>
    <row r="2398">
      <c r="B2398">
        <f>[1]资金台帐!B2398&amp;""</f>
      </c>
      <c r="H2398">
        <f>[1]资金台帐!H2398&amp;""</f>
      </c>
      <c r="J2398">
        <f>[1]资金台帐!J2398&amp;""</f>
      </c>
      <c r="N2398">
        <f>[1]资金台帐!N2398</f>
      </c>
      <c r="O2398">
        <f>[1]资金台帐!O2398&amp;""</f>
      </c>
      <c r="P2398">
        <f>[1]资金台帐!P2398&amp;""</f>
      </c>
      <c r="Q2398">
        <f>[1]资金台帐!Q2398&amp;""</f>
      </c>
      <c r="T2398">
        <f>[1]资金台帐!T2398&amp;""</f>
      </c>
      <c r="U2398">
        <f>[1]资金台帐!U2398&amp;""</f>
      </c>
      <c r="W2398">
        <f>[1]资金台帐!W2398&amp;""</f>
      </c>
      <c r="X2398">
        <f>[1]资金台帐!X2398&amp;""</f>
      </c>
      <c r="AB2398">
        <f>[1]资金台帐!AB2398</f>
        <v>0</v>
      </c>
      <c r="AC2398">
        <f>[1]资金台帐!AC2398</f>
        <v>0</v>
      </c>
      <c r="AD2398">
        <f>[1]资金台帐!AD2398</f>
        <v>0</v>
      </c>
      <c r="AJ2398">
        <f>[1]资金台帐!AJ2398</f>
        <v>0</v>
      </c>
      <c r="AK2398">
        <f>[1]资金台帐!AK2398</f>
        <v>0</v>
      </c>
      <c r="BA2398" s="22">
        <f t="shared" si="0"/>
      </c>
      <c r="BG2398" s="22">
        <f t="shared" si="1"/>
      </c>
      <c r="BH2398" s="22">
        <f t="shared" si="2"/>
        <v>0</v>
      </c>
    </row>
    <row r="2399">
      <c r="B2399">
        <f>[1]资金台帐!B2399&amp;""</f>
      </c>
      <c r="H2399">
        <f>[1]资金台帐!H2399&amp;""</f>
      </c>
      <c r="J2399">
        <f>[1]资金台帐!J2399&amp;""</f>
      </c>
      <c r="N2399">
        <f>[1]资金台帐!N2399</f>
      </c>
      <c r="O2399">
        <f>[1]资金台帐!O2399&amp;""</f>
      </c>
      <c r="P2399">
        <f>[1]资金台帐!P2399&amp;""</f>
      </c>
      <c r="Q2399">
        <f>[1]资金台帐!Q2399&amp;""</f>
      </c>
      <c r="T2399">
        <f>[1]资金台帐!T2399&amp;""</f>
      </c>
      <c r="U2399">
        <f>[1]资金台帐!U2399&amp;""</f>
      </c>
      <c r="W2399">
        <f>[1]资金台帐!W2399&amp;""</f>
      </c>
      <c r="X2399">
        <f>[1]资金台帐!X2399&amp;""</f>
      </c>
      <c r="AB2399">
        <f>[1]资金台帐!AB2399</f>
        <v>0</v>
      </c>
      <c r="AC2399">
        <f>[1]资金台帐!AC2399</f>
        <v>0</v>
      </c>
      <c r="AD2399">
        <f>[1]资金台帐!AD2399</f>
        <v>0</v>
      </c>
      <c r="AJ2399">
        <f>[1]资金台帐!AJ2399</f>
        <v>0</v>
      </c>
      <c r="AK2399">
        <f>[1]资金台帐!AK2399</f>
        <v>0</v>
      </c>
      <c r="BA2399" s="22">
        <f t="shared" si="0"/>
      </c>
      <c r="BG2399" s="22">
        <f t="shared" si="1"/>
      </c>
      <c r="BH2399" s="22">
        <f t="shared" si="2"/>
        <v>0</v>
      </c>
    </row>
    <row r="2400">
      <c r="B2400">
        <f>[1]资金台帐!B2400&amp;""</f>
      </c>
      <c r="H2400">
        <f>[1]资金台帐!H2400&amp;""</f>
      </c>
      <c r="J2400">
        <f>[1]资金台帐!J2400&amp;""</f>
      </c>
      <c r="N2400">
        <f>[1]资金台帐!N2400</f>
      </c>
      <c r="O2400">
        <f>[1]资金台帐!O2400&amp;""</f>
      </c>
      <c r="P2400">
        <f>[1]资金台帐!P2400&amp;""</f>
      </c>
      <c r="Q2400">
        <f>[1]资金台帐!Q2400&amp;""</f>
      </c>
      <c r="T2400">
        <f>[1]资金台帐!T2400&amp;""</f>
      </c>
      <c r="U2400">
        <f>[1]资金台帐!U2400&amp;""</f>
      </c>
      <c r="W2400">
        <f>[1]资金台帐!W2400&amp;""</f>
      </c>
      <c r="X2400">
        <f>[1]资金台帐!X2400&amp;""</f>
      </c>
      <c r="AB2400">
        <f>[1]资金台帐!AB2400</f>
        <v>0</v>
      </c>
      <c r="AC2400">
        <f>[1]资金台帐!AC2400</f>
        <v>0</v>
      </c>
      <c r="AD2400">
        <f>[1]资金台帐!AD2400</f>
        <v>0</v>
      </c>
      <c r="AJ2400">
        <f>[1]资金台帐!AJ2400</f>
        <v>0</v>
      </c>
      <c r="AK2400">
        <f>[1]资金台帐!AK2400</f>
        <v>0</v>
      </c>
      <c r="BA2400" s="22">
        <f t="shared" si="0"/>
      </c>
      <c r="BG2400" s="22">
        <f t="shared" si="1"/>
      </c>
      <c r="BH2400" s="22">
        <f t="shared" si="2"/>
        <v>0</v>
      </c>
    </row>
    <row r="2401">
      <c r="B2401">
        <f>[1]资金台帐!B2401&amp;""</f>
      </c>
      <c r="H2401">
        <f>[1]资金台帐!H2401&amp;""</f>
      </c>
      <c r="J2401">
        <f>[1]资金台帐!J2401&amp;""</f>
      </c>
      <c r="N2401">
        <f>[1]资金台帐!N2401</f>
      </c>
      <c r="O2401">
        <f>[1]资金台帐!O2401&amp;""</f>
      </c>
      <c r="P2401">
        <f>[1]资金台帐!P2401&amp;""</f>
      </c>
      <c r="Q2401">
        <f>[1]资金台帐!Q2401&amp;""</f>
      </c>
      <c r="T2401">
        <f>[1]资金台帐!T2401&amp;""</f>
      </c>
      <c r="U2401">
        <f>[1]资金台帐!U2401&amp;""</f>
      </c>
      <c r="W2401">
        <f>[1]资金台帐!W2401&amp;""</f>
      </c>
      <c r="X2401">
        <f>[1]资金台帐!X2401&amp;""</f>
      </c>
      <c r="AB2401">
        <f>[1]资金台帐!AB2401</f>
        <v>0</v>
      </c>
      <c r="AC2401">
        <f>[1]资金台帐!AC2401</f>
        <v>0</v>
      </c>
      <c r="AD2401">
        <f>[1]资金台帐!AD2401</f>
        <v>0</v>
      </c>
      <c r="AJ2401">
        <f>[1]资金台帐!AJ2401</f>
        <v>0</v>
      </c>
      <c r="AK2401">
        <f>[1]资金台帐!AK2401</f>
        <v>0</v>
      </c>
      <c r="BA2401" s="22">
        <f t="shared" si="0"/>
      </c>
      <c r="BG2401" s="22">
        <f t="shared" si="1"/>
      </c>
      <c r="BH2401" s="22">
        <f t="shared" si="2"/>
        <v>0</v>
      </c>
    </row>
    <row r="2402">
      <c r="B2402">
        <f>[1]资金台帐!B2402&amp;""</f>
      </c>
      <c r="H2402">
        <f>[1]资金台帐!H2402&amp;""</f>
      </c>
      <c r="J2402">
        <f>[1]资金台帐!J2402&amp;""</f>
      </c>
      <c r="N2402">
        <f>[1]资金台帐!N2402</f>
      </c>
      <c r="O2402">
        <f>[1]资金台帐!O2402&amp;""</f>
      </c>
      <c r="P2402">
        <f>[1]资金台帐!P2402&amp;""</f>
      </c>
      <c r="Q2402">
        <f>[1]资金台帐!Q2402&amp;""</f>
      </c>
      <c r="T2402">
        <f>[1]资金台帐!T2402&amp;""</f>
      </c>
      <c r="U2402">
        <f>[1]资金台帐!U2402&amp;""</f>
      </c>
      <c r="W2402">
        <f>[1]资金台帐!W2402&amp;""</f>
      </c>
      <c r="X2402">
        <f>[1]资金台帐!X2402&amp;""</f>
      </c>
      <c r="AB2402">
        <f>[1]资金台帐!AB2402</f>
        <v>0</v>
      </c>
      <c r="AC2402">
        <f>[1]资金台帐!AC2402</f>
        <v>0</v>
      </c>
      <c r="AD2402">
        <f>[1]资金台帐!AD2402</f>
        <v>0</v>
      </c>
      <c r="AJ2402">
        <f>[1]资金台帐!AJ2402</f>
        <v>0</v>
      </c>
      <c r="AK2402">
        <f>[1]资金台帐!AK2402</f>
        <v>0</v>
      </c>
      <c r="BA2402" s="22">
        <f t="shared" si="0"/>
      </c>
      <c r="BG2402" s="22">
        <f t="shared" si="1"/>
      </c>
      <c r="BH2402" s="22">
        <f t="shared" si="2"/>
        <v>0</v>
      </c>
    </row>
    <row r="2403">
      <c r="B2403">
        <f>[1]资金台帐!B2403&amp;""</f>
      </c>
      <c r="H2403">
        <f>[1]资金台帐!H2403&amp;""</f>
      </c>
      <c r="J2403">
        <f>[1]资金台帐!J2403&amp;""</f>
      </c>
      <c r="N2403">
        <f>[1]资金台帐!N2403</f>
      </c>
      <c r="O2403">
        <f>[1]资金台帐!O2403&amp;""</f>
      </c>
      <c r="P2403">
        <f>[1]资金台帐!P2403&amp;""</f>
      </c>
      <c r="Q2403">
        <f>[1]资金台帐!Q2403&amp;""</f>
      </c>
      <c r="T2403">
        <f>[1]资金台帐!T2403&amp;""</f>
      </c>
      <c r="U2403">
        <f>[1]资金台帐!U2403&amp;""</f>
      </c>
      <c r="W2403">
        <f>[1]资金台帐!W2403&amp;""</f>
      </c>
      <c r="X2403">
        <f>[1]资金台帐!X2403&amp;""</f>
      </c>
      <c r="AB2403">
        <f>[1]资金台帐!AB2403</f>
        <v>0</v>
      </c>
      <c r="AC2403">
        <f>[1]资金台帐!AC2403</f>
        <v>0</v>
      </c>
      <c r="AD2403">
        <f>[1]资金台帐!AD2403</f>
        <v>0</v>
      </c>
      <c r="AJ2403">
        <f>[1]资金台帐!AJ2403</f>
        <v>0</v>
      </c>
      <c r="AK2403">
        <f>[1]资金台帐!AK2403</f>
        <v>0</v>
      </c>
      <c r="BA2403" s="22">
        <f t="shared" si="0"/>
      </c>
      <c r="BG2403" s="22">
        <f t="shared" si="1"/>
      </c>
      <c r="BH2403" s="22">
        <f t="shared" si="2"/>
        <v>0</v>
      </c>
    </row>
    <row r="2404">
      <c r="B2404">
        <f>[1]资金台帐!B2404&amp;""</f>
      </c>
      <c r="H2404">
        <f>[1]资金台帐!H2404&amp;""</f>
      </c>
      <c r="J2404">
        <f>[1]资金台帐!J2404&amp;""</f>
      </c>
      <c r="N2404">
        <f>[1]资金台帐!N2404</f>
      </c>
      <c r="O2404">
        <f>[1]资金台帐!O2404&amp;""</f>
      </c>
      <c r="P2404">
        <f>[1]资金台帐!P2404&amp;""</f>
      </c>
      <c r="Q2404">
        <f>[1]资金台帐!Q2404&amp;""</f>
      </c>
      <c r="T2404">
        <f>[1]资金台帐!T2404&amp;""</f>
      </c>
      <c r="U2404">
        <f>[1]资金台帐!U2404&amp;""</f>
      </c>
      <c r="W2404">
        <f>[1]资金台帐!W2404&amp;""</f>
      </c>
      <c r="X2404">
        <f>[1]资金台帐!X2404&amp;""</f>
      </c>
      <c r="AB2404">
        <f>[1]资金台帐!AB2404</f>
        <v>0</v>
      </c>
      <c r="AC2404">
        <f>[1]资金台帐!AC2404</f>
        <v>0</v>
      </c>
      <c r="AD2404">
        <f>[1]资金台帐!AD2404</f>
        <v>0</v>
      </c>
      <c r="AJ2404">
        <f>[1]资金台帐!AJ2404</f>
        <v>0</v>
      </c>
      <c r="AK2404">
        <f>[1]资金台帐!AK2404</f>
        <v>0</v>
      </c>
      <c r="BA2404" s="22">
        <f t="shared" si="0"/>
      </c>
      <c r="BG2404" s="22">
        <f t="shared" si="1"/>
      </c>
      <c r="BH2404" s="22">
        <f t="shared" si="2"/>
        <v>0</v>
      </c>
    </row>
    <row r="2405">
      <c r="B2405">
        <f>[1]资金台帐!B2405&amp;""</f>
      </c>
      <c r="H2405">
        <f>[1]资金台帐!H2405&amp;""</f>
      </c>
      <c r="J2405">
        <f>[1]资金台帐!J2405&amp;""</f>
      </c>
      <c r="N2405">
        <f>[1]资金台帐!N2405</f>
      </c>
      <c r="O2405">
        <f>[1]资金台帐!O2405&amp;""</f>
      </c>
      <c r="P2405">
        <f>[1]资金台帐!P2405&amp;""</f>
      </c>
      <c r="Q2405">
        <f>[1]资金台帐!Q2405&amp;""</f>
      </c>
      <c r="T2405">
        <f>[1]资金台帐!T2405&amp;""</f>
      </c>
      <c r="U2405">
        <f>[1]资金台帐!U2405&amp;""</f>
      </c>
      <c r="W2405">
        <f>[1]资金台帐!W2405&amp;""</f>
      </c>
      <c r="X2405">
        <f>[1]资金台帐!X2405&amp;""</f>
      </c>
      <c r="AB2405">
        <f>[1]资金台帐!AB2405</f>
        <v>0</v>
      </c>
      <c r="AC2405">
        <f>[1]资金台帐!AC2405</f>
        <v>0</v>
      </c>
      <c r="AD2405">
        <f>[1]资金台帐!AD2405</f>
        <v>0</v>
      </c>
      <c r="AJ2405">
        <f>[1]资金台帐!AJ2405</f>
        <v>0</v>
      </c>
      <c r="AK2405">
        <f>[1]资金台帐!AK2405</f>
        <v>0</v>
      </c>
      <c r="BA2405" s="22">
        <f t="shared" si="0"/>
      </c>
      <c r="BG2405" s="22">
        <f t="shared" si="1"/>
      </c>
      <c r="BH2405" s="22">
        <f t="shared" si="2"/>
        <v>0</v>
      </c>
    </row>
    <row r="2406">
      <c r="B2406">
        <f>[1]资金台帐!B2406&amp;""</f>
      </c>
      <c r="H2406">
        <f>[1]资金台帐!H2406&amp;""</f>
      </c>
      <c r="J2406">
        <f>[1]资金台帐!J2406&amp;""</f>
      </c>
      <c r="N2406">
        <f>[1]资金台帐!N2406</f>
      </c>
      <c r="O2406">
        <f>[1]资金台帐!O2406&amp;""</f>
      </c>
      <c r="P2406">
        <f>[1]资金台帐!P2406&amp;""</f>
      </c>
      <c r="Q2406">
        <f>[1]资金台帐!Q2406&amp;""</f>
      </c>
      <c r="T2406">
        <f>[1]资金台帐!T2406&amp;""</f>
      </c>
      <c r="U2406">
        <f>[1]资金台帐!U2406&amp;""</f>
      </c>
      <c r="W2406">
        <f>[1]资金台帐!W2406&amp;""</f>
      </c>
      <c r="X2406">
        <f>[1]资金台帐!X2406&amp;""</f>
      </c>
      <c r="AB2406">
        <f>[1]资金台帐!AB2406</f>
        <v>0</v>
      </c>
      <c r="AC2406">
        <f>[1]资金台帐!AC2406</f>
        <v>0</v>
      </c>
      <c r="AD2406">
        <f>[1]资金台帐!AD2406</f>
        <v>0</v>
      </c>
      <c r="AJ2406">
        <f>[1]资金台帐!AJ2406</f>
        <v>0</v>
      </c>
      <c r="AK2406">
        <f>[1]资金台帐!AK2406</f>
        <v>0</v>
      </c>
      <c r="BA2406" s="22">
        <f t="shared" si="0"/>
      </c>
      <c r="BG2406" s="22">
        <f t="shared" si="1"/>
      </c>
      <c r="BH2406" s="22">
        <f t="shared" si="2"/>
        <v>0</v>
      </c>
    </row>
    <row r="2407">
      <c r="B2407">
        <f>[1]资金台帐!B2407&amp;""</f>
      </c>
      <c r="H2407">
        <f>[1]资金台帐!H2407&amp;""</f>
      </c>
      <c r="J2407">
        <f>[1]资金台帐!J2407&amp;""</f>
      </c>
      <c r="N2407">
        <f>[1]资金台帐!N2407</f>
      </c>
      <c r="O2407">
        <f>[1]资金台帐!O2407&amp;""</f>
      </c>
      <c r="P2407">
        <f>[1]资金台帐!P2407&amp;""</f>
      </c>
      <c r="Q2407">
        <f>[1]资金台帐!Q2407&amp;""</f>
      </c>
      <c r="T2407">
        <f>[1]资金台帐!T2407&amp;""</f>
      </c>
      <c r="U2407">
        <f>[1]资金台帐!U2407&amp;""</f>
      </c>
      <c r="W2407">
        <f>[1]资金台帐!W2407&amp;""</f>
      </c>
      <c r="X2407">
        <f>[1]资金台帐!X2407&amp;""</f>
      </c>
      <c r="AB2407">
        <f>[1]资金台帐!AB2407</f>
        <v>0</v>
      </c>
      <c r="AC2407">
        <f>[1]资金台帐!AC2407</f>
        <v>0</v>
      </c>
      <c r="AD2407">
        <f>[1]资金台帐!AD2407</f>
        <v>0</v>
      </c>
      <c r="AJ2407">
        <f>[1]资金台帐!AJ2407</f>
        <v>0</v>
      </c>
      <c r="AK2407">
        <f>[1]资金台帐!AK2407</f>
        <v>0</v>
      </c>
      <c r="BA2407" s="22">
        <f t="shared" si="0"/>
      </c>
      <c r="BG2407" s="22">
        <f t="shared" si="1"/>
      </c>
      <c r="BH2407" s="22">
        <f t="shared" si="2"/>
        <v>0</v>
      </c>
    </row>
    <row r="2408">
      <c r="B2408">
        <f>[1]资金台帐!B2408&amp;""</f>
      </c>
      <c r="H2408">
        <f>[1]资金台帐!H2408&amp;""</f>
      </c>
      <c r="J2408">
        <f>[1]资金台帐!J2408&amp;""</f>
      </c>
      <c r="N2408">
        <f>[1]资金台帐!N2408</f>
      </c>
      <c r="O2408">
        <f>[1]资金台帐!O2408&amp;""</f>
      </c>
      <c r="P2408">
        <f>[1]资金台帐!P2408&amp;""</f>
      </c>
      <c r="Q2408">
        <f>[1]资金台帐!Q2408&amp;""</f>
      </c>
      <c r="T2408">
        <f>[1]资金台帐!T2408&amp;""</f>
      </c>
      <c r="U2408">
        <f>[1]资金台帐!U2408&amp;""</f>
      </c>
      <c r="W2408">
        <f>[1]资金台帐!W2408&amp;""</f>
      </c>
      <c r="X2408">
        <f>[1]资金台帐!X2408&amp;""</f>
      </c>
      <c r="AB2408">
        <f>[1]资金台帐!AB2408</f>
        <v>0</v>
      </c>
      <c r="AC2408">
        <f>[1]资金台帐!AC2408</f>
        <v>0</v>
      </c>
      <c r="AD2408">
        <f>[1]资金台帐!AD2408</f>
        <v>0</v>
      </c>
      <c r="AJ2408">
        <f>[1]资金台帐!AJ2408</f>
        <v>0</v>
      </c>
      <c r="AK2408">
        <f>[1]资金台帐!AK2408</f>
        <v>0</v>
      </c>
      <c r="BA2408" s="22">
        <f t="shared" si="0"/>
      </c>
      <c r="BG2408" s="22">
        <f t="shared" si="1"/>
      </c>
      <c r="BH2408" s="22">
        <f t="shared" si="2"/>
        <v>0</v>
      </c>
    </row>
    <row r="2409">
      <c r="B2409">
        <f>[1]资金台帐!B2409&amp;""</f>
      </c>
      <c r="H2409">
        <f>[1]资金台帐!H2409&amp;""</f>
      </c>
      <c r="J2409">
        <f>[1]资金台帐!J2409&amp;""</f>
      </c>
      <c r="N2409">
        <f>[1]资金台帐!N2409</f>
      </c>
      <c r="O2409">
        <f>[1]资金台帐!O2409&amp;""</f>
      </c>
      <c r="P2409">
        <f>[1]资金台帐!P2409&amp;""</f>
      </c>
      <c r="Q2409">
        <f>[1]资金台帐!Q2409&amp;""</f>
      </c>
      <c r="T2409">
        <f>[1]资金台帐!T2409&amp;""</f>
      </c>
      <c r="U2409">
        <f>[1]资金台帐!U2409&amp;""</f>
      </c>
      <c r="W2409">
        <f>[1]资金台帐!W2409&amp;""</f>
      </c>
      <c r="X2409">
        <f>[1]资金台帐!X2409&amp;""</f>
      </c>
      <c r="AB2409">
        <f>[1]资金台帐!AB2409</f>
        <v>0</v>
      </c>
      <c r="AC2409">
        <f>[1]资金台帐!AC2409</f>
        <v>0</v>
      </c>
      <c r="AD2409">
        <f>[1]资金台帐!AD2409</f>
        <v>0</v>
      </c>
      <c r="AJ2409">
        <f>[1]资金台帐!AJ2409</f>
        <v>0</v>
      </c>
      <c r="AK2409">
        <f>[1]资金台帐!AK2409</f>
        <v>0</v>
      </c>
      <c r="BA2409" s="22">
        <f t="shared" si="0"/>
      </c>
      <c r="BG2409" s="22">
        <f t="shared" si="1"/>
      </c>
      <c r="BH2409" s="22">
        <f t="shared" si="2"/>
        <v>0</v>
      </c>
    </row>
    <row r="2410">
      <c r="B2410">
        <f>[1]资金台帐!B2410&amp;""</f>
      </c>
      <c r="H2410">
        <f>[1]资金台帐!H2410&amp;""</f>
      </c>
      <c r="J2410">
        <f>[1]资金台帐!J2410&amp;""</f>
      </c>
      <c r="N2410">
        <f>[1]资金台帐!N2410</f>
      </c>
      <c r="O2410">
        <f>[1]资金台帐!O2410&amp;""</f>
      </c>
      <c r="P2410">
        <f>[1]资金台帐!P2410&amp;""</f>
      </c>
      <c r="Q2410">
        <f>[1]资金台帐!Q2410&amp;""</f>
      </c>
      <c r="T2410">
        <f>[1]资金台帐!T2410&amp;""</f>
      </c>
      <c r="U2410">
        <f>[1]资金台帐!U2410&amp;""</f>
      </c>
      <c r="W2410">
        <f>[1]资金台帐!W2410&amp;""</f>
      </c>
      <c r="X2410">
        <f>[1]资金台帐!X2410&amp;""</f>
      </c>
      <c r="AB2410">
        <f>[1]资金台帐!AB2410</f>
        <v>0</v>
      </c>
      <c r="AC2410">
        <f>[1]资金台帐!AC2410</f>
        <v>0</v>
      </c>
      <c r="AD2410">
        <f>[1]资金台帐!AD2410</f>
        <v>0</v>
      </c>
      <c r="AJ2410">
        <f>[1]资金台帐!AJ2410</f>
        <v>0</v>
      </c>
      <c r="AK2410">
        <f>[1]资金台帐!AK2410</f>
        <v>0</v>
      </c>
      <c r="BA2410" s="22">
        <f t="shared" si="0"/>
      </c>
      <c r="BG2410" s="22">
        <f t="shared" si="1"/>
      </c>
      <c r="BH2410" s="22">
        <f t="shared" si="2"/>
        <v>0</v>
      </c>
    </row>
    <row r="2411">
      <c r="B2411">
        <f>[1]资金台帐!B2411&amp;""</f>
      </c>
      <c r="H2411">
        <f>[1]资金台帐!H2411&amp;""</f>
      </c>
      <c r="J2411">
        <f>[1]资金台帐!J2411&amp;""</f>
      </c>
      <c r="N2411">
        <f>[1]资金台帐!N2411</f>
      </c>
      <c r="O2411">
        <f>[1]资金台帐!O2411&amp;""</f>
      </c>
      <c r="P2411">
        <f>[1]资金台帐!P2411&amp;""</f>
      </c>
      <c r="Q2411">
        <f>[1]资金台帐!Q2411&amp;""</f>
      </c>
      <c r="T2411">
        <f>[1]资金台帐!T2411&amp;""</f>
      </c>
      <c r="U2411">
        <f>[1]资金台帐!U2411&amp;""</f>
      </c>
      <c r="W2411">
        <f>[1]资金台帐!W2411&amp;""</f>
      </c>
      <c r="X2411">
        <f>[1]资金台帐!X2411&amp;""</f>
      </c>
      <c r="AB2411">
        <f>[1]资金台帐!AB2411</f>
        <v>0</v>
      </c>
      <c r="AC2411">
        <f>[1]资金台帐!AC2411</f>
        <v>0</v>
      </c>
      <c r="AD2411">
        <f>[1]资金台帐!AD2411</f>
        <v>0</v>
      </c>
      <c r="AJ2411">
        <f>[1]资金台帐!AJ2411</f>
        <v>0</v>
      </c>
      <c r="AK2411">
        <f>[1]资金台帐!AK2411</f>
        <v>0</v>
      </c>
      <c r="BA2411" s="22">
        <f t="shared" si="0"/>
      </c>
      <c r="BG2411" s="22">
        <f t="shared" si="1"/>
      </c>
      <c r="BH2411" s="22">
        <f t="shared" si="2"/>
        <v>0</v>
      </c>
    </row>
    <row r="2412">
      <c r="B2412">
        <f>[1]资金台帐!B2412&amp;""</f>
      </c>
      <c r="H2412">
        <f>[1]资金台帐!H2412&amp;""</f>
      </c>
      <c r="J2412">
        <f>[1]资金台帐!J2412&amp;""</f>
      </c>
      <c r="N2412">
        <f>[1]资金台帐!N2412</f>
      </c>
      <c r="O2412">
        <f>[1]资金台帐!O2412&amp;""</f>
      </c>
      <c r="P2412">
        <f>[1]资金台帐!P2412&amp;""</f>
      </c>
      <c r="Q2412">
        <f>[1]资金台帐!Q2412&amp;""</f>
      </c>
      <c r="T2412">
        <f>[1]资金台帐!T2412&amp;""</f>
      </c>
      <c r="U2412">
        <f>[1]资金台帐!U2412&amp;""</f>
      </c>
      <c r="W2412">
        <f>[1]资金台帐!W2412&amp;""</f>
      </c>
      <c r="X2412">
        <f>[1]资金台帐!X2412&amp;""</f>
      </c>
      <c r="AB2412">
        <f>[1]资金台帐!AB2412</f>
        <v>0</v>
      </c>
      <c r="AC2412">
        <f>[1]资金台帐!AC2412</f>
        <v>0</v>
      </c>
      <c r="AD2412">
        <f>[1]资金台帐!AD2412</f>
        <v>0</v>
      </c>
      <c r="AJ2412">
        <f>[1]资金台帐!AJ2412</f>
        <v>0</v>
      </c>
      <c r="AK2412">
        <f>[1]资金台帐!AK2412</f>
        <v>0</v>
      </c>
      <c r="BA2412" s="22">
        <f t="shared" si="0"/>
      </c>
      <c r="BG2412" s="22">
        <f t="shared" si="1"/>
      </c>
      <c r="BH2412" s="22">
        <f t="shared" si="2"/>
        <v>0</v>
      </c>
    </row>
    <row r="2413">
      <c r="B2413">
        <f>[1]资金台帐!B2413&amp;""</f>
      </c>
      <c r="H2413">
        <f>[1]资金台帐!H2413&amp;""</f>
      </c>
      <c r="J2413">
        <f>[1]资金台帐!J2413&amp;""</f>
      </c>
      <c r="N2413">
        <f>[1]资金台帐!N2413</f>
      </c>
      <c r="O2413">
        <f>[1]资金台帐!O2413&amp;""</f>
      </c>
      <c r="P2413">
        <f>[1]资金台帐!P2413&amp;""</f>
      </c>
      <c r="Q2413">
        <f>[1]资金台帐!Q2413&amp;""</f>
      </c>
      <c r="T2413">
        <f>[1]资金台帐!T2413&amp;""</f>
      </c>
      <c r="U2413">
        <f>[1]资金台帐!U2413&amp;""</f>
      </c>
      <c r="W2413">
        <f>[1]资金台帐!W2413&amp;""</f>
      </c>
      <c r="X2413">
        <f>[1]资金台帐!X2413&amp;""</f>
      </c>
      <c r="AB2413">
        <f>[1]资金台帐!AB2413</f>
        <v>0</v>
      </c>
      <c r="AC2413">
        <f>[1]资金台帐!AC2413</f>
        <v>0</v>
      </c>
      <c r="AD2413">
        <f>[1]资金台帐!AD2413</f>
        <v>0</v>
      </c>
      <c r="AJ2413">
        <f>[1]资金台帐!AJ2413</f>
        <v>0</v>
      </c>
      <c r="AK2413">
        <f>[1]资金台帐!AK2413</f>
        <v>0</v>
      </c>
      <c r="BA2413" s="22">
        <f t="shared" si="0"/>
      </c>
      <c r="BG2413" s="22">
        <f t="shared" si="1"/>
      </c>
      <c r="BH2413" s="22">
        <f t="shared" si="2"/>
        <v>0</v>
      </c>
    </row>
    <row r="2414">
      <c r="B2414">
        <f>[1]资金台帐!B2414&amp;""</f>
      </c>
      <c r="H2414">
        <f>[1]资金台帐!H2414&amp;""</f>
      </c>
      <c r="J2414">
        <f>[1]资金台帐!J2414&amp;""</f>
      </c>
      <c r="N2414">
        <f>[1]资金台帐!N2414</f>
      </c>
      <c r="O2414">
        <f>[1]资金台帐!O2414&amp;""</f>
      </c>
      <c r="P2414">
        <f>[1]资金台帐!P2414&amp;""</f>
      </c>
      <c r="Q2414">
        <f>[1]资金台帐!Q2414&amp;""</f>
      </c>
      <c r="T2414">
        <f>[1]资金台帐!T2414&amp;""</f>
      </c>
      <c r="U2414">
        <f>[1]资金台帐!U2414&amp;""</f>
      </c>
      <c r="W2414">
        <f>[1]资金台帐!W2414&amp;""</f>
      </c>
      <c r="X2414">
        <f>[1]资金台帐!X2414&amp;""</f>
      </c>
      <c r="AB2414">
        <f>[1]资金台帐!AB2414</f>
        <v>0</v>
      </c>
      <c r="AC2414">
        <f>[1]资金台帐!AC2414</f>
        <v>0</v>
      </c>
      <c r="AD2414">
        <f>[1]资金台帐!AD2414</f>
        <v>0</v>
      </c>
      <c r="AJ2414">
        <f>[1]资金台帐!AJ2414</f>
        <v>0</v>
      </c>
      <c r="AK2414">
        <f>[1]资金台帐!AK2414</f>
        <v>0</v>
      </c>
      <c r="BA2414" s="22">
        <f t="shared" si="0"/>
      </c>
      <c r="BG2414" s="22">
        <f t="shared" si="1"/>
      </c>
      <c r="BH2414" s="22">
        <f t="shared" si="2"/>
        <v>0</v>
      </c>
    </row>
    <row r="2415">
      <c r="B2415">
        <f>[1]资金台帐!B2415&amp;""</f>
      </c>
      <c r="H2415">
        <f>[1]资金台帐!H2415&amp;""</f>
      </c>
      <c r="J2415">
        <f>[1]资金台帐!J2415&amp;""</f>
      </c>
      <c r="N2415">
        <f>[1]资金台帐!N2415</f>
      </c>
      <c r="O2415">
        <f>[1]资金台帐!O2415&amp;""</f>
      </c>
      <c r="P2415">
        <f>[1]资金台帐!P2415&amp;""</f>
      </c>
      <c r="Q2415">
        <f>[1]资金台帐!Q2415&amp;""</f>
      </c>
      <c r="T2415">
        <f>[1]资金台帐!T2415&amp;""</f>
      </c>
      <c r="U2415">
        <f>[1]资金台帐!U2415&amp;""</f>
      </c>
      <c r="W2415">
        <f>[1]资金台帐!W2415&amp;""</f>
      </c>
      <c r="X2415">
        <f>[1]资金台帐!X2415&amp;""</f>
      </c>
      <c r="AB2415">
        <f>[1]资金台帐!AB2415</f>
        <v>0</v>
      </c>
      <c r="AC2415">
        <f>[1]资金台帐!AC2415</f>
        <v>0</v>
      </c>
      <c r="AD2415">
        <f>[1]资金台帐!AD2415</f>
        <v>0</v>
      </c>
      <c r="AJ2415">
        <f>[1]资金台帐!AJ2415</f>
        <v>0</v>
      </c>
      <c r="AK2415">
        <f>[1]资金台帐!AK2415</f>
        <v>0</v>
      </c>
      <c r="BA2415" s="22">
        <f t="shared" si="0"/>
      </c>
      <c r="BG2415" s="22">
        <f t="shared" si="1"/>
      </c>
      <c r="BH2415" s="22">
        <f t="shared" si="2"/>
        <v>0</v>
      </c>
    </row>
    <row r="2416">
      <c r="B2416">
        <f>[1]资金台帐!B2416&amp;""</f>
      </c>
      <c r="H2416">
        <f>[1]资金台帐!H2416&amp;""</f>
      </c>
      <c r="J2416">
        <f>[1]资金台帐!J2416&amp;""</f>
      </c>
      <c r="N2416">
        <f>[1]资金台帐!N2416</f>
      </c>
      <c r="O2416">
        <f>[1]资金台帐!O2416&amp;""</f>
      </c>
      <c r="P2416">
        <f>[1]资金台帐!P2416&amp;""</f>
      </c>
      <c r="Q2416">
        <f>[1]资金台帐!Q2416&amp;""</f>
      </c>
      <c r="T2416">
        <f>[1]资金台帐!T2416&amp;""</f>
      </c>
      <c r="U2416">
        <f>[1]资金台帐!U2416&amp;""</f>
      </c>
      <c r="W2416">
        <f>[1]资金台帐!W2416&amp;""</f>
      </c>
      <c r="X2416">
        <f>[1]资金台帐!X2416&amp;""</f>
      </c>
      <c r="AB2416">
        <f>[1]资金台帐!AB2416</f>
        <v>0</v>
      </c>
      <c r="AC2416">
        <f>[1]资金台帐!AC2416</f>
        <v>0</v>
      </c>
      <c r="AD2416">
        <f>[1]资金台帐!AD2416</f>
        <v>0</v>
      </c>
      <c r="AJ2416">
        <f>[1]资金台帐!AJ2416</f>
        <v>0</v>
      </c>
      <c r="AK2416">
        <f>[1]资金台帐!AK2416</f>
        <v>0</v>
      </c>
      <c r="BA2416" s="22">
        <f t="shared" si="0"/>
      </c>
      <c r="BG2416" s="22">
        <f t="shared" si="1"/>
      </c>
      <c r="BH2416" s="22">
        <f t="shared" si="2"/>
        <v>0</v>
      </c>
    </row>
    <row r="2417">
      <c r="B2417">
        <f>[1]资金台帐!B2417&amp;""</f>
      </c>
      <c r="H2417">
        <f>[1]资金台帐!H2417&amp;""</f>
      </c>
      <c r="J2417">
        <f>[1]资金台帐!J2417&amp;""</f>
      </c>
      <c r="N2417">
        <f>[1]资金台帐!N2417</f>
      </c>
      <c r="O2417">
        <f>[1]资金台帐!O2417&amp;""</f>
      </c>
      <c r="P2417">
        <f>[1]资金台帐!P2417&amp;""</f>
      </c>
      <c r="Q2417">
        <f>[1]资金台帐!Q2417&amp;""</f>
      </c>
      <c r="T2417">
        <f>[1]资金台帐!T2417&amp;""</f>
      </c>
      <c r="U2417">
        <f>[1]资金台帐!U2417&amp;""</f>
      </c>
      <c r="W2417">
        <f>[1]资金台帐!W2417&amp;""</f>
      </c>
      <c r="X2417">
        <f>[1]资金台帐!X2417&amp;""</f>
      </c>
      <c r="AB2417">
        <f>[1]资金台帐!AB2417</f>
        <v>0</v>
      </c>
      <c r="AC2417">
        <f>[1]资金台帐!AC2417</f>
        <v>0</v>
      </c>
      <c r="AD2417">
        <f>[1]资金台帐!AD2417</f>
        <v>0</v>
      </c>
      <c r="AJ2417">
        <f>[1]资金台帐!AJ2417</f>
        <v>0</v>
      </c>
      <c r="AK2417">
        <f>[1]资金台帐!AK2417</f>
        <v>0</v>
      </c>
      <c r="BA2417" s="22">
        <f t="shared" si="0"/>
      </c>
      <c r="BG2417" s="22">
        <f t="shared" si="1"/>
      </c>
      <c r="BH2417" s="22">
        <f t="shared" si="2"/>
        <v>0</v>
      </c>
    </row>
    <row r="2418">
      <c r="B2418">
        <f>[1]资金台帐!B2418&amp;""</f>
      </c>
      <c r="H2418">
        <f>[1]资金台帐!H2418&amp;""</f>
      </c>
      <c r="J2418">
        <f>[1]资金台帐!J2418&amp;""</f>
      </c>
      <c r="N2418">
        <f>[1]资金台帐!N2418</f>
      </c>
      <c r="O2418">
        <f>[1]资金台帐!O2418&amp;""</f>
      </c>
      <c r="P2418">
        <f>[1]资金台帐!P2418&amp;""</f>
      </c>
      <c r="Q2418">
        <f>[1]资金台帐!Q2418&amp;""</f>
      </c>
      <c r="T2418">
        <f>[1]资金台帐!T2418&amp;""</f>
      </c>
      <c r="U2418">
        <f>[1]资金台帐!U2418&amp;""</f>
      </c>
      <c r="W2418">
        <f>[1]资金台帐!W2418&amp;""</f>
      </c>
      <c r="X2418">
        <f>[1]资金台帐!X2418&amp;""</f>
      </c>
      <c r="AB2418">
        <f>[1]资金台帐!AB2418</f>
        <v>0</v>
      </c>
      <c r="AC2418">
        <f>[1]资金台帐!AC2418</f>
        <v>0</v>
      </c>
      <c r="AD2418">
        <f>[1]资金台帐!AD2418</f>
        <v>0</v>
      </c>
      <c r="AJ2418">
        <f>[1]资金台帐!AJ2418</f>
        <v>0</v>
      </c>
      <c r="AK2418">
        <f>[1]资金台帐!AK2418</f>
        <v>0</v>
      </c>
      <c r="BA2418" s="22">
        <f t="shared" si="0"/>
      </c>
      <c r="BG2418" s="22">
        <f t="shared" si="1"/>
      </c>
      <c r="BH2418" s="22">
        <f t="shared" si="2"/>
        <v>0</v>
      </c>
    </row>
    <row r="2419">
      <c r="B2419">
        <f>[1]资金台帐!B2419&amp;""</f>
      </c>
      <c r="H2419">
        <f>[1]资金台帐!H2419&amp;""</f>
      </c>
      <c r="J2419">
        <f>[1]资金台帐!J2419&amp;""</f>
      </c>
      <c r="N2419">
        <f>[1]资金台帐!N2419</f>
      </c>
      <c r="O2419">
        <f>[1]资金台帐!O2419&amp;""</f>
      </c>
      <c r="P2419">
        <f>[1]资金台帐!P2419&amp;""</f>
      </c>
      <c r="Q2419">
        <f>[1]资金台帐!Q2419&amp;""</f>
      </c>
      <c r="T2419">
        <f>[1]资金台帐!T2419&amp;""</f>
      </c>
      <c r="U2419">
        <f>[1]资金台帐!U2419&amp;""</f>
      </c>
      <c r="W2419">
        <f>[1]资金台帐!W2419&amp;""</f>
      </c>
      <c r="X2419">
        <f>[1]资金台帐!X2419&amp;""</f>
      </c>
      <c r="AB2419">
        <f>[1]资金台帐!AB2419</f>
        <v>0</v>
      </c>
      <c r="AC2419">
        <f>[1]资金台帐!AC2419</f>
        <v>0</v>
      </c>
      <c r="AD2419">
        <f>[1]资金台帐!AD2419</f>
        <v>0</v>
      </c>
      <c r="AJ2419">
        <f>[1]资金台帐!AJ2419</f>
        <v>0</v>
      </c>
      <c r="AK2419">
        <f>[1]资金台帐!AK2419</f>
        <v>0</v>
      </c>
      <c r="BA2419" s="22">
        <f t="shared" si="0"/>
      </c>
      <c r="BG2419" s="22">
        <f t="shared" si="1"/>
      </c>
      <c r="BH2419" s="22">
        <f t="shared" si="2"/>
        <v>0</v>
      </c>
    </row>
    <row r="2420">
      <c r="B2420">
        <f>[1]资金台帐!B2420&amp;""</f>
      </c>
      <c r="H2420">
        <f>[1]资金台帐!H2420&amp;""</f>
      </c>
      <c r="J2420">
        <f>[1]资金台帐!J2420&amp;""</f>
      </c>
      <c r="N2420">
        <f>[1]资金台帐!N2420</f>
      </c>
      <c r="O2420">
        <f>[1]资金台帐!O2420&amp;""</f>
      </c>
      <c r="P2420">
        <f>[1]资金台帐!P2420&amp;""</f>
      </c>
      <c r="Q2420">
        <f>[1]资金台帐!Q2420&amp;""</f>
      </c>
      <c r="T2420">
        <f>[1]资金台帐!T2420&amp;""</f>
      </c>
      <c r="U2420">
        <f>[1]资金台帐!U2420&amp;""</f>
      </c>
      <c r="W2420">
        <f>[1]资金台帐!W2420&amp;""</f>
      </c>
      <c r="X2420">
        <f>[1]资金台帐!X2420&amp;""</f>
      </c>
      <c r="AB2420">
        <f>[1]资金台帐!AB2420</f>
        <v>0</v>
      </c>
      <c r="AC2420">
        <f>[1]资金台帐!AC2420</f>
        <v>0</v>
      </c>
      <c r="AD2420">
        <f>[1]资金台帐!AD2420</f>
        <v>0</v>
      </c>
      <c r="AJ2420">
        <f>[1]资金台帐!AJ2420</f>
        <v>0</v>
      </c>
      <c r="AK2420">
        <f>[1]资金台帐!AK2420</f>
        <v>0</v>
      </c>
      <c r="BA2420" s="22">
        <f t="shared" si="0"/>
      </c>
      <c r="BG2420" s="22">
        <f t="shared" si="1"/>
      </c>
      <c r="BH2420" s="22">
        <f t="shared" si="2"/>
        <v>0</v>
      </c>
    </row>
    <row r="2421">
      <c r="B2421">
        <f>[1]资金台帐!B2421&amp;""</f>
      </c>
      <c r="H2421">
        <f>[1]资金台帐!H2421&amp;""</f>
      </c>
      <c r="J2421">
        <f>[1]资金台帐!J2421&amp;""</f>
      </c>
      <c r="N2421">
        <f>[1]资金台帐!N2421</f>
      </c>
      <c r="O2421">
        <f>[1]资金台帐!O2421&amp;""</f>
      </c>
      <c r="P2421">
        <f>[1]资金台帐!P2421&amp;""</f>
      </c>
      <c r="Q2421">
        <f>[1]资金台帐!Q2421&amp;""</f>
      </c>
      <c r="T2421">
        <f>[1]资金台帐!T2421&amp;""</f>
      </c>
      <c r="U2421">
        <f>[1]资金台帐!U2421&amp;""</f>
      </c>
      <c r="W2421">
        <f>[1]资金台帐!W2421&amp;""</f>
      </c>
      <c r="X2421">
        <f>[1]资金台帐!X2421&amp;""</f>
      </c>
      <c r="AB2421">
        <f>[1]资金台帐!AB2421</f>
        <v>0</v>
      </c>
      <c r="AC2421">
        <f>[1]资金台帐!AC2421</f>
        <v>0</v>
      </c>
      <c r="AD2421">
        <f>[1]资金台帐!AD2421</f>
        <v>0</v>
      </c>
      <c r="AJ2421">
        <f>[1]资金台帐!AJ2421</f>
        <v>0</v>
      </c>
      <c r="AK2421">
        <f>[1]资金台帐!AK2421</f>
        <v>0</v>
      </c>
      <c r="BA2421" s="22">
        <f t="shared" si="0"/>
      </c>
      <c r="BG2421" s="22">
        <f t="shared" si="1"/>
      </c>
      <c r="BH2421" s="22">
        <f t="shared" si="2"/>
        <v>0</v>
      </c>
    </row>
    <row r="2422">
      <c r="B2422">
        <f>[1]资金台帐!B2422&amp;""</f>
      </c>
      <c r="H2422">
        <f>[1]资金台帐!H2422&amp;""</f>
      </c>
      <c r="J2422">
        <f>[1]资金台帐!J2422&amp;""</f>
      </c>
      <c r="N2422">
        <f>[1]资金台帐!N2422</f>
      </c>
      <c r="O2422">
        <f>[1]资金台帐!O2422&amp;""</f>
      </c>
      <c r="P2422">
        <f>[1]资金台帐!P2422&amp;""</f>
      </c>
      <c r="Q2422">
        <f>[1]资金台帐!Q2422&amp;""</f>
      </c>
      <c r="T2422">
        <f>[1]资金台帐!T2422&amp;""</f>
      </c>
      <c r="U2422">
        <f>[1]资金台帐!U2422&amp;""</f>
      </c>
      <c r="W2422">
        <f>[1]资金台帐!W2422&amp;""</f>
      </c>
      <c r="X2422">
        <f>[1]资金台帐!X2422&amp;""</f>
      </c>
      <c r="AB2422">
        <f>[1]资金台帐!AB2422</f>
        <v>0</v>
      </c>
      <c r="AC2422">
        <f>[1]资金台帐!AC2422</f>
        <v>0</v>
      </c>
      <c r="AD2422">
        <f>[1]资金台帐!AD2422</f>
        <v>0</v>
      </c>
      <c r="AJ2422">
        <f>[1]资金台帐!AJ2422</f>
        <v>0</v>
      </c>
      <c r="AK2422">
        <f>[1]资金台帐!AK2422</f>
        <v>0</v>
      </c>
      <c r="BA2422" s="22">
        <f t="shared" si="0"/>
      </c>
      <c r="BG2422" s="22">
        <f t="shared" si="1"/>
      </c>
      <c r="BH2422" s="22">
        <f t="shared" si="2"/>
        <v>0</v>
      </c>
    </row>
    <row r="2423">
      <c r="B2423">
        <f>[1]资金台帐!B2423&amp;""</f>
      </c>
      <c r="H2423">
        <f>[1]资金台帐!H2423&amp;""</f>
      </c>
      <c r="J2423">
        <f>[1]资金台帐!J2423&amp;""</f>
      </c>
      <c r="N2423">
        <f>[1]资金台帐!N2423</f>
      </c>
      <c r="O2423">
        <f>[1]资金台帐!O2423&amp;""</f>
      </c>
      <c r="P2423">
        <f>[1]资金台帐!P2423&amp;""</f>
      </c>
      <c r="Q2423">
        <f>[1]资金台帐!Q2423&amp;""</f>
      </c>
      <c r="T2423">
        <f>[1]资金台帐!T2423&amp;""</f>
      </c>
      <c r="U2423">
        <f>[1]资金台帐!U2423&amp;""</f>
      </c>
      <c r="W2423">
        <f>[1]资金台帐!W2423&amp;""</f>
      </c>
      <c r="X2423">
        <f>[1]资金台帐!X2423&amp;""</f>
      </c>
      <c r="AB2423">
        <f>[1]资金台帐!AB2423</f>
        <v>0</v>
      </c>
      <c r="AC2423">
        <f>[1]资金台帐!AC2423</f>
        <v>0</v>
      </c>
      <c r="AD2423">
        <f>[1]资金台帐!AD2423</f>
        <v>0</v>
      </c>
      <c r="AJ2423">
        <f>[1]资金台帐!AJ2423</f>
        <v>0</v>
      </c>
      <c r="AK2423">
        <f>[1]资金台帐!AK2423</f>
        <v>0</v>
      </c>
      <c r="BA2423" s="22">
        <f t="shared" si="0"/>
      </c>
      <c r="BG2423" s="22">
        <f t="shared" si="1"/>
      </c>
      <c r="BH2423" s="22">
        <f t="shared" si="2"/>
        <v>0</v>
      </c>
    </row>
    <row r="2424">
      <c r="B2424">
        <f>[1]资金台帐!B2424&amp;""</f>
      </c>
      <c r="H2424">
        <f>[1]资金台帐!H2424&amp;""</f>
      </c>
      <c r="J2424">
        <f>[1]资金台帐!J2424&amp;""</f>
      </c>
      <c r="N2424">
        <f>[1]资金台帐!N2424</f>
      </c>
      <c r="O2424">
        <f>[1]资金台帐!O2424&amp;""</f>
      </c>
      <c r="P2424">
        <f>[1]资金台帐!P2424&amp;""</f>
      </c>
      <c r="Q2424">
        <f>[1]资金台帐!Q2424&amp;""</f>
      </c>
      <c r="T2424">
        <f>[1]资金台帐!T2424&amp;""</f>
      </c>
      <c r="U2424">
        <f>[1]资金台帐!U2424&amp;""</f>
      </c>
      <c r="W2424">
        <f>[1]资金台帐!W2424&amp;""</f>
      </c>
      <c r="X2424">
        <f>[1]资金台帐!X2424&amp;""</f>
      </c>
      <c r="AB2424">
        <f>[1]资金台帐!AB2424</f>
        <v>0</v>
      </c>
      <c r="AC2424">
        <f>[1]资金台帐!AC2424</f>
        <v>0</v>
      </c>
      <c r="AD2424">
        <f>[1]资金台帐!AD2424</f>
        <v>0</v>
      </c>
      <c r="AJ2424">
        <f>[1]资金台帐!AJ2424</f>
        <v>0</v>
      </c>
      <c r="AK2424">
        <f>[1]资金台帐!AK2424</f>
        <v>0</v>
      </c>
      <c r="BA2424" s="22">
        <f t="shared" si="0"/>
      </c>
      <c r="BG2424" s="22">
        <f t="shared" si="1"/>
      </c>
      <c r="BH2424" s="22">
        <f t="shared" si="2"/>
        <v>0</v>
      </c>
    </row>
    <row r="2425">
      <c r="B2425">
        <f>[1]资金台帐!B2425&amp;""</f>
      </c>
      <c r="H2425">
        <f>[1]资金台帐!H2425&amp;""</f>
      </c>
      <c r="J2425">
        <f>[1]资金台帐!J2425&amp;""</f>
      </c>
      <c r="N2425">
        <f>[1]资金台帐!N2425</f>
      </c>
      <c r="O2425">
        <f>[1]资金台帐!O2425&amp;""</f>
      </c>
      <c r="P2425">
        <f>[1]资金台帐!P2425&amp;""</f>
      </c>
      <c r="Q2425">
        <f>[1]资金台帐!Q2425&amp;""</f>
      </c>
      <c r="T2425">
        <f>[1]资金台帐!T2425&amp;""</f>
      </c>
      <c r="U2425">
        <f>[1]资金台帐!U2425&amp;""</f>
      </c>
      <c r="W2425">
        <f>[1]资金台帐!W2425&amp;""</f>
      </c>
      <c r="X2425">
        <f>[1]资金台帐!X2425&amp;""</f>
      </c>
      <c r="AB2425">
        <f>[1]资金台帐!AB2425</f>
        <v>0</v>
      </c>
      <c r="AC2425">
        <f>[1]资金台帐!AC2425</f>
        <v>0</v>
      </c>
      <c r="AD2425">
        <f>[1]资金台帐!AD2425</f>
        <v>0</v>
      </c>
      <c r="AJ2425">
        <f>[1]资金台帐!AJ2425</f>
        <v>0</v>
      </c>
      <c r="AK2425">
        <f>[1]资金台帐!AK2425</f>
        <v>0</v>
      </c>
      <c r="BA2425" s="22">
        <f t="shared" si="0"/>
      </c>
      <c r="BG2425" s="22">
        <f t="shared" si="1"/>
      </c>
      <c r="BH2425" s="22">
        <f t="shared" si="2"/>
        <v>0</v>
      </c>
    </row>
    <row r="2426">
      <c r="B2426">
        <f>[1]资金台帐!B2426&amp;""</f>
      </c>
      <c r="H2426">
        <f>[1]资金台帐!H2426&amp;""</f>
      </c>
      <c r="J2426">
        <f>[1]资金台帐!J2426&amp;""</f>
      </c>
      <c r="N2426">
        <f>[1]资金台帐!N2426</f>
      </c>
      <c r="O2426">
        <f>[1]资金台帐!O2426&amp;""</f>
      </c>
      <c r="P2426">
        <f>[1]资金台帐!P2426&amp;""</f>
      </c>
      <c r="Q2426">
        <f>[1]资金台帐!Q2426&amp;""</f>
      </c>
      <c r="T2426">
        <f>[1]资金台帐!T2426&amp;""</f>
      </c>
      <c r="U2426">
        <f>[1]资金台帐!U2426&amp;""</f>
      </c>
      <c r="W2426">
        <f>[1]资金台帐!W2426&amp;""</f>
      </c>
      <c r="X2426">
        <f>[1]资金台帐!X2426&amp;""</f>
      </c>
      <c r="AB2426">
        <f>[1]资金台帐!AB2426</f>
        <v>0</v>
      </c>
      <c r="AC2426">
        <f>[1]资金台帐!AC2426</f>
        <v>0</v>
      </c>
      <c r="AD2426">
        <f>[1]资金台帐!AD2426</f>
        <v>0</v>
      </c>
      <c r="AJ2426">
        <f>[1]资金台帐!AJ2426</f>
        <v>0</v>
      </c>
      <c r="AK2426">
        <f>[1]资金台帐!AK2426</f>
        <v>0</v>
      </c>
      <c r="BA2426" s="22">
        <f t="shared" si="0"/>
      </c>
      <c r="BG2426" s="22">
        <f t="shared" si="1"/>
      </c>
      <c r="BH2426" s="22">
        <f t="shared" si="2"/>
        <v>0</v>
      </c>
    </row>
    <row r="2427">
      <c r="B2427">
        <f>[1]资金台帐!B2427&amp;""</f>
      </c>
      <c r="H2427">
        <f>[1]资金台帐!H2427&amp;""</f>
      </c>
      <c r="J2427">
        <f>[1]资金台帐!J2427&amp;""</f>
      </c>
      <c r="N2427">
        <f>[1]资金台帐!N2427</f>
      </c>
      <c r="O2427">
        <f>[1]资金台帐!O2427&amp;""</f>
      </c>
      <c r="P2427">
        <f>[1]资金台帐!P2427&amp;""</f>
      </c>
      <c r="Q2427">
        <f>[1]资金台帐!Q2427&amp;""</f>
      </c>
      <c r="T2427">
        <f>[1]资金台帐!T2427&amp;""</f>
      </c>
      <c r="U2427">
        <f>[1]资金台帐!U2427&amp;""</f>
      </c>
      <c r="W2427">
        <f>[1]资金台帐!W2427&amp;""</f>
      </c>
      <c r="X2427">
        <f>[1]资金台帐!X2427&amp;""</f>
      </c>
      <c r="AB2427">
        <f>[1]资金台帐!AB2427</f>
        <v>0</v>
      </c>
      <c r="AC2427">
        <f>[1]资金台帐!AC2427</f>
        <v>0</v>
      </c>
      <c r="AD2427">
        <f>[1]资金台帐!AD2427</f>
        <v>0</v>
      </c>
      <c r="AJ2427">
        <f>[1]资金台帐!AJ2427</f>
        <v>0</v>
      </c>
      <c r="AK2427">
        <f>[1]资金台帐!AK2427</f>
        <v>0</v>
      </c>
      <c r="BA2427" s="22">
        <f t="shared" si="0"/>
      </c>
      <c r="BG2427" s="22">
        <f t="shared" si="1"/>
      </c>
      <c r="BH2427" s="22">
        <f t="shared" si="2"/>
        <v>0</v>
      </c>
    </row>
    <row r="2428">
      <c r="B2428">
        <f>[1]资金台帐!B2428&amp;""</f>
      </c>
      <c r="H2428">
        <f>[1]资金台帐!H2428&amp;""</f>
      </c>
      <c r="J2428">
        <f>[1]资金台帐!J2428&amp;""</f>
      </c>
      <c r="N2428">
        <f>[1]资金台帐!N2428</f>
      </c>
      <c r="O2428">
        <f>[1]资金台帐!O2428&amp;""</f>
      </c>
      <c r="P2428">
        <f>[1]资金台帐!P2428&amp;""</f>
      </c>
      <c r="Q2428">
        <f>[1]资金台帐!Q2428&amp;""</f>
      </c>
      <c r="T2428">
        <f>[1]资金台帐!T2428&amp;""</f>
      </c>
      <c r="U2428">
        <f>[1]资金台帐!U2428&amp;""</f>
      </c>
      <c r="W2428">
        <f>[1]资金台帐!W2428&amp;""</f>
      </c>
      <c r="X2428">
        <f>[1]资金台帐!X2428&amp;""</f>
      </c>
      <c r="AB2428">
        <f>[1]资金台帐!AB2428</f>
        <v>0</v>
      </c>
      <c r="AC2428">
        <f>[1]资金台帐!AC2428</f>
        <v>0</v>
      </c>
      <c r="AD2428">
        <f>[1]资金台帐!AD2428</f>
        <v>0</v>
      </c>
      <c r="AJ2428">
        <f>[1]资金台帐!AJ2428</f>
        <v>0</v>
      </c>
      <c r="AK2428">
        <f>[1]资金台帐!AK2428</f>
        <v>0</v>
      </c>
      <c r="BA2428" s="22">
        <f t="shared" si="0"/>
      </c>
      <c r="BG2428" s="22">
        <f t="shared" si="1"/>
      </c>
      <c r="BH2428" s="22">
        <f t="shared" si="2"/>
        <v>0</v>
      </c>
    </row>
    <row r="2429">
      <c r="B2429">
        <f>[1]资金台帐!B2429&amp;""</f>
      </c>
      <c r="H2429">
        <f>[1]资金台帐!H2429&amp;""</f>
      </c>
      <c r="J2429">
        <f>[1]资金台帐!J2429&amp;""</f>
      </c>
      <c r="N2429">
        <f>[1]资金台帐!N2429</f>
      </c>
      <c r="O2429">
        <f>[1]资金台帐!O2429&amp;""</f>
      </c>
      <c r="P2429">
        <f>[1]资金台帐!P2429&amp;""</f>
      </c>
      <c r="Q2429">
        <f>[1]资金台帐!Q2429&amp;""</f>
      </c>
      <c r="T2429">
        <f>[1]资金台帐!T2429&amp;""</f>
      </c>
      <c r="U2429">
        <f>[1]资金台帐!U2429&amp;""</f>
      </c>
      <c r="W2429">
        <f>[1]资金台帐!W2429&amp;""</f>
      </c>
      <c r="X2429">
        <f>[1]资金台帐!X2429&amp;""</f>
      </c>
      <c r="AB2429">
        <f>[1]资金台帐!AB2429</f>
        <v>0</v>
      </c>
      <c r="AC2429">
        <f>[1]资金台帐!AC2429</f>
        <v>0</v>
      </c>
      <c r="AD2429">
        <f>[1]资金台帐!AD2429</f>
        <v>0</v>
      </c>
      <c r="AJ2429">
        <f>[1]资金台帐!AJ2429</f>
        <v>0</v>
      </c>
      <c r="AK2429">
        <f>[1]资金台帐!AK2429</f>
        <v>0</v>
      </c>
      <c r="BA2429" s="22">
        <f t="shared" si="0"/>
      </c>
      <c r="BG2429" s="22">
        <f t="shared" si="1"/>
      </c>
      <c r="BH2429" s="22">
        <f t="shared" si="2"/>
        <v>0</v>
      </c>
    </row>
    <row r="2430">
      <c r="B2430">
        <f>[1]资金台帐!B2430&amp;""</f>
      </c>
      <c r="H2430">
        <f>[1]资金台帐!H2430&amp;""</f>
      </c>
      <c r="J2430">
        <f>[1]资金台帐!J2430&amp;""</f>
      </c>
      <c r="N2430">
        <f>[1]资金台帐!N2430</f>
      </c>
      <c r="O2430">
        <f>[1]资金台帐!O2430&amp;""</f>
      </c>
      <c r="P2430">
        <f>[1]资金台帐!P2430&amp;""</f>
      </c>
      <c r="Q2430">
        <f>[1]资金台帐!Q2430&amp;""</f>
      </c>
      <c r="T2430">
        <f>[1]资金台帐!T2430&amp;""</f>
      </c>
      <c r="U2430">
        <f>[1]资金台帐!U2430&amp;""</f>
      </c>
      <c r="W2430">
        <f>[1]资金台帐!W2430&amp;""</f>
      </c>
      <c r="X2430">
        <f>[1]资金台帐!X2430&amp;""</f>
      </c>
      <c r="AB2430">
        <f>[1]资金台帐!AB2430</f>
        <v>0</v>
      </c>
      <c r="AC2430">
        <f>[1]资金台帐!AC2430</f>
        <v>0</v>
      </c>
      <c r="AD2430">
        <f>[1]资金台帐!AD2430</f>
        <v>0</v>
      </c>
      <c r="AJ2430">
        <f>[1]资金台帐!AJ2430</f>
        <v>0</v>
      </c>
      <c r="AK2430">
        <f>[1]资金台帐!AK2430</f>
        <v>0</v>
      </c>
      <c r="BA2430" s="22">
        <f t="shared" si="0"/>
      </c>
      <c r="BG2430" s="22">
        <f t="shared" si="1"/>
      </c>
      <c r="BH2430" s="22">
        <f t="shared" si="2"/>
        <v>0</v>
      </c>
    </row>
    <row r="2431">
      <c r="B2431">
        <f>[1]资金台帐!B2431&amp;""</f>
      </c>
      <c r="H2431">
        <f>[1]资金台帐!H2431&amp;""</f>
      </c>
      <c r="J2431">
        <f>[1]资金台帐!J2431&amp;""</f>
      </c>
      <c r="N2431">
        <f>[1]资金台帐!N2431</f>
      </c>
      <c r="O2431">
        <f>[1]资金台帐!O2431&amp;""</f>
      </c>
      <c r="P2431">
        <f>[1]资金台帐!P2431&amp;""</f>
      </c>
      <c r="Q2431">
        <f>[1]资金台帐!Q2431&amp;""</f>
      </c>
      <c r="T2431">
        <f>[1]资金台帐!T2431&amp;""</f>
      </c>
      <c r="U2431">
        <f>[1]资金台帐!U2431&amp;""</f>
      </c>
      <c r="W2431">
        <f>[1]资金台帐!W2431&amp;""</f>
      </c>
      <c r="X2431">
        <f>[1]资金台帐!X2431&amp;""</f>
      </c>
      <c r="AB2431">
        <f>[1]资金台帐!AB2431</f>
        <v>0</v>
      </c>
      <c r="AC2431">
        <f>[1]资金台帐!AC2431</f>
        <v>0</v>
      </c>
      <c r="AD2431">
        <f>[1]资金台帐!AD2431</f>
        <v>0</v>
      </c>
      <c r="AJ2431">
        <f>[1]资金台帐!AJ2431</f>
        <v>0</v>
      </c>
      <c r="AK2431">
        <f>[1]资金台帐!AK2431</f>
        <v>0</v>
      </c>
      <c r="BA2431" s="22">
        <f t="shared" si="0"/>
      </c>
      <c r="BG2431" s="22">
        <f t="shared" si="1"/>
      </c>
      <c r="BH2431" s="22">
        <f t="shared" si="2"/>
        <v>0</v>
      </c>
    </row>
    <row r="2432">
      <c r="B2432">
        <f>[1]资金台帐!B2432&amp;""</f>
      </c>
      <c r="H2432">
        <f>[1]资金台帐!H2432&amp;""</f>
      </c>
      <c r="J2432">
        <f>[1]资金台帐!J2432&amp;""</f>
      </c>
      <c r="N2432">
        <f>[1]资金台帐!N2432</f>
      </c>
      <c r="O2432">
        <f>[1]资金台帐!O2432&amp;""</f>
      </c>
      <c r="P2432">
        <f>[1]资金台帐!P2432&amp;""</f>
      </c>
      <c r="Q2432">
        <f>[1]资金台帐!Q2432&amp;""</f>
      </c>
      <c r="T2432">
        <f>[1]资金台帐!T2432&amp;""</f>
      </c>
      <c r="U2432">
        <f>[1]资金台帐!U2432&amp;""</f>
      </c>
      <c r="W2432">
        <f>[1]资金台帐!W2432&amp;""</f>
      </c>
      <c r="X2432">
        <f>[1]资金台帐!X2432&amp;""</f>
      </c>
      <c r="AB2432">
        <f>[1]资金台帐!AB2432</f>
        <v>0</v>
      </c>
      <c r="AC2432">
        <f>[1]资金台帐!AC2432</f>
        <v>0</v>
      </c>
      <c r="AD2432">
        <f>[1]资金台帐!AD2432</f>
        <v>0</v>
      </c>
      <c r="AJ2432">
        <f>[1]资金台帐!AJ2432</f>
        <v>0</v>
      </c>
      <c r="AK2432">
        <f>[1]资金台帐!AK2432</f>
        <v>0</v>
      </c>
      <c r="BA2432" s="22">
        <f t="shared" si="0"/>
      </c>
      <c r="BG2432" s="22">
        <f t="shared" si="1"/>
      </c>
      <c r="BH2432" s="22">
        <f t="shared" si="2"/>
        <v>0</v>
      </c>
    </row>
    <row r="2433">
      <c r="B2433">
        <f>[1]资金台帐!B2433&amp;""</f>
      </c>
      <c r="H2433">
        <f>[1]资金台帐!H2433&amp;""</f>
      </c>
      <c r="J2433">
        <f>[1]资金台帐!J2433&amp;""</f>
      </c>
      <c r="N2433">
        <f>[1]资金台帐!N2433</f>
      </c>
      <c r="O2433">
        <f>[1]资金台帐!O2433&amp;""</f>
      </c>
      <c r="P2433">
        <f>[1]资金台帐!P2433&amp;""</f>
      </c>
      <c r="Q2433">
        <f>[1]资金台帐!Q2433&amp;""</f>
      </c>
      <c r="T2433">
        <f>[1]资金台帐!T2433&amp;""</f>
      </c>
      <c r="U2433">
        <f>[1]资金台帐!U2433&amp;""</f>
      </c>
      <c r="W2433">
        <f>[1]资金台帐!W2433&amp;""</f>
      </c>
      <c r="X2433">
        <f>[1]资金台帐!X2433&amp;""</f>
      </c>
      <c r="AB2433">
        <f>[1]资金台帐!AB2433</f>
        <v>0</v>
      </c>
      <c r="AC2433">
        <f>[1]资金台帐!AC2433</f>
        <v>0</v>
      </c>
      <c r="AD2433">
        <f>[1]资金台帐!AD2433</f>
        <v>0</v>
      </c>
      <c r="AJ2433">
        <f>[1]资金台帐!AJ2433</f>
        <v>0</v>
      </c>
      <c r="AK2433">
        <f>[1]资金台帐!AK2433</f>
        <v>0</v>
      </c>
      <c r="BA2433" s="22">
        <f t="shared" si="0"/>
      </c>
      <c r="BG2433" s="22">
        <f t="shared" si="1"/>
      </c>
      <c r="BH2433" s="22">
        <f t="shared" si="2"/>
        <v>0</v>
      </c>
    </row>
    <row r="2434">
      <c r="B2434">
        <f>[1]资金台帐!B2434&amp;""</f>
      </c>
      <c r="H2434">
        <f>[1]资金台帐!H2434&amp;""</f>
      </c>
      <c r="J2434">
        <f>[1]资金台帐!J2434&amp;""</f>
      </c>
      <c r="N2434">
        <f>[1]资金台帐!N2434</f>
      </c>
      <c r="O2434">
        <f>[1]资金台帐!O2434&amp;""</f>
      </c>
      <c r="P2434">
        <f>[1]资金台帐!P2434&amp;""</f>
      </c>
      <c r="Q2434">
        <f>[1]资金台帐!Q2434&amp;""</f>
      </c>
      <c r="T2434">
        <f>[1]资金台帐!T2434&amp;""</f>
      </c>
      <c r="U2434">
        <f>[1]资金台帐!U2434&amp;""</f>
      </c>
      <c r="W2434">
        <f>[1]资金台帐!W2434&amp;""</f>
      </c>
      <c r="X2434">
        <f>[1]资金台帐!X2434&amp;""</f>
      </c>
      <c r="AB2434">
        <f>[1]资金台帐!AB2434</f>
        <v>0</v>
      </c>
      <c r="AC2434">
        <f>[1]资金台帐!AC2434</f>
        <v>0</v>
      </c>
      <c r="AD2434">
        <f>[1]资金台帐!AD2434</f>
        <v>0</v>
      </c>
      <c r="AJ2434">
        <f>[1]资金台帐!AJ2434</f>
        <v>0</v>
      </c>
      <c r="AK2434">
        <f>[1]资金台帐!AK2434</f>
        <v>0</v>
      </c>
      <c r="BA2434" s="22">
        <f t="shared" si="0"/>
      </c>
      <c r="BG2434" s="22">
        <f t="shared" si="1"/>
      </c>
      <c r="BH2434" s="22">
        <f t="shared" si="2"/>
        <v>0</v>
      </c>
    </row>
    <row r="2435">
      <c r="B2435">
        <f>[1]资金台帐!B2435&amp;""</f>
      </c>
      <c r="H2435">
        <f>[1]资金台帐!H2435&amp;""</f>
      </c>
      <c r="J2435">
        <f>[1]资金台帐!J2435&amp;""</f>
      </c>
      <c r="N2435">
        <f>[1]资金台帐!N2435</f>
      </c>
      <c r="O2435">
        <f>[1]资金台帐!O2435&amp;""</f>
      </c>
      <c r="P2435">
        <f>[1]资金台帐!P2435&amp;""</f>
      </c>
      <c r="Q2435">
        <f>[1]资金台帐!Q2435&amp;""</f>
      </c>
      <c r="T2435">
        <f>[1]资金台帐!T2435&amp;""</f>
      </c>
      <c r="U2435">
        <f>[1]资金台帐!U2435&amp;""</f>
      </c>
      <c r="W2435">
        <f>[1]资金台帐!W2435&amp;""</f>
      </c>
      <c r="X2435">
        <f>[1]资金台帐!X2435&amp;""</f>
      </c>
      <c r="AB2435">
        <f>[1]资金台帐!AB2435</f>
        <v>0</v>
      </c>
      <c r="AC2435">
        <f>[1]资金台帐!AC2435</f>
        <v>0</v>
      </c>
      <c r="AD2435">
        <f>[1]资金台帐!AD2435</f>
        <v>0</v>
      </c>
      <c r="AJ2435">
        <f>[1]资金台帐!AJ2435</f>
        <v>0</v>
      </c>
      <c r="AK2435">
        <f>[1]资金台帐!AK2435</f>
        <v>0</v>
      </c>
      <c r="BA2435" s="22">
        <f t="shared" si="0"/>
      </c>
      <c r="BG2435" s="22">
        <f t="shared" si="1"/>
      </c>
      <c r="BH2435" s="22">
        <f t="shared" si="2"/>
        <v>0</v>
      </c>
    </row>
    <row r="2436">
      <c r="B2436">
        <f>[1]资金台帐!B2436&amp;""</f>
      </c>
      <c r="H2436">
        <f>[1]资金台帐!H2436&amp;""</f>
      </c>
      <c r="J2436">
        <f>[1]资金台帐!J2436&amp;""</f>
      </c>
      <c r="N2436">
        <f>[1]资金台帐!N2436</f>
      </c>
      <c r="O2436">
        <f>[1]资金台帐!O2436&amp;""</f>
      </c>
      <c r="P2436">
        <f>[1]资金台帐!P2436&amp;""</f>
      </c>
      <c r="Q2436">
        <f>[1]资金台帐!Q2436&amp;""</f>
      </c>
      <c r="T2436">
        <f>[1]资金台帐!T2436&amp;""</f>
      </c>
      <c r="U2436">
        <f>[1]资金台帐!U2436&amp;""</f>
      </c>
      <c r="W2436">
        <f>[1]资金台帐!W2436&amp;""</f>
      </c>
      <c r="X2436">
        <f>[1]资金台帐!X2436&amp;""</f>
      </c>
      <c r="AB2436">
        <f>[1]资金台帐!AB2436</f>
        <v>0</v>
      </c>
      <c r="AC2436">
        <f>[1]资金台帐!AC2436</f>
        <v>0</v>
      </c>
      <c r="AD2436">
        <f>[1]资金台帐!AD2436</f>
        <v>0</v>
      </c>
      <c r="AJ2436">
        <f>[1]资金台帐!AJ2436</f>
        <v>0</v>
      </c>
      <c r="AK2436">
        <f>[1]资金台帐!AK2436</f>
        <v>0</v>
      </c>
      <c r="BA2436" s="22">
        <f t="shared" si="0"/>
      </c>
      <c r="BG2436" s="22">
        <f t="shared" si="1"/>
      </c>
      <c r="BH2436" s="22">
        <f t="shared" si="2"/>
        <v>0</v>
      </c>
    </row>
    <row r="2437">
      <c r="B2437">
        <f>[1]资金台帐!B2437&amp;""</f>
      </c>
      <c r="H2437">
        <f>[1]资金台帐!H2437&amp;""</f>
      </c>
      <c r="J2437">
        <f>[1]资金台帐!J2437&amp;""</f>
      </c>
      <c r="N2437">
        <f>[1]资金台帐!N2437</f>
      </c>
      <c r="O2437">
        <f>[1]资金台帐!O2437&amp;""</f>
      </c>
      <c r="P2437">
        <f>[1]资金台帐!P2437&amp;""</f>
      </c>
      <c r="Q2437">
        <f>[1]资金台帐!Q2437&amp;""</f>
      </c>
      <c r="T2437">
        <f>[1]资金台帐!T2437&amp;""</f>
      </c>
      <c r="U2437">
        <f>[1]资金台帐!U2437&amp;""</f>
      </c>
      <c r="W2437">
        <f>[1]资金台帐!W2437&amp;""</f>
      </c>
      <c r="X2437">
        <f>[1]资金台帐!X2437&amp;""</f>
      </c>
      <c r="AB2437">
        <f>[1]资金台帐!AB2437</f>
        <v>0</v>
      </c>
      <c r="AC2437">
        <f>[1]资金台帐!AC2437</f>
        <v>0</v>
      </c>
      <c r="AD2437">
        <f>[1]资金台帐!AD2437</f>
        <v>0</v>
      </c>
      <c r="AJ2437">
        <f>[1]资金台帐!AJ2437</f>
        <v>0</v>
      </c>
      <c r="AK2437">
        <f>[1]资金台帐!AK2437</f>
        <v>0</v>
      </c>
      <c r="BA2437" s="22">
        <f t="shared" si="0"/>
      </c>
      <c r="BG2437" s="22">
        <f t="shared" si="1"/>
      </c>
      <c r="BH2437" s="22">
        <f t="shared" si="2"/>
        <v>0</v>
      </c>
    </row>
    <row r="2438">
      <c r="B2438">
        <f>[1]资金台帐!B2438&amp;""</f>
      </c>
      <c r="H2438">
        <f>[1]资金台帐!H2438&amp;""</f>
      </c>
      <c r="J2438">
        <f>[1]资金台帐!J2438&amp;""</f>
      </c>
      <c r="N2438">
        <f>[1]资金台帐!N2438</f>
      </c>
      <c r="O2438">
        <f>[1]资金台帐!O2438&amp;""</f>
      </c>
      <c r="P2438">
        <f>[1]资金台帐!P2438&amp;""</f>
      </c>
      <c r="Q2438">
        <f>[1]资金台帐!Q2438&amp;""</f>
      </c>
      <c r="T2438">
        <f>[1]资金台帐!T2438&amp;""</f>
      </c>
      <c r="U2438">
        <f>[1]资金台帐!U2438&amp;""</f>
      </c>
      <c r="W2438">
        <f>[1]资金台帐!W2438&amp;""</f>
      </c>
      <c r="X2438">
        <f>[1]资金台帐!X2438&amp;""</f>
      </c>
      <c r="AB2438">
        <f>[1]资金台帐!AB2438</f>
        <v>0</v>
      </c>
      <c r="AC2438">
        <f>[1]资金台帐!AC2438</f>
        <v>0</v>
      </c>
      <c r="AD2438">
        <f>[1]资金台帐!AD2438</f>
        <v>0</v>
      </c>
      <c r="AJ2438">
        <f>[1]资金台帐!AJ2438</f>
        <v>0</v>
      </c>
      <c r="AK2438">
        <f>[1]资金台帐!AK2438</f>
        <v>0</v>
      </c>
      <c r="BA2438" s="22">
        <f t="shared" si="0"/>
      </c>
      <c r="BG2438" s="22">
        <f t="shared" si="1"/>
      </c>
      <c r="BH2438" s="22">
        <f t="shared" si="2"/>
        <v>0</v>
      </c>
    </row>
    <row r="2439">
      <c r="B2439">
        <f>[1]资金台帐!B2439&amp;""</f>
      </c>
      <c r="H2439">
        <f>[1]资金台帐!H2439&amp;""</f>
      </c>
      <c r="J2439">
        <f>[1]资金台帐!J2439&amp;""</f>
      </c>
      <c r="N2439">
        <f>[1]资金台帐!N2439</f>
      </c>
      <c r="O2439">
        <f>[1]资金台帐!O2439&amp;""</f>
      </c>
      <c r="P2439">
        <f>[1]资金台帐!P2439&amp;""</f>
      </c>
      <c r="Q2439">
        <f>[1]资金台帐!Q2439&amp;""</f>
      </c>
      <c r="T2439">
        <f>[1]资金台帐!T2439&amp;""</f>
      </c>
      <c r="U2439">
        <f>[1]资金台帐!U2439&amp;""</f>
      </c>
      <c r="W2439">
        <f>[1]资金台帐!W2439&amp;""</f>
      </c>
      <c r="X2439">
        <f>[1]资金台帐!X2439&amp;""</f>
      </c>
      <c r="AB2439">
        <f>[1]资金台帐!AB2439</f>
        <v>0</v>
      </c>
      <c r="AC2439">
        <f>[1]资金台帐!AC2439</f>
        <v>0</v>
      </c>
      <c r="AD2439">
        <f>[1]资金台帐!AD2439</f>
        <v>0</v>
      </c>
      <c r="AJ2439">
        <f>[1]资金台帐!AJ2439</f>
        <v>0</v>
      </c>
      <c r="AK2439">
        <f>[1]资金台帐!AK2439</f>
        <v>0</v>
      </c>
      <c r="BA2439" s="22">
        <f t="shared" si="0"/>
      </c>
      <c r="BG2439" s="22">
        <f t="shared" si="1"/>
      </c>
      <c r="BH2439" s="22">
        <f t="shared" si="2"/>
        <v>0</v>
      </c>
    </row>
    <row r="2440">
      <c r="B2440">
        <f>[1]资金台帐!B2440&amp;""</f>
      </c>
      <c r="H2440">
        <f>[1]资金台帐!H2440&amp;""</f>
      </c>
      <c r="J2440">
        <f>[1]资金台帐!J2440&amp;""</f>
      </c>
      <c r="N2440">
        <f>[1]资金台帐!N2440</f>
      </c>
      <c r="O2440">
        <f>[1]资金台帐!O2440&amp;""</f>
      </c>
      <c r="P2440">
        <f>[1]资金台帐!P2440&amp;""</f>
      </c>
      <c r="Q2440">
        <f>[1]资金台帐!Q2440&amp;""</f>
      </c>
      <c r="T2440">
        <f>[1]资金台帐!T2440&amp;""</f>
      </c>
      <c r="U2440">
        <f>[1]资金台帐!U2440&amp;""</f>
      </c>
      <c r="W2440">
        <f>[1]资金台帐!W2440&amp;""</f>
      </c>
      <c r="X2440">
        <f>[1]资金台帐!X2440&amp;""</f>
      </c>
      <c r="AB2440">
        <f>[1]资金台帐!AB2440</f>
        <v>0</v>
      </c>
      <c r="AC2440">
        <f>[1]资金台帐!AC2440</f>
        <v>0</v>
      </c>
      <c r="AD2440">
        <f>[1]资金台帐!AD2440</f>
        <v>0</v>
      </c>
      <c r="AJ2440">
        <f>[1]资金台帐!AJ2440</f>
        <v>0</v>
      </c>
      <c r="AK2440">
        <f>[1]资金台帐!AK2440</f>
        <v>0</v>
      </c>
      <c r="BA2440" s="22">
        <f t="shared" si="0"/>
      </c>
      <c r="BG2440" s="22">
        <f t="shared" si="1"/>
      </c>
      <c r="BH2440" s="22">
        <f t="shared" si="2"/>
        <v>0</v>
      </c>
    </row>
    <row r="2441">
      <c r="B2441">
        <f>[1]资金台帐!B2441&amp;""</f>
      </c>
      <c r="H2441">
        <f>[1]资金台帐!H2441&amp;""</f>
      </c>
      <c r="J2441">
        <f>[1]资金台帐!J2441&amp;""</f>
      </c>
      <c r="N2441">
        <f>[1]资金台帐!N2441</f>
      </c>
      <c r="O2441">
        <f>[1]资金台帐!O2441&amp;""</f>
      </c>
      <c r="P2441">
        <f>[1]资金台帐!P2441&amp;""</f>
      </c>
      <c r="Q2441">
        <f>[1]资金台帐!Q2441&amp;""</f>
      </c>
      <c r="T2441">
        <f>[1]资金台帐!T2441&amp;""</f>
      </c>
      <c r="U2441">
        <f>[1]资金台帐!U2441&amp;""</f>
      </c>
      <c r="W2441">
        <f>[1]资金台帐!W2441&amp;""</f>
      </c>
      <c r="X2441">
        <f>[1]资金台帐!X2441&amp;""</f>
      </c>
      <c r="AB2441">
        <f>[1]资金台帐!AB2441</f>
        <v>0</v>
      </c>
      <c r="AC2441">
        <f>[1]资金台帐!AC2441</f>
        <v>0</v>
      </c>
      <c r="AD2441">
        <f>[1]资金台帐!AD2441</f>
        <v>0</v>
      </c>
      <c r="AJ2441">
        <f>[1]资金台帐!AJ2441</f>
        <v>0</v>
      </c>
      <c r="AK2441">
        <f>[1]资金台帐!AK2441</f>
        <v>0</v>
      </c>
      <c r="BA2441" s="22">
        <f t="shared" si="0"/>
      </c>
      <c r="BG2441" s="22">
        <f t="shared" si="1"/>
      </c>
      <c r="BH2441" s="22">
        <f t="shared" si="2"/>
        <v>0</v>
      </c>
    </row>
    <row r="2442">
      <c r="B2442">
        <f>[1]资金台帐!B2442&amp;""</f>
      </c>
      <c r="H2442">
        <f>[1]资金台帐!H2442&amp;""</f>
      </c>
      <c r="J2442">
        <f>[1]资金台帐!J2442&amp;""</f>
      </c>
      <c r="N2442">
        <f>[1]资金台帐!N2442</f>
      </c>
      <c r="O2442">
        <f>[1]资金台帐!O2442&amp;""</f>
      </c>
      <c r="P2442">
        <f>[1]资金台帐!P2442&amp;""</f>
      </c>
      <c r="Q2442">
        <f>[1]资金台帐!Q2442&amp;""</f>
      </c>
      <c r="T2442">
        <f>[1]资金台帐!T2442&amp;""</f>
      </c>
      <c r="U2442">
        <f>[1]资金台帐!U2442&amp;""</f>
      </c>
      <c r="W2442">
        <f>[1]资金台帐!W2442&amp;""</f>
      </c>
      <c r="X2442">
        <f>[1]资金台帐!X2442&amp;""</f>
      </c>
      <c r="AB2442">
        <f>[1]资金台帐!AB2442</f>
        <v>0</v>
      </c>
      <c r="AC2442">
        <f>[1]资金台帐!AC2442</f>
        <v>0</v>
      </c>
      <c r="AD2442">
        <f>[1]资金台帐!AD2442</f>
        <v>0</v>
      </c>
      <c r="AJ2442">
        <f>[1]资金台帐!AJ2442</f>
        <v>0</v>
      </c>
      <c r="AK2442">
        <f>[1]资金台帐!AK2442</f>
        <v>0</v>
      </c>
      <c r="BA2442" s="22">
        <f t="shared" si="0"/>
      </c>
      <c r="BG2442" s="22">
        <f t="shared" si="1"/>
      </c>
      <c r="BH2442" s="22">
        <f t="shared" si="2"/>
        <v>0</v>
      </c>
    </row>
    <row r="2443">
      <c r="B2443">
        <f>[1]资金台帐!B2443&amp;""</f>
      </c>
      <c r="H2443">
        <f>[1]资金台帐!H2443&amp;""</f>
      </c>
      <c r="J2443">
        <f>[1]资金台帐!J2443&amp;""</f>
      </c>
      <c r="N2443">
        <f>[1]资金台帐!N2443</f>
      </c>
      <c r="O2443">
        <f>[1]资金台帐!O2443&amp;""</f>
      </c>
      <c r="P2443">
        <f>[1]资金台帐!P2443&amp;""</f>
      </c>
      <c r="Q2443">
        <f>[1]资金台帐!Q2443&amp;""</f>
      </c>
      <c r="T2443">
        <f>[1]资金台帐!T2443&amp;""</f>
      </c>
      <c r="U2443">
        <f>[1]资金台帐!U2443&amp;""</f>
      </c>
      <c r="W2443">
        <f>[1]资金台帐!W2443&amp;""</f>
      </c>
      <c r="X2443">
        <f>[1]资金台帐!X2443&amp;""</f>
      </c>
      <c r="AB2443">
        <f>[1]资金台帐!AB2443</f>
        <v>0</v>
      </c>
      <c r="AC2443">
        <f>[1]资金台帐!AC2443</f>
        <v>0</v>
      </c>
      <c r="AD2443">
        <f>[1]资金台帐!AD2443</f>
        <v>0</v>
      </c>
      <c r="AJ2443">
        <f>[1]资金台帐!AJ2443</f>
        <v>0</v>
      </c>
      <c r="AK2443">
        <f>[1]资金台帐!AK2443</f>
        <v>0</v>
      </c>
      <c r="BA2443" s="22">
        <f t="shared" si="0"/>
      </c>
      <c r="BG2443" s="22">
        <f t="shared" si="1"/>
      </c>
      <c r="BH2443" s="22">
        <f t="shared" si="2"/>
        <v>0</v>
      </c>
    </row>
    <row r="2444">
      <c r="B2444">
        <f>[1]资金台帐!B2444&amp;""</f>
      </c>
      <c r="H2444">
        <f>[1]资金台帐!H2444&amp;""</f>
      </c>
      <c r="J2444">
        <f>[1]资金台帐!J2444&amp;""</f>
      </c>
      <c r="N2444">
        <f>[1]资金台帐!N2444</f>
      </c>
      <c r="O2444">
        <f>[1]资金台帐!O2444&amp;""</f>
      </c>
      <c r="P2444">
        <f>[1]资金台帐!P2444&amp;""</f>
      </c>
      <c r="Q2444">
        <f>[1]资金台帐!Q2444&amp;""</f>
      </c>
      <c r="T2444">
        <f>[1]资金台帐!T2444&amp;""</f>
      </c>
      <c r="U2444">
        <f>[1]资金台帐!U2444&amp;""</f>
      </c>
      <c r="W2444">
        <f>[1]资金台帐!W2444&amp;""</f>
      </c>
      <c r="X2444">
        <f>[1]资金台帐!X2444&amp;""</f>
      </c>
      <c r="AB2444">
        <f>[1]资金台帐!AB2444</f>
        <v>0</v>
      </c>
      <c r="AC2444">
        <f>[1]资金台帐!AC2444</f>
        <v>0</v>
      </c>
      <c r="AD2444">
        <f>[1]资金台帐!AD2444</f>
        <v>0</v>
      </c>
      <c r="AJ2444">
        <f>[1]资金台帐!AJ2444</f>
        <v>0</v>
      </c>
      <c r="AK2444">
        <f>[1]资金台帐!AK2444</f>
        <v>0</v>
      </c>
      <c r="BA2444" s="22">
        <f t="shared" si="0"/>
      </c>
      <c r="BG2444" s="22">
        <f t="shared" si="1"/>
      </c>
      <c r="BH2444" s="22">
        <f t="shared" si="2"/>
        <v>0</v>
      </c>
    </row>
    <row r="2445">
      <c r="B2445">
        <f>[1]资金台帐!B2445&amp;""</f>
      </c>
      <c r="H2445">
        <f>[1]资金台帐!H2445&amp;""</f>
      </c>
      <c r="J2445">
        <f>[1]资金台帐!J2445&amp;""</f>
      </c>
      <c r="N2445">
        <f>[1]资金台帐!N2445</f>
      </c>
      <c r="O2445">
        <f>[1]资金台帐!O2445&amp;""</f>
      </c>
      <c r="P2445">
        <f>[1]资金台帐!P2445&amp;""</f>
      </c>
      <c r="Q2445">
        <f>[1]资金台帐!Q2445&amp;""</f>
      </c>
      <c r="T2445">
        <f>[1]资金台帐!T2445&amp;""</f>
      </c>
      <c r="U2445">
        <f>[1]资金台帐!U2445&amp;""</f>
      </c>
      <c r="W2445">
        <f>[1]资金台帐!W2445&amp;""</f>
      </c>
      <c r="X2445">
        <f>[1]资金台帐!X2445&amp;""</f>
      </c>
      <c r="AB2445">
        <f>[1]资金台帐!AB2445</f>
        <v>0</v>
      </c>
      <c r="AC2445">
        <f>[1]资金台帐!AC2445</f>
        <v>0</v>
      </c>
      <c r="AD2445">
        <f>[1]资金台帐!AD2445</f>
        <v>0</v>
      </c>
      <c r="AJ2445">
        <f>[1]资金台帐!AJ2445</f>
        <v>0</v>
      </c>
      <c r="AK2445">
        <f>[1]资金台帐!AK2445</f>
        <v>0</v>
      </c>
      <c r="BA2445" s="22">
        <f t="shared" si="0"/>
      </c>
      <c r="BG2445" s="22">
        <f t="shared" si="1"/>
      </c>
      <c r="BH2445" s="22">
        <f t="shared" si="2"/>
        <v>0</v>
      </c>
    </row>
    <row r="2446">
      <c r="B2446">
        <f>[1]资金台帐!B2446&amp;""</f>
      </c>
      <c r="H2446">
        <f>[1]资金台帐!H2446&amp;""</f>
      </c>
      <c r="J2446">
        <f>[1]资金台帐!J2446&amp;""</f>
      </c>
      <c r="N2446">
        <f>[1]资金台帐!N2446</f>
      </c>
      <c r="O2446">
        <f>[1]资金台帐!O2446&amp;""</f>
      </c>
      <c r="P2446">
        <f>[1]资金台帐!P2446&amp;""</f>
      </c>
      <c r="Q2446">
        <f>[1]资金台帐!Q2446&amp;""</f>
      </c>
      <c r="T2446">
        <f>[1]资金台帐!T2446&amp;""</f>
      </c>
      <c r="U2446">
        <f>[1]资金台帐!U2446&amp;""</f>
      </c>
      <c r="W2446">
        <f>[1]资金台帐!W2446&amp;""</f>
      </c>
      <c r="X2446">
        <f>[1]资金台帐!X2446&amp;""</f>
      </c>
      <c r="AB2446">
        <f>[1]资金台帐!AB2446</f>
        <v>0</v>
      </c>
      <c r="AC2446">
        <f>[1]资金台帐!AC2446</f>
        <v>0</v>
      </c>
      <c r="AD2446">
        <f>[1]资金台帐!AD2446</f>
        <v>0</v>
      </c>
      <c r="AJ2446">
        <f>[1]资金台帐!AJ2446</f>
        <v>0</v>
      </c>
      <c r="AK2446">
        <f>[1]资金台帐!AK2446</f>
        <v>0</v>
      </c>
      <c r="BA2446" s="22">
        <f t="shared" si="0"/>
      </c>
      <c r="BG2446" s="22">
        <f t="shared" si="1"/>
      </c>
      <c r="BH2446" s="22">
        <f t="shared" si="2"/>
        <v>0</v>
      </c>
    </row>
    <row r="2447">
      <c r="B2447">
        <f>[1]资金台帐!B2447&amp;""</f>
      </c>
      <c r="H2447">
        <f>[1]资金台帐!H2447&amp;""</f>
      </c>
      <c r="J2447">
        <f>[1]资金台帐!J2447&amp;""</f>
      </c>
      <c r="N2447">
        <f>[1]资金台帐!N2447</f>
      </c>
      <c r="O2447">
        <f>[1]资金台帐!O2447&amp;""</f>
      </c>
      <c r="P2447">
        <f>[1]资金台帐!P2447&amp;""</f>
      </c>
      <c r="Q2447">
        <f>[1]资金台帐!Q2447&amp;""</f>
      </c>
      <c r="T2447">
        <f>[1]资金台帐!T2447&amp;""</f>
      </c>
      <c r="U2447">
        <f>[1]资金台帐!U2447&amp;""</f>
      </c>
      <c r="W2447">
        <f>[1]资金台帐!W2447&amp;""</f>
      </c>
      <c r="X2447">
        <f>[1]资金台帐!X2447&amp;""</f>
      </c>
      <c r="AB2447">
        <f>[1]资金台帐!AB2447</f>
        <v>0</v>
      </c>
      <c r="AC2447">
        <f>[1]资金台帐!AC2447</f>
        <v>0</v>
      </c>
      <c r="AD2447">
        <f>[1]资金台帐!AD2447</f>
        <v>0</v>
      </c>
      <c r="AJ2447">
        <f>[1]资金台帐!AJ2447</f>
        <v>0</v>
      </c>
      <c r="AK2447">
        <f>[1]资金台帐!AK2447</f>
        <v>0</v>
      </c>
      <c r="BA2447" s="22">
        <f t="shared" si="0"/>
      </c>
      <c r="BG2447" s="22">
        <f t="shared" si="1"/>
      </c>
      <c r="BH2447" s="22">
        <f t="shared" si="2"/>
        <v>0</v>
      </c>
    </row>
    <row r="2448">
      <c r="B2448">
        <f>[1]资金台帐!B2448&amp;""</f>
      </c>
      <c r="H2448">
        <f>[1]资金台帐!H2448&amp;""</f>
      </c>
      <c r="J2448">
        <f>[1]资金台帐!J2448&amp;""</f>
      </c>
      <c r="N2448">
        <f>[1]资金台帐!N2448</f>
      </c>
      <c r="O2448">
        <f>[1]资金台帐!O2448&amp;""</f>
      </c>
      <c r="P2448">
        <f>[1]资金台帐!P2448&amp;""</f>
      </c>
      <c r="Q2448">
        <f>[1]资金台帐!Q2448&amp;""</f>
      </c>
      <c r="T2448">
        <f>[1]资金台帐!T2448&amp;""</f>
      </c>
      <c r="U2448">
        <f>[1]资金台帐!U2448&amp;""</f>
      </c>
      <c r="W2448">
        <f>[1]资金台帐!W2448&amp;""</f>
      </c>
      <c r="X2448">
        <f>[1]资金台帐!X2448&amp;""</f>
      </c>
      <c r="AB2448">
        <f>[1]资金台帐!AB2448</f>
        <v>0</v>
      </c>
      <c r="AC2448">
        <f>[1]资金台帐!AC2448</f>
        <v>0</v>
      </c>
      <c r="AD2448">
        <f>[1]资金台帐!AD2448</f>
        <v>0</v>
      </c>
      <c r="AJ2448">
        <f>[1]资金台帐!AJ2448</f>
        <v>0</v>
      </c>
      <c r="AK2448">
        <f>[1]资金台帐!AK2448</f>
        <v>0</v>
      </c>
      <c r="BA2448" s="22">
        <f t="shared" si="0"/>
      </c>
      <c r="BG2448" s="22">
        <f t="shared" si="1"/>
      </c>
      <c r="BH2448" s="22">
        <f t="shared" si="2"/>
        <v>0</v>
      </c>
    </row>
    <row r="2449">
      <c r="B2449">
        <f>[1]资金台帐!B2449&amp;""</f>
      </c>
      <c r="H2449">
        <f>[1]资金台帐!H2449&amp;""</f>
      </c>
      <c r="J2449">
        <f>[1]资金台帐!J2449&amp;""</f>
      </c>
      <c r="N2449">
        <f>[1]资金台帐!N2449</f>
      </c>
      <c r="O2449">
        <f>[1]资金台帐!O2449&amp;""</f>
      </c>
      <c r="P2449">
        <f>[1]资金台帐!P2449&amp;""</f>
      </c>
      <c r="Q2449">
        <f>[1]资金台帐!Q2449&amp;""</f>
      </c>
      <c r="T2449">
        <f>[1]资金台帐!T2449&amp;""</f>
      </c>
      <c r="U2449">
        <f>[1]资金台帐!U2449&amp;""</f>
      </c>
      <c r="W2449">
        <f>[1]资金台帐!W2449&amp;""</f>
      </c>
      <c r="X2449">
        <f>[1]资金台帐!X2449&amp;""</f>
      </c>
      <c r="AB2449">
        <f>[1]资金台帐!AB2449</f>
        <v>0</v>
      </c>
      <c r="AC2449">
        <f>[1]资金台帐!AC2449</f>
        <v>0</v>
      </c>
      <c r="AD2449">
        <f>[1]资金台帐!AD2449</f>
        <v>0</v>
      </c>
      <c r="AJ2449">
        <f>[1]资金台帐!AJ2449</f>
        <v>0</v>
      </c>
      <c r="AK2449">
        <f>[1]资金台帐!AK2449</f>
        <v>0</v>
      </c>
      <c r="BA2449" s="22">
        <f t="shared" si="0"/>
      </c>
      <c r="BG2449" s="22">
        <f t="shared" si="1"/>
      </c>
      <c r="BH2449" s="22">
        <f t="shared" si="2"/>
        <v>0</v>
      </c>
    </row>
    <row r="2450">
      <c r="B2450">
        <f>[1]资金台帐!B2450&amp;""</f>
      </c>
      <c r="H2450">
        <f>[1]资金台帐!H2450&amp;""</f>
      </c>
      <c r="J2450">
        <f>[1]资金台帐!J2450&amp;""</f>
      </c>
      <c r="N2450">
        <f>[1]资金台帐!N2450</f>
      </c>
      <c r="O2450">
        <f>[1]资金台帐!O2450&amp;""</f>
      </c>
      <c r="P2450">
        <f>[1]资金台帐!P2450&amp;""</f>
      </c>
      <c r="Q2450">
        <f>[1]资金台帐!Q2450&amp;""</f>
      </c>
      <c r="T2450">
        <f>[1]资金台帐!T2450&amp;""</f>
      </c>
      <c r="U2450">
        <f>[1]资金台帐!U2450&amp;""</f>
      </c>
      <c r="W2450">
        <f>[1]资金台帐!W2450&amp;""</f>
      </c>
      <c r="X2450">
        <f>[1]资金台帐!X2450&amp;""</f>
      </c>
      <c r="AB2450">
        <f>[1]资金台帐!AB2450</f>
        <v>0</v>
      </c>
      <c r="AC2450">
        <f>[1]资金台帐!AC2450</f>
        <v>0</v>
      </c>
      <c r="AD2450">
        <f>[1]资金台帐!AD2450</f>
        <v>0</v>
      </c>
      <c r="AJ2450">
        <f>[1]资金台帐!AJ2450</f>
        <v>0</v>
      </c>
      <c r="AK2450">
        <f>[1]资金台帐!AK2450</f>
        <v>0</v>
      </c>
      <c r="BA2450" s="22">
        <f t="shared" si="0"/>
      </c>
      <c r="BG2450" s="22">
        <f t="shared" si="1"/>
      </c>
      <c r="BH2450" s="22">
        <f t="shared" si="2"/>
        <v>0</v>
      </c>
    </row>
    <row r="2451">
      <c r="B2451">
        <f>[1]资金台帐!B2451&amp;""</f>
      </c>
      <c r="H2451">
        <f>[1]资金台帐!H2451&amp;""</f>
      </c>
      <c r="J2451">
        <f>[1]资金台帐!J2451&amp;""</f>
      </c>
      <c r="N2451">
        <f>[1]资金台帐!N2451</f>
      </c>
      <c r="O2451">
        <f>[1]资金台帐!O2451&amp;""</f>
      </c>
      <c r="P2451">
        <f>[1]资金台帐!P2451&amp;""</f>
      </c>
      <c r="Q2451">
        <f>[1]资金台帐!Q2451&amp;""</f>
      </c>
      <c r="T2451">
        <f>[1]资金台帐!T2451&amp;""</f>
      </c>
      <c r="U2451">
        <f>[1]资金台帐!U2451&amp;""</f>
      </c>
      <c r="W2451">
        <f>[1]资金台帐!W2451&amp;""</f>
      </c>
      <c r="X2451">
        <f>[1]资金台帐!X2451&amp;""</f>
      </c>
      <c r="AB2451">
        <f>[1]资金台帐!AB2451</f>
        <v>0</v>
      </c>
      <c r="AC2451">
        <f>[1]资金台帐!AC2451</f>
        <v>0</v>
      </c>
      <c r="AD2451">
        <f>[1]资金台帐!AD2451</f>
        <v>0</v>
      </c>
      <c r="AJ2451">
        <f>[1]资金台帐!AJ2451</f>
        <v>0</v>
      </c>
      <c r="AK2451">
        <f>[1]资金台帐!AK2451</f>
        <v>0</v>
      </c>
      <c r="BA2451" s="22">
        <f t="shared" si="0"/>
      </c>
      <c r="BG2451" s="22">
        <f t="shared" si="1"/>
      </c>
      <c r="BH2451" s="22">
        <f t="shared" si="2"/>
        <v>0</v>
      </c>
    </row>
    <row r="2452">
      <c r="B2452">
        <f>[1]资金台帐!B2452&amp;""</f>
      </c>
      <c r="H2452">
        <f>[1]资金台帐!H2452&amp;""</f>
      </c>
      <c r="J2452">
        <f>[1]资金台帐!J2452&amp;""</f>
      </c>
      <c r="N2452">
        <f>[1]资金台帐!N2452</f>
      </c>
      <c r="O2452">
        <f>[1]资金台帐!O2452&amp;""</f>
      </c>
      <c r="P2452">
        <f>[1]资金台帐!P2452&amp;""</f>
      </c>
      <c r="Q2452">
        <f>[1]资金台帐!Q2452&amp;""</f>
      </c>
      <c r="T2452">
        <f>[1]资金台帐!T2452&amp;""</f>
      </c>
      <c r="U2452">
        <f>[1]资金台帐!U2452&amp;""</f>
      </c>
      <c r="W2452">
        <f>[1]资金台帐!W2452&amp;""</f>
      </c>
      <c r="X2452">
        <f>[1]资金台帐!X2452&amp;""</f>
      </c>
      <c r="AB2452">
        <f>[1]资金台帐!AB2452</f>
        <v>0</v>
      </c>
      <c r="AC2452">
        <f>[1]资金台帐!AC2452</f>
        <v>0</v>
      </c>
      <c r="AD2452">
        <f>[1]资金台帐!AD2452</f>
        <v>0</v>
      </c>
      <c r="AJ2452">
        <f>[1]资金台帐!AJ2452</f>
        <v>0</v>
      </c>
      <c r="AK2452">
        <f>[1]资金台帐!AK2452</f>
        <v>0</v>
      </c>
      <c r="BA2452" s="22">
        <f t="shared" si="0"/>
      </c>
      <c r="BG2452" s="22">
        <f t="shared" si="1"/>
      </c>
      <c r="BH2452" s="22">
        <f t="shared" si="2"/>
        <v>0</v>
      </c>
    </row>
    <row r="2453">
      <c r="B2453">
        <f>[1]资金台帐!B2453&amp;""</f>
      </c>
      <c r="H2453">
        <f>[1]资金台帐!H2453&amp;""</f>
      </c>
      <c r="J2453">
        <f>[1]资金台帐!J2453&amp;""</f>
      </c>
      <c r="N2453">
        <f>[1]资金台帐!N2453</f>
      </c>
      <c r="O2453">
        <f>[1]资金台帐!O2453&amp;""</f>
      </c>
      <c r="P2453">
        <f>[1]资金台帐!P2453&amp;""</f>
      </c>
      <c r="Q2453">
        <f>[1]资金台帐!Q2453&amp;""</f>
      </c>
      <c r="T2453">
        <f>[1]资金台帐!T2453&amp;""</f>
      </c>
      <c r="U2453">
        <f>[1]资金台帐!U2453&amp;""</f>
      </c>
      <c r="W2453">
        <f>[1]资金台帐!W2453&amp;""</f>
      </c>
      <c r="X2453">
        <f>[1]资金台帐!X2453&amp;""</f>
      </c>
      <c r="AB2453">
        <f>[1]资金台帐!AB2453</f>
        <v>0</v>
      </c>
      <c r="AC2453">
        <f>[1]资金台帐!AC2453</f>
        <v>0</v>
      </c>
      <c r="AD2453">
        <f>[1]资金台帐!AD2453</f>
        <v>0</v>
      </c>
      <c r="AJ2453">
        <f>[1]资金台帐!AJ2453</f>
        <v>0</v>
      </c>
      <c r="AK2453">
        <f>[1]资金台帐!AK2453</f>
        <v>0</v>
      </c>
      <c r="BA2453" s="22">
        <f t="shared" si="0"/>
      </c>
      <c r="BG2453" s="22">
        <f t="shared" si="1"/>
      </c>
      <c r="BH2453" s="22">
        <f t="shared" si="2"/>
        <v>0</v>
      </c>
    </row>
    <row r="2454">
      <c r="B2454">
        <f>[1]资金台帐!B2454&amp;""</f>
      </c>
      <c r="H2454">
        <f>[1]资金台帐!H2454&amp;""</f>
      </c>
      <c r="J2454">
        <f>[1]资金台帐!J2454&amp;""</f>
      </c>
      <c r="N2454">
        <f>[1]资金台帐!N2454</f>
      </c>
      <c r="O2454">
        <f>[1]资金台帐!O2454&amp;""</f>
      </c>
      <c r="P2454">
        <f>[1]资金台帐!P2454&amp;""</f>
      </c>
      <c r="Q2454">
        <f>[1]资金台帐!Q2454&amp;""</f>
      </c>
      <c r="T2454">
        <f>[1]资金台帐!T2454&amp;""</f>
      </c>
      <c r="U2454">
        <f>[1]资金台帐!U2454&amp;""</f>
      </c>
      <c r="W2454">
        <f>[1]资金台帐!W2454&amp;""</f>
      </c>
      <c r="X2454">
        <f>[1]资金台帐!X2454&amp;""</f>
      </c>
      <c r="AB2454">
        <f>[1]资金台帐!AB2454</f>
        <v>0</v>
      </c>
      <c r="AC2454">
        <f>[1]资金台帐!AC2454</f>
        <v>0</v>
      </c>
      <c r="AD2454">
        <f>[1]资金台帐!AD2454</f>
        <v>0</v>
      </c>
      <c r="AJ2454">
        <f>[1]资金台帐!AJ2454</f>
        <v>0</v>
      </c>
      <c r="AK2454">
        <f>[1]资金台帐!AK2454</f>
        <v>0</v>
      </c>
      <c r="BA2454" s="22">
        <f t="shared" si="0"/>
      </c>
      <c r="BG2454" s="22">
        <f t="shared" si="1"/>
      </c>
      <c r="BH2454" s="22">
        <f t="shared" si="2"/>
        <v>0</v>
      </c>
    </row>
    <row r="2455">
      <c r="B2455">
        <f>[1]资金台帐!B2455&amp;""</f>
      </c>
      <c r="H2455">
        <f>[1]资金台帐!H2455&amp;""</f>
      </c>
      <c r="J2455">
        <f>[1]资金台帐!J2455&amp;""</f>
      </c>
      <c r="N2455">
        <f>[1]资金台帐!N2455</f>
      </c>
      <c r="O2455">
        <f>[1]资金台帐!O2455&amp;""</f>
      </c>
      <c r="P2455">
        <f>[1]资金台帐!P2455&amp;""</f>
      </c>
      <c r="Q2455">
        <f>[1]资金台帐!Q2455&amp;""</f>
      </c>
      <c r="T2455">
        <f>[1]资金台帐!T2455&amp;""</f>
      </c>
      <c r="U2455">
        <f>[1]资金台帐!U2455&amp;""</f>
      </c>
      <c r="W2455">
        <f>[1]资金台帐!W2455&amp;""</f>
      </c>
      <c r="X2455">
        <f>[1]资金台帐!X2455&amp;""</f>
      </c>
      <c r="AB2455">
        <f>[1]资金台帐!AB2455</f>
        <v>0</v>
      </c>
      <c r="AC2455">
        <f>[1]资金台帐!AC2455</f>
        <v>0</v>
      </c>
      <c r="AD2455">
        <f>[1]资金台帐!AD2455</f>
        <v>0</v>
      </c>
      <c r="AJ2455">
        <f>[1]资金台帐!AJ2455</f>
        <v>0</v>
      </c>
      <c r="AK2455">
        <f>[1]资金台帐!AK2455</f>
        <v>0</v>
      </c>
      <c r="BA2455" s="22">
        <f t="shared" si="0"/>
      </c>
      <c r="BG2455" s="22">
        <f t="shared" si="1"/>
      </c>
      <c r="BH2455" s="22">
        <f t="shared" si="2"/>
        <v>0</v>
      </c>
    </row>
    <row r="2456">
      <c r="B2456">
        <f>[1]资金台帐!B2456&amp;""</f>
      </c>
      <c r="H2456">
        <f>[1]资金台帐!H2456&amp;""</f>
      </c>
      <c r="J2456">
        <f>[1]资金台帐!J2456&amp;""</f>
      </c>
      <c r="N2456">
        <f>[1]资金台帐!N2456</f>
      </c>
      <c r="O2456">
        <f>[1]资金台帐!O2456&amp;""</f>
      </c>
      <c r="P2456">
        <f>[1]资金台帐!P2456&amp;""</f>
      </c>
      <c r="Q2456">
        <f>[1]资金台帐!Q2456&amp;""</f>
      </c>
      <c r="T2456">
        <f>[1]资金台帐!T2456&amp;""</f>
      </c>
      <c r="U2456">
        <f>[1]资金台帐!U2456&amp;""</f>
      </c>
      <c r="W2456">
        <f>[1]资金台帐!W2456&amp;""</f>
      </c>
      <c r="X2456">
        <f>[1]资金台帐!X2456&amp;""</f>
      </c>
      <c r="AB2456">
        <f>[1]资金台帐!AB2456</f>
        <v>0</v>
      </c>
      <c r="AC2456">
        <f>[1]资金台帐!AC2456</f>
        <v>0</v>
      </c>
      <c r="AD2456">
        <f>[1]资金台帐!AD2456</f>
        <v>0</v>
      </c>
      <c r="AJ2456">
        <f>[1]资金台帐!AJ2456</f>
        <v>0</v>
      </c>
      <c r="AK2456">
        <f>[1]资金台帐!AK2456</f>
        <v>0</v>
      </c>
      <c r="BA2456" s="22">
        <f t="shared" si="0"/>
      </c>
      <c r="BG2456" s="22">
        <f t="shared" si="1"/>
      </c>
      <c r="BH2456" s="22">
        <f t="shared" si="2"/>
        <v>0</v>
      </c>
    </row>
    <row r="2457">
      <c r="B2457">
        <f>[1]资金台帐!B2457&amp;""</f>
      </c>
      <c r="H2457">
        <f>[1]资金台帐!H2457&amp;""</f>
      </c>
      <c r="J2457">
        <f>[1]资金台帐!J2457&amp;""</f>
      </c>
      <c r="N2457">
        <f>[1]资金台帐!N2457</f>
      </c>
      <c r="O2457">
        <f>[1]资金台帐!O2457&amp;""</f>
      </c>
      <c r="P2457">
        <f>[1]资金台帐!P2457&amp;""</f>
      </c>
      <c r="Q2457">
        <f>[1]资金台帐!Q2457&amp;""</f>
      </c>
      <c r="T2457">
        <f>[1]资金台帐!T2457&amp;""</f>
      </c>
      <c r="U2457">
        <f>[1]资金台帐!U2457&amp;""</f>
      </c>
      <c r="W2457">
        <f>[1]资金台帐!W2457&amp;""</f>
      </c>
      <c r="X2457">
        <f>[1]资金台帐!X2457&amp;""</f>
      </c>
      <c r="AB2457">
        <f>[1]资金台帐!AB2457</f>
        <v>0</v>
      </c>
      <c r="AC2457">
        <f>[1]资金台帐!AC2457</f>
        <v>0</v>
      </c>
      <c r="AD2457">
        <f>[1]资金台帐!AD2457</f>
        <v>0</v>
      </c>
      <c r="AJ2457">
        <f>[1]资金台帐!AJ2457</f>
        <v>0</v>
      </c>
      <c r="AK2457">
        <f>[1]资金台帐!AK2457</f>
        <v>0</v>
      </c>
      <c r="BA2457" s="22">
        <f t="shared" si="0"/>
      </c>
      <c r="BG2457" s="22">
        <f t="shared" si="1"/>
      </c>
      <c r="BH2457" s="22">
        <f t="shared" si="2"/>
        <v>0</v>
      </c>
    </row>
    <row r="2458">
      <c r="B2458">
        <f>[1]资金台帐!B2458&amp;""</f>
      </c>
      <c r="H2458">
        <f>[1]资金台帐!H2458&amp;""</f>
      </c>
      <c r="J2458">
        <f>[1]资金台帐!J2458&amp;""</f>
      </c>
      <c r="N2458">
        <f>[1]资金台帐!N2458</f>
      </c>
      <c r="O2458">
        <f>[1]资金台帐!O2458&amp;""</f>
      </c>
      <c r="P2458">
        <f>[1]资金台帐!P2458&amp;""</f>
      </c>
      <c r="Q2458">
        <f>[1]资金台帐!Q2458&amp;""</f>
      </c>
      <c r="T2458">
        <f>[1]资金台帐!T2458&amp;""</f>
      </c>
      <c r="U2458">
        <f>[1]资金台帐!U2458&amp;""</f>
      </c>
      <c r="W2458">
        <f>[1]资金台帐!W2458&amp;""</f>
      </c>
      <c r="X2458">
        <f>[1]资金台帐!X2458&amp;""</f>
      </c>
      <c r="AB2458">
        <f>[1]资金台帐!AB2458</f>
        <v>0</v>
      </c>
      <c r="AC2458">
        <f>[1]资金台帐!AC2458</f>
        <v>0</v>
      </c>
      <c r="AD2458">
        <f>[1]资金台帐!AD2458</f>
        <v>0</v>
      </c>
      <c r="AJ2458">
        <f>[1]资金台帐!AJ2458</f>
        <v>0</v>
      </c>
      <c r="AK2458">
        <f>[1]资金台帐!AK2458</f>
        <v>0</v>
      </c>
      <c r="BA2458" s="22">
        <f t="shared" si="0"/>
      </c>
      <c r="BG2458" s="22">
        <f t="shared" si="1"/>
      </c>
      <c r="BH2458" s="22">
        <f t="shared" si="2"/>
        <v>0</v>
      </c>
    </row>
    <row r="2459">
      <c r="B2459">
        <f>[1]资金台帐!B2459&amp;""</f>
      </c>
      <c r="H2459">
        <f>[1]资金台帐!H2459&amp;""</f>
      </c>
      <c r="J2459">
        <f>[1]资金台帐!J2459&amp;""</f>
      </c>
      <c r="N2459">
        <f>[1]资金台帐!N2459</f>
      </c>
      <c r="O2459">
        <f>[1]资金台帐!O2459&amp;""</f>
      </c>
      <c r="P2459">
        <f>[1]资金台帐!P2459&amp;""</f>
      </c>
      <c r="Q2459">
        <f>[1]资金台帐!Q2459&amp;""</f>
      </c>
      <c r="T2459">
        <f>[1]资金台帐!T2459&amp;""</f>
      </c>
      <c r="U2459">
        <f>[1]资金台帐!U2459&amp;""</f>
      </c>
      <c r="W2459">
        <f>[1]资金台帐!W2459&amp;""</f>
      </c>
      <c r="X2459">
        <f>[1]资金台帐!X2459&amp;""</f>
      </c>
      <c r="AB2459">
        <f>[1]资金台帐!AB2459</f>
        <v>0</v>
      </c>
      <c r="AC2459">
        <f>[1]资金台帐!AC2459</f>
        <v>0</v>
      </c>
      <c r="AD2459">
        <f>[1]资金台帐!AD2459</f>
        <v>0</v>
      </c>
      <c r="AJ2459">
        <f>[1]资金台帐!AJ2459</f>
        <v>0</v>
      </c>
      <c r="AK2459">
        <f>[1]资金台帐!AK2459</f>
        <v>0</v>
      </c>
      <c r="BA2459" s="22">
        <f t="shared" si="0"/>
      </c>
      <c r="BG2459" s="22">
        <f t="shared" si="1"/>
      </c>
      <c r="BH2459" s="22">
        <f t="shared" si="2"/>
        <v>0</v>
      </c>
    </row>
    <row r="2460">
      <c r="B2460">
        <f>[1]资金台帐!B2460&amp;""</f>
      </c>
      <c r="H2460">
        <f>[1]资金台帐!H2460&amp;""</f>
      </c>
      <c r="J2460">
        <f>[1]资金台帐!J2460&amp;""</f>
      </c>
      <c r="N2460">
        <f>[1]资金台帐!N2460</f>
      </c>
      <c r="O2460">
        <f>[1]资金台帐!O2460&amp;""</f>
      </c>
      <c r="P2460">
        <f>[1]资金台帐!P2460&amp;""</f>
      </c>
      <c r="Q2460">
        <f>[1]资金台帐!Q2460&amp;""</f>
      </c>
      <c r="T2460">
        <f>[1]资金台帐!T2460&amp;""</f>
      </c>
      <c r="U2460">
        <f>[1]资金台帐!U2460&amp;""</f>
      </c>
      <c r="W2460">
        <f>[1]资金台帐!W2460&amp;""</f>
      </c>
      <c r="X2460">
        <f>[1]资金台帐!X2460&amp;""</f>
      </c>
      <c r="AB2460">
        <f>[1]资金台帐!AB2460</f>
        <v>0</v>
      </c>
      <c r="AC2460">
        <f>[1]资金台帐!AC2460</f>
        <v>0</v>
      </c>
      <c r="AD2460">
        <f>[1]资金台帐!AD2460</f>
        <v>0</v>
      </c>
      <c r="AJ2460">
        <f>[1]资金台帐!AJ2460</f>
        <v>0</v>
      </c>
      <c r="AK2460">
        <f>[1]资金台帐!AK2460</f>
        <v>0</v>
      </c>
      <c r="BA2460" s="22">
        <f t="shared" si="0"/>
      </c>
      <c r="BG2460" s="22">
        <f t="shared" si="1"/>
      </c>
      <c r="BH2460" s="22">
        <f t="shared" si="2"/>
        <v>0</v>
      </c>
    </row>
    <row r="2461">
      <c r="B2461">
        <f>[1]资金台帐!B2461&amp;""</f>
      </c>
      <c r="H2461">
        <f>[1]资金台帐!H2461&amp;""</f>
      </c>
      <c r="J2461">
        <f>[1]资金台帐!J2461&amp;""</f>
      </c>
      <c r="N2461">
        <f>[1]资金台帐!N2461</f>
      </c>
      <c r="O2461">
        <f>[1]资金台帐!O2461&amp;""</f>
      </c>
      <c r="P2461">
        <f>[1]资金台帐!P2461&amp;""</f>
      </c>
      <c r="Q2461">
        <f>[1]资金台帐!Q2461&amp;""</f>
      </c>
      <c r="T2461">
        <f>[1]资金台帐!T2461&amp;""</f>
      </c>
      <c r="U2461">
        <f>[1]资金台帐!U2461&amp;""</f>
      </c>
      <c r="W2461">
        <f>[1]资金台帐!W2461&amp;""</f>
      </c>
      <c r="X2461">
        <f>[1]资金台帐!X2461&amp;""</f>
      </c>
      <c r="AB2461">
        <f>[1]资金台帐!AB2461</f>
        <v>0</v>
      </c>
      <c r="AC2461">
        <f>[1]资金台帐!AC2461</f>
        <v>0</v>
      </c>
      <c r="AD2461">
        <f>[1]资金台帐!AD2461</f>
        <v>0</v>
      </c>
      <c r="AJ2461">
        <f>[1]资金台帐!AJ2461</f>
        <v>0</v>
      </c>
      <c r="AK2461">
        <f>[1]资金台帐!AK2461</f>
        <v>0</v>
      </c>
      <c r="BA2461" s="22">
        <f t="shared" si="0"/>
      </c>
      <c r="BG2461" s="22">
        <f t="shared" si="1"/>
      </c>
      <c r="BH2461" s="22">
        <f t="shared" si="2"/>
        <v>0</v>
      </c>
    </row>
    <row r="2462">
      <c r="B2462">
        <f>[1]资金台帐!B2462&amp;""</f>
      </c>
      <c r="H2462">
        <f>[1]资金台帐!H2462&amp;""</f>
      </c>
      <c r="J2462">
        <f>[1]资金台帐!J2462&amp;""</f>
      </c>
      <c r="N2462">
        <f>[1]资金台帐!N2462</f>
      </c>
      <c r="O2462">
        <f>[1]资金台帐!O2462&amp;""</f>
      </c>
      <c r="P2462">
        <f>[1]资金台帐!P2462&amp;""</f>
      </c>
      <c r="Q2462">
        <f>[1]资金台帐!Q2462&amp;""</f>
      </c>
      <c r="T2462">
        <f>[1]资金台帐!T2462&amp;""</f>
      </c>
      <c r="U2462">
        <f>[1]资金台帐!U2462&amp;""</f>
      </c>
      <c r="W2462">
        <f>[1]资金台帐!W2462&amp;""</f>
      </c>
      <c r="X2462">
        <f>[1]资金台帐!X2462&amp;""</f>
      </c>
      <c r="AB2462">
        <f>[1]资金台帐!AB2462</f>
        <v>0</v>
      </c>
      <c r="AC2462">
        <f>[1]资金台帐!AC2462</f>
        <v>0</v>
      </c>
      <c r="AD2462">
        <f>[1]资金台帐!AD2462</f>
        <v>0</v>
      </c>
      <c r="AJ2462">
        <f>[1]资金台帐!AJ2462</f>
        <v>0</v>
      </c>
      <c r="AK2462">
        <f>[1]资金台帐!AK2462</f>
        <v>0</v>
      </c>
      <c r="BA2462" s="22">
        <f t="shared" si="0"/>
      </c>
      <c r="BG2462" s="22">
        <f t="shared" si="1"/>
      </c>
      <c r="BH2462" s="22">
        <f t="shared" si="2"/>
        <v>0</v>
      </c>
    </row>
    <row r="2463">
      <c r="B2463">
        <f>[1]资金台帐!B2463&amp;""</f>
      </c>
      <c r="H2463">
        <f>[1]资金台帐!H2463&amp;""</f>
      </c>
      <c r="J2463">
        <f>[1]资金台帐!J2463&amp;""</f>
      </c>
      <c r="N2463">
        <f>[1]资金台帐!N2463</f>
      </c>
      <c r="O2463">
        <f>[1]资金台帐!O2463&amp;""</f>
      </c>
      <c r="P2463">
        <f>[1]资金台帐!P2463&amp;""</f>
      </c>
      <c r="Q2463">
        <f>[1]资金台帐!Q2463&amp;""</f>
      </c>
      <c r="T2463">
        <f>[1]资金台帐!T2463&amp;""</f>
      </c>
      <c r="U2463">
        <f>[1]资金台帐!U2463&amp;""</f>
      </c>
      <c r="W2463">
        <f>[1]资金台帐!W2463&amp;""</f>
      </c>
      <c r="X2463">
        <f>[1]资金台帐!X2463&amp;""</f>
      </c>
      <c r="AB2463">
        <f>[1]资金台帐!AB2463</f>
        <v>0</v>
      </c>
      <c r="AC2463">
        <f>[1]资金台帐!AC2463</f>
        <v>0</v>
      </c>
      <c r="AD2463">
        <f>[1]资金台帐!AD2463</f>
        <v>0</v>
      </c>
      <c r="AJ2463">
        <f>[1]资金台帐!AJ2463</f>
        <v>0</v>
      </c>
      <c r="AK2463">
        <f>[1]资金台帐!AK2463</f>
        <v>0</v>
      </c>
      <c r="BA2463" s="22">
        <f t="shared" si="0"/>
      </c>
      <c r="BG2463" s="22">
        <f t="shared" si="1"/>
      </c>
      <c r="BH2463" s="22">
        <f t="shared" si="2"/>
        <v>0</v>
      </c>
    </row>
    <row r="2464">
      <c r="B2464">
        <f>[1]资金台帐!B2464&amp;""</f>
      </c>
      <c r="H2464">
        <f>[1]资金台帐!H2464&amp;""</f>
      </c>
      <c r="J2464">
        <f>[1]资金台帐!J2464&amp;""</f>
      </c>
      <c r="N2464">
        <f>[1]资金台帐!N2464</f>
      </c>
      <c r="O2464">
        <f>[1]资金台帐!O2464&amp;""</f>
      </c>
      <c r="P2464">
        <f>[1]资金台帐!P2464&amp;""</f>
      </c>
      <c r="Q2464">
        <f>[1]资金台帐!Q2464&amp;""</f>
      </c>
      <c r="T2464">
        <f>[1]资金台帐!T2464&amp;""</f>
      </c>
      <c r="U2464">
        <f>[1]资金台帐!U2464&amp;""</f>
      </c>
      <c r="W2464">
        <f>[1]资金台帐!W2464&amp;""</f>
      </c>
      <c r="X2464">
        <f>[1]资金台帐!X2464&amp;""</f>
      </c>
      <c r="AB2464">
        <f>[1]资金台帐!AB2464</f>
        <v>0</v>
      </c>
      <c r="AC2464">
        <f>[1]资金台帐!AC2464</f>
        <v>0</v>
      </c>
      <c r="AD2464">
        <f>[1]资金台帐!AD2464</f>
        <v>0</v>
      </c>
      <c r="AJ2464">
        <f>[1]资金台帐!AJ2464</f>
        <v>0</v>
      </c>
      <c r="AK2464">
        <f>[1]资金台帐!AK2464</f>
        <v>0</v>
      </c>
      <c r="BA2464" s="22">
        <f t="shared" si="0"/>
      </c>
      <c r="BG2464" s="22">
        <f t="shared" si="1"/>
      </c>
      <c r="BH2464" s="22">
        <f t="shared" si="2"/>
        <v>0</v>
      </c>
    </row>
    <row r="2465">
      <c r="B2465">
        <f>[1]资金台帐!B2465&amp;""</f>
      </c>
      <c r="H2465">
        <f>[1]资金台帐!H2465&amp;""</f>
      </c>
      <c r="J2465">
        <f>[1]资金台帐!J2465&amp;""</f>
      </c>
      <c r="N2465">
        <f>[1]资金台帐!N2465</f>
      </c>
      <c r="O2465">
        <f>[1]资金台帐!O2465&amp;""</f>
      </c>
      <c r="P2465">
        <f>[1]资金台帐!P2465&amp;""</f>
      </c>
      <c r="Q2465">
        <f>[1]资金台帐!Q2465&amp;""</f>
      </c>
      <c r="T2465">
        <f>[1]资金台帐!T2465&amp;""</f>
      </c>
      <c r="U2465">
        <f>[1]资金台帐!U2465&amp;""</f>
      </c>
      <c r="W2465">
        <f>[1]资金台帐!W2465&amp;""</f>
      </c>
      <c r="X2465">
        <f>[1]资金台帐!X2465&amp;""</f>
      </c>
      <c r="AB2465">
        <f>[1]资金台帐!AB2465</f>
        <v>0</v>
      </c>
      <c r="AC2465">
        <f>[1]资金台帐!AC2465</f>
        <v>0</v>
      </c>
      <c r="AD2465">
        <f>[1]资金台帐!AD2465</f>
        <v>0</v>
      </c>
      <c r="AJ2465">
        <f>[1]资金台帐!AJ2465</f>
        <v>0</v>
      </c>
      <c r="AK2465">
        <f>[1]资金台帐!AK2465</f>
        <v>0</v>
      </c>
      <c r="BA2465" s="22">
        <f t="shared" si="0"/>
      </c>
      <c r="BG2465" s="22">
        <f t="shared" si="1"/>
      </c>
      <c r="BH2465" s="22">
        <f t="shared" si="2"/>
        <v>0</v>
      </c>
    </row>
    <row r="2466">
      <c r="B2466">
        <f>[1]资金台帐!B2466&amp;""</f>
      </c>
      <c r="H2466">
        <f>[1]资金台帐!H2466&amp;""</f>
      </c>
      <c r="J2466">
        <f>[1]资金台帐!J2466&amp;""</f>
      </c>
      <c r="N2466">
        <f>[1]资金台帐!N2466</f>
      </c>
      <c r="O2466">
        <f>[1]资金台帐!O2466&amp;""</f>
      </c>
      <c r="P2466">
        <f>[1]资金台帐!P2466&amp;""</f>
      </c>
      <c r="Q2466">
        <f>[1]资金台帐!Q2466&amp;""</f>
      </c>
      <c r="T2466">
        <f>[1]资金台帐!T2466&amp;""</f>
      </c>
      <c r="U2466">
        <f>[1]资金台帐!U2466&amp;""</f>
      </c>
      <c r="W2466">
        <f>[1]资金台帐!W2466&amp;""</f>
      </c>
      <c r="X2466">
        <f>[1]资金台帐!X2466&amp;""</f>
      </c>
      <c r="AB2466">
        <f>[1]资金台帐!AB2466</f>
        <v>0</v>
      </c>
      <c r="AC2466">
        <f>[1]资金台帐!AC2466</f>
        <v>0</v>
      </c>
      <c r="AD2466">
        <f>[1]资金台帐!AD2466</f>
        <v>0</v>
      </c>
      <c r="AJ2466">
        <f>[1]资金台帐!AJ2466</f>
        <v>0</v>
      </c>
      <c r="AK2466">
        <f>[1]资金台帐!AK2466</f>
        <v>0</v>
      </c>
      <c r="BA2466" s="22">
        <f t="shared" si="0"/>
      </c>
      <c r="BG2466" s="22">
        <f t="shared" si="1"/>
      </c>
      <c r="BH2466" s="22">
        <f t="shared" si="2"/>
        <v>0</v>
      </c>
    </row>
    <row r="2467">
      <c r="B2467">
        <f>[1]资金台帐!B2467&amp;""</f>
      </c>
      <c r="H2467">
        <f>[1]资金台帐!H2467&amp;""</f>
      </c>
      <c r="J2467">
        <f>[1]资金台帐!J2467&amp;""</f>
      </c>
      <c r="N2467">
        <f>[1]资金台帐!N2467</f>
      </c>
      <c r="O2467">
        <f>[1]资金台帐!O2467&amp;""</f>
      </c>
      <c r="P2467">
        <f>[1]资金台帐!P2467&amp;""</f>
      </c>
      <c r="Q2467">
        <f>[1]资金台帐!Q2467&amp;""</f>
      </c>
      <c r="T2467">
        <f>[1]资金台帐!T2467&amp;""</f>
      </c>
      <c r="U2467">
        <f>[1]资金台帐!U2467&amp;""</f>
      </c>
      <c r="W2467">
        <f>[1]资金台帐!W2467&amp;""</f>
      </c>
      <c r="X2467">
        <f>[1]资金台帐!X2467&amp;""</f>
      </c>
      <c r="AB2467">
        <f>[1]资金台帐!AB2467</f>
        <v>0</v>
      </c>
      <c r="AC2467">
        <f>[1]资金台帐!AC2467</f>
        <v>0</v>
      </c>
      <c r="AD2467">
        <f>[1]资金台帐!AD2467</f>
        <v>0</v>
      </c>
      <c r="AJ2467">
        <f>[1]资金台帐!AJ2467</f>
        <v>0</v>
      </c>
      <c r="AK2467">
        <f>[1]资金台帐!AK2467</f>
        <v>0</v>
      </c>
      <c r="BA2467" s="22">
        <f t="shared" si="0"/>
      </c>
      <c r="BG2467" s="22">
        <f t="shared" si="1"/>
      </c>
      <c r="BH2467" s="22">
        <f t="shared" si="2"/>
        <v>0</v>
      </c>
    </row>
    <row r="2468">
      <c r="B2468">
        <f>[1]资金台帐!B2468&amp;""</f>
      </c>
      <c r="H2468">
        <f>[1]资金台帐!H2468&amp;""</f>
      </c>
      <c r="J2468">
        <f>[1]资金台帐!J2468&amp;""</f>
      </c>
      <c r="N2468">
        <f>[1]资金台帐!N2468</f>
      </c>
      <c r="O2468">
        <f>[1]资金台帐!O2468&amp;""</f>
      </c>
      <c r="P2468">
        <f>[1]资金台帐!P2468&amp;""</f>
      </c>
      <c r="Q2468">
        <f>[1]资金台帐!Q2468&amp;""</f>
      </c>
      <c r="T2468">
        <f>[1]资金台帐!T2468&amp;""</f>
      </c>
      <c r="U2468">
        <f>[1]资金台帐!U2468&amp;""</f>
      </c>
      <c r="W2468">
        <f>[1]资金台帐!W2468&amp;""</f>
      </c>
      <c r="X2468">
        <f>[1]资金台帐!X2468&amp;""</f>
      </c>
      <c r="AB2468">
        <f>[1]资金台帐!AB2468</f>
        <v>0</v>
      </c>
      <c r="AC2468">
        <f>[1]资金台帐!AC2468</f>
        <v>0</v>
      </c>
      <c r="AD2468">
        <f>[1]资金台帐!AD2468</f>
        <v>0</v>
      </c>
      <c r="AJ2468">
        <f>[1]资金台帐!AJ2468</f>
        <v>0</v>
      </c>
      <c r="AK2468">
        <f>[1]资金台帐!AK2468</f>
        <v>0</v>
      </c>
      <c r="BA2468" s="22">
        <f t="shared" si="0"/>
      </c>
      <c r="BG2468" s="22">
        <f t="shared" si="1"/>
      </c>
      <c r="BH2468" s="22">
        <f t="shared" si="2"/>
        <v>0</v>
      </c>
    </row>
    <row r="2469">
      <c r="B2469">
        <f>[1]资金台帐!B2469&amp;""</f>
      </c>
      <c r="H2469">
        <f>[1]资金台帐!H2469&amp;""</f>
      </c>
      <c r="J2469">
        <f>[1]资金台帐!J2469&amp;""</f>
      </c>
      <c r="N2469">
        <f>[1]资金台帐!N2469</f>
      </c>
      <c r="O2469">
        <f>[1]资金台帐!O2469&amp;""</f>
      </c>
      <c r="P2469">
        <f>[1]资金台帐!P2469&amp;""</f>
      </c>
      <c r="Q2469">
        <f>[1]资金台帐!Q2469&amp;""</f>
      </c>
      <c r="T2469">
        <f>[1]资金台帐!T2469&amp;""</f>
      </c>
      <c r="U2469">
        <f>[1]资金台帐!U2469&amp;""</f>
      </c>
      <c r="W2469">
        <f>[1]资金台帐!W2469&amp;""</f>
      </c>
      <c r="X2469">
        <f>[1]资金台帐!X2469&amp;""</f>
      </c>
      <c r="AB2469">
        <f>[1]资金台帐!AB2469</f>
        <v>0</v>
      </c>
      <c r="AC2469">
        <f>[1]资金台帐!AC2469</f>
        <v>0</v>
      </c>
      <c r="AD2469">
        <f>[1]资金台帐!AD2469</f>
        <v>0</v>
      </c>
      <c r="AJ2469">
        <f>[1]资金台帐!AJ2469</f>
        <v>0</v>
      </c>
      <c r="AK2469">
        <f>[1]资金台帐!AK2469</f>
        <v>0</v>
      </c>
      <c r="BA2469" s="22">
        <f t="shared" si="0"/>
      </c>
      <c r="BG2469" s="22">
        <f t="shared" si="1"/>
      </c>
      <c r="BH2469" s="22">
        <f t="shared" si="2"/>
        <v>0</v>
      </c>
    </row>
    <row r="2470">
      <c r="B2470">
        <f>[1]资金台帐!B2470&amp;""</f>
      </c>
      <c r="H2470">
        <f>[1]资金台帐!H2470&amp;""</f>
      </c>
      <c r="J2470">
        <f>[1]资金台帐!J2470&amp;""</f>
      </c>
      <c r="N2470">
        <f>[1]资金台帐!N2470</f>
      </c>
      <c r="O2470">
        <f>[1]资金台帐!O2470&amp;""</f>
      </c>
      <c r="P2470">
        <f>[1]资金台帐!P2470&amp;""</f>
      </c>
      <c r="Q2470">
        <f>[1]资金台帐!Q2470&amp;""</f>
      </c>
      <c r="T2470">
        <f>[1]资金台帐!T2470&amp;""</f>
      </c>
      <c r="U2470">
        <f>[1]资金台帐!U2470&amp;""</f>
      </c>
      <c r="W2470">
        <f>[1]资金台帐!W2470&amp;""</f>
      </c>
      <c r="X2470">
        <f>[1]资金台帐!X2470&amp;""</f>
      </c>
      <c r="AB2470">
        <f>[1]资金台帐!AB2470</f>
        <v>0</v>
      </c>
      <c r="AC2470">
        <f>[1]资金台帐!AC2470</f>
        <v>0</v>
      </c>
      <c r="AD2470">
        <f>[1]资金台帐!AD2470</f>
        <v>0</v>
      </c>
      <c r="AJ2470">
        <f>[1]资金台帐!AJ2470</f>
        <v>0</v>
      </c>
      <c r="AK2470">
        <f>[1]资金台帐!AK2470</f>
        <v>0</v>
      </c>
      <c r="BA2470" s="22">
        <f t="shared" si="0"/>
      </c>
      <c r="BG2470" s="22">
        <f t="shared" si="1"/>
      </c>
      <c r="BH2470" s="22">
        <f t="shared" si="2"/>
        <v>0</v>
      </c>
    </row>
    <row r="2471">
      <c r="B2471">
        <f>[1]资金台帐!B2471&amp;""</f>
      </c>
      <c r="H2471">
        <f>[1]资金台帐!H2471&amp;""</f>
      </c>
      <c r="J2471">
        <f>[1]资金台帐!J2471&amp;""</f>
      </c>
      <c r="N2471">
        <f>[1]资金台帐!N2471</f>
      </c>
      <c r="O2471">
        <f>[1]资金台帐!O2471&amp;""</f>
      </c>
      <c r="P2471">
        <f>[1]资金台帐!P2471&amp;""</f>
      </c>
      <c r="Q2471">
        <f>[1]资金台帐!Q2471&amp;""</f>
      </c>
      <c r="T2471">
        <f>[1]资金台帐!T2471&amp;""</f>
      </c>
      <c r="U2471">
        <f>[1]资金台帐!U2471&amp;""</f>
      </c>
      <c r="W2471">
        <f>[1]资金台帐!W2471&amp;""</f>
      </c>
      <c r="X2471">
        <f>[1]资金台帐!X2471&amp;""</f>
      </c>
      <c r="AB2471">
        <f>[1]资金台帐!AB2471</f>
        <v>0</v>
      </c>
      <c r="AC2471">
        <f>[1]资金台帐!AC2471</f>
        <v>0</v>
      </c>
      <c r="AD2471">
        <f>[1]资金台帐!AD2471</f>
        <v>0</v>
      </c>
      <c r="AJ2471">
        <f>[1]资金台帐!AJ2471</f>
        <v>0</v>
      </c>
      <c r="AK2471">
        <f>[1]资金台帐!AK2471</f>
        <v>0</v>
      </c>
      <c r="BA2471" s="22">
        <f t="shared" si="0"/>
      </c>
      <c r="BG2471" s="22">
        <f t="shared" si="1"/>
      </c>
      <c r="BH2471" s="22">
        <f t="shared" si="2"/>
        <v>0</v>
      </c>
    </row>
    <row r="2472">
      <c r="B2472">
        <f>[1]资金台帐!B2472&amp;""</f>
      </c>
      <c r="H2472">
        <f>[1]资金台帐!H2472&amp;""</f>
      </c>
      <c r="J2472">
        <f>[1]资金台帐!J2472&amp;""</f>
      </c>
      <c r="N2472">
        <f>[1]资金台帐!N2472</f>
      </c>
      <c r="O2472">
        <f>[1]资金台帐!O2472&amp;""</f>
      </c>
      <c r="P2472">
        <f>[1]资金台帐!P2472&amp;""</f>
      </c>
      <c r="Q2472">
        <f>[1]资金台帐!Q2472&amp;""</f>
      </c>
      <c r="T2472">
        <f>[1]资金台帐!T2472&amp;""</f>
      </c>
      <c r="U2472">
        <f>[1]资金台帐!U2472&amp;""</f>
      </c>
      <c r="W2472">
        <f>[1]资金台帐!W2472&amp;""</f>
      </c>
      <c r="X2472">
        <f>[1]资金台帐!X2472&amp;""</f>
      </c>
      <c r="AB2472">
        <f>[1]资金台帐!AB2472</f>
        <v>0</v>
      </c>
      <c r="AC2472">
        <f>[1]资金台帐!AC2472</f>
        <v>0</v>
      </c>
      <c r="AD2472">
        <f>[1]资金台帐!AD2472</f>
        <v>0</v>
      </c>
      <c r="AJ2472">
        <f>[1]资金台帐!AJ2472</f>
        <v>0</v>
      </c>
      <c r="AK2472">
        <f>[1]资金台帐!AK2472</f>
        <v>0</v>
      </c>
      <c r="BA2472" s="22">
        <f t="shared" si="0"/>
      </c>
      <c r="BG2472" s="22">
        <f t="shared" si="1"/>
      </c>
      <c r="BH2472" s="22">
        <f t="shared" si="2"/>
        <v>0</v>
      </c>
    </row>
    <row r="2473">
      <c r="B2473">
        <f>[1]资金台帐!B2473&amp;""</f>
      </c>
      <c r="H2473">
        <f>[1]资金台帐!H2473&amp;""</f>
      </c>
      <c r="J2473">
        <f>[1]资金台帐!J2473&amp;""</f>
      </c>
      <c r="N2473">
        <f>[1]资金台帐!N2473</f>
      </c>
      <c r="O2473">
        <f>[1]资金台帐!O2473&amp;""</f>
      </c>
      <c r="P2473">
        <f>[1]资金台帐!P2473&amp;""</f>
      </c>
      <c r="Q2473">
        <f>[1]资金台帐!Q2473&amp;""</f>
      </c>
      <c r="T2473">
        <f>[1]资金台帐!T2473&amp;""</f>
      </c>
      <c r="U2473">
        <f>[1]资金台帐!U2473&amp;""</f>
      </c>
      <c r="W2473">
        <f>[1]资金台帐!W2473&amp;""</f>
      </c>
      <c r="X2473">
        <f>[1]资金台帐!X2473&amp;""</f>
      </c>
      <c r="AB2473">
        <f>[1]资金台帐!AB2473</f>
        <v>0</v>
      </c>
      <c r="AC2473">
        <f>[1]资金台帐!AC2473</f>
        <v>0</v>
      </c>
      <c r="AD2473">
        <f>[1]资金台帐!AD2473</f>
        <v>0</v>
      </c>
      <c r="AJ2473">
        <f>[1]资金台帐!AJ2473</f>
        <v>0</v>
      </c>
      <c r="AK2473">
        <f>[1]资金台帐!AK2473</f>
        <v>0</v>
      </c>
      <c r="BA2473" s="22">
        <f t="shared" si="0"/>
      </c>
      <c r="BG2473" s="22">
        <f t="shared" si="1"/>
      </c>
      <c r="BH2473" s="22">
        <f t="shared" si="2"/>
        <v>0</v>
      </c>
    </row>
    <row r="2474">
      <c r="B2474">
        <f>[1]资金台帐!B2474&amp;""</f>
      </c>
      <c r="H2474">
        <f>[1]资金台帐!H2474&amp;""</f>
      </c>
      <c r="J2474">
        <f>[1]资金台帐!J2474&amp;""</f>
      </c>
      <c r="N2474">
        <f>[1]资金台帐!N2474</f>
      </c>
      <c r="O2474">
        <f>[1]资金台帐!O2474&amp;""</f>
      </c>
      <c r="P2474">
        <f>[1]资金台帐!P2474&amp;""</f>
      </c>
      <c r="Q2474">
        <f>[1]资金台帐!Q2474&amp;""</f>
      </c>
      <c r="T2474">
        <f>[1]资金台帐!T2474&amp;""</f>
      </c>
      <c r="U2474">
        <f>[1]资金台帐!U2474&amp;""</f>
      </c>
      <c r="W2474">
        <f>[1]资金台帐!W2474&amp;""</f>
      </c>
      <c r="X2474">
        <f>[1]资金台帐!X2474&amp;""</f>
      </c>
      <c r="AB2474">
        <f>[1]资金台帐!AB2474</f>
        <v>0</v>
      </c>
      <c r="AC2474">
        <f>[1]资金台帐!AC2474</f>
        <v>0</v>
      </c>
      <c r="AD2474">
        <f>[1]资金台帐!AD2474</f>
        <v>0</v>
      </c>
      <c r="AJ2474">
        <f>[1]资金台帐!AJ2474</f>
        <v>0</v>
      </c>
      <c r="AK2474">
        <f>[1]资金台帐!AK2474</f>
        <v>0</v>
      </c>
      <c r="BA2474" s="22">
        <f t="shared" si="0"/>
      </c>
      <c r="BG2474" s="22">
        <f t="shared" si="1"/>
      </c>
      <c r="BH2474" s="22">
        <f t="shared" si="2"/>
        <v>0</v>
      </c>
    </row>
    <row r="2475">
      <c r="B2475">
        <f>[1]资金台帐!B2475&amp;""</f>
      </c>
      <c r="H2475">
        <f>[1]资金台帐!H2475&amp;""</f>
      </c>
      <c r="J2475">
        <f>[1]资金台帐!J2475&amp;""</f>
      </c>
      <c r="N2475">
        <f>[1]资金台帐!N2475</f>
      </c>
      <c r="O2475">
        <f>[1]资金台帐!O2475&amp;""</f>
      </c>
      <c r="P2475">
        <f>[1]资金台帐!P2475&amp;""</f>
      </c>
      <c r="Q2475">
        <f>[1]资金台帐!Q2475&amp;""</f>
      </c>
      <c r="T2475">
        <f>[1]资金台帐!T2475&amp;""</f>
      </c>
      <c r="U2475">
        <f>[1]资金台帐!U2475&amp;""</f>
      </c>
      <c r="W2475">
        <f>[1]资金台帐!W2475&amp;""</f>
      </c>
      <c r="X2475">
        <f>[1]资金台帐!X2475&amp;""</f>
      </c>
      <c r="AB2475">
        <f>[1]资金台帐!AB2475</f>
        <v>0</v>
      </c>
      <c r="AC2475">
        <f>[1]资金台帐!AC2475</f>
        <v>0</v>
      </c>
      <c r="AD2475">
        <f>[1]资金台帐!AD2475</f>
        <v>0</v>
      </c>
      <c r="AJ2475">
        <f>[1]资金台帐!AJ2475</f>
        <v>0</v>
      </c>
      <c r="AK2475">
        <f>[1]资金台帐!AK2475</f>
        <v>0</v>
      </c>
      <c r="BA2475" s="22">
        <f t="shared" si="0"/>
      </c>
      <c r="BG2475" s="22">
        <f t="shared" si="1"/>
      </c>
      <c r="BH2475" s="22">
        <f t="shared" si="2"/>
        <v>0</v>
      </c>
    </row>
    <row r="2476">
      <c r="B2476">
        <f>[1]资金台帐!B2476&amp;""</f>
      </c>
      <c r="H2476">
        <f>[1]资金台帐!H2476&amp;""</f>
      </c>
      <c r="J2476">
        <f>[1]资金台帐!J2476&amp;""</f>
      </c>
      <c r="N2476">
        <f>[1]资金台帐!N2476</f>
      </c>
      <c r="O2476">
        <f>[1]资金台帐!O2476&amp;""</f>
      </c>
      <c r="P2476">
        <f>[1]资金台帐!P2476&amp;""</f>
      </c>
      <c r="Q2476">
        <f>[1]资金台帐!Q2476&amp;""</f>
      </c>
      <c r="T2476">
        <f>[1]资金台帐!T2476&amp;""</f>
      </c>
      <c r="U2476">
        <f>[1]资金台帐!U2476&amp;""</f>
      </c>
      <c r="W2476">
        <f>[1]资金台帐!W2476&amp;""</f>
      </c>
      <c r="X2476">
        <f>[1]资金台帐!X2476&amp;""</f>
      </c>
      <c r="AB2476">
        <f>[1]资金台帐!AB2476</f>
        <v>0</v>
      </c>
      <c r="AC2476">
        <f>[1]资金台帐!AC2476</f>
        <v>0</v>
      </c>
      <c r="AD2476">
        <f>[1]资金台帐!AD2476</f>
        <v>0</v>
      </c>
      <c r="AJ2476">
        <f>[1]资金台帐!AJ2476</f>
        <v>0</v>
      </c>
      <c r="AK2476">
        <f>[1]资金台帐!AK2476</f>
        <v>0</v>
      </c>
      <c r="BA2476" s="22">
        <f t="shared" si="0"/>
      </c>
      <c r="BG2476" s="22">
        <f t="shared" si="1"/>
      </c>
      <c r="BH2476" s="22">
        <f t="shared" si="2"/>
        <v>0</v>
      </c>
    </row>
    <row r="2477">
      <c r="B2477">
        <f>[1]资金台帐!B2477&amp;""</f>
      </c>
      <c r="H2477">
        <f>[1]资金台帐!H2477&amp;""</f>
      </c>
      <c r="J2477">
        <f>[1]资金台帐!J2477&amp;""</f>
      </c>
      <c r="N2477">
        <f>[1]资金台帐!N2477</f>
      </c>
      <c r="O2477">
        <f>[1]资金台帐!O2477&amp;""</f>
      </c>
      <c r="P2477">
        <f>[1]资金台帐!P2477&amp;""</f>
      </c>
      <c r="Q2477">
        <f>[1]资金台帐!Q2477&amp;""</f>
      </c>
      <c r="T2477">
        <f>[1]资金台帐!T2477&amp;""</f>
      </c>
      <c r="U2477">
        <f>[1]资金台帐!U2477&amp;""</f>
      </c>
      <c r="W2477">
        <f>[1]资金台帐!W2477&amp;""</f>
      </c>
      <c r="X2477">
        <f>[1]资金台帐!X2477&amp;""</f>
      </c>
      <c r="AB2477">
        <f>[1]资金台帐!AB2477</f>
        <v>0</v>
      </c>
      <c r="AC2477">
        <f>[1]资金台帐!AC2477</f>
        <v>0</v>
      </c>
      <c r="AD2477">
        <f>[1]资金台帐!AD2477</f>
        <v>0</v>
      </c>
      <c r="AJ2477">
        <f>[1]资金台帐!AJ2477</f>
        <v>0</v>
      </c>
      <c r="AK2477">
        <f>[1]资金台帐!AK2477</f>
        <v>0</v>
      </c>
      <c r="BA2477" s="22">
        <f t="shared" si="0"/>
      </c>
      <c r="BG2477" s="22">
        <f t="shared" si="1"/>
      </c>
      <c r="BH2477" s="22">
        <f t="shared" si="2"/>
        <v>0</v>
      </c>
    </row>
    <row r="2478">
      <c r="B2478">
        <f>[1]资金台帐!B2478&amp;""</f>
      </c>
      <c r="H2478">
        <f>[1]资金台帐!H2478&amp;""</f>
      </c>
      <c r="J2478">
        <f>[1]资金台帐!J2478&amp;""</f>
      </c>
      <c r="N2478">
        <f>[1]资金台帐!N2478</f>
      </c>
      <c r="O2478">
        <f>[1]资金台帐!O2478&amp;""</f>
      </c>
      <c r="P2478">
        <f>[1]资金台帐!P2478&amp;""</f>
      </c>
      <c r="Q2478">
        <f>[1]资金台帐!Q2478&amp;""</f>
      </c>
      <c r="T2478">
        <f>[1]资金台帐!T2478&amp;""</f>
      </c>
      <c r="U2478">
        <f>[1]资金台帐!U2478&amp;""</f>
      </c>
      <c r="W2478">
        <f>[1]资金台帐!W2478&amp;""</f>
      </c>
      <c r="X2478">
        <f>[1]资金台帐!X2478&amp;""</f>
      </c>
      <c r="AB2478">
        <f>[1]资金台帐!AB2478</f>
        <v>0</v>
      </c>
      <c r="AC2478">
        <f>[1]资金台帐!AC2478</f>
        <v>0</v>
      </c>
      <c r="AD2478">
        <f>[1]资金台帐!AD2478</f>
        <v>0</v>
      </c>
      <c r="AJ2478">
        <f>[1]资金台帐!AJ2478</f>
        <v>0</v>
      </c>
      <c r="AK2478">
        <f>[1]资金台帐!AK2478</f>
        <v>0</v>
      </c>
      <c r="BA2478" s="22">
        <f t="shared" si="0"/>
      </c>
      <c r="BG2478" s="22">
        <f t="shared" si="1"/>
      </c>
      <c r="BH2478" s="22">
        <f t="shared" si="2"/>
        <v>0</v>
      </c>
    </row>
    <row r="2479">
      <c r="B2479">
        <f>[1]资金台帐!B2479&amp;""</f>
      </c>
      <c r="H2479">
        <f>[1]资金台帐!H2479&amp;""</f>
      </c>
      <c r="J2479">
        <f>[1]资金台帐!J2479&amp;""</f>
      </c>
      <c r="N2479">
        <f>[1]资金台帐!N2479</f>
      </c>
      <c r="O2479">
        <f>[1]资金台帐!O2479&amp;""</f>
      </c>
      <c r="P2479">
        <f>[1]资金台帐!P2479&amp;""</f>
      </c>
      <c r="Q2479">
        <f>[1]资金台帐!Q2479&amp;""</f>
      </c>
      <c r="T2479">
        <f>[1]资金台帐!T2479&amp;""</f>
      </c>
      <c r="U2479">
        <f>[1]资金台帐!U2479&amp;""</f>
      </c>
      <c r="W2479">
        <f>[1]资金台帐!W2479&amp;""</f>
      </c>
      <c r="X2479">
        <f>[1]资金台帐!X2479&amp;""</f>
      </c>
      <c r="AB2479">
        <f>[1]资金台帐!AB2479</f>
        <v>0</v>
      </c>
      <c r="AC2479">
        <f>[1]资金台帐!AC2479</f>
        <v>0</v>
      </c>
      <c r="AD2479">
        <f>[1]资金台帐!AD2479</f>
        <v>0</v>
      </c>
      <c r="AJ2479">
        <f>[1]资金台帐!AJ2479</f>
        <v>0</v>
      </c>
      <c r="AK2479">
        <f>[1]资金台帐!AK2479</f>
        <v>0</v>
      </c>
      <c r="BA2479" s="22">
        <f t="shared" si="0"/>
      </c>
      <c r="BG2479" s="22">
        <f t="shared" si="1"/>
      </c>
      <c r="BH2479" s="22">
        <f t="shared" si="2"/>
        <v>0</v>
      </c>
    </row>
    <row r="2480">
      <c r="B2480">
        <f>[1]资金台帐!B2480&amp;""</f>
      </c>
      <c r="H2480">
        <f>[1]资金台帐!H2480&amp;""</f>
      </c>
      <c r="J2480">
        <f>[1]资金台帐!J2480&amp;""</f>
      </c>
      <c r="N2480">
        <f>[1]资金台帐!N2480</f>
      </c>
      <c r="O2480">
        <f>[1]资金台帐!O2480&amp;""</f>
      </c>
      <c r="P2480">
        <f>[1]资金台帐!P2480&amp;""</f>
      </c>
      <c r="Q2480">
        <f>[1]资金台帐!Q2480&amp;""</f>
      </c>
      <c r="T2480">
        <f>[1]资金台帐!T2480&amp;""</f>
      </c>
      <c r="U2480">
        <f>[1]资金台帐!U2480&amp;""</f>
      </c>
      <c r="W2480">
        <f>[1]资金台帐!W2480&amp;""</f>
      </c>
      <c r="X2480">
        <f>[1]资金台帐!X2480&amp;""</f>
      </c>
      <c r="AB2480">
        <f>[1]资金台帐!AB2480</f>
        <v>0</v>
      </c>
      <c r="AC2480">
        <f>[1]资金台帐!AC2480</f>
        <v>0</v>
      </c>
      <c r="AD2480">
        <f>[1]资金台帐!AD2480</f>
        <v>0</v>
      </c>
      <c r="AJ2480">
        <f>[1]资金台帐!AJ2480</f>
        <v>0</v>
      </c>
      <c r="AK2480">
        <f>[1]资金台帐!AK2480</f>
        <v>0</v>
      </c>
      <c r="BA2480" s="22">
        <f t="shared" si="0"/>
      </c>
      <c r="BG2480" s="22">
        <f t="shared" si="1"/>
      </c>
      <c r="BH2480" s="22">
        <f t="shared" si="2"/>
        <v>0</v>
      </c>
    </row>
    <row r="2481">
      <c r="B2481">
        <f>[1]资金台帐!B2481&amp;""</f>
      </c>
      <c r="H2481">
        <f>[1]资金台帐!H2481&amp;""</f>
      </c>
      <c r="J2481">
        <f>[1]资金台帐!J2481&amp;""</f>
      </c>
      <c r="N2481">
        <f>[1]资金台帐!N2481</f>
      </c>
      <c r="O2481">
        <f>[1]资金台帐!O2481&amp;""</f>
      </c>
      <c r="P2481">
        <f>[1]资金台帐!P2481&amp;""</f>
      </c>
      <c r="Q2481">
        <f>[1]资金台帐!Q2481&amp;""</f>
      </c>
      <c r="T2481">
        <f>[1]资金台帐!T2481&amp;""</f>
      </c>
      <c r="U2481">
        <f>[1]资金台帐!U2481&amp;""</f>
      </c>
      <c r="W2481">
        <f>[1]资金台帐!W2481&amp;""</f>
      </c>
      <c r="X2481">
        <f>[1]资金台帐!X2481&amp;""</f>
      </c>
      <c r="AB2481">
        <f>[1]资金台帐!AB2481</f>
        <v>0</v>
      </c>
      <c r="AC2481">
        <f>[1]资金台帐!AC2481</f>
        <v>0</v>
      </c>
      <c r="AD2481">
        <f>[1]资金台帐!AD2481</f>
        <v>0</v>
      </c>
      <c r="AJ2481">
        <f>[1]资金台帐!AJ2481</f>
        <v>0</v>
      </c>
      <c r="AK2481">
        <f>[1]资金台帐!AK2481</f>
        <v>0</v>
      </c>
      <c r="BA2481" s="22">
        <f t="shared" si="0"/>
      </c>
      <c r="BG2481" s="22">
        <f t="shared" si="1"/>
      </c>
      <c r="BH2481" s="22">
        <f t="shared" si="2"/>
        <v>0</v>
      </c>
    </row>
    <row r="2482">
      <c r="B2482">
        <f>[1]资金台帐!B2482&amp;""</f>
      </c>
      <c r="H2482">
        <f>[1]资金台帐!H2482&amp;""</f>
      </c>
      <c r="J2482">
        <f>[1]资金台帐!J2482&amp;""</f>
      </c>
      <c r="N2482">
        <f>[1]资金台帐!N2482</f>
      </c>
      <c r="O2482">
        <f>[1]资金台帐!O2482&amp;""</f>
      </c>
      <c r="P2482">
        <f>[1]资金台帐!P2482&amp;""</f>
      </c>
      <c r="Q2482">
        <f>[1]资金台帐!Q2482&amp;""</f>
      </c>
      <c r="T2482">
        <f>[1]资金台帐!T2482&amp;""</f>
      </c>
      <c r="U2482">
        <f>[1]资金台帐!U2482&amp;""</f>
      </c>
      <c r="W2482">
        <f>[1]资金台帐!W2482&amp;""</f>
      </c>
      <c r="X2482">
        <f>[1]资金台帐!X2482&amp;""</f>
      </c>
      <c r="AB2482">
        <f>[1]资金台帐!AB2482</f>
        <v>0</v>
      </c>
      <c r="AC2482">
        <f>[1]资金台帐!AC2482</f>
        <v>0</v>
      </c>
      <c r="AD2482">
        <f>[1]资金台帐!AD2482</f>
        <v>0</v>
      </c>
      <c r="AJ2482">
        <f>[1]资金台帐!AJ2482</f>
        <v>0</v>
      </c>
      <c r="AK2482">
        <f>[1]资金台帐!AK2482</f>
        <v>0</v>
      </c>
      <c r="BA2482" s="22">
        <f t="shared" si="0"/>
      </c>
      <c r="BG2482" s="22">
        <f t="shared" si="1"/>
      </c>
      <c r="BH2482" s="22">
        <f t="shared" si="2"/>
        <v>0</v>
      </c>
    </row>
    <row r="2483">
      <c r="B2483">
        <f>[1]资金台帐!B2483&amp;""</f>
      </c>
      <c r="H2483">
        <f>[1]资金台帐!H2483&amp;""</f>
      </c>
      <c r="J2483">
        <f>[1]资金台帐!J2483&amp;""</f>
      </c>
      <c r="N2483">
        <f>[1]资金台帐!N2483</f>
      </c>
      <c r="O2483">
        <f>[1]资金台帐!O2483&amp;""</f>
      </c>
      <c r="P2483">
        <f>[1]资金台帐!P2483&amp;""</f>
      </c>
      <c r="Q2483">
        <f>[1]资金台帐!Q2483&amp;""</f>
      </c>
      <c r="T2483">
        <f>[1]资金台帐!T2483&amp;""</f>
      </c>
      <c r="U2483">
        <f>[1]资金台帐!U2483&amp;""</f>
      </c>
      <c r="W2483">
        <f>[1]资金台帐!W2483&amp;""</f>
      </c>
      <c r="X2483">
        <f>[1]资金台帐!X2483&amp;""</f>
      </c>
      <c r="AB2483">
        <f>[1]资金台帐!AB2483</f>
        <v>0</v>
      </c>
      <c r="AC2483">
        <f>[1]资金台帐!AC2483</f>
        <v>0</v>
      </c>
      <c r="AD2483">
        <f>[1]资金台帐!AD2483</f>
        <v>0</v>
      </c>
      <c r="AJ2483">
        <f>[1]资金台帐!AJ2483</f>
        <v>0</v>
      </c>
      <c r="AK2483">
        <f>[1]资金台帐!AK2483</f>
        <v>0</v>
      </c>
      <c r="BA2483" s="22">
        <f t="shared" si="0"/>
      </c>
      <c r="BG2483" s="22">
        <f t="shared" si="1"/>
      </c>
      <c r="BH2483" s="22">
        <f t="shared" si="2"/>
        <v>0</v>
      </c>
    </row>
    <row r="2484">
      <c r="B2484">
        <f>[1]资金台帐!B2484&amp;""</f>
      </c>
      <c r="H2484">
        <f>[1]资金台帐!H2484&amp;""</f>
      </c>
      <c r="J2484">
        <f>[1]资金台帐!J2484&amp;""</f>
      </c>
      <c r="N2484">
        <f>[1]资金台帐!N2484</f>
      </c>
      <c r="O2484">
        <f>[1]资金台帐!O2484&amp;""</f>
      </c>
      <c r="P2484">
        <f>[1]资金台帐!P2484&amp;""</f>
      </c>
      <c r="Q2484">
        <f>[1]资金台帐!Q2484&amp;""</f>
      </c>
      <c r="T2484">
        <f>[1]资金台帐!T2484&amp;""</f>
      </c>
      <c r="U2484">
        <f>[1]资金台帐!U2484&amp;""</f>
      </c>
      <c r="W2484">
        <f>[1]资金台帐!W2484&amp;""</f>
      </c>
      <c r="X2484">
        <f>[1]资金台帐!X2484&amp;""</f>
      </c>
      <c r="AB2484">
        <f>[1]资金台帐!AB2484</f>
        <v>0</v>
      </c>
      <c r="AC2484">
        <f>[1]资金台帐!AC2484</f>
        <v>0</v>
      </c>
      <c r="AD2484">
        <f>[1]资金台帐!AD2484</f>
        <v>0</v>
      </c>
      <c r="AJ2484">
        <f>[1]资金台帐!AJ2484</f>
        <v>0</v>
      </c>
      <c r="AK2484">
        <f>[1]资金台帐!AK2484</f>
        <v>0</v>
      </c>
      <c r="BA2484" s="22">
        <f t="shared" si="0"/>
      </c>
      <c r="BG2484" s="22">
        <f t="shared" si="1"/>
      </c>
      <c r="BH2484" s="22">
        <f t="shared" si="2"/>
        <v>0</v>
      </c>
    </row>
    <row r="2485">
      <c r="B2485">
        <f>[1]资金台帐!B2485&amp;""</f>
      </c>
      <c r="H2485">
        <f>[1]资金台帐!H2485&amp;""</f>
      </c>
      <c r="J2485">
        <f>[1]资金台帐!J2485&amp;""</f>
      </c>
      <c r="N2485">
        <f>[1]资金台帐!N2485</f>
      </c>
      <c r="O2485">
        <f>[1]资金台帐!O2485&amp;""</f>
      </c>
      <c r="P2485">
        <f>[1]资金台帐!P2485&amp;""</f>
      </c>
      <c r="Q2485">
        <f>[1]资金台帐!Q2485&amp;""</f>
      </c>
      <c r="T2485">
        <f>[1]资金台帐!T2485&amp;""</f>
      </c>
      <c r="U2485">
        <f>[1]资金台帐!U2485&amp;""</f>
      </c>
      <c r="W2485">
        <f>[1]资金台帐!W2485&amp;""</f>
      </c>
      <c r="X2485">
        <f>[1]资金台帐!X2485&amp;""</f>
      </c>
      <c r="AB2485">
        <f>[1]资金台帐!AB2485</f>
        <v>0</v>
      </c>
      <c r="AC2485">
        <f>[1]资金台帐!AC2485</f>
        <v>0</v>
      </c>
      <c r="AD2485">
        <f>[1]资金台帐!AD2485</f>
        <v>0</v>
      </c>
      <c r="AJ2485">
        <f>[1]资金台帐!AJ2485</f>
        <v>0</v>
      </c>
      <c r="AK2485">
        <f>[1]资金台帐!AK2485</f>
        <v>0</v>
      </c>
      <c r="BA2485" s="22">
        <f t="shared" si="0"/>
      </c>
      <c r="BG2485" s="22">
        <f t="shared" si="1"/>
      </c>
      <c r="BH2485" s="22">
        <f t="shared" si="2"/>
        <v>0</v>
      </c>
    </row>
    <row r="2486">
      <c r="B2486">
        <f>[1]资金台帐!B2486&amp;""</f>
      </c>
      <c r="H2486">
        <f>[1]资金台帐!H2486&amp;""</f>
      </c>
      <c r="J2486">
        <f>[1]资金台帐!J2486&amp;""</f>
      </c>
      <c r="N2486">
        <f>[1]资金台帐!N2486</f>
      </c>
      <c r="O2486">
        <f>[1]资金台帐!O2486&amp;""</f>
      </c>
      <c r="P2486">
        <f>[1]资金台帐!P2486&amp;""</f>
      </c>
      <c r="Q2486">
        <f>[1]资金台帐!Q2486&amp;""</f>
      </c>
      <c r="T2486">
        <f>[1]资金台帐!T2486&amp;""</f>
      </c>
      <c r="U2486">
        <f>[1]资金台帐!U2486&amp;""</f>
      </c>
      <c r="W2486">
        <f>[1]资金台帐!W2486&amp;""</f>
      </c>
      <c r="X2486">
        <f>[1]资金台帐!X2486&amp;""</f>
      </c>
      <c r="AB2486">
        <f>[1]资金台帐!AB2486</f>
        <v>0</v>
      </c>
      <c r="AC2486">
        <f>[1]资金台帐!AC2486</f>
        <v>0</v>
      </c>
      <c r="AD2486">
        <f>[1]资金台帐!AD2486</f>
        <v>0</v>
      </c>
      <c r="AJ2486">
        <f>[1]资金台帐!AJ2486</f>
        <v>0</v>
      </c>
      <c r="AK2486">
        <f>[1]资金台帐!AK2486</f>
        <v>0</v>
      </c>
      <c r="BA2486" s="22">
        <f t="shared" si="0"/>
      </c>
      <c r="BG2486" s="22">
        <f t="shared" si="1"/>
      </c>
      <c r="BH2486" s="22">
        <f t="shared" si="2"/>
        <v>0</v>
      </c>
    </row>
    <row r="2487">
      <c r="B2487">
        <f>[1]资金台帐!B2487&amp;""</f>
      </c>
      <c r="H2487">
        <f>[1]资金台帐!H2487&amp;""</f>
      </c>
      <c r="J2487">
        <f>[1]资金台帐!J2487&amp;""</f>
      </c>
      <c r="N2487">
        <f>[1]资金台帐!N2487</f>
      </c>
      <c r="O2487">
        <f>[1]资金台帐!O2487&amp;""</f>
      </c>
      <c r="P2487">
        <f>[1]资金台帐!P2487&amp;""</f>
      </c>
      <c r="Q2487">
        <f>[1]资金台帐!Q2487&amp;""</f>
      </c>
      <c r="T2487">
        <f>[1]资金台帐!T2487&amp;""</f>
      </c>
      <c r="U2487">
        <f>[1]资金台帐!U2487&amp;""</f>
      </c>
      <c r="W2487">
        <f>[1]资金台帐!W2487&amp;""</f>
      </c>
      <c r="X2487">
        <f>[1]资金台帐!X2487&amp;""</f>
      </c>
      <c r="AB2487">
        <f>[1]资金台帐!AB2487</f>
        <v>0</v>
      </c>
      <c r="AC2487">
        <f>[1]资金台帐!AC2487</f>
        <v>0</v>
      </c>
      <c r="AD2487">
        <f>[1]资金台帐!AD2487</f>
        <v>0</v>
      </c>
      <c r="AJ2487">
        <f>[1]资金台帐!AJ2487</f>
        <v>0</v>
      </c>
      <c r="AK2487">
        <f>[1]资金台帐!AK2487</f>
        <v>0</v>
      </c>
      <c r="BA2487" s="22">
        <f t="shared" si="0"/>
      </c>
      <c r="BG2487" s="22">
        <f t="shared" si="1"/>
      </c>
      <c r="BH2487" s="22">
        <f t="shared" si="2"/>
        <v>0</v>
      </c>
    </row>
    <row r="2488">
      <c r="B2488">
        <f>[1]资金台帐!B2488&amp;""</f>
      </c>
      <c r="H2488">
        <f>[1]资金台帐!H2488&amp;""</f>
      </c>
      <c r="J2488">
        <f>[1]资金台帐!J2488&amp;""</f>
      </c>
      <c r="N2488">
        <f>[1]资金台帐!N2488</f>
      </c>
      <c r="O2488">
        <f>[1]资金台帐!O2488&amp;""</f>
      </c>
      <c r="P2488">
        <f>[1]资金台帐!P2488&amp;""</f>
      </c>
      <c r="Q2488">
        <f>[1]资金台帐!Q2488&amp;""</f>
      </c>
      <c r="T2488">
        <f>[1]资金台帐!T2488&amp;""</f>
      </c>
      <c r="U2488">
        <f>[1]资金台帐!U2488&amp;""</f>
      </c>
      <c r="W2488">
        <f>[1]资金台帐!W2488&amp;""</f>
      </c>
      <c r="X2488">
        <f>[1]资金台帐!X2488&amp;""</f>
      </c>
      <c r="AB2488">
        <f>[1]资金台帐!AB2488</f>
        <v>0</v>
      </c>
      <c r="AC2488">
        <f>[1]资金台帐!AC2488</f>
        <v>0</v>
      </c>
      <c r="AD2488">
        <f>[1]资金台帐!AD2488</f>
        <v>0</v>
      </c>
      <c r="AJ2488">
        <f>[1]资金台帐!AJ2488</f>
        <v>0</v>
      </c>
      <c r="AK2488">
        <f>[1]资金台帐!AK2488</f>
        <v>0</v>
      </c>
      <c r="BA2488" s="22">
        <f t="shared" si="0"/>
      </c>
      <c r="BG2488" s="22">
        <f t="shared" si="1"/>
      </c>
      <c r="BH2488" s="22">
        <f t="shared" si="2"/>
        <v>0</v>
      </c>
    </row>
    <row r="2489">
      <c r="B2489">
        <f>[1]资金台帐!B2489&amp;""</f>
      </c>
      <c r="H2489">
        <f>[1]资金台帐!H2489&amp;""</f>
      </c>
      <c r="J2489">
        <f>[1]资金台帐!J2489&amp;""</f>
      </c>
      <c r="N2489">
        <f>[1]资金台帐!N2489</f>
      </c>
      <c r="O2489">
        <f>[1]资金台帐!O2489&amp;""</f>
      </c>
      <c r="P2489">
        <f>[1]资金台帐!P2489&amp;""</f>
      </c>
      <c r="Q2489">
        <f>[1]资金台帐!Q2489&amp;""</f>
      </c>
      <c r="T2489">
        <f>[1]资金台帐!T2489&amp;""</f>
      </c>
      <c r="U2489">
        <f>[1]资金台帐!U2489&amp;""</f>
      </c>
      <c r="W2489">
        <f>[1]资金台帐!W2489&amp;""</f>
      </c>
      <c r="X2489">
        <f>[1]资金台帐!X2489&amp;""</f>
      </c>
      <c r="AB2489">
        <f>[1]资金台帐!AB2489</f>
        <v>0</v>
      </c>
      <c r="AC2489">
        <f>[1]资金台帐!AC2489</f>
        <v>0</v>
      </c>
      <c r="AD2489">
        <f>[1]资金台帐!AD2489</f>
        <v>0</v>
      </c>
      <c r="AJ2489">
        <f>[1]资金台帐!AJ2489</f>
        <v>0</v>
      </c>
      <c r="AK2489">
        <f>[1]资金台帐!AK2489</f>
        <v>0</v>
      </c>
      <c r="BA2489" s="22">
        <f t="shared" si="0"/>
      </c>
      <c r="BG2489" s="22">
        <f t="shared" si="1"/>
      </c>
      <c r="BH2489" s="22">
        <f t="shared" si="2"/>
        <v>0</v>
      </c>
    </row>
    <row r="2490">
      <c r="B2490">
        <f>[1]资金台帐!B2490&amp;""</f>
      </c>
      <c r="H2490">
        <f>[1]资金台帐!H2490&amp;""</f>
      </c>
      <c r="J2490">
        <f>[1]资金台帐!J2490&amp;""</f>
      </c>
      <c r="N2490">
        <f>[1]资金台帐!N2490</f>
      </c>
      <c r="O2490">
        <f>[1]资金台帐!O2490&amp;""</f>
      </c>
      <c r="P2490">
        <f>[1]资金台帐!P2490&amp;""</f>
      </c>
      <c r="Q2490">
        <f>[1]资金台帐!Q2490&amp;""</f>
      </c>
      <c r="T2490">
        <f>[1]资金台帐!T2490&amp;""</f>
      </c>
      <c r="U2490">
        <f>[1]资金台帐!U2490&amp;""</f>
      </c>
      <c r="W2490">
        <f>[1]资金台帐!W2490&amp;""</f>
      </c>
      <c r="X2490">
        <f>[1]资金台帐!X2490&amp;""</f>
      </c>
      <c r="AB2490">
        <f>[1]资金台帐!AB2490</f>
        <v>0</v>
      </c>
      <c r="AC2490">
        <f>[1]资金台帐!AC2490</f>
        <v>0</v>
      </c>
      <c r="AD2490">
        <f>[1]资金台帐!AD2490</f>
        <v>0</v>
      </c>
      <c r="AJ2490">
        <f>[1]资金台帐!AJ2490</f>
        <v>0</v>
      </c>
      <c r="AK2490">
        <f>[1]资金台帐!AK2490</f>
        <v>0</v>
      </c>
      <c r="BA2490" s="22">
        <f t="shared" si="0"/>
      </c>
      <c r="BG2490" s="22">
        <f t="shared" si="1"/>
      </c>
      <c r="BH2490" s="22">
        <f t="shared" si="2"/>
        <v>0</v>
      </c>
    </row>
    <row r="2491">
      <c r="B2491">
        <f>[1]资金台帐!B2491&amp;""</f>
      </c>
      <c r="H2491">
        <f>[1]资金台帐!H2491&amp;""</f>
      </c>
      <c r="J2491">
        <f>[1]资金台帐!J2491&amp;""</f>
      </c>
      <c r="N2491">
        <f>[1]资金台帐!N2491</f>
      </c>
      <c r="O2491">
        <f>[1]资金台帐!O2491&amp;""</f>
      </c>
      <c r="P2491">
        <f>[1]资金台帐!P2491&amp;""</f>
      </c>
      <c r="Q2491">
        <f>[1]资金台帐!Q2491&amp;""</f>
      </c>
      <c r="T2491">
        <f>[1]资金台帐!T2491&amp;""</f>
      </c>
      <c r="U2491">
        <f>[1]资金台帐!U2491&amp;""</f>
      </c>
      <c r="W2491">
        <f>[1]资金台帐!W2491&amp;""</f>
      </c>
      <c r="X2491">
        <f>[1]资金台帐!X2491&amp;""</f>
      </c>
      <c r="AB2491">
        <f>[1]资金台帐!AB2491</f>
        <v>0</v>
      </c>
      <c r="AC2491">
        <f>[1]资金台帐!AC2491</f>
        <v>0</v>
      </c>
      <c r="AD2491">
        <f>[1]资金台帐!AD2491</f>
        <v>0</v>
      </c>
      <c r="AJ2491">
        <f>[1]资金台帐!AJ2491</f>
        <v>0</v>
      </c>
      <c r="AK2491">
        <f>[1]资金台帐!AK2491</f>
        <v>0</v>
      </c>
      <c r="BA2491" s="22">
        <f t="shared" si="0"/>
      </c>
      <c r="BG2491" s="22">
        <f t="shared" si="1"/>
      </c>
      <c r="BH2491" s="22">
        <f t="shared" si="2"/>
        <v>0</v>
      </c>
    </row>
    <row r="2492">
      <c r="B2492">
        <f>[1]资金台帐!B2492&amp;""</f>
      </c>
      <c r="H2492">
        <f>[1]资金台帐!H2492&amp;""</f>
      </c>
      <c r="J2492">
        <f>[1]资金台帐!J2492&amp;""</f>
      </c>
      <c r="N2492">
        <f>[1]资金台帐!N2492</f>
      </c>
      <c r="O2492">
        <f>[1]资金台帐!O2492&amp;""</f>
      </c>
      <c r="P2492">
        <f>[1]资金台帐!P2492&amp;""</f>
      </c>
      <c r="Q2492">
        <f>[1]资金台帐!Q2492&amp;""</f>
      </c>
      <c r="T2492">
        <f>[1]资金台帐!T2492&amp;""</f>
      </c>
      <c r="U2492">
        <f>[1]资金台帐!U2492&amp;""</f>
      </c>
      <c r="W2492">
        <f>[1]资金台帐!W2492&amp;""</f>
      </c>
      <c r="X2492">
        <f>[1]资金台帐!X2492&amp;""</f>
      </c>
      <c r="AB2492">
        <f>[1]资金台帐!AB2492</f>
        <v>0</v>
      </c>
      <c r="AC2492">
        <f>[1]资金台帐!AC2492</f>
        <v>0</v>
      </c>
      <c r="AD2492">
        <f>[1]资金台帐!AD2492</f>
        <v>0</v>
      </c>
      <c r="AJ2492">
        <f>[1]资金台帐!AJ2492</f>
        <v>0</v>
      </c>
      <c r="AK2492">
        <f>[1]资金台帐!AK2492</f>
        <v>0</v>
      </c>
      <c r="BA2492" s="22">
        <f t="shared" si="0"/>
      </c>
      <c r="BG2492" s="22">
        <f t="shared" si="1"/>
      </c>
      <c r="BH2492" s="22">
        <f t="shared" si="2"/>
        <v>0</v>
      </c>
    </row>
    <row r="2493">
      <c r="B2493">
        <f>[1]资金台帐!B2493&amp;""</f>
      </c>
      <c r="H2493">
        <f>[1]资金台帐!H2493&amp;""</f>
      </c>
      <c r="J2493">
        <f>[1]资金台帐!J2493&amp;""</f>
      </c>
      <c r="N2493">
        <f>[1]资金台帐!N2493</f>
      </c>
      <c r="O2493">
        <f>[1]资金台帐!O2493&amp;""</f>
      </c>
      <c r="P2493">
        <f>[1]资金台帐!P2493&amp;""</f>
      </c>
      <c r="Q2493">
        <f>[1]资金台帐!Q2493&amp;""</f>
      </c>
      <c r="T2493">
        <f>[1]资金台帐!T2493&amp;""</f>
      </c>
      <c r="U2493">
        <f>[1]资金台帐!U2493&amp;""</f>
      </c>
      <c r="W2493">
        <f>[1]资金台帐!W2493&amp;""</f>
      </c>
      <c r="X2493">
        <f>[1]资金台帐!X2493&amp;""</f>
      </c>
      <c r="AB2493">
        <f>[1]资金台帐!AB2493</f>
        <v>0</v>
      </c>
      <c r="AC2493">
        <f>[1]资金台帐!AC2493</f>
        <v>0</v>
      </c>
      <c r="AD2493">
        <f>[1]资金台帐!AD2493</f>
        <v>0</v>
      </c>
      <c r="AJ2493">
        <f>[1]资金台帐!AJ2493</f>
        <v>0</v>
      </c>
      <c r="AK2493">
        <f>[1]资金台帐!AK2493</f>
        <v>0</v>
      </c>
      <c r="BA2493" s="22">
        <f t="shared" si="0"/>
      </c>
      <c r="BG2493" s="22">
        <f t="shared" si="1"/>
      </c>
      <c r="BH2493" s="22">
        <f t="shared" si="2"/>
        <v>0</v>
      </c>
    </row>
    <row r="2494">
      <c r="B2494">
        <f>[1]资金台帐!B2494&amp;""</f>
      </c>
      <c r="H2494">
        <f>[1]资金台帐!H2494&amp;""</f>
      </c>
      <c r="J2494">
        <f>[1]资金台帐!J2494&amp;""</f>
      </c>
      <c r="N2494">
        <f>[1]资金台帐!N2494</f>
      </c>
      <c r="O2494">
        <f>[1]资金台帐!O2494&amp;""</f>
      </c>
      <c r="P2494">
        <f>[1]资金台帐!P2494&amp;""</f>
      </c>
      <c r="Q2494">
        <f>[1]资金台帐!Q2494&amp;""</f>
      </c>
      <c r="T2494">
        <f>[1]资金台帐!T2494&amp;""</f>
      </c>
      <c r="U2494">
        <f>[1]资金台帐!U2494&amp;""</f>
      </c>
      <c r="W2494">
        <f>[1]资金台帐!W2494&amp;""</f>
      </c>
      <c r="X2494">
        <f>[1]资金台帐!X2494&amp;""</f>
      </c>
      <c r="AB2494">
        <f>[1]资金台帐!AB2494</f>
        <v>0</v>
      </c>
      <c r="AC2494">
        <f>[1]资金台帐!AC2494</f>
        <v>0</v>
      </c>
      <c r="AD2494">
        <f>[1]资金台帐!AD2494</f>
        <v>0</v>
      </c>
      <c r="AJ2494">
        <f>[1]资金台帐!AJ2494</f>
        <v>0</v>
      </c>
      <c r="AK2494">
        <f>[1]资金台帐!AK2494</f>
        <v>0</v>
      </c>
      <c r="BA2494" s="22">
        <f t="shared" si="0"/>
      </c>
      <c r="BG2494" s="22">
        <f t="shared" si="1"/>
      </c>
      <c r="BH2494" s="22">
        <f t="shared" si="2"/>
        <v>0</v>
      </c>
    </row>
    <row r="2495">
      <c r="B2495">
        <f>[1]资金台帐!B2495&amp;""</f>
      </c>
      <c r="H2495">
        <f>[1]资金台帐!H2495&amp;""</f>
      </c>
      <c r="J2495">
        <f>[1]资金台帐!J2495&amp;""</f>
      </c>
      <c r="N2495">
        <f>[1]资金台帐!N2495</f>
      </c>
      <c r="O2495">
        <f>[1]资金台帐!O2495&amp;""</f>
      </c>
      <c r="P2495">
        <f>[1]资金台帐!P2495&amp;""</f>
      </c>
      <c r="Q2495">
        <f>[1]资金台帐!Q2495&amp;""</f>
      </c>
      <c r="T2495">
        <f>[1]资金台帐!T2495&amp;""</f>
      </c>
      <c r="U2495">
        <f>[1]资金台帐!U2495&amp;""</f>
      </c>
      <c r="W2495">
        <f>[1]资金台帐!W2495&amp;""</f>
      </c>
      <c r="X2495">
        <f>[1]资金台帐!X2495&amp;""</f>
      </c>
      <c r="AB2495">
        <f>[1]资金台帐!AB2495</f>
        <v>0</v>
      </c>
      <c r="AC2495">
        <f>[1]资金台帐!AC2495</f>
        <v>0</v>
      </c>
      <c r="AD2495">
        <f>[1]资金台帐!AD2495</f>
        <v>0</v>
      </c>
      <c r="AJ2495">
        <f>[1]资金台帐!AJ2495</f>
        <v>0</v>
      </c>
      <c r="AK2495">
        <f>[1]资金台帐!AK2495</f>
        <v>0</v>
      </c>
      <c r="BA2495" s="22">
        <f t="shared" si="0"/>
      </c>
      <c r="BG2495" s="22">
        <f t="shared" si="1"/>
      </c>
      <c r="BH2495" s="22">
        <f t="shared" si="2"/>
        <v>0</v>
      </c>
    </row>
    <row r="2496">
      <c r="B2496">
        <f>[1]资金台帐!B2496&amp;""</f>
      </c>
      <c r="H2496">
        <f>[1]资金台帐!H2496&amp;""</f>
      </c>
      <c r="J2496">
        <f>[1]资金台帐!J2496&amp;""</f>
      </c>
      <c r="N2496">
        <f>[1]资金台帐!N2496</f>
      </c>
      <c r="O2496">
        <f>[1]资金台帐!O2496&amp;""</f>
      </c>
      <c r="P2496">
        <f>[1]资金台帐!P2496&amp;""</f>
      </c>
      <c r="Q2496">
        <f>[1]资金台帐!Q2496&amp;""</f>
      </c>
      <c r="T2496">
        <f>[1]资金台帐!T2496&amp;""</f>
      </c>
      <c r="U2496">
        <f>[1]资金台帐!U2496&amp;""</f>
      </c>
      <c r="W2496">
        <f>[1]资金台帐!W2496&amp;""</f>
      </c>
      <c r="X2496">
        <f>[1]资金台帐!X2496&amp;""</f>
      </c>
      <c r="AB2496">
        <f>[1]资金台帐!AB2496</f>
        <v>0</v>
      </c>
      <c r="AC2496">
        <f>[1]资金台帐!AC2496</f>
        <v>0</v>
      </c>
      <c r="AD2496">
        <f>[1]资金台帐!AD2496</f>
        <v>0</v>
      </c>
      <c r="AJ2496">
        <f>[1]资金台帐!AJ2496</f>
        <v>0</v>
      </c>
      <c r="AK2496">
        <f>[1]资金台帐!AK2496</f>
        <v>0</v>
      </c>
      <c r="BA2496" s="22">
        <f t="shared" si="0"/>
      </c>
      <c r="BG2496" s="22">
        <f t="shared" si="1"/>
      </c>
      <c r="BH2496" s="22">
        <f t="shared" si="2"/>
        <v>0</v>
      </c>
    </row>
    <row r="2497">
      <c r="B2497">
        <f>[1]资金台帐!B2497&amp;""</f>
      </c>
      <c r="H2497">
        <f>[1]资金台帐!H2497&amp;""</f>
      </c>
      <c r="J2497">
        <f>[1]资金台帐!J2497&amp;""</f>
      </c>
      <c r="N2497">
        <f>[1]资金台帐!N2497</f>
      </c>
      <c r="O2497">
        <f>[1]资金台帐!O2497&amp;""</f>
      </c>
      <c r="P2497">
        <f>[1]资金台帐!P2497&amp;""</f>
      </c>
      <c r="Q2497">
        <f>[1]资金台帐!Q2497&amp;""</f>
      </c>
      <c r="T2497">
        <f>[1]资金台帐!T2497&amp;""</f>
      </c>
      <c r="U2497">
        <f>[1]资金台帐!U2497&amp;""</f>
      </c>
      <c r="W2497">
        <f>[1]资金台帐!W2497&amp;""</f>
      </c>
      <c r="X2497">
        <f>[1]资金台帐!X2497&amp;""</f>
      </c>
      <c r="AB2497">
        <f>[1]资金台帐!AB2497</f>
        <v>0</v>
      </c>
      <c r="AC2497">
        <f>[1]资金台帐!AC2497</f>
        <v>0</v>
      </c>
      <c r="AD2497">
        <f>[1]资金台帐!AD2497</f>
        <v>0</v>
      </c>
      <c r="AJ2497">
        <f>[1]资金台帐!AJ2497</f>
        <v>0</v>
      </c>
      <c r="AK2497">
        <f>[1]资金台帐!AK2497</f>
        <v>0</v>
      </c>
      <c r="BA2497" s="22">
        <f t="shared" si="0"/>
      </c>
      <c r="BG2497" s="22">
        <f t="shared" si="1"/>
      </c>
      <c r="BH2497" s="22">
        <f t="shared" si="2"/>
        <v>0</v>
      </c>
    </row>
    <row r="2498">
      <c r="B2498">
        <f>[1]资金台帐!B2498&amp;""</f>
      </c>
      <c r="H2498">
        <f>[1]资金台帐!H2498&amp;""</f>
      </c>
      <c r="J2498">
        <f>[1]资金台帐!J2498&amp;""</f>
      </c>
      <c r="N2498">
        <f>[1]资金台帐!N2498</f>
      </c>
      <c r="O2498">
        <f>[1]资金台帐!O2498&amp;""</f>
      </c>
      <c r="P2498">
        <f>[1]资金台帐!P2498&amp;""</f>
      </c>
      <c r="Q2498">
        <f>[1]资金台帐!Q2498&amp;""</f>
      </c>
      <c r="T2498">
        <f>[1]资金台帐!T2498&amp;""</f>
      </c>
      <c r="U2498">
        <f>[1]资金台帐!U2498&amp;""</f>
      </c>
      <c r="W2498">
        <f>[1]资金台帐!W2498&amp;""</f>
      </c>
      <c r="X2498">
        <f>[1]资金台帐!X2498&amp;""</f>
      </c>
      <c r="AB2498">
        <f>[1]资金台帐!AB2498</f>
        <v>0</v>
      </c>
      <c r="AC2498">
        <f>[1]资金台帐!AC2498</f>
        <v>0</v>
      </c>
      <c r="AD2498">
        <f>[1]资金台帐!AD2498</f>
        <v>0</v>
      </c>
      <c r="AJ2498">
        <f>[1]资金台帐!AJ2498</f>
        <v>0</v>
      </c>
      <c r="AK2498">
        <f>[1]资金台帐!AK2498</f>
        <v>0</v>
      </c>
      <c r="BA2498" s="22">
        <f t="shared" si="0"/>
      </c>
      <c r="BG2498" s="22">
        <f t="shared" si="1"/>
      </c>
      <c r="BH2498" s="22">
        <f t="shared" si="2"/>
        <v>0</v>
      </c>
    </row>
    <row r="2499">
      <c r="B2499">
        <f>[1]资金台帐!B2499&amp;""</f>
      </c>
      <c r="H2499">
        <f>[1]资金台帐!H2499&amp;""</f>
      </c>
      <c r="J2499">
        <f>[1]资金台帐!J2499&amp;""</f>
      </c>
      <c r="N2499">
        <f>[1]资金台帐!N2499</f>
      </c>
      <c r="O2499">
        <f>[1]资金台帐!O2499&amp;""</f>
      </c>
      <c r="P2499">
        <f>[1]资金台帐!P2499&amp;""</f>
      </c>
      <c r="Q2499">
        <f>[1]资金台帐!Q2499&amp;""</f>
      </c>
      <c r="T2499">
        <f>[1]资金台帐!T2499&amp;""</f>
      </c>
      <c r="U2499">
        <f>[1]资金台帐!U2499&amp;""</f>
      </c>
      <c r="W2499">
        <f>[1]资金台帐!W2499&amp;""</f>
      </c>
      <c r="X2499">
        <f>[1]资金台帐!X2499&amp;""</f>
      </c>
      <c r="AB2499">
        <f>[1]资金台帐!AB2499</f>
        <v>0</v>
      </c>
      <c r="AC2499">
        <f>[1]资金台帐!AC2499</f>
        <v>0</v>
      </c>
      <c r="AD2499">
        <f>[1]资金台帐!AD2499</f>
        <v>0</v>
      </c>
      <c r="AJ2499">
        <f>[1]资金台帐!AJ2499</f>
        <v>0</v>
      </c>
      <c r="AK2499">
        <f>[1]资金台帐!AK2499</f>
        <v>0</v>
      </c>
      <c r="BA2499" s="22">
        <f t="shared" si="0"/>
      </c>
      <c r="BG2499" s="22">
        <f t="shared" si="1"/>
      </c>
      <c r="BH2499" s="22">
        <f t="shared" si="2"/>
        <v>0</v>
      </c>
    </row>
    <row r="2500">
      <c r="B2500">
        <f>[1]资金台帐!B2500&amp;""</f>
      </c>
      <c r="H2500">
        <f>[1]资金台帐!H2500&amp;""</f>
      </c>
      <c r="J2500">
        <f>[1]资金台帐!J2500&amp;""</f>
      </c>
      <c r="N2500">
        <f>[1]资金台帐!N2500</f>
      </c>
      <c r="O2500">
        <f>[1]资金台帐!O2500&amp;""</f>
      </c>
      <c r="P2500">
        <f>[1]资金台帐!P2500&amp;""</f>
      </c>
      <c r="Q2500">
        <f>[1]资金台帐!Q2500&amp;""</f>
      </c>
      <c r="T2500">
        <f>[1]资金台帐!T2500&amp;""</f>
      </c>
      <c r="U2500">
        <f>[1]资金台帐!U2500&amp;""</f>
      </c>
      <c r="W2500">
        <f>[1]资金台帐!W2500&amp;""</f>
      </c>
      <c r="X2500">
        <f>[1]资金台帐!X2500&amp;""</f>
      </c>
      <c r="AB2500">
        <f>[1]资金台帐!AB2500</f>
        <v>0</v>
      </c>
      <c r="AC2500">
        <f>[1]资金台帐!AC2500</f>
        <v>0</v>
      </c>
      <c r="AD2500">
        <f>[1]资金台帐!AD2500</f>
        <v>0</v>
      </c>
      <c r="AJ2500">
        <f>[1]资金台帐!AJ2500</f>
        <v>0</v>
      </c>
      <c r="AK2500">
        <f>[1]资金台帐!AK2500</f>
        <v>0</v>
      </c>
      <c r="BA2500" s="22">
        <f t="shared" si="0"/>
      </c>
      <c r="BG2500" s="22">
        <f t="shared" si="1"/>
      </c>
      <c r="BH2500" s="22">
        <f t="shared" si="2"/>
        <v>0</v>
      </c>
    </row>
    <row r="2501">
      <c r="B2501">
        <f>[1]资金台帐!B2501&amp;""</f>
      </c>
      <c r="H2501">
        <f>[1]资金台帐!H2501&amp;""</f>
      </c>
      <c r="J2501">
        <f>[1]资金台帐!J2501&amp;""</f>
      </c>
      <c r="N2501">
        <f>[1]资金台帐!N2501</f>
      </c>
      <c r="O2501">
        <f>[1]资金台帐!O2501&amp;""</f>
      </c>
      <c r="P2501">
        <f>[1]资金台帐!P2501&amp;""</f>
      </c>
      <c r="Q2501">
        <f>[1]资金台帐!Q2501&amp;""</f>
      </c>
      <c r="T2501">
        <f>[1]资金台帐!T2501&amp;""</f>
      </c>
      <c r="U2501">
        <f>[1]资金台帐!U2501&amp;""</f>
      </c>
      <c r="W2501">
        <f>[1]资金台帐!W2501&amp;""</f>
      </c>
      <c r="X2501">
        <f>[1]资金台帐!X2501&amp;""</f>
      </c>
      <c r="AB2501">
        <f>[1]资金台帐!AB2501</f>
        <v>0</v>
      </c>
      <c r="AC2501">
        <f>[1]资金台帐!AC2501</f>
        <v>0</v>
      </c>
      <c r="AD2501">
        <f>[1]资金台帐!AD2501</f>
        <v>0</v>
      </c>
      <c r="AJ2501">
        <f>[1]资金台帐!AJ2501</f>
        <v>0</v>
      </c>
      <c r="AK2501">
        <f>[1]资金台帐!AK2501</f>
        <v>0</v>
      </c>
      <c r="BA2501" s="22">
        <f t="shared" si="0"/>
      </c>
      <c r="BG2501" s="22">
        <f t="shared" si="1"/>
      </c>
      <c r="BH2501" s="22">
        <f t="shared" si="2"/>
        <v>0</v>
      </c>
    </row>
    <row r="2502">
      <c r="B2502">
        <f>[1]资金台帐!B2502&amp;""</f>
      </c>
      <c r="H2502">
        <f>[1]资金台帐!H2502&amp;""</f>
      </c>
      <c r="J2502">
        <f>[1]资金台帐!J2502&amp;""</f>
      </c>
      <c r="N2502">
        <f>[1]资金台帐!N2502</f>
      </c>
      <c r="O2502">
        <f>[1]资金台帐!O2502&amp;""</f>
      </c>
      <c r="P2502">
        <f>[1]资金台帐!P2502&amp;""</f>
      </c>
      <c r="Q2502">
        <f>[1]资金台帐!Q2502&amp;""</f>
      </c>
      <c r="T2502">
        <f>[1]资金台帐!T2502&amp;""</f>
      </c>
      <c r="U2502">
        <f>[1]资金台帐!U2502&amp;""</f>
      </c>
      <c r="W2502">
        <f>[1]资金台帐!W2502&amp;""</f>
      </c>
      <c r="X2502">
        <f>[1]资金台帐!X2502&amp;""</f>
      </c>
      <c r="AB2502">
        <f>[1]资金台帐!AB2502</f>
        <v>0</v>
      </c>
      <c r="AC2502">
        <f>[1]资金台帐!AC2502</f>
        <v>0</v>
      </c>
      <c r="AD2502">
        <f>[1]资金台帐!AD2502</f>
        <v>0</v>
      </c>
      <c r="AJ2502">
        <f>[1]资金台帐!AJ2502</f>
        <v>0</v>
      </c>
      <c r="AK2502">
        <f>[1]资金台帐!AK2502</f>
        <v>0</v>
      </c>
      <c r="BA2502" s="22">
        <f t="shared" si="0"/>
      </c>
      <c r="BG2502" s="22">
        <f t="shared" si="1"/>
      </c>
      <c r="BH2502" s="22">
        <f t="shared" si="2"/>
        <v>0</v>
      </c>
    </row>
    <row r="2503">
      <c r="B2503">
        <f>[1]资金台帐!B2503&amp;""</f>
      </c>
      <c r="H2503">
        <f>[1]资金台帐!H2503&amp;""</f>
      </c>
      <c r="J2503">
        <f>[1]资金台帐!J2503&amp;""</f>
      </c>
      <c r="N2503">
        <f>[1]资金台帐!N2503</f>
      </c>
      <c r="O2503">
        <f>[1]资金台帐!O2503&amp;""</f>
      </c>
      <c r="P2503">
        <f>[1]资金台帐!P2503&amp;""</f>
      </c>
      <c r="Q2503">
        <f>[1]资金台帐!Q2503&amp;""</f>
      </c>
      <c r="T2503">
        <f>[1]资金台帐!T2503&amp;""</f>
      </c>
      <c r="U2503">
        <f>[1]资金台帐!U2503&amp;""</f>
      </c>
      <c r="W2503">
        <f>[1]资金台帐!W2503&amp;""</f>
      </c>
      <c r="X2503">
        <f>[1]资金台帐!X2503&amp;""</f>
      </c>
      <c r="AB2503">
        <f>[1]资金台帐!AB2503</f>
        <v>0</v>
      </c>
      <c r="AC2503">
        <f>[1]资金台帐!AC2503</f>
        <v>0</v>
      </c>
      <c r="AD2503">
        <f>[1]资金台帐!AD2503</f>
        <v>0</v>
      </c>
      <c r="AJ2503">
        <f>[1]资金台帐!AJ2503</f>
        <v>0</v>
      </c>
      <c r="AK2503">
        <f>[1]资金台帐!AK2503</f>
        <v>0</v>
      </c>
      <c r="BA2503" s="22">
        <f t="shared" si="0"/>
      </c>
      <c r="BG2503" s="22">
        <f t="shared" si="1"/>
      </c>
      <c r="BH2503" s="22">
        <f t="shared" si="2"/>
        <v>0</v>
      </c>
    </row>
    <row r="2504">
      <c r="B2504">
        <f>[1]资金台帐!B2504&amp;""</f>
      </c>
      <c r="H2504">
        <f>[1]资金台帐!H2504&amp;""</f>
      </c>
      <c r="J2504">
        <f>[1]资金台帐!J2504&amp;""</f>
      </c>
      <c r="N2504">
        <f>[1]资金台帐!N2504</f>
      </c>
      <c r="O2504">
        <f>[1]资金台帐!O2504&amp;""</f>
      </c>
      <c r="P2504">
        <f>[1]资金台帐!P2504&amp;""</f>
      </c>
      <c r="Q2504">
        <f>[1]资金台帐!Q2504&amp;""</f>
      </c>
      <c r="T2504">
        <f>[1]资金台帐!T2504&amp;""</f>
      </c>
      <c r="U2504">
        <f>[1]资金台帐!U2504&amp;""</f>
      </c>
      <c r="W2504">
        <f>[1]资金台帐!W2504&amp;""</f>
      </c>
      <c r="X2504">
        <f>[1]资金台帐!X2504&amp;""</f>
      </c>
      <c r="AB2504">
        <f>[1]资金台帐!AB2504</f>
        <v>0</v>
      </c>
      <c r="AC2504">
        <f>[1]资金台帐!AC2504</f>
        <v>0</v>
      </c>
      <c r="AD2504">
        <f>[1]资金台帐!AD2504</f>
        <v>0</v>
      </c>
      <c r="AJ2504">
        <f>[1]资金台帐!AJ2504</f>
        <v>0</v>
      </c>
      <c r="AK2504">
        <f>[1]资金台帐!AK2504</f>
        <v>0</v>
      </c>
      <c r="BA2504" s="22">
        <f t="shared" si="0"/>
      </c>
      <c r="BG2504" s="22">
        <f t="shared" si="1"/>
      </c>
      <c r="BH2504" s="22">
        <f t="shared" si="2"/>
        <v>0</v>
      </c>
    </row>
    <row r="2505">
      <c r="B2505">
        <f>[1]资金台帐!B2505&amp;""</f>
      </c>
      <c r="H2505">
        <f>[1]资金台帐!H2505&amp;""</f>
      </c>
      <c r="J2505">
        <f>[1]资金台帐!J2505&amp;""</f>
      </c>
      <c r="N2505">
        <f>[1]资金台帐!N2505</f>
      </c>
      <c r="O2505">
        <f>[1]资金台帐!O2505&amp;""</f>
      </c>
      <c r="P2505">
        <f>[1]资金台帐!P2505&amp;""</f>
      </c>
      <c r="Q2505">
        <f>[1]资金台帐!Q2505&amp;""</f>
      </c>
      <c r="T2505">
        <f>[1]资金台帐!T2505&amp;""</f>
      </c>
      <c r="U2505">
        <f>[1]资金台帐!U2505&amp;""</f>
      </c>
      <c r="W2505">
        <f>[1]资金台帐!W2505&amp;""</f>
      </c>
      <c r="X2505">
        <f>[1]资金台帐!X2505&amp;""</f>
      </c>
      <c r="AB2505">
        <f>[1]资金台帐!AB2505</f>
        <v>0</v>
      </c>
      <c r="AC2505">
        <f>[1]资金台帐!AC2505</f>
        <v>0</v>
      </c>
      <c r="AD2505">
        <f>[1]资金台帐!AD2505</f>
        <v>0</v>
      </c>
      <c r="AJ2505">
        <f>[1]资金台帐!AJ2505</f>
        <v>0</v>
      </c>
      <c r="AK2505">
        <f>[1]资金台帐!AK2505</f>
        <v>0</v>
      </c>
      <c r="BA2505" s="22">
        <f t="shared" si="0"/>
      </c>
      <c r="BG2505" s="22">
        <f t="shared" si="1"/>
      </c>
      <c r="BH2505" s="22">
        <f t="shared" si="2"/>
        <v>0</v>
      </c>
    </row>
    <row r="2506">
      <c r="B2506">
        <f>[1]资金台帐!B2506&amp;""</f>
      </c>
      <c r="H2506">
        <f>[1]资金台帐!H2506&amp;""</f>
      </c>
      <c r="J2506">
        <f>[1]资金台帐!J2506&amp;""</f>
      </c>
      <c r="N2506">
        <f>[1]资金台帐!N2506</f>
      </c>
      <c r="O2506">
        <f>[1]资金台帐!O2506&amp;""</f>
      </c>
      <c r="P2506">
        <f>[1]资金台帐!P2506&amp;""</f>
      </c>
      <c r="Q2506">
        <f>[1]资金台帐!Q2506&amp;""</f>
      </c>
      <c r="T2506">
        <f>[1]资金台帐!T2506&amp;""</f>
      </c>
      <c r="U2506">
        <f>[1]资金台帐!U2506&amp;""</f>
      </c>
      <c r="W2506">
        <f>[1]资金台帐!W2506&amp;""</f>
      </c>
      <c r="X2506">
        <f>[1]资金台帐!X2506&amp;""</f>
      </c>
      <c r="AB2506">
        <f>[1]资金台帐!AB2506</f>
        <v>0</v>
      </c>
      <c r="AC2506">
        <f>[1]资金台帐!AC2506</f>
        <v>0</v>
      </c>
      <c r="AD2506">
        <f>[1]资金台帐!AD2506</f>
        <v>0</v>
      </c>
      <c r="AJ2506">
        <f>[1]资金台帐!AJ2506</f>
        <v>0</v>
      </c>
      <c r="AK2506">
        <f>[1]资金台帐!AK2506</f>
        <v>0</v>
      </c>
      <c r="BA2506" s="22">
        <f t="shared" si="0"/>
      </c>
      <c r="BG2506" s="22">
        <f t="shared" si="1"/>
      </c>
      <c r="BH2506" s="22">
        <f t="shared" si="2"/>
        <v>0</v>
      </c>
    </row>
    <row r="2507">
      <c r="B2507">
        <f>[1]资金台帐!B2507&amp;""</f>
      </c>
      <c r="H2507">
        <f>[1]资金台帐!H2507&amp;""</f>
      </c>
      <c r="J2507">
        <f>[1]资金台帐!J2507&amp;""</f>
      </c>
      <c r="N2507">
        <f>[1]资金台帐!N2507</f>
      </c>
      <c r="O2507">
        <f>[1]资金台帐!O2507&amp;""</f>
      </c>
      <c r="P2507">
        <f>[1]资金台帐!P2507&amp;""</f>
      </c>
      <c r="Q2507">
        <f>[1]资金台帐!Q2507&amp;""</f>
      </c>
      <c r="T2507">
        <f>[1]资金台帐!T2507&amp;""</f>
      </c>
      <c r="U2507">
        <f>[1]资金台帐!U2507&amp;""</f>
      </c>
      <c r="W2507">
        <f>[1]资金台帐!W2507&amp;""</f>
      </c>
      <c r="X2507">
        <f>[1]资金台帐!X2507&amp;""</f>
      </c>
      <c r="AB2507">
        <f>[1]资金台帐!AB2507</f>
        <v>0</v>
      </c>
      <c r="AC2507">
        <f>[1]资金台帐!AC2507</f>
        <v>0</v>
      </c>
      <c r="AD2507">
        <f>[1]资金台帐!AD2507</f>
        <v>0</v>
      </c>
      <c r="AJ2507">
        <f>[1]资金台帐!AJ2507</f>
        <v>0</v>
      </c>
      <c r="AK2507">
        <f>[1]资金台帐!AK2507</f>
        <v>0</v>
      </c>
      <c r="BA2507" s="22">
        <f t="shared" si="0"/>
      </c>
      <c r="BG2507" s="22">
        <f t="shared" si="1"/>
      </c>
      <c r="BH2507" s="22">
        <f t="shared" si="2"/>
        <v>0</v>
      </c>
    </row>
    <row r="2508">
      <c r="B2508">
        <f>[1]资金台帐!B2508&amp;""</f>
      </c>
      <c r="H2508">
        <f>[1]资金台帐!H2508&amp;""</f>
      </c>
      <c r="J2508">
        <f>[1]资金台帐!J2508&amp;""</f>
      </c>
      <c r="N2508">
        <f>[1]资金台帐!N2508</f>
      </c>
      <c r="O2508">
        <f>[1]资金台帐!O2508&amp;""</f>
      </c>
      <c r="P2508">
        <f>[1]资金台帐!P2508&amp;""</f>
      </c>
      <c r="Q2508">
        <f>[1]资金台帐!Q2508&amp;""</f>
      </c>
      <c r="T2508">
        <f>[1]资金台帐!T2508&amp;""</f>
      </c>
      <c r="U2508">
        <f>[1]资金台帐!U2508&amp;""</f>
      </c>
      <c r="W2508">
        <f>[1]资金台帐!W2508&amp;""</f>
      </c>
      <c r="X2508">
        <f>[1]资金台帐!X2508&amp;""</f>
      </c>
      <c r="AB2508">
        <f>[1]资金台帐!AB2508</f>
        <v>0</v>
      </c>
      <c r="AC2508">
        <f>[1]资金台帐!AC2508</f>
        <v>0</v>
      </c>
      <c r="AD2508">
        <f>[1]资金台帐!AD2508</f>
        <v>0</v>
      </c>
      <c r="AJ2508">
        <f>[1]资金台帐!AJ2508</f>
        <v>0</v>
      </c>
      <c r="AK2508">
        <f>[1]资金台帐!AK2508</f>
        <v>0</v>
      </c>
      <c r="BA2508" s="22">
        <f t="shared" si="0"/>
      </c>
      <c r="BG2508" s="22">
        <f t="shared" si="1"/>
      </c>
      <c r="BH2508" s="22">
        <f t="shared" si="2"/>
        <v>0</v>
      </c>
    </row>
    <row r="2509">
      <c r="B2509">
        <f>[1]资金台帐!B2509&amp;""</f>
      </c>
      <c r="H2509">
        <f>[1]资金台帐!H2509&amp;""</f>
      </c>
      <c r="J2509">
        <f>[1]资金台帐!J2509&amp;""</f>
      </c>
      <c r="N2509">
        <f>[1]资金台帐!N2509</f>
      </c>
      <c r="O2509">
        <f>[1]资金台帐!O2509&amp;""</f>
      </c>
      <c r="P2509">
        <f>[1]资金台帐!P2509&amp;""</f>
      </c>
      <c r="Q2509">
        <f>[1]资金台帐!Q2509&amp;""</f>
      </c>
      <c r="T2509">
        <f>[1]资金台帐!T2509&amp;""</f>
      </c>
      <c r="U2509">
        <f>[1]资金台帐!U2509&amp;""</f>
      </c>
      <c r="W2509">
        <f>[1]资金台帐!W2509&amp;""</f>
      </c>
      <c r="X2509">
        <f>[1]资金台帐!X2509&amp;""</f>
      </c>
      <c r="AB2509">
        <f>[1]资金台帐!AB2509</f>
        <v>0</v>
      </c>
      <c r="AC2509">
        <f>[1]资金台帐!AC2509</f>
        <v>0</v>
      </c>
      <c r="AD2509">
        <f>[1]资金台帐!AD2509</f>
        <v>0</v>
      </c>
      <c r="AJ2509">
        <f>[1]资金台帐!AJ2509</f>
        <v>0</v>
      </c>
      <c r="AK2509">
        <f>[1]资金台帐!AK2509</f>
        <v>0</v>
      </c>
      <c r="BA2509" s="22">
        <f t="shared" si="0"/>
      </c>
      <c r="BG2509" s="22">
        <f t="shared" si="1"/>
      </c>
      <c r="BH2509" s="22">
        <f t="shared" si="2"/>
        <v>0</v>
      </c>
    </row>
    <row r="2510">
      <c r="B2510">
        <f>[1]资金台帐!B2510&amp;""</f>
      </c>
      <c r="H2510">
        <f>[1]资金台帐!H2510&amp;""</f>
      </c>
      <c r="J2510">
        <f>[1]资金台帐!J2510&amp;""</f>
      </c>
      <c r="N2510">
        <f>[1]资金台帐!N2510</f>
      </c>
      <c r="O2510">
        <f>[1]资金台帐!O2510&amp;""</f>
      </c>
      <c r="P2510">
        <f>[1]资金台帐!P2510&amp;""</f>
      </c>
      <c r="Q2510">
        <f>[1]资金台帐!Q2510&amp;""</f>
      </c>
      <c r="T2510">
        <f>[1]资金台帐!T2510&amp;""</f>
      </c>
      <c r="U2510">
        <f>[1]资金台帐!U2510&amp;""</f>
      </c>
      <c r="W2510">
        <f>[1]资金台帐!W2510&amp;""</f>
      </c>
      <c r="X2510">
        <f>[1]资金台帐!X2510&amp;""</f>
      </c>
      <c r="AB2510">
        <f>[1]资金台帐!AB2510</f>
        <v>0</v>
      </c>
      <c r="AC2510">
        <f>[1]资金台帐!AC2510</f>
        <v>0</v>
      </c>
      <c r="AD2510">
        <f>[1]资金台帐!AD2510</f>
        <v>0</v>
      </c>
      <c r="AJ2510">
        <f>[1]资金台帐!AJ2510</f>
        <v>0</v>
      </c>
      <c r="AK2510">
        <f>[1]资金台帐!AK2510</f>
        <v>0</v>
      </c>
      <c r="BA2510" s="22">
        <f t="shared" si="0"/>
      </c>
      <c r="BG2510" s="22">
        <f t="shared" si="1"/>
      </c>
      <c r="BH2510" s="22">
        <f t="shared" si="2"/>
        <v>0</v>
      </c>
    </row>
    <row r="2511">
      <c r="B2511">
        <f>[1]资金台帐!B2511&amp;""</f>
      </c>
      <c r="H2511">
        <f>[1]资金台帐!H2511&amp;""</f>
      </c>
      <c r="J2511">
        <f>[1]资金台帐!J2511&amp;""</f>
      </c>
      <c r="N2511">
        <f>[1]资金台帐!N2511</f>
      </c>
      <c r="O2511">
        <f>[1]资金台帐!O2511&amp;""</f>
      </c>
      <c r="P2511">
        <f>[1]资金台帐!P2511&amp;""</f>
      </c>
      <c r="Q2511">
        <f>[1]资金台帐!Q2511&amp;""</f>
      </c>
      <c r="T2511">
        <f>[1]资金台帐!T2511&amp;""</f>
      </c>
      <c r="U2511">
        <f>[1]资金台帐!U2511&amp;""</f>
      </c>
      <c r="W2511">
        <f>[1]资金台帐!W2511&amp;""</f>
      </c>
      <c r="X2511">
        <f>[1]资金台帐!X2511&amp;""</f>
      </c>
      <c r="AB2511">
        <f>[1]资金台帐!AB2511</f>
        <v>0</v>
      </c>
      <c r="AC2511">
        <f>[1]资金台帐!AC2511</f>
        <v>0</v>
      </c>
      <c r="AD2511">
        <f>[1]资金台帐!AD2511</f>
        <v>0</v>
      </c>
      <c r="AJ2511">
        <f>[1]资金台帐!AJ2511</f>
        <v>0</v>
      </c>
      <c r="AK2511">
        <f>[1]资金台帐!AK2511</f>
        <v>0</v>
      </c>
      <c r="BA2511" s="22">
        <f t="shared" si="0"/>
      </c>
      <c r="BG2511" s="22">
        <f t="shared" si="1"/>
      </c>
      <c r="BH2511" s="22">
        <f t="shared" si="2"/>
        <v>0</v>
      </c>
    </row>
    <row r="2512">
      <c r="B2512">
        <f>[1]资金台帐!B2512&amp;""</f>
      </c>
      <c r="H2512">
        <f>[1]资金台帐!H2512&amp;""</f>
      </c>
      <c r="J2512">
        <f>[1]资金台帐!J2512&amp;""</f>
      </c>
      <c r="N2512">
        <f>[1]资金台帐!N2512</f>
      </c>
      <c r="O2512">
        <f>[1]资金台帐!O2512&amp;""</f>
      </c>
      <c r="P2512">
        <f>[1]资金台帐!P2512&amp;""</f>
      </c>
      <c r="Q2512">
        <f>[1]资金台帐!Q2512&amp;""</f>
      </c>
      <c r="T2512">
        <f>[1]资金台帐!T2512&amp;""</f>
      </c>
      <c r="U2512">
        <f>[1]资金台帐!U2512&amp;""</f>
      </c>
      <c r="W2512">
        <f>[1]资金台帐!W2512&amp;""</f>
      </c>
      <c r="X2512">
        <f>[1]资金台帐!X2512&amp;""</f>
      </c>
      <c r="AB2512">
        <f>[1]资金台帐!AB2512</f>
        <v>0</v>
      </c>
      <c r="AC2512">
        <f>[1]资金台帐!AC2512</f>
        <v>0</v>
      </c>
      <c r="AD2512">
        <f>[1]资金台帐!AD2512</f>
        <v>0</v>
      </c>
      <c r="AJ2512">
        <f>[1]资金台帐!AJ2512</f>
        <v>0</v>
      </c>
      <c r="AK2512">
        <f>[1]资金台帐!AK2512</f>
        <v>0</v>
      </c>
      <c r="BA2512" s="22">
        <f t="shared" si="0"/>
      </c>
      <c r="BG2512" s="22">
        <f t="shared" si="1"/>
      </c>
      <c r="BH2512" s="22">
        <f t="shared" si="2"/>
        <v>0</v>
      </c>
    </row>
    <row r="2513">
      <c r="B2513">
        <f>[1]资金台帐!B2513&amp;""</f>
      </c>
      <c r="H2513">
        <f>[1]资金台帐!H2513&amp;""</f>
      </c>
      <c r="J2513">
        <f>[1]资金台帐!J2513&amp;""</f>
      </c>
      <c r="N2513">
        <f>[1]资金台帐!N2513</f>
      </c>
      <c r="O2513">
        <f>[1]资金台帐!O2513&amp;""</f>
      </c>
      <c r="P2513">
        <f>[1]资金台帐!P2513&amp;""</f>
      </c>
      <c r="Q2513">
        <f>[1]资金台帐!Q2513&amp;""</f>
      </c>
      <c r="T2513">
        <f>[1]资金台帐!T2513&amp;""</f>
      </c>
      <c r="U2513">
        <f>[1]资金台帐!U2513&amp;""</f>
      </c>
      <c r="W2513">
        <f>[1]资金台帐!W2513&amp;""</f>
      </c>
      <c r="X2513">
        <f>[1]资金台帐!X2513&amp;""</f>
      </c>
      <c r="AB2513">
        <f>[1]资金台帐!AB2513</f>
        <v>0</v>
      </c>
      <c r="AC2513">
        <f>[1]资金台帐!AC2513</f>
        <v>0</v>
      </c>
      <c r="AD2513">
        <f>[1]资金台帐!AD2513</f>
        <v>0</v>
      </c>
      <c r="AJ2513">
        <f>[1]资金台帐!AJ2513</f>
        <v>0</v>
      </c>
      <c r="AK2513">
        <f>[1]资金台帐!AK2513</f>
        <v>0</v>
      </c>
      <c r="BA2513" s="22">
        <f t="shared" si="0"/>
      </c>
      <c r="BG2513" s="22">
        <f t="shared" si="1"/>
      </c>
      <c r="BH2513" s="22">
        <f t="shared" si="2"/>
        <v>0</v>
      </c>
    </row>
    <row r="2514">
      <c r="B2514">
        <f>[1]资金台帐!B2514&amp;""</f>
      </c>
      <c r="H2514">
        <f>[1]资金台帐!H2514&amp;""</f>
      </c>
      <c r="J2514">
        <f>[1]资金台帐!J2514&amp;""</f>
      </c>
      <c r="N2514">
        <f>[1]资金台帐!N2514</f>
      </c>
      <c r="O2514">
        <f>[1]资金台帐!O2514&amp;""</f>
      </c>
      <c r="P2514">
        <f>[1]资金台帐!P2514&amp;""</f>
      </c>
      <c r="Q2514">
        <f>[1]资金台帐!Q2514&amp;""</f>
      </c>
      <c r="T2514">
        <f>[1]资金台帐!T2514&amp;""</f>
      </c>
      <c r="U2514">
        <f>[1]资金台帐!U2514&amp;""</f>
      </c>
      <c r="W2514">
        <f>[1]资金台帐!W2514&amp;""</f>
      </c>
      <c r="X2514">
        <f>[1]资金台帐!X2514&amp;""</f>
      </c>
      <c r="AB2514">
        <f>[1]资金台帐!AB2514</f>
        <v>0</v>
      </c>
      <c r="AC2514">
        <f>[1]资金台帐!AC2514</f>
        <v>0</v>
      </c>
      <c r="AD2514">
        <f>[1]资金台帐!AD2514</f>
        <v>0</v>
      </c>
      <c r="AJ2514">
        <f>[1]资金台帐!AJ2514</f>
        <v>0</v>
      </c>
      <c r="AK2514">
        <f>[1]资金台帐!AK2514</f>
        <v>0</v>
      </c>
      <c r="BA2514" s="22">
        <f t="shared" si="0"/>
      </c>
      <c r="BG2514" s="22">
        <f t="shared" si="1"/>
      </c>
      <c r="BH2514" s="22">
        <f t="shared" si="2"/>
        <v>0</v>
      </c>
    </row>
    <row r="2515">
      <c r="B2515">
        <f>[1]资金台帐!B2515&amp;""</f>
      </c>
      <c r="H2515">
        <f>[1]资金台帐!H2515&amp;""</f>
      </c>
      <c r="J2515">
        <f>[1]资金台帐!J2515&amp;""</f>
      </c>
      <c r="N2515">
        <f>[1]资金台帐!N2515</f>
      </c>
      <c r="O2515">
        <f>[1]资金台帐!O2515&amp;""</f>
      </c>
      <c r="P2515">
        <f>[1]资金台帐!P2515&amp;""</f>
      </c>
      <c r="Q2515">
        <f>[1]资金台帐!Q2515&amp;""</f>
      </c>
      <c r="T2515">
        <f>[1]资金台帐!T2515&amp;""</f>
      </c>
      <c r="U2515">
        <f>[1]资金台帐!U2515&amp;""</f>
      </c>
      <c r="W2515">
        <f>[1]资金台帐!W2515&amp;""</f>
      </c>
      <c r="X2515">
        <f>[1]资金台帐!X2515&amp;""</f>
      </c>
      <c r="AB2515">
        <f>[1]资金台帐!AB2515</f>
        <v>0</v>
      </c>
      <c r="AC2515">
        <f>[1]资金台帐!AC2515</f>
        <v>0</v>
      </c>
      <c r="AD2515">
        <f>[1]资金台帐!AD2515</f>
        <v>0</v>
      </c>
      <c r="AJ2515">
        <f>[1]资金台帐!AJ2515</f>
        <v>0</v>
      </c>
      <c r="AK2515">
        <f>[1]资金台帐!AK2515</f>
        <v>0</v>
      </c>
      <c r="BA2515" s="22">
        <f t="shared" si="0"/>
      </c>
      <c r="BG2515" s="22">
        <f t="shared" si="1"/>
      </c>
      <c r="BH2515" s="22">
        <f t="shared" si="2"/>
        <v>0</v>
      </c>
    </row>
    <row r="2516">
      <c r="B2516">
        <f>[1]资金台帐!B2516&amp;""</f>
      </c>
      <c r="H2516">
        <f>[1]资金台帐!H2516&amp;""</f>
      </c>
      <c r="J2516">
        <f>[1]资金台帐!J2516&amp;""</f>
      </c>
      <c r="N2516">
        <f>[1]资金台帐!N2516</f>
      </c>
      <c r="O2516">
        <f>[1]资金台帐!O2516&amp;""</f>
      </c>
      <c r="P2516">
        <f>[1]资金台帐!P2516&amp;""</f>
      </c>
      <c r="Q2516">
        <f>[1]资金台帐!Q2516&amp;""</f>
      </c>
      <c r="T2516">
        <f>[1]资金台帐!T2516&amp;""</f>
      </c>
      <c r="U2516">
        <f>[1]资金台帐!U2516&amp;""</f>
      </c>
      <c r="W2516">
        <f>[1]资金台帐!W2516&amp;""</f>
      </c>
      <c r="X2516">
        <f>[1]资金台帐!X2516&amp;""</f>
      </c>
      <c r="AB2516">
        <f>[1]资金台帐!AB2516</f>
        <v>0</v>
      </c>
      <c r="AC2516">
        <f>[1]资金台帐!AC2516</f>
        <v>0</v>
      </c>
      <c r="AD2516">
        <f>[1]资金台帐!AD2516</f>
        <v>0</v>
      </c>
      <c r="AJ2516">
        <f>[1]资金台帐!AJ2516</f>
        <v>0</v>
      </c>
      <c r="AK2516">
        <f>[1]资金台帐!AK2516</f>
        <v>0</v>
      </c>
      <c r="BA2516" s="22">
        <f t="shared" si="0"/>
      </c>
      <c r="BG2516" s="22">
        <f t="shared" si="1"/>
      </c>
      <c r="BH2516" s="22">
        <f t="shared" si="2"/>
        <v>0</v>
      </c>
    </row>
    <row r="2517">
      <c r="B2517">
        <f>[1]资金台帐!B2517&amp;""</f>
      </c>
      <c r="H2517">
        <f>[1]资金台帐!H2517&amp;""</f>
      </c>
      <c r="J2517">
        <f>[1]资金台帐!J2517&amp;""</f>
      </c>
      <c r="N2517">
        <f>[1]资金台帐!N2517</f>
      </c>
      <c r="O2517">
        <f>[1]资金台帐!O2517&amp;""</f>
      </c>
      <c r="P2517">
        <f>[1]资金台帐!P2517&amp;""</f>
      </c>
      <c r="Q2517">
        <f>[1]资金台帐!Q2517&amp;""</f>
      </c>
      <c r="T2517">
        <f>[1]资金台帐!T2517&amp;""</f>
      </c>
      <c r="U2517">
        <f>[1]资金台帐!U2517&amp;""</f>
      </c>
      <c r="W2517">
        <f>[1]资金台帐!W2517&amp;""</f>
      </c>
      <c r="X2517">
        <f>[1]资金台帐!X2517&amp;""</f>
      </c>
      <c r="AB2517">
        <f>[1]资金台帐!AB2517</f>
        <v>0</v>
      </c>
      <c r="AC2517">
        <f>[1]资金台帐!AC2517</f>
        <v>0</v>
      </c>
      <c r="AD2517">
        <f>[1]资金台帐!AD2517</f>
        <v>0</v>
      </c>
      <c r="AJ2517">
        <f>[1]资金台帐!AJ2517</f>
        <v>0</v>
      </c>
      <c r="AK2517">
        <f>[1]资金台帐!AK2517</f>
        <v>0</v>
      </c>
      <c r="BA2517" s="22">
        <f t="shared" si="0"/>
      </c>
      <c r="BG2517" s="22">
        <f t="shared" si="1"/>
      </c>
      <c r="BH2517" s="22">
        <f t="shared" si="2"/>
        <v>0</v>
      </c>
    </row>
    <row r="2518">
      <c r="B2518">
        <f>[1]资金台帐!B2518&amp;""</f>
      </c>
      <c r="H2518">
        <f>[1]资金台帐!H2518&amp;""</f>
      </c>
      <c r="J2518">
        <f>[1]资金台帐!J2518&amp;""</f>
      </c>
      <c r="N2518">
        <f>[1]资金台帐!N2518</f>
      </c>
      <c r="O2518">
        <f>[1]资金台帐!O2518&amp;""</f>
      </c>
      <c r="P2518">
        <f>[1]资金台帐!P2518&amp;""</f>
      </c>
      <c r="Q2518">
        <f>[1]资金台帐!Q2518&amp;""</f>
      </c>
      <c r="T2518">
        <f>[1]资金台帐!T2518&amp;""</f>
      </c>
      <c r="U2518">
        <f>[1]资金台帐!U2518&amp;""</f>
      </c>
      <c r="W2518">
        <f>[1]资金台帐!W2518&amp;""</f>
      </c>
      <c r="X2518">
        <f>[1]资金台帐!X2518&amp;""</f>
      </c>
      <c r="AB2518">
        <f>[1]资金台帐!AB2518</f>
        <v>0</v>
      </c>
      <c r="AC2518">
        <f>[1]资金台帐!AC2518</f>
        <v>0</v>
      </c>
      <c r="AD2518">
        <f>[1]资金台帐!AD2518</f>
        <v>0</v>
      </c>
      <c r="AJ2518">
        <f>[1]资金台帐!AJ2518</f>
        <v>0</v>
      </c>
      <c r="AK2518">
        <f>[1]资金台帐!AK2518</f>
        <v>0</v>
      </c>
      <c r="BA2518" s="22">
        <f t="shared" si="0"/>
      </c>
      <c r="BG2518" s="22">
        <f t="shared" si="1"/>
      </c>
      <c r="BH2518" s="22">
        <f t="shared" si="2"/>
        <v>0</v>
      </c>
    </row>
    <row r="2519">
      <c r="B2519">
        <f>[1]资金台帐!B2519&amp;""</f>
      </c>
      <c r="H2519">
        <f>[1]资金台帐!H2519&amp;""</f>
      </c>
      <c r="J2519">
        <f>[1]资金台帐!J2519&amp;""</f>
      </c>
      <c r="N2519">
        <f>[1]资金台帐!N2519</f>
      </c>
      <c r="O2519">
        <f>[1]资金台帐!O2519&amp;""</f>
      </c>
      <c r="P2519">
        <f>[1]资金台帐!P2519&amp;""</f>
      </c>
      <c r="Q2519">
        <f>[1]资金台帐!Q2519&amp;""</f>
      </c>
      <c r="T2519">
        <f>[1]资金台帐!T2519&amp;""</f>
      </c>
      <c r="U2519">
        <f>[1]资金台帐!U2519&amp;""</f>
      </c>
      <c r="W2519">
        <f>[1]资金台帐!W2519&amp;""</f>
      </c>
      <c r="X2519">
        <f>[1]资金台帐!X2519&amp;""</f>
      </c>
      <c r="AB2519">
        <f>[1]资金台帐!AB2519</f>
        <v>0</v>
      </c>
      <c r="AC2519">
        <f>[1]资金台帐!AC2519</f>
        <v>0</v>
      </c>
      <c r="AD2519">
        <f>[1]资金台帐!AD2519</f>
        <v>0</v>
      </c>
      <c r="AJ2519">
        <f>[1]资金台帐!AJ2519</f>
        <v>0</v>
      </c>
      <c r="AK2519">
        <f>[1]资金台帐!AK2519</f>
        <v>0</v>
      </c>
      <c r="BA2519" s="22">
        <f t="shared" si="0"/>
      </c>
      <c r="BG2519" s="22">
        <f t="shared" si="1"/>
      </c>
      <c r="BH2519" s="22">
        <f t="shared" si="2"/>
        <v>0</v>
      </c>
    </row>
    <row r="2520">
      <c r="B2520">
        <f>[1]资金台帐!B2520&amp;""</f>
      </c>
      <c r="H2520">
        <f>[1]资金台帐!H2520&amp;""</f>
      </c>
      <c r="J2520">
        <f>[1]资金台帐!J2520&amp;""</f>
      </c>
      <c r="N2520">
        <f>[1]资金台帐!N2520</f>
      </c>
      <c r="O2520">
        <f>[1]资金台帐!O2520&amp;""</f>
      </c>
      <c r="P2520">
        <f>[1]资金台帐!P2520&amp;""</f>
      </c>
      <c r="Q2520">
        <f>[1]资金台帐!Q2520&amp;""</f>
      </c>
      <c r="T2520">
        <f>[1]资金台帐!T2520&amp;""</f>
      </c>
      <c r="U2520">
        <f>[1]资金台帐!U2520&amp;""</f>
      </c>
      <c r="W2520">
        <f>[1]资金台帐!W2520&amp;""</f>
      </c>
      <c r="X2520">
        <f>[1]资金台帐!X2520&amp;""</f>
      </c>
      <c r="AB2520">
        <f>[1]资金台帐!AB2520</f>
        <v>0</v>
      </c>
      <c r="AC2520">
        <f>[1]资金台帐!AC2520</f>
        <v>0</v>
      </c>
      <c r="AD2520">
        <f>[1]资金台帐!AD2520</f>
        <v>0</v>
      </c>
      <c r="AJ2520">
        <f>[1]资金台帐!AJ2520</f>
        <v>0</v>
      </c>
      <c r="AK2520">
        <f>[1]资金台帐!AK2520</f>
        <v>0</v>
      </c>
      <c r="BA2520" s="22">
        <f t="shared" si="0"/>
      </c>
      <c r="BG2520" s="22">
        <f t="shared" si="1"/>
      </c>
      <c r="BH2520" s="22">
        <f t="shared" si="2"/>
        <v>0</v>
      </c>
    </row>
    <row r="2521">
      <c r="B2521">
        <f>[1]资金台帐!B2521&amp;""</f>
      </c>
      <c r="H2521">
        <f>[1]资金台帐!H2521&amp;""</f>
      </c>
      <c r="J2521">
        <f>[1]资金台帐!J2521&amp;""</f>
      </c>
      <c r="N2521">
        <f>[1]资金台帐!N2521</f>
      </c>
      <c r="O2521">
        <f>[1]资金台帐!O2521&amp;""</f>
      </c>
      <c r="P2521">
        <f>[1]资金台帐!P2521&amp;""</f>
      </c>
      <c r="Q2521">
        <f>[1]资金台帐!Q2521&amp;""</f>
      </c>
      <c r="T2521">
        <f>[1]资金台帐!T2521&amp;""</f>
      </c>
      <c r="U2521">
        <f>[1]资金台帐!U2521&amp;""</f>
      </c>
      <c r="W2521">
        <f>[1]资金台帐!W2521&amp;""</f>
      </c>
      <c r="X2521">
        <f>[1]资金台帐!X2521&amp;""</f>
      </c>
      <c r="AB2521">
        <f>[1]资金台帐!AB2521</f>
        <v>0</v>
      </c>
      <c r="AC2521">
        <f>[1]资金台帐!AC2521</f>
        <v>0</v>
      </c>
      <c r="AD2521">
        <f>[1]资金台帐!AD2521</f>
        <v>0</v>
      </c>
      <c r="AJ2521">
        <f>[1]资金台帐!AJ2521</f>
        <v>0</v>
      </c>
      <c r="AK2521">
        <f>[1]资金台帐!AK2521</f>
        <v>0</v>
      </c>
      <c r="BA2521" s="22">
        <f t="shared" si="0"/>
      </c>
      <c r="BG2521" s="22">
        <f t="shared" si="1"/>
      </c>
      <c r="BH2521" s="22">
        <f t="shared" si="2"/>
        <v>0</v>
      </c>
    </row>
    <row r="2522">
      <c r="B2522">
        <f>[1]资金台帐!B2522&amp;""</f>
      </c>
      <c r="H2522">
        <f>[1]资金台帐!H2522&amp;""</f>
      </c>
      <c r="J2522">
        <f>[1]资金台帐!J2522&amp;""</f>
      </c>
      <c r="N2522">
        <f>[1]资金台帐!N2522</f>
      </c>
      <c r="O2522">
        <f>[1]资金台帐!O2522&amp;""</f>
      </c>
      <c r="P2522">
        <f>[1]资金台帐!P2522&amp;""</f>
      </c>
      <c r="Q2522">
        <f>[1]资金台帐!Q2522&amp;""</f>
      </c>
      <c r="T2522">
        <f>[1]资金台帐!T2522&amp;""</f>
      </c>
      <c r="U2522">
        <f>[1]资金台帐!U2522&amp;""</f>
      </c>
      <c r="W2522">
        <f>[1]资金台帐!W2522&amp;""</f>
      </c>
      <c r="X2522">
        <f>[1]资金台帐!X2522&amp;""</f>
      </c>
      <c r="AB2522">
        <f>[1]资金台帐!AB2522</f>
        <v>0</v>
      </c>
      <c r="AC2522">
        <f>[1]资金台帐!AC2522</f>
        <v>0</v>
      </c>
      <c r="AD2522">
        <f>[1]资金台帐!AD2522</f>
        <v>0</v>
      </c>
      <c r="AJ2522">
        <f>[1]资金台帐!AJ2522</f>
        <v>0</v>
      </c>
      <c r="AK2522">
        <f>[1]资金台帐!AK2522</f>
        <v>0</v>
      </c>
      <c r="BA2522" s="22">
        <f t="shared" si="0"/>
      </c>
      <c r="BG2522" s="22">
        <f t="shared" si="1"/>
      </c>
      <c r="BH2522" s="22">
        <f t="shared" si="2"/>
        <v>0</v>
      </c>
    </row>
    <row r="2523">
      <c r="B2523">
        <f>[1]资金台帐!B2523&amp;""</f>
      </c>
      <c r="H2523">
        <f>[1]资金台帐!H2523&amp;""</f>
      </c>
      <c r="J2523">
        <f>[1]资金台帐!J2523&amp;""</f>
      </c>
      <c r="N2523">
        <f>[1]资金台帐!N2523</f>
      </c>
      <c r="O2523">
        <f>[1]资金台帐!O2523&amp;""</f>
      </c>
      <c r="P2523">
        <f>[1]资金台帐!P2523&amp;""</f>
      </c>
      <c r="Q2523">
        <f>[1]资金台帐!Q2523&amp;""</f>
      </c>
      <c r="T2523">
        <f>[1]资金台帐!T2523&amp;""</f>
      </c>
      <c r="U2523">
        <f>[1]资金台帐!U2523&amp;""</f>
      </c>
      <c r="W2523">
        <f>[1]资金台帐!W2523&amp;""</f>
      </c>
      <c r="X2523">
        <f>[1]资金台帐!X2523&amp;""</f>
      </c>
      <c r="AB2523">
        <f>[1]资金台帐!AB2523</f>
        <v>0</v>
      </c>
      <c r="AC2523">
        <f>[1]资金台帐!AC2523</f>
        <v>0</v>
      </c>
      <c r="AD2523">
        <f>[1]资金台帐!AD2523</f>
        <v>0</v>
      </c>
      <c r="AJ2523">
        <f>[1]资金台帐!AJ2523</f>
        <v>0</v>
      </c>
      <c r="AK2523">
        <f>[1]资金台帐!AK2523</f>
        <v>0</v>
      </c>
      <c r="BA2523" s="22">
        <f t="shared" si="0"/>
      </c>
      <c r="BG2523" s="22">
        <f t="shared" si="1"/>
      </c>
      <c r="BH2523" s="22">
        <f t="shared" si="2"/>
        <v>0</v>
      </c>
    </row>
    <row r="2524">
      <c r="B2524">
        <f>[1]资金台帐!B2524&amp;""</f>
      </c>
      <c r="H2524">
        <f>[1]资金台帐!H2524&amp;""</f>
      </c>
      <c r="J2524">
        <f>[1]资金台帐!J2524&amp;""</f>
      </c>
      <c r="N2524">
        <f>[1]资金台帐!N2524</f>
      </c>
      <c r="O2524">
        <f>[1]资金台帐!O2524&amp;""</f>
      </c>
      <c r="P2524">
        <f>[1]资金台帐!P2524&amp;""</f>
      </c>
      <c r="Q2524">
        <f>[1]资金台帐!Q2524&amp;""</f>
      </c>
      <c r="T2524">
        <f>[1]资金台帐!T2524&amp;""</f>
      </c>
      <c r="U2524">
        <f>[1]资金台帐!U2524&amp;""</f>
      </c>
      <c r="W2524">
        <f>[1]资金台帐!W2524&amp;""</f>
      </c>
      <c r="X2524">
        <f>[1]资金台帐!X2524&amp;""</f>
      </c>
      <c r="AB2524">
        <f>[1]资金台帐!AB2524</f>
        <v>0</v>
      </c>
      <c r="AC2524">
        <f>[1]资金台帐!AC2524</f>
        <v>0</v>
      </c>
      <c r="AD2524">
        <f>[1]资金台帐!AD2524</f>
        <v>0</v>
      </c>
      <c r="AJ2524">
        <f>[1]资金台帐!AJ2524</f>
        <v>0</v>
      </c>
      <c r="AK2524">
        <f>[1]资金台帐!AK2524</f>
        <v>0</v>
      </c>
      <c r="BA2524" s="22">
        <f t="shared" si="0"/>
      </c>
      <c r="BG2524" s="22">
        <f t="shared" si="1"/>
      </c>
      <c r="BH2524" s="22">
        <f t="shared" si="2"/>
        <v>0</v>
      </c>
    </row>
    <row r="2525">
      <c r="B2525">
        <f>[1]资金台帐!B2525&amp;""</f>
      </c>
      <c r="H2525">
        <f>[1]资金台帐!H2525&amp;""</f>
      </c>
      <c r="J2525">
        <f>[1]资金台帐!J2525&amp;""</f>
      </c>
      <c r="N2525">
        <f>[1]资金台帐!N2525</f>
      </c>
      <c r="O2525">
        <f>[1]资金台帐!O2525&amp;""</f>
      </c>
      <c r="P2525">
        <f>[1]资金台帐!P2525&amp;""</f>
      </c>
      <c r="Q2525">
        <f>[1]资金台帐!Q2525&amp;""</f>
      </c>
      <c r="T2525">
        <f>[1]资金台帐!T2525&amp;""</f>
      </c>
      <c r="U2525">
        <f>[1]资金台帐!U2525&amp;""</f>
      </c>
      <c r="W2525">
        <f>[1]资金台帐!W2525&amp;""</f>
      </c>
      <c r="X2525">
        <f>[1]资金台帐!X2525&amp;""</f>
      </c>
      <c r="AB2525">
        <f>[1]资金台帐!AB2525</f>
        <v>0</v>
      </c>
      <c r="AC2525">
        <f>[1]资金台帐!AC2525</f>
        <v>0</v>
      </c>
      <c r="AD2525">
        <f>[1]资金台帐!AD2525</f>
        <v>0</v>
      </c>
      <c r="AJ2525">
        <f>[1]资金台帐!AJ2525</f>
        <v>0</v>
      </c>
      <c r="AK2525">
        <f>[1]资金台帐!AK2525</f>
        <v>0</v>
      </c>
      <c r="BA2525" s="22">
        <f t="shared" si="0"/>
      </c>
      <c r="BG2525" s="22">
        <f t="shared" si="1"/>
      </c>
      <c r="BH2525" s="22">
        <f t="shared" si="2"/>
        <v>0</v>
      </c>
    </row>
    <row r="2526">
      <c r="B2526">
        <f>[1]资金台帐!B2526&amp;""</f>
      </c>
      <c r="H2526">
        <f>[1]资金台帐!H2526&amp;""</f>
      </c>
      <c r="J2526">
        <f>[1]资金台帐!J2526&amp;""</f>
      </c>
      <c r="N2526">
        <f>[1]资金台帐!N2526</f>
      </c>
      <c r="O2526">
        <f>[1]资金台帐!O2526&amp;""</f>
      </c>
      <c r="P2526">
        <f>[1]资金台帐!P2526&amp;""</f>
      </c>
      <c r="Q2526">
        <f>[1]资金台帐!Q2526&amp;""</f>
      </c>
      <c r="T2526">
        <f>[1]资金台帐!T2526&amp;""</f>
      </c>
      <c r="U2526">
        <f>[1]资金台帐!U2526&amp;""</f>
      </c>
      <c r="W2526">
        <f>[1]资金台帐!W2526&amp;""</f>
      </c>
      <c r="X2526">
        <f>[1]资金台帐!X2526&amp;""</f>
      </c>
      <c r="AB2526">
        <f>[1]资金台帐!AB2526</f>
        <v>0</v>
      </c>
      <c r="AC2526">
        <f>[1]资金台帐!AC2526</f>
        <v>0</v>
      </c>
      <c r="AD2526">
        <f>[1]资金台帐!AD2526</f>
        <v>0</v>
      </c>
      <c r="AJ2526">
        <f>[1]资金台帐!AJ2526</f>
        <v>0</v>
      </c>
      <c r="AK2526">
        <f>[1]资金台帐!AK2526</f>
        <v>0</v>
      </c>
      <c r="BA2526" s="22">
        <f t="shared" si="0"/>
      </c>
      <c r="BG2526" s="22">
        <f t="shared" si="1"/>
      </c>
      <c r="BH2526" s="22">
        <f t="shared" si="2"/>
        <v>0</v>
      </c>
    </row>
    <row r="2527">
      <c r="B2527">
        <f>[1]资金台帐!B2527&amp;""</f>
      </c>
      <c r="H2527">
        <f>[1]资金台帐!H2527&amp;""</f>
      </c>
      <c r="J2527">
        <f>[1]资金台帐!J2527&amp;""</f>
      </c>
      <c r="N2527">
        <f>[1]资金台帐!N2527</f>
      </c>
      <c r="O2527">
        <f>[1]资金台帐!O2527&amp;""</f>
      </c>
      <c r="P2527">
        <f>[1]资金台帐!P2527&amp;""</f>
      </c>
      <c r="Q2527">
        <f>[1]资金台帐!Q2527&amp;""</f>
      </c>
      <c r="T2527">
        <f>[1]资金台帐!T2527&amp;""</f>
      </c>
      <c r="U2527">
        <f>[1]资金台帐!U2527&amp;""</f>
      </c>
      <c r="W2527">
        <f>[1]资金台帐!W2527&amp;""</f>
      </c>
      <c r="X2527">
        <f>[1]资金台帐!X2527&amp;""</f>
      </c>
      <c r="AB2527">
        <f>[1]资金台帐!AB2527</f>
        <v>0</v>
      </c>
      <c r="AC2527">
        <f>[1]资金台帐!AC2527</f>
        <v>0</v>
      </c>
      <c r="AD2527">
        <f>[1]资金台帐!AD2527</f>
        <v>0</v>
      </c>
      <c r="AJ2527">
        <f>[1]资金台帐!AJ2527</f>
        <v>0</v>
      </c>
      <c r="AK2527">
        <f>[1]资金台帐!AK2527</f>
        <v>0</v>
      </c>
      <c r="BA2527" s="22">
        <f t="shared" si="0"/>
      </c>
      <c r="BG2527" s="22">
        <f t="shared" si="1"/>
      </c>
      <c r="BH2527" s="22">
        <f t="shared" si="2"/>
        <v>0</v>
      </c>
    </row>
    <row r="2528">
      <c r="B2528">
        <f>[1]资金台帐!B2528&amp;""</f>
      </c>
      <c r="H2528">
        <f>[1]资金台帐!H2528&amp;""</f>
      </c>
      <c r="J2528">
        <f>[1]资金台帐!J2528&amp;""</f>
      </c>
      <c r="N2528">
        <f>[1]资金台帐!N2528</f>
      </c>
      <c r="O2528">
        <f>[1]资金台帐!O2528&amp;""</f>
      </c>
      <c r="P2528">
        <f>[1]资金台帐!P2528&amp;""</f>
      </c>
      <c r="Q2528">
        <f>[1]资金台帐!Q2528&amp;""</f>
      </c>
      <c r="T2528">
        <f>[1]资金台帐!T2528&amp;""</f>
      </c>
      <c r="U2528">
        <f>[1]资金台帐!U2528&amp;""</f>
      </c>
      <c r="W2528">
        <f>[1]资金台帐!W2528&amp;""</f>
      </c>
      <c r="X2528">
        <f>[1]资金台帐!X2528&amp;""</f>
      </c>
      <c r="AB2528">
        <f>[1]资金台帐!AB2528</f>
        <v>0</v>
      </c>
      <c r="AC2528">
        <f>[1]资金台帐!AC2528</f>
        <v>0</v>
      </c>
      <c r="AD2528">
        <f>[1]资金台帐!AD2528</f>
        <v>0</v>
      </c>
      <c r="AJ2528">
        <f>[1]资金台帐!AJ2528</f>
        <v>0</v>
      </c>
      <c r="AK2528">
        <f>[1]资金台帐!AK2528</f>
        <v>0</v>
      </c>
      <c r="BA2528" s="22">
        <f t="shared" si="0"/>
      </c>
      <c r="BG2528" s="22">
        <f t="shared" si="1"/>
      </c>
      <c r="BH2528" s="22">
        <f t="shared" si="2"/>
        <v>0</v>
      </c>
    </row>
    <row r="2529">
      <c r="B2529">
        <f>[1]资金台帐!B2529&amp;""</f>
      </c>
      <c r="H2529">
        <f>[1]资金台帐!H2529&amp;""</f>
      </c>
      <c r="J2529">
        <f>[1]资金台帐!J2529&amp;""</f>
      </c>
      <c r="N2529">
        <f>[1]资金台帐!N2529</f>
      </c>
      <c r="O2529">
        <f>[1]资金台帐!O2529&amp;""</f>
      </c>
      <c r="P2529">
        <f>[1]资金台帐!P2529&amp;""</f>
      </c>
      <c r="Q2529">
        <f>[1]资金台帐!Q2529&amp;""</f>
      </c>
      <c r="T2529">
        <f>[1]资金台帐!T2529&amp;""</f>
      </c>
      <c r="U2529">
        <f>[1]资金台帐!U2529&amp;""</f>
      </c>
      <c r="W2529">
        <f>[1]资金台帐!W2529&amp;""</f>
      </c>
      <c r="X2529">
        <f>[1]资金台帐!X2529&amp;""</f>
      </c>
      <c r="AB2529">
        <f>[1]资金台帐!AB2529</f>
        <v>0</v>
      </c>
      <c r="AC2529">
        <f>[1]资金台帐!AC2529</f>
        <v>0</v>
      </c>
      <c r="AD2529">
        <f>[1]资金台帐!AD2529</f>
        <v>0</v>
      </c>
      <c r="AJ2529">
        <f>[1]资金台帐!AJ2529</f>
        <v>0</v>
      </c>
      <c r="AK2529">
        <f>[1]资金台帐!AK2529</f>
        <v>0</v>
      </c>
      <c r="BA2529" s="22">
        <f t="shared" si="0"/>
      </c>
      <c r="BG2529" s="22">
        <f t="shared" si="1"/>
      </c>
      <c r="BH2529" s="22">
        <f t="shared" si="2"/>
        <v>0</v>
      </c>
    </row>
    <row r="2530">
      <c r="B2530">
        <f>[1]资金台帐!B2530&amp;""</f>
      </c>
      <c r="H2530">
        <f>[1]资金台帐!H2530&amp;""</f>
      </c>
      <c r="J2530">
        <f>[1]资金台帐!J2530&amp;""</f>
      </c>
      <c r="N2530">
        <f>[1]资金台帐!N2530</f>
      </c>
      <c r="O2530">
        <f>[1]资金台帐!O2530&amp;""</f>
      </c>
      <c r="P2530">
        <f>[1]资金台帐!P2530&amp;""</f>
      </c>
      <c r="Q2530">
        <f>[1]资金台帐!Q2530&amp;""</f>
      </c>
      <c r="T2530">
        <f>[1]资金台帐!T2530&amp;""</f>
      </c>
      <c r="U2530">
        <f>[1]资金台帐!U2530&amp;""</f>
      </c>
      <c r="W2530">
        <f>[1]资金台帐!W2530&amp;""</f>
      </c>
      <c r="X2530">
        <f>[1]资金台帐!X2530&amp;""</f>
      </c>
      <c r="AB2530">
        <f>[1]资金台帐!AB2530</f>
        <v>0</v>
      </c>
      <c r="AC2530">
        <f>[1]资金台帐!AC2530</f>
        <v>0</v>
      </c>
      <c r="AD2530">
        <f>[1]资金台帐!AD2530</f>
        <v>0</v>
      </c>
      <c r="AJ2530">
        <f>[1]资金台帐!AJ2530</f>
        <v>0</v>
      </c>
      <c r="AK2530">
        <f>[1]资金台帐!AK2530</f>
        <v>0</v>
      </c>
      <c r="BA2530" s="22">
        <f t="shared" si="0"/>
      </c>
      <c r="BG2530" s="22">
        <f t="shared" si="1"/>
      </c>
      <c r="BH2530" s="22">
        <f t="shared" si="2"/>
        <v>0</v>
      </c>
    </row>
    <row r="2531">
      <c r="B2531">
        <f>[1]资金台帐!B2531&amp;""</f>
      </c>
      <c r="H2531">
        <f>[1]资金台帐!H2531&amp;""</f>
      </c>
      <c r="J2531">
        <f>[1]资金台帐!J2531&amp;""</f>
      </c>
      <c r="N2531">
        <f>[1]资金台帐!N2531</f>
      </c>
      <c r="O2531">
        <f>[1]资金台帐!O2531&amp;""</f>
      </c>
      <c r="P2531">
        <f>[1]资金台帐!P2531&amp;""</f>
      </c>
      <c r="Q2531">
        <f>[1]资金台帐!Q2531&amp;""</f>
      </c>
      <c r="T2531">
        <f>[1]资金台帐!T2531&amp;""</f>
      </c>
      <c r="U2531">
        <f>[1]资金台帐!U2531&amp;""</f>
      </c>
      <c r="W2531">
        <f>[1]资金台帐!W2531&amp;""</f>
      </c>
      <c r="X2531">
        <f>[1]资金台帐!X2531&amp;""</f>
      </c>
      <c r="AB2531">
        <f>[1]资金台帐!AB2531</f>
        <v>0</v>
      </c>
      <c r="AC2531">
        <f>[1]资金台帐!AC2531</f>
        <v>0</v>
      </c>
      <c r="AD2531">
        <f>[1]资金台帐!AD2531</f>
        <v>0</v>
      </c>
      <c r="AJ2531">
        <f>[1]资金台帐!AJ2531</f>
        <v>0</v>
      </c>
      <c r="AK2531">
        <f>[1]资金台帐!AK2531</f>
        <v>0</v>
      </c>
      <c r="BA2531" s="22">
        <f t="shared" si="0"/>
      </c>
      <c r="BG2531" s="22">
        <f t="shared" si="1"/>
      </c>
      <c r="BH2531" s="22">
        <f t="shared" si="2"/>
        <v>0</v>
      </c>
    </row>
    <row r="2532">
      <c r="B2532">
        <f>[1]资金台帐!B2532&amp;""</f>
      </c>
      <c r="H2532">
        <f>[1]资金台帐!H2532&amp;""</f>
      </c>
      <c r="J2532">
        <f>[1]资金台帐!J2532&amp;""</f>
      </c>
      <c r="N2532">
        <f>[1]资金台帐!N2532</f>
      </c>
      <c r="O2532">
        <f>[1]资金台帐!O2532&amp;""</f>
      </c>
      <c r="P2532">
        <f>[1]资金台帐!P2532&amp;""</f>
      </c>
      <c r="Q2532">
        <f>[1]资金台帐!Q2532&amp;""</f>
      </c>
      <c r="T2532">
        <f>[1]资金台帐!T2532&amp;""</f>
      </c>
      <c r="U2532">
        <f>[1]资金台帐!U2532&amp;""</f>
      </c>
      <c r="W2532">
        <f>[1]资金台帐!W2532&amp;""</f>
      </c>
      <c r="X2532">
        <f>[1]资金台帐!X2532&amp;""</f>
      </c>
      <c r="AB2532">
        <f>[1]资金台帐!AB2532</f>
        <v>0</v>
      </c>
      <c r="AC2532">
        <f>[1]资金台帐!AC2532</f>
        <v>0</v>
      </c>
      <c r="AD2532">
        <f>[1]资金台帐!AD2532</f>
        <v>0</v>
      </c>
      <c r="AJ2532">
        <f>[1]资金台帐!AJ2532</f>
        <v>0</v>
      </c>
      <c r="AK2532">
        <f>[1]资金台帐!AK2532</f>
        <v>0</v>
      </c>
      <c r="BA2532" s="22">
        <f t="shared" si="0"/>
      </c>
      <c r="BG2532" s="22">
        <f t="shared" si="1"/>
      </c>
      <c r="BH2532" s="22">
        <f t="shared" si="2"/>
        <v>0</v>
      </c>
    </row>
    <row r="2533">
      <c r="B2533">
        <f>[1]资金台帐!B2533&amp;""</f>
      </c>
      <c r="H2533">
        <f>[1]资金台帐!H2533&amp;""</f>
      </c>
      <c r="J2533">
        <f>[1]资金台帐!J2533&amp;""</f>
      </c>
      <c r="N2533">
        <f>[1]资金台帐!N2533</f>
      </c>
      <c r="O2533">
        <f>[1]资金台帐!O2533&amp;""</f>
      </c>
      <c r="P2533">
        <f>[1]资金台帐!P2533&amp;""</f>
      </c>
      <c r="Q2533">
        <f>[1]资金台帐!Q2533&amp;""</f>
      </c>
      <c r="T2533">
        <f>[1]资金台帐!T2533&amp;""</f>
      </c>
      <c r="U2533">
        <f>[1]资金台帐!U2533&amp;""</f>
      </c>
      <c r="W2533">
        <f>[1]资金台帐!W2533&amp;""</f>
      </c>
      <c r="X2533">
        <f>[1]资金台帐!X2533&amp;""</f>
      </c>
      <c r="AB2533">
        <f>[1]资金台帐!AB2533</f>
        <v>0</v>
      </c>
      <c r="AC2533">
        <f>[1]资金台帐!AC2533</f>
        <v>0</v>
      </c>
      <c r="AD2533">
        <f>[1]资金台帐!AD2533</f>
        <v>0</v>
      </c>
      <c r="AJ2533">
        <f>[1]资金台帐!AJ2533</f>
        <v>0</v>
      </c>
      <c r="AK2533">
        <f>[1]资金台帐!AK2533</f>
        <v>0</v>
      </c>
      <c r="BA2533" s="22">
        <f t="shared" si="0"/>
      </c>
      <c r="BG2533" s="22">
        <f t="shared" si="1"/>
      </c>
      <c r="BH2533" s="22">
        <f t="shared" si="2"/>
        <v>0</v>
      </c>
    </row>
    <row r="2534">
      <c r="B2534">
        <f>[1]资金台帐!B2534&amp;""</f>
      </c>
      <c r="H2534">
        <f>[1]资金台帐!H2534&amp;""</f>
      </c>
      <c r="J2534">
        <f>[1]资金台帐!J2534&amp;""</f>
      </c>
      <c r="N2534">
        <f>[1]资金台帐!N2534</f>
      </c>
      <c r="O2534">
        <f>[1]资金台帐!O2534&amp;""</f>
      </c>
      <c r="P2534">
        <f>[1]资金台帐!P2534&amp;""</f>
      </c>
      <c r="Q2534">
        <f>[1]资金台帐!Q2534&amp;""</f>
      </c>
      <c r="T2534">
        <f>[1]资金台帐!T2534&amp;""</f>
      </c>
      <c r="U2534">
        <f>[1]资金台帐!U2534&amp;""</f>
      </c>
      <c r="W2534">
        <f>[1]资金台帐!W2534&amp;""</f>
      </c>
      <c r="X2534">
        <f>[1]资金台帐!X2534&amp;""</f>
      </c>
      <c r="AB2534">
        <f>[1]资金台帐!AB2534</f>
        <v>0</v>
      </c>
      <c r="AC2534">
        <f>[1]资金台帐!AC2534</f>
        <v>0</v>
      </c>
      <c r="AD2534">
        <f>[1]资金台帐!AD2534</f>
        <v>0</v>
      </c>
      <c r="AJ2534">
        <f>[1]资金台帐!AJ2534</f>
        <v>0</v>
      </c>
      <c r="AK2534">
        <f>[1]资金台帐!AK2534</f>
        <v>0</v>
      </c>
      <c r="BA2534" s="22">
        <f t="shared" si="0"/>
      </c>
      <c r="BG2534" s="22">
        <f t="shared" si="1"/>
      </c>
      <c r="BH2534" s="22">
        <f t="shared" si="2"/>
        <v>0</v>
      </c>
    </row>
    <row r="2535">
      <c r="B2535">
        <f>[1]资金台帐!B2535&amp;""</f>
      </c>
      <c r="H2535">
        <f>[1]资金台帐!H2535&amp;""</f>
      </c>
      <c r="J2535">
        <f>[1]资金台帐!J2535&amp;""</f>
      </c>
      <c r="N2535">
        <f>[1]资金台帐!N2535</f>
      </c>
      <c r="O2535">
        <f>[1]资金台帐!O2535&amp;""</f>
      </c>
      <c r="P2535">
        <f>[1]资金台帐!P2535&amp;""</f>
      </c>
      <c r="Q2535">
        <f>[1]资金台帐!Q2535&amp;""</f>
      </c>
      <c r="T2535">
        <f>[1]资金台帐!T2535&amp;""</f>
      </c>
      <c r="U2535">
        <f>[1]资金台帐!U2535&amp;""</f>
      </c>
      <c r="W2535">
        <f>[1]资金台帐!W2535&amp;""</f>
      </c>
      <c r="X2535">
        <f>[1]资金台帐!X2535&amp;""</f>
      </c>
      <c r="AB2535">
        <f>[1]资金台帐!AB2535</f>
        <v>0</v>
      </c>
      <c r="AC2535">
        <f>[1]资金台帐!AC2535</f>
        <v>0</v>
      </c>
      <c r="AD2535">
        <f>[1]资金台帐!AD2535</f>
        <v>0</v>
      </c>
      <c r="AJ2535">
        <f>[1]资金台帐!AJ2535</f>
        <v>0</v>
      </c>
      <c r="AK2535">
        <f>[1]资金台帐!AK2535</f>
        <v>0</v>
      </c>
      <c r="BA2535" s="22">
        <f t="shared" si="0"/>
      </c>
      <c r="BG2535" s="22">
        <f t="shared" si="1"/>
      </c>
      <c r="BH2535" s="22">
        <f t="shared" si="2"/>
        <v>0</v>
      </c>
    </row>
    <row r="2536">
      <c r="B2536">
        <f>[1]资金台帐!B2536&amp;""</f>
      </c>
      <c r="H2536">
        <f>[1]资金台帐!H2536&amp;""</f>
      </c>
      <c r="J2536">
        <f>[1]资金台帐!J2536&amp;""</f>
      </c>
      <c r="N2536">
        <f>[1]资金台帐!N2536</f>
      </c>
      <c r="O2536">
        <f>[1]资金台帐!O2536&amp;""</f>
      </c>
      <c r="P2536">
        <f>[1]资金台帐!P2536&amp;""</f>
      </c>
      <c r="Q2536">
        <f>[1]资金台帐!Q2536&amp;""</f>
      </c>
      <c r="T2536">
        <f>[1]资金台帐!T2536&amp;""</f>
      </c>
      <c r="U2536">
        <f>[1]资金台帐!U2536&amp;""</f>
      </c>
      <c r="W2536">
        <f>[1]资金台帐!W2536&amp;""</f>
      </c>
      <c r="X2536">
        <f>[1]资金台帐!X2536&amp;""</f>
      </c>
      <c r="AB2536">
        <f>[1]资金台帐!AB2536</f>
        <v>0</v>
      </c>
      <c r="AC2536">
        <f>[1]资金台帐!AC2536</f>
        <v>0</v>
      </c>
      <c r="AD2536">
        <f>[1]资金台帐!AD2536</f>
        <v>0</v>
      </c>
      <c r="AJ2536">
        <f>[1]资金台帐!AJ2536</f>
        <v>0</v>
      </c>
      <c r="AK2536">
        <f>[1]资金台帐!AK2536</f>
        <v>0</v>
      </c>
      <c r="BA2536" s="22">
        <f t="shared" si="0"/>
      </c>
      <c r="BG2536" s="22">
        <f t="shared" si="1"/>
      </c>
      <c r="BH2536" s="22">
        <f t="shared" si="2"/>
        <v>0</v>
      </c>
    </row>
    <row r="2537">
      <c r="B2537">
        <f>[1]资金台帐!B2537&amp;""</f>
      </c>
      <c r="H2537">
        <f>[1]资金台帐!H2537&amp;""</f>
      </c>
      <c r="J2537">
        <f>[1]资金台帐!J2537&amp;""</f>
      </c>
      <c r="N2537">
        <f>[1]资金台帐!N2537</f>
      </c>
      <c r="O2537">
        <f>[1]资金台帐!O2537&amp;""</f>
      </c>
      <c r="P2537">
        <f>[1]资金台帐!P2537&amp;""</f>
      </c>
      <c r="Q2537">
        <f>[1]资金台帐!Q2537&amp;""</f>
      </c>
      <c r="T2537">
        <f>[1]资金台帐!T2537&amp;""</f>
      </c>
      <c r="U2537">
        <f>[1]资金台帐!U2537&amp;""</f>
      </c>
      <c r="W2537">
        <f>[1]资金台帐!W2537&amp;""</f>
      </c>
      <c r="X2537">
        <f>[1]资金台帐!X2537&amp;""</f>
      </c>
      <c r="AB2537">
        <f>[1]资金台帐!AB2537</f>
        <v>0</v>
      </c>
      <c r="AC2537">
        <f>[1]资金台帐!AC2537</f>
        <v>0</v>
      </c>
      <c r="AD2537">
        <f>[1]资金台帐!AD2537</f>
        <v>0</v>
      </c>
      <c r="AJ2537">
        <f>[1]资金台帐!AJ2537</f>
        <v>0</v>
      </c>
      <c r="AK2537">
        <f>[1]资金台帐!AK2537</f>
        <v>0</v>
      </c>
      <c r="BA2537" s="22">
        <f t="shared" si="0"/>
      </c>
      <c r="BG2537" s="22">
        <f t="shared" si="1"/>
      </c>
      <c r="BH2537" s="22">
        <f t="shared" si="2"/>
        <v>0</v>
      </c>
    </row>
    <row r="2538">
      <c r="B2538">
        <f>[1]资金台帐!B2538&amp;""</f>
      </c>
      <c r="H2538">
        <f>[1]资金台帐!H2538&amp;""</f>
      </c>
      <c r="J2538">
        <f>[1]资金台帐!J2538&amp;""</f>
      </c>
      <c r="N2538">
        <f>[1]资金台帐!N2538</f>
      </c>
      <c r="O2538">
        <f>[1]资金台帐!O2538&amp;""</f>
      </c>
      <c r="P2538">
        <f>[1]资金台帐!P2538&amp;""</f>
      </c>
      <c r="Q2538">
        <f>[1]资金台帐!Q2538&amp;""</f>
      </c>
      <c r="T2538">
        <f>[1]资金台帐!T2538&amp;""</f>
      </c>
      <c r="U2538">
        <f>[1]资金台帐!U2538&amp;""</f>
      </c>
      <c r="W2538">
        <f>[1]资金台帐!W2538&amp;""</f>
      </c>
      <c r="X2538">
        <f>[1]资金台帐!X2538&amp;""</f>
      </c>
      <c r="AB2538">
        <f>[1]资金台帐!AB2538</f>
        <v>0</v>
      </c>
      <c r="AC2538">
        <f>[1]资金台帐!AC2538</f>
        <v>0</v>
      </c>
      <c r="AD2538">
        <f>[1]资金台帐!AD2538</f>
        <v>0</v>
      </c>
      <c r="AJ2538">
        <f>[1]资金台帐!AJ2538</f>
        <v>0</v>
      </c>
      <c r="AK2538">
        <f>[1]资金台帐!AK2538</f>
        <v>0</v>
      </c>
      <c r="BA2538" s="22">
        <f t="shared" si="0"/>
      </c>
      <c r="BG2538" s="22">
        <f t="shared" si="1"/>
      </c>
      <c r="BH2538" s="22">
        <f t="shared" si="2"/>
        <v>0</v>
      </c>
    </row>
    <row r="2539">
      <c r="B2539">
        <f>[1]资金台帐!B2539&amp;""</f>
      </c>
      <c r="H2539">
        <f>[1]资金台帐!H2539&amp;""</f>
      </c>
      <c r="J2539">
        <f>[1]资金台帐!J2539&amp;""</f>
      </c>
      <c r="N2539">
        <f>[1]资金台帐!N2539</f>
      </c>
      <c r="O2539">
        <f>[1]资金台帐!O2539&amp;""</f>
      </c>
      <c r="P2539">
        <f>[1]资金台帐!P2539&amp;""</f>
      </c>
      <c r="Q2539">
        <f>[1]资金台帐!Q2539&amp;""</f>
      </c>
      <c r="T2539">
        <f>[1]资金台帐!T2539&amp;""</f>
      </c>
      <c r="U2539">
        <f>[1]资金台帐!U2539&amp;""</f>
      </c>
      <c r="W2539">
        <f>[1]资金台帐!W2539&amp;""</f>
      </c>
      <c r="X2539">
        <f>[1]资金台帐!X2539&amp;""</f>
      </c>
      <c r="AB2539">
        <f>[1]资金台帐!AB2539</f>
        <v>0</v>
      </c>
      <c r="AC2539">
        <f>[1]资金台帐!AC2539</f>
        <v>0</v>
      </c>
      <c r="AD2539">
        <f>[1]资金台帐!AD2539</f>
        <v>0</v>
      </c>
      <c r="AJ2539">
        <f>[1]资金台帐!AJ2539</f>
        <v>0</v>
      </c>
      <c r="AK2539">
        <f>[1]资金台帐!AK2539</f>
        <v>0</v>
      </c>
      <c r="BA2539" s="22">
        <f t="shared" si="0"/>
      </c>
      <c r="BG2539" s="22">
        <f t="shared" si="1"/>
      </c>
      <c r="BH2539" s="22">
        <f t="shared" si="2"/>
        <v>0</v>
      </c>
    </row>
    <row r="2540">
      <c r="B2540">
        <f>[1]资金台帐!B2540&amp;""</f>
      </c>
      <c r="H2540">
        <f>[1]资金台帐!H2540&amp;""</f>
      </c>
      <c r="J2540">
        <f>[1]资金台帐!J2540&amp;""</f>
      </c>
      <c r="N2540">
        <f>[1]资金台帐!N2540</f>
      </c>
      <c r="O2540">
        <f>[1]资金台帐!O2540&amp;""</f>
      </c>
      <c r="P2540">
        <f>[1]资金台帐!P2540&amp;""</f>
      </c>
      <c r="Q2540">
        <f>[1]资金台帐!Q2540&amp;""</f>
      </c>
      <c r="T2540">
        <f>[1]资金台帐!T2540&amp;""</f>
      </c>
      <c r="U2540">
        <f>[1]资金台帐!U2540&amp;""</f>
      </c>
      <c r="W2540">
        <f>[1]资金台帐!W2540&amp;""</f>
      </c>
      <c r="X2540">
        <f>[1]资金台帐!X2540&amp;""</f>
      </c>
      <c r="AB2540">
        <f>[1]资金台帐!AB2540</f>
        <v>0</v>
      </c>
      <c r="AC2540">
        <f>[1]资金台帐!AC2540</f>
        <v>0</v>
      </c>
      <c r="AD2540">
        <f>[1]资金台帐!AD2540</f>
        <v>0</v>
      </c>
      <c r="AJ2540">
        <f>[1]资金台帐!AJ2540</f>
        <v>0</v>
      </c>
      <c r="AK2540">
        <f>[1]资金台帐!AK2540</f>
        <v>0</v>
      </c>
      <c r="BA2540" s="22">
        <f t="shared" si="0"/>
      </c>
      <c r="BG2540" s="22">
        <f t="shared" si="1"/>
      </c>
      <c r="BH2540" s="22">
        <f t="shared" si="2"/>
        <v>0</v>
      </c>
    </row>
    <row r="2541">
      <c r="B2541">
        <f>[1]资金台帐!B2541&amp;""</f>
      </c>
      <c r="H2541">
        <f>[1]资金台帐!H2541&amp;""</f>
      </c>
      <c r="J2541">
        <f>[1]资金台帐!J2541&amp;""</f>
      </c>
      <c r="N2541">
        <f>[1]资金台帐!N2541</f>
      </c>
      <c r="O2541">
        <f>[1]资金台帐!O2541&amp;""</f>
      </c>
      <c r="P2541">
        <f>[1]资金台帐!P2541&amp;""</f>
      </c>
      <c r="Q2541">
        <f>[1]资金台帐!Q2541&amp;""</f>
      </c>
      <c r="T2541">
        <f>[1]资金台帐!T2541&amp;""</f>
      </c>
      <c r="U2541">
        <f>[1]资金台帐!U2541&amp;""</f>
      </c>
      <c r="W2541">
        <f>[1]资金台帐!W2541&amp;""</f>
      </c>
      <c r="X2541">
        <f>[1]资金台帐!X2541&amp;""</f>
      </c>
      <c r="AB2541">
        <f>[1]资金台帐!AB2541</f>
        <v>0</v>
      </c>
      <c r="AC2541">
        <f>[1]资金台帐!AC2541</f>
        <v>0</v>
      </c>
      <c r="AD2541">
        <f>[1]资金台帐!AD2541</f>
        <v>0</v>
      </c>
      <c r="AJ2541">
        <f>[1]资金台帐!AJ2541</f>
        <v>0</v>
      </c>
      <c r="AK2541">
        <f>[1]资金台帐!AK2541</f>
        <v>0</v>
      </c>
      <c r="BA2541" s="22">
        <f t="shared" si="0"/>
      </c>
      <c r="BG2541" s="22">
        <f t="shared" si="1"/>
      </c>
      <c r="BH2541" s="22">
        <f t="shared" si="2"/>
        <v>0</v>
      </c>
    </row>
    <row r="2542">
      <c r="B2542">
        <f>[1]资金台帐!B2542&amp;""</f>
      </c>
      <c r="H2542">
        <f>[1]资金台帐!H2542&amp;""</f>
      </c>
      <c r="J2542">
        <f>[1]资金台帐!J2542&amp;""</f>
      </c>
      <c r="N2542">
        <f>[1]资金台帐!N2542</f>
      </c>
      <c r="O2542">
        <f>[1]资金台帐!O2542&amp;""</f>
      </c>
      <c r="P2542">
        <f>[1]资金台帐!P2542&amp;""</f>
      </c>
      <c r="Q2542">
        <f>[1]资金台帐!Q2542&amp;""</f>
      </c>
      <c r="T2542">
        <f>[1]资金台帐!T2542&amp;""</f>
      </c>
      <c r="U2542">
        <f>[1]资金台帐!U2542&amp;""</f>
      </c>
      <c r="W2542">
        <f>[1]资金台帐!W2542&amp;""</f>
      </c>
      <c r="X2542">
        <f>[1]资金台帐!X2542&amp;""</f>
      </c>
      <c r="AB2542">
        <f>[1]资金台帐!AB2542</f>
        <v>0</v>
      </c>
      <c r="AC2542">
        <f>[1]资金台帐!AC2542</f>
        <v>0</v>
      </c>
      <c r="AD2542">
        <f>[1]资金台帐!AD2542</f>
        <v>0</v>
      </c>
      <c r="AJ2542">
        <f>[1]资金台帐!AJ2542</f>
        <v>0</v>
      </c>
      <c r="AK2542">
        <f>[1]资金台帐!AK2542</f>
        <v>0</v>
      </c>
      <c r="BA2542" s="22">
        <f t="shared" si="0"/>
      </c>
      <c r="BG2542" s="22">
        <f t="shared" si="1"/>
      </c>
      <c r="BH2542" s="22">
        <f t="shared" si="2"/>
        <v>0</v>
      </c>
    </row>
    <row r="2543">
      <c r="B2543">
        <f>[1]资金台帐!B2543&amp;""</f>
      </c>
      <c r="H2543">
        <f>[1]资金台帐!H2543&amp;""</f>
      </c>
      <c r="J2543">
        <f>[1]资金台帐!J2543&amp;""</f>
      </c>
      <c r="N2543">
        <f>[1]资金台帐!N2543</f>
      </c>
      <c r="O2543">
        <f>[1]资金台帐!O2543&amp;""</f>
      </c>
      <c r="P2543">
        <f>[1]资金台帐!P2543&amp;""</f>
      </c>
      <c r="Q2543">
        <f>[1]资金台帐!Q2543&amp;""</f>
      </c>
      <c r="T2543">
        <f>[1]资金台帐!T2543&amp;""</f>
      </c>
      <c r="U2543">
        <f>[1]资金台帐!U2543&amp;""</f>
      </c>
      <c r="W2543">
        <f>[1]资金台帐!W2543&amp;""</f>
      </c>
      <c r="X2543">
        <f>[1]资金台帐!X2543&amp;""</f>
      </c>
      <c r="AB2543">
        <f>[1]资金台帐!AB2543</f>
        <v>0</v>
      </c>
      <c r="AC2543">
        <f>[1]资金台帐!AC2543</f>
        <v>0</v>
      </c>
      <c r="AD2543">
        <f>[1]资金台帐!AD2543</f>
        <v>0</v>
      </c>
      <c r="AJ2543">
        <f>[1]资金台帐!AJ2543</f>
        <v>0</v>
      </c>
      <c r="AK2543">
        <f>[1]资金台帐!AK2543</f>
        <v>0</v>
      </c>
      <c r="BA2543" s="22">
        <f t="shared" si="0"/>
      </c>
      <c r="BG2543" s="22">
        <f t="shared" si="1"/>
      </c>
      <c r="BH2543" s="22">
        <f t="shared" si="2"/>
        <v>0</v>
      </c>
    </row>
    <row r="2544">
      <c r="B2544">
        <f>[1]资金台帐!B2544&amp;""</f>
      </c>
      <c r="H2544">
        <f>[1]资金台帐!H2544&amp;""</f>
      </c>
      <c r="J2544">
        <f>[1]资金台帐!J2544&amp;""</f>
      </c>
      <c r="N2544">
        <f>[1]资金台帐!N2544</f>
      </c>
      <c r="O2544">
        <f>[1]资金台帐!O2544&amp;""</f>
      </c>
      <c r="P2544">
        <f>[1]资金台帐!P2544&amp;""</f>
      </c>
      <c r="Q2544">
        <f>[1]资金台帐!Q2544&amp;""</f>
      </c>
      <c r="T2544">
        <f>[1]资金台帐!T2544&amp;""</f>
      </c>
      <c r="U2544">
        <f>[1]资金台帐!U2544&amp;""</f>
      </c>
      <c r="W2544">
        <f>[1]资金台帐!W2544&amp;""</f>
      </c>
      <c r="X2544">
        <f>[1]资金台帐!X2544&amp;""</f>
      </c>
      <c r="AB2544">
        <f>[1]资金台帐!AB2544</f>
        <v>0</v>
      </c>
      <c r="AC2544">
        <f>[1]资金台帐!AC2544</f>
        <v>0</v>
      </c>
      <c r="AD2544">
        <f>[1]资金台帐!AD2544</f>
        <v>0</v>
      </c>
      <c r="AJ2544">
        <f>[1]资金台帐!AJ2544</f>
        <v>0</v>
      </c>
      <c r="AK2544">
        <f>[1]资金台帐!AK2544</f>
        <v>0</v>
      </c>
      <c r="BA2544" s="22">
        <f t="shared" si="0"/>
      </c>
      <c r="BG2544" s="22">
        <f t="shared" si="1"/>
      </c>
      <c r="BH2544" s="22">
        <f t="shared" si="2"/>
        <v>0</v>
      </c>
    </row>
    <row r="2545">
      <c r="B2545">
        <f>[1]资金台帐!B2545&amp;""</f>
      </c>
      <c r="H2545">
        <f>[1]资金台帐!H2545&amp;""</f>
      </c>
      <c r="J2545">
        <f>[1]资金台帐!J2545&amp;""</f>
      </c>
      <c r="N2545">
        <f>[1]资金台帐!N2545</f>
      </c>
      <c r="O2545">
        <f>[1]资金台帐!O2545&amp;""</f>
      </c>
      <c r="P2545">
        <f>[1]资金台帐!P2545&amp;""</f>
      </c>
      <c r="Q2545">
        <f>[1]资金台帐!Q2545&amp;""</f>
      </c>
      <c r="T2545">
        <f>[1]资金台帐!T2545&amp;""</f>
      </c>
      <c r="U2545">
        <f>[1]资金台帐!U2545&amp;""</f>
      </c>
      <c r="W2545">
        <f>[1]资金台帐!W2545&amp;""</f>
      </c>
      <c r="X2545">
        <f>[1]资金台帐!X2545&amp;""</f>
      </c>
      <c r="AB2545">
        <f>[1]资金台帐!AB2545</f>
        <v>0</v>
      </c>
      <c r="AC2545">
        <f>[1]资金台帐!AC2545</f>
        <v>0</v>
      </c>
      <c r="AD2545">
        <f>[1]资金台帐!AD2545</f>
        <v>0</v>
      </c>
      <c r="AJ2545">
        <f>[1]资金台帐!AJ2545</f>
        <v>0</v>
      </c>
      <c r="AK2545">
        <f>[1]资金台帐!AK2545</f>
        <v>0</v>
      </c>
      <c r="BA2545" s="22">
        <f t="shared" si="0"/>
      </c>
      <c r="BG2545" s="22">
        <f t="shared" si="1"/>
      </c>
      <c r="BH2545" s="22">
        <f t="shared" si="2"/>
        <v>0</v>
      </c>
    </row>
    <row r="2546">
      <c r="B2546">
        <f>[1]资金台帐!B2546&amp;""</f>
      </c>
      <c r="H2546">
        <f>[1]资金台帐!H2546&amp;""</f>
      </c>
      <c r="J2546">
        <f>[1]资金台帐!J2546&amp;""</f>
      </c>
      <c r="N2546">
        <f>[1]资金台帐!N2546</f>
      </c>
      <c r="O2546">
        <f>[1]资金台帐!O2546&amp;""</f>
      </c>
      <c r="P2546">
        <f>[1]资金台帐!P2546&amp;""</f>
      </c>
      <c r="Q2546">
        <f>[1]资金台帐!Q2546&amp;""</f>
      </c>
      <c r="T2546">
        <f>[1]资金台帐!T2546&amp;""</f>
      </c>
      <c r="U2546">
        <f>[1]资金台帐!U2546&amp;""</f>
      </c>
      <c r="W2546">
        <f>[1]资金台帐!W2546&amp;""</f>
      </c>
      <c r="X2546">
        <f>[1]资金台帐!X2546&amp;""</f>
      </c>
      <c r="AB2546">
        <f>[1]资金台帐!AB2546</f>
        <v>0</v>
      </c>
      <c r="AC2546">
        <f>[1]资金台帐!AC2546</f>
        <v>0</v>
      </c>
      <c r="AD2546">
        <f>[1]资金台帐!AD2546</f>
        <v>0</v>
      </c>
      <c r="AJ2546">
        <f>[1]资金台帐!AJ2546</f>
        <v>0</v>
      </c>
      <c r="AK2546">
        <f>[1]资金台帐!AK2546</f>
        <v>0</v>
      </c>
      <c r="BA2546" s="22">
        <f t="shared" si="0"/>
      </c>
      <c r="BG2546" s="22">
        <f t="shared" si="1"/>
      </c>
      <c r="BH2546" s="22">
        <f t="shared" si="2"/>
        <v>0</v>
      </c>
    </row>
    <row r="2547">
      <c r="B2547">
        <f>[1]资金台帐!B2547&amp;""</f>
      </c>
      <c r="H2547">
        <f>[1]资金台帐!H2547&amp;""</f>
      </c>
      <c r="J2547">
        <f>[1]资金台帐!J2547&amp;""</f>
      </c>
      <c r="N2547">
        <f>[1]资金台帐!N2547</f>
      </c>
      <c r="O2547">
        <f>[1]资金台帐!O2547&amp;""</f>
      </c>
      <c r="P2547">
        <f>[1]资金台帐!P2547&amp;""</f>
      </c>
      <c r="Q2547">
        <f>[1]资金台帐!Q2547&amp;""</f>
      </c>
      <c r="T2547">
        <f>[1]资金台帐!T2547&amp;""</f>
      </c>
      <c r="U2547">
        <f>[1]资金台帐!U2547&amp;""</f>
      </c>
      <c r="W2547">
        <f>[1]资金台帐!W2547&amp;""</f>
      </c>
      <c r="X2547">
        <f>[1]资金台帐!X2547&amp;""</f>
      </c>
      <c r="AB2547">
        <f>[1]资金台帐!AB2547</f>
        <v>0</v>
      </c>
      <c r="AC2547">
        <f>[1]资金台帐!AC2547</f>
        <v>0</v>
      </c>
      <c r="AD2547">
        <f>[1]资金台帐!AD2547</f>
        <v>0</v>
      </c>
      <c r="AJ2547">
        <f>[1]资金台帐!AJ2547</f>
        <v>0</v>
      </c>
      <c r="AK2547">
        <f>[1]资金台帐!AK2547</f>
        <v>0</v>
      </c>
      <c r="BA2547" s="22">
        <f t="shared" si="0"/>
      </c>
      <c r="BG2547" s="22">
        <f t="shared" si="1"/>
      </c>
      <c r="BH2547" s="22">
        <f t="shared" si="2"/>
        <v>0</v>
      </c>
    </row>
    <row r="2548">
      <c r="B2548">
        <f>[1]资金台帐!B2548&amp;""</f>
      </c>
      <c r="H2548">
        <f>[1]资金台帐!H2548&amp;""</f>
      </c>
      <c r="J2548">
        <f>[1]资金台帐!J2548&amp;""</f>
      </c>
      <c r="N2548">
        <f>[1]资金台帐!N2548</f>
      </c>
      <c r="O2548">
        <f>[1]资金台帐!O2548&amp;""</f>
      </c>
      <c r="P2548">
        <f>[1]资金台帐!P2548&amp;""</f>
      </c>
      <c r="Q2548">
        <f>[1]资金台帐!Q2548&amp;""</f>
      </c>
      <c r="T2548">
        <f>[1]资金台帐!T2548&amp;""</f>
      </c>
      <c r="U2548">
        <f>[1]资金台帐!U2548&amp;""</f>
      </c>
      <c r="W2548">
        <f>[1]资金台帐!W2548&amp;""</f>
      </c>
      <c r="X2548">
        <f>[1]资金台帐!X2548&amp;""</f>
      </c>
      <c r="AB2548">
        <f>[1]资金台帐!AB2548</f>
        <v>0</v>
      </c>
      <c r="AC2548">
        <f>[1]资金台帐!AC2548</f>
        <v>0</v>
      </c>
      <c r="AD2548">
        <f>[1]资金台帐!AD2548</f>
        <v>0</v>
      </c>
      <c r="AJ2548">
        <f>[1]资金台帐!AJ2548</f>
        <v>0</v>
      </c>
      <c r="AK2548">
        <f>[1]资金台帐!AK2548</f>
        <v>0</v>
      </c>
      <c r="BA2548" s="22">
        <f t="shared" si="0"/>
      </c>
      <c r="BG2548" s="22">
        <f t="shared" si="1"/>
      </c>
      <c r="BH2548" s="22">
        <f t="shared" si="2"/>
        <v>0</v>
      </c>
    </row>
    <row r="2549">
      <c r="B2549">
        <f>[1]资金台帐!B2549&amp;""</f>
      </c>
      <c r="H2549">
        <f>[1]资金台帐!H2549&amp;""</f>
      </c>
      <c r="J2549">
        <f>[1]资金台帐!J2549&amp;""</f>
      </c>
      <c r="N2549">
        <f>[1]资金台帐!N2549</f>
      </c>
      <c r="O2549">
        <f>[1]资金台帐!O2549&amp;""</f>
      </c>
      <c r="P2549">
        <f>[1]资金台帐!P2549&amp;""</f>
      </c>
      <c r="Q2549">
        <f>[1]资金台帐!Q2549&amp;""</f>
      </c>
      <c r="T2549">
        <f>[1]资金台帐!T2549&amp;""</f>
      </c>
      <c r="U2549">
        <f>[1]资金台帐!U2549&amp;""</f>
      </c>
      <c r="W2549">
        <f>[1]资金台帐!W2549&amp;""</f>
      </c>
      <c r="X2549">
        <f>[1]资金台帐!X2549&amp;""</f>
      </c>
      <c r="AB2549">
        <f>[1]资金台帐!AB2549</f>
        <v>0</v>
      </c>
      <c r="AC2549">
        <f>[1]资金台帐!AC2549</f>
        <v>0</v>
      </c>
      <c r="AD2549">
        <f>[1]资金台帐!AD2549</f>
        <v>0</v>
      </c>
      <c r="AJ2549">
        <f>[1]资金台帐!AJ2549</f>
        <v>0</v>
      </c>
      <c r="AK2549">
        <f>[1]资金台帐!AK2549</f>
        <v>0</v>
      </c>
      <c r="BA2549" s="22">
        <f t="shared" si="0"/>
      </c>
      <c r="BG2549" s="22">
        <f t="shared" si="1"/>
      </c>
      <c r="BH2549" s="22">
        <f t="shared" si="2"/>
        <v>0</v>
      </c>
    </row>
    <row r="2550">
      <c r="B2550">
        <f>[1]资金台帐!B2550&amp;""</f>
      </c>
      <c r="H2550">
        <f>[1]资金台帐!H2550&amp;""</f>
      </c>
      <c r="J2550">
        <f>[1]资金台帐!J2550&amp;""</f>
      </c>
      <c r="N2550">
        <f>[1]资金台帐!N2550</f>
      </c>
      <c r="O2550">
        <f>[1]资金台帐!O2550&amp;""</f>
      </c>
      <c r="P2550">
        <f>[1]资金台帐!P2550&amp;""</f>
      </c>
      <c r="Q2550">
        <f>[1]资金台帐!Q2550&amp;""</f>
      </c>
      <c r="T2550">
        <f>[1]资金台帐!T2550&amp;""</f>
      </c>
      <c r="U2550">
        <f>[1]资金台帐!U2550&amp;""</f>
      </c>
      <c r="W2550">
        <f>[1]资金台帐!W2550&amp;""</f>
      </c>
      <c r="X2550">
        <f>[1]资金台帐!X2550&amp;""</f>
      </c>
      <c r="AB2550">
        <f>[1]资金台帐!AB2550</f>
        <v>0</v>
      </c>
      <c r="AC2550">
        <f>[1]资金台帐!AC2550</f>
        <v>0</v>
      </c>
      <c r="AD2550">
        <f>[1]资金台帐!AD2550</f>
        <v>0</v>
      </c>
      <c r="AJ2550">
        <f>[1]资金台帐!AJ2550</f>
        <v>0</v>
      </c>
      <c r="AK2550">
        <f>[1]资金台帐!AK2550</f>
        <v>0</v>
      </c>
      <c r="BA2550" s="22">
        <f t="shared" si="0"/>
      </c>
      <c r="BG2550" s="22">
        <f t="shared" si="1"/>
      </c>
      <c r="BH2550" s="22">
        <f t="shared" si="2"/>
        <v>0</v>
      </c>
    </row>
    <row r="2551">
      <c r="B2551">
        <f>[1]资金台帐!B2551&amp;""</f>
      </c>
      <c r="H2551">
        <f>[1]资金台帐!H2551&amp;""</f>
      </c>
      <c r="J2551">
        <f>[1]资金台帐!J2551&amp;""</f>
      </c>
      <c r="N2551">
        <f>[1]资金台帐!N2551</f>
      </c>
      <c r="O2551">
        <f>[1]资金台帐!O2551&amp;""</f>
      </c>
      <c r="P2551">
        <f>[1]资金台帐!P2551&amp;""</f>
      </c>
      <c r="Q2551">
        <f>[1]资金台帐!Q2551&amp;""</f>
      </c>
      <c r="T2551">
        <f>[1]资金台帐!T2551&amp;""</f>
      </c>
      <c r="U2551">
        <f>[1]资金台帐!U2551&amp;""</f>
      </c>
      <c r="W2551">
        <f>[1]资金台帐!W2551&amp;""</f>
      </c>
      <c r="X2551">
        <f>[1]资金台帐!X2551&amp;""</f>
      </c>
      <c r="AB2551">
        <f>[1]资金台帐!AB2551</f>
        <v>0</v>
      </c>
      <c r="AC2551">
        <f>[1]资金台帐!AC2551</f>
        <v>0</v>
      </c>
      <c r="AD2551">
        <f>[1]资金台帐!AD2551</f>
        <v>0</v>
      </c>
      <c r="AJ2551">
        <f>[1]资金台帐!AJ2551</f>
        <v>0</v>
      </c>
      <c r="AK2551">
        <f>[1]资金台帐!AK2551</f>
        <v>0</v>
      </c>
      <c r="BA2551" s="22">
        <f t="shared" si="0"/>
      </c>
      <c r="BG2551" s="22">
        <f t="shared" si="1"/>
      </c>
      <c r="BH2551" s="22">
        <f t="shared" si="2"/>
        <v>0</v>
      </c>
    </row>
    <row r="2552">
      <c r="B2552">
        <f>[1]资金台帐!B2552&amp;""</f>
      </c>
      <c r="H2552">
        <f>[1]资金台帐!H2552&amp;""</f>
      </c>
      <c r="J2552">
        <f>[1]资金台帐!J2552&amp;""</f>
      </c>
      <c r="N2552">
        <f>[1]资金台帐!N2552</f>
      </c>
      <c r="O2552">
        <f>[1]资金台帐!O2552&amp;""</f>
      </c>
      <c r="P2552">
        <f>[1]资金台帐!P2552&amp;""</f>
      </c>
      <c r="Q2552">
        <f>[1]资金台帐!Q2552&amp;""</f>
      </c>
      <c r="T2552">
        <f>[1]资金台帐!T2552&amp;""</f>
      </c>
      <c r="U2552">
        <f>[1]资金台帐!U2552&amp;""</f>
      </c>
      <c r="W2552">
        <f>[1]资金台帐!W2552&amp;""</f>
      </c>
      <c r="X2552">
        <f>[1]资金台帐!X2552&amp;""</f>
      </c>
      <c r="AB2552">
        <f>[1]资金台帐!AB2552</f>
        <v>0</v>
      </c>
      <c r="AC2552">
        <f>[1]资金台帐!AC2552</f>
        <v>0</v>
      </c>
      <c r="AD2552">
        <f>[1]资金台帐!AD2552</f>
        <v>0</v>
      </c>
      <c r="AJ2552">
        <f>[1]资金台帐!AJ2552</f>
        <v>0</v>
      </c>
      <c r="AK2552">
        <f>[1]资金台帐!AK2552</f>
        <v>0</v>
      </c>
      <c r="BA2552" s="22">
        <f t="shared" si="0"/>
      </c>
      <c r="BG2552" s="22">
        <f t="shared" si="1"/>
      </c>
      <c r="BH2552" s="22">
        <f t="shared" si="2"/>
        <v>0</v>
      </c>
    </row>
    <row r="2553">
      <c r="B2553">
        <f>[1]资金台帐!B2553&amp;""</f>
      </c>
      <c r="H2553">
        <f>[1]资金台帐!H2553&amp;""</f>
      </c>
      <c r="J2553">
        <f>[1]资金台帐!J2553&amp;""</f>
      </c>
      <c r="N2553">
        <f>[1]资金台帐!N2553</f>
      </c>
      <c r="O2553">
        <f>[1]资金台帐!O2553&amp;""</f>
      </c>
      <c r="P2553">
        <f>[1]资金台帐!P2553&amp;""</f>
      </c>
      <c r="Q2553">
        <f>[1]资金台帐!Q2553&amp;""</f>
      </c>
      <c r="T2553">
        <f>[1]资金台帐!T2553&amp;""</f>
      </c>
      <c r="U2553">
        <f>[1]资金台帐!U2553&amp;""</f>
      </c>
      <c r="W2553">
        <f>[1]资金台帐!W2553&amp;""</f>
      </c>
      <c r="X2553">
        <f>[1]资金台帐!X2553&amp;""</f>
      </c>
      <c r="AB2553">
        <f>[1]资金台帐!AB2553</f>
        <v>0</v>
      </c>
      <c r="AC2553">
        <f>[1]资金台帐!AC2553</f>
        <v>0</v>
      </c>
      <c r="AD2553">
        <f>[1]资金台帐!AD2553</f>
        <v>0</v>
      </c>
      <c r="AJ2553">
        <f>[1]资金台帐!AJ2553</f>
        <v>0</v>
      </c>
      <c r="AK2553">
        <f>[1]资金台帐!AK2553</f>
        <v>0</v>
      </c>
      <c r="BA2553" s="22">
        <f t="shared" si="0"/>
      </c>
      <c r="BG2553" s="22">
        <f t="shared" si="1"/>
      </c>
      <c r="BH2553" s="22">
        <f t="shared" si="2"/>
        <v>0</v>
      </c>
    </row>
    <row r="2554">
      <c r="B2554">
        <f>[1]资金台帐!B2554&amp;""</f>
      </c>
      <c r="H2554">
        <f>[1]资金台帐!H2554&amp;""</f>
      </c>
      <c r="J2554">
        <f>[1]资金台帐!J2554&amp;""</f>
      </c>
      <c r="N2554">
        <f>[1]资金台帐!N2554</f>
      </c>
      <c r="O2554">
        <f>[1]资金台帐!O2554&amp;""</f>
      </c>
      <c r="P2554">
        <f>[1]资金台帐!P2554&amp;""</f>
      </c>
      <c r="Q2554">
        <f>[1]资金台帐!Q2554&amp;""</f>
      </c>
      <c r="T2554">
        <f>[1]资金台帐!T2554&amp;""</f>
      </c>
      <c r="U2554">
        <f>[1]资金台帐!U2554&amp;""</f>
      </c>
      <c r="W2554">
        <f>[1]资金台帐!W2554&amp;""</f>
      </c>
      <c r="X2554">
        <f>[1]资金台帐!X2554&amp;""</f>
      </c>
      <c r="AB2554">
        <f>[1]资金台帐!AB2554</f>
        <v>0</v>
      </c>
      <c r="AC2554">
        <f>[1]资金台帐!AC2554</f>
        <v>0</v>
      </c>
      <c r="AD2554">
        <f>[1]资金台帐!AD2554</f>
        <v>0</v>
      </c>
      <c r="AJ2554">
        <f>[1]资金台帐!AJ2554</f>
        <v>0</v>
      </c>
      <c r="AK2554">
        <f>[1]资金台帐!AK2554</f>
        <v>0</v>
      </c>
      <c r="BA2554" s="22">
        <f t="shared" si="0"/>
      </c>
      <c r="BG2554" s="22">
        <f t="shared" si="1"/>
      </c>
      <c r="BH2554" s="22">
        <f t="shared" si="2"/>
        <v>0</v>
      </c>
    </row>
    <row r="2555">
      <c r="B2555">
        <f>[1]资金台帐!B2555&amp;""</f>
      </c>
      <c r="H2555">
        <f>[1]资金台帐!H2555&amp;""</f>
      </c>
      <c r="J2555">
        <f>[1]资金台帐!J2555&amp;""</f>
      </c>
      <c r="N2555">
        <f>[1]资金台帐!N2555</f>
      </c>
      <c r="O2555">
        <f>[1]资金台帐!O2555&amp;""</f>
      </c>
      <c r="P2555">
        <f>[1]资金台帐!P2555&amp;""</f>
      </c>
      <c r="Q2555">
        <f>[1]资金台帐!Q2555&amp;""</f>
      </c>
      <c r="T2555">
        <f>[1]资金台帐!T2555&amp;""</f>
      </c>
      <c r="U2555">
        <f>[1]资金台帐!U2555&amp;""</f>
      </c>
      <c r="W2555">
        <f>[1]资金台帐!W2555&amp;""</f>
      </c>
      <c r="X2555">
        <f>[1]资金台帐!X2555&amp;""</f>
      </c>
      <c r="AB2555">
        <f>[1]资金台帐!AB2555</f>
        <v>0</v>
      </c>
      <c r="AC2555">
        <f>[1]资金台帐!AC2555</f>
        <v>0</v>
      </c>
      <c r="AD2555">
        <f>[1]资金台帐!AD2555</f>
        <v>0</v>
      </c>
      <c r="AJ2555">
        <f>[1]资金台帐!AJ2555</f>
        <v>0</v>
      </c>
      <c r="AK2555">
        <f>[1]资金台帐!AK2555</f>
        <v>0</v>
      </c>
      <c r="BA2555" s="22">
        <f t="shared" si="0"/>
      </c>
      <c r="BG2555" s="22">
        <f t="shared" si="1"/>
      </c>
      <c r="BH2555" s="22">
        <f t="shared" si="2"/>
        <v>0</v>
      </c>
    </row>
    <row r="2556">
      <c r="B2556">
        <f>[1]资金台帐!B2556&amp;""</f>
      </c>
      <c r="H2556">
        <f>[1]资金台帐!H2556&amp;""</f>
      </c>
      <c r="J2556">
        <f>[1]资金台帐!J2556&amp;""</f>
      </c>
      <c r="N2556">
        <f>[1]资金台帐!N2556</f>
      </c>
      <c r="O2556">
        <f>[1]资金台帐!O2556&amp;""</f>
      </c>
      <c r="P2556">
        <f>[1]资金台帐!P2556&amp;""</f>
      </c>
      <c r="Q2556">
        <f>[1]资金台帐!Q2556&amp;""</f>
      </c>
      <c r="T2556">
        <f>[1]资金台帐!T2556&amp;""</f>
      </c>
      <c r="U2556">
        <f>[1]资金台帐!U2556&amp;""</f>
      </c>
      <c r="W2556">
        <f>[1]资金台帐!W2556&amp;""</f>
      </c>
      <c r="X2556">
        <f>[1]资金台帐!X2556&amp;""</f>
      </c>
      <c r="AB2556">
        <f>[1]资金台帐!AB2556</f>
        <v>0</v>
      </c>
      <c r="AC2556">
        <f>[1]资金台帐!AC2556</f>
        <v>0</v>
      </c>
      <c r="AD2556">
        <f>[1]资金台帐!AD2556</f>
        <v>0</v>
      </c>
      <c r="AJ2556">
        <f>[1]资金台帐!AJ2556</f>
        <v>0</v>
      </c>
      <c r="AK2556">
        <f>[1]资金台帐!AK2556</f>
        <v>0</v>
      </c>
      <c r="BA2556" s="22">
        <f t="shared" si="0"/>
      </c>
      <c r="BG2556" s="22">
        <f t="shared" si="1"/>
      </c>
      <c r="BH2556" s="22">
        <f t="shared" si="2"/>
        <v>0</v>
      </c>
    </row>
    <row r="2557">
      <c r="B2557">
        <f>[1]资金台帐!B2557&amp;""</f>
      </c>
      <c r="H2557">
        <f>[1]资金台帐!H2557&amp;""</f>
      </c>
      <c r="J2557">
        <f>[1]资金台帐!J2557&amp;""</f>
      </c>
      <c r="N2557">
        <f>[1]资金台帐!N2557</f>
      </c>
      <c r="O2557">
        <f>[1]资金台帐!O2557&amp;""</f>
      </c>
      <c r="P2557">
        <f>[1]资金台帐!P2557&amp;""</f>
      </c>
      <c r="Q2557">
        <f>[1]资金台帐!Q2557&amp;""</f>
      </c>
      <c r="T2557">
        <f>[1]资金台帐!T2557&amp;""</f>
      </c>
      <c r="U2557">
        <f>[1]资金台帐!U2557&amp;""</f>
      </c>
      <c r="W2557">
        <f>[1]资金台帐!W2557&amp;""</f>
      </c>
      <c r="X2557">
        <f>[1]资金台帐!X2557&amp;""</f>
      </c>
      <c r="AB2557">
        <f>[1]资金台帐!AB2557</f>
        <v>0</v>
      </c>
      <c r="AC2557">
        <f>[1]资金台帐!AC2557</f>
        <v>0</v>
      </c>
      <c r="AD2557">
        <f>[1]资金台帐!AD2557</f>
        <v>0</v>
      </c>
      <c r="AJ2557">
        <f>[1]资金台帐!AJ2557</f>
        <v>0</v>
      </c>
      <c r="AK2557">
        <f>[1]资金台帐!AK2557</f>
        <v>0</v>
      </c>
      <c r="BA2557" s="22">
        <f t="shared" si="0"/>
      </c>
      <c r="BG2557" s="22">
        <f t="shared" si="1"/>
      </c>
      <c r="BH2557" s="22">
        <f t="shared" si="2"/>
        <v>0</v>
      </c>
    </row>
    <row r="2558">
      <c r="B2558">
        <f>[1]资金台帐!B2558&amp;""</f>
      </c>
      <c r="H2558">
        <f>[1]资金台帐!H2558&amp;""</f>
      </c>
      <c r="J2558">
        <f>[1]资金台帐!J2558&amp;""</f>
      </c>
      <c r="N2558">
        <f>[1]资金台帐!N2558</f>
      </c>
      <c r="O2558">
        <f>[1]资金台帐!O2558&amp;""</f>
      </c>
      <c r="P2558">
        <f>[1]资金台帐!P2558&amp;""</f>
      </c>
      <c r="Q2558">
        <f>[1]资金台帐!Q2558&amp;""</f>
      </c>
      <c r="T2558">
        <f>[1]资金台帐!T2558&amp;""</f>
      </c>
      <c r="U2558">
        <f>[1]资金台帐!U2558&amp;""</f>
      </c>
      <c r="W2558">
        <f>[1]资金台帐!W2558&amp;""</f>
      </c>
      <c r="X2558">
        <f>[1]资金台帐!X2558&amp;""</f>
      </c>
      <c r="AB2558">
        <f>[1]资金台帐!AB2558</f>
        <v>0</v>
      </c>
      <c r="AC2558">
        <f>[1]资金台帐!AC2558</f>
        <v>0</v>
      </c>
      <c r="AD2558">
        <f>[1]资金台帐!AD2558</f>
        <v>0</v>
      </c>
      <c r="AJ2558">
        <f>[1]资金台帐!AJ2558</f>
        <v>0</v>
      </c>
      <c r="AK2558">
        <f>[1]资金台帐!AK2558</f>
        <v>0</v>
      </c>
      <c r="BA2558" s="22">
        <f t="shared" si="0"/>
      </c>
      <c r="BG2558" s="22">
        <f t="shared" si="1"/>
      </c>
      <c r="BH2558" s="22">
        <f t="shared" si="2"/>
        <v>0</v>
      </c>
    </row>
    <row r="2559">
      <c r="B2559">
        <f>[1]资金台帐!B2559&amp;""</f>
      </c>
      <c r="H2559">
        <f>[1]资金台帐!H2559&amp;""</f>
      </c>
      <c r="J2559">
        <f>[1]资金台帐!J2559&amp;""</f>
      </c>
      <c r="N2559">
        <f>[1]资金台帐!N2559</f>
      </c>
      <c r="O2559">
        <f>[1]资金台帐!O2559&amp;""</f>
      </c>
      <c r="P2559">
        <f>[1]资金台帐!P2559&amp;""</f>
      </c>
      <c r="Q2559">
        <f>[1]资金台帐!Q2559&amp;""</f>
      </c>
      <c r="T2559">
        <f>[1]资金台帐!T2559&amp;""</f>
      </c>
      <c r="U2559">
        <f>[1]资金台帐!U2559&amp;""</f>
      </c>
      <c r="W2559">
        <f>[1]资金台帐!W2559&amp;""</f>
      </c>
      <c r="X2559">
        <f>[1]资金台帐!X2559&amp;""</f>
      </c>
      <c r="AB2559">
        <f>[1]资金台帐!AB2559</f>
        <v>0</v>
      </c>
      <c r="AC2559">
        <f>[1]资金台帐!AC2559</f>
        <v>0</v>
      </c>
      <c r="AD2559">
        <f>[1]资金台帐!AD2559</f>
        <v>0</v>
      </c>
      <c r="AJ2559">
        <f>[1]资金台帐!AJ2559</f>
        <v>0</v>
      </c>
      <c r="AK2559">
        <f>[1]资金台帐!AK2559</f>
        <v>0</v>
      </c>
      <c r="BA2559" s="22">
        <f t="shared" si="0"/>
      </c>
      <c r="BG2559" s="22">
        <f t="shared" si="1"/>
      </c>
      <c r="BH2559" s="22">
        <f t="shared" si="2"/>
        <v>0</v>
      </c>
    </row>
    <row r="2560">
      <c r="B2560">
        <f>[1]资金台帐!B2560&amp;""</f>
      </c>
      <c r="H2560">
        <f>[1]资金台帐!H2560&amp;""</f>
      </c>
      <c r="J2560">
        <f>[1]资金台帐!J2560&amp;""</f>
      </c>
      <c r="N2560">
        <f>[1]资金台帐!N2560</f>
      </c>
      <c r="O2560">
        <f>[1]资金台帐!O2560&amp;""</f>
      </c>
      <c r="P2560">
        <f>[1]资金台帐!P2560&amp;""</f>
      </c>
      <c r="Q2560">
        <f>[1]资金台帐!Q2560&amp;""</f>
      </c>
      <c r="T2560">
        <f>[1]资金台帐!T2560&amp;""</f>
      </c>
      <c r="U2560">
        <f>[1]资金台帐!U2560&amp;""</f>
      </c>
      <c r="W2560">
        <f>[1]资金台帐!W2560&amp;""</f>
      </c>
      <c r="X2560">
        <f>[1]资金台帐!X2560&amp;""</f>
      </c>
      <c r="AB2560">
        <f>[1]资金台帐!AB2560</f>
        <v>0</v>
      </c>
      <c r="AC2560">
        <f>[1]资金台帐!AC2560</f>
        <v>0</v>
      </c>
      <c r="AD2560">
        <f>[1]资金台帐!AD2560</f>
        <v>0</v>
      </c>
      <c r="AJ2560">
        <f>[1]资金台帐!AJ2560</f>
        <v>0</v>
      </c>
      <c r="AK2560">
        <f>[1]资金台帐!AK2560</f>
        <v>0</v>
      </c>
      <c r="BA2560" s="22">
        <f t="shared" si="0"/>
      </c>
      <c r="BG2560" s="22">
        <f t="shared" si="1"/>
      </c>
      <c r="BH2560" s="22">
        <f t="shared" si="2"/>
        <v>0</v>
      </c>
    </row>
    <row r="2561">
      <c r="B2561">
        <f>[1]资金台帐!B2561&amp;""</f>
      </c>
      <c r="H2561">
        <f>[1]资金台帐!H2561&amp;""</f>
      </c>
      <c r="J2561">
        <f>[1]资金台帐!J2561&amp;""</f>
      </c>
      <c r="N2561">
        <f>[1]资金台帐!N2561</f>
      </c>
      <c r="O2561">
        <f>[1]资金台帐!O2561&amp;""</f>
      </c>
      <c r="P2561">
        <f>[1]资金台帐!P2561&amp;""</f>
      </c>
      <c r="Q2561">
        <f>[1]资金台帐!Q2561&amp;""</f>
      </c>
      <c r="T2561">
        <f>[1]资金台帐!T2561&amp;""</f>
      </c>
      <c r="U2561">
        <f>[1]资金台帐!U2561&amp;""</f>
      </c>
      <c r="W2561">
        <f>[1]资金台帐!W2561&amp;""</f>
      </c>
      <c r="X2561">
        <f>[1]资金台帐!X2561&amp;""</f>
      </c>
      <c r="AB2561">
        <f>[1]资金台帐!AB2561</f>
        <v>0</v>
      </c>
      <c r="AC2561">
        <f>[1]资金台帐!AC2561</f>
        <v>0</v>
      </c>
      <c r="AD2561">
        <f>[1]资金台帐!AD2561</f>
        <v>0</v>
      </c>
      <c r="AJ2561">
        <f>[1]资金台帐!AJ2561</f>
        <v>0</v>
      </c>
      <c r="AK2561">
        <f>[1]资金台帐!AK2561</f>
        <v>0</v>
      </c>
      <c r="BA2561" s="22">
        <f t="shared" si="0"/>
      </c>
      <c r="BG2561" s="22">
        <f t="shared" si="1"/>
      </c>
      <c r="BH2561" s="22">
        <f t="shared" si="2"/>
        <v>0</v>
      </c>
    </row>
    <row r="2562">
      <c r="B2562">
        <f>[1]资金台帐!B2562&amp;""</f>
      </c>
      <c r="H2562">
        <f>[1]资金台帐!H2562&amp;""</f>
      </c>
      <c r="J2562">
        <f>[1]资金台帐!J2562&amp;""</f>
      </c>
      <c r="N2562">
        <f>[1]资金台帐!N2562</f>
      </c>
      <c r="O2562">
        <f>[1]资金台帐!O2562&amp;""</f>
      </c>
      <c r="P2562">
        <f>[1]资金台帐!P2562&amp;""</f>
      </c>
      <c r="Q2562">
        <f>[1]资金台帐!Q2562&amp;""</f>
      </c>
      <c r="T2562">
        <f>[1]资金台帐!T2562&amp;""</f>
      </c>
      <c r="U2562">
        <f>[1]资金台帐!U2562&amp;""</f>
      </c>
      <c r="W2562">
        <f>[1]资金台帐!W2562&amp;""</f>
      </c>
      <c r="X2562">
        <f>[1]资金台帐!X2562&amp;""</f>
      </c>
      <c r="AB2562">
        <f>[1]资金台帐!AB2562</f>
        <v>0</v>
      </c>
      <c r="AC2562">
        <f>[1]资金台帐!AC2562</f>
        <v>0</v>
      </c>
      <c r="AD2562">
        <f>[1]资金台帐!AD2562</f>
        <v>0</v>
      </c>
      <c r="AJ2562">
        <f>[1]资金台帐!AJ2562</f>
        <v>0</v>
      </c>
      <c r="AK2562">
        <f>[1]资金台帐!AK2562</f>
        <v>0</v>
      </c>
      <c r="BA2562" s="22">
        <f t="shared" si="0"/>
      </c>
      <c r="BG2562" s="22">
        <f t="shared" si="1"/>
      </c>
      <c r="BH2562" s="22">
        <f t="shared" si="2"/>
        <v>0</v>
      </c>
    </row>
    <row r="2563">
      <c r="B2563">
        <f>[1]资金台帐!B2563&amp;""</f>
      </c>
      <c r="H2563">
        <f>[1]资金台帐!H2563&amp;""</f>
      </c>
      <c r="J2563">
        <f>[1]资金台帐!J2563&amp;""</f>
      </c>
      <c r="N2563">
        <f>[1]资金台帐!N2563</f>
      </c>
      <c r="O2563">
        <f>[1]资金台帐!O2563&amp;""</f>
      </c>
      <c r="P2563">
        <f>[1]资金台帐!P2563&amp;""</f>
      </c>
      <c r="Q2563">
        <f>[1]资金台帐!Q2563&amp;""</f>
      </c>
      <c r="T2563">
        <f>[1]资金台帐!T2563&amp;""</f>
      </c>
      <c r="U2563">
        <f>[1]资金台帐!U2563&amp;""</f>
      </c>
      <c r="W2563">
        <f>[1]资金台帐!W2563&amp;""</f>
      </c>
      <c r="X2563">
        <f>[1]资金台帐!X2563&amp;""</f>
      </c>
      <c r="AB2563">
        <f>[1]资金台帐!AB2563</f>
        <v>0</v>
      </c>
      <c r="AC2563">
        <f>[1]资金台帐!AC2563</f>
        <v>0</v>
      </c>
      <c r="AD2563">
        <f>[1]资金台帐!AD2563</f>
        <v>0</v>
      </c>
      <c r="AJ2563">
        <f>[1]资金台帐!AJ2563</f>
        <v>0</v>
      </c>
      <c r="AK2563">
        <f>[1]资金台帐!AK2563</f>
        <v>0</v>
      </c>
      <c r="BA2563" s="22">
        <f t="shared" si="0"/>
      </c>
      <c r="BG2563" s="22">
        <f t="shared" si="1"/>
      </c>
      <c r="BH2563" s="22">
        <f t="shared" si="2"/>
        <v>0</v>
      </c>
    </row>
    <row r="2564">
      <c r="B2564">
        <f>[1]资金台帐!B2564&amp;""</f>
      </c>
      <c r="H2564">
        <f>[1]资金台帐!H2564&amp;""</f>
      </c>
      <c r="J2564">
        <f>[1]资金台帐!J2564&amp;""</f>
      </c>
      <c r="N2564">
        <f>[1]资金台帐!N2564</f>
      </c>
      <c r="O2564">
        <f>[1]资金台帐!O2564&amp;""</f>
      </c>
      <c r="P2564">
        <f>[1]资金台帐!P2564&amp;""</f>
      </c>
      <c r="Q2564">
        <f>[1]资金台帐!Q2564&amp;""</f>
      </c>
      <c r="T2564">
        <f>[1]资金台帐!T2564&amp;""</f>
      </c>
      <c r="U2564">
        <f>[1]资金台帐!U2564&amp;""</f>
      </c>
      <c r="W2564">
        <f>[1]资金台帐!W2564&amp;""</f>
      </c>
      <c r="X2564">
        <f>[1]资金台帐!X2564&amp;""</f>
      </c>
      <c r="AB2564">
        <f>[1]资金台帐!AB2564</f>
        <v>0</v>
      </c>
      <c r="AC2564">
        <f>[1]资金台帐!AC2564</f>
        <v>0</v>
      </c>
      <c r="AD2564">
        <f>[1]资金台帐!AD2564</f>
        <v>0</v>
      </c>
      <c r="AJ2564">
        <f>[1]资金台帐!AJ2564</f>
        <v>0</v>
      </c>
      <c r="AK2564">
        <f>[1]资金台帐!AK2564</f>
        <v>0</v>
      </c>
      <c r="BA2564" s="22">
        <f t="shared" si="0"/>
      </c>
      <c r="BG2564" s="22">
        <f t="shared" si="1"/>
      </c>
      <c r="BH2564" s="22">
        <f t="shared" si="2"/>
        <v>0</v>
      </c>
    </row>
    <row r="2565">
      <c r="B2565">
        <f>[1]资金台帐!B2565&amp;""</f>
      </c>
      <c r="H2565">
        <f>[1]资金台帐!H2565&amp;""</f>
      </c>
      <c r="J2565">
        <f>[1]资金台帐!J2565&amp;""</f>
      </c>
      <c r="N2565">
        <f>[1]资金台帐!N2565</f>
      </c>
      <c r="O2565">
        <f>[1]资金台帐!O2565&amp;""</f>
      </c>
      <c r="P2565">
        <f>[1]资金台帐!P2565&amp;""</f>
      </c>
      <c r="Q2565">
        <f>[1]资金台帐!Q2565&amp;""</f>
      </c>
      <c r="T2565">
        <f>[1]资金台帐!T2565&amp;""</f>
      </c>
      <c r="U2565">
        <f>[1]资金台帐!U2565&amp;""</f>
      </c>
      <c r="W2565">
        <f>[1]资金台帐!W2565&amp;""</f>
      </c>
      <c r="X2565">
        <f>[1]资金台帐!X2565&amp;""</f>
      </c>
      <c r="AB2565">
        <f>[1]资金台帐!AB2565</f>
        <v>0</v>
      </c>
      <c r="AC2565">
        <f>[1]资金台帐!AC2565</f>
        <v>0</v>
      </c>
      <c r="AD2565">
        <f>[1]资金台帐!AD2565</f>
        <v>0</v>
      </c>
      <c r="AJ2565">
        <f>[1]资金台帐!AJ2565</f>
        <v>0</v>
      </c>
      <c r="AK2565">
        <f>[1]资金台帐!AK2565</f>
        <v>0</v>
      </c>
      <c r="BA2565" s="22">
        <f t="shared" si="0"/>
      </c>
      <c r="BG2565" s="22">
        <f t="shared" si="1"/>
      </c>
      <c r="BH2565" s="22">
        <f t="shared" si="2"/>
        <v>0</v>
      </c>
    </row>
    <row r="2566">
      <c r="B2566">
        <f>[1]资金台帐!B2566&amp;""</f>
      </c>
      <c r="H2566">
        <f>[1]资金台帐!H2566&amp;""</f>
      </c>
      <c r="J2566">
        <f>[1]资金台帐!J2566&amp;""</f>
      </c>
      <c r="N2566">
        <f>[1]资金台帐!N2566</f>
      </c>
      <c r="O2566">
        <f>[1]资金台帐!O2566&amp;""</f>
      </c>
      <c r="P2566">
        <f>[1]资金台帐!P2566&amp;""</f>
      </c>
      <c r="Q2566">
        <f>[1]资金台帐!Q2566&amp;""</f>
      </c>
      <c r="T2566">
        <f>[1]资金台帐!T2566&amp;""</f>
      </c>
      <c r="U2566">
        <f>[1]资金台帐!U2566&amp;""</f>
      </c>
      <c r="W2566">
        <f>[1]资金台帐!W2566&amp;""</f>
      </c>
      <c r="X2566">
        <f>[1]资金台帐!X2566&amp;""</f>
      </c>
      <c r="AB2566">
        <f>[1]资金台帐!AB2566</f>
        <v>0</v>
      </c>
      <c r="AC2566">
        <f>[1]资金台帐!AC2566</f>
        <v>0</v>
      </c>
      <c r="AD2566">
        <f>[1]资金台帐!AD2566</f>
        <v>0</v>
      </c>
      <c r="AJ2566">
        <f>[1]资金台帐!AJ2566</f>
        <v>0</v>
      </c>
      <c r="AK2566">
        <f>[1]资金台帐!AK2566</f>
        <v>0</v>
      </c>
      <c r="BA2566" s="22">
        <f t="shared" si="0"/>
      </c>
      <c r="BG2566" s="22">
        <f t="shared" si="1"/>
      </c>
      <c r="BH2566" s="22">
        <f t="shared" si="2"/>
        <v>0</v>
      </c>
    </row>
    <row r="2567">
      <c r="B2567">
        <f>[1]资金台帐!B2567&amp;""</f>
      </c>
      <c r="H2567">
        <f>[1]资金台帐!H2567&amp;""</f>
      </c>
      <c r="J2567">
        <f>[1]资金台帐!J2567&amp;""</f>
      </c>
      <c r="N2567">
        <f>[1]资金台帐!N2567</f>
      </c>
      <c r="O2567">
        <f>[1]资金台帐!O2567&amp;""</f>
      </c>
      <c r="P2567">
        <f>[1]资金台帐!P2567&amp;""</f>
      </c>
      <c r="Q2567">
        <f>[1]资金台帐!Q2567&amp;""</f>
      </c>
      <c r="T2567">
        <f>[1]资金台帐!T2567&amp;""</f>
      </c>
      <c r="U2567">
        <f>[1]资金台帐!U2567&amp;""</f>
      </c>
      <c r="W2567">
        <f>[1]资金台帐!W2567&amp;""</f>
      </c>
      <c r="X2567">
        <f>[1]资金台帐!X2567&amp;""</f>
      </c>
      <c r="AB2567">
        <f>[1]资金台帐!AB2567</f>
        <v>0</v>
      </c>
      <c r="AC2567">
        <f>[1]资金台帐!AC2567</f>
        <v>0</v>
      </c>
      <c r="AD2567">
        <f>[1]资金台帐!AD2567</f>
        <v>0</v>
      </c>
      <c r="AJ2567">
        <f>[1]资金台帐!AJ2567</f>
        <v>0</v>
      </c>
      <c r="AK2567">
        <f>[1]资金台帐!AK2567</f>
        <v>0</v>
      </c>
      <c r="BA2567" s="22">
        <f t="shared" si="0"/>
      </c>
      <c r="BG2567" s="22">
        <f t="shared" si="1"/>
      </c>
      <c r="BH2567" s="22">
        <f t="shared" si="2"/>
        <v>0</v>
      </c>
    </row>
    <row r="2568">
      <c r="B2568">
        <f>[1]资金台帐!B2568&amp;""</f>
      </c>
      <c r="H2568">
        <f>[1]资金台帐!H2568&amp;""</f>
      </c>
      <c r="J2568">
        <f>[1]资金台帐!J2568&amp;""</f>
      </c>
      <c r="N2568">
        <f>[1]资金台帐!N2568</f>
      </c>
      <c r="O2568">
        <f>[1]资金台帐!O2568&amp;""</f>
      </c>
      <c r="P2568">
        <f>[1]资金台帐!P2568&amp;""</f>
      </c>
      <c r="Q2568">
        <f>[1]资金台帐!Q2568&amp;""</f>
      </c>
      <c r="T2568">
        <f>[1]资金台帐!T2568&amp;""</f>
      </c>
      <c r="U2568">
        <f>[1]资金台帐!U2568&amp;""</f>
      </c>
      <c r="W2568">
        <f>[1]资金台帐!W2568&amp;""</f>
      </c>
      <c r="X2568">
        <f>[1]资金台帐!X2568&amp;""</f>
      </c>
      <c r="AB2568">
        <f>[1]资金台帐!AB2568</f>
        <v>0</v>
      </c>
      <c r="AC2568">
        <f>[1]资金台帐!AC2568</f>
        <v>0</v>
      </c>
      <c r="AD2568">
        <f>[1]资金台帐!AD2568</f>
        <v>0</v>
      </c>
      <c r="AJ2568">
        <f>[1]资金台帐!AJ2568</f>
        <v>0</v>
      </c>
      <c r="AK2568">
        <f>[1]资金台帐!AK2568</f>
        <v>0</v>
      </c>
      <c r="BA2568" s="22">
        <f t="shared" si="0"/>
      </c>
      <c r="BG2568" s="22">
        <f t="shared" si="1"/>
      </c>
      <c r="BH2568" s="22">
        <f t="shared" si="2"/>
        <v>0</v>
      </c>
    </row>
    <row r="2569">
      <c r="B2569">
        <f>[1]资金台帐!B2569&amp;""</f>
      </c>
      <c r="H2569">
        <f>[1]资金台帐!H2569&amp;""</f>
      </c>
      <c r="J2569">
        <f>[1]资金台帐!J2569&amp;""</f>
      </c>
      <c r="N2569">
        <f>[1]资金台帐!N2569</f>
      </c>
      <c r="O2569">
        <f>[1]资金台帐!O2569&amp;""</f>
      </c>
      <c r="P2569">
        <f>[1]资金台帐!P2569&amp;""</f>
      </c>
      <c r="Q2569">
        <f>[1]资金台帐!Q2569&amp;""</f>
      </c>
      <c r="T2569">
        <f>[1]资金台帐!T2569&amp;""</f>
      </c>
      <c r="U2569">
        <f>[1]资金台帐!U2569&amp;""</f>
      </c>
      <c r="W2569">
        <f>[1]资金台帐!W2569&amp;""</f>
      </c>
      <c r="X2569">
        <f>[1]资金台帐!X2569&amp;""</f>
      </c>
      <c r="AB2569">
        <f>[1]资金台帐!AB2569</f>
        <v>0</v>
      </c>
      <c r="AC2569">
        <f>[1]资金台帐!AC2569</f>
        <v>0</v>
      </c>
      <c r="AD2569">
        <f>[1]资金台帐!AD2569</f>
        <v>0</v>
      </c>
      <c r="AJ2569">
        <f>[1]资金台帐!AJ2569</f>
        <v>0</v>
      </c>
      <c r="AK2569">
        <f>[1]资金台帐!AK2569</f>
        <v>0</v>
      </c>
      <c r="BA2569" s="22">
        <f t="shared" si="0"/>
      </c>
      <c r="BG2569" s="22">
        <f t="shared" si="1"/>
      </c>
      <c r="BH2569" s="22">
        <f t="shared" si="2"/>
        <v>0</v>
      </c>
    </row>
    <row r="2570">
      <c r="B2570">
        <f>[1]资金台帐!B2570&amp;""</f>
      </c>
      <c r="H2570">
        <f>[1]资金台帐!H2570&amp;""</f>
      </c>
      <c r="J2570">
        <f>[1]资金台帐!J2570&amp;""</f>
      </c>
      <c r="N2570">
        <f>[1]资金台帐!N2570</f>
      </c>
      <c r="O2570">
        <f>[1]资金台帐!O2570&amp;""</f>
      </c>
      <c r="P2570">
        <f>[1]资金台帐!P2570&amp;""</f>
      </c>
      <c r="Q2570">
        <f>[1]资金台帐!Q2570&amp;""</f>
      </c>
      <c r="T2570">
        <f>[1]资金台帐!T2570&amp;""</f>
      </c>
      <c r="U2570">
        <f>[1]资金台帐!U2570&amp;""</f>
      </c>
      <c r="W2570">
        <f>[1]资金台帐!W2570&amp;""</f>
      </c>
      <c r="X2570">
        <f>[1]资金台帐!X2570&amp;""</f>
      </c>
      <c r="AB2570">
        <f>[1]资金台帐!AB2570</f>
        <v>0</v>
      </c>
      <c r="AC2570">
        <f>[1]资金台帐!AC2570</f>
        <v>0</v>
      </c>
      <c r="AD2570">
        <f>[1]资金台帐!AD2570</f>
        <v>0</v>
      </c>
      <c r="AJ2570">
        <f>[1]资金台帐!AJ2570</f>
        <v>0</v>
      </c>
      <c r="AK2570">
        <f>[1]资金台帐!AK2570</f>
        <v>0</v>
      </c>
      <c r="BA2570" s="22">
        <f t="shared" si="0"/>
      </c>
      <c r="BG2570" s="22">
        <f t="shared" si="1"/>
      </c>
      <c r="BH2570" s="22">
        <f t="shared" si="2"/>
        <v>0</v>
      </c>
    </row>
    <row r="2571">
      <c r="B2571">
        <f>[1]资金台帐!B2571&amp;""</f>
      </c>
      <c r="H2571">
        <f>[1]资金台帐!H2571&amp;""</f>
      </c>
      <c r="J2571">
        <f>[1]资金台帐!J2571&amp;""</f>
      </c>
      <c r="N2571">
        <f>[1]资金台帐!N2571</f>
      </c>
      <c r="O2571">
        <f>[1]资金台帐!O2571&amp;""</f>
      </c>
      <c r="P2571">
        <f>[1]资金台帐!P2571&amp;""</f>
      </c>
      <c r="Q2571">
        <f>[1]资金台帐!Q2571&amp;""</f>
      </c>
      <c r="T2571">
        <f>[1]资金台帐!T2571&amp;""</f>
      </c>
      <c r="U2571">
        <f>[1]资金台帐!U2571&amp;""</f>
      </c>
      <c r="W2571">
        <f>[1]资金台帐!W2571&amp;""</f>
      </c>
      <c r="X2571">
        <f>[1]资金台帐!X2571&amp;""</f>
      </c>
      <c r="AB2571">
        <f>[1]资金台帐!AB2571</f>
        <v>0</v>
      </c>
      <c r="AC2571">
        <f>[1]资金台帐!AC2571</f>
        <v>0</v>
      </c>
      <c r="AD2571">
        <f>[1]资金台帐!AD2571</f>
        <v>0</v>
      </c>
      <c r="AJ2571">
        <f>[1]资金台帐!AJ2571</f>
        <v>0</v>
      </c>
      <c r="AK2571">
        <f>[1]资金台帐!AK2571</f>
        <v>0</v>
      </c>
      <c r="BA2571" s="22">
        <f t="shared" si="0"/>
      </c>
      <c r="BG2571" s="22">
        <f t="shared" si="1"/>
      </c>
      <c r="BH2571" s="22">
        <f t="shared" si="2"/>
        <v>0</v>
      </c>
    </row>
    <row r="2572">
      <c r="B2572">
        <f>[1]资金台帐!B2572&amp;""</f>
      </c>
      <c r="H2572">
        <f>[1]资金台帐!H2572&amp;""</f>
      </c>
      <c r="J2572">
        <f>[1]资金台帐!J2572&amp;""</f>
      </c>
      <c r="N2572">
        <f>[1]资金台帐!N2572</f>
      </c>
      <c r="O2572">
        <f>[1]资金台帐!O2572&amp;""</f>
      </c>
      <c r="P2572">
        <f>[1]资金台帐!P2572&amp;""</f>
      </c>
      <c r="Q2572">
        <f>[1]资金台帐!Q2572&amp;""</f>
      </c>
      <c r="T2572">
        <f>[1]资金台帐!T2572&amp;""</f>
      </c>
      <c r="U2572">
        <f>[1]资金台帐!U2572&amp;""</f>
      </c>
      <c r="W2572">
        <f>[1]资金台帐!W2572&amp;""</f>
      </c>
      <c r="X2572">
        <f>[1]资金台帐!X2572&amp;""</f>
      </c>
      <c r="AB2572">
        <f>[1]资金台帐!AB2572</f>
        <v>0</v>
      </c>
      <c r="AC2572">
        <f>[1]资金台帐!AC2572</f>
        <v>0</v>
      </c>
      <c r="AD2572">
        <f>[1]资金台帐!AD2572</f>
        <v>0</v>
      </c>
      <c r="AJ2572">
        <f>[1]资金台帐!AJ2572</f>
        <v>0</v>
      </c>
      <c r="AK2572">
        <f>[1]资金台帐!AK2572</f>
        <v>0</v>
      </c>
      <c r="BA2572" s="22">
        <f t="shared" si="0"/>
      </c>
      <c r="BG2572" s="22">
        <f t="shared" si="1"/>
      </c>
      <c r="BH2572" s="22">
        <f t="shared" si="2"/>
        <v>0</v>
      </c>
    </row>
    <row r="2573">
      <c r="B2573">
        <f>[1]资金台帐!B2573&amp;""</f>
      </c>
      <c r="H2573">
        <f>[1]资金台帐!H2573&amp;""</f>
      </c>
      <c r="J2573">
        <f>[1]资金台帐!J2573&amp;""</f>
      </c>
      <c r="N2573">
        <f>[1]资金台帐!N2573</f>
      </c>
      <c r="O2573">
        <f>[1]资金台帐!O2573&amp;""</f>
      </c>
      <c r="P2573">
        <f>[1]资金台帐!P2573&amp;""</f>
      </c>
      <c r="Q2573">
        <f>[1]资金台帐!Q2573&amp;""</f>
      </c>
      <c r="T2573">
        <f>[1]资金台帐!T2573&amp;""</f>
      </c>
      <c r="U2573">
        <f>[1]资金台帐!U2573&amp;""</f>
      </c>
      <c r="W2573">
        <f>[1]资金台帐!W2573&amp;""</f>
      </c>
      <c r="X2573">
        <f>[1]资金台帐!X2573&amp;""</f>
      </c>
      <c r="AB2573">
        <f>[1]资金台帐!AB2573</f>
        <v>0</v>
      </c>
      <c r="AC2573">
        <f>[1]资金台帐!AC2573</f>
        <v>0</v>
      </c>
      <c r="AD2573">
        <f>[1]资金台帐!AD2573</f>
        <v>0</v>
      </c>
      <c r="AJ2573">
        <f>[1]资金台帐!AJ2573</f>
        <v>0</v>
      </c>
      <c r="AK2573">
        <f>[1]资金台帐!AK2573</f>
        <v>0</v>
      </c>
      <c r="BA2573" s="22">
        <f t="shared" si="0"/>
      </c>
      <c r="BG2573" s="22">
        <f t="shared" si="1"/>
      </c>
      <c r="BH2573" s="22">
        <f t="shared" si="2"/>
        <v>0</v>
      </c>
    </row>
    <row r="2574">
      <c r="B2574">
        <f>[1]资金台帐!B2574&amp;""</f>
      </c>
      <c r="H2574">
        <f>[1]资金台帐!H2574&amp;""</f>
      </c>
      <c r="J2574">
        <f>[1]资金台帐!J2574&amp;""</f>
      </c>
      <c r="N2574">
        <f>[1]资金台帐!N2574</f>
      </c>
      <c r="O2574">
        <f>[1]资金台帐!O2574&amp;""</f>
      </c>
      <c r="P2574">
        <f>[1]资金台帐!P2574&amp;""</f>
      </c>
      <c r="Q2574">
        <f>[1]资金台帐!Q2574&amp;""</f>
      </c>
      <c r="T2574">
        <f>[1]资金台帐!T2574&amp;""</f>
      </c>
      <c r="U2574">
        <f>[1]资金台帐!U2574&amp;""</f>
      </c>
      <c r="W2574">
        <f>[1]资金台帐!W2574&amp;""</f>
      </c>
      <c r="X2574">
        <f>[1]资金台帐!X2574&amp;""</f>
      </c>
      <c r="AB2574">
        <f>[1]资金台帐!AB2574</f>
        <v>0</v>
      </c>
      <c r="AC2574">
        <f>[1]资金台帐!AC2574</f>
        <v>0</v>
      </c>
      <c r="AD2574">
        <f>[1]资金台帐!AD2574</f>
        <v>0</v>
      </c>
      <c r="AJ2574">
        <f>[1]资金台帐!AJ2574</f>
        <v>0</v>
      </c>
      <c r="AK2574">
        <f>[1]资金台帐!AK2574</f>
        <v>0</v>
      </c>
      <c r="BA2574" s="22">
        <f t="shared" si="0"/>
      </c>
      <c r="BG2574" s="22">
        <f t="shared" si="1"/>
      </c>
      <c r="BH2574" s="22">
        <f t="shared" si="2"/>
        <v>0</v>
      </c>
    </row>
    <row r="2575">
      <c r="B2575">
        <f>[1]资金台帐!B2575&amp;""</f>
      </c>
      <c r="H2575">
        <f>[1]资金台帐!H2575&amp;""</f>
      </c>
      <c r="J2575">
        <f>[1]资金台帐!J2575&amp;""</f>
      </c>
      <c r="N2575">
        <f>[1]资金台帐!N2575</f>
      </c>
      <c r="O2575">
        <f>[1]资金台帐!O2575&amp;""</f>
      </c>
      <c r="P2575">
        <f>[1]资金台帐!P2575&amp;""</f>
      </c>
      <c r="Q2575">
        <f>[1]资金台帐!Q2575&amp;""</f>
      </c>
      <c r="T2575">
        <f>[1]资金台帐!T2575&amp;""</f>
      </c>
      <c r="U2575">
        <f>[1]资金台帐!U2575&amp;""</f>
      </c>
      <c r="W2575">
        <f>[1]资金台帐!W2575&amp;""</f>
      </c>
      <c r="X2575">
        <f>[1]资金台帐!X2575&amp;""</f>
      </c>
      <c r="AB2575">
        <f>[1]资金台帐!AB2575</f>
        <v>0</v>
      </c>
      <c r="AC2575">
        <f>[1]资金台帐!AC2575</f>
        <v>0</v>
      </c>
      <c r="AD2575">
        <f>[1]资金台帐!AD2575</f>
        <v>0</v>
      </c>
      <c r="AJ2575">
        <f>[1]资金台帐!AJ2575</f>
        <v>0</v>
      </c>
      <c r="AK2575">
        <f>[1]资金台帐!AK2575</f>
        <v>0</v>
      </c>
      <c r="BA2575" s="22">
        <f t="shared" si="0"/>
      </c>
      <c r="BG2575" s="22">
        <f t="shared" si="1"/>
      </c>
      <c r="BH2575" s="22">
        <f t="shared" si="2"/>
        <v>0</v>
      </c>
    </row>
    <row r="2576">
      <c r="B2576">
        <f>[1]资金台帐!B2576&amp;""</f>
      </c>
      <c r="H2576">
        <f>[1]资金台帐!H2576&amp;""</f>
      </c>
      <c r="J2576">
        <f>[1]资金台帐!J2576&amp;""</f>
      </c>
      <c r="N2576">
        <f>[1]资金台帐!N2576</f>
      </c>
      <c r="O2576">
        <f>[1]资金台帐!O2576&amp;""</f>
      </c>
      <c r="P2576">
        <f>[1]资金台帐!P2576&amp;""</f>
      </c>
      <c r="Q2576">
        <f>[1]资金台帐!Q2576&amp;""</f>
      </c>
      <c r="T2576">
        <f>[1]资金台帐!T2576&amp;""</f>
      </c>
      <c r="U2576">
        <f>[1]资金台帐!U2576&amp;""</f>
      </c>
      <c r="W2576">
        <f>[1]资金台帐!W2576&amp;""</f>
      </c>
      <c r="X2576">
        <f>[1]资金台帐!X2576&amp;""</f>
      </c>
      <c r="AB2576">
        <f>[1]资金台帐!AB2576</f>
        <v>0</v>
      </c>
      <c r="AC2576">
        <f>[1]资金台帐!AC2576</f>
        <v>0</v>
      </c>
      <c r="AD2576">
        <f>[1]资金台帐!AD2576</f>
        <v>0</v>
      </c>
      <c r="AJ2576">
        <f>[1]资金台帐!AJ2576</f>
        <v>0</v>
      </c>
      <c r="AK2576">
        <f>[1]资金台帐!AK2576</f>
        <v>0</v>
      </c>
      <c r="BA2576" s="22">
        <f t="shared" si="0"/>
      </c>
      <c r="BG2576" s="22">
        <f t="shared" si="1"/>
      </c>
      <c r="BH2576" s="22">
        <f t="shared" si="2"/>
        <v>0</v>
      </c>
    </row>
    <row r="2577">
      <c r="B2577">
        <f>[1]资金台帐!B2577&amp;""</f>
      </c>
      <c r="H2577">
        <f>[1]资金台帐!H2577&amp;""</f>
      </c>
      <c r="J2577">
        <f>[1]资金台帐!J2577&amp;""</f>
      </c>
      <c r="N2577">
        <f>[1]资金台帐!N2577</f>
      </c>
      <c r="O2577">
        <f>[1]资金台帐!O2577&amp;""</f>
      </c>
      <c r="P2577">
        <f>[1]资金台帐!P2577&amp;""</f>
      </c>
      <c r="Q2577">
        <f>[1]资金台帐!Q2577&amp;""</f>
      </c>
      <c r="T2577">
        <f>[1]资金台帐!T2577&amp;""</f>
      </c>
      <c r="U2577">
        <f>[1]资金台帐!U2577&amp;""</f>
      </c>
      <c r="W2577">
        <f>[1]资金台帐!W2577&amp;""</f>
      </c>
      <c r="X2577">
        <f>[1]资金台帐!X2577&amp;""</f>
      </c>
      <c r="AB2577">
        <f>[1]资金台帐!AB2577</f>
        <v>0</v>
      </c>
      <c r="AC2577">
        <f>[1]资金台帐!AC2577</f>
        <v>0</v>
      </c>
      <c r="AD2577">
        <f>[1]资金台帐!AD2577</f>
        <v>0</v>
      </c>
      <c r="AJ2577">
        <f>[1]资金台帐!AJ2577</f>
        <v>0</v>
      </c>
      <c r="AK2577">
        <f>[1]资金台帐!AK2577</f>
        <v>0</v>
      </c>
      <c r="BA2577" s="22">
        <f t="shared" si="0"/>
      </c>
      <c r="BG2577" s="22">
        <f t="shared" si="1"/>
      </c>
      <c r="BH2577" s="22">
        <f t="shared" si="2"/>
        <v>0</v>
      </c>
    </row>
    <row r="2578">
      <c r="B2578">
        <f>[1]资金台帐!B2578&amp;""</f>
      </c>
      <c r="H2578">
        <f>[1]资金台帐!H2578&amp;""</f>
      </c>
      <c r="J2578">
        <f>[1]资金台帐!J2578&amp;""</f>
      </c>
      <c r="N2578">
        <f>[1]资金台帐!N2578</f>
      </c>
      <c r="O2578">
        <f>[1]资金台帐!O2578&amp;""</f>
      </c>
      <c r="P2578">
        <f>[1]资金台帐!P2578&amp;""</f>
      </c>
      <c r="Q2578">
        <f>[1]资金台帐!Q2578&amp;""</f>
      </c>
      <c r="T2578">
        <f>[1]资金台帐!T2578&amp;""</f>
      </c>
      <c r="U2578">
        <f>[1]资金台帐!U2578&amp;""</f>
      </c>
      <c r="W2578">
        <f>[1]资金台帐!W2578&amp;""</f>
      </c>
      <c r="X2578">
        <f>[1]资金台帐!X2578&amp;""</f>
      </c>
      <c r="AB2578">
        <f>[1]资金台帐!AB2578</f>
        <v>0</v>
      </c>
      <c r="AC2578">
        <f>[1]资金台帐!AC2578</f>
        <v>0</v>
      </c>
      <c r="AD2578">
        <f>[1]资金台帐!AD2578</f>
        <v>0</v>
      </c>
      <c r="AJ2578">
        <f>[1]资金台帐!AJ2578</f>
        <v>0</v>
      </c>
      <c r="AK2578">
        <f>[1]资金台帐!AK2578</f>
        <v>0</v>
      </c>
      <c r="BA2578" s="22">
        <f t="shared" si="0"/>
      </c>
      <c r="BG2578" s="22">
        <f t="shared" si="1"/>
      </c>
      <c r="BH2578" s="22">
        <f t="shared" si="2"/>
        <v>0</v>
      </c>
    </row>
    <row r="2579">
      <c r="B2579">
        <f>[1]资金台帐!B2579&amp;""</f>
      </c>
      <c r="H2579">
        <f>[1]资金台帐!H2579&amp;""</f>
      </c>
      <c r="J2579">
        <f>[1]资金台帐!J2579&amp;""</f>
      </c>
      <c r="N2579">
        <f>[1]资金台帐!N2579</f>
      </c>
      <c r="O2579">
        <f>[1]资金台帐!O2579&amp;""</f>
      </c>
      <c r="P2579">
        <f>[1]资金台帐!P2579&amp;""</f>
      </c>
      <c r="Q2579">
        <f>[1]资金台帐!Q2579&amp;""</f>
      </c>
      <c r="T2579">
        <f>[1]资金台帐!T2579&amp;""</f>
      </c>
      <c r="U2579">
        <f>[1]资金台帐!U2579&amp;""</f>
      </c>
      <c r="W2579">
        <f>[1]资金台帐!W2579&amp;""</f>
      </c>
      <c r="X2579">
        <f>[1]资金台帐!X2579&amp;""</f>
      </c>
      <c r="AB2579">
        <f>[1]资金台帐!AB2579</f>
        <v>0</v>
      </c>
      <c r="AC2579">
        <f>[1]资金台帐!AC2579</f>
        <v>0</v>
      </c>
      <c r="AD2579">
        <f>[1]资金台帐!AD2579</f>
        <v>0</v>
      </c>
      <c r="AJ2579">
        <f>[1]资金台帐!AJ2579</f>
        <v>0</v>
      </c>
      <c r="AK2579">
        <f>[1]资金台帐!AK2579</f>
        <v>0</v>
      </c>
      <c r="BA2579" s="22">
        <f t="shared" si="0"/>
      </c>
      <c r="BG2579" s="22">
        <f t="shared" si="1"/>
      </c>
      <c r="BH2579" s="22">
        <f t="shared" si="2"/>
        <v>0</v>
      </c>
    </row>
    <row r="2580">
      <c r="B2580">
        <f>[1]资金台帐!B2580&amp;""</f>
      </c>
      <c r="H2580">
        <f>[1]资金台帐!H2580&amp;""</f>
      </c>
      <c r="J2580">
        <f>[1]资金台帐!J2580&amp;""</f>
      </c>
      <c r="N2580">
        <f>[1]资金台帐!N2580</f>
      </c>
      <c r="O2580">
        <f>[1]资金台帐!O2580&amp;""</f>
      </c>
      <c r="P2580">
        <f>[1]资金台帐!P2580&amp;""</f>
      </c>
      <c r="Q2580">
        <f>[1]资金台帐!Q2580&amp;""</f>
      </c>
      <c r="T2580">
        <f>[1]资金台帐!T2580&amp;""</f>
      </c>
      <c r="U2580">
        <f>[1]资金台帐!U2580&amp;""</f>
      </c>
      <c r="W2580">
        <f>[1]资金台帐!W2580&amp;""</f>
      </c>
      <c r="X2580">
        <f>[1]资金台帐!X2580&amp;""</f>
      </c>
      <c r="AB2580">
        <f>[1]资金台帐!AB2580</f>
        <v>0</v>
      </c>
      <c r="AC2580">
        <f>[1]资金台帐!AC2580</f>
        <v>0</v>
      </c>
      <c r="AD2580">
        <f>[1]资金台帐!AD2580</f>
        <v>0</v>
      </c>
      <c r="AJ2580">
        <f>[1]资金台帐!AJ2580</f>
        <v>0</v>
      </c>
      <c r="AK2580">
        <f>[1]资金台帐!AK2580</f>
        <v>0</v>
      </c>
      <c r="BA2580" s="22">
        <f t="shared" si="0"/>
      </c>
      <c r="BG2580" s="22">
        <f t="shared" si="1"/>
      </c>
      <c r="BH2580" s="22">
        <f t="shared" si="2"/>
        <v>0</v>
      </c>
    </row>
    <row r="2581">
      <c r="B2581">
        <f>[1]资金台帐!B2581&amp;""</f>
      </c>
      <c r="H2581">
        <f>[1]资金台帐!H2581&amp;""</f>
      </c>
      <c r="J2581">
        <f>[1]资金台帐!J2581&amp;""</f>
      </c>
      <c r="N2581">
        <f>[1]资金台帐!N2581</f>
      </c>
      <c r="O2581">
        <f>[1]资金台帐!O2581&amp;""</f>
      </c>
      <c r="P2581">
        <f>[1]资金台帐!P2581&amp;""</f>
      </c>
      <c r="Q2581">
        <f>[1]资金台帐!Q2581&amp;""</f>
      </c>
      <c r="T2581">
        <f>[1]资金台帐!T2581&amp;""</f>
      </c>
      <c r="U2581">
        <f>[1]资金台帐!U2581&amp;""</f>
      </c>
      <c r="W2581">
        <f>[1]资金台帐!W2581&amp;""</f>
      </c>
      <c r="X2581">
        <f>[1]资金台帐!X2581&amp;""</f>
      </c>
      <c r="AB2581">
        <f>[1]资金台帐!AB2581</f>
        <v>0</v>
      </c>
      <c r="AC2581">
        <f>[1]资金台帐!AC2581</f>
        <v>0</v>
      </c>
      <c r="AD2581">
        <f>[1]资金台帐!AD2581</f>
        <v>0</v>
      </c>
      <c r="AJ2581">
        <f>[1]资金台帐!AJ2581</f>
        <v>0</v>
      </c>
      <c r="AK2581">
        <f>[1]资金台帐!AK2581</f>
        <v>0</v>
      </c>
      <c r="BA2581" s="22">
        <f t="shared" si="0"/>
      </c>
      <c r="BG2581" s="22">
        <f t="shared" si="1"/>
      </c>
      <c r="BH2581" s="22">
        <f t="shared" si="2"/>
        <v>0</v>
      </c>
    </row>
    <row r="2582">
      <c r="B2582">
        <f>[1]资金台帐!B2582&amp;""</f>
      </c>
      <c r="H2582">
        <f>[1]资金台帐!H2582&amp;""</f>
      </c>
      <c r="J2582">
        <f>[1]资金台帐!J2582&amp;""</f>
      </c>
      <c r="N2582">
        <f>[1]资金台帐!N2582</f>
      </c>
      <c r="O2582">
        <f>[1]资金台帐!O2582&amp;""</f>
      </c>
      <c r="P2582">
        <f>[1]资金台帐!P2582&amp;""</f>
      </c>
      <c r="Q2582">
        <f>[1]资金台帐!Q2582&amp;""</f>
      </c>
      <c r="T2582">
        <f>[1]资金台帐!T2582&amp;""</f>
      </c>
      <c r="U2582">
        <f>[1]资金台帐!U2582&amp;""</f>
      </c>
      <c r="W2582">
        <f>[1]资金台帐!W2582&amp;""</f>
      </c>
      <c r="X2582">
        <f>[1]资金台帐!X2582&amp;""</f>
      </c>
      <c r="AB2582">
        <f>[1]资金台帐!AB2582</f>
        <v>0</v>
      </c>
      <c r="AC2582">
        <f>[1]资金台帐!AC2582</f>
        <v>0</v>
      </c>
      <c r="AD2582">
        <f>[1]资金台帐!AD2582</f>
        <v>0</v>
      </c>
      <c r="AJ2582">
        <f>[1]资金台帐!AJ2582</f>
        <v>0</v>
      </c>
      <c r="AK2582">
        <f>[1]资金台帐!AK2582</f>
        <v>0</v>
      </c>
      <c r="BA2582" s="22">
        <f t="shared" si="0"/>
      </c>
      <c r="BG2582" s="22">
        <f t="shared" si="1"/>
      </c>
      <c r="BH2582" s="22">
        <f t="shared" si="2"/>
        <v>0</v>
      </c>
    </row>
    <row r="2583">
      <c r="B2583">
        <f>[1]资金台帐!B2583&amp;""</f>
      </c>
      <c r="H2583">
        <f>[1]资金台帐!H2583&amp;""</f>
      </c>
      <c r="J2583">
        <f>[1]资金台帐!J2583&amp;""</f>
      </c>
      <c r="N2583">
        <f>[1]资金台帐!N2583</f>
      </c>
      <c r="O2583">
        <f>[1]资金台帐!O2583&amp;""</f>
      </c>
      <c r="P2583">
        <f>[1]资金台帐!P2583&amp;""</f>
      </c>
      <c r="Q2583">
        <f>[1]资金台帐!Q2583&amp;""</f>
      </c>
      <c r="T2583">
        <f>[1]资金台帐!T2583&amp;""</f>
      </c>
      <c r="U2583">
        <f>[1]资金台帐!U2583&amp;""</f>
      </c>
      <c r="W2583">
        <f>[1]资金台帐!W2583&amp;""</f>
      </c>
      <c r="X2583">
        <f>[1]资金台帐!X2583&amp;""</f>
      </c>
      <c r="AB2583">
        <f>[1]资金台帐!AB2583</f>
        <v>0</v>
      </c>
      <c r="AC2583">
        <f>[1]资金台帐!AC2583</f>
        <v>0</v>
      </c>
      <c r="AD2583">
        <f>[1]资金台帐!AD2583</f>
        <v>0</v>
      </c>
      <c r="AJ2583">
        <f>[1]资金台帐!AJ2583</f>
        <v>0</v>
      </c>
      <c r="AK2583">
        <f>[1]资金台帐!AK2583</f>
        <v>0</v>
      </c>
      <c r="BA2583" s="22">
        <f t="shared" si="0"/>
      </c>
      <c r="BG2583" s="22">
        <f t="shared" si="1"/>
      </c>
      <c r="BH2583" s="22">
        <f t="shared" si="2"/>
        <v>0</v>
      </c>
    </row>
    <row r="2584">
      <c r="B2584">
        <f>[1]资金台帐!B2584&amp;""</f>
      </c>
      <c r="H2584">
        <f>[1]资金台帐!H2584&amp;""</f>
      </c>
      <c r="J2584">
        <f>[1]资金台帐!J2584&amp;""</f>
      </c>
      <c r="N2584">
        <f>[1]资金台帐!N2584</f>
      </c>
      <c r="O2584">
        <f>[1]资金台帐!O2584&amp;""</f>
      </c>
      <c r="P2584">
        <f>[1]资金台帐!P2584&amp;""</f>
      </c>
      <c r="Q2584">
        <f>[1]资金台帐!Q2584&amp;""</f>
      </c>
      <c r="T2584">
        <f>[1]资金台帐!T2584&amp;""</f>
      </c>
      <c r="U2584">
        <f>[1]资金台帐!U2584&amp;""</f>
      </c>
      <c r="W2584">
        <f>[1]资金台帐!W2584&amp;""</f>
      </c>
      <c r="X2584">
        <f>[1]资金台帐!X2584&amp;""</f>
      </c>
      <c r="AB2584">
        <f>[1]资金台帐!AB2584</f>
        <v>0</v>
      </c>
      <c r="AC2584">
        <f>[1]资金台帐!AC2584</f>
        <v>0</v>
      </c>
      <c r="AD2584">
        <f>[1]资金台帐!AD2584</f>
        <v>0</v>
      </c>
      <c r="AJ2584">
        <f>[1]资金台帐!AJ2584</f>
        <v>0</v>
      </c>
      <c r="AK2584">
        <f>[1]资金台帐!AK2584</f>
        <v>0</v>
      </c>
      <c r="BA2584" s="22">
        <f t="shared" si="0"/>
      </c>
      <c r="BG2584" s="22">
        <f t="shared" si="1"/>
      </c>
      <c r="BH2584" s="22">
        <f t="shared" si="2"/>
        <v>0</v>
      </c>
    </row>
    <row r="2585">
      <c r="B2585">
        <f>[1]资金台帐!B2585&amp;""</f>
      </c>
      <c r="H2585">
        <f>[1]资金台帐!H2585&amp;""</f>
      </c>
      <c r="J2585">
        <f>[1]资金台帐!J2585&amp;""</f>
      </c>
      <c r="N2585">
        <f>[1]资金台帐!N2585</f>
      </c>
      <c r="O2585">
        <f>[1]资金台帐!O2585&amp;""</f>
      </c>
      <c r="P2585">
        <f>[1]资金台帐!P2585&amp;""</f>
      </c>
      <c r="Q2585">
        <f>[1]资金台帐!Q2585&amp;""</f>
      </c>
      <c r="T2585">
        <f>[1]资金台帐!T2585&amp;""</f>
      </c>
      <c r="U2585">
        <f>[1]资金台帐!U2585&amp;""</f>
      </c>
      <c r="W2585">
        <f>[1]资金台帐!W2585&amp;""</f>
      </c>
      <c r="X2585">
        <f>[1]资金台帐!X2585&amp;""</f>
      </c>
      <c r="AB2585">
        <f>[1]资金台帐!AB2585</f>
        <v>0</v>
      </c>
      <c r="AC2585">
        <f>[1]资金台帐!AC2585</f>
        <v>0</v>
      </c>
      <c r="AD2585">
        <f>[1]资金台帐!AD2585</f>
        <v>0</v>
      </c>
      <c r="AJ2585">
        <f>[1]资金台帐!AJ2585</f>
        <v>0</v>
      </c>
      <c r="AK2585">
        <f>[1]资金台帐!AK2585</f>
        <v>0</v>
      </c>
      <c r="BA2585" s="22">
        <f t="shared" si="0"/>
      </c>
      <c r="BG2585" s="22">
        <f t="shared" si="1"/>
      </c>
      <c r="BH2585" s="22">
        <f t="shared" si="2"/>
        <v>0</v>
      </c>
    </row>
    <row r="2586">
      <c r="B2586">
        <f>[1]资金台帐!B2586&amp;""</f>
      </c>
      <c r="H2586">
        <f>[1]资金台帐!H2586&amp;""</f>
      </c>
      <c r="J2586">
        <f>[1]资金台帐!J2586&amp;""</f>
      </c>
      <c r="N2586">
        <f>[1]资金台帐!N2586</f>
      </c>
      <c r="O2586">
        <f>[1]资金台帐!O2586&amp;""</f>
      </c>
      <c r="P2586">
        <f>[1]资金台帐!P2586&amp;""</f>
      </c>
      <c r="Q2586">
        <f>[1]资金台帐!Q2586&amp;""</f>
      </c>
      <c r="T2586">
        <f>[1]资金台帐!T2586&amp;""</f>
      </c>
      <c r="U2586">
        <f>[1]资金台帐!U2586&amp;""</f>
      </c>
      <c r="W2586">
        <f>[1]资金台帐!W2586&amp;""</f>
      </c>
      <c r="X2586">
        <f>[1]资金台帐!X2586&amp;""</f>
      </c>
      <c r="AB2586">
        <f>[1]资金台帐!AB2586</f>
        <v>0</v>
      </c>
      <c r="AC2586">
        <f>[1]资金台帐!AC2586</f>
        <v>0</v>
      </c>
      <c r="AD2586">
        <f>[1]资金台帐!AD2586</f>
        <v>0</v>
      </c>
      <c r="AJ2586">
        <f>[1]资金台帐!AJ2586</f>
        <v>0</v>
      </c>
      <c r="AK2586">
        <f>[1]资金台帐!AK2586</f>
        <v>0</v>
      </c>
      <c r="BA2586" s="22">
        <f t="shared" si="0"/>
      </c>
      <c r="BG2586" s="22">
        <f t="shared" si="1"/>
      </c>
      <c r="BH2586" s="22">
        <f t="shared" si="2"/>
        <v>0</v>
      </c>
    </row>
    <row r="2587">
      <c r="B2587">
        <f>[1]资金台帐!B2587&amp;""</f>
      </c>
      <c r="H2587">
        <f>[1]资金台帐!H2587&amp;""</f>
      </c>
      <c r="J2587">
        <f>[1]资金台帐!J2587&amp;""</f>
      </c>
      <c r="N2587">
        <f>[1]资金台帐!N2587</f>
      </c>
      <c r="O2587">
        <f>[1]资金台帐!O2587&amp;""</f>
      </c>
      <c r="P2587">
        <f>[1]资金台帐!P2587&amp;""</f>
      </c>
      <c r="Q2587">
        <f>[1]资金台帐!Q2587&amp;""</f>
      </c>
      <c r="T2587">
        <f>[1]资金台帐!T2587&amp;""</f>
      </c>
      <c r="U2587">
        <f>[1]资金台帐!U2587&amp;""</f>
      </c>
      <c r="W2587">
        <f>[1]资金台帐!W2587&amp;""</f>
      </c>
      <c r="X2587">
        <f>[1]资金台帐!X2587&amp;""</f>
      </c>
      <c r="AB2587">
        <f>[1]资金台帐!AB2587</f>
        <v>0</v>
      </c>
      <c r="AC2587">
        <f>[1]资金台帐!AC2587</f>
        <v>0</v>
      </c>
      <c r="AD2587">
        <f>[1]资金台帐!AD2587</f>
        <v>0</v>
      </c>
      <c r="AJ2587">
        <f>[1]资金台帐!AJ2587</f>
        <v>0</v>
      </c>
      <c r="AK2587">
        <f>[1]资金台帐!AK2587</f>
        <v>0</v>
      </c>
      <c r="BA2587" s="22">
        <f t="shared" si="0"/>
      </c>
      <c r="BG2587" s="22">
        <f t="shared" si="1"/>
      </c>
      <c r="BH2587" s="22">
        <f t="shared" si="2"/>
        <v>0</v>
      </c>
    </row>
    <row r="2588">
      <c r="B2588">
        <f>[1]资金台帐!B2588&amp;""</f>
      </c>
      <c r="H2588">
        <f>[1]资金台帐!H2588&amp;""</f>
      </c>
      <c r="J2588">
        <f>[1]资金台帐!J2588&amp;""</f>
      </c>
      <c r="N2588">
        <f>[1]资金台帐!N2588</f>
      </c>
      <c r="O2588">
        <f>[1]资金台帐!O2588&amp;""</f>
      </c>
      <c r="P2588">
        <f>[1]资金台帐!P2588&amp;""</f>
      </c>
      <c r="Q2588">
        <f>[1]资金台帐!Q2588&amp;""</f>
      </c>
      <c r="T2588">
        <f>[1]资金台帐!T2588&amp;""</f>
      </c>
      <c r="U2588">
        <f>[1]资金台帐!U2588&amp;""</f>
      </c>
      <c r="W2588">
        <f>[1]资金台帐!W2588&amp;""</f>
      </c>
      <c r="X2588">
        <f>[1]资金台帐!X2588&amp;""</f>
      </c>
      <c r="AB2588">
        <f>[1]资金台帐!AB2588</f>
        <v>0</v>
      </c>
      <c r="AC2588">
        <f>[1]资金台帐!AC2588</f>
        <v>0</v>
      </c>
      <c r="AD2588">
        <f>[1]资金台帐!AD2588</f>
        <v>0</v>
      </c>
      <c r="AJ2588">
        <f>[1]资金台帐!AJ2588</f>
        <v>0</v>
      </c>
      <c r="AK2588">
        <f>[1]资金台帐!AK2588</f>
        <v>0</v>
      </c>
      <c r="BA2588" s="22">
        <f t="shared" si="0"/>
      </c>
      <c r="BG2588" s="22">
        <f t="shared" si="1"/>
      </c>
      <c r="BH2588" s="22">
        <f t="shared" si="2"/>
        <v>0</v>
      </c>
    </row>
    <row r="2589">
      <c r="B2589">
        <f>[1]资金台帐!B2589&amp;""</f>
      </c>
      <c r="H2589">
        <f>[1]资金台帐!H2589&amp;""</f>
      </c>
      <c r="J2589">
        <f>[1]资金台帐!J2589&amp;""</f>
      </c>
      <c r="N2589">
        <f>[1]资金台帐!N2589</f>
      </c>
      <c r="O2589">
        <f>[1]资金台帐!O2589&amp;""</f>
      </c>
      <c r="P2589">
        <f>[1]资金台帐!P2589&amp;""</f>
      </c>
      <c r="Q2589">
        <f>[1]资金台帐!Q2589&amp;""</f>
      </c>
      <c r="T2589">
        <f>[1]资金台帐!T2589&amp;""</f>
      </c>
      <c r="U2589">
        <f>[1]资金台帐!U2589&amp;""</f>
      </c>
      <c r="W2589">
        <f>[1]资金台帐!W2589&amp;""</f>
      </c>
      <c r="X2589">
        <f>[1]资金台帐!X2589&amp;""</f>
      </c>
      <c r="AB2589">
        <f>[1]资金台帐!AB2589</f>
        <v>0</v>
      </c>
      <c r="AC2589">
        <f>[1]资金台帐!AC2589</f>
        <v>0</v>
      </c>
      <c r="AD2589">
        <f>[1]资金台帐!AD2589</f>
        <v>0</v>
      </c>
      <c r="AJ2589">
        <f>[1]资金台帐!AJ2589</f>
        <v>0</v>
      </c>
      <c r="AK2589">
        <f>[1]资金台帐!AK2589</f>
        <v>0</v>
      </c>
      <c r="BA2589" s="22">
        <f t="shared" si="0"/>
      </c>
      <c r="BG2589" s="22">
        <f t="shared" si="1"/>
      </c>
      <c r="BH2589" s="22">
        <f t="shared" si="2"/>
        <v>0</v>
      </c>
    </row>
    <row r="2590">
      <c r="B2590">
        <f>[1]资金台帐!B2590&amp;""</f>
      </c>
      <c r="H2590">
        <f>[1]资金台帐!H2590&amp;""</f>
      </c>
      <c r="J2590">
        <f>[1]资金台帐!J2590&amp;""</f>
      </c>
      <c r="N2590">
        <f>[1]资金台帐!N2590</f>
      </c>
      <c r="O2590">
        <f>[1]资金台帐!O2590&amp;""</f>
      </c>
      <c r="P2590">
        <f>[1]资金台帐!P2590&amp;""</f>
      </c>
      <c r="Q2590">
        <f>[1]资金台帐!Q2590&amp;""</f>
      </c>
      <c r="T2590">
        <f>[1]资金台帐!T2590&amp;""</f>
      </c>
      <c r="U2590">
        <f>[1]资金台帐!U2590&amp;""</f>
      </c>
      <c r="W2590">
        <f>[1]资金台帐!W2590&amp;""</f>
      </c>
      <c r="X2590">
        <f>[1]资金台帐!X2590&amp;""</f>
      </c>
      <c r="AB2590">
        <f>[1]资金台帐!AB2590</f>
        <v>0</v>
      </c>
      <c r="AC2590">
        <f>[1]资金台帐!AC2590</f>
        <v>0</v>
      </c>
      <c r="AD2590">
        <f>[1]资金台帐!AD2590</f>
        <v>0</v>
      </c>
      <c r="AJ2590">
        <f>[1]资金台帐!AJ2590</f>
        <v>0</v>
      </c>
      <c r="AK2590">
        <f>[1]资金台帐!AK2590</f>
        <v>0</v>
      </c>
      <c r="BA2590" s="22">
        <f t="shared" si="0"/>
      </c>
      <c r="BG2590" s="22">
        <f t="shared" si="1"/>
      </c>
      <c r="BH2590" s="22">
        <f t="shared" si="2"/>
        <v>0</v>
      </c>
    </row>
    <row r="2591">
      <c r="B2591">
        <f>[1]资金台帐!B2591&amp;""</f>
      </c>
      <c r="H2591">
        <f>[1]资金台帐!H2591&amp;""</f>
      </c>
      <c r="J2591">
        <f>[1]资金台帐!J2591&amp;""</f>
      </c>
      <c r="N2591">
        <f>[1]资金台帐!N2591</f>
      </c>
      <c r="O2591">
        <f>[1]资金台帐!O2591&amp;""</f>
      </c>
      <c r="P2591">
        <f>[1]资金台帐!P2591&amp;""</f>
      </c>
      <c r="Q2591">
        <f>[1]资金台帐!Q2591&amp;""</f>
      </c>
      <c r="T2591">
        <f>[1]资金台帐!T2591&amp;""</f>
      </c>
      <c r="U2591">
        <f>[1]资金台帐!U2591&amp;""</f>
      </c>
      <c r="W2591">
        <f>[1]资金台帐!W2591&amp;""</f>
      </c>
      <c r="X2591">
        <f>[1]资金台帐!X2591&amp;""</f>
      </c>
      <c r="AB2591">
        <f>[1]资金台帐!AB2591</f>
        <v>0</v>
      </c>
      <c r="AC2591">
        <f>[1]资金台帐!AC2591</f>
        <v>0</v>
      </c>
      <c r="AD2591">
        <f>[1]资金台帐!AD2591</f>
        <v>0</v>
      </c>
      <c r="AJ2591">
        <f>[1]资金台帐!AJ2591</f>
        <v>0</v>
      </c>
      <c r="AK2591">
        <f>[1]资金台帐!AK2591</f>
        <v>0</v>
      </c>
      <c r="BA2591" s="22">
        <f t="shared" si="0"/>
      </c>
      <c r="BG2591" s="22">
        <f t="shared" si="1"/>
      </c>
      <c r="BH2591" s="22">
        <f t="shared" si="2"/>
        <v>0</v>
      </c>
    </row>
    <row r="2592">
      <c r="B2592">
        <f>[1]资金台帐!B2592&amp;""</f>
      </c>
      <c r="H2592">
        <f>[1]资金台帐!H2592&amp;""</f>
      </c>
      <c r="J2592">
        <f>[1]资金台帐!J2592&amp;""</f>
      </c>
      <c r="N2592">
        <f>[1]资金台帐!N2592</f>
      </c>
      <c r="O2592">
        <f>[1]资金台帐!O2592&amp;""</f>
      </c>
      <c r="P2592">
        <f>[1]资金台帐!P2592&amp;""</f>
      </c>
      <c r="Q2592">
        <f>[1]资金台帐!Q2592&amp;""</f>
      </c>
      <c r="T2592">
        <f>[1]资金台帐!T2592&amp;""</f>
      </c>
      <c r="U2592">
        <f>[1]资金台帐!U2592&amp;""</f>
      </c>
      <c r="W2592">
        <f>[1]资金台帐!W2592&amp;""</f>
      </c>
      <c r="X2592">
        <f>[1]资金台帐!X2592&amp;""</f>
      </c>
      <c r="AB2592">
        <f>[1]资金台帐!AB2592</f>
        <v>0</v>
      </c>
      <c r="AC2592">
        <f>[1]资金台帐!AC2592</f>
        <v>0</v>
      </c>
      <c r="AD2592">
        <f>[1]资金台帐!AD2592</f>
        <v>0</v>
      </c>
      <c r="AJ2592">
        <f>[1]资金台帐!AJ2592</f>
        <v>0</v>
      </c>
      <c r="AK2592">
        <f>[1]资金台帐!AK2592</f>
        <v>0</v>
      </c>
      <c r="BA2592" s="22">
        <f t="shared" si="0"/>
      </c>
      <c r="BG2592" s="22">
        <f t="shared" si="1"/>
      </c>
      <c r="BH2592" s="22">
        <f t="shared" si="2"/>
        <v>0</v>
      </c>
    </row>
    <row r="2593">
      <c r="B2593">
        <f>[1]资金台帐!B2593&amp;""</f>
      </c>
      <c r="H2593">
        <f>[1]资金台帐!H2593&amp;""</f>
      </c>
      <c r="J2593">
        <f>[1]资金台帐!J2593&amp;""</f>
      </c>
      <c r="N2593">
        <f>[1]资金台帐!N2593</f>
      </c>
      <c r="O2593">
        <f>[1]资金台帐!O2593&amp;""</f>
      </c>
      <c r="P2593">
        <f>[1]资金台帐!P2593&amp;""</f>
      </c>
      <c r="Q2593">
        <f>[1]资金台帐!Q2593&amp;""</f>
      </c>
      <c r="T2593">
        <f>[1]资金台帐!T2593&amp;""</f>
      </c>
      <c r="U2593">
        <f>[1]资金台帐!U2593&amp;""</f>
      </c>
      <c r="W2593">
        <f>[1]资金台帐!W2593&amp;""</f>
      </c>
      <c r="X2593">
        <f>[1]资金台帐!X2593&amp;""</f>
      </c>
      <c r="AB2593">
        <f>[1]资金台帐!AB2593</f>
        <v>0</v>
      </c>
      <c r="AC2593">
        <f>[1]资金台帐!AC2593</f>
        <v>0</v>
      </c>
      <c r="AD2593">
        <f>[1]资金台帐!AD2593</f>
        <v>0</v>
      </c>
      <c r="AJ2593">
        <f>[1]资金台帐!AJ2593</f>
        <v>0</v>
      </c>
      <c r="AK2593">
        <f>[1]资金台帐!AK2593</f>
        <v>0</v>
      </c>
      <c r="BA2593" s="22">
        <f t="shared" si="0"/>
      </c>
      <c r="BG2593" s="22">
        <f t="shared" si="1"/>
      </c>
      <c r="BH2593" s="22">
        <f t="shared" si="2"/>
        <v>0</v>
      </c>
    </row>
    <row r="2594">
      <c r="B2594">
        <f>[1]资金台帐!B2594&amp;""</f>
      </c>
      <c r="H2594">
        <f>[1]资金台帐!H2594&amp;""</f>
      </c>
      <c r="J2594">
        <f>[1]资金台帐!J2594&amp;""</f>
      </c>
      <c r="N2594">
        <f>[1]资金台帐!N2594</f>
      </c>
      <c r="O2594">
        <f>[1]资金台帐!O2594&amp;""</f>
      </c>
      <c r="P2594">
        <f>[1]资金台帐!P2594&amp;""</f>
      </c>
      <c r="Q2594">
        <f>[1]资金台帐!Q2594&amp;""</f>
      </c>
      <c r="T2594">
        <f>[1]资金台帐!T2594&amp;""</f>
      </c>
      <c r="U2594">
        <f>[1]资金台帐!U2594&amp;""</f>
      </c>
      <c r="W2594">
        <f>[1]资金台帐!W2594&amp;""</f>
      </c>
      <c r="X2594">
        <f>[1]资金台帐!X2594&amp;""</f>
      </c>
      <c r="AB2594">
        <f>[1]资金台帐!AB2594</f>
        <v>0</v>
      </c>
      <c r="AC2594">
        <f>[1]资金台帐!AC2594</f>
        <v>0</v>
      </c>
      <c r="AD2594">
        <f>[1]资金台帐!AD2594</f>
        <v>0</v>
      </c>
      <c r="AJ2594">
        <f>[1]资金台帐!AJ2594</f>
        <v>0</v>
      </c>
      <c r="AK2594">
        <f>[1]资金台帐!AK2594</f>
        <v>0</v>
      </c>
      <c r="BA2594" s="22">
        <f t="shared" si="0"/>
      </c>
      <c r="BG2594" s="22">
        <f t="shared" si="1"/>
      </c>
      <c r="BH2594" s="22">
        <f t="shared" si="2"/>
        <v>0</v>
      </c>
    </row>
    <row r="2595">
      <c r="B2595">
        <f>[1]资金台帐!B2595&amp;""</f>
      </c>
      <c r="H2595">
        <f>[1]资金台帐!H2595&amp;""</f>
      </c>
      <c r="J2595">
        <f>[1]资金台帐!J2595&amp;""</f>
      </c>
      <c r="N2595">
        <f>[1]资金台帐!N2595</f>
      </c>
      <c r="O2595">
        <f>[1]资金台帐!O2595&amp;""</f>
      </c>
      <c r="P2595">
        <f>[1]资金台帐!P2595&amp;""</f>
      </c>
      <c r="Q2595">
        <f>[1]资金台帐!Q2595&amp;""</f>
      </c>
      <c r="T2595">
        <f>[1]资金台帐!T2595&amp;""</f>
      </c>
      <c r="U2595">
        <f>[1]资金台帐!U2595&amp;""</f>
      </c>
      <c r="W2595">
        <f>[1]资金台帐!W2595&amp;""</f>
      </c>
      <c r="X2595">
        <f>[1]资金台帐!X2595&amp;""</f>
      </c>
      <c r="AB2595">
        <f>[1]资金台帐!AB2595</f>
        <v>0</v>
      </c>
      <c r="AC2595">
        <f>[1]资金台帐!AC2595</f>
        <v>0</v>
      </c>
      <c r="AD2595">
        <f>[1]资金台帐!AD2595</f>
        <v>0</v>
      </c>
      <c r="AJ2595">
        <f>[1]资金台帐!AJ2595</f>
        <v>0</v>
      </c>
      <c r="AK2595">
        <f>[1]资金台帐!AK2595</f>
        <v>0</v>
      </c>
      <c r="BA2595" s="22">
        <f t="shared" si="0"/>
      </c>
      <c r="BG2595" s="22">
        <f t="shared" si="1"/>
      </c>
      <c r="BH2595" s="22">
        <f t="shared" si="2"/>
        <v>0</v>
      </c>
    </row>
    <row r="2596">
      <c r="B2596">
        <f>[1]资金台帐!B2596&amp;""</f>
      </c>
      <c r="H2596">
        <f>[1]资金台帐!H2596&amp;""</f>
      </c>
      <c r="J2596">
        <f>[1]资金台帐!J2596&amp;""</f>
      </c>
      <c r="N2596">
        <f>[1]资金台帐!N2596</f>
      </c>
      <c r="O2596">
        <f>[1]资金台帐!O2596&amp;""</f>
      </c>
      <c r="P2596">
        <f>[1]资金台帐!P2596&amp;""</f>
      </c>
      <c r="Q2596">
        <f>[1]资金台帐!Q2596&amp;""</f>
      </c>
      <c r="T2596">
        <f>[1]资金台帐!T2596&amp;""</f>
      </c>
      <c r="U2596">
        <f>[1]资金台帐!U2596&amp;""</f>
      </c>
      <c r="W2596">
        <f>[1]资金台帐!W2596&amp;""</f>
      </c>
      <c r="X2596">
        <f>[1]资金台帐!X2596&amp;""</f>
      </c>
      <c r="AB2596">
        <f>[1]资金台帐!AB2596</f>
        <v>0</v>
      </c>
      <c r="AC2596">
        <f>[1]资金台帐!AC2596</f>
        <v>0</v>
      </c>
      <c r="AD2596">
        <f>[1]资金台帐!AD2596</f>
        <v>0</v>
      </c>
      <c r="AJ2596">
        <f>[1]资金台帐!AJ2596</f>
        <v>0</v>
      </c>
      <c r="AK2596">
        <f>[1]资金台帐!AK2596</f>
        <v>0</v>
      </c>
      <c r="BA2596" s="22">
        <f t="shared" si="0"/>
      </c>
      <c r="BG2596" s="22">
        <f t="shared" si="1"/>
      </c>
      <c r="BH2596" s="22">
        <f t="shared" si="2"/>
        <v>0</v>
      </c>
    </row>
    <row r="2597">
      <c r="B2597">
        <f>[1]资金台帐!B2597&amp;""</f>
      </c>
      <c r="H2597">
        <f>[1]资金台帐!H2597&amp;""</f>
      </c>
      <c r="J2597">
        <f>[1]资金台帐!J2597&amp;""</f>
      </c>
      <c r="N2597">
        <f>[1]资金台帐!N2597</f>
      </c>
      <c r="O2597">
        <f>[1]资金台帐!O2597&amp;""</f>
      </c>
      <c r="P2597">
        <f>[1]资金台帐!P2597&amp;""</f>
      </c>
      <c r="Q2597">
        <f>[1]资金台帐!Q2597&amp;""</f>
      </c>
      <c r="T2597">
        <f>[1]资金台帐!T2597&amp;""</f>
      </c>
      <c r="U2597">
        <f>[1]资金台帐!U2597&amp;""</f>
      </c>
      <c r="W2597">
        <f>[1]资金台帐!W2597&amp;""</f>
      </c>
      <c r="X2597">
        <f>[1]资金台帐!X2597&amp;""</f>
      </c>
      <c r="AB2597">
        <f>[1]资金台帐!AB2597</f>
        <v>0</v>
      </c>
      <c r="AC2597">
        <f>[1]资金台帐!AC2597</f>
        <v>0</v>
      </c>
      <c r="AD2597">
        <f>[1]资金台帐!AD2597</f>
        <v>0</v>
      </c>
      <c r="AJ2597">
        <f>[1]资金台帐!AJ2597</f>
        <v>0</v>
      </c>
      <c r="AK2597">
        <f>[1]资金台帐!AK2597</f>
        <v>0</v>
      </c>
      <c r="BA2597" s="22">
        <f t="shared" si="0"/>
      </c>
      <c r="BG2597" s="22">
        <f t="shared" si="1"/>
      </c>
      <c r="BH2597" s="22">
        <f t="shared" si="2"/>
        <v>0</v>
      </c>
    </row>
    <row r="2598">
      <c r="B2598">
        <f>[1]资金台帐!B2598&amp;""</f>
      </c>
      <c r="H2598">
        <f>[1]资金台帐!H2598&amp;""</f>
      </c>
      <c r="J2598">
        <f>[1]资金台帐!J2598&amp;""</f>
      </c>
      <c r="N2598">
        <f>[1]资金台帐!N2598</f>
      </c>
      <c r="O2598">
        <f>[1]资金台帐!O2598&amp;""</f>
      </c>
      <c r="P2598">
        <f>[1]资金台帐!P2598&amp;""</f>
      </c>
      <c r="Q2598">
        <f>[1]资金台帐!Q2598&amp;""</f>
      </c>
      <c r="T2598">
        <f>[1]资金台帐!T2598&amp;""</f>
      </c>
      <c r="U2598">
        <f>[1]资金台帐!U2598&amp;""</f>
      </c>
      <c r="W2598">
        <f>[1]资金台帐!W2598&amp;""</f>
      </c>
      <c r="X2598">
        <f>[1]资金台帐!X2598&amp;""</f>
      </c>
      <c r="AB2598">
        <f>[1]资金台帐!AB2598</f>
        <v>0</v>
      </c>
      <c r="AC2598">
        <f>[1]资金台帐!AC2598</f>
        <v>0</v>
      </c>
      <c r="AD2598">
        <f>[1]资金台帐!AD2598</f>
        <v>0</v>
      </c>
      <c r="AJ2598">
        <f>[1]资金台帐!AJ2598</f>
        <v>0</v>
      </c>
      <c r="AK2598">
        <f>[1]资金台帐!AK2598</f>
        <v>0</v>
      </c>
      <c r="BA2598" s="22">
        <f t="shared" si="0"/>
      </c>
      <c r="BG2598" s="22">
        <f t="shared" si="1"/>
      </c>
      <c r="BH2598" s="22">
        <f t="shared" si="2"/>
        <v>0</v>
      </c>
    </row>
    <row r="2599">
      <c r="B2599">
        <f>[1]资金台帐!B2599&amp;""</f>
      </c>
      <c r="H2599">
        <f>[1]资金台帐!H2599&amp;""</f>
      </c>
      <c r="J2599">
        <f>[1]资金台帐!J2599&amp;""</f>
      </c>
      <c r="N2599">
        <f>[1]资金台帐!N2599</f>
      </c>
      <c r="O2599">
        <f>[1]资金台帐!O2599&amp;""</f>
      </c>
      <c r="P2599">
        <f>[1]资金台帐!P2599&amp;""</f>
      </c>
      <c r="Q2599">
        <f>[1]资金台帐!Q2599&amp;""</f>
      </c>
      <c r="T2599">
        <f>[1]资金台帐!T2599&amp;""</f>
      </c>
      <c r="U2599">
        <f>[1]资金台帐!U2599&amp;""</f>
      </c>
      <c r="W2599">
        <f>[1]资金台帐!W2599&amp;""</f>
      </c>
      <c r="X2599">
        <f>[1]资金台帐!X2599&amp;""</f>
      </c>
      <c r="AB2599">
        <f>[1]资金台帐!AB2599</f>
        <v>0</v>
      </c>
      <c r="AC2599">
        <f>[1]资金台帐!AC2599</f>
        <v>0</v>
      </c>
      <c r="AD2599">
        <f>[1]资金台帐!AD2599</f>
        <v>0</v>
      </c>
      <c r="AJ2599">
        <f>[1]资金台帐!AJ2599</f>
        <v>0</v>
      </c>
      <c r="AK2599">
        <f>[1]资金台帐!AK2599</f>
        <v>0</v>
      </c>
      <c r="BA2599" s="22">
        <f t="shared" si="0"/>
      </c>
      <c r="BG2599" s="22">
        <f t="shared" si="1"/>
      </c>
      <c r="BH2599" s="22">
        <f t="shared" si="2"/>
        <v>0</v>
      </c>
    </row>
    <row r="2600">
      <c r="B2600">
        <f>[1]资金台帐!B2600&amp;""</f>
      </c>
      <c r="H2600">
        <f>[1]资金台帐!H2600&amp;""</f>
      </c>
      <c r="J2600">
        <f>[1]资金台帐!J2600&amp;""</f>
      </c>
      <c r="N2600">
        <f>[1]资金台帐!N2600</f>
      </c>
      <c r="O2600">
        <f>[1]资金台帐!O2600&amp;""</f>
      </c>
      <c r="P2600">
        <f>[1]资金台帐!P2600&amp;""</f>
      </c>
      <c r="Q2600">
        <f>[1]资金台帐!Q2600&amp;""</f>
      </c>
      <c r="T2600">
        <f>[1]资金台帐!T2600&amp;""</f>
      </c>
      <c r="U2600">
        <f>[1]资金台帐!U2600&amp;""</f>
      </c>
      <c r="W2600">
        <f>[1]资金台帐!W2600&amp;""</f>
      </c>
      <c r="X2600">
        <f>[1]资金台帐!X2600&amp;""</f>
      </c>
      <c r="AB2600">
        <f>[1]资金台帐!AB2600</f>
        <v>0</v>
      </c>
      <c r="AC2600">
        <f>[1]资金台帐!AC2600</f>
        <v>0</v>
      </c>
      <c r="AD2600">
        <f>[1]资金台帐!AD2600</f>
        <v>0</v>
      </c>
      <c r="AJ2600">
        <f>[1]资金台帐!AJ2600</f>
        <v>0</v>
      </c>
      <c r="AK2600">
        <f>[1]资金台帐!AK2600</f>
        <v>0</v>
      </c>
      <c r="BA2600" s="22">
        <f t="shared" si="0"/>
      </c>
      <c r="BG2600" s="22">
        <f t="shared" si="1"/>
      </c>
      <c r="BH2600" s="22">
        <f t="shared" si="2"/>
        <v>0</v>
      </c>
    </row>
    <row r="2601">
      <c r="B2601">
        <f>[1]资金台帐!B2601&amp;""</f>
      </c>
      <c r="H2601">
        <f>[1]资金台帐!H2601&amp;""</f>
      </c>
      <c r="J2601">
        <f>[1]资金台帐!J2601&amp;""</f>
      </c>
      <c r="N2601">
        <f>[1]资金台帐!N2601</f>
      </c>
      <c r="O2601">
        <f>[1]资金台帐!O2601&amp;""</f>
      </c>
      <c r="P2601">
        <f>[1]资金台帐!P2601&amp;""</f>
      </c>
      <c r="Q2601">
        <f>[1]资金台帐!Q2601&amp;""</f>
      </c>
      <c r="T2601">
        <f>[1]资金台帐!T2601&amp;""</f>
      </c>
      <c r="U2601">
        <f>[1]资金台帐!U2601&amp;""</f>
      </c>
      <c r="W2601">
        <f>[1]资金台帐!W2601&amp;""</f>
      </c>
      <c r="X2601">
        <f>[1]资金台帐!X2601&amp;""</f>
      </c>
      <c r="AB2601">
        <f>[1]资金台帐!AB2601</f>
        <v>0</v>
      </c>
      <c r="AC2601">
        <f>[1]资金台帐!AC2601</f>
        <v>0</v>
      </c>
      <c r="AD2601">
        <f>[1]资金台帐!AD2601</f>
        <v>0</v>
      </c>
      <c r="AJ2601">
        <f>[1]资金台帐!AJ2601</f>
        <v>0</v>
      </c>
      <c r="AK2601">
        <f>[1]资金台帐!AK2601</f>
        <v>0</v>
      </c>
      <c r="BA2601" s="22">
        <f t="shared" si="0"/>
      </c>
      <c r="BG2601" s="22">
        <f t="shared" si="1"/>
      </c>
      <c r="BH2601" s="22">
        <f t="shared" si="2"/>
        <v>0</v>
      </c>
    </row>
    <row r="2602">
      <c r="B2602">
        <f>[1]资金台帐!B2602&amp;""</f>
      </c>
      <c r="H2602">
        <f>[1]资金台帐!H2602&amp;""</f>
      </c>
      <c r="J2602">
        <f>[1]资金台帐!J2602&amp;""</f>
      </c>
      <c r="N2602">
        <f>[1]资金台帐!N2602</f>
      </c>
      <c r="O2602">
        <f>[1]资金台帐!O2602&amp;""</f>
      </c>
      <c r="P2602">
        <f>[1]资金台帐!P2602&amp;""</f>
      </c>
      <c r="Q2602">
        <f>[1]资金台帐!Q2602&amp;""</f>
      </c>
      <c r="T2602">
        <f>[1]资金台帐!T2602&amp;""</f>
      </c>
      <c r="U2602">
        <f>[1]资金台帐!U2602&amp;""</f>
      </c>
      <c r="W2602">
        <f>[1]资金台帐!W2602&amp;""</f>
      </c>
      <c r="X2602">
        <f>[1]资金台帐!X2602&amp;""</f>
      </c>
      <c r="AB2602">
        <f>[1]资金台帐!AB2602</f>
        <v>0</v>
      </c>
      <c r="AC2602">
        <f>[1]资金台帐!AC2602</f>
        <v>0</v>
      </c>
      <c r="AD2602">
        <f>[1]资金台帐!AD2602</f>
        <v>0</v>
      </c>
      <c r="AJ2602">
        <f>[1]资金台帐!AJ2602</f>
        <v>0</v>
      </c>
      <c r="AK2602">
        <f>[1]资金台帐!AK2602</f>
        <v>0</v>
      </c>
      <c r="BA2602" s="22">
        <f t="shared" si="0"/>
      </c>
      <c r="BG2602" s="22">
        <f t="shared" si="1"/>
      </c>
      <c r="BH2602" s="22">
        <f t="shared" si="2"/>
        <v>0</v>
      </c>
    </row>
    <row r="2603">
      <c r="B2603">
        <f>[1]资金台帐!B2603&amp;""</f>
      </c>
      <c r="H2603">
        <f>[1]资金台帐!H2603&amp;""</f>
      </c>
      <c r="J2603">
        <f>[1]资金台帐!J2603&amp;""</f>
      </c>
      <c r="N2603">
        <f>[1]资金台帐!N2603</f>
      </c>
      <c r="O2603">
        <f>[1]资金台帐!O2603&amp;""</f>
      </c>
      <c r="P2603">
        <f>[1]资金台帐!P2603&amp;""</f>
      </c>
      <c r="Q2603">
        <f>[1]资金台帐!Q2603&amp;""</f>
      </c>
      <c r="T2603">
        <f>[1]资金台帐!T2603&amp;""</f>
      </c>
      <c r="U2603">
        <f>[1]资金台帐!U2603&amp;""</f>
      </c>
      <c r="W2603">
        <f>[1]资金台帐!W2603&amp;""</f>
      </c>
      <c r="X2603">
        <f>[1]资金台帐!X2603&amp;""</f>
      </c>
      <c r="AB2603">
        <f>[1]资金台帐!AB2603</f>
        <v>0</v>
      </c>
      <c r="AC2603">
        <f>[1]资金台帐!AC2603</f>
        <v>0</v>
      </c>
      <c r="AD2603">
        <f>[1]资金台帐!AD2603</f>
        <v>0</v>
      </c>
      <c r="AJ2603">
        <f>[1]资金台帐!AJ2603</f>
        <v>0</v>
      </c>
      <c r="AK2603">
        <f>[1]资金台帐!AK2603</f>
        <v>0</v>
      </c>
      <c r="BA2603" s="22">
        <f t="shared" si="0"/>
      </c>
      <c r="BG2603" s="22">
        <f t="shared" si="1"/>
      </c>
      <c r="BH2603" s="22">
        <f t="shared" si="2"/>
        <v>0</v>
      </c>
    </row>
    <row r="2604">
      <c r="B2604">
        <f>[1]资金台帐!B2604&amp;""</f>
      </c>
      <c r="H2604">
        <f>[1]资金台帐!H2604&amp;""</f>
      </c>
      <c r="J2604">
        <f>[1]资金台帐!J2604&amp;""</f>
      </c>
      <c r="N2604">
        <f>[1]资金台帐!N2604</f>
      </c>
      <c r="O2604">
        <f>[1]资金台帐!O2604&amp;""</f>
      </c>
      <c r="P2604">
        <f>[1]资金台帐!P2604&amp;""</f>
      </c>
      <c r="Q2604">
        <f>[1]资金台帐!Q2604&amp;""</f>
      </c>
      <c r="T2604">
        <f>[1]资金台帐!T2604&amp;""</f>
      </c>
      <c r="U2604">
        <f>[1]资金台帐!U2604&amp;""</f>
      </c>
      <c r="W2604">
        <f>[1]资金台帐!W2604&amp;""</f>
      </c>
      <c r="X2604">
        <f>[1]资金台帐!X2604&amp;""</f>
      </c>
      <c r="AB2604">
        <f>[1]资金台帐!AB2604</f>
        <v>0</v>
      </c>
      <c r="AC2604">
        <f>[1]资金台帐!AC2604</f>
        <v>0</v>
      </c>
      <c r="AD2604">
        <f>[1]资金台帐!AD2604</f>
        <v>0</v>
      </c>
      <c r="AJ2604">
        <f>[1]资金台帐!AJ2604</f>
        <v>0</v>
      </c>
      <c r="AK2604">
        <f>[1]资金台帐!AK2604</f>
        <v>0</v>
      </c>
      <c r="BA2604" s="22">
        <f t="shared" si="0"/>
      </c>
      <c r="BG2604" s="22">
        <f t="shared" si="1"/>
      </c>
      <c r="BH2604" s="22">
        <f t="shared" si="2"/>
        <v>0</v>
      </c>
    </row>
    <row r="2605">
      <c r="B2605">
        <f>[1]资金台帐!B2605&amp;""</f>
      </c>
      <c r="H2605">
        <f>[1]资金台帐!H2605&amp;""</f>
      </c>
      <c r="J2605">
        <f>[1]资金台帐!J2605&amp;""</f>
      </c>
      <c r="N2605">
        <f>[1]资金台帐!N2605</f>
      </c>
      <c r="O2605">
        <f>[1]资金台帐!O2605&amp;""</f>
      </c>
      <c r="P2605">
        <f>[1]资金台帐!P2605&amp;""</f>
      </c>
      <c r="Q2605">
        <f>[1]资金台帐!Q2605&amp;""</f>
      </c>
      <c r="T2605">
        <f>[1]资金台帐!T2605&amp;""</f>
      </c>
      <c r="U2605">
        <f>[1]资金台帐!U2605&amp;""</f>
      </c>
      <c r="W2605">
        <f>[1]资金台帐!W2605&amp;""</f>
      </c>
      <c r="X2605">
        <f>[1]资金台帐!X2605&amp;""</f>
      </c>
      <c r="AB2605">
        <f>[1]资金台帐!AB2605</f>
        <v>0</v>
      </c>
      <c r="AC2605">
        <f>[1]资金台帐!AC2605</f>
        <v>0</v>
      </c>
      <c r="AD2605">
        <f>[1]资金台帐!AD2605</f>
        <v>0</v>
      </c>
      <c r="AJ2605">
        <f>[1]资金台帐!AJ2605</f>
        <v>0</v>
      </c>
      <c r="AK2605">
        <f>[1]资金台帐!AK2605</f>
        <v>0</v>
      </c>
      <c r="BA2605" s="22">
        <f t="shared" si="0"/>
      </c>
      <c r="BG2605" s="22">
        <f t="shared" si="1"/>
      </c>
      <c r="BH2605" s="22">
        <f t="shared" si="2"/>
        <v>0</v>
      </c>
    </row>
    <row r="2606">
      <c r="B2606">
        <f>[1]资金台帐!B2606&amp;""</f>
      </c>
      <c r="H2606">
        <f>[1]资金台帐!H2606&amp;""</f>
      </c>
      <c r="J2606">
        <f>[1]资金台帐!J2606&amp;""</f>
      </c>
      <c r="N2606">
        <f>[1]资金台帐!N2606</f>
      </c>
      <c r="O2606">
        <f>[1]资金台帐!O2606&amp;""</f>
      </c>
      <c r="P2606">
        <f>[1]资金台帐!P2606&amp;""</f>
      </c>
      <c r="Q2606">
        <f>[1]资金台帐!Q2606&amp;""</f>
      </c>
      <c r="T2606">
        <f>[1]资金台帐!T2606&amp;""</f>
      </c>
      <c r="U2606">
        <f>[1]资金台帐!U2606&amp;""</f>
      </c>
      <c r="W2606">
        <f>[1]资金台帐!W2606&amp;""</f>
      </c>
      <c r="X2606">
        <f>[1]资金台帐!X2606&amp;""</f>
      </c>
      <c r="AB2606">
        <f>[1]资金台帐!AB2606</f>
        <v>0</v>
      </c>
      <c r="AC2606">
        <f>[1]资金台帐!AC2606</f>
        <v>0</v>
      </c>
      <c r="AD2606">
        <f>[1]资金台帐!AD2606</f>
        <v>0</v>
      </c>
      <c r="AJ2606">
        <f>[1]资金台帐!AJ2606</f>
        <v>0</v>
      </c>
      <c r="AK2606">
        <f>[1]资金台帐!AK2606</f>
        <v>0</v>
      </c>
      <c r="BA2606" s="22">
        <f t="shared" si="0"/>
      </c>
      <c r="BG2606" s="22">
        <f t="shared" si="1"/>
      </c>
      <c r="BH2606" s="22">
        <f t="shared" si="2"/>
        <v>0</v>
      </c>
    </row>
    <row r="2607">
      <c r="B2607">
        <f>[1]资金台帐!B2607&amp;""</f>
      </c>
      <c r="H2607">
        <f>[1]资金台帐!H2607&amp;""</f>
      </c>
      <c r="J2607">
        <f>[1]资金台帐!J2607&amp;""</f>
      </c>
      <c r="N2607">
        <f>[1]资金台帐!N2607</f>
      </c>
      <c r="O2607">
        <f>[1]资金台帐!O2607&amp;""</f>
      </c>
      <c r="P2607">
        <f>[1]资金台帐!P2607&amp;""</f>
      </c>
      <c r="Q2607">
        <f>[1]资金台帐!Q2607&amp;""</f>
      </c>
      <c r="T2607">
        <f>[1]资金台帐!T2607&amp;""</f>
      </c>
      <c r="U2607">
        <f>[1]资金台帐!U2607&amp;""</f>
      </c>
      <c r="W2607">
        <f>[1]资金台帐!W2607&amp;""</f>
      </c>
      <c r="X2607">
        <f>[1]资金台帐!X2607&amp;""</f>
      </c>
      <c r="AB2607">
        <f>[1]资金台帐!AB2607</f>
        <v>0</v>
      </c>
      <c r="AC2607">
        <f>[1]资金台帐!AC2607</f>
        <v>0</v>
      </c>
      <c r="AD2607">
        <f>[1]资金台帐!AD2607</f>
        <v>0</v>
      </c>
      <c r="AJ2607">
        <f>[1]资金台帐!AJ2607</f>
        <v>0</v>
      </c>
      <c r="AK2607">
        <f>[1]资金台帐!AK2607</f>
        <v>0</v>
      </c>
      <c r="BA2607" s="22">
        <f t="shared" si="0"/>
      </c>
      <c r="BG2607" s="22">
        <f t="shared" si="1"/>
      </c>
      <c r="BH2607" s="22">
        <f t="shared" si="2"/>
        <v>0</v>
      </c>
    </row>
    <row r="2608">
      <c r="B2608">
        <f>[1]资金台帐!B2608&amp;""</f>
      </c>
      <c r="H2608">
        <f>[1]资金台帐!H2608&amp;""</f>
      </c>
      <c r="J2608">
        <f>[1]资金台帐!J2608&amp;""</f>
      </c>
      <c r="N2608">
        <f>[1]资金台帐!N2608</f>
      </c>
      <c r="O2608">
        <f>[1]资金台帐!O2608&amp;""</f>
      </c>
      <c r="P2608">
        <f>[1]资金台帐!P2608&amp;""</f>
      </c>
      <c r="Q2608">
        <f>[1]资金台帐!Q2608&amp;""</f>
      </c>
      <c r="T2608">
        <f>[1]资金台帐!T2608&amp;""</f>
      </c>
      <c r="U2608">
        <f>[1]资金台帐!U2608&amp;""</f>
      </c>
      <c r="W2608">
        <f>[1]资金台帐!W2608&amp;""</f>
      </c>
      <c r="X2608">
        <f>[1]资金台帐!X2608&amp;""</f>
      </c>
      <c r="AB2608">
        <f>[1]资金台帐!AB2608</f>
        <v>0</v>
      </c>
      <c r="AC2608">
        <f>[1]资金台帐!AC2608</f>
        <v>0</v>
      </c>
      <c r="AD2608">
        <f>[1]资金台帐!AD2608</f>
        <v>0</v>
      </c>
      <c r="AJ2608">
        <f>[1]资金台帐!AJ2608</f>
        <v>0</v>
      </c>
      <c r="AK2608">
        <f>[1]资金台帐!AK2608</f>
        <v>0</v>
      </c>
      <c r="BA2608" s="22">
        <f t="shared" si="0"/>
      </c>
      <c r="BG2608" s="22">
        <f t="shared" si="1"/>
      </c>
      <c r="BH2608" s="22">
        <f t="shared" si="2"/>
        <v>0</v>
      </c>
    </row>
    <row r="2609">
      <c r="B2609">
        <f>[1]资金台帐!B2609&amp;""</f>
      </c>
      <c r="H2609">
        <f>[1]资金台帐!H2609&amp;""</f>
      </c>
      <c r="J2609">
        <f>[1]资金台帐!J2609&amp;""</f>
      </c>
      <c r="N2609">
        <f>[1]资金台帐!N2609</f>
      </c>
      <c r="O2609">
        <f>[1]资金台帐!O2609&amp;""</f>
      </c>
      <c r="P2609">
        <f>[1]资金台帐!P2609&amp;""</f>
      </c>
      <c r="Q2609">
        <f>[1]资金台帐!Q2609&amp;""</f>
      </c>
      <c r="T2609">
        <f>[1]资金台帐!T2609&amp;""</f>
      </c>
      <c r="U2609">
        <f>[1]资金台帐!U2609&amp;""</f>
      </c>
      <c r="W2609">
        <f>[1]资金台帐!W2609&amp;""</f>
      </c>
      <c r="X2609">
        <f>[1]资金台帐!X2609&amp;""</f>
      </c>
      <c r="AB2609">
        <f>[1]资金台帐!AB2609</f>
        <v>0</v>
      </c>
      <c r="AC2609">
        <f>[1]资金台帐!AC2609</f>
        <v>0</v>
      </c>
      <c r="AD2609">
        <f>[1]资金台帐!AD2609</f>
        <v>0</v>
      </c>
      <c r="AJ2609">
        <f>[1]资金台帐!AJ2609</f>
        <v>0</v>
      </c>
      <c r="AK2609">
        <f>[1]资金台帐!AK2609</f>
        <v>0</v>
      </c>
      <c r="BA2609" s="22">
        <f t="shared" si="0"/>
      </c>
      <c r="BG2609" s="22">
        <f t="shared" si="1"/>
      </c>
      <c r="BH2609" s="22">
        <f t="shared" si="2"/>
        <v>0</v>
      </c>
    </row>
    <row r="2610">
      <c r="B2610">
        <f>[1]资金台帐!B2610&amp;""</f>
      </c>
      <c r="H2610">
        <f>[1]资金台帐!H2610&amp;""</f>
      </c>
      <c r="J2610">
        <f>[1]资金台帐!J2610&amp;""</f>
      </c>
      <c r="N2610">
        <f>[1]资金台帐!N2610</f>
      </c>
      <c r="O2610">
        <f>[1]资金台帐!O2610&amp;""</f>
      </c>
      <c r="P2610">
        <f>[1]资金台帐!P2610&amp;""</f>
      </c>
      <c r="Q2610">
        <f>[1]资金台帐!Q2610&amp;""</f>
      </c>
      <c r="T2610">
        <f>[1]资金台帐!T2610&amp;""</f>
      </c>
      <c r="U2610">
        <f>[1]资金台帐!U2610&amp;""</f>
      </c>
      <c r="W2610">
        <f>[1]资金台帐!W2610&amp;""</f>
      </c>
      <c r="X2610">
        <f>[1]资金台帐!X2610&amp;""</f>
      </c>
      <c r="AB2610">
        <f>[1]资金台帐!AB2610</f>
        <v>0</v>
      </c>
      <c r="AC2610">
        <f>[1]资金台帐!AC2610</f>
        <v>0</v>
      </c>
      <c r="AD2610">
        <f>[1]资金台帐!AD2610</f>
        <v>0</v>
      </c>
      <c r="AJ2610">
        <f>[1]资金台帐!AJ2610</f>
        <v>0</v>
      </c>
      <c r="AK2610">
        <f>[1]资金台帐!AK2610</f>
        <v>0</v>
      </c>
      <c r="BA2610" s="22">
        <f t="shared" si="0"/>
      </c>
      <c r="BG2610" s="22">
        <f t="shared" si="1"/>
      </c>
      <c r="BH2610" s="22">
        <f t="shared" si="2"/>
        <v>0</v>
      </c>
    </row>
    <row r="2611">
      <c r="B2611">
        <f>[1]资金台帐!B2611&amp;""</f>
      </c>
      <c r="H2611">
        <f>[1]资金台帐!H2611&amp;""</f>
      </c>
      <c r="J2611">
        <f>[1]资金台帐!J2611&amp;""</f>
      </c>
      <c r="N2611">
        <f>[1]资金台帐!N2611</f>
      </c>
      <c r="O2611">
        <f>[1]资金台帐!O2611&amp;""</f>
      </c>
      <c r="P2611">
        <f>[1]资金台帐!P2611&amp;""</f>
      </c>
      <c r="Q2611">
        <f>[1]资金台帐!Q2611&amp;""</f>
      </c>
      <c r="T2611">
        <f>[1]资金台帐!T2611&amp;""</f>
      </c>
      <c r="U2611">
        <f>[1]资金台帐!U2611&amp;""</f>
      </c>
      <c r="W2611">
        <f>[1]资金台帐!W2611&amp;""</f>
      </c>
      <c r="X2611">
        <f>[1]资金台帐!X2611&amp;""</f>
      </c>
      <c r="AB2611">
        <f>[1]资金台帐!AB2611</f>
        <v>0</v>
      </c>
      <c r="AC2611">
        <f>[1]资金台帐!AC2611</f>
        <v>0</v>
      </c>
      <c r="AD2611">
        <f>[1]资金台帐!AD2611</f>
        <v>0</v>
      </c>
      <c r="AJ2611">
        <f>[1]资金台帐!AJ2611</f>
        <v>0</v>
      </c>
      <c r="AK2611">
        <f>[1]资金台帐!AK2611</f>
        <v>0</v>
      </c>
      <c r="BA2611" s="22">
        <f t="shared" si="0"/>
      </c>
      <c r="BG2611" s="22">
        <f t="shared" si="1"/>
      </c>
      <c r="BH2611" s="22">
        <f t="shared" si="2"/>
        <v>0</v>
      </c>
    </row>
    <row r="2612">
      <c r="B2612">
        <f>[1]资金台帐!B2612&amp;""</f>
      </c>
      <c r="H2612">
        <f>[1]资金台帐!H2612&amp;""</f>
      </c>
      <c r="J2612">
        <f>[1]资金台帐!J2612&amp;""</f>
      </c>
      <c r="N2612">
        <f>[1]资金台帐!N2612</f>
      </c>
      <c r="O2612">
        <f>[1]资金台帐!O2612&amp;""</f>
      </c>
      <c r="P2612">
        <f>[1]资金台帐!P2612&amp;""</f>
      </c>
      <c r="Q2612">
        <f>[1]资金台帐!Q2612&amp;""</f>
      </c>
      <c r="T2612">
        <f>[1]资金台帐!T2612&amp;""</f>
      </c>
      <c r="U2612">
        <f>[1]资金台帐!U2612&amp;""</f>
      </c>
      <c r="W2612">
        <f>[1]资金台帐!W2612&amp;""</f>
      </c>
      <c r="X2612">
        <f>[1]资金台帐!X2612&amp;""</f>
      </c>
      <c r="AB2612">
        <f>[1]资金台帐!AB2612</f>
        <v>0</v>
      </c>
      <c r="AC2612">
        <f>[1]资金台帐!AC2612</f>
        <v>0</v>
      </c>
      <c r="AD2612">
        <f>[1]资金台帐!AD2612</f>
        <v>0</v>
      </c>
      <c r="AJ2612">
        <f>[1]资金台帐!AJ2612</f>
        <v>0</v>
      </c>
      <c r="AK2612">
        <f>[1]资金台帐!AK2612</f>
        <v>0</v>
      </c>
      <c r="BA2612" s="22">
        <f t="shared" si="0"/>
      </c>
      <c r="BG2612" s="22">
        <f t="shared" si="1"/>
      </c>
      <c r="BH2612" s="22">
        <f t="shared" si="2"/>
        <v>0</v>
      </c>
    </row>
    <row r="2613">
      <c r="B2613">
        <f>[1]资金台帐!B2613&amp;""</f>
      </c>
      <c r="H2613">
        <f>[1]资金台帐!H2613&amp;""</f>
      </c>
      <c r="J2613">
        <f>[1]资金台帐!J2613&amp;""</f>
      </c>
      <c r="N2613">
        <f>[1]资金台帐!N2613</f>
      </c>
      <c r="O2613">
        <f>[1]资金台帐!O2613&amp;""</f>
      </c>
      <c r="P2613">
        <f>[1]资金台帐!P2613&amp;""</f>
      </c>
      <c r="Q2613">
        <f>[1]资金台帐!Q2613&amp;""</f>
      </c>
      <c r="T2613">
        <f>[1]资金台帐!T2613&amp;""</f>
      </c>
      <c r="U2613">
        <f>[1]资金台帐!U2613&amp;""</f>
      </c>
      <c r="W2613">
        <f>[1]资金台帐!W2613&amp;""</f>
      </c>
      <c r="X2613">
        <f>[1]资金台帐!X2613&amp;""</f>
      </c>
      <c r="AB2613">
        <f>[1]资金台帐!AB2613</f>
        <v>0</v>
      </c>
      <c r="AC2613">
        <f>[1]资金台帐!AC2613</f>
        <v>0</v>
      </c>
      <c r="AD2613">
        <f>[1]资金台帐!AD2613</f>
        <v>0</v>
      </c>
      <c r="AJ2613">
        <f>[1]资金台帐!AJ2613</f>
        <v>0</v>
      </c>
      <c r="AK2613">
        <f>[1]资金台帐!AK2613</f>
        <v>0</v>
      </c>
      <c r="BA2613" s="22">
        <f t="shared" si="0"/>
      </c>
      <c r="BG2613" s="22">
        <f t="shared" si="1"/>
      </c>
      <c r="BH2613" s="22">
        <f t="shared" si="2"/>
        <v>0</v>
      </c>
    </row>
    <row r="2614">
      <c r="B2614">
        <f>[1]资金台帐!B2614&amp;""</f>
      </c>
      <c r="H2614">
        <f>[1]资金台帐!H2614&amp;""</f>
      </c>
      <c r="J2614">
        <f>[1]资金台帐!J2614&amp;""</f>
      </c>
      <c r="N2614">
        <f>[1]资金台帐!N2614</f>
      </c>
      <c r="O2614">
        <f>[1]资金台帐!O2614&amp;""</f>
      </c>
      <c r="P2614">
        <f>[1]资金台帐!P2614&amp;""</f>
      </c>
      <c r="Q2614">
        <f>[1]资金台帐!Q2614&amp;""</f>
      </c>
      <c r="T2614">
        <f>[1]资金台帐!T2614&amp;""</f>
      </c>
      <c r="U2614">
        <f>[1]资金台帐!U2614&amp;""</f>
      </c>
      <c r="W2614">
        <f>[1]资金台帐!W2614&amp;""</f>
      </c>
      <c r="X2614">
        <f>[1]资金台帐!X2614&amp;""</f>
      </c>
      <c r="AB2614">
        <f>[1]资金台帐!AB2614</f>
        <v>0</v>
      </c>
      <c r="AC2614">
        <f>[1]资金台帐!AC2614</f>
        <v>0</v>
      </c>
      <c r="AD2614">
        <f>[1]资金台帐!AD2614</f>
        <v>0</v>
      </c>
      <c r="AJ2614">
        <f>[1]资金台帐!AJ2614</f>
        <v>0</v>
      </c>
      <c r="AK2614">
        <f>[1]资金台帐!AK2614</f>
        <v>0</v>
      </c>
      <c r="BA2614" s="22">
        <f t="shared" si="0"/>
      </c>
      <c r="BG2614" s="22">
        <f t="shared" si="1"/>
      </c>
      <c r="BH2614" s="22">
        <f t="shared" si="2"/>
        <v>0</v>
      </c>
    </row>
    <row r="2615">
      <c r="B2615">
        <f>[1]资金台帐!B2615&amp;""</f>
      </c>
      <c r="H2615">
        <f>[1]资金台帐!H2615&amp;""</f>
      </c>
      <c r="J2615">
        <f>[1]资金台帐!J2615&amp;""</f>
      </c>
      <c r="N2615">
        <f>[1]资金台帐!N2615</f>
      </c>
      <c r="O2615">
        <f>[1]资金台帐!O2615&amp;""</f>
      </c>
      <c r="P2615">
        <f>[1]资金台帐!P2615&amp;""</f>
      </c>
      <c r="Q2615">
        <f>[1]资金台帐!Q2615&amp;""</f>
      </c>
      <c r="T2615">
        <f>[1]资金台帐!T2615&amp;""</f>
      </c>
      <c r="U2615">
        <f>[1]资金台帐!U2615&amp;""</f>
      </c>
      <c r="W2615">
        <f>[1]资金台帐!W2615&amp;""</f>
      </c>
      <c r="X2615">
        <f>[1]资金台帐!X2615&amp;""</f>
      </c>
      <c r="AB2615">
        <f>[1]资金台帐!AB2615</f>
        <v>0</v>
      </c>
      <c r="AC2615">
        <f>[1]资金台帐!AC2615</f>
        <v>0</v>
      </c>
      <c r="AD2615">
        <f>[1]资金台帐!AD2615</f>
        <v>0</v>
      </c>
      <c r="AJ2615">
        <f>[1]资金台帐!AJ2615</f>
        <v>0</v>
      </c>
      <c r="AK2615">
        <f>[1]资金台帐!AK2615</f>
        <v>0</v>
      </c>
      <c r="BA2615" s="22">
        <f t="shared" si="0"/>
      </c>
      <c r="BG2615" s="22">
        <f t="shared" si="1"/>
      </c>
      <c r="BH2615" s="22">
        <f t="shared" si="2"/>
        <v>0</v>
      </c>
    </row>
    <row r="2616">
      <c r="B2616">
        <f>[1]资金台帐!B2616&amp;""</f>
      </c>
      <c r="H2616">
        <f>[1]资金台帐!H2616&amp;""</f>
      </c>
      <c r="J2616">
        <f>[1]资金台帐!J2616&amp;""</f>
      </c>
      <c r="N2616">
        <f>[1]资金台帐!N2616</f>
      </c>
      <c r="O2616">
        <f>[1]资金台帐!O2616&amp;""</f>
      </c>
      <c r="P2616">
        <f>[1]资金台帐!P2616&amp;""</f>
      </c>
      <c r="Q2616">
        <f>[1]资金台帐!Q2616&amp;""</f>
      </c>
      <c r="T2616">
        <f>[1]资金台帐!T2616&amp;""</f>
      </c>
      <c r="U2616">
        <f>[1]资金台帐!U2616&amp;""</f>
      </c>
      <c r="W2616">
        <f>[1]资金台帐!W2616&amp;""</f>
      </c>
      <c r="X2616">
        <f>[1]资金台帐!X2616&amp;""</f>
      </c>
      <c r="AB2616">
        <f>[1]资金台帐!AB2616</f>
        <v>0</v>
      </c>
      <c r="AC2616">
        <f>[1]资金台帐!AC2616</f>
        <v>0</v>
      </c>
      <c r="AD2616">
        <f>[1]资金台帐!AD2616</f>
        <v>0</v>
      </c>
      <c r="AJ2616">
        <f>[1]资金台帐!AJ2616</f>
        <v>0</v>
      </c>
      <c r="AK2616">
        <f>[1]资金台帐!AK2616</f>
        <v>0</v>
      </c>
      <c r="BA2616" s="22">
        <f t="shared" si="0"/>
      </c>
      <c r="BG2616" s="22">
        <f t="shared" si="1"/>
      </c>
      <c r="BH2616" s="22">
        <f t="shared" si="2"/>
        <v>0</v>
      </c>
    </row>
    <row r="2617">
      <c r="B2617">
        <f>[1]资金台帐!B2617&amp;""</f>
      </c>
      <c r="H2617">
        <f>[1]资金台帐!H2617&amp;""</f>
      </c>
      <c r="J2617">
        <f>[1]资金台帐!J2617&amp;""</f>
      </c>
      <c r="N2617">
        <f>[1]资金台帐!N2617</f>
      </c>
      <c r="O2617">
        <f>[1]资金台帐!O2617&amp;""</f>
      </c>
      <c r="P2617">
        <f>[1]资金台帐!P2617&amp;""</f>
      </c>
      <c r="Q2617">
        <f>[1]资金台帐!Q2617&amp;""</f>
      </c>
      <c r="T2617">
        <f>[1]资金台帐!T2617&amp;""</f>
      </c>
      <c r="U2617">
        <f>[1]资金台帐!U2617&amp;""</f>
      </c>
      <c r="W2617">
        <f>[1]资金台帐!W2617&amp;""</f>
      </c>
      <c r="X2617">
        <f>[1]资金台帐!X2617&amp;""</f>
      </c>
      <c r="AB2617">
        <f>[1]资金台帐!AB2617</f>
        <v>0</v>
      </c>
      <c r="AC2617">
        <f>[1]资金台帐!AC2617</f>
        <v>0</v>
      </c>
      <c r="AD2617">
        <f>[1]资金台帐!AD2617</f>
        <v>0</v>
      </c>
      <c r="AJ2617">
        <f>[1]资金台帐!AJ2617</f>
        <v>0</v>
      </c>
      <c r="AK2617">
        <f>[1]资金台帐!AK2617</f>
        <v>0</v>
      </c>
      <c r="BA2617" s="22">
        <f t="shared" si="0"/>
      </c>
      <c r="BG2617" s="22">
        <f t="shared" si="1"/>
      </c>
      <c r="BH2617" s="22">
        <f t="shared" si="2"/>
        <v>0</v>
      </c>
    </row>
    <row r="2618">
      <c r="B2618">
        <f>[1]资金台帐!B2618&amp;""</f>
      </c>
      <c r="H2618">
        <f>[1]资金台帐!H2618&amp;""</f>
      </c>
      <c r="J2618">
        <f>[1]资金台帐!J2618&amp;""</f>
      </c>
      <c r="N2618">
        <f>[1]资金台帐!N2618</f>
      </c>
      <c r="O2618">
        <f>[1]资金台帐!O2618&amp;""</f>
      </c>
      <c r="P2618">
        <f>[1]资金台帐!P2618&amp;""</f>
      </c>
      <c r="Q2618">
        <f>[1]资金台帐!Q2618&amp;""</f>
      </c>
      <c r="T2618">
        <f>[1]资金台帐!T2618&amp;""</f>
      </c>
      <c r="U2618">
        <f>[1]资金台帐!U2618&amp;""</f>
      </c>
      <c r="W2618">
        <f>[1]资金台帐!W2618&amp;""</f>
      </c>
      <c r="X2618">
        <f>[1]资金台帐!X2618&amp;""</f>
      </c>
      <c r="AB2618">
        <f>[1]资金台帐!AB2618</f>
        <v>0</v>
      </c>
      <c r="AC2618">
        <f>[1]资金台帐!AC2618</f>
        <v>0</v>
      </c>
      <c r="AD2618">
        <f>[1]资金台帐!AD2618</f>
        <v>0</v>
      </c>
      <c r="AJ2618">
        <f>[1]资金台帐!AJ2618</f>
        <v>0</v>
      </c>
      <c r="AK2618">
        <f>[1]资金台帐!AK2618</f>
        <v>0</v>
      </c>
      <c r="BA2618" s="22">
        <f t="shared" si="0"/>
      </c>
      <c r="BG2618" s="22">
        <f t="shared" si="1"/>
      </c>
      <c r="BH2618" s="22">
        <f t="shared" si="2"/>
        <v>0</v>
      </c>
    </row>
    <row r="2619">
      <c r="B2619">
        <f>[1]资金台帐!B2619&amp;""</f>
      </c>
      <c r="H2619">
        <f>[1]资金台帐!H2619&amp;""</f>
      </c>
      <c r="J2619">
        <f>[1]资金台帐!J2619&amp;""</f>
      </c>
      <c r="N2619">
        <f>[1]资金台帐!N2619</f>
      </c>
      <c r="O2619">
        <f>[1]资金台帐!O2619&amp;""</f>
      </c>
      <c r="P2619">
        <f>[1]资金台帐!P2619&amp;""</f>
      </c>
      <c r="Q2619">
        <f>[1]资金台帐!Q2619&amp;""</f>
      </c>
      <c r="T2619">
        <f>[1]资金台帐!T2619&amp;""</f>
      </c>
      <c r="U2619">
        <f>[1]资金台帐!U2619&amp;""</f>
      </c>
      <c r="W2619">
        <f>[1]资金台帐!W2619&amp;""</f>
      </c>
      <c r="X2619">
        <f>[1]资金台帐!X2619&amp;""</f>
      </c>
      <c r="AB2619">
        <f>[1]资金台帐!AB2619</f>
        <v>0</v>
      </c>
      <c r="AC2619">
        <f>[1]资金台帐!AC2619</f>
        <v>0</v>
      </c>
      <c r="AD2619">
        <f>[1]资金台帐!AD2619</f>
        <v>0</v>
      </c>
      <c r="AJ2619">
        <f>[1]资金台帐!AJ2619</f>
        <v>0</v>
      </c>
      <c r="AK2619">
        <f>[1]资金台帐!AK2619</f>
        <v>0</v>
      </c>
      <c r="BA2619" s="22">
        <f t="shared" si="0"/>
      </c>
      <c r="BG2619" s="22">
        <f t="shared" si="1"/>
      </c>
      <c r="BH2619" s="22">
        <f t="shared" si="2"/>
        <v>0</v>
      </c>
    </row>
    <row r="2620">
      <c r="B2620">
        <f>[1]资金台帐!B2620&amp;""</f>
      </c>
      <c r="H2620">
        <f>[1]资金台帐!H2620&amp;""</f>
      </c>
      <c r="J2620">
        <f>[1]资金台帐!J2620&amp;""</f>
      </c>
      <c r="N2620">
        <f>[1]资金台帐!N2620</f>
      </c>
      <c r="O2620">
        <f>[1]资金台帐!O2620&amp;""</f>
      </c>
      <c r="P2620">
        <f>[1]资金台帐!P2620&amp;""</f>
      </c>
      <c r="Q2620">
        <f>[1]资金台帐!Q2620&amp;""</f>
      </c>
      <c r="T2620">
        <f>[1]资金台帐!T2620&amp;""</f>
      </c>
      <c r="U2620">
        <f>[1]资金台帐!U2620&amp;""</f>
      </c>
      <c r="W2620">
        <f>[1]资金台帐!W2620&amp;""</f>
      </c>
      <c r="X2620">
        <f>[1]资金台帐!X2620&amp;""</f>
      </c>
      <c r="AB2620">
        <f>[1]资金台帐!AB2620</f>
        <v>0</v>
      </c>
      <c r="AC2620">
        <f>[1]资金台帐!AC2620</f>
        <v>0</v>
      </c>
      <c r="AD2620">
        <f>[1]资金台帐!AD2620</f>
        <v>0</v>
      </c>
      <c r="AJ2620">
        <f>[1]资金台帐!AJ2620</f>
        <v>0</v>
      </c>
      <c r="AK2620">
        <f>[1]资金台帐!AK2620</f>
        <v>0</v>
      </c>
      <c r="BA2620" s="22">
        <f t="shared" si="0"/>
      </c>
      <c r="BG2620" s="22">
        <f t="shared" si="1"/>
      </c>
      <c r="BH2620" s="22">
        <f t="shared" si="2"/>
        <v>0</v>
      </c>
    </row>
    <row r="2621">
      <c r="B2621">
        <f>[1]资金台帐!B2621&amp;""</f>
      </c>
      <c r="H2621">
        <f>[1]资金台帐!H2621&amp;""</f>
      </c>
      <c r="J2621">
        <f>[1]资金台帐!J2621&amp;""</f>
      </c>
      <c r="N2621">
        <f>[1]资金台帐!N2621</f>
      </c>
      <c r="O2621">
        <f>[1]资金台帐!O2621&amp;""</f>
      </c>
      <c r="P2621">
        <f>[1]资金台帐!P2621&amp;""</f>
      </c>
      <c r="Q2621">
        <f>[1]资金台帐!Q2621&amp;""</f>
      </c>
      <c r="T2621">
        <f>[1]资金台帐!T2621&amp;""</f>
      </c>
      <c r="U2621">
        <f>[1]资金台帐!U2621&amp;""</f>
      </c>
      <c r="W2621">
        <f>[1]资金台帐!W2621&amp;""</f>
      </c>
      <c r="X2621">
        <f>[1]资金台帐!X2621&amp;""</f>
      </c>
      <c r="AB2621">
        <f>[1]资金台帐!AB2621</f>
        <v>0</v>
      </c>
      <c r="AC2621">
        <f>[1]资金台帐!AC2621</f>
        <v>0</v>
      </c>
      <c r="AD2621">
        <f>[1]资金台帐!AD2621</f>
        <v>0</v>
      </c>
      <c r="AJ2621">
        <f>[1]资金台帐!AJ2621</f>
        <v>0</v>
      </c>
      <c r="AK2621">
        <f>[1]资金台帐!AK2621</f>
        <v>0</v>
      </c>
      <c r="BA2621" s="22">
        <f t="shared" si="0"/>
      </c>
      <c r="BG2621" s="22">
        <f t="shared" si="1"/>
      </c>
      <c r="BH2621" s="22">
        <f t="shared" si="2"/>
        <v>0</v>
      </c>
    </row>
    <row r="2622">
      <c r="B2622">
        <f>[1]资金台帐!B2622&amp;""</f>
      </c>
      <c r="H2622">
        <f>[1]资金台帐!H2622&amp;""</f>
      </c>
      <c r="J2622">
        <f>[1]资金台帐!J2622&amp;""</f>
      </c>
      <c r="N2622">
        <f>[1]资金台帐!N2622</f>
      </c>
      <c r="O2622">
        <f>[1]资金台帐!O2622&amp;""</f>
      </c>
      <c r="P2622">
        <f>[1]资金台帐!P2622&amp;""</f>
      </c>
      <c r="Q2622">
        <f>[1]资金台帐!Q2622&amp;""</f>
      </c>
      <c r="T2622">
        <f>[1]资金台帐!T2622&amp;""</f>
      </c>
      <c r="U2622">
        <f>[1]资金台帐!U2622&amp;""</f>
      </c>
      <c r="W2622">
        <f>[1]资金台帐!W2622&amp;""</f>
      </c>
      <c r="X2622">
        <f>[1]资金台帐!X2622&amp;""</f>
      </c>
      <c r="AB2622">
        <f>[1]资金台帐!AB2622</f>
        <v>0</v>
      </c>
      <c r="AC2622">
        <f>[1]资金台帐!AC2622</f>
        <v>0</v>
      </c>
      <c r="AD2622">
        <f>[1]资金台帐!AD2622</f>
        <v>0</v>
      </c>
      <c r="AJ2622">
        <f>[1]资金台帐!AJ2622</f>
        <v>0</v>
      </c>
      <c r="AK2622">
        <f>[1]资金台帐!AK2622</f>
        <v>0</v>
      </c>
      <c r="BA2622" s="22">
        <f t="shared" si="0"/>
      </c>
      <c r="BG2622" s="22">
        <f t="shared" si="1"/>
      </c>
      <c r="BH2622" s="22">
        <f t="shared" si="2"/>
        <v>0</v>
      </c>
    </row>
    <row r="2623">
      <c r="B2623">
        <f>[1]资金台帐!B2623&amp;""</f>
      </c>
      <c r="H2623">
        <f>[1]资金台帐!H2623&amp;""</f>
      </c>
      <c r="J2623">
        <f>[1]资金台帐!J2623&amp;""</f>
      </c>
      <c r="N2623">
        <f>[1]资金台帐!N2623</f>
      </c>
      <c r="O2623">
        <f>[1]资金台帐!O2623&amp;""</f>
      </c>
      <c r="P2623">
        <f>[1]资金台帐!P2623&amp;""</f>
      </c>
      <c r="Q2623">
        <f>[1]资金台帐!Q2623&amp;""</f>
      </c>
      <c r="T2623">
        <f>[1]资金台帐!T2623&amp;""</f>
      </c>
      <c r="U2623">
        <f>[1]资金台帐!U2623&amp;""</f>
      </c>
      <c r="W2623">
        <f>[1]资金台帐!W2623&amp;""</f>
      </c>
      <c r="X2623">
        <f>[1]资金台帐!X2623&amp;""</f>
      </c>
      <c r="AB2623">
        <f>[1]资金台帐!AB2623</f>
        <v>0</v>
      </c>
      <c r="AC2623">
        <f>[1]资金台帐!AC2623</f>
        <v>0</v>
      </c>
      <c r="AD2623">
        <f>[1]资金台帐!AD2623</f>
        <v>0</v>
      </c>
      <c r="AJ2623">
        <f>[1]资金台帐!AJ2623</f>
        <v>0</v>
      </c>
      <c r="AK2623">
        <f>[1]资金台帐!AK2623</f>
        <v>0</v>
      </c>
      <c r="BA2623" s="22">
        <f t="shared" si="0"/>
      </c>
      <c r="BG2623" s="22">
        <f t="shared" si="1"/>
      </c>
      <c r="BH2623" s="22">
        <f t="shared" si="2"/>
        <v>0</v>
      </c>
    </row>
    <row r="2624">
      <c r="B2624">
        <f>[1]资金台帐!B2624&amp;""</f>
      </c>
      <c r="H2624">
        <f>[1]资金台帐!H2624&amp;""</f>
      </c>
      <c r="J2624">
        <f>[1]资金台帐!J2624&amp;""</f>
      </c>
      <c r="N2624">
        <f>[1]资金台帐!N2624</f>
      </c>
      <c r="O2624">
        <f>[1]资金台帐!O2624&amp;""</f>
      </c>
      <c r="P2624">
        <f>[1]资金台帐!P2624&amp;""</f>
      </c>
      <c r="Q2624">
        <f>[1]资金台帐!Q2624&amp;""</f>
      </c>
      <c r="T2624">
        <f>[1]资金台帐!T2624&amp;""</f>
      </c>
      <c r="U2624">
        <f>[1]资金台帐!U2624&amp;""</f>
      </c>
      <c r="W2624">
        <f>[1]资金台帐!W2624&amp;""</f>
      </c>
      <c r="X2624">
        <f>[1]资金台帐!X2624&amp;""</f>
      </c>
      <c r="AB2624">
        <f>[1]资金台帐!AB2624</f>
        <v>0</v>
      </c>
      <c r="AC2624">
        <f>[1]资金台帐!AC2624</f>
        <v>0</v>
      </c>
      <c r="AD2624">
        <f>[1]资金台帐!AD2624</f>
        <v>0</v>
      </c>
      <c r="AJ2624">
        <f>[1]资金台帐!AJ2624</f>
        <v>0</v>
      </c>
      <c r="AK2624">
        <f>[1]资金台帐!AK2624</f>
        <v>0</v>
      </c>
      <c r="BA2624" s="22">
        <f t="shared" si="0"/>
      </c>
      <c r="BG2624" s="22">
        <f t="shared" si="1"/>
      </c>
      <c r="BH2624" s="22">
        <f t="shared" si="2"/>
        <v>0</v>
      </c>
    </row>
    <row r="2625">
      <c r="B2625">
        <f>[1]资金台帐!B2625&amp;""</f>
      </c>
      <c r="H2625">
        <f>[1]资金台帐!H2625&amp;""</f>
      </c>
      <c r="J2625">
        <f>[1]资金台帐!J2625&amp;""</f>
      </c>
      <c r="N2625">
        <f>[1]资金台帐!N2625</f>
      </c>
      <c r="O2625">
        <f>[1]资金台帐!O2625&amp;""</f>
      </c>
      <c r="P2625">
        <f>[1]资金台帐!P2625&amp;""</f>
      </c>
      <c r="Q2625">
        <f>[1]资金台帐!Q2625&amp;""</f>
      </c>
      <c r="T2625">
        <f>[1]资金台帐!T2625&amp;""</f>
      </c>
      <c r="U2625">
        <f>[1]资金台帐!U2625&amp;""</f>
      </c>
      <c r="W2625">
        <f>[1]资金台帐!W2625&amp;""</f>
      </c>
      <c r="X2625">
        <f>[1]资金台帐!X2625&amp;""</f>
      </c>
      <c r="AB2625">
        <f>[1]资金台帐!AB2625</f>
        <v>0</v>
      </c>
      <c r="AC2625">
        <f>[1]资金台帐!AC2625</f>
        <v>0</v>
      </c>
      <c r="AD2625">
        <f>[1]资金台帐!AD2625</f>
        <v>0</v>
      </c>
      <c r="AJ2625">
        <f>[1]资金台帐!AJ2625</f>
        <v>0</v>
      </c>
      <c r="AK2625">
        <f>[1]资金台帐!AK2625</f>
        <v>0</v>
      </c>
      <c r="BA2625" s="22">
        <f t="shared" si="0"/>
      </c>
      <c r="BG2625" s="22">
        <f t="shared" si="1"/>
      </c>
      <c r="BH2625" s="22">
        <f t="shared" si="2"/>
        <v>0</v>
      </c>
    </row>
    <row r="2626">
      <c r="B2626">
        <f>[1]资金台帐!B2626&amp;""</f>
      </c>
      <c r="H2626">
        <f>[1]资金台帐!H2626&amp;""</f>
      </c>
      <c r="J2626">
        <f>[1]资金台帐!J2626&amp;""</f>
      </c>
      <c r="N2626">
        <f>[1]资金台帐!N2626</f>
      </c>
      <c r="O2626">
        <f>[1]资金台帐!O2626&amp;""</f>
      </c>
      <c r="P2626">
        <f>[1]资金台帐!P2626&amp;""</f>
      </c>
      <c r="Q2626">
        <f>[1]资金台帐!Q2626&amp;""</f>
      </c>
      <c r="T2626">
        <f>[1]资金台帐!T2626&amp;""</f>
      </c>
      <c r="U2626">
        <f>[1]资金台帐!U2626&amp;""</f>
      </c>
      <c r="W2626">
        <f>[1]资金台帐!W2626&amp;""</f>
      </c>
      <c r="X2626">
        <f>[1]资金台帐!X2626&amp;""</f>
      </c>
      <c r="AB2626">
        <f>[1]资金台帐!AB2626</f>
        <v>0</v>
      </c>
      <c r="AC2626">
        <f>[1]资金台帐!AC2626</f>
        <v>0</v>
      </c>
      <c r="AD2626">
        <f>[1]资金台帐!AD2626</f>
        <v>0</v>
      </c>
      <c r="AJ2626">
        <f>[1]资金台帐!AJ2626</f>
        <v>0</v>
      </c>
      <c r="AK2626">
        <f>[1]资金台帐!AK2626</f>
        <v>0</v>
      </c>
      <c r="BA2626" s="22">
        <f t="shared" si="0"/>
      </c>
      <c r="BG2626" s="22">
        <f t="shared" si="1"/>
      </c>
      <c r="BH2626" s="22">
        <f t="shared" si="2"/>
        <v>0</v>
      </c>
    </row>
    <row r="2627">
      <c r="B2627">
        <f>[1]资金台帐!B2627&amp;""</f>
      </c>
      <c r="H2627">
        <f>[1]资金台帐!H2627&amp;""</f>
      </c>
      <c r="J2627">
        <f>[1]资金台帐!J2627&amp;""</f>
      </c>
      <c r="N2627">
        <f>[1]资金台帐!N2627</f>
      </c>
      <c r="O2627">
        <f>[1]资金台帐!O2627&amp;""</f>
      </c>
      <c r="P2627">
        <f>[1]资金台帐!P2627&amp;""</f>
      </c>
      <c r="Q2627">
        <f>[1]资金台帐!Q2627&amp;""</f>
      </c>
      <c r="T2627">
        <f>[1]资金台帐!T2627&amp;""</f>
      </c>
      <c r="U2627">
        <f>[1]资金台帐!U2627&amp;""</f>
      </c>
      <c r="W2627">
        <f>[1]资金台帐!W2627&amp;""</f>
      </c>
      <c r="X2627">
        <f>[1]资金台帐!X2627&amp;""</f>
      </c>
      <c r="AB2627">
        <f>[1]资金台帐!AB2627</f>
        <v>0</v>
      </c>
      <c r="AC2627">
        <f>[1]资金台帐!AC2627</f>
        <v>0</v>
      </c>
      <c r="AD2627">
        <f>[1]资金台帐!AD2627</f>
        <v>0</v>
      </c>
      <c r="AJ2627">
        <f>[1]资金台帐!AJ2627</f>
        <v>0</v>
      </c>
      <c r="AK2627">
        <f>[1]资金台帐!AK2627</f>
        <v>0</v>
      </c>
      <c r="BA2627" s="22">
        <f t="shared" si="0"/>
      </c>
      <c r="BG2627" s="22">
        <f t="shared" si="1"/>
      </c>
      <c r="BH2627" s="22">
        <f t="shared" si="2"/>
        <v>0</v>
      </c>
    </row>
    <row r="2628">
      <c r="B2628">
        <f>[1]资金台帐!B2628&amp;""</f>
      </c>
      <c r="H2628">
        <f>[1]资金台帐!H2628&amp;""</f>
      </c>
      <c r="J2628">
        <f>[1]资金台帐!J2628&amp;""</f>
      </c>
      <c r="N2628">
        <f>[1]资金台帐!N2628</f>
      </c>
      <c r="O2628">
        <f>[1]资金台帐!O2628&amp;""</f>
      </c>
      <c r="P2628">
        <f>[1]资金台帐!P2628&amp;""</f>
      </c>
      <c r="Q2628">
        <f>[1]资金台帐!Q2628&amp;""</f>
      </c>
      <c r="T2628">
        <f>[1]资金台帐!T2628&amp;""</f>
      </c>
      <c r="U2628">
        <f>[1]资金台帐!U2628&amp;""</f>
      </c>
      <c r="W2628">
        <f>[1]资金台帐!W2628&amp;""</f>
      </c>
      <c r="X2628">
        <f>[1]资金台帐!X2628&amp;""</f>
      </c>
      <c r="AB2628">
        <f>[1]资金台帐!AB2628</f>
        <v>0</v>
      </c>
      <c r="AC2628">
        <f>[1]资金台帐!AC2628</f>
        <v>0</v>
      </c>
      <c r="AD2628">
        <f>[1]资金台帐!AD2628</f>
        <v>0</v>
      </c>
      <c r="AJ2628">
        <f>[1]资金台帐!AJ2628</f>
        <v>0</v>
      </c>
      <c r="AK2628">
        <f>[1]资金台帐!AK2628</f>
        <v>0</v>
      </c>
      <c r="BA2628" s="22">
        <f t="shared" si="0"/>
      </c>
      <c r="BG2628" s="22">
        <f t="shared" si="1"/>
      </c>
      <c r="BH2628" s="22">
        <f t="shared" si="2"/>
        <v>0</v>
      </c>
    </row>
    <row r="2629">
      <c r="B2629">
        <f>[1]资金台帐!B2629&amp;""</f>
      </c>
      <c r="H2629">
        <f>[1]资金台帐!H2629&amp;""</f>
      </c>
      <c r="J2629">
        <f>[1]资金台帐!J2629&amp;""</f>
      </c>
      <c r="N2629">
        <f>[1]资金台帐!N2629</f>
      </c>
      <c r="O2629">
        <f>[1]资金台帐!O2629&amp;""</f>
      </c>
      <c r="P2629">
        <f>[1]资金台帐!P2629&amp;""</f>
      </c>
      <c r="Q2629">
        <f>[1]资金台帐!Q2629&amp;""</f>
      </c>
      <c r="T2629">
        <f>[1]资金台帐!T2629&amp;""</f>
      </c>
      <c r="U2629">
        <f>[1]资金台帐!U2629&amp;""</f>
      </c>
      <c r="W2629">
        <f>[1]资金台帐!W2629&amp;""</f>
      </c>
      <c r="X2629">
        <f>[1]资金台帐!X2629&amp;""</f>
      </c>
      <c r="AB2629">
        <f>[1]资金台帐!AB2629</f>
        <v>0</v>
      </c>
      <c r="AC2629">
        <f>[1]资金台帐!AC2629</f>
        <v>0</v>
      </c>
      <c r="AD2629">
        <f>[1]资金台帐!AD2629</f>
        <v>0</v>
      </c>
      <c r="AJ2629">
        <f>[1]资金台帐!AJ2629</f>
        <v>0</v>
      </c>
      <c r="AK2629">
        <f>[1]资金台帐!AK2629</f>
        <v>0</v>
      </c>
      <c r="BA2629" s="22">
        <f t="shared" si="0"/>
      </c>
      <c r="BG2629" s="22">
        <f t="shared" si="1"/>
      </c>
      <c r="BH2629" s="22">
        <f t="shared" si="2"/>
        <v>0</v>
      </c>
    </row>
    <row r="2630">
      <c r="B2630">
        <f>[1]资金台帐!B2630&amp;""</f>
      </c>
      <c r="H2630">
        <f>[1]资金台帐!H2630&amp;""</f>
      </c>
      <c r="J2630">
        <f>[1]资金台帐!J2630&amp;""</f>
      </c>
      <c r="N2630">
        <f>[1]资金台帐!N2630</f>
      </c>
      <c r="O2630">
        <f>[1]资金台帐!O2630&amp;""</f>
      </c>
      <c r="P2630">
        <f>[1]资金台帐!P2630&amp;""</f>
      </c>
      <c r="Q2630">
        <f>[1]资金台帐!Q2630&amp;""</f>
      </c>
      <c r="T2630">
        <f>[1]资金台帐!T2630&amp;""</f>
      </c>
      <c r="U2630">
        <f>[1]资金台帐!U2630&amp;""</f>
      </c>
      <c r="W2630">
        <f>[1]资金台帐!W2630&amp;""</f>
      </c>
      <c r="X2630">
        <f>[1]资金台帐!X2630&amp;""</f>
      </c>
      <c r="AB2630">
        <f>[1]资金台帐!AB2630</f>
        <v>0</v>
      </c>
      <c r="AC2630">
        <f>[1]资金台帐!AC2630</f>
        <v>0</v>
      </c>
      <c r="AD2630">
        <f>[1]资金台帐!AD2630</f>
        <v>0</v>
      </c>
      <c r="AJ2630">
        <f>[1]资金台帐!AJ2630</f>
        <v>0</v>
      </c>
      <c r="AK2630">
        <f>[1]资金台帐!AK2630</f>
        <v>0</v>
      </c>
      <c r="BA2630" s="22">
        <f t="shared" si="0"/>
      </c>
      <c r="BG2630" s="22">
        <f t="shared" si="1"/>
      </c>
      <c r="BH2630" s="22">
        <f t="shared" si="2"/>
        <v>0</v>
      </c>
    </row>
    <row r="2631">
      <c r="B2631">
        <f>[1]资金台帐!B2631&amp;""</f>
      </c>
      <c r="H2631">
        <f>[1]资金台帐!H2631&amp;""</f>
      </c>
      <c r="J2631">
        <f>[1]资金台帐!J2631&amp;""</f>
      </c>
      <c r="N2631">
        <f>[1]资金台帐!N2631</f>
      </c>
      <c r="O2631">
        <f>[1]资金台帐!O2631&amp;""</f>
      </c>
      <c r="P2631">
        <f>[1]资金台帐!P2631&amp;""</f>
      </c>
      <c r="Q2631">
        <f>[1]资金台帐!Q2631&amp;""</f>
      </c>
      <c r="T2631">
        <f>[1]资金台帐!T2631&amp;""</f>
      </c>
      <c r="U2631">
        <f>[1]资金台帐!U2631&amp;""</f>
      </c>
      <c r="W2631">
        <f>[1]资金台帐!W2631&amp;""</f>
      </c>
      <c r="X2631">
        <f>[1]资金台帐!X2631&amp;""</f>
      </c>
      <c r="AB2631">
        <f>[1]资金台帐!AB2631</f>
        <v>0</v>
      </c>
      <c r="AC2631">
        <f>[1]资金台帐!AC2631</f>
        <v>0</v>
      </c>
      <c r="AD2631">
        <f>[1]资金台帐!AD2631</f>
        <v>0</v>
      </c>
      <c r="AJ2631">
        <f>[1]资金台帐!AJ2631</f>
        <v>0</v>
      </c>
      <c r="AK2631">
        <f>[1]资金台帐!AK2631</f>
        <v>0</v>
      </c>
      <c r="BA2631" s="22">
        <f t="shared" si="0"/>
      </c>
      <c r="BG2631" s="22">
        <f t="shared" si="1"/>
      </c>
      <c r="BH2631" s="22">
        <f t="shared" si="2"/>
        <v>0</v>
      </c>
    </row>
    <row r="2632">
      <c r="B2632">
        <f>[1]资金台帐!B2632&amp;""</f>
      </c>
      <c r="H2632">
        <f>[1]资金台帐!H2632&amp;""</f>
      </c>
      <c r="J2632">
        <f>[1]资金台帐!J2632&amp;""</f>
      </c>
      <c r="N2632">
        <f>[1]资金台帐!N2632</f>
      </c>
      <c r="O2632">
        <f>[1]资金台帐!O2632&amp;""</f>
      </c>
      <c r="P2632">
        <f>[1]资金台帐!P2632&amp;""</f>
      </c>
      <c r="Q2632">
        <f>[1]资金台帐!Q2632&amp;""</f>
      </c>
      <c r="T2632">
        <f>[1]资金台帐!T2632&amp;""</f>
      </c>
      <c r="U2632">
        <f>[1]资金台帐!U2632&amp;""</f>
      </c>
      <c r="W2632">
        <f>[1]资金台帐!W2632&amp;""</f>
      </c>
      <c r="X2632">
        <f>[1]资金台帐!X2632&amp;""</f>
      </c>
      <c r="AB2632">
        <f>[1]资金台帐!AB2632</f>
        <v>0</v>
      </c>
      <c r="AC2632">
        <f>[1]资金台帐!AC2632</f>
        <v>0</v>
      </c>
      <c r="AD2632">
        <f>[1]资金台帐!AD2632</f>
        <v>0</v>
      </c>
      <c r="AJ2632">
        <f>[1]资金台帐!AJ2632</f>
        <v>0</v>
      </c>
      <c r="AK2632">
        <f>[1]资金台帐!AK2632</f>
        <v>0</v>
      </c>
      <c r="BA2632" s="22">
        <f t="shared" si="0"/>
      </c>
      <c r="BG2632" s="22">
        <f t="shared" si="1"/>
      </c>
      <c r="BH2632" s="22">
        <f t="shared" si="2"/>
        <v>0</v>
      </c>
    </row>
    <row r="2633">
      <c r="B2633">
        <f>[1]资金台帐!B2633&amp;""</f>
      </c>
      <c r="H2633">
        <f>[1]资金台帐!H2633&amp;""</f>
      </c>
      <c r="J2633">
        <f>[1]资金台帐!J2633&amp;""</f>
      </c>
      <c r="N2633">
        <f>[1]资金台帐!N2633</f>
      </c>
      <c r="O2633">
        <f>[1]资金台帐!O2633&amp;""</f>
      </c>
      <c r="P2633">
        <f>[1]资金台帐!P2633&amp;""</f>
      </c>
      <c r="Q2633">
        <f>[1]资金台帐!Q2633&amp;""</f>
      </c>
      <c r="T2633">
        <f>[1]资金台帐!T2633&amp;""</f>
      </c>
      <c r="U2633">
        <f>[1]资金台帐!U2633&amp;""</f>
      </c>
      <c r="W2633">
        <f>[1]资金台帐!W2633&amp;""</f>
      </c>
      <c r="X2633">
        <f>[1]资金台帐!X2633&amp;""</f>
      </c>
      <c r="AB2633">
        <f>[1]资金台帐!AB2633</f>
        <v>0</v>
      </c>
      <c r="AC2633">
        <f>[1]资金台帐!AC2633</f>
        <v>0</v>
      </c>
      <c r="AD2633">
        <f>[1]资金台帐!AD2633</f>
        <v>0</v>
      </c>
      <c r="AJ2633">
        <f>[1]资金台帐!AJ2633</f>
        <v>0</v>
      </c>
      <c r="AK2633">
        <f>[1]资金台帐!AK2633</f>
        <v>0</v>
      </c>
      <c r="BA2633" s="22">
        <f t="shared" si="0"/>
      </c>
      <c r="BG2633" s="22">
        <f t="shared" si="1"/>
      </c>
      <c r="BH2633" s="22">
        <f t="shared" si="2"/>
        <v>0</v>
      </c>
    </row>
    <row r="2634">
      <c r="B2634">
        <f>[1]资金台帐!B2634&amp;""</f>
      </c>
      <c r="H2634">
        <f>[1]资金台帐!H2634&amp;""</f>
      </c>
      <c r="J2634">
        <f>[1]资金台帐!J2634&amp;""</f>
      </c>
      <c r="N2634">
        <f>[1]资金台帐!N2634</f>
      </c>
      <c r="O2634">
        <f>[1]资金台帐!O2634&amp;""</f>
      </c>
      <c r="P2634">
        <f>[1]资金台帐!P2634&amp;""</f>
      </c>
      <c r="Q2634">
        <f>[1]资金台帐!Q2634&amp;""</f>
      </c>
      <c r="T2634">
        <f>[1]资金台帐!T2634&amp;""</f>
      </c>
      <c r="U2634">
        <f>[1]资金台帐!U2634&amp;""</f>
      </c>
      <c r="W2634">
        <f>[1]资金台帐!W2634&amp;""</f>
      </c>
      <c r="X2634">
        <f>[1]资金台帐!X2634&amp;""</f>
      </c>
      <c r="AB2634">
        <f>[1]资金台帐!AB2634</f>
        <v>0</v>
      </c>
      <c r="AC2634">
        <f>[1]资金台帐!AC2634</f>
        <v>0</v>
      </c>
      <c r="AD2634">
        <f>[1]资金台帐!AD2634</f>
        <v>0</v>
      </c>
      <c r="AJ2634">
        <f>[1]资金台帐!AJ2634</f>
        <v>0</v>
      </c>
      <c r="AK2634">
        <f>[1]资金台帐!AK2634</f>
        <v>0</v>
      </c>
      <c r="BA2634" s="22">
        <f t="shared" si="0"/>
      </c>
      <c r="BG2634" s="22">
        <f t="shared" si="1"/>
      </c>
      <c r="BH2634" s="22">
        <f t="shared" si="2"/>
        <v>0</v>
      </c>
    </row>
    <row r="2635">
      <c r="B2635">
        <f>[1]资金台帐!B2635&amp;""</f>
      </c>
      <c r="H2635">
        <f>[1]资金台帐!H2635&amp;""</f>
      </c>
      <c r="J2635">
        <f>[1]资金台帐!J2635&amp;""</f>
      </c>
      <c r="N2635">
        <f>[1]资金台帐!N2635</f>
      </c>
      <c r="O2635">
        <f>[1]资金台帐!O2635&amp;""</f>
      </c>
      <c r="P2635">
        <f>[1]资金台帐!P2635&amp;""</f>
      </c>
      <c r="Q2635">
        <f>[1]资金台帐!Q2635&amp;""</f>
      </c>
      <c r="T2635">
        <f>[1]资金台帐!T2635&amp;""</f>
      </c>
      <c r="U2635">
        <f>[1]资金台帐!U2635&amp;""</f>
      </c>
      <c r="W2635">
        <f>[1]资金台帐!W2635&amp;""</f>
      </c>
      <c r="X2635">
        <f>[1]资金台帐!X2635&amp;""</f>
      </c>
      <c r="AB2635">
        <f>[1]资金台帐!AB2635</f>
        <v>0</v>
      </c>
      <c r="AC2635">
        <f>[1]资金台帐!AC2635</f>
        <v>0</v>
      </c>
      <c r="AD2635">
        <f>[1]资金台帐!AD2635</f>
        <v>0</v>
      </c>
      <c r="AJ2635">
        <f>[1]资金台帐!AJ2635</f>
        <v>0</v>
      </c>
      <c r="AK2635">
        <f>[1]资金台帐!AK2635</f>
        <v>0</v>
      </c>
      <c r="BA2635" s="22">
        <f t="shared" si="0"/>
      </c>
      <c r="BG2635" s="22">
        <f t="shared" si="1"/>
      </c>
      <c r="BH2635" s="22">
        <f t="shared" si="2"/>
        <v>0</v>
      </c>
    </row>
    <row r="2636">
      <c r="B2636">
        <f>[1]资金台帐!B2636&amp;""</f>
      </c>
      <c r="H2636">
        <f>[1]资金台帐!H2636&amp;""</f>
      </c>
      <c r="J2636">
        <f>[1]资金台帐!J2636&amp;""</f>
      </c>
      <c r="N2636">
        <f>[1]资金台帐!N2636</f>
      </c>
      <c r="O2636">
        <f>[1]资金台帐!O2636&amp;""</f>
      </c>
      <c r="P2636">
        <f>[1]资金台帐!P2636&amp;""</f>
      </c>
      <c r="Q2636">
        <f>[1]资金台帐!Q2636&amp;""</f>
      </c>
      <c r="T2636">
        <f>[1]资金台帐!T2636&amp;""</f>
      </c>
      <c r="U2636">
        <f>[1]资金台帐!U2636&amp;""</f>
      </c>
      <c r="W2636">
        <f>[1]资金台帐!W2636&amp;""</f>
      </c>
      <c r="X2636">
        <f>[1]资金台帐!X2636&amp;""</f>
      </c>
      <c r="AB2636">
        <f>[1]资金台帐!AB2636</f>
        <v>0</v>
      </c>
      <c r="AC2636">
        <f>[1]资金台帐!AC2636</f>
        <v>0</v>
      </c>
      <c r="AD2636">
        <f>[1]资金台帐!AD2636</f>
        <v>0</v>
      </c>
      <c r="AJ2636">
        <f>[1]资金台帐!AJ2636</f>
        <v>0</v>
      </c>
      <c r="AK2636">
        <f>[1]资金台帐!AK2636</f>
        <v>0</v>
      </c>
      <c r="BA2636" s="22">
        <f t="shared" si="0"/>
      </c>
      <c r="BG2636" s="22">
        <f t="shared" si="1"/>
      </c>
      <c r="BH2636" s="22">
        <f t="shared" si="2"/>
        <v>0</v>
      </c>
    </row>
    <row r="2637">
      <c r="B2637">
        <f>[1]资金台帐!B2637&amp;""</f>
      </c>
      <c r="H2637">
        <f>[1]资金台帐!H2637&amp;""</f>
      </c>
      <c r="J2637">
        <f>[1]资金台帐!J2637&amp;""</f>
      </c>
      <c r="N2637">
        <f>[1]资金台帐!N2637</f>
      </c>
      <c r="O2637">
        <f>[1]资金台帐!O2637&amp;""</f>
      </c>
      <c r="P2637">
        <f>[1]资金台帐!P2637&amp;""</f>
      </c>
      <c r="Q2637">
        <f>[1]资金台帐!Q2637&amp;""</f>
      </c>
      <c r="T2637">
        <f>[1]资金台帐!T2637&amp;""</f>
      </c>
      <c r="U2637">
        <f>[1]资金台帐!U2637&amp;""</f>
      </c>
      <c r="W2637">
        <f>[1]资金台帐!W2637&amp;""</f>
      </c>
      <c r="X2637">
        <f>[1]资金台帐!X2637&amp;""</f>
      </c>
      <c r="AB2637">
        <f>[1]资金台帐!AB2637</f>
        <v>0</v>
      </c>
      <c r="AC2637">
        <f>[1]资金台帐!AC2637</f>
        <v>0</v>
      </c>
      <c r="AD2637">
        <f>[1]资金台帐!AD2637</f>
        <v>0</v>
      </c>
      <c r="AJ2637">
        <f>[1]资金台帐!AJ2637</f>
        <v>0</v>
      </c>
      <c r="AK2637">
        <f>[1]资金台帐!AK2637</f>
        <v>0</v>
      </c>
      <c r="BA2637" s="22">
        <f t="shared" si="0"/>
      </c>
      <c r="BG2637" s="22">
        <f t="shared" si="1"/>
      </c>
      <c r="BH2637" s="22">
        <f t="shared" si="2"/>
        <v>0</v>
      </c>
    </row>
    <row r="2638">
      <c r="B2638">
        <f>[1]资金台帐!B2638&amp;""</f>
      </c>
      <c r="H2638">
        <f>[1]资金台帐!H2638&amp;""</f>
      </c>
      <c r="J2638">
        <f>[1]资金台帐!J2638&amp;""</f>
      </c>
      <c r="N2638">
        <f>[1]资金台帐!N2638</f>
      </c>
      <c r="O2638">
        <f>[1]资金台帐!O2638&amp;""</f>
      </c>
      <c r="P2638">
        <f>[1]资金台帐!P2638&amp;""</f>
      </c>
      <c r="Q2638">
        <f>[1]资金台帐!Q2638&amp;""</f>
      </c>
      <c r="T2638">
        <f>[1]资金台帐!T2638&amp;""</f>
      </c>
      <c r="U2638">
        <f>[1]资金台帐!U2638&amp;""</f>
      </c>
      <c r="W2638">
        <f>[1]资金台帐!W2638&amp;""</f>
      </c>
      <c r="X2638">
        <f>[1]资金台帐!X2638&amp;""</f>
      </c>
      <c r="AB2638">
        <f>[1]资金台帐!AB2638</f>
        <v>0</v>
      </c>
      <c r="AC2638">
        <f>[1]资金台帐!AC2638</f>
        <v>0</v>
      </c>
      <c r="AD2638">
        <f>[1]资金台帐!AD2638</f>
        <v>0</v>
      </c>
      <c r="AJ2638">
        <f>[1]资金台帐!AJ2638</f>
        <v>0</v>
      </c>
      <c r="AK2638">
        <f>[1]资金台帐!AK2638</f>
        <v>0</v>
      </c>
      <c r="BA2638" s="22">
        <f t="shared" si="0"/>
      </c>
      <c r="BG2638" s="22">
        <f t="shared" si="1"/>
      </c>
      <c r="BH2638" s="22">
        <f t="shared" si="2"/>
        <v>0</v>
      </c>
    </row>
    <row r="2639">
      <c r="B2639">
        <f>[1]资金台帐!B2639&amp;""</f>
      </c>
      <c r="H2639">
        <f>[1]资金台帐!H2639&amp;""</f>
      </c>
      <c r="J2639">
        <f>[1]资金台帐!J2639&amp;""</f>
      </c>
      <c r="N2639">
        <f>[1]资金台帐!N2639</f>
      </c>
      <c r="O2639">
        <f>[1]资金台帐!O2639&amp;""</f>
      </c>
      <c r="P2639">
        <f>[1]资金台帐!P2639&amp;""</f>
      </c>
      <c r="Q2639">
        <f>[1]资金台帐!Q2639&amp;""</f>
      </c>
      <c r="T2639">
        <f>[1]资金台帐!T2639&amp;""</f>
      </c>
      <c r="U2639">
        <f>[1]资金台帐!U2639&amp;""</f>
      </c>
      <c r="W2639">
        <f>[1]资金台帐!W2639&amp;""</f>
      </c>
      <c r="X2639">
        <f>[1]资金台帐!X2639&amp;""</f>
      </c>
      <c r="AB2639">
        <f>[1]资金台帐!AB2639</f>
        <v>0</v>
      </c>
      <c r="AC2639">
        <f>[1]资金台帐!AC2639</f>
        <v>0</v>
      </c>
      <c r="AD2639">
        <f>[1]资金台帐!AD2639</f>
        <v>0</v>
      </c>
      <c r="AJ2639">
        <f>[1]资金台帐!AJ2639</f>
        <v>0</v>
      </c>
      <c r="AK2639">
        <f>[1]资金台帐!AK2639</f>
        <v>0</v>
      </c>
      <c r="BA2639" s="22">
        <f t="shared" si="0"/>
      </c>
      <c r="BG2639" s="22">
        <f t="shared" si="1"/>
      </c>
      <c r="BH2639" s="22">
        <f t="shared" si="2"/>
        <v>0</v>
      </c>
    </row>
    <row r="2640">
      <c r="B2640">
        <f>[1]资金台帐!B2640&amp;""</f>
      </c>
      <c r="H2640">
        <f>[1]资金台帐!H2640&amp;""</f>
      </c>
      <c r="J2640">
        <f>[1]资金台帐!J2640&amp;""</f>
      </c>
      <c r="N2640">
        <f>[1]资金台帐!N2640</f>
      </c>
      <c r="O2640">
        <f>[1]资金台帐!O2640&amp;""</f>
      </c>
      <c r="P2640">
        <f>[1]资金台帐!P2640&amp;""</f>
      </c>
      <c r="Q2640">
        <f>[1]资金台帐!Q2640&amp;""</f>
      </c>
      <c r="T2640">
        <f>[1]资金台帐!T2640&amp;""</f>
      </c>
      <c r="U2640">
        <f>[1]资金台帐!U2640&amp;""</f>
      </c>
      <c r="W2640">
        <f>[1]资金台帐!W2640&amp;""</f>
      </c>
      <c r="X2640">
        <f>[1]资金台帐!X2640&amp;""</f>
      </c>
      <c r="AB2640">
        <f>[1]资金台帐!AB2640</f>
        <v>0</v>
      </c>
      <c r="AC2640">
        <f>[1]资金台帐!AC2640</f>
        <v>0</v>
      </c>
      <c r="AD2640">
        <f>[1]资金台帐!AD2640</f>
        <v>0</v>
      </c>
      <c r="AJ2640">
        <f>[1]资金台帐!AJ2640</f>
        <v>0</v>
      </c>
      <c r="AK2640">
        <f>[1]资金台帐!AK2640</f>
        <v>0</v>
      </c>
      <c r="BA2640" s="22">
        <f t="shared" si="0"/>
      </c>
      <c r="BG2640" s="22">
        <f t="shared" si="1"/>
      </c>
      <c r="BH2640" s="22">
        <f t="shared" si="2"/>
        <v>0</v>
      </c>
    </row>
    <row r="2641">
      <c r="B2641">
        <f>[1]资金台帐!B2641&amp;""</f>
      </c>
      <c r="H2641">
        <f>[1]资金台帐!H2641&amp;""</f>
      </c>
      <c r="J2641">
        <f>[1]资金台帐!J2641&amp;""</f>
      </c>
      <c r="N2641">
        <f>[1]资金台帐!N2641</f>
      </c>
      <c r="O2641">
        <f>[1]资金台帐!O2641&amp;""</f>
      </c>
      <c r="P2641">
        <f>[1]资金台帐!P2641&amp;""</f>
      </c>
      <c r="Q2641">
        <f>[1]资金台帐!Q2641&amp;""</f>
      </c>
      <c r="T2641">
        <f>[1]资金台帐!T2641&amp;""</f>
      </c>
      <c r="U2641">
        <f>[1]资金台帐!U2641&amp;""</f>
      </c>
      <c r="W2641">
        <f>[1]资金台帐!W2641&amp;""</f>
      </c>
      <c r="X2641">
        <f>[1]资金台帐!X2641&amp;""</f>
      </c>
      <c r="AB2641">
        <f>[1]资金台帐!AB2641</f>
        <v>0</v>
      </c>
      <c r="AC2641">
        <f>[1]资金台帐!AC2641</f>
        <v>0</v>
      </c>
      <c r="AD2641">
        <f>[1]资金台帐!AD2641</f>
        <v>0</v>
      </c>
      <c r="AJ2641">
        <f>[1]资金台帐!AJ2641</f>
        <v>0</v>
      </c>
      <c r="AK2641">
        <f>[1]资金台帐!AK2641</f>
        <v>0</v>
      </c>
      <c r="BA2641" s="22">
        <f t="shared" si="0"/>
      </c>
      <c r="BG2641" s="22">
        <f t="shared" si="1"/>
      </c>
      <c r="BH2641" s="22">
        <f t="shared" si="2"/>
        <v>0</v>
      </c>
    </row>
    <row r="2642">
      <c r="B2642">
        <f>[1]资金台帐!B2642&amp;""</f>
      </c>
      <c r="H2642">
        <f>[1]资金台帐!H2642&amp;""</f>
      </c>
      <c r="J2642">
        <f>[1]资金台帐!J2642&amp;""</f>
      </c>
      <c r="N2642">
        <f>[1]资金台帐!N2642</f>
      </c>
      <c r="O2642">
        <f>[1]资金台帐!O2642&amp;""</f>
      </c>
      <c r="P2642">
        <f>[1]资金台帐!P2642&amp;""</f>
      </c>
      <c r="Q2642">
        <f>[1]资金台帐!Q2642&amp;""</f>
      </c>
      <c r="T2642">
        <f>[1]资金台帐!T2642&amp;""</f>
      </c>
      <c r="U2642">
        <f>[1]资金台帐!U2642&amp;""</f>
      </c>
      <c r="W2642">
        <f>[1]资金台帐!W2642&amp;""</f>
      </c>
      <c r="X2642">
        <f>[1]资金台帐!X2642&amp;""</f>
      </c>
      <c r="AB2642">
        <f>[1]资金台帐!AB2642</f>
        <v>0</v>
      </c>
      <c r="AC2642">
        <f>[1]资金台帐!AC2642</f>
        <v>0</v>
      </c>
      <c r="AD2642">
        <f>[1]资金台帐!AD2642</f>
        <v>0</v>
      </c>
      <c r="AJ2642">
        <f>[1]资金台帐!AJ2642</f>
        <v>0</v>
      </c>
      <c r="AK2642">
        <f>[1]资金台帐!AK2642</f>
        <v>0</v>
      </c>
      <c r="BA2642" s="22">
        <f t="shared" si="0"/>
      </c>
      <c r="BG2642" s="22">
        <f t="shared" si="1"/>
      </c>
      <c r="BH2642" s="22">
        <f t="shared" si="2"/>
        <v>0</v>
      </c>
    </row>
    <row r="2643">
      <c r="B2643">
        <f>[1]资金台帐!B2643&amp;""</f>
      </c>
      <c r="H2643">
        <f>[1]资金台帐!H2643&amp;""</f>
      </c>
      <c r="J2643">
        <f>[1]资金台帐!J2643&amp;""</f>
      </c>
      <c r="N2643">
        <f>[1]资金台帐!N2643</f>
      </c>
      <c r="O2643">
        <f>[1]资金台帐!O2643&amp;""</f>
      </c>
      <c r="P2643">
        <f>[1]资金台帐!P2643&amp;""</f>
      </c>
      <c r="Q2643">
        <f>[1]资金台帐!Q2643&amp;""</f>
      </c>
      <c r="T2643">
        <f>[1]资金台帐!T2643&amp;""</f>
      </c>
      <c r="U2643">
        <f>[1]资金台帐!U2643&amp;""</f>
      </c>
      <c r="W2643">
        <f>[1]资金台帐!W2643&amp;""</f>
      </c>
      <c r="X2643">
        <f>[1]资金台帐!X2643&amp;""</f>
      </c>
      <c r="AB2643">
        <f>[1]资金台帐!AB2643</f>
        <v>0</v>
      </c>
      <c r="AC2643">
        <f>[1]资金台帐!AC2643</f>
        <v>0</v>
      </c>
      <c r="AD2643">
        <f>[1]资金台帐!AD2643</f>
        <v>0</v>
      </c>
      <c r="AJ2643">
        <f>[1]资金台帐!AJ2643</f>
        <v>0</v>
      </c>
      <c r="AK2643">
        <f>[1]资金台帐!AK2643</f>
        <v>0</v>
      </c>
      <c r="BA2643" s="22">
        <f t="shared" si="0"/>
      </c>
      <c r="BG2643" s="22">
        <f t="shared" si="1"/>
      </c>
      <c r="BH2643" s="22">
        <f t="shared" si="2"/>
        <v>0</v>
      </c>
    </row>
    <row r="2644">
      <c r="B2644">
        <f>[1]资金台帐!B2644&amp;""</f>
      </c>
      <c r="H2644">
        <f>[1]资金台帐!H2644&amp;""</f>
      </c>
      <c r="J2644">
        <f>[1]资金台帐!J2644&amp;""</f>
      </c>
      <c r="N2644">
        <f>[1]资金台帐!N2644</f>
      </c>
      <c r="O2644">
        <f>[1]资金台帐!O2644&amp;""</f>
      </c>
      <c r="P2644">
        <f>[1]资金台帐!P2644&amp;""</f>
      </c>
      <c r="Q2644">
        <f>[1]资金台帐!Q2644&amp;""</f>
      </c>
      <c r="T2644">
        <f>[1]资金台帐!T2644&amp;""</f>
      </c>
      <c r="U2644">
        <f>[1]资金台帐!U2644&amp;""</f>
      </c>
      <c r="W2644">
        <f>[1]资金台帐!W2644&amp;""</f>
      </c>
      <c r="X2644">
        <f>[1]资金台帐!X2644&amp;""</f>
      </c>
      <c r="AB2644">
        <f>[1]资金台帐!AB2644</f>
        <v>0</v>
      </c>
      <c r="AC2644">
        <f>[1]资金台帐!AC2644</f>
        <v>0</v>
      </c>
      <c r="AD2644">
        <f>[1]资金台帐!AD2644</f>
        <v>0</v>
      </c>
      <c r="AJ2644">
        <f>[1]资金台帐!AJ2644</f>
        <v>0</v>
      </c>
      <c r="AK2644">
        <f>[1]资金台帐!AK2644</f>
        <v>0</v>
      </c>
      <c r="BA2644" s="22">
        <f t="shared" si="0"/>
      </c>
      <c r="BG2644" s="22">
        <f t="shared" si="1"/>
      </c>
      <c r="BH2644" s="22">
        <f t="shared" si="2"/>
        <v>0</v>
      </c>
    </row>
    <row r="2645">
      <c r="B2645">
        <f>[1]资金台帐!B2645&amp;""</f>
      </c>
      <c r="H2645">
        <f>[1]资金台帐!H2645&amp;""</f>
      </c>
      <c r="J2645">
        <f>[1]资金台帐!J2645&amp;""</f>
      </c>
      <c r="N2645">
        <f>[1]资金台帐!N2645</f>
      </c>
      <c r="O2645">
        <f>[1]资金台帐!O2645&amp;""</f>
      </c>
      <c r="P2645">
        <f>[1]资金台帐!P2645&amp;""</f>
      </c>
      <c r="Q2645">
        <f>[1]资金台帐!Q2645&amp;""</f>
      </c>
      <c r="T2645">
        <f>[1]资金台帐!T2645&amp;""</f>
      </c>
      <c r="U2645">
        <f>[1]资金台帐!U2645&amp;""</f>
      </c>
      <c r="W2645">
        <f>[1]资金台帐!W2645&amp;""</f>
      </c>
      <c r="X2645">
        <f>[1]资金台帐!X2645&amp;""</f>
      </c>
      <c r="AB2645">
        <f>[1]资金台帐!AB2645</f>
        <v>0</v>
      </c>
      <c r="AC2645">
        <f>[1]资金台帐!AC2645</f>
        <v>0</v>
      </c>
      <c r="AD2645">
        <f>[1]资金台帐!AD2645</f>
        <v>0</v>
      </c>
      <c r="AJ2645">
        <f>[1]资金台帐!AJ2645</f>
        <v>0</v>
      </c>
      <c r="AK2645">
        <f>[1]资金台帐!AK2645</f>
        <v>0</v>
      </c>
      <c r="BA2645" s="22">
        <f t="shared" si="0"/>
      </c>
      <c r="BG2645" s="22">
        <f t="shared" si="1"/>
      </c>
      <c r="BH2645" s="22">
        <f t="shared" si="2"/>
        <v>0</v>
      </c>
    </row>
    <row r="2646">
      <c r="B2646">
        <f>[1]资金台帐!B2646&amp;""</f>
      </c>
      <c r="H2646">
        <f>[1]资金台帐!H2646&amp;""</f>
      </c>
      <c r="J2646">
        <f>[1]资金台帐!J2646&amp;""</f>
      </c>
      <c r="N2646">
        <f>[1]资金台帐!N2646</f>
      </c>
      <c r="O2646">
        <f>[1]资金台帐!O2646&amp;""</f>
      </c>
      <c r="P2646">
        <f>[1]资金台帐!P2646&amp;""</f>
      </c>
      <c r="Q2646">
        <f>[1]资金台帐!Q2646&amp;""</f>
      </c>
      <c r="T2646">
        <f>[1]资金台帐!T2646&amp;""</f>
      </c>
      <c r="U2646">
        <f>[1]资金台帐!U2646&amp;""</f>
      </c>
      <c r="W2646">
        <f>[1]资金台帐!W2646&amp;""</f>
      </c>
      <c r="X2646">
        <f>[1]资金台帐!X2646&amp;""</f>
      </c>
      <c r="AB2646">
        <f>[1]资金台帐!AB2646</f>
        <v>0</v>
      </c>
      <c r="AC2646">
        <f>[1]资金台帐!AC2646</f>
        <v>0</v>
      </c>
      <c r="AD2646">
        <f>[1]资金台帐!AD2646</f>
        <v>0</v>
      </c>
      <c r="AJ2646">
        <f>[1]资金台帐!AJ2646</f>
        <v>0</v>
      </c>
      <c r="AK2646">
        <f>[1]资金台帐!AK2646</f>
        <v>0</v>
      </c>
      <c r="BA2646" s="22">
        <f t="shared" si="0"/>
      </c>
      <c r="BG2646" s="22">
        <f t="shared" si="1"/>
      </c>
      <c r="BH2646" s="22">
        <f t="shared" si="2"/>
        <v>0</v>
      </c>
    </row>
    <row r="2647">
      <c r="B2647">
        <f>[1]资金台帐!B2647&amp;""</f>
      </c>
      <c r="H2647">
        <f>[1]资金台帐!H2647&amp;""</f>
      </c>
      <c r="J2647">
        <f>[1]资金台帐!J2647&amp;""</f>
      </c>
      <c r="N2647">
        <f>[1]资金台帐!N2647</f>
      </c>
      <c r="O2647">
        <f>[1]资金台帐!O2647&amp;""</f>
      </c>
      <c r="P2647">
        <f>[1]资金台帐!P2647&amp;""</f>
      </c>
      <c r="Q2647">
        <f>[1]资金台帐!Q2647&amp;""</f>
      </c>
      <c r="T2647">
        <f>[1]资金台帐!T2647&amp;""</f>
      </c>
      <c r="U2647">
        <f>[1]资金台帐!U2647&amp;""</f>
      </c>
      <c r="W2647">
        <f>[1]资金台帐!W2647&amp;""</f>
      </c>
      <c r="X2647">
        <f>[1]资金台帐!X2647&amp;""</f>
      </c>
      <c r="AB2647">
        <f>[1]资金台帐!AB2647</f>
        <v>0</v>
      </c>
      <c r="AC2647">
        <f>[1]资金台帐!AC2647</f>
        <v>0</v>
      </c>
      <c r="AD2647">
        <f>[1]资金台帐!AD2647</f>
        <v>0</v>
      </c>
      <c r="AJ2647">
        <f>[1]资金台帐!AJ2647</f>
        <v>0</v>
      </c>
      <c r="AK2647">
        <f>[1]资金台帐!AK2647</f>
        <v>0</v>
      </c>
      <c r="BA2647" s="22">
        <f t="shared" si="0"/>
      </c>
      <c r="BG2647" s="22">
        <f t="shared" si="1"/>
      </c>
      <c r="BH2647" s="22">
        <f t="shared" si="2"/>
        <v>0</v>
      </c>
    </row>
    <row r="2648">
      <c r="B2648">
        <f>[1]资金台帐!B2648&amp;""</f>
      </c>
      <c r="H2648">
        <f>[1]资金台帐!H2648&amp;""</f>
      </c>
      <c r="J2648">
        <f>[1]资金台帐!J2648&amp;""</f>
      </c>
      <c r="N2648">
        <f>[1]资金台帐!N2648</f>
      </c>
      <c r="O2648">
        <f>[1]资金台帐!O2648&amp;""</f>
      </c>
      <c r="P2648">
        <f>[1]资金台帐!P2648&amp;""</f>
      </c>
      <c r="Q2648">
        <f>[1]资金台帐!Q2648&amp;""</f>
      </c>
      <c r="T2648">
        <f>[1]资金台帐!T2648&amp;""</f>
      </c>
      <c r="U2648">
        <f>[1]资金台帐!U2648&amp;""</f>
      </c>
      <c r="W2648">
        <f>[1]资金台帐!W2648&amp;""</f>
      </c>
      <c r="X2648">
        <f>[1]资金台帐!X2648&amp;""</f>
      </c>
      <c r="AB2648">
        <f>[1]资金台帐!AB2648</f>
        <v>0</v>
      </c>
      <c r="AC2648">
        <f>[1]资金台帐!AC2648</f>
        <v>0</v>
      </c>
      <c r="AD2648">
        <f>[1]资金台帐!AD2648</f>
        <v>0</v>
      </c>
      <c r="AJ2648">
        <f>[1]资金台帐!AJ2648</f>
        <v>0</v>
      </c>
      <c r="AK2648">
        <f>[1]资金台帐!AK2648</f>
        <v>0</v>
      </c>
      <c r="BA2648" s="22">
        <f t="shared" si="0"/>
      </c>
      <c r="BG2648" s="22">
        <f t="shared" si="1"/>
      </c>
      <c r="BH2648" s="22">
        <f t="shared" si="2"/>
        <v>0</v>
      </c>
    </row>
    <row r="2649">
      <c r="B2649">
        <f>[1]资金台帐!B2649&amp;""</f>
      </c>
      <c r="H2649">
        <f>[1]资金台帐!H2649&amp;""</f>
      </c>
      <c r="J2649">
        <f>[1]资金台帐!J2649&amp;""</f>
      </c>
      <c r="N2649">
        <f>[1]资金台帐!N2649</f>
      </c>
      <c r="O2649">
        <f>[1]资金台帐!O2649&amp;""</f>
      </c>
      <c r="P2649">
        <f>[1]资金台帐!P2649&amp;""</f>
      </c>
      <c r="Q2649">
        <f>[1]资金台帐!Q2649&amp;""</f>
      </c>
      <c r="T2649">
        <f>[1]资金台帐!T2649&amp;""</f>
      </c>
      <c r="U2649">
        <f>[1]资金台帐!U2649&amp;""</f>
      </c>
      <c r="W2649">
        <f>[1]资金台帐!W2649&amp;""</f>
      </c>
      <c r="X2649">
        <f>[1]资金台帐!X2649&amp;""</f>
      </c>
      <c r="AB2649">
        <f>[1]资金台帐!AB2649</f>
        <v>0</v>
      </c>
      <c r="AC2649">
        <f>[1]资金台帐!AC2649</f>
        <v>0</v>
      </c>
      <c r="AD2649">
        <f>[1]资金台帐!AD2649</f>
        <v>0</v>
      </c>
      <c r="AJ2649">
        <f>[1]资金台帐!AJ2649</f>
        <v>0</v>
      </c>
      <c r="AK2649">
        <f>[1]资金台帐!AK2649</f>
        <v>0</v>
      </c>
      <c r="BA2649" s="22">
        <f t="shared" si="0"/>
      </c>
      <c r="BG2649" s="22">
        <f t="shared" si="1"/>
      </c>
      <c r="BH2649" s="22">
        <f t="shared" si="2"/>
        <v>0</v>
      </c>
    </row>
    <row r="2650">
      <c r="B2650">
        <f>[1]资金台帐!B2650&amp;""</f>
      </c>
      <c r="H2650">
        <f>[1]资金台帐!H2650&amp;""</f>
      </c>
      <c r="J2650">
        <f>[1]资金台帐!J2650&amp;""</f>
      </c>
      <c r="N2650">
        <f>[1]资金台帐!N2650</f>
      </c>
      <c r="O2650">
        <f>[1]资金台帐!O2650&amp;""</f>
      </c>
      <c r="P2650">
        <f>[1]资金台帐!P2650&amp;""</f>
      </c>
      <c r="Q2650">
        <f>[1]资金台帐!Q2650&amp;""</f>
      </c>
      <c r="T2650">
        <f>[1]资金台帐!T2650&amp;""</f>
      </c>
      <c r="U2650">
        <f>[1]资金台帐!U2650&amp;""</f>
      </c>
      <c r="W2650">
        <f>[1]资金台帐!W2650&amp;""</f>
      </c>
      <c r="X2650">
        <f>[1]资金台帐!X2650&amp;""</f>
      </c>
      <c r="AB2650">
        <f>[1]资金台帐!AB2650</f>
        <v>0</v>
      </c>
      <c r="AC2650">
        <f>[1]资金台帐!AC2650</f>
        <v>0</v>
      </c>
      <c r="AD2650">
        <f>[1]资金台帐!AD2650</f>
        <v>0</v>
      </c>
      <c r="AJ2650">
        <f>[1]资金台帐!AJ2650</f>
        <v>0</v>
      </c>
      <c r="AK2650">
        <f>[1]资金台帐!AK2650</f>
        <v>0</v>
      </c>
      <c r="BA2650" s="22">
        <f t="shared" si="0"/>
      </c>
      <c r="BG2650" s="22">
        <f t="shared" si="1"/>
      </c>
      <c r="BH2650" s="22">
        <f t="shared" si="2"/>
        <v>0</v>
      </c>
    </row>
    <row r="2651">
      <c r="B2651">
        <f>[1]资金台帐!B2651&amp;""</f>
      </c>
      <c r="H2651">
        <f>[1]资金台帐!H2651&amp;""</f>
      </c>
      <c r="J2651">
        <f>[1]资金台帐!J2651&amp;""</f>
      </c>
      <c r="N2651">
        <f>[1]资金台帐!N2651</f>
      </c>
      <c r="O2651">
        <f>[1]资金台帐!O2651&amp;""</f>
      </c>
      <c r="P2651">
        <f>[1]资金台帐!P2651&amp;""</f>
      </c>
      <c r="Q2651">
        <f>[1]资金台帐!Q2651&amp;""</f>
      </c>
      <c r="T2651">
        <f>[1]资金台帐!T2651&amp;""</f>
      </c>
      <c r="U2651">
        <f>[1]资金台帐!U2651&amp;""</f>
      </c>
      <c r="W2651">
        <f>[1]资金台帐!W2651&amp;""</f>
      </c>
      <c r="X2651">
        <f>[1]资金台帐!X2651&amp;""</f>
      </c>
      <c r="AB2651">
        <f>[1]资金台帐!AB2651</f>
        <v>0</v>
      </c>
      <c r="AC2651">
        <f>[1]资金台帐!AC2651</f>
        <v>0</v>
      </c>
      <c r="AD2651">
        <f>[1]资金台帐!AD2651</f>
        <v>0</v>
      </c>
      <c r="AJ2651">
        <f>[1]资金台帐!AJ2651</f>
        <v>0</v>
      </c>
      <c r="AK2651">
        <f>[1]资金台帐!AK2651</f>
        <v>0</v>
      </c>
      <c r="BA2651" s="22">
        <f t="shared" si="0"/>
      </c>
      <c r="BG2651" s="22">
        <f t="shared" si="1"/>
      </c>
      <c r="BH2651" s="22">
        <f t="shared" si="2"/>
        <v>0</v>
      </c>
    </row>
    <row r="2652">
      <c r="B2652">
        <f>[1]资金台帐!B2652&amp;""</f>
      </c>
      <c r="H2652">
        <f>[1]资金台帐!H2652&amp;""</f>
      </c>
      <c r="J2652">
        <f>[1]资金台帐!J2652&amp;""</f>
      </c>
      <c r="N2652">
        <f>[1]资金台帐!N2652</f>
      </c>
      <c r="O2652">
        <f>[1]资金台帐!O2652&amp;""</f>
      </c>
      <c r="P2652">
        <f>[1]资金台帐!P2652&amp;""</f>
      </c>
      <c r="Q2652">
        <f>[1]资金台帐!Q2652&amp;""</f>
      </c>
      <c r="T2652">
        <f>[1]资金台帐!T2652&amp;""</f>
      </c>
      <c r="U2652">
        <f>[1]资金台帐!U2652&amp;""</f>
      </c>
      <c r="W2652">
        <f>[1]资金台帐!W2652&amp;""</f>
      </c>
      <c r="X2652">
        <f>[1]资金台帐!X2652&amp;""</f>
      </c>
      <c r="AB2652">
        <f>[1]资金台帐!AB2652</f>
        <v>0</v>
      </c>
      <c r="AC2652">
        <f>[1]资金台帐!AC2652</f>
        <v>0</v>
      </c>
      <c r="AD2652">
        <f>[1]资金台帐!AD2652</f>
        <v>0</v>
      </c>
      <c r="AJ2652">
        <f>[1]资金台帐!AJ2652</f>
        <v>0</v>
      </c>
      <c r="AK2652">
        <f>[1]资金台帐!AK2652</f>
        <v>0</v>
      </c>
      <c r="BA2652" s="22">
        <f t="shared" si="0"/>
      </c>
      <c r="BG2652" s="22">
        <f t="shared" si="1"/>
      </c>
      <c r="BH2652" s="22">
        <f t="shared" si="2"/>
        <v>0</v>
      </c>
    </row>
    <row r="2653">
      <c r="B2653">
        <f>[1]资金台帐!B2653&amp;""</f>
      </c>
      <c r="H2653">
        <f>[1]资金台帐!H2653&amp;""</f>
      </c>
      <c r="J2653">
        <f>[1]资金台帐!J2653&amp;""</f>
      </c>
      <c r="N2653">
        <f>[1]资金台帐!N2653</f>
      </c>
      <c r="O2653">
        <f>[1]资金台帐!O2653&amp;""</f>
      </c>
      <c r="P2653">
        <f>[1]资金台帐!P2653&amp;""</f>
      </c>
      <c r="Q2653">
        <f>[1]资金台帐!Q2653&amp;""</f>
      </c>
      <c r="T2653">
        <f>[1]资金台帐!T2653&amp;""</f>
      </c>
      <c r="U2653">
        <f>[1]资金台帐!U2653&amp;""</f>
      </c>
      <c r="W2653">
        <f>[1]资金台帐!W2653&amp;""</f>
      </c>
      <c r="X2653">
        <f>[1]资金台帐!X2653&amp;""</f>
      </c>
      <c r="AB2653">
        <f>[1]资金台帐!AB2653</f>
        <v>0</v>
      </c>
      <c r="AC2653">
        <f>[1]资金台帐!AC2653</f>
        <v>0</v>
      </c>
      <c r="AD2653">
        <f>[1]资金台帐!AD2653</f>
        <v>0</v>
      </c>
      <c r="AJ2653">
        <f>[1]资金台帐!AJ2653</f>
        <v>0</v>
      </c>
      <c r="AK2653">
        <f>[1]资金台帐!AK2653</f>
        <v>0</v>
      </c>
      <c r="BA2653" s="22">
        <f t="shared" si="0"/>
      </c>
      <c r="BG2653" s="22">
        <f t="shared" si="1"/>
      </c>
      <c r="BH2653" s="22">
        <f t="shared" si="2"/>
        <v>0</v>
      </c>
    </row>
    <row r="2654">
      <c r="B2654">
        <f>[1]资金台帐!B2654&amp;""</f>
      </c>
      <c r="H2654">
        <f>[1]资金台帐!H2654&amp;""</f>
      </c>
      <c r="J2654">
        <f>[1]资金台帐!J2654&amp;""</f>
      </c>
      <c r="N2654">
        <f>[1]资金台帐!N2654</f>
      </c>
      <c r="O2654">
        <f>[1]资金台帐!O2654&amp;""</f>
      </c>
      <c r="P2654">
        <f>[1]资金台帐!P2654&amp;""</f>
      </c>
      <c r="Q2654">
        <f>[1]资金台帐!Q2654&amp;""</f>
      </c>
      <c r="T2654">
        <f>[1]资金台帐!T2654&amp;""</f>
      </c>
      <c r="U2654">
        <f>[1]资金台帐!U2654&amp;""</f>
      </c>
      <c r="W2654">
        <f>[1]资金台帐!W2654&amp;""</f>
      </c>
      <c r="X2654">
        <f>[1]资金台帐!X2654&amp;""</f>
      </c>
      <c r="AB2654">
        <f>[1]资金台帐!AB2654</f>
        <v>0</v>
      </c>
      <c r="AC2654">
        <f>[1]资金台帐!AC2654</f>
        <v>0</v>
      </c>
      <c r="AD2654">
        <f>[1]资金台帐!AD2654</f>
        <v>0</v>
      </c>
      <c r="AJ2654">
        <f>[1]资金台帐!AJ2654</f>
        <v>0</v>
      </c>
      <c r="AK2654">
        <f>[1]资金台帐!AK2654</f>
        <v>0</v>
      </c>
      <c r="BA2654" s="22">
        <f t="shared" si="0"/>
      </c>
      <c r="BG2654" s="22">
        <f t="shared" si="1"/>
      </c>
      <c r="BH2654" s="22">
        <f t="shared" si="2"/>
        <v>0</v>
      </c>
    </row>
    <row r="2655">
      <c r="B2655">
        <f>[1]资金台帐!B2655&amp;""</f>
      </c>
      <c r="H2655">
        <f>[1]资金台帐!H2655&amp;""</f>
      </c>
      <c r="J2655">
        <f>[1]资金台帐!J2655&amp;""</f>
      </c>
      <c r="N2655">
        <f>[1]资金台帐!N2655</f>
      </c>
      <c r="O2655">
        <f>[1]资金台帐!O2655&amp;""</f>
      </c>
      <c r="P2655">
        <f>[1]资金台帐!P2655&amp;""</f>
      </c>
      <c r="Q2655">
        <f>[1]资金台帐!Q2655&amp;""</f>
      </c>
      <c r="T2655">
        <f>[1]资金台帐!T2655&amp;""</f>
      </c>
      <c r="U2655">
        <f>[1]资金台帐!U2655&amp;""</f>
      </c>
      <c r="W2655">
        <f>[1]资金台帐!W2655&amp;""</f>
      </c>
      <c r="X2655">
        <f>[1]资金台帐!X2655&amp;""</f>
      </c>
      <c r="AB2655">
        <f>[1]资金台帐!AB2655</f>
        <v>0</v>
      </c>
      <c r="AC2655">
        <f>[1]资金台帐!AC2655</f>
        <v>0</v>
      </c>
      <c r="AD2655">
        <f>[1]资金台帐!AD2655</f>
        <v>0</v>
      </c>
      <c r="AJ2655">
        <f>[1]资金台帐!AJ2655</f>
        <v>0</v>
      </c>
      <c r="AK2655">
        <f>[1]资金台帐!AK2655</f>
        <v>0</v>
      </c>
      <c r="BA2655" s="22">
        <f t="shared" si="0"/>
      </c>
      <c r="BG2655" s="22">
        <f t="shared" si="1"/>
      </c>
      <c r="BH2655" s="22">
        <f t="shared" si="2"/>
        <v>0</v>
      </c>
    </row>
    <row r="2656">
      <c r="B2656">
        <f>[1]资金台帐!B2656&amp;""</f>
      </c>
      <c r="H2656">
        <f>[1]资金台帐!H2656&amp;""</f>
      </c>
      <c r="J2656">
        <f>[1]资金台帐!J2656&amp;""</f>
      </c>
      <c r="N2656">
        <f>[1]资金台帐!N2656</f>
      </c>
      <c r="O2656">
        <f>[1]资金台帐!O2656&amp;""</f>
      </c>
      <c r="P2656">
        <f>[1]资金台帐!P2656&amp;""</f>
      </c>
      <c r="Q2656">
        <f>[1]资金台帐!Q2656&amp;""</f>
      </c>
      <c r="T2656">
        <f>[1]资金台帐!T2656&amp;""</f>
      </c>
      <c r="U2656">
        <f>[1]资金台帐!U2656&amp;""</f>
      </c>
      <c r="W2656">
        <f>[1]资金台帐!W2656&amp;""</f>
      </c>
      <c r="X2656">
        <f>[1]资金台帐!X2656&amp;""</f>
      </c>
      <c r="AB2656">
        <f>[1]资金台帐!AB2656</f>
        <v>0</v>
      </c>
      <c r="AC2656">
        <f>[1]资金台帐!AC2656</f>
        <v>0</v>
      </c>
      <c r="AD2656">
        <f>[1]资金台帐!AD2656</f>
        <v>0</v>
      </c>
      <c r="AJ2656">
        <f>[1]资金台帐!AJ2656</f>
        <v>0</v>
      </c>
      <c r="AK2656">
        <f>[1]资金台帐!AK2656</f>
        <v>0</v>
      </c>
      <c r="BA2656" s="22">
        <f t="shared" si="0"/>
      </c>
      <c r="BG2656" s="22">
        <f t="shared" si="1"/>
      </c>
      <c r="BH2656" s="22">
        <f t="shared" si="2"/>
        <v>0</v>
      </c>
    </row>
    <row r="2657">
      <c r="B2657">
        <f>[1]资金台帐!B2657&amp;""</f>
      </c>
      <c r="H2657">
        <f>[1]资金台帐!H2657&amp;""</f>
      </c>
      <c r="J2657">
        <f>[1]资金台帐!J2657&amp;""</f>
      </c>
      <c r="N2657">
        <f>[1]资金台帐!N2657</f>
      </c>
      <c r="O2657">
        <f>[1]资金台帐!O2657&amp;""</f>
      </c>
      <c r="P2657">
        <f>[1]资金台帐!P2657&amp;""</f>
      </c>
      <c r="Q2657">
        <f>[1]资金台帐!Q2657&amp;""</f>
      </c>
      <c r="T2657">
        <f>[1]资金台帐!T2657&amp;""</f>
      </c>
      <c r="U2657">
        <f>[1]资金台帐!U2657&amp;""</f>
      </c>
      <c r="W2657">
        <f>[1]资金台帐!W2657&amp;""</f>
      </c>
      <c r="X2657">
        <f>[1]资金台帐!X2657&amp;""</f>
      </c>
      <c r="AB2657">
        <f>[1]资金台帐!AB2657</f>
        <v>0</v>
      </c>
      <c r="AC2657">
        <f>[1]资金台帐!AC2657</f>
        <v>0</v>
      </c>
      <c r="AD2657">
        <f>[1]资金台帐!AD2657</f>
        <v>0</v>
      </c>
      <c r="AJ2657">
        <f>[1]资金台帐!AJ2657</f>
        <v>0</v>
      </c>
      <c r="AK2657">
        <f>[1]资金台帐!AK2657</f>
        <v>0</v>
      </c>
      <c r="BA2657" s="22">
        <f t="shared" si="0"/>
      </c>
      <c r="BG2657" s="22">
        <f t="shared" si="1"/>
      </c>
      <c r="BH2657" s="22">
        <f t="shared" si="2"/>
        <v>0</v>
      </c>
    </row>
    <row r="2658">
      <c r="B2658">
        <f>[1]资金台帐!B2658&amp;""</f>
      </c>
      <c r="H2658">
        <f>[1]资金台帐!H2658&amp;""</f>
      </c>
      <c r="J2658">
        <f>[1]资金台帐!J2658&amp;""</f>
      </c>
      <c r="N2658">
        <f>[1]资金台帐!N2658</f>
      </c>
      <c r="O2658">
        <f>[1]资金台帐!O2658&amp;""</f>
      </c>
      <c r="P2658">
        <f>[1]资金台帐!P2658&amp;""</f>
      </c>
      <c r="Q2658">
        <f>[1]资金台帐!Q2658&amp;""</f>
      </c>
      <c r="T2658">
        <f>[1]资金台帐!T2658&amp;""</f>
      </c>
      <c r="U2658">
        <f>[1]资金台帐!U2658&amp;""</f>
      </c>
      <c r="W2658">
        <f>[1]资金台帐!W2658&amp;""</f>
      </c>
      <c r="X2658">
        <f>[1]资金台帐!X2658&amp;""</f>
      </c>
      <c r="AB2658">
        <f>[1]资金台帐!AB2658</f>
        <v>0</v>
      </c>
      <c r="AC2658">
        <f>[1]资金台帐!AC2658</f>
        <v>0</v>
      </c>
      <c r="AD2658">
        <f>[1]资金台帐!AD2658</f>
        <v>0</v>
      </c>
      <c r="AJ2658">
        <f>[1]资金台帐!AJ2658</f>
        <v>0</v>
      </c>
      <c r="AK2658">
        <f>[1]资金台帐!AK2658</f>
        <v>0</v>
      </c>
      <c r="BA2658" s="22">
        <f t="shared" si="0"/>
      </c>
      <c r="BG2658" s="22">
        <f t="shared" si="1"/>
      </c>
      <c r="BH2658" s="22">
        <f t="shared" si="2"/>
        <v>0</v>
      </c>
    </row>
    <row r="2659">
      <c r="B2659">
        <f>[1]资金台帐!B2659&amp;""</f>
      </c>
      <c r="H2659">
        <f>[1]资金台帐!H2659&amp;""</f>
      </c>
      <c r="J2659">
        <f>[1]资金台帐!J2659&amp;""</f>
      </c>
      <c r="N2659">
        <f>[1]资金台帐!N2659</f>
      </c>
      <c r="O2659">
        <f>[1]资金台帐!O2659&amp;""</f>
      </c>
      <c r="P2659">
        <f>[1]资金台帐!P2659&amp;""</f>
      </c>
      <c r="Q2659">
        <f>[1]资金台帐!Q2659&amp;""</f>
      </c>
      <c r="T2659">
        <f>[1]资金台帐!T2659&amp;""</f>
      </c>
      <c r="U2659">
        <f>[1]资金台帐!U2659&amp;""</f>
      </c>
      <c r="W2659">
        <f>[1]资金台帐!W2659&amp;""</f>
      </c>
      <c r="X2659">
        <f>[1]资金台帐!X2659&amp;""</f>
      </c>
      <c r="AB2659">
        <f>[1]资金台帐!AB2659</f>
        <v>0</v>
      </c>
      <c r="AC2659">
        <f>[1]资金台帐!AC2659</f>
        <v>0</v>
      </c>
      <c r="AD2659">
        <f>[1]资金台帐!AD2659</f>
        <v>0</v>
      </c>
      <c r="AJ2659">
        <f>[1]资金台帐!AJ2659</f>
        <v>0</v>
      </c>
      <c r="AK2659">
        <f>[1]资金台帐!AK2659</f>
        <v>0</v>
      </c>
      <c r="BA2659" s="22">
        <f t="shared" si="0"/>
      </c>
      <c r="BG2659" s="22">
        <f t="shared" si="1"/>
      </c>
      <c r="BH2659" s="22">
        <f t="shared" si="2"/>
        <v>0</v>
      </c>
    </row>
    <row r="2660">
      <c r="B2660">
        <f>[1]资金台帐!B2660&amp;""</f>
      </c>
      <c r="H2660">
        <f>[1]资金台帐!H2660&amp;""</f>
      </c>
      <c r="J2660">
        <f>[1]资金台帐!J2660&amp;""</f>
      </c>
      <c r="N2660">
        <f>[1]资金台帐!N2660</f>
      </c>
      <c r="O2660">
        <f>[1]资金台帐!O2660&amp;""</f>
      </c>
      <c r="P2660">
        <f>[1]资金台帐!P2660&amp;""</f>
      </c>
      <c r="Q2660">
        <f>[1]资金台帐!Q2660&amp;""</f>
      </c>
      <c r="T2660">
        <f>[1]资金台帐!T2660&amp;""</f>
      </c>
      <c r="U2660">
        <f>[1]资金台帐!U2660&amp;""</f>
      </c>
      <c r="W2660">
        <f>[1]资金台帐!W2660&amp;""</f>
      </c>
      <c r="X2660">
        <f>[1]资金台帐!X2660&amp;""</f>
      </c>
      <c r="AB2660">
        <f>[1]资金台帐!AB2660</f>
        <v>0</v>
      </c>
      <c r="AC2660">
        <f>[1]资金台帐!AC2660</f>
        <v>0</v>
      </c>
      <c r="AD2660">
        <f>[1]资金台帐!AD2660</f>
        <v>0</v>
      </c>
      <c r="AJ2660">
        <f>[1]资金台帐!AJ2660</f>
        <v>0</v>
      </c>
      <c r="AK2660">
        <f>[1]资金台帐!AK2660</f>
        <v>0</v>
      </c>
      <c r="BA2660" s="22">
        <f t="shared" si="0"/>
      </c>
      <c r="BG2660" s="22">
        <f t="shared" si="1"/>
      </c>
      <c r="BH2660" s="22">
        <f t="shared" si="2"/>
        <v>0</v>
      </c>
    </row>
    <row r="2661">
      <c r="B2661">
        <f>[1]资金台帐!B2661&amp;""</f>
      </c>
      <c r="H2661">
        <f>[1]资金台帐!H2661&amp;""</f>
      </c>
      <c r="J2661">
        <f>[1]资金台帐!J2661&amp;""</f>
      </c>
      <c r="N2661">
        <f>[1]资金台帐!N2661</f>
      </c>
      <c r="O2661">
        <f>[1]资金台帐!O2661&amp;""</f>
      </c>
      <c r="P2661">
        <f>[1]资金台帐!P2661&amp;""</f>
      </c>
      <c r="Q2661">
        <f>[1]资金台帐!Q2661&amp;""</f>
      </c>
      <c r="T2661">
        <f>[1]资金台帐!T2661&amp;""</f>
      </c>
      <c r="U2661">
        <f>[1]资金台帐!U2661&amp;""</f>
      </c>
      <c r="W2661">
        <f>[1]资金台帐!W2661&amp;""</f>
      </c>
      <c r="X2661">
        <f>[1]资金台帐!X2661&amp;""</f>
      </c>
      <c r="AB2661">
        <f>[1]资金台帐!AB2661</f>
        <v>0</v>
      </c>
      <c r="AC2661">
        <f>[1]资金台帐!AC2661</f>
        <v>0</v>
      </c>
      <c r="AD2661">
        <f>[1]资金台帐!AD2661</f>
        <v>0</v>
      </c>
      <c r="AJ2661">
        <f>[1]资金台帐!AJ2661</f>
        <v>0</v>
      </c>
      <c r="AK2661">
        <f>[1]资金台帐!AK2661</f>
        <v>0</v>
      </c>
      <c r="BA2661" s="22">
        <f t="shared" si="0"/>
      </c>
      <c r="BG2661" s="22">
        <f t="shared" si="1"/>
      </c>
      <c r="BH2661" s="22">
        <f t="shared" si="2"/>
        <v>0</v>
      </c>
    </row>
    <row r="2662">
      <c r="B2662">
        <f>[1]资金台帐!B2662&amp;""</f>
      </c>
      <c r="H2662">
        <f>[1]资金台帐!H2662&amp;""</f>
      </c>
      <c r="J2662">
        <f>[1]资金台帐!J2662&amp;""</f>
      </c>
      <c r="N2662">
        <f>[1]资金台帐!N2662</f>
      </c>
      <c r="O2662">
        <f>[1]资金台帐!O2662&amp;""</f>
      </c>
      <c r="P2662">
        <f>[1]资金台帐!P2662&amp;""</f>
      </c>
      <c r="Q2662">
        <f>[1]资金台帐!Q2662&amp;""</f>
      </c>
      <c r="T2662">
        <f>[1]资金台帐!T2662&amp;""</f>
      </c>
      <c r="U2662">
        <f>[1]资金台帐!U2662&amp;""</f>
      </c>
      <c r="W2662">
        <f>[1]资金台帐!W2662&amp;""</f>
      </c>
      <c r="X2662">
        <f>[1]资金台帐!X2662&amp;""</f>
      </c>
      <c r="AB2662">
        <f>[1]资金台帐!AB2662</f>
        <v>0</v>
      </c>
      <c r="AC2662">
        <f>[1]资金台帐!AC2662</f>
        <v>0</v>
      </c>
      <c r="AD2662">
        <f>[1]资金台帐!AD2662</f>
        <v>0</v>
      </c>
      <c r="AJ2662">
        <f>[1]资金台帐!AJ2662</f>
        <v>0</v>
      </c>
      <c r="AK2662">
        <f>[1]资金台帐!AK2662</f>
        <v>0</v>
      </c>
      <c r="BA2662" s="22">
        <f t="shared" si="0"/>
      </c>
      <c r="BG2662" s="22">
        <f t="shared" si="1"/>
      </c>
      <c r="BH2662" s="22">
        <f t="shared" si="2"/>
        <v>0</v>
      </c>
    </row>
    <row r="2663">
      <c r="B2663">
        <f>[1]资金台帐!B2663&amp;""</f>
      </c>
      <c r="H2663">
        <f>[1]资金台帐!H2663&amp;""</f>
      </c>
      <c r="J2663">
        <f>[1]资金台帐!J2663&amp;""</f>
      </c>
      <c r="N2663">
        <f>[1]资金台帐!N2663</f>
      </c>
      <c r="O2663">
        <f>[1]资金台帐!O2663&amp;""</f>
      </c>
      <c r="P2663">
        <f>[1]资金台帐!P2663&amp;""</f>
      </c>
      <c r="Q2663">
        <f>[1]资金台帐!Q2663&amp;""</f>
      </c>
      <c r="T2663">
        <f>[1]资金台帐!T2663&amp;""</f>
      </c>
      <c r="U2663">
        <f>[1]资金台帐!U2663&amp;""</f>
      </c>
      <c r="W2663">
        <f>[1]资金台帐!W2663&amp;""</f>
      </c>
      <c r="X2663">
        <f>[1]资金台帐!X2663&amp;""</f>
      </c>
      <c r="AB2663">
        <f>[1]资金台帐!AB2663</f>
        <v>0</v>
      </c>
      <c r="AC2663">
        <f>[1]资金台帐!AC2663</f>
        <v>0</v>
      </c>
      <c r="AD2663">
        <f>[1]资金台帐!AD2663</f>
        <v>0</v>
      </c>
      <c r="AJ2663">
        <f>[1]资金台帐!AJ2663</f>
        <v>0</v>
      </c>
      <c r="AK2663">
        <f>[1]资金台帐!AK2663</f>
        <v>0</v>
      </c>
      <c r="BA2663" s="22">
        <f t="shared" si="0"/>
      </c>
      <c r="BG2663" s="22">
        <f t="shared" si="1"/>
      </c>
      <c r="BH2663" s="22">
        <f t="shared" si="2"/>
        <v>0</v>
      </c>
    </row>
    <row r="2664">
      <c r="B2664">
        <f>[1]资金台帐!B2664&amp;""</f>
      </c>
      <c r="H2664">
        <f>[1]资金台帐!H2664&amp;""</f>
      </c>
      <c r="J2664">
        <f>[1]资金台帐!J2664&amp;""</f>
      </c>
      <c r="N2664">
        <f>[1]资金台帐!N2664</f>
      </c>
      <c r="O2664">
        <f>[1]资金台帐!O2664&amp;""</f>
      </c>
      <c r="P2664">
        <f>[1]资金台帐!P2664&amp;""</f>
      </c>
      <c r="Q2664">
        <f>[1]资金台帐!Q2664&amp;""</f>
      </c>
      <c r="T2664">
        <f>[1]资金台帐!T2664&amp;""</f>
      </c>
      <c r="U2664">
        <f>[1]资金台帐!U2664&amp;""</f>
      </c>
      <c r="W2664">
        <f>[1]资金台帐!W2664&amp;""</f>
      </c>
      <c r="X2664">
        <f>[1]资金台帐!X2664&amp;""</f>
      </c>
      <c r="AB2664">
        <f>[1]资金台帐!AB2664</f>
        <v>0</v>
      </c>
      <c r="AC2664">
        <f>[1]资金台帐!AC2664</f>
        <v>0</v>
      </c>
      <c r="AD2664">
        <f>[1]资金台帐!AD2664</f>
        <v>0</v>
      </c>
      <c r="AJ2664">
        <f>[1]资金台帐!AJ2664</f>
        <v>0</v>
      </c>
      <c r="AK2664">
        <f>[1]资金台帐!AK2664</f>
        <v>0</v>
      </c>
      <c r="BA2664" s="22">
        <f t="shared" si="0"/>
      </c>
      <c r="BG2664" s="22">
        <f t="shared" si="1"/>
      </c>
      <c r="BH2664" s="22">
        <f t="shared" si="2"/>
        <v>0</v>
      </c>
    </row>
    <row r="2665">
      <c r="B2665">
        <f>[1]资金台帐!B2665&amp;""</f>
      </c>
      <c r="H2665">
        <f>[1]资金台帐!H2665&amp;""</f>
      </c>
      <c r="J2665">
        <f>[1]资金台帐!J2665&amp;""</f>
      </c>
      <c r="N2665">
        <f>[1]资金台帐!N2665</f>
      </c>
      <c r="O2665">
        <f>[1]资金台帐!O2665&amp;""</f>
      </c>
      <c r="P2665">
        <f>[1]资金台帐!P2665&amp;""</f>
      </c>
      <c r="Q2665">
        <f>[1]资金台帐!Q2665&amp;""</f>
      </c>
      <c r="T2665">
        <f>[1]资金台帐!T2665&amp;""</f>
      </c>
      <c r="U2665">
        <f>[1]资金台帐!U2665&amp;""</f>
      </c>
      <c r="W2665">
        <f>[1]资金台帐!W2665&amp;""</f>
      </c>
      <c r="X2665">
        <f>[1]资金台帐!X2665&amp;""</f>
      </c>
      <c r="AB2665">
        <f>[1]资金台帐!AB2665</f>
        <v>0</v>
      </c>
      <c r="AC2665">
        <f>[1]资金台帐!AC2665</f>
        <v>0</v>
      </c>
      <c r="AD2665">
        <f>[1]资金台帐!AD2665</f>
        <v>0</v>
      </c>
      <c r="AJ2665">
        <f>[1]资金台帐!AJ2665</f>
        <v>0</v>
      </c>
      <c r="AK2665">
        <f>[1]资金台帐!AK2665</f>
        <v>0</v>
      </c>
      <c r="BA2665" s="22">
        <f t="shared" si="0"/>
      </c>
      <c r="BG2665" s="22">
        <f t="shared" si="1"/>
      </c>
      <c r="BH2665" s="22">
        <f t="shared" si="2"/>
        <v>0</v>
      </c>
    </row>
    <row r="2666">
      <c r="B2666">
        <f>[1]资金台帐!B2666&amp;""</f>
      </c>
      <c r="H2666">
        <f>[1]资金台帐!H2666&amp;""</f>
      </c>
      <c r="J2666">
        <f>[1]资金台帐!J2666&amp;""</f>
      </c>
      <c r="N2666">
        <f>[1]资金台帐!N2666</f>
      </c>
      <c r="O2666">
        <f>[1]资金台帐!O2666&amp;""</f>
      </c>
      <c r="P2666">
        <f>[1]资金台帐!P2666&amp;""</f>
      </c>
      <c r="Q2666">
        <f>[1]资金台帐!Q2666&amp;""</f>
      </c>
      <c r="T2666">
        <f>[1]资金台帐!T2666&amp;""</f>
      </c>
      <c r="U2666">
        <f>[1]资金台帐!U2666&amp;""</f>
      </c>
      <c r="W2666">
        <f>[1]资金台帐!W2666&amp;""</f>
      </c>
      <c r="X2666">
        <f>[1]资金台帐!X2666&amp;""</f>
      </c>
      <c r="AB2666">
        <f>[1]资金台帐!AB2666</f>
        <v>0</v>
      </c>
      <c r="AC2666">
        <f>[1]资金台帐!AC2666</f>
        <v>0</v>
      </c>
      <c r="AD2666">
        <f>[1]资金台帐!AD2666</f>
        <v>0</v>
      </c>
      <c r="AJ2666">
        <f>[1]资金台帐!AJ2666</f>
        <v>0</v>
      </c>
      <c r="AK2666">
        <f>[1]资金台帐!AK2666</f>
        <v>0</v>
      </c>
      <c r="BA2666" s="22">
        <f t="shared" si="0"/>
      </c>
      <c r="BG2666" s="22">
        <f t="shared" si="1"/>
      </c>
      <c r="BH2666" s="22">
        <f t="shared" si="2"/>
        <v>0</v>
      </c>
    </row>
    <row r="2667">
      <c r="B2667">
        <f>[1]资金台帐!B2667&amp;""</f>
      </c>
      <c r="H2667">
        <f>[1]资金台帐!H2667&amp;""</f>
      </c>
      <c r="J2667">
        <f>[1]资金台帐!J2667&amp;""</f>
      </c>
      <c r="N2667">
        <f>[1]资金台帐!N2667</f>
      </c>
      <c r="O2667">
        <f>[1]资金台帐!O2667&amp;""</f>
      </c>
      <c r="P2667">
        <f>[1]资金台帐!P2667&amp;""</f>
      </c>
      <c r="Q2667">
        <f>[1]资金台帐!Q2667&amp;""</f>
      </c>
      <c r="T2667">
        <f>[1]资金台帐!T2667&amp;""</f>
      </c>
      <c r="U2667">
        <f>[1]资金台帐!U2667&amp;""</f>
      </c>
      <c r="W2667">
        <f>[1]资金台帐!W2667&amp;""</f>
      </c>
      <c r="X2667">
        <f>[1]资金台帐!X2667&amp;""</f>
      </c>
      <c r="AB2667">
        <f>[1]资金台帐!AB2667</f>
        <v>0</v>
      </c>
      <c r="AC2667">
        <f>[1]资金台帐!AC2667</f>
        <v>0</v>
      </c>
      <c r="AD2667">
        <f>[1]资金台帐!AD2667</f>
        <v>0</v>
      </c>
      <c r="AJ2667">
        <f>[1]资金台帐!AJ2667</f>
        <v>0</v>
      </c>
      <c r="AK2667">
        <f>[1]资金台帐!AK2667</f>
        <v>0</v>
      </c>
      <c r="BA2667" s="22">
        <f t="shared" si="0"/>
      </c>
      <c r="BG2667" s="22">
        <f t="shared" si="1"/>
      </c>
      <c r="BH2667" s="22">
        <f t="shared" si="2"/>
        <v>0</v>
      </c>
    </row>
    <row r="2668">
      <c r="B2668">
        <f>[1]资金台帐!B2668&amp;""</f>
      </c>
      <c r="H2668">
        <f>[1]资金台帐!H2668&amp;""</f>
      </c>
      <c r="J2668">
        <f>[1]资金台帐!J2668&amp;""</f>
      </c>
      <c r="N2668">
        <f>[1]资金台帐!N2668</f>
      </c>
      <c r="O2668">
        <f>[1]资金台帐!O2668&amp;""</f>
      </c>
      <c r="P2668">
        <f>[1]资金台帐!P2668&amp;""</f>
      </c>
      <c r="Q2668">
        <f>[1]资金台帐!Q2668&amp;""</f>
      </c>
      <c r="T2668">
        <f>[1]资金台帐!T2668&amp;""</f>
      </c>
      <c r="U2668">
        <f>[1]资金台帐!U2668&amp;""</f>
      </c>
      <c r="W2668">
        <f>[1]资金台帐!W2668&amp;""</f>
      </c>
      <c r="X2668">
        <f>[1]资金台帐!X2668&amp;""</f>
      </c>
      <c r="AB2668">
        <f>[1]资金台帐!AB2668</f>
        <v>0</v>
      </c>
      <c r="AC2668">
        <f>[1]资金台帐!AC2668</f>
        <v>0</v>
      </c>
      <c r="AD2668">
        <f>[1]资金台帐!AD2668</f>
        <v>0</v>
      </c>
      <c r="AJ2668">
        <f>[1]资金台帐!AJ2668</f>
        <v>0</v>
      </c>
      <c r="AK2668">
        <f>[1]资金台帐!AK2668</f>
        <v>0</v>
      </c>
      <c r="BA2668" s="22">
        <f t="shared" si="0"/>
      </c>
      <c r="BG2668" s="22">
        <f t="shared" si="1"/>
      </c>
      <c r="BH2668" s="22">
        <f t="shared" si="2"/>
        <v>0</v>
      </c>
    </row>
    <row r="2669">
      <c r="B2669">
        <f>[1]资金台帐!B2669&amp;""</f>
      </c>
      <c r="H2669">
        <f>[1]资金台帐!H2669&amp;""</f>
      </c>
      <c r="J2669">
        <f>[1]资金台帐!J2669&amp;""</f>
      </c>
      <c r="N2669">
        <f>[1]资金台帐!N2669</f>
      </c>
      <c r="O2669">
        <f>[1]资金台帐!O2669&amp;""</f>
      </c>
      <c r="P2669">
        <f>[1]资金台帐!P2669&amp;""</f>
      </c>
      <c r="Q2669">
        <f>[1]资金台帐!Q2669&amp;""</f>
      </c>
      <c r="T2669">
        <f>[1]资金台帐!T2669&amp;""</f>
      </c>
      <c r="U2669">
        <f>[1]资金台帐!U2669&amp;""</f>
      </c>
      <c r="W2669">
        <f>[1]资金台帐!W2669&amp;""</f>
      </c>
      <c r="X2669">
        <f>[1]资金台帐!X2669&amp;""</f>
      </c>
      <c r="AB2669">
        <f>[1]资金台帐!AB2669</f>
        <v>0</v>
      </c>
      <c r="AC2669">
        <f>[1]资金台帐!AC2669</f>
        <v>0</v>
      </c>
      <c r="AD2669">
        <f>[1]资金台帐!AD2669</f>
        <v>0</v>
      </c>
      <c r="AJ2669">
        <f>[1]资金台帐!AJ2669</f>
        <v>0</v>
      </c>
      <c r="AK2669">
        <f>[1]资金台帐!AK2669</f>
        <v>0</v>
      </c>
      <c r="BA2669" s="22">
        <f t="shared" si="0"/>
      </c>
      <c r="BG2669" s="22">
        <f t="shared" si="1"/>
      </c>
      <c r="BH2669" s="22">
        <f t="shared" si="2"/>
        <v>0</v>
      </c>
    </row>
    <row r="2670">
      <c r="B2670">
        <f>[1]资金台帐!B2670&amp;""</f>
      </c>
      <c r="H2670">
        <f>[1]资金台帐!H2670&amp;""</f>
      </c>
      <c r="J2670">
        <f>[1]资金台帐!J2670&amp;""</f>
      </c>
      <c r="N2670">
        <f>[1]资金台帐!N2670</f>
      </c>
      <c r="O2670">
        <f>[1]资金台帐!O2670&amp;""</f>
      </c>
      <c r="P2670">
        <f>[1]资金台帐!P2670&amp;""</f>
      </c>
      <c r="Q2670">
        <f>[1]资金台帐!Q2670&amp;""</f>
      </c>
      <c r="T2670">
        <f>[1]资金台帐!T2670&amp;""</f>
      </c>
      <c r="U2670">
        <f>[1]资金台帐!U2670&amp;""</f>
      </c>
      <c r="W2670">
        <f>[1]资金台帐!W2670&amp;""</f>
      </c>
      <c r="X2670">
        <f>[1]资金台帐!X2670&amp;""</f>
      </c>
      <c r="AB2670">
        <f>[1]资金台帐!AB2670</f>
        <v>0</v>
      </c>
      <c r="AC2670">
        <f>[1]资金台帐!AC2670</f>
        <v>0</v>
      </c>
      <c r="AD2670">
        <f>[1]资金台帐!AD2670</f>
        <v>0</v>
      </c>
      <c r="AJ2670">
        <f>[1]资金台帐!AJ2670</f>
        <v>0</v>
      </c>
      <c r="AK2670">
        <f>[1]资金台帐!AK2670</f>
        <v>0</v>
      </c>
      <c r="BA2670" s="22">
        <f t="shared" si="0"/>
      </c>
      <c r="BG2670" s="22">
        <f t="shared" si="1"/>
      </c>
      <c r="BH2670" s="22">
        <f t="shared" si="2"/>
        <v>0</v>
      </c>
    </row>
    <row r="2671">
      <c r="B2671">
        <f>[1]资金台帐!B2671&amp;""</f>
      </c>
      <c r="H2671">
        <f>[1]资金台帐!H2671&amp;""</f>
      </c>
      <c r="J2671">
        <f>[1]资金台帐!J2671&amp;""</f>
      </c>
      <c r="N2671">
        <f>[1]资金台帐!N2671</f>
      </c>
      <c r="O2671">
        <f>[1]资金台帐!O2671&amp;""</f>
      </c>
      <c r="P2671">
        <f>[1]资金台帐!P2671&amp;""</f>
      </c>
      <c r="Q2671">
        <f>[1]资金台帐!Q2671&amp;""</f>
      </c>
      <c r="T2671">
        <f>[1]资金台帐!T2671&amp;""</f>
      </c>
      <c r="U2671">
        <f>[1]资金台帐!U2671&amp;""</f>
      </c>
      <c r="W2671">
        <f>[1]资金台帐!W2671&amp;""</f>
      </c>
      <c r="X2671">
        <f>[1]资金台帐!X2671&amp;""</f>
      </c>
      <c r="AB2671">
        <f>[1]资金台帐!AB2671</f>
        <v>0</v>
      </c>
      <c r="AC2671">
        <f>[1]资金台帐!AC2671</f>
        <v>0</v>
      </c>
      <c r="AD2671">
        <f>[1]资金台帐!AD2671</f>
        <v>0</v>
      </c>
      <c r="AJ2671">
        <f>[1]资金台帐!AJ2671</f>
        <v>0</v>
      </c>
      <c r="AK2671">
        <f>[1]资金台帐!AK2671</f>
        <v>0</v>
      </c>
      <c r="BA2671" s="22">
        <f t="shared" si="0"/>
      </c>
      <c r="BG2671" s="22">
        <f t="shared" si="1"/>
      </c>
      <c r="BH2671" s="22">
        <f t="shared" si="2"/>
        <v>0</v>
      </c>
    </row>
    <row r="2672">
      <c r="B2672">
        <f>[1]资金台帐!B2672&amp;""</f>
      </c>
      <c r="H2672">
        <f>[1]资金台帐!H2672&amp;""</f>
      </c>
      <c r="J2672">
        <f>[1]资金台帐!J2672&amp;""</f>
      </c>
      <c r="N2672">
        <f>[1]资金台帐!N2672</f>
      </c>
      <c r="O2672">
        <f>[1]资金台帐!O2672&amp;""</f>
      </c>
      <c r="P2672">
        <f>[1]资金台帐!P2672&amp;""</f>
      </c>
      <c r="Q2672">
        <f>[1]资金台帐!Q2672&amp;""</f>
      </c>
      <c r="T2672">
        <f>[1]资金台帐!T2672&amp;""</f>
      </c>
      <c r="U2672">
        <f>[1]资金台帐!U2672&amp;""</f>
      </c>
      <c r="W2672">
        <f>[1]资金台帐!W2672&amp;""</f>
      </c>
      <c r="X2672">
        <f>[1]资金台帐!X2672&amp;""</f>
      </c>
      <c r="AB2672">
        <f>[1]资金台帐!AB2672</f>
        <v>0</v>
      </c>
      <c r="AC2672">
        <f>[1]资金台帐!AC2672</f>
        <v>0</v>
      </c>
      <c r="AD2672">
        <f>[1]资金台帐!AD2672</f>
        <v>0</v>
      </c>
      <c r="AJ2672">
        <f>[1]资金台帐!AJ2672</f>
        <v>0</v>
      </c>
      <c r="AK2672">
        <f>[1]资金台帐!AK2672</f>
        <v>0</v>
      </c>
      <c r="BA2672" s="22">
        <f t="shared" si="0"/>
      </c>
      <c r="BG2672" s="22">
        <f t="shared" si="1"/>
      </c>
      <c r="BH2672" s="22">
        <f t="shared" si="2"/>
        <v>0</v>
      </c>
    </row>
    <row r="2673">
      <c r="B2673">
        <f>[1]资金台帐!B2673&amp;""</f>
      </c>
      <c r="H2673">
        <f>[1]资金台帐!H2673&amp;""</f>
      </c>
      <c r="J2673">
        <f>[1]资金台帐!J2673&amp;""</f>
      </c>
      <c r="N2673">
        <f>[1]资金台帐!N2673</f>
      </c>
      <c r="O2673">
        <f>[1]资金台帐!O2673&amp;""</f>
      </c>
      <c r="P2673">
        <f>[1]资金台帐!P2673&amp;""</f>
      </c>
      <c r="Q2673">
        <f>[1]资金台帐!Q2673&amp;""</f>
      </c>
      <c r="T2673">
        <f>[1]资金台帐!T2673&amp;""</f>
      </c>
      <c r="U2673">
        <f>[1]资金台帐!U2673&amp;""</f>
      </c>
      <c r="W2673">
        <f>[1]资金台帐!W2673&amp;""</f>
      </c>
      <c r="X2673">
        <f>[1]资金台帐!X2673&amp;""</f>
      </c>
      <c r="AB2673">
        <f>[1]资金台帐!AB2673</f>
        <v>0</v>
      </c>
      <c r="AC2673">
        <f>[1]资金台帐!AC2673</f>
        <v>0</v>
      </c>
      <c r="AD2673">
        <f>[1]资金台帐!AD2673</f>
        <v>0</v>
      </c>
      <c r="AJ2673">
        <f>[1]资金台帐!AJ2673</f>
        <v>0</v>
      </c>
      <c r="AK2673">
        <f>[1]资金台帐!AK2673</f>
        <v>0</v>
      </c>
      <c r="BA2673" s="22">
        <f t="shared" si="0"/>
      </c>
      <c r="BG2673" s="22">
        <f t="shared" si="1"/>
      </c>
      <c r="BH2673" s="22">
        <f t="shared" si="2"/>
        <v>0</v>
      </c>
    </row>
    <row r="2674">
      <c r="B2674">
        <f>[1]资金台帐!B2674&amp;""</f>
      </c>
      <c r="H2674">
        <f>[1]资金台帐!H2674&amp;""</f>
      </c>
      <c r="J2674">
        <f>[1]资金台帐!J2674&amp;""</f>
      </c>
      <c r="N2674">
        <f>[1]资金台帐!N2674</f>
      </c>
      <c r="O2674">
        <f>[1]资金台帐!O2674&amp;""</f>
      </c>
      <c r="P2674">
        <f>[1]资金台帐!P2674&amp;""</f>
      </c>
      <c r="Q2674">
        <f>[1]资金台帐!Q2674&amp;""</f>
      </c>
      <c r="T2674">
        <f>[1]资金台帐!T2674&amp;""</f>
      </c>
      <c r="U2674">
        <f>[1]资金台帐!U2674&amp;""</f>
      </c>
      <c r="W2674">
        <f>[1]资金台帐!W2674&amp;""</f>
      </c>
      <c r="X2674">
        <f>[1]资金台帐!X2674&amp;""</f>
      </c>
      <c r="AB2674">
        <f>[1]资金台帐!AB2674</f>
        <v>0</v>
      </c>
      <c r="AC2674">
        <f>[1]资金台帐!AC2674</f>
        <v>0</v>
      </c>
      <c r="AD2674">
        <f>[1]资金台帐!AD2674</f>
        <v>0</v>
      </c>
      <c r="AJ2674">
        <f>[1]资金台帐!AJ2674</f>
        <v>0</v>
      </c>
      <c r="AK2674">
        <f>[1]资金台帐!AK2674</f>
        <v>0</v>
      </c>
      <c r="BA2674" s="22">
        <f t="shared" si="0"/>
      </c>
      <c r="BG2674" s="22">
        <f t="shared" si="1"/>
      </c>
      <c r="BH2674" s="22">
        <f t="shared" si="2"/>
        <v>0</v>
      </c>
    </row>
    <row r="2675">
      <c r="B2675">
        <f>[1]资金台帐!B2675&amp;""</f>
      </c>
      <c r="H2675">
        <f>[1]资金台帐!H2675&amp;""</f>
      </c>
      <c r="J2675">
        <f>[1]资金台帐!J2675&amp;""</f>
      </c>
      <c r="N2675">
        <f>[1]资金台帐!N2675</f>
      </c>
      <c r="O2675">
        <f>[1]资金台帐!O2675&amp;""</f>
      </c>
      <c r="P2675">
        <f>[1]资金台帐!P2675&amp;""</f>
      </c>
      <c r="Q2675">
        <f>[1]资金台帐!Q2675&amp;""</f>
      </c>
      <c r="T2675">
        <f>[1]资金台帐!T2675&amp;""</f>
      </c>
      <c r="U2675">
        <f>[1]资金台帐!U2675&amp;""</f>
      </c>
      <c r="W2675">
        <f>[1]资金台帐!W2675&amp;""</f>
      </c>
      <c r="X2675">
        <f>[1]资金台帐!X2675&amp;""</f>
      </c>
      <c r="AB2675">
        <f>[1]资金台帐!AB2675</f>
        <v>0</v>
      </c>
      <c r="AC2675">
        <f>[1]资金台帐!AC2675</f>
        <v>0</v>
      </c>
      <c r="AD2675">
        <f>[1]资金台帐!AD2675</f>
        <v>0</v>
      </c>
      <c r="AJ2675">
        <f>[1]资金台帐!AJ2675</f>
        <v>0</v>
      </c>
      <c r="AK2675">
        <f>[1]资金台帐!AK2675</f>
        <v>0</v>
      </c>
      <c r="BA2675" s="22">
        <f t="shared" si="0"/>
      </c>
      <c r="BG2675" s="22">
        <f t="shared" si="1"/>
      </c>
      <c r="BH2675" s="22">
        <f t="shared" si="2"/>
        <v>0</v>
      </c>
    </row>
    <row r="2676">
      <c r="B2676">
        <f>[1]资金台帐!B2676&amp;""</f>
      </c>
      <c r="H2676">
        <f>[1]资金台帐!H2676&amp;""</f>
      </c>
      <c r="J2676">
        <f>[1]资金台帐!J2676&amp;""</f>
      </c>
      <c r="N2676">
        <f>[1]资金台帐!N2676</f>
      </c>
      <c r="O2676">
        <f>[1]资金台帐!O2676&amp;""</f>
      </c>
      <c r="P2676">
        <f>[1]资金台帐!P2676&amp;""</f>
      </c>
      <c r="Q2676">
        <f>[1]资金台帐!Q2676&amp;""</f>
      </c>
      <c r="T2676">
        <f>[1]资金台帐!T2676&amp;""</f>
      </c>
      <c r="U2676">
        <f>[1]资金台帐!U2676&amp;""</f>
      </c>
      <c r="W2676">
        <f>[1]资金台帐!W2676&amp;""</f>
      </c>
      <c r="X2676">
        <f>[1]资金台帐!X2676&amp;""</f>
      </c>
      <c r="AB2676">
        <f>[1]资金台帐!AB2676</f>
        <v>0</v>
      </c>
      <c r="AC2676">
        <f>[1]资金台帐!AC2676</f>
        <v>0</v>
      </c>
      <c r="AD2676">
        <f>[1]资金台帐!AD2676</f>
        <v>0</v>
      </c>
      <c r="AJ2676">
        <f>[1]资金台帐!AJ2676</f>
        <v>0</v>
      </c>
      <c r="AK2676">
        <f>[1]资金台帐!AK2676</f>
        <v>0</v>
      </c>
      <c r="BA2676" s="22">
        <f t="shared" si="0"/>
      </c>
      <c r="BG2676" s="22">
        <f t="shared" si="1"/>
      </c>
      <c r="BH2676" s="22">
        <f t="shared" si="2"/>
        <v>0</v>
      </c>
    </row>
    <row r="2677">
      <c r="B2677">
        <f>[1]资金台帐!B2677&amp;""</f>
      </c>
      <c r="H2677">
        <f>[1]资金台帐!H2677&amp;""</f>
      </c>
      <c r="J2677">
        <f>[1]资金台帐!J2677&amp;""</f>
      </c>
      <c r="N2677">
        <f>[1]资金台帐!N2677</f>
      </c>
      <c r="O2677">
        <f>[1]资金台帐!O2677&amp;""</f>
      </c>
      <c r="P2677">
        <f>[1]资金台帐!P2677&amp;""</f>
      </c>
      <c r="Q2677">
        <f>[1]资金台帐!Q2677&amp;""</f>
      </c>
      <c r="T2677">
        <f>[1]资金台帐!T2677&amp;""</f>
      </c>
      <c r="U2677">
        <f>[1]资金台帐!U2677&amp;""</f>
      </c>
      <c r="W2677">
        <f>[1]资金台帐!W2677&amp;""</f>
      </c>
      <c r="X2677">
        <f>[1]资金台帐!X2677&amp;""</f>
      </c>
      <c r="AB2677">
        <f>[1]资金台帐!AB2677</f>
        <v>0</v>
      </c>
      <c r="AC2677">
        <f>[1]资金台帐!AC2677</f>
        <v>0</v>
      </c>
      <c r="AD2677">
        <f>[1]资金台帐!AD2677</f>
        <v>0</v>
      </c>
      <c r="AJ2677">
        <f>[1]资金台帐!AJ2677</f>
        <v>0</v>
      </c>
      <c r="AK2677">
        <f>[1]资金台帐!AK2677</f>
        <v>0</v>
      </c>
      <c r="BA2677" s="22">
        <f t="shared" si="0"/>
      </c>
      <c r="BG2677" s="22">
        <f t="shared" si="1"/>
      </c>
      <c r="BH2677" s="22">
        <f t="shared" si="2"/>
        <v>0</v>
      </c>
    </row>
    <row r="2678">
      <c r="B2678">
        <f>[1]资金台帐!B2678&amp;""</f>
      </c>
      <c r="H2678">
        <f>[1]资金台帐!H2678&amp;""</f>
      </c>
      <c r="J2678">
        <f>[1]资金台帐!J2678&amp;""</f>
      </c>
      <c r="N2678">
        <f>[1]资金台帐!N2678</f>
      </c>
      <c r="O2678">
        <f>[1]资金台帐!O2678&amp;""</f>
      </c>
      <c r="P2678">
        <f>[1]资金台帐!P2678&amp;""</f>
      </c>
      <c r="Q2678">
        <f>[1]资金台帐!Q2678&amp;""</f>
      </c>
      <c r="T2678">
        <f>[1]资金台帐!T2678&amp;""</f>
      </c>
      <c r="U2678">
        <f>[1]资金台帐!U2678&amp;""</f>
      </c>
      <c r="W2678">
        <f>[1]资金台帐!W2678&amp;""</f>
      </c>
      <c r="X2678">
        <f>[1]资金台帐!X2678&amp;""</f>
      </c>
      <c r="AB2678">
        <f>[1]资金台帐!AB2678</f>
        <v>0</v>
      </c>
      <c r="AC2678">
        <f>[1]资金台帐!AC2678</f>
        <v>0</v>
      </c>
      <c r="AD2678">
        <f>[1]资金台帐!AD2678</f>
        <v>0</v>
      </c>
      <c r="AJ2678">
        <f>[1]资金台帐!AJ2678</f>
        <v>0</v>
      </c>
      <c r="AK2678">
        <f>[1]资金台帐!AK2678</f>
        <v>0</v>
      </c>
      <c r="BA2678" s="22">
        <f t="shared" si="0"/>
      </c>
      <c r="BG2678" s="22">
        <f t="shared" si="1"/>
      </c>
      <c r="BH2678" s="22">
        <f t="shared" si="2"/>
        <v>0</v>
      </c>
    </row>
    <row r="2679">
      <c r="B2679">
        <f>[1]资金台帐!B2679&amp;""</f>
      </c>
      <c r="H2679">
        <f>[1]资金台帐!H2679&amp;""</f>
      </c>
      <c r="J2679">
        <f>[1]资金台帐!J2679&amp;""</f>
      </c>
      <c r="N2679">
        <f>[1]资金台帐!N2679</f>
      </c>
      <c r="O2679">
        <f>[1]资金台帐!O2679&amp;""</f>
      </c>
      <c r="P2679">
        <f>[1]资金台帐!P2679&amp;""</f>
      </c>
      <c r="Q2679">
        <f>[1]资金台帐!Q2679&amp;""</f>
      </c>
      <c r="T2679">
        <f>[1]资金台帐!T2679&amp;""</f>
      </c>
      <c r="U2679">
        <f>[1]资金台帐!U2679&amp;""</f>
      </c>
      <c r="W2679">
        <f>[1]资金台帐!W2679&amp;""</f>
      </c>
      <c r="X2679">
        <f>[1]资金台帐!X2679&amp;""</f>
      </c>
      <c r="AB2679">
        <f>[1]资金台帐!AB2679</f>
        <v>0</v>
      </c>
      <c r="AC2679">
        <f>[1]资金台帐!AC2679</f>
        <v>0</v>
      </c>
      <c r="AD2679">
        <f>[1]资金台帐!AD2679</f>
        <v>0</v>
      </c>
      <c r="AJ2679">
        <f>[1]资金台帐!AJ2679</f>
        <v>0</v>
      </c>
      <c r="AK2679">
        <f>[1]资金台帐!AK2679</f>
        <v>0</v>
      </c>
      <c r="BA2679" s="22">
        <f t="shared" si="0"/>
      </c>
      <c r="BG2679" s="22">
        <f t="shared" si="1"/>
      </c>
      <c r="BH2679" s="22">
        <f t="shared" si="2"/>
        <v>0</v>
      </c>
    </row>
    <row r="2680">
      <c r="B2680">
        <f>[1]资金台帐!B2680&amp;""</f>
      </c>
      <c r="H2680">
        <f>[1]资金台帐!H2680&amp;""</f>
      </c>
      <c r="J2680">
        <f>[1]资金台帐!J2680&amp;""</f>
      </c>
      <c r="N2680">
        <f>[1]资金台帐!N2680</f>
      </c>
      <c r="O2680">
        <f>[1]资金台帐!O2680&amp;""</f>
      </c>
      <c r="P2680">
        <f>[1]资金台帐!P2680&amp;""</f>
      </c>
      <c r="Q2680">
        <f>[1]资金台帐!Q2680&amp;""</f>
      </c>
      <c r="T2680">
        <f>[1]资金台帐!T2680&amp;""</f>
      </c>
      <c r="U2680">
        <f>[1]资金台帐!U2680&amp;""</f>
      </c>
      <c r="W2680">
        <f>[1]资金台帐!W2680&amp;""</f>
      </c>
      <c r="X2680">
        <f>[1]资金台帐!X2680&amp;""</f>
      </c>
      <c r="AB2680">
        <f>[1]资金台帐!AB2680</f>
        <v>0</v>
      </c>
      <c r="AC2680">
        <f>[1]资金台帐!AC2680</f>
        <v>0</v>
      </c>
      <c r="AD2680">
        <f>[1]资金台帐!AD2680</f>
        <v>0</v>
      </c>
      <c r="AJ2680">
        <f>[1]资金台帐!AJ2680</f>
        <v>0</v>
      </c>
      <c r="AK2680">
        <f>[1]资金台帐!AK2680</f>
        <v>0</v>
      </c>
      <c r="BA2680" s="22">
        <f t="shared" si="0"/>
      </c>
      <c r="BG2680" s="22">
        <f t="shared" si="1"/>
      </c>
      <c r="BH2680" s="22">
        <f t="shared" si="2"/>
        <v>0</v>
      </c>
    </row>
    <row r="2681">
      <c r="B2681">
        <f>[1]资金台帐!B2681&amp;""</f>
      </c>
      <c r="H2681">
        <f>[1]资金台帐!H2681&amp;""</f>
      </c>
      <c r="J2681">
        <f>[1]资金台帐!J2681&amp;""</f>
      </c>
      <c r="N2681">
        <f>[1]资金台帐!N2681</f>
      </c>
      <c r="O2681">
        <f>[1]资金台帐!O2681&amp;""</f>
      </c>
      <c r="P2681">
        <f>[1]资金台帐!P2681&amp;""</f>
      </c>
      <c r="Q2681">
        <f>[1]资金台帐!Q2681&amp;""</f>
      </c>
      <c r="T2681">
        <f>[1]资金台帐!T2681&amp;""</f>
      </c>
      <c r="U2681">
        <f>[1]资金台帐!U2681&amp;""</f>
      </c>
      <c r="W2681">
        <f>[1]资金台帐!W2681&amp;""</f>
      </c>
      <c r="X2681">
        <f>[1]资金台帐!X2681&amp;""</f>
      </c>
      <c r="AB2681">
        <f>[1]资金台帐!AB2681</f>
        <v>0</v>
      </c>
      <c r="AC2681">
        <f>[1]资金台帐!AC2681</f>
        <v>0</v>
      </c>
      <c r="AD2681">
        <f>[1]资金台帐!AD2681</f>
        <v>0</v>
      </c>
      <c r="AJ2681">
        <f>[1]资金台帐!AJ2681</f>
        <v>0</v>
      </c>
      <c r="AK2681">
        <f>[1]资金台帐!AK2681</f>
        <v>0</v>
      </c>
      <c r="BA2681" s="22">
        <f t="shared" si="0"/>
      </c>
      <c r="BG2681" s="22">
        <f t="shared" si="1"/>
      </c>
      <c r="BH2681" s="22">
        <f t="shared" si="2"/>
        <v>0</v>
      </c>
    </row>
    <row r="2682">
      <c r="B2682">
        <f>[1]资金台帐!B2682&amp;""</f>
      </c>
      <c r="H2682">
        <f>[1]资金台帐!H2682&amp;""</f>
      </c>
      <c r="J2682">
        <f>[1]资金台帐!J2682&amp;""</f>
      </c>
      <c r="N2682">
        <f>[1]资金台帐!N2682</f>
      </c>
      <c r="O2682">
        <f>[1]资金台帐!O2682&amp;""</f>
      </c>
      <c r="P2682">
        <f>[1]资金台帐!P2682&amp;""</f>
      </c>
      <c r="Q2682">
        <f>[1]资金台帐!Q2682&amp;""</f>
      </c>
      <c r="T2682">
        <f>[1]资金台帐!T2682&amp;""</f>
      </c>
      <c r="U2682">
        <f>[1]资金台帐!U2682&amp;""</f>
      </c>
      <c r="W2682">
        <f>[1]资金台帐!W2682&amp;""</f>
      </c>
      <c r="X2682">
        <f>[1]资金台帐!X2682&amp;""</f>
      </c>
      <c r="AB2682">
        <f>[1]资金台帐!AB2682</f>
        <v>0</v>
      </c>
      <c r="AC2682">
        <f>[1]资金台帐!AC2682</f>
        <v>0</v>
      </c>
      <c r="AD2682">
        <f>[1]资金台帐!AD2682</f>
        <v>0</v>
      </c>
      <c r="AJ2682">
        <f>[1]资金台帐!AJ2682</f>
        <v>0</v>
      </c>
      <c r="AK2682">
        <f>[1]资金台帐!AK2682</f>
        <v>0</v>
      </c>
      <c r="BA2682" s="22">
        <f t="shared" si="0"/>
      </c>
      <c r="BG2682" s="22">
        <f t="shared" si="1"/>
      </c>
      <c r="BH2682" s="22">
        <f t="shared" si="2"/>
        <v>0</v>
      </c>
    </row>
    <row r="2683">
      <c r="B2683">
        <f>[1]资金台帐!B2683&amp;""</f>
      </c>
      <c r="H2683">
        <f>[1]资金台帐!H2683&amp;""</f>
      </c>
      <c r="J2683">
        <f>[1]资金台帐!J2683&amp;""</f>
      </c>
      <c r="N2683">
        <f>[1]资金台帐!N2683</f>
      </c>
      <c r="O2683">
        <f>[1]资金台帐!O2683&amp;""</f>
      </c>
      <c r="P2683">
        <f>[1]资金台帐!P2683&amp;""</f>
      </c>
      <c r="Q2683">
        <f>[1]资金台帐!Q2683&amp;""</f>
      </c>
      <c r="T2683">
        <f>[1]资金台帐!T2683&amp;""</f>
      </c>
      <c r="U2683">
        <f>[1]资金台帐!U2683&amp;""</f>
      </c>
      <c r="W2683">
        <f>[1]资金台帐!W2683&amp;""</f>
      </c>
      <c r="X2683">
        <f>[1]资金台帐!X2683&amp;""</f>
      </c>
      <c r="AB2683">
        <f>[1]资金台帐!AB2683</f>
        <v>0</v>
      </c>
      <c r="AC2683">
        <f>[1]资金台帐!AC2683</f>
        <v>0</v>
      </c>
      <c r="AD2683">
        <f>[1]资金台帐!AD2683</f>
        <v>0</v>
      </c>
      <c r="AJ2683">
        <f>[1]资金台帐!AJ2683</f>
        <v>0</v>
      </c>
      <c r="AK2683">
        <f>[1]资金台帐!AK2683</f>
        <v>0</v>
      </c>
      <c r="BA2683" s="22">
        <f t="shared" si="0"/>
      </c>
      <c r="BG2683" s="22">
        <f t="shared" si="1"/>
      </c>
      <c r="BH2683" s="22">
        <f t="shared" si="2"/>
        <v>0</v>
      </c>
    </row>
    <row r="2684">
      <c r="B2684">
        <f>[1]资金台帐!B2684&amp;""</f>
      </c>
      <c r="H2684">
        <f>[1]资金台帐!H2684&amp;""</f>
      </c>
      <c r="J2684">
        <f>[1]资金台帐!J2684&amp;""</f>
      </c>
      <c r="N2684">
        <f>[1]资金台帐!N2684</f>
      </c>
      <c r="O2684">
        <f>[1]资金台帐!O2684&amp;""</f>
      </c>
      <c r="P2684">
        <f>[1]资金台帐!P2684&amp;""</f>
      </c>
      <c r="Q2684">
        <f>[1]资金台帐!Q2684&amp;""</f>
      </c>
      <c r="T2684">
        <f>[1]资金台帐!T2684&amp;""</f>
      </c>
      <c r="U2684">
        <f>[1]资金台帐!U2684&amp;""</f>
      </c>
      <c r="W2684">
        <f>[1]资金台帐!W2684&amp;""</f>
      </c>
      <c r="X2684">
        <f>[1]资金台帐!X2684&amp;""</f>
      </c>
      <c r="AB2684">
        <f>[1]资金台帐!AB2684</f>
        <v>0</v>
      </c>
      <c r="AC2684">
        <f>[1]资金台帐!AC2684</f>
        <v>0</v>
      </c>
      <c r="AD2684">
        <f>[1]资金台帐!AD2684</f>
        <v>0</v>
      </c>
      <c r="AJ2684">
        <f>[1]资金台帐!AJ2684</f>
        <v>0</v>
      </c>
      <c r="AK2684">
        <f>[1]资金台帐!AK2684</f>
        <v>0</v>
      </c>
      <c r="BA2684" s="22">
        <f t="shared" si="0"/>
      </c>
      <c r="BG2684" s="22">
        <f t="shared" si="1"/>
      </c>
      <c r="BH2684" s="22">
        <f t="shared" si="2"/>
        <v>0</v>
      </c>
    </row>
    <row r="2685">
      <c r="B2685">
        <f>[1]资金台帐!B2685&amp;""</f>
      </c>
      <c r="H2685">
        <f>[1]资金台帐!H2685&amp;""</f>
      </c>
      <c r="J2685">
        <f>[1]资金台帐!J2685&amp;""</f>
      </c>
      <c r="N2685">
        <f>[1]资金台帐!N2685</f>
      </c>
      <c r="O2685">
        <f>[1]资金台帐!O2685&amp;""</f>
      </c>
      <c r="P2685">
        <f>[1]资金台帐!P2685&amp;""</f>
      </c>
      <c r="Q2685">
        <f>[1]资金台帐!Q2685&amp;""</f>
      </c>
      <c r="T2685">
        <f>[1]资金台帐!T2685&amp;""</f>
      </c>
      <c r="U2685">
        <f>[1]资金台帐!U2685&amp;""</f>
      </c>
      <c r="W2685">
        <f>[1]资金台帐!W2685&amp;""</f>
      </c>
      <c r="X2685">
        <f>[1]资金台帐!X2685&amp;""</f>
      </c>
      <c r="AB2685">
        <f>[1]资金台帐!AB2685</f>
        <v>0</v>
      </c>
      <c r="AC2685">
        <f>[1]资金台帐!AC2685</f>
        <v>0</v>
      </c>
      <c r="AD2685">
        <f>[1]资金台帐!AD2685</f>
        <v>0</v>
      </c>
      <c r="AJ2685">
        <f>[1]资金台帐!AJ2685</f>
        <v>0</v>
      </c>
      <c r="AK2685">
        <f>[1]资金台帐!AK2685</f>
        <v>0</v>
      </c>
      <c r="BA2685" s="22">
        <f t="shared" si="0"/>
      </c>
      <c r="BG2685" s="22">
        <f t="shared" si="1"/>
      </c>
      <c r="BH2685" s="22">
        <f t="shared" si="2"/>
        <v>0</v>
      </c>
    </row>
    <row r="2686">
      <c r="B2686">
        <f>[1]资金台帐!B2686&amp;""</f>
      </c>
      <c r="H2686">
        <f>[1]资金台帐!H2686&amp;""</f>
      </c>
      <c r="J2686">
        <f>[1]资金台帐!J2686&amp;""</f>
      </c>
      <c r="N2686">
        <f>[1]资金台帐!N2686</f>
      </c>
      <c r="O2686">
        <f>[1]资金台帐!O2686&amp;""</f>
      </c>
      <c r="P2686">
        <f>[1]资金台帐!P2686&amp;""</f>
      </c>
      <c r="Q2686">
        <f>[1]资金台帐!Q2686&amp;""</f>
      </c>
      <c r="T2686">
        <f>[1]资金台帐!T2686&amp;""</f>
      </c>
      <c r="U2686">
        <f>[1]资金台帐!U2686&amp;""</f>
      </c>
      <c r="W2686">
        <f>[1]资金台帐!W2686&amp;""</f>
      </c>
      <c r="X2686">
        <f>[1]资金台帐!X2686&amp;""</f>
      </c>
      <c r="AB2686">
        <f>[1]资金台帐!AB2686</f>
        <v>0</v>
      </c>
      <c r="AC2686">
        <f>[1]资金台帐!AC2686</f>
        <v>0</v>
      </c>
      <c r="AD2686">
        <f>[1]资金台帐!AD2686</f>
        <v>0</v>
      </c>
      <c r="AJ2686">
        <f>[1]资金台帐!AJ2686</f>
        <v>0</v>
      </c>
      <c r="AK2686">
        <f>[1]资金台帐!AK2686</f>
        <v>0</v>
      </c>
      <c r="BA2686" s="22">
        <f t="shared" si="0"/>
      </c>
      <c r="BG2686" s="22">
        <f t="shared" si="1"/>
      </c>
      <c r="BH2686" s="22">
        <f t="shared" si="2"/>
        <v>0</v>
      </c>
    </row>
    <row r="2687">
      <c r="B2687">
        <f>[1]资金台帐!B2687&amp;""</f>
      </c>
      <c r="H2687">
        <f>[1]资金台帐!H2687&amp;""</f>
      </c>
      <c r="J2687">
        <f>[1]资金台帐!J2687&amp;""</f>
      </c>
      <c r="N2687">
        <f>[1]资金台帐!N2687</f>
      </c>
      <c r="O2687">
        <f>[1]资金台帐!O2687&amp;""</f>
      </c>
      <c r="P2687">
        <f>[1]资金台帐!P2687&amp;""</f>
      </c>
      <c r="Q2687">
        <f>[1]资金台帐!Q2687&amp;""</f>
      </c>
      <c r="T2687">
        <f>[1]资金台帐!T2687&amp;""</f>
      </c>
      <c r="U2687">
        <f>[1]资金台帐!U2687&amp;""</f>
      </c>
      <c r="W2687">
        <f>[1]资金台帐!W2687&amp;""</f>
      </c>
      <c r="X2687">
        <f>[1]资金台帐!X2687&amp;""</f>
      </c>
      <c r="AB2687">
        <f>[1]资金台帐!AB2687</f>
        <v>0</v>
      </c>
      <c r="AC2687">
        <f>[1]资金台帐!AC2687</f>
        <v>0</v>
      </c>
      <c r="AD2687">
        <f>[1]资金台帐!AD2687</f>
        <v>0</v>
      </c>
      <c r="AJ2687">
        <f>[1]资金台帐!AJ2687</f>
        <v>0</v>
      </c>
      <c r="AK2687">
        <f>[1]资金台帐!AK2687</f>
        <v>0</v>
      </c>
      <c r="BA2687" s="22">
        <f t="shared" si="0"/>
      </c>
      <c r="BG2687" s="22">
        <f t="shared" si="1"/>
      </c>
      <c r="BH2687" s="22">
        <f t="shared" si="2"/>
        <v>0</v>
      </c>
    </row>
    <row r="2688">
      <c r="B2688">
        <f>[1]资金台帐!B2688&amp;""</f>
      </c>
      <c r="H2688">
        <f>[1]资金台帐!H2688&amp;""</f>
      </c>
      <c r="J2688">
        <f>[1]资金台帐!J2688&amp;""</f>
      </c>
      <c r="N2688">
        <f>[1]资金台帐!N2688</f>
      </c>
      <c r="O2688">
        <f>[1]资金台帐!O2688&amp;""</f>
      </c>
      <c r="P2688">
        <f>[1]资金台帐!P2688&amp;""</f>
      </c>
      <c r="Q2688">
        <f>[1]资金台帐!Q2688&amp;""</f>
      </c>
      <c r="T2688">
        <f>[1]资金台帐!T2688&amp;""</f>
      </c>
      <c r="U2688">
        <f>[1]资金台帐!U2688&amp;""</f>
      </c>
      <c r="W2688">
        <f>[1]资金台帐!W2688&amp;""</f>
      </c>
      <c r="X2688">
        <f>[1]资金台帐!X2688&amp;""</f>
      </c>
      <c r="AB2688">
        <f>[1]资金台帐!AB2688</f>
        <v>0</v>
      </c>
      <c r="AC2688">
        <f>[1]资金台帐!AC2688</f>
        <v>0</v>
      </c>
      <c r="AD2688">
        <f>[1]资金台帐!AD2688</f>
        <v>0</v>
      </c>
      <c r="AJ2688">
        <f>[1]资金台帐!AJ2688</f>
        <v>0</v>
      </c>
      <c r="AK2688">
        <f>[1]资金台帐!AK2688</f>
        <v>0</v>
      </c>
      <c r="BA2688" s="22">
        <f t="shared" si="0"/>
      </c>
      <c r="BG2688" s="22">
        <f t="shared" si="1"/>
      </c>
      <c r="BH2688" s="22">
        <f t="shared" si="2"/>
        <v>0</v>
      </c>
    </row>
    <row r="2689">
      <c r="B2689">
        <f>[1]资金台帐!B2689&amp;""</f>
      </c>
      <c r="H2689">
        <f>[1]资金台帐!H2689&amp;""</f>
      </c>
      <c r="J2689">
        <f>[1]资金台帐!J2689&amp;""</f>
      </c>
      <c r="N2689">
        <f>[1]资金台帐!N2689</f>
      </c>
      <c r="O2689">
        <f>[1]资金台帐!O2689&amp;""</f>
      </c>
      <c r="P2689">
        <f>[1]资金台帐!P2689&amp;""</f>
      </c>
      <c r="Q2689">
        <f>[1]资金台帐!Q2689&amp;""</f>
      </c>
      <c r="T2689">
        <f>[1]资金台帐!T2689&amp;""</f>
      </c>
      <c r="U2689">
        <f>[1]资金台帐!U2689&amp;""</f>
      </c>
      <c r="W2689">
        <f>[1]资金台帐!W2689&amp;""</f>
      </c>
      <c r="X2689">
        <f>[1]资金台帐!X2689&amp;""</f>
      </c>
      <c r="AB2689">
        <f>[1]资金台帐!AB2689</f>
        <v>0</v>
      </c>
      <c r="AC2689">
        <f>[1]资金台帐!AC2689</f>
        <v>0</v>
      </c>
      <c r="AD2689">
        <f>[1]资金台帐!AD2689</f>
        <v>0</v>
      </c>
      <c r="AJ2689">
        <f>[1]资金台帐!AJ2689</f>
        <v>0</v>
      </c>
      <c r="AK2689">
        <f>[1]资金台帐!AK2689</f>
        <v>0</v>
      </c>
      <c r="BA2689" s="22">
        <f t="shared" si="0"/>
      </c>
      <c r="BG2689" s="22">
        <f t="shared" si="1"/>
      </c>
      <c r="BH2689" s="22">
        <f t="shared" si="2"/>
        <v>0</v>
      </c>
    </row>
    <row r="2690">
      <c r="B2690">
        <f>[1]资金台帐!B2690&amp;""</f>
      </c>
      <c r="H2690">
        <f>[1]资金台帐!H2690&amp;""</f>
      </c>
      <c r="J2690">
        <f>[1]资金台帐!J2690&amp;""</f>
      </c>
      <c r="N2690">
        <f>[1]资金台帐!N2690</f>
      </c>
      <c r="O2690">
        <f>[1]资金台帐!O2690&amp;""</f>
      </c>
      <c r="P2690">
        <f>[1]资金台帐!P2690&amp;""</f>
      </c>
      <c r="Q2690">
        <f>[1]资金台帐!Q2690&amp;""</f>
      </c>
      <c r="T2690">
        <f>[1]资金台帐!T2690&amp;""</f>
      </c>
      <c r="U2690">
        <f>[1]资金台帐!U2690&amp;""</f>
      </c>
      <c r="W2690">
        <f>[1]资金台帐!W2690&amp;""</f>
      </c>
      <c r="X2690">
        <f>[1]资金台帐!X2690&amp;""</f>
      </c>
      <c r="AB2690">
        <f>[1]资金台帐!AB2690</f>
        <v>0</v>
      </c>
      <c r="AC2690">
        <f>[1]资金台帐!AC2690</f>
        <v>0</v>
      </c>
      <c r="AD2690">
        <f>[1]资金台帐!AD2690</f>
        <v>0</v>
      </c>
      <c r="AJ2690">
        <f>[1]资金台帐!AJ2690</f>
        <v>0</v>
      </c>
      <c r="AK2690">
        <f>[1]资金台帐!AK2690</f>
        <v>0</v>
      </c>
      <c r="BA2690" s="22">
        <f t="shared" si="0"/>
      </c>
      <c r="BG2690" s="22">
        <f t="shared" si="1"/>
      </c>
      <c r="BH2690" s="22">
        <f t="shared" si="2"/>
        <v>0</v>
      </c>
    </row>
    <row r="2691">
      <c r="B2691">
        <f>[1]资金台帐!B2691&amp;""</f>
      </c>
      <c r="H2691">
        <f>[1]资金台帐!H2691&amp;""</f>
      </c>
      <c r="J2691">
        <f>[1]资金台帐!J2691&amp;""</f>
      </c>
      <c r="N2691">
        <f>[1]资金台帐!N2691</f>
      </c>
      <c r="O2691">
        <f>[1]资金台帐!O2691&amp;""</f>
      </c>
      <c r="P2691">
        <f>[1]资金台帐!P2691&amp;""</f>
      </c>
      <c r="Q2691">
        <f>[1]资金台帐!Q2691&amp;""</f>
      </c>
      <c r="T2691">
        <f>[1]资金台帐!T2691&amp;""</f>
      </c>
      <c r="U2691">
        <f>[1]资金台帐!U2691&amp;""</f>
      </c>
      <c r="W2691">
        <f>[1]资金台帐!W2691&amp;""</f>
      </c>
      <c r="X2691">
        <f>[1]资金台帐!X2691&amp;""</f>
      </c>
      <c r="AB2691">
        <f>[1]资金台帐!AB2691</f>
        <v>0</v>
      </c>
      <c r="AC2691">
        <f>[1]资金台帐!AC2691</f>
        <v>0</v>
      </c>
      <c r="AD2691">
        <f>[1]资金台帐!AD2691</f>
        <v>0</v>
      </c>
      <c r="AJ2691">
        <f>[1]资金台帐!AJ2691</f>
        <v>0</v>
      </c>
      <c r="AK2691">
        <f>[1]资金台帐!AK2691</f>
        <v>0</v>
      </c>
      <c r="BA2691" s="22">
        <f t="shared" si="0"/>
      </c>
      <c r="BG2691" s="22">
        <f t="shared" si="1"/>
      </c>
      <c r="BH2691" s="22">
        <f t="shared" si="2"/>
        <v>0</v>
      </c>
    </row>
    <row r="2692">
      <c r="B2692">
        <f>[1]资金台帐!B2692&amp;""</f>
      </c>
      <c r="H2692">
        <f>[1]资金台帐!H2692&amp;""</f>
      </c>
      <c r="J2692">
        <f>[1]资金台帐!J2692&amp;""</f>
      </c>
      <c r="N2692">
        <f>[1]资金台帐!N2692</f>
      </c>
      <c r="O2692">
        <f>[1]资金台帐!O2692&amp;""</f>
      </c>
      <c r="P2692">
        <f>[1]资金台帐!P2692&amp;""</f>
      </c>
      <c r="Q2692">
        <f>[1]资金台帐!Q2692&amp;""</f>
      </c>
      <c r="T2692">
        <f>[1]资金台帐!T2692&amp;""</f>
      </c>
      <c r="U2692">
        <f>[1]资金台帐!U2692&amp;""</f>
      </c>
      <c r="W2692">
        <f>[1]资金台帐!W2692&amp;""</f>
      </c>
      <c r="X2692">
        <f>[1]资金台帐!X2692&amp;""</f>
      </c>
      <c r="AB2692">
        <f>[1]资金台帐!AB2692</f>
        <v>0</v>
      </c>
      <c r="AC2692">
        <f>[1]资金台帐!AC2692</f>
        <v>0</v>
      </c>
      <c r="AD2692">
        <f>[1]资金台帐!AD2692</f>
        <v>0</v>
      </c>
      <c r="AJ2692">
        <f>[1]资金台帐!AJ2692</f>
        <v>0</v>
      </c>
      <c r="AK2692">
        <f>[1]资金台帐!AK2692</f>
        <v>0</v>
      </c>
      <c r="BA2692" s="22">
        <f t="shared" si="0"/>
      </c>
      <c r="BG2692" s="22">
        <f t="shared" si="1"/>
      </c>
      <c r="BH2692" s="22">
        <f t="shared" si="2"/>
        <v>0</v>
      </c>
    </row>
    <row r="2693">
      <c r="B2693">
        <f>[1]资金台帐!B2693&amp;""</f>
      </c>
      <c r="H2693">
        <f>[1]资金台帐!H2693&amp;""</f>
      </c>
      <c r="J2693">
        <f>[1]资金台帐!J2693&amp;""</f>
      </c>
      <c r="N2693">
        <f>[1]资金台帐!N2693</f>
      </c>
      <c r="O2693">
        <f>[1]资金台帐!O2693&amp;""</f>
      </c>
      <c r="P2693">
        <f>[1]资金台帐!P2693&amp;""</f>
      </c>
      <c r="Q2693">
        <f>[1]资金台帐!Q2693&amp;""</f>
      </c>
      <c r="T2693">
        <f>[1]资金台帐!T2693&amp;""</f>
      </c>
      <c r="U2693">
        <f>[1]资金台帐!U2693&amp;""</f>
      </c>
      <c r="W2693">
        <f>[1]资金台帐!W2693&amp;""</f>
      </c>
      <c r="X2693">
        <f>[1]资金台帐!X2693&amp;""</f>
      </c>
      <c r="AB2693">
        <f>[1]资金台帐!AB2693</f>
        <v>0</v>
      </c>
      <c r="AC2693">
        <f>[1]资金台帐!AC2693</f>
        <v>0</v>
      </c>
      <c r="AD2693">
        <f>[1]资金台帐!AD2693</f>
        <v>0</v>
      </c>
      <c r="AJ2693">
        <f>[1]资金台帐!AJ2693</f>
        <v>0</v>
      </c>
      <c r="AK2693">
        <f>[1]资金台帐!AK2693</f>
        <v>0</v>
      </c>
      <c r="BA2693" s="22">
        <f t="shared" si="0"/>
      </c>
      <c r="BG2693" s="22">
        <f t="shared" si="1"/>
      </c>
      <c r="BH2693" s="22">
        <f t="shared" si="2"/>
        <v>0</v>
      </c>
    </row>
    <row r="2694">
      <c r="B2694">
        <f>[1]资金台帐!B2694&amp;""</f>
      </c>
      <c r="H2694">
        <f>[1]资金台帐!H2694&amp;""</f>
      </c>
      <c r="J2694">
        <f>[1]资金台帐!J2694&amp;""</f>
      </c>
      <c r="N2694">
        <f>[1]资金台帐!N2694</f>
      </c>
      <c r="O2694">
        <f>[1]资金台帐!O2694&amp;""</f>
      </c>
      <c r="P2694">
        <f>[1]资金台帐!P2694&amp;""</f>
      </c>
      <c r="Q2694">
        <f>[1]资金台帐!Q2694&amp;""</f>
      </c>
      <c r="T2694">
        <f>[1]资金台帐!T2694&amp;""</f>
      </c>
      <c r="U2694">
        <f>[1]资金台帐!U2694&amp;""</f>
      </c>
      <c r="W2694">
        <f>[1]资金台帐!W2694&amp;""</f>
      </c>
      <c r="X2694">
        <f>[1]资金台帐!X2694&amp;""</f>
      </c>
      <c r="AB2694">
        <f>[1]资金台帐!AB2694</f>
        <v>0</v>
      </c>
      <c r="AC2694">
        <f>[1]资金台帐!AC2694</f>
        <v>0</v>
      </c>
      <c r="AD2694">
        <f>[1]资金台帐!AD2694</f>
        <v>0</v>
      </c>
      <c r="AJ2694">
        <f>[1]资金台帐!AJ2694</f>
        <v>0</v>
      </c>
      <c r="AK2694">
        <f>[1]资金台帐!AK2694</f>
        <v>0</v>
      </c>
      <c r="BA2694" s="22">
        <f t="shared" si="0"/>
      </c>
      <c r="BG2694" s="22">
        <f t="shared" si="1"/>
      </c>
      <c r="BH2694" s="22">
        <f t="shared" si="2"/>
        <v>0</v>
      </c>
    </row>
    <row r="2695">
      <c r="B2695">
        <f>[1]资金台帐!B2695&amp;""</f>
      </c>
      <c r="H2695">
        <f>[1]资金台帐!H2695&amp;""</f>
      </c>
      <c r="J2695">
        <f>[1]资金台帐!J2695&amp;""</f>
      </c>
      <c r="N2695">
        <f>[1]资金台帐!N2695</f>
      </c>
      <c r="O2695">
        <f>[1]资金台帐!O2695&amp;""</f>
      </c>
      <c r="P2695">
        <f>[1]资金台帐!P2695&amp;""</f>
      </c>
      <c r="Q2695">
        <f>[1]资金台帐!Q2695&amp;""</f>
      </c>
      <c r="T2695">
        <f>[1]资金台帐!T2695&amp;""</f>
      </c>
      <c r="U2695">
        <f>[1]资金台帐!U2695&amp;""</f>
      </c>
      <c r="W2695">
        <f>[1]资金台帐!W2695&amp;""</f>
      </c>
      <c r="X2695">
        <f>[1]资金台帐!X2695&amp;""</f>
      </c>
      <c r="AB2695">
        <f>[1]资金台帐!AB2695</f>
        <v>0</v>
      </c>
      <c r="AC2695">
        <f>[1]资金台帐!AC2695</f>
        <v>0</v>
      </c>
      <c r="AD2695">
        <f>[1]资金台帐!AD2695</f>
        <v>0</v>
      </c>
      <c r="AJ2695">
        <f>[1]资金台帐!AJ2695</f>
        <v>0</v>
      </c>
      <c r="AK2695">
        <f>[1]资金台帐!AK2695</f>
        <v>0</v>
      </c>
      <c r="BA2695" s="22">
        <f t="shared" si="0"/>
      </c>
      <c r="BG2695" s="22">
        <f t="shared" si="1"/>
      </c>
      <c r="BH2695" s="22">
        <f t="shared" si="2"/>
        <v>0</v>
      </c>
    </row>
    <row r="2696">
      <c r="B2696">
        <f>[1]资金台帐!B2696&amp;""</f>
      </c>
      <c r="H2696">
        <f>[1]资金台帐!H2696&amp;""</f>
      </c>
      <c r="J2696">
        <f>[1]资金台帐!J2696&amp;""</f>
      </c>
      <c r="N2696">
        <f>[1]资金台帐!N2696</f>
      </c>
      <c r="O2696">
        <f>[1]资金台帐!O2696&amp;""</f>
      </c>
      <c r="P2696">
        <f>[1]资金台帐!P2696&amp;""</f>
      </c>
      <c r="Q2696">
        <f>[1]资金台帐!Q2696&amp;""</f>
      </c>
      <c r="T2696">
        <f>[1]资金台帐!T2696&amp;""</f>
      </c>
      <c r="U2696">
        <f>[1]资金台帐!U2696&amp;""</f>
      </c>
      <c r="W2696">
        <f>[1]资金台帐!W2696&amp;""</f>
      </c>
      <c r="X2696">
        <f>[1]资金台帐!X2696&amp;""</f>
      </c>
      <c r="AB2696">
        <f>[1]资金台帐!AB2696</f>
        <v>0</v>
      </c>
      <c r="AC2696">
        <f>[1]资金台帐!AC2696</f>
        <v>0</v>
      </c>
      <c r="AD2696">
        <f>[1]资金台帐!AD2696</f>
        <v>0</v>
      </c>
      <c r="AJ2696">
        <f>[1]资金台帐!AJ2696</f>
        <v>0</v>
      </c>
      <c r="AK2696">
        <f>[1]资金台帐!AK2696</f>
        <v>0</v>
      </c>
      <c r="BA2696" s="22">
        <f t="shared" si="0"/>
      </c>
      <c r="BG2696" s="22">
        <f t="shared" si="1"/>
      </c>
      <c r="BH2696" s="22">
        <f t="shared" si="2"/>
        <v>0</v>
      </c>
    </row>
    <row r="2697">
      <c r="B2697">
        <f>[1]资金台帐!B2697&amp;""</f>
      </c>
      <c r="H2697">
        <f>[1]资金台帐!H2697&amp;""</f>
      </c>
      <c r="J2697">
        <f>[1]资金台帐!J2697&amp;""</f>
      </c>
      <c r="N2697">
        <f>[1]资金台帐!N2697</f>
      </c>
      <c r="O2697">
        <f>[1]资金台帐!O2697&amp;""</f>
      </c>
      <c r="P2697">
        <f>[1]资金台帐!P2697&amp;""</f>
      </c>
      <c r="Q2697">
        <f>[1]资金台帐!Q2697&amp;""</f>
      </c>
      <c r="T2697">
        <f>[1]资金台帐!T2697&amp;""</f>
      </c>
      <c r="U2697">
        <f>[1]资金台帐!U2697&amp;""</f>
      </c>
      <c r="W2697">
        <f>[1]资金台帐!W2697&amp;""</f>
      </c>
      <c r="X2697">
        <f>[1]资金台帐!X2697&amp;""</f>
      </c>
      <c r="AB2697">
        <f>[1]资金台帐!AB2697</f>
        <v>0</v>
      </c>
      <c r="AC2697">
        <f>[1]资金台帐!AC2697</f>
        <v>0</v>
      </c>
      <c r="AD2697">
        <f>[1]资金台帐!AD2697</f>
        <v>0</v>
      </c>
      <c r="AJ2697">
        <f>[1]资金台帐!AJ2697</f>
        <v>0</v>
      </c>
      <c r="AK2697">
        <f>[1]资金台帐!AK2697</f>
        <v>0</v>
      </c>
      <c r="BA2697" s="22">
        <f t="shared" si="0"/>
      </c>
      <c r="BG2697" s="22">
        <f t="shared" si="1"/>
      </c>
      <c r="BH2697" s="22">
        <f t="shared" si="2"/>
        <v>0</v>
      </c>
    </row>
    <row r="2698">
      <c r="B2698">
        <f>[1]资金台帐!B2698&amp;""</f>
      </c>
      <c r="H2698">
        <f>[1]资金台帐!H2698&amp;""</f>
      </c>
      <c r="J2698">
        <f>[1]资金台帐!J2698&amp;""</f>
      </c>
      <c r="N2698">
        <f>[1]资金台帐!N2698</f>
      </c>
      <c r="O2698">
        <f>[1]资金台帐!O2698&amp;""</f>
      </c>
      <c r="P2698">
        <f>[1]资金台帐!P2698&amp;""</f>
      </c>
      <c r="Q2698">
        <f>[1]资金台帐!Q2698&amp;""</f>
      </c>
      <c r="T2698">
        <f>[1]资金台帐!T2698&amp;""</f>
      </c>
      <c r="U2698">
        <f>[1]资金台帐!U2698&amp;""</f>
      </c>
      <c r="W2698">
        <f>[1]资金台帐!W2698&amp;""</f>
      </c>
      <c r="X2698">
        <f>[1]资金台帐!X2698&amp;""</f>
      </c>
      <c r="AB2698">
        <f>[1]资金台帐!AB2698</f>
        <v>0</v>
      </c>
      <c r="AC2698">
        <f>[1]资金台帐!AC2698</f>
        <v>0</v>
      </c>
      <c r="AD2698">
        <f>[1]资金台帐!AD2698</f>
        <v>0</v>
      </c>
      <c r="AJ2698">
        <f>[1]资金台帐!AJ2698</f>
        <v>0</v>
      </c>
      <c r="AK2698">
        <f>[1]资金台帐!AK2698</f>
        <v>0</v>
      </c>
      <c r="BA2698" s="22">
        <f t="shared" si="0"/>
      </c>
      <c r="BG2698" s="22">
        <f t="shared" si="1"/>
      </c>
      <c r="BH2698" s="22">
        <f t="shared" si="2"/>
        <v>0</v>
      </c>
    </row>
    <row r="2699">
      <c r="B2699">
        <f>[1]资金台帐!B2699&amp;""</f>
      </c>
      <c r="H2699">
        <f>[1]资金台帐!H2699&amp;""</f>
      </c>
      <c r="J2699">
        <f>[1]资金台帐!J2699&amp;""</f>
      </c>
      <c r="N2699">
        <f>[1]资金台帐!N2699</f>
      </c>
      <c r="O2699">
        <f>[1]资金台帐!O2699&amp;""</f>
      </c>
      <c r="P2699">
        <f>[1]资金台帐!P2699&amp;""</f>
      </c>
      <c r="Q2699">
        <f>[1]资金台帐!Q2699&amp;""</f>
      </c>
      <c r="T2699">
        <f>[1]资金台帐!T2699&amp;""</f>
      </c>
      <c r="U2699">
        <f>[1]资金台帐!U2699&amp;""</f>
      </c>
      <c r="W2699">
        <f>[1]资金台帐!W2699&amp;""</f>
      </c>
      <c r="X2699">
        <f>[1]资金台帐!X2699&amp;""</f>
      </c>
      <c r="AB2699">
        <f>[1]资金台帐!AB2699</f>
        <v>0</v>
      </c>
      <c r="AC2699">
        <f>[1]资金台帐!AC2699</f>
        <v>0</v>
      </c>
      <c r="AD2699">
        <f>[1]资金台帐!AD2699</f>
        <v>0</v>
      </c>
      <c r="AJ2699">
        <f>[1]资金台帐!AJ2699</f>
        <v>0</v>
      </c>
      <c r="AK2699">
        <f>[1]资金台帐!AK2699</f>
        <v>0</v>
      </c>
      <c r="BA2699" s="22">
        <f t="shared" si="0"/>
      </c>
      <c r="BG2699" s="22">
        <f t="shared" si="1"/>
      </c>
      <c r="BH2699" s="22">
        <f t="shared" si="2"/>
        <v>0</v>
      </c>
    </row>
    <row r="2700">
      <c r="B2700">
        <f>[1]资金台帐!B2700&amp;""</f>
      </c>
      <c r="H2700">
        <f>[1]资金台帐!H2700&amp;""</f>
      </c>
      <c r="J2700">
        <f>[1]资金台帐!J2700&amp;""</f>
      </c>
      <c r="N2700">
        <f>[1]资金台帐!N2700</f>
      </c>
      <c r="O2700">
        <f>[1]资金台帐!O2700&amp;""</f>
      </c>
      <c r="P2700">
        <f>[1]资金台帐!P2700&amp;""</f>
      </c>
      <c r="Q2700">
        <f>[1]资金台帐!Q2700&amp;""</f>
      </c>
      <c r="T2700">
        <f>[1]资金台帐!T2700&amp;""</f>
      </c>
      <c r="U2700">
        <f>[1]资金台帐!U2700&amp;""</f>
      </c>
      <c r="W2700">
        <f>[1]资金台帐!W2700&amp;""</f>
      </c>
      <c r="X2700">
        <f>[1]资金台帐!X2700&amp;""</f>
      </c>
      <c r="AB2700">
        <f>[1]资金台帐!AB2700</f>
        <v>0</v>
      </c>
      <c r="AC2700">
        <f>[1]资金台帐!AC2700</f>
        <v>0</v>
      </c>
      <c r="AD2700">
        <f>[1]资金台帐!AD2700</f>
        <v>0</v>
      </c>
      <c r="AJ2700">
        <f>[1]资金台帐!AJ2700</f>
        <v>0</v>
      </c>
      <c r="AK2700">
        <f>[1]资金台帐!AK2700</f>
        <v>0</v>
      </c>
      <c r="BA2700" s="22">
        <f t="shared" si="0"/>
      </c>
      <c r="BG2700" s="22">
        <f t="shared" si="1"/>
      </c>
      <c r="BH2700" s="22">
        <f t="shared" si="2"/>
        <v>0</v>
      </c>
    </row>
    <row r="2701">
      <c r="B2701">
        <f>[1]资金台帐!B2701&amp;""</f>
      </c>
      <c r="H2701">
        <f>[1]资金台帐!H2701&amp;""</f>
      </c>
      <c r="J2701">
        <f>[1]资金台帐!J2701&amp;""</f>
      </c>
      <c r="N2701">
        <f>[1]资金台帐!N2701</f>
      </c>
      <c r="O2701">
        <f>[1]资金台帐!O2701&amp;""</f>
      </c>
      <c r="P2701">
        <f>[1]资金台帐!P2701&amp;""</f>
      </c>
      <c r="Q2701">
        <f>[1]资金台帐!Q2701&amp;""</f>
      </c>
      <c r="T2701">
        <f>[1]资金台帐!T2701&amp;""</f>
      </c>
      <c r="U2701">
        <f>[1]资金台帐!U2701&amp;""</f>
      </c>
      <c r="W2701">
        <f>[1]资金台帐!W2701&amp;""</f>
      </c>
      <c r="X2701">
        <f>[1]资金台帐!X2701&amp;""</f>
      </c>
      <c r="AB2701">
        <f>[1]资金台帐!AB2701</f>
        <v>0</v>
      </c>
      <c r="AC2701">
        <f>[1]资金台帐!AC2701</f>
        <v>0</v>
      </c>
      <c r="AD2701">
        <f>[1]资金台帐!AD2701</f>
        <v>0</v>
      </c>
      <c r="AJ2701">
        <f>[1]资金台帐!AJ2701</f>
        <v>0</v>
      </c>
      <c r="AK2701">
        <f>[1]资金台帐!AK2701</f>
        <v>0</v>
      </c>
      <c r="BA2701" s="22">
        <f t="shared" si="0"/>
      </c>
      <c r="BG2701" s="22">
        <f t="shared" si="1"/>
      </c>
      <c r="BH2701" s="22">
        <f t="shared" si="2"/>
        <v>0</v>
      </c>
    </row>
    <row r="2702">
      <c r="B2702">
        <f>[1]资金台帐!B2702&amp;""</f>
      </c>
      <c r="H2702">
        <f>[1]资金台帐!H2702&amp;""</f>
      </c>
      <c r="J2702">
        <f>[1]资金台帐!J2702&amp;""</f>
      </c>
      <c r="N2702">
        <f>[1]资金台帐!N2702</f>
      </c>
      <c r="O2702">
        <f>[1]资金台帐!O2702&amp;""</f>
      </c>
      <c r="P2702">
        <f>[1]资金台帐!P2702&amp;""</f>
      </c>
      <c r="Q2702">
        <f>[1]资金台帐!Q2702&amp;""</f>
      </c>
      <c r="T2702">
        <f>[1]资金台帐!T2702&amp;""</f>
      </c>
      <c r="U2702">
        <f>[1]资金台帐!U2702&amp;""</f>
      </c>
      <c r="W2702">
        <f>[1]资金台帐!W2702&amp;""</f>
      </c>
      <c r="X2702">
        <f>[1]资金台帐!X2702&amp;""</f>
      </c>
      <c r="AB2702">
        <f>[1]资金台帐!AB2702</f>
        <v>0</v>
      </c>
      <c r="AC2702">
        <f>[1]资金台帐!AC2702</f>
        <v>0</v>
      </c>
      <c r="AD2702">
        <f>[1]资金台帐!AD2702</f>
        <v>0</v>
      </c>
      <c r="AJ2702">
        <f>[1]资金台帐!AJ2702</f>
        <v>0</v>
      </c>
      <c r="AK2702">
        <f>[1]资金台帐!AK2702</f>
        <v>0</v>
      </c>
      <c r="BA2702" s="22">
        <f t="shared" si="0"/>
      </c>
      <c r="BG2702" s="22">
        <f t="shared" si="1"/>
      </c>
      <c r="BH2702" s="22">
        <f t="shared" si="2"/>
        <v>0</v>
      </c>
    </row>
    <row r="2703">
      <c r="B2703">
        <f>[1]资金台帐!B2703&amp;""</f>
      </c>
      <c r="H2703">
        <f>[1]资金台帐!H2703&amp;""</f>
      </c>
      <c r="J2703">
        <f>[1]资金台帐!J2703&amp;""</f>
      </c>
      <c r="N2703">
        <f>[1]资金台帐!N2703</f>
      </c>
      <c r="O2703">
        <f>[1]资金台帐!O2703&amp;""</f>
      </c>
      <c r="P2703">
        <f>[1]资金台帐!P2703&amp;""</f>
      </c>
      <c r="Q2703">
        <f>[1]资金台帐!Q2703&amp;""</f>
      </c>
      <c r="T2703">
        <f>[1]资金台帐!T2703&amp;""</f>
      </c>
      <c r="U2703">
        <f>[1]资金台帐!U2703&amp;""</f>
      </c>
      <c r="W2703">
        <f>[1]资金台帐!W2703&amp;""</f>
      </c>
      <c r="X2703">
        <f>[1]资金台帐!X2703&amp;""</f>
      </c>
      <c r="AB2703">
        <f>[1]资金台帐!AB2703</f>
        <v>0</v>
      </c>
      <c r="AC2703">
        <f>[1]资金台帐!AC2703</f>
        <v>0</v>
      </c>
      <c r="AD2703">
        <f>[1]资金台帐!AD2703</f>
        <v>0</v>
      </c>
      <c r="AJ2703">
        <f>[1]资金台帐!AJ2703</f>
        <v>0</v>
      </c>
      <c r="AK2703">
        <f>[1]资金台帐!AK2703</f>
        <v>0</v>
      </c>
      <c r="BA2703" s="22">
        <f t="shared" si="0"/>
      </c>
      <c r="BG2703" s="22">
        <f t="shared" si="1"/>
      </c>
      <c r="BH2703" s="22">
        <f t="shared" si="2"/>
        <v>0</v>
      </c>
    </row>
    <row r="2704">
      <c r="B2704">
        <f>[1]资金台帐!B2704&amp;""</f>
      </c>
      <c r="H2704">
        <f>[1]资金台帐!H2704&amp;""</f>
      </c>
      <c r="J2704">
        <f>[1]资金台帐!J2704&amp;""</f>
      </c>
      <c r="N2704">
        <f>[1]资金台帐!N2704</f>
      </c>
      <c r="O2704">
        <f>[1]资金台帐!O2704&amp;""</f>
      </c>
      <c r="P2704">
        <f>[1]资金台帐!P2704&amp;""</f>
      </c>
      <c r="Q2704">
        <f>[1]资金台帐!Q2704&amp;""</f>
      </c>
      <c r="T2704">
        <f>[1]资金台帐!T2704&amp;""</f>
      </c>
      <c r="U2704">
        <f>[1]资金台帐!U2704&amp;""</f>
      </c>
      <c r="W2704">
        <f>[1]资金台帐!W2704&amp;""</f>
      </c>
      <c r="X2704">
        <f>[1]资金台帐!X2704&amp;""</f>
      </c>
      <c r="AB2704">
        <f>[1]资金台帐!AB2704</f>
        <v>0</v>
      </c>
      <c r="AC2704">
        <f>[1]资金台帐!AC2704</f>
        <v>0</v>
      </c>
      <c r="AD2704">
        <f>[1]资金台帐!AD2704</f>
        <v>0</v>
      </c>
      <c r="AJ2704">
        <f>[1]资金台帐!AJ2704</f>
        <v>0</v>
      </c>
      <c r="AK2704">
        <f>[1]资金台帐!AK2704</f>
        <v>0</v>
      </c>
      <c r="BA2704" s="22">
        <f t="shared" si="0"/>
      </c>
      <c r="BG2704" s="22">
        <f t="shared" si="1"/>
      </c>
      <c r="BH2704" s="22">
        <f t="shared" si="2"/>
        <v>0</v>
      </c>
    </row>
    <row r="2705">
      <c r="B2705">
        <f>[1]资金台帐!B2705&amp;""</f>
      </c>
      <c r="H2705">
        <f>[1]资金台帐!H2705&amp;""</f>
      </c>
      <c r="J2705">
        <f>[1]资金台帐!J2705&amp;""</f>
      </c>
      <c r="N2705">
        <f>[1]资金台帐!N2705</f>
      </c>
      <c r="O2705">
        <f>[1]资金台帐!O2705&amp;""</f>
      </c>
      <c r="P2705">
        <f>[1]资金台帐!P2705&amp;""</f>
      </c>
      <c r="Q2705">
        <f>[1]资金台帐!Q2705&amp;""</f>
      </c>
      <c r="T2705">
        <f>[1]资金台帐!T2705&amp;""</f>
      </c>
      <c r="U2705">
        <f>[1]资金台帐!U2705&amp;""</f>
      </c>
      <c r="W2705">
        <f>[1]资金台帐!W2705&amp;""</f>
      </c>
      <c r="X2705">
        <f>[1]资金台帐!X2705&amp;""</f>
      </c>
      <c r="AB2705">
        <f>[1]资金台帐!AB2705</f>
        <v>0</v>
      </c>
      <c r="AC2705">
        <f>[1]资金台帐!AC2705</f>
        <v>0</v>
      </c>
      <c r="AD2705">
        <f>[1]资金台帐!AD2705</f>
        <v>0</v>
      </c>
      <c r="AJ2705">
        <f>[1]资金台帐!AJ2705</f>
        <v>0</v>
      </c>
      <c r="AK2705">
        <f>[1]资金台帐!AK2705</f>
        <v>0</v>
      </c>
      <c r="BA2705" s="22">
        <f t="shared" si="0"/>
      </c>
      <c r="BG2705" s="22">
        <f t="shared" si="1"/>
      </c>
      <c r="BH2705" s="22">
        <f t="shared" si="2"/>
        <v>0</v>
      </c>
    </row>
    <row r="2706">
      <c r="B2706">
        <f>[1]资金台帐!B2706&amp;""</f>
      </c>
      <c r="H2706">
        <f>[1]资金台帐!H2706&amp;""</f>
      </c>
      <c r="J2706">
        <f>[1]资金台帐!J2706&amp;""</f>
      </c>
      <c r="N2706">
        <f>[1]资金台帐!N2706</f>
      </c>
      <c r="O2706">
        <f>[1]资金台帐!O2706&amp;""</f>
      </c>
      <c r="P2706">
        <f>[1]资金台帐!P2706&amp;""</f>
      </c>
      <c r="Q2706">
        <f>[1]资金台帐!Q2706&amp;""</f>
      </c>
      <c r="T2706">
        <f>[1]资金台帐!T2706&amp;""</f>
      </c>
      <c r="U2706">
        <f>[1]资金台帐!U2706&amp;""</f>
      </c>
      <c r="W2706">
        <f>[1]资金台帐!W2706&amp;""</f>
      </c>
      <c r="X2706">
        <f>[1]资金台帐!X2706&amp;""</f>
      </c>
      <c r="AB2706">
        <f>[1]资金台帐!AB2706</f>
        <v>0</v>
      </c>
      <c r="AC2706">
        <f>[1]资金台帐!AC2706</f>
        <v>0</v>
      </c>
      <c r="AD2706">
        <f>[1]资金台帐!AD2706</f>
        <v>0</v>
      </c>
      <c r="AJ2706">
        <f>[1]资金台帐!AJ2706</f>
        <v>0</v>
      </c>
      <c r="AK2706">
        <f>[1]资金台帐!AK2706</f>
        <v>0</v>
      </c>
      <c r="BA2706" s="22">
        <f t="shared" si="0"/>
      </c>
      <c r="BG2706" s="22">
        <f t="shared" si="1"/>
      </c>
      <c r="BH2706" s="22">
        <f t="shared" si="2"/>
        <v>0</v>
      </c>
    </row>
    <row r="2707">
      <c r="B2707">
        <f>[1]资金台帐!B2707&amp;""</f>
      </c>
      <c r="H2707">
        <f>[1]资金台帐!H2707&amp;""</f>
      </c>
      <c r="J2707">
        <f>[1]资金台帐!J2707&amp;""</f>
      </c>
      <c r="N2707">
        <f>[1]资金台帐!N2707</f>
      </c>
      <c r="O2707">
        <f>[1]资金台帐!O2707&amp;""</f>
      </c>
      <c r="P2707">
        <f>[1]资金台帐!P2707&amp;""</f>
      </c>
      <c r="Q2707">
        <f>[1]资金台帐!Q2707&amp;""</f>
      </c>
      <c r="T2707">
        <f>[1]资金台帐!T2707&amp;""</f>
      </c>
      <c r="U2707">
        <f>[1]资金台帐!U2707&amp;""</f>
      </c>
      <c r="W2707">
        <f>[1]资金台帐!W2707&amp;""</f>
      </c>
      <c r="X2707">
        <f>[1]资金台帐!X2707&amp;""</f>
      </c>
      <c r="AB2707">
        <f>[1]资金台帐!AB2707</f>
        <v>0</v>
      </c>
      <c r="AC2707">
        <f>[1]资金台帐!AC2707</f>
        <v>0</v>
      </c>
      <c r="AD2707">
        <f>[1]资金台帐!AD2707</f>
        <v>0</v>
      </c>
      <c r="AJ2707">
        <f>[1]资金台帐!AJ2707</f>
        <v>0</v>
      </c>
      <c r="AK2707">
        <f>[1]资金台帐!AK2707</f>
        <v>0</v>
      </c>
      <c r="BA2707" s="22">
        <f t="shared" si="0"/>
      </c>
      <c r="BG2707" s="22">
        <f t="shared" si="1"/>
      </c>
      <c r="BH2707" s="22">
        <f t="shared" si="2"/>
        <v>0</v>
      </c>
    </row>
    <row r="2708">
      <c r="B2708">
        <f>[1]资金台帐!B2708&amp;""</f>
      </c>
      <c r="H2708">
        <f>[1]资金台帐!H2708&amp;""</f>
      </c>
      <c r="J2708">
        <f>[1]资金台帐!J2708&amp;""</f>
      </c>
      <c r="N2708">
        <f>[1]资金台帐!N2708</f>
      </c>
      <c r="O2708">
        <f>[1]资金台帐!O2708&amp;""</f>
      </c>
      <c r="P2708">
        <f>[1]资金台帐!P2708&amp;""</f>
      </c>
      <c r="Q2708">
        <f>[1]资金台帐!Q2708&amp;""</f>
      </c>
      <c r="T2708">
        <f>[1]资金台帐!T2708&amp;""</f>
      </c>
      <c r="U2708">
        <f>[1]资金台帐!U2708&amp;""</f>
      </c>
      <c r="W2708">
        <f>[1]资金台帐!W2708&amp;""</f>
      </c>
      <c r="X2708">
        <f>[1]资金台帐!X2708&amp;""</f>
      </c>
      <c r="AB2708">
        <f>[1]资金台帐!AB2708</f>
        <v>0</v>
      </c>
      <c r="AC2708">
        <f>[1]资金台帐!AC2708</f>
        <v>0</v>
      </c>
      <c r="AD2708">
        <f>[1]资金台帐!AD2708</f>
        <v>0</v>
      </c>
      <c r="AJ2708">
        <f>[1]资金台帐!AJ2708</f>
        <v>0</v>
      </c>
      <c r="AK2708">
        <f>[1]资金台帐!AK2708</f>
        <v>0</v>
      </c>
      <c r="BA2708" s="22">
        <f t="shared" si="0"/>
      </c>
      <c r="BG2708" s="22">
        <f t="shared" si="1"/>
      </c>
      <c r="BH2708" s="22">
        <f t="shared" si="2"/>
        <v>0</v>
      </c>
    </row>
    <row r="2709">
      <c r="B2709">
        <f>[1]资金台帐!B2709&amp;""</f>
      </c>
      <c r="H2709">
        <f>[1]资金台帐!H2709&amp;""</f>
      </c>
      <c r="J2709">
        <f>[1]资金台帐!J2709&amp;""</f>
      </c>
      <c r="N2709">
        <f>[1]资金台帐!N2709</f>
      </c>
      <c r="O2709">
        <f>[1]资金台帐!O2709&amp;""</f>
      </c>
      <c r="P2709">
        <f>[1]资金台帐!P2709&amp;""</f>
      </c>
      <c r="Q2709">
        <f>[1]资金台帐!Q2709&amp;""</f>
      </c>
      <c r="T2709">
        <f>[1]资金台帐!T2709&amp;""</f>
      </c>
      <c r="U2709">
        <f>[1]资金台帐!U2709&amp;""</f>
      </c>
      <c r="W2709">
        <f>[1]资金台帐!W2709&amp;""</f>
      </c>
      <c r="X2709">
        <f>[1]资金台帐!X2709&amp;""</f>
      </c>
      <c r="AB2709">
        <f>[1]资金台帐!AB2709</f>
        <v>0</v>
      </c>
      <c r="AC2709">
        <f>[1]资金台帐!AC2709</f>
        <v>0</v>
      </c>
      <c r="AD2709">
        <f>[1]资金台帐!AD2709</f>
        <v>0</v>
      </c>
      <c r="AJ2709">
        <f>[1]资金台帐!AJ2709</f>
        <v>0</v>
      </c>
      <c r="AK2709">
        <f>[1]资金台帐!AK2709</f>
        <v>0</v>
      </c>
      <c r="BA2709" s="22">
        <f t="shared" si="0"/>
      </c>
      <c r="BG2709" s="22">
        <f t="shared" si="1"/>
      </c>
      <c r="BH2709" s="22">
        <f t="shared" si="2"/>
        <v>0</v>
      </c>
    </row>
    <row r="2710">
      <c r="B2710">
        <f>[1]资金台帐!B2710&amp;""</f>
      </c>
      <c r="H2710">
        <f>[1]资金台帐!H2710&amp;""</f>
      </c>
      <c r="J2710">
        <f>[1]资金台帐!J2710&amp;""</f>
      </c>
      <c r="N2710">
        <f>[1]资金台帐!N2710</f>
      </c>
      <c r="O2710">
        <f>[1]资金台帐!O2710&amp;""</f>
      </c>
      <c r="P2710">
        <f>[1]资金台帐!P2710&amp;""</f>
      </c>
      <c r="Q2710">
        <f>[1]资金台帐!Q2710&amp;""</f>
      </c>
      <c r="T2710">
        <f>[1]资金台帐!T2710&amp;""</f>
      </c>
      <c r="U2710">
        <f>[1]资金台帐!U2710&amp;""</f>
      </c>
      <c r="W2710">
        <f>[1]资金台帐!W2710&amp;""</f>
      </c>
      <c r="X2710">
        <f>[1]资金台帐!X2710&amp;""</f>
      </c>
      <c r="AB2710">
        <f>[1]资金台帐!AB2710</f>
        <v>0</v>
      </c>
      <c r="AC2710">
        <f>[1]资金台帐!AC2710</f>
        <v>0</v>
      </c>
      <c r="AD2710">
        <f>[1]资金台帐!AD2710</f>
        <v>0</v>
      </c>
      <c r="AJ2710">
        <f>[1]资金台帐!AJ2710</f>
        <v>0</v>
      </c>
      <c r="AK2710">
        <f>[1]资金台帐!AK2710</f>
        <v>0</v>
      </c>
      <c r="BA2710" s="22">
        <f t="shared" si="0"/>
      </c>
      <c r="BG2710" s="22">
        <f t="shared" si="1"/>
      </c>
      <c r="BH2710" s="22">
        <f t="shared" si="2"/>
        <v>0</v>
      </c>
    </row>
    <row r="2711">
      <c r="B2711">
        <f>[1]资金台帐!B2711&amp;""</f>
      </c>
      <c r="H2711">
        <f>[1]资金台帐!H2711&amp;""</f>
      </c>
      <c r="J2711">
        <f>[1]资金台帐!J2711&amp;""</f>
      </c>
      <c r="N2711">
        <f>[1]资金台帐!N2711</f>
      </c>
      <c r="O2711">
        <f>[1]资金台帐!O2711&amp;""</f>
      </c>
      <c r="P2711">
        <f>[1]资金台帐!P2711&amp;""</f>
      </c>
      <c r="Q2711">
        <f>[1]资金台帐!Q2711&amp;""</f>
      </c>
      <c r="T2711">
        <f>[1]资金台帐!T2711&amp;""</f>
      </c>
      <c r="U2711">
        <f>[1]资金台帐!U2711&amp;""</f>
      </c>
      <c r="W2711">
        <f>[1]资金台帐!W2711&amp;""</f>
      </c>
      <c r="X2711">
        <f>[1]资金台帐!X2711&amp;""</f>
      </c>
      <c r="AB2711">
        <f>[1]资金台帐!AB2711</f>
        <v>0</v>
      </c>
      <c r="AC2711">
        <f>[1]资金台帐!AC2711</f>
        <v>0</v>
      </c>
      <c r="AD2711">
        <f>[1]资金台帐!AD2711</f>
        <v>0</v>
      </c>
      <c r="AJ2711">
        <f>[1]资金台帐!AJ2711</f>
        <v>0</v>
      </c>
      <c r="AK2711">
        <f>[1]资金台帐!AK2711</f>
        <v>0</v>
      </c>
      <c r="BA2711" s="22">
        <f t="shared" si="0"/>
      </c>
      <c r="BG2711" s="22">
        <f t="shared" si="1"/>
      </c>
      <c r="BH2711" s="22">
        <f t="shared" si="2"/>
        <v>0</v>
      </c>
    </row>
    <row r="2712">
      <c r="B2712">
        <f>[1]资金台帐!B2712&amp;""</f>
      </c>
      <c r="H2712">
        <f>[1]资金台帐!H2712&amp;""</f>
      </c>
      <c r="J2712">
        <f>[1]资金台帐!J2712&amp;""</f>
      </c>
      <c r="N2712">
        <f>[1]资金台帐!N2712</f>
      </c>
      <c r="O2712">
        <f>[1]资金台帐!O2712&amp;""</f>
      </c>
      <c r="P2712">
        <f>[1]资金台帐!P2712&amp;""</f>
      </c>
      <c r="Q2712">
        <f>[1]资金台帐!Q2712&amp;""</f>
      </c>
      <c r="T2712">
        <f>[1]资金台帐!T2712&amp;""</f>
      </c>
      <c r="U2712">
        <f>[1]资金台帐!U2712&amp;""</f>
      </c>
      <c r="W2712">
        <f>[1]资金台帐!W2712&amp;""</f>
      </c>
      <c r="X2712">
        <f>[1]资金台帐!X2712&amp;""</f>
      </c>
      <c r="AB2712">
        <f>[1]资金台帐!AB2712</f>
        <v>0</v>
      </c>
      <c r="AC2712">
        <f>[1]资金台帐!AC2712</f>
        <v>0</v>
      </c>
      <c r="AD2712">
        <f>[1]资金台帐!AD2712</f>
        <v>0</v>
      </c>
      <c r="AJ2712">
        <f>[1]资金台帐!AJ2712</f>
        <v>0</v>
      </c>
      <c r="AK2712">
        <f>[1]资金台帐!AK2712</f>
        <v>0</v>
      </c>
      <c r="BA2712" s="22">
        <f t="shared" si="0"/>
      </c>
      <c r="BG2712" s="22">
        <f t="shared" si="1"/>
      </c>
      <c r="BH2712" s="22">
        <f t="shared" si="2"/>
        <v>0</v>
      </c>
    </row>
    <row r="2713">
      <c r="B2713">
        <f>[1]资金台帐!B2713&amp;""</f>
      </c>
      <c r="H2713">
        <f>[1]资金台帐!H2713&amp;""</f>
      </c>
      <c r="J2713">
        <f>[1]资金台帐!J2713&amp;""</f>
      </c>
      <c r="N2713">
        <f>[1]资金台帐!N2713</f>
      </c>
      <c r="O2713">
        <f>[1]资金台帐!O2713&amp;""</f>
      </c>
      <c r="P2713">
        <f>[1]资金台帐!P2713&amp;""</f>
      </c>
      <c r="Q2713">
        <f>[1]资金台帐!Q2713&amp;""</f>
      </c>
      <c r="T2713">
        <f>[1]资金台帐!T2713&amp;""</f>
      </c>
      <c r="U2713">
        <f>[1]资金台帐!U2713&amp;""</f>
      </c>
      <c r="W2713">
        <f>[1]资金台帐!W2713&amp;""</f>
      </c>
      <c r="X2713">
        <f>[1]资金台帐!X2713&amp;""</f>
      </c>
      <c r="AB2713">
        <f>[1]资金台帐!AB2713</f>
        <v>0</v>
      </c>
      <c r="AC2713">
        <f>[1]资金台帐!AC2713</f>
        <v>0</v>
      </c>
      <c r="AD2713">
        <f>[1]资金台帐!AD2713</f>
        <v>0</v>
      </c>
      <c r="AJ2713">
        <f>[1]资金台帐!AJ2713</f>
        <v>0</v>
      </c>
      <c r="AK2713">
        <f>[1]资金台帐!AK2713</f>
        <v>0</v>
      </c>
      <c r="BA2713" s="22">
        <f t="shared" si="0"/>
      </c>
      <c r="BG2713" s="22">
        <f t="shared" si="1"/>
      </c>
      <c r="BH2713" s="22">
        <f t="shared" si="2"/>
        <v>0</v>
      </c>
    </row>
    <row r="2714">
      <c r="B2714">
        <f>[1]资金台帐!B2714&amp;""</f>
      </c>
      <c r="H2714">
        <f>[1]资金台帐!H2714&amp;""</f>
      </c>
      <c r="J2714">
        <f>[1]资金台帐!J2714&amp;""</f>
      </c>
      <c r="N2714">
        <f>[1]资金台帐!N2714</f>
      </c>
      <c r="O2714">
        <f>[1]资金台帐!O2714&amp;""</f>
      </c>
      <c r="P2714">
        <f>[1]资金台帐!P2714&amp;""</f>
      </c>
      <c r="Q2714">
        <f>[1]资金台帐!Q2714&amp;""</f>
      </c>
      <c r="T2714">
        <f>[1]资金台帐!T2714&amp;""</f>
      </c>
      <c r="U2714">
        <f>[1]资金台帐!U2714&amp;""</f>
      </c>
      <c r="W2714">
        <f>[1]资金台帐!W2714&amp;""</f>
      </c>
      <c r="X2714">
        <f>[1]资金台帐!X2714&amp;""</f>
      </c>
      <c r="AB2714">
        <f>[1]资金台帐!AB2714</f>
        <v>0</v>
      </c>
      <c r="AC2714">
        <f>[1]资金台帐!AC2714</f>
        <v>0</v>
      </c>
      <c r="AD2714">
        <f>[1]资金台帐!AD2714</f>
        <v>0</v>
      </c>
      <c r="AJ2714">
        <f>[1]资金台帐!AJ2714</f>
        <v>0</v>
      </c>
      <c r="AK2714">
        <f>[1]资金台帐!AK2714</f>
        <v>0</v>
      </c>
      <c r="BA2714" s="22">
        <f t="shared" si="0"/>
      </c>
      <c r="BG2714" s="22">
        <f t="shared" si="1"/>
      </c>
      <c r="BH2714" s="22">
        <f t="shared" si="2"/>
        <v>0</v>
      </c>
    </row>
    <row r="2715">
      <c r="B2715">
        <f>[1]资金台帐!B2715&amp;""</f>
      </c>
      <c r="H2715">
        <f>[1]资金台帐!H2715&amp;""</f>
      </c>
      <c r="J2715">
        <f>[1]资金台帐!J2715&amp;""</f>
      </c>
      <c r="N2715">
        <f>[1]资金台帐!N2715</f>
      </c>
      <c r="O2715">
        <f>[1]资金台帐!O2715&amp;""</f>
      </c>
      <c r="P2715">
        <f>[1]资金台帐!P2715&amp;""</f>
      </c>
      <c r="Q2715">
        <f>[1]资金台帐!Q2715&amp;""</f>
      </c>
      <c r="T2715">
        <f>[1]资金台帐!T2715&amp;""</f>
      </c>
      <c r="U2715">
        <f>[1]资金台帐!U2715&amp;""</f>
      </c>
      <c r="W2715">
        <f>[1]资金台帐!W2715&amp;""</f>
      </c>
      <c r="X2715">
        <f>[1]资金台帐!X2715&amp;""</f>
      </c>
      <c r="AB2715">
        <f>[1]资金台帐!AB2715</f>
        <v>0</v>
      </c>
      <c r="AC2715">
        <f>[1]资金台帐!AC2715</f>
        <v>0</v>
      </c>
      <c r="AD2715">
        <f>[1]资金台帐!AD2715</f>
        <v>0</v>
      </c>
      <c r="AJ2715">
        <f>[1]资金台帐!AJ2715</f>
        <v>0</v>
      </c>
      <c r="AK2715">
        <f>[1]资金台帐!AK2715</f>
        <v>0</v>
      </c>
      <c r="BA2715" s="22">
        <f t="shared" si="0"/>
      </c>
      <c r="BG2715" s="22">
        <f t="shared" si="1"/>
      </c>
      <c r="BH2715" s="22">
        <f t="shared" si="2"/>
        <v>0</v>
      </c>
    </row>
    <row r="2716">
      <c r="B2716">
        <f>[1]资金台帐!B2716&amp;""</f>
      </c>
      <c r="H2716">
        <f>[1]资金台帐!H2716&amp;""</f>
      </c>
      <c r="J2716">
        <f>[1]资金台帐!J2716&amp;""</f>
      </c>
      <c r="N2716">
        <f>[1]资金台帐!N2716</f>
      </c>
      <c r="O2716">
        <f>[1]资金台帐!O2716&amp;""</f>
      </c>
      <c r="P2716">
        <f>[1]资金台帐!P2716&amp;""</f>
      </c>
      <c r="Q2716">
        <f>[1]资金台帐!Q2716&amp;""</f>
      </c>
      <c r="T2716">
        <f>[1]资金台帐!T2716&amp;""</f>
      </c>
      <c r="U2716">
        <f>[1]资金台帐!U2716&amp;""</f>
      </c>
      <c r="W2716">
        <f>[1]资金台帐!W2716&amp;""</f>
      </c>
      <c r="X2716">
        <f>[1]资金台帐!X2716&amp;""</f>
      </c>
      <c r="AB2716">
        <f>[1]资金台帐!AB2716</f>
        <v>0</v>
      </c>
      <c r="AC2716">
        <f>[1]资金台帐!AC2716</f>
        <v>0</v>
      </c>
      <c r="AD2716">
        <f>[1]资金台帐!AD2716</f>
        <v>0</v>
      </c>
      <c r="AJ2716">
        <f>[1]资金台帐!AJ2716</f>
        <v>0</v>
      </c>
      <c r="AK2716">
        <f>[1]资金台帐!AK2716</f>
        <v>0</v>
      </c>
      <c r="BA2716" s="22">
        <f t="shared" si="0"/>
      </c>
      <c r="BG2716" s="22">
        <f t="shared" si="1"/>
      </c>
      <c r="BH2716" s="22">
        <f t="shared" si="2"/>
        <v>0</v>
      </c>
    </row>
    <row r="2717">
      <c r="B2717">
        <f>[1]资金台帐!B2717&amp;""</f>
      </c>
      <c r="H2717">
        <f>[1]资金台帐!H2717&amp;""</f>
      </c>
      <c r="J2717">
        <f>[1]资金台帐!J2717&amp;""</f>
      </c>
      <c r="N2717">
        <f>[1]资金台帐!N2717</f>
      </c>
      <c r="O2717">
        <f>[1]资金台帐!O2717&amp;""</f>
      </c>
      <c r="P2717">
        <f>[1]资金台帐!P2717&amp;""</f>
      </c>
      <c r="Q2717">
        <f>[1]资金台帐!Q2717&amp;""</f>
      </c>
      <c r="T2717">
        <f>[1]资金台帐!T2717&amp;""</f>
      </c>
      <c r="U2717">
        <f>[1]资金台帐!U2717&amp;""</f>
      </c>
      <c r="W2717">
        <f>[1]资金台帐!W2717&amp;""</f>
      </c>
      <c r="X2717">
        <f>[1]资金台帐!X2717&amp;""</f>
      </c>
      <c r="AB2717">
        <f>[1]资金台帐!AB2717</f>
        <v>0</v>
      </c>
      <c r="AC2717">
        <f>[1]资金台帐!AC2717</f>
        <v>0</v>
      </c>
      <c r="AD2717">
        <f>[1]资金台帐!AD2717</f>
        <v>0</v>
      </c>
      <c r="AJ2717">
        <f>[1]资金台帐!AJ2717</f>
        <v>0</v>
      </c>
      <c r="AK2717">
        <f>[1]资金台帐!AK2717</f>
        <v>0</v>
      </c>
      <c r="BA2717" s="22">
        <f t="shared" si="0"/>
      </c>
      <c r="BG2717" s="22">
        <f t="shared" si="1"/>
      </c>
      <c r="BH2717" s="22">
        <f t="shared" si="2"/>
        <v>0</v>
      </c>
    </row>
    <row r="2718">
      <c r="B2718">
        <f>[1]资金台帐!B2718&amp;""</f>
      </c>
      <c r="H2718">
        <f>[1]资金台帐!H2718&amp;""</f>
      </c>
      <c r="J2718">
        <f>[1]资金台帐!J2718&amp;""</f>
      </c>
      <c r="N2718">
        <f>[1]资金台帐!N2718</f>
      </c>
      <c r="O2718">
        <f>[1]资金台帐!O2718&amp;""</f>
      </c>
      <c r="P2718">
        <f>[1]资金台帐!P2718&amp;""</f>
      </c>
      <c r="Q2718">
        <f>[1]资金台帐!Q2718&amp;""</f>
      </c>
      <c r="T2718">
        <f>[1]资金台帐!T2718&amp;""</f>
      </c>
      <c r="U2718">
        <f>[1]资金台帐!U2718&amp;""</f>
      </c>
      <c r="W2718">
        <f>[1]资金台帐!W2718&amp;""</f>
      </c>
      <c r="X2718">
        <f>[1]资金台帐!X2718&amp;""</f>
      </c>
      <c r="AB2718">
        <f>[1]资金台帐!AB2718</f>
        <v>0</v>
      </c>
      <c r="AC2718">
        <f>[1]资金台帐!AC2718</f>
        <v>0</v>
      </c>
      <c r="AD2718">
        <f>[1]资金台帐!AD2718</f>
        <v>0</v>
      </c>
      <c r="AJ2718">
        <f>[1]资金台帐!AJ2718</f>
        <v>0</v>
      </c>
      <c r="AK2718">
        <f>[1]资金台帐!AK2718</f>
        <v>0</v>
      </c>
      <c r="BA2718" s="22">
        <f t="shared" si="0"/>
      </c>
      <c r="BG2718" s="22">
        <f t="shared" si="1"/>
      </c>
      <c r="BH2718" s="22">
        <f t="shared" si="2"/>
        <v>0</v>
      </c>
    </row>
    <row r="2719">
      <c r="B2719">
        <f>[1]资金台帐!B2719&amp;""</f>
      </c>
      <c r="H2719">
        <f>[1]资金台帐!H2719&amp;""</f>
      </c>
      <c r="J2719">
        <f>[1]资金台帐!J2719&amp;""</f>
      </c>
      <c r="N2719">
        <f>[1]资金台帐!N2719</f>
      </c>
      <c r="O2719">
        <f>[1]资金台帐!O2719&amp;""</f>
      </c>
      <c r="P2719">
        <f>[1]资金台帐!P2719&amp;""</f>
      </c>
      <c r="Q2719">
        <f>[1]资金台帐!Q2719&amp;""</f>
      </c>
      <c r="T2719">
        <f>[1]资金台帐!T2719&amp;""</f>
      </c>
      <c r="U2719">
        <f>[1]资金台帐!U2719&amp;""</f>
      </c>
      <c r="W2719">
        <f>[1]资金台帐!W2719&amp;""</f>
      </c>
      <c r="X2719">
        <f>[1]资金台帐!X2719&amp;""</f>
      </c>
      <c r="AB2719">
        <f>[1]资金台帐!AB2719</f>
        <v>0</v>
      </c>
      <c r="AC2719">
        <f>[1]资金台帐!AC2719</f>
        <v>0</v>
      </c>
      <c r="AD2719">
        <f>[1]资金台帐!AD2719</f>
        <v>0</v>
      </c>
      <c r="AJ2719">
        <f>[1]资金台帐!AJ2719</f>
        <v>0</v>
      </c>
      <c r="AK2719">
        <f>[1]资金台帐!AK2719</f>
        <v>0</v>
      </c>
      <c r="BA2719" s="22">
        <f t="shared" si="0"/>
      </c>
      <c r="BG2719" s="22">
        <f t="shared" si="1"/>
      </c>
      <c r="BH2719" s="22">
        <f t="shared" si="2"/>
        <v>0</v>
      </c>
    </row>
    <row r="2720">
      <c r="B2720">
        <f>[1]资金台帐!B2720&amp;""</f>
      </c>
      <c r="H2720">
        <f>[1]资金台帐!H2720&amp;""</f>
      </c>
      <c r="J2720">
        <f>[1]资金台帐!J2720&amp;""</f>
      </c>
      <c r="N2720">
        <f>[1]资金台帐!N2720</f>
      </c>
      <c r="O2720">
        <f>[1]资金台帐!O2720&amp;""</f>
      </c>
      <c r="P2720">
        <f>[1]资金台帐!P2720&amp;""</f>
      </c>
      <c r="Q2720">
        <f>[1]资金台帐!Q2720&amp;""</f>
      </c>
      <c r="T2720">
        <f>[1]资金台帐!T2720&amp;""</f>
      </c>
      <c r="U2720">
        <f>[1]资金台帐!U2720&amp;""</f>
      </c>
      <c r="W2720">
        <f>[1]资金台帐!W2720&amp;""</f>
      </c>
      <c r="X2720">
        <f>[1]资金台帐!X2720&amp;""</f>
      </c>
      <c r="AB2720">
        <f>[1]资金台帐!AB2720</f>
        <v>0</v>
      </c>
      <c r="AC2720">
        <f>[1]资金台帐!AC2720</f>
        <v>0</v>
      </c>
      <c r="AD2720">
        <f>[1]资金台帐!AD2720</f>
        <v>0</v>
      </c>
      <c r="AJ2720">
        <f>[1]资金台帐!AJ2720</f>
        <v>0</v>
      </c>
      <c r="AK2720">
        <f>[1]资金台帐!AK2720</f>
        <v>0</v>
      </c>
      <c r="BA2720" s="22">
        <f t="shared" si="0"/>
      </c>
      <c r="BG2720" s="22">
        <f t="shared" si="1"/>
      </c>
      <c r="BH2720" s="22">
        <f t="shared" si="2"/>
        <v>0</v>
      </c>
    </row>
    <row r="2721">
      <c r="B2721">
        <f>[1]资金台帐!B2721&amp;""</f>
      </c>
      <c r="H2721">
        <f>[1]资金台帐!H2721&amp;""</f>
      </c>
      <c r="J2721">
        <f>[1]资金台帐!J2721&amp;""</f>
      </c>
      <c r="N2721">
        <f>[1]资金台帐!N2721</f>
      </c>
      <c r="O2721">
        <f>[1]资金台帐!O2721&amp;""</f>
      </c>
      <c r="P2721">
        <f>[1]资金台帐!P2721&amp;""</f>
      </c>
      <c r="Q2721">
        <f>[1]资金台帐!Q2721&amp;""</f>
      </c>
      <c r="T2721">
        <f>[1]资金台帐!T2721&amp;""</f>
      </c>
      <c r="U2721">
        <f>[1]资金台帐!U2721&amp;""</f>
      </c>
      <c r="W2721">
        <f>[1]资金台帐!W2721&amp;""</f>
      </c>
      <c r="X2721">
        <f>[1]资金台帐!X2721&amp;""</f>
      </c>
      <c r="AB2721">
        <f>[1]资金台帐!AB2721</f>
        <v>0</v>
      </c>
      <c r="AC2721">
        <f>[1]资金台帐!AC2721</f>
        <v>0</v>
      </c>
      <c r="AD2721">
        <f>[1]资金台帐!AD2721</f>
        <v>0</v>
      </c>
      <c r="AJ2721">
        <f>[1]资金台帐!AJ2721</f>
        <v>0</v>
      </c>
      <c r="AK2721">
        <f>[1]资金台帐!AK2721</f>
        <v>0</v>
      </c>
      <c r="BA2721" s="22">
        <f t="shared" si="0"/>
      </c>
      <c r="BG2721" s="22">
        <f t="shared" si="1"/>
      </c>
      <c r="BH2721" s="22">
        <f t="shared" si="2"/>
        <v>0</v>
      </c>
    </row>
    <row r="2722">
      <c r="B2722">
        <f>[1]资金台帐!B2722&amp;""</f>
      </c>
      <c r="H2722">
        <f>[1]资金台帐!H2722&amp;""</f>
      </c>
      <c r="J2722">
        <f>[1]资金台帐!J2722&amp;""</f>
      </c>
      <c r="N2722">
        <f>[1]资金台帐!N2722</f>
      </c>
      <c r="O2722">
        <f>[1]资金台帐!O2722&amp;""</f>
      </c>
      <c r="P2722">
        <f>[1]资金台帐!P2722&amp;""</f>
      </c>
      <c r="Q2722">
        <f>[1]资金台帐!Q2722&amp;""</f>
      </c>
      <c r="T2722">
        <f>[1]资金台帐!T2722&amp;""</f>
      </c>
      <c r="U2722">
        <f>[1]资金台帐!U2722&amp;""</f>
      </c>
      <c r="W2722">
        <f>[1]资金台帐!W2722&amp;""</f>
      </c>
      <c r="X2722">
        <f>[1]资金台帐!X2722&amp;""</f>
      </c>
      <c r="AB2722">
        <f>[1]资金台帐!AB2722</f>
        <v>0</v>
      </c>
      <c r="AC2722">
        <f>[1]资金台帐!AC2722</f>
        <v>0</v>
      </c>
      <c r="AD2722">
        <f>[1]资金台帐!AD2722</f>
        <v>0</v>
      </c>
      <c r="AJ2722">
        <f>[1]资金台帐!AJ2722</f>
        <v>0</v>
      </c>
      <c r="AK2722">
        <f>[1]资金台帐!AK2722</f>
        <v>0</v>
      </c>
      <c r="BA2722" s="22">
        <f t="shared" si="0"/>
      </c>
      <c r="BG2722" s="22">
        <f t="shared" si="1"/>
      </c>
      <c r="BH2722" s="22">
        <f t="shared" si="2"/>
        <v>0</v>
      </c>
    </row>
    <row r="2723">
      <c r="B2723">
        <f>[1]资金台帐!B2723&amp;""</f>
      </c>
      <c r="H2723">
        <f>[1]资金台帐!H2723&amp;""</f>
      </c>
      <c r="J2723">
        <f>[1]资金台帐!J2723&amp;""</f>
      </c>
      <c r="N2723">
        <f>[1]资金台帐!N2723</f>
      </c>
      <c r="O2723">
        <f>[1]资金台帐!O2723&amp;""</f>
      </c>
      <c r="P2723">
        <f>[1]资金台帐!P2723&amp;""</f>
      </c>
      <c r="Q2723">
        <f>[1]资金台帐!Q2723&amp;""</f>
      </c>
      <c r="T2723">
        <f>[1]资金台帐!T2723&amp;""</f>
      </c>
      <c r="U2723">
        <f>[1]资金台帐!U2723&amp;""</f>
      </c>
      <c r="W2723">
        <f>[1]资金台帐!W2723&amp;""</f>
      </c>
      <c r="X2723">
        <f>[1]资金台帐!X2723&amp;""</f>
      </c>
      <c r="AB2723">
        <f>[1]资金台帐!AB2723</f>
        <v>0</v>
      </c>
      <c r="AC2723">
        <f>[1]资金台帐!AC2723</f>
        <v>0</v>
      </c>
      <c r="AD2723">
        <f>[1]资金台帐!AD2723</f>
        <v>0</v>
      </c>
      <c r="AJ2723">
        <f>[1]资金台帐!AJ2723</f>
        <v>0</v>
      </c>
      <c r="AK2723">
        <f>[1]资金台帐!AK2723</f>
        <v>0</v>
      </c>
      <c r="BA2723" s="22">
        <f t="shared" si="0"/>
      </c>
      <c r="BG2723" s="22">
        <f t="shared" si="1"/>
      </c>
      <c r="BH2723" s="22">
        <f t="shared" si="2"/>
        <v>0</v>
      </c>
    </row>
    <row r="2724">
      <c r="B2724">
        <f>[1]资金台帐!B2724&amp;""</f>
      </c>
      <c r="H2724">
        <f>[1]资金台帐!H2724&amp;""</f>
      </c>
      <c r="J2724">
        <f>[1]资金台帐!J2724&amp;""</f>
      </c>
      <c r="N2724">
        <f>[1]资金台帐!N2724</f>
      </c>
      <c r="O2724">
        <f>[1]资金台帐!O2724&amp;""</f>
      </c>
      <c r="P2724">
        <f>[1]资金台帐!P2724&amp;""</f>
      </c>
      <c r="Q2724">
        <f>[1]资金台帐!Q2724&amp;""</f>
      </c>
      <c r="T2724">
        <f>[1]资金台帐!T2724&amp;""</f>
      </c>
      <c r="U2724">
        <f>[1]资金台帐!U2724&amp;""</f>
      </c>
      <c r="W2724">
        <f>[1]资金台帐!W2724&amp;""</f>
      </c>
      <c r="X2724">
        <f>[1]资金台帐!X2724&amp;""</f>
      </c>
      <c r="AB2724">
        <f>[1]资金台帐!AB2724</f>
        <v>0</v>
      </c>
      <c r="AC2724">
        <f>[1]资金台帐!AC2724</f>
        <v>0</v>
      </c>
      <c r="AD2724">
        <f>[1]资金台帐!AD2724</f>
        <v>0</v>
      </c>
      <c r="AJ2724">
        <f>[1]资金台帐!AJ2724</f>
        <v>0</v>
      </c>
      <c r="AK2724">
        <f>[1]资金台帐!AK2724</f>
        <v>0</v>
      </c>
      <c r="BA2724" s="22">
        <f t="shared" si="0"/>
      </c>
      <c r="BG2724" s="22">
        <f t="shared" si="1"/>
      </c>
      <c r="BH2724" s="22">
        <f t="shared" si="2"/>
        <v>0</v>
      </c>
    </row>
    <row r="2725">
      <c r="B2725">
        <f>[1]资金台帐!B2725&amp;""</f>
      </c>
      <c r="H2725">
        <f>[1]资金台帐!H2725&amp;""</f>
      </c>
      <c r="J2725">
        <f>[1]资金台帐!J2725&amp;""</f>
      </c>
      <c r="N2725">
        <f>[1]资金台帐!N2725</f>
      </c>
      <c r="O2725">
        <f>[1]资金台帐!O2725&amp;""</f>
      </c>
      <c r="P2725">
        <f>[1]资金台帐!P2725&amp;""</f>
      </c>
      <c r="Q2725">
        <f>[1]资金台帐!Q2725&amp;""</f>
      </c>
      <c r="T2725">
        <f>[1]资金台帐!T2725&amp;""</f>
      </c>
      <c r="U2725">
        <f>[1]资金台帐!U2725&amp;""</f>
      </c>
      <c r="W2725">
        <f>[1]资金台帐!W2725&amp;""</f>
      </c>
      <c r="X2725">
        <f>[1]资金台帐!X2725&amp;""</f>
      </c>
      <c r="AB2725">
        <f>[1]资金台帐!AB2725</f>
        <v>0</v>
      </c>
      <c r="AC2725">
        <f>[1]资金台帐!AC2725</f>
        <v>0</v>
      </c>
      <c r="AD2725">
        <f>[1]资金台帐!AD2725</f>
        <v>0</v>
      </c>
      <c r="AJ2725">
        <f>[1]资金台帐!AJ2725</f>
        <v>0</v>
      </c>
      <c r="AK2725">
        <f>[1]资金台帐!AK2725</f>
        <v>0</v>
      </c>
      <c r="BA2725" s="22">
        <f t="shared" si="0"/>
      </c>
      <c r="BG2725" s="22">
        <f t="shared" si="1"/>
      </c>
      <c r="BH2725" s="22">
        <f t="shared" si="2"/>
        <v>0</v>
      </c>
    </row>
    <row r="2726">
      <c r="B2726">
        <f>[1]资金台帐!B2726&amp;""</f>
      </c>
      <c r="H2726">
        <f>[1]资金台帐!H2726&amp;""</f>
      </c>
      <c r="J2726">
        <f>[1]资金台帐!J2726&amp;""</f>
      </c>
      <c r="N2726">
        <f>[1]资金台帐!N2726</f>
      </c>
      <c r="O2726">
        <f>[1]资金台帐!O2726&amp;""</f>
      </c>
      <c r="P2726">
        <f>[1]资金台帐!P2726&amp;""</f>
      </c>
      <c r="Q2726">
        <f>[1]资金台帐!Q2726&amp;""</f>
      </c>
      <c r="T2726">
        <f>[1]资金台帐!T2726&amp;""</f>
      </c>
      <c r="U2726">
        <f>[1]资金台帐!U2726&amp;""</f>
      </c>
      <c r="W2726">
        <f>[1]资金台帐!W2726&amp;""</f>
      </c>
      <c r="X2726">
        <f>[1]资金台帐!X2726&amp;""</f>
      </c>
      <c r="AB2726">
        <f>[1]资金台帐!AB2726</f>
        <v>0</v>
      </c>
      <c r="AC2726">
        <f>[1]资金台帐!AC2726</f>
        <v>0</v>
      </c>
      <c r="AD2726">
        <f>[1]资金台帐!AD2726</f>
        <v>0</v>
      </c>
      <c r="AJ2726">
        <f>[1]资金台帐!AJ2726</f>
        <v>0</v>
      </c>
      <c r="AK2726">
        <f>[1]资金台帐!AK2726</f>
        <v>0</v>
      </c>
      <c r="BA2726" s="22">
        <f t="shared" si="0"/>
      </c>
      <c r="BG2726" s="22">
        <f t="shared" si="1"/>
      </c>
      <c r="BH2726" s="22">
        <f t="shared" si="2"/>
        <v>0</v>
      </c>
    </row>
    <row r="2727">
      <c r="B2727">
        <f>[1]资金台帐!B2727&amp;""</f>
      </c>
      <c r="H2727">
        <f>[1]资金台帐!H2727&amp;""</f>
      </c>
      <c r="J2727">
        <f>[1]资金台帐!J2727&amp;""</f>
      </c>
      <c r="N2727">
        <f>[1]资金台帐!N2727</f>
      </c>
      <c r="O2727">
        <f>[1]资金台帐!O2727&amp;""</f>
      </c>
      <c r="P2727">
        <f>[1]资金台帐!P2727&amp;""</f>
      </c>
      <c r="Q2727">
        <f>[1]资金台帐!Q2727&amp;""</f>
      </c>
      <c r="T2727">
        <f>[1]资金台帐!T2727&amp;""</f>
      </c>
      <c r="U2727">
        <f>[1]资金台帐!U2727&amp;""</f>
      </c>
      <c r="W2727">
        <f>[1]资金台帐!W2727&amp;""</f>
      </c>
      <c r="X2727">
        <f>[1]资金台帐!X2727&amp;""</f>
      </c>
      <c r="AB2727">
        <f>[1]资金台帐!AB2727</f>
        <v>0</v>
      </c>
      <c r="AC2727">
        <f>[1]资金台帐!AC2727</f>
        <v>0</v>
      </c>
      <c r="AD2727">
        <f>[1]资金台帐!AD2727</f>
        <v>0</v>
      </c>
      <c r="AJ2727">
        <f>[1]资金台帐!AJ2727</f>
        <v>0</v>
      </c>
      <c r="AK2727">
        <f>[1]资金台帐!AK2727</f>
        <v>0</v>
      </c>
      <c r="BA2727" s="22">
        <f t="shared" si="0"/>
      </c>
      <c r="BG2727" s="22">
        <f t="shared" si="1"/>
      </c>
      <c r="BH2727" s="22">
        <f t="shared" si="2"/>
        <v>0</v>
      </c>
    </row>
    <row r="2728">
      <c r="B2728">
        <f>[1]资金台帐!B2728&amp;""</f>
      </c>
      <c r="H2728">
        <f>[1]资金台帐!H2728&amp;""</f>
      </c>
      <c r="J2728">
        <f>[1]资金台帐!J2728&amp;""</f>
      </c>
      <c r="N2728">
        <f>[1]资金台帐!N2728</f>
      </c>
      <c r="O2728">
        <f>[1]资金台帐!O2728&amp;""</f>
      </c>
      <c r="P2728">
        <f>[1]资金台帐!P2728&amp;""</f>
      </c>
      <c r="Q2728">
        <f>[1]资金台帐!Q2728&amp;""</f>
      </c>
      <c r="T2728">
        <f>[1]资金台帐!T2728&amp;""</f>
      </c>
      <c r="U2728">
        <f>[1]资金台帐!U2728&amp;""</f>
      </c>
      <c r="W2728">
        <f>[1]资金台帐!W2728&amp;""</f>
      </c>
      <c r="X2728">
        <f>[1]资金台帐!X2728&amp;""</f>
      </c>
      <c r="AB2728">
        <f>[1]资金台帐!AB2728</f>
        <v>0</v>
      </c>
      <c r="AC2728">
        <f>[1]资金台帐!AC2728</f>
        <v>0</v>
      </c>
      <c r="AD2728">
        <f>[1]资金台帐!AD2728</f>
        <v>0</v>
      </c>
      <c r="AJ2728">
        <f>[1]资金台帐!AJ2728</f>
        <v>0</v>
      </c>
      <c r="AK2728">
        <f>[1]资金台帐!AK2728</f>
        <v>0</v>
      </c>
      <c r="BA2728" s="22">
        <f t="shared" si="0"/>
      </c>
      <c r="BG2728" s="22">
        <f t="shared" si="1"/>
      </c>
      <c r="BH2728" s="22">
        <f t="shared" si="2"/>
        <v>0</v>
      </c>
    </row>
    <row r="2729">
      <c r="B2729">
        <f>[1]资金台帐!B2729&amp;""</f>
      </c>
      <c r="H2729">
        <f>[1]资金台帐!H2729&amp;""</f>
      </c>
      <c r="J2729">
        <f>[1]资金台帐!J2729&amp;""</f>
      </c>
      <c r="N2729">
        <f>[1]资金台帐!N2729</f>
      </c>
      <c r="O2729">
        <f>[1]资金台帐!O2729&amp;""</f>
      </c>
      <c r="P2729">
        <f>[1]资金台帐!P2729&amp;""</f>
      </c>
      <c r="Q2729">
        <f>[1]资金台帐!Q2729&amp;""</f>
      </c>
      <c r="T2729">
        <f>[1]资金台帐!T2729&amp;""</f>
      </c>
      <c r="U2729">
        <f>[1]资金台帐!U2729&amp;""</f>
      </c>
      <c r="W2729">
        <f>[1]资金台帐!W2729&amp;""</f>
      </c>
      <c r="X2729">
        <f>[1]资金台帐!X2729&amp;""</f>
      </c>
      <c r="AB2729">
        <f>[1]资金台帐!AB2729</f>
        <v>0</v>
      </c>
      <c r="AC2729">
        <f>[1]资金台帐!AC2729</f>
        <v>0</v>
      </c>
      <c r="AD2729">
        <f>[1]资金台帐!AD2729</f>
        <v>0</v>
      </c>
      <c r="AJ2729">
        <f>[1]资金台帐!AJ2729</f>
        <v>0</v>
      </c>
      <c r="AK2729">
        <f>[1]资金台帐!AK2729</f>
        <v>0</v>
      </c>
      <c r="BA2729" s="22">
        <f t="shared" si="0"/>
      </c>
      <c r="BG2729" s="22">
        <f t="shared" si="1"/>
      </c>
      <c r="BH2729" s="22">
        <f t="shared" si="2"/>
        <v>0</v>
      </c>
    </row>
    <row r="2730">
      <c r="B2730">
        <f>[1]资金台帐!B2730&amp;""</f>
      </c>
      <c r="H2730">
        <f>[1]资金台帐!H2730&amp;""</f>
      </c>
      <c r="J2730">
        <f>[1]资金台帐!J2730&amp;""</f>
      </c>
      <c r="N2730">
        <f>[1]资金台帐!N2730</f>
      </c>
      <c r="O2730">
        <f>[1]资金台帐!O2730&amp;""</f>
      </c>
      <c r="P2730">
        <f>[1]资金台帐!P2730&amp;""</f>
      </c>
      <c r="Q2730">
        <f>[1]资金台帐!Q2730&amp;""</f>
      </c>
      <c r="T2730">
        <f>[1]资金台帐!T2730&amp;""</f>
      </c>
      <c r="U2730">
        <f>[1]资金台帐!U2730&amp;""</f>
      </c>
      <c r="W2730">
        <f>[1]资金台帐!W2730&amp;""</f>
      </c>
      <c r="X2730">
        <f>[1]资金台帐!X2730&amp;""</f>
      </c>
      <c r="AB2730">
        <f>[1]资金台帐!AB2730</f>
        <v>0</v>
      </c>
      <c r="AC2730">
        <f>[1]资金台帐!AC2730</f>
        <v>0</v>
      </c>
      <c r="AD2730">
        <f>[1]资金台帐!AD2730</f>
        <v>0</v>
      </c>
      <c r="AJ2730">
        <f>[1]资金台帐!AJ2730</f>
        <v>0</v>
      </c>
      <c r="AK2730">
        <f>[1]资金台帐!AK2730</f>
        <v>0</v>
      </c>
      <c r="BA2730" s="22">
        <f t="shared" si="0"/>
      </c>
      <c r="BG2730" s="22">
        <f t="shared" si="1"/>
      </c>
      <c r="BH2730" s="22">
        <f t="shared" si="2"/>
        <v>0</v>
      </c>
    </row>
    <row r="2731">
      <c r="B2731">
        <f>[1]资金台帐!B2731&amp;""</f>
      </c>
      <c r="H2731">
        <f>[1]资金台帐!H2731&amp;""</f>
      </c>
      <c r="J2731">
        <f>[1]资金台帐!J2731&amp;""</f>
      </c>
      <c r="N2731">
        <f>[1]资金台帐!N2731</f>
      </c>
      <c r="O2731">
        <f>[1]资金台帐!O2731&amp;""</f>
      </c>
      <c r="P2731">
        <f>[1]资金台帐!P2731&amp;""</f>
      </c>
      <c r="Q2731">
        <f>[1]资金台帐!Q2731&amp;""</f>
      </c>
      <c r="T2731">
        <f>[1]资金台帐!T2731&amp;""</f>
      </c>
      <c r="U2731">
        <f>[1]资金台帐!U2731&amp;""</f>
      </c>
      <c r="W2731">
        <f>[1]资金台帐!W2731&amp;""</f>
      </c>
      <c r="X2731">
        <f>[1]资金台帐!X2731&amp;""</f>
      </c>
      <c r="AB2731">
        <f>[1]资金台帐!AB2731</f>
        <v>0</v>
      </c>
      <c r="AC2731">
        <f>[1]资金台帐!AC2731</f>
        <v>0</v>
      </c>
      <c r="AD2731">
        <f>[1]资金台帐!AD2731</f>
        <v>0</v>
      </c>
      <c r="AJ2731">
        <f>[1]资金台帐!AJ2731</f>
        <v>0</v>
      </c>
      <c r="AK2731">
        <f>[1]资金台帐!AK2731</f>
        <v>0</v>
      </c>
      <c r="BA2731" s="22">
        <f t="shared" si="0"/>
      </c>
      <c r="BG2731" s="22">
        <f t="shared" si="1"/>
      </c>
      <c r="BH2731" s="22">
        <f t="shared" si="2"/>
        <v>0</v>
      </c>
    </row>
    <row r="2732">
      <c r="B2732">
        <f>[1]资金台帐!B2732&amp;""</f>
      </c>
      <c r="H2732">
        <f>[1]资金台帐!H2732&amp;""</f>
      </c>
      <c r="J2732">
        <f>[1]资金台帐!J2732&amp;""</f>
      </c>
      <c r="N2732">
        <f>[1]资金台帐!N2732</f>
      </c>
      <c r="O2732">
        <f>[1]资金台帐!O2732&amp;""</f>
      </c>
      <c r="P2732">
        <f>[1]资金台帐!P2732&amp;""</f>
      </c>
      <c r="Q2732">
        <f>[1]资金台帐!Q2732&amp;""</f>
      </c>
      <c r="T2732">
        <f>[1]资金台帐!T2732&amp;""</f>
      </c>
      <c r="U2732">
        <f>[1]资金台帐!U2732&amp;""</f>
      </c>
      <c r="W2732">
        <f>[1]资金台帐!W2732&amp;""</f>
      </c>
      <c r="X2732">
        <f>[1]资金台帐!X2732&amp;""</f>
      </c>
      <c r="AB2732">
        <f>[1]资金台帐!AB2732</f>
        <v>0</v>
      </c>
      <c r="AC2732">
        <f>[1]资金台帐!AC2732</f>
        <v>0</v>
      </c>
      <c r="AD2732">
        <f>[1]资金台帐!AD2732</f>
        <v>0</v>
      </c>
      <c r="AJ2732">
        <f>[1]资金台帐!AJ2732</f>
        <v>0</v>
      </c>
      <c r="AK2732">
        <f>[1]资金台帐!AK2732</f>
        <v>0</v>
      </c>
      <c r="BA2732" s="22">
        <f t="shared" si="0"/>
      </c>
      <c r="BG2732" s="22">
        <f t="shared" si="1"/>
      </c>
      <c r="BH2732" s="22">
        <f t="shared" si="2"/>
        <v>0</v>
      </c>
    </row>
    <row r="2733">
      <c r="B2733">
        <f>[1]资金台帐!B2733&amp;""</f>
      </c>
      <c r="H2733">
        <f>[1]资金台帐!H2733&amp;""</f>
      </c>
      <c r="J2733">
        <f>[1]资金台帐!J2733&amp;""</f>
      </c>
      <c r="N2733">
        <f>[1]资金台帐!N2733</f>
      </c>
      <c r="O2733">
        <f>[1]资金台帐!O2733&amp;""</f>
      </c>
      <c r="P2733">
        <f>[1]资金台帐!P2733&amp;""</f>
      </c>
      <c r="Q2733">
        <f>[1]资金台帐!Q2733&amp;""</f>
      </c>
      <c r="T2733">
        <f>[1]资金台帐!T2733&amp;""</f>
      </c>
      <c r="U2733">
        <f>[1]资金台帐!U2733&amp;""</f>
      </c>
      <c r="W2733">
        <f>[1]资金台帐!W2733&amp;""</f>
      </c>
      <c r="X2733">
        <f>[1]资金台帐!X2733&amp;""</f>
      </c>
      <c r="AB2733">
        <f>[1]资金台帐!AB2733</f>
        <v>0</v>
      </c>
      <c r="AC2733">
        <f>[1]资金台帐!AC2733</f>
        <v>0</v>
      </c>
      <c r="AD2733">
        <f>[1]资金台帐!AD2733</f>
        <v>0</v>
      </c>
      <c r="AJ2733">
        <f>[1]资金台帐!AJ2733</f>
        <v>0</v>
      </c>
      <c r="AK2733">
        <f>[1]资金台帐!AK2733</f>
        <v>0</v>
      </c>
      <c r="BA2733" s="22">
        <f t="shared" si="0"/>
      </c>
      <c r="BG2733" s="22">
        <f t="shared" si="1"/>
      </c>
      <c r="BH2733" s="22">
        <f t="shared" si="2"/>
        <v>0</v>
      </c>
    </row>
    <row r="2734">
      <c r="B2734">
        <f>[1]资金台帐!B2734&amp;""</f>
      </c>
      <c r="H2734">
        <f>[1]资金台帐!H2734&amp;""</f>
      </c>
      <c r="J2734">
        <f>[1]资金台帐!J2734&amp;""</f>
      </c>
      <c r="N2734">
        <f>[1]资金台帐!N2734</f>
      </c>
      <c r="O2734">
        <f>[1]资金台帐!O2734&amp;""</f>
      </c>
      <c r="P2734">
        <f>[1]资金台帐!P2734&amp;""</f>
      </c>
      <c r="Q2734">
        <f>[1]资金台帐!Q2734&amp;""</f>
      </c>
      <c r="T2734">
        <f>[1]资金台帐!T2734&amp;""</f>
      </c>
      <c r="U2734">
        <f>[1]资金台帐!U2734&amp;""</f>
      </c>
      <c r="W2734">
        <f>[1]资金台帐!W2734&amp;""</f>
      </c>
      <c r="X2734">
        <f>[1]资金台帐!X2734&amp;""</f>
      </c>
      <c r="AB2734">
        <f>[1]资金台帐!AB2734</f>
        <v>0</v>
      </c>
      <c r="AC2734">
        <f>[1]资金台帐!AC2734</f>
        <v>0</v>
      </c>
      <c r="AD2734">
        <f>[1]资金台帐!AD2734</f>
        <v>0</v>
      </c>
      <c r="AJ2734">
        <f>[1]资金台帐!AJ2734</f>
        <v>0</v>
      </c>
      <c r="AK2734">
        <f>[1]资金台帐!AK2734</f>
        <v>0</v>
      </c>
      <c r="BA2734" s="22">
        <f t="shared" si="0"/>
      </c>
      <c r="BG2734" s="22">
        <f t="shared" si="1"/>
      </c>
      <c r="BH2734" s="22">
        <f t="shared" si="2"/>
        <v>0</v>
      </c>
    </row>
    <row r="2735">
      <c r="B2735">
        <f>[1]资金台帐!B2735&amp;""</f>
      </c>
      <c r="H2735">
        <f>[1]资金台帐!H2735&amp;""</f>
      </c>
      <c r="J2735">
        <f>[1]资金台帐!J2735&amp;""</f>
      </c>
      <c r="N2735">
        <f>[1]资金台帐!N2735</f>
      </c>
      <c r="O2735">
        <f>[1]资金台帐!O2735&amp;""</f>
      </c>
      <c r="P2735">
        <f>[1]资金台帐!P2735&amp;""</f>
      </c>
      <c r="Q2735">
        <f>[1]资金台帐!Q2735&amp;""</f>
      </c>
      <c r="T2735">
        <f>[1]资金台帐!T2735&amp;""</f>
      </c>
      <c r="U2735">
        <f>[1]资金台帐!U2735&amp;""</f>
      </c>
      <c r="W2735">
        <f>[1]资金台帐!W2735&amp;""</f>
      </c>
      <c r="X2735">
        <f>[1]资金台帐!X2735&amp;""</f>
      </c>
      <c r="AB2735">
        <f>[1]资金台帐!AB2735</f>
        <v>0</v>
      </c>
      <c r="AC2735">
        <f>[1]资金台帐!AC2735</f>
        <v>0</v>
      </c>
      <c r="AD2735">
        <f>[1]资金台帐!AD2735</f>
        <v>0</v>
      </c>
      <c r="AJ2735">
        <f>[1]资金台帐!AJ2735</f>
        <v>0</v>
      </c>
      <c r="AK2735">
        <f>[1]资金台帐!AK2735</f>
        <v>0</v>
      </c>
      <c r="BA2735" s="22">
        <f t="shared" si="0"/>
      </c>
      <c r="BG2735" s="22">
        <f t="shared" si="1"/>
      </c>
      <c r="BH2735" s="22">
        <f t="shared" si="2"/>
        <v>0</v>
      </c>
    </row>
    <row r="2736">
      <c r="B2736">
        <f>[1]资金台帐!B2736&amp;""</f>
      </c>
      <c r="H2736">
        <f>[1]资金台帐!H2736&amp;""</f>
      </c>
      <c r="J2736">
        <f>[1]资金台帐!J2736&amp;""</f>
      </c>
      <c r="N2736">
        <f>[1]资金台帐!N2736</f>
      </c>
      <c r="O2736">
        <f>[1]资金台帐!O2736&amp;""</f>
      </c>
      <c r="P2736">
        <f>[1]资金台帐!P2736&amp;""</f>
      </c>
      <c r="Q2736">
        <f>[1]资金台帐!Q2736&amp;""</f>
      </c>
      <c r="T2736">
        <f>[1]资金台帐!T2736&amp;""</f>
      </c>
      <c r="U2736">
        <f>[1]资金台帐!U2736&amp;""</f>
      </c>
      <c r="W2736">
        <f>[1]资金台帐!W2736&amp;""</f>
      </c>
      <c r="X2736">
        <f>[1]资金台帐!X2736&amp;""</f>
      </c>
      <c r="AB2736">
        <f>[1]资金台帐!AB2736</f>
        <v>0</v>
      </c>
      <c r="AC2736">
        <f>[1]资金台帐!AC2736</f>
        <v>0</v>
      </c>
      <c r="AD2736">
        <f>[1]资金台帐!AD2736</f>
        <v>0</v>
      </c>
      <c r="AJ2736">
        <f>[1]资金台帐!AJ2736</f>
        <v>0</v>
      </c>
      <c r="AK2736">
        <f>[1]资金台帐!AK2736</f>
        <v>0</v>
      </c>
      <c r="BA2736" s="22">
        <f t="shared" si="0"/>
      </c>
      <c r="BG2736" s="22">
        <f t="shared" si="1"/>
      </c>
      <c r="BH2736" s="22">
        <f t="shared" si="2"/>
        <v>0</v>
      </c>
    </row>
    <row r="2737">
      <c r="B2737">
        <f>[1]资金台帐!B2737&amp;""</f>
      </c>
      <c r="H2737">
        <f>[1]资金台帐!H2737&amp;""</f>
      </c>
      <c r="J2737">
        <f>[1]资金台帐!J2737&amp;""</f>
      </c>
      <c r="N2737">
        <f>[1]资金台帐!N2737</f>
      </c>
      <c r="O2737">
        <f>[1]资金台帐!O2737&amp;""</f>
      </c>
      <c r="P2737">
        <f>[1]资金台帐!P2737&amp;""</f>
      </c>
      <c r="Q2737">
        <f>[1]资金台帐!Q2737&amp;""</f>
      </c>
      <c r="T2737">
        <f>[1]资金台帐!T2737&amp;""</f>
      </c>
      <c r="U2737">
        <f>[1]资金台帐!U2737&amp;""</f>
      </c>
      <c r="W2737">
        <f>[1]资金台帐!W2737&amp;""</f>
      </c>
      <c r="X2737">
        <f>[1]资金台帐!X2737&amp;""</f>
      </c>
      <c r="AB2737">
        <f>[1]资金台帐!AB2737</f>
        <v>0</v>
      </c>
      <c r="AC2737">
        <f>[1]资金台帐!AC2737</f>
        <v>0</v>
      </c>
      <c r="AD2737">
        <f>[1]资金台帐!AD2737</f>
        <v>0</v>
      </c>
      <c r="AJ2737">
        <f>[1]资金台帐!AJ2737</f>
        <v>0</v>
      </c>
      <c r="AK2737">
        <f>[1]资金台帐!AK2737</f>
        <v>0</v>
      </c>
      <c r="BA2737" s="22">
        <f t="shared" si="0"/>
      </c>
      <c r="BG2737" s="22">
        <f t="shared" si="1"/>
      </c>
      <c r="BH2737" s="22">
        <f t="shared" si="2"/>
        <v>0</v>
      </c>
    </row>
    <row r="2738">
      <c r="B2738">
        <f>[1]资金台帐!B2738&amp;""</f>
      </c>
      <c r="H2738">
        <f>[1]资金台帐!H2738&amp;""</f>
      </c>
      <c r="J2738">
        <f>[1]资金台帐!J2738&amp;""</f>
      </c>
      <c r="N2738">
        <f>[1]资金台帐!N2738</f>
      </c>
      <c r="O2738">
        <f>[1]资金台帐!O2738&amp;""</f>
      </c>
      <c r="P2738">
        <f>[1]资金台帐!P2738&amp;""</f>
      </c>
      <c r="Q2738">
        <f>[1]资金台帐!Q2738&amp;""</f>
      </c>
      <c r="T2738">
        <f>[1]资金台帐!T2738&amp;""</f>
      </c>
      <c r="U2738">
        <f>[1]资金台帐!U2738&amp;""</f>
      </c>
      <c r="W2738">
        <f>[1]资金台帐!W2738&amp;""</f>
      </c>
      <c r="X2738">
        <f>[1]资金台帐!X2738&amp;""</f>
      </c>
      <c r="AB2738">
        <f>[1]资金台帐!AB2738</f>
        <v>0</v>
      </c>
      <c r="AC2738">
        <f>[1]资金台帐!AC2738</f>
        <v>0</v>
      </c>
      <c r="AD2738">
        <f>[1]资金台帐!AD2738</f>
        <v>0</v>
      </c>
      <c r="AJ2738">
        <f>[1]资金台帐!AJ2738</f>
        <v>0</v>
      </c>
      <c r="AK2738">
        <f>[1]资金台帐!AK2738</f>
        <v>0</v>
      </c>
      <c r="BA2738" s="22">
        <f t="shared" si="0"/>
      </c>
      <c r="BG2738" s="22">
        <f t="shared" si="1"/>
      </c>
      <c r="BH2738" s="22">
        <f t="shared" si="2"/>
        <v>0</v>
      </c>
    </row>
    <row r="2739">
      <c r="B2739">
        <f>[1]资金台帐!B2739&amp;""</f>
      </c>
      <c r="H2739">
        <f>[1]资金台帐!H2739&amp;""</f>
      </c>
      <c r="J2739">
        <f>[1]资金台帐!J2739&amp;""</f>
      </c>
      <c r="N2739">
        <f>[1]资金台帐!N2739</f>
      </c>
      <c r="O2739">
        <f>[1]资金台帐!O2739&amp;""</f>
      </c>
      <c r="P2739">
        <f>[1]资金台帐!P2739&amp;""</f>
      </c>
      <c r="Q2739">
        <f>[1]资金台帐!Q2739&amp;""</f>
      </c>
      <c r="T2739">
        <f>[1]资金台帐!T2739&amp;""</f>
      </c>
      <c r="U2739">
        <f>[1]资金台帐!U2739&amp;""</f>
      </c>
      <c r="W2739">
        <f>[1]资金台帐!W2739&amp;""</f>
      </c>
      <c r="X2739">
        <f>[1]资金台帐!X2739&amp;""</f>
      </c>
      <c r="AB2739">
        <f>[1]资金台帐!AB2739</f>
        <v>0</v>
      </c>
      <c r="AC2739">
        <f>[1]资金台帐!AC2739</f>
        <v>0</v>
      </c>
      <c r="AD2739">
        <f>[1]资金台帐!AD2739</f>
        <v>0</v>
      </c>
      <c r="AJ2739">
        <f>[1]资金台帐!AJ2739</f>
        <v>0</v>
      </c>
      <c r="AK2739">
        <f>[1]资金台帐!AK2739</f>
        <v>0</v>
      </c>
      <c r="BA2739" s="22">
        <f t="shared" si="0"/>
      </c>
      <c r="BG2739" s="22">
        <f t="shared" si="1"/>
      </c>
      <c r="BH2739" s="22">
        <f t="shared" si="2"/>
        <v>0</v>
      </c>
    </row>
    <row r="2740">
      <c r="B2740">
        <f>[1]资金台帐!B2740&amp;""</f>
      </c>
      <c r="H2740">
        <f>[1]资金台帐!H2740&amp;""</f>
      </c>
      <c r="J2740">
        <f>[1]资金台帐!J2740&amp;""</f>
      </c>
      <c r="N2740">
        <f>[1]资金台帐!N2740</f>
      </c>
      <c r="O2740">
        <f>[1]资金台帐!O2740&amp;""</f>
      </c>
      <c r="P2740">
        <f>[1]资金台帐!P2740&amp;""</f>
      </c>
      <c r="Q2740">
        <f>[1]资金台帐!Q2740&amp;""</f>
      </c>
      <c r="T2740">
        <f>[1]资金台帐!T2740&amp;""</f>
      </c>
      <c r="U2740">
        <f>[1]资金台帐!U2740&amp;""</f>
      </c>
      <c r="W2740">
        <f>[1]资金台帐!W2740&amp;""</f>
      </c>
      <c r="X2740">
        <f>[1]资金台帐!X2740&amp;""</f>
      </c>
      <c r="AB2740">
        <f>[1]资金台帐!AB2740</f>
        <v>0</v>
      </c>
      <c r="AC2740">
        <f>[1]资金台帐!AC2740</f>
        <v>0</v>
      </c>
      <c r="AD2740">
        <f>[1]资金台帐!AD2740</f>
        <v>0</v>
      </c>
      <c r="AJ2740">
        <f>[1]资金台帐!AJ2740</f>
        <v>0</v>
      </c>
      <c r="AK2740">
        <f>[1]资金台帐!AK2740</f>
        <v>0</v>
      </c>
      <c r="BA2740" s="22">
        <f t="shared" si="0"/>
      </c>
      <c r="BG2740" s="22">
        <f t="shared" si="1"/>
      </c>
      <c r="BH2740" s="22">
        <f t="shared" si="2"/>
        <v>0</v>
      </c>
    </row>
    <row r="2741">
      <c r="B2741">
        <f>[1]资金台帐!B2741&amp;""</f>
      </c>
      <c r="H2741">
        <f>[1]资金台帐!H2741&amp;""</f>
      </c>
      <c r="J2741">
        <f>[1]资金台帐!J2741&amp;""</f>
      </c>
      <c r="N2741">
        <f>[1]资金台帐!N2741</f>
      </c>
      <c r="O2741">
        <f>[1]资金台帐!O2741&amp;""</f>
      </c>
      <c r="P2741">
        <f>[1]资金台帐!P2741&amp;""</f>
      </c>
      <c r="Q2741">
        <f>[1]资金台帐!Q2741&amp;""</f>
      </c>
      <c r="T2741">
        <f>[1]资金台帐!T2741&amp;""</f>
      </c>
      <c r="U2741">
        <f>[1]资金台帐!U2741&amp;""</f>
      </c>
      <c r="W2741">
        <f>[1]资金台帐!W2741&amp;""</f>
      </c>
      <c r="X2741">
        <f>[1]资金台帐!X2741&amp;""</f>
      </c>
      <c r="AB2741">
        <f>[1]资金台帐!AB2741</f>
        <v>0</v>
      </c>
      <c r="AC2741">
        <f>[1]资金台帐!AC2741</f>
        <v>0</v>
      </c>
      <c r="AD2741">
        <f>[1]资金台帐!AD2741</f>
        <v>0</v>
      </c>
      <c r="AJ2741">
        <f>[1]资金台帐!AJ2741</f>
        <v>0</v>
      </c>
      <c r="AK2741">
        <f>[1]资金台帐!AK2741</f>
        <v>0</v>
      </c>
      <c r="BA2741" s="22">
        <f t="shared" si="0"/>
      </c>
      <c r="BG2741" s="22">
        <f t="shared" si="1"/>
      </c>
      <c r="BH2741" s="22">
        <f t="shared" si="2"/>
        <v>0</v>
      </c>
    </row>
    <row r="2742">
      <c r="B2742">
        <f>[1]资金台帐!B2742&amp;""</f>
      </c>
      <c r="H2742">
        <f>[1]资金台帐!H2742&amp;""</f>
      </c>
      <c r="J2742">
        <f>[1]资金台帐!J2742&amp;""</f>
      </c>
      <c r="N2742">
        <f>[1]资金台帐!N2742</f>
      </c>
      <c r="O2742">
        <f>[1]资金台帐!O2742&amp;""</f>
      </c>
      <c r="P2742">
        <f>[1]资金台帐!P2742&amp;""</f>
      </c>
      <c r="Q2742">
        <f>[1]资金台帐!Q2742&amp;""</f>
      </c>
      <c r="T2742">
        <f>[1]资金台帐!T2742&amp;""</f>
      </c>
      <c r="U2742">
        <f>[1]资金台帐!U2742&amp;""</f>
      </c>
      <c r="W2742">
        <f>[1]资金台帐!W2742&amp;""</f>
      </c>
      <c r="X2742">
        <f>[1]资金台帐!X2742&amp;""</f>
      </c>
      <c r="AB2742">
        <f>[1]资金台帐!AB2742</f>
        <v>0</v>
      </c>
      <c r="AC2742">
        <f>[1]资金台帐!AC2742</f>
        <v>0</v>
      </c>
      <c r="AD2742">
        <f>[1]资金台帐!AD2742</f>
        <v>0</v>
      </c>
      <c r="AJ2742">
        <f>[1]资金台帐!AJ2742</f>
        <v>0</v>
      </c>
      <c r="AK2742">
        <f>[1]资金台帐!AK2742</f>
        <v>0</v>
      </c>
      <c r="BA2742" s="22">
        <f t="shared" si="0"/>
      </c>
      <c r="BG2742" s="22">
        <f t="shared" si="1"/>
      </c>
      <c r="BH2742" s="22">
        <f t="shared" si="2"/>
        <v>0</v>
      </c>
    </row>
    <row r="2743">
      <c r="B2743">
        <f>[1]资金台帐!B2743&amp;""</f>
      </c>
      <c r="H2743">
        <f>[1]资金台帐!H2743&amp;""</f>
      </c>
      <c r="J2743">
        <f>[1]资金台帐!J2743&amp;""</f>
      </c>
      <c r="N2743">
        <f>[1]资金台帐!N2743</f>
      </c>
      <c r="O2743">
        <f>[1]资金台帐!O2743&amp;""</f>
      </c>
      <c r="P2743">
        <f>[1]资金台帐!P2743&amp;""</f>
      </c>
      <c r="Q2743">
        <f>[1]资金台帐!Q2743&amp;""</f>
      </c>
      <c r="T2743">
        <f>[1]资金台帐!T2743&amp;""</f>
      </c>
      <c r="U2743">
        <f>[1]资金台帐!U2743&amp;""</f>
      </c>
      <c r="W2743">
        <f>[1]资金台帐!W2743&amp;""</f>
      </c>
      <c r="X2743">
        <f>[1]资金台帐!X2743&amp;""</f>
      </c>
      <c r="AB2743">
        <f>[1]资金台帐!AB2743</f>
        <v>0</v>
      </c>
      <c r="AC2743">
        <f>[1]资金台帐!AC2743</f>
        <v>0</v>
      </c>
      <c r="AD2743">
        <f>[1]资金台帐!AD2743</f>
        <v>0</v>
      </c>
      <c r="AJ2743">
        <f>[1]资金台帐!AJ2743</f>
        <v>0</v>
      </c>
      <c r="AK2743">
        <f>[1]资金台帐!AK2743</f>
        <v>0</v>
      </c>
      <c r="BA2743" s="22">
        <f t="shared" si="0"/>
      </c>
      <c r="BG2743" s="22">
        <f t="shared" si="1"/>
      </c>
      <c r="BH2743" s="22">
        <f t="shared" si="2"/>
        <v>0</v>
      </c>
    </row>
    <row r="2744">
      <c r="B2744">
        <f>[1]资金台帐!B2744&amp;""</f>
      </c>
      <c r="H2744">
        <f>[1]资金台帐!H2744&amp;""</f>
      </c>
      <c r="J2744">
        <f>[1]资金台帐!J2744&amp;""</f>
      </c>
      <c r="N2744">
        <f>[1]资金台帐!N2744</f>
      </c>
      <c r="O2744">
        <f>[1]资金台帐!O2744&amp;""</f>
      </c>
      <c r="P2744">
        <f>[1]资金台帐!P2744&amp;""</f>
      </c>
      <c r="Q2744">
        <f>[1]资金台帐!Q2744&amp;""</f>
      </c>
      <c r="T2744">
        <f>[1]资金台帐!T2744&amp;""</f>
      </c>
      <c r="U2744">
        <f>[1]资金台帐!U2744&amp;""</f>
      </c>
      <c r="W2744">
        <f>[1]资金台帐!W2744&amp;""</f>
      </c>
      <c r="X2744">
        <f>[1]资金台帐!X2744&amp;""</f>
      </c>
      <c r="AB2744">
        <f>[1]资金台帐!AB2744</f>
        <v>0</v>
      </c>
      <c r="AC2744">
        <f>[1]资金台帐!AC2744</f>
        <v>0</v>
      </c>
      <c r="AD2744">
        <f>[1]资金台帐!AD2744</f>
        <v>0</v>
      </c>
      <c r="AJ2744">
        <f>[1]资金台帐!AJ2744</f>
        <v>0</v>
      </c>
      <c r="AK2744">
        <f>[1]资金台帐!AK2744</f>
        <v>0</v>
      </c>
      <c r="BA2744" s="22">
        <f t="shared" si="0"/>
      </c>
      <c r="BG2744" s="22">
        <f t="shared" si="1"/>
      </c>
      <c r="BH2744" s="22">
        <f t="shared" si="2"/>
        <v>0</v>
      </c>
    </row>
    <row r="2745">
      <c r="B2745">
        <f>[1]资金台帐!B2745&amp;""</f>
      </c>
      <c r="H2745">
        <f>[1]资金台帐!H2745&amp;""</f>
      </c>
      <c r="J2745">
        <f>[1]资金台帐!J2745&amp;""</f>
      </c>
      <c r="N2745">
        <f>[1]资金台帐!N2745</f>
      </c>
      <c r="O2745">
        <f>[1]资金台帐!O2745&amp;""</f>
      </c>
      <c r="P2745">
        <f>[1]资金台帐!P2745&amp;""</f>
      </c>
      <c r="Q2745">
        <f>[1]资金台帐!Q2745&amp;""</f>
      </c>
      <c r="T2745">
        <f>[1]资金台帐!T2745&amp;""</f>
      </c>
      <c r="U2745">
        <f>[1]资金台帐!U2745&amp;""</f>
      </c>
      <c r="W2745">
        <f>[1]资金台帐!W2745&amp;""</f>
      </c>
      <c r="X2745">
        <f>[1]资金台帐!X2745&amp;""</f>
      </c>
      <c r="AB2745">
        <f>[1]资金台帐!AB2745</f>
        <v>0</v>
      </c>
      <c r="AC2745">
        <f>[1]资金台帐!AC2745</f>
        <v>0</v>
      </c>
      <c r="AD2745">
        <f>[1]资金台帐!AD2745</f>
        <v>0</v>
      </c>
      <c r="AJ2745">
        <f>[1]资金台帐!AJ2745</f>
        <v>0</v>
      </c>
      <c r="AK2745">
        <f>[1]资金台帐!AK2745</f>
        <v>0</v>
      </c>
      <c r="BA2745" s="22">
        <f t="shared" si="0"/>
      </c>
      <c r="BG2745" s="22">
        <f t="shared" si="1"/>
      </c>
      <c r="BH2745" s="22">
        <f t="shared" si="2"/>
        <v>0</v>
      </c>
    </row>
    <row r="2746">
      <c r="B2746">
        <f>[1]资金台帐!B2746&amp;""</f>
      </c>
      <c r="H2746">
        <f>[1]资金台帐!H2746&amp;""</f>
      </c>
      <c r="J2746">
        <f>[1]资金台帐!J2746&amp;""</f>
      </c>
      <c r="N2746">
        <f>[1]资金台帐!N2746</f>
      </c>
      <c r="O2746">
        <f>[1]资金台帐!O2746&amp;""</f>
      </c>
      <c r="P2746">
        <f>[1]资金台帐!P2746&amp;""</f>
      </c>
      <c r="Q2746">
        <f>[1]资金台帐!Q2746&amp;""</f>
      </c>
      <c r="T2746">
        <f>[1]资金台帐!T2746&amp;""</f>
      </c>
      <c r="U2746">
        <f>[1]资金台帐!U2746&amp;""</f>
      </c>
      <c r="W2746">
        <f>[1]资金台帐!W2746&amp;""</f>
      </c>
      <c r="X2746">
        <f>[1]资金台帐!X2746&amp;""</f>
      </c>
      <c r="AB2746">
        <f>[1]资金台帐!AB2746</f>
        <v>0</v>
      </c>
      <c r="AC2746">
        <f>[1]资金台帐!AC2746</f>
        <v>0</v>
      </c>
      <c r="AD2746">
        <f>[1]资金台帐!AD2746</f>
        <v>0</v>
      </c>
      <c r="AJ2746">
        <f>[1]资金台帐!AJ2746</f>
        <v>0</v>
      </c>
      <c r="AK2746">
        <f>[1]资金台帐!AK2746</f>
        <v>0</v>
      </c>
      <c r="BA2746" s="22">
        <f t="shared" si="0"/>
      </c>
      <c r="BG2746" s="22">
        <f t="shared" si="1"/>
      </c>
      <c r="BH2746" s="22">
        <f t="shared" si="2"/>
        <v>0</v>
      </c>
    </row>
    <row r="2747">
      <c r="B2747">
        <f>[1]资金台帐!B2747&amp;""</f>
      </c>
      <c r="H2747">
        <f>[1]资金台帐!H2747&amp;""</f>
      </c>
      <c r="J2747">
        <f>[1]资金台帐!J2747&amp;""</f>
      </c>
      <c r="N2747">
        <f>[1]资金台帐!N2747</f>
      </c>
      <c r="O2747">
        <f>[1]资金台帐!O2747&amp;""</f>
      </c>
      <c r="P2747">
        <f>[1]资金台帐!P2747&amp;""</f>
      </c>
      <c r="Q2747">
        <f>[1]资金台帐!Q2747&amp;""</f>
      </c>
      <c r="T2747">
        <f>[1]资金台帐!T2747&amp;""</f>
      </c>
      <c r="U2747">
        <f>[1]资金台帐!U2747&amp;""</f>
      </c>
      <c r="W2747">
        <f>[1]资金台帐!W2747&amp;""</f>
      </c>
      <c r="X2747">
        <f>[1]资金台帐!X2747&amp;""</f>
      </c>
      <c r="AB2747">
        <f>[1]资金台帐!AB2747</f>
        <v>0</v>
      </c>
      <c r="AC2747">
        <f>[1]资金台帐!AC2747</f>
        <v>0</v>
      </c>
      <c r="AD2747">
        <f>[1]资金台帐!AD2747</f>
        <v>0</v>
      </c>
      <c r="AJ2747">
        <f>[1]资金台帐!AJ2747</f>
        <v>0</v>
      </c>
      <c r="AK2747">
        <f>[1]资金台帐!AK2747</f>
        <v>0</v>
      </c>
      <c r="BA2747" s="22">
        <f t="shared" si="0"/>
      </c>
      <c r="BG2747" s="22">
        <f t="shared" si="1"/>
      </c>
      <c r="BH2747" s="22">
        <f t="shared" si="2"/>
        <v>0</v>
      </c>
    </row>
    <row r="2748">
      <c r="B2748">
        <f>[1]资金台帐!B2748&amp;""</f>
      </c>
      <c r="H2748">
        <f>[1]资金台帐!H2748&amp;""</f>
      </c>
      <c r="J2748">
        <f>[1]资金台帐!J2748&amp;""</f>
      </c>
      <c r="N2748">
        <f>[1]资金台帐!N2748</f>
      </c>
      <c r="O2748">
        <f>[1]资金台帐!O2748&amp;""</f>
      </c>
      <c r="P2748">
        <f>[1]资金台帐!P2748&amp;""</f>
      </c>
      <c r="Q2748">
        <f>[1]资金台帐!Q2748&amp;""</f>
      </c>
      <c r="T2748">
        <f>[1]资金台帐!T2748&amp;""</f>
      </c>
      <c r="U2748">
        <f>[1]资金台帐!U2748&amp;""</f>
      </c>
      <c r="W2748">
        <f>[1]资金台帐!W2748&amp;""</f>
      </c>
      <c r="X2748">
        <f>[1]资金台帐!X2748&amp;""</f>
      </c>
      <c r="AB2748">
        <f>[1]资金台帐!AB2748</f>
        <v>0</v>
      </c>
      <c r="AC2748">
        <f>[1]资金台帐!AC2748</f>
        <v>0</v>
      </c>
      <c r="AD2748">
        <f>[1]资金台帐!AD2748</f>
        <v>0</v>
      </c>
      <c r="AJ2748">
        <f>[1]资金台帐!AJ2748</f>
        <v>0</v>
      </c>
      <c r="AK2748">
        <f>[1]资金台帐!AK2748</f>
        <v>0</v>
      </c>
      <c r="BA2748" s="22">
        <f t="shared" si="0"/>
      </c>
      <c r="BG2748" s="22">
        <f t="shared" si="1"/>
      </c>
      <c r="BH2748" s="22">
        <f t="shared" si="2"/>
        <v>0</v>
      </c>
    </row>
    <row r="2749">
      <c r="B2749">
        <f>[1]资金台帐!B2749&amp;""</f>
      </c>
      <c r="H2749">
        <f>[1]资金台帐!H2749&amp;""</f>
      </c>
      <c r="J2749">
        <f>[1]资金台帐!J2749&amp;""</f>
      </c>
      <c r="N2749">
        <f>[1]资金台帐!N2749</f>
      </c>
      <c r="O2749">
        <f>[1]资金台帐!O2749&amp;""</f>
      </c>
      <c r="P2749">
        <f>[1]资金台帐!P2749&amp;""</f>
      </c>
      <c r="Q2749">
        <f>[1]资金台帐!Q2749&amp;""</f>
      </c>
      <c r="T2749">
        <f>[1]资金台帐!T2749&amp;""</f>
      </c>
      <c r="U2749">
        <f>[1]资金台帐!U2749&amp;""</f>
      </c>
      <c r="W2749">
        <f>[1]资金台帐!W2749&amp;""</f>
      </c>
      <c r="X2749">
        <f>[1]资金台帐!X2749&amp;""</f>
      </c>
      <c r="AB2749">
        <f>[1]资金台帐!AB2749</f>
        <v>0</v>
      </c>
      <c r="AC2749">
        <f>[1]资金台帐!AC2749</f>
        <v>0</v>
      </c>
      <c r="AD2749">
        <f>[1]资金台帐!AD2749</f>
        <v>0</v>
      </c>
      <c r="AJ2749">
        <f>[1]资金台帐!AJ2749</f>
        <v>0</v>
      </c>
      <c r="AK2749">
        <f>[1]资金台帐!AK2749</f>
        <v>0</v>
      </c>
      <c r="BA2749" s="22">
        <f t="shared" si="0"/>
      </c>
      <c r="BG2749" s="22">
        <f t="shared" si="1"/>
      </c>
      <c r="BH2749" s="22">
        <f t="shared" si="2"/>
        <v>0</v>
      </c>
    </row>
    <row r="2750">
      <c r="B2750">
        <f>[1]资金台帐!B2750&amp;""</f>
      </c>
      <c r="H2750">
        <f>[1]资金台帐!H2750&amp;""</f>
      </c>
      <c r="J2750">
        <f>[1]资金台帐!J2750&amp;""</f>
      </c>
      <c r="N2750">
        <f>[1]资金台帐!N2750</f>
      </c>
      <c r="O2750">
        <f>[1]资金台帐!O2750&amp;""</f>
      </c>
      <c r="P2750">
        <f>[1]资金台帐!P2750&amp;""</f>
      </c>
      <c r="Q2750">
        <f>[1]资金台帐!Q2750&amp;""</f>
      </c>
      <c r="T2750">
        <f>[1]资金台帐!T2750&amp;""</f>
      </c>
      <c r="U2750">
        <f>[1]资金台帐!U2750&amp;""</f>
      </c>
      <c r="W2750">
        <f>[1]资金台帐!W2750&amp;""</f>
      </c>
      <c r="X2750">
        <f>[1]资金台帐!X2750&amp;""</f>
      </c>
      <c r="AB2750">
        <f>[1]资金台帐!AB2750</f>
        <v>0</v>
      </c>
      <c r="AC2750">
        <f>[1]资金台帐!AC2750</f>
        <v>0</v>
      </c>
      <c r="AD2750">
        <f>[1]资金台帐!AD2750</f>
        <v>0</v>
      </c>
      <c r="AJ2750">
        <f>[1]资金台帐!AJ2750</f>
        <v>0</v>
      </c>
      <c r="AK2750">
        <f>[1]资金台帐!AK2750</f>
        <v>0</v>
      </c>
      <c r="BA2750" s="22">
        <f t="shared" si="0"/>
      </c>
      <c r="BG2750" s="22">
        <f t="shared" si="1"/>
      </c>
      <c r="BH2750" s="22">
        <f t="shared" si="2"/>
        <v>0</v>
      </c>
    </row>
    <row r="2751">
      <c r="B2751">
        <f>[1]资金台帐!B2751&amp;""</f>
      </c>
      <c r="H2751">
        <f>[1]资金台帐!H2751&amp;""</f>
      </c>
      <c r="J2751">
        <f>[1]资金台帐!J2751&amp;""</f>
      </c>
      <c r="N2751">
        <f>[1]资金台帐!N2751</f>
      </c>
      <c r="O2751">
        <f>[1]资金台帐!O2751&amp;""</f>
      </c>
      <c r="P2751">
        <f>[1]资金台帐!P2751&amp;""</f>
      </c>
      <c r="Q2751">
        <f>[1]资金台帐!Q2751&amp;""</f>
      </c>
      <c r="T2751">
        <f>[1]资金台帐!T2751&amp;""</f>
      </c>
      <c r="U2751">
        <f>[1]资金台帐!U2751&amp;""</f>
      </c>
      <c r="W2751">
        <f>[1]资金台帐!W2751&amp;""</f>
      </c>
      <c r="X2751">
        <f>[1]资金台帐!X2751&amp;""</f>
      </c>
      <c r="AB2751">
        <f>[1]资金台帐!AB2751</f>
        <v>0</v>
      </c>
      <c r="AC2751">
        <f>[1]资金台帐!AC2751</f>
        <v>0</v>
      </c>
      <c r="AD2751">
        <f>[1]资金台帐!AD2751</f>
        <v>0</v>
      </c>
      <c r="AJ2751">
        <f>[1]资金台帐!AJ2751</f>
        <v>0</v>
      </c>
      <c r="AK2751">
        <f>[1]资金台帐!AK2751</f>
        <v>0</v>
      </c>
      <c r="BA2751" s="22">
        <f t="shared" si="0"/>
      </c>
      <c r="BG2751" s="22">
        <f t="shared" si="1"/>
      </c>
      <c r="BH2751" s="22">
        <f t="shared" si="2"/>
        <v>0</v>
      </c>
    </row>
    <row r="2752">
      <c r="B2752">
        <f>[1]资金台帐!B2752&amp;""</f>
      </c>
      <c r="H2752">
        <f>[1]资金台帐!H2752&amp;""</f>
      </c>
      <c r="J2752">
        <f>[1]资金台帐!J2752&amp;""</f>
      </c>
      <c r="N2752">
        <f>[1]资金台帐!N2752</f>
      </c>
      <c r="O2752">
        <f>[1]资金台帐!O2752&amp;""</f>
      </c>
      <c r="P2752">
        <f>[1]资金台帐!P2752&amp;""</f>
      </c>
      <c r="Q2752">
        <f>[1]资金台帐!Q2752&amp;""</f>
      </c>
      <c r="T2752">
        <f>[1]资金台帐!T2752&amp;""</f>
      </c>
      <c r="U2752">
        <f>[1]资金台帐!U2752&amp;""</f>
      </c>
      <c r="W2752">
        <f>[1]资金台帐!W2752&amp;""</f>
      </c>
      <c r="X2752">
        <f>[1]资金台帐!X2752&amp;""</f>
      </c>
      <c r="AB2752">
        <f>[1]资金台帐!AB2752</f>
        <v>0</v>
      </c>
      <c r="AC2752">
        <f>[1]资金台帐!AC2752</f>
        <v>0</v>
      </c>
      <c r="AD2752">
        <f>[1]资金台帐!AD2752</f>
        <v>0</v>
      </c>
      <c r="AJ2752">
        <f>[1]资金台帐!AJ2752</f>
        <v>0</v>
      </c>
      <c r="AK2752">
        <f>[1]资金台帐!AK2752</f>
        <v>0</v>
      </c>
      <c r="BA2752" s="22">
        <f t="shared" si="0"/>
      </c>
      <c r="BG2752" s="22">
        <f t="shared" si="1"/>
      </c>
      <c r="BH2752" s="22">
        <f t="shared" si="2"/>
        <v>0</v>
      </c>
    </row>
    <row r="2753">
      <c r="B2753">
        <f>[1]资金台帐!B2753&amp;""</f>
      </c>
      <c r="H2753">
        <f>[1]资金台帐!H2753&amp;""</f>
      </c>
      <c r="J2753">
        <f>[1]资金台帐!J2753&amp;""</f>
      </c>
      <c r="N2753">
        <f>[1]资金台帐!N2753</f>
      </c>
      <c r="O2753">
        <f>[1]资金台帐!O2753&amp;""</f>
      </c>
      <c r="P2753">
        <f>[1]资金台帐!P2753&amp;""</f>
      </c>
      <c r="Q2753">
        <f>[1]资金台帐!Q2753&amp;""</f>
      </c>
      <c r="T2753">
        <f>[1]资金台帐!T2753&amp;""</f>
      </c>
      <c r="U2753">
        <f>[1]资金台帐!U2753&amp;""</f>
      </c>
      <c r="W2753">
        <f>[1]资金台帐!W2753&amp;""</f>
      </c>
      <c r="X2753">
        <f>[1]资金台帐!X2753&amp;""</f>
      </c>
      <c r="AB2753">
        <f>[1]资金台帐!AB2753</f>
        <v>0</v>
      </c>
      <c r="AC2753">
        <f>[1]资金台帐!AC2753</f>
        <v>0</v>
      </c>
      <c r="AD2753">
        <f>[1]资金台帐!AD2753</f>
        <v>0</v>
      </c>
      <c r="AJ2753">
        <f>[1]资金台帐!AJ2753</f>
        <v>0</v>
      </c>
      <c r="AK2753">
        <f>[1]资金台帐!AK2753</f>
        <v>0</v>
      </c>
      <c r="BA2753" s="22">
        <f t="shared" si="0"/>
      </c>
      <c r="BG2753" s="22">
        <f t="shared" si="1"/>
      </c>
      <c r="BH2753" s="22">
        <f t="shared" si="2"/>
        <v>0</v>
      </c>
    </row>
    <row r="2754">
      <c r="B2754">
        <f>[1]资金台帐!B2754&amp;""</f>
      </c>
      <c r="H2754">
        <f>[1]资金台帐!H2754&amp;""</f>
      </c>
      <c r="J2754">
        <f>[1]资金台帐!J2754&amp;""</f>
      </c>
      <c r="N2754">
        <f>[1]资金台帐!N2754</f>
      </c>
      <c r="O2754">
        <f>[1]资金台帐!O2754&amp;""</f>
      </c>
      <c r="P2754">
        <f>[1]资金台帐!P2754&amp;""</f>
      </c>
      <c r="Q2754">
        <f>[1]资金台帐!Q2754&amp;""</f>
      </c>
      <c r="T2754">
        <f>[1]资金台帐!T2754&amp;""</f>
      </c>
      <c r="U2754">
        <f>[1]资金台帐!U2754&amp;""</f>
      </c>
      <c r="W2754">
        <f>[1]资金台帐!W2754&amp;""</f>
      </c>
      <c r="X2754">
        <f>[1]资金台帐!X2754&amp;""</f>
      </c>
      <c r="AB2754">
        <f>[1]资金台帐!AB2754</f>
        <v>0</v>
      </c>
      <c r="AC2754">
        <f>[1]资金台帐!AC2754</f>
        <v>0</v>
      </c>
      <c r="AD2754">
        <f>[1]资金台帐!AD2754</f>
        <v>0</v>
      </c>
      <c r="AJ2754">
        <f>[1]资金台帐!AJ2754</f>
        <v>0</v>
      </c>
      <c r="AK2754">
        <f>[1]资金台帐!AK2754</f>
        <v>0</v>
      </c>
      <c r="BA2754" s="22">
        <f t="shared" si="0"/>
      </c>
      <c r="BG2754" s="22">
        <f t="shared" si="1"/>
      </c>
      <c r="BH2754" s="22">
        <f t="shared" si="2"/>
        <v>0</v>
      </c>
    </row>
    <row r="2755">
      <c r="B2755">
        <f>[1]资金台帐!B2755&amp;""</f>
      </c>
      <c r="H2755">
        <f>[1]资金台帐!H2755&amp;""</f>
      </c>
      <c r="J2755">
        <f>[1]资金台帐!J2755&amp;""</f>
      </c>
      <c r="N2755">
        <f>[1]资金台帐!N2755</f>
      </c>
      <c r="O2755">
        <f>[1]资金台帐!O2755&amp;""</f>
      </c>
      <c r="P2755">
        <f>[1]资金台帐!P2755&amp;""</f>
      </c>
      <c r="Q2755">
        <f>[1]资金台帐!Q2755&amp;""</f>
      </c>
      <c r="T2755">
        <f>[1]资金台帐!T2755&amp;""</f>
      </c>
      <c r="U2755">
        <f>[1]资金台帐!U2755&amp;""</f>
      </c>
      <c r="W2755">
        <f>[1]资金台帐!W2755&amp;""</f>
      </c>
      <c r="X2755">
        <f>[1]资金台帐!X2755&amp;""</f>
      </c>
      <c r="AB2755">
        <f>[1]资金台帐!AB2755</f>
        <v>0</v>
      </c>
      <c r="AC2755">
        <f>[1]资金台帐!AC2755</f>
        <v>0</v>
      </c>
      <c r="AD2755">
        <f>[1]资金台帐!AD2755</f>
        <v>0</v>
      </c>
      <c r="AJ2755">
        <f>[1]资金台帐!AJ2755</f>
        <v>0</v>
      </c>
      <c r="AK2755">
        <f>[1]资金台帐!AK2755</f>
        <v>0</v>
      </c>
      <c r="BA2755" s="22">
        <f t="shared" si="0"/>
      </c>
      <c r="BG2755" s="22">
        <f t="shared" si="1"/>
      </c>
      <c r="BH2755" s="22">
        <f t="shared" si="2"/>
        <v>0</v>
      </c>
    </row>
    <row r="2756">
      <c r="B2756">
        <f>[1]资金台帐!B2756&amp;""</f>
      </c>
      <c r="H2756">
        <f>[1]资金台帐!H2756&amp;""</f>
      </c>
      <c r="J2756">
        <f>[1]资金台帐!J2756&amp;""</f>
      </c>
      <c r="N2756">
        <f>[1]资金台帐!N2756</f>
      </c>
      <c r="O2756">
        <f>[1]资金台帐!O2756&amp;""</f>
      </c>
      <c r="P2756">
        <f>[1]资金台帐!P2756&amp;""</f>
      </c>
      <c r="Q2756">
        <f>[1]资金台帐!Q2756&amp;""</f>
      </c>
      <c r="T2756">
        <f>[1]资金台帐!T2756&amp;""</f>
      </c>
      <c r="U2756">
        <f>[1]资金台帐!U2756&amp;""</f>
      </c>
      <c r="W2756">
        <f>[1]资金台帐!W2756&amp;""</f>
      </c>
      <c r="X2756">
        <f>[1]资金台帐!X2756&amp;""</f>
      </c>
      <c r="AB2756">
        <f>[1]资金台帐!AB2756</f>
        <v>0</v>
      </c>
      <c r="AC2756">
        <f>[1]资金台帐!AC2756</f>
        <v>0</v>
      </c>
      <c r="AD2756">
        <f>[1]资金台帐!AD2756</f>
        <v>0</v>
      </c>
      <c r="AJ2756">
        <f>[1]资金台帐!AJ2756</f>
        <v>0</v>
      </c>
      <c r="AK2756">
        <f>[1]资金台帐!AK2756</f>
        <v>0</v>
      </c>
      <c r="BA2756" s="22">
        <f t="shared" si="0"/>
      </c>
      <c r="BG2756" s="22">
        <f t="shared" si="1"/>
      </c>
      <c r="BH2756" s="22">
        <f t="shared" si="2"/>
        <v>0</v>
      </c>
    </row>
    <row r="2757">
      <c r="B2757">
        <f>[1]资金台帐!B2757&amp;""</f>
      </c>
      <c r="H2757">
        <f>[1]资金台帐!H2757&amp;""</f>
      </c>
      <c r="J2757">
        <f>[1]资金台帐!J2757&amp;""</f>
      </c>
      <c r="N2757">
        <f>[1]资金台帐!N2757</f>
      </c>
      <c r="O2757">
        <f>[1]资金台帐!O2757&amp;""</f>
      </c>
      <c r="P2757">
        <f>[1]资金台帐!P2757&amp;""</f>
      </c>
      <c r="Q2757">
        <f>[1]资金台帐!Q2757&amp;""</f>
      </c>
      <c r="T2757">
        <f>[1]资金台帐!T2757&amp;""</f>
      </c>
      <c r="U2757">
        <f>[1]资金台帐!U2757&amp;""</f>
      </c>
      <c r="W2757">
        <f>[1]资金台帐!W2757&amp;""</f>
      </c>
      <c r="X2757">
        <f>[1]资金台帐!X2757&amp;""</f>
      </c>
      <c r="AB2757">
        <f>[1]资金台帐!AB2757</f>
        <v>0</v>
      </c>
      <c r="AC2757">
        <f>[1]资金台帐!AC2757</f>
        <v>0</v>
      </c>
      <c r="AD2757">
        <f>[1]资金台帐!AD2757</f>
        <v>0</v>
      </c>
      <c r="AJ2757">
        <f>[1]资金台帐!AJ2757</f>
        <v>0</v>
      </c>
      <c r="AK2757">
        <f>[1]资金台帐!AK2757</f>
        <v>0</v>
      </c>
      <c r="BA2757" s="22">
        <f t="shared" si="0"/>
      </c>
      <c r="BG2757" s="22">
        <f t="shared" si="1"/>
      </c>
      <c r="BH2757" s="22">
        <f t="shared" si="2"/>
        <v>0</v>
      </c>
    </row>
    <row r="2758">
      <c r="B2758">
        <f>[1]资金台帐!B2758&amp;""</f>
      </c>
      <c r="H2758">
        <f>[1]资金台帐!H2758&amp;""</f>
      </c>
      <c r="J2758">
        <f>[1]资金台帐!J2758&amp;""</f>
      </c>
      <c r="N2758">
        <f>[1]资金台帐!N2758</f>
      </c>
      <c r="O2758">
        <f>[1]资金台帐!O2758&amp;""</f>
      </c>
      <c r="P2758">
        <f>[1]资金台帐!P2758&amp;""</f>
      </c>
      <c r="Q2758">
        <f>[1]资金台帐!Q2758&amp;""</f>
      </c>
      <c r="T2758">
        <f>[1]资金台帐!T2758&amp;""</f>
      </c>
      <c r="U2758">
        <f>[1]资金台帐!U2758&amp;""</f>
      </c>
      <c r="W2758">
        <f>[1]资金台帐!W2758&amp;""</f>
      </c>
      <c r="X2758">
        <f>[1]资金台帐!X2758&amp;""</f>
      </c>
      <c r="AB2758">
        <f>[1]资金台帐!AB2758</f>
        <v>0</v>
      </c>
      <c r="AC2758">
        <f>[1]资金台帐!AC2758</f>
        <v>0</v>
      </c>
      <c r="AD2758">
        <f>[1]资金台帐!AD2758</f>
        <v>0</v>
      </c>
      <c r="AJ2758">
        <f>[1]资金台帐!AJ2758</f>
        <v>0</v>
      </c>
      <c r="AK2758">
        <f>[1]资金台帐!AK2758</f>
        <v>0</v>
      </c>
      <c r="BA2758" s="22">
        <f t="shared" si="0"/>
      </c>
      <c r="BG2758" s="22">
        <f t="shared" si="1"/>
      </c>
      <c r="BH2758" s="22">
        <f t="shared" si="2"/>
        <v>0</v>
      </c>
    </row>
    <row r="2759">
      <c r="B2759">
        <f>[1]资金台帐!B2759&amp;""</f>
      </c>
      <c r="H2759">
        <f>[1]资金台帐!H2759&amp;""</f>
      </c>
      <c r="J2759">
        <f>[1]资金台帐!J2759&amp;""</f>
      </c>
      <c r="N2759">
        <f>[1]资金台帐!N2759</f>
      </c>
      <c r="O2759">
        <f>[1]资金台帐!O2759&amp;""</f>
      </c>
      <c r="P2759">
        <f>[1]资金台帐!P2759&amp;""</f>
      </c>
      <c r="Q2759">
        <f>[1]资金台帐!Q2759&amp;""</f>
      </c>
      <c r="T2759">
        <f>[1]资金台帐!T2759&amp;""</f>
      </c>
      <c r="U2759">
        <f>[1]资金台帐!U2759&amp;""</f>
      </c>
      <c r="W2759">
        <f>[1]资金台帐!W2759&amp;""</f>
      </c>
      <c r="X2759">
        <f>[1]资金台帐!X2759&amp;""</f>
      </c>
      <c r="AB2759">
        <f>[1]资金台帐!AB2759</f>
        <v>0</v>
      </c>
      <c r="AC2759">
        <f>[1]资金台帐!AC2759</f>
        <v>0</v>
      </c>
      <c r="AD2759">
        <f>[1]资金台帐!AD2759</f>
        <v>0</v>
      </c>
      <c r="AJ2759">
        <f>[1]资金台帐!AJ2759</f>
        <v>0</v>
      </c>
      <c r="AK2759">
        <f>[1]资金台帐!AK2759</f>
        <v>0</v>
      </c>
      <c r="BA2759" s="22">
        <f t="shared" si="0"/>
      </c>
      <c r="BG2759" s="22">
        <f t="shared" si="1"/>
      </c>
      <c r="BH2759" s="22">
        <f t="shared" si="2"/>
        <v>0</v>
      </c>
    </row>
    <row r="2760">
      <c r="B2760">
        <f>[1]资金台帐!B2760&amp;""</f>
      </c>
      <c r="H2760">
        <f>[1]资金台帐!H2760&amp;""</f>
      </c>
      <c r="J2760">
        <f>[1]资金台帐!J2760&amp;""</f>
      </c>
      <c r="N2760">
        <f>[1]资金台帐!N2760</f>
      </c>
      <c r="O2760">
        <f>[1]资金台帐!O2760&amp;""</f>
      </c>
      <c r="P2760">
        <f>[1]资金台帐!P2760&amp;""</f>
      </c>
      <c r="Q2760">
        <f>[1]资金台帐!Q2760&amp;""</f>
      </c>
      <c r="T2760">
        <f>[1]资金台帐!T2760&amp;""</f>
      </c>
      <c r="U2760">
        <f>[1]资金台帐!U2760&amp;""</f>
      </c>
      <c r="W2760">
        <f>[1]资金台帐!W2760&amp;""</f>
      </c>
      <c r="X2760">
        <f>[1]资金台帐!X2760&amp;""</f>
      </c>
      <c r="AB2760">
        <f>[1]资金台帐!AB2760</f>
        <v>0</v>
      </c>
      <c r="AC2760">
        <f>[1]资金台帐!AC2760</f>
        <v>0</v>
      </c>
      <c r="AD2760">
        <f>[1]资金台帐!AD2760</f>
        <v>0</v>
      </c>
      <c r="AJ2760">
        <f>[1]资金台帐!AJ2760</f>
        <v>0</v>
      </c>
      <c r="AK2760">
        <f>[1]资金台帐!AK2760</f>
        <v>0</v>
      </c>
      <c r="BA2760" s="22">
        <f t="shared" si="0"/>
      </c>
      <c r="BG2760" s="22">
        <f t="shared" si="1"/>
      </c>
      <c r="BH2760" s="22">
        <f t="shared" si="2"/>
        <v>0</v>
      </c>
    </row>
    <row r="2761">
      <c r="B2761">
        <f>[1]资金台帐!B2761&amp;""</f>
      </c>
      <c r="H2761">
        <f>[1]资金台帐!H2761&amp;""</f>
      </c>
      <c r="J2761">
        <f>[1]资金台帐!J2761&amp;""</f>
      </c>
      <c r="N2761">
        <f>[1]资金台帐!N2761</f>
      </c>
      <c r="O2761">
        <f>[1]资金台帐!O2761&amp;""</f>
      </c>
      <c r="P2761">
        <f>[1]资金台帐!P2761&amp;""</f>
      </c>
      <c r="Q2761">
        <f>[1]资金台帐!Q2761&amp;""</f>
      </c>
      <c r="T2761">
        <f>[1]资金台帐!T2761&amp;""</f>
      </c>
      <c r="U2761">
        <f>[1]资金台帐!U2761&amp;""</f>
      </c>
      <c r="W2761">
        <f>[1]资金台帐!W2761&amp;""</f>
      </c>
      <c r="X2761">
        <f>[1]资金台帐!X2761&amp;""</f>
      </c>
      <c r="AB2761">
        <f>[1]资金台帐!AB2761</f>
        <v>0</v>
      </c>
      <c r="AC2761">
        <f>[1]资金台帐!AC2761</f>
        <v>0</v>
      </c>
      <c r="AD2761">
        <f>[1]资金台帐!AD2761</f>
        <v>0</v>
      </c>
      <c r="AJ2761">
        <f>[1]资金台帐!AJ2761</f>
        <v>0</v>
      </c>
      <c r="AK2761">
        <f>[1]资金台帐!AK2761</f>
        <v>0</v>
      </c>
      <c r="BA2761" s="22">
        <f t="shared" si="0"/>
      </c>
      <c r="BG2761" s="22">
        <f t="shared" si="1"/>
      </c>
      <c r="BH2761" s="22">
        <f t="shared" si="2"/>
        <v>0</v>
      </c>
    </row>
    <row r="2762">
      <c r="B2762">
        <f>[1]资金台帐!B2762&amp;""</f>
      </c>
      <c r="H2762">
        <f>[1]资金台帐!H2762&amp;""</f>
      </c>
      <c r="J2762">
        <f>[1]资金台帐!J2762&amp;""</f>
      </c>
      <c r="N2762">
        <f>[1]资金台帐!N2762</f>
      </c>
      <c r="O2762">
        <f>[1]资金台帐!O2762&amp;""</f>
      </c>
      <c r="P2762">
        <f>[1]资金台帐!P2762&amp;""</f>
      </c>
      <c r="Q2762">
        <f>[1]资金台帐!Q2762&amp;""</f>
      </c>
      <c r="T2762">
        <f>[1]资金台帐!T2762&amp;""</f>
      </c>
      <c r="U2762">
        <f>[1]资金台帐!U2762&amp;""</f>
      </c>
      <c r="W2762">
        <f>[1]资金台帐!W2762&amp;""</f>
      </c>
      <c r="X2762">
        <f>[1]资金台帐!X2762&amp;""</f>
      </c>
      <c r="AB2762">
        <f>[1]资金台帐!AB2762</f>
        <v>0</v>
      </c>
      <c r="AC2762">
        <f>[1]资金台帐!AC2762</f>
        <v>0</v>
      </c>
      <c r="AD2762">
        <f>[1]资金台帐!AD2762</f>
        <v>0</v>
      </c>
      <c r="AJ2762">
        <f>[1]资金台帐!AJ2762</f>
        <v>0</v>
      </c>
      <c r="AK2762">
        <f>[1]资金台帐!AK2762</f>
        <v>0</v>
      </c>
      <c r="BA2762" s="22">
        <f t="shared" si="0"/>
      </c>
      <c r="BG2762" s="22">
        <f t="shared" si="1"/>
      </c>
      <c r="BH2762" s="22">
        <f t="shared" si="2"/>
        <v>0</v>
      </c>
    </row>
    <row r="2763">
      <c r="B2763">
        <f>[1]资金台帐!B2763&amp;""</f>
      </c>
      <c r="H2763">
        <f>[1]资金台帐!H2763&amp;""</f>
      </c>
      <c r="J2763">
        <f>[1]资金台帐!J2763&amp;""</f>
      </c>
      <c r="N2763">
        <f>[1]资金台帐!N2763</f>
      </c>
      <c r="O2763">
        <f>[1]资金台帐!O2763&amp;""</f>
      </c>
      <c r="P2763">
        <f>[1]资金台帐!P2763&amp;""</f>
      </c>
      <c r="Q2763">
        <f>[1]资金台帐!Q2763&amp;""</f>
      </c>
      <c r="T2763">
        <f>[1]资金台帐!T2763&amp;""</f>
      </c>
      <c r="U2763">
        <f>[1]资金台帐!U2763&amp;""</f>
      </c>
      <c r="W2763">
        <f>[1]资金台帐!W2763&amp;""</f>
      </c>
      <c r="X2763">
        <f>[1]资金台帐!X2763&amp;""</f>
      </c>
      <c r="AB2763">
        <f>[1]资金台帐!AB2763</f>
        <v>0</v>
      </c>
      <c r="AC2763">
        <f>[1]资金台帐!AC2763</f>
        <v>0</v>
      </c>
      <c r="AD2763">
        <f>[1]资金台帐!AD2763</f>
        <v>0</v>
      </c>
      <c r="AJ2763">
        <f>[1]资金台帐!AJ2763</f>
        <v>0</v>
      </c>
      <c r="AK2763">
        <f>[1]资金台帐!AK2763</f>
        <v>0</v>
      </c>
      <c r="BA2763" s="22">
        <f t="shared" si="0"/>
      </c>
      <c r="BG2763" s="22">
        <f t="shared" si="1"/>
      </c>
      <c r="BH2763" s="22">
        <f t="shared" si="2"/>
        <v>0</v>
      </c>
    </row>
    <row r="2764">
      <c r="B2764">
        <f>[1]资金台帐!B2764&amp;""</f>
      </c>
      <c r="H2764">
        <f>[1]资金台帐!H2764&amp;""</f>
      </c>
      <c r="J2764">
        <f>[1]资金台帐!J2764&amp;""</f>
      </c>
      <c r="N2764">
        <f>[1]资金台帐!N2764</f>
      </c>
      <c r="O2764">
        <f>[1]资金台帐!O2764&amp;""</f>
      </c>
      <c r="P2764">
        <f>[1]资金台帐!P2764&amp;""</f>
      </c>
      <c r="Q2764">
        <f>[1]资金台帐!Q2764&amp;""</f>
      </c>
      <c r="T2764">
        <f>[1]资金台帐!T2764&amp;""</f>
      </c>
      <c r="U2764">
        <f>[1]资金台帐!U2764&amp;""</f>
      </c>
      <c r="W2764">
        <f>[1]资金台帐!W2764&amp;""</f>
      </c>
      <c r="X2764">
        <f>[1]资金台帐!X2764&amp;""</f>
      </c>
      <c r="AB2764">
        <f>[1]资金台帐!AB2764</f>
        <v>0</v>
      </c>
      <c r="AC2764">
        <f>[1]资金台帐!AC2764</f>
        <v>0</v>
      </c>
      <c r="AD2764">
        <f>[1]资金台帐!AD2764</f>
        <v>0</v>
      </c>
      <c r="AJ2764">
        <f>[1]资金台帐!AJ2764</f>
        <v>0</v>
      </c>
      <c r="AK2764">
        <f>[1]资金台帐!AK2764</f>
        <v>0</v>
      </c>
      <c r="BA2764" s="22">
        <f t="shared" si="0"/>
      </c>
      <c r="BG2764" s="22">
        <f t="shared" si="1"/>
      </c>
      <c r="BH2764" s="22">
        <f t="shared" si="2"/>
        <v>0</v>
      </c>
    </row>
    <row r="2765">
      <c r="B2765">
        <f>[1]资金台帐!B2765&amp;""</f>
      </c>
      <c r="H2765">
        <f>[1]资金台帐!H2765&amp;""</f>
      </c>
      <c r="J2765">
        <f>[1]资金台帐!J2765&amp;""</f>
      </c>
      <c r="N2765">
        <f>[1]资金台帐!N2765</f>
      </c>
      <c r="O2765">
        <f>[1]资金台帐!O2765&amp;""</f>
      </c>
      <c r="P2765">
        <f>[1]资金台帐!P2765&amp;""</f>
      </c>
      <c r="Q2765">
        <f>[1]资金台帐!Q2765&amp;""</f>
      </c>
      <c r="T2765">
        <f>[1]资金台帐!T2765&amp;""</f>
      </c>
      <c r="U2765">
        <f>[1]资金台帐!U2765&amp;""</f>
      </c>
      <c r="W2765">
        <f>[1]资金台帐!W2765&amp;""</f>
      </c>
      <c r="X2765">
        <f>[1]资金台帐!X2765&amp;""</f>
      </c>
      <c r="AB2765">
        <f>[1]资金台帐!AB2765</f>
        <v>0</v>
      </c>
      <c r="AC2765">
        <f>[1]资金台帐!AC2765</f>
        <v>0</v>
      </c>
      <c r="AD2765">
        <f>[1]资金台帐!AD2765</f>
        <v>0</v>
      </c>
      <c r="AJ2765">
        <f>[1]资金台帐!AJ2765</f>
        <v>0</v>
      </c>
      <c r="AK2765">
        <f>[1]资金台帐!AK2765</f>
        <v>0</v>
      </c>
      <c r="BA2765" s="22">
        <f t="shared" si="0"/>
      </c>
      <c r="BG2765" s="22">
        <f t="shared" si="1"/>
      </c>
      <c r="BH2765" s="22">
        <f t="shared" si="2"/>
        <v>0</v>
      </c>
    </row>
    <row r="2766">
      <c r="B2766">
        <f>[1]资金台帐!B2766&amp;""</f>
      </c>
      <c r="H2766">
        <f>[1]资金台帐!H2766&amp;""</f>
      </c>
      <c r="J2766">
        <f>[1]资金台帐!J2766&amp;""</f>
      </c>
      <c r="N2766">
        <f>[1]资金台帐!N2766</f>
      </c>
      <c r="O2766">
        <f>[1]资金台帐!O2766&amp;""</f>
      </c>
      <c r="P2766">
        <f>[1]资金台帐!P2766&amp;""</f>
      </c>
      <c r="Q2766">
        <f>[1]资金台帐!Q2766&amp;""</f>
      </c>
      <c r="T2766">
        <f>[1]资金台帐!T2766&amp;""</f>
      </c>
      <c r="U2766">
        <f>[1]资金台帐!U2766&amp;""</f>
      </c>
      <c r="W2766">
        <f>[1]资金台帐!W2766&amp;""</f>
      </c>
      <c r="X2766">
        <f>[1]资金台帐!X2766&amp;""</f>
      </c>
      <c r="AB2766">
        <f>[1]资金台帐!AB2766</f>
        <v>0</v>
      </c>
      <c r="AC2766">
        <f>[1]资金台帐!AC2766</f>
        <v>0</v>
      </c>
      <c r="AD2766">
        <f>[1]资金台帐!AD2766</f>
        <v>0</v>
      </c>
      <c r="AJ2766">
        <f>[1]资金台帐!AJ2766</f>
        <v>0</v>
      </c>
      <c r="AK2766">
        <f>[1]资金台帐!AK2766</f>
        <v>0</v>
      </c>
      <c r="BA2766" s="22">
        <f t="shared" si="0"/>
      </c>
      <c r="BG2766" s="22">
        <f t="shared" si="1"/>
      </c>
      <c r="BH2766" s="22">
        <f t="shared" si="2"/>
        <v>0</v>
      </c>
    </row>
    <row r="2767">
      <c r="B2767">
        <f>[1]资金台帐!B2767&amp;""</f>
      </c>
      <c r="H2767">
        <f>[1]资金台帐!H2767&amp;""</f>
      </c>
      <c r="J2767">
        <f>[1]资金台帐!J2767&amp;""</f>
      </c>
      <c r="N2767">
        <f>[1]资金台帐!N2767</f>
      </c>
      <c r="O2767">
        <f>[1]资金台帐!O2767&amp;""</f>
      </c>
      <c r="P2767">
        <f>[1]资金台帐!P2767&amp;""</f>
      </c>
      <c r="Q2767">
        <f>[1]资金台帐!Q2767&amp;""</f>
      </c>
      <c r="T2767">
        <f>[1]资金台帐!T2767&amp;""</f>
      </c>
      <c r="U2767">
        <f>[1]资金台帐!U2767&amp;""</f>
      </c>
      <c r="W2767">
        <f>[1]资金台帐!W2767&amp;""</f>
      </c>
      <c r="X2767">
        <f>[1]资金台帐!X2767&amp;""</f>
      </c>
      <c r="AB2767">
        <f>[1]资金台帐!AB2767</f>
        <v>0</v>
      </c>
      <c r="AC2767">
        <f>[1]资金台帐!AC2767</f>
        <v>0</v>
      </c>
      <c r="AD2767">
        <f>[1]资金台帐!AD2767</f>
        <v>0</v>
      </c>
      <c r="AJ2767">
        <f>[1]资金台帐!AJ2767</f>
        <v>0</v>
      </c>
      <c r="AK2767">
        <f>[1]资金台帐!AK2767</f>
        <v>0</v>
      </c>
      <c r="BA2767" s="22">
        <f t="shared" si="0"/>
      </c>
      <c r="BG2767" s="22">
        <f t="shared" si="1"/>
      </c>
      <c r="BH2767" s="22">
        <f t="shared" si="2"/>
        <v>0</v>
      </c>
    </row>
    <row r="2768">
      <c r="B2768">
        <f>[1]资金台帐!B2768&amp;""</f>
      </c>
      <c r="H2768">
        <f>[1]资金台帐!H2768&amp;""</f>
      </c>
      <c r="J2768">
        <f>[1]资金台帐!J2768&amp;""</f>
      </c>
      <c r="N2768">
        <f>[1]资金台帐!N2768</f>
      </c>
      <c r="O2768">
        <f>[1]资金台帐!O2768&amp;""</f>
      </c>
      <c r="P2768">
        <f>[1]资金台帐!P2768&amp;""</f>
      </c>
      <c r="Q2768">
        <f>[1]资金台帐!Q2768&amp;""</f>
      </c>
      <c r="T2768">
        <f>[1]资金台帐!T2768&amp;""</f>
      </c>
      <c r="U2768">
        <f>[1]资金台帐!U2768&amp;""</f>
      </c>
      <c r="W2768">
        <f>[1]资金台帐!W2768&amp;""</f>
      </c>
      <c r="X2768">
        <f>[1]资金台帐!X2768&amp;""</f>
      </c>
      <c r="AB2768">
        <f>[1]资金台帐!AB2768</f>
        <v>0</v>
      </c>
      <c r="AC2768">
        <f>[1]资金台帐!AC2768</f>
        <v>0</v>
      </c>
      <c r="AD2768">
        <f>[1]资金台帐!AD2768</f>
        <v>0</v>
      </c>
      <c r="AJ2768">
        <f>[1]资金台帐!AJ2768</f>
        <v>0</v>
      </c>
      <c r="AK2768">
        <f>[1]资金台帐!AK2768</f>
        <v>0</v>
      </c>
      <c r="BA2768" s="22">
        <f t="shared" si="0"/>
      </c>
      <c r="BG2768" s="22">
        <f t="shared" si="1"/>
      </c>
      <c r="BH2768" s="22">
        <f t="shared" si="2"/>
        <v>0</v>
      </c>
    </row>
    <row r="2769">
      <c r="B2769">
        <f>[1]资金台帐!B2769&amp;""</f>
      </c>
      <c r="H2769">
        <f>[1]资金台帐!H2769&amp;""</f>
      </c>
      <c r="J2769">
        <f>[1]资金台帐!J2769&amp;""</f>
      </c>
      <c r="N2769">
        <f>[1]资金台帐!N2769</f>
      </c>
      <c r="O2769">
        <f>[1]资金台帐!O2769&amp;""</f>
      </c>
      <c r="P2769">
        <f>[1]资金台帐!P2769&amp;""</f>
      </c>
      <c r="Q2769">
        <f>[1]资金台帐!Q2769&amp;""</f>
      </c>
      <c r="T2769">
        <f>[1]资金台帐!T2769&amp;""</f>
      </c>
      <c r="U2769">
        <f>[1]资金台帐!U2769&amp;""</f>
      </c>
      <c r="W2769">
        <f>[1]资金台帐!W2769&amp;""</f>
      </c>
      <c r="X2769">
        <f>[1]资金台帐!X2769&amp;""</f>
      </c>
      <c r="AB2769">
        <f>[1]资金台帐!AB2769</f>
        <v>0</v>
      </c>
      <c r="AC2769">
        <f>[1]资金台帐!AC2769</f>
        <v>0</v>
      </c>
      <c r="AD2769">
        <f>[1]资金台帐!AD2769</f>
        <v>0</v>
      </c>
      <c r="AJ2769">
        <f>[1]资金台帐!AJ2769</f>
        <v>0</v>
      </c>
      <c r="AK2769">
        <f>[1]资金台帐!AK2769</f>
        <v>0</v>
      </c>
      <c r="BA2769" s="22">
        <f t="shared" si="0"/>
      </c>
      <c r="BG2769" s="22">
        <f t="shared" si="1"/>
      </c>
      <c r="BH2769" s="22">
        <f t="shared" si="2"/>
        <v>0</v>
      </c>
    </row>
    <row r="2770">
      <c r="B2770">
        <f>[1]资金台帐!B2770&amp;""</f>
      </c>
      <c r="H2770">
        <f>[1]资金台帐!H2770&amp;""</f>
      </c>
      <c r="J2770">
        <f>[1]资金台帐!J2770&amp;""</f>
      </c>
      <c r="N2770">
        <f>[1]资金台帐!N2770</f>
      </c>
      <c r="O2770">
        <f>[1]资金台帐!O2770&amp;""</f>
      </c>
      <c r="P2770">
        <f>[1]资金台帐!P2770&amp;""</f>
      </c>
      <c r="Q2770">
        <f>[1]资金台帐!Q2770&amp;""</f>
      </c>
      <c r="T2770">
        <f>[1]资金台帐!T2770&amp;""</f>
      </c>
      <c r="U2770">
        <f>[1]资金台帐!U2770&amp;""</f>
      </c>
      <c r="W2770">
        <f>[1]资金台帐!W2770&amp;""</f>
      </c>
      <c r="X2770">
        <f>[1]资金台帐!X2770&amp;""</f>
      </c>
      <c r="AB2770">
        <f>[1]资金台帐!AB2770</f>
        <v>0</v>
      </c>
      <c r="AC2770">
        <f>[1]资金台帐!AC2770</f>
        <v>0</v>
      </c>
      <c r="AD2770">
        <f>[1]资金台帐!AD2770</f>
        <v>0</v>
      </c>
      <c r="AJ2770">
        <f>[1]资金台帐!AJ2770</f>
        <v>0</v>
      </c>
      <c r="AK2770">
        <f>[1]资金台帐!AK2770</f>
        <v>0</v>
      </c>
      <c r="BA2770" s="22">
        <f t="shared" si="0"/>
      </c>
      <c r="BG2770" s="22">
        <f t="shared" si="1"/>
      </c>
      <c r="BH2770" s="22">
        <f t="shared" si="2"/>
        <v>0</v>
      </c>
    </row>
    <row r="2771">
      <c r="B2771">
        <f>[1]资金台帐!B2771&amp;""</f>
      </c>
      <c r="H2771">
        <f>[1]资金台帐!H2771&amp;""</f>
      </c>
      <c r="J2771">
        <f>[1]资金台帐!J2771&amp;""</f>
      </c>
      <c r="N2771">
        <f>[1]资金台帐!N2771</f>
      </c>
      <c r="O2771">
        <f>[1]资金台帐!O2771&amp;""</f>
      </c>
      <c r="P2771">
        <f>[1]资金台帐!P2771&amp;""</f>
      </c>
      <c r="Q2771">
        <f>[1]资金台帐!Q2771&amp;""</f>
      </c>
      <c r="T2771">
        <f>[1]资金台帐!T2771&amp;""</f>
      </c>
      <c r="U2771">
        <f>[1]资金台帐!U2771&amp;""</f>
      </c>
      <c r="W2771">
        <f>[1]资金台帐!W2771&amp;""</f>
      </c>
      <c r="X2771">
        <f>[1]资金台帐!X2771&amp;""</f>
      </c>
      <c r="AB2771">
        <f>[1]资金台帐!AB2771</f>
        <v>0</v>
      </c>
      <c r="AC2771">
        <f>[1]资金台帐!AC2771</f>
        <v>0</v>
      </c>
      <c r="AD2771">
        <f>[1]资金台帐!AD2771</f>
        <v>0</v>
      </c>
      <c r="AJ2771">
        <f>[1]资金台帐!AJ2771</f>
        <v>0</v>
      </c>
      <c r="AK2771">
        <f>[1]资金台帐!AK2771</f>
        <v>0</v>
      </c>
      <c r="BA2771" s="22">
        <f t="shared" si="0"/>
      </c>
      <c r="BG2771" s="22">
        <f t="shared" si="1"/>
      </c>
      <c r="BH2771" s="22">
        <f t="shared" si="2"/>
        <v>0</v>
      </c>
    </row>
    <row r="2772">
      <c r="B2772">
        <f>[1]资金台帐!B2772&amp;""</f>
      </c>
      <c r="H2772">
        <f>[1]资金台帐!H2772&amp;""</f>
      </c>
      <c r="J2772">
        <f>[1]资金台帐!J2772&amp;""</f>
      </c>
      <c r="N2772">
        <f>[1]资金台帐!N2772</f>
      </c>
      <c r="O2772">
        <f>[1]资金台帐!O2772&amp;""</f>
      </c>
      <c r="P2772">
        <f>[1]资金台帐!P2772&amp;""</f>
      </c>
      <c r="Q2772">
        <f>[1]资金台帐!Q2772&amp;""</f>
      </c>
      <c r="T2772">
        <f>[1]资金台帐!T2772&amp;""</f>
      </c>
      <c r="U2772">
        <f>[1]资金台帐!U2772&amp;""</f>
      </c>
      <c r="W2772">
        <f>[1]资金台帐!W2772&amp;""</f>
      </c>
      <c r="X2772">
        <f>[1]资金台帐!X2772&amp;""</f>
      </c>
      <c r="AB2772">
        <f>[1]资金台帐!AB2772</f>
        <v>0</v>
      </c>
      <c r="AC2772">
        <f>[1]资金台帐!AC2772</f>
        <v>0</v>
      </c>
      <c r="AD2772">
        <f>[1]资金台帐!AD2772</f>
        <v>0</v>
      </c>
      <c r="AJ2772">
        <f>[1]资金台帐!AJ2772</f>
        <v>0</v>
      </c>
      <c r="AK2772">
        <f>[1]资金台帐!AK2772</f>
        <v>0</v>
      </c>
      <c r="BA2772" s="22">
        <f t="shared" si="0"/>
      </c>
      <c r="BG2772" s="22">
        <f t="shared" si="1"/>
      </c>
      <c r="BH2772" s="22">
        <f t="shared" si="2"/>
        <v>0</v>
      </c>
    </row>
    <row r="2773">
      <c r="B2773">
        <f>[1]资金台帐!B2773&amp;""</f>
      </c>
      <c r="H2773">
        <f>[1]资金台帐!H2773&amp;""</f>
      </c>
      <c r="J2773">
        <f>[1]资金台帐!J2773&amp;""</f>
      </c>
      <c r="N2773">
        <f>[1]资金台帐!N2773</f>
      </c>
      <c r="O2773">
        <f>[1]资金台帐!O2773&amp;""</f>
      </c>
      <c r="P2773">
        <f>[1]资金台帐!P2773&amp;""</f>
      </c>
      <c r="Q2773">
        <f>[1]资金台帐!Q2773&amp;""</f>
      </c>
      <c r="T2773">
        <f>[1]资金台帐!T2773&amp;""</f>
      </c>
      <c r="U2773">
        <f>[1]资金台帐!U2773&amp;""</f>
      </c>
      <c r="W2773">
        <f>[1]资金台帐!W2773&amp;""</f>
      </c>
      <c r="X2773">
        <f>[1]资金台帐!X2773&amp;""</f>
      </c>
      <c r="AB2773">
        <f>[1]资金台帐!AB2773</f>
        <v>0</v>
      </c>
      <c r="AC2773">
        <f>[1]资金台帐!AC2773</f>
        <v>0</v>
      </c>
      <c r="AD2773">
        <f>[1]资金台帐!AD2773</f>
        <v>0</v>
      </c>
      <c r="AJ2773">
        <f>[1]资金台帐!AJ2773</f>
        <v>0</v>
      </c>
      <c r="AK2773">
        <f>[1]资金台帐!AK2773</f>
        <v>0</v>
      </c>
      <c r="BA2773" s="22">
        <f t="shared" si="0"/>
      </c>
      <c r="BG2773" s="22">
        <f t="shared" si="1"/>
      </c>
      <c r="BH2773" s="22">
        <f t="shared" si="2"/>
        <v>0</v>
      </c>
    </row>
    <row r="2774">
      <c r="B2774">
        <f>[1]资金台帐!B2774&amp;""</f>
      </c>
      <c r="H2774">
        <f>[1]资金台帐!H2774&amp;""</f>
      </c>
      <c r="J2774">
        <f>[1]资金台帐!J2774&amp;""</f>
      </c>
      <c r="N2774">
        <f>[1]资金台帐!N2774</f>
      </c>
      <c r="O2774">
        <f>[1]资金台帐!O2774&amp;""</f>
      </c>
      <c r="P2774">
        <f>[1]资金台帐!P2774&amp;""</f>
      </c>
      <c r="Q2774">
        <f>[1]资金台帐!Q2774&amp;""</f>
      </c>
      <c r="T2774">
        <f>[1]资金台帐!T2774&amp;""</f>
      </c>
      <c r="U2774">
        <f>[1]资金台帐!U2774&amp;""</f>
      </c>
      <c r="W2774">
        <f>[1]资金台帐!W2774&amp;""</f>
      </c>
      <c r="X2774">
        <f>[1]资金台帐!X2774&amp;""</f>
      </c>
      <c r="AB2774">
        <f>[1]资金台帐!AB2774</f>
        <v>0</v>
      </c>
      <c r="AC2774">
        <f>[1]资金台帐!AC2774</f>
        <v>0</v>
      </c>
      <c r="AD2774">
        <f>[1]资金台帐!AD2774</f>
        <v>0</v>
      </c>
      <c r="AJ2774">
        <f>[1]资金台帐!AJ2774</f>
        <v>0</v>
      </c>
      <c r="AK2774">
        <f>[1]资金台帐!AK2774</f>
        <v>0</v>
      </c>
      <c r="BA2774" s="22">
        <f t="shared" si="0"/>
      </c>
      <c r="BG2774" s="22">
        <f t="shared" si="1"/>
      </c>
      <c r="BH2774" s="22">
        <f t="shared" si="2"/>
        <v>0</v>
      </c>
    </row>
    <row r="2775">
      <c r="B2775">
        <f>[1]资金台帐!B2775&amp;""</f>
      </c>
      <c r="H2775">
        <f>[1]资金台帐!H2775&amp;""</f>
      </c>
      <c r="J2775">
        <f>[1]资金台帐!J2775&amp;""</f>
      </c>
      <c r="N2775">
        <f>[1]资金台帐!N2775</f>
      </c>
      <c r="O2775">
        <f>[1]资金台帐!O2775&amp;""</f>
      </c>
      <c r="P2775">
        <f>[1]资金台帐!P2775&amp;""</f>
      </c>
      <c r="Q2775">
        <f>[1]资金台帐!Q2775&amp;""</f>
      </c>
      <c r="T2775">
        <f>[1]资金台帐!T2775&amp;""</f>
      </c>
      <c r="U2775">
        <f>[1]资金台帐!U2775&amp;""</f>
      </c>
      <c r="W2775">
        <f>[1]资金台帐!W2775&amp;""</f>
      </c>
      <c r="X2775">
        <f>[1]资金台帐!X2775&amp;""</f>
      </c>
      <c r="AB2775">
        <f>[1]资金台帐!AB2775</f>
        <v>0</v>
      </c>
      <c r="AC2775">
        <f>[1]资金台帐!AC2775</f>
        <v>0</v>
      </c>
      <c r="AD2775">
        <f>[1]资金台帐!AD2775</f>
        <v>0</v>
      </c>
      <c r="AJ2775">
        <f>[1]资金台帐!AJ2775</f>
        <v>0</v>
      </c>
      <c r="AK2775">
        <f>[1]资金台帐!AK2775</f>
        <v>0</v>
      </c>
      <c r="BA2775" s="22">
        <f t="shared" si="0"/>
      </c>
      <c r="BG2775" s="22">
        <f t="shared" si="1"/>
      </c>
      <c r="BH2775" s="22">
        <f t="shared" si="2"/>
        <v>0</v>
      </c>
    </row>
    <row r="2776">
      <c r="B2776">
        <f>[1]资金台帐!B2776&amp;""</f>
      </c>
      <c r="H2776">
        <f>[1]资金台帐!H2776&amp;""</f>
      </c>
      <c r="J2776">
        <f>[1]资金台帐!J2776&amp;""</f>
      </c>
      <c r="N2776">
        <f>[1]资金台帐!N2776</f>
      </c>
      <c r="O2776">
        <f>[1]资金台帐!O2776&amp;""</f>
      </c>
      <c r="P2776">
        <f>[1]资金台帐!P2776&amp;""</f>
      </c>
      <c r="Q2776">
        <f>[1]资金台帐!Q2776&amp;""</f>
      </c>
      <c r="T2776">
        <f>[1]资金台帐!T2776&amp;""</f>
      </c>
      <c r="U2776">
        <f>[1]资金台帐!U2776&amp;""</f>
      </c>
      <c r="W2776">
        <f>[1]资金台帐!W2776&amp;""</f>
      </c>
      <c r="X2776">
        <f>[1]资金台帐!X2776&amp;""</f>
      </c>
      <c r="AB2776">
        <f>[1]资金台帐!AB2776</f>
        <v>0</v>
      </c>
      <c r="AC2776">
        <f>[1]资金台帐!AC2776</f>
        <v>0</v>
      </c>
      <c r="AD2776">
        <f>[1]资金台帐!AD2776</f>
        <v>0</v>
      </c>
      <c r="AJ2776">
        <f>[1]资金台帐!AJ2776</f>
        <v>0</v>
      </c>
      <c r="AK2776">
        <f>[1]资金台帐!AK2776</f>
        <v>0</v>
      </c>
      <c r="BA2776" s="22">
        <f t="shared" si="0"/>
      </c>
      <c r="BG2776" s="22">
        <f t="shared" si="1"/>
      </c>
      <c r="BH2776" s="22">
        <f t="shared" si="2"/>
        <v>0</v>
      </c>
    </row>
    <row r="2777">
      <c r="B2777">
        <f>[1]资金台帐!B2777&amp;""</f>
      </c>
      <c r="H2777">
        <f>[1]资金台帐!H2777&amp;""</f>
      </c>
      <c r="J2777">
        <f>[1]资金台帐!J2777&amp;""</f>
      </c>
      <c r="N2777">
        <f>[1]资金台帐!N2777</f>
      </c>
      <c r="O2777">
        <f>[1]资金台帐!O2777&amp;""</f>
      </c>
      <c r="P2777">
        <f>[1]资金台帐!P2777&amp;""</f>
      </c>
      <c r="Q2777">
        <f>[1]资金台帐!Q2777&amp;""</f>
      </c>
      <c r="T2777">
        <f>[1]资金台帐!T2777&amp;""</f>
      </c>
      <c r="U2777">
        <f>[1]资金台帐!U2777&amp;""</f>
      </c>
      <c r="W2777">
        <f>[1]资金台帐!W2777&amp;""</f>
      </c>
      <c r="X2777">
        <f>[1]资金台帐!X2777&amp;""</f>
      </c>
      <c r="AB2777">
        <f>[1]资金台帐!AB2777</f>
        <v>0</v>
      </c>
      <c r="AC2777">
        <f>[1]资金台帐!AC2777</f>
        <v>0</v>
      </c>
      <c r="AD2777">
        <f>[1]资金台帐!AD2777</f>
        <v>0</v>
      </c>
      <c r="AJ2777">
        <f>[1]资金台帐!AJ2777</f>
        <v>0</v>
      </c>
      <c r="AK2777">
        <f>[1]资金台帐!AK2777</f>
        <v>0</v>
      </c>
      <c r="BA2777" s="22">
        <f t="shared" si="0"/>
      </c>
      <c r="BG2777" s="22">
        <f t="shared" si="1"/>
      </c>
      <c r="BH2777" s="22">
        <f t="shared" si="2"/>
        <v>0</v>
      </c>
    </row>
    <row r="2778">
      <c r="B2778">
        <f>[1]资金台帐!B2778&amp;""</f>
      </c>
      <c r="H2778">
        <f>[1]资金台帐!H2778&amp;""</f>
      </c>
      <c r="J2778">
        <f>[1]资金台帐!J2778&amp;""</f>
      </c>
      <c r="N2778">
        <f>[1]资金台帐!N2778</f>
      </c>
      <c r="O2778">
        <f>[1]资金台帐!O2778&amp;""</f>
      </c>
      <c r="P2778">
        <f>[1]资金台帐!P2778&amp;""</f>
      </c>
      <c r="Q2778">
        <f>[1]资金台帐!Q2778&amp;""</f>
      </c>
      <c r="T2778">
        <f>[1]资金台帐!T2778&amp;""</f>
      </c>
      <c r="U2778">
        <f>[1]资金台帐!U2778&amp;""</f>
      </c>
      <c r="W2778">
        <f>[1]资金台帐!W2778&amp;""</f>
      </c>
      <c r="X2778">
        <f>[1]资金台帐!X2778&amp;""</f>
      </c>
      <c r="AB2778">
        <f>[1]资金台帐!AB2778</f>
        <v>0</v>
      </c>
      <c r="AC2778">
        <f>[1]资金台帐!AC2778</f>
        <v>0</v>
      </c>
      <c r="AD2778">
        <f>[1]资金台帐!AD2778</f>
        <v>0</v>
      </c>
      <c r="AJ2778">
        <f>[1]资金台帐!AJ2778</f>
        <v>0</v>
      </c>
      <c r="AK2778">
        <f>[1]资金台帐!AK2778</f>
        <v>0</v>
      </c>
      <c r="BA2778" s="22">
        <f t="shared" si="0"/>
      </c>
      <c r="BG2778" s="22">
        <f t="shared" si="1"/>
      </c>
      <c r="BH2778" s="22">
        <f t="shared" si="2"/>
        <v>0</v>
      </c>
    </row>
    <row r="2779">
      <c r="B2779">
        <f>[1]资金台帐!B2779&amp;""</f>
      </c>
      <c r="H2779">
        <f>[1]资金台帐!H2779&amp;""</f>
      </c>
      <c r="J2779">
        <f>[1]资金台帐!J2779&amp;""</f>
      </c>
      <c r="N2779">
        <f>[1]资金台帐!N2779</f>
      </c>
      <c r="O2779">
        <f>[1]资金台帐!O2779&amp;""</f>
      </c>
      <c r="P2779">
        <f>[1]资金台帐!P2779&amp;""</f>
      </c>
      <c r="Q2779">
        <f>[1]资金台帐!Q2779&amp;""</f>
      </c>
      <c r="T2779">
        <f>[1]资金台帐!T2779&amp;""</f>
      </c>
      <c r="U2779">
        <f>[1]资金台帐!U2779&amp;""</f>
      </c>
      <c r="W2779">
        <f>[1]资金台帐!W2779&amp;""</f>
      </c>
      <c r="X2779">
        <f>[1]资金台帐!X2779&amp;""</f>
      </c>
      <c r="AB2779">
        <f>[1]资金台帐!AB2779</f>
        <v>0</v>
      </c>
      <c r="AC2779">
        <f>[1]资金台帐!AC2779</f>
        <v>0</v>
      </c>
      <c r="AD2779">
        <f>[1]资金台帐!AD2779</f>
        <v>0</v>
      </c>
      <c r="AJ2779">
        <f>[1]资金台帐!AJ2779</f>
        <v>0</v>
      </c>
      <c r="AK2779">
        <f>[1]资金台帐!AK2779</f>
        <v>0</v>
      </c>
      <c r="BA2779" s="22">
        <f t="shared" si="0"/>
      </c>
      <c r="BG2779" s="22">
        <f t="shared" si="1"/>
      </c>
      <c r="BH2779" s="22">
        <f t="shared" si="2"/>
        <v>0</v>
      </c>
    </row>
    <row r="2780">
      <c r="B2780">
        <f>[1]资金台帐!B2780&amp;""</f>
      </c>
      <c r="H2780">
        <f>[1]资金台帐!H2780&amp;""</f>
      </c>
      <c r="J2780">
        <f>[1]资金台帐!J2780&amp;""</f>
      </c>
      <c r="N2780">
        <f>[1]资金台帐!N2780</f>
      </c>
      <c r="O2780">
        <f>[1]资金台帐!O2780&amp;""</f>
      </c>
      <c r="P2780">
        <f>[1]资金台帐!P2780&amp;""</f>
      </c>
      <c r="Q2780">
        <f>[1]资金台帐!Q2780&amp;""</f>
      </c>
      <c r="T2780">
        <f>[1]资金台帐!T2780&amp;""</f>
      </c>
      <c r="U2780">
        <f>[1]资金台帐!U2780&amp;""</f>
      </c>
      <c r="W2780">
        <f>[1]资金台帐!W2780&amp;""</f>
      </c>
      <c r="X2780">
        <f>[1]资金台帐!X2780&amp;""</f>
      </c>
      <c r="AB2780">
        <f>[1]资金台帐!AB2780</f>
        <v>0</v>
      </c>
      <c r="AC2780">
        <f>[1]资金台帐!AC2780</f>
        <v>0</v>
      </c>
      <c r="AD2780">
        <f>[1]资金台帐!AD2780</f>
        <v>0</v>
      </c>
      <c r="AJ2780">
        <f>[1]资金台帐!AJ2780</f>
        <v>0</v>
      </c>
      <c r="AK2780">
        <f>[1]资金台帐!AK2780</f>
        <v>0</v>
      </c>
      <c r="BA2780" s="22">
        <f t="shared" si="0"/>
      </c>
      <c r="BG2780" s="22">
        <f t="shared" si="1"/>
      </c>
      <c r="BH2780" s="22">
        <f t="shared" si="2"/>
        <v>0</v>
      </c>
    </row>
    <row r="2781">
      <c r="B2781">
        <f>[1]资金台帐!B2781&amp;""</f>
      </c>
      <c r="H2781">
        <f>[1]资金台帐!H2781&amp;""</f>
      </c>
      <c r="J2781">
        <f>[1]资金台帐!J2781&amp;""</f>
      </c>
      <c r="N2781">
        <f>[1]资金台帐!N2781</f>
      </c>
      <c r="O2781">
        <f>[1]资金台帐!O2781&amp;""</f>
      </c>
      <c r="P2781">
        <f>[1]资金台帐!P2781&amp;""</f>
      </c>
      <c r="Q2781">
        <f>[1]资金台帐!Q2781&amp;""</f>
      </c>
      <c r="T2781">
        <f>[1]资金台帐!T2781&amp;""</f>
      </c>
      <c r="U2781">
        <f>[1]资金台帐!U2781&amp;""</f>
      </c>
      <c r="W2781">
        <f>[1]资金台帐!W2781&amp;""</f>
      </c>
      <c r="X2781">
        <f>[1]资金台帐!X2781&amp;""</f>
      </c>
      <c r="AB2781">
        <f>[1]资金台帐!AB2781</f>
        <v>0</v>
      </c>
      <c r="AC2781">
        <f>[1]资金台帐!AC2781</f>
        <v>0</v>
      </c>
      <c r="AD2781">
        <f>[1]资金台帐!AD2781</f>
        <v>0</v>
      </c>
      <c r="AJ2781">
        <f>[1]资金台帐!AJ2781</f>
        <v>0</v>
      </c>
      <c r="AK2781">
        <f>[1]资金台帐!AK2781</f>
        <v>0</v>
      </c>
      <c r="BA2781" s="22">
        <f t="shared" si="0"/>
      </c>
      <c r="BG2781" s="22">
        <f t="shared" si="1"/>
      </c>
      <c r="BH2781" s="22">
        <f t="shared" si="2"/>
        <v>0</v>
      </c>
    </row>
    <row r="2782">
      <c r="B2782">
        <f>[1]资金台帐!B2782&amp;""</f>
      </c>
      <c r="H2782">
        <f>[1]资金台帐!H2782&amp;""</f>
      </c>
      <c r="J2782">
        <f>[1]资金台帐!J2782&amp;""</f>
      </c>
      <c r="N2782">
        <f>[1]资金台帐!N2782</f>
      </c>
      <c r="O2782">
        <f>[1]资金台帐!O2782&amp;""</f>
      </c>
      <c r="P2782">
        <f>[1]资金台帐!P2782&amp;""</f>
      </c>
      <c r="Q2782">
        <f>[1]资金台帐!Q2782&amp;""</f>
      </c>
      <c r="T2782">
        <f>[1]资金台帐!T2782&amp;""</f>
      </c>
      <c r="U2782">
        <f>[1]资金台帐!U2782&amp;""</f>
      </c>
      <c r="W2782">
        <f>[1]资金台帐!W2782&amp;""</f>
      </c>
      <c r="X2782">
        <f>[1]资金台帐!X2782&amp;""</f>
      </c>
      <c r="AB2782">
        <f>[1]资金台帐!AB2782</f>
        <v>0</v>
      </c>
      <c r="AC2782">
        <f>[1]资金台帐!AC2782</f>
        <v>0</v>
      </c>
      <c r="AD2782">
        <f>[1]资金台帐!AD2782</f>
        <v>0</v>
      </c>
      <c r="AJ2782">
        <f>[1]资金台帐!AJ2782</f>
        <v>0</v>
      </c>
      <c r="AK2782">
        <f>[1]资金台帐!AK2782</f>
        <v>0</v>
      </c>
      <c r="BA2782" s="22">
        <f t="shared" si="0"/>
      </c>
      <c r="BG2782" s="22">
        <f t="shared" si="1"/>
      </c>
      <c r="BH2782" s="22">
        <f t="shared" si="2"/>
        <v>0</v>
      </c>
    </row>
    <row r="2783">
      <c r="B2783">
        <f>[1]资金台帐!B2783&amp;""</f>
      </c>
      <c r="H2783">
        <f>[1]资金台帐!H2783&amp;""</f>
      </c>
      <c r="J2783">
        <f>[1]资金台帐!J2783&amp;""</f>
      </c>
      <c r="N2783">
        <f>[1]资金台帐!N2783</f>
      </c>
      <c r="O2783">
        <f>[1]资金台帐!O2783&amp;""</f>
      </c>
      <c r="P2783">
        <f>[1]资金台帐!P2783&amp;""</f>
      </c>
      <c r="Q2783">
        <f>[1]资金台帐!Q2783&amp;""</f>
      </c>
      <c r="T2783">
        <f>[1]资金台帐!T2783&amp;""</f>
      </c>
      <c r="U2783">
        <f>[1]资金台帐!U2783&amp;""</f>
      </c>
      <c r="W2783">
        <f>[1]资金台帐!W2783&amp;""</f>
      </c>
      <c r="X2783">
        <f>[1]资金台帐!X2783&amp;""</f>
      </c>
      <c r="AB2783">
        <f>[1]资金台帐!AB2783</f>
        <v>0</v>
      </c>
      <c r="AC2783">
        <f>[1]资金台帐!AC2783</f>
        <v>0</v>
      </c>
      <c r="AD2783">
        <f>[1]资金台帐!AD2783</f>
        <v>0</v>
      </c>
      <c r="AJ2783">
        <f>[1]资金台帐!AJ2783</f>
        <v>0</v>
      </c>
      <c r="AK2783">
        <f>[1]资金台帐!AK2783</f>
        <v>0</v>
      </c>
      <c r="BA2783" s="22">
        <f t="shared" si="0"/>
      </c>
      <c r="BG2783" s="22">
        <f t="shared" si="1"/>
      </c>
      <c r="BH2783" s="22">
        <f t="shared" si="2"/>
        <v>0</v>
      </c>
    </row>
    <row r="2784">
      <c r="B2784">
        <f>[1]资金台帐!B2784&amp;""</f>
      </c>
      <c r="H2784">
        <f>[1]资金台帐!H2784&amp;""</f>
      </c>
      <c r="J2784">
        <f>[1]资金台帐!J2784&amp;""</f>
      </c>
      <c r="N2784">
        <f>[1]资金台帐!N2784</f>
      </c>
      <c r="O2784">
        <f>[1]资金台帐!O2784&amp;""</f>
      </c>
      <c r="P2784">
        <f>[1]资金台帐!P2784&amp;""</f>
      </c>
      <c r="Q2784">
        <f>[1]资金台帐!Q2784&amp;""</f>
      </c>
      <c r="T2784">
        <f>[1]资金台帐!T2784&amp;""</f>
      </c>
      <c r="U2784">
        <f>[1]资金台帐!U2784&amp;""</f>
      </c>
      <c r="W2784">
        <f>[1]资金台帐!W2784&amp;""</f>
      </c>
      <c r="X2784">
        <f>[1]资金台帐!X2784&amp;""</f>
      </c>
      <c r="AB2784">
        <f>[1]资金台帐!AB2784</f>
        <v>0</v>
      </c>
      <c r="AC2784">
        <f>[1]资金台帐!AC2784</f>
        <v>0</v>
      </c>
      <c r="AD2784">
        <f>[1]资金台帐!AD2784</f>
        <v>0</v>
      </c>
      <c r="AJ2784">
        <f>[1]资金台帐!AJ2784</f>
        <v>0</v>
      </c>
      <c r="AK2784">
        <f>[1]资金台帐!AK2784</f>
        <v>0</v>
      </c>
      <c r="BA2784" s="22">
        <f t="shared" si="0"/>
      </c>
      <c r="BG2784" s="22">
        <f t="shared" si="1"/>
      </c>
      <c r="BH2784" s="22">
        <f t="shared" si="2"/>
        <v>0</v>
      </c>
    </row>
    <row r="2785">
      <c r="B2785">
        <f>[1]资金台帐!B2785&amp;""</f>
      </c>
      <c r="H2785">
        <f>[1]资金台帐!H2785&amp;""</f>
      </c>
      <c r="J2785">
        <f>[1]资金台帐!J2785&amp;""</f>
      </c>
      <c r="N2785">
        <f>[1]资金台帐!N2785</f>
      </c>
      <c r="O2785">
        <f>[1]资金台帐!O2785&amp;""</f>
      </c>
      <c r="P2785">
        <f>[1]资金台帐!P2785&amp;""</f>
      </c>
      <c r="Q2785">
        <f>[1]资金台帐!Q2785&amp;""</f>
      </c>
      <c r="T2785">
        <f>[1]资金台帐!T2785&amp;""</f>
      </c>
      <c r="U2785">
        <f>[1]资金台帐!U2785&amp;""</f>
      </c>
      <c r="W2785">
        <f>[1]资金台帐!W2785&amp;""</f>
      </c>
      <c r="X2785">
        <f>[1]资金台帐!X2785&amp;""</f>
      </c>
      <c r="AB2785">
        <f>[1]资金台帐!AB2785</f>
        <v>0</v>
      </c>
      <c r="AC2785">
        <f>[1]资金台帐!AC2785</f>
        <v>0</v>
      </c>
      <c r="AD2785">
        <f>[1]资金台帐!AD2785</f>
        <v>0</v>
      </c>
      <c r="AJ2785">
        <f>[1]资金台帐!AJ2785</f>
        <v>0</v>
      </c>
      <c r="AK2785">
        <f>[1]资金台帐!AK2785</f>
        <v>0</v>
      </c>
      <c r="BA2785" s="22">
        <f t="shared" si="0"/>
      </c>
      <c r="BG2785" s="22">
        <f t="shared" si="1"/>
      </c>
      <c r="BH2785" s="22">
        <f t="shared" si="2"/>
        <v>0</v>
      </c>
    </row>
    <row r="2786">
      <c r="B2786">
        <f>[1]资金台帐!B2786&amp;""</f>
      </c>
      <c r="H2786">
        <f>[1]资金台帐!H2786&amp;""</f>
      </c>
      <c r="J2786">
        <f>[1]资金台帐!J2786&amp;""</f>
      </c>
      <c r="N2786">
        <f>[1]资金台帐!N2786</f>
      </c>
      <c r="O2786">
        <f>[1]资金台帐!O2786&amp;""</f>
      </c>
      <c r="P2786">
        <f>[1]资金台帐!P2786&amp;""</f>
      </c>
      <c r="Q2786">
        <f>[1]资金台帐!Q2786&amp;""</f>
      </c>
      <c r="T2786">
        <f>[1]资金台帐!T2786&amp;""</f>
      </c>
      <c r="U2786">
        <f>[1]资金台帐!U2786&amp;""</f>
      </c>
      <c r="W2786">
        <f>[1]资金台帐!W2786&amp;""</f>
      </c>
      <c r="X2786">
        <f>[1]资金台帐!X2786&amp;""</f>
      </c>
      <c r="AB2786">
        <f>[1]资金台帐!AB2786</f>
        <v>0</v>
      </c>
      <c r="AC2786">
        <f>[1]资金台帐!AC2786</f>
        <v>0</v>
      </c>
      <c r="AD2786">
        <f>[1]资金台帐!AD2786</f>
        <v>0</v>
      </c>
      <c r="AJ2786">
        <f>[1]资金台帐!AJ2786</f>
        <v>0</v>
      </c>
      <c r="AK2786">
        <f>[1]资金台帐!AK2786</f>
        <v>0</v>
      </c>
      <c r="BA2786" s="22">
        <f t="shared" si="0"/>
      </c>
      <c r="BG2786" s="22">
        <f t="shared" si="1"/>
      </c>
      <c r="BH2786" s="22">
        <f t="shared" si="2"/>
        <v>0</v>
      </c>
    </row>
    <row r="2787">
      <c r="B2787">
        <f>[1]资金台帐!B2787&amp;""</f>
      </c>
      <c r="H2787">
        <f>[1]资金台帐!H2787&amp;""</f>
      </c>
      <c r="J2787">
        <f>[1]资金台帐!J2787&amp;""</f>
      </c>
      <c r="N2787">
        <f>[1]资金台帐!N2787</f>
      </c>
      <c r="O2787">
        <f>[1]资金台帐!O2787&amp;""</f>
      </c>
      <c r="P2787">
        <f>[1]资金台帐!P2787&amp;""</f>
      </c>
      <c r="Q2787">
        <f>[1]资金台帐!Q2787&amp;""</f>
      </c>
      <c r="T2787">
        <f>[1]资金台帐!T2787&amp;""</f>
      </c>
      <c r="U2787">
        <f>[1]资金台帐!U2787&amp;""</f>
      </c>
      <c r="W2787">
        <f>[1]资金台帐!W2787&amp;""</f>
      </c>
      <c r="X2787">
        <f>[1]资金台帐!X2787&amp;""</f>
      </c>
      <c r="AB2787">
        <f>[1]资金台帐!AB2787</f>
        <v>0</v>
      </c>
      <c r="AC2787">
        <f>[1]资金台帐!AC2787</f>
        <v>0</v>
      </c>
      <c r="AD2787">
        <f>[1]资金台帐!AD2787</f>
        <v>0</v>
      </c>
      <c r="AJ2787">
        <f>[1]资金台帐!AJ2787</f>
        <v>0</v>
      </c>
      <c r="AK2787">
        <f>[1]资金台帐!AK2787</f>
        <v>0</v>
      </c>
      <c r="BA2787" s="22">
        <f t="shared" si="0"/>
      </c>
      <c r="BG2787" s="22">
        <f t="shared" si="1"/>
      </c>
      <c r="BH2787" s="22">
        <f t="shared" si="2"/>
        <v>0</v>
      </c>
    </row>
    <row r="2788">
      <c r="B2788">
        <f>[1]资金台帐!B2788&amp;""</f>
      </c>
      <c r="H2788">
        <f>[1]资金台帐!H2788&amp;""</f>
      </c>
      <c r="J2788">
        <f>[1]资金台帐!J2788&amp;""</f>
      </c>
      <c r="N2788">
        <f>[1]资金台帐!N2788</f>
      </c>
      <c r="O2788">
        <f>[1]资金台帐!O2788&amp;""</f>
      </c>
      <c r="P2788">
        <f>[1]资金台帐!P2788&amp;""</f>
      </c>
      <c r="Q2788">
        <f>[1]资金台帐!Q2788&amp;""</f>
      </c>
      <c r="T2788">
        <f>[1]资金台帐!T2788&amp;""</f>
      </c>
      <c r="U2788">
        <f>[1]资金台帐!U2788&amp;""</f>
      </c>
      <c r="W2788">
        <f>[1]资金台帐!W2788&amp;""</f>
      </c>
      <c r="X2788">
        <f>[1]资金台帐!X2788&amp;""</f>
      </c>
      <c r="AB2788">
        <f>[1]资金台帐!AB2788</f>
        <v>0</v>
      </c>
      <c r="AC2788">
        <f>[1]资金台帐!AC2788</f>
        <v>0</v>
      </c>
      <c r="AD2788">
        <f>[1]资金台帐!AD2788</f>
        <v>0</v>
      </c>
      <c r="AJ2788">
        <f>[1]资金台帐!AJ2788</f>
        <v>0</v>
      </c>
      <c r="AK2788">
        <f>[1]资金台帐!AK2788</f>
        <v>0</v>
      </c>
      <c r="BA2788" s="22">
        <f t="shared" si="0"/>
      </c>
      <c r="BG2788" s="22">
        <f t="shared" si="1"/>
      </c>
      <c r="BH2788" s="22">
        <f t="shared" si="2"/>
        <v>0</v>
      </c>
    </row>
    <row r="2789">
      <c r="B2789">
        <f>[1]资金台帐!B2789&amp;""</f>
      </c>
      <c r="H2789">
        <f>[1]资金台帐!H2789&amp;""</f>
      </c>
      <c r="J2789">
        <f>[1]资金台帐!J2789&amp;""</f>
      </c>
      <c r="N2789">
        <f>[1]资金台帐!N2789</f>
      </c>
      <c r="O2789">
        <f>[1]资金台帐!O2789&amp;""</f>
      </c>
      <c r="P2789">
        <f>[1]资金台帐!P2789&amp;""</f>
      </c>
      <c r="Q2789">
        <f>[1]资金台帐!Q2789&amp;""</f>
      </c>
      <c r="T2789">
        <f>[1]资金台帐!T2789&amp;""</f>
      </c>
      <c r="U2789">
        <f>[1]资金台帐!U2789&amp;""</f>
      </c>
      <c r="W2789">
        <f>[1]资金台帐!W2789&amp;""</f>
      </c>
      <c r="X2789">
        <f>[1]资金台帐!X2789&amp;""</f>
      </c>
      <c r="AB2789">
        <f>[1]资金台帐!AB2789</f>
        <v>0</v>
      </c>
      <c r="AC2789">
        <f>[1]资金台帐!AC2789</f>
        <v>0</v>
      </c>
      <c r="AD2789">
        <f>[1]资金台帐!AD2789</f>
        <v>0</v>
      </c>
      <c r="AJ2789">
        <f>[1]资金台帐!AJ2789</f>
        <v>0</v>
      </c>
      <c r="AK2789">
        <f>[1]资金台帐!AK2789</f>
        <v>0</v>
      </c>
      <c r="BA2789" s="22">
        <f t="shared" si="0"/>
      </c>
      <c r="BG2789" s="22">
        <f t="shared" si="1"/>
      </c>
      <c r="BH2789" s="22">
        <f t="shared" si="2"/>
        <v>0</v>
      </c>
    </row>
    <row r="2790">
      <c r="B2790">
        <f>[1]资金台帐!B2790&amp;""</f>
      </c>
      <c r="H2790">
        <f>[1]资金台帐!H2790&amp;""</f>
      </c>
      <c r="J2790">
        <f>[1]资金台帐!J2790&amp;""</f>
      </c>
      <c r="N2790">
        <f>[1]资金台帐!N2790</f>
      </c>
      <c r="O2790">
        <f>[1]资金台帐!O2790&amp;""</f>
      </c>
      <c r="P2790">
        <f>[1]资金台帐!P2790&amp;""</f>
      </c>
      <c r="Q2790">
        <f>[1]资金台帐!Q2790&amp;""</f>
      </c>
      <c r="T2790">
        <f>[1]资金台帐!T2790&amp;""</f>
      </c>
      <c r="U2790">
        <f>[1]资金台帐!U2790&amp;""</f>
      </c>
      <c r="W2790">
        <f>[1]资金台帐!W2790&amp;""</f>
      </c>
      <c r="X2790">
        <f>[1]资金台帐!X2790&amp;""</f>
      </c>
      <c r="AB2790">
        <f>[1]资金台帐!AB2790</f>
        <v>0</v>
      </c>
      <c r="AC2790">
        <f>[1]资金台帐!AC2790</f>
        <v>0</v>
      </c>
      <c r="AD2790">
        <f>[1]资金台帐!AD2790</f>
        <v>0</v>
      </c>
      <c r="AJ2790">
        <f>[1]资金台帐!AJ2790</f>
        <v>0</v>
      </c>
      <c r="AK2790">
        <f>[1]资金台帐!AK2790</f>
        <v>0</v>
      </c>
      <c r="BA2790" s="22">
        <f t="shared" si="0"/>
      </c>
      <c r="BG2790" s="22">
        <f t="shared" si="1"/>
      </c>
      <c r="BH2790" s="22">
        <f t="shared" si="2"/>
        <v>0</v>
      </c>
    </row>
    <row r="2791">
      <c r="B2791">
        <f>[1]资金台帐!B2791&amp;""</f>
      </c>
      <c r="H2791">
        <f>[1]资金台帐!H2791&amp;""</f>
      </c>
      <c r="J2791">
        <f>[1]资金台帐!J2791&amp;""</f>
      </c>
      <c r="N2791">
        <f>[1]资金台帐!N2791</f>
      </c>
      <c r="O2791">
        <f>[1]资金台帐!O2791&amp;""</f>
      </c>
      <c r="P2791">
        <f>[1]资金台帐!P2791&amp;""</f>
      </c>
      <c r="Q2791">
        <f>[1]资金台帐!Q2791&amp;""</f>
      </c>
      <c r="T2791">
        <f>[1]资金台帐!T2791&amp;""</f>
      </c>
      <c r="U2791">
        <f>[1]资金台帐!U2791&amp;""</f>
      </c>
      <c r="W2791">
        <f>[1]资金台帐!W2791&amp;""</f>
      </c>
      <c r="X2791">
        <f>[1]资金台帐!X2791&amp;""</f>
      </c>
      <c r="AB2791">
        <f>[1]资金台帐!AB2791</f>
        <v>0</v>
      </c>
      <c r="AC2791">
        <f>[1]资金台帐!AC2791</f>
        <v>0</v>
      </c>
      <c r="AD2791">
        <f>[1]资金台帐!AD2791</f>
        <v>0</v>
      </c>
      <c r="AJ2791">
        <f>[1]资金台帐!AJ2791</f>
        <v>0</v>
      </c>
      <c r="AK2791">
        <f>[1]资金台帐!AK2791</f>
        <v>0</v>
      </c>
      <c r="BA2791" s="22">
        <f t="shared" si="0"/>
      </c>
      <c r="BG2791" s="22">
        <f t="shared" si="1"/>
      </c>
      <c r="BH2791" s="22">
        <f t="shared" si="2"/>
        <v>0</v>
      </c>
    </row>
    <row r="2792">
      <c r="B2792">
        <f>[1]资金台帐!B2792&amp;""</f>
      </c>
      <c r="H2792">
        <f>[1]资金台帐!H2792&amp;""</f>
      </c>
      <c r="J2792">
        <f>[1]资金台帐!J2792&amp;""</f>
      </c>
      <c r="N2792">
        <f>[1]资金台帐!N2792</f>
      </c>
      <c r="O2792">
        <f>[1]资金台帐!O2792&amp;""</f>
      </c>
      <c r="P2792">
        <f>[1]资金台帐!P2792&amp;""</f>
      </c>
      <c r="Q2792">
        <f>[1]资金台帐!Q2792&amp;""</f>
      </c>
      <c r="T2792">
        <f>[1]资金台帐!T2792&amp;""</f>
      </c>
      <c r="U2792">
        <f>[1]资金台帐!U2792&amp;""</f>
      </c>
      <c r="W2792">
        <f>[1]资金台帐!W2792&amp;""</f>
      </c>
      <c r="X2792">
        <f>[1]资金台帐!X2792&amp;""</f>
      </c>
      <c r="AB2792">
        <f>[1]资金台帐!AB2792</f>
        <v>0</v>
      </c>
      <c r="AC2792">
        <f>[1]资金台帐!AC2792</f>
        <v>0</v>
      </c>
      <c r="AD2792">
        <f>[1]资金台帐!AD2792</f>
        <v>0</v>
      </c>
      <c r="AJ2792">
        <f>[1]资金台帐!AJ2792</f>
        <v>0</v>
      </c>
      <c r="AK2792">
        <f>[1]资金台帐!AK2792</f>
        <v>0</v>
      </c>
      <c r="BA2792" s="22">
        <f t="shared" si="0"/>
      </c>
      <c r="BG2792" s="22">
        <f t="shared" si="1"/>
      </c>
      <c r="BH2792" s="22">
        <f t="shared" si="2"/>
        <v>0</v>
      </c>
    </row>
    <row r="2793">
      <c r="B2793">
        <f>[1]资金台帐!B2793&amp;""</f>
      </c>
      <c r="H2793">
        <f>[1]资金台帐!H2793&amp;""</f>
      </c>
      <c r="J2793">
        <f>[1]资金台帐!J2793&amp;""</f>
      </c>
      <c r="N2793">
        <f>[1]资金台帐!N2793</f>
      </c>
      <c r="O2793">
        <f>[1]资金台帐!O2793&amp;""</f>
      </c>
      <c r="P2793">
        <f>[1]资金台帐!P2793&amp;""</f>
      </c>
      <c r="Q2793">
        <f>[1]资金台帐!Q2793&amp;""</f>
      </c>
      <c r="T2793">
        <f>[1]资金台帐!T2793&amp;""</f>
      </c>
      <c r="U2793">
        <f>[1]资金台帐!U2793&amp;""</f>
      </c>
      <c r="W2793">
        <f>[1]资金台帐!W2793&amp;""</f>
      </c>
      <c r="X2793">
        <f>[1]资金台帐!X2793&amp;""</f>
      </c>
      <c r="AB2793">
        <f>[1]资金台帐!AB2793</f>
        <v>0</v>
      </c>
      <c r="AC2793">
        <f>[1]资金台帐!AC2793</f>
        <v>0</v>
      </c>
      <c r="AD2793">
        <f>[1]资金台帐!AD2793</f>
        <v>0</v>
      </c>
      <c r="AJ2793">
        <f>[1]资金台帐!AJ2793</f>
        <v>0</v>
      </c>
      <c r="AK2793">
        <f>[1]资金台帐!AK2793</f>
        <v>0</v>
      </c>
      <c r="BA2793" s="22">
        <f t="shared" si="0"/>
      </c>
      <c r="BG2793" s="22">
        <f t="shared" si="1"/>
      </c>
      <c r="BH2793" s="22">
        <f t="shared" si="2"/>
        <v>0</v>
      </c>
    </row>
    <row r="2794">
      <c r="B2794">
        <f>[1]资金台帐!B2794&amp;""</f>
      </c>
      <c r="H2794">
        <f>[1]资金台帐!H2794&amp;""</f>
      </c>
      <c r="J2794">
        <f>[1]资金台帐!J2794&amp;""</f>
      </c>
      <c r="N2794">
        <f>[1]资金台帐!N2794</f>
      </c>
      <c r="O2794">
        <f>[1]资金台帐!O2794&amp;""</f>
      </c>
      <c r="P2794">
        <f>[1]资金台帐!P2794&amp;""</f>
      </c>
      <c r="Q2794">
        <f>[1]资金台帐!Q2794&amp;""</f>
      </c>
      <c r="T2794">
        <f>[1]资金台帐!T2794&amp;""</f>
      </c>
      <c r="U2794">
        <f>[1]资金台帐!U2794&amp;""</f>
      </c>
      <c r="W2794">
        <f>[1]资金台帐!W2794&amp;""</f>
      </c>
      <c r="X2794">
        <f>[1]资金台帐!X2794&amp;""</f>
      </c>
      <c r="AB2794">
        <f>[1]资金台帐!AB2794</f>
        <v>0</v>
      </c>
      <c r="AC2794">
        <f>[1]资金台帐!AC2794</f>
        <v>0</v>
      </c>
      <c r="AD2794">
        <f>[1]资金台帐!AD2794</f>
        <v>0</v>
      </c>
      <c r="AJ2794">
        <f>[1]资金台帐!AJ2794</f>
        <v>0</v>
      </c>
      <c r="AK2794">
        <f>[1]资金台帐!AK2794</f>
        <v>0</v>
      </c>
      <c r="BA2794" s="22">
        <f t="shared" si="0"/>
      </c>
      <c r="BG2794" s="22">
        <f t="shared" si="1"/>
      </c>
      <c r="BH2794" s="22">
        <f t="shared" si="2"/>
        <v>0</v>
      </c>
    </row>
    <row r="2795">
      <c r="B2795">
        <f>[1]资金台帐!B2795&amp;""</f>
      </c>
      <c r="H2795">
        <f>[1]资金台帐!H2795&amp;""</f>
      </c>
      <c r="J2795">
        <f>[1]资金台帐!J2795&amp;""</f>
      </c>
      <c r="N2795">
        <f>[1]资金台帐!N2795</f>
      </c>
      <c r="O2795">
        <f>[1]资金台帐!O2795&amp;""</f>
      </c>
      <c r="P2795">
        <f>[1]资金台帐!P2795&amp;""</f>
      </c>
      <c r="Q2795">
        <f>[1]资金台帐!Q2795&amp;""</f>
      </c>
      <c r="T2795">
        <f>[1]资金台帐!T2795&amp;""</f>
      </c>
      <c r="U2795">
        <f>[1]资金台帐!U2795&amp;""</f>
      </c>
      <c r="W2795">
        <f>[1]资金台帐!W2795&amp;""</f>
      </c>
      <c r="X2795">
        <f>[1]资金台帐!X2795&amp;""</f>
      </c>
      <c r="AB2795">
        <f>[1]资金台帐!AB2795</f>
        <v>0</v>
      </c>
      <c r="AC2795">
        <f>[1]资金台帐!AC2795</f>
        <v>0</v>
      </c>
      <c r="AD2795">
        <f>[1]资金台帐!AD2795</f>
        <v>0</v>
      </c>
      <c r="AJ2795">
        <f>[1]资金台帐!AJ2795</f>
        <v>0</v>
      </c>
      <c r="AK2795">
        <f>[1]资金台帐!AK2795</f>
        <v>0</v>
      </c>
      <c r="BA2795" s="22">
        <f t="shared" si="0"/>
      </c>
      <c r="BG2795" s="22">
        <f t="shared" si="1"/>
      </c>
      <c r="BH2795" s="22">
        <f t="shared" si="2"/>
        <v>0</v>
      </c>
    </row>
    <row r="2796">
      <c r="B2796">
        <f>[1]资金台帐!B2796&amp;""</f>
      </c>
      <c r="H2796">
        <f>[1]资金台帐!H2796&amp;""</f>
      </c>
      <c r="J2796">
        <f>[1]资金台帐!J2796&amp;""</f>
      </c>
      <c r="N2796">
        <f>[1]资金台帐!N2796</f>
      </c>
      <c r="O2796">
        <f>[1]资金台帐!O2796&amp;""</f>
      </c>
      <c r="P2796">
        <f>[1]资金台帐!P2796&amp;""</f>
      </c>
      <c r="Q2796">
        <f>[1]资金台帐!Q2796&amp;""</f>
      </c>
      <c r="T2796">
        <f>[1]资金台帐!T2796&amp;""</f>
      </c>
      <c r="U2796">
        <f>[1]资金台帐!U2796&amp;""</f>
      </c>
      <c r="W2796">
        <f>[1]资金台帐!W2796&amp;""</f>
      </c>
      <c r="X2796">
        <f>[1]资金台帐!X2796&amp;""</f>
      </c>
      <c r="AB2796">
        <f>[1]资金台帐!AB2796</f>
        <v>0</v>
      </c>
      <c r="AC2796">
        <f>[1]资金台帐!AC2796</f>
        <v>0</v>
      </c>
      <c r="AD2796">
        <f>[1]资金台帐!AD2796</f>
        <v>0</v>
      </c>
      <c r="AJ2796">
        <f>[1]资金台帐!AJ2796</f>
        <v>0</v>
      </c>
      <c r="AK2796">
        <f>[1]资金台帐!AK2796</f>
        <v>0</v>
      </c>
      <c r="BA2796" s="22">
        <f t="shared" si="0"/>
      </c>
      <c r="BG2796" s="22">
        <f t="shared" si="1"/>
      </c>
      <c r="BH2796" s="22">
        <f t="shared" si="2"/>
        <v>0</v>
      </c>
    </row>
    <row r="2797">
      <c r="B2797">
        <f>[1]资金台帐!B2797&amp;""</f>
      </c>
      <c r="H2797">
        <f>[1]资金台帐!H2797&amp;""</f>
      </c>
      <c r="J2797">
        <f>[1]资金台帐!J2797&amp;""</f>
      </c>
      <c r="N2797">
        <f>[1]资金台帐!N2797</f>
      </c>
      <c r="O2797">
        <f>[1]资金台帐!O2797&amp;""</f>
      </c>
      <c r="P2797">
        <f>[1]资金台帐!P2797&amp;""</f>
      </c>
      <c r="Q2797">
        <f>[1]资金台帐!Q2797&amp;""</f>
      </c>
      <c r="T2797">
        <f>[1]资金台帐!T2797&amp;""</f>
      </c>
      <c r="U2797">
        <f>[1]资金台帐!U2797&amp;""</f>
      </c>
      <c r="W2797">
        <f>[1]资金台帐!W2797&amp;""</f>
      </c>
      <c r="X2797">
        <f>[1]资金台帐!X2797&amp;""</f>
      </c>
      <c r="AB2797">
        <f>[1]资金台帐!AB2797</f>
        <v>0</v>
      </c>
      <c r="AC2797">
        <f>[1]资金台帐!AC2797</f>
        <v>0</v>
      </c>
      <c r="AD2797">
        <f>[1]资金台帐!AD2797</f>
        <v>0</v>
      </c>
      <c r="AJ2797">
        <f>[1]资金台帐!AJ2797</f>
        <v>0</v>
      </c>
      <c r="AK2797">
        <f>[1]资金台帐!AK2797</f>
        <v>0</v>
      </c>
      <c r="BA2797" s="22">
        <f t="shared" si="0"/>
      </c>
      <c r="BG2797" s="22">
        <f t="shared" si="1"/>
      </c>
      <c r="BH2797" s="22">
        <f t="shared" si="2"/>
        <v>0</v>
      </c>
    </row>
    <row r="2798">
      <c r="B2798">
        <f>[1]资金台帐!B2798&amp;""</f>
      </c>
      <c r="H2798">
        <f>[1]资金台帐!H2798&amp;""</f>
      </c>
      <c r="J2798">
        <f>[1]资金台帐!J2798&amp;""</f>
      </c>
      <c r="N2798">
        <f>[1]资金台帐!N2798</f>
      </c>
      <c r="O2798">
        <f>[1]资金台帐!O2798&amp;""</f>
      </c>
      <c r="P2798">
        <f>[1]资金台帐!P2798&amp;""</f>
      </c>
      <c r="Q2798">
        <f>[1]资金台帐!Q2798&amp;""</f>
      </c>
      <c r="T2798">
        <f>[1]资金台帐!T2798&amp;""</f>
      </c>
      <c r="U2798">
        <f>[1]资金台帐!U2798&amp;""</f>
      </c>
      <c r="W2798">
        <f>[1]资金台帐!W2798&amp;""</f>
      </c>
      <c r="X2798">
        <f>[1]资金台帐!X2798&amp;""</f>
      </c>
      <c r="AB2798">
        <f>[1]资金台帐!AB2798</f>
        <v>0</v>
      </c>
      <c r="AC2798">
        <f>[1]资金台帐!AC2798</f>
        <v>0</v>
      </c>
      <c r="AD2798">
        <f>[1]资金台帐!AD2798</f>
        <v>0</v>
      </c>
      <c r="AJ2798">
        <f>[1]资金台帐!AJ2798</f>
        <v>0</v>
      </c>
      <c r="AK2798">
        <f>[1]资金台帐!AK2798</f>
        <v>0</v>
      </c>
      <c r="BA2798" s="22">
        <f t="shared" si="0"/>
      </c>
      <c r="BG2798" s="22">
        <f t="shared" si="1"/>
      </c>
      <c r="BH2798" s="22">
        <f t="shared" si="2"/>
        <v>0</v>
      </c>
    </row>
    <row r="2799">
      <c r="B2799">
        <f>[1]资金台帐!B2799&amp;""</f>
      </c>
      <c r="H2799">
        <f>[1]资金台帐!H2799&amp;""</f>
      </c>
      <c r="J2799">
        <f>[1]资金台帐!J2799&amp;""</f>
      </c>
      <c r="N2799">
        <f>[1]资金台帐!N2799</f>
      </c>
      <c r="O2799">
        <f>[1]资金台帐!O2799&amp;""</f>
      </c>
      <c r="P2799">
        <f>[1]资金台帐!P2799&amp;""</f>
      </c>
      <c r="Q2799">
        <f>[1]资金台帐!Q2799&amp;""</f>
      </c>
      <c r="T2799">
        <f>[1]资金台帐!T2799&amp;""</f>
      </c>
      <c r="U2799">
        <f>[1]资金台帐!U2799&amp;""</f>
      </c>
      <c r="W2799">
        <f>[1]资金台帐!W2799&amp;""</f>
      </c>
      <c r="X2799">
        <f>[1]资金台帐!X2799&amp;""</f>
      </c>
      <c r="AB2799">
        <f>[1]资金台帐!AB2799</f>
        <v>0</v>
      </c>
      <c r="AC2799">
        <f>[1]资金台帐!AC2799</f>
        <v>0</v>
      </c>
      <c r="AD2799">
        <f>[1]资金台帐!AD2799</f>
        <v>0</v>
      </c>
      <c r="AJ2799">
        <f>[1]资金台帐!AJ2799</f>
        <v>0</v>
      </c>
      <c r="AK2799">
        <f>[1]资金台帐!AK2799</f>
        <v>0</v>
      </c>
      <c r="BA2799" s="22">
        <f t="shared" si="0"/>
      </c>
      <c r="BG2799" s="22">
        <f t="shared" si="1"/>
      </c>
      <c r="BH2799" s="22">
        <f t="shared" si="2"/>
        <v>0</v>
      </c>
    </row>
    <row r="2800">
      <c r="B2800">
        <f>[1]资金台帐!B2800&amp;""</f>
      </c>
      <c r="H2800">
        <f>[1]资金台帐!H2800&amp;""</f>
      </c>
      <c r="J2800">
        <f>[1]资金台帐!J2800&amp;""</f>
      </c>
      <c r="N2800">
        <f>[1]资金台帐!N2800</f>
      </c>
      <c r="O2800">
        <f>[1]资金台帐!O2800&amp;""</f>
      </c>
      <c r="P2800">
        <f>[1]资金台帐!P2800&amp;""</f>
      </c>
      <c r="Q2800">
        <f>[1]资金台帐!Q2800&amp;""</f>
      </c>
      <c r="T2800">
        <f>[1]资金台帐!T2800&amp;""</f>
      </c>
      <c r="U2800">
        <f>[1]资金台帐!U2800&amp;""</f>
      </c>
      <c r="W2800">
        <f>[1]资金台帐!W2800&amp;""</f>
      </c>
      <c r="X2800">
        <f>[1]资金台帐!X2800&amp;""</f>
      </c>
      <c r="AB2800">
        <f>[1]资金台帐!AB2800</f>
        <v>0</v>
      </c>
      <c r="AC2800">
        <f>[1]资金台帐!AC2800</f>
        <v>0</v>
      </c>
      <c r="AD2800">
        <f>[1]资金台帐!AD2800</f>
        <v>0</v>
      </c>
      <c r="AJ2800">
        <f>[1]资金台帐!AJ2800</f>
        <v>0</v>
      </c>
      <c r="AK2800">
        <f>[1]资金台帐!AK2800</f>
        <v>0</v>
      </c>
      <c r="BA2800" s="22">
        <f t="shared" si="0"/>
      </c>
      <c r="BG2800" s="22">
        <f t="shared" si="1"/>
      </c>
      <c r="BH2800" s="22">
        <f t="shared" si="2"/>
        <v>0</v>
      </c>
    </row>
    <row r="2801">
      <c r="B2801">
        <f>[1]资金台帐!B2801&amp;""</f>
      </c>
      <c r="H2801">
        <f>[1]资金台帐!H2801&amp;""</f>
      </c>
      <c r="J2801">
        <f>[1]资金台帐!J2801&amp;""</f>
      </c>
      <c r="N2801">
        <f>[1]资金台帐!N2801</f>
      </c>
      <c r="O2801">
        <f>[1]资金台帐!O2801&amp;""</f>
      </c>
      <c r="P2801">
        <f>[1]资金台帐!P2801&amp;""</f>
      </c>
      <c r="Q2801">
        <f>[1]资金台帐!Q2801&amp;""</f>
      </c>
      <c r="T2801">
        <f>[1]资金台帐!T2801&amp;""</f>
      </c>
      <c r="U2801">
        <f>[1]资金台帐!U2801&amp;""</f>
      </c>
      <c r="W2801">
        <f>[1]资金台帐!W2801&amp;""</f>
      </c>
      <c r="X2801">
        <f>[1]资金台帐!X2801&amp;""</f>
      </c>
      <c r="AB2801">
        <f>[1]资金台帐!AB2801</f>
        <v>0</v>
      </c>
      <c r="AC2801">
        <f>[1]资金台帐!AC2801</f>
        <v>0</v>
      </c>
      <c r="AD2801">
        <f>[1]资金台帐!AD2801</f>
        <v>0</v>
      </c>
      <c r="AJ2801">
        <f>[1]资金台帐!AJ2801</f>
        <v>0</v>
      </c>
      <c r="AK2801">
        <f>[1]资金台帐!AK2801</f>
        <v>0</v>
      </c>
      <c r="BA2801" s="22">
        <f t="shared" si="0"/>
      </c>
      <c r="BG2801" s="22">
        <f t="shared" si="1"/>
      </c>
      <c r="BH2801" s="22">
        <f t="shared" si="2"/>
        <v>0</v>
      </c>
    </row>
    <row r="2802">
      <c r="B2802">
        <f>[1]资金台帐!B2802&amp;""</f>
      </c>
      <c r="H2802">
        <f>[1]资金台帐!H2802&amp;""</f>
      </c>
      <c r="J2802">
        <f>[1]资金台帐!J2802&amp;""</f>
      </c>
      <c r="N2802">
        <f>[1]资金台帐!N2802</f>
      </c>
      <c r="O2802">
        <f>[1]资金台帐!O2802&amp;""</f>
      </c>
      <c r="P2802">
        <f>[1]资金台帐!P2802&amp;""</f>
      </c>
      <c r="Q2802">
        <f>[1]资金台帐!Q2802&amp;""</f>
      </c>
      <c r="T2802">
        <f>[1]资金台帐!T2802&amp;""</f>
      </c>
      <c r="U2802">
        <f>[1]资金台帐!U2802&amp;""</f>
      </c>
      <c r="W2802">
        <f>[1]资金台帐!W2802&amp;""</f>
      </c>
      <c r="X2802">
        <f>[1]资金台帐!X2802&amp;""</f>
      </c>
      <c r="AB2802">
        <f>[1]资金台帐!AB2802</f>
        <v>0</v>
      </c>
      <c r="AC2802">
        <f>[1]资金台帐!AC2802</f>
        <v>0</v>
      </c>
      <c r="AD2802">
        <f>[1]资金台帐!AD2802</f>
        <v>0</v>
      </c>
      <c r="AJ2802">
        <f>[1]资金台帐!AJ2802</f>
        <v>0</v>
      </c>
      <c r="AK2802">
        <f>[1]资金台帐!AK2802</f>
        <v>0</v>
      </c>
      <c r="BA2802" s="22">
        <f t="shared" si="0"/>
      </c>
      <c r="BG2802" s="22">
        <f t="shared" si="1"/>
      </c>
      <c r="BH2802" s="22">
        <f t="shared" si="2"/>
        <v>0</v>
      </c>
    </row>
    <row r="2803">
      <c r="B2803">
        <f>[1]资金台帐!B2803&amp;""</f>
      </c>
      <c r="H2803">
        <f>[1]资金台帐!H2803&amp;""</f>
      </c>
      <c r="J2803">
        <f>[1]资金台帐!J2803&amp;""</f>
      </c>
      <c r="N2803">
        <f>[1]资金台帐!N2803</f>
      </c>
      <c r="O2803">
        <f>[1]资金台帐!O2803&amp;""</f>
      </c>
      <c r="P2803">
        <f>[1]资金台帐!P2803&amp;""</f>
      </c>
      <c r="Q2803">
        <f>[1]资金台帐!Q2803&amp;""</f>
      </c>
      <c r="T2803">
        <f>[1]资金台帐!T2803&amp;""</f>
      </c>
      <c r="U2803">
        <f>[1]资金台帐!U2803&amp;""</f>
      </c>
      <c r="W2803">
        <f>[1]资金台帐!W2803&amp;""</f>
      </c>
      <c r="X2803">
        <f>[1]资金台帐!X2803&amp;""</f>
      </c>
      <c r="AB2803">
        <f>[1]资金台帐!AB2803</f>
        <v>0</v>
      </c>
      <c r="AC2803">
        <f>[1]资金台帐!AC2803</f>
        <v>0</v>
      </c>
      <c r="AD2803">
        <f>[1]资金台帐!AD2803</f>
        <v>0</v>
      </c>
      <c r="AJ2803">
        <f>[1]资金台帐!AJ2803</f>
        <v>0</v>
      </c>
      <c r="AK2803">
        <f>[1]资金台帐!AK2803</f>
        <v>0</v>
      </c>
      <c r="BA2803" s="22">
        <f t="shared" si="0"/>
      </c>
      <c r="BG2803" s="22">
        <f t="shared" si="1"/>
      </c>
      <c r="BH2803" s="22">
        <f t="shared" si="2"/>
        <v>0</v>
      </c>
    </row>
    <row r="2804">
      <c r="B2804">
        <f>[1]资金台帐!B2804&amp;""</f>
      </c>
      <c r="H2804">
        <f>[1]资金台帐!H2804&amp;""</f>
      </c>
      <c r="J2804">
        <f>[1]资金台帐!J2804&amp;""</f>
      </c>
      <c r="N2804">
        <f>[1]资金台帐!N2804</f>
      </c>
      <c r="O2804">
        <f>[1]资金台帐!O2804&amp;""</f>
      </c>
      <c r="P2804">
        <f>[1]资金台帐!P2804&amp;""</f>
      </c>
      <c r="Q2804">
        <f>[1]资金台帐!Q2804&amp;""</f>
      </c>
      <c r="T2804">
        <f>[1]资金台帐!T2804&amp;""</f>
      </c>
      <c r="U2804">
        <f>[1]资金台帐!U2804&amp;""</f>
      </c>
      <c r="W2804">
        <f>[1]资金台帐!W2804&amp;""</f>
      </c>
      <c r="X2804">
        <f>[1]资金台帐!X2804&amp;""</f>
      </c>
      <c r="AB2804">
        <f>[1]资金台帐!AB2804</f>
        <v>0</v>
      </c>
      <c r="AC2804">
        <f>[1]资金台帐!AC2804</f>
        <v>0</v>
      </c>
      <c r="AD2804">
        <f>[1]资金台帐!AD2804</f>
        <v>0</v>
      </c>
      <c r="AJ2804">
        <f>[1]资金台帐!AJ2804</f>
        <v>0</v>
      </c>
      <c r="AK2804">
        <f>[1]资金台帐!AK2804</f>
        <v>0</v>
      </c>
      <c r="BA2804" s="22">
        <f t="shared" si="0"/>
      </c>
      <c r="BG2804" s="22">
        <f t="shared" si="1"/>
      </c>
      <c r="BH2804" s="22">
        <f t="shared" si="2"/>
        <v>0</v>
      </c>
    </row>
    <row r="2805">
      <c r="B2805">
        <f>[1]资金台帐!B2805&amp;""</f>
      </c>
      <c r="H2805">
        <f>[1]资金台帐!H2805&amp;""</f>
      </c>
      <c r="J2805">
        <f>[1]资金台帐!J2805&amp;""</f>
      </c>
      <c r="N2805">
        <f>[1]资金台帐!N2805</f>
      </c>
      <c r="O2805">
        <f>[1]资金台帐!O2805&amp;""</f>
      </c>
      <c r="P2805">
        <f>[1]资金台帐!P2805&amp;""</f>
      </c>
      <c r="Q2805">
        <f>[1]资金台帐!Q2805&amp;""</f>
      </c>
      <c r="T2805">
        <f>[1]资金台帐!T2805&amp;""</f>
      </c>
      <c r="U2805">
        <f>[1]资金台帐!U2805&amp;""</f>
      </c>
      <c r="W2805">
        <f>[1]资金台帐!W2805&amp;""</f>
      </c>
      <c r="X2805">
        <f>[1]资金台帐!X2805&amp;""</f>
      </c>
      <c r="AB2805">
        <f>[1]资金台帐!AB2805</f>
        <v>0</v>
      </c>
      <c r="AC2805">
        <f>[1]资金台帐!AC2805</f>
        <v>0</v>
      </c>
      <c r="AD2805">
        <f>[1]资金台帐!AD2805</f>
        <v>0</v>
      </c>
      <c r="AJ2805">
        <f>[1]资金台帐!AJ2805</f>
        <v>0</v>
      </c>
      <c r="AK2805">
        <f>[1]资金台帐!AK2805</f>
        <v>0</v>
      </c>
      <c r="BA2805" s="22">
        <f t="shared" si="0"/>
      </c>
      <c r="BG2805" s="22">
        <f t="shared" si="1"/>
      </c>
      <c r="BH2805" s="22">
        <f t="shared" si="2"/>
        <v>0</v>
      </c>
    </row>
    <row r="2806">
      <c r="B2806">
        <f>[1]资金台帐!B2806&amp;""</f>
      </c>
      <c r="H2806">
        <f>[1]资金台帐!H2806&amp;""</f>
      </c>
      <c r="J2806">
        <f>[1]资金台帐!J2806&amp;""</f>
      </c>
      <c r="N2806">
        <f>[1]资金台帐!N2806</f>
      </c>
      <c r="O2806">
        <f>[1]资金台帐!O2806&amp;""</f>
      </c>
      <c r="P2806">
        <f>[1]资金台帐!P2806&amp;""</f>
      </c>
      <c r="Q2806">
        <f>[1]资金台帐!Q2806&amp;""</f>
      </c>
      <c r="T2806">
        <f>[1]资金台帐!T2806&amp;""</f>
      </c>
      <c r="U2806">
        <f>[1]资金台帐!U2806&amp;""</f>
      </c>
      <c r="W2806">
        <f>[1]资金台帐!W2806&amp;""</f>
      </c>
      <c r="X2806">
        <f>[1]资金台帐!X2806&amp;""</f>
      </c>
      <c r="AB2806">
        <f>[1]资金台帐!AB2806</f>
        <v>0</v>
      </c>
      <c r="AC2806">
        <f>[1]资金台帐!AC2806</f>
        <v>0</v>
      </c>
      <c r="AD2806">
        <f>[1]资金台帐!AD2806</f>
        <v>0</v>
      </c>
      <c r="AJ2806">
        <f>[1]资金台帐!AJ2806</f>
        <v>0</v>
      </c>
      <c r="AK2806">
        <f>[1]资金台帐!AK2806</f>
        <v>0</v>
      </c>
      <c r="BA2806" s="22">
        <f t="shared" si="0"/>
      </c>
      <c r="BG2806" s="22">
        <f t="shared" si="1"/>
      </c>
      <c r="BH2806" s="22">
        <f t="shared" si="2"/>
        <v>0</v>
      </c>
    </row>
    <row r="2807">
      <c r="B2807">
        <f>[1]资金台帐!B2807&amp;""</f>
      </c>
      <c r="H2807">
        <f>[1]资金台帐!H2807&amp;""</f>
      </c>
      <c r="J2807">
        <f>[1]资金台帐!J2807&amp;""</f>
      </c>
      <c r="N2807">
        <f>[1]资金台帐!N2807</f>
      </c>
      <c r="O2807">
        <f>[1]资金台帐!O2807&amp;""</f>
      </c>
      <c r="P2807">
        <f>[1]资金台帐!P2807&amp;""</f>
      </c>
      <c r="Q2807">
        <f>[1]资金台帐!Q2807&amp;""</f>
      </c>
      <c r="T2807">
        <f>[1]资金台帐!T2807&amp;""</f>
      </c>
      <c r="U2807">
        <f>[1]资金台帐!U2807&amp;""</f>
      </c>
      <c r="W2807">
        <f>[1]资金台帐!W2807&amp;""</f>
      </c>
      <c r="X2807">
        <f>[1]资金台帐!X2807&amp;""</f>
      </c>
      <c r="AB2807">
        <f>[1]资金台帐!AB2807</f>
        <v>0</v>
      </c>
      <c r="AC2807">
        <f>[1]资金台帐!AC2807</f>
        <v>0</v>
      </c>
      <c r="AD2807">
        <f>[1]资金台帐!AD2807</f>
        <v>0</v>
      </c>
      <c r="AJ2807">
        <f>[1]资金台帐!AJ2807</f>
        <v>0</v>
      </c>
      <c r="AK2807">
        <f>[1]资金台帐!AK2807</f>
        <v>0</v>
      </c>
      <c r="BA2807" s="22">
        <f t="shared" si="0"/>
      </c>
      <c r="BG2807" s="22">
        <f t="shared" si="1"/>
      </c>
      <c r="BH2807" s="22">
        <f t="shared" si="2"/>
        <v>0</v>
      </c>
    </row>
    <row r="2808">
      <c r="B2808">
        <f>[1]资金台帐!B2808&amp;""</f>
      </c>
      <c r="H2808">
        <f>[1]资金台帐!H2808&amp;""</f>
      </c>
      <c r="J2808">
        <f>[1]资金台帐!J2808&amp;""</f>
      </c>
      <c r="N2808">
        <f>[1]资金台帐!N2808</f>
      </c>
      <c r="O2808">
        <f>[1]资金台帐!O2808&amp;""</f>
      </c>
      <c r="P2808">
        <f>[1]资金台帐!P2808&amp;""</f>
      </c>
      <c r="Q2808">
        <f>[1]资金台帐!Q2808&amp;""</f>
      </c>
      <c r="T2808">
        <f>[1]资金台帐!T2808&amp;""</f>
      </c>
      <c r="U2808">
        <f>[1]资金台帐!U2808&amp;""</f>
      </c>
      <c r="W2808">
        <f>[1]资金台帐!W2808&amp;""</f>
      </c>
      <c r="X2808">
        <f>[1]资金台帐!X2808&amp;""</f>
      </c>
      <c r="AB2808">
        <f>[1]资金台帐!AB2808</f>
        <v>0</v>
      </c>
      <c r="AC2808">
        <f>[1]资金台帐!AC2808</f>
        <v>0</v>
      </c>
      <c r="AD2808">
        <f>[1]资金台帐!AD2808</f>
        <v>0</v>
      </c>
      <c r="AJ2808">
        <f>[1]资金台帐!AJ2808</f>
        <v>0</v>
      </c>
      <c r="AK2808">
        <f>[1]资金台帐!AK2808</f>
        <v>0</v>
      </c>
      <c r="BA2808" s="22">
        <f t="shared" si="0"/>
      </c>
      <c r="BG2808" s="22">
        <f t="shared" si="1"/>
      </c>
      <c r="BH2808" s="22">
        <f t="shared" si="2"/>
        <v>0</v>
      </c>
    </row>
    <row r="2809">
      <c r="B2809">
        <f>[1]资金台帐!B2809&amp;""</f>
      </c>
      <c r="H2809">
        <f>[1]资金台帐!H2809&amp;""</f>
      </c>
      <c r="J2809">
        <f>[1]资金台帐!J2809&amp;""</f>
      </c>
      <c r="N2809">
        <f>[1]资金台帐!N2809</f>
      </c>
      <c r="O2809">
        <f>[1]资金台帐!O2809&amp;""</f>
      </c>
      <c r="P2809">
        <f>[1]资金台帐!P2809&amp;""</f>
      </c>
      <c r="Q2809">
        <f>[1]资金台帐!Q2809&amp;""</f>
      </c>
      <c r="T2809">
        <f>[1]资金台帐!T2809&amp;""</f>
      </c>
      <c r="U2809">
        <f>[1]资金台帐!U2809&amp;""</f>
      </c>
      <c r="W2809">
        <f>[1]资金台帐!W2809&amp;""</f>
      </c>
      <c r="X2809">
        <f>[1]资金台帐!X2809&amp;""</f>
      </c>
      <c r="AB2809">
        <f>[1]资金台帐!AB2809</f>
        <v>0</v>
      </c>
      <c r="AC2809">
        <f>[1]资金台帐!AC2809</f>
        <v>0</v>
      </c>
      <c r="AD2809">
        <f>[1]资金台帐!AD2809</f>
        <v>0</v>
      </c>
      <c r="AJ2809">
        <f>[1]资金台帐!AJ2809</f>
        <v>0</v>
      </c>
      <c r="AK2809">
        <f>[1]资金台帐!AK2809</f>
        <v>0</v>
      </c>
      <c r="BA2809" s="22">
        <f t="shared" si="0"/>
      </c>
      <c r="BG2809" s="22">
        <f t="shared" si="1"/>
      </c>
      <c r="BH2809" s="22">
        <f t="shared" si="2"/>
        <v>0</v>
      </c>
    </row>
    <row r="2810">
      <c r="B2810">
        <f>[1]资金台帐!B2810&amp;""</f>
      </c>
      <c r="H2810">
        <f>[1]资金台帐!H2810&amp;""</f>
      </c>
      <c r="J2810">
        <f>[1]资金台帐!J2810&amp;""</f>
      </c>
      <c r="N2810">
        <f>[1]资金台帐!N2810</f>
      </c>
      <c r="O2810">
        <f>[1]资金台帐!O2810&amp;""</f>
      </c>
      <c r="P2810">
        <f>[1]资金台帐!P2810&amp;""</f>
      </c>
      <c r="Q2810">
        <f>[1]资金台帐!Q2810&amp;""</f>
      </c>
      <c r="T2810">
        <f>[1]资金台帐!T2810&amp;""</f>
      </c>
      <c r="U2810">
        <f>[1]资金台帐!U2810&amp;""</f>
      </c>
      <c r="W2810">
        <f>[1]资金台帐!W2810&amp;""</f>
      </c>
      <c r="X2810">
        <f>[1]资金台帐!X2810&amp;""</f>
      </c>
      <c r="AB2810">
        <f>[1]资金台帐!AB2810</f>
        <v>0</v>
      </c>
      <c r="AC2810">
        <f>[1]资金台帐!AC2810</f>
        <v>0</v>
      </c>
      <c r="AD2810">
        <f>[1]资金台帐!AD2810</f>
        <v>0</v>
      </c>
      <c r="AJ2810">
        <f>[1]资金台帐!AJ2810</f>
        <v>0</v>
      </c>
      <c r="AK2810">
        <f>[1]资金台帐!AK2810</f>
        <v>0</v>
      </c>
      <c r="BA2810" s="22">
        <f t="shared" si="0"/>
      </c>
      <c r="BG2810" s="22">
        <f t="shared" si="1"/>
      </c>
      <c r="BH2810" s="22">
        <f t="shared" si="2"/>
        <v>0</v>
      </c>
    </row>
    <row r="2811">
      <c r="B2811">
        <f>[1]资金台帐!B2811&amp;""</f>
      </c>
      <c r="H2811">
        <f>[1]资金台帐!H2811&amp;""</f>
      </c>
      <c r="J2811">
        <f>[1]资金台帐!J2811&amp;""</f>
      </c>
      <c r="N2811">
        <f>[1]资金台帐!N2811</f>
      </c>
      <c r="O2811">
        <f>[1]资金台帐!O2811&amp;""</f>
      </c>
      <c r="P2811">
        <f>[1]资金台帐!P2811&amp;""</f>
      </c>
      <c r="Q2811">
        <f>[1]资金台帐!Q2811&amp;""</f>
      </c>
      <c r="T2811">
        <f>[1]资金台帐!T2811&amp;""</f>
      </c>
      <c r="U2811">
        <f>[1]资金台帐!U2811&amp;""</f>
      </c>
      <c r="W2811">
        <f>[1]资金台帐!W2811&amp;""</f>
      </c>
      <c r="X2811">
        <f>[1]资金台帐!X2811&amp;""</f>
      </c>
      <c r="AB2811">
        <f>[1]资金台帐!AB2811</f>
        <v>0</v>
      </c>
      <c r="AC2811">
        <f>[1]资金台帐!AC2811</f>
        <v>0</v>
      </c>
      <c r="AD2811">
        <f>[1]资金台帐!AD2811</f>
        <v>0</v>
      </c>
      <c r="AJ2811">
        <f>[1]资金台帐!AJ2811</f>
        <v>0</v>
      </c>
      <c r="AK2811">
        <f>[1]资金台帐!AK2811</f>
        <v>0</v>
      </c>
      <c r="BA2811" s="22">
        <f t="shared" si="0"/>
      </c>
      <c r="BG2811" s="22">
        <f t="shared" si="1"/>
      </c>
      <c r="BH2811" s="22">
        <f t="shared" si="2"/>
        <v>0</v>
      </c>
    </row>
    <row r="2812">
      <c r="B2812">
        <f>[1]资金台帐!B2812&amp;""</f>
      </c>
      <c r="H2812">
        <f>[1]资金台帐!H2812&amp;""</f>
      </c>
      <c r="J2812">
        <f>[1]资金台帐!J2812&amp;""</f>
      </c>
      <c r="N2812">
        <f>[1]资金台帐!N2812</f>
      </c>
      <c r="O2812">
        <f>[1]资金台帐!O2812&amp;""</f>
      </c>
      <c r="P2812">
        <f>[1]资金台帐!P2812&amp;""</f>
      </c>
      <c r="Q2812">
        <f>[1]资金台帐!Q2812&amp;""</f>
      </c>
      <c r="T2812">
        <f>[1]资金台帐!T2812&amp;""</f>
      </c>
      <c r="U2812">
        <f>[1]资金台帐!U2812&amp;""</f>
      </c>
      <c r="W2812">
        <f>[1]资金台帐!W2812&amp;""</f>
      </c>
      <c r="X2812">
        <f>[1]资金台帐!X2812&amp;""</f>
      </c>
      <c r="AB2812">
        <f>[1]资金台帐!AB2812</f>
        <v>0</v>
      </c>
      <c r="AC2812">
        <f>[1]资金台帐!AC2812</f>
        <v>0</v>
      </c>
      <c r="AD2812">
        <f>[1]资金台帐!AD2812</f>
        <v>0</v>
      </c>
      <c r="AJ2812">
        <f>[1]资金台帐!AJ2812</f>
        <v>0</v>
      </c>
      <c r="AK2812">
        <f>[1]资金台帐!AK2812</f>
        <v>0</v>
      </c>
      <c r="BA2812" s="22">
        <f t="shared" si="0"/>
      </c>
      <c r="BG2812" s="22">
        <f t="shared" si="1"/>
      </c>
      <c r="BH2812" s="22">
        <f t="shared" si="2"/>
        <v>0</v>
      </c>
    </row>
    <row r="2813">
      <c r="B2813">
        <f>[1]资金台帐!B2813&amp;""</f>
      </c>
      <c r="H2813">
        <f>[1]资金台帐!H2813&amp;""</f>
      </c>
      <c r="J2813">
        <f>[1]资金台帐!J2813&amp;""</f>
      </c>
      <c r="N2813">
        <f>[1]资金台帐!N2813</f>
      </c>
      <c r="O2813">
        <f>[1]资金台帐!O2813&amp;""</f>
      </c>
      <c r="P2813">
        <f>[1]资金台帐!P2813&amp;""</f>
      </c>
      <c r="Q2813">
        <f>[1]资金台帐!Q2813&amp;""</f>
      </c>
      <c r="T2813">
        <f>[1]资金台帐!T2813&amp;""</f>
      </c>
      <c r="U2813">
        <f>[1]资金台帐!U2813&amp;""</f>
      </c>
      <c r="W2813">
        <f>[1]资金台帐!W2813&amp;""</f>
      </c>
      <c r="X2813">
        <f>[1]资金台帐!X2813&amp;""</f>
      </c>
      <c r="AB2813">
        <f>[1]资金台帐!AB2813</f>
        <v>0</v>
      </c>
      <c r="AC2813">
        <f>[1]资金台帐!AC2813</f>
        <v>0</v>
      </c>
      <c r="AD2813">
        <f>[1]资金台帐!AD2813</f>
        <v>0</v>
      </c>
      <c r="AJ2813">
        <f>[1]资金台帐!AJ2813</f>
        <v>0</v>
      </c>
      <c r="AK2813">
        <f>[1]资金台帐!AK2813</f>
        <v>0</v>
      </c>
      <c r="BA2813" s="22">
        <f t="shared" si="0"/>
      </c>
      <c r="BG2813" s="22">
        <f t="shared" si="1"/>
      </c>
      <c r="BH2813" s="22">
        <f t="shared" si="2"/>
        <v>0</v>
      </c>
    </row>
    <row r="2814">
      <c r="B2814">
        <f>[1]资金台帐!B2814&amp;""</f>
      </c>
      <c r="H2814">
        <f>[1]资金台帐!H2814&amp;""</f>
      </c>
      <c r="J2814">
        <f>[1]资金台帐!J2814&amp;""</f>
      </c>
      <c r="N2814">
        <f>[1]资金台帐!N2814</f>
      </c>
      <c r="O2814">
        <f>[1]资金台帐!O2814&amp;""</f>
      </c>
      <c r="P2814">
        <f>[1]资金台帐!P2814&amp;""</f>
      </c>
      <c r="Q2814">
        <f>[1]资金台帐!Q2814&amp;""</f>
      </c>
      <c r="T2814">
        <f>[1]资金台帐!T2814&amp;""</f>
      </c>
      <c r="U2814">
        <f>[1]资金台帐!U2814&amp;""</f>
      </c>
      <c r="W2814">
        <f>[1]资金台帐!W2814&amp;""</f>
      </c>
      <c r="X2814">
        <f>[1]资金台帐!X2814&amp;""</f>
      </c>
      <c r="AB2814">
        <f>[1]资金台帐!AB2814</f>
        <v>0</v>
      </c>
      <c r="AC2814">
        <f>[1]资金台帐!AC2814</f>
        <v>0</v>
      </c>
      <c r="AD2814">
        <f>[1]资金台帐!AD2814</f>
        <v>0</v>
      </c>
      <c r="AJ2814">
        <f>[1]资金台帐!AJ2814</f>
        <v>0</v>
      </c>
      <c r="AK2814">
        <f>[1]资金台帐!AK2814</f>
        <v>0</v>
      </c>
      <c r="BA2814" s="22">
        <f t="shared" si="0"/>
      </c>
      <c r="BG2814" s="22">
        <f t="shared" si="1"/>
      </c>
      <c r="BH2814" s="22">
        <f t="shared" si="2"/>
        <v>0</v>
      </c>
    </row>
    <row r="2815">
      <c r="B2815">
        <f>[1]资金台帐!B2815&amp;""</f>
      </c>
      <c r="H2815">
        <f>[1]资金台帐!H2815&amp;""</f>
      </c>
      <c r="J2815">
        <f>[1]资金台帐!J2815&amp;""</f>
      </c>
      <c r="N2815">
        <f>[1]资金台帐!N2815</f>
      </c>
      <c r="O2815">
        <f>[1]资金台帐!O2815&amp;""</f>
      </c>
      <c r="P2815">
        <f>[1]资金台帐!P2815&amp;""</f>
      </c>
      <c r="Q2815">
        <f>[1]资金台帐!Q2815&amp;""</f>
      </c>
      <c r="T2815">
        <f>[1]资金台帐!T2815&amp;""</f>
      </c>
      <c r="U2815">
        <f>[1]资金台帐!U2815&amp;""</f>
      </c>
      <c r="W2815">
        <f>[1]资金台帐!W2815&amp;""</f>
      </c>
      <c r="X2815">
        <f>[1]资金台帐!X2815&amp;""</f>
      </c>
      <c r="AB2815">
        <f>[1]资金台帐!AB2815</f>
        <v>0</v>
      </c>
      <c r="AC2815">
        <f>[1]资金台帐!AC2815</f>
        <v>0</v>
      </c>
      <c r="AD2815">
        <f>[1]资金台帐!AD2815</f>
        <v>0</v>
      </c>
      <c r="AJ2815">
        <f>[1]资金台帐!AJ2815</f>
        <v>0</v>
      </c>
      <c r="AK2815">
        <f>[1]资金台帐!AK2815</f>
        <v>0</v>
      </c>
      <c r="BA2815" s="22">
        <f t="shared" si="0"/>
      </c>
      <c r="BG2815" s="22">
        <f t="shared" si="1"/>
      </c>
      <c r="BH2815" s="22">
        <f t="shared" si="2"/>
        <v>0</v>
      </c>
    </row>
    <row r="2816">
      <c r="B2816">
        <f>[1]资金台帐!B2816&amp;""</f>
      </c>
      <c r="H2816">
        <f>[1]资金台帐!H2816&amp;""</f>
      </c>
      <c r="J2816">
        <f>[1]资金台帐!J2816&amp;""</f>
      </c>
      <c r="N2816">
        <f>[1]资金台帐!N2816</f>
      </c>
      <c r="O2816">
        <f>[1]资金台帐!O2816&amp;""</f>
      </c>
      <c r="P2816">
        <f>[1]资金台帐!P2816&amp;""</f>
      </c>
      <c r="Q2816">
        <f>[1]资金台帐!Q2816&amp;""</f>
      </c>
      <c r="T2816">
        <f>[1]资金台帐!T2816&amp;""</f>
      </c>
      <c r="U2816">
        <f>[1]资金台帐!U2816&amp;""</f>
      </c>
      <c r="W2816">
        <f>[1]资金台帐!W2816&amp;""</f>
      </c>
      <c r="X2816">
        <f>[1]资金台帐!X2816&amp;""</f>
      </c>
      <c r="AB2816">
        <f>[1]资金台帐!AB2816</f>
        <v>0</v>
      </c>
      <c r="AC2816">
        <f>[1]资金台帐!AC2816</f>
        <v>0</v>
      </c>
      <c r="AD2816">
        <f>[1]资金台帐!AD2816</f>
        <v>0</v>
      </c>
      <c r="AJ2816">
        <f>[1]资金台帐!AJ2816</f>
        <v>0</v>
      </c>
      <c r="AK2816">
        <f>[1]资金台帐!AK2816</f>
        <v>0</v>
      </c>
      <c r="BA2816" s="22">
        <f t="shared" si="0"/>
      </c>
      <c r="BG2816" s="22">
        <f t="shared" si="1"/>
      </c>
      <c r="BH2816" s="22">
        <f t="shared" si="2"/>
        <v>0</v>
      </c>
    </row>
    <row r="2817">
      <c r="B2817">
        <f>[1]资金台帐!B2817&amp;""</f>
      </c>
      <c r="H2817">
        <f>[1]资金台帐!H2817&amp;""</f>
      </c>
      <c r="J2817">
        <f>[1]资金台帐!J2817&amp;""</f>
      </c>
      <c r="N2817">
        <f>[1]资金台帐!N2817</f>
      </c>
      <c r="O2817">
        <f>[1]资金台帐!O2817&amp;""</f>
      </c>
      <c r="P2817">
        <f>[1]资金台帐!P2817&amp;""</f>
      </c>
      <c r="Q2817">
        <f>[1]资金台帐!Q2817&amp;""</f>
      </c>
      <c r="T2817">
        <f>[1]资金台帐!T2817&amp;""</f>
      </c>
      <c r="U2817">
        <f>[1]资金台帐!U2817&amp;""</f>
      </c>
      <c r="W2817">
        <f>[1]资金台帐!W2817&amp;""</f>
      </c>
      <c r="X2817">
        <f>[1]资金台帐!X2817&amp;""</f>
      </c>
      <c r="AB2817">
        <f>[1]资金台帐!AB2817</f>
        <v>0</v>
      </c>
      <c r="AC2817">
        <f>[1]资金台帐!AC2817</f>
        <v>0</v>
      </c>
      <c r="AD2817">
        <f>[1]资金台帐!AD2817</f>
        <v>0</v>
      </c>
      <c r="AJ2817">
        <f>[1]资金台帐!AJ2817</f>
        <v>0</v>
      </c>
      <c r="AK2817">
        <f>[1]资金台帐!AK2817</f>
        <v>0</v>
      </c>
      <c r="BA2817" s="22">
        <f t="shared" si="0"/>
      </c>
      <c r="BG2817" s="22">
        <f t="shared" si="1"/>
      </c>
      <c r="BH2817" s="22">
        <f t="shared" si="2"/>
        <v>0</v>
      </c>
    </row>
    <row r="2818">
      <c r="B2818">
        <f>[1]资金台帐!B2818&amp;""</f>
      </c>
      <c r="H2818">
        <f>[1]资金台帐!H2818&amp;""</f>
      </c>
      <c r="J2818">
        <f>[1]资金台帐!J2818&amp;""</f>
      </c>
      <c r="N2818">
        <f>[1]资金台帐!N2818</f>
      </c>
      <c r="O2818">
        <f>[1]资金台帐!O2818&amp;""</f>
      </c>
      <c r="P2818">
        <f>[1]资金台帐!P2818&amp;""</f>
      </c>
      <c r="Q2818">
        <f>[1]资金台帐!Q2818&amp;""</f>
      </c>
      <c r="T2818">
        <f>[1]资金台帐!T2818&amp;""</f>
      </c>
      <c r="U2818">
        <f>[1]资金台帐!U2818&amp;""</f>
      </c>
      <c r="W2818">
        <f>[1]资金台帐!W2818&amp;""</f>
      </c>
      <c r="X2818">
        <f>[1]资金台帐!X2818&amp;""</f>
      </c>
      <c r="AB2818">
        <f>[1]资金台帐!AB2818</f>
        <v>0</v>
      </c>
      <c r="AC2818">
        <f>[1]资金台帐!AC2818</f>
        <v>0</v>
      </c>
      <c r="AD2818">
        <f>[1]资金台帐!AD2818</f>
        <v>0</v>
      </c>
      <c r="AJ2818">
        <f>[1]资金台帐!AJ2818</f>
        <v>0</v>
      </c>
      <c r="AK2818">
        <f>[1]资金台帐!AK2818</f>
        <v>0</v>
      </c>
      <c r="BA2818" s="22">
        <f t="shared" si="0"/>
      </c>
      <c r="BG2818" s="22">
        <f t="shared" si="1"/>
      </c>
      <c r="BH2818" s="22">
        <f t="shared" si="2"/>
        <v>0</v>
      </c>
    </row>
    <row r="2819">
      <c r="B2819">
        <f>[1]资金台帐!B2819&amp;""</f>
      </c>
      <c r="H2819">
        <f>[1]资金台帐!H2819&amp;""</f>
      </c>
      <c r="J2819">
        <f>[1]资金台帐!J2819&amp;""</f>
      </c>
      <c r="N2819">
        <f>[1]资金台帐!N2819</f>
      </c>
      <c r="O2819">
        <f>[1]资金台帐!O2819&amp;""</f>
      </c>
      <c r="P2819">
        <f>[1]资金台帐!P2819&amp;""</f>
      </c>
      <c r="Q2819">
        <f>[1]资金台帐!Q2819&amp;""</f>
      </c>
      <c r="T2819">
        <f>[1]资金台帐!T2819&amp;""</f>
      </c>
      <c r="U2819">
        <f>[1]资金台帐!U2819&amp;""</f>
      </c>
      <c r="W2819">
        <f>[1]资金台帐!W2819&amp;""</f>
      </c>
      <c r="X2819">
        <f>[1]资金台帐!X2819&amp;""</f>
      </c>
      <c r="AB2819">
        <f>[1]资金台帐!AB2819</f>
        <v>0</v>
      </c>
      <c r="AC2819">
        <f>[1]资金台帐!AC2819</f>
        <v>0</v>
      </c>
      <c r="AD2819">
        <f>[1]资金台帐!AD2819</f>
        <v>0</v>
      </c>
      <c r="AJ2819">
        <f>[1]资金台帐!AJ2819</f>
        <v>0</v>
      </c>
      <c r="AK2819">
        <f>[1]资金台帐!AK2819</f>
        <v>0</v>
      </c>
      <c r="BA2819" s="22">
        <f t="shared" si="0"/>
      </c>
      <c r="BG2819" s="22">
        <f t="shared" si="1"/>
      </c>
      <c r="BH2819" s="22">
        <f t="shared" si="2"/>
        <v>0</v>
      </c>
    </row>
    <row r="2820">
      <c r="B2820">
        <f>[1]资金台帐!B2820&amp;""</f>
      </c>
      <c r="H2820">
        <f>[1]资金台帐!H2820&amp;""</f>
      </c>
      <c r="J2820">
        <f>[1]资金台帐!J2820&amp;""</f>
      </c>
      <c r="N2820">
        <f>[1]资金台帐!N2820</f>
      </c>
      <c r="O2820">
        <f>[1]资金台帐!O2820&amp;""</f>
      </c>
      <c r="P2820">
        <f>[1]资金台帐!P2820&amp;""</f>
      </c>
      <c r="Q2820">
        <f>[1]资金台帐!Q2820&amp;""</f>
      </c>
      <c r="T2820">
        <f>[1]资金台帐!T2820&amp;""</f>
      </c>
      <c r="U2820">
        <f>[1]资金台帐!U2820&amp;""</f>
      </c>
      <c r="W2820">
        <f>[1]资金台帐!W2820&amp;""</f>
      </c>
      <c r="X2820">
        <f>[1]资金台帐!X2820&amp;""</f>
      </c>
      <c r="AB2820">
        <f>[1]资金台帐!AB2820</f>
        <v>0</v>
      </c>
      <c r="AC2820">
        <f>[1]资金台帐!AC2820</f>
        <v>0</v>
      </c>
      <c r="AD2820">
        <f>[1]资金台帐!AD2820</f>
        <v>0</v>
      </c>
      <c r="AJ2820">
        <f>[1]资金台帐!AJ2820</f>
        <v>0</v>
      </c>
      <c r="AK2820">
        <f>[1]资金台帐!AK2820</f>
        <v>0</v>
      </c>
      <c r="BA2820" s="22">
        <f t="shared" si="0"/>
      </c>
      <c r="BG2820" s="22">
        <f t="shared" si="1"/>
      </c>
      <c r="BH2820" s="22">
        <f t="shared" si="2"/>
        <v>0</v>
      </c>
    </row>
    <row r="2821">
      <c r="B2821">
        <f>[1]资金台帐!B2821&amp;""</f>
      </c>
      <c r="H2821">
        <f>[1]资金台帐!H2821&amp;""</f>
      </c>
      <c r="J2821">
        <f>[1]资金台帐!J2821&amp;""</f>
      </c>
      <c r="N2821">
        <f>[1]资金台帐!N2821</f>
      </c>
      <c r="O2821">
        <f>[1]资金台帐!O2821&amp;""</f>
      </c>
      <c r="P2821">
        <f>[1]资金台帐!P2821&amp;""</f>
      </c>
      <c r="Q2821">
        <f>[1]资金台帐!Q2821&amp;""</f>
      </c>
      <c r="T2821">
        <f>[1]资金台帐!T2821&amp;""</f>
      </c>
      <c r="U2821">
        <f>[1]资金台帐!U2821&amp;""</f>
      </c>
      <c r="W2821">
        <f>[1]资金台帐!W2821&amp;""</f>
      </c>
      <c r="X2821">
        <f>[1]资金台帐!X2821&amp;""</f>
      </c>
      <c r="AB2821">
        <f>[1]资金台帐!AB2821</f>
        <v>0</v>
      </c>
      <c r="AC2821">
        <f>[1]资金台帐!AC2821</f>
        <v>0</v>
      </c>
      <c r="AD2821">
        <f>[1]资金台帐!AD2821</f>
        <v>0</v>
      </c>
      <c r="AJ2821">
        <f>[1]资金台帐!AJ2821</f>
        <v>0</v>
      </c>
      <c r="AK2821">
        <f>[1]资金台帐!AK2821</f>
        <v>0</v>
      </c>
      <c r="BA2821" s="22">
        <f t="shared" si="0"/>
      </c>
      <c r="BG2821" s="22">
        <f t="shared" si="1"/>
      </c>
      <c r="BH2821" s="22">
        <f t="shared" si="2"/>
        <v>0</v>
      </c>
    </row>
    <row r="2822">
      <c r="B2822">
        <f>[1]资金台帐!B2822&amp;""</f>
      </c>
      <c r="H2822">
        <f>[1]资金台帐!H2822&amp;""</f>
      </c>
      <c r="J2822">
        <f>[1]资金台帐!J2822&amp;""</f>
      </c>
      <c r="N2822">
        <f>[1]资金台帐!N2822</f>
      </c>
      <c r="O2822">
        <f>[1]资金台帐!O2822&amp;""</f>
      </c>
      <c r="P2822">
        <f>[1]资金台帐!P2822&amp;""</f>
      </c>
      <c r="Q2822">
        <f>[1]资金台帐!Q2822&amp;""</f>
      </c>
      <c r="T2822">
        <f>[1]资金台帐!T2822&amp;""</f>
      </c>
      <c r="U2822">
        <f>[1]资金台帐!U2822&amp;""</f>
      </c>
      <c r="W2822">
        <f>[1]资金台帐!W2822&amp;""</f>
      </c>
      <c r="X2822">
        <f>[1]资金台帐!X2822&amp;""</f>
      </c>
      <c r="AB2822">
        <f>[1]资金台帐!AB2822</f>
        <v>0</v>
      </c>
      <c r="AC2822">
        <f>[1]资金台帐!AC2822</f>
        <v>0</v>
      </c>
      <c r="AD2822">
        <f>[1]资金台帐!AD2822</f>
        <v>0</v>
      </c>
      <c r="AJ2822">
        <f>[1]资金台帐!AJ2822</f>
        <v>0</v>
      </c>
      <c r="AK2822">
        <f>[1]资金台帐!AK2822</f>
        <v>0</v>
      </c>
      <c r="BA2822" s="22">
        <f t="shared" si="0"/>
      </c>
      <c r="BG2822" s="22">
        <f t="shared" si="1"/>
      </c>
      <c r="BH2822" s="22">
        <f t="shared" si="2"/>
        <v>0</v>
      </c>
    </row>
    <row r="2823">
      <c r="B2823">
        <f>[1]资金台帐!B2823&amp;""</f>
      </c>
      <c r="H2823">
        <f>[1]资金台帐!H2823&amp;""</f>
      </c>
      <c r="J2823">
        <f>[1]资金台帐!J2823&amp;""</f>
      </c>
      <c r="N2823">
        <f>[1]资金台帐!N2823</f>
      </c>
      <c r="O2823">
        <f>[1]资金台帐!O2823&amp;""</f>
      </c>
      <c r="P2823">
        <f>[1]资金台帐!P2823&amp;""</f>
      </c>
      <c r="Q2823">
        <f>[1]资金台帐!Q2823&amp;""</f>
      </c>
      <c r="T2823">
        <f>[1]资金台帐!T2823&amp;""</f>
      </c>
      <c r="U2823">
        <f>[1]资金台帐!U2823&amp;""</f>
      </c>
      <c r="W2823">
        <f>[1]资金台帐!W2823&amp;""</f>
      </c>
      <c r="X2823">
        <f>[1]资金台帐!X2823&amp;""</f>
      </c>
      <c r="AB2823">
        <f>[1]资金台帐!AB2823</f>
        <v>0</v>
      </c>
      <c r="AC2823">
        <f>[1]资金台帐!AC2823</f>
        <v>0</v>
      </c>
      <c r="AD2823">
        <f>[1]资金台帐!AD2823</f>
        <v>0</v>
      </c>
      <c r="AJ2823">
        <f>[1]资金台帐!AJ2823</f>
        <v>0</v>
      </c>
      <c r="AK2823">
        <f>[1]资金台帐!AK2823</f>
        <v>0</v>
      </c>
      <c r="BA2823" s="22">
        <f t="shared" si="0"/>
      </c>
      <c r="BG2823" s="22">
        <f t="shared" si="1"/>
      </c>
      <c r="BH2823" s="22">
        <f t="shared" si="2"/>
        <v>0</v>
      </c>
    </row>
    <row r="2824">
      <c r="B2824">
        <f>[1]资金台帐!B2824&amp;""</f>
      </c>
      <c r="H2824">
        <f>[1]资金台帐!H2824&amp;""</f>
      </c>
      <c r="J2824">
        <f>[1]资金台帐!J2824&amp;""</f>
      </c>
      <c r="N2824">
        <f>[1]资金台帐!N2824</f>
      </c>
      <c r="O2824">
        <f>[1]资金台帐!O2824&amp;""</f>
      </c>
      <c r="P2824">
        <f>[1]资金台帐!P2824&amp;""</f>
      </c>
      <c r="Q2824">
        <f>[1]资金台帐!Q2824&amp;""</f>
      </c>
      <c r="T2824">
        <f>[1]资金台帐!T2824&amp;""</f>
      </c>
      <c r="U2824">
        <f>[1]资金台帐!U2824&amp;""</f>
      </c>
      <c r="W2824">
        <f>[1]资金台帐!W2824&amp;""</f>
      </c>
      <c r="X2824">
        <f>[1]资金台帐!X2824&amp;""</f>
      </c>
      <c r="AB2824">
        <f>[1]资金台帐!AB2824</f>
        <v>0</v>
      </c>
      <c r="AC2824">
        <f>[1]资金台帐!AC2824</f>
        <v>0</v>
      </c>
      <c r="AD2824">
        <f>[1]资金台帐!AD2824</f>
        <v>0</v>
      </c>
      <c r="AJ2824">
        <f>[1]资金台帐!AJ2824</f>
        <v>0</v>
      </c>
      <c r="AK2824">
        <f>[1]资金台帐!AK2824</f>
        <v>0</v>
      </c>
      <c r="BA2824" s="22">
        <f t="shared" si="0"/>
      </c>
      <c r="BG2824" s="22">
        <f t="shared" si="1"/>
      </c>
      <c r="BH2824" s="22">
        <f t="shared" si="2"/>
        <v>0</v>
      </c>
    </row>
    <row r="2825">
      <c r="B2825">
        <f>[1]资金台帐!B2825&amp;""</f>
      </c>
      <c r="H2825">
        <f>[1]资金台帐!H2825&amp;""</f>
      </c>
      <c r="J2825">
        <f>[1]资金台帐!J2825&amp;""</f>
      </c>
      <c r="N2825">
        <f>[1]资金台帐!N2825</f>
      </c>
      <c r="O2825">
        <f>[1]资金台帐!O2825&amp;""</f>
      </c>
      <c r="P2825">
        <f>[1]资金台帐!P2825&amp;""</f>
      </c>
      <c r="Q2825">
        <f>[1]资金台帐!Q2825&amp;""</f>
      </c>
      <c r="T2825">
        <f>[1]资金台帐!T2825&amp;""</f>
      </c>
      <c r="U2825">
        <f>[1]资金台帐!U2825&amp;""</f>
      </c>
      <c r="W2825">
        <f>[1]资金台帐!W2825&amp;""</f>
      </c>
      <c r="X2825">
        <f>[1]资金台帐!X2825&amp;""</f>
      </c>
      <c r="AB2825">
        <f>[1]资金台帐!AB2825</f>
        <v>0</v>
      </c>
      <c r="AC2825">
        <f>[1]资金台帐!AC2825</f>
        <v>0</v>
      </c>
      <c r="AD2825">
        <f>[1]资金台帐!AD2825</f>
        <v>0</v>
      </c>
      <c r="AJ2825">
        <f>[1]资金台帐!AJ2825</f>
        <v>0</v>
      </c>
      <c r="AK2825">
        <f>[1]资金台帐!AK2825</f>
        <v>0</v>
      </c>
      <c r="BA2825" s="22">
        <f t="shared" si="0"/>
      </c>
      <c r="BG2825" s="22">
        <f t="shared" si="1"/>
      </c>
      <c r="BH2825" s="22">
        <f t="shared" si="2"/>
        <v>0</v>
      </c>
    </row>
    <row r="2826">
      <c r="B2826">
        <f>[1]资金台帐!B2826&amp;""</f>
      </c>
      <c r="H2826">
        <f>[1]资金台帐!H2826&amp;""</f>
      </c>
      <c r="J2826">
        <f>[1]资金台帐!J2826&amp;""</f>
      </c>
      <c r="N2826">
        <f>[1]资金台帐!N2826</f>
      </c>
      <c r="O2826">
        <f>[1]资金台帐!O2826&amp;""</f>
      </c>
      <c r="P2826">
        <f>[1]资金台帐!P2826&amp;""</f>
      </c>
      <c r="Q2826">
        <f>[1]资金台帐!Q2826&amp;""</f>
      </c>
      <c r="T2826">
        <f>[1]资金台帐!T2826&amp;""</f>
      </c>
      <c r="U2826">
        <f>[1]资金台帐!U2826&amp;""</f>
      </c>
      <c r="W2826">
        <f>[1]资金台帐!W2826&amp;""</f>
      </c>
      <c r="X2826">
        <f>[1]资金台帐!X2826&amp;""</f>
      </c>
      <c r="AB2826">
        <f>[1]资金台帐!AB2826</f>
        <v>0</v>
      </c>
      <c r="AC2826">
        <f>[1]资金台帐!AC2826</f>
        <v>0</v>
      </c>
      <c r="AD2826">
        <f>[1]资金台帐!AD2826</f>
        <v>0</v>
      </c>
      <c r="AJ2826">
        <f>[1]资金台帐!AJ2826</f>
        <v>0</v>
      </c>
      <c r="AK2826">
        <f>[1]资金台帐!AK2826</f>
        <v>0</v>
      </c>
      <c r="BA2826" s="22">
        <f t="shared" si="0"/>
      </c>
      <c r="BG2826" s="22">
        <f t="shared" si="1"/>
      </c>
      <c r="BH2826" s="22">
        <f t="shared" si="2"/>
        <v>0</v>
      </c>
    </row>
    <row r="2827">
      <c r="B2827">
        <f>[1]资金台帐!B2827&amp;""</f>
      </c>
      <c r="H2827">
        <f>[1]资金台帐!H2827&amp;""</f>
      </c>
      <c r="J2827">
        <f>[1]资金台帐!J2827&amp;""</f>
      </c>
      <c r="N2827">
        <f>[1]资金台帐!N2827</f>
      </c>
      <c r="O2827">
        <f>[1]资金台帐!O2827&amp;""</f>
      </c>
      <c r="P2827">
        <f>[1]资金台帐!P2827&amp;""</f>
      </c>
      <c r="Q2827">
        <f>[1]资金台帐!Q2827&amp;""</f>
      </c>
      <c r="T2827">
        <f>[1]资金台帐!T2827&amp;""</f>
      </c>
      <c r="U2827">
        <f>[1]资金台帐!U2827&amp;""</f>
      </c>
      <c r="W2827">
        <f>[1]资金台帐!W2827&amp;""</f>
      </c>
      <c r="X2827">
        <f>[1]资金台帐!X2827&amp;""</f>
      </c>
      <c r="AB2827">
        <f>[1]资金台帐!AB2827</f>
        <v>0</v>
      </c>
      <c r="AC2827">
        <f>[1]资金台帐!AC2827</f>
        <v>0</v>
      </c>
      <c r="AD2827">
        <f>[1]资金台帐!AD2827</f>
        <v>0</v>
      </c>
      <c r="AJ2827">
        <f>[1]资金台帐!AJ2827</f>
        <v>0</v>
      </c>
      <c r="AK2827">
        <f>[1]资金台帐!AK2827</f>
        <v>0</v>
      </c>
      <c r="BA2827" s="22">
        <f t="shared" si="0"/>
      </c>
      <c r="BG2827" s="22">
        <f t="shared" si="1"/>
      </c>
      <c r="BH2827" s="22">
        <f t="shared" si="2"/>
        <v>0</v>
      </c>
    </row>
    <row r="2828">
      <c r="B2828">
        <f>[1]资金台帐!B2828&amp;""</f>
      </c>
      <c r="H2828">
        <f>[1]资金台帐!H2828&amp;""</f>
      </c>
      <c r="J2828">
        <f>[1]资金台帐!J2828&amp;""</f>
      </c>
      <c r="N2828">
        <f>[1]资金台帐!N2828</f>
      </c>
      <c r="O2828">
        <f>[1]资金台帐!O2828&amp;""</f>
      </c>
      <c r="P2828">
        <f>[1]资金台帐!P2828&amp;""</f>
      </c>
      <c r="Q2828">
        <f>[1]资金台帐!Q2828&amp;""</f>
      </c>
      <c r="T2828">
        <f>[1]资金台帐!T2828&amp;""</f>
      </c>
      <c r="U2828">
        <f>[1]资金台帐!U2828&amp;""</f>
      </c>
      <c r="W2828">
        <f>[1]资金台帐!W2828&amp;""</f>
      </c>
      <c r="X2828">
        <f>[1]资金台帐!X2828&amp;""</f>
      </c>
      <c r="AB2828">
        <f>[1]资金台帐!AB2828</f>
        <v>0</v>
      </c>
      <c r="AC2828">
        <f>[1]资金台帐!AC2828</f>
        <v>0</v>
      </c>
      <c r="AD2828">
        <f>[1]资金台帐!AD2828</f>
        <v>0</v>
      </c>
      <c r="AJ2828">
        <f>[1]资金台帐!AJ2828</f>
        <v>0</v>
      </c>
      <c r="AK2828">
        <f>[1]资金台帐!AK2828</f>
        <v>0</v>
      </c>
      <c r="BA2828" s="22">
        <f t="shared" si="0"/>
      </c>
      <c r="BG2828" s="22">
        <f t="shared" si="1"/>
      </c>
      <c r="BH2828" s="22">
        <f t="shared" si="2"/>
        <v>0</v>
      </c>
    </row>
    <row r="2829">
      <c r="B2829">
        <f>[1]资金台帐!B2829&amp;""</f>
      </c>
      <c r="H2829">
        <f>[1]资金台帐!H2829&amp;""</f>
      </c>
      <c r="J2829">
        <f>[1]资金台帐!J2829&amp;""</f>
      </c>
      <c r="N2829">
        <f>[1]资金台帐!N2829</f>
      </c>
      <c r="O2829">
        <f>[1]资金台帐!O2829&amp;""</f>
      </c>
      <c r="P2829">
        <f>[1]资金台帐!P2829&amp;""</f>
      </c>
      <c r="Q2829">
        <f>[1]资金台帐!Q2829&amp;""</f>
      </c>
      <c r="T2829">
        <f>[1]资金台帐!T2829&amp;""</f>
      </c>
      <c r="U2829">
        <f>[1]资金台帐!U2829&amp;""</f>
      </c>
      <c r="W2829">
        <f>[1]资金台帐!W2829&amp;""</f>
      </c>
      <c r="X2829">
        <f>[1]资金台帐!X2829&amp;""</f>
      </c>
      <c r="AB2829">
        <f>[1]资金台帐!AB2829</f>
        <v>0</v>
      </c>
      <c r="AC2829">
        <f>[1]资金台帐!AC2829</f>
        <v>0</v>
      </c>
      <c r="AD2829">
        <f>[1]资金台帐!AD2829</f>
        <v>0</v>
      </c>
      <c r="AJ2829">
        <f>[1]资金台帐!AJ2829</f>
        <v>0</v>
      </c>
      <c r="AK2829">
        <f>[1]资金台帐!AK2829</f>
        <v>0</v>
      </c>
      <c r="BA2829" s="22">
        <f t="shared" si="0"/>
      </c>
      <c r="BG2829" s="22">
        <f t="shared" si="1"/>
      </c>
      <c r="BH2829" s="22">
        <f t="shared" si="2"/>
        <v>0</v>
      </c>
    </row>
    <row r="2830">
      <c r="B2830">
        <f>[1]资金台帐!B2830&amp;""</f>
      </c>
      <c r="H2830">
        <f>[1]资金台帐!H2830&amp;""</f>
      </c>
      <c r="J2830">
        <f>[1]资金台帐!J2830&amp;""</f>
      </c>
      <c r="N2830">
        <f>[1]资金台帐!N2830</f>
      </c>
      <c r="O2830">
        <f>[1]资金台帐!O2830&amp;""</f>
      </c>
      <c r="P2830">
        <f>[1]资金台帐!P2830&amp;""</f>
      </c>
      <c r="Q2830">
        <f>[1]资金台帐!Q2830&amp;""</f>
      </c>
      <c r="T2830">
        <f>[1]资金台帐!T2830&amp;""</f>
      </c>
      <c r="U2830">
        <f>[1]资金台帐!U2830&amp;""</f>
      </c>
      <c r="W2830">
        <f>[1]资金台帐!W2830&amp;""</f>
      </c>
      <c r="X2830">
        <f>[1]资金台帐!X2830&amp;""</f>
      </c>
      <c r="AB2830">
        <f>[1]资金台帐!AB2830</f>
        <v>0</v>
      </c>
      <c r="AC2830">
        <f>[1]资金台帐!AC2830</f>
        <v>0</v>
      </c>
      <c r="AD2830">
        <f>[1]资金台帐!AD2830</f>
        <v>0</v>
      </c>
      <c r="AJ2830">
        <f>[1]资金台帐!AJ2830</f>
        <v>0</v>
      </c>
      <c r="AK2830">
        <f>[1]资金台帐!AK2830</f>
        <v>0</v>
      </c>
      <c r="BA2830" s="22">
        <f t="shared" si="0"/>
      </c>
      <c r="BG2830" s="22">
        <f t="shared" si="1"/>
      </c>
      <c r="BH2830" s="22">
        <f t="shared" si="2"/>
        <v>0</v>
      </c>
    </row>
    <row r="2831">
      <c r="B2831">
        <f>[1]资金台帐!B2831&amp;""</f>
      </c>
      <c r="H2831">
        <f>[1]资金台帐!H2831&amp;""</f>
      </c>
      <c r="J2831">
        <f>[1]资金台帐!J2831&amp;""</f>
      </c>
      <c r="N2831">
        <f>[1]资金台帐!N2831</f>
      </c>
      <c r="O2831">
        <f>[1]资金台帐!O2831&amp;""</f>
      </c>
      <c r="P2831">
        <f>[1]资金台帐!P2831&amp;""</f>
      </c>
      <c r="Q2831">
        <f>[1]资金台帐!Q2831&amp;""</f>
      </c>
      <c r="T2831">
        <f>[1]资金台帐!T2831&amp;""</f>
      </c>
      <c r="U2831">
        <f>[1]资金台帐!U2831&amp;""</f>
      </c>
      <c r="W2831">
        <f>[1]资金台帐!W2831&amp;""</f>
      </c>
      <c r="X2831">
        <f>[1]资金台帐!X2831&amp;""</f>
      </c>
      <c r="AB2831">
        <f>[1]资金台帐!AB2831</f>
        <v>0</v>
      </c>
      <c r="AC2831">
        <f>[1]资金台帐!AC2831</f>
        <v>0</v>
      </c>
      <c r="AD2831">
        <f>[1]资金台帐!AD2831</f>
        <v>0</v>
      </c>
      <c r="AJ2831">
        <f>[1]资金台帐!AJ2831</f>
        <v>0</v>
      </c>
      <c r="AK2831">
        <f>[1]资金台帐!AK2831</f>
        <v>0</v>
      </c>
      <c r="BA2831" s="22">
        <f t="shared" si="0"/>
      </c>
      <c r="BG2831" s="22">
        <f t="shared" si="1"/>
      </c>
      <c r="BH2831" s="22">
        <f t="shared" si="2"/>
        <v>0</v>
      </c>
    </row>
    <row r="2832">
      <c r="B2832">
        <f>[1]资金台帐!B2832&amp;""</f>
      </c>
      <c r="H2832">
        <f>[1]资金台帐!H2832&amp;""</f>
      </c>
      <c r="J2832">
        <f>[1]资金台帐!J2832&amp;""</f>
      </c>
      <c r="N2832">
        <f>[1]资金台帐!N2832</f>
      </c>
      <c r="O2832">
        <f>[1]资金台帐!O2832&amp;""</f>
      </c>
      <c r="P2832">
        <f>[1]资金台帐!P2832&amp;""</f>
      </c>
      <c r="Q2832">
        <f>[1]资金台帐!Q2832&amp;""</f>
      </c>
      <c r="T2832">
        <f>[1]资金台帐!T2832&amp;""</f>
      </c>
      <c r="U2832">
        <f>[1]资金台帐!U2832&amp;""</f>
      </c>
      <c r="W2832">
        <f>[1]资金台帐!W2832&amp;""</f>
      </c>
      <c r="X2832">
        <f>[1]资金台帐!X2832&amp;""</f>
      </c>
      <c r="AB2832">
        <f>[1]资金台帐!AB2832</f>
        <v>0</v>
      </c>
      <c r="AC2832">
        <f>[1]资金台帐!AC2832</f>
        <v>0</v>
      </c>
      <c r="AD2832">
        <f>[1]资金台帐!AD2832</f>
        <v>0</v>
      </c>
      <c r="AJ2832">
        <f>[1]资金台帐!AJ2832</f>
        <v>0</v>
      </c>
      <c r="AK2832">
        <f>[1]资金台帐!AK2832</f>
        <v>0</v>
      </c>
      <c r="BA2832" s="22">
        <f t="shared" si="0"/>
      </c>
      <c r="BG2832" s="22">
        <f t="shared" si="1"/>
      </c>
      <c r="BH2832" s="22">
        <f t="shared" si="2"/>
        <v>0</v>
      </c>
    </row>
    <row r="2833">
      <c r="B2833">
        <f>[1]资金台帐!B2833&amp;""</f>
      </c>
      <c r="H2833">
        <f>[1]资金台帐!H2833&amp;""</f>
      </c>
      <c r="J2833">
        <f>[1]资金台帐!J2833&amp;""</f>
      </c>
      <c r="N2833">
        <f>[1]资金台帐!N2833</f>
      </c>
      <c r="O2833">
        <f>[1]资金台帐!O2833&amp;""</f>
      </c>
      <c r="P2833">
        <f>[1]资金台帐!P2833&amp;""</f>
      </c>
      <c r="Q2833">
        <f>[1]资金台帐!Q2833&amp;""</f>
      </c>
      <c r="T2833">
        <f>[1]资金台帐!T2833&amp;""</f>
      </c>
      <c r="U2833">
        <f>[1]资金台帐!U2833&amp;""</f>
      </c>
      <c r="W2833">
        <f>[1]资金台帐!W2833&amp;""</f>
      </c>
      <c r="X2833">
        <f>[1]资金台帐!X2833&amp;""</f>
      </c>
      <c r="AB2833">
        <f>[1]资金台帐!AB2833</f>
        <v>0</v>
      </c>
      <c r="AC2833">
        <f>[1]资金台帐!AC2833</f>
        <v>0</v>
      </c>
      <c r="AD2833">
        <f>[1]资金台帐!AD2833</f>
        <v>0</v>
      </c>
      <c r="AJ2833">
        <f>[1]资金台帐!AJ2833</f>
        <v>0</v>
      </c>
      <c r="AK2833">
        <f>[1]资金台帐!AK2833</f>
        <v>0</v>
      </c>
      <c r="BA2833" s="22">
        <f t="shared" si="0"/>
      </c>
      <c r="BG2833" s="22">
        <f t="shared" si="1"/>
      </c>
      <c r="BH2833" s="22">
        <f t="shared" si="2"/>
        <v>0</v>
      </c>
    </row>
    <row r="2834">
      <c r="B2834">
        <f>[1]资金台帐!B2834&amp;""</f>
      </c>
      <c r="H2834">
        <f>[1]资金台帐!H2834&amp;""</f>
      </c>
      <c r="J2834">
        <f>[1]资金台帐!J2834&amp;""</f>
      </c>
      <c r="N2834">
        <f>[1]资金台帐!N2834</f>
      </c>
      <c r="O2834">
        <f>[1]资金台帐!O2834&amp;""</f>
      </c>
      <c r="P2834">
        <f>[1]资金台帐!P2834&amp;""</f>
      </c>
      <c r="Q2834">
        <f>[1]资金台帐!Q2834&amp;""</f>
      </c>
      <c r="T2834">
        <f>[1]资金台帐!T2834&amp;""</f>
      </c>
      <c r="U2834">
        <f>[1]资金台帐!U2834&amp;""</f>
      </c>
      <c r="W2834">
        <f>[1]资金台帐!W2834&amp;""</f>
      </c>
      <c r="X2834">
        <f>[1]资金台帐!X2834&amp;""</f>
      </c>
      <c r="AB2834">
        <f>[1]资金台帐!AB2834</f>
        <v>0</v>
      </c>
      <c r="AC2834">
        <f>[1]资金台帐!AC2834</f>
        <v>0</v>
      </c>
      <c r="AD2834">
        <f>[1]资金台帐!AD2834</f>
        <v>0</v>
      </c>
      <c r="AJ2834">
        <f>[1]资金台帐!AJ2834</f>
        <v>0</v>
      </c>
      <c r="AK2834">
        <f>[1]资金台帐!AK2834</f>
        <v>0</v>
      </c>
      <c r="BA2834" s="22">
        <f t="shared" si="0"/>
      </c>
      <c r="BG2834" s="22">
        <f t="shared" si="1"/>
      </c>
      <c r="BH2834" s="22">
        <f t="shared" si="2"/>
        <v>0</v>
      </c>
    </row>
    <row r="2835">
      <c r="B2835">
        <f>[1]资金台帐!B2835&amp;""</f>
      </c>
      <c r="H2835">
        <f>[1]资金台帐!H2835&amp;""</f>
      </c>
      <c r="J2835">
        <f>[1]资金台帐!J2835&amp;""</f>
      </c>
      <c r="N2835">
        <f>[1]资金台帐!N2835</f>
      </c>
      <c r="O2835">
        <f>[1]资金台帐!O2835&amp;""</f>
      </c>
      <c r="P2835">
        <f>[1]资金台帐!P2835&amp;""</f>
      </c>
      <c r="Q2835">
        <f>[1]资金台帐!Q2835&amp;""</f>
      </c>
      <c r="T2835">
        <f>[1]资金台帐!T2835&amp;""</f>
      </c>
      <c r="U2835">
        <f>[1]资金台帐!U2835&amp;""</f>
      </c>
      <c r="W2835">
        <f>[1]资金台帐!W2835&amp;""</f>
      </c>
      <c r="X2835">
        <f>[1]资金台帐!X2835&amp;""</f>
      </c>
      <c r="AB2835">
        <f>[1]资金台帐!AB2835</f>
        <v>0</v>
      </c>
      <c r="AC2835">
        <f>[1]资金台帐!AC2835</f>
        <v>0</v>
      </c>
      <c r="AD2835">
        <f>[1]资金台帐!AD2835</f>
        <v>0</v>
      </c>
      <c r="AJ2835">
        <f>[1]资金台帐!AJ2835</f>
        <v>0</v>
      </c>
      <c r="AK2835">
        <f>[1]资金台帐!AK2835</f>
        <v>0</v>
      </c>
      <c r="BA2835" s="22">
        <f t="shared" si="0"/>
      </c>
      <c r="BG2835" s="22">
        <f t="shared" si="1"/>
      </c>
      <c r="BH2835" s="22">
        <f t="shared" si="2"/>
        <v>0</v>
      </c>
    </row>
    <row r="2836">
      <c r="B2836">
        <f>[1]资金台帐!B2836&amp;""</f>
      </c>
      <c r="H2836">
        <f>[1]资金台帐!H2836&amp;""</f>
      </c>
      <c r="J2836">
        <f>[1]资金台帐!J2836&amp;""</f>
      </c>
      <c r="N2836">
        <f>[1]资金台帐!N2836</f>
      </c>
      <c r="O2836">
        <f>[1]资金台帐!O2836&amp;""</f>
      </c>
      <c r="P2836">
        <f>[1]资金台帐!P2836&amp;""</f>
      </c>
      <c r="Q2836">
        <f>[1]资金台帐!Q2836&amp;""</f>
      </c>
      <c r="T2836">
        <f>[1]资金台帐!T2836&amp;""</f>
      </c>
      <c r="U2836">
        <f>[1]资金台帐!U2836&amp;""</f>
      </c>
      <c r="W2836">
        <f>[1]资金台帐!W2836&amp;""</f>
      </c>
      <c r="X2836">
        <f>[1]资金台帐!X2836&amp;""</f>
      </c>
      <c r="AB2836">
        <f>[1]资金台帐!AB2836</f>
        <v>0</v>
      </c>
      <c r="AC2836">
        <f>[1]资金台帐!AC2836</f>
        <v>0</v>
      </c>
      <c r="AD2836">
        <f>[1]资金台帐!AD2836</f>
        <v>0</v>
      </c>
      <c r="AJ2836">
        <f>[1]资金台帐!AJ2836</f>
        <v>0</v>
      </c>
      <c r="AK2836">
        <f>[1]资金台帐!AK2836</f>
        <v>0</v>
      </c>
      <c r="BA2836" s="22">
        <f t="shared" si="0"/>
      </c>
      <c r="BG2836" s="22">
        <f t="shared" si="1"/>
      </c>
      <c r="BH2836" s="22">
        <f t="shared" si="2"/>
        <v>0</v>
      </c>
    </row>
    <row r="2837">
      <c r="B2837">
        <f>[1]资金台帐!B2837&amp;""</f>
      </c>
      <c r="H2837">
        <f>[1]资金台帐!H2837&amp;""</f>
      </c>
      <c r="J2837">
        <f>[1]资金台帐!J2837&amp;""</f>
      </c>
      <c r="N2837">
        <f>[1]资金台帐!N2837</f>
      </c>
      <c r="O2837">
        <f>[1]资金台帐!O2837&amp;""</f>
      </c>
      <c r="P2837">
        <f>[1]资金台帐!P2837&amp;""</f>
      </c>
      <c r="Q2837">
        <f>[1]资金台帐!Q2837&amp;""</f>
      </c>
      <c r="T2837">
        <f>[1]资金台帐!T2837&amp;""</f>
      </c>
      <c r="U2837">
        <f>[1]资金台帐!U2837&amp;""</f>
      </c>
      <c r="W2837">
        <f>[1]资金台帐!W2837&amp;""</f>
      </c>
      <c r="X2837">
        <f>[1]资金台帐!X2837&amp;""</f>
      </c>
      <c r="AB2837">
        <f>[1]资金台帐!AB2837</f>
        <v>0</v>
      </c>
      <c r="AC2837">
        <f>[1]资金台帐!AC2837</f>
        <v>0</v>
      </c>
      <c r="AD2837">
        <f>[1]资金台帐!AD2837</f>
        <v>0</v>
      </c>
      <c r="AJ2837">
        <f>[1]资金台帐!AJ2837</f>
        <v>0</v>
      </c>
      <c r="AK2837">
        <f>[1]资金台帐!AK2837</f>
        <v>0</v>
      </c>
      <c r="BA2837" s="22">
        <f t="shared" si="0"/>
      </c>
      <c r="BG2837" s="22">
        <f t="shared" si="1"/>
      </c>
      <c r="BH2837" s="22">
        <f t="shared" si="2"/>
        <v>0</v>
      </c>
    </row>
    <row r="2838">
      <c r="B2838">
        <f>[1]资金台帐!B2838&amp;""</f>
      </c>
      <c r="H2838">
        <f>[1]资金台帐!H2838&amp;""</f>
      </c>
      <c r="J2838">
        <f>[1]资金台帐!J2838&amp;""</f>
      </c>
      <c r="N2838">
        <f>[1]资金台帐!N2838</f>
      </c>
      <c r="O2838">
        <f>[1]资金台帐!O2838&amp;""</f>
      </c>
      <c r="P2838">
        <f>[1]资金台帐!P2838&amp;""</f>
      </c>
      <c r="Q2838">
        <f>[1]资金台帐!Q2838&amp;""</f>
      </c>
      <c r="T2838">
        <f>[1]资金台帐!T2838&amp;""</f>
      </c>
      <c r="U2838">
        <f>[1]资金台帐!U2838&amp;""</f>
      </c>
      <c r="W2838">
        <f>[1]资金台帐!W2838&amp;""</f>
      </c>
      <c r="X2838">
        <f>[1]资金台帐!X2838&amp;""</f>
      </c>
      <c r="AB2838">
        <f>[1]资金台帐!AB2838</f>
        <v>0</v>
      </c>
      <c r="AC2838">
        <f>[1]资金台帐!AC2838</f>
        <v>0</v>
      </c>
      <c r="AD2838">
        <f>[1]资金台帐!AD2838</f>
        <v>0</v>
      </c>
      <c r="AJ2838">
        <f>[1]资金台帐!AJ2838</f>
        <v>0</v>
      </c>
      <c r="AK2838">
        <f>[1]资金台帐!AK2838</f>
        <v>0</v>
      </c>
      <c r="BA2838" s="22">
        <f t="shared" si="0"/>
      </c>
      <c r="BG2838" s="22">
        <f t="shared" si="1"/>
      </c>
      <c r="BH2838" s="22">
        <f t="shared" si="2"/>
        <v>0</v>
      </c>
    </row>
    <row r="2839">
      <c r="B2839">
        <f>[1]资金台帐!B2839&amp;""</f>
      </c>
      <c r="H2839">
        <f>[1]资金台帐!H2839&amp;""</f>
      </c>
      <c r="J2839">
        <f>[1]资金台帐!J2839&amp;""</f>
      </c>
      <c r="N2839">
        <f>[1]资金台帐!N2839</f>
      </c>
      <c r="O2839">
        <f>[1]资金台帐!O2839&amp;""</f>
      </c>
      <c r="P2839">
        <f>[1]资金台帐!P2839&amp;""</f>
      </c>
      <c r="Q2839">
        <f>[1]资金台帐!Q2839&amp;""</f>
      </c>
      <c r="T2839">
        <f>[1]资金台帐!T2839&amp;""</f>
      </c>
      <c r="U2839">
        <f>[1]资金台帐!U2839&amp;""</f>
      </c>
      <c r="W2839">
        <f>[1]资金台帐!W2839&amp;""</f>
      </c>
      <c r="X2839">
        <f>[1]资金台帐!X2839&amp;""</f>
      </c>
      <c r="AB2839">
        <f>[1]资金台帐!AB2839</f>
        <v>0</v>
      </c>
      <c r="AC2839">
        <f>[1]资金台帐!AC2839</f>
        <v>0</v>
      </c>
      <c r="AD2839">
        <f>[1]资金台帐!AD2839</f>
        <v>0</v>
      </c>
      <c r="AJ2839">
        <f>[1]资金台帐!AJ2839</f>
        <v>0</v>
      </c>
      <c r="AK2839">
        <f>[1]资金台帐!AK2839</f>
        <v>0</v>
      </c>
      <c r="BA2839" s="22">
        <f t="shared" si="0"/>
      </c>
      <c r="BG2839" s="22">
        <f t="shared" si="1"/>
      </c>
      <c r="BH2839" s="22">
        <f t="shared" si="2"/>
        <v>0</v>
      </c>
    </row>
    <row r="2840">
      <c r="B2840">
        <f>[1]资金台帐!B2840&amp;""</f>
      </c>
      <c r="H2840">
        <f>[1]资金台帐!H2840&amp;""</f>
      </c>
      <c r="J2840">
        <f>[1]资金台帐!J2840&amp;""</f>
      </c>
      <c r="N2840">
        <f>[1]资金台帐!N2840</f>
      </c>
      <c r="O2840">
        <f>[1]资金台帐!O2840&amp;""</f>
      </c>
      <c r="P2840">
        <f>[1]资金台帐!P2840&amp;""</f>
      </c>
      <c r="Q2840">
        <f>[1]资金台帐!Q2840&amp;""</f>
      </c>
      <c r="T2840">
        <f>[1]资金台帐!T2840&amp;""</f>
      </c>
      <c r="U2840">
        <f>[1]资金台帐!U2840&amp;""</f>
      </c>
      <c r="W2840">
        <f>[1]资金台帐!W2840&amp;""</f>
      </c>
      <c r="X2840">
        <f>[1]资金台帐!X2840&amp;""</f>
      </c>
      <c r="AB2840">
        <f>[1]资金台帐!AB2840</f>
        <v>0</v>
      </c>
      <c r="AC2840">
        <f>[1]资金台帐!AC2840</f>
        <v>0</v>
      </c>
      <c r="AD2840">
        <f>[1]资金台帐!AD2840</f>
        <v>0</v>
      </c>
      <c r="AJ2840">
        <f>[1]资金台帐!AJ2840</f>
        <v>0</v>
      </c>
      <c r="AK2840">
        <f>[1]资金台帐!AK2840</f>
        <v>0</v>
      </c>
      <c r="BA2840" s="22">
        <f t="shared" si="0"/>
      </c>
      <c r="BG2840" s="22">
        <f t="shared" si="1"/>
      </c>
      <c r="BH2840" s="22">
        <f t="shared" si="2"/>
        <v>0</v>
      </c>
    </row>
    <row r="2841">
      <c r="B2841">
        <f>[1]资金台帐!B2841&amp;""</f>
      </c>
      <c r="H2841">
        <f>[1]资金台帐!H2841&amp;""</f>
      </c>
      <c r="J2841">
        <f>[1]资金台帐!J2841&amp;""</f>
      </c>
      <c r="N2841">
        <f>[1]资金台帐!N2841</f>
      </c>
      <c r="O2841">
        <f>[1]资金台帐!O2841&amp;""</f>
      </c>
      <c r="P2841">
        <f>[1]资金台帐!P2841&amp;""</f>
      </c>
      <c r="Q2841">
        <f>[1]资金台帐!Q2841&amp;""</f>
      </c>
      <c r="T2841">
        <f>[1]资金台帐!T2841&amp;""</f>
      </c>
      <c r="U2841">
        <f>[1]资金台帐!U2841&amp;""</f>
      </c>
      <c r="W2841">
        <f>[1]资金台帐!W2841&amp;""</f>
      </c>
      <c r="X2841">
        <f>[1]资金台帐!X2841&amp;""</f>
      </c>
      <c r="AB2841">
        <f>[1]资金台帐!AB2841</f>
        <v>0</v>
      </c>
      <c r="AC2841">
        <f>[1]资金台帐!AC2841</f>
        <v>0</v>
      </c>
      <c r="AD2841">
        <f>[1]资金台帐!AD2841</f>
        <v>0</v>
      </c>
      <c r="AJ2841">
        <f>[1]资金台帐!AJ2841</f>
        <v>0</v>
      </c>
      <c r="AK2841">
        <f>[1]资金台帐!AK2841</f>
        <v>0</v>
      </c>
      <c r="BA2841" s="22">
        <f t="shared" si="0"/>
      </c>
      <c r="BG2841" s="22">
        <f t="shared" si="1"/>
      </c>
      <c r="BH2841" s="22">
        <f t="shared" si="2"/>
        <v>0</v>
      </c>
    </row>
    <row r="2842">
      <c r="B2842">
        <f>[1]资金台帐!B2842&amp;""</f>
      </c>
      <c r="H2842">
        <f>[1]资金台帐!H2842&amp;""</f>
      </c>
      <c r="J2842">
        <f>[1]资金台帐!J2842&amp;""</f>
      </c>
      <c r="N2842">
        <f>[1]资金台帐!N2842</f>
      </c>
      <c r="O2842">
        <f>[1]资金台帐!O2842&amp;""</f>
      </c>
      <c r="P2842">
        <f>[1]资金台帐!P2842&amp;""</f>
      </c>
      <c r="Q2842">
        <f>[1]资金台帐!Q2842&amp;""</f>
      </c>
      <c r="T2842">
        <f>[1]资金台帐!T2842&amp;""</f>
      </c>
      <c r="U2842">
        <f>[1]资金台帐!U2842&amp;""</f>
      </c>
      <c r="W2842">
        <f>[1]资金台帐!W2842&amp;""</f>
      </c>
      <c r="X2842">
        <f>[1]资金台帐!X2842&amp;""</f>
      </c>
      <c r="AB2842">
        <f>[1]资金台帐!AB2842</f>
        <v>0</v>
      </c>
      <c r="AC2842">
        <f>[1]资金台帐!AC2842</f>
        <v>0</v>
      </c>
      <c r="AD2842">
        <f>[1]资金台帐!AD2842</f>
        <v>0</v>
      </c>
      <c r="AJ2842">
        <f>[1]资金台帐!AJ2842</f>
        <v>0</v>
      </c>
      <c r="AK2842">
        <f>[1]资金台帐!AK2842</f>
        <v>0</v>
      </c>
      <c r="BA2842" s="22">
        <f t="shared" si="0"/>
      </c>
      <c r="BG2842" s="22">
        <f t="shared" si="1"/>
      </c>
      <c r="BH2842" s="22">
        <f t="shared" si="2"/>
        <v>0</v>
      </c>
    </row>
    <row r="2843">
      <c r="B2843">
        <f>[1]资金台帐!B2843&amp;""</f>
      </c>
      <c r="H2843">
        <f>[1]资金台帐!H2843&amp;""</f>
      </c>
      <c r="J2843">
        <f>[1]资金台帐!J2843&amp;""</f>
      </c>
      <c r="N2843">
        <f>[1]资金台帐!N2843</f>
      </c>
      <c r="O2843">
        <f>[1]资金台帐!O2843&amp;""</f>
      </c>
      <c r="P2843">
        <f>[1]资金台帐!P2843&amp;""</f>
      </c>
      <c r="Q2843">
        <f>[1]资金台帐!Q2843&amp;""</f>
      </c>
      <c r="T2843">
        <f>[1]资金台帐!T2843&amp;""</f>
      </c>
      <c r="U2843">
        <f>[1]资金台帐!U2843&amp;""</f>
      </c>
      <c r="W2843">
        <f>[1]资金台帐!W2843&amp;""</f>
      </c>
      <c r="X2843">
        <f>[1]资金台帐!X2843&amp;""</f>
      </c>
      <c r="AB2843">
        <f>[1]资金台帐!AB2843</f>
        <v>0</v>
      </c>
      <c r="AC2843">
        <f>[1]资金台帐!AC2843</f>
        <v>0</v>
      </c>
      <c r="AD2843">
        <f>[1]资金台帐!AD2843</f>
        <v>0</v>
      </c>
      <c r="AJ2843">
        <f>[1]资金台帐!AJ2843</f>
        <v>0</v>
      </c>
      <c r="AK2843">
        <f>[1]资金台帐!AK2843</f>
        <v>0</v>
      </c>
      <c r="BA2843" s="22">
        <f t="shared" si="0"/>
      </c>
      <c r="BG2843" s="22">
        <f t="shared" si="1"/>
      </c>
      <c r="BH2843" s="22">
        <f t="shared" si="2"/>
        <v>0</v>
      </c>
    </row>
    <row r="2844">
      <c r="B2844">
        <f>[1]资金台帐!B2844&amp;""</f>
      </c>
      <c r="H2844">
        <f>[1]资金台帐!H2844&amp;""</f>
      </c>
      <c r="J2844">
        <f>[1]资金台帐!J2844&amp;""</f>
      </c>
      <c r="N2844">
        <f>[1]资金台帐!N2844</f>
      </c>
      <c r="O2844">
        <f>[1]资金台帐!O2844&amp;""</f>
      </c>
      <c r="P2844">
        <f>[1]资金台帐!P2844&amp;""</f>
      </c>
      <c r="Q2844">
        <f>[1]资金台帐!Q2844&amp;""</f>
      </c>
      <c r="T2844">
        <f>[1]资金台帐!T2844&amp;""</f>
      </c>
      <c r="U2844">
        <f>[1]资金台帐!U2844&amp;""</f>
      </c>
      <c r="W2844">
        <f>[1]资金台帐!W2844&amp;""</f>
      </c>
      <c r="X2844">
        <f>[1]资金台帐!X2844&amp;""</f>
      </c>
      <c r="AB2844">
        <f>[1]资金台帐!AB2844</f>
        <v>0</v>
      </c>
      <c r="AC2844">
        <f>[1]资金台帐!AC2844</f>
        <v>0</v>
      </c>
      <c r="AD2844">
        <f>[1]资金台帐!AD2844</f>
        <v>0</v>
      </c>
      <c r="AJ2844">
        <f>[1]资金台帐!AJ2844</f>
        <v>0</v>
      </c>
      <c r="AK2844">
        <f>[1]资金台帐!AK2844</f>
        <v>0</v>
      </c>
      <c r="BA2844" s="22">
        <f t="shared" si="0"/>
      </c>
      <c r="BG2844" s="22">
        <f t="shared" si="1"/>
      </c>
      <c r="BH2844" s="22">
        <f t="shared" si="2"/>
        <v>0</v>
      </c>
    </row>
    <row r="2845">
      <c r="B2845">
        <f>[1]资金台帐!B2845&amp;""</f>
      </c>
      <c r="H2845">
        <f>[1]资金台帐!H2845&amp;""</f>
      </c>
      <c r="J2845">
        <f>[1]资金台帐!J2845&amp;""</f>
      </c>
      <c r="N2845">
        <f>[1]资金台帐!N2845</f>
      </c>
      <c r="O2845">
        <f>[1]资金台帐!O2845&amp;""</f>
      </c>
      <c r="P2845">
        <f>[1]资金台帐!P2845&amp;""</f>
      </c>
      <c r="Q2845">
        <f>[1]资金台帐!Q2845&amp;""</f>
      </c>
      <c r="T2845">
        <f>[1]资金台帐!T2845&amp;""</f>
      </c>
      <c r="U2845">
        <f>[1]资金台帐!U2845&amp;""</f>
      </c>
      <c r="W2845">
        <f>[1]资金台帐!W2845&amp;""</f>
      </c>
      <c r="X2845">
        <f>[1]资金台帐!X2845&amp;""</f>
      </c>
      <c r="AB2845">
        <f>[1]资金台帐!AB2845</f>
        <v>0</v>
      </c>
      <c r="AC2845">
        <f>[1]资金台帐!AC2845</f>
        <v>0</v>
      </c>
      <c r="AD2845">
        <f>[1]资金台帐!AD2845</f>
        <v>0</v>
      </c>
      <c r="AJ2845">
        <f>[1]资金台帐!AJ2845</f>
        <v>0</v>
      </c>
      <c r="AK2845">
        <f>[1]资金台帐!AK2845</f>
        <v>0</v>
      </c>
      <c r="BA2845" s="22">
        <f t="shared" si="0"/>
      </c>
      <c r="BG2845" s="22">
        <f t="shared" si="1"/>
      </c>
      <c r="BH2845" s="22">
        <f t="shared" si="2"/>
        <v>0</v>
      </c>
    </row>
    <row r="2846">
      <c r="B2846">
        <f>[1]资金台帐!B2846&amp;""</f>
      </c>
      <c r="H2846">
        <f>[1]资金台帐!H2846&amp;""</f>
      </c>
      <c r="J2846">
        <f>[1]资金台帐!J2846&amp;""</f>
      </c>
      <c r="N2846">
        <f>[1]资金台帐!N2846</f>
      </c>
      <c r="O2846">
        <f>[1]资金台帐!O2846&amp;""</f>
      </c>
      <c r="P2846">
        <f>[1]资金台帐!P2846&amp;""</f>
      </c>
      <c r="Q2846">
        <f>[1]资金台帐!Q2846&amp;""</f>
      </c>
      <c r="T2846">
        <f>[1]资金台帐!T2846&amp;""</f>
      </c>
      <c r="U2846">
        <f>[1]资金台帐!U2846&amp;""</f>
      </c>
      <c r="W2846">
        <f>[1]资金台帐!W2846&amp;""</f>
      </c>
      <c r="X2846">
        <f>[1]资金台帐!X2846&amp;""</f>
      </c>
      <c r="AB2846">
        <f>[1]资金台帐!AB2846</f>
        <v>0</v>
      </c>
      <c r="AC2846">
        <f>[1]资金台帐!AC2846</f>
        <v>0</v>
      </c>
      <c r="AD2846">
        <f>[1]资金台帐!AD2846</f>
        <v>0</v>
      </c>
      <c r="AJ2846">
        <f>[1]资金台帐!AJ2846</f>
        <v>0</v>
      </c>
      <c r="AK2846">
        <f>[1]资金台帐!AK2846</f>
        <v>0</v>
      </c>
      <c r="BA2846" s="22">
        <f t="shared" si="0"/>
      </c>
      <c r="BG2846" s="22">
        <f t="shared" si="1"/>
      </c>
      <c r="BH2846" s="22">
        <f t="shared" si="2"/>
        <v>0</v>
      </c>
    </row>
    <row r="2847">
      <c r="B2847">
        <f>[1]资金台帐!B2847&amp;""</f>
      </c>
      <c r="H2847">
        <f>[1]资金台帐!H2847&amp;""</f>
      </c>
      <c r="J2847">
        <f>[1]资金台帐!J2847&amp;""</f>
      </c>
      <c r="N2847">
        <f>[1]资金台帐!N2847</f>
      </c>
      <c r="O2847">
        <f>[1]资金台帐!O2847&amp;""</f>
      </c>
      <c r="P2847">
        <f>[1]资金台帐!P2847&amp;""</f>
      </c>
      <c r="Q2847">
        <f>[1]资金台帐!Q2847&amp;""</f>
      </c>
      <c r="T2847">
        <f>[1]资金台帐!T2847&amp;""</f>
      </c>
      <c r="U2847">
        <f>[1]资金台帐!U2847&amp;""</f>
      </c>
      <c r="W2847">
        <f>[1]资金台帐!W2847&amp;""</f>
      </c>
      <c r="X2847">
        <f>[1]资金台帐!X2847&amp;""</f>
      </c>
      <c r="AB2847">
        <f>[1]资金台帐!AB2847</f>
        <v>0</v>
      </c>
      <c r="AC2847">
        <f>[1]资金台帐!AC2847</f>
        <v>0</v>
      </c>
      <c r="AD2847">
        <f>[1]资金台帐!AD2847</f>
        <v>0</v>
      </c>
      <c r="AJ2847">
        <f>[1]资金台帐!AJ2847</f>
        <v>0</v>
      </c>
      <c r="AK2847">
        <f>[1]资金台帐!AK2847</f>
        <v>0</v>
      </c>
      <c r="BA2847" s="22">
        <f t="shared" si="0"/>
      </c>
      <c r="BG2847" s="22">
        <f t="shared" si="1"/>
      </c>
      <c r="BH2847" s="22">
        <f t="shared" si="2"/>
        <v>0</v>
      </c>
    </row>
    <row r="2848">
      <c r="B2848">
        <f>[1]资金台帐!B2848&amp;""</f>
      </c>
      <c r="H2848">
        <f>[1]资金台帐!H2848&amp;""</f>
      </c>
      <c r="J2848">
        <f>[1]资金台帐!J2848&amp;""</f>
      </c>
      <c r="N2848">
        <f>[1]资金台帐!N2848</f>
      </c>
      <c r="O2848">
        <f>[1]资金台帐!O2848&amp;""</f>
      </c>
      <c r="P2848">
        <f>[1]资金台帐!P2848&amp;""</f>
      </c>
      <c r="Q2848">
        <f>[1]资金台帐!Q2848&amp;""</f>
      </c>
      <c r="T2848">
        <f>[1]资金台帐!T2848&amp;""</f>
      </c>
      <c r="U2848">
        <f>[1]资金台帐!U2848&amp;""</f>
      </c>
      <c r="W2848">
        <f>[1]资金台帐!W2848&amp;""</f>
      </c>
      <c r="X2848">
        <f>[1]资金台帐!X2848&amp;""</f>
      </c>
      <c r="AB2848">
        <f>[1]资金台帐!AB2848</f>
        <v>0</v>
      </c>
      <c r="AC2848">
        <f>[1]资金台帐!AC2848</f>
        <v>0</v>
      </c>
      <c r="AD2848">
        <f>[1]资金台帐!AD2848</f>
        <v>0</v>
      </c>
      <c r="AJ2848">
        <f>[1]资金台帐!AJ2848</f>
        <v>0</v>
      </c>
      <c r="AK2848">
        <f>[1]资金台帐!AK2848</f>
        <v>0</v>
      </c>
      <c r="BA2848" s="22">
        <f t="shared" si="0"/>
      </c>
      <c r="BG2848" s="22">
        <f t="shared" si="1"/>
      </c>
      <c r="BH2848" s="22">
        <f t="shared" si="2"/>
        <v>0</v>
      </c>
    </row>
    <row r="2849">
      <c r="B2849">
        <f>[1]资金台帐!B2849&amp;""</f>
      </c>
      <c r="H2849">
        <f>[1]资金台帐!H2849&amp;""</f>
      </c>
      <c r="J2849">
        <f>[1]资金台帐!J2849&amp;""</f>
      </c>
      <c r="N2849">
        <f>[1]资金台帐!N2849</f>
      </c>
      <c r="O2849">
        <f>[1]资金台帐!O2849&amp;""</f>
      </c>
      <c r="P2849">
        <f>[1]资金台帐!P2849&amp;""</f>
      </c>
      <c r="Q2849">
        <f>[1]资金台帐!Q2849&amp;""</f>
      </c>
      <c r="T2849">
        <f>[1]资金台帐!T2849&amp;""</f>
      </c>
      <c r="U2849">
        <f>[1]资金台帐!U2849&amp;""</f>
      </c>
      <c r="W2849">
        <f>[1]资金台帐!W2849&amp;""</f>
      </c>
      <c r="X2849">
        <f>[1]资金台帐!X2849&amp;""</f>
      </c>
      <c r="AB2849">
        <f>[1]资金台帐!AB2849</f>
        <v>0</v>
      </c>
      <c r="AC2849">
        <f>[1]资金台帐!AC2849</f>
        <v>0</v>
      </c>
      <c r="AD2849">
        <f>[1]资金台帐!AD2849</f>
        <v>0</v>
      </c>
      <c r="AJ2849">
        <f>[1]资金台帐!AJ2849</f>
        <v>0</v>
      </c>
      <c r="AK2849">
        <f>[1]资金台帐!AK2849</f>
        <v>0</v>
      </c>
      <c r="BA2849" s="22">
        <f t="shared" si="0"/>
      </c>
      <c r="BG2849" s="22">
        <f t="shared" si="1"/>
      </c>
      <c r="BH2849" s="22">
        <f t="shared" si="2"/>
        <v>0</v>
      </c>
    </row>
    <row r="2850">
      <c r="B2850">
        <f>[1]资金台帐!B2850&amp;""</f>
      </c>
      <c r="H2850">
        <f>[1]资金台帐!H2850&amp;""</f>
      </c>
      <c r="J2850">
        <f>[1]资金台帐!J2850&amp;""</f>
      </c>
      <c r="N2850">
        <f>[1]资金台帐!N2850</f>
      </c>
      <c r="O2850">
        <f>[1]资金台帐!O2850&amp;""</f>
      </c>
      <c r="P2850">
        <f>[1]资金台帐!P2850&amp;""</f>
      </c>
      <c r="Q2850">
        <f>[1]资金台帐!Q2850&amp;""</f>
      </c>
      <c r="T2850">
        <f>[1]资金台帐!T2850&amp;""</f>
      </c>
      <c r="U2850">
        <f>[1]资金台帐!U2850&amp;""</f>
      </c>
      <c r="W2850">
        <f>[1]资金台帐!W2850&amp;""</f>
      </c>
      <c r="X2850">
        <f>[1]资金台帐!X2850&amp;""</f>
      </c>
      <c r="AB2850">
        <f>[1]资金台帐!AB2850</f>
        <v>0</v>
      </c>
      <c r="AC2850">
        <f>[1]资金台帐!AC2850</f>
        <v>0</v>
      </c>
      <c r="AD2850">
        <f>[1]资金台帐!AD2850</f>
        <v>0</v>
      </c>
      <c r="AJ2850">
        <f>[1]资金台帐!AJ2850</f>
        <v>0</v>
      </c>
      <c r="AK2850">
        <f>[1]资金台帐!AK2850</f>
        <v>0</v>
      </c>
      <c r="BA2850" s="22">
        <f t="shared" si="0"/>
      </c>
      <c r="BG2850" s="22">
        <f t="shared" si="1"/>
      </c>
      <c r="BH2850" s="22">
        <f t="shared" si="2"/>
        <v>0</v>
      </c>
    </row>
    <row r="2851">
      <c r="B2851">
        <f>[1]资金台帐!B2851&amp;""</f>
      </c>
      <c r="H2851">
        <f>[1]资金台帐!H2851&amp;""</f>
      </c>
      <c r="J2851">
        <f>[1]资金台帐!J2851&amp;""</f>
      </c>
      <c r="N2851">
        <f>[1]资金台帐!N2851</f>
      </c>
      <c r="O2851">
        <f>[1]资金台帐!O2851&amp;""</f>
      </c>
      <c r="P2851">
        <f>[1]资金台帐!P2851&amp;""</f>
      </c>
      <c r="Q2851">
        <f>[1]资金台帐!Q2851&amp;""</f>
      </c>
      <c r="T2851">
        <f>[1]资金台帐!T2851&amp;""</f>
      </c>
      <c r="U2851">
        <f>[1]资金台帐!U2851&amp;""</f>
      </c>
      <c r="W2851">
        <f>[1]资金台帐!W2851&amp;""</f>
      </c>
      <c r="X2851">
        <f>[1]资金台帐!X2851&amp;""</f>
      </c>
      <c r="AB2851">
        <f>[1]资金台帐!AB2851</f>
        <v>0</v>
      </c>
      <c r="AC2851">
        <f>[1]资金台帐!AC2851</f>
        <v>0</v>
      </c>
      <c r="AD2851">
        <f>[1]资金台帐!AD2851</f>
        <v>0</v>
      </c>
      <c r="AJ2851">
        <f>[1]资金台帐!AJ2851</f>
        <v>0</v>
      </c>
      <c r="AK2851">
        <f>[1]资金台帐!AK2851</f>
        <v>0</v>
      </c>
      <c r="BA2851" s="22">
        <f t="shared" si="0"/>
      </c>
      <c r="BG2851" s="22">
        <f t="shared" si="1"/>
      </c>
      <c r="BH2851" s="22">
        <f t="shared" si="2"/>
        <v>0</v>
      </c>
    </row>
    <row r="2852">
      <c r="B2852">
        <f>[1]资金台帐!B2852&amp;""</f>
      </c>
      <c r="H2852">
        <f>[1]资金台帐!H2852&amp;""</f>
      </c>
      <c r="J2852">
        <f>[1]资金台帐!J2852&amp;""</f>
      </c>
      <c r="N2852">
        <f>[1]资金台帐!N2852</f>
      </c>
      <c r="O2852">
        <f>[1]资金台帐!O2852&amp;""</f>
      </c>
      <c r="P2852">
        <f>[1]资金台帐!P2852&amp;""</f>
      </c>
      <c r="Q2852">
        <f>[1]资金台帐!Q2852&amp;""</f>
      </c>
      <c r="T2852">
        <f>[1]资金台帐!T2852&amp;""</f>
      </c>
      <c r="U2852">
        <f>[1]资金台帐!U2852&amp;""</f>
      </c>
      <c r="W2852">
        <f>[1]资金台帐!W2852&amp;""</f>
      </c>
      <c r="X2852">
        <f>[1]资金台帐!X2852&amp;""</f>
      </c>
      <c r="AB2852">
        <f>[1]资金台帐!AB2852</f>
        <v>0</v>
      </c>
      <c r="AC2852">
        <f>[1]资金台帐!AC2852</f>
        <v>0</v>
      </c>
      <c r="AD2852">
        <f>[1]资金台帐!AD2852</f>
        <v>0</v>
      </c>
      <c r="AJ2852">
        <f>[1]资金台帐!AJ2852</f>
        <v>0</v>
      </c>
      <c r="AK2852">
        <f>[1]资金台帐!AK2852</f>
        <v>0</v>
      </c>
      <c r="BA2852" s="22">
        <f t="shared" si="0"/>
      </c>
      <c r="BG2852" s="22">
        <f t="shared" si="1"/>
      </c>
      <c r="BH2852" s="22">
        <f t="shared" si="2"/>
        <v>0</v>
      </c>
    </row>
    <row r="2853">
      <c r="B2853">
        <f>[1]资金台帐!B2853&amp;""</f>
      </c>
      <c r="H2853">
        <f>[1]资金台帐!H2853&amp;""</f>
      </c>
      <c r="J2853">
        <f>[1]资金台帐!J2853&amp;""</f>
      </c>
      <c r="N2853">
        <f>[1]资金台帐!N2853</f>
      </c>
      <c r="O2853">
        <f>[1]资金台帐!O2853&amp;""</f>
      </c>
      <c r="P2853">
        <f>[1]资金台帐!P2853&amp;""</f>
      </c>
      <c r="Q2853">
        <f>[1]资金台帐!Q2853&amp;""</f>
      </c>
      <c r="T2853">
        <f>[1]资金台帐!T2853&amp;""</f>
      </c>
      <c r="U2853">
        <f>[1]资金台帐!U2853&amp;""</f>
      </c>
      <c r="W2853">
        <f>[1]资金台帐!W2853&amp;""</f>
      </c>
      <c r="X2853">
        <f>[1]资金台帐!X2853&amp;""</f>
      </c>
      <c r="AB2853">
        <f>[1]资金台帐!AB2853</f>
        <v>0</v>
      </c>
      <c r="AC2853">
        <f>[1]资金台帐!AC2853</f>
        <v>0</v>
      </c>
      <c r="AD2853">
        <f>[1]资金台帐!AD2853</f>
        <v>0</v>
      </c>
      <c r="AJ2853">
        <f>[1]资金台帐!AJ2853</f>
        <v>0</v>
      </c>
      <c r="AK2853">
        <f>[1]资金台帐!AK2853</f>
        <v>0</v>
      </c>
      <c r="BA2853" s="22">
        <f t="shared" si="0"/>
      </c>
      <c r="BG2853" s="22">
        <f t="shared" si="1"/>
      </c>
      <c r="BH2853" s="22">
        <f t="shared" si="2"/>
        <v>0</v>
      </c>
    </row>
    <row r="2854">
      <c r="B2854">
        <f>[1]资金台帐!B2854&amp;""</f>
      </c>
      <c r="H2854">
        <f>[1]资金台帐!H2854&amp;""</f>
      </c>
      <c r="J2854">
        <f>[1]资金台帐!J2854&amp;""</f>
      </c>
      <c r="N2854">
        <f>[1]资金台帐!N2854</f>
      </c>
      <c r="O2854">
        <f>[1]资金台帐!O2854&amp;""</f>
      </c>
      <c r="P2854">
        <f>[1]资金台帐!P2854&amp;""</f>
      </c>
      <c r="Q2854">
        <f>[1]资金台帐!Q2854&amp;""</f>
      </c>
      <c r="T2854">
        <f>[1]资金台帐!T2854&amp;""</f>
      </c>
      <c r="U2854">
        <f>[1]资金台帐!U2854&amp;""</f>
      </c>
      <c r="W2854">
        <f>[1]资金台帐!W2854&amp;""</f>
      </c>
      <c r="X2854">
        <f>[1]资金台帐!X2854&amp;""</f>
      </c>
      <c r="AB2854">
        <f>[1]资金台帐!AB2854</f>
        <v>0</v>
      </c>
      <c r="AC2854">
        <f>[1]资金台帐!AC2854</f>
        <v>0</v>
      </c>
      <c r="AD2854">
        <f>[1]资金台帐!AD2854</f>
        <v>0</v>
      </c>
      <c r="AJ2854">
        <f>[1]资金台帐!AJ2854</f>
        <v>0</v>
      </c>
      <c r="AK2854">
        <f>[1]资金台帐!AK2854</f>
        <v>0</v>
      </c>
      <c r="BA2854" s="22">
        <f t="shared" si="0"/>
      </c>
      <c r="BG2854" s="22">
        <f t="shared" si="1"/>
      </c>
      <c r="BH2854" s="22">
        <f t="shared" si="2"/>
        <v>0</v>
      </c>
    </row>
    <row r="2855">
      <c r="B2855">
        <f>[1]资金台帐!B2855&amp;""</f>
      </c>
      <c r="H2855">
        <f>[1]资金台帐!H2855&amp;""</f>
      </c>
      <c r="J2855">
        <f>[1]资金台帐!J2855&amp;""</f>
      </c>
      <c r="N2855">
        <f>[1]资金台帐!N2855</f>
      </c>
      <c r="O2855">
        <f>[1]资金台帐!O2855&amp;""</f>
      </c>
      <c r="P2855">
        <f>[1]资金台帐!P2855&amp;""</f>
      </c>
      <c r="Q2855">
        <f>[1]资金台帐!Q2855&amp;""</f>
      </c>
      <c r="T2855">
        <f>[1]资金台帐!T2855&amp;""</f>
      </c>
      <c r="U2855">
        <f>[1]资金台帐!U2855&amp;""</f>
      </c>
      <c r="W2855">
        <f>[1]资金台帐!W2855&amp;""</f>
      </c>
      <c r="X2855">
        <f>[1]资金台帐!X2855&amp;""</f>
      </c>
      <c r="AB2855">
        <f>[1]资金台帐!AB2855</f>
        <v>0</v>
      </c>
      <c r="AC2855">
        <f>[1]资金台帐!AC2855</f>
        <v>0</v>
      </c>
      <c r="AD2855">
        <f>[1]资金台帐!AD2855</f>
        <v>0</v>
      </c>
      <c r="AJ2855">
        <f>[1]资金台帐!AJ2855</f>
        <v>0</v>
      </c>
      <c r="AK2855">
        <f>[1]资金台帐!AK2855</f>
        <v>0</v>
      </c>
      <c r="BA2855" s="22">
        <f t="shared" si="0"/>
      </c>
      <c r="BG2855" s="22">
        <f t="shared" si="1"/>
      </c>
      <c r="BH2855" s="22">
        <f t="shared" si="2"/>
        <v>0</v>
      </c>
    </row>
    <row r="2856">
      <c r="B2856">
        <f>[1]资金台帐!B2856&amp;""</f>
      </c>
      <c r="H2856">
        <f>[1]资金台帐!H2856&amp;""</f>
      </c>
      <c r="J2856">
        <f>[1]资金台帐!J2856&amp;""</f>
      </c>
      <c r="N2856">
        <f>[1]资金台帐!N2856</f>
      </c>
      <c r="O2856">
        <f>[1]资金台帐!O2856&amp;""</f>
      </c>
      <c r="P2856">
        <f>[1]资金台帐!P2856&amp;""</f>
      </c>
      <c r="Q2856">
        <f>[1]资金台帐!Q2856&amp;""</f>
      </c>
      <c r="T2856">
        <f>[1]资金台帐!T2856&amp;""</f>
      </c>
      <c r="U2856">
        <f>[1]资金台帐!U2856&amp;""</f>
      </c>
      <c r="W2856">
        <f>[1]资金台帐!W2856&amp;""</f>
      </c>
      <c r="X2856">
        <f>[1]资金台帐!X2856&amp;""</f>
      </c>
      <c r="AB2856">
        <f>[1]资金台帐!AB2856</f>
        <v>0</v>
      </c>
      <c r="AC2856">
        <f>[1]资金台帐!AC2856</f>
        <v>0</v>
      </c>
      <c r="AD2856">
        <f>[1]资金台帐!AD2856</f>
        <v>0</v>
      </c>
      <c r="AJ2856">
        <f>[1]资金台帐!AJ2856</f>
        <v>0</v>
      </c>
      <c r="AK2856">
        <f>[1]资金台帐!AK2856</f>
        <v>0</v>
      </c>
      <c r="BA2856" s="22">
        <f t="shared" si="0"/>
      </c>
      <c r="BG2856" s="22">
        <f t="shared" si="1"/>
      </c>
      <c r="BH2856" s="22">
        <f t="shared" si="2"/>
        <v>0</v>
      </c>
    </row>
    <row r="2857">
      <c r="B2857">
        <f>[1]资金台帐!B2857&amp;""</f>
      </c>
      <c r="H2857">
        <f>[1]资金台帐!H2857&amp;""</f>
      </c>
      <c r="J2857">
        <f>[1]资金台帐!J2857&amp;""</f>
      </c>
      <c r="N2857">
        <f>[1]资金台帐!N2857</f>
      </c>
      <c r="O2857">
        <f>[1]资金台帐!O2857&amp;""</f>
      </c>
      <c r="P2857">
        <f>[1]资金台帐!P2857&amp;""</f>
      </c>
      <c r="Q2857">
        <f>[1]资金台帐!Q2857&amp;""</f>
      </c>
      <c r="T2857">
        <f>[1]资金台帐!T2857&amp;""</f>
      </c>
      <c r="U2857">
        <f>[1]资金台帐!U2857&amp;""</f>
      </c>
      <c r="W2857">
        <f>[1]资金台帐!W2857&amp;""</f>
      </c>
      <c r="X2857">
        <f>[1]资金台帐!X2857&amp;""</f>
      </c>
      <c r="AB2857">
        <f>[1]资金台帐!AB2857</f>
        <v>0</v>
      </c>
      <c r="AC2857">
        <f>[1]资金台帐!AC2857</f>
        <v>0</v>
      </c>
      <c r="AD2857">
        <f>[1]资金台帐!AD2857</f>
        <v>0</v>
      </c>
      <c r="AJ2857">
        <f>[1]资金台帐!AJ2857</f>
        <v>0</v>
      </c>
      <c r="AK2857">
        <f>[1]资金台帐!AK2857</f>
        <v>0</v>
      </c>
      <c r="BA2857" s="22">
        <f t="shared" si="0"/>
      </c>
      <c r="BG2857" s="22">
        <f t="shared" si="1"/>
      </c>
      <c r="BH2857" s="22">
        <f t="shared" si="2"/>
        <v>0</v>
      </c>
    </row>
    <row r="2858">
      <c r="B2858">
        <f>[1]资金台帐!B2858&amp;""</f>
      </c>
      <c r="H2858">
        <f>[1]资金台帐!H2858&amp;""</f>
      </c>
      <c r="J2858">
        <f>[1]资金台帐!J2858&amp;""</f>
      </c>
      <c r="N2858">
        <f>[1]资金台帐!N2858</f>
      </c>
      <c r="O2858">
        <f>[1]资金台帐!O2858&amp;""</f>
      </c>
      <c r="P2858">
        <f>[1]资金台帐!P2858&amp;""</f>
      </c>
      <c r="Q2858">
        <f>[1]资金台帐!Q2858&amp;""</f>
      </c>
      <c r="T2858">
        <f>[1]资金台帐!T2858&amp;""</f>
      </c>
      <c r="U2858">
        <f>[1]资金台帐!U2858&amp;""</f>
      </c>
      <c r="W2858">
        <f>[1]资金台帐!W2858&amp;""</f>
      </c>
      <c r="X2858">
        <f>[1]资金台帐!X2858&amp;""</f>
      </c>
      <c r="AB2858">
        <f>[1]资金台帐!AB2858</f>
        <v>0</v>
      </c>
      <c r="AC2858">
        <f>[1]资金台帐!AC2858</f>
        <v>0</v>
      </c>
      <c r="AD2858">
        <f>[1]资金台帐!AD2858</f>
        <v>0</v>
      </c>
      <c r="AJ2858">
        <f>[1]资金台帐!AJ2858</f>
        <v>0</v>
      </c>
      <c r="AK2858">
        <f>[1]资金台帐!AK2858</f>
        <v>0</v>
      </c>
      <c r="BA2858" s="22">
        <f t="shared" si="0"/>
      </c>
      <c r="BG2858" s="22">
        <f t="shared" si="1"/>
      </c>
      <c r="BH2858" s="22">
        <f t="shared" si="2"/>
        <v>0</v>
      </c>
    </row>
    <row r="2859">
      <c r="B2859">
        <f>[1]资金台帐!B2859&amp;""</f>
      </c>
      <c r="H2859">
        <f>[1]资金台帐!H2859&amp;""</f>
      </c>
      <c r="J2859">
        <f>[1]资金台帐!J2859&amp;""</f>
      </c>
      <c r="N2859">
        <f>[1]资金台帐!N2859</f>
      </c>
      <c r="O2859">
        <f>[1]资金台帐!O2859&amp;""</f>
      </c>
      <c r="P2859">
        <f>[1]资金台帐!P2859&amp;""</f>
      </c>
      <c r="Q2859">
        <f>[1]资金台帐!Q2859&amp;""</f>
      </c>
      <c r="T2859">
        <f>[1]资金台帐!T2859&amp;""</f>
      </c>
      <c r="U2859">
        <f>[1]资金台帐!U2859&amp;""</f>
      </c>
      <c r="W2859">
        <f>[1]资金台帐!W2859&amp;""</f>
      </c>
      <c r="X2859">
        <f>[1]资金台帐!X2859&amp;""</f>
      </c>
      <c r="AB2859">
        <f>[1]资金台帐!AB2859</f>
        <v>0</v>
      </c>
      <c r="AC2859">
        <f>[1]资金台帐!AC2859</f>
        <v>0</v>
      </c>
      <c r="AD2859">
        <f>[1]资金台帐!AD2859</f>
        <v>0</v>
      </c>
      <c r="AJ2859">
        <f>[1]资金台帐!AJ2859</f>
        <v>0</v>
      </c>
      <c r="AK2859">
        <f>[1]资金台帐!AK2859</f>
        <v>0</v>
      </c>
      <c r="BA2859" s="22">
        <f t="shared" si="0"/>
      </c>
      <c r="BG2859" s="22">
        <f t="shared" si="1"/>
      </c>
      <c r="BH2859" s="22">
        <f t="shared" si="2"/>
        <v>0</v>
      </c>
    </row>
    <row r="2860">
      <c r="B2860">
        <f>[1]资金台帐!B2860&amp;""</f>
      </c>
      <c r="H2860">
        <f>[1]资金台帐!H2860&amp;""</f>
      </c>
      <c r="J2860">
        <f>[1]资金台帐!J2860&amp;""</f>
      </c>
      <c r="N2860">
        <f>[1]资金台帐!N2860</f>
      </c>
      <c r="O2860">
        <f>[1]资金台帐!O2860&amp;""</f>
      </c>
      <c r="P2860">
        <f>[1]资金台帐!P2860&amp;""</f>
      </c>
      <c r="Q2860">
        <f>[1]资金台帐!Q2860&amp;""</f>
      </c>
      <c r="T2860">
        <f>[1]资金台帐!T2860&amp;""</f>
      </c>
      <c r="U2860">
        <f>[1]资金台帐!U2860&amp;""</f>
      </c>
      <c r="W2860">
        <f>[1]资金台帐!W2860&amp;""</f>
      </c>
      <c r="X2860">
        <f>[1]资金台帐!X2860&amp;""</f>
      </c>
      <c r="AB2860">
        <f>[1]资金台帐!AB2860</f>
        <v>0</v>
      </c>
      <c r="AC2860">
        <f>[1]资金台帐!AC2860</f>
        <v>0</v>
      </c>
      <c r="AD2860">
        <f>[1]资金台帐!AD2860</f>
        <v>0</v>
      </c>
      <c r="AJ2860">
        <f>[1]资金台帐!AJ2860</f>
        <v>0</v>
      </c>
      <c r="AK2860">
        <f>[1]资金台帐!AK2860</f>
        <v>0</v>
      </c>
      <c r="BA2860" s="22">
        <f t="shared" si="0"/>
      </c>
      <c r="BG2860" s="22">
        <f t="shared" si="1"/>
      </c>
      <c r="BH2860" s="22">
        <f t="shared" si="2"/>
        <v>0</v>
      </c>
    </row>
    <row r="2861">
      <c r="B2861">
        <f>[1]资金台帐!B2861&amp;""</f>
      </c>
      <c r="H2861">
        <f>[1]资金台帐!H2861&amp;""</f>
      </c>
      <c r="J2861">
        <f>[1]资金台帐!J2861&amp;""</f>
      </c>
      <c r="N2861">
        <f>[1]资金台帐!N2861</f>
      </c>
      <c r="O2861">
        <f>[1]资金台帐!O2861&amp;""</f>
      </c>
      <c r="P2861">
        <f>[1]资金台帐!P2861&amp;""</f>
      </c>
      <c r="Q2861">
        <f>[1]资金台帐!Q2861&amp;""</f>
      </c>
      <c r="T2861">
        <f>[1]资金台帐!T2861&amp;""</f>
      </c>
      <c r="U2861">
        <f>[1]资金台帐!U2861&amp;""</f>
      </c>
      <c r="W2861">
        <f>[1]资金台帐!W2861&amp;""</f>
      </c>
      <c r="X2861">
        <f>[1]资金台帐!X2861&amp;""</f>
      </c>
      <c r="AB2861">
        <f>[1]资金台帐!AB2861</f>
        <v>0</v>
      </c>
      <c r="AC2861">
        <f>[1]资金台帐!AC2861</f>
        <v>0</v>
      </c>
      <c r="AD2861">
        <f>[1]资金台帐!AD2861</f>
        <v>0</v>
      </c>
      <c r="AJ2861">
        <f>[1]资金台帐!AJ2861</f>
        <v>0</v>
      </c>
      <c r="AK2861">
        <f>[1]资金台帐!AK2861</f>
        <v>0</v>
      </c>
      <c r="BA2861" s="22">
        <f t="shared" si="0"/>
      </c>
      <c r="BG2861" s="22">
        <f t="shared" si="1"/>
      </c>
      <c r="BH2861" s="22">
        <f t="shared" si="2"/>
        <v>0</v>
      </c>
    </row>
    <row r="2862">
      <c r="B2862">
        <f>[1]资金台帐!B2862&amp;""</f>
      </c>
      <c r="H2862">
        <f>[1]资金台帐!H2862&amp;""</f>
      </c>
      <c r="J2862">
        <f>[1]资金台帐!J2862&amp;""</f>
      </c>
      <c r="N2862">
        <f>[1]资金台帐!N2862</f>
      </c>
      <c r="O2862">
        <f>[1]资金台帐!O2862&amp;""</f>
      </c>
      <c r="P2862">
        <f>[1]资金台帐!P2862&amp;""</f>
      </c>
      <c r="Q2862">
        <f>[1]资金台帐!Q2862&amp;""</f>
      </c>
      <c r="T2862">
        <f>[1]资金台帐!T2862&amp;""</f>
      </c>
      <c r="U2862">
        <f>[1]资金台帐!U2862&amp;""</f>
      </c>
      <c r="W2862">
        <f>[1]资金台帐!W2862&amp;""</f>
      </c>
      <c r="X2862">
        <f>[1]资金台帐!X2862&amp;""</f>
      </c>
      <c r="AB2862">
        <f>[1]资金台帐!AB2862</f>
        <v>0</v>
      </c>
      <c r="AC2862">
        <f>[1]资金台帐!AC2862</f>
        <v>0</v>
      </c>
      <c r="AD2862">
        <f>[1]资金台帐!AD2862</f>
        <v>0</v>
      </c>
      <c r="AJ2862">
        <f>[1]资金台帐!AJ2862</f>
        <v>0</v>
      </c>
      <c r="AK2862">
        <f>[1]资金台帐!AK2862</f>
        <v>0</v>
      </c>
      <c r="BA2862" s="22">
        <f t="shared" si="0"/>
      </c>
      <c r="BG2862" s="22">
        <f t="shared" si="1"/>
      </c>
      <c r="BH2862" s="22">
        <f t="shared" si="2"/>
        <v>0</v>
      </c>
    </row>
    <row r="2863">
      <c r="B2863">
        <f>[1]资金台帐!B2863&amp;""</f>
      </c>
      <c r="H2863">
        <f>[1]资金台帐!H2863&amp;""</f>
      </c>
      <c r="J2863">
        <f>[1]资金台帐!J2863&amp;""</f>
      </c>
      <c r="N2863">
        <f>[1]资金台帐!N2863</f>
      </c>
      <c r="O2863">
        <f>[1]资金台帐!O2863&amp;""</f>
      </c>
      <c r="P2863">
        <f>[1]资金台帐!P2863&amp;""</f>
      </c>
      <c r="Q2863">
        <f>[1]资金台帐!Q2863&amp;""</f>
      </c>
      <c r="T2863">
        <f>[1]资金台帐!T2863&amp;""</f>
      </c>
      <c r="U2863">
        <f>[1]资金台帐!U2863&amp;""</f>
      </c>
      <c r="W2863">
        <f>[1]资金台帐!W2863&amp;""</f>
      </c>
      <c r="X2863">
        <f>[1]资金台帐!X2863&amp;""</f>
      </c>
      <c r="AB2863">
        <f>[1]资金台帐!AB2863</f>
        <v>0</v>
      </c>
      <c r="AC2863">
        <f>[1]资金台帐!AC2863</f>
        <v>0</v>
      </c>
      <c r="AD2863">
        <f>[1]资金台帐!AD2863</f>
        <v>0</v>
      </c>
      <c r="AJ2863">
        <f>[1]资金台帐!AJ2863</f>
        <v>0</v>
      </c>
      <c r="AK2863">
        <f>[1]资金台帐!AK2863</f>
        <v>0</v>
      </c>
      <c r="BA2863" s="22">
        <f t="shared" si="0"/>
      </c>
      <c r="BG2863" s="22">
        <f t="shared" si="1"/>
      </c>
      <c r="BH2863" s="22">
        <f t="shared" si="2"/>
        <v>0</v>
      </c>
    </row>
    <row r="2864">
      <c r="B2864">
        <f>[1]资金台帐!B2864&amp;""</f>
      </c>
      <c r="H2864">
        <f>[1]资金台帐!H2864&amp;""</f>
      </c>
      <c r="J2864">
        <f>[1]资金台帐!J2864&amp;""</f>
      </c>
      <c r="N2864">
        <f>[1]资金台帐!N2864</f>
      </c>
      <c r="O2864">
        <f>[1]资金台帐!O2864&amp;""</f>
      </c>
      <c r="P2864">
        <f>[1]资金台帐!P2864&amp;""</f>
      </c>
      <c r="Q2864">
        <f>[1]资金台帐!Q2864&amp;""</f>
      </c>
      <c r="T2864">
        <f>[1]资金台帐!T2864&amp;""</f>
      </c>
      <c r="U2864">
        <f>[1]资金台帐!U2864&amp;""</f>
      </c>
      <c r="W2864">
        <f>[1]资金台帐!W2864&amp;""</f>
      </c>
      <c r="X2864">
        <f>[1]资金台帐!X2864&amp;""</f>
      </c>
      <c r="AB2864">
        <f>[1]资金台帐!AB2864</f>
        <v>0</v>
      </c>
      <c r="AC2864">
        <f>[1]资金台帐!AC2864</f>
        <v>0</v>
      </c>
      <c r="AD2864">
        <f>[1]资金台帐!AD2864</f>
        <v>0</v>
      </c>
      <c r="AJ2864">
        <f>[1]资金台帐!AJ2864</f>
        <v>0</v>
      </c>
      <c r="AK2864">
        <f>[1]资金台帐!AK2864</f>
        <v>0</v>
      </c>
      <c r="BA2864" s="22">
        <f t="shared" si="0"/>
      </c>
      <c r="BG2864" s="22">
        <f t="shared" si="1"/>
      </c>
      <c r="BH2864" s="22">
        <f t="shared" si="2"/>
        <v>0</v>
      </c>
    </row>
    <row r="2865">
      <c r="B2865">
        <f>[1]资金台帐!B2865&amp;""</f>
      </c>
      <c r="H2865">
        <f>[1]资金台帐!H2865&amp;""</f>
      </c>
      <c r="J2865">
        <f>[1]资金台帐!J2865&amp;""</f>
      </c>
      <c r="N2865">
        <f>[1]资金台帐!N2865</f>
      </c>
      <c r="O2865">
        <f>[1]资金台帐!O2865&amp;""</f>
      </c>
      <c r="P2865">
        <f>[1]资金台帐!P2865&amp;""</f>
      </c>
      <c r="Q2865">
        <f>[1]资金台帐!Q2865&amp;""</f>
      </c>
      <c r="T2865">
        <f>[1]资金台帐!T2865&amp;""</f>
      </c>
      <c r="U2865">
        <f>[1]资金台帐!U2865&amp;""</f>
      </c>
      <c r="W2865">
        <f>[1]资金台帐!W2865&amp;""</f>
      </c>
      <c r="X2865">
        <f>[1]资金台帐!X2865&amp;""</f>
      </c>
      <c r="AB2865">
        <f>[1]资金台帐!AB2865</f>
        <v>0</v>
      </c>
      <c r="AC2865">
        <f>[1]资金台帐!AC2865</f>
        <v>0</v>
      </c>
      <c r="AD2865">
        <f>[1]资金台帐!AD2865</f>
        <v>0</v>
      </c>
      <c r="AJ2865">
        <f>[1]资金台帐!AJ2865</f>
        <v>0</v>
      </c>
      <c r="AK2865">
        <f>[1]资金台帐!AK2865</f>
        <v>0</v>
      </c>
      <c r="BA2865" s="22">
        <f t="shared" si="0"/>
      </c>
      <c r="BG2865" s="22">
        <f t="shared" si="1"/>
      </c>
      <c r="BH2865" s="22">
        <f t="shared" si="2"/>
        <v>0</v>
      </c>
    </row>
    <row r="2866">
      <c r="B2866">
        <f>[1]资金台帐!B2866&amp;""</f>
      </c>
      <c r="H2866">
        <f>[1]资金台帐!H2866&amp;""</f>
      </c>
      <c r="J2866">
        <f>[1]资金台帐!J2866&amp;""</f>
      </c>
      <c r="N2866">
        <f>[1]资金台帐!N2866</f>
      </c>
      <c r="O2866">
        <f>[1]资金台帐!O2866&amp;""</f>
      </c>
      <c r="P2866">
        <f>[1]资金台帐!P2866&amp;""</f>
      </c>
      <c r="Q2866">
        <f>[1]资金台帐!Q2866&amp;""</f>
      </c>
      <c r="T2866">
        <f>[1]资金台帐!T2866&amp;""</f>
      </c>
      <c r="U2866">
        <f>[1]资金台帐!U2866&amp;""</f>
      </c>
      <c r="W2866">
        <f>[1]资金台帐!W2866&amp;""</f>
      </c>
      <c r="X2866">
        <f>[1]资金台帐!X2866&amp;""</f>
      </c>
      <c r="AB2866">
        <f>[1]资金台帐!AB2866</f>
        <v>0</v>
      </c>
      <c r="AC2866">
        <f>[1]资金台帐!AC2866</f>
        <v>0</v>
      </c>
      <c r="AD2866">
        <f>[1]资金台帐!AD2866</f>
        <v>0</v>
      </c>
      <c r="AJ2866">
        <f>[1]资金台帐!AJ2866</f>
        <v>0</v>
      </c>
      <c r="AK2866">
        <f>[1]资金台帐!AK2866</f>
        <v>0</v>
      </c>
      <c r="BA2866" s="22">
        <f t="shared" si="0"/>
      </c>
      <c r="BG2866" s="22">
        <f t="shared" si="1"/>
      </c>
      <c r="BH2866" s="22">
        <f t="shared" si="2"/>
        <v>0</v>
      </c>
    </row>
    <row r="2867">
      <c r="B2867">
        <f>[1]资金台帐!B2867&amp;""</f>
      </c>
      <c r="H2867">
        <f>[1]资金台帐!H2867&amp;""</f>
      </c>
      <c r="J2867">
        <f>[1]资金台帐!J2867&amp;""</f>
      </c>
      <c r="N2867">
        <f>[1]资金台帐!N2867</f>
      </c>
      <c r="O2867">
        <f>[1]资金台帐!O2867&amp;""</f>
      </c>
      <c r="P2867">
        <f>[1]资金台帐!P2867&amp;""</f>
      </c>
      <c r="Q2867">
        <f>[1]资金台帐!Q2867&amp;""</f>
      </c>
      <c r="T2867">
        <f>[1]资金台帐!T2867&amp;""</f>
      </c>
      <c r="U2867">
        <f>[1]资金台帐!U2867&amp;""</f>
      </c>
      <c r="W2867">
        <f>[1]资金台帐!W2867&amp;""</f>
      </c>
      <c r="X2867">
        <f>[1]资金台帐!X2867&amp;""</f>
      </c>
      <c r="AB2867">
        <f>[1]资金台帐!AB2867</f>
        <v>0</v>
      </c>
      <c r="AC2867">
        <f>[1]资金台帐!AC2867</f>
        <v>0</v>
      </c>
      <c r="AD2867">
        <f>[1]资金台帐!AD2867</f>
        <v>0</v>
      </c>
      <c r="AJ2867">
        <f>[1]资金台帐!AJ2867</f>
        <v>0</v>
      </c>
      <c r="AK2867">
        <f>[1]资金台帐!AK2867</f>
        <v>0</v>
      </c>
      <c r="BA2867" s="22">
        <f t="shared" si="0"/>
      </c>
      <c r="BG2867" s="22">
        <f t="shared" si="1"/>
      </c>
      <c r="BH2867" s="22">
        <f t="shared" si="2"/>
        <v>0</v>
      </c>
    </row>
    <row r="2868">
      <c r="B2868">
        <f>[1]资金台帐!B2868&amp;""</f>
      </c>
      <c r="H2868">
        <f>[1]资金台帐!H2868&amp;""</f>
      </c>
      <c r="J2868">
        <f>[1]资金台帐!J2868&amp;""</f>
      </c>
      <c r="N2868">
        <f>[1]资金台帐!N2868</f>
      </c>
      <c r="O2868">
        <f>[1]资金台帐!O2868&amp;""</f>
      </c>
      <c r="P2868">
        <f>[1]资金台帐!P2868&amp;""</f>
      </c>
      <c r="Q2868">
        <f>[1]资金台帐!Q2868&amp;""</f>
      </c>
      <c r="T2868">
        <f>[1]资金台帐!T2868&amp;""</f>
      </c>
      <c r="U2868">
        <f>[1]资金台帐!U2868&amp;""</f>
      </c>
      <c r="W2868">
        <f>[1]资金台帐!W2868&amp;""</f>
      </c>
      <c r="X2868">
        <f>[1]资金台帐!X2868&amp;""</f>
      </c>
      <c r="AB2868">
        <f>[1]资金台帐!AB2868</f>
        <v>0</v>
      </c>
      <c r="AC2868">
        <f>[1]资金台帐!AC2868</f>
        <v>0</v>
      </c>
      <c r="AD2868">
        <f>[1]资金台帐!AD2868</f>
        <v>0</v>
      </c>
      <c r="AJ2868">
        <f>[1]资金台帐!AJ2868</f>
        <v>0</v>
      </c>
      <c r="AK2868">
        <f>[1]资金台帐!AK2868</f>
        <v>0</v>
      </c>
      <c r="BA2868" s="22">
        <f t="shared" si="0"/>
      </c>
      <c r="BG2868" s="22">
        <f t="shared" si="1"/>
      </c>
      <c r="BH2868" s="22">
        <f t="shared" si="2"/>
        <v>0</v>
      </c>
    </row>
    <row r="2869">
      <c r="B2869">
        <f>[1]资金台帐!B2869&amp;""</f>
      </c>
      <c r="H2869">
        <f>[1]资金台帐!H2869&amp;""</f>
      </c>
      <c r="J2869">
        <f>[1]资金台帐!J2869&amp;""</f>
      </c>
      <c r="N2869">
        <f>[1]资金台帐!N2869</f>
      </c>
      <c r="O2869">
        <f>[1]资金台帐!O2869&amp;""</f>
      </c>
      <c r="P2869">
        <f>[1]资金台帐!P2869&amp;""</f>
      </c>
      <c r="Q2869">
        <f>[1]资金台帐!Q2869&amp;""</f>
      </c>
      <c r="T2869">
        <f>[1]资金台帐!T2869&amp;""</f>
      </c>
      <c r="U2869">
        <f>[1]资金台帐!U2869&amp;""</f>
      </c>
      <c r="W2869">
        <f>[1]资金台帐!W2869&amp;""</f>
      </c>
      <c r="X2869">
        <f>[1]资金台帐!X2869&amp;""</f>
      </c>
      <c r="AB2869">
        <f>[1]资金台帐!AB2869</f>
        <v>0</v>
      </c>
      <c r="AC2869">
        <f>[1]资金台帐!AC2869</f>
        <v>0</v>
      </c>
      <c r="AD2869">
        <f>[1]资金台帐!AD2869</f>
        <v>0</v>
      </c>
      <c r="AJ2869">
        <f>[1]资金台帐!AJ2869</f>
        <v>0</v>
      </c>
      <c r="AK2869">
        <f>[1]资金台帐!AK2869</f>
        <v>0</v>
      </c>
      <c r="BA2869" s="22">
        <f t="shared" si="0"/>
      </c>
      <c r="BG2869" s="22">
        <f t="shared" si="1"/>
      </c>
      <c r="BH2869" s="22">
        <f t="shared" si="2"/>
        <v>0</v>
      </c>
    </row>
    <row r="2870">
      <c r="B2870">
        <f>[1]资金台帐!B2870&amp;""</f>
      </c>
      <c r="H2870">
        <f>[1]资金台帐!H2870&amp;""</f>
      </c>
      <c r="J2870">
        <f>[1]资金台帐!J2870&amp;""</f>
      </c>
      <c r="N2870">
        <f>[1]资金台帐!N2870</f>
      </c>
      <c r="O2870">
        <f>[1]资金台帐!O2870&amp;""</f>
      </c>
      <c r="P2870">
        <f>[1]资金台帐!P2870&amp;""</f>
      </c>
      <c r="Q2870">
        <f>[1]资金台帐!Q2870&amp;""</f>
      </c>
      <c r="T2870">
        <f>[1]资金台帐!T2870&amp;""</f>
      </c>
      <c r="U2870">
        <f>[1]资金台帐!U2870&amp;""</f>
      </c>
      <c r="W2870">
        <f>[1]资金台帐!W2870&amp;""</f>
      </c>
      <c r="X2870">
        <f>[1]资金台帐!X2870&amp;""</f>
      </c>
      <c r="AB2870">
        <f>[1]资金台帐!AB2870</f>
        <v>0</v>
      </c>
      <c r="AC2870">
        <f>[1]资金台帐!AC2870</f>
        <v>0</v>
      </c>
      <c r="AD2870">
        <f>[1]资金台帐!AD2870</f>
        <v>0</v>
      </c>
      <c r="AJ2870">
        <f>[1]资金台帐!AJ2870</f>
        <v>0</v>
      </c>
      <c r="AK2870">
        <f>[1]资金台帐!AK2870</f>
        <v>0</v>
      </c>
      <c r="BA2870" s="22">
        <f t="shared" si="0"/>
      </c>
      <c r="BG2870" s="22">
        <f t="shared" si="1"/>
      </c>
      <c r="BH2870" s="22">
        <f t="shared" si="2"/>
        <v>0</v>
      </c>
    </row>
    <row r="2871">
      <c r="B2871">
        <f>[1]资金台帐!B2871&amp;""</f>
      </c>
      <c r="H2871">
        <f>[1]资金台帐!H2871&amp;""</f>
      </c>
      <c r="J2871">
        <f>[1]资金台帐!J2871&amp;""</f>
      </c>
      <c r="N2871">
        <f>[1]资金台帐!N2871</f>
      </c>
      <c r="O2871">
        <f>[1]资金台帐!O2871&amp;""</f>
      </c>
      <c r="P2871">
        <f>[1]资金台帐!P2871&amp;""</f>
      </c>
      <c r="Q2871">
        <f>[1]资金台帐!Q2871&amp;""</f>
      </c>
      <c r="T2871">
        <f>[1]资金台帐!T2871&amp;""</f>
      </c>
      <c r="U2871">
        <f>[1]资金台帐!U2871&amp;""</f>
      </c>
      <c r="W2871">
        <f>[1]资金台帐!W2871&amp;""</f>
      </c>
      <c r="X2871">
        <f>[1]资金台帐!X2871&amp;""</f>
      </c>
      <c r="AB2871">
        <f>[1]资金台帐!AB2871</f>
        <v>0</v>
      </c>
      <c r="AC2871">
        <f>[1]资金台帐!AC2871</f>
        <v>0</v>
      </c>
      <c r="AD2871">
        <f>[1]资金台帐!AD2871</f>
        <v>0</v>
      </c>
      <c r="AJ2871">
        <f>[1]资金台帐!AJ2871</f>
        <v>0</v>
      </c>
      <c r="AK2871">
        <f>[1]资金台帐!AK2871</f>
        <v>0</v>
      </c>
      <c r="BA2871" s="22">
        <f t="shared" si="0"/>
      </c>
      <c r="BG2871" s="22">
        <f t="shared" si="1"/>
      </c>
      <c r="BH2871" s="22">
        <f t="shared" si="2"/>
        <v>0</v>
      </c>
    </row>
    <row r="2872">
      <c r="B2872">
        <f>[1]资金台帐!B2872&amp;""</f>
      </c>
      <c r="H2872">
        <f>[1]资金台帐!H2872&amp;""</f>
      </c>
      <c r="J2872">
        <f>[1]资金台帐!J2872&amp;""</f>
      </c>
      <c r="N2872">
        <f>[1]资金台帐!N2872</f>
      </c>
      <c r="O2872">
        <f>[1]资金台帐!O2872&amp;""</f>
      </c>
      <c r="P2872">
        <f>[1]资金台帐!P2872&amp;""</f>
      </c>
      <c r="Q2872">
        <f>[1]资金台帐!Q2872&amp;""</f>
      </c>
      <c r="T2872">
        <f>[1]资金台帐!T2872&amp;""</f>
      </c>
      <c r="U2872">
        <f>[1]资金台帐!U2872&amp;""</f>
      </c>
      <c r="W2872">
        <f>[1]资金台帐!W2872&amp;""</f>
      </c>
      <c r="X2872">
        <f>[1]资金台帐!X2872&amp;""</f>
      </c>
      <c r="AB2872">
        <f>[1]资金台帐!AB2872</f>
        <v>0</v>
      </c>
      <c r="AC2872">
        <f>[1]资金台帐!AC2872</f>
        <v>0</v>
      </c>
      <c r="AD2872">
        <f>[1]资金台帐!AD2872</f>
        <v>0</v>
      </c>
      <c r="AJ2872">
        <f>[1]资金台帐!AJ2872</f>
        <v>0</v>
      </c>
      <c r="AK2872">
        <f>[1]资金台帐!AK2872</f>
        <v>0</v>
      </c>
      <c r="BA2872" s="22">
        <f t="shared" si="0"/>
      </c>
      <c r="BG2872" s="22">
        <f t="shared" si="1"/>
      </c>
      <c r="BH2872" s="22">
        <f t="shared" si="2"/>
        <v>0</v>
      </c>
    </row>
    <row r="2873">
      <c r="B2873">
        <f>[1]资金台帐!B2873&amp;""</f>
      </c>
      <c r="H2873">
        <f>[1]资金台帐!H2873&amp;""</f>
      </c>
      <c r="J2873">
        <f>[1]资金台帐!J2873&amp;""</f>
      </c>
      <c r="N2873">
        <f>[1]资金台帐!N2873</f>
      </c>
      <c r="O2873">
        <f>[1]资金台帐!O2873&amp;""</f>
      </c>
      <c r="P2873">
        <f>[1]资金台帐!P2873&amp;""</f>
      </c>
      <c r="Q2873">
        <f>[1]资金台帐!Q2873&amp;""</f>
      </c>
      <c r="T2873">
        <f>[1]资金台帐!T2873&amp;""</f>
      </c>
      <c r="U2873">
        <f>[1]资金台帐!U2873&amp;""</f>
      </c>
      <c r="W2873">
        <f>[1]资金台帐!W2873&amp;""</f>
      </c>
      <c r="X2873">
        <f>[1]资金台帐!X2873&amp;""</f>
      </c>
      <c r="AB2873">
        <f>[1]资金台帐!AB2873</f>
        <v>0</v>
      </c>
      <c r="AC2873">
        <f>[1]资金台帐!AC2873</f>
        <v>0</v>
      </c>
      <c r="AD2873">
        <f>[1]资金台帐!AD2873</f>
        <v>0</v>
      </c>
      <c r="AJ2873">
        <f>[1]资金台帐!AJ2873</f>
        <v>0</v>
      </c>
      <c r="AK2873">
        <f>[1]资金台帐!AK2873</f>
        <v>0</v>
      </c>
      <c r="BA2873" s="22">
        <f t="shared" si="0"/>
      </c>
      <c r="BG2873" s="22">
        <f t="shared" si="1"/>
      </c>
      <c r="BH2873" s="22">
        <f t="shared" si="2"/>
        <v>0</v>
      </c>
    </row>
    <row r="2874">
      <c r="B2874">
        <f>[1]资金台帐!B2874&amp;""</f>
      </c>
      <c r="H2874">
        <f>[1]资金台帐!H2874&amp;""</f>
      </c>
      <c r="J2874">
        <f>[1]资金台帐!J2874&amp;""</f>
      </c>
      <c r="N2874">
        <f>[1]资金台帐!N2874</f>
      </c>
      <c r="O2874">
        <f>[1]资金台帐!O2874&amp;""</f>
      </c>
      <c r="P2874">
        <f>[1]资金台帐!P2874&amp;""</f>
      </c>
      <c r="Q2874">
        <f>[1]资金台帐!Q2874&amp;""</f>
      </c>
      <c r="T2874">
        <f>[1]资金台帐!T2874&amp;""</f>
      </c>
      <c r="U2874">
        <f>[1]资金台帐!U2874&amp;""</f>
      </c>
      <c r="W2874">
        <f>[1]资金台帐!W2874&amp;""</f>
      </c>
      <c r="X2874">
        <f>[1]资金台帐!X2874&amp;""</f>
      </c>
      <c r="AB2874">
        <f>[1]资金台帐!AB2874</f>
        <v>0</v>
      </c>
      <c r="AC2874">
        <f>[1]资金台帐!AC2874</f>
        <v>0</v>
      </c>
      <c r="AD2874">
        <f>[1]资金台帐!AD2874</f>
        <v>0</v>
      </c>
      <c r="AJ2874">
        <f>[1]资金台帐!AJ2874</f>
        <v>0</v>
      </c>
      <c r="AK2874">
        <f>[1]资金台帐!AK2874</f>
        <v>0</v>
      </c>
      <c r="BA2874" s="22">
        <f t="shared" si="0"/>
      </c>
      <c r="BG2874" s="22">
        <f t="shared" si="1"/>
      </c>
      <c r="BH2874" s="22">
        <f t="shared" si="2"/>
        <v>0</v>
      </c>
    </row>
    <row r="2875">
      <c r="B2875">
        <f>[1]资金台帐!B2875&amp;""</f>
      </c>
      <c r="H2875">
        <f>[1]资金台帐!H2875&amp;""</f>
      </c>
      <c r="J2875">
        <f>[1]资金台帐!J2875&amp;""</f>
      </c>
      <c r="N2875">
        <f>[1]资金台帐!N2875</f>
      </c>
      <c r="O2875">
        <f>[1]资金台帐!O2875&amp;""</f>
      </c>
      <c r="P2875">
        <f>[1]资金台帐!P2875&amp;""</f>
      </c>
      <c r="Q2875">
        <f>[1]资金台帐!Q2875&amp;""</f>
      </c>
      <c r="T2875">
        <f>[1]资金台帐!T2875&amp;""</f>
      </c>
      <c r="U2875">
        <f>[1]资金台帐!U2875&amp;""</f>
      </c>
      <c r="W2875">
        <f>[1]资金台帐!W2875&amp;""</f>
      </c>
      <c r="X2875">
        <f>[1]资金台帐!X2875&amp;""</f>
      </c>
      <c r="AB2875">
        <f>[1]资金台帐!AB2875</f>
        <v>0</v>
      </c>
      <c r="AC2875">
        <f>[1]资金台帐!AC2875</f>
        <v>0</v>
      </c>
      <c r="AD2875">
        <f>[1]资金台帐!AD2875</f>
        <v>0</v>
      </c>
      <c r="AJ2875">
        <f>[1]资金台帐!AJ2875</f>
        <v>0</v>
      </c>
      <c r="AK2875">
        <f>[1]资金台帐!AK2875</f>
        <v>0</v>
      </c>
      <c r="BA2875" s="22">
        <f t="shared" si="0"/>
      </c>
      <c r="BG2875" s="22">
        <f t="shared" si="1"/>
      </c>
      <c r="BH2875" s="22">
        <f t="shared" si="2"/>
        <v>0</v>
      </c>
    </row>
    <row r="2876">
      <c r="B2876">
        <f>[1]资金台帐!B2876&amp;""</f>
      </c>
      <c r="H2876">
        <f>[1]资金台帐!H2876&amp;""</f>
      </c>
      <c r="J2876">
        <f>[1]资金台帐!J2876&amp;""</f>
      </c>
      <c r="N2876">
        <f>[1]资金台帐!N2876</f>
      </c>
      <c r="O2876">
        <f>[1]资金台帐!O2876&amp;""</f>
      </c>
      <c r="P2876">
        <f>[1]资金台帐!P2876&amp;""</f>
      </c>
      <c r="Q2876">
        <f>[1]资金台帐!Q2876&amp;""</f>
      </c>
      <c r="T2876">
        <f>[1]资金台帐!T2876&amp;""</f>
      </c>
      <c r="U2876">
        <f>[1]资金台帐!U2876&amp;""</f>
      </c>
      <c r="W2876">
        <f>[1]资金台帐!W2876&amp;""</f>
      </c>
      <c r="X2876">
        <f>[1]资金台帐!X2876&amp;""</f>
      </c>
      <c r="AB2876">
        <f>[1]资金台帐!AB2876</f>
        <v>0</v>
      </c>
      <c r="AC2876">
        <f>[1]资金台帐!AC2876</f>
        <v>0</v>
      </c>
      <c r="AD2876">
        <f>[1]资金台帐!AD2876</f>
        <v>0</v>
      </c>
      <c r="AJ2876">
        <f>[1]资金台帐!AJ2876</f>
        <v>0</v>
      </c>
      <c r="AK2876">
        <f>[1]资金台帐!AK2876</f>
        <v>0</v>
      </c>
      <c r="BA2876" s="22">
        <f t="shared" si="0"/>
      </c>
      <c r="BG2876" s="22">
        <f t="shared" si="1"/>
      </c>
      <c r="BH2876" s="22">
        <f t="shared" si="2"/>
        <v>0</v>
      </c>
    </row>
    <row r="2877">
      <c r="B2877">
        <f>[1]资金台帐!B2877&amp;""</f>
      </c>
      <c r="H2877">
        <f>[1]资金台帐!H2877&amp;""</f>
      </c>
      <c r="J2877">
        <f>[1]资金台帐!J2877&amp;""</f>
      </c>
      <c r="N2877">
        <f>[1]资金台帐!N2877</f>
      </c>
      <c r="O2877">
        <f>[1]资金台帐!O2877&amp;""</f>
      </c>
      <c r="P2877">
        <f>[1]资金台帐!P2877&amp;""</f>
      </c>
      <c r="Q2877">
        <f>[1]资金台帐!Q2877&amp;""</f>
      </c>
      <c r="T2877">
        <f>[1]资金台帐!T2877&amp;""</f>
      </c>
      <c r="U2877">
        <f>[1]资金台帐!U2877&amp;""</f>
      </c>
      <c r="W2877">
        <f>[1]资金台帐!W2877&amp;""</f>
      </c>
      <c r="X2877">
        <f>[1]资金台帐!X2877&amp;""</f>
      </c>
      <c r="AB2877">
        <f>[1]资金台帐!AB2877</f>
        <v>0</v>
      </c>
      <c r="AC2877">
        <f>[1]资金台帐!AC2877</f>
        <v>0</v>
      </c>
      <c r="AD2877">
        <f>[1]资金台帐!AD2877</f>
        <v>0</v>
      </c>
      <c r="AJ2877">
        <f>[1]资金台帐!AJ2877</f>
        <v>0</v>
      </c>
      <c r="AK2877">
        <f>[1]资金台帐!AK2877</f>
        <v>0</v>
      </c>
      <c r="BA2877" s="22">
        <f t="shared" si="0"/>
      </c>
      <c r="BG2877" s="22">
        <f t="shared" si="1"/>
      </c>
      <c r="BH2877" s="22">
        <f t="shared" si="2"/>
        <v>0</v>
      </c>
    </row>
    <row r="2878">
      <c r="B2878">
        <f>[1]资金台帐!B2878&amp;""</f>
      </c>
      <c r="H2878">
        <f>[1]资金台帐!H2878&amp;""</f>
      </c>
      <c r="J2878">
        <f>[1]资金台帐!J2878&amp;""</f>
      </c>
      <c r="N2878">
        <f>[1]资金台帐!N2878</f>
      </c>
      <c r="O2878">
        <f>[1]资金台帐!O2878&amp;""</f>
      </c>
      <c r="P2878">
        <f>[1]资金台帐!P2878&amp;""</f>
      </c>
      <c r="Q2878">
        <f>[1]资金台帐!Q2878&amp;""</f>
      </c>
      <c r="T2878">
        <f>[1]资金台帐!T2878&amp;""</f>
      </c>
      <c r="U2878">
        <f>[1]资金台帐!U2878&amp;""</f>
      </c>
      <c r="W2878">
        <f>[1]资金台帐!W2878&amp;""</f>
      </c>
      <c r="X2878">
        <f>[1]资金台帐!X2878&amp;""</f>
      </c>
      <c r="AB2878">
        <f>[1]资金台帐!AB2878</f>
        <v>0</v>
      </c>
      <c r="AC2878">
        <f>[1]资金台帐!AC2878</f>
        <v>0</v>
      </c>
      <c r="AD2878">
        <f>[1]资金台帐!AD2878</f>
        <v>0</v>
      </c>
      <c r="AJ2878">
        <f>[1]资金台帐!AJ2878</f>
        <v>0</v>
      </c>
      <c r="AK2878">
        <f>[1]资金台帐!AK2878</f>
        <v>0</v>
      </c>
      <c r="BA2878" s="22">
        <f t="shared" si="0"/>
      </c>
      <c r="BG2878" s="22">
        <f t="shared" si="1"/>
      </c>
      <c r="BH2878" s="22">
        <f t="shared" si="2"/>
        <v>0</v>
      </c>
    </row>
    <row r="2879">
      <c r="B2879">
        <f>[1]资金台帐!B2879&amp;""</f>
      </c>
      <c r="H2879">
        <f>[1]资金台帐!H2879&amp;""</f>
      </c>
      <c r="J2879">
        <f>[1]资金台帐!J2879&amp;""</f>
      </c>
      <c r="N2879">
        <f>[1]资金台帐!N2879</f>
      </c>
      <c r="O2879">
        <f>[1]资金台帐!O2879&amp;""</f>
      </c>
      <c r="P2879">
        <f>[1]资金台帐!P2879&amp;""</f>
      </c>
      <c r="Q2879">
        <f>[1]资金台帐!Q2879&amp;""</f>
      </c>
      <c r="T2879">
        <f>[1]资金台帐!T2879&amp;""</f>
      </c>
      <c r="U2879">
        <f>[1]资金台帐!U2879&amp;""</f>
      </c>
      <c r="W2879">
        <f>[1]资金台帐!W2879&amp;""</f>
      </c>
      <c r="X2879">
        <f>[1]资金台帐!X2879&amp;""</f>
      </c>
      <c r="AB2879">
        <f>[1]资金台帐!AB2879</f>
        <v>0</v>
      </c>
      <c r="AC2879">
        <f>[1]资金台帐!AC2879</f>
        <v>0</v>
      </c>
      <c r="AD2879">
        <f>[1]资金台帐!AD2879</f>
        <v>0</v>
      </c>
      <c r="AJ2879">
        <f>[1]资金台帐!AJ2879</f>
        <v>0</v>
      </c>
      <c r="AK2879">
        <f>[1]资金台帐!AK2879</f>
        <v>0</v>
      </c>
      <c r="BA2879" s="22">
        <f t="shared" si="0"/>
      </c>
      <c r="BG2879" s="22">
        <f t="shared" si="1"/>
      </c>
      <c r="BH2879" s="22">
        <f t="shared" si="2"/>
        <v>0</v>
      </c>
    </row>
    <row r="2880">
      <c r="B2880">
        <f>[1]资金台帐!B2880&amp;""</f>
      </c>
      <c r="H2880">
        <f>[1]资金台帐!H2880&amp;""</f>
      </c>
      <c r="J2880">
        <f>[1]资金台帐!J2880&amp;""</f>
      </c>
      <c r="N2880">
        <f>[1]资金台帐!N2880</f>
      </c>
      <c r="O2880">
        <f>[1]资金台帐!O2880&amp;""</f>
      </c>
      <c r="P2880">
        <f>[1]资金台帐!P2880&amp;""</f>
      </c>
      <c r="Q2880">
        <f>[1]资金台帐!Q2880&amp;""</f>
      </c>
      <c r="T2880">
        <f>[1]资金台帐!T2880&amp;""</f>
      </c>
      <c r="U2880">
        <f>[1]资金台帐!U2880&amp;""</f>
      </c>
      <c r="W2880">
        <f>[1]资金台帐!W2880&amp;""</f>
      </c>
      <c r="X2880">
        <f>[1]资金台帐!X2880&amp;""</f>
      </c>
      <c r="AB2880">
        <f>[1]资金台帐!AB2880</f>
        <v>0</v>
      </c>
      <c r="AC2880">
        <f>[1]资金台帐!AC2880</f>
        <v>0</v>
      </c>
      <c r="AD2880">
        <f>[1]资金台帐!AD2880</f>
        <v>0</v>
      </c>
      <c r="AJ2880">
        <f>[1]资金台帐!AJ2880</f>
        <v>0</v>
      </c>
      <c r="AK2880">
        <f>[1]资金台帐!AK2880</f>
        <v>0</v>
      </c>
      <c r="BA2880" s="22">
        <f t="shared" si="0"/>
      </c>
      <c r="BG2880" s="22">
        <f t="shared" si="1"/>
      </c>
      <c r="BH2880" s="22">
        <f t="shared" si="2"/>
        <v>0</v>
      </c>
    </row>
    <row r="2881">
      <c r="B2881">
        <f>[1]资金台帐!B2881&amp;""</f>
      </c>
      <c r="H2881">
        <f>[1]资金台帐!H2881&amp;""</f>
      </c>
      <c r="J2881">
        <f>[1]资金台帐!J2881&amp;""</f>
      </c>
      <c r="N2881">
        <f>[1]资金台帐!N2881</f>
      </c>
      <c r="O2881">
        <f>[1]资金台帐!O2881&amp;""</f>
      </c>
      <c r="P2881">
        <f>[1]资金台帐!P2881&amp;""</f>
      </c>
      <c r="Q2881">
        <f>[1]资金台帐!Q2881&amp;""</f>
      </c>
      <c r="T2881">
        <f>[1]资金台帐!T2881&amp;""</f>
      </c>
      <c r="U2881">
        <f>[1]资金台帐!U2881&amp;""</f>
      </c>
      <c r="W2881">
        <f>[1]资金台帐!W2881&amp;""</f>
      </c>
      <c r="X2881">
        <f>[1]资金台帐!X2881&amp;""</f>
      </c>
      <c r="AB2881">
        <f>[1]资金台帐!AB2881</f>
        <v>0</v>
      </c>
      <c r="AC2881">
        <f>[1]资金台帐!AC2881</f>
        <v>0</v>
      </c>
      <c r="AD2881">
        <f>[1]资金台帐!AD2881</f>
        <v>0</v>
      </c>
      <c r="AJ2881">
        <f>[1]资金台帐!AJ2881</f>
        <v>0</v>
      </c>
      <c r="AK2881">
        <f>[1]资金台帐!AK2881</f>
        <v>0</v>
      </c>
      <c r="BA2881" s="22">
        <f t="shared" si="0"/>
      </c>
      <c r="BG2881" s="22">
        <f t="shared" si="1"/>
      </c>
      <c r="BH2881" s="22">
        <f t="shared" si="2"/>
        <v>0</v>
      </c>
    </row>
    <row r="2882">
      <c r="B2882">
        <f>[1]资金台帐!B2882&amp;""</f>
      </c>
      <c r="H2882">
        <f>[1]资金台帐!H2882&amp;""</f>
      </c>
      <c r="J2882">
        <f>[1]资金台帐!J2882&amp;""</f>
      </c>
      <c r="N2882">
        <f>[1]资金台帐!N2882</f>
      </c>
      <c r="O2882">
        <f>[1]资金台帐!O2882&amp;""</f>
      </c>
      <c r="P2882">
        <f>[1]资金台帐!P2882&amp;""</f>
      </c>
      <c r="Q2882">
        <f>[1]资金台帐!Q2882&amp;""</f>
      </c>
      <c r="T2882">
        <f>[1]资金台帐!T2882&amp;""</f>
      </c>
      <c r="U2882">
        <f>[1]资金台帐!U2882&amp;""</f>
      </c>
      <c r="W2882">
        <f>[1]资金台帐!W2882&amp;""</f>
      </c>
      <c r="X2882">
        <f>[1]资金台帐!X2882&amp;""</f>
      </c>
      <c r="AB2882">
        <f>[1]资金台帐!AB2882</f>
        <v>0</v>
      </c>
      <c r="AC2882">
        <f>[1]资金台帐!AC2882</f>
        <v>0</v>
      </c>
      <c r="AD2882">
        <f>[1]资金台帐!AD2882</f>
        <v>0</v>
      </c>
      <c r="AJ2882">
        <f>[1]资金台帐!AJ2882</f>
        <v>0</v>
      </c>
      <c r="AK2882">
        <f>[1]资金台帐!AK2882</f>
        <v>0</v>
      </c>
      <c r="BA2882" s="22">
        <f t="shared" si="0"/>
      </c>
      <c r="BG2882" s="22">
        <f t="shared" si="1"/>
      </c>
      <c r="BH2882" s="22">
        <f t="shared" si="2"/>
        <v>0</v>
      </c>
    </row>
    <row r="2883">
      <c r="B2883">
        <f>[1]资金台帐!B2883&amp;""</f>
      </c>
      <c r="H2883">
        <f>[1]资金台帐!H2883&amp;""</f>
      </c>
      <c r="J2883">
        <f>[1]资金台帐!J2883&amp;""</f>
      </c>
      <c r="N2883">
        <f>[1]资金台帐!N2883</f>
      </c>
      <c r="O2883">
        <f>[1]资金台帐!O2883&amp;""</f>
      </c>
      <c r="P2883">
        <f>[1]资金台帐!P2883&amp;""</f>
      </c>
      <c r="Q2883">
        <f>[1]资金台帐!Q2883&amp;""</f>
      </c>
      <c r="T2883">
        <f>[1]资金台帐!T2883&amp;""</f>
      </c>
      <c r="U2883">
        <f>[1]资金台帐!U2883&amp;""</f>
      </c>
      <c r="W2883">
        <f>[1]资金台帐!W2883&amp;""</f>
      </c>
      <c r="X2883">
        <f>[1]资金台帐!X2883&amp;""</f>
      </c>
      <c r="AB2883">
        <f>[1]资金台帐!AB2883</f>
        <v>0</v>
      </c>
      <c r="AC2883">
        <f>[1]资金台帐!AC2883</f>
        <v>0</v>
      </c>
      <c r="AD2883">
        <f>[1]资金台帐!AD2883</f>
        <v>0</v>
      </c>
      <c r="AJ2883">
        <f>[1]资金台帐!AJ2883</f>
        <v>0</v>
      </c>
      <c r="AK2883">
        <f>[1]资金台帐!AK2883</f>
        <v>0</v>
      </c>
      <c r="BA2883" s="22">
        <f t="shared" si="0"/>
      </c>
      <c r="BG2883" s="22">
        <f t="shared" si="1"/>
      </c>
      <c r="BH2883" s="22">
        <f t="shared" si="2"/>
        <v>0</v>
      </c>
    </row>
    <row r="2884">
      <c r="B2884">
        <f>[1]资金台帐!B2884&amp;""</f>
      </c>
      <c r="H2884">
        <f>[1]资金台帐!H2884&amp;""</f>
      </c>
      <c r="J2884">
        <f>[1]资金台帐!J2884&amp;""</f>
      </c>
      <c r="N2884">
        <f>[1]资金台帐!N2884</f>
      </c>
      <c r="O2884">
        <f>[1]资金台帐!O2884&amp;""</f>
      </c>
      <c r="P2884">
        <f>[1]资金台帐!P2884&amp;""</f>
      </c>
      <c r="Q2884">
        <f>[1]资金台帐!Q2884&amp;""</f>
      </c>
      <c r="T2884">
        <f>[1]资金台帐!T2884&amp;""</f>
      </c>
      <c r="U2884">
        <f>[1]资金台帐!U2884&amp;""</f>
      </c>
      <c r="W2884">
        <f>[1]资金台帐!W2884&amp;""</f>
      </c>
      <c r="X2884">
        <f>[1]资金台帐!X2884&amp;""</f>
      </c>
      <c r="AB2884">
        <f>[1]资金台帐!AB2884</f>
        <v>0</v>
      </c>
      <c r="AC2884">
        <f>[1]资金台帐!AC2884</f>
        <v>0</v>
      </c>
      <c r="AD2884">
        <f>[1]资金台帐!AD2884</f>
        <v>0</v>
      </c>
      <c r="AJ2884">
        <f>[1]资金台帐!AJ2884</f>
        <v>0</v>
      </c>
      <c r="AK2884">
        <f>[1]资金台帐!AK2884</f>
        <v>0</v>
      </c>
      <c r="BA2884" s="22">
        <f t="shared" si="0"/>
      </c>
      <c r="BG2884" s="22">
        <f t="shared" si="1"/>
      </c>
      <c r="BH2884" s="22">
        <f t="shared" si="2"/>
        <v>0</v>
      </c>
    </row>
    <row r="2885">
      <c r="B2885">
        <f>[1]资金台帐!B2885&amp;""</f>
      </c>
      <c r="H2885">
        <f>[1]资金台帐!H2885&amp;""</f>
      </c>
      <c r="J2885">
        <f>[1]资金台帐!J2885&amp;""</f>
      </c>
      <c r="N2885">
        <f>[1]资金台帐!N2885</f>
      </c>
      <c r="O2885">
        <f>[1]资金台帐!O2885&amp;""</f>
      </c>
      <c r="P2885">
        <f>[1]资金台帐!P2885&amp;""</f>
      </c>
      <c r="Q2885">
        <f>[1]资金台帐!Q2885&amp;""</f>
      </c>
      <c r="T2885">
        <f>[1]资金台帐!T2885&amp;""</f>
      </c>
      <c r="U2885">
        <f>[1]资金台帐!U2885&amp;""</f>
      </c>
      <c r="W2885">
        <f>[1]资金台帐!W2885&amp;""</f>
      </c>
      <c r="X2885">
        <f>[1]资金台帐!X2885&amp;""</f>
      </c>
      <c r="AB2885">
        <f>[1]资金台帐!AB2885</f>
        <v>0</v>
      </c>
      <c r="AC2885">
        <f>[1]资金台帐!AC2885</f>
        <v>0</v>
      </c>
      <c r="AD2885">
        <f>[1]资金台帐!AD2885</f>
        <v>0</v>
      </c>
      <c r="AJ2885">
        <f>[1]资金台帐!AJ2885</f>
        <v>0</v>
      </c>
      <c r="AK2885">
        <f>[1]资金台帐!AK2885</f>
        <v>0</v>
      </c>
      <c r="BA2885" s="22">
        <f t="shared" si="0"/>
      </c>
      <c r="BG2885" s="22">
        <f t="shared" si="1"/>
      </c>
      <c r="BH2885" s="22">
        <f t="shared" si="2"/>
        <v>0</v>
      </c>
    </row>
    <row r="2886">
      <c r="B2886">
        <f>[1]资金台帐!B2886&amp;""</f>
      </c>
      <c r="H2886">
        <f>[1]资金台帐!H2886&amp;""</f>
      </c>
      <c r="J2886">
        <f>[1]资金台帐!J2886&amp;""</f>
      </c>
      <c r="N2886">
        <f>[1]资金台帐!N2886</f>
      </c>
      <c r="O2886">
        <f>[1]资金台帐!O2886&amp;""</f>
      </c>
      <c r="P2886">
        <f>[1]资金台帐!P2886&amp;""</f>
      </c>
      <c r="Q2886">
        <f>[1]资金台帐!Q2886&amp;""</f>
      </c>
      <c r="T2886">
        <f>[1]资金台帐!T2886&amp;""</f>
      </c>
      <c r="U2886">
        <f>[1]资金台帐!U2886&amp;""</f>
      </c>
      <c r="W2886">
        <f>[1]资金台帐!W2886&amp;""</f>
      </c>
      <c r="X2886">
        <f>[1]资金台帐!X2886&amp;""</f>
      </c>
      <c r="AB2886">
        <f>[1]资金台帐!AB2886</f>
        <v>0</v>
      </c>
      <c r="AC2886">
        <f>[1]资金台帐!AC2886</f>
        <v>0</v>
      </c>
      <c r="AD2886">
        <f>[1]资金台帐!AD2886</f>
        <v>0</v>
      </c>
      <c r="AJ2886">
        <f>[1]资金台帐!AJ2886</f>
        <v>0</v>
      </c>
      <c r="AK2886">
        <f>[1]资金台帐!AK2886</f>
        <v>0</v>
      </c>
      <c r="BA2886" s="22">
        <f t="shared" si="0"/>
      </c>
      <c r="BG2886" s="22">
        <f t="shared" si="1"/>
      </c>
      <c r="BH2886" s="22">
        <f t="shared" si="2"/>
        <v>0</v>
      </c>
    </row>
    <row r="2887">
      <c r="B2887">
        <f>[1]资金台帐!B2887&amp;""</f>
      </c>
      <c r="H2887">
        <f>[1]资金台帐!H2887&amp;""</f>
      </c>
      <c r="J2887">
        <f>[1]资金台帐!J2887&amp;""</f>
      </c>
      <c r="N2887">
        <f>[1]资金台帐!N2887</f>
      </c>
      <c r="O2887">
        <f>[1]资金台帐!O2887&amp;""</f>
      </c>
      <c r="P2887">
        <f>[1]资金台帐!P2887&amp;""</f>
      </c>
      <c r="Q2887">
        <f>[1]资金台帐!Q2887&amp;""</f>
      </c>
      <c r="T2887">
        <f>[1]资金台帐!T2887&amp;""</f>
      </c>
      <c r="U2887">
        <f>[1]资金台帐!U2887&amp;""</f>
      </c>
      <c r="W2887">
        <f>[1]资金台帐!W2887&amp;""</f>
      </c>
      <c r="X2887">
        <f>[1]资金台帐!X2887&amp;""</f>
      </c>
      <c r="AB2887">
        <f>[1]资金台帐!AB2887</f>
        <v>0</v>
      </c>
      <c r="AC2887">
        <f>[1]资金台帐!AC2887</f>
        <v>0</v>
      </c>
      <c r="AD2887">
        <f>[1]资金台帐!AD2887</f>
        <v>0</v>
      </c>
      <c r="AJ2887">
        <f>[1]资金台帐!AJ2887</f>
        <v>0</v>
      </c>
      <c r="AK2887">
        <f>[1]资金台帐!AK2887</f>
        <v>0</v>
      </c>
      <c r="BA2887" s="22">
        <f t="shared" si="0"/>
      </c>
      <c r="BG2887" s="22">
        <f t="shared" si="1"/>
      </c>
      <c r="BH2887" s="22">
        <f t="shared" si="2"/>
        <v>0</v>
      </c>
    </row>
    <row r="2888">
      <c r="B2888">
        <f>[1]资金台帐!B2888&amp;""</f>
      </c>
      <c r="H2888">
        <f>[1]资金台帐!H2888&amp;""</f>
      </c>
      <c r="J2888">
        <f>[1]资金台帐!J2888&amp;""</f>
      </c>
      <c r="N2888">
        <f>[1]资金台帐!N2888</f>
      </c>
      <c r="O2888">
        <f>[1]资金台帐!O2888&amp;""</f>
      </c>
      <c r="P2888">
        <f>[1]资金台帐!P2888&amp;""</f>
      </c>
      <c r="Q2888">
        <f>[1]资金台帐!Q2888&amp;""</f>
      </c>
      <c r="T2888">
        <f>[1]资金台帐!T2888&amp;""</f>
      </c>
      <c r="U2888">
        <f>[1]资金台帐!U2888&amp;""</f>
      </c>
      <c r="W2888">
        <f>[1]资金台帐!W2888&amp;""</f>
      </c>
      <c r="X2888">
        <f>[1]资金台帐!X2888&amp;""</f>
      </c>
      <c r="AB2888">
        <f>[1]资金台帐!AB2888</f>
        <v>0</v>
      </c>
      <c r="AC2888">
        <f>[1]资金台帐!AC2888</f>
        <v>0</v>
      </c>
      <c r="AD2888">
        <f>[1]资金台帐!AD2888</f>
        <v>0</v>
      </c>
      <c r="AJ2888">
        <f>[1]资金台帐!AJ2888</f>
        <v>0</v>
      </c>
      <c r="AK2888">
        <f>[1]资金台帐!AK2888</f>
        <v>0</v>
      </c>
      <c r="BA2888" s="22">
        <f t="shared" si="0"/>
      </c>
      <c r="BG2888" s="22">
        <f t="shared" si="1"/>
      </c>
      <c r="BH2888" s="22">
        <f t="shared" si="2"/>
        <v>0</v>
      </c>
    </row>
    <row r="2889">
      <c r="B2889">
        <f>[1]资金台帐!B2889&amp;""</f>
      </c>
      <c r="H2889">
        <f>[1]资金台帐!H2889&amp;""</f>
      </c>
      <c r="J2889">
        <f>[1]资金台帐!J2889&amp;""</f>
      </c>
      <c r="N2889">
        <f>[1]资金台帐!N2889</f>
      </c>
      <c r="O2889">
        <f>[1]资金台帐!O2889&amp;""</f>
      </c>
      <c r="P2889">
        <f>[1]资金台帐!P2889&amp;""</f>
      </c>
      <c r="Q2889">
        <f>[1]资金台帐!Q2889&amp;""</f>
      </c>
      <c r="T2889">
        <f>[1]资金台帐!T2889&amp;""</f>
      </c>
      <c r="U2889">
        <f>[1]资金台帐!U2889&amp;""</f>
      </c>
      <c r="W2889">
        <f>[1]资金台帐!W2889&amp;""</f>
      </c>
      <c r="X2889">
        <f>[1]资金台帐!X2889&amp;""</f>
      </c>
      <c r="AB2889">
        <f>[1]资金台帐!AB2889</f>
        <v>0</v>
      </c>
      <c r="AC2889">
        <f>[1]资金台帐!AC2889</f>
        <v>0</v>
      </c>
      <c r="AD2889">
        <f>[1]资金台帐!AD2889</f>
        <v>0</v>
      </c>
      <c r="AJ2889">
        <f>[1]资金台帐!AJ2889</f>
        <v>0</v>
      </c>
      <c r="AK2889">
        <f>[1]资金台帐!AK2889</f>
        <v>0</v>
      </c>
      <c r="BA2889" s="22">
        <f t="shared" si="0"/>
      </c>
      <c r="BG2889" s="22">
        <f t="shared" si="1"/>
      </c>
      <c r="BH2889" s="22">
        <f t="shared" si="2"/>
        <v>0</v>
      </c>
    </row>
    <row r="2890">
      <c r="B2890">
        <f>[1]资金台帐!B2890&amp;""</f>
      </c>
      <c r="H2890">
        <f>[1]资金台帐!H2890&amp;""</f>
      </c>
      <c r="J2890">
        <f>[1]资金台帐!J2890&amp;""</f>
      </c>
      <c r="N2890">
        <f>[1]资金台帐!N2890</f>
      </c>
      <c r="O2890">
        <f>[1]资金台帐!O2890&amp;""</f>
      </c>
      <c r="P2890">
        <f>[1]资金台帐!P2890&amp;""</f>
      </c>
      <c r="Q2890">
        <f>[1]资金台帐!Q2890&amp;""</f>
      </c>
      <c r="T2890">
        <f>[1]资金台帐!T2890&amp;""</f>
      </c>
      <c r="U2890">
        <f>[1]资金台帐!U2890&amp;""</f>
      </c>
      <c r="W2890">
        <f>[1]资金台帐!W2890&amp;""</f>
      </c>
      <c r="X2890">
        <f>[1]资金台帐!X2890&amp;""</f>
      </c>
      <c r="AB2890">
        <f>[1]资金台帐!AB2890</f>
        <v>0</v>
      </c>
      <c r="AC2890">
        <f>[1]资金台帐!AC2890</f>
        <v>0</v>
      </c>
      <c r="AD2890">
        <f>[1]资金台帐!AD2890</f>
        <v>0</v>
      </c>
      <c r="AJ2890">
        <f>[1]资金台帐!AJ2890</f>
        <v>0</v>
      </c>
      <c r="AK2890">
        <f>[1]资金台帐!AK2890</f>
        <v>0</v>
      </c>
      <c r="BA2890" s="22">
        <f t="shared" si="0"/>
      </c>
      <c r="BG2890" s="22">
        <f t="shared" si="1"/>
      </c>
      <c r="BH2890" s="22">
        <f t="shared" si="2"/>
        <v>0</v>
      </c>
    </row>
    <row r="2891">
      <c r="B2891">
        <f>[1]资金台帐!B2891&amp;""</f>
      </c>
      <c r="H2891">
        <f>[1]资金台帐!H2891&amp;""</f>
      </c>
      <c r="J2891">
        <f>[1]资金台帐!J2891&amp;""</f>
      </c>
      <c r="N2891">
        <f>[1]资金台帐!N2891</f>
      </c>
      <c r="O2891">
        <f>[1]资金台帐!O2891&amp;""</f>
      </c>
      <c r="P2891">
        <f>[1]资金台帐!P2891&amp;""</f>
      </c>
      <c r="Q2891">
        <f>[1]资金台帐!Q2891&amp;""</f>
      </c>
      <c r="T2891">
        <f>[1]资金台帐!T2891&amp;""</f>
      </c>
      <c r="U2891">
        <f>[1]资金台帐!U2891&amp;""</f>
      </c>
      <c r="W2891">
        <f>[1]资金台帐!W2891&amp;""</f>
      </c>
      <c r="X2891">
        <f>[1]资金台帐!X2891&amp;""</f>
      </c>
      <c r="AB2891">
        <f>[1]资金台帐!AB2891</f>
        <v>0</v>
      </c>
      <c r="AC2891">
        <f>[1]资金台帐!AC2891</f>
        <v>0</v>
      </c>
      <c r="AD2891">
        <f>[1]资金台帐!AD2891</f>
        <v>0</v>
      </c>
      <c r="AJ2891">
        <f>[1]资金台帐!AJ2891</f>
        <v>0</v>
      </c>
      <c r="AK2891">
        <f>[1]资金台帐!AK2891</f>
        <v>0</v>
      </c>
      <c r="BA2891" s="22">
        <f t="shared" si="0"/>
      </c>
      <c r="BG2891" s="22">
        <f t="shared" si="1"/>
      </c>
      <c r="BH2891" s="22">
        <f t="shared" si="2"/>
        <v>0</v>
      </c>
    </row>
    <row r="2892">
      <c r="B2892">
        <f>[1]资金台帐!B2892&amp;""</f>
      </c>
      <c r="H2892">
        <f>[1]资金台帐!H2892&amp;""</f>
      </c>
      <c r="J2892">
        <f>[1]资金台帐!J2892&amp;""</f>
      </c>
      <c r="N2892">
        <f>[1]资金台帐!N2892</f>
      </c>
      <c r="O2892">
        <f>[1]资金台帐!O2892&amp;""</f>
      </c>
      <c r="P2892">
        <f>[1]资金台帐!P2892&amp;""</f>
      </c>
      <c r="Q2892">
        <f>[1]资金台帐!Q2892&amp;""</f>
      </c>
      <c r="T2892">
        <f>[1]资金台帐!T2892&amp;""</f>
      </c>
      <c r="U2892">
        <f>[1]资金台帐!U2892&amp;""</f>
      </c>
      <c r="W2892">
        <f>[1]资金台帐!W2892&amp;""</f>
      </c>
      <c r="X2892">
        <f>[1]资金台帐!X2892&amp;""</f>
      </c>
      <c r="AB2892">
        <f>[1]资金台帐!AB2892</f>
        <v>0</v>
      </c>
      <c r="AC2892">
        <f>[1]资金台帐!AC2892</f>
        <v>0</v>
      </c>
      <c r="AD2892">
        <f>[1]资金台帐!AD2892</f>
        <v>0</v>
      </c>
      <c r="AJ2892">
        <f>[1]资金台帐!AJ2892</f>
        <v>0</v>
      </c>
      <c r="AK2892">
        <f>[1]资金台帐!AK2892</f>
        <v>0</v>
      </c>
      <c r="BA2892" s="22">
        <f t="shared" si="0"/>
      </c>
      <c r="BG2892" s="22">
        <f t="shared" si="1"/>
      </c>
      <c r="BH2892" s="22">
        <f t="shared" si="2"/>
        <v>0</v>
      </c>
    </row>
    <row r="2893">
      <c r="B2893">
        <f>[1]资金台帐!B2893&amp;""</f>
      </c>
      <c r="H2893">
        <f>[1]资金台帐!H2893&amp;""</f>
      </c>
      <c r="J2893">
        <f>[1]资金台帐!J2893&amp;""</f>
      </c>
      <c r="N2893">
        <f>[1]资金台帐!N2893</f>
      </c>
      <c r="O2893">
        <f>[1]资金台帐!O2893&amp;""</f>
      </c>
      <c r="P2893">
        <f>[1]资金台帐!P2893&amp;""</f>
      </c>
      <c r="Q2893">
        <f>[1]资金台帐!Q2893&amp;""</f>
      </c>
      <c r="T2893">
        <f>[1]资金台帐!T2893&amp;""</f>
      </c>
      <c r="U2893">
        <f>[1]资金台帐!U2893&amp;""</f>
      </c>
      <c r="W2893">
        <f>[1]资金台帐!W2893&amp;""</f>
      </c>
      <c r="X2893">
        <f>[1]资金台帐!X2893&amp;""</f>
      </c>
      <c r="AB2893">
        <f>[1]资金台帐!AB2893</f>
        <v>0</v>
      </c>
      <c r="AC2893">
        <f>[1]资金台帐!AC2893</f>
        <v>0</v>
      </c>
      <c r="AD2893">
        <f>[1]资金台帐!AD2893</f>
        <v>0</v>
      </c>
      <c r="AJ2893">
        <f>[1]资金台帐!AJ2893</f>
        <v>0</v>
      </c>
      <c r="AK2893">
        <f>[1]资金台帐!AK2893</f>
        <v>0</v>
      </c>
      <c r="BA2893" s="22">
        <f t="shared" si="0"/>
      </c>
      <c r="BG2893" s="22">
        <f t="shared" si="1"/>
      </c>
      <c r="BH2893" s="22">
        <f t="shared" si="2"/>
        <v>0</v>
      </c>
    </row>
    <row r="2894">
      <c r="B2894">
        <f>[1]资金台帐!B2894&amp;""</f>
      </c>
      <c r="H2894">
        <f>[1]资金台帐!H2894&amp;""</f>
      </c>
      <c r="J2894">
        <f>[1]资金台帐!J2894&amp;""</f>
      </c>
      <c r="N2894">
        <f>[1]资金台帐!N2894</f>
      </c>
      <c r="O2894">
        <f>[1]资金台帐!O2894&amp;""</f>
      </c>
      <c r="P2894">
        <f>[1]资金台帐!P2894&amp;""</f>
      </c>
      <c r="Q2894">
        <f>[1]资金台帐!Q2894&amp;""</f>
      </c>
      <c r="T2894">
        <f>[1]资金台帐!T2894&amp;""</f>
      </c>
      <c r="U2894">
        <f>[1]资金台帐!U2894&amp;""</f>
      </c>
      <c r="W2894">
        <f>[1]资金台帐!W2894&amp;""</f>
      </c>
      <c r="X2894">
        <f>[1]资金台帐!X2894&amp;""</f>
      </c>
      <c r="AB2894">
        <f>[1]资金台帐!AB2894</f>
        <v>0</v>
      </c>
      <c r="AC2894">
        <f>[1]资金台帐!AC2894</f>
        <v>0</v>
      </c>
      <c r="AD2894">
        <f>[1]资金台帐!AD2894</f>
        <v>0</v>
      </c>
      <c r="AJ2894">
        <f>[1]资金台帐!AJ2894</f>
        <v>0</v>
      </c>
      <c r="AK2894">
        <f>[1]资金台帐!AK2894</f>
        <v>0</v>
      </c>
      <c r="BA2894" s="22">
        <f t="shared" si="0"/>
      </c>
      <c r="BG2894" s="22">
        <f t="shared" si="1"/>
      </c>
      <c r="BH2894" s="22">
        <f t="shared" si="2"/>
        <v>0</v>
      </c>
    </row>
    <row r="2895">
      <c r="B2895">
        <f>[1]资金台帐!B2895&amp;""</f>
      </c>
      <c r="H2895">
        <f>[1]资金台帐!H2895&amp;""</f>
      </c>
      <c r="J2895">
        <f>[1]资金台帐!J2895&amp;""</f>
      </c>
      <c r="N2895">
        <f>[1]资金台帐!N2895</f>
      </c>
      <c r="O2895">
        <f>[1]资金台帐!O2895&amp;""</f>
      </c>
      <c r="P2895">
        <f>[1]资金台帐!P2895&amp;""</f>
      </c>
      <c r="Q2895">
        <f>[1]资金台帐!Q2895&amp;""</f>
      </c>
      <c r="T2895">
        <f>[1]资金台帐!T2895&amp;""</f>
      </c>
      <c r="U2895">
        <f>[1]资金台帐!U2895&amp;""</f>
      </c>
      <c r="W2895">
        <f>[1]资金台帐!W2895&amp;""</f>
      </c>
      <c r="X2895">
        <f>[1]资金台帐!X2895&amp;""</f>
      </c>
      <c r="AB2895">
        <f>[1]资金台帐!AB2895</f>
        <v>0</v>
      </c>
      <c r="AC2895">
        <f>[1]资金台帐!AC2895</f>
        <v>0</v>
      </c>
      <c r="AD2895">
        <f>[1]资金台帐!AD2895</f>
        <v>0</v>
      </c>
      <c r="AJ2895">
        <f>[1]资金台帐!AJ2895</f>
        <v>0</v>
      </c>
      <c r="AK2895">
        <f>[1]资金台帐!AK2895</f>
        <v>0</v>
      </c>
      <c r="BA2895" s="22">
        <f t="shared" si="0"/>
      </c>
      <c r="BG2895" s="22">
        <f t="shared" si="1"/>
      </c>
      <c r="BH2895" s="22">
        <f t="shared" si="2"/>
        <v>0</v>
      </c>
    </row>
    <row r="2896">
      <c r="B2896">
        <f>[1]资金台帐!B2896&amp;""</f>
      </c>
      <c r="H2896">
        <f>[1]资金台帐!H2896&amp;""</f>
      </c>
      <c r="J2896">
        <f>[1]资金台帐!J2896&amp;""</f>
      </c>
      <c r="N2896">
        <f>[1]资金台帐!N2896</f>
      </c>
      <c r="O2896">
        <f>[1]资金台帐!O2896&amp;""</f>
      </c>
      <c r="P2896">
        <f>[1]资金台帐!P2896&amp;""</f>
      </c>
      <c r="Q2896">
        <f>[1]资金台帐!Q2896&amp;""</f>
      </c>
      <c r="T2896">
        <f>[1]资金台帐!T2896&amp;""</f>
      </c>
      <c r="U2896">
        <f>[1]资金台帐!U2896&amp;""</f>
      </c>
      <c r="W2896">
        <f>[1]资金台帐!W2896&amp;""</f>
      </c>
      <c r="X2896">
        <f>[1]资金台帐!X2896&amp;""</f>
      </c>
      <c r="AB2896">
        <f>[1]资金台帐!AB2896</f>
        <v>0</v>
      </c>
      <c r="AC2896">
        <f>[1]资金台帐!AC2896</f>
        <v>0</v>
      </c>
      <c r="AD2896">
        <f>[1]资金台帐!AD2896</f>
        <v>0</v>
      </c>
      <c r="AJ2896">
        <f>[1]资金台帐!AJ2896</f>
        <v>0</v>
      </c>
      <c r="AK2896">
        <f>[1]资金台帐!AK2896</f>
        <v>0</v>
      </c>
      <c r="BA2896" s="22">
        <f t="shared" si="0"/>
      </c>
      <c r="BG2896" s="22">
        <f t="shared" si="1"/>
      </c>
      <c r="BH2896" s="22">
        <f t="shared" si="2"/>
        <v>0</v>
      </c>
    </row>
    <row r="2897">
      <c r="B2897">
        <f>[1]资金台帐!B2897&amp;""</f>
      </c>
      <c r="H2897">
        <f>[1]资金台帐!H2897&amp;""</f>
      </c>
      <c r="J2897">
        <f>[1]资金台帐!J2897&amp;""</f>
      </c>
      <c r="N2897">
        <f>[1]资金台帐!N2897</f>
      </c>
      <c r="O2897">
        <f>[1]资金台帐!O2897&amp;""</f>
      </c>
      <c r="P2897">
        <f>[1]资金台帐!P2897&amp;""</f>
      </c>
      <c r="Q2897">
        <f>[1]资金台帐!Q2897&amp;""</f>
      </c>
      <c r="T2897">
        <f>[1]资金台帐!T2897&amp;""</f>
      </c>
      <c r="U2897">
        <f>[1]资金台帐!U2897&amp;""</f>
      </c>
      <c r="W2897">
        <f>[1]资金台帐!W2897&amp;""</f>
      </c>
      <c r="X2897">
        <f>[1]资金台帐!X2897&amp;""</f>
      </c>
      <c r="AB2897">
        <f>[1]资金台帐!AB2897</f>
        <v>0</v>
      </c>
      <c r="AC2897">
        <f>[1]资金台帐!AC2897</f>
        <v>0</v>
      </c>
      <c r="AD2897">
        <f>[1]资金台帐!AD2897</f>
        <v>0</v>
      </c>
      <c r="AJ2897">
        <f>[1]资金台帐!AJ2897</f>
        <v>0</v>
      </c>
      <c r="AK2897">
        <f>[1]资金台帐!AK2897</f>
        <v>0</v>
      </c>
      <c r="BA2897" s="22">
        <f t="shared" si="0"/>
      </c>
      <c r="BG2897" s="22">
        <f t="shared" si="1"/>
      </c>
      <c r="BH2897" s="22">
        <f t="shared" si="2"/>
        <v>0</v>
      </c>
    </row>
    <row r="2898">
      <c r="B2898">
        <f>[1]资金台帐!B2898&amp;""</f>
      </c>
      <c r="H2898">
        <f>[1]资金台帐!H2898&amp;""</f>
      </c>
      <c r="J2898">
        <f>[1]资金台帐!J2898&amp;""</f>
      </c>
      <c r="N2898">
        <f>[1]资金台帐!N2898</f>
      </c>
      <c r="O2898">
        <f>[1]资金台帐!O2898&amp;""</f>
      </c>
      <c r="P2898">
        <f>[1]资金台帐!P2898&amp;""</f>
      </c>
      <c r="Q2898">
        <f>[1]资金台帐!Q2898&amp;""</f>
      </c>
      <c r="T2898">
        <f>[1]资金台帐!T2898&amp;""</f>
      </c>
      <c r="U2898">
        <f>[1]资金台帐!U2898&amp;""</f>
      </c>
      <c r="W2898">
        <f>[1]资金台帐!W2898&amp;""</f>
      </c>
      <c r="X2898">
        <f>[1]资金台帐!X2898&amp;""</f>
      </c>
      <c r="AB2898">
        <f>[1]资金台帐!AB2898</f>
        <v>0</v>
      </c>
      <c r="AC2898">
        <f>[1]资金台帐!AC2898</f>
        <v>0</v>
      </c>
      <c r="AD2898">
        <f>[1]资金台帐!AD2898</f>
        <v>0</v>
      </c>
      <c r="AJ2898">
        <f>[1]资金台帐!AJ2898</f>
        <v>0</v>
      </c>
      <c r="AK2898">
        <f>[1]资金台帐!AK2898</f>
        <v>0</v>
      </c>
      <c r="BA2898" s="22">
        <f t="shared" si="0"/>
      </c>
      <c r="BG2898" s="22">
        <f t="shared" si="1"/>
      </c>
      <c r="BH2898" s="22">
        <f t="shared" si="2"/>
        <v>0</v>
      </c>
    </row>
    <row r="2899">
      <c r="B2899">
        <f>[1]资金台帐!B2899&amp;""</f>
      </c>
      <c r="H2899">
        <f>[1]资金台帐!H2899&amp;""</f>
      </c>
      <c r="J2899">
        <f>[1]资金台帐!J2899&amp;""</f>
      </c>
      <c r="N2899">
        <f>[1]资金台帐!N2899</f>
      </c>
      <c r="O2899">
        <f>[1]资金台帐!O2899&amp;""</f>
      </c>
      <c r="P2899">
        <f>[1]资金台帐!P2899&amp;""</f>
      </c>
      <c r="Q2899">
        <f>[1]资金台帐!Q2899&amp;""</f>
      </c>
      <c r="T2899">
        <f>[1]资金台帐!T2899&amp;""</f>
      </c>
      <c r="U2899">
        <f>[1]资金台帐!U2899&amp;""</f>
      </c>
      <c r="W2899">
        <f>[1]资金台帐!W2899&amp;""</f>
      </c>
      <c r="X2899">
        <f>[1]资金台帐!X2899&amp;""</f>
      </c>
      <c r="AB2899">
        <f>[1]资金台帐!AB2899</f>
        <v>0</v>
      </c>
      <c r="AC2899">
        <f>[1]资金台帐!AC2899</f>
        <v>0</v>
      </c>
      <c r="AD2899">
        <f>[1]资金台帐!AD2899</f>
        <v>0</v>
      </c>
      <c r="AJ2899">
        <f>[1]资金台帐!AJ2899</f>
        <v>0</v>
      </c>
      <c r="AK2899">
        <f>[1]资金台帐!AK2899</f>
        <v>0</v>
      </c>
      <c r="BA2899" s="22">
        <f t="shared" si="0"/>
      </c>
      <c r="BG2899" s="22">
        <f t="shared" si="1"/>
      </c>
      <c r="BH2899" s="22">
        <f t="shared" si="2"/>
        <v>0</v>
      </c>
    </row>
    <row r="2900">
      <c r="B2900">
        <f>[1]资金台帐!B2900&amp;""</f>
      </c>
      <c r="H2900">
        <f>[1]资金台帐!H2900&amp;""</f>
      </c>
      <c r="J2900">
        <f>[1]资金台帐!J2900&amp;""</f>
      </c>
      <c r="N2900">
        <f>[1]资金台帐!N2900</f>
      </c>
      <c r="O2900">
        <f>[1]资金台帐!O2900&amp;""</f>
      </c>
      <c r="P2900">
        <f>[1]资金台帐!P2900&amp;""</f>
      </c>
      <c r="Q2900">
        <f>[1]资金台帐!Q2900&amp;""</f>
      </c>
      <c r="T2900">
        <f>[1]资金台帐!T2900&amp;""</f>
      </c>
      <c r="U2900">
        <f>[1]资金台帐!U2900&amp;""</f>
      </c>
      <c r="W2900">
        <f>[1]资金台帐!W2900&amp;""</f>
      </c>
      <c r="X2900">
        <f>[1]资金台帐!X2900&amp;""</f>
      </c>
      <c r="AB2900">
        <f>[1]资金台帐!AB2900</f>
        <v>0</v>
      </c>
      <c r="AC2900">
        <f>[1]资金台帐!AC2900</f>
        <v>0</v>
      </c>
      <c r="AD2900">
        <f>[1]资金台帐!AD2900</f>
        <v>0</v>
      </c>
      <c r="AJ2900">
        <f>[1]资金台帐!AJ2900</f>
        <v>0</v>
      </c>
      <c r="AK2900">
        <f>[1]资金台帐!AK2900</f>
        <v>0</v>
      </c>
      <c r="BA2900" s="22">
        <f t="shared" si="0"/>
      </c>
      <c r="BG2900" s="22">
        <f t="shared" si="1"/>
      </c>
      <c r="BH2900" s="22">
        <f t="shared" si="2"/>
        <v>0</v>
      </c>
    </row>
    <row r="2901">
      <c r="B2901">
        <f>[1]资金台帐!B2901&amp;""</f>
      </c>
      <c r="H2901">
        <f>[1]资金台帐!H2901&amp;""</f>
      </c>
      <c r="J2901">
        <f>[1]资金台帐!J2901&amp;""</f>
      </c>
      <c r="N2901">
        <f>[1]资金台帐!N2901</f>
      </c>
      <c r="O2901">
        <f>[1]资金台帐!O2901&amp;""</f>
      </c>
      <c r="P2901">
        <f>[1]资金台帐!P2901&amp;""</f>
      </c>
      <c r="Q2901">
        <f>[1]资金台帐!Q2901&amp;""</f>
      </c>
      <c r="T2901">
        <f>[1]资金台帐!T2901&amp;""</f>
      </c>
      <c r="U2901">
        <f>[1]资金台帐!U2901&amp;""</f>
      </c>
      <c r="W2901">
        <f>[1]资金台帐!W2901&amp;""</f>
      </c>
      <c r="X2901">
        <f>[1]资金台帐!X2901&amp;""</f>
      </c>
      <c r="AB2901">
        <f>[1]资金台帐!AB2901</f>
        <v>0</v>
      </c>
      <c r="AC2901">
        <f>[1]资金台帐!AC2901</f>
        <v>0</v>
      </c>
      <c r="AD2901">
        <f>[1]资金台帐!AD2901</f>
        <v>0</v>
      </c>
      <c r="AJ2901">
        <f>[1]资金台帐!AJ2901</f>
        <v>0</v>
      </c>
      <c r="AK2901">
        <f>[1]资金台帐!AK2901</f>
        <v>0</v>
      </c>
      <c r="BA2901" s="22">
        <f t="shared" si="0"/>
      </c>
      <c r="BG2901" s="22">
        <f t="shared" si="1"/>
      </c>
      <c r="BH2901" s="22">
        <f t="shared" si="2"/>
        <v>0</v>
      </c>
    </row>
    <row r="2902">
      <c r="B2902">
        <f>[1]资金台帐!B2902&amp;""</f>
      </c>
      <c r="H2902">
        <f>[1]资金台帐!H2902&amp;""</f>
      </c>
      <c r="J2902">
        <f>[1]资金台帐!J2902&amp;""</f>
      </c>
      <c r="N2902">
        <f>[1]资金台帐!N2902</f>
      </c>
      <c r="O2902">
        <f>[1]资金台帐!O2902&amp;""</f>
      </c>
      <c r="P2902">
        <f>[1]资金台帐!P2902&amp;""</f>
      </c>
      <c r="Q2902">
        <f>[1]资金台帐!Q2902&amp;""</f>
      </c>
      <c r="T2902">
        <f>[1]资金台帐!T2902&amp;""</f>
      </c>
      <c r="U2902">
        <f>[1]资金台帐!U2902&amp;""</f>
      </c>
      <c r="W2902">
        <f>[1]资金台帐!W2902&amp;""</f>
      </c>
      <c r="X2902">
        <f>[1]资金台帐!X2902&amp;""</f>
      </c>
      <c r="AB2902">
        <f>[1]资金台帐!AB2902</f>
        <v>0</v>
      </c>
      <c r="AC2902">
        <f>[1]资金台帐!AC2902</f>
        <v>0</v>
      </c>
      <c r="AD2902">
        <f>[1]资金台帐!AD2902</f>
        <v>0</v>
      </c>
      <c r="AJ2902">
        <f>[1]资金台帐!AJ2902</f>
        <v>0</v>
      </c>
      <c r="AK2902">
        <f>[1]资金台帐!AK2902</f>
        <v>0</v>
      </c>
      <c r="BA2902" s="22">
        <f t="shared" si="0"/>
      </c>
      <c r="BG2902" s="22">
        <f t="shared" si="1"/>
      </c>
      <c r="BH2902" s="22">
        <f t="shared" si="2"/>
        <v>0</v>
      </c>
    </row>
    <row r="2903">
      <c r="B2903">
        <f>[1]资金台帐!B2903&amp;""</f>
      </c>
      <c r="H2903">
        <f>[1]资金台帐!H2903&amp;""</f>
      </c>
      <c r="J2903">
        <f>[1]资金台帐!J2903&amp;""</f>
      </c>
      <c r="N2903">
        <f>[1]资金台帐!N2903</f>
      </c>
      <c r="O2903">
        <f>[1]资金台帐!O2903&amp;""</f>
      </c>
      <c r="P2903">
        <f>[1]资金台帐!P2903&amp;""</f>
      </c>
      <c r="Q2903">
        <f>[1]资金台帐!Q2903&amp;""</f>
      </c>
      <c r="T2903">
        <f>[1]资金台帐!T2903&amp;""</f>
      </c>
      <c r="U2903">
        <f>[1]资金台帐!U2903&amp;""</f>
      </c>
      <c r="W2903">
        <f>[1]资金台帐!W2903&amp;""</f>
      </c>
      <c r="X2903">
        <f>[1]资金台帐!X2903&amp;""</f>
      </c>
      <c r="AB2903">
        <f>[1]资金台帐!AB2903</f>
        <v>0</v>
      </c>
      <c r="AC2903">
        <f>[1]资金台帐!AC2903</f>
        <v>0</v>
      </c>
      <c r="AD2903">
        <f>[1]资金台帐!AD2903</f>
        <v>0</v>
      </c>
      <c r="AJ2903">
        <f>[1]资金台帐!AJ2903</f>
        <v>0</v>
      </c>
      <c r="AK2903">
        <f>[1]资金台帐!AK2903</f>
        <v>0</v>
      </c>
      <c r="BA2903" s="22">
        <f t="shared" si="0"/>
      </c>
      <c r="BG2903" s="22">
        <f t="shared" si="1"/>
      </c>
      <c r="BH2903" s="22">
        <f t="shared" si="2"/>
        <v>0</v>
      </c>
    </row>
    <row r="2904">
      <c r="B2904">
        <f>[1]资金台帐!B2904&amp;""</f>
      </c>
      <c r="H2904">
        <f>[1]资金台帐!H2904&amp;""</f>
      </c>
      <c r="J2904">
        <f>[1]资金台帐!J2904&amp;""</f>
      </c>
      <c r="N2904">
        <f>[1]资金台帐!N2904</f>
      </c>
      <c r="O2904">
        <f>[1]资金台帐!O2904&amp;""</f>
      </c>
      <c r="P2904">
        <f>[1]资金台帐!P2904&amp;""</f>
      </c>
      <c r="Q2904">
        <f>[1]资金台帐!Q2904&amp;""</f>
      </c>
      <c r="T2904">
        <f>[1]资金台帐!T2904&amp;""</f>
      </c>
      <c r="U2904">
        <f>[1]资金台帐!U2904&amp;""</f>
      </c>
      <c r="W2904">
        <f>[1]资金台帐!W2904&amp;""</f>
      </c>
      <c r="X2904">
        <f>[1]资金台帐!X2904&amp;""</f>
      </c>
      <c r="AB2904">
        <f>[1]资金台帐!AB2904</f>
        <v>0</v>
      </c>
      <c r="AC2904">
        <f>[1]资金台帐!AC2904</f>
        <v>0</v>
      </c>
      <c r="AD2904">
        <f>[1]资金台帐!AD2904</f>
        <v>0</v>
      </c>
      <c r="AJ2904">
        <f>[1]资金台帐!AJ2904</f>
        <v>0</v>
      </c>
      <c r="AK2904">
        <f>[1]资金台帐!AK2904</f>
        <v>0</v>
      </c>
      <c r="BA2904" s="22">
        <f t="shared" si="0"/>
      </c>
      <c r="BG2904" s="22">
        <f t="shared" si="1"/>
      </c>
      <c r="BH2904" s="22">
        <f t="shared" si="2"/>
        <v>0</v>
      </c>
    </row>
    <row r="2905">
      <c r="B2905">
        <f>[1]资金台帐!B2905&amp;""</f>
      </c>
      <c r="H2905">
        <f>[1]资金台帐!H2905&amp;""</f>
      </c>
      <c r="J2905">
        <f>[1]资金台帐!J2905&amp;""</f>
      </c>
      <c r="N2905">
        <f>[1]资金台帐!N2905</f>
      </c>
      <c r="O2905">
        <f>[1]资金台帐!O2905&amp;""</f>
      </c>
      <c r="P2905">
        <f>[1]资金台帐!P2905&amp;""</f>
      </c>
      <c r="Q2905">
        <f>[1]资金台帐!Q2905&amp;""</f>
      </c>
      <c r="T2905">
        <f>[1]资金台帐!T2905&amp;""</f>
      </c>
      <c r="U2905">
        <f>[1]资金台帐!U2905&amp;""</f>
      </c>
      <c r="W2905">
        <f>[1]资金台帐!W2905&amp;""</f>
      </c>
      <c r="X2905">
        <f>[1]资金台帐!X2905&amp;""</f>
      </c>
      <c r="AB2905">
        <f>[1]资金台帐!AB2905</f>
        <v>0</v>
      </c>
      <c r="AC2905">
        <f>[1]资金台帐!AC2905</f>
        <v>0</v>
      </c>
      <c r="AD2905">
        <f>[1]资金台帐!AD2905</f>
        <v>0</v>
      </c>
      <c r="AJ2905">
        <f>[1]资金台帐!AJ2905</f>
        <v>0</v>
      </c>
      <c r="AK2905">
        <f>[1]资金台帐!AK2905</f>
        <v>0</v>
      </c>
      <c r="BA2905" s="22">
        <f t="shared" si="0"/>
      </c>
      <c r="BG2905" s="22">
        <f t="shared" si="1"/>
      </c>
      <c r="BH2905" s="22">
        <f t="shared" si="2"/>
        <v>0</v>
      </c>
    </row>
    <row r="2906">
      <c r="B2906">
        <f>[1]资金台帐!B2906&amp;""</f>
      </c>
      <c r="H2906">
        <f>[1]资金台帐!H2906&amp;""</f>
      </c>
      <c r="J2906">
        <f>[1]资金台帐!J2906&amp;""</f>
      </c>
      <c r="N2906">
        <f>[1]资金台帐!N2906</f>
      </c>
      <c r="O2906">
        <f>[1]资金台帐!O2906&amp;""</f>
      </c>
      <c r="P2906">
        <f>[1]资金台帐!P2906&amp;""</f>
      </c>
      <c r="Q2906">
        <f>[1]资金台帐!Q2906&amp;""</f>
      </c>
      <c r="T2906">
        <f>[1]资金台帐!T2906&amp;""</f>
      </c>
      <c r="U2906">
        <f>[1]资金台帐!U2906&amp;""</f>
      </c>
      <c r="W2906">
        <f>[1]资金台帐!W2906&amp;""</f>
      </c>
      <c r="X2906">
        <f>[1]资金台帐!X2906&amp;""</f>
      </c>
      <c r="AB2906">
        <f>[1]资金台帐!AB2906</f>
        <v>0</v>
      </c>
      <c r="AC2906">
        <f>[1]资金台帐!AC2906</f>
        <v>0</v>
      </c>
      <c r="AD2906">
        <f>[1]资金台帐!AD2906</f>
        <v>0</v>
      </c>
      <c r="AJ2906">
        <f>[1]资金台帐!AJ2906</f>
        <v>0</v>
      </c>
      <c r="AK2906">
        <f>[1]资金台帐!AK2906</f>
        <v>0</v>
      </c>
      <c r="BA2906" s="22">
        <f t="shared" si="0"/>
      </c>
      <c r="BG2906" s="22">
        <f t="shared" si="1"/>
      </c>
      <c r="BH2906" s="22">
        <f t="shared" si="2"/>
        <v>0</v>
      </c>
    </row>
    <row r="2907">
      <c r="B2907">
        <f>[1]资金台帐!B2907&amp;""</f>
      </c>
      <c r="H2907">
        <f>[1]资金台帐!H2907&amp;""</f>
      </c>
      <c r="J2907">
        <f>[1]资金台帐!J2907&amp;""</f>
      </c>
      <c r="N2907">
        <f>[1]资金台帐!N2907</f>
      </c>
      <c r="O2907">
        <f>[1]资金台帐!O2907&amp;""</f>
      </c>
      <c r="P2907">
        <f>[1]资金台帐!P2907&amp;""</f>
      </c>
      <c r="Q2907">
        <f>[1]资金台帐!Q2907&amp;""</f>
      </c>
      <c r="T2907">
        <f>[1]资金台帐!T2907&amp;""</f>
      </c>
      <c r="U2907">
        <f>[1]资金台帐!U2907&amp;""</f>
      </c>
      <c r="W2907">
        <f>[1]资金台帐!W2907&amp;""</f>
      </c>
      <c r="X2907">
        <f>[1]资金台帐!X2907&amp;""</f>
      </c>
      <c r="AB2907">
        <f>[1]资金台帐!AB2907</f>
        <v>0</v>
      </c>
      <c r="AC2907">
        <f>[1]资金台帐!AC2907</f>
        <v>0</v>
      </c>
      <c r="AD2907">
        <f>[1]资金台帐!AD2907</f>
        <v>0</v>
      </c>
      <c r="AJ2907">
        <f>[1]资金台帐!AJ2907</f>
        <v>0</v>
      </c>
      <c r="AK2907">
        <f>[1]资金台帐!AK2907</f>
        <v>0</v>
      </c>
      <c r="BA2907" s="22">
        <f t="shared" si="0"/>
      </c>
      <c r="BG2907" s="22">
        <f t="shared" si="1"/>
      </c>
      <c r="BH2907" s="22">
        <f t="shared" si="2"/>
        <v>0</v>
      </c>
    </row>
    <row r="2908">
      <c r="B2908">
        <f>[1]资金台帐!B2908&amp;""</f>
      </c>
      <c r="H2908">
        <f>[1]资金台帐!H2908&amp;""</f>
      </c>
      <c r="J2908">
        <f>[1]资金台帐!J2908&amp;""</f>
      </c>
      <c r="N2908">
        <f>[1]资金台帐!N2908</f>
      </c>
      <c r="O2908">
        <f>[1]资金台帐!O2908&amp;""</f>
      </c>
      <c r="P2908">
        <f>[1]资金台帐!P2908&amp;""</f>
      </c>
      <c r="Q2908">
        <f>[1]资金台帐!Q2908&amp;""</f>
      </c>
      <c r="T2908">
        <f>[1]资金台帐!T2908&amp;""</f>
      </c>
      <c r="U2908">
        <f>[1]资金台帐!U2908&amp;""</f>
      </c>
      <c r="W2908">
        <f>[1]资金台帐!W2908&amp;""</f>
      </c>
      <c r="X2908">
        <f>[1]资金台帐!X2908&amp;""</f>
      </c>
      <c r="AB2908">
        <f>[1]资金台帐!AB2908</f>
        <v>0</v>
      </c>
      <c r="AC2908">
        <f>[1]资金台帐!AC2908</f>
        <v>0</v>
      </c>
      <c r="AD2908">
        <f>[1]资金台帐!AD2908</f>
        <v>0</v>
      </c>
      <c r="AJ2908">
        <f>[1]资金台帐!AJ2908</f>
        <v>0</v>
      </c>
      <c r="AK2908">
        <f>[1]资金台帐!AK2908</f>
        <v>0</v>
      </c>
      <c r="BA2908" s="22">
        <f t="shared" si="0"/>
      </c>
      <c r="BG2908" s="22">
        <f t="shared" si="1"/>
      </c>
      <c r="BH2908" s="22">
        <f t="shared" si="2"/>
        <v>0</v>
      </c>
    </row>
    <row r="2909">
      <c r="B2909">
        <f>[1]资金台帐!B2909&amp;""</f>
      </c>
      <c r="H2909">
        <f>[1]资金台帐!H2909&amp;""</f>
      </c>
      <c r="J2909">
        <f>[1]资金台帐!J2909&amp;""</f>
      </c>
      <c r="N2909">
        <f>[1]资金台帐!N2909</f>
      </c>
      <c r="O2909">
        <f>[1]资金台帐!O2909&amp;""</f>
      </c>
      <c r="P2909">
        <f>[1]资金台帐!P2909&amp;""</f>
      </c>
      <c r="Q2909">
        <f>[1]资金台帐!Q2909&amp;""</f>
      </c>
      <c r="T2909">
        <f>[1]资金台帐!T2909&amp;""</f>
      </c>
      <c r="U2909">
        <f>[1]资金台帐!U2909&amp;""</f>
      </c>
      <c r="W2909">
        <f>[1]资金台帐!W2909&amp;""</f>
      </c>
      <c r="X2909">
        <f>[1]资金台帐!X2909&amp;""</f>
      </c>
      <c r="AB2909">
        <f>[1]资金台帐!AB2909</f>
        <v>0</v>
      </c>
      <c r="AC2909">
        <f>[1]资金台帐!AC2909</f>
        <v>0</v>
      </c>
      <c r="AD2909">
        <f>[1]资金台帐!AD2909</f>
        <v>0</v>
      </c>
      <c r="AJ2909">
        <f>[1]资金台帐!AJ2909</f>
        <v>0</v>
      </c>
      <c r="AK2909">
        <f>[1]资金台帐!AK2909</f>
        <v>0</v>
      </c>
      <c r="BA2909" s="22">
        <f t="shared" si="0"/>
      </c>
      <c r="BG2909" s="22">
        <f t="shared" si="1"/>
      </c>
      <c r="BH2909" s="22">
        <f t="shared" si="2"/>
        <v>0</v>
      </c>
    </row>
    <row r="2910">
      <c r="B2910">
        <f>[1]资金台帐!B2910&amp;""</f>
      </c>
      <c r="H2910">
        <f>[1]资金台帐!H2910&amp;""</f>
      </c>
      <c r="J2910">
        <f>[1]资金台帐!J2910&amp;""</f>
      </c>
      <c r="N2910">
        <f>[1]资金台帐!N2910</f>
      </c>
      <c r="O2910">
        <f>[1]资金台帐!O2910&amp;""</f>
      </c>
      <c r="P2910">
        <f>[1]资金台帐!P2910&amp;""</f>
      </c>
      <c r="Q2910">
        <f>[1]资金台帐!Q2910&amp;""</f>
      </c>
      <c r="T2910">
        <f>[1]资金台帐!T2910&amp;""</f>
      </c>
      <c r="U2910">
        <f>[1]资金台帐!U2910&amp;""</f>
      </c>
      <c r="W2910">
        <f>[1]资金台帐!W2910&amp;""</f>
      </c>
      <c r="X2910">
        <f>[1]资金台帐!X2910&amp;""</f>
      </c>
      <c r="AB2910">
        <f>[1]资金台帐!AB2910</f>
        <v>0</v>
      </c>
      <c r="AC2910">
        <f>[1]资金台帐!AC2910</f>
        <v>0</v>
      </c>
      <c r="AD2910">
        <f>[1]资金台帐!AD2910</f>
        <v>0</v>
      </c>
      <c r="AJ2910">
        <f>[1]资金台帐!AJ2910</f>
        <v>0</v>
      </c>
      <c r="AK2910">
        <f>[1]资金台帐!AK2910</f>
        <v>0</v>
      </c>
      <c r="BA2910" s="22">
        <f t="shared" si="0"/>
      </c>
      <c r="BG2910" s="22">
        <f t="shared" si="1"/>
      </c>
      <c r="BH2910" s="22">
        <f t="shared" si="2"/>
        <v>0</v>
      </c>
    </row>
    <row r="2911">
      <c r="B2911">
        <f>[1]资金台帐!B2911&amp;""</f>
      </c>
      <c r="H2911">
        <f>[1]资金台帐!H2911&amp;""</f>
      </c>
      <c r="J2911">
        <f>[1]资金台帐!J2911&amp;""</f>
      </c>
      <c r="N2911">
        <f>[1]资金台帐!N2911</f>
      </c>
      <c r="O2911">
        <f>[1]资金台帐!O2911&amp;""</f>
      </c>
      <c r="P2911">
        <f>[1]资金台帐!P2911&amp;""</f>
      </c>
      <c r="Q2911">
        <f>[1]资金台帐!Q2911&amp;""</f>
      </c>
      <c r="T2911">
        <f>[1]资金台帐!T2911&amp;""</f>
      </c>
      <c r="U2911">
        <f>[1]资金台帐!U2911&amp;""</f>
      </c>
      <c r="W2911">
        <f>[1]资金台帐!W2911&amp;""</f>
      </c>
      <c r="X2911">
        <f>[1]资金台帐!X2911&amp;""</f>
      </c>
      <c r="AB2911">
        <f>[1]资金台帐!AB2911</f>
        <v>0</v>
      </c>
      <c r="AC2911">
        <f>[1]资金台帐!AC2911</f>
        <v>0</v>
      </c>
      <c r="AD2911">
        <f>[1]资金台帐!AD2911</f>
        <v>0</v>
      </c>
      <c r="AJ2911">
        <f>[1]资金台帐!AJ2911</f>
        <v>0</v>
      </c>
      <c r="AK2911">
        <f>[1]资金台帐!AK2911</f>
        <v>0</v>
      </c>
      <c r="BA2911" s="22">
        <f t="shared" si="0"/>
      </c>
      <c r="BG2911" s="22">
        <f t="shared" si="1"/>
      </c>
      <c r="BH2911" s="22">
        <f t="shared" si="2"/>
        <v>0</v>
      </c>
    </row>
    <row r="2912">
      <c r="B2912">
        <f>[1]资金台帐!B2912&amp;""</f>
      </c>
      <c r="H2912">
        <f>[1]资金台帐!H2912&amp;""</f>
      </c>
      <c r="J2912">
        <f>[1]资金台帐!J2912&amp;""</f>
      </c>
      <c r="N2912">
        <f>[1]资金台帐!N2912</f>
      </c>
      <c r="O2912">
        <f>[1]资金台帐!O2912&amp;""</f>
      </c>
      <c r="P2912">
        <f>[1]资金台帐!P2912&amp;""</f>
      </c>
      <c r="Q2912">
        <f>[1]资金台帐!Q2912&amp;""</f>
      </c>
      <c r="T2912">
        <f>[1]资金台帐!T2912&amp;""</f>
      </c>
      <c r="U2912">
        <f>[1]资金台帐!U2912&amp;""</f>
      </c>
      <c r="W2912">
        <f>[1]资金台帐!W2912&amp;""</f>
      </c>
      <c r="X2912">
        <f>[1]资金台帐!X2912&amp;""</f>
      </c>
      <c r="AB2912">
        <f>[1]资金台帐!AB2912</f>
        <v>0</v>
      </c>
      <c r="AC2912">
        <f>[1]资金台帐!AC2912</f>
        <v>0</v>
      </c>
      <c r="AD2912">
        <f>[1]资金台帐!AD2912</f>
        <v>0</v>
      </c>
      <c r="AJ2912">
        <f>[1]资金台帐!AJ2912</f>
        <v>0</v>
      </c>
      <c r="AK2912">
        <f>[1]资金台帐!AK2912</f>
        <v>0</v>
      </c>
      <c r="BA2912" s="22">
        <f t="shared" si="0"/>
      </c>
      <c r="BG2912" s="22">
        <f t="shared" si="1"/>
      </c>
      <c r="BH2912" s="22">
        <f t="shared" si="2"/>
        <v>0</v>
      </c>
    </row>
    <row r="2913">
      <c r="B2913">
        <f>[1]资金台帐!B2913&amp;""</f>
      </c>
      <c r="H2913">
        <f>[1]资金台帐!H2913&amp;""</f>
      </c>
      <c r="J2913">
        <f>[1]资金台帐!J2913&amp;""</f>
      </c>
      <c r="N2913">
        <f>[1]资金台帐!N2913</f>
      </c>
      <c r="O2913">
        <f>[1]资金台帐!O2913&amp;""</f>
      </c>
      <c r="P2913">
        <f>[1]资金台帐!P2913&amp;""</f>
      </c>
      <c r="Q2913">
        <f>[1]资金台帐!Q2913&amp;""</f>
      </c>
      <c r="T2913">
        <f>[1]资金台帐!T2913&amp;""</f>
      </c>
      <c r="U2913">
        <f>[1]资金台帐!U2913&amp;""</f>
      </c>
      <c r="W2913">
        <f>[1]资金台帐!W2913&amp;""</f>
      </c>
      <c r="X2913">
        <f>[1]资金台帐!X2913&amp;""</f>
      </c>
      <c r="AB2913">
        <f>[1]资金台帐!AB2913</f>
        <v>0</v>
      </c>
      <c r="AC2913">
        <f>[1]资金台帐!AC2913</f>
        <v>0</v>
      </c>
      <c r="AD2913">
        <f>[1]资金台帐!AD2913</f>
        <v>0</v>
      </c>
      <c r="AJ2913">
        <f>[1]资金台帐!AJ2913</f>
        <v>0</v>
      </c>
      <c r="AK2913">
        <f>[1]资金台帐!AK2913</f>
        <v>0</v>
      </c>
      <c r="BA2913" s="22">
        <f t="shared" si="0"/>
      </c>
      <c r="BG2913" s="22">
        <f t="shared" si="1"/>
      </c>
      <c r="BH2913" s="22">
        <f t="shared" si="2"/>
        <v>0</v>
      </c>
    </row>
    <row r="2914">
      <c r="B2914">
        <f>[1]资金台帐!B2914&amp;""</f>
      </c>
      <c r="H2914">
        <f>[1]资金台帐!H2914&amp;""</f>
      </c>
      <c r="J2914">
        <f>[1]资金台帐!J2914&amp;""</f>
      </c>
      <c r="N2914">
        <f>[1]资金台帐!N2914</f>
      </c>
      <c r="O2914">
        <f>[1]资金台帐!O2914&amp;""</f>
      </c>
      <c r="P2914">
        <f>[1]资金台帐!P2914&amp;""</f>
      </c>
      <c r="Q2914">
        <f>[1]资金台帐!Q2914&amp;""</f>
      </c>
      <c r="T2914">
        <f>[1]资金台帐!T2914&amp;""</f>
      </c>
      <c r="U2914">
        <f>[1]资金台帐!U2914&amp;""</f>
      </c>
      <c r="W2914">
        <f>[1]资金台帐!W2914&amp;""</f>
      </c>
      <c r="X2914">
        <f>[1]资金台帐!X2914&amp;""</f>
      </c>
      <c r="AB2914">
        <f>[1]资金台帐!AB2914</f>
        <v>0</v>
      </c>
      <c r="AC2914">
        <f>[1]资金台帐!AC2914</f>
        <v>0</v>
      </c>
      <c r="AD2914">
        <f>[1]资金台帐!AD2914</f>
        <v>0</v>
      </c>
      <c r="AJ2914">
        <f>[1]资金台帐!AJ2914</f>
        <v>0</v>
      </c>
      <c r="AK2914">
        <f>[1]资金台帐!AK2914</f>
        <v>0</v>
      </c>
      <c r="BA2914" s="22">
        <f t="shared" si="0"/>
      </c>
      <c r="BG2914" s="22">
        <f t="shared" si="1"/>
      </c>
      <c r="BH2914" s="22">
        <f t="shared" si="2"/>
        <v>0</v>
      </c>
    </row>
    <row r="2915">
      <c r="B2915">
        <f>[1]资金台帐!B2915&amp;""</f>
      </c>
      <c r="H2915">
        <f>[1]资金台帐!H2915&amp;""</f>
      </c>
      <c r="J2915">
        <f>[1]资金台帐!J2915&amp;""</f>
      </c>
      <c r="N2915">
        <f>[1]资金台帐!N2915</f>
      </c>
      <c r="O2915">
        <f>[1]资金台帐!O2915&amp;""</f>
      </c>
      <c r="P2915">
        <f>[1]资金台帐!P2915&amp;""</f>
      </c>
      <c r="Q2915">
        <f>[1]资金台帐!Q2915&amp;""</f>
      </c>
      <c r="T2915">
        <f>[1]资金台帐!T2915&amp;""</f>
      </c>
      <c r="U2915">
        <f>[1]资金台帐!U2915&amp;""</f>
      </c>
      <c r="W2915">
        <f>[1]资金台帐!W2915&amp;""</f>
      </c>
      <c r="X2915">
        <f>[1]资金台帐!X2915&amp;""</f>
      </c>
      <c r="AB2915">
        <f>[1]资金台帐!AB2915</f>
        <v>0</v>
      </c>
      <c r="AC2915">
        <f>[1]资金台帐!AC2915</f>
        <v>0</v>
      </c>
      <c r="AD2915">
        <f>[1]资金台帐!AD2915</f>
        <v>0</v>
      </c>
      <c r="AJ2915">
        <f>[1]资金台帐!AJ2915</f>
        <v>0</v>
      </c>
      <c r="AK2915">
        <f>[1]资金台帐!AK2915</f>
        <v>0</v>
      </c>
      <c r="BA2915" s="22">
        <f t="shared" si="0"/>
      </c>
      <c r="BG2915" s="22">
        <f t="shared" si="1"/>
      </c>
      <c r="BH2915" s="22">
        <f t="shared" si="2"/>
        <v>0</v>
      </c>
    </row>
    <row r="2916">
      <c r="B2916">
        <f>[1]资金台帐!B2916&amp;""</f>
      </c>
      <c r="H2916">
        <f>[1]资金台帐!H2916&amp;""</f>
      </c>
      <c r="J2916">
        <f>[1]资金台帐!J2916&amp;""</f>
      </c>
      <c r="N2916">
        <f>[1]资金台帐!N2916</f>
      </c>
      <c r="O2916">
        <f>[1]资金台帐!O2916&amp;""</f>
      </c>
      <c r="P2916">
        <f>[1]资金台帐!P2916&amp;""</f>
      </c>
      <c r="Q2916">
        <f>[1]资金台帐!Q2916&amp;""</f>
      </c>
      <c r="T2916">
        <f>[1]资金台帐!T2916&amp;""</f>
      </c>
      <c r="U2916">
        <f>[1]资金台帐!U2916&amp;""</f>
      </c>
      <c r="W2916">
        <f>[1]资金台帐!W2916&amp;""</f>
      </c>
      <c r="X2916">
        <f>[1]资金台帐!X2916&amp;""</f>
      </c>
      <c r="AB2916">
        <f>[1]资金台帐!AB2916</f>
        <v>0</v>
      </c>
      <c r="AC2916">
        <f>[1]资金台帐!AC2916</f>
        <v>0</v>
      </c>
      <c r="AD2916">
        <f>[1]资金台帐!AD2916</f>
        <v>0</v>
      </c>
      <c r="AJ2916">
        <f>[1]资金台帐!AJ2916</f>
        <v>0</v>
      </c>
      <c r="AK2916">
        <f>[1]资金台帐!AK2916</f>
        <v>0</v>
      </c>
      <c r="BA2916" s="22">
        <f t="shared" si="0"/>
      </c>
      <c r="BG2916" s="22">
        <f t="shared" si="1"/>
      </c>
      <c r="BH2916" s="22">
        <f t="shared" si="2"/>
        <v>0</v>
      </c>
    </row>
    <row r="2917">
      <c r="B2917">
        <f>[1]资金台帐!B2917&amp;""</f>
      </c>
      <c r="H2917">
        <f>[1]资金台帐!H2917&amp;""</f>
      </c>
      <c r="J2917">
        <f>[1]资金台帐!J2917&amp;""</f>
      </c>
      <c r="N2917">
        <f>[1]资金台帐!N2917</f>
      </c>
      <c r="O2917">
        <f>[1]资金台帐!O2917&amp;""</f>
      </c>
      <c r="P2917">
        <f>[1]资金台帐!P2917&amp;""</f>
      </c>
      <c r="Q2917">
        <f>[1]资金台帐!Q2917&amp;""</f>
      </c>
      <c r="T2917">
        <f>[1]资金台帐!T2917&amp;""</f>
      </c>
      <c r="U2917">
        <f>[1]资金台帐!U2917&amp;""</f>
      </c>
      <c r="W2917">
        <f>[1]资金台帐!W2917&amp;""</f>
      </c>
      <c r="X2917">
        <f>[1]资金台帐!X2917&amp;""</f>
      </c>
      <c r="AB2917">
        <f>[1]资金台帐!AB2917</f>
        <v>0</v>
      </c>
      <c r="AC2917">
        <f>[1]资金台帐!AC2917</f>
        <v>0</v>
      </c>
      <c r="AD2917">
        <f>[1]资金台帐!AD2917</f>
        <v>0</v>
      </c>
      <c r="AJ2917">
        <f>[1]资金台帐!AJ2917</f>
        <v>0</v>
      </c>
      <c r="AK2917">
        <f>[1]资金台帐!AK2917</f>
        <v>0</v>
      </c>
      <c r="BA2917" s="22">
        <f t="shared" si="0"/>
      </c>
      <c r="BG2917" s="22">
        <f t="shared" si="1"/>
      </c>
      <c r="BH2917" s="22">
        <f t="shared" si="2"/>
        <v>0</v>
      </c>
    </row>
    <row r="2918">
      <c r="B2918">
        <f>[1]资金台帐!B2918&amp;""</f>
      </c>
      <c r="H2918">
        <f>[1]资金台帐!H2918&amp;""</f>
      </c>
      <c r="J2918">
        <f>[1]资金台帐!J2918&amp;""</f>
      </c>
      <c r="N2918">
        <f>[1]资金台帐!N2918</f>
      </c>
      <c r="O2918">
        <f>[1]资金台帐!O2918&amp;""</f>
      </c>
      <c r="P2918">
        <f>[1]资金台帐!P2918&amp;""</f>
      </c>
      <c r="Q2918">
        <f>[1]资金台帐!Q2918&amp;""</f>
      </c>
      <c r="T2918">
        <f>[1]资金台帐!T2918&amp;""</f>
      </c>
      <c r="U2918">
        <f>[1]资金台帐!U2918&amp;""</f>
      </c>
      <c r="W2918">
        <f>[1]资金台帐!W2918&amp;""</f>
      </c>
      <c r="X2918">
        <f>[1]资金台帐!X2918&amp;""</f>
      </c>
      <c r="AB2918">
        <f>[1]资金台帐!AB2918</f>
        <v>0</v>
      </c>
      <c r="AC2918">
        <f>[1]资金台帐!AC2918</f>
        <v>0</v>
      </c>
      <c r="AD2918">
        <f>[1]资金台帐!AD2918</f>
        <v>0</v>
      </c>
      <c r="AJ2918">
        <f>[1]资金台帐!AJ2918</f>
        <v>0</v>
      </c>
      <c r="AK2918">
        <f>[1]资金台帐!AK2918</f>
        <v>0</v>
      </c>
      <c r="BA2918" s="22">
        <f t="shared" si="0"/>
      </c>
      <c r="BG2918" s="22">
        <f t="shared" si="1"/>
      </c>
      <c r="BH2918" s="22">
        <f t="shared" si="2"/>
        <v>0</v>
      </c>
    </row>
    <row r="2919">
      <c r="B2919">
        <f>[1]资金台帐!B2919&amp;""</f>
      </c>
      <c r="H2919">
        <f>[1]资金台帐!H2919&amp;""</f>
      </c>
      <c r="J2919">
        <f>[1]资金台帐!J2919&amp;""</f>
      </c>
      <c r="N2919">
        <f>[1]资金台帐!N2919</f>
      </c>
      <c r="O2919">
        <f>[1]资金台帐!O2919&amp;""</f>
      </c>
      <c r="P2919">
        <f>[1]资金台帐!P2919&amp;""</f>
      </c>
      <c r="Q2919">
        <f>[1]资金台帐!Q2919&amp;""</f>
      </c>
      <c r="T2919">
        <f>[1]资金台帐!T2919&amp;""</f>
      </c>
      <c r="U2919">
        <f>[1]资金台帐!U2919&amp;""</f>
      </c>
      <c r="W2919">
        <f>[1]资金台帐!W2919&amp;""</f>
      </c>
      <c r="X2919">
        <f>[1]资金台帐!X2919&amp;""</f>
      </c>
      <c r="AB2919">
        <f>[1]资金台帐!AB2919</f>
        <v>0</v>
      </c>
      <c r="AC2919">
        <f>[1]资金台帐!AC2919</f>
        <v>0</v>
      </c>
      <c r="AD2919">
        <f>[1]资金台帐!AD2919</f>
        <v>0</v>
      </c>
      <c r="AJ2919">
        <f>[1]资金台帐!AJ2919</f>
        <v>0</v>
      </c>
      <c r="AK2919">
        <f>[1]资金台帐!AK2919</f>
        <v>0</v>
      </c>
      <c r="BA2919" s="22">
        <f t="shared" si="0"/>
      </c>
      <c r="BG2919" s="22">
        <f t="shared" si="1"/>
      </c>
      <c r="BH2919" s="22">
        <f t="shared" si="2"/>
        <v>0</v>
      </c>
    </row>
    <row r="2920">
      <c r="B2920">
        <f>[1]资金台帐!B2920&amp;""</f>
      </c>
      <c r="H2920">
        <f>[1]资金台帐!H2920&amp;""</f>
      </c>
      <c r="J2920">
        <f>[1]资金台帐!J2920&amp;""</f>
      </c>
      <c r="N2920">
        <f>[1]资金台帐!N2920</f>
      </c>
      <c r="O2920">
        <f>[1]资金台帐!O2920&amp;""</f>
      </c>
      <c r="P2920">
        <f>[1]资金台帐!P2920&amp;""</f>
      </c>
      <c r="Q2920">
        <f>[1]资金台帐!Q2920&amp;""</f>
      </c>
      <c r="T2920">
        <f>[1]资金台帐!T2920&amp;""</f>
      </c>
      <c r="U2920">
        <f>[1]资金台帐!U2920&amp;""</f>
      </c>
      <c r="W2920">
        <f>[1]资金台帐!W2920&amp;""</f>
      </c>
      <c r="X2920">
        <f>[1]资金台帐!X2920&amp;""</f>
      </c>
      <c r="AB2920">
        <f>[1]资金台帐!AB2920</f>
        <v>0</v>
      </c>
      <c r="AC2920">
        <f>[1]资金台帐!AC2920</f>
        <v>0</v>
      </c>
      <c r="AD2920">
        <f>[1]资金台帐!AD2920</f>
        <v>0</v>
      </c>
      <c r="AJ2920">
        <f>[1]资金台帐!AJ2920</f>
        <v>0</v>
      </c>
      <c r="AK2920">
        <f>[1]资金台帐!AK2920</f>
        <v>0</v>
      </c>
      <c r="BA2920" s="22">
        <f t="shared" si="0"/>
      </c>
      <c r="BG2920" s="22">
        <f t="shared" si="1"/>
      </c>
      <c r="BH2920" s="22">
        <f t="shared" si="2"/>
        <v>0</v>
      </c>
    </row>
    <row r="2921">
      <c r="B2921">
        <f>[1]资金台帐!B2921&amp;""</f>
      </c>
      <c r="H2921">
        <f>[1]资金台帐!H2921&amp;""</f>
      </c>
      <c r="J2921">
        <f>[1]资金台帐!J2921&amp;""</f>
      </c>
      <c r="N2921">
        <f>[1]资金台帐!N2921</f>
      </c>
      <c r="O2921">
        <f>[1]资金台帐!O2921&amp;""</f>
      </c>
      <c r="P2921">
        <f>[1]资金台帐!P2921&amp;""</f>
      </c>
      <c r="Q2921">
        <f>[1]资金台帐!Q2921&amp;""</f>
      </c>
      <c r="T2921">
        <f>[1]资金台帐!T2921&amp;""</f>
      </c>
      <c r="U2921">
        <f>[1]资金台帐!U2921&amp;""</f>
      </c>
      <c r="W2921">
        <f>[1]资金台帐!W2921&amp;""</f>
      </c>
      <c r="X2921">
        <f>[1]资金台帐!X2921&amp;""</f>
      </c>
      <c r="AB2921">
        <f>[1]资金台帐!AB2921</f>
        <v>0</v>
      </c>
      <c r="AC2921">
        <f>[1]资金台帐!AC2921</f>
        <v>0</v>
      </c>
      <c r="AD2921">
        <f>[1]资金台帐!AD2921</f>
        <v>0</v>
      </c>
      <c r="AJ2921">
        <f>[1]资金台帐!AJ2921</f>
        <v>0</v>
      </c>
      <c r="AK2921">
        <f>[1]资金台帐!AK2921</f>
        <v>0</v>
      </c>
      <c r="BA2921" s="22">
        <f t="shared" si="0"/>
      </c>
      <c r="BG2921" s="22">
        <f t="shared" si="1"/>
      </c>
      <c r="BH2921" s="22">
        <f t="shared" si="2"/>
        <v>0</v>
      </c>
    </row>
    <row r="2922">
      <c r="B2922">
        <f>[1]资金台帐!B2922&amp;""</f>
      </c>
      <c r="H2922">
        <f>[1]资金台帐!H2922&amp;""</f>
      </c>
      <c r="J2922">
        <f>[1]资金台帐!J2922&amp;""</f>
      </c>
      <c r="N2922">
        <f>[1]资金台帐!N2922</f>
      </c>
      <c r="O2922">
        <f>[1]资金台帐!O2922&amp;""</f>
      </c>
      <c r="P2922">
        <f>[1]资金台帐!P2922&amp;""</f>
      </c>
      <c r="Q2922">
        <f>[1]资金台帐!Q2922&amp;""</f>
      </c>
      <c r="T2922">
        <f>[1]资金台帐!T2922&amp;""</f>
      </c>
      <c r="U2922">
        <f>[1]资金台帐!U2922&amp;""</f>
      </c>
      <c r="W2922">
        <f>[1]资金台帐!W2922&amp;""</f>
      </c>
      <c r="X2922">
        <f>[1]资金台帐!X2922&amp;""</f>
      </c>
      <c r="AB2922">
        <f>[1]资金台帐!AB2922</f>
        <v>0</v>
      </c>
      <c r="AC2922">
        <f>[1]资金台帐!AC2922</f>
        <v>0</v>
      </c>
      <c r="AD2922">
        <f>[1]资金台帐!AD2922</f>
        <v>0</v>
      </c>
      <c r="AJ2922">
        <f>[1]资金台帐!AJ2922</f>
        <v>0</v>
      </c>
      <c r="AK2922">
        <f>[1]资金台帐!AK2922</f>
        <v>0</v>
      </c>
      <c r="BA2922" s="22">
        <f t="shared" si="0"/>
      </c>
      <c r="BG2922" s="22">
        <f t="shared" si="1"/>
      </c>
      <c r="BH2922" s="22">
        <f t="shared" si="2"/>
        <v>0</v>
      </c>
    </row>
    <row r="2923">
      <c r="B2923">
        <f>[1]资金台帐!B2923&amp;""</f>
      </c>
      <c r="H2923">
        <f>[1]资金台帐!H2923&amp;""</f>
      </c>
      <c r="J2923">
        <f>[1]资金台帐!J2923&amp;""</f>
      </c>
      <c r="N2923">
        <f>[1]资金台帐!N2923</f>
      </c>
      <c r="O2923">
        <f>[1]资金台帐!O2923&amp;""</f>
      </c>
      <c r="P2923">
        <f>[1]资金台帐!P2923&amp;""</f>
      </c>
      <c r="Q2923">
        <f>[1]资金台帐!Q2923&amp;""</f>
      </c>
      <c r="T2923">
        <f>[1]资金台帐!T2923&amp;""</f>
      </c>
      <c r="U2923">
        <f>[1]资金台帐!U2923&amp;""</f>
      </c>
      <c r="W2923">
        <f>[1]资金台帐!W2923&amp;""</f>
      </c>
      <c r="X2923">
        <f>[1]资金台帐!X2923&amp;""</f>
      </c>
      <c r="AB2923">
        <f>[1]资金台帐!AB2923</f>
        <v>0</v>
      </c>
      <c r="AC2923">
        <f>[1]资金台帐!AC2923</f>
        <v>0</v>
      </c>
      <c r="AD2923">
        <f>[1]资金台帐!AD2923</f>
        <v>0</v>
      </c>
      <c r="AJ2923">
        <f>[1]资金台帐!AJ2923</f>
        <v>0</v>
      </c>
      <c r="AK2923">
        <f>[1]资金台帐!AK2923</f>
        <v>0</v>
      </c>
      <c r="BA2923" s="22">
        <f t="shared" si="0"/>
      </c>
      <c r="BG2923" s="22">
        <f t="shared" si="1"/>
      </c>
      <c r="BH2923" s="22">
        <f t="shared" si="2"/>
        <v>0</v>
      </c>
    </row>
    <row r="2924">
      <c r="B2924">
        <f>[1]资金台帐!B2924&amp;""</f>
      </c>
      <c r="H2924">
        <f>[1]资金台帐!H2924&amp;""</f>
      </c>
      <c r="J2924">
        <f>[1]资金台帐!J2924&amp;""</f>
      </c>
      <c r="N2924">
        <f>[1]资金台帐!N2924</f>
      </c>
      <c r="O2924">
        <f>[1]资金台帐!O2924&amp;""</f>
      </c>
      <c r="P2924">
        <f>[1]资金台帐!P2924&amp;""</f>
      </c>
      <c r="Q2924">
        <f>[1]资金台帐!Q2924&amp;""</f>
      </c>
      <c r="T2924">
        <f>[1]资金台帐!T2924&amp;""</f>
      </c>
      <c r="U2924">
        <f>[1]资金台帐!U2924&amp;""</f>
      </c>
      <c r="W2924">
        <f>[1]资金台帐!W2924&amp;""</f>
      </c>
      <c r="X2924">
        <f>[1]资金台帐!X2924&amp;""</f>
      </c>
      <c r="AB2924">
        <f>[1]资金台帐!AB2924</f>
        <v>0</v>
      </c>
      <c r="AC2924">
        <f>[1]资金台帐!AC2924</f>
        <v>0</v>
      </c>
      <c r="AD2924">
        <f>[1]资金台帐!AD2924</f>
        <v>0</v>
      </c>
      <c r="AJ2924">
        <f>[1]资金台帐!AJ2924</f>
        <v>0</v>
      </c>
      <c r="AK2924">
        <f>[1]资金台帐!AK2924</f>
        <v>0</v>
      </c>
      <c r="BA2924" s="22">
        <f t="shared" si="0"/>
      </c>
      <c r="BG2924" s="22">
        <f t="shared" si="1"/>
      </c>
      <c r="BH2924" s="22">
        <f t="shared" si="2"/>
        <v>0</v>
      </c>
    </row>
    <row r="2925">
      <c r="B2925">
        <f>[1]资金台帐!B2925&amp;""</f>
      </c>
      <c r="H2925">
        <f>[1]资金台帐!H2925&amp;""</f>
      </c>
      <c r="J2925">
        <f>[1]资金台帐!J2925&amp;""</f>
      </c>
      <c r="N2925">
        <f>[1]资金台帐!N2925</f>
      </c>
      <c r="O2925">
        <f>[1]资金台帐!O2925&amp;""</f>
      </c>
      <c r="P2925">
        <f>[1]资金台帐!P2925&amp;""</f>
      </c>
      <c r="Q2925">
        <f>[1]资金台帐!Q2925&amp;""</f>
      </c>
      <c r="T2925">
        <f>[1]资金台帐!T2925&amp;""</f>
      </c>
      <c r="U2925">
        <f>[1]资金台帐!U2925&amp;""</f>
      </c>
      <c r="W2925">
        <f>[1]资金台帐!W2925&amp;""</f>
      </c>
      <c r="X2925">
        <f>[1]资金台帐!X2925&amp;""</f>
      </c>
      <c r="AB2925">
        <f>[1]资金台帐!AB2925</f>
        <v>0</v>
      </c>
      <c r="AC2925">
        <f>[1]资金台帐!AC2925</f>
        <v>0</v>
      </c>
      <c r="AD2925">
        <f>[1]资金台帐!AD2925</f>
        <v>0</v>
      </c>
      <c r="AJ2925">
        <f>[1]资金台帐!AJ2925</f>
        <v>0</v>
      </c>
      <c r="AK2925">
        <f>[1]资金台帐!AK2925</f>
        <v>0</v>
      </c>
      <c r="BA2925" s="22">
        <f t="shared" si="0"/>
      </c>
      <c r="BG2925" s="22">
        <f t="shared" si="1"/>
      </c>
      <c r="BH2925" s="22">
        <f t="shared" si="2"/>
        <v>0</v>
      </c>
    </row>
    <row r="2926">
      <c r="B2926">
        <f>[1]资金台帐!B2926&amp;""</f>
      </c>
      <c r="H2926">
        <f>[1]资金台帐!H2926&amp;""</f>
      </c>
      <c r="J2926">
        <f>[1]资金台帐!J2926&amp;""</f>
      </c>
      <c r="N2926">
        <f>[1]资金台帐!N2926</f>
      </c>
      <c r="O2926">
        <f>[1]资金台帐!O2926&amp;""</f>
      </c>
      <c r="P2926">
        <f>[1]资金台帐!P2926&amp;""</f>
      </c>
      <c r="Q2926">
        <f>[1]资金台帐!Q2926&amp;""</f>
      </c>
      <c r="T2926">
        <f>[1]资金台帐!T2926&amp;""</f>
      </c>
      <c r="U2926">
        <f>[1]资金台帐!U2926&amp;""</f>
      </c>
      <c r="W2926">
        <f>[1]资金台帐!W2926&amp;""</f>
      </c>
      <c r="X2926">
        <f>[1]资金台帐!X2926&amp;""</f>
      </c>
      <c r="AB2926">
        <f>[1]资金台帐!AB2926</f>
        <v>0</v>
      </c>
      <c r="AC2926">
        <f>[1]资金台帐!AC2926</f>
        <v>0</v>
      </c>
      <c r="AD2926">
        <f>[1]资金台帐!AD2926</f>
        <v>0</v>
      </c>
      <c r="AJ2926">
        <f>[1]资金台帐!AJ2926</f>
        <v>0</v>
      </c>
      <c r="AK2926">
        <f>[1]资金台帐!AK2926</f>
        <v>0</v>
      </c>
      <c r="BA2926" s="22">
        <f t="shared" si="0"/>
      </c>
      <c r="BG2926" s="22">
        <f t="shared" si="1"/>
      </c>
      <c r="BH2926" s="22">
        <f t="shared" si="2"/>
        <v>0</v>
      </c>
    </row>
    <row r="2927">
      <c r="B2927">
        <f>[1]资金台帐!B2927&amp;""</f>
      </c>
      <c r="H2927">
        <f>[1]资金台帐!H2927&amp;""</f>
      </c>
      <c r="J2927">
        <f>[1]资金台帐!J2927&amp;""</f>
      </c>
      <c r="N2927">
        <f>[1]资金台帐!N2927</f>
      </c>
      <c r="O2927">
        <f>[1]资金台帐!O2927&amp;""</f>
      </c>
      <c r="P2927">
        <f>[1]资金台帐!P2927&amp;""</f>
      </c>
      <c r="Q2927">
        <f>[1]资金台帐!Q2927&amp;""</f>
      </c>
      <c r="T2927">
        <f>[1]资金台帐!T2927&amp;""</f>
      </c>
      <c r="U2927">
        <f>[1]资金台帐!U2927&amp;""</f>
      </c>
      <c r="W2927">
        <f>[1]资金台帐!W2927&amp;""</f>
      </c>
      <c r="X2927">
        <f>[1]资金台帐!X2927&amp;""</f>
      </c>
      <c r="AB2927">
        <f>[1]资金台帐!AB2927</f>
        <v>0</v>
      </c>
      <c r="AC2927">
        <f>[1]资金台帐!AC2927</f>
        <v>0</v>
      </c>
      <c r="AD2927">
        <f>[1]资金台帐!AD2927</f>
        <v>0</v>
      </c>
      <c r="AJ2927">
        <f>[1]资金台帐!AJ2927</f>
        <v>0</v>
      </c>
      <c r="AK2927">
        <f>[1]资金台帐!AK2927</f>
        <v>0</v>
      </c>
      <c r="BA2927" s="22">
        <f t="shared" si="0"/>
      </c>
      <c r="BG2927" s="22">
        <f t="shared" si="1"/>
      </c>
      <c r="BH2927" s="22">
        <f t="shared" si="2"/>
        <v>0</v>
      </c>
    </row>
    <row r="2928">
      <c r="B2928">
        <f>[1]资金台帐!B2928&amp;""</f>
      </c>
      <c r="H2928">
        <f>[1]资金台帐!H2928&amp;""</f>
      </c>
      <c r="J2928">
        <f>[1]资金台帐!J2928&amp;""</f>
      </c>
      <c r="N2928">
        <f>[1]资金台帐!N2928</f>
      </c>
      <c r="O2928">
        <f>[1]资金台帐!O2928&amp;""</f>
      </c>
      <c r="P2928">
        <f>[1]资金台帐!P2928&amp;""</f>
      </c>
      <c r="Q2928">
        <f>[1]资金台帐!Q2928&amp;""</f>
      </c>
      <c r="T2928">
        <f>[1]资金台帐!T2928&amp;""</f>
      </c>
      <c r="U2928">
        <f>[1]资金台帐!U2928&amp;""</f>
      </c>
      <c r="W2928">
        <f>[1]资金台帐!W2928&amp;""</f>
      </c>
      <c r="X2928">
        <f>[1]资金台帐!X2928&amp;""</f>
      </c>
      <c r="AB2928">
        <f>[1]资金台帐!AB2928</f>
        <v>0</v>
      </c>
      <c r="AC2928">
        <f>[1]资金台帐!AC2928</f>
        <v>0</v>
      </c>
      <c r="AD2928">
        <f>[1]资金台帐!AD2928</f>
        <v>0</v>
      </c>
      <c r="AJ2928">
        <f>[1]资金台帐!AJ2928</f>
        <v>0</v>
      </c>
      <c r="AK2928">
        <f>[1]资金台帐!AK2928</f>
        <v>0</v>
      </c>
      <c r="BA2928" s="22">
        <f t="shared" si="0"/>
      </c>
      <c r="BG2928" s="22">
        <f t="shared" si="1"/>
      </c>
      <c r="BH2928" s="22">
        <f t="shared" si="2"/>
        <v>0</v>
      </c>
    </row>
    <row r="2929">
      <c r="B2929">
        <f>[1]资金台帐!B2929&amp;""</f>
      </c>
      <c r="H2929">
        <f>[1]资金台帐!H2929&amp;""</f>
      </c>
      <c r="J2929">
        <f>[1]资金台帐!J2929&amp;""</f>
      </c>
      <c r="N2929">
        <f>[1]资金台帐!N2929</f>
      </c>
      <c r="O2929">
        <f>[1]资金台帐!O2929&amp;""</f>
      </c>
      <c r="P2929">
        <f>[1]资金台帐!P2929&amp;""</f>
      </c>
      <c r="Q2929">
        <f>[1]资金台帐!Q2929&amp;""</f>
      </c>
      <c r="T2929">
        <f>[1]资金台帐!T2929&amp;""</f>
      </c>
      <c r="U2929">
        <f>[1]资金台帐!U2929&amp;""</f>
      </c>
      <c r="W2929">
        <f>[1]资金台帐!W2929&amp;""</f>
      </c>
      <c r="X2929">
        <f>[1]资金台帐!X2929&amp;""</f>
      </c>
      <c r="AB2929">
        <f>[1]资金台帐!AB2929</f>
        <v>0</v>
      </c>
      <c r="AC2929">
        <f>[1]资金台帐!AC2929</f>
        <v>0</v>
      </c>
      <c r="AD2929">
        <f>[1]资金台帐!AD2929</f>
        <v>0</v>
      </c>
      <c r="AJ2929">
        <f>[1]资金台帐!AJ2929</f>
        <v>0</v>
      </c>
      <c r="AK2929">
        <f>[1]资金台帐!AK2929</f>
        <v>0</v>
      </c>
      <c r="BA2929" s="22">
        <f t="shared" si="0"/>
      </c>
      <c r="BG2929" s="22">
        <f t="shared" si="1"/>
      </c>
      <c r="BH2929" s="22">
        <f t="shared" si="2"/>
        <v>0</v>
      </c>
    </row>
    <row r="2930">
      <c r="B2930">
        <f>[1]资金台帐!B2930&amp;""</f>
      </c>
      <c r="H2930">
        <f>[1]资金台帐!H2930&amp;""</f>
      </c>
      <c r="J2930">
        <f>[1]资金台帐!J2930&amp;""</f>
      </c>
      <c r="N2930">
        <f>[1]资金台帐!N2930</f>
      </c>
      <c r="O2930">
        <f>[1]资金台帐!O2930&amp;""</f>
      </c>
      <c r="P2930">
        <f>[1]资金台帐!P2930&amp;""</f>
      </c>
      <c r="Q2930">
        <f>[1]资金台帐!Q2930&amp;""</f>
      </c>
      <c r="T2930">
        <f>[1]资金台帐!T2930&amp;""</f>
      </c>
      <c r="U2930">
        <f>[1]资金台帐!U2930&amp;""</f>
      </c>
      <c r="W2930">
        <f>[1]资金台帐!W2930&amp;""</f>
      </c>
      <c r="X2930">
        <f>[1]资金台帐!X2930&amp;""</f>
      </c>
      <c r="AB2930">
        <f>[1]资金台帐!AB2930</f>
        <v>0</v>
      </c>
      <c r="AC2930">
        <f>[1]资金台帐!AC2930</f>
        <v>0</v>
      </c>
      <c r="AD2930">
        <f>[1]资金台帐!AD2930</f>
        <v>0</v>
      </c>
      <c r="AJ2930">
        <f>[1]资金台帐!AJ2930</f>
        <v>0</v>
      </c>
      <c r="AK2930">
        <f>[1]资金台帐!AK2930</f>
        <v>0</v>
      </c>
      <c r="BA2930" s="22">
        <f t="shared" si="0"/>
      </c>
      <c r="BG2930" s="22">
        <f t="shared" si="1"/>
      </c>
      <c r="BH2930" s="22">
        <f t="shared" si="2"/>
        <v>0</v>
      </c>
    </row>
    <row r="2931">
      <c r="B2931">
        <f>[1]资金台帐!B2931&amp;""</f>
      </c>
      <c r="H2931">
        <f>[1]资金台帐!H2931&amp;""</f>
      </c>
      <c r="J2931">
        <f>[1]资金台帐!J2931&amp;""</f>
      </c>
      <c r="N2931">
        <f>[1]资金台帐!N2931</f>
      </c>
      <c r="O2931">
        <f>[1]资金台帐!O2931&amp;""</f>
      </c>
      <c r="P2931">
        <f>[1]资金台帐!P2931&amp;""</f>
      </c>
      <c r="Q2931">
        <f>[1]资金台帐!Q2931&amp;""</f>
      </c>
      <c r="T2931">
        <f>[1]资金台帐!T2931&amp;""</f>
      </c>
      <c r="U2931">
        <f>[1]资金台帐!U2931&amp;""</f>
      </c>
      <c r="W2931">
        <f>[1]资金台帐!W2931&amp;""</f>
      </c>
      <c r="X2931">
        <f>[1]资金台帐!X2931&amp;""</f>
      </c>
      <c r="AB2931">
        <f>[1]资金台帐!AB2931</f>
        <v>0</v>
      </c>
      <c r="AC2931">
        <f>[1]资金台帐!AC2931</f>
        <v>0</v>
      </c>
      <c r="AD2931">
        <f>[1]资金台帐!AD2931</f>
        <v>0</v>
      </c>
      <c r="AJ2931">
        <f>[1]资金台帐!AJ2931</f>
        <v>0</v>
      </c>
      <c r="AK2931">
        <f>[1]资金台帐!AK2931</f>
        <v>0</v>
      </c>
      <c r="BA2931" s="22">
        <f t="shared" si="0"/>
      </c>
      <c r="BG2931" s="22">
        <f t="shared" si="1"/>
      </c>
      <c r="BH2931" s="22">
        <f t="shared" si="2"/>
        <v>0</v>
      </c>
    </row>
    <row r="2932">
      <c r="B2932">
        <f>[1]资金台帐!B2932&amp;""</f>
      </c>
      <c r="H2932">
        <f>[1]资金台帐!H2932&amp;""</f>
      </c>
      <c r="J2932">
        <f>[1]资金台帐!J2932&amp;""</f>
      </c>
      <c r="N2932">
        <f>[1]资金台帐!N2932</f>
      </c>
      <c r="O2932">
        <f>[1]资金台帐!O2932&amp;""</f>
      </c>
      <c r="P2932">
        <f>[1]资金台帐!P2932&amp;""</f>
      </c>
      <c r="Q2932">
        <f>[1]资金台帐!Q2932&amp;""</f>
      </c>
      <c r="T2932">
        <f>[1]资金台帐!T2932&amp;""</f>
      </c>
      <c r="U2932">
        <f>[1]资金台帐!U2932&amp;""</f>
      </c>
      <c r="W2932">
        <f>[1]资金台帐!W2932&amp;""</f>
      </c>
      <c r="X2932">
        <f>[1]资金台帐!X2932&amp;""</f>
      </c>
      <c r="AB2932">
        <f>[1]资金台帐!AB2932</f>
        <v>0</v>
      </c>
      <c r="AC2932">
        <f>[1]资金台帐!AC2932</f>
        <v>0</v>
      </c>
      <c r="AD2932">
        <f>[1]资金台帐!AD2932</f>
        <v>0</v>
      </c>
      <c r="AJ2932">
        <f>[1]资金台帐!AJ2932</f>
        <v>0</v>
      </c>
      <c r="AK2932">
        <f>[1]资金台帐!AK2932</f>
        <v>0</v>
      </c>
      <c r="BA2932" s="22">
        <f t="shared" si="0"/>
      </c>
      <c r="BG2932" s="22">
        <f t="shared" si="1"/>
      </c>
      <c r="BH2932" s="22">
        <f t="shared" si="2"/>
        <v>0</v>
      </c>
    </row>
    <row r="2933">
      <c r="B2933">
        <f>[1]资金台帐!B2933&amp;""</f>
      </c>
      <c r="H2933">
        <f>[1]资金台帐!H2933&amp;""</f>
      </c>
      <c r="J2933">
        <f>[1]资金台帐!J2933&amp;""</f>
      </c>
      <c r="N2933">
        <f>[1]资金台帐!N2933</f>
      </c>
      <c r="O2933">
        <f>[1]资金台帐!O2933&amp;""</f>
      </c>
      <c r="P2933">
        <f>[1]资金台帐!P2933&amp;""</f>
      </c>
      <c r="Q2933">
        <f>[1]资金台帐!Q2933&amp;""</f>
      </c>
      <c r="T2933">
        <f>[1]资金台帐!T2933&amp;""</f>
      </c>
      <c r="U2933">
        <f>[1]资金台帐!U2933&amp;""</f>
      </c>
      <c r="W2933">
        <f>[1]资金台帐!W2933&amp;""</f>
      </c>
      <c r="X2933">
        <f>[1]资金台帐!X2933&amp;""</f>
      </c>
      <c r="AB2933">
        <f>[1]资金台帐!AB2933</f>
        <v>0</v>
      </c>
      <c r="AC2933">
        <f>[1]资金台帐!AC2933</f>
        <v>0</v>
      </c>
      <c r="AD2933">
        <f>[1]资金台帐!AD2933</f>
        <v>0</v>
      </c>
      <c r="AJ2933">
        <f>[1]资金台帐!AJ2933</f>
        <v>0</v>
      </c>
      <c r="AK2933">
        <f>[1]资金台帐!AK2933</f>
        <v>0</v>
      </c>
      <c r="BA2933" s="22">
        <f t="shared" si="0"/>
      </c>
      <c r="BG2933" s="22">
        <f t="shared" si="1"/>
      </c>
      <c r="BH2933" s="22">
        <f t="shared" si="2"/>
        <v>0</v>
      </c>
    </row>
    <row r="2934">
      <c r="B2934">
        <f>[1]资金台帐!B2934&amp;""</f>
      </c>
      <c r="H2934">
        <f>[1]资金台帐!H2934&amp;""</f>
      </c>
      <c r="J2934">
        <f>[1]资金台帐!J2934&amp;""</f>
      </c>
      <c r="N2934">
        <f>[1]资金台帐!N2934</f>
      </c>
      <c r="O2934">
        <f>[1]资金台帐!O2934&amp;""</f>
      </c>
      <c r="P2934">
        <f>[1]资金台帐!P2934&amp;""</f>
      </c>
      <c r="Q2934">
        <f>[1]资金台帐!Q2934&amp;""</f>
      </c>
      <c r="T2934">
        <f>[1]资金台帐!T2934&amp;""</f>
      </c>
      <c r="U2934">
        <f>[1]资金台帐!U2934&amp;""</f>
      </c>
      <c r="W2934">
        <f>[1]资金台帐!W2934&amp;""</f>
      </c>
      <c r="X2934">
        <f>[1]资金台帐!X2934&amp;""</f>
      </c>
      <c r="AB2934">
        <f>[1]资金台帐!AB2934</f>
        <v>0</v>
      </c>
      <c r="AC2934">
        <f>[1]资金台帐!AC2934</f>
        <v>0</v>
      </c>
      <c r="AD2934">
        <f>[1]资金台帐!AD2934</f>
        <v>0</v>
      </c>
      <c r="AJ2934">
        <f>[1]资金台帐!AJ2934</f>
        <v>0</v>
      </c>
      <c r="AK2934">
        <f>[1]资金台帐!AK2934</f>
        <v>0</v>
      </c>
      <c r="BA2934" s="22">
        <f t="shared" si="0"/>
      </c>
      <c r="BG2934" s="22">
        <f t="shared" si="1"/>
      </c>
      <c r="BH2934" s="22">
        <f t="shared" si="2"/>
        <v>0</v>
      </c>
    </row>
    <row r="2935">
      <c r="B2935">
        <f>[1]资金台帐!B2935&amp;""</f>
      </c>
      <c r="H2935">
        <f>[1]资金台帐!H2935&amp;""</f>
      </c>
      <c r="J2935">
        <f>[1]资金台帐!J2935&amp;""</f>
      </c>
      <c r="N2935">
        <f>[1]资金台帐!N2935</f>
      </c>
      <c r="O2935">
        <f>[1]资金台帐!O2935&amp;""</f>
      </c>
      <c r="P2935">
        <f>[1]资金台帐!P2935&amp;""</f>
      </c>
      <c r="Q2935">
        <f>[1]资金台帐!Q2935&amp;""</f>
      </c>
      <c r="T2935">
        <f>[1]资金台帐!T2935&amp;""</f>
      </c>
      <c r="U2935">
        <f>[1]资金台帐!U2935&amp;""</f>
      </c>
      <c r="W2935">
        <f>[1]资金台帐!W2935&amp;""</f>
      </c>
      <c r="X2935">
        <f>[1]资金台帐!X2935&amp;""</f>
      </c>
      <c r="AB2935">
        <f>[1]资金台帐!AB2935</f>
        <v>0</v>
      </c>
      <c r="AC2935">
        <f>[1]资金台帐!AC2935</f>
        <v>0</v>
      </c>
      <c r="AD2935">
        <f>[1]资金台帐!AD2935</f>
        <v>0</v>
      </c>
      <c r="AJ2935">
        <f>[1]资金台帐!AJ2935</f>
        <v>0</v>
      </c>
      <c r="AK2935">
        <f>[1]资金台帐!AK2935</f>
        <v>0</v>
      </c>
      <c r="BA2935" s="22">
        <f t="shared" si="0"/>
      </c>
      <c r="BG2935" s="22">
        <f t="shared" si="1"/>
      </c>
      <c r="BH2935" s="22">
        <f t="shared" si="2"/>
        <v>0</v>
      </c>
    </row>
    <row r="2936">
      <c r="B2936">
        <f>[1]资金台帐!B2936&amp;""</f>
      </c>
      <c r="H2936">
        <f>[1]资金台帐!H2936&amp;""</f>
      </c>
      <c r="J2936">
        <f>[1]资金台帐!J2936&amp;""</f>
      </c>
      <c r="N2936">
        <f>[1]资金台帐!N2936</f>
      </c>
      <c r="O2936">
        <f>[1]资金台帐!O2936&amp;""</f>
      </c>
      <c r="P2936">
        <f>[1]资金台帐!P2936&amp;""</f>
      </c>
      <c r="Q2936">
        <f>[1]资金台帐!Q2936&amp;""</f>
      </c>
      <c r="T2936">
        <f>[1]资金台帐!T2936&amp;""</f>
      </c>
      <c r="U2936">
        <f>[1]资金台帐!U2936&amp;""</f>
      </c>
      <c r="W2936">
        <f>[1]资金台帐!W2936&amp;""</f>
      </c>
      <c r="X2936">
        <f>[1]资金台帐!X2936&amp;""</f>
      </c>
      <c r="AB2936">
        <f>[1]资金台帐!AB2936</f>
        <v>0</v>
      </c>
      <c r="AC2936">
        <f>[1]资金台帐!AC2936</f>
        <v>0</v>
      </c>
      <c r="AD2936">
        <f>[1]资金台帐!AD2936</f>
        <v>0</v>
      </c>
      <c r="AJ2936">
        <f>[1]资金台帐!AJ2936</f>
        <v>0</v>
      </c>
      <c r="AK2936">
        <f>[1]资金台帐!AK2936</f>
        <v>0</v>
      </c>
      <c r="BA2936" s="22">
        <f t="shared" si="0"/>
      </c>
      <c r="BG2936" s="22">
        <f t="shared" si="1"/>
      </c>
      <c r="BH2936" s="22">
        <f t="shared" si="2"/>
        <v>0</v>
      </c>
    </row>
    <row r="2937">
      <c r="B2937">
        <f>[1]资金台帐!B2937&amp;""</f>
      </c>
      <c r="H2937">
        <f>[1]资金台帐!H2937&amp;""</f>
      </c>
      <c r="J2937">
        <f>[1]资金台帐!J2937&amp;""</f>
      </c>
      <c r="N2937">
        <f>[1]资金台帐!N2937</f>
      </c>
      <c r="O2937">
        <f>[1]资金台帐!O2937&amp;""</f>
      </c>
      <c r="P2937">
        <f>[1]资金台帐!P2937&amp;""</f>
      </c>
      <c r="Q2937">
        <f>[1]资金台帐!Q2937&amp;""</f>
      </c>
      <c r="T2937">
        <f>[1]资金台帐!T2937&amp;""</f>
      </c>
      <c r="U2937">
        <f>[1]资金台帐!U2937&amp;""</f>
      </c>
      <c r="W2937">
        <f>[1]资金台帐!W2937&amp;""</f>
      </c>
      <c r="X2937">
        <f>[1]资金台帐!X2937&amp;""</f>
      </c>
      <c r="AB2937">
        <f>[1]资金台帐!AB2937</f>
        <v>0</v>
      </c>
      <c r="AC2937">
        <f>[1]资金台帐!AC2937</f>
        <v>0</v>
      </c>
      <c r="AD2937">
        <f>[1]资金台帐!AD2937</f>
        <v>0</v>
      </c>
      <c r="AJ2937">
        <f>[1]资金台帐!AJ2937</f>
        <v>0</v>
      </c>
      <c r="AK2937">
        <f>[1]资金台帐!AK2937</f>
        <v>0</v>
      </c>
      <c r="BA2937" s="22">
        <f t="shared" si="0"/>
      </c>
      <c r="BG2937" s="22">
        <f t="shared" si="1"/>
      </c>
      <c r="BH2937" s="22">
        <f t="shared" si="2"/>
        <v>0</v>
      </c>
    </row>
    <row r="2938">
      <c r="B2938">
        <f>[1]资金台帐!B2938&amp;""</f>
      </c>
      <c r="H2938">
        <f>[1]资金台帐!H2938&amp;""</f>
      </c>
      <c r="J2938">
        <f>[1]资金台帐!J2938&amp;""</f>
      </c>
      <c r="N2938">
        <f>[1]资金台帐!N2938</f>
      </c>
      <c r="O2938">
        <f>[1]资金台帐!O2938&amp;""</f>
      </c>
      <c r="P2938">
        <f>[1]资金台帐!P2938&amp;""</f>
      </c>
      <c r="Q2938">
        <f>[1]资金台帐!Q2938&amp;""</f>
      </c>
      <c r="T2938">
        <f>[1]资金台帐!T2938&amp;""</f>
      </c>
      <c r="U2938">
        <f>[1]资金台帐!U2938&amp;""</f>
      </c>
      <c r="W2938">
        <f>[1]资金台帐!W2938&amp;""</f>
      </c>
      <c r="X2938">
        <f>[1]资金台帐!X2938&amp;""</f>
      </c>
      <c r="AB2938">
        <f>[1]资金台帐!AB2938</f>
        <v>0</v>
      </c>
      <c r="AC2938">
        <f>[1]资金台帐!AC2938</f>
        <v>0</v>
      </c>
      <c r="AD2938">
        <f>[1]资金台帐!AD2938</f>
        <v>0</v>
      </c>
      <c r="AJ2938">
        <f>[1]资金台帐!AJ2938</f>
        <v>0</v>
      </c>
      <c r="AK2938">
        <f>[1]资金台帐!AK2938</f>
        <v>0</v>
      </c>
      <c r="BA2938" s="22">
        <f t="shared" si="0"/>
      </c>
      <c r="BG2938" s="22">
        <f t="shared" si="1"/>
      </c>
      <c r="BH2938" s="22">
        <f t="shared" si="2"/>
        <v>0</v>
      </c>
    </row>
    <row r="2939">
      <c r="B2939">
        <f>[1]资金台帐!B2939&amp;""</f>
      </c>
      <c r="H2939">
        <f>[1]资金台帐!H2939&amp;""</f>
      </c>
      <c r="J2939">
        <f>[1]资金台帐!J2939&amp;""</f>
      </c>
      <c r="N2939">
        <f>[1]资金台帐!N2939</f>
      </c>
      <c r="O2939">
        <f>[1]资金台帐!O2939&amp;""</f>
      </c>
      <c r="P2939">
        <f>[1]资金台帐!P2939&amp;""</f>
      </c>
      <c r="Q2939">
        <f>[1]资金台帐!Q2939&amp;""</f>
      </c>
      <c r="T2939">
        <f>[1]资金台帐!T2939&amp;""</f>
      </c>
      <c r="U2939">
        <f>[1]资金台帐!U2939&amp;""</f>
      </c>
      <c r="W2939">
        <f>[1]资金台帐!W2939&amp;""</f>
      </c>
      <c r="X2939">
        <f>[1]资金台帐!X2939&amp;""</f>
      </c>
      <c r="AB2939">
        <f>[1]资金台帐!AB2939</f>
        <v>0</v>
      </c>
      <c r="AC2939">
        <f>[1]资金台帐!AC2939</f>
        <v>0</v>
      </c>
      <c r="AD2939">
        <f>[1]资金台帐!AD2939</f>
        <v>0</v>
      </c>
      <c r="AJ2939">
        <f>[1]资金台帐!AJ2939</f>
        <v>0</v>
      </c>
      <c r="AK2939">
        <f>[1]资金台帐!AK2939</f>
        <v>0</v>
      </c>
      <c r="BA2939" s="22">
        <f t="shared" si="0"/>
      </c>
      <c r="BG2939" s="22">
        <f t="shared" si="1"/>
      </c>
      <c r="BH2939" s="22">
        <f t="shared" si="2"/>
        <v>0</v>
      </c>
    </row>
    <row r="2940">
      <c r="B2940">
        <f>[1]资金台帐!B2940&amp;""</f>
      </c>
      <c r="H2940">
        <f>[1]资金台帐!H2940&amp;""</f>
      </c>
      <c r="J2940">
        <f>[1]资金台帐!J2940&amp;""</f>
      </c>
      <c r="N2940">
        <f>[1]资金台帐!N2940</f>
      </c>
      <c r="O2940">
        <f>[1]资金台帐!O2940&amp;""</f>
      </c>
      <c r="P2940">
        <f>[1]资金台帐!P2940&amp;""</f>
      </c>
      <c r="Q2940">
        <f>[1]资金台帐!Q2940&amp;""</f>
      </c>
      <c r="T2940">
        <f>[1]资金台帐!T2940&amp;""</f>
      </c>
      <c r="U2940">
        <f>[1]资金台帐!U2940&amp;""</f>
      </c>
      <c r="W2940">
        <f>[1]资金台帐!W2940&amp;""</f>
      </c>
      <c r="X2940">
        <f>[1]资金台帐!X2940&amp;""</f>
      </c>
      <c r="AB2940">
        <f>[1]资金台帐!AB2940</f>
        <v>0</v>
      </c>
      <c r="AC2940">
        <f>[1]资金台帐!AC2940</f>
        <v>0</v>
      </c>
      <c r="AD2940">
        <f>[1]资金台帐!AD2940</f>
        <v>0</v>
      </c>
      <c r="AJ2940">
        <f>[1]资金台帐!AJ2940</f>
        <v>0</v>
      </c>
      <c r="AK2940">
        <f>[1]资金台帐!AK2940</f>
        <v>0</v>
      </c>
      <c r="BA2940" s="22">
        <f t="shared" si="0"/>
      </c>
      <c r="BG2940" s="22">
        <f t="shared" si="1"/>
      </c>
      <c r="BH2940" s="22">
        <f t="shared" si="2"/>
        <v>0</v>
      </c>
    </row>
    <row r="2941">
      <c r="B2941">
        <f>[1]资金台帐!B2941&amp;""</f>
      </c>
      <c r="H2941">
        <f>[1]资金台帐!H2941&amp;""</f>
      </c>
      <c r="J2941">
        <f>[1]资金台帐!J2941&amp;""</f>
      </c>
      <c r="N2941">
        <f>[1]资金台帐!N2941</f>
      </c>
      <c r="O2941">
        <f>[1]资金台帐!O2941&amp;""</f>
      </c>
      <c r="P2941">
        <f>[1]资金台帐!P2941&amp;""</f>
      </c>
      <c r="Q2941">
        <f>[1]资金台帐!Q2941&amp;""</f>
      </c>
      <c r="T2941">
        <f>[1]资金台帐!T2941&amp;""</f>
      </c>
      <c r="U2941">
        <f>[1]资金台帐!U2941&amp;""</f>
      </c>
      <c r="W2941">
        <f>[1]资金台帐!W2941&amp;""</f>
      </c>
      <c r="X2941">
        <f>[1]资金台帐!X2941&amp;""</f>
      </c>
      <c r="AB2941">
        <f>[1]资金台帐!AB2941</f>
        <v>0</v>
      </c>
      <c r="AC2941">
        <f>[1]资金台帐!AC2941</f>
        <v>0</v>
      </c>
      <c r="AD2941">
        <f>[1]资金台帐!AD2941</f>
        <v>0</v>
      </c>
      <c r="AJ2941">
        <f>[1]资金台帐!AJ2941</f>
        <v>0</v>
      </c>
      <c r="AK2941">
        <f>[1]资金台帐!AK2941</f>
        <v>0</v>
      </c>
      <c r="BA2941" s="22">
        <f t="shared" si="0"/>
      </c>
      <c r="BG2941" s="22">
        <f t="shared" si="1"/>
      </c>
      <c r="BH2941" s="22">
        <f t="shared" si="2"/>
        <v>0</v>
      </c>
    </row>
    <row r="2942">
      <c r="B2942">
        <f>[1]资金台帐!B2942&amp;""</f>
      </c>
      <c r="H2942">
        <f>[1]资金台帐!H2942&amp;""</f>
      </c>
      <c r="J2942">
        <f>[1]资金台帐!J2942&amp;""</f>
      </c>
      <c r="N2942">
        <f>[1]资金台帐!N2942</f>
      </c>
      <c r="O2942">
        <f>[1]资金台帐!O2942&amp;""</f>
      </c>
      <c r="P2942">
        <f>[1]资金台帐!P2942&amp;""</f>
      </c>
      <c r="Q2942">
        <f>[1]资金台帐!Q2942&amp;""</f>
      </c>
      <c r="T2942">
        <f>[1]资金台帐!T2942&amp;""</f>
      </c>
      <c r="U2942">
        <f>[1]资金台帐!U2942&amp;""</f>
      </c>
      <c r="W2942">
        <f>[1]资金台帐!W2942&amp;""</f>
      </c>
      <c r="X2942">
        <f>[1]资金台帐!X2942&amp;""</f>
      </c>
      <c r="AB2942">
        <f>[1]资金台帐!AB2942</f>
        <v>0</v>
      </c>
      <c r="AC2942">
        <f>[1]资金台帐!AC2942</f>
        <v>0</v>
      </c>
      <c r="AD2942">
        <f>[1]资金台帐!AD2942</f>
        <v>0</v>
      </c>
      <c r="AJ2942">
        <f>[1]资金台帐!AJ2942</f>
        <v>0</v>
      </c>
      <c r="AK2942">
        <f>[1]资金台帐!AK2942</f>
        <v>0</v>
      </c>
      <c r="BA2942" s="22">
        <f t="shared" si="0"/>
      </c>
      <c r="BG2942" s="22">
        <f t="shared" si="1"/>
      </c>
      <c r="BH2942" s="22">
        <f t="shared" si="2"/>
        <v>0</v>
      </c>
    </row>
    <row r="2943">
      <c r="B2943">
        <f>[1]资金台帐!B2943&amp;""</f>
      </c>
      <c r="H2943">
        <f>[1]资金台帐!H2943&amp;""</f>
      </c>
      <c r="J2943">
        <f>[1]资金台帐!J2943&amp;""</f>
      </c>
      <c r="N2943">
        <f>[1]资金台帐!N2943</f>
      </c>
      <c r="O2943">
        <f>[1]资金台帐!O2943&amp;""</f>
      </c>
      <c r="P2943">
        <f>[1]资金台帐!P2943&amp;""</f>
      </c>
      <c r="Q2943">
        <f>[1]资金台帐!Q2943&amp;""</f>
      </c>
      <c r="T2943">
        <f>[1]资金台帐!T2943&amp;""</f>
      </c>
      <c r="U2943">
        <f>[1]资金台帐!U2943&amp;""</f>
      </c>
      <c r="W2943">
        <f>[1]资金台帐!W2943&amp;""</f>
      </c>
      <c r="X2943">
        <f>[1]资金台帐!X2943&amp;""</f>
      </c>
      <c r="AB2943">
        <f>[1]资金台帐!AB2943</f>
        <v>0</v>
      </c>
      <c r="AC2943">
        <f>[1]资金台帐!AC2943</f>
        <v>0</v>
      </c>
      <c r="AD2943">
        <f>[1]资金台帐!AD2943</f>
        <v>0</v>
      </c>
      <c r="AJ2943">
        <f>[1]资金台帐!AJ2943</f>
        <v>0</v>
      </c>
      <c r="AK2943">
        <f>[1]资金台帐!AK2943</f>
        <v>0</v>
      </c>
      <c r="BA2943" s="22">
        <f t="shared" si="0"/>
      </c>
      <c r="BG2943" s="22">
        <f t="shared" si="1"/>
      </c>
      <c r="BH2943" s="22">
        <f t="shared" si="2"/>
        <v>0</v>
      </c>
    </row>
    <row r="2944">
      <c r="B2944">
        <f>[1]资金台帐!B2944&amp;""</f>
      </c>
      <c r="H2944">
        <f>[1]资金台帐!H2944&amp;""</f>
      </c>
      <c r="J2944">
        <f>[1]资金台帐!J2944&amp;""</f>
      </c>
      <c r="N2944">
        <f>[1]资金台帐!N2944</f>
      </c>
      <c r="O2944">
        <f>[1]资金台帐!O2944&amp;""</f>
      </c>
      <c r="P2944">
        <f>[1]资金台帐!P2944&amp;""</f>
      </c>
      <c r="Q2944">
        <f>[1]资金台帐!Q2944&amp;""</f>
      </c>
      <c r="T2944">
        <f>[1]资金台帐!T2944&amp;""</f>
      </c>
      <c r="U2944">
        <f>[1]资金台帐!U2944&amp;""</f>
      </c>
      <c r="W2944">
        <f>[1]资金台帐!W2944&amp;""</f>
      </c>
      <c r="X2944">
        <f>[1]资金台帐!X2944&amp;""</f>
      </c>
      <c r="AB2944">
        <f>[1]资金台帐!AB2944</f>
        <v>0</v>
      </c>
      <c r="AC2944">
        <f>[1]资金台帐!AC2944</f>
        <v>0</v>
      </c>
      <c r="AD2944">
        <f>[1]资金台帐!AD2944</f>
        <v>0</v>
      </c>
      <c r="AJ2944">
        <f>[1]资金台帐!AJ2944</f>
        <v>0</v>
      </c>
      <c r="AK2944">
        <f>[1]资金台帐!AK2944</f>
        <v>0</v>
      </c>
      <c r="BA2944" s="22">
        <f t="shared" si="0"/>
      </c>
      <c r="BG2944" s="22">
        <f t="shared" si="1"/>
      </c>
      <c r="BH2944" s="22">
        <f t="shared" si="2"/>
        <v>0</v>
      </c>
    </row>
    <row r="2945">
      <c r="B2945">
        <f>[1]资金台帐!B2945&amp;""</f>
      </c>
      <c r="H2945">
        <f>[1]资金台帐!H2945&amp;""</f>
      </c>
      <c r="J2945">
        <f>[1]资金台帐!J2945&amp;""</f>
      </c>
      <c r="N2945">
        <f>[1]资金台帐!N2945</f>
      </c>
      <c r="O2945">
        <f>[1]资金台帐!O2945&amp;""</f>
      </c>
      <c r="P2945">
        <f>[1]资金台帐!P2945&amp;""</f>
      </c>
      <c r="Q2945">
        <f>[1]资金台帐!Q2945&amp;""</f>
      </c>
      <c r="T2945">
        <f>[1]资金台帐!T2945&amp;""</f>
      </c>
      <c r="U2945">
        <f>[1]资金台帐!U2945&amp;""</f>
      </c>
      <c r="W2945">
        <f>[1]资金台帐!W2945&amp;""</f>
      </c>
      <c r="X2945">
        <f>[1]资金台帐!X2945&amp;""</f>
      </c>
      <c r="AB2945">
        <f>[1]资金台帐!AB2945</f>
        <v>0</v>
      </c>
      <c r="AC2945">
        <f>[1]资金台帐!AC2945</f>
        <v>0</v>
      </c>
      <c r="AD2945">
        <f>[1]资金台帐!AD2945</f>
        <v>0</v>
      </c>
      <c r="AJ2945">
        <f>[1]资金台帐!AJ2945</f>
        <v>0</v>
      </c>
      <c r="AK2945">
        <f>[1]资金台帐!AK2945</f>
        <v>0</v>
      </c>
      <c r="BA2945" s="22">
        <f t="shared" si="0"/>
      </c>
      <c r="BG2945" s="22">
        <f t="shared" si="1"/>
      </c>
      <c r="BH2945" s="22">
        <f t="shared" si="2"/>
        <v>0</v>
      </c>
    </row>
    <row r="2946">
      <c r="B2946">
        <f>[1]资金台帐!B2946&amp;""</f>
      </c>
      <c r="H2946">
        <f>[1]资金台帐!H2946&amp;""</f>
      </c>
      <c r="J2946">
        <f>[1]资金台帐!J2946&amp;""</f>
      </c>
      <c r="N2946">
        <f>[1]资金台帐!N2946</f>
      </c>
      <c r="O2946">
        <f>[1]资金台帐!O2946&amp;""</f>
      </c>
      <c r="P2946">
        <f>[1]资金台帐!P2946&amp;""</f>
      </c>
      <c r="Q2946">
        <f>[1]资金台帐!Q2946&amp;""</f>
      </c>
      <c r="T2946">
        <f>[1]资金台帐!T2946&amp;""</f>
      </c>
      <c r="U2946">
        <f>[1]资金台帐!U2946&amp;""</f>
      </c>
      <c r="W2946">
        <f>[1]资金台帐!W2946&amp;""</f>
      </c>
      <c r="X2946">
        <f>[1]资金台帐!X2946&amp;""</f>
      </c>
      <c r="AB2946">
        <f>[1]资金台帐!AB2946</f>
        <v>0</v>
      </c>
      <c r="AC2946">
        <f>[1]资金台帐!AC2946</f>
        <v>0</v>
      </c>
      <c r="AD2946">
        <f>[1]资金台帐!AD2946</f>
        <v>0</v>
      </c>
      <c r="AJ2946">
        <f>[1]资金台帐!AJ2946</f>
        <v>0</v>
      </c>
      <c r="AK2946">
        <f>[1]资金台帐!AK2946</f>
        <v>0</v>
      </c>
      <c r="BA2946" s="22">
        <f t="shared" si="0"/>
      </c>
      <c r="BG2946" s="22">
        <f t="shared" si="1"/>
      </c>
      <c r="BH2946" s="22">
        <f t="shared" si="2"/>
        <v>0</v>
      </c>
    </row>
    <row r="2947">
      <c r="B2947">
        <f>[1]资金台帐!B2947&amp;""</f>
      </c>
      <c r="H2947">
        <f>[1]资金台帐!H2947&amp;""</f>
      </c>
      <c r="J2947">
        <f>[1]资金台帐!J2947&amp;""</f>
      </c>
      <c r="N2947">
        <f>[1]资金台帐!N2947</f>
      </c>
      <c r="O2947">
        <f>[1]资金台帐!O2947&amp;""</f>
      </c>
      <c r="P2947">
        <f>[1]资金台帐!P2947&amp;""</f>
      </c>
      <c r="Q2947">
        <f>[1]资金台帐!Q2947&amp;""</f>
      </c>
      <c r="T2947">
        <f>[1]资金台帐!T2947&amp;""</f>
      </c>
      <c r="U2947">
        <f>[1]资金台帐!U2947&amp;""</f>
      </c>
      <c r="W2947">
        <f>[1]资金台帐!W2947&amp;""</f>
      </c>
      <c r="X2947">
        <f>[1]资金台帐!X2947&amp;""</f>
      </c>
      <c r="AB2947">
        <f>[1]资金台帐!AB2947</f>
        <v>0</v>
      </c>
      <c r="AC2947">
        <f>[1]资金台帐!AC2947</f>
        <v>0</v>
      </c>
      <c r="AD2947">
        <f>[1]资金台帐!AD2947</f>
        <v>0</v>
      </c>
      <c r="AJ2947">
        <f>[1]资金台帐!AJ2947</f>
        <v>0</v>
      </c>
      <c r="AK2947">
        <f>[1]资金台帐!AK2947</f>
        <v>0</v>
      </c>
      <c r="BA2947" s="22">
        <f t="shared" si="0"/>
      </c>
      <c r="BG2947" s="22">
        <f t="shared" si="1"/>
      </c>
      <c r="BH2947" s="22">
        <f t="shared" si="2"/>
        <v>0</v>
      </c>
    </row>
    <row r="2948">
      <c r="B2948">
        <f>[1]资金台帐!B2948&amp;""</f>
      </c>
      <c r="H2948">
        <f>[1]资金台帐!H2948&amp;""</f>
      </c>
      <c r="J2948">
        <f>[1]资金台帐!J2948&amp;""</f>
      </c>
      <c r="N2948">
        <f>[1]资金台帐!N2948</f>
      </c>
      <c r="O2948">
        <f>[1]资金台帐!O2948&amp;""</f>
      </c>
      <c r="P2948">
        <f>[1]资金台帐!P2948&amp;""</f>
      </c>
      <c r="Q2948">
        <f>[1]资金台帐!Q2948&amp;""</f>
      </c>
      <c r="T2948">
        <f>[1]资金台帐!T2948&amp;""</f>
      </c>
      <c r="U2948">
        <f>[1]资金台帐!U2948&amp;""</f>
      </c>
      <c r="W2948">
        <f>[1]资金台帐!W2948&amp;""</f>
      </c>
      <c r="X2948">
        <f>[1]资金台帐!X2948&amp;""</f>
      </c>
      <c r="AB2948">
        <f>[1]资金台帐!AB2948</f>
        <v>0</v>
      </c>
      <c r="AC2948">
        <f>[1]资金台帐!AC2948</f>
        <v>0</v>
      </c>
      <c r="AD2948">
        <f>[1]资金台帐!AD2948</f>
        <v>0</v>
      </c>
      <c r="AJ2948">
        <f>[1]资金台帐!AJ2948</f>
        <v>0</v>
      </c>
      <c r="AK2948">
        <f>[1]资金台帐!AK2948</f>
        <v>0</v>
      </c>
      <c r="BA2948" s="22">
        <f t="shared" si="0"/>
      </c>
      <c r="BG2948" s="22">
        <f t="shared" si="1"/>
      </c>
      <c r="BH2948" s="22">
        <f t="shared" si="2"/>
        <v>0</v>
      </c>
    </row>
    <row r="2949">
      <c r="B2949">
        <f>[1]资金台帐!B2949&amp;""</f>
      </c>
      <c r="H2949">
        <f>[1]资金台帐!H2949&amp;""</f>
      </c>
      <c r="J2949">
        <f>[1]资金台帐!J2949&amp;""</f>
      </c>
      <c r="N2949">
        <f>[1]资金台帐!N2949</f>
      </c>
      <c r="O2949">
        <f>[1]资金台帐!O2949&amp;""</f>
      </c>
      <c r="P2949">
        <f>[1]资金台帐!P2949&amp;""</f>
      </c>
      <c r="Q2949">
        <f>[1]资金台帐!Q2949&amp;""</f>
      </c>
      <c r="T2949">
        <f>[1]资金台帐!T2949&amp;""</f>
      </c>
      <c r="U2949">
        <f>[1]资金台帐!U2949&amp;""</f>
      </c>
      <c r="W2949">
        <f>[1]资金台帐!W2949&amp;""</f>
      </c>
      <c r="X2949">
        <f>[1]资金台帐!X2949&amp;""</f>
      </c>
      <c r="AB2949">
        <f>[1]资金台帐!AB2949</f>
        <v>0</v>
      </c>
      <c r="AC2949">
        <f>[1]资金台帐!AC2949</f>
        <v>0</v>
      </c>
      <c r="AD2949">
        <f>[1]资金台帐!AD2949</f>
        <v>0</v>
      </c>
      <c r="AJ2949">
        <f>[1]资金台帐!AJ2949</f>
        <v>0</v>
      </c>
      <c r="AK2949">
        <f>[1]资金台帐!AK2949</f>
        <v>0</v>
      </c>
      <c r="BA2949" s="22">
        <f t="shared" si="0"/>
      </c>
      <c r="BG2949" s="22">
        <f t="shared" si="1"/>
      </c>
      <c r="BH2949" s="22">
        <f t="shared" si="2"/>
        <v>0</v>
      </c>
    </row>
    <row r="2950">
      <c r="B2950">
        <f>[1]资金台帐!B2950&amp;""</f>
      </c>
      <c r="H2950">
        <f>[1]资金台帐!H2950&amp;""</f>
      </c>
      <c r="J2950">
        <f>[1]资金台帐!J2950&amp;""</f>
      </c>
      <c r="N2950">
        <f>[1]资金台帐!N2950</f>
      </c>
      <c r="O2950">
        <f>[1]资金台帐!O2950&amp;""</f>
      </c>
      <c r="P2950">
        <f>[1]资金台帐!P2950&amp;""</f>
      </c>
      <c r="Q2950">
        <f>[1]资金台帐!Q2950&amp;""</f>
      </c>
      <c r="T2950">
        <f>[1]资金台帐!T2950&amp;""</f>
      </c>
      <c r="U2950">
        <f>[1]资金台帐!U2950&amp;""</f>
      </c>
      <c r="W2950">
        <f>[1]资金台帐!W2950&amp;""</f>
      </c>
      <c r="X2950">
        <f>[1]资金台帐!X2950&amp;""</f>
      </c>
      <c r="AB2950">
        <f>[1]资金台帐!AB2950</f>
        <v>0</v>
      </c>
      <c r="AC2950">
        <f>[1]资金台帐!AC2950</f>
        <v>0</v>
      </c>
      <c r="AD2950">
        <f>[1]资金台帐!AD2950</f>
        <v>0</v>
      </c>
      <c r="AJ2950">
        <f>[1]资金台帐!AJ2950</f>
        <v>0</v>
      </c>
      <c r="AK2950">
        <f>[1]资金台帐!AK2950</f>
        <v>0</v>
      </c>
      <c r="BA2950" s="22">
        <f t="shared" si="0"/>
      </c>
      <c r="BG2950" s="22">
        <f t="shared" si="1"/>
      </c>
      <c r="BH2950" s="22">
        <f t="shared" si="2"/>
        <v>0</v>
      </c>
    </row>
    <row r="2951">
      <c r="B2951">
        <f>[1]资金台帐!B2951&amp;""</f>
      </c>
      <c r="H2951">
        <f>[1]资金台帐!H2951&amp;""</f>
      </c>
      <c r="J2951">
        <f>[1]资金台帐!J2951&amp;""</f>
      </c>
      <c r="N2951">
        <f>[1]资金台帐!N2951</f>
      </c>
      <c r="O2951">
        <f>[1]资金台帐!O2951&amp;""</f>
      </c>
      <c r="P2951">
        <f>[1]资金台帐!P2951&amp;""</f>
      </c>
      <c r="Q2951">
        <f>[1]资金台帐!Q2951&amp;""</f>
      </c>
      <c r="T2951">
        <f>[1]资金台帐!T2951&amp;""</f>
      </c>
      <c r="U2951">
        <f>[1]资金台帐!U2951&amp;""</f>
      </c>
      <c r="W2951">
        <f>[1]资金台帐!W2951&amp;""</f>
      </c>
      <c r="X2951">
        <f>[1]资金台帐!X2951&amp;""</f>
      </c>
      <c r="AB2951">
        <f>[1]资金台帐!AB2951</f>
        <v>0</v>
      </c>
      <c r="AC2951">
        <f>[1]资金台帐!AC2951</f>
        <v>0</v>
      </c>
      <c r="AD2951">
        <f>[1]资金台帐!AD2951</f>
        <v>0</v>
      </c>
      <c r="AJ2951">
        <f>[1]资金台帐!AJ2951</f>
        <v>0</v>
      </c>
      <c r="AK2951">
        <f>[1]资金台帐!AK2951</f>
        <v>0</v>
      </c>
      <c r="BA2951" s="22">
        <f t="shared" si="0"/>
      </c>
      <c r="BG2951" s="22">
        <f t="shared" si="1"/>
      </c>
      <c r="BH2951" s="22">
        <f t="shared" si="2"/>
        <v>0</v>
      </c>
    </row>
    <row r="2952">
      <c r="B2952">
        <f>[1]资金台帐!B2952&amp;""</f>
      </c>
      <c r="H2952">
        <f>[1]资金台帐!H2952&amp;""</f>
      </c>
      <c r="J2952">
        <f>[1]资金台帐!J2952&amp;""</f>
      </c>
      <c r="N2952">
        <f>[1]资金台帐!N2952</f>
      </c>
      <c r="O2952">
        <f>[1]资金台帐!O2952&amp;""</f>
      </c>
      <c r="P2952">
        <f>[1]资金台帐!P2952&amp;""</f>
      </c>
      <c r="Q2952">
        <f>[1]资金台帐!Q2952&amp;""</f>
      </c>
      <c r="T2952">
        <f>[1]资金台帐!T2952&amp;""</f>
      </c>
      <c r="U2952">
        <f>[1]资金台帐!U2952&amp;""</f>
      </c>
      <c r="W2952">
        <f>[1]资金台帐!W2952&amp;""</f>
      </c>
      <c r="X2952">
        <f>[1]资金台帐!X2952&amp;""</f>
      </c>
      <c r="AB2952">
        <f>[1]资金台帐!AB2952</f>
        <v>0</v>
      </c>
      <c r="AC2952">
        <f>[1]资金台帐!AC2952</f>
        <v>0</v>
      </c>
      <c r="AD2952">
        <f>[1]资金台帐!AD2952</f>
        <v>0</v>
      </c>
      <c r="AJ2952">
        <f>[1]资金台帐!AJ2952</f>
        <v>0</v>
      </c>
      <c r="AK2952">
        <f>[1]资金台帐!AK2952</f>
        <v>0</v>
      </c>
      <c r="BA2952" s="22">
        <f t="shared" si="0"/>
      </c>
      <c r="BG2952" s="22">
        <f t="shared" si="1"/>
      </c>
      <c r="BH2952" s="22">
        <f t="shared" si="2"/>
        <v>0</v>
      </c>
    </row>
    <row r="2953">
      <c r="B2953">
        <f>[1]资金台帐!B2953&amp;""</f>
      </c>
      <c r="H2953">
        <f>[1]资金台帐!H2953&amp;""</f>
      </c>
      <c r="J2953">
        <f>[1]资金台帐!J2953&amp;""</f>
      </c>
      <c r="N2953">
        <f>[1]资金台帐!N2953</f>
      </c>
      <c r="O2953">
        <f>[1]资金台帐!O2953&amp;""</f>
      </c>
      <c r="P2953">
        <f>[1]资金台帐!P2953&amp;""</f>
      </c>
      <c r="Q2953">
        <f>[1]资金台帐!Q2953&amp;""</f>
      </c>
      <c r="T2953">
        <f>[1]资金台帐!T2953&amp;""</f>
      </c>
      <c r="U2953">
        <f>[1]资金台帐!U2953&amp;""</f>
      </c>
      <c r="W2953">
        <f>[1]资金台帐!W2953&amp;""</f>
      </c>
      <c r="X2953">
        <f>[1]资金台帐!X2953&amp;""</f>
      </c>
      <c r="AB2953">
        <f>[1]资金台帐!AB2953</f>
        <v>0</v>
      </c>
      <c r="AC2953">
        <f>[1]资金台帐!AC2953</f>
        <v>0</v>
      </c>
      <c r="AD2953">
        <f>[1]资金台帐!AD2953</f>
        <v>0</v>
      </c>
      <c r="AJ2953">
        <f>[1]资金台帐!AJ2953</f>
        <v>0</v>
      </c>
      <c r="AK2953">
        <f>[1]资金台帐!AK2953</f>
        <v>0</v>
      </c>
      <c r="BA2953" s="22">
        <f t="shared" si="0"/>
      </c>
      <c r="BG2953" s="22">
        <f t="shared" si="1"/>
      </c>
      <c r="BH2953" s="22">
        <f t="shared" si="2"/>
        <v>0</v>
      </c>
    </row>
    <row r="2954">
      <c r="B2954">
        <f>[1]资金台帐!B2954&amp;""</f>
      </c>
      <c r="H2954">
        <f>[1]资金台帐!H2954&amp;""</f>
      </c>
      <c r="J2954">
        <f>[1]资金台帐!J2954&amp;""</f>
      </c>
      <c r="N2954">
        <f>[1]资金台帐!N2954</f>
      </c>
      <c r="O2954">
        <f>[1]资金台帐!O2954&amp;""</f>
      </c>
      <c r="P2954">
        <f>[1]资金台帐!P2954&amp;""</f>
      </c>
      <c r="Q2954">
        <f>[1]资金台帐!Q2954&amp;""</f>
      </c>
      <c r="T2954">
        <f>[1]资金台帐!T2954&amp;""</f>
      </c>
      <c r="U2954">
        <f>[1]资金台帐!U2954&amp;""</f>
      </c>
      <c r="W2954">
        <f>[1]资金台帐!W2954&amp;""</f>
      </c>
      <c r="X2954">
        <f>[1]资金台帐!X2954&amp;""</f>
      </c>
      <c r="AB2954">
        <f>[1]资金台帐!AB2954</f>
        <v>0</v>
      </c>
      <c r="AC2954">
        <f>[1]资金台帐!AC2954</f>
        <v>0</v>
      </c>
      <c r="AD2954">
        <f>[1]资金台帐!AD2954</f>
        <v>0</v>
      </c>
      <c r="AJ2954">
        <f>[1]资金台帐!AJ2954</f>
        <v>0</v>
      </c>
      <c r="AK2954">
        <f>[1]资金台帐!AK2954</f>
        <v>0</v>
      </c>
      <c r="BA2954" s="22">
        <f t="shared" si="0"/>
      </c>
      <c r="BG2954" s="22">
        <f t="shared" si="1"/>
      </c>
      <c r="BH2954" s="22">
        <f t="shared" si="2"/>
        <v>0</v>
      </c>
    </row>
    <row r="2955">
      <c r="B2955">
        <f>[1]资金台帐!B2955&amp;""</f>
      </c>
      <c r="H2955">
        <f>[1]资金台帐!H2955&amp;""</f>
      </c>
      <c r="J2955">
        <f>[1]资金台帐!J2955&amp;""</f>
      </c>
      <c r="N2955">
        <f>[1]资金台帐!N2955</f>
      </c>
      <c r="O2955">
        <f>[1]资金台帐!O2955&amp;""</f>
      </c>
      <c r="P2955">
        <f>[1]资金台帐!P2955&amp;""</f>
      </c>
      <c r="Q2955">
        <f>[1]资金台帐!Q2955&amp;""</f>
      </c>
      <c r="T2955">
        <f>[1]资金台帐!T2955&amp;""</f>
      </c>
      <c r="U2955">
        <f>[1]资金台帐!U2955&amp;""</f>
      </c>
      <c r="W2955">
        <f>[1]资金台帐!W2955&amp;""</f>
      </c>
      <c r="X2955">
        <f>[1]资金台帐!X2955&amp;""</f>
      </c>
      <c r="AB2955">
        <f>[1]资金台帐!AB2955</f>
        <v>0</v>
      </c>
      <c r="AC2955">
        <f>[1]资金台帐!AC2955</f>
        <v>0</v>
      </c>
      <c r="AD2955">
        <f>[1]资金台帐!AD2955</f>
        <v>0</v>
      </c>
      <c r="AJ2955">
        <f>[1]资金台帐!AJ2955</f>
        <v>0</v>
      </c>
      <c r="AK2955">
        <f>[1]资金台帐!AK2955</f>
        <v>0</v>
      </c>
      <c r="BA2955" s="22">
        <f t="shared" si="0"/>
      </c>
      <c r="BG2955" s="22">
        <f t="shared" si="1"/>
      </c>
      <c r="BH2955" s="22">
        <f t="shared" si="2"/>
        <v>0</v>
      </c>
    </row>
    <row r="2956">
      <c r="B2956">
        <f>[1]资金台帐!B2956&amp;""</f>
      </c>
      <c r="H2956">
        <f>[1]资金台帐!H2956&amp;""</f>
      </c>
      <c r="J2956">
        <f>[1]资金台帐!J2956&amp;""</f>
      </c>
      <c r="N2956">
        <f>[1]资金台帐!N2956</f>
      </c>
      <c r="O2956">
        <f>[1]资金台帐!O2956&amp;""</f>
      </c>
      <c r="P2956">
        <f>[1]资金台帐!P2956&amp;""</f>
      </c>
      <c r="Q2956">
        <f>[1]资金台帐!Q2956&amp;""</f>
      </c>
      <c r="T2956">
        <f>[1]资金台帐!T2956&amp;""</f>
      </c>
      <c r="U2956">
        <f>[1]资金台帐!U2956&amp;""</f>
      </c>
      <c r="W2956">
        <f>[1]资金台帐!W2956&amp;""</f>
      </c>
      <c r="X2956">
        <f>[1]资金台帐!X2956&amp;""</f>
      </c>
      <c r="AB2956">
        <f>[1]资金台帐!AB2956</f>
        <v>0</v>
      </c>
      <c r="AC2956">
        <f>[1]资金台帐!AC2956</f>
        <v>0</v>
      </c>
      <c r="AD2956">
        <f>[1]资金台帐!AD2956</f>
        <v>0</v>
      </c>
      <c r="AJ2956">
        <f>[1]资金台帐!AJ2956</f>
        <v>0</v>
      </c>
      <c r="AK2956">
        <f>[1]资金台帐!AK2956</f>
        <v>0</v>
      </c>
      <c r="BA2956" s="22">
        <f t="shared" si="0"/>
      </c>
      <c r="BG2956" s="22">
        <f t="shared" si="1"/>
      </c>
      <c r="BH2956" s="22">
        <f t="shared" si="2"/>
        <v>0</v>
      </c>
    </row>
    <row r="2957">
      <c r="B2957">
        <f>[1]资金台帐!B2957&amp;""</f>
      </c>
      <c r="H2957">
        <f>[1]资金台帐!H2957&amp;""</f>
      </c>
      <c r="J2957">
        <f>[1]资金台帐!J2957&amp;""</f>
      </c>
      <c r="N2957">
        <f>[1]资金台帐!N2957</f>
      </c>
      <c r="O2957">
        <f>[1]资金台帐!O2957&amp;""</f>
      </c>
      <c r="P2957">
        <f>[1]资金台帐!P2957&amp;""</f>
      </c>
      <c r="Q2957">
        <f>[1]资金台帐!Q2957&amp;""</f>
      </c>
      <c r="T2957">
        <f>[1]资金台帐!T2957&amp;""</f>
      </c>
      <c r="U2957">
        <f>[1]资金台帐!U2957&amp;""</f>
      </c>
      <c r="W2957">
        <f>[1]资金台帐!W2957&amp;""</f>
      </c>
      <c r="X2957">
        <f>[1]资金台帐!X2957&amp;""</f>
      </c>
      <c r="AB2957">
        <f>[1]资金台帐!AB2957</f>
        <v>0</v>
      </c>
      <c r="AC2957">
        <f>[1]资金台帐!AC2957</f>
        <v>0</v>
      </c>
      <c r="AD2957">
        <f>[1]资金台帐!AD2957</f>
        <v>0</v>
      </c>
      <c r="AJ2957">
        <f>[1]资金台帐!AJ2957</f>
        <v>0</v>
      </c>
      <c r="AK2957">
        <f>[1]资金台帐!AK2957</f>
        <v>0</v>
      </c>
      <c r="BA2957" s="22">
        <f t="shared" si="0"/>
      </c>
      <c r="BG2957" s="22">
        <f t="shared" si="1"/>
      </c>
      <c r="BH2957" s="22">
        <f t="shared" si="2"/>
        <v>0</v>
      </c>
    </row>
    <row r="2958">
      <c r="B2958">
        <f>[1]资金台帐!B2958&amp;""</f>
      </c>
      <c r="H2958">
        <f>[1]资金台帐!H2958&amp;""</f>
      </c>
      <c r="J2958">
        <f>[1]资金台帐!J2958&amp;""</f>
      </c>
      <c r="N2958">
        <f>[1]资金台帐!N2958</f>
      </c>
      <c r="O2958">
        <f>[1]资金台帐!O2958&amp;""</f>
      </c>
      <c r="P2958">
        <f>[1]资金台帐!P2958&amp;""</f>
      </c>
      <c r="Q2958">
        <f>[1]资金台帐!Q2958&amp;""</f>
      </c>
      <c r="T2958">
        <f>[1]资金台帐!T2958&amp;""</f>
      </c>
      <c r="U2958">
        <f>[1]资金台帐!U2958&amp;""</f>
      </c>
      <c r="W2958">
        <f>[1]资金台帐!W2958&amp;""</f>
      </c>
      <c r="X2958">
        <f>[1]资金台帐!X2958&amp;""</f>
      </c>
      <c r="AB2958">
        <f>[1]资金台帐!AB2958</f>
        <v>0</v>
      </c>
      <c r="AC2958">
        <f>[1]资金台帐!AC2958</f>
        <v>0</v>
      </c>
      <c r="AD2958">
        <f>[1]资金台帐!AD2958</f>
        <v>0</v>
      </c>
      <c r="AJ2958">
        <f>[1]资金台帐!AJ2958</f>
        <v>0</v>
      </c>
      <c r="AK2958">
        <f>[1]资金台帐!AK2958</f>
        <v>0</v>
      </c>
      <c r="BA2958" s="22">
        <f t="shared" si="0"/>
      </c>
      <c r="BG2958" s="22">
        <f t="shared" si="1"/>
      </c>
      <c r="BH2958" s="22">
        <f t="shared" si="2"/>
        <v>0</v>
      </c>
    </row>
    <row r="2959">
      <c r="B2959">
        <f>[1]资金台帐!B2959&amp;""</f>
      </c>
      <c r="H2959">
        <f>[1]资金台帐!H2959&amp;""</f>
      </c>
      <c r="J2959">
        <f>[1]资金台帐!J2959&amp;""</f>
      </c>
      <c r="N2959">
        <f>[1]资金台帐!N2959</f>
      </c>
      <c r="O2959">
        <f>[1]资金台帐!O2959&amp;""</f>
      </c>
      <c r="P2959">
        <f>[1]资金台帐!P2959&amp;""</f>
      </c>
      <c r="Q2959">
        <f>[1]资金台帐!Q2959&amp;""</f>
      </c>
      <c r="T2959">
        <f>[1]资金台帐!T2959&amp;""</f>
      </c>
      <c r="U2959">
        <f>[1]资金台帐!U2959&amp;""</f>
      </c>
      <c r="W2959">
        <f>[1]资金台帐!W2959&amp;""</f>
      </c>
      <c r="X2959">
        <f>[1]资金台帐!X2959&amp;""</f>
      </c>
      <c r="AB2959">
        <f>[1]资金台帐!AB2959</f>
        <v>0</v>
      </c>
      <c r="AC2959">
        <f>[1]资金台帐!AC2959</f>
        <v>0</v>
      </c>
      <c r="AD2959">
        <f>[1]资金台帐!AD2959</f>
        <v>0</v>
      </c>
      <c r="AJ2959">
        <f>[1]资金台帐!AJ2959</f>
        <v>0</v>
      </c>
      <c r="AK2959">
        <f>[1]资金台帐!AK2959</f>
        <v>0</v>
      </c>
      <c r="BA2959" s="22">
        <f t="shared" si="0"/>
      </c>
      <c r="BG2959" s="22">
        <f t="shared" si="1"/>
      </c>
      <c r="BH2959" s="22">
        <f t="shared" si="2"/>
        <v>0</v>
      </c>
    </row>
    <row r="2960">
      <c r="B2960">
        <f>[1]资金台帐!B2960&amp;""</f>
      </c>
      <c r="H2960">
        <f>[1]资金台帐!H2960&amp;""</f>
      </c>
      <c r="J2960">
        <f>[1]资金台帐!J2960&amp;""</f>
      </c>
      <c r="N2960">
        <f>[1]资金台帐!N2960</f>
      </c>
      <c r="O2960">
        <f>[1]资金台帐!O2960&amp;""</f>
      </c>
      <c r="P2960">
        <f>[1]资金台帐!P2960&amp;""</f>
      </c>
      <c r="Q2960">
        <f>[1]资金台帐!Q2960&amp;""</f>
      </c>
      <c r="T2960">
        <f>[1]资金台帐!T2960&amp;""</f>
      </c>
      <c r="U2960">
        <f>[1]资金台帐!U2960&amp;""</f>
      </c>
      <c r="W2960">
        <f>[1]资金台帐!W2960&amp;""</f>
      </c>
      <c r="X2960">
        <f>[1]资金台帐!X2960&amp;""</f>
      </c>
      <c r="AB2960">
        <f>[1]资金台帐!AB2960</f>
        <v>0</v>
      </c>
      <c r="AC2960">
        <f>[1]资金台帐!AC2960</f>
        <v>0</v>
      </c>
      <c r="AD2960">
        <f>[1]资金台帐!AD2960</f>
        <v>0</v>
      </c>
      <c r="AJ2960">
        <f>[1]资金台帐!AJ2960</f>
        <v>0</v>
      </c>
      <c r="AK2960">
        <f>[1]资金台帐!AK2960</f>
        <v>0</v>
      </c>
      <c r="BA2960" s="22">
        <f t="shared" si="0"/>
      </c>
      <c r="BG2960" s="22">
        <f t="shared" si="1"/>
      </c>
      <c r="BH2960" s="22">
        <f t="shared" si="2"/>
        <v>0</v>
      </c>
    </row>
    <row r="2961">
      <c r="B2961">
        <f>[1]资金台帐!B2961&amp;""</f>
      </c>
      <c r="H2961">
        <f>[1]资金台帐!H2961&amp;""</f>
      </c>
      <c r="J2961">
        <f>[1]资金台帐!J2961&amp;""</f>
      </c>
      <c r="N2961">
        <f>[1]资金台帐!N2961</f>
      </c>
      <c r="O2961">
        <f>[1]资金台帐!O2961&amp;""</f>
      </c>
      <c r="P2961">
        <f>[1]资金台帐!P2961&amp;""</f>
      </c>
      <c r="Q2961">
        <f>[1]资金台帐!Q2961&amp;""</f>
      </c>
      <c r="T2961">
        <f>[1]资金台帐!T2961&amp;""</f>
      </c>
      <c r="U2961">
        <f>[1]资金台帐!U2961&amp;""</f>
      </c>
      <c r="W2961">
        <f>[1]资金台帐!W2961&amp;""</f>
      </c>
      <c r="X2961">
        <f>[1]资金台帐!X2961&amp;""</f>
      </c>
      <c r="AB2961">
        <f>[1]资金台帐!AB2961</f>
        <v>0</v>
      </c>
      <c r="AC2961">
        <f>[1]资金台帐!AC2961</f>
        <v>0</v>
      </c>
      <c r="AD2961">
        <f>[1]资金台帐!AD2961</f>
        <v>0</v>
      </c>
      <c r="AJ2961">
        <f>[1]资金台帐!AJ2961</f>
        <v>0</v>
      </c>
      <c r="AK2961">
        <f>[1]资金台帐!AK2961</f>
        <v>0</v>
      </c>
      <c r="BA2961" s="22">
        <f t="shared" si="0"/>
      </c>
      <c r="BG2961" s="22">
        <f t="shared" si="1"/>
      </c>
      <c r="BH2961" s="22">
        <f t="shared" si="2"/>
        <v>0</v>
      </c>
    </row>
    <row r="2962">
      <c r="B2962">
        <f>[1]资金台帐!B2962&amp;""</f>
      </c>
      <c r="H2962">
        <f>[1]资金台帐!H2962&amp;""</f>
      </c>
      <c r="J2962">
        <f>[1]资金台帐!J2962&amp;""</f>
      </c>
      <c r="N2962">
        <f>[1]资金台帐!N2962</f>
      </c>
      <c r="O2962">
        <f>[1]资金台帐!O2962&amp;""</f>
      </c>
      <c r="P2962">
        <f>[1]资金台帐!P2962&amp;""</f>
      </c>
      <c r="Q2962">
        <f>[1]资金台帐!Q2962&amp;""</f>
      </c>
      <c r="T2962">
        <f>[1]资金台帐!T2962&amp;""</f>
      </c>
      <c r="U2962">
        <f>[1]资金台帐!U2962&amp;""</f>
      </c>
      <c r="W2962">
        <f>[1]资金台帐!W2962&amp;""</f>
      </c>
      <c r="X2962">
        <f>[1]资金台帐!X2962&amp;""</f>
      </c>
      <c r="AB2962">
        <f>[1]资金台帐!AB2962</f>
        <v>0</v>
      </c>
      <c r="AC2962">
        <f>[1]资金台帐!AC2962</f>
        <v>0</v>
      </c>
      <c r="AD2962">
        <f>[1]资金台帐!AD2962</f>
        <v>0</v>
      </c>
      <c r="AJ2962">
        <f>[1]资金台帐!AJ2962</f>
        <v>0</v>
      </c>
      <c r="AK2962">
        <f>[1]资金台帐!AK2962</f>
        <v>0</v>
      </c>
      <c r="BA2962" s="22">
        <f t="shared" si="0"/>
      </c>
      <c r="BG2962" s="22">
        <f t="shared" si="1"/>
      </c>
      <c r="BH2962" s="22">
        <f t="shared" si="2"/>
        <v>0</v>
      </c>
    </row>
    <row r="2963">
      <c r="B2963">
        <f>[1]资金台帐!B2963&amp;""</f>
      </c>
      <c r="H2963">
        <f>[1]资金台帐!H2963&amp;""</f>
      </c>
      <c r="J2963">
        <f>[1]资金台帐!J2963&amp;""</f>
      </c>
      <c r="N2963">
        <f>[1]资金台帐!N2963</f>
      </c>
      <c r="O2963">
        <f>[1]资金台帐!O2963&amp;""</f>
      </c>
      <c r="P2963">
        <f>[1]资金台帐!P2963&amp;""</f>
      </c>
      <c r="Q2963">
        <f>[1]资金台帐!Q2963&amp;""</f>
      </c>
      <c r="T2963">
        <f>[1]资金台帐!T2963&amp;""</f>
      </c>
      <c r="U2963">
        <f>[1]资金台帐!U2963&amp;""</f>
      </c>
      <c r="W2963">
        <f>[1]资金台帐!W2963&amp;""</f>
      </c>
      <c r="X2963">
        <f>[1]资金台帐!X2963&amp;""</f>
      </c>
      <c r="AB2963">
        <f>[1]资金台帐!AB2963</f>
        <v>0</v>
      </c>
      <c r="AC2963">
        <f>[1]资金台帐!AC2963</f>
        <v>0</v>
      </c>
      <c r="AD2963">
        <f>[1]资金台帐!AD2963</f>
        <v>0</v>
      </c>
      <c r="AJ2963">
        <f>[1]资金台帐!AJ2963</f>
        <v>0</v>
      </c>
      <c r="AK2963">
        <f>[1]资金台帐!AK2963</f>
        <v>0</v>
      </c>
      <c r="BA2963" s="22">
        <f t="shared" si="0"/>
      </c>
      <c r="BG2963" s="22">
        <f t="shared" si="1"/>
      </c>
      <c r="BH2963" s="22">
        <f t="shared" si="2"/>
        <v>0</v>
      </c>
    </row>
    <row r="2964">
      <c r="B2964">
        <f>[1]资金台帐!B2964&amp;""</f>
      </c>
      <c r="H2964">
        <f>[1]资金台帐!H2964&amp;""</f>
      </c>
      <c r="J2964">
        <f>[1]资金台帐!J2964&amp;""</f>
      </c>
      <c r="N2964">
        <f>[1]资金台帐!N2964</f>
      </c>
      <c r="O2964">
        <f>[1]资金台帐!O2964&amp;""</f>
      </c>
      <c r="P2964">
        <f>[1]资金台帐!P2964&amp;""</f>
      </c>
      <c r="Q2964">
        <f>[1]资金台帐!Q2964&amp;""</f>
      </c>
      <c r="T2964">
        <f>[1]资金台帐!T2964&amp;""</f>
      </c>
      <c r="U2964">
        <f>[1]资金台帐!U2964&amp;""</f>
      </c>
      <c r="W2964">
        <f>[1]资金台帐!W2964&amp;""</f>
      </c>
      <c r="X2964">
        <f>[1]资金台帐!X2964&amp;""</f>
      </c>
      <c r="AB2964">
        <f>[1]资金台帐!AB2964</f>
        <v>0</v>
      </c>
      <c r="AC2964">
        <f>[1]资金台帐!AC2964</f>
        <v>0</v>
      </c>
      <c r="AD2964">
        <f>[1]资金台帐!AD2964</f>
        <v>0</v>
      </c>
      <c r="AJ2964">
        <f>[1]资金台帐!AJ2964</f>
        <v>0</v>
      </c>
      <c r="AK2964">
        <f>[1]资金台帐!AK2964</f>
        <v>0</v>
      </c>
      <c r="BA2964" s="22">
        <f t="shared" si="0"/>
      </c>
      <c r="BG2964" s="22">
        <f t="shared" si="1"/>
      </c>
      <c r="BH2964" s="22">
        <f t="shared" si="2"/>
        <v>0</v>
      </c>
    </row>
    <row r="2965">
      <c r="B2965">
        <f>[1]资金台帐!B2965&amp;""</f>
      </c>
      <c r="H2965">
        <f>[1]资金台帐!H2965&amp;""</f>
      </c>
      <c r="J2965">
        <f>[1]资金台帐!J2965&amp;""</f>
      </c>
      <c r="N2965">
        <f>[1]资金台帐!N2965</f>
      </c>
      <c r="O2965">
        <f>[1]资金台帐!O2965&amp;""</f>
      </c>
      <c r="P2965">
        <f>[1]资金台帐!P2965&amp;""</f>
      </c>
      <c r="Q2965">
        <f>[1]资金台帐!Q2965&amp;""</f>
      </c>
      <c r="T2965">
        <f>[1]资金台帐!T2965&amp;""</f>
      </c>
      <c r="U2965">
        <f>[1]资金台帐!U2965&amp;""</f>
      </c>
      <c r="W2965">
        <f>[1]资金台帐!W2965&amp;""</f>
      </c>
      <c r="X2965">
        <f>[1]资金台帐!X2965&amp;""</f>
      </c>
      <c r="AB2965">
        <f>[1]资金台帐!AB2965</f>
        <v>0</v>
      </c>
      <c r="AC2965">
        <f>[1]资金台帐!AC2965</f>
        <v>0</v>
      </c>
      <c r="AD2965">
        <f>[1]资金台帐!AD2965</f>
        <v>0</v>
      </c>
      <c r="AJ2965">
        <f>[1]资金台帐!AJ2965</f>
        <v>0</v>
      </c>
      <c r="AK2965">
        <f>[1]资金台帐!AK2965</f>
        <v>0</v>
      </c>
      <c r="BA2965" s="22">
        <f t="shared" si="0"/>
      </c>
      <c r="BG2965" s="22">
        <f t="shared" si="1"/>
      </c>
      <c r="BH2965" s="22">
        <f t="shared" si="2"/>
        <v>0</v>
      </c>
    </row>
    <row r="2966">
      <c r="B2966">
        <f>[1]资金台帐!B2966&amp;""</f>
      </c>
      <c r="H2966">
        <f>[1]资金台帐!H2966&amp;""</f>
      </c>
      <c r="J2966">
        <f>[1]资金台帐!J2966&amp;""</f>
      </c>
      <c r="N2966">
        <f>[1]资金台帐!N2966</f>
      </c>
      <c r="O2966">
        <f>[1]资金台帐!O2966&amp;""</f>
      </c>
      <c r="P2966">
        <f>[1]资金台帐!P2966&amp;""</f>
      </c>
      <c r="Q2966">
        <f>[1]资金台帐!Q2966&amp;""</f>
      </c>
      <c r="T2966">
        <f>[1]资金台帐!T2966&amp;""</f>
      </c>
      <c r="U2966">
        <f>[1]资金台帐!U2966&amp;""</f>
      </c>
      <c r="W2966">
        <f>[1]资金台帐!W2966&amp;""</f>
      </c>
      <c r="X2966">
        <f>[1]资金台帐!X2966&amp;""</f>
      </c>
      <c r="AB2966">
        <f>[1]资金台帐!AB2966</f>
        <v>0</v>
      </c>
      <c r="AC2966">
        <f>[1]资金台帐!AC2966</f>
        <v>0</v>
      </c>
      <c r="AD2966">
        <f>[1]资金台帐!AD2966</f>
        <v>0</v>
      </c>
      <c r="AJ2966">
        <f>[1]资金台帐!AJ2966</f>
        <v>0</v>
      </c>
      <c r="AK2966">
        <f>[1]资金台帐!AK2966</f>
        <v>0</v>
      </c>
      <c r="BA2966" s="22">
        <f t="shared" si="0"/>
      </c>
      <c r="BG2966" s="22">
        <f t="shared" si="1"/>
      </c>
      <c r="BH2966" s="22">
        <f t="shared" si="2"/>
        <v>0</v>
      </c>
    </row>
    <row r="2967">
      <c r="B2967">
        <f>[1]资金台帐!B2967&amp;""</f>
      </c>
      <c r="H2967">
        <f>[1]资金台帐!H2967&amp;""</f>
      </c>
      <c r="J2967">
        <f>[1]资金台帐!J2967&amp;""</f>
      </c>
      <c r="N2967">
        <f>[1]资金台帐!N2967</f>
      </c>
      <c r="O2967">
        <f>[1]资金台帐!O2967&amp;""</f>
      </c>
      <c r="P2967">
        <f>[1]资金台帐!P2967&amp;""</f>
      </c>
      <c r="Q2967">
        <f>[1]资金台帐!Q2967&amp;""</f>
      </c>
      <c r="T2967">
        <f>[1]资金台帐!T2967&amp;""</f>
      </c>
      <c r="U2967">
        <f>[1]资金台帐!U2967&amp;""</f>
      </c>
      <c r="W2967">
        <f>[1]资金台帐!W2967&amp;""</f>
      </c>
      <c r="X2967">
        <f>[1]资金台帐!X2967&amp;""</f>
      </c>
      <c r="AB2967">
        <f>[1]资金台帐!AB2967</f>
        <v>0</v>
      </c>
      <c r="AC2967">
        <f>[1]资金台帐!AC2967</f>
        <v>0</v>
      </c>
      <c r="AD2967">
        <f>[1]资金台帐!AD2967</f>
        <v>0</v>
      </c>
      <c r="AJ2967">
        <f>[1]资金台帐!AJ2967</f>
        <v>0</v>
      </c>
      <c r="AK2967">
        <f>[1]资金台帐!AK2967</f>
        <v>0</v>
      </c>
      <c r="BA2967" s="22">
        <f t="shared" si="0"/>
      </c>
      <c r="BG2967" s="22">
        <f t="shared" si="1"/>
      </c>
      <c r="BH2967" s="22">
        <f t="shared" si="2"/>
        <v>0</v>
      </c>
    </row>
    <row r="2968">
      <c r="B2968">
        <f>[1]资金台帐!B2968&amp;""</f>
      </c>
      <c r="H2968">
        <f>[1]资金台帐!H2968&amp;""</f>
      </c>
      <c r="J2968">
        <f>[1]资金台帐!J2968&amp;""</f>
      </c>
      <c r="N2968">
        <f>[1]资金台帐!N2968</f>
      </c>
      <c r="O2968">
        <f>[1]资金台帐!O2968&amp;""</f>
      </c>
      <c r="P2968">
        <f>[1]资金台帐!P2968&amp;""</f>
      </c>
      <c r="Q2968">
        <f>[1]资金台帐!Q2968&amp;""</f>
      </c>
      <c r="T2968">
        <f>[1]资金台帐!T2968&amp;""</f>
      </c>
      <c r="U2968">
        <f>[1]资金台帐!U2968&amp;""</f>
      </c>
      <c r="W2968">
        <f>[1]资金台帐!W2968&amp;""</f>
      </c>
      <c r="X2968">
        <f>[1]资金台帐!X2968&amp;""</f>
      </c>
      <c r="AB2968">
        <f>[1]资金台帐!AB2968</f>
        <v>0</v>
      </c>
      <c r="AC2968">
        <f>[1]资金台帐!AC2968</f>
        <v>0</v>
      </c>
      <c r="AD2968">
        <f>[1]资金台帐!AD2968</f>
        <v>0</v>
      </c>
      <c r="AJ2968">
        <f>[1]资金台帐!AJ2968</f>
        <v>0</v>
      </c>
      <c r="AK2968">
        <f>[1]资金台帐!AK2968</f>
        <v>0</v>
      </c>
      <c r="BA2968" s="22">
        <f t="shared" si="0"/>
      </c>
      <c r="BG2968" s="22">
        <f t="shared" si="1"/>
      </c>
      <c r="BH2968" s="22">
        <f t="shared" si="2"/>
        <v>0</v>
      </c>
    </row>
    <row r="2969">
      <c r="B2969">
        <f>[1]资金台帐!B2969&amp;""</f>
      </c>
      <c r="H2969">
        <f>[1]资金台帐!H2969&amp;""</f>
      </c>
      <c r="J2969">
        <f>[1]资金台帐!J2969&amp;""</f>
      </c>
      <c r="N2969">
        <f>[1]资金台帐!N2969</f>
      </c>
      <c r="O2969">
        <f>[1]资金台帐!O2969&amp;""</f>
      </c>
      <c r="P2969">
        <f>[1]资金台帐!P2969&amp;""</f>
      </c>
      <c r="Q2969">
        <f>[1]资金台帐!Q2969&amp;""</f>
      </c>
      <c r="T2969">
        <f>[1]资金台帐!T2969&amp;""</f>
      </c>
      <c r="U2969">
        <f>[1]资金台帐!U2969&amp;""</f>
      </c>
      <c r="W2969">
        <f>[1]资金台帐!W2969&amp;""</f>
      </c>
      <c r="X2969">
        <f>[1]资金台帐!X2969&amp;""</f>
      </c>
      <c r="AB2969">
        <f>[1]资金台帐!AB2969</f>
        <v>0</v>
      </c>
      <c r="AC2969">
        <f>[1]资金台帐!AC2969</f>
        <v>0</v>
      </c>
      <c r="AD2969">
        <f>[1]资金台帐!AD2969</f>
        <v>0</v>
      </c>
      <c r="AJ2969">
        <f>[1]资金台帐!AJ2969</f>
        <v>0</v>
      </c>
      <c r="AK2969">
        <f>[1]资金台帐!AK2969</f>
        <v>0</v>
      </c>
      <c r="BA2969" s="22">
        <f t="shared" si="0"/>
      </c>
      <c r="BG2969" s="22">
        <f t="shared" si="1"/>
      </c>
      <c r="BH2969" s="22">
        <f t="shared" si="2"/>
        <v>0</v>
      </c>
    </row>
    <row r="2970">
      <c r="B2970">
        <f>[1]资金台帐!B2970&amp;""</f>
      </c>
      <c r="H2970">
        <f>[1]资金台帐!H2970&amp;""</f>
      </c>
      <c r="J2970">
        <f>[1]资金台帐!J2970&amp;""</f>
      </c>
      <c r="N2970">
        <f>[1]资金台帐!N2970</f>
      </c>
      <c r="O2970">
        <f>[1]资金台帐!O2970&amp;""</f>
      </c>
      <c r="P2970">
        <f>[1]资金台帐!P2970&amp;""</f>
      </c>
      <c r="Q2970">
        <f>[1]资金台帐!Q2970&amp;""</f>
      </c>
      <c r="T2970">
        <f>[1]资金台帐!T2970&amp;""</f>
      </c>
      <c r="U2970">
        <f>[1]资金台帐!U2970&amp;""</f>
      </c>
      <c r="W2970">
        <f>[1]资金台帐!W2970&amp;""</f>
      </c>
      <c r="X2970">
        <f>[1]资金台帐!X2970&amp;""</f>
      </c>
      <c r="AB2970">
        <f>[1]资金台帐!AB2970</f>
        <v>0</v>
      </c>
      <c r="AC2970">
        <f>[1]资金台帐!AC2970</f>
        <v>0</v>
      </c>
      <c r="AD2970">
        <f>[1]资金台帐!AD2970</f>
        <v>0</v>
      </c>
      <c r="AJ2970">
        <f>[1]资金台帐!AJ2970</f>
        <v>0</v>
      </c>
      <c r="AK2970">
        <f>[1]资金台帐!AK2970</f>
        <v>0</v>
      </c>
      <c r="BA2970" s="22">
        <f t="shared" si="0"/>
      </c>
      <c r="BG2970" s="22">
        <f t="shared" si="1"/>
      </c>
      <c r="BH2970" s="22">
        <f t="shared" si="2"/>
        <v>0</v>
      </c>
    </row>
    <row r="2971">
      <c r="B2971">
        <f>[1]资金台帐!B2971&amp;""</f>
      </c>
      <c r="H2971">
        <f>[1]资金台帐!H2971&amp;""</f>
      </c>
      <c r="J2971">
        <f>[1]资金台帐!J2971&amp;""</f>
      </c>
      <c r="N2971">
        <f>[1]资金台帐!N2971</f>
      </c>
      <c r="O2971">
        <f>[1]资金台帐!O2971&amp;""</f>
      </c>
      <c r="P2971">
        <f>[1]资金台帐!P2971&amp;""</f>
      </c>
      <c r="Q2971">
        <f>[1]资金台帐!Q2971&amp;""</f>
      </c>
      <c r="T2971">
        <f>[1]资金台帐!T2971&amp;""</f>
      </c>
      <c r="U2971">
        <f>[1]资金台帐!U2971&amp;""</f>
      </c>
      <c r="W2971">
        <f>[1]资金台帐!W2971&amp;""</f>
      </c>
      <c r="X2971">
        <f>[1]资金台帐!X2971&amp;""</f>
      </c>
      <c r="AB2971">
        <f>[1]资金台帐!AB2971</f>
        <v>0</v>
      </c>
      <c r="AC2971">
        <f>[1]资金台帐!AC2971</f>
        <v>0</v>
      </c>
      <c r="AD2971">
        <f>[1]资金台帐!AD2971</f>
        <v>0</v>
      </c>
      <c r="AJ2971">
        <f>[1]资金台帐!AJ2971</f>
        <v>0</v>
      </c>
      <c r="AK2971">
        <f>[1]资金台帐!AK2971</f>
        <v>0</v>
      </c>
      <c r="BA2971" s="22">
        <f t="shared" si="0"/>
      </c>
      <c r="BG2971" s="22">
        <f t="shared" si="1"/>
      </c>
      <c r="BH2971" s="22">
        <f t="shared" si="2"/>
        <v>0</v>
      </c>
    </row>
    <row r="2972">
      <c r="B2972">
        <f>[1]资金台帐!B2972&amp;""</f>
      </c>
      <c r="H2972">
        <f>[1]资金台帐!H2972&amp;""</f>
      </c>
      <c r="J2972">
        <f>[1]资金台帐!J2972&amp;""</f>
      </c>
      <c r="N2972">
        <f>[1]资金台帐!N2972</f>
      </c>
      <c r="O2972">
        <f>[1]资金台帐!O2972&amp;""</f>
      </c>
      <c r="P2972">
        <f>[1]资金台帐!P2972&amp;""</f>
      </c>
      <c r="Q2972">
        <f>[1]资金台帐!Q2972&amp;""</f>
      </c>
      <c r="T2972">
        <f>[1]资金台帐!T2972&amp;""</f>
      </c>
      <c r="U2972">
        <f>[1]资金台帐!U2972&amp;""</f>
      </c>
      <c r="W2972">
        <f>[1]资金台帐!W2972&amp;""</f>
      </c>
      <c r="X2972">
        <f>[1]资金台帐!X2972&amp;""</f>
      </c>
      <c r="AB2972">
        <f>[1]资金台帐!AB2972</f>
        <v>0</v>
      </c>
      <c r="AC2972">
        <f>[1]资金台帐!AC2972</f>
        <v>0</v>
      </c>
      <c r="AD2972">
        <f>[1]资金台帐!AD2972</f>
        <v>0</v>
      </c>
      <c r="AJ2972">
        <f>[1]资金台帐!AJ2972</f>
        <v>0</v>
      </c>
      <c r="AK2972">
        <f>[1]资金台帐!AK2972</f>
        <v>0</v>
      </c>
      <c r="BA2972" s="22">
        <f t="shared" si="0"/>
      </c>
      <c r="BG2972" s="22">
        <f t="shared" si="1"/>
      </c>
      <c r="BH2972" s="22">
        <f t="shared" si="2"/>
        <v>0</v>
      </c>
    </row>
    <row r="2973">
      <c r="B2973">
        <f>[1]资金台帐!B2973&amp;""</f>
      </c>
      <c r="H2973">
        <f>[1]资金台帐!H2973&amp;""</f>
      </c>
      <c r="J2973">
        <f>[1]资金台帐!J2973&amp;""</f>
      </c>
      <c r="N2973">
        <f>[1]资金台帐!N2973</f>
      </c>
      <c r="O2973">
        <f>[1]资金台帐!O2973&amp;""</f>
      </c>
      <c r="P2973">
        <f>[1]资金台帐!P2973&amp;""</f>
      </c>
      <c r="Q2973">
        <f>[1]资金台帐!Q2973&amp;""</f>
      </c>
      <c r="T2973">
        <f>[1]资金台帐!T2973&amp;""</f>
      </c>
      <c r="U2973">
        <f>[1]资金台帐!U2973&amp;""</f>
      </c>
      <c r="W2973">
        <f>[1]资金台帐!W2973&amp;""</f>
      </c>
      <c r="X2973">
        <f>[1]资金台帐!X2973&amp;""</f>
      </c>
      <c r="AB2973">
        <f>[1]资金台帐!AB2973</f>
        <v>0</v>
      </c>
      <c r="AC2973">
        <f>[1]资金台帐!AC2973</f>
        <v>0</v>
      </c>
      <c r="AD2973">
        <f>[1]资金台帐!AD2973</f>
        <v>0</v>
      </c>
      <c r="AJ2973">
        <f>[1]资金台帐!AJ2973</f>
        <v>0</v>
      </c>
      <c r="AK2973">
        <f>[1]资金台帐!AK2973</f>
        <v>0</v>
      </c>
      <c r="BA2973" s="22">
        <f t="shared" si="0"/>
      </c>
      <c r="BG2973" s="22">
        <f t="shared" si="1"/>
      </c>
      <c r="BH2973" s="22">
        <f t="shared" si="2"/>
        <v>0</v>
      </c>
    </row>
    <row r="2974">
      <c r="B2974">
        <f>[1]资金台帐!B2974&amp;""</f>
      </c>
      <c r="H2974">
        <f>[1]资金台帐!H2974&amp;""</f>
      </c>
      <c r="J2974">
        <f>[1]资金台帐!J2974&amp;""</f>
      </c>
      <c r="N2974">
        <f>[1]资金台帐!N2974</f>
      </c>
      <c r="O2974">
        <f>[1]资金台帐!O2974&amp;""</f>
      </c>
      <c r="P2974">
        <f>[1]资金台帐!P2974&amp;""</f>
      </c>
      <c r="Q2974">
        <f>[1]资金台帐!Q2974&amp;""</f>
      </c>
      <c r="T2974">
        <f>[1]资金台帐!T2974&amp;""</f>
      </c>
      <c r="U2974">
        <f>[1]资金台帐!U2974&amp;""</f>
      </c>
      <c r="W2974">
        <f>[1]资金台帐!W2974&amp;""</f>
      </c>
      <c r="X2974">
        <f>[1]资金台帐!X2974&amp;""</f>
      </c>
      <c r="AB2974">
        <f>[1]资金台帐!AB2974</f>
        <v>0</v>
      </c>
      <c r="AC2974">
        <f>[1]资金台帐!AC2974</f>
        <v>0</v>
      </c>
      <c r="AD2974">
        <f>[1]资金台帐!AD2974</f>
        <v>0</v>
      </c>
      <c r="AJ2974">
        <f>[1]资金台帐!AJ2974</f>
        <v>0</v>
      </c>
      <c r="AK2974">
        <f>[1]资金台帐!AK2974</f>
        <v>0</v>
      </c>
      <c r="BA2974" s="22">
        <f t="shared" si="0"/>
      </c>
      <c r="BG2974" s="22">
        <f t="shared" si="1"/>
      </c>
      <c r="BH2974" s="22">
        <f t="shared" si="2"/>
        <v>0</v>
      </c>
    </row>
    <row r="2975">
      <c r="B2975">
        <f>[1]资金台帐!B2975&amp;""</f>
      </c>
      <c r="H2975">
        <f>[1]资金台帐!H2975&amp;""</f>
      </c>
      <c r="J2975">
        <f>[1]资金台帐!J2975&amp;""</f>
      </c>
      <c r="N2975">
        <f>[1]资金台帐!N2975</f>
      </c>
      <c r="O2975">
        <f>[1]资金台帐!O2975&amp;""</f>
      </c>
      <c r="P2975">
        <f>[1]资金台帐!P2975&amp;""</f>
      </c>
      <c r="Q2975">
        <f>[1]资金台帐!Q2975&amp;""</f>
      </c>
      <c r="T2975">
        <f>[1]资金台帐!T2975&amp;""</f>
      </c>
      <c r="U2975">
        <f>[1]资金台帐!U2975&amp;""</f>
      </c>
      <c r="W2975">
        <f>[1]资金台帐!W2975&amp;""</f>
      </c>
      <c r="X2975">
        <f>[1]资金台帐!X2975&amp;""</f>
      </c>
      <c r="AB2975">
        <f>[1]资金台帐!AB2975</f>
        <v>0</v>
      </c>
      <c r="AC2975">
        <f>[1]资金台帐!AC2975</f>
        <v>0</v>
      </c>
      <c r="AD2975">
        <f>[1]资金台帐!AD2975</f>
        <v>0</v>
      </c>
      <c r="AJ2975">
        <f>[1]资金台帐!AJ2975</f>
        <v>0</v>
      </c>
      <c r="AK2975">
        <f>[1]资金台帐!AK2975</f>
        <v>0</v>
      </c>
      <c r="BA2975" s="22">
        <f t="shared" si="0"/>
      </c>
      <c r="BG2975" s="22">
        <f t="shared" si="1"/>
      </c>
      <c r="BH2975" s="22">
        <f t="shared" si="2"/>
        <v>0</v>
      </c>
    </row>
    <row r="2976">
      <c r="B2976">
        <f>[1]资金台帐!B2976&amp;""</f>
      </c>
      <c r="H2976">
        <f>[1]资金台帐!H2976&amp;""</f>
      </c>
      <c r="J2976">
        <f>[1]资金台帐!J2976&amp;""</f>
      </c>
      <c r="N2976">
        <f>[1]资金台帐!N2976</f>
      </c>
      <c r="O2976">
        <f>[1]资金台帐!O2976&amp;""</f>
      </c>
      <c r="P2976">
        <f>[1]资金台帐!P2976&amp;""</f>
      </c>
      <c r="Q2976">
        <f>[1]资金台帐!Q2976&amp;""</f>
      </c>
      <c r="T2976">
        <f>[1]资金台帐!T2976&amp;""</f>
      </c>
      <c r="U2976">
        <f>[1]资金台帐!U2976&amp;""</f>
      </c>
      <c r="W2976">
        <f>[1]资金台帐!W2976&amp;""</f>
      </c>
      <c r="X2976">
        <f>[1]资金台帐!X2976&amp;""</f>
      </c>
      <c r="AB2976">
        <f>[1]资金台帐!AB2976</f>
        <v>0</v>
      </c>
      <c r="AC2976">
        <f>[1]资金台帐!AC2976</f>
        <v>0</v>
      </c>
      <c r="AD2976">
        <f>[1]资金台帐!AD2976</f>
        <v>0</v>
      </c>
      <c r="AJ2976">
        <f>[1]资金台帐!AJ2976</f>
        <v>0</v>
      </c>
      <c r="AK2976">
        <f>[1]资金台帐!AK2976</f>
        <v>0</v>
      </c>
      <c r="BA2976" s="22">
        <f t="shared" si="0"/>
      </c>
      <c r="BG2976" s="22">
        <f t="shared" si="1"/>
      </c>
      <c r="BH2976" s="22">
        <f t="shared" si="2"/>
        <v>0</v>
      </c>
    </row>
    <row r="2977">
      <c r="B2977">
        <f>[1]资金台帐!B2977&amp;""</f>
      </c>
      <c r="H2977">
        <f>[1]资金台帐!H2977&amp;""</f>
      </c>
      <c r="J2977">
        <f>[1]资金台帐!J2977&amp;""</f>
      </c>
      <c r="N2977">
        <f>[1]资金台帐!N2977</f>
      </c>
      <c r="O2977">
        <f>[1]资金台帐!O2977&amp;""</f>
      </c>
      <c r="P2977">
        <f>[1]资金台帐!P2977&amp;""</f>
      </c>
      <c r="Q2977">
        <f>[1]资金台帐!Q2977&amp;""</f>
      </c>
      <c r="T2977">
        <f>[1]资金台帐!T2977&amp;""</f>
      </c>
      <c r="U2977">
        <f>[1]资金台帐!U2977&amp;""</f>
      </c>
      <c r="W2977">
        <f>[1]资金台帐!W2977&amp;""</f>
      </c>
      <c r="X2977">
        <f>[1]资金台帐!X2977&amp;""</f>
      </c>
      <c r="AB2977">
        <f>[1]资金台帐!AB2977</f>
        <v>0</v>
      </c>
      <c r="AC2977">
        <f>[1]资金台帐!AC2977</f>
        <v>0</v>
      </c>
      <c r="AD2977">
        <f>[1]资金台帐!AD2977</f>
        <v>0</v>
      </c>
      <c r="AJ2977">
        <f>[1]资金台帐!AJ2977</f>
        <v>0</v>
      </c>
      <c r="AK2977">
        <f>[1]资金台帐!AK2977</f>
        <v>0</v>
      </c>
      <c r="BA2977" s="22">
        <f t="shared" si="0"/>
      </c>
      <c r="BG2977" s="22">
        <f t="shared" si="1"/>
      </c>
      <c r="BH2977" s="22">
        <f t="shared" si="2"/>
        <v>0</v>
      </c>
    </row>
    <row r="2978">
      <c r="B2978">
        <f>[1]资金台帐!B2978&amp;""</f>
      </c>
      <c r="H2978">
        <f>[1]资金台帐!H2978&amp;""</f>
      </c>
      <c r="J2978">
        <f>[1]资金台帐!J2978&amp;""</f>
      </c>
      <c r="N2978">
        <f>[1]资金台帐!N2978</f>
      </c>
      <c r="O2978">
        <f>[1]资金台帐!O2978&amp;""</f>
      </c>
      <c r="P2978">
        <f>[1]资金台帐!P2978&amp;""</f>
      </c>
      <c r="Q2978">
        <f>[1]资金台帐!Q2978&amp;""</f>
      </c>
      <c r="T2978">
        <f>[1]资金台帐!T2978&amp;""</f>
      </c>
      <c r="U2978">
        <f>[1]资金台帐!U2978&amp;""</f>
      </c>
      <c r="W2978">
        <f>[1]资金台帐!W2978&amp;""</f>
      </c>
      <c r="X2978">
        <f>[1]资金台帐!X2978&amp;""</f>
      </c>
      <c r="AB2978">
        <f>[1]资金台帐!AB2978</f>
        <v>0</v>
      </c>
      <c r="AC2978">
        <f>[1]资金台帐!AC2978</f>
        <v>0</v>
      </c>
      <c r="AD2978">
        <f>[1]资金台帐!AD2978</f>
        <v>0</v>
      </c>
      <c r="AJ2978">
        <f>[1]资金台帐!AJ2978</f>
        <v>0</v>
      </c>
      <c r="AK2978">
        <f>[1]资金台帐!AK2978</f>
        <v>0</v>
      </c>
      <c r="BA2978" s="22">
        <f t="shared" si="0"/>
      </c>
      <c r="BG2978" s="22">
        <f t="shared" si="1"/>
      </c>
      <c r="BH2978" s="22">
        <f t="shared" si="2"/>
        <v>0</v>
      </c>
    </row>
    <row r="2979">
      <c r="B2979">
        <f>[1]资金台帐!B2979&amp;""</f>
      </c>
      <c r="H2979">
        <f>[1]资金台帐!H2979&amp;""</f>
      </c>
      <c r="J2979">
        <f>[1]资金台帐!J2979&amp;""</f>
      </c>
      <c r="N2979">
        <f>[1]资金台帐!N2979</f>
      </c>
      <c r="O2979">
        <f>[1]资金台帐!O2979&amp;""</f>
      </c>
      <c r="P2979">
        <f>[1]资金台帐!P2979&amp;""</f>
      </c>
      <c r="Q2979">
        <f>[1]资金台帐!Q2979&amp;""</f>
      </c>
      <c r="T2979">
        <f>[1]资金台帐!T2979&amp;""</f>
      </c>
      <c r="U2979">
        <f>[1]资金台帐!U2979&amp;""</f>
      </c>
      <c r="W2979">
        <f>[1]资金台帐!W2979&amp;""</f>
      </c>
      <c r="X2979">
        <f>[1]资金台帐!X2979&amp;""</f>
      </c>
      <c r="AB2979">
        <f>[1]资金台帐!AB2979</f>
        <v>0</v>
      </c>
      <c r="AC2979">
        <f>[1]资金台帐!AC2979</f>
        <v>0</v>
      </c>
      <c r="AD2979">
        <f>[1]资金台帐!AD2979</f>
        <v>0</v>
      </c>
      <c r="AJ2979">
        <f>[1]资金台帐!AJ2979</f>
        <v>0</v>
      </c>
      <c r="AK2979">
        <f>[1]资金台帐!AK2979</f>
        <v>0</v>
      </c>
      <c r="BA2979" s="22">
        <f t="shared" si="0"/>
      </c>
      <c r="BG2979" s="22">
        <f t="shared" si="1"/>
      </c>
      <c r="BH2979" s="22">
        <f t="shared" si="2"/>
        <v>0</v>
      </c>
    </row>
    <row r="2980">
      <c r="B2980">
        <f>[1]资金台帐!B2980&amp;""</f>
      </c>
      <c r="H2980">
        <f>[1]资金台帐!H2980&amp;""</f>
      </c>
      <c r="J2980">
        <f>[1]资金台帐!J2980&amp;""</f>
      </c>
      <c r="N2980">
        <f>[1]资金台帐!N2980</f>
      </c>
      <c r="O2980">
        <f>[1]资金台帐!O2980&amp;""</f>
      </c>
      <c r="P2980">
        <f>[1]资金台帐!P2980&amp;""</f>
      </c>
      <c r="Q2980">
        <f>[1]资金台帐!Q2980&amp;""</f>
      </c>
      <c r="T2980">
        <f>[1]资金台帐!T2980&amp;""</f>
      </c>
      <c r="U2980">
        <f>[1]资金台帐!U2980&amp;""</f>
      </c>
      <c r="W2980">
        <f>[1]资金台帐!W2980&amp;""</f>
      </c>
      <c r="X2980">
        <f>[1]资金台帐!X2980&amp;""</f>
      </c>
      <c r="AB2980">
        <f>[1]资金台帐!AB2980</f>
        <v>0</v>
      </c>
      <c r="AC2980">
        <f>[1]资金台帐!AC2980</f>
        <v>0</v>
      </c>
      <c r="AD2980">
        <f>[1]资金台帐!AD2980</f>
        <v>0</v>
      </c>
      <c r="AJ2980">
        <f>[1]资金台帐!AJ2980</f>
        <v>0</v>
      </c>
      <c r="AK2980">
        <f>[1]资金台帐!AK2980</f>
        <v>0</v>
      </c>
      <c r="BA2980" s="22">
        <f t="shared" si="0"/>
      </c>
      <c r="BG2980" s="22">
        <f t="shared" si="1"/>
      </c>
      <c r="BH2980" s="22">
        <f t="shared" si="2"/>
        <v>0</v>
      </c>
    </row>
    <row r="2981">
      <c r="B2981">
        <f>[1]资金台帐!B2981&amp;""</f>
      </c>
      <c r="H2981">
        <f>[1]资金台帐!H2981&amp;""</f>
      </c>
      <c r="J2981">
        <f>[1]资金台帐!J2981&amp;""</f>
      </c>
      <c r="N2981">
        <f>[1]资金台帐!N2981</f>
      </c>
      <c r="O2981">
        <f>[1]资金台帐!O2981&amp;""</f>
      </c>
      <c r="P2981">
        <f>[1]资金台帐!P2981&amp;""</f>
      </c>
      <c r="Q2981">
        <f>[1]资金台帐!Q2981&amp;""</f>
      </c>
      <c r="T2981">
        <f>[1]资金台帐!T2981&amp;""</f>
      </c>
      <c r="U2981">
        <f>[1]资金台帐!U2981&amp;""</f>
      </c>
      <c r="W2981">
        <f>[1]资金台帐!W2981&amp;""</f>
      </c>
      <c r="X2981">
        <f>[1]资金台帐!X2981&amp;""</f>
      </c>
      <c r="AB2981">
        <f>[1]资金台帐!AB2981</f>
        <v>0</v>
      </c>
      <c r="AC2981">
        <f>[1]资金台帐!AC2981</f>
        <v>0</v>
      </c>
      <c r="AD2981">
        <f>[1]资金台帐!AD2981</f>
        <v>0</v>
      </c>
      <c r="AJ2981">
        <f>[1]资金台帐!AJ2981</f>
        <v>0</v>
      </c>
      <c r="AK2981">
        <f>[1]资金台帐!AK2981</f>
        <v>0</v>
      </c>
      <c r="BA2981" s="22">
        <f t="shared" si="0"/>
      </c>
      <c r="BG2981" s="22">
        <f t="shared" si="1"/>
      </c>
      <c r="BH2981" s="22">
        <f t="shared" si="2"/>
        <v>0</v>
      </c>
    </row>
    <row r="2982">
      <c r="B2982">
        <f>[1]资金台帐!B2982&amp;""</f>
      </c>
      <c r="H2982">
        <f>[1]资金台帐!H2982&amp;""</f>
      </c>
      <c r="J2982">
        <f>[1]资金台帐!J2982&amp;""</f>
      </c>
      <c r="N2982">
        <f>[1]资金台帐!N2982</f>
      </c>
      <c r="O2982">
        <f>[1]资金台帐!O2982&amp;""</f>
      </c>
      <c r="P2982">
        <f>[1]资金台帐!P2982&amp;""</f>
      </c>
      <c r="Q2982">
        <f>[1]资金台帐!Q2982&amp;""</f>
      </c>
      <c r="T2982">
        <f>[1]资金台帐!T2982&amp;""</f>
      </c>
      <c r="U2982">
        <f>[1]资金台帐!U2982&amp;""</f>
      </c>
      <c r="W2982">
        <f>[1]资金台帐!W2982&amp;""</f>
      </c>
      <c r="X2982">
        <f>[1]资金台帐!X2982&amp;""</f>
      </c>
      <c r="AB2982">
        <f>[1]资金台帐!AB2982</f>
        <v>0</v>
      </c>
      <c r="AC2982">
        <f>[1]资金台帐!AC2982</f>
        <v>0</v>
      </c>
      <c r="AD2982">
        <f>[1]资金台帐!AD2982</f>
        <v>0</v>
      </c>
      <c r="AJ2982">
        <f>[1]资金台帐!AJ2982</f>
        <v>0</v>
      </c>
      <c r="AK2982">
        <f>[1]资金台帐!AK2982</f>
        <v>0</v>
      </c>
      <c r="BA2982" s="22">
        <f t="shared" si="0"/>
      </c>
      <c r="BG2982" s="22">
        <f t="shared" si="1"/>
      </c>
      <c r="BH2982" s="22">
        <f t="shared" si="2"/>
        <v>0</v>
      </c>
    </row>
    <row r="2983">
      <c r="B2983">
        <f>[1]资金台帐!B2983&amp;""</f>
      </c>
      <c r="H2983">
        <f>[1]资金台帐!H2983&amp;""</f>
      </c>
      <c r="J2983">
        <f>[1]资金台帐!J2983&amp;""</f>
      </c>
      <c r="N2983">
        <f>[1]资金台帐!N2983</f>
      </c>
      <c r="O2983">
        <f>[1]资金台帐!O2983&amp;""</f>
      </c>
      <c r="P2983">
        <f>[1]资金台帐!P2983&amp;""</f>
      </c>
      <c r="Q2983">
        <f>[1]资金台帐!Q2983&amp;""</f>
      </c>
      <c r="T2983">
        <f>[1]资金台帐!T2983&amp;""</f>
      </c>
      <c r="U2983">
        <f>[1]资金台帐!U2983&amp;""</f>
      </c>
      <c r="W2983">
        <f>[1]资金台帐!W2983&amp;""</f>
      </c>
      <c r="X2983">
        <f>[1]资金台帐!X2983&amp;""</f>
      </c>
      <c r="AB2983">
        <f>[1]资金台帐!AB2983</f>
        <v>0</v>
      </c>
      <c r="AC2983">
        <f>[1]资金台帐!AC2983</f>
        <v>0</v>
      </c>
      <c r="AD2983">
        <f>[1]资金台帐!AD2983</f>
        <v>0</v>
      </c>
      <c r="AJ2983">
        <f>[1]资金台帐!AJ2983</f>
        <v>0</v>
      </c>
      <c r="AK2983">
        <f>[1]资金台帐!AK2983</f>
        <v>0</v>
      </c>
      <c r="BA2983" s="22">
        <f t="shared" si="0"/>
      </c>
      <c r="BG2983" s="22">
        <f t="shared" si="1"/>
      </c>
      <c r="BH2983" s="22">
        <f t="shared" si="2"/>
        <v>0</v>
      </c>
    </row>
    <row r="2984">
      <c r="B2984">
        <f>[1]资金台帐!B2984&amp;""</f>
      </c>
      <c r="H2984">
        <f>[1]资金台帐!H2984&amp;""</f>
      </c>
      <c r="J2984">
        <f>[1]资金台帐!J2984&amp;""</f>
      </c>
      <c r="N2984">
        <f>[1]资金台帐!N2984</f>
      </c>
      <c r="O2984">
        <f>[1]资金台帐!O2984&amp;""</f>
      </c>
      <c r="P2984">
        <f>[1]资金台帐!P2984&amp;""</f>
      </c>
      <c r="Q2984">
        <f>[1]资金台帐!Q2984&amp;""</f>
      </c>
      <c r="T2984">
        <f>[1]资金台帐!T2984&amp;""</f>
      </c>
      <c r="U2984">
        <f>[1]资金台帐!U2984&amp;""</f>
      </c>
      <c r="W2984">
        <f>[1]资金台帐!W2984&amp;""</f>
      </c>
      <c r="X2984">
        <f>[1]资金台帐!X2984&amp;""</f>
      </c>
      <c r="AB2984">
        <f>[1]资金台帐!AB2984</f>
        <v>0</v>
      </c>
      <c r="AC2984">
        <f>[1]资金台帐!AC2984</f>
        <v>0</v>
      </c>
      <c r="AD2984">
        <f>[1]资金台帐!AD2984</f>
        <v>0</v>
      </c>
      <c r="AJ2984">
        <f>[1]资金台帐!AJ2984</f>
        <v>0</v>
      </c>
      <c r="AK2984">
        <f>[1]资金台帐!AK2984</f>
        <v>0</v>
      </c>
      <c r="BA2984" s="22">
        <f t="shared" si="0"/>
      </c>
      <c r="BG2984" s="22">
        <f t="shared" si="1"/>
      </c>
      <c r="BH2984" s="22">
        <f t="shared" si="2"/>
        <v>0</v>
      </c>
    </row>
    <row r="2985">
      <c r="B2985">
        <f>[1]资金台帐!B2985&amp;""</f>
      </c>
      <c r="H2985">
        <f>[1]资金台帐!H2985&amp;""</f>
      </c>
      <c r="J2985">
        <f>[1]资金台帐!J2985&amp;""</f>
      </c>
      <c r="N2985">
        <f>[1]资金台帐!N2985</f>
      </c>
      <c r="O2985">
        <f>[1]资金台帐!O2985&amp;""</f>
      </c>
      <c r="P2985">
        <f>[1]资金台帐!P2985&amp;""</f>
      </c>
      <c r="Q2985">
        <f>[1]资金台帐!Q2985&amp;""</f>
      </c>
      <c r="T2985">
        <f>[1]资金台帐!T2985&amp;""</f>
      </c>
      <c r="U2985">
        <f>[1]资金台帐!U2985&amp;""</f>
      </c>
      <c r="W2985">
        <f>[1]资金台帐!W2985&amp;""</f>
      </c>
      <c r="X2985">
        <f>[1]资金台帐!X2985&amp;""</f>
      </c>
      <c r="AB2985">
        <f>[1]资金台帐!AB2985</f>
        <v>0</v>
      </c>
      <c r="AC2985">
        <f>[1]资金台帐!AC2985</f>
        <v>0</v>
      </c>
      <c r="AD2985">
        <f>[1]资金台帐!AD2985</f>
        <v>0</v>
      </c>
      <c r="AJ2985">
        <f>[1]资金台帐!AJ2985</f>
        <v>0</v>
      </c>
      <c r="AK2985">
        <f>[1]资金台帐!AK2985</f>
        <v>0</v>
      </c>
      <c r="BA2985" s="22">
        <f t="shared" si="0"/>
      </c>
      <c r="BG2985" s="22">
        <f t="shared" si="1"/>
      </c>
      <c r="BH2985" s="22">
        <f t="shared" si="2"/>
        <v>0</v>
      </c>
    </row>
    <row r="2986">
      <c r="B2986">
        <f>[1]资金台帐!B2986&amp;""</f>
      </c>
      <c r="H2986">
        <f>[1]资金台帐!H2986&amp;""</f>
      </c>
      <c r="J2986">
        <f>[1]资金台帐!J2986&amp;""</f>
      </c>
      <c r="N2986">
        <f>[1]资金台帐!N2986</f>
      </c>
      <c r="O2986">
        <f>[1]资金台帐!O2986&amp;""</f>
      </c>
      <c r="P2986">
        <f>[1]资金台帐!P2986&amp;""</f>
      </c>
      <c r="Q2986">
        <f>[1]资金台帐!Q2986&amp;""</f>
      </c>
      <c r="T2986">
        <f>[1]资金台帐!T2986&amp;""</f>
      </c>
      <c r="U2986">
        <f>[1]资金台帐!U2986&amp;""</f>
      </c>
      <c r="W2986">
        <f>[1]资金台帐!W2986&amp;""</f>
      </c>
      <c r="X2986">
        <f>[1]资金台帐!X2986&amp;""</f>
      </c>
      <c r="AB2986">
        <f>[1]资金台帐!AB2986</f>
        <v>0</v>
      </c>
      <c r="AC2986">
        <f>[1]资金台帐!AC2986</f>
        <v>0</v>
      </c>
      <c r="AD2986">
        <f>[1]资金台帐!AD2986</f>
        <v>0</v>
      </c>
      <c r="AJ2986">
        <f>[1]资金台帐!AJ2986</f>
        <v>0</v>
      </c>
      <c r="AK2986">
        <f>[1]资金台帐!AK2986</f>
        <v>0</v>
      </c>
      <c r="BA2986" s="22">
        <f t="shared" si="0"/>
      </c>
      <c r="BG2986" s="22">
        <f t="shared" si="1"/>
      </c>
      <c r="BH2986" s="22">
        <f t="shared" si="2"/>
        <v>0</v>
      </c>
    </row>
    <row r="2987">
      <c r="B2987">
        <f>[1]资金台帐!B2987&amp;""</f>
      </c>
      <c r="H2987">
        <f>[1]资金台帐!H2987&amp;""</f>
      </c>
      <c r="J2987">
        <f>[1]资金台帐!J2987&amp;""</f>
      </c>
      <c r="N2987">
        <f>[1]资金台帐!N2987</f>
      </c>
      <c r="O2987">
        <f>[1]资金台帐!O2987&amp;""</f>
      </c>
      <c r="P2987">
        <f>[1]资金台帐!P2987&amp;""</f>
      </c>
      <c r="Q2987">
        <f>[1]资金台帐!Q2987&amp;""</f>
      </c>
      <c r="T2987">
        <f>[1]资金台帐!T2987&amp;""</f>
      </c>
      <c r="U2987">
        <f>[1]资金台帐!U2987&amp;""</f>
      </c>
      <c r="W2987">
        <f>[1]资金台帐!W2987&amp;""</f>
      </c>
      <c r="X2987">
        <f>[1]资金台帐!X2987&amp;""</f>
      </c>
      <c r="AB2987">
        <f>[1]资金台帐!AB2987</f>
        <v>0</v>
      </c>
      <c r="AC2987">
        <f>[1]资金台帐!AC2987</f>
        <v>0</v>
      </c>
      <c r="AD2987">
        <f>[1]资金台帐!AD2987</f>
        <v>0</v>
      </c>
      <c r="AJ2987">
        <f>[1]资金台帐!AJ2987</f>
        <v>0</v>
      </c>
      <c r="AK2987">
        <f>[1]资金台帐!AK2987</f>
        <v>0</v>
      </c>
      <c r="BA2987" s="22">
        <f t="shared" si="0"/>
      </c>
      <c r="BG2987" s="22">
        <f t="shared" si="1"/>
      </c>
      <c r="BH2987" s="22">
        <f t="shared" si="2"/>
        <v>0</v>
      </c>
    </row>
    <row r="2988">
      <c r="B2988">
        <f>[1]资金台帐!B2988&amp;""</f>
      </c>
      <c r="H2988">
        <f>[1]资金台帐!H2988&amp;""</f>
      </c>
      <c r="J2988">
        <f>[1]资金台帐!J2988&amp;""</f>
      </c>
      <c r="N2988">
        <f>[1]资金台帐!N2988</f>
      </c>
      <c r="O2988">
        <f>[1]资金台帐!O2988&amp;""</f>
      </c>
      <c r="P2988">
        <f>[1]资金台帐!P2988&amp;""</f>
      </c>
      <c r="Q2988">
        <f>[1]资金台帐!Q2988&amp;""</f>
      </c>
      <c r="T2988">
        <f>[1]资金台帐!T2988&amp;""</f>
      </c>
      <c r="U2988">
        <f>[1]资金台帐!U2988&amp;""</f>
      </c>
      <c r="W2988">
        <f>[1]资金台帐!W2988&amp;""</f>
      </c>
      <c r="X2988">
        <f>[1]资金台帐!X2988&amp;""</f>
      </c>
      <c r="AB2988">
        <f>[1]资金台帐!AB2988</f>
        <v>0</v>
      </c>
      <c r="AC2988">
        <f>[1]资金台帐!AC2988</f>
        <v>0</v>
      </c>
      <c r="AD2988">
        <f>[1]资金台帐!AD2988</f>
        <v>0</v>
      </c>
      <c r="AJ2988">
        <f>[1]资金台帐!AJ2988</f>
        <v>0</v>
      </c>
      <c r="AK2988">
        <f>[1]资金台帐!AK2988</f>
        <v>0</v>
      </c>
      <c r="BA2988" s="22">
        <f t="shared" si="0"/>
      </c>
      <c r="BG2988" s="22">
        <f t="shared" si="1"/>
      </c>
      <c r="BH2988" s="22">
        <f t="shared" si="2"/>
        <v>0</v>
      </c>
    </row>
    <row r="2989">
      <c r="B2989">
        <f>[1]资金台帐!B2989&amp;""</f>
      </c>
      <c r="H2989">
        <f>[1]资金台帐!H2989&amp;""</f>
      </c>
      <c r="J2989">
        <f>[1]资金台帐!J2989&amp;""</f>
      </c>
      <c r="N2989">
        <f>[1]资金台帐!N2989</f>
      </c>
      <c r="O2989">
        <f>[1]资金台帐!O2989&amp;""</f>
      </c>
      <c r="P2989">
        <f>[1]资金台帐!P2989&amp;""</f>
      </c>
      <c r="Q2989">
        <f>[1]资金台帐!Q2989&amp;""</f>
      </c>
      <c r="T2989">
        <f>[1]资金台帐!T2989&amp;""</f>
      </c>
      <c r="U2989">
        <f>[1]资金台帐!U2989&amp;""</f>
      </c>
      <c r="W2989">
        <f>[1]资金台帐!W2989&amp;""</f>
      </c>
      <c r="X2989">
        <f>[1]资金台帐!X2989&amp;""</f>
      </c>
      <c r="AB2989">
        <f>[1]资金台帐!AB2989</f>
        <v>0</v>
      </c>
      <c r="AC2989">
        <f>[1]资金台帐!AC2989</f>
        <v>0</v>
      </c>
      <c r="AD2989">
        <f>[1]资金台帐!AD2989</f>
        <v>0</v>
      </c>
      <c r="AJ2989">
        <f>[1]资金台帐!AJ2989</f>
        <v>0</v>
      </c>
      <c r="AK2989">
        <f>[1]资金台帐!AK2989</f>
        <v>0</v>
      </c>
      <c r="BA2989" s="22">
        <f t="shared" si="0"/>
      </c>
      <c r="BG2989" s="22">
        <f t="shared" si="1"/>
      </c>
      <c r="BH2989" s="22">
        <f t="shared" si="2"/>
        <v>0</v>
      </c>
    </row>
    <row r="2990">
      <c r="B2990">
        <f>[1]资金台帐!B2990&amp;""</f>
      </c>
      <c r="H2990">
        <f>[1]资金台帐!H2990&amp;""</f>
      </c>
      <c r="J2990">
        <f>[1]资金台帐!J2990&amp;""</f>
      </c>
      <c r="N2990">
        <f>[1]资金台帐!N2990</f>
      </c>
      <c r="O2990">
        <f>[1]资金台帐!O2990&amp;""</f>
      </c>
      <c r="P2990">
        <f>[1]资金台帐!P2990&amp;""</f>
      </c>
      <c r="Q2990">
        <f>[1]资金台帐!Q2990&amp;""</f>
      </c>
      <c r="T2990">
        <f>[1]资金台帐!T2990&amp;""</f>
      </c>
      <c r="U2990">
        <f>[1]资金台帐!U2990&amp;""</f>
      </c>
      <c r="W2990">
        <f>[1]资金台帐!W2990&amp;""</f>
      </c>
      <c r="X2990">
        <f>[1]资金台帐!X2990&amp;""</f>
      </c>
      <c r="AB2990">
        <f>[1]资金台帐!AB2990</f>
        <v>0</v>
      </c>
      <c r="AC2990">
        <f>[1]资金台帐!AC2990</f>
        <v>0</v>
      </c>
      <c r="AD2990">
        <f>[1]资金台帐!AD2990</f>
        <v>0</v>
      </c>
      <c r="AJ2990">
        <f>[1]资金台帐!AJ2990</f>
        <v>0</v>
      </c>
      <c r="AK2990">
        <f>[1]资金台帐!AK2990</f>
        <v>0</v>
      </c>
      <c r="BA2990" s="22">
        <f t="shared" si="0"/>
      </c>
      <c r="BG2990" s="22">
        <f t="shared" si="1"/>
      </c>
      <c r="BH2990" s="22">
        <f t="shared" si="2"/>
        <v>0</v>
      </c>
    </row>
    <row r="2991">
      <c r="B2991">
        <f>[1]资金台帐!B2991&amp;""</f>
      </c>
      <c r="H2991">
        <f>[1]资金台帐!H2991&amp;""</f>
      </c>
      <c r="J2991">
        <f>[1]资金台帐!J2991&amp;""</f>
      </c>
      <c r="N2991">
        <f>[1]资金台帐!N2991</f>
      </c>
      <c r="O2991">
        <f>[1]资金台帐!O2991&amp;""</f>
      </c>
      <c r="P2991">
        <f>[1]资金台帐!P2991&amp;""</f>
      </c>
      <c r="Q2991">
        <f>[1]资金台帐!Q2991&amp;""</f>
      </c>
      <c r="T2991">
        <f>[1]资金台帐!T2991&amp;""</f>
      </c>
      <c r="U2991">
        <f>[1]资金台帐!U2991&amp;""</f>
      </c>
      <c r="W2991">
        <f>[1]资金台帐!W2991&amp;""</f>
      </c>
      <c r="X2991">
        <f>[1]资金台帐!X2991&amp;""</f>
      </c>
      <c r="AB2991">
        <f>[1]资金台帐!AB2991</f>
        <v>0</v>
      </c>
      <c r="AC2991">
        <f>[1]资金台帐!AC2991</f>
        <v>0</v>
      </c>
      <c r="AD2991">
        <f>[1]资金台帐!AD2991</f>
        <v>0</v>
      </c>
      <c r="AJ2991">
        <f>[1]资金台帐!AJ2991</f>
        <v>0</v>
      </c>
      <c r="AK2991">
        <f>[1]资金台帐!AK2991</f>
        <v>0</v>
      </c>
      <c r="BA2991" s="22">
        <f t="shared" si="0"/>
      </c>
      <c r="BG2991" s="22">
        <f t="shared" si="1"/>
      </c>
      <c r="BH2991" s="22">
        <f t="shared" si="2"/>
        <v>0</v>
      </c>
    </row>
    <row r="2992">
      <c r="B2992">
        <f>[1]资金台帐!B2992&amp;""</f>
      </c>
      <c r="H2992">
        <f>[1]资金台帐!H2992&amp;""</f>
      </c>
      <c r="J2992">
        <f>[1]资金台帐!J2992&amp;""</f>
      </c>
      <c r="N2992">
        <f>[1]资金台帐!N2992</f>
      </c>
      <c r="O2992">
        <f>[1]资金台帐!O2992&amp;""</f>
      </c>
      <c r="P2992">
        <f>[1]资金台帐!P2992&amp;""</f>
      </c>
      <c r="Q2992">
        <f>[1]资金台帐!Q2992&amp;""</f>
      </c>
      <c r="T2992">
        <f>[1]资金台帐!T2992&amp;""</f>
      </c>
      <c r="U2992">
        <f>[1]资金台帐!U2992&amp;""</f>
      </c>
      <c r="W2992">
        <f>[1]资金台帐!W2992&amp;""</f>
      </c>
      <c r="X2992">
        <f>[1]资金台帐!X2992&amp;""</f>
      </c>
      <c r="AB2992">
        <f>[1]资金台帐!AB2992</f>
        <v>0</v>
      </c>
      <c r="AC2992">
        <f>[1]资金台帐!AC2992</f>
        <v>0</v>
      </c>
      <c r="AD2992">
        <f>[1]资金台帐!AD2992</f>
        <v>0</v>
      </c>
      <c r="AJ2992">
        <f>[1]资金台帐!AJ2992</f>
        <v>0</v>
      </c>
      <c r="AK2992">
        <f>[1]资金台帐!AK2992</f>
        <v>0</v>
      </c>
      <c r="BA2992" s="22">
        <f t="shared" si="0"/>
      </c>
      <c r="BG2992" s="22">
        <f t="shared" si="1"/>
      </c>
      <c r="BH2992" s="22">
        <f t="shared" si="2"/>
        <v>0</v>
      </c>
    </row>
    <row r="2993">
      <c r="B2993">
        <f>[1]资金台帐!B2993&amp;""</f>
      </c>
      <c r="H2993">
        <f>[1]资金台帐!H2993&amp;""</f>
      </c>
      <c r="J2993">
        <f>[1]资金台帐!J2993&amp;""</f>
      </c>
      <c r="N2993">
        <f>[1]资金台帐!N2993</f>
      </c>
      <c r="O2993">
        <f>[1]资金台帐!O2993&amp;""</f>
      </c>
      <c r="P2993">
        <f>[1]资金台帐!P2993&amp;""</f>
      </c>
      <c r="Q2993">
        <f>[1]资金台帐!Q2993&amp;""</f>
      </c>
      <c r="T2993">
        <f>[1]资金台帐!T2993&amp;""</f>
      </c>
      <c r="U2993">
        <f>[1]资金台帐!U2993&amp;""</f>
      </c>
      <c r="W2993">
        <f>[1]资金台帐!W2993&amp;""</f>
      </c>
      <c r="X2993">
        <f>[1]资金台帐!X2993&amp;""</f>
      </c>
      <c r="AB2993">
        <f>[1]资金台帐!AB2993</f>
        <v>0</v>
      </c>
      <c r="AC2993">
        <f>[1]资金台帐!AC2993</f>
        <v>0</v>
      </c>
      <c r="AD2993">
        <f>[1]资金台帐!AD2993</f>
        <v>0</v>
      </c>
      <c r="AJ2993">
        <f>[1]资金台帐!AJ2993</f>
        <v>0</v>
      </c>
      <c r="AK2993">
        <f>[1]资金台帐!AK2993</f>
        <v>0</v>
      </c>
      <c r="BA2993" s="22">
        <f t="shared" si="0"/>
      </c>
      <c r="BG2993" s="22">
        <f t="shared" si="1"/>
      </c>
      <c r="BH2993" s="22">
        <f t="shared" si="2"/>
        <v>0</v>
      </c>
    </row>
    <row r="2994">
      <c r="B2994">
        <f>[1]资金台帐!B2994&amp;""</f>
      </c>
      <c r="H2994">
        <f>[1]资金台帐!H2994&amp;""</f>
      </c>
      <c r="J2994">
        <f>[1]资金台帐!J2994&amp;""</f>
      </c>
      <c r="N2994">
        <f>[1]资金台帐!N2994</f>
      </c>
      <c r="O2994">
        <f>[1]资金台帐!O2994&amp;""</f>
      </c>
      <c r="P2994">
        <f>[1]资金台帐!P2994&amp;""</f>
      </c>
      <c r="Q2994">
        <f>[1]资金台帐!Q2994&amp;""</f>
      </c>
      <c r="T2994">
        <f>[1]资金台帐!T2994&amp;""</f>
      </c>
      <c r="U2994">
        <f>[1]资金台帐!U2994&amp;""</f>
      </c>
      <c r="W2994">
        <f>[1]资金台帐!W2994&amp;""</f>
      </c>
      <c r="X2994">
        <f>[1]资金台帐!X2994&amp;""</f>
      </c>
      <c r="AB2994">
        <f>[1]资金台帐!AB2994</f>
        <v>0</v>
      </c>
      <c r="AC2994">
        <f>[1]资金台帐!AC2994</f>
        <v>0</v>
      </c>
      <c r="AD2994">
        <f>[1]资金台帐!AD2994</f>
        <v>0</v>
      </c>
      <c r="AJ2994">
        <f>[1]资金台帐!AJ2994</f>
        <v>0</v>
      </c>
      <c r="AK2994">
        <f>[1]资金台帐!AK2994</f>
        <v>0</v>
      </c>
      <c r="BA2994" s="22">
        <f t="shared" si="0"/>
      </c>
      <c r="BG2994" s="22">
        <f t="shared" si="1"/>
      </c>
      <c r="BH2994" s="22">
        <f t="shared" si="2"/>
        <v>0</v>
      </c>
    </row>
    <row r="2995">
      <c r="B2995">
        <f>[1]资金台帐!B2995&amp;""</f>
      </c>
      <c r="H2995">
        <f>[1]资金台帐!H2995&amp;""</f>
      </c>
      <c r="J2995">
        <f>[1]资金台帐!J2995&amp;""</f>
      </c>
      <c r="N2995">
        <f>[1]资金台帐!N2995</f>
      </c>
      <c r="O2995">
        <f>[1]资金台帐!O2995&amp;""</f>
      </c>
      <c r="P2995">
        <f>[1]资金台帐!P2995&amp;""</f>
      </c>
      <c r="Q2995">
        <f>[1]资金台帐!Q2995&amp;""</f>
      </c>
      <c r="T2995">
        <f>[1]资金台帐!T2995&amp;""</f>
      </c>
      <c r="U2995">
        <f>[1]资金台帐!U2995&amp;""</f>
      </c>
      <c r="W2995">
        <f>[1]资金台帐!W2995&amp;""</f>
      </c>
      <c r="X2995">
        <f>[1]资金台帐!X2995&amp;""</f>
      </c>
      <c r="AB2995">
        <f>[1]资金台帐!AB2995</f>
        <v>0</v>
      </c>
      <c r="AC2995">
        <f>[1]资金台帐!AC2995</f>
        <v>0</v>
      </c>
      <c r="AD2995">
        <f>[1]资金台帐!AD2995</f>
        <v>0</v>
      </c>
      <c r="AJ2995">
        <f>[1]资金台帐!AJ2995</f>
        <v>0</v>
      </c>
      <c r="AK2995">
        <f>[1]资金台帐!AK2995</f>
        <v>0</v>
      </c>
      <c r="BA2995" s="22">
        <f t="shared" si="0"/>
      </c>
      <c r="BG2995" s="22">
        <f t="shared" si="1"/>
      </c>
      <c r="BH2995" s="22">
        <f t="shared" si="2"/>
        <v>0</v>
      </c>
    </row>
    <row r="2996">
      <c r="B2996">
        <f>[1]资金台帐!B2996&amp;""</f>
      </c>
      <c r="H2996">
        <f>[1]资金台帐!H2996&amp;""</f>
      </c>
      <c r="J2996">
        <f>[1]资金台帐!J2996&amp;""</f>
      </c>
      <c r="N2996">
        <f>[1]资金台帐!N2996</f>
      </c>
      <c r="O2996">
        <f>[1]资金台帐!O2996&amp;""</f>
      </c>
      <c r="P2996">
        <f>[1]资金台帐!P2996&amp;""</f>
      </c>
      <c r="Q2996">
        <f>[1]资金台帐!Q2996&amp;""</f>
      </c>
      <c r="T2996">
        <f>[1]资金台帐!T2996&amp;""</f>
      </c>
      <c r="U2996">
        <f>[1]资金台帐!U2996&amp;""</f>
      </c>
      <c r="W2996">
        <f>[1]资金台帐!W2996&amp;""</f>
      </c>
      <c r="X2996">
        <f>[1]资金台帐!X2996&amp;""</f>
      </c>
      <c r="AB2996">
        <f>[1]资金台帐!AB2996</f>
        <v>0</v>
      </c>
      <c r="AC2996">
        <f>[1]资金台帐!AC2996</f>
        <v>0</v>
      </c>
      <c r="AD2996">
        <f>[1]资金台帐!AD2996</f>
        <v>0</v>
      </c>
      <c r="AJ2996">
        <f>[1]资金台帐!AJ2996</f>
        <v>0</v>
      </c>
      <c r="AK2996">
        <f>[1]资金台帐!AK2996</f>
        <v>0</v>
      </c>
      <c r="BA2996" s="22">
        <f t="shared" si="0"/>
      </c>
      <c r="BG2996" s="22">
        <f t="shared" si="1"/>
      </c>
      <c r="BH2996" s="22">
        <f t="shared" si="2"/>
        <v>0</v>
      </c>
    </row>
    <row r="2997">
      <c r="B2997">
        <f>[1]资金台帐!B2997&amp;""</f>
      </c>
      <c r="H2997">
        <f>[1]资金台帐!H2997&amp;""</f>
      </c>
      <c r="J2997">
        <f>[1]资金台帐!J2997&amp;""</f>
      </c>
      <c r="N2997">
        <f>[1]资金台帐!N2997</f>
      </c>
      <c r="O2997">
        <f>[1]资金台帐!O2997&amp;""</f>
      </c>
      <c r="P2997">
        <f>[1]资金台帐!P2997&amp;""</f>
      </c>
      <c r="Q2997">
        <f>[1]资金台帐!Q2997&amp;""</f>
      </c>
      <c r="T2997">
        <f>[1]资金台帐!T2997&amp;""</f>
      </c>
      <c r="U2997">
        <f>[1]资金台帐!U2997&amp;""</f>
      </c>
      <c r="W2997">
        <f>[1]资金台帐!W2997&amp;""</f>
      </c>
      <c r="X2997">
        <f>[1]资金台帐!X2997&amp;""</f>
      </c>
      <c r="AB2997">
        <f>[1]资金台帐!AB2997</f>
        <v>0</v>
      </c>
      <c r="AC2997">
        <f>[1]资金台帐!AC2997</f>
        <v>0</v>
      </c>
      <c r="AD2997">
        <f>[1]资金台帐!AD2997</f>
        <v>0</v>
      </c>
      <c r="AJ2997">
        <f>[1]资金台帐!AJ2997</f>
        <v>0</v>
      </c>
      <c r="AK2997">
        <f>[1]资金台帐!AK2997</f>
        <v>0</v>
      </c>
      <c r="BA2997" s="22">
        <f t="shared" si="0"/>
      </c>
      <c r="BG2997" s="22">
        <f t="shared" si="1"/>
      </c>
      <c r="BH2997" s="22">
        <f t="shared" si="2"/>
        <v>0</v>
      </c>
    </row>
    <row r="2998">
      <c r="B2998">
        <f>[1]资金台帐!B2998&amp;""</f>
      </c>
      <c r="H2998">
        <f>[1]资金台帐!H2998&amp;""</f>
      </c>
      <c r="J2998">
        <f>[1]资金台帐!J2998&amp;""</f>
      </c>
      <c r="N2998">
        <f>[1]资金台帐!N2998</f>
      </c>
      <c r="O2998">
        <f>[1]资金台帐!O2998&amp;""</f>
      </c>
      <c r="P2998">
        <f>[1]资金台帐!P2998&amp;""</f>
      </c>
      <c r="Q2998">
        <f>[1]资金台帐!Q2998&amp;""</f>
      </c>
      <c r="T2998">
        <f>[1]资金台帐!T2998&amp;""</f>
      </c>
      <c r="U2998">
        <f>[1]资金台帐!U2998&amp;""</f>
      </c>
      <c r="W2998">
        <f>[1]资金台帐!W2998&amp;""</f>
      </c>
      <c r="X2998">
        <f>[1]资金台帐!X2998&amp;""</f>
      </c>
      <c r="AB2998">
        <f>[1]资金台帐!AB2998</f>
        <v>0</v>
      </c>
      <c r="AC2998">
        <f>[1]资金台帐!AC2998</f>
        <v>0</v>
      </c>
      <c r="AD2998">
        <f>[1]资金台帐!AD2998</f>
        <v>0</v>
      </c>
      <c r="AJ2998">
        <f>[1]资金台帐!AJ2998</f>
        <v>0</v>
      </c>
      <c r="AK2998">
        <f>[1]资金台帐!AK2998</f>
        <v>0</v>
      </c>
      <c r="BA2998" s="22">
        <f t="shared" si="0"/>
      </c>
      <c r="BG2998" s="22">
        <f t="shared" si="1"/>
      </c>
      <c r="BH2998" s="22">
        <f t="shared" si="2"/>
        <v>0</v>
      </c>
    </row>
    <row r="2999">
      <c r="B2999">
        <f>[1]资金台帐!B2999&amp;""</f>
      </c>
      <c r="H2999">
        <f>[1]资金台帐!H2999&amp;""</f>
      </c>
      <c r="J2999">
        <f>[1]资金台帐!J2999&amp;""</f>
      </c>
      <c r="N2999">
        <f>[1]资金台帐!N2999</f>
      </c>
      <c r="O2999">
        <f>[1]资金台帐!O2999&amp;""</f>
      </c>
      <c r="P2999">
        <f>[1]资金台帐!P2999&amp;""</f>
      </c>
      <c r="Q2999">
        <f>[1]资金台帐!Q2999&amp;""</f>
      </c>
      <c r="T2999">
        <f>[1]资金台帐!T2999&amp;""</f>
      </c>
      <c r="U2999">
        <f>[1]资金台帐!U2999&amp;""</f>
      </c>
      <c r="W2999">
        <f>[1]资金台帐!W2999&amp;""</f>
      </c>
      <c r="X2999">
        <f>[1]资金台帐!X2999&amp;""</f>
      </c>
      <c r="AB2999">
        <f>[1]资金台帐!AB2999</f>
        <v>0</v>
      </c>
      <c r="AC2999">
        <f>[1]资金台帐!AC2999</f>
        <v>0</v>
      </c>
      <c r="AD2999">
        <f>[1]资金台帐!AD2999</f>
        <v>0</v>
      </c>
      <c r="AJ2999">
        <f>[1]资金台帐!AJ2999</f>
        <v>0</v>
      </c>
      <c r="AK2999">
        <f>[1]资金台帐!AK2999</f>
        <v>0</v>
      </c>
      <c r="BA2999" s="22">
        <f t="shared" si="0"/>
      </c>
      <c r="BG2999" s="22">
        <f t="shared" si="1"/>
      </c>
      <c r="BH2999" s="22">
        <f t="shared" si="2"/>
        <v>0</v>
      </c>
    </row>
    <row r="3000">
      <c r="B3000">
        <f>[1]资金台帐!B3000&amp;""</f>
      </c>
      <c r="H3000">
        <f>[1]资金台帐!H3000&amp;""</f>
      </c>
      <c r="J3000">
        <f>[1]资金台帐!J3000&amp;""</f>
      </c>
      <c r="N3000">
        <f>[1]资金台帐!N3000</f>
      </c>
      <c r="O3000">
        <f>[1]资金台帐!O3000&amp;""</f>
      </c>
      <c r="P3000">
        <f>[1]资金台帐!P3000&amp;""</f>
      </c>
      <c r="Q3000">
        <f>[1]资金台帐!Q3000&amp;""</f>
      </c>
      <c r="T3000">
        <f>[1]资金台帐!T3000&amp;""</f>
      </c>
      <c r="U3000">
        <f>[1]资金台帐!U3000&amp;""</f>
      </c>
      <c r="W3000">
        <f>[1]资金台帐!W3000&amp;""</f>
      </c>
      <c r="X3000">
        <f>[1]资金台帐!X3000&amp;""</f>
      </c>
      <c r="AB3000">
        <f>[1]资金台帐!AB3000</f>
        <v>0</v>
      </c>
      <c r="AC3000">
        <f>[1]资金台帐!AC3000</f>
        <v>0</v>
      </c>
      <c r="AD3000">
        <f>[1]资金台帐!AD3000</f>
        <v>0</v>
      </c>
      <c r="AJ3000">
        <f>[1]资金台帐!AJ3000</f>
        <v>0</v>
      </c>
      <c r="AK3000">
        <f>[1]资金台帐!AK3000</f>
        <v>0</v>
      </c>
      <c r="BA3000" s="22">
        <f t="shared" si="0"/>
      </c>
      <c r="BG3000" s="22">
        <f t="shared" si="1"/>
      </c>
      <c r="BH3000" s="22">
        <f t="shared" si="2"/>
        <v>0</v>
      </c>
    </row>
    <row r="3001">
      <c r="B3001">
        <f>[1]资金台帐!B3001&amp;""</f>
      </c>
      <c r="H3001">
        <f>[1]资金台帐!H3001&amp;""</f>
      </c>
      <c r="J3001">
        <f>[1]资金台帐!J3001&amp;""</f>
      </c>
      <c r="N3001">
        <f>[1]资金台帐!N3001</f>
      </c>
      <c r="O3001">
        <f>[1]资金台帐!O3001&amp;""</f>
      </c>
      <c r="P3001">
        <f>[1]资金台帐!P3001&amp;""</f>
      </c>
      <c r="Q3001">
        <f>[1]资金台帐!Q3001&amp;""</f>
      </c>
      <c r="T3001">
        <f>[1]资金台帐!T3001&amp;""</f>
      </c>
      <c r="U3001">
        <f>[1]资金台帐!U3001&amp;""</f>
      </c>
      <c r="W3001">
        <f>[1]资金台帐!W3001&amp;""</f>
      </c>
      <c r="X3001">
        <f>[1]资金台帐!X3001&amp;""</f>
      </c>
      <c r="AB3001">
        <f>[1]资金台帐!AB3001</f>
        <v>0</v>
      </c>
      <c r="AC3001">
        <f>[1]资金台帐!AC3001</f>
        <v>0</v>
      </c>
      <c r="AD3001">
        <f>[1]资金台帐!AD3001</f>
        <v>0</v>
      </c>
      <c r="AJ3001">
        <f>[1]资金台帐!AJ3001</f>
        <v>0</v>
      </c>
      <c r="AK3001">
        <f>[1]资金台帐!AK3001</f>
        <v>0</v>
      </c>
      <c r="BA3001" s="22">
        <f t="shared" si="0"/>
      </c>
      <c r="BG3001" s="22">
        <f t="shared" si="1"/>
      </c>
      <c r="BH3001" s="22">
        <f t="shared" si="2"/>
        <v>0</v>
      </c>
    </row>
    <row r="3002">
      <c r="B3002">
        <f>[1]资金台帐!B3002&amp;""</f>
      </c>
      <c r="H3002">
        <f>[1]资金台帐!H3002&amp;""</f>
      </c>
      <c r="J3002">
        <f>[1]资金台帐!J3002&amp;""</f>
      </c>
      <c r="N3002">
        <f>[1]资金台帐!N3002</f>
      </c>
      <c r="O3002">
        <f>[1]资金台帐!O3002&amp;""</f>
      </c>
      <c r="P3002">
        <f>[1]资金台帐!P3002&amp;""</f>
      </c>
      <c r="Q3002">
        <f>[1]资金台帐!Q3002&amp;""</f>
      </c>
      <c r="T3002">
        <f>[1]资金台帐!T3002&amp;""</f>
      </c>
      <c r="U3002">
        <f>[1]资金台帐!U3002&amp;""</f>
      </c>
      <c r="W3002">
        <f>[1]资金台帐!W3002&amp;""</f>
      </c>
      <c r="X3002">
        <f>[1]资金台帐!X3002&amp;""</f>
      </c>
      <c r="AB3002">
        <f>[1]资金台帐!AB3002</f>
        <v>0</v>
      </c>
      <c r="AC3002">
        <f>[1]资金台帐!AC3002</f>
        <v>0</v>
      </c>
      <c r="AD3002">
        <f>[1]资金台帐!AD3002</f>
        <v>0</v>
      </c>
      <c r="AJ3002">
        <f>[1]资金台帐!AJ3002</f>
        <v>0</v>
      </c>
      <c r="AK3002">
        <f>[1]资金台帐!AK3002</f>
        <v>0</v>
      </c>
      <c r="BA3002" s="22">
        <f t="shared" si="0"/>
      </c>
      <c r="BG3002" s="22">
        <f t="shared" si="1"/>
      </c>
      <c r="BH3002" s="22">
        <f t="shared" si="2"/>
        <v>0</v>
      </c>
    </row>
    <row r="3003">
      <c r="B3003">
        <f>[1]资金台帐!B3003&amp;""</f>
      </c>
      <c r="H3003">
        <f>[1]资金台帐!H3003&amp;""</f>
      </c>
      <c r="J3003">
        <f>[1]资金台帐!J3003&amp;""</f>
      </c>
      <c r="N3003">
        <f>[1]资金台帐!N3003</f>
      </c>
      <c r="O3003">
        <f>[1]资金台帐!O3003&amp;""</f>
      </c>
      <c r="P3003">
        <f>[1]资金台帐!P3003&amp;""</f>
      </c>
      <c r="Q3003">
        <f>[1]资金台帐!Q3003&amp;""</f>
      </c>
      <c r="T3003">
        <f>[1]资金台帐!T3003&amp;""</f>
      </c>
      <c r="U3003">
        <f>[1]资金台帐!U3003&amp;""</f>
      </c>
      <c r="W3003">
        <f>[1]资金台帐!W3003&amp;""</f>
      </c>
      <c r="X3003">
        <f>[1]资金台帐!X3003&amp;""</f>
      </c>
      <c r="AB3003">
        <f>[1]资金台帐!AB3003</f>
        <v>0</v>
      </c>
      <c r="AC3003">
        <f>[1]资金台帐!AC3003</f>
        <v>0</v>
      </c>
      <c r="AD3003">
        <f>[1]资金台帐!AD3003</f>
        <v>0</v>
      </c>
      <c r="AJ3003">
        <f>[1]资金台帐!AJ3003</f>
        <v>0</v>
      </c>
      <c r="AK3003">
        <f>[1]资金台帐!AK3003</f>
        <v>0</v>
      </c>
      <c r="BA3003" s="22">
        <f t="shared" si="0"/>
      </c>
      <c r="BG3003" s="22">
        <f t="shared" si="1"/>
      </c>
      <c r="BH3003" s="22">
        <f t="shared" si="2"/>
        <v>0</v>
      </c>
    </row>
    <row r="3004">
      <c r="B3004">
        <f>[1]资金台帐!B3004&amp;""</f>
      </c>
      <c r="H3004">
        <f>[1]资金台帐!H3004&amp;""</f>
      </c>
      <c r="J3004">
        <f>[1]资金台帐!J3004&amp;""</f>
      </c>
      <c r="N3004">
        <f>[1]资金台帐!N3004</f>
      </c>
      <c r="O3004">
        <f>[1]资金台帐!O3004&amp;""</f>
      </c>
      <c r="P3004">
        <f>[1]资金台帐!P3004&amp;""</f>
      </c>
      <c r="Q3004">
        <f>[1]资金台帐!Q3004&amp;""</f>
      </c>
      <c r="T3004">
        <f>[1]资金台帐!T3004&amp;""</f>
      </c>
      <c r="U3004">
        <f>[1]资金台帐!U3004&amp;""</f>
      </c>
      <c r="W3004">
        <f>[1]资金台帐!W3004&amp;""</f>
      </c>
      <c r="X3004">
        <f>[1]资金台帐!X3004&amp;""</f>
      </c>
      <c r="AB3004">
        <f>[1]资金台帐!AB3004</f>
        <v>0</v>
      </c>
      <c r="AC3004">
        <f>[1]资金台帐!AC3004</f>
        <v>0</v>
      </c>
      <c r="AD3004">
        <f>[1]资金台帐!AD3004</f>
        <v>0</v>
      </c>
      <c r="AJ3004">
        <f>[1]资金台帐!AJ3004</f>
        <v>0</v>
      </c>
      <c r="AK3004">
        <f>[1]资金台帐!AK3004</f>
        <v>0</v>
      </c>
      <c r="BA3004" s="22">
        <f t="shared" si="0"/>
      </c>
      <c r="BG3004" s="22">
        <f t="shared" si="1"/>
      </c>
      <c r="BH3004" s="22">
        <f t="shared" si="2"/>
        <v>0</v>
      </c>
    </row>
    <row r="3005">
      <c r="B3005">
        <f>[1]资金台帐!B3005&amp;""</f>
      </c>
      <c r="H3005">
        <f>[1]资金台帐!H3005&amp;""</f>
      </c>
      <c r="J3005">
        <f>[1]资金台帐!J3005&amp;""</f>
      </c>
      <c r="N3005">
        <f>[1]资金台帐!N3005</f>
      </c>
      <c r="O3005">
        <f>[1]资金台帐!O3005&amp;""</f>
      </c>
      <c r="P3005">
        <f>[1]资金台帐!P3005&amp;""</f>
      </c>
      <c r="Q3005">
        <f>[1]资金台帐!Q3005&amp;""</f>
      </c>
      <c r="T3005">
        <f>[1]资金台帐!T3005&amp;""</f>
      </c>
      <c r="U3005">
        <f>[1]资金台帐!U3005&amp;""</f>
      </c>
      <c r="W3005">
        <f>[1]资金台帐!W3005&amp;""</f>
      </c>
      <c r="X3005">
        <f>[1]资金台帐!X3005&amp;""</f>
      </c>
      <c r="AB3005">
        <f>[1]资金台帐!AB3005</f>
        <v>0</v>
      </c>
      <c r="AC3005">
        <f>[1]资金台帐!AC3005</f>
        <v>0</v>
      </c>
      <c r="AD3005">
        <f>[1]资金台帐!AD3005</f>
        <v>0</v>
      </c>
      <c r="AJ3005">
        <f>[1]资金台帐!AJ3005</f>
        <v>0</v>
      </c>
      <c r="AK3005">
        <f>[1]资金台帐!AK3005</f>
        <v>0</v>
      </c>
      <c r="BA3005" s="22">
        <f t="shared" si="0"/>
      </c>
      <c r="BG3005" s="22">
        <f t="shared" si="1"/>
      </c>
      <c r="BH3005" s="22">
        <f t="shared" si="2"/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2004"/>
  <sheetViews>
    <sheetView tabSelected="0" workbookViewId="0">
      <selection activeCell="A1" sqref="A1"/>
    </sheetView>
  </sheetViews>
  <sheetFormatPr baseColWidth="8" defaultRowHeight="15"/>
  <sheetData>
    <row r="1">
      <c r="A1" s="88" t="inlineStr">
        <is>
          <t>（取数用，别改：数据来自【A065-1_流水发票导入.xlsx】的【发票导入】）</t>
        </is>
      </c>
    </row>
    <row r="5">
      <c r="C5">
        <f>[1]发票导入!C5&amp;""</f>
      </c>
      <c r="D5" t="str">
        <f>[1]发票导入!D5&amp;""</f>
        <v>26932000001466835871</v>
      </c>
      <c r="O5" t="str">
        <f>[1]发票导入!O5&amp;""</f>
        <v>正常</v>
      </c>
      <c r="T5">
        <f>[1]发票导入!T5</f>
        <v>46265.0</v>
      </c>
      <c r="U5" t="str">
        <f>[1]发票导入!U5&amp;""</f>
        <v>中智优力</v>
      </c>
      <c r="V5" t="str">
        <f>[1]发票导入!V5&amp;""</f>
        <v>销项</v>
      </c>
      <c r="W5" t="str">
        <f>[1]发票导入!W5&amp;""</f>
        <v>宁波鹿小白机电有限公司</v>
      </c>
      <c r="Y5" t="str">
        <f>[1]发票导入!Y5&amp;""</f>
        <v>应收</v>
      </c>
      <c r="AA5">
        <f>[1]发票导入!AA5&amp;""</f>
      </c>
      <c r="AB5">
        <f>[1]发票导入!AB5</f>
        <v>9600</v>
      </c>
      <c r="AC5">
        <f>[1]发票导入!AC5</f>
        <v>0</v>
      </c>
      <c r="AE5" s="22">
        <f t="shared" ref="AE5:AE2004" si="0">IF(AND(AN5+AO5&lt;&gt;0,T5&gt;=往来对账单!$R$3,T5&lt;=往来对账单!$R$4),T5*100000+ROW(),"")</f>
      </c>
      <c r="AI5" t="str">
        <f>[1]发票导入!AI5&amp;""</f>
        <v>中智优力</v>
      </c>
      <c r="AJ5">
        <f>[1]发票导入!AJ5&amp;""</f>
      </c>
      <c r="AK5">
        <f>[1]发票导入!AK5</f>
        <v>9600</v>
      </c>
      <c r="AL5">
        <f>[1]发票导入!AL5</f>
        <v>9504.95</v>
      </c>
      <c r="AM5">
        <f>[1]发票导入!AM5</f>
        <v>95.05</v>
      </c>
      <c r="AN5" s="22">
        <f t="shared" ref="AN5:AN2004" si="1">IF(V5="销项",IF(AND(W5=往来对账单!$F$3,OR(往来对账单!$C$3="全部",U5=往来对账单!$C$3)),N(AB5),0),IF(V5="内部",IF(AND(AA5="",AJ5=往来对账单!$F$3,AI5&lt;&gt;往来对账单!$F$3,OR(往来对账单!$C$3="全部",AI5=往来对账单!$C$3)),N(AK5),0),0))</f>
        <v>0</v>
      </c>
      <c r="AO5" s="22">
        <f t="shared" ref="AO5:AO2004" si="2">IF(V5="进项",IF(AND(W5=往来对账单!$F$3,OR(往来对账单!$C$3="全部",U5=往来对账单!$C$3)),N(AC5),0),IF(V5="内部",IF(AND(AA5="",AI5=往来对账单!$F$3,AJ5&lt;&gt;往来对账单!$F$3,OR(往来对账单!$C$3="全部",AJ5=往来对账单!$C$3)),N(AK5),0),0))</f>
        <v>0</v>
      </c>
    </row>
    <row r="6">
      <c r="C6">
        <f>[1]发票导入!C6&amp;""</f>
      </c>
      <c r="D6" t="str">
        <f>[1]发票导入!D6&amp;""</f>
        <v>26932000001438698391</v>
      </c>
      <c r="O6" t="str">
        <f>[1]发票导入!O6&amp;""</f>
        <v>正常</v>
      </c>
      <c r="T6">
        <f>[1]发票导入!T6</f>
        <v>46261.0</v>
      </c>
      <c r="U6" t="str">
        <f>[1]发票导入!U6&amp;""</f>
        <v>中智优力</v>
      </c>
      <c r="V6" t="str">
        <f>[1]发票导入!V6&amp;""</f>
        <v>销项</v>
      </c>
      <c r="W6" t="str">
        <f>[1]发票导入!W6&amp;""</f>
        <v>宁波安程汽车服务有限公司</v>
      </c>
      <c r="Y6" t="str">
        <f>[1]发票导入!Y6&amp;""</f>
        <v>应收</v>
      </c>
      <c r="AA6">
        <f>[1]发票导入!AA6&amp;""</f>
      </c>
      <c r="AB6">
        <f>[1]发票导入!AB6</f>
        <v>21600</v>
      </c>
      <c r="AC6">
        <f>[1]发票导入!AC6</f>
        <v>0</v>
      </c>
      <c r="AE6" s="22">
        <f t="shared" si="0"/>
      </c>
      <c r="AI6" t="str">
        <f>[1]发票导入!AI6&amp;""</f>
        <v>中智优力</v>
      </c>
      <c r="AJ6">
        <f>[1]发票导入!AJ6&amp;""</f>
      </c>
      <c r="AK6">
        <f>[1]发票导入!AK6</f>
        <v>21600</v>
      </c>
      <c r="AL6">
        <f>[1]发票导入!AL6</f>
        <v>21386.14</v>
      </c>
      <c r="AM6">
        <f>[1]发票导入!AM6</f>
        <v>213.86</v>
      </c>
      <c r="AN6" s="22">
        <f t="shared" si="1"/>
        <v>0</v>
      </c>
      <c r="AO6" s="22">
        <f t="shared" si="2"/>
        <v>0</v>
      </c>
    </row>
    <row r="7">
      <c r="C7">
        <f>[1]发票导入!C7&amp;""</f>
      </c>
      <c r="D7" t="str">
        <f>[1]发票导入!D7&amp;""</f>
        <v>26932000001430099371</v>
      </c>
      <c r="O7" t="str">
        <f>[1]发票导入!O7&amp;""</f>
        <v>正常</v>
      </c>
      <c r="T7">
        <f>[1]发票导入!T7</f>
        <v>46260.0</v>
      </c>
      <c r="U7" t="str">
        <f>[1]发票导入!U7&amp;""</f>
        <v>中智优力</v>
      </c>
      <c r="V7" t="str">
        <f>[1]发票导入!V7&amp;""</f>
        <v>销项</v>
      </c>
      <c r="W7" t="str">
        <f>[1]发票导入!W7&amp;""</f>
        <v>宁波市华方塑料机械制造有限公司</v>
      </c>
      <c r="Y7" t="str">
        <f>[1]发票导入!Y7&amp;""</f>
        <v>应收</v>
      </c>
      <c r="AA7">
        <f>[1]发票导入!AA7&amp;""</f>
      </c>
      <c r="AB7">
        <f>[1]发票导入!AB7</f>
        <v>10000</v>
      </c>
      <c r="AC7">
        <f>[1]发票导入!AC7</f>
        <v>0</v>
      </c>
      <c r="AE7" s="22">
        <f t="shared" si="0"/>
        <v>4626000007</v>
      </c>
      <c r="AI7" t="str">
        <f>[1]发票导入!AI7&amp;""</f>
        <v>中智优力</v>
      </c>
      <c r="AJ7">
        <f>[1]发票导入!AJ7&amp;""</f>
      </c>
      <c r="AK7">
        <f>[1]发票导入!AK7</f>
        <v>10000</v>
      </c>
      <c r="AL7">
        <f>[1]发票导入!AL7</f>
        <v>9900.99</v>
      </c>
      <c r="AM7">
        <f>[1]发票导入!AM7</f>
        <v>99.01</v>
      </c>
      <c r="AN7" s="22">
        <f t="shared" si="1"/>
        <v>10000</v>
      </c>
      <c r="AO7" s="22">
        <f t="shared" si="2"/>
        <v>0</v>
      </c>
    </row>
    <row r="8">
      <c r="C8">
        <f>[1]发票导入!C8&amp;""</f>
      </c>
      <c r="D8" t="str">
        <f>[1]发票导入!D8&amp;""</f>
        <v>26932000001425088306</v>
      </c>
      <c r="O8" t="str">
        <f>[1]发票导入!O8&amp;""</f>
        <v>正常</v>
      </c>
      <c r="T8">
        <f>[1]发票导入!T8</f>
        <v>46260.0</v>
      </c>
      <c r="U8" t="str">
        <f>[1]发票导入!U8&amp;""</f>
        <v>中智优力</v>
      </c>
      <c r="V8" t="str">
        <f>[1]发票导入!V8&amp;""</f>
        <v>销项</v>
      </c>
      <c r="W8" t="str">
        <f>[1]发票导入!W8&amp;""</f>
        <v>宁波市华方塑料机械制造有限公司</v>
      </c>
      <c r="Y8" t="str">
        <f>[1]发票导入!Y8&amp;""</f>
        <v>应收</v>
      </c>
      <c r="AA8">
        <f>[1]发票导入!AA8&amp;""</f>
      </c>
      <c r="AB8">
        <f>[1]发票导入!AB8</f>
        <v>-14400</v>
      </c>
      <c r="AC8">
        <f>[1]发票导入!AC8</f>
        <v>0</v>
      </c>
      <c r="AE8" s="22">
        <f t="shared" si="0"/>
        <v>4626000008</v>
      </c>
      <c r="AI8" t="str">
        <f>[1]发票导入!AI8&amp;""</f>
        <v>中智优力</v>
      </c>
      <c r="AJ8">
        <f>[1]发票导入!AJ8&amp;""</f>
      </c>
      <c r="AK8">
        <f>[1]发票导入!AK8</f>
        <v>-14400</v>
      </c>
      <c r="AL8">
        <f>[1]发票导入!AL8</f>
        <v>-14257.43</v>
      </c>
      <c r="AM8">
        <f>[1]发票导入!AM8</f>
        <v>-142.57</v>
      </c>
      <c r="AN8" s="22">
        <f t="shared" si="1"/>
        <v>-14400</v>
      </c>
      <c r="AO8" s="22">
        <f t="shared" si="2"/>
        <v>0</v>
      </c>
    </row>
    <row r="9">
      <c r="C9">
        <f>[1]发票导入!C9&amp;""</f>
      </c>
      <c r="D9" t="str">
        <f>[1]发票导入!D9&amp;""</f>
        <v>26932000001426280311</v>
      </c>
      <c r="O9" t="str">
        <f>[1]发票导入!O9&amp;""</f>
        <v>已红冲-全额</v>
      </c>
      <c r="T9">
        <f>[1]发票导入!T9</f>
        <v>46259.0</v>
      </c>
      <c r="U9" t="str">
        <f>[1]发票导入!U9&amp;""</f>
        <v>中智优力</v>
      </c>
      <c r="V9" t="str">
        <f>[1]发票导入!V9&amp;""</f>
        <v>销项</v>
      </c>
      <c r="W9" t="str">
        <f>[1]发票导入!W9&amp;""</f>
        <v>宁波市华方塑料机械制造有限公司</v>
      </c>
      <c r="Y9" t="str">
        <f>[1]发票导入!Y9&amp;""</f>
        <v>应收</v>
      </c>
      <c r="AA9">
        <f>[1]发票导入!AA9&amp;""</f>
      </c>
      <c r="AB9">
        <f>[1]发票导入!AB9</f>
        <v>14400</v>
      </c>
      <c r="AC9">
        <f>[1]发票导入!AC9</f>
        <v>0</v>
      </c>
      <c r="AE9" s="22">
        <f t="shared" si="0"/>
        <v>4625900009</v>
      </c>
      <c r="AI9" t="str">
        <f>[1]发票导入!AI9&amp;""</f>
        <v>中智优力</v>
      </c>
      <c r="AJ9">
        <f>[1]发票导入!AJ9&amp;""</f>
      </c>
      <c r="AK9">
        <f>[1]发票导入!AK9</f>
        <v>14400</v>
      </c>
      <c r="AL9">
        <f>[1]发票导入!AL9</f>
        <v>14257.43</v>
      </c>
      <c r="AM9">
        <f>[1]发票导入!AM9</f>
        <v>142.57</v>
      </c>
      <c r="AN9" s="22">
        <f t="shared" si="1"/>
        <v>14400</v>
      </c>
      <c r="AO9" s="22">
        <f t="shared" si="2"/>
        <v>0</v>
      </c>
    </row>
    <row r="10">
      <c r="C10">
        <f>[1]发票导入!C10&amp;""</f>
      </c>
      <c r="D10" t="str">
        <f>[1]发票导入!D10&amp;""</f>
        <v>26932000001426139581</v>
      </c>
      <c r="O10" t="str">
        <f>[1]发票导入!O10&amp;""</f>
        <v>正常</v>
      </c>
      <c r="T10">
        <f>[1]发票导入!T10</f>
        <v>46259.0</v>
      </c>
      <c r="U10" t="str">
        <f>[1]发票导入!U10&amp;""</f>
        <v>中智优力</v>
      </c>
      <c r="V10" t="str">
        <f>[1]发票导入!V10&amp;""</f>
        <v>销项</v>
      </c>
      <c r="W10" t="str">
        <f>[1]发票导入!W10&amp;""</f>
        <v>宁波市昕阳国际贸易有限公司</v>
      </c>
      <c r="Y10" t="str">
        <f>[1]发票导入!Y10&amp;""</f>
        <v>应收</v>
      </c>
      <c r="AA10">
        <f>[1]发票导入!AA10&amp;""</f>
      </c>
      <c r="AB10">
        <f>[1]发票导入!AB10</f>
        <v>6600</v>
      </c>
      <c r="AC10">
        <f>[1]发票导入!AC10</f>
        <v>0</v>
      </c>
      <c r="AE10" s="22">
        <f t="shared" si="0"/>
      </c>
      <c r="AI10" t="str">
        <f>[1]发票导入!AI10&amp;""</f>
        <v>中智优力</v>
      </c>
      <c r="AJ10">
        <f>[1]发票导入!AJ10&amp;""</f>
      </c>
      <c r="AK10">
        <f>[1]发票导入!AK10</f>
        <v>6600</v>
      </c>
      <c r="AL10">
        <f>[1]发票导入!AL10</f>
        <v>6534.65</v>
      </c>
      <c r="AM10">
        <f>[1]发票导入!AM10</f>
        <v>65.35</v>
      </c>
      <c r="AN10" s="22">
        <f t="shared" si="1"/>
        <v>0</v>
      </c>
      <c r="AO10" s="22">
        <f t="shared" si="2"/>
        <v>0</v>
      </c>
    </row>
    <row r="11">
      <c r="C11">
        <f>[1]发票导入!C11&amp;""</f>
      </c>
      <c r="D11" t="str">
        <f>[1]发票导入!D11&amp;""</f>
        <v>26932000001337447926</v>
      </c>
      <c r="O11" t="str">
        <f>[1]发票导入!O11&amp;""</f>
        <v>正常</v>
      </c>
      <c r="T11">
        <f>[1]发票导入!T11</f>
        <v>46244.0</v>
      </c>
      <c r="U11" t="str">
        <f>[1]发票导入!U11&amp;""</f>
        <v>中智优力</v>
      </c>
      <c r="V11" t="str">
        <f>[1]发票导入!V11&amp;""</f>
        <v>销项</v>
      </c>
      <c r="W11" t="str">
        <f>[1]发票导入!W11&amp;""</f>
        <v>宁波永程纸制品有限公司</v>
      </c>
      <c r="Y11" t="str">
        <f>[1]发票导入!Y11&amp;""</f>
        <v>应收</v>
      </c>
      <c r="AA11">
        <f>[1]发票导入!AA11&amp;""</f>
      </c>
      <c r="AB11">
        <f>[1]发票导入!AB11</f>
        <v>7200</v>
      </c>
      <c r="AC11">
        <f>[1]发票导入!AC11</f>
        <v>0</v>
      </c>
      <c r="AE11" s="22">
        <f t="shared" si="0"/>
      </c>
      <c r="AI11" t="str">
        <f>[1]发票导入!AI11&amp;""</f>
        <v>中智优力</v>
      </c>
      <c r="AJ11">
        <f>[1]发票导入!AJ11&amp;""</f>
      </c>
      <c r="AK11">
        <f>[1]发票导入!AK11</f>
        <v>7200</v>
      </c>
      <c r="AL11">
        <f>[1]发票导入!AL11</f>
        <v>7128.71</v>
      </c>
      <c r="AM11">
        <f>[1]发票导入!AM11</f>
        <v>71.29</v>
      </c>
      <c r="AN11" s="22">
        <f t="shared" si="1"/>
        <v>0</v>
      </c>
      <c r="AO11" s="22">
        <f t="shared" si="2"/>
        <v>0</v>
      </c>
    </row>
    <row r="12">
      <c r="C12">
        <f>[1]发票导入!C12&amp;""</f>
      </c>
      <c r="D12" t="str">
        <f>[1]发票导入!D12&amp;""</f>
        <v>26932000001323435481</v>
      </c>
      <c r="O12" t="str">
        <f>[1]发票导入!O12&amp;""</f>
        <v>正常</v>
      </c>
      <c r="T12">
        <f>[1]发票导入!T12</f>
        <v>46240.0</v>
      </c>
      <c r="U12" t="str">
        <f>[1]发票导入!U12&amp;""</f>
        <v>中智优力</v>
      </c>
      <c r="V12" t="str">
        <f>[1]发票导入!V12&amp;""</f>
        <v>销项</v>
      </c>
      <c r="W12" t="str">
        <f>[1]发票导入!W12&amp;""</f>
        <v>鄞州区福明街道国际汽车城业主委员会</v>
      </c>
      <c r="Y12" t="str">
        <f>[1]发票导入!Y12&amp;""</f>
        <v>应收</v>
      </c>
      <c r="AA12">
        <f>[1]发票导入!AA12&amp;""</f>
      </c>
      <c r="AB12">
        <f>[1]发票导入!AB12</f>
        <v>300</v>
      </c>
      <c r="AC12">
        <f>[1]发票导入!AC12</f>
        <v>0</v>
      </c>
      <c r="AE12" s="22">
        <f t="shared" si="0"/>
      </c>
      <c r="AI12" t="str">
        <f>[1]发票导入!AI12&amp;""</f>
        <v>中智优力</v>
      </c>
      <c r="AJ12">
        <f>[1]发票导入!AJ12&amp;""</f>
      </c>
      <c r="AK12">
        <f>[1]发票导入!AK12</f>
        <v>300</v>
      </c>
      <c r="AL12">
        <f>[1]发票导入!AL12</f>
        <v>297.03</v>
      </c>
      <c r="AM12">
        <f>[1]发票导入!AM12</f>
        <v>2.97</v>
      </c>
      <c r="AN12" s="22">
        <f t="shared" si="1"/>
        <v>0</v>
      </c>
      <c r="AO12" s="22">
        <f t="shared" si="2"/>
        <v>0</v>
      </c>
    </row>
    <row r="13">
      <c r="C13">
        <f>[1]发票导入!C13&amp;""</f>
      </c>
      <c r="D13" t="str">
        <f>[1]发票导入!D13&amp;""</f>
        <v>26932000001309047481</v>
      </c>
      <c r="O13" t="str">
        <f>[1]发票导入!O13&amp;""</f>
        <v>正常</v>
      </c>
      <c r="T13">
        <f>[1]发票导入!T13</f>
        <v>46238.0</v>
      </c>
      <c r="U13" t="str">
        <f>[1]发票导入!U13&amp;""</f>
        <v>中智优力</v>
      </c>
      <c r="V13" t="str">
        <f>[1]发票导入!V13&amp;""</f>
        <v>销项</v>
      </c>
      <c r="W13" t="str">
        <f>[1]发票导入!W13&amp;""</f>
        <v>宁波市鄞州瑞益通风设备有限公司</v>
      </c>
      <c r="Y13" t="str">
        <f>[1]发票导入!Y13&amp;""</f>
        <v>应收</v>
      </c>
      <c r="AA13">
        <f>[1]发票导入!AA13&amp;""</f>
      </c>
      <c r="AB13">
        <f>[1]发票导入!AB13</f>
        <v>24000</v>
      </c>
      <c r="AC13">
        <f>[1]发票导入!AC13</f>
        <v>0</v>
      </c>
      <c r="AE13" s="22">
        <f t="shared" si="0"/>
      </c>
      <c r="AI13" t="str">
        <f>[1]发票导入!AI13&amp;""</f>
        <v>中智优力</v>
      </c>
      <c r="AJ13">
        <f>[1]发票导入!AJ13&amp;""</f>
      </c>
      <c r="AK13">
        <f>[1]发票导入!AK13</f>
        <v>24000</v>
      </c>
      <c r="AL13">
        <f>[1]发票导入!AL13</f>
        <v>23762.38</v>
      </c>
      <c r="AM13">
        <f>[1]发票导入!AM13</f>
        <v>237.62</v>
      </c>
      <c r="AN13" s="22">
        <f t="shared" si="1"/>
        <v>0</v>
      </c>
      <c r="AO13" s="22">
        <f t="shared" si="2"/>
        <v>0</v>
      </c>
    </row>
    <row r="14">
      <c r="C14">
        <f>[1]发票导入!C14&amp;""</f>
      </c>
      <c r="D14" t="str">
        <f>[1]发票导入!D14&amp;""</f>
        <v>26932000001301887141</v>
      </c>
      <c r="O14" t="str">
        <f>[1]发票导入!O14&amp;""</f>
        <v>正常</v>
      </c>
      <c r="T14">
        <f>[1]发票导入!T14</f>
        <v>46237.0</v>
      </c>
      <c r="U14" t="str">
        <f>[1]发票导入!U14&amp;""</f>
        <v>中智优力</v>
      </c>
      <c r="V14" t="str">
        <f>[1]发票导入!V14&amp;""</f>
        <v>销项</v>
      </c>
      <c r="W14" t="str">
        <f>[1]发票导入!W14&amp;""</f>
        <v>宁波市鄞州五乡晓林五金机械厂</v>
      </c>
      <c r="Y14" t="str">
        <f>[1]发票导入!Y14&amp;""</f>
        <v>应收</v>
      </c>
      <c r="AA14">
        <f>[1]发票导入!AA14&amp;""</f>
      </c>
      <c r="AB14">
        <f>[1]发票导入!AB14</f>
        <v>7200</v>
      </c>
      <c r="AC14">
        <f>[1]发票导入!AC14</f>
        <v>0</v>
      </c>
      <c r="AE14" s="22">
        <f t="shared" si="0"/>
      </c>
      <c r="AI14" t="str">
        <f>[1]发票导入!AI14&amp;""</f>
        <v>中智优力</v>
      </c>
      <c r="AJ14">
        <f>[1]发票导入!AJ14&amp;""</f>
      </c>
      <c r="AK14">
        <f>[1]发票导入!AK14</f>
        <v>7200</v>
      </c>
      <c r="AL14">
        <f>[1]发票导入!AL14</f>
        <v>7128.71</v>
      </c>
      <c r="AM14">
        <f>[1]发票导入!AM14</f>
        <v>71.29</v>
      </c>
      <c r="AN14" s="22">
        <f t="shared" si="1"/>
        <v>0</v>
      </c>
      <c r="AO14" s="22">
        <f t="shared" si="2"/>
        <v>0</v>
      </c>
    </row>
    <row r="15">
      <c r="C15">
        <f>[1]发票导入!C15&amp;""</f>
      </c>
      <c r="D15" t="str">
        <f>[1]发票导入!D15&amp;""</f>
        <v>26932000001301734036</v>
      </c>
      <c r="O15" t="str">
        <f>[1]发票导入!O15&amp;""</f>
        <v>正常</v>
      </c>
      <c r="T15">
        <f>[1]发票导入!T15</f>
        <v>46237.0</v>
      </c>
      <c r="U15" t="str">
        <f>[1]发票导入!U15&amp;""</f>
        <v>中智优力</v>
      </c>
      <c r="V15" t="str">
        <f>[1]发票导入!V15&amp;""</f>
        <v>销项</v>
      </c>
      <c r="W15" t="str">
        <f>[1]发票导入!W15&amp;""</f>
        <v>宜柏嘉（宁波）智能科技有限公司</v>
      </c>
      <c r="Y15" t="str">
        <f>[1]发票导入!Y15&amp;""</f>
        <v>应收</v>
      </c>
      <c r="AA15">
        <f>[1]发票导入!AA15&amp;""</f>
      </c>
      <c r="AB15">
        <f>[1]发票导入!AB15</f>
        <v>9000</v>
      </c>
      <c r="AC15">
        <f>[1]发票导入!AC15</f>
        <v>0</v>
      </c>
      <c r="AE15" s="22">
        <f t="shared" si="0"/>
      </c>
      <c r="AI15" t="str">
        <f>[1]发票导入!AI15&amp;""</f>
        <v>中智优力</v>
      </c>
      <c r="AJ15">
        <f>[1]发票导入!AJ15&amp;""</f>
      </c>
      <c r="AK15">
        <f>[1]发票导入!AK15</f>
        <v>9000</v>
      </c>
      <c r="AL15">
        <f>[1]发票导入!AL15</f>
        <v>8910.89</v>
      </c>
      <c r="AM15">
        <f>[1]发票导入!AM15</f>
        <v>89.11</v>
      </c>
      <c r="AN15" s="22">
        <f t="shared" si="1"/>
        <v>0</v>
      </c>
      <c r="AO15" s="22">
        <f t="shared" si="2"/>
        <v>0</v>
      </c>
    </row>
    <row r="16">
      <c r="C16">
        <f>[1]发票导入!C16&amp;""</f>
      </c>
      <c r="D16" t="str">
        <f>[1]发票导入!D16&amp;""</f>
        <v>26932000001301730886</v>
      </c>
      <c r="O16" t="str">
        <f>[1]发票导入!O16&amp;""</f>
        <v>正常</v>
      </c>
      <c r="T16">
        <f>[1]发票导入!T16</f>
        <v>46237.0</v>
      </c>
      <c r="U16" t="str">
        <f>[1]发票导入!U16&amp;""</f>
        <v>中智优力</v>
      </c>
      <c r="V16" t="str">
        <f>[1]发票导入!V16&amp;""</f>
        <v>销项</v>
      </c>
      <c r="W16" t="str">
        <f>[1]发票导入!W16&amp;""</f>
        <v>宁波优责标识科技有限公司</v>
      </c>
      <c r="Y16" t="str">
        <f>[1]发票导入!Y16&amp;""</f>
        <v>应收</v>
      </c>
      <c r="AA16">
        <f>[1]发票导入!AA16&amp;""</f>
      </c>
      <c r="AB16">
        <f>[1]发票导入!AB16</f>
        <v>5400</v>
      </c>
      <c r="AC16">
        <f>[1]发票导入!AC16</f>
        <v>0</v>
      </c>
      <c r="AE16" s="22">
        <f t="shared" si="0"/>
      </c>
      <c r="AI16" t="str">
        <f>[1]发票导入!AI16&amp;""</f>
        <v>中智优力</v>
      </c>
      <c r="AJ16">
        <f>[1]发票导入!AJ16&amp;""</f>
      </c>
      <c r="AK16">
        <f>[1]发票导入!AK16</f>
        <v>5400</v>
      </c>
      <c r="AL16">
        <f>[1]发票导入!AL16</f>
        <v>5346.53</v>
      </c>
      <c r="AM16">
        <f>[1]发票导入!AM16</f>
        <v>53.47</v>
      </c>
      <c r="AN16" s="22">
        <f t="shared" si="1"/>
        <v>0</v>
      </c>
      <c r="AO16" s="22">
        <f t="shared" si="2"/>
        <v>0</v>
      </c>
    </row>
    <row r="17">
      <c r="C17">
        <f>[1]发票导入!C17&amp;""</f>
      </c>
      <c r="D17" t="str">
        <f>[1]发票导入!D17&amp;""</f>
        <v>26932000001462963081</v>
      </c>
      <c r="O17" t="str">
        <f>[1]发票导入!O17&amp;""</f>
        <v>正常</v>
      </c>
      <c r="T17">
        <f>[1]发票导入!T17</f>
        <v>46265.0</v>
      </c>
      <c r="U17" t="str">
        <f>[1]发票导入!U17&amp;""</f>
        <v>中智优力</v>
      </c>
      <c r="V17" t="str">
        <f>[1]发票导入!V17&amp;""</f>
        <v>进项</v>
      </c>
      <c r="W17" t="str">
        <f>[1]发票导入!W17&amp;""</f>
        <v>宁波市海曙卓瑞通讯器材店</v>
      </c>
      <c r="Y17" t="str">
        <f>[1]发票导入!Y17&amp;""</f>
        <v>报销票</v>
      </c>
      <c r="AA17">
        <f>[1]发票导入!AA17&amp;""</f>
      </c>
      <c r="AB17">
        <f>[1]发票导入!AB17</f>
        <v>0</v>
      </c>
      <c r="AC17">
        <f>[1]发票导入!AC17</f>
        <v>0</v>
      </c>
      <c r="AE17" s="22">
        <f t="shared" si="0"/>
      </c>
      <c r="AI17">
        <f>[1]发票导入!AI17&amp;""</f>
      </c>
      <c r="AJ17" t="str">
        <f>[1]发票导入!AJ17&amp;""</f>
        <v>中智优力</v>
      </c>
      <c r="AK17">
        <f>[1]发票导入!AK17</f>
        <v>1190</v>
      </c>
      <c r="AL17">
        <f>[1]发票导入!AL17</f>
        <v>1178.22</v>
      </c>
      <c r="AM17">
        <f>[1]发票导入!AM17</f>
        <v>11.78</v>
      </c>
      <c r="AN17" s="22">
        <f t="shared" si="1"/>
        <v>0</v>
      </c>
      <c r="AO17" s="22">
        <f t="shared" si="2"/>
        <v>0</v>
      </c>
    </row>
    <row r="18">
      <c r="C18">
        <f>[1]发票导入!C18&amp;""</f>
      </c>
      <c r="D18" t="str">
        <f>[1]发票导入!D18&amp;""</f>
        <v>26932000001461713761</v>
      </c>
      <c r="O18" t="str">
        <f>[1]发票导入!O18&amp;""</f>
        <v>正常</v>
      </c>
      <c r="T18">
        <f>[1]发票导入!T18</f>
        <v>46265.0</v>
      </c>
      <c r="U18" t="str">
        <f>[1]发票导入!U18&amp;""</f>
        <v>中智优力</v>
      </c>
      <c r="V18" t="str">
        <f>[1]发票导入!V18&amp;""</f>
        <v>进项</v>
      </c>
      <c r="W18" t="str">
        <f>[1]发票导入!W18&amp;""</f>
        <v>宁波微果食品供应链有限公司</v>
      </c>
      <c r="Y18" t="str">
        <f>[1]发票导入!Y18&amp;""</f>
        <v>报销票</v>
      </c>
      <c r="AA18">
        <f>[1]发票导入!AA18&amp;""</f>
      </c>
      <c r="AB18">
        <f>[1]发票导入!AB18</f>
        <v>0</v>
      </c>
      <c r="AC18">
        <f>[1]发票导入!AC18</f>
        <v>0</v>
      </c>
      <c r="AE18" s="22">
        <f t="shared" si="0"/>
      </c>
      <c r="AI18">
        <f>[1]发票导入!AI18&amp;""</f>
      </c>
      <c r="AJ18" t="str">
        <f>[1]发票导入!AJ18&amp;""</f>
        <v>中智优力</v>
      </c>
      <c r="AK18">
        <f>[1]发票导入!AK18</f>
        <v>1000</v>
      </c>
      <c r="AL18">
        <f>[1]发票导入!AL18</f>
        <v>990.1</v>
      </c>
      <c r="AM18">
        <f>[1]发票导入!AM18</f>
        <v>9.9</v>
      </c>
      <c r="AN18" s="22">
        <f t="shared" si="1"/>
        <v>0</v>
      </c>
      <c r="AO18" s="22">
        <f t="shared" si="2"/>
        <v>0</v>
      </c>
    </row>
    <row r="19">
      <c r="C19">
        <f>[1]发票导入!C19&amp;""</f>
      </c>
      <c r="D19" t="str">
        <f>[1]发票导入!D19&amp;""</f>
        <v>26932000001459788016</v>
      </c>
      <c r="O19" t="str">
        <f>[1]发票导入!O19&amp;""</f>
        <v>正常</v>
      </c>
      <c r="T19">
        <f>[1]发票导入!T19</f>
        <v>46264.0</v>
      </c>
      <c r="U19" t="str">
        <f>[1]发票导入!U19&amp;""</f>
        <v>中智优力</v>
      </c>
      <c r="V19" t="str">
        <f>[1]发票导入!V19&amp;""</f>
        <v>进项</v>
      </c>
      <c r="W19" t="str">
        <f>[1]发票导入!W19&amp;""</f>
        <v>宁波市鄞州五乡苗涌食品商行</v>
      </c>
      <c r="Y19" t="str">
        <f>[1]发票导入!Y19&amp;""</f>
        <v>报销票</v>
      </c>
      <c r="AA19">
        <f>[1]发票导入!AA19&amp;""</f>
      </c>
      <c r="AB19">
        <f>[1]发票导入!AB19</f>
        <v>0</v>
      </c>
      <c r="AC19">
        <f>[1]发票导入!AC19</f>
        <v>0</v>
      </c>
      <c r="AE19" s="22">
        <f t="shared" si="0"/>
      </c>
      <c r="AI19">
        <f>[1]发票导入!AI19&amp;""</f>
      </c>
      <c r="AJ19" t="str">
        <f>[1]发票导入!AJ19&amp;""</f>
        <v>中智优力</v>
      </c>
      <c r="AK19">
        <f>[1]发票导入!AK19</f>
        <v>186.6</v>
      </c>
      <c r="AL19">
        <f>[1]发票导入!AL19</f>
        <v>184.75</v>
      </c>
      <c r="AM19">
        <f>[1]发票导入!AM19</f>
        <v>1.85</v>
      </c>
      <c r="AN19" s="22">
        <f t="shared" si="1"/>
        <v>0</v>
      </c>
      <c r="AO19" s="22">
        <f t="shared" si="2"/>
        <v>0</v>
      </c>
    </row>
    <row r="20">
      <c r="C20">
        <f>[1]发票导入!C20&amp;""</f>
      </c>
      <c r="D20" t="str">
        <f>[1]发票导入!D20&amp;""</f>
        <v>26312000005472431431</v>
      </c>
      <c r="O20" t="str">
        <f>[1]发票导入!O20&amp;""</f>
        <v>正常</v>
      </c>
      <c r="T20">
        <f>[1]发票导入!T20</f>
        <v>46262.0</v>
      </c>
      <c r="U20" t="str">
        <f>[1]发票导入!U20&amp;""</f>
        <v>中智优力</v>
      </c>
      <c r="V20" t="str">
        <f>[1]发票导入!V20&amp;""</f>
        <v>进项</v>
      </c>
      <c r="W20" t="str">
        <f>[1]发票导入!W20&amp;""</f>
        <v>上海贾斯伯电子商务有限公司</v>
      </c>
      <c r="Y20" t="str">
        <f>[1]发票导入!Y20&amp;""</f>
        <v>报销票</v>
      </c>
      <c r="AA20">
        <f>[1]发票导入!AA20&amp;""</f>
      </c>
      <c r="AB20">
        <f>[1]发票导入!AB20</f>
        <v>0</v>
      </c>
      <c r="AC20">
        <f>[1]发票导入!AC20</f>
        <v>0</v>
      </c>
      <c r="AE20" s="22">
        <f t="shared" si="0"/>
      </c>
      <c r="AI20">
        <f>[1]发票导入!AI20&amp;""</f>
      </c>
      <c r="AJ20" t="str">
        <f>[1]发票导入!AJ20&amp;""</f>
        <v>中智优力</v>
      </c>
      <c r="AK20">
        <f>[1]发票导入!AK20</f>
        <v>27.8</v>
      </c>
      <c r="AL20">
        <f>[1]发票导入!AL20</f>
        <v>27.52</v>
      </c>
      <c r="AM20">
        <f>[1]发票导入!AM20</f>
        <v>0.28</v>
      </c>
      <c r="AN20" s="22">
        <f t="shared" si="1"/>
        <v>0</v>
      </c>
      <c r="AO20" s="22">
        <f t="shared" si="2"/>
        <v>0</v>
      </c>
    </row>
    <row r="21">
      <c r="C21">
        <f>[1]发票导入!C21&amp;""</f>
      </c>
      <c r="D21" t="str">
        <f>[1]发票导入!D21&amp;""</f>
        <v>26932000001446778921</v>
      </c>
      <c r="O21" t="str">
        <f>[1]发票导入!O21&amp;""</f>
        <v>正常</v>
      </c>
      <c r="T21">
        <f>[1]发票导入!T21</f>
        <v>46261.0</v>
      </c>
      <c r="U21" t="str">
        <f>[1]发票导入!U21&amp;""</f>
        <v>中智优力</v>
      </c>
      <c r="V21" t="str">
        <f>[1]发票导入!V21&amp;""</f>
        <v>进项</v>
      </c>
      <c r="W21" t="str">
        <f>[1]发票导入!W21&amp;""</f>
        <v>宁波市鄞州新河周卫亚保健按摩店</v>
      </c>
      <c r="Y21" t="str">
        <f>[1]发票导入!Y21&amp;""</f>
        <v>报销票</v>
      </c>
      <c r="AA21">
        <f>[1]发票导入!AA21&amp;""</f>
      </c>
      <c r="AB21">
        <f>[1]发票导入!AB21</f>
        <v>0</v>
      </c>
      <c r="AC21">
        <f>[1]发票导入!AC21</f>
        <v>0</v>
      </c>
      <c r="AE21" s="22">
        <f t="shared" si="0"/>
      </c>
      <c r="AI21">
        <f>[1]发票导入!AI21&amp;""</f>
      </c>
      <c r="AJ21" t="str">
        <f>[1]发票导入!AJ21&amp;""</f>
        <v>中智优力</v>
      </c>
      <c r="AK21">
        <f>[1]发票导入!AK21</f>
        <v>599</v>
      </c>
      <c r="AL21">
        <f>[1]发票导入!AL21</f>
        <v>593.07</v>
      </c>
      <c r="AM21">
        <f>[1]发票导入!AM21</f>
        <v>5.93</v>
      </c>
      <c r="AN21" s="22">
        <f t="shared" si="1"/>
        <v>0</v>
      </c>
      <c r="AO21" s="22">
        <f t="shared" si="2"/>
        <v>0</v>
      </c>
    </row>
    <row r="22">
      <c r="C22">
        <f>[1]发票导入!C22&amp;""</f>
      </c>
      <c r="D22" t="str">
        <f>[1]发票导入!D22&amp;""</f>
        <v>26337000000749263345</v>
      </c>
      <c r="O22" t="str">
        <f>[1]发票导入!O22&amp;""</f>
        <v>正常</v>
      </c>
      <c r="T22">
        <f>[1]发票导入!T22</f>
        <v>46261.0</v>
      </c>
      <c r="U22" t="str">
        <f>[1]发票导入!U22&amp;""</f>
        <v>中智优力</v>
      </c>
      <c r="V22" t="str">
        <f>[1]发票导入!V22&amp;""</f>
        <v>进项</v>
      </c>
      <c r="W22" t="str">
        <f>[1]发票导入!W22&amp;""</f>
        <v>浙江高速公路智能收费运营服务有限公司</v>
      </c>
      <c r="Y22" t="str">
        <f>[1]发票导入!Y22&amp;""</f>
        <v>报销票</v>
      </c>
      <c r="AA22">
        <f>[1]发票导入!AA22&amp;""</f>
      </c>
      <c r="AB22">
        <f>[1]发票导入!AB22</f>
        <v>0</v>
      </c>
      <c r="AC22">
        <f>[1]发票导入!AC22</f>
        <v>0</v>
      </c>
      <c r="AE22" s="22">
        <f t="shared" si="0"/>
      </c>
      <c r="AI22">
        <f>[1]发票导入!AI22&amp;""</f>
      </c>
      <c r="AJ22" t="str">
        <f>[1]发票导入!AJ22&amp;""</f>
        <v>中智优力</v>
      </c>
      <c r="AK22">
        <f>[1]发票导入!AK22</f>
        <v>-101</v>
      </c>
      <c r="AL22">
        <f>[1]发票导入!AL22</f>
        <v>-101</v>
      </c>
      <c r="AM22">
        <f>[1]发票导入!AM22</f>
        <v>0</v>
      </c>
      <c r="AN22" s="22">
        <f t="shared" si="1"/>
        <v>0</v>
      </c>
      <c r="AO22" s="22">
        <f t="shared" si="2"/>
        <v>0</v>
      </c>
    </row>
    <row r="23">
      <c r="C23">
        <f>[1]发票导入!C23&amp;""</f>
      </c>
      <c r="D23" t="str">
        <f>[1]发票导入!D23&amp;""</f>
        <v>26332000007376819821</v>
      </c>
      <c r="O23" t="str">
        <f>[1]发票导入!O23&amp;""</f>
        <v>正常</v>
      </c>
      <c r="T23">
        <f>[1]发票导入!T23</f>
        <v>46261.0</v>
      </c>
      <c r="U23" t="str">
        <f>[1]发票导入!U23&amp;""</f>
        <v>中智优力</v>
      </c>
      <c r="V23" t="str">
        <f>[1]发票导入!V23&amp;""</f>
        <v>进项</v>
      </c>
      <c r="W23" t="str">
        <f>[1]发票导入!W23&amp;""</f>
        <v>永康市鲜铺餐饮店（个体工商户）</v>
      </c>
      <c r="Y23" t="str">
        <f>[1]发票导入!Y23&amp;""</f>
        <v>报销票</v>
      </c>
      <c r="AA23">
        <f>[1]发票导入!AA23&amp;""</f>
      </c>
      <c r="AB23">
        <f>[1]发票导入!AB23</f>
        <v>0</v>
      </c>
      <c r="AC23">
        <f>[1]发票导入!AC23</f>
        <v>0</v>
      </c>
      <c r="AE23" s="22">
        <f t="shared" si="0"/>
      </c>
      <c r="AI23">
        <f>[1]发票导入!AI23&amp;""</f>
      </c>
      <c r="AJ23" t="str">
        <f>[1]发票导入!AJ23&amp;""</f>
        <v>中智优力</v>
      </c>
      <c r="AK23">
        <f>[1]发票导入!AK23</f>
        <v>352</v>
      </c>
      <c r="AL23">
        <f>[1]发票导入!AL23</f>
        <v>348.51</v>
      </c>
      <c r="AM23">
        <f>[1]发票导入!AM23</f>
        <v>3.49</v>
      </c>
      <c r="AN23" s="22">
        <f t="shared" si="1"/>
        <v>0</v>
      </c>
      <c r="AO23" s="22">
        <f t="shared" si="2"/>
        <v>0</v>
      </c>
    </row>
    <row r="24">
      <c r="C24">
        <f>[1]发票导入!C24&amp;""</f>
      </c>
      <c r="D24" t="str">
        <f>[1]发票导入!D24&amp;""</f>
        <v>26337000000739178332</v>
      </c>
      <c r="O24" t="str">
        <f>[1]发票导入!O24&amp;""</f>
        <v>已红冲-全额</v>
      </c>
      <c r="T24">
        <f>[1]发票导入!T24</f>
        <v>46260.0</v>
      </c>
      <c r="U24" t="str">
        <f>[1]发票导入!U24&amp;""</f>
        <v>中智优力</v>
      </c>
      <c r="V24" t="str">
        <f>[1]发票导入!V24&amp;""</f>
        <v>进项</v>
      </c>
      <c r="W24" t="str">
        <f>[1]发票导入!W24&amp;""</f>
        <v>浙江高速公路智能收费运营服务有限公司</v>
      </c>
      <c r="Y24" t="str">
        <f>[1]发票导入!Y24&amp;""</f>
        <v>报销票</v>
      </c>
      <c r="AA24">
        <f>[1]发票导入!AA24&amp;""</f>
      </c>
      <c r="AB24">
        <f>[1]发票导入!AB24</f>
        <v>0</v>
      </c>
      <c r="AC24">
        <f>[1]发票导入!AC24</f>
        <v>0</v>
      </c>
      <c r="AE24" s="22">
        <f t="shared" si="0"/>
      </c>
      <c r="AI24">
        <f>[1]发票导入!AI24&amp;""</f>
      </c>
      <c r="AJ24" t="str">
        <f>[1]发票导入!AJ24&amp;""</f>
        <v>中智优力</v>
      </c>
      <c r="AK24">
        <f>[1]发票导入!AK24</f>
        <v>101</v>
      </c>
      <c r="AL24">
        <f>[1]发票导入!AL24</f>
        <v>101</v>
      </c>
      <c r="AM24">
        <f>[1]发票导入!AM24</f>
        <v>0</v>
      </c>
      <c r="AN24" s="22">
        <f t="shared" si="1"/>
        <v>0</v>
      </c>
      <c r="AO24" s="22">
        <f t="shared" si="2"/>
        <v>0</v>
      </c>
    </row>
    <row r="25">
      <c r="C25">
        <f>[1]发票导入!C25&amp;""</f>
      </c>
      <c r="D25" t="str">
        <f>[1]发票导入!D25&amp;""</f>
        <v>26112000003579582571</v>
      </c>
      <c r="O25" t="str">
        <f>[1]发票导入!O25&amp;""</f>
        <v>正常</v>
      </c>
      <c r="T25">
        <f>[1]发票导入!T25</f>
        <v>46260.0</v>
      </c>
      <c r="U25" t="str">
        <f>[1]发票导入!U25&amp;""</f>
        <v>中智优力</v>
      </c>
      <c r="V25" t="str">
        <f>[1]发票导入!V25&amp;""</f>
        <v>进项</v>
      </c>
      <c r="W25" t="str">
        <f>[1]发票导入!W25&amp;""</f>
        <v>北京东奥时代教育科技有限公司</v>
      </c>
      <c r="Y25" t="str">
        <f>[1]发票导入!Y25&amp;""</f>
        <v>报销票</v>
      </c>
      <c r="AA25">
        <f>[1]发票导入!AA25&amp;""</f>
      </c>
      <c r="AB25">
        <f>[1]发票导入!AB25</f>
        <v>0</v>
      </c>
      <c r="AC25">
        <f>[1]发票导入!AC25</f>
        <v>0</v>
      </c>
      <c r="AE25" s="22">
        <f t="shared" si="0"/>
      </c>
      <c r="AI25">
        <f>[1]发票导入!AI25&amp;""</f>
      </c>
      <c r="AJ25" t="str">
        <f>[1]发票导入!AJ25&amp;""</f>
        <v>中智优力</v>
      </c>
      <c r="AK25">
        <f>[1]发票导入!AK25</f>
        <v>40</v>
      </c>
      <c r="AL25">
        <f>[1]发票导入!AL25</f>
        <v>38.83</v>
      </c>
      <c r="AM25">
        <f>[1]发票导入!AM25</f>
        <v>1.17</v>
      </c>
      <c r="AN25" s="22">
        <f t="shared" si="1"/>
        <v>0</v>
      </c>
      <c r="AO25" s="22">
        <f t="shared" si="2"/>
        <v>0</v>
      </c>
    </row>
    <row r="26">
      <c r="C26">
        <f>[1]发票导入!C26&amp;""</f>
      </c>
      <c r="D26" t="str">
        <f>[1]发票导入!D26&amp;""</f>
        <v>26337000000745264580</v>
      </c>
      <c r="O26" t="str">
        <f>[1]发票导入!O26&amp;""</f>
        <v>正常</v>
      </c>
      <c r="T26">
        <f>[1]发票导入!T26</f>
        <v>46260.0</v>
      </c>
      <c r="U26" t="str">
        <f>[1]发票导入!U26&amp;""</f>
        <v>中智优力</v>
      </c>
      <c r="V26" t="str">
        <f>[1]发票导入!V26&amp;""</f>
        <v>进项</v>
      </c>
      <c r="W26" t="str">
        <f>[1]发票导入!W26&amp;""</f>
        <v>浙江高速公路智能收费运营服务有限公司</v>
      </c>
      <c r="Y26" t="str">
        <f>[1]发票导入!Y26&amp;""</f>
        <v>报销票</v>
      </c>
      <c r="AA26">
        <f>[1]发票导入!AA26&amp;""</f>
      </c>
      <c r="AB26">
        <f>[1]发票导入!AB26</f>
        <v>0</v>
      </c>
      <c r="AC26">
        <f>[1]发票导入!AC26</f>
        <v>0</v>
      </c>
      <c r="AE26" s="22">
        <f t="shared" si="0"/>
      </c>
      <c r="AI26">
        <f>[1]发票导入!AI26&amp;""</f>
      </c>
      <c r="AJ26" t="str">
        <f>[1]发票导入!AJ26&amp;""</f>
        <v>中智优力</v>
      </c>
      <c r="AK26">
        <f>[1]发票导入!AK26</f>
        <v>52</v>
      </c>
      <c r="AL26">
        <f>[1]发票导入!AL26</f>
        <v>52</v>
      </c>
      <c r="AM26">
        <f>[1]发票导入!AM26</f>
        <v>0</v>
      </c>
      <c r="AN26" s="22">
        <f t="shared" si="1"/>
        <v>0</v>
      </c>
      <c r="AO26" s="22">
        <f t="shared" si="2"/>
        <v>0</v>
      </c>
    </row>
    <row r="27">
      <c r="C27">
        <f>[1]发票导入!C27&amp;""</f>
      </c>
      <c r="D27" t="str">
        <f>[1]发票导入!D27&amp;""</f>
        <v>26442000009703294081</v>
      </c>
      <c r="O27" t="str">
        <f>[1]发票导入!O27&amp;""</f>
        <v>正常</v>
      </c>
      <c r="T27">
        <f>[1]发票导入!T27</f>
        <v>46258.0</v>
      </c>
      <c r="U27" t="str">
        <f>[1]发票导入!U27&amp;""</f>
        <v>中智优力</v>
      </c>
      <c r="V27" t="str">
        <f>[1]发票导入!V27&amp;""</f>
        <v>进项</v>
      </c>
      <c r="W27" t="str">
        <f>[1]发票导入!W27&amp;""</f>
        <v>广州市沁艺建材有限公司</v>
      </c>
      <c r="Y27" t="str">
        <f>[1]发票导入!Y27&amp;""</f>
        <v>报销票</v>
      </c>
      <c r="AA27">
        <f>[1]发票导入!AA27&amp;""</f>
      </c>
      <c r="AB27">
        <f>[1]发票导入!AB27</f>
        <v>0</v>
      </c>
      <c r="AC27">
        <f>[1]发票导入!AC27</f>
        <v>0</v>
      </c>
      <c r="AE27" s="22">
        <f t="shared" si="0"/>
      </c>
      <c r="AI27">
        <f>[1]发票导入!AI27&amp;""</f>
      </c>
      <c r="AJ27" t="str">
        <f>[1]发票导入!AJ27&amp;""</f>
        <v>中智优力</v>
      </c>
      <c r="AK27">
        <f>[1]发票导入!AK27</f>
        <v>22.9</v>
      </c>
      <c r="AL27">
        <f>[1]发票导入!AL27</f>
        <v>22.67</v>
      </c>
      <c r="AM27">
        <f>[1]发票导入!AM27</f>
        <v>0.23</v>
      </c>
      <c r="AN27" s="22">
        <f t="shared" si="1"/>
        <v>0</v>
      </c>
      <c r="AO27" s="22">
        <f t="shared" si="2"/>
        <v>0</v>
      </c>
    </row>
    <row r="28">
      <c r="C28">
        <f>[1]发票导入!C28&amp;""</f>
      </c>
      <c r="D28" t="str">
        <f>[1]发票导入!D28&amp;""</f>
        <v>26112000003530625886</v>
      </c>
      <c r="O28" t="str">
        <f>[1]发票导入!O28&amp;""</f>
        <v>正常</v>
      </c>
      <c r="T28">
        <f>[1]发票导入!T28</f>
        <v>46258.0</v>
      </c>
      <c r="U28" t="str">
        <f>[1]发票导入!U28&amp;""</f>
        <v>中智优力</v>
      </c>
      <c r="V28" t="str">
        <f>[1]发票导入!V28&amp;""</f>
        <v>进项</v>
      </c>
      <c r="W28" t="str">
        <f>[1]发票导入!W28&amp;""</f>
        <v>北京东奥时代教育科技有限公司</v>
      </c>
      <c r="Y28" t="str">
        <f>[1]发票导入!Y28&amp;""</f>
        <v>报销票</v>
      </c>
      <c r="AA28">
        <f>[1]发票导入!AA28&amp;""</f>
      </c>
      <c r="AB28">
        <f>[1]发票导入!AB28</f>
        <v>0</v>
      </c>
      <c r="AC28">
        <f>[1]发票导入!AC28</f>
        <v>0</v>
      </c>
      <c r="AE28" s="22">
        <f t="shared" si="0"/>
      </c>
      <c r="AI28">
        <f>[1]发票导入!AI28&amp;""</f>
      </c>
      <c r="AJ28" t="str">
        <f>[1]发票导入!AJ28&amp;""</f>
        <v>中智优力</v>
      </c>
      <c r="AK28">
        <f>[1]发票导入!AK28</f>
        <v>40</v>
      </c>
      <c r="AL28">
        <f>[1]发票导入!AL28</f>
        <v>38.83</v>
      </c>
      <c r="AM28">
        <f>[1]发票导入!AM28</f>
        <v>1.17</v>
      </c>
      <c r="AN28" s="22">
        <f t="shared" si="1"/>
        <v>0</v>
      </c>
      <c r="AO28" s="22">
        <f t="shared" si="2"/>
        <v>0</v>
      </c>
    </row>
    <row r="29">
      <c r="C29">
        <f>[1]发票导入!C29&amp;""</f>
      </c>
      <c r="D29" t="str">
        <f>[1]发票导入!D29&amp;""</f>
        <v>26937000000081084214</v>
      </c>
      <c r="O29" t="str">
        <f>[1]发票导入!O29&amp;""</f>
        <v>正常</v>
      </c>
      <c r="T29">
        <f>[1]发票导入!T29</f>
        <v>46257.0</v>
      </c>
      <c r="U29" t="str">
        <f>[1]发票导入!U29&amp;""</f>
        <v>中智优力</v>
      </c>
      <c r="V29" t="str">
        <f>[1]发票导入!V29&amp;""</f>
        <v>进项</v>
      </c>
      <c r="W29" t="str">
        <f>[1]发票导入!W29&amp;""</f>
        <v>中海油销售浙江有限公司</v>
      </c>
      <c r="Y29" t="str">
        <f>[1]发票导入!Y29&amp;""</f>
        <v>报销票</v>
      </c>
      <c r="AA29">
        <f>[1]发票导入!AA29&amp;""</f>
      </c>
      <c r="AB29">
        <f>[1]发票导入!AB29</f>
        <v>0</v>
      </c>
      <c r="AC29">
        <f>[1]发票导入!AC29</f>
        <v>0</v>
      </c>
      <c r="AE29" s="22">
        <f t="shared" si="0"/>
      </c>
      <c r="AI29">
        <f>[1]发票导入!AI29&amp;""</f>
      </c>
      <c r="AJ29" t="str">
        <f>[1]发票导入!AJ29&amp;""</f>
        <v>中智优力</v>
      </c>
      <c r="AK29">
        <f>[1]发票导入!AK29</f>
        <v>200</v>
      </c>
      <c r="AL29">
        <f>[1]发票导入!AL29</f>
        <v>176.99</v>
      </c>
      <c r="AM29">
        <f>[1]发票导入!AM29</f>
        <v>23.01</v>
      </c>
      <c r="AN29" s="22">
        <f t="shared" si="1"/>
        <v>0</v>
      </c>
      <c r="AO29" s="22">
        <f t="shared" si="2"/>
        <v>0</v>
      </c>
    </row>
    <row r="30">
      <c r="C30">
        <f>[1]发票导入!C30&amp;""</f>
      </c>
      <c r="D30" t="str">
        <f>[1]发票导入!D30&amp;""</f>
        <v>26342000002668710361</v>
      </c>
      <c r="O30" t="str">
        <f>[1]发票导入!O30&amp;""</f>
        <v>正常</v>
      </c>
      <c r="T30">
        <f>[1]发票导入!T30</f>
        <v>46257.0</v>
      </c>
      <c r="U30" t="str">
        <f>[1]发票导入!U30&amp;""</f>
        <v>中智优力</v>
      </c>
      <c r="V30" t="str">
        <f>[1]发票导入!V30&amp;""</f>
        <v>进项</v>
      </c>
      <c r="W30" t="str">
        <f>[1]发票导入!W30&amp;""</f>
        <v>芜湖聚木家居有限公司</v>
      </c>
      <c r="Y30" t="str">
        <f>[1]发票导入!Y30&amp;""</f>
        <v>报销票</v>
      </c>
      <c r="AA30">
        <f>[1]发票导入!AA30&amp;""</f>
      </c>
      <c r="AB30">
        <f>[1]发票导入!AB30</f>
        <v>0</v>
      </c>
      <c r="AC30">
        <f>[1]发票导入!AC30</f>
        <v>0</v>
      </c>
      <c r="AE30" s="22">
        <f t="shared" si="0"/>
      </c>
      <c r="AI30">
        <f>[1]发票导入!AI30&amp;""</f>
      </c>
      <c r="AJ30" t="str">
        <f>[1]发票导入!AJ30&amp;""</f>
        <v>中智优力</v>
      </c>
      <c r="AK30">
        <f>[1]发票导入!AK30</f>
        <v>54.05</v>
      </c>
      <c r="AL30">
        <f>[1]发票导入!AL30</f>
        <v>47.83</v>
      </c>
      <c r="AM30">
        <f>[1]发票导入!AM30</f>
        <v>6.22</v>
      </c>
      <c r="AN30" s="22">
        <f t="shared" si="1"/>
        <v>0</v>
      </c>
      <c r="AO30" s="22">
        <f t="shared" si="2"/>
        <v>0</v>
      </c>
    </row>
    <row r="31">
      <c r="C31">
        <f>[1]发票导入!C31&amp;""</f>
      </c>
      <c r="D31" t="str">
        <f>[1]发票导入!D31&amp;""</f>
        <v>26932000001410160246</v>
      </c>
      <c r="O31" t="str">
        <f>[1]发票导入!O31&amp;""</f>
        <v>正常</v>
      </c>
      <c r="T31">
        <f>[1]发票导入!T31</f>
        <v>46256.0</v>
      </c>
      <c r="U31" t="str">
        <f>[1]发票导入!U31&amp;""</f>
        <v>中智优力</v>
      </c>
      <c r="V31" t="str">
        <f>[1]发票导入!V31&amp;""</f>
        <v>进项</v>
      </c>
      <c r="W31" t="str">
        <f>[1]发票导入!W31&amp;""</f>
        <v>宁波高新区扬亿得阳餐饮店（个体工商户）</v>
      </c>
      <c r="Y31" t="str">
        <f>[1]发票导入!Y31&amp;""</f>
        <v>报销票</v>
      </c>
      <c r="AA31">
        <f>[1]发票导入!AA31&amp;""</f>
      </c>
      <c r="AB31">
        <f>[1]发票导入!AB31</f>
        <v>0</v>
      </c>
      <c r="AC31">
        <f>[1]发票导入!AC31</f>
        <v>0</v>
      </c>
      <c r="AE31" s="22">
        <f t="shared" si="0"/>
      </c>
      <c r="AI31">
        <f>[1]发票导入!AI31&amp;""</f>
      </c>
      <c r="AJ31" t="str">
        <f>[1]发票导入!AJ31&amp;""</f>
        <v>中智优力</v>
      </c>
      <c r="AK31">
        <f>[1]发票导入!AK31</f>
        <v>526</v>
      </c>
      <c r="AL31">
        <f>[1]发票导入!AL31</f>
        <v>520.79</v>
      </c>
      <c r="AM31">
        <f>[1]发票导入!AM31</f>
        <v>5.21</v>
      </c>
      <c r="AN31" s="22">
        <f t="shared" si="1"/>
        <v>0</v>
      </c>
      <c r="AO31" s="22">
        <f t="shared" si="2"/>
        <v>0</v>
      </c>
    </row>
    <row r="32">
      <c r="C32">
        <f>[1]发票导入!C32&amp;""</f>
      </c>
      <c r="D32" t="str">
        <f>[1]发票导入!D32&amp;""</f>
        <v>26532000001411642156</v>
      </c>
      <c r="O32" t="str">
        <f>[1]发票导入!O32&amp;""</f>
        <v>正常</v>
      </c>
      <c r="T32">
        <f>[1]发票导入!T32</f>
        <v>46256.0</v>
      </c>
      <c r="U32" t="str">
        <f>[1]发票导入!U32&amp;""</f>
        <v>中智优力</v>
      </c>
      <c r="V32" t="str">
        <f>[1]发票导入!V32&amp;""</f>
        <v>进项</v>
      </c>
      <c r="W32" t="str">
        <f>[1]发票导入!W32&amp;""</f>
        <v>昆明艾德商贸有限公司</v>
      </c>
      <c r="Y32" t="str">
        <f>[1]发票导入!Y32&amp;""</f>
        <v>报销票</v>
      </c>
      <c r="AA32">
        <f>[1]发票导入!AA32&amp;""</f>
      </c>
      <c r="AB32">
        <f>[1]发票导入!AB32</f>
        <v>0</v>
      </c>
      <c r="AC32">
        <f>[1]发票导入!AC32</f>
        <v>0</v>
      </c>
      <c r="AE32" s="22">
        <f t="shared" si="0"/>
      </c>
      <c r="AI32">
        <f>[1]发票导入!AI32&amp;""</f>
      </c>
      <c r="AJ32" t="str">
        <f>[1]发票导入!AJ32&amp;""</f>
        <v>中智优力</v>
      </c>
      <c r="AK32">
        <f>[1]发票导入!AK32</f>
        <v>29.8</v>
      </c>
      <c r="AL32">
        <f>[1]发票导入!AL32</f>
        <v>29.8</v>
      </c>
      <c r="AM32">
        <f>[1]发票导入!AM32</f>
        <v>0</v>
      </c>
      <c r="AN32" s="22">
        <f t="shared" si="1"/>
        <v>0</v>
      </c>
      <c r="AO32" s="22">
        <f t="shared" si="2"/>
        <v>0</v>
      </c>
    </row>
    <row r="33">
      <c r="C33">
        <f>[1]发票导入!C33&amp;""</f>
      </c>
      <c r="D33" t="str">
        <f>[1]发票导入!D33&amp;""</f>
        <v>26342000002662141096</v>
      </c>
      <c r="O33" t="str">
        <f>[1]发票导入!O33&amp;""</f>
        <v>正常</v>
      </c>
      <c r="T33">
        <f>[1]发票导入!T33</f>
        <v>46256.0</v>
      </c>
      <c r="U33" t="str">
        <f>[1]发票导入!U33&amp;""</f>
        <v>中智优力</v>
      </c>
      <c r="V33" t="str">
        <f>[1]发票导入!V33&amp;""</f>
        <v>进项</v>
      </c>
      <c r="W33" t="str">
        <f>[1]发票导入!W33&amp;""</f>
        <v>合肥市高新区诚延商贸经营部（个体工商户）</v>
      </c>
      <c r="Y33" t="str">
        <f>[1]发票导入!Y33&amp;""</f>
        <v>报销票</v>
      </c>
      <c r="AA33">
        <f>[1]发票导入!AA33&amp;""</f>
      </c>
      <c r="AB33">
        <f>[1]发票导入!AB33</f>
        <v>0</v>
      </c>
      <c r="AC33">
        <f>[1]发票导入!AC33</f>
        <v>0</v>
      </c>
      <c r="AE33" s="22">
        <f t="shared" si="0"/>
      </c>
      <c r="AI33">
        <f>[1]发票导入!AI33&amp;""</f>
      </c>
      <c r="AJ33" t="str">
        <f>[1]发票导入!AJ33&amp;""</f>
        <v>中智优力</v>
      </c>
      <c r="AK33">
        <f>[1]发票导入!AK33</f>
        <v>288</v>
      </c>
      <c r="AL33">
        <f>[1]发票导入!AL33</f>
        <v>285.15</v>
      </c>
      <c r="AM33">
        <f>[1]发票导入!AM33</f>
        <v>2.85</v>
      </c>
      <c r="AN33" s="22">
        <f t="shared" si="1"/>
        <v>0</v>
      </c>
      <c r="AO33" s="22">
        <f t="shared" si="2"/>
        <v>0</v>
      </c>
    </row>
    <row r="34">
      <c r="C34">
        <f>[1]发票导入!C34&amp;""</f>
      </c>
      <c r="D34" t="str">
        <f>[1]发票导入!D34&amp;""</f>
        <v>26934000000048429166</v>
      </c>
      <c r="O34" t="str">
        <f>[1]发票导入!O34&amp;""</f>
        <v>正常</v>
      </c>
      <c r="T34">
        <f>[1]发票导入!T34</f>
        <v>46254.0</v>
      </c>
      <c r="U34" t="str">
        <f>[1]发票导入!U34&amp;""</f>
        <v>中智优力</v>
      </c>
      <c r="V34" t="str">
        <f>[1]发票导入!V34&amp;""</f>
        <v>进项</v>
      </c>
      <c r="W34" t="str">
        <f>[1]发票导入!W34&amp;""</f>
        <v>宁波市鄞州五乡肖培餐饮店（个体工商户）</v>
      </c>
      <c r="Y34" t="str">
        <f>[1]发票导入!Y34&amp;""</f>
        <v>报销票</v>
      </c>
      <c r="AA34">
        <f>[1]发票导入!AA34&amp;""</f>
      </c>
      <c r="AB34">
        <f>[1]发票导入!AB34</f>
        <v>0</v>
      </c>
      <c r="AC34">
        <f>[1]发票导入!AC34</f>
        <v>0</v>
      </c>
      <c r="AE34" s="22">
        <f t="shared" si="0"/>
      </c>
      <c r="AI34">
        <f>[1]发票导入!AI34&amp;""</f>
      </c>
      <c r="AJ34" t="str">
        <f>[1]发票导入!AJ34&amp;""</f>
        <v>中智优力</v>
      </c>
      <c r="AK34">
        <f>[1]发票导入!AK34</f>
        <v>1043</v>
      </c>
      <c r="AL34">
        <f>[1]发票导入!AL34</f>
        <v>1032.67</v>
      </c>
      <c r="AM34">
        <f>[1]发票导入!AM34</f>
        <v>10.33</v>
      </c>
      <c r="AN34" s="22">
        <f t="shared" si="1"/>
        <v>0</v>
      </c>
      <c r="AO34" s="22">
        <f t="shared" si="2"/>
        <v>0</v>
      </c>
    </row>
    <row r="35">
      <c r="C35">
        <f>[1]发票导入!C35&amp;""</f>
      </c>
      <c r="D35" t="str">
        <f>[1]发票导入!D35&amp;""</f>
        <v>26937000000081083768</v>
      </c>
      <c r="O35" t="str">
        <f>[1]发票导入!O35&amp;""</f>
        <v>正常</v>
      </c>
      <c r="T35">
        <f>[1]发票导入!T35</f>
        <v>46254.0</v>
      </c>
      <c r="U35" t="str">
        <f>[1]发票导入!U35&amp;""</f>
        <v>中智优力</v>
      </c>
      <c r="V35" t="str">
        <f>[1]发票导入!V35&amp;""</f>
        <v>进项</v>
      </c>
      <c r="W35" t="str">
        <f>[1]发票导入!W35&amp;""</f>
        <v>中海油销售浙江有限公司</v>
      </c>
      <c r="Y35" t="str">
        <f>[1]发票导入!Y35&amp;""</f>
        <v>报销票</v>
      </c>
      <c r="AA35">
        <f>[1]发票导入!AA35&amp;""</f>
      </c>
      <c r="AB35">
        <f>[1]发票导入!AB35</f>
        <v>0</v>
      </c>
      <c r="AC35">
        <f>[1]发票导入!AC35</f>
        <v>0</v>
      </c>
      <c r="AE35" s="22">
        <f t="shared" si="0"/>
      </c>
      <c r="AI35">
        <f>[1]发票导入!AI35&amp;""</f>
      </c>
      <c r="AJ35" t="str">
        <f>[1]发票导入!AJ35&amp;""</f>
        <v>中智优力</v>
      </c>
      <c r="AK35">
        <f>[1]发票导入!AK35</f>
        <v>1099.46</v>
      </c>
      <c r="AL35">
        <f>[1]发票导入!AL35</f>
        <v>972.97</v>
      </c>
      <c r="AM35">
        <f>[1]发票导入!AM35</f>
        <v>126.49</v>
      </c>
      <c r="AN35" s="22">
        <f t="shared" si="1"/>
        <v>0</v>
      </c>
      <c r="AO35" s="22">
        <f t="shared" si="2"/>
        <v>0</v>
      </c>
    </row>
    <row r="36">
      <c r="C36">
        <f>[1]发票导入!C36&amp;""</f>
      </c>
      <c r="D36" t="str">
        <f>[1]发票导入!D36&amp;""</f>
        <v>26937000000081083767</v>
      </c>
      <c r="O36" t="str">
        <f>[1]发票导入!O36&amp;""</f>
        <v>正常</v>
      </c>
      <c r="T36">
        <f>[1]发票导入!T36</f>
        <v>46254.0</v>
      </c>
      <c r="U36" t="str">
        <f>[1]发票导入!U36&amp;""</f>
        <v>中智优力</v>
      </c>
      <c r="V36" t="str">
        <f>[1]发票导入!V36&amp;""</f>
        <v>进项</v>
      </c>
      <c r="W36" t="str">
        <f>[1]发票导入!W36&amp;""</f>
        <v>中海油销售浙江有限公司</v>
      </c>
      <c r="Y36" t="str">
        <f>[1]发票导入!Y36&amp;""</f>
        <v>报销票</v>
      </c>
      <c r="AA36">
        <f>[1]发票导入!AA36&amp;""</f>
      </c>
      <c r="AB36">
        <f>[1]发票导入!AB36</f>
        <v>0</v>
      </c>
      <c r="AC36">
        <f>[1]发票导入!AC36</f>
        <v>0</v>
      </c>
      <c r="AE36" s="22">
        <f t="shared" si="0"/>
      </c>
      <c r="AI36">
        <f>[1]发票导入!AI36&amp;""</f>
      </c>
      <c r="AJ36" t="str">
        <f>[1]发票导入!AJ36&amp;""</f>
        <v>中智优力</v>
      </c>
      <c r="AK36">
        <f>[1]发票导入!AK36</f>
        <v>81</v>
      </c>
      <c r="AL36">
        <f>[1]发票导入!AL36</f>
        <v>71.68</v>
      </c>
      <c r="AM36">
        <f>[1]发票导入!AM36</f>
        <v>9.32</v>
      </c>
      <c r="AN36" s="22">
        <f t="shared" si="1"/>
        <v>0</v>
      </c>
      <c r="AO36" s="22">
        <f t="shared" si="2"/>
        <v>0</v>
      </c>
    </row>
    <row r="37">
      <c r="C37">
        <f>[1]发票导入!C37&amp;""</f>
      </c>
      <c r="D37" t="str">
        <f>[1]发票导入!D37&amp;""</f>
        <v>26337000000746872489</v>
      </c>
      <c r="O37" t="str">
        <f>[1]发票导入!O37&amp;""</f>
        <v>正常</v>
      </c>
      <c r="T37">
        <f>[1]发票导入!T37</f>
        <v>46254.0</v>
      </c>
      <c r="U37" t="str">
        <f>[1]发票导入!U37&amp;""</f>
        <v>中智优力</v>
      </c>
      <c r="V37" t="str">
        <f>[1]发票导入!V37&amp;""</f>
        <v>进项</v>
      </c>
      <c r="W37" t="str">
        <f>[1]发票导入!W37&amp;""</f>
        <v>浙江高速石油发展有限公司</v>
      </c>
      <c r="Y37" t="str">
        <f>[1]发票导入!Y37&amp;""</f>
        <v>报销票</v>
      </c>
      <c r="AA37">
        <f>[1]发票导入!AA37&amp;""</f>
      </c>
      <c r="AB37">
        <f>[1]发票导入!AB37</f>
        <v>0</v>
      </c>
      <c r="AC37">
        <f>[1]发票导入!AC37</f>
        <v>0</v>
      </c>
      <c r="AE37" s="22">
        <f t="shared" si="0"/>
      </c>
      <c r="AI37">
        <f>[1]发票导入!AI37&amp;""</f>
      </c>
      <c r="AJ37" t="str">
        <f>[1]发票导入!AJ37&amp;""</f>
        <v>中智优力</v>
      </c>
      <c r="AK37">
        <f>[1]发票导入!AK37</f>
        <v>200</v>
      </c>
      <c r="AL37">
        <f>[1]发票导入!AL37</f>
        <v>176.99</v>
      </c>
      <c r="AM37">
        <f>[1]发票导入!AM37</f>
        <v>23.01</v>
      </c>
      <c r="AN37" s="22">
        <f t="shared" si="1"/>
        <v>0</v>
      </c>
      <c r="AO37" s="22">
        <f t="shared" si="2"/>
        <v>0</v>
      </c>
    </row>
    <row r="38">
      <c r="C38">
        <f>[1]发票导入!C38&amp;""</f>
      </c>
      <c r="D38" t="str">
        <f>[1]发票导入!D38&amp;""</f>
        <v>26337000000746996305</v>
      </c>
      <c r="O38" t="str">
        <f>[1]发票导入!O38&amp;""</f>
        <v>正常</v>
      </c>
      <c r="T38">
        <f>[1]发票导入!T38</f>
        <v>46253.0</v>
      </c>
      <c r="U38" t="str">
        <f>[1]发票导入!U38&amp;""</f>
        <v>中智优力</v>
      </c>
      <c r="V38" t="str">
        <f>[1]发票导入!V38&amp;""</f>
        <v>进项</v>
      </c>
      <c r="W38" t="str">
        <f>[1]发票导入!W38&amp;""</f>
        <v>杭州京东惠景贸易有限公司</v>
      </c>
      <c r="Y38" t="str">
        <f>[1]发票导入!Y38&amp;""</f>
        <v>报销票</v>
      </c>
      <c r="AA38">
        <f>[1]发票导入!AA38&amp;""</f>
      </c>
      <c r="AB38">
        <f>[1]发票导入!AB38</f>
        <v>0</v>
      </c>
      <c r="AC38">
        <f>[1]发票导入!AC38</f>
        <v>0</v>
      </c>
      <c r="AE38" s="22">
        <f t="shared" si="0"/>
      </c>
      <c r="AI38">
        <f>[1]发票导入!AI38&amp;""</f>
      </c>
      <c r="AJ38" t="str">
        <f>[1]发票导入!AJ38&amp;""</f>
        <v>中智优力</v>
      </c>
      <c r="AK38">
        <f>[1]发票导入!AK38</f>
        <v>859</v>
      </c>
      <c r="AL38">
        <f>[1]发票导入!AL38</f>
        <v>760.18</v>
      </c>
      <c r="AM38">
        <f>[1]发票导入!AM38</f>
        <v>98.82</v>
      </c>
      <c r="AN38" s="22">
        <f t="shared" si="1"/>
        <v>0</v>
      </c>
      <c r="AO38" s="22">
        <f t="shared" si="2"/>
        <v>0</v>
      </c>
    </row>
    <row r="39">
      <c r="C39">
        <f>[1]发票导入!C39&amp;""</f>
      </c>
      <c r="D39" t="str">
        <f>[1]发票导入!D39&amp;""</f>
        <v>26934000000048681526</v>
      </c>
      <c r="O39" t="str">
        <f>[1]发票导入!O39&amp;""</f>
        <v>正常</v>
      </c>
      <c r="T39">
        <f>[1]发票导入!T39</f>
        <v>46253.0</v>
      </c>
      <c r="U39" t="str">
        <f>[1]发票导入!U39&amp;""</f>
        <v>中智优力</v>
      </c>
      <c r="V39" t="str">
        <f>[1]发票导入!V39&amp;""</f>
        <v>进项</v>
      </c>
      <c r="W39" t="str">
        <f>[1]发票导入!W39&amp;""</f>
        <v>宁波市鄞州五乡唐羽饮品店（个体工商户）</v>
      </c>
      <c r="Y39" t="str">
        <f>[1]发票导入!Y39&amp;""</f>
        <v>报销票</v>
      </c>
      <c r="AA39">
        <f>[1]发票导入!AA39&amp;""</f>
      </c>
      <c r="AB39">
        <f>[1]发票导入!AB39</f>
        <v>0</v>
      </c>
      <c r="AC39">
        <f>[1]发票导入!AC39</f>
        <v>0</v>
      </c>
      <c r="AE39" s="22">
        <f t="shared" si="0"/>
      </c>
      <c r="AI39">
        <f>[1]发票导入!AI39&amp;""</f>
      </c>
      <c r="AJ39" t="str">
        <f>[1]发票导入!AJ39&amp;""</f>
        <v>中智优力</v>
      </c>
      <c r="AK39">
        <f>[1]发票导入!AK39</f>
        <v>42</v>
      </c>
      <c r="AL39">
        <f>[1]发票导入!AL39</f>
        <v>41.58</v>
      </c>
      <c r="AM39">
        <f>[1]发票导入!AM39</f>
        <v>0.42</v>
      </c>
      <c r="AN39" s="22">
        <f t="shared" si="1"/>
        <v>0</v>
      </c>
      <c r="AO39" s="22">
        <f t="shared" si="2"/>
        <v>0</v>
      </c>
    </row>
    <row r="40">
      <c r="C40">
        <f>[1]发票导入!C40&amp;""</f>
      </c>
      <c r="D40" t="str">
        <f>[1]发票导入!D40&amp;""</f>
        <v>26934000000048530476</v>
      </c>
      <c r="O40" t="str">
        <f>[1]发票导入!O40&amp;""</f>
        <v>正常</v>
      </c>
      <c r="T40">
        <f>[1]发票导入!T40</f>
        <v>46253.0</v>
      </c>
      <c r="U40" t="str">
        <f>[1]发票导入!U40&amp;""</f>
        <v>中智优力</v>
      </c>
      <c r="V40" t="str">
        <f>[1]发票导入!V40&amp;""</f>
        <v>进项</v>
      </c>
      <c r="W40" t="str">
        <f>[1]发票导入!W40&amp;""</f>
        <v>宁波市鄞州五乡玲冰餐饮店（个体工商户）</v>
      </c>
      <c r="Y40" t="str">
        <f>[1]发票导入!Y40&amp;""</f>
        <v>报销票</v>
      </c>
      <c r="AA40">
        <f>[1]发票导入!AA40&amp;""</f>
      </c>
      <c r="AB40">
        <f>[1]发票导入!AB40</f>
        <v>0</v>
      </c>
      <c r="AC40">
        <f>[1]发票导入!AC40</f>
        <v>0</v>
      </c>
      <c r="AE40" s="22">
        <f t="shared" si="0"/>
      </c>
      <c r="AI40">
        <f>[1]发票导入!AI40&amp;""</f>
      </c>
      <c r="AJ40" t="str">
        <f>[1]发票导入!AJ40&amp;""</f>
        <v>中智优力</v>
      </c>
      <c r="AK40">
        <f>[1]发票导入!AK40</f>
        <v>26.85</v>
      </c>
      <c r="AL40">
        <f>[1]发票导入!AL40</f>
        <v>26.58</v>
      </c>
      <c r="AM40">
        <f>[1]发票导入!AM40</f>
        <v>0.27</v>
      </c>
      <c r="AN40" s="22">
        <f t="shared" si="1"/>
        <v>0</v>
      </c>
      <c r="AO40" s="22">
        <f t="shared" si="2"/>
        <v>0</v>
      </c>
    </row>
    <row r="41">
      <c r="C41">
        <f>[1]发票导入!C41&amp;""</f>
      </c>
      <c r="D41" t="str">
        <f>[1]发票导入!D41&amp;""</f>
        <v>26932000001390446241</v>
      </c>
      <c r="O41" t="str">
        <f>[1]发票导入!O41&amp;""</f>
        <v>正常</v>
      </c>
      <c r="T41">
        <f>[1]发票导入!T41</f>
        <v>46253.0</v>
      </c>
      <c r="U41" t="str">
        <f>[1]发票导入!U41&amp;""</f>
        <v>中智优力</v>
      </c>
      <c r="V41" t="str">
        <f>[1]发票导入!V41&amp;""</f>
        <v>进项</v>
      </c>
      <c r="W41" t="str">
        <f>[1]发票导入!W41&amp;""</f>
        <v>宁波浥尘科技有限公司</v>
      </c>
      <c r="Y41" t="str">
        <f>[1]发票导入!Y41&amp;""</f>
        <v>报销票</v>
      </c>
      <c r="AA41">
        <f>[1]发票导入!AA41&amp;""</f>
      </c>
      <c r="AB41">
        <f>[1]发票导入!AB41</f>
        <v>0</v>
      </c>
      <c r="AC41">
        <f>[1]发票导入!AC41</f>
        <v>0</v>
      </c>
      <c r="AE41" s="22">
        <f t="shared" si="0"/>
      </c>
      <c r="AI41">
        <f>[1]发票导入!AI41&amp;""</f>
      </c>
      <c r="AJ41" t="str">
        <f>[1]发票导入!AJ41&amp;""</f>
        <v>中智优力</v>
      </c>
      <c r="AK41">
        <f>[1]发票导入!AK41</f>
        <v>165.39</v>
      </c>
      <c r="AL41">
        <f>[1]发票导入!AL41</f>
        <v>146.36</v>
      </c>
      <c r="AM41">
        <f>[1]发票导入!AM41</f>
        <v>19.03</v>
      </c>
      <c r="AN41" s="22">
        <f t="shared" si="1"/>
        <v>0</v>
      </c>
      <c r="AO41" s="22">
        <f t="shared" si="2"/>
        <v>0</v>
      </c>
    </row>
    <row r="42">
      <c r="C42">
        <f>[1]发票导入!C42&amp;""</f>
      </c>
      <c r="D42" t="str">
        <f>[1]发票导入!D42&amp;""</f>
        <v>26117000001254409869</v>
      </c>
      <c r="O42" t="str">
        <f>[1]发票导入!O42&amp;""</f>
        <v>正常</v>
      </c>
      <c r="T42">
        <f>[1]发票导入!T42</f>
        <v>46253.0</v>
      </c>
      <c r="U42" t="str">
        <f>[1]发票导入!U42&amp;""</f>
        <v>中智优力</v>
      </c>
      <c r="V42" t="str">
        <f>[1]发票导入!V42&amp;""</f>
        <v>进项</v>
      </c>
      <c r="W42" t="str">
        <f>[1]发票导入!W42&amp;""</f>
        <v>北京京东叁佰陆拾度电子商务有限公司</v>
      </c>
      <c r="Y42" t="str">
        <f>[1]发票导入!Y42&amp;""</f>
        <v>报销票</v>
      </c>
      <c r="AA42">
        <f>[1]发票导入!AA42&amp;""</f>
      </c>
      <c r="AB42">
        <f>[1]发票导入!AB42</f>
        <v>0</v>
      </c>
      <c r="AC42">
        <f>[1]发票导入!AC42</f>
        <v>0</v>
      </c>
      <c r="AE42" s="22">
        <f t="shared" si="0"/>
      </c>
      <c r="AI42">
        <f>[1]发票导入!AI42&amp;""</f>
      </c>
      <c r="AJ42" t="str">
        <f>[1]发票导入!AJ42&amp;""</f>
        <v>中智优力</v>
      </c>
      <c r="AK42">
        <f>[1]发票导入!AK42</f>
        <v>99</v>
      </c>
      <c r="AL42">
        <f>[1]发票导入!AL42</f>
        <v>93.4</v>
      </c>
      <c r="AM42">
        <f>[1]发票导入!AM42</f>
        <v>5.6</v>
      </c>
      <c r="AN42" s="22">
        <f t="shared" si="1"/>
        <v>0</v>
      </c>
      <c r="AO42" s="22">
        <f t="shared" si="2"/>
        <v>0</v>
      </c>
    </row>
    <row r="43">
      <c r="C43">
        <f>[1]发票导入!C43&amp;""</f>
      </c>
      <c r="D43" t="str">
        <f>[1]发票导入!D43&amp;""</f>
        <v>26352000001947013606</v>
      </c>
      <c r="O43" t="str">
        <f>[1]发票导入!O43&amp;""</f>
        <v>正常</v>
      </c>
      <c r="T43">
        <f>[1]发票导入!T43</f>
        <v>46252.0</v>
      </c>
      <c r="U43" t="str">
        <f>[1]发票导入!U43&amp;""</f>
        <v>中智优力</v>
      </c>
      <c r="V43" t="str">
        <f>[1]发票导入!V43&amp;""</f>
        <v>进项</v>
      </c>
      <c r="W43" t="str">
        <f>[1]发票导入!W43&amp;""</f>
        <v>福建喜粮晨食品有限公司</v>
      </c>
      <c r="Y43" t="str">
        <f>[1]发票导入!Y43&amp;""</f>
        <v>报销票</v>
      </c>
      <c r="AA43">
        <f>[1]发票导入!AA43&amp;""</f>
      </c>
      <c r="AB43">
        <f>[1]发票导入!AB43</f>
        <v>0</v>
      </c>
      <c r="AC43">
        <f>[1]发票导入!AC43</f>
        <v>0</v>
      </c>
      <c r="AE43" s="22">
        <f t="shared" si="0"/>
      </c>
      <c r="AI43">
        <f>[1]发票导入!AI43&amp;""</f>
      </c>
      <c r="AJ43" t="str">
        <f>[1]发票导入!AJ43&amp;""</f>
        <v>中智优力</v>
      </c>
      <c r="AK43">
        <f>[1]发票导入!AK43</f>
        <v>38.41</v>
      </c>
      <c r="AL43">
        <f>[1]发票导入!AL43</f>
        <v>33.99</v>
      </c>
      <c r="AM43">
        <f>[1]发票导入!AM43</f>
        <v>4.42</v>
      </c>
      <c r="AN43" s="22">
        <f t="shared" si="1"/>
        <v>0</v>
      </c>
      <c r="AO43" s="22">
        <f t="shared" si="2"/>
        <v>0</v>
      </c>
    </row>
    <row r="44">
      <c r="C44">
        <f>[1]发票导入!C44&amp;""</f>
      </c>
      <c r="D44" t="str">
        <f>[1]发票导入!D44&amp;""</f>
        <v>26317000002897929050</v>
      </c>
      <c r="O44" t="str">
        <f>[1]发票导入!O44&amp;""</f>
        <v>正常</v>
      </c>
      <c r="T44">
        <f>[1]发票导入!T44</f>
        <v>46252.0</v>
      </c>
      <c r="U44" t="str">
        <f>[1]发票导入!U44&amp;""</f>
        <v>中智优力</v>
      </c>
      <c r="V44" t="str">
        <f>[1]发票导入!V44&amp;""</f>
        <v>进项</v>
      </c>
      <c r="W44" t="str">
        <f>[1]发票导入!W44&amp;""</f>
        <v>上海三快智送科技有限公司</v>
      </c>
      <c r="Y44" t="str">
        <f>[1]发票导入!Y44&amp;""</f>
        <v>报销票</v>
      </c>
      <c r="AA44">
        <f>[1]发票导入!AA44&amp;""</f>
      </c>
      <c r="AB44">
        <f>[1]发票导入!AB44</f>
        <v>0</v>
      </c>
      <c r="AC44">
        <f>[1]发票导入!AC44</f>
        <v>0</v>
      </c>
      <c r="AE44" s="22">
        <f t="shared" si="0"/>
      </c>
      <c r="AI44">
        <f>[1]发票导入!AI44&amp;""</f>
      </c>
      <c r="AJ44" t="str">
        <f>[1]发票导入!AJ44&amp;""</f>
        <v>中智优力</v>
      </c>
      <c r="AK44">
        <f>[1]发票导入!AK44</f>
        <v>2.85</v>
      </c>
      <c r="AL44">
        <f>[1]发票导入!AL44</f>
        <v>2.69</v>
      </c>
      <c r="AM44">
        <f>[1]发票导入!AM44</f>
        <v>0.16</v>
      </c>
      <c r="AN44" s="22">
        <f t="shared" si="1"/>
        <v>0</v>
      </c>
      <c r="AO44" s="22">
        <f t="shared" si="2"/>
        <v>0</v>
      </c>
    </row>
    <row r="45">
      <c r="C45">
        <f>[1]发票导入!C45&amp;""</f>
      </c>
      <c r="D45" t="str">
        <f>[1]发票导入!D45&amp;""</f>
        <v>26317000002897929032</v>
      </c>
      <c r="O45" t="str">
        <f>[1]发票导入!O45&amp;""</f>
        <v>正常</v>
      </c>
      <c r="T45">
        <f>[1]发票导入!T45</f>
        <v>46252.0</v>
      </c>
      <c r="U45" t="str">
        <f>[1]发票导入!U45&amp;""</f>
        <v>中智优力</v>
      </c>
      <c r="V45" t="str">
        <f>[1]发票导入!V45&amp;""</f>
        <v>进项</v>
      </c>
      <c r="W45" t="str">
        <f>[1]发票导入!W45&amp;""</f>
        <v>上海三快智送科技有限公司</v>
      </c>
      <c r="Y45" t="str">
        <f>[1]发票导入!Y45&amp;""</f>
        <v>报销票</v>
      </c>
      <c r="AA45">
        <f>[1]发票导入!AA45&amp;""</f>
      </c>
      <c r="AB45">
        <f>[1]发票导入!AB45</f>
        <v>0</v>
      </c>
      <c r="AC45">
        <f>[1]发票导入!AC45</f>
        <v>0</v>
      </c>
      <c r="AE45" s="22">
        <f t="shared" si="0"/>
      </c>
      <c r="AI45">
        <f>[1]发票导入!AI45&amp;""</f>
      </c>
      <c r="AJ45" t="str">
        <f>[1]发票导入!AJ45&amp;""</f>
        <v>中智优力</v>
      </c>
      <c r="AK45">
        <f>[1]发票导入!AK45</f>
        <v>3.3</v>
      </c>
      <c r="AL45">
        <f>[1]发票导入!AL45</f>
        <v>3.11</v>
      </c>
      <c r="AM45">
        <f>[1]发票导入!AM45</f>
        <v>0.19</v>
      </c>
      <c r="AN45" s="22">
        <f t="shared" si="1"/>
        <v>0</v>
      </c>
      <c r="AO45" s="22">
        <f t="shared" si="2"/>
        <v>0</v>
      </c>
    </row>
    <row r="46">
      <c r="C46">
        <f>[1]发票导入!C46&amp;""</f>
      </c>
      <c r="D46" t="str">
        <f>[1]发票导入!D46&amp;""</f>
        <v>26317000002897929031</v>
      </c>
      <c r="O46" t="str">
        <f>[1]发票导入!O46&amp;""</f>
        <v>正常</v>
      </c>
      <c r="T46">
        <f>[1]发票导入!T46</f>
        <v>46252.0</v>
      </c>
      <c r="U46" t="str">
        <f>[1]发票导入!U46&amp;""</f>
        <v>中智优力</v>
      </c>
      <c r="V46" t="str">
        <f>[1]发票导入!V46&amp;""</f>
        <v>进项</v>
      </c>
      <c r="W46" t="str">
        <f>[1]发票导入!W46&amp;""</f>
        <v>上海三快智送科技有限公司</v>
      </c>
      <c r="Y46" t="str">
        <f>[1]发票导入!Y46&amp;""</f>
        <v>报销票</v>
      </c>
      <c r="AA46">
        <f>[1]发票导入!AA46&amp;""</f>
      </c>
      <c r="AB46">
        <f>[1]发票导入!AB46</f>
        <v>0</v>
      </c>
      <c r="AC46">
        <f>[1]发票导入!AC46</f>
        <v>0</v>
      </c>
      <c r="AE46" s="22">
        <f t="shared" si="0"/>
      </c>
      <c r="AI46">
        <f>[1]发票导入!AI46&amp;""</f>
      </c>
      <c r="AJ46" t="str">
        <f>[1]发票导入!AJ46&amp;""</f>
        <v>中智优力</v>
      </c>
      <c r="AK46">
        <f>[1]发票导入!AK46</f>
        <v>1.3</v>
      </c>
      <c r="AL46">
        <f>[1]发票导入!AL46</f>
        <v>1.23</v>
      </c>
      <c r="AM46">
        <f>[1]发票导入!AM46</f>
        <v>0.07</v>
      </c>
      <c r="AN46" s="22">
        <f t="shared" si="1"/>
        <v>0</v>
      </c>
      <c r="AO46" s="22">
        <f t="shared" si="2"/>
        <v>0</v>
      </c>
    </row>
    <row r="47">
      <c r="C47">
        <f>[1]发票导入!C47&amp;""</f>
      </c>
      <c r="D47" t="str">
        <f>[1]发票导入!D47&amp;""</f>
        <v>26317000002897929027</v>
      </c>
      <c r="O47" t="str">
        <f>[1]发票导入!O47&amp;""</f>
        <v>正常</v>
      </c>
      <c r="T47">
        <f>[1]发票导入!T47</f>
        <v>46252.0</v>
      </c>
      <c r="U47" t="str">
        <f>[1]发票导入!U47&amp;""</f>
        <v>中智优力</v>
      </c>
      <c r="V47" t="str">
        <f>[1]发票导入!V47&amp;""</f>
        <v>进项</v>
      </c>
      <c r="W47" t="str">
        <f>[1]发票导入!W47&amp;""</f>
        <v>上海三快智送科技有限公司</v>
      </c>
      <c r="Y47" t="str">
        <f>[1]发票导入!Y47&amp;""</f>
        <v>报销票</v>
      </c>
      <c r="AA47">
        <f>[1]发票导入!AA47&amp;""</f>
      </c>
      <c r="AB47">
        <f>[1]发票导入!AB47</f>
        <v>0</v>
      </c>
      <c r="AC47">
        <f>[1]发票导入!AC47</f>
        <v>0</v>
      </c>
      <c r="AE47" s="22">
        <f t="shared" si="0"/>
      </c>
      <c r="AI47">
        <f>[1]发票导入!AI47&amp;""</f>
      </c>
      <c r="AJ47" t="str">
        <f>[1]发票导入!AJ47&amp;""</f>
        <v>中智优力</v>
      </c>
      <c r="AK47">
        <f>[1]发票导入!AK47</f>
        <v>2.85</v>
      </c>
      <c r="AL47">
        <f>[1]发票导入!AL47</f>
        <v>2.69</v>
      </c>
      <c r="AM47">
        <f>[1]发票导入!AM47</f>
        <v>0.16</v>
      </c>
      <c r="AN47" s="22">
        <f t="shared" si="1"/>
        <v>0</v>
      </c>
      <c r="AO47" s="22">
        <f t="shared" si="2"/>
        <v>0</v>
      </c>
    </row>
    <row r="48">
      <c r="C48">
        <f>[1]发票导入!C48&amp;""</f>
      </c>
      <c r="D48" t="str">
        <f>[1]发票导入!D48&amp;""</f>
        <v>26932000001379443726</v>
      </c>
      <c r="O48" t="str">
        <f>[1]发票导入!O48&amp;""</f>
        <v>正常</v>
      </c>
      <c r="T48">
        <f>[1]发票导入!T48</f>
        <v>46251.0</v>
      </c>
      <c r="U48" t="str">
        <f>[1]发票导入!U48&amp;""</f>
        <v>中智优力</v>
      </c>
      <c r="V48" t="str">
        <f>[1]发票导入!V48&amp;""</f>
        <v>进项</v>
      </c>
      <c r="W48" t="str">
        <f>[1]发票导入!W48&amp;""</f>
        <v>宁波市鄞州五乡稻草人饭店</v>
      </c>
      <c r="Y48" t="str">
        <f>[1]发票导入!Y48&amp;""</f>
        <v>报销票</v>
      </c>
      <c r="AA48">
        <f>[1]发票导入!AA48&amp;""</f>
      </c>
      <c r="AB48">
        <f>[1]发票导入!AB48</f>
        <v>0</v>
      </c>
      <c r="AC48">
        <f>[1]发票导入!AC48</f>
        <v>0</v>
      </c>
      <c r="AE48" s="22">
        <f t="shared" si="0"/>
      </c>
      <c r="AI48">
        <f>[1]发票导入!AI48&amp;""</f>
      </c>
      <c r="AJ48" t="str">
        <f>[1]发票导入!AJ48&amp;""</f>
        <v>中智优力</v>
      </c>
      <c r="AK48">
        <f>[1]发票导入!AK48</f>
        <v>248</v>
      </c>
      <c r="AL48">
        <f>[1]发票导入!AL48</f>
        <v>245.54</v>
      </c>
      <c r="AM48">
        <f>[1]发票导入!AM48</f>
        <v>2.46</v>
      </c>
      <c r="AN48" s="22">
        <f t="shared" si="1"/>
        <v>0</v>
      </c>
      <c r="AO48" s="22">
        <f t="shared" si="2"/>
        <v>0</v>
      </c>
    </row>
    <row r="49">
      <c r="C49">
        <f>[1]发票导入!C49&amp;""</f>
      </c>
      <c r="D49" t="str">
        <f>[1]发票导入!D49&amp;""</f>
        <v>26932000001377330346</v>
      </c>
      <c r="O49" t="str">
        <f>[1]发票导入!O49&amp;""</f>
        <v>正常</v>
      </c>
      <c r="T49">
        <f>[1]发票导入!T49</f>
        <v>46251.0</v>
      </c>
      <c r="U49" t="str">
        <f>[1]发票导入!U49&amp;""</f>
        <v>中智优力</v>
      </c>
      <c r="V49" t="str">
        <f>[1]发票导入!V49&amp;""</f>
        <v>进项</v>
      </c>
      <c r="W49" t="str">
        <f>[1]发票导入!W49&amp;""</f>
        <v>宁波市鄞州五乡稻草人饭店</v>
      </c>
      <c r="Y49" t="str">
        <f>[1]发票导入!Y49&amp;""</f>
        <v>报销票</v>
      </c>
      <c r="AA49">
        <f>[1]发票导入!AA49&amp;""</f>
      </c>
      <c r="AB49">
        <f>[1]发票导入!AB49</f>
        <v>0</v>
      </c>
      <c r="AC49">
        <f>[1]发票导入!AC49</f>
        <v>0</v>
      </c>
      <c r="AE49" s="22">
        <f t="shared" si="0"/>
      </c>
      <c r="AI49">
        <f>[1]发票导入!AI49&amp;""</f>
      </c>
      <c r="AJ49" t="str">
        <f>[1]发票导入!AJ49&amp;""</f>
        <v>中智优力</v>
      </c>
      <c r="AK49">
        <f>[1]发票导入!AK49</f>
        <v>-255</v>
      </c>
      <c r="AL49">
        <f>[1]发票导入!AL49</f>
        <v>-252.48</v>
      </c>
      <c r="AM49">
        <f>[1]发票导入!AM49</f>
        <v>-2.52</v>
      </c>
      <c r="AN49" s="22">
        <f t="shared" si="1"/>
        <v>0</v>
      </c>
      <c r="AO49" s="22">
        <f t="shared" si="2"/>
        <v>0</v>
      </c>
    </row>
    <row r="50">
      <c r="C50">
        <f>[1]发票导入!C50&amp;""</f>
      </c>
      <c r="D50" t="str">
        <f>[1]发票导入!D50&amp;""</f>
        <v>26932000001379857201</v>
      </c>
      <c r="O50" t="str">
        <f>[1]发票导入!O50&amp;""</f>
        <v>已红冲-全额</v>
      </c>
      <c r="T50">
        <f>[1]发票导入!T50</f>
        <v>46251.0</v>
      </c>
      <c r="U50" t="str">
        <f>[1]发票导入!U50&amp;""</f>
        <v>中智优力</v>
      </c>
      <c r="V50" t="str">
        <f>[1]发票导入!V50&amp;""</f>
        <v>进项</v>
      </c>
      <c r="W50" t="str">
        <f>[1]发票导入!W50&amp;""</f>
        <v>宁波市鄞州五乡稻草人饭店</v>
      </c>
      <c r="Y50" t="str">
        <f>[1]发票导入!Y50&amp;""</f>
        <v>报销票</v>
      </c>
      <c r="AA50">
        <f>[1]发票导入!AA50&amp;""</f>
      </c>
      <c r="AB50">
        <f>[1]发票导入!AB50</f>
        <v>0</v>
      </c>
      <c r="AC50">
        <f>[1]发票导入!AC50</f>
        <v>0</v>
      </c>
      <c r="AE50" s="22">
        <f t="shared" si="0"/>
      </c>
      <c r="AI50">
        <f>[1]发票导入!AI50&amp;""</f>
      </c>
      <c r="AJ50" t="str">
        <f>[1]发票导入!AJ50&amp;""</f>
        <v>中智优力</v>
      </c>
      <c r="AK50">
        <f>[1]发票导入!AK50</f>
        <v>255</v>
      </c>
      <c r="AL50">
        <f>[1]发票导入!AL50</f>
        <v>252.48</v>
      </c>
      <c r="AM50">
        <f>[1]发票导入!AM50</f>
        <v>2.52</v>
      </c>
      <c r="AN50" s="22">
        <f t="shared" si="1"/>
        <v>0</v>
      </c>
      <c r="AO50" s="22">
        <f t="shared" si="2"/>
        <v>0</v>
      </c>
    </row>
    <row r="51">
      <c r="C51">
        <f>[1]发票导入!C51&amp;""</f>
      </c>
      <c r="D51" t="str">
        <f>[1]发票导入!D51&amp;""</f>
        <v>26112000003440883196</v>
      </c>
      <c r="O51" t="str">
        <f>[1]发票导入!O51&amp;""</f>
        <v>正常</v>
      </c>
      <c r="T51">
        <f>[1]发票导入!T51</f>
        <v>46251.0</v>
      </c>
      <c r="U51" t="str">
        <f>[1]发票导入!U51&amp;""</f>
        <v>中智优力</v>
      </c>
      <c r="V51" t="str">
        <f>[1]发票导入!V51&amp;""</f>
        <v>进项</v>
      </c>
      <c r="W51" t="str">
        <f>[1]发票导入!W51&amp;""</f>
        <v>北京泓奥箱包有限公司</v>
      </c>
      <c r="Y51" t="str">
        <f>[1]发票导入!Y51&amp;""</f>
        <v>报销票</v>
      </c>
      <c r="AA51">
        <f>[1]发票导入!AA51&amp;""</f>
      </c>
      <c r="AB51">
        <f>[1]发票导入!AB51</f>
        <v>0</v>
      </c>
      <c r="AC51">
        <f>[1]发票导入!AC51</f>
        <v>0</v>
      </c>
      <c r="AE51" s="22">
        <f t="shared" si="0"/>
      </c>
      <c r="AI51">
        <f>[1]发票导入!AI51&amp;""</f>
      </c>
      <c r="AJ51" t="str">
        <f>[1]发票导入!AJ51&amp;""</f>
        <v>中智优力</v>
      </c>
      <c r="AK51">
        <f>[1]发票导入!AK51</f>
        <v>1450</v>
      </c>
      <c r="AL51">
        <f>[1]发票导入!AL51</f>
        <v>1435.64</v>
      </c>
      <c r="AM51">
        <f>[1]发票导入!AM51</f>
        <v>14.36</v>
      </c>
      <c r="AN51" s="22">
        <f t="shared" si="1"/>
        <v>0</v>
      </c>
      <c r="AO51" s="22">
        <f t="shared" si="2"/>
        <v>0</v>
      </c>
    </row>
    <row r="52">
      <c r="C52">
        <f>[1]发票导入!C52&amp;""</f>
      </c>
      <c r="D52" t="str">
        <f>[1]发票导入!D52&amp;""</f>
        <v>26112000003440207131</v>
      </c>
      <c r="O52" t="str">
        <f>[1]发票导入!O52&amp;""</f>
        <v>正常</v>
      </c>
      <c r="T52">
        <f>[1]发票导入!T52</f>
        <v>46251.0</v>
      </c>
      <c r="U52" t="str">
        <f>[1]发票导入!U52&amp;""</f>
        <v>中智优力</v>
      </c>
      <c r="V52" t="str">
        <f>[1]发票导入!V52&amp;""</f>
        <v>进项</v>
      </c>
      <c r="W52" t="str">
        <f>[1]发票导入!W52&amp;""</f>
        <v>北京泓奥箱包有限公司</v>
      </c>
      <c r="Y52" t="str">
        <f>[1]发票导入!Y52&amp;""</f>
        <v>报销票</v>
      </c>
      <c r="AA52">
        <f>[1]发票导入!AA52&amp;""</f>
      </c>
      <c r="AB52">
        <f>[1]发票导入!AB52</f>
        <v>0</v>
      </c>
      <c r="AC52">
        <f>[1]发票导入!AC52</f>
        <v>0</v>
      </c>
      <c r="AE52" s="22">
        <f t="shared" si="0"/>
      </c>
      <c r="AI52">
        <f>[1]发票导入!AI52&amp;""</f>
      </c>
      <c r="AJ52" t="str">
        <f>[1]发票导入!AJ52&amp;""</f>
        <v>中智优力</v>
      </c>
      <c r="AK52">
        <f>[1]发票导入!AK52</f>
        <v>1450</v>
      </c>
      <c r="AL52">
        <f>[1]发票导入!AL52</f>
        <v>1435.64</v>
      </c>
      <c r="AM52">
        <f>[1]发票导入!AM52</f>
        <v>14.36</v>
      </c>
      <c r="AN52" s="22">
        <f t="shared" si="1"/>
        <v>0</v>
      </c>
      <c r="AO52" s="22">
        <f t="shared" si="2"/>
        <v>0</v>
      </c>
    </row>
    <row r="53">
      <c r="C53">
        <f>[1]发票导入!C53&amp;""</f>
      </c>
      <c r="D53" t="str">
        <f>[1]发票导入!D53&amp;""</f>
        <v>26442000009384506536</v>
      </c>
      <c r="O53" t="str">
        <f>[1]发票导入!O53&amp;""</f>
        <v>正常</v>
      </c>
      <c r="T53">
        <f>[1]发票导入!T53</f>
        <v>46251.0</v>
      </c>
      <c r="U53" t="str">
        <f>[1]发票导入!U53&amp;""</f>
        <v>中智优力</v>
      </c>
      <c r="V53" t="str">
        <f>[1]发票导入!V53&amp;""</f>
        <v>进项</v>
      </c>
      <c r="W53" t="str">
        <f>[1]发票导入!W53&amp;""</f>
        <v>广州麦和信息科技有限公司</v>
      </c>
      <c r="Y53" t="str">
        <f>[1]发票导入!Y53&amp;""</f>
        <v>报销票</v>
      </c>
      <c r="AA53">
        <f>[1]发票导入!AA53&amp;""</f>
      </c>
      <c r="AB53">
        <f>[1]发票导入!AB53</f>
        <v>0</v>
      </c>
      <c r="AC53">
        <f>[1]发票导入!AC53</f>
        <v>0</v>
      </c>
      <c r="AE53" s="22">
        <f t="shared" si="0"/>
      </c>
      <c r="AI53">
        <f>[1]发票导入!AI53&amp;""</f>
      </c>
      <c r="AJ53" t="str">
        <f>[1]发票导入!AJ53&amp;""</f>
        <v>中智优力</v>
      </c>
      <c r="AK53">
        <f>[1]发票导入!AK53</f>
        <v>39.9</v>
      </c>
      <c r="AL53">
        <f>[1]发票导入!AL53</f>
        <v>36.61</v>
      </c>
      <c r="AM53">
        <f>[1]发票导入!AM53</f>
        <v>3.29</v>
      </c>
      <c r="AN53" s="22">
        <f t="shared" si="1"/>
        <v>0</v>
      </c>
      <c r="AO53" s="22">
        <f t="shared" si="2"/>
        <v>0</v>
      </c>
    </row>
    <row r="54">
      <c r="C54">
        <f>[1]发票导入!C54&amp;""</f>
      </c>
      <c r="D54" t="str">
        <f>[1]发票导入!D54&amp;""</f>
        <v>26932000001371443656</v>
      </c>
      <c r="O54" t="str">
        <f>[1]发票导入!O54&amp;""</f>
        <v>正常</v>
      </c>
      <c r="T54">
        <f>[1]发票导入!T54</f>
        <v>46250.0</v>
      </c>
      <c r="U54" t="str">
        <f>[1]发票导入!U54&amp;""</f>
        <v>中智优力</v>
      </c>
      <c r="V54" t="str">
        <f>[1]发票导入!V54&amp;""</f>
        <v>进项</v>
      </c>
      <c r="W54" t="str">
        <f>[1]发票导入!W54&amp;""</f>
        <v>宁波市鄞州五乡稻草人饭店</v>
      </c>
      <c r="Y54" t="str">
        <f>[1]发票导入!Y54&amp;""</f>
        <v>报销票</v>
      </c>
      <c r="AA54">
        <f>[1]发票导入!AA54&amp;""</f>
      </c>
      <c r="AB54">
        <f>[1]发票导入!AB54</f>
        <v>0</v>
      </c>
      <c r="AC54">
        <f>[1]发票导入!AC54</f>
        <v>0</v>
      </c>
      <c r="AE54" s="22">
        <f t="shared" si="0"/>
      </c>
      <c r="AI54">
        <f>[1]发票导入!AI54&amp;""</f>
      </c>
      <c r="AJ54" t="str">
        <f>[1]发票导入!AJ54&amp;""</f>
        <v>中智优力</v>
      </c>
      <c r="AK54">
        <f>[1]发票导入!AK54</f>
        <v>400</v>
      </c>
      <c r="AL54">
        <f>[1]发票导入!AL54</f>
        <v>396.04</v>
      </c>
      <c r="AM54">
        <f>[1]发票导入!AM54</f>
        <v>3.96</v>
      </c>
      <c r="AN54" s="22">
        <f t="shared" si="1"/>
        <v>0</v>
      </c>
      <c r="AO54" s="22">
        <f t="shared" si="2"/>
        <v>0</v>
      </c>
    </row>
    <row r="55">
      <c r="C55">
        <f>[1]发票导入!C55&amp;""</f>
      </c>
      <c r="D55" t="str">
        <f>[1]发票导入!D55&amp;""</f>
        <v>26332000007022948236</v>
      </c>
      <c r="O55" t="str">
        <f>[1]发票导入!O55&amp;""</f>
        <v>正常</v>
      </c>
      <c r="T55">
        <f>[1]发票导入!T55</f>
        <v>46249.0</v>
      </c>
      <c r="U55" t="str">
        <f>[1]发票导入!U55&amp;""</f>
        <v>中智优力</v>
      </c>
      <c r="V55" t="str">
        <f>[1]发票导入!V55&amp;""</f>
        <v>进项</v>
      </c>
      <c r="W55" t="str">
        <f>[1]发票导入!W55&amp;""</f>
        <v>龙港市鑫锐制袋厂（个体工商户）</v>
      </c>
      <c r="Y55" t="str">
        <f>[1]发票导入!Y55&amp;""</f>
        <v>报销票</v>
      </c>
      <c r="AA55">
        <f>[1]发票导入!AA55&amp;""</f>
      </c>
      <c r="AB55">
        <f>[1]发票导入!AB55</f>
        <v>0</v>
      </c>
      <c r="AC55">
        <f>[1]发票导入!AC55</f>
        <v>0</v>
      </c>
      <c r="AE55" s="22">
        <f t="shared" si="0"/>
      </c>
      <c r="AI55">
        <f>[1]发票导入!AI55&amp;""</f>
      </c>
      <c r="AJ55" t="str">
        <f>[1]发票导入!AJ55&amp;""</f>
        <v>中智优力</v>
      </c>
      <c r="AK55">
        <f>[1]发票导入!AK55</f>
        <v>7.61</v>
      </c>
      <c r="AL55">
        <f>[1]发票导入!AL55</f>
        <v>7.53</v>
      </c>
      <c r="AM55">
        <f>[1]发票导入!AM55</f>
        <v>0.08</v>
      </c>
      <c r="AN55" s="22">
        <f t="shared" si="1"/>
        <v>0</v>
      </c>
      <c r="AO55" s="22">
        <f t="shared" si="2"/>
        <v>0</v>
      </c>
    </row>
    <row r="56">
      <c r="C56">
        <f>[1]发票导入!C56&amp;""</f>
      </c>
      <c r="D56" t="str">
        <f>[1]发票导入!D56&amp;""</f>
        <v>26937000000081993048</v>
      </c>
      <c r="O56" t="str">
        <f>[1]发票导入!O56&amp;""</f>
        <v>正常</v>
      </c>
      <c r="T56">
        <f>[1]发票导入!T56</f>
        <v>46248.0</v>
      </c>
      <c r="U56" t="str">
        <f>[1]发票导入!U56&amp;""</f>
        <v>中智优力</v>
      </c>
      <c r="V56" t="str">
        <f>[1]发票导入!V56&amp;""</f>
        <v>进项</v>
      </c>
      <c r="W56" t="str">
        <f>[1]发票导入!W56&amp;""</f>
        <v>浙江壳牌燃油有限公司宁波分公司</v>
      </c>
      <c r="Y56" t="str">
        <f>[1]发票导入!Y56&amp;""</f>
        <v>报销票</v>
      </c>
      <c r="AA56">
        <f>[1]发票导入!AA56&amp;""</f>
      </c>
      <c r="AB56">
        <f>[1]发票导入!AB56</f>
        <v>0</v>
      </c>
      <c r="AC56">
        <f>[1]发票导入!AC56</f>
        <v>0</v>
      </c>
      <c r="AE56" s="22">
        <f t="shared" si="0"/>
      </c>
      <c r="AI56">
        <f>[1]发票导入!AI56&amp;""</f>
      </c>
      <c r="AJ56" t="str">
        <f>[1]发票导入!AJ56&amp;""</f>
        <v>中智优力</v>
      </c>
      <c r="AK56">
        <f>[1]发票导入!AK56</f>
        <v>181.6</v>
      </c>
      <c r="AL56">
        <f>[1]发票导入!AL56</f>
        <v>160.71</v>
      </c>
      <c r="AM56">
        <f>[1]发票导入!AM56</f>
        <v>20.89</v>
      </c>
      <c r="AN56" s="22">
        <f t="shared" si="1"/>
        <v>0</v>
      </c>
      <c r="AO56" s="22">
        <f t="shared" si="2"/>
        <v>0</v>
      </c>
    </row>
    <row r="57">
      <c r="C57">
        <f>[1]发票导入!C57&amp;""</f>
      </c>
      <c r="D57" t="str">
        <f>[1]发票导入!D57&amp;""</f>
        <v>26932000001360509676</v>
      </c>
      <c r="O57" t="str">
        <f>[1]发票导入!O57&amp;""</f>
        <v>正常</v>
      </c>
      <c r="T57">
        <f>[1]发票导入!T57</f>
        <v>46247.0</v>
      </c>
      <c r="U57" t="str">
        <f>[1]发票导入!U57&amp;""</f>
        <v>中智优力</v>
      </c>
      <c r="V57" t="str">
        <f>[1]发票导入!V57&amp;""</f>
        <v>进项</v>
      </c>
      <c r="W57" t="str">
        <f>[1]发票导入!W57&amp;""</f>
        <v>宁波市鄞州五乡微果食品店</v>
      </c>
      <c r="Y57" t="str">
        <f>[1]发票导入!Y57&amp;""</f>
        <v>报销票</v>
      </c>
      <c r="AA57">
        <f>[1]发票导入!AA57&amp;""</f>
      </c>
      <c r="AB57">
        <f>[1]发票导入!AB57</f>
        <v>0</v>
      </c>
      <c r="AC57">
        <f>[1]发票导入!AC57</f>
        <v>0</v>
      </c>
      <c r="AE57" s="22">
        <f t="shared" si="0"/>
      </c>
      <c r="AI57">
        <f>[1]发票导入!AI57&amp;""</f>
      </c>
      <c r="AJ57" t="str">
        <f>[1]发票导入!AJ57&amp;""</f>
        <v>中智优力</v>
      </c>
      <c r="AK57">
        <f>[1]发票导入!AK57</f>
        <v>500</v>
      </c>
      <c r="AL57">
        <f>[1]发票导入!AL57</f>
        <v>495.05</v>
      </c>
      <c r="AM57">
        <f>[1]发票导入!AM57</f>
        <v>4.95</v>
      </c>
      <c r="AN57" s="22">
        <f t="shared" si="1"/>
        <v>0</v>
      </c>
      <c r="AO57" s="22">
        <f t="shared" si="2"/>
        <v>0</v>
      </c>
    </row>
    <row r="58">
      <c r="C58">
        <f>[1]发票导入!C58&amp;""</f>
      </c>
      <c r="D58" t="str">
        <f>[1]发票导入!D58&amp;""</f>
        <v>26932000001356992056</v>
      </c>
      <c r="O58" t="str">
        <f>[1]发票导入!O58&amp;""</f>
        <v>正常</v>
      </c>
      <c r="T58">
        <f>[1]发票导入!T58</f>
        <v>46247.0</v>
      </c>
      <c r="U58" t="str">
        <f>[1]发票导入!U58&amp;""</f>
        <v>中智优力</v>
      </c>
      <c r="V58" t="str">
        <f>[1]发票导入!V58&amp;""</f>
        <v>进项</v>
      </c>
      <c r="W58" t="str">
        <f>[1]发票导入!W58&amp;""</f>
        <v>宁波市鄞州五乡微果食品店</v>
      </c>
      <c r="Y58" t="str">
        <f>[1]发票导入!Y58&amp;""</f>
        <v>报销票</v>
      </c>
      <c r="AA58">
        <f>[1]发票导入!AA58&amp;""</f>
      </c>
      <c r="AB58">
        <f>[1]发票导入!AB58</f>
        <v>0</v>
      </c>
      <c r="AC58">
        <f>[1]发票导入!AC58</f>
        <v>0</v>
      </c>
      <c r="AE58" s="22">
        <f t="shared" si="0"/>
      </c>
      <c r="AI58">
        <f>[1]发票导入!AI58&amp;""</f>
      </c>
      <c r="AJ58" t="str">
        <f>[1]发票导入!AJ58&amp;""</f>
        <v>中智优力</v>
      </c>
      <c r="AK58">
        <f>[1]发票导入!AK58</f>
        <v>-500</v>
      </c>
      <c r="AL58">
        <f>[1]发票导入!AL58</f>
        <v>-495.05</v>
      </c>
      <c r="AM58">
        <f>[1]发票导入!AM58</f>
        <v>-4.95</v>
      </c>
      <c r="AN58" s="22">
        <f t="shared" si="1"/>
        <v>0</v>
      </c>
      <c r="AO58" s="22">
        <f t="shared" si="2"/>
        <v>0</v>
      </c>
    </row>
    <row r="59">
      <c r="C59">
        <f>[1]发票导入!C59&amp;""</f>
      </c>
      <c r="D59" t="str">
        <f>[1]发票导入!D59&amp;""</f>
        <v>26932000001360226536</v>
      </c>
      <c r="O59" t="str">
        <f>[1]发票导入!O59&amp;""</f>
        <v>已红冲-全额</v>
      </c>
      <c r="T59">
        <f>[1]发票导入!T59</f>
        <v>46247.0</v>
      </c>
      <c r="U59" t="str">
        <f>[1]发票导入!U59&amp;""</f>
        <v>中智优力</v>
      </c>
      <c r="V59" t="str">
        <f>[1]发票导入!V59&amp;""</f>
        <v>进项</v>
      </c>
      <c r="W59" t="str">
        <f>[1]发票导入!W59&amp;""</f>
        <v>宁波市鄞州五乡微果食品店</v>
      </c>
      <c r="Y59" t="str">
        <f>[1]发票导入!Y59&amp;""</f>
        <v>报销票</v>
      </c>
      <c r="AA59">
        <f>[1]发票导入!AA59&amp;""</f>
      </c>
      <c r="AB59">
        <f>[1]发票导入!AB59</f>
        <v>0</v>
      </c>
      <c r="AC59">
        <f>[1]发票导入!AC59</f>
        <v>0</v>
      </c>
      <c r="AE59" s="22">
        <f t="shared" si="0"/>
      </c>
      <c r="AI59">
        <f>[1]发票导入!AI59&amp;""</f>
      </c>
      <c r="AJ59" t="str">
        <f>[1]发票导入!AJ59&amp;""</f>
        <v>中智优力</v>
      </c>
      <c r="AK59">
        <f>[1]发票导入!AK59</f>
        <v>500</v>
      </c>
      <c r="AL59">
        <f>[1]发票导入!AL59</f>
        <v>495.05</v>
      </c>
      <c r="AM59">
        <f>[1]发票导入!AM59</f>
        <v>4.95</v>
      </c>
      <c r="AN59" s="22">
        <f t="shared" si="1"/>
        <v>0</v>
      </c>
      <c r="AO59" s="22">
        <f t="shared" si="2"/>
        <v>0</v>
      </c>
    </row>
    <row r="60">
      <c r="C60">
        <f>[1]发票导入!C60&amp;""</f>
      </c>
      <c r="D60" t="str">
        <f>[1]发票导入!D60&amp;""</f>
        <v>26932000001357551736</v>
      </c>
      <c r="O60" t="str">
        <f>[1]发票导入!O60&amp;""</f>
        <v>正常</v>
      </c>
      <c r="T60">
        <f>[1]发票导入!T60</f>
        <v>46247.0</v>
      </c>
      <c r="U60" t="str">
        <f>[1]发票导入!U60&amp;""</f>
        <v>中智优力</v>
      </c>
      <c r="V60" t="str">
        <f>[1]发票导入!V60&amp;""</f>
        <v>进项</v>
      </c>
      <c r="W60" t="str">
        <f>[1]发票导入!W60&amp;""</f>
        <v>宁波工程学院</v>
      </c>
      <c r="Y60" t="str">
        <f>[1]发票导入!Y60&amp;""</f>
        <v>报销票</v>
      </c>
      <c r="AA60">
        <f>[1]发票导入!AA60&amp;""</f>
      </c>
      <c r="AB60">
        <f>[1]发票导入!AB60</f>
        <v>0</v>
      </c>
      <c r="AC60">
        <f>[1]发票导入!AC60</f>
        <v>0</v>
      </c>
      <c r="AE60" s="22">
        <f t="shared" si="0"/>
      </c>
      <c r="AI60">
        <f>[1]发票导入!AI60&amp;""</f>
      </c>
      <c r="AJ60" t="str">
        <f>[1]发票导入!AJ60&amp;""</f>
        <v>中智优力</v>
      </c>
      <c r="AK60">
        <f>[1]发票导入!AK60</f>
        <v>1200</v>
      </c>
      <c r="AL60">
        <f>[1]发票导入!AL60</f>
        <v>1165.05</v>
      </c>
      <c r="AM60">
        <f>[1]发票导入!AM60</f>
        <v>34.95</v>
      </c>
      <c r="AN60" s="22">
        <f t="shared" si="1"/>
        <v>0</v>
      </c>
      <c r="AO60" s="22">
        <f t="shared" si="2"/>
        <v>0</v>
      </c>
    </row>
    <row r="61">
      <c r="C61">
        <f>[1]发票导入!C61&amp;""</f>
      </c>
      <c r="D61" t="str">
        <f>[1]发票导入!D61&amp;""</f>
        <v>26332000006943506781</v>
      </c>
      <c r="O61" t="str">
        <f>[1]发票导入!O61&amp;""</f>
        <v>正常</v>
      </c>
      <c r="T61">
        <f>[1]发票导入!T61</f>
        <v>46246.0</v>
      </c>
      <c r="U61" t="str">
        <f>[1]发票导入!U61&amp;""</f>
        <v>中智优力</v>
      </c>
      <c r="V61" t="str">
        <f>[1]发票导入!V61&amp;""</f>
        <v>进项</v>
      </c>
      <c r="W61" t="str">
        <f>[1]发票导入!W61&amp;""</f>
        <v>浙江高速公路智能收费运营服务有限公司</v>
      </c>
      <c r="Y61" t="str">
        <f>[1]发票导入!Y61&amp;""</f>
        <v>报销票</v>
      </c>
      <c r="AA61">
        <f>[1]发票导入!AA61&amp;""</f>
      </c>
      <c r="AB61">
        <f>[1]发票导入!AB61</f>
        <v>0</v>
      </c>
      <c r="AC61">
        <f>[1]发票导入!AC61</f>
        <v>0</v>
      </c>
      <c r="AE61" s="22">
        <f t="shared" si="0"/>
      </c>
      <c r="AI61">
        <f>[1]发票导入!AI61&amp;""</f>
      </c>
      <c r="AJ61" t="str">
        <f>[1]发票导入!AJ61&amp;""</f>
        <v>中智优力</v>
      </c>
      <c r="AK61">
        <f>[1]发票导入!AK61</f>
        <v>130</v>
      </c>
      <c r="AL61">
        <f>[1]发票导入!AL61</f>
        <v>122.64</v>
      </c>
      <c r="AM61">
        <f>[1]发票导入!AM61</f>
        <v>7.36</v>
      </c>
      <c r="AN61" s="22">
        <f t="shared" si="1"/>
        <v>0</v>
      </c>
      <c r="AO61" s="22">
        <f t="shared" si="2"/>
        <v>0</v>
      </c>
    </row>
    <row r="62">
      <c r="C62">
        <f>[1]发票导入!C62&amp;""</f>
      </c>
      <c r="D62" t="str">
        <f>[1]发票导入!D62&amp;""</f>
        <v>26932000001352737306</v>
      </c>
      <c r="O62" t="str">
        <f>[1]发票导入!O62&amp;""</f>
        <v>正常</v>
      </c>
      <c r="T62">
        <f>[1]发票导入!T62</f>
        <v>46246.0</v>
      </c>
      <c r="U62" t="str">
        <f>[1]发票导入!U62&amp;""</f>
        <v>中智优力</v>
      </c>
      <c r="V62" t="str">
        <f>[1]发票导入!V62&amp;""</f>
        <v>进项</v>
      </c>
      <c r="W62" t="str">
        <f>[1]发票导入!W62&amp;""</f>
        <v>戚夏瑜</v>
      </c>
      <c r="Y62" t="str">
        <f>[1]发票导入!Y62&amp;""</f>
        <v>报销票</v>
      </c>
      <c r="AA62">
        <f>[1]发票导入!AA62&amp;""</f>
      </c>
      <c r="AB62">
        <f>[1]发票导入!AB62</f>
        <v>0</v>
      </c>
      <c r="AC62">
        <f>[1]发票导入!AC62</f>
        <v>0</v>
      </c>
      <c r="AE62" s="22">
        <f t="shared" si="0"/>
      </c>
      <c r="AI62">
        <f>[1]发票导入!AI62&amp;""</f>
      </c>
      <c r="AJ62" t="str">
        <f>[1]发票导入!AJ62&amp;""</f>
        <v>中智优力</v>
      </c>
      <c r="AK62">
        <f>[1]发票导入!AK62</f>
        <v>1560</v>
      </c>
      <c r="AL62">
        <f>[1]发票导入!AL62</f>
        <v>1560</v>
      </c>
      <c r="AM62">
        <f>[1]发票导入!AM62</f>
        <v>0</v>
      </c>
      <c r="AN62" s="22">
        <f t="shared" si="1"/>
        <v>0</v>
      </c>
      <c r="AO62" s="22">
        <f t="shared" si="2"/>
        <v>0</v>
      </c>
    </row>
    <row r="63">
      <c r="C63">
        <f>[1]发票导入!C63&amp;""</f>
      </c>
      <c r="D63" t="str">
        <f>[1]发票导入!D63&amp;""</f>
        <v>26322000006615866881</v>
      </c>
      <c r="O63" t="str">
        <f>[1]发票导入!O63&amp;""</f>
        <v>正常</v>
      </c>
      <c r="T63">
        <f>[1]发票导入!T63</f>
        <v>46246.0</v>
      </c>
      <c r="U63" t="str">
        <f>[1]发票导入!U63&amp;""</f>
        <v>中智优力</v>
      </c>
      <c r="V63" t="str">
        <f>[1]发票导入!V63&amp;""</f>
        <v>进项</v>
      </c>
      <c r="W63" t="str">
        <f>[1]发票导入!W63&amp;""</f>
        <v>江苏恒盛物流有限公司</v>
      </c>
      <c r="Y63" t="str">
        <f>[1]发票导入!Y63&amp;""</f>
        <v>报销票</v>
      </c>
      <c r="AA63">
        <f>[1]发票导入!AA63&amp;""</f>
      </c>
      <c r="AB63">
        <f>[1]发票导入!AB63</f>
        <v>0</v>
      </c>
      <c r="AC63">
        <f>[1]发票导入!AC63</f>
        <v>0</v>
      </c>
      <c r="AE63" s="22">
        <f t="shared" si="0"/>
      </c>
      <c r="AI63">
        <f>[1]发票导入!AI63&amp;""</f>
      </c>
      <c r="AJ63" t="str">
        <f>[1]发票导入!AJ63&amp;""</f>
        <v>中智优力</v>
      </c>
      <c r="AK63">
        <f>[1]发票导入!AK63</f>
        <v>37.3</v>
      </c>
      <c r="AL63">
        <f>[1]发票导入!AL63</f>
        <v>33.01</v>
      </c>
      <c r="AM63">
        <f>[1]发票导入!AM63</f>
        <v>4.29</v>
      </c>
      <c r="AN63" s="22">
        <f t="shared" si="1"/>
        <v>0</v>
      </c>
      <c r="AO63" s="22">
        <f t="shared" si="2"/>
        <v>0</v>
      </c>
    </row>
    <row r="64">
      <c r="C64">
        <f>[1]发票导入!C64&amp;""</f>
      </c>
      <c r="D64" t="str">
        <f>[1]发票导入!D64&amp;""</f>
        <v>26942000000930555556</v>
      </c>
      <c r="O64" t="str">
        <f>[1]发票导入!O64&amp;""</f>
        <v>正常</v>
      </c>
      <c r="T64">
        <f>[1]发票导入!T64</f>
        <v>46245.0</v>
      </c>
      <c r="U64" t="str">
        <f>[1]发票导入!U64&amp;""</f>
        <v>中智优力</v>
      </c>
      <c r="V64" t="str">
        <f>[1]发票导入!V64&amp;""</f>
        <v>进项</v>
      </c>
      <c r="W64" t="str">
        <f>[1]发票导入!W64&amp;""</f>
        <v>厦门浔岚百货有限公司</v>
      </c>
      <c r="Y64" t="str">
        <f>[1]发票导入!Y64&amp;""</f>
        <v>报销票</v>
      </c>
      <c r="AA64">
        <f>[1]发票导入!AA64&amp;""</f>
      </c>
      <c r="AB64">
        <f>[1]发票导入!AB64</f>
        <v>0</v>
      </c>
      <c r="AC64">
        <f>[1]发票导入!AC64</f>
        <v>0</v>
      </c>
      <c r="AE64" s="22">
        <f t="shared" si="0"/>
      </c>
      <c r="AI64">
        <f>[1]发票导入!AI64&amp;""</f>
      </c>
      <c r="AJ64" t="str">
        <f>[1]发票导入!AJ64&amp;""</f>
        <v>中智优力</v>
      </c>
      <c r="AK64">
        <f>[1]发票导入!AK64</f>
        <v>15.8</v>
      </c>
      <c r="AL64">
        <f>[1]发票导入!AL64</f>
        <v>15.64</v>
      </c>
      <c r="AM64">
        <f>[1]发票导入!AM64</f>
        <v>0.16</v>
      </c>
      <c r="AN64" s="22">
        <f t="shared" si="1"/>
        <v>0</v>
      </c>
      <c r="AO64" s="22">
        <f t="shared" si="2"/>
        <v>0</v>
      </c>
    </row>
    <row r="65">
      <c r="C65">
        <f>[1]发票导入!C65&amp;""</f>
      </c>
      <c r="D65" t="str">
        <f>[1]发票导入!D65&amp;""</f>
        <v>26332000006904954426</v>
      </c>
      <c r="O65" t="str">
        <f>[1]发票导入!O65&amp;""</f>
        <v>正常</v>
      </c>
      <c r="T65">
        <f>[1]发票导入!T65</f>
        <v>46245.0</v>
      </c>
      <c r="U65" t="str">
        <f>[1]发票导入!U65&amp;""</f>
        <v>中智优力</v>
      </c>
      <c r="V65" t="str">
        <f>[1]发票导入!V65&amp;""</f>
        <v>进项</v>
      </c>
      <c r="W65" t="str">
        <f>[1]发票导入!W65&amp;""</f>
        <v>杭州每果时光食品有限公司</v>
      </c>
      <c r="Y65" t="str">
        <f>[1]发票导入!Y65&amp;""</f>
        <v>报销票</v>
      </c>
      <c r="AA65">
        <f>[1]发票导入!AA65&amp;""</f>
      </c>
      <c r="AB65">
        <f>[1]发票导入!AB65</f>
        <v>0</v>
      </c>
      <c r="AC65">
        <f>[1]发票导入!AC65</f>
        <v>0</v>
      </c>
      <c r="AE65" s="22">
        <f t="shared" si="0"/>
      </c>
      <c r="AI65">
        <f>[1]发票导入!AI65&amp;""</f>
      </c>
      <c r="AJ65" t="str">
        <f>[1]发票导入!AJ65&amp;""</f>
        <v>中智优力</v>
      </c>
      <c r="AK65">
        <f>[1]发票导入!AK65</f>
        <v>33.8</v>
      </c>
      <c r="AL65">
        <f>[1]发票导入!AL65</f>
        <v>29.91</v>
      </c>
      <c r="AM65">
        <f>[1]发票导入!AM65</f>
        <v>3.89</v>
      </c>
      <c r="AN65" s="22">
        <f t="shared" si="1"/>
        <v>0</v>
      </c>
      <c r="AO65" s="22">
        <f t="shared" si="2"/>
        <v>0</v>
      </c>
    </row>
    <row r="66">
      <c r="C66">
        <f>[1]发票导入!C66&amp;""</f>
      </c>
      <c r="D66" t="str">
        <f>[1]发票导入!D66&amp;""</f>
        <v>26932000001340516836</v>
      </c>
      <c r="O66" t="str">
        <f>[1]发票导入!O66&amp;""</f>
        <v>正常</v>
      </c>
      <c r="T66">
        <f>[1]发票导入!T66</f>
        <v>46244.0</v>
      </c>
      <c r="U66" t="str">
        <f>[1]发票导入!U66&amp;""</f>
        <v>中智优力</v>
      </c>
      <c r="V66" t="str">
        <f>[1]发票导入!V66&amp;""</f>
        <v>进项</v>
      </c>
      <c r="W66" t="str">
        <f>[1]发票导入!W66&amp;""</f>
        <v>宁波市鄞州五乡佳减乘除食品店（个体工商户）</v>
      </c>
      <c r="Y66" t="str">
        <f>[1]发票导入!Y66&amp;""</f>
        <v>报销票</v>
      </c>
      <c r="AA66">
        <f>[1]发票导入!AA66&amp;""</f>
      </c>
      <c r="AB66">
        <f>[1]发票导入!AB66</f>
        <v>0</v>
      </c>
      <c r="AC66">
        <f>[1]发票导入!AC66</f>
        <v>0</v>
      </c>
      <c r="AE66" s="22">
        <f t="shared" si="0"/>
      </c>
      <c r="AI66">
        <f>[1]发票导入!AI66&amp;""</f>
      </c>
      <c r="AJ66" t="str">
        <f>[1]发票导入!AJ66&amp;""</f>
        <v>中智优力</v>
      </c>
      <c r="AK66">
        <f>[1]发票导入!AK66</f>
        <v>228.9</v>
      </c>
      <c r="AL66">
        <f>[1]发票导入!AL66</f>
        <v>226.62</v>
      </c>
      <c r="AM66">
        <f>[1]发票导入!AM66</f>
        <v>2.28</v>
      </c>
      <c r="AN66" s="22">
        <f t="shared" si="1"/>
        <v>0</v>
      </c>
      <c r="AO66" s="22">
        <f t="shared" si="2"/>
        <v>0</v>
      </c>
    </row>
    <row r="67">
      <c r="C67">
        <f>[1]发票导入!C67&amp;""</f>
      </c>
      <c r="D67" t="str">
        <f>[1]发票导入!D67&amp;""</f>
        <v>26342000002535384016</v>
      </c>
      <c r="O67" t="str">
        <f>[1]发票导入!O67&amp;""</f>
        <v>正常</v>
      </c>
      <c r="T67">
        <f>[1]发票导入!T67</f>
        <v>46244.0</v>
      </c>
      <c r="U67" t="str">
        <f>[1]发票导入!U67&amp;""</f>
        <v>中智优力</v>
      </c>
      <c r="V67" t="str">
        <f>[1]发票导入!V67&amp;""</f>
        <v>进项</v>
      </c>
      <c r="W67" t="str">
        <f>[1]发票导入!W67&amp;""</f>
        <v>旌德旌诚商贸有限公司</v>
      </c>
      <c r="Y67" t="str">
        <f>[1]发票导入!Y67&amp;""</f>
        <v>报销票</v>
      </c>
      <c r="AA67">
        <f>[1]发票导入!AA67&amp;""</f>
      </c>
      <c r="AB67">
        <f>[1]发票导入!AB67</f>
        <v>0</v>
      </c>
      <c r="AC67">
        <f>[1]发票导入!AC67</f>
        <v>0</v>
      </c>
      <c r="AE67" s="22">
        <f t="shared" si="0"/>
      </c>
      <c r="AI67">
        <f>[1]发票导入!AI67&amp;""</f>
      </c>
      <c r="AJ67" t="str">
        <f>[1]发票导入!AJ67&amp;""</f>
        <v>中智优力</v>
      </c>
      <c r="AK67">
        <f>[1]发票导入!AK67</f>
        <v>98.9</v>
      </c>
      <c r="AL67">
        <f>[1]发票导入!AL67</f>
        <v>96.02</v>
      </c>
      <c r="AM67">
        <f>[1]发票导入!AM67</f>
        <v>2.88</v>
      </c>
      <c r="AN67" s="22">
        <f t="shared" si="1"/>
        <v>0</v>
      </c>
      <c r="AO67" s="22">
        <f t="shared" si="2"/>
        <v>0</v>
      </c>
    </row>
    <row r="68">
      <c r="C68">
        <f>[1]发票导入!C68&amp;""</f>
      </c>
      <c r="D68" t="str">
        <f>[1]发票导入!D68&amp;""</f>
        <v>26332000006850547131</v>
      </c>
      <c r="O68" t="str">
        <f>[1]发票导入!O68&amp;""</f>
        <v>正常</v>
      </c>
      <c r="T68">
        <f>[1]发票导入!T68</f>
        <v>46243.0</v>
      </c>
      <c r="U68" t="str">
        <f>[1]发票导入!U68&amp;""</f>
        <v>中智优力</v>
      </c>
      <c r="V68" t="str">
        <f>[1]发票导入!V68&amp;""</f>
        <v>进项</v>
      </c>
      <c r="W68" t="str">
        <f>[1]发票导入!W68&amp;""</f>
        <v>东阳市沐之日用品有限公司</v>
      </c>
      <c r="Y68" t="str">
        <f>[1]发票导入!Y68&amp;""</f>
        <v>报销票</v>
      </c>
      <c r="AA68">
        <f>[1]发票导入!AA68&amp;""</f>
      </c>
      <c r="AB68">
        <f>[1]发票导入!AB68</f>
        <v>0</v>
      </c>
      <c r="AC68">
        <f>[1]发票导入!AC68</f>
        <v>0</v>
      </c>
      <c r="AE68" s="22">
        <f t="shared" si="0"/>
      </c>
      <c r="AI68">
        <f>[1]发票导入!AI68&amp;""</f>
      </c>
      <c r="AJ68" t="str">
        <f>[1]发票导入!AJ68&amp;""</f>
        <v>中智优力</v>
      </c>
      <c r="AK68">
        <f>[1]发票导入!AK68</f>
        <v>22.9</v>
      </c>
      <c r="AL68">
        <f>[1]发票导入!AL68</f>
        <v>20.27</v>
      </c>
      <c r="AM68">
        <f>[1]发票导入!AM68</f>
        <v>2.63</v>
      </c>
      <c r="AN68" s="22">
        <f t="shared" si="1"/>
        <v>0</v>
      </c>
      <c r="AO68" s="22">
        <f t="shared" si="2"/>
        <v>0</v>
      </c>
    </row>
    <row r="69">
      <c r="C69">
        <f>[1]发票导入!C69&amp;""</f>
      </c>
      <c r="D69" t="str">
        <f>[1]发票导入!D69&amp;""</f>
        <v>26532000001331642821</v>
      </c>
      <c r="O69" t="str">
        <f>[1]发票导入!O69&amp;""</f>
        <v>正常</v>
      </c>
      <c r="T69">
        <f>[1]发票导入!T69</f>
        <v>46242.0</v>
      </c>
      <c r="U69" t="str">
        <f>[1]发票导入!U69&amp;""</f>
        <v>中智优力</v>
      </c>
      <c r="V69" t="str">
        <f>[1]发票导入!V69&amp;""</f>
        <v>进项</v>
      </c>
      <c r="W69" t="str">
        <f>[1]发票导入!W69&amp;""</f>
        <v>昆明艾德商贸有限公司</v>
      </c>
      <c r="Y69" t="str">
        <f>[1]发票导入!Y69&amp;""</f>
        <v>报销票</v>
      </c>
      <c r="AA69">
        <f>[1]发票导入!AA69&amp;""</f>
      </c>
      <c r="AB69">
        <f>[1]发票导入!AB69</f>
        <v>0</v>
      </c>
      <c r="AC69">
        <f>[1]发票导入!AC69</f>
        <v>0</v>
      </c>
      <c r="AE69" s="22">
        <f t="shared" si="0"/>
      </c>
      <c r="AI69">
        <f>[1]发票导入!AI69&amp;""</f>
      </c>
      <c r="AJ69" t="str">
        <f>[1]发票导入!AJ69&amp;""</f>
        <v>中智优力</v>
      </c>
      <c r="AK69">
        <f>[1]发票导入!AK69</f>
        <v>24.8</v>
      </c>
      <c r="AL69">
        <f>[1]发票导入!AL69</f>
        <v>24.8</v>
      </c>
      <c r="AM69">
        <f>[1]发票导入!AM69</f>
        <v>0</v>
      </c>
      <c r="AN69" s="22">
        <f t="shared" si="1"/>
        <v>0</v>
      </c>
      <c r="AO69" s="22">
        <f t="shared" si="2"/>
        <v>0</v>
      </c>
    </row>
    <row r="70">
      <c r="C70">
        <f>[1]发票导入!C70&amp;""</f>
      </c>
      <c r="D70" t="str">
        <f>[1]发票导入!D70&amp;""</f>
        <v>26932000001329329176</v>
      </c>
      <c r="O70" t="str">
        <f>[1]发票导入!O70&amp;""</f>
        <v>正常</v>
      </c>
      <c r="T70">
        <f>[1]发票导入!T70</f>
        <v>46241.0</v>
      </c>
      <c r="U70" t="str">
        <f>[1]发票导入!U70&amp;""</f>
        <v>中智优力</v>
      </c>
      <c r="V70" t="str">
        <f>[1]发票导入!V70&amp;""</f>
        <v>进项</v>
      </c>
      <c r="W70" t="str">
        <f>[1]发票导入!W70&amp;""</f>
        <v>宁波鄞州承燃餐饮有限公司</v>
      </c>
      <c r="Y70" t="str">
        <f>[1]发票导入!Y70&amp;""</f>
        <v>报销票</v>
      </c>
      <c r="AA70">
        <f>[1]发票导入!AA70&amp;""</f>
      </c>
      <c r="AB70">
        <f>[1]发票导入!AB70</f>
        <v>0</v>
      </c>
      <c r="AC70">
        <f>[1]发票导入!AC70</f>
        <v>0</v>
      </c>
      <c r="AE70" s="22">
        <f t="shared" si="0"/>
      </c>
      <c r="AI70">
        <f>[1]发票导入!AI70&amp;""</f>
      </c>
      <c r="AJ70" t="str">
        <f>[1]发票导入!AJ70&amp;""</f>
        <v>中智优力</v>
      </c>
      <c r="AK70">
        <f>[1]发票导入!AK70</f>
        <v>466.7</v>
      </c>
      <c r="AL70">
        <f>[1]发票导入!AL70</f>
        <v>462.08</v>
      </c>
      <c r="AM70">
        <f>[1]发票导入!AM70</f>
        <v>4.62</v>
      </c>
      <c r="AN70" s="22">
        <f t="shared" si="1"/>
        <v>0</v>
      </c>
      <c r="AO70" s="22">
        <f t="shared" si="2"/>
        <v>0</v>
      </c>
    </row>
    <row r="71">
      <c r="C71">
        <f>[1]发票导入!C71&amp;""</f>
      </c>
      <c r="D71" t="str">
        <f>[1]发票导入!D71&amp;""</f>
        <v>26932000001328865211</v>
      </c>
      <c r="O71" t="str">
        <f>[1]发票导入!O71&amp;""</f>
        <v>正常</v>
      </c>
      <c r="T71">
        <f>[1]发票导入!T71</f>
        <v>46241.0</v>
      </c>
      <c r="U71" t="str">
        <f>[1]发票导入!U71&amp;""</f>
        <v>中智优力</v>
      </c>
      <c r="V71" t="str">
        <f>[1]发票导入!V71&amp;""</f>
        <v>进项</v>
      </c>
      <c r="W71" t="str">
        <f>[1]发票导入!W71&amp;""</f>
        <v>宁波鄞泰健康管理有限公司</v>
      </c>
      <c r="Y71" t="str">
        <f>[1]发票导入!Y71&amp;""</f>
        <v>报销票</v>
      </c>
      <c r="AA71">
        <f>[1]发票导入!AA71&amp;""</f>
      </c>
      <c r="AB71">
        <f>[1]发票导入!AB71</f>
        <v>0</v>
      </c>
      <c r="AC71">
        <f>[1]发票导入!AC71</f>
        <v>0</v>
      </c>
      <c r="AE71" s="22">
        <f t="shared" si="0"/>
      </c>
      <c r="AI71">
        <f>[1]发票导入!AI71&amp;""</f>
      </c>
      <c r="AJ71" t="str">
        <f>[1]发票导入!AJ71&amp;""</f>
        <v>中智优力</v>
      </c>
      <c r="AK71">
        <f>[1]发票导入!AK71</f>
        <v>172</v>
      </c>
      <c r="AL71">
        <f>[1]发票导入!AL71</f>
        <v>170.3</v>
      </c>
      <c r="AM71">
        <f>[1]发票导入!AM71</f>
        <v>1.7</v>
      </c>
      <c r="AN71" s="22">
        <f t="shared" si="1"/>
        <v>0</v>
      </c>
      <c r="AO71" s="22">
        <f t="shared" si="2"/>
        <v>0</v>
      </c>
    </row>
    <row r="72">
      <c r="C72">
        <f>[1]发票导入!C72&amp;""</f>
      </c>
      <c r="D72" t="str">
        <f>[1]发票导入!D72&amp;""</f>
        <v>26932000001328656681</v>
      </c>
      <c r="O72" t="str">
        <f>[1]发票导入!O72&amp;""</f>
        <v>正常</v>
      </c>
      <c r="T72">
        <f>[1]发票导入!T72</f>
        <v>46241.0</v>
      </c>
      <c r="U72" t="str">
        <f>[1]发票导入!U72&amp;""</f>
        <v>中智优力</v>
      </c>
      <c r="V72" t="str">
        <f>[1]发票导入!V72&amp;""</f>
        <v>进项</v>
      </c>
      <c r="W72" t="str">
        <f>[1]发票导入!W72&amp;""</f>
        <v>宁波鄞泰健康管理有限公司</v>
      </c>
      <c r="Y72" t="str">
        <f>[1]发票导入!Y72&amp;""</f>
        <v>报销票</v>
      </c>
      <c r="AA72">
        <f>[1]发票导入!AA72&amp;""</f>
      </c>
      <c r="AB72">
        <f>[1]发票导入!AB72</f>
        <v>0</v>
      </c>
      <c r="AC72">
        <f>[1]发票导入!AC72</f>
        <v>0</v>
      </c>
      <c r="AE72" s="22">
        <f t="shared" si="0"/>
      </c>
      <c r="AI72">
        <f>[1]发票导入!AI72&amp;""</f>
      </c>
      <c r="AJ72" t="str">
        <f>[1]发票导入!AJ72&amp;""</f>
        <v>中智优力</v>
      </c>
      <c r="AK72">
        <f>[1]发票导入!AK72</f>
        <v>161</v>
      </c>
      <c r="AL72">
        <f>[1]发票导入!AL72</f>
        <v>159.41</v>
      </c>
      <c r="AM72">
        <f>[1]发票导入!AM72</f>
        <v>1.59</v>
      </c>
      <c r="AN72" s="22">
        <f t="shared" si="1"/>
        <v>0</v>
      </c>
      <c r="AO72" s="22">
        <f t="shared" si="2"/>
        <v>0</v>
      </c>
    </row>
    <row r="73">
      <c r="C73">
        <f>[1]发票导入!C73&amp;""</f>
      </c>
      <c r="D73" t="str">
        <f>[1]发票导入!D73&amp;""</f>
        <v>26932000001328652991</v>
      </c>
      <c r="O73" t="str">
        <f>[1]发票导入!O73&amp;""</f>
        <v>正常</v>
      </c>
      <c r="T73">
        <f>[1]发票导入!T73</f>
        <v>46241.0</v>
      </c>
      <c r="U73" t="str">
        <f>[1]发票导入!U73&amp;""</f>
        <v>中智优力</v>
      </c>
      <c r="V73" t="str">
        <f>[1]发票导入!V73&amp;""</f>
        <v>进项</v>
      </c>
      <c r="W73" t="str">
        <f>[1]发票导入!W73&amp;""</f>
        <v>宁波鄞泰健康管理有限公司</v>
      </c>
      <c r="Y73" t="str">
        <f>[1]发票导入!Y73&amp;""</f>
        <v>报销票</v>
      </c>
      <c r="AA73">
        <f>[1]发票导入!AA73&amp;""</f>
      </c>
      <c r="AB73">
        <f>[1]发票导入!AB73</f>
        <v>0</v>
      </c>
      <c r="AC73">
        <f>[1]发票导入!AC73</f>
        <v>0</v>
      </c>
      <c r="AE73" s="22">
        <f t="shared" si="0"/>
      </c>
      <c r="AI73">
        <f>[1]发票导入!AI73&amp;""</f>
      </c>
      <c r="AJ73" t="str">
        <f>[1]发票导入!AJ73&amp;""</f>
        <v>中智优力</v>
      </c>
      <c r="AK73">
        <f>[1]发票导入!AK73</f>
        <v>162</v>
      </c>
      <c r="AL73">
        <f>[1]发票导入!AL73</f>
        <v>160.4</v>
      </c>
      <c r="AM73">
        <f>[1]发票导入!AM73</f>
        <v>1.6</v>
      </c>
      <c r="AN73" s="22">
        <f t="shared" si="1"/>
        <v>0</v>
      </c>
      <c r="AO73" s="22">
        <f t="shared" si="2"/>
        <v>0</v>
      </c>
    </row>
    <row r="74">
      <c r="C74">
        <f>[1]发票导入!C74&amp;""</f>
      </c>
      <c r="D74" t="str">
        <f>[1]发票导入!D74&amp;""</f>
        <v>26932000001328652016</v>
      </c>
      <c r="O74" t="str">
        <f>[1]发票导入!O74&amp;""</f>
        <v>正常</v>
      </c>
      <c r="T74">
        <f>[1]发票导入!T74</f>
        <v>46241.0</v>
      </c>
      <c r="U74" t="str">
        <f>[1]发票导入!U74&amp;""</f>
        <v>中智优力</v>
      </c>
      <c r="V74" t="str">
        <f>[1]发票导入!V74&amp;""</f>
        <v>进项</v>
      </c>
      <c r="W74" t="str">
        <f>[1]发票导入!W74&amp;""</f>
        <v>宁波鄞泰健康管理有限公司</v>
      </c>
      <c r="Y74" t="str">
        <f>[1]发票导入!Y74&amp;""</f>
        <v>报销票</v>
      </c>
      <c r="AA74">
        <f>[1]发票导入!AA74&amp;""</f>
      </c>
      <c r="AB74">
        <f>[1]发票导入!AB74</f>
        <v>0</v>
      </c>
      <c r="AC74">
        <f>[1]发票导入!AC74</f>
        <v>0</v>
      </c>
      <c r="AE74" s="22">
        <f t="shared" si="0"/>
      </c>
      <c r="AI74">
        <f>[1]发票导入!AI74&amp;""</f>
      </c>
      <c r="AJ74" t="str">
        <f>[1]发票导入!AJ74&amp;""</f>
        <v>中智优力</v>
      </c>
      <c r="AK74">
        <f>[1]发票导入!AK74</f>
        <v>212</v>
      </c>
      <c r="AL74">
        <f>[1]发票导入!AL74</f>
        <v>209.9</v>
      </c>
      <c r="AM74">
        <f>[1]发票导入!AM74</f>
        <v>2.1</v>
      </c>
      <c r="AN74" s="22">
        <f t="shared" si="1"/>
        <v>0</v>
      </c>
      <c r="AO74" s="22">
        <f t="shared" si="2"/>
        <v>0</v>
      </c>
    </row>
    <row r="75">
      <c r="C75">
        <f>[1]发票导入!C75&amp;""</f>
      </c>
      <c r="D75" t="str">
        <f>[1]发票导入!D75&amp;""</f>
        <v>26934000000046880281</v>
      </c>
      <c r="O75" t="str">
        <f>[1]发票导入!O75&amp;""</f>
        <v>正常</v>
      </c>
      <c r="T75">
        <f>[1]发票导入!T75</f>
        <v>46241.0</v>
      </c>
      <c r="U75" t="str">
        <f>[1]发票导入!U75&amp;""</f>
        <v>中智优力</v>
      </c>
      <c r="V75" t="str">
        <f>[1]发票导入!V75&amp;""</f>
        <v>进项</v>
      </c>
      <c r="W75" t="str">
        <f>[1]发票导入!W75&amp;""</f>
        <v>宁波市鄞州邱隘浪浪柳餐饮店（个体工商户）</v>
      </c>
      <c r="Y75" t="str">
        <f>[1]发票导入!Y75&amp;""</f>
        <v>报销票</v>
      </c>
      <c r="AA75">
        <f>[1]发票导入!AA75&amp;""</f>
      </c>
      <c r="AB75">
        <f>[1]发票导入!AB75</f>
        <v>0</v>
      </c>
      <c r="AC75">
        <f>[1]发票导入!AC75</f>
        <v>0</v>
      </c>
      <c r="AE75" s="22">
        <f t="shared" si="0"/>
      </c>
      <c r="AI75">
        <f>[1]发票导入!AI75&amp;""</f>
      </c>
      <c r="AJ75" t="str">
        <f>[1]发票导入!AJ75&amp;""</f>
        <v>中智优力</v>
      </c>
      <c r="AK75">
        <f>[1]发票导入!AK75</f>
        <v>282.07</v>
      </c>
      <c r="AL75">
        <f>[1]发票导入!AL75</f>
        <v>279.28</v>
      </c>
      <c r="AM75">
        <f>[1]发票导入!AM75</f>
        <v>2.79</v>
      </c>
      <c r="AN75" s="22">
        <f t="shared" si="1"/>
        <v>0</v>
      </c>
      <c r="AO75" s="22">
        <f t="shared" si="2"/>
        <v>0</v>
      </c>
    </row>
    <row r="76">
      <c r="C76">
        <f>[1]发票导入!C76&amp;""</f>
      </c>
      <c r="D76" t="str">
        <f>[1]发票导入!D76&amp;""</f>
        <v>26932000001328189506</v>
      </c>
      <c r="O76" t="str">
        <f>[1]发票导入!O76&amp;""</f>
        <v>正常</v>
      </c>
      <c r="T76">
        <f>[1]发票导入!T76</f>
        <v>46241.0</v>
      </c>
      <c r="U76" t="str">
        <f>[1]发票导入!U76&amp;""</f>
        <v>中智优力</v>
      </c>
      <c r="V76" t="str">
        <f>[1]发票导入!V76&amp;""</f>
        <v>进项</v>
      </c>
      <c r="W76" t="str">
        <f>[1]发票导入!W76&amp;""</f>
        <v>宁波市鄞州五乡集金电子商行</v>
      </c>
      <c r="Y76" t="str">
        <f>[1]发票导入!Y76&amp;""</f>
        <v>报销票</v>
      </c>
      <c r="AA76">
        <f>[1]发票导入!AA76&amp;""</f>
      </c>
      <c r="AB76">
        <f>[1]发票导入!AB76</f>
        <v>0</v>
      </c>
      <c r="AC76">
        <f>[1]发票导入!AC76</f>
        <v>0</v>
      </c>
      <c r="AE76" s="22">
        <f t="shared" si="0"/>
      </c>
      <c r="AI76">
        <f>[1]发票导入!AI76&amp;""</f>
      </c>
      <c r="AJ76" t="str">
        <f>[1]发票导入!AJ76&amp;""</f>
        <v>中智优力</v>
      </c>
      <c r="AK76">
        <f>[1]发票导入!AK76</f>
        <v>2680</v>
      </c>
      <c r="AL76">
        <f>[1]发票导入!AL76</f>
        <v>2653.46</v>
      </c>
      <c r="AM76">
        <f>[1]发票导入!AM76</f>
        <v>26.54</v>
      </c>
      <c r="AN76" s="22">
        <f t="shared" si="1"/>
        <v>0</v>
      </c>
      <c r="AO76" s="22">
        <f t="shared" si="2"/>
        <v>0</v>
      </c>
    </row>
    <row r="77">
      <c r="C77">
        <f>[1]发票导入!C77&amp;""</f>
      </c>
      <c r="D77" t="str">
        <f>[1]发票导入!D77&amp;""</f>
        <v>26932000001327170451</v>
      </c>
      <c r="O77" t="str">
        <f>[1]发票导入!O77&amp;""</f>
        <v>正常</v>
      </c>
      <c r="T77">
        <f>[1]发票导入!T77</f>
        <v>46241.0</v>
      </c>
      <c r="U77" t="str">
        <f>[1]发票导入!U77&amp;""</f>
        <v>中智优力</v>
      </c>
      <c r="V77" t="str">
        <f>[1]发票导入!V77&amp;""</f>
        <v>进项</v>
      </c>
      <c r="W77" t="str">
        <f>[1]发票导入!W77&amp;""</f>
        <v>宁波市鄞州区伟仔餐饮店（个体工商户）</v>
      </c>
      <c r="Y77" t="str">
        <f>[1]发票导入!Y77&amp;""</f>
        <v>报销票</v>
      </c>
      <c r="AA77">
        <f>[1]发票导入!AA77&amp;""</f>
      </c>
      <c r="AB77">
        <f>[1]发票导入!AB77</f>
        <v>0</v>
      </c>
      <c r="AC77">
        <f>[1]发票导入!AC77</f>
        <v>0</v>
      </c>
      <c r="AE77" s="22">
        <f t="shared" si="0"/>
      </c>
      <c r="AI77">
        <f>[1]发票导入!AI77&amp;""</f>
      </c>
      <c r="AJ77" t="str">
        <f>[1]发票导入!AJ77&amp;""</f>
        <v>中智优力</v>
      </c>
      <c r="AK77">
        <f>[1]发票导入!AK77</f>
        <v>132.9</v>
      </c>
      <c r="AL77">
        <f>[1]发票导入!AL77</f>
        <v>131.58</v>
      </c>
      <c r="AM77">
        <f>[1]发票导入!AM77</f>
        <v>1.32</v>
      </c>
      <c r="AN77" s="22">
        <f t="shared" si="1"/>
        <v>0</v>
      </c>
      <c r="AO77" s="22">
        <f t="shared" si="2"/>
        <v>0</v>
      </c>
    </row>
    <row r="78">
      <c r="C78">
        <f>[1]发票导入!C78&amp;""</f>
      </c>
      <c r="D78" t="str">
        <f>[1]发票导入!D78&amp;""</f>
        <v>26937000000083340783</v>
      </c>
      <c r="O78" t="str">
        <f>[1]发票导入!O78&amp;""</f>
        <v>正常</v>
      </c>
      <c r="T78">
        <f>[1]发票导入!T78</f>
        <v>46241.0</v>
      </c>
      <c r="U78" t="str">
        <f>[1]发票导入!U78&amp;""</f>
        <v>中智优力</v>
      </c>
      <c r="V78" t="str">
        <f>[1]发票导入!V78&amp;""</f>
        <v>进项</v>
      </c>
      <c r="W78" t="str">
        <f>[1]发票导入!W78&amp;""</f>
        <v>沃尔玛（浙江）百货有限公司宁波清河路山姆会员商店</v>
      </c>
      <c r="Y78" t="str">
        <f>[1]发票导入!Y78&amp;""</f>
        <v>报销票</v>
      </c>
      <c r="AA78">
        <f>[1]发票导入!AA78&amp;""</f>
      </c>
      <c r="AB78">
        <f>[1]发票导入!AB78</f>
        <v>0</v>
      </c>
      <c r="AC78">
        <f>[1]发票导入!AC78</f>
        <v>0</v>
      </c>
      <c r="AE78" s="22">
        <f t="shared" si="0"/>
      </c>
      <c r="AI78">
        <f>[1]发票导入!AI78&amp;""</f>
      </c>
      <c r="AJ78" t="str">
        <f>[1]发票导入!AJ78&amp;""</f>
        <v>中智优力</v>
      </c>
      <c r="AK78">
        <f>[1]发票导入!AK78</f>
        <v>376.3</v>
      </c>
      <c r="AL78">
        <f>[1]发票导入!AL78</f>
        <v>333</v>
      </c>
      <c r="AM78">
        <f>[1]发票导入!AM78</f>
        <v>43.3</v>
      </c>
      <c r="AN78" s="22">
        <f t="shared" si="1"/>
        <v>0</v>
      </c>
      <c r="AO78" s="22">
        <f t="shared" si="2"/>
        <v>0</v>
      </c>
    </row>
    <row r="79">
      <c r="C79">
        <f>[1]发票导入!C79&amp;""</f>
      </c>
      <c r="D79" t="str">
        <f>[1]发票导入!D79&amp;""</f>
        <v>26322000006493788061</v>
      </c>
      <c r="O79" t="str">
        <f>[1]发票导入!O79&amp;""</f>
        <v>正常</v>
      </c>
      <c r="T79">
        <f>[1]发票导入!T79</f>
        <v>46241.0</v>
      </c>
      <c r="U79" t="str">
        <f>[1]发票导入!U79&amp;""</f>
        <v>中智优力</v>
      </c>
      <c r="V79" t="str">
        <f>[1]发票导入!V79&amp;""</f>
        <v>进项</v>
      </c>
      <c r="W79" t="str">
        <f>[1]发票导入!W79&amp;""</f>
        <v>张家港昂菲特贸易有限公司</v>
      </c>
      <c r="Y79" t="str">
        <f>[1]发票导入!Y79&amp;""</f>
        <v>报销票</v>
      </c>
      <c r="AA79">
        <f>[1]发票导入!AA79&amp;""</f>
      </c>
      <c r="AB79">
        <f>[1]发票导入!AB79</f>
        <v>0</v>
      </c>
      <c r="AC79">
        <f>[1]发票导入!AC79</f>
        <v>0</v>
      </c>
      <c r="AE79" s="22">
        <f t="shared" si="0"/>
      </c>
      <c r="AI79">
        <f>[1]发票导入!AI79&amp;""</f>
      </c>
      <c r="AJ79" t="str">
        <f>[1]发票导入!AJ79&amp;""</f>
        <v>中智优力</v>
      </c>
      <c r="AK79">
        <f>[1]发票导入!AK79</f>
        <v>29.9</v>
      </c>
      <c r="AL79">
        <f>[1]发票导入!AL79</f>
        <v>26.46</v>
      </c>
      <c r="AM79">
        <f>[1]发票导入!AM79</f>
        <v>3.44</v>
      </c>
      <c r="AN79" s="22">
        <f t="shared" si="1"/>
        <v>0</v>
      </c>
      <c r="AO79" s="22">
        <f t="shared" si="2"/>
        <v>0</v>
      </c>
    </row>
    <row r="80">
      <c r="C80">
        <f>[1]发票导入!C80&amp;""</f>
      </c>
      <c r="D80" t="str">
        <f>[1]发票导入!D80&amp;""</f>
        <v>26317000002892587097</v>
      </c>
      <c r="O80" t="str">
        <f>[1]发票导入!O80&amp;""</f>
        <v>正常</v>
      </c>
      <c r="T80">
        <f>[1]发票导入!T80</f>
        <v>46240.0</v>
      </c>
      <c r="U80" t="str">
        <f>[1]发票导入!U80&amp;""</f>
        <v>中智优力</v>
      </c>
      <c r="V80" t="str">
        <f>[1]发票导入!V80&amp;""</f>
        <v>进项</v>
      </c>
      <c r="W80" t="str">
        <f>[1]发票导入!W80&amp;""</f>
        <v>上海泓弈信息科技有限公司</v>
      </c>
      <c r="Y80" t="str">
        <f>[1]发票导入!Y80&amp;""</f>
        <v>报销票</v>
      </c>
      <c r="AA80">
        <f>[1]发票导入!AA80&amp;""</f>
      </c>
      <c r="AB80">
        <f>[1]发票导入!AB80</f>
        <v>0</v>
      </c>
      <c r="AC80">
        <f>[1]发票导入!AC80</f>
        <v>0</v>
      </c>
      <c r="AE80" s="22">
        <f t="shared" si="0"/>
      </c>
      <c r="AI80">
        <f>[1]发票导入!AI80&amp;""</f>
      </c>
      <c r="AJ80" t="str">
        <f>[1]发票导入!AJ80&amp;""</f>
        <v>中智优力</v>
      </c>
      <c r="AK80">
        <f>[1]发票导入!AK80</f>
        <v>5</v>
      </c>
      <c r="AL80">
        <f>[1]发票导入!AL80</f>
        <v>4.72</v>
      </c>
      <c r="AM80">
        <f>[1]发票导入!AM80</f>
        <v>0.28</v>
      </c>
      <c r="AN80" s="22">
        <f t="shared" si="1"/>
        <v>0</v>
      </c>
      <c r="AO80" s="22">
        <f t="shared" si="2"/>
        <v>0</v>
      </c>
    </row>
    <row r="81">
      <c r="C81">
        <f>[1]发票导入!C81&amp;""</f>
      </c>
      <c r="D81" t="str">
        <f>[1]发票导入!D81&amp;""</f>
        <v>26932000001321228486</v>
      </c>
      <c r="O81" t="str">
        <f>[1]发票导入!O81&amp;""</f>
        <v>正常</v>
      </c>
      <c r="T81">
        <f>[1]发票导入!T81</f>
        <v>46240.0</v>
      </c>
      <c r="U81" t="str">
        <f>[1]发票导入!U81&amp;""</f>
        <v>中智优力</v>
      </c>
      <c r="V81" t="str">
        <f>[1]发票导入!V81&amp;""</f>
        <v>进项</v>
      </c>
      <c r="W81" t="str">
        <f>[1]发票导入!W81&amp;""</f>
        <v>宁波市海曙区湘周餐饮店（个体工商户）</v>
      </c>
      <c r="Y81" t="str">
        <f>[1]发票导入!Y81&amp;""</f>
        <v>报销票</v>
      </c>
      <c r="AA81">
        <f>[1]发票导入!AA81&amp;""</f>
      </c>
      <c r="AB81">
        <f>[1]发票导入!AB81</f>
        <v>0</v>
      </c>
      <c r="AC81">
        <f>[1]发票导入!AC81</f>
        <v>0</v>
      </c>
      <c r="AE81" s="22">
        <f t="shared" si="0"/>
      </c>
      <c r="AI81">
        <f>[1]发票导入!AI81&amp;""</f>
      </c>
      <c r="AJ81" t="str">
        <f>[1]发票导入!AJ81&amp;""</f>
        <v>中智优力</v>
      </c>
      <c r="AK81">
        <f>[1]发票导入!AK81</f>
        <v>235.45</v>
      </c>
      <c r="AL81">
        <f>[1]发票导入!AL81</f>
        <v>222.12</v>
      </c>
      <c r="AM81">
        <f>[1]发票导入!AM81</f>
        <v>13.33</v>
      </c>
      <c r="AN81" s="22">
        <f t="shared" si="1"/>
        <v>0</v>
      </c>
      <c r="AO81" s="22">
        <f t="shared" si="2"/>
        <v>0</v>
      </c>
    </row>
    <row r="82">
      <c r="C82">
        <f>[1]发票导入!C82&amp;""</f>
      </c>
      <c r="D82" t="str">
        <f>[1]发票导入!D82&amp;""</f>
        <v>26322000006471354016</v>
      </c>
      <c r="O82" t="str">
        <f>[1]发票导入!O82&amp;""</f>
        <v>正常</v>
      </c>
      <c r="T82">
        <f>[1]发票导入!T82</f>
        <v>46240.0</v>
      </c>
      <c r="U82" t="str">
        <f>[1]发票导入!U82&amp;""</f>
        <v>中智优力</v>
      </c>
      <c r="V82" t="str">
        <f>[1]发票导入!V82&amp;""</f>
        <v>进项</v>
      </c>
      <c r="W82" t="str">
        <f>[1]发票导入!W82&amp;""</f>
        <v>常州嘉亿德力文具有限公司</v>
      </c>
      <c r="Y82" t="str">
        <f>[1]发票导入!Y82&amp;""</f>
        <v>报销票</v>
      </c>
      <c r="AA82">
        <f>[1]发票导入!AA82&amp;""</f>
      </c>
      <c r="AB82">
        <f>[1]发票导入!AB82</f>
        <v>0</v>
      </c>
      <c r="AC82">
        <f>[1]发票导入!AC82</f>
        <v>0</v>
      </c>
      <c r="AE82" s="22">
        <f t="shared" si="0"/>
      </c>
      <c r="AI82">
        <f>[1]发票导入!AI82&amp;""</f>
      </c>
      <c r="AJ82" t="str">
        <f>[1]发票导入!AJ82&amp;""</f>
        <v>中智优力</v>
      </c>
      <c r="AK82">
        <f>[1]发票导入!AK82</f>
        <v>7.6</v>
      </c>
      <c r="AL82">
        <f>[1]发票导入!AL82</f>
        <v>6.73</v>
      </c>
      <c r="AM82">
        <f>[1]发票导入!AM82</f>
        <v>0.87</v>
      </c>
      <c r="AN82" s="22">
        <f t="shared" si="1"/>
        <v>0</v>
      </c>
      <c r="AO82" s="22">
        <f t="shared" si="2"/>
        <v>0</v>
      </c>
    </row>
    <row r="83">
      <c r="C83">
        <f>[1]发票导入!C83&amp;""</f>
      </c>
      <c r="D83" t="str">
        <f>[1]发票导入!D83&amp;""</f>
        <v>26342000002494154671</v>
      </c>
      <c r="O83" t="str">
        <f>[1]发票导入!O83&amp;""</f>
        <v>正常</v>
      </c>
      <c r="T83">
        <f>[1]发票导入!T83</f>
        <v>46240.0</v>
      </c>
      <c r="U83" t="str">
        <f>[1]发票导入!U83&amp;""</f>
        <v>中智优力</v>
      </c>
      <c r="V83" t="str">
        <f>[1]发票导入!V83&amp;""</f>
        <v>进项</v>
      </c>
      <c r="W83" t="str">
        <f>[1]发票导入!W83&amp;""</f>
        <v>肥西县桃花工业园万翔办公用品经营部</v>
      </c>
      <c r="Y83" t="str">
        <f>[1]发票导入!Y83&amp;""</f>
        <v>报销票</v>
      </c>
      <c r="AA83">
        <f>[1]发票导入!AA83&amp;""</f>
      </c>
      <c r="AB83">
        <f>[1]发票导入!AB83</f>
        <v>0</v>
      </c>
      <c r="AC83">
        <f>[1]发票导入!AC83</f>
        <v>0</v>
      </c>
      <c r="AE83" s="22">
        <f t="shared" si="0"/>
      </c>
      <c r="AI83">
        <f>[1]发票导入!AI83&amp;""</f>
      </c>
      <c r="AJ83" t="str">
        <f>[1]发票导入!AJ83&amp;""</f>
        <v>中智优力</v>
      </c>
      <c r="AK83">
        <f>[1]发票导入!AK83</f>
        <v>192</v>
      </c>
      <c r="AL83">
        <f>[1]发票导入!AL83</f>
        <v>190.1</v>
      </c>
      <c r="AM83">
        <f>[1]发票导入!AM83</f>
        <v>1.9</v>
      </c>
      <c r="AN83" s="22">
        <f t="shared" si="1"/>
        <v>0</v>
      </c>
      <c r="AO83" s="22">
        <f t="shared" si="2"/>
        <v>0</v>
      </c>
    </row>
    <row r="84">
      <c r="C84">
        <f>[1]发票导入!C84&amp;""</f>
      </c>
      <c r="D84" t="str">
        <f>[1]发票导入!D84&amp;""</f>
        <v>26112000003272302846</v>
      </c>
      <c r="O84" t="str">
        <f>[1]发票导入!O84&amp;""</f>
        <v>正常</v>
      </c>
      <c r="T84">
        <f>[1]发票导入!T84</f>
        <v>46240.0</v>
      </c>
      <c r="U84" t="str">
        <f>[1]发票导入!U84&amp;""</f>
        <v>中智优力</v>
      </c>
      <c r="V84" t="str">
        <f>[1]发票导入!V84&amp;""</f>
        <v>进项</v>
      </c>
      <c r="W84" t="str">
        <f>[1]发票导入!W84&amp;""</f>
        <v>北京东奥时代教育科技有限公司</v>
      </c>
      <c r="Y84" t="str">
        <f>[1]发票导入!Y84&amp;""</f>
        <v>报销票</v>
      </c>
      <c r="AA84">
        <f>[1]发票导入!AA84&amp;""</f>
      </c>
      <c r="AB84">
        <f>[1]发票导入!AB84</f>
        <v>0</v>
      </c>
      <c r="AC84">
        <f>[1]发票导入!AC84</f>
        <v>0</v>
      </c>
      <c r="AE84" s="22">
        <f t="shared" si="0"/>
      </c>
      <c r="AI84">
        <f>[1]发票导入!AI84&amp;""</f>
      </c>
      <c r="AJ84" t="str">
        <f>[1]发票导入!AJ84&amp;""</f>
        <v>中智优力</v>
      </c>
      <c r="AK84">
        <f>[1]发票导入!AK84</f>
        <v>40</v>
      </c>
      <c r="AL84">
        <f>[1]发票导入!AL84</f>
        <v>38.83</v>
      </c>
      <c r="AM84">
        <f>[1]发票导入!AM84</f>
        <v>1.17</v>
      </c>
      <c r="AN84" s="22">
        <f t="shared" si="1"/>
        <v>0</v>
      </c>
      <c r="AO84" s="22">
        <f t="shared" si="2"/>
        <v>0</v>
      </c>
    </row>
    <row r="85">
      <c r="C85">
        <f>[1]发票导入!C85&amp;""</f>
      </c>
      <c r="D85" t="str">
        <f>[1]发票导入!D85&amp;""</f>
        <v>26317000002887162179</v>
      </c>
      <c r="O85" t="str">
        <f>[1]发票导入!O85&amp;""</f>
        <v>正常</v>
      </c>
      <c r="T85">
        <f>[1]发票导入!T85</f>
        <v>46239.0</v>
      </c>
      <c r="U85" t="str">
        <f>[1]发票导入!U85&amp;""</f>
        <v>中智优力</v>
      </c>
      <c r="V85" t="str">
        <f>[1]发票导入!V85&amp;""</f>
        <v>进项</v>
      </c>
      <c r="W85" t="str">
        <f>[1]发票导入!W85&amp;""</f>
        <v>上海泓弈信息科技有限公司</v>
      </c>
      <c r="Y85" t="str">
        <f>[1]发票导入!Y85&amp;""</f>
        <v>报销票</v>
      </c>
      <c r="AA85">
        <f>[1]发票导入!AA85&amp;""</f>
      </c>
      <c r="AB85">
        <f>[1]发票导入!AB85</f>
        <v>0</v>
      </c>
      <c r="AC85">
        <f>[1]发票导入!AC85</f>
        <v>0</v>
      </c>
      <c r="AE85" s="22">
        <f t="shared" si="0"/>
      </c>
      <c r="AI85">
        <f>[1]发票导入!AI85&amp;""</f>
      </c>
      <c r="AJ85" t="str">
        <f>[1]发票导入!AJ85&amp;""</f>
        <v>中智优力</v>
      </c>
      <c r="AK85">
        <f>[1]发票导入!AK85</f>
        <v>6.4</v>
      </c>
      <c r="AL85">
        <f>[1]发票导入!AL85</f>
        <v>6.04</v>
      </c>
      <c r="AM85">
        <f>[1]发票导入!AM85</f>
        <v>0.36</v>
      </c>
      <c r="AN85" s="22">
        <f t="shared" si="1"/>
        <v>0</v>
      </c>
      <c r="AO85" s="22">
        <f t="shared" si="2"/>
        <v>0</v>
      </c>
    </row>
    <row r="86">
      <c r="C86">
        <f>[1]发票导入!C86&amp;""</f>
      </c>
      <c r="D86" t="str">
        <f>[1]发票导入!D86&amp;""</f>
        <v>26442000008977427776</v>
      </c>
      <c r="O86" t="str">
        <f>[1]发票导入!O86&amp;""</f>
        <v>正常</v>
      </c>
      <c r="T86">
        <f>[1]发票导入!T86</f>
        <v>46239.0</v>
      </c>
      <c r="U86" t="str">
        <f>[1]发票导入!U86&amp;""</f>
        <v>中智优力</v>
      </c>
      <c r="V86" t="str">
        <f>[1]发票导入!V86&amp;""</f>
        <v>进项</v>
      </c>
      <c r="W86" t="str">
        <f>[1]发票导入!W86&amp;""</f>
        <v>广州超威生物科技有限公司</v>
      </c>
      <c r="Y86" t="str">
        <f>[1]发票导入!Y86&amp;""</f>
        <v>报销票</v>
      </c>
      <c r="AA86">
        <f>[1]发票导入!AA86&amp;""</f>
      </c>
      <c r="AB86">
        <f>[1]发票导入!AB86</f>
        <v>0</v>
      </c>
      <c r="AC86">
        <f>[1]发票导入!AC86</f>
        <v>0</v>
      </c>
      <c r="AE86" s="22">
        <f t="shared" si="0"/>
      </c>
      <c r="AI86">
        <f>[1]发票导入!AI86&amp;""</f>
      </c>
      <c r="AJ86" t="str">
        <f>[1]发票导入!AJ86&amp;""</f>
        <v>中智优力</v>
      </c>
      <c r="AK86">
        <f>[1]发票导入!AK86</f>
        <v>36</v>
      </c>
      <c r="AL86">
        <f>[1]发票导入!AL86</f>
        <v>31.86</v>
      </c>
      <c r="AM86">
        <f>[1]发票导入!AM86</f>
        <v>4.14</v>
      </c>
      <c r="AN86" s="22">
        <f t="shared" si="1"/>
        <v>0</v>
      </c>
      <c r="AO86" s="22">
        <f t="shared" si="2"/>
        <v>0</v>
      </c>
    </row>
    <row r="87">
      <c r="C87">
        <f>[1]发票导入!C87&amp;""</f>
      </c>
      <c r="D87" t="str">
        <f>[1]发票导入!D87&amp;""</f>
        <v>26937000000081081757</v>
      </c>
      <c r="O87" t="str">
        <f>[1]发票导入!O87&amp;""</f>
        <v>正常</v>
      </c>
      <c r="T87">
        <f>[1]发票导入!T87</f>
        <v>46239.0</v>
      </c>
      <c r="U87" t="str">
        <f>[1]发票导入!U87&amp;""</f>
        <v>中智优力</v>
      </c>
      <c r="V87" t="str">
        <f>[1]发票导入!V87&amp;""</f>
        <v>进项</v>
      </c>
      <c r="W87" t="str">
        <f>[1]发票导入!W87&amp;""</f>
        <v>中海油销售浙江有限公司</v>
      </c>
      <c r="Y87" t="str">
        <f>[1]发票导入!Y87&amp;""</f>
        <v>报销票</v>
      </c>
      <c r="AA87">
        <f>[1]发票导入!AA87&amp;""</f>
      </c>
      <c r="AB87">
        <f>[1]发票导入!AB87</f>
        <v>0</v>
      </c>
      <c r="AC87">
        <f>[1]发票导入!AC87</f>
        <v>0</v>
      </c>
      <c r="AE87" s="22">
        <f t="shared" si="0"/>
      </c>
      <c r="AI87">
        <f>[1]发票导入!AI87&amp;""</f>
      </c>
      <c r="AJ87" t="str">
        <f>[1]发票导入!AJ87&amp;""</f>
        <v>中智优力</v>
      </c>
      <c r="AK87">
        <f>[1]发票导入!AK87</f>
        <v>200</v>
      </c>
      <c r="AL87">
        <f>[1]发票导入!AL87</f>
        <v>176.99</v>
      </c>
      <c r="AM87">
        <f>[1]发票导入!AM87</f>
        <v>23.01</v>
      </c>
      <c r="AN87" s="22">
        <f t="shared" si="1"/>
        <v>0</v>
      </c>
      <c r="AO87" s="22">
        <f t="shared" si="2"/>
        <v>0</v>
      </c>
    </row>
    <row r="88">
      <c r="C88">
        <f>[1]发票导入!C88&amp;""</f>
      </c>
      <c r="D88" t="str">
        <f>[1]发票导入!D88&amp;""</f>
        <v>26332000006748329841</v>
      </c>
      <c r="O88" t="str">
        <f>[1]发票导入!O88&amp;""</f>
        <v>正常</v>
      </c>
      <c r="T88">
        <f>[1]发票导入!T88</f>
        <v>46239.0</v>
      </c>
      <c r="U88" t="str">
        <f>[1]发票导入!U88&amp;""</f>
        <v>中智优力</v>
      </c>
      <c r="V88" t="str">
        <f>[1]发票导入!V88&amp;""</f>
        <v>进项</v>
      </c>
      <c r="W88" t="str">
        <f>[1]发票导入!W88&amp;""</f>
        <v>杭州富阳牙牙家服装店（个体工商户）</v>
      </c>
      <c r="Y88" t="str">
        <f>[1]发票导入!Y88&amp;""</f>
        <v>报销票</v>
      </c>
      <c r="AA88">
        <f>[1]发票导入!AA88&amp;""</f>
      </c>
      <c r="AB88">
        <f>[1]发票导入!AB88</f>
        <v>0</v>
      </c>
      <c r="AC88">
        <f>[1]发票导入!AC88</f>
        <v>0</v>
      </c>
      <c r="AE88" s="22">
        <f t="shared" si="0"/>
      </c>
      <c r="AI88">
        <f>[1]发票导入!AI88&amp;""</f>
      </c>
      <c r="AJ88" t="str">
        <f>[1]发票导入!AJ88&amp;""</f>
        <v>中智优力</v>
      </c>
      <c r="AK88">
        <f>[1]发票导入!AK88</f>
        <v>401.5</v>
      </c>
      <c r="AL88">
        <f>[1]发票导入!AL88</f>
        <v>397.52</v>
      </c>
      <c r="AM88">
        <f>[1]发票导入!AM88</f>
        <v>3.98</v>
      </c>
      <c r="AN88" s="22">
        <f t="shared" si="1"/>
        <v>0</v>
      </c>
      <c r="AO88" s="22">
        <f t="shared" si="2"/>
        <v>0</v>
      </c>
    </row>
    <row r="89">
      <c r="C89">
        <f>[1]发票导入!C89&amp;""</f>
      </c>
      <c r="D89" t="str">
        <f>[1]发票导入!D89&amp;""</f>
        <v>26937000000077240025</v>
      </c>
      <c r="O89" t="str">
        <f>[1]发票导入!O89&amp;""</f>
        <v>正常</v>
      </c>
      <c r="T89">
        <f>[1]发票导入!T89</f>
        <v>46239.0</v>
      </c>
      <c r="U89" t="str">
        <f>[1]发票导入!U89&amp;""</f>
        <v>中智优力</v>
      </c>
      <c r="V89" t="str">
        <f>[1]发票导入!V89&amp;""</f>
        <v>进项</v>
      </c>
      <c r="W89" t="str">
        <f>[1]发票导入!W89&amp;""</f>
        <v>中国电信股份有限公司宁波分公司</v>
      </c>
      <c r="Y89" t="str">
        <f>[1]发票导入!Y89&amp;""</f>
        <v>应付</v>
      </c>
      <c r="AA89">
        <f>[1]发票导入!AA89&amp;""</f>
      </c>
      <c r="AB89">
        <f>[1]发票导入!AB89</f>
        <v>0</v>
      </c>
      <c r="AC89">
        <f>[1]发票导入!AC89</f>
        <v>199</v>
      </c>
      <c r="AE89" s="22">
        <f t="shared" si="0"/>
      </c>
      <c r="AI89">
        <f>[1]发票导入!AI89&amp;""</f>
      </c>
      <c r="AJ89" t="str">
        <f>[1]发票导入!AJ89&amp;""</f>
        <v>中智优力</v>
      </c>
      <c r="AK89">
        <f>[1]发票导入!AK89</f>
        <v>199</v>
      </c>
      <c r="AL89">
        <f>[1]发票导入!AL89</f>
        <v>199</v>
      </c>
      <c r="AM89">
        <f>[1]发票导入!AM89</f>
        <v>0</v>
      </c>
      <c r="AN89" s="22">
        <f t="shared" si="1"/>
        <v>0</v>
      </c>
      <c r="AO89" s="22">
        <f t="shared" si="2"/>
        <v>0</v>
      </c>
    </row>
    <row r="90">
      <c r="C90">
        <f>[1]发票导入!C90&amp;""</f>
      </c>
      <c r="D90" t="str">
        <f>[1]发票导入!D90&amp;""</f>
        <v>26112000003245957596</v>
      </c>
      <c r="O90" t="str">
        <f>[1]发票导入!O90&amp;""</f>
        <v>正常</v>
      </c>
      <c r="T90">
        <f>[1]发票导入!T90</f>
        <v>46238.0</v>
      </c>
      <c r="U90" t="str">
        <f>[1]发票导入!U90&amp;""</f>
        <v>中智优力</v>
      </c>
      <c r="V90" t="str">
        <f>[1]发票导入!V90&amp;""</f>
        <v>进项</v>
      </c>
      <c r="W90" t="str">
        <f>[1]发票导入!W90&amp;""</f>
        <v>北京泓奥箱包有限公司</v>
      </c>
      <c r="Y90" t="str">
        <f>[1]发票导入!Y90&amp;""</f>
        <v>报销票</v>
      </c>
      <c r="AA90">
        <f>[1]发票导入!AA90&amp;""</f>
      </c>
      <c r="AB90">
        <f>[1]发票导入!AB90</f>
        <v>0</v>
      </c>
      <c r="AC90">
        <f>[1]发票导入!AC90</f>
        <v>0</v>
      </c>
      <c r="AE90" s="22">
        <f t="shared" si="0"/>
      </c>
      <c r="AI90">
        <f>[1]发票导入!AI90&amp;""</f>
      </c>
      <c r="AJ90" t="str">
        <f>[1]发票导入!AJ90&amp;""</f>
        <v>中智优力</v>
      </c>
      <c r="AK90">
        <f>[1]发票导入!AK90</f>
        <v>51</v>
      </c>
      <c r="AL90">
        <f>[1]发票导入!AL90</f>
        <v>50.5</v>
      </c>
      <c r="AM90">
        <f>[1]发票导入!AM90</f>
        <v>0.5</v>
      </c>
      <c r="AN90" s="22">
        <f t="shared" si="1"/>
        <v>0</v>
      </c>
      <c r="AO90" s="22">
        <f t="shared" si="2"/>
        <v>0</v>
      </c>
    </row>
    <row r="91">
      <c r="C91">
        <f>[1]发票导入!C91&amp;""</f>
      </c>
      <c r="D91" t="str">
        <f>[1]发票导入!D91&amp;""</f>
        <v>26342000002465050201</v>
      </c>
      <c r="O91" t="str">
        <f>[1]发票导入!O91&amp;""</f>
        <v>正常</v>
      </c>
      <c r="T91">
        <f>[1]发票导入!T91</f>
        <v>46237.0</v>
      </c>
      <c r="U91" t="str">
        <f>[1]发票导入!U91&amp;""</f>
        <v>中智优力</v>
      </c>
      <c r="V91" t="str">
        <f>[1]发票导入!V91&amp;""</f>
        <v>进项</v>
      </c>
      <c r="W91" t="str">
        <f>[1]发票导入!W91&amp;""</f>
        <v>合肥大飘飘贸易有限公司</v>
      </c>
      <c r="Y91" t="str">
        <f>[1]发票导入!Y91&amp;""</f>
        <v>报销票</v>
      </c>
      <c r="AA91">
        <f>[1]发票导入!AA91&amp;""</f>
      </c>
      <c r="AB91">
        <f>[1]发票导入!AB91</f>
        <v>0</v>
      </c>
      <c r="AC91">
        <f>[1]发票导入!AC91</f>
        <v>0</v>
      </c>
      <c r="AE91" s="22">
        <f t="shared" si="0"/>
      </c>
      <c r="AI91">
        <f>[1]发票导入!AI91&amp;""</f>
      </c>
      <c r="AJ91" t="str">
        <f>[1]发票导入!AJ91&amp;""</f>
        <v>中智优力</v>
      </c>
      <c r="AK91">
        <f>[1]发票导入!AK91</f>
        <v>36.01</v>
      </c>
      <c r="AL91">
        <f>[1]发票导入!AL91</f>
        <v>31.87</v>
      </c>
      <c r="AM91">
        <f>[1]发票导入!AM91</f>
        <v>4.14</v>
      </c>
      <c r="AN91" s="22">
        <f t="shared" si="1"/>
        <v>0</v>
      </c>
      <c r="AO91" s="22">
        <f t="shared" si="2"/>
        <v>0</v>
      </c>
    </row>
    <row r="92">
      <c r="C92">
        <f>[1]发票导入!C92&amp;""</f>
      </c>
      <c r="D92" t="str">
        <f>[1]发票导入!D92&amp;""</f>
        <v>26312000004917631951</v>
      </c>
      <c r="O92" t="str">
        <f>[1]发票导入!O92&amp;""</f>
        <v>正常</v>
      </c>
      <c r="T92">
        <f>[1]发票导入!T92</f>
        <v>46237.0</v>
      </c>
      <c r="U92" t="str">
        <f>[1]发票导入!U92&amp;""</f>
        <v>中智优力</v>
      </c>
      <c r="V92" t="str">
        <f>[1]发票导入!V92&amp;""</f>
        <v>进项</v>
      </c>
      <c r="W92" t="str">
        <f>[1]发票导入!W92&amp;""</f>
        <v>上海兆洪电器有限公司</v>
      </c>
      <c r="Y92" t="str">
        <f>[1]发票导入!Y92&amp;""</f>
        <v>报销票</v>
      </c>
      <c r="AA92">
        <f>[1]发票导入!AA92&amp;""</f>
      </c>
      <c r="AB92">
        <f>[1]发票导入!AB92</f>
        <v>0</v>
      </c>
      <c r="AC92">
        <f>[1]发票导入!AC92</f>
        <v>0</v>
      </c>
      <c r="AE92" s="22">
        <f t="shared" si="0"/>
      </c>
      <c r="AI92">
        <f>[1]发票导入!AI92&amp;""</f>
      </c>
      <c r="AJ92" t="str">
        <f>[1]发票导入!AJ92&amp;""</f>
        <v>中智优力</v>
      </c>
      <c r="AK92">
        <f>[1]发票导入!AK92</f>
        <v>142</v>
      </c>
      <c r="AL92">
        <f>[1]发票导入!AL92</f>
        <v>125.66</v>
      </c>
      <c r="AM92">
        <f>[1]发票导入!AM92</f>
        <v>16.34</v>
      </c>
      <c r="AN92" s="22">
        <f t="shared" si="1"/>
        <v>0</v>
      </c>
      <c r="AO92" s="22">
        <f t="shared" si="2"/>
        <v>0</v>
      </c>
    </row>
    <row r="93">
      <c r="C93">
        <f>[1]发票导入!C93&amp;""</f>
      </c>
      <c r="D93" t="str">
        <f>[1]发票导入!D93&amp;""</f>
        <v>26937000000079975303</v>
      </c>
      <c r="O93" t="str">
        <f>[1]发票导入!O93&amp;""</f>
        <v>正常</v>
      </c>
      <c r="T93">
        <f>[1]发票导入!T93</f>
        <v>46236.0</v>
      </c>
      <c r="U93" t="str">
        <f>[1]发票导入!U93&amp;""</f>
        <v>中智优力</v>
      </c>
      <c r="V93" t="str">
        <f>[1]发票导入!V93&amp;""</f>
        <v>进项</v>
      </c>
      <c r="W93" t="str">
        <f>[1]发票导入!W93&amp;""</f>
        <v>宁波海底捞餐饮管理有限公司第十二分公司</v>
      </c>
      <c r="Y93" t="str">
        <f>[1]发票导入!Y93&amp;""</f>
        <v>报销票</v>
      </c>
      <c r="AA93">
        <f>[1]发票导入!AA93&amp;""</f>
      </c>
      <c r="AB93">
        <f>[1]发票导入!AB93</f>
        <v>0</v>
      </c>
      <c r="AC93">
        <f>[1]发票导入!AC93</f>
        <v>0</v>
      </c>
      <c r="AE93" s="22">
        <f t="shared" si="0"/>
      </c>
      <c r="AI93">
        <f>[1]发票导入!AI93&amp;""</f>
      </c>
      <c r="AJ93" t="str">
        <f>[1]发票导入!AJ93&amp;""</f>
        <v>中智优力</v>
      </c>
      <c r="AK93">
        <f>[1]发票导入!AK93</f>
        <v>246</v>
      </c>
      <c r="AL93">
        <f>[1]发票导入!AL93</f>
        <v>232.08</v>
      </c>
      <c r="AM93">
        <f>[1]发票导入!AM93</f>
        <v>13.92</v>
      </c>
      <c r="AN93" s="22">
        <f t="shared" si="1"/>
        <v>0</v>
      </c>
      <c r="AO93" s="22">
        <f t="shared" si="2"/>
        <v>0</v>
      </c>
    </row>
    <row r="94">
      <c r="C94">
        <f>[1]发票导入!C94&amp;""</f>
      </c>
      <c r="D94" t="str">
        <f>[1]发票导入!D94&amp;""</f>
        <v>26447000001511506920</v>
      </c>
      <c r="O94" t="str">
        <f>[1]发票导入!O94&amp;""</f>
        <v>正常</v>
      </c>
      <c r="T94">
        <f>[1]发票导入!T94</f>
        <v>46236.0</v>
      </c>
      <c r="U94" t="str">
        <f>[1]发票导入!U94&amp;""</f>
        <v>中智优力</v>
      </c>
      <c r="V94" t="str">
        <f>[1]发票导入!V94&amp;""</f>
        <v>进项</v>
      </c>
      <c r="W94" t="str">
        <f>[1]发票导入!W94&amp;""</f>
        <v>东莞京东利昇贸易有限公司</v>
      </c>
      <c r="Y94" t="str">
        <f>[1]发票导入!Y94&amp;""</f>
        <v>报销票</v>
      </c>
      <c r="AA94">
        <f>[1]发票导入!AA94&amp;""</f>
      </c>
      <c r="AB94">
        <f>[1]发票导入!AB94</f>
        <v>0</v>
      </c>
      <c r="AC94">
        <f>[1]发票导入!AC94</f>
        <v>0</v>
      </c>
      <c r="AE94" s="22">
        <f t="shared" si="0"/>
      </c>
      <c r="AI94">
        <f>[1]发票导入!AI94&amp;""</f>
      </c>
      <c r="AJ94" t="str">
        <f>[1]发票导入!AJ94&amp;""</f>
        <v>中智优力</v>
      </c>
      <c r="AK94">
        <f>[1]发票导入!AK94</f>
        <v>768.98</v>
      </c>
      <c r="AL94">
        <f>[1]发票导入!AL94</f>
        <v>680.51</v>
      </c>
      <c r="AM94">
        <f>[1]发票导入!AM94</f>
        <v>88.47</v>
      </c>
      <c r="AN94" s="22">
        <f t="shared" si="1"/>
        <v>0</v>
      </c>
      <c r="AO94" s="22">
        <f t="shared" si="2"/>
        <v>0</v>
      </c>
    </row>
    <row r="95">
      <c r="C95">
        <f>[1]发票导入!C95&amp;""</f>
      </c>
      <c r="D95" t="str">
        <f>[1]发票导入!D95&amp;""</f>
        <v>26447000001511506919</v>
      </c>
      <c r="O95" t="str">
        <f>[1]发票导入!O95&amp;""</f>
        <v>正常</v>
      </c>
      <c r="T95">
        <f>[1]发票导入!T95</f>
        <v>46236.0</v>
      </c>
      <c r="U95" t="str">
        <f>[1]发票导入!U95&amp;""</f>
        <v>中智优力</v>
      </c>
      <c r="V95" t="str">
        <f>[1]发票导入!V95&amp;""</f>
        <v>进项</v>
      </c>
      <c r="W95" t="str">
        <f>[1]发票导入!W95&amp;""</f>
        <v>东莞京东利昇贸易有限公司</v>
      </c>
      <c r="Y95" t="str">
        <f>[1]发票导入!Y95&amp;""</f>
        <v>报销票</v>
      </c>
      <c r="AA95">
        <f>[1]发票导入!AA95&amp;""</f>
      </c>
      <c r="AB95">
        <f>[1]发票导入!AB95</f>
        <v>0</v>
      </c>
      <c r="AC95">
        <f>[1]发票导入!AC95</f>
        <v>0</v>
      </c>
      <c r="AE95" s="22">
        <f t="shared" si="0"/>
      </c>
      <c r="AI95">
        <f>[1]发票导入!AI95&amp;""</f>
      </c>
      <c r="AJ95" t="str">
        <f>[1]发票导入!AJ95&amp;""</f>
        <v>中智优力</v>
      </c>
      <c r="AK95">
        <f>[1]发票导入!AK95</f>
        <v>297.49</v>
      </c>
      <c r="AL95">
        <f>[1]发票导入!AL95</f>
        <v>263.26</v>
      </c>
      <c r="AM95">
        <f>[1]发票导入!AM95</f>
        <v>34.23</v>
      </c>
      <c r="AN95" s="22">
        <f t="shared" si="1"/>
        <v>0</v>
      </c>
      <c r="AO95" s="22">
        <f t="shared" si="2"/>
        <v>0</v>
      </c>
    </row>
    <row r="96">
      <c r="C96">
        <f>[1]发票导入!C96&amp;""</f>
      </c>
      <c r="D96" t="str">
        <f>[1]发票导入!D96&amp;""</f>
        <v>26952000003279111871</v>
      </c>
      <c r="O96" t="str">
        <f>[1]发票导入!O96&amp;""</f>
        <v>正常</v>
      </c>
      <c r="T96">
        <f>[1]发票导入!T96</f>
        <v>46235.0</v>
      </c>
      <c r="U96" t="str">
        <f>[1]发票导入!U96&amp;""</f>
        <v>中智优力</v>
      </c>
      <c r="V96" t="str">
        <f>[1]发票导入!V96&amp;""</f>
        <v>进项</v>
      </c>
      <c r="W96" t="str">
        <f>[1]发票导入!W96&amp;""</f>
        <v>深圳市欢禾实业有限公司</v>
      </c>
      <c r="Y96" t="str">
        <f>[1]发票导入!Y96&amp;""</f>
        <v>报销票</v>
      </c>
      <c r="AA96">
        <f>[1]发票导入!AA96&amp;""</f>
      </c>
      <c r="AB96">
        <f>[1]发票导入!AB96</f>
        <v>0</v>
      </c>
      <c r="AC96">
        <f>[1]发票导入!AC96</f>
        <v>0</v>
      </c>
      <c r="AE96" s="22">
        <f t="shared" si="0"/>
      </c>
      <c r="AI96">
        <f>[1]发票导入!AI96&amp;""</f>
      </c>
      <c r="AJ96" t="str">
        <f>[1]发票导入!AJ96&amp;""</f>
        <v>中智优力</v>
      </c>
      <c r="AK96">
        <f>[1]发票导入!AK96</f>
        <v>72.7</v>
      </c>
      <c r="AL96">
        <f>[1]发票导入!AL96</f>
        <v>66.7</v>
      </c>
      <c r="AM96">
        <f>[1]发票导入!AM96</f>
        <v>6</v>
      </c>
      <c r="AN96" s="22">
        <f t="shared" si="1"/>
        <v>0</v>
      </c>
      <c r="AO96" s="22">
        <f t="shared" si="2"/>
        <v>0</v>
      </c>
    </row>
    <row r="97">
      <c r="C97">
        <f>[1]发票导入!C97&amp;""</f>
      </c>
      <c r="D97" t="str">
        <f>[1]发票导入!D97&amp;""</f>
        <v>26317000002711328253</v>
      </c>
      <c r="O97" t="str">
        <f>[1]发票导入!O97&amp;""</f>
        <v>正常</v>
      </c>
      <c r="T97">
        <f>[1]发票导入!T97</f>
        <v>46234.0</v>
      </c>
      <c r="U97" t="str">
        <f>[1]发票导入!U97&amp;""</f>
        <v>中智优力</v>
      </c>
      <c r="V97" t="str">
        <f>[1]发票导入!V97&amp;""</f>
        <v>进项</v>
      </c>
      <c r="W97" t="str">
        <f>[1]发票导入!W97&amp;""</f>
        <v>亿企赢网络科技有限公司</v>
      </c>
      <c r="Y97" t="str">
        <f>[1]发票导入!Y97&amp;""</f>
        <v>报销票</v>
      </c>
      <c r="AA97">
        <f>[1]发票导入!AA97&amp;""</f>
      </c>
      <c r="AB97">
        <f>[1]发票导入!AB97</f>
        <v>0</v>
      </c>
      <c r="AC97">
        <f>[1]发票导入!AC97</f>
        <v>0</v>
      </c>
      <c r="AE97" s="22">
        <f t="shared" si="0"/>
      </c>
      <c r="AI97">
        <f>[1]发票导入!AI97&amp;""</f>
      </c>
      <c r="AJ97" t="str">
        <f>[1]发票导入!AJ97&amp;""</f>
        <v>中智优力</v>
      </c>
      <c r="AK97">
        <f>[1]发票导入!AK97</f>
        <v>105</v>
      </c>
      <c r="AL97">
        <f>[1]发票导入!AL97</f>
        <v>99.06</v>
      </c>
      <c r="AM97">
        <f>[1]发票导入!AM97</f>
        <v>5.94</v>
      </c>
      <c r="AN97" s="22">
        <f t="shared" si="1"/>
        <v>0</v>
      </c>
      <c r="AO97" s="22">
        <f t="shared" si="2"/>
        <v>0</v>
      </c>
    </row>
    <row r="98">
      <c r="C98">
        <f>[1]发票导入!C98&amp;""</f>
      </c>
      <c r="D98" t="str">
        <f>[1]发票导入!D98&amp;""</f>
        <v>26932000001291355596</v>
      </c>
      <c r="O98" t="str">
        <f>[1]发票导入!O98&amp;""</f>
        <v>正常</v>
      </c>
      <c r="T98">
        <f>[1]发票导入!T98</f>
        <v>46234.0</v>
      </c>
      <c r="U98" t="str">
        <f>[1]发票导入!U98&amp;""</f>
        <v>优茗</v>
      </c>
      <c r="V98" t="str">
        <f>[1]发票导入!V98&amp;""</f>
        <v>内部</v>
      </c>
      <c r="W98" t="str">
        <f>[1]发票导入!W98&amp;""</f>
        <v>中智优力</v>
      </c>
      <c r="Y98" t="str">
        <f>[1]发票导入!Y98&amp;""</f>
        <v>内部</v>
      </c>
      <c r="AA98">
        <f>[1]发票导入!AA98&amp;""</f>
      </c>
      <c r="AB98">
        <f>[1]发票导入!AB98</f>
        <v>0</v>
      </c>
      <c r="AC98">
        <f>[1]发票导入!AC98</f>
        <v>0</v>
      </c>
      <c r="AE98" s="22">
        <f t="shared" si="0"/>
      </c>
      <c r="AI98" t="str">
        <f>[1]发票导入!AI98&amp;""</f>
        <v>优茗</v>
      </c>
      <c r="AJ98" t="str">
        <f>[1]发票导入!AJ98&amp;""</f>
        <v>中智优力</v>
      </c>
      <c r="AK98">
        <f>[1]发票导入!AK98</f>
        <v>9000</v>
      </c>
      <c r="AL98">
        <f>[1]发票导入!AL98</f>
        <v>8910.89</v>
      </c>
      <c r="AM98">
        <f>[1]发票导入!AM98</f>
        <v>89.11</v>
      </c>
      <c r="AN98" s="22">
        <f t="shared" si="1"/>
        <v>0</v>
      </c>
      <c r="AO98" s="22">
        <f t="shared" si="2"/>
        <v>0</v>
      </c>
    </row>
    <row r="99">
      <c r="C99">
        <f>[1]发票导入!C99&amp;""</f>
      </c>
      <c r="D99" t="str">
        <f>[1]发票导入!D99&amp;""</f>
        <v>26502000001546497691</v>
      </c>
      <c r="O99" t="str">
        <f>[1]发票导入!O99&amp;""</f>
        <v>正常</v>
      </c>
      <c r="T99">
        <f>[1]发票导入!T99</f>
        <v>46234.0</v>
      </c>
      <c r="U99" t="str">
        <f>[1]发票导入!U99&amp;""</f>
        <v>中智优力</v>
      </c>
      <c r="V99" t="str">
        <f>[1]发票导入!V99&amp;""</f>
        <v>进项</v>
      </c>
      <c r="W99" t="str">
        <f>[1]发票导入!W99&amp;""</f>
        <v>重庆匠达沣餐饮管理有限公司</v>
      </c>
      <c r="Y99" t="str">
        <f>[1]发票导入!Y99&amp;""</f>
        <v>报销票</v>
      </c>
      <c r="AA99">
        <f>[1]发票导入!AA99&amp;""</f>
      </c>
      <c r="AB99">
        <f>[1]发票导入!AB99</f>
        <v>0</v>
      </c>
      <c r="AC99">
        <f>[1]发票导入!AC99</f>
        <v>0</v>
      </c>
      <c r="AE99" s="22">
        <f t="shared" si="0"/>
      </c>
      <c r="AI99">
        <f>[1]发票导入!AI99&amp;""</f>
      </c>
      <c r="AJ99" t="str">
        <f>[1]发票导入!AJ99&amp;""</f>
        <v>中智优力</v>
      </c>
      <c r="AK99">
        <f>[1]发票导入!AK99</f>
        <v>280</v>
      </c>
      <c r="AL99">
        <f>[1]发票导入!AL99</f>
        <v>277.23</v>
      </c>
      <c r="AM99">
        <f>[1]发票导入!AM99</f>
        <v>2.77</v>
      </c>
      <c r="AN99" s="22">
        <f t="shared" si="1"/>
        <v>0</v>
      </c>
      <c r="AO99" s="22">
        <f t="shared" si="2"/>
        <v>0</v>
      </c>
    </row>
    <row r="100">
      <c r="C100">
        <f>[1]发票导入!C100&amp;""</f>
      </c>
      <c r="D100" t="str">
        <f>[1]发票导入!D100&amp;""</f>
        <v>26932000001287680251</v>
      </c>
      <c r="O100" t="str">
        <f>[1]发票导入!O100&amp;""</f>
        <v>正常</v>
      </c>
      <c r="T100">
        <f>[1]发票导入!T100</f>
        <v>46234.0</v>
      </c>
      <c r="U100" t="str">
        <f>[1]发票导入!U100&amp;""</f>
        <v>中智优力</v>
      </c>
      <c r="V100" t="str">
        <f>[1]发票导入!V100&amp;""</f>
        <v>进项</v>
      </c>
      <c r="W100" t="str">
        <f>[1]发票导入!W100&amp;""</f>
        <v>宁波市鄞州五乡甬辰餐饮店</v>
      </c>
      <c r="Y100" t="str">
        <f>[1]发票导入!Y100&amp;""</f>
        <v>报销票</v>
      </c>
      <c r="AA100">
        <f>[1]发票导入!AA100&amp;""</f>
      </c>
      <c r="AB100">
        <f>[1]发票导入!AB100</f>
        <v>0</v>
      </c>
      <c r="AC100">
        <f>[1]发票导入!AC100</f>
        <v>0</v>
      </c>
      <c r="AE100" s="22">
        <f t="shared" si="0"/>
      </c>
      <c r="AI100">
        <f>[1]发票导入!AI100&amp;""</f>
      </c>
      <c r="AJ100" t="str">
        <f>[1]发票导入!AJ100&amp;""</f>
        <v>中智优力</v>
      </c>
      <c r="AK100">
        <f>[1]发票导入!AK100</f>
        <v>204</v>
      </c>
      <c r="AL100">
        <f>[1]发票导入!AL100</f>
        <v>201.98</v>
      </c>
      <c r="AM100">
        <f>[1]发票导入!AM100</f>
        <v>2.02</v>
      </c>
      <c r="AN100" s="22">
        <f t="shared" si="1"/>
        <v>0</v>
      </c>
      <c r="AO100" s="22">
        <f t="shared" si="2"/>
        <v>0</v>
      </c>
    </row>
    <row r="101">
      <c r="C101">
        <f>[1]发票导入!C101&amp;""</f>
      </c>
      <c r="D101" t="str">
        <f>[1]发票导入!D101&amp;""</f>
        <v>26932000001287526291</v>
      </c>
      <c r="O101" t="str">
        <f>[1]发票导入!O101&amp;""</f>
        <v>正常</v>
      </c>
      <c r="T101">
        <f>[1]发票导入!T101</f>
        <v>46234.0</v>
      </c>
      <c r="U101" t="str">
        <f>[1]发票导入!U101&amp;""</f>
        <v>中智优力</v>
      </c>
      <c r="V101" t="str">
        <f>[1]发票导入!V101&amp;""</f>
        <v>进项</v>
      </c>
      <c r="W101" t="str">
        <f>[1]发票导入!W101&amp;""</f>
        <v>宁波市鄞州五乡甬辰餐饮店</v>
      </c>
      <c r="Y101" t="str">
        <f>[1]发票导入!Y101&amp;""</f>
        <v>报销票</v>
      </c>
      <c r="AA101">
        <f>[1]发票导入!AA101&amp;""</f>
      </c>
      <c r="AB101">
        <f>[1]发票导入!AB101</f>
        <v>0</v>
      </c>
      <c r="AC101">
        <f>[1]发票导入!AC101</f>
        <v>0</v>
      </c>
      <c r="AE101" s="22">
        <f t="shared" si="0"/>
      </c>
      <c r="AI101">
        <f>[1]发票导入!AI101&amp;""</f>
      </c>
      <c r="AJ101" t="str">
        <f>[1]发票导入!AJ101&amp;""</f>
        <v>中智优力</v>
      </c>
      <c r="AK101">
        <f>[1]发票导入!AK101</f>
        <v>7400</v>
      </c>
      <c r="AL101">
        <f>[1]发票导入!AL101</f>
        <v>7326.73</v>
      </c>
      <c r="AM101">
        <f>[1]发票导入!AM101</f>
        <v>73.27</v>
      </c>
      <c r="AN101" s="22">
        <f t="shared" si="1"/>
        <v>0</v>
      </c>
      <c r="AO101" s="22">
        <f t="shared" si="2"/>
        <v>0</v>
      </c>
    </row>
    <row r="102">
      <c r="C102">
        <f>[1]发票导入!C102&amp;""</f>
      </c>
      <c r="D102" t="str">
        <f>[1]发票导入!D102&amp;""</f>
        <v>26932000001284503881</v>
      </c>
      <c r="O102" t="str">
        <f>[1]发票导入!O102&amp;""</f>
        <v>正常</v>
      </c>
      <c r="T102">
        <f>[1]发票导入!T102</f>
        <v>46234.0</v>
      </c>
      <c r="U102" t="str">
        <f>[1]发票导入!U102&amp;""</f>
        <v>中智优力</v>
      </c>
      <c r="V102" t="str">
        <f>[1]发票导入!V102&amp;""</f>
        <v>进项</v>
      </c>
      <c r="W102" t="str">
        <f>[1]发票导入!W102&amp;""</f>
        <v>宁波市鄞州五乡甬辰餐饮店</v>
      </c>
      <c r="Y102" t="str">
        <f>[1]发票导入!Y102&amp;""</f>
        <v>报销票</v>
      </c>
      <c r="AA102">
        <f>[1]发票导入!AA102&amp;""</f>
      </c>
      <c r="AB102">
        <f>[1]发票导入!AB102</f>
        <v>0</v>
      </c>
      <c r="AC102">
        <f>[1]发票导入!AC102</f>
        <v>0</v>
      </c>
      <c r="AE102" s="22">
        <f t="shared" si="0"/>
      </c>
      <c r="AI102">
        <f>[1]发票导入!AI102&amp;""</f>
      </c>
      <c r="AJ102" t="str">
        <f>[1]发票导入!AJ102&amp;""</f>
        <v>中智优力</v>
      </c>
      <c r="AK102">
        <f>[1]发票导入!AK102</f>
        <v>-7400</v>
      </c>
      <c r="AL102">
        <f>[1]发票导入!AL102</f>
        <v>-7326.73</v>
      </c>
      <c r="AM102">
        <f>[1]发票导入!AM102</f>
        <v>-73.27</v>
      </c>
      <c r="AN102" s="22">
        <f t="shared" si="1"/>
        <v>0</v>
      </c>
      <c r="AO102" s="22">
        <f t="shared" si="2"/>
        <v>0</v>
      </c>
    </row>
    <row r="103">
      <c r="C103">
        <f>[1]发票导入!C103&amp;""</f>
      </c>
      <c r="D103" t="str">
        <f>[1]发票导入!D103&amp;""</f>
        <v>26932000001287515401</v>
      </c>
      <c r="O103" t="str">
        <f>[1]发票导入!O103&amp;""</f>
        <v>已红冲-全额</v>
      </c>
      <c r="T103">
        <f>[1]发票导入!T103</f>
        <v>46234.0</v>
      </c>
      <c r="U103" t="str">
        <f>[1]发票导入!U103&amp;""</f>
        <v>中智优力</v>
      </c>
      <c r="V103" t="str">
        <f>[1]发票导入!V103&amp;""</f>
        <v>进项</v>
      </c>
      <c r="W103" t="str">
        <f>[1]发票导入!W103&amp;""</f>
        <v>宁波市鄞州五乡甬辰餐饮店</v>
      </c>
      <c r="Y103" t="str">
        <f>[1]发票导入!Y103&amp;""</f>
        <v>报销票</v>
      </c>
      <c r="AA103">
        <f>[1]发票导入!AA103&amp;""</f>
      </c>
      <c r="AB103">
        <f>[1]发票导入!AB103</f>
        <v>0</v>
      </c>
      <c r="AC103">
        <f>[1]发票导入!AC103</f>
        <v>0</v>
      </c>
      <c r="AE103" s="22">
        <f t="shared" si="0"/>
      </c>
      <c r="AI103">
        <f>[1]发票导入!AI103&amp;""</f>
      </c>
      <c r="AJ103" t="str">
        <f>[1]发票导入!AJ103&amp;""</f>
        <v>中智优力</v>
      </c>
      <c r="AK103">
        <f>[1]发票导入!AK103</f>
        <v>7400</v>
      </c>
      <c r="AL103">
        <f>[1]发票导入!AL103</f>
        <v>7326.73</v>
      </c>
      <c r="AM103">
        <f>[1]发票导入!AM103</f>
        <v>73.27</v>
      </c>
      <c r="AN103" s="22">
        <f t="shared" si="1"/>
        <v>0</v>
      </c>
      <c r="AO103" s="22">
        <f t="shared" si="2"/>
        <v>0</v>
      </c>
    </row>
    <row r="104">
      <c r="C104">
        <f>[1]发票导入!C104&amp;""</f>
      </c>
      <c r="D104" t="str">
        <f>[1]发票导入!D104&amp;""</f>
        <v>26932000001284202696</v>
      </c>
      <c r="O104" t="str">
        <f>[1]发票导入!O104&amp;""</f>
        <v>正常</v>
      </c>
      <c r="T104">
        <f>[1]发票导入!T104</f>
        <v>46234.0</v>
      </c>
      <c r="U104" t="str">
        <f>[1]发票导入!U104&amp;""</f>
        <v>中智优力</v>
      </c>
      <c r="V104" t="str">
        <f>[1]发票导入!V104&amp;""</f>
        <v>进项</v>
      </c>
      <c r="W104" t="str">
        <f>[1]发票导入!W104&amp;""</f>
        <v>宁波市鄞州五乡甬辰餐饮店</v>
      </c>
      <c r="Y104" t="str">
        <f>[1]发票导入!Y104&amp;""</f>
        <v>报销票</v>
      </c>
      <c r="AA104">
        <f>[1]发票导入!AA104&amp;""</f>
      </c>
      <c r="AB104">
        <f>[1]发票导入!AB104</f>
        <v>0</v>
      </c>
      <c r="AC104">
        <f>[1]发票导入!AC104</f>
        <v>0</v>
      </c>
      <c r="AE104" s="22">
        <f t="shared" si="0"/>
      </c>
      <c r="AI104">
        <f>[1]发票导入!AI104&amp;""</f>
      </c>
      <c r="AJ104" t="str">
        <f>[1]发票导入!AJ104&amp;""</f>
        <v>中智优力</v>
      </c>
      <c r="AK104">
        <f>[1]发票导入!AK104</f>
        <v>-16000</v>
      </c>
      <c r="AL104">
        <f>[1]发票导入!AL104</f>
        <v>-15841.58</v>
      </c>
      <c r="AM104">
        <f>[1]发票导入!AM104</f>
        <v>-158.42</v>
      </c>
      <c r="AN104" s="22">
        <f t="shared" si="1"/>
        <v>0</v>
      </c>
      <c r="AO104" s="22">
        <f t="shared" si="2"/>
        <v>0</v>
      </c>
    </row>
    <row r="105">
      <c r="C105">
        <f>[1]发票导入!C105&amp;""</f>
      </c>
      <c r="D105" t="str">
        <f>[1]发票导入!D105&amp;""</f>
        <v>26937000000077219473</v>
      </c>
      <c r="O105" t="str">
        <f>[1]发票导入!O105&amp;""</f>
        <v>正常</v>
      </c>
      <c r="T105">
        <f>[1]发票导入!T105</f>
        <v>46234.0</v>
      </c>
      <c r="U105" t="str">
        <f>[1]发票导入!U105&amp;""</f>
        <v>中智优力</v>
      </c>
      <c r="V105" t="str">
        <f>[1]发票导入!V105&amp;""</f>
        <v>进项</v>
      </c>
      <c r="W105" t="str">
        <f>[1]发票导入!W105&amp;""</f>
        <v>中国电信股份有限公司宁波分公司</v>
      </c>
      <c r="Y105" t="str">
        <f>[1]发票导入!Y105&amp;""</f>
        <v>应付</v>
      </c>
      <c r="AA105">
        <f>[1]发票导入!AA105&amp;""</f>
      </c>
      <c r="AB105">
        <f>[1]发票导入!AB105</f>
        <v>0</v>
      </c>
      <c r="AC105">
        <f>[1]发票导入!AC105</f>
        <v>199</v>
      </c>
      <c r="AE105" s="22">
        <f t="shared" si="0"/>
      </c>
      <c r="AI105">
        <f>[1]发票导入!AI105&amp;""</f>
      </c>
      <c r="AJ105" t="str">
        <f>[1]发票导入!AJ105&amp;""</f>
        <v>中智优力</v>
      </c>
      <c r="AK105">
        <f>[1]发票导入!AK105</f>
        <v>199</v>
      </c>
      <c r="AL105">
        <f>[1]发票导入!AL105</f>
        <v>199</v>
      </c>
      <c r="AM105">
        <f>[1]发票导入!AM105</f>
        <v>0</v>
      </c>
      <c r="AN105" s="22">
        <f t="shared" si="1"/>
        <v>0</v>
      </c>
      <c r="AO105" s="22">
        <f t="shared" si="2"/>
        <v>0</v>
      </c>
    </row>
    <row r="106">
      <c r="C106">
        <f>[1]发票导入!C106&amp;""</f>
      </c>
      <c r="D106" t="str">
        <f>[1]发票导入!D106&amp;""</f>
        <v>26932000001287458101</v>
      </c>
      <c r="O106" t="str">
        <f>[1]发票导入!O106&amp;""</f>
        <v>已红冲-全额</v>
      </c>
      <c r="T106">
        <f>[1]发票导入!T106</f>
        <v>46234.0</v>
      </c>
      <c r="U106" t="str">
        <f>[1]发票导入!U106&amp;""</f>
        <v>中智优力</v>
      </c>
      <c r="V106" t="str">
        <f>[1]发票导入!V106&amp;""</f>
        <v>进项</v>
      </c>
      <c r="W106" t="str">
        <f>[1]发票导入!W106&amp;""</f>
        <v>宁波市鄞州五乡甬辰餐饮店</v>
      </c>
      <c r="Y106" t="str">
        <f>[1]发票导入!Y106&amp;""</f>
        <v>报销票</v>
      </c>
      <c r="AA106">
        <f>[1]发票导入!AA106&amp;""</f>
      </c>
      <c r="AB106">
        <f>[1]发票导入!AB106</f>
        <v>0</v>
      </c>
      <c r="AC106">
        <f>[1]发票导入!AC106</f>
        <v>0</v>
      </c>
      <c r="AE106" s="22">
        <f t="shared" si="0"/>
      </c>
      <c r="AI106">
        <f>[1]发票导入!AI106&amp;""</f>
      </c>
      <c r="AJ106" t="str">
        <f>[1]发票导入!AJ106&amp;""</f>
        <v>中智优力</v>
      </c>
      <c r="AK106">
        <f>[1]发票导入!AK106</f>
        <v>16000</v>
      </c>
      <c r="AL106">
        <f>[1]发票导入!AL106</f>
        <v>15841.58</v>
      </c>
      <c r="AM106">
        <f>[1]发票导入!AM106</f>
        <v>158.42</v>
      </c>
      <c r="AN106" s="22">
        <f t="shared" si="1"/>
        <v>0</v>
      </c>
      <c r="AO106" s="22">
        <f t="shared" si="2"/>
        <v>0</v>
      </c>
    </row>
    <row r="107">
      <c r="C107">
        <f>[1]发票导入!C107&amp;""</f>
      </c>
      <c r="D107" t="str">
        <f>[1]发票导入!D107&amp;""</f>
        <v>26342000002428169191</v>
      </c>
      <c r="O107" t="str">
        <f>[1]发票导入!O107&amp;""</f>
        <v>正常</v>
      </c>
      <c r="T107">
        <f>[1]发票导入!T107</f>
        <v>46234.0</v>
      </c>
      <c r="U107" t="str">
        <f>[1]发票导入!U107&amp;""</f>
        <v>中智优力</v>
      </c>
      <c r="V107" t="str">
        <f>[1]发票导入!V107&amp;""</f>
        <v>进项</v>
      </c>
      <c r="W107" t="str">
        <f>[1]发票导入!W107&amp;""</f>
        <v>肥西县桃花工业园万翔办公用品经营部</v>
      </c>
      <c r="Y107" t="str">
        <f>[1]发票导入!Y107&amp;""</f>
        <v>报销票</v>
      </c>
      <c r="AA107">
        <f>[1]发票导入!AA107&amp;""</f>
      </c>
      <c r="AB107">
        <f>[1]发票导入!AB107</f>
        <v>0</v>
      </c>
      <c r="AC107">
        <f>[1]发票导入!AC107</f>
        <v>0</v>
      </c>
      <c r="AE107" s="22">
        <f t="shared" si="0"/>
      </c>
      <c r="AI107">
        <f>[1]发票导入!AI107&amp;""</f>
      </c>
      <c r="AJ107" t="str">
        <f>[1]发票导入!AJ107&amp;""</f>
        <v>中智优力</v>
      </c>
      <c r="AK107">
        <f>[1]发票导入!AK107</f>
        <v>192</v>
      </c>
      <c r="AL107">
        <f>[1]发票导入!AL107</f>
        <v>190.1</v>
      </c>
      <c r="AM107">
        <f>[1]发票导入!AM107</f>
        <v>1.9</v>
      </c>
      <c r="AN107" s="22">
        <f t="shared" si="1"/>
        <v>0</v>
      </c>
      <c r="AO107" s="22">
        <f t="shared" si="2"/>
        <v>0</v>
      </c>
    </row>
    <row r="108">
      <c r="C108">
        <f>[1]发票导入!C108&amp;""</f>
      </c>
      <c r="D108" t="str">
        <f>[1]发票导入!D108&amp;""</f>
        <v>26112000003179497801</v>
      </c>
      <c r="O108" t="str">
        <f>[1]发票导入!O108&amp;""</f>
        <v>正常</v>
      </c>
      <c r="T108">
        <f>[1]发票导入!T108</f>
        <v>46234.0</v>
      </c>
      <c r="U108" t="str">
        <f>[1]发票导入!U108&amp;""</f>
        <v>中智优力</v>
      </c>
      <c r="V108" t="str">
        <f>[1]发票导入!V108&amp;""</f>
        <v>进项</v>
      </c>
      <c r="W108" t="str">
        <f>[1]发票导入!W108&amp;""</f>
        <v>北京东奥时代教育科技有限公司</v>
      </c>
      <c r="Y108" t="str">
        <f>[1]发票导入!Y108&amp;""</f>
        <v>报销票</v>
      </c>
      <c r="AA108">
        <f>[1]发票导入!AA108&amp;""</f>
      </c>
      <c r="AB108">
        <f>[1]发票导入!AB108</f>
        <v>0</v>
      </c>
      <c r="AC108">
        <f>[1]发票导入!AC108</f>
        <v>0</v>
      </c>
      <c r="AE108" s="22">
        <f t="shared" si="0"/>
      </c>
      <c r="AI108">
        <f>[1]发票导入!AI108&amp;""</f>
      </c>
      <c r="AJ108" t="str">
        <f>[1]发票导入!AJ108&amp;""</f>
        <v>中智优力</v>
      </c>
      <c r="AK108">
        <f>[1]发票导入!AK108</f>
        <v>40</v>
      </c>
      <c r="AL108">
        <f>[1]发票导入!AL108</f>
        <v>38.83</v>
      </c>
      <c r="AM108">
        <f>[1]发票导入!AM108</f>
        <v>1.17</v>
      </c>
      <c r="AN108" s="22">
        <f t="shared" si="1"/>
        <v>0</v>
      </c>
      <c r="AO108" s="22">
        <f t="shared" si="2"/>
        <v>0</v>
      </c>
    </row>
    <row r="109">
      <c r="C109">
        <f>[1]发票导入!C109&amp;""</f>
      </c>
      <c r="D109" t="str">
        <f>[1]发票导入!D109&amp;""</f>
        <v>26337000000705815669</v>
      </c>
      <c r="O109" t="str">
        <f>[1]发票导入!O109&amp;""</f>
        <v>正常</v>
      </c>
      <c r="T109">
        <f>[1]发票导入!T109</f>
        <v>46234.0</v>
      </c>
      <c r="U109" t="str">
        <f>[1]发票导入!U109&amp;""</f>
        <v>中智优力</v>
      </c>
      <c r="V109" t="str">
        <f>[1]发票导入!V109&amp;""</f>
        <v>进项</v>
      </c>
      <c r="W109" t="str">
        <f>[1]发票导入!W109&amp;""</f>
        <v>杭州京东惠景贸易有限公司</v>
      </c>
      <c r="Y109" t="str">
        <f>[1]发票导入!Y109&amp;""</f>
        <v>报销票</v>
      </c>
      <c r="AA109">
        <f>[1]发票导入!AA109&amp;""</f>
      </c>
      <c r="AB109">
        <f>[1]发票导入!AB109</f>
        <v>0</v>
      </c>
      <c r="AC109">
        <f>[1]发票导入!AC109</f>
        <v>0</v>
      </c>
      <c r="AE109" s="22">
        <f t="shared" si="0"/>
      </c>
      <c r="AI109">
        <f>[1]发票导入!AI109&amp;""</f>
      </c>
      <c r="AJ109" t="str">
        <f>[1]发票导入!AJ109&amp;""</f>
        <v>中智优力</v>
      </c>
      <c r="AK109">
        <f>[1]发票导入!AK109</f>
        <v>115.44</v>
      </c>
      <c r="AL109">
        <f>[1]发票导入!AL109</f>
        <v>102.16</v>
      </c>
      <c r="AM109">
        <f>[1]发票导入!AM109</f>
        <v>13.28</v>
      </c>
      <c r="AN109" s="22">
        <f t="shared" si="1"/>
        <v>0</v>
      </c>
      <c r="AO109" s="22">
        <f t="shared" si="2"/>
        <v>0</v>
      </c>
    </row>
    <row r="110">
      <c r="C110">
        <f>[1]发票导入!C110&amp;""</f>
      </c>
      <c r="D110" t="str">
        <f>[1]发票导入!D110&amp;""</f>
        <v>26337000000705511060</v>
      </c>
      <c r="O110" t="str">
        <f>[1]发票导入!O110&amp;""</f>
        <v>正常</v>
      </c>
      <c r="T110">
        <f>[1]发票导入!T110</f>
        <v>46234.0</v>
      </c>
      <c r="U110" t="str">
        <f>[1]发票导入!U110&amp;""</f>
        <v>中智优力</v>
      </c>
      <c r="V110" t="str">
        <f>[1]发票导入!V110&amp;""</f>
        <v>进项</v>
      </c>
      <c r="W110" t="str">
        <f>[1]发票导入!W110&amp;""</f>
        <v>温州腾立贸易有限公司</v>
      </c>
      <c r="Y110" t="str">
        <f>[1]发票导入!Y110&amp;""</f>
        <v>报销票</v>
      </c>
      <c r="AA110">
        <f>[1]发票导入!AA110&amp;""</f>
      </c>
      <c r="AB110">
        <f>[1]发票导入!AB110</f>
        <v>0</v>
      </c>
      <c r="AC110">
        <f>[1]发票导入!AC110</f>
        <v>0</v>
      </c>
      <c r="AE110" s="22">
        <f t="shared" si="0"/>
      </c>
      <c r="AI110">
        <f>[1]发票导入!AI110&amp;""</f>
      </c>
      <c r="AJ110" t="str">
        <f>[1]发票导入!AJ110&amp;""</f>
        <v>中智优力</v>
      </c>
      <c r="AK110">
        <f>[1]发票导入!AK110</f>
        <v>57.98</v>
      </c>
      <c r="AL110">
        <f>[1]发票导入!AL110</f>
        <v>51.31</v>
      </c>
      <c r="AM110">
        <f>[1]发票导入!AM110</f>
        <v>6.67</v>
      </c>
      <c r="AN110" s="22">
        <f t="shared" si="1"/>
        <v>0</v>
      </c>
      <c r="AO110" s="22">
        <f t="shared" si="2"/>
        <v>0</v>
      </c>
    </row>
    <row r="111">
      <c r="C111">
        <f>[1]发票导入!C111&amp;""</f>
      </c>
      <c r="D111" t="str">
        <f>[1]发票导入!D111&amp;""</f>
        <v>26327000001379945928</v>
      </c>
      <c r="O111" t="str">
        <f>[1]发票导入!O111&amp;""</f>
        <v>正常</v>
      </c>
      <c r="T111">
        <f>[1]发票导入!T111</f>
        <v>46234.0</v>
      </c>
      <c r="U111" t="str">
        <f>[1]发票导入!U111&amp;""</f>
        <v>中智优力</v>
      </c>
      <c r="V111" t="str">
        <f>[1]发票导入!V111&amp;""</f>
        <v>进项</v>
      </c>
      <c r="W111" t="str">
        <f>[1]发票导入!W111&amp;""</f>
        <v>江苏京东海元贸易有限公司</v>
      </c>
      <c r="Y111" t="str">
        <f>[1]发票导入!Y111&amp;""</f>
        <v>报销票</v>
      </c>
      <c r="AA111">
        <f>[1]发票导入!AA111&amp;""</f>
      </c>
      <c r="AB111">
        <f>[1]发票导入!AB111</f>
        <v>0</v>
      </c>
      <c r="AC111">
        <f>[1]发票导入!AC111</f>
        <v>0</v>
      </c>
      <c r="AE111" s="22">
        <f t="shared" si="0"/>
      </c>
      <c r="AI111">
        <f>[1]发票导入!AI111&amp;""</f>
      </c>
      <c r="AJ111" t="str">
        <f>[1]发票导入!AJ111&amp;""</f>
        <v>中智优力</v>
      </c>
      <c r="AK111">
        <f>[1]发票导入!AK111</f>
        <v>122.55</v>
      </c>
      <c r="AL111">
        <f>[1]发票导入!AL111</f>
        <v>108.45</v>
      </c>
      <c r="AM111">
        <f>[1]发票导入!AM111</f>
        <v>14.1</v>
      </c>
      <c r="AN111" s="22">
        <f t="shared" si="1"/>
        <v>0</v>
      </c>
      <c r="AO111" s="22">
        <f t="shared" si="2"/>
        <v>0</v>
      </c>
    </row>
    <row r="112">
      <c r="C112">
        <f>[1]发票导入!C112&amp;""</f>
      </c>
      <c r="D112" t="str">
        <f>[1]发票导入!D112&amp;""</f>
        <v>26327000001380386778</v>
      </c>
      <c r="O112" t="str">
        <f>[1]发票导入!O112&amp;""</f>
        <v>正常</v>
      </c>
      <c r="T112">
        <f>[1]发票导入!T112</f>
        <v>46234.0</v>
      </c>
      <c r="U112" t="str">
        <f>[1]发票导入!U112&amp;""</f>
        <v>中智优力</v>
      </c>
      <c r="V112" t="str">
        <f>[1]发票导入!V112&amp;""</f>
        <v>进项</v>
      </c>
      <c r="W112" t="str">
        <f>[1]发票导入!W112&amp;""</f>
        <v>江苏京东信息技术有限公司</v>
      </c>
      <c r="Y112" t="str">
        <f>[1]发票导入!Y112&amp;""</f>
        <v>报销票</v>
      </c>
      <c r="AA112">
        <f>[1]发票导入!AA112&amp;""</f>
      </c>
      <c r="AB112">
        <f>[1]发票导入!AB112</f>
        <v>0</v>
      </c>
      <c r="AC112">
        <f>[1]发票导入!AC112</f>
        <v>0</v>
      </c>
      <c r="AE112" s="22">
        <f t="shared" si="0"/>
      </c>
      <c r="AI112">
        <f>[1]发票导入!AI112&amp;""</f>
      </c>
      <c r="AJ112" t="str">
        <f>[1]发票导入!AJ112&amp;""</f>
        <v>中智优力</v>
      </c>
      <c r="AK112">
        <f>[1]发票导入!AK112</f>
        <v>6</v>
      </c>
      <c r="AL112">
        <f>[1]发票导入!AL112</f>
        <v>5.66</v>
      </c>
      <c r="AM112">
        <f>[1]发票导入!AM112</f>
        <v>0.34</v>
      </c>
      <c r="AN112" s="22">
        <f t="shared" si="1"/>
        <v>0</v>
      </c>
      <c r="AO112" s="22">
        <f t="shared" si="2"/>
        <v>0</v>
      </c>
    </row>
    <row r="113">
      <c r="C113">
        <f>[1]发票导入!C113&amp;""</f>
      </c>
      <c r="D113" t="str">
        <f>[1]发票导入!D113&amp;""</f>
        <v>26327000001379945922</v>
      </c>
      <c r="O113" t="str">
        <f>[1]发票导入!O113&amp;""</f>
        <v>正常</v>
      </c>
      <c r="T113">
        <f>[1]发票导入!T113</f>
        <v>46234.0</v>
      </c>
      <c r="U113" t="str">
        <f>[1]发票导入!U113&amp;""</f>
        <v>中智优力</v>
      </c>
      <c r="V113" t="str">
        <f>[1]发票导入!V113&amp;""</f>
        <v>进项</v>
      </c>
      <c r="W113" t="str">
        <f>[1]发票导入!W113&amp;""</f>
        <v>江苏京东海元贸易有限公司</v>
      </c>
      <c r="Y113" t="str">
        <f>[1]发票导入!Y113&amp;""</f>
        <v>报销票</v>
      </c>
      <c r="AA113">
        <f>[1]发票导入!AA113&amp;""</f>
      </c>
      <c r="AB113">
        <f>[1]发票导入!AB113</f>
        <v>0</v>
      </c>
      <c r="AC113">
        <f>[1]发票导入!AC113</f>
        <v>0</v>
      </c>
      <c r="AE113" s="22">
        <f t="shared" si="0"/>
      </c>
      <c r="AI113">
        <f>[1]发票导入!AI113&amp;""</f>
      </c>
      <c r="AJ113" t="str">
        <f>[1]发票导入!AJ113&amp;""</f>
        <v>中智优力</v>
      </c>
      <c r="AK113">
        <f>[1]发票导入!AK113</f>
        <v>78</v>
      </c>
      <c r="AL113">
        <f>[1]发票导入!AL113</f>
        <v>69.03</v>
      </c>
      <c r="AM113">
        <f>[1]发票导入!AM113</f>
        <v>8.97</v>
      </c>
      <c r="AN113" s="22">
        <f t="shared" si="1"/>
        <v>0</v>
      </c>
      <c r="AO113" s="22">
        <f t="shared" si="2"/>
        <v>0</v>
      </c>
    </row>
    <row r="114">
      <c r="C114">
        <f>[1]发票导入!C114&amp;""</f>
      </c>
      <c r="D114">
        <f>[1]发票导入!D114&amp;""</f>
      </c>
      <c r="O114">
        <f>[1]发票导入!O114&amp;""</f>
      </c>
      <c r="T114">
        <f>[1]发票导入!T114</f>
      </c>
      <c r="U114">
        <f>[1]发票导入!U114&amp;""</f>
      </c>
      <c r="V114">
        <f>[1]发票导入!V114&amp;""</f>
      </c>
      <c r="W114">
        <f>[1]发票导入!W114&amp;""</f>
      </c>
      <c r="Y114">
        <f>[1]发票导入!Y114&amp;""</f>
      </c>
      <c r="AA114">
        <f>[1]发票导入!AA114&amp;""</f>
      </c>
      <c r="AB114">
        <f>[1]发票导入!AB114</f>
        <v>0</v>
      </c>
      <c r="AC114">
        <f>[1]发票导入!AC114</f>
        <v>0</v>
      </c>
      <c r="AE114" s="22">
        <f t="shared" si="0"/>
      </c>
      <c r="AI114">
        <f>[1]发票导入!AI114&amp;""</f>
      </c>
      <c r="AJ114">
        <f>[1]发票导入!AJ114&amp;""</f>
      </c>
      <c r="AK114">
        <f>[1]发票导入!AK114</f>
        <v>0</v>
      </c>
      <c r="AL114">
        <f>[1]发票导入!AL114</f>
        <v>0</v>
      </c>
      <c r="AM114">
        <f>[1]发票导入!AM114</f>
        <v>0</v>
      </c>
      <c r="AN114" s="22">
        <f t="shared" si="1"/>
        <v>0</v>
      </c>
      <c r="AO114" s="22">
        <f t="shared" si="2"/>
        <v>0</v>
      </c>
    </row>
    <row r="115">
      <c r="C115">
        <f>[1]发票导入!C115&amp;""</f>
      </c>
      <c r="D115">
        <f>[1]发票导入!D115&amp;""</f>
      </c>
      <c r="O115">
        <f>[1]发票导入!O115&amp;""</f>
      </c>
      <c r="T115">
        <f>[1]发票导入!T115</f>
      </c>
      <c r="U115">
        <f>[1]发票导入!U115&amp;""</f>
      </c>
      <c r="V115">
        <f>[1]发票导入!V115&amp;""</f>
      </c>
      <c r="W115">
        <f>[1]发票导入!W115&amp;""</f>
      </c>
      <c r="Y115">
        <f>[1]发票导入!Y115&amp;""</f>
      </c>
      <c r="AA115">
        <f>[1]发票导入!AA115&amp;""</f>
      </c>
      <c r="AB115">
        <f>[1]发票导入!AB115</f>
        <v>0</v>
      </c>
      <c r="AC115">
        <f>[1]发票导入!AC115</f>
        <v>0</v>
      </c>
      <c r="AE115" s="22">
        <f t="shared" si="0"/>
      </c>
      <c r="AI115">
        <f>[1]发票导入!AI115&amp;""</f>
      </c>
      <c r="AJ115">
        <f>[1]发票导入!AJ115&amp;""</f>
      </c>
      <c r="AK115">
        <f>[1]发票导入!AK115</f>
        <v>0</v>
      </c>
      <c r="AL115">
        <f>[1]发票导入!AL115</f>
        <v>0</v>
      </c>
      <c r="AM115">
        <f>[1]发票导入!AM115</f>
        <v>0</v>
      </c>
      <c r="AN115" s="22">
        <f t="shared" si="1"/>
        <v>0</v>
      </c>
      <c r="AO115" s="22">
        <f t="shared" si="2"/>
        <v>0</v>
      </c>
    </row>
    <row r="116">
      <c r="C116">
        <f>[1]发票导入!C116&amp;""</f>
      </c>
      <c r="D116">
        <f>[1]发票导入!D116&amp;""</f>
      </c>
      <c r="O116">
        <f>[1]发票导入!O116&amp;""</f>
      </c>
      <c r="T116">
        <f>[1]发票导入!T116</f>
      </c>
      <c r="U116">
        <f>[1]发票导入!U116&amp;""</f>
      </c>
      <c r="V116">
        <f>[1]发票导入!V116&amp;""</f>
      </c>
      <c r="W116">
        <f>[1]发票导入!W116&amp;""</f>
      </c>
      <c r="Y116">
        <f>[1]发票导入!Y116&amp;""</f>
      </c>
      <c r="AA116">
        <f>[1]发票导入!AA116&amp;""</f>
      </c>
      <c r="AB116">
        <f>[1]发票导入!AB116</f>
        <v>0</v>
      </c>
      <c r="AC116">
        <f>[1]发票导入!AC116</f>
        <v>0</v>
      </c>
      <c r="AE116" s="22">
        <f t="shared" si="0"/>
      </c>
      <c r="AI116">
        <f>[1]发票导入!AI116&amp;""</f>
      </c>
      <c r="AJ116">
        <f>[1]发票导入!AJ116&amp;""</f>
      </c>
      <c r="AK116">
        <f>[1]发票导入!AK116</f>
        <v>0</v>
      </c>
      <c r="AL116">
        <f>[1]发票导入!AL116</f>
        <v>0</v>
      </c>
      <c r="AM116">
        <f>[1]发票导入!AM116</f>
        <v>0</v>
      </c>
      <c r="AN116" s="22">
        <f t="shared" si="1"/>
        <v>0</v>
      </c>
      <c r="AO116" s="22">
        <f t="shared" si="2"/>
        <v>0</v>
      </c>
    </row>
    <row r="117">
      <c r="C117">
        <f>[1]发票导入!C117&amp;""</f>
      </c>
      <c r="D117">
        <f>[1]发票导入!D117&amp;""</f>
      </c>
      <c r="O117">
        <f>[1]发票导入!O117&amp;""</f>
      </c>
      <c r="T117">
        <f>[1]发票导入!T117</f>
      </c>
      <c r="U117">
        <f>[1]发票导入!U117&amp;""</f>
      </c>
      <c r="V117">
        <f>[1]发票导入!V117&amp;""</f>
      </c>
      <c r="W117">
        <f>[1]发票导入!W117&amp;""</f>
      </c>
      <c r="Y117">
        <f>[1]发票导入!Y117&amp;""</f>
      </c>
      <c r="AA117">
        <f>[1]发票导入!AA117&amp;""</f>
      </c>
      <c r="AB117">
        <f>[1]发票导入!AB117</f>
        <v>0</v>
      </c>
      <c r="AC117">
        <f>[1]发票导入!AC117</f>
        <v>0</v>
      </c>
      <c r="AE117" s="22">
        <f t="shared" si="0"/>
      </c>
      <c r="AI117">
        <f>[1]发票导入!AI117&amp;""</f>
      </c>
      <c r="AJ117">
        <f>[1]发票导入!AJ117&amp;""</f>
      </c>
      <c r="AK117">
        <f>[1]发票导入!AK117</f>
        <v>0</v>
      </c>
      <c r="AL117">
        <f>[1]发票导入!AL117</f>
        <v>0</v>
      </c>
      <c r="AM117">
        <f>[1]发票导入!AM117</f>
        <v>0</v>
      </c>
      <c r="AN117" s="22">
        <f t="shared" si="1"/>
        <v>0</v>
      </c>
      <c r="AO117" s="22">
        <f t="shared" si="2"/>
        <v>0</v>
      </c>
    </row>
    <row r="118">
      <c r="C118">
        <f>[1]发票导入!C118&amp;""</f>
      </c>
      <c r="D118">
        <f>[1]发票导入!D118&amp;""</f>
      </c>
      <c r="O118">
        <f>[1]发票导入!O118&amp;""</f>
      </c>
      <c r="T118">
        <f>[1]发票导入!T118</f>
      </c>
      <c r="U118">
        <f>[1]发票导入!U118&amp;""</f>
      </c>
      <c r="V118">
        <f>[1]发票导入!V118&amp;""</f>
      </c>
      <c r="W118">
        <f>[1]发票导入!W118&amp;""</f>
      </c>
      <c r="Y118">
        <f>[1]发票导入!Y118&amp;""</f>
      </c>
      <c r="AA118">
        <f>[1]发票导入!AA118&amp;""</f>
      </c>
      <c r="AB118">
        <f>[1]发票导入!AB118</f>
        <v>0</v>
      </c>
      <c r="AC118">
        <f>[1]发票导入!AC118</f>
        <v>0</v>
      </c>
      <c r="AE118" s="22">
        <f t="shared" si="0"/>
      </c>
      <c r="AI118">
        <f>[1]发票导入!AI118&amp;""</f>
      </c>
      <c r="AJ118">
        <f>[1]发票导入!AJ118&amp;""</f>
      </c>
      <c r="AK118">
        <f>[1]发票导入!AK118</f>
        <v>0</v>
      </c>
      <c r="AL118">
        <f>[1]发票导入!AL118</f>
        <v>0</v>
      </c>
      <c r="AM118">
        <f>[1]发票导入!AM118</f>
        <v>0</v>
      </c>
      <c r="AN118" s="22">
        <f t="shared" si="1"/>
        <v>0</v>
      </c>
      <c r="AO118" s="22">
        <f t="shared" si="2"/>
        <v>0</v>
      </c>
    </row>
    <row r="119">
      <c r="C119">
        <f>[1]发票导入!C119&amp;""</f>
      </c>
      <c r="D119">
        <f>[1]发票导入!D119&amp;""</f>
      </c>
      <c r="O119">
        <f>[1]发票导入!O119&amp;""</f>
      </c>
      <c r="T119">
        <f>[1]发票导入!T119</f>
      </c>
      <c r="U119">
        <f>[1]发票导入!U119&amp;""</f>
      </c>
      <c r="V119">
        <f>[1]发票导入!V119&amp;""</f>
      </c>
      <c r="W119">
        <f>[1]发票导入!W119&amp;""</f>
      </c>
      <c r="Y119">
        <f>[1]发票导入!Y119&amp;""</f>
      </c>
      <c r="AA119">
        <f>[1]发票导入!AA119&amp;""</f>
      </c>
      <c r="AB119">
        <f>[1]发票导入!AB119</f>
        <v>0</v>
      </c>
      <c r="AC119">
        <f>[1]发票导入!AC119</f>
        <v>0</v>
      </c>
      <c r="AE119" s="22">
        <f t="shared" si="0"/>
      </c>
      <c r="AI119">
        <f>[1]发票导入!AI119&amp;""</f>
      </c>
      <c r="AJ119">
        <f>[1]发票导入!AJ119&amp;""</f>
      </c>
      <c r="AK119">
        <f>[1]发票导入!AK119</f>
        <v>0</v>
      </c>
      <c r="AL119">
        <f>[1]发票导入!AL119</f>
        <v>0</v>
      </c>
      <c r="AM119">
        <f>[1]发票导入!AM119</f>
        <v>0</v>
      </c>
      <c r="AN119" s="22">
        <f t="shared" si="1"/>
        <v>0</v>
      </c>
      <c r="AO119" s="22">
        <f t="shared" si="2"/>
        <v>0</v>
      </c>
    </row>
    <row r="120">
      <c r="C120">
        <f>[1]发票导入!C120&amp;""</f>
      </c>
      <c r="D120">
        <f>[1]发票导入!D120&amp;""</f>
      </c>
      <c r="O120">
        <f>[1]发票导入!O120&amp;""</f>
      </c>
      <c r="T120">
        <f>[1]发票导入!T120</f>
      </c>
      <c r="U120">
        <f>[1]发票导入!U120&amp;""</f>
      </c>
      <c r="V120">
        <f>[1]发票导入!V120&amp;""</f>
      </c>
      <c r="W120">
        <f>[1]发票导入!W120&amp;""</f>
      </c>
      <c r="Y120">
        <f>[1]发票导入!Y120&amp;""</f>
      </c>
      <c r="AA120">
        <f>[1]发票导入!AA120&amp;""</f>
      </c>
      <c r="AB120">
        <f>[1]发票导入!AB120</f>
        <v>0</v>
      </c>
      <c r="AC120">
        <f>[1]发票导入!AC120</f>
        <v>0</v>
      </c>
      <c r="AE120" s="22">
        <f t="shared" si="0"/>
      </c>
      <c r="AI120">
        <f>[1]发票导入!AI120&amp;""</f>
      </c>
      <c r="AJ120">
        <f>[1]发票导入!AJ120&amp;""</f>
      </c>
      <c r="AK120">
        <f>[1]发票导入!AK120</f>
        <v>0</v>
      </c>
      <c r="AL120">
        <f>[1]发票导入!AL120</f>
        <v>0</v>
      </c>
      <c r="AM120">
        <f>[1]发票导入!AM120</f>
        <v>0</v>
      </c>
      <c r="AN120" s="22">
        <f t="shared" si="1"/>
        <v>0</v>
      </c>
      <c r="AO120" s="22">
        <f t="shared" si="2"/>
        <v>0</v>
      </c>
    </row>
    <row r="121">
      <c r="C121">
        <f>[1]发票导入!C121&amp;""</f>
      </c>
      <c r="D121">
        <f>[1]发票导入!D121&amp;""</f>
      </c>
      <c r="O121">
        <f>[1]发票导入!O121&amp;""</f>
      </c>
      <c r="T121">
        <f>[1]发票导入!T121</f>
      </c>
      <c r="U121">
        <f>[1]发票导入!U121&amp;""</f>
      </c>
      <c r="V121">
        <f>[1]发票导入!V121&amp;""</f>
      </c>
      <c r="W121">
        <f>[1]发票导入!W121&amp;""</f>
      </c>
      <c r="Y121">
        <f>[1]发票导入!Y121&amp;""</f>
      </c>
      <c r="AA121">
        <f>[1]发票导入!AA121&amp;""</f>
      </c>
      <c r="AB121">
        <f>[1]发票导入!AB121</f>
        <v>0</v>
      </c>
      <c r="AC121">
        <f>[1]发票导入!AC121</f>
        <v>0</v>
      </c>
      <c r="AE121" s="22">
        <f t="shared" si="0"/>
      </c>
      <c r="AI121">
        <f>[1]发票导入!AI121&amp;""</f>
      </c>
      <c r="AJ121">
        <f>[1]发票导入!AJ121&amp;""</f>
      </c>
      <c r="AK121">
        <f>[1]发票导入!AK121</f>
        <v>0</v>
      </c>
      <c r="AL121">
        <f>[1]发票导入!AL121</f>
        <v>0</v>
      </c>
      <c r="AM121">
        <f>[1]发票导入!AM121</f>
        <v>0</v>
      </c>
      <c r="AN121" s="22">
        <f t="shared" si="1"/>
        <v>0</v>
      </c>
      <c r="AO121" s="22">
        <f t="shared" si="2"/>
        <v>0</v>
      </c>
    </row>
    <row r="122">
      <c r="C122">
        <f>[1]发票导入!C122&amp;""</f>
      </c>
      <c r="D122">
        <f>[1]发票导入!D122&amp;""</f>
      </c>
      <c r="O122">
        <f>[1]发票导入!O122&amp;""</f>
      </c>
      <c r="T122">
        <f>[1]发票导入!T122</f>
      </c>
      <c r="U122">
        <f>[1]发票导入!U122&amp;""</f>
      </c>
      <c r="V122">
        <f>[1]发票导入!V122&amp;""</f>
      </c>
      <c r="W122">
        <f>[1]发票导入!W122&amp;""</f>
      </c>
      <c r="Y122">
        <f>[1]发票导入!Y122&amp;""</f>
      </c>
      <c r="AA122">
        <f>[1]发票导入!AA122&amp;""</f>
      </c>
      <c r="AB122">
        <f>[1]发票导入!AB122</f>
        <v>0</v>
      </c>
      <c r="AC122">
        <f>[1]发票导入!AC122</f>
        <v>0</v>
      </c>
      <c r="AE122" s="22">
        <f t="shared" si="0"/>
      </c>
      <c r="AI122">
        <f>[1]发票导入!AI122&amp;""</f>
      </c>
      <c r="AJ122">
        <f>[1]发票导入!AJ122&amp;""</f>
      </c>
      <c r="AK122">
        <f>[1]发票导入!AK122</f>
        <v>0</v>
      </c>
      <c r="AL122">
        <f>[1]发票导入!AL122</f>
        <v>0</v>
      </c>
      <c r="AM122">
        <f>[1]发票导入!AM122</f>
        <v>0</v>
      </c>
      <c r="AN122" s="22">
        <f t="shared" si="1"/>
        <v>0</v>
      </c>
      <c r="AO122" s="22">
        <f t="shared" si="2"/>
        <v>0</v>
      </c>
    </row>
    <row r="123">
      <c r="C123">
        <f>[1]发票导入!C123&amp;""</f>
      </c>
      <c r="D123">
        <f>[1]发票导入!D123&amp;""</f>
      </c>
      <c r="O123">
        <f>[1]发票导入!O123&amp;""</f>
      </c>
      <c r="T123">
        <f>[1]发票导入!T123</f>
      </c>
      <c r="U123">
        <f>[1]发票导入!U123&amp;""</f>
      </c>
      <c r="V123">
        <f>[1]发票导入!V123&amp;""</f>
      </c>
      <c r="W123">
        <f>[1]发票导入!W123&amp;""</f>
      </c>
      <c r="Y123">
        <f>[1]发票导入!Y123&amp;""</f>
      </c>
      <c r="AA123">
        <f>[1]发票导入!AA123&amp;""</f>
      </c>
      <c r="AB123">
        <f>[1]发票导入!AB123</f>
        <v>0</v>
      </c>
      <c r="AC123">
        <f>[1]发票导入!AC123</f>
        <v>0</v>
      </c>
      <c r="AE123" s="22">
        <f t="shared" si="0"/>
      </c>
      <c r="AI123">
        <f>[1]发票导入!AI123&amp;""</f>
      </c>
      <c r="AJ123">
        <f>[1]发票导入!AJ123&amp;""</f>
      </c>
      <c r="AK123">
        <f>[1]发票导入!AK123</f>
        <v>0</v>
      </c>
      <c r="AL123">
        <f>[1]发票导入!AL123</f>
        <v>0</v>
      </c>
      <c r="AM123">
        <f>[1]发票导入!AM123</f>
        <v>0</v>
      </c>
      <c r="AN123" s="22">
        <f t="shared" si="1"/>
        <v>0</v>
      </c>
      <c r="AO123" s="22">
        <f t="shared" si="2"/>
        <v>0</v>
      </c>
    </row>
    <row r="124">
      <c r="C124">
        <f>[1]发票导入!C124&amp;""</f>
      </c>
      <c r="D124">
        <f>[1]发票导入!D124&amp;""</f>
      </c>
      <c r="O124">
        <f>[1]发票导入!O124&amp;""</f>
      </c>
      <c r="T124">
        <f>[1]发票导入!T124</f>
      </c>
      <c r="U124">
        <f>[1]发票导入!U124&amp;""</f>
      </c>
      <c r="V124">
        <f>[1]发票导入!V124&amp;""</f>
      </c>
      <c r="W124">
        <f>[1]发票导入!W124&amp;""</f>
      </c>
      <c r="Y124">
        <f>[1]发票导入!Y124&amp;""</f>
      </c>
      <c r="AA124">
        <f>[1]发票导入!AA124&amp;""</f>
      </c>
      <c r="AB124">
        <f>[1]发票导入!AB124</f>
        <v>0</v>
      </c>
      <c r="AC124">
        <f>[1]发票导入!AC124</f>
        <v>0</v>
      </c>
      <c r="AE124" s="22">
        <f t="shared" si="0"/>
      </c>
      <c r="AI124">
        <f>[1]发票导入!AI124&amp;""</f>
      </c>
      <c r="AJ124">
        <f>[1]发票导入!AJ124&amp;""</f>
      </c>
      <c r="AK124">
        <f>[1]发票导入!AK124</f>
        <v>0</v>
      </c>
      <c r="AL124">
        <f>[1]发票导入!AL124</f>
        <v>0</v>
      </c>
      <c r="AM124">
        <f>[1]发票导入!AM124</f>
        <v>0</v>
      </c>
      <c r="AN124" s="22">
        <f t="shared" si="1"/>
        <v>0</v>
      </c>
      <c r="AO124" s="22">
        <f t="shared" si="2"/>
        <v>0</v>
      </c>
    </row>
    <row r="125">
      <c r="C125">
        <f>[1]发票导入!C125&amp;""</f>
      </c>
      <c r="D125">
        <f>[1]发票导入!D125&amp;""</f>
      </c>
      <c r="O125">
        <f>[1]发票导入!O125&amp;""</f>
      </c>
      <c r="T125">
        <f>[1]发票导入!T125</f>
      </c>
      <c r="U125">
        <f>[1]发票导入!U125&amp;""</f>
      </c>
      <c r="V125">
        <f>[1]发票导入!V125&amp;""</f>
      </c>
      <c r="W125">
        <f>[1]发票导入!W125&amp;""</f>
      </c>
      <c r="Y125">
        <f>[1]发票导入!Y125&amp;""</f>
      </c>
      <c r="AA125">
        <f>[1]发票导入!AA125&amp;""</f>
      </c>
      <c r="AB125">
        <f>[1]发票导入!AB125</f>
        <v>0</v>
      </c>
      <c r="AC125">
        <f>[1]发票导入!AC125</f>
        <v>0</v>
      </c>
      <c r="AE125" s="22">
        <f t="shared" si="0"/>
      </c>
      <c r="AI125">
        <f>[1]发票导入!AI125&amp;""</f>
      </c>
      <c r="AJ125">
        <f>[1]发票导入!AJ125&amp;""</f>
      </c>
      <c r="AK125">
        <f>[1]发票导入!AK125</f>
        <v>0</v>
      </c>
      <c r="AL125">
        <f>[1]发票导入!AL125</f>
        <v>0</v>
      </c>
      <c r="AM125">
        <f>[1]发票导入!AM125</f>
        <v>0</v>
      </c>
      <c r="AN125" s="22">
        <f t="shared" si="1"/>
        <v>0</v>
      </c>
      <c r="AO125" s="22">
        <f t="shared" si="2"/>
        <v>0</v>
      </c>
    </row>
    <row r="126">
      <c r="C126">
        <f>[1]发票导入!C126&amp;""</f>
      </c>
      <c r="D126">
        <f>[1]发票导入!D126&amp;""</f>
      </c>
      <c r="O126">
        <f>[1]发票导入!O126&amp;""</f>
      </c>
      <c r="T126">
        <f>[1]发票导入!T126</f>
      </c>
      <c r="U126">
        <f>[1]发票导入!U126&amp;""</f>
      </c>
      <c r="V126">
        <f>[1]发票导入!V126&amp;""</f>
      </c>
      <c r="W126">
        <f>[1]发票导入!W126&amp;""</f>
      </c>
      <c r="Y126">
        <f>[1]发票导入!Y126&amp;""</f>
      </c>
      <c r="AA126">
        <f>[1]发票导入!AA126&amp;""</f>
      </c>
      <c r="AB126">
        <f>[1]发票导入!AB126</f>
        <v>0</v>
      </c>
      <c r="AC126">
        <f>[1]发票导入!AC126</f>
        <v>0</v>
      </c>
      <c r="AE126" s="22">
        <f t="shared" si="0"/>
      </c>
      <c r="AI126">
        <f>[1]发票导入!AI126&amp;""</f>
      </c>
      <c r="AJ126">
        <f>[1]发票导入!AJ126&amp;""</f>
      </c>
      <c r="AK126">
        <f>[1]发票导入!AK126</f>
        <v>0</v>
      </c>
      <c r="AL126">
        <f>[1]发票导入!AL126</f>
        <v>0</v>
      </c>
      <c r="AM126">
        <f>[1]发票导入!AM126</f>
        <v>0</v>
      </c>
      <c r="AN126" s="22">
        <f t="shared" si="1"/>
        <v>0</v>
      </c>
      <c r="AO126" s="22">
        <f t="shared" si="2"/>
        <v>0</v>
      </c>
    </row>
    <row r="127">
      <c r="C127">
        <f>[1]发票导入!C127&amp;""</f>
      </c>
      <c r="D127">
        <f>[1]发票导入!D127&amp;""</f>
      </c>
      <c r="O127">
        <f>[1]发票导入!O127&amp;""</f>
      </c>
      <c r="T127">
        <f>[1]发票导入!T127</f>
      </c>
      <c r="U127">
        <f>[1]发票导入!U127&amp;""</f>
      </c>
      <c r="V127">
        <f>[1]发票导入!V127&amp;""</f>
      </c>
      <c r="W127">
        <f>[1]发票导入!W127&amp;""</f>
      </c>
      <c r="Y127">
        <f>[1]发票导入!Y127&amp;""</f>
      </c>
      <c r="AA127">
        <f>[1]发票导入!AA127&amp;""</f>
      </c>
      <c r="AB127">
        <f>[1]发票导入!AB127</f>
        <v>0</v>
      </c>
      <c r="AC127">
        <f>[1]发票导入!AC127</f>
        <v>0</v>
      </c>
      <c r="AE127" s="22">
        <f t="shared" si="0"/>
      </c>
      <c r="AI127">
        <f>[1]发票导入!AI127&amp;""</f>
      </c>
      <c r="AJ127">
        <f>[1]发票导入!AJ127&amp;""</f>
      </c>
      <c r="AK127">
        <f>[1]发票导入!AK127</f>
        <v>0</v>
      </c>
      <c r="AL127">
        <f>[1]发票导入!AL127</f>
        <v>0</v>
      </c>
      <c r="AM127">
        <f>[1]发票导入!AM127</f>
        <v>0</v>
      </c>
      <c r="AN127" s="22">
        <f t="shared" si="1"/>
        <v>0</v>
      </c>
      <c r="AO127" s="22">
        <f t="shared" si="2"/>
        <v>0</v>
      </c>
    </row>
    <row r="128">
      <c r="C128">
        <f>[1]发票导入!C128&amp;""</f>
      </c>
      <c r="D128">
        <f>[1]发票导入!D128&amp;""</f>
      </c>
      <c r="O128">
        <f>[1]发票导入!O128&amp;""</f>
      </c>
      <c r="T128">
        <f>[1]发票导入!T128</f>
      </c>
      <c r="U128">
        <f>[1]发票导入!U128&amp;""</f>
      </c>
      <c r="V128">
        <f>[1]发票导入!V128&amp;""</f>
      </c>
      <c r="W128">
        <f>[1]发票导入!W128&amp;""</f>
      </c>
      <c r="Y128">
        <f>[1]发票导入!Y128&amp;""</f>
      </c>
      <c r="AA128">
        <f>[1]发票导入!AA128&amp;""</f>
      </c>
      <c r="AB128">
        <f>[1]发票导入!AB128</f>
        <v>0</v>
      </c>
      <c r="AC128">
        <f>[1]发票导入!AC128</f>
        <v>0</v>
      </c>
      <c r="AE128" s="22">
        <f t="shared" si="0"/>
      </c>
      <c r="AI128">
        <f>[1]发票导入!AI128&amp;""</f>
      </c>
      <c r="AJ128">
        <f>[1]发票导入!AJ128&amp;""</f>
      </c>
      <c r="AK128">
        <f>[1]发票导入!AK128</f>
        <v>0</v>
      </c>
      <c r="AL128">
        <f>[1]发票导入!AL128</f>
        <v>0</v>
      </c>
      <c r="AM128">
        <f>[1]发票导入!AM128</f>
        <v>0</v>
      </c>
      <c r="AN128" s="22">
        <f t="shared" si="1"/>
        <v>0</v>
      </c>
      <c r="AO128" s="22">
        <f t="shared" si="2"/>
        <v>0</v>
      </c>
    </row>
    <row r="129">
      <c r="C129">
        <f>[1]发票导入!C129&amp;""</f>
      </c>
      <c r="D129">
        <f>[1]发票导入!D129&amp;""</f>
      </c>
      <c r="O129">
        <f>[1]发票导入!O129&amp;""</f>
      </c>
      <c r="T129">
        <f>[1]发票导入!T129</f>
      </c>
      <c r="U129">
        <f>[1]发票导入!U129&amp;""</f>
      </c>
      <c r="V129">
        <f>[1]发票导入!V129&amp;""</f>
      </c>
      <c r="W129">
        <f>[1]发票导入!W129&amp;""</f>
      </c>
      <c r="Y129">
        <f>[1]发票导入!Y129&amp;""</f>
      </c>
      <c r="AA129">
        <f>[1]发票导入!AA129&amp;""</f>
      </c>
      <c r="AB129">
        <f>[1]发票导入!AB129</f>
        <v>0</v>
      </c>
      <c r="AC129">
        <f>[1]发票导入!AC129</f>
        <v>0</v>
      </c>
      <c r="AE129" s="22">
        <f t="shared" si="0"/>
      </c>
      <c r="AI129">
        <f>[1]发票导入!AI129&amp;""</f>
      </c>
      <c r="AJ129">
        <f>[1]发票导入!AJ129&amp;""</f>
      </c>
      <c r="AK129">
        <f>[1]发票导入!AK129</f>
        <v>0</v>
      </c>
      <c r="AL129">
        <f>[1]发票导入!AL129</f>
        <v>0</v>
      </c>
      <c r="AM129">
        <f>[1]发票导入!AM129</f>
        <v>0</v>
      </c>
      <c r="AN129" s="22">
        <f t="shared" si="1"/>
        <v>0</v>
      </c>
      <c r="AO129" s="22">
        <f t="shared" si="2"/>
        <v>0</v>
      </c>
    </row>
    <row r="130">
      <c r="C130">
        <f>[1]发票导入!C130&amp;""</f>
      </c>
      <c r="D130">
        <f>[1]发票导入!D130&amp;""</f>
      </c>
      <c r="O130">
        <f>[1]发票导入!O130&amp;""</f>
      </c>
      <c r="T130">
        <f>[1]发票导入!T130</f>
      </c>
      <c r="U130">
        <f>[1]发票导入!U130&amp;""</f>
      </c>
      <c r="V130">
        <f>[1]发票导入!V130&amp;""</f>
      </c>
      <c r="W130">
        <f>[1]发票导入!W130&amp;""</f>
      </c>
      <c r="Y130">
        <f>[1]发票导入!Y130&amp;""</f>
      </c>
      <c r="AA130">
        <f>[1]发票导入!AA130&amp;""</f>
      </c>
      <c r="AB130">
        <f>[1]发票导入!AB130</f>
        <v>0</v>
      </c>
      <c r="AC130">
        <f>[1]发票导入!AC130</f>
        <v>0</v>
      </c>
      <c r="AE130" s="22">
        <f t="shared" si="0"/>
      </c>
      <c r="AI130">
        <f>[1]发票导入!AI130&amp;""</f>
      </c>
      <c r="AJ130">
        <f>[1]发票导入!AJ130&amp;""</f>
      </c>
      <c r="AK130">
        <f>[1]发票导入!AK130</f>
        <v>0</v>
      </c>
      <c r="AL130">
        <f>[1]发票导入!AL130</f>
        <v>0</v>
      </c>
      <c r="AM130">
        <f>[1]发票导入!AM130</f>
        <v>0</v>
      </c>
      <c r="AN130" s="22">
        <f t="shared" si="1"/>
        <v>0</v>
      </c>
      <c r="AO130" s="22">
        <f t="shared" si="2"/>
        <v>0</v>
      </c>
    </row>
    <row r="131">
      <c r="C131">
        <f>[1]发票导入!C131&amp;""</f>
      </c>
      <c r="D131">
        <f>[1]发票导入!D131&amp;""</f>
      </c>
      <c r="O131">
        <f>[1]发票导入!O131&amp;""</f>
      </c>
      <c r="T131">
        <f>[1]发票导入!T131</f>
      </c>
      <c r="U131">
        <f>[1]发票导入!U131&amp;""</f>
      </c>
      <c r="V131">
        <f>[1]发票导入!V131&amp;""</f>
      </c>
      <c r="W131">
        <f>[1]发票导入!W131&amp;""</f>
      </c>
      <c r="Y131">
        <f>[1]发票导入!Y131&amp;""</f>
      </c>
      <c r="AA131">
        <f>[1]发票导入!AA131&amp;""</f>
      </c>
      <c r="AB131">
        <f>[1]发票导入!AB131</f>
        <v>0</v>
      </c>
      <c r="AC131">
        <f>[1]发票导入!AC131</f>
        <v>0</v>
      </c>
      <c r="AE131" s="22">
        <f t="shared" si="0"/>
      </c>
      <c r="AI131">
        <f>[1]发票导入!AI131&amp;""</f>
      </c>
      <c r="AJ131">
        <f>[1]发票导入!AJ131&amp;""</f>
      </c>
      <c r="AK131">
        <f>[1]发票导入!AK131</f>
        <v>0</v>
      </c>
      <c r="AL131">
        <f>[1]发票导入!AL131</f>
        <v>0</v>
      </c>
      <c r="AM131">
        <f>[1]发票导入!AM131</f>
        <v>0</v>
      </c>
      <c r="AN131" s="22">
        <f t="shared" si="1"/>
        <v>0</v>
      </c>
      <c r="AO131" s="22">
        <f t="shared" si="2"/>
        <v>0</v>
      </c>
    </row>
    <row r="132">
      <c r="C132">
        <f>[1]发票导入!C132&amp;""</f>
      </c>
      <c r="D132">
        <f>[1]发票导入!D132&amp;""</f>
      </c>
      <c r="O132">
        <f>[1]发票导入!O132&amp;""</f>
      </c>
      <c r="T132">
        <f>[1]发票导入!T132</f>
      </c>
      <c r="U132">
        <f>[1]发票导入!U132&amp;""</f>
      </c>
      <c r="V132">
        <f>[1]发票导入!V132&amp;""</f>
      </c>
      <c r="W132">
        <f>[1]发票导入!W132&amp;""</f>
      </c>
      <c r="Y132">
        <f>[1]发票导入!Y132&amp;""</f>
      </c>
      <c r="AA132">
        <f>[1]发票导入!AA132&amp;""</f>
      </c>
      <c r="AB132">
        <f>[1]发票导入!AB132</f>
        <v>0</v>
      </c>
      <c r="AC132">
        <f>[1]发票导入!AC132</f>
        <v>0</v>
      </c>
      <c r="AE132" s="22">
        <f t="shared" si="0"/>
      </c>
      <c r="AI132">
        <f>[1]发票导入!AI132&amp;""</f>
      </c>
      <c r="AJ132">
        <f>[1]发票导入!AJ132&amp;""</f>
      </c>
      <c r="AK132">
        <f>[1]发票导入!AK132</f>
        <v>0</v>
      </c>
      <c r="AL132">
        <f>[1]发票导入!AL132</f>
        <v>0</v>
      </c>
      <c r="AM132">
        <f>[1]发票导入!AM132</f>
        <v>0</v>
      </c>
      <c r="AN132" s="22">
        <f t="shared" si="1"/>
        <v>0</v>
      </c>
      <c r="AO132" s="22">
        <f t="shared" si="2"/>
        <v>0</v>
      </c>
    </row>
    <row r="133">
      <c r="C133">
        <f>[1]发票导入!C133&amp;""</f>
      </c>
      <c r="D133">
        <f>[1]发票导入!D133&amp;""</f>
      </c>
      <c r="O133">
        <f>[1]发票导入!O133&amp;""</f>
      </c>
      <c r="T133">
        <f>[1]发票导入!T133</f>
      </c>
      <c r="U133">
        <f>[1]发票导入!U133&amp;""</f>
      </c>
      <c r="V133">
        <f>[1]发票导入!V133&amp;""</f>
      </c>
      <c r="W133">
        <f>[1]发票导入!W133&amp;""</f>
      </c>
      <c r="Y133">
        <f>[1]发票导入!Y133&amp;""</f>
      </c>
      <c r="AA133">
        <f>[1]发票导入!AA133&amp;""</f>
      </c>
      <c r="AB133">
        <f>[1]发票导入!AB133</f>
        <v>0</v>
      </c>
      <c r="AC133">
        <f>[1]发票导入!AC133</f>
        <v>0</v>
      </c>
      <c r="AE133" s="22">
        <f t="shared" si="0"/>
      </c>
      <c r="AI133">
        <f>[1]发票导入!AI133&amp;""</f>
      </c>
      <c r="AJ133">
        <f>[1]发票导入!AJ133&amp;""</f>
      </c>
      <c r="AK133">
        <f>[1]发票导入!AK133</f>
        <v>0</v>
      </c>
      <c r="AL133">
        <f>[1]发票导入!AL133</f>
        <v>0</v>
      </c>
      <c r="AM133">
        <f>[1]发票导入!AM133</f>
        <v>0</v>
      </c>
      <c r="AN133" s="22">
        <f t="shared" si="1"/>
        <v>0</v>
      </c>
      <c r="AO133" s="22">
        <f t="shared" si="2"/>
        <v>0</v>
      </c>
    </row>
    <row r="134">
      <c r="C134">
        <f>[1]发票导入!C134&amp;""</f>
      </c>
      <c r="D134">
        <f>[1]发票导入!D134&amp;""</f>
      </c>
      <c r="O134">
        <f>[1]发票导入!O134&amp;""</f>
      </c>
      <c r="T134">
        <f>[1]发票导入!T134</f>
      </c>
      <c r="U134">
        <f>[1]发票导入!U134&amp;""</f>
      </c>
      <c r="V134">
        <f>[1]发票导入!V134&amp;""</f>
      </c>
      <c r="W134">
        <f>[1]发票导入!W134&amp;""</f>
      </c>
      <c r="Y134">
        <f>[1]发票导入!Y134&amp;""</f>
      </c>
      <c r="AA134">
        <f>[1]发票导入!AA134&amp;""</f>
      </c>
      <c r="AB134">
        <f>[1]发票导入!AB134</f>
        <v>0</v>
      </c>
      <c r="AC134">
        <f>[1]发票导入!AC134</f>
        <v>0</v>
      </c>
      <c r="AE134" s="22">
        <f t="shared" si="0"/>
      </c>
      <c r="AI134">
        <f>[1]发票导入!AI134&amp;""</f>
      </c>
      <c r="AJ134">
        <f>[1]发票导入!AJ134&amp;""</f>
      </c>
      <c r="AK134">
        <f>[1]发票导入!AK134</f>
        <v>0</v>
      </c>
      <c r="AL134">
        <f>[1]发票导入!AL134</f>
        <v>0</v>
      </c>
      <c r="AM134">
        <f>[1]发票导入!AM134</f>
        <v>0</v>
      </c>
      <c r="AN134" s="22">
        <f t="shared" si="1"/>
        <v>0</v>
      </c>
      <c r="AO134" s="22">
        <f t="shared" si="2"/>
        <v>0</v>
      </c>
    </row>
    <row r="135">
      <c r="C135">
        <f>[1]发票导入!C135&amp;""</f>
      </c>
      <c r="D135">
        <f>[1]发票导入!D135&amp;""</f>
      </c>
      <c r="O135">
        <f>[1]发票导入!O135&amp;""</f>
      </c>
      <c r="T135">
        <f>[1]发票导入!T135</f>
      </c>
      <c r="U135">
        <f>[1]发票导入!U135&amp;""</f>
      </c>
      <c r="V135">
        <f>[1]发票导入!V135&amp;""</f>
      </c>
      <c r="W135">
        <f>[1]发票导入!W135&amp;""</f>
      </c>
      <c r="Y135">
        <f>[1]发票导入!Y135&amp;""</f>
      </c>
      <c r="AA135">
        <f>[1]发票导入!AA135&amp;""</f>
      </c>
      <c r="AB135">
        <f>[1]发票导入!AB135</f>
        <v>0</v>
      </c>
      <c r="AC135">
        <f>[1]发票导入!AC135</f>
        <v>0</v>
      </c>
      <c r="AE135" s="22">
        <f t="shared" si="0"/>
      </c>
      <c r="AI135">
        <f>[1]发票导入!AI135&amp;""</f>
      </c>
      <c r="AJ135">
        <f>[1]发票导入!AJ135&amp;""</f>
      </c>
      <c r="AK135">
        <f>[1]发票导入!AK135</f>
        <v>0</v>
      </c>
      <c r="AL135">
        <f>[1]发票导入!AL135</f>
        <v>0</v>
      </c>
      <c r="AM135">
        <f>[1]发票导入!AM135</f>
        <v>0</v>
      </c>
      <c r="AN135" s="22">
        <f t="shared" si="1"/>
        <v>0</v>
      </c>
      <c r="AO135" s="22">
        <f t="shared" si="2"/>
        <v>0</v>
      </c>
    </row>
    <row r="136">
      <c r="C136">
        <f>[1]发票导入!C136&amp;""</f>
      </c>
      <c r="D136">
        <f>[1]发票导入!D136&amp;""</f>
      </c>
      <c r="O136">
        <f>[1]发票导入!O136&amp;""</f>
      </c>
      <c r="T136">
        <f>[1]发票导入!T136</f>
      </c>
      <c r="U136">
        <f>[1]发票导入!U136&amp;""</f>
      </c>
      <c r="V136">
        <f>[1]发票导入!V136&amp;""</f>
      </c>
      <c r="W136">
        <f>[1]发票导入!W136&amp;""</f>
      </c>
      <c r="Y136">
        <f>[1]发票导入!Y136&amp;""</f>
      </c>
      <c r="AA136">
        <f>[1]发票导入!AA136&amp;""</f>
      </c>
      <c r="AB136">
        <f>[1]发票导入!AB136</f>
        <v>0</v>
      </c>
      <c r="AC136">
        <f>[1]发票导入!AC136</f>
        <v>0</v>
      </c>
      <c r="AE136" s="22">
        <f t="shared" si="0"/>
      </c>
      <c r="AI136">
        <f>[1]发票导入!AI136&amp;""</f>
      </c>
      <c r="AJ136">
        <f>[1]发票导入!AJ136&amp;""</f>
      </c>
      <c r="AK136">
        <f>[1]发票导入!AK136</f>
        <v>0</v>
      </c>
      <c r="AL136">
        <f>[1]发票导入!AL136</f>
        <v>0</v>
      </c>
      <c r="AM136">
        <f>[1]发票导入!AM136</f>
        <v>0</v>
      </c>
      <c r="AN136" s="22">
        <f t="shared" si="1"/>
        <v>0</v>
      </c>
      <c r="AO136" s="22">
        <f t="shared" si="2"/>
        <v>0</v>
      </c>
    </row>
    <row r="137">
      <c r="C137">
        <f>[1]发票导入!C137&amp;""</f>
      </c>
      <c r="D137">
        <f>[1]发票导入!D137&amp;""</f>
      </c>
      <c r="O137">
        <f>[1]发票导入!O137&amp;""</f>
      </c>
      <c r="T137">
        <f>[1]发票导入!T137</f>
      </c>
      <c r="U137">
        <f>[1]发票导入!U137&amp;""</f>
      </c>
      <c r="V137">
        <f>[1]发票导入!V137&amp;""</f>
      </c>
      <c r="W137">
        <f>[1]发票导入!W137&amp;""</f>
      </c>
      <c r="Y137">
        <f>[1]发票导入!Y137&amp;""</f>
      </c>
      <c r="AA137">
        <f>[1]发票导入!AA137&amp;""</f>
      </c>
      <c r="AB137">
        <f>[1]发票导入!AB137</f>
        <v>0</v>
      </c>
      <c r="AC137">
        <f>[1]发票导入!AC137</f>
        <v>0</v>
      </c>
      <c r="AE137" s="22">
        <f t="shared" si="0"/>
      </c>
      <c r="AI137">
        <f>[1]发票导入!AI137&amp;""</f>
      </c>
      <c r="AJ137">
        <f>[1]发票导入!AJ137&amp;""</f>
      </c>
      <c r="AK137">
        <f>[1]发票导入!AK137</f>
        <v>0</v>
      </c>
      <c r="AL137">
        <f>[1]发票导入!AL137</f>
        <v>0</v>
      </c>
      <c r="AM137">
        <f>[1]发票导入!AM137</f>
        <v>0</v>
      </c>
      <c r="AN137" s="22">
        <f t="shared" si="1"/>
        <v>0</v>
      </c>
      <c r="AO137" s="22">
        <f t="shared" si="2"/>
        <v>0</v>
      </c>
    </row>
    <row r="138">
      <c r="C138">
        <f>[1]发票导入!C138&amp;""</f>
      </c>
      <c r="D138">
        <f>[1]发票导入!D138&amp;""</f>
      </c>
      <c r="O138">
        <f>[1]发票导入!O138&amp;""</f>
      </c>
      <c r="T138">
        <f>[1]发票导入!T138</f>
      </c>
      <c r="U138">
        <f>[1]发票导入!U138&amp;""</f>
      </c>
      <c r="V138">
        <f>[1]发票导入!V138&amp;""</f>
      </c>
      <c r="W138">
        <f>[1]发票导入!W138&amp;""</f>
      </c>
      <c r="Y138">
        <f>[1]发票导入!Y138&amp;""</f>
      </c>
      <c r="AA138">
        <f>[1]发票导入!AA138&amp;""</f>
      </c>
      <c r="AB138">
        <f>[1]发票导入!AB138</f>
        <v>0</v>
      </c>
      <c r="AC138">
        <f>[1]发票导入!AC138</f>
        <v>0</v>
      </c>
      <c r="AE138" s="22">
        <f t="shared" si="0"/>
      </c>
      <c r="AI138">
        <f>[1]发票导入!AI138&amp;""</f>
      </c>
      <c r="AJ138">
        <f>[1]发票导入!AJ138&amp;""</f>
      </c>
      <c r="AK138">
        <f>[1]发票导入!AK138</f>
        <v>0</v>
      </c>
      <c r="AL138">
        <f>[1]发票导入!AL138</f>
        <v>0</v>
      </c>
      <c r="AM138">
        <f>[1]发票导入!AM138</f>
        <v>0</v>
      </c>
      <c r="AN138" s="22">
        <f t="shared" si="1"/>
        <v>0</v>
      </c>
      <c r="AO138" s="22">
        <f t="shared" si="2"/>
        <v>0</v>
      </c>
    </row>
    <row r="139">
      <c r="C139">
        <f>[1]发票导入!C139&amp;""</f>
      </c>
      <c r="D139">
        <f>[1]发票导入!D139&amp;""</f>
      </c>
      <c r="O139">
        <f>[1]发票导入!O139&amp;""</f>
      </c>
      <c r="T139">
        <f>[1]发票导入!T139</f>
      </c>
      <c r="U139">
        <f>[1]发票导入!U139&amp;""</f>
      </c>
      <c r="V139">
        <f>[1]发票导入!V139&amp;""</f>
      </c>
      <c r="W139">
        <f>[1]发票导入!W139&amp;""</f>
      </c>
      <c r="Y139">
        <f>[1]发票导入!Y139&amp;""</f>
      </c>
      <c r="AA139">
        <f>[1]发票导入!AA139&amp;""</f>
      </c>
      <c r="AB139">
        <f>[1]发票导入!AB139</f>
        <v>0</v>
      </c>
      <c r="AC139">
        <f>[1]发票导入!AC139</f>
        <v>0</v>
      </c>
      <c r="AE139" s="22">
        <f t="shared" si="0"/>
      </c>
      <c r="AI139">
        <f>[1]发票导入!AI139&amp;""</f>
      </c>
      <c r="AJ139">
        <f>[1]发票导入!AJ139&amp;""</f>
      </c>
      <c r="AK139">
        <f>[1]发票导入!AK139</f>
        <v>0</v>
      </c>
      <c r="AL139">
        <f>[1]发票导入!AL139</f>
        <v>0</v>
      </c>
      <c r="AM139">
        <f>[1]发票导入!AM139</f>
        <v>0</v>
      </c>
      <c r="AN139" s="22">
        <f t="shared" si="1"/>
        <v>0</v>
      </c>
      <c r="AO139" s="22">
        <f t="shared" si="2"/>
        <v>0</v>
      </c>
    </row>
    <row r="140">
      <c r="C140">
        <f>[1]发票导入!C140&amp;""</f>
      </c>
      <c r="D140">
        <f>[1]发票导入!D140&amp;""</f>
      </c>
      <c r="O140">
        <f>[1]发票导入!O140&amp;""</f>
      </c>
      <c r="T140">
        <f>[1]发票导入!T140</f>
      </c>
      <c r="U140">
        <f>[1]发票导入!U140&amp;""</f>
      </c>
      <c r="V140">
        <f>[1]发票导入!V140&amp;""</f>
      </c>
      <c r="W140">
        <f>[1]发票导入!W140&amp;""</f>
      </c>
      <c r="Y140">
        <f>[1]发票导入!Y140&amp;""</f>
      </c>
      <c r="AA140">
        <f>[1]发票导入!AA140&amp;""</f>
      </c>
      <c r="AB140">
        <f>[1]发票导入!AB140</f>
        <v>0</v>
      </c>
      <c r="AC140">
        <f>[1]发票导入!AC140</f>
        <v>0</v>
      </c>
      <c r="AE140" s="22">
        <f t="shared" si="0"/>
      </c>
      <c r="AI140">
        <f>[1]发票导入!AI140&amp;""</f>
      </c>
      <c r="AJ140">
        <f>[1]发票导入!AJ140&amp;""</f>
      </c>
      <c r="AK140">
        <f>[1]发票导入!AK140</f>
        <v>0</v>
      </c>
      <c r="AL140">
        <f>[1]发票导入!AL140</f>
        <v>0</v>
      </c>
      <c r="AM140">
        <f>[1]发票导入!AM140</f>
        <v>0</v>
      </c>
      <c r="AN140" s="22">
        <f t="shared" si="1"/>
        <v>0</v>
      </c>
      <c r="AO140" s="22">
        <f t="shared" si="2"/>
        <v>0</v>
      </c>
    </row>
    <row r="141">
      <c r="C141">
        <f>[1]发票导入!C141&amp;""</f>
      </c>
      <c r="D141">
        <f>[1]发票导入!D141&amp;""</f>
      </c>
      <c r="O141">
        <f>[1]发票导入!O141&amp;""</f>
      </c>
      <c r="T141">
        <f>[1]发票导入!T141</f>
      </c>
      <c r="U141">
        <f>[1]发票导入!U141&amp;""</f>
      </c>
      <c r="V141">
        <f>[1]发票导入!V141&amp;""</f>
      </c>
      <c r="W141">
        <f>[1]发票导入!W141&amp;""</f>
      </c>
      <c r="Y141">
        <f>[1]发票导入!Y141&amp;""</f>
      </c>
      <c r="AA141">
        <f>[1]发票导入!AA141&amp;""</f>
      </c>
      <c r="AB141">
        <f>[1]发票导入!AB141</f>
        <v>0</v>
      </c>
      <c r="AC141">
        <f>[1]发票导入!AC141</f>
        <v>0</v>
      </c>
      <c r="AE141" s="22">
        <f t="shared" si="0"/>
      </c>
      <c r="AI141">
        <f>[1]发票导入!AI141&amp;""</f>
      </c>
      <c r="AJ141">
        <f>[1]发票导入!AJ141&amp;""</f>
      </c>
      <c r="AK141">
        <f>[1]发票导入!AK141</f>
        <v>0</v>
      </c>
      <c r="AL141">
        <f>[1]发票导入!AL141</f>
        <v>0</v>
      </c>
      <c r="AM141">
        <f>[1]发票导入!AM141</f>
        <v>0</v>
      </c>
      <c r="AN141" s="22">
        <f t="shared" si="1"/>
        <v>0</v>
      </c>
      <c r="AO141" s="22">
        <f t="shared" si="2"/>
        <v>0</v>
      </c>
    </row>
    <row r="142">
      <c r="C142">
        <f>[1]发票导入!C142&amp;""</f>
      </c>
      <c r="D142">
        <f>[1]发票导入!D142&amp;""</f>
      </c>
      <c r="O142">
        <f>[1]发票导入!O142&amp;""</f>
      </c>
      <c r="T142">
        <f>[1]发票导入!T142</f>
      </c>
      <c r="U142">
        <f>[1]发票导入!U142&amp;""</f>
      </c>
      <c r="V142">
        <f>[1]发票导入!V142&amp;""</f>
      </c>
      <c r="W142">
        <f>[1]发票导入!W142&amp;""</f>
      </c>
      <c r="Y142">
        <f>[1]发票导入!Y142&amp;""</f>
      </c>
      <c r="AA142">
        <f>[1]发票导入!AA142&amp;""</f>
      </c>
      <c r="AB142">
        <f>[1]发票导入!AB142</f>
        <v>0</v>
      </c>
      <c r="AC142">
        <f>[1]发票导入!AC142</f>
        <v>0</v>
      </c>
      <c r="AE142" s="22">
        <f t="shared" si="0"/>
      </c>
      <c r="AI142">
        <f>[1]发票导入!AI142&amp;""</f>
      </c>
      <c r="AJ142">
        <f>[1]发票导入!AJ142&amp;""</f>
      </c>
      <c r="AK142">
        <f>[1]发票导入!AK142</f>
        <v>0</v>
      </c>
      <c r="AL142">
        <f>[1]发票导入!AL142</f>
        <v>0</v>
      </c>
      <c r="AM142">
        <f>[1]发票导入!AM142</f>
        <v>0</v>
      </c>
      <c r="AN142" s="22">
        <f t="shared" si="1"/>
        <v>0</v>
      </c>
      <c r="AO142" s="22">
        <f t="shared" si="2"/>
        <v>0</v>
      </c>
    </row>
    <row r="143">
      <c r="C143">
        <f>[1]发票导入!C143&amp;""</f>
      </c>
      <c r="D143">
        <f>[1]发票导入!D143&amp;""</f>
      </c>
      <c r="O143">
        <f>[1]发票导入!O143&amp;""</f>
      </c>
      <c r="T143">
        <f>[1]发票导入!T143</f>
      </c>
      <c r="U143">
        <f>[1]发票导入!U143&amp;""</f>
      </c>
      <c r="V143">
        <f>[1]发票导入!V143&amp;""</f>
      </c>
      <c r="W143">
        <f>[1]发票导入!W143&amp;""</f>
      </c>
      <c r="Y143">
        <f>[1]发票导入!Y143&amp;""</f>
      </c>
      <c r="AA143">
        <f>[1]发票导入!AA143&amp;""</f>
      </c>
      <c r="AB143">
        <f>[1]发票导入!AB143</f>
        <v>0</v>
      </c>
      <c r="AC143">
        <f>[1]发票导入!AC143</f>
        <v>0</v>
      </c>
      <c r="AE143" s="22">
        <f t="shared" si="0"/>
      </c>
      <c r="AI143">
        <f>[1]发票导入!AI143&amp;""</f>
      </c>
      <c r="AJ143">
        <f>[1]发票导入!AJ143&amp;""</f>
      </c>
      <c r="AK143">
        <f>[1]发票导入!AK143</f>
        <v>0</v>
      </c>
      <c r="AL143">
        <f>[1]发票导入!AL143</f>
        <v>0</v>
      </c>
      <c r="AM143">
        <f>[1]发票导入!AM143</f>
        <v>0</v>
      </c>
      <c r="AN143" s="22">
        <f t="shared" si="1"/>
        <v>0</v>
      </c>
      <c r="AO143" s="22">
        <f t="shared" si="2"/>
        <v>0</v>
      </c>
    </row>
    <row r="144">
      <c r="C144">
        <f>[1]发票导入!C144&amp;""</f>
      </c>
      <c r="D144">
        <f>[1]发票导入!D144&amp;""</f>
      </c>
      <c r="O144">
        <f>[1]发票导入!O144&amp;""</f>
      </c>
      <c r="T144">
        <f>[1]发票导入!T144</f>
      </c>
      <c r="U144">
        <f>[1]发票导入!U144&amp;""</f>
      </c>
      <c r="V144">
        <f>[1]发票导入!V144&amp;""</f>
      </c>
      <c r="W144">
        <f>[1]发票导入!W144&amp;""</f>
      </c>
      <c r="Y144">
        <f>[1]发票导入!Y144&amp;""</f>
      </c>
      <c r="AA144">
        <f>[1]发票导入!AA144&amp;""</f>
      </c>
      <c r="AB144">
        <f>[1]发票导入!AB144</f>
        <v>0</v>
      </c>
      <c r="AC144">
        <f>[1]发票导入!AC144</f>
        <v>0</v>
      </c>
      <c r="AE144" s="22">
        <f t="shared" si="0"/>
      </c>
      <c r="AI144">
        <f>[1]发票导入!AI144&amp;""</f>
      </c>
      <c r="AJ144">
        <f>[1]发票导入!AJ144&amp;""</f>
      </c>
      <c r="AK144">
        <f>[1]发票导入!AK144</f>
        <v>0</v>
      </c>
      <c r="AL144">
        <f>[1]发票导入!AL144</f>
        <v>0</v>
      </c>
      <c r="AM144">
        <f>[1]发票导入!AM144</f>
        <v>0</v>
      </c>
      <c r="AN144" s="22">
        <f t="shared" si="1"/>
        <v>0</v>
      </c>
      <c r="AO144" s="22">
        <f t="shared" si="2"/>
        <v>0</v>
      </c>
    </row>
    <row r="145">
      <c r="C145">
        <f>[1]发票导入!C145&amp;""</f>
      </c>
      <c r="D145">
        <f>[1]发票导入!D145&amp;""</f>
      </c>
      <c r="O145">
        <f>[1]发票导入!O145&amp;""</f>
      </c>
      <c r="T145">
        <f>[1]发票导入!T145</f>
      </c>
      <c r="U145">
        <f>[1]发票导入!U145&amp;""</f>
      </c>
      <c r="V145">
        <f>[1]发票导入!V145&amp;""</f>
      </c>
      <c r="W145">
        <f>[1]发票导入!W145&amp;""</f>
      </c>
      <c r="Y145">
        <f>[1]发票导入!Y145&amp;""</f>
      </c>
      <c r="AA145">
        <f>[1]发票导入!AA145&amp;""</f>
      </c>
      <c r="AB145">
        <f>[1]发票导入!AB145</f>
        <v>0</v>
      </c>
      <c r="AC145">
        <f>[1]发票导入!AC145</f>
        <v>0</v>
      </c>
      <c r="AE145" s="22">
        <f t="shared" si="0"/>
      </c>
      <c r="AI145">
        <f>[1]发票导入!AI145&amp;""</f>
      </c>
      <c r="AJ145">
        <f>[1]发票导入!AJ145&amp;""</f>
      </c>
      <c r="AK145">
        <f>[1]发票导入!AK145</f>
        <v>0</v>
      </c>
      <c r="AL145">
        <f>[1]发票导入!AL145</f>
        <v>0</v>
      </c>
      <c r="AM145">
        <f>[1]发票导入!AM145</f>
        <v>0</v>
      </c>
      <c r="AN145" s="22">
        <f t="shared" si="1"/>
        <v>0</v>
      </c>
      <c r="AO145" s="22">
        <f t="shared" si="2"/>
        <v>0</v>
      </c>
    </row>
    <row r="146">
      <c r="C146">
        <f>[1]发票导入!C146&amp;""</f>
      </c>
      <c r="D146">
        <f>[1]发票导入!D146&amp;""</f>
      </c>
      <c r="O146">
        <f>[1]发票导入!O146&amp;""</f>
      </c>
      <c r="T146">
        <f>[1]发票导入!T146</f>
      </c>
      <c r="U146">
        <f>[1]发票导入!U146&amp;""</f>
      </c>
      <c r="V146">
        <f>[1]发票导入!V146&amp;""</f>
      </c>
      <c r="W146">
        <f>[1]发票导入!W146&amp;""</f>
      </c>
      <c r="Y146">
        <f>[1]发票导入!Y146&amp;""</f>
      </c>
      <c r="AA146">
        <f>[1]发票导入!AA146&amp;""</f>
      </c>
      <c r="AB146">
        <f>[1]发票导入!AB146</f>
        <v>0</v>
      </c>
      <c r="AC146">
        <f>[1]发票导入!AC146</f>
        <v>0</v>
      </c>
      <c r="AE146" s="22">
        <f t="shared" si="0"/>
      </c>
      <c r="AI146">
        <f>[1]发票导入!AI146&amp;""</f>
      </c>
      <c r="AJ146">
        <f>[1]发票导入!AJ146&amp;""</f>
      </c>
      <c r="AK146">
        <f>[1]发票导入!AK146</f>
        <v>0</v>
      </c>
      <c r="AL146">
        <f>[1]发票导入!AL146</f>
        <v>0</v>
      </c>
      <c r="AM146">
        <f>[1]发票导入!AM146</f>
        <v>0</v>
      </c>
      <c r="AN146" s="22">
        <f t="shared" si="1"/>
        <v>0</v>
      </c>
      <c r="AO146" s="22">
        <f t="shared" si="2"/>
        <v>0</v>
      </c>
    </row>
    <row r="147">
      <c r="C147">
        <f>[1]发票导入!C147&amp;""</f>
      </c>
      <c r="D147">
        <f>[1]发票导入!D147&amp;""</f>
      </c>
      <c r="O147">
        <f>[1]发票导入!O147&amp;""</f>
      </c>
      <c r="T147">
        <f>[1]发票导入!T147</f>
      </c>
      <c r="U147">
        <f>[1]发票导入!U147&amp;""</f>
      </c>
      <c r="V147">
        <f>[1]发票导入!V147&amp;""</f>
      </c>
      <c r="W147">
        <f>[1]发票导入!W147&amp;""</f>
      </c>
      <c r="Y147">
        <f>[1]发票导入!Y147&amp;""</f>
      </c>
      <c r="AA147">
        <f>[1]发票导入!AA147&amp;""</f>
      </c>
      <c r="AB147">
        <f>[1]发票导入!AB147</f>
        <v>0</v>
      </c>
      <c r="AC147">
        <f>[1]发票导入!AC147</f>
        <v>0</v>
      </c>
      <c r="AE147" s="22">
        <f t="shared" si="0"/>
      </c>
      <c r="AI147">
        <f>[1]发票导入!AI147&amp;""</f>
      </c>
      <c r="AJ147">
        <f>[1]发票导入!AJ147&amp;""</f>
      </c>
      <c r="AK147">
        <f>[1]发票导入!AK147</f>
        <v>0</v>
      </c>
      <c r="AL147">
        <f>[1]发票导入!AL147</f>
        <v>0</v>
      </c>
      <c r="AM147">
        <f>[1]发票导入!AM147</f>
        <v>0</v>
      </c>
      <c r="AN147" s="22">
        <f t="shared" si="1"/>
        <v>0</v>
      </c>
      <c r="AO147" s="22">
        <f t="shared" si="2"/>
        <v>0</v>
      </c>
    </row>
    <row r="148">
      <c r="C148">
        <f>[1]发票导入!C148&amp;""</f>
      </c>
      <c r="D148">
        <f>[1]发票导入!D148&amp;""</f>
      </c>
      <c r="O148">
        <f>[1]发票导入!O148&amp;""</f>
      </c>
      <c r="T148">
        <f>[1]发票导入!T148</f>
      </c>
      <c r="U148">
        <f>[1]发票导入!U148&amp;""</f>
      </c>
      <c r="V148">
        <f>[1]发票导入!V148&amp;""</f>
      </c>
      <c r="W148">
        <f>[1]发票导入!W148&amp;""</f>
      </c>
      <c r="Y148">
        <f>[1]发票导入!Y148&amp;""</f>
      </c>
      <c r="AA148">
        <f>[1]发票导入!AA148&amp;""</f>
      </c>
      <c r="AB148">
        <f>[1]发票导入!AB148</f>
        <v>0</v>
      </c>
      <c r="AC148">
        <f>[1]发票导入!AC148</f>
        <v>0</v>
      </c>
      <c r="AE148" s="22">
        <f t="shared" si="0"/>
      </c>
      <c r="AI148">
        <f>[1]发票导入!AI148&amp;""</f>
      </c>
      <c r="AJ148">
        <f>[1]发票导入!AJ148&amp;""</f>
      </c>
      <c r="AK148">
        <f>[1]发票导入!AK148</f>
        <v>0</v>
      </c>
      <c r="AL148">
        <f>[1]发票导入!AL148</f>
        <v>0</v>
      </c>
      <c r="AM148">
        <f>[1]发票导入!AM148</f>
        <v>0</v>
      </c>
      <c r="AN148" s="22">
        <f t="shared" si="1"/>
        <v>0</v>
      </c>
      <c r="AO148" s="22">
        <f t="shared" si="2"/>
        <v>0</v>
      </c>
    </row>
    <row r="149">
      <c r="C149">
        <f>[1]发票导入!C149&amp;""</f>
      </c>
      <c r="D149">
        <f>[1]发票导入!D149&amp;""</f>
      </c>
      <c r="O149">
        <f>[1]发票导入!O149&amp;""</f>
      </c>
      <c r="T149">
        <f>[1]发票导入!T149</f>
      </c>
      <c r="U149">
        <f>[1]发票导入!U149&amp;""</f>
      </c>
      <c r="V149">
        <f>[1]发票导入!V149&amp;""</f>
      </c>
      <c r="W149">
        <f>[1]发票导入!W149&amp;""</f>
      </c>
      <c r="Y149">
        <f>[1]发票导入!Y149&amp;""</f>
      </c>
      <c r="AA149">
        <f>[1]发票导入!AA149&amp;""</f>
      </c>
      <c r="AB149">
        <f>[1]发票导入!AB149</f>
        <v>0</v>
      </c>
      <c r="AC149">
        <f>[1]发票导入!AC149</f>
        <v>0</v>
      </c>
      <c r="AE149" s="22">
        <f t="shared" si="0"/>
      </c>
      <c r="AI149">
        <f>[1]发票导入!AI149&amp;""</f>
      </c>
      <c r="AJ149">
        <f>[1]发票导入!AJ149&amp;""</f>
      </c>
      <c r="AK149">
        <f>[1]发票导入!AK149</f>
        <v>0</v>
      </c>
      <c r="AL149">
        <f>[1]发票导入!AL149</f>
        <v>0</v>
      </c>
      <c r="AM149">
        <f>[1]发票导入!AM149</f>
        <v>0</v>
      </c>
      <c r="AN149" s="22">
        <f t="shared" si="1"/>
        <v>0</v>
      </c>
      <c r="AO149" s="22">
        <f t="shared" si="2"/>
        <v>0</v>
      </c>
    </row>
    <row r="150">
      <c r="C150">
        <f>[1]发票导入!C150&amp;""</f>
      </c>
      <c r="D150">
        <f>[1]发票导入!D150&amp;""</f>
      </c>
      <c r="O150">
        <f>[1]发票导入!O150&amp;""</f>
      </c>
      <c r="T150">
        <f>[1]发票导入!T150</f>
      </c>
      <c r="U150">
        <f>[1]发票导入!U150&amp;""</f>
      </c>
      <c r="V150">
        <f>[1]发票导入!V150&amp;""</f>
      </c>
      <c r="W150">
        <f>[1]发票导入!W150&amp;""</f>
      </c>
      <c r="Y150">
        <f>[1]发票导入!Y150&amp;""</f>
      </c>
      <c r="AA150">
        <f>[1]发票导入!AA150&amp;""</f>
      </c>
      <c r="AB150">
        <f>[1]发票导入!AB150</f>
        <v>0</v>
      </c>
      <c r="AC150">
        <f>[1]发票导入!AC150</f>
        <v>0</v>
      </c>
      <c r="AE150" s="22">
        <f t="shared" si="0"/>
      </c>
      <c r="AI150">
        <f>[1]发票导入!AI150&amp;""</f>
      </c>
      <c r="AJ150">
        <f>[1]发票导入!AJ150&amp;""</f>
      </c>
      <c r="AK150">
        <f>[1]发票导入!AK150</f>
        <v>0</v>
      </c>
      <c r="AL150">
        <f>[1]发票导入!AL150</f>
        <v>0</v>
      </c>
      <c r="AM150">
        <f>[1]发票导入!AM150</f>
        <v>0</v>
      </c>
      <c r="AN150" s="22">
        <f t="shared" si="1"/>
        <v>0</v>
      </c>
      <c r="AO150" s="22">
        <f t="shared" si="2"/>
        <v>0</v>
      </c>
    </row>
    <row r="151">
      <c r="C151">
        <f>[1]发票导入!C151&amp;""</f>
      </c>
      <c r="D151">
        <f>[1]发票导入!D151&amp;""</f>
      </c>
      <c r="O151">
        <f>[1]发票导入!O151&amp;""</f>
      </c>
      <c r="T151">
        <f>[1]发票导入!T151</f>
      </c>
      <c r="U151">
        <f>[1]发票导入!U151&amp;""</f>
      </c>
      <c r="V151">
        <f>[1]发票导入!V151&amp;""</f>
      </c>
      <c r="W151">
        <f>[1]发票导入!W151&amp;""</f>
      </c>
      <c r="Y151">
        <f>[1]发票导入!Y151&amp;""</f>
      </c>
      <c r="AA151">
        <f>[1]发票导入!AA151&amp;""</f>
      </c>
      <c r="AB151">
        <f>[1]发票导入!AB151</f>
        <v>0</v>
      </c>
      <c r="AC151">
        <f>[1]发票导入!AC151</f>
        <v>0</v>
      </c>
      <c r="AE151" s="22">
        <f t="shared" si="0"/>
      </c>
      <c r="AI151">
        <f>[1]发票导入!AI151&amp;""</f>
      </c>
      <c r="AJ151">
        <f>[1]发票导入!AJ151&amp;""</f>
      </c>
      <c r="AK151">
        <f>[1]发票导入!AK151</f>
        <v>0</v>
      </c>
      <c r="AL151">
        <f>[1]发票导入!AL151</f>
        <v>0</v>
      </c>
      <c r="AM151">
        <f>[1]发票导入!AM151</f>
        <v>0</v>
      </c>
      <c r="AN151" s="22">
        <f t="shared" si="1"/>
        <v>0</v>
      </c>
      <c r="AO151" s="22">
        <f t="shared" si="2"/>
        <v>0</v>
      </c>
    </row>
    <row r="152">
      <c r="C152">
        <f>[1]发票导入!C152&amp;""</f>
      </c>
      <c r="D152">
        <f>[1]发票导入!D152&amp;""</f>
      </c>
      <c r="O152">
        <f>[1]发票导入!O152&amp;""</f>
      </c>
      <c r="T152">
        <f>[1]发票导入!T152</f>
      </c>
      <c r="U152">
        <f>[1]发票导入!U152&amp;""</f>
      </c>
      <c r="V152">
        <f>[1]发票导入!V152&amp;""</f>
      </c>
      <c r="W152">
        <f>[1]发票导入!W152&amp;""</f>
      </c>
      <c r="Y152">
        <f>[1]发票导入!Y152&amp;""</f>
      </c>
      <c r="AA152">
        <f>[1]发票导入!AA152&amp;""</f>
      </c>
      <c r="AB152">
        <f>[1]发票导入!AB152</f>
        <v>0</v>
      </c>
      <c r="AC152">
        <f>[1]发票导入!AC152</f>
        <v>0</v>
      </c>
      <c r="AE152" s="22">
        <f t="shared" si="0"/>
      </c>
      <c r="AI152">
        <f>[1]发票导入!AI152&amp;""</f>
      </c>
      <c r="AJ152">
        <f>[1]发票导入!AJ152&amp;""</f>
      </c>
      <c r="AK152">
        <f>[1]发票导入!AK152</f>
        <v>0</v>
      </c>
      <c r="AL152">
        <f>[1]发票导入!AL152</f>
        <v>0</v>
      </c>
      <c r="AM152">
        <f>[1]发票导入!AM152</f>
        <v>0</v>
      </c>
      <c r="AN152" s="22">
        <f t="shared" si="1"/>
        <v>0</v>
      </c>
      <c r="AO152" s="22">
        <f t="shared" si="2"/>
        <v>0</v>
      </c>
    </row>
    <row r="153">
      <c r="C153">
        <f>[1]发票导入!C153&amp;""</f>
      </c>
      <c r="D153">
        <f>[1]发票导入!D153&amp;""</f>
      </c>
      <c r="O153">
        <f>[1]发票导入!O153&amp;""</f>
      </c>
      <c r="T153">
        <f>[1]发票导入!T153</f>
      </c>
      <c r="U153">
        <f>[1]发票导入!U153&amp;""</f>
      </c>
      <c r="V153">
        <f>[1]发票导入!V153&amp;""</f>
      </c>
      <c r="W153">
        <f>[1]发票导入!W153&amp;""</f>
      </c>
      <c r="Y153">
        <f>[1]发票导入!Y153&amp;""</f>
      </c>
      <c r="AA153">
        <f>[1]发票导入!AA153&amp;""</f>
      </c>
      <c r="AB153">
        <f>[1]发票导入!AB153</f>
        <v>0</v>
      </c>
      <c r="AC153">
        <f>[1]发票导入!AC153</f>
        <v>0</v>
      </c>
      <c r="AE153" s="22">
        <f t="shared" si="0"/>
      </c>
      <c r="AI153">
        <f>[1]发票导入!AI153&amp;""</f>
      </c>
      <c r="AJ153">
        <f>[1]发票导入!AJ153&amp;""</f>
      </c>
      <c r="AK153">
        <f>[1]发票导入!AK153</f>
        <v>0</v>
      </c>
      <c r="AL153">
        <f>[1]发票导入!AL153</f>
        <v>0</v>
      </c>
      <c r="AM153">
        <f>[1]发票导入!AM153</f>
        <v>0</v>
      </c>
      <c r="AN153" s="22">
        <f t="shared" si="1"/>
        <v>0</v>
      </c>
      <c r="AO153" s="22">
        <f t="shared" si="2"/>
        <v>0</v>
      </c>
    </row>
    <row r="154">
      <c r="C154">
        <f>[1]发票导入!C154&amp;""</f>
      </c>
      <c r="D154">
        <f>[1]发票导入!D154&amp;""</f>
      </c>
      <c r="O154">
        <f>[1]发票导入!O154&amp;""</f>
      </c>
      <c r="T154">
        <f>[1]发票导入!T154</f>
      </c>
      <c r="U154">
        <f>[1]发票导入!U154&amp;""</f>
      </c>
      <c r="V154">
        <f>[1]发票导入!V154&amp;""</f>
      </c>
      <c r="W154">
        <f>[1]发票导入!W154&amp;""</f>
      </c>
      <c r="Y154">
        <f>[1]发票导入!Y154&amp;""</f>
      </c>
      <c r="AA154">
        <f>[1]发票导入!AA154&amp;""</f>
      </c>
      <c r="AB154">
        <f>[1]发票导入!AB154</f>
        <v>0</v>
      </c>
      <c r="AC154">
        <f>[1]发票导入!AC154</f>
        <v>0</v>
      </c>
      <c r="AE154" s="22">
        <f t="shared" si="0"/>
      </c>
      <c r="AI154">
        <f>[1]发票导入!AI154&amp;""</f>
      </c>
      <c r="AJ154">
        <f>[1]发票导入!AJ154&amp;""</f>
      </c>
      <c r="AK154">
        <f>[1]发票导入!AK154</f>
        <v>0</v>
      </c>
      <c r="AL154">
        <f>[1]发票导入!AL154</f>
        <v>0</v>
      </c>
      <c r="AM154">
        <f>[1]发票导入!AM154</f>
        <v>0</v>
      </c>
      <c r="AN154" s="22">
        <f t="shared" si="1"/>
        <v>0</v>
      </c>
      <c r="AO154" s="22">
        <f t="shared" si="2"/>
        <v>0</v>
      </c>
    </row>
    <row r="155">
      <c r="C155">
        <f>[1]发票导入!C155&amp;""</f>
      </c>
      <c r="D155">
        <f>[1]发票导入!D155&amp;""</f>
      </c>
      <c r="O155">
        <f>[1]发票导入!O155&amp;""</f>
      </c>
      <c r="T155">
        <f>[1]发票导入!T155</f>
      </c>
      <c r="U155">
        <f>[1]发票导入!U155&amp;""</f>
      </c>
      <c r="V155">
        <f>[1]发票导入!V155&amp;""</f>
      </c>
      <c r="W155">
        <f>[1]发票导入!W155&amp;""</f>
      </c>
      <c r="Y155">
        <f>[1]发票导入!Y155&amp;""</f>
      </c>
      <c r="AA155">
        <f>[1]发票导入!AA155&amp;""</f>
      </c>
      <c r="AB155">
        <f>[1]发票导入!AB155</f>
        <v>0</v>
      </c>
      <c r="AC155">
        <f>[1]发票导入!AC155</f>
        <v>0</v>
      </c>
      <c r="AE155" s="22">
        <f t="shared" si="0"/>
      </c>
      <c r="AI155">
        <f>[1]发票导入!AI155&amp;""</f>
      </c>
      <c r="AJ155">
        <f>[1]发票导入!AJ155&amp;""</f>
      </c>
      <c r="AK155">
        <f>[1]发票导入!AK155</f>
        <v>0</v>
      </c>
      <c r="AL155">
        <f>[1]发票导入!AL155</f>
        <v>0</v>
      </c>
      <c r="AM155">
        <f>[1]发票导入!AM155</f>
        <v>0</v>
      </c>
      <c r="AN155" s="22">
        <f t="shared" si="1"/>
        <v>0</v>
      </c>
      <c r="AO155" s="22">
        <f t="shared" si="2"/>
        <v>0</v>
      </c>
    </row>
    <row r="156">
      <c r="C156">
        <f>[1]发票导入!C156&amp;""</f>
      </c>
      <c r="D156">
        <f>[1]发票导入!D156&amp;""</f>
      </c>
      <c r="O156">
        <f>[1]发票导入!O156&amp;""</f>
      </c>
      <c r="T156">
        <f>[1]发票导入!T156</f>
      </c>
      <c r="U156">
        <f>[1]发票导入!U156&amp;""</f>
      </c>
      <c r="V156">
        <f>[1]发票导入!V156&amp;""</f>
      </c>
      <c r="W156">
        <f>[1]发票导入!W156&amp;""</f>
      </c>
      <c r="Y156">
        <f>[1]发票导入!Y156&amp;""</f>
      </c>
      <c r="AA156">
        <f>[1]发票导入!AA156&amp;""</f>
      </c>
      <c r="AB156">
        <f>[1]发票导入!AB156</f>
        <v>0</v>
      </c>
      <c r="AC156">
        <f>[1]发票导入!AC156</f>
        <v>0</v>
      </c>
      <c r="AE156" s="22">
        <f t="shared" si="0"/>
      </c>
      <c r="AI156">
        <f>[1]发票导入!AI156&amp;""</f>
      </c>
      <c r="AJ156">
        <f>[1]发票导入!AJ156&amp;""</f>
      </c>
      <c r="AK156">
        <f>[1]发票导入!AK156</f>
        <v>0</v>
      </c>
      <c r="AL156">
        <f>[1]发票导入!AL156</f>
        <v>0</v>
      </c>
      <c r="AM156">
        <f>[1]发票导入!AM156</f>
        <v>0</v>
      </c>
      <c r="AN156" s="22">
        <f t="shared" si="1"/>
        <v>0</v>
      </c>
      <c r="AO156" s="22">
        <f t="shared" si="2"/>
        <v>0</v>
      </c>
    </row>
    <row r="157">
      <c r="C157">
        <f>[1]发票导入!C157&amp;""</f>
      </c>
      <c r="D157">
        <f>[1]发票导入!D157&amp;""</f>
      </c>
      <c r="O157">
        <f>[1]发票导入!O157&amp;""</f>
      </c>
      <c r="T157">
        <f>[1]发票导入!T157</f>
      </c>
      <c r="U157">
        <f>[1]发票导入!U157&amp;""</f>
      </c>
      <c r="V157">
        <f>[1]发票导入!V157&amp;""</f>
      </c>
      <c r="W157">
        <f>[1]发票导入!W157&amp;""</f>
      </c>
      <c r="Y157">
        <f>[1]发票导入!Y157&amp;""</f>
      </c>
      <c r="AA157">
        <f>[1]发票导入!AA157&amp;""</f>
      </c>
      <c r="AB157">
        <f>[1]发票导入!AB157</f>
        <v>0</v>
      </c>
      <c r="AC157">
        <f>[1]发票导入!AC157</f>
        <v>0</v>
      </c>
      <c r="AE157" s="22">
        <f t="shared" si="0"/>
      </c>
      <c r="AI157">
        <f>[1]发票导入!AI157&amp;""</f>
      </c>
      <c r="AJ157">
        <f>[1]发票导入!AJ157&amp;""</f>
      </c>
      <c r="AK157">
        <f>[1]发票导入!AK157</f>
        <v>0</v>
      </c>
      <c r="AL157">
        <f>[1]发票导入!AL157</f>
        <v>0</v>
      </c>
      <c r="AM157">
        <f>[1]发票导入!AM157</f>
        <v>0</v>
      </c>
      <c r="AN157" s="22">
        <f t="shared" si="1"/>
        <v>0</v>
      </c>
      <c r="AO157" s="22">
        <f t="shared" si="2"/>
        <v>0</v>
      </c>
    </row>
    <row r="158">
      <c r="C158">
        <f>[1]发票导入!C158&amp;""</f>
      </c>
      <c r="D158">
        <f>[1]发票导入!D158&amp;""</f>
      </c>
      <c r="O158">
        <f>[1]发票导入!O158&amp;""</f>
      </c>
      <c r="T158">
        <f>[1]发票导入!T158</f>
      </c>
      <c r="U158">
        <f>[1]发票导入!U158&amp;""</f>
      </c>
      <c r="V158">
        <f>[1]发票导入!V158&amp;""</f>
      </c>
      <c r="W158">
        <f>[1]发票导入!W158&amp;""</f>
      </c>
      <c r="Y158">
        <f>[1]发票导入!Y158&amp;""</f>
      </c>
      <c r="AA158">
        <f>[1]发票导入!AA158&amp;""</f>
      </c>
      <c r="AB158">
        <f>[1]发票导入!AB158</f>
        <v>0</v>
      </c>
      <c r="AC158">
        <f>[1]发票导入!AC158</f>
        <v>0</v>
      </c>
      <c r="AE158" s="22">
        <f t="shared" si="0"/>
      </c>
      <c r="AI158">
        <f>[1]发票导入!AI158&amp;""</f>
      </c>
      <c r="AJ158">
        <f>[1]发票导入!AJ158&amp;""</f>
      </c>
      <c r="AK158">
        <f>[1]发票导入!AK158</f>
        <v>0</v>
      </c>
      <c r="AL158">
        <f>[1]发票导入!AL158</f>
        <v>0</v>
      </c>
      <c r="AM158">
        <f>[1]发票导入!AM158</f>
        <v>0</v>
      </c>
      <c r="AN158" s="22">
        <f t="shared" si="1"/>
        <v>0</v>
      </c>
      <c r="AO158" s="22">
        <f t="shared" si="2"/>
        <v>0</v>
      </c>
    </row>
    <row r="159">
      <c r="C159">
        <f>[1]发票导入!C159&amp;""</f>
      </c>
      <c r="D159">
        <f>[1]发票导入!D159&amp;""</f>
      </c>
      <c r="O159">
        <f>[1]发票导入!O159&amp;""</f>
      </c>
      <c r="T159">
        <f>[1]发票导入!T159</f>
      </c>
      <c r="U159">
        <f>[1]发票导入!U159&amp;""</f>
      </c>
      <c r="V159">
        <f>[1]发票导入!V159&amp;""</f>
      </c>
      <c r="W159">
        <f>[1]发票导入!W159&amp;""</f>
      </c>
      <c r="Y159">
        <f>[1]发票导入!Y159&amp;""</f>
      </c>
      <c r="AA159">
        <f>[1]发票导入!AA159&amp;""</f>
      </c>
      <c r="AB159">
        <f>[1]发票导入!AB159</f>
        <v>0</v>
      </c>
      <c r="AC159">
        <f>[1]发票导入!AC159</f>
        <v>0</v>
      </c>
      <c r="AE159" s="22">
        <f t="shared" si="0"/>
      </c>
      <c r="AI159">
        <f>[1]发票导入!AI159&amp;""</f>
      </c>
      <c r="AJ159">
        <f>[1]发票导入!AJ159&amp;""</f>
      </c>
      <c r="AK159">
        <f>[1]发票导入!AK159</f>
        <v>0</v>
      </c>
      <c r="AL159">
        <f>[1]发票导入!AL159</f>
        <v>0</v>
      </c>
      <c r="AM159">
        <f>[1]发票导入!AM159</f>
        <v>0</v>
      </c>
      <c r="AN159" s="22">
        <f t="shared" si="1"/>
        <v>0</v>
      </c>
      <c r="AO159" s="22">
        <f t="shared" si="2"/>
        <v>0</v>
      </c>
    </row>
    <row r="160">
      <c r="C160">
        <f>[1]发票导入!C160&amp;""</f>
      </c>
      <c r="D160">
        <f>[1]发票导入!D160&amp;""</f>
      </c>
      <c r="O160">
        <f>[1]发票导入!O160&amp;""</f>
      </c>
      <c r="T160">
        <f>[1]发票导入!T160</f>
      </c>
      <c r="U160">
        <f>[1]发票导入!U160&amp;""</f>
      </c>
      <c r="V160">
        <f>[1]发票导入!V160&amp;""</f>
      </c>
      <c r="W160">
        <f>[1]发票导入!W160&amp;""</f>
      </c>
      <c r="Y160">
        <f>[1]发票导入!Y160&amp;""</f>
      </c>
      <c r="AA160">
        <f>[1]发票导入!AA160&amp;""</f>
      </c>
      <c r="AB160">
        <f>[1]发票导入!AB160</f>
        <v>0</v>
      </c>
      <c r="AC160">
        <f>[1]发票导入!AC160</f>
        <v>0</v>
      </c>
      <c r="AE160" s="22">
        <f t="shared" si="0"/>
      </c>
      <c r="AI160">
        <f>[1]发票导入!AI160&amp;""</f>
      </c>
      <c r="AJ160">
        <f>[1]发票导入!AJ160&amp;""</f>
      </c>
      <c r="AK160">
        <f>[1]发票导入!AK160</f>
        <v>0</v>
      </c>
      <c r="AL160">
        <f>[1]发票导入!AL160</f>
        <v>0</v>
      </c>
      <c r="AM160">
        <f>[1]发票导入!AM160</f>
        <v>0</v>
      </c>
      <c r="AN160" s="22">
        <f t="shared" si="1"/>
        <v>0</v>
      </c>
      <c r="AO160" s="22">
        <f t="shared" si="2"/>
        <v>0</v>
      </c>
    </row>
    <row r="161">
      <c r="C161">
        <f>[1]发票导入!C161&amp;""</f>
      </c>
      <c r="D161">
        <f>[1]发票导入!D161&amp;""</f>
      </c>
      <c r="O161">
        <f>[1]发票导入!O161&amp;""</f>
      </c>
      <c r="T161">
        <f>[1]发票导入!T161</f>
      </c>
      <c r="U161">
        <f>[1]发票导入!U161&amp;""</f>
      </c>
      <c r="V161">
        <f>[1]发票导入!V161&amp;""</f>
      </c>
      <c r="W161">
        <f>[1]发票导入!W161&amp;""</f>
      </c>
      <c r="Y161">
        <f>[1]发票导入!Y161&amp;""</f>
      </c>
      <c r="AA161">
        <f>[1]发票导入!AA161&amp;""</f>
      </c>
      <c r="AB161">
        <f>[1]发票导入!AB161</f>
        <v>0</v>
      </c>
      <c r="AC161">
        <f>[1]发票导入!AC161</f>
        <v>0</v>
      </c>
      <c r="AE161" s="22">
        <f t="shared" si="0"/>
      </c>
      <c r="AI161">
        <f>[1]发票导入!AI161&amp;""</f>
      </c>
      <c r="AJ161">
        <f>[1]发票导入!AJ161&amp;""</f>
      </c>
      <c r="AK161">
        <f>[1]发票导入!AK161</f>
        <v>0</v>
      </c>
      <c r="AL161">
        <f>[1]发票导入!AL161</f>
        <v>0</v>
      </c>
      <c r="AM161">
        <f>[1]发票导入!AM161</f>
        <v>0</v>
      </c>
      <c r="AN161" s="22">
        <f t="shared" si="1"/>
        <v>0</v>
      </c>
      <c r="AO161" s="22">
        <f t="shared" si="2"/>
        <v>0</v>
      </c>
    </row>
    <row r="162">
      <c r="C162">
        <f>[1]发票导入!C162&amp;""</f>
      </c>
      <c r="D162">
        <f>[1]发票导入!D162&amp;""</f>
      </c>
      <c r="O162">
        <f>[1]发票导入!O162&amp;""</f>
      </c>
      <c r="T162">
        <f>[1]发票导入!T162</f>
      </c>
      <c r="U162">
        <f>[1]发票导入!U162&amp;""</f>
      </c>
      <c r="V162">
        <f>[1]发票导入!V162&amp;""</f>
      </c>
      <c r="W162">
        <f>[1]发票导入!W162&amp;""</f>
      </c>
      <c r="Y162">
        <f>[1]发票导入!Y162&amp;""</f>
      </c>
      <c r="AA162">
        <f>[1]发票导入!AA162&amp;""</f>
      </c>
      <c r="AB162">
        <f>[1]发票导入!AB162</f>
        <v>0</v>
      </c>
      <c r="AC162">
        <f>[1]发票导入!AC162</f>
        <v>0</v>
      </c>
      <c r="AE162" s="22">
        <f t="shared" si="0"/>
      </c>
      <c r="AI162">
        <f>[1]发票导入!AI162&amp;""</f>
      </c>
      <c r="AJ162">
        <f>[1]发票导入!AJ162&amp;""</f>
      </c>
      <c r="AK162">
        <f>[1]发票导入!AK162</f>
        <v>0</v>
      </c>
      <c r="AL162">
        <f>[1]发票导入!AL162</f>
        <v>0</v>
      </c>
      <c r="AM162">
        <f>[1]发票导入!AM162</f>
        <v>0</v>
      </c>
      <c r="AN162" s="22">
        <f t="shared" si="1"/>
        <v>0</v>
      </c>
      <c r="AO162" s="22">
        <f t="shared" si="2"/>
        <v>0</v>
      </c>
    </row>
    <row r="163">
      <c r="C163">
        <f>[1]发票导入!C163&amp;""</f>
      </c>
      <c r="D163">
        <f>[1]发票导入!D163&amp;""</f>
      </c>
      <c r="O163">
        <f>[1]发票导入!O163&amp;""</f>
      </c>
      <c r="T163">
        <f>[1]发票导入!T163</f>
      </c>
      <c r="U163">
        <f>[1]发票导入!U163&amp;""</f>
      </c>
      <c r="V163">
        <f>[1]发票导入!V163&amp;""</f>
      </c>
      <c r="W163">
        <f>[1]发票导入!W163&amp;""</f>
      </c>
      <c r="Y163">
        <f>[1]发票导入!Y163&amp;""</f>
      </c>
      <c r="AA163">
        <f>[1]发票导入!AA163&amp;""</f>
      </c>
      <c r="AB163">
        <f>[1]发票导入!AB163</f>
        <v>0</v>
      </c>
      <c r="AC163">
        <f>[1]发票导入!AC163</f>
        <v>0</v>
      </c>
      <c r="AE163" s="22">
        <f t="shared" si="0"/>
      </c>
      <c r="AI163">
        <f>[1]发票导入!AI163&amp;""</f>
      </c>
      <c r="AJ163">
        <f>[1]发票导入!AJ163&amp;""</f>
      </c>
      <c r="AK163">
        <f>[1]发票导入!AK163</f>
        <v>0</v>
      </c>
      <c r="AL163">
        <f>[1]发票导入!AL163</f>
        <v>0</v>
      </c>
      <c r="AM163">
        <f>[1]发票导入!AM163</f>
        <v>0</v>
      </c>
      <c r="AN163" s="22">
        <f t="shared" si="1"/>
        <v>0</v>
      </c>
      <c r="AO163" s="22">
        <f t="shared" si="2"/>
        <v>0</v>
      </c>
    </row>
    <row r="164">
      <c r="C164">
        <f>[1]发票导入!C164&amp;""</f>
      </c>
      <c r="D164">
        <f>[1]发票导入!D164&amp;""</f>
      </c>
      <c r="O164">
        <f>[1]发票导入!O164&amp;""</f>
      </c>
      <c r="T164">
        <f>[1]发票导入!T164</f>
      </c>
      <c r="U164">
        <f>[1]发票导入!U164&amp;""</f>
      </c>
      <c r="V164">
        <f>[1]发票导入!V164&amp;""</f>
      </c>
      <c r="W164">
        <f>[1]发票导入!W164&amp;""</f>
      </c>
      <c r="Y164">
        <f>[1]发票导入!Y164&amp;""</f>
      </c>
      <c r="AA164">
        <f>[1]发票导入!AA164&amp;""</f>
      </c>
      <c r="AB164">
        <f>[1]发票导入!AB164</f>
        <v>0</v>
      </c>
      <c r="AC164">
        <f>[1]发票导入!AC164</f>
        <v>0</v>
      </c>
      <c r="AE164" s="22">
        <f t="shared" si="0"/>
      </c>
      <c r="AI164">
        <f>[1]发票导入!AI164&amp;""</f>
      </c>
      <c r="AJ164">
        <f>[1]发票导入!AJ164&amp;""</f>
      </c>
      <c r="AK164">
        <f>[1]发票导入!AK164</f>
        <v>0</v>
      </c>
      <c r="AL164">
        <f>[1]发票导入!AL164</f>
        <v>0</v>
      </c>
      <c r="AM164">
        <f>[1]发票导入!AM164</f>
        <v>0</v>
      </c>
      <c r="AN164" s="22">
        <f t="shared" si="1"/>
        <v>0</v>
      </c>
      <c r="AO164" s="22">
        <f t="shared" si="2"/>
        <v>0</v>
      </c>
    </row>
    <row r="165">
      <c r="C165">
        <f>[1]发票导入!C165&amp;""</f>
      </c>
      <c r="D165">
        <f>[1]发票导入!D165&amp;""</f>
      </c>
      <c r="O165">
        <f>[1]发票导入!O165&amp;""</f>
      </c>
      <c r="T165">
        <f>[1]发票导入!T165</f>
      </c>
      <c r="U165">
        <f>[1]发票导入!U165&amp;""</f>
      </c>
      <c r="V165">
        <f>[1]发票导入!V165&amp;""</f>
      </c>
      <c r="W165">
        <f>[1]发票导入!W165&amp;""</f>
      </c>
      <c r="Y165">
        <f>[1]发票导入!Y165&amp;""</f>
      </c>
      <c r="AA165">
        <f>[1]发票导入!AA165&amp;""</f>
      </c>
      <c r="AB165">
        <f>[1]发票导入!AB165</f>
        <v>0</v>
      </c>
      <c r="AC165">
        <f>[1]发票导入!AC165</f>
        <v>0</v>
      </c>
      <c r="AE165" s="22">
        <f t="shared" si="0"/>
      </c>
      <c r="AI165">
        <f>[1]发票导入!AI165&amp;""</f>
      </c>
      <c r="AJ165">
        <f>[1]发票导入!AJ165&amp;""</f>
      </c>
      <c r="AK165">
        <f>[1]发票导入!AK165</f>
        <v>0</v>
      </c>
      <c r="AL165">
        <f>[1]发票导入!AL165</f>
        <v>0</v>
      </c>
      <c r="AM165">
        <f>[1]发票导入!AM165</f>
        <v>0</v>
      </c>
      <c r="AN165" s="22">
        <f t="shared" si="1"/>
        <v>0</v>
      </c>
      <c r="AO165" s="22">
        <f t="shared" si="2"/>
        <v>0</v>
      </c>
    </row>
    <row r="166">
      <c r="C166">
        <f>[1]发票导入!C166&amp;""</f>
      </c>
      <c r="D166">
        <f>[1]发票导入!D166&amp;""</f>
      </c>
      <c r="O166">
        <f>[1]发票导入!O166&amp;""</f>
      </c>
      <c r="T166">
        <f>[1]发票导入!T166</f>
      </c>
      <c r="U166">
        <f>[1]发票导入!U166&amp;""</f>
      </c>
      <c r="V166">
        <f>[1]发票导入!V166&amp;""</f>
      </c>
      <c r="W166">
        <f>[1]发票导入!W166&amp;""</f>
      </c>
      <c r="Y166">
        <f>[1]发票导入!Y166&amp;""</f>
      </c>
      <c r="AA166">
        <f>[1]发票导入!AA166&amp;""</f>
      </c>
      <c r="AB166">
        <f>[1]发票导入!AB166</f>
        <v>0</v>
      </c>
      <c r="AC166">
        <f>[1]发票导入!AC166</f>
        <v>0</v>
      </c>
      <c r="AE166" s="22">
        <f t="shared" si="0"/>
      </c>
      <c r="AI166">
        <f>[1]发票导入!AI166&amp;""</f>
      </c>
      <c r="AJ166">
        <f>[1]发票导入!AJ166&amp;""</f>
      </c>
      <c r="AK166">
        <f>[1]发票导入!AK166</f>
        <v>0</v>
      </c>
      <c r="AL166">
        <f>[1]发票导入!AL166</f>
        <v>0</v>
      </c>
      <c r="AM166">
        <f>[1]发票导入!AM166</f>
        <v>0</v>
      </c>
      <c r="AN166" s="22">
        <f t="shared" si="1"/>
        <v>0</v>
      </c>
      <c r="AO166" s="22">
        <f t="shared" si="2"/>
        <v>0</v>
      </c>
    </row>
    <row r="167">
      <c r="C167">
        <f>[1]发票导入!C167&amp;""</f>
      </c>
      <c r="D167">
        <f>[1]发票导入!D167&amp;""</f>
      </c>
      <c r="O167">
        <f>[1]发票导入!O167&amp;""</f>
      </c>
      <c r="T167">
        <f>[1]发票导入!T167</f>
      </c>
      <c r="U167">
        <f>[1]发票导入!U167&amp;""</f>
      </c>
      <c r="V167">
        <f>[1]发票导入!V167&amp;""</f>
      </c>
      <c r="W167">
        <f>[1]发票导入!W167&amp;""</f>
      </c>
      <c r="Y167">
        <f>[1]发票导入!Y167&amp;""</f>
      </c>
      <c r="AA167">
        <f>[1]发票导入!AA167&amp;""</f>
      </c>
      <c r="AB167">
        <f>[1]发票导入!AB167</f>
        <v>0</v>
      </c>
      <c r="AC167">
        <f>[1]发票导入!AC167</f>
        <v>0</v>
      </c>
      <c r="AE167" s="22">
        <f t="shared" si="0"/>
      </c>
      <c r="AI167">
        <f>[1]发票导入!AI167&amp;""</f>
      </c>
      <c r="AJ167">
        <f>[1]发票导入!AJ167&amp;""</f>
      </c>
      <c r="AK167">
        <f>[1]发票导入!AK167</f>
        <v>0</v>
      </c>
      <c r="AL167">
        <f>[1]发票导入!AL167</f>
        <v>0</v>
      </c>
      <c r="AM167">
        <f>[1]发票导入!AM167</f>
        <v>0</v>
      </c>
      <c r="AN167" s="22">
        <f t="shared" si="1"/>
        <v>0</v>
      </c>
      <c r="AO167" s="22">
        <f t="shared" si="2"/>
        <v>0</v>
      </c>
    </row>
    <row r="168">
      <c r="C168">
        <f>[1]发票导入!C168&amp;""</f>
      </c>
      <c r="D168">
        <f>[1]发票导入!D168&amp;""</f>
      </c>
      <c r="O168">
        <f>[1]发票导入!O168&amp;""</f>
      </c>
      <c r="T168">
        <f>[1]发票导入!T168</f>
      </c>
      <c r="U168">
        <f>[1]发票导入!U168&amp;""</f>
      </c>
      <c r="V168">
        <f>[1]发票导入!V168&amp;""</f>
      </c>
      <c r="W168">
        <f>[1]发票导入!W168&amp;""</f>
      </c>
      <c r="Y168">
        <f>[1]发票导入!Y168&amp;""</f>
      </c>
      <c r="AA168">
        <f>[1]发票导入!AA168&amp;""</f>
      </c>
      <c r="AB168">
        <f>[1]发票导入!AB168</f>
        <v>0</v>
      </c>
      <c r="AC168">
        <f>[1]发票导入!AC168</f>
        <v>0</v>
      </c>
      <c r="AE168" s="22">
        <f t="shared" si="0"/>
      </c>
      <c r="AI168">
        <f>[1]发票导入!AI168&amp;""</f>
      </c>
      <c r="AJ168">
        <f>[1]发票导入!AJ168&amp;""</f>
      </c>
      <c r="AK168">
        <f>[1]发票导入!AK168</f>
        <v>0</v>
      </c>
      <c r="AL168">
        <f>[1]发票导入!AL168</f>
        <v>0</v>
      </c>
      <c r="AM168">
        <f>[1]发票导入!AM168</f>
        <v>0</v>
      </c>
      <c r="AN168" s="22">
        <f t="shared" si="1"/>
        <v>0</v>
      </c>
      <c r="AO168" s="22">
        <f t="shared" si="2"/>
        <v>0</v>
      </c>
    </row>
    <row r="169">
      <c r="C169">
        <f>[1]发票导入!C169&amp;""</f>
      </c>
      <c r="D169">
        <f>[1]发票导入!D169&amp;""</f>
      </c>
      <c r="O169">
        <f>[1]发票导入!O169&amp;""</f>
      </c>
      <c r="T169">
        <f>[1]发票导入!T169</f>
      </c>
      <c r="U169">
        <f>[1]发票导入!U169&amp;""</f>
      </c>
      <c r="V169">
        <f>[1]发票导入!V169&amp;""</f>
      </c>
      <c r="W169">
        <f>[1]发票导入!W169&amp;""</f>
      </c>
      <c r="Y169">
        <f>[1]发票导入!Y169&amp;""</f>
      </c>
      <c r="AA169">
        <f>[1]发票导入!AA169&amp;""</f>
      </c>
      <c r="AB169">
        <f>[1]发票导入!AB169</f>
        <v>0</v>
      </c>
      <c r="AC169">
        <f>[1]发票导入!AC169</f>
        <v>0</v>
      </c>
      <c r="AE169" s="22">
        <f t="shared" si="0"/>
      </c>
      <c r="AI169">
        <f>[1]发票导入!AI169&amp;""</f>
      </c>
      <c r="AJ169">
        <f>[1]发票导入!AJ169&amp;""</f>
      </c>
      <c r="AK169">
        <f>[1]发票导入!AK169</f>
        <v>0</v>
      </c>
      <c r="AL169">
        <f>[1]发票导入!AL169</f>
        <v>0</v>
      </c>
      <c r="AM169">
        <f>[1]发票导入!AM169</f>
        <v>0</v>
      </c>
      <c r="AN169" s="22">
        <f t="shared" si="1"/>
        <v>0</v>
      </c>
      <c r="AO169" s="22">
        <f t="shared" si="2"/>
        <v>0</v>
      </c>
    </row>
    <row r="170">
      <c r="C170">
        <f>[1]发票导入!C170&amp;""</f>
      </c>
      <c r="D170">
        <f>[1]发票导入!D170&amp;""</f>
      </c>
      <c r="O170">
        <f>[1]发票导入!O170&amp;""</f>
      </c>
      <c r="T170">
        <f>[1]发票导入!T170</f>
      </c>
      <c r="U170">
        <f>[1]发票导入!U170&amp;""</f>
      </c>
      <c r="V170">
        <f>[1]发票导入!V170&amp;""</f>
      </c>
      <c r="W170">
        <f>[1]发票导入!W170&amp;""</f>
      </c>
      <c r="Y170">
        <f>[1]发票导入!Y170&amp;""</f>
      </c>
      <c r="AA170">
        <f>[1]发票导入!AA170&amp;""</f>
      </c>
      <c r="AB170">
        <f>[1]发票导入!AB170</f>
        <v>0</v>
      </c>
      <c r="AC170">
        <f>[1]发票导入!AC170</f>
        <v>0</v>
      </c>
      <c r="AE170" s="22">
        <f t="shared" si="0"/>
      </c>
      <c r="AI170">
        <f>[1]发票导入!AI170&amp;""</f>
      </c>
      <c r="AJ170">
        <f>[1]发票导入!AJ170&amp;""</f>
      </c>
      <c r="AK170">
        <f>[1]发票导入!AK170</f>
        <v>0</v>
      </c>
      <c r="AL170">
        <f>[1]发票导入!AL170</f>
        <v>0</v>
      </c>
      <c r="AM170">
        <f>[1]发票导入!AM170</f>
        <v>0</v>
      </c>
      <c r="AN170" s="22">
        <f t="shared" si="1"/>
        <v>0</v>
      </c>
      <c r="AO170" s="22">
        <f t="shared" si="2"/>
        <v>0</v>
      </c>
    </row>
    <row r="171">
      <c r="C171">
        <f>[1]发票导入!C171&amp;""</f>
      </c>
      <c r="D171">
        <f>[1]发票导入!D171&amp;""</f>
      </c>
      <c r="O171">
        <f>[1]发票导入!O171&amp;""</f>
      </c>
      <c r="T171">
        <f>[1]发票导入!T171</f>
      </c>
      <c r="U171">
        <f>[1]发票导入!U171&amp;""</f>
      </c>
      <c r="V171">
        <f>[1]发票导入!V171&amp;""</f>
      </c>
      <c r="W171">
        <f>[1]发票导入!W171&amp;""</f>
      </c>
      <c r="Y171">
        <f>[1]发票导入!Y171&amp;""</f>
      </c>
      <c r="AA171">
        <f>[1]发票导入!AA171&amp;""</f>
      </c>
      <c r="AB171">
        <f>[1]发票导入!AB171</f>
        <v>0</v>
      </c>
      <c r="AC171">
        <f>[1]发票导入!AC171</f>
        <v>0</v>
      </c>
      <c r="AE171" s="22">
        <f t="shared" si="0"/>
      </c>
      <c r="AI171">
        <f>[1]发票导入!AI171&amp;""</f>
      </c>
      <c r="AJ171">
        <f>[1]发票导入!AJ171&amp;""</f>
      </c>
      <c r="AK171">
        <f>[1]发票导入!AK171</f>
        <v>0</v>
      </c>
      <c r="AL171">
        <f>[1]发票导入!AL171</f>
        <v>0</v>
      </c>
      <c r="AM171">
        <f>[1]发票导入!AM171</f>
        <v>0</v>
      </c>
      <c r="AN171" s="22">
        <f t="shared" si="1"/>
        <v>0</v>
      </c>
      <c r="AO171" s="22">
        <f t="shared" si="2"/>
        <v>0</v>
      </c>
    </row>
    <row r="172">
      <c r="C172">
        <f>[1]发票导入!C172&amp;""</f>
      </c>
      <c r="D172">
        <f>[1]发票导入!D172&amp;""</f>
      </c>
      <c r="O172">
        <f>[1]发票导入!O172&amp;""</f>
      </c>
      <c r="T172">
        <f>[1]发票导入!T172</f>
      </c>
      <c r="U172">
        <f>[1]发票导入!U172&amp;""</f>
      </c>
      <c r="V172">
        <f>[1]发票导入!V172&amp;""</f>
      </c>
      <c r="W172">
        <f>[1]发票导入!W172&amp;""</f>
      </c>
      <c r="Y172">
        <f>[1]发票导入!Y172&amp;""</f>
      </c>
      <c r="AA172">
        <f>[1]发票导入!AA172&amp;""</f>
      </c>
      <c r="AB172">
        <f>[1]发票导入!AB172</f>
        <v>0</v>
      </c>
      <c r="AC172">
        <f>[1]发票导入!AC172</f>
        <v>0</v>
      </c>
      <c r="AE172" s="22">
        <f t="shared" si="0"/>
      </c>
      <c r="AI172">
        <f>[1]发票导入!AI172&amp;""</f>
      </c>
      <c r="AJ172">
        <f>[1]发票导入!AJ172&amp;""</f>
      </c>
      <c r="AK172">
        <f>[1]发票导入!AK172</f>
        <v>0</v>
      </c>
      <c r="AL172">
        <f>[1]发票导入!AL172</f>
        <v>0</v>
      </c>
      <c r="AM172">
        <f>[1]发票导入!AM172</f>
        <v>0</v>
      </c>
      <c r="AN172" s="22">
        <f t="shared" si="1"/>
        <v>0</v>
      </c>
      <c r="AO172" s="22">
        <f t="shared" si="2"/>
        <v>0</v>
      </c>
    </row>
    <row r="173">
      <c r="C173">
        <f>[1]发票导入!C173&amp;""</f>
      </c>
      <c r="D173">
        <f>[1]发票导入!D173&amp;""</f>
      </c>
      <c r="O173">
        <f>[1]发票导入!O173&amp;""</f>
      </c>
      <c r="T173">
        <f>[1]发票导入!T173</f>
      </c>
      <c r="U173">
        <f>[1]发票导入!U173&amp;""</f>
      </c>
      <c r="V173">
        <f>[1]发票导入!V173&amp;""</f>
      </c>
      <c r="W173">
        <f>[1]发票导入!W173&amp;""</f>
      </c>
      <c r="Y173">
        <f>[1]发票导入!Y173&amp;""</f>
      </c>
      <c r="AA173">
        <f>[1]发票导入!AA173&amp;""</f>
      </c>
      <c r="AB173">
        <f>[1]发票导入!AB173</f>
        <v>0</v>
      </c>
      <c r="AC173">
        <f>[1]发票导入!AC173</f>
        <v>0</v>
      </c>
      <c r="AE173" s="22">
        <f t="shared" si="0"/>
      </c>
      <c r="AI173">
        <f>[1]发票导入!AI173&amp;""</f>
      </c>
      <c r="AJ173">
        <f>[1]发票导入!AJ173&amp;""</f>
      </c>
      <c r="AK173">
        <f>[1]发票导入!AK173</f>
        <v>0</v>
      </c>
      <c r="AL173">
        <f>[1]发票导入!AL173</f>
        <v>0</v>
      </c>
      <c r="AM173">
        <f>[1]发票导入!AM173</f>
        <v>0</v>
      </c>
      <c r="AN173" s="22">
        <f t="shared" si="1"/>
        <v>0</v>
      </c>
      <c r="AO173" s="22">
        <f t="shared" si="2"/>
        <v>0</v>
      </c>
    </row>
    <row r="174">
      <c r="C174">
        <f>[1]发票导入!C174&amp;""</f>
      </c>
      <c r="D174">
        <f>[1]发票导入!D174&amp;""</f>
      </c>
      <c r="O174">
        <f>[1]发票导入!O174&amp;""</f>
      </c>
      <c r="T174">
        <f>[1]发票导入!T174</f>
      </c>
      <c r="U174">
        <f>[1]发票导入!U174&amp;""</f>
      </c>
      <c r="V174">
        <f>[1]发票导入!V174&amp;""</f>
      </c>
      <c r="W174">
        <f>[1]发票导入!W174&amp;""</f>
      </c>
      <c r="Y174">
        <f>[1]发票导入!Y174&amp;""</f>
      </c>
      <c r="AA174">
        <f>[1]发票导入!AA174&amp;""</f>
      </c>
      <c r="AB174">
        <f>[1]发票导入!AB174</f>
        <v>0</v>
      </c>
      <c r="AC174">
        <f>[1]发票导入!AC174</f>
        <v>0</v>
      </c>
      <c r="AE174" s="22">
        <f t="shared" si="0"/>
      </c>
      <c r="AI174">
        <f>[1]发票导入!AI174&amp;""</f>
      </c>
      <c r="AJ174">
        <f>[1]发票导入!AJ174&amp;""</f>
      </c>
      <c r="AK174">
        <f>[1]发票导入!AK174</f>
        <v>0</v>
      </c>
      <c r="AL174">
        <f>[1]发票导入!AL174</f>
        <v>0</v>
      </c>
      <c r="AM174">
        <f>[1]发票导入!AM174</f>
        <v>0</v>
      </c>
      <c r="AN174" s="22">
        <f t="shared" si="1"/>
        <v>0</v>
      </c>
      <c r="AO174" s="22">
        <f t="shared" si="2"/>
        <v>0</v>
      </c>
    </row>
    <row r="175">
      <c r="C175">
        <f>[1]发票导入!C175&amp;""</f>
      </c>
      <c r="D175">
        <f>[1]发票导入!D175&amp;""</f>
      </c>
      <c r="O175">
        <f>[1]发票导入!O175&amp;""</f>
      </c>
      <c r="T175">
        <f>[1]发票导入!T175</f>
      </c>
      <c r="U175">
        <f>[1]发票导入!U175&amp;""</f>
      </c>
      <c r="V175">
        <f>[1]发票导入!V175&amp;""</f>
      </c>
      <c r="W175">
        <f>[1]发票导入!W175&amp;""</f>
      </c>
      <c r="Y175">
        <f>[1]发票导入!Y175&amp;""</f>
      </c>
      <c r="AA175">
        <f>[1]发票导入!AA175&amp;""</f>
      </c>
      <c r="AB175">
        <f>[1]发票导入!AB175</f>
        <v>0</v>
      </c>
      <c r="AC175">
        <f>[1]发票导入!AC175</f>
        <v>0</v>
      </c>
      <c r="AE175" s="22">
        <f t="shared" si="0"/>
      </c>
      <c r="AI175">
        <f>[1]发票导入!AI175&amp;""</f>
      </c>
      <c r="AJ175">
        <f>[1]发票导入!AJ175&amp;""</f>
      </c>
      <c r="AK175">
        <f>[1]发票导入!AK175</f>
        <v>0</v>
      </c>
      <c r="AL175">
        <f>[1]发票导入!AL175</f>
        <v>0</v>
      </c>
      <c r="AM175">
        <f>[1]发票导入!AM175</f>
        <v>0</v>
      </c>
      <c r="AN175" s="22">
        <f t="shared" si="1"/>
        <v>0</v>
      </c>
      <c r="AO175" s="22">
        <f t="shared" si="2"/>
        <v>0</v>
      </c>
    </row>
    <row r="176">
      <c r="C176">
        <f>[1]发票导入!C176&amp;""</f>
      </c>
      <c r="D176">
        <f>[1]发票导入!D176&amp;""</f>
      </c>
      <c r="O176">
        <f>[1]发票导入!O176&amp;""</f>
      </c>
      <c r="T176">
        <f>[1]发票导入!T176</f>
      </c>
      <c r="U176">
        <f>[1]发票导入!U176&amp;""</f>
      </c>
      <c r="V176">
        <f>[1]发票导入!V176&amp;""</f>
      </c>
      <c r="W176">
        <f>[1]发票导入!W176&amp;""</f>
      </c>
      <c r="Y176">
        <f>[1]发票导入!Y176&amp;""</f>
      </c>
      <c r="AA176">
        <f>[1]发票导入!AA176&amp;""</f>
      </c>
      <c r="AB176">
        <f>[1]发票导入!AB176</f>
        <v>0</v>
      </c>
      <c r="AC176">
        <f>[1]发票导入!AC176</f>
        <v>0</v>
      </c>
      <c r="AE176" s="22">
        <f t="shared" si="0"/>
      </c>
      <c r="AI176">
        <f>[1]发票导入!AI176&amp;""</f>
      </c>
      <c r="AJ176">
        <f>[1]发票导入!AJ176&amp;""</f>
      </c>
      <c r="AK176">
        <f>[1]发票导入!AK176</f>
        <v>0</v>
      </c>
      <c r="AL176">
        <f>[1]发票导入!AL176</f>
        <v>0</v>
      </c>
      <c r="AM176">
        <f>[1]发票导入!AM176</f>
        <v>0</v>
      </c>
      <c r="AN176" s="22">
        <f t="shared" si="1"/>
        <v>0</v>
      </c>
      <c r="AO176" s="22">
        <f t="shared" si="2"/>
        <v>0</v>
      </c>
    </row>
    <row r="177">
      <c r="C177">
        <f>[1]发票导入!C177&amp;""</f>
      </c>
      <c r="D177">
        <f>[1]发票导入!D177&amp;""</f>
      </c>
      <c r="O177">
        <f>[1]发票导入!O177&amp;""</f>
      </c>
      <c r="T177">
        <f>[1]发票导入!T177</f>
      </c>
      <c r="U177">
        <f>[1]发票导入!U177&amp;""</f>
      </c>
      <c r="V177">
        <f>[1]发票导入!V177&amp;""</f>
      </c>
      <c r="W177">
        <f>[1]发票导入!W177&amp;""</f>
      </c>
      <c r="Y177">
        <f>[1]发票导入!Y177&amp;""</f>
      </c>
      <c r="AA177">
        <f>[1]发票导入!AA177&amp;""</f>
      </c>
      <c r="AB177">
        <f>[1]发票导入!AB177</f>
        <v>0</v>
      </c>
      <c r="AC177">
        <f>[1]发票导入!AC177</f>
        <v>0</v>
      </c>
      <c r="AE177" s="22">
        <f t="shared" si="0"/>
      </c>
      <c r="AI177">
        <f>[1]发票导入!AI177&amp;""</f>
      </c>
      <c r="AJ177">
        <f>[1]发票导入!AJ177&amp;""</f>
      </c>
      <c r="AK177">
        <f>[1]发票导入!AK177</f>
        <v>0</v>
      </c>
      <c r="AL177">
        <f>[1]发票导入!AL177</f>
        <v>0</v>
      </c>
      <c r="AM177">
        <f>[1]发票导入!AM177</f>
        <v>0</v>
      </c>
      <c r="AN177" s="22">
        <f t="shared" si="1"/>
        <v>0</v>
      </c>
      <c r="AO177" s="22">
        <f t="shared" si="2"/>
        <v>0</v>
      </c>
    </row>
    <row r="178">
      <c r="C178">
        <f>[1]发票导入!C178&amp;""</f>
      </c>
      <c r="D178">
        <f>[1]发票导入!D178&amp;""</f>
      </c>
      <c r="O178">
        <f>[1]发票导入!O178&amp;""</f>
      </c>
      <c r="T178">
        <f>[1]发票导入!T178</f>
      </c>
      <c r="U178">
        <f>[1]发票导入!U178&amp;""</f>
      </c>
      <c r="V178">
        <f>[1]发票导入!V178&amp;""</f>
      </c>
      <c r="W178">
        <f>[1]发票导入!W178&amp;""</f>
      </c>
      <c r="Y178">
        <f>[1]发票导入!Y178&amp;""</f>
      </c>
      <c r="AA178">
        <f>[1]发票导入!AA178&amp;""</f>
      </c>
      <c r="AB178">
        <f>[1]发票导入!AB178</f>
        <v>0</v>
      </c>
      <c r="AC178">
        <f>[1]发票导入!AC178</f>
        <v>0</v>
      </c>
      <c r="AE178" s="22">
        <f t="shared" si="0"/>
      </c>
      <c r="AI178">
        <f>[1]发票导入!AI178&amp;""</f>
      </c>
      <c r="AJ178">
        <f>[1]发票导入!AJ178&amp;""</f>
      </c>
      <c r="AK178">
        <f>[1]发票导入!AK178</f>
        <v>0</v>
      </c>
      <c r="AL178">
        <f>[1]发票导入!AL178</f>
        <v>0</v>
      </c>
      <c r="AM178">
        <f>[1]发票导入!AM178</f>
        <v>0</v>
      </c>
      <c r="AN178" s="22">
        <f t="shared" si="1"/>
        <v>0</v>
      </c>
      <c r="AO178" s="22">
        <f t="shared" si="2"/>
        <v>0</v>
      </c>
    </row>
    <row r="179">
      <c r="C179">
        <f>[1]发票导入!C179&amp;""</f>
      </c>
      <c r="D179">
        <f>[1]发票导入!D179&amp;""</f>
      </c>
      <c r="O179">
        <f>[1]发票导入!O179&amp;""</f>
      </c>
      <c r="T179">
        <f>[1]发票导入!T179</f>
      </c>
      <c r="U179">
        <f>[1]发票导入!U179&amp;""</f>
      </c>
      <c r="V179">
        <f>[1]发票导入!V179&amp;""</f>
      </c>
      <c r="W179">
        <f>[1]发票导入!W179&amp;""</f>
      </c>
      <c r="Y179">
        <f>[1]发票导入!Y179&amp;""</f>
      </c>
      <c r="AA179">
        <f>[1]发票导入!AA179&amp;""</f>
      </c>
      <c r="AB179">
        <f>[1]发票导入!AB179</f>
        <v>0</v>
      </c>
      <c r="AC179">
        <f>[1]发票导入!AC179</f>
        <v>0</v>
      </c>
      <c r="AE179" s="22">
        <f t="shared" si="0"/>
      </c>
      <c r="AI179">
        <f>[1]发票导入!AI179&amp;""</f>
      </c>
      <c r="AJ179">
        <f>[1]发票导入!AJ179&amp;""</f>
      </c>
      <c r="AK179">
        <f>[1]发票导入!AK179</f>
        <v>0</v>
      </c>
      <c r="AL179">
        <f>[1]发票导入!AL179</f>
        <v>0</v>
      </c>
      <c r="AM179">
        <f>[1]发票导入!AM179</f>
        <v>0</v>
      </c>
      <c r="AN179" s="22">
        <f t="shared" si="1"/>
        <v>0</v>
      </c>
      <c r="AO179" s="22">
        <f t="shared" si="2"/>
        <v>0</v>
      </c>
    </row>
    <row r="180">
      <c r="C180">
        <f>[1]发票导入!C180&amp;""</f>
      </c>
      <c r="D180">
        <f>[1]发票导入!D180&amp;""</f>
      </c>
      <c r="O180">
        <f>[1]发票导入!O180&amp;""</f>
      </c>
      <c r="T180">
        <f>[1]发票导入!T180</f>
      </c>
      <c r="U180">
        <f>[1]发票导入!U180&amp;""</f>
      </c>
      <c r="V180">
        <f>[1]发票导入!V180&amp;""</f>
      </c>
      <c r="W180">
        <f>[1]发票导入!W180&amp;""</f>
      </c>
      <c r="Y180">
        <f>[1]发票导入!Y180&amp;""</f>
      </c>
      <c r="AA180">
        <f>[1]发票导入!AA180&amp;""</f>
      </c>
      <c r="AB180">
        <f>[1]发票导入!AB180</f>
        <v>0</v>
      </c>
      <c r="AC180">
        <f>[1]发票导入!AC180</f>
        <v>0</v>
      </c>
      <c r="AE180" s="22">
        <f t="shared" si="0"/>
      </c>
      <c r="AI180">
        <f>[1]发票导入!AI180&amp;""</f>
      </c>
      <c r="AJ180">
        <f>[1]发票导入!AJ180&amp;""</f>
      </c>
      <c r="AK180">
        <f>[1]发票导入!AK180</f>
        <v>0</v>
      </c>
      <c r="AL180">
        <f>[1]发票导入!AL180</f>
        <v>0</v>
      </c>
      <c r="AM180">
        <f>[1]发票导入!AM180</f>
        <v>0</v>
      </c>
      <c r="AN180" s="22">
        <f t="shared" si="1"/>
        <v>0</v>
      </c>
      <c r="AO180" s="22">
        <f t="shared" si="2"/>
        <v>0</v>
      </c>
    </row>
    <row r="181">
      <c r="C181">
        <f>[1]发票导入!C181&amp;""</f>
      </c>
      <c r="D181">
        <f>[1]发票导入!D181&amp;""</f>
      </c>
      <c r="O181">
        <f>[1]发票导入!O181&amp;""</f>
      </c>
      <c r="T181">
        <f>[1]发票导入!T181</f>
      </c>
      <c r="U181">
        <f>[1]发票导入!U181&amp;""</f>
      </c>
      <c r="V181">
        <f>[1]发票导入!V181&amp;""</f>
      </c>
      <c r="W181">
        <f>[1]发票导入!W181&amp;""</f>
      </c>
      <c r="Y181">
        <f>[1]发票导入!Y181&amp;""</f>
      </c>
      <c r="AA181">
        <f>[1]发票导入!AA181&amp;""</f>
      </c>
      <c r="AB181">
        <f>[1]发票导入!AB181</f>
        <v>0</v>
      </c>
      <c r="AC181">
        <f>[1]发票导入!AC181</f>
        <v>0</v>
      </c>
      <c r="AE181" s="22">
        <f t="shared" si="0"/>
      </c>
      <c r="AI181">
        <f>[1]发票导入!AI181&amp;""</f>
      </c>
      <c r="AJ181">
        <f>[1]发票导入!AJ181&amp;""</f>
      </c>
      <c r="AK181">
        <f>[1]发票导入!AK181</f>
        <v>0</v>
      </c>
      <c r="AL181">
        <f>[1]发票导入!AL181</f>
        <v>0</v>
      </c>
      <c r="AM181">
        <f>[1]发票导入!AM181</f>
        <v>0</v>
      </c>
      <c r="AN181" s="22">
        <f t="shared" si="1"/>
        <v>0</v>
      </c>
      <c r="AO181" s="22">
        <f t="shared" si="2"/>
        <v>0</v>
      </c>
    </row>
    <row r="182">
      <c r="C182">
        <f>[1]发票导入!C182&amp;""</f>
      </c>
      <c r="D182">
        <f>[1]发票导入!D182&amp;""</f>
      </c>
      <c r="O182">
        <f>[1]发票导入!O182&amp;""</f>
      </c>
      <c r="T182">
        <f>[1]发票导入!T182</f>
      </c>
      <c r="U182">
        <f>[1]发票导入!U182&amp;""</f>
      </c>
      <c r="V182">
        <f>[1]发票导入!V182&amp;""</f>
      </c>
      <c r="W182">
        <f>[1]发票导入!W182&amp;""</f>
      </c>
      <c r="Y182">
        <f>[1]发票导入!Y182&amp;""</f>
      </c>
      <c r="AA182">
        <f>[1]发票导入!AA182&amp;""</f>
      </c>
      <c r="AB182">
        <f>[1]发票导入!AB182</f>
        <v>0</v>
      </c>
      <c r="AC182">
        <f>[1]发票导入!AC182</f>
        <v>0</v>
      </c>
      <c r="AE182" s="22">
        <f t="shared" si="0"/>
      </c>
      <c r="AI182">
        <f>[1]发票导入!AI182&amp;""</f>
      </c>
      <c r="AJ182">
        <f>[1]发票导入!AJ182&amp;""</f>
      </c>
      <c r="AK182">
        <f>[1]发票导入!AK182</f>
        <v>0</v>
      </c>
      <c r="AL182">
        <f>[1]发票导入!AL182</f>
        <v>0</v>
      </c>
      <c r="AM182">
        <f>[1]发票导入!AM182</f>
        <v>0</v>
      </c>
      <c r="AN182" s="22">
        <f t="shared" si="1"/>
        <v>0</v>
      </c>
      <c r="AO182" s="22">
        <f t="shared" si="2"/>
        <v>0</v>
      </c>
    </row>
    <row r="183">
      <c r="C183">
        <f>[1]发票导入!C183&amp;""</f>
      </c>
      <c r="D183">
        <f>[1]发票导入!D183&amp;""</f>
      </c>
      <c r="O183">
        <f>[1]发票导入!O183&amp;""</f>
      </c>
      <c r="T183">
        <f>[1]发票导入!T183</f>
      </c>
      <c r="U183">
        <f>[1]发票导入!U183&amp;""</f>
      </c>
      <c r="V183">
        <f>[1]发票导入!V183&amp;""</f>
      </c>
      <c r="W183">
        <f>[1]发票导入!W183&amp;""</f>
      </c>
      <c r="Y183">
        <f>[1]发票导入!Y183&amp;""</f>
      </c>
      <c r="AA183">
        <f>[1]发票导入!AA183&amp;""</f>
      </c>
      <c r="AB183">
        <f>[1]发票导入!AB183</f>
        <v>0</v>
      </c>
      <c r="AC183">
        <f>[1]发票导入!AC183</f>
        <v>0</v>
      </c>
      <c r="AE183" s="22">
        <f t="shared" si="0"/>
      </c>
      <c r="AI183">
        <f>[1]发票导入!AI183&amp;""</f>
      </c>
      <c r="AJ183">
        <f>[1]发票导入!AJ183&amp;""</f>
      </c>
      <c r="AK183">
        <f>[1]发票导入!AK183</f>
        <v>0</v>
      </c>
      <c r="AL183">
        <f>[1]发票导入!AL183</f>
        <v>0</v>
      </c>
      <c r="AM183">
        <f>[1]发票导入!AM183</f>
        <v>0</v>
      </c>
      <c r="AN183" s="22">
        <f t="shared" si="1"/>
        <v>0</v>
      </c>
      <c r="AO183" s="22">
        <f t="shared" si="2"/>
        <v>0</v>
      </c>
    </row>
    <row r="184">
      <c r="C184">
        <f>[1]发票导入!C184&amp;""</f>
      </c>
      <c r="D184">
        <f>[1]发票导入!D184&amp;""</f>
      </c>
      <c r="O184">
        <f>[1]发票导入!O184&amp;""</f>
      </c>
      <c r="T184">
        <f>[1]发票导入!T184</f>
      </c>
      <c r="U184">
        <f>[1]发票导入!U184&amp;""</f>
      </c>
      <c r="V184">
        <f>[1]发票导入!V184&amp;""</f>
      </c>
      <c r="W184">
        <f>[1]发票导入!W184&amp;""</f>
      </c>
      <c r="Y184">
        <f>[1]发票导入!Y184&amp;""</f>
      </c>
      <c r="AA184">
        <f>[1]发票导入!AA184&amp;""</f>
      </c>
      <c r="AB184">
        <f>[1]发票导入!AB184</f>
        <v>0</v>
      </c>
      <c r="AC184">
        <f>[1]发票导入!AC184</f>
        <v>0</v>
      </c>
      <c r="AE184" s="22">
        <f t="shared" si="0"/>
      </c>
      <c r="AI184">
        <f>[1]发票导入!AI184&amp;""</f>
      </c>
      <c r="AJ184">
        <f>[1]发票导入!AJ184&amp;""</f>
      </c>
      <c r="AK184">
        <f>[1]发票导入!AK184</f>
        <v>0</v>
      </c>
      <c r="AL184">
        <f>[1]发票导入!AL184</f>
        <v>0</v>
      </c>
      <c r="AM184">
        <f>[1]发票导入!AM184</f>
        <v>0</v>
      </c>
      <c r="AN184" s="22">
        <f t="shared" si="1"/>
        <v>0</v>
      </c>
      <c r="AO184" s="22">
        <f t="shared" si="2"/>
        <v>0</v>
      </c>
    </row>
    <row r="185">
      <c r="C185">
        <f>[1]发票导入!C185&amp;""</f>
      </c>
      <c r="D185">
        <f>[1]发票导入!D185&amp;""</f>
      </c>
      <c r="O185">
        <f>[1]发票导入!O185&amp;""</f>
      </c>
      <c r="T185">
        <f>[1]发票导入!T185</f>
      </c>
      <c r="U185">
        <f>[1]发票导入!U185&amp;""</f>
      </c>
      <c r="V185">
        <f>[1]发票导入!V185&amp;""</f>
      </c>
      <c r="W185">
        <f>[1]发票导入!W185&amp;""</f>
      </c>
      <c r="Y185">
        <f>[1]发票导入!Y185&amp;""</f>
      </c>
      <c r="AA185">
        <f>[1]发票导入!AA185&amp;""</f>
      </c>
      <c r="AB185">
        <f>[1]发票导入!AB185</f>
        <v>0</v>
      </c>
      <c r="AC185">
        <f>[1]发票导入!AC185</f>
        <v>0</v>
      </c>
      <c r="AE185" s="22">
        <f t="shared" si="0"/>
      </c>
      <c r="AI185">
        <f>[1]发票导入!AI185&amp;""</f>
      </c>
      <c r="AJ185">
        <f>[1]发票导入!AJ185&amp;""</f>
      </c>
      <c r="AK185">
        <f>[1]发票导入!AK185</f>
        <v>0</v>
      </c>
      <c r="AL185">
        <f>[1]发票导入!AL185</f>
        <v>0</v>
      </c>
      <c r="AM185">
        <f>[1]发票导入!AM185</f>
        <v>0</v>
      </c>
      <c r="AN185" s="22">
        <f t="shared" si="1"/>
        <v>0</v>
      </c>
      <c r="AO185" s="22">
        <f t="shared" si="2"/>
        <v>0</v>
      </c>
    </row>
    <row r="186">
      <c r="C186">
        <f>[1]发票导入!C186&amp;""</f>
      </c>
      <c r="D186">
        <f>[1]发票导入!D186&amp;""</f>
      </c>
      <c r="O186">
        <f>[1]发票导入!O186&amp;""</f>
      </c>
      <c r="T186">
        <f>[1]发票导入!T186</f>
      </c>
      <c r="U186">
        <f>[1]发票导入!U186&amp;""</f>
      </c>
      <c r="V186">
        <f>[1]发票导入!V186&amp;""</f>
      </c>
      <c r="W186">
        <f>[1]发票导入!W186&amp;""</f>
      </c>
      <c r="Y186">
        <f>[1]发票导入!Y186&amp;""</f>
      </c>
      <c r="AA186">
        <f>[1]发票导入!AA186&amp;""</f>
      </c>
      <c r="AB186">
        <f>[1]发票导入!AB186</f>
        <v>0</v>
      </c>
      <c r="AC186">
        <f>[1]发票导入!AC186</f>
        <v>0</v>
      </c>
      <c r="AE186" s="22">
        <f t="shared" si="0"/>
      </c>
      <c r="AI186">
        <f>[1]发票导入!AI186&amp;""</f>
      </c>
      <c r="AJ186">
        <f>[1]发票导入!AJ186&amp;""</f>
      </c>
      <c r="AK186">
        <f>[1]发票导入!AK186</f>
        <v>0</v>
      </c>
      <c r="AL186">
        <f>[1]发票导入!AL186</f>
        <v>0</v>
      </c>
      <c r="AM186">
        <f>[1]发票导入!AM186</f>
        <v>0</v>
      </c>
      <c r="AN186" s="22">
        <f t="shared" si="1"/>
        <v>0</v>
      </c>
      <c r="AO186" s="22">
        <f t="shared" si="2"/>
        <v>0</v>
      </c>
    </row>
    <row r="187">
      <c r="C187">
        <f>[1]发票导入!C187&amp;""</f>
      </c>
      <c r="D187">
        <f>[1]发票导入!D187&amp;""</f>
      </c>
      <c r="O187">
        <f>[1]发票导入!O187&amp;""</f>
      </c>
      <c r="T187">
        <f>[1]发票导入!T187</f>
      </c>
      <c r="U187">
        <f>[1]发票导入!U187&amp;""</f>
      </c>
      <c r="V187">
        <f>[1]发票导入!V187&amp;""</f>
      </c>
      <c r="W187">
        <f>[1]发票导入!W187&amp;""</f>
      </c>
      <c r="Y187">
        <f>[1]发票导入!Y187&amp;""</f>
      </c>
      <c r="AA187">
        <f>[1]发票导入!AA187&amp;""</f>
      </c>
      <c r="AB187">
        <f>[1]发票导入!AB187</f>
        <v>0</v>
      </c>
      <c r="AC187">
        <f>[1]发票导入!AC187</f>
        <v>0</v>
      </c>
      <c r="AE187" s="22">
        <f t="shared" si="0"/>
      </c>
      <c r="AI187">
        <f>[1]发票导入!AI187&amp;""</f>
      </c>
      <c r="AJ187">
        <f>[1]发票导入!AJ187&amp;""</f>
      </c>
      <c r="AK187">
        <f>[1]发票导入!AK187</f>
        <v>0</v>
      </c>
      <c r="AL187">
        <f>[1]发票导入!AL187</f>
        <v>0</v>
      </c>
      <c r="AM187">
        <f>[1]发票导入!AM187</f>
        <v>0</v>
      </c>
      <c r="AN187" s="22">
        <f t="shared" si="1"/>
        <v>0</v>
      </c>
      <c r="AO187" s="22">
        <f t="shared" si="2"/>
        <v>0</v>
      </c>
    </row>
    <row r="188">
      <c r="C188">
        <f>[1]发票导入!C188&amp;""</f>
      </c>
      <c r="D188">
        <f>[1]发票导入!D188&amp;""</f>
      </c>
      <c r="O188">
        <f>[1]发票导入!O188&amp;""</f>
      </c>
      <c r="T188">
        <f>[1]发票导入!T188</f>
      </c>
      <c r="U188">
        <f>[1]发票导入!U188&amp;""</f>
      </c>
      <c r="V188">
        <f>[1]发票导入!V188&amp;""</f>
      </c>
      <c r="W188">
        <f>[1]发票导入!W188&amp;""</f>
      </c>
      <c r="Y188">
        <f>[1]发票导入!Y188&amp;""</f>
      </c>
      <c r="AA188">
        <f>[1]发票导入!AA188&amp;""</f>
      </c>
      <c r="AB188">
        <f>[1]发票导入!AB188</f>
        <v>0</v>
      </c>
      <c r="AC188">
        <f>[1]发票导入!AC188</f>
        <v>0</v>
      </c>
      <c r="AE188" s="22">
        <f t="shared" si="0"/>
      </c>
      <c r="AI188">
        <f>[1]发票导入!AI188&amp;""</f>
      </c>
      <c r="AJ188">
        <f>[1]发票导入!AJ188&amp;""</f>
      </c>
      <c r="AK188">
        <f>[1]发票导入!AK188</f>
        <v>0</v>
      </c>
      <c r="AL188">
        <f>[1]发票导入!AL188</f>
        <v>0</v>
      </c>
      <c r="AM188">
        <f>[1]发票导入!AM188</f>
        <v>0</v>
      </c>
      <c r="AN188" s="22">
        <f t="shared" si="1"/>
        <v>0</v>
      </c>
      <c r="AO188" s="22">
        <f t="shared" si="2"/>
        <v>0</v>
      </c>
    </row>
    <row r="189">
      <c r="C189">
        <f>[1]发票导入!C189&amp;""</f>
      </c>
      <c r="D189">
        <f>[1]发票导入!D189&amp;""</f>
      </c>
      <c r="O189">
        <f>[1]发票导入!O189&amp;""</f>
      </c>
      <c r="T189">
        <f>[1]发票导入!T189</f>
      </c>
      <c r="U189">
        <f>[1]发票导入!U189&amp;""</f>
      </c>
      <c r="V189">
        <f>[1]发票导入!V189&amp;""</f>
      </c>
      <c r="W189">
        <f>[1]发票导入!W189&amp;""</f>
      </c>
      <c r="Y189">
        <f>[1]发票导入!Y189&amp;""</f>
      </c>
      <c r="AA189">
        <f>[1]发票导入!AA189&amp;""</f>
      </c>
      <c r="AB189">
        <f>[1]发票导入!AB189</f>
        <v>0</v>
      </c>
      <c r="AC189">
        <f>[1]发票导入!AC189</f>
        <v>0</v>
      </c>
      <c r="AE189" s="22">
        <f t="shared" si="0"/>
      </c>
      <c r="AI189">
        <f>[1]发票导入!AI189&amp;""</f>
      </c>
      <c r="AJ189">
        <f>[1]发票导入!AJ189&amp;""</f>
      </c>
      <c r="AK189">
        <f>[1]发票导入!AK189</f>
        <v>0</v>
      </c>
      <c r="AL189">
        <f>[1]发票导入!AL189</f>
        <v>0</v>
      </c>
      <c r="AM189">
        <f>[1]发票导入!AM189</f>
        <v>0</v>
      </c>
      <c r="AN189" s="22">
        <f t="shared" si="1"/>
        <v>0</v>
      </c>
      <c r="AO189" s="22">
        <f t="shared" si="2"/>
        <v>0</v>
      </c>
    </row>
    <row r="190">
      <c r="C190">
        <f>[1]发票导入!C190&amp;""</f>
      </c>
      <c r="D190">
        <f>[1]发票导入!D190&amp;""</f>
      </c>
      <c r="O190">
        <f>[1]发票导入!O190&amp;""</f>
      </c>
      <c r="T190">
        <f>[1]发票导入!T190</f>
      </c>
      <c r="U190">
        <f>[1]发票导入!U190&amp;""</f>
      </c>
      <c r="V190">
        <f>[1]发票导入!V190&amp;""</f>
      </c>
      <c r="W190">
        <f>[1]发票导入!W190&amp;""</f>
      </c>
      <c r="Y190">
        <f>[1]发票导入!Y190&amp;""</f>
      </c>
      <c r="AA190">
        <f>[1]发票导入!AA190&amp;""</f>
      </c>
      <c r="AB190">
        <f>[1]发票导入!AB190</f>
        <v>0</v>
      </c>
      <c r="AC190">
        <f>[1]发票导入!AC190</f>
        <v>0</v>
      </c>
      <c r="AE190" s="22">
        <f t="shared" si="0"/>
      </c>
      <c r="AI190">
        <f>[1]发票导入!AI190&amp;""</f>
      </c>
      <c r="AJ190">
        <f>[1]发票导入!AJ190&amp;""</f>
      </c>
      <c r="AK190">
        <f>[1]发票导入!AK190</f>
        <v>0</v>
      </c>
      <c r="AL190">
        <f>[1]发票导入!AL190</f>
        <v>0</v>
      </c>
      <c r="AM190">
        <f>[1]发票导入!AM190</f>
        <v>0</v>
      </c>
      <c r="AN190" s="22">
        <f t="shared" si="1"/>
        <v>0</v>
      </c>
      <c r="AO190" s="22">
        <f t="shared" si="2"/>
        <v>0</v>
      </c>
    </row>
    <row r="191">
      <c r="C191">
        <f>[1]发票导入!C191&amp;""</f>
      </c>
      <c r="D191">
        <f>[1]发票导入!D191&amp;""</f>
      </c>
      <c r="O191">
        <f>[1]发票导入!O191&amp;""</f>
      </c>
      <c r="T191">
        <f>[1]发票导入!T191</f>
      </c>
      <c r="U191">
        <f>[1]发票导入!U191&amp;""</f>
      </c>
      <c r="V191">
        <f>[1]发票导入!V191&amp;""</f>
      </c>
      <c r="W191">
        <f>[1]发票导入!W191&amp;""</f>
      </c>
      <c r="Y191">
        <f>[1]发票导入!Y191&amp;""</f>
      </c>
      <c r="AA191">
        <f>[1]发票导入!AA191&amp;""</f>
      </c>
      <c r="AB191">
        <f>[1]发票导入!AB191</f>
        <v>0</v>
      </c>
      <c r="AC191">
        <f>[1]发票导入!AC191</f>
        <v>0</v>
      </c>
      <c r="AE191" s="22">
        <f t="shared" si="0"/>
      </c>
      <c r="AI191">
        <f>[1]发票导入!AI191&amp;""</f>
      </c>
      <c r="AJ191">
        <f>[1]发票导入!AJ191&amp;""</f>
      </c>
      <c r="AK191">
        <f>[1]发票导入!AK191</f>
        <v>0</v>
      </c>
      <c r="AL191">
        <f>[1]发票导入!AL191</f>
        <v>0</v>
      </c>
      <c r="AM191">
        <f>[1]发票导入!AM191</f>
        <v>0</v>
      </c>
      <c r="AN191" s="22">
        <f t="shared" si="1"/>
        <v>0</v>
      </c>
      <c r="AO191" s="22">
        <f t="shared" si="2"/>
        <v>0</v>
      </c>
    </row>
    <row r="192">
      <c r="C192">
        <f>[1]发票导入!C192&amp;""</f>
      </c>
      <c r="D192">
        <f>[1]发票导入!D192&amp;""</f>
      </c>
      <c r="O192">
        <f>[1]发票导入!O192&amp;""</f>
      </c>
      <c r="T192">
        <f>[1]发票导入!T192</f>
      </c>
      <c r="U192">
        <f>[1]发票导入!U192&amp;""</f>
      </c>
      <c r="V192">
        <f>[1]发票导入!V192&amp;""</f>
      </c>
      <c r="W192">
        <f>[1]发票导入!W192&amp;""</f>
      </c>
      <c r="Y192">
        <f>[1]发票导入!Y192&amp;""</f>
      </c>
      <c r="AA192">
        <f>[1]发票导入!AA192&amp;""</f>
      </c>
      <c r="AB192">
        <f>[1]发票导入!AB192</f>
        <v>0</v>
      </c>
      <c r="AC192">
        <f>[1]发票导入!AC192</f>
        <v>0</v>
      </c>
      <c r="AE192" s="22">
        <f t="shared" si="0"/>
      </c>
      <c r="AI192">
        <f>[1]发票导入!AI192&amp;""</f>
      </c>
      <c r="AJ192">
        <f>[1]发票导入!AJ192&amp;""</f>
      </c>
      <c r="AK192">
        <f>[1]发票导入!AK192</f>
        <v>0</v>
      </c>
      <c r="AL192">
        <f>[1]发票导入!AL192</f>
        <v>0</v>
      </c>
      <c r="AM192">
        <f>[1]发票导入!AM192</f>
        <v>0</v>
      </c>
      <c r="AN192" s="22">
        <f t="shared" si="1"/>
        <v>0</v>
      </c>
      <c r="AO192" s="22">
        <f t="shared" si="2"/>
        <v>0</v>
      </c>
    </row>
    <row r="193">
      <c r="C193">
        <f>[1]发票导入!C193&amp;""</f>
      </c>
      <c r="D193">
        <f>[1]发票导入!D193&amp;""</f>
      </c>
      <c r="O193">
        <f>[1]发票导入!O193&amp;""</f>
      </c>
      <c r="T193">
        <f>[1]发票导入!T193</f>
      </c>
      <c r="U193">
        <f>[1]发票导入!U193&amp;""</f>
      </c>
      <c r="V193">
        <f>[1]发票导入!V193&amp;""</f>
      </c>
      <c r="W193">
        <f>[1]发票导入!W193&amp;""</f>
      </c>
      <c r="Y193">
        <f>[1]发票导入!Y193&amp;""</f>
      </c>
      <c r="AA193">
        <f>[1]发票导入!AA193&amp;""</f>
      </c>
      <c r="AB193">
        <f>[1]发票导入!AB193</f>
        <v>0</v>
      </c>
      <c r="AC193">
        <f>[1]发票导入!AC193</f>
        <v>0</v>
      </c>
      <c r="AE193" s="22">
        <f t="shared" si="0"/>
      </c>
      <c r="AI193">
        <f>[1]发票导入!AI193&amp;""</f>
      </c>
      <c r="AJ193">
        <f>[1]发票导入!AJ193&amp;""</f>
      </c>
      <c r="AK193">
        <f>[1]发票导入!AK193</f>
        <v>0</v>
      </c>
      <c r="AL193">
        <f>[1]发票导入!AL193</f>
        <v>0</v>
      </c>
      <c r="AM193">
        <f>[1]发票导入!AM193</f>
        <v>0</v>
      </c>
      <c r="AN193" s="22">
        <f t="shared" si="1"/>
        <v>0</v>
      </c>
      <c r="AO193" s="22">
        <f t="shared" si="2"/>
        <v>0</v>
      </c>
    </row>
    <row r="194">
      <c r="C194">
        <f>[1]发票导入!C194&amp;""</f>
      </c>
      <c r="D194">
        <f>[1]发票导入!D194&amp;""</f>
      </c>
      <c r="O194">
        <f>[1]发票导入!O194&amp;""</f>
      </c>
      <c r="T194">
        <f>[1]发票导入!T194</f>
      </c>
      <c r="U194">
        <f>[1]发票导入!U194&amp;""</f>
      </c>
      <c r="V194">
        <f>[1]发票导入!V194&amp;""</f>
      </c>
      <c r="W194">
        <f>[1]发票导入!W194&amp;""</f>
      </c>
      <c r="Y194">
        <f>[1]发票导入!Y194&amp;""</f>
      </c>
      <c r="AA194">
        <f>[1]发票导入!AA194&amp;""</f>
      </c>
      <c r="AB194">
        <f>[1]发票导入!AB194</f>
        <v>0</v>
      </c>
      <c r="AC194">
        <f>[1]发票导入!AC194</f>
        <v>0</v>
      </c>
      <c r="AE194" s="22">
        <f t="shared" si="0"/>
      </c>
      <c r="AI194">
        <f>[1]发票导入!AI194&amp;""</f>
      </c>
      <c r="AJ194">
        <f>[1]发票导入!AJ194&amp;""</f>
      </c>
      <c r="AK194">
        <f>[1]发票导入!AK194</f>
        <v>0</v>
      </c>
      <c r="AL194">
        <f>[1]发票导入!AL194</f>
        <v>0</v>
      </c>
      <c r="AM194">
        <f>[1]发票导入!AM194</f>
        <v>0</v>
      </c>
      <c r="AN194" s="22">
        <f t="shared" si="1"/>
        <v>0</v>
      </c>
      <c r="AO194" s="22">
        <f t="shared" si="2"/>
        <v>0</v>
      </c>
    </row>
    <row r="195">
      <c r="C195">
        <f>[1]发票导入!C195&amp;""</f>
      </c>
      <c r="D195">
        <f>[1]发票导入!D195&amp;""</f>
      </c>
      <c r="O195">
        <f>[1]发票导入!O195&amp;""</f>
      </c>
      <c r="T195">
        <f>[1]发票导入!T195</f>
      </c>
      <c r="U195">
        <f>[1]发票导入!U195&amp;""</f>
      </c>
      <c r="V195">
        <f>[1]发票导入!V195&amp;""</f>
      </c>
      <c r="W195">
        <f>[1]发票导入!W195&amp;""</f>
      </c>
      <c r="Y195">
        <f>[1]发票导入!Y195&amp;""</f>
      </c>
      <c r="AA195">
        <f>[1]发票导入!AA195&amp;""</f>
      </c>
      <c r="AB195">
        <f>[1]发票导入!AB195</f>
        <v>0</v>
      </c>
      <c r="AC195">
        <f>[1]发票导入!AC195</f>
        <v>0</v>
      </c>
      <c r="AE195" s="22">
        <f t="shared" si="0"/>
      </c>
      <c r="AI195">
        <f>[1]发票导入!AI195&amp;""</f>
      </c>
      <c r="AJ195">
        <f>[1]发票导入!AJ195&amp;""</f>
      </c>
      <c r="AK195">
        <f>[1]发票导入!AK195</f>
        <v>0</v>
      </c>
      <c r="AL195">
        <f>[1]发票导入!AL195</f>
        <v>0</v>
      </c>
      <c r="AM195">
        <f>[1]发票导入!AM195</f>
        <v>0</v>
      </c>
      <c r="AN195" s="22">
        <f t="shared" si="1"/>
        <v>0</v>
      </c>
      <c r="AO195" s="22">
        <f t="shared" si="2"/>
        <v>0</v>
      </c>
    </row>
    <row r="196">
      <c r="C196">
        <f>[1]发票导入!C196&amp;""</f>
      </c>
      <c r="D196">
        <f>[1]发票导入!D196&amp;""</f>
      </c>
      <c r="O196">
        <f>[1]发票导入!O196&amp;""</f>
      </c>
      <c r="T196">
        <f>[1]发票导入!T196</f>
      </c>
      <c r="U196">
        <f>[1]发票导入!U196&amp;""</f>
      </c>
      <c r="V196">
        <f>[1]发票导入!V196&amp;""</f>
      </c>
      <c r="W196">
        <f>[1]发票导入!W196&amp;""</f>
      </c>
      <c r="Y196">
        <f>[1]发票导入!Y196&amp;""</f>
      </c>
      <c r="AA196">
        <f>[1]发票导入!AA196&amp;""</f>
      </c>
      <c r="AB196">
        <f>[1]发票导入!AB196</f>
        <v>0</v>
      </c>
      <c r="AC196">
        <f>[1]发票导入!AC196</f>
        <v>0</v>
      </c>
      <c r="AE196" s="22">
        <f t="shared" si="0"/>
      </c>
      <c r="AI196">
        <f>[1]发票导入!AI196&amp;""</f>
      </c>
      <c r="AJ196">
        <f>[1]发票导入!AJ196&amp;""</f>
      </c>
      <c r="AK196">
        <f>[1]发票导入!AK196</f>
        <v>0</v>
      </c>
      <c r="AL196">
        <f>[1]发票导入!AL196</f>
        <v>0</v>
      </c>
      <c r="AM196">
        <f>[1]发票导入!AM196</f>
        <v>0</v>
      </c>
      <c r="AN196" s="22">
        <f t="shared" si="1"/>
        <v>0</v>
      </c>
      <c r="AO196" s="22">
        <f t="shared" si="2"/>
        <v>0</v>
      </c>
    </row>
    <row r="197">
      <c r="C197">
        <f>[1]发票导入!C197&amp;""</f>
      </c>
      <c r="D197">
        <f>[1]发票导入!D197&amp;""</f>
      </c>
      <c r="O197">
        <f>[1]发票导入!O197&amp;""</f>
      </c>
      <c r="T197">
        <f>[1]发票导入!T197</f>
      </c>
      <c r="U197">
        <f>[1]发票导入!U197&amp;""</f>
      </c>
      <c r="V197">
        <f>[1]发票导入!V197&amp;""</f>
      </c>
      <c r="W197">
        <f>[1]发票导入!W197&amp;""</f>
      </c>
      <c r="Y197">
        <f>[1]发票导入!Y197&amp;""</f>
      </c>
      <c r="AA197">
        <f>[1]发票导入!AA197&amp;""</f>
      </c>
      <c r="AB197">
        <f>[1]发票导入!AB197</f>
        <v>0</v>
      </c>
      <c r="AC197">
        <f>[1]发票导入!AC197</f>
        <v>0</v>
      </c>
      <c r="AE197" s="22">
        <f t="shared" si="0"/>
      </c>
      <c r="AI197">
        <f>[1]发票导入!AI197&amp;""</f>
      </c>
      <c r="AJ197">
        <f>[1]发票导入!AJ197&amp;""</f>
      </c>
      <c r="AK197">
        <f>[1]发票导入!AK197</f>
        <v>0</v>
      </c>
      <c r="AL197">
        <f>[1]发票导入!AL197</f>
        <v>0</v>
      </c>
      <c r="AM197">
        <f>[1]发票导入!AM197</f>
        <v>0</v>
      </c>
      <c r="AN197" s="22">
        <f t="shared" si="1"/>
        <v>0</v>
      </c>
      <c r="AO197" s="22">
        <f t="shared" si="2"/>
        <v>0</v>
      </c>
    </row>
    <row r="198">
      <c r="C198">
        <f>[1]发票导入!C198&amp;""</f>
      </c>
      <c r="D198">
        <f>[1]发票导入!D198&amp;""</f>
      </c>
      <c r="O198">
        <f>[1]发票导入!O198&amp;""</f>
      </c>
      <c r="T198">
        <f>[1]发票导入!T198</f>
      </c>
      <c r="U198">
        <f>[1]发票导入!U198&amp;""</f>
      </c>
      <c r="V198">
        <f>[1]发票导入!V198&amp;""</f>
      </c>
      <c r="W198">
        <f>[1]发票导入!W198&amp;""</f>
      </c>
      <c r="Y198">
        <f>[1]发票导入!Y198&amp;""</f>
      </c>
      <c r="AA198">
        <f>[1]发票导入!AA198&amp;""</f>
      </c>
      <c r="AB198">
        <f>[1]发票导入!AB198</f>
        <v>0</v>
      </c>
      <c r="AC198">
        <f>[1]发票导入!AC198</f>
        <v>0</v>
      </c>
      <c r="AE198" s="22">
        <f t="shared" si="0"/>
      </c>
      <c r="AI198">
        <f>[1]发票导入!AI198&amp;""</f>
      </c>
      <c r="AJ198">
        <f>[1]发票导入!AJ198&amp;""</f>
      </c>
      <c r="AK198">
        <f>[1]发票导入!AK198</f>
        <v>0</v>
      </c>
      <c r="AL198">
        <f>[1]发票导入!AL198</f>
        <v>0</v>
      </c>
      <c r="AM198">
        <f>[1]发票导入!AM198</f>
        <v>0</v>
      </c>
      <c r="AN198" s="22">
        <f t="shared" si="1"/>
        <v>0</v>
      </c>
      <c r="AO198" s="22">
        <f t="shared" si="2"/>
        <v>0</v>
      </c>
    </row>
    <row r="199">
      <c r="C199">
        <f>[1]发票导入!C199&amp;""</f>
      </c>
      <c r="D199">
        <f>[1]发票导入!D199&amp;""</f>
      </c>
      <c r="O199">
        <f>[1]发票导入!O199&amp;""</f>
      </c>
      <c r="T199">
        <f>[1]发票导入!T199</f>
      </c>
      <c r="U199">
        <f>[1]发票导入!U199&amp;""</f>
      </c>
      <c r="V199">
        <f>[1]发票导入!V199&amp;""</f>
      </c>
      <c r="W199">
        <f>[1]发票导入!W199&amp;""</f>
      </c>
      <c r="Y199">
        <f>[1]发票导入!Y199&amp;""</f>
      </c>
      <c r="AA199">
        <f>[1]发票导入!AA199&amp;""</f>
      </c>
      <c r="AB199">
        <f>[1]发票导入!AB199</f>
        <v>0</v>
      </c>
      <c r="AC199">
        <f>[1]发票导入!AC199</f>
        <v>0</v>
      </c>
      <c r="AE199" s="22">
        <f t="shared" si="0"/>
      </c>
      <c r="AI199">
        <f>[1]发票导入!AI199&amp;""</f>
      </c>
      <c r="AJ199">
        <f>[1]发票导入!AJ199&amp;""</f>
      </c>
      <c r="AK199">
        <f>[1]发票导入!AK199</f>
        <v>0</v>
      </c>
      <c r="AL199">
        <f>[1]发票导入!AL199</f>
        <v>0</v>
      </c>
      <c r="AM199">
        <f>[1]发票导入!AM199</f>
        <v>0</v>
      </c>
      <c r="AN199" s="22">
        <f t="shared" si="1"/>
        <v>0</v>
      </c>
      <c r="AO199" s="22">
        <f t="shared" si="2"/>
        <v>0</v>
      </c>
    </row>
    <row r="200">
      <c r="C200">
        <f>[1]发票导入!C200&amp;""</f>
      </c>
      <c r="D200">
        <f>[1]发票导入!D200&amp;""</f>
      </c>
      <c r="O200">
        <f>[1]发票导入!O200&amp;""</f>
      </c>
      <c r="T200">
        <f>[1]发票导入!T200</f>
      </c>
      <c r="U200">
        <f>[1]发票导入!U200&amp;""</f>
      </c>
      <c r="V200">
        <f>[1]发票导入!V200&amp;""</f>
      </c>
      <c r="W200">
        <f>[1]发票导入!W200&amp;""</f>
      </c>
      <c r="Y200">
        <f>[1]发票导入!Y200&amp;""</f>
      </c>
      <c r="AA200">
        <f>[1]发票导入!AA200&amp;""</f>
      </c>
      <c r="AB200">
        <f>[1]发票导入!AB200</f>
        <v>0</v>
      </c>
      <c r="AC200">
        <f>[1]发票导入!AC200</f>
        <v>0</v>
      </c>
      <c r="AE200" s="22">
        <f t="shared" si="0"/>
      </c>
      <c r="AI200">
        <f>[1]发票导入!AI200&amp;""</f>
      </c>
      <c r="AJ200">
        <f>[1]发票导入!AJ200&amp;""</f>
      </c>
      <c r="AK200">
        <f>[1]发票导入!AK200</f>
        <v>0</v>
      </c>
      <c r="AL200">
        <f>[1]发票导入!AL200</f>
        <v>0</v>
      </c>
      <c r="AM200">
        <f>[1]发票导入!AM200</f>
        <v>0</v>
      </c>
      <c r="AN200" s="22">
        <f t="shared" si="1"/>
        <v>0</v>
      </c>
      <c r="AO200" s="22">
        <f t="shared" si="2"/>
        <v>0</v>
      </c>
    </row>
    <row r="201">
      <c r="C201">
        <f>[1]发票导入!C201&amp;""</f>
      </c>
      <c r="D201">
        <f>[1]发票导入!D201&amp;""</f>
      </c>
      <c r="O201">
        <f>[1]发票导入!O201&amp;""</f>
      </c>
      <c r="T201">
        <f>[1]发票导入!T201</f>
      </c>
      <c r="U201">
        <f>[1]发票导入!U201&amp;""</f>
      </c>
      <c r="V201">
        <f>[1]发票导入!V201&amp;""</f>
      </c>
      <c r="W201">
        <f>[1]发票导入!W201&amp;""</f>
      </c>
      <c r="Y201">
        <f>[1]发票导入!Y201&amp;""</f>
      </c>
      <c r="AA201">
        <f>[1]发票导入!AA201&amp;""</f>
      </c>
      <c r="AB201">
        <f>[1]发票导入!AB201</f>
        <v>0</v>
      </c>
      <c r="AC201">
        <f>[1]发票导入!AC201</f>
        <v>0</v>
      </c>
      <c r="AE201" s="22">
        <f t="shared" si="0"/>
      </c>
      <c r="AI201">
        <f>[1]发票导入!AI201&amp;""</f>
      </c>
      <c r="AJ201">
        <f>[1]发票导入!AJ201&amp;""</f>
      </c>
      <c r="AK201">
        <f>[1]发票导入!AK201</f>
        <v>0</v>
      </c>
      <c r="AL201">
        <f>[1]发票导入!AL201</f>
        <v>0</v>
      </c>
      <c r="AM201">
        <f>[1]发票导入!AM201</f>
        <v>0</v>
      </c>
      <c r="AN201" s="22">
        <f t="shared" si="1"/>
        <v>0</v>
      </c>
      <c r="AO201" s="22">
        <f t="shared" si="2"/>
        <v>0</v>
      </c>
    </row>
    <row r="202">
      <c r="C202">
        <f>[1]发票导入!C202&amp;""</f>
      </c>
      <c r="D202">
        <f>[1]发票导入!D202&amp;""</f>
      </c>
      <c r="O202">
        <f>[1]发票导入!O202&amp;""</f>
      </c>
      <c r="T202">
        <f>[1]发票导入!T202</f>
      </c>
      <c r="U202">
        <f>[1]发票导入!U202&amp;""</f>
      </c>
      <c r="V202">
        <f>[1]发票导入!V202&amp;""</f>
      </c>
      <c r="W202">
        <f>[1]发票导入!W202&amp;""</f>
      </c>
      <c r="Y202">
        <f>[1]发票导入!Y202&amp;""</f>
      </c>
      <c r="AA202">
        <f>[1]发票导入!AA202&amp;""</f>
      </c>
      <c r="AB202">
        <f>[1]发票导入!AB202</f>
        <v>0</v>
      </c>
      <c r="AC202">
        <f>[1]发票导入!AC202</f>
        <v>0</v>
      </c>
      <c r="AE202" s="22">
        <f t="shared" si="0"/>
      </c>
      <c r="AI202">
        <f>[1]发票导入!AI202&amp;""</f>
      </c>
      <c r="AJ202">
        <f>[1]发票导入!AJ202&amp;""</f>
      </c>
      <c r="AK202">
        <f>[1]发票导入!AK202</f>
        <v>0</v>
      </c>
      <c r="AL202">
        <f>[1]发票导入!AL202</f>
        <v>0</v>
      </c>
      <c r="AM202">
        <f>[1]发票导入!AM202</f>
        <v>0</v>
      </c>
      <c r="AN202" s="22">
        <f t="shared" si="1"/>
        <v>0</v>
      </c>
      <c r="AO202" s="22">
        <f t="shared" si="2"/>
        <v>0</v>
      </c>
    </row>
    <row r="203">
      <c r="C203">
        <f>[1]发票导入!C203&amp;""</f>
      </c>
      <c r="D203">
        <f>[1]发票导入!D203&amp;""</f>
      </c>
      <c r="O203">
        <f>[1]发票导入!O203&amp;""</f>
      </c>
      <c r="T203">
        <f>[1]发票导入!T203</f>
      </c>
      <c r="U203">
        <f>[1]发票导入!U203&amp;""</f>
      </c>
      <c r="V203">
        <f>[1]发票导入!V203&amp;""</f>
      </c>
      <c r="W203">
        <f>[1]发票导入!W203&amp;""</f>
      </c>
      <c r="Y203">
        <f>[1]发票导入!Y203&amp;""</f>
      </c>
      <c r="AA203">
        <f>[1]发票导入!AA203&amp;""</f>
      </c>
      <c r="AB203">
        <f>[1]发票导入!AB203</f>
        <v>0</v>
      </c>
      <c r="AC203">
        <f>[1]发票导入!AC203</f>
        <v>0</v>
      </c>
      <c r="AE203" s="22">
        <f t="shared" si="0"/>
      </c>
      <c r="AI203">
        <f>[1]发票导入!AI203&amp;""</f>
      </c>
      <c r="AJ203">
        <f>[1]发票导入!AJ203&amp;""</f>
      </c>
      <c r="AK203">
        <f>[1]发票导入!AK203</f>
        <v>0</v>
      </c>
      <c r="AL203">
        <f>[1]发票导入!AL203</f>
        <v>0</v>
      </c>
      <c r="AM203">
        <f>[1]发票导入!AM203</f>
        <v>0</v>
      </c>
      <c r="AN203" s="22">
        <f t="shared" si="1"/>
        <v>0</v>
      </c>
      <c r="AO203" s="22">
        <f t="shared" si="2"/>
        <v>0</v>
      </c>
    </row>
    <row r="204">
      <c r="C204">
        <f>[1]发票导入!C204&amp;""</f>
      </c>
      <c r="D204">
        <f>[1]发票导入!D204&amp;""</f>
      </c>
      <c r="O204">
        <f>[1]发票导入!O204&amp;""</f>
      </c>
      <c r="T204">
        <f>[1]发票导入!T204</f>
      </c>
      <c r="U204">
        <f>[1]发票导入!U204&amp;""</f>
      </c>
      <c r="V204">
        <f>[1]发票导入!V204&amp;""</f>
      </c>
      <c r="W204">
        <f>[1]发票导入!W204&amp;""</f>
      </c>
      <c r="Y204">
        <f>[1]发票导入!Y204&amp;""</f>
      </c>
      <c r="AA204">
        <f>[1]发票导入!AA204&amp;""</f>
      </c>
      <c r="AB204">
        <f>[1]发票导入!AB204</f>
        <v>0</v>
      </c>
      <c r="AC204">
        <f>[1]发票导入!AC204</f>
        <v>0</v>
      </c>
      <c r="AE204" s="22">
        <f t="shared" si="0"/>
      </c>
      <c r="AI204">
        <f>[1]发票导入!AI204&amp;""</f>
      </c>
      <c r="AJ204">
        <f>[1]发票导入!AJ204&amp;""</f>
      </c>
      <c r="AK204">
        <f>[1]发票导入!AK204</f>
        <v>0</v>
      </c>
      <c r="AL204">
        <f>[1]发票导入!AL204</f>
        <v>0</v>
      </c>
      <c r="AM204">
        <f>[1]发票导入!AM204</f>
        <v>0</v>
      </c>
      <c r="AN204" s="22">
        <f t="shared" si="1"/>
        <v>0</v>
      </c>
      <c r="AO204" s="22">
        <f t="shared" si="2"/>
        <v>0</v>
      </c>
    </row>
    <row r="205">
      <c r="C205">
        <f>[1]发票导入!C205&amp;""</f>
      </c>
      <c r="D205">
        <f>[1]发票导入!D205&amp;""</f>
      </c>
      <c r="O205">
        <f>[1]发票导入!O205&amp;""</f>
      </c>
      <c r="T205">
        <f>[1]发票导入!T205</f>
      </c>
      <c r="U205">
        <f>[1]发票导入!U205&amp;""</f>
      </c>
      <c r="V205">
        <f>[1]发票导入!V205&amp;""</f>
      </c>
      <c r="W205">
        <f>[1]发票导入!W205&amp;""</f>
      </c>
      <c r="Y205">
        <f>[1]发票导入!Y205&amp;""</f>
      </c>
      <c r="AA205">
        <f>[1]发票导入!AA205&amp;""</f>
      </c>
      <c r="AB205">
        <f>[1]发票导入!AB205</f>
        <v>0</v>
      </c>
      <c r="AC205">
        <f>[1]发票导入!AC205</f>
        <v>0</v>
      </c>
      <c r="AE205" s="22">
        <f t="shared" si="0"/>
      </c>
      <c r="AI205">
        <f>[1]发票导入!AI205&amp;""</f>
      </c>
      <c r="AJ205">
        <f>[1]发票导入!AJ205&amp;""</f>
      </c>
      <c r="AK205">
        <f>[1]发票导入!AK205</f>
        <v>0</v>
      </c>
      <c r="AL205">
        <f>[1]发票导入!AL205</f>
        <v>0</v>
      </c>
      <c r="AM205">
        <f>[1]发票导入!AM205</f>
        <v>0</v>
      </c>
      <c r="AN205" s="22">
        <f t="shared" si="1"/>
        <v>0</v>
      </c>
      <c r="AO205" s="22">
        <f t="shared" si="2"/>
        <v>0</v>
      </c>
    </row>
    <row r="206">
      <c r="C206">
        <f>[1]发票导入!C206&amp;""</f>
      </c>
      <c r="D206">
        <f>[1]发票导入!D206&amp;""</f>
      </c>
      <c r="O206">
        <f>[1]发票导入!O206&amp;""</f>
      </c>
      <c r="T206">
        <f>[1]发票导入!T206</f>
      </c>
      <c r="U206">
        <f>[1]发票导入!U206&amp;""</f>
      </c>
      <c r="V206">
        <f>[1]发票导入!V206&amp;""</f>
      </c>
      <c r="W206">
        <f>[1]发票导入!W206&amp;""</f>
      </c>
      <c r="Y206">
        <f>[1]发票导入!Y206&amp;""</f>
      </c>
      <c r="AA206">
        <f>[1]发票导入!AA206&amp;""</f>
      </c>
      <c r="AB206">
        <f>[1]发票导入!AB206</f>
        <v>0</v>
      </c>
      <c r="AC206">
        <f>[1]发票导入!AC206</f>
        <v>0</v>
      </c>
      <c r="AE206" s="22">
        <f t="shared" si="0"/>
      </c>
      <c r="AI206">
        <f>[1]发票导入!AI206&amp;""</f>
      </c>
      <c r="AJ206">
        <f>[1]发票导入!AJ206&amp;""</f>
      </c>
      <c r="AK206">
        <f>[1]发票导入!AK206</f>
        <v>0</v>
      </c>
      <c r="AL206">
        <f>[1]发票导入!AL206</f>
        <v>0</v>
      </c>
      <c r="AM206">
        <f>[1]发票导入!AM206</f>
        <v>0</v>
      </c>
      <c r="AN206" s="22">
        <f t="shared" si="1"/>
        <v>0</v>
      </c>
      <c r="AO206" s="22">
        <f t="shared" si="2"/>
        <v>0</v>
      </c>
    </row>
    <row r="207">
      <c r="C207">
        <f>[1]发票导入!C207&amp;""</f>
      </c>
      <c r="D207">
        <f>[1]发票导入!D207&amp;""</f>
      </c>
      <c r="O207">
        <f>[1]发票导入!O207&amp;""</f>
      </c>
      <c r="T207">
        <f>[1]发票导入!T207</f>
      </c>
      <c r="U207">
        <f>[1]发票导入!U207&amp;""</f>
      </c>
      <c r="V207">
        <f>[1]发票导入!V207&amp;""</f>
      </c>
      <c r="W207">
        <f>[1]发票导入!W207&amp;""</f>
      </c>
      <c r="Y207">
        <f>[1]发票导入!Y207&amp;""</f>
      </c>
      <c r="AA207">
        <f>[1]发票导入!AA207&amp;""</f>
      </c>
      <c r="AB207">
        <f>[1]发票导入!AB207</f>
        <v>0</v>
      </c>
      <c r="AC207">
        <f>[1]发票导入!AC207</f>
        <v>0</v>
      </c>
      <c r="AE207" s="22">
        <f t="shared" si="0"/>
      </c>
      <c r="AI207">
        <f>[1]发票导入!AI207&amp;""</f>
      </c>
      <c r="AJ207">
        <f>[1]发票导入!AJ207&amp;""</f>
      </c>
      <c r="AK207">
        <f>[1]发票导入!AK207</f>
        <v>0</v>
      </c>
      <c r="AL207">
        <f>[1]发票导入!AL207</f>
        <v>0</v>
      </c>
      <c r="AM207">
        <f>[1]发票导入!AM207</f>
        <v>0</v>
      </c>
      <c r="AN207" s="22">
        <f t="shared" si="1"/>
        <v>0</v>
      </c>
      <c r="AO207" s="22">
        <f t="shared" si="2"/>
        <v>0</v>
      </c>
    </row>
    <row r="208">
      <c r="C208">
        <f>[1]发票导入!C208&amp;""</f>
      </c>
      <c r="D208">
        <f>[1]发票导入!D208&amp;""</f>
      </c>
      <c r="O208">
        <f>[1]发票导入!O208&amp;""</f>
      </c>
      <c r="T208">
        <f>[1]发票导入!T208</f>
      </c>
      <c r="U208">
        <f>[1]发票导入!U208&amp;""</f>
      </c>
      <c r="V208">
        <f>[1]发票导入!V208&amp;""</f>
      </c>
      <c r="W208">
        <f>[1]发票导入!W208&amp;""</f>
      </c>
      <c r="Y208">
        <f>[1]发票导入!Y208&amp;""</f>
      </c>
      <c r="AA208">
        <f>[1]发票导入!AA208&amp;""</f>
      </c>
      <c r="AB208">
        <f>[1]发票导入!AB208</f>
        <v>0</v>
      </c>
      <c r="AC208">
        <f>[1]发票导入!AC208</f>
        <v>0</v>
      </c>
      <c r="AE208" s="22">
        <f t="shared" si="0"/>
      </c>
      <c r="AI208">
        <f>[1]发票导入!AI208&amp;""</f>
      </c>
      <c r="AJ208">
        <f>[1]发票导入!AJ208&amp;""</f>
      </c>
      <c r="AK208">
        <f>[1]发票导入!AK208</f>
        <v>0</v>
      </c>
      <c r="AL208">
        <f>[1]发票导入!AL208</f>
        <v>0</v>
      </c>
      <c r="AM208">
        <f>[1]发票导入!AM208</f>
        <v>0</v>
      </c>
      <c r="AN208" s="22">
        <f t="shared" si="1"/>
        <v>0</v>
      </c>
      <c r="AO208" s="22">
        <f t="shared" si="2"/>
        <v>0</v>
      </c>
    </row>
    <row r="209">
      <c r="C209">
        <f>[1]发票导入!C209&amp;""</f>
      </c>
      <c r="D209">
        <f>[1]发票导入!D209&amp;""</f>
      </c>
      <c r="O209">
        <f>[1]发票导入!O209&amp;""</f>
      </c>
      <c r="T209">
        <f>[1]发票导入!T209</f>
      </c>
      <c r="U209">
        <f>[1]发票导入!U209&amp;""</f>
      </c>
      <c r="V209">
        <f>[1]发票导入!V209&amp;""</f>
      </c>
      <c r="W209">
        <f>[1]发票导入!W209&amp;""</f>
      </c>
      <c r="Y209">
        <f>[1]发票导入!Y209&amp;""</f>
      </c>
      <c r="AA209">
        <f>[1]发票导入!AA209&amp;""</f>
      </c>
      <c r="AB209">
        <f>[1]发票导入!AB209</f>
        <v>0</v>
      </c>
      <c r="AC209">
        <f>[1]发票导入!AC209</f>
        <v>0</v>
      </c>
      <c r="AE209" s="22">
        <f t="shared" si="0"/>
      </c>
      <c r="AI209">
        <f>[1]发票导入!AI209&amp;""</f>
      </c>
      <c r="AJ209">
        <f>[1]发票导入!AJ209&amp;""</f>
      </c>
      <c r="AK209">
        <f>[1]发票导入!AK209</f>
        <v>0</v>
      </c>
      <c r="AL209">
        <f>[1]发票导入!AL209</f>
        <v>0</v>
      </c>
      <c r="AM209">
        <f>[1]发票导入!AM209</f>
        <v>0</v>
      </c>
      <c r="AN209" s="22">
        <f t="shared" si="1"/>
        <v>0</v>
      </c>
      <c r="AO209" s="22">
        <f t="shared" si="2"/>
        <v>0</v>
      </c>
    </row>
    <row r="210">
      <c r="C210">
        <f>[1]发票导入!C210&amp;""</f>
      </c>
      <c r="D210">
        <f>[1]发票导入!D210&amp;""</f>
      </c>
      <c r="O210">
        <f>[1]发票导入!O210&amp;""</f>
      </c>
      <c r="T210">
        <f>[1]发票导入!T210</f>
      </c>
      <c r="U210">
        <f>[1]发票导入!U210&amp;""</f>
      </c>
      <c r="V210">
        <f>[1]发票导入!V210&amp;""</f>
      </c>
      <c r="W210">
        <f>[1]发票导入!W210&amp;""</f>
      </c>
      <c r="Y210">
        <f>[1]发票导入!Y210&amp;""</f>
      </c>
      <c r="AA210">
        <f>[1]发票导入!AA210&amp;""</f>
      </c>
      <c r="AB210">
        <f>[1]发票导入!AB210</f>
        <v>0</v>
      </c>
      <c r="AC210">
        <f>[1]发票导入!AC210</f>
        <v>0</v>
      </c>
      <c r="AE210" s="22">
        <f t="shared" si="0"/>
      </c>
      <c r="AI210">
        <f>[1]发票导入!AI210&amp;""</f>
      </c>
      <c r="AJ210">
        <f>[1]发票导入!AJ210&amp;""</f>
      </c>
      <c r="AK210">
        <f>[1]发票导入!AK210</f>
        <v>0</v>
      </c>
      <c r="AL210">
        <f>[1]发票导入!AL210</f>
        <v>0</v>
      </c>
      <c r="AM210">
        <f>[1]发票导入!AM210</f>
        <v>0</v>
      </c>
      <c r="AN210" s="22">
        <f t="shared" si="1"/>
        <v>0</v>
      </c>
      <c r="AO210" s="22">
        <f t="shared" si="2"/>
        <v>0</v>
      </c>
    </row>
    <row r="211">
      <c r="C211">
        <f>[1]发票导入!C211&amp;""</f>
      </c>
      <c r="D211">
        <f>[1]发票导入!D211&amp;""</f>
      </c>
      <c r="O211">
        <f>[1]发票导入!O211&amp;""</f>
      </c>
      <c r="T211">
        <f>[1]发票导入!T211</f>
      </c>
      <c r="U211">
        <f>[1]发票导入!U211&amp;""</f>
      </c>
      <c r="V211">
        <f>[1]发票导入!V211&amp;""</f>
      </c>
      <c r="W211">
        <f>[1]发票导入!W211&amp;""</f>
      </c>
      <c r="Y211">
        <f>[1]发票导入!Y211&amp;""</f>
      </c>
      <c r="AA211">
        <f>[1]发票导入!AA211&amp;""</f>
      </c>
      <c r="AB211">
        <f>[1]发票导入!AB211</f>
        <v>0</v>
      </c>
      <c r="AC211">
        <f>[1]发票导入!AC211</f>
        <v>0</v>
      </c>
      <c r="AE211" s="22">
        <f t="shared" si="0"/>
      </c>
      <c r="AI211">
        <f>[1]发票导入!AI211&amp;""</f>
      </c>
      <c r="AJ211">
        <f>[1]发票导入!AJ211&amp;""</f>
      </c>
      <c r="AK211">
        <f>[1]发票导入!AK211</f>
        <v>0</v>
      </c>
      <c r="AL211">
        <f>[1]发票导入!AL211</f>
        <v>0</v>
      </c>
      <c r="AM211">
        <f>[1]发票导入!AM211</f>
        <v>0</v>
      </c>
      <c r="AN211" s="22">
        <f t="shared" si="1"/>
        <v>0</v>
      </c>
      <c r="AO211" s="22">
        <f t="shared" si="2"/>
        <v>0</v>
      </c>
    </row>
    <row r="212">
      <c r="C212">
        <f>[1]发票导入!C212&amp;""</f>
      </c>
      <c r="D212">
        <f>[1]发票导入!D212&amp;""</f>
      </c>
      <c r="O212">
        <f>[1]发票导入!O212&amp;""</f>
      </c>
      <c r="T212">
        <f>[1]发票导入!T212</f>
      </c>
      <c r="U212">
        <f>[1]发票导入!U212&amp;""</f>
      </c>
      <c r="V212">
        <f>[1]发票导入!V212&amp;""</f>
      </c>
      <c r="W212">
        <f>[1]发票导入!W212&amp;""</f>
      </c>
      <c r="Y212">
        <f>[1]发票导入!Y212&amp;""</f>
      </c>
      <c r="AA212">
        <f>[1]发票导入!AA212&amp;""</f>
      </c>
      <c r="AB212">
        <f>[1]发票导入!AB212</f>
        <v>0</v>
      </c>
      <c r="AC212">
        <f>[1]发票导入!AC212</f>
        <v>0</v>
      </c>
      <c r="AE212" s="22">
        <f t="shared" si="0"/>
      </c>
      <c r="AI212">
        <f>[1]发票导入!AI212&amp;""</f>
      </c>
      <c r="AJ212">
        <f>[1]发票导入!AJ212&amp;""</f>
      </c>
      <c r="AK212">
        <f>[1]发票导入!AK212</f>
        <v>0</v>
      </c>
      <c r="AL212">
        <f>[1]发票导入!AL212</f>
        <v>0</v>
      </c>
      <c r="AM212">
        <f>[1]发票导入!AM212</f>
        <v>0</v>
      </c>
      <c r="AN212" s="22">
        <f t="shared" si="1"/>
        <v>0</v>
      </c>
      <c r="AO212" s="22">
        <f t="shared" si="2"/>
        <v>0</v>
      </c>
    </row>
    <row r="213">
      <c r="C213">
        <f>[1]发票导入!C213&amp;""</f>
      </c>
      <c r="D213">
        <f>[1]发票导入!D213&amp;""</f>
      </c>
      <c r="O213">
        <f>[1]发票导入!O213&amp;""</f>
      </c>
      <c r="T213">
        <f>[1]发票导入!T213</f>
      </c>
      <c r="U213">
        <f>[1]发票导入!U213&amp;""</f>
      </c>
      <c r="V213">
        <f>[1]发票导入!V213&amp;""</f>
      </c>
      <c r="W213">
        <f>[1]发票导入!W213&amp;""</f>
      </c>
      <c r="Y213">
        <f>[1]发票导入!Y213&amp;""</f>
      </c>
      <c r="AA213">
        <f>[1]发票导入!AA213&amp;""</f>
      </c>
      <c r="AB213">
        <f>[1]发票导入!AB213</f>
        <v>0</v>
      </c>
      <c r="AC213">
        <f>[1]发票导入!AC213</f>
        <v>0</v>
      </c>
      <c r="AE213" s="22">
        <f t="shared" si="0"/>
      </c>
      <c r="AI213">
        <f>[1]发票导入!AI213&amp;""</f>
      </c>
      <c r="AJ213">
        <f>[1]发票导入!AJ213&amp;""</f>
      </c>
      <c r="AK213">
        <f>[1]发票导入!AK213</f>
        <v>0</v>
      </c>
      <c r="AL213">
        <f>[1]发票导入!AL213</f>
        <v>0</v>
      </c>
      <c r="AM213">
        <f>[1]发票导入!AM213</f>
        <v>0</v>
      </c>
      <c r="AN213" s="22">
        <f t="shared" si="1"/>
        <v>0</v>
      </c>
      <c r="AO213" s="22">
        <f t="shared" si="2"/>
        <v>0</v>
      </c>
    </row>
    <row r="214">
      <c r="C214">
        <f>[1]发票导入!C214&amp;""</f>
      </c>
      <c r="D214">
        <f>[1]发票导入!D214&amp;""</f>
      </c>
      <c r="O214">
        <f>[1]发票导入!O214&amp;""</f>
      </c>
      <c r="T214">
        <f>[1]发票导入!T214</f>
      </c>
      <c r="U214">
        <f>[1]发票导入!U214&amp;""</f>
      </c>
      <c r="V214">
        <f>[1]发票导入!V214&amp;""</f>
      </c>
      <c r="W214">
        <f>[1]发票导入!W214&amp;""</f>
      </c>
      <c r="Y214">
        <f>[1]发票导入!Y214&amp;""</f>
      </c>
      <c r="AA214">
        <f>[1]发票导入!AA214&amp;""</f>
      </c>
      <c r="AB214">
        <f>[1]发票导入!AB214</f>
        <v>0</v>
      </c>
      <c r="AC214">
        <f>[1]发票导入!AC214</f>
        <v>0</v>
      </c>
      <c r="AE214" s="22">
        <f t="shared" si="0"/>
      </c>
      <c r="AI214">
        <f>[1]发票导入!AI214&amp;""</f>
      </c>
      <c r="AJ214">
        <f>[1]发票导入!AJ214&amp;""</f>
      </c>
      <c r="AK214">
        <f>[1]发票导入!AK214</f>
        <v>0</v>
      </c>
      <c r="AL214">
        <f>[1]发票导入!AL214</f>
        <v>0</v>
      </c>
      <c r="AM214">
        <f>[1]发票导入!AM214</f>
        <v>0</v>
      </c>
      <c r="AN214" s="22">
        <f t="shared" si="1"/>
        <v>0</v>
      </c>
      <c r="AO214" s="22">
        <f t="shared" si="2"/>
        <v>0</v>
      </c>
    </row>
    <row r="215">
      <c r="C215">
        <f>[1]发票导入!C215&amp;""</f>
      </c>
      <c r="D215">
        <f>[1]发票导入!D215&amp;""</f>
      </c>
      <c r="O215">
        <f>[1]发票导入!O215&amp;""</f>
      </c>
      <c r="T215">
        <f>[1]发票导入!T215</f>
      </c>
      <c r="U215">
        <f>[1]发票导入!U215&amp;""</f>
      </c>
      <c r="V215">
        <f>[1]发票导入!V215&amp;""</f>
      </c>
      <c r="W215">
        <f>[1]发票导入!W215&amp;""</f>
      </c>
      <c r="Y215">
        <f>[1]发票导入!Y215&amp;""</f>
      </c>
      <c r="AA215">
        <f>[1]发票导入!AA215&amp;""</f>
      </c>
      <c r="AB215">
        <f>[1]发票导入!AB215</f>
        <v>0</v>
      </c>
      <c r="AC215">
        <f>[1]发票导入!AC215</f>
        <v>0</v>
      </c>
      <c r="AE215" s="22">
        <f t="shared" si="0"/>
      </c>
      <c r="AI215">
        <f>[1]发票导入!AI215&amp;""</f>
      </c>
      <c r="AJ215">
        <f>[1]发票导入!AJ215&amp;""</f>
      </c>
      <c r="AK215">
        <f>[1]发票导入!AK215</f>
        <v>0</v>
      </c>
      <c r="AL215">
        <f>[1]发票导入!AL215</f>
        <v>0</v>
      </c>
      <c r="AM215">
        <f>[1]发票导入!AM215</f>
        <v>0</v>
      </c>
      <c r="AN215" s="22">
        <f t="shared" si="1"/>
        <v>0</v>
      </c>
      <c r="AO215" s="22">
        <f t="shared" si="2"/>
        <v>0</v>
      </c>
    </row>
    <row r="216">
      <c r="C216">
        <f>[1]发票导入!C216&amp;""</f>
      </c>
      <c r="D216">
        <f>[1]发票导入!D216&amp;""</f>
      </c>
      <c r="O216">
        <f>[1]发票导入!O216&amp;""</f>
      </c>
      <c r="T216">
        <f>[1]发票导入!T216</f>
      </c>
      <c r="U216">
        <f>[1]发票导入!U216&amp;""</f>
      </c>
      <c r="V216">
        <f>[1]发票导入!V216&amp;""</f>
      </c>
      <c r="W216">
        <f>[1]发票导入!W216&amp;""</f>
      </c>
      <c r="Y216">
        <f>[1]发票导入!Y216&amp;""</f>
      </c>
      <c r="AA216">
        <f>[1]发票导入!AA216&amp;""</f>
      </c>
      <c r="AB216">
        <f>[1]发票导入!AB216</f>
        <v>0</v>
      </c>
      <c r="AC216">
        <f>[1]发票导入!AC216</f>
        <v>0</v>
      </c>
      <c r="AE216" s="22">
        <f t="shared" si="0"/>
      </c>
      <c r="AI216">
        <f>[1]发票导入!AI216&amp;""</f>
      </c>
      <c r="AJ216">
        <f>[1]发票导入!AJ216&amp;""</f>
      </c>
      <c r="AK216">
        <f>[1]发票导入!AK216</f>
        <v>0</v>
      </c>
      <c r="AL216">
        <f>[1]发票导入!AL216</f>
        <v>0</v>
      </c>
      <c r="AM216">
        <f>[1]发票导入!AM216</f>
        <v>0</v>
      </c>
      <c r="AN216" s="22">
        <f t="shared" si="1"/>
        <v>0</v>
      </c>
      <c r="AO216" s="22">
        <f t="shared" si="2"/>
        <v>0</v>
      </c>
    </row>
    <row r="217">
      <c r="C217">
        <f>[1]发票导入!C217&amp;""</f>
      </c>
      <c r="D217">
        <f>[1]发票导入!D217&amp;""</f>
      </c>
      <c r="O217">
        <f>[1]发票导入!O217&amp;""</f>
      </c>
      <c r="T217">
        <f>[1]发票导入!T217</f>
      </c>
      <c r="U217">
        <f>[1]发票导入!U217&amp;""</f>
      </c>
      <c r="V217">
        <f>[1]发票导入!V217&amp;""</f>
      </c>
      <c r="W217">
        <f>[1]发票导入!W217&amp;""</f>
      </c>
      <c r="Y217">
        <f>[1]发票导入!Y217&amp;""</f>
      </c>
      <c r="AA217">
        <f>[1]发票导入!AA217&amp;""</f>
      </c>
      <c r="AB217">
        <f>[1]发票导入!AB217</f>
        <v>0</v>
      </c>
      <c r="AC217">
        <f>[1]发票导入!AC217</f>
        <v>0</v>
      </c>
      <c r="AE217" s="22">
        <f t="shared" si="0"/>
      </c>
      <c r="AI217">
        <f>[1]发票导入!AI217&amp;""</f>
      </c>
      <c r="AJ217">
        <f>[1]发票导入!AJ217&amp;""</f>
      </c>
      <c r="AK217">
        <f>[1]发票导入!AK217</f>
        <v>0</v>
      </c>
      <c r="AL217">
        <f>[1]发票导入!AL217</f>
        <v>0</v>
      </c>
      <c r="AM217">
        <f>[1]发票导入!AM217</f>
        <v>0</v>
      </c>
      <c r="AN217" s="22">
        <f t="shared" si="1"/>
        <v>0</v>
      </c>
      <c r="AO217" s="22">
        <f t="shared" si="2"/>
        <v>0</v>
      </c>
    </row>
    <row r="218">
      <c r="C218">
        <f>[1]发票导入!C218&amp;""</f>
      </c>
      <c r="D218">
        <f>[1]发票导入!D218&amp;""</f>
      </c>
      <c r="O218">
        <f>[1]发票导入!O218&amp;""</f>
      </c>
      <c r="T218">
        <f>[1]发票导入!T218</f>
      </c>
      <c r="U218">
        <f>[1]发票导入!U218&amp;""</f>
      </c>
      <c r="V218">
        <f>[1]发票导入!V218&amp;""</f>
      </c>
      <c r="W218">
        <f>[1]发票导入!W218&amp;""</f>
      </c>
      <c r="Y218">
        <f>[1]发票导入!Y218&amp;""</f>
      </c>
      <c r="AA218">
        <f>[1]发票导入!AA218&amp;""</f>
      </c>
      <c r="AB218">
        <f>[1]发票导入!AB218</f>
        <v>0</v>
      </c>
      <c r="AC218">
        <f>[1]发票导入!AC218</f>
        <v>0</v>
      </c>
      <c r="AE218" s="22">
        <f t="shared" si="0"/>
      </c>
      <c r="AI218">
        <f>[1]发票导入!AI218&amp;""</f>
      </c>
      <c r="AJ218">
        <f>[1]发票导入!AJ218&amp;""</f>
      </c>
      <c r="AK218">
        <f>[1]发票导入!AK218</f>
        <v>0</v>
      </c>
      <c r="AL218">
        <f>[1]发票导入!AL218</f>
        <v>0</v>
      </c>
      <c r="AM218">
        <f>[1]发票导入!AM218</f>
        <v>0</v>
      </c>
      <c r="AN218" s="22">
        <f t="shared" si="1"/>
        <v>0</v>
      </c>
      <c r="AO218" s="22">
        <f t="shared" si="2"/>
        <v>0</v>
      </c>
    </row>
    <row r="219">
      <c r="C219">
        <f>[1]发票导入!C219&amp;""</f>
      </c>
      <c r="D219">
        <f>[1]发票导入!D219&amp;""</f>
      </c>
      <c r="O219">
        <f>[1]发票导入!O219&amp;""</f>
      </c>
      <c r="T219">
        <f>[1]发票导入!T219</f>
      </c>
      <c r="U219">
        <f>[1]发票导入!U219&amp;""</f>
      </c>
      <c r="V219">
        <f>[1]发票导入!V219&amp;""</f>
      </c>
      <c r="W219">
        <f>[1]发票导入!W219&amp;""</f>
      </c>
      <c r="Y219">
        <f>[1]发票导入!Y219&amp;""</f>
      </c>
      <c r="AA219">
        <f>[1]发票导入!AA219&amp;""</f>
      </c>
      <c r="AB219">
        <f>[1]发票导入!AB219</f>
        <v>0</v>
      </c>
      <c r="AC219">
        <f>[1]发票导入!AC219</f>
        <v>0</v>
      </c>
      <c r="AE219" s="22">
        <f t="shared" si="0"/>
      </c>
      <c r="AI219">
        <f>[1]发票导入!AI219&amp;""</f>
      </c>
      <c r="AJ219">
        <f>[1]发票导入!AJ219&amp;""</f>
      </c>
      <c r="AK219">
        <f>[1]发票导入!AK219</f>
        <v>0</v>
      </c>
      <c r="AL219">
        <f>[1]发票导入!AL219</f>
        <v>0</v>
      </c>
      <c r="AM219">
        <f>[1]发票导入!AM219</f>
        <v>0</v>
      </c>
      <c r="AN219" s="22">
        <f t="shared" si="1"/>
        <v>0</v>
      </c>
      <c r="AO219" s="22">
        <f t="shared" si="2"/>
        <v>0</v>
      </c>
    </row>
    <row r="220">
      <c r="C220">
        <f>[1]发票导入!C220&amp;""</f>
      </c>
      <c r="D220">
        <f>[1]发票导入!D220&amp;""</f>
      </c>
      <c r="O220">
        <f>[1]发票导入!O220&amp;""</f>
      </c>
      <c r="T220">
        <f>[1]发票导入!T220</f>
      </c>
      <c r="U220">
        <f>[1]发票导入!U220&amp;""</f>
      </c>
      <c r="V220">
        <f>[1]发票导入!V220&amp;""</f>
      </c>
      <c r="W220">
        <f>[1]发票导入!W220&amp;""</f>
      </c>
      <c r="Y220">
        <f>[1]发票导入!Y220&amp;""</f>
      </c>
      <c r="AA220">
        <f>[1]发票导入!AA220&amp;""</f>
      </c>
      <c r="AB220">
        <f>[1]发票导入!AB220</f>
        <v>0</v>
      </c>
      <c r="AC220">
        <f>[1]发票导入!AC220</f>
        <v>0</v>
      </c>
      <c r="AE220" s="22">
        <f t="shared" si="0"/>
      </c>
      <c r="AI220">
        <f>[1]发票导入!AI220&amp;""</f>
      </c>
      <c r="AJ220">
        <f>[1]发票导入!AJ220&amp;""</f>
      </c>
      <c r="AK220">
        <f>[1]发票导入!AK220</f>
        <v>0</v>
      </c>
      <c r="AL220">
        <f>[1]发票导入!AL220</f>
        <v>0</v>
      </c>
      <c r="AM220">
        <f>[1]发票导入!AM220</f>
        <v>0</v>
      </c>
      <c r="AN220" s="22">
        <f t="shared" si="1"/>
        <v>0</v>
      </c>
      <c r="AO220" s="22">
        <f t="shared" si="2"/>
        <v>0</v>
      </c>
    </row>
    <row r="221">
      <c r="C221">
        <f>[1]发票导入!C221&amp;""</f>
      </c>
      <c r="D221">
        <f>[1]发票导入!D221&amp;""</f>
      </c>
      <c r="O221">
        <f>[1]发票导入!O221&amp;""</f>
      </c>
      <c r="T221">
        <f>[1]发票导入!T221</f>
      </c>
      <c r="U221">
        <f>[1]发票导入!U221&amp;""</f>
      </c>
      <c r="V221">
        <f>[1]发票导入!V221&amp;""</f>
      </c>
      <c r="W221">
        <f>[1]发票导入!W221&amp;""</f>
      </c>
      <c r="Y221">
        <f>[1]发票导入!Y221&amp;""</f>
      </c>
      <c r="AA221">
        <f>[1]发票导入!AA221&amp;""</f>
      </c>
      <c r="AB221">
        <f>[1]发票导入!AB221</f>
        <v>0</v>
      </c>
      <c r="AC221">
        <f>[1]发票导入!AC221</f>
        <v>0</v>
      </c>
      <c r="AE221" s="22">
        <f t="shared" si="0"/>
      </c>
      <c r="AI221">
        <f>[1]发票导入!AI221&amp;""</f>
      </c>
      <c r="AJ221">
        <f>[1]发票导入!AJ221&amp;""</f>
      </c>
      <c r="AK221">
        <f>[1]发票导入!AK221</f>
        <v>0</v>
      </c>
      <c r="AL221">
        <f>[1]发票导入!AL221</f>
        <v>0</v>
      </c>
      <c r="AM221">
        <f>[1]发票导入!AM221</f>
        <v>0</v>
      </c>
      <c r="AN221" s="22">
        <f t="shared" si="1"/>
        <v>0</v>
      </c>
      <c r="AO221" s="22">
        <f t="shared" si="2"/>
        <v>0</v>
      </c>
    </row>
    <row r="222">
      <c r="C222">
        <f>[1]发票导入!C222&amp;""</f>
      </c>
      <c r="D222">
        <f>[1]发票导入!D222&amp;""</f>
      </c>
      <c r="O222">
        <f>[1]发票导入!O222&amp;""</f>
      </c>
      <c r="T222">
        <f>[1]发票导入!T222</f>
      </c>
      <c r="U222">
        <f>[1]发票导入!U222&amp;""</f>
      </c>
      <c r="V222">
        <f>[1]发票导入!V222&amp;""</f>
      </c>
      <c r="W222">
        <f>[1]发票导入!W222&amp;""</f>
      </c>
      <c r="Y222">
        <f>[1]发票导入!Y222&amp;""</f>
      </c>
      <c r="AA222">
        <f>[1]发票导入!AA222&amp;""</f>
      </c>
      <c r="AB222">
        <f>[1]发票导入!AB222</f>
        <v>0</v>
      </c>
      <c r="AC222">
        <f>[1]发票导入!AC222</f>
        <v>0</v>
      </c>
      <c r="AE222" s="22">
        <f t="shared" si="0"/>
      </c>
      <c r="AI222">
        <f>[1]发票导入!AI222&amp;""</f>
      </c>
      <c r="AJ222">
        <f>[1]发票导入!AJ222&amp;""</f>
      </c>
      <c r="AK222">
        <f>[1]发票导入!AK222</f>
        <v>0</v>
      </c>
      <c r="AL222">
        <f>[1]发票导入!AL222</f>
        <v>0</v>
      </c>
      <c r="AM222">
        <f>[1]发票导入!AM222</f>
        <v>0</v>
      </c>
      <c r="AN222" s="22">
        <f t="shared" si="1"/>
        <v>0</v>
      </c>
      <c r="AO222" s="22">
        <f t="shared" si="2"/>
        <v>0</v>
      </c>
    </row>
    <row r="223">
      <c r="C223">
        <f>[1]发票导入!C223&amp;""</f>
      </c>
      <c r="D223">
        <f>[1]发票导入!D223&amp;""</f>
      </c>
      <c r="O223">
        <f>[1]发票导入!O223&amp;""</f>
      </c>
      <c r="T223">
        <f>[1]发票导入!T223</f>
      </c>
      <c r="U223">
        <f>[1]发票导入!U223&amp;""</f>
      </c>
      <c r="V223">
        <f>[1]发票导入!V223&amp;""</f>
      </c>
      <c r="W223">
        <f>[1]发票导入!W223&amp;""</f>
      </c>
      <c r="Y223">
        <f>[1]发票导入!Y223&amp;""</f>
      </c>
      <c r="AA223">
        <f>[1]发票导入!AA223&amp;""</f>
      </c>
      <c r="AB223">
        <f>[1]发票导入!AB223</f>
        <v>0</v>
      </c>
      <c r="AC223">
        <f>[1]发票导入!AC223</f>
        <v>0</v>
      </c>
      <c r="AE223" s="22">
        <f t="shared" si="0"/>
      </c>
      <c r="AI223">
        <f>[1]发票导入!AI223&amp;""</f>
      </c>
      <c r="AJ223">
        <f>[1]发票导入!AJ223&amp;""</f>
      </c>
      <c r="AK223">
        <f>[1]发票导入!AK223</f>
        <v>0</v>
      </c>
      <c r="AL223">
        <f>[1]发票导入!AL223</f>
        <v>0</v>
      </c>
      <c r="AM223">
        <f>[1]发票导入!AM223</f>
        <v>0</v>
      </c>
      <c r="AN223" s="22">
        <f t="shared" si="1"/>
        <v>0</v>
      </c>
      <c r="AO223" s="22">
        <f t="shared" si="2"/>
        <v>0</v>
      </c>
    </row>
    <row r="224">
      <c r="C224">
        <f>[1]发票导入!C224&amp;""</f>
      </c>
      <c r="D224">
        <f>[1]发票导入!D224&amp;""</f>
      </c>
      <c r="O224">
        <f>[1]发票导入!O224&amp;""</f>
      </c>
      <c r="T224">
        <f>[1]发票导入!T224</f>
      </c>
      <c r="U224">
        <f>[1]发票导入!U224&amp;""</f>
      </c>
      <c r="V224">
        <f>[1]发票导入!V224&amp;""</f>
      </c>
      <c r="W224">
        <f>[1]发票导入!W224&amp;""</f>
      </c>
      <c r="Y224">
        <f>[1]发票导入!Y224&amp;""</f>
      </c>
      <c r="AA224">
        <f>[1]发票导入!AA224&amp;""</f>
      </c>
      <c r="AB224">
        <f>[1]发票导入!AB224</f>
        <v>0</v>
      </c>
      <c r="AC224">
        <f>[1]发票导入!AC224</f>
        <v>0</v>
      </c>
      <c r="AE224" s="22">
        <f t="shared" si="0"/>
      </c>
      <c r="AI224">
        <f>[1]发票导入!AI224&amp;""</f>
      </c>
      <c r="AJ224">
        <f>[1]发票导入!AJ224&amp;""</f>
      </c>
      <c r="AK224">
        <f>[1]发票导入!AK224</f>
        <v>0</v>
      </c>
      <c r="AL224">
        <f>[1]发票导入!AL224</f>
        <v>0</v>
      </c>
      <c r="AM224">
        <f>[1]发票导入!AM224</f>
        <v>0</v>
      </c>
      <c r="AN224" s="22">
        <f t="shared" si="1"/>
        <v>0</v>
      </c>
      <c r="AO224" s="22">
        <f t="shared" si="2"/>
        <v>0</v>
      </c>
    </row>
    <row r="225">
      <c r="C225">
        <f>[1]发票导入!C225&amp;""</f>
      </c>
      <c r="D225">
        <f>[1]发票导入!D225&amp;""</f>
      </c>
      <c r="O225">
        <f>[1]发票导入!O225&amp;""</f>
      </c>
      <c r="T225">
        <f>[1]发票导入!T225</f>
      </c>
      <c r="U225">
        <f>[1]发票导入!U225&amp;""</f>
      </c>
      <c r="V225">
        <f>[1]发票导入!V225&amp;""</f>
      </c>
      <c r="W225">
        <f>[1]发票导入!W225&amp;""</f>
      </c>
      <c r="Y225">
        <f>[1]发票导入!Y225&amp;""</f>
      </c>
      <c r="AA225">
        <f>[1]发票导入!AA225&amp;""</f>
      </c>
      <c r="AB225">
        <f>[1]发票导入!AB225</f>
        <v>0</v>
      </c>
      <c r="AC225">
        <f>[1]发票导入!AC225</f>
        <v>0</v>
      </c>
      <c r="AE225" s="22">
        <f t="shared" si="0"/>
      </c>
      <c r="AI225">
        <f>[1]发票导入!AI225&amp;""</f>
      </c>
      <c r="AJ225">
        <f>[1]发票导入!AJ225&amp;""</f>
      </c>
      <c r="AK225">
        <f>[1]发票导入!AK225</f>
        <v>0</v>
      </c>
      <c r="AL225">
        <f>[1]发票导入!AL225</f>
        <v>0</v>
      </c>
      <c r="AM225">
        <f>[1]发票导入!AM225</f>
        <v>0</v>
      </c>
      <c r="AN225" s="22">
        <f t="shared" si="1"/>
        <v>0</v>
      </c>
      <c r="AO225" s="22">
        <f t="shared" si="2"/>
        <v>0</v>
      </c>
    </row>
    <row r="226">
      <c r="C226">
        <f>[1]发票导入!C226&amp;""</f>
      </c>
      <c r="D226">
        <f>[1]发票导入!D226&amp;""</f>
      </c>
      <c r="O226">
        <f>[1]发票导入!O226&amp;""</f>
      </c>
      <c r="T226">
        <f>[1]发票导入!T226</f>
      </c>
      <c r="U226">
        <f>[1]发票导入!U226&amp;""</f>
      </c>
      <c r="V226">
        <f>[1]发票导入!V226&amp;""</f>
      </c>
      <c r="W226">
        <f>[1]发票导入!W226&amp;""</f>
      </c>
      <c r="Y226">
        <f>[1]发票导入!Y226&amp;""</f>
      </c>
      <c r="AA226">
        <f>[1]发票导入!AA226&amp;""</f>
      </c>
      <c r="AB226">
        <f>[1]发票导入!AB226</f>
        <v>0</v>
      </c>
      <c r="AC226">
        <f>[1]发票导入!AC226</f>
        <v>0</v>
      </c>
      <c r="AE226" s="22">
        <f t="shared" si="0"/>
      </c>
      <c r="AI226">
        <f>[1]发票导入!AI226&amp;""</f>
      </c>
      <c r="AJ226">
        <f>[1]发票导入!AJ226&amp;""</f>
      </c>
      <c r="AK226">
        <f>[1]发票导入!AK226</f>
        <v>0</v>
      </c>
      <c r="AL226">
        <f>[1]发票导入!AL226</f>
        <v>0</v>
      </c>
      <c r="AM226">
        <f>[1]发票导入!AM226</f>
        <v>0</v>
      </c>
      <c r="AN226" s="22">
        <f t="shared" si="1"/>
        <v>0</v>
      </c>
      <c r="AO226" s="22">
        <f t="shared" si="2"/>
        <v>0</v>
      </c>
    </row>
    <row r="227">
      <c r="C227">
        <f>[1]发票导入!C227&amp;""</f>
      </c>
      <c r="D227">
        <f>[1]发票导入!D227&amp;""</f>
      </c>
      <c r="O227">
        <f>[1]发票导入!O227&amp;""</f>
      </c>
      <c r="T227">
        <f>[1]发票导入!T227</f>
      </c>
      <c r="U227">
        <f>[1]发票导入!U227&amp;""</f>
      </c>
      <c r="V227">
        <f>[1]发票导入!V227&amp;""</f>
      </c>
      <c r="W227">
        <f>[1]发票导入!W227&amp;""</f>
      </c>
      <c r="Y227">
        <f>[1]发票导入!Y227&amp;""</f>
      </c>
      <c r="AA227">
        <f>[1]发票导入!AA227&amp;""</f>
      </c>
      <c r="AB227">
        <f>[1]发票导入!AB227</f>
        <v>0</v>
      </c>
      <c r="AC227">
        <f>[1]发票导入!AC227</f>
        <v>0</v>
      </c>
      <c r="AE227" s="22">
        <f t="shared" si="0"/>
      </c>
      <c r="AI227">
        <f>[1]发票导入!AI227&amp;""</f>
      </c>
      <c r="AJ227">
        <f>[1]发票导入!AJ227&amp;""</f>
      </c>
      <c r="AK227">
        <f>[1]发票导入!AK227</f>
        <v>0</v>
      </c>
      <c r="AL227">
        <f>[1]发票导入!AL227</f>
        <v>0</v>
      </c>
      <c r="AM227">
        <f>[1]发票导入!AM227</f>
        <v>0</v>
      </c>
      <c r="AN227" s="22">
        <f t="shared" si="1"/>
        <v>0</v>
      </c>
      <c r="AO227" s="22">
        <f t="shared" si="2"/>
        <v>0</v>
      </c>
    </row>
    <row r="228">
      <c r="C228">
        <f>[1]发票导入!C228&amp;""</f>
      </c>
      <c r="D228">
        <f>[1]发票导入!D228&amp;""</f>
      </c>
      <c r="O228">
        <f>[1]发票导入!O228&amp;""</f>
      </c>
      <c r="T228">
        <f>[1]发票导入!T228</f>
      </c>
      <c r="U228">
        <f>[1]发票导入!U228&amp;""</f>
      </c>
      <c r="V228">
        <f>[1]发票导入!V228&amp;""</f>
      </c>
      <c r="W228">
        <f>[1]发票导入!W228&amp;""</f>
      </c>
      <c r="Y228">
        <f>[1]发票导入!Y228&amp;""</f>
      </c>
      <c r="AA228">
        <f>[1]发票导入!AA228&amp;""</f>
      </c>
      <c r="AB228">
        <f>[1]发票导入!AB228</f>
        <v>0</v>
      </c>
      <c r="AC228">
        <f>[1]发票导入!AC228</f>
        <v>0</v>
      </c>
      <c r="AE228" s="22">
        <f t="shared" si="0"/>
      </c>
      <c r="AI228">
        <f>[1]发票导入!AI228&amp;""</f>
      </c>
      <c r="AJ228">
        <f>[1]发票导入!AJ228&amp;""</f>
      </c>
      <c r="AK228">
        <f>[1]发票导入!AK228</f>
        <v>0</v>
      </c>
      <c r="AL228">
        <f>[1]发票导入!AL228</f>
        <v>0</v>
      </c>
      <c r="AM228">
        <f>[1]发票导入!AM228</f>
        <v>0</v>
      </c>
      <c r="AN228" s="22">
        <f t="shared" si="1"/>
        <v>0</v>
      </c>
      <c r="AO228" s="22">
        <f t="shared" si="2"/>
        <v>0</v>
      </c>
    </row>
    <row r="229">
      <c r="C229">
        <f>[1]发票导入!C229&amp;""</f>
      </c>
      <c r="D229">
        <f>[1]发票导入!D229&amp;""</f>
      </c>
      <c r="O229">
        <f>[1]发票导入!O229&amp;""</f>
      </c>
      <c r="T229">
        <f>[1]发票导入!T229</f>
      </c>
      <c r="U229">
        <f>[1]发票导入!U229&amp;""</f>
      </c>
      <c r="V229">
        <f>[1]发票导入!V229&amp;""</f>
      </c>
      <c r="W229">
        <f>[1]发票导入!W229&amp;""</f>
      </c>
      <c r="Y229">
        <f>[1]发票导入!Y229&amp;""</f>
      </c>
      <c r="AA229">
        <f>[1]发票导入!AA229&amp;""</f>
      </c>
      <c r="AB229">
        <f>[1]发票导入!AB229</f>
        <v>0</v>
      </c>
      <c r="AC229">
        <f>[1]发票导入!AC229</f>
        <v>0</v>
      </c>
      <c r="AE229" s="22">
        <f t="shared" si="0"/>
      </c>
      <c r="AI229">
        <f>[1]发票导入!AI229&amp;""</f>
      </c>
      <c r="AJ229">
        <f>[1]发票导入!AJ229&amp;""</f>
      </c>
      <c r="AK229">
        <f>[1]发票导入!AK229</f>
        <v>0</v>
      </c>
      <c r="AL229">
        <f>[1]发票导入!AL229</f>
        <v>0</v>
      </c>
      <c r="AM229">
        <f>[1]发票导入!AM229</f>
        <v>0</v>
      </c>
      <c r="AN229" s="22">
        <f t="shared" si="1"/>
        <v>0</v>
      </c>
      <c r="AO229" s="22">
        <f t="shared" si="2"/>
        <v>0</v>
      </c>
    </row>
    <row r="230">
      <c r="C230">
        <f>[1]发票导入!C230&amp;""</f>
      </c>
      <c r="D230">
        <f>[1]发票导入!D230&amp;""</f>
      </c>
      <c r="O230">
        <f>[1]发票导入!O230&amp;""</f>
      </c>
      <c r="T230">
        <f>[1]发票导入!T230</f>
      </c>
      <c r="U230">
        <f>[1]发票导入!U230&amp;""</f>
      </c>
      <c r="V230">
        <f>[1]发票导入!V230&amp;""</f>
      </c>
      <c r="W230">
        <f>[1]发票导入!W230&amp;""</f>
      </c>
      <c r="Y230">
        <f>[1]发票导入!Y230&amp;""</f>
      </c>
      <c r="AA230">
        <f>[1]发票导入!AA230&amp;""</f>
      </c>
      <c r="AB230">
        <f>[1]发票导入!AB230</f>
        <v>0</v>
      </c>
      <c r="AC230">
        <f>[1]发票导入!AC230</f>
        <v>0</v>
      </c>
      <c r="AE230" s="22">
        <f t="shared" si="0"/>
      </c>
      <c r="AI230">
        <f>[1]发票导入!AI230&amp;""</f>
      </c>
      <c r="AJ230">
        <f>[1]发票导入!AJ230&amp;""</f>
      </c>
      <c r="AK230">
        <f>[1]发票导入!AK230</f>
        <v>0</v>
      </c>
      <c r="AL230">
        <f>[1]发票导入!AL230</f>
        <v>0</v>
      </c>
      <c r="AM230">
        <f>[1]发票导入!AM230</f>
        <v>0</v>
      </c>
      <c r="AN230" s="22">
        <f t="shared" si="1"/>
        <v>0</v>
      </c>
      <c r="AO230" s="22">
        <f t="shared" si="2"/>
        <v>0</v>
      </c>
    </row>
    <row r="231">
      <c r="C231">
        <f>[1]发票导入!C231&amp;""</f>
      </c>
      <c r="D231">
        <f>[1]发票导入!D231&amp;""</f>
      </c>
      <c r="O231">
        <f>[1]发票导入!O231&amp;""</f>
      </c>
      <c r="T231">
        <f>[1]发票导入!T231</f>
      </c>
      <c r="U231">
        <f>[1]发票导入!U231&amp;""</f>
      </c>
      <c r="V231">
        <f>[1]发票导入!V231&amp;""</f>
      </c>
      <c r="W231">
        <f>[1]发票导入!W231&amp;""</f>
      </c>
      <c r="Y231">
        <f>[1]发票导入!Y231&amp;""</f>
      </c>
      <c r="AA231">
        <f>[1]发票导入!AA231&amp;""</f>
      </c>
      <c r="AB231">
        <f>[1]发票导入!AB231</f>
        <v>0</v>
      </c>
      <c r="AC231">
        <f>[1]发票导入!AC231</f>
        <v>0</v>
      </c>
      <c r="AE231" s="22">
        <f t="shared" si="0"/>
      </c>
      <c r="AI231">
        <f>[1]发票导入!AI231&amp;""</f>
      </c>
      <c r="AJ231">
        <f>[1]发票导入!AJ231&amp;""</f>
      </c>
      <c r="AK231">
        <f>[1]发票导入!AK231</f>
        <v>0</v>
      </c>
      <c r="AL231">
        <f>[1]发票导入!AL231</f>
        <v>0</v>
      </c>
      <c r="AM231">
        <f>[1]发票导入!AM231</f>
        <v>0</v>
      </c>
      <c r="AN231" s="22">
        <f t="shared" si="1"/>
        <v>0</v>
      </c>
      <c r="AO231" s="22">
        <f t="shared" si="2"/>
        <v>0</v>
      </c>
    </row>
    <row r="232">
      <c r="C232">
        <f>[1]发票导入!C232&amp;""</f>
      </c>
      <c r="D232">
        <f>[1]发票导入!D232&amp;""</f>
      </c>
      <c r="O232">
        <f>[1]发票导入!O232&amp;""</f>
      </c>
      <c r="T232">
        <f>[1]发票导入!T232</f>
      </c>
      <c r="U232">
        <f>[1]发票导入!U232&amp;""</f>
      </c>
      <c r="V232">
        <f>[1]发票导入!V232&amp;""</f>
      </c>
      <c r="W232">
        <f>[1]发票导入!W232&amp;""</f>
      </c>
      <c r="Y232">
        <f>[1]发票导入!Y232&amp;""</f>
      </c>
      <c r="AA232">
        <f>[1]发票导入!AA232&amp;""</f>
      </c>
      <c r="AB232">
        <f>[1]发票导入!AB232</f>
        <v>0</v>
      </c>
      <c r="AC232">
        <f>[1]发票导入!AC232</f>
        <v>0</v>
      </c>
      <c r="AE232" s="22">
        <f t="shared" si="0"/>
      </c>
      <c r="AI232">
        <f>[1]发票导入!AI232&amp;""</f>
      </c>
      <c r="AJ232">
        <f>[1]发票导入!AJ232&amp;""</f>
      </c>
      <c r="AK232">
        <f>[1]发票导入!AK232</f>
        <v>0</v>
      </c>
      <c r="AL232">
        <f>[1]发票导入!AL232</f>
        <v>0</v>
      </c>
      <c r="AM232">
        <f>[1]发票导入!AM232</f>
        <v>0</v>
      </c>
      <c r="AN232" s="22">
        <f t="shared" si="1"/>
        <v>0</v>
      </c>
      <c r="AO232" s="22">
        <f t="shared" si="2"/>
        <v>0</v>
      </c>
    </row>
    <row r="233">
      <c r="C233">
        <f>[1]发票导入!C233&amp;""</f>
      </c>
      <c r="D233">
        <f>[1]发票导入!D233&amp;""</f>
      </c>
      <c r="O233">
        <f>[1]发票导入!O233&amp;""</f>
      </c>
      <c r="T233">
        <f>[1]发票导入!T233</f>
      </c>
      <c r="U233">
        <f>[1]发票导入!U233&amp;""</f>
      </c>
      <c r="V233">
        <f>[1]发票导入!V233&amp;""</f>
      </c>
      <c r="W233">
        <f>[1]发票导入!W233&amp;""</f>
      </c>
      <c r="Y233">
        <f>[1]发票导入!Y233&amp;""</f>
      </c>
      <c r="AA233">
        <f>[1]发票导入!AA233&amp;""</f>
      </c>
      <c r="AB233">
        <f>[1]发票导入!AB233</f>
        <v>0</v>
      </c>
      <c r="AC233">
        <f>[1]发票导入!AC233</f>
        <v>0</v>
      </c>
      <c r="AE233" s="22">
        <f t="shared" si="0"/>
      </c>
      <c r="AI233">
        <f>[1]发票导入!AI233&amp;""</f>
      </c>
      <c r="AJ233">
        <f>[1]发票导入!AJ233&amp;""</f>
      </c>
      <c r="AK233">
        <f>[1]发票导入!AK233</f>
        <v>0</v>
      </c>
      <c r="AL233">
        <f>[1]发票导入!AL233</f>
        <v>0</v>
      </c>
      <c r="AM233">
        <f>[1]发票导入!AM233</f>
        <v>0</v>
      </c>
      <c r="AN233" s="22">
        <f t="shared" si="1"/>
        <v>0</v>
      </c>
      <c r="AO233" s="22">
        <f t="shared" si="2"/>
        <v>0</v>
      </c>
    </row>
    <row r="234">
      <c r="C234">
        <f>[1]发票导入!C234&amp;""</f>
      </c>
      <c r="D234">
        <f>[1]发票导入!D234&amp;""</f>
      </c>
      <c r="O234">
        <f>[1]发票导入!O234&amp;""</f>
      </c>
      <c r="T234">
        <f>[1]发票导入!T234</f>
      </c>
      <c r="U234">
        <f>[1]发票导入!U234&amp;""</f>
      </c>
      <c r="V234">
        <f>[1]发票导入!V234&amp;""</f>
      </c>
      <c r="W234">
        <f>[1]发票导入!W234&amp;""</f>
      </c>
      <c r="Y234">
        <f>[1]发票导入!Y234&amp;""</f>
      </c>
      <c r="AA234">
        <f>[1]发票导入!AA234&amp;""</f>
      </c>
      <c r="AB234">
        <f>[1]发票导入!AB234</f>
        <v>0</v>
      </c>
      <c r="AC234">
        <f>[1]发票导入!AC234</f>
        <v>0</v>
      </c>
      <c r="AE234" s="22">
        <f t="shared" si="0"/>
      </c>
      <c r="AI234">
        <f>[1]发票导入!AI234&amp;""</f>
      </c>
      <c r="AJ234">
        <f>[1]发票导入!AJ234&amp;""</f>
      </c>
      <c r="AK234">
        <f>[1]发票导入!AK234</f>
        <v>0</v>
      </c>
      <c r="AL234">
        <f>[1]发票导入!AL234</f>
        <v>0</v>
      </c>
      <c r="AM234">
        <f>[1]发票导入!AM234</f>
        <v>0</v>
      </c>
      <c r="AN234" s="22">
        <f t="shared" si="1"/>
        <v>0</v>
      </c>
      <c r="AO234" s="22">
        <f t="shared" si="2"/>
        <v>0</v>
      </c>
    </row>
    <row r="235">
      <c r="C235">
        <f>[1]发票导入!C235&amp;""</f>
      </c>
      <c r="D235">
        <f>[1]发票导入!D235&amp;""</f>
      </c>
      <c r="O235">
        <f>[1]发票导入!O235&amp;""</f>
      </c>
      <c r="T235">
        <f>[1]发票导入!T235</f>
      </c>
      <c r="U235">
        <f>[1]发票导入!U235&amp;""</f>
      </c>
      <c r="V235">
        <f>[1]发票导入!V235&amp;""</f>
      </c>
      <c r="W235">
        <f>[1]发票导入!W235&amp;""</f>
      </c>
      <c r="Y235">
        <f>[1]发票导入!Y235&amp;""</f>
      </c>
      <c r="AA235">
        <f>[1]发票导入!AA235&amp;""</f>
      </c>
      <c r="AB235">
        <f>[1]发票导入!AB235</f>
        <v>0</v>
      </c>
      <c r="AC235">
        <f>[1]发票导入!AC235</f>
        <v>0</v>
      </c>
      <c r="AE235" s="22">
        <f t="shared" si="0"/>
      </c>
      <c r="AI235">
        <f>[1]发票导入!AI235&amp;""</f>
      </c>
      <c r="AJ235">
        <f>[1]发票导入!AJ235&amp;""</f>
      </c>
      <c r="AK235">
        <f>[1]发票导入!AK235</f>
        <v>0</v>
      </c>
      <c r="AL235">
        <f>[1]发票导入!AL235</f>
        <v>0</v>
      </c>
      <c r="AM235">
        <f>[1]发票导入!AM235</f>
        <v>0</v>
      </c>
      <c r="AN235" s="22">
        <f t="shared" si="1"/>
        <v>0</v>
      </c>
      <c r="AO235" s="22">
        <f t="shared" si="2"/>
        <v>0</v>
      </c>
    </row>
    <row r="236">
      <c r="C236">
        <f>[1]发票导入!C236&amp;""</f>
      </c>
      <c r="D236">
        <f>[1]发票导入!D236&amp;""</f>
      </c>
      <c r="O236">
        <f>[1]发票导入!O236&amp;""</f>
      </c>
      <c r="T236">
        <f>[1]发票导入!T236</f>
      </c>
      <c r="U236">
        <f>[1]发票导入!U236&amp;""</f>
      </c>
      <c r="V236">
        <f>[1]发票导入!V236&amp;""</f>
      </c>
      <c r="W236">
        <f>[1]发票导入!W236&amp;""</f>
      </c>
      <c r="Y236">
        <f>[1]发票导入!Y236&amp;""</f>
      </c>
      <c r="AA236">
        <f>[1]发票导入!AA236&amp;""</f>
      </c>
      <c r="AB236">
        <f>[1]发票导入!AB236</f>
        <v>0</v>
      </c>
      <c r="AC236">
        <f>[1]发票导入!AC236</f>
        <v>0</v>
      </c>
      <c r="AE236" s="22">
        <f t="shared" si="0"/>
      </c>
      <c r="AI236">
        <f>[1]发票导入!AI236&amp;""</f>
      </c>
      <c r="AJ236">
        <f>[1]发票导入!AJ236&amp;""</f>
      </c>
      <c r="AK236">
        <f>[1]发票导入!AK236</f>
        <v>0</v>
      </c>
      <c r="AL236">
        <f>[1]发票导入!AL236</f>
        <v>0</v>
      </c>
      <c r="AM236">
        <f>[1]发票导入!AM236</f>
        <v>0</v>
      </c>
      <c r="AN236" s="22">
        <f t="shared" si="1"/>
        <v>0</v>
      </c>
      <c r="AO236" s="22">
        <f t="shared" si="2"/>
        <v>0</v>
      </c>
    </row>
    <row r="237">
      <c r="C237">
        <f>[1]发票导入!C237&amp;""</f>
      </c>
      <c r="D237">
        <f>[1]发票导入!D237&amp;""</f>
      </c>
      <c r="O237">
        <f>[1]发票导入!O237&amp;""</f>
      </c>
      <c r="T237">
        <f>[1]发票导入!T237</f>
      </c>
      <c r="U237">
        <f>[1]发票导入!U237&amp;""</f>
      </c>
      <c r="V237">
        <f>[1]发票导入!V237&amp;""</f>
      </c>
      <c r="W237">
        <f>[1]发票导入!W237&amp;""</f>
      </c>
      <c r="Y237">
        <f>[1]发票导入!Y237&amp;""</f>
      </c>
      <c r="AA237">
        <f>[1]发票导入!AA237&amp;""</f>
      </c>
      <c r="AB237">
        <f>[1]发票导入!AB237</f>
        <v>0</v>
      </c>
      <c r="AC237">
        <f>[1]发票导入!AC237</f>
        <v>0</v>
      </c>
      <c r="AE237" s="22">
        <f t="shared" si="0"/>
      </c>
      <c r="AI237">
        <f>[1]发票导入!AI237&amp;""</f>
      </c>
      <c r="AJ237">
        <f>[1]发票导入!AJ237&amp;""</f>
      </c>
      <c r="AK237">
        <f>[1]发票导入!AK237</f>
        <v>0</v>
      </c>
      <c r="AL237">
        <f>[1]发票导入!AL237</f>
        <v>0</v>
      </c>
      <c r="AM237">
        <f>[1]发票导入!AM237</f>
        <v>0</v>
      </c>
      <c r="AN237" s="22">
        <f t="shared" si="1"/>
        <v>0</v>
      </c>
      <c r="AO237" s="22">
        <f t="shared" si="2"/>
        <v>0</v>
      </c>
    </row>
    <row r="238">
      <c r="C238">
        <f>[1]发票导入!C238&amp;""</f>
      </c>
      <c r="D238">
        <f>[1]发票导入!D238&amp;""</f>
      </c>
      <c r="O238">
        <f>[1]发票导入!O238&amp;""</f>
      </c>
      <c r="T238">
        <f>[1]发票导入!T238</f>
      </c>
      <c r="U238">
        <f>[1]发票导入!U238&amp;""</f>
      </c>
      <c r="V238">
        <f>[1]发票导入!V238&amp;""</f>
      </c>
      <c r="W238">
        <f>[1]发票导入!W238&amp;""</f>
      </c>
      <c r="Y238">
        <f>[1]发票导入!Y238&amp;""</f>
      </c>
      <c r="AA238">
        <f>[1]发票导入!AA238&amp;""</f>
      </c>
      <c r="AB238">
        <f>[1]发票导入!AB238</f>
        <v>0</v>
      </c>
      <c r="AC238">
        <f>[1]发票导入!AC238</f>
        <v>0</v>
      </c>
      <c r="AE238" s="22">
        <f t="shared" si="0"/>
      </c>
      <c r="AI238">
        <f>[1]发票导入!AI238&amp;""</f>
      </c>
      <c r="AJ238">
        <f>[1]发票导入!AJ238&amp;""</f>
      </c>
      <c r="AK238">
        <f>[1]发票导入!AK238</f>
        <v>0</v>
      </c>
      <c r="AL238">
        <f>[1]发票导入!AL238</f>
        <v>0</v>
      </c>
      <c r="AM238">
        <f>[1]发票导入!AM238</f>
        <v>0</v>
      </c>
      <c r="AN238" s="22">
        <f t="shared" si="1"/>
        <v>0</v>
      </c>
      <c r="AO238" s="22">
        <f t="shared" si="2"/>
        <v>0</v>
      </c>
    </row>
    <row r="239">
      <c r="C239">
        <f>[1]发票导入!C239&amp;""</f>
      </c>
      <c r="D239">
        <f>[1]发票导入!D239&amp;""</f>
      </c>
      <c r="O239">
        <f>[1]发票导入!O239&amp;""</f>
      </c>
      <c r="T239">
        <f>[1]发票导入!T239</f>
      </c>
      <c r="U239">
        <f>[1]发票导入!U239&amp;""</f>
      </c>
      <c r="V239">
        <f>[1]发票导入!V239&amp;""</f>
      </c>
      <c r="W239">
        <f>[1]发票导入!W239&amp;""</f>
      </c>
      <c r="Y239">
        <f>[1]发票导入!Y239&amp;""</f>
      </c>
      <c r="AA239">
        <f>[1]发票导入!AA239&amp;""</f>
      </c>
      <c r="AB239">
        <f>[1]发票导入!AB239</f>
        <v>0</v>
      </c>
      <c r="AC239">
        <f>[1]发票导入!AC239</f>
        <v>0</v>
      </c>
      <c r="AE239" s="22">
        <f t="shared" si="0"/>
      </c>
      <c r="AI239">
        <f>[1]发票导入!AI239&amp;""</f>
      </c>
      <c r="AJ239">
        <f>[1]发票导入!AJ239&amp;""</f>
      </c>
      <c r="AK239">
        <f>[1]发票导入!AK239</f>
        <v>0</v>
      </c>
      <c r="AL239">
        <f>[1]发票导入!AL239</f>
        <v>0</v>
      </c>
      <c r="AM239">
        <f>[1]发票导入!AM239</f>
        <v>0</v>
      </c>
      <c r="AN239" s="22">
        <f t="shared" si="1"/>
        <v>0</v>
      </c>
      <c r="AO239" s="22">
        <f t="shared" si="2"/>
        <v>0</v>
      </c>
    </row>
    <row r="240">
      <c r="C240">
        <f>[1]发票导入!C240&amp;""</f>
      </c>
      <c r="D240">
        <f>[1]发票导入!D240&amp;""</f>
      </c>
      <c r="O240">
        <f>[1]发票导入!O240&amp;""</f>
      </c>
      <c r="T240">
        <f>[1]发票导入!T240</f>
      </c>
      <c r="U240">
        <f>[1]发票导入!U240&amp;""</f>
      </c>
      <c r="V240">
        <f>[1]发票导入!V240&amp;""</f>
      </c>
      <c r="W240">
        <f>[1]发票导入!W240&amp;""</f>
      </c>
      <c r="Y240">
        <f>[1]发票导入!Y240&amp;""</f>
      </c>
      <c r="AA240">
        <f>[1]发票导入!AA240&amp;""</f>
      </c>
      <c r="AB240">
        <f>[1]发票导入!AB240</f>
        <v>0</v>
      </c>
      <c r="AC240">
        <f>[1]发票导入!AC240</f>
        <v>0</v>
      </c>
      <c r="AE240" s="22">
        <f t="shared" si="0"/>
      </c>
      <c r="AI240">
        <f>[1]发票导入!AI240&amp;""</f>
      </c>
      <c r="AJ240">
        <f>[1]发票导入!AJ240&amp;""</f>
      </c>
      <c r="AK240">
        <f>[1]发票导入!AK240</f>
        <v>0</v>
      </c>
      <c r="AL240">
        <f>[1]发票导入!AL240</f>
        <v>0</v>
      </c>
      <c r="AM240">
        <f>[1]发票导入!AM240</f>
        <v>0</v>
      </c>
      <c r="AN240" s="22">
        <f t="shared" si="1"/>
        <v>0</v>
      </c>
      <c r="AO240" s="22">
        <f t="shared" si="2"/>
        <v>0</v>
      </c>
    </row>
    <row r="241">
      <c r="C241">
        <f>[1]发票导入!C241&amp;""</f>
      </c>
      <c r="D241">
        <f>[1]发票导入!D241&amp;""</f>
      </c>
      <c r="O241">
        <f>[1]发票导入!O241&amp;""</f>
      </c>
      <c r="T241">
        <f>[1]发票导入!T241</f>
      </c>
      <c r="U241">
        <f>[1]发票导入!U241&amp;""</f>
      </c>
      <c r="V241">
        <f>[1]发票导入!V241&amp;""</f>
      </c>
      <c r="W241">
        <f>[1]发票导入!W241&amp;""</f>
      </c>
      <c r="Y241">
        <f>[1]发票导入!Y241&amp;""</f>
      </c>
      <c r="AA241">
        <f>[1]发票导入!AA241&amp;""</f>
      </c>
      <c r="AB241">
        <f>[1]发票导入!AB241</f>
        <v>0</v>
      </c>
      <c r="AC241">
        <f>[1]发票导入!AC241</f>
        <v>0</v>
      </c>
      <c r="AE241" s="22">
        <f t="shared" si="0"/>
      </c>
      <c r="AI241">
        <f>[1]发票导入!AI241&amp;""</f>
      </c>
      <c r="AJ241">
        <f>[1]发票导入!AJ241&amp;""</f>
      </c>
      <c r="AK241">
        <f>[1]发票导入!AK241</f>
        <v>0</v>
      </c>
      <c r="AL241">
        <f>[1]发票导入!AL241</f>
        <v>0</v>
      </c>
      <c r="AM241">
        <f>[1]发票导入!AM241</f>
        <v>0</v>
      </c>
      <c r="AN241" s="22">
        <f t="shared" si="1"/>
        <v>0</v>
      </c>
      <c r="AO241" s="22">
        <f t="shared" si="2"/>
        <v>0</v>
      </c>
    </row>
    <row r="242">
      <c r="C242">
        <f>[1]发票导入!C242&amp;""</f>
      </c>
      <c r="D242">
        <f>[1]发票导入!D242&amp;""</f>
      </c>
      <c r="O242">
        <f>[1]发票导入!O242&amp;""</f>
      </c>
      <c r="T242">
        <f>[1]发票导入!T242</f>
      </c>
      <c r="U242">
        <f>[1]发票导入!U242&amp;""</f>
      </c>
      <c r="V242">
        <f>[1]发票导入!V242&amp;""</f>
      </c>
      <c r="W242">
        <f>[1]发票导入!W242&amp;""</f>
      </c>
      <c r="Y242">
        <f>[1]发票导入!Y242&amp;""</f>
      </c>
      <c r="AA242">
        <f>[1]发票导入!AA242&amp;""</f>
      </c>
      <c r="AB242">
        <f>[1]发票导入!AB242</f>
        <v>0</v>
      </c>
      <c r="AC242">
        <f>[1]发票导入!AC242</f>
        <v>0</v>
      </c>
      <c r="AE242" s="22">
        <f t="shared" si="0"/>
      </c>
      <c r="AI242">
        <f>[1]发票导入!AI242&amp;""</f>
      </c>
      <c r="AJ242">
        <f>[1]发票导入!AJ242&amp;""</f>
      </c>
      <c r="AK242">
        <f>[1]发票导入!AK242</f>
        <v>0</v>
      </c>
      <c r="AL242">
        <f>[1]发票导入!AL242</f>
        <v>0</v>
      </c>
      <c r="AM242">
        <f>[1]发票导入!AM242</f>
        <v>0</v>
      </c>
      <c r="AN242" s="22">
        <f t="shared" si="1"/>
        <v>0</v>
      </c>
      <c r="AO242" s="22">
        <f t="shared" si="2"/>
        <v>0</v>
      </c>
    </row>
    <row r="243">
      <c r="C243">
        <f>[1]发票导入!C243&amp;""</f>
      </c>
      <c r="D243">
        <f>[1]发票导入!D243&amp;""</f>
      </c>
      <c r="O243">
        <f>[1]发票导入!O243&amp;""</f>
      </c>
      <c r="T243">
        <f>[1]发票导入!T243</f>
      </c>
      <c r="U243">
        <f>[1]发票导入!U243&amp;""</f>
      </c>
      <c r="V243">
        <f>[1]发票导入!V243&amp;""</f>
      </c>
      <c r="W243">
        <f>[1]发票导入!W243&amp;""</f>
      </c>
      <c r="Y243">
        <f>[1]发票导入!Y243&amp;""</f>
      </c>
      <c r="AA243">
        <f>[1]发票导入!AA243&amp;""</f>
      </c>
      <c r="AB243">
        <f>[1]发票导入!AB243</f>
        <v>0</v>
      </c>
      <c r="AC243">
        <f>[1]发票导入!AC243</f>
        <v>0</v>
      </c>
      <c r="AE243" s="22">
        <f t="shared" si="0"/>
      </c>
      <c r="AI243">
        <f>[1]发票导入!AI243&amp;""</f>
      </c>
      <c r="AJ243">
        <f>[1]发票导入!AJ243&amp;""</f>
      </c>
      <c r="AK243">
        <f>[1]发票导入!AK243</f>
        <v>0</v>
      </c>
      <c r="AL243">
        <f>[1]发票导入!AL243</f>
        <v>0</v>
      </c>
      <c r="AM243">
        <f>[1]发票导入!AM243</f>
        <v>0</v>
      </c>
      <c r="AN243" s="22">
        <f t="shared" si="1"/>
        <v>0</v>
      </c>
      <c r="AO243" s="22">
        <f t="shared" si="2"/>
        <v>0</v>
      </c>
    </row>
    <row r="244">
      <c r="C244">
        <f>[1]发票导入!C244&amp;""</f>
      </c>
      <c r="D244">
        <f>[1]发票导入!D244&amp;""</f>
      </c>
      <c r="O244">
        <f>[1]发票导入!O244&amp;""</f>
      </c>
      <c r="T244">
        <f>[1]发票导入!T244</f>
      </c>
      <c r="U244">
        <f>[1]发票导入!U244&amp;""</f>
      </c>
      <c r="V244">
        <f>[1]发票导入!V244&amp;""</f>
      </c>
      <c r="W244">
        <f>[1]发票导入!W244&amp;""</f>
      </c>
      <c r="Y244">
        <f>[1]发票导入!Y244&amp;""</f>
      </c>
      <c r="AA244">
        <f>[1]发票导入!AA244&amp;""</f>
      </c>
      <c r="AB244">
        <f>[1]发票导入!AB244</f>
        <v>0</v>
      </c>
      <c r="AC244">
        <f>[1]发票导入!AC244</f>
        <v>0</v>
      </c>
      <c r="AE244" s="22">
        <f t="shared" si="0"/>
      </c>
      <c r="AI244">
        <f>[1]发票导入!AI244&amp;""</f>
      </c>
      <c r="AJ244">
        <f>[1]发票导入!AJ244&amp;""</f>
      </c>
      <c r="AK244">
        <f>[1]发票导入!AK244</f>
        <v>0</v>
      </c>
      <c r="AL244">
        <f>[1]发票导入!AL244</f>
        <v>0</v>
      </c>
      <c r="AM244">
        <f>[1]发票导入!AM244</f>
        <v>0</v>
      </c>
      <c r="AN244" s="22">
        <f t="shared" si="1"/>
        <v>0</v>
      </c>
      <c r="AO244" s="22">
        <f t="shared" si="2"/>
        <v>0</v>
      </c>
    </row>
    <row r="245">
      <c r="C245">
        <f>[1]发票导入!C245&amp;""</f>
      </c>
      <c r="D245">
        <f>[1]发票导入!D245&amp;""</f>
      </c>
      <c r="O245">
        <f>[1]发票导入!O245&amp;""</f>
      </c>
      <c r="T245">
        <f>[1]发票导入!T245</f>
      </c>
      <c r="U245">
        <f>[1]发票导入!U245&amp;""</f>
      </c>
      <c r="V245">
        <f>[1]发票导入!V245&amp;""</f>
      </c>
      <c r="W245">
        <f>[1]发票导入!W245&amp;""</f>
      </c>
      <c r="Y245">
        <f>[1]发票导入!Y245&amp;""</f>
      </c>
      <c r="AA245">
        <f>[1]发票导入!AA245&amp;""</f>
      </c>
      <c r="AB245">
        <f>[1]发票导入!AB245</f>
        <v>0</v>
      </c>
      <c r="AC245">
        <f>[1]发票导入!AC245</f>
        <v>0</v>
      </c>
      <c r="AE245" s="22">
        <f t="shared" si="0"/>
      </c>
      <c r="AI245">
        <f>[1]发票导入!AI245&amp;""</f>
      </c>
      <c r="AJ245">
        <f>[1]发票导入!AJ245&amp;""</f>
      </c>
      <c r="AK245">
        <f>[1]发票导入!AK245</f>
        <v>0</v>
      </c>
      <c r="AL245">
        <f>[1]发票导入!AL245</f>
        <v>0</v>
      </c>
      <c r="AM245">
        <f>[1]发票导入!AM245</f>
        <v>0</v>
      </c>
      <c r="AN245" s="22">
        <f t="shared" si="1"/>
        <v>0</v>
      </c>
      <c r="AO245" s="22">
        <f t="shared" si="2"/>
        <v>0</v>
      </c>
    </row>
    <row r="246">
      <c r="C246">
        <f>[1]发票导入!C246&amp;""</f>
      </c>
      <c r="D246">
        <f>[1]发票导入!D246&amp;""</f>
      </c>
      <c r="O246">
        <f>[1]发票导入!O246&amp;""</f>
      </c>
      <c r="T246">
        <f>[1]发票导入!T246</f>
      </c>
      <c r="U246">
        <f>[1]发票导入!U246&amp;""</f>
      </c>
      <c r="V246">
        <f>[1]发票导入!V246&amp;""</f>
      </c>
      <c r="W246">
        <f>[1]发票导入!W246&amp;""</f>
      </c>
      <c r="Y246">
        <f>[1]发票导入!Y246&amp;""</f>
      </c>
      <c r="AA246">
        <f>[1]发票导入!AA246&amp;""</f>
      </c>
      <c r="AB246">
        <f>[1]发票导入!AB246</f>
        <v>0</v>
      </c>
      <c r="AC246">
        <f>[1]发票导入!AC246</f>
        <v>0</v>
      </c>
      <c r="AE246" s="22">
        <f t="shared" si="0"/>
      </c>
      <c r="AI246">
        <f>[1]发票导入!AI246&amp;""</f>
      </c>
      <c r="AJ246">
        <f>[1]发票导入!AJ246&amp;""</f>
      </c>
      <c r="AK246">
        <f>[1]发票导入!AK246</f>
        <v>0</v>
      </c>
      <c r="AL246">
        <f>[1]发票导入!AL246</f>
        <v>0</v>
      </c>
      <c r="AM246">
        <f>[1]发票导入!AM246</f>
        <v>0</v>
      </c>
      <c r="AN246" s="22">
        <f t="shared" si="1"/>
        <v>0</v>
      </c>
      <c r="AO246" s="22">
        <f t="shared" si="2"/>
        <v>0</v>
      </c>
    </row>
    <row r="247">
      <c r="C247">
        <f>[1]发票导入!C247&amp;""</f>
      </c>
      <c r="D247">
        <f>[1]发票导入!D247&amp;""</f>
      </c>
      <c r="O247">
        <f>[1]发票导入!O247&amp;""</f>
      </c>
      <c r="T247">
        <f>[1]发票导入!T247</f>
      </c>
      <c r="U247">
        <f>[1]发票导入!U247&amp;""</f>
      </c>
      <c r="V247">
        <f>[1]发票导入!V247&amp;""</f>
      </c>
      <c r="W247">
        <f>[1]发票导入!W247&amp;""</f>
      </c>
      <c r="Y247">
        <f>[1]发票导入!Y247&amp;""</f>
      </c>
      <c r="AA247">
        <f>[1]发票导入!AA247&amp;""</f>
      </c>
      <c r="AB247">
        <f>[1]发票导入!AB247</f>
        <v>0</v>
      </c>
      <c r="AC247">
        <f>[1]发票导入!AC247</f>
        <v>0</v>
      </c>
      <c r="AE247" s="22">
        <f t="shared" si="0"/>
      </c>
      <c r="AI247">
        <f>[1]发票导入!AI247&amp;""</f>
      </c>
      <c r="AJ247">
        <f>[1]发票导入!AJ247&amp;""</f>
      </c>
      <c r="AK247">
        <f>[1]发票导入!AK247</f>
        <v>0</v>
      </c>
      <c r="AL247">
        <f>[1]发票导入!AL247</f>
        <v>0</v>
      </c>
      <c r="AM247">
        <f>[1]发票导入!AM247</f>
        <v>0</v>
      </c>
      <c r="AN247" s="22">
        <f t="shared" si="1"/>
        <v>0</v>
      </c>
      <c r="AO247" s="22">
        <f t="shared" si="2"/>
        <v>0</v>
      </c>
    </row>
    <row r="248">
      <c r="C248">
        <f>[1]发票导入!C248&amp;""</f>
      </c>
      <c r="D248">
        <f>[1]发票导入!D248&amp;""</f>
      </c>
      <c r="O248">
        <f>[1]发票导入!O248&amp;""</f>
      </c>
      <c r="T248">
        <f>[1]发票导入!T248</f>
      </c>
      <c r="U248">
        <f>[1]发票导入!U248&amp;""</f>
      </c>
      <c r="V248">
        <f>[1]发票导入!V248&amp;""</f>
      </c>
      <c r="W248">
        <f>[1]发票导入!W248&amp;""</f>
      </c>
      <c r="Y248">
        <f>[1]发票导入!Y248&amp;""</f>
      </c>
      <c r="AA248">
        <f>[1]发票导入!AA248&amp;""</f>
      </c>
      <c r="AB248">
        <f>[1]发票导入!AB248</f>
        <v>0</v>
      </c>
      <c r="AC248">
        <f>[1]发票导入!AC248</f>
        <v>0</v>
      </c>
      <c r="AE248" s="22">
        <f t="shared" si="0"/>
      </c>
      <c r="AI248">
        <f>[1]发票导入!AI248&amp;""</f>
      </c>
      <c r="AJ248">
        <f>[1]发票导入!AJ248&amp;""</f>
      </c>
      <c r="AK248">
        <f>[1]发票导入!AK248</f>
        <v>0</v>
      </c>
      <c r="AL248">
        <f>[1]发票导入!AL248</f>
        <v>0</v>
      </c>
      <c r="AM248">
        <f>[1]发票导入!AM248</f>
        <v>0</v>
      </c>
      <c r="AN248" s="22">
        <f t="shared" si="1"/>
        <v>0</v>
      </c>
      <c r="AO248" s="22">
        <f t="shared" si="2"/>
        <v>0</v>
      </c>
    </row>
    <row r="249">
      <c r="C249">
        <f>[1]发票导入!C249&amp;""</f>
      </c>
      <c r="D249">
        <f>[1]发票导入!D249&amp;""</f>
      </c>
      <c r="O249">
        <f>[1]发票导入!O249&amp;""</f>
      </c>
      <c r="T249">
        <f>[1]发票导入!T249</f>
      </c>
      <c r="U249">
        <f>[1]发票导入!U249&amp;""</f>
      </c>
      <c r="V249">
        <f>[1]发票导入!V249&amp;""</f>
      </c>
      <c r="W249">
        <f>[1]发票导入!W249&amp;""</f>
      </c>
      <c r="Y249">
        <f>[1]发票导入!Y249&amp;""</f>
      </c>
      <c r="AA249">
        <f>[1]发票导入!AA249&amp;""</f>
      </c>
      <c r="AB249">
        <f>[1]发票导入!AB249</f>
        <v>0</v>
      </c>
      <c r="AC249">
        <f>[1]发票导入!AC249</f>
        <v>0</v>
      </c>
      <c r="AE249" s="22">
        <f t="shared" si="0"/>
      </c>
      <c r="AI249">
        <f>[1]发票导入!AI249&amp;""</f>
      </c>
      <c r="AJ249">
        <f>[1]发票导入!AJ249&amp;""</f>
      </c>
      <c r="AK249">
        <f>[1]发票导入!AK249</f>
        <v>0</v>
      </c>
      <c r="AL249">
        <f>[1]发票导入!AL249</f>
        <v>0</v>
      </c>
      <c r="AM249">
        <f>[1]发票导入!AM249</f>
        <v>0</v>
      </c>
      <c r="AN249" s="22">
        <f t="shared" si="1"/>
        <v>0</v>
      </c>
      <c r="AO249" s="22">
        <f t="shared" si="2"/>
        <v>0</v>
      </c>
    </row>
    <row r="250">
      <c r="C250">
        <f>[1]发票导入!C250&amp;""</f>
      </c>
      <c r="D250">
        <f>[1]发票导入!D250&amp;""</f>
      </c>
      <c r="O250">
        <f>[1]发票导入!O250&amp;""</f>
      </c>
      <c r="T250">
        <f>[1]发票导入!T250</f>
      </c>
      <c r="U250">
        <f>[1]发票导入!U250&amp;""</f>
      </c>
      <c r="V250">
        <f>[1]发票导入!V250&amp;""</f>
      </c>
      <c r="W250">
        <f>[1]发票导入!W250&amp;""</f>
      </c>
      <c r="Y250">
        <f>[1]发票导入!Y250&amp;""</f>
      </c>
      <c r="AA250">
        <f>[1]发票导入!AA250&amp;""</f>
      </c>
      <c r="AB250">
        <f>[1]发票导入!AB250</f>
        <v>0</v>
      </c>
      <c r="AC250">
        <f>[1]发票导入!AC250</f>
        <v>0</v>
      </c>
      <c r="AE250" s="22">
        <f t="shared" si="0"/>
      </c>
      <c r="AI250">
        <f>[1]发票导入!AI250&amp;""</f>
      </c>
      <c r="AJ250">
        <f>[1]发票导入!AJ250&amp;""</f>
      </c>
      <c r="AK250">
        <f>[1]发票导入!AK250</f>
        <v>0</v>
      </c>
      <c r="AL250">
        <f>[1]发票导入!AL250</f>
        <v>0</v>
      </c>
      <c r="AM250">
        <f>[1]发票导入!AM250</f>
        <v>0</v>
      </c>
      <c r="AN250" s="22">
        <f t="shared" si="1"/>
        <v>0</v>
      </c>
      <c r="AO250" s="22">
        <f t="shared" si="2"/>
        <v>0</v>
      </c>
    </row>
    <row r="251">
      <c r="C251">
        <f>[1]发票导入!C251&amp;""</f>
      </c>
      <c r="D251">
        <f>[1]发票导入!D251&amp;""</f>
      </c>
      <c r="O251">
        <f>[1]发票导入!O251&amp;""</f>
      </c>
      <c r="T251">
        <f>[1]发票导入!T251</f>
      </c>
      <c r="U251">
        <f>[1]发票导入!U251&amp;""</f>
      </c>
      <c r="V251">
        <f>[1]发票导入!V251&amp;""</f>
      </c>
      <c r="W251">
        <f>[1]发票导入!W251&amp;""</f>
      </c>
      <c r="Y251">
        <f>[1]发票导入!Y251&amp;""</f>
      </c>
      <c r="AA251">
        <f>[1]发票导入!AA251&amp;""</f>
      </c>
      <c r="AB251">
        <f>[1]发票导入!AB251</f>
        <v>0</v>
      </c>
      <c r="AC251">
        <f>[1]发票导入!AC251</f>
        <v>0</v>
      </c>
      <c r="AE251" s="22">
        <f t="shared" si="0"/>
      </c>
      <c r="AI251">
        <f>[1]发票导入!AI251&amp;""</f>
      </c>
      <c r="AJ251">
        <f>[1]发票导入!AJ251&amp;""</f>
      </c>
      <c r="AK251">
        <f>[1]发票导入!AK251</f>
        <v>0</v>
      </c>
      <c r="AL251">
        <f>[1]发票导入!AL251</f>
        <v>0</v>
      </c>
      <c r="AM251">
        <f>[1]发票导入!AM251</f>
        <v>0</v>
      </c>
      <c r="AN251" s="22">
        <f t="shared" si="1"/>
        <v>0</v>
      </c>
      <c r="AO251" s="22">
        <f t="shared" si="2"/>
        <v>0</v>
      </c>
    </row>
    <row r="252">
      <c r="C252">
        <f>[1]发票导入!C252&amp;""</f>
      </c>
      <c r="D252">
        <f>[1]发票导入!D252&amp;""</f>
      </c>
      <c r="O252">
        <f>[1]发票导入!O252&amp;""</f>
      </c>
      <c r="T252">
        <f>[1]发票导入!T252</f>
      </c>
      <c r="U252">
        <f>[1]发票导入!U252&amp;""</f>
      </c>
      <c r="V252">
        <f>[1]发票导入!V252&amp;""</f>
      </c>
      <c r="W252">
        <f>[1]发票导入!W252&amp;""</f>
      </c>
      <c r="Y252">
        <f>[1]发票导入!Y252&amp;""</f>
      </c>
      <c r="AA252">
        <f>[1]发票导入!AA252&amp;""</f>
      </c>
      <c r="AB252">
        <f>[1]发票导入!AB252</f>
        <v>0</v>
      </c>
      <c r="AC252">
        <f>[1]发票导入!AC252</f>
        <v>0</v>
      </c>
      <c r="AE252" s="22">
        <f t="shared" si="0"/>
      </c>
      <c r="AI252">
        <f>[1]发票导入!AI252&amp;""</f>
      </c>
      <c r="AJ252">
        <f>[1]发票导入!AJ252&amp;""</f>
      </c>
      <c r="AK252">
        <f>[1]发票导入!AK252</f>
        <v>0</v>
      </c>
      <c r="AL252">
        <f>[1]发票导入!AL252</f>
        <v>0</v>
      </c>
      <c r="AM252">
        <f>[1]发票导入!AM252</f>
        <v>0</v>
      </c>
      <c r="AN252" s="22">
        <f t="shared" si="1"/>
        <v>0</v>
      </c>
      <c r="AO252" s="22">
        <f t="shared" si="2"/>
        <v>0</v>
      </c>
    </row>
    <row r="253">
      <c r="C253">
        <f>[1]发票导入!C253&amp;""</f>
      </c>
      <c r="D253">
        <f>[1]发票导入!D253&amp;""</f>
      </c>
      <c r="O253">
        <f>[1]发票导入!O253&amp;""</f>
      </c>
      <c r="T253">
        <f>[1]发票导入!T253</f>
      </c>
      <c r="U253">
        <f>[1]发票导入!U253&amp;""</f>
      </c>
      <c r="V253">
        <f>[1]发票导入!V253&amp;""</f>
      </c>
      <c r="W253">
        <f>[1]发票导入!W253&amp;""</f>
      </c>
      <c r="Y253">
        <f>[1]发票导入!Y253&amp;""</f>
      </c>
      <c r="AA253">
        <f>[1]发票导入!AA253&amp;""</f>
      </c>
      <c r="AB253">
        <f>[1]发票导入!AB253</f>
        <v>0</v>
      </c>
      <c r="AC253">
        <f>[1]发票导入!AC253</f>
        <v>0</v>
      </c>
      <c r="AE253" s="22">
        <f t="shared" si="0"/>
      </c>
      <c r="AI253">
        <f>[1]发票导入!AI253&amp;""</f>
      </c>
      <c r="AJ253">
        <f>[1]发票导入!AJ253&amp;""</f>
      </c>
      <c r="AK253">
        <f>[1]发票导入!AK253</f>
        <v>0</v>
      </c>
      <c r="AL253">
        <f>[1]发票导入!AL253</f>
        <v>0</v>
      </c>
      <c r="AM253">
        <f>[1]发票导入!AM253</f>
        <v>0</v>
      </c>
      <c r="AN253" s="22">
        <f t="shared" si="1"/>
        <v>0</v>
      </c>
      <c r="AO253" s="22">
        <f t="shared" si="2"/>
        <v>0</v>
      </c>
    </row>
    <row r="254">
      <c r="C254">
        <f>[1]发票导入!C254&amp;""</f>
      </c>
      <c r="D254">
        <f>[1]发票导入!D254&amp;""</f>
      </c>
      <c r="O254">
        <f>[1]发票导入!O254&amp;""</f>
      </c>
      <c r="T254">
        <f>[1]发票导入!T254</f>
      </c>
      <c r="U254">
        <f>[1]发票导入!U254&amp;""</f>
      </c>
      <c r="V254">
        <f>[1]发票导入!V254&amp;""</f>
      </c>
      <c r="W254">
        <f>[1]发票导入!W254&amp;""</f>
      </c>
      <c r="Y254">
        <f>[1]发票导入!Y254&amp;""</f>
      </c>
      <c r="AA254">
        <f>[1]发票导入!AA254&amp;""</f>
      </c>
      <c r="AB254">
        <f>[1]发票导入!AB254</f>
        <v>0</v>
      </c>
      <c r="AC254">
        <f>[1]发票导入!AC254</f>
        <v>0</v>
      </c>
      <c r="AE254" s="22">
        <f t="shared" si="0"/>
      </c>
      <c r="AI254">
        <f>[1]发票导入!AI254&amp;""</f>
      </c>
      <c r="AJ254">
        <f>[1]发票导入!AJ254&amp;""</f>
      </c>
      <c r="AK254">
        <f>[1]发票导入!AK254</f>
        <v>0</v>
      </c>
      <c r="AL254">
        <f>[1]发票导入!AL254</f>
        <v>0</v>
      </c>
      <c r="AM254">
        <f>[1]发票导入!AM254</f>
        <v>0</v>
      </c>
      <c r="AN254" s="22">
        <f t="shared" si="1"/>
        <v>0</v>
      </c>
      <c r="AO254" s="22">
        <f t="shared" si="2"/>
        <v>0</v>
      </c>
    </row>
    <row r="255">
      <c r="C255">
        <f>[1]发票导入!C255&amp;""</f>
      </c>
      <c r="D255">
        <f>[1]发票导入!D255&amp;""</f>
      </c>
      <c r="O255">
        <f>[1]发票导入!O255&amp;""</f>
      </c>
      <c r="T255">
        <f>[1]发票导入!T255</f>
      </c>
      <c r="U255">
        <f>[1]发票导入!U255&amp;""</f>
      </c>
      <c r="V255">
        <f>[1]发票导入!V255&amp;""</f>
      </c>
      <c r="W255">
        <f>[1]发票导入!W255&amp;""</f>
      </c>
      <c r="Y255">
        <f>[1]发票导入!Y255&amp;""</f>
      </c>
      <c r="AA255">
        <f>[1]发票导入!AA255&amp;""</f>
      </c>
      <c r="AB255">
        <f>[1]发票导入!AB255</f>
        <v>0</v>
      </c>
      <c r="AC255">
        <f>[1]发票导入!AC255</f>
        <v>0</v>
      </c>
      <c r="AE255" s="22">
        <f t="shared" si="0"/>
      </c>
      <c r="AI255">
        <f>[1]发票导入!AI255&amp;""</f>
      </c>
      <c r="AJ255">
        <f>[1]发票导入!AJ255&amp;""</f>
      </c>
      <c r="AK255">
        <f>[1]发票导入!AK255</f>
        <v>0</v>
      </c>
      <c r="AL255">
        <f>[1]发票导入!AL255</f>
        <v>0</v>
      </c>
      <c r="AM255">
        <f>[1]发票导入!AM255</f>
        <v>0</v>
      </c>
      <c r="AN255" s="22">
        <f t="shared" si="1"/>
        <v>0</v>
      </c>
      <c r="AO255" s="22">
        <f t="shared" si="2"/>
        <v>0</v>
      </c>
    </row>
    <row r="256">
      <c r="C256">
        <f>[1]发票导入!C256&amp;""</f>
      </c>
      <c r="D256">
        <f>[1]发票导入!D256&amp;""</f>
      </c>
      <c r="O256">
        <f>[1]发票导入!O256&amp;""</f>
      </c>
      <c r="T256">
        <f>[1]发票导入!T256</f>
      </c>
      <c r="U256">
        <f>[1]发票导入!U256&amp;""</f>
      </c>
      <c r="V256">
        <f>[1]发票导入!V256&amp;""</f>
      </c>
      <c r="W256">
        <f>[1]发票导入!W256&amp;""</f>
      </c>
      <c r="Y256">
        <f>[1]发票导入!Y256&amp;""</f>
      </c>
      <c r="AA256">
        <f>[1]发票导入!AA256&amp;""</f>
      </c>
      <c r="AB256">
        <f>[1]发票导入!AB256</f>
        <v>0</v>
      </c>
      <c r="AC256">
        <f>[1]发票导入!AC256</f>
        <v>0</v>
      </c>
      <c r="AE256" s="22">
        <f t="shared" si="0"/>
      </c>
      <c r="AI256">
        <f>[1]发票导入!AI256&amp;""</f>
      </c>
      <c r="AJ256">
        <f>[1]发票导入!AJ256&amp;""</f>
      </c>
      <c r="AK256">
        <f>[1]发票导入!AK256</f>
        <v>0</v>
      </c>
      <c r="AL256">
        <f>[1]发票导入!AL256</f>
        <v>0</v>
      </c>
      <c r="AM256">
        <f>[1]发票导入!AM256</f>
        <v>0</v>
      </c>
      <c r="AN256" s="22">
        <f t="shared" si="1"/>
        <v>0</v>
      </c>
      <c r="AO256" s="22">
        <f t="shared" si="2"/>
        <v>0</v>
      </c>
    </row>
    <row r="257">
      <c r="C257">
        <f>[1]发票导入!C257&amp;""</f>
      </c>
      <c r="D257">
        <f>[1]发票导入!D257&amp;""</f>
      </c>
      <c r="O257">
        <f>[1]发票导入!O257&amp;""</f>
      </c>
      <c r="T257">
        <f>[1]发票导入!T257</f>
      </c>
      <c r="U257">
        <f>[1]发票导入!U257&amp;""</f>
      </c>
      <c r="V257">
        <f>[1]发票导入!V257&amp;""</f>
      </c>
      <c r="W257">
        <f>[1]发票导入!W257&amp;""</f>
      </c>
      <c r="Y257">
        <f>[1]发票导入!Y257&amp;""</f>
      </c>
      <c r="AA257">
        <f>[1]发票导入!AA257&amp;""</f>
      </c>
      <c r="AB257">
        <f>[1]发票导入!AB257</f>
        <v>0</v>
      </c>
      <c r="AC257">
        <f>[1]发票导入!AC257</f>
        <v>0</v>
      </c>
      <c r="AE257" s="22">
        <f t="shared" si="0"/>
      </c>
      <c r="AI257">
        <f>[1]发票导入!AI257&amp;""</f>
      </c>
      <c r="AJ257">
        <f>[1]发票导入!AJ257&amp;""</f>
      </c>
      <c r="AK257">
        <f>[1]发票导入!AK257</f>
        <v>0</v>
      </c>
      <c r="AL257">
        <f>[1]发票导入!AL257</f>
        <v>0</v>
      </c>
      <c r="AM257">
        <f>[1]发票导入!AM257</f>
        <v>0</v>
      </c>
      <c r="AN257" s="22">
        <f t="shared" si="1"/>
        <v>0</v>
      </c>
      <c r="AO257" s="22">
        <f t="shared" si="2"/>
        <v>0</v>
      </c>
    </row>
    <row r="258">
      <c r="C258">
        <f>[1]发票导入!C258&amp;""</f>
      </c>
      <c r="D258">
        <f>[1]发票导入!D258&amp;""</f>
      </c>
      <c r="O258">
        <f>[1]发票导入!O258&amp;""</f>
      </c>
      <c r="T258">
        <f>[1]发票导入!T258</f>
      </c>
      <c r="U258">
        <f>[1]发票导入!U258&amp;""</f>
      </c>
      <c r="V258">
        <f>[1]发票导入!V258&amp;""</f>
      </c>
      <c r="W258">
        <f>[1]发票导入!W258&amp;""</f>
      </c>
      <c r="Y258">
        <f>[1]发票导入!Y258&amp;""</f>
      </c>
      <c r="AA258">
        <f>[1]发票导入!AA258&amp;""</f>
      </c>
      <c r="AB258">
        <f>[1]发票导入!AB258</f>
        <v>0</v>
      </c>
      <c r="AC258">
        <f>[1]发票导入!AC258</f>
        <v>0</v>
      </c>
      <c r="AE258" s="22">
        <f t="shared" si="0"/>
      </c>
      <c r="AI258">
        <f>[1]发票导入!AI258&amp;""</f>
      </c>
      <c r="AJ258">
        <f>[1]发票导入!AJ258&amp;""</f>
      </c>
      <c r="AK258">
        <f>[1]发票导入!AK258</f>
        <v>0</v>
      </c>
      <c r="AL258">
        <f>[1]发票导入!AL258</f>
        <v>0</v>
      </c>
      <c r="AM258">
        <f>[1]发票导入!AM258</f>
        <v>0</v>
      </c>
      <c r="AN258" s="22">
        <f t="shared" si="1"/>
        <v>0</v>
      </c>
      <c r="AO258" s="22">
        <f t="shared" si="2"/>
        <v>0</v>
      </c>
    </row>
    <row r="259">
      <c r="C259">
        <f>[1]发票导入!C259&amp;""</f>
      </c>
      <c r="D259">
        <f>[1]发票导入!D259&amp;""</f>
      </c>
      <c r="O259">
        <f>[1]发票导入!O259&amp;""</f>
      </c>
      <c r="T259">
        <f>[1]发票导入!T259</f>
      </c>
      <c r="U259">
        <f>[1]发票导入!U259&amp;""</f>
      </c>
      <c r="V259">
        <f>[1]发票导入!V259&amp;""</f>
      </c>
      <c r="W259">
        <f>[1]发票导入!W259&amp;""</f>
      </c>
      <c r="Y259">
        <f>[1]发票导入!Y259&amp;""</f>
      </c>
      <c r="AA259">
        <f>[1]发票导入!AA259&amp;""</f>
      </c>
      <c r="AB259">
        <f>[1]发票导入!AB259</f>
        <v>0</v>
      </c>
      <c r="AC259">
        <f>[1]发票导入!AC259</f>
        <v>0</v>
      </c>
      <c r="AE259" s="22">
        <f t="shared" si="0"/>
      </c>
      <c r="AI259">
        <f>[1]发票导入!AI259&amp;""</f>
      </c>
      <c r="AJ259">
        <f>[1]发票导入!AJ259&amp;""</f>
      </c>
      <c r="AK259">
        <f>[1]发票导入!AK259</f>
        <v>0</v>
      </c>
      <c r="AL259">
        <f>[1]发票导入!AL259</f>
        <v>0</v>
      </c>
      <c r="AM259">
        <f>[1]发票导入!AM259</f>
        <v>0</v>
      </c>
      <c r="AN259" s="22">
        <f t="shared" si="1"/>
        <v>0</v>
      </c>
      <c r="AO259" s="22">
        <f t="shared" si="2"/>
        <v>0</v>
      </c>
    </row>
    <row r="260">
      <c r="C260">
        <f>[1]发票导入!C260&amp;""</f>
      </c>
      <c r="D260">
        <f>[1]发票导入!D260&amp;""</f>
      </c>
      <c r="O260">
        <f>[1]发票导入!O260&amp;""</f>
      </c>
      <c r="T260">
        <f>[1]发票导入!T260</f>
      </c>
      <c r="U260">
        <f>[1]发票导入!U260&amp;""</f>
      </c>
      <c r="V260">
        <f>[1]发票导入!V260&amp;""</f>
      </c>
      <c r="W260">
        <f>[1]发票导入!W260&amp;""</f>
      </c>
      <c r="Y260">
        <f>[1]发票导入!Y260&amp;""</f>
      </c>
      <c r="AA260">
        <f>[1]发票导入!AA260&amp;""</f>
      </c>
      <c r="AB260">
        <f>[1]发票导入!AB260</f>
        <v>0</v>
      </c>
      <c r="AC260">
        <f>[1]发票导入!AC260</f>
        <v>0</v>
      </c>
      <c r="AE260" s="22">
        <f t="shared" si="0"/>
      </c>
      <c r="AI260">
        <f>[1]发票导入!AI260&amp;""</f>
      </c>
      <c r="AJ260">
        <f>[1]发票导入!AJ260&amp;""</f>
      </c>
      <c r="AK260">
        <f>[1]发票导入!AK260</f>
        <v>0</v>
      </c>
      <c r="AL260">
        <f>[1]发票导入!AL260</f>
        <v>0</v>
      </c>
      <c r="AM260">
        <f>[1]发票导入!AM260</f>
        <v>0</v>
      </c>
      <c r="AN260" s="22">
        <f t="shared" si="1"/>
        <v>0</v>
      </c>
      <c r="AO260" s="22">
        <f t="shared" si="2"/>
        <v>0</v>
      </c>
    </row>
    <row r="261">
      <c r="C261">
        <f>[1]发票导入!C261&amp;""</f>
      </c>
      <c r="D261">
        <f>[1]发票导入!D261&amp;""</f>
      </c>
      <c r="O261">
        <f>[1]发票导入!O261&amp;""</f>
      </c>
      <c r="T261">
        <f>[1]发票导入!T261</f>
      </c>
      <c r="U261">
        <f>[1]发票导入!U261&amp;""</f>
      </c>
      <c r="V261">
        <f>[1]发票导入!V261&amp;""</f>
      </c>
      <c r="W261">
        <f>[1]发票导入!W261&amp;""</f>
      </c>
      <c r="Y261">
        <f>[1]发票导入!Y261&amp;""</f>
      </c>
      <c r="AA261">
        <f>[1]发票导入!AA261&amp;""</f>
      </c>
      <c r="AB261">
        <f>[1]发票导入!AB261</f>
        <v>0</v>
      </c>
      <c r="AC261">
        <f>[1]发票导入!AC261</f>
        <v>0</v>
      </c>
      <c r="AE261" s="22">
        <f t="shared" si="0"/>
      </c>
      <c r="AI261">
        <f>[1]发票导入!AI261&amp;""</f>
      </c>
      <c r="AJ261">
        <f>[1]发票导入!AJ261&amp;""</f>
      </c>
      <c r="AK261">
        <f>[1]发票导入!AK261</f>
        <v>0</v>
      </c>
      <c r="AL261">
        <f>[1]发票导入!AL261</f>
        <v>0</v>
      </c>
      <c r="AM261">
        <f>[1]发票导入!AM261</f>
        <v>0</v>
      </c>
      <c r="AN261" s="22">
        <f t="shared" si="1"/>
        <v>0</v>
      </c>
      <c r="AO261" s="22">
        <f t="shared" si="2"/>
        <v>0</v>
      </c>
    </row>
    <row r="262">
      <c r="C262">
        <f>[1]发票导入!C262&amp;""</f>
      </c>
      <c r="D262">
        <f>[1]发票导入!D262&amp;""</f>
      </c>
      <c r="O262">
        <f>[1]发票导入!O262&amp;""</f>
      </c>
      <c r="T262">
        <f>[1]发票导入!T262</f>
      </c>
      <c r="U262">
        <f>[1]发票导入!U262&amp;""</f>
      </c>
      <c r="V262">
        <f>[1]发票导入!V262&amp;""</f>
      </c>
      <c r="W262">
        <f>[1]发票导入!W262&amp;""</f>
      </c>
      <c r="Y262">
        <f>[1]发票导入!Y262&amp;""</f>
      </c>
      <c r="AA262">
        <f>[1]发票导入!AA262&amp;""</f>
      </c>
      <c r="AB262">
        <f>[1]发票导入!AB262</f>
        <v>0</v>
      </c>
      <c r="AC262">
        <f>[1]发票导入!AC262</f>
        <v>0</v>
      </c>
      <c r="AE262" s="22">
        <f t="shared" si="0"/>
      </c>
      <c r="AI262">
        <f>[1]发票导入!AI262&amp;""</f>
      </c>
      <c r="AJ262">
        <f>[1]发票导入!AJ262&amp;""</f>
      </c>
      <c r="AK262">
        <f>[1]发票导入!AK262</f>
        <v>0</v>
      </c>
      <c r="AL262">
        <f>[1]发票导入!AL262</f>
        <v>0</v>
      </c>
      <c r="AM262">
        <f>[1]发票导入!AM262</f>
        <v>0</v>
      </c>
      <c r="AN262" s="22">
        <f t="shared" si="1"/>
        <v>0</v>
      </c>
      <c r="AO262" s="22">
        <f t="shared" si="2"/>
        <v>0</v>
      </c>
    </row>
    <row r="263">
      <c r="C263">
        <f>[1]发票导入!C263&amp;""</f>
      </c>
      <c r="D263">
        <f>[1]发票导入!D263&amp;""</f>
      </c>
      <c r="O263">
        <f>[1]发票导入!O263&amp;""</f>
      </c>
      <c r="T263">
        <f>[1]发票导入!T263</f>
      </c>
      <c r="U263">
        <f>[1]发票导入!U263&amp;""</f>
      </c>
      <c r="V263">
        <f>[1]发票导入!V263&amp;""</f>
      </c>
      <c r="W263">
        <f>[1]发票导入!W263&amp;""</f>
      </c>
      <c r="Y263">
        <f>[1]发票导入!Y263&amp;""</f>
      </c>
      <c r="AA263">
        <f>[1]发票导入!AA263&amp;""</f>
      </c>
      <c r="AB263">
        <f>[1]发票导入!AB263</f>
        <v>0</v>
      </c>
      <c r="AC263">
        <f>[1]发票导入!AC263</f>
        <v>0</v>
      </c>
      <c r="AE263" s="22">
        <f t="shared" si="0"/>
      </c>
      <c r="AI263">
        <f>[1]发票导入!AI263&amp;""</f>
      </c>
      <c r="AJ263">
        <f>[1]发票导入!AJ263&amp;""</f>
      </c>
      <c r="AK263">
        <f>[1]发票导入!AK263</f>
        <v>0</v>
      </c>
      <c r="AL263">
        <f>[1]发票导入!AL263</f>
        <v>0</v>
      </c>
      <c r="AM263">
        <f>[1]发票导入!AM263</f>
        <v>0</v>
      </c>
      <c r="AN263" s="22">
        <f t="shared" si="1"/>
        <v>0</v>
      </c>
      <c r="AO263" s="22">
        <f t="shared" si="2"/>
        <v>0</v>
      </c>
    </row>
    <row r="264">
      <c r="C264">
        <f>[1]发票导入!C264&amp;""</f>
      </c>
      <c r="D264">
        <f>[1]发票导入!D264&amp;""</f>
      </c>
      <c r="O264">
        <f>[1]发票导入!O264&amp;""</f>
      </c>
      <c r="T264">
        <f>[1]发票导入!T264</f>
      </c>
      <c r="U264">
        <f>[1]发票导入!U264&amp;""</f>
      </c>
      <c r="V264">
        <f>[1]发票导入!V264&amp;""</f>
      </c>
      <c r="W264">
        <f>[1]发票导入!W264&amp;""</f>
      </c>
      <c r="Y264">
        <f>[1]发票导入!Y264&amp;""</f>
      </c>
      <c r="AA264">
        <f>[1]发票导入!AA264&amp;""</f>
      </c>
      <c r="AB264">
        <f>[1]发票导入!AB264</f>
        <v>0</v>
      </c>
      <c r="AC264">
        <f>[1]发票导入!AC264</f>
        <v>0</v>
      </c>
      <c r="AE264" s="22">
        <f t="shared" si="0"/>
      </c>
      <c r="AI264">
        <f>[1]发票导入!AI264&amp;""</f>
      </c>
      <c r="AJ264">
        <f>[1]发票导入!AJ264&amp;""</f>
      </c>
      <c r="AK264">
        <f>[1]发票导入!AK264</f>
        <v>0</v>
      </c>
      <c r="AL264">
        <f>[1]发票导入!AL264</f>
        <v>0</v>
      </c>
      <c r="AM264">
        <f>[1]发票导入!AM264</f>
        <v>0</v>
      </c>
      <c r="AN264" s="22">
        <f t="shared" si="1"/>
        <v>0</v>
      </c>
      <c r="AO264" s="22">
        <f t="shared" si="2"/>
        <v>0</v>
      </c>
    </row>
    <row r="265">
      <c r="C265">
        <f>[1]发票导入!C265&amp;""</f>
      </c>
      <c r="D265">
        <f>[1]发票导入!D265&amp;""</f>
      </c>
      <c r="O265">
        <f>[1]发票导入!O265&amp;""</f>
      </c>
      <c r="T265">
        <f>[1]发票导入!T265</f>
      </c>
      <c r="U265">
        <f>[1]发票导入!U265&amp;""</f>
      </c>
      <c r="V265">
        <f>[1]发票导入!V265&amp;""</f>
      </c>
      <c r="W265">
        <f>[1]发票导入!W265&amp;""</f>
      </c>
      <c r="Y265">
        <f>[1]发票导入!Y265&amp;""</f>
      </c>
      <c r="AA265">
        <f>[1]发票导入!AA265&amp;""</f>
      </c>
      <c r="AB265">
        <f>[1]发票导入!AB265</f>
        <v>0</v>
      </c>
      <c r="AC265">
        <f>[1]发票导入!AC265</f>
        <v>0</v>
      </c>
      <c r="AE265" s="22">
        <f t="shared" si="0"/>
      </c>
      <c r="AI265">
        <f>[1]发票导入!AI265&amp;""</f>
      </c>
      <c r="AJ265">
        <f>[1]发票导入!AJ265&amp;""</f>
      </c>
      <c r="AK265">
        <f>[1]发票导入!AK265</f>
        <v>0</v>
      </c>
      <c r="AL265">
        <f>[1]发票导入!AL265</f>
        <v>0</v>
      </c>
      <c r="AM265">
        <f>[1]发票导入!AM265</f>
        <v>0</v>
      </c>
      <c r="AN265" s="22">
        <f t="shared" si="1"/>
        <v>0</v>
      </c>
      <c r="AO265" s="22">
        <f t="shared" si="2"/>
        <v>0</v>
      </c>
    </row>
    <row r="266">
      <c r="C266">
        <f>[1]发票导入!C266&amp;""</f>
      </c>
      <c r="D266">
        <f>[1]发票导入!D266&amp;""</f>
      </c>
      <c r="O266">
        <f>[1]发票导入!O266&amp;""</f>
      </c>
      <c r="T266">
        <f>[1]发票导入!T266</f>
      </c>
      <c r="U266">
        <f>[1]发票导入!U266&amp;""</f>
      </c>
      <c r="V266">
        <f>[1]发票导入!V266&amp;""</f>
      </c>
      <c r="W266">
        <f>[1]发票导入!W266&amp;""</f>
      </c>
      <c r="Y266">
        <f>[1]发票导入!Y266&amp;""</f>
      </c>
      <c r="AA266">
        <f>[1]发票导入!AA266&amp;""</f>
      </c>
      <c r="AB266">
        <f>[1]发票导入!AB266</f>
        <v>0</v>
      </c>
      <c r="AC266">
        <f>[1]发票导入!AC266</f>
        <v>0</v>
      </c>
      <c r="AE266" s="22">
        <f t="shared" si="0"/>
      </c>
      <c r="AI266">
        <f>[1]发票导入!AI266&amp;""</f>
      </c>
      <c r="AJ266">
        <f>[1]发票导入!AJ266&amp;""</f>
      </c>
      <c r="AK266">
        <f>[1]发票导入!AK266</f>
        <v>0</v>
      </c>
      <c r="AL266">
        <f>[1]发票导入!AL266</f>
        <v>0</v>
      </c>
      <c r="AM266">
        <f>[1]发票导入!AM266</f>
        <v>0</v>
      </c>
      <c r="AN266" s="22">
        <f t="shared" si="1"/>
        <v>0</v>
      </c>
      <c r="AO266" s="22">
        <f t="shared" si="2"/>
        <v>0</v>
      </c>
    </row>
    <row r="267">
      <c r="C267">
        <f>[1]发票导入!C267&amp;""</f>
      </c>
      <c r="D267">
        <f>[1]发票导入!D267&amp;""</f>
      </c>
      <c r="O267">
        <f>[1]发票导入!O267&amp;""</f>
      </c>
      <c r="T267">
        <f>[1]发票导入!T267</f>
      </c>
      <c r="U267">
        <f>[1]发票导入!U267&amp;""</f>
      </c>
      <c r="V267">
        <f>[1]发票导入!V267&amp;""</f>
      </c>
      <c r="W267">
        <f>[1]发票导入!W267&amp;""</f>
      </c>
      <c r="Y267">
        <f>[1]发票导入!Y267&amp;""</f>
      </c>
      <c r="AA267">
        <f>[1]发票导入!AA267&amp;""</f>
      </c>
      <c r="AB267">
        <f>[1]发票导入!AB267</f>
        <v>0</v>
      </c>
      <c r="AC267">
        <f>[1]发票导入!AC267</f>
        <v>0</v>
      </c>
      <c r="AE267" s="22">
        <f t="shared" si="0"/>
      </c>
      <c r="AI267">
        <f>[1]发票导入!AI267&amp;""</f>
      </c>
      <c r="AJ267">
        <f>[1]发票导入!AJ267&amp;""</f>
      </c>
      <c r="AK267">
        <f>[1]发票导入!AK267</f>
        <v>0</v>
      </c>
      <c r="AL267">
        <f>[1]发票导入!AL267</f>
        <v>0</v>
      </c>
      <c r="AM267">
        <f>[1]发票导入!AM267</f>
        <v>0</v>
      </c>
      <c r="AN267" s="22">
        <f t="shared" si="1"/>
        <v>0</v>
      </c>
      <c r="AO267" s="22">
        <f t="shared" si="2"/>
        <v>0</v>
      </c>
    </row>
    <row r="268">
      <c r="C268">
        <f>[1]发票导入!C268&amp;""</f>
      </c>
      <c r="D268">
        <f>[1]发票导入!D268&amp;""</f>
      </c>
      <c r="O268">
        <f>[1]发票导入!O268&amp;""</f>
      </c>
      <c r="T268">
        <f>[1]发票导入!T268</f>
      </c>
      <c r="U268">
        <f>[1]发票导入!U268&amp;""</f>
      </c>
      <c r="V268">
        <f>[1]发票导入!V268&amp;""</f>
      </c>
      <c r="W268">
        <f>[1]发票导入!W268&amp;""</f>
      </c>
      <c r="Y268">
        <f>[1]发票导入!Y268&amp;""</f>
      </c>
      <c r="AA268">
        <f>[1]发票导入!AA268&amp;""</f>
      </c>
      <c r="AB268">
        <f>[1]发票导入!AB268</f>
        <v>0</v>
      </c>
      <c r="AC268">
        <f>[1]发票导入!AC268</f>
        <v>0</v>
      </c>
      <c r="AE268" s="22">
        <f t="shared" si="0"/>
      </c>
      <c r="AI268">
        <f>[1]发票导入!AI268&amp;""</f>
      </c>
      <c r="AJ268">
        <f>[1]发票导入!AJ268&amp;""</f>
      </c>
      <c r="AK268">
        <f>[1]发票导入!AK268</f>
        <v>0</v>
      </c>
      <c r="AL268">
        <f>[1]发票导入!AL268</f>
        <v>0</v>
      </c>
      <c r="AM268">
        <f>[1]发票导入!AM268</f>
        <v>0</v>
      </c>
      <c r="AN268" s="22">
        <f t="shared" si="1"/>
        <v>0</v>
      </c>
      <c r="AO268" s="22">
        <f t="shared" si="2"/>
        <v>0</v>
      </c>
    </row>
    <row r="269">
      <c r="C269">
        <f>[1]发票导入!C269&amp;""</f>
      </c>
      <c r="D269">
        <f>[1]发票导入!D269&amp;""</f>
      </c>
      <c r="O269">
        <f>[1]发票导入!O269&amp;""</f>
      </c>
      <c r="T269">
        <f>[1]发票导入!T269</f>
      </c>
      <c r="U269">
        <f>[1]发票导入!U269&amp;""</f>
      </c>
      <c r="V269">
        <f>[1]发票导入!V269&amp;""</f>
      </c>
      <c r="W269">
        <f>[1]发票导入!W269&amp;""</f>
      </c>
      <c r="Y269">
        <f>[1]发票导入!Y269&amp;""</f>
      </c>
      <c r="AA269">
        <f>[1]发票导入!AA269&amp;""</f>
      </c>
      <c r="AB269">
        <f>[1]发票导入!AB269</f>
        <v>0</v>
      </c>
      <c r="AC269">
        <f>[1]发票导入!AC269</f>
        <v>0</v>
      </c>
      <c r="AE269" s="22">
        <f t="shared" si="0"/>
      </c>
      <c r="AI269">
        <f>[1]发票导入!AI269&amp;""</f>
      </c>
      <c r="AJ269">
        <f>[1]发票导入!AJ269&amp;""</f>
      </c>
      <c r="AK269">
        <f>[1]发票导入!AK269</f>
        <v>0</v>
      </c>
      <c r="AL269">
        <f>[1]发票导入!AL269</f>
        <v>0</v>
      </c>
      <c r="AM269">
        <f>[1]发票导入!AM269</f>
        <v>0</v>
      </c>
      <c r="AN269" s="22">
        <f t="shared" si="1"/>
        <v>0</v>
      </c>
      <c r="AO269" s="22">
        <f t="shared" si="2"/>
        <v>0</v>
      </c>
    </row>
    <row r="270">
      <c r="C270">
        <f>[1]发票导入!C270&amp;""</f>
      </c>
      <c r="D270">
        <f>[1]发票导入!D270&amp;""</f>
      </c>
      <c r="O270">
        <f>[1]发票导入!O270&amp;""</f>
      </c>
      <c r="T270">
        <f>[1]发票导入!T270</f>
      </c>
      <c r="U270">
        <f>[1]发票导入!U270&amp;""</f>
      </c>
      <c r="V270">
        <f>[1]发票导入!V270&amp;""</f>
      </c>
      <c r="W270">
        <f>[1]发票导入!W270&amp;""</f>
      </c>
      <c r="Y270">
        <f>[1]发票导入!Y270&amp;""</f>
      </c>
      <c r="AA270">
        <f>[1]发票导入!AA270&amp;""</f>
      </c>
      <c r="AB270">
        <f>[1]发票导入!AB270</f>
        <v>0</v>
      </c>
      <c r="AC270">
        <f>[1]发票导入!AC270</f>
        <v>0</v>
      </c>
      <c r="AE270" s="22">
        <f t="shared" si="0"/>
      </c>
      <c r="AI270">
        <f>[1]发票导入!AI270&amp;""</f>
      </c>
      <c r="AJ270">
        <f>[1]发票导入!AJ270&amp;""</f>
      </c>
      <c r="AK270">
        <f>[1]发票导入!AK270</f>
        <v>0</v>
      </c>
      <c r="AL270">
        <f>[1]发票导入!AL270</f>
        <v>0</v>
      </c>
      <c r="AM270">
        <f>[1]发票导入!AM270</f>
        <v>0</v>
      </c>
      <c r="AN270" s="22">
        <f t="shared" si="1"/>
        <v>0</v>
      </c>
      <c r="AO270" s="22">
        <f t="shared" si="2"/>
        <v>0</v>
      </c>
    </row>
    <row r="271">
      <c r="C271">
        <f>[1]发票导入!C271&amp;""</f>
      </c>
      <c r="D271">
        <f>[1]发票导入!D271&amp;""</f>
      </c>
      <c r="O271">
        <f>[1]发票导入!O271&amp;""</f>
      </c>
      <c r="T271">
        <f>[1]发票导入!T271</f>
      </c>
      <c r="U271">
        <f>[1]发票导入!U271&amp;""</f>
      </c>
      <c r="V271">
        <f>[1]发票导入!V271&amp;""</f>
      </c>
      <c r="W271">
        <f>[1]发票导入!W271&amp;""</f>
      </c>
      <c r="Y271">
        <f>[1]发票导入!Y271&amp;""</f>
      </c>
      <c r="AA271">
        <f>[1]发票导入!AA271&amp;""</f>
      </c>
      <c r="AB271">
        <f>[1]发票导入!AB271</f>
        <v>0</v>
      </c>
      <c r="AC271">
        <f>[1]发票导入!AC271</f>
        <v>0</v>
      </c>
      <c r="AE271" s="22">
        <f t="shared" si="0"/>
      </c>
      <c r="AI271">
        <f>[1]发票导入!AI271&amp;""</f>
      </c>
      <c r="AJ271">
        <f>[1]发票导入!AJ271&amp;""</f>
      </c>
      <c r="AK271">
        <f>[1]发票导入!AK271</f>
        <v>0</v>
      </c>
      <c r="AL271">
        <f>[1]发票导入!AL271</f>
        <v>0</v>
      </c>
      <c r="AM271">
        <f>[1]发票导入!AM271</f>
        <v>0</v>
      </c>
      <c r="AN271" s="22">
        <f t="shared" si="1"/>
        <v>0</v>
      </c>
      <c r="AO271" s="22">
        <f t="shared" si="2"/>
        <v>0</v>
      </c>
    </row>
    <row r="272">
      <c r="C272">
        <f>[1]发票导入!C272&amp;""</f>
      </c>
      <c r="D272">
        <f>[1]发票导入!D272&amp;""</f>
      </c>
      <c r="O272">
        <f>[1]发票导入!O272&amp;""</f>
      </c>
      <c r="T272">
        <f>[1]发票导入!T272</f>
      </c>
      <c r="U272">
        <f>[1]发票导入!U272&amp;""</f>
      </c>
      <c r="V272">
        <f>[1]发票导入!V272&amp;""</f>
      </c>
      <c r="W272">
        <f>[1]发票导入!W272&amp;""</f>
      </c>
      <c r="Y272">
        <f>[1]发票导入!Y272&amp;""</f>
      </c>
      <c r="AA272">
        <f>[1]发票导入!AA272&amp;""</f>
      </c>
      <c r="AB272">
        <f>[1]发票导入!AB272</f>
        <v>0</v>
      </c>
      <c r="AC272">
        <f>[1]发票导入!AC272</f>
        <v>0</v>
      </c>
      <c r="AE272" s="22">
        <f t="shared" si="0"/>
      </c>
      <c r="AI272">
        <f>[1]发票导入!AI272&amp;""</f>
      </c>
      <c r="AJ272">
        <f>[1]发票导入!AJ272&amp;""</f>
      </c>
      <c r="AK272">
        <f>[1]发票导入!AK272</f>
        <v>0</v>
      </c>
      <c r="AL272">
        <f>[1]发票导入!AL272</f>
        <v>0</v>
      </c>
      <c r="AM272">
        <f>[1]发票导入!AM272</f>
        <v>0</v>
      </c>
      <c r="AN272" s="22">
        <f t="shared" si="1"/>
        <v>0</v>
      </c>
      <c r="AO272" s="22">
        <f t="shared" si="2"/>
        <v>0</v>
      </c>
    </row>
    <row r="273">
      <c r="C273">
        <f>[1]发票导入!C273&amp;""</f>
      </c>
      <c r="D273">
        <f>[1]发票导入!D273&amp;""</f>
      </c>
      <c r="O273">
        <f>[1]发票导入!O273&amp;""</f>
      </c>
      <c r="T273">
        <f>[1]发票导入!T273</f>
      </c>
      <c r="U273">
        <f>[1]发票导入!U273&amp;""</f>
      </c>
      <c r="V273">
        <f>[1]发票导入!V273&amp;""</f>
      </c>
      <c r="W273">
        <f>[1]发票导入!W273&amp;""</f>
      </c>
      <c r="Y273">
        <f>[1]发票导入!Y273&amp;""</f>
      </c>
      <c r="AA273">
        <f>[1]发票导入!AA273&amp;""</f>
      </c>
      <c r="AB273">
        <f>[1]发票导入!AB273</f>
        <v>0</v>
      </c>
      <c r="AC273">
        <f>[1]发票导入!AC273</f>
        <v>0</v>
      </c>
      <c r="AE273" s="22">
        <f t="shared" si="0"/>
      </c>
      <c r="AI273">
        <f>[1]发票导入!AI273&amp;""</f>
      </c>
      <c r="AJ273">
        <f>[1]发票导入!AJ273&amp;""</f>
      </c>
      <c r="AK273">
        <f>[1]发票导入!AK273</f>
        <v>0</v>
      </c>
      <c r="AL273">
        <f>[1]发票导入!AL273</f>
        <v>0</v>
      </c>
      <c r="AM273">
        <f>[1]发票导入!AM273</f>
        <v>0</v>
      </c>
      <c r="AN273" s="22">
        <f t="shared" si="1"/>
        <v>0</v>
      </c>
      <c r="AO273" s="22">
        <f t="shared" si="2"/>
        <v>0</v>
      </c>
    </row>
    <row r="274">
      <c r="C274">
        <f>[1]发票导入!C274&amp;""</f>
      </c>
      <c r="D274">
        <f>[1]发票导入!D274&amp;""</f>
      </c>
      <c r="O274">
        <f>[1]发票导入!O274&amp;""</f>
      </c>
      <c r="T274">
        <f>[1]发票导入!T274</f>
      </c>
      <c r="U274">
        <f>[1]发票导入!U274&amp;""</f>
      </c>
      <c r="V274">
        <f>[1]发票导入!V274&amp;""</f>
      </c>
      <c r="W274">
        <f>[1]发票导入!W274&amp;""</f>
      </c>
      <c r="Y274">
        <f>[1]发票导入!Y274&amp;""</f>
      </c>
      <c r="AA274">
        <f>[1]发票导入!AA274&amp;""</f>
      </c>
      <c r="AB274">
        <f>[1]发票导入!AB274</f>
        <v>0</v>
      </c>
      <c r="AC274">
        <f>[1]发票导入!AC274</f>
        <v>0</v>
      </c>
      <c r="AE274" s="22">
        <f t="shared" si="0"/>
      </c>
      <c r="AI274">
        <f>[1]发票导入!AI274&amp;""</f>
      </c>
      <c r="AJ274">
        <f>[1]发票导入!AJ274&amp;""</f>
      </c>
      <c r="AK274">
        <f>[1]发票导入!AK274</f>
        <v>0</v>
      </c>
      <c r="AL274">
        <f>[1]发票导入!AL274</f>
        <v>0</v>
      </c>
      <c r="AM274">
        <f>[1]发票导入!AM274</f>
        <v>0</v>
      </c>
      <c r="AN274" s="22">
        <f t="shared" si="1"/>
        <v>0</v>
      </c>
      <c r="AO274" s="22">
        <f t="shared" si="2"/>
        <v>0</v>
      </c>
    </row>
    <row r="275">
      <c r="C275">
        <f>[1]发票导入!C275&amp;""</f>
      </c>
      <c r="D275">
        <f>[1]发票导入!D275&amp;""</f>
      </c>
      <c r="O275">
        <f>[1]发票导入!O275&amp;""</f>
      </c>
      <c r="T275">
        <f>[1]发票导入!T275</f>
      </c>
      <c r="U275">
        <f>[1]发票导入!U275&amp;""</f>
      </c>
      <c r="V275">
        <f>[1]发票导入!V275&amp;""</f>
      </c>
      <c r="W275">
        <f>[1]发票导入!W275&amp;""</f>
      </c>
      <c r="Y275">
        <f>[1]发票导入!Y275&amp;""</f>
      </c>
      <c r="AA275">
        <f>[1]发票导入!AA275&amp;""</f>
      </c>
      <c r="AB275">
        <f>[1]发票导入!AB275</f>
        <v>0</v>
      </c>
      <c r="AC275">
        <f>[1]发票导入!AC275</f>
        <v>0</v>
      </c>
      <c r="AE275" s="22">
        <f t="shared" si="0"/>
      </c>
      <c r="AI275">
        <f>[1]发票导入!AI275&amp;""</f>
      </c>
      <c r="AJ275">
        <f>[1]发票导入!AJ275&amp;""</f>
      </c>
      <c r="AK275">
        <f>[1]发票导入!AK275</f>
        <v>0</v>
      </c>
      <c r="AL275">
        <f>[1]发票导入!AL275</f>
        <v>0</v>
      </c>
      <c r="AM275">
        <f>[1]发票导入!AM275</f>
        <v>0</v>
      </c>
      <c r="AN275" s="22">
        <f t="shared" si="1"/>
        <v>0</v>
      </c>
      <c r="AO275" s="22">
        <f t="shared" si="2"/>
        <v>0</v>
      </c>
    </row>
    <row r="276">
      <c r="C276">
        <f>[1]发票导入!C276&amp;""</f>
      </c>
      <c r="D276">
        <f>[1]发票导入!D276&amp;""</f>
      </c>
      <c r="O276">
        <f>[1]发票导入!O276&amp;""</f>
      </c>
      <c r="T276">
        <f>[1]发票导入!T276</f>
      </c>
      <c r="U276">
        <f>[1]发票导入!U276&amp;""</f>
      </c>
      <c r="V276">
        <f>[1]发票导入!V276&amp;""</f>
      </c>
      <c r="W276">
        <f>[1]发票导入!W276&amp;""</f>
      </c>
      <c r="Y276">
        <f>[1]发票导入!Y276&amp;""</f>
      </c>
      <c r="AA276">
        <f>[1]发票导入!AA276&amp;""</f>
      </c>
      <c r="AB276">
        <f>[1]发票导入!AB276</f>
        <v>0</v>
      </c>
      <c r="AC276">
        <f>[1]发票导入!AC276</f>
        <v>0</v>
      </c>
      <c r="AE276" s="22">
        <f t="shared" si="0"/>
      </c>
      <c r="AI276">
        <f>[1]发票导入!AI276&amp;""</f>
      </c>
      <c r="AJ276">
        <f>[1]发票导入!AJ276&amp;""</f>
      </c>
      <c r="AK276">
        <f>[1]发票导入!AK276</f>
        <v>0</v>
      </c>
      <c r="AL276">
        <f>[1]发票导入!AL276</f>
        <v>0</v>
      </c>
      <c r="AM276">
        <f>[1]发票导入!AM276</f>
        <v>0</v>
      </c>
      <c r="AN276" s="22">
        <f t="shared" si="1"/>
        <v>0</v>
      </c>
      <c r="AO276" s="22">
        <f t="shared" si="2"/>
        <v>0</v>
      </c>
    </row>
    <row r="277">
      <c r="C277">
        <f>[1]发票导入!C277&amp;""</f>
      </c>
      <c r="D277">
        <f>[1]发票导入!D277&amp;""</f>
      </c>
      <c r="O277">
        <f>[1]发票导入!O277&amp;""</f>
      </c>
      <c r="T277">
        <f>[1]发票导入!T277</f>
      </c>
      <c r="U277">
        <f>[1]发票导入!U277&amp;""</f>
      </c>
      <c r="V277">
        <f>[1]发票导入!V277&amp;""</f>
      </c>
      <c r="W277">
        <f>[1]发票导入!W277&amp;""</f>
      </c>
      <c r="Y277">
        <f>[1]发票导入!Y277&amp;""</f>
      </c>
      <c r="AA277">
        <f>[1]发票导入!AA277&amp;""</f>
      </c>
      <c r="AB277">
        <f>[1]发票导入!AB277</f>
        <v>0</v>
      </c>
      <c r="AC277">
        <f>[1]发票导入!AC277</f>
        <v>0</v>
      </c>
      <c r="AE277" s="22">
        <f t="shared" si="0"/>
      </c>
      <c r="AI277">
        <f>[1]发票导入!AI277&amp;""</f>
      </c>
      <c r="AJ277">
        <f>[1]发票导入!AJ277&amp;""</f>
      </c>
      <c r="AK277">
        <f>[1]发票导入!AK277</f>
        <v>0</v>
      </c>
      <c r="AL277">
        <f>[1]发票导入!AL277</f>
        <v>0</v>
      </c>
      <c r="AM277">
        <f>[1]发票导入!AM277</f>
        <v>0</v>
      </c>
      <c r="AN277" s="22">
        <f t="shared" si="1"/>
        <v>0</v>
      </c>
      <c r="AO277" s="22">
        <f t="shared" si="2"/>
        <v>0</v>
      </c>
    </row>
    <row r="278">
      <c r="C278">
        <f>[1]发票导入!C278&amp;""</f>
      </c>
      <c r="D278">
        <f>[1]发票导入!D278&amp;""</f>
      </c>
      <c r="O278">
        <f>[1]发票导入!O278&amp;""</f>
      </c>
      <c r="T278">
        <f>[1]发票导入!T278</f>
      </c>
      <c r="U278">
        <f>[1]发票导入!U278&amp;""</f>
      </c>
      <c r="V278">
        <f>[1]发票导入!V278&amp;""</f>
      </c>
      <c r="W278">
        <f>[1]发票导入!W278&amp;""</f>
      </c>
      <c r="Y278">
        <f>[1]发票导入!Y278&amp;""</f>
      </c>
      <c r="AA278">
        <f>[1]发票导入!AA278&amp;""</f>
      </c>
      <c r="AB278">
        <f>[1]发票导入!AB278</f>
        <v>0</v>
      </c>
      <c r="AC278">
        <f>[1]发票导入!AC278</f>
        <v>0</v>
      </c>
      <c r="AE278" s="22">
        <f t="shared" si="0"/>
      </c>
      <c r="AI278">
        <f>[1]发票导入!AI278&amp;""</f>
      </c>
      <c r="AJ278">
        <f>[1]发票导入!AJ278&amp;""</f>
      </c>
      <c r="AK278">
        <f>[1]发票导入!AK278</f>
        <v>0</v>
      </c>
      <c r="AL278">
        <f>[1]发票导入!AL278</f>
        <v>0</v>
      </c>
      <c r="AM278">
        <f>[1]发票导入!AM278</f>
        <v>0</v>
      </c>
      <c r="AN278" s="22">
        <f t="shared" si="1"/>
        <v>0</v>
      </c>
      <c r="AO278" s="22">
        <f t="shared" si="2"/>
        <v>0</v>
      </c>
    </row>
    <row r="279">
      <c r="C279">
        <f>[1]发票导入!C279&amp;""</f>
      </c>
      <c r="D279">
        <f>[1]发票导入!D279&amp;""</f>
      </c>
      <c r="O279">
        <f>[1]发票导入!O279&amp;""</f>
      </c>
      <c r="T279">
        <f>[1]发票导入!T279</f>
      </c>
      <c r="U279">
        <f>[1]发票导入!U279&amp;""</f>
      </c>
      <c r="V279">
        <f>[1]发票导入!V279&amp;""</f>
      </c>
      <c r="W279">
        <f>[1]发票导入!W279&amp;""</f>
      </c>
      <c r="Y279">
        <f>[1]发票导入!Y279&amp;""</f>
      </c>
      <c r="AA279">
        <f>[1]发票导入!AA279&amp;""</f>
      </c>
      <c r="AB279">
        <f>[1]发票导入!AB279</f>
        <v>0</v>
      </c>
      <c r="AC279">
        <f>[1]发票导入!AC279</f>
        <v>0</v>
      </c>
      <c r="AE279" s="22">
        <f t="shared" si="0"/>
      </c>
      <c r="AI279">
        <f>[1]发票导入!AI279&amp;""</f>
      </c>
      <c r="AJ279">
        <f>[1]发票导入!AJ279&amp;""</f>
      </c>
      <c r="AK279">
        <f>[1]发票导入!AK279</f>
        <v>0</v>
      </c>
      <c r="AL279">
        <f>[1]发票导入!AL279</f>
        <v>0</v>
      </c>
      <c r="AM279">
        <f>[1]发票导入!AM279</f>
        <v>0</v>
      </c>
      <c r="AN279" s="22">
        <f t="shared" si="1"/>
        <v>0</v>
      </c>
      <c r="AO279" s="22">
        <f t="shared" si="2"/>
        <v>0</v>
      </c>
    </row>
    <row r="280">
      <c r="C280">
        <f>[1]发票导入!C280&amp;""</f>
      </c>
      <c r="D280">
        <f>[1]发票导入!D280&amp;""</f>
      </c>
      <c r="O280">
        <f>[1]发票导入!O280&amp;""</f>
      </c>
      <c r="T280">
        <f>[1]发票导入!T280</f>
      </c>
      <c r="U280">
        <f>[1]发票导入!U280&amp;""</f>
      </c>
      <c r="V280">
        <f>[1]发票导入!V280&amp;""</f>
      </c>
      <c r="W280">
        <f>[1]发票导入!W280&amp;""</f>
      </c>
      <c r="Y280">
        <f>[1]发票导入!Y280&amp;""</f>
      </c>
      <c r="AA280">
        <f>[1]发票导入!AA280&amp;""</f>
      </c>
      <c r="AB280">
        <f>[1]发票导入!AB280</f>
        <v>0</v>
      </c>
      <c r="AC280">
        <f>[1]发票导入!AC280</f>
        <v>0</v>
      </c>
      <c r="AE280" s="22">
        <f t="shared" si="0"/>
      </c>
      <c r="AI280">
        <f>[1]发票导入!AI280&amp;""</f>
      </c>
      <c r="AJ280">
        <f>[1]发票导入!AJ280&amp;""</f>
      </c>
      <c r="AK280">
        <f>[1]发票导入!AK280</f>
        <v>0</v>
      </c>
      <c r="AL280">
        <f>[1]发票导入!AL280</f>
        <v>0</v>
      </c>
      <c r="AM280">
        <f>[1]发票导入!AM280</f>
        <v>0</v>
      </c>
      <c r="AN280" s="22">
        <f t="shared" si="1"/>
        <v>0</v>
      </c>
      <c r="AO280" s="22">
        <f t="shared" si="2"/>
        <v>0</v>
      </c>
    </row>
    <row r="281">
      <c r="C281">
        <f>[1]发票导入!C281&amp;""</f>
      </c>
      <c r="D281">
        <f>[1]发票导入!D281&amp;""</f>
      </c>
      <c r="O281">
        <f>[1]发票导入!O281&amp;""</f>
      </c>
      <c r="T281">
        <f>[1]发票导入!T281</f>
      </c>
      <c r="U281">
        <f>[1]发票导入!U281&amp;""</f>
      </c>
      <c r="V281">
        <f>[1]发票导入!V281&amp;""</f>
      </c>
      <c r="W281">
        <f>[1]发票导入!W281&amp;""</f>
      </c>
      <c r="Y281">
        <f>[1]发票导入!Y281&amp;""</f>
      </c>
      <c r="AA281">
        <f>[1]发票导入!AA281&amp;""</f>
      </c>
      <c r="AB281">
        <f>[1]发票导入!AB281</f>
        <v>0</v>
      </c>
      <c r="AC281">
        <f>[1]发票导入!AC281</f>
        <v>0</v>
      </c>
      <c r="AE281" s="22">
        <f t="shared" si="0"/>
      </c>
      <c r="AI281">
        <f>[1]发票导入!AI281&amp;""</f>
      </c>
      <c r="AJ281">
        <f>[1]发票导入!AJ281&amp;""</f>
      </c>
      <c r="AK281">
        <f>[1]发票导入!AK281</f>
        <v>0</v>
      </c>
      <c r="AL281">
        <f>[1]发票导入!AL281</f>
        <v>0</v>
      </c>
      <c r="AM281">
        <f>[1]发票导入!AM281</f>
        <v>0</v>
      </c>
      <c r="AN281" s="22">
        <f t="shared" si="1"/>
        <v>0</v>
      </c>
      <c r="AO281" s="22">
        <f t="shared" si="2"/>
        <v>0</v>
      </c>
    </row>
    <row r="282">
      <c r="C282">
        <f>[1]发票导入!C282&amp;""</f>
      </c>
      <c r="D282">
        <f>[1]发票导入!D282&amp;""</f>
      </c>
      <c r="O282">
        <f>[1]发票导入!O282&amp;""</f>
      </c>
      <c r="T282">
        <f>[1]发票导入!T282</f>
      </c>
      <c r="U282">
        <f>[1]发票导入!U282&amp;""</f>
      </c>
      <c r="V282">
        <f>[1]发票导入!V282&amp;""</f>
      </c>
      <c r="W282">
        <f>[1]发票导入!W282&amp;""</f>
      </c>
      <c r="Y282">
        <f>[1]发票导入!Y282&amp;""</f>
      </c>
      <c r="AA282">
        <f>[1]发票导入!AA282&amp;""</f>
      </c>
      <c r="AB282">
        <f>[1]发票导入!AB282</f>
        <v>0</v>
      </c>
      <c r="AC282">
        <f>[1]发票导入!AC282</f>
        <v>0</v>
      </c>
      <c r="AE282" s="22">
        <f t="shared" si="0"/>
      </c>
      <c r="AI282">
        <f>[1]发票导入!AI282&amp;""</f>
      </c>
      <c r="AJ282">
        <f>[1]发票导入!AJ282&amp;""</f>
      </c>
      <c r="AK282">
        <f>[1]发票导入!AK282</f>
        <v>0</v>
      </c>
      <c r="AL282">
        <f>[1]发票导入!AL282</f>
        <v>0</v>
      </c>
      <c r="AM282">
        <f>[1]发票导入!AM282</f>
        <v>0</v>
      </c>
      <c r="AN282" s="22">
        <f t="shared" si="1"/>
        <v>0</v>
      </c>
      <c r="AO282" s="22">
        <f t="shared" si="2"/>
        <v>0</v>
      </c>
    </row>
    <row r="283">
      <c r="C283">
        <f>[1]发票导入!C283&amp;""</f>
      </c>
      <c r="D283">
        <f>[1]发票导入!D283&amp;""</f>
      </c>
      <c r="O283">
        <f>[1]发票导入!O283&amp;""</f>
      </c>
      <c r="T283">
        <f>[1]发票导入!T283</f>
      </c>
      <c r="U283">
        <f>[1]发票导入!U283&amp;""</f>
      </c>
      <c r="V283">
        <f>[1]发票导入!V283&amp;""</f>
      </c>
      <c r="W283">
        <f>[1]发票导入!W283&amp;""</f>
      </c>
      <c r="Y283">
        <f>[1]发票导入!Y283&amp;""</f>
      </c>
      <c r="AA283">
        <f>[1]发票导入!AA283&amp;""</f>
      </c>
      <c r="AB283">
        <f>[1]发票导入!AB283</f>
        <v>0</v>
      </c>
      <c r="AC283">
        <f>[1]发票导入!AC283</f>
        <v>0</v>
      </c>
      <c r="AE283" s="22">
        <f t="shared" si="0"/>
      </c>
      <c r="AI283">
        <f>[1]发票导入!AI283&amp;""</f>
      </c>
      <c r="AJ283">
        <f>[1]发票导入!AJ283&amp;""</f>
      </c>
      <c r="AK283">
        <f>[1]发票导入!AK283</f>
        <v>0</v>
      </c>
      <c r="AL283">
        <f>[1]发票导入!AL283</f>
        <v>0</v>
      </c>
      <c r="AM283">
        <f>[1]发票导入!AM283</f>
        <v>0</v>
      </c>
      <c r="AN283" s="22">
        <f t="shared" si="1"/>
        <v>0</v>
      </c>
      <c r="AO283" s="22">
        <f t="shared" si="2"/>
        <v>0</v>
      </c>
    </row>
    <row r="284">
      <c r="C284">
        <f>[1]发票导入!C284&amp;""</f>
      </c>
      <c r="D284">
        <f>[1]发票导入!D284&amp;""</f>
      </c>
      <c r="O284">
        <f>[1]发票导入!O284&amp;""</f>
      </c>
      <c r="T284">
        <f>[1]发票导入!T284</f>
      </c>
      <c r="U284">
        <f>[1]发票导入!U284&amp;""</f>
      </c>
      <c r="V284">
        <f>[1]发票导入!V284&amp;""</f>
      </c>
      <c r="W284">
        <f>[1]发票导入!W284&amp;""</f>
      </c>
      <c r="Y284">
        <f>[1]发票导入!Y284&amp;""</f>
      </c>
      <c r="AA284">
        <f>[1]发票导入!AA284&amp;""</f>
      </c>
      <c r="AB284">
        <f>[1]发票导入!AB284</f>
        <v>0</v>
      </c>
      <c r="AC284">
        <f>[1]发票导入!AC284</f>
        <v>0</v>
      </c>
      <c r="AE284" s="22">
        <f t="shared" si="0"/>
      </c>
      <c r="AI284">
        <f>[1]发票导入!AI284&amp;""</f>
      </c>
      <c r="AJ284">
        <f>[1]发票导入!AJ284&amp;""</f>
      </c>
      <c r="AK284">
        <f>[1]发票导入!AK284</f>
        <v>0</v>
      </c>
      <c r="AL284">
        <f>[1]发票导入!AL284</f>
        <v>0</v>
      </c>
      <c r="AM284">
        <f>[1]发票导入!AM284</f>
        <v>0</v>
      </c>
      <c r="AN284" s="22">
        <f t="shared" si="1"/>
        <v>0</v>
      </c>
      <c r="AO284" s="22">
        <f t="shared" si="2"/>
        <v>0</v>
      </c>
    </row>
    <row r="285">
      <c r="C285">
        <f>[1]发票导入!C285&amp;""</f>
      </c>
      <c r="D285">
        <f>[1]发票导入!D285&amp;""</f>
      </c>
      <c r="O285">
        <f>[1]发票导入!O285&amp;""</f>
      </c>
      <c r="T285">
        <f>[1]发票导入!T285</f>
      </c>
      <c r="U285">
        <f>[1]发票导入!U285&amp;""</f>
      </c>
      <c r="V285">
        <f>[1]发票导入!V285&amp;""</f>
      </c>
      <c r="W285">
        <f>[1]发票导入!W285&amp;""</f>
      </c>
      <c r="Y285">
        <f>[1]发票导入!Y285&amp;""</f>
      </c>
      <c r="AA285">
        <f>[1]发票导入!AA285&amp;""</f>
      </c>
      <c r="AB285">
        <f>[1]发票导入!AB285</f>
        <v>0</v>
      </c>
      <c r="AC285">
        <f>[1]发票导入!AC285</f>
        <v>0</v>
      </c>
      <c r="AE285" s="22">
        <f t="shared" si="0"/>
      </c>
      <c r="AI285">
        <f>[1]发票导入!AI285&amp;""</f>
      </c>
      <c r="AJ285">
        <f>[1]发票导入!AJ285&amp;""</f>
      </c>
      <c r="AK285">
        <f>[1]发票导入!AK285</f>
        <v>0</v>
      </c>
      <c r="AL285">
        <f>[1]发票导入!AL285</f>
        <v>0</v>
      </c>
      <c r="AM285">
        <f>[1]发票导入!AM285</f>
        <v>0</v>
      </c>
      <c r="AN285" s="22">
        <f t="shared" si="1"/>
        <v>0</v>
      </c>
      <c r="AO285" s="22">
        <f t="shared" si="2"/>
        <v>0</v>
      </c>
    </row>
    <row r="286">
      <c r="C286">
        <f>[1]发票导入!C286&amp;""</f>
      </c>
      <c r="D286">
        <f>[1]发票导入!D286&amp;""</f>
      </c>
      <c r="O286">
        <f>[1]发票导入!O286&amp;""</f>
      </c>
      <c r="T286">
        <f>[1]发票导入!T286</f>
      </c>
      <c r="U286">
        <f>[1]发票导入!U286&amp;""</f>
      </c>
      <c r="V286">
        <f>[1]发票导入!V286&amp;""</f>
      </c>
      <c r="W286">
        <f>[1]发票导入!W286&amp;""</f>
      </c>
      <c r="Y286">
        <f>[1]发票导入!Y286&amp;""</f>
      </c>
      <c r="AA286">
        <f>[1]发票导入!AA286&amp;""</f>
      </c>
      <c r="AB286">
        <f>[1]发票导入!AB286</f>
        <v>0</v>
      </c>
      <c r="AC286">
        <f>[1]发票导入!AC286</f>
        <v>0</v>
      </c>
      <c r="AE286" s="22">
        <f t="shared" si="0"/>
      </c>
      <c r="AI286">
        <f>[1]发票导入!AI286&amp;""</f>
      </c>
      <c r="AJ286">
        <f>[1]发票导入!AJ286&amp;""</f>
      </c>
      <c r="AK286">
        <f>[1]发票导入!AK286</f>
        <v>0</v>
      </c>
      <c r="AL286">
        <f>[1]发票导入!AL286</f>
        <v>0</v>
      </c>
      <c r="AM286">
        <f>[1]发票导入!AM286</f>
        <v>0</v>
      </c>
      <c r="AN286" s="22">
        <f t="shared" si="1"/>
        <v>0</v>
      </c>
      <c r="AO286" s="22">
        <f t="shared" si="2"/>
        <v>0</v>
      </c>
    </row>
    <row r="287">
      <c r="C287">
        <f>[1]发票导入!C287&amp;""</f>
      </c>
      <c r="D287">
        <f>[1]发票导入!D287&amp;""</f>
      </c>
      <c r="O287">
        <f>[1]发票导入!O287&amp;""</f>
      </c>
      <c r="T287">
        <f>[1]发票导入!T287</f>
      </c>
      <c r="U287">
        <f>[1]发票导入!U287&amp;""</f>
      </c>
      <c r="V287">
        <f>[1]发票导入!V287&amp;""</f>
      </c>
      <c r="W287">
        <f>[1]发票导入!W287&amp;""</f>
      </c>
      <c r="Y287">
        <f>[1]发票导入!Y287&amp;""</f>
      </c>
      <c r="AA287">
        <f>[1]发票导入!AA287&amp;""</f>
      </c>
      <c r="AB287">
        <f>[1]发票导入!AB287</f>
        <v>0</v>
      </c>
      <c r="AC287">
        <f>[1]发票导入!AC287</f>
        <v>0</v>
      </c>
      <c r="AE287" s="22">
        <f t="shared" si="0"/>
      </c>
      <c r="AI287">
        <f>[1]发票导入!AI287&amp;""</f>
      </c>
      <c r="AJ287">
        <f>[1]发票导入!AJ287&amp;""</f>
      </c>
      <c r="AK287">
        <f>[1]发票导入!AK287</f>
        <v>0</v>
      </c>
      <c r="AL287">
        <f>[1]发票导入!AL287</f>
        <v>0</v>
      </c>
      <c r="AM287">
        <f>[1]发票导入!AM287</f>
        <v>0</v>
      </c>
      <c r="AN287" s="22">
        <f t="shared" si="1"/>
        <v>0</v>
      </c>
      <c r="AO287" s="22">
        <f t="shared" si="2"/>
        <v>0</v>
      </c>
    </row>
    <row r="288">
      <c r="C288">
        <f>[1]发票导入!C288&amp;""</f>
      </c>
      <c r="D288">
        <f>[1]发票导入!D288&amp;""</f>
      </c>
      <c r="O288">
        <f>[1]发票导入!O288&amp;""</f>
      </c>
      <c r="T288">
        <f>[1]发票导入!T288</f>
      </c>
      <c r="U288">
        <f>[1]发票导入!U288&amp;""</f>
      </c>
      <c r="V288">
        <f>[1]发票导入!V288&amp;""</f>
      </c>
      <c r="W288">
        <f>[1]发票导入!W288&amp;""</f>
      </c>
      <c r="Y288">
        <f>[1]发票导入!Y288&amp;""</f>
      </c>
      <c r="AA288">
        <f>[1]发票导入!AA288&amp;""</f>
      </c>
      <c r="AB288">
        <f>[1]发票导入!AB288</f>
        <v>0</v>
      </c>
      <c r="AC288">
        <f>[1]发票导入!AC288</f>
        <v>0</v>
      </c>
      <c r="AE288" s="22">
        <f t="shared" si="0"/>
      </c>
      <c r="AI288">
        <f>[1]发票导入!AI288&amp;""</f>
      </c>
      <c r="AJ288">
        <f>[1]发票导入!AJ288&amp;""</f>
      </c>
      <c r="AK288">
        <f>[1]发票导入!AK288</f>
        <v>0</v>
      </c>
      <c r="AL288">
        <f>[1]发票导入!AL288</f>
        <v>0</v>
      </c>
      <c r="AM288">
        <f>[1]发票导入!AM288</f>
        <v>0</v>
      </c>
      <c r="AN288" s="22">
        <f t="shared" si="1"/>
        <v>0</v>
      </c>
      <c r="AO288" s="22">
        <f t="shared" si="2"/>
        <v>0</v>
      </c>
    </row>
    <row r="289">
      <c r="C289">
        <f>[1]发票导入!C289&amp;""</f>
      </c>
      <c r="D289">
        <f>[1]发票导入!D289&amp;""</f>
      </c>
      <c r="O289">
        <f>[1]发票导入!O289&amp;""</f>
      </c>
      <c r="T289">
        <f>[1]发票导入!T289</f>
      </c>
      <c r="U289">
        <f>[1]发票导入!U289&amp;""</f>
      </c>
      <c r="V289">
        <f>[1]发票导入!V289&amp;""</f>
      </c>
      <c r="W289">
        <f>[1]发票导入!W289&amp;""</f>
      </c>
      <c r="Y289">
        <f>[1]发票导入!Y289&amp;""</f>
      </c>
      <c r="AA289">
        <f>[1]发票导入!AA289&amp;""</f>
      </c>
      <c r="AB289">
        <f>[1]发票导入!AB289</f>
        <v>0</v>
      </c>
      <c r="AC289">
        <f>[1]发票导入!AC289</f>
        <v>0</v>
      </c>
      <c r="AE289" s="22">
        <f t="shared" si="0"/>
      </c>
      <c r="AI289">
        <f>[1]发票导入!AI289&amp;""</f>
      </c>
      <c r="AJ289">
        <f>[1]发票导入!AJ289&amp;""</f>
      </c>
      <c r="AK289">
        <f>[1]发票导入!AK289</f>
        <v>0</v>
      </c>
      <c r="AL289">
        <f>[1]发票导入!AL289</f>
        <v>0</v>
      </c>
      <c r="AM289">
        <f>[1]发票导入!AM289</f>
        <v>0</v>
      </c>
      <c r="AN289" s="22">
        <f t="shared" si="1"/>
        <v>0</v>
      </c>
      <c r="AO289" s="22">
        <f t="shared" si="2"/>
        <v>0</v>
      </c>
    </row>
    <row r="290">
      <c r="C290">
        <f>[1]发票导入!C290&amp;""</f>
      </c>
      <c r="D290">
        <f>[1]发票导入!D290&amp;""</f>
      </c>
      <c r="O290">
        <f>[1]发票导入!O290&amp;""</f>
      </c>
      <c r="T290">
        <f>[1]发票导入!T290</f>
      </c>
      <c r="U290">
        <f>[1]发票导入!U290&amp;""</f>
      </c>
      <c r="V290">
        <f>[1]发票导入!V290&amp;""</f>
      </c>
      <c r="W290">
        <f>[1]发票导入!W290&amp;""</f>
      </c>
      <c r="Y290">
        <f>[1]发票导入!Y290&amp;""</f>
      </c>
      <c r="AA290">
        <f>[1]发票导入!AA290&amp;""</f>
      </c>
      <c r="AB290">
        <f>[1]发票导入!AB290</f>
        <v>0</v>
      </c>
      <c r="AC290">
        <f>[1]发票导入!AC290</f>
        <v>0</v>
      </c>
      <c r="AE290" s="22">
        <f t="shared" si="0"/>
      </c>
      <c r="AI290">
        <f>[1]发票导入!AI290&amp;""</f>
      </c>
      <c r="AJ290">
        <f>[1]发票导入!AJ290&amp;""</f>
      </c>
      <c r="AK290">
        <f>[1]发票导入!AK290</f>
        <v>0</v>
      </c>
      <c r="AL290">
        <f>[1]发票导入!AL290</f>
        <v>0</v>
      </c>
      <c r="AM290">
        <f>[1]发票导入!AM290</f>
        <v>0</v>
      </c>
      <c r="AN290" s="22">
        <f t="shared" si="1"/>
        <v>0</v>
      </c>
      <c r="AO290" s="22">
        <f t="shared" si="2"/>
        <v>0</v>
      </c>
    </row>
    <row r="291">
      <c r="C291">
        <f>[1]发票导入!C291&amp;""</f>
      </c>
      <c r="D291">
        <f>[1]发票导入!D291&amp;""</f>
      </c>
      <c r="O291">
        <f>[1]发票导入!O291&amp;""</f>
      </c>
      <c r="T291">
        <f>[1]发票导入!T291</f>
      </c>
      <c r="U291">
        <f>[1]发票导入!U291&amp;""</f>
      </c>
      <c r="V291">
        <f>[1]发票导入!V291&amp;""</f>
      </c>
      <c r="W291">
        <f>[1]发票导入!W291&amp;""</f>
      </c>
      <c r="Y291">
        <f>[1]发票导入!Y291&amp;""</f>
      </c>
      <c r="AA291">
        <f>[1]发票导入!AA291&amp;""</f>
      </c>
      <c r="AB291">
        <f>[1]发票导入!AB291</f>
        <v>0</v>
      </c>
      <c r="AC291">
        <f>[1]发票导入!AC291</f>
        <v>0</v>
      </c>
      <c r="AE291" s="22">
        <f t="shared" si="0"/>
      </c>
      <c r="AI291">
        <f>[1]发票导入!AI291&amp;""</f>
      </c>
      <c r="AJ291">
        <f>[1]发票导入!AJ291&amp;""</f>
      </c>
      <c r="AK291">
        <f>[1]发票导入!AK291</f>
        <v>0</v>
      </c>
      <c r="AL291">
        <f>[1]发票导入!AL291</f>
        <v>0</v>
      </c>
      <c r="AM291">
        <f>[1]发票导入!AM291</f>
        <v>0</v>
      </c>
      <c r="AN291" s="22">
        <f t="shared" si="1"/>
        <v>0</v>
      </c>
      <c r="AO291" s="22">
        <f t="shared" si="2"/>
        <v>0</v>
      </c>
    </row>
    <row r="292">
      <c r="C292">
        <f>[1]发票导入!C292&amp;""</f>
      </c>
      <c r="D292">
        <f>[1]发票导入!D292&amp;""</f>
      </c>
      <c r="O292">
        <f>[1]发票导入!O292&amp;""</f>
      </c>
      <c r="T292">
        <f>[1]发票导入!T292</f>
      </c>
      <c r="U292">
        <f>[1]发票导入!U292&amp;""</f>
      </c>
      <c r="V292">
        <f>[1]发票导入!V292&amp;""</f>
      </c>
      <c r="W292">
        <f>[1]发票导入!W292&amp;""</f>
      </c>
      <c r="Y292">
        <f>[1]发票导入!Y292&amp;""</f>
      </c>
      <c r="AA292">
        <f>[1]发票导入!AA292&amp;""</f>
      </c>
      <c r="AB292">
        <f>[1]发票导入!AB292</f>
        <v>0</v>
      </c>
      <c r="AC292">
        <f>[1]发票导入!AC292</f>
        <v>0</v>
      </c>
      <c r="AE292" s="22">
        <f t="shared" si="0"/>
      </c>
      <c r="AI292">
        <f>[1]发票导入!AI292&amp;""</f>
      </c>
      <c r="AJ292">
        <f>[1]发票导入!AJ292&amp;""</f>
      </c>
      <c r="AK292">
        <f>[1]发票导入!AK292</f>
        <v>0</v>
      </c>
      <c r="AL292">
        <f>[1]发票导入!AL292</f>
        <v>0</v>
      </c>
      <c r="AM292">
        <f>[1]发票导入!AM292</f>
        <v>0</v>
      </c>
      <c r="AN292" s="22">
        <f t="shared" si="1"/>
        <v>0</v>
      </c>
      <c r="AO292" s="22">
        <f t="shared" si="2"/>
        <v>0</v>
      </c>
    </row>
    <row r="293">
      <c r="C293">
        <f>[1]发票导入!C293&amp;""</f>
      </c>
      <c r="D293">
        <f>[1]发票导入!D293&amp;""</f>
      </c>
      <c r="O293">
        <f>[1]发票导入!O293&amp;""</f>
      </c>
      <c r="T293">
        <f>[1]发票导入!T293</f>
      </c>
      <c r="U293">
        <f>[1]发票导入!U293&amp;""</f>
      </c>
      <c r="V293">
        <f>[1]发票导入!V293&amp;""</f>
      </c>
      <c r="W293">
        <f>[1]发票导入!W293&amp;""</f>
      </c>
      <c r="Y293">
        <f>[1]发票导入!Y293&amp;""</f>
      </c>
      <c r="AA293">
        <f>[1]发票导入!AA293&amp;""</f>
      </c>
      <c r="AB293">
        <f>[1]发票导入!AB293</f>
        <v>0</v>
      </c>
      <c r="AC293">
        <f>[1]发票导入!AC293</f>
        <v>0</v>
      </c>
      <c r="AE293" s="22">
        <f t="shared" si="0"/>
      </c>
      <c r="AI293">
        <f>[1]发票导入!AI293&amp;""</f>
      </c>
      <c r="AJ293">
        <f>[1]发票导入!AJ293&amp;""</f>
      </c>
      <c r="AK293">
        <f>[1]发票导入!AK293</f>
        <v>0</v>
      </c>
      <c r="AL293">
        <f>[1]发票导入!AL293</f>
        <v>0</v>
      </c>
      <c r="AM293">
        <f>[1]发票导入!AM293</f>
        <v>0</v>
      </c>
      <c r="AN293" s="22">
        <f t="shared" si="1"/>
        <v>0</v>
      </c>
      <c r="AO293" s="22">
        <f t="shared" si="2"/>
        <v>0</v>
      </c>
    </row>
    <row r="294">
      <c r="C294">
        <f>[1]发票导入!C294&amp;""</f>
      </c>
      <c r="D294">
        <f>[1]发票导入!D294&amp;""</f>
      </c>
      <c r="O294">
        <f>[1]发票导入!O294&amp;""</f>
      </c>
      <c r="T294">
        <f>[1]发票导入!T294</f>
      </c>
      <c r="U294">
        <f>[1]发票导入!U294&amp;""</f>
      </c>
      <c r="V294">
        <f>[1]发票导入!V294&amp;""</f>
      </c>
      <c r="W294">
        <f>[1]发票导入!W294&amp;""</f>
      </c>
      <c r="Y294">
        <f>[1]发票导入!Y294&amp;""</f>
      </c>
      <c r="AA294">
        <f>[1]发票导入!AA294&amp;""</f>
      </c>
      <c r="AB294">
        <f>[1]发票导入!AB294</f>
        <v>0</v>
      </c>
      <c r="AC294">
        <f>[1]发票导入!AC294</f>
        <v>0</v>
      </c>
      <c r="AE294" s="22">
        <f t="shared" si="0"/>
      </c>
      <c r="AI294">
        <f>[1]发票导入!AI294&amp;""</f>
      </c>
      <c r="AJ294">
        <f>[1]发票导入!AJ294&amp;""</f>
      </c>
      <c r="AK294">
        <f>[1]发票导入!AK294</f>
        <v>0</v>
      </c>
      <c r="AL294">
        <f>[1]发票导入!AL294</f>
        <v>0</v>
      </c>
      <c r="AM294">
        <f>[1]发票导入!AM294</f>
        <v>0</v>
      </c>
      <c r="AN294" s="22">
        <f t="shared" si="1"/>
        <v>0</v>
      </c>
      <c r="AO294" s="22">
        <f t="shared" si="2"/>
        <v>0</v>
      </c>
    </row>
    <row r="295">
      <c r="C295">
        <f>[1]发票导入!C295&amp;""</f>
      </c>
      <c r="D295">
        <f>[1]发票导入!D295&amp;""</f>
      </c>
      <c r="O295">
        <f>[1]发票导入!O295&amp;""</f>
      </c>
      <c r="T295">
        <f>[1]发票导入!T295</f>
      </c>
      <c r="U295">
        <f>[1]发票导入!U295&amp;""</f>
      </c>
      <c r="V295">
        <f>[1]发票导入!V295&amp;""</f>
      </c>
      <c r="W295">
        <f>[1]发票导入!W295&amp;""</f>
      </c>
      <c r="Y295">
        <f>[1]发票导入!Y295&amp;""</f>
      </c>
      <c r="AA295">
        <f>[1]发票导入!AA295&amp;""</f>
      </c>
      <c r="AB295">
        <f>[1]发票导入!AB295</f>
        <v>0</v>
      </c>
      <c r="AC295">
        <f>[1]发票导入!AC295</f>
        <v>0</v>
      </c>
      <c r="AE295" s="22">
        <f t="shared" si="0"/>
      </c>
      <c r="AI295">
        <f>[1]发票导入!AI295&amp;""</f>
      </c>
      <c r="AJ295">
        <f>[1]发票导入!AJ295&amp;""</f>
      </c>
      <c r="AK295">
        <f>[1]发票导入!AK295</f>
        <v>0</v>
      </c>
      <c r="AL295">
        <f>[1]发票导入!AL295</f>
        <v>0</v>
      </c>
      <c r="AM295">
        <f>[1]发票导入!AM295</f>
        <v>0</v>
      </c>
      <c r="AN295" s="22">
        <f t="shared" si="1"/>
        <v>0</v>
      </c>
      <c r="AO295" s="22">
        <f t="shared" si="2"/>
        <v>0</v>
      </c>
    </row>
    <row r="296">
      <c r="C296">
        <f>[1]发票导入!C296&amp;""</f>
      </c>
      <c r="D296">
        <f>[1]发票导入!D296&amp;""</f>
      </c>
      <c r="O296">
        <f>[1]发票导入!O296&amp;""</f>
      </c>
      <c r="T296">
        <f>[1]发票导入!T296</f>
      </c>
      <c r="U296">
        <f>[1]发票导入!U296&amp;""</f>
      </c>
      <c r="V296">
        <f>[1]发票导入!V296&amp;""</f>
      </c>
      <c r="W296">
        <f>[1]发票导入!W296&amp;""</f>
      </c>
      <c r="Y296">
        <f>[1]发票导入!Y296&amp;""</f>
      </c>
      <c r="AA296">
        <f>[1]发票导入!AA296&amp;""</f>
      </c>
      <c r="AB296">
        <f>[1]发票导入!AB296</f>
        <v>0</v>
      </c>
      <c r="AC296">
        <f>[1]发票导入!AC296</f>
        <v>0</v>
      </c>
      <c r="AE296" s="22">
        <f t="shared" si="0"/>
      </c>
      <c r="AI296">
        <f>[1]发票导入!AI296&amp;""</f>
      </c>
      <c r="AJ296">
        <f>[1]发票导入!AJ296&amp;""</f>
      </c>
      <c r="AK296">
        <f>[1]发票导入!AK296</f>
        <v>0</v>
      </c>
      <c r="AL296">
        <f>[1]发票导入!AL296</f>
        <v>0</v>
      </c>
      <c r="AM296">
        <f>[1]发票导入!AM296</f>
        <v>0</v>
      </c>
      <c r="AN296" s="22">
        <f t="shared" si="1"/>
        <v>0</v>
      </c>
      <c r="AO296" s="22">
        <f t="shared" si="2"/>
        <v>0</v>
      </c>
    </row>
    <row r="297">
      <c r="C297">
        <f>[1]发票导入!C297&amp;""</f>
      </c>
      <c r="D297">
        <f>[1]发票导入!D297&amp;""</f>
      </c>
      <c r="O297">
        <f>[1]发票导入!O297&amp;""</f>
      </c>
      <c r="T297">
        <f>[1]发票导入!T297</f>
      </c>
      <c r="U297">
        <f>[1]发票导入!U297&amp;""</f>
      </c>
      <c r="V297">
        <f>[1]发票导入!V297&amp;""</f>
      </c>
      <c r="W297">
        <f>[1]发票导入!W297&amp;""</f>
      </c>
      <c r="Y297">
        <f>[1]发票导入!Y297&amp;""</f>
      </c>
      <c r="AA297">
        <f>[1]发票导入!AA297&amp;""</f>
      </c>
      <c r="AB297">
        <f>[1]发票导入!AB297</f>
        <v>0</v>
      </c>
      <c r="AC297">
        <f>[1]发票导入!AC297</f>
        <v>0</v>
      </c>
      <c r="AE297" s="22">
        <f t="shared" si="0"/>
      </c>
      <c r="AI297">
        <f>[1]发票导入!AI297&amp;""</f>
      </c>
      <c r="AJ297">
        <f>[1]发票导入!AJ297&amp;""</f>
      </c>
      <c r="AK297">
        <f>[1]发票导入!AK297</f>
        <v>0</v>
      </c>
      <c r="AL297">
        <f>[1]发票导入!AL297</f>
        <v>0</v>
      </c>
      <c r="AM297">
        <f>[1]发票导入!AM297</f>
        <v>0</v>
      </c>
      <c r="AN297" s="22">
        <f t="shared" si="1"/>
        <v>0</v>
      </c>
      <c r="AO297" s="22">
        <f t="shared" si="2"/>
        <v>0</v>
      </c>
    </row>
    <row r="298">
      <c r="C298">
        <f>[1]发票导入!C298&amp;""</f>
      </c>
      <c r="D298">
        <f>[1]发票导入!D298&amp;""</f>
      </c>
      <c r="O298">
        <f>[1]发票导入!O298&amp;""</f>
      </c>
      <c r="T298">
        <f>[1]发票导入!T298</f>
      </c>
      <c r="U298">
        <f>[1]发票导入!U298&amp;""</f>
      </c>
      <c r="V298">
        <f>[1]发票导入!V298&amp;""</f>
      </c>
      <c r="W298">
        <f>[1]发票导入!W298&amp;""</f>
      </c>
      <c r="Y298">
        <f>[1]发票导入!Y298&amp;""</f>
      </c>
      <c r="AA298">
        <f>[1]发票导入!AA298&amp;""</f>
      </c>
      <c r="AB298">
        <f>[1]发票导入!AB298</f>
        <v>0</v>
      </c>
      <c r="AC298">
        <f>[1]发票导入!AC298</f>
        <v>0</v>
      </c>
      <c r="AE298" s="22">
        <f t="shared" si="0"/>
      </c>
      <c r="AI298">
        <f>[1]发票导入!AI298&amp;""</f>
      </c>
      <c r="AJ298">
        <f>[1]发票导入!AJ298&amp;""</f>
      </c>
      <c r="AK298">
        <f>[1]发票导入!AK298</f>
        <v>0</v>
      </c>
      <c r="AL298">
        <f>[1]发票导入!AL298</f>
        <v>0</v>
      </c>
      <c r="AM298">
        <f>[1]发票导入!AM298</f>
        <v>0</v>
      </c>
      <c r="AN298" s="22">
        <f t="shared" si="1"/>
        <v>0</v>
      </c>
      <c r="AO298" s="22">
        <f t="shared" si="2"/>
        <v>0</v>
      </c>
    </row>
    <row r="299">
      <c r="C299">
        <f>[1]发票导入!C299&amp;""</f>
      </c>
      <c r="D299">
        <f>[1]发票导入!D299&amp;""</f>
      </c>
      <c r="O299">
        <f>[1]发票导入!O299&amp;""</f>
      </c>
      <c r="T299">
        <f>[1]发票导入!T299</f>
      </c>
      <c r="U299">
        <f>[1]发票导入!U299&amp;""</f>
      </c>
      <c r="V299">
        <f>[1]发票导入!V299&amp;""</f>
      </c>
      <c r="W299">
        <f>[1]发票导入!W299&amp;""</f>
      </c>
      <c r="Y299">
        <f>[1]发票导入!Y299&amp;""</f>
      </c>
      <c r="AA299">
        <f>[1]发票导入!AA299&amp;""</f>
      </c>
      <c r="AB299">
        <f>[1]发票导入!AB299</f>
        <v>0</v>
      </c>
      <c r="AC299">
        <f>[1]发票导入!AC299</f>
        <v>0</v>
      </c>
      <c r="AE299" s="22">
        <f t="shared" si="0"/>
      </c>
      <c r="AI299">
        <f>[1]发票导入!AI299&amp;""</f>
      </c>
      <c r="AJ299">
        <f>[1]发票导入!AJ299&amp;""</f>
      </c>
      <c r="AK299">
        <f>[1]发票导入!AK299</f>
        <v>0</v>
      </c>
      <c r="AL299">
        <f>[1]发票导入!AL299</f>
        <v>0</v>
      </c>
      <c r="AM299">
        <f>[1]发票导入!AM299</f>
        <v>0</v>
      </c>
      <c r="AN299" s="22">
        <f t="shared" si="1"/>
        <v>0</v>
      </c>
      <c r="AO299" s="22">
        <f t="shared" si="2"/>
        <v>0</v>
      </c>
    </row>
    <row r="300">
      <c r="C300">
        <f>[1]发票导入!C300&amp;""</f>
      </c>
      <c r="D300">
        <f>[1]发票导入!D300&amp;""</f>
      </c>
      <c r="O300">
        <f>[1]发票导入!O300&amp;""</f>
      </c>
      <c r="T300">
        <f>[1]发票导入!T300</f>
      </c>
      <c r="U300">
        <f>[1]发票导入!U300&amp;""</f>
      </c>
      <c r="V300">
        <f>[1]发票导入!V300&amp;""</f>
      </c>
      <c r="W300">
        <f>[1]发票导入!W300&amp;""</f>
      </c>
      <c r="Y300">
        <f>[1]发票导入!Y300&amp;""</f>
      </c>
      <c r="AA300">
        <f>[1]发票导入!AA300&amp;""</f>
      </c>
      <c r="AB300">
        <f>[1]发票导入!AB300</f>
        <v>0</v>
      </c>
      <c r="AC300">
        <f>[1]发票导入!AC300</f>
        <v>0</v>
      </c>
      <c r="AE300" s="22">
        <f t="shared" si="0"/>
      </c>
      <c r="AI300">
        <f>[1]发票导入!AI300&amp;""</f>
      </c>
      <c r="AJ300">
        <f>[1]发票导入!AJ300&amp;""</f>
      </c>
      <c r="AK300">
        <f>[1]发票导入!AK300</f>
        <v>0</v>
      </c>
      <c r="AL300">
        <f>[1]发票导入!AL300</f>
        <v>0</v>
      </c>
      <c r="AM300">
        <f>[1]发票导入!AM300</f>
        <v>0</v>
      </c>
      <c r="AN300" s="22">
        <f t="shared" si="1"/>
        <v>0</v>
      </c>
      <c r="AO300" s="22">
        <f t="shared" si="2"/>
        <v>0</v>
      </c>
    </row>
    <row r="301">
      <c r="C301">
        <f>[1]发票导入!C301&amp;""</f>
      </c>
      <c r="D301">
        <f>[1]发票导入!D301&amp;""</f>
      </c>
      <c r="O301">
        <f>[1]发票导入!O301&amp;""</f>
      </c>
      <c r="T301">
        <f>[1]发票导入!T301</f>
      </c>
      <c r="U301">
        <f>[1]发票导入!U301&amp;""</f>
      </c>
      <c r="V301">
        <f>[1]发票导入!V301&amp;""</f>
      </c>
      <c r="W301">
        <f>[1]发票导入!W301&amp;""</f>
      </c>
      <c r="Y301">
        <f>[1]发票导入!Y301&amp;""</f>
      </c>
      <c r="AA301">
        <f>[1]发票导入!AA301&amp;""</f>
      </c>
      <c r="AB301">
        <f>[1]发票导入!AB301</f>
        <v>0</v>
      </c>
      <c r="AC301">
        <f>[1]发票导入!AC301</f>
        <v>0</v>
      </c>
      <c r="AE301" s="22">
        <f t="shared" si="0"/>
      </c>
      <c r="AI301">
        <f>[1]发票导入!AI301&amp;""</f>
      </c>
      <c r="AJ301">
        <f>[1]发票导入!AJ301&amp;""</f>
      </c>
      <c r="AK301">
        <f>[1]发票导入!AK301</f>
        <v>0</v>
      </c>
      <c r="AL301">
        <f>[1]发票导入!AL301</f>
        <v>0</v>
      </c>
      <c r="AM301">
        <f>[1]发票导入!AM301</f>
        <v>0</v>
      </c>
      <c r="AN301" s="22">
        <f t="shared" si="1"/>
        <v>0</v>
      </c>
      <c r="AO301" s="22">
        <f t="shared" si="2"/>
        <v>0</v>
      </c>
    </row>
    <row r="302">
      <c r="C302">
        <f>[1]发票导入!C302&amp;""</f>
      </c>
      <c r="D302">
        <f>[1]发票导入!D302&amp;""</f>
      </c>
      <c r="O302">
        <f>[1]发票导入!O302&amp;""</f>
      </c>
      <c r="T302">
        <f>[1]发票导入!T302</f>
      </c>
      <c r="U302">
        <f>[1]发票导入!U302&amp;""</f>
      </c>
      <c r="V302">
        <f>[1]发票导入!V302&amp;""</f>
      </c>
      <c r="W302">
        <f>[1]发票导入!W302&amp;""</f>
      </c>
      <c r="Y302">
        <f>[1]发票导入!Y302&amp;""</f>
      </c>
      <c r="AA302">
        <f>[1]发票导入!AA302&amp;""</f>
      </c>
      <c r="AB302">
        <f>[1]发票导入!AB302</f>
        <v>0</v>
      </c>
      <c r="AC302">
        <f>[1]发票导入!AC302</f>
        <v>0</v>
      </c>
      <c r="AE302" s="22">
        <f t="shared" si="0"/>
      </c>
      <c r="AI302">
        <f>[1]发票导入!AI302&amp;""</f>
      </c>
      <c r="AJ302">
        <f>[1]发票导入!AJ302&amp;""</f>
      </c>
      <c r="AK302">
        <f>[1]发票导入!AK302</f>
        <v>0</v>
      </c>
      <c r="AL302">
        <f>[1]发票导入!AL302</f>
        <v>0</v>
      </c>
      <c r="AM302">
        <f>[1]发票导入!AM302</f>
        <v>0</v>
      </c>
      <c r="AN302" s="22">
        <f t="shared" si="1"/>
        <v>0</v>
      </c>
      <c r="AO302" s="22">
        <f t="shared" si="2"/>
        <v>0</v>
      </c>
    </row>
    <row r="303">
      <c r="C303">
        <f>[1]发票导入!C303&amp;""</f>
      </c>
      <c r="D303">
        <f>[1]发票导入!D303&amp;""</f>
      </c>
      <c r="O303">
        <f>[1]发票导入!O303&amp;""</f>
      </c>
      <c r="T303">
        <f>[1]发票导入!T303</f>
      </c>
      <c r="U303">
        <f>[1]发票导入!U303&amp;""</f>
      </c>
      <c r="V303">
        <f>[1]发票导入!V303&amp;""</f>
      </c>
      <c r="W303">
        <f>[1]发票导入!W303&amp;""</f>
      </c>
      <c r="Y303">
        <f>[1]发票导入!Y303&amp;""</f>
      </c>
      <c r="AA303">
        <f>[1]发票导入!AA303&amp;""</f>
      </c>
      <c r="AB303">
        <f>[1]发票导入!AB303</f>
        <v>0</v>
      </c>
      <c r="AC303">
        <f>[1]发票导入!AC303</f>
        <v>0</v>
      </c>
      <c r="AE303" s="22">
        <f t="shared" si="0"/>
      </c>
      <c r="AI303">
        <f>[1]发票导入!AI303&amp;""</f>
      </c>
      <c r="AJ303">
        <f>[1]发票导入!AJ303&amp;""</f>
      </c>
      <c r="AK303">
        <f>[1]发票导入!AK303</f>
        <v>0</v>
      </c>
      <c r="AL303">
        <f>[1]发票导入!AL303</f>
        <v>0</v>
      </c>
      <c r="AM303">
        <f>[1]发票导入!AM303</f>
        <v>0</v>
      </c>
      <c r="AN303" s="22">
        <f t="shared" si="1"/>
        <v>0</v>
      </c>
      <c r="AO303" s="22">
        <f t="shared" si="2"/>
        <v>0</v>
      </c>
    </row>
    <row r="304">
      <c r="C304">
        <f>[1]发票导入!C304&amp;""</f>
      </c>
      <c r="D304">
        <f>[1]发票导入!D304&amp;""</f>
      </c>
      <c r="O304">
        <f>[1]发票导入!O304&amp;""</f>
      </c>
      <c r="T304">
        <f>[1]发票导入!T304</f>
      </c>
      <c r="U304">
        <f>[1]发票导入!U304&amp;""</f>
      </c>
      <c r="V304">
        <f>[1]发票导入!V304&amp;""</f>
      </c>
      <c r="W304">
        <f>[1]发票导入!W304&amp;""</f>
      </c>
      <c r="Y304">
        <f>[1]发票导入!Y304&amp;""</f>
      </c>
      <c r="AA304">
        <f>[1]发票导入!AA304&amp;""</f>
      </c>
      <c r="AB304">
        <f>[1]发票导入!AB304</f>
        <v>0</v>
      </c>
      <c r="AC304">
        <f>[1]发票导入!AC304</f>
        <v>0</v>
      </c>
      <c r="AE304" s="22">
        <f t="shared" si="0"/>
      </c>
      <c r="AI304">
        <f>[1]发票导入!AI304&amp;""</f>
      </c>
      <c r="AJ304">
        <f>[1]发票导入!AJ304&amp;""</f>
      </c>
      <c r="AK304">
        <f>[1]发票导入!AK304</f>
        <v>0</v>
      </c>
      <c r="AL304">
        <f>[1]发票导入!AL304</f>
        <v>0</v>
      </c>
      <c r="AM304">
        <f>[1]发票导入!AM304</f>
        <v>0</v>
      </c>
      <c r="AN304" s="22">
        <f t="shared" si="1"/>
        <v>0</v>
      </c>
      <c r="AO304" s="22">
        <f t="shared" si="2"/>
        <v>0</v>
      </c>
    </row>
    <row r="305">
      <c r="C305">
        <f>[1]发票导入!C305&amp;""</f>
      </c>
      <c r="D305">
        <f>[1]发票导入!D305&amp;""</f>
      </c>
      <c r="O305">
        <f>[1]发票导入!O305&amp;""</f>
      </c>
      <c r="T305">
        <f>[1]发票导入!T305</f>
      </c>
      <c r="U305">
        <f>[1]发票导入!U305&amp;""</f>
      </c>
      <c r="V305">
        <f>[1]发票导入!V305&amp;""</f>
      </c>
      <c r="W305">
        <f>[1]发票导入!W305&amp;""</f>
      </c>
      <c r="Y305">
        <f>[1]发票导入!Y305&amp;""</f>
      </c>
      <c r="AA305">
        <f>[1]发票导入!AA305&amp;""</f>
      </c>
      <c r="AB305">
        <f>[1]发票导入!AB305</f>
        <v>0</v>
      </c>
      <c r="AC305">
        <f>[1]发票导入!AC305</f>
        <v>0</v>
      </c>
      <c r="AE305" s="22">
        <f t="shared" si="0"/>
      </c>
      <c r="AI305">
        <f>[1]发票导入!AI305&amp;""</f>
      </c>
      <c r="AJ305">
        <f>[1]发票导入!AJ305&amp;""</f>
      </c>
      <c r="AK305">
        <f>[1]发票导入!AK305</f>
        <v>0</v>
      </c>
      <c r="AL305">
        <f>[1]发票导入!AL305</f>
        <v>0</v>
      </c>
      <c r="AM305">
        <f>[1]发票导入!AM305</f>
        <v>0</v>
      </c>
      <c r="AN305" s="22">
        <f t="shared" si="1"/>
        <v>0</v>
      </c>
      <c r="AO305" s="22">
        <f t="shared" si="2"/>
        <v>0</v>
      </c>
    </row>
    <row r="306">
      <c r="C306">
        <f>[1]发票导入!C306&amp;""</f>
      </c>
      <c r="D306">
        <f>[1]发票导入!D306&amp;""</f>
      </c>
      <c r="O306">
        <f>[1]发票导入!O306&amp;""</f>
      </c>
      <c r="T306">
        <f>[1]发票导入!T306</f>
      </c>
      <c r="U306">
        <f>[1]发票导入!U306&amp;""</f>
      </c>
      <c r="V306">
        <f>[1]发票导入!V306&amp;""</f>
      </c>
      <c r="W306">
        <f>[1]发票导入!W306&amp;""</f>
      </c>
      <c r="Y306">
        <f>[1]发票导入!Y306&amp;""</f>
      </c>
      <c r="AA306">
        <f>[1]发票导入!AA306&amp;""</f>
      </c>
      <c r="AB306">
        <f>[1]发票导入!AB306</f>
        <v>0</v>
      </c>
      <c r="AC306">
        <f>[1]发票导入!AC306</f>
        <v>0</v>
      </c>
      <c r="AE306" s="22">
        <f t="shared" si="0"/>
      </c>
      <c r="AI306">
        <f>[1]发票导入!AI306&amp;""</f>
      </c>
      <c r="AJ306">
        <f>[1]发票导入!AJ306&amp;""</f>
      </c>
      <c r="AK306">
        <f>[1]发票导入!AK306</f>
        <v>0</v>
      </c>
      <c r="AL306">
        <f>[1]发票导入!AL306</f>
        <v>0</v>
      </c>
      <c r="AM306">
        <f>[1]发票导入!AM306</f>
        <v>0</v>
      </c>
      <c r="AN306" s="22">
        <f t="shared" si="1"/>
        <v>0</v>
      </c>
      <c r="AO306" s="22">
        <f t="shared" si="2"/>
        <v>0</v>
      </c>
    </row>
    <row r="307">
      <c r="C307">
        <f>[1]发票导入!C307&amp;""</f>
      </c>
      <c r="D307">
        <f>[1]发票导入!D307&amp;""</f>
      </c>
      <c r="O307">
        <f>[1]发票导入!O307&amp;""</f>
      </c>
      <c r="T307">
        <f>[1]发票导入!T307</f>
      </c>
      <c r="U307">
        <f>[1]发票导入!U307&amp;""</f>
      </c>
      <c r="V307">
        <f>[1]发票导入!V307&amp;""</f>
      </c>
      <c r="W307">
        <f>[1]发票导入!W307&amp;""</f>
      </c>
      <c r="Y307">
        <f>[1]发票导入!Y307&amp;""</f>
      </c>
      <c r="AA307">
        <f>[1]发票导入!AA307&amp;""</f>
      </c>
      <c r="AB307">
        <f>[1]发票导入!AB307</f>
        <v>0</v>
      </c>
      <c r="AC307">
        <f>[1]发票导入!AC307</f>
        <v>0</v>
      </c>
      <c r="AE307" s="22">
        <f t="shared" si="0"/>
      </c>
      <c r="AI307">
        <f>[1]发票导入!AI307&amp;""</f>
      </c>
      <c r="AJ307">
        <f>[1]发票导入!AJ307&amp;""</f>
      </c>
      <c r="AK307">
        <f>[1]发票导入!AK307</f>
        <v>0</v>
      </c>
      <c r="AL307">
        <f>[1]发票导入!AL307</f>
        <v>0</v>
      </c>
      <c r="AM307">
        <f>[1]发票导入!AM307</f>
        <v>0</v>
      </c>
      <c r="AN307" s="22">
        <f t="shared" si="1"/>
        <v>0</v>
      </c>
      <c r="AO307" s="22">
        <f t="shared" si="2"/>
        <v>0</v>
      </c>
    </row>
    <row r="308">
      <c r="C308">
        <f>[1]发票导入!C308&amp;""</f>
      </c>
      <c r="D308">
        <f>[1]发票导入!D308&amp;""</f>
      </c>
      <c r="O308">
        <f>[1]发票导入!O308&amp;""</f>
      </c>
      <c r="T308">
        <f>[1]发票导入!T308</f>
      </c>
      <c r="U308">
        <f>[1]发票导入!U308&amp;""</f>
      </c>
      <c r="V308">
        <f>[1]发票导入!V308&amp;""</f>
      </c>
      <c r="W308">
        <f>[1]发票导入!W308&amp;""</f>
      </c>
      <c r="Y308">
        <f>[1]发票导入!Y308&amp;""</f>
      </c>
      <c r="AA308">
        <f>[1]发票导入!AA308&amp;""</f>
      </c>
      <c r="AB308">
        <f>[1]发票导入!AB308</f>
        <v>0</v>
      </c>
      <c r="AC308">
        <f>[1]发票导入!AC308</f>
        <v>0</v>
      </c>
      <c r="AE308" s="22">
        <f t="shared" si="0"/>
      </c>
      <c r="AI308">
        <f>[1]发票导入!AI308&amp;""</f>
      </c>
      <c r="AJ308">
        <f>[1]发票导入!AJ308&amp;""</f>
      </c>
      <c r="AK308">
        <f>[1]发票导入!AK308</f>
        <v>0</v>
      </c>
      <c r="AL308">
        <f>[1]发票导入!AL308</f>
        <v>0</v>
      </c>
      <c r="AM308">
        <f>[1]发票导入!AM308</f>
        <v>0</v>
      </c>
      <c r="AN308" s="22">
        <f t="shared" si="1"/>
        <v>0</v>
      </c>
      <c r="AO308" s="22">
        <f t="shared" si="2"/>
        <v>0</v>
      </c>
    </row>
    <row r="309">
      <c r="C309">
        <f>[1]发票导入!C309&amp;""</f>
      </c>
      <c r="D309">
        <f>[1]发票导入!D309&amp;""</f>
      </c>
      <c r="O309">
        <f>[1]发票导入!O309&amp;""</f>
      </c>
      <c r="T309">
        <f>[1]发票导入!T309</f>
      </c>
      <c r="U309">
        <f>[1]发票导入!U309&amp;""</f>
      </c>
      <c r="V309">
        <f>[1]发票导入!V309&amp;""</f>
      </c>
      <c r="W309">
        <f>[1]发票导入!W309&amp;""</f>
      </c>
      <c r="Y309">
        <f>[1]发票导入!Y309&amp;""</f>
      </c>
      <c r="AA309">
        <f>[1]发票导入!AA309&amp;""</f>
      </c>
      <c r="AB309">
        <f>[1]发票导入!AB309</f>
        <v>0</v>
      </c>
      <c r="AC309">
        <f>[1]发票导入!AC309</f>
        <v>0</v>
      </c>
      <c r="AE309" s="22">
        <f t="shared" si="0"/>
      </c>
      <c r="AI309">
        <f>[1]发票导入!AI309&amp;""</f>
      </c>
      <c r="AJ309">
        <f>[1]发票导入!AJ309&amp;""</f>
      </c>
      <c r="AK309">
        <f>[1]发票导入!AK309</f>
        <v>0</v>
      </c>
      <c r="AL309">
        <f>[1]发票导入!AL309</f>
        <v>0</v>
      </c>
      <c r="AM309">
        <f>[1]发票导入!AM309</f>
        <v>0</v>
      </c>
      <c r="AN309" s="22">
        <f t="shared" si="1"/>
        <v>0</v>
      </c>
      <c r="AO309" s="22">
        <f t="shared" si="2"/>
        <v>0</v>
      </c>
    </row>
    <row r="310">
      <c r="C310">
        <f>[1]发票导入!C310&amp;""</f>
      </c>
      <c r="D310">
        <f>[1]发票导入!D310&amp;""</f>
      </c>
      <c r="O310">
        <f>[1]发票导入!O310&amp;""</f>
      </c>
      <c r="T310">
        <f>[1]发票导入!T310</f>
      </c>
      <c r="U310">
        <f>[1]发票导入!U310&amp;""</f>
      </c>
      <c r="V310">
        <f>[1]发票导入!V310&amp;""</f>
      </c>
      <c r="W310">
        <f>[1]发票导入!W310&amp;""</f>
      </c>
      <c r="Y310">
        <f>[1]发票导入!Y310&amp;""</f>
      </c>
      <c r="AA310">
        <f>[1]发票导入!AA310&amp;""</f>
      </c>
      <c r="AB310">
        <f>[1]发票导入!AB310</f>
        <v>0</v>
      </c>
      <c r="AC310">
        <f>[1]发票导入!AC310</f>
        <v>0</v>
      </c>
      <c r="AE310" s="22">
        <f t="shared" si="0"/>
      </c>
      <c r="AI310">
        <f>[1]发票导入!AI310&amp;""</f>
      </c>
      <c r="AJ310">
        <f>[1]发票导入!AJ310&amp;""</f>
      </c>
      <c r="AK310">
        <f>[1]发票导入!AK310</f>
        <v>0</v>
      </c>
      <c r="AL310">
        <f>[1]发票导入!AL310</f>
        <v>0</v>
      </c>
      <c r="AM310">
        <f>[1]发票导入!AM310</f>
        <v>0</v>
      </c>
      <c r="AN310" s="22">
        <f t="shared" si="1"/>
        <v>0</v>
      </c>
      <c r="AO310" s="22">
        <f t="shared" si="2"/>
        <v>0</v>
      </c>
    </row>
    <row r="311">
      <c r="C311">
        <f>[1]发票导入!C311&amp;""</f>
      </c>
      <c r="D311">
        <f>[1]发票导入!D311&amp;""</f>
      </c>
      <c r="O311">
        <f>[1]发票导入!O311&amp;""</f>
      </c>
      <c r="T311">
        <f>[1]发票导入!T311</f>
      </c>
      <c r="U311">
        <f>[1]发票导入!U311&amp;""</f>
      </c>
      <c r="V311">
        <f>[1]发票导入!V311&amp;""</f>
      </c>
      <c r="W311">
        <f>[1]发票导入!W311&amp;""</f>
      </c>
      <c r="Y311">
        <f>[1]发票导入!Y311&amp;""</f>
      </c>
      <c r="AA311">
        <f>[1]发票导入!AA311&amp;""</f>
      </c>
      <c r="AB311">
        <f>[1]发票导入!AB311</f>
        <v>0</v>
      </c>
      <c r="AC311">
        <f>[1]发票导入!AC311</f>
        <v>0</v>
      </c>
      <c r="AE311" s="22">
        <f t="shared" si="0"/>
      </c>
      <c r="AI311">
        <f>[1]发票导入!AI311&amp;""</f>
      </c>
      <c r="AJ311">
        <f>[1]发票导入!AJ311&amp;""</f>
      </c>
      <c r="AK311">
        <f>[1]发票导入!AK311</f>
        <v>0</v>
      </c>
      <c r="AL311">
        <f>[1]发票导入!AL311</f>
        <v>0</v>
      </c>
      <c r="AM311">
        <f>[1]发票导入!AM311</f>
        <v>0</v>
      </c>
      <c r="AN311" s="22">
        <f t="shared" si="1"/>
        <v>0</v>
      </c>
      <c r="AO311" s="22">
        <f t="shared" si="2"/>
        <v>0</v>
      </c>
    </row>
    <row r="312">
      <c r="C312">
        <f>[1]发票导入!C312&amp;""</f>
      </c>
      <c r="D312">
        <f>[1]发票导入!D312&amp;""</f>
      </c>
      <c r="O312">
        <f>[1]发票导入!O312&amp;""</f>
      </c>
      <c r="T312">
        <f>[1]发票导入!T312</f>
      </c>
      <c r="U312">
        <f>[1]发票导入!U312&amp;""</f>
      </c>
      <c r="V312">
        <f>[1]发票导入!V312&amp;""</f>
      </c>
      <c r="W312">
        <f>[1]发票导入!W312&amp;""</f>
      </c>
      <c r="Y312">
        <f>[1]发票导入!Y312&amp;""</f>
      </c>
      <c r="AA312">
        <f>[1]发票导入!AA312&amp;""</f>
      </c>
      <c r="AB312">
        <f>[1]发票导入!AB312</f>
        <v>0</v>
      </c>
      <c r="AC312">
        <f>[1]发票导入!AC312</f>
        <v>0</v>
      </c>
      <c r="AE312" s="22">
        <f t="shared" si="0"/>
      </c>
      <c r="AI312">
        <f>[1]发票导入!AI312&amp;""</f>
      </c>
      <c r="AJ312">
        <f>[1]发票导入!AJ312&amp;""</f>
      </c>
      <c r="AK312">
        <f>[1]发票导入!AK312</f>
        <v>0</v>
      </c>
      <c r="AL312">
        <f>[1]发票导入!AL312</f>
        <v>0</v>
      </c>
      <c r="AM312">
        <f>[1]发票导入!AM312</f>
        <v>0</v>
      </c>
      <c r="AN312" s="22">
        <f t="shared" si="1"/>
        <v>0</v>
      </c>
      <c r="AO312" s="22">
        <f t="shared" si="2"/>
        <v>0</v>
      </c>
    </row>
    <row r="313">
      <c r="C313">
        <f>[1]发票导入!C313&amp;""</f>
      </c>
      <c r="D313">
        <f>[1]发票导入!D313&amp;""</f>
      </c>
      <c r="O313">
        <f>[1]发票导入!O313&amp;""</f>
      </c>
      <c r="T313">
        <f>[1]发票导入!T313</f>
      </c>
      <c r="U313">
        <f>[1]发票导入!U313&amp;""</f>
      </c>
      <c r="V313">
        <f>[1]发票导入!V313&amp;""</f>
      </c>
      <c r="W313">
        <f>[1]发票导入!W313&amp;""</f>
      </c>
      <c r="Y313">
        <f>[1]发票导入!Y313&amp;""</f>
      </c>
      <c r="AA313">
        <f>[1]发票导入!AA313&amp;""</f>
      </c>
      <c r="AB313">
        <f>[1]发票导入!AB313</f>
        <v>0</v>
      </c>
      <c r="AC313">
        <f>[1]发票导入!AC313</f>
        <v>0</v>
      </c>
      <c r="AE313" s="22">
        <f t="shared" si="0"/>
      </c>
      <c r="AI313">
        <f>[1]发票导入!AI313&amp;""</f>
      </c>
      <c r="AJ313">
        <f>[1]发票导入!AJ313&amp;""</f>
      </c>
      <c r="AK313">
        <f>[1]发票导入!AK313</f>
        <v>0</v>
      </c>
      <c r="AL313">
        <f>[1]发票导入!AL313</f>
        <v>0</v>
      </c>
      <c r="AM313">
        <f>[1]发票导入!AM313</f>
        <v>0</v>
      </c>
      <c r="AN313" s="22">
        <f t="shared" si="1"/>
        <v>0</v>
      </c>
      <c r="AO313" s="22">
        <f t="shared" si="2"/>
        <v>0</v>
      </c>
    </row>
    <row r="314">
      <c r="C314">
        <f>[1]发票导入!C314&amp;""</f>
      </c>
      <c r="D314">
        <f>[1]发票导入!D314&amp;""</f>
      </c>
      <c r="O314">
        <f>[1]发票导入!O314&amp;""</f>
      </c>
      <c r="T314">
        <f>[1]发票导入!T314</f>
      </c>
      <c r="U314">
        <f>[1]发票导入!U314&amp;""</f>
      </c>
      <c r="V314">
        <f>[1]发票导入!V314&amp;""</f>
      </c>
      <c r="W314">
        <f>[1]发票导入!W314&amp;""</f>
      </c>
      <c r="Y314">
        <f>[1]发票导入!Y314&amp;""</f>
      </c>
      <c r="AA314">
        <f>[1]发票导入!AA314&amp;""</f>
      </c>
      <c r="AB314">
        <f>[1]发票导入!AB314</f>
        <v>0</v>
      </c>
      <c r="AC314">
        <f>[1]发票导入!AC314</f>
        <v>0</v>
      </c>
      <c r="AE314" s="22">
        <f t="shared" si="0"/>
      </c>
      <c r="AI314">
        <f>[1]发票导入!AI314&amp;""</f>
      </c>
      <c r="AJ314">
        <f>[1]发票导入!AJ314&amp;""</f>
      </c>
      <c r="AK314">
        <f>[1]发票导入!AK314</f>
        <v>0</v>
      </c>
      <c r="AL314">
        <f>[1]发票导入!AL314</f>
        <v>0</v>
      </c>
      <c r="AM314">
        <f>[1]发票导入!AM314</f>
        <v>0</v>
      </c>
      <c r="AN314" s="22">
        <f t="shared" si="1"/>
        <v>0</v>
      </c>
      <c r="AO314" s="22">
        <f t="shared" si="2"/>
        <v>0</v>
      </c>
    </row>
    <row r="315">
      <c r="C315">
        <f>[1]发票导入!C315&amp;""</f>
      </c>
      <c r="D315">
        <f>[1]发票导入!D315&amp;""</f>
      </c>
      <c r="O315">
        <f>[1]发票导入!O315&amp;""</f>
      </c>
      <c r="T315">
        <f>[1]发票导入!T315</f>
      </c>
      <c r="U315">
        <f>[1]发票导入!U315&amp;""</f>
      </c>
      <c r="V315">
        <f>[1]发票导入!V315&amp;""</f>
      </c>
      <c r="W315">
        <f>[1]发票导入!W315&amp;""</f>
      </c>
      <c r="Y315">
        <f>[1]发票导入!Y315&amp;""</f>
      </c>
      <c r="AA315">
        <f>[1]发票导入!AA315&amp;""</f>
      </c>
      <c r="AB315">
        <f>[1]发票导入!AB315</f>
        <v>0</v>
      </c>
      <c r="AC315">
        <f>[1]发票导入!AC315</f>
        <v>0</v>
      </c>
      <c r="AE315" s="22">
        <f t="shared" si="0"/>
      </c>
      <c r="AI315">
        <f>[1]发票导入!AI315&amp;""</f>
      </c>
      <c r="AJ315">
        <f>[1]发票导入!AJ315&amp;""</f>
      </c>
      <c r="AK315">
        <f>[1]发票导入!AK315</f>
        <v>0</v>
      </c>
      <c r="AL315">
        <f>[1]发票导入!AL315</f>
        <v>0</v>
      </c>
      <c r="AM315">
        <f>[1]发票导入!AM315</f>
        <v>0</v>
      </c>
      <c r="AN315" s="22">
        <f t="shared" si="1"/>
        <v>0</v>
      </c>
      <c r="AO315" s="22">
        <f t="shared" si="2"/>
        <v>0</v>
      </c>
    </row>
    <row r="316">
      <c r="C316">
        <f>[1]发票导入!C316&amp;""</f>
      </c>
      <c r="D316">
        <f>[1]发票导入!D316&amp;""</f>
      </c>
      <c r="O316">
        <f>[1]发票导入!O316&amp;""</f>
      </c>
      <c r="T316">
        <f>[1]发票导入!T316</f>
      </c>
      <c r="U316">
        <f>[1]发票导入!U316&amp;""</f>
      </c>
      <c r="V316">
        <f>[1]发票导入!V316&amp;""</f>
      </c>
      <c r="W316">
        <f>[1]发票导入!W316&amp;""</f>
      </c>
      <c r="Y316">
        <f>[1]发票导入!Y316&amp;""</f>
      </c>
      <c r="AA316">
        <f>[1]发票导入!AA316&amp;""</f>
      </c>
      <c r="AB316">
        <f>[1]发票导入!AB316</f>
        <v>0</v>
      </c>
      <c r="AC316">
        <f>[1]发票导入!AC316</f>
        <v>0</v>
      </c>
      <c r="AE316" s="22">
        <f t="shared" si="0"/>
      </c>
      <c r="AI316">
        <f>[1]发票导入!AI316&amp;""</f>
      </c>
      <c r="AJ316">
        <f>[1]发票导入!AJ316&amp;""</f>
      </c>
      <c r="AK316">
        <f>[1]发票导入!AK316</f>
        <v>0</v>
      </c>
      <c r="AL316">
        <f>[1]发票导入!AL316</f>
        <v>0</v>
      </c>
      <c r="AM316">
        <f>[1]发票导入!AM316</f>
        <v>0</v>
      </c>
      <c r="AN316" s="22">
        <f t="shared" si="1"/>
        <v>0</v>
      </c>
      <c r="AO316" s="22">
        <f t="shared" si="2"/>
        <v>0</v>
      </c>
    </row>
    <row r="317">
      <c r="C317">
        <f>[1]发票导入!C317&amp;""</f>
      </c>
      <c r="D317">
        <f>[1]发票导入!D317&amp;""</f>
      </c>
      <c r="O317">
        <f>[1]发票导入!O317&amp;""</f>
      </c>
      <c r="T317">
        <f>[1]发票导入!T317</f>
      </c>
      <c r="U317">
        <f>[1]发票导入!U317&amp;""</f>
      </c>
      <c r="V317">
        <f>[1]发票导入!V317&amp;""</f>
      </c>
      <c r="W317">
        <f>[1]发票导入!W317&amp;""</f>
      </c>
      <c r="Y317">
        <f>[1]发票导入!Y317&amp;""</f>
      </c>
      <c r="AA317">
        <f>[1]发票导入!AA317&amp;""</f>
      </c>
      <c r="AB317">
        <f>[1]发票导入!AB317</f>
        <v>0</v>
      </c>
      <c r="AC317">
        <f>[1]发票导入!AC317</f>
        <v>0</v>
      </c>
      <c r="AE317" s="22">
        <f t="shared" si="0"/>
      </c>
      <c r="AI317">
        <f>[1]发票导入!AI317&amp;""</f>
      </c>
      <c r="AJ317">
        <f>[1]发票导入!AJ317&amp;""</f>
      </c>
      <c r="AK317">
        <f>[1]发票导入!AK317</f>
        <v>0</v>
      </c>
      <c r="AL317">
        <f>[1]发票导入!AL317</f>
        <v>0</v>
      </c>
      <c r="AM317">
        <f>[1]发票导入!AM317</f>
        <v>0</v>
      </c>
      <c r="AN317" s="22">
        <f t="shared" si="1"/>
        <v>0</v>
      </c>
      <c r="AO317" s="22">
        <f t="shared" si="2"/>
        <v>0</v>
      </c>
    </row>
    <row r="318">
      <c r="C318">
        <f>[1]发票导入!C318&amp;""</f>
      </c>
      <c r="D318">
        <f>[1]发票导入!D318&amp;""</f>
      </c>
      <c r="O318">
        <f>[1]发票导入!O318&amp;""</f>
      </c>
      <c r="T318">
        <f>[1]发票导入!T318</f>
      </c>
      <c r="U318">
        <f>[1]发票导入!U318&amp;""</f>
      </c>
      <c r="V318">
        <f>[1]发票导入!V318&amp;""</f>
      </c>
      <c r="W318">
        <f>[1]发票导入!W318&amp;""</f>
      </c>
      <c r="Y318">
        <f>[1]发票导入!Y318&amp;""</f>
      </c>
      <c r="AA318">
        <f>[1]发票导入!AA318&amp;""</f>
      </c>
      <c r="AB318">
        <f>[1]发票导入!AB318</f>
        <v>0</v>
      </c>
      <c r="AC318">
        <f>[1]发票导入!AC318</f>
        <v>0</v>
      </c>
      <c r="AE318" s="22">
        <f t="shared" si="0"/>
      </c>
      <c r="AI318">
        <f>[1]发票导入!AI318&amp;""</f>
      </c>
      <c r="AJ318">
        <f>[1]发票导入!AJ318&amp;""</f>
      </c>
      <c r="AK318">
        <f>[1]发票导入!AK318</f>
        <v>0</v>
      </c>
      <c r="AL318">
        <f>[1]发票导入!AL318</f>
        <v>0</v>
      </c>
      <c r="AM318">
        <f>[1]发票导入!AM318</f>
        <v>0</v>
      </c>
      <c r="AN318" s="22">
        <f t="shared" si="1"/>
        <v>0</v>
      </c>
      <c r="AO318" s="22">
        <f t="shared" si="2"/>
        <v>0</v>
      </c>
    </row>
    <row r="319">
      <c r="C319">
        <f>[1]发票导入!C319&amp;""</f>
      </c>
      <c r="D319">
        <f>[1]发票导入!D319&amp;""</f>
      </c>
      <c r="O319">
        <f>[1]发票导入!O319&amp;""</f>
      </c>
      <c r="T319">
        <f>[1]发票导入!T319</f>
      </c>
      <c r="U319">
        <f>[1]发票导入!U319&amp;""</f>
      </c>
      <c r="V319">
        <f>[1]发票导入!V319&amp;""</f>
      </c>
      <c r="W319">
        <f>[1]发票导入!W319&amp;""</f>
      </c>
      <c r="Y319">
        <f>[1]发票导入!Y319&amp;""</f>
      </c>
      <c r="AA319">
        <f>[1]发票导入!AA319&amp;""</f>
      </c>
      <c r="AB319">
        <f>[1]发票导入!AB319</f>
        <v>0</v>
      </c>
      <c r="AC319">
        <f>[1]发票导入!AC319</f>
        <v>0</v>
      </c>
      <c r="AE319" s="22">
        <f t="shared" si="0"/>
      </c>
      <c r="AI319">
        <f>[1]发票导入!AI319&amp;""</f>
      </c>
      <c r="AJ319">
        <f>[1]发票导入!AJ319&amp;""</f>
      </c>
      <c r="AK319">
        <f>[1]发票导入!AK319</f>
        <v>0</v>
      </c>
      <c r="AL319">
        <f>[1]发票导入!AL319</f>
        <v>0</v>
      </c>
      <c r="AM319">
        <f>[1]发票导入!AM319</f>
        <v>0</v>
      </c>
      <c r="AN319" s="22">
        <f t="shared" si="1"/>
        <v>0</v>
      </c>
      <c r="AO319" s="22">
        <f t="shared" si="2"/>
        <v>0</v>
      </c>
    </row>
    <row r="320">
      <c r="C320">
        <f>[1]发票导入!C320&amp;""</f>
      </c>
      <c r="D320">
        <f>[1]发票导入!D320&amp;""</f>
      </c>
      <c r="O320">
        <f>[1]发票导入!O320&amp;""</f>
      </c>
      <c r="T320">
        <f>[1]发票导入!T320</f>
      </c>
      <c r="U320">
        <f>[1]发票导入!U320&amp;""</f>
      </c>
      <c r="V320">
        <f>[1]发票导入!V320&amp;""</f>
      </c>
      <c r="W320">
        <f>[1]发票导入!W320&amp;""</f>
      </c>
      <c r="Y320">
        <f>[1]发票导入!Y320&amp;""</f>
      </c>
      <c r="AA320">
        <f>[1]发票导入!AA320&amp;""</f>
      </c>
      <c r="AB320">
        <f>[1]发票导入!AB320</f>
        <v>0</v>
      </c>
      <c r="AC320">
        <f>[1]发票导入!AC320</f>
        <v>0</v>
      </c>
      <c r="AE320" s="22">
        <f t="shared" si="0"/>
      </c>
      <c r="AI320">
        <f>[1]发票导入!AI320&amp;""</f>
      </c>
      <c r="AJ320">
        <f>[1]发票导入!AJ320&amp;""</f>
      </c>
      <c r="AK320">
        <f>[1]发票导入!AK320</f>
        <v>0</v>
      </c>
      <c r="AL320">
        <f>[1]发票导入!AL320</f>
        <v>0</v>
      </c>
      <c r="AM320">
        <f>[1]发票导入!AM320</f>
        <v>0</v>
      </c>
      <c r="AN320" s="22">
        <f t="shared" si="1"/>
        <v>0</v>
      </c>
      <c r="AO320" s="22">
        <f t="shared" si="2"/>
        <v>0</v>
      </c>
    </row>
    <row r="321">
      <c r="C321">
        <f>[1]发票导入!C321&amp;""</f>
      </c>
      <c r="D321">
        <f>[1]发票导入!D321&amp;""</f>
      </c>
      <c r="O321">
        <f>[1]发票导入!O321&amp;""</f>
      </c>
      <c r="T321">
        <f>[1]发票导入!T321</f>
      </c>
      <c r="U321">
        <f>[1]发票导入!U321&amp;""</f>
      </c>
      <c r="V321">
        <f>[1]发票导入!V321&amp;""</f>
      </c>
      <c r="W321">
        <f>[1]发票导入!W321&amp;""</f>
      </c>
      <c r="Y321">
        <f>[1]发票导入!Y321&amp;""</f>
      </c>
      <c r="AA321">
        <f>[1]发票导入!AA321&amp;""</f>
      </c>
      <c r="AB321">
        <f>[1]发票导入!AB321</f>
        <v>0</v>
      </c>
      <c r="AC321">
        <f>[1]发票导入!AC321</f>
        <v>0</v>
      </c>
      <c r="AE321" s="22">
        <f t="shared" si="0"/>
      </c>
      <c r="AI321">
        <f>[1]发票导入!AI321&amp;""</f>
      </c>
      <c r="AJ321">
        <f>[1]发票导入!AJ321&amp;""</f>
      </c>
      <c r="AK321">
        <f>[1]发票导入!AK321</f>
        <v>0</v>
      </c>
      <c r="AL321">
        <f>[1]发票导入!AL321</f>
        <v>0</v>
      </c>
      <c r="AM321">
        <f>[1]发票导入!AM321</f>
        <v>0</v>
      </c>
      <c r="AN321" s="22">
        <f t="shared" si="1"/>
        <v>0</v>
      </c>
      <c r="AO321" s="22">
        <f t="shared" si="2"/>
        <v>0</v>
      </c>
    </row>
    <row r="322">
      <c r="C322">
        <f>[1]发票导入!C322&amp;""</f>
      </c>
      <c r="D322">
        <f>[1]发票导入!D322&amp;""</f>
      </c>
      <c r="O322">
        <f>[1]发票导入!O322&amp;""</f>
      </c>
      <c r="T322">
        <f>[1]发票导入!T322</f>
      </c>
      <c r="U322">
        <f>[1]发票导入!U322&amp;""</f>
      </c>
      <c r="V322">
        <f>[1]发票导入!V322&amp;""</f>
      </c>
      <c r="W322">
        <f>[1]发票导入!W322&amp;""</f>
      </c>
      <c r="Y322">
        <f>[1]发票导入!Y322&amp;""</f>
      </c>
      <c r="AA322">
        <f>[1]发票导入!AA322&amp;""</f>
      </c>
      <c r="AB322">
        <f>[1]发票导入!AB322</f>
        <v>0</v>
      </c>
      <c r="AC322">
        <f>[1]发票导入!AC322</f>
        <v>0</v>
      </c>
      <c r="AE322" s="22">
        <f t="shared" si="0"/>
      </c>
      <c r="AI322">
        <f>[1]发票导入!AI322&amp;""</f>
      </c>
      <c r="AJ322">
        <f>[1]发票导入!AJ322&amp;""</f>
      </c>
      <c r="AK322">
        <f>[1]发票导入!AK322</f>
        <v>0</v>
      </c>
      <c r="AL322">
        <f>[1]发票导入!AL322</f>
        <v>0</v>
      </c>
      <c r="AM322">
        <f>[1]发票导入!AM322</f>
        <v>0</v>
      </c>
      <c r="AN322" s="22">
        <f t="shared" si="1"/>
        <v>0</v>
      </c>
      <c r="AO322" s="22">
        <f t="shared" si="2"/>
        <v>0</v>
      </c>
    </row>
    <row r="323">
      <c r="C323">
        <f>[1]发票导入!C323&amp;""</f>
      </c>
      <c r="D323">
        <f>[1]发票导入!D323&amp;""</f>
      </c>
      <c r="O323">
        <f>[1]发票导入!O323&amp;""</f>
      </c>
      <c r="T323">
        <f>[1]发票导入!T323</f>
      </c>
      <c r="U323">
        <f>[1]发票导入!U323&amp;""</f>
      </c>
      <c r="V323">
        <f>[1]发票导入!V323&amp;""</f>
      </c>
      <c r="W323">
        <f>[1]发票导入!W323&amp;""</f>
      </c>
      <c r="Y323">
        <f>[1]发票导入!Y323&amp;""</f>
      </c>
      <c r="AA323">
        <f>[1]发票导入!AA323&amp;""</f>
      </c>
      <c r="AB323">
        <f>[1]发票导入!AB323</f>
        <v>0</v>
      </c>
      <c r="AC323">
        <f>[1]发票导入!AC323</f>
        <v>0</v>
      </c>
      <c r="AE323" s="22">
        <f t="shared" si="0"/>
      </c>
      <c r="AI323">
        <f>[1]发票导入!AI323&amp;""</f>
      </c>
      <c r="AJ323">
        <f>[1]发票导入!AJ323&amp;""</f>
      </c>
      <c r="AK323">
        <f>[1]发票导入!AK323</f>
        <v>0</v>
      </c>
      <c r="AL323">
        <f>[1]发票导入!AL323</f>
        <v>0</v>
      </c>
      <c r="AM323">
        <f>[1]发票导入!AM323</f>
        <v>0</v>
      </c>
      <c r="AN323" s="22">
        <f t="shared" si="1"/>
        <v>0</v>
      </c>
      <c r="AO323" s="22">
        <f t="shared" si="2"/>
        <v>0</v>
      </c>
    </row>
    <row r="324">
      <c r="C324">
        <f>[1]发票导入!C324&amp;""</f>
      </c>
      <c r="D324">
        <f>[1]发票导入!D324&amp;""</f>
      </c>
      <c r="O324">
        <f>[1]发票导入!O324&amp;""</f>
      </c>
      <c r="T324">
        <f>[1]发票导入!T324</f>
      </c>
      <c r="U324">
        <f>[1]发票导入!U324&amp;""</f>
      </c>
      <c r="V324">
        <f>[1]发票导入!V324&amp;""</f>
      </c>
      <c r="W324">
        <f>[1]发票导入!W324&amp;""</f>
      </c>
      <c r="Y324">
        <f>[1]发票导入!Y324&amp;""</f>
      </c>
      <c r="AA324">
        <f>[1]发票导入!AA324&amp;""</f>
      </c>
      <c r="AB324">
        <f>[1]发票导入!AB324</f>
        <v>0</v>
      </c>
      <c r="AC324">
        <f>[1]发票导入!AC324</f>
        <v>0</v>
      </c>
      <c r="AE324" s="22">
        <f t="shared" si="0"/>
      </c>
      <c r="AI324">
        <f>[1]发票导入!AI324&amp;""</f>
      </c>
      <c r="AJ324">
        <f>[1]发票导入!AJ324&amp;""</f>
      </c>
      <c r="AK324">
        <f>[1]发票导入!AK324</f>
        <v>0</v>
      </c>
      <c r="AL324">
        <f>[1]发票导入!AL324</f>
        <v>0</v>
      </c>
      <c r="AM324">
        <f>[1]发票导入!AM324</f>
        <v>0</v>
      </c>
      <c r="AN324" s="22">
        <f t="shared" si="1"/>
        <v>0</v>
      </c>
      <c r="AO324" s="22">
        <f t="shared" si="2"/>
        <v>0</v>
      </c>
    </row>
    <row r="325">
      <c r="C325">
        <f>[1]发票导入!C325&amp;""</f>
      </c>
      <c r="D325">
        <f>[1]发票导入!D325&amp;""</f>
      </c>
      <c r="O325">
        <f>[1]发票导入!O325&amp;""</f>
      </c>
      <c r="T325">
        <f>[1]发票导入!T325</f>
      </c>
      <c r="U325">
        <f>[1]发票导入!U325&amp;""</f>
      </c>
      <c r="V325">
        <f>[1]发票导入!V325&amp;""</f>
      </c>
      <c r="W325">
        <f>[1]发票导入!W325&amp;""</f>
      </c>
      <c r="Y325">
        <f>[1]发票导入!Y325&amp;""</f>
      </c>
      <c r="AA325">
        <f>[1]发票导入!AA325&amp;""</f>
      </c>
      <c r="AB325">
        <f>[1]发票导入!AB325</f>
        <v>0</v>
      </c>
      <c r="AC325">
        <f>[1]发票导入!AC325</f>
        <v>0</v>
      </c>
      <c r="AE325" s="22">
        <f t="shared" si="0"/>
      </c>
      <c r="AI325">
        <f>[1]发票导入!AI325&amp;""</f>
      </c>
      <c r="AJ325">
        <f>[1]发票导入!AJ325&amp;""</f>
      </c>
      <c r="AK325">
        <f>[1]发票导入!AK325</f>
        <v>0</v>
      </c>
      <c r="AL325">
        <f>[1]发票导入!AL325</f>
        <v>0</v>
      </c>
      <c r="AM325">
        <f>[1]发票导入!AM325</f>
        <v>0</v>
      </c>
      <c r="AN325" s="22">
        <f t="shared" si="1"/>
        <v>0</v>
      </c>
      <c r="AO325" s="22">
        <f t="shared" si="2"/>
        <v>0</v>
      </c>
    </row>
    <row r="326">
      <c r="C326">
        <f>[1]发票导入!C326&amp;""</f>
      </c>
      <c r="D326">
        <f>[1]发票导入!D326&amp;""</f>
      </c>
      <c r="O326">
        <f>[1]发票导入!O326&amp;""</f>
      </c>
      <c r="T326">
        <f>[1]发票导入!T326</f>
      </c>
      <c r="U326">
        <f>[1]发票导入!U326&amp;""</f>
      </c>
      <c r="V326">
        <f>[1]发票导入!V326&amp;""</f>
      </c>
      <c r="W326">
        <f>[1]发票导入!W326&amp;""</f>
      </c>
      <c r="Y326">
        <f>[1]发票导入!Y326&amp;""</f>
      </c>
      <c r="AA326">
        <f>[1]发票导入!AA326&amp;""</f>
      </c>
      <c r="AB326">
        <f>[1]发票导入!AB326</f>
        <v>0</v>
      </c>
      <c r="AC326">
        <f>[1]发票导入!AC326</f>
        <v>0</v>
      </c>
      <c r="AE326" s="22">
        <f t="shared" si="0"/>
      </c>
      <c r="AI326">
        <f>[1]发票导入!AI326&amp;""</f>
      </c>
      <c r="AJ326">
        <f>[1]发票导入!AJ326&amp;""</f>
      </c>
      <c r="AK326">
        <f>[1]发票导入!AK326</f>
        <v>0</v>
      </c>
      <c r="AL326">
        <f>[1]发票导入!AL326</f>
        <v>0</v>
      </c>
      <c r="AM326">
        <f>[1]发票导入!AM326</f>
        <v>0</v>
      </c>
      <c r="AN326" s="22">
        <f t="shared" si="1"/>
        <v>0</v>
      </c>
      <c r="AO326" s="22">
        <f t="shared" si="2"/>
        <v>0</v>
      </c>
    </row>
    <row r="327">
      <c r="C327">
        <f>[1]发票导入!C327&amp;""</f>
      </c>
      <c r="D327">
        <f>[1]发票导入!D327&amp;""</f>
      </c>
      <c r="O327">
        <f>[1]发票导入!O327&amp;""</f>
      </c>
      <c r="T327">
        <f>[1]发票导入!T327</f>
      </c>
      <c r="U327">
        <f>[1]发票导入!U327&amp;""</f>
      </c>
      <c r="V327">
        <f>[1]发票导入!V327&amp;""</f>
      </c>
      <c r="W327">
        <f>[1]发票导入!W327&amp;""</f>
      </c>
      <c r="Y327">
        <f>[1]发票导入!Y327&amp;""</f>
      </c>
      <c r="AA327">
        <f>[1]发票导入!AA327&amp;""</f>
      </c>
      <c r="AB327">
        <f>[1]发票导入!AB327</f>
        <v>0</v>
      </c>
      <c r="AC327">
        <f>[1]发票导入!AC327</f>
        <v>0</v>
      </c>
      <c r="AE327" s="22">
        <f t="shared" si="0"/>
      </c>
      <c r="AI327">
        <f>[1]发票导入!AI327&amp;""</f>
      </c>
      <c r="AJ327">
        <f>[1]发票导入!AJ327&amp;""</f>
      </c>
      <c r="AK327">
        <f>[1]发票导入!AK327</f>
        <v>0</v>
      </c>
      <c r="AL327">
        <f>[1]发票导入!AL327</f>
        <v>0</v>
      </c>
      <c r="AM327">
        <f>[1]发票导入!AM327</f>
        <v>0</v>
      </c>
      <c r="AN327" s="22">
        <f t="shared" si="1"/>
        <v>0</v>
      </c>
      <c r="AO327" s="22">
        <f t="shared" si="2"/>
        <v>0</v>
      </c>
    </row>
    <row r="328">
      <c r="C328">
        <f>[1]发票导入!C328&amp;""</f>
      </c>
      <c r="D328">
        <f>[1]发票导入!D328&amp;""</f>
      </c>
      <c r="O328">
        <f>[1]发票导入!O328&amp;""</f>
      </c>
      <c r="T328">
        <f>[1]发票导入!T328</f>
      </c>
      <c r="U328">
        <f>[1]发票导入!U328&amp;""</f>
      </c>
      <c r="V328">
        <f>[1]发票导入!V328&amp;""</f>
      </c>
      <c r="W328">
        <f>[1]发票导入!W328&amp;""</f>
      </c>
      <c r="Y328">
        <f>[1]发票导入!Y328&amp;""</f>
      </c>
      <c r="AA328">
        <f>[1]发票导入!AA328&amp;""</f>
      </c>
      <c r="AB328">
        <f>[1]发票导入!AB328</f>
        <v>0</v>
      </c>
      <c r="AC328">
        <f>[1]发票导入!AC328</f>
        <v>0</v>
      </c>
      <c r="AE328" s="22">
        <f t="shared" si="0"/>
      </c>
      <c r="AI328">
        <f>[1]发票导入!AI328&amp;""</f>
      </c>
      <c r="AJ328">
        <f>[1]发票导入!AJ328&amp;""</f>
      </c>
      <c r="AK328">
        <f>[1]发票导入!AK328</f>
        <v>0</v>
      </c>
      <c r="AL328">
        <f>[1]发票导入!AL328</f>
        <v>0</v>
      </c>
      <c r="AM328">
        <f>[1]发票导入!AM328</f>
        <v>0</v>
      </c>
      <c r="AN328" s="22">
        <f t="shared" si="1"/>
        <v>0</v>
      </c>
      <c r="AO328" s="22">
        <f t="shared" si="2"/>
        <v>0</v>
      </c>
    </row>
    <row r="329">
      <c r="C329">
        <f>[1]发票导入!C329&amp;""</f>
      </c>
      <c r="D329">
        <f>[1]发票导入!D329&amp;""</f>
      </c>
      <c r="O329">
        <f>[1]发票导入!O329&amp;""</f>
      </c>
      <c r="T329">
        <f>[1]发票导入!T329</f>
      </c>
      <c r="U329">
        <f>[1]发票导入!U329&amp;""</f>
      </c>
      <c r="V329">
        <f>[1]发票导入!V329&amp;""</f>
      </c>
      <c r="W329">
        <f>[1]发票导入!W329&amp;""</f>
      </c>
      <c r="Y329">
        <f>[1]发票导入!Y329&amp;""</f>
      </c>
      <c r="AA329">
        <f>[1]发票导入!AA329&amp;""</f>
      </c>
      <c r="AB329">
        <f>[1]发票导入!AB329</f>
        <v>0</v>
      </c>
      <c r="AC329">
        <f>[1]发票导入!AC329</f>
        <v>0</v>
      </c>
      <c r="AE329" s="22">
        <f t="shared" si="0"/>
      </c>
      <c r="AI329">
        <f>[1]发票导入!AI329&amp;""</f>
      </c>
      <c r="AJ329">
        <f>[1]发票导入!AJ329&amp;""</f>
      </c>
      <c r="AK329">
        <f>[1]发票导入!AK329</f>
        <v>0</v>
      </c>
      <c r="AL329">
        <f>[1]发票导入!AL329</f>
        <v>0</v>
      </c>
      <c r="AM329">
        <f>[1]发票导入!AM329</f>
        <v>0</v>
      </c>
      <c r="AN329" s="22">
        <f t="shared" si="1"/>
        <v>0</v>
      </c>
      <c r="AO329" s="22">
        <f t="shared" si="2"/>
        <v>0</v>
      </c>
    </row>
    <row r="330">
      <c r="C330">
        <f>[1]发票导入!C330&amp;""</f>
      </c>
      <c r="D330">
        <f>[1]发票导入!D330&amp;""</f>
      </c>
      <c r="O330">
        <f>[1]发票导入!O330&amp;""</f>
      </c>
      <c r="T330">
        <f>[1]发票导入!T330</f>
      </c>
      <c r="U330">
        <f>[1]发票导入!U330&amp;""</f>
      </c>
      <c r="V330">
        <f>[1]发票导入!V330&amp;""</f>
      </c>
      <c r="W330">
        <f>[1]发票导入!W330&amp;""</f>
      </c>
      <c r="Y330">
        <f>[1]发票导入!Y330&amp;""</f>
      </c>
      <c r="AA330">
        <f>[1]发票导入!AA330&amp;""</f>
      </c>
      <c r="AB330">
        <f>[1]发票导入!AB330</f>
        <v>0</v>
      </c>
      <c r="AC330">
        <f>[1]发票导入!AC330</f>
        <v>0</v>
      </c>
      <c r="AE330" s="22">
        <f t="shared" si="0"/>
      </c>
      <c r="AI330">
        <f>[1]发票导入!AI330&amp;""</f>
      </c>
      <c r="AJ330">
        <f>[1]发票导入!AJ330&amp;""</f>
      </c>
      <c r="AK330">
        <f>[1]发票导入!AK330</f>
        <v>0</v>
      </c>
      <c r="AL330">
        <f>[1]发票导入!AL330</f>
        <v>0</v>
      </c>
      <c r="AM330">
        <f>[1]发票导入!AM330</f>
        <v>0</v>
      </c>
      <c r="AN330" s="22">
        <f t="shared" si="1"/>
        <v>0</v>
      </c>
      <c r="AO330" s="22">
        <f t="shared" si="2"/>
        <v>0</v>
      </c>
    </row>
    <row r="331">
      <c r="C331">
        <f>[1]发票导入!C331&amp;""</f>
      </c>
      <c r="D331">
        <f>[1]发票导入!D331&amp;""</f>
      </c>
      <c r="O331">
        <f>[1]发票导入!O331&amp;""</f>
      </c>
      <c r="T331">
        <f>[1]发票导入!T331</f>
      </c>
      <c r="U331">
        <f>[1]发票导入!U331&amp;""</f>
      </c>
      <c r="V331">
        <f>[1]发票导入!V331&amp;""</f>
      </c>
      <c r="W331">
        <f>[1]发票导入!W331&amp;""</f>
      </c>
      <c r="Y331">
        <f>[1]发票导入!Y331&amp;""</f>
      </c>
      <c r="AA331">
        <f>[1]发票导入!AA331&amp;""</f>
      </c>
      <c r="AB331">
        <f>[1]发票导入!AB331</f>
        <v>0</v>
      </c>
      <c r="AC331">
        <f>[1]发票导入!AC331</f>
        <v>0</v>
      </c>
      <c r="AE331" s="22">
        <f t="shared" si="0"/>
      </c>
      <c r="AI331">
        <f>[1]发票导入!AI331&amp;""</f>
      </c>
      <c r="AJ331">
        <f>[1]发票导入!AJ331&amp;""</f>
      </c>
      <c r="AK331">
        <f>[1]发票导入!AK331</f>
        <v>0</v>
      </c>
      <c r="AL331">
        <f>[1]发票导入!AL331</f>
        <v>0</v>
      </c>
      <c r="AM331">
        <f>[1]发票导入!AM331</f>
        <v>0</v>
      </c>
      <c r="AN331" s="22">
        <f t="shared" si="1"/>
        <v>0</v>
      </c>
      <c r="AO331" s="22">
        <f t="shared" si="2"/>
        <v>0</v>
      </c>
    </row>
    <row r="332">
      <c r="C332">
        <f>[1]发票导入!C332&amp;""</f>
      </c>
      <c r="D332">
        <f>[1]发票导入!D332&amp;""</f>
      </c>
      <c r="O332">
        <f>[1]发票导入!O332&amp;""</f>
      </c>
      <c r="T332">
        <f>[1]发票导入!T332</f>
      </c>
      <c r="U332">
        <f>[1]发票导入!U332&amp;""</f>
      </c>
      <c r="V332">
        <f>[1]发票导入!V332&amp;""</f>
      </c>
      <c r="W332">
        <f>[1]发票导入!W332&amp;""</f>
      </c>
      <c r="Y332">
        <f>[1]发票导入!Y332&amp;""</f>
      </c>
      <c r="AA332">
        <f>[1]发票导入!AA332&amp;""</f>
      </c>
      <c r="AB332">
        <f>[1]发票导入!AB332</f>
        <v>0</v>
      </c>
      <c r="AC332">
        <f>[1]发票导入!AC332</f>
        <v>0</v>
      </c>
      <c r="AE332" s="22">
        <f t="shared" si="0"/>
      </c>
      <c r="AI332">
        <f>[1]发票导入!AI332&amp;""</f>
      </c>
      <c r="AJ332">
        <f>[1]发票导入!AJ332&amp;""</f>
      </c>
      <c r="AK332">
        <f>[1]发票导入!AK332</f>
        <v>0</v>
      </c>
      <c r="AL332">
        <f>[1]发票导入!AL332</f>
        <v>0</v>
      </c>
      <c r="AM332">
        <f>[1]发票导入!AM332</f>
        <v>0</v>
      </c>
      <c r="AN332" s="22">
        <f t="shared" si="1"/>
        <v>0</v>
      </c>
      <c r="AO332" s="22">
        <f t="shared" si="2"/>
        <v>0</v>
      </c>
    </row>
    <row r="333">
      <c r="C333">
        <f>[1]发票导入!C333&amp;""</f>
      </c>
      <c r="D333">
        <f>[1]发票导入!D333&amp;""</f>
      </c>
      <c r="O333">
        <f>[1]发票导入!O333&amp;""</f>
      </c>
      <c r="T333">
        <f>[1]发票导入!T333</f>
      </c>
      <c r="U333">
        <f>[1]发票导入!U333&amp;""</f>
      </c>
      <c r="V333">
        <f>[1]发票导入!V333&amp;""</f>
      </c>
      <c r="W333">
        <f>[1]发票导入!W333&amp;""</f>
      </c>
      <c r="Y333">
        <f>[1]发票导入!Y333&amp;""</f>
      </c>
      <c r="AA333">
        <f>[1]发票导入!AA333&amp;""</f>
      </c>
      <c r="AB333">
        <f>[1]发票导入!AB333</f>
        <v>0</v>
      </c>
      <c r="AC333">
        <f>[1]发票导入!AC333</f>
        <v>0</v>
      </c>
      <c r="AE333" s="22">
        <f t="shared" si="0"/>
      </c>
      <c r="AI333">
        <f>[1]发票导入!AI333&amp;""</f>
      </c>
      <c r="AJ333">
        <f>[1]发票导入!AJ333&amp;""</f>
      </c>
      <c r="AK333">
        <f>[1]发票导入!AK333</f>
        <v>0</v>
      </c>
      <c r="AL333">
        <f>[1]发票导入!AL333</f>
        <v>0</v>
      </c>
      <c r="AM333">
        <f>[1]发票导入!AM333</f>
        <v>0</v>
      </c>
      <c r="AN333" s="22">
        <f t="shared" si="1"/>
        <v>0</v>
      </c>
      <c r="AO333" s="22">
        <f t="shared" si="2"/>
        <v>0</v>
      </c>
    </row>
    <row r="334">
      <c r="C334">
        <f>[1]发票导入!C334&amp;""</f>
      </c>
      <c r="D334">
        <f>[1]发票导入!D334&amp;""</f>
      </c>
      <c r="O334">
        <f>[1]发票导入!O334&amp;""</f>
      </c>
      <c r="T334">
        <f>[1]发票导入!T334</f>
      </c>
      <c r="U334">
        <f>[1]发票导入!U334&amp;""</f>
      </c>
      <c r="V334">
        <f>[1]发票导入!V334&amp;""</f>
      </c>
      <c r="W334">
        <f>[1]发票导入!W334&amp;""</f>
      </c>
      <c r="Y334">
        <f>[1]发票导入!Y334&amp;""</f>
      </c>
      <c r="AA334">
        <f>[1]发票导入!AA334&amp;""</f>
      </c>
      <c r="AB334">
        <f>[1]发票导入!AB334</f>
        <v>0</v>
      </c>
      <c r="AC334">
        <f>[1]发票导入!AC334</f>
        <v>0</v>
      </c>
      <c r="AE334" s="22">
        <f t="shared" si="0"/>
      </c>
      <c r="AI334">
        <f>[1]发票导入!AI334&amp;""</f>
      </c>
      <c r="AJ334">
        <f>[1]发票导入!AJ334&amp;""</f>
      </c>
      <c r="AK334">
        <f>[1]发票导入!AK334</f>
        <v>0</v>
      </c>
      <c r="AL334">
        <f>[1]发票导入!AL334</f>
        <v>0</v>
      </c>
      <c r="AM334">
        <f>[1]发票导入!AM334</f>
        <v>0</v>
      </c>
      <c r="AN334" s="22">
        <f t="shared" si="1"/>
        <v>0</v>
      </c>
      <c r="AO334" s="22">
        <f t="shared" si="2"/>
        <v>0</v>
      </c>
    </row>
    <row r="335">
      <c r="C335">
        <f>[1]发票导入!C335&amp;""</f>
      </c>
      <c r="D335">
        <f>[1]发票导入!D335&amp;""</f>
      </c>
      <c r="O335">
        <f>[1]发票导入!O335&amp;""</f>
      </c>
      <c r="T335">
        <f>[1]发票导入!T335</f>
      </c>
      <c r="U335">
        <f>[1]发票导入!U335&amp;""</f>
      </c>
      <c r="V335">
        <f>[1]发票导入!V335&amp;""</f>
      </c>
      <c r="W335">
        <f>[1]发票导入!W335&amp;""</f>
      </c>
      <c r="Y335">
        <f>[1]发票导入!Y335&amp;""</f>
      </c>
      <c r="AA335">
        <f>[1]发票导入!AA335&amp;""</f>
      </c>
      <c r="AB335">
        <f>[1]发票导入!AB335</f>
        <v>0</v>
      </c>
      <c r="AC335">
        <f>[1]发票导入!AC335</f>
        <v>0</v>
      </c>
      <c r="AE335" s="22">
        <f t="shared" si="0"/>
      </c>
      <c r="AI335">
        <f>[1]发票导入!AI335&amp;""</f>
      </c>
      <c r="AJ335">
        <f>[1]发票导入!AJ335&amp;""</f>
      </c>
      <c r="AK335">
        <f>[1]发票导入!AK335</f>
        <v>0</v>
      </c>
      <c r="AL335">
        <f>[1]发票导入!AL335</f>
        <v>0</v>
      </c>
      <c r="AM335">
        <f>[1]发票导入!AM335</f>
        <v>0</v>
      </c>
      <c r="AN335" s="22">
        <f t="shared" si="1"/>
        <v>0</v>
      </c>
      <c r="AO335" s="22">
        <f t="shared" si="2"/>
        <v>0</v>
      </c>
    </row>
    <row r="336">
      <c r="C336">
        <f>[1]发票导入!C336&amp;""</f>
      </c>
      <c r="D336">
        <f>[1]发票导入!D336&amp;""</f>
      </c>
      <c r="O336">
        <f>[1]发票导入!O336&amp;""</f>
      </c>
      <c r="T336">
        <f>[1]发票导入!T336</f>
      </c>
      <c r="U336">
        <f>[1]发票导入!U336&amp;""</f>
      </c>
      <c r="V336">
        <f>[1]发票导入!V336&amp;""</f>
      </c>
      <c r="W336">
        <f>[1]发票导入!W336&amp;""</f>
      </c>
      <c r="Y336">
        <f>[1]发票导入!Y336&amp;""</f>
      </c>
      <c r="AA336">
        <f>[1]发票导入!AA336&amp;""</f>
      </c>
      <c r="AB336">
        <f>[1]发票导入!AB336</f>
        <v>0</v>
      </c>
      <c r="AC336">
        <f>[1]发票导入!AC336</f>
        <v>0</v>
      </c>
      <c r="AE336" s="22">
        <f t="shared" si="0"/>
      </c>
      <c r="AI336">
        <f>[1]发票导入!AI336&amp;""</f>
      </c>
      <c r="AJ336">
        <f>[1]发票导入!AJ336&amp;""</f>
      </c>
      <c r="AK336">
        <f>[1]发票导入!AK336</f>
        <v>0</v>
      </c>
      <c r="AL336">
        <f>[1]发票导入!AL336</f>
        <v>0</v>
      </c>
      <c r="AM336">
        <f>[1]发票导入!AM336</f>
        <v>0</v>
      </c>
      <c r="AN336" s="22">
        <f t="shared" si="1"/>
        <v>0</v>
      </c>
      <c r="AO336" s="22">
        <f t="shared" si="2"/>
        <v>0</v>
      </c>
    </row>
    <row r="337">
      <c r="C337">
        <f>[1]发票导入!C337&amp;""</f>
      </c>
      <c r="D337">
        <f>[1]发票导入!D337&amp;""</f>
      </c>
      <c r="O337">
        <f>[1]发票导入!O337&amp;""</f>
      </c>
      <c r="T337">
        <f>[1]发票导入!T337</f>
      </c>
      <c r="U337">
        <f>[1]发票导入!U337&amp;""</f>
      </c>
      <c r="V337">
        <f>[1]发票导入!V337&amp;""</f>
      </c>
      <c r="W337">
        <f>[1]发票导入!W337&amp;""</f>
      </c>
      <c r="Y337">
        <f>[1]发票导入!Y337&amp;""</f>
      </c>
      <c r="AA337">
        <f>[1]发票导入!AA337&amp;""</f>
      </c>
      <c r="AB337">
        <f>[1]发票导入!AB337</f>
        <v>0</v>
      </c>
      <c r="AC337">
        <f>[1]发票导入!AC337</f>
        <v>0</v>
      </c>
      <c r="AE337" s="22">
        <f t="shared" si="0"/>
      </c>
      <c r="AI337">
        <f>[1]发票导入!AI337&amp;""</f>
      </c>
      <c r="AJ337">
        <f>[1]发票导入!AJ337&amp;""</f>
      </c>
      <c r="AK337">
        <f>[1]发票导入!AK337</f>
        <v>0</v>
      </c>
      <c r="AL337">
        <f>[1]发票导入!AL337</f>
        <v>0</v>
      </c>
      <c r="AM337">
        <f>[1]发票导入!AM337</f>
        <v>0</v>
      </c>
      <c r="AN337" s="22">
        <f t="shared" si="1"/>
        <v>0</v>
      </c>
      <c r="AO337" s="22">
        <f t="shared" si="2"/>
        <v>0</v>
      </c>
    </row>
    <row r="338">
      <c r="C338">
        <f>[1]发票导入!C338&amp;""</f>
      </c>
      <c r="D338">
        <f>[1]发票导入!D338&amp;""</f>
      </c>
      <c r="O338">
        <f>[1]发票导入!O338&amp;""</f>
      </c>
      <c r="T338">
        <f>[1]发票导入!T338</f>
      </c>
      <c r="U338">
        <f>[1]发票导入!U338&amp;""</f>
      </c>
      <c r="V338">
        <f>[1]发票导入!V338&amp;""</f>
      </c>
      <c r="W338">
        <f>[1]发票导入!W338&amp;""</f>
      </c>
      <c r="Y338">
        <f>[1]发票导入!Y338&amp;""</f>
      </c>
      <c r="AA338">
        <f>[1]发票导入!AA338&amp;""</f>
      </c>
      <c r="AB338">
        <f>[1]发票导入!AB338</f>
        <v>0</v>
      </c>
      <c r="AC338">
        <f>[1]发票导入!AC338</f>
        <v>0</v>
      </c>
      <c r="AE338" s="22">
        <f t="shared" si="0"/>
      </c>
      <c r="AI338">
        <f>[1]发票导入!AI338&amp;""</f>
      </c>
      <c r="AJ338">
        <f>[1]发票导入!AJ338&amp;""</f>
      </c>
      <c r="AK338">
        <f>[1]发票导入!AK338</f>
        <v>0</v>
      </c>
      <c r="AL338">
        <f>[1]发票导入!AL338</f>
        <v>0</v>
      </c>
      <c r="AM338">
        <f>[1]发票导入!AM338</f>
        <v>0</v>
      </c>
      <c r="AN338" s="22">
        <f t="shared" si="1"/>
        <v>0</v>
      </c>
      <c r="AO338" s="22">
        <f t="shared" si="2"/>
        <v>0</v>
      </c>
    </row>
    <row r="339">
      <c r="C339">
        <f>[1]发票导入!C339&amp;""</f>
      </c>
      <c r="D339">
        <f>[1]发票导入!D339&amp;""</f>
      </c>
      <c r="O339">
        <f>[1]发票导入!O339&amp;""</f>
      </c>
      <c r="T339">
        <f>[1]发票导入!T339</f>
      </c>
      <c r="U339">
        <f>[1]发票导入!U339&amp;""</f>
      </c>
      <c r="V339">
        <f>[1]发票导入!V339&amp;""</f>
      </c>
      <c r="W339">
        <f>[1]发票导入!W339&amp;""</f>
      </c>
      <c r="Y339">
        <f>[1]发票导入!Y339&amp;""</f>
      </c>
      <c r="AA339">
        <f>[1]发票导入!AA339&amp;""</f>
      </c>
      <c r="AB339">
        <f>[1]发票导入!AB339</f>
        <v>0</v>
      </c>
      <c r="AC339">
        <f>[1]发票导入!AC339</f>
        <v>0</v>
      </c>
      <c r="AE339" s="22">
        <f t="shared" si="0"/>
      </c>
      <c r="AI339">
        <f>[1]发票导入!AI339&amp;""</f>
      </c>
      <c r="AJ339">
        <f>[1]发票导入!AJ339&amp;""</f>
      </c>
      <c r="AK339">
        <f>[1]发票导入!AK339</f>
        <v>0</v>
      </c>
      <c r="AL339">
        <f>[1]发票导入!AL339</f>
        <v>0</v>
      </c>
      <c r="AM339">
        <f>[1]发票导入!AM339</f>
        <v>0</v>
      </c>
      <c r="AN339" s="22">
        <f t="shared" si="1"/>
        <v>0</v>
      </c>
      <c r="AO339" s="22">
        <f t="shared" si="2"/>
        <v>0</v>
      </c>
    </row>
    <row r="340">
      <c r="C340">
        <f>[1]发票导入!C340&amp;""</f>
      </c>
      <c r="D340">
        <f>[1]发票导入!D340&amp;""</f>
      </c>
      <c r="O340">
        <f>[1]发票导入!O340&amp;""</f>
      </c>
      <c r="T340">
        <f>[1]发票导入!T340</f>
      </c>
      <c r="U340">
        <f>[1]发票导入!U340&amp;""</f>
      </c>
      <c r="V340">
        <f>[1]发票导入!V340&amp;""</f>
      </c>
      <c r="W340">
        <f>[1]发票导入!W340&amp;""</f>
      </c>
      <c r="Y340">
        <f>[1]发票导入!Y340&amp;""</f>
      </c>
      <c r="AA340">
        <f>[1]发票导入!AA340&amp;""</f>
      </c>
      <c r="AB340">
        <f>[1]发票导入!AB340</f>
        <v>0</v>
      </c>
      <c r="AC340">
        <f>[1]发票导入!AC340</f>
        <v>0</v>
      </c>
      <c r="AE340" s="22">
        <f t="shared" si="0"/>
      </c>
      <c r="AI340">
        <f>[1]发票导入!AI340&amp;""</f>
      </c>
      <c r="AJ340">
        <f>[1]发票导入!AJ340&amp;""</f>
      </c>
      <c r="AK340">
        <f>[1]发票导入!AK340</f>
        <v>0</v>
      </c>
      <c r="AL340">
        <f>[1]发票导入!AL340</f>
        <v>0</v>
      </c>
      <c r="AM340">
        <f>[1]发票导入!AM340</f>
        <v>0</v>
      </c>
      <c r="AN340" s="22">
        <f t="shared" si="1"/>
        <v>0</v>
      </c>
      <c r="AO340" s="22">
        <f t="shared" si="2"/>
        <v>0</v>
      </c>
    </row>
    <row r="341">
      <c r="C341">
        <f>[1]发票导入!C341&amp;""</f>
      </c>
      <c r="D341">
        <f>[1]发票导入!D341&amp;""</f>
      </c>
      <c r="O341">
        <f>[1]发票导入!O341&amp;""</f>
      </c>
      <c r="T341">
        <f>[1]发票导入!T341</f>
      </c>
      <c r="U341">
        <f>[1]发票导入!U341&amp;""</f>
      </c>
      <c r="V341">
        <f>[1]发票导入!V341&amp;""</f>
      </c>
      <c r="W341">
        <f>[1]发票导入!W341&amp;""</f>
      </c>
      <c r="Y341">
        <f>[1]发票导入!Y341&amp;""</f>
      </c>
      <c r="AA341">
        <f>[1]发票导入!AA341&amp;""</f>
      </c>
      <c r="AB341">
        <f>[1]发票导入!AB341</f>
        <v>0</v>
      </c>
      <c r="AC341">
        <f>[1]发票导入!AC341</f>
        <v>0</v>
      </c>
      <c r="AE341" s="22">
        <f t="shared" si="0"/>
      </c>
      <c r="AI341">
        <f>[1]发票导入!AI341&amp;""</f>
      </c>
      <c r="AJ341">
        <f>[1]发票导入!AJ341&amp;""</f>
      </c>
      <c r="AK341">
        <f>[1]发票导入!AK341</f>
        <v>0</v>
      </c>
      <c r="AL341">
        <f>[1]发票导入!AL341</f>
        <v>0</v>
      </c>
      <c r="AM341">
        <f>[1]发票导入!AM341</f>
        <v>0</v>
      </c>
      <c r="AN341" s="22">
        <f t="shared" si="1"/>
        <v>0</v>
      </c>
      <c r="AO341" s="22">
        <f t="shared" si="2"/>
        <v>0</v>
      </c>
    </row>
    <row r="342">
      <c r="C342">
        <f>[1]发票导入!C342&amp;""</f>
      </c>
      <c r="D342">
        <f>[1]发票导入!D342&amp;""</f>
      </c>
      <c r="O342">
        <f>[1]发票导入!O342&amp;""</f>
      </c>
      <c r="T342">
        <f>[1]发票导入!T342</f>
      </c>
      <c r="U342">
        <f>[1]发票导入!U342&amp;""</f>
      </c>
      <c r="V342">
        <f>[1]发票导入!V342&amp;""</f>
      </c>
      <c r="W342">
        <f>[1]发票导入!W342&amp;""</f>
      </c>
      <c r="Y342">
        <f>[1]发票导入!Y342&amp;""</f>
      </c>
      <c r="AA342">
        <f>[1]发票导入!AA342&amp;""</f>
      </c>
      <c r="AB342">
        <f>[1]发票导入!AB342</f>
        <v>0</v>
      </c>
      <c r="AC342">
        <f>[1]发票导入!AC342</f>
        <v>0</v>
      </c>
      <c r="AE342" s="22">
        <f t="shared" si="0"/>
      </c>
      <c r="AI342">
        <f>[1]发票导入!AI342&amp;""</f>
      </c>
      <c r="AJ342">
        <f>[1]发票导入!AJ342&amp;""</f>
      </c>
      <c r="AK342">
        <f>[1]发票导入!AK342</f>
        <v>0</v>
      </c>
      <c r="AL342">
        <f>[1]发票导入!AL342</f>
        <v>0</v>
      </c>
      <c r="AM342">
        <f>[1]发票导入!AM342</f>
        <v>0</v>
      </c>
      <c r="AN342" s="22">
        <f t="shared" si="1"/>
        <v>0</v>
      </c>
      <c r="AO342" s="22">
        <f t="shared" si="2"/>
        <v>0</v>
      </c>
    </row>
    <row r="343">
      <c r="C343">
        <f>[1]发票导入!C343&amp;""</f>
      </c>
      <c r="D343">
        <f>[1]发票导入!D343&amp;""</f>
      </c>
      <c r="O343">
        <f>[1]发票导入!O343&amp;""</f>
      </c>
      <c r="T343">
        <f>[1]发票导入!T343</f>
      </c>
      <c r="U343">
        <f>[1]发票导入!U343&amp;""</f>
      </c>
      <c r="V343">
        <f>[1]发票导入!V343&amp;""</f>
      </c>
      <c r="W343">
        <f>[1]发票导入!W343&amp;""</f>
      </c>
      <c r="Y343">
        <f>[1]发票导入!Y343&amp;""</f>
      </c>
      <c r="AA343">
        <f>[1]发票导入!AA343&amp;""</f>
      </c>
      <c r="AB343">
        <f>[1]发票导入!AB343</f>
        <v>0</v>
      </c>
      <c r="AC343">
        <f>[1]发票导入!AC343</f>
        <v>0</v>
      </c>
      <c r="AE343" s="22">
        <f t="shared" si="0"/>
      </c>
      <c r="AI343">
        <f>[1]发票导入!AI343&amp;""</f>
      </c>
      <c r="AJ343">
        <f>[1]发票导入!AJ343&amp;""</f>
      </c>
      <c r="AK343">
        <f>[1]发票导入!AK343</f>
        <v>0</v>
      </c>
      <c r="AL343">
        <f>[1]发票导入!AL343</f>
        <v>0</v>
      </c>
      <c r="AM343">
        <f>[1]发票导入!AM343</f>
        <v>0</v>
      </c>
      <c r="AN343" s="22">
        <f t="shared" si="1"/>
        <v>0</v>
      </c>
      <c r="AO343" s="22">
        <f t="shared" si="2"/>
        <v>0</v>
      </c>
    </row>
    <row r="344">
      <c r="C344">
        <f>[1]发票导入!C344&amp;""</f>
      </c>
      <c r="D344">
        <f>[1]发票导入!D344&amp;""</f>
      </c>
      <c r="O344">
        <f>[1]发票导入!O344&amp;""</f>
      </c>
      <c r="T344">
        <f>[1]发票导入!T344</f>
      </c>
      <c r="U344">
        <f>[1]发票导入!U344&amp;""</f>
      </c>
      <c r="V344">
        <f>[1]发票导入!V344&amp;""</f>
      </c>
      <c r="W344">
        <f>[1]发票导入!W344&amp;""</f>
      </c>
      <c r="Y344">
        <f>[1]发票导入!Y344&amp;""</f>
      </c>
      <c r="AA344">
        <f>[1]发票导入!AA344&amp;""</f>
      </c>
      <c r="AB344">
        <f>[1]发票导入!AB344</f>
        <v>0</v>
      </c>
      <c r="AC344">
        <f>[1]发票导入!AC344</f>
        <v>0</v>
      </c>
      <c r="AE344" s="22">
        <f t="shared" si="0"/>
      </c>
      <c r="AI344">
        <f>[1]发票导入!AI344&amp;""</f>
      </c>
      <c r="AJ344">
        <f>[1]发票导入!AJ344&amp;""</f>
      </c>
      <c r="AK344">
        <f>[1]发票导入!AK344</f>
        <v>0</v>
      </c>
      <c r="AL344">
        <f>[1]发票导入!AL344</f>
        <v>0</v>
      </c>
      <c r="AM344">
        <f>[1]发票导入!AM344</f>
        <v>0</v>
      </c>
      <c r="AN344" s="22">
        <f t="shared" si="1"/>
        <v>0</v>
      </c>
      <c r="AO344" s="22">
        <f t="shared" si="2"/>
        <v>0</v>
      </c>
    </row>
    <row r="345">
      <c r="C345">
        <f>[1]发票导入!C345&amp;""</f>
      </c>
      <c r="D345">
        <f>[1]发票导入!D345&amp;""</f>
      </c>
      <c r="O345">
        <f>[1]发票导入!O345&amp;""</f>
      </c>
      <c r="T345">
        <f>[1]发票导入!T345</f>
      </c>
      <c r="U345">
        <f>[1]发票导入!U345&amp;""</f>
      </c>
      <c r="V345">
        <f>[1]发票导入!V345&amp;""</f>
      </c>
      <c r="W345">
        <f>[1]发票导入!W345&amp;""</f>
      </c>
      <c r="Y345">
        <f>[1]发票导入!Y345&amp;""</f>
      </c>
      <c r="AA345">
        <f>[1]发票导入!AA345&amp;""</f>
      </c>
      <c r="AB345">
        <f>[1]发票导入!AB345</f>
        <v>0</v>
      </c>
      <c r="AC345">
        <f>[1]发票导入!AC345</f>
        <v>0</v>
      </c>
      <c r="AE345" s="22">
        <f t="shared" si="0"/>
      </c>
      <c r="AI345">
        <f>[1]发票导入!AI345&amp;""</f>
      </c>
      <c r="AJ345">
        <f>[1]发票导入!AJ345&amp;""</f>
      </c>
      <c r="AK345">
        <f>[1]发票导入!AK345</f>
        <v>0</v>
      </c>
      <c r="AL345">
        <f>[1]发票导入!AL345</f>
        <v>0</v>
      </c>
      <c r="AM345">
        <f>[1]发票导入!AM345</f>
        <v>0</v>
      </c>
      <c r="AN345" s="22">
        <f t="shared" si="1"/>
        <v>0</v>
      </c>
      <c r="AO345" s="22">
        <f t="shared" si="2"/>
        <v>0</v>
      </c>
    </row>
    <row r="346">
      <c r="C346">
        <f>[1]发票导入!C346&amp;""</f>
      </c>
      <c r="D346">
        <f>[1]发票导入!D346&amp;""</f>
      </c>
      <c r="O346">
        <f>[1]发票导入!O346&amp;""</f>
      </c>
      <c r="T346">
        <f>[1]发票导入!T346</f>
      </c>
      <c r="U346">
        <f>[1]发票导入!U346&amp;""</f>
      </c>
      <c r="V346">
        <f>[1]发票导入!V346&amp;""</f>
      </c>
      <c r="W346">
        <f>[1]发票导入!W346&amp;""</f>
      </c>
      <c r="Y346">
        <f>[1]发票导入!Y346&amp;""</f>
      </c>
      <c r="AA346">
        <f>[1]发票导入!AA346&amp;""</f>
      </c>
      <c r="AB346">
        <f>[1]发票导入!AB346</f>
        <v>0</v>
      </c>
      <c r="AC346">
        <f>[1]发票导入!AC346</f>
        <v>0</v>
      </c>
      <c r="AE346" s="22">
        <f t="shared" si="0"/>
      </c>
      <c r="AI346">
        <f>[1]发票导入!AI346&amp;""</f>
      </c>
      <c r="AJ346">
        <f>[1]发票导入!AJ346&amp;""</f>
      </c>
      <c r="AK346">
        <f>[1]发票导入!AK346</f>
        <v>0</v>
      </c>
      <c r="AL346">
        <f>[1]发票导入!AL346</f>
        <v>0</v>
      </c>
      <c r="AM346">
        <f>[1]发票导入!AM346</f>
        <v>0</v>
      </c>
      <c r="AN346" s="22">
        <f t="shared" si="1"/>
        <v>0</v>
      </c>
      <c r="AO346" s="22">
        <f t="shared" si="2"/>
        <v>0</v>
      </c>
    </row>
    <row r="347">
      <c r="C347">
        <f>[1]发票导入!C347&amp;""</f>
      </c>
      <c r="D347">
        <f>[1]发票导入!D347&amp;""</f>
      </c>
      <c r="O347">
        <f>[1]发票导入!O347&amp;""</f>
      </c>
      <c r="T347">
        <f>[1]发票导入!T347</f>
      </c>
      <c r="U347">
        <f>[1]发票导入!U347&amp;""</f>
      </c>
      <c r="V347">
        <f>[1]发票导入!V347&amp;""</f>
      </c>
      <c r="W347">
        <f>[1]发票导入!W347&amp;""</f>
      </c>
      <c r="Y347">
        <f>[1]发票导入!Y347&amp;""</f>
      </c>
      <c r="AA347">
        <f>[1]发票导入!AA347&amp;""</f>
      </c>
      <c r="AB347">
        <f>[1]发票导入!AB347</f>
        <v>0</v>
      </c>
      <c r="AC347">
        <f>[1]发票导入!AC347</f>
        <v>0</v>
      </c>
      <c r="AE347" s="22">
        <f t="shared" si="0"/>
      </c>
      <c r="AI347">
        <f>[1]发票导入!AI347&amp;""</f>
      </c>
      <c r="AJ347">
        <f>[1]发票导入!AJ347&amp;""</f>
      </c>
      <c r="AK347">
        <f>[1]发票导入!AK347</f>
        <v>0</v>
      </c>
      <c r="AL347">
        <f>[1]发票导入!AL347</f>
        <v>0</v>
      </c>
      <c r="AM347">
        <f>[1]发票导入!AM347</f>
        <v>0</v>
      </c>
      <c r="AN347" s="22">
        <f t="shared" si="1"/>
        <v>0</v>
      </c>
      <c r="AO347" s="22">
        <f t="shared" si="2"/>
        <v>0</v>
      </c>
    </row>
    <row r="348">
      <c r="C348">
        <f>[1]发票导入!C348&amp;""</f>
      </c>
      <c r="D348">
        <f>[1]发票导入!D348&amp;""</f>
      </c>
      <c r="O348">
        <f>[1]发票导入!O348&amp;""</f>
      </c>
      <c r="T348">
        <f>[1]发票导入!T348</f>
      </c>
      <c r="U348">
        <f>[1]发票导入!U348&amp;""</f>
      </c>
      <c r="V348">
        <f>[1]发票导入!V348&amp;""</f>
      </c>
      <c r="W348">
        <f>[1]发票导入!W348&amp;""</f>
      </c>
      <c r="Y348">
        <f>[1]发票导入!Y348&amp;""</f>
      </c>
      <c r="AA348">
        <f>[1]发票导入!AA348&amp;""</f>
      </c>
      <c r="AB348">
        <f>[1]发票导入!AB348</f>
        <v>0</v>
      </c>
      <c r="AC348">
        <f>[1]发票导入!AC348</f>
        <v>0</v>
      </c>
      <c r="AE348" s="22">
        <f t="shared" si="0"/>
      </c>
      <c r="AI348">
        <f>[1]发票导入!AI348&amp;""</f>
      </c>
      <c r="AJ348">
        <f>[1]发票导入!AJ348&amp;""</f>
      </c>
      <c r="AK348">
        <f>[1]发票导入!AK348</f>
        <v>0</v>
      </c>
      <c r="AL348">
        <f>[1]发票导入!AL348</f>
        <v>0</v>
      </c>
      <c r="AM348">
        <f>[1]发票导入!AM348</f>
        <v>0</v>
      </c>
      <c r="AN348" s="22">
        <f t="shared" si="1"/>
        <v>0</v>
      </c>
      <c r="AO348" s="22">
        <f t="shared" si="2"/>
        <v>0</v>
      </c>
    </row>
    <row r="349">
      <c r="C349">
        <f>[1]发票导入!C349&amp;""</f>
      </c>
      <c r="D349">
        <f>[1]发票导入!D349&amp;""</f>
      </c>
      <c r="O349">
        <f>[1]发票导入!O349&amp;""</f>
      </c>
      <c r="T349">
        <f>[1]发票导入!T349</f>
      </c>
      <c r="U349">
        <f>[1]发票导入!U349&amp;""</f>
      </c>
      <c r="V349">
        <f>[1]发票导入!V349&amp;""</f>
      </c>
      <c r="W349">
        <f>[1]发票导入!W349&amp;""</f>
      </c>
      <c r="Y349">
        <f>[1]发票导入!Y349&amp;""</f>
      </c>
      <c r="AA349">
        <f>[1]发票导入!AA349&amp;""</f>
      </c>
      <c r="AB349">
        <f>[1]发票导入!AB349</f>
        <v>0</v>
      </c>
      <c r="AC349">
        <f>[1]发票导入!AC349</f>
        <v>0</v>
      </c>
      <c r="AE349" s="22">
        <f t="shared" si="0"/>
      </c>
      <c r="AI349">
        <f>[1]发票导入!AI349&amp;""</f>
      </c>
      <c r="AJ349">
        <f>[1]发票导入!AJ349&amp;""</f>
      </c>
      <c r="AK349">
        <f>[1]发票导入!AK349</f>
        <v>0</v>
      </c>
      <c r="AL349">
        <f>[1]发票导入!AL349</f>
        <v>0</v>
      </c>
      <c r="AM349">
        <f>[1]发票导入!AM349</f>
        <v>0</v>
      </c>
      <c r="AN349" s="22">
        <f t="shared" si="1"/>
        <v>0</v>
      </c>
      <c r="AO349" s="22">
        <f t="shared" si="2"/>
        <v>0</v>
      </c>
    </row>
    <row r="350">
      <c r="C350">
        <f>[1]发票导入!C350&amp;""</f>
      </c>
      <c r="D350">
        <f>[1]发票导入!D350&amp;""</f>
      </c>
      <c r="O350">
        <f>[1]发票导入!O350&amp;""</f>
      </c>
      <c r="T350">
        <f>[1]发票导入!T350</f>
      </c>
      <c r="U350">
        <f>[1]发票导入!U350&amp;""</f>
      </c>
      <c r="V350">
        <f>[1]发票导入!V350&amp;""</f>
      </c>
      <c r="W350">
        <f>[1]发票导入!W350&amp;""</f>
      </c>
      <c r="Y350">
        <f>[1]发票导入!Y350&amp;""</f>
      </c>
      <c r="AA350">
        <f>[1]发票导入!AA350&amp;""</f>
      </c>
      <c r="AB350">
        <f>[1]发票导入!AB350</f>
        <v>0</v>
      </c>
      <c r="AC350">
        <f>[1]发票导入!AC350</f>
        <v>0</v>
      </c>
      <c r="AE350" s="22">
        <f t="shared" si="0"/>
      </c>
      <c r="AI350">
        <f>[1]发票导入!AI350&amp;""</f>
      </c>
      <c r="AJ350">
        <f>[1]发票导入!AJ350&amp;""</f>
      </c>
      <c r="AK350">
        <f>[1]发票导入!AK350</f>
        <v>0</v>
      </c>
      <c r="AL350">
        <f>[1]发票导入!AL350</f>
        <v>0</v>
      </c>
      <c r="AM350">
        <f>[1]发票导入!AM350</f>
        <v>0</v>
      </c>
      <c r="AN350" s="22">
        <f t="shared" si="1"/>
        <v>0</v>
      </c>
      <c r="AO350" s="22">
        <f t="shared" si="2"/>
        <v>0</v>
      </c>
    </row>
    <row r="351">
      <c r="C351">
        <f>[1]发票导入!C351&amp;""</f>
      </c>
      <c r="D351">
        <f>[1]发票导入!D351&amp;""</f>
      </c>
      <c r="O351">
        <f>[1]发票导入!O351&amp;""</f>
      </c>
      <c r="T351">
        <f>[1]发票导入!T351</f>
      </c>
      <c r="U351">
        <f>[1]发票导入!U351&amp;""</f>
      </c>
      <c r="V351">
        <f>[1]发票导入!V351&amp;""</f>
      </c>
      <c r="W351">
        <f>[1]发票导入!W351&amp;""</f>
      </c>
      <c r="Y351">
        <f>[1]发票导入!Y351&amp;""</f>
      </c>
      <c r="AA351">
        <f>[1]发票导入!AA351&amp;""</f>
      </c>
      <c r="AB351">
        <f>[1]发票导入!AB351</f>
        <v>0</v>
      </c>
      <c r="AC351">
        <f>[1]发票导入!AC351</f>
        <v>0</v>
      </c>
      <c r="AE351" s="22">
        <f t="shared" si="0"/>
      </c>
      <c r="AI351">
        <f>[1]发票导入!AI351&amp;""</f>
      </c>
      <c r="AJ351">
        <f>[1]发票导入!AJ351&amp;""</f>
      </c>
      <c r="AK351">
        <f>[1]发票导入!AK351</f>
        <v>0</v>
      </c>
      <c r="AL351">
        <f>[1]发票导入!AL351</f>
        <v>0</v>
      </c>
      <c r="AM351">
        <f>[1]发票导入!AM351</f>
        <v>0</v>
      </c>
      <c r="AN351" s="22">
        <f t="shared" si="1"/>
        <v>0</v>
      </c>
      <c r="AO351" s="22">
        <f t="shared" si="2"/>
        <v>0</v>
      </c>
    </row>
    <row r="352">
      <c r="C352">
        <f>[1]发票导入!C352&amp;""</f>
      </c>
      <c r="D352">
        <f>[1]发票导入!D352&amp;""</f>
      </c>
      <c r="O352">
        <f>[1]发票导入!O352&amp;""</f>
      </c>
      <c r="T352">
        <f>[1]发票导入!T352</f>
      </c>
      <c r="U352">
        <f>[1]发票导入!U352&amp;""</f>
      </c>
      <c r="V352">
        <f>[1]发票导入!V352&amp;""</f>
      </c>
      <c r="W352">
        <f>[1]发票导入!W352&amp;""</f>
      </c>
      <c r="Y352">
        <f>[1]发票导入!Y352&amp;""</f>
      </c>
      <c r="AA352">
        <f>[1]发票导入!AA352&amp;""</f>
      </c>
      <c r="AB352">
        <f>[1]发票导入!AB352</f>
        <v>0</v>
      </c>
      <c r="AC352">
        <f>[1]发票导入!AC352</f>
        <v>0</v>
      </c>
      <c r="AE352" s="22">
        <f t="shared" si="0"/>
      </c>
      <c r="AI352">
        <f>[1]发票导入!AI352&amp;""</f>
      </c>
      <c r="AJ352">
        <f>[1]发票导入!AJ352&amp;""</f>
      </c>
      <c r="AK352">
        <f>[1]发票导入!AK352</f>
        <v>0</v>
      </c>
      <c r="AL352">
        <f>[1]发票导入!AL352</f>
        <v>0</v>
      </c>
      <c r="AM352">
        <f>[1]发票导入!AM352</f>
        <v>0</v>
      </c>
      <c r="AN352" s="22">
        <f t="shared" si="1"/>
        <v>0</v>
      </c>
      <c r="AO352" s="22">
        <f t="shared" si="2"/>
        <v>0</v>
      </c>
    </row>
    <row r="353">
      <c r="C353">
        <f>[1]发票导入!C353&amp;""</f>
      </c>
      <c r="D353">
        <f>[1]发票导入!D353&amp;""</f>
      </c>
      <c r="O353">
        <f>[1]发票导入!O353&amp;""</f>
      </c>
      <c r="T353">
        <f>[1]发票导入!T353</f>
      </c>
      <c r="U353">
        <f>[1]发票导入!U353&amp;""</f>
      </c>
      <c r="V353">
        <f>[1]发票导入!V353&amp;""</f>
      </c>
      <c r="W353">
        <f>[1]发票导入!W353&amp;""</f>
      </c>
      <c r="Y353">
        <f>[1]发票导入!Y353&amp;""</f>
      </c>
      <c r="AA353">
        <f>[1]发票导入!AA353&amp;""</f>
      </c>
      <c r="AB353">
        <f>[1]发票导入!AB353</f>
        <v>0</v>
      </c>
      <c r="AC353">
        <f>[1]发票导入!AC353</f>
        <v>0</v>
      </c>
      <c r="AE353" s="22">
        <f t="shared" si="0"/>
      </c>
      <c r="AI353">
        <f>[1]发票导入!AI353&amp;""</f>
      </c>
      <c r="AJ353">
        <f>[1]发票导入!AJ353&amp;""</f>
      </c>
      <c r="AK353">
        <f>[1]发票导入!AK353</f>
        <v>0</v>
      </c>
      <c r="AL353">
        <f>[1]发票导入!AL353</f>
        <v>0</v>
      </c>
      <c r="AM353">
        <f>[1]发票导入!AM353</f>
        <v>0</v>
      </c>
      <c r="AN353" s="22">
        <f t="shared" si="1"/>
        <v>0</v>
      </c>
      <c r="AO353" s="22">
        <f t="shared" si="2"/>
        <v>0</v>
      </c>
    </row>
    <row r="354">
      <c r="C354">
        <f>[1]发票导入!C354&amp;""</f>
      </c>
      <c r="D354">
        <f>[1]发票导入!D354&amp;""</f>
      </c>
      <c r="O354">
        <f>[1]发票导入!O354&amp;""</f>
      </c>
      <c r="T354">
        <f>[1]发票导入!T354</f>
      </c>
      <c r="U354">
        <f>[1]发票导入!U354&amp;""</f>
      </c>
      <c r="V354">
        <f>[1]发票导入!V354&amp;""</f>
      </c>
      <c r="W354">
        <f>[1]发票导入!W354&amp;""</f>
      </c>
      <c r="Y354">
        <f>[1]发票导入!Y354&amp;""</f>
      </c>
      <c r="AA354">
        <f>[1]发票导入!AA354&amp;""</f>
      </c>
      <c r="AB354">
        <f>[1]发票导入!AB354</f>
        <v>0</v>
      </c>
      <c r="AC354">
        <f>[1]发票导入!AC354</f>
        <v>0</v>
      </c>
      <c r="AE354" s="22">
        <f t="shared" si="0"/>
      </c>
      <c r="AI354">
        <f>[1]发票导入!AI354&amp;""</f>
      </c>
      <c r="AJ354">
        <f>[1]发票导入!AJ354&amp;""</f>
      </c>
      <c r="AK354">
        <f>[1]发票导入!AK354</f>
        <v>0</v>
      </c>
      <c r="AL354">
        <f>[1]发票导入!AL354</f>
        <v>0</v>
      </c>
      <c r="AM354">
        <f>[1]发票导入!AM354</f>
        <v>0</v>
      </c>
      <c r="AN354" s="22">
        <f t="shared" si="1"/>
        <v>0</v>
      </c>
      <c r="AO354" s="22">
        <f t="shared" si="2"/>
        <v>0</v>
      </c>
    </row>
    <row r="355">
      <c r="C355">
        <f>[1]发票导入!C355&amp;""</f>
      </c>
      <c r="D355">
        <f>[1]发票导入!D355&amp;""</f>
      </c>
      <c r="O355">
        <f>[1]发票导入!O355&amp;""</f>
      </c>
      <c r="T355">
        <f>[1]发票导入!T355</f>
      </c>
      <c r="U355">
        <f>[1]发票导入!U355&amp;""</f>
      </c>
      <c r="V355">
        <f>[1]发票导入!V355&amp;""</f>
      </c>
      <c r="W355">
        <f>[1]发票导入!W355&amp;""</f>
      </c>
      <c r="Y355">
        <f>[1]发票导入!Y355&amp;""</f>
      </c>
      <c r="AA355">
        <f>[1]发票导入!AA355&amp;""</f>
      </c>
      <c r="AB355">
        <f>[1]发票导入!AB355</f>
        <v>0</v>
      </c>
      <c r="AC355">
        <f>[1]发票导入!AC355</f>
        <v>0</v>
      </c>
      <c r="AE355" s="22">
        <f t="shared" si="0"/>
      </c>
      <c r="AI355">
        <f>[1]发票导入!AI355&amp;""</f>
      </c>
      <c r="AJ355">
        <f>[1]发票导入!AJ355&amp;""</f>
      </c>
      <c r="AK355">
        <f>[1]发票导入!AK355</f>
        <v>0</v>
      </c>
      <c r="AL355">
        <f>[1]发票导入!AL355</f>
        <v>0</v>
      </c>
      <c r="AM355">
        <f>[1]发票导入!AM355</f>
        <v>0</v>
      </c>
      <c r="AN355" s="22">
        <f t="shared" si="1"/>
        <v>0</v>
      </c>
      <c r="AO355" s="22">
        <f t="shared" si="2"/>
        <v>0</v>
      </c>
    </row>
    <row r="356">
      <c r="C356">
        <f>[1]发票导入!C356&amp;""</f>
      </c>
      <c r="D356">
        <f>[1]发票导入!D356&amp;""</f>
      </c>
      <c r="O356">
        <f>[1]发票导入!O356&amp;""</f>
      </c>
      <c r="T356">
        <f>[1]发票导入!T356</f>
      </c>
      <c r="U356">
        <f>[1]发票导入!U356&amp;""</f>
      </c>
      <c r="V356">
        <f>[1]发票导入!V356&amp;""</f>
      </c>
      <c r="W356">
        <f>[1]发票导入!W356&amp;""</f>
      </c>
      <c r="Y356">
        <f>[1]发票导入!Y356&amp;""</f>
      </c>
      <c r="AA356">
        <f>[1]发票导入!AA356&amp;""</f>
      </c>
      <c r="AB356">
        <f>[1]发票导入!AB356</f>
        <v>0</v>
      </c>
      <c r="AC356">
        <f>[1]发票导入!AC356</f>
        <v>0</v>
      </c>
      <c r="AE356" s="22">
        <f t="shared" si="0"/>
      </c>
      <c r="AI356">
        <f>[1]发票导入!AI356&amp;""</f>
      </c>
      <c r="AJ356">
        <f>[1]发票导入!AJ356&amp;""</f>
      </c>
      <c r="AK356">
        <f>[1]发票导入!AK356</f>
        <v>0</v>
      </c>
      <c r="AL356">
        <f>[1]发票导入!AL356</f>
        <v>0</v>
      </c>
      <c r="AM356">
        <f>[1]发票导入!AM356</f>
        <v>0</v>
      </c>
      <c r="AN356" s="22">
        <f t="shared" si="1"/>
        <v>0</v>
      </c>
      <c r="AO356" s="22">
        <f t="shared" si="2"/>
        <v>0</v>
      </c>
    </row>
    <row r="357">
      <c r="C357">
        <f>[1]发票导入!C357&amp;""</f>
      </c>
      <c r="D357">
        <f>[1]发票导入!D357&amp;""</f>
      </c>
      <c r="O357">
        <f>[1]发票导入!O357&amp;""</f>
      </c>
      <c r="T357">
        <f>[1]发票导入!T357</f>
      </c>
      <c r="U357">
        <f>[1]发票导入!U357&amp;""</f>
      </c>
      <c r="V357">
        <f>[1]发票导入!V357&amp;""</f>
      </c>
      <c r="W357">
        <f>[1]发票导入!W357&amp;""</f>
      </c>
      <c r="Y357">
        <f>[1]发票导入!Y357&amp;""</f>
      </c>
      <c r="AA357">
        <f>[1]发票导入!AA357&amp;""</f>
      </c>
      <c r="AB357">
        <f>[1]发票导入!AB357</f>
        <v>0</v>
      </c>
      <c r="AC357">
        <f>[1]发票导入!AC357</f>
        <v>0</v>
      </c>
      <c r="AE357" s="22">
        <f t="shared" si="0"/>
      </c>
      <c r="AI357">
        <f>[1]发票导入!AI357&amp;""</f>
      </c>
      <c r="AJ357">
        <f>[1]发票导入!AJ357&amp;""</f>
      </c>
      <c r="AK357">
        <f>[1]发票导入!AK357</f>
        <v>0</v>
      </c>
      <c r="AL357">
        <f>[1]发票导入!AL357</f>
        <v>0</v>
      </c>
      <c r="AM357">
        <f>[1]发票导入!AM357</f>
        <v>0</v>
      </c>
      <c r="AN357" s="22">
        <f t="shared" si="1"/>
        <v>0</v>
      </c>
      <c r="AO357" s="22">
        <f t="shared" si="2"/>
        <v>0</v>
      </c>
    </row>
    <row r="358">
      <c r="C358">
        <f>[1]发票导入!C358&amp;""</f>
      </c>
      <c r="D358">
        <f>[1]发票导入!D358&amp;""</f>
      </c>
      <c r="O358">
        <f>[1]发票导入!O358&amp;""</f>
      </c>
      <c r="T358">
        <f>[1]发票导入!T358</f>
      </c>
      <c r="U358">
        <f>[1]发票导入!U358&amp;""</f>
      </c>
      <c r="V358">
        <f>[1]发票导入!V358&amp;""</f>
      </c>
      <c r="W358">
        <f>[1]发票导入!W358&amp;""</f>
      </c>
      <c r="Y358">
        <f>[1]发票导入!Y358&amp;""</f>
      </c>
      <c r="AA358">
        <f>[1]发票导入!AA358&amp;""</f>
      </c>
      <c r="AB358">
        <f>[1]发票导入!AB358</f>
        <v>0</v>
      </c>
      <c r="AC358">
        <f>[1]发票导入!AC358</f>
        <v>0</v>
      </c>
      <c r="AE358" s="22">
        <f t="shared" si="0"/>
      </c>
      <c r="AI358">
        <f>[1]发票导入!AI358&amp;""</f>
      </c>
      <c r="AJ358">
        <f>[1]发票导入!AJ358&amp;""</f>
      </c>
      <c r="AK358">
        <f>[1]发票导入!AK358</f>
        <v>0</v>
      </c>
      <c r="AL358">
        <f>[1]发票导入!AL358</f>
        <v>0</v>
      </c>
      <c r="AM358">
        <f>[1]发票导入!AM358</f>
        <v>0</v>
      </c>
      <c r="AN358" s="22">
        <f t="shared" si="1"/>
        <v>0</v>
      </c>
      <c r="AO358" s="22">
        <f t="shared" si="2"/>
        <v>0</v>
      </c>
    </row>
    <row r="359">
      <c r="C359">
        <f>[1]发票导入!C359&amp;""</f>
      </c>
      <c r="D359">
        <f>[1]发票导入!D359&amp;""</f>
      </c>
      <c r="O359">
        <f>[1]发票导入!O359&amp;""</f>
      </c>
      <c r="T359">
        <f>[1]发票导入!T359</f>
      </c>
      <c r="U359">
        <f>[1]发票导入!U359&amp;""</f>
      </c>
      <c r="V359">
        <f>[1]发票导入!V359&amp;""</f>
      </c>
      <c r="W359">
        <f>[1]发票导入!W359&amp;""</f>
      </c>
      <c r="Y359">
        <f>[1]发票导入!Y359&amp;""</f>
      </c>
      <c r="AA359">
        <f>[1]发票导入!AA359&amp;""</f>
      </c>
      <c r="AB359">
        <f>[1]发票导入!AB359</f>
        <v>0</v>
      </c>
      <c r="AC359">
        <f>[1]发票导入!AC359</f>
        <v>0</v>
      </c>
      <c r="AE359" s="22">
        <f t="shared" si="0"/>
      </c>
      <c r="AI359">
        <f>[1]发票导入!AI359&amp;""</f>
      </c>
      <c r="AJ359">
        <f>[1]发票导入!AJ359&amp;""</f>
      </c>
      <c r="AK359">
        <f>[1]发票导入!AK359</f>
        <v>0</v>
      </c>
      <c r="AL359">
        <f>[1]发票导入!AL359</f>
        <v>0</v>
      </c>
      <c r="AM359">
        <f>[1]发票导入!AM359</f>
        <v>0</v>
      </c>
      <c r="AN359" s="22">
        <f t="shared" si="1"/>
        <v>0</v>
      </c>
      <c r="AO359" s="22">
        <f t="shared" si="2"/>
        <v>0</v>
      </c>
    </row>
    <row r="360">
      <c r="C360">
        <f>[1]发票导入!C360&amp;""</f>
      </c>
      <c r="D360">
        <f>[1]发票导入!D360&amp;""</f>
      </c>
      <c r="O360">
        <f>[1]发票导入!O360&amp;""</f>
      </c>
      <c r="T360">
        <f>[1]发票导入!T360</f>
      </c>
      <c r="U360">
        <f>[1]发票导入!U360&amp;""</f>
      </c>
      <c r="V360">
        <f>[1]发票导入!V360&amp;""</f>
      </c>
      <c r="W360">
        <f>[1]发票导入!W360&amp;""</f>
      </c>
      <c r="Y360">
        <f>[1]发票导入!Y360&amp;""</f>
      </c>
      <c r="AA360">
        <f>[1]发票导入!AA360&amp;""</f>
      </c>
      <c r="AB360">
        <f>[1]发票导入!AB360</f>
        <v>0</v>
      </c>
      <c r="AC360">
        <f>[1]发票导入!AC360</f>
        <v>0</v>
      </c>
      <c r="AE360" s="22">
        <f t="shared" si="0"/>
      </c>
      <c r="AI360">
        <f>[1]发票导入!AI360&amp;""</f>
      </c>
      <c r="AJ360">
        <f>[1]发票导入!AJ360&amp;""</f>
      </c>
      <c r="AK360">
        <f>[1]发票导入!AK360</f>
        <v>0</v>
      </c>
      <c r="AL360">
        <f>[1]发票导入!AL360</f>
        <v>0</v>
      </c>
      <c r="AM360">
        <f>[1]发票导入!AM360</f>
        <v>0</v>
      </c>
      <c r="AN360" s="22">
        <f t="shared" si="1"/>
        <v>0</v>
      </c>
      <c r="AO360" s="22">
        <f t="shared" si="2"/>
        <v>0</v>
      </c>
    </row>
    <row r="361">
      <c r="C361">
        <f>[1]发票导入!C361&amp;""</f>
      </c>
      <c r="D361">
        <f>[1]发票导入!D361&amp;""</f>
      </c>
      <c r="O361">
        <f>[1]发票导入!O361&amp;""</f>
      </c>
      <c r="T361">
        <f>[1]发票导入!T361</f>
      </c>
      <c r="U361">
        <f>[1]发票导入!U361&amp;""</f>
      </c>
      <c r="V361">
        <f>[1]发票导入!V361&amp;""</f>
      </c>
      <c r="W361">
        <f>[1]发票导入!W361&amp;""</f>
      </c>
      <c r="Y361">
        <f>[1]发票导入!Y361&amp;""</f>
      </c>
      <c r="AA361">
        <f>[1]发票导入!AA361&amp;""</f>
      </c>
      <c r="AB361">
        <f>[1]发票导入!AB361</f>
        <v>0</v>
      </c>
      <c r="AC361">
        <f>[1]发票导入!AC361</f>
        <v>0</v>
      </c>
      <c r="AE361" s="22">
        <f t="shared" si="0"/>
      </c>
      <c r="AI361">
        <f>[1]发票导入!AI361&amp;""</f>
      </c>
      <c r="AJ361">
        <f>[1]发票导入!AJ361&amp;""</f>
      </c>
      <c r="AK361">
        <f>[1]发票导入!AK361</f>
        <v>0</v>
      </c>
      <c r="AL361">
        <f>[1]发票导入!AL361</f>
        <v>0</v>
      </c>
      <c r="AM361">
        <f>[1]发票导入!AM361</f>
        <v>0</v>
      </c>
      <c r="AN361" s="22">
        <f t="shared" si="1"/>
        <v>0</v>
      </c>
      <c r="AO361" s="22">
        <f t="shared" si="2"/>
        <v>0</v>
      </c>
    </row>
    <row r="362">
      <c r="C362">
        <f>[1]发票导入!C362&amp;""</f>
      </c>
      <c r="D362">
        <f>[1]发票导入!D362&amp;""</f>
      </c>
      <c r="O362">
        <f>[1]发票导入!O362&amp;""</f>
      </c>
      <c r="T362">
        <f>[1]发票导入!T362</f>
      </c>
      <c r="U362">
        <f>[1]发票导入!U362&amp;""</f>
      </c>
      <c r="V362">
        <f>[1]发票导入!V362&amp;""</f>
      </c>
      <c r="W362">
        <f>[1]发票导入!W362&amp;""</f>
      </c>
      <c r="Y362">
        <f>[1]发票导入!Y362&amp;""</f>
      </c>
      <c r="AA362">
        <f>[1]发票导入!AA362&amp;""</f>
      </c>
      <c r="AB362">
        <f>[1]发票导入!AB362</f>
        <v>0</v>
      </c>
      <c r="AC362">
        <f>[1]发票导入!AC362</f>
        <v>0</v>
      </c>
      <c r="AE362" s="22">
        <f t="shared" si="0"/>
      </c>
      <c r="AI362">
        <f>[1]发票导入!AI362&amp;""</f>
      </c>
      <c r="AJ362">
        <f>[1]发票导入!AJ362&amp;""</f>
      </c>
      <c r="AK362">
        <f>[1]发票导入!AK362</f>
        <v>0</v>
      </c>
      <c r="AL362">
        <f>[1]发票导入!AL362</f>
        <v>0</v>
      </c>
      <c r="AM362">
        <f>[1]发票导入!AM362</f>
        <v>0</v>
      </c>
      <c r="AN362" s="22">
        <f t="shared" si="1"/>
        <v>0</v>
      </c>
      <c r="AO362" s="22">
        <f t="shared" si="2"/>
        <v>0</v>
      </c>
    </row>
    <row r="363">
      <c r="C363">
        <f>[1]发票导入!C363&amp;""</f>
      </c>
      <c r="D363">
        <f>[1]发票导入!D363&amp;""</f>
      </c>
      <c r="O363">
        <f>[1]发票导入!O363&amp;""</f>
      </c>
      <c r="T363">
        <f>[1]发票导入!T363</f>
      </c>
      <c r="U363">
        <f>[1]发票导入!U363&amp;""</f>
      </c>
      <c r="V363">
        <f>[1]发票导入!V363&amp;""</f>
      </c>
      <c r="W363">
        <f>[1]发票导入!W363&amp;""</f>
      </c>
      <c r="Y363">
        <f>[1]发票导入!Y363&amp;""</f>
      </c>
      <c r="AA363">
        <f>[1]发票导入!AA363&amp;""</f>
      </c>
      <c r="AB363">
        <f>[1]发票导入!AB363</f>
        <v>0</v>
      </c>
      <c r="AC363">
        <f>[1]发票导入!AC363</f>
        <v>0</v>
      </c>
      <c r="AE363" s="22">
        <f t="shared" si="0"/>
      </c>
      <c r="AI363">
        <f>[1]发票导入!AI363&amp;""</f>
      </c>
      <c r="AJ363">
        <f>[1]发票导入!AJ363&amp;""</f>
      </c>
      <c r="AK363">
        <f>[1]发票导入!AK363</f>
        <v>0</v>
      </c>
      <c r="AL363">
        <f>[1]发票导入!AL363</f>
        <v>0</v>
      </c>
      <c r="AM363">
        <f>[1]发票导入!AM363</f>
        <v>0</v>
      </c>
      <c r="AN363" s="22">
        <f t="shared" si="1"/>
        <v>0</v>
      </c>
      <c r="AO363" s="22">
        <f t="shared" si="2"/>
        <v>0</v>
      </c>
    </row>
    <row r="364">
      <c r="C364">
        <f>[1]发票导入!C364&amp;""</f>
      </c>
      <c r="D364">
        <f>[1]发票导入!D364&amp;""</f>
      </c>
      <c r="O364">
        <f>[1]发票导入!O364&amp;""</f>
      </c>
      <c r="T364">
        <f>[1]发票导入!T364</f>
      </c>
      <c r="U364">
        <f>[1]发票导入!U364&amp;""</f>
      </c>
      <c r="V364">
        <f>[1]发票导入!V364&amp;""</f>
      </c>
      <c r="W364">
        <f>[1]发票导入!W364&amp;""</f>
      </c>
      <c r="Y364">
        <f>[1]发票导入!Y364&amp;""</f>
      </c>
      <c r="AA364">
        <f>[1]发票导入!AA364&amp;""</f>
      </c>
      <c r="AB364">
        <f>[1]发票导入!AB364</f>
        <v>0</v>
      </c>
      <c r="AC364">
        <f>[1]发票导入!AC364</f>
        <v>0</v>
      </c>
      <c r="AE364" s="22">
        <f t="shared" si="0"/>
      </c>
      <c r="AI364">
        <f>[1]发票导入!AI364&amp;""</f>
      </c>
      <c r="AJ364">
        <f>[1]发票导入!AJ364&amp;""</f>
      </c>
      <c r="AK364">
        <f>[1]发票导入!AK364</f>
        <v>0</v>
      </c>
      <c r="AL364">
        <f>[1]发票导入!AL364</f>
        <v>0</v>
      </c>
      <c r="AM364">
        <f>[1]发票导入!AM364</f>
        <v>0</v>
      </c>
      <c r="AN364" s="22">
        <f t="shared" si="1"/>
        <v>0</v>
      </c>
      <c r="AO364" s="22">
        <f t="shared" si="2"/>
        <v>0</v>
      </c>
    </row>
    <row r="365">
      <c r="C365">
        <f>[1]发票导入!C365&amp;""</f>
      </c>
      <c r="D365">
        <f>[1]发票导入!D365&amp;""</f>
      </c>
      <c r="O365">
        <f>[1]发票导入!O365&amp;""</f>
      </c>
      <c r="T365">
        <f>[1]发票导入!T365</f>
      </c>
      <c r="U365">
        <f>[1]发票导入!U365&amp;""</f>
      </c>
      <c r="V365">
        <f>[1]发票导入!V365&amp;""</f>
      </c>
      <c r="W365">
        <f>[1]发票导入!W365&amp;""</f>
      </c>
      <c r="Y365">
        <f>[1]发票导入!Y365&amp;""</f>
      </c>
      <c r="AA365">
        <f>[1]发票导入!AA365&amp;""</f>
      </c>
      <c r="AB365">
        <f>[1]发票导入!AB365</f>
        <v>0</v>
      </c>
      <c r="AC365">
        <f>[1]发票导入!AC365</f>
        <v>0</v>
      </c>
      <c r="AE365" s="22">
        <f t="shared" si="0"/>
      </c>
      <c r="AI365">
        <f>[1]发票导入!AI365&amp;""</f>
      </c>
      <c r="AJ365">
        <f>[1]发票导入!AJ365&amp;""</f>
      </c>
      <c r="AK365">
        <f>[1]发票导入!AK365</f>
        <v>0</v>
      </c>
      <c r="AL365">
        <f>[1]发票导入!AL365</f>
        <v>0</v>
      </c>
      <c r="AM365">
        <f>[1]发票导入!AM365</f>
        <v>0</v>
      </c>
      <c r="AN365" s="22">
        <f t="shared" si="1"/>
        <v>0</v>
      </c>
      <c r="AO365" s="22">
        <f t="shared" si="2"/>
        <v>0</v>
      </c>
    </row>
    <row r="366">
      <c r="C366">
        <f>[1]发票导入!C366&amp;""</f>
      </c>
      <c r="D366">
        <f>[1]发票导入!D366&amp;""</f>
      </c>
      <c r="O366">
        <f>[1]发票导入!O366&amp;""</f>
      </c>
      <c r="T366">
        <f>[1]发票导入!T366</f>
      </c>
      <c r="U366">
        <f>[1]发票导入!U366&amp;""</f>
      </c>
      <c r="V366">
        <f>[1]发票导入!V366&amp;""</f>
      </c>
      <c r="W366">
        <f>[1]发票导入!W366&amp;""</f>
      </c>
      <c r="Y366">
        <f>[1]发票导入!Y366&amp;""</f>
      </c>
      <c r="AA366">
        <f>[1]发票导入!AA366&amp;""</f>
      </c>
      <c r="AB366">
        <f>[1]发票导入!AB366</f>
        <v>0</v>
      </c>
      <c r="AC366">
        <f>[1]发票导入!AC366</f>
        <v>0</v>
      </c>
      <c r="AE366" s="22">
        <f t="shared" si="0"/>
      </c>
      <c r="AI366">
        <f>[1]发票导入!AI366&amp;""</f>
      </c>
      <c r="AJ366">
        <f>[1]发票导入!AJ366&amp;""</f>
      </c>
      <c r="AK366">
        <f>[1]发票导入!AK366</f>
        <v>0</v>
      </c>
      <c r="AL366">
        <f>[1]发票导入!AL366</f>
        <v>0</v>
      </c>
      <c r="AM366">
        <f>[1]发票导入!AM366</f>
        <v>0</v>
      </c>
      <c r="AN366" s="22">
        <f t="shared" si="1"/>
        <v>0</v>
      </c>
      <c r="AO366" s="22">
        <f t="shared" si="2"/>
        <v>0</v>
      </c>
    </row>
    <row r="367">
      <c r="C367">
        <f>[1]发票导入!C367&amp;""</f>
      </c>
      <c r="D367">
        <f>[1]发票导入!D367&amp;""</f>
      </c>
      <c r="O367">
        <f>[1]发票导入!O367&amp;""</f>
      </c>
      <c r="T367">
        <f>[1]发票导入!T367</f>
      </c>
      <c r="U367">
        <f>[1]发票导入!U367&amp;""</f>
      </c>
      <c r="V367">
        <f>[1]发票导入!V367&amp;""</f>
      </c>
      <c r="W367">
        <f>[1]发票导入!W367&amp;""</f>
      </c>
      <c r="Y367">
        <f>[1]发票导入!Y367&amp;""</f>
      </c>
      <c r="AA367">
        <f>[1]发票导入!AA367&amp;""</f>
      </c>
      <c r="AB367">
        <f>[1]发票导入!AB367</f>
        <v>0</v>
      </c>
      <c r="AC367">
        <f>[1]发票导入!AC367</f>
        <v>0</v>
      </c>
      <c r="AE367" s="22">
        <f t="shared" si="0"/>
      </c>
      <c r="AI367">
        <f>[1]发票导入!AI367&amp;""</f>
      </c>
      <c r="AJ367">
        <f>[1]发票导入!AJ367&amp;""</f>
      </c>
      <c r="AK367">
        <f>[1]发票导入!AK367</f>
        <v>0</v>
      </c>
      <c r="AL367">
        <f>[1]发票导入!AL367</f>
        <v>0</v>
      </c>
      <c r="AM367">
        <f>[1]发票导入!AM367</f>
        <v>0</v>
      </c>
      <c r="AN367" s="22">
        <f t="shared" si="1"/>
        <v>0</v>
      </c>
      <c r="AO367" s="22">
        <f t="shared" si="2"/>
        <v>0</v>
      </c>
    </row>
    <row r="368">
      <c r="C368">
        <f>[1]发票导入!C368&amp;""</f>
      </c>
      <c r="D368">
        <f>[1]发票导入!D368&amp;""</f>
      </c>
      <c r="O368">
        <f>[1]发票导入!O368&amp;""</f>
      </c>
      <c r="T368">
        <f>[1]发票导入!T368</f>
      </c>
      <c r="U368">
        <f>[1]发票导入!U368&amp;""</f>
      </c>
      <c r="V368">
        <f>[1]发票导入!V368&amp;""</f>
      </c>
      <c r="W368">
        <f>[1]发票导入!W368&amp;""</f>
      </c>
      <c r="Y368">
        <f>[1]发票导入!Y368&amp;""</f>
      </c>
      <c r="AA368">
        <f>[1]发票导入!AA368&amp;""</f>
      </c>
      <c r="AB368">
        <f>[1]发票导入!AB368</f>
        <v>0</v>
      </c>
      <c r="AC368">
        <f>[1]发票导入!AC368</f>
        <v>0</v>
      </c>
      <c r="AE368" s="22">
        <f t="shared" si="0"/>
      </c>
      <c r="AI368">
        <f>[1]发票导入!AI368&amp;""</f>
      </c>
      <c r="AJ368">
        <f>[1]发票导入!AJ368&amp;""</f>
      </c>
      <c r="AK368">
        <f>[1]发票导入!AK368</f>
        <v>0</v>
      </c>
      <c r="AL368">
        <f>[1]发票导入!AL368</f>
        <v>0</v>
      </c>
      <c r="AM368">
        <f>[1]发票导入!AM368</f>
        <v>0</v>
      </c>
      <c r="AN368" s="22">
        <f t="shared" si="1"/>
        <v>0</v>
      </c>
      <c r="AO368" s="22">
        <f t="shared" si="2"/>
        <v>0</v>
      </c>
    </row>
    <row r="369">
      <c r="C369">
        <f>[1]发票导入!C369&amp;""</f>
      </c>
      <c r="D369">
        <f>[1]发票导入!D369&amp;""</f>
      </c>
      <c r="O369">
        <f>[1]发票导入!O369&amp;""</f>
      </c>
      <c r="T369">
        <f>[1]发票导入!T369</f>
      </c>
      <c r="U369">
        <f>[1]发票导入!U369&amp;""</f>
      </c>
      <c r="V369">
        <f>[1]发票导入!V369&amp;""</f>
      </c>
      <c r="W369">
        <f>[1]发票导入!W369&amp;""</f>
      </c>
      <c r="Y369">
        <f>[1]发票导入!Y369&amp;""</f>
      </c>
      <c r="AA369">
        <f>[1]发票导入!AA369&amp;""</f>
      </c>
      <c r="AB369">
        <f>[1]发票导入!AB369</f>
        <v>0</v>
      </c>
      <c r="AC369">
        <f>[1]发票导入!AC369</f>
        <v>0</v>
      </c>
      <c r="AE369" s="22">
        <f t="shared" si="0"/>
      </c>
      <c r="AI369">
        <f>[1]发票导入!AI369&amp;""</f>
      </c>
      <c r="AJ369">
        <f>[1]发票导入!AJ369&amp;""</f>
      </c>
      <c r="AK369">
        <f>[1]发票导入!AK369</f>
        <v>0</v>
      </c>
      <c r="AL369">
        <f>[1]发票导入!AL369</f>
        <v>0</v>
      </c>
      <c r="AM369">
        <f>[1]发票导入!AM369</f>
        <v>0</v>
      </c>
      <c r="AN369" s="22">
        <f t="shared" si="1"/>
        <v>0</v>
      </c>
      <c r="AO369" s="22">
        <f t="shared" si="2"/>
        <v>0</v>
      </c>
    </row>
    <row r="370">
      <c r="C370">
        <f>[1]发票导入!C370&amp;""</f>
      </c>
      <c r="D370">
        <f>[1]发票导入!D370&amp;""</f>
      </c>
      <c r="O370">
        <f>[1]发票导入!O370&amp;""</f>
      </c>
      <c r="T370">
        <f>[1]发票导入!T370</f>
      </c>
      <c r="U370">
        <f>[1]发票导入!U370&amp;""</f>
      </c>
      <c r="V370">
        <f>[1]发票导入!V370&amp;""</f>
      </c>
      <c r="W370">
        <f>[1]发票导入!W370&amp;""</f>
      </c>
      <c r="Y370">
        <f>[1]发票导入!Y370&amp;""</f>
      </c>
      <c r="AA370">
        <f>[1]发票导入!AA370&amp;""</f>
      </c>
      <c r="AB370">
        <f>[1]发票导入!AB370</f>
        <v>0</v>
      </c>
      <c r="AC370">
        <f>[1]发票导入!AC370</f>
        <v>0</v>
      </c>
      <c r="AE370" s="22">
        <f t="shared" si="0"/>
      </c>
      <c r="AI370">
        <f>[1]发票导入!AI370&amp;""</f>
      </c>
      <c r="AJ370">
        <f>[1]发票导入!AJ370&amp;""</f>
      </c>
      <c r="AK370">
        <f>[1]发票导入!AK370</f>
        <v>0</v>
      </c>
      <c r="AL370">
        <f>[1]发票导入!AL370</f>
        <v>0</v>
      </c>
      <c r="AM370">
        <f>[1]发票导入!AM370</f>
        <v>0</v>
      </c>
      <c r="AN370" s="22">
        <f t="shared" si="1"/>
        <v>0</v>
      </c>
      <c r="AO370" s="22">
        <f t="shared" si="2"/>
        <v>0</v>
      </c>
    </row>
    <row r="371">
      <c r="C371">
        <f>[1]发票导入!C371&amp;""</f>
      </c>
      <c r="D371">
        <f>[1]发票导入!D371&amp;""</f>
      </c>
      <c r="O371">
        <f>[1]发票导入!O371&amp;""</f>
      </c>
      <c r="T371">
        <f>[1]发票导入!T371</f>
      </c>
      <c r="U371">
        <f>[1]发票导入!U371&amp;""</f>
      </c>
      <c r="V371">
        <f>[1]发票导入!V371&amp;""</f>
      </c>
      <c r="W371">
        <f>[1]发票导入!W371&amp;""</f>
      </c>
      <c r="Y371">
        <f>[1]发票导入!Y371&amp;""</f>
      </c>
      <c r="AA371">
        <f>[1]发票导入!AA371&amp;""</f>
      </c>
      <c r="AB371">
        <f>[1]发票导入!AB371</f>
        <v>0</v>
      </c>
      <c r="AC371">
        <f>[1]发票导入!AC371</f>
        <v>0</v>
      </c>
      <c r="AE371" s="22">
        <f t="shared" si="0"/>
      </c>
      <c r="AI371">
        <f>[1]发票导入!AI371&amp;""</f>
      </c>
      <c r="AJ371">
        <f>[1]发票导入!AJ371&amp;""</f>
      </c>
      <c r="AK371">
        <f>[1]发票导入!AK371</f>
        <v>0</v>
      </c>
      <c r="AL371">
        <f>[1]发票导入!AL371</f>
        <v>0</v>
      </c>
      <c r="AM371">
        <f>[1]发票导入!AM371</f>
        <v>0</v>
      </c>
      <c r="AN371" s="22">
        <f t="shared" si="1"/>
        <v>0</v>
      </c>
      <c r="AO371" s="22">
        <f t="shared" si="2"/>
        <v>0</v>
      </c>
    </row>
    <row r="372">
      <c r="C372">
        <f>[1]发票导入!C372&amp;""</f>
      </c>
      <c r="D372">
        <f>[1]发票导入!D372&amp;""</f>
      </c>
      <c r="O372">
        <f>[1]发票导入!O372&amp;""</f>
      </c>
      <c r="T372">
        <f>[1]发票导入!T372</f>
      </c>
      <c r="U372">
        <f>[1]发票导入!U372&amp;""</f>
      </c>
      <c r="V372">
        <f>[1]发票导入!V372&amp;""</f>
      </c>
      <c r="W372">
        <f>[1]发票导入!W372&amp;""</f>
      </c>
      <c r="Y372">
        <f>[1]发票导入!Y372&amp;""</f>
      </c>
      <c r="AA372">
        <f>[1]发票导入!AA372&amp;""</f>
      </c>
      <c r="AB372">
        <f>[1]发票导入!AB372</f>
        <v>0</v>
      </c>
      <c r="AC372">
        <f>[1]发票导入!AC372</f>
        <v>0</v>
      </c>
      <c r="AE372" s="22">
        <f t="shared" si="0"/>
      </c>
      <c r="AI372">
        <f>[1]发票导入!AI372&amp;""</f>
      </c>
      <c r="AJ372">
        <f>[1]发票导入!AJ372&amp;""</f>
      </c>
      <c r="AK372">
        <f>[1]发票导入!AK372</f>
        <v>0</v>
      </c>
      <c r="AL372">
        <f>[1]发票导入!AL372</f>
        <v>0</v>
      </c>
      <c r="AM372">
        <f>[1]发票导入!AM372</f>
        <v>0</v>
      </c>
      <c r="AN372" s="22">
        <f t="shared" si="1"/>
        <v>0</v>
      </c>
      <c r="AO372" s="22">
        <f t="shared" si="2"/>
        <v>0</v>
      </c>
    </row>
    <row r="373">
      <c r="C373">
        <f>[1]发票导入!C373&amp;""</f>
      </c>
      <c r="D373">
        <f>[1]发票导入!D373&amp;""</f>
      </c>
      <c r="O373">
        <f>[1]发票导入!O373&amp;""</f>
      </c>
      <c r="T373">
        <f>[1]发票导入!T373</f>
      </c>
      <c r="U373">
        <f>[1]发票导入!U373&amp;""</f>
      </c>
      <c r="V373">
        <f>[1]发票导入!V373&amp;""</f>
      </c>
      <c r="W373">
        <f>[1]发票导入!W373&amp;""</f>
      </c>
      <c r="Y373">
        <f>[1]发票导入!Y373&amp;""</f>
      </c>
      <c r="AA373">
        <f>[1]发票导入!AA373&amp;""</f>
      </c>
      <c r="AB373">
        <f>[1]发票导入!AB373</f>
        <v>0</v>
      </c>
      <c r="AC373">
        <f>[1]发票导入!AC373</f>
        <v>0</v>
      </c>
      <c r="AE373" s="22">
        <f t="shared" si="0"/>
      </c>
      <c r="AI373">
        <f>[1]发票导入!AI373&amp;""</f>
      </c>
      <c r="AJ373">
        <f>[1]发票导入!AJ373&amp;""</f>
      </c>
      <c r="AK373">
        <f>[1]发票导入!AK373</f>
        <v>0</v>
      </c>
      <c r="AL373">
        <f>[1]发票导入!AL373</f>
        <v>0</v>
      </c>
      <c r="AM373">
        <f>[1]发票导入!AM373</f>
        <v>0</v>
      </c>
      <c r="AN373" s="22">
        <f t="shared" si="1"/>
        <v>0</v>
      </c>
      <c r="AO373" s="22">
        <f t="shared" si="2"/>
        <v>0</v>
      </c>
    </row>
    <row r="374">
      <c r="C374">
        <f>[1]发票导入!C374&amp;""</f>
      </c>
      <c r="D374">
        <f>[1]发票导入!D374&amp;""</f>
      </c>
      <c r="O374">
        <f>[1]发票导入!O374&amp;""</f>
      </c>
      <c r="T374">
        <f>[1]发票导入!T374</f>
      </c>
      <c r="U374">
        <f>[1]发票导入!U374&amp;""</f>
      </c>
      <c r="V374">
        <f>[1]发票导入!V374&amp;""</f>
      </c>
      <c r="W374">
        <f>[1]发票导入!W374&amp;""</f>
      </c>
      <c r="Y374">
        <f>[1]发票导入!Y374&amp;""</f>
      </c>
      <c r="AA374">
        <f>[1]发票导入!AA374&amp;""</f>
      </c>
      <c r="AB374">
        <f>[1]发票导入!AB374</f>
        <v>0</v>
      </c>
      <c r="AC374">
        <f>[1]发票导入!AC374</f>
        <v>0</v>
      </c>
      <c r="AE374" s="22">
        <f t="shared" si="0"/>
      </c>
      <c r="AI374">
        <f>[1]发票导入!AI374&amp;""</f>
      </c>
      <c r="AJ374">
        <f>[1]发票导入!AJ374&amp;""</f>
      </c>
      <c r="AK374">
        <f>[1]发票导入!AK374</f>
        <v>0</v>
      </c>
      <c r="AL374">
        <f>[1]发票导入!AL374</f>
        <v>0</v>
      </c>
      <c r="AM374">
        <f>[1]发票导入!AM374</f>
        <v>0</v>
      </c>
      <c r="AN374" s="22">
        <f t="shared" si="1"/>
        <v>0</v>
      </c>
      <c r="AO374" s="22">
        <f t="shared" si="2"/>
        <v>0</v>
      </c>
    </row>
    <row r="375">
      <c r="C375">
        <f>[1]发票导入!C375&amp;""</f>
      </c>
      <c r="D375">
        <f>[1]发票导入!D375&amp;""</f>
      </c>
      <c r="O375">
        <f>[1]发票导入!O375&amp;""</f>
      </c>
      <c r="T375">
        <f>[1]发票导入!T375</f>
      </c>
      <c r="U375">
        <f>[1]发票导入!U375&amp;""</f>
      </c>
      <c r="V375">
        <f>[1]发票导入!V375&amp;""</f>
      </c>
      <c r="W375">
        <f>[1]发票导入!W375&amp;""</f>
      </c>
      <c r="Y375">
        <f>[1]发票导入!Y375&amp;""</f>
      </c>
      <c r="AA375">
        <f>[1]发票导入!AA375&amp;""</f>
      </c>
      <c r="AB375">
        <f>[1]发票导入!AB375</f>
        <v>0</v>
      </c>
      <c r="AC375">
        <f>[1]发票导入!AC375</f>
        <v>0</v>
      </c>
      <c r="AE375" s="22">
        <f t="shared" si="0"/>
      </c>
      <c r="AI375">
        <f>[1]发票导入!AI375&amp;""</f>
      </c>
      <c r="AJ375">
        <f>[1]发票导入!AJ375&amp;""</f>
      </c>
      <c r="AK375">
        <f>[1]发票导入!AK375</f>
        <v>0</v>
      </c>
      <c r="AL375">
        <f>[1]发票导入!AL375</f>
        <v>0</v>
      </c>
      <c r="AM375">
        <f>[1]发票导入!AM375</f>
        <v>0</v>
      </c>
      <c r="AN375" s="22">
        <f t="shared" si="1"/>
        <v>0</v>
      </c>
      <c r="AO375" s="22">
        <f t="shared" si="2"/>
        <v>0</v>
      </c>
    </row>
    <row r="376">
      <c r="C376">
        <f>[1]发票导入!C376&amp;""</f>
      </c>
      <c r="D376">
        <f>[1]发票导入!D376&amp;""</f>
      </c>
      <c r="O376">
        <f>[1]发票导入!O376&amp;""</f>
      </c>
      <c r="T376">
        <f>[1]发票导入!T376</f>
      </c>
      <c r="U376">
        <f>[1]发票导入!U376&amp;""</f>
      </c>
      <c r="V376">
        <f>[1]发票导入!V376&amp;""</f>
      </c>
      <c r="W376">
        <f>[1]发票导入!W376&amp;""</f>
      </c>
      <c r="Y376">
        <f>[1]发票导入!Y376&amp;""</f>
      </c>
      <c r="AA376">
        <f>[1]发票导入!AA376&amp;""</f>
      </c>
      <c r="AB376">
        <f>[1]发票导入!AB376</f>
        <v>0</v>
      </c>
      <c r="AC376">
        <f>[1]发票导入!AC376</f>
        <v>0</v>
      </c>
      <c r="AE376" s="22">
        <f t="shared" si="0"/>
      </c>
      <c r="AI376">
        <f>[1]发票导入!AI376&amp;""</f>
      </c>
      <c r="AJ376">
        <f>[1]发票导入!AJ376&amp;""</f>
      </c>
      <c r="AK376">
        <f>[1]发票导入!AK376</f>
        <v>0</v>
      </c>
      <c r="AL376">
        <f>[1]发票导入!AL376</f>
        <v>0</v>
      </c>
      <c r="AM376">
        <f>[1]发票导入!AM376</f>
        <v>0</v>
      </c>
      <c r="AN376" s="22">
        <f t="shared" si="1"/>
        <v>0</v>
      </c>
      <c r="AO376" s="22">
        <f t="shared" si="2"/>
        <v>0</v>
      </c>
    </row>
    <row r="377">
      <c r="C377">
        <f>[1]发票导入!C377&amp;""</f>
      </c>
      <c r="D377">
        <f>[1]发票导入!D377&amp;""</f>
      </c>
      <c r="O377">
        <f>[1]发票导入!O377&amp;""</f>
      </c>
      <c r="T377">
        <f>[1]发票导入!T377</f>
      </c>
      <c r="U377">
        <f>[1]发票导入!U377&amp;""</f>
      </c>
      <c r="V377">
        <f>[1]发票导入!V377&amp;""</f>
      </c>
      <c r="W377">
        <f>[1]发票导入!W377&amp;""</f>
      </c>
      <c r="Y377">
        <f>[1]发票导入!Y377&amp;""</f>
      </c>
      <c r="AA377">
        <f>[1]发票导入!AA377&amp;""</f>
      </c>
      <c r="AB377">
        <f>[1]发票导入!AB377</f>
        <v>0</v>
      </c>
      <c r="AC377">
        <f>[1]发票导入!AC377</f>
        <v>0</v>
      </c>
      <c r="AE377" s="22">
        <f t="shared" si="0"/>
      </c>
      <c r="AI377">
        <f>[1]发票导入!AI377&amp;""</f>
      </c>
      <c r="AJ377">
        <f>[1]发票导入!AJ377&amp;""</f>
      </c>
      <c r="AK377">
        <f>[1]发票导入!AK377</f>
        <v>0</v>
      </c>
      <c r="AL377">
        <f>[1]发票导入!AL377</f>
        <v>0</v>
      </c>
      <c r="AM377">
        <f>[1]发票导入!AM377</f>
        <v>0</v>
      </c>
      <c r="AN377" s="22">
        <f t="shared" si="1"/>
        <v>0</v>
      </c>
      <c r="AO377" s="22">
        <f t="shared" si="2"/>
        <v>0</v>
      </c>
    </row>
    <row r="378">
      <c r="C378">
        <f>[1]发票导入!C378&amp;""</f>
      </c>
      <c r="D378">
        <f>[1]发票导入!D378&amp;""</f>
      </c>
      <c r="O378">
        <f>[1]发票导入!O378&amp;""</f>
      </c>
      <c r="T378">
        <f>[1]发票导入!T378</f>
      </c>
      <c r="U378">
        <f>[1]发票导入!U378&amp;""</f>
      </c>
      <c r="V378">
        <f>[1]发票导入!V378&amp;""</f>
      </c>
      <c r="W378">
        <f>[1]发票导入!W378&amp;""</f>
      </c>
      <c r="Y378">
        <f>[1]发票导入!Y378&amp;""</f>
      </c>
      <c r="AA378">
        <f>[1]发票导入!AA378&amp;""</f>
      </c>
      <c r="AB378">
        <f>[1]发票导入!AB378</f>
        <v>0</v>
      </c>
      <c r="AC378">
        <f>[1]发票导入!AC378</f>
        <v>0</v>
      </c>
      <c r="AE378" s="22">
        <f t="shared" si="0"/>
      </c>
      <c r="AI378">
        <f>[1]发票导入!AI378&amp;""</f>
      </c>
      <c r="AJ378">
        <f>[1]发票导入!AJ378&amp;""</f>
      </c>
      <c r="AK378">
        <f>[1]发票导入!AK378</f>
        <v>0</v>
      </c>
      <c r="AL378">
        <f>[1]发票导入!AL378</f>
        <v>0</v>
      </c>
      <c r="AM378">
        <f>[1]发票导入!AM378</f>
        <v>0</v>
      </c>
      <c r="AN378" s="22">
        <f t="shared" si="1"/>
        <v>0</v>
      </c>
      <c r="AO378" s="22">
        <f t="shared" si="2"/>
        <v>0</v>
      </c>
    </row>
    <row r="379">
      <c r="C379">
        <f>[1]发票导入!C379&amp;""</f>
      </c>
      <c r="D379">
        <f>[1]发票导入!D379&amp;""</f>
      </c>
      <c r="O379">
        <f>[1]发票导入!O379&amp;""</f>
      </c>
      <c r="T379">
        <f>[1]发票导入!T379</f>
      </c>
      <c r="U379">
        <f>[1]发票导入!U379&amp;""</f>
      </c>
      <c r="V379">
        <f>[1]发票导入!V379&amp;""</f>
      </c>
      <c r="W379">
        <f>[1]发票导入!W379&amp;""</f>
      </c>
      <c r="Y379">
        <f>[1]发票导入!Y379&amp;""</f>
      </c>
      <c r="AA379">
        <f>[1]发票导入!AA379&amp;""</f>
      </c>
      <c r="AB379">
        <f>[1]发票导入!AB379</f>
        <v>0</v>
      </c>
      <c r="AC379">
        <f>[1]发票导入!AC379</f>
        <v>0</v>
      </c>
      <c r="AE379" s="22">
        <f t="shared" si="0"/>
      </c>
      <c r="AI379">
        <f>[1]发票导入!AI379&amp;""</f>
      </c>
      <c r="AJ379">
        <f>[1]发票导入!AJ379&amp;""</f>
      </c>
      <c r="AK379">
        <f>[1]发票导入!AK379</f>
        <v>0</v>
      </c>
      <c r="AL379">
        <f>[1]发票导入!AL379</f>
        <v>0</v>
      </c>
      <c r="AM379">
        <f>[1]发票导入!AM379</f>
        <v>0</v>
      </c>
      <c r="AN379" s="22">
        <f t="shared" si="1"/>
        <v>0</v>
      </c>
      <c r="AO379" s="22">
        <f t="shared" si="2"/>
        <v>0</v>
      </c>
    </row>
    <row r="380">
      <c r="C380">
        <f>[1]发票导入!C380&amp;""</f>
      </c>
      <c r="D380">
        <f>[1]发票导入!D380&amp;""</f>
      </c>
      <c r="O380">
        <f>[1]发票导入!O380&amp;""</f>
      </c>
      <c r="T380">
        <f>[1]发票导入!T380</f>
      </c>
      <c r="U380">
        <f>[1]发票导入!U380&amp;""</f>
      </c>
      <c r="V380">
        <f>[1]发票导入!V380&amp;""</f>
      </c>
      <c r="W380">
        <f>[1]发票导入!W380&amp;""</f>
      </c>
      <c r="Y380">
        <f>[1]发票导入!Y380&amp;""</f>
      </c>
      <c r="AA380">
        <f>[1]发票导入!AA380&amp;""</f>
      </c>
      <c r="AB380">
        <f>[1]发票导入!AB380</f>
        <v>0</v>
      </c>
      <c r="AC380">
        <f>[1]发票导入!AC380</f>
        <v>0</v>
      </c>
      <c r="AE380" s="22">
        <f t="shared" si="0"/>
      </c>
      <c r="AI380">
        <f>[1]发票导入!AI380&amp;""</f>
      </c>
      <c r="AJ380">
        <f>[1]发票导入!AJ380&amp;""</f>
      </c>
      <c r="AK380">
        <f>[1]发票导入!AK380</f>
        <v>0</v>
      </c>
      <c r="AL380">
        <f>[1]发票导入!AL380</f>
        <v>0</v>
      </c>
      <c r="AM380">
        <f>[1]发票导入!AM380</f>
        <v>0</v>
      </c>
      <c r="AN380" s="22">
        <f t="shared" si="1"/>
        <v>0</v>
      </c>
      <c r="AO380" s="22">
        <f t="shared" si="2"/>
        <v>0</v>
      </c>
    </row>
    <row r="381">
      <c r="C381">
        <f>[1]发票导入!C381&amp;""</f>
      </c>
      <c r="D381">
        <f>[1]发票导入!D381&amp;""</f>
      </c>
      <c r="O381">
        <f>[1]发票导入!O381&amp;""</f>
      </c>
      <c r="T381">
        <f>[1]发票导入!T381</f>
      </c>
      <c r="U381">
        <f>[1]发票导入!U381&amp;""</f>
      </c>
      <c r="V381">
        <f>[1]发票导入!V381&amp;""</f>
      </c>
      <c r="W381">
        <f>[1]发票导入!W381&amp;""</f>
      </c>
      <c r="Y381">
        <f>[1]发票导入!Y381&amp;""</f>
      </c>
      <c r="AA381">
        <f>[1]发票导入!AA381&amp;""</f>
      </c>
      <c r="AB381">
        <f>[1]发票导入!AB381</f>
        <v>0</v>
      </c>
      <c r="AC381">
        <f>[1]发票导入!AC381</f>
        <v>0</v>
      </c>
      <c r="AE381" s="22">
        <f t="shared" si="0"/>
      </c>
      <c r="AI381">
        <f>[1]发票导入!AI381&amp;""</f>
      </c>
      <c r="AJ381">
        <f>[1]发票导入!AJ381&amp;""</f>
      </c>
      <c r="AK381">
        <f>[1]发票导入!AK381</f>
        <v>0</v>
      </c>
      <c r="AL381">
        <f>[1]发票导入!AL381</f>
        <v>0</v>
      </c>
      <c r="AM381">
        <f>[1]发票导入!AM381</f>
        <v>0</v>
      </c>
      <c r="AN381" s="22">
        <f t="shared" si="1"/>
        <v>0</v>
      </c>
      <c r="AO381" s="22">
        <f t="shared" si="2"/>
        <v>0</v>
      </c>
    </row>
    <row r="382">
      <c r="C382">
        <f>[1]发票导入!C382&amp;""</f>
      </c>
      <c r="D382">
        <f>[1]发票导入!D382&amp;""</f>
      </c>
      <c r="O382">
        <f>[1]发票导入!O382&amp;""</f>
      </c>
      <c r="T382">
        <f>[1]发票导入!T382</f>
      </c>
      <c r="U382">
        <f>[1]发票导入!U382&amp;""</f>
      </c>
      <c r="V382">
        <f>[1]发票导入!V382&amp;""</f>
      </c>
      <c r="W382">
        <f>[1]发票导入!W382&amp;""</f>
      </c>
      <c r="Y382">
        <f>[1]发票导入!Y382&amp;""</f>
      </c>
      <c r="AA382">
        <f>[1]发票导入!AA382&amp;""</f>
      </c>
      <c r="AB382">
        <f>[1]发票导入!AB382</f>
        <v>0</v>
      </c>
      <c r="AC382">
        <f>[1]发票导入!AC382</f>
        <v>0</v>
      </c>
      <c r="AE382" s="22">
        <f t="shared" si="0"/>
      </c>
      <c r="AI382">
        <f>[1]发票导入!AI382&amp;""</f>
      </c>
      <c r="AJ382">
        <f>[1]发票导入!AJ382&amp;""</f>
      </c>
      <c r="AK382">
        <f>[1]发票导入!AK382</f>
        <v>0</v>
      </c>
      <c r="AL382">
        <f>[1]发票导入!AL382</f>
        <v>0</v>
      </c>
      <c r="AM382">
        <f>[1]发票导入!AM382</f>
        <v>0</v>
      </c>
      <c r="AN382" s="22">
        <f t="shared" si="1"/>
        <v>0</v>
      </c>
      <c r="AO382" s="22">
        <f t="shared" si="2"/>
        <v>0</v>
      </c>
    </row>
    <row r="383">
      <c r="C383">
        <f>[1]发票导入!C383&amp;""</f>
      </c>
      <c r="D383">
        <f>[1]发票导入!D383&amp;""</f>
      </c>
      <c r="O383">
        <f>[1]发票导入!O383&amp;""</f>
      </c>
      <c r="T383">
        <f>[1]发票导入!T383</f>
      </c>
      <c r="U383">
        <f>[1]发票导入!U383&amp;""</f>
      </c>
      <c r="V383">
        <f>[1]发票导入!V383&amp;""</f>
      </c>
      <c r="W383">
        <f>[1]发票导入!W383&amp;""</f>
      </c>
      <c r="Y383">
        <f>[1]发票导入!Y383&amp;""</f>
      </c>
      <c r="AA383">
        <f>[1]发票导入!AA383&amp;""</f>
      </c>
      <c r="AB383">
        <f>[1]发票导入!AB383</f>
        <v>0</v>
      </c>
      <c r="AC383">
        <f>[1]发票导入!AC383</f>
        <v>0</v>
      </c>
      <c r="AE383" s="22">
        <f t="shared" si="0"/>
      </c>
      <c r="AI383">
        <f>[1]发票导入!AI383&amp;""</f>
      </c>
      <c r="AJ383">
        <f>[1]发票导入!AJ383&amp;""</f>
      </c>
      <c r="AK383">
        <f>[1]发票导入!AK383</f>
        <v>0</v>
      </c>
      <c r="AL383">
        <f>[1]发票导入!AL383</f>
        <v>0</v>
      </c>
      <c r="AM383">
        <f>[1]发票导入!AM383</f>
        <v>0</v>
      </c>
      <c r="AN383" s="22">
        <f t="shared" si="1"/>
        <v>0</v>
      </c>
      <c r="AO383" s="22">
        <f t="shared" si="2"/>
        <v>0</v>
      </c>
    </row>
    <row r="384">
      <c r="C384">
        <f>[1]发票导入!C384&amp;""</f>
      </c>
      <c r="D384">
        <f>[1]发票导入!D384&amp;""</f>
      </c>
      <c r="O384">
        <f>[1]发票导入!O384&amp;""</f>
      </c>
      <c r="T384">
        <f>[1]发票导入!T384</f>
      </c>
      <c r="U384">
        <f>[1]发票导入!U384&amp;""</f>
      </c>
      <c r="V384">
        <f>[1]发票导入!V384&amp;""</f>
      </c>
      <c r="W384">
        <f>[1]发票导入!W384&amp;""</f>
      </c>
      <c r="Y384">
        <f>[1]发票导入!Y384&amp;""</f>
      </c>
      <c r="AA384">
        <f>[1]发票导入!AA384&amp;""</f>
      </c>
      <c r="AB384">
        <f>[1]发票导入!AB384</f>
        <v>0</v>
      </c>
      <c r="AC384">
        <f>[1]发票导入!AC384</f>
        <v>0</v>
      </c>
      <c r="AE384" s="22">
        <f t="shared" si="0"/>
      </c>
      <c r="AI384">
        <f>[1]发票导入!AI384&amp;""</f>
      </c>
      <c r="AJ384">
        <f>[1]发票导入!AJ384&amp;""</f>
      </c>
      <c r="AK384">
        <f>[1]发票导入!AK384</f>
        <v>0</v>
      </c>
      <c r="AL384">
        <f>[1]发票导入!AL384</f>
        <v>0</v>
      </c>
      <c r="AM384">
        <f>[1]发票导入!AM384</f>
        <v>0</v>
      </c>
      <c r="AN384" s="22">
        <f t="shared" si="1"/>
        <v>0</v>
      </c>
      <c r="AO384" s="22">
        <f t="shared" si="2"/>
        <v>0</v>
      </c>
    </row>
    <row r="385">
      <c r="C385">
        <f>[1]发票导入!C385&amp;""</f>
      </c>
      <c r="D385">
        <f>[1]发票导入!D385&amp;""</f>
      </c>
      <c r="O385">
        <f>[1]发票导入!O385&amp;""</f>
      </c>
      <c r="T385">
        <f>[1]发票导入!T385</f>
      </c>
      <c r="U385">
        <f>[1]发票导入!U385&amp;""</f>
      </c>
      <c r="V385">
        <f>[1]发票导入!V385&amp;""</f>
      </c>
      <c r="W385">
        <f>[1]发票导入!W385&amp;""</f>
      </c>
      <c r="Y385">
        <f>[1]发票导入!Y385&amp;""</f>
      </c>
      <c r="AA385">
        <f>[1]发票导入!AA385&amp;""</f>
      </c>
      <c r="AB385">
        <f>[1]发票导入!AB385</f>
        <v>0</v>
      </c>
      <c r="AC385">
        <f>[1]发票导入!AC385</f>
        <v>0</v>
      </c>
      <c r="AE385" s="22">
        <f t="shared" si="0"/>
      </c>
      <c r="AI385">
        <f>[1]发票导入!AI385&amp;""</f>
      </c>
      <c r="AJ385">
        <f>[1]发票导入!AJ385&amp;""</f>
      </c>
      <c r="AK385">
        <f>[1]发票导入!AK385</f>
        <v>0</v>
      </c>
      <c r="AL385">
        <f>[1]发票导入!AL385</f>
        <v>0</v>
      </c>
      <c r="AM385">
        <f>[1]发票导入!AM385</f>
        <v>0</v>
      </c>
      <c r="AN385" s="22">
        <f t="shared" si="1"/>
        <v>0</v>
      </c>
      <c r="AO385" s="22">
        <f t="shared" si="2"/>
        <v>0</v>
      </c>
    </row>
    <row r="386">
      <c r="C386">
        <f>[1]发票导入!C386&amp;""</f>
      </c>
      <c r="D386">
        <f>[1]发票导入!D386&amp;""</f>
      </c>
      <c r="O386">
        <f>[1]发票导入!O386&amp;""</f>
      </c>
      <c r="T386">
        <f>[1]发票导入!T386</f>
      </c>
      <c r="U386">
        <f>[1]发票导入!U386&amp;""</f>
      </c>
      <c r="V386">
        <f>[1]发票导入!V386&amp;""</f>
      </c>
      <c r="W386">
        <f>[1]发票导入!W386&amp;""</f>
      </c>
      <c r="Y386">
        <f>[1]发票导入!Y386&amp;""</f>
      </c>
      <c r="AA386">
        <f>[1]发票导入!AA386&amp;""</f>
      </c>
      <c r="AB386">
        <f>[1]发票导入!AB386</f>
        <v>0</v>
      </c>
      <c r="AC386">
        <f>[1]发票导入!AC386</f>
        <v>0</v>
      </c>
      <c r="AE386" s="22">
        <f t="shared" si="0"/>
      </c>
      <c r="AI386">
        <f>[1]发票导入!AI386&amp;""</f>
      </c>
      <c r="AJ386">
        <f>[1]发票导入!AJ386&amp;""</f>
      </c>
      <c r="AK386">
        <f>[1]发票导入!AK386</f>
        <v>0</v>
      </c>
      <c r="AL386">
        <f>[1]发票导入!AL386</f>
        <v>0</v>
      </c>
      <c r="AM386">
        <f>[1]发票导入!AM386</f>
        <v>0</v>
      </c>
      <c r="AN386" s="22">
        <f t="shared" si="1"/>
        <v>0</v>
      </c>
      <c r="AO386" s="22">
        <f t="shared" si="2"/>
        <v>0</v>
      </c>
    </row>
    <row r="387">
      <c r="C387">
        <f>[1]发票导入!C387&amp;""</f>
      </c>
      <c r="D387">
        <f>[1]发票导入!D387&amp;""</f>
      </c>
      <c r="O387">
        <f>[1]发票导入!O387&amp;""</f>
      </c>
      <c r="T387">
        <f>[1]发票导入!T387</f>
      </c>
      <c r="U387">
        <f>[1]发票导入!U387&amp;""</f>
      </c>
      <c r="V387">
        <f>[1]发票导入!V387&amp;""</f>
      </c>
      <c r="W387">
        <f>[1]发票导入!W387&amp;""</f>
      </c>
      <c r="Y387">
        <f>[1]发票导入!Y387&amp;""</f>
      </c>
      <c r="AA387">
        <f>[1]发票导入!AA387&amp;""</f>
      </c>
      <c r="AB387">
        <f>[1]发票导入!AB387</f>
        <v>0</v>
      </c>
      <c r="AC387">
        <f>[1]发票导入!AC387</f>
        <v>0</v>
      </c>
      <c r="AE387" s="22">
        <f t="shared" si="0"/>
      </c>
      <c r="AI387">
        <f>[1]发票导入!AI387&amp;""</f>
      </c>
      <c r="AJ387">
        <f>[1]发票导入!AJ387&amp;""</f>
      </c>
      <c r="AK387">
        <f>[1]发票导入!AK387</f>
        <v>0</v>
      </c>
      <c r="AL387">
        <f>[1]发票导入!AL387</f>
        <v>0</v>
      </c>
      <c r="AM387">
        <f>[1]发票导入!AM387</f>
        <v>0</v>
      </c>
      <c r="AN387" s="22">
        <f t="shared" si="1"/>
        <v>0</v>
      </c>
      <c r="AO387" s="22">
        <f t="shared" si="2"/>
        <v>0</v>
      </c>
    </row>
    <row r="388">
      <c r="C388">
        <f>[1]发票导入!C388&amp;""</f>
      </c>
      <c r="D388">
        <f>[1]发票导入!D388&amp;""</f>
      </c>
      <c r="O388">
        <f>[1]发票导入!O388&amp;""</f>
      </c>
      <c r="T388">
        <f>[1]发票导入!T388</f>
      </c>
      <c r="U388">
        <f>[1]发票导入!U388&amp;""</f>
      </c>
      <c r="V388">
        <f>[1]发票导入!V388&amp;""</f>
      </c>
      <c r="W388">
        <f>[1]发票导入!W388&amp;""</f>
      </c>
      <c r="Y388">
        <f>[1]发票导入!Y388&amp;""</f>
      </c>
      <c r="AA388">
        <f>[1]发票导入!AA388&amp;""</f>
      </c>
      <c r="AB388">
        <f>[1]发票导入!AB388</f>
        <v>0</v>
      </c>
      <c r="AC388">
        <f>[1]发票导入!AC388</f>
        <v>0</v>
      </c>
      <c r="AE388" s="22">
        <f t="shared" si="0"/>
      </c>
      <c r="AI388">
        <f>[1]发票导入!AI388&amp;""</f>
      </c>
      <c r="AJ388">
        <f>[1]发票导入!AJ388&amp;""</f>
      </c>
      <c r="AK388">
        <f>[1]发票导入!AK388</f>
        <v>0</v>
      </c>
      <c r="AL388">
        <f>[1]发票导入!AL388</f>
        <v>0</v>
      </c>
      <c r="AM388">
        <f>[1]发票导入!AM388</f>
        <v>0</v>
      </c>
      <c r="AN388" s="22">
        <f t="shared" si="1"/>
        <v>0</v>
      </c>
      <c r="AO388" s="22">
        <f t="shared" si="2"/>
        <v>0</v>
      </c>
    </row>
    <row r="389">
      <c r="C389">
        <f>[1]发票导入!C389&amp;""</f>
      </c>
      <c r="D389">
        <f>[1]发票导入!D389&amp;""</f>
      </c>
      <c r="O389">
        <f>[1]发票导入!O389&amp;""</f>
      </c>
      <c r="T389">
        <f>[1]发票导入!T389</f>
      </c>
      <c r="U389">
        <f>[1]发票导入!U389&amp;""</f>
      </c>
      <c r="V389">
        <f>[1]发票导入!V389&amp;""</f>
      </c>
      <c r="W389">
        <f>[1]发票导入!W389&amp;""</f>
      </c>
      <c r="Y389">
        <f>[1]发票导入!Y389&amp;""</f>
      </c>
      <c r="AA389">
        <f>[1]发票导入!AA389&amp;""</f>
      </c>
      <c r="AB389">
        <f>[1]发票导入!AB389</f>
        <v>0</v>
      </c>
      <c r="AC389">
        <f>[1]发票导入!AC389</f>
        <v>0</v>
      </c>
      <c r="AE389" s="22">
        <f t="shared" si="0"/>
      </c>
      <c r="AI389">
        <f>[1]发票导入!AI389&amp;""</f>
      </c>
      <c r="AJ389">
        <f>[1]发票导入!AJ389&amp;""</f>
      </c>
      <c r="AK389">
        <f>[1]发票导入!AK389</f>
        <v>0</v>
      </c>
      <c r="AL389">
        <f>[1]发票导入!AL389</f>
        <v>0</v>
      </c>
      <c r="AM389">
        <f>[1]发票导入!AM389</f>
        <v>0</v>
      </c>
      <c r="AN389" s="22">
        <f t="shared" si="1"/>
        <v>0</v>
      </c>
      <c r="AO389" s="22">
        <f t="shared" si="2"/>
        <v>0</v>
      </c>
    </row>
    <row r="390">
      <c r="C390">
        <f>[1]发票导入!C390&amp;""</f>
      </c>
      <c r="D390">
        <f>[1]发票导入!D390&amp;""</f>
      </c>
      <c r="O390">
        <f>[1]发票导入!O390&amp;""</f>
      </c>
      <c r="T390">
        <f>[1]发票导入!T390</f>
      </c>
      <c r="U390">
        <f>[1]发票导入!U390&amp;""</f>
      </c>
      <c r="V390">
        <f>[1]发票导入!V390&amp;""</f>
      </c>
      <c r="W390">
        <f>[1]发票导入!W390&amp;""</f>
      </c>
      <c r="Y390">
        <f>[1]发票导入!Y390&amp;""</f>
      </c>
      <c r="AA390">
        <f>[1]发票导入!AA390&amp;""</f>
      </c>
      <c r="AB390">
        <f>[1]发票导入!AB390</f>
        <v>0</v>
      </c>
      <c r="AC390">
        <f>[1]发票导入!AC390</f>
        <v>0</v>
      </c>
      <c r="AE390" s="22">
        <f t="shared" si="0"/>
      </c>
      <c r="AI390">
        <f>[1]发票导入!AI390&amp;""</f>
      </c>
      <c r="AJ390">
        <f>[1]发票导入!AJ390&amp;""</f>
      </c>
      <c r="AK390">
        <f>[1]发票导入!AK390</f>
        <v>0</v>
      </c>
      <c r="AL390">
        <f>[1]发票导入!AL390</f>
        <v>0</v>
      </c>
      <c r="AM390">
        <f>[1]发票导入!AM390</f>
        <v>0</v>
      </c>
      <c r="AN390" s="22">
        <f t="shared" si="1"/>
        <v>0</v>
      </c>
      <c r="AO390" s="22">
        <f t="shared" si="2"/>
        <v>0</v>
      </c>
    </row>
    <row r="391">
      <c r="C391">
        <f>[1]发票导入!C391&amp;""</f>
      </c>
      <c r="D391">
        <f>[1]发票导入!D391&amp;""</f>
      </c>
      <c r="O391">
        <f>[1]发票导入!O391&amp;""</f>
      </c>
      <c r="T391">
        <f>[1]发票导入!T391</f>
      </c>
      <c r="U391">
        <f>[1]发票导入!U391&amp;""</f>
      </c>
      <c r="V391">
        <f>[1]发票导入!V391&amp;""</f>
      </c>
      <c r="W391">
        <f>[1]发票导入!W391&amp;""</f>
      </c>
      <c r="Y391">
        <f>[1]发票导入!Y391&amp;""</f>
      </c>
      <c r="AA391">
        <f>[1]发票导入!AA391&amp;""</f>
      </c>
      <c r="AB391">
        <f>[1]发票导入!AB391</f>
        <v>0</v>
      </c>
      <c r="AC391">
        <f>[1]发票导入!AC391</f>
        <v>0</v>
      </c>
      <c r="AE391" s="22">
        <f t="shared" si="0"/>
      </c>
      <c r="AI391">
        <f>[1]发票导入!AI391&amp;""</f>
      </c>
      <c r="AJ391">
        <f>[1]发票导入!AJ391&amp;""</f>
      </c>
      <c r="AK391">
        <f>[1]发票导入!AK391</f>
        <v>0</v>
      </c>
      <c r="AL391">
        <f>[1]发票导入!AL391</f>
        <v>0</v>
      </c>
      <c r="AM391">
        <f>[1]发票导入!AM391</f>
        <v>0</v>
      </c>
      <c r="AN391" s="22">
        <f t="shared" si="1"/>
        <v>0</v>
      </c>
      <c r="AO391" s="22">
        <f t="shared" si="2"/>
        <v>0</v>
      </c>
    </row>
    <row r="392">
      <c r="C392">
        <f>[1]发票导入!C392&amp;""</f>
      </c>
      <c r="D392">
        <f>[1]发票导入!D392&amp;""</f>
      </c>
      <c r="O392">
        <f>[1]发票导入!O392&amp;""</f>
      </c>
      <c r="T392">
        <f>[1]发票导入!T392</f>
      </c>
      <c r="U392">
        <f>[1]发票导入!U392&amp;""</f>
      </c>
      <c r="V392">
        <f>[1]发票导入!V392&amp;""</f>
      </c>
      <c r="W392">
        <f>[1]发票导入!W392&amp;""</f>
      </c>
      <c r="Y392">
        <f>[1]发票导入!Y392&amp;""</f>
      </c>
      <c r="AA392">
        <f>[1]发票导入!AA392&amp;""</f>
      </c>
      <c r="AB392">
        <f>[1]发票导入!AB392</f>
        <v>0</v>
      </c>
      <c r="AC392">
        <f>[1]发票导入!AC392</f>
        <v>0</v>
      </c>
      <c r="AE392" s="22">
        <f t="shared" si="0"/>
      </c>
      <c r="AI392">
        <f>[1]发票导入!AI392&amp;""</f>
      </c>
      <c r="AJ392">
        <f>[1]发票导入!AJ392&amp;""</f>
      </c>
      <c r="AK392">
        <f>[1]发票导入!AK392</f>
        <v>0</v>
      </c>
      <c r="AL392">
        <f>[1]发票导入!AL392</f>
        <v>0</v>
      </c>
      <c r="AM392">
        <f>[1]发票导入!AM392</f>
        <v>0</v>
      </c>
      <c r="AN392" s="22">
        <f t="shared" si="1"/>
        <v>0</v>
      </c>
      <c r="AO392" s="22">
        <f t="shared" si="2"/>
        <v>0</v>
      </c>
    </row>
    <row r="393">
      <c r="C393">
        <f>[1]发票导入!C393&amp;""</f>
      </c>
      <c r="D393">
        <f>[1]发票导入!D393&amp;""</f>
      </c>
      <c r="O393">
        <f>[1]发票导入!O393&amp;""</f>
      </c>
      <c r="T393">
        <f>[1]发票导入!T393</f>
      </c>
      <c r="U393">
        <f>[1]发票导入!U393&amp;""</f>
      </c>
      <c r="V393">
        <f>[1]发票导入!V393&amp;""</f>
      </c>
      <c r="W393">
        <f>[1]发票导入!W393&amp;""</f>
      </c>
      <c r="Y393">
        <f>[1]发票导入!Y393&amp;""</f>
      </c>
      <c r="AA393">
        <f>[1]发票导入!AA393&amp;""</f>
      </c>
      <c r="AB393">
        <f>[1]发票导入!AB393</f>
        <v>0</v>
      </c>
      <c r="AC393">
        <f>[1]发票导入!AC393</f>
        <v>0</v>
      </c>
      <c r="AE393" s="22">
        <f t="shared" si="0"/>
      </c>
      <c r="AI393">
        <f>[1]发票导入!AI393&amp;""</f>
      </c>
      <c r="AJ393">
        <f>[1]发票导入!AJ393&amp;""</f>
      </c>
      <c r="AK393">
        <f>[1]发票导入!AK393</f>
        <v>0</v>
      </c>
      <c r="AL393">
        <f>[1]发票导入!AL393</f>
        <v>0</v>
      </c>
      <c r="AM393">
        <f>[1]发票导入!AM393</f>
        <v>0</v>
      </c>
      <c r="AN393" s="22">
        <f t="shared" si="1"/>
        <v>0</v>
      </c>
      <c r="AO393" s="22">
        <f t="shared" si="2"/>
        <v>0</v>
      </c>
    </row>
    <row r="394">
      <c r="C394">
        <f>[1]发票导入!C394&amp;""</f>
      </c>
      <c r="D394">
        <f>[1]发票导入!D394&amp;""</f>
      </c>
      <c r="O394">
        <f>[1]发票导入!O394&amp;""</f>
      </c>
      <c r="T394">
        <f>[1]发票导入!T394</f>
      </c>
      <c r="U394">
        <f>[1]发票导入!U394&amp;""</f>
      </c>
      <c r="V394">
        <f>[1]发票导入!V394&amp;""</f>
      </c>
      <c r="W394">
        <f>[1]发票导入!W394&amp;""</f>
      </c>
      <c r="Y394">
        <f>[1]发票导入!Y394&amp;""</f>
      </c>
      <c r="AA394">
        <f>[1]发票导入!AA394&amp;""</f>
      </c>
      <c r="AB394">
        <f>[1]发票导入!AB394</f>
        <v>0</v>
      </c>
      <c r="AC394">
        <f>[1]发票导入!AC394</f>
        <v>0</v>
      </c>
      <c r="AE394" s="22">
        <f t="shared" si="0"/>
      </c>
      <c r="AI394">
        <f>[1]发票导入!AI394&amp;""</f>
      </c>
      <c r="AJ394">
        <f>[1]发票导入!AJ394&amp;""</f>
      </c>
      <c r="AK394">
        <f>[1]发票导入!AK394</f>
        <v>0</v>
      </c>
      <c r="AL394">
        <f>[1]发票导入!AL394</f>
        <v>0</v>
      </c>
      <c r="AM394">
        <f>[1]发票导入!AM394</f>
        <v>0</v>
      </c>
      <c r="AN394" s="22">
        <f t="shared" si="1"/>
        <v>0</v>
      </c>
      <c r="AO394" s="22">
        <f t="shared" si="2"/>
        <v>0</v>
      </c>
    </row>
    <row r="395">
      <c r="C395">
        <f>[1]发票导入!C395&amp;""</f>
      </c>
      <c r="D395">
        <f>[1]发票导入!D395&amp;""</f>
      </c>
      <c r="O395">
        <f>[1]发票导入!O395&amp;""</f>
      </c>
      <c r="T395">
        <f>[1]发票导入!T395</f>
      </c>
      <c r="U395">
        <f>[1]发票导入!U395&amp;""</f>
      </c>
      <c r="V395">
        <f>[1]发票导入!V395&amp;""</f>
      </c>
      <c r="W395">
        <f>[1]发票导入!W395&amp;""</f>
      </c>
      <c r="Y395">
        <f>[1]发票导入!Y395&amp;""</f>
      </c>
      <c r="AA395">
        <f>[1]发票导入!AA395&amp;""</f>
      </c>
      <c r="AB395">
        <f>[1]发票导入!AB395</f>
        <v>0</v>
      </c>
      <c r="AC395">
        <f>[1]发票导入!AC395</f>
        <v>0</v>
      </c>
      <c r="AE395" s="22">
        <f t="shared" si="0"/>
      </c>
      <c r="AI395">
        <f>[1]发票导入!AI395&amp;""</f>
      </c>
      <c r="AJ395">
        <f>[1]发票导入!AJ395&amp;""</f>
      </c>
      <c r="AK395">
        <f>[1]发票导入!AK395</f>
        <v>0</v>
      </c>
      <c r="AL395">
        <f>[1]发票导入!AL395</f>
        <v>0</v>
      </c>
      <c r="AM395">
        <f>[1]发票导入!AM395</f>
        <v>0</v>
      </c>
      <c r="AN395" s="22">
        <f t="shared" si="1"/>
        <v>0</v>
      </c>
      <c r="AO395" s="22">
        <f t="shared" si="2"/>
        <v>0</v>
      </c>
    </row>
    <row r="396">
      <c r="C396">
        <f>[1]发票导入!C396&amp;""</f>
      </c>
      <c r="D396">
        <f>[1]发票导入!D396&amp;""</f>
      </c>
      <c r="O396">
        <f>[1]发票导入!O396&amp;""</f>
      </c>
      <c r="T396">
        <f>[1]发票导入!T396</f>
      </c>
      <c r="U396">
        <f>[1]发票导入!U396&amp;""</f>
      </c>
      <c r="V396">
        <f>[1]发票导入!V396&amp;""</f>
      </c>
      <c r="W396">
        <f>[1]发票导入!W396&amp;""</f>
      </c>
      <c r="Y396">
        <f>[1]发票导入!Y396&amp;""</f>
      </c>
      <c r="AA396">
        <f>[1]发票导入!AA396&amp;""</f>
      </c>
      <c r="AB396">
        <f>[1]发票导入!AB396</f>
        <v>0</v>
      </c>
      <c r="AC396">
        <f>[1]发票导入!AC396</f>
        <v>0</v>
      </c>
      <c r="AE396" s="22">
        <f t="shared" si="0"/>
      </c>
      <c r="AI396">
        <f>[1]发票导入!AI396&amp;""</f>
      </c>
      <c r="AJ396">
        <f>[1]发票导入!AJ396&amp;""</f>
      </c>
      <c r="AK396">
        <f>[1]发票导入!AK396</f>
        <v>0</v>
      </c>
      <c r="AL396">
        <f>[1]发票导入!AL396</f>
        <v>0</v>
      </c>
      <c r="AM396">
        <f>[1]发票导入!AM396</f>
        <v>0</v>
      </c>
      <c r="AN396" s="22">
        <f t="shared" si="1"/>
        <v>0</v>
      </c>
      <c r="AO396" s="22">
        <f t="shared" si="2"/>
        <v>0</v>
      </c>
    </row>
    <row r="397">
      <c r="C397">
        <f>[1]发票导入!C397&amp;""</f>
      </c>
      <c r="D397">
        <f>[1]发票导入!D397&amp;""</f>
      </c>
      <c r="O397">
        <f>[1]发票导入!O397&amp;""</f>
      </c>
      <c r="T397">
        <f>[1]发票导入!T397</f>
      </c>
      <c r="U397">
        <f>[1]发票导入!U397&amp;""</f>
      </c>
      <c r="V397">
        <f>[1]发票导入!V397&amp;""</f>
      </c>
      <c r="W397">
        <f>[1]发票导入!W397&amp;""</f>
      </c>
      <c r="Y397">
        <f>[1]发票导入!Y397&amp;""</f>
      </c>
      <c r="AA397">
        <f>[1]发票导入!AA397&amp;""</f>
      </c>
      <c r="AB397">
        <f>[1]发票导入!AB397</f>
        <v>0</v>
      </c>
      <c r="AC397">
        <f>[1]发票导入!AC397</f>
        <v>0</v>
      </c>
      <c r="AE397" s="22">
        <f t="shared" si="0"/>
      </c>
      <c r="AI397">
        <f>[1]发票导入!AI397&amp;""</f>
      </c>
      <c r="AJ397">
        <f>[1]发票导入!AJ397&amp;""</f>
      </c>
      <c r="AK397">
        <f>[1]发票导入!AK397</f>
        <v>0</v>
      </c>
      <c r="AL397">
        <f>[1]发票导入!AL397</f>
        <v>0</v>
      </c>
      <c r="AM397">
        <f>[1]发票导入!AM397</f>
        <v>0</v>
      </c>
      <c r="AN397" s="22">
        <f t="shared" si="1"/>
        <v>0</v>
      </c>
      <c r="AO397" s="22">
        <f t="shared" si="2"/>
        <v>0</v>
      </c>
    </row>
    <row r="398">
      <c r="C398">
        <f>[1]发票导入!C398&amp;""</f>
      </c>
      <c r="D398">
        <f>[1]发票导入!D398&amp;""</f>
      </c>
      <c r="O398">
        <f>[1]发票导入!O398&amp;""</f>
      </c>
      <c r="T398">
        <f>[1]发票导入!T398</f>
      </c>
      <c r="U398">
        <f>[1]发票导入!U398&amp;""</f>
      </c>
      <c r="V398">
        <f>[1]发票导入!V398&amp;""</f>
      </c>
      <c r="W398">
        <f>[1]发票导入!W398&amp;""</f>
      </c>
      <c r="Y398">
        <f>[1]发票导入!Y398&amp;""</f>
      </c>
      <c r="AA398">
        <f>[1]发票导入!AA398&amp;""</f>
      </c>
      <c r="AB398">
        <f>[1]发票导入!AB398</f>
        <v>0</v>
      </c>
      <c r="AC398">
        <f>[1]发票导入!AC398</f>
        <v>0</v>
      </c>
      <c r="AE398" s="22">
        <f t="shared" si="0"/>
      </c>
      <c r="AI398">
        <f>[1]发票导入!AI398&amp;""</f>
      </c>
      <c r="AJ398">
        <f>[1]发票导入!AJ398&amp;""</f>
      </c>
      <c r="AK398">
        <f>[1]发票导入!AK398</f>
        <v>0</v>
      </c>
      <c r="AL398">
        <f>[1]发票导入!AL398</f>
        <v>0</v>
      </c>
      <c r="AM398">
        <f>[1]发票导入!AM398</f>
        <v>0</v>
      </c>
      <c r="AN398" s="22">
        <f t="shared" si="1"/>
        <v>0</v>
      </c>
      <c r="AO398" s="22">
        <f t="shared" si="2"/>
        <v>0</v>
      </c>
    </row>
    <row r="399">
      <c r="C399">
        <f>[1]发票导入!C399&amp;""</f>
      </c>
      <c r="D399">
        <f>[1]发票导入!D399&amp;""</f>
      </c>
      <c r="O399">
        <f>[1]发票导入!O399&amp;""</f>
      </c>
      <c r="T399">
        <f>[1]发票导入!T399</f>
      </c>
      <c r="U399">
        <f>[1]发票导入!U399&amp;""</f>
      </c>
      <c r="V399">
        <f>[1]发票导入!V399&amp;""</f>
      </c>
      <c r="W399">
        <f>[1]发票导入!W399&amp;""</f>
      </c>
      <c r="Y399">
        <f>[1]发票导入!Y399&amp;""</f>
      </c>
      <c r="AA399">
        <f>[1]发票导入!AA399&amp;""</f>
      </c>
      <c r="AB399">
        <f>[1]发票导入!AB399</f>
        <v>0</v>
      </c>
      <c r="AC399">
        <f>[1]发票导入!AC399</f>
        <v>0</v>
      </c>
      <c r="AE399" s="22">
        <f t="shared" si="0"/>
      </c>
      <c r="AI399">
        <f>[1]发票导入!AI399&amp;""</f>
      </c>
      <c r="AJ399">
        <f>[1]发票导入!AJ399&amp;""</f>
      </c>
      <c r="AK399">
        <f>[1]发票导入!AK399</f>
        <v>0</v>
      </c>
      <c r="AL399">
        <f>[1]发票导入!AL399</f>
        <v>0</v>
      </c>
      <c r="AM399">
        <f>[1]发票导入!AM399</f>
        <v>0</v>
      </c>
      <c r="AN399" s="22">
        <f t="shared" si="1"/>
        <v>0</v>
      </c>
      <c r="AO399" s="22">
        <f t="shared" si="2"/>
        <v>0</v>
      </c>
    </row>
    <row r="400">
      <c r="C400">
        <f>[1]发票导入!C400&amp;""</f>
      </c>
      <c r="D400">
        <f>[1]发票导入!D400&amp;""</f>
      </c>
      <c r="O400">
        <f>[1]发票导入!O400&amp;""</f>
      </c>
      <c r="T400">
        <f>[1]发票导入!T400</f>
      </c>
      <c r="U400">
        <f>[1]发票导入!U400&amp;""</f>
      </c>
      <c r="V400">
        <f>[1]发票导入!V400&amp;""</f>
      </c>
      <c r="W400">
        <f>[1]发票导入!W400&amp;""</f>
      </c>
      <c r="Y400">
        <f>[1]发票导入!Y400&amp;""</f>
      </c>
      <c r="AA400">
        <f>[1]发票导入!AA400&amp;""</f>
      </c>
      <c r="AB400">
        <f>[1]发票导入!AB400</f>
        <v>0</v>
      </c>
      <c r="AC400">
        <f>[1]发票导入!AC400</f>
        <v>0</v>
      </c>
      <c r="AE400" s="22">
        <f t="shared" si="0"/>
      </c>
      <c r="AI400">
        <f>[1]发票导入!AI400&amp;""</f>
      </c>
      <c r="AJ400">
        <f>[1]发票导入!AJ400&amp;""</f>
      </c>
      <c r="AK400">
        <f>[1]发票导入!AK400</f>
        <v>0</v>
      </c>
      <c r="AL400">
        <f>[1]发票导入!AL400</f>
        <v>0</v>
      </c>
      <c r="AM400">
        <f>[1]发票导入!AM400</f>
        <v>0</v>
      </c>
      <c r="AN400" s="22">
        <f t="shared" si="1"/>
        <v>0</v>
      </c>
      <c r="AO400" s="22">
        <f t="shared" si="2"/>
        <v>0</v>
      </c>
    </row>
    <row r="401">
      <c r="C401">
        <f>[1]发票导入!C401&amp;""</f>
      </c>
      <c r="D401">
        <f>[1]发票导入!D401&amp;""</f>
      </c>
      <c r="O401">
        <f>[1]发票导入!O401&amp;""</f>
      </c>
      <c r="T401">
        <f>[1]发票导入!T401</f>
      </c>
      <c r="U401">
        <f>[1]发票导入!U401&amp;""</f>
      </c>
      <c r="V401">
        <f>[1]发票导入!V401&amp;""</f>
      </c>
      <c r="W401">
        <f>[1]发票导入!W401&amp;""</f>
      </c>
      <c r="Y401">
        <f>[1]发票导入!Y401&amp;""</f>
      </c>
      <c r="AA401">
        <f>[1]发票导入!AA401&amp;""</f>
      </c>
      <c r="AB401">
        <f>[1]发票导入!AB401</f>
        <v>0</v>
      </c>
      <c r="AC401">
        <f>[1]发票导入!AC401</f>
        <v>0</v>
      </c>
      <c r="AE401" s="22">
        <f t="shared" si="0"/>
      </c>
      <c r="AI401">
        <f>[1]发票导入!AI401&amp;""</f>
      </c>
      <c r="AJ401">
        <f>[1]发票导入!AJ401&amp;""</f>
      </c>
      <c r="AK401">
        <f>[1]发票导入!AK401</f>
        <v>0</v>
      </c>
      <c r="AL401">
        <f>[1]发票导入!AL401</f>
        <v>0</v>
      </c>
      <c r="AM401">
        <f>[1]发票导入!AM401</f>
        <v>0</v>
      </c>
      <c r="AN401" s="22">
        <f t="shared" si="1"/>
        <v>0</v>
      </c>
      <c r="AO401" s="22">
        <f t="shared" si="2"/>
        <v>0</v>
      </c>
    </row>
    <row r="402">
      <c r="C402">
        <f>[1]发票导入!C402&amp;""</f>
      </c>
      <c r="D402">
        <f>[1]发票导入!D402&amp;""</f>
      </c>
      <c r="O402">
        <f>[1]发票导入!O402&amp;""</f>
      </c>
      <c r="T402">
        <f>[1]发票导入!T402</f>
      </c>
      <c r="U402">
        <f>[1]发票导入!U402&amp;""</f>
      </c>
      <c r="V402">
        <f>[1]发票导入!V402&amp;""</f>
      </c>
      <c r="W402">
        <f>[1]发票导入!W402&amp;""</f>
      </c>
      <c r="Y402">
        <f>[1]发票导入!Y402&amp;""</f>
      </c>
      <c r="AA402">
        <f>[1]发票导入!AA402&amp;""</f>
      </c>
      <c r="AB402">
        <f>[1]发票导入!AB402</f>
        <v>0</v>
      </c>
      <c r="AC402">
        <f>[1]发票导入!AC402</f>
        <v>0</v>
      </c>
      <c r="AE402" s="22">
        <f t="shared" si="0"/>
      </c>
      <c r="AI402">
        <f>[1]发票导入!AI402&amp;""</f>
      </c>
      <c r="AJ402">
        <f>[1]发票导入!AJ402&amp;""</f>
      </c>
      <c r="AK402">
        <f>[1]发票导入!AK402</f>
        <v>0</v>
      </c>
      <c r="AL402">
        <f>[1]发票导入!AL402</f>
        <v>0</v>
      </c>
      <c r="AM402">
        <f>[1]发票导入!AM402</f>
        <v>0</v>
      </c>
      <c r="AN402" s="22">
        <f t="shared" si="1"/>
        <v>0</v>
      </c>
      <c r="AO402" s="22">
        <f t="shared" si="2"/>
        <v>0</v>
      </c>
    </row>
    <row r="403">
      <c r="C403">
        <f>[1]发票导入!C403&amp;""</f>
      </c>
      <c r="D403">
        <f>[1]发票导入!D403&amp;""</f>
      </c>
      <c r="O403">
        <f>[1]发票导入!O403&amp;""</f>
      </c>
      <c r="T403">
        <f>[1]发票导入!T403</f>
      </c>
      <c r="U403">
        <f>[1]发票导入!U403&amp;""</f>
      </c>
      <c r="V403">
        <f>[1]发票导入!V403&amp;""</f>
      </c>
      <c r="W403">
        <f>[1]发票导入!W403&amp;""</f>
      </c>
      <c r="Y403">
        <f>[1]发票导入!Y403&amp;""</f>
      </c>
      <c r="AA403">
        <f>[1]发票导入!AA403&amp;""</f>
      </c>
      <c r="AB403">
        <f>[1]发票导入!AB403</f>
        <v>0</v>
      </c>
      <c r="AC403">
        <f>[1]发票导入!AC403</f>
        <v>0</v>
      </c>
      <c r="AE403" s="22">
        <f t="shared" si="0"/>
      </c>
      <c r="AI403">
        <f>[1]发票导入!AI403&amp;""</f>
      </c>
      <c r="AJ403">
        <f>[1]发票导入!AJ403&amp;""</f>
      </c>
      <c r="AK403">
        <f>[1]发票导入!AK403</f>
        <v>0</v>
      </c>
      <c r="AL403">
        <f>[1]发票导入!AL403</f>
        <v>0</v>
      </c>
      <c r="AM403">
        <f>[1]发票导入!AM403</f>
        <v>0</v>
      </c>
      <c r="AN403" s="22">
        <f t="shared" si="1"/>
        <v>0</v>
      </c>
      <c r="AO403" s="22">
        <f t="shared" si="2"/>
        <v>0</v>
      </c>
    </row>
    <row r="404">
      <c r="C404">
        <f>[1]发票导入!C404&amp;""</f>
      </c>
      <c r="D404">
        <f>[1]发票导入!D404&amp;""</f>
      </c>
      <c r="O404">
        <f>[1]发票导入!O404&amp;""</f>
      </c>
      <c r="T404">
        <f>[1]发票导入!T404</f>
      </c>
      <c r="U404">
        <f>[1]发票导入!U404&amp;""</f>
      </c>
      <c r="V404">
        <f>[1]发票导入!V404&amp;""</f>
      </c>
      <c r="W404">
        <f>[1]发票导入!W404&amp;""</f>
      </c>
      <c r="Y404">
        <f>[1]发票导入!Y404&amp;""</f>
      </c>
      <c r="AA404">
        <f>[1]发票导入!AA404&amp;""</f>
      </c>
      <c r="AB404">
        <f>[1]发票导入!AB404</f>
        <v>0</v>
      </c>
      <c r="AC404">
        <f>[1]发票导入!AC404</f>
        <v>0</v>
      </c>
      <c r="AE404" s="22">
        <f t="shared" si="0"/>
      </c>
      <c r="AI404">
        <f>[1]发票导入!AI404&amp;""</f>
      </c>
      <c r="AJ404">
        <f>[1]发票导入!AJ404&amp;""</f>
      </c>
      <c r="AK404">
        <f>[1]发票导入!AK404</f>
        <v>0</v>
      </c>
      <c r="AL404">
        <f>[1]发票导入!AL404</f>
        <v>0</v>
      </c>
      <c r="AM404">
        <f>[1]发票导入!AM404</f>
        <v>0</v>
      </c>
      <c r="AN404" s="22">
        <f t="shared" si="1"/>
        <v>0</v>
      </c>
      <c r="AO404" s="22">
        <f t="shared" si="2"/>
        <v>0</v>
      </c>
    </row>
    <row r="405">
      <c r="C405">
        <f>[1]发票导入!C405&amp;""</f>
      </c>
      <c r="D405">
        <f>[1]发票导入!D405&amp;""</f>
      </c>
      <c r="O405">
        <f>[1]发票导入!O405&amp;""</f>
      </c>
      <c r="T405">
        <f>[1]发票导入!T405</f>
      </c>
      <c r="U405">
        <f>[1]发票导入!U405&amp;""</f>
      </c>
      <c r="V405">
        <f>[1]发票导入!V405&amp;""</f>
      </c>
      <c r="W405">
        <f>[1]发票导入!W405&amp;""</f>
      </c>
      <c r="Y405">
        <f>[1]发票导入!Y405&amp;""</f>
      </c>
      <c r="AA405">
        <f>[1]发票导入!AA405&amp;""</f>
      </c>
      <c r="AB405">
        <f>[1]发票导入!AB405</f>
        <v>0</v>
      </c>
      <c r="AC405">
        <f>[1]发票导入!AC405</f>
        <v>0</v>
      </c>
      <c r="AE405" s="22">
        <f t="shared" si="0"/>
      </c>
      <c r="AI405">
        <f>[1]发票导入!AI405&amp;""</f>
      </c>
      <c r="AJ405">
        <f>[1]发票导入!AJ405&amp;""</f>
      </c>
      <c r="AK405">
        <f>[1]发票导入!AK405</f>
        <v>0</v>
      </c>
      <c r="AL405">
        <f>[1]发票导入!AL405</f>
        <v>0</v>
      </c>
      <c r="AM405">
        <f>[1]发票导入!AM405</f>
        <v>0</v>
      </c>
      <c r="AN405" s="22">
        <f t="shared" si="1"/>
        <v>0</v>
      </c>
      <c r="AO405" s="22">
        <f t="shared" si="2"/>
        <v>0</v>
      </c>
    </row>
    <row r="406">
      <c r="C406">
        <f>[1]发票导入!C406&amp;""</f>
      </c>
      <c r="D406">
        <f>[1]发票导入!D406&amp;""</f>
      </c>
      <c r="O406">
        <f>[1]发票导入!O406&amp;""</f>
      </c>
      <c r="T406">
        <f>[1]发票导入!T406</f>
      </c>
      <c r="U406">
        <f>[1]发票导入!U406&amp;""</f>
      </c>
      <c r="V406">
        <f>[1]发票导入!V406&amp;""</f>
      </c>
      <c r="W406">
        <f>[1]发票导入!W406&amp;""</f>
      </c>
      <c r="Y406">
        <f>[1]发票导入!Y406&amp;""</f>
      </c>
      <c r="AA406">
        <f>[1]发票导入!AA406&amp;""</f>
      </c>
      <c r="AB406">
        <f>[1]发票导入!AB406</f>
        <v>0</v>
      </c>
      <c r="AC406">
        <f>[1]发票导入!AC406</f>
        <v>0</v>
      </c>
      <c r="AE406" s="22">
        <f t="shared" si="0"/>
      </c>
      <c r="AI406">
        <f>[1]发票导入!AI406&amp;""</f>
      </c>
      <c r="AJ406">
        <f>[1]发票导入!AJ406&amp;""</f>
      </c>
      <c r="AK406">
        <f>[1]发票导入!AK406</f>
        <v>0</v>
      </c>
      <c r="AL406">
        <f>[1]发票导入!AL406</f>
        <v>0</v>
      </c>
      <c r="AM406">
        <f>[1]发票导入!AM406</f>
        <v>0</v>
      </c>
      <c r="AN406" s="22">
        <f t="shared" si="1"/>
        <v>0</v>
      </c>
      <c r="AO406" s="22">
        <f t="shared" si="2"/>
        <v>0</v>
      </c>
    </row>
    <row r="407">
      <c r="C407">
        <f>[1]发票导入!C407&amp;""</f>
      </c>
      <c r="D407">
        <f>[1]发票导入!D407&amp;""</f>
      </c>
      <c r="O407">
        <f>[1]发票导入!O407&amp;""</f>
      </c>
      <c r="T407">
        <f>[1]发票导入!T407</f>
      </c>
      <c r="U407">
        <f>[1]发票导入!U407&amp;""</f>
      </c>
      <c r="V407">
        <f>[1]发票导入!V407&amp;""</f>
      </c>
      <c r="W407">
        <f>[1]发票导入!W407&amp;""</f>
      </c>
      <c r="Y407">
        <f>[1]发票导入!Y407&amp;""</f>
      </c>
      <c r="AA407">
        <f>[1]发票导入!AA407&amp;""</f>
      </c>
      <c r="AB407">
        <f>[1]发票导入!AB407</f>
        <v>0</v>
      </c>
      <c r="AC407">
        <f>[1]发票导入!AC407</f>
        <v>0</v>
      </c>
      <c r="AE407" s="22">
        <f t="shared" si="0"/>
      </c>
      <c r="AI407">
        <f>[1]发票导入!AI407&amp;""</f>
      </c>
      <c r="AJ407">
        <f>[1]发票导入!AJ407&amp;""</f>
      </c>
      <c r="AK407">
        <f>[1]发票导入!AK407</f>
        <v>0</v>
      </c>
      <c r="AL407">
        <f>[1]发票导入!AL407</f>
        <v>0</v>
      </c>
      <c r="AM407">
        <f>[1]发票导入!AM407</f>
        <v>0</v>
      </c>
      <c r="AN407" s="22">
        <f t="shared" si="1"/>
        <v>0</v>
      </c>
      <c r="AO407" s="22">
        <f t="shared" si="2"/>
        <v>0</v>
      </c>
    </row>
    <row r="408">
      <c r="C408">
        <f>[1]发票导入!C408&amp;""</f>
      </c>
      <c r="D408">
        <f>[1]发票导入!D408&amp;""</f>
      </c>
      <c r="O408">
        <f>[1]发票导入!O408&amp;""</f>
      </c>
      <c r="T408">
        <f>[1]发票导入!T408</f>
      </c>
      <c r="U408">
        <f>[1]发票导入!U408&amp;""</f>
      </c>
      <c r="V408">
        <f>[1]发票导入!V408&amp;""</f>
      </c>
      <c r="W408">
        <f>[1]发票导入!W408&amp;""</f>
      </c>
      <c r="Y408">
        <f>[1]发票导入!Y408&amp;""</f>
      </c>
      <c r="AA408">
        <f>[1]发票导入!AA408&amp;""</f>
      </c>
      <c r="AB408">
        <f>[1]发票导入!AB408</f>
        <v>0</v>
      </c>
      <c r="AC408">
        <f>[1]发票导入!AC408</f>
        <v>0</v>
      </c>
      <c r="AE408" s="22">
        <f t="shared" si="0"/>
      </c>
      <c r="AI408">
        <f>[1]发票导入!AI408&amp;""</f>
      </c>
      <c r="AJ408">
        <f>[1]发票导入!AJ408&amp;""</f>
      </c>
      <c r="AK408">
        <f>[1]发票导入!AK408</f>
        <v>0</v>
      </c>
      <c r="AL408">
        <f>[1]发票导入!AL408</f>
        <v>0</v>
      </c>
      <c r="AM408">
        <f>[1]发票导入!AM408</f>
        <v>0</v>
      </c>
      <c r="AN408" s="22">
        <f t="shared" si="1"/>
        <v>0</v>
      </c>
      <c r="AO408" s="22">
        <f t="shared" si="2"/>
        <v>0</v>
      </c>
    </row>
    <row r="409">
      <c r="C409">
        <f>[1]发票导入!C409&amp;""</f>
      </c>
      <c r="D409">
        <f>[1]发票导入!D409&amp;""</f>
      </c>
      <c r="O409">
        <f>[1]发票导入!O409&amp;""</f>
      </c>
      <c r="T409">
        <f>[1]发票导入!T409</f>
      </c>
      <c r="U409">
        <f>[1]发票导入!U409&amp;""</f>
      </c>
      <c r="V409">
        <f>[1]发票导入!V409&amp;""</f>
      </c>
      <c r="W409">
        <f>[1]发票导入!W409&amp;""</f>
      </c>
      <c r="Y409">
        <f>[1]发票导入!Y409&amp;""</f>
      </c>
      <c r="AA409">
        <f>[1]发票导入!AA409&amp;""</f>
      </c>
      <c r="AB409">
        <f>[1]发票导入!AB409</f>
        <v>0</v>
      </c>
      <c r="AC409">
        <f>[1]发票导入!AC409</f>
        <v>0</v>
      </c>
      <c r="AE409" s="22">
        <f t="shared" si="0"/>
      </c>
      <c r="AI409">
        <f>[1]发票导入!AI409&amp;""</f>
      </c>
      <c r="AJ409">
        <f>[1]发票导入!AJ409&amp;""</f>
      </c>
      <c r="AK409">
        <f>[1]发票导入!AK409</f>
        <v>0</v>
      </c>
      <c r="AL409">
        <f>[1]发票导入!AL409</f>
        <v>0</v>
      </c>
      <c r="AM409">
        <f>[1]发票导入!AM409</f>
        <v>0</v>
      </c>
      <c r="AN409" s="22">
        <f t="shared" si="1"/>
        <v>0</v>
      </c>
      <c r="AO409" s="22">
        <f t="shared" si="2"/>
        <v>0</v>
      </c>
    </row>
    <row r="410">
      <c r="C410">
        <f>[1]发票导入!C410&amp;""</f>
      </c>
      <c r="D410">
        <f>[1]发票导入!D410&amp;""</f>
      </c>
      <c r="O410">
        <f>[1]发票导入!O410&amp;""</f>
      </c>
      <c r="T410">
        <f>[1]发票导入!T410</f>
      </c>
      <c r="U410">
        <f>[1]发票导入!U410&amp;""</f>
      </c>
      <c r="V410">
        <f>[1]发票导入!V410&amp;""</f>
      </c>
      <c r="W410">
        <f>[1]发票导入!W410&amp;""</f>
      </c>
      <c r="Y410">
        <f>[1]发票导入!Y410&amp;""</f>
      </c>
      <c r="AA410">
        <f>[1]发票导入!AA410&amp;""</f>
      </c>
      <c r="AB410">
        <f>[1]发票导入!AB410</f>
        <v>0</v>
      </c>
      <c r="AC410">
        <f>[1]发票导入!AC410</f>
        <v>0</v>
      </c>
      <c r="AE410" s="22">
        <f t="shared" si="0"/>
      </c>
      <c r="AI410">
        <f>[1]发票导入!AI410&amp;""</f>
      </c>
      <c r="AJ410">
        <f>[1]发票导入!AJ410&amp;""</f>
      </c>
      <c r="AK410">
        <f>[1]发票导入!AK410</f>
        <v>0</v>
      </c>
      <c r="AL410">
        <f>[1]发票导入!AL410</f>
        <v>0</v>
      </c>
      <c r="AM410">
        <f>[1]发票导入!AM410</f>
        <v>0</v>
      </c>
      <c r="AN410" s="22">
        <f t="shared" si="1"/>
        <v>0</v>
      </c>
      <c r="AO410" s="22">
        <f t="shared" si="2"/>
        <v>0</v>
      </c>
    </row>
    <row r="411">
      <c r="C411">
        <f>[1]发票导入!C411&amp;""</f>
      </c>
      <c r="D411">
        <f>[1]发票导入!D411&amp;""</f>
      </c>
      <c r="O411">
        <f>[1]发票导入!O411&amp;""</f>
      </c>
      <c r="T411">
        <f>[1]发票导入!T411</f>
      </c>
      <c r="U411">
        <f>[1]发票导入!U411&amp;""</f>
      </c>
      <c r="V411">
        <f>[1]发票导入!V411&amp;""</f>
      </c>
      <c r="W411">
        <f>[1]发票导入!W411&amp;""</f>
      </c>
      <c r="Y411">
        <f>[1]发票导入!Y411&amp;""</f>
      </c>
      <c r="AA411">
        <f>[1]发票导入!AA411&amp;""</f>
      </c>
      <c r="AB411">
        <f>[1]发票导入!AB411</f>
        <v>0</v>
      </c>
      <c r="AC411">
        <f>[1]发票导入!AC411</f>
        <v>0</v>
      </c>
      <c r="AE411" s="22">
        <f t="shared" si="0"/>
      </c>
      <c r="AI411">
        <f>[1]发票导入!AI411&amp;""</f>
      </c>
      <c r="AJ411">
        <f>[1]发票导入!AJ411&amp;""</f>
      </c>
      <c r="AK411">
        <f>[1]发票导入!AK411</f>
        <v>0</v>
      </c>
      <c r="AL411">
        <f>[1]发票导入!AL411</f>
        <v>0</v>
      </c>
      <c r="AM411">
        <f>[1]发票导入!AM411</f>
        <v>0</v>
      </c>
      <c r="AN411" s="22">
        <f t="shared" si="1"/>
        <v>0</v>
      </c>
      <c r="AO411" s="22">
        <f t="shared" si="2"/>
        <v>0</v>
      </c>
    </row>
    <row r="412">
      <c r="C412">
        <f>[1]发票导入!C412&amp;""</f>
      </c>
      <c r="D412">
        <f>[1]发票导入!D412&amp;""</f>
      </c>
      <c r="O412">
        <f>[1]发票导入!O412&amp;""</f>
      </c>
      <c r="T412">
        <f>[1]发票导入!T412</f>
      </c>
      <c r="U412">
        <f>[1]发票导入!U412&amp;""</f>
      </c>
      <c r="V412">
        <f>[1]发票导入!V412&amp;""</f>
      </c>
      <c r="W412">
        <f>[1]发票导入!W412&amp;""</f>
      </c>
      <c r="Y412">
        <f>[1]发票导入!Y412&amp;""</f>
      </c>
      <c r="AA412">
        <f>[1]发票导入!AA412&amp;""</f>
      </c>
      <c r="AB412">
        <f>[1]发票导入!AB412</f>
        <v>0</v>
      </c>
      <c r="AC412">
        <f>[1]发票导入!AC412</f>
        <v>0</v>
      </c>
      <c r="AE412" s="22">
        <f t="shared" si="0"/>
      </c>
      <c r="AI412">
        <f>[1]发票导入!AI412&amp;""</f>
      </c>
      <c r="AJ412">
        <f>[1]发票导入!AJ412&amp;""</f>
      </c>
      <c r="AK412">
        <f>[1]发票导入!AK412</f>
        <v>0</v>
      </c>
      <c r="AL412">
        <f>[1]发票导入!AL412</f>
        <v>0</v>
      </c>
      <c r="AM412">
        <f>[1]发票导入!AM412</f>
        <v>0</v>
      </c>
      <c r="AN412" s="22">
        <f t="shared" si="1"/>
        <v>0</v>
      </c>
      <c r="AO412" s="22">
        <f t="shared" si="2"/>
        <v>0</v>
      </c>
    </row>
    <row r="413">
      <c r="C413">
        <f>[1]发票导入!C413&amp;""</f>
      </c>
      <c r="D413">
        <f>[1]发票导入!D413&amp;""</f>
      </c>
      <c r="O413">
        <f>[1]发票导入!O413&amp;""</f>
      </c>
      <c r="T413">
        <f>[1]发票导入!T413</f>
      </c>
      <c r="U413">
        <f>[1]发票导入!U413&amp;""</f>
      </c>
      <c r="V413">
        <f>[1]发票导入!V413&amp;""</f>
      </c>
      <c r="W413">
        <f>[1]发票导入!W413&amp;""</f>
      </c>
      <c r="Y413">
        <f>[1]发票导入!Y413&amp;""</f>
      </c>
      <c r="AA413">
        <f>[1]发票导入!AA413&amp;""</f>
      </c>
      <c r="AB413">
        <f>[1]发票导入!AB413</f>
        <v>0</v>
      </c>
      <c r="AC413">
        <f>[1]发票导入!AC413</f>
        <v>0</v>
      </c>
      <c r="AE413" s="22">
        <f t="shared" si="0"/>
      </c>
      <c r="AI413">
        <f>[1]发票导入!AI413&amp;""</f>
      </c>
      <c r="AJ413">
        <f>[1]发票导入!AJ413&amp;""</f>
      </c>
      <c r="AK413">
        <f>[1]发票导入!AK413</f>
        <v>0</v>
      </c>
      <c r="AL413">
        <f>[1]发票导入!AL413</f>
        <v>0</v>
      </c>
      <c r="AM413">
        <f>[1]发票导入!AM413</f>
        <v>0</v>
      </c>
      <c r="AN413" s="22">
        <f t="shared" si="1"/>
        <v>0</v>
      </c>
      <c r="AO413" s="22">
        <f t="shared" si="2"/>
        <v>0</v>
      </c>
    </row>
    <row r="414">
      <c r="C414">
        <f>[1]发票导入!C414&amp;""</f>
      </c>
      <c r="D414">
        <f>[1]发票导入!D414&amp;""</f>
      </c>
      <c r="O414">
        <f>[1]发票导入!O414&amp;""</f>
      </c>
      <c r="T414">
        <f>[1]发票导入!T414</f>
      </c>
      <c r="U414">
        <f>[1]发票导入!U414&amp;""</f>
      </c>
      <c r="V414">
        <f>[1]发票导入!V414&amp;""</f>
      </c>
      <c r="W414">
        <f>[1]发票导入!W414&amp;""</f>
      </c>
      <c r="Y414">
        <f>[1]发票导入!Y414&amp;""</f>
      </c>
      <c r="AA414">
        <f>[1]发票导入!AA414&amp;""</f>
      </c>
      <c r="AB414">
        <f>[1]发票导入!AB414</f>
        <v>0</v>
      </c>
      <c r="AC414">
        <f>[1]发票导入!AC414</f>
        <v>0</v>
      </c>
      <c r="AE414" s="22">
        <f t="shared" si="0"/>
      </c>
      <c r="AI414">
        <f>[1]发票导入!AI414&amp;""</f>
      </c>
      <c r="AJ414">
        <f>[1]发票导入!AJ414&amp;""</f>
      </c>
      <c r="AK414">
        <f>[1]发票导入!AK414</f>
        <v>0</v>
      </c>
      <c r="AL414">
        <f>[1]发票导入!AL414</f>
        <v>0</v>
      </c>
      <c r="AM414">
        <f>[1]发票导入!AM414</f>
        <v>0</v>
      </c>
      <c r="AN414" s="22">
        <f t="shared" si="1"/>
        <v>0</v>
      </c>
      <c r="AO414" s="22">
        <f t="shared" si="2"/>
        <v>0</v>
      </c>
    </row>
    <row r="415">
      <c r="C415">
        <f>[1]发票导入!C415&amp;""</f>
      </c>
      <c r="D415">
        <f>[1]发票导入!D415&amp;""</f>
      </c>
      <c r="O415">
        <f>[1]发票导入!O415&amp;""</f>
      </c>
      <c r="T415">
        <f>[1]发票导入!T415</f>
      </c>
      <c r="U415">
        <f>[1]发票导入!U415&amp;""</f>
      </c>
      <c r="V415">
        <f>[1]发票导入!V415&amp;""</f>
      </c>
      <c r="W415">
        <f>[1]发票导入!W415&amp;""</f>
      </c>
      <c r="Y415">
        <f>[1]发票导入!Y415&amp;""</f>
      </c>
      <c r="AA415">
        <f>[1]发票导入!AA415&amp;""</f>
      </c>
      <c r="AB415">
        <f>[1]发票导入!AB415</f>
        <v>0</v>
      </c>
      <c r="AC415">
        <f>[1]发票导入!AC415</f>
        <v>0</v>
      </c>
      <c r="AE415" s="22">
        <f t="shared" si="0"/>
      </c>
      <c r="AI415">
        <f>[1]发票导入!AI415&amp;""</f>
      </c>
      <c r="AJ415">
        <f>[1]发票导入!AJ415&amp;""</f>
      </c>
      <c r="AK415">
        <f>[1]发票导入!AK415</f>
        <v>0</v>
      </c>
      <c r="AL415">
        <f>[1]发票导入!AL415</f>
        <v>0</v>
      </c>
      <c r="AM415">
        <f>[1]发票导入!AM415</f>
        <v>0</v>
      </c>
      <c r="AN415" s="22">
        <f t="shared" si="1"/>
        <v>0</v>
      </c>
      <c r="AO415" s="22">
        <f t="shared" si="2"/>
        <v>0</v>
      </c>
    </row>
    <row r="416">
      <c r="C416">
        <f>[1]发票导入!C416&amp;""</f>
      </c>
      <c r="D416">
        <f>[1]发票导入!D416&amp;""</f>
      </c>
      <c r="O416">
        <f>[1]发票导入!O416&amp;""</f>
      </c>
      <c r="T416">
        <f>[1]发票导入!T416</f>
      </c>
      <c r="U416">
        <f>[1]发票导入!U416&amp;""</f>
      </c>
      <c r="V416">
        <f>[1]发票导入!V416&amp;""</f>
      </c>
      <c r="W416">
        <f>[1]发票导入!W416&amp;""</f>
      </c>
      <c r="Y416">
        <f>[1]发票导入!Y416&amp;""</f>
      </c>
      <c r="AA416">
        <f>[1]发票导入!AA416&amp;""</f>
      </c>
      <c r="AB416">
        <f>[1]发票导入!AB416</f>
        <v>0</v>
      </c>
      <c r="AC416">
        <f>[1]发票导入!AC416</f>
        <v>0</v>
      </c>
      <c r="AE416" s="22">
        <f t="shared" si="0"/>
      </c>
      <c r="AI416">
        <f>[1]发票导入!AI416&amp;""</f>
      </c>
      <c r="AJ416">
        <f>[1]发票导入!AJ416&amp;""</f>
      </c>
      <c r="AK416">
        <f>[1]发票导入!AK416</f>
        <v>0</v>
      </c>
      <c r="AL416">
        <f>[1]发票导入!AL416</f>
        <v>0</v>
      </c>
      <c r="AM416">
        <f>[1]发票导入!AM416</f>
        <v>0</v>
      </c>
      <c r="AN416" s="22">
        <f t="shared" si="1"/>
        <v>0</v>
      </c>
      <c r="AO416" s="22">
        <f t="shared" si="2"/>
        <v>0</v>
      </c>
    </row>
    <row r="417">
      <c r="C417">
        <f>[1]发票导入!C417&amp;""</f>
      </c>
      <c r="D417">
        <f>[1]发票导入!D417&amp;""</f>
      </c>
      <c r="O417">
        <f>[1]发票导入!O417&amp;""</f>
      </c>
      <c r="T417">
        <f>[1]发票导入!T417</f>
      </c>
      <c r="U417">
        <f>[1]发票导入!U417&amp;""</f>
      </c>
      <c r="V417">
        <f>[1]发票导入!V417&amp;""</f>
      </c>
      <c r="W417">
        <f>[1]发票导入!W417&amp;""</f>
      </c>
      <c r="Y417">
        <f>[1]发票导入!Y417&amp;""</f>
      </c>
      <c r="AA417">
        <f>[1]发票导入!AA417&amp;""</f>
      </c>
      <c r="AB417">
        <f>[1]发票导入!AB417</f>
        <v>0</v>
      </c>
      <c r="AC417">
        <f>[1]发票导入!AC417</f>
        <v>0</v>
      </c>
      <c r="AE417" s="22">
        <f t="shared" si="0"/>
      </c>
      <c r="AI417">
        <f>[1]发票导入!AI417&amp;""</f>
      </c>
      <c r="AJ417">
        <f>[1]发票导入!AJ417&amp;""</f>
      </c>
      <c r="AK417">
        <f>[1]发票导入!AK417</f>
        <v>0</v>
      </c>
      <c r="AL417">
        <f>[1]发票导入!AL417</f>
        <v>0</v>
      </c>
      <c r="AM417">
        <f>[1]发票导入!AM417</f>
        <v>0</v>
      </c>
      <c r="AN417" s="22">
        <f t="shared" si="1"/>
        <v>0</v>
      </c>
      <c r="AO417" s="22">
        <f t="shared" si="2"/>
        <v>0</v>
      </c>
    </row>
    <row r="418">
      <c r="C418">
        <f>[1]发票导入!C418&amp;""</f>
      </c>
      <c r="D418">
        <f>[1]发票导入!D418&amp;""</f>
      </c>
      <c r="O418">
        <f>[1]发票导入!O418&amp;""</f>
      </c>
      <c r="T418">
        <f>[1]发票导入!T418</f>
      </c>
      <c r="U418">
        <f>[1]发票导入!U418&amp;""</f>
      </c>
      <c r="V418">
        <f>[1]发票导入!V418&amp;""</f>
      </c>
      <c r="W418">
        <f>[1]发票导入!W418&amp;""</f>
      </c>
      <c r="Y418">
        <f>[1]发票导入!Y418&amp;""</f>
      </c>
      <c r="AA418">
        <f>[1]发票导入!AA418&amp;""</f>
      </c>
      <c r="AB418">
        <f>[1]发票导入!AB418</f>
        <v>0</v>
      </c>
      <c r="AC418">
        <f>[1]发票导入!AC418</f>
        <v>0</v>
      </c>
      <c r="AE418" s="22">
        <f t="shared" si="0"/>
      </c>
      <c r="AI418">
        <f>[1]发票导入!AI418&amp;""</f>
      </c>
      <c r="AJ418">
        <f>[1]发票导入!AJ418&amp;""</f>
      </c>
      <c r="AK418">
        <f>[1]发票导入!AK418</f>
        <v>0</v>
      </c>
      <c r="AL418">
        <f>[1]发票导入!AL418</f>
        <v>0</v>
      </c>
      <c r="AM418">
        <f>[1]发票导入!AM418</f>
        <v>0</v>
      </c>
      <c r="AN418" s="22">
        <f t="shared" si="1"/>
        <v>0</v>
      </c>
      <c r="AO418" s="22">
        <f t="shared" si="2"/>
        <v>0</v>
      </c>
    </row>
    <row r="419">
      <c r="C419">
        <f>[1]发票导入!C419&amp;""</f>
      </c>
      <c r="D419">
        <f>[1]发票导入!D419&amp;""</f>
      </c>
      <c r="O419">
        <f>[1]发票导入!O419&amp;""</f>
      </c>
      <c r="T419">
        <f>[1]发票导入!T419</f>
      </c>
      <c r="U419">
        <f>[1]发票导入!U419&amp;""</f>
      </c>
      <c r="V419">
        <f>[1]发票导入!V419&amp;""</f>
      </c>
      <c r="W419">
        <f>[1]发票导入!W419&amp;""</f>
      </c>
      <c r="Y419">
        <f>[1]发票导入!Y419&amp;""</f>
      </c>
      <c r="AA419">
        <f>[1]发票导入!AA419&amp;""</f>
      </c>
      <c r="AB419">
        <f>[1]发票导入!AB419</f>
        <v>0</v>
      </c>
      <c r="AC419">
        <f>[1]发票导入!AC419</f>
        <v>0</v>
      </c>
      <c r="AE419" s="22">
        <f t="shared" si="0"/>
      </c>
      <c r="AI419">
        <f>[1]发票导入!AI419&amp;""</f>
      </c>
      <c r="AJ419">
        <f>[1]发票导入!AJ419&amp;""</f>
      </c>
      <c r="AK419">
        <f>[1]发票导入!AK419</f>
        <v>0</v>
      </c>
      <c r="AL419">
        <f>[1]发票导入!AL419</f>
        <v>0</v>
      </c>
      <c r="AM419">
        <f>[1]发票导入!AM419</f>
        <v>0</v>
      </c>
      <c r="AN419" s="22">
        <f t="shared" si="1"/>
        <v>0</v>
      </c>
      <c r="AO419" s="22">
        <f t="shared" si="2"/>
        <v>0</v>
      </c>
    </row>
    <row r="420">
      <c r="C420">
        <f>[1]发票导入!C420&amp;""</f>
      </c>
      <c r="D420">
        <f>[1]发票导入!D420&amp;""</f>
      </c>
      <c r="O420">
        <f>[1]发票导入!O420&amp;""</f>
      </c>
      <c r="T420">
        <f>[1]发票导入!T420</f>
      </c>
      <c r="U420">
        <f>[1]发票导入!U420&amp;""</f>
      </c>
      <c r="V420">
        <f>[1]发票导入!V420&amp;""</f>
      </c>
      <c r="W420">
        <f>[1]发票导入!W420&amp;""</f>
      </c>
      <c r="Y420">
        <f>[1]发票导入!Y420&amp;""</f>
      </c>
      <c r="AA420">
        <f>[1]发票导入!AA420&amp;""</f>
      </c>
      <c r="AB420">
        <f>[1]发票导入!AB420</f>
        <v>0</v>
      </c>
      <c r="AC420">
        <f>[1]发票导入!AC420</f>
        <v>0</v>
      </c>
      <c r="AE420" s="22">
        <f t="shared" si="0"/>
      </c>
      <c r="AI420">
        <f>[1]发票导入!AI420&amp;""</f>
      </c>
      <c r="AJ420">
        <f>[1]发票导入!AJ420&amp;""</f>
      </c>
      <c r="AK420">
        <f>[1]发票导入!AK420</f>
        <v>0</v>
      </c>
      <c r="AL420">
        <f>[1]发票导入!AL420</f>
        <v>0</v>
      </c>
      <c r="AM420">
        <f>[1]发票导入!AM420</f>
        <v>0</v>
      </c>
      <c r="AN420" s="22">
        <f t="shared" si="1"/>
        <v>0</v>
      </c>
      <c r="AO420" s="22">
        <f t="shared" si="2"/>
        <v>0</v>
      </c>
    </row>
    <row r="421">
      <c r="C421">
        <f>[1]发票导入!C421&amp;""</f>
      </c>
      <c r="D421">
        <f>[1]发票导入!D421&amp;""</f>
      </c>
      <c r="O421">
        <f>[1]发票导入!O421&amp;""</f>
      </c>
      <c r="T421">
        <f>[1]发票导入!T421</f>
      </c>
      <c r="U421">
        <f>[1]发票导入!U421&amp;""</f>
      </c>
      <c r="V421">
        <f>[1]发票导入!V421&amp;""</f>
      </c>
      <c r="W421">
        <f>[1]发票导入!W421&amp;""</f>
      </c>
      <c r="Y421">
        <f>[1]发票导入!Y421&amp;""</f>
      </c>
      <c r="AA421">
        <f>[1]发票导入!AA421&amp;""</f>
      </c>
      <c r="AB421">
        <f>[1]发票导入!AB421</f>
        <v>0</v>
      </c>
      <c r="AC421">
        <f>[1]发票导入!AC421</f>
        <v>0</v>
      </c>
      <c r="AE421" s="22">
        <f t="shared" si="0"/>
      </c>
      <c r="AI421">
        <f>[1]发票导入!AI421&amp;""</f>
      </c>
      <c r="AJ421">
        <f>[1]发票导入!AJ421&amp;""</f>
      </c>
      <c r="AK421">
        <f>[1]发票导入!AK421</f>
        <v>0</v>
      </c>
      <c r="AL421">
        <f>[1]发票导入!AL421</f>
        <v>0</v>
      </c>
      <c r="AM421">
        <f>[1]发票导入!AM421</f>
        <v>0</v>
      </c>
      <c r="AN421" s="22">
        <f t="shared" si="1"/>
        <v>0</v>
      </c>
      <c r="AO421" s="22">
        <f t="shared" si="2"/>
        <v>0</v>
      </c>
    </row>
    <row r="422">
      <c r="C422">
        <f>[1]发票导入!C422&amp;""</f>
      </c>
      <c r="D422">
        <f>[1]发票导入!D422&amp;""</f>
      </c>
      <c r="O422">
        <f>[1]发票导入!O422&amp;""</f>
      </c>
      <c r="T422">
        <f>[1]发票导入!T422</f>
      </c>
      <c r="U422">
        <f>[1]发票导入!U422&amp;""</f>
      </c>
      <c r="V422">
        <f>[1]发票导入!V422&amp;""</f>
      </c>
      <c r="W422">
        <f>[1]发票导入!W422&amp;""</f>
      </c>
      <c r="Y422">
        <f>[1]发票导入!Y422&amp;""</f>
      </c>
      <c r="AA422">
        <f>[1]发票导入!AA422&amp;""</f>
      </c>
      <c r="AB422">
        <f>[1]发票导入!AB422</f>
        <v>0</v>
      </c>
      <c r="AC422">
        <f>[1]发票导入!AC422</f>
        <v>0</v>
      </c>
      <c r="AE422" s="22">
        <f t="shared" si="0"/>
      </c>
      <c r="AI422">
        <f>[1]发票导入!AI422&amp;""</f>
      </c>
      <c r="AJ422">
        <f>[1]发票导入!AJ422&amp;""</f>
      </c>
      <c r="AK422">
        <f>[1]发票导入!AK422</f>
        <v>0</v>
      </c>
      <c r="AL422">
        <f>[1]发票导入!AL422</f>
        <v>0</v>
      </c>
      <c r="AM422">
        <f>[1]发票导入!AM422</f>
        <v>0</v>
      </c>
      <c r="AN422" s="22">
        <f t="shared" si="1"/>
        <v>0</v>
      </c>
      <c r="AO422" s="22">
        <f t="shared" si="2"/>
        <v>0</v>
      </c>
    </row>
    <row r="423">
      <c r="C423">
        <f>[1]发票导入!C423&amp;""</f>
      </c>
      <c r="D423">
        <f>[1]发票导入!D423&amp;""</f>
      </c>
      <c r="O423">
        <f>[1]发票导入!O423&amp;""</f>
      </c>
      <c r="T423">
        <f>[1]发票导入!T423</f>
      </c>
      <c r="U423">
        <f>[1]发票导入!U423&amp;""</f>
      </c>
      <c r="V423">
        <f>[1]发票导入!V423&amp;""</f>
      </c>
      <c r="W423">
        <f>[1]发票导入!W423&amp;""</f>
      </c>
      <c r="Y423">
        <f>[1]发票导入!Y423&amp;""</f>
      </c>
      <c r="AA423">
        <f>[1]发票导入!AA423&amp;""</f>
      </c>
      <c r="AB423">
        <f>[1]发票导入!AB423</f>
        <v>0</v>
      </c>
      <c r="AC423">
        <f>[1]发票导入!AC423</f>
        <v>0</v>
      </c>
      <c r="AE423" s="22">
        <f t="shared" si="0"/>
      </c>
      <c r="AI423">
        <f>[1]发票导入!AI423&amp;""</f>
      </c>
      <c r="AJ423">
        <f>[1]发票导入!AJ423&amp;""</f>
      </c>
      <c r="AK423">
        <f>[1]发票导入!AK423</f>
        <v>0</v>
      </c>
      <c r="AL423">
        <f>[1]发票导入!AL423</f>
        <v>0</v>
      </c>
      <c r="AM423">
        <f>[1]发票导入!AM423</f>
        <v>0</v>
      </c>
      <c r="AN423" s="22">
        <f t="shared" si="1"/>
        <v>0</v>
      </c>
      <c r="AO423" s="22">
        <f t="shared" si="2"/>
        <v>0</v>
      </c>
    </row>
    <row r="424">
      <c r="C424">
        <f>[1]发票导入!C424&amp;""</f>
      </c>
      <c r="D424">
        <f>[1]发票导入!D424&amp;""</f>
      </c>
      <c r="O424">
        <f>[1]发票导入!O424&amp;""</f>
      </c>
      <c r="T424">
        <f>[1]发票导入!T424</f>
      </c>
      <c r="U424">
        <f>[1]发票导入!U424&amp;""</f>
      </c>
      <c r="V424">
        <f>[1]发票导入!V424&amp;""</f>
      </c>
      <c r="W424">
        <f>[1]发票导入!W424&amp;""</f>
      </c>
      <c r="Y424">
        <f>[1]发票导入!Y424&amp;""</f>
      </c>
      <c r="AA424">
        <f>[1]发票导入!AA424&amp;""</f>
      </c>
      <c r="AB424">
        <f>[1]发票导入!AB424</f>
        <v>0</v>
      </c>
      <c r="AC424">
        <f>[1]发票导入!AC424</f>
        <v>0</v>
      </c>
      <c r="AE424" s="22">
        <f t="shared" si="0"/>
      </c>
      <c r="AI424">
        <f>[1]发票导入!AI424&amp;""</f>
      </c>
      <c r="AJ424">
        <f>[1]发票导入!AJ424&amp;""</f>
      </c>
      <c r="AK424">
        <f>[1]发票导入!AK424</f>
        <v>0</v>
      </c>
      <c r="AL424">
        <f>[1]发票导入!AL424</f>
        <v>0</v>
      </c>
      <c r="AM424">
        <f>[1]发票导入!AM424</f>
        <v>0</v>
      </c>
      <c r="AN424" s="22">
        <f t="shared" si="1"/>
        <v>0</v>
      </c>
      <c r="AO424" s="22">
        <f t="shared" si="2"/>
        <v>0</v>
      </c>
    </row>
    <row r="425">
      <c r="C425">
        <f>[1]发票导入!C425&amp;""</f>
      </c>
      <c r="D425">
        <f>[1]发票导入!D425&amp;""</f>
      </c>
      <c r="O425">
        <f>[1]发票导入!O425&amp;""</f>
      </c>
      <c r="T425">
        <f>[1]发票导入!T425</f>
      </c>
      <c r="U425">
        <f>[1]发票导入!U425&amp;""</f>
      </c>
      <c r="V425">
        <f>[1]发票导入!V425&amp;""</f>
      </c>
      <c r="W425">
        <f>[1]发票导入!W425&amp;""</f>
      </c>
      <c r="Y425">
        <f>[1]发票导入!Y425&amp;""</f>
      </c>
      <c r="AA425">
        <f>[1]发票导入!AA425&amp;""</f>
      </c>
      <c r="AB425">
        <f>[1]发票导入!AB425</f>
        <v>0</v>
      </c>
      <c r="AC425">
        <f>[1]发票导入!AC425</f>
        <v>0</v>
      </c>
      <c r="AE425" s="22">
        <f t="shared" si="0"/>
      </c>
      <c r="AI425">
        <f>[1]发票导入!AI425&amp;""</f>
      </c>
      <c r="AJ425">
        <f>[1]发票导入!AJ425&amp;""</f>
      </c>
      <c r="AK425">
        <f>[1]发票导入!AK425</f>
        <v>0</v>
      </c>
      <c r="AL425">
        <f>[1]发票导入!AL425</f>
        <v>0</v>
      </c>
      <c r="AM425">
        <f>[1]发票导入!AM425</f>
        <v>0</v>
      </c>
      <c r="AN425" s="22">
        <f t="shared" si="1"/>
        <v>0</v>
      </c>
      <c r="AO425" s="22">
        <f t="shared" si="2"/>
        <v>0</v>
      </c>
    </row>
    <row r="426">
      <c r="C426">
        <f>[1]发票导入!C426&amp;""</f>
      </c>
      <c r="D426">
        <f>[1]发票导入!D426&amp;""</f>
      </c>
      <c r="O426">
        <f>[1]发票导入!O426&amp;""</f>
      </c>
      <c r="T426">
        <f>[1]发票导入!T426</f>
      </c>
      <c r="U426">
        <f>[1]发票导入!U426&amp;""</f>
      </c>
      <c r="V426">
        <f>[1]发票导入!V426&amp;""</f>
      </c>
      <c r="W426">
        <f>[1]发票导入!W426&amp;""</f>
      </c>
      <c r="Y426">
        <f>[1]发票导入!Y426&amp;""</f>
      </c>
      <c r="AA426">
        <f>[1]发票导入!AA426&amp;""</f>
      </c>
      <c r="AB426">
        <f>[1]发票导入!AB426</f>
        <v>0</v>
      </c>
      <c r="AC426">
        <f>[1]发票导入!AC426</f>
        <v>0</v>
      </c>
      <c r="AE426" s="22">
        <f t="shared" si="0"/>
      </c>
      <c r="AI426">
        <f>[1]发票导入!AI426&amp;""</f>
      </c>
      <c r="AJ426">
        <f>[1]发票导入!AJ426&amp;""</f>
      </c>
      <c r="AK426">
        <f>[1]发票导入!AK426</f>
        <v>0</v>
      </c>
      <c r="AL426">
        <f>[1]发票导入!AL426</f>
        <v>0</v>
      </c>
      <c r="AM426">
        <f>[1]发票导入!AM426</f>
        <v>0</v>
      </c>
      <c r="AN426" s="22">
        <f t="shared" si="1"/>
        <v>0</v>
      </c>
      <c r="AO426" s="22">
        <f t="shared" si="2"/>
        <v>0</v>
      </c>
    </row>
    <row r="427">
      <c r="C427">
        <f>[1]发票导入!C427&amp;""</f>
      </c>
      <c r="D427">
        <f>[1]发票导入!D427&amp;""</f>
      </c>
      <c r="O427">
        <f>[1]发票导入!O427&amp;""</f>
      </c>
      <c r="T427">
        <f>[1]发票导入!T427</f>
      </c>
      <c r="U427">
        <f>[1]发票导入!U427&amp;""</f>
      </c>
      <c r="V427">
        <f>[1]发票导入!V427&amp;""</f>
      </c>
      <c r="W427">
        <f>[1]发票导入!W427&amp;""</f>
      </c>
      <c r="Y427">
        <f>[1]发票导入!Y427&amp;""</f>
      </c>
      <c r="AA427">
        <f>[1]发票导入!AA427&amp;""</f>
      </c>
      <c r="AB427">
        <f>[1]发票导入!AB427</f>
        <v>0</v>
      </c>
      <c r="AC427">
        <f>[1]发票导入!AC427</f>
        <v>0</v>
      </c>
      <c r="AE427" s="22">
        <f t="shared" si="0"/>
      </c>
      <c r="AI427">
        <f>[1]发票导入!AI427&amp;""</f>
      </c>
      <c r="AJ427">
        <f>[1]发票导入!AJ427&amp;""</f>
      </c>
      <c r="AK427">
        <f>[1]发票导入!AK427</f>
        <v>0</v>
      </c>
      <c r="AL427">
        <f>[1]发票导入!AL427</f>
        <v>0</v>
      </c>
      <c r="AM427">
        <f>[1]发票导入!AM427</f>
        <v>0</v>
      </c>
      <c r="AN427" s="22">
        <f t="shared" si="1"/>
        <v>0</v>
      </c>
      <c r="AO427" s="22">
        <f t="shared" si="2"/>
        <v>0</v>
      </c>
    </row>
    <row r="428">
      <c r="C428">
        <f>[1]发票导入!C428&amp;""</f>
      </c>
      <c r="D428">
        <f>[1]发票导入!D428&amp;""</f>
      </c>
      <c r="O428">
        <f>[1]发票导入!O428&amp;""</f>
      </c>
      <c r="T428">
        <f>[1]发票导入!T428</f>
      </c>
      <c r="U428">
        <f>[1]发票导入!U428&amp;""</f>
      </c>
      <c r="V428">
        <f>[1]发票导入!V428&amp;""</f>
      </c>
      <c r="W428">
        <f>[1]发票导入!W428&amp;""</f>
      </c>
      <c r="Y428">
        <f>[1]发票导入!Y428&amp;""</f>
      </c>
      <c r="AA428">
        <f>[1]发票导入!AA428&amp;""</f>
      </c>
      <c r="AB428">
        <f>[1]发票导入!AB428</f>
        <v>0</v>
      </c>
      <c r="AC428">
        <f>[1]发票导入!AC428</f>
        <v>0</v>
      </c>
      <c r="AE428" s="22">
        <f t="shared" si="0"/>
      </c>
      <c r="AI428">
        <f>[1]发票导入!AI428&amp;""</f>
      </c>
      <c r="AJ428">
        <f>[1]发票导入!AJ428&amp;""</f>
      </c>
      <c r="AK428">
        <f>[1]发票导入!AK428</f>
        <v>0</v>
      </c>
      <c r="AL428">
        <f>[1]发票导入!AL428</f>
        <v>0</v>
      </c>
      <c r="AM428">
        <f>[1]发票导入!AM428</f>
        <v>0</v>
      </c>
      <c r="AN428" s="22">
        <f t="shared" si="1"/>
        <v>0</v>
      </c>
      <c r="AO428" s="22">
        <f t="shared" si="2"/>
        <v>0</v>
      </c>
    </row>
    <row r="429">
      <c r="C429">
        <f>[1]发票导入!C429&amp;""</f>
      </c>
      <c r="D429">
        <f>[1]发票导入!D429&amp;""</f>
      </c>
      <c r="O429">
        <f>[1]发票导入!O429&amp;""</f>
      </c>
      <c r="T429">
        <f>[1]发票导入!T429</f>
      </c>
      <c r="U429">
        <f>[1]发票导入!U429&amp;""</f>
      </c>
      <c r="V429">
        <f>[1]发票导入!V429&amp;""</f>
      </c>
      <c r="W429">
        <f>[1]发票导入!W429&amp;""</f>
      </c>
      <c r="Y429">
        <f>[1]发票导入!Y429&amp;""</f>
      </c>
      <c r="AA429">
        <f>[1]发票导入!AA429&amp;""</f>
      </c>
      <c r="AB429">
        <f>[1]发票导入!AB429</f>
        <v>0</v>
      </c>
      <c r="AC429">
        <f>[1]发票导入!AC429</f>
        <v>0</v>
      </c>
      <c r="AE429" s="22">
        <f t="shared" si="0"/>
      </c>
      <c r="AI429">
        <f>[1]发票导入!AI429&amp;""</f>
      </c>
      <c r="AJ429">
        <f>[1]发票导入!AJ429&amp;""</f>
      </c>
      <c r="AK429">
        <f>[1]发票导入!AK429</f>
        <v>0</v>
      </c>
      <c r="AL429">
        <f>[1]发票导入!AL429</f>
        <v>0</v>
      </c>
      <c r="AM429">
        <f>[1]发票导入!AM429</f>
        <v>0</v>
      </c>
      <c r="AN429" s="22">
        <f t="shared" si="1"/>
        <v>0</v>
      </c>
      <c r="AO429" s="22">
        <f t="shared" si="2"/>
        <v>0</v>
      </c>
    </row>
    <row r="430">
      <c r="C430">
        <f>[1]发票导入!C430&amp;""</f>
      </c>
      <c r="D430">
        <f>[1]发票导入!D430&amp;""</f>
      </c>
      <c r="O430">
        <f>[1]发票导入!O430&amp;""</f>
      </c>
      <c r="T430">
        <f>[1]发票导入!T430</f>
      </c>
      <c r="U430">
        <f>[1]发票导入!U430&amp;""</f>
      </c>
      <c r="V430">
        <f>[1]发票导入!V430&amp;""</f>
      </c>
      <c r="W430">
        <f>[1]发票导入!W430&amp;""</f>
      </c>
      <c r="Y430">
        <f>[1]发票导入!Y430&amp;""</f>
      </c>
      <c r="AA430">
        <f>[1]发票导入!AA430&amp;""</f>
      </c>
      <c r="AB430">
        <f>[1]发票导入!AB430</f>
        <v>0</v>
      </c>
      <c r="AC430">
        <f>[1]发票导入!AC430</f>
        <v>0</v>
      </c>
      <c r="AE430" s="22">
        <f t="shared" si="0"/>
      </c>
      <c r="AI430">
        <f>[1]发票导入!AI430&amp;""</f>
      </c>
      <c r="AJ430">
        <f>[1]发票导入!AJ430&amp;""</f>
      </c>
      <c r="AK430">
        <f>[1]发票导入!AK430</f>
        <v>0</v>
      </c>
      <c r="AL430">
        <f>[1]发票导入!AL430</f>
        <v>0</v>
      </c>
      <c r="AM430">
        <f>[1]发票导入!AM430</f>
        <v>0</v>
      </c>
      <c r="AN430" s="22">
        <f t="shared" si="1"/>
        <v>0</v>
      </c>
      <c r="AO430" s="22">
        <f t="shared" si="2"/>
        <v>0</v>
      </c>
    </row>
    <row r="431">
      <c r="C431">
        <f>[1]发票导入!C431&amp;""</f>
      </c>
      <c r="D431">
        <f>[1]发票导入!D431&amp;""</f>
      </c>
      <c r="O431">
        <f>[1]发票导入!O431&amp;""</f>
      </c>
      <c r="T431">
        <f>[1]发票导入!T431</f>
      </c>
      <c r="U431">
        <f>[1]发票导入!U431&amp;""</f>
      </c>
      <c r="V431">
        <f>[1]发票导入!V431&amp;""</f>
      </c>
      <c r="W431">
        <f>[1]发票导入!W431&amp;""</f>
      </c>
      <c r="Y431">
        <f>[1]发票导入!Y431&amp;""</f>
      </c>
      <c r="AA431">
        <f>[1]发票导入!AA431&amp;""</f>
      </c>
      <c r="AB431">
        <f>[1]发票导入!AB431</f>
        <v>0</v>
      </c>
      <c r="AC431">
        <f>[1]发票导入!AC431</f>
        <v>0</v>
      </c>
      <c r="AE431" s="22">
        <f t="shared" si="0"/>
      </c>
      <c r="AI431">
        <f>[1]发票导入!AI431&amp;""</f>
      </c>
      <c r="AJ431">
        <f>[1]发票导入!AJ431&amp;""</f>
      </c>
      <c r="AK431">
        <f>[1]发票导入!AK431</f>
        <v>0</v>
      </c>
      <c r="AL431">
        <f>[1]发票导入!AL431</f>
        <v>0</v>
      </c>
      <c r="AM431">
        <f>[1]发票导入!AM431</f>
        <v>0</v>
      </c>
      <c r="AN431" s="22">
        <f t="shared" si="1"/>
        <v>0</v>
      </c>
      <c r="AO431" s="22">
        <f t="shared" si="2"/>
        <v>0</v>
      </c>
    </row>
    <row r="432">
      <c r="C432">
        <f>[1]发票导入!C432&amp;""</f>
      </c>
      <c r="D432">
        <f>[1]发票导入!D432&amp;""</f>
      </c>
      <c r="O432">
        <f>[1]发票导入!O432&amp;""</f>
      </c>
      <c r="T432">
        <f>[1]发票导入!T432</f>
      </c>
      <c r="U432">
        <f>[1]发票导入!U432&amp;""</f>
      </c>
      <c r="V432">
        <f>[1]发票导入!V432&amp;""</f>
      </c>
      <c r="W432">
        <f>[1]发票导入!W432&amp;""</f>
      </c>
      <c r="Y432">
        <f>[1]发票导入!Y432&amp;""</f>
      </c>
      <c r="AA432">
        <f>[1]发票导入!AA432&amp;""</f>
      </c>
      <c r="AB432">
        <f>[1]发票导入!AB432</f>
        <v>0</v>
      </c>
      <c r="AC432">
        <f>[1]发票导入!AC432</f>
        <v>0</v>
      </c>
      <c r="AE432" s="22">
        <f t="shared" si="0"/>
      </c>
      <c r="AI432">
        <f>[1]发票导入!AI432&amp;""</f>
      </c>
      <c r="AJ432">
        <f>[1]发票导入!AJ432&amp;""</f>
      </c>
      <c r="AK432">
        <f>[1]发票导入!AK432</f>
        <v>0</v>
      </c>
      <c r="AL432">
        <f>[1]发票导入!AL432</f>
        <v>0</v>
      </c>
      <c r="AM432">
        <f>[1]发票导入!AM432</f>
        <v>0</v>
      </c>
      <c r="AN432" s="22">
        <f t="shared" si="1"/>
        <v>0</v>
      </c>
      <c r="AO432" s="22">
        <f t="shared" si="2"/>
        <v>0</v>
      </c>
    </row>
    <row r="433">
      <c r="C433">
        <f>[1]发票导入!C433&amp;""</f>
      </c>
      <c r="D433">
        <f>[1]发票导入!D433&amp;""</f>
      </c>
      <c r="O433">
        <f>[1]发票导入!O433&amp;""</f>
      </c>
      <c r="T433">
        <f>[1]发票导入!T433</f>
      </c>
      <c r="U433">
        <f>[1]发票导入!U433&amp;""</f>
      </c>
      <c r="V433">
        <f>[1]发票导入!V433&amp;""</f>
      </c>
      <c r="W433">
        <f>[1]发票导入!W433&amp;""</f>
      </c>
      <c r="Y433">
        <f>[1]发票导入!Y433&amp;""</f>
      </c>
      <c r="AA433">
        <f>[1]发票导入!AA433&amp;""</f>
      </c>
      <c r="AB433">
        <f>[1]发票导入!AB433</f>
        <v>0</v>
      </c>
      <c r="AC433">
        <f>[1]发票导入!AC433</f>
        <v>0</v>
      </c>
      <c r="AE433" s="22">
        <f t="shared" si="0"/>
      </c>
      <c r="AI433">
        <f>[1]发票导入!AI433&amp;""</f>
      </c>
      <c r="AJ433">
        <f>[1]发票导入!AJ433&amp;""</f>
      </c>
      <c r="AK433">
        <f>[1]发票导入!AK433</f>
        <v>0</v>
      </c>
      <c r="AL433">
        <f>[1]发票导入!AL433</f>
        <v>0</v>
      </c>
      <c r="AM433">
        <f>[1]发票导入!AM433</f>
        <v>0</v>
      </c>
      <c r="AN433" s="22">
        <f t="shared" si="1"/>
        <v>0</v>
      </c>
      <c r="AO433" s="22">
        <f t="shared" si="2"/>
        <v>0</v>
      </c>
    </row>
    <row r="434">
      <c r="C434">
        <f>[1]发票导入!C434&amp;""</f>
      </c>
      <c r="D434">
        <f>[1]发票导入!D434&amp;""</f>
      </c>
      <c r="O434">
        <f>[1]发票导入!O434&amp;""</f>
      </c>
      <c r="T434">
        <f>[1]发票导入!T434</f>
      </c>
      <c r="U434">
        <f>[1]发票导入!U434&amp;""</f>
      </c>
      <c r="V434">
        <f>[1]发票导入!V434&amp;""</f>
      </c>
      <c r="W434">
        <f>[1]发票导入!W434&amp;""</f>
      </c>
      <c r="Y434">
        <f>[1]发票导入!Y434&amp;""</f>
      </c>
      <c r="AA434">
        <f>[1]发票导入!AA434&amp;""</f>
      </c>
      <c r="AB434">
        <f>[1]发票导入!AB434</f>
        <v>0</v>
      </c>
      <c r="AC434">
        <f>[1]发票导入!AC434</f>
        <v>0</v>
      </c>
      <c r="AE434" s="22">
        <f t="shared" si="0"/>
      </c>
      <c r="AI434">
        <f>[1]发票导入!AI434&amp;""</f>
      </c>
      <c r="AJ434">
        <f>[1]发票导入!AJ434&amp;""</f>
      </c>
      <c r="AK434">
        <f>[1]发票导入!AK434</f>
        <v>0</v>
      </c>
      <c r="AL434">
        <f>[1]发票导入!AL434</f>
        <v>0</v>
      </c>
      <c r="AM434">
        <f>[1]发票导入!AM434</f>
        <v>0</v>
      </c>
      <c r="AN434" s="22">
        <f t="shared" si="1"/>
        <v>0</v>
      </c>
      <c r="AO434" s="22">
        <f t="shared" si="2"/>
        <v>0</v>
      </c>
    </row>
    <row r="435">
      <c r="C435">
        <f>[1]发票导入!C435&amp;""</f>
      </c>
      <c r="D435">
        <f>[1]发票导入!D435&amp;""</f>
      </c>
      <c r="O435">
        <f>[1]发票导入!O435&amp;""</f>
      </c>
      <c r="T435">
        <f>[1]发票导入!T435</f>
      </c>
      <c r="U435">
        <f>[1]发票导入!U435&amp;""</f>
      </c>
      <c r="V435">
        <f>[1]发票导入!V435&amp;""</f>
      </c>
      <c r="W435">
        <f>[1]发票导入!W435&amp;""</f>
      </c>
      <c r="Y435">
        <f>[1]发票导入!Y435&amp;""</f>
      </c>
      <c r="AA435">
        <f>[1]发票导入!AA435&amp;""</f>
      </c>
      <c r="AB435">
        <f>[1]发票导入!AB435</f>
        <v>0</v>
      </c>
      <c r="AC435">
        <f>[1]发票导入!AC435</f>
        <v>0</v>
      </c>
      <c r="AE435" s="22">
        <f t="shared" si="0"/>
      </c>
      <c r="AI435">
        <f>[1]发票导入!AI435&amp;""</f>
      </c>
      <c r="AJ435">
        <f>[1]发票导入!AJ435&amp;""</f>
      </c>
      <c r="AK435">
        <f>[1]发票导入!AK435</f>
        <v>0</v>
      </c>
      <c r="AL435">
        <f>[1]发票导入!AL435</f>
        <v>0</v>
      </c>
      <c r="AM435">
        <f>[1]发票导入!AM435</f>
        <v>0</v>
      </c>
      <c r="AN435" s="22">
        <f t="shared" si="1"/>
        <v>0</v>
      </c>
      <c r="AO435" s="22">
        <f t="shared" si="2"/>
        <v>0</v>
      </c>
    </row>
    <row r="436">
      <c r="C436">
        <f>[1]发票导入!C436&amp;""</f>
      </c>
      <c r="D436">
        <f>[1]发票导入!D436&amp;""</f>
      </c>
      <c r="O436">
        <f>[1]发票导入!O436&amp;""</f>
      </c>
      <c r="T436">
        <f>[1]发票导入!T436</f>
      </c>
      <c r="U436">
        <f>[1]发票导入!U436&amp;""</f>
      </c>
      <c r="V436">
        <f>[1]发票导入!V436&amp;""</f>
      </c>
      <c r="W436">
        <f>[1]发票导入!W436&amp;""</f>
      </c>
      <c r="Y436">
        <f>[1]发票导入!Y436&amp;""</f>
      </c>
      <c r="AA436">
        <f>[1]发票导入!AA436&amp;""</f>
      </c>
      <c r="AB436">
        <f>[1]发票导入!AB436</f>
        <v>0</v>
      </c>
      <c r="AC436">
        <f>[1]发票导入!AC436</f>
        <v>0</v>
      </c>
      <c r="AE436" s="22">
        <f t="shared" si="0"/>
      </c>
      <c r="AI436">
        <f>[1]发票导入!AI436&amp;""</f>
      </c>
      <c r="AJ436">
        <f>[1]发票导入!AJ436&amp;""</f>
      </c>
      <c r="AK436">
        <f>[1]发票导入!AK436</f>
        <v>0</v>
      </c>
      <c r="AL436">
        <f>[1]发票导入!AL436</f>
        <v>0</v>
      </c>
      <c r="AM436">
        <f>[1]发票导入!AM436</f>
        <v>0</v>
      </c>
      <c r="AN436" s="22">
        <f t="shared" si="1"/>
        <v>0</v>
      </c>
      <c r="AO436" s="22">
        <f t="shared" si="2"/>
        <v>0</v>
      </c>
    </row>
    <row r="437">
      <c r="C437">
        <f>[1]发票导入!C437&amp;""</f>
      </c>
      <c r="D437">
        <f>[1]发票导入!D437&amp;""</f>
      </c>
      <c r="O437">
        <f>[1]发票导入!O437&amp;""</f>
      </c>
      <c r="T437">
        <f>[1]发票导入!T437</f>
      </c>
      <c r="U437">
        <f>[1]发票导入!U437&amp;""</f>
      </c>
      <c r="V437">
        <f>[1]发票导入!V437&amp;""</f>
      </c>
      <c r="W437">
        <f>[1]发票导入!W437&amp;""</f>
      </c>
      <c r="Y437">
        <f>[1]发票导入!Y437&amp;""</f>
      </c>
      <c r="AA437">
        <f>[1]发票导入!AA437&amp;""</f>
      </c>
      <c r="AB437">
        <f>[1]发票导入!AB437</f>
        <v>0</v>
      </c>
      <c r="AC437">
        <f>[1]发票导入!AC437</f>
        <v>0</v>
      </c>
      <c r="AE437" s="22">
        <f t="shared" si="0"/>
      </c>
      <c r="AI437">
        <f>[1]发票导入!AI437&amp;""</f>
      </c>
      <c r="AJ437">
        <f>[1]发票导入!AJ437&amp;""</f>
      </c>
      <c r="AK437">
        <f>[1]发票导入!AK437</f>
        <v>0</v>
      </c>
      <c r="AL437">
        <f>[1]发票导入!AL437</f>
        <v>0</v>
      </c>
      <c r="AM437">
        <f>[1]发票导入!AM437</f>
        <v>0</v>
      </c>
      <c r="AN437" s="22">
        <f t="shared" si="1"/>
        <v>0</v>
      </c>
      <c r="AO437" s="22">
        <f t="shared" si="2"/>
        <v>0</v>
      </c>
    </row>
    <row r="438">
      <c r="C438">
        <f>[1]发票导入!C438&amp;""</f>
      </c>
      <c r="D438">
        <f>[1]发票导入!D438&amp;""</f>
      </c>
      <c r="O438">
        <f>[1]发票导入!O438&amp;""</f>
      </c>
      <c r="T438">
        <f>[1]发票导入!T438</f>
      </c>
      <c r="U438">
        <f>[1]发票导入!U438&amp;""</f>
      </c>
      <c r="V438">
        <f>[1]发票导入!V438&amp;""</f>
      </c>
      <c r="W438">
        <f>[1]发票导入!W438&amp;""</f>
      </c>
      <c r="Y438">
        <f>[1]发票导入!Y438&amp;""</f>
      </c>
      <c r="AA438">
        <f>[1]发票导入!AA438&amp;""</f>
      </c>
      <c r="AB438">
        <f>[1]发票导入!AB438</f>
        <v>0</v>
      </c>
      <c r="AC438">
        <f>[1]发票导入!AC438</f>
        <v>0</v>
      </c>
      <c r="AE438" s="22">
        <f t="shared" si="0"/>
      </c>
      <c r="AI438">
        <f>[1]发票导入!AI438&amp;""</f>
      </c>
      <c r="AJ438">
        <f>[1]发票导入!AJ438&amp;""</f>
      </c>
      <c r="AK438">
        <f>[1]发票导入!AK438</f>
        <v>0</v>
      </c>
      <c r="AL438">
        <f>[1]发票导入!AL438</f>
        <v>0</v>
      </c>
      <c r="AM438">
        <f>[1]发票导入!AM438</f>
        <v>0</v>
      </c>
      <c r="AN438" s="22">
        <f t="shared" si="1"/>
        <v>0</v>
      </c>
      <c r="AO438" s="22">
        <f t="shared" si="2"/>
        <v>0</v>
      </c>
    </row>
    <row r="439">
      <c r="C439">
        <f>[1]发票导入!C439&amp;""</f>
      </c>
      <c r="D439">
        <f>[1]发票导入!D439&amp;""</f>
      </c>
      <c r="O439">
        <f>[1]发票导入!O439&amp;""</f>
      </c>
      <c r="T439">
        <f>[1]发票导入!T439</f>
      </c>
      <c r="U439">
        <f>[1]发票导入!U439&amp;""</f>
      </c>
      <c r="V439">
        <f>[1]发票导入!V439&amp;""</f>
      </c>
      <c r="W439">
        <f>[1]发票导入!W439&amp;""</f>
      </c>
      <c r="Y439">
        <f>[1]发票导入!Y439&amp;""</f>
      </c>
      <c r="AA439">
        <f>[1]发票导入!AA439&amp;""</f>
      </c>
      <c r="AB439">
        <f>[1]发票导入!AB439</f>
        <v>0</v>
      </c>
      <c r="AC439">
        <f>[1]发票导入!AC439</f>
        <v>0</v>
      </c>
      <c r="AE439" s="22">
        <f t="shared" si="0"/>
      </c>
      <c r="AI439">
        <f>[1]发票导入!AI439&amp;""</f>
      </c>
      <c r="AJ439">
        <f>[1]发票导入!AJ439&amp;""</f>
      </c>
      <c r="AK439">
        <f>[1]发票导入!AK439</f>
        <v>0</v>
      </c>
      <c r="AL439">
        <f>[1]发票导入!AL439</f>
        <v>0</v>
      </c>
      <c r="AM439">
        <f>[1]发票导入!AM439</f>
        <v>0</v>
      </c>
      <c r="AN439" s="22">
        <f t="shared" si="1"/>
        <v>0</v>
      </c>
      <c r="AO439" s="22">
        <f t="shared" si="2"/>
        <v>0</v>
      </c>
    </row>
    <row r="440">
      <c r="C440">
        <f>[1]发票导入!C440&amp;""</f>
      </c>
      <c r="D440">
        <f>[1]发票导入!D440&amp;""</f>
      </c>
      <c r="O440">
        <f>[1]发票导入!O440&amp;""</f>
      </c>
      <c r="T440">
        <f>[1]发票导入!T440</f>
      </c>
      <c r="U440">
        <f>[1]发票导入!U440&amp;""</f>
      </c>
      <c r="V440">
        <f>[1]发票导入!V440&amp;""</f>
      </c>
      <c r="W440">
        <f>[1]发票导入!W440&amp;""</f>
      </c>
      <c r="Y440">
        <f>[1]发票导入!Y440&amp;""</f>
      </c>
      <c r="AA440">
        <f>[1]发票导入!AA440&amp;""</f>
      </c>
      <c r="AB440">
        <f>[1]发票导入!AB440</f>
        <v>0</v>
      </c>
      <c r="AC440">
        <f>[1]发票导入!AC440</f>
        <v>0</v>
      </c>
      <c r="AE440" s="22">
        <f t="shared" si="0"/>
      </c>
      <c r="AI440">
        <f>[1]发票导入!AI440&amp;""</f>
      </c>
      <c r="AJ440">
        <f>[1]发票导入!AJ440&amp;""</f>
      </c>
      <c r="AK440">
        <f>[1]发票导入!AK440</f>
        <v>0</v>
      </c>
      <c r="AL440">
        <f>[1]发票导入!AL440</f>
        <v>0</v>
      </c>
      <c r="AM440">
        <f>[1]发票导入!AM440</f>
        <v>0</v>
      </c>
      <c r="AN440" s="22">
        <f t="shared" si="1"/>
        <v>0</v>
      </c>
      <c r="AO440" s="22">
        <f t="shared" si="2"/>
        <v>0</v>
      </c>
    </row>
    <row r="441">
      <c r="C441">
        <f>[1]发票导入!C441&amp;""</f>
      </c>
      <c r="D441">
        <f>[1]发票导入!D441&amp;""</f>
      </c>
      <c r="O441">
        <f>[1]发票导入!O441&amp;""</f>
      </c>
      <c r="T441">
        <f>[1]发票导入!T441</f>
      </c>
      <c r="U441">
        <f>[1]发票导入!U441&amp;""</f>
      </c>
      <c r="V441">
        <f>[1]发票导入!V441&amp;""</f>
      </c>
      <c r="W441">
        <f>[1]发票导入!W441&amp;""</f>
      </c>
      <c r="Y441">
        <f>[1]发票导入!Y441&amp;""</f>
      </c>
      <c r="AA441">
        <f>[1]发票导入!AA441&amp;""</f>
      </c>
      <c r="AB441">
        <f>[1]发票导入!AB441</f>
        <v>0</v>
      </c>
      <c r="AC441">
        <f>[1]发票导入!AC441</f>
        <v>0</v>
      </c>
      <c r="AE441" s="22">
        <f t="shared" si="0"/>
      </c>
      <c r="AI441">
        <f>[1]发票导入!AI441&amp;""</f>
      </c>
      <c r="AJ441">
        <f>[1]发票导入!AJ441&amp;""</f>
      </c>
      <c r="AK441">
        <f>[1]发票导入!AK441</f>
        <v>0</v>
      </c>
      <c r="AL441">
        <f>[1]发票导入!AL441</f>
        <v>0</v>
      </c>
      <c r="AM441">
        <f>[1]发票导入!AM441</f>
        <v>0</v>
      </c>
      <c r="AN441" s="22">
        <f t="shared" si="1"/>
        <v>0</v>
      </c>
      <c r="AO441" s="22">
        <f t="shared" si="2"/>
        <v>0</v>
      </c>
    </row>
    <row r="442">
      <c r="C442">
        <f>[1]发票导入!C442&amp;""</f>
      </c>
      <c r="D442">
        <f>[1]发票导入!D442&amp;""</f>
      </c>
      <c r="O442">
        <f>[1]发票导入!O442&amp;""</f>
      </c>
      <c r="T442">
        <f>[1]发票导入!T442</f>
      </c>
      <c r="U442">
        <f>[1]发票导入!U442&amp;""</f>
      </c>
      <c r="V442">
        <f>[1]发票导入!V442&amp;""</f>
      </c>
      <c r="W442">
        <f>[1]发票导入!W442&amp;""</f>
      </c>
      <c r="Y442">
        <f>[1]发票导入!Y442&amp;""</f>
      </c>
      <c r="AA442">
        <f>[1]发票导入!AA442&amp;""</f>
      </c>
      <c r="AB442">
        <f>[1]发票导入!AB442</f>
        <v>0</v>
      </c>
      <c r="AC442">
        <f>[1]发票导入!AC442</f>
        <v>0</v>
      </c>
      <c r="AE442" s="22">
        <f t="shared" si="0"/>
      </c>
      <c r="AI442">
        <f>[1]发票导入!AI442&amp;""</f>
      </c>
      <c r="AJ442">
        <f>[1]发票导入!AJ442&amp;""</f>
      </c>
      <c r="AK442">
        <f>[1]发票导入!AK442</f>
        <v>0</v>
      </c>
      <c r="AL442">
        <f>[1]发票导入!AL442</f>
        <v>0</v>
      </c>
      <c r="AM442">
        <f>[1]发票导入!AM442</f>
        <v>0</v>
      </c>
      <c r="AN442" s="22">
        <f t="shared" si="1"/>
        <v>0</v>
      </c>
      <c r="AO442" s="22">
        <f t="shared" si="2"/>
        <v>0</v>
      </c>
    </row>
    <row r="443">
      <c r="C443">
        <f>[1]发票导入!C443&amp;""</f>
      </c>
      <c r="D443">
        <f>[1]发票导入!D443&amp;""</f>
      </c>
      <c r="O443">
        <f>[1]发票导入!O443&amp;""</f>
      </c>
      <c r="T443">
        <f>[1]发票导入!T443</f>
      </c>
      <c r="U443">
        <f>[1]发票导入!U443&amp;""</f>
      </c>
      <c r="V443">
        <f>[1]发票导入!V443&amp;""</f>
      </c>
      <c r="W443">
        <f>[1]发票导入!W443&amp;""</f>
      </c>
      <c r="Y443">
        <f>[1]发票导入!Y443&amp;""</f>
      </c>
      <c r="AA443">
        <f>[1]发票导入!AA443&amp;""</f>
      </c>
      <c r="AB443">
        <f>[1]发票导入!AB443</f>
        <v>0</v>
      </c>
      <c r="AC443">
        <f>[1]发票导入!AC443</f>
        <v>0</v>
      </c>
      <c r="AE443" s="22">
        <f t="shared" si="0"/>
      </c>
      <c r="AI443">
        <f>[1]发票导入!AI443&amp;""</f>
      </c>
      <c r="AJ443">
        <f>[1]发票导入!AJ443&amp;""</f>
      </c>
      <c r="AK443">
        <f>[1]发票导入!AK443</f>
        <v>0</v>
      </c>
      <c r="AL443">
        <f>[1]发票导入!AL443</f>
        <v>0</v>
      </c>
      <c r="AM443">
        <f>[1]发票导入!AM443</f>
        <v>0</v>
      </c>
      <c r="AN443" s="22">
        <f t="shared" si="1"/>
        <v>0</v>
      </c>
      <c r="AO443" s="22">
        <f t="shared" si="2"/>
        <v>0</v>
      </c>
    </row>
    <row r="444">
      <c r="C444">
        <f>[1]发票导入!C444&amp;""</f>
      </c>
      <c r="D444">
        <f>[1]发票导入!D444&amp;""</f>
      </c>
      <c r="O444">
        <f>[1]发票导入!O444&amp;""</f>
      </c>
      <c r="T444">
        <f>[1]发票导入!T444</f>
      </c>
      <c r="U444">
        <f>[1]发票导入!U444&amp;""</f>
      </c>
      <c r="V444">
        <f>[1]发票导入!V444&amp;""</f>
      </c>
      <c r="W444">
        <f>[1]发票导入!W444&amp;""</f>
      </c>
      <c r="Y444">
        <f>[1]发票导入!Y444&amp;""</f>
      </c>
      <c r="AA444">
        <f>[1]发票导入!AA444&amp;""</f>
      </c>
      <c r="AB444">
        <f>[1]发票导入!AB444</f>
        <v>0</v>
      </c>
      <c r="AC444">
        <f>[1]发票导入!AC444</f>
        <v>0</v>
      </c>
      <c r="AE444" s="22">
        <f t="shared" si="0"/>
      </c>
      <c r="AI444">
        <f>[1]发票导入!AI444&amp;""</f>
      </c>
      <c r="AJ444">
        <f>[1]发票导入!AJ444&amp;""</f>
      </c>
      <c r="AK444">
        <f>[1]发票导入!AK444</f>
        <v>0</v>
      </c>
      <c r="AL444">
        <f>[1]发票导入!AL444</f>
        <v>0</v>
      </c>
      <c r="AM444">
        <f>[1]发票导入!AM444</f>
        <v>0</v>
      </c>
      <c r="AN444" s="22">
        <f t="shared" si="1"/>
        <v>0</v>
      </c>
      <c r="AO444" s="22">
        <f t="shared" si="2"/>
        <v>0</v>
      </c>
    </row>
    <row r="445">
      <c r="C445">
        <f>[1]发票导入!C445&amp;""</f>
      </c>
      <c r="D445">
        <f>[1]发票导入!D445&amp;""</f>
      </c>
      <c r="O445">
        <f>[1]发票导入!O445&amp;""</f>
      </c>
      <c r="T445">
        <f>[1]发票导入!T445</f>
      </c>
      <c r="U445">
        <f>[1]发票导入!U445&amp;""</f>
      </c>
      <c r="V445">
        <f>[1]发票导入!V445&amp;""</f>
      </c>
      <c r="W445">
        <f>[1]发票导入!W445&amp;""</f>
      </c>
      <c r="Y445">
        <f>[1]发票导入!Y445&amp;""</f>
      </c>
      <c r="AA445">
        <f>[1]发票导入!AA445&amp;""</f>
      </c>
      <c r="AB445">
        <f>[1]发票导入!AB445</f>
        <v>0</v>
      </c>
      <c r="AC445">
        <f>[1]发票导入!AC445</f>
        <v>0</v>
      </c>
      <c r="AE445" s="22">
        <f t="shared" si="0"/>
      </c>
      <c r="AI445">
        <f>[1]发票导入!AI445&amp;""</f>
      </c>
      <c r="AJ445">
        <f>[1]发票导入!AJ445&amp;""</f>
      </c>
      <c r="AK445">
        <f>[1]发票导入!AK445</f>
        <v>0</v>
      </c>
      <c r="AL445">
        <f>[1]发票导入!AL445</f>
        <v>0</v>
      </c>
      <c r="AM445">
        <f>[1]发票导入!AM445</f>
        <v>0</v>
      </c>
      <c r="AN445" s="22">
        <f t="shared" si="1"/>
        <v>0</v>
      </c>
      <c r="AO445" s="22">
        <f t="shared" si="2"/>
        <v>0</v>
      </c>
    </row>
    <row r="446">
      <c r="C446">
        <f>[1]发票导入!C446&amp;""</f>
      </c>
      <c r="D446">
        <f>[1]发票导入!D446&amp;""</f>
      </c>
      <c r="O446">
        <f>[1]发票导入!O446&amp;""</f>
      </c>
      <c r="T446">
        <f>[1]发票导入!T446</f>
      </c>
      <c r="U446">
        <f>[1]发票导入!U446&amp;""</f>
      </c>
      <c r="V446">
        <f>[1]发票导入!V446&amp;""</f>
      </c>
      <c r="W446">
        <f>[1]发票导入!W446&amp;""</f>
      </c>
      <c r="Y446">
        <f>[1]发票导入!Y446&amp;""</f>
      </c>
      <c r="AA446">
        <f>[1]发票导入!AA446&amp;""</f>
      </c>
      <c r="AB446">
        <f>[1]发票导入!AB446</f>
        <v>0</v>
      </c>
      <c r="AC446">
        <f>[1]发票导入!AC446</f>
        <v>0</v>
      </c>
      <c r="AE446" s="22">
        <f t="shared" si="0"/>
      </c>
      <c r="AI446">
        <f>[1]发票导入!AI446&amp;""</f>
      </c>
      <c r="AJ446">
        <f>[1]发票导入!AJ446&amp;""</f>
      </c>
      <c r="AK446">
        <f>[1]发票导入!AK446</f>
        <v>0</v>
      </c>
      <c r="AL446">
        <f>[1]发票导入!AL446</f>
        <v>0</v>
      </c>
      <c r="AM446">
        <f>[1]发票导入!AM446</f>
        <v>0</v>
      </c>
      <c r="AN446" s="22">
        <f t="shared" si="1"/>
        <v>0</v>
      </c>
      <c r="AO446" s="22">
        <f t="shared" si="2"/>
        <v>0</v>
      </c>
    </row>
    <row r="447">
      <c r="C447">
        <f>[1]发票导入!C447&amp;""</f>
      </c>
      <c r="D447">
        <f>[1]发票导入!D447&amp;""</f>
      </c>
      <c r="O447">
        <f>[1]发票导入!O447&amp;""</f>
      </c>
      <c r="T447">
        <f>[1]发票导入!T447</f>
      </c>
      <c r="U447">
        <f>[1]发票导入!U447&amp;""</f>
      </c>
      <c r="V447">
        <f>[1]发票导入!V447&amp;""</f>
      </c>
      <c r="W447">
        <f>[1]发票导入!W447&amp;""</f>
      </c>
      <c r="Y447">
        <f>[1]发票导入!Y447&amp;""</f>
      </c>
      <c r="AA447">
        <f>[1]发票导入!AA447&amp;""</f>
      </c>
      <c r="AB447">
        <f>[1]发票导入!AB447</f>
        <v>0</v>
      </c>
      <c r="AC447">
        <f>[1]发票导入!AC447</f>
        <v>0</v>
      </c>
      <c r="AE447" s="22">
        <f t="shared" si="0"/>
      </c>
      <c r="AI447">
        <f>[1]发票导入!AI447&amp;""</f>
      </c>
      <c r="AJ447">
        <f>[1]发票导入!AJ447&amp;""</f>
      </c>
      <c r="AK447">
        <f>[1]发票导入!AK447</f>
        <v>0</v>
      </c>
      <c r="AL447">
        <f>[1]发票导入!AL447</f>
        <v>0</v>
      </c>
      <c r="AM447">
        <f>[1]发票导入!AM447</f>
        <v>0</v>
      </c>
      <c r="AN447" s="22">
        <f t="shared" si="1"/>
        <v>0</v>
      </c>
      <c r="AO447" s="22">
        <f t="shared" si="2"/>
        <v>0</v>
      </c>
    </row>
    <row r="448">
      <c r="C448">
        <f>[1]发票导入!C448&amp;""</f>
      </c>
      <c r="D448">
        <f>[1]发票导入!D448&amp;""</f>
      </c>
      <c r="O448">
        <f>[1]发票导入!O448&amp;""</f>
      </c>
      <c r="T448">
        <f>[1]发票导入!T448</f>
      </c>
      <c r="U448">
        <f>[1]发票导入!U448&amp;""</f>
      </c>
      <c r="V448">
        <f>[1]发票导入!V448&amp;""</f>
      </c>
      <c r="W448">
        <f>[1]发票导入!W448&amp;""</f>
      </c>
      <c r="Y448">
        <f>[1]发票导入!Y448&amp;""</f>
      </c>
      <c r="AA448">
        <f>[1]发票导入!AA448&amp;""</f>
      </c>
      <c r="AB448">
        <f>[1]发票导入!AB448</f>
        <v>0</v>
      </c>
      <c r="AC448">
        <f>[1]发票导入!AC448</f>
        <v>0</v>
      </c>
      <c r="AE448" s="22">
        <f t="shared" si="0"/>
      </c>
      <c r="AI448">
        <f>[1]发票导入!AI448&amp;""</f>
      </c>
      <c r="AJ448">
        <f>[1]发票导入!AJ448&amp;""</f>
      </c>
      <c r="AK448">
        <f>[1]发票导入!AK448</f>
        <v>0</v>
      </c>
      <c r="AL448">
        <f>[1]发票导入!AL448</f>
        <v>0</v>
      </c>
      <c r="AM448">
        <f>[1]发票导入!AM448</f>
        <v>0</v>
      </c>
      <c r="AN448" s="22">
        <f t="shared" si="1"/>
        <v>0</v>
      </c>
      <c r="AO448" s="22">
        <f t="shared" si="2"/>
        <v>0</v>
      </c>
    </row>
    <row r="449">
      <c r="C449">
        <f>[1]发票导入!C449&amp;""</f>
      </c>
      <c r="D449">
        <f>[1]发票导入!D449&amp;""</f>
      </c>
      <c r="O449">
        <f>[1]发票导入!O449&amp;""</f>
      </c>
      <c r="T449">
        <f>[1]发票导入!T449</f>
      </c>
      <c r="U449">
        <f>[1]发票导入!U449&amp;""</f>
      </c>
      <c r="V449">
        <f>[1]发票导入!V449&amp;""</f>
      </c>
      <c r="W449">
        <f>[1]发票导入!W449&amp;""</f>
      </c>
      <c r="Y449">
        <f>[1]发票导入!Y449&amp;""</f>
      </c>
      <c r="AA449">
        <f>[1]发票导入!AA449&amp;""</f>
      </c>
      <c r="AB449">
        <f>[1]发票导入!AB449</f>
        <v>0</v>
      </c>
      <c r="AC449">
        <f>[1]发票导入!AC449</f>
        <v>0</v>
      </c>
      <c r="AE449" s="22">
        <f t="shared" si="0"/>
      </c>
      <c r="AI449">
        <f>[1]发票导入!AI449&amp;""</f>
      </c>
      <c r="AJ449">
        <f>[1]发票导入!AJ449&amp;""</f>
      </c>
      <c r="AK449">
        <f>[1]发票导入!AK449</f>
        <v>0</v>
      </c>
      <c r="AL449">
        <f>[1]发票导入!AL449</f>
        <v>0</v>
      </c>
      <c r="AM449">
        <f>[1]发票导入!AM449</f>
        <v>0</v>
      </c>
      <c r="AN449" s="22">
        <f t="shared" si="1"/>
        <v>0</v>
      </c>
      <c r="AO449" s="22">
        <f t="shared" si="2"/>
        <v>0</v>
      </c>
    </row>
    <row r="450">
      <c r="C450">
        <f>[1]发票导入!C450&amp;""</f>
      </c>
      <c r="D450">
        <f>[1]发票导入!D450&amp;""</f>
      </c>
      <c r="O450">
        <f>[1]发票导入!O450&amp;""</f>
      </c>
      <c r="T450">
        <f>[1]发票导入!T450</f>
      </c>
      <c r="U450">
        <f>[1]发票导入!U450&amp;""</f>
      </c>
      <c r="V450">
        <f>[1]发票导入!V450&amp;""</f>
      </c>
      <c r="W450">
        <f>[1]发票导入!W450&amp;""</f>
      </c>
      <c r="Y450">
        <f>[1]发票导入!Y450&amp;""</f>
      </c>
      <c r="AA450">
        <f>[1]发票导入!AA450&amp;""</f>
      </c>
      <c r="AB450">
        <f>[1]发票导入!AB450</f>
        <v>0</v>
      </c>
      <c r="AC450">
        <f>[1]发票导入!AC450</f>
        <v>0</v>
      </c>
      <c r="AE450" s="22">
        <f t="shared" si="0"/>
      </c>
      <c r="AI450">
        <f>[1]发票导入!AI450&amp;""</f>
      </c>
      <c r="AJ450">
        <f>[1]发票导入!AJ450&amp;""</f>
      </c>
      <c r="AK450">
        <f>[1]发票导入!AK450</f>
        <v>0</v>
      </c>
      <c r="AL450">
        <f>[1]发票导入!AL450</f>
        <v>0</v>
      </c>
      <c r="AM450">
        <f>[1]发票导入!AM450</f>
        <v>0</v>
      </c>
      <c r="AN450" s="22">
        <f t="shared" si="1"/>
        <v>0</v>
      </c>
      <c r="AO450" s="22">
        <f t="shared" si="2"/>
        <v>0</v>
      </c>
    </row>
    <row r="451">
      <c r="C451">
        <f>[1]发票导入!C451&amp;""</f>
      </c>
      <c r="D451">
        <f>[1]发票导入!D451&amp;""</f>
      </c>
      <c r="O451">
        <f>[1]发票导入!O451&amp;""</f>
      </c>
      <c r="T451">
        <f>[1]发票导入!T451</f>
      </c>
      <c r="U451">
        <f>[1]发票导入!U451&amp;""</f>
      </c>
      <c r="V451">
        <f>[1]发票导入!V451&amp;""</f>
      </c>
      <c r="W451">
        <f>[1]发票导入!W451&amp;""</f>
      </c>
      <c r="Y451">
        <f>[1]发票导入!Y451&amp;""</f>
      </c>
      <c r="AA451">
        <f>[1]发票导入!AA451&amp;""</f>
      </c>
      <c r="AB451">
        <f>[1]发票导入!AB451</f>
        <v>0</v>
      </c>
      <c r="AC451">
        <f>[1]发票导入!AC451</f>
        <v>0</v>
      </c>
      <c r="AE451" s="22">
        <f t="shared" si="0"/>
      </c>
      <c r="AI451">
        <f>[1]发票导入!AI451&amp;""</f>
      </c>
      <c r="AJ451">
        <f>[1]发票导入!AJ451&amp;""</f>
      </c>
      <c r="AK451">
        <f>[1]发票导入!AK451</f>
        <v>0</v>
      </c>
      <c r="AL451">
        <f>[1]发票导入!AL451</f>
        <v>0</v>
      </c>
      <c r="AM451">
        <f>[1]发票导入!AM451</f>
        <v>0</v>
      </c>
      <c r="AN451" s="22">
        <f t="shared" si="1"/>
        <v>0</v>
      </c>
      <c r="AO451" s="22">
        <f t="shared" si="2"/>
        <v>0</v>
      </c>
    </row>
    <row r="452">
      <c r="C452">
        <f>[1]发票导入!C452&amp;""</f>
      </c>
      <c r="D452">
        <f>[1]发票导入!D452&amp;""</f>
      </c>
      <c r="O452">
        <f>[1]发票导入!O452&amp;""</f>
      </c>
      <c r="T452">
        <f>[1]发票导入!T452</f>
      </c>
      <c r="U452">
        <f>[1]发票导入!U452&amp;""</f>
      </c>
      <c r="V452">
        <f>[1]发票导入!V452&amp;""</f>
      </c>
      <c r="W452">
        <f>[1]发票导入!W452&amp;""</f>
      </c>
      <c r="Y452">
        <f>[1]发票导入!Y452&amp;""</f>
      </c>
      <c r="AA452">
        <f>[1]发票导入!AA452&amp;""</f>
      </c>
      <c r="AB452">
        <f>[1]发票导入!AB452</f>
        <v>0</v>
      </c>
      <c r="AC452">
        <f>[1]发票导入!AC452</f>
        <v>0</v>
      </c>
      <c r="AE452" s="22">
        <f t="shared" si="0"/>
      </c>
      <c r="AI452">
        <f>[1]发票导入!AI452&amp;""</f>
      </c>
      <c r="AJ452">
        <f>[1]发票导入!AJ452&amp;""</f>
      </c>
      <c r="AK452">
        <f>[1]发票导入!AK452</f>
        <v>0</v>
      </c>
      <c r="AL452">
        <f>[1]发票导入!AL452</f>
        <v>0</v>
      </c>
      <c r="AM452">
        <f>[1]发票导入!AM452</f>
        <v>0</v>
      </c>
      <c r="AN452" s="22">
        <f t="shared" si="1"/>
        <v>0</v>
      </c>
      <c r="AO452" s="22">
        <f t="shared" si="2"/>
        <v>0</v>
      </c>
    </row>
    <row r="453">
      <c r="C453">
        <f>[1]发票导入!C453&amp;""</f>
      </c>
      <c r="D453">
        <f>[1]发票导入!D453&amp;""</f>
      </c>
      <c r="O453">
        <f>[1]发票导入!O453&amp;""</f>
      </c>
      <c r="T453">
        <f>[1]发票导入!T453</f>
      </c>
      <c r="U453">
        <f>[1]发票导入!U453&amp;""</f>
      </c>
      <c r="V453">
        <f>[1]发票导入!V453&amp;""</f>
      </c>
      <c r="W453">
        <f>[1]发票导入!W453&amp;""</f>
      </c>
      <c r="Y453">
        <f>[1]发票导入!Y453&amp;""</f>
      </c>
      <c r="AA453">
        <f>[1]发票导入!AA453&amp;""</f>
      </c>
      <c r="AB453">
        <f>[1]发票导入!AB453</f>
        <v>0</v>
      </c>
      <c r="AC453">
        <f>[1]发票导入!AC453</f>
        <v>0</v>
      </c>
      <c r="AE453" s="22">
        <f t="shared" si="0"/>
      </c>
      <c r="AI453">
        <f>[1]发票导入!AI453&amp;""</f>
      </c>
      <c r="AJ453">
        <f>[1]发票导入!AJ453&amp;""</f>
      </c>
      <c r="AK453">
        <f>[1]发票导入!AK453</f>
        <v>0</v>
      </c>
      <c r="AL453">
        <f>[1]发票导入!AL453</f>
        <v>0</v>
      </c>
      <c r="AM453">
        <f>[1]发票导入!AM453</f>
        <v>0</v>
      </c>
      <c r="AN453" s="22">
        <f t="shared" si="1"/>
        <v>0</v>
      </c>
      <c r="AO453" s="22">
        <f t="shared" si="2"/>
        <v>0</v>
      </c>
    </row>
    <row r="454">
      <c r="C454">
        <f>[1]发票导入!C454&amp;""</f>
      </c>
      <c r="D454">
        <f>[1]发票导入!D454&amp;""</f>
      </c>
      <c r="O454">
        <f>[1]发票导入!O454&amp;""</f>
      </c>
      <c r="T454">
        <f>[1]发票导入!T454</f>
      </c>
      <c r="U454">
        <f>[1]发票导入!U454&amp;""</f>
      </c>
      <c r="V454">
        <f>[1]发票导入!V454&amp;""</f>
      </c>
      <c r="W454">
        <f>[1]发票导入!W454&amp;""</f>
      </c>
      <c r="Y454">
        <f>[1]发票导入!Y454&amp;""</f>
      </c>
      <c r="AA454">
        <f>[1]发票导入!AA454&amp;""</f>
      </c>
      <c r="AB454">
        <f>[1]发票导入!AB454</f>
        <v>0</v>
      </c>
      <c r="AC454">
        <f>[1]发票导入!AC454</f>
        <v>0</v>
      </c>
      <c r="AE454" s="22">
        <f t="shared" si="0"/>
      </c>
      <c r="AI454">
        <f>[1]发票导入!AI454&amp;""</f>
      </c>
      <c r="AJ454">
        <f>[1]发票导入!AJ454&amp;""</f>
      </c>
      <c r="AK454">
        <f>[1]发票导入!AK454</f>
        <v>0</v>
      </c>
      <c r="AL454">
        <f>[1]发票导入!AL454</f>
        <v>0</v>
      </c>
      <c r="AM454">
        <f>[1]发票导入!AM454</f>
        <v>0</v>
      </c>
      <c r="AN454" s="22">
        <f t="shared" si="1"/>
        <v>0</v>
      </c>
      <c r="AO454" s="22">
        <f t="shared" si="2"/>
        <v>0</v>
      </c>
    </row>
    <row r="455">
      <c r="C455">
        <f>[1]发票导入!C455&amp;""</f>
      </c>
      <c r="D455">
        <f>[1]发票导入!D455&amp;""</f>
      </c>
      <c r="O455">
        <f>[1]发票导入!O455&amp;""</f>
      </c>
      <c r="T455">
        <f>[1]发票导入!T455</f>
      </c>
      <c r="U455">
        <f>[1]发票导入!U455&amp;""</f>
      </c>
      <c r="V455">
        <f>[1]发票导入!V455&amp;""</f>
      </c>
      <c r="W455">
        <f>[1]发票导入!W455&amp;""</f>
      </c>
      <c r="Y455">
        <f>[1]发票导入!Y455&amp;""</f>
      </c>
      <c r="AA455">
        <f>[1]发票导入!AA455&amp;""</f>
      </c>
      <c r="AB455">
        <f>[1]发票导入!AB455</f>
        <v>0</v>
      </c>
      <c r="AC455">
        <f>[1]发票导入!AC455</f>
        <v>0</v>
      </c>
      <c r="AE455" s="22">
        <f t="shared" si="0"/>
      </c>
      <c r="AI455">
        <f>[1]发票导入!AI455&amp;""</f>
      </c>
      <c r="AJ455">
        <f>[1]发票导入!AJ455&amp;""</f>
      </c>
      <c r="AK455">
        <f>[1]发票导入!AK455</f>
        <v>0</v>
      </c>
      <c r="AL455">
        <f>[1]发票导入!AL455</f>
        <v>0</v>
      </c>
      <c r="AM455">
        <f>[1]发票导入!AM455</f>
        <v>0</v>
      </c>
      <c r="AN455" s="22">
        <f t="shared" si="1"/>
        <v>0</v>
      </c>
      <c r="AO455" s="22">
        <f t="shared" si="2"/>
        <v>0</v>
      </c>
    </row>
    <row r="456">
      <c r="C456">
        <f>[1]发票导入!C456&amp;""</f>
      </c>
      <c r="D456">
        <f>[1]发票导入!D456&amp;""</f>
      </c>
      <c r="O456">
        <f>[1]发票导入!O456&amp;""</f>
      </c>
      <c r="T456">
        <f>[1]发票导入!T456</f>
      </c>
      <c r="U456">
        <f>[1]发票导入!U456&amp;""</f>
      </c>
      <c r="V456">
        <f>[1]发票导入!V456&amp;""</f>
      </c>
      <c r="W456">
        <f>[1]发票导入!W456&amp;""</f>
      </c>
      <c r="Y456">
        <f>[1]发票导入!Y456&amp;""</f>
      </c>
      <c r="AA456">
        <f>[1]发票导入!AA456&amp;""</f>
      </c>
      <c r="AB456">
        <f>[1]发票导入!AB456</f>
        <v>0</v>
      </c>
      <c r="AC456">
        <f>[1]发票导入!AC456</f>
        <v>0</v>
      </c>
      <c r="AE456" s="22">
        <f t="shared" si="0"/>
      </c>
      <c r="AI456">
        <f>[1]发票导入!AI456&amp;""</f>
      </c>
      <c r="AJ456">
        <f>[1]发票导入!AJ456&amp;""</f>
      </c>
      <c r="AK456">
        <f>[1]发票导入!AK456</f>
        <v>0</v>
      </c>
      <c r="AL456">
        <f>[1]发票导入!AL456</f>
        <v>0</v>
      </c>
      <c r="AM456">
        <f>[1]发票导入!AM456</f>
        <v>0</v>
      </c>
      <c r="AN456" s="22">
        <f t="shared" si="1"/>
        <v>0</v>
      </c>
      <c r="AO456" s="22">
        <f t="shared" si="2"/>
        <v>0</v>
      </c>
    </row>
    <row r="457">
      <c r="C457">
        <f>[1]发票导入!C457&amp;""</f>
      </c>
      <c r="D457">
        <f>[1]发票导入!D457&amp;""</f>
      </c>
      <c r="O457">
        <f>[1]发票导入!O457&amp;""</f>
      </c>
      <c r="T457">
        <f>[1]发票导入!T457</f>
      </c>
      <c r="U457">
        <f>[1]发票导入!U457&amp;""</f>
      </c>
      <c r="V457">
        <f>[1]发票导入!V457&amp;""</f>
      </c>
      <c r="W457">
        <f>[1]发票导入!W457&amp;""</f>
      </c>
      <c r="Y457">
        <f>[1]发票导入!Y457&amp;""</f>
      </c>
      <c r="AA457">
        <f>[1]发票导入!AA457&amp;""</f>
      </c>
      <c r="AB457">
        <f>[1]发票导入!AB457</f>
        <v>0</v>
      </c>
      <c r="AC457">
        <f>[1]发票导入!AC457</f>
        <v>0</v>
      </c>
      <c r="AE457" s="22">
        <f t="shared" si="0"/>
      </c>
      <c r="AI457">
        <f>[1]发票导入!AI457&amp;""</f>
      </c>
      <c r="AJ457">
        <f>[1]发票导入!AJ457&amp;""</f>
      </c>
      <c r="AK457">
        <f>[1]发票导入!AK457</f>
        <v>0</v>
      </c>
      <c r="AL457">
        <f>[1]发票导入!AL457</f>
        <v>0</v>
      </c>
      <c r="AM457">
        <f>[1]发票导入!AM457</f>
        <v>0</v>
      </c>
      <c r="AN457" s="22">
        <f t="shared" si="1"/>
        <v>0</v>
      </c>
      <c r="AO457" s="22">
        <f t="shared" si="2"/>
        <v>0</v>
      </c>
    </row>
    <row r="458">
      <c r="C458">
        <f>[1]发票导入!C458&amp;""</f>
      </c>
      <c r="D458">
        <f>[1]发票导入!D458&amp;""</f>
      </c>
      <c r="O458">
        <f>[1]发票导入!O458&amp;""</f>
      </c>
      <c r="T458">
        <f>[1]发票导入!T458</f>
      </c>
      <c r="U458">
        <f>[1]发票导入!U458&amp;""</f>
      </c>
      <c r="V458">
        <f>[1]发票导入!V458&amp;""</f>
      </c>
      <c r="W458">
        <f>[1]发票导入!W458&amp;""</f>
      </c>
      <c r="Y458">
        <f>[1]发票导入!Y458&amp;""</f>
      </c>
      <c r="AA458">
        <f>[1]发票导入!AA458&amp;""</f>
      </c>
      <c r="AB458">
        <f>[1]发票导入!AB458</f>
        <v>0</v>
      </c>
      <c r="AC458">
        <f>[1]发票导入!AC458</f>
        <v>0</v>
      </c>
      <c r="AE458" s="22">
        <f t="shared" si="0"/>
      </c>
      <c r="AI458">
        <f>[1]发票导入!AI458&amp;""</f>
      </c>
      <c r="AJ458">
        <f>[1]发票导入!AJ458&amp;""</f>
      </c>
      <c r="AK458">
        <f>[1]发票导入!AK458</f>
        <v>0</v>
      </c>
      <c r="AL458">
        <f>[1]发票导入!AL458</f>
        <v>0</v>
      </c>
      <c r="AM458">
        <f>[1]发票导入!AM458</f>
        <v>0</v>
      </c>
      <c r="AN458" s="22">
        <f t="shared" si="1"/>
        <v>0</v>
      </c>
      <c r="AO458" s="22">
        <f t="shared" si="2"/>
        <v>0</v>
      </c>
    </row>
    <row r="459">
      <c r="C459">
        <f>[1]发票导入!C459&amp;""</f>
      </c>
      <c r="D459">
        <f>[1]发票导入!D459&amp;""</f>
      </c>
      <c r="O459">
        <f>[1]发票导入!O459&amp;""</f>
      </c>
      <c r="T459">
        <f>[1]发票导入!T459</f>
      </c>
      <c r="U459">
        <f>[1]发票导入!U459&amp;""</f>
      </c>
      <c r="V459">
        <f>[1]发票导入!V459&amp;""</f>
      </c>
      <c r="W459">
        <f>[1]发票导入!W459&amp;""</f>
      </c>
      <c r="Y459">
        <f>[1]发票导入!Y459&amp;""</f>
      </c>
      <c r="AA459">
        <f>[1]发票导入!AA459&amp;""</f>
      </c>
      <c r="AB459">
        <f>[1]发票导入!AB459</f>
        <v>0</v>
      </c>
      <c r="AC459">
        <f>[1]发票导入!AC459</f>
        <v>0</v>
      </c>
      <c r="AE459" s="22">
        <f t="shared" si="0"/>
      </c>
      <c r="AI459">
        <f>[1]发票导入!AI459&amp;""</f>
      </c>
      <c r="AJ459">
        <f>[1]发票导入!AJ459&amp;""</f>
      </c>
      <c r="AK459">
        <f>[1]发票导入!AK459</f>
        <v>0</v>
      </c>
      <c r="AL459">
        <f>[1]发票导入!AL459</f>
        <v>0</v>
      </c>
      <c r="AM459">
        <f>[1]发票导入!AM459</f>
        <v>0</v>
      </c>
      <c r="AN459" s="22">
        <f t="shared" si="1"/>
        <v>0</v>
      </c>
      <c r="AO459" s="22">
        <f t="shared" si="2"/>
        <v>0</v>
      </c>
    </row>
    <row r="460">
      <c r="C460">
        <f>[1]发票导入!C460&amp;""</f>
      </c>
      <c r="D460">
        <f>[1]发票导入!D460&amp;""</f>
      </c>
      <c r="O460">
        <f>[1]发票导入!O460&amp;""</f>
      </c>
      <c r="T460">
        <f>[1]发票导入!T460</f>
      </c>
      <c r="U460">
        <f>[1]发票导入!U460&amp;""</f>
      </c>
      <c r="V460">
        <f>[1]发票导入!V460&amp;""</f>
      </c>
      <c r="W460">
        <f>[1]发票导入!W460&amp;""</f>
      </c>
      <c r="Y460">
        <f>[1]发票导入!Y460&amp;""</f>
      </c>
      <c r="AA460">
        <f>[1]发票导入!AA460&amp;""</f>
      </c>
      <c r="AB460">
        <f>[1]发票导入!AB460</f>
        <v>0</v>
      </c>
      <c r="AC460">
        <f>[1]发票导入!AC460</f>
        <v>0</v>
      </c>
      <c r="AE460" s="22">
        <f t="shared" si="0"/>
      </c>
      <c r="AI460">
        <f>[1]发票导入!AI460&amp;""</f>
      </c>
      <c r="AJ460">
        <f>[1]发票导入!AJ460&amp;""</f>
      </c>
      <c r="AK460">
        <f>[1]发票导入!AK460</f>
        <v>0</v>
      </c>
      <c r="AL460">
        <f>[1]发票导入!AL460</f>
        <v>0</v>
      </c>
      <c r="AM460">
        <f>[1]发票导入!AM460</f>
        <v>0</v>
      </c>
      <c r="AN460" s="22">
        <f t="shared" si="1"/>
        <v>0</v>
      </c>
      <c r="AO460" s="22">
        <f t="shared" si="2"/>
        <v>0</v>
      </c>
    </row>
    <row r="461">
      <c r="C461">
        <f>[1]发票导入!C461&amp;""</f>
      </c>
      <c r="D461">
        <f>[1]发票导入!D461&amp;""</f>
      </c>
      <c r="O461">
        <f>[1]发票导入!O461&amp;""</f>
      </c>
      <c r="T461">
        <f>[1]发票导入!T461</f>
      </c>
      <c r="U461">
        <f>[1]发票导入!U461&amp;""</f>
      </c>
      <c r="V461">
        <f>[1]发票导入!V461&amp;""</f>
      </c>
      <c r="W461">
        <f>[1]发票导入!W461&amp;""</f>
      </c>
      <c r="Y461">
        <f>[1]发票导入!Y461&amp;""</f>
      </c>
      <c r="AA461">
        <f>[1]发票导入!AA461&amp;""</f>
      </c>
      <c r="AB461">
        <f>[1]发票导入!AB461</f>
        <v>0</v>
      </c>
      <c r="AC461">
        <f>[1]发票导入!AC461</f>
        <v>0</v>
      </c>
      <c r="AE461" s="22">
        <f t="shared" si="0"/>
      </c>
      <c r="AI461">
        <f>[1]发票导入!AI461&amp;""</f>
      </c>
      <c r="AJ461">
        <f>[1]发票导入!AJ461&amp;""</f>
      </c>
      <c r="AK461">
        <f>[1]发票导入!AK461</f>
        <v>0</v>
      </c>
      <c r="AL461">
        <f>[1]发票导入!AL461</f>
        <v>0</v>
      </c>
      <c r="AM461">
        <f>[1]发票导入!AM461</f>
        <v>0</v>
      </c>
      <c r="AN461" s="22">
        <f t="shared" si="1"/>
        <v>0</v>
      </c>
      <c r="AO461" s="22">
        <f t="shared" si="2"/>
        <v>0</v>
      </c>
    </row>
    <row r="462">
      <c r="C462">
        <f>[1]发票导入!C462&amp;""</f>
      </c>
      <c r="D462">
        <f>[1]发票导入!D462&amp;""</f>
      </c>
      <c r="O462">
        <f>[1]发票导入!O462&amp;""</f>
      </c>
      <c r="T462">
        <f>[1]发票导入!T462</f>
      </c>
      <c r="U462">
        <f>[1]发票导入!U462&amp;""</f>
      </c>
      <c r="V462">
        <f>[1]发票导入!V462&amp;""</f>
      </c>
      <c r="W462">
        <f>[1]发票导入!W462&amp;""</f>
      </c>
      <c r="Y462">
        <f>[1]发票导入!Y462&amp;""</f>
      </c>
      <c r="AA462">
        <f>[1]发票导入!AA462&amp;""</f>
      </c>
      <c r="AB462">
        <f>[1]发票导入!AB462</f>
        <v>0</v>
      </c>
      <c r="AC462">
        <f>[1]发票导入!AC462</f>
        <v>0</v>
      </c>
      <c r="AE462" s="22">
        <f t="shared" si="0"/>
      </c>
      <c r="AI462">
        <f>[1]发票导入!AI462&amp;""</f>
      </c>
      <c r="AJ462">
        <f>[1]发票导入!AJ462&amp;""</f>
      </c>
      <c r="AK462">
        <f>[1]发票导入!AK462</f>
        <v>0</v>
      </c>
      <c r="AL462">
        <f>[1]发票导入!AL462</f>
        <v>0</v>
      </c>
      <c r="AM462">
        <f>[1]发票导入!AM462</f>
        <v>0</v>
      </c>
      <c r="AN462" s="22">
        <f t="shared" si="1"/>
        <v>0</v>
      </c>
      <c r="AO462" s="22">
        <f t="shared" si="2"/>
        <v>0</v>
      </c>
    </row>
    <row r="463">
      <c r="C463">
        <f>[1]发票导入!C463&amp;""</f>
      </c>
      <c r="D463">
        <f>[1]发票导入!D463&amp;""</f>
      </c>
      <c r="O463">
        <f>[1]发票导入!O463&amp;""</f>
      </c>
      <c r="T463">
        <f>[1]发票导入!T463</f>
      </c>
      <c r="U463">
        <f>[1]发票导入!U463&amp;""</f>
      </c>
      <c r="V463">
        <f>[1]发票导入!V463&amp;""</f>
      </c>
      <c r="W463">
        <f>[1]发票导入!W463&amp;""</f>
      </c>
      <c r="Y463">
        <f>[1]发票导入!Y463&amp;""</f>
      </c>
      <c r="AA463">
        <f>[1]发票导入!AA463&amp;""</f>
      </c>
      <c r="AB463">
        <f>[1]发票导入!AB463</f>
        <v>0</v>
      </c>
      <c r="AC463">
        <f>[1]发票导入!AC463</f>
        <v>0</v>
      </c>
      <c r="AE463" s="22">
        <f t="shared" si="0"/>
      </c>
      <c r="AI463">
        <f>[1]发票导入!AI463&amp;""</f>
      </c>
      <c r="AJ463">
        <f>[1]发票导入!AJ463&amp;""</f>
      </c>
      <c r="AK463">
        <f>[1]发票导入!AK463</f>
        <v>0</v>
      </c>
      <c r="AL463">
        <f>[1]发票导入!AL463</f>
        <v>0</v>
      </c>
      <c r="AM463">
        <f>[1]发票导入!AM463</f>
        <v>0</v>
      </c>
      <c r="AN463" s="22">
        <f t="shared" si="1"/>
        <v>0</v>
      </c>
      <c r="AO463" s="22">
        <f t="shared" si="2"/>
        <v>0</v>
      </c>
    </row>
    <row r="464">
      <c r="C464">
        <f>[1]发票导入!C464&amp;""</f>
      </c>
      <c r="D464">
        <f>[1]发票导入!D464&amp;""</f>
      </c>
      <c r="O464">
        <f>[1]发票导入!O464&amp;""</f>
      </c>
      <c r="T464">
        <f>[1]发票导入!T464</f>
      </c>
      <c r="U464">
        <f>[1]发票导入!U464&amp;""</f>
      </c>
      <c r="V464">
        <f>[1]发票导入!V464&amp;""</f>
      </c>
      <c r="W464">
        <f>[1]发票导入!W464&amp;""</f>
      </c>
      <c r="Y464">
        <f>[1]发票导入!Y464&amp;""</f>
      </c>
      <c r="AA464">
        <f>[1]发票导入!AA464&amp;""</f>
      </c>
      <c r="AB464">
        <f>[1]发票导入!AB464</f>
        <v>0</v>
      </c>
      <c r="AC464">
        <f>[1]发票导入!AC464</f>
        <v>0</v>
      </c>
      <c r="AE464" s="22">
        <f t="shared" si="0"/>
      </c>
      <c r="AI464">
        <f>[1]发票导入!AI464&amp;""</f>
      </c>
      <c r="AJ464">
        <f>[1]发票导入!AJ464&amp;""</f>
      </c>
      <c r="AK464">
        <f>[1]发票导入!AK464</f>
        <v>0</v>
      </c>
      <c r="AL464">
        <f>[1]发票导入!AL464</f>
        <v>0</v>
      </c>
      <c r="AM464">
        <f>[1]发票导入!AM464</f>
        <v>0</v>
      </c>
      <c r="AN464" s="22">
        <f t="shared" si="1"/>
        <v>0</v>
      </c>
      <c r="AO464" s="22">
        <f t="shared" si="2"/>
        <v>0</v>
      </c>
    </row>
    <row r="465">
      <c r="C465">
        <f>[1]发票导入!C465&amp;""</f>
      </c>
      <c r="D465">
        <f>[1]发票导入!D465&amp;""</f>
      </c>
      <c r="O465">
        <f>[1]发票导入!O465&amp;""</f>
      </c>
      <c r="T465">
        <f>[1]发票导入!T465</f>
      </c>
      <c r="U465">
        <f>[1]发票导入!U465&amp;""</f>
      </c>
      <c r="V465">
        <f>[1]发票导入!V465&amp;""</f>
      </c>
      <c r="W465">
        <f>[1]发票导入!W465&amp;""</f>
      </c>
      <c r="Y465">
        <f>[1]发票导入!Y465&amp;""</f>
      </c>
      <c r="AA465">
        <f>[1]发票导入!AA465&amp;""</f>
      </c>
      <c r="AB465">
        <f>[1]发票导入!AB465</f>
        <v>0</v>
      </c>
      <c r="AC465">
        <f>[1]发票导入!AC465</f>
        <v>0</v>
      </c>
      <c r="AE465" s="22">
        <f t="shared" si="0"/>
      </c>
      <c r="AI465">
        <f>[1]发票导入!AI465&amp;""</f>
      </c>
      <c r="AJ465">
        <f>[1]发票导入!AJ465&amp;""</f>
      </c>
      <c r="AK465">
        <f>[1]发票导入!AK465</f>
        <v>0</v>
      </c>
      <c r="AL465">
        <f>[1]发票导入!AL465</f>
        <v>0</v>
      </c>
      <c r="AM465">
        <f>[1]发票导入!AM465</f>
        <v>0</v>
      </c>
      <c r="AN465" s="22">
        <f t="shared" si="1"/>
        <v>0</v>
      </c>
      <c r="AO465" s="22">
        <f t="shared" si="2"/>
        <v>0</v>
      </c>
    </row>
    <row r="466">
      <c r="C466">
        <f>[1]发票导入!C466&amp;""</f>
      </c>
      <c r="D466">
        <f>[1]发票导入!D466&amp;""</f>
      </c>
      <c r="O466">
        <f>[1]发票导入!O466&amp;""</f>
      </c>
      <c r="T466">
        <f>[1]发票导入!T466</f>
      </c>
      <c r="U466">
        <f>[1]发票导入!U466&amp;""</f>
      </c>
      <c r="V466">
        <f>[1]发票导入!V466&amp;""</f>
      </c>
      <c r="W466">
        <f>[1]发票导入!W466&amp;""</f>
      </c>
      <c r="Y466">
        <f>[1]发票导入!Y466&amp;""</f>
      </c>
      <c r="AA466">
        <f>[1]发票导入!AA466&amp;""</f>
      </c>
      <c r="AB466">
        <f>[1]发票导入!AB466</f>
        <v>0</v>
      </c>
      <c r="AC466">
        <f>[1]发票导入!AC466</f>
        <v>0</v>
      </c>
      <c r="AE466" s="22">
        <f t="shared" si="0"/>
      </c>
      <c r="AI466">
        <f>[1]发票导入!AI466&amp;""</f>
      </c>
      <c r="AJ466">
        <f>[1]发票导入!AJ466&amp;""</f>
      </c>
      <c r="AK466">
        <f>[1]发票导入!AK466</f>
        <v>0</v>
      </c>
      <c r="AL466">
        <f>[1]发票导入!AL466</f>
        <v>0</v>
      </c>
      <c r="AM466">
        <f>[1]发票导入!AM466</f>
        <v>0</v>
      </c>
      <c r="AN466" s="22">
        <f t="shared" si="1"/>
        <v>0</v>
      </c>
      <c r="AO466" s="22">
        <f t="shared" si="2"/>
        <v>0</v>
      </c>
    </row>
    <row r="467">
      <c r="C467">
        <f>[1]发票导入!C467&amp;""</f>
      </c>
      <c r="D467">
        <f>[1]发票导入!D467&amp;""</f>
      </c>
      <c r="O467">
        <f>[1]发票导入!O467&amp;""</f>
      </c>
      <c r="T467">
        <f>[1]发票导入!T467</f>
      </c>
      <c r="U467">
        <f>[1]发票导入!U467&amp;""</f>
      </c>
      <c r="V467">
        <f>[1]发票导入!V467&amp;""</f>
      </c>
      <c r="W467">
        <f>[1]发票导入!W467&amp;""</f>
      </c>
      <c r="Y467">
        <f>[1]发票导入!Y467&amp;""</f>
      </c>
      <c r="AA467">
        <f>[1]发票导入!AA467&amp;""</f>
      </c>
      <c r="AB467">
        <f>[1]发票导入!AB467</f>
        <v>0</v>
      </c>
      <c r="AC467">
        <f>[1]发票导入!AC467</f>
        <v>0</v>
      </c>
      <c r="AE467" s="22">
        <f t="shared" si="0"/>
      </c>
      <c r="AI467">
        <f>[1]发票导入!AI467&amp;""</f>
      </c>
      <c r="AJ467">
        <f>[1]发票导入!AJ467&amp;""</f>
      </c>
      <c r="AK467">
        <f>[1]发票导入!AK467</f>
        <v>0</v>
      </c>
      <c r="AL467">
        <f>[1]发票导入!AL467</f>
        <v>0</v>
      </c>
      <c r="AM467">
        <f>[1]发票导入!AM467</f>
        <v>0</v>
      </c>
      <c r="AN467" s="22">
        <f t="shared" si="1"/>
        <v>0</v>
      </c>
      <c r="AO467" s="22">
        <f t="shared" si="2"/>
        <v>0</v>
      </c>
    </row>
    <row r="468">
      <c r="C468">
        <f>[1]发票导入!C468&amp;""</f>
      </c>
      <c r="D468">
        <f>[1]发票导入!D468&amp;""</f>
      </c>
      <c r="O468">
        <f>[1]发票导入!O468&amp;""</f>
      </c>
      <c r="T468">
        <f>[1]发票导入!T468</f>
      </c>
      <c r="U468">
        <f>[1]发票导入!U468&amp;""</f>
      </c>
      <c r="V468">
        <f>[1]发票导入!V468&amp;""</f>
      </c>
      <c r="W468">
        <f>[1]发票导入!W468&amp;""</f>
      </c>
      <c r="Y468">
        <f>[1]发票导入!Y468&amp;""</f>
      </c>
      <c r="AA468">
        <f>[1]发票导入!AA468&amp;""</f>
      </c>
      <c r="AB468">
        <f>[1]发票导入!AB468</f>
        <v>0</v>
      </c>
      <c r="AC468">
        <f>[1]发票导入!AC468</f>
        <v>0</v>
      </c>
      <c r="AE468" s="22">
        <f t="shared" si="0"/>
      </c>
      <c r="AI468">
        <f>[1]发票导入!AI468&amp;""</f>
      </c>
      <c r="AJ468">
        <f>[1]发票导入!AJ468&amp;""</f>
      </c>
      <c r="AK468">
        <f>[1]发票导入!AK468</f>
        <v>0</v>
      </c>
      <c r="AL468">
        <f>[1]发票导入!AL468</f>
        <v>0</v>
      </c>
      <c r="AM468">
        <f>[1]发票导入!AM468</f>
        <v>0</v>
      </c>
      <c r="AN468" s="22">
        <f t="shared" si="1"/>
        <v>0</v>
      </c>
      <c r="AO468" s="22">
        <f t="shared" si="2"/>
        <v>0</v>
      </c>
    </row>
    <row r="469">
      <c r="C469">
        <f>[1]发票导入!C469&amp;""</f>
      </c>
      <c r="D469">
        <f>[1]发票导入!D469&amp;""</f>
      </c>
      <c r="O469">
        <f>[1]发票导入!O469&amp;""</f>
      </c>
      <c r="T469">
        <f>[1]发票导入!T469</f>
      </c>
      <c r="U469">
        <f>[1]发票导入!U469&amp;""</f>
      </c>
      <c r="V469">
        <f>[1]发票导入!V469&amp;""</f>
      </c>
      <c r="W469">
        <f>[1]发票导入!W469&amp;""</f>
      </c>
      <c r="Y469">
        <f>[1]发票导入!Y469&amp;""</f>
      </c>
      <c r="AA469">
        <f>[1]发票导入!AA469&amp;""</f>
      </c>
      <c r="AB469">
        <f>[1]发票导入!AB469</f>
        <v>0</v>
      </c>
      <c r="AC469">
        <f>[1]发票导入!AC469</f>
        <v>0</v>
      </c>
      <c r="AE469" s="22">
        <f t="shared" si="0"/>
      </c>
      <c r="AI469">
        <f>[1]发票导入!AI469&amp;""</f>
      </c>
      <c r="AJ469">
        <f>[1]发票导入!AJ469&amp;""</f>
      </c>
      <c r="AK469">
        <f>[1]发票导入!AK469</f>
        <v>0</v>
      </c>
      <c r="AL469">
        <f>[1]发票导入!AL469</f>
        <v>0</v>
      </c>
      <c r="AM469">
        <f>[1]发票导入!AM469</f>
        <v>0</v>
      </c>
      <c r="AN469" s="22">
        <f t="shared" si="1"/>
        <v>0</v>
      </c>
      <c r="AO469" s="22">
        <f t="shared" si="2"/>
        <v>0</v>
      </c>
    </row>
    <row r="470">
      <c r="C470">
        <f>[1]发票导入!C470&amp;""</f>
      </c>
      <c r="D470">
        <f>[1]发票导入!D470&amp;""</f>
      </c>
      <c r="O470">
        <f>[1]发票导入!O470&amp;""</f>
      </c>
      <c r="T470">
        <f>[1]发票导入!T470</f>
      </c>
      <c r="U470">
        <f>[1]发票导入!U470&amp;""</f>
      </c>
      <c r="V470">
        <f>[1]发票导入!V470&amp;""</f>
      </c>
      <c r="W470">
        <f>[1]发票导入!W470&amp;""</f>
      </c>
      <c r="Y470">
        <f>[1]发票导入!Y470&amp;""</f>
      </c>
      <c r="AA470">
        <f>[1]发票导入!AA470&amp;""</f>
      </c>
      <c r="AB470">
        <f>[1]发票导入!AB470</f>
        <v>0</v>
      </c>
      <c r="AC470">
        <f>[1]发票导入!AC470</f>
        <v>0</v>
      </c>
      <c r="AE470" s="22">
        <f t="shared" si="0"/>
      </c>
      <c r="AI470">
        <f>[1]发票导入!AI470&amp;""</f>
      </c>
      <c r="AJ470">
        <f>[1]发票导入!AJ470&amp;""</f>
      </c>
      <c r="AK470">
        <f>[1]发票导入!AK470</f>
        <v>0</v>
      </c>
      <c r="AL470">
        <f>[1]发票导入!AL470</f>
        <v>0</v>
      </c>
      <c r="AM470">
        <f>[1]发票导入!AM470</f>
        <v>0</v>
      </c>
      <c r="AN470" s="22">
        <f t="shared" si="1"/>
        <v>0</v>
      </c>
      <c r="AO470" s="22">
        <f t="shared" si="2"/>
        <v>0</v>
      </c>
    </row>
    <row r="471">
      <c r="C471">
        <f>[1]发票导入!C471&amp;""</f>
      </c>
      <c r="D471">
        <f>[1]发票导入!D471&amp;""</f>
      </c>
      <c r="O471">
        <f>[1]发票导入!O471&amp;""</f>
      </c>
      <c r="T471">
        <f>[1]发票导入!T471</f>
      </c>
      <c r="U471">
        <f>[1]发票导入!U471&amp;""</f>
      </c>
      <c r="V471">
        <f>[1]发票导入!V471&amp;""</f>
      </c>
      <c r="W471">
        <f>[1]发票导入!W471&amp;""</f>
      </c>
      <c r="Y471">
        <f>[1]发票导入!Y471&amp;""</f>
      </c>
      <c r="AA471">
        <f>[1]发票导入!AA471&amp;""</f>
      </c>
      <c r="AB471">
        <f>[1]发票导入!AB471</f>
        <v>0</v>
      </c>
      <c r="AC471">
        <f>[1]发票导入!AC471</f>
        <v>0</v>
      </c>
      <c r="AE471" s="22">
        <f t="shared" si="0"/>
      </c>
      <c r="AI471">
        <f>[1]发票导入!AI471&amp;""</f>
      </c>
      <c r="AJ471">
        <f>[1]发票导入!AJ471&amp;""</f>
      </c>
      <c r="AK471">
        <f>[1]发票导入!AK471</f>
        <v>0</v>
      </c>
      <c r="AL471">
        <f>[1]发票导入!AL471</f>
        <v>0</v>
      </c>
      <c r="AM471">
        <f>[1]发票导入!AM471</f>
        <v>0</v>
      </c>
      <c r="AN471" s="22">
        <f t="shared" si="1"/>
        <v>0</v>
      </c>
      <c r="AO471" s="22">
        <f t="shared" si="2"/>
        <v>0</v>
      </c>
    </row>
    <row r="472">
      <c r="C472">
        <f>[1]发票导入!C472&amp;""</f>
      </c>
      <c r="D472">
        <f>[1]发票导入!D472&amp;""</f>
      </c>
      <c r="O472">
        <f>[1]发票导入!O472&amp;""</f>
      </c>
      <c r="T472">
        <f>[1]发票导入!T472</f>
      </c>
      <c r="U472">
        <f>[1]发票导入!U472&amp;""</f>
      </c>
      <c r="V472">
        <f>[1]发票导入!V472&amp;""</f>
      </c>
      <c r="W472">
        <f>[1]发票导入!W472&amp;""</f>
      </c>
      <c r="Y472">
        <f>[1]发票导入!Y472&amp;""</f>
      </c>
      <c r="AA472">
        <f>[1]发票导入!AA472&amp;""</f>
      </c>
      <c r="AB472">
        <f>[1]发票导入!AB472</f>
        <v>0</v>
      </c>
      <c r="AC472">
        <f>[1]发票导入!AC472</f>
        <v>0</v>
      </c>
      <c r="AE472" s="22">
        <f t="shared" si="0"/>
      </c>
      <c r="AI472">
        <f>[1]发票导入!AI472&amp;""</f>
      </c>
      <c r="AJ472">
        <f>[1]发票导入!AJ472&amp;""</f>
      </c>
      <c r="AK472">
        <f>[1]发票导入!AK472</f>
        <v>0</v>
      </c>
      <c r="AL472">
        <f>[1]发票导入!AL472</f>
        <v>0</v>
      </c>
      <c r="AM472">
        <f>[1]发票导入!AM472</f>
        <v>0</v>
      </c>
      <c r="AN472" s="22">
        <f t="shared" si="1"/>
        <v>0</v>
      </c>
      <c r="AO472" s="22">
        <f t="shared" si="2"/>
        <v>0</v>
      </c>
    </row>
    <row r="473">
      <c r="C473">
        <f>[1]发票导入!C473&amp;""</f>
      </c>
      <c r="D473">
        <f>[1]发票导入!D473&amp;""</f>
      </c>
      <c r="O473">
        <f>[1]发票导入!O473&amp;""</f>
      </c>
      <c r="T473">
        <f>[1]发票导入!T473</f>
      </c>
      <c r="U473">
        <f>[1]发票导入!U473&amp;""</f>
      </c>
      <c r="V473">
        <f>[1]发票导入!V473&amp;""</f>
      </c>
      <c r="W473">
        <f>[1]发票导入!W473&amp;""</f>
      </c>
      <c r="Y473">
        <f>[1]发票导入!Y473&amp;""</f>
      </c>
      <c r="AA473">
        <f>[1]发票导入!AA473&amp;""</f>
      </c>
      <c r="AB473">
        <f>[1]发票导入!AB473</f>
        <v>0</v>
      </c>
      <c r="AC473">
        <f>[1]发票导入!AC473</f>
        <v>0</v>
      </c>
      <c r="AE473" s="22">
        <f t="shared" si="0"/>
      </c>
      <c r="AI473">
        <f>[1]发票导入!AI473&amp;""</f>
      </c>
      <c r="AJ473">
        <f>[1]发票导入!AJ473&amp;""</f>
      </c>
      <c r="AK473">
        <f>[1]发票导入!AK473</f>
        <v>0</v>
      </c>
      <c r="AL473">
        <f>[1]发票导入!AL473</f>
        <v>0</v>
      </c>
      <c r="AM473">
        <f>[1]发票导入!AM473</f>
        <v>0</v>
      </c>
      <c r="AN473" s="22">
        <f t="shared" si="1"/>
        <v>0</v>
      </c>
      <c r="AO473" s="22">
        <f t="shared" si="2"/>
        <v>0</v>
      </c>
    </row>
    <row r="474">
      <c r="C474">
        <f>[1]发票导入!C474&amp;""</f>
      </c>
      <c r="D474">
        <f>[1]发票导入!D474&amp;""</f>
      </c>
      <c r="O474">
        <f>[1]发票导入!O474&amp;""</f>
      </c>
      <c r="T474">
        <f>[1]发票导入!T474</f>
      </c>
      <c r="U474">
        <f>[1]发票导入!U474&amp;""</f>
      </c>
      <c r="V474">
        <f>[1]发票导入!V474&amp;""</f>
      </c>
      <c r="W474">
        <f>[1]发票导入!W474&amp;""</f>
      </c>
      <c r="Y474">
        <f>[1]发票导入!Y474&amp;""</f>
      </c>
      <c r="AA474">
        <f>[1]发票导入!AA474&amp;""</f>
      </c>
      <c r="AB474">
        <f>[1]发票导入!AB474</f>
        <v>0</v>
      </c>
      <c r="AC474">
        <f>[1]发票导入!AC474</f>
        <v>0</v>
      </c>
      <c r="AE474" s="22">
        <f t="shared" si="0"/>
      </c>
      <c r="AI474">
        <f>[1]发票导入!AI474&amp;""</f>
      </c>
      <c r="AJ474">
        <f>[1]发票导入!AJ474&amp;""</f>
      </c>
      <c r="AK474">
        <f>[1]发票导入!AK474</f>
        <v>0</v>
      </c>
      <c r="AL474">
        <f>[1]发票导入!AL474</f>
        <v>0</v>
      </c>
      <c r="AM474">
        <f>[1]发票导入!AM474</f>
        <v>0</v>
      </c>
      <c r="AN474" s="22">
        <f t="shared" si="1"/>
        <v>0</v>
      </c>
      <c r="AO474" s="22">
        <f t="shared" si="2"/>
        <v>0</v>
      </c>
    </row>
    <row r="475">
      <c r="C475">
        <f>[1]发票导入!C475&amp;""</f>
      </c>
      <c r="D475">
        <f>[1]发票导入!D475&amp;""</f>
      </c>
      <c r="O475">
        <f>[1]发票导入!O475&amp;""</f>
      </c>
      <c r="T475">
        <f>[1]发票导入!T475</f>
      </c>
      <c r="U475">
        <f>[1]发票导入!U475&amp;""</f>
      </c>
      <c r="V475">
        <f>[1]发票导入!V475&amp;""</f>
      </c>
      <c r="W475">
        <f>[1]发票导入!W475&amp;""</f>
      </c>
      <c r="Y475">
        <f>[1]发票导入!Y475&amp;""</f>
      </c>
      <c r="AA475">
        <f>[1]发票导入!AA475&amp;""</f>
      </c>
      <c r="AB475">
        <f>[1]发票导入!AB475</f>
        <v>0</v>
      </c>
      <c r="AC475">
        <f>[1]发票导入!AC475</f>
        <v>0</v>
      </c>
      <c r="AE475" s="22">
        <f t="shared" si="0"/>
      </c>
      <c r="AI475">
        <f>[1]发票导入!AI475&amp;""</f>
      </c>
      <c r="AJ475">
        <f>[1]发票导入!AJ475&amp;""</f>
      </c>
      <c r="AK475">
        <f>[1]发票导入!AK475</f>
        <v>0</v>
      </c>
      <c r="AL475">
        <f>[1]发票导入!AL475</f>
        <v>0</v>
      </c>
      <c r="AM475">
        <f>[1]发票导入!AM475</f>
        <v>0</v>
      </c>
      <c r="AN475" s="22">
        <f t="shared" si="1"/>
        <v>0</v>
      </c>
      <c r="AO475" s="22">
        <f t="shared" si="2"/>
        <v>0</v>
      </c>
    </row>
    <row r="476">
      <c r="C476">
        <f>[1]发票导入!C476&amp;""</f>
      </c>
      <c r="D476">
        <f>[1]发票导入!D476&amp;""</f>
      </c>
      <c r="O476">
        <f>[1]发票导入!O476&amp;""</f>
      </c>
      <c r="T476">
        <f>[1]发票导入!T476</f>
      </c>
      <c r="U476">
        <f>[1]发票导入!U476&amp;""</f>
      </c>
      <c r="V476">
        <f>[1]发票导入!V476&amp;""</f>
      </c>
      <c r="W476">
        <f>[1]发票导入!W476&amp;""</f>
      </c>
      <c r="Y476">
        <f>[1]发票导入!Y476&amp;""</f>
      </c>
      <c r="AA476">
        <f>[1]发票导入!AA476&amp;""</f>
      </c>
      <c r="AB476">
        <f>[1]发票导入!AB476</f>
        <v>0</v>
      </c>
      <c r="AC476">
        <f>[1]发票导入!AC476</f>
        <v>0</v>
      </c>
      <c r="AE476" s="22">
        <f t="shared" si="0"/>
      </c>
      <c r="AI476">
        <f>[1]发票导入!AI476&amp;""</f>
      </c>
      <c r="AJ476">
        <f>[1]发票导入!AJ476&amp;""</f>
      </c>
      <c r="AK476">
        <f>[1]发票导入!AK476</f>
        <v>0</v>
      </c>
      <c r="AL476">
        <f>[1]发票导入!AL476</f>
        <v>0</v>
      </c>
      <c r="AM476">
        <f>[1]发票导入!AM476</f>
        <v>0</v>
      </c>
      <c r="AN476" s="22">
        <f t="shared" si="1"/>
        <v>0</v>
      </c>
      <c r="AO476" s="22">
        <f t="shared" si="2"/>
        <v>0</v>
      </c>
    </row>
    <row r="477">
      <c r="C477">
        <f>[1]发票导入!C477&amp;""</f>
      </c>
      <c r="D477">
        <f>[1]发票导入!D477&amp;""</f>
      </c>
      <c r="O477">
        <f>[1]发票导入!O477&amp;""</f>
      </c>
      <c r="T477">
        <f>[1]发票导入!T477</f>
      </c>
      <c r="U477">
        <f>[1]发票导入!U477&amp;""</f>
      </c>
      <c r="V477">
        <f>[1]发票导入!V477&amp;""</f>
      </c>
      <c r="W477">
        <f>[1]发票导入!W477&amp;""</f>
      </c>
      <c r="Y477">
        <f>[1]发票导入!Y477&amp;""</f>
      </c>
      <c r="AA477">
        <f>[1]发票导入!AA477&amp;""</f>
      </c>
      <c r="AB477">
        <f>[1]发票导入!AB477</f>
        <v>0</v>
      </c>
      <c r="AC477">
        <f>[1]发票导入!AC477</f>
        <v>0</v>
      </c>
      <c r="AE477" s="22">
        <f t="shared" si="0"/>
      </c>
      <c r="AI477">
        <f>[1]发票导入!AI477&amp;""</f>
      </c>
      <c r="AJ477">
        <f>[1]发票导入!AJ477&amp;""</f>
      </c>
      <c r="AK477">
        <f>[1]发票导入!AK477</f>
        <v>0</v>
      </c>
      <c r="AL477">
        <f>[1]发票导入!AL477</f>
        <v>0</v>
      </c>
      <c r="AM477">
        <f>[1]发票导入!AM477</f>
        <v>0</v>
      </c>
      <c r="AN477" s="22">
        <f t="shared" si="1"/>
        <v>0</v>
      </c>
      <c r="AO477" s="22">
        <f t="shared" si="2"/>
        <v>0</v>
      </c>
    </row>
    <row r="478">
      <c r="C478">
        <f>[1]发票导入!C478&amp;""</f>
      </c>
      <c r="D478">
        <f>[1]发票导入!D478&amp;""</f>
      </c>
      <c r="O478">
        <f>[1]发票导入!O478&amp;""</f>
      </c>
      <c r="T478">
        <f>[1]发票导入!T478</f>
      </c>
      <c r="U478">
        <f>[1]发票导入!U478&amp;""</f>
      </c>
      <c r="V478">
        <f>[1]发票导入!V478&amp;""</f>
      </c>
      <c r="W478">
        <f>[1]发票导入!W478&amp;""</f>
      </c>
      <c r="Y478">
        <f>[1]发票导入!Y478&amp;""</f>
      </c>
      <c r="AA478">
        <f>[1]发票导入!AA478&amp;""</f>
      </c>
      <c r="AB478">
        <f>[1]发票导入!AB478</f>
        <v>0</v>
      </c>
      <c r="AC478">
        <f>[1]发票导入!AC478</f>
        <v>0</v>
      </c>
      <c r="AE478" s="22">
        <f t="shared" si="0"/>
      </c>
      <c r="AI478">
        <f>[1]发票导入!AI478&amp;""</f>
      </c>
      <c r="AJ478">
        <f>[1]发票导入!AJ478&amp;""</f>
      </c>
      <c r="AK478">
        <f>[1]发票导入!AK478</f>
        <v>0</v>
      </c>
      <c r="AL478">
        <f>[1]发票导入!AL478</f>
        <v>0</v>
      </c>
      <c r="AM478">
        <f>[1]发票导入!AM478</f>
        <v>0</v>
      </c>
      <c r="AN478" s="22">
        <f t="shared" si="1"/>
        <v>0</v>
      </c>
      <c r="AO478" s="22">
        <f t="shared" si="2"/>
        <v>0</v>
      </c>
    </row>
    <row r="479">
      <c r="C479">
        <f>[1]发票导入!C479&amp;""</f>
      </c>
      <c r="D479">
        <f>[1]发票导入!D479&amp;""</f>
      </c>
      <c r="O479">
        <f>[1]发票导入!O479&amp;""</f>
      </c>
      <c r="T479">
        <f>[1]发票导入!T479</f>
      </c>
      <c r="U479">
        <f>[1]发票导入!U479&amp;""</f>
      </c>
      <c r="V479">
        <f>[1]发票导入!V479&amp;""</f>
      </c>
      <c r="W479">
        <f>[1]发票导入!W479&amp;""</f>
      </c>
      <c r="Y479">
        <f>[1]发票导入!Y479&amp;""</f>
      </c>
      <c r="AA479">
        <f>[1]发票导入!AA479&amp;""</f>
      </c>
      <c r="AB479">
        <f>[1]发票导入!AB479</f>
        <v>0</v>
      </c>
      <c r="AC479">
        <f>[1]发票导入!AC479</f>
        <v>0</v>
      </c>
      <c r="AE479" s="22">
        <f t="shared" si="0"/>
      </c>
      <c r="AI479">
        <f>[1]发票导入!AI479&amp;""</f>
      </c>
      <c r="AJ479">
        <f>[1]发票导入!AJ479&amp;""</f>
      </c>
      <c r="AK479">
        <f>[1]发票导入!AK479</f>
        <v>0</v>
      </c>
      <c r="AL479">
        <f>[1]发票导入!AL479</f>
        <v>0</v>
      </c>
      <c r="AM479">
        <f>[1]发票导入!AM479</f>
        <v>0</v>
      </c>
      <c r="AN479" s="22">
        <f t="shared" si="1"/>
        <v>0</v>
      </c>
      <c r="AO479" s="22">
        <f t="shared" si="2"/>
        <v>0</v>
      </c>
    </row>
    <row r="480">
      <c r="C480">
        <f>[1]发票导入!C480&amp;""</f>
      </c>
      <c r="D480">
        <f>[1]发票导入!D480&amp;""</f>
      </c>
      <c r="O480">
        <f>[1]发票导入!O480&amp;""</f>
      </c>
      <c r="T480">
        <f>[1]发票导入!T480</f>
      </c>
      <c r="U480">
        <f>[1]发票导入!U480&amp;""</f>
      </c>
      <c r="V480">
        <f>[1]发票导入!V480&amp;""</f>
      </c>
      <c r="W480">
        <f>[1]发票导入!W480&amp;""</f>
      </c>
      <c r="Y480">
        <f>[1]发票导入!Y480&amp;""</f>
      </c>
      <c r="AA480">
        <f>[1]发票导入!AA480&amp;""</f>
      </c>
      <c r="AB480">
        <f>[1]发票导入!AB480</f>
        <v>0</v>
      </c>
      <c r="AC480">
        <f>[1]发票导入!AC480</f>
        <v>0</v>
      </c>
      <c r="AE480" s="22">
        <f t="shared" si="0"/>
      </c>
      <c r="AI480">
        <f>[1]发票导入!AI480&amp;""</f>
      </c>
      <c r="AJ480">
        <f>[1]发票导入!AJ480&amp;""</f>
      </c>
      <c r="AK480">
        <f>[1]发票导入!AK480</f>
        <v>0</v>
      </c>
      <c r="AL480">
        <f>[1]发票导入!AL480</f>
        <v>0</v>
      </c>
      <c r="AM480">
        <f>[1]发票导入!AM480</f>
        <v>0</v>
      </c>
      <c r="AN480" s="22">
        <f t="shared" si="1"/>
        <v>0</v>
      </c>
      <c r="AO480" s="22">
        <f t="shared" si="2"/>
        <v>0</v>
      </c>
    </row>
    <row r="481">
      <c r="C481">
        <f>[1]发票导入!C481&amp;""</f>
      </c>
      <c r="D481">
        <f>[1]发票导入!D481&amp;""</f>
      </c>
      <c r="O481">
        <f>[1]发票导入!O481&amp;""</f>
      </c>
      <c r="T481">
        <f>[1]发票导入!T481</f>
      </c>
      <c r="U481">
        <f>[1]发票导入!U481&amp;""</f>
      </c>
      <c r="V481">
        <f>[1]发票导入!V481&amp;""</f>
      </c>
      <c r="W481">
        <f>[1]发票导入!W481&amp;""</f>
      </c>
      <c r="Y481">
        <f>[1]发票导入!Y481&amp;""</f>
      </c>
      <c r="AA481">
        <f>[1]发票导入!AA481&amp;""</f>
      </c>
      <c r="AB481">
        <f>[1]发票导入!AB481</f>
        <v>0</v>
      </c>
      <c r="AC481">
        <f>[1]发票导入!AC481</f>
        <v>0</v>
      </c>
      <c r="AE481" s="22">
        <f t="shared" si="0"/>
      </c>
      <c r="AI481">
        <f>[1]发票导入!AI481&amp;""</f>
      </c>
      <c r="AJ481">
        <f>[1]发票导入!AJ481&amp;""</f>
      </c>
      <c r="AK481">
        <f>[1]发票导入!AK481</f>
        <v>0</v>
      </c>
      <c r="AL481">
        <f>[1]发票导入!AL481</f>
        <v>0</v>
      </c>
      <c r="AM481">
        <f>[1]发票导入!AM481</f>
        <v>0</v>
      </c>
      <c r="AN481" s="22">
        <f t="shared" si="1"/>
        <v>0</v>
      </c>
      <c r="AO481" s="22">
        <f t="shared" si="2"/>
        <v>0</v>
      </c>
    </row>
    <row r="482">
      <c r="C482">
        <f>[1]发票导入!C482&amp;""</f>
      </c>
      <c r="D482">
        <f>[1]发票导入!D482&amp;""</f>
      </c>
      <c r="O482">
        <f>[1]发票导入!O482&amp;""</f>
      </c>
      <c r="T482">
        <f>[1]发票导入!T482</f>
      </c>
      <c r="U482">
        <f>[1]发票导入!U482&amp;""</f>
      </c>
      <c r="V482">
        <f>[1]发票导入!V482&amp;""</f>
      </c>
      <c r="W482">
        <f>[1]发票导入!W482&amp;""</f>
      </c>
      <c r="Y482">
        <f>[1]发票导入!Y482&amp;""</f>
      </c>
      <c r="AA482">
        <f>[1]发票导入!AA482&amp;""</f>
      </c>
      <c r="AB482">
        <f>[1]发票导入!AB482</f>
        <v>0</v>
      </c>
      <c r="AC482">
        <f>[1]发票导入!AC482</f>
        <v>0</v>
      </c>
      <c r="AE482" s="22">
        <f t="shared" si="0"/>
      </c>
      <c r="AI482">
        <f>[1]发票导入!AI482&amp;""</f>
      </c>
      <c r="AJ482">
        <f>[1]发票导入!AJ482&amp;""</f>
      </c>
      <c r="AK482">
        <f>[1]发票导入!AK482</f>
        <v>0</v>
      </c>
      <c r="AL482">
        <f>[1]发票导入!AL482</f>
        <v>0</v>
      </c>
      <c r="AM482">
        <f>[1]发票导入!AM482</f>
        <v>0</v>
      </c>
      <c r="AN482" s="22">
        <f t="shared" si="1"/>
        <v>0</v>
      </c>
      <c r="AO482" s="22">
        <f t="shared" si="2"/>
        <v>0</v>
      </c>
    </row>
    <row r="483">
      <c r="C483">
        <f>[1]发票导入!C483&amp;""</f>
      </c>
      <c r="D483">
        <f>[1]发票导入!D483&amp;""</f>
      </c>
      <c r="O483">
        <f>[1]发票导入!O483&amp;""</f>
      </c>
      <c r="T483">
        <f>[1]发票导入!T483</f>
      </c>
      <c r="U483">
        <f>[1]发票导入!U483&amp;""</f>
      </c>
      <c r="V483">
        <f>[1]发票导入!V483&amp;""</f>
      </c>
      <c r="W483">
        <f>[1]发票导入!W483&amp;""</f>
      </c>
      <c r="Y483">
        <f>[1]发票导入!Y483&amp;""</f>
      </c>
      <c r="AA483">
        <f>[1]发票导入!AA483&amp;""</f>
      </c>
      <c r="AB483">
        <f>[1]发票导入!AB483</f>
        <v>0</v>
      </c>
      <c r="AC483">
        <f>[1]发票导入!AC483</f>
        <v>0</v>
      </c>
      <c r="AE483" s="22">
        <f t="shared" si="0"/>
      </c>
      <c r="AI483">
        <f>[1]发票导入!AI483&amp;""</f>
      </c>
      <c r="AJ483">
        <f>[1]发票导入!AJ483&amp;""</f>
      </c>
      <c r="AK483">
        <f>[1]发票导入!AK483</f>
        <v>0</v>
      </c>
      <c r="AL483">
        <f>[1]发票导入!AL483</f>
        <v>0</v>
      </c>
      <c r="AM483">
        <f>[1]发票导入!AM483</f>
        <v>0</v>
      </c>
      <c r="AN483" s="22">
        <f t="shared" si="1"/>
        <v>0</v>
      </c>
      <c r="AO483" s="22">
        <f t="shared" si="2"/>
        <v>0</v>
      </c>
    </row>
    <row r="484">
      <c r="C484">
        <f>[1]发票导入!C484&amp;""</f>
      </c>
      <c r="D484">
        <f>[1]发票导入!D484&amp;""</f>
      </c>
      <c r="O484">
        <f>[1]发票导入!O484&amp;""</f>
      </c>
      <c r="T484">
        <f>[1]发票导入!T484</f>
      </c>
      <c r="U484">
        <f>[1]发票导入!U484&amp;""</f>
      </c>
      <c r="V484">
        <f>[1]发票导入!V484&amp;""</f>
      </c>
      <c r="W484">
        <f>[1]发票导入!W484&amp;""</f>
      </c>
      <c r="Y484">
        <f>[1]发票导入!Y484&amp;""</f>
      </c>
      <c r="AA484">
        <f>[1]发票导入!AA484&amp;""</f>
      </c>
      <c r="AB484">
        <f>[1]发票导入!AB484</f>
        <v>0</v>
      </c>
      <c r="AC484">
        <f>[1]发票导入!AC484</f>
        <v>0</v>
      </c>
      <c r="AE484" s="22">
        <f t="shared" si="0"/>
      </c>
      <c r="AI484">
        <f>[1]发票导入!AI484&amp;""</f>
      </c>
      <c r="AJ484">
        <f>[1]发票导入!AJ484&amp;""</f>
      </c>
      <c r="AK484">
        <f>[1]发票导入!AK484</f>
        <v>0</v>
      </c>
      <c r="AL484">
        <f>[1]发票导入!AL484</f>
        <v>0</v>
      </c>
      <c r="AM484">
        <f>[1]发票导入!AM484</f>
        <v>0</v>
      </c>
      <c r="AN484" s="22">
        <f t="shared" si="1"/>
        <v>0</v>
      </c>
      <c r="AO484" s="22">
        <f t="shared" si="2"/>
        <v>0</v>
      </c>
    </row>
    <row r="485">
      <c r="C485">
        <f>[1]发票导入!C485&amp;""</f>
      </c>
      <c r="D485">
        <f>[1]发票导入!D485&amp;""</f>
      </c>
      <c r="O485">
        <f>[1]发票导入!O485&amp;""</f>
      </c>
      <c r="T485">
        <f>[1]发票导入!T485</f>
      </c>
      <c r="U485">
        <f>[1]发票导入!U485&amp;""</f>
      </c>
      <c r="V485">
        <f>[1]发票导入!V485&amp;""</f>
      </c>
      <c r="W485">
        <f>[1]发票导入!W485&amp;""</f>
      </c>
      <c r="Y485">
        <f>[1]发票导入!Y485&amp;""</f>
      </c>
      <c r="AA485">
        <f>[1]发票导入!AA485&amp;""</f>
      </c>
      <c r="AB485">
        <f>[1]发票导入!AB485</f>
        <v>0</v>
      </c>
      <c r="AC485">
        <f>[1]发票导入!AC485</f>
        <v>0</v>
      </c>
      <c r="AE485" s="22">
        <f t="shared" si="0"/>
      </c>
      <c r="AI485">
        <f>[1]发票导入!AI485&amp;""</f>
      </c>
      <c r="AJ485">
        <f>[1]发票导入!AJ485&amp;""</f>
      </c>
      <c r="AK485">
        <f>[1]发票导入!AK485</f>
        <v>0</v>
      </c>
      <c r="AL485">
        <f>[1]发票导入!AL485</f>
        <v>0</v>
      </c>
      <c r="AM485">
        <f>[1]发票导入!AM485</f>
        <v>0</v>
      </c>
      <c r="AN485" s="22">
        <f t="shared" si="1"/>
        <v>0</v>
      </c>
      <c r="AO485" s="22">
        <f t="shared" si="2"/>
        <v>0</v>
      </c>
    </row>
    <row r="486">
      <c r="C486">
        <f>[1]发票导入!C486&amp;""</f>
      </c>
      <c r="D486">
        <f>[1]发票导入!D486&amp;""</f>
      </c>
      <c r="O486">
        <f>[1]发票导入!O486&amp;""</f>
      </c>
      <c r="T486">
        <f>[1]发票导入!T486</f>
      </c>
      <c r="U486">
        <f>[1]发票导入!U486&amp;""</f>
      </c>
      <c r="V486">
        <f>[1]发票导入!V486&amp;""</f>
      </c>
      <c r="W486">
        <f>[1]发票导入!W486&amp;""</f>
      </c>
      <c r="Y486">
        <f>[1]发票导入!Y486&amp;""</f>
      </c>
      <c r="AA486">
        <f>[1]发票导入!AA486&amp;""</f>
      </c>
      <c r="AB486">
        <f>[1]发票导入!AB486</f>
        <v>0</v>
      </c>
      <c r="AC486">
        <f>[1]发票导入!AC486</f>
        <v>0</v>
      </c>
      <c r="AE486" s="22">
        <f t="shared" si="0"/>
      </c>
      <c r="AI486">
        <f>[1]发票导入!AI486&amp;""</f>
      </c>
      <c r="AJ486">
        <f>[1]发票导入!AJ486&amp;""</f>
      </c>
      <c r="AK486">
        <f>[1]发票导入!AK486</f>
        <v>0</v>
      </c>
      <c r="AL486">
        <f>[1]发票导入!AL486</f>
        <v>0</v>
      </c>
      <c r="AM486">
        <f>[1]发票导入!AM486</f>
        <v>0</v>
      </c>
      <c r="AN486" s="22">
        <f t="shared" si="1"/>
        <v>0</v>
      </c>
      <c r="AO486" s="22">
        <f t="shared" si="2"/>
        <v>0</v>
      </c>
    </row>
    <row r="487">
      <c r="C487">
        <f>[1]发票导入!C487&amp;""</f>
      </c>
      <c r="D487">
        <f>[1]发票导入!D487&amp;""</f>
      </c>
      <c r="O487">
        <f>[1]发票导入!O487&amp;""</f>
      </c>
      <c r="T487">
        <f>[1]发票导入!T487</f>
      </c>
      <c r="U487">
        <f>[1]发票导入!U487&amp;""</f>
      </c>
      <c r="V487">
        <f>[1]发票导入!V487&amp;""</f>
      </c>
      <c r="W487">
        <f>[1]发票导入!W487&amp;""</f>
      </c>
      <c r="Y487">
        <f>[1]发票导入!Y487&amp;""</f>
      </c>
      <c r="AA487">
        <f>[1]发票导入!AA487&amp;""</f>
      </c>
      <c r="AB487">
        <f>[1]发票导入!AB487</f>
        <v>0</v>
      </c>
      <c r="AC487">
        <f>[1]发票导入!AC487</f>
        <v>0</v>
      </c>
      <c r="AE487" s="22">
        <f t="shared" si="0"/>
      </c>
      <c r="AI487">
        <f>[1]发票导入!AI487&amp;""</f>
      </c>
      <c r="AJ487">
        <f>[1]发票导入!AJ487&amp;""</f>
      </c>
      <c r="AK487">
        <f>[1]发票导入!AK487</f>
        <v>0</v>
      </c>
      <c r="AL487">
        <f>[1]发票导入!AL487</f>
        <v>0</v>
      </c>
      <c r="AM487">
        <f>[1]发票导入!AM487</f>
        <v>0</v>
      </c>
      <c r="AN487" s="22">
        <f t="shared" si="1"/>
        <v>0</v>
      </c>
      <c r="AO487" s="22">
        <f t="shared" si="2"/>
        <v>0</v>
      </c>
    </row>
    <row r="488">
      <c r="C488">
        <f>[1]发票导入!C488&amp;""</f>
      </c>
      <c r="D488">
        <f>[1]发票导入!D488&amp;""</f>
      </c>
      <c r="O488">
        <f>[1]发票导入!O488&amp;""</f>
      </c>
      <c r="T488">
        <f>[1]发票导入!T488</f>
      </c>
      <c r="U488">
        <f>[1]发票导入!U488&amp;""</f>
      </c>
      <c r="V488">
        <f>[1]发票导入!V488&amp;""</f>
      </c>
      <c r="W488">
        <f>[1]发票导入!W488&amp;""</f>
      </c>
      <c r="Y488">
        <f>[1]发票导入!Y488&amp;""</f>
      </c>
      <c r="AA488">
        <f>[1]发票导入!AA488&amp;""</f>
      </c>
      <c r="AB488">
        <f>[1]发票导入!AB488</f>
        <v>0</v>
      </c>
      <c r="AC488">
        <f>[1]发票导入!AC488</f>
        <v>0</v>
      </c>
      <c r="AE488" s="22">
        <f t="shared" si="0"/>
      </c>
      <c r="AI488">
        <f>[1]发票导入!AI488&amp;""</f>
      </c>
      <c r="AJ488">
        <f>[1]发票导入!AJ488&amp;""</f>
      </c>
      <c r="AK488">
        <f>[1]发票导入!AK488</f>
        <v>0</v>
      </c>
      <c r="AL488">
        <f>[1]发票导入!AL488</f>
        <v>0</v>
      </c>
      <c r="AM488">
        <f>[1]发票导入!AM488</f>
        <v>0</v>
      </c>
      <c r="AN488" s="22">
        <f t="shared" si="1"/>
        <v>0</v>
      </c>
      <c r="AO488" s="22">
        <f t="shared" si="2"/>
        <v>0</v>
      </c>
    </row>
    <row r="489">
      <c r="C489">
        <f>[1]发票导入!C489&amp;""</f>
      </c>
      <c r="D489">
        <f>[1]发票导入!D489&amp;""</f>
      </c>
      <c r="O489">
        <f>[1]发票导入!O489&amp;""</f>
      </c>
      <c r="T489">
        <f>[1]发票导入!T489</f>
      </c>
      <c r="U489">
        <f>[1]发票导入!U489&amp;""</f>
      </c>
      <c r="V489">
        <f>[1]发票导入!V489&amp;""</f>
      </c>
      <c r="W489">
        <f>[1]发票导入!W489&amp;""</f>
      </c>
      <c r="Y489">
        <f>[1]发票导入!Y489&amp;""</f>
      </c>
      <c r="AA489">
        <f>[1]发票导入!AA489&amp;""</f>
      </c>
      <c r="AB489">
        <f>[1]发票导入!AB489</f>
        <v>0</v>
      </c>
      <c r="AC489">
        <f>[1]发票导入!AC489</f>
        <v>0</v>
      </c>
      <c r="AE489" s="22">
        <f t="shared" si="0"/>
      </c>
      <c r="AI489">
        <f>[1]发票导入!AI489&amp;""</f>
      </c>
      <c r="AJ489">
        <f>[1]发票导入!AJ489&amp;""</f>
      </c>
      <c r="AK489">
        <f>[1]发票导入!AK489</f>
        <v>0</v>
      </c>
      <c r="AL489">
        <f>[1]发票导入!AL489</f>
        <v>0</v>
      </c>
      <c r="AM489">
        <f>[1]发票导入!AM489</f>
        <v>0</v>
      </c>
      <c r="AN489" s="22">
        <f t="shared" si="1"/>
        <v>0</v>
      </c>
      <c r="AO489" s="22">
        <f t="shared" si="2"/>
        <v>0</v>
      </c>
    </row>
    <row r="490">
      <c r="C490">
        <f>[1]发票导入!C490&amp;""</f>
      </c>
      <c r="D490">
        <f>[1]发票导入!D490&amp;""</f>
      </c>
      <c r="O490">
        <f>[1]发票导入!O490&amp;""</f>
      </c>
      <c r="T490">
        <f>[1]发票导入!T490</f>
      </c>
      <c r="U490">
        <f>[1]发票导入!U490&amp;""</f>
      </c>
      <c r="V490">
        <f>[1]发票导入!V490&amp;""</f>
      </c>
      <c r="W490">
        <f>[1]发票导入!W490&amp;""</f>
      </c>
      <c r="Y490">
        <f>[1]发票导入!Y490&amp;""</f>
      </c>
      <c r="AA490">
        <f>[1]发票导入!AA490&amp;""</f>
      </c>
      <c r="AB490">
        <f>[1]发票导入!AB490</f>
        <v>0</v>
      </c>
      <c r="AC490">
        <f>[1]发票导入!AC490</f>
        <v>0</v>
      </c>
      <c r="AE490" s="22">
        <f t="shared" si="0"/>
      </c>
      <c r="AI490">
        <f>[1]发票导入!AI490&amp;""</f>
      </c>
      <c r="AJ490">
        <f>[1]发票导入!AJ490&amp;""</f>
      </c>
      <c r="AK490">
        <f>[1]发票导入!AK490</f>
        <v>0</v>
      </c>
      <c r="AL490">
        <f>[1]发票导入!AL490</f>
        <v>0</v>
      </c>
      <c r="AM490">
        <f>[1]发票导入!AM490</f>
        <v>0</v>
      </c>
      <c r="AN490" s="22">
        <f t="shared" si="1"/>
        <v>0</v>
      </c>
      <c r="AO490" s="22">
        <f t="shared" si="2"/>
        <v>0</v>
      </c>
    </row>
    <row r="491">
      <c r="C491">
        <f>[1]发票导入!C491&amp;""</f>
      </c>
      <c r="D491">
        <f>[1]发票导入!D491&amp;""</f>
      </c>
      <c r="O491">
        <f>[1]发票导入!O491&amp;""</f>
      </c>
      <c r="T491">
        <f>[1]发票导入!T491</f>
      </c>
      <c r="U491">
        <f>[1]发票导入!U491&amp;""</f>
      </c>
      <c r="V491">
        <f>[1]发票导入!V491&amp;""</f>
      </c>
      <c r="W491">
        <f>[1]发票导入!W491&amp;""</f>
      </c>
      <c r="Y491">
        <f>[1]发票导入!Y491&amp;""</f>
      </c>
      <c r="AA491">
        <f>[1]发票导入!AA491&amp;""</f>
      </c>
      <c r="AB491">
        <f>[1]发票导入!AB491</f>
        <v>0</v>
      </c>
      <c r="AC491">
        <f>[1]发票导入!AC491</f>
        <v>0</v>
      </c>
      <c r="AE491" s="22">
        <f t="shared" si="0"/>
      </c>
      <c r="AI491">
        <f>[1]发票导入!AI491&amp;""</f>
      </c>
      <c r="AJ491">
        <f>[1]发票导入!AJ491&amp;""</f>
      </c>
      <c r="AK491">
        <f>[1]发票导入!AK491</f>
        <v>0</v>
      </c>
      <c r="AL491">
        <f>[1]发票导入!AL491</f>
        <v>0</v>
      </c>
      <c r="AM491">
        <f>[1]发票导入!AM491</f>
        <v>0</v>
      </c>
      <c r="AN491" s="22">
        <f t="shared" si="1"/>
        <v>0</v>
      </c>
      <c r="AO491" s="22">
        <f t="shared" si="2"/>
        <v>0</v>
      </c>
    </row>
    <row r="492">
      <c r="C492">
        <f>[1]发票导入!C492&amp;""</f>
      </c>
      <c r="D492">
        <f>[1]发票导入!D492&amp;""</f>
      </c>
      <c r="O492">
        <f>[1]发票导入!O492&amp;""</f>
      </c>
      <c r="T492">
        <f>[1]发票导入!T492</f>
      </c>
      <c r="U492">
        <f>[1]发票导入!U492&amp;""</f>
      </c>
      <c r="V492">
        <f>[1]发票导入!V492&amp;""</f>
      </c>
      <c r="W492">
        <f>[1]发票导入!W492&amp;""</f>
      </c>
      <c r="Y492">
        <f>[1]发票导入!Y492&amp;""</f>
      </c>
      <c r="AA492">
        <f>[1]发票导入!AA492&amp;""</f>
      </c>
      <c r="AB492">
        <f>[1]发票导入!AB492</f>
        <v>0</v>
      </c>
      <c r="AC492">
        <f>[1]发票导入!AC492</f>
        <v>0</v>
      </c>
      <c r="AE492" s="22">
        <f t="shared" si="0"/>
      </c>
      <c r="AI492">
        <f>[1]发票导入!AI492&amp;""</f>
      </c>
      <c r="AJ492">
        <f>[1]发票导入!AJ492&amp;""</f>
      </c>
      <c r="AK492">
        <f>[1]发票导入!AK492</f>
        <v>0</v>
      </c>
      <c r="AL492">
        <f>[1]发票导入!AL492</f>
        <v>0</v>
      </c>
      <c r="AM492">
        <f>[1]发票导入!AM492</f>
        <v>0</v>
      </c>
      <c r="AN492" s="22">
        <f t="shared" si="1"/>
        <v>0</v>
      </c>
      <c r="AO492" s="22">
        <f t="shared" si="2"/>
        <v>0</v>
      </c>
    </row>
    <row r="493">
      <c r="C493">
        <f>[1]发票导入!C493&amp;""</f>
      </c>
      <c r="D493">
        <f>[1]发票导入!D493&amp;""</f>
      </c>
      <c r="O493">
        <f>[1]发票导入!O493&amp;""</f>
      </c>
      <c r="T493">
        <f>[1]发票导入!T493</f>
      </c>
      <c r="U493">
        <f>[1]发票导入!U493&amp;""</f>
      </c>
      <c r="V493">
        <f>[1]发票导入!V493&amp;""</f>
      </c>
      <c r="W493">
        <f>[1]发票导入!W493&amp;""</f>
      </c>
      <c r="Y493">
        <f>[1]发票导入!Y493&amp;""</f>
      </c>
      <c r="AA493">
        <f>[1]发票导入!AA493&amp;""</f>
      </c>
      <c r="AB493">
        <f>[1]发票导入!AB493</f>
        <v>0</v>
      </c>
      <c r="AC493">
        <f>[1]发票导入!AC493</f>
        <v>0</v>
      </c>
      <c r="AE493" s="22">
        <f t="shared" si="0"/>
      </c>
      <c r="AI493">
        <f>[1]发票导入!AI493&amp;""</f>
      </c>
      <c r="AJ493">
        <f>[1]发票导入!AJ493&amp;""</f>
      </c>
      <c r="AK493">
        <f>[1]发票导入!AK493</f>
        <v>0</v>
      </c>
      <c r="AL493">
        <f>[1]发票导入!AL493</f>
        <v>0</v>
      </c>
      <c r="AM493">
        <f>[1]发票导入!AM493</f>
        <v>0</v>
      </c>
      <c r="AN493" s="22">
        <f t="shared" si="1"/>
        <v>0</v>
      </c>
      <c r="AO493" s="22">
        <f t="shared" si="2"/>
        <v>0</v>
      </c>
    </row>
    <row r="494">
      <c r="C494">
        <f>[1]发票导入!C494&amp;""</f>
      </c>
      <c r="D494">
        <f>[1]发票导入!D494&amp;""</f>
      </c>
      <c r="O494">
        <f>[1]发票导入!O494&amp;""</f>
      </c>
      <c r="T494">
        <f>[1]发票导入!T494</f>
      </c>
      <c r="U494">
        <f>[1]发票导入!U494&amp;""</f>
      </c>
      <c r="V494">
        <f>[1]发票导入!V494&amp;""</f>
      </c>
      <c r="W494">
        <f>[1]发票导入!W494&amp;""</f>
      </c>
      <c r="Y494">
        <f>[1]发票导入!Y494&amp;""</f>
      </c>
      <c r="AA494">
        <f>[1]发票导入!AA494&amp;""</f>
      </c>
      <c r="AB494">
        <f>[1]发票导入!AB494</f>
        <v>0</v>
      </c>
      <c r="AC494">
        <f>[1]发票导入!AC494</f>
        <v>0</v>
      </c>
      <c r="AE494" s="22">
        <f t="shared" si="0"/>
      </c>
      <c r="AI494">
        <f>[1]发票导入!AI494&amp;""</f>
      </c>
      <c r="AJ494">
        <f>[1]发票导入!AJ494&amp;""</f>
      </c>
      <c r="AK494">
        <f>[1]发票导入!AK494</f>
        <v>0</v>
      </c>
      <c r="AL494">
        <f>[1]发票导入!AL494</f>
        <v>0</v>
      </c>
      <c r="AM494">
        <f>[1]发票导入!AM494</f>
        <v>0</v>
      </c>
      <c r="AN494" s="22">
        <f t="shared" si="1"/>
        <v>0</v>
      </c>
      <c r="AO494" s="22">
        <f t="shared" si="2"/>
        <v>0</v>
      </c>
    </row>
    <row r="495">
      <c r="C495">
        <f>[1]发票导入!C495&amp;""</f>
      </c>
      <c r="D495">
        <f>[1]发票导入!D495&amp;""</f>
      </c>
      <c r="O495">
        <f>[1]发票导入!O495&amp;""</f>
      </c>
      <c r="T495">
        <f>[1]发票导入!T495</f>
      </c>
      <c r="U495">
        <f>[1]发票导入!U495&amp;""</f>
      </c>
      <c r="V495">
        <f>[1]发票导入!V495&amp;""</f>
      </c>
      <c r="W495">
        <f>[1]发票导入!W495&amp;""</f>
      </c>
      <c r="Y495">
        <f>[1]发票导入!Y495&amp;""</f>
      </c>
      <c r="AA495">
        <f>[1]发票导入!AA495&amp;""</f>
      </c>
      <c r="AB495">
        <f>[1]发票导入!AB495</f>
        <v>0</v>
      </c>
      <c r="AC495">
        <f>[1]发票导入!AC495</f>
        <v>0</v>
      </c>
      <c r="AE495" s="22">
        <f t="shared" si="0"/>
      </c>
      <c r="AI495">
        <f>[1]发票导入!AI495&amp;""</f>
      </c>
      <c r="AJ495">
        <f>[1]发票导入!AJ495&amp;""</f>
      </c>
      <c r="AK495">
        <f>[1]发票导入!AK495</f>
        <v>0</v>
      </c>
      <c r="AL495">
        <f>[1]发票导入!AL495</f>
        <v>0</v>
      </c>
      <c r="AM495">
        <f>[1]发票导入!AM495</f>
        <v>0</v>
      </c>
      <c r="AN495" s="22">
        <f t="shared" si="1"/>
        <v>0</v>
      </c>
      <c r="AO495" s="22">
        <f t="shared" si="2"/>
        <v>0</v>
      </c>
    </row>
    <row r="496">
      <c r="C496">
        <f>[1]发票导入!C496&amp;""</f>
      </c>
      <c r="D496">
        <f>[1]发票导入!D496&amp;""</f>
      </c>
      <c r="O496">
        <f>[1]发票导入!O496&amp;""</f>
      </c>
      <c r="T496">
        <f>[1]发票导入!T496</f>
      </c>
      <c r="U496">
        <f>[1]发票导入!U496&amp;""</f>
      </c>
      <c r="V496">
        <f>[1]发票导入!V496&amp;""</f>
      </c>
      <c r="W496">
        <f>[1]发票导入!W496&amp;""</f>
      </c>
      <c r="Y496">
        <f>[1]发票导入!Y496&amp;""</f>
      </c>
      <c r="AA496">
        <f>[1]发票导入!AA496&amp;""</f>
      </c>
      <c r="AB496">
        <f>[1]发票导入!AB496</f>
        <v>0</v>
      </c>
      <c r="AC496">
        <f>[1]发票导入!AC496</f>
        <v>0</v>
      </c>
      <c r="AE496" s="22">
        <f t="shared" si="0"/>
      </c>
      <c r="AI496">
        <f>[1]发票导入!AI496&amp;""</f>
      </c>
      <c r="AJ496">
        <f>[1]发票导入!AJ496&amp;""</f>
      </c>
      <c r="AK496">
        <f>[1]发票导入!AK496</f>
        <v>0</v>
      </c>
      <c r="AL496">
        <f>[1]发票导入!AL496</f>
        <v>0</v>
      </c>
      <c r="AM496">
        <f>[1]发票导入!AM496</f>
        <v>0</v>
      </c>
      <c r="AN496" s="22">
        <f t="shared" si="1"/>
        <v>0</v>
      </c>
      <c r="AO496" s="22">
        <f t="shared" si="2"/>
        <v>0</v>
      </c>
    </row>
    <row r="497">
      <c r="C497">
        <f>[1]发票导入!C497&amp;""</f>
      </c>
      <c r="D497">
        <f>[1]发票导入!D497&amp;""</f>
      </c>
      <c r="O497">
        <f>[1]发票导入!O497&amp;""</f>
      </c>
      <c r="T497">
        <f>[1]发票导入!T497</f>
      </c>
      <c r="U497">
        <f>[1]发票导入!U497&amp;""</f>
      </c>
      <c r="V497">
        <f>[1]发票导入!V497&amp;""</f>
      </c>
      <c r="W497">
        <f>[1]发票导入!W497&amp;""</f>
      </c>
      <c r="Y497">
        <f>[1]发票导入!Y497&amp;""</f>
      </c>
      <c r="AA497">
        <f>[1]发票导入!AA497&amp;""</f>
      </c>
      <c r="AB497">
        <f>[1]发票导入!AB497</f>
        <v>0</v>
      </c>
      <c r="AC497">
        <f>[1]发票导入!AC497</f>
        <v>0</v>
      </c>
      <c r="AE497" s="22">
        <f t="shared" si="0"/>
      </c>
      <c r="AI497">
        <f>[1]发票导入!AI497&amp;""</f>
      </c>
      <c r="AJ497">
        <f>[1]发票导入!AJ497&amp;""</f>
      </c>
      <c r="AK497">
        <f>[1]发票导入!AK497</f>
        <v>0</v>
      </c>
      <c r="AL497">
        <f>[1]发票导入!AL497</f>
        <v>0</v>
      </c>
      <c r="AM497">
        <f>[1]发票导入!AM497</f>
        <v>0</v>
      </c>
      <c r="AN497" s="22">
        <f t="shared" si="1"/>
        <v>0</v>
      </c>
      <c r="AO497" s="22">
        <f t="shared" si="2"/>
        <v>0</v>
      </c>
    </row>
    <row r="498">
      <c r="C498">
        <f>[1]发票导入!C498&amp;""</f>
      </c>
      <c r="D498">
        <f>[1]发票导入!D498&amp;""</f>
      </c>
      <c r="O498">
        <f>[1]发票导入!O498&amp;""</f>
      </c>
      <c r="T498">
        <f>[1]发票导入!T498</f>
      </c>
      <c r="U498">
        <f>[1]发票导入!U498&amp;""</f>
      </c>
      <c r="V498">
        <f>[1]发票导入!V498&amp;""</f>
      </c>
      <c r="W498">
        <f>[1]发票导入!W498&amp;""</f>
      </c>
      <c r="Y498">
        <f>[1]发票导入!Y498&amp;""</f>
      </c>
      <c r="AA498">
        <f>[1]发票导入!AA498&amp;""</f>
      </c>
      <c r="AB498">
        <f>[1]发票导入!AB498</f>
        <v>0</v>
      </c>
      <c r="AC498">
        <f>[1]发票导入!AC498</f>
        <v>0</v>
      </c>
      <c r="AE498" s="22">
        <f t="shared" si="0"/>
      </c>
      <c r="AI498">
        <f>[1]发票导入!AI498&amp;""</f>
      </c>
      <c r="AJ498">
        <f>[1]发票导入!AJ498&amp;""</f>
      </c>
      <c r="AK498">
        <f>[1]发票导入!AK498</f>
        <v>0</v>
      </c>
      <c r="AL498">
        <f>[1]发票导入!AL498</f>
        <v>0</v>
      </c>
      <c r="AM498">
        <f>[1]发票导入!AM498</f>
        <v>0</v>
      </c>
      <c r="AN498" s="22">
        <f t="shared" si="1"/>
        <v>0</v>
      </c>
      <c r="AO498" s="22">
        <f t="shared" si="2"/>
        <v>0</v>
      </c>
    </row>
    <row r="499">
      <c r="C499">
        <f>[1]发票导入!C499&amp;""</f>
      </c>
      <c r="D499">
        <f>[1]发票导入!D499&amp;""</f>
      </c>
      <c r="O499">
        <f>[1]发票导入!O499&amp;""</f>
      </c>
      <c r="T499">
        <f>[1]发票导入!T499</f>
      </c>
      <c r="U499">
        <f>[1]发票导入!U499&amp;""</f>
      </c>
      <c r="V499">
        <f>[1]发票导入!V499&amp;""</f>
      </c>
      <c r="W499">
        <f>[1]发票导入!W499&amp;""</f>
      </c>
      <c r="Y499">
        <f>[1]发票导入!Y499&amp;""</f>
      </c>
      <c r="AA499">
        <f>[1]发票导入!AA499&amp;""</f>
      </c>
      <c r="AB499">
        <f>[1]发票导入!AB499</f>
        <v>0</v>
      </c>
      <c r="AC499">
        <f>[1]发票导入!AC499</f>
        <v>0</v>
      </c>
      <c r="AE499" s="22">
        <f t="shared" si="0"/>
      </c>
      <c r="AI499">
        <f>[1]发票导入!AI499&amp;""</f>
      </c>
      <c r="AJ499">
        <f>[1]发票导入!AJ499&amp;""</f>
      </c>
      <c r="AK499">
        <f>[1]发票导入!AK499</f>
        <v>0</v>
      </c>
      <c r="AL499">
        <f>[1]发票导入!AL499</f>
        <v>0</v>
      </c>
      <c r="AM499">
        <f>[1]发票导入!AM499</f>
        <v>0</v>
      </c>
      <c r="AN499" s="22">
        <f t="shared" si="1"/>
        <v>0</v>
      </c>
      <c r="AO499" s="22">
        <f t="shared" si="2"/>
        <v>0</v>
      </c>
    </row>
    <row r="500">
      <c r="C500">
        <f>[1]发票导入!C500&amp;""</f>
      </c>
      <c r="D500">
        <f>[1]发票导入!D500&amp;""</f>
      </c>
      <c r="O500">
        <f>[1]发票导入!O500&amp;""</f>
      </c>
      <c r="T500">
        <f>[1]发票导入!T500</f>
      </c>
      <c r="U500">
        <f>[1]发票导入!U500&amp;""</f>
      </c>
      <c r="V500">
        <f>[1]发票导入!V500&amp;""</f>
      </c>
      <c r="W500">
        <f>[1]发票导入!W500&amp;""</f>
      </c>
      <c r="Y500">
        <f>[1]发票导入!Y500&amp;""</f>
      </c>
      <c r="AA500">
        <f>[1]发票导入!AA500&amp;""</f>
      </c>
      <c r="AB500">
        <f>[1]发票导入!AB500</f>
        <v>0</v>
      </c>
      <c r="AC500">
        <f>[1]发票导入!AC500</f>
        <v>0</v>
      </c>
      <c r="AE500" s="22">
        <f t="shared" si="0"/>
      </c>
      <c r="AI500">
        <f>[1]发票导入!AI500&amp;""</f>
      </c>
      <c r="AJ500">
        <f>[1]发票导入!AJ500&amp;""</f>
      </c>
      <c r="AK500">
        <f>[1]发票导入!AK500</f>
        <v>0</v>
      </c>
      <c r="AL500">
        <f>[1]发票导入!AL500</f>
        <v>0</v>
      </c>
      <c r="AM500">
        <f>[1]发票导入!AM500</f>
        <v>0</v>
      </c>
      <c r="AN500" s="22">
        <f t="shared" si="1"/>
        <v>0</v>
      </c>
      <c r="AO500" s="22">
        <f t="shared" si="2"/>
        <v>0</v>
      </c>
    </row>
    <row r="501">
      <c r="C501">
        <f>[1]发票导入!C501&amp;""</f>
      </c>
      <c r="D501">
        <f>[1]发票导入!D501&amp;""</f>
      </c>
      <c r="O501">
        <f>[1]发票导入!O501&amp;""</f>
      </c>
      <c r="T501">
        <f>[1]发票导入!T501</f>
      </c>
      <c r="U501">
        <f>[1]发票导入!U501&amp;""</f>
      </c>
      <c r="V501">
        <f>[1]发票导入!V501&amp;""</f>
      </c>
      <c r="W501">
        <f>[1]发票导入!W501&amp;""</f>
      </c>
      <c r="Y501">
        <f>[1]发票导入!Y501&amp;""</f>
      </c>
      <c r="AA501">
        <f>[1]发票导入!AA501&amp;""</f>
      </c>
      <c r="AB501">
        <f>[1]发票导入!AB501</f>
        <v>0</v>
      </c>
      <c r="AC501">
        <f>[1]发票导入!AC501</f>
        <v>0</v>
      </c>
      <c r="AE501" s="22">
        <f t="shared" si="0"/>
      </c>
      <c r="AI501">
        <f>[1]发票导入!AI501&amp;""</f>
      </c>
      <c r="AJ501">
        <f>[1]发票导入!AJ501&amp;""</f>
      </c>
      <c r="AK501">
        <f>[1]发票导入!AK501</f>
        <v>0</v>
      </c>
      <c r="AL501">
        <f>[1]发票导入!AL501</f>
        <v>0</v>
      </c>
      <c r="AM501">
        <f>[1]发票导入!AM501</f>
        <v>0</v>
      </c>
      <c r="AN501" s="22">
        <f t="shared" si="1"/>
        <v>0</v>
      </c>
      <c r="AO501" s="22">
        <f t="shared" si="2"/>
        <v>0</v>
      </c>
    </row>
    <row r="502">
      <c r="C502">
        <f>[1]发票导入!C502&amp;""</f>
      </c>
      <c r="D502">
        <f>[1]发票导入!D502&amp;""</f>
      </c>
      <c r="O502">
        <f>[1]发票导入!O502&amp;""</f>
      </c>
      <c r="T502">
        <f>[1]发票导入!T502</f>
      </c>
      <c r="U502">
        <f>[1]发票导入!U502&amp;""</f>
      </c>
      <c r="V502">
        <f>[1]发票导入!V502&amp;""</f>
      </c>
      <c r="W502">
        <f>[1]发票导入!W502&amp;""</f>
      </c>
      <c r="Y502">
        <f>[1]发票导入!Y502&amp;""</f>
      </c>
      <c r="AA502">
        <f>[1]发票导入!AA502&amp;""</f>
      </c>
      <c r="AB502">
        <f>[1]发票导入!AB502</f>
        <v>0</v>
      </c>
      <c r="AC502">
        <f>[1]发票导入!AC502</f>
        <v>0</v>
      </c>
      <c r="AE502" s="22">
        <f t="shared" si="0"/>
      </c>
      <c r="AI502">
        <f>[1]发票导入!AI502&amp;""</f>
      </c>
      <c r="AJ502">
        <f>[1]发票导入!AJ502&amp;""</f>
      </c>
      <c r="AK502">
        <f>[1]发票导入!AK502</f>
        <v>0</v>
      </c>
      <c r="AL502">
        <f>[1]发票导入!AL502</f>
        <v>0</v>
      </c>
      <c r="AM502">
        <f>[1]发票导入!AM502</f>
        <v>0</v>
      </c>
      <c r="AN502" s="22">
        <f t="shared" si="1"/>
        <v>0</v>
      </c>
      <c r="AO502" s="22">
        <f t="shared" si="2"/>
        <v>0</v>
      </c>
    </row>
    <row r="503">
      <c r="C503">
        <f>[1]发票导入!C503&amp;""</f>
      </c>
      <c r="D503">
        <f>[1]发票导入!D503&amp;""</f>
      </c>
      <c r="O503">
        <f>[1]发票导入!O503&amp;""</f>
      </c>
      <c r="T503">
        <f>[1]发票导入!T503</f>
      </c>
      <c r="U503">
        <f>[1]发票导入!U503&amp;""</f>
      </c>
      <c r="V503">
        <f>[1]发票导入!V503&amp;""</f>
      </c>
      <c r="W503">
        <f>[1]发票导入!W503&amp;""</f>
      </c>
      <c r="Y503">
        <f>[1]发票导入!Y503&amp;""</f>
      </c>
      <c r="AA503">
        <f>[1]发票导入!AA503&amp;""</f>
      </c>
      <c r="AB503">
        <f>[1]发票导入!AB503</f>
        <v>0</v>
      </c>
      <c r="AC503">
        <f>[1]发票导入!AC503</f>
        <v>0</v>
      </c>
      <c r="AE503" s="22">
        <f t="shared" si="0"/>
      </c>
      <c r="AI503">
        <f>[1]发票导入!AI503&amp;""</f>
      </c>
      <c r="AJ503">
        <f>[1]发票导入!AJ503&amp;""</f>
      </c>
      <c r="AK503">
        <f>[1]发票导入!AK503</f>
        <v>0</v>
      </c>
      <c r="AL503">
        <f>[1]发票导入!AL503</f>
        <v>0</v>
      </c>
      <c r="AM503">
        <f>[1]发票导入!AM503</f>
        <v>0</v>
      </c>
      <c r="AN503" s="22">
        <f t="shared" si="1"/>
        <v>0</v>
      </c>
      <c r="AO503" s="22">
        <f t="shared" si="2"/>
        <v>0</v>
      </c>
    </row>
    <row r="504">
      <c r="C504">
        <f>[1]发票导入!C504&amp;""</f>
      </c>
      <c r="D504">
        <f>[1]发票导入!D504&amp;""</f>
      </c>
      <c r="O504">
        <f>[1]发票导入!O504&amp;""</f>
      </c>
      <c r="T504">
        <f>[1]发票导入!T504</f>
      </c>
      <c r="U504">
        <f>[1]发票导入!U504&amp;""</f>
      </c>
      <c r="V504">
        <f>[1]发票导入!V504&amp;""</f>
      </c>
      <c r="W504">
        <f>[1]发票导入!W504&amp;""</f>
      </c>
      <c r="Y504">
        <f>[1]发票导入!Y504&amp;""</f>
      </c>
      <c r="AA504">
        <f>[1]发票导入!AA504&amp;""</f>
      </c>
      <c r="AB504">
        <f>[1]发票导入!AB504</f>
        <v>0</v>
      </c>
      <c r="AC504">
        <f>[1]发票导入!AC504</f>
        <v>0</v>
      </c>
      <c r="AE504" s="22">
        <f t="shared" si="0"/>
      </c>
      <c r="AI504">
        <f>[1]发票导入!AI504&amp;""</f>
      </c>
      <c r="AJ504">
        <f>[1]发票导入!AJ504&amp;""</f>
      </c>
      <c r="AK504">
        <f>[1]发票导入!AK504</f>
        <v>0</v>
      </c>
      <c r="AL504">
        <f>[1]发票导入!AL504</f>
        <v>0</v>
      </c>
      <c r="AM504">
        <f>[1]发票导入!AM504</f>
        <v>0</v>
      </c>
      <c r="AN504" s="22">
        <f t="shared" si="1"/>
        <v>0</v>
      </c>
      <c r="AO504" s="22">
        <f t="shared" si="2"/>
        <v>0</v>
      </c>
    </row>
    <row r="505">
      <c r="C505">
        <f>[1]发票导入!C505&amp;""</f>
      </c>
      <c r="D505">
        <f>[1]发票导入!D505&amp;""</f>
      </c>
      <c r="O505">
        <f>[1]发票导入!O505&amp;""</f>
      </c>
      <c r="T505">
        <f>[1]发票导入!T505</f>
      </c>
      <c r="U505">
        <f>[1]发票导入!U505&amp;""</f>
      </c>
      <c r="V505">
        <f>[1]发票导入!V505&amp;""</f>
      </c>
      <c r="W505">
        <f>[1]发票导入!W505&amp;""</f>
      </c>
      <c r="Y505">
        <f>[1]发票导入!Y505&amp;""</f>
      </c>
      <c r="AA505">
        <f>[1]发票导入!AA505&amp;""</f>
      </c>
      <c r="AB505">
        <f>[1]发票导入!AB505</f>
        <v>0</v>
      </c>
      <c r="AC505">
        <f>[1]发票导入!AC505</f>
        <v>0</v>
      </c>
      <c r="AE505" s="22">
        <f t="shared" si="0"/>
      </c>
      <c r="AI505">
        <f>[1]发票导入!AI505&amp;""</f>
      </c>
      <c r="AJ505">
        <f>[1]发票导入!AJ505&amp;""</f>
      </c>
      <c r="AK505">
        <f>[1]发票导入!AK505</f>
        <v>0</v>
      </c>
      <c r="AL505">
        <f>[1]发票导入!AL505</f>
        <v>0</v>
      </c>
      <c r="AM505">
        <f>[1]发票导入!AM505</f>
        <v>0</v>
      </c>
      <c r="AN505" s="22">
        <f t="shared" si="1"/>
        <v>0</v>
      </c>
      <c r="AO505" s="22">
        <f t="shared" si="2"/>
        <v>0</v>
      </c>
    </row>
    <row r="506">
      <c r="C506">
        <f>[1]发票导入!C506&amp;""</f>
      </c>
      <c r="D506">
        <f>[1]发票导入!D506&amp;""</f>
      </c>
      <c r="O506">
        <f>[1]发票导入!O506&amp;""</f>
      </c>
      <c r="T506">
        <f>[1]发票导入!T506</f>
      </c>
      <c r="U506">
        <f>[1]发票导入!U506&amp;""</f>
      </c>
      <c r="V506">
        <f>[1]发票导入!V506&amp;""</f>
      </c>
      <c r="W506">
        <f>[1]发票导入!W506&amp;""</f>
      </c>
      <c r="Y506">
        <f>[1]发票导入!Y506&amp;""</f>
      </c>
      <c r="AA506">
        <f>[1]发票导入!AA506&amp;""</f>
      </c>
      <c r="AB506">
        <f>[1]发票导入!AB506</f>
        <v>0</v>
      </c>
      <c r="AC506">
        <f>[1]发票导入!AC506</f>
        <v>0</v>
      </c>
      <c r="AE506" s="22">
        <f t="shared" si="0"/>
      </c>
      <c r="AI506">
        <f>[1]发票导入!AI506&amp;""</f>
      </c>
      <c r="AJ506">
        <f>[1]发票导入!AJ506&amp;""</f>
      </c>
      <c r="AK506">
        <f>[1]发票导入!AK506</f>
        <v>0</v>
      </c>
      <c r="AL506">
        <f>[1]发票导入!AL506</f>
        <v>0</v>
      </c>
      <c r="AM506">
        <f>[1]发票导入!AM506</f>
        <v>0</v>
      </c>
      <c r="AN506" s="22">
        <f t="shared" si="1"/>
        <v>0</v>
      </c>
      <c r="AO506" s="22">
        <f t="shared" si="2"/>
        <v>0</v>
      </c>
    </row>
    <row r="507">
      <c r="C507">
        <f>[1]发票导入!C507&amp;""</f>
      </c>
      <c r="D507">
        <f>[1]发票导入!D507&amp;""</f>
      </c>
      <c r="O507">
        <f>[1]发票导入!O507&amp;""</f>
      </c>
      <c r="T507">
        <f>[1]发票导入!T507</f>
      </c>
      <c r="U507">
        <f>[1]发票导入!U507&amp;""</f>
      </c>
      <c r="V507">
        <f>[1]发票导入!V507&amp;""</f>
      </c>
      <c r="W507">
        <f>[1]发票导入!W507&amp;""</f>
      </c>
      <c r="Y507">
        <f>[1]发票导入!Y507&amp;""</f>
      </c>
      <c r="AA507">
        <f>[1]发票导入!AA507&amp;""</f>
      </c>
      <c r="AB507">
        <f>[1]发票导入!AB507</f>
        <v>0</v>
      </c>
      <c r="AC507">
        <f>[1]发票导入!AC507</f>
        <v>0</v>
      </c>
      <c r="AE507" s="22">
        <f t="shared" si="0"/>
      </c>
      <c r="AI507">
        <f>[1]发票导入!AI507&amp;""</f>
      </c>
      <c r="AJ507">
        <f>[1]发票导入!AJ507&amp;""</f>
      </c>
      <c r="AK507">
        <f>[1]发票导入!AK507</f>
        <v>0</v>
      </c>
      <c r="AL507">
        <f>[1]发票导入!AL507</f>
        <v>0</v>
      </c>
      <c r="AM507">
        <f>[1]发票导入!AM507</f>
        <v>0</v>
      </c>
      <c r="AN507" s="22">
        <f t="shared" si="1"/>
        <v>0</v>
      </c>
      <c r="AO507" s="22">
        <f t="shared" si="2"/>
        <v>0</v>
      </c>
    </row>
    <row r="508">
      <c r="C508">
        <f>[1]发票导入!C508&amp;""</f>
      </c>
      <c r="D508">
        <f>[1]发票导入!D508&amp;""</f>
      </c>
      <c r="O508">
        <f>[1]发票导入!O508&amp;""</f>
      </c>
      <c r="T508">
        <f>[1]发票导入!T508</f>
      </c>
      <c r="U508">
        <f>[1]发票导入!U508&amp;""</f>
      </c>
      <c r="V508">
        <f>[1]发票导入!V508&amp;""</f>
      </c>
      <c r="W508">
        <f>[1]发票导入!W508&amp;""</f>
      </c>
      <c r="Y508">
        <f>[1]发票导入!Y508&amp;""</f>
      </c>
      <c r="AA508">
        <f>[1]发票导入!AA508&amp;""</f>
      </c>
      <c r="AB508">
        <f>[1]发票导入!AB508</f>
        <v>0</v>
      </c>
      <c r="AC508">
        <f>[1]发票导入!AC508</f>
        <v>0</v>
      </c>
      <c r="AE508" s="22">
        <f t="shared" si="0"/>
      </c>
      <c r="AI508">
        <f>[1]发票导入!AI508&amp;""</f>
      </c>
      <c r="AJ508">
        <f>[1]发票导入!AJ508&amp;""</f>
      </c>
      <c r="AK508">
        <f>[1]发票导入!AK508</f>
        <v>0</v>
      </c>
      <c r="AL508">
        <f>[1]发票导入!AL508</f>
        <v>0</v>
      </c>
      <c r="AM508">
        <f>[1]发票导入!AM508</f>
        <v>0</v>
      </c>
      <c r="AN508" s="22">
        <f t="shared" si="1"/>
        <v>0</v>
      </c>
      <c r="AO508" s="22">
        <f t="shared" si="2"/>
        <v>0</v>
      </c>
    </row>
    <row r="509">
      <c r="C509">
        <f>[1]发票导入!C509&amp;""</f>
      </c>
      <c r="D509">
        <f>[1]发票导入!D509&amp;""</f>
      </c>
      <c r="O509">
        <f>[1]发票导入!O509&amp;""</f>
      </c>
      <c r="T509">
        <f>[1]发票导入!T509</f>
      </c>
      <c r="U509">
        <f>[1]发票导入!U509&amp;""</f>
      </c>
      <c r="V509">
        <f>[1]发票导入!V509&amp;""</f>
      </c>
      <c r="W509">
        <f>[1]发票导入!W509&amp;""</f>
      </c>
      <c r="Y509">
        <f>[1]发票导入!Y509&amp;""</f>
      </c>
      <c r="AA509">
        <f>[1]发票导入!AA509&amp;""</f>
      </c>
      <c r="AB509">
        <f>[1]发票导入!AB509</f>
        <v>0</v>
      </c>
      <c r="AC509">
        <f>[1]发票导入!AC509</f>
        <v>0</v>
      </c>
      <c r="AE509" s="22">
        <f t="shared" si="0"/>
      </c>
      <c r="AI509">
        <f>[1]发票导入!AI509&amp;""</f>
      </c>
      <c r="AJ509">
        <f>[1]发票导入!AJ509&amp;""</f>
      </c>
      <c r="AK509">
        <f>[1]发票导入!AK509</f>
        <v>0</v>
      </c>
      <c r="AL509">
        <f>[1]发票导入!AL509</f>
        <v>0</v>
      </c>
      <c r="AM509">
        <f>[1]发票导入!AM509</f>
        <v>0</v>
      </c>
      <c r="AN509" s="22">
        <f t="shared" si="1"/>
        <v>0</v>
      </c>
      <c r="AO509" s="22">
        <f t="shared" si="2"/>
        <v>0</v>
      </c>
    </row>
    <row r="510">
      <c r="C510">
        <f>[1]发票导入!C510&amp;""</f>
      </c>
      <c r="D510">
        <f>[1]发票导入!D510&amp;""</f>
      </c>
      <c r="O510">
        <f>[1]发票导入!O510&amp;""</f>
      </c>
      <c r="T510">
        <f>[1]发票导入!T510</f>
      </c>
      <c r="U510">
        <f>[1]发票导入!U510&amp;""</f>
      </c>
      <c r="V510">
        <f>[1]发票导入!V510&amp;""</f>
      </c>
      <c r="W510">
        <f>[1]发票导入!W510&amp;""</f>
      </c>
      <c r="Y510">
        <f>[1]发票导入!Y510&amp;""</f>
      </c>
      <c r="AA510">
        <f>[1]发票导入!AA510&amp;""</f>
      </c>
      <c r="AB510">
        <f>[1]发票导入!AB510</f>
        <v>0</v>
      </c>
      <c r="AC510">
        <f>[1]发票导入!AC510</f>
        <v>0</v>
      </c>
      <c r="AE510" s="22">
        <f t="shared" si="0"/>
      </c>
      <c r="AI510">
        <f>[1]发票导入!AI510&amp;""</f>
      </c>
      <c r="AJ510">
        <f>[1]发票导入!AJ510&amp;""</f>
      </c>
      <c r="AK510">
        <f>[1]发票导入!AK510</f>
        <v>0</v>
      </c>
      <c r="AL510">
        <f>[1]发票导入!AL510</f>
        <v>0</v>
      </c>
      <c r="AM510">
        <f>[1]发票导入!AM510</f>
        <v>0</v>
      </c>
      <c r="AN510" s="22">
        <f t="shared" si="1"/>
        <v>0</v>
      </c>
      <c r="AO510" s="22">
        <f t="shared" si="2"/>
        <v>0</v>
      </c>
    </row>
    <row r="511">
      <c r="C511">
        <f>[1]发票导入!C511&amp;""</f>
      </c>
      <c r="D511">
        <f>[1]发票导入!D511&amp;""</f>
      </c>
      <c r="O511">
        <f>[1]发票导入!O511&amp;""</f>
      </c>
      <c r="T511">
        <f>[1]发票导入!T511</f>
      </c>
      <c r="U511">
        <f>[1]发票导入!U511&amp;""</f>
      </c>
      <c r="V511">
        <f>[1]发票导入!V511&amp;""</f>
      </c>
      <c r="W511">
        <f>[1]发票导入!W511&amp;""</f>
      </c>
      <c r="Y511">
        <f>[1]发票导入!Y511&amp;""</f>
      </c>
      <c r="AA511">
        <f>[1]发票导入!AA511&amp;""</f>
      </c>
      <c r="AB511">
        <f>[1]发票导入!AB511</f>
        <v>0</v>
      </c>
      <c r="AC511">
        <f>[1]发票导入!AC511</f>
        <v>0</v>
      </c>
      <c r="AE511" s="22">
        <f t="shared" si="0"/>
      </c>
      <c r="AI511">
        <f>[1]发票导入!AI511&amp;""</f>
      </c>
      <c r="AJ511">
        <f>[1]发票导入!AJ511&amp;""</f>
      </c>
      <c r="AK511">
        <f>[1]发票导入!AK511</f>
        <v>0</v>
      </c>
      <c r="AL511">
        <f>[1]发票导入!AL511</f>
        <v>0</v>
      </c>
      <c r="AM511">
        <f>[1]发票导入!AM511</f>
        <v>0</v>
      </c>
      <c r="AN511" s="22">
        <f t="shared" si="1"/>
        <v>0</v>
      </c>
      <c r="AO511" s="22">
        <f t="shared" si="2"/>
        <v>0</v>
      </c>
    </row>
    <row r="512">
      <c r="C512">
        <f>[1]发票导入!C512&amp;""</f>
      </c>
      <c r="D512">
        <f>[1]发票导入!D512&amp;""</f>
      </c>
      <c r="O512">
        <f>[1]发票导入!O512&amp;""</f>
      </c>
      <c r="T512">
        <f>[1]发票导入!T512</f>
      </c>
      <c r="U512">
        <f>[1]发票导入!U512&amp;""</f>
      </c>
      <c r="V512">
        <f>[1]发票导入!V512&amp;""</f>
      </c>
      <c r="W512">
        <f>[1]发票导入!W512&amp;""</f>
      </c>
      <c r="Y512">
        <f>[1]发票导入!Y512&amp;""</f>
      </c>
      <c r="AA512">
        <f>[1]发票导入!AA512&amp;""</f>
      </c>
      <c r="AB512">
        <f>[1]发票导入!AB512</f>
        <v>0</v>
      </c>
      <c r="AC512">
        <f>[1]发票导入!AC512</f>
        <v>0</v>
      </c>
      <c r="AE512" s="22">
        <f t="shared" si="0"/>
      </c>
      <c r="AI512">
        <f>[1]发票导入!AI512&amp;""</f>
      </c>
      <c r="AJ512">
        <f>[1]发票导入!AJ512&amp;""</f>
      </c>
      <c r="AK512">
        <f>[1]发票导入!AK512</f>
        <v>0</v>
      </c>
      <c r="AL512">
        <f>[1]发票导入!AL512</f>
        <v>0</v>
      </c>
      <c r="AM512">
        <f>[1]发票导入!AM512</f>
        <v>0</v>
      </c>
      <c r="AN512" s="22">
        <f t="shared" si="1"/>
        <v>0</v>
      </c>
      <c r="AO512" s="22">
        <f t="shared" si="2"/>
        <v>0</v>
      </c>
    </row>
    <row r="513">
      <c r="C513">
        <f>[1]发票导入!C513&amp;""</f>
      </c>
      <c r="D513">
        <f>[1]发票导入!D513&amp;""</f>
      </c>
      <c r="O513">
        <f>[1]发票导入!O513&amp;""</f>
      </c>
      <c r="T513">
        <f>[1]发票导入!T513</f>
      </c>
      <c r="U513">
        <f>[1]发票导入!U513&amp;""</f>
      </c>
      <c r="V513">
        <f>[1]发票导入!V513&amp;""</f>
      </c>
      <c r="W513">
        <f>[1]发票导入!W513&amp;""</f>
      </c>
      <c r="Y513">
        <f>[1]发票导入!Y513&amp;""</f>
      </c>
      <c r="AA513">
        <f>[1]发票导入!AA513&amp;""</f>
      </c>
      <c r="AB513">
        <f>[1]发票导入!AB513</f>
        <v>0</v>
      </c>
      <c r="AC513">
        <f>[1]发票导入!AC513</f>
        <v>0</v>
      </c>
      <c r="AE513" s="22">
        <f t="shared" si="0"/>
      </c>
      <c r="AI513">
        <f>[1]发票导入!AI513&amp;""</f>
      </c>
      <c r="AJ513">
        <f>[1]发票导入!AJ513&amp;""</f>
      </c>
      <c r="AK513">
        <f>[1]发票导入!AK513</f>
        <v>0</v>
      </c>
      <c r="AL513">
        <f>[1]发票导入!AL513</f>
        <v>0</v>
      </c>
      <c r="AM513">
        <f>[1]发票导入!AM513</f>
        <v>0</v>
      </c>
      <c r="AN513" s="22">
        <f t="shared" si="1"/>
        <v>0</v>
      </c>
      <c r="AO513" s="22">
        <f t="shared" si="2"/>
        <v>0</v>
      </c>
    </row>
    <row r="514">
      <c r="C514">
        <f>[1]发票导入!C514&amp;""</f>
      </c>
      <c r="D514">
        <f>[1]发票导入!D514&amp;""</f>
      </c>
      <c r="O514">
        <f>[1]发票导入!O514&amp;""</f>
      </c>
      <c r="T514">
        <f>[1]发票导入!T514</f>
      </c>
      <c r="U514">
        <f>[1]发票导入!U514&amp;""</f>
      </c>
      <c r="V514">
        <f>[1]发票导入!V514&amp;""</f>
      </c>
      <c r="W514">
        <f>[1]发票导入!W514&amp;""</f>
      </c>
      <c r="Y514">
        <f>[1]发票导入!Y514&amp;""</f>
      </c>
      <c r="AA514">
        <f>[1]发票导入!AA514&amp;""</f>
      </c>
      <c r="AB514">
        <f>[1]发票导入!AB514</f>
        <v>0</v>
      </c>
      <c r="AC514">
        <f>[1]发票导入!AC514</f>
        <v>0</v>
      </c>
      <c r="AE514" s="22">
        <f t="shared" si="0"/>
      </c>
      <c r="AI514">
        <f>[1]发票导入!AI514&amp;""</f>
      </c>
      <c r="AJ514">
        <f>[1]发票导入!AJ514&amp;""</f>
      </c>
      <c r="AK514">
        <f>[1]发票导入!AK514</f>
        <v>0</v>
      </c>
      <c r="AL514">
        <f>[1]发票导入!AL514</f>
        <v>0</v>
      </c>
      <c r="AM514">
        <f>[1]发票导入!AM514</f>
        <v>0</v>
      </c>
      <c r="AN514" s="22">
        <f t="shared" si="1"/>
        <v>0</v>
      </c>
      <c r="AO514" s="22">
        <f t="shared" si="2"/>
        <v>0</v>
      </c>
    </row>
    <row r="515">
      <c r="C515">
        <f>[1]发票导入!C515&amp;""</f>
      </c>
      <c r="D515">
        <f>[1]发票导入!D515&amp;""</f>
      </c>
      <c r="O515">
        <f>[1]发票导入!O515&amp;""</f>
      </c>
      <c r="T515">
        <f>[1]发票导入!T515</f>
      </c>
      <c r="U515">
        <f>[1]发票导入!U515&amp;""</f>
      </c>
      <c r="V515">
        <f>[1]发票导入!V515&amp;""</f>
      </c>
      <c r="W515">
        <f>[1]发票导入!W515&amp;""</f>
      </c>
      <c r="Y515">
        <f>[1]发票导入!Y515&amp;""</f>
      </c>
      <c r="AA515">
        <f>[1]发票导入!AA515&amp;""</f>
      </c>
      <c r="AB515">
        <f>[1]发票导入!AB515</f>
        <v>0</v>
      </c>
      <c r="AC515">
        <f>[1]发票导入!AC515</f>
        <v>0</v>
      </c>
      <c r="AE515" s="22">
        <f t="shared" si="0"/>
      </c>
      <c r="AI515">
        <f>[1]发票导入!AI515&amp;""</f>
      </c>
      <c r="AJ515">
        <f>[1]发票导入!AJ515&amp;""</f>
      </c>
      <c r="AK515">
        <f>[1]发票导入!AK515</f>
        <v>0</v>
      </c>
      <c r="AL515">
        <f>[1]发票导入!AL515</f>
        <v>0</v>
      </c>
      <c r="AM515">
        <f>[1]发票导入!AM515</f>
        <v>0</v>
      </c>
      <c r="AN515" s="22">
        <f t="shared" si="1"/>
        <v>0</v>
      </c>
      <c r="AO515" s="22">
        <f t="shared" si="2"/>
        <v>0</v>
      </c>
    </row>
    <row r="516">
      <c r="C516">
        <f>[1]发票导入!C516&amp;""</f>
      </c>
      <c r="D516">
        <f>[1]发票导入!D516&amp;""</f>
      </c>
      <c r="O516">
        <f>[1]发票导入!O516&amp;""</f>
      </c>
      <c r="T516">
        <f>[1]发票导入!T516</f>
      </c>
      <c r="U516">
        <f>[1]发票导入!U516&amp;""</f>
      </c>
      <c r="V516">
        <f>[1]发票导入!V516&amp;""</f>
      </c>
      <c r="W516">
        <f>[1]发票导入!W516&amp;""</f>
      </c>
      <c r="Y516">
        <f>[1]发票导入!Y516&amp;""</f>
      </c>
      <c r="AA516">
        <f>[1]发票导入!AA516&amp;""</f>
      </c>
      <c r="AB516">
        <f>[1]发票导入!AB516</f>
        <v>0</v>
      </c>
      <c r="AC516">
        <f>[1]发票导入!AC516</f>
        <v>0</v>
      </c>
      <c r="AE516" s="22">
        <f t="shared" si="0"/>
      </c>
      <c r="AI516">
        <f>[1]发票导入!AI516&amp;""</f>
      </c>
      <c r="AJ516">
        <f>[1]发票导入!AJ516&amp;""</f>
      </c>
      <c r="AK516">
        <f>[1]发票导入!AK516</f>
        <v>0</v>
      </c>
      <c r="AL516">
        <f>[1]发票导入!AL516</f>
        <v>0</v>
      </c>
      <c r="AM516">
        <f>[1]发票导入!AM516</f>
        <v>0</v>
      </c>
      <c r="AN516" s="22">
        <f t="shared" si="1"/>
        <v>0</v>
      </c>
      <c r="AO516" s="22">
        <f t="shared" si="2"/>
        <v>0</v>
      </c>
    </row>
    <row r="517">
      <c r="C517">
        <f>[1]发票导入!C517&amp;""</f>
      </c>
      <c r="D517">
        <f>[1]发票导入!D517&amp;""</f>
      </c>
      <c r="O517">
        <f>[1]发票导入!O517&amp;""</f>
      </c>
      <c r="T517">
        <f>[1]发票导入!T517</f>
      </c>
      <c r="U517">
        <f>[1]发票导入!U517&amp;""</f>
      </c>
      <c r="V517">
        <f>[1]发票导入!V517&amp;""</f>
      </c>
      <c r="W517">
        <f>[1]发票导入!W517&amp;""</f>
      </c>
      <c r="Y517">
        <f>[1]发票导入!Y517&amp;""</f>
      </c>
      <c r="AA517">
        <f>[1]发票导入!AA517&amp;""</f>
      </c>
      <c r="AB517">
        <f>[1]发票导入!AB517</f>
        <v>0</v>
      </c>
      <c r="AC517">
        <f>[1]发票导入!AC517</f>
        <v>0</v>
      </c>
      <c r="AE517" s="22">
        <f t="shared" si="0"/>
      </c>
      <c r="AI517">
        <f>[1]发票导入!AI517&amp;""</f>
      </c>
      <c r="AJ517">
        <f>[1]发票导入!AJ517&amp;""</f>
      </c>
      <c r="AK517">
        <f>[1]发票导入!AK517</f>
        <v>0</v>
      </c>
      <c r="AL517">
        <f>[1]发票导入!AL517</f>
        <v>0</v>
      </c>
      <c r="AM517">
        <f>[1]发票导入!AM517</f>
        <v>0</v>
      </c>
      <c r="AN517" s="22">
        <f t="shared" si="1"/>
        <v>0</v>
      </c>
      <c r="AO517" s="22">
        <f t="shared" si="2"/>
        <v>0</v>
      </c>
    </row>
    <row r="518">
      <c r="C518">
        <f>[1]发票导入!C518&amp;""</f>
      </c>
      <c r="D518">
        <f>[1]发票导入!D518&amp;""</f>
      </c>
      <c r="O518">
        <f>[1]发票导入!O518&amp;""</f>
      </c>
      <c r="T518">
        <f>[1]发票导入!T518</f>
      </c>
      <c r="U518">
        <f>[1]发票导入!U518&amp;""</f>
      </c>
      <c r="V518">
        <f>[1]发票导入!V518&amp;""</f>
      </c>
      <c r="W518">
        <f>[1]发票导入!W518&amp;""</f>
      </c>
      <c r="Y518">
        <f>[1]发票导入!Y518&amp;""</f>
      </c>
      <c r="AA518">
        <f>[1]发票导入!AA518&amp;""</f>
      </c>
      <c r="AB518">
        <f>[1]发票导入!AB518</f>
        <v>0</v>
      </c>
      <c r="AC518">
        <f>[1]发票导入!AC518</f>
        <v>0</v>
      </c>
      <c r="AE518" s="22">
        <f t="shared" si="0"/>
      </c>
      <c r="AI518">
        <f>[1]发票导入!AI518&amp;""</f>
      </c>
      <c r="AJ518">
        <f>[1]发票导入!AJ518&amp;""</f>
      </c>
      <c r="AK518">
        <f>[1]发票导入!AK518</f>
        <v>0</v>
      </c>
      <c r="AL518">
        <f>[1]发票导入!AL518</f>
        <v>0</v>
      </c>
      <c r="AM518">
        <f>[1]发票导入!AM518</f>
        <v>0</v>
      </c>
      <c r="AN518" s="22">
        <f t="shared" si="1"/>
        <v>0</v>
      </c>
      <c r="AO518" s="22">
        <f t="shared" si="2"/>
        <v>0</v>
      </c>
    </row>
    <row r="519">
      <c r="C519">
        <f>[1]发票导入!C519&amp;""</f>
      </c>
      <c r="D519">
        <f>[1]发票导入!D519&amp;""</f>
      </c>
      <c r="O519">
        <f>[1]发票导入!O519&amp;""</f>
      </c>
      <c r="T519">
        <f>[1]发票导入!T519</f>
      </c>
      <c r="U519">
        <f>[1]发票导入!U519&amp;""</f>
      </c>
      <c r="V519">
        <f>[1]发票导入!V519&amp;""</f>
      </c>
      <c r="W519">
        <f>[1]发票导入!W519&amp;""</f>
      </c>
      <c r="Y519">
        <f>[1]发票导入!Y519&amp;""</f>
      </c>
      <c r="AA519">
        <f>[1]发票导入!AA519&amp;""</f>
      </c>
      <c r="AB519">
        <f>[1]发票导入!AB519</f>
        <v>0</v>
      </c>
      <c r="AC519">
        <f>[1]发票导入!AC519</f>
        <v>0</v>
      </c>
      <c r="AE519" s="22">
        <f t="shared" si="0"/>
      </c>
      <c r="AI519">
        <f>[1]发票导入!AI519&amp;""</f>
      </c>
      <c r="AJ519">
        <f>[1]发票导入!AJ519&amp;""</f>
      </c>
      <c r="AK519">
        <f>[1]发票导入!AK519</f>
        <v>0</v>
      </c>
      <c r="AL519">
        <f>[1]发票导入!AL519</f>
        <v>0</v>
      </c>
      <c r="AM519">
        <f>[1]发票导入!AM519</f>
        <v>0</v>
      </c>
      <c r="AN519" s="22">
        <f t="shared" si="1"/>
        <v>0</v>
      </c>
      <c r="AO519" s="22">
        <f t="shared" si="2"/>
        <v>0</v>
      </c>
    </row>
    <row r="520">
      <c r="C520">
        <f>[1]发票导入!C520&amp;""</f>
      </c>
      <c r="D520">
        <f>[1]发票导入!D520&amp;""</f>
      </c>
      <c r="O520">
        <f>[1]发票导入!O520&amp;""</f>
      </c>
      <c r="T520">
        <f>[1]发票导入!T520</f>
      </c>
      <c r="U520">
        <f>[1]发票导入!U520&amp;""</f>
      </c>
      <c r="V520">
        <f>[1]发票导入!V520&amp;""</f>
      </c>
      <c r="W520">
        <f>[1]发票导入!W520&amp;""</f>
      </c>
      <c r="Y520">
        <f>[1]发票导入!Y520&amp;""</f>
      </c>
      <c r="AA520">
        <f>[1]发票导入!AA520&amp;""</f>
      </c>
      <c r="AB520">
        <f>[1]发票导入!AB520</f>
        <v>0</v>
      </c>
      <c r="AC520">
        <f>[1]发票导入!AC520</f>
        <v>0</v>
      </c>
      <c r="AE520" s="22">
        <f t="shared" si="0"/>
      </c>
      <c r="AI520">
        <f>[1]发票导入!AI520&amp;""</f>
      </c>
      <c r="AJ520">
        <f>[1]发票导入!AJ520&amp;""</f>
      </c>
      <c r="AK520">
        <f>[1]发票导入!AK520</f>
        <v>0</v>
      </c>
      <c r="AL520">
        <f>[1]发票导入!AL520</f>
        <v>0</v>
      </c>
      <c r="AM520">
        <f>[1]发票导入!AM520</f>
        <v>0</v>
      </c>
      <c r="AN520" s="22">
        <f t="shared" si="1"/>
        <v>0</v>
      </c>
      <c r="AO520" s="22">
        <f t="shared" si="2"/>
        <v>0</v>
      </c>
    </row>
    <row r="521">
      <c r="C521">
        <f>[1]发票导入!C521&amp;""</f>
      </c>
      <c r="D521">
        <f>[1]发票导入!D521&amp;""</f>
      </c>
      <c r="O521">
        <f>[1]发票导入!O521&amp;""</f>
      </c>
      <c r="T521">
        <f>[1]发票导入!T521</f>
      </c>
      <c r="U521">
        <f>[1]发票导入!U521&amp;""</f>
      </c>
      <c r="V521">
        <f>[1]发票导入!V521&amp;""</f>
      </c>
      <c r="W521">
        <f>[1]发票导入!W521&amp;""</f>
      </c>
      <c r="Y521">
        <f>[1]发票导入!Y521&amp;""</f>
      </c>
      <c r="AA521">
        <f>[1]发票导入!AA521&amp;""</f>
      </c>
      <c r="AB521">
        <f>[1]发票导入!AB521</f>
        <v>0</v>
      </c>
      <c r="AC521">
        <f>[1]发票导入!AC521</f>
        <v>0</v>
      </c>
      <c r="AE521" s="22">
        <f t="shared" si="0"/>
      </c>
      <c r="AI521">
        <f>[1]发票导入!AI521&amp;""</f>
      </c>
      <c r="AJ521">
        <f>[1]发票导入!AJ521&amp;""</f>
      </c>
      <c r="AK521">
        <f>[1]发票导入!AK521</f>
        <v>0</v>
      </c>
      <c r="AL521">
        <f>[1]发票导入!AL521</f>
        <v>0</v>
      </c>
      <c r="AM521">
        <f>[1]发票导入!AM521</f>
        <v>0</v>
      </c>
      <c r="AN521" s="22">
        <f t="shared" si="1"/>
        <v>0</v>
      </c>
      <c r="AO521" s="22">
        <f t="shared" si="2"/>
        <v>0</v>
      </c>
    </row>
    <row r="522">
      <c r="C522">
        <f>[1]发票导入!C522&amp;""</f>
      </c>
      <c r="D522">
        <f>[1]发票导入!D522&amp;""</f>
      </c>
      <c r="O522">
        <f>[1]发票导入!O522&amp;""</f>
      </c>
      <c r="T522">
        <f>[1]发票导入!T522</f>
      </c>
      <c r="U522">
        <f>[1]发票导入!U522&amp;""</f>
      </c>
      <c r="V522">
        <f>[1]发票导入!V522&amp;""</f>
      </c>
      <c r="W522">
        <f>[1]发票导入!W522&amp;""</f>
      </c>
      <c r="Y522">
        <f>[1]发票导入!Y522&amp;""</f>
      </c>
      <c r="AA522">
        <f>[1]发票导入!AA522&amp;""</f>
      </c>
      <c r="AB522">
        <f>[1]发票导入!AB522</f>
        <v>0</v>
      </c>
      <c r="AC522">
        <f>[1]发票导入!AC522</f>
        <v>0</v>
      </c>
      <c r="AE522" s="22">
        <f t="shared" si="0"/>
      </c>
      <c r="AI522">
        <f>[1]发票导入!AI522&amp;""</f>
      </c>
      <c r="AJ522">
        <f>[1]发票导入!AJ522&amp;""</f>
      </c>
      <c r="AK522">
        <f>[1]发票导入!AK522</f>
        <v>0</v>
      </c>
      <c r="AL522">
        <f>[1]发票导入!AL522</f>
        <v>0</v>
      </c>
      <c r="AM522">
        <f>[1]发票导入!AM522</f>
        <v>0</v>
      </c>
      <c r="AN522" s="22">
        <f t="shared" si="1"/>
        <v>0</v>
      </c>
      <c r="AO522" s="22">
        <f t="shared" si="2"/>
        <v>0</v>
      </c>
    </row>
    <row r="523">
      <c r="C523">
        <f>[1]发票导入!C523&amp;""</f>
      </c>
      <c r="D523">
        <f>[1]发票导入!D523&amp;""</f>
      </c>
      <c r="O523">
        <f>[1]发票导入!O523&amp;""</f>
      </c>
      <c r="T523">
        <f>[1]发票导入!T523</f>
      </c>
      <c r="U523">
        <f>[1]发票导入!U523&amp;""</f>
      </c>
      <c r="V523">
        <f>[1]发票导入!V523&amp;""</f>
      </c>
      <c r="W523">
        <f>[1]发票导入!W523&amp;""</f>
      </c>
      <c r="Y523">
        <f>[1]发票导入!Y523&amp;""</f>
      </c>
      <c r="AA523">
        <f>[1]发票导入!AA523&amp;""</f>
      </c>
      <c r="AB523">
        <f>[1]发票导入!AB523</f>
        <v>0</v>
      </c>
      <c r="AC523">
        <f>[1]发票导入!AC523</f>
        <v>0</v>
      </c>
      <c r="AE523" s="22">
        <f t="shared" si="0"/>
      </c>
      <c r="AI523">
        <f>[1]发票导入!AI523&amp;""</f>
      </c>
      <c r="AJ523">
        <f>[1]发票导入!AJ523&amp;""</f>
      </c>
      <c r="AK523">
        <f>[1]发票导入!AK523</f>
        <v>0</v>
      </c>
      <c r="AL523">
        <f>[1]发票导入!AL523</f>
        <v>0</v>
      </c>
      <c r="AM523">
        <f>[1]发票导入!AM523</f>
        <v>0</v>
      </c>
      <c r="AN523" s="22">
        <f t="shared" si="1"/>
        <v>0</v>
      </c>
      <c r="AO523" s="22">
        <f t="shared" si="2"/>
        <v>0</v>
      </c>
    </row>
    <row r="524">
      <c r="C524">
        <f>[1]发票导入!C524&amp;""</f>
      </c>
      <c r="D524">
        <f>[1]发票导入!D524&amp;""</f>
      </c>
      <c r="O524">
        <f>[1]发票导入!O524&amp;""</f>
      </c>
      <c r="T524">
        <f>[1]发票导入!T524</f>
      </c>
      <c r="U524">
        <f>[1]发票导入!U524&amp;""</f>
      </c>
      <c r="V524">
        <f>[1]发票导入!V524&amp;""</f>
      </c>
      <c r="W524">
        <f>[1]发票导入!W524&amp;""</f>
      </c>
      <c r="Y524">
        <f>[1]发票导入!Y524&amp;""</f>
      </c>
      <c r="AA524">
        <f>[1]发票导入!AA524&amp;""</f>
      </c>
      <c r="AB524">
        <f>[1]发票导入!AB524</f>
        <v>0</v>
      </c>
      <c r="AC524">
        <f>[1]发票导入!AC524</f>
        <v>0</v>
      </c>
      <c r="AE524" s="22">
        <f t="shared" si="0"/>
      </c>
      <c r="AI524">
        <f>[1]发票导入!AI524&amp;""</f>
      </c>
      <c r="AJ524">
        <f>[1]发票导入!AJ524&amp;""</f>
      </c>
      <c r="AK524">
        <f>[1]发票导入!AK524</f>
        <v>0</v>
      </c>
      <c r="AL524">
        <f>[1]发票导入!AL524</f>
        <v>0</v>
      </c>
      <c r="AM524">
        <f>[1]发票导入!AM524</f>
        <v>0</v>
      </c>
      <c r="AN524" s="22">
        <f t="shared" si="1"/>
        <v>0</v>
      </c>
      <c r="AO524" s="22">
        <f t="shared" si="2"/>
        <v>0</v>
      </c>
    </row>
    <row r="525">
      <c r="C525">
        <f>[1]发票导入!C525&amp;""</f>
      </c>
      <c r="D525">
        <f>[1]发票导入!D525&amp;""</f>
      </c>
      <c r="O525">
        <f>[1]发票导入!O525&amp;""</f>
      </c>
      <c r="T525">
        <f>[1]发票导入!T525</f>
      </c>
      <c r="U525">
        <f>[1]发票导入!U525&amp;""</f>
      </c>
      <c r="V525">
        <f>[1]发票导入!V525&amp;""</f>
      </c>
      <c r="W525">
        <f>[1]发票导入!W525&amp;""</f>
      </c>
      <c r="Y525">
        <f>[1]发票导入!Y525&amp;""</f>
      </c>
      <c r="AA525">
        <f>[1]发票导入!AA525&amp;""</f>
      </c>
      <c r="AB525">
        <f>[1]发票导入!AB525</f>
        <v>0</v>
      </c>
      <c r="AC525">
        <f>[1]发票导入!AC525</f>
        <v>0</v>
      </c>
      <c r="AE525" s="22">
        <f t="shared" si="0"/>
      </c>
      <c r="AI525">
        <f>[1]发票导入!AI525&amp;""</f>
      </c>
      <c r="AJ525">
        <f>[1]发票导入!AJ525&amp;""</f>
      </c>
      <c r="AK525">
        <f>[1]发票导入!AK525</f>
        <v>0</v>
      </c>
      <c r="AL525">
        <f>[1]发票导入!AL525</f>
        <v>0</v>
      </c>
      <c r="AM525">
        <f>[1]发票导入!AM525</f>
        <v>0</v>
      </c>
      <c r="AN525" s="22">
        <f t="shared" si="1"/>
        <v>0</v>
      </c>
      <c r="AO525" s="22">
        <f t="shared" si="2"/>
        <v>0</v>
      </c>
    </row>
    <row r="526">
      <c r="C526">
        <f>[1]发票导入!C526&amp;""</f>
      </c>
      <c r="D526">
        <f>[1]发票导入!D526&amp;""</f>
      </c>
      <c r="O526">
        <f>[1]发票导入!O526&amp;""</f>
      </c>
      <c r="T526">
        <f>[1]发票导入!T526</f>
      </c>
      <c r="U526">
        <f>[1]发票导入!U526&amp;""</f>
      </c>
      <c r="V526">
        <f>[1]发票导入!V526&amp;""</f>
      </c>
      <c r="W526">
        <f>[1]发票导入!W526&amp;""</f>
      </c>
      <c r="Y526">
        <f>[1]发票导入!Y526&amp;""</f>
      </c>
      <c r="AA526">
        <f>[1]发票导入!AA526&amp;""</f>
      </c>
      <c r="AB526">
        <f>[1]发票导入!AB526</f>
        <v>0</v>
      </c>
      <c r="AC526">
        <f>[1]发票导入!AC526</f>
        <v>0</v>
      </c>
      <c r="AE526" s="22">
        <f t="shared" si="0"/>
      </c>
      <c r="AI526">
        <f>[1]发票导入!AI526&amp;""</f>
      </c>
      <c r="AJ526">
        <f>[1]发票导入!AJ526&amp;""</f>
      </c>
      <c r="AK526">
        <f>[1]发票导入!AK526</f>
        <v>0</v>
      </c>
      <c r="AL526">
        <f>[1]发票导入!AL526</f>
        <v>0</v>
      </c>
      <c r="AM526">
        <f>[1]发票导入!AM526</f>
        <v>0</v>
      </c>
      <c r="AN526" s="22">
        <f t="shared" si="1"/>
        <v>0</v>
      </c>
      <c r="AO526" s="22">
        <f t="shared" si="2"/>
        <v>0</v>
      </c>
    </row>
    <row r="527">
      <c r="C527">
        <f>[1]发票导入!C527&amp;""</f>
      </c>
      <c r="D527">
        <f>[1]发票导入!D527&amp;""</f>
      </c>
      <c r="O527">
        <f>[1]发票导入!O527&amp;""</f>
      </c>
      <c r="T527">
        <f>[1]发票导入!T527</f>
      </c>
      <c r="U527">
        <f>[1]发票导入!U527&amp;""</f>
      </c>
      <c r="V527">
        <f>[1]发票导入!V527&amp;""</f>
      </c>
      <c r="W527">
        <f>[1]发票导入!W527&amp;""</f>
      </c>
      <c r="Y527">
        <f>[1]发票导入!Y527&amp;""</f>
      </c>
      <c r="AA527">
        <f>[1]发票导入!AA527&amp;""</f>
      </c>
      <c r="AB527">
        <f>[1]发票导入!AB527</f>
        <v>0</v>
      </c>
      <c r="AC527">
        <f>[1]发票导入!AC527</f>
        <v>0</v>
      </c>
      <c r="AE527" s="22">
        <f t="shared" si="0"/>
      </c>
      <c r="AI527">
        <f>[1]发票导入!AI527&amp;""</f>
      </c>
      <c r="AJ527">
        <f>[1]发票导入!AJ527&amp;""</f>
      </c>
      <c r="AK527">
        <f>[1]发票导入!AK527</f>
        <v>0</v>
      </c>
      <c r="AL527">
        <f>[1]发票导入!AL527</f>
        <v>0</v>
      </c>
      <c r="AM527">
        <f>[1]发票导入!AM527</f>
        <v>0</v>
      </c>
      <c r="AN527" s="22">
        <f t="shared" si="1"/>
        <v>0</v>
      </c>
      <c r="AO527" s="22">
        <f t="shared" si="2"/>
        <v>0</v>
      </c>
    </row>
    <row r="528">
      <c r="C528">
        <f>[1]发票导入!C528&amp;""</f>
      </c>
      <c r="D528">
        <f>[1]发票导入!D528&amp;""</f>
      </c>
      <c r="O528">
        <f>[1]发票导入!O528&amp;""</f>
      </c>
      <c r="T528">
        <f>[1]发票导入!T528</f>
      </c>
      <c r="U528">
        <f>[1]发票导入!U528&amp;""</f>
      </c>
      <c r="V528">
        <f>[1]发票导入!V528&amp;""</f>
      </c>
      <c r="W528">
        <f>[1]发票导入!W528&amp;""</f>
      </c>
      <c r="Y528">
        <f>[1]发票导入!Y528&amp;""</f>
      </c>
      <c r="AA528">
        <f>[1]发票导入!AA528&amp;""</f>
      </c>
      <c r="AB528">
        <f>[1]发票导入!AB528</f>
        <v>0</v>
      </c>
      <c r="AC528">
        <f>[1]发票导入!AC528</f>
        <v>0</v>
      </c>
      <c r="AE528" s="22">
        <f t="shared" si="0"/>
      </c>
      <c r="AI528">
        <f>[1]发票导入!AI528&amp;""</f>
      </c>
      <c r="AJ528">
        <f>[1]发票导入!AJ528&amp;""</f>
      </c>
      <c r="AK528">
        <f>[1]发票导入!AK528</f>
        <v>0</v>
      </c>
      <c r="AL528">
        <f>[1]发票导入!AL528</f>
        <v>0</v>
      </c>
      <c r="AM528">
        <f>[1]发票导入!AM528</f>
        <v>0</v>
      </c>
      <c r="AN528" s="22">
        <f t="shared" si="1"/>
        <v>0</v>
      </c>
      <c r="AO528" s="22">
        <f t="shared" si="2"/>
        <v>0</v>
      </c>
    </row>
    <row r="529">
      <c r="C529">
        <f>[1]发票导入!C529&amp;""</f>
      </c>
      <c r="D529">
        <f>[1]发票导入!D529&amp;""</f>
      </c>
      <c r="O529">
        <f>[1]发票导入!O529&amp;""</f>
      </c>
      <c r="T529">
        <f>[1]发票导入!T529</f>
      </c>
      <c r="U529">
        <f>[1]发票导入!U529&amp;""</f>
      </c>
      <c r="V529">
        <f>[1]发票导入!V529&amp;""</f>
      </c>
      <c r="W529">
        <f>[1]发票导入!W529&amp;""</f>
      </c>
      <c r="Y529">
        <f>[1]发票导入!Y529&amp;""</f>
      </c>
      <c r="AA529">
        <f>[1]发票导入!AA529&amp;""</f>
      </c>
      <c r="AB529">
        <f>[1]发票导入!AB529</f>
        <v>0</v>
      </c>
      <c r="AC529">
        <f>[1]发票导入!AC529</f>
        <v>0</v>
      </c>
      <c r="AE529" s="22">
        <f t="shared" si="0"/>
      </c>
      <c r="AI529">
        <f>[1]发票导入!AI529&amp;""</f>
      </c>
      <c r="AJ529">
        <f>[1]发票导入!AJ529&amp;""</f>
      </c>
      <c r="AK529">
        <f>[1]发票导入!AK529</f>
        <v>0</v>
      </c>
      <c r="AL529">
        <f>[1]发票导入!AL529</f>
        <v>0</v>
      </c>
      <c r="AM529">
        <f>[1]发票导入!AM529</f>
        <v>0</v>
      </c>
      <c r="AN529" s="22">
        <f t="shared" si="1"/>
        <v>0</v>
      </c>
      <c r="AO529" s="22">
        <f t="shared" si="2"/>
        <v>0</v>
      </c>
    </row>
    <row r="530">
      <c r="C530">
        <f>[1]发票导入!C530&amp;""</f>
      </c>
      <c r="D530">
        <f>[1]发票导入!D530&amp;""</f>
      </c>
      <c r="O530">
        <f>[1]发票导入!O530&amp;""</f>
      </c>
      <c r="T530">
        <f>[1]发票导入!T530</f>
      </c>
      <c r="U530">
        <f>[1]发票导入!U530&amp;""</f>
      </c>
      <c r="V530">
        <f>[1]发票导入!V530&amp;""</f>
      </c>
      <c r="W530">
        <f>[1]发票导入!W530&amp;""</f>
      </c>
      <c r="Y530">
        <f>[1]发票导入!Y530&amp;""</f>
      </c>
      <c r="AA530">
        <f>[1]发票导入!AA530&amp;""</f>
      </c>
      <c r="AB530">
        <f>[1]发票导入!AB530</f>
        <v>0</v>
      </c>
      <c r="AC530">
        <f>[1]发票导入!AC530</f>
        <v>0</v>
      </c>
      <c r="AE530" s="22">
        <f t="shared" si="0"/>
      </c>
      <c r="AI530">
        <f>[1]发票导入!AI530&amp;""</f>
      </c>
      <c r="AJ530">
        <f>[1]发票导入!AJ530&amp;""</f>
      </c>
      <c r="AK530">
        <f>[1]发票导入!AK530</f>
        <v>0</v>
      </c>
      <c r="AL530">
        <f>[1]发票导入!AL530</f>
        <v>0</v>
      </c>
      <c r="AM530">
        <f>[1]发票导入!AM530</f>
        <v>0</v>
      </c>
      <c r="AN530" s="22">
        <f t="shared" si="1"/>
        <v>0</v>
      </c>
      <c r="AO530" s="22">
        <f t="shared" si="2"/>
        <v>0</v>
      </c>
    </row>
    <row r="531">
      <c r="C531">
        <f>[1]发票导入!C531&amp;""</f>
      </c>
      <c r="D531">
        <f>[1]发票导入!D531&amp;""</f>
      </c>
      <c r="O531">
        <f>[1]发票导入!O531&amp;""</f>
      </c>
      <c r="T531">
        <f>[1]发票导入!T531</f>
      </c>
      <c r="U531">
        <f>[1]发票导入!U531&amp;""</f>
      </c>
      <c r="V531">
        <f>[1]发票导入!V531&amp;""</f>
      </c>
      <c r="W531">
        <f>[1]发票导入!W531&amp;""</f>
      </c>
      <c r="Y531">
        <f>[1]发票导入!Y531&amp;""</f>
      </c>
      <c r="AA531">
        <f>[1]发票导入!AA531&amp;""</f>
      </c>
      <c r="AB531">
        <f>[1]发票导入!AB531</f>
        <v>0</v>
      </c>
      <c r="AC531">
        <f>[1]发票导入!AC531</f>
        <v>0</v>
      </c>
      <c r="AE531" s="22">
        <f t="shared" si="0"/>
      </c>
      <c r="AI531">
        <f>[1]发票导入!AI531&amp;""</f>
      </c>
      <c r="AJ531">
        <f>[1]发票导入!AJ531&amp;""</f>
      </c>
      <c r="AK531">
        <f>[1]发票导入!AK531</f>
        <v>0</v>
      </c>
      <c r="AL531">
        <f>[1]发票导入!AL531</f>
        <v>0</v>
      </c>
      <c r="AM531">
        <f>[1]发票导入!AM531</f>
        <v>0</v>
      </c>
      <c r="AN531" s="22">
        <f t="shared" si="1"/>
        <v>0</v>
      </c>
      <c r="AO531" s="22">
        <f t="shared" si="2"/>
        <v>0</v>
      </c>
    </row>
    <row r="532">
      <c r="C532">
        <f>[1]发票导入!C532&amp;""</f>
      </c>
      <c r="D532">
        <f>[1]发票导入!D532&amp;""</f>
      </c>
      <c r="O532">
        <f>[1]发票导入!O532&amp;""</f>
      </c>
      <c r="T532">
        <f>[1]发票导入!T532</f>
      </c>
      <c r="U532">
        <f>[1]发票导入!U532&amp;""</f>
      </c>
      <c r="V532">
        <f>[1]发票导入!V532&amp;""</f>
      </c>
      <c r="W532">
        <f>[1]发票导入!W532&amp;""</f>
      </c>
      <c r="Y532">
        <f>[1]发票导入!Y532&amp;""</f>
      </c>
      <c r="AA532">
        <f>[1]发票导入!AA532&amp;""</f>
      </c>
      <c r="AB532">
        <f>[1]发票导入!AB532</f>
        <v>0</v>
      </c>
      <c r="AC532">
        <f>[1]发票导入!AC532</f>
        <v>0</v>
      </c>
      <c r="AE532" s="22">
        <f t="shared" si="0"/>
      </c>
      <c r="AI532">
        <f>[1]发票导入!AI532&amp;""</f>
      </c>
      <c r="AJ532">
        <f>[1]发票导入!AJ532&amp;""</f>
      </c>
      <c r="AK532">
        <f>[1]发票导入!AK532</f>
        <v>0</v>
      </c>
      <c r="AL532">
        <f>[1]发票导入!AL532</f>
        <v>0</v>
      </c>
      <c r="AM532">
        <f>[1]发票导入!AM532</f>
        <v>0</v>
      </c>
      <c r="AN532" s="22">
        <f t="shared" si="1"/>
        <v>0</v>
      </c>
      <c r="AO532" s="22">
        <f t="shared" si="2"/>
        <v>0</v>
      </c>
    </row>
    <row r="533">
      <c r="C533">
        <f>[1]发票导入!C533&amp;""</f>
      </c>
      <c r="D533">
        <f>[1]发票导入!D533&amp;""</f>
      </c>
      <c r="O533">
        <f>[1]发票导入!O533&amp;""</f>
      </c>
      <c r="T533">
        <f>[1]发票导入!T533</f>
      </c>
      <c r="U533">
        <f>[1]发票导入!U533&amp;""</f>
      </c>
      <c r="V533">
        <f>[1]发票导入!V533&amp;""</f>
      </c>
      <c r="W533">
        <f>[1]发票导入!W533&amp;""</f>
      </c>
      <c r="Y533">
        <f>[1]发票导入!Y533&amp;""</f>
      </c>
      <c r="AA533">
        <f>[1]发票导入!AA533&amp;""</f>
      </c>
      <c r="AB533">
        <f>[1]发票导入!AB533</f>
        <v>0</v>
      </c>
      <c r="AC533">
        <f>[1]发票导入!AC533</f>
        <v>0</v>
      </c>
      <c r="AE533" s="22">
        <f t="shared" si="0"/>
      </c>
      <c r="AI533">
        <f>[1]发票导入!AI533&amp;""</f>
      </c>
      <c r="AJ533">
        <f>[1]发票导入!AJ533&amp;""</f>
      </c>
      <c r="AK533">
        <f>[1]发票导入!AK533</f>
        <v>0</v>
      </c>
      <c r="AL533">
        <f>[1]发票导入!AL533</f>
        <v>0</v>
      </c>
      <c r="AM533">
        <f>[1]发票导入!AM533</f>
        <v>0</v>
      </c>
      <c r="AN533" s="22">
        <f t="shared" si="1"/>
        <v>0</v>
      </c>
      <c r="AO533" s="22">
        <f t="shared" si="2"/>
        <v>0</v>
      </c>
    </row>
    <row r="534">
      <c r="C534">
        <f>[1]发票导入!C534&amp;""</f>
      </c>
      <c r="D534">
        <f>[1]发票导入!D534&amp;""</f>
      </c>
      <c r="O534">
        <f>[1]发票导入!O534&amp;""</f>
      </c>
      <c r="T534">
        <f>[1]发票导入!T534</f>
      </c>
      <c r="U534">
        <f>[1]发票导入!U534&amp;""</f>
      </c>
      <c r="V534">
        <f>[1]发票导入!V534&amp;""</f>
      </c>
      <c r="W534">
        <f>[1]发票导入!W534&amp;""</f>
      </c>
      <c r="Y534">
        <f>[1]发票导入!Y534&amp;""</f>
      </c>
      <c r="AA534">
        <f>[1]发票导入!AA534&amp;""</f>
      </c>
      <c r="AB534">
        <f>[1]发票导入!AB534</f>
        <v>0</v>
      </c>
      <c r="AC534">
        <f>[1]发票导入!AC534</f>
        <v>0</v>
      </c>
      <c r="AE534" s="22">
        <f t="shared" si="0"/>
      </c>
      <c r="AI534">
        <f>[1]发票导入!AI534&amp;""</f>
      </c>
      <c r="AJ534">
        <f>[1]发票导入!AJ534&amp;""</f>
      </c>
      <c r="AK534">
        <f>[1]发票导入!AK534</f>
        <v>0</v>
      </c>
      <c r="AL534">
        <f>[1]发票导入!AL534</f>
        <v>0</v>
      </c>
      <c r="AM534">
        <f>[1]发票导入!AM534</f>
        <v>0</v>
      </c>
      <c r="AN534" s="22">
        <f t="shared" si="1"/>
        <v>0</v>
      </c>
      <c r="AO534" s="22">
        <f t="shared" si="2"/>
        <v>0</v>
      </c>
    </row>
    <row r="535">
      <c r="C535">
        <f>[1]发票导入!C535&amp;""</f>
      </c>
      <c r="D535">
        <f>[1]发票导入!D535&amp;""</f>
      </c>
      <c r="O535">
        <f>[1]发票导入!O535&amp;""</f>
      </c>
      <c r="T535">
        <f>[1]发票导入!T535</f>
      </c>
      <c r="U535">
        <f>[1]发票导入!U535&amp;""</f>
      </c>
      <c r="V535">
        <f>[1]发票导入!V535&amp;""</f>
      </c>
      <c r="W535">
        <f>[1]发票导入!W535&amp;""</f>
      </c>
      <c r="Y535">
        <f>[1]发票导入!Y535&amp;""</f>
      </c>
      <c r="AA535">
        <f>[1]发票导入!AA535&amp;""</f>
      </c>
      <c r="AB535">
        <f>[1]发票导入!AB535</f>
        <v>0</v>
      </c>
      <c r="AC535">
        <f>[1]发票导入!AC535</f>
        <v>0</v>
      </c>
      <c r="AE535" s="22">
        <f t="shared" si="0"/>
      </c>
      <c r="AI535">
        <f>[1]发票导入!AI535&amp;""</f>
      </c>
      <c r="AJ535">
        <f>[1]发票导入!AJ535&amp;""</f>
      </c>
      <c r="AK535">
        <f>[1]发票导入!AK535</f>
        <v>0</v>
      </c>
      <c r="AL535">
        <f>[1]发票导入!AL535</f>
        <v>0</v>
      </c>
      <c r="AM535">
        <f>[1]发票导入!AM535</f>
        <v>0</v>
      </c>
      <c r="AN535" s="22">
        <f t="shared" si="1"/>
        <v>0</v>
      </c>
      <c r="AO535" s="22">
        <f t="shared" si="2"/>
        <v>0</v>
      </c>
    </row>
    <row r="536">
      <c r="C536">
        <f>[1]发票导入!C536&amp;""</f>
      </c>
      <c r="D536">
        <f>[1]发票导入!D536&amp;""</f>
      </c>
      <c r="O536">
        <f>[1]发票导入!O536&amp;""</f>
      </c>
      <c r="T536">
        <f>[1]发票导入!T536</f>
      </c>
      <c r="U536">
        <f>[1]发票导入!U536&amp;""</f>
      </c>
      <c r="V536">
        <f>[1]发票导入!V536&amp;""</f>
      </c>
      <c r="W536">
        <f>[1]发票导入!W536&amp;""</f>
      </c>
      <c r="Y536">
        <f>[1]发票导入!Y536&amp;""</f>
      </c>
      <c r="AA536">
        <f>[1]发票导入!AA536&amp;""</f>
      </c>
      <c r="AB536">
        <f>[1]发票导入!AB536</f>
        <v>0</v>
      </c>
      <c r="AC536">
        <f>[1]发票导入!AC536</f>
        <v>0</v>
      </c>
      <c r="AE536" s="22">
        <f t="shared" si="0"/>
      </c>
      <c r="AI536">
        <f>[1]发票导入!AI536&amp;""</f>
      </c>
      <c r="AJ536">
        <f>[1]发票导入!AJ536&amp;""</f>
      </c>
      <c r="AK536">
        <f>[1]发票导入!AK536</f>
        <v>0</v>
      </c>
      <c r="AL536">
        <f>[1]发票导入!AL536</f>
        <v>0</v>
      </c>
      <c r="AM536">
        <f>[1]发票导入!AM536</f>
        <v>0</v>
      </c>
      <c r="AN536" s="22">
        <f t="shared" si="1"/>
        <v>0</v>
      </c>
      <c r="AO536" s="22">
        <f t="shared" si="2"/>
        <v>0</v>
      </c>
    </row>
    <row r="537">
      <c r="C537">
        <f>[1]发票导入!C537&amp;""</f>
      </c>
      <c r="D537">
        <f>[1]发票导入!D537&amp;""</f>
      </c>
      <c r="O537">
        <f>[1]发票导入!O537&amp;""</f>
      </c>
      <c r="T537">
        <f>[1]发票导入!T537</f>
      </c>
      <c r="U537">
        <f>[1]发票导入!U537&amp;""</f>
      </c>
      <c r="V537">
        <f>[1]发票导入!V537&amp;""</f>
      </c>
      <c r="W537">
        <f>[1]发票导入!W537&amp;""</f>
      </c>
      <c r="Y537">
        <f>[1]发票导入!Y537&amp;""</f>
      </c>
      <c r="AA537">
        <f>[1]发票导入!AA537&amp;""</f>
      </c>
      <c r="AB537">
        <f>[1]发票导入!AB537</f>
        <v>0</v>
      </c>
      <c r="AC537">
        <f>[1]发票导入!AC537</f>
        <v>0</v>
      </c>
      <c r="AE537" s="22">
        <f t="shared" si="0"/>
      </c>
      <c r="AI537">
        <f>[1]发票导入!AI537&amp;""</f>
      </c>
      <c r="AJ537">
        <f>[1]发票导入!AJ537&amp;""</f>
      </c>
      <c r="AK537">
        <f>[1]发票导入!AK537</f>
        <v>0</v>
      </c>
      <c r="AL537">
        <f>[1]发票导入!AL537</f>
        <v>0</v>
      </c>
      <c r="AM537">
        <f>[1]发票导入!AM537</f>
        <v>0</v>
      </c>
      <c r="AN537" s="22">
        <f t="shared" si="1"/>
        <v>0</v>
      </c>
      <c r="AO537" s="22">
        <f t="shared" si="2"/>
        <v>0</v>
      </c>
    </row>
    <row r="538">
      <c r="C538">
        <f>[1]发票导入!C538&amp;""</f>
      </c>
      <c r="D538">
        <f>[1]发票导入!D538&amp;""</f>
      </c>
      <c r="O538">
        <f>[1]发票导入!O538&amp;""</f>
      </c>
      <c r="T538">
        <f>[1]发票导入!T538</f>
      </c>
      <c r="U538">
        <f>[1]发票导入!U538&amp;""</f>
      </c>
      <c r="V538">
        <f>[1]发票导入!V538&amp;""</f>
      </c>
      <c r="W538">
        <f>[1]发票导入!W538&amp;""</f>
      </c>
      <c r="Y538">
        <f>[1]发票导入!Y538&amp;""</f>
      </c>
      <c r="AA538">
        <f>[1]发票导入!AA538&amp;""</f>
      </c>
      <c r="AB538">
        <f>[1]发票导入!AB538</f>
        <v>0</v>
      </c>
      <c r="AC538">
        <f>[1]发票导入!AC538</f>
        <v>0</v>
      </c>
      <c r="AE538" s="22">
        <f t="shared" si="0"/>
      </c>
      <c r="AI538">
        <f>[1]发票导入!AI538&amp;""</f>
      </c>
      <c r="AJ538">
        <f>[1]发票导入!AJ538&amp;""</f>
      </c>
      <c r="AK538">
        <f>[1]发票导入!AK538</f>
        <v>0</v>
      </c>
      <c r="AL538">
        <f>[1]发票导入!AL538</f>
        <v>0</v>
      </c>
      <c r="AM538">
        <f>[1]发票导入!AM538</f>
        <v>0</v>
      </c>
      <c r="AN538" s="22">
        <f t="shared" si="1"/>
        <v>0</v>
      </c>
      <c r="AO538" s="22">
        <f t="shared" si="2"/>
        <v>0</v>
      </c>
    </row>
    <row r="539">
      <c r="C539">
        <f>[1]发票导入!C539&amp;""</f>
      </c>
      <c r="D539">
        <f>[1]发票导入!D539&amp;""</f>
      </c>
      <c r="O539">
        <f>[1]发票导入!O539&amp;""</f>
      </c>
      <c r="T539">
        <f>[1]发票导入!T539</f>
      </c>
      <c r="U539">
        <f>[1]发票导入!U539&amp;""</f>
      </c>
      <c r="V539">
        <f>[1]发票导入!V539&amp;""</f>
      </c>
      <c r="W539">
        <f>[1]发票导入!W539&amp;""</f>
      </c>
      <c r="Y539">
        <f>[1]发票导入!Y539&amp;""</f>
      </c>
      <c r="AA539">
        <f>[1]发票导入!AA539&amp;""</f>
      </c>
      <c r="AB539">
        <f>[1]发票导入!AB539</f>
        <v>0</v>
      </c>
      <c r="AC539">
        <f>[1]发票导入!AC539</f>
        <v>0</v>
      </c>
      <c r="AE539" s="22">
        <f t="shared" si="0"/>
      </c>
      <c r="AI539">
        <f>[1]发票导入!AI539&amp;""</f>
      </c>
      <c r="AJ539">
        <f>[1]发票导入!AJ539&amp;""</f>
      </c>
      <c r="AK539">
        <f>[1]发票导入!AK539</f>
        <v>0</v>
      </c>
      <c r="AL539">
        <f>[1]发票导入!AL539</f>
        <v>0</v>
      </c>
      <c r="AM539">
        <f>[1]发票导入!AM539</f>
        <v>0</v>
      </c>
      <c r="AN539" s="22">
        <f t="shared" si="1"/>
        <v>0</v>
      </c>
      <c r="AO539" s="22">
        <f t="shared" si="2"/>
        <v>0</v>
      </c>
    </row>
    <row r="540">
      <c r="C540">
        <f>[1]发票导入!C540&amp;""</f>
      </c>
      <c r="D540">
        <f>[1]发票导入!D540&amp;""</f>
      </c>
      <c r="O540">
        <f>[1]发票导入!O540&amp;""</f>
      </c>
      <c r="T540">
        <f>[1]发票导入!T540</f>
      </c>
      <c r="U540">
        <f>[1]发票导入!U540&amp;""</f>
      </c>
      <c r="V540">
        <f>[1]发票导入!V540&amp;""</f>
      </c>
      <c r="W540">
        <f>[1]发票导入!W540&amp;""</f>
      </c>
      <c r="Y540">
        <f>[1]发票导入!Y540&amp;""</f>
      </c>
      <c r="AA540">
        <f>[1]发票导入!AA540&amp;""</f>
      </c>
      <c r="AB540">
        <f>[1]发票导入!AB540</f>
        <v>0</v>
      </c>
      <c r="AC540">
        <f>[1]发票导入!AC540</f>
        <v>0</v>
      </c>
      <c r="AE540" s="22">
        <f t="shared" si="0"/>
      </c>
      <c r="AI540">
        <f>[1]发票导入!AI540&amp;""</f>
      </c>
      <c r="AJ540">
        <f>[1]发票导入!AJ540&amp;""</f>
      </c>
      <c r="AK540">
        <f>[1]发票导入!AK540</f>
        <v>0</v>
      </c>
      <c r="AL540">
        <f>[1]发票导入!AL540</f>
        <v>0</v>
      </c>
      <c r="AM540">
        <f>[1]发票导入!AM540</f>
        <v>0</v>
      </c>
      <c r="AN540" s="22">
        <f t="shared" si="1"/>
        <v>0</v>
      </c>
      <c r="AO540" s="22">
        <f t="shared" si="2"/>
        <v>0</v>
      </c>
    </row>
    <row r="541">
      <c r="C541">
        <f>[1]发票导入!C541&amp;""</f>
      </c>
      <c r="D541">
        <f>[1]发票导入!D541&amp;""</f>
      </c>
      <c r="O541">
        <f>[1]发票导入!O541&amp;""</f>
      </c>
      <c r="T541">
        <f>[1]发票导入!T541</f>
      </c>
      <c r="U541">
        <f>[1]发票导入!U541&amp;""</f>
      </c>
      <c r="V541">
        <f>[1]发票导入!V541&amp;""</f>
      </c>
      <c r="W541">
        <f>[1]发票导入!W541&amp;""</f>
      </c>
      <c r="Y541">
        <f>[1]发票导入!Y541&amp;""</f>
      </c>
      <c r="AA541">
        <f>[1]发票导入!AA541&amp;""</f>
      </c>
      <c r="AB541">
        <f>[1]发票导入!AB541</f>
        <v>0</v>
      </c>
      <c r="AC541">
        <f>[1]发票导入!AC541</f>
        <v>0</v>
      </c>
      <c r="AE541" s="22">
        <f t="shared" si="0"/>
      </c>
      <c r="AI541">
        <f>[1]发票导入!AI541&amp;""</f>
      </c>
      <c r="AJ541">
        <f>[1]发票导入!AJ541&amp;""</f>
      </c>
      <c r="AK541">
        <f>[1]发票导入!AK541</f>
        <v>0</v>
      </c>
      <c r="AL541">
        <f>[1]发票导入!AL541</f>
        <v>0</v>
      </c>
      <c r="AM541">
        <f>[1]发票导入!AM541</f>
        <v>0</v>
      </c>
      <c r="AN541" s="22">
        <f t="shared" si="1"/>
        <v>0</v>
      </c>
      <c r="AO541" s="22">
        <f t="shared" si="2"/>
        <v>0</v>
      </c>
    </row>
    <row r="542">
      <c r="C542">
        <f>[1]发票导入!C542&amp;""</f>
      </c>
      <c r="D542">
        <f>[1]发票导入!D542&amp;""</f>
      </c>
      <c r="O542">
        <f>[1]发票导入!O542&amp;""</f>
      </c>
      <c r="T542">
        <f>[1]发票导入!T542</f>
      </c>
      <c r="U542">
        <f>[1]发票导入!U542&amp;""</f>
      </c>
      <c r="V542">
        <f>[1]发票导入!V542&amp;""</f>
      </c>
      <c r="W542">
        <f>[1]发票导入!W542&amp;""</f>
      </c>
      <c r="Y542">
        <f>[1]发票导入!Y542&amp;""</f>
      </c>
      <c r="AA542">
        <f>[1]发票导入!AA542&amp;""</f>
      </c>
      <c r="AB542">
        <f>[1]发票导入!AB542</f>
        <v>0</v>
      </c>
      <c r="AC542">
        <f>[1]发票导入!AC542</f>
        <v>0</v>
      </c>
      <c r="AE542" s="22">
        <f t="shared" si="0"/>
      </c>
      <c r="AI542">
        <f>[1]发票导入!AI542&amp;""</f>
      </c>
      <c r="AJ542">
        <f>[1]发票导入!AJ542&amp;""</f>
      </c>
      <c r="AK542">
        <f>[1]发票导入!AK542</f>
        <v>0</v>
      </c>
      <c r="AL542">
        <f>[1]发票导入!AL542</f>
        <v>0</v>
      </c>
      <c r="AM542">
        <f>[1]发票导入!AM542</f>
        <v>0</v>
      </c>
      <c r="AN542" s="22">
        <f t="shared" si="1"/>
        <v>0</v>
      </c>
      <c r="AO542" s="22">
        <f t="shared" si="2"/>
        <v>0</v>
      </c>
    </row>
    <row r="543">
      <c r="C543">
        <f>[1]发票导入!C543&amp;""</f>
      </c>
      <c r="D543">
        <f>[1]发票导入!D543&amp;""</f>
      </c>
      <c r="O543">
        <f>[1]发票导入!O543&amp;""</f>
      </c>
      <c r="T543">
        <f>[1]发票导入!T543</f>
      </c>
      <c r="U543">
        <f>[1]发票导入!U543&amp;""</f>
      </c>
      <c r="V543">
        <f>[1]发票导入!V543&amp;""</f>
      </c>
      <c r="W543">
        <f>[1]发票导入!W543&amp;""</f>
      </c>
      <c r="Y543">
        <f>[1]发票导入!Y543&amp;""</f>
      </c>
      <c r="AA543">
        <f>[1]发票导入!AA543&amp;""</f>
      </c>
      <c r="AB543">
        <f>[1]发票导入!AB543</f>
        <v>0</v>
      </c>
      <c r="AC543">
        <f>[1]发票导入!AC543</f>
        <v>0</v>
      </c>
      <c r="AE543" s="22">
        <f t="shared" si="0"/>
      </c>
      <c r="AI543">
        <f>[1]发票导入!AI543&amp;""</f>
      </c>
      <c r="AJ543">
        <f>[1]发票导入!AJ543&amp;""</f>
      </c>
      <c r="AK543">
        <f>[1]发票导入!AK543</f>
        <v>0</v>
      </c>
      <c r="AL543">
        <f>[1]发票导入!AL543</f>
        <v>0</v>
      </c>
      <c r="AM543">
        <f>[1]发票导入!AM543</f>
        <v>0</v>
      </c>
      <c r="AN543" s="22">
        <f t="shared" si="1"/>
        <v>0</v>
      </c>
      <c r="AO543" s="22">
        <f t="shared" si="2"/>
        <v>0</v>
      </c>
    </row>
    <row r="544">
      <c r="C544">
        <f>[1]发票导入!C544&amp;""</f>
      </c>
      <c r="D544">
        <f>[1]发票导入!D544&amp;""</f>
      </c>
      <c r="O544">
        <f>[1]发票导入!O544&amp;""</f>
      </c>
      <c r="T544">
        <f>[1]发票导入!T544</f>
      </c>
      <c r="U544">
        <f>[1]发票导入!U544&amp;""</f>
      </c>
      <c r="V544">
        <f>[1]发票导入!V544&amp;""</f>
      </c>
      <c r="W544">
        <f>[1]发票导入!W544&amp;""</f>
      </c>
      <c r="Y544">
        <f>[1]发票导入!Y544&amp;""</f>
      </c>
      <c r="AA544">
        <f>[1]发票导入!AA544&amp;""</f>
      </c>
      <c r="AB544">
        <f>[1]发票导入!AB544</f>
        <v>0</v>
      </c>
      <c r="AC544">
        <f>[1]发票导入!AC544</f>
        <v>0</v>
      </c>
      <c r="AE544" s="22">
        <f t="shared" si="0"/>
      </c>
      <c r="AI544">
        <f>[1]发票导入!AI544&amp;""</f>
      </c>
      <c r="AJ544">
        <f>[1]发票导入!AJ544&amp;""</f>
      </c>
      <c r="AK544">
        <f>[1]发票导入!AK544</f>
        <v>0</v>
      </c>
      <c r="AL544">
        <f>[1]发票导入!AL544</f>
        <v>0</v>
      </c>
      <c r="AM544">
        <f>[1]发票导入!AM544</f>
        <v>0</v>
      </c>
      <c r="AN544" s="22">
        <f t="shared" si="1"/>
        <v>0</v>
      </c>
      <c r="AO544" s="22">
        <f t="shared" si="2"/>
        <v>0</v>
      </c>
    </row>
    <row r="545">
      <c r="C545">
        <f>[1]发票导入!C545&amp;""</f>
      </c>
      <c r="D545">
        <f>[1]发票导入!D545&amp;""</f>
      </c>
      <c r="O545">
        <f>[1]发票导入!O545&amp;""</f>
      </c>
      <c r="T545">
        <f>[1]发票导入!T545</f>
      </c>
      <c r="U545">
        <f>[1]发票导入!U545&amp;""</f>
      </c>
      <c r="V545">
        <f>[1]发票导入!V545&amp;""</f>
      </c>
      <c r="W545">
        <f>[1]发票导入!W545&amp;""</f>
      </c>
      <c r="Y545">
        <f>[1]发票导入!Y545&amp;""</f>
      </c>
      <c r="AA545">
        <f>[1]发票导入!AA545&amp;""</f>
      </c>
      <c r="AB545">
        <f>[1]发票导入!AB545</f>
        <v>0</v>
      </c>
      <c r="AC545">
        <f>[1]发票导入!AC545</f>
        <v>0</v>
      </c>
      <c r="AE545" s="22">
        <f t="shared" si="0"/>
      </c>
      <c r="AI545">
        <f>[1]发票导入!AI545&amp;""</f>
      </c>
      <c r="AJ545">
        <f>[1]发票导入!AJ545&amp;""</f>
      </c>
      <c r="AK545">
        <f>[1]发票导入!AK545</f>
        <v>0</v>
      </c>
      <c r="AL545">
        <f>[1]发票导入!AL545</f>
        <v>0</v>
      </c>
      <c r="AM545">
        <f>[1]发票导入!AM545</f>
        <v>0</v>
      </c>
      <c r="AN545" s="22">
        <f t="shared" si="1"/>
        <v>0</v>
      </c>
      <c r="AO545" s="22">
        <f t="shared" si="2"/>
        <v>0</v>
      </c>
    </row>
    <row r="546">
      <c r="C546">
        <f>[1]发票导入!C546&amp;""</f>
      </c>
      <c r="D546">
        <f>[1]发票导入!D546&amp;""</f>
      </c>
      <c r="O546">
        <f>[1]发票导入!O546&amp;""</f>
      </c>
      <c r="T546">
        <f>[1]发票导入!T546</f>
      </c>
      <c r="U546">
        <f>[1]发票导入!U546&amp;""</f>
      </c>
      <c r="V546">
        <f>[1]发票导入!V546&amp;""</f>
      </c>
      <c r="W546">
        <f>[1]发票导入!W546&amp;""</f>
      </c>
      <c r="Y546">
        <f>[1]发票导入!Y546&amp;""</f>
      </c>
      <c r="AA546">
        <f>[1]发票导入!AA546&amp;""</f>
      </c>
      <c r="AB546">
        <f>[1]发票导入!AB546</f>
        <v>0</v>
      </c>
      <c r="AC546">
        <f>[1]发票导入!AC546</f>
        <v>0</v>
      </c>
      <c r="AE546" s="22">
        <f t="shared" si="0"/>
      </c>
      <c r="AI546">
        <f>[1]发票导入!AI546&amp;""</f>
      </c>
      <c r="AJ546">
        <f>[1]发票导入!AJ546&amp;""</f>
      </c>
      <c r="AK546">
        <f>[1]发票导入!AK546</f>
        <v>0</v>
      </c>
      <c r="AL546">
        <f>[1]发票导入!AL546</f>
        <v>0</v>
      </c>
      <c r="AM546">
        <f>[1]发票导入!AM546</f>
        <v>0</v>
      </c>
      <c r="AN546" s="22">
        <f t="shared" si="1"/>
        <v>0</v>
      </c>
      <c r="AO546" s="22">
        <f t="shared" si="2"/>
        <v>0</v>
      </c>
    </row>
    <row r="547">
      <c r="C547">
        <f>[1]发票导入!C547&amp;""</f>
      </c>
      <c r="D547">
        <f>[1]发票导入!D547&amp;""</f>
      </c>
      <c r="O547">
        <f>[1]发票导入!O547&amp;""</f>
      </c>
      <c r="T547">
        <f>[1]发票导入!T547</f>
      </c>
      <c r="U547">
        <f>[1]发票导入!U547&amp;""</f>
      </c>
      <c r="V547">
        <f>[1]发票导入!V547&amp;""</f>
      </c>
      <c r="W547">
        <f>[1]发票导入!W547&amp;""</f>
      </c>
      <c r="Y547">
        <f>[1]发票导入!Y547&amp;""</f>
      </c>
      <c r="AA547">
        <f>[1]发票导入!AA547&amp;""</f>
      </c>
      <c r="AB547">
        <f>[1]发票导入!AB547</f>
        <v>0</v>
      </c>
      <c r="AC547">
        <f>[1]发票导入!AC547</f>
        <v>0</v>
      </c>
      <c r="AE547" s="22">
        <f t="shared" si="0"/>
      </c>
      <c r="AI547">
        <f>[1]发票导入!AI547&amp;""</f>
      </c>
      <c r="AJ547">
        <f>[1]发票导入!AJ547&amp;""</f>
      </c>
      <c r="AK547">
        <f>[1]发票导入!AK547</f>
        <v>0</v>
      </c>
      <c r="AL547">
        <f>[1]发票导入!AL547</f>
        <v>0</v>
      </c>
      <c r="AM547">
        <f>[1]发票导入!AM547</f>
        <v>0</v>
      </c>
      <c r="AN547" s="22">
        <f t="shared" si="1"/>
        <v>0</v>
      </c>
      <c r="AO547" s="22">
        <f t="shared" si="2"/>
        <v>0</v>
      </c>
    </row>
    <row r="548">
      <c r="C548">
        <f>[1]发票导入!C548&amp;""</f>
      </c>
      <c r="D548">
        <f>[1]发票导入!D548&amp;""</f>
      </c>
      <c r="O548">
        <f>[1]发票导入!O548&amp;""</f>
      </c>
      <c r="T548">
        <f>[1]发票导入!T548</f>
      </c>
      <c r="U548">
        <f>[1]发票导入!U548&amp;""</f>
      </c>
      <c r="V548">
        <f>[1]发票导入!V548&amp;""</f>
      </c>
      <c r="W548">
        <f>[1]发票导入!W548&amp;""</f>
      </c>
      <c r="Y548">
        <f>[1]发票导入!Y548&amp;""</f>
      </c>
      <c r="AA548">
        <f>[1]发票导入!AA548&amp;""</f>
      </c>
      <c r="AB548">
        <f>[1]发票导入!AB548</f>
        <v>0</v>
      </c>
      <c r="AC548">
        <f>[1]发票导入!AC548</f>
        <v>0</v>
      </c>
      <c r="AE548" s="22">
        <f t="shared" si="0"/>
      </c>
      <c r="AI548">
        <f>[1]发票导入!AI548&amp;""</f>
      </c>
      <c r="AJ548">
        <f>[1]发票导入!AJ548&amp;""</f>
      </c>
      <c r="AK548">
        <f>[1]发票导入!AK548</f>
        <v>0</v>
      </c>
      <c r="AL548">
        <f>[1]发票导入!AL548</f>
        <v>0</v>
      </c>
      <c r="AM548">
        <f>[1]发票导入!AM548</f>
        <v>0</v>
      </c>
      <c r="AN548" s="22">
        <f t="shared" si="1"/>
        <v>0</v>
      </c>
      <c r="AO548" s="22">
        <f t="shared" si="2"/>
        <v>0</v>
      </c>
    </row>
    <row r="549">
      <c r="C549">
        <f>[1]发票导入!C549&amp;""</f>
      </c>
      <c r="D549">
        <f>[1]发票导入!D549&amp;""</f>
      </c>
      <c r="O549">
        <f>[1]发票导入!O549&amp;""</f>
      </c>
      <c r="T549">
        <f>[1]发票导入!T549</f>
      </c>
      <c r="U549">
        <f>[1]发票导入!U549&amp;""</f>
      </c>
      <c r="V549">
        <f>[1]发票导入!V549&amp;""</f>
      </c>
      <c r="W549">
        <f>[1]发票导入!W549&amp;""</f>
      </c>
      <c r="Y549">
        <f>[1]发票导入!Y549&amp;""</f>
      </c>
      <c r="AA549">
        <f>[1]发票导入!AA549&amp;""</f>
      </c>
      <c r="AB549">
        <f>[1]发票导入!AB549</f>
        <v>0</v>
      </c>
      <c r="AC549">
        <f>[1]发票导入!AC549</f>
        <v>0</v>
      </c>
      <c r="AE549" s="22">
        <f t="shared" si="0"/>
      </c>
      <c r="AI549">
        <f>[1]发票导入!AI549&amp;""</f>
      </c>
      <c r="AJ549">
        <f>[1]发票导入!AJ549&amp;""</f>
      </c>
      <c r="AK549">
        <f>[1]发票导入!AK549</f>
        <v>0</v>
      </c>
      <c r="AL549">
        <f>[1]发票导入!AL549</f>
        <v>0</v>
      </c>
      <c r="AM549">
        <f>[1]发票导入!AM549</f>
        <v>0</v>
      </c>
      <c r="AN549" s="22">
        <f t="shared" si="1"/>
        <v>0</v>
      </c>
      <c r="AO549" s="22">
        <f t="shared" si="2"/>
        <v>0</v>
      </c>
    </row>
    <row r="550">
      <c r="C550">
        <f>[1]发票导入!C550&amp;""</f>
      </c>
      <c r="D550">
        <f>[1]发票导入!D550&amp;""</f>
      </c>
      <c r="O550">
        <f>[1]发票导入!O550&amp;""</f>
      </c>
      <c r="T550">
        <f>[1]发票导入!T550</f>
      </c>
      <c r="U550">
        <f>[1]发票导入!U550&amp;""</f>
      </c>
      <c r="V550">
        <f>[1]发票导入!V550&amp;""</f>
      </c>
      <c r="W550">
        <f>[1]发票导入!W550&amp;""</f>
      </c>
      <c r="Y550">
        <f>[1]发票导入!Y550&amp;""</f>
      </c>
      <c r="AA550">
        <f>[1]发票导入!AA550&amp;""</f>
      </c>
      <c r="AB550">
        <f>[1]发票导入!AB550</f>
        <v>0</v>
      </c>
      <c r="AC550">
        <f>[1]发票导入!AC550</f>
        <v>0</v>
      </c>
      <c r="AE550" s="22">
        <f t="shared" si="0"/>
      </c>
      <c r="AI550">
        <f>[1]发票导入!AI550&amp;""</f>
      </c>
      <c r="AJ550">
        <f>[1]发票导入!AJ550&amp;""</f>
      </c>
      <c r="AK550">
        <f>[1]发票导入!AK550</f>
        <v>0</v>
      </c>
      <c r="AL550">
        <f>[1]发票导入!AL550</f>
        <v>0</v>
      </c>
      <c r="AM550">
        <f>[1]发票导入!AM550</f>
        <v>0</v>
      </c>
      <c r="AN550" s="22">
        <f t="shared" si="1"/>
        <v>0</v>
      </c>
      <c r="AO550" s="22">
        <f t="shared" si="2"/>
        <v>0</v>
      </c>
    </row>
    <row r="551">
      <c r="C551">
        <f>[1]发票导入!C551&amp;""</f>
      </c>
      <c r="D551">
        <f>[1]发票导入!D551&amp;""</f>
      </c>
      <c r="O551">
        <f>[1]发票导入!O551&amp;""</f>
      </c>
      <c r="T551">
        <f>[1]发票导入!T551</f>
      </c>
      <c r="U551">
        <f>[1]发票导入!U551&amp;""</f>
      </c>
      <c r="V551">
        <f>[1]发票导入!V551&amp;""</f>
      </c>
      <c r="W551">
        <f>[1]发票导入!W551&amp;""</f>
      </c>
      <c r="Y551">
        <f>[1]发票导入!Y551&amp;""</f>
      </c>
      <c r="AA551">
        <f>[1]发票导入!AA551&amp;""</f>
      </c>
      <c r="AB551">
        <f>[1]发票导入!AB551</f>
        <v>0</v>
      </c>
      <c r="AC551">
        <f>[1]发票导入!AC551</f>
        <v>0</v>
      </c>
      <c r="AE551" s="22">
        <f t="shared" si="0"/>
      </c>
      <c r="AI551">
        <f>[1]发票导入!AI551&amp;""</f>
      </c>
      <c r="AJ551">
        <f>[1]发票导入!AJ551&amp;""</f>
      </c>
      <c r="AK551">
        <f>[1]发票导入!AK551</f>
        <v>0</v>
      </c>
      <c r="AL551">
        <f>[1]发票导入!AL551</f>
        <v>0</v>
      </c>
      <c r="AM551">
        <f>[1]发票导入!AM551</f>
        <v>0</v>
      </c>
      <c r="AN551" s="22">
        <f t="shared" si="1"/>
        <v>0</v>
      </c>
      <c r="AO551" s="22">
        <f t="shared" si="2"/>
        <v>0</v>
      </c>
    </row>
    <row r="552">
      <c r="C552">
        <f>[1]发票导入!C552&amp;""</f>
      </c>
      <c r="D552">
        <f>[1]发票导入!D552&amp;""</f>
      </c>
      <c r="O552">
        <f>[1]发票导入!O552&amp;""</f>
      </c>
      <c r="T552">
        <f>[1]发票导入!T552</f>
      </c>
      <c r="U552">
        <f>[1]发票导入!U552&amp;""</f>
      </c>
      <c r="V552">
        <f>[1]发票导入!V552&amp;""</f>
      </c>
      <c r="W552">
        <f>[1]发票导入!W552&amp;""</f>
      </c>
      <c r="Y552">
        <f>[1]发票导入!Y552&amp;""</f>
      </c>
      <c r="AA552">
        <f>[1]发票导入!AA552&amp;""</f>
      </c>
      <c r="AB552">
        <f>[1]发票导入!AB552</f>
        <v>0</v>
      </c>
      <c r="AC552">
        <f>[1]发票导入!AC552</f>
        <v>0</v>
      </c>
      <c r="AE552" s="22">
        <f t="shared" si="0"/>
      </c>
      <c r="AI552">
        <f>[1]发票导入!AI552&amp;""</f>
      </c>
      <c r="AJ552">
        <f>[1]发票导入!AJ552&amp;""</f>
      </c>
      <c r="AK552">
        <f>[1]发票导入!AK552</f>
        <v>0</v>
      </c>
      <c r="AL552">
        <f>[1]发票导入!AL552</f>
        <v>0</v>
      </c>
      <c r="AM552">
        <f>[1]发票导入!AM552</f>
        <v>0</v>
      </c>
      <c r="AN552" s="22">
        <f t="shared" si="1"/>
        <v>0</v>
      </c>
      <c r="AO552" s="22">
        <f t="shared" si="2"/>
        <v>0</v>
      </c>
    </row>
    <row r="553">
      <c r="C553">
        <f>[1]发票导入!C553&amp;""</f>
      </c>
      <c r="D553">
        <f>[1]发票导入!D553&amp;""</f>
      </c>
      <c r="O553">
        <f>[1]发票导入!O553&amp;""</f>
      </c>
      <c r="T553">
        <f>[1]发票导入!T553</f>
      </c>
      <c r="U553">
        <f>[1]发票导入!U553&amp;""</f>
      </c>
      <c r="V553">
        <f>[1]发票导入!V553&amp;""</f>
      </c>
      <c r="W553">
        <f>[1]发票导入!W553&amp;""</f>
      </c>
      <c r="Y553">
        <f>[1]发票导入!Y553&amp;""</f>
      </c>
      <c r="AA553">
        <f>[1]发票导入!AA553&amp;""</f>
      </c>
      <c r="AB553">
        <f>[1]发票导入!AB553</f>
        <v>0</v>
      </c>
      <c r="AC553">
        <f>[1]发票导入!AC553</f>
        <v>0</v>
      </c>
      <c r="AE553" s="22">
        <f t="shared" si="0"/>
      </c>
      <c r="AI553">
        <f>[1]发票导入!AI553&amp;""</f>
      </c>
      <c r="AJ553">
        <f>[1]发票导入!AJ553&amp;""</f>
      </c>
      <c r="AK553">
        <f>[1]发票导入!AK553</f>
        <v>0</v>
      </c>
      <c r="AL553">
        <f>[1]发票导入!AL553</f>
        <v>0</v>
      </c>
      <c r="AM553">
        <f>[1]发票导入!AM553</f>
        <v>0</v>
      </c>
      <c r="AN553" s="22">
        <f t="shared" si="1"/>
        <v>0</v>
      </c>
      <c r="AO553" s="22">
        <f t="shared" si="2"/>
        <v>0</v>
      </c>
    </row>
    <row r="554">
      <c r="C554">
        <f>[1]发票导入!C554&amp;""</f>
      </c>
      <c r="D554">
        <f>[1]发票导入!D554&amp;""</f>
      </c>
      <c r="O554">
        <f>[1]发票导入!O554&amp;""</f>
      </c>
      <c r="T554">
        <f>[1]发票导入!T554</f>
      </c>
      <c r="U554">
        <f>[1]发票导入!U554&amp;""</f>
      </c>
      <c r="V554">
        <f>[1]发票导入!V554&amp;""</f>
      </c>
      <c r="W554">
        <f>[1]发票导入!W554&amp;""</f>
      </c>
      <c r="Y554">
        <f>[1]发票导入!Y554&amp;""</f>
      </c>
      <c r="AA554">
        <f>[1]发票导入!AA554&amp;""</f>
      </c>
      <c r="AB554">
        <f>[1]发票导入!AB554</f>
        <v>0</v>
      </c>
      <c r="AC554">
        <f>[1]发票导入!AC554</f>
        <v>0</v>
      </c>
      <c r="AE554" s="22">
        <f t="shared" si="0"/>
      </c>
      <c r="AI554">
        <f>[1]发票导入!AI554&amp;""</f>
      </c>
      <c r="AJ554">
        <f>[1]发票导入!AJ554&amp;""</f>
      </c>
      <c r="AK554">
        <f>[1]发票导入!AK554</f>
        <v>0</v>
      </c>
      <c r="AL554">
        <f>[1]发票导入!AL554</f>
        <v>0</v>
      </c>
      <c r="AM554">
        <f>[1]发票导入!AM554</f>
        <v>0</v>
      </c>
      <c r="AN554" s="22">
        <f t="shared" si="1"/>
        <v>0</v>
      </c>
      <c r="AO554" s="22">
        <f t="shared" si="2"/>
        <v>0</v>
      </c>
    </row>
    <row r="555">
      <c r="C555">
        <f>[1]发票导入!C555&amp;""</f>
      </c>
      <c r="D555">
        <f>[1]发票导入!D555&amp;""</f>
      </c>
      <c r="O555">
        <f>[1]发票导入!O555&amp;""</f>
      </c>
      <c r="T555">
        <f>[1]发票导入!T555</f>
      </c>
      <c r="U555">
        <f>[1]发票导入!U555&amp;""</f>
      </c>
      <c r="V555">
        <f>[1]发票导入!V555&amp;""</f>
      </c>
      <c r="W555">
        <f>[1]发票导入!W555&amp;""</f>
      </c>
      <c r="Y555">
        <f>[1]发票导入!Y555&amp;""</f>
      </c>
      <c r="AA555">
        <f>[1]发票导入!AA555&amp;""</f>
      </c>
      <c r="AB555">
        <f>[1]发票导入!AB555</f>
        <v>0</v>
      </c>
      <c r="AC555">
        <f>[1]发票导入!AC555</f>
        <v>0</v>
      </c>
      <c r="AE555" s="22">
        <f t="shared" si="0"/>
      </c>
      <c r="AI555">
        <f>[1]发票导入!AI555&amp;""</f>
      </c>
      <c r="AJ555">
        <f>[1]发票导入!AJ555&amp;""</f>
      </c>
      <c r="AK555">
        <f>[1]发票导入!AK555</f>
        <v>0</v>
      </c>
      <c r="AL555">
        <f>[1]发票导入!AL555</f>
        <v>0</v>
      </c>
      <c r="AM555">
        <f>[1]发票导入!AM555</f>
        <v>0</v>
      </c>
      <c r="AN555" s="22">
        <f t="shared" si="1"/>
        <v>0</v>
      </c>
      <c r="AO555" s="22">
        <f t="shared" si="2"/>
        <v>0</v>
      </c>
    </row>
    <row r="556">
      <c r="C556">
        <f>[1]发票导入!C556&amp;""</f>
      </c>
      <c r="D556">
        <f>[1]发票导入!D556&amp;""</f>
      </c>
      <c r="O556">
        <f>[1]发票导入!O556&amp;""</f>
      </c>
      <c r="T556">
        <f>[1]发票导入!T556</f>
      </c>
      <c r="U556">
        <f>[1]发票导入!U556&amp;""</f>
      </c>
      <c r="V556">
        <f>[1]发票导入!V556&amp;""</f>
      </c>
      <c r="W556">
        <f>[1]发票导入!W556&amp;""</f>
      </c>
      <c r="Y556">
        <f>[1]发票导入!Y556&amp;""</f>
      </c>
      <c r="AA556">
        <f>[1]发票导入!AA556&amp;""</f>
      </c>
      <c r="AB556">
        <f>[1]发票导入!AB556</f>
        <v>0</v>
      </c>
      <c r="AC556">
        <f>[1]发票导入!AC556</f>
        <v>0</v>
      </c>
      <c r="AE556" s="22">
        <f t="shared" si="0"/>
      </c>
      <c r="AI556">
        <f>[1]发票导入!AI556&amp;""</f>
      </c>
      <c r="AJ556">
        <f>[1]发票导入!AJ556&amp;""</f>
      </c>
      <c r="AK556">
        <f>[1]发票导入!AK556</f>
        <v>0</v>
      </c>
      <c r="AL556">
        <f>[1]发票导入!AL556</f>
        <v>0</v>
      </c>
      <c r="AM556">
        <f>[1]发票导入!AM556</f>
        <v>0</v>
      </c>
      <c r="AN556" s="22">
        <f t="shared" si="1"/>
        <v>0</v>
      </c>
      <c r="AO556" s="22">
        <f t="shared" si="2"/>
        <v>0</v>
      </c>
    </row>
    <row r="557">
      <c r="C557">
        <f>[1]发票导入!C557&amp;""</f>
      </c>
      <c r="D557">
        <f>[1]发票导入!D557&amp;""</f>
      </c>
      <c r="O557">
        <f>[1]发票导入!O557&amp;""</f>
      </c>
      <c r="T557">
        <f>[1]发票导入!T557</f>
      </c>
      <c r="U557">
        <f>[1]发票导入!U557&amp;""</f>
      </c>
      <c r="V557">
        <f>[1]发票导入!V557&amp;""</f>
      </c>
      <c r="W557">
        <f>[1]发票导入!W557&amp;""</f>
      </c>
      <c r="Y557">
        <f>[1]发票导入!Y557&amp;""</f>
      </c>
      <c r="AA557">
        <f>[1]发票导入!AA557&amp;""</f>
      </c>
      <c r="AB557">
        <f>[1]发票导入!AB557</f>
        <v>0</v>
      </c>
      <c r="AC557">
        <f>[1]发票导入!AC557</f>
        <v>0</v>
      </c>
      <c r="AE557" s="22">
        <f t="shared" si="0"/>
      </c>
      <c r="AI557">
        <f>[1]发票导入!AI557&amp;""</f>
      </c>
      <c r="AJ557">
        <f>[1]发票导入!AJ557&amp;""</f>
      </c>
      <c r="AK557">
        <f>[1]发票导入!AK557</f>
        <v>0</v>
      </c>
      <c r="AL557">
        <f>[1]发票导入!AL557</f>
        <v>0</v>
      </c>
      <c r="AM557">
        <f>[1]发票导入!AM557</f>
        <v>0</v>
      </c>
      <c r="AN557" s="22">
        <f t="shared" si="1"/>
        <v>0</v>
      </c>
      <c r="AO557" s="22">
        <f t="shared" si="2"/>
        <v>0</v>
      </c>
    </row>
    <row r="558">
      <c r="C558">
        <f>[1]发票导入!C558&amp;""</f>
      </c>
      <c r="D558">
        <f>[1]发票导入!D558&amp;""</f>
      </c>
      <c r="O558">
        <f>[1]发票导入!O558&amp;""</f>
      </c>
      <c r="T558">
        <f>[1]发票导入!T558</f>
      </c>
      <c r="U558">
        <f>[1]发票导入!U558&amp;""</f>
      </c>
      <c r="V558">
        <f>[1]发票导入!V558&amp;""</f>
      </c>
      <c r="W558">
        <f>[1]发票导入!W558&amp;""</f>
      </c>
      <c r="Y558">
        <f>[1]发票导入!Y558&amp;""</f>
      </c>
      <c r="AA558">
        <f>[1]发票导入!AA558&amp;""</f>
      </c>
      <c r="AB558">
        <f>[1]发票导入!AB558</f>
        <v>0</v>
      </c>
      <c r="AC558">
        <f>[1]发票导入!AC558</f>
        <v>0</v>
      </c>
      <c r="AE558" s="22">
        <f t="shared" si="0"/>
      </c>
      <c r="AI558">
        <f>[1]发票导入!AI558&amp;""</f>
      </c>
      <c r="AJ558">
        <f>[1]发票导入!AJ558&amp;""</f>
      </c>
      <c r="AK558">
        <f>[1]发票导入!AK558</f>
        <v>0</v>
      </c>
      <c r="AL558">
        <f>[1]发票导入!AL558</f>
        <v>0</v>
      </c>
      <c r="AM558">
        <f>[1]发票导入!AM558</f>
        <v>0</v>
      </c>
      <c r="AN558" s="22">
        <f t="shared" si="1"/>
        <v>0</v>
      </c>
      <c r="AO558" s="22">
        <f t="shared" si="2"/>
        <v>0</v>
      </c>
    </row>
    <row r="559">
      <c r="C559">
        <f>[1]发票导入!C559&amp;""</f>
      </c>
      <c r="D559">
        <f>[1]发票导入!D559&amp;""</f>
      </c>
      <c r="O559">
        <f>[1]发票导入!O559&amp;""</f>
      </c>
      <c r="T559">
        <f>[1]发票导入!T559</f>
      </c>
      <c r="U559">
        <f>[1]发票导入!U559&amp;""</f>
      </c>
      <c r="V559">
        <f>[1]发票导入!V559&amp;""</f>
      </c>
      <c r="W559">
        <f>[1]发票导入!W559&amp;""</f>
      </c>
      <c r="Y559">
        <f>[1]发票导入!Y559&amp;""</f>
      </c>
      <c r="AA559">
        <f>[1]发票导入!AA559&amp;""</f>
      </c>
      <c r="AB559">
        <f>[1]发票导入!AB559</f>
        <v>0</v>
      </c>
      <c r="AC559">
        <f>[1]发票导入!AC559</f>
        <v>0</v>
      </c>
      <c r="AE559" s="22">
        <f t="shared" si="0"/>
      </c>
      <c r="AI559">
        <f>[1]发票导入!AI559&amp;""</f>
      </c>
      <c r="AJ559">
        <f>[1]发票导入!AJ559&amp;""</f>
      </c>
      <c r="AK559">
        <f>[1]发票导入!AK559</f>
        <v>0</v>
      </c>
      <c r="AL559">
        <f>[1]发票导入!AL559</f>
        <v>0</v>
      </c>
      <c r="AM559">
        <f>[1]发票导入!AM559</f>
        <v>0</v>
      </c>
      <c r="AN559" s="22">
        <f t="shared" si="1"/>
        <v>0</v>
      </c>
      <c r="AO559" s="22">
        <f t="shared" si="2"/>
        <v>0</v>
      </c>
    </row>
    <row r="560">
      <c r="C560">
        <f>[1]发票导入!C560&amp;""</f>
      </c>
      <c r="D560">
        <f>[1]发票导入!D560&amp;""</f>
      </c>
      <c r="O560">
        <f>[1]发票导入!O560&amp;""</f>
      </c>
      <c r="T560">
        <f>[1]发票导入!T560</f>
      </c>
      <c r="U560">
        <f>[1]发票导入!U560&amp;""</f>
      </c>
      <c r="V560">
        <f>[1]发票导入!V560&amp;""</f>
      </c>
      <c r="W560">
        <f>[1]发票导入!W560&amp;""</f>
      </c>
      <c r="Y560">
        <f>[1]发票导入!Y560&amp;""</f>
      </c>
      <c r="AA560">
        <f>[1]发票导入!AA560&amp;""</f>
      </c>
      <c r="AB560">
        <f>[1]发票导入!AB560</f>
        <v>0</v>
      </c>
      <c r="AC560">
        <f>[1]发票导入!AC560</f>
        <v>0</v>
      </c>
      <c r="AE560" s="22">
        <f t="shared" si="0"/>
      </c>
      <c r="AI560">
        <f>[1]发票导入!AI560&amp;""</f>
      </c>
      <c r="AJ560">
        <f>[1]发票导入!AJ560&amp;""</f>
      </c>
      <c r="AK560">
        <f>[1]发票导入!AK560</f>
        <v>0</v>
      </c>
      <c r="AL560">
        <f>[1]发票导入!AL560</f>
        <v>0</v>
      </c>
      <c r="AM560">
        <f>[1]发票导入!AM560</f>
        <v>0</v>
      </c>
      <c r="AN560" s="22">
        <f t="shared" si="1"/>
        <v>0</v>
      </c>
      <c r="AO560" s="22">
        <f t="shared" si="2"/>
        <v>0</v>
      </c>
    </row>
    <row r="561">
      <c r="C561">
        <f>[1]发票导入!C561&amp;""</f>
      </c>
      <c r="D561">
        <f>[1]发票导入!D561&amp;""</f>
      </c>
      <c r="O561">
        <f>[1]发票导入!O561&amp;""</f>
      </c>
      <c r="T561">
        <f>[1]发票导入!T561</f>
      </c>
      <c r="U561">
        <f>[1]发票导入!U561&amp;""</f>
      </c>
      <c r="V561">
        <f>[1]发票导入!V561&amp;""</f>
      </c>
      <c r="W561">
        <f>[1]发票导入!W561&amp;""</f>
      </c>
      <c r="Y561">
        <f>[1]发票导入!Y561&amp;""</f>
      </c>
      <c r="AA561">
        <f>[1]发票导入!AA561&amp;""</f>
      </c>
      <c r="AB561">
        <f>[1]发票导入!AB561</f>
        <v>0</v>
      </c>
      <c r="AC561">
        <f>[1]发票导入!AC561</f>
        <v>0</v>
      </c>
      <c r="AE561" s="22">
        <f t="shared" si="0"/>
      </c>
      <c r="AI561">
        <f>[1]发票导入!AI561&amp;""</f>
      </c>
      <c r="AJ561">
        <f>[1]发票导入!AJ561&amp;""</f>
      </c>
      <c r="AK561">
        <f>[1]发票导入!AK561</f>
        <v>0</v>
      </c>
      <c r="AL561">
        <f>[1]发票导入!AL561</f>
        <v>0</v>
      </c>
      <c r="AM561">
        <f>[1]发票导入!AM561</f>
        <v>0</v>
      </c>
      <c r="AN561" s="22">
        <f t="shared" si="1"/>
        <v>0</v>
      </c>
      <c r="AO561" s="22">
        <f t="shared" si="2"/>
        <v>0</v>
      </c>
    </row>
    <row r="562">
      <c r="C562">
        <f>[1]发票导入!C562&amp;""</f>
      </c>
      <c r="D562">
        <f>[1]发票导入!D562&amp;""</f>
      </c>
      <c r="O562">
        <f>[1]发票导入!O562&amp;""</f>
      </c>
      <c r="T562">
        <f>[1]发票导入!T562</f>
      </c>
      <c r="U562">
        <f>[1]发票导入!U562&amp;""</f>
      </c>
      <c r="V562">
        <f>[1]发票导入!V562&amp;""</f>
      </c>
      <c r="W562">
        <f>[1]发票导入!W562&amp;""</f>
      </c>
      <c r="Y562">
        <f>[1]发票导入!Y562&amp;""</f>
      </c>
      <c r="AA562">
        <f>[1]发票导入!AA562&amp;""</f>
      </c>
      <c r="AB562">
        <f>[1]发票导入!AB562</f>
        <v>0</v>
      </c>
      <c r="AC562">
        <f>[1]发票导入!AC562</f>
        <v>0</v>
      </c>
      <c r="AE562" s="22">
        <f t="shared" si="0"/>
      </c>
      <c r="AI562">
        <f>[1]发票导入!AI562&amp;""</f>
      </c>
      <c r="AJ562">
        <f>[1]发票导入!AJ562&amp;""</f>
      </c>
      <c r="AK562">
        <f>[1]发票导入!AK562</f>
        <v>0</v>
      </c>
      <c r="AL562">
        <f>[1]发票导入!AL562</f>
        <v>0</v>
      </c>
      <c r="AM562">
        <f>[1]发票导入!AM562</f>
        <v>0</v>
      </c>
      <c r="AN562" s="22">
        <f t="shared" si="1"/>
        <v>0</v>
      </c>
      <c r="AO562" s="22">
        <f t="shared" si="2"/>
        <v>0</v>
      </c>
    </row>
    <row r="563">
      <c r="C563">
        <f>[1]发票导入!C563&amp;""</f>
      </c>
      <c r="D563">
        <f>[1]发票导入!D563&amp;""</f>
      </c>
      <c r="O563">
        <f>[1]发票导入!O563&amp;""</f>
      </c>
      <c r="T563">
        <f>[1]发票导入!T563</f>
      </c>
      <c r="U563">
        <f>[1]发票导入!U563&amp;""</f>
      </c>
      <c r="V563">
        <f>[1]发票导入!V563&amp;""</f>
      </c>
      <c r="W563">
        <f>[1]发票导入!W563&amp;""</f>
      </c>
      <c r="Y563">
        <f>[1]发票导入!Y563&amp;""</f>
      </c>
      <c r="AA563">
        <f>[1]发票导入!AA563&amp;""</f>
      </c>
      <c r="AB563">
        <f>[1]发票导入!AB563</f>
        <v>0</v>
      </c>
      <c r="AC563">
        <f>[1]发票导入!AC563</f>
        <v>0</v>
      </c>
      <c r="AE563" s="22">
        <f t="shared" si="0"/>
      </c>
      <c r="AI563">
        <f>[1]发票导入!AI563&amp;""</f>
      </c>
      <c r="AJ563">
        <f>[1]发票导入!AJ563&amp;""</f>
      </c>
      <c r="AK563">
        <f>[1]发票导入!AK563</f>
        <v>0</v>
      </c>
      <c r="AL563">
        <f>[1]发票导入!AL563</f>
        <v>0</v>
      </c>
      <c r="AM563">
        <f>[1]发票导入!AM563</f>
        <v>0</v>
      </c>
      <c r="AN563" s="22">
        <f t="shared" si="1"/>
        <v>0</v>
      </c>
      <c r="AO563" s="22">
        <f t="shared" si="2"/>
        <v>0</v>
      </c>
    </row>
    <row r="564">
      <c r="C564">
        <f>[1]发票导入!C564&amp;""</f>
      </c>
      <c r="D564">
        <f>[1]发票导入!D564&amp;""</f>
      </c>
      <c r="O564">
        <f>[1]发票导入!O564&amp;""</f>
      </c>
      <c r="T564">
        <f>[1]发票导入!T564</f>
      </c>
      <c r="U564">
        <f>[1]发票导入!U564&amp;""</f>
      </c>
      <c r="V564">
        <f>[1]发票导入!V564&amp;""</f>
      </c>
      <c r="W564">
        <f>[1]发票导入!W564&amp;""</f>
      </c>
      <c r="Y564">
        <f>[1]发票导入!Y564&amp;""</f>
      </c>
      <c r="AA564">
        <f>[1]发票导入!AA564&amp;""</f>
      </c>
      <c r="AB564">
        <f>[1]发票导入!AB564</f>
        <v>0</v>
      </c>
      <c r="AC564">
        <f>[1]发票导入!AC564</f>
        <v>0</v>
      </c>
      <c r="AE564" s="22">
        <f t="shared" si="0"/>
      </c>
      <c r="AI564">
        <f>[1]发票导入!AI564&amp;""</f>
      </c>
      <c r="AJ564">
        <f>[1]发票导入!AJ564&amp;""</f>
      </c>
      <c r="AK564">
        <f>[1]发票导入!AK564</f>
        <v>0</v>
      </c>
      <c r="AL564">
        <f>[1]发票导入!AL564</f>
        <v>0</v>
      </c>
      <c r="AM564">
        <f>[1]发票导入!AM564</f>
        <v>0</v>
      </c>
      <c r="AN564" s="22">
        <f t="shared" si="1"/>
        <v>0</v>
      </c>
      <c r="AO564" s="22">
        <f t="shared" si="2"/>
        <v>0</v>
      </c>
    </row>
    <row r="565">
      <c r="C565">
        <f>[1]发票导入!C565&amp;""</f>
      </c>
      <c r="D565">
        <f>[1]发票导入!D565&amp;""</f>
      </c>
      <c r="O565">
        <f>[1]发票导入!O565&amp;""</f>
      </c>
      <c r="T565">
        <f>[1]发票导入!T565</f>
      </c>
      <c r="U565">
        <f>[1]发票导入!U565&amp;""</f>
      </c>
      <c r="V565">
        <f>[1]发票导入!V565&amp;""</f>
      </c>
      <c r="W565">
        <f>[1]发票导入!W565&amp;""</f>
      </c>
      <c r="Y565">
        <f>[1]发票导入!Y565&amp;""</f>
      </c>
      <c r="AA565">
        <f>[1]发票导入!AA565&amp;""</f>
      </c>
      <c r="AB565">
        <f>[1]发票导入!AB565</f>
        <v>0</v>
      </c>
      <c r="AC565">
        <f>[1]发票导入!AC565</f>
        <v>0</v>
      </c>
      <c r="AE565" s="22">
        <f t="shared" si="0"/>
      </c>
      <c r="AI565">
        <f>[1]发票导入!AI565&amp;""</f>
      </c>
      <c r="AJ565">
        <f>[1]发票导入!AJ565&amp;""</f>
      </c>
      <c r="AK565">
        <f>[1]发票导入!AK565</f>
        <v>0</v>
      </c>
      <c r="AL565">
        <f>[1]发票导入!AL565</f>
        <v>0</v>
      </c>
      <c r="AM565">
        <f>[1]发票导入!AM565</f>
        <v>0</v>
      </c>
      <c r="AN565" s="22">
        <f t="shared" si="1"/>
        <v>0</v>
      </c>
      <c r="AO565" s="22">
        <f t="shared" si="2"/>
        <v>0</v>
      </c>
    </row>
    <row r="566">
      <c r="C566">
        <f>[1]发票导入!C566&amp;""</f>
      </c>
      <c r="D566">
        <f>[1]发票导入!D566&amp;""</f>
      </c>
      <c r="O566">
        <f>[1]发票导入!O566&amp;""</f>
      </c>
      <c r="T566">
        <f>[1]发票导入!T566</f>
      </c>
      <c r="U566">
        <f>[1]发票导入!U566&amp;""</f>
      </c>
      <c r="V566">
        <f>[1]发票导入!V566&amp;""</f>
      </c>
      <c r="W566">
        <f>[1]发票导入!W566&amp;""</f>
      </c>
      <c r="Y566">
        <f>[1]发票导入!Y566&amp;""</f>
      </c>
      <c r="AA566">
        <f>[1]发票导入!AA566&amp;""</f>
      </c>
      <c r="AB566">
        <f>[1]发票导入!AB566</f>
        <v>0</v>
      </c>
      <c r="AC566">
        <f>[1]发票导入!AC566</f>
        <v>0</v>
      </c>
      <c r="AE566" s="22">
        <f t="shared" si="0"/>
      </c>
      <c r="AI566">
        <f>[1]发票导入!AI566&amp;""</f>
      </c>
      <c r="AJ566">
        <f>[1]发票导入!AJ566&amp;""</f>
      </c>
      <c r="AK566">
        <f>[1]发票导入!AK566</f>
        <v>0</v>
      </c>
      <c r="AL566">
        <f>[1]发票导入!AL566</f>
        <v>0</v>
      </c>
      <c r="AM566">
        <f>[1]发票导入!AM566</f>
        <v>0</v>
      </c>
      <c r="AN566" s="22">
        <f t="shared" si="1"/>
        <v>0</v>
      </c>
      <c r="AO566" s="22">
        <f t="shared" si="2"/>
        <v>0</v>
      </c>
    </row>
    <row r="567">
      <c r="C567">
        <f>[1]发票导入!C567&amp;""</f>
      </c>
      <c r="D567">
        <f>[1]发票导入!D567&amp;""</f>
      </c>
      <c r="O567">
        <f>[1]发票导入!O567&amp;""</f>
      </c>
      <c r="T567">
        <f>[1]发票导入!T567</f>
      </c>
      <c r="U567">
        <f>[1]发票导入!U567&amp;""</f>
      </c>
      <c r="V567">
        <f>[1]发票导入!V567&amp;""</f>
      </c>
      <c r="W567">
        <f>[1]发票导入!W567&amp;""</f>
      </c>
      <c r="Y567">
        <f>[1]发票导入!Y567&amp;""</f>
      </c>
      <c r="AA567">
        <f>[1]发票导入!AA567&amp;""</f>
      </c>
      <c r="AB567">
        <f>[1]发票导入!AB567</f>
        <v>0</v>
      </c>
      <c r="AC567">
        <f>[1]发票导入!AC567</f>
        <v>0</v>
      </c>
      <c r="AE567" s="22">
        <f t="shared" si="0"/>
      </c>
      <c r="AI567">
        <f>[1]发票导入!AI567&amp;""</f>
      </c>
      <c r="AJ567">
        <f>[1]发票导入!AJ567&amp;""</f>
      </c>
      <c r="AK567">
        <f>[1]发票导入!AK567</f>
        <v>0</v>
      </c>
      <c r="AL567">
        <f>[1]发票导入!AL567</f>
        <v>0</v>
      </c>
      <c r="AM567">
        <f>[1]发票导入!AM567</f>
        <v>0</v>
      </c>
      <c r="AN567" s="22">
        <f t="shared" si="1"/>
        <v>0</v>
      </c>
      <c r="AO567" s="22">
        <f t="shared" si="2"/>
        <v>0</v>
      </c>
    </row>
    <row r="568">
      <c r="C568">
        <f>[1]发票导入!C568&amp;""</f>
      </c>
      <c r="D568">
        <f>[1]发票导入!D568&amp;""</f>
      </c>
      <c r="O568">
        <f>[1]发票导入!O568&amp;""</f>
      </c>
      <c r="T568">
        <f>[1]发票导入!T568</f>
      </c>
      <c r="U568">
        <f>[1]发票导入!U568&amp;""</f>
      </c>
      <c r="V568">
        <f>[1]发票导入!V568&amp;""</f>
      </c>
      <c r="W568">
        <f>[1]发票导入!W568&amp;""</f>
      </c>
      <c r="Y568">
        <f>[1]发票导入!Y568&amp;""</f>
      </c>
      <c r="AA568">
        <f>[1]发票导入!AA568&amp;""</f>
      </c>
      <c r="AB568">
        <f>[1]发票导入!AB568</f>
        <v>0</v>
      </c>
      <c r="AC568">
        <f>[1]发票导入!AC568</f>
        <v>0</v>
      </c>
      <c r="AE568" s="22">
        <f t="shared" si="0"/>
      </c>
      <c r="AI568">
        <f>[1]发票导入!AI568&amp;""</f>
      </c>
      <c r="AJ568">
        <f>[1]发票导入!AJ568&amp;""</f>
      </c>
      <c r="AK568">
        <f>[1]发票导入!AK568</f>
        <v>0</v>
      </c>
      <c r="AL568">
        <f>[1]发票导入!AL568</f>
        <v>0</v>
      </c>
      <c r="AM568">
        <f>[1]发票导入!AM568</f>
        <v>0</v>
      </c>
      <c r="AN568" s="22">
        <f t="shared" si="1"/>
        <v>0</v>
      </c>
      <c r="AO568" s="22">
        <f t="shared" si="2"/>
        <v>0</v>
      </c>
    </row>
    <row r="569">
      <c r="C569">
        <f>[1]发票导入!C569&amp;""</f>
      </c>
      <c r="D569">
        <f>[1]发票导入!D569&amp;""</f>
      </c>
      <c r="O569">
        <f>[1]发票导入!O569&amp;""</f>
      </c>
      <c r="T569">
        <f>[1]发票导入!T569</f>
      </c>
      <c r="U569">
        <f>[1]发票导入!U569&amp;""</f>
      </c>
      <c r="V569">
        <f>[1]发票导入!V569&amp;""</f>
      </c>
      <c r="W569">
        <f>[1]发票导入!W569&amp;""</f>
      </c>
      <c r="Y569">
        <f>[1]发票导入!Y569&amp;""</f>
      </c>
      <c r="AA569">
        <f>[1]发票导入!AA569&amp;""</f>
      </c>
      <c r="AB569">
        <f>[1]发票导入!AB569</f>
        <v>0</v>
      </c>
      <c r="AC569">
        <f>[1]发票导入!AC569</f>
        <v>0</v>
      </c>
      <c r="AE569" s="22">
        <f t="shared" si="0"/>
      </c>
      <c r="AI569">
        <f>[1]发票导入!AI569&amp;""</f>
      </c>
      <c r="AJ569">
        <f>[1]发票导入!AJ569&amp;""</f>
      </c>
      <c r="AK569">
        <f>[1]发票导入!AK569</f>
        <v>0</v>
      </c>
      <c r="AL569">
        <f>[1]发票导入!AL569</f>
        <v>0</v>
      </c>
      <c r="AM569">
        <f>[1]发票导入!AM569</f>
        <v>0</v>
      </c>
      <c r="AN569" s="22">
        <f t="shared" si="1"/>
        <v>0</v>
      </c>
      <c r="AO569" s="22">
        <f t="shared" si="2"/>
        <v>0</v>
      </c>
    </row>
    <row r="570">
      <c r="C570">
        <f>[1]发票导入!C570&amp;""</f>
      </c>
      <c r="D570">
        <f>[1]发票导入!D570&amp;""</f>
      </c>
      <c r="O570">
        <f>[1]发票导入!O570&amp;""</f>
      </c>
      <c r="T570">
        <f>[1]发票导入!T570</f>
      </c>
      <c r="U570">
        <f>[1]发票导入!U570&amp;""</f>
      </c>
      <c r="V570">
        <f>[1]发票导入!V570&amp;""</f>
      </c>
      <c r="W570">
        <f>[1]发票导入!W570&amp;""</f>
      </c>
      <c r="Y570">
        <f>[1]发票导入!Y570&amp;""</f>
      </c>
      <c r="AA570">
        <f>[1]发票导入!AA570&amp;""</f>
      </c>
      <c r="AB570">
        <f>[1]发票导入!AB570</f>
        <v>0</v>
      </c>
      <c r="AC570">
        <f>[1]发票导入!AC570</f>
        <v>0</v>
      </c>
      <c r="AE570" s="22">
        <f t="shared" si="0"/>
      </c>
      <c r="AI570">
        <f>[1]发票导入!AI570&amp;""</f>
      </c>
      <c r="AJ570">
        <f>[1]发票导入!AJ570&amp;""</f>
      </c>
      <c r="AK570">
        <f>[1]发票导入!AK570</f>
        <v>0</v>
      </c>
      <c r="AL570">
        <f>[1]发票导入!AL570</f>
        <v>0</v>
      </c>
      <c r="AM570">
        <f>[1]发票导入!AM570</f>
        <v>0</v>
      </c>
      <c r="AN570" s="22">
        <f t="shared" si="1"/>
        <v>0</v>
      </c>
      <c r="AO570" s="22">
        <f t="shared" si="2"/>
        <v>0</v>
      </c>
    </row>
    <row r="571">
      <c r="C571">
        <f>[1]发票导入!C571&amp;""</f>
      </c>
      <c r="D571">
        <f>[1]发票导入!D571&amp;""</f>
      </c>
      <c r="O571">
        <f>[1]发票导入!O571&amp;""</f>
      </c>
      <c r="T571">
        <f>[1]发票导入!T571</f>
      </c>
      <c r="U571">
        <f>[1]发票导入!U571&amp;""</f>
      </c>
      <c r="V571">
        <f>[1]发票导入!V571&amp;""</f>
      </c>
      <c r="W571">
        <f>[1]发票导入!W571&amp;""</f>
      </c>
      <c r="Y571">
        <f>[1]发票导入!Y571&amp;""</f>
      </c>
      <c r="AA571">
        <f>[1]发票导入!AA571&amp;""</f>
      </c>
      <c r="AB571">
        <f>[1]发票导入!AB571</f>
        <v>0</v>
      </c>
      <c r="AC571">
        <f>[1]发票导入!AC571</f>
        <v>0</v>
      </c>
      <c r="AE571" s="22">
        <f t="shared" si="0"/>
      </c>
      <c r="AI571">
        <f>[1]发票导入!AI571&amp;""</f>
      </c>
      <c r="AJ571">
        <f>[1]发票导入!AJ571&amp;""</f>
      </c>
      <c r="AK571">
        <f>[1]发票导入!AK571</f>
        <v>0</v>
      </c>
      <c r="AL571">
        <f>[1]发票导入!AL571</f>
        <v>0</v>
      </c>
      <c r="AM571">
        <f>[1]发票导入!AM571</f>
        <v>0</v>
      </c>
      <c r="AN571" s="22">
        <f t="shared" si="1"/>
        <v>0</v>
      </c>
      <c r="AO571" s="22">
        <f t="shared" si="2"/>
        <v>0</v>
      </c>
    </row>
    <row r="572">
      <c r="C572">
        <f>[1]发票导入!C572&amp;""</f>
      </c>
      <c r="D572">
        <f>[1]发票导入!D572&amp;""</f>
      </c>
      <c r="O572">
        <f>[1]发票导入!O572&amp;""</f>
      </c>
      <c r="T572">
        <f>[1]发票导入!T572</f>
      </c>
      <c r="U572">
        <f>[1]发票导入!U572&amp;""</f>
      </c>
      <c r="V572">
        <f>[1]发票导入!V572&amp;""</f>
      </c>
      <c r="W572">
        <f>[1]发票导入!W572&amp;""</f>
      </c>
      <c r="Y572">
        <f>[1]发票导入!Y572&amp;""</f>
      </c>
      <c r="AA572">
        <f>[1]发票导入!AA572&amp;""</f>
      </c>
      <c r="AB572">
        <f>[1]发票导入!AB572</f>
        <v>0</v>
      </c>
      <c r="AC572">
        <f>[1]发票导入!AC572</f>
        <v>0</v>
      </c>
      <c r="AE572" s="22">
        <f t="shared" si="0"/>
      </c>
      <c r="AI572">
        <f>[1]发票导入!AI572&amp;""</f>
      </c>
      <c r="AJ572">
        <f>[1]发票导入!AJ572&amp;""</f>
      </c>
      <c r="AK572">
        <f>[1]发票导入!AK572</f>
        <v>0</v>
      </c>
      <c r="AL572">
        <f>[1]发票导入!AL572</f>
        <v>0</v>
      </c>
      <c r="AM572">
        <f>[1]发票导入!AM572</f>
        <v>0</v>
      </c>
      <c r="AN572" s="22">
        <f t="shared" si="1"/>
        <v>0</v>
      </c>
      <c r="AO572" s="22">
        <f t="shared" si="2"/>
        <v>0</v>
      </c>
    </row>
    <row r="573">
      <c r="C573">
        <f>[1]发票导入!C573&amp;""</f>
      </c>
      <c r="D573">
        <f>[1]发票导入!D573&amp;""</f>
      </c>
      <c r="O573">
        <f>[1]发票导入!O573&amp;""</f>
      </c>
      <c r="T573">
        <f>[1]发票导入!T573</f>
      </c>
      <c r="U573">
        <f>[1]发票导入!U573&amp;""</f>
      </c>
      <c r="V573">
        <f>[1]发票导入!V573&amp;""</f>
      </c>
      <c r="W573">
        <f>[1]发票导入!W573&amp;""</f>
      </c>
      <c r="Y573">
        <f>[1]发票导入!Y573&amp;""</f>
      </c>
      <c r="AA573">
        <f>[1]发票导入!AA573&amp;""</f>
      </c>
      <c r="AB573">
        <f>[1]发票导入!AB573</f>
        <v>0</v>
      </c>
      <c r="AC573">
        <f>[1]发票导入!AC573</f>
        <v>0</v>
      </c>
      <c r="AE573" s="22">
        <f t="shared" si="0"/>
      </c>
      <c r="AI573">
        <f>[1]发票导入!AI573&amp;""</f>
      </c>
      <c r="AJ573">
        <f>[1]发票导入!AJ573&amp;""</f>
      </c>
      <c r="AK573">
        <f>[1]发票导入!AK573</f>
        <v>0</v>
      </c>
      <c r="AL573">
        <f>[1]发票导入!AL573</f>
        <v>0</v>
      </c>
      <c r="AM573">
        <f>[1]发票导入!AM573</f>
        <v>0</v>
      </c>
      <c r="AN573" s="22">
        <f t="shared" si="1"/>
        <v>0</v>
      </c>
      <c r="AO573" s="22">
        <f t="shared" si="2"/>
        <v>0</v>
      </c>
    </row>
    <row r="574">
      <c r="C574">
        <f>[1]发票导入!C574&amp;""</f>
      </c>
      <c r="D574">
        <f>[1]发票导入!D574&amp;""</f>
      </c>
      <c r="O574">
        <f>[1]发票导入!O574&amp;""</f>
      </c>
      <c r="T574">
        <f>[1]发票导入!T574</f>
      </c>
      <c r="U574">
        <f>[1]发票导入!U574&amp;""</f>
      </c>
      <c r="V574">
        <f>[1]发票导入!V574&amp;""</f>
      </c>
      <c r="W574">
        <f>[1]发票导入!W574&amp;""</f>
      </c>
      <c r="Y574">
        <f>[1]发票导入!Y574&amp;""</f>
      </c>
      <c r="AA574">
        <f>[1]发票导入!AA574&amp;""</f>
      </c>
      <c r="AB574">
        <f>[1]发票导入!AB574</f>
        <v>0</v>
      </c>
      <c r="AC574">
        <f>[1]发票导入!AC574</f>
        <v>0</v>
      </c>
      <c r="AE574" s="22">
        <f t="shared" si="0"/>
      </c>
      <c r="AI574">
        <f>[1]发票导入!AI574&amp;""</f>
      </c>
      <c r="AJ574">
        <f>[1]发票导入!AJ574&amp;""</f>
      </c>
      <c r="AK574">
        <f>[1]发票导入!AK574</f>
        <v>0</v>
      </c>
      <c r="AL574">
        <f>[1]发票导入!AL574</f>
        <v>0</v>
      </c>
      <c r="AM574">
        <f>[1]发票导入!AM574</f>
        <v>0</v>
      </c>
      <c r="AN574" s="22">
        <f t="shared" si="1"/>
        <v>0</v>
      </c>
      <c r="AO574" s="22">
        <f t="shared" si="2"/>
        <v>0</v>
      </c>
    </row>
    <row r="575">
      <c r="C575">
        <f>[1]发票导入!C575&amp;""</f>
      </c>
      <c r="D575">
        <f>[1]发票导入!D575&amp;""</f>
      </c>
      <c r="O575">
        <f>[1]发票导入!O575&amp;""</f>
      </c>
      <c r="T575">
        <f>[1]发票导入!T575</f>
      </c>
      <c r="U575">
        <f>[1]发票导入!U575&amp;""</f>
      </c>
      <c r="V575">
        <f>[1]发票导入!V575&amp;""</f>
      </c>
      <c r="W575">
        <f>[1]发票导入!W575&amp;""</f>
      </c>
      <c r="Y575">
        <f>[1]发票导入!Y575&amp;""</f>
      </c>
      <c r="AA575">
        <f>[1]发票导入!AA575&amp;""</f>
      </c>
      <c r="AB575">
        <f>[1]发票导入!AB575</f>
        <v>0</v>
      </c>
      <c r="AC575">
        <f>[1]发票导入!AC575</f>
        <v>0</v>
      </c>
      <c r="AE575" s="22">
        <f t="shared" si="0"/>
      </c>
      <c r="AI575">
        <f>[1]发票导入!AI575&amp;""</f>
      </c>
      <c r="AJ575">
        <f>[1]发票导入!AJ575&amp;""</f>
      </c>
      <c r="AK575">
        <f>[1]发票导入!AK575</f>
        <v>0</v>
      </c>
      <c r="AL575">
        <f>[1]发票导入!AL575</f>
        <v>0</v>
      </c>
      <c r="AM575">
        <f>[1]发票导入!AM575</f>
        <v>0</v>
      </c>
      <c r="AN575" s="22">
        <f t="shared" si="1"/>
        <v>0</v>
      </c>
      <c r="AO575" s="22">
        <f t="shared" si="2"/>
        <v>0</v>
      </c>
    </row>
    <row r="576">
      <c r="C576">
        <f>[1]发票导入!C576&amp;""</f>
      </c>
      <c r="D576">
        <f>[1]发票导入!D576&amp;""</f>
      </c>
      <c r="O576">
        <f>[1]发票导入!O576&amp;""</f>
      </c>
      <c r="T576">
        <f>[1]发票导入!T576</f>
      </c>
      <c r="U576">
        <f>[1]发票导入!U576&amp;""</f>
      </c>
      <c r="V576">
        <f>[1]发票导入!V576&amp;""</f>
      </c>
      <c r="W576">
        <f>[1]发票导入!W576&amp;""</f>
      </c>
      <c r="Y576">
        <f>[1]发票导入!Y576&amp;""</f>
      </c>
      <c r="AA576">
        <f>[1]发票导入!AA576&amp;""</f>
      </c>
      <c r="AB576">
        <f>[1]发票导入!AB576</f>
        <v>0</v>
      </c>
      <c r="AC576">
        <f>[1]发票导入!AC576</f>
        <v>0</v>
      </c>
      <c r="AE576" s="22">
        <f t="shared" si="0"/>
      </c>
      <c r="AI576">
        <f>[1]发票导入!AI576&amp;""</f>
      </c>
      <c r="AJ576">
        <f>[1]发票导入!AJ576&amp;""</f>
      </c>
      <c r="AK576">
        <f>[1]发票导入!AK576</f>
        <v>0</v>
      </c>
      <c r="AL576">
        <f>[1]发票导入!AL576</f>
        <v>0</v>
      </c>
      <c r="AM576">
        <f>[1]发票导入!AM576</f>
        <v>0</v>
      </c>
      <c r="AN576" s="22">
        <f t="shared" si="1"/>
        <v>0</v>
      </c>
      <c r="AO576" s="22">
        <f t="shared" si="2"/>
        <v>0</v>
      </c>
    </row>
    <row r="577">
      <c r="C577">
        <f>[1]发票导入!C577&amp;""</f>
      </c>
      <c r="D577">
        <f>[1]发票导入!D577&amp;""</f>
      </c>
      <c r="O577">
        <f>[1]发票导入!O577&amp;""</f>
      </c>
      <c r="T577">
        <f>[1]发票导入!T577</f>
      </c>
      <c r="U577">
        <f>[1]发票导入!U577&amp;""</f>
      </c>
      <c r="V577">
        <f>[1]发票导入!V577&amp;""</f>
      </c>
      <c r="W577">
        <f>[1]发票导入!W577&amp;""</f>
      </c>
      <c r="Y577">
        <f>[1]发票导入!Y577&amp;""</f>
      </c>
      <c r="AA577">
        <f>[1]发票导入!AA577&amp;""</f>
      </c>
      <c r="AB577">
        <f>[1]发票导入!AB577</f>
        <v>0</v>
      </c>
      <c r="AC577">
        <f>[1]发票导入!AC577</f>
        <v>0</v>
      </c>
      <c r="AE577" s="22">
        <f t="shared" si="0"/>
      </c>
      <c r="AI577">
        <f>[1]发票导入!AI577&amp;""</f>
      </c>
      <c r="AJ577">
        <f>[1]发票导入!AJ577&amp;""</f>
      </c>
      <c r="AK577">
        <f>[1]发票导入!AK577</f>
        <v>0</v>
      </c>
      <c r="AL577">
        <f>[1]发票导入!AL577</f>
        <v>0</v>
      </c>
      <c r="AM577">
        <f>[1]发票导入!AM577</f>
        <v>0</v>
      </c>
      <c r="AN577" s="22">
        <f t="shared" si="1"/>
        <v>0</v>
      </c>
      <c r="AO577" s="22">
        <f t="shared" si="2"/>
        <v>0</v>
      </c>
    </row>
    <row r="578">
      <c r="C578">
        <f>[1]发票导入!C578&amp;""</f>
      </c>
      <c r="D578">
        <f>[1]发票导入!D578&amp;""</f>
      </c>
      <c r="O578">
        <f>[1]发票导入!O578&amp;""</f>
      </c>
      <c r="T578">
        <f>[1]发票导入!T578</f>
      </c>
      <c r="U578">
        <f>[1]发票导入!U578&amp;""</f>
      </c>
      <c r="V578">
        <f>[1]发票导入!V578&amp;""</f>
      </c>
      <c r="W578">
        <f>[1]发票导入!W578&amp;""</f>
      </c>
      <c r="Y578">
        <f>[1]发票导入!Y578&amp;""</f>
      </c>
      <c r="AA578">
        <f>[1]发票导入!AA578&amp;""</f>
      </c>
      <c r="AB578">
        <f>[1]发票导入!AB578</f>
        <v>0</v>
      </c>
      <c r="AC578">
        <f>[1]发票导入!AC578</f>
        <v>0</v>
      </c>
      <c r="AE578" s="22">
        <f t="shared" si="0"/>
      </c>
      <c r="AI578">
        <f>[1]发票导入!AI578&amp;""</f>
      </c>
      <c r="AJ578">
        <f>[1]发票导入!AJ578&amp;""</f>
      </c>
      <c r="AK578">
        <f>[1]发票导入!AK578</f>
        <v>0</v>
      </c>
      <c r="AL578">
        <f>[1]发票导入!AL578</f>
        <v>0</v>
      </c>
      <c r="AM578">
        <f>[1]发票导入!AM578</f>
        <v>0</v>
      </c>
      <c r="AN578" s="22">
        <f t="shared" si="1"/>
        <v>0</v>
      </c>
      <c r="AO578" s="22">
        <f t="shared" si="2"/>
        <v>0</v>
      </c>
    </row>
    <row r="579">
      <c r="C579">
        <f>[1]发票导入!C579&amp;""</f>
      </c>
      <c r="D579">
        <f>[1]发票导入!D579&amp;""</f>
      </c>
      <c r="O579">
        <f>[1]发票导入!O579&amp;""</f>
      </c>
      <c r="T579">
        <f>[1]发票导入!T579</f>
      </c>
      <c r="U579">
        <f>[1]发票导入!U579&amp;""</f>
      </c>
      <c r="V579">
        <f>[1]发票导入!V579&amp;""</f>
      </c>
      <c r="W579">
        <f>[1]发票导入!W579&amp;""</f>
      </c>
      <c r="Y579">
        <f>[1]发票导入!Y579&amp;""</f>
      </c>
      <c r="AA579">
        <f>[1]发票导入!AA579&amp;""</f>
      </c>
      <c r="AB579">
        <f>[1]发票导入!AB579</f>
        <v>0</v>
      </c>
      <c r="AC579">
        <f>[1]发票导入!AC579</f>
        <v>0</v>
      </c>
      <c r="AE579" s="22">
        <f t="shared" si="0"/>
      </c>
      <c r="AI579">
        <f>[1]发票导入!AI579&amp;""</f>
      </c>
      <c r="AJ579">
        <f>[1]发票导入!AJ579&amp;""</f>
      </c>
      <c r="AK579">
        <f>[1]发票导入!AK579</f>
        <v>0</v>
      </c>
      <c r="AL579">
        <f>[1]发票导入!AL579</f>
        <v>0</v>
      </c>
      <c r="AM579">
        <f>[1]发票导入!AM579</f>
        <v>0</v>
      </c>
      <c r="AN579" s="22">
        <f t="shared" si="1"/>
        <v>0</v>
      </c>
      <c r="AO579" s="22">
        <f t="shared" si="2"/>
        <v>0</v>
      </c>
    </row>
    <row r="580">
      <c r="C580">
        <f>[1]发票导入!C580&amp;""</f>
      </c>
      <c r="D580">
        <f>[1]发票导入!D580&amp;""</f>
      </c>
      <c r="O580">
        <f>[1]发票导入!O580&amp;""</f>
      </c>
      <c r="T580">
        <f>[1]发票导入!T580</f>
      </c>
      <c r="U580">
        <f>[1]发票导入!U580&amp;""</f>
      </c>
      <c r="V580">
        <f>[1]发票导入!V580&amp;""</f>
      </c>
      <c r="W580">
        <f>[1]发票导入!W580&amp;""</f>
      </c>
      <c r="Y580">
        <f>[1]发票导入!Y580&amp;""</f>
      </c>
      <c r="AA580">
        <f>[1]发票导入!AA580&amp;""</f>
      </c>
      <c r="AB580">
        <f>[1]发票导入!AB580</f>
        <v>0</v>
      </c>
      <c r="AC580">
        <f>[1]发票导入!AC580</f>
        <v>0</v>
      </c>
      <c r="AE580" s="22">
        <f t="shared" si="0"/>
      </c>
      <c r="AI580">
        <f>[1]发票导入!AI580&amp;""</f>
      </c>
      <c r="AJ580">
        <f>[1]发票导入!AJ580&amp;""</f>
      </c>
      <c r="AK580">
        <f>[1]发票导入!AK580</f>
        <v>0</v>
      </c>
      <c r="AL580">
        <f>[1]发票导入!AL580</f>
        <v>0</v>
      </c>
      <c r="AM580">
        <f>[1]发票导入!AM580</f>
        <v>0</v>
      </c>
      <c r="AN580" s="22">
        <f t="shared" si="1"/>
        <v>0</v>
      </c>
      <c r="AO580" s="22">
        <f t="shared" si="2"/>
        <v>0</v>
      </c>
    </row>
    <row r="581">
      <c r="C581">
        <f>[1]发票导入!C581&amp;""</f>
      </c>
      <c r="D581">
        <f>[1]发票导入!D581&amp;""</f>
      </c>
      <c r="O581">
        <f>[1]发票导入!O581&amp;""</f>
      </c>
      <c r="T581">
        <f>[1]发票导入!T581</f>
      </c>
      <c r="U581">
        <f>[1]发票导入!U581&amp;""</f>
      </c>
      <c r="V581">
        <f>[1]发票导入!V581&amp;""</f>
      </c>
      <c r="W581">
        <f>[1]发票导入!W581&amp;""</f>
      </c>
      <c r="Y581">
        <f>[1]发票导入!Y581&amp;""</f>
      </c>
      <c r="AA581">
        <f>[1]发票导入!AA581&amp;""</f>
      </c>
      <c r="AB581">
        <f>[1]发票导入!AB581</f>
        <v>0</v>
      </c>
      <c r="AC581">
        <f>[1]发票导入!AC581</f>
        <v>0</v>
      </c>
      <c r="AE581" s="22">
        <f t="shared" si="0"/>
      </c>
      <c r="AI581">
        <f>[1]发票导入!AI581&amp;""</f>
      </c>
      <c r="AJ581">
        <f>[1]发票导入!AJ581&amp;""</f>
      </c>
      <c r="AK581">
        <f>[1]发票导入!AK581</f>
        <v>0</v>
      </c>
      <c r="AL581">
        <f>[1]发票导入!AL581</f>
        <v>0</v>
      </c>
      <c r="AM581">
        <f>[1]发票导入!AM581</f>
        <v>0</v>
      </c>
      <c r="AN581" s="22">
        <f t="shared" si="1"/>
        <v>0</v>
      </c>
      <c r="AO581" s="22">
        <f t="shared" si="2"/>
        <v>0</v>
      </c>
    </row>
    <row r="582">
      <c r="C582">
        <f>[1]发票导入!C582&amp;""</f>
      </c>
      <c r="D582">
        <f>[1]发票导入!D582&amp;""</f>
      </c>
      <c r="O582">
        <f>[1]发票导入!O582&amp;""</f>
      </c>
      <c r="T582">
        <f>[1]发票导入!T582</f>
      </c>
      <c r="U582">
        <f>[1]发票导入!U582&amp;""</f>
      </c>
      <c r="V582">
        <f>[1]发票导入!V582&amp;""</f>
      </c>
      <c r="W582">
        <f>[1]发票导入!W582&amp;""</f>
      </c>
      <c r="Y582">
        <f>[1]发票导入!Y582&amp;""</f>
      </c>
      <c r="AA582">
        <f>[1]发票导入!AA582&amp;""</f>
      </c>
      <c r="AB582">
        <f>[1]发票导入!AB582</f>
        <v>0</v>
      </c>
      <c r="AC582">
        <f>[1]发票导入!AC582</f>
        <v>0</v>
      </c>
      <c r="AE582" s="22">
        <f t="shared" si="0"/>
      </c>
      <c r="AI582">
        <f>[1]发票导入!AI582&amp;""</f>
      </c>
      <c r="AJ582">
        <f>[1]发票导入!AJ582&amp;""</f>
      </c>
      <c r="AK582">
        <f>[1]发票导入!AK582</f>
        <v>0</v>
      </c>
      <c r="AL582">
        <f>[1]发票导入!AL582</f>
        <v>0</v>
      </c>
      <c r="AM582">
        <f>[1]发票导入!AM582</f>
        <v>0</v>
      </c>
      <c r="AN582" s="22">
        <f t="shared" si="1"/>
        <v>0</v>
      </c>
      <c r="AO582" s="22">
        <f t="shared" si="2"/>
        <v>0</v>
      </c>
    </row>
    <row r="583">
      <c r="C583">
        <f>[1]发票导入!C583&amp;""</f>
      </c>
      <c r="D583">
        <f>[1]发票导入!D583&amp;""</f>
      </c>
      <c r="O583">
        <f>[1]发票导入!O583&amp;""</f>
      </c>
      <c r="T583">
        <f>[1]发票导入!T583</f>
      </c>
      <c r="U583">
        <f>[1]发票导入!U583&amp;""</f>
      </c>
      <c r="V583">
        <f>[1]发票导入!V583&amp;""</f>
      </c>
      <c r="W583">
        <f>[1]发票导入!W583&amp;""</f>
      </c>
      <c r="Y583">
        <f>[1]发票导入!Y583&amp;""</f>
      </c>
      <c r="AA583">
        <f>[1]发票导入!AA583&amp;""</f>
      </c>
      <c r="AB583">
        <f>[1]发票导入!AB583</f>
        <v>0</v>
      </c>
      <c r="AC583">
        <f>[1]发票导入!AC583</f>
        <v>0</v>
      </c>
      <c r="AE583" s="22">
        <f t="shared" si="0"/>
      </c>
      <c r="AI583">
        <f>[1]发票导入!AI583&amp;""</f>
      </c>
      <c r="AJ583">
        <f>[1]发票导入!AJ583&amp;""</f>
      </c>
      <c r="AK583">
        <f>[1]发票导入!AK583</f>
        <v>0</v>
      </c>
      <c r="AL583">
        <f>[1]发票导入!AL583</f>
        <v>0</v>
      </c>
      <c r="AM583">
        <f>[1]发票导入!AM583</f>
        <v>0</v>
      </c>
      <c r="AN583" s="22">
        <f t="shared" si="1"/>
        <v>0</v>
      </c>
      <c r="AO583" s="22">
        <f t="shared" si="2"/>
        <v>0</v>
      </c>
    </row>
    <row r="584">
      <c r="C584">
        <f>[1]发票导入!C584&amp;""</f>
      </c>
      <c r="D584">
        <f>[1]发票导入!D584&amp;""</f>
      </c>
      <c r="O584">
        <f>[1]发票导入!O584&amp;""</f>
      </c>
      <c r="T584">
        <f>[1]发票导入!T584</f>
      </c>
      <c r="U584">
        <f>[1]发票导入!U584&amp;""</f>
      </c>
      <c r="V584">
        <f>[1]发票导入!V584&amp;""</f>
      </c>
      <c r="W584">
        <f>[1]发票导入!W584&amp;""</f>
      </c>
      <c r="Y584">
        <f>[1]发票导入!Y584&amp;""</f>
      </c>
      <c r="AA584">
        <f>[1]发票导入!AA584&amp;""</f>
      </c>
      <c r="AB584">
        <f>[1]发票导入!AB584</f>
        <v>0</v>
      </c>
      <c r="AC584">
        <f>[1]发票导入!AC584</f>
        <v>0</v>
      </c>
      <c r="AE584" s="22">
        <f t="shared" si="0"/>
      </c>
      <c r="AI584">
        <f>[1]发票导入!AI584&amp;""</f>
      </c>
      <c r="AJ584">
        <f>[1]发票导入!AJ584&amp;""</f>
      </c>
      <c r="AK584">
        <f>[1]发票导入!AK584</f>
        <v>0</v>
      </c>
      <c r="AL584">
        <f>[1]发票导入!AL584</f>
        <v>0</v>
      </c>
      <c r="AM584">
        <f>[1]发票导入!AM584</f>
        <v>0</v>
      </c>
      <c r="AN584" s="22">
        <f t="shared" si="1"/>
        <v>0</v>
      </c>
      <c r="AO584" s="22">
        <f t="shared" si="2"/>
        <v>0</v>
      </c>
    </row>
    <row r="585">
      <c r="C585">
        <f>[1]发票导入!C585&amp;""</f>
      </c>
      <c r="D585">
        <f>[1]发票导入!D585&amp;""</f>
      </c>
      <c r="O585">
        <f>[1]发票导入!O585&amp;""</f>
      </c>
      <c r="T585">
        <f>[1]发票导入!T585</f>
      </c>
      <c r="U585">
        <f>[1]发票导入!U585&amp;""</f>
      </c>
      <c r="V585">
        <f>[1]发票导入!V585&amp;""</f>
      </c>
      <c r="W585">
        <f>[1]发票导入!W585&amp;""</f>
      </c>
      <c r="Y585">
        <f>[1]发票导入!Y585&amp;""</f>
      </c>
      <c r="AA585">
        <f>[1]发票导入!AA585&amp;""</f>
      </c>
      <c r="AB585">
        <f>[1]发票导入!AB585</f>
        <v>0</v>
      </c>
      <c r="AC585">
        <f>[1]发票导入!AC585</f>
        <v>0</v>
      </c>
      <c r="AE585" s="22">
        <f t="shared" si="0"/>
      </c>
      <c r="AI585">
        <f>[1]发票导入!AI585&amp;""</f>
      </c>
      <c r="AJ585">
        <f>[1]发票导入!AJ585&amp;""</f>
      </c>
      <c r="AK585">
        <f>[1]发票导入!AK585</f>
        <v>0</v>
      </c>
      <c r="AL585">
        <f>[1]发票导入!AL585</f>
        <v>0</v>
      </c>
      <c r="AM585">
        <f>[1]发票导入!AM585</f>
        <v>0</v>
      </c>
      <c r="AN585" s="22">
        <f t="shared" si="1"/>
        <v>0</v>
      </c>
      <c r="AO585" s="22">
        <f t="shared" si="2"/>
        <v>0</v>
      </c>
    </row>
    <row r="586">
      <c r="C586">
        <f>[1]发票导入!C586&amp;""</f>
      </c>
      <c r="D586">
        <f>[1]发票导入!D586&amp;""</f>
      </c>
      <c r="O586">
        <f>[1]发票导入!O586&amp;""</f>
      </c>
      <c r="T586">
        <f>[1]发票导入!T586</f>
      </c>
      <c r="U586">
        <f>[1]发票导入!U586&amp;""</f>
      </c>
      <c r="V586">
        <f>[1]发票导入!V586&amp;""</f>
      </c>
      <c r="W586">
        <f>[1]发票导入!W586&amp;""</f>
      </c>
      <c r="Y586">
        <f>[1]发票导入!Y586&amp;""</f>
      </c>
      <c r="AA586">
        <f>[1]发票导入!AA586&amp;""</f>
      </c>
      <c r="AB586">
        <f>[1]发票导入!AB586</f>
        <v>0</v>
      </c>
      <c r="AC586">
        <f>[1]发票导入!AC586</f>
        <v>0</v>
      </c>
      <c r="AE586" s="22">
        <f t="shared" si="0"/>
      </c>
      <c r="AI586">
        <f>[1]发票导入!AI586&amp;""</f>
      </c>
      <c r="AJ586">
        <f>[1]发票导入!AJ586&amp;""</f>
      </c>
      <c r="AK586">
        <f>[1]发票导入!AK586</f>
        <v>0</v>
      </c>
      <c r="AL586">
        <f>[1]发票导入!AL586</f>
        <v>0</v>
      </c>
      <c r="AM586">
        <f>[1]发票导入!AM586</f>
        <v>0</v>
      </c>
      <c r="AN586" s="22">
        <f t="shared" si="1"/>
        <v>0</v>
      </c>
      <c r="AO586" s="22">
        <f t="shared" si="2"/>
        <v>0</v>
      </c>
    </row>
    <row r="587">
      <c r="C587">
        <f>[1]发票导入!C587&amp;""</f>
      </c>
      <c r="D587">
        <f>[1]发票导入!D587&amp;""</f>
      </c>
      <c r="O587">
        <f>[1]发票导入!O587&amp;""</f>
      </c>
      <c r="T587">
        <f>[1]发票导入!T587</f>
      </c>
      <c r="U587">
        <f>[1]发票导入!U587&amp;""</f>
      </c>
      <c r="V587">
        <f>[1]发票导入!V587&amp;""</f>
      </c>
      <c r="W587">
        <f>[1]发票导入!W587&amp;""</f>
      </c>
      <c r="Y587">
        <f>[1]发票导入!Y587&amp;""</f>
      </c>
      <c r="AA587">
        <f>[1]发票导入!AA587&amp;""</f>
      </c>
      <c r="AB587">
        <f>[1]发票导入!AB587</f>
        <v>0</v>
      </c>
      <c r="AC587">
        <f>[1]发票导入!AC587</f>
        <v>0</v>
      </c>
      <c r="AE587" s="22">
        <f t="shared" si="0"/>
      </c>
      <c r="AI587">
        <f>[1]发票导入!AI587&amp;""</f>
      </c>
      <c r="AJ587">
        <f>[1]发票导入!AJ587&amp;""</f>
      </c>
      <c r="AK587">
        <f>[1]发票导入!AK587</f>
        <v>0</v>
      </c>
      <c r="AL587">
        <f>[1]发票导入!AL587</f>
        <v>0</v>
      </c>
      <c r="AM587">
        <f>[1]发票导入!AM587</f>
        <v>0</v>
      </c>
      <c r="AN587" s="22">
        <f t="shared" si="1"/>
        <v>0</v>
      </c>
      <c r="AO587" s="22">
        <f t="shared" si="2"/>
        <v>0</v>
      </c>
    </row>
    <row r="588">
      <c r="C588">
        <f>[1]发票导入!C588&amp;""</f>
      </c>
      <c r="D588">
        <f>[1]发票导入!D588&amp;""</f>
      </c>
      <c r="O588">
        <f>[1]发票导入!O588&amp;""</f>
      </c>
      <c r="T588">
        <f>[1]发票导入!T588</f>
      </c>
      <c r="U588">
        <f>[1]发票导入!U588&amp;""</f>
      </c>
      <c r="V588">
        <f>[1]发票导入!V588&amp;""</f>
      </c>
      <c r="W588">
        <f>[1]发票导入!W588&amp;""</f>
      </c>
      <c r="Y588">
        <f>[1]发票导入!Y588&amp;""</f>
      </c>
      <c r="AA588">
        <f>[1]发票导入!AA588&amp;""</f>
      </c>
      <c r="AB588">
        <f>[1]发票导入!AB588</f>
        <v>0</v>
      </c>
      <c r="AC588">
        <f>[1]发票导入!AC588</f>
        <v>0</v>
      </c>
      <c r="AE588" s="22">
        <f t="shared" si="0"/>
      </c>
      <c r="AI588">
        <f>[1]发票导入!AI588&amp;""</f>
      </c>
      <c r="AJ588">
        <f>[1]发票导入!AJ588&amp;""</f>
      </c>
      <c r="AK588">
        <f>[1]发票导入!AK588</f>
        <v>0</v>
      </c>
      <c r="AL588">
        <f>[1]发票导入!AL588</f>
        <v>0</v>
      </c>
      <c r="AM588">
        <f>[1]发票导入!AM588</f>
        <v>0</v>
      </c>
      <c r="AN588" s="22">
        <f t="shared" si="1"/>
        <v>0</v>
      </c>
      <c r="AO588" s="22">
        <f t="shared" si="2"/>
        <v>0</v>
      </c>
    </row>
    <row r="589">
      <c r="C589">
        <f>[1]发票导入!C589&amp;""</f>
      </c>
      <c r="D589">
        <f>[1]发票导入!D589&amp;""</f>
      </c>
      <c r="O589">
        <f>[1]发票导入!O589&amp;""</f>
      </c>
      <c r="T589">
        <f>[1]发票导入!T589</f>
      </c>
      <c r="U589">
        <f>[1]发票导入!U589&amp;""</f>
      </c>
      <c r="V589">
        <f>[1]发票导入!V589&amp;""</f>
      </c>
      <c r="W589">
        <f>[1]发票导入!W589&amp;""</f>
      </c>
      <c r="Y589">
        <f>[1]发票导入!Y589&amp;""</f>
      </c>
      <c r="AA589">
        <f>[1]发票导入!AA589&amp;""</f>
      </c>
      <c r="AB589">
        <f>[1]发票导入!AB589</f>
        <v>0</v>
      </c>
      <c r="AC589">
        <f>[1]发票导入!AC589</f>
        <v>0</v>
      </c>
      <c r="AE589" s="22">
        <f t="shared" si="0"/>
      </c>
      <c r="AI589">
        <f>[1]发票导入!AI589&amp;""</f>
      </c>
      <c r="AJ589">
        <f>[1]发票导入!AJ589&amp;""</f>
      </c>
      <c r="AK589">
        <f>[1]发票导入!AK589</f>
        <v>0</v>
      </c>
      <c r="AL589">
        <f>[1]发票导入!AL589</f>
        <v>0</v>
      </c>
      <c r="AM589">
        <f>[1]发票导入!AM589</f>
        <v>0</v>
      </c>
      <c r="AN589" s="22">
        <f t="shared" si="1"/>
        <v>0</v>
      </c>
      <c r="AO589" s="22">
        <f t="shared" si="2"/>
        <v>0</v>
      </c>
    </row>
    <row r="590">
      <c r="C590">
        <f>[1]发票导入!C590&amp;""</f>
      </c>
      <c r="D590">
        <f>[1]发票导入!D590&amp;""</f>
      </c>
      <c r="O590">
        <f>[1]发票导入!O590&amp;""</f>
      </c>
      <c r="T590">
        <f>[1]发票导入!T590</f>
      </c>
      <c r="U590">
        <f>[1]发票导入!U590&amp;""</f>
      </c>
      <c r="V590">
        <f>[1]发票导入!V590&amp;""</f>
      </c>
      <c r="W590">
        <f>[1]发票导入!W590&amp;""</f>
      </c>
      <c r="Y590">
        <f>[1]发票导入!Y590&amp;""</f>
      </c>
      <c r="AA590">
        <f>[1]发票导入!AA590&amp;""</f>
      </c>
      <c r="AB590">
        <f>[1]发票导入!AB590</f>
        <v>0</v>
      </c>
      <c r="AC590">
        <f>[1]发票导入!AC590</f>
        <v>0</v>
      </c>
      <c r="AE590" s="22">
        <f t="shared" si="0"/>
      </c>
      <c r="AI590">
        <f>[1]发票导入!AI590&amp;""</f>
      </c>
      <c r="AJ590">
        <f>[1]发票导入!AJ590&amp;""</f>
      </c>
      <c r="AK590">
        <f>[1]发票导入!AK590</f>
        <v>0</v>
      </c>
      <c r="AL590">
        <f>[1]发票导入!AL590</f>
        <v>0</v>
      </c>
      <c r="AM590">
        <f>[1]发票导入!AM590</f>
        <v>0</v>
      </c>
      <c r="AN590" s="22">
        <f t="shared" si="1"/>
        <v>0</v>
      </c>
      <c r="AO590" s="22">
        <f t="shared" si="2"/>
        <v>0</v>
      </c>
    </row>
    <row r="591">
      <c r="C591">
        <f>[1]发票导入!C591&amp;""</f>
      </c>
      <c r="D591">
        <f>[1]发票导入!D591&amp;""</f>
      </c>
      <c r="O591">
        <f>[1]发票导入!O591&amp;""</f>
      </c>
      <c r="T591">
        <f>[1]发票导入!T591</f>
      </c>
      <c r="U591">
        <f>[1]发票导入!U591&amp;""</f>
      </c>
      <c r="V591">
        <f>[1]发票导入!V591&amp;""</f>
      </c>
      <c r="W591">
        <f>[1]发票导入!W591&amp;""</f>
      </c>
      <c r="Y591">
        <f>[1]发票导入!Y591&amp;""</f>
      </c>
      <c r="AA591">
        <f>[1]发票导入!AA591&amp;""</f>
      </c>
      <c r="AB591">
        <f>[1]发票导入!AB591</f>
        <v>0</v>
      </c>
      <c r="AC591">
        <f>[1]发票导入!AC591</f>
        <v>0</v>
      </c>
      <c r="AE591" s="22">
        <f t="shared" si="0"/>
      </c>
      <c r="AI591">
        <f>[1]发票导入!AI591&amp;""</f>
      </c>
      <c r="AJ591">
        <f>[1]发票导入!AJ591&amp;""</f>
      </c>
      <c r="AK591">
        <f>[1]发票导入!AK591</f>
        <v>0</v>
      </c>
      <c r="AL591">
        <f>[1]发票导入!AL591</f>
        <v>0</v>
      </c>
      <c r="AM591">
        <f>[1]发票导入!AM591</f>
        <v>0</v>
      </c>
      <c r="AN591" s="22">
        <f t="shared" si="1"/>
        <v>0</v>
      </c>
      <c r="AO591" s="22">
        <f t="shared" si="2"/>
        <v>0</v>
      </c>
    </row>
    <row r="592">
      <c r="C592">
        <f>[1]发票导入!C592&amp;""</f>
      </c>
      <c r="D592">
        <f>[1]发票导入!D592&amp;""</f>
      </c>
      <c r="O592">
        <f>[1]发票导入!O592&amp;""</f>
      </c>
      <c r="T592">
        <f>[1]发票导入!T592</f>
      </c>
      <c r="U592">
        <f>[1]发票导入!U592&amp;""</f>
      </c>
      <c r="V592">
        <f>[1]发票导入!V592&amp;""</f>
      </c>
      <c r="W592">
        <f>[1]发票导入!W592&amp;""</f>
      </c>
      <c r="Y592">
        <f>[1]发票导入!Y592&amp;""</f>
      </c>
      <c r="AA592">
        <f>[1]发票导入!AA592&amp;""</f>
      </c>
      <c r="AB592">
        <f>[1]发票导入!AB592</f>
        <v>0</v>
      </c>
      <c r="AC592">
        <f>[1]发票导入!AC592</f>
        <v>0</v>
      </c>
      <c r="AE592" s="22">
        <f t="shared" si="0"/>
      </c>
      <c r="AI592">
        <f>[1]发票导入!AI592&amp;""</f>
      </c>
      <c r="AJ592">
        <f>[1]发票导入!AJ592&amp;""</f>
      </c>
      <c r="AK592">
        <f>[1]发票导入!AK592</f>
        <v>0</v>
      </c>
      <c r="AL592">
        <f>[1]发票导入!AL592</f>
        <v>0</v>
      </c>
      <c r="AM592">
        <f>[1]发票导入!AM592</f>
        <v>0</v>
      </c>
      <c r="AN592" s="22">
        <f t="shared" si="1"/>
        <v>0</v>
      </c>
      <c r="AO592" s="22">
        <f t="shared" si="2"/>
        <v>0</v>
      </c>
    </row>
    <row r="593">
      <c r="C593">
        <f>[1]发票导入!C593&amp;""</f>
      </c>
      <c r="D593">
        <f>[1]发票导入!D593&amp;""</f>
      </c>
      <c r="O593">
        <f>[1]发票导入!O593&amp;""</f>
      </c>
      <c r="T593">
        <f>[1]发票导入!T593</f>
      </c>
      <c r="U593">
        <f>[1]发票导入!U593&amp;""</f>
      </c>
      <c r="V593">
        <f>[1]发票导入!V593&amp;""</f>
      </c>
      <c r="W593">
        <f>[1]发票导入!W593&amp;""</f>
      </c>
      <c r="Y593">
        <f>[1]发票导入!Y593&amp;""</f>
      </c>
      <c r="AA593">
        <f>[1]发票导入!AA593&amp;""</f>
      </c>
      <c r="AB593">
        <f>[1]发票导入!AB593</f>
        <v>0</v>
      </c>
      <c r="AC593">
        <f>[1]发票导入!AC593</f>
        <v>0</v>
      </c>
      <c r="AE593" s="22">
        <f t="shared" si="0"/>
      </c>
      <c r="AI593">
        <f>[1]发票导入!AI593&amp;""</f>
      </c>
      <c r="AJ593">
        <f>[1]发票导入!AJ593&amp;""</f>
      </c>
      <c r="AK593">
        <f>[1]发票导入!AK593</f>
        <v>0</v>
      </c>
      <c r="AL593">
        <f>[1]发票导入!AL593</f>
        <v>0</v>
      </c>
      <c r="AM593">
        <f>[1]发票导入!AM593</f>
        <v>0</v>
      </c>
      <c r="AN593" s="22">
        <f t="shared" si="1"/>
        <v>0</v>
      </c>
      <c r="AO593" s="22">
        <f t="shared" si="2"/>
        <v>0</v>
      </c>
    </row>
    <row r="594">
      <c r="C594">
        <f>[1]发票导入!C594&amp;""</f>
      </c>
      <c r="D594">
        <f>[1]发票导入!D594&amp;""</f>
      </c>
      <c r="O594">
        <f>[1]发票导入!O594&amp;""</f>
      </c>
      <c r="T594">
        <f>[1]发票导入!T594</f>
      </c>
      <c r="U594">
        <f>[1]发票导入!U594&amp;""</f>
      </c>
      <c r="V594">
        <f>[1]发票导入!V594&amp;""</f>
      </c>
      <c r="W594">
        <f>[1]发票导入!W594&amp;""</f>
      </c>
      <c r="Y594">
        <f>[1]发票导入!Y594&amp;""</f>
      </c>
      <c r="AA594">
        <f>[1]发票导入!AA594&amp;""</f>
      </c>
      <c r="AB594">
        <f>[1]发票导入!AB594</f>
        <v>0</v>
      </c>
      <c r="AC594">
        <f>[1]发票导入!AC594</f>
        <v>0</v>
      </c>
      <c r="AE594" s="22">
        <f t="shared" si="0"/>
      </c>
      <c r="AI594">
        <f>[1]发票导入!AI594&amp;""</f>
      </c>
      <c r="AJ594">
        <f>[1]发票导入!AJ594&amp;""</f>
      </c>
      <c r="AK594">
        <f>[1]发票导入!AK594</f>
        <v>0</v>
      </c>
      <c r="AL594">
        <f>[1]发票导入!AL594</f>
        <v>0</v>
      </c>
      <c r="AM594">
        <f>[1]发票导入!AM594</f>
        <v>0</v>
      </c>
      <c r="AN594" s="22">
        <f t="shared" si="1"/>
        <v>0</v>
      </c>
      <c r="AO594" s="22">
        <f t="shared" si="2"/>
        <v>0</v>
      </c>
    </row>
    <row r="595">
      <c r="C595">
        <f>[1]发票导入!C595&amp;""</f>
      </c>
      <c r="D595">
        <f>[1]发票导入!D595&amp;""</f>
      </c>
      <c r="O595">
        <f>[1]发票导入!O595&amp;""</f>
      </c>
      <c r="T595">
        <f>[1]发票导入!T595</f>
      </c>
      <c r="U595">
        <f>[1]发票导入!U595&amp;""</f>
      </c>
      <c r="V595">
        <f>[1]发票导入!V595&amp;""</f>
      </c>
      <c r="W595">
        <f>[1]发票导入!W595&amp;""</f>
      </c>
      <c r="Y595">
        <f>[1]发票导入!Y595&amp;""</f>
      </c>
      <c r="AA595">
        <f>[1]发票导入!AA595&amp;""</f>
      </c>
      <c r="AB595">
        <f>[1]发票导入!AB595</f>
        <v>0</v>
      </c>
      <c r="AC595">
        <f>[1]发票导入!AC595</f>
        <v>0</v>
      </c>
      <c r="AE595" s="22">
        <f t="shared" si="0"/>
      </c>
      <c r="AI595">
        <f>[1]发票导入!AI595&amp;""</f>
      </c>
      <c r="AJ595">
        <f>[1]发票导入!AJ595&amp;""</f>
      </c>
      <c r="AK595">
        <f>[1]发票导入!AK595</f>
        <v>0</v>
      </c>
      <c r="AL595">
        <f>[1]发票导入!AL595</f>
        <v>0</v>
      </c>
      <c r="AM595">
        <f>[1]发票导入!AM595</f>
        <v>0</v>
      </c>
      <c r="AN595" s="22">
        <f t="shared" si="1"/>
        <v>0</v>
      </c>
      <c r="AO595" s="22">
        <f t="shared" si="2"/>
        <v>0</v>
      </c>
    </row>
    <row r="596">
      <c r="C596">
        <f>[1]发票导入!C596&amp;""</f>
      </c>
      <c r="D596">
        <f>[1]发票导入!D596&amp;""</f>
      </c>
      <c r="O596">
        <f>[1]发票导入!O596&amp;""</f>
      </c>
      <c r="T596">
        <f>[1]发票导入!T596</f>
      </c>
      <c r="U596">
        <f>[1]发票导入!U596&amp;""</f>
      </c>
      <c r="V596">
        <f>[1]发票导入!V596&amp;""</f>
      </c>
      <c r="W596">
        <f>[1]发票导入!W596&amp;""</f>
      </c>
      <c r="Y596">
        <f>[1]发票导入!Y596&amp;""</f>
      </c>
      <c r="AA596">
        <f>[1]发票导入!AA596&amp;""</f>
      </c>
      <c r="AB596">
        <f>[1]发票导入!AB596</f>
        <v>0</v>
      </c>
      <c r="AC596">
        <f>[1]发票导入!AC596</f>
        <v>0</v>
      </c>
      <c r="AE596" s="22">
        <f t="shared" si="0"/>
      </c>
      <c r="AI596">
        <f>[1]发票导入!AI596&amp;""</f>
      </c>
      <c r="AJ596">
        <f>[1]发票导入!AJ596&amp;""</f>
      </c>
      <c r="AK596">
        <f>[1]发票导入!AK596</f>
        <v>0</v>
      </c>
      <c r="AL596">
        <f>[1]发票导入!AL596</f>
        <v>0</v>
      </c>
      <c r="AM596">
        <f>[1]发票导入!AM596</f>
        <v>0</v>
      </c>
      <c r="AN596" s="22">
        <f t="shared" si="1"/>
        <v>0</v>
      </c>
      <c r="AO596" s="22">
        <f t="shared" si="2"/>
        <v>0</v>
      </c>
    </row>
    <row r="597">
      <c r="C597">
        <f>[1]发票导入!C597&amp;""</f>
      </c>
      <c r="D597">
        <f>[1]发票导入!D597&amp;""</f>
      </c>
      <c r="O597">
        <f>[1]发票导入!O597&amp;""</f>
      </c>
      <c r="T597">
        <f>[1]发票导入!T597</f>
      </c>
      <c r="U597">
        <f>[1]发票导入!U597&amp;""</f>
      </c>
      <c r="V597">
        <f>[1]发票导入!V597&amp;""</f>
      </c>
      <c r="W597">
        <f>[1]发票导入!W597&amp;""</f>
      </c>
      <c r="Y597">
        <f>[1]发票导入!Y597&amp;""</f>
      </c>
      <c r="AA597">
        <f>[1]发票导入!AA597&amp;""</f>
      </c>
      <c r="AB597">
        <f>[1]发票导入!AB597</f>
        <v>0</v>
      </c>
      <c r="AC597">
        <f>[1]发票导入!AC597</f>
        <v>0</v>
      </c>
      <c r="AE597" s="22">
        <f t="shared" si="0"/>
      </c>
      <c r="AI597">
        <f>[1]发票导入!AI597&amp;""</f>
      </c>
      <c r="AJ597">
        <f>[1]发票导入!AJ597&amp;""</f>
      </c>
      <c r="AK597">
        <f>[1]发票导入!AK597</f>
        <v>0</v>
      </c>
      <c r="AL597">
        <f>[1]发票导入!AL597</f>
        <v>0</v>
      </c>
      <c r="AM597">
        <f>[1]发票导入!AM597</f>
        <v>0</v>
      </c>
      <c r="AN597" s="22">
        <f t="shared" si="1"/>
        <v>0</v>
      </c>
      <c r="AO597" s="22">
        <f t="shared" si="2"/>
        <v>0</v>
      </c>
    </row>
    <row r="598">
      <c r="C598">
        <f>[1]发票导入!C598&amp;""</f>
      </c>
      <c r="D598">
        <f>[1]发票导入!D598&amp;""</f>
      </c>
      <c r="O598">
        <f>[1]发票导入!O598&amp;""</f>
      </c>
      <c r="T598">
        <f>[1]发票导入!T598</f>
      </c>
      <c r="U598">
        <f>[1]发票导入!U598&amp;""</f>
      </c>
      <c r="V598">
        <f>[1]发票导入!V598&amp;""</f>
      </c>
      <c r="W598">
        <f>[1]发票导入!W598&amp;""</f>
      </c>
      <c r="Y598">
        <f>[1]发票导入!Y598&amp;""</f>
      </c>
      <c r="AA598">
        <f>[1]发票导入!AA598&amp;""</f>
      </c>
      <c r="AB598">
        <f>[1]发票导入!AB598</f>
        <v>0</v>
      </c>
      <c r="AC598">
        <f>[1]发票导入!AC598</f>
        <v>0</v>
      </c>
      <c r="AE598" s="22">
        <f t="shared" si="0"/>
      </c>
      <c r="AI598">
        <f>[1]发票导入!AI598&amp;""</f>
      </c>
      <c r="AJ598">
        <f>[1]发票导入!AJ598&amp;""</f>
      </c>
      <c r="AK598">
        <f>[1]发票导入!AK598</f>
        <v>0</v>
      </c>
      <c r="AL598">
        <f>[1]发票导入!AL598</f>
        <v>0</v>
      </c>
      <c r="AM598">
        <f>[1]发票导入!AM598</f>
        <v>0</v>
      </c>
      <c r="AN598" s="22">
        <f t="shared" si="1"/>
        <v>0</v>
      </c>
      <c r="AO598" s="22">
        <f t="shared" si="2"/>
        <v>0</v>
      </c>
    </row>
    <row r="599">
      <c r="C599">
        <f>[1]发票导入!C599&amp;""</f>
      </c>
      <c r="D599">
        <f>[1]发票导入!D599&amp;""</f>
      </c>
      <c r="O599">
        <f>[1]发票导入!O599&amp;""</f>
      </c>
      <c r="T599">
        <f>[1]发票导入!T599</f>
      </c>
      <c r="U599">
        <f>[1]发票导入!U599&amp;""</f>
      </c>
      <c r="V599">
        <f>[1]发票导入!V599&amp;""</f>
      </c>
      <c r="W599">
        <f>[1]发票导入!W599&amp;""</f>
      </c>
      <c r="Y599">
        <f>[1]发票导入!Y599&amp;""</f>
      </c>
      <c r="AA599">
        <f>[1]发票导入!AA599&amp;""</f>
      </c>
      <c r="AB599">
        <f>[1]发票导入!AB599</f>
        <v>0</v>
      </c>
      <c r="AC599">
        <f>[1]发票导入!AC599</f>
        <v>0</v>
      </c>
      <c r="AE599" s="22">
        <f t="shared" si="0"/>
      </c>
      <c r="AI599">
        <f>[1]发票导入!AI599&amp;""</f>
      </c>
      <c r="AJ599">
        <f>[1]发票导入!AJ599&amp;""</f>
      </c>
      <c r="AK599">
        <f>[1]发票导入!AK599</f>
        <v>0</v>
      </c>
      <c r="AL599">
        <f>[1]发票导入!AL599</f>
        <v>0</v>
      </c>
      <c r="AM599">
        <f>[1]发票导入!AM599</f>
        <v>0</v>
      </c>
      <c r="AN599" s="22">
        <f t="shared" si="1"/>
        <v>0</v>
      </c>
      <c r="AO599" s="22">
        <f t="shared" si="2"/>
        <v>0</v>
      </c>
    </row>
    <row r="600">
      <c r="C600">
        <f>[1]发票导入!C600&amp;""</f>
      </c>
      <c r="D600">
        <f>[1]发票导入!D600&amp;""</f>
      </c>
      <c r="O600">
        <f>[1]发票导入!O600&amp;""</f>
      </c>
      <c r="T600">
        <f>[1]发票导入!T600</f>
      </c>
      <c r="U600">
        <f>[1]发票导入!U600&amp;""</f>
      </c>
      <c r="V600">
        <f>[1]发票导入!V600&amp;""</f>
      </c>
      <c r="W600">
        <f>[1]发票导入!W600&amp;""</f>
      </c>
      <c r="Y600">
        <f>[1]发票导入!Y600&amp;""</f>
      </c>
      <c r="AA600">
        <f>[1]发票导入!AA600&amp;""</f>
      </c>
      <c r="AB600">
        <f>[1]发票导入!AB600</f>
        <v>0</v>
      </c>
      <c r="AC600">
        <f>[1]发票导入!AC600</f>
        <v>0</v>
      </c>
      <c r="AE600" s="22">
        <f t="shared" si="0"/>
      </c>
      <c r="AI600">
        <f>[1]发票导入!AI600&amp;""</f>
      </c>
      <c r="AJ600">
        <f>[1]发票导入!AJ600&amp;""</f>
      </c>
      <c r="AK600">
        <f>[1]发票导入!AK600</f>
        <v>0</v>
      </c>
      <c r="AL600">
        <f>[1]发票导入!AL600</f>
        <v>0</v>
      </c>
      <c r="AM600">
        <f>[1]发票导入!AM600</f>
        <v>0</v>
      </c>
      <c r="AN600" s="22">
        <f t="shared" si="1"/>
        <v>0</v>
      </c>
      <c r="AO600" s="22">
        <f t="shared" si="2"/>
        <v>0</v>
      </c>
    </row>
    <row r="601">
      <c r="C601">
        <f>[1]发票导入!C601&amp;""</f>
      </c>
      <c r="D601">
        <f>[1]发票导入!D601&amp;""</f>
      </c>
      <c r="O601">
        <f>[1]发票导入!O601&amp;""</f>
      </c>
      <c r="T601">
        <f>[1]发票导入!T601</f>
      </c>
      <c r="U601">
        <f>[1]发票导入!U601&amp;""</f>
      </c>
      <c r="V601">
        <f>[1]发票导入!V601&amp;""</f>
      </c>
      <c r="W601">
        <f>[1]发票导入!W601&amp;""</f>
      </c>
      <c r="Y601">
        <f>[1]发票导入!Y601&amp;""</f>
      </c>
      <c r="AA601">
        <f>[1]发票导入!AA601&amp;""</f>
      </c>
      <c r="AB601">
        <f>[1]发票导入!AB601</f>
        <v>0</v>
      </c>
      <c r="AC601">
        <f>[1]发票导入!AC601</f>
        <v>0</v>
      </c>
      <c r="AE601" s="22">
        <f t="shared" si="0"/>
      </c>
      <c r="AI601">
        <f>[1]发票导入!AI601&amp;""</f>
      </c>
      <c r="AJ601">
        <f>[1]发票导入!AJ601&amp;""</f>
      </c>
      <c r="AK601">
        <f>[1]发票导入!AK601</f>
        <v>0</v>
      </c>
      <c r="AL601">
        <f>[1]发票导入!AL601</f>
        <v>0</v>
      </c>
      <c r="AM601">
        <f>[1]发票导入!AM601</f>
        <v>0</v>
      </c>
      <c r="AN601" s="22">
        <f t="shared" si="1"/>
        <v>0</v>
      </c>
      <c r="AO601" s="22">
        <f t="shared" si="2"/>
        <v>0</v>
      </c>
    </row>
    <row r="602">
      <c r="C602">
        <f>[1]发票导入!C602&amp;""</f>
      </c>
      <c r="D602">
        <f>[1]发票导入!D602&amp;""</f>
      </c>
      <c r="O602">
        <f>[1]发票导入!O602&amp;""</f>
      </c>
      <c r="T602">
        <f>[1]发票导入!T602</f>
      </c>
      <c r="U602">
        <f>[1]发票导入!U602&amp;""</f>
      </c>
      <c r="V602">
        <f>[1]发票导入!V602&amp;""</f>
      </c>
      <c r="W602">
        <f>[1]发票导入!W602&amp;""</f>
      </c>
      <c r="Y602">
        <f>[1]发票导入!Y602&amp;""</f>
      </c>
      <c r="AA602">
        <f>[1]发票导入!AA602&amp;""</f>
      </c>
      <c r="AB602">
        <f>[1]发票导入!AB602</f>
        <v>0</v>
      </c>
      <c r="AC602">
        <f>[1]发票导入!AC602</f>
        <v>0</v>
      </c>
      <c r="AE602" s="22">
        <f t="shared" si="0"/>
      </c>
      <c r="AI602">
        <f>[1]发票导入!AI602&amp;""</f>
      </c>
      <c r="AJ602">
        <f>[1]发票导入!AJ602&amp;""</f>
      </c>
      <c r="AK602">
        <f>[1]发票导入!AK602</f>
        <v>0</v>
      </c>
      <c r="AL602">
        <f>[1]发票导入!AL602</f>
        <v>0</v>
      </c>
      <c r="AM602">
        <f>[1]发票导入!AM602</f>
        <v>0</v>
      </c>
      <c r="AN602" s="22">
        <f t="shared" si="1"/>
        <v>0</v>
      </c>
      <c r="AO602" s="22">
        <f t="shared" si="2"/>
        <v>0</v>
      </c>
    </row>
    <row r="603">
      <c r="C603">
        <f>[1]发票导入!C603&amp;""</f>
      </c>
      <c r="D603">
        <f>[1]发票导入!D603&amp;""</f>
      </c>
      <c r="O603">
        <f>[1]发票导入!O603&amp;""</f>
      </c>
      <c r="T603">
        <f>[1]发票导入!T603</f>
      </c>
      <c r="U603">
        <f>[1]发票导入!U603&amp;""</f>
      </c>
      <c r="V603">
        <f>[1]发票导入!V603&amp;""</f>
      </c>
      <c r="W603">
        <f>[1]发票导入!W603&amp;""</f>
      </c>
      <c r="Y603">
        <f>[1]发票导入!Y603&amp;""</f>
      </c>
      <c r="AA603">
        <f>[1]发票导入!AA603&amp;""</f>
      </c>
      <c r="AB603">
        <f>[1]发票导入!AB603</f>
        <v>0</v>
      </c>
      <c r="AC603">
        <f>[1]发票导入!AC603</f>
        <v>0</v>
      </c>
      <c r="AE603" s="22">
        <f t="shared" si="0"/>
      </c>
      <c r="AI603">
        <f>[1]发票导入!AI603&amp;""</f>
      </c>
      <c r="AJ603">
        <f>[1]发票导入!AJ603&amp;""</f>
      </c>
      <c r="AK603">
        <f>[1]发票导入!AK603</f>
        <v>0</v>
      </c>
      <c r="AL603">
        <f>[1]发票导入!AL603</f>
        <v>0</v>
      </c>
      <c r="AM603">
        <f>[1]发票导入!AM603</f>
        <v>0</v>
      </c>
      <c r="AN603" s="22">
        <f t="shared" si="1"/>
        <v>0</v>
      </c>
      <c r="AO603" s="22">
        <f t="shared" si="2"/>
        <v>0</v>
      </c>
    </row>
    <row r="604">
      <c r="C604">
        <f>[1]发票导入!C604&amp;""</f>
      </c>
      <c r="D604">
        <f>[1]发票导入!D604&amp;""</f>
      </c>
      <c r="O604">
        <f>[1]发票导入!O604&amp;""</f>
      </c>
      <c r="T604">
        <f>[1]发票导入!T604</f>
      </c>
      <c r="U604">
        <f>[1]发票导入!U604&amp;""</f>
      </c>
      <c r="V604">
        <f>[1]发票导入!V604&amp;""</f>
      </c>
      <c r="W604">
        <f>[1]发票导入!W604&amp;""</f>
      </c>
      <c r="Y604">
        <f>[1]发票导入!Y604&amp;""</f>
      </c>
      <c r="AA604">
        <f>[1]发票导入!AA604&amp;""</f>
      </c>
      <c r="AB604">
        <f>[1]发票导入!AB604</f>
        <v>0</v>
      </c>
      <c r="AC604">
        <f>[1]发票导入!AC604</f>
        <v>0</v>
      </c>
      <c r="AE604" s="22">
        <f t="shared" si="0"/>
      </c>
      <c r="AI604">
        <f>[1]发票导入!AI604&amp;""</f>
      </c>
      <c r="AJ604">
        <f>[1]发票导入!AJ604&amp;""</f>
      </c>
      <c r="AK604">
        <f>[1]发票导入!AK604</f>
        <v>0</v>
      </c>
      <c r="AL604">
        <f>[1]发票导入!AL604</f>
        <v>0</v>
      </c>
      <c r="AM604">
        <f>[1]发票导入!AM604</f>
        <v>0</v>
      </c>
      <c r="AN604" s="22">
        <f t="shared" si="1"/>
        <v>0</v>
      </c>
      <c r="AO604" s="22">
        <f t="shared" si="2"/>
        <v>0</v>
      </c>
    </row>
    <row r="605">
      <c r="C605">
        <f>[1]发票导入!C605&amp;""</f>
      </c>
      <c r="D605">
        <f>[1]发票导入!D605&amp;""</f>
      </c>
      <c r="O605">
        <f>[1]发票导入!O605&amp;""</f>
      </c>
      <c r="T605">
        <f>[1]发票导入!T605</f>
      </c>
      <c r="U605">
        <f>[1]发票导入!U605&amp;""</f>
      </c>
      <c r="V605">
        <f>[1]发票导入!V605&amp;""</f>
      </c>
      <c r="W605">
        <f>[1]发票导入!W605&amp;""</f>
      </c>
      <c r="Y605">
        <f>[1]发票导入!Y605&amp;""</f>
      </c>
      <c r="AA605">
        <f>[1]发票导入!AA605&amp;""</f>
      </c>
      <c r="AB605">
        <f>[1]发票导入!AB605</f>
        <v>0</v>
      </c>
      <c r="AC605">
        <f>[1]发票导入!AC605</f>
        <v>0</v>
      </c>
      <c r="AE605" s="22">
        <f t="shared" si="0"/>
      </c>
      <c r="AI605">
        <f>[1]发票导入!AI605&amp;""</f>
      </c>
      <c r="AJ605">
        <f>[1]发票导入!AJ605&amp;""</f>
      </c>
      <c r="AK605">
        <f>[1]发票导入!AK605</f>
        <v>0</v>
      </c>
      <c r="AL605">
        <f>[1]发票导入!AL605</f>
        <v>0</v>
      </c>
      <c r="AM605">
        <f>[1]发票导入!AM605</f>
        <v>0</v>
      </c>
      <c r="AN605" s="22">
        <f t="shared" si="1"/>
        <v>0</v>
      </c>
      <c r="AO605" s="22">
        <f t="shared" si="2"/>
        <v>0</v>
      </c>
    </row>
    <row r="606">
      <c r="C606">
        <f>[1]发票导入!C606&amp;""</f>
      </c>
      <c r="D606">
        <f>[1]发票导入!D606&amp;""</f>
      </c>
      <c r="O606">
        <f>[1]发票导入!O606&amp;""</f>
      </c>
      <c r="T606">
        <f>[1]发票导入!T606</f>
      </c>
      <c r="U606">
        <f>[1]发票导入!U606&amp;""</f>
      </c>
      <c r="V606">
        <f>[1]发票导入!V606&amp;""</f>
      </c>
      <c r="W606">
        <f>[1]发票导入!W606&amp;""</f>
      </c>
      <c r="Y606">
        <f>[1]发票导入!Y606&amp;""</f>
      </c>
      <c r="AA606">
        <f>[1]发票导入!AA606&amp;""</f>
      </c>
      <c r="AB606">
        <f>[1]发票导入!AB606</f>
        <v>0</v>
      </c>
      <c r="AC606">
        <f>[1]发票导入!AC606</f>
        <v>0</v>
      </c>
      <c r="AE606" s="22">
        <f t="shared" si="0"/>
      </c>
      <c r="AI606">
        <f>[1]发票导入!AI606&amp;""</f>
      </c>
      <c r="AJ606">
        <f>[1]发票导入!AJ606&amp;""</f>
      </c>
      <c r="AK606">
        <f>[1]发票导入!AK606</f>
        <v>0</v>
      </c>
      <c r="AL606">
        <f>[1]发票导入!AL606</f>
        <v>0</v>
      </c>
      <c r="AM606">
        <f>[1]发票导入!AM606</f>
        <v>0</v>
      </c>
      <c r="AN606" s="22">
        <f t="shared" si="1"/>
        <v>0</v>
      </c>
      <c r="AO606" s="22">
        <f t="shared" si="2"/>
        <v>0</v>
      </c>
    </row>
    <row r="607">
      <c r="C607">
        <f>[1]发票导入!C607&amp;""</f>
      </c>
      <c r="D607">
        <f>[1]发票导入!D607&amp;""</f>
      </c>
      <c r="O607">
        <f>[1]发票导入!O607&amp;""</f>
      </c>
      <c r="T607">
        <f>[1]发票导入!T607</f>
      </c>
      <c r="U607">
        <f>[1]发票导入!U607&amp;""</f>
      </c>
      <c r="V607">
        <f>[1]发票导入!V607&amp;""</f>
      </c>
      <c r="W607">
        <f>[1]发票导入!W607&amp;""</f>
      </c>
      <c r="Y607">
        <f>[1]发票导入!Y607&amp;""</f>
      </c>
      <c r="AA607">
        <f>[1]发票导入!AA607&amp;""</f>
      </c>
      <c r="AB607">
        <f>[1]发票导入!AB607</f>
        <v>0</v>
      </c>
      <c r="AC607">
        <f>[1]发票导入!AC607</f>
        <v>0</v>
      </c>
      <c r="AE607" s="22">
        <f t="shared" si="0"/>
      </c>
      <c r="AI607">
        <f>[1]发票导入!AI607&amp;""</f>
      </c>
      <c r="AJ607">
        <f>[1]发票导入!AJ607&amp;""</f>
      </c>
      <c r="AK607">
        <f>[1]发票导入!AK607</f>
        <v>0</v>
      </c>
      <c r="AL607">
        <f>[1]发票导入!AL607</f>
        <v>0</v>
      </c>
      <c r="AM607">
        <f>[1]发票导入!AM607</f>
        <v>0</v>
      </c>
      <c r="AN607" s="22">
        <f t="shared" si="1"/>
        <v>0</v>
      </c>
      <c r="AO607" s="22">
        <f t="shared" si="2"/>
        <v>0</v>
      </c>
    </row>
    <row r="608">
      <c r="C608">
        <f>[1]发票导入!C608&amp;""</f>
      </c>
      <c r="D608">
        <f>[1]发票导入!D608&amp;""</f>
      </c>
      <c r="O608">
        <f>[1]发票导入!O608&amp;""</f>
      </c>
      <c r="T608">
        <f>[1]发票导入!T608</f>
      </c>
      <c r="U608">
        <f>[1]发票导入!U608&amp;""</f>
      </c>
      <c r="V608">
        <f>[1]发票导入!V608&amp;""</f>
      </c>
      <c r="W608">
        <f>[1]发票导入!W608&amp;""</f>
      </c>
      <c r="Y608">
        <f>[1]发票导入!Y608&amp;""</f>
      </c>
      <c r="AA608">
        <f>[1]发票导入!AA608&amp;""</f>
      </c>
      <c r="AB608">
        <f>[1]发票导入!AB608</f>
        <v>0</v>
      </c>
      <c r="AC608">
        <f>[1]发票导入!AC608</f>
        <v>0</v>
      </c>
      <c r="AE608" s="22">
        <f t="shared" si="0"/>
      </c>
      <c r="AI608">
        <f>[1]发票导入!AI608&amp;""</f>
      </c>
      <c r="AJ608">
        <f>[1]发票导入!AJ608&amp;""</f>
      </c>
      <c r="AK608">
        <f>[1]发票导入!AK608</f>
        <v>0</v>
      </c>
      <c r="AL608">
        <f>[1]发票导入!AL608</f>
        <v>0</v>
      </c>
      <c r="AM608">
        <f>[1]发票导入!AM608</f>
        <v>0</v>
      </c>
      <c r="AN608" s="22">
        <f t="shared" si="1"/>
        <v>0</v>
      </c>
      <c r="AO608" s="22">
        <f t="shared" si="2"/>
        <v>0</v>
      </c>
    </row>
    <row r="609">
      <c r="C609">
        <f>[1]发票导入!C609&amp;""</f>
      </c>
      <c r="D609">
        <f>[1]发票导入!D609&amp;""</f>
      </c>
      <c r="O609">
        <f>[1]发票导入!O609&amp;""</f>
      </c>
      <c r="T609">
        <f>[1]发票导入!T609</f>
      </c>
      <c r="U609">
        <f>[1]发票导入!U609&amp;""</f>
      </c>
      <c r="V609">
        <f>[1]发票导入!V609&amp;""</f>
      </c>
      <c r="W609">
        <f>[1]发票导入!W609&amp;""</f>
      </c>
      <c r="Y609">
        <f>[1]发票导入!Y609&amp;""</f>
      </c>
      <c r="AA609">
        <f>[1]发票导入!AA609&amp;""</f>
      </c>
      <c r="AB609">
        <f>[1]发票导入!AB609</f>
        <v>0</v>
      </c>
      <c r="AC609">
        <f>[1]发票导入!AC609</f>
        <v>0</v>
      </c>
      <c r="AE609" s="22">
        <f t="shared" si="0"/>
      </c>
      <c r="AI609">
        <f>[1]发票导入!AI609&amp;""</f>
      </c>
      <c r="AJ609">
        <f>[1]发票导入!AJ609&amp;""</f>
      </c>
      <c r="AK609">
        <f>[1]发票导入!AK609</f>
        <v>0</v>
      </c>
      <c r="AL609">
        <f>[1]发票导入!AL609</f>
        <v>0</v>
      </c>
      <c r="AM609">
        <f>[1]发票导入!AM609</f>
        <v>0</v>
      </c>
      <c r="AN609" s="22">
        <f t="shared" si="1"/>
        <v>0</v>
      </c>
      <c r="AO609" s="22">
        <f t="shared" si="2"/>
        <v>0</v>
      </c>
    </row>
    <row r="610">
      <c r="C610">
        <f>[1]发票导入!C610&amp;""</f>
      </c>
      <c r="D610">
        <f>[1]发票导入!D610&amp;""</f>
      </c>
      <c r="O610">
        <f>[1]发票导入!O610&amp;""</f>
      </c>
      <c r="T610">
        <f>[1]发票导入!T610</f>
      </c>
      <c r="U610">
        <f>[1]发票导入!U610&amp;""</f>
      </c>
      <c r="V610">
        <f>[1]发票导入!V610&amp;""</f>
      </c>
      <c r="W610">
        <f>[1]发票导入!W610&amp;""</f>
      </c>
      <c r="Y610">
        <f>[1]发票导入!Y610&amp;""</f>
      </c>
      <c r="AA610">
        <f>[1]发票导入!AA610&amp;""</f>
      </c>
      <c r="AB610">
        <f>[1]发票导入!AB610</f>
        <v>0</v>
      </c>
      <c r="AC610">
        <f>[1]发票导入!AC610</f>
        <v>0</v>
      </c>
      <c r="AE610" s="22">
        <f t="shared" si="0"/>
      </c>
      <c r="AI610">
        <f>[1]发票导入!AI610&amp;""</f>
      </c>
      <c r="AJ610">
        <f>[1]发票导入!AJ610&amp;""</f>
      </c>
      <c r="AK610">
        <f>[1]发票导入!AK610</f>
        <v>0</v>
      </c>
      <c r="AL610">
        <f>[1]发票导入!AL610</f>
        <v>0</v>
      </c>
      <c r="AM610">
        <f>[1]发票导入!AM610</f>
        <v>0</v>
      </c>
      <c r="AN610" s="22">
        <f t="shared" si="1"/>
        <v>0</v>
      </c>
      <c r="AO610" s="22">
        <f t="shared" si="2"/>
        <v>0</v>
      </c>
    </row>
    <row r="611">
      <c r="C611">
        <f>[1]发票导入!C611&amp;""</f>
      </c>
      <c r="D611">
        <f>[1]发票导入!D611&amp;""</f>
      </c>
      <c r="O611">
        <f>[1]发票导入!O611&amp;""</f>
      </c>
      <c r="T611">
        <f>[1]发票导入!T611</f>
      </c>
      <c r="U611">
        <f>[1]发票导入!U611&amp;""</f>
      </c>
      <c r="V611">
        <f>[1]发票导入!V611&amp;""</f>
      </c>
      <c r="W611">
        <f>[1]发票导入!W611&amp;""</f>
      </c>
      <c r="Y611">
        <f>[1]发票导入!Y611&amp;""</f>
      </c>
      <c r="AA611">
        <f>[1]发票导入!AA611&amp;""</f>
      </c>
      <c r="AB611">
        <f>[1]发票导入!AB611</f>
        <v>0</v>
      </c>
      <c r="AC611">
        <f>[1]发票导入!AC611</f>
        <v>0</v>
      </c>
      <c r="AE611" s="22">
        <f t="shared" si="0"/>
      </c>
      <c r="AI611">
        <f>[1]发票导入!AI611&amp;""</f>
      </c>
      <c r="AJ611">
        <f>[1]发票导入!AJ611&amp;""</f>
      </c>
      <c r="AK611">
        <f>[1]发票导入!AK611</f>
        <v>0</v>
      </c>
      <c r="AL611">
        <f>[1]发票导入!AL611</f>
        <v>0</v>
      </c>
      <c r="AM611">
        <f>[1]发票导入!AM611</f>
        <v>0</v>
      </c>
      <c r="AN611" s="22">
        <f t="shared" si="1"/>
        <v>0</v>
      </c>
      <c r="AO611" s="22">
        <f t="shared" si="2"/>
        <v>0</v>
      </c>
    </row>
    <row r="612">
      <c r="C612">
        <f>[1]发票导入!C612&amp;""</f>
      </c>
      <c r="D612">
        <f>[1]发票导入!D612&amp;""</f>
      </c>
      <c r="O612">
        <f>[1]发票导入!O612&amp;""</f>
      </c>
      <c r="T612">
        <f>[1]发票导入!T612</f>
      </c>
      <c r="U612">
        <f>[1]发票导入!U612&amp;""</f>
      </c>
      <c r="V612">
        <f>[1]发票导入!V612&amp;""</f>
      </c>
      <c r="W612">
        <f>[1]发票导入!W612&amp;""</f>
      </c>
      <c r="Y612">
        <f>[1]发票导入!Y612&amp;""</f>
      </c>
      <c r="AA612">
        <f>[1]发票导入!AA612&amp;""</f>
      </c>
      <c r="AB612">
        <f>[1]发票导入!AB612</f>
        <v>0</v>
      </c>
      <c r="AC612">
        <f>[1]发票导入!AC612</f>
        <v>0</v>
      </c>
      <c r="AE612" s="22">
        <f t="shared" si="0"/>
      </c>
      <c r="AI612">
        <f>[1]发票导入!AI612&amp;""</f>
      </c>
      <c r="AJ612">
        <f>[1]发票导入!AJ612&amp;""</f>
      </c>
      <c r="AK612">
        <f>[1]发票导入!AK612</f>
        <v>0</v>
      </c>
      <c r="AL612">
        <f>[1]发票导入!AL612</f>
        <v>0</v>
      </c>
      <c r="AM612">
        <f>[1]发票导入!AM612</f>
        <v>0</v>
      </c>
      <c r="AN612" s="22">
        <f t="shared" si="1"/>
        <v>0</v>
      </c>
      <c r="AO612" s="22">
        <f t="shared" si="2"/>
        <v>0</v>
      </c>
    </row>
    <row r="613">
      <c r="C613">
        <f>[1]发票导入!C613&amp;""</f>
      </c>
      <c r="D613">
        <f>[1]发票导入!D613&amp;""</f>
      </c>
      <c r="O613">
        <f>[1]发票导入!O613&amp;""</f>
      </c>
      <c r="T613">
        <f>[1]发票导入!T613</f>
      </c>
      <c r="U613">
        <f>[1]发票导入!U613&amp;""</f>
      </c>
      <c r="V613">
        <f>[1]发票导入!V613&amp;""</f>
      </c>
      <c r="W613">
        <f>[1]发票导入!W613&amp;""</f>
      </c>
      <c r="Y613">
        <f>[1]发票导入!Y613&amp;""</f>
      </c>
      <c r="AA613">
        <f>[1]发票导入!AA613&amp;""</f>
      </c>
      <c r="AB613">
        <f>[1]发票导入!AB613</f>
        <v>0</v>
      </c>
      <c r="AC613">
        <f>[1]发票导入!AC613</f>
        <v>0</v>
      </c>
      <c r="AE613" s="22">
        <f t="shared" si="0"/>
      </c>
      <c r="AI613">
        <f>[1]发票导入!AI613&amp;""</f>
      </c>
      <c r="AJ613">
        <f>[1]发票导入!AJ613&amp;""</f>
      </c>
      <c r="AK613">
        <f>[1]发票导入!AK613</f>
        <v>0</v>
      </c>
      <c r="AL613">
        <f>[1]发票导入!AL613</f>
        <v>0</v>
      </c>
      <c r="AM613">
        <f>[1]发票导入!AM613</f>
        <v>0</v>
      </c>
      <c r="AN613" s="22">
        <f t="shared" si="1"/>
        <v>0</v>
      </c>
      <c r="AO613" s="22">
        <f t="shared" si="2"/>
        <v>0</v>
      </c>
    </row>
    <row r="614">
      <c r="C614">
        <f>[1]发票导入!C614&amp;""</f>
      </c>
      <c r="D614">
        <f>[1]发票导入!D614&amp;""</f>
      </c>
      <c r="O614">
        <f>[1]发票导入!O614&amp;""</f>
      </c>
      <c r="T614">
        <f>[1]发票导入!T614</f>
      </c>
      <c r="U614">
        <f>[1]发票导入!U614&amp;""</f>
      </c>
      <c r="V614">
        <f>[1]发票导入!V614&amp;""</f>
      </c>
      <c r="W614">
        <f>[1]发票导入!W614&amp;""</f>
      </c>
      <c r="Y614">
        <f>[1]发票导入!Y614&amp;""</f>
      </c>
      <c r="AA614">
        <f>[1]发票导入!AA614&amp;""</f>
      </c>
      <c r="AB614">
        <f>[1]发票导入!AB614</f>
        <v>0</v>
      </c>
      <c r="AC614">
        <f>[1]发票导入!AC614</f>
        <v>0</v>
      </c>
      <c r="AE614" s="22">
        <f t="shared" si="0"/>
      </c>
      <c r="AI614">
        <f>[1]发票导入!AI614&amp;""</f>
      </c>
      <c r="AJ614">
        <f>[1]发票导入!AJ614&amp;""</f>
      </c>
      <c r="AK614">
        <f>[1]发票导入!AK614</f>
        <v>0</v>
      </c>
      <c r="AL614">
        <f>[1]发票导入!AL614</f>
        <v>0</v>
      </c>
      <c r="AM614">
        <f>[1]发票导入!AM614</f>
        <v>0</v>
      </c>
      <c r="AN614" s="22">
        <f t="shared" si="1"/>
        <v>0</v>
      </c>
      <c r="AO614" s="22">
        <f t="shared" si="2"/>
        <v>0</v>
      </c>
    </row>
    <row r="615">
      <c r="C615">
        <f>[1]发票导入!C615&amp;""</f>
      </c>
      <c r="D615">
        <f>[1]发票导入!D615&amp;""</f>
      </c>
      <c r="O615">
        <f>[1]发票导入!O615&amp;""</f>
      </c>
      <c r="T615">
        <f>[1]发票导入!T615</f>
      </c>
      <c r="U615">
        <f>[1]发票导入!U615&amp;""</f>
      </c>
      <c r="V615">
        <f>[1]发票导入!V615&amp;""</f>
      </c>
      <c r="W615">
        <f>[1]发票导入!W615&amp;""</f>
      </c>
      <c r="Y615">
        <f>[1]发票导入!Y615&amp;""</f>
      </c>
      <c r="AA615">
        <f>[1]发票导入!AA615&amp;""</f>
      </c>
      <c r="AB615">
        <f>[1]发票导入!AB615</f>
        <v>0</v>
      </c>
      <c r="AC615">
        <f>[1]发票导入!AC615</f>
        <v>0</v>
      </c>
      <c r="AE615" s="22">
        <f t="shared" si="0"/>
      </c>
      <c r="AI615">
        <f>[1]发票导入!AI615&amp;""</f>
      </c>
      <c r="AJ615">
        <f>[1]发票导入!AJ615&amp;""</f>
      </c>
      <c r="AK615">
        <f>[1]发票导入!AK615</f>
        <v>0</v>
      </c>
      <c r="AL615">
        <f>[1]发票导入!AL615</f>
        <v>0</v>
      </c>
      <c r="AM615">
        <f>[1]发票导入!AM615</f>
        <v>0</v>
      </c>
      <c r="AN615" s="22">
        <f t="shared" si="1"/>
        <v>0</v>
      </c>
      <c r="AO615" s="22">
        <f t="shared" si="2"/>
        <v>0</v>
      </c>
    </row>
    <row r="616">
      <c r="C616">
        <f>[1]发票导入!C616&amp;""</f>
      </c>
      <c r="D616">
        <f>[1]发票导入!D616&amp;""</f>
      </c>
      <c r="O616">
        <f>[1]发票导入!O616&amp;""</f>
      </c>
      <c r="T616">
        <f>[1]发票导入!T616</f>
      </c>
      <c r="U616">
        <f>[1]发票导入!U616&amp;""</f>
      </c>
      <c r="V616">
        <f>[1]发票导入!V616&amp;""</f>
      </c>
      <c r="W616">
        <f>[1]发票导入!W616&amp;""</f>
      </c>
      <c r="Y616">
        <f>[1]发票导入!Y616&amp;""</f>
      </c>
      <c r="AA616">
        <f>[1]发票导入!AA616&amp;""</f>
      </c>
      <c r="AB616">
        <f>[1]发票导入!AB616</f>
        <v>0</v>
      </c>
      <c r="AC616">
        <f>[1]发票导入!AC616</f>
        <v>0</v>
      </c>
      <c r="AE616" s="22">
        <f t="shared" si="0"/>
      </c>
      <c r="AI616">
        <f>[1]发票导入!AI616&amp;""</f>
      </c>
      <c r="AJ616">
        <f>[1]发票导入!AJ616&amp;""</f>
      </c>
      <c r="AK616">
        <f>[1]发票导入!AK616</f>
        <v>0</v>
      </c>
      <c r="AL616">
        <f>[1]发票导入!AL616</f>
        <v>0</v>
      </c>
      <c r="AM616">
        <f>[1]发票导入!AM616</f>
        <v>0</v>
      </c>
      <c r="AN616" s="22">
        <f t="shared" si="1"/>
        <v>0</v>
      </c>
      <c r="AO616" s="22">
        <f t="shared" si="2"/>
        <v>0</v>
      </c>
    </row>
    <row r="617">
      <c r="C617">
        <f>[1]发票导入!C617&amp;""</f>
      </c>
      <c r="D617">
        <f>[1]发票导入!D617&amp;""</f>
      </c>
      <c r="O617">
        <f>[1]发票导入!O617&amp;""</f>
      </c>
      <c r="T617">
        <f>[1]发票导入!T617</f>
      </c>
      <c r="U617">
        <f>[1]发票导入!U617&amp;""</f>
      </c>
      <c r="V617">
        <f>[1]发票导入!V617&amp;""</f>
      </c>
      <c r="W617">
        <f>[1]发票导入!W617&amp;""</f>
      </c>
      <c r="Y617">
        <f>[1]发票导入!Y617&amp;""</f>
      </c>
      <c r="AA617">
        <f>[1]发票导入!AA617&amp;""</f>
      </c>
      <c r="AB617">
        <f>[1]发票导入!AB617</f>
        <v>0</v>
      </c>
      <c r="AC617">
        <f>[1]发票导入!AC617</f>
        <v>0</v>
      </c>
      <c r="AE617" s="22">
        <f t="shared" si="0"/>
      </c>
      <c r="AI617">
        <f>[1]发票导入!AI617&amp;""</f>
      </c>
      <c r="AJ617">
        <f>[1]发票导入!AJ617&amp;""</f>
      </c>
      <c r="AK617">
        <f>[1]发票导入!AK617</f>
        <v>0</v>
      </c>
      <c r="AL617">
        <f>[1]发票导入!AL617</f>
        <v>0</v>
      </c>
      <c r="AM617">
        <f>[1]发票导入!AM617</f>
        <v>0</v>
      </c>
      <c r="AN617" s="22">
        <f t="shared" si="1"/>
        <v>0</v>
      </c>
      <c r="AO617" s="22">
        <f t="shared" si="2"/>
        <v>0</v>
      </c>
    </row>
    <row r="618">
      <c r="C618">
        <f>[1]发票导入!C618&amp;""</f>
      </c>
      <c r="D618">
        <f>[1]发票导入!D618&amp;""</f>
      </c>
      <c r="O618">
        <f>[1]发票导入!O618&amp;""</f>
      </c>
      <c r="T618">
        <f>[1]发票导入!T618</f>
      </c>
      <c r="U618">
        <f>[1]发票导入!U618&amp;""</f>
      </c>
      <c r="V618">
        <f>[1]发票导入!V618&amp;""</f>
      </c>
      <c r="W618">
        <f>[1]发票导入!W618&amp;""</f>
      </c>
      <c r="Y618">
        <f>[1]发票导入!Y618&amp;""</f>
      </c>
      <c r="AA618">
        <f>[1]发票导入!AA618&amp;""</f>
      </c>
      <c r="AB618">
        <f>[1]发票导入!AB618</f>
        <v>0</v>
      </c>
      <c r="AC618">
        <f>[1]发票导入!AC618</f>
        <v>0</v>
      </c>
      <c r="AE618" s="22">
        <f t="shared" si="0"/>
      </c>
      <c r="AI618">
        <f>[1]发票导入!AI618&amp;""</f>
      </c>
      <c r="AJ618">
        <f>[1]发票导入!AJ618&amp;""</f>
      </c>
      <c r="AK618">
        <f>[1]发票导入!AK618</f>
        <v>0</v>
      </c>
      <c r="AL618">
        <f>[1]发票导入!AL618</f>
        <v>0</v>
      </c>
      <c r="AM618">
        <f>[1]发票导入!AM618</f>
        <v>0</v>
      </c>
      <c r="AN618" s="22">
        <f t="shared" si="1"/>
        <v>0</v>
      </c>
      <c r="AO618" s="22">
        <f t="shared" si="2"/>
        <v>0</v>
      </c>
    </row>
    <row r="619">
      <c r="C619">
        <f>[1]发票导入!C619&amp;""</f>
      </c>
      <c r="D619">
        <f>[1]发票导入!D619&amp;""</f>
      </c>
      <c r="O619">
        <f>[1]发票导入!O619&amp;""</f>
      </c>
      <c r="T619">
        <f>[1]发票导入!T619</f>
      </c>
      <c r="U619">
        <f>[1]发票导入!U619&amp;""</f>
      </c>
      <c r="V619">
        <f>[1]发票导入!V619&amp;""</f>
      </c>
      <c r="W619">
        <f>[1]发票导入!W619&amp;""</f>
      </c>
      <c r="Y619">
        <f>[1]发票导入!Y619&amp;""</f>
      </c>
      <c r="AA619">
        <f>[1]发票导入!AA619&amp;""</f>
      </c>
      <c r="AB619">
        <f>[1]发票导入!AB619</f>
        <v>0</v>
      </c>
      <c r="AC619">
        <f>[1]发票导入!AC619</f>
        <v>0</v>
      </c>
      <c r="AE619" s="22">
        <f t="shared" si="0"/>
      </c>
      <c r="AI619">
        <f>[1]发票导入!AI619&amp;""</f>
      </c>
      <c r="AJ619">
        <f>[1]发票导入!AJ619&amp;""</f>
      </c>
      <c r="AK619">
        <f>[1]发票导入!AK619</f>
        <v>0</v>
      </c>
      <c r="AL619">
        <f>[1]发票导入!AL619</f>
        <v>0</v>
      </c>
      <c r="AM619">
        <f>[1]发票导入!AM619</f>
        <v>0</v>
      </c>
      <c r="AN619" s="22">
        <f t="shared" si="1"/>
        <v>0</v>
      </c>
      <c r="AO619" s="22">
        <f t="shared" si="2"/>
        <v>0</v>
      </c>
    </row>
    <row r="620">
      <c r="C620">
        <f>[1]发票导入!C620&amp;""</f>
      </c>
      <c r="D620">
        <f>[1]发票导入!D620&amp;""</f>
      </c>
      <c r="O620">
        <f>[1]发票导入!O620&amp;""</f>
      </c>
      <c r="T620">
        <f>[1]发票导入!T620</f>
      </c>
      <c r="U620">
        <f>[1]发票导入!U620&amp;""</f>
      </c>
      <c r="V620">
        <f>[1]发票导入!V620&amp;""</f>
      </c>
      <c r="W620">
        <f>[1]发票导入!W620&amp;""</f>
      </c>
      <c r="Y620">
        <f>[1]发票导入!Y620&amp;""</f>
      </c>
      <c r="AA620">
        <f>[1]发票导入!AA620&amp;""</f>
      </c>
      <c r="AB620">
        <f>[1]发票导入!AB620</f>
        <v>0</v>
      </c>
      <c r="AC620">
        <f>[1]发票导入!AC620</f>
        <v>0</v>
      </c>
      <c r="AE620" s="22">
        <f t="shared" si="0"/>
      </c>
      <c r="AI620">
        <f>[1]发票导入!AI620&amp;""</f>
      </c>
      <c r="AJ620">
        <f>[1]发票导入!AJ620&amp;""</f>
      </c>
      <c r="AK620">
        <f>[1]发票导入!AK620</f>
        <v>0</v>
      </c>
      <c r="AL620">
        <f>[1]发票导入!AL620</f>
        <v>0</v>
      </c>
      <c r="AM620">
        <f>[1]发票导入!AM620</f>
        <v>0</v>
      </c>
      <c r="AN620" s="22">
        <f t="shared" si="1"/>
        <v>0</v>
      </c>
      <c r="AO620" s="22">
        <f t="shared" si="2"/>
        <v>0</v>
      </c>
    </row>
    <row r="621">
      <c r="C621">
        <f>[1]发票导入!C621&amp;""</f>
      </c>
      <c r="D621">
        <f>[1]发票导入!D621&amp;""</f>
      </c>
      <c r="O621">
        <f>[1]发票导入!O621&amp;""</f>
      </c>
      <c r="T621">
        <f>[1]发票导入!T621</f>
      </c>
      <c r="U621">
        <f>[1]发票导入!U621&amp;""</f>
      </c>
      <c r="V621">
        <f>[1]发票导入!V621&amp;""</f>
      </c>
      <c r="W621">
        <f>[1]发票导入!W621&amp;""</f>
      </c>
      <c r="Y621">
        <f>[1]发票导入!Y621&amp;""</f>
      </c>
      <c r="AA621">
        <f>[1]发票导入!AA621&amp;""</f>
      </c>
      <c r="AB621">
        <f>[1]发票导入!AB621</f>
        <v>0</v>
      </c>
      <c r="AC621">
        <f>[1]发票导入!AC621</f>
        <v>0</v>
      </c>
      <c r="AE621" s="22">
        <f t="shared" si="0"/>
      </c>
      <c r="AI621">
        <f>[1]发票导入!AI621&amp;""</f>
      </c>
      <c r="AJ621">
        <f>[1]发票导入!AJ621&amp;""</f>
      </c>
      <c r="AK621">
        <f>[1]发票导入!AK621</f>
        <v>0</v>
      </c>
      <c r="AL621">
        <f>[1]发票导入!AL621</f>
        <v>0</v>
      </c>
      <c r="AM621">
        <f>[1]发票导入!AM621</f>
        <v>0</v>
      </c>
      <c r="AN621" s="22">
        <f t="shared" si="1"/>
        <v>0</v>
      </c>
      <c r="AO621" s="22">
        <f t="shared" si="2"/>
        <v>0</v>
      </c>
    </row>
    <row r="622">
      <c r="C622">
        <f>[1]发票导入!C622&amp;""</f>
      </c>
      <c r="D622">
        <f>[1]发票导入!D622&amp;""</f>
      </c>
      <c r="O622">
        <f>[1]发票导入!O622&amp;""</f>
      </c>
      <c r="T622">
        <f>[1]发票导入!T622</f>
      </c>
      <c r="U622">
        <f>[1]发票导入!U622&amp;""</f>
      </c>
      <c r="V622">
        <f>[1]发票导入!V622&amp;""</f>
      </c>
      <c r="W622">
        <f>[1]发票导入!W622&amp;""</f>
      </c>
      <c r="Y622">
        <f>[1]发票导入!Y622&amp;""</f>
      </c>
      <c r="AA622">
        <f>[1]发票导入!AA622&amp;""</f>
      </c>
      <c r="AB622">
        <f>[1]发票导入!AB622</f>
        <v>0</v>
      </c>
      <c r="AC622">
        <f>[1]发票导入!AC622</f>
        <v>0</v>
      </c>
      <c r="AE622" s="22">
        <f t="shared" si="0"/>
      </c>
      <c r="AI622">
        <f>[1]发票导入!AI622&amp;""</f>
      </c>
      <c r="AJ622">
        <f>[1]发票导入!AJ622&amp;""</f>
      </c>
      <c r="AK622">
        <f>[1]发票导入!AK622</f>
        <v>0</v>
      </c>
      <c r="AL622">
        <f>[1]发票导入!AL622</f>
        <v>0</v>
      </c>
      <c r="AM622">
        <f>[1]发票导入!AM622</f>
        <v>0</v>
      </c>
      <c r="AN622" s="22">
        <f t="shared" si="1"/>
        <v>0</v>
      </c>
      <c r="AO622" s="22">
        <f t="shared" si="2"/>
        <v>0</v>
      </c>
    </row>
    <row r="623">
      <c r="C623">
        <f>[1]发票导入!C623&amp;""</f>
      </c>
      <c r="D623">
        <f>[1]发票导入!D623&amp;""</f>
      </c>
      <c r="O623">
        <f>[1]发票导入!O623&amp;""</f>
      </c>
      <c r="T623">
        <f>[1]发票导入!T623</f>
      </c>
      <c r="U623">
        <f>[1]发票导入!U623&amp;""</f>
      </c>
      <c r="V623">
        <f>[1]发票导入!V623&amp;""</f>
      </c>
      <c r="W623">
        <f>[1]发票导入!W623&amp;""</f>
      </c>
      <c r="Y623">
        <f>[1]发票导入!Y623&amp;""</f>
      </c>
      <c r="AA623">
        <f>[1]发票导入!AA623&amp;""</f>
      </c>
      <c r="AB623">
        <f>[1]发票导入!AB623</f>
        <v>0</v>
      </c>
      <c r="AC623">
        <f>[1]发票导入!AC623</f>
        <v>0</v>
      </c>
      <c r="AE623" s="22">
        <f t="shared" si="0"/>
      </c>
      <c r="AI623">
        <f>[1]发票导入!AI623&amp;""</f>
      </c>
      <c r="AJ623">
        <f>[1]发票导入!AJ623&amp;""</f>
      </c>
      <c r="AK623">
        <f>[1]发票导入!AK623</f>
        <v>0</v>
      </c>
      <c r="AL623">
        <f>[1]发票导入!AL623</f>
        <v>0</v>
      </c>
      <c r="AM623">
        <f>[1]发票导入!AM623</f>
        <v>0</v>
      </c>
      <c r="AN623" s="22">
        <f t="shared" si="1"/>
        <v>0</v>
      </c>
      <c r="AO623" s="22">
        <f t="shared" si="2"/>
        <v>0</v>
      </c>
    </row>
    <row r="624">
      <c r="C624">
        <f>[1]发票导入!C624&amp;""</f>
      </c>
      <c r="D624">
        <f>[1]发票导入!D624&amp;""</f>
      </c>
      <c r="O624">
        <f>[1]发票导入!O624&amp;""</f>
      </c>
      <c r="T624">
        <f>[1]发票导入!T624</f>
      </c>
      <c r="U624">
        <f>[1]发票导入!U624&amp;""</f>
      </c>
      <c r="V624">
        <f>[1]发票导入!V624&amp;""</f>
      </c>
      <c r="W624">
        <f>[1]发票导入!W624&amp;""</f>
      </c>
      <c r="Y624">
        <f>[1]发票导入!Y624&amp;""</f>
      </c>
      <c r="AA624">
        <f>[1]发票导入!AA624&amp;""</f>
      </c>
      <c r="AB624">
        <f>[1]发票导入!AB624</f>
        <v>0</v>
      </c>
      <c r="AC624">
        <f>[1]发票导入!AC624</f>
        <v>0</v>
      </c>
      <c r="AE624" s="22">
        <f t="shared" si="0"/>
      </c>
      <c r="AI624">
        <f>[1]发票导入!AI624&amp;""</f>
      </c>
      <c r="AJ624">
        <f>[1]发票导入!AJ624&amp;""</f>
      </c>
      <c r="AK624">
        <f>[1]发票导入!AK624</f>
        <v>0</v>
      </c>
      <c r="AL624">
        <f>[1]发票导入!AL624</f>
        <v>0</v>
      </c>
      <c r="AM624">
        <f>[1]发票导入!AM624</f>
        <v>0</v>
      </c>
      <c r="AN624" s="22">
        <f t="shared" si="1"/>
        <v>0</v>
      </c>
      <c r="AO624" s="22">
        <f t="shared" si="2"/>
        <v>0</v>
      </c>
    </row>
    <row r="625">
      <c r="C625">
        <f>[1]发票导入!C625&amp;""</f>
      </c>
      <c r="D625">
        <f>[1]发票导入!D625&amp;""</f>
      </c>
      <c r="O625">
        <f>[1]发票导入!O625&amp;""</f>
      </c>
      <c r="T625">
        <f>[1]发票导入!T625</f>
      </c>
      <c r="U625">
        <f>[1]发票导入!U625&amp;""</f>
      </c>
      <c r="V625">
        <f>[1]发票导入!V625&amp;""</f>
      </c>
      <c r="W625">
        <f>[1]发票导入!W625&amp;""</f>
      </c>
      <c r="Y625">
        <f>[1]发票导入!Y625&amp;""</f>
      </c>
      <c r="AA625">
        <f>[1]发票导入!AA625&amp;""</f>
      </c>
      <c r="AB625">
        <f>[1]发票导入!AB625</f>
        <v>0</v>
      </c>
      <c r="AC625">
        <f>[1]发票导入!AC625</f>
        <v>0</v>
      </c>
      <c r="AE625" s="22">
        <f t="shared" si="0"/>
      </c>
      <c r="AI625">
        <f>[1]发票导入!AI625&amp;""</f>
      </c>
      <c r="AJ625">
        <f>[1]发票导入!AJ625&amp;""</f>
      </c>
      <c r="AK625">
        <f>[1]发票导入!AK625</f>
        <v>0</v>
      </c>
      <c r="AL625">
        <f>[1]发票导入!AL625</f>
        <v>0</v>
      </c>
      <c r="AM625">
        <f>[1]发票导入!AM625</f>
        <v>0</v>
      </c>
      <c r="AN625" s="22">
        <f t="shared" si="1"/>
        <v>0</v>
      </c>
      <c r="AO625" s="22">
        <f t="shared" si="2"/>
        <v>0</v>
      </c>
    </row>
    <row r="626">
      <c r="C626">
        <f>[1]发票导入!C626&amp;""</f>
      </c>
      <c r="D626">
        <f>[1]发票导入!D626&amp;""</f>
      </c>
      <c r="O626">
        <f>[1]发票导入!O626&amp;""</f>
      </c>
      <c r="T626">
        <f>[1]发票导入!T626</f>
      </c>
      <c r="U626">
        <f>[1]发票导入!U626&amp;""</f>
      </c>
      <c r="V626">
        <f>[1]发票导入!V626&amp;""</f>
      </c>
      <c r="W626">
        <f>[1]发票导入!W626&amp;""</f>
      </c>
      <c r="Y626">
        <f>[1]发票导入!Y626&amp;""</f>
      </c>
      <c r="AA626">
        <f>[1]发票导入!AA626&amp;""</f>
      </c>
      <c r="AB626">
        <f>[1]发票导入!AB626</f>
        <v>0</v>
      </c>
      <c r="AC626">
        <f>[1]发票导入!AC626</f>
        <v>0</v>
      </c>
      <c r="AE626" s="22">
        <f t="shared" si="0"/>
      </c>
      <c r="AI626">
        <f>[1]发票导入!AI626&amp;""</f>
      </c>
      <c r="AJ626">
        <f>[1]发票导入!AJ626&amp;""</f>
      </c>
      <c r="AK626">
        <f>[1]发票导入!AK626</f>
        <v>0</v>
      </c>
      <c r="AL626">
        <f>[1]发票导入!AL626</f>
        <v>0</v>
      </c>
      <c r="AM626">
        <f>[1]发票导入!AM626</f>
        <v>0</v>
      </c>
      <c r="AN626" s="22">
        <f t="shared" si="1"/>
        <v>0</v>
      </c>
      <c r="AO626" s="22">
        <f t="shared" si="2"/>
        <v>0</v>
      </c>
    </row>
    <row r="627">
      <c r="C627">
        <f>[1]发票导入!C627&amp;""</f>
      </c>
      <c r="D627">
        <f>[1]发票导入!D627&amp;""</f>
      </c>
      <c r="O627">
        <f>[1]发票导入!O627&amp;""</f>
      </c>
      <c r="T627">
        <f>[1]发票导入!T627</f>
      </c>
      <c r="U627">
        <f>[1]发票导入!U627&amp;""</f>
      </c>
      <c r="V627">
        <f>[1]发票导入!V627&amp;""</f>
      </c>
      <c r="W627">
        <f>[1]发票导入!W627&amp;""</f>
      </c>
      <c r="Y627">
        <f>[1]发票导入!Y627&amp;""</f>
      </c>
      <c r="AA627">
        <f>[1]发票导入!AA627&amp;""</f>
      </c>
      <c r="AB627">
        <f>[1]发票导入!AB627</f>
        <v>0</v>
      </c>
      <c r="AC627">
        <f>[1]发票导入!AC627</f>
        <v>0</v>
      </c>
      <c r="AE627" s="22">
        <f t="shared" si="0"/>
      </c>
      <c r="AI627">
        <f>[1]发票导入!AI627&amp;""</f>
      </c>
      <c r="AJ627">
        <f>[1]发票导入!AJ627&amp;""</f>
      </c>
      <c r="AK627">
        <f>[1]发票导入!AK627</f>
        <v>0</v>
      </c>
      <c r="AL627">
        <f>[1]发票导入!AL627</f>
        <v>0</v>
      </c>
      <c r="AM627">
        <f>[1]发票导入!AM627</f>
        <v>0</v>
      </c>
      <c r="AN627" s="22">
        <f t="shared" si="1"/>
        <v>0</v>
      </c>
      <c r="AO627" s="22">
        <f t="shared" si="2"/>
        <v>0</v>
      </c>
    </row>
    <row r="628">
      <c r="C628">
        <f>[1]发票导入!C628&amp;""</f>
      </c>
      <c r="D628">
        <f>[1]发票导入!D628&amp;""</f>
      </c>
      <c r="O628">
        <f>[1]发票导入!O628&amp;""</f>
      </c>
      <c r="T628">
        <f>[1]发票导入!T628</f>
      </c>
      <c r="U628">
        <f>[1]发票导入!U628&amp;""</f>
      </c>
      <c r="V628">
        <f>[1]发票导入!V628&amp;""</f>
      </c>
      <c r="W628">
        <f>[1]发票导入!W628&amp;""</f>
      </c>
      <c r="Y628">
        <f>[1]发票导入!Y628&amp;""</f>
      </c>
      <c r="AA628">
        <f>[1]发票导入!AA628&amp;""</f>
      </c>
      <c r="AB628">
        <f>[1]发票导入!AB628</f>
        <v>0</v>
      </c>
      <c r="AC628">
        <f>[1]发票导入!AC628</f>
        <v>0</v>
      </c>
      <c r="AE628" s="22">
        <f t="shared" si="0"/>
      </c>
      <c r="AI628">
        <f>[1]发票导入!AI628&amp;""</f>
      </c>
      <c r="AJ628">
        <f>[1]发票导入!AJ628&amp;""</f>
      </c>
      <c r="AK628">
        <f>[1]发票导入!AK628</f>
        <v>0</v>
      </c>
      <c r="AL628">
        <f>[1]发票导入!AL628</f>
        <v>0</v>
      </c>
      <c r="AM628">
        <f>[1]发票导入!AM628</f>
        <v>0</v>
      </c>
      <c r="AN628" s="22">
        <f t="shared" si="1"/>
        <v>0</v>
      </c>
      <c r="AO628" s="22">
        <f t="shared" si="2"/>
        <v>0</v>
      </c>
    </row>
    <row r="629">
      <c r="C629">
        <f>[1]发票导入!C629&amp;""</f>
      </c>
      <c r="D629">
        <f>[1]发票导入!D629&amp;""</f>
      </c>
      <c r="O629">
        <f>[1]发票导入!O629&amp;""</f>
      </c>
      <c r="T629">
        <f>[1]发票导入!T629</f>
      </c>
      <c r="U629">
        <f>[1]发票导入!U629&amp;""</f>
      </c>
      <c r="V629">
        <f>[1]发票导入!V629&amp;""</f>
      </c>
      <c r="W629">
        <f>[1]发票导入!W629&amp;""</f>
      </c>
      <c r="Y629">
        <f>[1]发票导入!Y629&amp;""</f>
      </c>
      <c r="AA629">
        <f>[1]发票导入!AA629&amp;""</f>
      </c>
      <c r="AB629">
        <f>[1]发票导入!AB629</f>
        <v>0</v>
      </c>
      <c r="AC629">
        <f>[1]发票导入!AC629</f>
        <v>0</v>
      </c>
      <c r="AE629" s="22">
        <f t="shared" si="0"/>
      </c>
      <c r="AI629">
        <f>[1]发票导入!AI629&amp;""</f>
      </c>
      <c r="AJ629">
        <f>[1]发票导入!AJ629&amp;""</f>
      </c>
      <c r="AK629">
        <f>[1]发票导入!AK629</f>
        <v>0</v>
      </c>
      <c r="AL629">
        <f>[1]发票导入!AL629</f>
        <v>0</v>
      </c>
      <c r="AM629">
        <f>[1]发票导入!AM629</f>
        <v>0</v>
      </c>
      <c r="AN629" s="22">
        <f t="shared" si="1"/>
        <v>0</v>
      </c>
      <c r="AO629" s="22">
        <f t="shared" si="2"/>
        <v>0</v>
      </c>
    </row>
    <row r="630">
      <c r="C630">
        <f>[1]发票导入!C630&amp;""</f>
      </c>
      <c r="D630">
        <f>[1]发票导入!D630&amp;""</f>
      </c>
      <c r="O630">
        <f>[1]发票导入!O630&amp;""</f>
      </c>
      <c r="T630">
        <f>[1]发票导入!T630</f>
      </c>
      <c r="U630">
        <f>[1]发票导入!U630&amp;""</f>
      </c>
      <c r="V630">
        <f>[1]发票导入!V630&amp;""</f>
      </c>
      <c r="W630">
        <f>[1]发票导入!W630&amp;""</f>
      </c>
      <c r="Y630">
        <f>[1]发票导入!Y630&amp;""</f>
      </c>
      <c r="AA630">
        <f>[1]发票导入!AA630&amp;""</f>
      </c>
      <c r="AB630">
        <f>[1]发票导入!AB630</f>
        <v>0</v>
      </c>
      <c r="AC630">
        <f>[1]发票导入!AC630</f>
        <v>0</v>
      </c>
      <c r="AE630" s="22">
        <f t="shared" si="0"/>
      </c>
      <c r="AI630">
        <f>[1]发票导入!AI630&amp;""</f>
      </c>
      <c r="AJ630">
        <f>[1]发票导入!AJ630&amp;""</f>
      </c>
      <c r="AK630">
        <f>[1]发票导入!AK630</f>
        <v>0</v>
      </c>
      <c r="AL630">
        <f>[1]发票导入!AL630</f>
        <v>0</v>
      </c>
      <c r="AM630">
        <f>[1]发票导入!AM630</f>
        <v>0</v>
      </c>
      <c r="AN630" s="22">
        <f t="shared" si="1"/>
        <v>0</v>
      </c>
      <c r="AO630" s="22">
        <f t="shared" si="2"/>
        <v>0</v>
      </c>
    </row>
    <row r="631">
      <c r="C631">
        <f>[1]发票导入!C631&amp;""</f>
      </c>
      <c r="D631">
        <f>[1]发票导入!D631&amp;""</f>
      </c>
      <c r="O631">
        <f>[1]发票导入!O631&amp;""</f>
      </c>
      <c r="T631">
        <f>[1]发票导入!T631</f>
      </c>
      <c r="U631">
        <f>[1]发票导入!U631&amp;""</f>
      </c>
      <c r="V631">
        <f>[1]发票导入!V631&amp;""</f>
      </c>
      <c r="W631">
        <f>[1]发票导入!W631&amp;""</f>
      </c>
      <c r="Y631">
        <f>[1]发票导入!Y631&amp;""</f>
      </c>
      <c r="AA631">
        <f>[1]发票导入!AA631&amp;""</f>
      </c>
      <c r="AB631">
        <f>[1]发票导入!AB631</f>
        <v>0</v>
      </c>
      <c r="AC631">
        <f>[1]发票导入!AC631</f>
        <v>0</v>
      </c>
      <c r="AE631" s="22">
        <f t="shared" si="0"/>
      </c>
      <c r="AI631">
        <f>[1]发票导入!AI631&amp;""</f>
      </c>
      <c r="AJ631">
        <f>[1]发票导入!AJ631&amp;""</f>
      </c>
      <c r="AK631">
        <f>[1]发票导入!AK631</f>
        <v>0</v>
      </c>
      <c r="AL631">
        <f>[1]发票导入!AL631</f>
        <v>0</v>
      </c>
      <c r="AM631">
        <f>[1]发票导入!AM631</f>
        <v>0</v>
      </c>
      <c r="AN631" s="22">
        <f t="shared" si="1"/>
        <v>0</v>
      </c>
      <c r="AO631" s="22">
        <f t="shared" si="2"/>
        <v>0</v>
      </c>
    </row>
    <row r="632">
      <c r="C632">
        <f>[1]发票导入!C632&amp;""</f>
      </c>
      <c r="D632">
        <f>[1]发票导入!D632&amp;""</f>
      </c>
      <c r="O632">
        <f>[1]发票导入!O632&amp;""</f>
      </c>
      <c r="T632">
        <f>[1]发票导入!T632</f>
      </c>
      <c r="U632">
        <f>[1]发票导入!U632&amp;""</f>
      </c>
      <c r="V632">
        <f>[1]发票导入!V632&amp;""</f>
      </c>
      <c r="W632">
        <f>[1]发票导入!W632&amp;""</f>
      </c>
      <c r="Y632">
        <f>[1]发票导入!Y632&amp;""</f>
      </c>
      <c r="AA632">
        <f>[1]发票导入!AA632&amp;""</f>
      </c>
      <c r="AB632">
        <f>[1]发票导入!AB632</f>
        <v>0</v>
      </c>
      <c r="AC632">
        <f>[1]发票导入!AC632</f>
        <v>0</v>
      </c>
      <c r="AE632" s="22">
        <f t="shared" si="0"/>
      </c>
      <c r="AI632">
        <f>[1]发票导入!AI632&amp;""</f>
      </c>
      <c r="AJ632">
        <f>[1]发票导入!AJ632&amp;""</f>
      </c>
      <c r="AK632">
        <f>[1]发票导入!AK632</f>
        <v>0</v>
      </c>
      <c r="AL632">
        <f>[1]发票导入!AL632</f>
        <v>0</v>
      </c>
      <c r="AM632">
        <f>[1]发票导入!AM632</f>
        <v>0</v>
      </c>
      <c r="AN632" s="22">
        <f t="shared" si="1"/>
        <v>0</v>
      </c>
      <c r="AO632" s="22">
        <f t="shared" si="2"/>
        <v>0</v>
      </c>
    </row>
    <row r="633">
      <c r="C633">
        <f>[1]发票导入!C633&amp;""</f>
      </c>
      <c r="D633">
        <f>[1]发票导入!D633&amp;""</f>
      </c>
      <c r="O633">
        <f>[1]发票导入!O633&amp;""</f>
      </c>
      <c r="T633">
        <f>[1]发票导入!T633</f>
      </c>
      <c r="U633">
        <f>[1]发票导入!U633&amp;""</f>
      </c>
      <c r="V633">
        <f>[1]发票导入!V633&amp;""</f>
      </c>
      <c r="W633">
        <f>[1]发票导入!W633&amp;""</f>
      </c>
      <c r="Y633">
        <f>[1]发票导入!Y633&amp;""</f>
      </c>
      <c r="AA633">
        <f>[1]发票导入!AA633&amp;""</f>
      </c>
      <c r="AB633">
        <f>[1]发票导入!AB633</f>
        <v>0</v>
      </c>
      <c r="AC633">
        <f>[1]发票导入!AC633</f>
        <v>0</v>
      </c>
      <c r="AE633" s="22">
        <f t="shared" si="0"/>
      </c>
      <c r="AI633">
        <f>[1]发票导入!AI633&amp;""</f>
      </c>
      <c r="AJ633">
        <f>[1]发票导入!AJ633&amp;""</f>
      </c>
      <c r="AK633">
        <f>[1]发票导入!AK633</f>
        <v>0</v>
      </c>
      <c r="AL633">
        <f>[1]发票导入!AL633</f>
        <v>0</v>
      </c>
      <c r="AM633">
        <f>[1]发票导入!AM633</f>
        <v>0</v>
      </c>
      <c r="AN633" s="22">
        <f t="shared" si="1"/>
        <v>0</v>
      </c>
      <c r="AO633" s="22">
        <f t="shared" si="2"/>
        <v>0</v>
      </c>
    </row>
    <row r="634">
      <c r="C634">
        <f>[1]发票导入!C634&amp;""</f>
      </c>
      <c r="D634">
        <f>[1]发票导入!D634&amp;""</f>
      </c>
      <c r="O634">
        <f>[1]发票导入!O634&amp;""</f>
      </c>
      <c r="T634">
        <f>[1]发票导入!T634</f>
      </c>
      <c r="U634">
        <f>[1]发票导入!U634&amp;""</f>
      </c>
      <c r="V634">
        <f>[1]发票导入!V634&amp;""</f>
      </c>
      <c r="W634">
        <f>[1]发票导入!W634&amp;""</f>
      </c>
      <c r="Y634">
        <f>[1]发票导入!Y634&amp;""</f>
      </c>
      <c r="AA634">
        <f>[1]发票导入!AA634&amp;""</f>
      </c>
      <c r="AB634">
        <f>[1]发票导入!AB634</f>
        <v>0</v>
      </c>
      <c r="AC634">
        <f>[1]发票导入!AC634</f>
        <v>0</v>
      </c>
      <c r="AE634" s="22">
        <f t="shared" si="0"/>
      </c>
      <c r="AI634">
        <f>[1]发票导入!AI634&amp;""</f>
      </c>
      <c r="AJ634">
        <f>[1]发票导入!AJ634&amp;""</f>
      </c>
      <c r="AK634">
        <f>[1]发票导入!AK634</f>
        <v>0</v>
      </c>
      <c r="AL634">
        <f>[1]发票导入!AL634</f>
        <v>0</v>
      </c>
      <c r="AM634">
        <f>[1]发票导入!AM634</f>
        <v>0</v>
      </c>
      <c r="AN634" s="22">
        <f t="shared" si="1"/>
        <v>0</v>
      </c>
      <c r="AO634" s="22">
        <f t="shared" si="2"/>
        <v>0</v>
      </c>
    </row>
    <row r="635">
      <c r="C635">
        <f>[1]发票导入!C635&amp;""</f>
      </c>
      <c r="D635">
        <f>[1]发票导入!D635&amp;""</f>
      </c>
      <c r="O635">
        <f>[1]发票导入!O635&amp;""</f>
      </c>
      <c r="T635">
        <f>[1]发票导入!T635</f>
      </c>
      <c r="U635">
        <f>[1]发票导入!U635&amp;""</f>
      </c>
      <c r="V635">
        <f>[1]发票导入!V635&amp;""</f>
      </c>
      <c r="W635">
        <f>[1]发票导入!W635&amp;""</f>
      </c>
      <c r="Y635">
        <f>[1]发票导入!Y635&amp;""</f>
      </c>
      <c r="AA635">
        <f>[1]发票导入!AA635&amp;""</f>
      </c>
      <c r="AB635">
        <f>[1]发票导入!AB635</f>
        <v>0</v>
      </c>
      <c r="AC635">
        <f>[1]发票导入!AC635</f>
        <v>0</v>
      </c>
      <c r="AE635" s="22">
        <f t="shared" si="0"/>
      </c>
      <c r="AI635">
        <f>[1]发票导入!AI635&amp;""</f>
      </c>
      <c r="AJ635">
        <f>[1]发票导入!AJ635&amp;""</f>
      </c>
      <c r="AK635">
        <f>[1]发票导入!AK635</f>
        <v>0</v>
      </c>
      <c r="AL635">
        <f>[1]发票导入!AL635</f>
        <v>0</v>
      </c>
      <c r="AM635">
        <f>[1]发票导入!AM635</f>
        <v>0</v>
      </c>
      <c r="AN635" s="22">
        <f t="shared" si="1"/>
        <v>0</v>
      </c>
      <c r="AO635" s="22">
        <f t="shared" si="2"/>
        <v>0</v>
      </c>
    </row>
    <row r="636">
      <c r="C636">
        <f>[1]发票导入!C636&amp;""</f>
      </c>
      <c r="D636">
        <f>[1]发票导入!D636&amp;""</f>
      </c>
      <c r="O636">
        <f>[1]发票导入!O636&amp;""</f>
      </c>
      <c r="T636">
        <f>[1]发票导入!T636</f>
      </c>
      <c r="U636">
        <f>[1]发票导入!U636&amp;""</f>
      </c>
      <c r="V636">
        <f>[1]发票导入!V636&amp;""</f>
      </c>
      <c r="W636">
        <f>[1]发票导入!W636&amp;""</f>
      </c>
      <c r="Y636">
        <f>[1]发票导入!Y636&amp;""</f>
      </c>
      <c r="AA636">
        <f>[1]发票导入!AA636&amp;""</f>
      </c>
      <c r="AB636">
        <f>[1]发票导入!AB636</f>
        <v>0</v>
      </c>
      <c r="AC636">
        <f>[1]发票导入!AC636</f>
        <v>0</v>
      </c>
      <c r="AE636" s="22">
        <f t="shared" si="0"/>
      </c>
      <c r="AI636">
        <f>[1]发票导入!AI636&amp;""</f>
      </c>
      <c r="AJ636">
        <f>[1]发票导入!AJ636&amp;""</f>
      </c>
      <c r="AK636">
        <f>[1]发票导入!AK636</f>
        <v>0</v>
      </c>
      <c r="AL636">
        <f>[1]发票导入!AL636</f>
        <v>0</v>
      </c>
      <c r="AM636">
        <f>[1]发票导入!AM636</f>
        <v>0</v>
      </c>
      <c r="AN636" s="22">
        <f t="shared" si="1"/>
        <v>0</v>
      </c>
      <c r="AO636" s="22">
        <f t="shared" si="2"/>
        <v>0</v>
      </c>
    </row>
    <row r="637">
      <c r="C637">
        <f>[1]发票导入!C637&amp;""</f>
      </c>
      <c r="D637">
        <f>[1]发票导入!D637&amp;""</f>
      </c>
      <c r="O637">
        <f>[1]发票导入!O637&amp;""</f>
      </c>
      <c r="T637">
        <f>[1]发票导入!T637</f>
      </c>
      <c r="U637">
        <f>[1]发票导入!U637&amp;""</f>
      </c>
      <c r="V637">
        <f>[1]发票导入!V637&amp;""</f>
      </c>
      <c r="W637">
        <f>[1]发票导入!W637&amp;""</f>
      </c>
      <c r="Y637">
        <f>[1]发票导入!Y637&amp;""</f>
      </c>
      <c r="AA637">
        <f>[1]发票导入!AA637&amp;""</f>
      </c>
      <c r="AB637">
        <f>[1]发票导入!AB637</f>
        <v>0</v>
      </c>
      <c r="AC637">
        <f>[1]发票导入!AC637</f>
        <v>0</v>
      </c>
      <c r="AE637" s="22">
        <f t="shared" si="0"/>
      </c>
      <c r="AI637">
        <f>[1]发票导入!AI637&amp;""</f>
      </c>
      <c r="AJ637">
        <f>[1]发票导入!AJ637&amp;""</f>
      </c>
      <c r="AK637">
        <f>[1]发票导入!AK637</f>
        <v>0</v>
      </c>
      <c r="AL637">
        <f>[1]发票导入!AL637</f>
        <v>0</v>
      </c>
      <c r="AM637">
        <f>[1]发票导入!AM637</f>
        <v>0</v>
      </c>
      <c r="AN637" s="22">
        <f t="shared" si="1"/>
        <v>0</v>
      </c>
      <c r="AO637" s="22">
        <f t="shared" si="2"/>
        <v>0</v>
      </c>
    </row>
    <row r="638">
      <c r="C638">
        <f>[1]发票导入!C638&amp;""</f>
      </c>
      <c r="D638">
        <f>[1]发票导入!D638&amp;""</f>
      </c>
      <c r="O638">
        <f>[1]发票导入!O638&amp;""</f>
      </c>
      <c r="T638">
        <f>[1]发票导入!T638</f>
      </c>
      <c r="U638">
        <f>[1]发票导入!U638&amp;""</f>
      </c>
      <c r="V638">
        <f>[1]发票导入!V638&amp;""</f>
      </c>
      <c r="W638">
        <f>[1]发票导入!W638&amp;""</f>
      </c>
      <c r="Y638">
        <f>[1]发票导入!Y638&amp;""</f>
      </c>
      <c r="AA638">
        <f>[1]发票导入!AA638&amp;""</f>
      </c>
      <c r="AB638">
        <f>[1]发票导入!AB638</f>
        <v>0</v>
      </c>
      <c r="AC638">
        <f>[1]发票导入!AC638</f>
        <v>0</v>
      </c>
      <c r="AE638" s="22">
        <f t="shared" si="0"/>
      </c>
      <c r="AI638">
        <f>[1]发票导入!AI638&amp;""</f>
      </c>
      <c r="AJ638">
        <f>[1]发票导入!AJ638&amp;""</f>
      </c>
      <c r="AK638">
        <f>[1]发票导入!AK638</f>
        <v>0</v>
      </c>
      <c r="AL638">
        <f>[1]发票导入!AL638</f>
        <v>0</v>
      </c>
      <c r="AM638">
        <f>[1]发票导入!AM638</f>
        <v>0</v>
      </c>
      <c r="AN638" s="22">
        <f t="shared" si="1"/>
        <v>0</v>
      </c>
      <c r="AO638" s="22">
        <f t="shared" si="2"/>
        <v>0</v>
      </c>
    </row>
    <row r="639">
      <c r="C639">
        <f>[1]发票导入!C639&amp;""</f>
      </c>
      <c r="D639">
        <f>[1]发票导入!D639&amp;""</f>
      </c>
      <c r="O639">
        <f>[1]发票导入!O639&amp;""</f>
      </c>
      <c r="T639">
        <f>[1]发票导入!T639</f>
      </c>
      <c r="U639">
        <f>[1]发票导入!U639&amp;""</f>
      </c>
      <c r="V639">
        <f>[1]发票导入!V639&amp;""</f>
      </c>
      <c r="W639">
        <f>[1]发票导入!W639&amp;""</f>
      </c>
      <c r="Y639">
        <f>[1]发票导入!Y639&amp;""</f>
      </c>
      <c r="AA639">
        <f>[1]发票导入!AA639&amp;""</f>
      </c>
      <c r="AB639">
        <f>[1]发票导入!AB639</f>
        <v>0</v>
      </c>
      <c r="AC639">
        <f>[1]发票导入!AC639</f>
        <v>0</v>
      </c>
      <c r="AE639" s="22">
        <f t="shared" si="0"/>
      </c>
      <c r="AI639">
        <f>[1]发票导入!AI639&amp;""</f>
      </c>
      <c r="AJ639">
        <f>[1]发票导入!AJ639&amp;""</f>
      </c>
      <c r="AK639">
        <f>[1]发票导入!AK639</f>
        <v>0</v>
      </c>
      <c r="AL639">
        <f>[1]发票导入!AL639</f>
        <v>0</v>
      </c>
      <c r="AM639">
        <f>[1]发票导入!AM639</f>
        <v>0</v>
      </c>
      <c r="AN639" s="22">
        <f t="shared" si="1"/>
        <v>0</v>
      </c>
      <c r="AO639" s="22">
        <f t="shared" si="2"/>
        <v>0</v>
      </c>
    </row>
    <row r="640">
      <c r="C640">
        <f>[1]发票导入!C640&amp;""</f>
      </c>
      <c r="D640">
        <f>[1]发票导入!D640&amp;""</f>
      </c>
      <c r="O640">
        <f>[1]发票导入!O640&amp;""</f>
      </c>
      <c r="T640">
        <f>[1]发票导入!T640</f>
      </c>
      <c r="U640">
        <f>[1]发票导入!U640&amp;""</f>
      </c>
      <c r="V640">
        <f>[1]发票导入!V640&amp;""</f>
      </c>
      <c r="W640">
        <f>[1]发票导入!W640&amp;""</f>
      </c>
      <c r="Y640">
        <f>[1]发票导入!Y640&amp;""</f>
      </c>
      <c r="AA640">
        <f>[1]发票导入!AA640&amp;""</f>
      </c>
      <c r="AB640">
        <f>[1]发票导入!AB640</f>
        <v>0</v>
      </c>
      <c r="AC640">
        <f>[1]发票导入!AC640</f>
        <v>0</v>
      </c>
      <c r="AE640" s="22">
        <f t="shared" si="0"/>
      </c>
      <c r="AI640">
        <f>[1]发票导入!AI640&amp;""</f>
      </c>
      <c r="AJ640">
        <f>[1]发票导入!AJ640&amp;""</f>
      </c>
      <c r="AK640">
        <f>[1]发票导入!AK640</f>
        <v>0</v>
      </c>
      <c r="AL640">
        <f>[1]发票导入!AL640</f>
        <v>0</v>
      </c>
      <c r="AM640">
        <f>[1]发票导入!AM640</f>
        <v>0</v>
      </c>
      <c r="AN640" s="22">
        <f t="shared" si="1"/>
        <v>0</v>
      </c>
      <c r="AO640" s="22">
        <f t="shared" si="2"/>
        <v>0</v>
      </c>
    </row>
    <row r="641">
      <c r="C641">
        <f>[1]发票导入!C641&amp;""</f>
      </c>
      <c r="D641">
        <f>[1]发票导入!D641&amp;""</f>
      </c>
      <c r="O641">
        <f>[1]发票导入!O641&amp;""</f>
      </c>
      <c r="T641">
        <f>[1]发票导入!T641</f>
      </c>
      <c r="U641">
        <f>[1]发票导入!U641&amp;""</f>
      </c>
      <c r="V641">
        <f>[1]发票导入!V641&amp;""</f>
      </c>
      <c r="W641">
        <f>[1]发票导入!W641&amp;""</f>
      </c>
      <c r="Y641">
        <f>[1]发票导入!Y641&amp;""</f>
      </c>
      <c r="AA641">
        <f>[1]发票导入!AA641&amp;""</f>
      </c>
      <c r="AB641">
        <f>[1]发票导入!AB641</f>
        <v>0</v>
      </c>
      <c r="AC641">
        <f>[1]发票导入!AC641</f>
        <v>0</v>
      </c>
      <c r="AE641" s="22">
        <f t="shared" si="0"/>
      </c>
      <c r="AI641">
        <f>[1]发票导入!AI641&amp;""</f>
      </c>
      <c r="AJ641">
        <f>[1]发票导入!AJ641&amp;""</f>
      </c>
      <c r="AK641">
        <f>[1]发票导入!AK641</f>
        <v>0</v>
      </c>
      <c r="AL641">
        <f>[1]发票导入!AL641</f>
        <v>0</v>
      </c>
      <c r="AM641">
        <f>[1]发票导入!AM641</f>
        <v>0</v>
      </c>
      <c r="AN641" s="22">
        <f t="shared" si="1"/>
        <v>0</v>
      </c>
      <c r="AO641" s="22">
        <f t="shared" si="2"/>
        <v>0</v>
      </c>
    </row>
    <row r="642">
      <c r="C642">
        <f>[1]发票导入!C642&amp;""</f>
      </c>
      <c r="D642">
        <f>[1]发票导入!D642&amp;""</f>
      </c>
      <c r="O642">
        <f>[1]发票导入!O642&amp;""</f>
      </c>
      <c r="T642">
        <f>[1]发票导入!T642</f>
      </c>
      <c r="U642">
        <f>[1]发票导入!U642&amp;""</f>
      </c>
      <c r="V642">
        <f>[1]发票导入!V642&amp;""</f>
      </c>
      <c r="W642">
        <f>[1]发票导入!W642&amp;""</f>
      </c>
      <c r="Y642">
        <f>[1]发票导入!Y642&amp;""</f>
      </c>
      <c r="AA642">
        <f>[1]发票导入!AA642&amp;""</f>
      </c>
      <c r="AB642">
        <f>[1]发票导入!AB642</f>
        <v>0</v>
      </c>
      <c r="AC642">
        <f>[1]发票导入!AC642</f>
        <v>0</v>
      </c>
      <c r="AE642" s="22">
        <f t="shared" si="0"/>
      </c>
      <c r="AI642">
        <f>[1]发票导入!AI642&amp;""</f>
      </c>
      <c r="AJ642">
        <f>[1]发票导入!AJ642&amp;""</f>
      </c>
      <c r="AK642">
        <f>[1]发票导入!AK642</f>
        <v>0</v>
      </c>
      <c r="AL642">
        <f>[1]发票导入!AL642</f>
        <v>0</v>
      </c>
      <c r="AM642">
        <f>[1]发票导入!AM642</f>
        <v>0</v>
      </c>
      <c r="AN642" s="22">
        <f t="shared" si="1"/>
        <v>0</v>
      </c>
      <c r="AO642" s="22">
        <f t="shared" si="2"/>
        <v>0</v>
      </c>
    </row>
    <row r="643">
      <c r="C643">
        <f>[1]发票导入!C643&amp;""</f>
      </c>
      <c r="D643">
        <f>[1]发票导入!D643&amp;""</f>
      </c>
      <c r="O643">
        <f>[1]发票导入!O643&amp;""</f>
      </c>
      <c r="T643">
        <f>[1]发票导入!T643</f>
      </c>
      <c r="U643">
        <f>[1]发票导入!U643&amp;""</f>
      </c>
      <c r="V643">
        <f>[1]发票导入!V643&amp;""</f>
      </c>
      <c r="W643">
        <f>[1]发票导入!W643&amp;""</f>
      </c>
      <c r="Y643">
        <f>[1]发票导入!Y643&amp;""</f>
      </c>
      <c r="AA643">
        <f>[1]发票导入!AA643&amp;""</f>
      </c>
      <c r="AB643">
        <f>[1]发票导入!AB643</f>
        <v>0</v>
      </c>
      <c r="AC643">
        <f>[1]发票导入!AC643</f>
        <v>0</v>
      </c>
      <c r="AE643" s="22">
        <f t="shared" si="0"/>
      </c>
      <c r="AI643">
        <f>[1]发票导入!AI643&amp;""</f>
      </c>
      <c r="AJ643">
        <f>[1]发票导入!AJ643&amp;""</f>
      </c>
      <c r="AK643">
        <f>[1]发票导入!AK643</f>
        <v>0</v>
      </c>
      <c r="AL643">
        <f>[1]发票导入!AL643</f>
        <v>0</v>
      </c>
      <c r="AM643">
        <f>[1]发票导入!AM643</f>
        <v>0</v>
      </c>
      <c r="AN643" s="22">
        <f t="shared" si="1"/>
        <v>0</v>
      </c>
      <c r="AO643" s="22">
        <f t="shared" si="2"/>
        <v>0</v>
      </c>
    </row>
    <row r="644">
      <c r="C644">
        <f>[1]发票导入!C644&amp;""</f>
      </c>
      <c r="D644">
        <f>[1]发票导入!D644&amp;""</f>
      </c>
      <c r="O644">
        <f>[1]发票导入!O644&amp;""</f>
      </c>
      <c r="T644">
        <f>[1]发票导入!T644</f>
      </c>
      <c r="U644">
        <f>[1]发票导入!U644&amp;""</f>
      </c>
      <c r="V644">
        <f>[1]发票导入!V644&amp;""</f>
      </c>
      <c r="W644">
        <f>[1]发票导入!W644&amp;""</f>
      </c>
      <c r="Y644">
        <f>[1]发票导入!Y644&amp;""</f>
      </c>
      <c r="AA644">
        <f>[1]发票导入!AA644&amp;""</f>
      </c>
      <c r="AB644">
        <f>[1]发票导入!AB644</f>
        <v>0</v>
      </c>
      <c r="AC644">
        <f>[1]发票导入!AC644</f>
        <v>0</v>
      </c>
      <c r="AE644" s="22">
        <f t="shared" si="0"/>
      </c>
      <c r="AI644">
        <f>[1]发票导入!AI644&amp;""</f>
      </c>
      <c r="AJ644">
        <f>[1]发票导入!AJ644&amp;""</f>
      </c>
      <c r="AK644">
        <f>[1]发票导入!AK644</f>
        <v>0</v>
      </c>
      <c r="AL644">
        <f>[1]发票导入!AL644</f>
        <v>0</v>
      </c>
      <c r="AM644">
        <f>[1]发票导入!AM644</f>
        <v>0</v>
      </c>
      <c r="AN644" s="22">
        <f t="shared" si="1"/>
        <v>0</v>
      </c>
      <c r="AO644" s="22">
        <f t="shared" si="2"/>
        <v>0</v>
      </c>
    </row>
    <row r="645">
      <c r="C645">
        <f>[1]发票导入!C645&amp;""</f>
      </c>
      <c r="D645">
        <f>[1]发票导入!D645&amp;""</f>
      </c>
      <c r="O645">
        <f>[1]发票导入!O645&amp;""</f>
      </c>
      <c r="T645">
        <f>[1]发票导入!T645</f>
      </c>
      <c r="U645">
        <f>[1]发票导入!U645&amp;""</f>
      </c>
      <c r="V645">
        <f>[1]发票导入!V645&amp;""</f>
      </c>
      <c r="W645">
        <f>[1]发票导入!W645&amp;""</f>
      </c>
      <c r="Y645">
        <f>[1]发票导入!Y645&amp;""</f>
      </c>
      <c r="AA645">
        <f>[1]发票导入!AA645&amp;""</f>
      </c>
      <c r="AB645">
        <f>[1]发票导入!AB645</f>
        <v>0</v>
      </c>
      <c r="AC645">
        <f>[1]发票导入!AC645</f>
        <v>0</v>
      </c>
      <c r="AE645" s="22">
        <f t="shared" si="0"/>
      </c>
      <c r="AI645">
        <f>[1]发票导入!AI645&amp;""</f>
      </c>
      <c r="AJ645">
        <f>[1]发票导入!AJ645&amp;""</f>
      </c>
      <c r="AK645">
        <f>[1]发票导入!AK645</f>
        <v>0</v>
      </c>
      <c r="AL645">
        <f>[1]发票导入!AL645</f>
        <v>0</v>
      </c>
      <c r="AM645">
        <f>[1]发票导入!AM645</f>
        <v>0</v>
      </c>
      <c r="AN645" s="22">
        <f t="shared" si="1"/>
        <v>0</v>
      </c>
      <c r="AO645" s="22">
        <f t="shared" si="2"/>
        <v>0</v>
      </c>
    </row>
    <row r="646">
      <c r="C646">
        <f>[1]发票导入!C646&amp;""</f>
      </c>
      <c r="D646">
        <f>[1]发票导入!D646&amp;""</f>
      </c>
      <c r="O646">
        <f>[1]发票导入!O646&amp;""</f>
      </c>
      <c r="T646">
        <f>[1]发票导入!T646</f>
      </c>
      <c r="U646">
        <f>[1]发票导入!U646&amp;""</f>
      </c>
      <c r="V646">
        <f>[1]发票导入!V646&amp;""</f>
      </c>
      <c r="W646">
        <f>[1]发票导入!W646&amp;""</f>
      </c>
      <c r="Y646">
        <f>[1]发票导入!Y646&amp;""</f>
      </c>
      <c r="AA646">
        <f>[1]发票导入!AA646&amp;""</f>
      </c>
      <c r="AB646">
        <f>[1]发票导入!AB646</f>
        <v>0</v>
      </c>
      <c r="AC646">
        <f>[1]发票导入!AC646</f>
        <v>0</v>
      </c>
      <c r="AE646" s="22">
        <f t="shared" si="0"/>
      </c>
      <c r="AI646">
        <f>[1]发票导入!AI646&amp;""</f>
      </c>
      <c r="AJ646">
        <f>[1]发票导入!AJ646&amp;""</f>
      </c>
      <c r="AK646">
        <f>[1]发票导入!AK646</f>
        <v>0</v>
      </c>
      <c r="AL646">
        <f>[1]发票导入!AL646</f>
        <v>0</v>
      </c>
      <c r="AM646">
        <f>[1]发票导入!AM646</f>
        <v>0</v>
      </c>
      <c r="AN646" s="22">
        <f t="shared" si="1"/>
        <v>0</v>
      </c>
      <c r="AO646" s="22">
        <f t="shared" si="2"/>
        <v>0</v>
      </c>
    </row>
    <row r="647">
      <c r="C647">
        <f>[1]发票导入!C647&amp;""</f>
      </c>
      <c r="D647">
        <f>[1]发票导入!D647&amp;""</f>
      </c>
      <c r="O647">
        <f>[1]发票导入!O647&amp;""</f>
      </c>
      <c r="T647">
        <f>[1]发票导入!T647</f>
      </c>
      <c r="U647">
        <f>[1]发票导入!U647&amp;""</f>
      </c>
      <c r="V647">
        <f>[1]发票导入!V647&amp;""</f>
      </c>
      <c r="W647">
        <f>[1]发票导入!W647&amp;""</f>
      </c>
      <c r="Y647">
        <f>[1]发票导入!Y647&amp;""</f>
      </c>
      <c r="AA647">
        <f>[1]发票导入!AA647&amp;""</f>
      </c>
      <c r="AB647">
        <f>[1]发票导入!AB647</f>
        <v>0</v>
      </c>
      <c r="AC647">
        <f>[1]发票导入!AC647</f>
        <v>0</v>
      </c>
      <c r="AE647" s="22">
        <f t="shared" si="0"/>
      </c>
      <c r="AI647">
        <f>[1]发票导入!AI647&amp;""</f>
      </c>
      <c r="AJ647">
        <f>[1]发票导入!AJ647&amp;""</f>
      </c>
      <c r="AK647">
        <f>[1]发票导入!AK647</f>
        <v>0</v>
      </c>
      <c r="AL647">
        <f>[1]发票导入!AL647</f>
        <v>0</v>
      </c>
      <c r="AM647">
        <f>[1]发票导入!AM647</f>
        <v>0</v>
      </c>
      <c r="AN647" s="22">
        <f t="shared" si="1"/>
        <v>0</v>
      </c>
      <c r="AO647" s="22">
        <f t="shared" si="2"/>
        <v>0</v>
      </c>
    </row>
    <row r="648">
      <c r="C648">
        <f>[1]发票导入!C648&amp;""</f>
      </c>
      <c r="D648">
        <f>[1]发票导入!D648&amp;""</f>
      </c>
      <c r="O648">
        <f>[1]发票导入!O648&amp;""</f>
      </c>
      <c r="T648">
        <f>[1]发票导入!T648</f>
      </c>
      <c r="U648">
        <f>[1]发票导入!U648&amp;""</f>
      </c>
      <c r="V648">
        <f>[1]发票导入!V648&amp;""</f>
      </c>
      <c r="W648">
        <f>[1]发票导入!W648&amp;""</f>
      </c>
      <c r="Y648">
        <f>[1]发票导入!Y648&amp;""</f>
      </c>
      <c r="AA648">
        <f>[1]发票导入!AA648&amp;""</f>
      </c>
      <c r="AB648">
        <f>[1]发票导入!AB648</f>
        <v>0</v>
      </c>
      <c r="AC648">
        <f>[1]发票导入!AC648</f>
        <v>0</v>
      </c>
      <c r="AE648" s="22">
        <f t="shared" si="0"/>
      </c>
      <c r="AI648">
        <f>[1]发票导入!AI648&amp;""</f>
      </c>
      <c r="AJ648">
        <f>[1]发票导入!AJ648&amp;""</f>
      </c>
      <c r="AK648">
        <f>[1]发票导入!AK648</f>
        <v>0</v>
      </c>
      <c r="AL648">
        <f>[1]发票导入!AL648</f>
        <v>0</v>
      </c>
      <c r="AM648">
        <f>[1]发票导入!AM648</f>
        <v>0</v>
      </c>
      <c r="AN648" s="22">
        <f t="shared" si="1"/>
        <v>0</v>
      </c>
      <c r="AO648" s="22">
        <f t="shared" si="2"/>
        <v>0</v>
      </c>
    </row>
    <row r="649">
      <c r="C649">
        <f>[1]发票导入!C649&amp;""</f>
      </c>
      <c r="D649">
        <f>[1]发票导入!D649&amp;""</f>
      </c>
      <c r="O649">
        <f>[1]发票导入!O649&amp;""</f>
      </c>
      <c r="T649">
        <f>[1]发票导入!T649</f>
      </c>
      <c r="U649">
        <f>[1]发票导入!U649&amp;""</f>
      </c>
      <c r="V649">
        <f>[1]发票导入!V649&amp;""</f>
      </c>
      <c r="W649">
        <f>[1]发票导入!W649&amp;""</f>
      </c>
      <c r="Y649">
        <f>[1]发票导入!Y649&amp;""</f>
      </c>
      <c r="AA649">
        <f>[1]发票导入!AA649&amp;""</f>
      </c>
      <c r="AB649">
        <f>[1]发票导入!AB649</f>
        <v>0</v>
      </c>
      <c r="AC649">
        <f>[1]发票导入!AC649</f>
        <v>0</v>
      </c>
      <c r="AE649" s="22">
        <f t="shared" si="0"/>
      </c>
      <c r="AI649">
        <f>[1]发票导入!AI649&amp;""</f>
      </c>
      <c r="AJ649">
        <f>[1]发票导入!AJ649&amp;""</f>
      </c>
      <c r="AK649">
        <f>[1]发票导入!AK649</f>
        <v>0</v>
      </c>
      <c r="AL649">
        <f>[1]发票导入!AL649</f>
        <v>0</v>
      </c>
      <c r="AM649">
        <f>[1]发票导入!AM649</f>
        <v>0</v>
      </c>
      <c r="AN649" s="22">
        <f t="shared" si="1"/>
        <v>0</v>
      </c>
      <c r="AO649" s="22">
        <f t="shared" si="2"/>
        <v>0</v>
      </c>
    </row>
    <row r="650">
      <c r="C650">
        <f>[1]发票导入!C650&amp;""</f>
      </c>
      <c r="D650">
        <f>[1]发票导入!D650&amp;""</f>
      </c>
      <c r="O650">
        <f>[1]发票导入!O650&amp;""</f>
      </c>
      <c r="T650">
        <f>[1]发票导入!T650</f>
      </c>
      <c r="U650">
        <f>[1]发票导入!U650&amp;""</f>
      </c>
      <c r="V650">
        <f>[1]发票导入!V650&amp;""</f>
      </c>
      <c r="W650">
        <f>[1]发票导入!W650&amp;""</f>
      </c>
      <c r="Y650">
        <f>[1]发票导入!Y650&amp;""</f>
      </c>
      <c r="AA650">
        <f>[1]发票导入!AA650&amp;""</f>
      </c>
      <c r="AB650">
        <f>[1]发票导入!AB650</f>
        <v>0</v>
      </c>
      <c r="AC650">
        <f>[1]发票导入!AC650</f>
        <v>0</v>
      </c>
      <c r="AE650" s="22">
        <f t="shared" si="0"/>
      </c>
      <c r="AI650">
        <f>[1]发票导入!AI650&amp;""</f>
      </c>
      <c r="AJ650">
        <f>[1]发票导入!AJ650&amp;""</f>
      </c>
      <c r="AK650">
        <f>[1]发票导入!AK650</f>
        <v>0</v>
      </c>
      <c r="AL650">
        <f>[1]发票导入!AL650</f>
        <v>0</v>
      </c>
      <c r="AM650">
        <f>[1]发票导入!AM650</f>
        <v>0</v>
      </c>
      <c r="AN650" s="22">
        <f t="shared" si="1"/>
        <v>0</v>
      </c>
      <c r="AO650" s="22">
        <f t="shared" si="2"/>
        <v>0</v>
      </c>
    </row>
    <row r="651">
      <c r="C651">
        <f>[1]发票导入!C651&amp;""</f>
      </c>
      <c r="D651">
        <f>[1]发票导入!D651&amp;""</f>
      </c>
      <c r="O651">
        <f>[1]发票导入!O651&amp;""</f>
      </c>
      <c r="T651">
        <f>[1]发票导入!T651</f>
      </c>
      <c r="U651">
        <f>[1]发票导入!U651&amp;""</f>
      </c>
      <c r="V651">
        <f>[1]发票导入!V651&amp;""</f>
      </c>
      <c r="W651">
        <f>[1]发票导入!W651&amp;""</f>
      </c>
      <c r="Y651">
        <f>[1]发票导入!Y651&amp;""</f>
      </c>
      <c r="AA651">
        <f>[1]发票导入!AA651&amp;""</f>
      </c>
      <c r="AB651">
        <f>[1]发票导入!AB651</f>
        <v>0</v>
      </c>
      <c r="AC651">
        <f>[1]发票导入!AC651</f>
        <v>0</v>
      </c>
      <c r="AE651" s="22">
        <f t="shared" si="0"/>
      </c>
      <c r="AI651">
        <f>[1]发票导入!AI651&amp;""</f>
      </c>
      <c r="AJ651">
        <f>[1]发票导入!AJ651&amp;""</f>
      </c>
      <c r="AK651">
        <f>[1]发票导入!AK651</f>
        <v>0</v>
      </c>
      <c r="AL651">
        <f>[1]发票导入!AL651</f>
        <v>0</v>
      </c>
      <c r="AM651">
        <f>[1]发票导入!AM651</f>
        <v>0</v>
      </c>
      <c r="AN651" s="22">
        <f t="shared" si="1"/>
        <v>0</v>
      </c>
      <c r="AO651" s="22">
        <f t="shared" si="2"/>
        <v>0</v>
      </c>
    </row>
    <row r="652">
      <c r="C652">
        <f>[1]发票导入!C652&amp;""</f>
      </c>
      <c r="D652">
        <f>[1]发票导入!D652&amp;""</f>
      </c>
      <c r="O652">
        <f>[1]发票导入!O652&amp;""</f>
      </c>
      <c r="T652">
        <f>[1]发票导入!T652</f>
      </c>
      <c r="U652">
        <f>[1]发票导入!U652&amp;""</f>
      </c>
      <c r="V652">
        <f>[1]发票导入!V652&amp;""</f>
      </c>
      <c r="W652">
        <f>[1]发票导入!W652&amp;""</f>
      </c>
      <c r="Y652">
        <f>[1]发票导入!Y652&amp;""</f>
      </c>
      <c r="AA652">
        <f>[1]发票导入!AA652&amp;""</f>
      </c>
      <c r="AB652">
        <f>[1]发票导入!AB652</f>
        <v>0</v>
      </c>
      <c r="AC652">
        <f>[1]发票导入!AC652</f>
        <v>0</v>
      </c>
      <c r="AE652" s="22">
        <f t="shared" si="0"/>
      </c>
      <c r="AI652">
        <f>[1]发票导入!AI652&amp;""</f>
      </c>
      <c r="AJ652">
        <f>[1]发票导入!AJ652&amp;""</f>
      </c>
      <c r="AK652">
        <f>[1]发票导入!AK652</f>
        <v>0</v>
      </c>
      <c r="AL652">
        <f>[1]发票导入!AL652</f>
        <v>0</v>
      </c>
      <c r="AM652">
        <f>[1]发票导入!AM652</f>
        <v>0</v>
      </c>
      <c r="AN652" s="22">
        <f t="shared" si="1"/>
        <v>0</v>
      </c>
      <c r="AO652" s="22">
        <f t="shared" si="2"/>
        <v>0</v>
      </c>
    </row>
    <row r="653">
      <c r="C653">
        <f>[1]发票导入!C653&amp;""</f>
      </c>
      <c r="D653">
        <f>[1]发票导入!D653&amp;""</f>
      </c>
      <c r="O653">
        <f>[1]发票导入!O653&amp;""</f>
      </c>
      <c r="T653">
        <f>[1]发票导入!T653</f>
      </c>
      <c r="U653">
        <f>[1]发票导入!U653&amp;""</f>
      </c>
      <c r="V653">
        <f>[1]发票导入!V653&amp;""</f>
      </c>
      <c r="W653">
        <f>[1]发票导入!W653&amp;""</f>
      </c>
      <c r="Y653">
        <f>[1]发票导入!Y653&amp;""</f>
      </c>
      <c r="AA653">
        <f>[1]发票导入!AA653&amp;""</f>
      </c>
      <c r="AB653">
        <f>[1]发票导入!AB653</f>
        <v>0</v>
      </c>
      <c r="AC653">
        <f>[1]发票导入!AC653</f>
        <v>0</v>
      </c>
      <c r="AE653" s="22">
        <f t="shared" si="0"/>
      </c>
      <c r="AI653">
        <f>[1]发票导入!AI653&amp;""</f>
      </c>
      <c r="AJ653">
        <f>[1]发票导入!AJ653&amp;""</f>
      </c>
      <c r="AK653">
        <f>[1]发票导入!AK653</f>
        <v>0</v>
      </c>
      <c r="AL653">
        <f>[1]发票导入!AL653</f>
        <v>0</v>
      </c>
      <c r="AM653">
        <f>[1]发票导入!AM653</f>
        <v>0</v>
      </c>
      <c r="AN653" s="22">
        <f t="shared" si="1"/>
        <v>0</v>
      </c>
      <c r="AO653" s="22">
        <f t="shared" si="2"/>
        <v>0</v>
      </c>
    </row>
    <row r="654">
      <c r="C654">
        <f>[1]发票导入!C654&amp;""</f>
      </c>
      <c r="D654">
        <f>[1]发票导入!D654&amp;""</f>
      </c>
      <c r="O654">
        <f>[1]发票导入!O654&amp;""</f>
      </c>
      <c r="T654">
        <f>[1]发票导入!T654</f>
      </c>
      <c r="U654">
        <f>[1]发票导入!U654&amp;""</f>
      </c>
      <c r="V654">
        <f>[1]发票导入!V654&amp;""</f>
      </c>
      <c r="W654">
        <f>[1]发票导入!W654&amp;""</f>
      </c>
      <c r="Y654">
        <f>[1]发票导入!Y654&amp;""</f>
      </c>
      <c r="AA654">
        <f>[1]发票导入!AA654&amp;""</f>
      </c>
      <c r="AB654">
        <f>[1]发票导入!AB654</f>
        <v>0</v>
      </c>
      <c r="AC654">
        <f>[1]发票导入!AC654</f>
        <v>0</v>
      </c>
      <c r="AE654" s="22">
        <f t="shared" si="0"/>
      </c>
      <c r="AI654">
        <f>[1]发票导入!AI654&amp;""</f>
      </c>
      <c r="AJ654">
        <f>[1]发票导入!AJ654&amp;""</f>
      </c>
      <c r="AK654">
        <f>[1]发票导入!AK654</f>
        <v>0</v>
      </c>
      <c r="AL654">
        <f>[1]发票导入!AL654</f>
        <v>0</v>
      </c>
      <c r="AM654">
        <f>[1]发票导入!AM654</f>
        <v>0</v>
      </c>
      <c r="AN654" s="22">
        <f t="shared" si="1"/>
        <v>0</v>
      </c>
      <c r="AO654" s="22">
        <f t="shared" si="2"/>
        <v>0</v>
      </c>
    </row>
    <row r="655">
      <c r="C655">
        <f>[1]发票导入!C655&amp;""</f>
      </c>
      <c r="D655">
        <f>[1]发票导入!D655&amp;""</f>
      </c>
      <c r="O655">
        <f>[1]发票导入!O655&amp;""</f>
      </c>
      <c r="T655">
        <f>[1]发票导入!T655</f>
      </c>
      <c r="U655">
        <f>[1]发票导入!U655&amp;""</f>
      </c>
      <c r="V655">
        <f>[1]发票导入!V655&amp;""</f>
      </c>
      <c r="W655">
        <f>[1]发票导入!W655&amp;""</f>
      </c>
      <c r="Y655">
        <f>[1]发票导入!Y655&amp;""</f>
      </c>
      <c r="AA655">
        <f>[1]发票导入!AA655&amp;""</f>
      </c>
      <c r="AB655">
        <f>[1]发票导入!AB655</f>
        <v>0</v>
      </c>
      <c r="AC655">
        <f>[1]发票导入!AC655</f>
        <v>0</v>
      </c>
      <c r="AE655" s="22">
        <f t="shared" si="0"/>
      </c>
      <c r="AI655">
        <f>[1]发票导入!AI655&amp;""</f>
      </c>
      <c r="AJ655">
        <f>[1]发票导入!AJ655&amp;""</f>
      </c>
      <c r="AK655">
        <f>[1]发票导入!AK655</f>
        <v>0</v>
      </c>
      <c r="AL655">
        <f>[1]发票导入!AL655</f>
        <v>0</v>
      </c>
      <c r="AM655">
        <f>[1]发票导入!AM655</f>
        <v>0</v>
      </c>
      <c r="AN655" s="22">
        <f t="shared" si="1"/>
        <v>0</v>
      </c>
      <c r="AO655" s="22">
        <f t="shared" si="2"/>
        <v>0</v>
      </c>
    </row>
    <row r="656">
      <c r="C656">
        <f>[1]发票导入!C656&amp;""</f>
      </c>
      <c r="D656">
        <f>[1]发票导入!D656&amp;""</f>
      </c>
      <c r="O656">
        <f>[1]发票导入!O656&amp;""</f>
      </c>
      <c r="T656">
        <f>[1]发票导入!T656</f>
      </c>
      <c r="U656">
        <f>[1]发票导入!U656&amp;""</f>
      </c>
      <c r="V656">
        <f>[1]发票导入!V656&amp;""</f>
      </c>
      <c r="W656">
        <f>[1]发票导入!W656&amp;""</f>
      </c>
      <c r="Y656">
        <f>[1]发票导入!Y656&amp;""</f>
      </c>
      <c r="AA656">
        <f>[1]发票导入!AA656&amp;""</f>
      </c>
      <c r="AB656">
        <f>[1]发票导入!AB656</f>
        <v>0</v>
      </c>
      <c r="AC656">
        <f>[1]发票导入!AC656</f>
        <v>0</v>
      </c>
      <c r="AE656" s="22">
        <f t="shared" si="0"/>
      </c>
      <c r="AI656">
        <f>[1]发票导入!AI656&amp;""</f>
      </c>
      <c r="AJ656">
        <f>[1]发票导入!AJ656&amp;""</f>
      </c>
      <c r="AK656">
        <f>[1]发票导入!AK656</f>
        <v>0</v>
      </c>
      <c r="AL656">
        <f>[1]发票导入!AL656</f>
        <v>0</v>
      </c>
      <c r="AM656">
        <f>[1]发票导入!AM656</f>
        <v>0</v>
      </c>
      <c r="AN656" s="22">
        <f t="shared" si="1"/>
        <v>0</v>
      </c>
      <c r="AO656" s="22">
        <f t="shared" si="2"/>
        <v>0</v>
      </c>
    </row>
    <row r="657">
      <c r="C657">
        <f>[1]发票导入!C657&amp;""</f>
      </c>
      <c r="D657">
        <f>[1]发票导入!D657&amp;""</f>
      </c>
      <c r="O657">
        <f>[1]发票导入!O657&amp;""</f>
      </c>
      <c r="T657">
        <f>[1]发票导入!T657</f>
      </c>
      <c r="U657">
        <f>[1]发票导入!U657&amp;""</f>
      </c>
      <c r="V657">
        <f>[1]发票导入!V657&amp;""</f>
      </c>
      <c r="W657">
        <f>[1]发票导入!W657&amp;""</f>
      </c>
      <c r="Y657">
        <f>[1]发票导入!Y657&amp;""</f>
      </c>
      <c r="AA657">
        <f>[1]发票导入!AA657&amp;""</f>
      </c>
      <c r="AB657">
        <f>[1]发票导入!AB657</f>
        <v>0</v>
      </c>
      <c r="AC657">
        <f>[1]发票导入!AC657</f>
        <v>0</v>
      </c>
      <c r="AE657" s="22">
        <f t="shared" si="0"/>
      </c>
      <c r="AI657">
        <f>[1]发票导入!AI657&amp;""</f>
      </c>
      <c r="AJ657">
        <f>[1]发票导入!AJ657&amp;""</f>
      </c>
      <c r="AK657">
        <f>[1]发票导入!AK657</f>
        <v>0</v>
      </c>
      <c r="AL657">
        <f>[1]发票导入!AL657</f>
        <v>0</v>
      </c>
      <c r="AM657">
        <f>[1]发票导入!AM657</f>
        <v>0</v>
      </c>
      <c r="AN657" s="22">
        <f t="shared" si="1"/>
        <v>0</v>
      </c>
      <c r="AO657" s="22">
        <f t="shared" si="2"/>
        <v>0</v>
      </c>
    </row>
    <row r="658">
      <c r="C658">
        <f>[1]发票导入!C658&amp;""</f>
      </c>
      <c r="D658">
        <f>[1]发票导入!D658&amp;""</f>
      </c>
      <c r="O658">
        <f>[1]发票导入!O658&amp;""</f>
      </c>
      <c r="T658">
        <f>[1]发票导入!T658</f>
      </c>
      <c r="U658">
        <f>[1]发票导入!U658&amp;""</f>
      </c>
      <c r="V658">
        <f>[1]发票导入!V658&amp;""</f>
      </c>
      <c r="W658">
        <f>[1]发票导入!W658&amp;""</f>
      </c>
      <c r="Y658">
        <f>[1]发票导入!Y658&amp;""</f>
      </c>
      <c r="AA658">
        <f>[1]发票导入!AA658&amp;""</f>
      </c>
      <c r="AB658">
        <f>[1]发票导入!AB658</f>
        <v>0</v>
      </c>
      <c r="AC658">
        <f>[1]发票导入!AC658</f>
        <v>0</v>
      </c>
      <c r="AE658" s="22">
        <f t="shared" si="0"/>
      </c>
      <c r="AI658">
        <f>[1]发票导入!AI658&amp;""</f>
      </c>
      <c r="AJ658">
        <f>[1]发票导入!AJ658&amp;""</f>
      </c>
      <c r="AK658">
        <f>[1]发票导入!AK658</f>
        <v>0</v>
      </c>
      <c r="AL658">
        <f>[1]发票导入!AL658</f>
        <v>0</v>
      </c>
      <c r="AM658">
        <f>[1]发票导入!AM658</f>
        <v>0</v>
      </c>
      <c r="AN658" s="22">
        <f t="shared" si="1"/>
        <v>0</v>
      </c>
      <c r="AO658" s="22">
        <f t="shared" si="2"/>
        <v>0</v>
      </c>
    </row>
    <row r="659">
      <c r="C659">
        <f>[1]发票导入!C659&amp;""</f>
      </c>
      <c r="D659">
        <f>[1]发票导入!D659&amp;""</f>
      </c>
      <c r="O659">
        <f>[1]发票导入!O659&amp;""</f>
      </c>
      <c r="T659">
        <f>[1]发票导入!T659</f>
      </c>
      <c r="U659">
        <f>[1]发票导入!U659&amp;""</f>
      </c>
      <c r="V659">
        <f>[1]发票导入!V659&amp;""</f>
      </c>
      <c r="W659">
        <f>[1]发票导入!W659&amp;""</f>
      </c>
      <c r="Y659">
        <f>[1]发票导入!Y659&amp;""</f>
      </c>
      <c r="AA659">
        <f>[1]发票导入!AA659&amp;""</f>
      </c>
      <c r="AB659">
        <f>[1]发票导入!AB659</f>
        <v>0</v>
      </c>
      <c r="AC659">
        <f>[1]发票导入!AC659</f>
        <v>0</v>
      </c>
      <c r="AE659" s="22">
        <f t="shared" si="0"/>
      </c>
      <c r="AI659">
        <f>[1]发票导入!AI659&amp;""</f>
      </c>
      <c r="AJ659">
        <f>[1]发票导入!AJ659&amp;""</f>
      </c>
      <c r="AK659">
        <f>[1]发票导入!AK659</f>
        <v>0</v>
      </c>
      <c r="AL659">
        <f>[1]发票导入!AL659</f>
        <v>0</v>
      </c>
      <c r="AM659">
        <f>[1]发票导入!AM659</f>
        <v>0</v>
      </c>
      <c r="AN659" s="22">
        <f t="shared" si="1"/>
        <v>0</v>
      </c>
      <c r="AO659" s="22">
        <f t="shared" si="2"/>
        <v>0</v>
      </c>
    </row>
    <row r="660">
      <c r="C660">
        <f>[1]发票导入!C660&amp;""</f>
      </c>
      <c r="D660">
        <f>[1]发票导入!D660&amp;""</f>
      </c>
      <c r="O660">
        <f>[1]发票导入!O660&amp;""</f>
      </c>
      <c r="T660">
        <f>[1]发票导入!T660</f>
      </c>
      <c r="U660">
        <f>[1]发票导入!U660&amp;""</f>
      </c>
      <c r="V660">
        <f>[1]发票导入!V660&amp;""</f>
      </c>
      <c r="W660">
        <f>[1]发票导入!W660&amp;""</f>
      </c>
      <c r="Y660">
        <f>[1]发票导入!Y660&amp;""</f>
      </c>
      <c r="AA660">
        <f>[1]发票导入!AA660&amp;""</f>
      </c>
      <c r="AB660">
        <f>[1]发票导入!AB660</f>
        <v>0</v>
      </c>
      <c r="AC660">
        <f>[1]发票导入!AC660</f>
        <v>0</v>
      </c>
      <c r="AE660" s="22">
        <f t="shared" si="0"/>
      </c>
      <c r="AI660">
        <f>[1]发票导入!AI660&amp;""</f>
      </c>
      <c r="AJ660">
        <f>[1]发票导入!AJ660&amp;""</f>
      </c>
      <c r="AK660">
        <f>[1]发票导入!AK660</f>
        <v>0</v>
      </c>
      <c r="AL660">
        <f>[1]发票导入!AL660</f>
        <v>0</v>
      </c>
      <c r="AM660">
        <f>[1]发票导入!AM660</f>
        <v>0</v>
      </c>
      <c r="AN660" s="22">
        <f t="shared" si="1"/>
        <v>0</v>
      </c>
      <c r="AO660" s="22">
        <f t="shared" si="2"/>
        <v>0</v>
      </c>
    </row>
    <row r="661">
      <c r="C661">
        <f>[1]发票导入!C661&amp;""</f>
      </c>
      <c r="D661">
        <f>[1]发票导入!D661&amp;""</f>
      </c>
      <c r="O661">
        <f>[1]发票导入!O661&amp;""</f>
      </c>
      <c r="T661">
        <f>[1]发票导入!T661</f>
      </c>
      <c r="U661">
        <f>[1]发票导入!U661&amp;""</f>
      </c>
      <c r="V661">
        <f>[1]发票导入!V661&amp;""</f>
      </c>
      <c r="W661">
        <f>[1]发票导入!W661&amp;""</f>
      </c>
      <c r="Y661">
        <f>[1]发票导入!Y661&amp;""</f>
      </c>
      <c r="AA661">
        <f>[1]发票导入!AA661&amp;""</f>
      </c>
      <c r="AB661">
        <f>[1]发票导入!AB661</f>
        <v>0</v>
      </c>
      <c r="AC661">
        <f>[1]发票导入!AC661</f>
        <v>0</v>
      </c>
      <c r="AE661" s="22">
        <f t="shared" si="0"/>
      </c>
      <c r="AI661">
        <f>[1]发票导入!AI661&amp;""</f>
      </c>
      <c r="AJ661">
        <f>[1]发票导入!AJ661&amp;""</f>
      </c>
      <c r="AK661">
        <f>[1]发票导入!AK661</f>
        <v>0</v>
      </c>
      <c r="AL661">
        <f>[1]发票导入!AL661</f>
        <v>0</v>
      </c>
      <c r="AM661">
        <f>[1]发票导入!AM661</f>
        <v>0</v>
      </c>
      <c r="AN661" s="22">
        <f t="shared" si="1"/>
        <v>0</v>
      </c>
      <c r="AO661" s="22">
        <f t="shared" si="2"/>
        <v>0</v>
      </c>
    </row>
    <row r="662">
      <c r="C662">
        <f>[1]发票导入!C662&amp;""</f>
      </c>
      <c r="D662">
        <f>[1]发票导入!D662&amp;""</f>
      </c>
      <c r="O662">
        <f>[1]发票导入!O662&amp;""</f>
      </c>
      <c r="T662">
        <f>[1]发票导入!T662</f>
      </c>
      <c r="U662">
        <f>[1]发票导入!U662&amp;""</f>
      </c>
      <c r="V662">
        <f>[1]发票导入!V662&amp;""</f>
      </c>
      <c r="W662">
        <f>[1]发票导入!W662&amp;""</f>
      </c>
      <c r="Y662">
        <f>[1]发票导入!Y662&amp;""</f>
      </c>
      <c r="AA662">
        <f>[1]发票导入!AA662&amp;""</f>
      </c>
      <c r="AB662">
        <f>[1]发票导入!AB662</f>
        <v>0</v>
      </c>
      <c r="AC662">
        <f>[1]发票导入!AC662</f>
        <v>0</v>
      </c>
      <c r="AE662" s="22">
        <f t="shared" si="0"/>
      </c>
      <c r="AI662">
        <f>[1]发票导入!AI662&amp;""</f>
      </c>
      <c r="AJ662">
        <f>[1]发票导入!AJ662&amp;""</f>
      </c>
      <c r="AK662">
        <f>[1]发票导入!AK662</f>
        <v>0</v>
      </c>
      <c r="AL662">
        <f>[1]发票导入!AL662</f>
        <v>0</v>
      </c>
      <c r="AM662">
        <f>[1]发票导入!AM662</f>
        <v>0</v>
      </c>
      <c r="AN662" s="22">
        <f t="shared" si="1"/>
        <v>0</v>
      </c>
      <c r="AO662" s="22">
        <f t="shared" si="2"/>
        <v>0</v>
      </c>
    </row>
    <row r="663">
      <c r="C663">
        <f>[1]发票导入!C663&amp;""</f>
      </c>
      <c r="D663">
        <f>[1]发票导入!D663&amp;""</f>
      </c>
      <c r="O663">
        <f>[1]发票导入!O663&amp;""</f>
      </c>
      <c r="T663">
        <f>[1]发票导入!T663</f>
      </c>
      <c r="U663">
        <f>[1]发票导入!U663&amp;""</f>
      </c>
      <c r="V663">
        <f>[1]发票导入!V663&amp;""</f>
      </c>
      <c r="W663">
        <f>[1]发票导入!W663&amp;""</f>
      </c>
      <c r="Y663">
        <f>[1]发票导入!Y663&amp;""</f>
      </c>
      <c r="AA663">
        <f>[1]发票导入!AA663&amp;""</f>
      </c>
      <c r="AB663">
        <f>[1]发票导入!AB663</f>
        <v>0</v>
      </c>
      <c r="AC663">
        <f>[1]发票导入!AC663</f>
        <v>0</v>
      </c>
      <c r="AE663" s="22">
        <f t="shared" si="0"/>
      </c>
      <c r="AI663">
        <f>[1]发票导入!AI663&amp;""</f>
      </c>
      <c r="AJ663">
        <f>[1]发票导入!AJ663&amp;""</f>
      </c>
      <c r="AK663">
        <f>[1]发票导入!AK663</f>
        <v>0</v>
      </c>
      <c r="AL663">
        <f>[1]发票导入!AL663</f>
        <v>0</v>
      </c>
      <c r="AM663">
        <f>[1]发票导入!AM663</f>
        <v>0</v>
      </c>
      <c r="AN663" s="22">
        <f t="shared" si="1"/>
        <v>0</v>
      </c>
      <c r="AO663" s="22">
        <f t="shared" si="2"/>
        <v>0</v>
      </c>
    </row>
    <row r="664">
      <c r="C664">
        <f>[1]发票导入!C664&amp;""</f>
      </c>
      <c r="D664">
        <f>[1]发票导入!D664&amp;""</f>
      </c>
      <c r="O664">
        <f>[1]发票导入!O664&amp;""</f>
      </c>
      <c r="T664">
        <f>[1]发票导入!T664</f>
      </c>
      <c r="U664">
        <f>[1]发票导入!U664&amp;""</f>
      </c>
      <c r="V664">
        <f>[1]发票导入!V664&amp;""</f>
      </c>
      <c r="W664">
        <f>[1]发票导入!W664&amp;""</f>
      </c>
      <c r="Y664">
        <f>[1]发票导入!Y664&amp;""</f>
      </c>
      <c r="AA664">
        <f>[1]发票导入!AA664&amp;""</f>
      </c>
      <c r="AB664">
        <f>[1]发票导入!AB664</f>
        <v>0</v>
      </c>
      <c r="AC664">
        <f>[1]发票导入!AC664</f>
        <v>0</v>
      </c>
      <c r="AE664" s="22">
        <f t="shared" si="0"/>
      </c>
      <c r="AI664">
        <f>[1]发票导入!AI664&amp;""</f>
      </c>
      <c r="AJ664">
        <f>[1]发票导入!AJ664&amp;""</f>
      </c>
      <c r="AK664">
        <f>[1]发票导入!AK664</f>
        <v>0</v>
      </c>
      <c r="AL664">
        <f>[1]发票导入!AL664</f>
        <v>0</v>
      </c>
      <c r="AM664">
        <f>[1]发票导入!AM664</f>
        <v>0</v>
      </c>
      <c r="AN664" s="22">
        <f t="shared" si="1"/>
        <v>0</v>
      </c>
      <c r="AO664" s="22">
        <f t="shared" si="2"/>
        <v>0</v>
      </c>
    </row>
    <row r="665">
      <c r="C665">
        <f>[1]发票导入!C665&amp;""</f>
      </c>
      <c r="D665">
        <f>[1]发票导入!D665&amp;""</f>
      </c>
      <c r="O665">
        <f>[1]发票导入!O665&amp;""</f>
      </c>
      <c r="T665">
        <f>[1]发票导入!T665</f>
      </c>
      <c r="U665">
        <f>[1]发票导入!U665&amp;""</f>
      </c>
      <c r="V665">
        <f>[1]发票导入!V665&amp;""</f>
      </c>
      <c r="W665">
        <f>[1]发票导入!W665&amp;""</f>
      </c>
      <c r="Y665">
        <f>[1]发票导入!Y665&amp;""</f>
      </c>
      <c r="AA665">
        <f>[1]发票导入!AA665&amp;""</f>
      </c>
      <c r="AB665">
        <f>[1]发票导入!AB665</f>
        <v>0</v>
      </c>
      <c r="AC665">
        <f>[1]发票导入!AC665</f>
        <v>0</v>
      </c>
      <c r="AE665" s="22">
        <f t="shared" si="0"/>
      </c>
      <c r="AI665">
        <f>[1]发票导入!AI665&amp;""</f>
      </c>
      <c r="AJ665">
        <f>[1]发票导入!AJ665&amp;""</f>
      </c>
      <c r="AK665">
        <f>[1]发票导入!AK665</f>
        <v>0</v>
      </c>
      <c r="AL665">
        <f>[1]发票导入!AL665</f>
        <v>0</v>
      </c>
      <c r="AM665">
        <f>[1]发票导入!AM665</f>
        <v>0</v>
      </c>
      <c r="AN665" s="22">
        <f t="shared" si="1"/>
        <v>0</v>
      </c>
      <c r="AO665" s="22">
        <f t="shared" si="2"/>
        <v>0</v>
      </c>
    </row>
    <row r="666">
      <c r="C666">
        <f>[1]发票导入!C666&amp;""</f>
      </c>
      <c r="D666">
        <f>[1]发票导入!D666&amp;""</f>
      </c>
      <c r="O666">
        <f>[1]发票导入!O666&amp;""</f>
      </c>
      <c r="T666">
        <f>[1]发票导入!T666</f>
      </c>
      <c r="U666">
        <f>[1]发票导入!U666&amp;""</f>
      </c>
      <c r="V666">
        <f>[1]发票导入!V666&amp;""</f>
      </c>
      <c r="W666">
        <f>[1]发票导入!W666&amp;""</f>
      </c>
      <c r="Y666">
        <f>[1]发票导入!Y666&amp;""</f>
      </c>
      <c r="AA666">
        <f>[1]发票导入!AA666&amp;""</f>
      </c>
      <c r="AB666">
        <f>[1]发票导入!AB666</f>
        <v>0</v>
      </c>
      <c r="AC666">
        <f>[1]发票导入!AC666</f>
        <v>0</v>
      </c>
      <c r="AE666" s="22">
        <f t="shared" si="0"/>
      </c>
      <c r="AI666">
        <f>[1]发票导入!AI666&amp;""</f>
      </c>
      <c r="AJ666">
        <f>[1]发票导入!AJ666&amp;""</f>
      </c>
      <c r="AK666">
        <f>[1]发票导入!AK666</f>
        <v>0</v>
      </c>
      <c r="AL666">
        <f>[1]发票导入!AL666</f>
        <v>0</v>
      </c>
      <c r="AM666">
        <f>[1]发票导入!AM666</f>
        <v>0</v>
      </c>
      <c r="AN666" s="22">
        <f t="shared" si="1"/>
        <v>0</v>
      </c>
      <c r="AO666" s="22">
        <f t="shared" si="2"/>
        <v>0</v>
      </c>
    </row>
    <row r="667">
      <c r="C667">
        <f>[1]发票导入!C667&amp;""</f>
      </c>
      <c r="D667">
        <f>[1]发票导入!D667&amp;""</f>
      </c>
      <c r="O667">
        <f>[1]发票导入!O667&amp;""</f>
      </c>
      <c r="T667">
        <f>[1]发票导入!T667</f>
      </c>
      <c r="U667">
        <f>[1]发票导入!U667&amp;""</f>
      </c>
      <c r="V667">
        <f>[1]发票导入!V667&amp;""</f>
      </c>
      <c r="W667">
        <f>[1]发票导入!W667&amp;""</f>
      </c>
      <c r="Y667">
        <f>[1]发票导入!Y667&amp;""</f>
      </c>
      <c r="AA667">
        <f>[1]发票导入!AA667&amp;""</f>
      </c>
      <c r="AB667">
        <f>[1]发票导入!AB667</f>
        <v>0</v>
      </c>
      <c r="AC667">
        <f>[1]发票导入!AC667</f>
        <v>0</v>
      </c>
      <c r="AE667" s="22">
        <f t="shared" si="0"/>
      </c>
      <c r="AI667">
        <f>[1]发票导入!AI667&amp;""</f>
      </c>
      <c r="AJ667">
        <f>[1]发票导入!AJ667&amp;""</f>
      </c>
      <c r="AK667">
        <f>[1]发票导入!AK667</f>
        <v>0</v>
      </c>
      <c r="AL667">
        <f>[1]发票导入!AL667</f>
        <v>0</v>
      </c>
      <c r="AM667">
        <f>[1]发票导入!AM667</f>
        <v>0</v>
      </c>
      <c r="AN667" s="22">
        <f t="shared" si="1"/>
        <v>0</v>
      </c>
      <c r="AO667" s="22">
        <f t="shared" si="2"/>
        <v>0</v>
      </c>
    </row>
    <row r="668">
      <c r="C668">
        <f>[1]发票导入!C668&amp;""</f>
      </c>
      <c r="D668">
        <f>[1]发票导入!D668&amp;""</f>
      </c>
      <c r="O668">
        <f>[1]发票导入!O668&amp;""</f>
      </c>
      <c r="T668">
        <f>[1]发票导入!T668</f>
      </c>
      <c r="U668">
        <f>[1]发票导入!U668&amp;""</f>
      </c>
      <c r="V668">
        <f>[1]发票导入!V668&amp;""</f>
      </c>
      <c r="W668">
        <f>[1]发票导入!W668&amp;""</f>
      </c>
      <c r="Y668">
        <f>[1]发票导入!Y668&amp;""</f>
      </c>
      <c r="AA668">
        <f>[1]发票导入!AA668&amp;""</f>
      </c>
      <c r="AB668">
        <f>[1]发票导入!AB668</f>
        <v>0</v>
      </c>
      <c r="AC668">
        <f>[1]发票导入!AC668</f>
        <v>0</v>
      </c>
      <c r="AE668" s="22">
        <f t="shared" si="0"/>
      </c>
      <c r="AI668">
        <f>[1]发票导入!AI668&amp;""</f>
      </c>
      <c r="AJ668">
        <f>[1]发票导入!AJ668&amp;""</f>
      </c>
      <c r="AK668">
        <f>[1]发票导入!AK668</f>
        <v>0</v>
      </c>
      <c r="AL668">
        <f>[1]发票导入!AL668</f>
        <v>0</v>
      </c>
      <c r="AM668">
        <f>[1]发票导入!AM668</f>
        <v>0</v>
      </c>
      <c r="AN668" s="22">
        <f t="shared" si="1"/>
        <v>0</v>
      </c>
      <c r="AO668" s="22">
        <f t="shared" si="2"/>
        <v>0</v>
      </c>
    </row>
    <row r="669">
      <c r="C669">
        <f>[1]发票导入!C669&amp;""</f>
      </c>
      <c r="D669">
        <f>[1]发票导入!D669&amp;""</f>
      </c>
      <c r="O669">
        <f>[1]发票导入!O669&amp;""</f>
      </c>
      <c r="T669">
        <f>[1]发票导入!T669</f>
      </c>
      <c r="U669">
        <f>[1]发票导入!U669&amp;""</f>
      </c>
      <c r="V669">
        <f>[1]发票导入!V669&amp;""</f>
      </c>
      <c r="W669">
        <f>[1]发票导入!W669&amp;""</f>
      </c>
      <c r="Y669">
        <f>[1]发票导入!Y669&amp;""</f>
      </c>
      <c r="AA669">
        <f>[1]发票导入!AA669&amp;""</f>
      </c>
      <c r="AB669">
        <f>[1]发票导入!AB669</f>
        <v>0</v>
      </c>
      <c r="AC669">
        <f>[1]发票导入!AC669</f>
        <v>0</v>
      </c>
      <c r="AE669" s="22">
        <f t="shared" si="0"/>
      </c>
      <c r="AI669">
        <f>[1]发票导入!AI669&amp;""</f>
      </c>
      <c r="AJ669">
        <f>[1]发票导入!AJ669&amp;""</f>
      </c>
      <c r="AK669">
        <f>[1]发票导入!AK669</f>
        <v>0</v>
      </c>
      <c r="AL669">
        <f>[1]发票导入!AL669</f>
        <v>0</v>
      </c>
      <c r="AM669">
        <f>[1]发票导入!AM669</f>
        <v>0</v>
      </c>
      <c r="AN669" s="22">
        <f t="shared" si="1"/>
        <v>0</v>
      </c>
      <c r="AO669" s="22">
        <f t="shared" si="2"/>
        <v>0</v>
      </c>
    </row>
    <row r="670">
      <c r="C670">
        <f>[1]发票导入!C670&amp;""</f>
      </c>
      <c r="D670">
        <f>[1]发票导入!D670&amp;""</f>
      </c>
      <c r="O670">
        <f>[1]发票导入!O670&amp;""</f>
      </c>
      <c r="T670">
        <f>[1]发票导入!T670</f>
      </c>
      <c r="U670">
        <f>[1]发票导入!U670&amp;""</f>
      </c>
      <c r="V670">
        <f>[1]发票导入!V670&amp;""</f>
      </c>
      <c r="W670">
        <f>[1]发票导入!W670&amp;""</f>
      </c>
      <c r="Y670">
        <f>[1]发票导入!Y670&amp;""</f>
      </c>
      <c r="AA670">
        <f>[1]发票导入!AA670&amp;""</f>
      </c>
      <c r="AB670">
        <f>[1]发票导入!AB670</f>
        <v>0</v>
      </c>
      <c r="AC670">
        <f>[1]发票导入!AC670</f>
        <v>0</v>
      </c>
      <c r="AE670" s="22">
        <f t="shared" si="0"/>
      </c>
      <c r="AI670">
        <f>[1]发票导入!AI670&amp;""</f>
      </c>
      <c r="AJ670">
        <f>[1]发票导入!AJ670&amp;""</f>
      </c>
      <c r="AK670">
        <f>[1]发票导入!AK670</f>
        <v>0</v>
      </c>
      <c r="AL670">
        <f>[1]发票导入!AL670</f>
        <v>0</v>
      </c>
      <c r="AM670">
        <f>[1]发票导入!AM670</f>
        <v>0</v>
      </c>
      <c r="AN670" s="22">
        <f t="shared" si="1"/>
        <v>0</v>
      </c>
      <c r="AO670" s="22">
        <f t="shared" si="2"/>
        <v>0</v>
      </c>
    </row>
    <row r="671">
      <c r="C671">
        <f>[1]发票导入!C671&amp;""</f>
      </c>
      <c r="D671">
        <f>[1]发票导入!D671&amp;""</f>
      </c>
      <c r="O671">
        <f>[1]发票导入!O671&amp;""</f>
      </c>
      <c r="T671">
        <f>[1]发票导入!T671</f>
      </c>
      <c r="U671">
        <f>[1]发票导入!U671&amp;""</f>
      </c>
      <c r="V671">
        <f>[1]发票导入!V671&amp;""</f>
      </c>
      <c r="W671">
        <f>[1]发票导入!W671&amp;""</f>
      </c>
      <c r="Y671">
        <f>[1]发票导入!Y671&amp;""</f>
      </c>
      <c r="AA671">
        <f>[1]发票导入!AA671&amp;""</f>
      </c>
      <c r="AB671">
        <f>[1]发票导入!AB671</f>
        <v>0</v>
      </c>
      <c r="AC671">
        <f>[1]发票导入!AC671</f>
        <v>0</v>
      </c>
      <c r="AE671" s="22">
        <f t="shared" si="0"/>
      </c>
      <c r="AI671">
        <f>[1]发票导入!AI671&amp;""</f>
      </c>
      <c r="AJ671">
        <f>[1]发票导入!AJ671&amp;""</f>
      </c>
      <c r="AK671">
        <f>[1]发票导入!AK671</f>
        <v>0</v>
      </c>
      <c r="AL671">
        <f>[1]发票导入!AL671</f>
        <v>0</v>
      </c>
      <c r="AM671">
        <f>[1]发票导入!AM671</f>
        <v>0</v>
      </c>
      <c r="AN671" s="22">
        <f t="shared" si="1"/>
        <v>0</v>
      </c>
      <c r="AO671" s="22">
        <f t="shared" si="2"/>
        <v>0</v>
      </c>
    </row>
    <row r="672">
      <c r="C672">
        <f>[1]发票导入!C672&amp;""</f>
      </c>
      <c r="D672">
        <f>[1]发票导入!D672&amp;""</f>
      </c>
      <c r="O672">
        <f>[1]发票导入!O672&amp;""</f>
      </c>
      <c r="T672">
        <f>[1]发票导入!T672</f>
      </c>
      <c r="U672">
        <f>[1]发票导入!U672&amp;""</f>
      </c>
      <c r="V672">
        <f>[1]发票导入!V672&amp;""</f>
      </c>
      <c r="W672">
        <f>[1]发票导入!W672&amp;""</f>
      </c>
      <c r="Y672">
        <f>[1]发票导入!Y672&amp;""</f>
      </c>
      <c r="AA672">
        <f>[1]发票导入!AA672&amp;""</f>
      </c>
      <c r="AB672">
        <f>[1]发票导入!AB672</f>
        <v>0</v>
      </c>
      <c r="AC672">
        <f>[1]发票导入!AC672</f>
        <v>0</v>
      </c>
      <c r="AE672" s="22">
        <f t="shared" si="0"/>
      </c>
      <c r="AI672">
        <f>[1]发票导入!AI672&amp;""</f>
      </c>
      <c r="AJ672">
        <f>[1]发票导入!AJ672&amp;""</f>
      </c>
      <c r="AK672">
        <f>[1]发票导入!AK672</f>
        <v>0</v>
      </c>
      <c r="AL672">
        <f>[1]发票导入!AL672</f>
        <v>0</v>
      </c>
      <c r="AM672">
        <f>[1]发票导入!AM672</f>
        <v>0</v>
      </c>
      <c r="AN672" s="22">
        <f t="shared" si="1"/>
        <v>0</v>
      </c>
      <c r="AO672" s="22">
        <f t="shared" si="2"/>
        <v>0</v>
      </c>
    </row>
    <row r="673">
      <c r="C673">
        <f>[1]发票导入!C673&amp;""</f>
      </c>
      <c r="D673">
        <f>[1]发票导入!D673&amp;""</f>
      </c>
      <c r="O673">
        <f>[1]发票导入!O673&amp;""</f>
      </c>
      <c r="T673">
        <f>[1]发票导入!T673</f>
      </c>
      <c r="U673">
        <f>[1]发票导入!U673&amp;""</f>
      </c>
      <c r="V673">
        <f>[1]发票导入!V673&amp;""</f>
      </c>
      <c r="W673">
        <f>[1]发票导入!W673&amp;""</f>
      </c>
      <c r="Y673">
        <f>[1]发票导入!Y673&amp;""</f>
      </c>
      <c r="AA673">
        <f>[1]发票导入!AA673&amp;""</f>
      </c>
      <c r="AB673">
        <f>[1]发票导入!AB673</f>
        <v>0</v>
      </c>
      <c r="AC673">
        <f>[1]发票导入!AC673</f>
        <v>0</v>
      </c>
      <c r="AE673" s="22">
        <f t="shared" si="0"/>
      </c>
      <c r="AI673">
        <f>[1]发票导入!AI673&amp;""</f>
      </c>
      <c r="AJ673">
        <f>[1]发票导入!AJ673&amp;""</f>
      </c>
      <c r="AK673">
        <f>[1]发票导入!AK673</f>
        <v>0</v>
      </c>
      <c r="AL673">
        <f>[1]发票导入!AL673</f>
        <v>0</v>
      </c>
      <c r="AM673">
        <f>[1]发票导入!AM673</f>
        <v>0</v>
      </c>
      <c r="AN673" s="22">
        <f t="shared" si="1"/>
        <v>0</v>
      </c>
      <c r="AO673" s="22">
        <f t="shared" si="2"/>
        <v>0</v>
      </c>
    </row>
    <row r="674">
      <c r="C674">
        <f>[1]发票导入!C674&amp;""</f>
      </c>
      <c r="D674">
        <f>[1]发票导入!D674&amp;""</f>
      </c>
      <c r="O674">
        <f>[1]发票导入!O674&amp;""</f>
      </c>
      <c r="T674">
        <f>[1]发票导入!T674</f>
      </c>
      <c r="U674">
        <f>[1]发票导入!U674&amp;""</f>
      </c>
      <c r="V674">
        <f>[1]发票导入!V674&amp;""</f>
      </c>
      <c r="W674">
        <f>[1]发票导入!W674&amp;""</f>
      </c>
      <c r="Y674">
        <f>[1]发票导入!Y674&amp;""</f>
      </c>
      <c r="AA674">
        <f>[1]发票导入!AA674&amp;""</f>
      </c>
      <c r="AB674">
        <f>[1]发票导入!AB674</f>
        <v>0</v>
      </c>
      <c r="AC674">
        <f>[1]发票导入!AC674</f>
        <v>0</v>
      </c>
      <c r="AE674" s="22">
        <f t="shared" si="0"/>
      </c>
      <c r="AI674">
        <f>[1]发票导入!AI674&amp;""</f>
      </c>
      <c r="AJ674">
        <f>[1]发票导入!AJ674&amp;""</f>
      </c>
      <c r="AK674">
        <f>[1]发票导入!AK674</f>
        <v>0</v>
      </c>
      <c r="AL674">
        <f>[1]发票导入!AL674</f>
        <v>0</v>
      </c>
      <c r="AM674">
        <f>[1]发票导入!AM674</f>
        <v>0</v>
      </c>
      <c r="AN674" s="22">
        <f t="shared" si="1"/>
        <v>0</v>
      </c>
      <c r="AO674" s="22">
        <f t="shared" si="2"/>
        <v>0</v>
      </c>
    </row>
    <row r="675">
      <c r="C675">
        <f>[1]发票导入!C675&amp;""</f>
      </c>
      <c r="D675">
        <f>[1]发票导入!D675&amp;""</f>
      </c>
      <c r="O675">
        <f>[1]发票导入!O675&amp;""</f>
      </c>
      <c r="T675">
        <f>[1]发票导入!T675</f>
      </c>
      <c r="U675">
        <f>[1]发票导入!U675&amp;""</f>
      </c>
      <c r="V675">
        <f>[1]发票导入!V675&amp;""</f>
      </c>
      <c r="W675">
        <f>[1]发票导入!W675&amp;""</f>
      </c>
      <c r="Y675">
        <f>[1]发票导入!Y675&amp;""</f>
      </c>
      <c r="AA675">
        <f>[1]发票导入!AA675&amp;""</f>
      </c>
      <c r="AB675">
        <f>[1]发票导入!AB675</f>
        <v>0</v>
      </c>
      <c r="AC675">
        <f>[1]发票导入!AC675</f>
        <v>0</v>
      </c>
      <c r="AE675" s="22">
        <f t="shared" si="0"/>
      </c>
      <c r="AI675">
        <f>[1]发票导入!AI675&amp;""</f>
      </c>
      <c r="AJ675">
        <f>[1]发票导入!AJ675&amp;""</f>
      </c>
      <c r="AK675">
        <f>[1]发票导入!AK675</f>
        <v>0</v>
      </c>
      <c r="AL675">
        <f>[1]发票导入!AL675</f>
        <v>0</v>
      </c>
      <c r="AM675">
        <f>[1]发票导入!AM675</f>
        <v>0</v>
      </c>
      <c r="AN675" s="22">
        <f t="shared" si="1"/>
        <v>0</v>
      </c>
      <c r="AO675" s="22">
        <f t="shared" si="2"/>
        <v>0</v>
      </c>
    </row>
    <row r="676">
      <c r="C676">
        <f>[1]发票导入!C676&amp;""</f>
      </c>
      <c r="D676">
        <f>[1]发票导入!D676&amp;""</f>
      </c>
      <c r="O676">
        <f>[1]发票导入!O676&amp;""</f>
      </c>
      <c r="T676">
        <f>[1]发票导入!T676</f>
      </c>
      <c r="U676">
        <f>[1]发票导入!U676&amp;""</f>
      </c>
      <c r="V676">
        <f>[1]发票导入!V676&amp;""</f>
      </c>
      <c r="W676">
        <f>[1]发票导入!W676&amp;""</f>
      </c>
      <c r="Y676">
        <f>[1]发票导入!Y676&amp;""</f>
      </c>
      <c r="AA676">
        <f>[1]发票导入!AA676&amp;""</f>
      </c>
      <c r="AB676">
        <f>[1]发票导入!AB676</f>
        <v>0</v>
      </c>
      <c r="AC676">
        <f>[1]发票导入!AC676</f>
        <v>0</v>
      </c>
      <c r="AE676" s="22">
        <f t="shared" si="0"/>
      </c>
      <c r="AI676">
        <f>[1]发票导入!AI676&amp;""</f>
      </c>
      <c r="AJ676">
        <f>[1]发票导入!AJ676&amp;""</f>
      </c>
      <c r="AK676">
        <f>[1]发票导入!AK676</f>
        <v>0</v>
      </c>
      <c r="AL676">
        <f>[1]发票导入!AL676</f>
        <v>0</v>
      </c>
      <c r="AM676">
        <f>[1]发票导入!AM676</f>
        <v>0</v>
      </c>
      <c r="AN676" s="22">
        <f t="shared" si="1"/>
        <v>0</v>
      </c>
      <c r="AO676" s="22">
        <f t="shared" si="2"/>
        <v>0</v>
      </c>
    </row>
    <row r="677">
      <c r="C677">
        <f>[1]发票导入!C677&amp;""</f>
      </c>
      <c r="D677">
        <f>[1]发票导入!D677&amp;""</f>
      </c>
      <c r="O677">
        <f>[1]发票导入!O677&amp;""</f>
      </c>
      <c r="T677">
        <f>[1]发票导入!T677</f>
      </c>
      <c r="U677">
        <f>[1]发票导入!U677&amp;""</f>
      </c>
      <c r="V677">
        <f>[1]发票导入!V677&amp;""</f>
      </c>
      <c r="W677">
        <f>[1]发票导入!W677&amp;""</f>
      </c>
      <c r="Y677">
        <f>[1]发票导入!Y677&amp;""</f>
      </c>
      <c r="AA677">
        <f>[1]发票导入!AA677&amp;""</f>
      </c>
      <c r="AB677">
        <f>[1]发票导入!AB677</f>
        <v>0</v>
      </c>
      <c r="AC677">
        <f>[1]发票导入!AC677</f>
        <v>0</v>
      </c>
      <c r="AE677" s="22">
        <f t="shared" si="0"/>
      </c>
      <c r="AI677">
        <f>[1]发票导入!AI677&amp;""</f>
      </c>
      <c r="AJ677">
        <f>[1]发票导入!AJ677&amp;""</f>
      </c>
      <c r="AK677">
        <f>[1]发票导入!AK677</f>
        <v>0</v>
      </c>
      <c r="AL677">
        <f>[1]发票导入!AL677</f>
        <v>0</v>
      </c>
      <c r="AM677">
        <f>[1]发票导入!AM677</f>
        <v>0</v>
      </c>
      <c r="AN677" s="22">
        <f t="shared" si="1"/>
        <v>0</v>
      </c>
      <c r="AO677" s="22">
        <f t="shared" si="2"/>
        <v>0</v>
      </c>
    </row>
    <row r="678">
      <c r="C678">
        <f>[1]发票导入!C678&amp;""</f>
      </c>
      <c r="D678">
        <f>[1]发票导入!D678&amp;""</f>
      </c>
      <c r="O678">
        <f>[1]发票导入!O678&amp;""</f>
      </c>
      <c r="T678">
        <f>[1]发票导入!T678</f>
      </c>
      <c r="U678">
        <f>[1]发票导入!U678&amp;""</f>
      </c>
      <c r="V678">
        <f>[1]发票导入!V678&amp;""</f>
      </c>
      <c r="W678">
        <f>[1]发票导入!W678&amp;""</f>
      </c>
      <c r="Y678">
        <f>[1]发票导入!Y678&amp;""</f>
      </c>
      <c r="AA678">
        <f>[1]发票导入!AA678&amp;""</f>
      </c>
      <c r="AB678">
        <f>[1]发票导入!AB678</f>
        <v>0</v>
      </c>
      <c r="AC678">
        <f>[1]发票导入!AC678</f>
        <v>0</v>
      </c>
      <c r="AE678" s="22">
        <f t="shared" si="0"/>
      </c>
      <c r="AI678">
        <f>[1]发票导入!AI678&amp;""</f>
      </c>
      <c r="AJ678">
        <f>[1]发票导入!AJ678&amp;""</f>
      </c>
      <c r="AK678">
        <f>[1]发票导入!AK678</f>
        <v>0</v>
      </c>
      <c r="AL678">
        <f>[1]发票导入!AL678</f>
        <v>0</v>
      </c>
      <c r="AM678">
        <f>[1]发票导入!AM678</f>
        <v>0</v>
      </c>
      <c r="AN678" s="22">
        <f t="shared" si="1"/>
        <v>0</v>
      </c>
      <c r="AO678" s="22">
        <f t="shared" si="2"/>
        <v>0</v>
      </c>
    </row>
    <row r="679">
      <c r="C679">
        <f>[1]发票导入!C679&amp;""</f>
      </c>
      <c r="D679">
        <f>[1]发票导入!D679&amp;""</f>
      </c>
      <c r="O679">
        <f>[1]发票导入!O679&amp;""</f>
      </c>
      <c r="T679">
        <f>[1]发票导入!T679</f>
      </c>
      <c r="U679">
        <f>[1]发票导入!U679&amp;""</f>
      </c>
      <c r="V679">
        <f>[1]发票导入!V679&amp;""</f>
      </c>
      <c r="W679">
        <f>[1]发票导入!W679&amp;""</f>
      </c>
      <c r="Y679">
        <f>[1]发票导入!Y679&amp;""</f>
      </c>
      <c r="AA679">
        <f>[1]发票导入!AA679&amp;""</f>
      </c>
      <c r="AB679">
        <f>[1]发票导入!AB679</f>
        <v>0</v>
      </c>
      <c r="AC679">
        <f>[1]发票导入!AC679</f>
        <v>0</v>
      </c>
      <c r="AE679" s="22">
        <f t="shared" si="0"/>
      </c>
      <c r="AI679">
        <f>[1]发票导入!AI679&amp;""</f>
      </c>
      <c r="AJ679">
        <f>[1]发票导入!AJ679&amp;""</f>
      </c>
      <c r="AK679">
        <f>[1]发票导入!AK679</f>
        <v>0</v>
      </c>
      <c r="AL679">
        <f>[1]发票导入!AL679</f>
        <v>0</v>
      </c>
      <c r="AM679">
        <f>[1]发票导入!AM679</f>
        <v>0</v>
      </c>
      <c r="AN679" s="22">
        <f t="shared" si="1"/>
        <v>0</v>
      </c>
      <c r="AO679" s="22">
        <f t="shared" si="2"/>
        <v>0</v>
      </c>
    </row>
    <row r="680">
      <c r="C680">
        <f>[1]发票导入!C680&amp;""</f>
      </c>
      <c r="D680">
        <f>[1]发票导入!D680&amp;""</f>
      </c>
      <c r="O680">
        <f>[1]发票导入!O680&amp;""</f>
      </c>
      <c r="T680">
        <f>[1]发票导入!T680</f>
      </c>
      <c r="U680">
        <f>[1]发票导入!U680&amp;""</f>
      </c>
      <c r="V680">
        <f>[1]发票导入!V680&amp;""</f>
      </c>
      <c r="W680">
        <f>[1]发票导入!W680&amp;""</f>
      </c>
      <c r="Y680">
        <f>[1]发票导入!Y680&amp;""</f>
      </c>
      <c r="AA680">
        <f>[1]发票导入!AA680&amp;""</f>
      </c>
      <c r="AB680">
        <f>[1]发票导入!AB680</f>
        <v>0</v>
      </c>
      <c r="AC680">
        <f>[1]发票导入!AC680</f>
        <v>0</v>
      </c>
      <c r="AE680" s="22">
        <f t="shared" si="0"/>
      </c>
      <c r="AI680">
        <f>[1]发票导入!AI680&amp;""</f>
      </c>
      <c r="AJ680">
        <f>[1]发票导入!AJ680&amp;""</f>
      </c>
      <c r="AK680">
        <f>[1]发票导入!AK680</f>
        <v>0</v>
      </c>
      <c r="AL680">
        <f>[1]发票导入!AL680</f>
        <v>0</v>
      </c>
      <c r="AM680">
        <f>[1]发票导入!AM680</f>
        <v>0</v>
      </c>
      <c r="AN680" s="22">
        <f t="shared" si="1"/>
        <v>0</v>
      </c>
      <c r="AO680" s="22">
        <f t="shared" si="2"/>
        <v>0</v>
      </c>
    </row>
    <row r="681">
      <c r="C681">
        <f>[1]发票导入!C681&amp;""</f>
      </c>
      <c r="D681">
        <f>[1]发票导入!D681&amp;""</f>
      </c>
      <c r="O681">
        <f>[1]发票导入!O681&amp;""</f>
      </c>
      <c r="T681">
        <f>[1]发票导入!T681</f>
      </c>
      <c r="U681">
        <f>[1]发票导入!U681&amp;""</f>
      </c>
      <c r="V681">
        <f>[1]发票导入!V681&amp;""</f>
      </c>
      <c r="W681">
        <f>[1]发票导入!W681&amp;""</f>
      </c>
      <c r="Y681">
        <f>[1]发票导入!Y681&amp;""</f>
      </c>
      <c r="AA681">
        <f>[1]发票导入!AA681&amp;""</f>
      </c>
      <c r="AB681">
        <f>[1]发票导入!AB681</f>
        <v>0</v>
      </c>
      <c r="AC681">
        <f>[1]发票导入!AC681</f>
        <v>0</v>
      </c>
      <c r="AE681" s="22">
        <f t="shared" si="0"/>
      </c>
      <c r="AI681">
        <f>[1]发票导入!AI681&amp;""</f>
      </c>
      <c r="AJ681">
        <f>[1]发票导入!AJ681&amp;""</f>
      </c>
      <c r="AK681">
        <f>[1]发票导入!AK681</f>
        <v>0</v>
      </c>
      <c r="AL681">
        <f>[1]发票导入!AL681</f>
        <v>0</v>
      </c>
      <c r="AM681">
        <f>[1]发票导入!AM681</f>
        <v>0</v>
      </c>
      <c r="AN681" s="22">
        <f t="shared" si="1"/>
        <v>0</v>
      </c>
      <c r="AO681" s="22">
        <f t="shared" si="2"/>
        <v>0</v>
      </c>
    </row>
    <row r="682">
      <c r="C682">
        <f>[1]发票导入!C682&amp;""</f>
      </c>
      <c r="D682">
        <f>[1]发票导入!D682&amp;""</f>
      </c>
      <c r="O682">
        <f>[1]发票导入!O682&amp;""</f>
      </c>
      <c r="T682">
        <f>[1]发票导入!T682</f>
      </c>
      <c r="U682">
        <f>[1]发票导入!U682&amp;""</f>
      </c>
      <c r="V682">
        <f>[1]发票导入!V682&amp;""</f>
      </c>
      <c r="W682">
        <f>[1]发票导入!W682&amp;""</f>
      </c>
      <c r="Y682">
        <f>[1]发票导入!Y682&amp;""</f>
      </c>
      <c r="AA682">
        <f>[1]发票导入!AA682&amp;""</f>
      </c>
      <c r="AB682">
        <f>[1]发票导入!AB682</f>
        <v>0</v>
      </c>
      <c r="AC682">
        <f>[1]发票导入!AC682</f>
        <v>0</v>
      </c>
      <c r="AE682" s="22">
        <f t="shared" si="0"/>
      </c>
      <c r="AI682">
        <f>[1]发票导入!AI682&amp;""</f>
      </c>
      <c r="AJ682">
        <f>[1]发票导入!AJ682&amp;""</f>
      </c>
      <c r="AK682">
        <f>[1]发票导入!AK682</f>
        <v>0</v>
      </c>
      <c r="AL682">
        <f>[1]发票导入!AL682</f>
        <v>0</v>
      </c>
      <c r="AM682">
        <f>[1]发票导入!AM682</f>
        <v>0</v>
      </c>
      <c r="AN682" s="22">
        <f t="shared" si="1"/>
        <v>0</v>
      </c>
      <c r="AO682" s="22">
        <f t="shared" si="2"/>
        <v>0</v>
      </c>
    </row>
    <row r="683">
      <c r="C683">
        <f>[1]发票导入!C683&amp;""</f>
      </c>
      <c r="D683">
        <f>[1]发票导入!D683&amp;""</f>
      </c>
      <c r="O683">
        <f>[1]发票导入!O683&amp;""</f>
      </c>
      <c r="T683">
        <f>[1]发票导入!T683</f>
      </c>
      <c r="U683">
        <f>[1]发票导入!U683&amp;""</f>
      </c>
      <c r="V683">
        <f>[1]发票导入!V683&amp;""</f>
      </c>
      <c r="W683">
        <f>[1]发票导入!W683&amp;""</f>
      </c>
      <c r="Y683">
        <f>[1]发票导入!Y683&amp;""</f>
      </c>
      <c r="AA683">
        <f>[1]发票导入!AA683&amp;""</f>
      </c>
      <c r="AB683">
        <f>[1]发票导入!AB683</f>
        <v>0</v>
      </c>
      <c r="AC683">
        <f>[1]发票导入!AC683</f>
        <v>0</v>
      </c>
      <c r="AE683" s="22">
        <f t="shared" si="0"/>
      </c>
      <c r="AI683">
        <f>[1]发票导入!AI683&amp;""</f>
      </c>
      <c r="AJ683">
        <f>[1]发票导入!AJ683&amp;""</f>
      </c>
      <c r="AK683">
        <f>[1]发票导入!AK683</f>
        <v>0</v>
      </c>
      <c r="AL683">
        <f>[1]发票导入!AL683</f>
        <v>0</v>
      </c>
      <c r="AM683">
        <f>[1]发票导入!AM683</f>
        <v>0</v>
      </c>
      <c r="AN683" s="22">
        <f t="shared" si="1"/>
        <v>0</v>
      </c>
      <c r="AO683" s="22">
        <f t="shared" si="2"/>
        <v>0</v>
      </c>
    </row>
    <row r="684">
      <c r="C684">
        <f>[1]发票导入!C684&amp;""</f>
      </c>
      <c r="D684">
        <f>[1]发票导入!D684&amp;""</f>
      </c>
      <c r="O684">
        <f>[1]发票导入!O684&amp;""</f>
      </c>
      <c r="T684">
        <f>[1]发票导入!T684</f>
      </c>
      <c r="U684">
        <f>[1]发票导入!U684&amp;""</f>
      </c>
      <c r="V684">
        <f>[1]发票导入!V684&amp;""</f>
      </c>
      <c r="W684">
        <f>[1]发票导入!W684&amp;""</f>
      </c>
      <c r="Y684">
        <f>[1]发票导入!Y684&amp;""</f>
      </c>
      <c r="AA684">
        <f>[1]发票导入!AA684&amp;""</f>
      </c>
      <c r="AB684">
        <f>[1]发票导入!AB684</f>
        <v>0</v>
      </c>
      <c r="AC684">
        <f>[1]发票导入!AC684</f>
        <v>0</v>
      </c>
      <c r="AE684" s="22">
        <f t="shared" si="0"/>
      </c>
      <c r="AI684">
        <f>[1]发票导入!AI684&amp;""</f>
      </c>
      <c r="AJ684">
        <f>[1]发票导入!AJ684&amp;""</f>
      </c>
      <c r="AK684">
        <f>[1]发票导入!AK684</f>
        <v>0</v>
      </c>
      <c r="AL684">
        <f>[1]发票导入!AL684</f>
        <v>0</v>
      </c>
      <c r="AM684">
        <f>[1]发票导入!AM684</f>
        <v>0</v>
      </c>
      <c r="AN684" s="22">
        <f t="shared" si="1"/>
        <v>0</v>
      </c>
      <c r="AO684" s="22">
        <f t="shared" si="2"/>
        <v>0</v>
      </c>
    </row>
    <row r="685">
      <c r="C685">
        <f>[1]发票导入!C685&amp;""</f>
      </c>
      <c r="D685">
        <f>[1]发票导入!D685&amp;""</f>
      </c>
      <c r="O685">
        <f>[1]发票导入!O685&amp;""</f>
      </c>
      <c r="T685">
        <f>[1]发票导入!T685</f>
      </c>
      <c r="U685">
        <f>[1]发票导入!U685&amp;""</f>
      </c>
      <c r="V685">
        <f>[1]发票导入!V685&amp;""</f>
      </c>
      <c r="W685">
        <f>[1]发票导入!W685&amp;""</f>
      </c>
      <c r="Y685">
        <f>[1]发票导入!Y685&amp;""</f>
      </c>
      <c r="AA685">
        <f>[1]发票导入!AA685&amp;""</f>
      </c>
      <c r="AB685">
        <f>[1]发票导入!AB685</f>
        <v>0</v>
      </c>
      <c r="AC685">
        <f>[1]发票导入!AC685</f>
        <v>0</v>
      </c>
      <c r="AE685" s="22">
        <f t="shared" si="0"/>
      </c>
      <c r="AI685">
        <f>[1]发票导入!AI685&amp;""</f>
      </c>
      <c r="AJ685">
        <f>[1]发票导入!AJ685&amp;""</f>
      </c>
      <c r="AK685">
        <f>[1]发票导入!AK685</f>
        <v>0</v>
      </c>
      <c r="AL685">
        <f>[1]发票导入!AL685</f>
        <v>0</v>
      </c>
      <c r="AM685">
        <f>[1]发票导入!AM685</f>
        <v>0</v>
      </c>
      <c r="AN685" s="22">
        <f t="shared" si="1"/>
        <v>0</v>
      </c>
      <c r="AO685" s="22">
        <f t="shared" si="2"/>
        <v>0</v>
      </c>
    </row>
    <row r="686">
      <c r="C686">
        <f>[1]发票导入!C686&amp;""</f>
      </c>
      <c r="D686">
        <f>[1]发票导入!D686&amp;""</f>
      </c>
      <c r="O686">
        <f>[1]发票导入!O686&amp;""</f>
      </c>
      <c r="T686">
        <f>[1]发票导入!T686</f>
      </c>
      <c r="U686">
        <f>[1]发票导入!U686&amp;""</f>
      </c>
      <c r="V686">
        <f>[1]发票导入!V686&amp;""</f>
      </c>
      <c r="W686">
        <f>[1]发票导入!W686&amp;""</f>
      </c>
      <c r="Y686">
        <f>[1]发票导入!Y686&amp;""</f>
      </c>
      <c r="AA686">
        <f>[1]发票导入!AA686&amp;""</f>
      </c>
      <c r="AB686">
        <f>[1]发票导入!AB686</f>
        <v>0</v>
      </c>
      <c r="AC686">
        <f>[1]发票导入!AC686</f>
        <v>0</v>
      </c>
      <c r="AE686" s="22">
        <f t="shared" si="0"/>
      </c>
      <c r="AI686">
        <f>[1]发票导入!AI686&amp;""</f>
      </c>
      <c r="AJ686">
        <f>[1]发票导入!AJ686&amp;""</f>
      </c>
      <c r="AK686">
        <f>[1]发票导入!AK686</f>
        <v>0</v>
      </c>
      <c r="AL686">
        <f>[1]发票导入!AL686</f>
        <v>0</v>
      </c>
      <c r="AM686">
        <f>[1]发票导入!AM686</f>
        <v>0</v>
      </c>
      <c r="AN686" s="22">
        <f t="shared" si="1"/>
        <v>0</v>
      </c>
      <c r="AO686" s="22">
        <f t="shared" si="2"/>
        <v>0</v>
      </c>
    </row>
    <row r="687">
      <c r="C687">
        <f>[1]发票导入!C687&amp;""</f>
      </c>
      <c r="D687">
        <f>[1]发票导入!D687&amp;""</f>
      </c>
      <c r="O687">
        <f>[1]发票导入!O687&amp;""</f>
      </c>
      <c r="T687">
        <f>[1]发票导入!T687</f>
      </c>
      <c r="U687">
        <f>[1]发票导入!U687&amp;""</f>
      </c>
      <c r="V687">
        <f>[1]发票导入!V687&amp;""</f>
      </c>
      <c r="W687">
        <f>[1]发票导入!W687&amp;""</f>
      </c>
      <c r="Y687">
        <f>[1]发票导入!Y687&amp;""</f>
      </c>
      <c r="AA687">
        <f>[1]发票导入!AA687&amp;""</f>
      </c>
      <c r="AB687">
        <f>[1]发票导入!AB687</f>
        <v>0</v>
      </c>
      <c r="AC687">
        <f>[1]发票导入!AC687</f>
        <v>0</v>
      </c>
      <c r="AE687" s="22">
        <f t="shared" si="0"/>
      </c>
      <c r="AI687">
        <f>[1]发票导入!AI687&amp;""</f>
      </c>
      <c r="AJ687">
        <f>[1]发票导入!AJ687&amp;""</f>
      </c>
      <c r="AK687">
        <f>[1]发票导入!AK687</f>
        <v>0</v>
      </c>
      <c r="AL687">
        <f>[1]发票导入!AL687</f>
        <v>0</v>
      </c>
      <c r="AM687">
        <f>[1]发票导入!AM687</f>
        <v>0</v>
      </c>
      <c r="AN687" s="22">
        <f t="shared" si="1"/>
        <v>0</v>
      </c>
      <c r="AO687" s="22">
        <f t="shared" si="2"/>
        <v>0</v>
      </c>
    </row>
    <row r="688">
      <c r="C688">
        <f>[1]发票导入!C688&amp;""</f>
      </c>
      <c r="D688">
        <f>[1]发票导入!D688&amp;""</f>
      </c>
      <c r="O688">
        <f>[1]发票导入!O688&amp;""</f>
      </c>
      <c r="T688">
        <f>[1]发票导入!T688</f>
      </c>
      <c r="U688">
        <f>[1]发票导入!U688&amp;""</f>
      </c>
      <c r="V688">
        <f>[1]发票导入!V688&amp;""</f>
      </c>
      <c r="W688">
        <f>[1]发票导入!W688&amp;""</f>
      </c>
      <c r="Y688">
        <f>[1]发票导入!Y688&amp;""</f>
      </c>
      <c r="AA688">
        <f>[1]发票导入!AA688&amp;""</f>
      </c>
      <c r="AB688">
        <f>[1]发票导入!AB688</f>
        <v>0</v>
      </c>
      <c r="AC688">
        <f>[1]发票导入!AC688</f>
        <v>0</v>
      </c>
      <c r="AE688" s="22">
        <f t="shared" si="0"/>
      </c>
      <c r="AI688">
        <f>[1]发票导入!AI688&amp;""</f>
      </c>
      <c r="AJ688">
        <f>[1]发票导入!AJ688&amp;""</f>
      </c>
      <c r="AK688">
        <f>[1]发票导入!AK688</f>
        <v>0</v>
      </c>
      <c r="AL688">
        <f>[1]发票导入!AL688</f>
        <v>0</v>
      </c>
      <c r="AM688">
        <f>[1]发票导入!AM688</f>
        <v>0</v>
      </c>
      <c r="AN688" s="22">
        <f t="shared" si="1"/>
        <v>0</v>
      </c>
      <c r="AO688" s="22">
        <f t="shared" si="2"/>
        <v>0</v>
      </c>
    </row>
    <row r="689">
      <c r="C689">
        <f>[1]发票导入!C689&amp;""</f>
      </c>
      <c r="D689">
        <f>[1]发票导入!D689&amp;""</f>
      </c>
      <c r="O689">
        <f>[1]发票导入!O689&amp;""</f>
      </c>
      <c r="T689">
        <f>[1]发票导入!T689</f>
      </c>
      <c r="U689">
        <f>[1]发票导入!U689&amp;""</f>
      </c>
      <c r="V689">
        <f>[1]发票导入!V689&amp;""</f>
      </c>
      <c r="W689">
        <f>[1]发票导入!W689&amp;""</f>
      </c>
      <c r="Y689">
        <f>[1]发票导入!Y689&amp;""</f>
      </c>
      <c r="AA689">
        <f>[1]发票导入!AA689&amp;""</f>
      </c>
      <c r="AB689">
        <f>[1]发票导入!AB689</f>
        <v>0</v>
      </c>
      <c r="AC689">
        <f>[1]发票导入!AC689</f>
        <v>0</v>
      </c>
      <c r="AE689" s="22">
        <f t="shared" si="0"/>
      </c>
      <c r="AI689">
        <f>[1]发票导入!AI689&amp;""</f>
      </c>
      <c r="AJ689">
        <f>[1]发票导入!AJ689&amp;""</f>
      </c>
      <c r="AK689">
        <f>[1]发票导入!AK689</f>
        <v>0</v>
      </c>
      <c r="AL689">
        <f>[1]发票导入!AL689</f>
        <v>0</v>
      </c>
      <c r="AM689">
        <f>[1]发票导入!AM689</f>
        <v>0</v>
      </c>
      <c r="AN689" s="22">
        <f t="shared" si="1"/>
        <v>0</v>
      </c>
      <c r="AO689" s="22">
        <f t="shared" si="2"/>
        <v>0</v>
      </c>
    </row>
    <row r="690">
      <c r="C690">
        <f>[1]发票导入!C690&amp;""</f>
      </c>
      <c r="D690">
        <f>[1]发票导入!D690&amp;""</f>
      </c>
      <c r="O690">
        <f>[1]发票导入!O690&amp;""</f>
      </c>
      <c r="T690">
        <f>[1]发票导入!T690</f>
      </c>
      <c r="U690">
        <f>[1]发票导入!U690&amp;""</f>
      </c>
      <c r="V690">
        <f>[1]发票导入!V690&amp;""</f>
      </c>
      <c r="W690">
        <f>[1]发票导入!W690&amp;""</f>
      </c>
      <c r="Y690">
        <f>[1]发票导入!Y690&amp;""</f>
      </c>
      <c r="AA690">
        <f>[1]发票导入!AA690&amp;""</f>
      </c>
      <c r="AB690">
        <f>[1]发票导入!AB690</f>
        <v>0</v>
      </c>
      <c r="AC690">
        <f>[1]发票导入!AC690</f>
        <v>0</v>
      </c>
      <c r="AE690" s="22">
        <f t="shared" si="0"/>
      </c>
      <c r="AI690">
        <f>[1]发票导入!AI690&amp;""</f>
      </c>
      <c r="AJ690">
        <f>[1]发票导入!AJ690&amp;""</f>
      </c>
      <c r="AK690">
        <f>[1]发票导入!AK690</f>
        <v>0</v>
      </c>
      <c r="AL690">
        <f>[1]发票导入!AL690</f>
        <v>0</v>
      </c>
      <c r="AM690">
        <f>[1]发票导入!AM690</f>
        <v>0</v>
      </c>
      <c r="AN690" s="22">
        <f t="shared" si="1"/>
        <v>0</v>
      </c>
      <c r="AO690" s="22">
        <f t="shared" si="2"/>
        <v>0</v>
      </c>
    </row>
    <row r="691">
      <c r="C691">
        <f>[1]发票导入!C691&amp;""</f>
      </c>
      <c r="D691">
        <f>[1]发票导入!D691&amp;""</f>
      </c>
      <c r="O691">
        <f>[1]发票导入!O691&amp;""</f>
      </c>
      <c r="T691">
        <f>[1]发票导入!T691</f>
      </c>
      <c r="U691">
        <f>[1]发票导入!U691&amp;""</f>
      </c>
      <c r="V691">
        <f>[1]发票导入!V691&amp;""</f>
      </c>
      <c r="W691">
        <f>[1]发票导入!W691&amp;""</f>
      </c>
      <c r="Y691">
        <f>[1]发票导入!Y691&amp;""</f>
      </c>
      <c r="AA691">
        <f>[1]发票导入!AA691&amp;""</f>
      </c>
      <c r="AB691">
        <f>[1]发票导入!AB691</f>
        <v>0</v>
      </c>
      <c r="AC691">
        <f>[1]发票导入!AC691</f>
        <v>0</v>
      </c>
      <c r="AE691" s="22">
        <f t="shared" si="0"/>
      </c>
      <c r="AI691">
        <f>[1]发票导入!AI691&amp;""</f>
      </c>
      <c r="AJ691">
        <f>[1]发票导入!AJ691&amp;""</f>
      </c>
      <c r="AK691">
        <f>[1]发票导入!AK691</f>
        <v>0</v>
      </c>
      <c r="AL691">
        <f>[1]发票导入!AL691</f>
        <v>0</v>
      </c>
      <c r="AM691">
        <f>[1]发票导入!AM691</f>
        <v>0</v>
      </c>
      <c r="AN691" s="22">
        <f t="shared" si="1"/>
        <v>0</v>
      </c>
      <c r="AO691" s="22">
        <f t="shared" si="2"/>
        <v>0</v>
      </c>
    </row>
    <row r="692">
      <c r="C692">
        <f>[1]发票导入!C692&amp;""</f>
      </c>
      <c r="D692">
        <f>[1]发票导入!D692&amp;""</f>
      </c>
      <c r="O692">
        <f>[1]发票导入!O692&amp;""</f>
      </c>
      <c r="T692">
        <f>[1]发票导入!T692</f>
      </c>
      <c r="U692">
        <f>[1]发票导入!U692&amp;""</f>
      </c>
      <c r="V692">
        <f>[1]发票导入!V692&amp;""</f>
      </c>
      <c r="W692">
        <f>[1]发票导入!W692&amp;""</f>
      </c>
      <c r="Y692">
        <f>[1]发票导入!Y692&amp;""</f>
      </c>
      <c r="AA692">
        <f>[1]发票导入!AA692&amp;""</f>
      </c>
      <c r="AB692">
        <f>[1]发票导入!AB692</f>
        <v>0</v>
      </c>
      <c r="AC692">
        <f>[1]发票导入!AC692</f>
        <v>0</v>
      </c>
      <c r="AE692" s="22">
        <f t="shared" si="0"/>
      </c>
      <c r="AI692">
        <f>[1]发票导入!AI692&amp;""</f>
      </c>
      <c r="AJ692">
        <f>[1]发票导入!AJ692&amp;""</f>
      </c>
      <c r="AK692">
        <f>[1]发票导入!AK692</f>
        <v>0</v>
      </c>
      <c r="AL692">
        <f>[1]发票导入!AL692</f>
        <v>0</v>
      </c>
      <c r="AM692">
        <f>[1]发票导入!AM692</f>
        <v>0</v>
      </c>
      <c r="AN692" s="22">
        <f t="shared" si="1"/>
        <v>0</v>
      </c>
      <c r="AO692" s="22">
        <f t="shared" si="2"/>
        <v>0</v>
      </c>
    </row>
    <row r="693">
      <c r="C693">
        <f>[1]发票导入!C693&amp;""</f>
      </c>
      <c r="D693">
        <f>[1]发票导入!D693&amp;""</f>
      </c>
      <c r="O693">
        <f>[1]发票导入!O693&amp;""</f>
      </c>
      <c r="T693">
        <f>[1]发票导入!T693</f>
      </c>
      <c r="U693">
        <f>[1]发票导入!U693&amp;""</f>
      </c>
      <c r="V693">
        <f>[1]发票导入!V693&amp;""</f>
      </c>
      <c r="W693">
        <f>[1]发票导入!W693&amp;""</f>
      </c>
      <c r="Y693">
        <f>[1]发票导入!Y693&amp;""</f>
      </c>
      <c r="AA693">
        <f>[1]发票导入!AA693&amp;""</f>
      </c>
      <c r="AB693">
        <f>[1]发票导入!AB693</f>
        <v>0</v>
      </c>
      <c r="AC693">
        <f>[1]发票导入!AC693</f>
        <v>0</v>
      </c>
      <c r="AE693" s="22">
        <f t="shared" si="0"/>
      </c>
      <c r="AI693">
        <f>[1]发票导入!AI693&amp;""</f>
      </c>
      <c r="AJ693">
        <f>[1]发票导入!AJ693&amp;""</f>
      </c>
      <c r="AK693">
        <f>[1]发票导入!AK693</f>
        <v>0</v>
      </c>
      <c r="AL693">
        <f>[1]发票导入!AL693</f>
        <v>0</v>
      </c>
      <c r="AM693">
        <f>[1]发票导入!AM693</f>
        <v>0</v>
      </c>
      <c r="AN693" s="22">
        <f t="shared" si="1"/>
        <v>0</v>
      </c>
      <c r="AO693" s="22">
        <f t="shared" si="2"/>
        <v>0</v>
      </c>
    </row>
    <row r="694">
      <c r="C694">
        <f>[1]发票导入!C694&amp;""</f>
      </c>
      <c r="D694">
        <f>[1]发票导入!D694&amp;""</f>
      </c>
      <c r="O694">
        <f>[1]发票导入!O694&amp;""</f>
      </c>
      <c r="T694">
        <f>[1]发票导入!T694</f>
      </c>
      <c r="U694">
        <f>[1]发票导入!U694&amp;""</f>
      </c>
      <c r="V694">
        <f>[1]发票导入!V694&amp;""</f>
      </c>
      <c r="W694">
        <f>[1]发票导入!W694&amp;""</f>
      </c>
      <c r="Y694">
        <f>[1]发票导入!Y694&amp;""</f>
      </c>
      <c r="AA694">
        <f>[1]发票导入!AA694&amp;""</f>
      </c>
      <c r="AB694">
        <f>[1]发票导入!AB694</f>
        <v>0</v>
      </c>
      <c r="AC694">
        <f>[1]发票导入!AC694</f>
        <v>0</v>
      </c>
      <c r="AE694" s="22">
        <f t="shared" si="0"/>
      </c>
      <c r="AI694">
        <f>[1]发票导入!AI694&amp;""</f>
      </c>
      <c r="AJ694">
        <f>[1]发票导入!AJ694&amp;""</f>
      </c>
      <c r="AK694">
        <f>[1]发票导入!AK694</f>
        <v>0</v>
      </c>
      <c r="AL694">
        <f>[1]发票导入!AL694</f>
        <v>0</v>
      </c>
      <c r="AM694">
        <f>[1]发票导入!AM694</f>
        <v>0</v>
      </c>
      <c r="AN694" s="22">
        <f t="shared" si="1"/>
        <v>0</v>
      </c>
      <c r="AO694" s="22">
        <f t="shared" si="2"/>
        <v>0</v>
      </c>
    </row>
    <row r="695">
      <c r="C695">
        <f>[1]发票导入!C695&amp;""</f>
      </c>
      <c r="D695">
        <f>[1]发票导入!D695&amp;""</f>
      </c>
      <c r="O695">
        <f>[1]发票导入!O695&amp;""</f>
      </c>
      <c r="T695">
        <f>[1]发票导入!T695</f>
      </c>
      <c r="U695">
        <f>[1]发票导入!U695&amp;""</f>
      </c>
      <c r="V695">
        <f>[1]发票导入!V695&amp;""</f>
      </c>
      <c r="W695">
        <f>[1]发票导入!W695&amp;""</f>
      </c>
      <c r="Y695">
        <f>[1]发票导入!Y695&amp;""</f>
      </c>
      <c r="AA695">
        <f>[1]发票导入!AA695&amp;""</f>
      </c>
      <c r="AB695">
        <f>[1]发票导入!AB695</f>
        <v>0</v>
      </c>
      <c r="AC695">
        <f>[1]发票导入!AC695</f>
        <v>0</v>
      </c>
      <c r="AE695" s="22">
        <f t="shared" si="0"/>
      </c>
      <c r="AI695">
        <f>[1]发票导入!AI695&amp;""</f>
      </c>
      <c r="AJ695">
        <f>[1]发票导入!AJ695&amp;""</f>
      </c>
      <c r="AK695">
        <f>[1]发票导入!AK695</f>
        <v>0</v>
      </c>
      <c r="AL695">
        <f>[1]发票导入!AL695</f>
        <v>0</v>
      </c>
      <c r="AM695">
        <f>[1]发票导入!AM695</f>
        <v>0</v>
      </c>
      <c r="AN695" s="22">
        <f t="shared" si="1"/>
        <v>0</v>
      </c>
      <c r="AO695" s="22">
        <f t="shared" si="2"/>
        <v>0</v>
      </c>
    </row>
    <row r="696">
      <c r="C696">
        <f>[1]发票导入!C696&amp;""</f>
      </c>
      <c r="D696">
        <f>[1]发票导入!D696&amp;""</f>
      </c>
      <c r="O696">
        <f>[1]发票导入!O696&amp;""</f>
      </c>
      <c r="T696">
        <f>[1]发票导入!T696</f>
      </c>
      <c r="U696">
        <f>[1]发票导入!U696&amp;""</f>
      </c>
      <c r="V696">
        <f>[1]发票导入!V696&amp;""</f>
      </c>
      <c r="W696">
        <f>[1]发票导入!W696&amp;""</f>
      </c>
      <c r="Y696">
        <f>[1]发票导入!Y696&amp;""</f>
      </c>
      <c r="AA696">
        <f>[1]发票导入!AA696&amp;""</f>
      </c>
      <c r="AB696">
        <f>[1]发票导入!AB696</f>
        <v>0</v>
      </c>
      <c r="AC696">
        <f>[1]发票导入!AC696</f>
        <v>0</v>
      </c>
      <c r="AE696" s="22">
        <f t="shared" si="0"/>
      </c>
      <c r="AI696">
        <f>[1]发票导入!AI696&amp;""</f>
      </c>
      <c r="AJ696">
        <f>[1]发票导入!AJ696&amp;""</f>
      </c>
      <c r="AK696">
        <f>[1]发票导入!AK696</f>
        <v>0</v>
      </c>
      <c r="AL696">
        <f>[1]发票导入!AL696</f>
        <v>0</v>
      </c>
      <c r="AM696">
        <f>[1]发票导入!AM696</f>
        <v>0</v>
      </c>
      <c r="AN696" s="22">
        <f t="shared" si="1"/>
        <v>0</v>
      </c>
      <c r="AO696" s="22">
        <f t="shared" si="2"/>
        <v>0</v>
      </c>
    </row>
    <row r="697">
      <c r="C697">
        <f>[1]发票导入!C697&amp;""</f>
      </c>
      <c r="D697">
        <f>[1]发票导入!D697&amp;""</f>
      </c>
      <c r="O697">
        <f>[1]发票导入!O697&amp;""</f>
      </c>
      <c r="T697">
        <f>[1]发票导入!T697</f>
      </c>
      <c r="U697">
        <f>[1]发票导入!U697&amp;""</f>
      </c>
      <c r="V697">
        <f>[1]发票导入!V697&amp;""</f>
      </c>
      <c r="W697">
        <f>[1]发票导入!W697&amp;""</f>
      </c>
      <c r="Y697">
        <f>[1]发票导入!Y697&amp;""</f>
      </c>
      <c r="AA697">
        <f>[1]发票导入!AA697&amp;""</f>
      </c>
      <c r="AB697">
        <f>[1]发票导入!AB697</f>
        <v>0</v>
      </c>
      <c r="AC697">
        <f>[1]发票导入!AC697</f>
        <v>0</v>
      </c>
      <c r="AE697" s="22">
        <f t="shared" si="0"/>
      </c>
      <c r="AI697">
        <f>[1]发票导入!AI697&amp;""</f>
      </c>
      <c r="AJ697">
        <f>[1]发票导入!AJ697&amp;""</f>
      </c>
      <c r="AK697">
        <f>[1]发票导入!AK697</f>
        <v>0</v>
      </c>
      <c r="AL697">
        <f>[1]发票导入!AL697</f>
        <v>0</v>
      </c>
      <c r="AM697">
        <f>[1]发票导入!AM697</f>
        <v>0</v>
      </c>
      <c r="AN697" s="22">
        <f t="shared" si="1"/>
        <v>0</v>
      </c>
      <c r="AO697" s="22">
        <f t="shared" si="2"/>
        <v>0</v>
      </c>
    </row>
    <row r="698">
      <c r="C698">
        <f>[1]发票导入!C698&amp;""</f>
      </c>
      <c r="D698">
        <f>[1]发票导入!D698&amp;""</f>
      </c>
      <c r="O698">
        <f>[1]发票导入!O698&amp;""</f>
      </c>
      <c r="T698">
        <f>[1]发票导入!T698</f>
      </c>
      <c r="U698">
        <f>[1]发票导入!U698&amp;""</f>
      </c>
      <c r="V698">
        <f>[1]发票导入!V698&amp;""</f>
      </c>
      <c r="W698">
        <f>[1]发票导入!W698&amp;""</f>
      </c>
      <c r="Y698">
        <f>[1]发票导入!Y698&amp;""</f>
      </c>
      <c r="AA698">
        <f>[1]发票导入!AA698&amp;""</f>
      </c>
      <c r="AB698">
        <f>[1]发票导入!AB698</f>
        <v>0</v>
      </c>
      <c r="AC698">
        <f>[1]发票导入!AC698</f>
        <v>0</v>
      </c>
      <c r="AE698" s="22">
        <f t="shared" si="0"/>
      </c>
      <c r="AI698">
        <f>[1]发票导入!AI698&amp;""</f>
      </c>
      <c r="AJ698">
        <f>[1]发票导入!AJ698&amp;""</f>
      </c>
      <c r="AK698">
        <f>[1]发票导入!AK698</f>
        <v>0</v>
      </c>
      <c r="AL698">
        <f>[1]发票导入!AL698</f>
        <v>0</v>
      </c>
      <c r="AM698">
        <f>[1]发票导入!AM698</f>
        <v>0</v>
      </c>
      <c r="AN698" s="22">
        <f t="shared" si="1"/>
        <v>0</v>
      </c>
      <c r="AO698" s="22">
        <f t="shared" si="2"/>
        <v>0</v>
      </c>
    </row>
    <row r="699">
      <c r="C699">
        <f>[1]发票导入!C699&amp;""</f>
      </c>
      <c r="D699">
        <f>[1]发票导入!D699&amp;""</f>
      </c>
      <c r="O699">
        <f>[1]发票导入!O699&amp;""</f>
      </c>
      <c r="T699">
        <f>[1]发票导入!T699</f>
      </c>
      <c r="U699">
        <f>[1]发票导入!U699&amp;""</f>
      </c>
      <c r="V699">
        <f>[1]发票导入!V699&amp;""</f>
      </c>
      <c r="W699">
        <f>[1]发票导入!W699&amp;""</f>
      </c>
      <c r="Y699">
        <f>[1]发票导入!Y699&amp;""</f>
      </c>
      <c r="AA699">
        <f>[1]发票导入!AA699&amp;""</f>
      </c>
      <c r="AB699">
        <f>[1]发票导入!AB699</f>
        <v>0</v>
      </c>
      <c r="AC699">
        <f>[1]发票导入!AC699</f>
        <v>0</v>
      </c>
      <c r="AE699" s="22">
        <f t="shared" si="0"/>
      </c>
      <c r="AI699">
        <f>[1]发票导入!AI699&amp;""</f>
      </c>
      <c r="AJ699">
        <f>[1]发票导入!AJ699&amp;""</f>
      </c>
      <c r="AK699">
        <f>[1]发票导入!AK699</f>
        <v>0</v>
      </c>
      <c r="AL699">
        <f>[1]发票导入!AL699</f>
        <v>0</v>
      </c>
      <c r="AM699">
        <f>[1]发票导入!AM699</f>
        <v>0</v>
      </c>
      <c r="AN699" s="22">
        <f t="shared" si="1"/>
        <v>0</v>
      </c>
      <c r="AO699" s="22">
        <f t="shared" si="2"/>
        <v>0</v>
      </c>
    </row>
    <row r="700">
      <c r="C700">
        <f>[1]发票导入!C700&amp;""</f>
      </c>
      <c r="D700">
        <f>[1]发票导入!D700&amp;""</f>
      </c>
      <c r="O700">
        <f>[1]发票导入!O700&amp;""</f>
      </c>
      <c r="T700">
        <f>[1]发票导入!T700</f>
      </c>
      <c r="U700">
        <f>[1]发票导入!U700&amp;""</f>
      </c>
      <c r="V700">
        <f>[1]发票导入!V700&amp;""</f>
      </c>
      <c r="W700">
        <f>[1]发票导入!W700&amp;""</f>
      </c>
      <c r="Y700">
        <f>[1]发票导入!Y700&amp;""</f>
      </c>
      <c r="AA700">
        <f>[1]发票导入!AA700&amp;""</f>
      </c>
      <c r="AB700">
        <f>[1]发票导入!AB700</f>
        <v>0</v>
      </c>
      <c r="AC700">
        <f>[1]发票导入!AC700</f>
        <v>0</v>
      </c>
      <c r="AE700" s="22">
        <f t="shared" si="0"/>
      </c>
      <c r="AI700">
        <f>[1]发票导入!AI700&amp;""</f>
      </c>
      <c r="AJ700">
        <f>[1]发票导入!AJ700&amp;""</f>
      </c>
      <c r="AK700">
        <f>[1]发票导入!AK700</f>
        <v>0</v>
      </c>
      <c r="AL700">
        <f>[1]发票导入!AL700</f>
        <v>0</v>
      </c>
      <c r="AM700">
        <f>[1]发票导入!AM700</f>
        <v>0</v>
      </c>
      <c r="AN700" s="22">
        <f t="shared" si="1"/>
        <v>0</v>
      </c>
      <c r="AO700" s="22">
        <f t="shared" si="2"/>
        <v>0</v>
      </c>
    </row>
    <row r="701">
      <c r="C701">
        <f>[1]发票导入!C701&amp;""</f>
      </c>
      <c r="D701">
        <f>[1]发票导入!D701&amp;""</f>
      </c>
      <c r="O701">
        <f>[1]发票导入!O701&amp;""</f>
      </c>
      <c r="T701">
        <f>[1]发票导入!T701</f>
      </c>
      <c r="U701">
        <f>[1]发票导入!U701&amp;""</f>
      </c>
      <c r="V701">
        <f>[1]发票导入!V701&amp;""</f>
      </c>
      <c r="W701">
        <f>[1]发票导入!W701&amp;""</f>
      </c>
      <c r="Y701">
        <f>[1]发票导入!Y701&amp;""</f>
      </c>
      <c r="AA701">
        <f>[1]发票导入!AA701&amp;""</f>
      </c>
      <c r="AB701">
        <f>[1]发票导入!AB701</f>
        <v>0</v>
      </c>
      <c r="AC701">
        <f>[1]发票导入!AC701</f>
        <v>0</v>
      </c>
      <c r="AE701" s="22">
        <f t="shared" si="0"/>
      </c>
      <c r="AI701">
        <f>[1]发票导入!AI701&amp;""</f>
      </c>
      <c r="AJ701">
        <f>[1]发票导入!AJ701&amp;""</f>
      </c>
      <c r="AK701">
        <f>[1]发票导入!AK701</f>
        <v>0</v>
      </c>
      <c r="AL701">
        <f>[1]发票导入!AL701</f>
        <v>0</v>
      </c>
      <c r="AM701">
        <f>[1]发票导入!AM701</f>
        <v>0</v>
      </c>
      <c r="AN701" s="22">
        <f t="shared" si="1"/>
        <v>0</v>
      </c>
      <c r="AO701" s="22">
        <f t="shared" si="2"/>
        <v>0</v>
      </c>
    </row>
    <row r="702">
      <c r="C702">
        <f>[1]发票导入!C702&amp;""</f>
      </c>
      <c r="D702">
        <f>[1]发票导入!D702&amp;""</f>
      </c>
      <c r="O702">
        <f>[1]发票导入!O702&amp;""</f>
      </c>
      <c r="T702">
        <f>[1]发票导入!T702</f>
      </c>
      <c r="U702">
        <f>[1]发票导入!U702&amp;""</f>
      </c>
      <c r="V702">
        <f>[1]发票导入!V702&amp;""</f>
      </c>
      <c r="W702">
        <f>[1]发票导入!W702&amp;""</f>
      </c>
      <c r="Y702">
        <f>[1]发票导入!Y702&amp;""</f>
      </c>
      <c r="AA702">
        <f>[1]发票导入!AA702&amp;""</f>
      </c>
      <c r="AB702">
        <f>[1]发票导入!AB702</f>
        <v>0</v>
      </c>
      <c r="AC702">
        <f>[1]发票导入!AC702</f>
        <v>0</v>
      </c>
      <c r="AE702" s="22">
        <f t="shared" si="0"/>
      </c>
      <c r="AI702">
        <f>[1]发票导入!AI702&amp;""</f>
      </c>
      <c r="AJ702">
        <f>[1]发票导入!AJ702&amp;""</f>
      </c>
      <c r="AK702">
        <f>[1]发票导入!AK702</f>
        <v>0</v>
      </c>
      <c r="AL702">
        <f>[1]发票导入!AL702</f>
        <v>0</v>
      </c>
      <c r="AM702">
        <f>[1]发票导入!AM702</f>
        <v>0</v>
      </c>
      <c r="AN702" s="22">
        <f t="shared" si="1"/>
        <v>0</v>
      </c>
      <c r="AO702" s="22">
        <f t="shared" si="2"/>
        <v>0</v>
      </c>
    </row>
    <row r="703">
      <c r="C703">
        <f>[1]发票导入!C703&amp;""</f>
      </c>
      <c r="D703">
        <f>[1]发票导入!D703&amp;""</f>
      </c>
      <c r="O703">
        <f>[1]发票导入!O703&amp;""</f>
      </c>
      <c r="T703">
        <f>[1]发票导入!T703</f>
      </c>
      <c r="U703">
        <f>[1]发票导入!U703&amp;""</f>
      </c>
      <c r="V703">
        <f>[1]发票导入!V703&amp;""</f>
      </c>
      <c r="W703">
        <f>[1]发票导入!W703&amp;""</f>
      </c>
      <c r="Y703">
        <f>[1]发票导入!Y703&amp;""</f>
      </c>
      <c r="AA703">
        <f>[1]发票导入!AA703&amp;""</f>
      </c>
      <c r="AB703">
        <f>[1]发票导入!AB703</f>
        <v>0</v>
      </c>
      <c r="AC703">
        <f>[1]发票导入!AC703</f>
        <v>0</v>
      </c>
      <c r="AE703" s="22">
        <f t="shared" si="0"/>
      </c>
      <c r="AI703">
        <f>[1]发票导入!AI703&amp;""</f>
      </c>
      <c r="AJ703">
        <f>[1]发票导入!AJ703&amp;""</f>
      </c>
      <c r="AK703">
        <f>[1]发票导入!AK703</f>
        <v>0</v>
      </c>
      <c r="AL703">
        <f>[1]发票导入!AL703</f>
        <v>0</v>
      </c>
      <c r="AM703">
        <f>[1]发票导入!AM703</f>
        <v>0</v>
      </c>
      <c r="AN703" s="22">
        <f t="shared" si="1"/>
        <v>0</v>
      </c>
      <c r="AO703" s="22">
        <f t="shared" si="2"/>
        <v>0</v>
      </c>
    </row>
    <row r="704">
      <c r="C704">
        <f>[1]发票导入!C704&amp;""</f>
      </c>
      <c r="D704">
        <f>[1]发票导入!D704&amp;""</f>
      </c>
      <c r="O704">
        <f>[1]发票导入!O704&amp;""</f>
      </c>
      <c r="T704">
        <f>[1]发票导入!T704</f>
      </c>
      <c r="U704">
        <f>[1]发票导入!U704&amp;""</f>
      </c>
      <c r="V704">
        <f>[1]发票导入!V704&amp;""</f>
      </c>
      <c r="W704">
        <f>[1]发票导入!W704&amp;""</f>
      </c>
      <c r="Y704">
        <f>[1]发票导入!Y704&amp;""</f>
      </c>
      <c r="AA704">
        <f>[1]发票导入!AA704&amp;""</f>
      </c>
      <c r="AB704">
        <f>[1]发票导入!AB704</f>
        <v>0</v>
      </c>
      <c r="AC704">
        <f>[1]发票导入!AC704</f>
        <v>0</v>
      </c>
      <c r="AE704" s="22">
        <f t="shared" si="0"/>
      </c>
      <c r="AI704">
        <f>[1]发票导入!AI704&amp;""</f>
      </c>
      <c r="AJ704">
        <f>[1]发票导入!AJ704&amp;""</f>
      </c>
      <c r="AK704">
        <f>[1]发票导入!AK704</f>
        <v>0</v>
      </c>
      <c r="AL704">
        <f>[1]发票导入!AL704</f>
        <v>0</v>
      </c>
      <c r="AM704">
        <f>[1]发票导入!AM704</f>
        <v>0</v>
      </c>
      <c r="AN704" s="22">
        <f t="shared" si="1"/>
        <v>0</v>
      </c>
      <c r="AO704" s="22">
        <f t="shared" si="2"/>
        <v>0</v>
      </c>
    </row>
    <row r="705">
      <c r="C705">
        <f>[1]发票导入!C705&amp;""</f>
      </c>
      <c r="D705">
        <f>[1]发票导入!D705&amp;""</f>
      </c>
      <c r="O705">
        <f>[1]发票导入!O705&amp;""</f>
      </c>
      <c r="T705">
        <f>[1]发票导入!T705</f>
      </c>
      <c r="U705">
        <f>[1]发票导入!U705&amp;""</f>
      </c>
      <c r="V705">
        <f>[1]发票导入!V705&amp;""</f>
      </c>
      <c r="W705">
        <f>[1]发票导入!W705&amp;""</f>
      </c>
      <c r="Y705">
        <f>[1]发票导入!Y705&amp;""</f>
      </c>
      <c r="AA705">
        <f>[1]发票导入!AA705&amp;""</f>
      </c>
      <c r="AB705">
        <f>[1]发票导入!AB705</f>
        <v>0</v>
      </c>
      <c r="AC705">
        <f>[1]发票导入!AC705</f>
        <v>0</v>
      </c>
      <c r="AE705" s="22">
        <f t="shared" si="0"/>
      </c>
      <c r="AI705">
        <f>[1]发票导入!AI705&amp;""</f>
      </c>
      <c r="AJ705">
        <f>[1]发票导入!AJ705&amp;""</f>
      </c>
      <c r="AK705">
        <f>[1]发票导入!AK705</f>
        <v>0</v>
      </c>
      <c r="AL705">
        <f>[1]发票导入!AL705</f>
        <v>0</v>
      </c>
      <c r="AM705">
        <f>[1]发票导入!AM705</f>
        <v>0</v>
      </c>
      <c r="AN705" s="22">
        <f t="shared" si="1"/>
        <v>0</v>
      </c>
      <c r="AO705" s="22">
        <f t="shared" si="2"/>
        <v>0</v>
      </c>
    </row>
    <row r="706">
      <c r="C706">
        <f>[1]发票导入!C706&amp;""</f>
      </c>
      <c r="D706">
        <f>[1]发票导入!D706&amp;""</f>
      </c>
      <c r="O706">
        <f>[1]发票导入!O706&amp;""</f>
      </c>
      <c r="T706">
        <f>[1]发票导入!T706</f>
      </c>
      <c r="U706">
        <f>[1]发票导入!U706&amp;""</f>
      </c>
      <c r="V706">
        <f>[1]发票导入!V706&amp;""</f>
      </c>
      <c r="W706">
        <f>[1]发票导入!W706&amp;""</f>
      </c>
      <c r="Y706">
        <f>[1]发票导入!Y706&amp;""</f>
      </c>
      <c r="AA706">
        <f>[1]发票导入!AA706&amp;""</f>
      </c>
      <c r="AB706">
        <f>[1]发票导入!AB706</f>
        <v>0</v>
      </c>
      <c r="AC706">
        <f>[1]发票导入!AC706</f>
        <v>0</v>
      </c>
      <c r="AE706" s="22">
        <f t="shared" si="0"/>
      </c>
      <c r="AI706">
        <f>[1]发票导入!AI706&amp;""</f>
      </c>
      <c r="AJ706">
        <f>[1]发票导入!AJ706&amp;""</f>
      </c>
      <c r="AK706">
        <f>[1]发票导入!AK706</f>
        <v>0</v>
      </c>
      <c r="AL706">
        <f>[1]发票导入!AL706</f>
        <v>0</v>
      </c>
      <c r="AM706">
        <f>[1]发票导入!AM706</f>
        <v>0</v>
      </c>
      <c r="AN706" s="22">
        <f t="shared" si="1"/>
        <v>0</v>
      </c>
      <c r="AO706" s="22">
        <f t="shared" si="2"/>
        <v>0</v>
      </c>
    </row>
    <row r="707">
      <c r="C707">
        <f>[1]发票导入!C707&amp;""</f>
      </c>
      <c r="D707">
        <f>[1]发票导入!D707&amp;""</f>
      </c>
      <c r="O707">
        <f>[1]发票导入!O707&amp;""</f>
      </c>
      <c r="T707">
        <f>[1]发票导入!T707</f>
      </c>
      <c r="U707">
        <f>[1]发票导入!U707&amp;""</f>
      </c>
      <c r="V707">
        <f>[1]发票导入!V707&amp;""</f>
      </c>
      <c r="W707">
        <f>[1]发票导入!W707&amp;""</f>
      </c>
      <c r="Y707">
        <f>[1]发票导入!Y707&amp;""</f>
      </c>
      <c r="AA707">
        <f>[1]发票导入!AA707&amp;""</f>
      </c>
      <c r="AB707">
        <f>[1]发票导入!AB707</f>
        <v>0</v>
      </c>
      <c r="AC707">
        <f>[1]发票导入!AC707</f>
        <v>0</v>
      </c>
      <c r="AE707" s="22">
        <f t="shared" si="0"/>
      </c>
      <c r="AI707">
        <f>[1]发票导入!AI707&amp;""</f>
      </c>
      <c r="AJ707">
        <f>[1]发票导入!AJ707&amp;""</f>
      </c>
      <c r="AK707">
        <f>[1]发票导入!AK707</f>
        <v>0</v>
      </c>
      <c r="AL707">
        <f>[1]发票导入!AL707</f>
        <v>0</v>
      </c>
      <c r="AM707">
        <f>[1]发票导入!AM707</f>
        <v>0</v>
      </c>
      <c r="AN707" s="22">
        <f t="shared" si="1"/>
        <v>0</v>
      </c>
      <c r="AO707" s="22">
        <f t="shared" si="2"/>
        <v>0</v>
      </c>
    </row>
    <row r="708">
      <c r="C708">
        <f>[1]发票导入!C708&amp;""</f>
      </c>
      <c r="D708">
        <f>[1]发票导入!D708&amp;""</f>
      </c>
      <c r="O708">
        <f>[1]发票导入!O708&amp;""</f>
      </c>
      <c r="T708">
        <f>[1]发票导入!T708</f>
      </c>
      <c r="U708">
        <f>[1]发票导入!U708&amp;""</f>
      </c>
      <c r="V708">
        <f>[1]发票导入!V708&amp;""</f>
      </c>
      <c r="W708">
        <f>[1]发票导入!W708&amp;""</f>
      </c>
      <c r="Y708">
        <f>[1]发票导入!Y708&amp;""</f>
      </c>
      <c r="AA708">
        <f>[1]发票导入!AA708&amp;""</f>
      </c>
      <c r="AB708">
        <f>[1]发票导入!AB708</f>
        <v>0</v>
      </c>
      <c r="AC708">
        <f>[1]发票导入!AC708</f>
        <v>0</v>
      </c>
      <c r="AE708" s="22">
        <f t="shared" si="0"/>
      </c>
      <c r="AI708">
        <f>[1]发票导入!AI708&amp;""</f>
      </c>
      <c r="AJ708">
        <f>[1]发票导入!AJ708&amp;""</f>
      </c>
      <c r="AK708">
        <f>[1]发票导入!AK708</f>
        <v>0</v>
      </c>
      <c r="AL708">
        <f>[1]发票导入!AL708</f>
        <v>0</v>
      </c>
      <c r="AM708">
        <f>[1]发票导入!AM708</f>
        <v>0</v>
      </c>
      <c r="AN708" s="22">
        <f t="shared" si="1"/>
        <v>0</v>
      </c>
      <c r="AO708" s="22">
        <f t="shared" si="2"/>
        <v>0</v>
      </c>
    </row>
    <row r="709">
      <c r="C709">
        <f>[1]发票导入!C709&amp;""</f>
      </c>
      <c r="D709">
        <f>[1]发票导入!D709&amp;""</f>
      </c>
      <c r="O709">
        <f>[1]发票导入!O709&amp;""</f>
      </c>
      <c r="T709">
        <f>[1]发票导入!T709</f>
      </c>
      <c r="U709">
        <f>[1]发票导入!U709&amp;""</f>
      </c>
      <c r="V709">
        <f>[1]发票导入!V709&amp;""</f>
      </c>
      <c r="W709">
        <f>[1]发票导入!W709&amp;""</f>
      </c>
      <c r="Y709">
        <f>[1]发票导入!Y709&amp;""</f>
      </c>
      <c r="AA709">
        <f>[1]发票导入!AA709&amp;""</f>
      </c>
      <c r="AB709">
        <f>[1]发票导入!AB709</f>
        <v>0</v>
      </c>
      <c r="AC709">
        <f>[1]发票导入!AC709</f>
        <v>0</v>
      </c>
      <c r="AE709" s="22">
        <f t="shared" si="0"/>
      </c>
      <c r="AI709">
        <f>[1]发票导入!AI709&amp;""</f>
      </c>
      <c r="AJ709">
        <f>[1]发票导入!AJ709&amp;""</f>
      </c>
      <c r="AK709">
        <f>[1]发票导入!AK709</f>
        <v>0</v>
      </c>
      <c r="AL709">
        <f>[1]发票导入!AL709</f>
        <v>0</v>
      </c>
      <c r="AM709">
        <f>[1]发票导入!AM709</f>
        <v>0</v>
      </c>
      <c r="AN709" s="22">
        <f t="shared" si="1"/>
        <v>0</v>
      </c>
      <c r="AO709" s="22">
        <f t="shared" si="2"/>
        <v>0</v>
      </c>
    </row>
    <row r="710">
      <c r="C710">
        <f>[1]发票导入!C710&amp;""</f>
      </c>
      <c r="D710">
        <f>[1]发票导入!D710&amp;""</f>
      </c>
      <c r="O710">
        <f>[1]发票导入!O710&amp;""</f>
      </c>
      <c r="T710">
        <f>[1]发票导入!T710</f>
      </c>
      <c r="U710">
        <f>[1]发票导入!U710&amp;""</f>
      </c>
      <c r="V710">
        <f>[1]发票导入!V710&amp;""</f>
      </c>
      <c r="W710">
        <f>[1]发票导入!W710&amp;""</f>
      </c>
      <c r="Y710">
        <f>[1]发票导入!Y710&amp;""</f>
      </c>
      <c r="AA710">
        <f>[1]发票导入!AA710&amp;""</f>
      </c>
      <c r="AB710">
        <f>[1]发票导入!AB710</f>
        <v>0</v>
      </c>
      <c r="AC710">
        <f>[1]发票导入!AC710</f>
        <v>0</v>
      </c>
      <c r="AE710" s="22">
        <f t="shared" si="0"/>
      </c>
      <c r="AI710">
        <f>[1]发票导入!AI710&amp;""</f>
      </c>
      <c r="AJ710">
        <f>[1]发票导入!AJ710&amp;""</f>
      </c>
      <c r="AK710">
        <f>[1]发票导入!AK710</f>
        <v>0</v>
      </c>
      <c r="AL710">
        <f>[1]发票导入!AL710</f>
        <v>0</v>
      </c>
      <c r="AM710">
        <f>[1]发票导入!AM710</f>
        <v>0</v>
      </c>
      <c r="AN710" s="22">
        <f t="shared" si="1"/>
        <v>0</v>
      </c>
      <c r="AO710" s="22">
        <f t="shared" si="2"/>
        <v>0</v>
      </c>
    </row>
    <row r="711">
      <c r="C711">
        <f>[1]发票导入!C711&amp;""</f>
      </c>
      <c r="D711">
        <f>[1]发票导入!D711&amp;""</f>
      </c>
      <c r="O711">
        <f>[1]发票导入!O711&amp;""</f>
      </c>
      <c r="T711">
        <f>[1]发票导入!T711</f>
      </c>
      <c r="U711">
        <f>[1]发票导入!U711&amp;""</f>
      </c>
      <c r="V711">
        <f>[1]发票导入!V711&amp;""</f>
      </c>
      <c r="W711">
        <f>[1]发票导入!W711&amp;""</f>
      </c>
      <c r="Y711">
        <f>[1]发票导入!Y711&amp;""</f>
      </c>
      <c r="AA711">
        <f>[1]发票导入!AA711&amp;""</f>
      </c>
      <c r="AB711">
        <f>[1]发票导入!AB711</f>
        <v>0</v>
      </c>
      <c r="AC711">
        <f>[1]发票导入!AC711</f>
        <v>0</v>
      </c>
      <c r="AE711" s="22">
        <f t="shared" si="0"/>
      </c>
      <c r="AI711">
        <f>[1]发票导入!AI711&amp;""</f>
      </c>
      <c r="AJ711">
        <f>[1]发票导入!AJ711&amp;""</f>
      </c>
      <c r="AK711">
        <f>[1]发票导入!AK711</f>
        <v>0</v>
      </c>
      <c r="AL711">
        <f>[1]发票导入!AL711</f>
        <v>0</v>
      </c>
      <c r="AM711">
        <f>[1]发票导入!AM711</f>
        <v>0</v>
      </c>
      <c r="AN711" s="22">
        <f t="shared" si="1"/>
        <v>0</v>
      </c>
      <c r="AO711" s="22">
        <f t="shared" si="2"/>
        <v>0</v>
      </c>
    </row>
    <row r="712">
      <c r="C712">
        <f>[1]发票导入!C712&amp;""</f>
      </c>
      <c r="D712">
        <f>[1]发票导入!D712&amp;""</f>
      </c>
      <c r="O712">
        <f>[1]发票导入!O712&amp;""</f>
      </c>
      <c r="T712">
        <f>[1]发票导入!T712</f>
      </c>
      <c r="U712">
        <f>[1]发票导入!U712&amp;""</f>
      </c>
      <c r="V712">
        <f>[1]发票导入!V712&amp;""</f>
      </c>
      <c r="W712">
        <f>[1]发票导入!W712&amp;""</f>
      </c>
      <c r="Y712">
        <f>[1]发票导入!Y712&amp;""</f>
      </c>
      <c r="AA712">
        <f>[1]发票导入!AA712&amp;""</f>
      </c>
      <c r="AB712">
        <f>[1]发票导入!AB712</f>
        <v>0</v>
      </c>
      <c r="AC712">
        <f>[1]发票导入!AC712</f>
        <v>0</v>
      </c>
      <c r="AE712" s="22">
        <f t="shared" si="0"/>
      </c>
      <c r="AI712">
        <f>[1]发票导入!AI712&amp;""</f>
      </c>
      <c r="AJ712">
        <f>[1]发票导入!AJ712&amp;""</f>
      </c>
      <c r="AK712">
        <f>[1]发票导入!AK712</f>
        <v>0</v>
      </c>
      <c r="AL712">
        <f>[1]发票导入!AL712</f>
        <v>0</v>
      </c>
      <c r="AM712">
        <f>[1]发票导入!AM712</f>
        <v>0</v>
      </c>
      <c r="AN712" s="22">
        <f t="shared" si="1"/>
        <v>0</v>
      </c>
      <c r="AO712" s="22">
        <f t="shared" si="2"/>
        <v>0</v>
      </c>
    </row>
    <row r="713">
      <c r="C713">
        <f>[1]发票导入!C713&amp;""</f>
      </c>
      <c r="D713">
        <f>[1]发票导入!D713&amp;""</f>
      </c>
      <c r="O713">
        <f>[1]发票导入!O713&amp;""</f>
      </c>
      <c r="T713">
        <f>[1]发票导入!T713</f>
      </c>
      <c r="U713">
        <f>[1]发票导入!U713&amp;""</f>
      </c>
      <c r="V713">
        <f>[1]发票导入!V713&amp;""</f>
      </c>
      <c r="W713">
        <f>[1]发票导入!W713&amp;""</f>
      </c>
      <c r="Y713">
        <f>[1]发票导入!Y713&amp;""</f>
      </c>
      <c r="AA713">
        <f>[1]发票导入!AA713&amp;""</f>
      </c>
      <c r="AB713">
        <f>[1]发票导入!AB713</f>
        <v>0</v>
      </c>
      <c r="AC713">
        <f>[1]发票导入!AC713</f>
        <v>0</v>
      </c>
      <c r="AE713" s="22">
        <f t="shared" si="0"/>
      </c>
      <c r="AI713">
        <f>[1]发票导入!AI713&amp;""</f>
      </c>
      <c r="AJ713">
        <f>[1]发票导入!AJ713&amp;""</f>
      </c>
      <c r="AK713">
        <f>[1]发票导入!AK713</f>
        <v>0</v>
      </c>
      <c r="AL713">
        <f>[1]发票导入!AL713</f>
        <v>0</v>
      </c>
      <c r="AM713">
        <f>[1]发票导入!AM713</f>
        <v>0</v>
      </c>
      <c r="AN713" s="22">
        <f t="shared" si="1"/>
        <v>0</v>
      </c>
      <c r="AO713" s="22">
        <f t="shared" si="2"/>
        <v>0</v>
      </c>
    </row>
    <row r="714">
      <c r="C714">
        <f>[1]发票导入!C714&amp;""</f>
      </c>
      <c r="D714">
        <f>[1]发票导入!D714&amp;""</f>
      </c>
      <c r="O714">
        <f>[1]发票导入!O714&amp;""</f>
      </c>
      <c r="T714">
        <f>[1]发票导入!T714</f>
      </c>
      <c r="U714">
        <f>[1]发票导入!U714&amp;""</f>
      </c>
      <c r="V714">
        <f>[1]发票导入!V714&amp;""</f>
      </c>
      <c r="W714">
        <f>[1]发票导入!W714&amp;""</f>
      </c>
      <c r="Y714">
        <f>[1]发票导入!Y714&amp;""</f>
      </c>
      <c r="AA714">
        <f>[1]发票导入!AA714&amp;""</f>
      </c>
      <c r="AB714">
        <f>[1]发票导入!AB714</f>
        <v>0</v>
      </c>
      <c r="AC714">
        <f>[1]发票导入!AC714</f>
        <v>0</v>
      </c>
      <c r="AE714" s="22">
        <f t="shared" si="0"/>
      </c>
      <c r="AI714">
        <f>[1]发票导入!AI714&amp;""</f>
      </c>
      <c r="AJ714">
        <f>[1]发票导入!AJ714&amp;""</f>
      </c>
      <c r="AK714">
        <f>[1]发票导入!AK714</f>
        <v>0</v>
      </c>
      <c r="AL714">
        <f>[1]发票导入!AL714</f>
        <v>0</v>
      </c>
      <c r="AM714">
        <f>[1]发票导入!AM714</f>
        <v>0</v>
      </c>
      <c r="AN714" s="22">
        <f t="shared" si="1"/>
        <v>0</v>
      </c>
      <c r="AO714" s="22">
        <f t="shared" si="2"/>
        <v>0</v>
      </c>
    </row>
    <row r="715">
      <c r="C715">
        <f>[1]发票导入!C715&amp;""</f>
      </c>
      <c r="D715">
        <f>[1]发票导入!D715&amp;""</f>
      </c>
      <c r="O715">
        <f>[1]发票导入!O715&amp;""</f>
      </c>
      <c r="T715">
        <f>[1]发票导入!T715</f>
      </c>
      <c r="U715">
        <f>[1]发票导入!U715&amp;""</f>
      </c>
      <c r="V715">
        <f>[1]发票导入!V715&amp;""</f>
      </c>
      <c r="W715">
        <f>[1]发票导入!W715&amp;""</f>
      </c>
      <c r="Y715">
        <f>[1]发票导入!Y715&amp;""</f>
      </c>
      <c r="AA715">
        <f>[1]发票导入!AA715&amp;""</f>
      </c>
      <c r="AB715">
        <f>[1]发票导入!AB715</f>
        <v>0</v>
      </c>
      <c r="AC715">
        <f>[1]发票导入!AC715</f>
        <v>0</v>
      </c>
      <c r="AE715" s="22">
        <f t="shared" si="0"/>
      </c>
      <c r="AI715">
        <f>[1]发票导入!AI715&amp;""</f>
      </c>
      <c r="AJ715">
        <f>[1]发票导入!AJ715&amp;""</f>
      </c>
      <c r="AK715">
        <f>[1]发票导入!AK715</f>
        <v>0</v>
      </c>
      <c r="AL715">
        <f>[1]发票导入!AL715</f>
        <v>0</v>
      </c>
      <c r="AM715">
        <f>[1]发票导入!AM715</f>
        <v>0</v>
      </c>
      <c r="AN715" s="22">
        <f t="shared" si="1"/>
        <v>0</v>
      </c>
      <c r="AO715" s="22">
        <f t="shared" si="2"/>
        <v>0</v>
      </c>
    </row>
    <row r="716">
      <c r="C716">
        <f>[1]发票导入!C716&amp;""</f>
      </c>
      <c r="D716">
        <f>[1]发票导入!D716&amp;""</f>
      </c>
      <c r="O716">
        <f>[1]发票导入!O716&amp;""</f>
      </c>
      <c r="T716">
        <f>[1]发票导入!T716</f>
      </c>
      <c r="U716">
        <f>[1]发票导入!U716&amp;""</f>
      </c>
      <c r="V716">
        <f>[1]发票导入!V716&amp;""</f>
      </c>
      <c r="W716">
        <f>[1]发票导入!W716&amp;""</f>
      </c>
      <c r="Y716">
        <f>[1]发票导入!Y716&amp;""</f>
      </c>
      <c r="AA716">
        <f>[1]发票导入!AA716&amp;""</f>
      </c>
      <c r="AB716">
        <f>[1]发票导入!AB716</f>
        <v>0</v>
      </c>
      <c r="AC716">
        <f>[1]发票导入!AC716</f>
        <v>0</v>
      </c>
      <c r="AE716" s="22">
        <f t="shared" si="0"/>
      </c>
      <c r="AI716">
        <f>[1]发票导入!AI716&amp;""</f>
      </c>
      <c r="AJ716">
        <f>[1]发票导入!AJ716&amp;""</f>
      </c>
      <c r="AK716">
        <f>[1]发票导入!AK716</f>
        <v>0</v>
      </c>
      <c r="AL716">
        <f>[1]发票导入!AL716</f>
        <v>0</v>
      </c>
      <c r="AM716">
        <f>[1]发票导入!AM716</f>
        <v>0</v>
      </c>
      <c r="AN716" s="22">
        <f t="shared" si="1"/>
        <v>0</v>
      </c>
      <c r="AO716" s="22">
        <f t="shared" si="2"/>
        <v>0</v>
      </c>
    </row>
    <row r="717">
      <c r="C717">
        <f>[1]发票导入!C717&amp;""</f>
      </c>
      <c r="D717">
        <f>[1]发票导入!D717&amp;""</f>
      </c>
      <c r="O717">
        <f>[1]发票导入!O717&amp;""</f>
      </c>
      <c r="T717">
        <f>[1]发票导入!T717</f>
      </c>
      <c r="U717">
        <f>[1]发票导入!U717&amp;""</f>
      </c>
      <c r="V717">
        <f>[1]发票导入!V717&amp;""</f>
      </c>
      <c r="W717">
        <f>[1]发票导入!W717&amp;""</f>
      </c>
      <c r="Y717">
        <f>[1]发票导入!Y717&amp;""</f>
      </c>
      <c r="AA717">
        <f>[1]发票导入!AA717&amp;""</f>
      </c>
      <c r="AB717">
        <f>[1]发票导入!AB717</f>
        <v>0</v>
      </c>
      <c r="AC717">
        <f>[1]发票导入!AC717</f>
        <v>0</v>
      </c>
      <c r="AE717" s="22">
        <f t="shared" si="0"/>
      </c>
      <c r="AI717">
        <f>[1]发票导入!AI717&amp;""</f>
      </c>
      <c r="AJ717">
        <f>[1]发票导入!AJ717&amp;""</f>
      </c>
      <c r="AK717">
        <f>[1]发票导入!AK717</f>
        <v>0</v>
      </c>
      <c r="AL717">
        <f>[1]发票导入!AL717</f>
        <v>0</v>
      </c>
      <c r="AM717">
        <f>[1]发票导入!AM717</f>
        <v>0</v>
      </c>
      <c r="AN717" s="22">
        <f t="shared" si="1"/>
        <v>0</v>
      </c>
      <c r="AO717" s="22">
        <f t="shared" si="2"/>
        <v>0</v>
      </c>
    </row>
    <row r="718">
      <c r="C718">
        <f>[1]发票导入!C718&amp;""</f>
      </c>
      <c r="D718">
        <f>[1]发票导入!D718&amp;""</f>
      </c>
      <c r="O718">
        <f>[1]发票导入!O718&amp;""</f>
      </c>
      <c r="T718">
        <f>[1]发票导入!T718</f>
      </c>
      <c r="U718">
        <f>[1]发票导入!U718&amp;""</f>
      </c>
      <c r="V718">
        <f>[1]发票导入!V718&amp;""</f>
      </c>
      <c r="W718">
        <f>[1]发票导入!W718&amp;""</f>
      </c>
      <c r="Y718">
        <f>[1]发票导入!Y718&amp;""</f>
      </c>
      <c r="AA718">
        <f>[1]发票导入!AA718&amp;""</f>
      </c>
      <c r="AB718">
        <f>[1]发票导入!AB718</f>
        <v>0</v>
      </c>
      <c r="AC718">
        <f>[1]发票导入!AC718</f>
        <v>0</v>
      </c>
      <c r="AE718" s="22">
        <f t="shared" si="0"/>
      </c>
      <c r="AI718">
        <f>[1]发票导入!AI718&amp;""</f>
      </c>
      <c r="AJ718">
        <f>[1]发票导入!AJ718&amp;""</f>
      </c>
      <c r="AK718">
        <f>[1]发票导入!AK718</f>
        <v>0</v>
      </c>
      <c r="AL718">
        <f>[1]发票导入!AL718</f>
        <v>0</v>
      </c>
      <c r="AM718">
        <f>[1]发票导入!AM718</f>
        <v>0</v>
      </c>
      <c r="AN718" s="22">
        <f t="shared" si="1"/>
        <v>0</v>
      </c>
      <c r="AO718" s="22">
        <f t="shared" si="2"/>
        <v>0</v>
      </c>
    </row>
    <row r="719">
      <c r="C719">
        <f>[1]发票导入!C719&amp;""</f>
      </c>
      <c r="D719">
        <f>[1]发票导入!D719&amp;""</f>
      </c>
      <c r="O719">
        <f>[1]发票导入!O719&amp;""</f>
      </c>
      <c r="T719">
        <f>[1]发票导入!T719</f>
      </c>
      <c r="U719">
        <f>[1]发票导入!U719&amp;""</f>
      </c>
      <c r="V719">
        <f>[1]发票导入!V719&amp;""</f>
      </c>
      <c r="W719">
        <f>[1]发票导入!W719&amp;""</f>
      </c>
      <c r="Y719">
        <f>[1]发票导入!Y719&amp;""</f>
      </c>
      <c r="AA719">
        <f>[1]发票导入!AA719&amp;""</f>
      </c>
      <c r="AB719">
        <f>[1]发票导入!AB719</f>
        <v>0</v>
      </c>
      <c r="AC719">
        <f>[1]发票导入!AC719</f>
        <v>0</v>
      </c>
      <c r="AE719" s="22">
        <f t="shared" si="0"/>
      </c>
      <c r="AI719">
        <f>[1]发票导入!AI719&amp;""</f>
      </c>
      <c r="AJ719">
        <f>[1]发票导入!AJ719&amp;""</f>
      </c>
      <c r="AK719">
        <f>[1]发票导入!AK719</f>
        <v>0</v>
      </c>
      <c r="AL719">
        <f>[1]发票导入!AL719</f>
        <v>0</v>
      </c>
      <c r="AM719">
        <f>[1]发票导入!AM719</f>
        <v>0</v>
      </c>
      <c r="AN719" s="22">
        <f t="shared" si="1"/>
        <v>0</v>
      </c>
      <c r="AO719" s="22">
        <f t="shared" si="2"/>
        <v>0</v>
      </c>
    </row>
    <row r="720">
      <c r="C720">
        <f>[1]发票导入!C720&amp;""</f>
      </c>
      <c r="D720">
        <f>[1]发票导入!D720&amp;""</f>
      </c>
      <c r="O720">
        <f>[1]发票导入!O720&amp;""</f>
      </c>
      <c r="T720">
        <f>[1]发票导入!T720</f>
      </c>
      <c r="U720">
        <f>[1]发票导入!U720&amp;""</f>
      </c>
      <c r="V720">
        <f>[1]发票导入!V720&amp;""</f>
      </c>
      <c r="W720">
        <f>[1]发票导入!W720&amp;""</f>
      </c>
      <c r="Y720">
        <f>[1]发票导入!Y720&amp;""</f>
      </c>
      <c r="AA720">
        <f>[1]发票导入!AA720&amp;""</f>
      </c>
      <c r="AB720">
        <f>[1]发票导入!AB720</f>
        <v>0</v>
      </c>
      <c r="AC720">
        <f>[1]发票导入!AC720</f>
        <v>0</v>
      </c>
      <c r="AE720" s="22">
        <f t="shared" si="0"/>
      </c>
      <c r="AI720">
        <f>[1]发票导入!AI720&amp;""</f>
      </c>
      <c r="AJ720">
        <f>[1]发票导入!AJ720&amp;""</f>
      </c>
      <c r="AK720">
        <f>[1]发票导入!AK720</f>
        <v>0</v>
      </c>
      <c r="AL720">
        <f>[1]发票导入!AL720</f>
        <v>0</v>
      </c>
      <c r="AM720">
        <f>[1]发票导入!AM720</f>
        <v>0</v>
      </c>
      <c r="AN720" s="22">
        <f t="shared" si="1"/>
        <v>0</v>
      </c>
      <c r="AO720" s="22">
        <f t="shared" si="2"/>
        <v>0</v>
      </c>
    </row>
    <row r="721">
      <c r="C721">
        <f>[1]发票导入!C721&amp;""</f>
      </c>
      <c r="D721">
        <f>[1]发票导入!D721&amp;""</f>
      </c>
      <c r="O721">
        <f>[1]发票导入!O721&amp;""</f>
      </c>
      <c r="T721">
        <f>[1]发票导入!T721</f>
      </c>
      <c r="U721">
        <f>[1]发票导入!U721&amp;""</f>
      </c>
      <c r="V721">
        <f>[1]发票导入!V721&amp;""</f>
      </c>
      <c r="W721">
        <f>[1]发票导入!W721&amp;""</f>
      </c>
      <c r="Y721">
        <f>[1]发票导入!Y721&amp;""</f>
      </c>
      <c r="AA721">
        <f>[1]发票导入!AA721&amp;""</f>
      </c>
      <c r="AB721">
        <f>[1]发票导入!AB721</f>
        <v>0</v>
      </c>
      <c r="AC721">
        <f>[1]发票导入!AC721</f>
        <v>0</v>
      </c>
      <c r="AE721" s="22">
        <f t="shared" si="0"/>
      </c>
      <c r="AI721">
        <f>[1]发票导入!AI721&amp;""</f>
      </c>
      <c r="AJ721">
        <f>[1]发票导入!AJ721&amp;""</f>
      </c>
      <c r="AK721">
        <f>[1]发票导入!AK721</f>
        <v>0</v>
      </c>
      <c r="AL721">
        <f>[1]发票导入!AL721</f>
        <v>0</v>
      </c>
      <c r="AM721">
        <f>[1]发票导入!AM721</f>
        <v>0</v>
      </c>
      <c r="AN721" s="22">
        <f t="shared" si="1"/>
        <v>0</v>
      </c>
      <c r="AO721" s="22">
        <f t="shared" si="2"/>
        <v>0</v>
      </c>
    </row>
    <row r="722">
      <c r="C722">
        <f>[1]发票导入!C722&amp;""</f>
      </c>
      <c r="D722">
        <f>[1]发票导入!D722&amp;""</f>
      </c>
      <c r="O722">
        <f>[1]发票导入!O722&amp;""</f>
      </c>
      <c r="T722">
        <f>[1]发票导入!T722</f>
      </c>
      <c r="U722">
        <f>[1]发票导入!U722&amp;""</f>
      </c>
      <c r="V722">
        <f>[1]发票导入!V722&amp;""</f>
      </c>
      <c r="W722">
        <f>[1]发票导入!W722&amp;""</f>
      </c>
      <c r="Y722">
        <f>[1]发票导入!Y722&amp;""</f>
      </c>
      <c r="AA722">
        <f>[1]发票导入!AA722&amp;""</f>
      </c>
      <c r="AB722">
        <f>[1]发票导入!AB722</f>
        <v>0</v>
      </c>
      <c r="AC722">
        <f>[1]发票导入!AC722</f>
        <v>0</v>
      </c>
      <c r="AE722" s="22">
        <f t="shared" si="0"/>
      </c>
      <c r="AI722">
        <f>[1]发票导入!AI722&amp;""</f>
      </c>
      <c r="AJ722">
        <f>[1]发票导入!AJ722&amp;""</f>
      </c>
      <c r="AK722">
        <f>[1]发票导入!AK722</f>
        <v>0</v>
      </c>
      <c r="AL722">
        <f>[1]发票导入!AL722</f>
        <v>0</v>
      </c>
      <c r="AM722">
        <f>[1]发票导入!AM722</f>
        <v>0</v>
      </c>
      <c r="AN722" s="22">
        <f t="shared" si="1"/>
        <v>0</v>
      </c>
      <c r="AO722" s="22">
        <f t="shared" si="2"/>
        <v>0</v>
      </c>
    </row>
    <row r="723">
      <c r="C723">
        <f>[1]发票导入!C723&amp;""</f>
      </c>
      <c r="D723">
        <f>[1]发票导入!D723&amp;""</f>
      </c>
      <c r="O723">
        <f>[1]发票导入!O723&amp;""</f>
      </c>
      <c r="T723">
        <f>[1]发票导入!T723</f>
      </c>
      <c r="U723">
        <f>[1]发票导入!U723&amp;""</f>
      </c>
      <c r="V723">
        <f>[1]发票导入!V723&amp;""</f>
      </c>
      <c r="W723">
        <f>[1]发票导入!W723&amp;""</f>
      </c>
      <c r="Y723">
        <f>[1]发票导入!Y723&amp;""</f>
      </c>
      <c r="AA723">
        <f>[1]发票导入!AA723&amp;""</f>
      </c>
      <c r="AB723">
        <f>[1]发票导入!AB723</f>
        <v>0</v>
      </c>
      <c r="AC723">
        <f>[1]发票导入!AC723</f>
        <v>0</v>
      </c>
      <c r="AE723" s="22">
        <f t="shared" si="0"/>
      </c>
      <c r="AI723">
        <f>[1]发票导入!AI723&amp;""</f>
      </c>
      <c r="AJ723">
        <f>[1]发票导入!AJ723&amp;""</f>
      </c>
      <c r="AK723">
        <f>[1]发票导入!AK723</f>
        <v>0</v>
      </c>
      <c r="AL723">
        <f>[1]发票导入!AL723</f>
        <v>0</v>
      </c>
      <c r="AM723">
        <f>[1]发票导入!AM723</f>
        <v>0</v>
      </c>
      <c r="AN723" s="22">
        <f t="shared" si="1"/>
        <v>0</v>
      </c>
      <c r="AO723" s="22">
        <f t="shared" si="2"/>
        <v>0</v>
      </c>
    </row>
    <row r="724">
      <c r="C724">
        <f>[1]发票导入!C724&amp;""</f>
      </c>
      <c r="D724">
        <f>[1]发票导入!D724&amp;""</f>
      </c>
      <c r="O724">
        <f>[1]发票导入!O724&amp;""</f>
      </c>
      <c r="T724">
        <f>[1]发票导入!T724</f>
      </c>
      <c r="U724">
        <f>[1]发票导入!U724&amp;""</f>
      </c>
      <c r="V724">
        <f>[1]发票导入!V724&amp;""</f>
      </c>
      <c r="W724">
        <f>[1]发票导入!W724&amp;""</f>
      </c>
      <c r="Y724">
        <f>[1]发票导入!Y724&amp;""</f>
      </c>
      <c r="AA724">
        <f>[1]发票导入!AA724&amp;""</f>
      </c>
      <c r="AB724">
        <f>[1]发票导入!AB724</f>
        <v>0</v>
      </c>
      <c r="AC724">
        <f>[1]发票导入!AC724</f>
        <v>0</v>
      </c>
      <c r="AE724" s="22">
        <f t="shared" si="0"/>
      </c>
      <c r="AI724">
        <f>[1]发票导入!AI724&amp;""</f>
      </c>
      <c r="AJ724">
        <f>[1]发票导入!AJ724&amp;""</f>
      </c>
      <c r="AK724">
        <f>[1]发票导入!AK724</f>
        <v>0</v>
      </c>
      <c r="AL724">
        <f>[1]发票导入!AL724</f>
        <v>0</v>
      </c>
      <c r="AM724">
        <f>[1]发票导入!AM724</f>
        <v>0</v>
      </c>
      <c r="AN724" s="22">
        <f t="shared" si="1"/>
        <v>0</v>
      </c>
      <c r="AO724" s="22">
        <f t="shared" si="2"/>
        <v>0</v>
      </c>
    </row>
    <row r="725">
      <c r="C725">
        <f>[1]发票导入!C725&amp;""</f>
      </c>
      <c r="D725">
        <f>[1]发票导入!D725&amp;""</f>
      </c>
      <c r="O725">
        <f>[1]发票导入!O725&amp;""</f>
      </c>
      <c r="T725">
        <f>[1]发票导入!T725</f>
      </c>
      <c r="U725">
        <f>[1]发票导入!U725&amp;""</f>
      </c>
      <c r="V725">
        <f>[1]发票导入!V725&amp;""</f>
      </c>
      <c r="W725">
        <f>[1]发票导入!W725&amp;""</f>
      </c>
      <c r="Y725">
        <f>[1]发票导入!Y725&amp;""</f>
      </c>
      <c r="AA725">
        <f>[1]发票导入!AA725&amp;""</f>
      </c>
      <c r="AB725">
        <f>[1]发票导入!AB725</f>
        <v>0</v>
      </c>
      <c r="AC725">
        <f>[1]发票导入!AC725</f>
        <v>0</v>
      </c>
      <c r="AE725" s="22">
        <f t="shared" si="0"/>
      </c>
      <c r="AI725">
        <f>[1]发票导入!AI725&amp;""</f>
      </c>
      <c r="AJ725">
        <f>[1]发票导入!AJ725&amp;""</f>
      </c>
      <c r="AK725">
        <f>[1]发票导入!AK725</f>
        <v>0</v>
      </c>
      <c r="AL725">
        <f>[1]发票导入!AL725</f>
        <v>0</v>
      </c>
      <c r="AM725">
        <f>[1]发票导入!AM725</f>
        <v>0</v>
      </c>
      <c r="AN725" s="22">
        <f t="shared" si="1"/>
        <v>0</v>
      </c>
      <c r="AO725" s="22">
        <f t="shared" si="2"/>
        <v>0</v>
      </c>
    </row>
    <row r="726">
      <c r="C726">
        <f>[1]发票导入!C726&amp;""</f>
      </c>
      <c r="D726">
        <f>[1]发票导入!D726&amp;""</f>
      </c>
      <c r="O726">
        <f>[1]发票导入!O726&amp;""</f>
      </c>
      <c r="T726">
        <f>[1]发票导入!T726</f>
      </c>
      <c r="U726">
        <f>[1]发票导入!U726&amp;""</f>
      </c>
      <c r="V726">
        <f>[1]发票导入!V726&amp;""</f>
      </c>
      <c r="W726">
        <f>[1]发票导入!W726&amp;""</f>
      </c>
      <c r="Y726">
        <f>[1]发票导入!Y726&amp;""</f>
      </c>
      <c r="AA726">
        <f>[1]发票导入!AA726&amp;""</f>
      </c>
      <c r="AB726">
        <f>[1]发票导入!AB726</f>
        <v>0</v>
      </c>
      <c r="AC726">
        <f>[1]发票导入!AC726</f>
        <v>0</v>
      </c>
      <c r="AE726" s="22">
        <f t="shared" si="0"/>
      </c>
      <c r="AI726">
        <f>[1]发票导入!AI726&amp;""</f>
      </c>
      <c r="AJ726">
        <f>[1]发票导入!AJ726&amp;""</f>
      </c>
      <c r="AK726">
        <f>[1]发票导入!AK726</f>
        <v>0</v>
      </c>
      <c r="AL726">
        <f>[1]发票导入!AL726</f>
        <v>0</v>
      </c>
      <c r="AM726">
        <f>[1]发票导入!AM726</f>
        <v>0</v>
      </c>
      <c r="AN726" s="22">
        <f t="shared" si="1"/>
        <v>0</v>
      </c>
      <c r="AO726" s="22">
        <f t="shared" si="2"/>
        <v>0</v>
      </c>
    </row>
    <row r="727">
      <c r="C727">
        <f>[1]发票导入!C727&amp;""</f>
      </c>
      <c r="D727">
        <f>[1]发票导入!D727&amp;""</f>
      </c>
      <c r="O727">
        <f>[1]发票导入!O727&amp;""</f>
      </c>
      <c r="T727">
        <f>[1]发票导入!T727</f>
      </c>
      <c r="U727">
        <f>[1]发票导入!U727&amp;""</f>
      </c>
      <c r="V727">
        <f>[1]发票导入!V727&amp;""</f>
      </c>
      <c r="W727">
        <f>[1]发票导入!W727&amp;""</f>
      </c>
      <c r="Y727">
        <f>[1]发票导入!Y727&amp;""</f>
      </c>
      <c r="AA727">
        <f>[1]发票导入!AA727&amp;""</f>
      </c>
      <c r="AB727">
        <f>[1]发票导入!AB727</f>
        <v>0</v>
      </c>
      <c r="AC727">
        <f>[1]发票导入!AC727</f>
        <v>0</v>
      </c>
      <c r="AE727" s="22">
        <f t="shared" si="0"/>
      </c>
      <c r="AI727">
        <f>[1]发票导入!AI727&amp;""</f>
      </c>
      <c r="AJ727">
        <f>[1]发票导入!AJ727&amp;""</f>
      </c>
      <c r="AK727">
        <f>[1]发票导入!AK727</f>
        <v>0</v>
      </c>
      <c r="AL727">
        <f>[1]发票导入!AL727</f>
        <v>0</v>
      </c>
      <c r="AM727">
        <f>[1]发票导入!AM727</f>
        <v>0</v>
      </c>
      <c r="AN727" s="22">
        <f t="shared" si="1"/>
        <v>0</v>
      </c>
      <c r="AO727" s="22">
        <f t="shared" si="2"/>
        <v>0</v>
      </c>
    </row>
    <row r="728">
      <c r="C728">
        <f>[1]发票导入!C728&amp;""</f>
      </c>
      <c r="D728">
        <f>[1]发票导入!D728&amp;""</f>
      </c>
      <c r="O728">
        <f>[1]发票导入!O728&amp;""</f>
      </c>
      <c r="T728">
        <f>[1]发票导入!T728</f>
      </c>
      <c r="U728">
        <f>[1]发票导入!U728&amp;""</f>
      </c>
      <c r="V728">
        <f>[1]发票导入!V728&amp;""</f>
      </c>
      <c r="W728">
        <f>[1]发票导入!W728&amp;""</f>
      </c>
      <c r="Y728">
        <f>[1]发票导入!Y728&amp;""</f>
      </c>
      <c r="AA728">
        <f>[1]发票导入!AA728&amp;""</f>
      </c>
      <c r="AB728">
        <f>[1]发票导入!AB728</f>
        <v>0</v>
      </c>
      <c r="AC728">
        <f>[1]发票导入!AC728</f>
        <v>0</v>
      </c>
      <c r="AE728" s="22">
        <f t="shared" si="0"/>
      </c>
      <c r="AI728">
        <f>[1]发票导入!AI728&amp;""</f>
      </c>
      <c r="AJ728">
        <f>[1]发票导入!AJ728&amp;""</f>
      </c>
      <c r="AK728">
        <f>[1]发票导入!AK728</f>
        <v>0</v>
      </c>
      <c r="AL728">
        <f>[1]发票导入!AL728</f>
        <v>0</v>
      </c>
      <c r="AM728">
        <f>[1]发票导入!AM728</f>
        <v>0</v>
      </c>
      <c r="AN728" s="22">
        <f t="shared" si="1"/>
        <v>0</v>
      </c>
      <c r="AO728" s="22">
        <f t="shared" si="2"/>
        <v>0</v>
      </c>
    </row>
    <row r="729">
      <c r="C729">
        <f>[1]发票导入!C729&amp;""</f>
      </c>
      <c r="D729">
        <f>[1]发票导入!D729&amp;""</f>
      </c>
      <c r="O729">
        <f>[1]发票导入!O729&amp;""</f>
      </c>
      <c r="T729">
        <f>[1]发票导入!T729</f>
      </c>
      <c r="U729">
        <f>[1]发票导入!U729&amp;""</f>
      </c>
      <c r="V729">
        <f>[1]发票导入!V729&amp;""</f>
      </c>
      <c r="W729">
        <f>[1]发票导入!W729&amp;""</f>
      </c>
      <c r="Y729">
        <f>[1]发票导入!Y729&amp;""</f>
      </c>
      <c r="AA729">
        <f>[1]发票导入!AA729&amp;""</f>
      </c>
      <c r="AB729">
        <f>[1]发票导入!AB729</f>
        <v>0</v>
      </c>
      <c r="AC729">
        <f>[1]发票导入!AC729</f>
        <v>0</v>
      </c>
      <c r="AE729" s="22">
        <f t="shared" si="0"/>
      </c>
      <c r="AI729">
        <f>[1]发票导入!AI729&amp;""</f>
      </c>
      <c r="AJ729">
        <f>[1]发票导入!AJ729&amp;""</f>
      </c>
      <c r="AK729">
        <f>[1]发票导入!AK729</f>
        <v>0</v>
      </c>
      <c r="AL729">
        <f>[1]发票导入!AL729</f>
        <v>0</v>
      </c>
      <c r="AM729">
        <f>[1]发票导入!AM729</f>
        <v>0</v>
      </c>
      <c r="AN729" s="22">
        <f t="shared" si="1"/>
        <v>0</v>
      </c>
      <c r="AO729" s="22">
        <f t="shared" si="2"/>
        <v>0</v>
      </c>
    </row>
    <row r="730">
      <c r="C730">
        <f>[1]发票导入!C730&amp;""</f>
      </c>
      <c r="D730">
        <f>[1]发票导入!D730&amp;""</f>
      </c>
      <c r="O730">
        <f>[1]发票导入!O730&amp;""</f>
      </c>
      <c r="T730">
        <f>[1]发票导入!T730</f>
      </c>
      <c r="U730">
        <f>[1]发票导入!U730&amp;""</f>
      </c>
      <c r="V730">
        <f>[1]发票导入!V730&amp;""</f>
      </c>
      <c r="W730">
        <f>[1]发票导入!W730&amp;""</f>
      </c>
      <c r="Y730">
        <f>[1]发票导入!Y730&amp;""</f>
      </c>
      <c r="AA730">
        <f>[1]发票导入!AA730&amp;""</f>
      </c>
      <c r="AB730">
        <f>[1]发票导入!AB730</f>
        <v>0</v>
      </c>
      <c r="AC730">
        <f>[1]发票导入!AC730</f>
        <v>0</v>
      </c>
      <c r="AE730" s="22">
        <f t="shared" si="0"/>
      </c>
      <c r="AI730">
        <f>[1]发票导入!AI730&amp;""</f>
      </c>
      <c r="AJ730">
        <f>[1]发票导入!AJ730&amp;""</f>
      </c>
      <c r="AK730">
        <f>[1]发票导入!AK730</f>
        <v>0</v>
      </c>
      <c r="AL730">
        <f>[1]发票导入!AL730</f>
        <v>0</v>
      </c>
      <c r="AM730">
        <f>[1]发票导入!AM730</f>
        <v>0</v>
      </c>
      <c r="AN730" s="22">
        <f t="shared" si="1"/>
        <v>0</v>
      </c>
      <c r="AO730" s="22">
        <f t="shared" si="2"/>
        <v>0</v>
      </c>
    </row>
    <row r="731">
      <c r="C731">
        <f>[1]发票导入!C731&amp;""</f>
      </c>
      <c r="D731">
        <f>[1]发票导入!D731&amp;""</f>
      </c>
      <c r="O731">
        <f>[1]发票导入!O731&amp;""</f>
      </c>
      <c r="T731">
        <f>[1]发票导入!T731</f>
      </c>
      <c r="U731">
        <f>[1]发票导入!U731&amp;""</f>
      </c>
      <c r="V731">
        <f>[1]发票导入!V731&amp;""</f>
      </c>
      <c r="W731">
        <f>[1]发票导入!W731&amp;""</f>
      </c>
      <c r="Y731">
        <f>[1]发票导入!Y731&amp;""</f>
      </c>
      <c r="AA731">
        <f>[1]发票导入!AA731&amp;""</f>
      </c>
      <c r="AB731">
        <f>[1]发票导入!AB731</f>
        <v>0</v>
      </c>
      <c r="AC731">
        <f>[1]发票导入!AC731</f>
        <v>0</v>
      </c>
      <c r="AE731" s="22">
        <f t="shared" si="0"/>
      </c>
      <c r="AI731">
        <f>[1]发票导入!AI731&amp;""</f>
      </c>
      <c r="AJ731">
        <f>[1]发票导入!AJ731&amp;""</f>
      </c>
      <c r="AK731">
        <f>[1]发票导入!AK731</f>
        <v>0</v>
      </c>
      <c r="AL731">
        <f>[1]发票导入!AL731</f>
        <v>0</v>
      </c>
      <c r="AM731">
        <f>[1]发票导入!AM731</f>
        <v>0</v>
      </c>
      <c r="AN731" s="22">
        <f t="shared" si="1"/>
        <v>0</v>
      </c>
      <c r="AO731" s="22">
        <f t="shared" si="2"/>
        <v>0</v>
      </c>
    </row>
    <row r="732">
      <c r="C732">
        <f>[1]发票导入!C732&amp;""</f>
      </c>
      <c r="D732">
        <f>[1]发票导入!D732&amp;""</f>
      </c>
      <c r="O732">
        <f>[1]发票导入!O732&amp;""</f>
      </c>
      <c r="T732">
        <f>[1]发票导入!T732</f>
      </c>
      <c r="U732">
        <f>[1]发票导入!U732&amp;""</f>
      </c>
      <c r="V732">
        <f>[1]发票导入!V732&amp;""</f>
      </c>
      <c r="W732">
        <f>[1]发票导入!W732&amp;""</f>
      </c>
      <c r="Y732">
        <f>[1]发票导入!Y732&amp;""</f>
      </c>
      <c r="AA732">
        <f>[1]发票导入!AA732&amp;""</f>
      </c>
      <c r="AB732">
        <f>[1]发票导入!AB732</f>
        <v>0</v>
      </c>
      <c r="AC732">
        <f>[1]发票导入!AC732</f>
        <v>0</v>
      </c>
      <c r="AE732" s="22">
        <f t="shared" si="0"/>
      </c>
      <c r="AI732">
        <f>[1]发票导入!AI732&amp;""</f>
      </c>
      <c r="AJ732">
        <f>[1]发票导入!AJ732&amp;""</f>
      </c>
      <c r="AK732">
        <f>[1]发票导入!AK732</f>
        <v>0</v>
      </c>
      <c r="AL732">
        <f>[1]发票导入!AL732</f>
        <v>0</v>
      </c>
      <c r="AM732">
        <f>[1]发票导入!AM732</f>
        <v>0</v>
      </c>
      <c r="AN732" s="22">
        <f t="shared" si="1"/>
        <v>0</v>
      </c>
      <c r="AO732" s="22">
        <f t="shared" si="2"/>
        <v>0</v>
      </c>
    </row>
    <row r="733">
      <c r="C733">
        <f>[1]发票导入!C733&amp;""</f>
      </c>
      <c r="D733">
        <f>[1]发票导入!D733&amp;""</f>
      </c>
      <c r="O733">
        <f>[1]发票导入!O733&amp;""</f>
      </c>
      <c r="T733">
        <f>[1]发票导入!T733</f>
      </c>
      <c r="U733">
        <f>[1]发票导入!U733&amp;""</f>
      </c>
      <c r="V733">
        <f>[1]发票导入!V733&amp;""</f>
      </c>
      <c r="W733">
        <f>[1]发票导入!W733&amp;""</f>
      </c>
      <c r="Y733">
        <f>[1]发票导入!Y733&amp;""</f>
      </c>
      <c r="AA733">
        <f>[1]发票导入!AA733&amp;""</f>
      </c>
      <c r="AB733">
        <f>[1]发票导入!AB733</f>
        <v>0</v>
      </c>
      <c r="AC733">
        <f>[1]发票导入!AC733</f>
        <v>0</v>
      </c>
      <c r="AE733" s="22">
        <f t="shared" si="0"/>
      </c>
      <c r="AI733">
        <f>[1]发票导入!AI733&amp;""</f>
      </c>
      <c r="AJ733">
        <f>[1]发票导入!AJ733&amp;""</f>
      </c>
      <c r="AK733">
        <f>[1]发票导入!AK733</f>
        <v>0</v>
      </c>
      <c r="AL733">
        <f>[1]发票导入!AL733</f>
        <v>0</v>
      </c>
      <c r="AM733">
        <f>[1]发票导入!AM733</f>
        <v>0</v>
      </c>
      <c r="AN733" s="22">
        <f t="shared" si="1"/>
        <v>0</v>
      </c>
      <c r="AO733" s="22">
        <f t="shared" si="2"/>
        <v>0</v>
      </c>
    </row>
    <row r="734">
      <c r="C734">
        <f>[1]发票导入!C734&amp;""</f>
      </c>
      <c r="D734">
        <f>[1]发票导入!D734&amp;""</f>
      </c>
      <c r="O734">
        <f>[1]发票导入!O734&amp;""</f>
      </c>
      <c r="T734">
        <f>[1]发票导入!T734</f>
      </c>
      <c r="U734">
        <f>[1]发票导入!U734&amp;""</f>
      </c>
      <c r="V734">
        <f>[1]发票导入!V734&amp;""</f>
      </c>
      <c r="W734">
        <f>[1]发票导入!W734&amp;""</f>
      </c>
      <c r="Y734">
        <f>[1]发票导入!Y734&amp;""</f>
      </c>
      <c r="AA734">
        <f>[1]发票导入!AA734&amp;""</f>
      </c>
      <c r="AB734">
        <f>[1]发票导入!AB734</f>
        <v>0</v>
      </c>
      <c r="AC734">
        <f>[1]发票导入!AC734</f>
        <v>0</v>
      </c>
      <c r="AE734" s="22">
        <f t="shared" si="0"/>
      </c>
      <c r="AI734">
        <f>[1]发票导入!AI734&amp;""</f>
      </c>
      <c r="AJ734">
        <f>[1]发票导入!AJ734&amp;""</f>
      </c>
      <c r="AK734">
        <f>[1]发票导入!AK734</f>
        <v>0</v>
      </c>
      <c r="AL734">
        <f>[1]发票导入!AL734</f>
        <v>0</v>
      </c>
      <c r="AM734">
        <f>[1]发票导入!AM734</f>
        <v>0</v>
      </c>
      <c r="AN734" s="22">
        <f t="shared" si="1"/>
        <v>0</v>
      </c>
      <c r="AO734" s="22">
        <f t="shared" si="2"/>
        <v>0</v>
      </c>
    </row>
    <row r="735">
      <c r="C735">
        <f>[1]发票导入!C735&amp;""</f>
      </c>
      <c r="D735">
        <f>[1]发票导入!D735&amp;""</f>
      </c>
      <c r="O735">
        <f>[1]发票导入!O735&amp;""</f>
      </c>
      <c r="T735">
        <f>[1]发票导入!T735</f>
      </c>
      <c r="U735">
        <f>[1]发票导入!U735&amp;""</f>
      </c>
      <c r="V735">
        <f>[1]发票导入!V735&amp;""</f>
      </c>
      <c r="W735">
        <f>[1]发票导入!W735&amp;""</f>
      </c>
      <c r="Y735">
        <f>[1]发票导入!Y735&amp;""</f>
      </c>
      <c r="AA735">
        <f>[1]发票导入!AA735&amp;""</f>
      </c>
      <c r="AB735">
        <f>[1]发票导入!AB735</f>
        <v>0</v>
      </c>
      <c r="AC735">
        <f>[1]发票导入!AC735</f>
        <v>0</v>
      </c>
      <c r="AE735" s="22">
        <f t="shared" si="0"/>
      </c>
      <c r="AI735">
        <f>[1]发票导入!AI735&amp;""</f>
      </c>
      <c r="AJ735">
        <f>[1]发票导入!AJ735&amp;""</f>
      </c>
      <c r="AK735">
        <f>[1]发票导入!AK735</f>
        <v>0</v>
      </c>
      <c r="AL735">
        <f>[1]发票导入!AL735</f>
        <v>0</v>
      </c>
      <c r="AM735">
        <f>[1]发票导入!AM735</f>
        <v>0</v>
      </c>
      <c r="AN735" s="22">
        <f t="shared" si="1"/>
        <v>0</v>
      </c>
      <c r="AO735" s="22">
        <f t="shared" si="2"/>
        <v>0</v>
      </c>
    </row>
    <row r="736">
      <c r="C736">
        <f>[1]发票导入!C736&amp;""</f>
      </c>
      <c r="D736">
        <f>[1]发票导入!D736&amp;""</f>
      </c>
      <c r="O736">
        <f>[1]发票导入!O736&amp;""</f>
      </c>
      <c r="T736">
        <f>[1]发票导入!T736</f>
      </c>
      <c r="U736">
        <f>[1]发票导入!U736&amp;""</f>
      </c>
      <c r="V736">
        <f>[1]发票导入!V736&amp;""</f>
      </c>
      <c r="W736">
        <f>[1]发票导入!W736&amp;""</f>
      </c>
      <c r="Y736">
        <f>[1]发票导入!Y736&amp;""</f>
      </c>
      <c r="AA736">
        <f>[1]发票导入!AA736&amp;""</f>
      </c>
      <c r="AB736">
        <f>[1]发票导入!AB736</f>
        <v>0</v>
      </c>
      <c r="AC736">
        <f>[1]发票导入!AC736</f>
        <v>0</v>
      </c>
      <c r="AE736" s="22">
        <f t="shared" si="0"/>
      </c>
      <c r="AI736">
        <f>[1]发票导入!AI736&amp;""</f>
      </c>
      <c r="AJ736">
        <f>[1]发票导入!AJ736&amp;""</f>
      </c>
      <c r="AK736">
        <f>[1]发票导入!AK736</f>
        <v>0</v>
      </c>
      <c r="AL736">
        <f>[1]发票导入!AL736</f>
        <v>0</v>
      </c>
      <c r="AM736">
        <f>[1]发票导入!AM736</f>
        <v>0</v>
      </c>
      <c r="AN736" s="22">
        <f t="shared" si="1"/>
        <v>0</v>
      </c>
      <c r="AO736" s="22">
        <f t="shared" si="2"/>
        <v>0</v>
      </c>
    </row>
    <row r="737">
      <c r="C737">
        <f>[1]发票导入!C737&amp;""</f>
      </c>
      <c r="D737">
        <f>[1]发票导入!D737&amp;""</f>
      </c>
      <c r="O737">
        <f>[1]发票导入!O737&amp;""</f>
      </c>
      <c r="T737">
        <f>[1]发票导入!T737</f>
      </c>
      <c r="U737">
        <f>[1]发票导入!U737&amp;""</f>
      </c>
      <c r="V737">
        <f>[1]发票导入!V737&amp;""</f>
      </c>
      <c r="W737">
        <f>[1]发票导入!W737&amp;""</f>
      </c>
      <c r="Y737">
        <f>[1]发票导入!Y737&amp;""</f>
      </c>
      <c r="AA737">
        <f>[1]发票导入!AA737&amp;""</f>
      </c>
      <c r="AB737">
        <f>[1]发票导入!AB737</f>
        <v>0</v>
      </c>
      <c r="AC737">
        <f>[1]发票导入!AC737</f>
        <v>0</v>
      </c>
      <c r="AE737" s="22">
        <f t="shared" si="0"/>
      </c>
      <c r="AI737">
        <f>[1]发票导入!AI737&amp;""</f>
      </c>
      <c r="AJ737">
        <f>[1]发票导入!AJ737&amp;""</f>
      </c>
      <c r="AK737">
        <f>[1]发票导入!AK737</f>
        <v>0</v>
      </c>
      <c r="AL737">
        <f>[1]发票导入!AL737</f>
        <v>0</v>
      </c>
      <c r="AM737">
        <f>[1]发票导入!AM737</f>
        <v>0</v>
      </c>
      <c r="AN737" s="22">
        <f t="shared" si="1"/>
        <v>0</v>
      </c>
      <c r="AO737" s="22">
        <f t="shared" si="2"/>
        <v>0</v>
      </c>
    </row>
    <row r="738">
      <c r="C738">
        <f>[1]发票导入!C738&amp;""</f>
      </c>
      <c r="D738">
        <f>[1]发票导入!D738&amp;""</f>
      </c>
      <c r="O738">
        <f>[1]发票导入!O738&amp;""</f>
      </c>
      <c r="T738">
        <f>[1]发票导入!T738</f>
      </c>
      <c r="U738">
        <f>[1]发票导入!U738&amp;""</f>
      </c>
      <c r="V738">
        <f>[1]发票导入!V738&amp;""</f>
      </c>
      <c r="W738">
        <f>[1]发票导入!W738&amp;""</f>
      </c>
      <c r="Y738">
        <f>[1]发票导入!Y738&amp;""</f>
      </c>
      <c r="AA738">
        <f>[1]发票导入!AA738&amp;""</f>
      </c>
      <c r="AB738">
        <f>[1]发票导入!AB738</f>
        <v>0</v>
      </c>
      <c r="AC738">
        <f>[1]发票导入!AC738</f>
        <v>0</v>
      </c>
      <c r="AE738" s="22">
        <f t="shared" si="0"/>
      </c>
      <c r="AI738">
        <f>[1]发票导入!AI738&amp;""</f>
      </c>
      <c r="AJ738">
        <f>[1]发票导入!AJ738&amp;""</f>
      </c>
      <c r="AK738">
        <f>[1]发票导入!AK738</f>
        <v>0</v>
      </c>
      <c r="AL738">
        <f>[1]发票导入!AL738</f>
        <v>0</v>
      </c>
      <c r="AM738">
        <f>[1]发票导入!AM738</f>
        <v>0</v>
      </c>
      <c r="AN738" s="22">
        <f t="shared" si="1"/>
        <v>0</v>
      </c>
      <c r="AO738" s="22">
        <f t="shared" si="2"/>
        <v>0</v>
      </c>
    </row>
    <row r="739">
      <c r="C739">
        <f>[1]发票导入!C739&amp;""</f>
      </c>
      <c r="D739">
        <f>[1]发票导入!D739&amp;""</f>
      </c>
      <c r="O739">
        <f>[1]发票导入!O739&amp;""</f>
      </c>
      <c r="T739">
        <f>[1]发票导入!T739</f>
      </c>
      <c r="U739">
        <f>[1]发票导入!U739&amp;""</f>
      </c>
      <c r="V739">
        <f>[1]发票导入!V739&amp;""</f>
      </c>
      <c r="W739">
        <f>[1]发票导入!W739&amp;""</f>
      </c>
      <c r="Y739">
        <f>[1]发票导入!Y739&amp;""</f>
      </c>
      <c r="AA739">
        <f>[1]发票导入!AA739&amp;""</f>
      </c>
      <c r="AB739">
        <f>[1]发票导入!AB739</f>
        <v>0</v>
      </c>
      <c r="AC739">
        <f>[1]发票导入!AC739</f>
        <v>0</v>
      </c>
      <c r="AE739" s="22">
        <f t="shared" si="0"/>
      </c>
      <c r="AI739">
        <f>[1]发票导入!AI739&amp;""</f>
      </c>
      <c r="AJ739">
        <f>[1]发票导入!AJ739&amp;""</f>
      </c>
      <c r="AK739">
        <f>[1]发票导入!AK739</f>
        <v>0</v>
      </c>
      <c r="AL739">
        <f>[1]发票导入!AL739</f>
        <v>0</v>
      </c>
      <c r="AM739">
        <f>[1]发票导入!AM739</f>
        <v>0</v>
      </c>
      <c r="AN739" s="22">
        <f t="shared" si="1"/>
        <v>0</v>
      </c>
      <c r="AO739" s="22">
        <f t="shared" si="2"/>
        <v>0</v>
      </c>
    </row>
    <row r="740">
      <c r="C740">
        <f>[1]发票导入!C740&amp;""</f>
      </c>
      <c r="D740">
        <f>[1]发票导入!D740&amp;""</f>
      </c>
      <c r="O740">
        <f>[1]发票导入!O740&amp;""</f>
      </c>
      <c r="T740">
        <f>[1]发票导入!T740</f>
      </c>
      <c r="U740">
        <f>[1]发票导入!U740&amp;""</f>
      </c>
      <c r="V740">
        <f>[1]发票导入!V740&amp;""</f>
      </c>
      <c r="W740">
        <f>[1]发票导入!W740&amp;""</f>
      </c>
      <c r="Y740">
        <f>[1]发票导入!Y740&amp;""</f>
      </c>
      <c r="AA740">
        <f>[1]发票导入!AA740&amp;""</f>
      </c>
      <c r="AB740">
        <f>[1]发票导入!AB740</f>
        <v>0</v>
      </c>
      <c r="AC740">
        <f>[1]发票导入!AC740</f>
        <v>0</v>
      </c>
      <c r="AE740" s="22">
        <f t="shared" si="0"/>
      </c>
      <c r="AI740">
        <f>[1]发票导入!AI740&amp;""</f>
      </c>
      <c r="AJ740">
        <f>[1]发票导入!AJ740&amp;""</f>
      </c>
      <c r="AK740">
        <f>[1]发票导入!AK740</f>
        <v>0</v>
      </c>
      <c r="AL740">
        <f>[1]发票导入!AL740</f>
        <v>0</v>
      </c>
      <c r="AM740">
        <f>[1]发票导入!AM740</f>
        <v>0</v>
      </c>
      <c r="AN740" s="22">
        <f t="shared" si="1"/>
        <v>0</v>
      </c>
      <c r="AO740" s="22">
        <f t="shared" si="2"/>
        <v>0</v>
      </c>
    </row>
    <row r="741">
      <c r="C741">
        <f>[1]发票导入!C741&amp;""</f>
      </c>
      <c r="D741">
        <f>[1]发票导入!D741&amp;""</f>
      </c>
      <c r="O741">
        <f>[1]发票导入!O741&amp;""</f>
      </c>
      <c r="T741">
        <f>[1]发票导入!T741</f>
      </c>
      <c r="U741">
        <f>[1]发票导入!U741&amp;""</f>
      </c>
      <c r="V741">
        <f>[1]发票导入!V741&amp;""</f>
      </c>
      <c r="W741">
        <f>[1]发票导入!W741&amp;""</f>
      </c>
      <c r="Y741">
        <f>[1]发票导入!Y741&amp;""</f>
      </c>
      <c r="AA741">
        <f>[1]发票导入!AA741&amp;""</f>
      </c>
      <c r="AB741">
        <f>[1]发票导入!AB741</f>
        <v>0</v>
      </c>
      <c r="AC741">
        <f>[1]发票导入!AC741</f>
        <v>0</v>
      </c>
      <c r="AE741" s="22">
        <f t="shared" si="0"/>
      </c>
      <c r="AI741">
        <f>[1]发票导入!AI741&amp;""</f>
      </c>
      <c r="AJ741">
        <f>[1]发票导入!AJ741&amp;""</f>
      </c>
      <c r="AK741">
        <f>[1]发票导入!AK741</f>
        <v>0</v>
      </c>
      <c r="AL741">
        <f>[1]发票导入!AL741</f>
        <v>0</v>
      </c>
      <c r="AM741">
        <f>[1]发票导入!AM741</f>
        <v>0</v>
      </c>
      <c r="AN741" s="22">
        <f t="shared" si="1"/>
        <v>0</v>
      </c>
      <c r="AO741" s="22">
        <f t="shared" si="2"/>
        <v>0</v>
      </c>
    </row>
    <row r="742">
      <c r="C742">
        <f>[1]发票导入!C742&amp;""</f>
      </c>
      <c r="D742">
        <f>[1]发票导入!D742&amp;""</f>
      </c>
      <c r="O742">
        <f>[1]发票导入!O742&amp;""</f>
      </c>
      <c r="T742">
        <f>[1]发票导入!T742</f>
      </c>
      <c r="U742">
        <f>[1]发票导入!U742&amp;""</f>
      </c>
      <c r="V742">
        <f>[1]发票导入!V742&amp;""</f>
      </c>
      <c r="W742">
        <f>[1]发票导入!W742&amp;""</f>
      </c>
      <c r="Y742">
        <f>[1]发票导入!Y742&amp;""</f>
      </c>
      <c r="AA742">
        <f>[1]发票导入!AA742&amp;""</f>
      </c>
      <c r="AB742">
        <f>[1]发票导入!AB742</f>
        <v>0</v>
      </c>
      <c r="AC742">
        <f>[1]发票导入!AC742</f>
        <v>0</v>
      </c>
      <c r="AE742" s="22">
        <f t="shared" si="0"/>
      </c>
      <c r="AI742">
        <f>[1]发票导入!AI742&amp;""</f>
      </c>
      <c r="AJ742">
        <f>[1]发票导入!AJ742&amp;""</f>
      </c>
      <c r="AK742">
        <f>[1]发票导入!AK742</f>
        <v>0</v>
      </c>
      <c r="AL742">
        <f>[1]发票导入!AL742</f>
        <v>0</v>
      </c>
      <c r="AM742">
        <f>[1]发票导入!AM742</f>
        <v>0</v>
      </c>
      <c r="AN742" s="22">
        <f t="shared" si="1"/>
        <v>0</v>
      </c>
      <c r="AO742" s="22">
        <f t="shared" si="2"/>
        <v>0</v>
      </c>
    </row>
    <row r="743">
      <c r="C743">
        <f>[1]发票导入!C743&amp;""</f>
      </c>
      <c r="D743">
        <f>[1]发票导入!D743&amp;""</f>
      </c>
      <c r="O743">
        <f>[1]发票导入!O743&amp;""</f>
      </c>
      <c r="T743">
        <f>[1]发票导入!T743</f>
      </c>
      <c r="U743">
        <f>[1]发票导入!U743&amp;""</f>
      </c>
      <c r="V743">
        <f>[1]发票导入!V743&amp;""</f>
      </c>
      <c r="W743">
        <f>[1]发票导入!W743&amp;""</f>
      </c>
      <c r="Y743">
        <f>[1]发票导入!Y743&amp;""</f>
      </c>
      <c r="AA743">
        <f>[1]发票导入!AA743&amp;""</f>
      </c>
      <c r="AB743">
        <f>[1]发票导入!AB743</f>
        <v>0</v>
      </c>
      <c r="AC743">
        <f>[1]发票导入!AC743</f>
        <v>0</v>
      </c>
      <c r="AE743" s="22">
        <f t="shared" si="0"/>
      </c>
      <c r="AI743">
        <f>[1]发票导入!AI743&amp;""</f>
      </c>
      <c r="AJ743">
        <f>[1]发票导入!AJ743&amp;""</f>
      </c>
      <c r="AK743">
        <f>[1]发票导入!AK743</f>
        <v>0</v>
      </c>
      <c r="AL743">
        <f>[1]发票导入!AL743</f>
        <v>0</v>
      </c>
      <c r="AM743">
        <f>[1]发票导入!AM743</f>
        <v>0</v>
      </c>
      <c r="AN743" s="22">
        <f t="shared" si="1"/>
        <v>0</v>
      </c>
      <c r="AO743" s="22">
        <f t="shared" si="2"/>
        <v>0</v>
      </c>
    </row>
    <row r="744">
      <c r="C744">
        <f>[1]发票导入!C744&amp;""</f>
      </c>
      <c r="D744">
        <f>[1]发票导入!D744&amp;""</f>
      </c>
      <c r="O744">
        <f>[1]发票导入!O744&amp;""</f>
      </c>
      <c r="T744">
        <f>[1]发票导入!T744</f>
      </c>
      <c r="U744">
        <f>[1]发票导入!U744&amp;""</f>
      </c>
      <c r="V744">
        <f>[1]发票导入!V744&amp;""</f>
      </c>
      <c r="W744">
        <f>[1]发票导入!W744&amp;""</f>
      </c>
      <c r="Y744">
        <f>[1]发票导入!Y744&amp;""</f>
      </c>
      <c r="AA744">
        <f>[1]发票导入!AA744&amp;""</f>
      </c>
      <c r="AB744">
        <f>[1]发票导入!AB744</f>
        <v>0</v>
      </c>
      <c r="AC744">
        <f>[1]发票导入!AC744</f>
        <v>0</v>
      </c>
      <c r="AE744" s="22">
        <f t="shared" si="0"/>
      </c>
      <c r="AI744">
        <f>[1]发票导入!AI744&amp;""</f>
      </c>
      <c r="AJ744">
        <f>[1]发票导入!AJ744&amp;""</f>
      </c>
      <c r="AK744">
        <f>[1]发票导入!AK744</f>
        <v>0</v>
      </c>
      <c r="AL744">
        <f>[1]发票导入!AL744</f>
        <v>0</v>
      </c>
      <c r="AM744">
        <f>[1]发票导入!AM744</f>
        <v>0</v>
      </c>
      <c r="AN744" s="22">
        <f t="shared" si="1"/>
        <v>0</v>
      </c>
      <c r="AO744" s="22">
        <f t="shared" si="2"/>
        <v>0</v>
      </c>
    </row>
    <row r="745">
      <c r="C745">
        <f>[1]发票导入!C745&amp;""</f>
      </c>
      <c r="D745">
        <f>[1]发票导入!D745&amp;""</f>
      </c>
      <c r="O745">
        <f>[1]发票导入!O745&amp;""</f>
      </c>
      <c r="T745">
        <f>[1]发票导入!T745</f>
      </c>
      <c r="U745">
        <f>[1]发票导入!U745&amp;""</f>
      </c>
      <c r="V745">
        <f>[1]发票导入!V745&amp;""</f>
      </c>
      <c r="W745">
        <f>[1]发票导入!W745&amp;""</f>
      </c>
      <c r="Y745">
        <f>[1]发票导入!Y745&amp;""</f>
      </c>
      <c r="AA745">
        <f>[1]发票导入!AA745&amp;""</f>
      </c>
      <c r="AB745">
        <f>[1]发票导入!AB745</f>
        <v>0</v>
      </c>
      <c r="AC745">
        <f>[1]发票导入!AC745</f>
        <v>0</v>
      </c>
      <c r="AE745" s="22">
        <f t="shared" si="0"/>
      </c>
      <c r="AI745">
        <f>[1]发票导入!AI745&amp;""</f>
      </c>
      <c r="AJ745">
        <f>[1]发票导入!AJ745&amp;""</f>
      </c>
      <c r="AK745">
        <f>[1]发票导入!AK745</f>
        <v>0</v>
      </c>
      <c r="AL745">
        <f>[1]发票导入!AL745</f>
        <v>0</v>
      </c>
      <c r="AM745">
        <f>[1]发票导入!AM745</f>
        <v>0</v>
      </c>
      <c r="AN745" s="22">
        <f t="shared" si="1"/>
        <v>0</v>
      </c>
      <c r="AO745" s="22">
        <f t="shared" si="2"/>
        <v>0</v>
      </c>
    </row>
    <row r="746">
      <c r="C746">
        <f>[1]发票导入!C746&amp;""</f>
      </c>
      <c r="D746">
        <f>[1]发票导入!D746&amp;""</f>
      </c>
      <c r="O746">
        <f>[1]发票导入!O746&amp;""</f>
      </c>
      <c r="T746">
        <f>[1]发票导入!T746</f>
      </c>
      <c r="U746">
        <f>[1]发票导入!U746&amp;""</f>
      </c>
      <c r="V746">
        <f>[1]发票导入!V746&amp;""</f>
      </c>
      <c r="W746">
        <f>[1]发票导入!W746&amp;""</f>
      </c>
      <c r="Y746">
        <f>[1]发票导入!Y746&amp;""</f>
      </c>
      <c r="AA746">
        <f>[1]发票导入!AA746&amp;""</f>
      </c>
      <c r="AB746">
        <f>[1]发票导入!AB746</f>
        <v>0</v>
      </c>
      <c r="AC746">
        <f>[1]发票导入!AC746</f>
        <v>0</v>
      </c>
      <c r="AE746" s="22">
        <f t="shared" si="0"/>
      </c>
      <c r="AI746">
        <f>[1]发票导入!AI746&amp;""</f>
      </c>
      <c r="AJ746">
        <f>[1]发票导入!AJ746&amp;""</f>
      </c>
      <c r="AK746">
        <f>[1]发票导入!AK746</f>
        <v>0</v>
      </c>
      <c r="AL746">
        <f>[1]发票导入!AL746</f>
        <v>0</v>
      </c>
      <c r="AM746">
        <f>[1]发票导入!AM746</f>
        <v>0</v>
      </c>
      <c r="AN746" s="22">
        <f t="shared" si="1"/>
        <v>0</v>
      </c>
      <c r="AO746" s="22">
        <f t="shared" si="2"/>
        <v>0</v>
      </c>
    </row>
    <row r="747">
      <c r="C747">
        <f>[1]发票导入!C747&amp;""</f>
      </c>
      <c r="D747">
        <f>[1]发票导入!D747&amp;""</f>
      </c>
      <c r="O747">
        <f>[1]发票导入!O747&amp;""</f>
      </c>
      <c r="T747">
        <f>[1]发票导入!T747</f>
      </c>
      <c r="U747">
        <f>[1]发票导入!U747&amp;""</f>
      </c>
      <c r="V747">
        <f>[1]发票导入!V747&amp;""</f>
      </c>
      <c r="W747">
        <f>[1]发票导入!W747&amp;""</f>
      </c>
      <c r="Y747">
        <f>[1]发票导入!Y747&amp;""</f>
      </c>
      <c r="AA747">
        <f>[1]发票导入!AA747&amp;""</f>
      </c>
      <c r="AB747">
        <f>[1]发票导入!AB747</f>
        <v>0</v>
      </c>
      <c r="AC747">
        <f>[1]发票导入!AC747</f>
        <v>0</v>
      </c>
      <c r="AE747" s="22">
        <f t="shared" si="0"/>
      </c>
      <c r="AI747">
        <f>[1]发票导入!AI747&amp;""</f>
      </c>
      <c r="AJ747">
        <f>[1]发票导入!AJ747&amp;""</f>
      </c>
      <c r="AK747">
        <f>[1]发票导入!AK747</f>
        <v>0</v>
      </c>
      <c r="AL747">
        <f>[1]发票导入!AL747</f>
        <v>0</v>
      </c>
      <c r="AM747">
        <f>[1]发票导入!AM747</f>
        <v>0</v>
      </c>
      <c r="AN747" s="22">
        <f t="shared" si="1"/>
        <v>0</v>
      </c>
      <c r="AO747" s="22">
        <f t="shared" si="2"/>
        <v>0</v>
      </c>
    </row>
    <row r="748">
      <c r="C748">
        <f>[1]发票导入!C748&amp;""</f>
      </c>
      <c r="D748">
        <f>[1]发票导入!D748&amp;""</f>
      </c>
      <c r="O748">
        <f>[1]发票导入!O748&amp;""</f>
      </c>
      <c r="T748">
        <f>[1]发票导入!T748</f>
      </c>
      <c r="U748">
        <f>[1]发票导入!U748&amp;""</f>
      </c>
      <c r="V748">
        <f>[1]发票导入!V748&amp;""</f>
      </c>
      <c r="W748">
        <f>[1]发票导入!W748&amp;""</f>
      </c>
      <c r="Y748">
        <f>[1]发票导入!Y748&amp;""</f>
      </c>
      <c r="AA748">
        <f>[1]发票导入!AA748&amp;""</f>
      </c>
      <c r="AB748">
        <f>[1]发票导入!AB748</f>
        <v>0</v>
      </c>
      <c r="AC748">
        <f>[1]发票导入!AC748</f>
        <v>0</v>
      </c>
      <c r="AE748" s="22">
        <f t="shared" si="0"/>
      </c>
      <c r="AI748">
        <f>[1]发票导入!AI748&amp;""</f>
      </c>
      <c r="AJ748">
        <f>[1]发票导入!AJ748&amp;""</f>
      </c>
      <c r="AK748">
        <f>[1]发票导入!AK748</f>
        <v>0</v>
      </c>
      <c r="AL748">
        <f>[1]发票导入!AL748</f>
        <v>0</v>
      </c>
      <c r="AM748">
        <f>[1]发票导入!AM748</f>
        <v>0</v>
      </c>
      <c r="AN748" s="22">
        <f t="shared" si="1"/>
        <v>0</v>
      </c>
      <c r="AO748" s="22">
        <f t="shared" si="2"/>
        <v>0</v>
      </c>
    </row>
    <row r="749">
      <c r="C749">
        <f>[1]发票导入!C749&amp;""</f>
      </c>
      <c r="D749">
        <f>[1]发票导入!D749&amp;""</f>
      </c>
      <c r="O749">
        <f>[1]发票导入!O749&amp;""</f>
      </c>
      <c r="T749">
        <f>[1]发票导入!T749</f>
      </c>
      <c r="U749">
        <f>[1]发票导入!U749&amp;""</f>
      </c>
      <c r="V749">
        <f>[1]发票导入!V749&amp;""</f>
      </c>
      <c r="W749">
        <f>[1]发票导入!W749&amp;""</f>
      </c>
      <c r="Y749">
        <f>[1]发票导入!Y749&amp;""</f>
      </c>
      <c r="AA749">
        <f>[1]发票导入!AA749&amp;""</f>
      </c>
      <c r="AB749">
        <f>[1]发票导入!AB749</f>
        <v>0</v>
      </c>
      <c r="AC749">
        <f>[1]发票导入!AC749</f>
        <v>0</v>
      </c>
      <c r="AE749" s="22">
        <f t="shared" si="0"/>
      </c>
      <c r="AI749">
        <f>[1]发票导入!AI749&amp;""</f>
      </c>
      <c r="AJ749">
        <f>[1]发票导入!AJ749&amp;""</f>
      </c>
      <c r="AK749">
        <f>[1]发票导入!AK749</f>
        <v>0</v>
      </c>
      <c r="AL749">
        <f>[1]发票导入!AL749</f>
        <v>0</v>
      </c>
      <c r="AM749">
        <f>[1]发票导入!AM749</f>
        <v>0</v>
      </c>
      <c r="AN749" s="22">
        <f t="shared" si="1"/>
        <v>0</v>
      </c>
      <c r="AO749" s="22">
        <f t="shared" si="2"/>
        <v>0</v>
      </c>
    </row>
    <row r="750">
      <c r="C750">
        <f>[1]发票导入!C750&amp;""</f>
      </c>
      <c r="D750">
        <f>[1]发票导入!D750&amp;""</f>
      </c>
      <c r="O750">
        <f>[1]发票导入!O750&amp;""</f>
      </c>
      <c r="T750">
        <f>[1]发票导入!T750</f>
      </c>
      <c r="U750">
        <f>[1]发票导入!U750&amp;""</f>
      </c>
      <c r="V750">
        <f>[1]发票导入!V750&amp;""</f>
      </c>
      <c r="W750">
        <f>[1]发票导入!W750&amp;""</f>
      </c>
      <c r="Y750">
        <f>[1]发票导入!Y750&amp;""</f>
      </c>
      <c r="AA750">
        <f>[1]发票导入!AA750&amp;""</f>
      </c>
      <c r="AB750">
        <f>[1]发票导入!AB750</f>
        <v>0</v>
      </c>
      <c r="AC750">
        <f>[1]发票导入!AC750</f>
        <v>0</v>
      </c>
      <c r="AE750" s="22">
        <f t="shared" si="0"/>
      </c>
      <c r="AI750">
        <f>[1]发票导入!AI750&amp;""</f>
      </c>
      <c r="AJ750">
        <f>[1]发票导入!AJ750&amp;""</f>
      </c>
      <c r="AK750">
        <f>[1]发票导入!AK750</f>
        <v>0</v>
      </c>
      <c r="AL750">
        <f>[1]发票导入!AL750</f>
        <v>0</v>
      </c>
      <c r="AM750">
        <f>[1]发票导入!AM750</f>
        <v>0</v>
      </c>
      <c r="AN750" s="22">
        <f t="shared" si="1"/>
        <v>0</v>
      </c>
      <c r="AO750" s="22">
        <f t="shared" si="2"/>
        <v>0</v>
      </c>
    </row>
    <row r="751">
      <c r="C751">
        <f>[1]发票导入!C751&amp;""</f>
      </c>
      <c r="D751">
        <f>[1]发票导入!D751&amp;""</f>
      </c>
      <c r="O751">
        <f>[1]发票导入!O751&amp;""</f>
      </c>
      <c r="T751">
        <f>[1]发票导入!T751</f>
      </c>
      <c r="U751">
        <f>[1]发票导入!U751&amp;""</f>
      </c>
      <c r="V751">
        <f>[1]发票导入!V751&amp;""</f>
      </c>
      <c r="W751">
        <f>[1]发票导入!W751&amp;""</f>
      </c>
      <c r="Y751">
        <f>[1]发票导入!Y751&amp;""</f>
      </c>
      <c r="AA751">
        <f>[1]发票导入!AA751&amp;""</f>
      </c>
      <c r="AB751">
        <f>[1]发票导入!AB751</f>
        <v>0</v>
      </c>
      <c r="AC751">
        <f>[1]发票导入!AC751</f>
        <v>0</v>
      </c>
      <c r="AE751" s="22">
        <f t="shared" si="0"/>
      </c>
      <c r="AI751">
        <f>[1]发票导入!AI751&amp;""</f>
      </c>
      <c r="AJ751">
        <f>[1]发票导入!AJ751&amp;""</f>
      </c>
      <c r="AK751">
        <f>[1]发票导入!AK751</f>
        <v>0</v>
      </c>
      <c r="AL751">
        <f>[1]发票导入!AL751</f>
        <v>0</v>
      </c>
      <c r="AM751">
        <f>[1]发票导入!AM751</f>
        <v>0</v>
      </c>
      <c r="AN751" s="22">
        <f t="shared" si="1"/>
        <v>0</v>
      </c>
      <c r="AO751" s="22">
        <f t="shared" si="2"/>
        <v>0</v>
      </c>
    </row>
    <row r="752">
      <c r="C752">
        <f>[1]发票导入!C752&amp;""</f>
      </c>
      <c r="D752">
        <f>[1]发票导入!D752&amp;""</f>
      </c>
      <c r="O752">
        <f>[1]发票导入!O752&amp;""</f>
      </c>
      <c r="T752">
        <f>[1]发票导入!T752</f>
      </c>
      <c r="U752">
        <f>[1]发票导入!U752&amp;""</f>
      </c>
      <c r="V752">
        <f>[1]发票导入!V752&amp;""</f>
      </c>
      <c r="W752">
        <f>[1]发票导入!W752&amp;""</f>
      </c>
      <c r="Y752">
        <f>[1]发票导入!Y752&amp;""</f>
      </c>
      <c r="AA752">
        <f>[1]发票导入!AA752&amp;""</f>
      </c>
      <c r="AB752">
        <f>[1]发票导入!AB752</f>
        <v>0</v>
      </c>
      <c r="AC752">
        <f>[1]发票导入!AC752</f>
        <v>0</v>
      </c>
      <c r="AE752" s="22">
        <f t="shared" si="0"/>
      </c>
      <c r="AI752">
        <f>[1]发票导入!AI752&amp;""</f>
      </c>
      <c r="AJ752">
        <f>[1]发票导入!AJ752&amp;""</f>
      </c>
      <c r="AK752">
        <f>[1]发票导入!AK752</f>
        <v>0</v>
      </c>
      <c r="AL752">
        <f>[1]发票导入!AL752</f>
        <v>0</v>
      </c>
      <c r="AM752">
        <f>[1]发票导入!AM752</f>
        <v>0</v>
      </c>
      <c r="AN752" s="22">
        <f t="shared" si="1"/>
        <v>0</v>
      </c>
      <c r="AO752" s="22">
        <f t="shared" si="2"/>
        <v>0</v>
      </c>
    </row>
    <row r="753">
      <c r="C753">
        <f>[1]发票导入!C753&amp;""</f>
      </c>
      <c r="D753">
        <f>[1]发票导入!D753&amp;""</f>
      </c>
      <c r="O753">
        <f>[1]发票导入!O753&amp;""</f>
      </c>
      <c r="T753">
        <f>[1]发票导入!T753</f>
      </c>
      <c r="U753">
        <f>[1]发票导入!U753&amp;""</f>
      </c>
      <c r="V753">
        <f>[1]发票导入!V753&amp;""</f>
      </c>
      <c r="W753">
        <f>[1]发票导入!W753&amp;""</f>
      </c>
      <c r="Y753">
        <f>[1]发票导入!Y753&amp;""</f>
      </c>
      <c r="AA753">
        <f>[1]发票导入!AA753&amp;""</f>
      </c>
      <c r="AB753">
        <f>[1]发票导入!AB753</f>
        <v>0</v>
      </c>
      <c r="AC753">
        <f>[1]发票导入!AC753</f>
        <v>0</v>
      </c>
      <c r="AE753" s="22">
        <f t="shared" si="0"/>
      </c>
      <c r="AI753">
        <f>[1]发票导入!AI753&amp;""</f>
      </c>
      <c r="AJ753">
        <f>[1]发票导入!AJ753&amp;""</f>
      </c>
      <c r="AK753">
        <f>[1]发票导入!AK753</f>
        <v>0</v>
      </c>
      <c r="AL753">
        <f>[1]发票导入!AL753</f>
        <v>0</v>
      </c>
      <c r="AM753">
        <f>[1]发票导入!AM753</f>
        <v>0</v>
      </c>
      <c r="AN753" s="22">
        <f t="shared" si="1"/>
        <v>0</v>
      </c>
      <c r="AO753" s="22">
        <f t="shared" si="2"/>
        <v>0</v>
      </c>
    </row>
    <row r="754">
      <c r="C754">
        <f>[1]发票导入!C754&amp;""</f>
      </c>
      <c r="D754">
        <f>[1]发票导入!D754&amp;""</f>
      </c>
      <c r="O754">
        <f>[1]发票导入!O754&amp;""</f>
      </c>
      <c r="T754">
        <f>[1]发票导入!T754</f>
      </c>
      <c r="U754">
        <f>[1]发票导入!U754&amp;""</f>
      </c>
      <c r="V754">
        <f>[1]发票导入!V754&amp;""</f>
      </c>
      <c r="W754">
        <f>[1]发票导入!W754&amp;""</f>
      </c>
      <c r="Y754">
        <f>[1]发票导入!Y754&amp;""</f>
      </c>
      <c r="AA754">
        <f>[1]发票导入!AA754&amp;""</f>
      </c>
      <c r="AB754">
        <f>[1]发票导入!AB754</f>
        <v>0</v>
      </c>
      <c r="AC754">
        <f>[1]发票导入!AC754</f>
        <v>0</v>
      </c>
      <c r="AE754" s="22">
        <f t="shared" si="0"/>
      </c>
      <c r="AI754">
        <f>[1]发票导入!AI754&amp;""</f>
      </c>
      <c r="AJ754">
        <f>[1]发票导入!AJ754&amp;""</f>
      </c>
      <c r="AK754">
        <f>[1]发票导入!AK754</f>
        <v>0</v>
      </c>
      <c r="AL754">
        <f>[1]发票导入!AL754</f>
        <v>0</v>
      </c>
      <c r="AM754">
        <f>[1]发票导入!AM754</f>
        <v>0</v>
      </c>
      <c r="AN754" s="22">
        <f t="shared" si="1"/>
        <v>0</v>
      </c>
      <c r="AO754" s="22">
        <f t="shared" si="2"/>
        <v>0</v>
      </c>
    </row>
    <row r="755">
      <c r="C755">
        <f>[1]发票导入!C755&amp;""</f>
      </c>
      <c r="D755">
        <f>[1]发票导入!D755&amp;""</f>
      </c>
      <c r="O755">
        <f>[1]发票导入!O755&amp;""</f>
      </c>
      <c r="T755">
        <f>[1]发票导入!T755</f>
      </c>
      <c r="U755">
        <f>[1]发票导入!U755&amp;""</f>
      </c>
      <c r="V755">
        <f>[1]发票导入!V755&amp;""</f>
      </c>
      <c r="W755">
        <f>[1]发票导入!W755&amp;""</f>
      </c>
      <c r="Y755">
        <f>[1]发票导入!Y755&amp;""</f>
      </c>
      <c r="AA755">
        <f>[1]发票导入!AA755&amp;""</f>
      </c>
      <c r="AB755">
        <f>[1]发票导入!AB755</f>
        <v>0</v>
      </c>
      <c r="AC755">
        <f>[1]发票导入!AC755</f>
        <v>0</v>
      </c>
      <c r="AE755" s="22">
        <f t="shared" si="0"/>
      </c>
      <c r="AI755">
        <f>[1]发票导入!AI755&amp;""</f>
      </c>
      <c r="AJ755">
        <f>[1]发票导入!AJ755&amp;""</f>
      </c>
      <c r="AK755">
        <f>[1]发票导入!AK755</f>
        <v>0</v>
      </c>
      <c r="AL755">
        <f>[1]发票导入!AL755</f>
        <v>0</v>
      </c>
      <c r="AM755">
        <f>[1]发票导入!AM755</f>
        <v>0</v>
      </c>
      <c r="AN755" s="22">
        <f t="shared" si="1"/>
        <v>0</v>
      </c>
      <c r="AO755" s="22">
        <f t="shared" si="2"/>
        <v>0</v>
      </c>
    </row>
    <row r="756">
      <c r="C756">
        <f>[1]发票导入!C756&amp;""</f>
      </c>
      <c r="D756">
        <f>[1]发票导入!D756&amp;""</f>
      </c>
      <c r="O756">
        <f>[1]发票导入!O756&amp;""</f>
      </c>
      <c r="T756">
        <f>[1]发票导入!T756</f>
      </c>
      <c r="U756">
        <f>[1]发票导入!U756&amp;""</f>
      </c>
      <c r="V756">
        <f>[1]发票导入!V756&amp;""</f>
      </c>
      <c r="W756">
        <f>[1]发票导入!W756&amp;""</f>
      </c>
      <c r="Y756">
        <f>[1]发票导入!Y756&amp;""</f>
      </c>
      <c r="AA756">
        <f>[1]发票导入!AA756&amp;""</f>
      </c>
      <c r="AB756">
        <f>[1]发票导入!AB756</f>
        <v>0</v>
      </c>
      <c r="AC756">
        <f>[1]发票导入!AC756</f>
        <v>0</v>
      </c>
      <c r="AE756" s="22">
        <f t="shared" si="0"/>
      </c>
      <c r="AI756">
        <f>[1]发票导入!AI756&amp;""</f>
      </c>
      <c r="AJ756">
        <f>[1]发票导入!AJ756&amp;""</f>
      </c>
      <c r="AK756">
        <f>[1]发票导入!AK756</f>
        <v>0</v>
      </c>
      <c r="AL756">
        <f>[1]发票导入!AL756</f>
        <v>0</v>
      </c>
      <c r="AM756">
        <f>[1]发票导入!AM756</f>
        <v>0</v>
      </c>
      <c r="AN756" s="22">
        <f t="shared" si="1"/>
        <v>0</v>
      </c>
      <c r="AO756" s="22">
        <f t="shared" si="2"/>
        <v>0</v>
      </c>
    </row>
    <row r="757">
      <c r="C757">
        <f>[1]发票导入!C757&amp;""</f>
      </c>
      <c r="D757">
        <f>[1]发票导入!D757&amp;""</f>
      </c>
      <c r="O757">
        <f>[1]发票导入!O757&amp;""</f>
      </c>
      <c r="T757">
        <f>[1]发票导入!T757</f>
      </c>
      <c r="U757">
        <f>[1]发票导入!U757&amp;""</f>
      </c>
      <c r="V757">
        <f>[1]发票导入!V757&amp;""</f>
      </c>
      <c r="W757">
        <f>[1]发票导入!W757&amp;""</f>
      </c>
      <c r="Y757">
        <f>[1]发票导入!Y757&amp;""</f>
      </c>
      <c r="AA757">
        <f>[1]发票导入!AA757&amp;""</f>
      </c>
      <c r="AB757">
        <f>[1]发票导入!AB757</f>
        <v>0</v>
      </c>
      <c r="AC757">
        <f>[1]发票导入!AC757</f>
        <v>0</v>
      </c>
      <c r="AE757" s="22">
        <f t="shared" si="0"/>
      </c>
      <c r="AI757">
        <f>[1]发票导入!AI757&amp;""</f>
      </c>
      <c r="AJ757">
        <f>[1]发票导入!AJ757&amp;""</f>
      </c>
      <c r="AK757">
        <f>[1]发票导入!AK757</f>
        <v>0</v>
      </c>
      <c r="AL757">
        <f>[1]发票导入!AL757</f>
        <v>0</v>
      </c>
      <c r="AM757">
        <f>[1]发票导入!AM757</f>
        <v>0</v>
      </c>
      <c r="AN757" s="22">
        <f t="shared" si="1"/>
        <v>0</v>
      </c>
      <c r="AO757" s="22">
        <f t="shared" si="2"/>
        <v>0</v>
      </c>
    </row>
    <row r="758">
      <c r="C758">
        <f>[1]发票导入!C758&amp;""</f>
      </c>
      <c r="D758">
        <f>[1]发票导入!D758&amp;""</f>
      </c>
      <c r="O758">
        <f>[1]发票导入!O758&amp;""</f>
      </c>
      <c r="T758">
        <f>[1]发票导入!T758</f>
      </c>
      <c r="U758">
        <f>[1]发票导入!U758&amp;""</f>
      </c>
      <c r="V758">
        <f>[1]发票导入!V758&amp;""</f>
      </c>
      <c r="W758">
        <f>[1]发票导入!W758&amp;""</f>
      </c>
      <c r="Y758">
        <f>[1]发票导入!Y758&amp;""</f>
      </c>
      <c r="AA758">
        <f>[1]发票导入!AA758&amp;""</f>
      </c>
      <c r="AB758">
        <f>[1]发票导入!AB758</f>
        <v>0</v>
      </c>
      <c r="AC758">
        <f>[1]发票导入!AC758</f>
        <v>0</v>
      </c>
      <c r="AE758" s="22">
        <f t="shared" si="0"/>
      </c>
      <c r="AI758">
        <f>[1]发票导入!AI758&amp;""</f>
      </c>
      <c r="AJ758">
        <f>[1]发票导入!AJ758&amp;""</f>
      </c>
      <c r="AK758">
        <f>[1]发票导入!AK758</f>
        <v>0</v>
      </c>
      <c r="AL758">
        <f>[1]发票导入!AL758</f>
        <v>0</v>
      </c>
      <c r="AM758">
        <f>[1]发票导入!AM758</f>
        <v>0</v>
      </c>
      <c r="AN758" s="22">
        <f t="shared" si="1"/>
        <v>0</v>
      </c>
      <c r="AO758" s="22">
        <f t="shared" si="2"/>
        <v>0</v>
      </c>
    </row>
    <row r="759">
      <c r="C759">
        <f>[1]发票导入!C759&amp;""</f>
      </c>
      <c r="D759">
        <f>[1]发票导入!D759&amp;""</f>
      </c>
      <c r="O759">
        <f>[1]发票导入!O759&amp;""</f>
      </c>
      <c r="T759">
        <f>[1]发票导入!T759</f>
      </c>
      <c r="U759">
        <f>[1]发票导入!U759&amp;""</f>
      </c>
      <c r="V759">
        <f>[1]发票导入!V759&amp;""</f>
      </c>
      <c r="W759">
        <f>[1]发票导入!W759&amp;""</f>
      </c>
      <c r="Y759">
        <f>[1]发票导入!Y759&amp;""</f>
      </c>
      <c r="AA759">
        <f>[1]发票导入!AA759&amp;""</f>
      </c>
      <c r="AB759">
        <f>[1]发票导入!AB759</f>
        <v>0</v>
      </c>
      <c r="AC759">
        <f>[1]发票导入!AC759</f>
        <v>0</v>
      </c>
      <c r="AE759" s="22">
        <f t="shared" si="0"/>
      </c>
      <c r="AI759">
        <f>[1]发票导入!AI759&amp;""</f>
      </c>
      <c r="AJ759">
        <f>[1]发票导入!AJ759&amp;""</f>
      </c>
      <c r="AK759">
        <f>[1]发票导入!AK759</f>
        <v>0</v>
      </c>
      <c r="AL759">
        <f>[1]发票导入!AL759</f>
        <v>0</v>
      </c>
      <c r="AM759">
        <f>[1]发票导入!AM759</f>
        <v>0</v>
      </c>
      <c r="AN759" s="22">
        <f t="shared" si="1"/>
        <v>0</v>
      </c>
      <c r="AO759" s="22">
        <f t="shared" si="2"/>
        <v>0</v>
      </c>
    </row>
    <row r="760">
      <c r="C760">
        <f>[1]发票导入!C760&amp;""</f>
      </c>
      <c r="D760">
        <f>[1]发票导入!D760&amp;""</f>
      </c>
      <c r="O760">
        <f>[1]发票导入!O760&amp;""</f>
      </c>
      <c r="T760">
        <f>[1]发票导入!T760</f>
      </c>
      <c r="U760">
        <f>[1]发票导入!U760&amp;""</f>
      </c>
      <c r="V760">
        <f>[1]发票导入!V760&amp;""</f>
      </c>
      <c r="W760">
        <f>[1]发票导入!W760&amp;""</f>
      </c>
      <c r="Y760">
        <f>[1]发票导入!Y760&amp;""</f>
      </c>
      <c r="AA760">
        <f>[1]发票导入!AA760&amp;""</f>
      </c>
      <c r="AB760">
        <f>[1]发票导入!AB760</f>
        <v>0</v>
      </c>
      <c r="AC760">
        <f>[1]发票导入!AC760</f>
        <v>0</v>
      </c>
      <c r="AE760" s="22">
        <f t="shared" si="0"/>
      </c>
      <c r="AI760">
        <f>[1]发票导入!AI760&amp;""</f>
      </c>
      <c r="AJ760">
        <f>[1]发票导入!AJ760&amp;""</f>
      </c>
      <c r="AK760">
        <f>[1]发票导入!AK760</f>
        <v>0</v>
      </c>
      <c r="AL760">
        <f>[1]发票导入!AL760</f>
        <v>0</v>
      </c>
      <c r="AM760">
        <f>[1]发票导入!AM760</f>
        <v>0</v>
      </c>
      <c r="AN760" s="22">
        <f t="shared" si="1"/>
        <v>0</v>
      </c>
      <c r="AO760" s="22">
        <f t="shared" si="2"/>
        <v>0</v>
      </c>
    </row>
    <row r="761">
      <c r="C761">
        <f>[1]发票导入!C761&amp;""</f>
      </c>
      <c r="D761">
        <f>[1]发票导入!D761&amp;""</f>
      </c>
      <c r="O761">
        <f>[1]发票导入!O761&amp;""</f>
      </c>
      <c r="T761">
        <f>[1]发票导入!T761</f>
      </c>
      <c r="U761">
        <f>[1]发票导入!U761&amp;""</f>
      </c>
      <c r="V761">
        <f>[1]发票导入!V761&amp;""</f>
      </c>
      <c r="W761">
        <f>[1]发票导入!W761&amp;""</f>
      </c>
      <c r="Y761">
        <f>[1]发票导入!Y761&amp;""</f>
      </c>
      <c r="AA761">
        <f>[1]发票导入!AA761&amp;""</f>
      </c>
      <c r="AB761">
        <f>[1]发票导入!AB761</f>
        <v>0</v>
      </c>
      <c r="AC761">
        <f>[1]发票导入!AC761</f>
        <v>0</v>
      </c>
      <c r="AE761" s="22">
        <f t="shared" si="0"/>
      </c>
      <c r="AI761">
        <f>[1]发票导入!AI761&amp;""</f>
      </c>
      <c r="AJ761">
        <f>[1]发票导入!AJ761&amp;""</f>
      </c>
      <c r="AK761">
        <f>[1]发票导入!AK761</f>
        <v>0</v>
      </c>
      <c r="AL761">
        <f>[1]发票导入!AL761</f>
        <v>0</v>
      </c>
      <c r="AM761">
        <f>[1]发票导入!AM761</f>
        <v>0</v>
      </c>
      <c r="AN761" s="22">
        <f t="shared" si="1"/>
        <v>0</v>
      </c>
      <c r="AO761" s="22">
        <f t="shared" si="2"/>
        <v>0</v>
      </c>
    </row>
    <row r="762">
      <c r="C762">
        <f>[1]发票导入!C762&amp;""</f>
      </c>
      <c r="D762">
        <f>[1]发票导入!D762&amp;""</f>
      </c>
      <c r="O762">
        <f>[1]发票导入!O762&amp;""</f>
      </c>
      <c r="T762">
        <f>[1]发票导入!T762</f>
      </c>
      <c r="U762">
        <f>[1]发票导入!U762&amp;""</f>
      </c>
      <c r="V762">
        <f>[1]发票导入!V762&amp;""</f>
      </c>
      <c r="W762">
        <f>[1]发票导入!W762&amp;""</f>
      </c>
      <c r="Y762">
        <f>[1]发票导入!Y762&amp;""</f>
      </c>
      <c r="AA762">
        <f>[1]发票导入!AA762&amp;""</f>
      </c>
      <c r="AB762">
        <f>[1]发票导入!AB762</f>
        <v>0</v>
      </c>
      <c r="AC762">
        <f>[1]发票导入!AC762</f>
        <v>0</v>
      </c>
      <c r="AE762" s="22">
        <f t="shared" si="0"/>
      </c>
      <c r="AI762">
        <f>[1]发票导入!AI762&amp;""</f>
      </c>
      <c r="AJ762">
        <f>[1]发票导入!AJ762&amp;""</f>
      </c>
      <c r="AK762">
        <f>[1]发票导入!AK762</f>
        <v>0</v>
      </c>
      <c r="AL762">
        <f>[1]发票导入!AL762</f>
        <v>0</v>
      </c>
      <c r="AM762">
        <f>[1]发票导入!AM762</f>
        <v>0</v>
      </c>
      <c r="AN762" s="22">
        <f t="shared" si="1"/>
        <v>0</v>
      </c>
      <c r="AO762" s="22">
        <f t="shared" si="2"/>
        <v>0</v>
      </c>
    </row>
    <row r="763">
      <c r="C763">
        <f>[1]发票导入!C763&amp;""</f>
      </c>
      <c r="D763">
        <f>[1]发票导入!D763&amp;""</f>
      </c>
      <c r="O763">
        <f>[1]发票导入!O763&amp;""</f>
      </c>
      <c r="T763">
        <f>[1]发票导入!T763</f>
      </c>
      <c r="U763">
        <f>[1]发票导入!U763&amp;""</f>
      </c>
      <c r="V763">
        <f>[1]发票导入!V763&amp;""</f>
      </c>
      <c r="W763">
        <f>[1]发票导入!W763&amp;""</f>
      </c>
      <c r="Y763">
        <f>[1]发票导入!Y763&amp;""</f>
      </c>
      <c r="AA763">
        <f>[1]发票导入!AA763&amp;""</f>
      </c>
      <c r="AB763">
        <f>[1]发票导入!AB763</f>
        <v>0</v>
      </c>
      <c r="AC763">
        <f>[1]发票导入!AC763</f>
        <v>0</v>
      </c>
      <c r="AE763" s="22">
        <f t="shared" si="0"/>
      </c>
      <c r="AI763">
        <f>[1]发票导入!AI763&amp;""</f>
      </c>
      <c r="AJ763">
        <f>[1]发票导入!AJ763&amp;""</f>
      </c>
      <c r="AK763">
        <f>[1]发票导入!AK763</f>
        <v>0</v>
      </c>
      <c r="AL763">
        <f>[1]发票导入!AL763</f>
        <v>0</v>
      </c>
      <c r="AM763">
        <f>[1]发票导入!AM763</f>
        <v>0</v>
      </c>
      <c r="AN763" s="22">
        <f t="shared" si="1"/>
        <v>0</v>
      </c>
      <c r="AO763" s="22">
        <f t="shared" si="2"/>
        <v>0</v>
      </c>
    </row>
    <row r="764">
      <c r="C764">
        <f>[1]发票导入!C764&amp;""</f>
      </c>
      <c r="D764">
        <f>[1]发票导入!D764&amp;""</f>
      </c>
      <c r="O764">
        <f>[1]发票导入!O764&amp;""</f>
      </c>
      <c r="T764">
        <f>[1]发票导入!T764</f>
      </c>
      <c r="U764">
        <f>[1]发票导入!U764&amp;""</f>
      </c>
      <c r="V764">
        <f>[1]发票导入!V764&amp;""</f>
      </c>
      <c r="W764">
        <f>[1]发票导入!W764&amp;""</f>
      </c>
      <c r="Y764">
        <f>[1]发票导入!Y764&amp;""</f>
      </c>
      <c r="AA764">
        <f>[1]发票导入!AA764&amp;""</f>
      </c>
      <c r="AB764">
        <f>[1]发票导入!AB764</f>
        <v>0</v>
      </c>
      <c r="AC764">
        <f>[1]发票导入!AC764</f>
        <v>0</v>
      </c>
      <c r="AE764" s="22">
        <f t="shared" si="0"/>
      </c>
      <c r="AI764">
        <f>[1]发票导入!AI764&amp;""</f>
      </c>
      <c r="AJ764">
        <f>[1]发票导入!AJ764&amp;""</f>
      </c>
      <c r="AK764">
        <f>[1]发票导入!AK764</f>
        <v>0</v>
      </c>
      <c r="AL764">
        <f>[1]发票导入!AL764</f>
        <v>0</v>
      </c>
      <c r="AM764">
        <f>[1]发票导入!AM764</f>
        <v>0</v>
      </c>
      <c r="AN764" s="22">
        <f t="shared" si="1"/>
        <v>0</v>
      </c>
      <c r="AO764" s="22">
        <f t="shared" si="2"/>
        <v>0</v>
      </c>
    </row>
    <row r="765">
      <c r="C765">
        <f>[1]发票导入!C765&amp;""</f>
      </c>
      <c r="D765">
        <f>[1]发票导入!D765&amp;""</f>
      </c>
      <c r="O765">
        <f>[1]发票导入!O765&amp;""</f>
      </c>
      <c r="T765">
        <f>[1]发票导入!T765</f>
      </c>
      <c r="U765">
        <f>[1]发票导入!U765&amp;""</f>
      </c>
      <c r="V765">
        <f>[1]发票导入!V765&amp;""</f>
      </c>
      <c r="W765">
        <f>[1]发票导入!W765&amp;""</f>
      </c>
      <c r="Y765">
        <f>[1]发票导入!Y765&amp;""</f>
      </c>
      <c r="AA765">
        <f>[1]发票导入!AA765&amp;""</f>
      </c>
      <c r="AB765">
        <f>[1]发票导入!AB765</f>
        <v>0</v>
      </c>
      <c r="AC765">
        <f>[1]发票导入!AC765</f>
        <v>0</v>
      </c>
      <c r="AE765" s="22">
        <f t="shared" si="0"/>
      </c>
      <c r="AI765">
        <f>[1]发票导入!AI765&amp;""</f>
      </c>
      <c r="AJ765">
        <f>[1]发票导入!AJ765&amp;""</f>
      </c>
      <c r="AK765">
        <f>[1]发票导入!AK765</f>
        <v>0</v>
      </c>
      <c r="AL765">
        <f>[1]发票导入!AL765</f>
        <v>0</v>
      </c>
      <c r="AM765">
        <f>[1]发票导入!AM765</f>
        <v>0</v>
      </c>
      <c r="AN765" s="22">
        <f t="shared" si="1"/>
        <v>0</v>
      </c>
      <c r="AO765" s="22">
        <f t="shared" si="2"/>
        <v>0</v>
      </c>
    </row>
    <row r="766">
      <c r="C766">
        <f>[1]发票导入!C766&amp;""</f>
      </c>
      <c r="D766">
        <f>[1]发票导入!D766&amp;""</f>
      </c>
      <c r="O766">
        <f>[1]发票导入!O766&amp;""</f>
      </c>
      <c r="T766">
        <f>[1]发票导入!T766</f>
      </c>
      <c r="U766">
        <f>[1]发票导入!U766&amp;""</f>
      </c>
      <c r="V766">
        <f>[1]发票导入!V766&amp;""</f>
      </c>
      <c r="W766">
        <f>[1]发票导入!W766&amp;""</f>
      </c>
      <c r="Y766">
        <f>[1]发票导入!Y766&amp;""</f>
      </c>
      <c r="AA766">
        <f>[1]发票导入!AA766&amp;""</f>
      </c>
      <c r="AB766">
        <f>[1]发票导入!AB766</f>
        <v>0</v>
      </c>
      <c r="AC766">
        <f>[1]发票导入!AC766</f>
        <v>0</v>
      </c>
      <c r="AE766" s="22">
        <f t="shared" si="0"/>
      </c>
      <c r="AI766">
        <f>[1]发票导入!AI766&amp;""</f>
      </c>
      <c r="AJ766">
        <f>[1]发票导入!AJ766&amp;""</f>
      </c>
      <c r="AK766">
        <f>[1]发票导入!AK766</f>
        <v>0</v>
      </c>
      <c r="AL766">
        <f>[1]发票导入!AL766</f>
        <v>0</v>
      </c>
      <c r="AM766">
        <f>[1]发票导入!AM766</f>
        <v>0</v>
      </c>
      <c r="AN766" s="22">
        <f t="shared" si="1"/>
        <v>0</v>
      </c>
      <c r="AO766" s="22">
        <f t="shared" si="2"/>
        <v>0</v>
      </c>
    </row>
    <row r="767">
      <c r="C767">
        <f>[1]发票导入!C767&amp;""</f>
      </c>
      <c r="D767">
        <f>[1]发票导入!D767&amp;""</f>
      </c>
      <c r="O767">
        <f>[1]发票导入!O767&amp;""</f>
      </c>
      <c r="T767">
        <f>[1]发票导入!T767</f>
      </c>
      <c r="U767">
        <f>[1]发票导入!U767&amp;""</f>
      </c>
      <c r="V767">
        <f>[1]发票导入!V767&amp;""</f>
      </c>
      <c r="W767">
        <f>[1]发票导入!W767&amp;""</f>
      </c>
      <c r="Y767">
        <f>[1]发票导入!Y767&amp;""</f>
      </c>
      <c r="AA767">
        <f>[1]发票导入!AA767&amp;""</f>
      </c>
      <c r="AB767">
        <f>[1]发票导入!AB767</f>
        <v>0</v>
      </c>
      <c r="AC767">
        <f>[1]发票导入!AC767</f>
        <v>0</v>
      </c>
      <c r="AE767" s="22">
        <f t="shared" si="0"/>
      </c>
      <c r="AI767">
        <f>[1]发票导入!AI767&amp;""</f>
      </c>
      <c r="AJ767">
        <f>[1]发票导入!AJ767&amp;""</f>
      </c>
      <c r="AK767">
        <f>[1]发票导入!AK767</f>
        <v>0</v>
      </c>
      <c r="AL767">
        <f>[1]发票导入!AL767</f>
        <v>0</v>
      </c>
      <c r="AM767">
        <f>[1]发票导入!AM767</f>
        <v>0</v>
      </c>
      <c r="AN767" s="22">
        <f t="shared" si="1"/>
        <v>0</v>
      </c>
      <c r="AO767" s="22">
        <f t="shared" si="2"/>
        <v>0</v>
      </c>
    </row>
    <row r="768">
      <c r="C768">
        <f>[1]发票导入!C768&amp;""</f>
      </c>
      <c r="D768">
        <f>[1]发票导入!D768&amp;""</f>
      </c>
      <c r="O768">
        <f>[1]发票导入!O768&amp;""</f>
      </c>
      <c r="T768">
        <f>[1]发票导入!T768</f>
      </c>
      <c r="U768">
        <f>[1]发票导入!U768&amp;""</f>
      </c>
      <c r="V768">
        <f>[1]发票导入!V768&amp;""</f>
      </c>
      <c r="W768">
        <f>[1]发票导入!W768&amp;""</f>
      </c>
      <c r="Y768">
        <f>[1]发票导入!Y768&amp;""</f>
      </c>
      <c r="AA768">
        <f>[1]发票导入!AA768&amp;""</f>
      </c>
      <c r="AB768">
        <f>[1]发票导入!AB768</f>
        <v>0</v>
      </c>
      <c r="AC768">
        <f>[1]发票导入!AC768</f>
        <v>0</v>
      </c>
      <c r="AE768" s="22">
        <f t="shared" si="0"/>
      </c>
      <c r="AI768">
        <f>[1]发票导入!AI768&amp;""</f>
      </c>
      <c r="AJ768">
        <f>[1]发票导入!AJ768&amp;""</f>
      </c>
      <c r="AK768">
        <f>[1]发票导入!AK768</f>
        <v>0</v>
      </c>
      <c r="AL768">
        <f>[1]发票导入!AL768</f>
        <v>0</v>
      </c>
      <c r="AM768">
        <f>[1]发票导入!AM768</f>
        <v>0</v>
      </c>
      <c r="AN768" s="22">
        <f t="shared" si="1"/>
        <v>0</v>
      </c>
      <c r="AO768" s="22">
        <f t="shared" si="2"/>
        <v>0</v>
      </c>
    </row>
    <row r="769">
      <c r="C769">
        <f>[1]发票导入!C769&amp;""</f>
      </c>
      <c r="D769">
        <f>[1]发票导入!D769&amp;""</f>
      </c>
      <c r="O769">
        <f>[1]发票导入!O769&amp;""</f>
      </c>
      <c r="T769">
        <f>[1]发票导入!T769</f>
      </c>
      <c r="U769">
        <f>[1]发票导入!U769&amp;""</f>
      </c>
      <c r="V769">
        <f>[1]发票导入!V769&amp;""</f>
      </c>
      <c r="W769">
        <f>[1]发票导入!W769&amp;""</f>
      </c>
      <c r="Y769">
        <f>[1]发票导入!Y769&amp;""</f>
      </c>
      <c r="AA769">
        <f>[1]发票导入!AA769&amp;""</f>
      </c>
      <c r="AB769">
        <f>[1]发票导入!AB769</f>
        <v>0</v>
      </c>
      <c r="AC769">
        <f>[1]发票导入!AC769</f>
        <v>0</v>
      </c>
      <c r="AE769" s="22">
        <f t="shared" si="0"/>
      </c>
      <c r="AI769">
        <f>[1]发票导入!AI769&amp;""</f>
      </c>
      <c r="AJ769">
        <f>[1]发票导入!AJ769&amp;""</f>
      </c>
      <c r="AK769">
        <f>[1]发票导入!AK769</f>
        <v>0</v>
      </c>
      <c r="AL769">
        <f>[1]发票导入!AL769</f>
        <v>0</v>
      </c>
      <c r="AM769">
        <f>[1]发票导入!AM769</f>
        <v>0</v>
      </c>
      <c r="AN769" s="22">
        <f t="shared" si="1"/>
        <v>0</v>
      </c>
      <c r="AO769" s="22">
        <f t="shared" si="2"/>
        <v>0</v>
      </c>
    </row>
    <row r="770">
      <c r="C770">
        <f>[1]发票导入!C770&amp;""</f>
      </c>
      <c r="D770">
        <f>[1]发票导入!D770&amp;""</f>
      </c>
      <c r="O770">
        <f>[1]发票导入!O770&amp;""</f>
      </c>
      <c r="T770">
        <f>[1]发票导入!T770</f>
      </c>
      <c r="U770">
        <f>[1]发票导入!U770&amp;""</f>
      </c>
      <c r="V770">
        <f>[1]发票导入!V770&amp;""</f>
      </c>
      <c r="W770">
        <f>[1]发票导入!W770&amp;""</f>
      </c>
      <c r="Y770">
        <f>[1]发票导入!Y770&amp;""</f>
      </c>
      <c r="AA770">
        <f>[1]发票导入!AA770&amp;""</f>
      </c>
      <c r="AB770">
        <f>[1]发票导入!AB770</f>
        <v>0</v>
      </c>
      <c r="AC770">
        <f>[1]发票导入!AC770</f>
        <v>0</v>
      </c>
      <c r="AE770" s="22">
        <f t="shared" si="0"/>
      </c>
      <c r="AI770">
        <f>[1]发票导入!AI770&amp;""</f>
      </c>
      <c r="AJ770">
        <f>[1]发票导入!AJ770&amp;""</f>
      </c>
      <c r="AK770">
        <f>[1]发票导入!AK770</f>
        <v>0</v>
      </c>
      <c r="AL770">
        <f>[1]发票导入!AL770</f>
        <v>0</v>
      </c>
      <c r="AM770">
        <f>[1]发票导入!AM770</f>
        <v>0</v>
      </c>
      <c r="AN770" s="22">
        <f t="shared" si="1"/>
        <v>0</v>
      </c>
      <c r="AO770" s="22">
        <f t="shared" si="2"/>
        <v>0</v>
      </c>
    </row>
    <row r="771">
      <c r="C771">
        <f>[1]发票导入!C771&amp;""</f>
      </c>
      <c r="D771">
        <f>[1]发票导入!D771&amp;""</f>
      </c>
      <c r="O771">
        <f>[1]发票导入!O771&amp;""</f>
      </c>
      <c r="T771">
        <f>[1]发票导入!T771</f>
      </c>
      <c r="U771">
        <f>[1]发票导入!U771&amp;""</f>
      </c>
      <c r="V771">
        <f>[1]发票导入!V771&amp;""</f>
      </c>
      <c r="W771">
        <f>[1]发票导入!W771&amp;""</f>
      </c>
      <c r="Y771">
        <f>[1]发票导入!Y771&amp;""</f>
      </c>
      <c r="AA771">
        <f>[1]发票导入!AA771&amp;""</f>
      </c>
      <c r="AB771">
        <f>[1]发票导入!AB771</f>
        <v>0</v>
      </c>
      <c r="AC771">
        <f>[1]发票导入!AC771</f>
        <v>0</v>
      </c>
      <c r="AE771" s="22">
        <f t="shared" si="0"/>
      </c>
      <c r="AI771">
        <f>[1]发票导入!AI771&amp;""</f>
      </c>
      <c r="AJ771">
        <f>[1]发票导入!AJ771&amp;""</f>
      </c>
      <c r="AK771">
        <f>[1]发票导入!AK771</f>
        <v>0</v>
      </c>
      <c r="AL771">
        <f>[1]发票导入!AL771</f>
        <v>0</v>
      </c>
      <c r="AM771">
        <f>[1]发票导入!AM771</f>
        <v>0</v>
      </c>
      <c r="AN771" s="22">
        <f t="shared" si="1"/>
        <v>0</v>
      </c>
      <c r="AO771" s="22">
        <f t="shared" si="2"/>
        <v>0</v>
      </c>
    </row>
    <row r="772">
      <c r="C772">
        <f>[1]发票导入!C772&amp;""</f>
      </c>
      <c r="D772">
        <f>[1]发票导入!D772&amp;""</f>
      </c>
      <c r="O772">
        <f>[1]发票导入!O772&amp;""</f>
      </c>
      <c r="T772">
        <f>[1]发票导入!T772</f>
      </c>
      <c r="U772">
        <f>[1]发票导入!U772&amp;""</f>
      </c>
      <c r="V772">
        <f>[1]发票导入!V772&amp;""</f>
      </c>
      <c r="W772">
        <f>[1]发票导入!W772&amp;""</f>
      </c>
      <c r="Y772">
        <f>[1]发票导入!Y772&amp;""</f>
      </c>
      <c r="AA772">
        <f>[1]发票导入!AA772&amp;""</f>
      </c>
      <c r="AB772">
        <f>[1]发票导入!AB772</f>
        <v>0</v>
      </c>
      <c r="AC772">
        <f>[1]发票导入!AC772</f>
        <v>0</v>
      </c>
      <c r="AE772" s="22">
        <f t="shared" si="0"/>
      </c>
      <c r="AI772">
        <f>[1]发票导入!AI772&amp;""</f>
      </c>
      <c r="AJ772">
        <f>[1]发票导入!AJ772&amp;""</f>
      </c>
      <c r="AK772">
        <f>[1]发票导入!AK772</f>
        <v>0</v>
      </c>
      <c r="AL772">
        <f>[1]发票导入!AL772</f>
        <v>0</v>
      </c>
      <c r="AM772">
        <f>[1]发票导入!AM772</f>
        <v>0</v>
      </c>
      <c r="AN772" s="22">
        <f t="shared" si="1"/>
        <v>0</v>
      </c>
      <c r="AO772" s="22">
        <f t="shared" si="2"/>
        <v>0</v>
      </c>
    </row>
    <row r="773">
      <c r="C773">
        <f>[1]发票导入!C773&amp;""</f>
      </c>
      <c r="D773">
        <f>[1]发票导入!D773&amp;""</f>
      </c>
      <c r="O773">
        <f>[1]发票导入!O773&amp;""</f>
      </c>
      <c r="T773">
        <f>[1]发票导入!T773</f>
      </c>
      <c r="U773">
        <f>[1]发票导入!U773&amp;""</f>
      </c>
      <c r="V773">
        <f>[1]发票导入!V773&amp;""</f>
      </c>
      <c r="W773">
        <f>[1]发票导入!W773&amp;""</f>
      </c>
      <c r="Y773">
        <f>[1]发票导入!Y773&amp;""</f>
      </c>
      <c r="AA773">
        <f>[1]发票导入!AA773&amp;""</f>
      </c>
      <c r="AB773">
        <f>[1]发票导入!AB773</f>
        <v>0</v>
      </c>
      <c r="AC773">
        <f>[1]发票导入!AC773</f>
        <v>0</v>
      </c>
      <c r="AE773" s="22">
        <f t="shared" si="0"/>
      </c>
      <c r="AI773">
        <f>[1]发票导入!AI773&amp;""</f>
      </c>
      <c r="AJ773">
        <f>[1]发票导入!AJ773&amp;""</f>
      </c>
      <c r="AK773">
        <f>[1]发票导入!AK773</f>
        <v>0</v>
      </c>
      <c r="AL773">
        <f>[1]发票导入!AL773</f>
        <v>0</v>
      </c>
      <c r="AM773">
        <f>[1]发票导入!AM773</f>
        <v>0</v>
      </c>
      <c r="AN773" s="22">
        <f t="shared" si="1"/>
        <v>0</v>
      </c>
      <c r="AO773" s="22">
        <f t="shared" si="2"/>
        <v>0</v>
      </c>
    </row>
    <row r="774">
      <c r="C774">
        <f>[1]发票导入!C774&amp;""</f>
      </c>
      <c r="D774">
        <f>[1]发票导入!D774&amp;""</f>
      </c>
      <c r="O774">
        <f>[1]发票导入!O774&amp;""</f>
      </c>
      <c r="T774">
        <f>[1]发票导入!T774</f>
      </c>
      <c r="U774">
        <f>[1]发票导入!U774&amp;""</f>
      </c>
      <c r="V774">
        <f>[1]发票导入!V774&amp;""</f>
      </c>
      <c r="W774">
        <f>[1]发票导入!W774&amp;""</f>
      </c>
      <c r="Y774">
        <f>[1]发票导入!Y774&amp;""</f>
      </c>
      <c r="AA774">
        <f>[1]发票导入!AA774&amp;""</f>
      </c>
      <c r="AB774">
        <f>[1]发票导入!AB774</f>
        <v>0</v>
      </c>
      <c r="AC774">
        <f>[1]发票导入!AC774</f>
        <v>0</v>
      </c>
      <c r="AE774" s="22">
        <f t="shared" si="0"/>
      </c>
      <c r="AI774">
        <f>[1]发票导入!AI774&amp;""</f>
      </c>
      <c r="AJ774">
        <f>[1]发票导入!AJ774&amp;""</f>
      </c>
      <c r="AK774">
        <f>[1]发票导入!AK774</f>
        <v>0</v>
      </c>
      <c r="AL774">
        <f>[1]发票导入!AL774</f>
        <v>0</v>
      </c>
      <c r="AM774">
        <f>[1]发票导入!AM774</f>
        <v>0</v>
      </c>
      <c r="AN774" s="22">
        <f t="shared" si="1"/>
        <v>0</v>
      </c>
      <c r="AO774" s="22">
        <f t="shared" si="2"/>
        <v>0</v>
      </c>
    </row>
    <row r="775">
      <c r="C775">
        <f>[1]发票导入!C775&amp;""</f>
      </c>
      <c r="D775">
        <f>[1]发票导入!D775&amp;""</f>
      </c>
      <c r="O775">
        <f>[1]发票导入!O775&amp;""</f>
      </c>
      <c r="T775">
        <f>[1]发票导入!T775</f>
      </c>
      <c r="U775">
        <f>[1]发票导入!U775&amp;""</f>
      </c>
      <c r="V775">
        <f>[1]发票导入!V775&amp;""</f>
      </c>
      <c r="W775">
        <f>[1]发票导入!W775&amp;""</f>
      </c>
      <c r="Y775">
        <f>[1]发票导入!Y775&amp;""</f>
      </c>
      <c r="AA775">
        <f>[1]发票导入!AA775&amp;""</f>
      </c>
      <c r="AB775">
        <f>[1]发票导入!AB775</f>
        <v>0</v>
      </c>
      <c r="AC775">
        <f>[1]发票导入!AC775</f>
        <v>0</v>
      </c>
      <c r="AE775" s="22">
        <f t="shared" si="0"/>
      </c>
      <c r="AI775">
        <f>[1]发票导入!AI775&amp;""</f>
      </c>
      <c r="AJ775">
        <f>[1]发票导入!AJ775&amp;""</f>
      </c>
      <c r="AK775">
        <f>[1]发票导入!AK775</f>
        <v>0</v>
      </c>
      <c r="AL775">
        <f>[1]发票导入!AL775</f>
        <v>0</v>
      </c>
      <c r="AM775">
        <f>[1]发票导入!AM775</f>
        <v>0</v>
      </c>
      <c r="AN775" s="22">
        <f t="shared" si="1"/>
        <v>0</v>
      </c>
      <c r="AO775" s="22">
        <f t="shared" si="2"/>
        <v>0</v>
      </c>
    </row>
    <row r="776">
      <c r="C776">
        <f>[1]发票导入!C776&amp;""</f>
      </c>
      <c r="D776">
        <f>[1]发票导入!D776&amp;""</f>
      </c>
      <c r="O776">
        <f>[1]发票导入!O776&amp;""</f>
      </c>
      <c r="T776">
        <f>[1]发票导入!T776</f>
      </c>
      <c r="U776">
        <f>[1]发票导入!U776&amp;""</f>
      </c>
      <c r="V776">
        <f>[1]发票导入!V776&amp;""</f>
      </c>
      <c r="W776">
        <f>[1]发票导入!W776&amp;""</f>
      </c>
      <c r="Y776">
        <f>[1]发票导入!Y776&amp;""</f>
      </c>
      <c r="AA776">
        <f>[1]发票导入!AA776&amp;""</f>
      </c>
      <c r="AB776">
        <f>[1]发票导入!AB776</f>
        <v>0</v>
      </c>
      <c r="AC776">
        <f>[1]发票导入!AC776</f>
        <v>0</v>
      </c>
      <c r="AE776" s="22">
        <f t="shared" si="0"/>
      </c>
      <c r="AI776">
        <f>[1]发票导入!AI776&amp;""</f>
      </c>
      <c r="AJ776">
        <f>[1]发票导入!AJ776&amp;""</f>
      </c>
      <c r="AK776">
        <f>[1]发票导入!AK776</f>
        <v>0</v>
      </c>
      <c r="AL776">
        <f>[1]发票导入!AL776</f>
        <v>0</v>
      </c>
      <c r="AM776">
        <f>[1]发票导入!AM776</f>
        <v>0</v>
      </c>
      <c r="AN776" s="22">
        <f t="shared" si="1"/>
        <v>0</v>
      </c>
      <c r="AO776" s="22">
        <f t="shared" si="2"/>
        <v>0</v>
      </c>
    </row>
    <row r="777">
      <c r="C777">
        <f>[1]发票导入!C777&amp;""</f>
      </c>
      <c r="D777">
        <f>[1]发票导入!D777&amp;""</f>
      </c>
      <c r="O777">
        <f>[1]发票导入!O777&amp;""</f>
      </c>
      <c r="T777">
        <f>[1]发票导入!T777</f>
      </c>
      <c r="U777">
        <f>[1]发票导入!U777&amp;""</f>
      </c>
      <c r="V777">
        <f>[1]发票导入!V777&amp;""</f>
      </c>
      <c r="W777">
        <f>[1]发票导入!W777&amp;""</f>
      </c>
      <c r="Y777">
        <f>[1]发票导入!Y777&amp;""</f>
      </c>
      <c r="AA777">
        <f>[1]发票导入!AA777&amp;""</f>
      </c>
      <c r="AB777">
        <f>[1]发票导入!AB777</f>
        <v>0</v>
      </c>
      <c r="AC777">
        <f>[1]发票导入!AC777</f>
        <v>0</v>
      </c>
      <c r="AE777" s="22">
        <f t="shared" si="0"/>
      </c>
      <c r="AI777">
        <f>[1]发票导入!AI777&amp;""</f>
      </c>
      <c r="AJ777">
        <f>[1]发票导入!AJ777&amp;""</f>
      </c>
      <c r="AK777">
        <f>[1]发票导入!AK777</f>
        <v>0</v>
      </c>
      <c r="AL777">
        <f>[1]发票导入!AL777</f>
        <v>0</v>
      </c>
      <c r="AM777">
        <f>[1]发票导入!AM777</f>
        <v>0</v>
      </c>
      <c r="AN777" s="22">
        <f t="shared" si="1"/>
        <v>0</v>
      </c>
      <c r="AO777" s="22">
        <f t="shared" si="2"/>
        <v>0</v>
      </c>
    </row>
    <row r="778">
      <c r="C778">
        <f>[1]发票导入!C778&amp;""</f>
      </c>
      <c r="D778">
        <f>[1]发票导入!D778&amp;""</f>
      </c>
      <c r="O778">
        <f>[1]发票导入!O778&amp;""</f>
      </c>
      <c r="T778">
        <f>[1]发票导入!T778</f>
      </c>
      <c r="U778">
        <f>[1]发票导入!U778&amp;""</f>
      </c>
      <c r="V778">
        <f>[1]发票导入!V778&amp;""</f>
      </c>
      <c r="W778">
        <f>[1]发票导入!W778&amp;""</f>
      </c>
      <c r="Y778">
        <f>[1]发票导入!Y778&amp;""</f>
      </c>
      <c r="AA778">
        <f>[1]发票导入!AA778&amp;""</f>
      </c>
      <c r="AB778">
        <f>[1]发票导入!AB778</f>
        <v>0</v>
      </c>
      <c r="AC778">
        <f>[1]发票导入!AC778</f>
        <v>0</v>
      </c>
      <c r="AE778" s="22">
        <f t="shared" si="0"/>
      </c>
      <c r="AI778">
        <f>[1]发票导入!AI778&amp;""</f>
      </c>
      <c r="AJ778">
        <f>[1]发票导入!AJ778&amp;""</f>
      </c>
      <c r="AK778">
        <f>[1]发票导入!AK778</f>
        <v>0</v>
      </c>
      <c r="AL778">
        <f>[1]发票导入!AL778</f>
        <v>0</v>
      </c>
      <c r="AM778">
        <f>[1]发票导入!AM778</f>
        <v>0</v>
      </c>
      <c r="AN778" s="22">
        <f t="shared" si="1"/>
        <v>0</v>
      </c>
      <c r="AO778" s="22">
        <f t="shared" si="2"/>
        <v>0</v>
      </c>
    </row>
    <row r="779">
      <c r="C779">
        <f>[1]发票导入!C779&amp;""</f>
      </c>
      <c r="D779">
        <f>[1]发票导入!D779&amp;""</f>
      </c>
      <c r="O779">
        <f>[1]发票导入!O779&amp;""</f>
      </c>
      <c r="T779">
        <f>[1]发票导入!T779</f>
      </c>
      <c r="U779">
        <f>[1]发票导入!U779&amp;""</f>
      </c>
      <c r="V779">
        <f>[1]发票导入!V779&amp;""</f>
      </c>
      <c r="W779">
        <f>[1]发票导入!W779&amp;""</f>
      </c>
      <c r="Y779">
        <f>[1]发票导入!Y779&amp;""</f>
      </c>
      <c r="AA779">
        <f>[1]发票导入!AA779&amp;""</f>
      </c>
      <c r="AB779">
        <f>[1]发票导入!AB779</f>
        <v>0</v>
      </c>
      <c r="AC779">
        <f>[1]发票导入!AC779</f>
        <v>0</v>
      </c>
      <c r="AE779" s="22">
        <f t="shared" si="0"/>
      </c>
      <c r="AI779">
        <f>[1]发票导入!AI779&amp;""</f>
      </c>
      <c r="AJ779">
        <f>[1]发票导入!AJ779&amp;""</f>
      </c>
      <c r="AK779">
        <f>[1]发票导入!AK779</f>
        <v>0</v>
      </c>
      <c r="AL779">
        <f>[1]发票导入!AL779</f>
        <v>0</v>
      </c>
      <c r="AM779">
        <f>[1]发票导入!AM779</f>
        <v>0</v>
      </c>
      <c r="AN779" s="22">
        <f t="shared" si="1"/>
        <v>0</v>
      </c>
      <c r="AO779" s="22">
        <f t="shared" si="2"/>
        <v>0</v>
      </c>
    </row>
    <row r="780">
      <c r="C780">
        <f>[1]发票导入!C780&amp;""</f>
      </c>
      <c r="D780">
        <f>[1]发票导入!D780&amp;""</f>
      </c>
      <c r="O780">
        <f>[1]发票导入!O780&amp;""</f>
      </c>
      <c r="T780">
        <f>[1]发票导入!T780</f>
      </c>
      <c r="U780">
        <f>[1]发票导入!U780&amp;""</f>
      </c>
      <c r="V780">
        <f>[1]发票导入!V780&amp;""</f>
      </c>
      <c r="W780">
        <f>[1]发票导入!W780&amp;""</f>
      </c>
      <c r="Y780">
        <f>[1]发票导入!Y780&amp;""</f>
      </c>
      <c r="AA780">
        <f>[1]发票导入!AA780&amp;""</f>
      </c>
      <c r="AB780">
        <f>[1]发票导入!AB780</f>
        <v>0</v>
      </c>
      <c r="AC780">
        <f>[1]发票导入!AC780</f>
        <v>0</v>
      </c>
      <c r="AE780" s="22">
        <f t="shared" si="0"/>
      </c>
      <c r="AI780">
        <f>[1]发票导入!AI780&amp;""</f>
      </c>
      <c r="AJ780">
        <f>[1]发票导入!AJ780&amp;""</f>
      </c>
      <c r="AK780">
        <f>[1]发票导入!AK780</f>
        <v>0</v>
      </c>
      <c r="AL780">
        <f>[1]发票导入!AL780</f>
        <v>0</v>
      </c>
      <c r="AM780">
        <f>[1]发票导入!AM780</f>
        <v>0</v>
      </c>
      <c r="AN780" s="22">
        <f t="shared" si="1"/>
        <v>0</v>
      </c>
      <c r="AO780" s="22">
        <f t="shared" si="2"/>
        <v>0</v>
      </c>
    </row>
    <row r="781">
      <c r="C781">
        <f>[1]发票导入!C781&amp;""</f>
      </c>
      <c r="D781">
        <f>[1]发票导入!D781&amp;""</f>
      </c>
      <c r="O781">
        <f>[1]发票导入!O781&amp;""</f>
      </c>
      <c r="T781">
        <f>[1]发票导入!T781</f>
      </c>
      <c r="U781">
        <f>[1]发票导入!U781&amp;""</f>
      </c>
      <c r="V781">
        <f>[1]发票导入!V781&amp;""</f>
      </c>
      <c r="W781">
        <f>[1]发票导入!W781&amp;""</f>
      </c>
      <c r="Y781">
        <f>[1]发票导入!Y781&amp;""</f>
      </c>
      <c r="AA781">
        <f>[1]发票导入!AA781&amp;""</f>
      </c>
      <c r="AB781">
        <f>[1]发票导入!AB781</f>
        <v>0</v>
      </c>
      <c r="AC781">
        <f>[1]发票导入!AC781</f>
        <v>0</v>
      </c>
      <c r="AE781" s="22">
        <f t="shared" si="0"/>
      </c>
      <c r="AI781">
        <f>[1]发票导入!AI781&amp;""</f>
      </c>
      <c r="AJ781">
        <f>[1]发票导入!AJ781&amp;""</f>
      </c>
      <c r="AK781">
        <f>[1]发票导入!AK781</f>
        <v>0</v>
      </c>
      <c r="AL781">
        <f>[1]发票导入!AL781</f>
        <v>0</v>
      </c>
      <c r="AM781">
        <f>[1]发票导入!AM781</f>
        <v>0</v>
      </c>
      <c r="AN781" s="22">
        <f t="shared" si="1"/>
        <v>0</v>
      </c>
      <c r="AO781" s="22">
        <f t="shared" si="2"/>
        <v>0</v>
      </c>
    </row>
    <row r="782">
      <c r="C782">
        <f>[1]发票导入!C782&amp;""</f>
      </c>
      <c r="D782">
        <f>[1]发票导入!D782&amp;""</f>
      </c>
      <c r="O782">
        <f>[1]发票导入!O782&amp;""</f>
      </c>
      <c r="T782">
        <f>[1]发票导入!T782</f>
      </c>
      <c r="U782">
        <f>[1]发票导入!U782&amp;""</f>
      </c>
      <c r="V782">
        <f>[1]发票导入!V782&amp;""</f>
      </c>
      <c r="W782">
        <f>[1]发票导入!W782&amp;""</f>
      </c>
      <c r="Y782">
        <f>[1]发票导入!Y782&amp;""</f>
      </c>
      <c r="AA782">
        <f>[1]发票导入!AA782&amp;""</f>
      </c>
      <c r="AB782">
        <f>[1]发票导入!AB782</f>
        <v>0</v>
      </c>
      <c r="AC782">
        <f>[1]发票导入!AC782</f>
        <v>0</v>
      </c>
      <c r="AE782" s="22">
        <f t="shared" si="0"/>
      </c>
      <c r="AI782">
        <f>[1]发票导入!AI782&amp;""</f>
      </c>
      <c r="AJ782">
        <f>[1]发票导入!AJ782&amp;""</f>
      </c>
      <c r="AK782">
        <f>[1]发票导入!AK782</f>
        <v>0</v>
      </c>
      <c r="AL782">
        <f>[1]发票导入!AL782</f>
        <v>0</v>
      </c>
      <c r="AM782">
        <f>[1]发票导入!AM782</f>
        <v>0</v>
      </c>
      <c r="AN782" s="22">
        <f t="shared" si="1"/>
        <v>0</v>
      </c>
      <c r="AO782" s="22">
        <f t="shared" si="2"/>
        <v>0</v>
      </c>
    </row>
    <row r="783">
      <c r="C783">
        <f>[1]发票导入!C783&amp;""</f>
      </c>
      <c r="D783">
        <f>[1]发票导入!D783&amp;""</f>
      </c>
      <c r="O783">
        <f>[1]发票导入!O783&amp;""</f>
      </c>
      <c r="T783">
        <f>[1]发票导入!T783</f>
      </c>
      <c r="U783">
        <f>[1]发票导入!U783&amp;""</f>
      </c>
      <c r="V783">
        <f>[1]发票导入!V783&amp;""</f>
      </c>
      <c r="W783">
        <f>[1]发票导入!W783&amp;""</f>
      </c>
      <c r="Y783">
        <f>[1]发票导入!Y783&amp;""</f>
      </c>
      <c r="AA783">
        <f>[1]发票导入!AA783&amp;""</f>
      </c>
      <c r="AB783">
        <f>[1]发票导入!AB783</f>
        <v>0</v>
      </c>
      <c r="AC783">
        <f>[1]发票导入!AC783</f>
        <v>0</v>
      </c>
      <c r="AE783" s="22">
        <f t="shared" si="0"/>
      </c>
      <c r="AI783">
        <f>[1]发票导入!AI783&amp;""</f>
      </c>
      <c r="AJ783">
        <f>[1]发票导入!AJ783&amp;""</f>
      </c>
      <c r="AK783">
        <f>[1]发票导入!AK783</f>
        <v>0</v>
      </c>
      <c r="AL783">
        <f>[1]发票导入!AL783</f>
        <v>0</v>
      </c>
      <c r="AM783">
        <f>[1]发票导入!AM783</f>
        <v>0</v>
      </c>
      <c r="AN783" s="22">
        <f t="shared" si="1"/>
        <v>0</v>
      </c>
      <c r="AO783" s="22">
        <f t="shared" si="2"/>
        <v>0</v>
      </c>
    </row>
    <row r="784">
      <c r="C784">
        <f>[1]发票导入!C784&amp;""</f>
      </c>
      <c r="D784">
        <f>[1]发票导入!D784&amp;""</f>
      </c>
      <c r="O784">
        <f>[1]发票导入!O784&amp;""</f>
      </c>
      <c r="T784">
        <f>[1]发票导入!T784</f>
      </c>
      <c r="U784">
        <f>[1]发票导入!U784&amp;""</f>
      </c>
      <c r="V784">
        <f>[1]发票导入!V784&amp;""</f>
      </c>
      <c r="W784">
        <f>[1]发票导入!W784&amp;""</f>
      </c>
      <c r="Y784">
        <f>[1]发票导入!Y784&amp;""</f>
      </c>
      <c r="AA784">
        <f>[1]发票导入!AA784&amp;""</f>
      </c>
      <c r="AB784">
        <f>[1]发票导入!AB784</f>
        <v>0</v>
      </c>
      <c r="AC784">
        <f>[1]发票导入!AC784</f>
        <v>0</v>
      </c>
      <c r="AE784" s="22">
        <f t="shared" si="0"/>
      </c>
      <c r="AI784">
        <f>[1]发票导入!AI784&amp;""</f>
      </c>
      <c r="AJ784">
        <f>[1]发票导入!AJ784&amp;""</f>
      </c>
      <c r="AK784">
        <f>[1]发票导入!AK784</f>
        <v>0</v>
      </c>
      <c r="AL784">
        <f>[1]发票导入!AL784</f>
        <v>0</v>
      </c>
      <c r="AM784">
        <f>[1]发票导入!AM784</f>
        <v>0</v>
      </c>
      <c r="AN784" s="22">
        <f t="shared" si="1"/>
        <v>0</v>
      </c>
      <c r="AO784" s="22">
        <f t="shared" si="2"/>
        <v>0</v>
      </c>
    </row>
    <row r="785">
      <c r="C785">
        <f>[1]发票导入!C785&amp;""</f>
      </c>
      <c r="D785">
        <f>[1]发票导入!D785&amp;""</f>
      </c>
      <c r="O785">
        <f>[1]发票导入!O785&amp;""</f>
      </c>
      <c r="T785">
        <f>[1]发票导入!T785</f>
      </c>
      <c r="U785">
        <f>[1]发票导入!U785&amp;""</f>
      </c>
      <c r="V785">
        <f>[1]发票导入!V785&amp;""</f>
      </c>
      <c r="W785">
        <f>[1]发票导入!W785&amp;""</f>
      </c>
      <c r="Y785">
        <f>[1]发票导入!Y785&amp;""</f>
      </c>
      <c r="AA785">
        <f>[1]发票导入!AA785&amp;""</f>
      </c>
      <c r="AB785">
        <f>[1]发票导入!AB785</f>
        <v>0</v>
      </c>
      <c r="AC785">
        <f>[1]发票导入!AC785</f>
        <v>0</v>
      </c>
      <c r="AE785" s="22">
        <f t="shared" si="0"/>
      </c>
      <c r="AI785">
        <f>[1]发票导入!AI785&amp;""</f>
      </c>
      <c r="AJ785">
        <f>[1]发票导入!AJ785&amp;""</f>
      </c>
      <c r="AK785">
        <f>[1]发票导入!AK785</f>
        <v>0</v>
      </c>
      <c r="AL785">
        <f>[1]发票导入!AL785</f>
        <v>0</v>
      </c>
      <c r="AM785">
        <f>[1]发票导入!AM785</f>
        <v>0</v>
      </c>
      <c r="AN785" s="22">
        <f t="shared" si="1"/>
        <v>0</v>
      </c>
      <c r="AO785" s="22">
        <f t="shared" si="2"/>
        <v>0</v>
      </c>
    </row>
    <row r="786">
      <c r="C786">
        <f>[1]发票导入!C786&amp;""</f>
      </c>
      <c r="D786">
        <f>[1]发票导入!D786&amp;""</f>
      </c>
      <c r="O786">
        <f>[1]发票导入!O786&amp;""</f>
      </c>
      <c r="T786">
        <f>[1]发票导入!T786</f>
      </c>
      <c r="U786">
        <f>[1]发票导入!U786&amp;""</f>
      </c>
      <c r="V786">
        <f>[1]发票导入!V786&amp;""</f>
      </c>
      <c r="W786">
        <f>[1]发票导入!W786&amp;""</f>
      </c>
      <c r="Y786">
        <f>[1]发票导入!Y786&amp;""</f>
      </c>
      <c r="AA786">
        <f>[1]发票导入!AA786&amp;""</f>
      </c>
      <c r="AB786">
        <f>[1]发票导入!AB786</f>
        <v>0</v>
      </c>
      <c r="AC786">
        <f>[1]发票导入!AC786</f>
        <v>0</v>
      </c>
      <c r="AE786" s="22">
        <f t="shared" si="0"/>
      </c>
      <c r="AI786">
        <f>[1]发票导入!AI786&amp;""</f>
      </c>
      <c r="AJ786">
        <f>[1]发票导入!AJ786&amp;""</f>
      </c>
      <c r="AK786">
        <f>[1]发票导入!AK786</f>
        <v>0</v>
      </c>
      <c r="AL786">
        <f>[1]发票导入!AL786</f>
        <v>0</v>
      </c>
      <c r="AM786">
        <f>[1]发票导入!AM786</f>
        <v>0</v>
      </c>
      <c r="AN786" s="22">
        <f t="shared" si="1"/>
        <v>0</v>
      </c>
      <c r="AO786" s="22">
        <f t="shared" si="2"/>
        <v>0</v>
      </c>
    </row>
    <row r="787">
      <c r="C787">
        <f>[1]发票导入!C787&amp;""</f>
      </c>
      <c r="D787">
        <f>[1]发票导入!D787&amp;""</f>
      </c>
      <c r="O787">
        <f>[1]发票导入!O787&amp;""</f>
      </c>
      <c r="T787">
        <f>[1]发票导入!T787</f>
      </c>
      <c r="U787">
        <f>[1]发票导入!U787&amp;""</f>
      </c>
      <c r="V787">
        <f>[1]发票导入!V787&amp;""</f>
      </c>
      <c r="W787">
        <f>[1]发票导入!W787&amp;""</f>
      </c>
      <c r="Y787">
        <f>[1]发票导入!Y787&amp;""</f>
      </c>
      <c r="AA787">
        <f>[1]发票导入!AA787&amp;""</f>
      </c>
      <c r="AB787">
        <f>[1]发票导入!AB787</f>
        <v>0</v>
      </c>
      <c r="AC787">
        <f>[1]发票导入!AC787</f>
        <v>0</v>
      </c>
      <c r="AE787" s="22">
        <f t="shared" si="0"/>
      </c>
      <c r="AI787">
        <f>[1]发票导入!AI787&amp;""</f>
      </c>
      <c r="AJ787">
        <f>[1]发票导入!AJ787&amp;""</f>
      </c>
      <c r="AK787">
        <f>[1]发票导入!AK787</f>
        <v>0</v>
      </c>
      <c r="AL787">
        <f>[1]发票导入!AL787</f>
        <v>0</v>
      </c>
      <c r="AM787">
        <f>[1]发票导入!AM787</f>
        <v>0</v>
      </c>
      <c r="AN787" s="22">
        <f t="shared" si="1"/>
        <v>0</v>
      </c>
      <c r="AO787" s="22">
        <f t="shared" si="2"/>
        <v>0</v>
      </c>
    </row>
    <row r="788">
      <c r="C788">
        <f>[1]发票导入!C788&amp;""</f>
      </c>
      <c r="D788">
        <f>[1]发票导入!D788&amp;""</f>
      </c>
      <c r="O788">
        <f>[1]发票导入!O788&amp;""</f>
      </c>
      <c r="T788">
        <f>[1]发票导入!T788</f>
      </c>
      <c r="U788">
        <f>[1]发票导入!U788&amp;""</f>
      </c>
      <c r="V788">
        <f>[1]发票导入!V788&amp;""</f>
      </c>
      <c r="W788">
        <f>[1]发票导入!W788&amp;""</f>
      </c>
      <c r="Y788">
        <f>[1]发票导入!Y788&amp;""</f>
      </c>
      <c r="AA788">
        <f>[1]发票导入!AA788&amp;""</f>
      </c>
      <c r="AB788">
        <f>[1]发票导入!AB788</f>
        <v>0</v>
      </c>
      <c r="AC788">
        <f>[1]发票导入!AC788</f>
        <v>0</v>
      </c>
      <c r="AE788" s="22">
        <f t="shared" si="0"/>
      </c>
      <c r="AI788">
        <f>[1]发票导入!AI788&amp;""</f>
      </c>
      <c r="AJ788">
        <f>[1]发票导入!AJ788&amp;""</f>
      </c>
      <c r="AK788">
        <f>[1]发票导入!AK788</f>
        <v>0</v>
      </c>
      <c r="AL788">
        <f>[1]发票导入!AL788</f>
        <v>0</v>
      </c>
      <c r="AM788">
        <f>[1]发票导入!AM788</f>
        <v>0</v>
      </c>
      <c r="AN788" s="22">
        <f t="shared" si="1"/>
        <v>0</v>
      </c>
      <c r="AO788" s="22">
        <f t="shared" si="2"/>
        <v>0</v>
      </c>
    </row>
    <row r="789">
      <c r="C789">
        <f>[1]发票导入!C789&amp;""</f>
      </c>
      <c r="D789">
        <f>[1]发票导入!D789&amp;""</f>
      </c>
      <c r="O789">
        <f>[1]发票导入!O789&amp;""</f>
      </c>
      <c r="T789">
        <f>[1]发票导入!T789</f>
      </c>
      <c r="U789">
        <f>[1]发票导入!U789&amp;""</f>
      </c>
      <c r="V789">
        <f>[1]发票导入!V789&amp;""</f>
      </c>
      <c r="W789">
        <f>[1]发票导入!W789&amp;""</f>
      </c>
      <c r="Y789">
        <f>[1]发票导入!Y789&amp;""</f>
      </c>
      <c r="AA789">
        <f>[1]发票导入!AA789&amp;""</f>
      </c>
      <c r="AB789">
        <f>[1]发票导入!AB789</f>
        <v>0</v>
      </c>
      <c r="AC789">
        <f>[1]发票导入!AC789</f>
        <v>0</v>
      </c>
      <c r="AE789" s="22">
        <f t="shared" si="0"/>
      </c>
      <c r="AI789">
        <f>[1]发票导入!AI789&amp;""</f>
      </c>
      <c r="AJ789">
        <f>[1]发票导入!AJ789&amp;""</f>
      </c>
      <c r="AK789">
        <f>[1]发票导入!AK789</f>
        <v>0</v>
      </c>
      <c r="AL789">
        <f>[1]发票导入!AL789</f>
        <v>0</v>
      </c>
      <c r="AM789">
        <f>[1]发票导入!AM789</f>
        <v>0</v>
      </c>
      <c r="AN789" s="22">
        <f t="shared" si="1"/>
        <v>0</v>
      </c>
      <c r="AO789" s="22">
        <f t="shared" si="2"/>
        <v>0</v>
      </c>
    </row>
    <row r="790">
      <c r="C790">
        <f>[1]发票导入!C790&amp;""</f>
      </c>
      <c r="D790">
        <f>[1]发票导入!D790&amp;""</f>
      </c>
      <c r="O790">
        <f>[1]发票导入!O790&amp;""</f>
      </c>
      <c r="T790">
        <f>[1]发票导入!T790</f>
      </c>
      <c r="U790">
        <f>[1]发票导入!U790&amp;""</f>
      </c>
      <c r="V790">
        <f>[1]发票导入!V790&amp;""</f>
      </c>
      <c r="W790">
        <f>[1]发票导入!W790&amp;""</f>
      </c>
      <c r="Y790">
        <f>[1]发票导入!Y790&amp;""</f>
      </c>
      <c r="AA790">
        <f>[1]发票导入!AA790&amp;""</f>
      </c>
      <c r="AB790">
        <f>[1]发票导入!AB790</f>
        <v>0</v>
      </c>
      <c r="AC790">
        <f>[1]发票导入!AC790</f>
        <v>0</v>
      </c>
      <c r="AE790" s="22">
        <f t="shared" si="0"/>
      </c>
      <c r="AI790">
        <f>[1]发票导入!AI790&amp;""</f>
      </c>
      <c r="AJ790">
        <f>[1]发票导入!AJ790&amp;""</f>
      </c>
      <c r="AK790">
        <f>[1]发票导入!AK790</f>
        <v>0</v>
      </c>
      <c r="AL790">
        <f>[1]发票导入!AL790</f>
        <v>0</v>
      </c>
      <c r="AM790">
        <f>[1]发票导入!AM790</f>
        <v>0</v>
      </c>
      <c r="AN790" s="22">
        <f t="shared" si="1"/>
        <v>0</v>
      </c>
      <c r="AO790" s="22">
        <f t="shared" si="2"/>
        <v>0</v>
      </c>
    </row>
    <row r="791">
      <c r="C791">
        <f>[1]发票导入!C791&amp;""</f>
      </c>
      <c r="D791">
        <f>[1]发票导入!D791&amp;""</f>
      </c>
      <c r="O791">
        <f>[1]发票导入!O791&amp;""</f>
      </c>
      <c r="T791">
        <f>[1]发票导入!T791</f>
      </c>
      <c r="U791">
        <f>[1]发票导入!U791&amp;""</f>
      </c>
      <c r="V791">
        <f>[1]发票导入!V791&amp;""</f>
      </c>
      <c r="W791">
        <f>[1]发票导入!W791&amp;""</f>
      </c>
      <c r="Y791">
        <f>[1]发票导入!Y791&amp;""</f>
      </c>
      <c r="AA791">
        <f>[1]发票导入!AA791&amp;""</f>
      </c>
      <c r="AB791">
        <f>[1]发票导入!AB791</f>
        <v>0</v>
      </c>
      <c r="AC791">
        <f>[1]发票导入!AC791</f>
        <v>0</v>
      </c>
      <c r="AE791" s="22">
        <f t="shared" si="0"/>
      </c>
      <c r="AI791">
        <f>[1]发票导入!AI791&amp;""</f>
      </c>
      <c r="AJ791">
        <f>[1]发票导入!AJ791&amp;""</f>
      </c>
      <c r="AK791">
        <f>[1]发票导入!AK791</f>
        <v>0</v>
      </c>
      <c r="AL791">
        <f>[1]发票导入!AL791</f>
        <v>0</v>
      </c>
      <c r="AM791">
        <f>[1]发票导入!AM791</f>
        <v>0</v>
      </c>
      <c r="AN791" s="22">
        <f t="shared" si="1"/>
        <v>0</v>
      </c>
      <c r="AO791" s="22">
        <f t="shared" si="2"/>
        <v>0</v>
      </c>
    </row>
    <row r="792">
      <c r="C792">
        <f>[1]发票导入!C792&amp;""</f>
      </c>
      <c r="D792">
        <f>[1]发票导入!D792&amp;""</f>
      </c>
      <c r="O792">
        <f>[1]发票导入!O792&amp;""</f>
      </c>
      <c r="T792">
        <f>[1]发票导入!T792</f>
      </c>
      <c r="U792">
        <f>[1]发票导入!U792&amp;""</f>
      </c>
      <c r="V792">
        <f>[1]发票导入!V792&amp;""</f>
      </c>
      <c r="W792">
        <f>[1]发票导入!W792&amp;""</f>
      </c>
      <c r="Y792">
        <f>[1]发票导入!Y792&amp;""</f>
      </c>
      <c r="AA792">
        <f>[1]发票导入!AA792&amp;""</f>
      </c>
      <c r="AB792">
        <f>[1]发票导入!AB792</f>
        <v>0</v>
      </c>
      <c r="AC792">
        <f>[1]发票导入!AC792</f>
        <v>0</v>
      </c>
      <c r="AE792" s="22">
        <f t="shared" si="0"/>
      </c>
      <c r="AI792">
        <f>[1]发票导入!AI792&amp;""</f>
      </c>
      <c r="AJ792">
        <f>[1]发票导入!AJ792&amp;""</f>
      </c>
      <c r="AK792">
        <f>[1]发票导入!AK792</f>
        <v>0</v>
      </c>
      <c r="AL792">
        <f>[1]发票导入!AL792</f>
        <v>0</v>
      </c>
      <c r="AM792">
        <f>[1]发票导入!AM792</f>
        <v>0</v>
      </c>
      <c r="AN792" s="22">
        <f t="shared" si="1"/>
        <v>0</v>
      </c>
      <c r="AO792" s="22">
        <f t="shared" si="2"/>
        <v>0</v>
      </c>
    </row>
    <row r="793">
      <c r="C793">
        <f>[1]发票导入!C793&amp;""</f>
      </c>
      <c r="D793">
        <f>[1]发票导入!D793&amp;""</f>
      </c>
      <c r="O793">
        <f>[1]发票导入!O793&amp;""</f>
      </c>
      <c r="T793">
        <f>[1]发票导入!T793</f>
      </c>
      <c r="U793">
        <f>[1]发票导入!U793&amp;""</f>
      </c>
      <c r="V793">
        <f>[1]发票导入!V793&amp;""</f>
      </c>
      <c r="W793">
        <f>[1]发票导入!W793&amp;""</f>
      </c>
      <c r="Y793">
        <f>[1]发票导入!Y793&amp;""</f>
      </c>
      <c r="AA793">
        <f>[1]发票导入!AA793&amp;""</f>
      </c>
      <c r="AB793">
        <f>[1]发票导入!AB793</f>
        <v>0</v>
      </c>
      <c r="AC793">
        <f>[1]发票导入!AC793</f>
        <v>0</v>
      </c>
      <c r="AE793" s="22">
        <f t="shared" si="0"/>
      </c>
      <c r="AI793">
        <f>[1]发票导入!AI793&amp;""</f>
      </c>
      <c r="AJ793">
        <f>[1]发票导入!AJ793&amp;""</f>
      </c>
      <c r="AK793">
        <f>[1]发票导入!AK793</f>
        <v>0</v>
      </c>
      <c r="AL793">
        <f>[1]发票导入!AL793</f>
        <v>0</v>
      </c>
      <c r="AM793">
        <f>[1]发票导入!AM793</f>
        <v>0</v>
      </c>
      <c r="AN793" s="22">
        <f t="shared" si="1"/>
        <v>0</v>
      </c>
      <c r="AO793" s="22">
        <f t="shared" si="2"/>
        <v>0</v>
      </c>
    </row>
    <row r="794">
      <c r="C794">
        <f>[1]发票导入!C794&amp;""</f>
      </c>
      <c r="D794">
        <f>[1]发票导入!D794&amp;""</f>
      </c>
      <c r="O794">
        <f>[1]发票导入!O794&amp;""</f>
      </c>
      <c r="T794">
        <f>[1]发票导入!T794</f>
      </c>
      <c r="U794">
        <f>[1]发票导入!U794&amp;""</f>
      </c>
      <c r="V794">
        <f>[1]发票导入!V794&amp;""</f>
      </c>
      <c r="W794">
        <f>[1]发票导入!W794&amp;""</f>
      </c>
      <c r="Y794">
        <f>[1]发票导入!Y794&amp;""</f>
      </c>
      <c r="AA794">
        <f>[1]发票导入!AA794&amp;""</f>
      </c>
      <c r="AB794">
        <f>[1]发票导入!AB794</f>
        <v>0</v>
      </c>
      <c r="AC794">
        <f>[1]发票导入!AC794</f>
        <v>0</v>
      </c>
      <c r="AE794" s="22">
        <f t="shared" si="0"/>
      </c>
      <c r="AI794">
        <f>[1]发票导入!AI794&amp;""</f>
      </c>
      <c r="AJ794">
        <f>[1]发票导入!AJ794&amp;""</f>
      </c>
      <c r="AK794">
        <f>[1]发票导入!AK794</f>
        <v>0</v>
      </c>
      <c r="AL794">
        <f>[1]发票导入!AL794</f>
        <v>0</v>
      </c>
      <c r="AM794">
        <f>[1]发票导入!AM794</f>
        <v>0</v>
      </c>
      <c r="AN794" s="22">
        <f t="shared" si="1"/>
        <v>0</v>
      </c>
      <c r="AO794" s="22">
        <f t="shared" si="2"/>
        <v>0</v>
      </c>
    </row>
    <row r="795">
      <c r="C795">
        <f>[1]发票导入!C795&amp;""</f>
      </c>
      <c r="D795">
        <f>[1]发票导入!D795&amp;""</f>
      </c>
      <c r="O795">
        <f>[1]发票导入!O795&amp;""</f>
      </c>
      <c r="T795">
        <f>[1]发票导入!T795</f>
      </c>
      <c r="U795">
        <f>[1]发票导入!U795&amp;""</f>
      </c>
      <c r="V795">
        <f>[1]发票导入!V795&amp;""</f>
      </c>
      <c r="W795">
        <f>[1]发票导入!W795&amp;""</f>
      </c>
      <c r="Y795">
        <f>[1]发票导入!Y795&amp;""</f>
      </c>
      <c r="AA795">
        <f>[1]发票导入!AA795&amp;""</f>
      </c>
      <c r="AB795">
        <f>[1]发票导入!AB795</f>
        <v>0</v>
      </c>
      <c r="AC795">
        <f>[1]发票导入!AC795</f>
        <v>0</v>
      </c>
      <c r="AE795" s="22">
        <f t="shared" si="0"/>
      </c>
      <c r="AI795">
        <f>[1]发票导入!AI795&amp;""</f>
      </c>
      <c r="AJ795">
        <f>[1]发票导入!AJ795&amp;""</f>
      </c>
      <c r="AK795">
        <f>[1]发票导入!AK795</f>
        <v>0</v>
      </c>
      <c r="AL795">
        <f>[1]发票导入!AL795</f>
        <v>0</v>
      </c>
      <c r="AM795">
        <f>[1]发票导入!AM795</f>
        <v>0</v>
      </c>
      <c r="AN795" s="22">
        <f t="shared" si="1"/>
        <v>0</v>
      </c>
      <c r="AO795" s="22">
        <f t="shared" si="2"/>
        <v>0</v>
      </c>
    </row>
    <row r="796">
      <c r="C796">
        <f>[1]发票导入!C796&amp;""</f>
      </c>
      <c r="D796">
        <f>[1]发票导入!D796&amp;""</f>
      </c>
      <c r="O796">
        <f>[1]发票导入!O796&amp;""</f>
      </c>
      <c r="T796">
        <f>[1]发票导入!T796</f>
      </c>
      <c r="U796">
        <f>[1]发票导入!U796&amp;""</f>
      </c>
      <c r="V796">
        <f>[1]发票导入!V796&amp;""</f>
      </c>
      <c r="W796">
        <f>[1]发票导入!W796&amp;""</f>
      </c>
      <c r="Y796">
        <f>[1]发票导入!Y796&amp;""</f>
      </c>
      <c r="AA796">
        <f>[1]发票导入!AA796&amp;""</f>
      </c>
      <c r="AB796">
        <f>[1]发票导入!AB796</f>
        <v>0</v>
      </c>
      <c r="AC796">
        <f>[1]发票导入!AC796</f>
        <v>0</v>
      </c>
      <c r="AE796" s="22">
        <f t="shared" si="0"/>
      </c>
      <c r="AI796">
        <f>[1]发票导入!AI796&amp;""</f>
      </c>
      <c r="AJ796">
        <f>[1]发票导入!AJ796&amp;""</f>
      </c>
      <c r="AK796">
        <f>[1]发票导入!AK796</f>
        <v>0</v>
      </c>
      <c r="AL796">
        <f>[1]发票导入!AL796</f>
        <v>0</v>
      </c>
      <c r="AM796">
        <f>[1]发票导入!AM796</f>
        <v>0</v>
      </c>
      <c r="AN796" s="22">
        <f t="shared" si="1"/>
        <v>0</v>
      </c>
      <c r="AO796" s="22">
        <f t="shared" si="2"/>
        <v>0</v>
      </c>
    </row>
    <row r="797">
      <c r="C797">
        <f>[1]发票导入!C797&amp;""</f>
      </c>
      <c r="D797">
        <f>[1]发票导入!D797&amp;""</f>
      </c>
      <c r="O797">
        <f>[1]发票导入!O797&amp;""</f>
      </c>
      <c r="T797">
        <f>[1]发票导入!T797</f>
      </c>
      <c r="U797">
        <f>[1]发票导入!U797&amp;""</f>
      </c>
      <c r="V797">
        <f>[1]发票导入!V797&amp;""</f>
      </c>
      <c r="W797">
        <f>[1]发票导入!W797&amp;""</f>
      </c>
      <c r="Y797">
        <f>[1]发票导入!Y797&amp;""</f>
      </c>
      <c r="AA797">
        <f>[1]发票导入!AA797&amp;""</f>
      </c>
      <c r="AB797">
        <f>[1]发票导入!AB797</f>
        <v>0</v>
      </c>
      <c r="AC797">
        <f>[1]发票导入!AC797</f>
        <v>0</v>
      </c>
      <c r="AE797" s="22">
        <f t="shared" si="0"/>
      </c>
      <c r="AI797">
        <f>[1]发票导入!AI797&amp;""</f>
      </c>
      <c r="AJ797">
        <f>[1]发票导入!AJ797&amp;""</f>
      </c>
      <c r="AK797">
        <f>[1]发票导入!AK797</f>
        <v>0</v>
      </c>
      <c r="AL797">
        <f>[1]发票导入!AL797</f>
        <v>0</v>
      </c>
      <c r="AM797">
        <f>[1]发票导入!AM797</f>
        <v>0</v>
      </c>
      <c r="AN797" s="22">
        <f t="shared" si="1"/>
        <v>0</v>
      </c>
      <c r="AO797" s="22">
        <f t="shared" si="2"/>
        <v>0</v>
      </c>
    </row>
    <row r="798">
      <c r="C798">
        <f>[1]发票导入!C798&amp;""</f>
      </c>
      <c r="D798">
        <f>[1]发票导入!D798&amp;""</f>
      </c>
      <c r="O798">
        <f>[1]发票导入!O798&amp;""</f>
      </c>
      <c r="T798">
        <f>[1]发票导入!T798</f>
      </c>
      <c r="U798">
        <f>[1]发票导入!U798&amp;""</f>
      </c>
      <c r="V798">
        <f>[1]发票导入!V798&amp;""</f>
      </c>
      <c r="W798">
        <f>[1]发票导入!W798&amp;""</f>
      </c>
      <c r="Y798">
        <f>[1]发票导入!Y798&amp;""</f>
      </c>
      <c r="AA798">
        <f>[1]发票导入!AA798&amp;""</f>
      </c>
      <c r="AB798">
        <f>[1]发票导入!AB798</f>
        <v>0</v>
      </c>
      <c r="AC798">
        <f>[1]发票导入!AC798</f>
        <v>0</v>
      </c>
      <c r="AE798" s="22">
        <f t="shared" si="0"/>
      </c>
      <c r="AI798">
        <f>[1]发票导入!AI798&amp;""</f>
      </c>
      <c r="AJ798">
        <f>[1]发票导入!AJ798&amp;""</f>
      </c>
      <c r="AK798">
        <f>[1]发票导入!AK798</f>
        <v>0</v>
      </c>
      <c r="AL798">
        <f>[1]发票导入!AL798</f>
        <v>0</v>
      </c>
      <c r="AM798">
        <f>[1]发票导入!AM798</f>
        <v>0</v>
      </c>
      <c r="AN798" s="22">
        <f t="shared" si="1"/>
        <v>0</v>
      </c>
      <c r="AO798" s="22">
        <f t="shared" si="2"/>
        <v>0</v>
      </c>
    </row>
    <row r="799">
      <c r="C799">
        <f>[1]发票导入!C799&amp;""</f>
      </c>
      <c r="D799">
        <f>[1]发票导入!D799&amp;""</f>
      </c>
      <c r="O799">
        <f>[1]发票导入!O799&amp;""</f>
      </c>
      <c r="T799">
        <f>[1]发票导入!T799</f>
      </c>
      <c r="U799">
        <f>[1]发票导入!U799&amp;""</f>
      </c>
      <c r="V799">
        <f>[1]发票导入!V799&amp;""</f>
      </c>
      <c r="W799">
        <f>[1]发票导入!W799&amp;""</f>
      </c>
      <c r="Y799">
        <f>[1]发票导入!Y799&amp;""</f>
      </c>
      <c r="AA799">
        <f>[1]发票导入!AA799&amp;""</f>
      </c>
      <c r="AB799">
        <f>[1]发票导入!AB799</f>
        <v>0</v>
      </c>
      <c r="AC799">
        <f>[1]发票导入!AC799</f>
        <v>0</v>
      </c>
      <c r="AE799" s="22">
        <f t="shared" si="0"/>
      </c>
      <c r="AI799">
        <f>[1]发票导入!AI799&amp;""</f>
      </c>
      <c r="AJ799">
        <f>[1]发票导入!AJ799&amp;""</f>
      </c>
      <c r="AK799">
        <f>[1]发票导入!AK799</f>
        <v>0</v>
      </c>
      <c r="AL799">
        <f>[1]发票导入!AL799</f>
        <v>0</v>
      </c>
      <c r="AM799">
        <f>[1]发票导入!AM799</f>
        <v>0</v>
      </c>
      <c r="AN799" s="22">
        <f t="shared" si="1"/>
        <v>0</v>
      </c>
      <c r="AO799" s="22">
        <f t="shared" si="2"/>
        <v>0</v>
      </c>
    </row>
    <row r="800">
      <c r="C800">
        <f>[1]发票导入!C800&amp;""</f>
      </c>
      <c r="D800">
        <f>[1]发票导入!D800&amp;""</f>
      </c>
      <c r="O800">
        <f>[1]发票导入!O800&amp;""</f>
      </c>
      <c r="T800">
        <f>[1]发票导入!T800</f>
      </c>
      <c r="U800">
        <f>[1]发票导入!U800&amp;""</f>
      </c>
      <c r="V800">
        <f>[1]发票导入!V800&amp;""</f>
      </c>
      <c r="W800">
        <f>[1]发票导入!W800&amp;""</f>
      </c>
      <c r="Y800">
        <f>[1]发票导入!Y800&amp;""</f>
      </c>
      <c r="AA800">
        <f>[1]发票导入!AA800&amp;""</f>
      </c>
      <c r="AB800">
        <f>[1]发票导入!AB800</f>
        <v>0</v>
      </c>
      <c r="AC800">
        <f>[1]发票导入!AC800</f>
        <v>0</v>
      </c>
      <c r="AE800" s="22">
        <f t="shared" si="0"/>
      </c>
      <c r="AI800">
        <f>[1]发票导入!AI800&amp;""</f>
      </c>
      <c r="AJ800">
        <f>[1]发票导入!AJ800&amp;""</f>
      </c>
      <c r="AK800">
        <f>[1]发票导入!AK800</f>
        <v>0</v>
      </c>
      <c r="AL800">
        <f>[1]发票导入!AL800</f>
        <v>0</v>
      </c>
      <c r="AM800">
        <f>[1]发票导入!AM800</f>
        <v>0</v>
      </c>
      <c r="AN800" s="22">
        <f t="shared" si="1"/>
        <v>0</v>
      </c>
      <c r="AO800" s="22">
        <f t="shared" si="2"/>
        <v>0</v>
      </c>
    </row>
    <row r="801">
      <c r="C801">
        <f>[1]发票导入!C801&amp;""</f>
      </c>
      <c r="D801">
        <f>[1]发票导入!D801&amp;""</f>
      </c>
      <c r="O801">
        <f>[1]发票导入!O801&amp;""</f>
      </c>
      <c r="T801">
        <f>[1]发票导入!T801</f>
      </c>
      <c r="U801">
        <f>[1]发票导入!U801&amp;""</f>
      </c>
      <c r="V801">
        <f>[1]发票导入!V801&amp;""</f>
      </c>
      <c r="W801">
        <f>[1]发票导入!W801&amp;""</f>
      </c>
      <c r="Y801">
        <f>[1]发票导入!Y801&amp;""</f>
      </c>
      <c r="AA801">
        <f>[1]发票导入!AA801&amp;""</f>
      </c>
      <c r="AB801">
        <f>[1]发票导入!AB801</f>
        <v>0</v>
      </c>
      <c r="AC801">
        <f>[1]发票导入!AC801</f>
        <v>0</v>
      </c>
      <c r="AE801" s="22">
        <f t="shared" si="0"/>
      </c>
      <c r="AI801">
        <f>[1]发票导入!AI801&amp;""</f>
      </c>
      <c r="AJ801">
        <f>[1]发票导入!AJ801&amp;""</f>
      </c>
      <c r="AK801">
        <f>[1]发票导入!AK801</f>
        <v>0</v>
      </c>
      <c r="AL801">
        <f>[1]发票导入!AL801</f>
        <v>0</v>
      </c>
      <c r="AM801">
        <f>[1]发票导入!AM801</f>
        <v>0</v>
      </c>
      <c r="AN801" s="22">
        <f t="shared" si="1"/>
        <v>0</v>
      </c>
      <c r="AO801" s="22">
        <f t="shared" si="2"/>
        <v>0</v>
      </c>
    </row>
    <row r="802">
      <c r="C802">
        <f>[1]发票导入!C802&amp;""</f>
      </c>
      <c r="D802">
        <f>[1]发票导入!D802&amp;""</f>
      </c>
      <c r="O802">
        <f>[1]发票导入!O802&amp;""</f>
      </c>
      <c r="T802">
        <f>[1]发票导入!T802</f>
      </c>
      <c r="U802">
        <f>[1]发票导入!U802&amp;""</f>
      </c>
      <c r="V802">
        <f>[1]发票导入!V802&amp;""</f>
      </c>
      <c r="W802">
        <f>[1]发票导入!W802&amp;""</f>
      </c>
      <c r="Y802">
        <f>[1]发票导入!Y802&amp;""</f>
      </c>
      <c r="AA802">
        <f>[1]发票导入!AA802&amp;""</f>
      </c>
      <c r="AB802">
        <f>[1]发票导入!AB802</f>
        <v>0</v>
      </c>
      <c r="AC802">
        <f>[1]发票导入!AC802</f>
        <v>0</v>
      </c>
      <c r="AE802" s="22">
        <f t="shared" si="0"/>
      </c>
      <c r="AI802">
        <f>[1]发票导入!AI802&amp;""</f>
      </c>
      <c r="AJ802">
        <f>[1]发票导入!AJ802&amp;""</f>
      </c>
      <c r="AK802">
        <f>[1]发票导入!AK802</f>
        <v>0</v>
      </c>
      <c r="AL802">
        <f>[1]发票导入!AL802</f>
        <v>0</v>
      </c>
      <c r="AM802">
        <f>[1]发票导入!AM802</f>
        <v>0</v>
      </c>
      <c r="AN802" s="22">
        <f t="shared" si="1"/>
        <v>0</v>
      </c>
      <c r="AO802" s="22">
        <f t="shared" si="2"/>
        <v>0</v>
      </c>
    </row>
    <row r="803">
      <c r="C803">
        <f>[1]发票导入!C803&amp;""</f>
      </c>
      <c r="D803">
        <f>[1]发票导入!D803&amp;""</f>
      </c>
      <c r="O803">
        <f>[1]发票导入!O803&amp;""</f>
      </c>
      <c r="T803">
        <f>[1]发票导入!T803</f>
      </c>
      <c r="U803">
        <f>[1]发票导入!U803&amp;""</f>
      </c>
      <c r="V803">
        <f>[1]发票导入!V803&amp;""</f>
      </c>
      <c r="W803">
        <f>[1]发票导入!W803&amp;""</f>
      </c>
      <c r="Y803">
        <f>[1]发票导入!Y803&amp;""</f>
      </c>
      <c r="AA803">
        <f>[1]发票导入!AA803&amp;""</f>
      </c>
      <c r="AB803">
        <f>[1]发票导入!AB803</f>
        <v>0</v>
      </c>
      <c r="AC803">
        <f>[1]发票导入!AC803</f>
        <v>0</v>
      </c>
      <c r="AE803" s="22">
        <f t="shared" si="0"/>
      </c>
      <c r="AI803">
        <f>[1]发票导入!AI803&amp;""</f>
      </c>
      <c r="AJ803">
        <f>[1]发票导入!AJ803&amp;""</f>
      </c>
      <c r="AK803">
        <f>[1]发票导入!AK803</f>
        <v>0</v>
      </c>
      <c r="AL803">
        <f>[1]发票导入!AL803</f>
        <v>0</v>
      </c>
      <c r="AM803">
        <f>[1]发票导入!AM803</f>
        <v>0</v>
      </c>
      <c r="AN803" s="22">
        <f t="shared" si="1"/>
        <v>0</v>
      </c>
      <c r="AO803" s="22">
        <f t="shared" si="2"/>
        <v>0</v>
      </c>
    </row>
    <row r="804">
      <c r="C804">
        <f>[1]发票导入!C804&amp;""</f>
      </c>
      <c r="D804">
        <f>[1]发票导入!D804&amp;""</f>
      </c>
      <c r="O804">
        <f>[1]发票导入!O804&amp;""</f>
      </c>
      <c r="T804">
        <f>[1]发票导入!T804</f>
      </c>
      <c r="U804">
        <f>[1]发票导入!U804&amp;""</f>
      </c>
      <c r="V804">
        <f>[1]发票导入!V804&amp;""</f>
      </c>
      <c r="W804">
        <f>[1]发票导入!W804&amp;""</f>
      </c>
      <c r="Y804">
        <f>[1]发票导入!Y804&amp;""</f>
      </c>
      <c r="AA804">
        <f>[1]发票导入!AA804&amp;""</f>
      </c>
      <c r="AB804">
        <f>[1]发票导入!AB804</f>
        <v>0</v>
      </c>
      <c r="AC804">
        <f>[1]发票导入!AC804</f>
        <v>0</v>
      </c>
      <c r="AE804" s="22">
        <f t="shared" si="0"/>
      </c>
      <c r="AI804">
        <f>[1]发票导入!AI804&amp;""</f>
      </c>
      <c r="AJ804">
        <f>[1]发票导入!AJ804&amp;""</f>
      </c>
      <c r="AK804">
        <f>[1]发票导入!AK804</f>
        <v>0</v>
      </c>
      <c r="AL804">
        <f>[1]发票导入!AL804</f>
        <v>0</v>
      </c>
      <c r="AM804">
        <f>[1]发票导入!AM804</f>
        <v>0</v>
      </c>
      <c r="AN804" s="22">
        <f t="shared" si="1"/>
        <v>0</v>
      </c>
      <c r="AO804" s="22">
        <f t="shared" si="2"/>
        <v>0</v>
      </c>
    </row>
    <row r="805">
      <c r="C805">
        <f>[1]发票导入!C805&amp;""</f>
      </c>
      <c r="D805">
        <f>[1]发票导入!D805&amp;""</f>
      </c>
      <c r="O805">
        <f>[1]发票导入!O805&amp;""</f>
      </c>
      <c r="T805">
        <f>[1]发票导入!T805</f>
      </c>
      <c r="U805">
        <f>[1]发票导入!U805&amp;""</f>
      </c>
      <c r="V805">
        <f>[1]发票导入!V805&amp;""</f>
      </c>
      <c r="W805">
        <f>[1]发票导入!W805&amp;""</f>
      </c>
      <c r="Y805">
        <f>[1]发票导入!Y805&amp;""</f>
      </c>
      <c r="AA805">
        <f>[1]发票导入!AA805&amp;""</f>
      </c>
      <c r="AB805">
        <f>[1]发票导入!AB805</f>
        <v>0</v>
      </c>
      <c r="AC805">
        <f>[1]发票导入!AC805</f>
        <v>0</v>
      </c>
      <c r="AE805" s="22">
        <f t="shared" si="0"/>
      </c>
      <c r="AI805">
        <f>[1]发票导入!AI805&amp;""</f>
      </c>
      <c r="AJ805">
        <f>[1]发票导入!AJ805&amp;""</f>
      </c>
      <c r="AK805">
        <f>[1]发票导入!AK805</f>
        <v>0</v>
      </c>
      <c r="AL805">
        <f>[1]发票导入!AL805</f>
        <v>0</v>
      </c>
      <c r="AM805">
        <f>[1]发票导入!AM805</f>
        <v>0</v>
      </c>
      <c r="AN805" s="22">
        <f t="shared" si="1"/>
        <v>0</v>
      </c>
      <c r="AO805" s="22">
        <f t="shared" si="2"/>
        <v>0</v>
      </c>
    </row>
    <row r="806">
      <c r="C806">
        <f>[1]发票导入!C806&amp;""</f>
      </c>
      <c r="D806">
        <f>[1]发票导入!D806&amp;""</f>
      </c>
      <c r="O806">
        <f>[1]发票导入!O806&amp;""</f>
      </c>
      <c r="T806">
        <f>[1]发票导入!T806</f>
      </c>
      <c r="U806">
        <f>[1]发票导入!U806&amp;""</f>
      </c>
      <c r="V806">
        <f>[1]发票导入!V806&amp;""</f>
      </c>
      <c r="W806">
        <f>[1]发票导入!W806&amp;""</f>
      </c>
      <c r="Y806">
        <f>[1]发票导入!Y806&amp;""</f>
      </c>
      <c r="AA806">
        <f>[1]发票导入!AA806&amp;""</f>
      </c>
      <c r="AB806">
        <f>[1]发票导入!AB806</f>
        <v>0</v>
      </c>
      <c r="AC806">
        <f>[1]发票导入!AC806</f>
        <v>0</v>
      </c>
      <c r="AE806" s="22">
        <f t="shared" si="0"/>
      </c>
      <c r="AI806">
        <f>[1]发票导入!AI806&amp;""</f>
      </c>
      <c r="AJ806">
        <f>[1]发票导入!AJ806&amp;""</f>
      </c>
      <c r="AK806">
        <f>[1]发票导入!AK806</f>
        <v>0</v>
      </c>
      <c r="AL806">
        <f>[1]发票导入!AL806</f>
        <v>0</v>
      </c>
      <c r="AM806">
        <f>[1]发票导入!AM806</f>
        <v>0</v>
      </c>
      <c r="AN806" s="22">
        <f t="shared" si="1"/>
        <v>0</v>
      </c>
      <c r="AO806" s="22">
        <f t="shared" si="2"/>
        <v>0</v>
      </c>
    </row>
    <row r="807">
      <c r="C807">
        <f>[1]发票导入!C807&amp;""</f>
      </c>
      <c r="D807">
        <f>[1]发票导入!D807&amp;""</f>
      </c>
      <c r="O807">
        <f>[1]发票导入!O807&amp;""</f>
      </c>
      <c r="T807">
        <f>[1]发票导入!T807</f>
      </c>
      <c r="U807">
        <f>[1]发票导入!U807&amp;""</f>
      </c>
      <c r="V807">
        <f>[1]发票导入!V807&amp;""</f>
      </c>
      <c r="W807">
        <f>[1]发票导入!W807&amp;""</f>
      </c>
      <c r="Y807">
        <f>[1]发票导入!Y807&amp;""</f>
      </c>
      <c r="AA807">
        <f>[1]发票导入!AA807&amp;""</f>
      </c>
      <c r="AB807">
        <f>[1]发票导入!AB807</f>
        <v>0</v>
      </c>
      <c r="AC807">
        <f>[1]发票导入!AC807</f>
        <v>0</v>
      </c>
      <c r="AE807" s="22">
        <f t="shared" si="0"/>
      </c>
      <c r="AI807">
        <f>[1]发票导入!AI807&amp;""</f>
      </c>
      <c r="AJ807">
        <f>[1]发票导入!AJ807&amp;""</f>
      </c>
      <c r="AK807">
        <f>[1]发票导入!AK807</f>
        <v>0</v>
      </c>
      <c r="AL807">
        <f>[1]发票导入!AL807</f>
        <v>0</v>
      </c>
      <c r="AM807">
        <f>[1]发票导入!AM807</f>
        <v>0</v>
      </c>
      <c r="AN807" s="22">
        <f t="shared" si="1"/>
        <v>0</v>
      </c>
      <c r="AO807" s="22">
        <f t="shared" si="2"/>
        <v>0</v>
      </c>
    </row>
    <row r="808">
      <c r="C808">
        <f>[1]发票导入!C808&amp;""</f>
      </c>
      <c r="D808">
        <f>[1]发票导入!D808&amp;""</f>
      </c>
      <c r="O808">
        <f>[1]发票导入!O808&amp;""</f>
      </c>
      <c r="T808">
        <f>[1]发票导入!T808</f>
      </c>
      <c r="U808">
        <f>[1]发票导入!U808&amp;""</f>
      </c>
      <c r="V808">
        <f>[1]发票导入!V808&amp;""</f>
      </c>
      <c r="W808">
        <f>[1]发票导入!W808&amp;""</f>
      </c>
      <c r="Y808">
        <f>[1]发票导入!Y808&amp;""</f>
      </c>
      <c r="AA808">
        <f>[1]发票导入!AA808&amp;""</f>
      </c>
      <c r="AB808">
        <f>[1]发票导入!AB808</f>
        <v>0</v>
      </c>
      <c r="AC808">
        <f>[1]发票导入!AC808</f>
        <v>0</v>
      </c>
      <c r="AE808" s="22">
        <f t="shared" si="0"/>
      </c>
      <c r="AI808">
        <f>[1]发票导入!AI808&amp;""</f>
      </c>
      <c r="AJ808">
        <f>[1]发票导入!AJ808&amp;""</f>
      </c>
      <c r="AK808">
        <f>[1]发票导入!AK808</f>
        <v>0</v>
      </c>
      <c r="AL808">
        <f>[1]发票导入!AL808</f>
        <v>0</v>
      </c>
      <c r="AM808">
        <f>[1]发票导入!AM808</f>
        <v>0</v>
      </c>
      <c r="AN808" s="22">
        <f t="shared" si="1"/>
        <v>0</v>
      </c>
      <c r="AO808" s="22">
        <f t="shared" si="2"/>
        <v>0</v>
      </c>
    </row>
    <row r="809">
      <c r="C809">
        <f>[1]发票导入!C809&amp;""</f>
      </c>
      <c r="D809">
        <f>[1]发票导入!D809&amp;""</f>
      </c>
      <c r="O809">
        <f>[1]发票导入!O809&amp;""</f>
      </c>
      <c r="T809">
        <f>[1]发票导入!T809</f>
      </c>
      <c r="U809">
        <f>[1]发票导入!U809&amp;""</f>
      </c>
      <c r="V809">
        <f>[1]发票导入!V809&amp;""</f>
      </c>
      <c r="W809">
        <f>[1]发票导入!W809&amp;""</f>
      </c>
      <c r="Y809">
        <f>[1]发票导入!Y809&amp;""</f>
      </c>
      <c r="AA809">
        <f>[1]发票导入!AA809&amp;""</f>
      </c>
      <c r="AB809">
        <f>[1]发票导入!AB809</f>
        <v>0</v>
      </c>
      <c r="AC809">
        <f>[1]发票导入!AC809</f>
        <v>0</v>
      </c>
      <c r="AE809" s="22">
        <f t="shared" si="0"/>
      </c>
      <c r="AI809">
        <f>[1]发票导入!AI809&amp;""</f>
      </c>
      <c r="AJ809">
        <f>[1]发票导入!AJ809&amp;""</f>
      </c>
      <c r="AK809">
        <f>[1]发票导入!AK809</f>
        <v>0</v>
      </c>
      <c r="AL809">
        <f>[1]发票导入!AL809</f>
        <v>0</v>
      </c>
      <c r="AM809">
        <f>[1]发票导入!AM809</f>
        <v>0</v>
      </c>
      <c r="AN809" s="22">
        <f t="shared" si="1"/>
        <v>0</v>
      </c>
      <c r="AO809" s="22">
        <f t="shared" si="2"/>
        <v>0</v>
      </c>
    </row>
    <row r="810">
      <c r="C810">
        <f>[1]发票导入!C810&amp;""</f>
      </c>
      <c r="D810">
        <f>[1]发票导入!D810&amp;""</f>
      </c>
      <c r="O810">
        <f>[1]发票导入!O810&amp;""</f>
      </c>
      <c r="T810">
        <f>[1]发票导入!T810</f>
      </c>
      <c r="U810">
        <f>[1]发票导入!U810&amp;""</f>
      </c>
      <c r="V810">
        <f>[1]发票导入!V810&amp;""</f>
      </c>
      <c r="W810">
        <f>[1]发票导入!W810&amp;""</f>
      </c>
      <c r="Y810">
        <f>[1]发票导入!Y810&amp;""</f>
      </c>
      <c r="AA810">
        <f>[1]发票导入!AA810&amp;""</f>
      </c>
      <c r="AB810">
        <f>[1]发票导入!AB810</f>
        <v>0</v>
      </c>
      <c r="AC810">
        <f>[1]发票导入!AC810</f>
        <v>0</v>
      </c>
      <c r="AE810" s="22">
        <f t="shared" si="0"/>
      </c>
      <c r="AI810">
        <f>[1]发票导入!AI810&amp;""</f>
      </c>
      <c r="AJ810">
        <f>[1]发票导入!AJ810&amp;""</f>
      </c>
      <c r="AK810">
        <f>[1]发票导入!AK810</f>
        <v>0</v>
      </c>
      <c r="AL810">
        <f>[1]发票导入!AL810</f>
        <v>0</v>
      </c>
      <c r="AM810">
        <f>[1]发票导入!AM810</f>
        <v>0</v>
      </c>
      <c r="AN810" s="22">
        <f t="shared" si="1"/>
        <v>0</v>
      </c>
      <c r="AO810" s="22">
        <f t="shared" si="2"/>
        <v>0</v>
      </c>
    </row>
    <row r="811">
      <c r="C811">
        <f>[1]发票导入!C811&amp;""</f>
      </c>
      <c r="D811">
        <f>[1]发票导入!D811&amp;""</f>
      </c>
      <c r="O811">
        <f>[1]发票导入!O811&amp;""</f>
      </c>
      <c r="T811">
        <f>[1]发票导入!T811</f>
      </c>
      <c r="U811">
        <f>[1]发票导入!U811&amp;""</f>
      </c>
      <c r="V811">
        <f>[1]发票导入!V811&amp;""</f>
      </c>
      <c r="W811">
        <f>[1]发票导入!W811&amp;""</f>
      </c>
      <c r="Y811">
        <f>[1]发票导入!Y811&amp;""</f>
      </c>
      <c r="AA811">
        <f>[1]发票导入!AA811&amp;""</f>
      </c>
      <c r="AB811">
        <f>[1]发票导入!AB811</f>
        <v>0</v>
      </c>
      <c r="AC811">
        <f>[1]发票导入!AC811</f>
        <v>0</v>
      </c>
      <c r="AE811" s="22">
        <f t="shared" si="0"/>
      </c>
      <c r="AI811">
        <f>[1]发票导入!AI811&amp;""</f>
      </c>
      <c r="AJ811">
        <f>[1]发票导入!AJ811&amp;""</f>
      </c>
      <c r="AK811">
        <f>[1]发票导入!AK811</f>
        <v>0</v>
      </c>
      <c r="AL811">
        <f>[1]发票导入!AL811</f>
        <v>0</v>
      </c>
      <c r="AM811">
        <f>[1]发票导入!AM811</f>
        <v>0</v>
      </c>
      <c r="AN811" s="22">
        <f t="shared" si="1"/>
        <v>0</v>
      </c>
      <c r="AO811" s="22">
        <f t="shared" si="2"/>
        <v>0</v>
      </c>
    </row>
    <row r="812">
      <c r="C812">
        <f>[1]发票导入!C812&amp;""</f>
      </c>
      <c r="D812">
        <f>[1]发票导入!D812&amp;""</f>
      </c>
      <c r="O812">
        <f>[1]发票导入!O812&amp;""</f>
      </c>
      <c r="T812">
        <f>[1]发票导入!T812</f>
      </c>
      <c r="U812">
        <f>[1]发票导入!U812&amp;""</f>
      </c>
      <c r="V812">
        <f>[1]发票导入!V812&amp;""</f>
      </c>
      <c r="W812">
        <f>[1]发票导入!W812&amp;""</f>
      </c>
      <c r="Y812">
        <f>[1]发票导入!Y812&amp;""</f>
      </c>
      <c r="AA812">
        <f>[1]发票导入!AA812&amp;""</f>
      </c>
      <c r="AB812">
        <f>[1]发票导入!AB812</f>
        <v>0</v>
      </c>
      <c r="AC812">
        <f>[1]发票导入!AC812</f>
        <v>0</v>
      </c>
      <c r="AE812" s="22">
        <f t="shared" si="0"/>
      </c>
      <c r="AI812">
        <f>[1]发票导入!AI812&amp;""</f>
      </c>
      <c r="AJ812">
        <f>[1]发票导入!AJ812&amp;""</f>
      </c>
      <c r="AK812">
        <f>[1]发票导入!AK812</f>
        <v>0</v>
      </c>
      <c r="AL812">
        <f>[1]发票导入!AL812</f>
        <v>0</v>
      </c>
      <c r="AM812">
        <f>[1]发票导入!AM812</f>
        <v>0</v>
      </c>
      <c r="AN812" s="22">
        <f t="shared" si="1"/>
        <v>0</v>
      </c>
      <c r="AO812" s="22">
        <f t="shared" si="2"/>
        <v>0</v>
      </c>
    </row>
    <row r="813">
      <c r="C813">
        <f>[1]发票导入!C813&amp;""</f>
      </c>
      <c r="D813">
        <f>[1]发票导入!D813&amp;""</f>
      </c>
      <c r="O813">
        <f>[1]发票导入!O813&amp;""</f>
      </c>
      <c r="T813">
        <f>[1]发票导入!T813</f>
      </c>
      <c r="U813">
        <f>[1]发票导入!U813&amp;""</f>
      </c>
      <c r="V813">
        <f>[1]发票导入!V813&amp;""</f>
      </c>
      <c r="W813">
        <f>[1]发票导入!W813&amp;""</f>
      </c>
      <c r="Y813">
        <f>[1]发票导入!Y813&amp;""</f>
      </c>
      <c r="AA813">
        <f>[1]发票导入!AA813&amp;""</f>
      </c>
      <c r="AB813">
        <f>[1]发票导入!AB813</f>
        <v>0</v>
      </c>
      <c r="AC813">
        <f>[1]发票导入!AC813</f>
        <v>0</v>
      </c>
      <c r="AE813" s="22">
        <f t="shared" si="0"/>
      </c>
      <c r="AI813">
        <f>[1]发票导入!AI813&amp;""</f>
      </c>
      <c r="AJ813">
        <f>[1]发票导入!AJ813&amp;""</f>
      </c>
      <c r="AK813">
        <f>[1]发票导入!AK813</f>
        <v>0</v>
      </c>
      <c r="AL813">
        <f>[1]发票导入!AL813</f>
        <v>0</v>
      </c>
      <c r="AM813">
        <f>[1]发票导入!AM813</f>
        <v>0</v>
      </c>
      <c r="AN813" s="22">
        <f t="shared" si="1"/>
        <v>0</v>
      </c>
      <c r="AO813" s="22">
        <f t="shared" si="2"/>
        <v>0</v>
      </c>
    </row>
    <row r="814">
      <c r="C814">
        <f>[1]发票导入!C814&amp;""</f>
      </c>
      <c r="D814">
        <f>[1]发票导入!D814&amp;""</f>
      </c>
      <c r="O814">
        <f>[1]发票导入!O814&amp;""</f>
      </c>
      <c r="T814">
        <f>[1]发票导入!T814</f>
      </c>
      <c r="U814">
        <f>[1]发票导入!U814&amp;""</f>
      </c>
      <c r="V814">
        <f>[1]发票导入!V814&amp;""</f>
      </c>
      <c r="W814">
        <f>[1]发票导入!W814&amp;""</f>
      </c>
      <c r="Y814">
        <f>[1]发票导入!Y814&amp;""</f>
      </c>
      <c r="AA814">
        <f>[1]发票导入!AA814&amp;""</f>
      </c>
      <c r="AB814">
        <f>[1]发票导入!AB814</f>
        <v>0</v>
      </c>
      <c r="AC814">
        <f>[1]发票导入!AC814</f>
        <v>0</v>
      </c>
      <c r="AE814" s="22">
        <f t="shared" si="0"/>
      </c>
      <c r="AI814">
        <f>[1]发票导入!AI814&amp;""</f>
      </c>
      <c r="AJ814">
        <f>[1]发票导入!AJ814&amp;""</f>
      </c>
      <c r="AK814">
        <f>[1]发票导入!AK814</f>
        <v>0</v>
      </c>
      <c r="AL814">
        <f>[1]发票导入!AL814</f>
        <v>0</v>
      </c>
      <c r="AM814">
        <f>[1]发票导入!AM814</f>
        <v>0</v>
      </c>
      <c r="AN814" s="22">
        <f t="shared" si="1"/>
        <v>0</v>
      </c>
      <c r="AO814" s="22">
        <f t="shared" si="2"/>
        <v>0</v>
      </c>
    </row>
    <row r="815">
      <c r="C815">
        <f>[1]发票导入!C815&amp;""</f>
      </c>
      <c r="D815">
        <f>[1]发票导入!D815&amp;""</f>
      </c>
      <c r="O815">
        <f>[1]发票导入!O815&amp;""</f>
      </c>
      <c r="T815">
        <f>[1]发票导入!T815</f>
      </c>
      <c r="U815">
        <f>[1]发票导入!U815&amp;""</f>
      </c>
      <c r="V815">
        <f>[1]发票导入!V815&amp;""</f>
      </c>
      <c r="W815">
        <f>[1]发票导入!W815&amp;""</f>
      </c>
      <c r="Y815">
        <f>[1]发票导入!Y815&amp;""</f>
      </c>
      <c r="AA815">
        <f>[1]发票导入!AA815&amp;""</f>
      </c>
      <c r="AB815">
        <f>[1]发票导入!AB815</f>
        <v>0</v>
      </c>
      <c r="AC815">
        <f>[1]发票导入!AC815</f>
        <v>0</v>
      </c>
      <c r="AE815" s="22">
        <f t="shared" si="0"/>
      </c>
      <c r="AI815">
        <f>[1]发票导入!AI815&amp;""</f>
      </c>
      <c r="AJ815">
        <f>[1]发票导入!AJ815&amp;""</f>
      </c>
      <c r="AK815">
        <f>[1]发票导入!AK815</f>
        <v>0</v>
      </c>
      <c r="AL815">
        <f>[1]发票导入!AL815</f>
        <v>0</v>
      </c>
      <c r="AM815">
        <f>[1]发票导入!AM815</f>
        <v>0</v>
      </c>
      <c r="AN815" s="22">
        <f t="shared" si="1"/>
        <v>0</v>
      </c>
      <c r="AO815" s="22">
        <f t="shared" si="2"/>
        <v>0</v>
      </c>
    </row>
    <row r="816">
      <c r="C816">
        <f>[1]发票导入!C816&amp;""</f>
      </c>
      <c r="D816">
        <f>[1]发票导入!D816&amp;""</f>
      </c>
      <c r="O816">
        <f>[1]发票导入!O816&amp;""</f>
      </c>
      <c r="T816">
        <f>[1]发票导入!T816</f>
      </c>
      <c r="U816">
        <f>[1]发票导入!U816&amp;""</f>
      </c>
      <c r="V816">
        <f>[1]发票导入!V816&amp;""</f>
      </c>
      <c r="W816">
        <f>[1]发票导入!W816&amp;""</f>
      </c>
      <c r="Y816">
        <f>[1]发票导入!Y816&amp;""</f>
      </c>
      <c r="AA816">
        <f>[1]发票导入!AA816&amp;""</f>
      </c>
      <c r="AB816">
        <f>[1]发票导入!AB816</f>
        <v>0</v>
      </c>
      <c r="AC816">
        <f>[1]发票导入!AC816</f>
        <v>0</v>
      </c>
      <c r="AE816" s="22">
        <f t="shared" si="0"/>
      </c>
      <c r="AI816">
        <f>[1]发票导入!AI816&amp;""</f>
      </c>
      <c r="AJ816">
        <f>[1]发票导入!AJ816&amp;""</f>
      </c>
      <c r="AK816">
        <f>[1]发票导入!AK816</f>
        <v>0</v>
      </c>
      <c r="AL816">
        <f>[1]发票导入!AL816</f>
        <v>0</v>
      </c>
      <c r="AM816">
        <f>[1]发票导入!AM816</f>
        <v>0</v>
      </c>
      <c r="AN816" s="22">
        <f t="shared" si="1"/>
        <v>0</v>
      </c>
      <c r="AO816" s="22">
        <f t="shared" si="2"/>
        <v>0</v>
      </c>
    </row>
    <row r="817">
      <c r="C817">
        <f>[1]发票导入!C817&amp;""</f>
      </c>
      <c r="D817">
        <f>[1]发票导入!D817&amp;""</f>
      </c>
      <c r="O817">
        <f>[1]发票导入!O817&amp;""</f>
      </c>
      <c r="T817">
        <f>[1]发票导入!T817</f>
      </c>
      <c r="U817">
        <f>[1]发票导入!U817&amp;""</f>
      </c>
      <c r="V817">
        <f>[1]发票导入!V817&amp;""</f>
      </c>
      <c r="W817">
        <f>[1]发票导入!W817&amp;""</f>
      </c>
      <c r="Y817">
        <f>[1]发票导入!Y817&amp;""</f>
      </c>
      <c r="AA817">
        <f>[1]发票导入!AA817&amp;""</f>
      </c>
      <c r="AB817">
        <f>[1]发票导入!AB817</f>
        <v>0</v>
      </c>
      <c r="AC817">
        <f>[1]发票导入!AC817</f>
        <v>0</v>
      </c>
      <c r="AE817" s="22">
        <f t="shared" si="0"/>
      </c>
      <c r="AI817">
        <f>[1]发票导入!AI817&amp;""</f>
      </c>
      <c r="AJ817">
        <f>[1]发票导入!AJ817&amp;""</f>
      </c>
      <c r="AK817">
        <f>[1]发票导入!AK817</f>
        <v>0</v>
      </c>
      <c r="AL817">
        <f>[1]发票导入!AL817</f>
        <v>0</v>
      </c>
      <c r="AM817">
        <f>[1]发票导入!AM817</f>
        <v>0</v>
      </c>
      <c r="AN817" s="22">
        <f t="shared" si="1"/>
        <v>0</v>
      </c>
      <c r="AO817" s="22">
        <f t="shared" si="2"/>
        <v>0</v>
      </c>
    </row>
    <row r="818">
      <c r="C818">
        <f>[1]发票导入!C818&amp;""</f>
      </c>
      <c r="D818">
        <f>[1]发票导入!D818&amp;""</f>
      </c>
      <c r="O818">
        <f>[1]发票导入!O818&amp;""</f>
      </c>
      <c r="T818">
        <f>[1]发票导入!T818</f>
      </c>
      <c r="U818">
        <f>[1]发票导入!U818&amp;""</f>
      </c>
      <c r="V818">
        <f>[1]发票导入!V818&amp;""</f>
      </c>
      <c r="W818">
        <f>[1]发票导入!W818&amp;""</f>
      </c>
      <c r="Y818">
        <f>[1]发票导入!Y818&amp;""</f>
      </c>
      <c r="AA818">
        <f>[1]发票导入!AA818&amp;""</f>
      </c>
      <c r="AB818">
        <f>[1]发票导入!AB818</f>
        <v>0</v>
      </c>
      <c r="AC818">
        <f>[1]发票导入!AC818</f>
        <v>0</v>
      </c>
      <c r="AE818" s="22">
        <f t="shared" si="0"/>
      </c>
      <c r="AI818">
        <f>[1]发票导入!AI818&amp;""</f>
      </c>
      <c r="AJ818">
        <f>[1]发票导入!AJ818&amp;""</f>
      </c>
      <c r="AK818">
        <f>[1]发票导入!AK818</f>
        <v>0</v>
      </c>
      <c r="AL818">
        <f>[1]发票导入!AL818</f>
        <v>0</v>
      </c>
      <c r="AM818">
        <f>[1]发票导入!AM818</f>
        <v>0</v>
      </c>
      <c r="AN818" s="22">
        <f t="shared" si="1"/>
        <v>0</v>
      </c>
      <c r="AO818" s="22">
        <f t="shared" si="2"/>
        <v>0</v>
      </c>
    </row>
    <row r="819">
      <c r="C819">
        <f>[1]发票导入!C819&amp;""</f>
      </c>
      <c r="D819">
        <f>[1]发票导入!D819&amp;""</f>
      </c>
      <c r="O819">
        <f>[1]发票导入!O819&amp;""</f>
      </c>
      <c r="T819">
        <f>[1]发票导入!T819</f>
      </c>
      <c r="U819">
        <f>[1]发票导入!U819&amp;""</f>
      </c>
      <c r="V819">
        <f>[1]发票导入!V819&amp;""</f>
      </c>
      <c r="W819">
        <f>[1]发票导入!W819&amp;""</f>
      </c>
      <c r="Y819">
        <f>[1]发票导入!Y819&amp;""</f>
      </c>
      <c r="AA819">
        <f>[1]发票导入!AA819&amp;""</f>
      </c>
      <c r="AB819">
        <f>[1]发票导入!AB819</f>
        <v>0</v>
      </c>
      <c r="AC819">
        <f>[1]发票导入!AC819</f>
        <v>0</v>
      </c>
      <c r="AE819" s="22">
        <f t="shared" si="0"/>
      </c>
      <c r="AI819">
        <f>[1]发票导入!AI819&amp;""</f>
      </c>
      <c r="AJ819">
        <f>[1]发票导入!AJ819&amp;""</f>
      </c>
      <c r="AK819">
        <f>[1]发票导入!AK819</f>
        <v>0</v>
      </c>
      <c r="AL819">
        <f>[1]发票导入!AL819</f>
        <v>0</v>
      </c>
      <c r="AM819">
        <f>[1]发票导入!AM819</f>
        <v>0</v>
      </c>
      <c r="AN819" s="22">
        <f t="shared" si="1"/>
        <v>0</v>
      </c>
      <c r="AO819" s="22">
        <f t="shared" si="2"/>
        <v>0</v>
      </c>
    </row>
    <row r="820">
      <c r="C820">
        <f>[1]发票导入!C820&amp;""</f>
      </c>
      <c r="D820">
        <f>[1]发票导入!D820&amp;""</f>
      </c>
      <c r="O820">
        <f>[1]发票导入!O820&amp;""</f>
      </c>
      <c r="T820">
        <f>[1]发票导入!T820</f>
      </c>
      <c r="U820">
        <f>[1]发票导入!U820&amp;""</f>
      </c>
      <c r="V820">
        <f>[1]发票导入!V820&amp;""</f>
      </c>
      <c r="W820">
        <f>[1]发票导入!W820&amp;""</f>
      </c>
      <c r="Y820">
        <f>[1]发票导入!Y820&amp;""</f>
      </c>
      <c r="AA820">
        <f>[1]发票导入!AA820&amp;""</f>
      </c>
      <c r="AB820">
        <f>[1]发票导入!AB820</f>
        <v>0</v>
      </c>
      <c r="AC820">
        <f>[1]发票导入!AC820</f>
        <v>0</v>
      </c>
      <c r="AE820" s="22">
        <f t="shared" si="0"/>
      </c>
      <c r="AI820">
        <f>[1]发票导入!AI820&amp;""</f>
      </c>
      <c r="AJ820">
        <f>[1]发票导入!AJ820&amp;""</f>
      </c>
      <c r="AK820">
        <f>[1]发票导入!AK820</f>
        <v>0</v>
      </c>
      <c r="AL820">
        <f>[1]发票导入!AL820</f>
        <v>0</v>
      </c>
      <c r="AM820">
        <f>[1]发票导入!AM820</f>
        <v>0</v>
      </c>
      <c r="AN820" s="22">
        <f t="shared" si="1"/>
        <v>0</v>
      </c>
      <c r="AO820" s="22">
        <f t="shared" si="2"/>
        <v>0</v>
      </c>
    </row>
    <row r="821">
      <c r="C821">
        <f>[1]发票导入!C821&amp;""</f>
      </c>
      <c r="D821">
        <f>[1]发票导入!D821&amp;""</f>
      </c>
      <c r="O821">
        <f>[1]发票导入!O821&amp;""</f>
      </c>
      <c r="T821">
        <f>[1]发票导入!T821</f>
      </c>
      <c r="U821">
        <f>[1]发票导入!U821&amp;""</f>
      </c>
      <c r="V821">
        <f>[1]发票导入!V821&amp;""</f>
      </c>
      <c r="W821">
        <f>[1]发票导入!W821&amp;""</f>
      </c>
      <c r="Y821">
        <f>[1]发票导入!Y821&amp;""</f>
      </c>
      <c r="AA821">
        <f>[1]发票导入!AA821&amp;""</f>
      </c>
      <c r="AB821">
        <f>[1]发票导入!AB821</f>
        <v>0</v>
      </c>
      <c r="AC821">
        <f>[1]发票导入!AC821</f>
        <v>0</v>
      </c>
      <c r="AE821" s="22">
        <f t="shared" si="0"/>
      </c>
      <c r="AI821">
        <f>[1]发票导入!AI821&amp;""</f>
      </c>
      <c r="AJ821">
        <f>[1]发票导入!AJ821&amp;""</f>
      </c>
      <c r="AK821">
        <f>[1]发票导入!AK821</f>
        <v>0</v>
      </c>
      <c r="AL821">
        <f>[1]发票导入!AL821</f>
        <v>0</v>
      </c>
      <c r="AM821">
        <f>[1]发票导入!AM821</f>
        <v>0</v>
      </c>
      <c r="AN821" s="22">
        <f t="shared" si="1"/>
        <v>0</v>
      </c>
      <c r="AO821" s="22">
        <f t="shared" si="2"/>
        <v>0</v>
      </c>
    </row>
    <row r="822">
      <c r="C822">
        <f>[1]发票导入!C822&amp;""</f>
      </c>
      <c r="D822">
        <f>[1]发票导入!D822&amp;""</f>
      </c>
      <c r="O822">
        <f>[1]发票导入!O822&amp;""</f>
      </c>
      <c r="T822">
        <f>[1]发票导入!T822</f>
      </c>
      <c r="U822">
        <f>[1]发票导入!U822&amp;""</f>
      </c>
      <c r="V822">
        <f>[1]发票导入!V822&amp;""</f>
      </c>
      <c r="W822">
        <f>[1]发票导入!W822&amp;""</f>
      </c>
      <c r="Y822">
        <f>[1]发票导入!Y822&amp;""</f>
      </c>
      <c r="AA822">
        <f>[1]发票导入!AA822&amp;""</f>
      </c>
      <c r="AB822">
        <f>[1]发票导入!AB822</f>
        <v>0</v>
      </c>
      <c r="AC822">
        <f>[1]发票导入!AC822</f>
        <v>0</v>
      </c>
      <c r="AE822" s="22">
        <f t="shared" si="0"/>
      </c>
      <c r="AI822">
        <f>[1]发票导入!AI822&amp;""</f>
      </c>
      <c r="AJ822">
        <f>[1]发票导入!AJ822&amp;""</f>
      </c>
      <c r="AK822">
        <f>[1]发票导入!AK822</f>
        <v>0</v>
      </c>
      <c r="AL822">
        <f>[1]发票导入!AL822</f>
        <v>0</v>
      </c>
      <c r="AM822">
        <f>[1]发票导入!AM822</f>
        <v>0</v>
      </c>
      <c r="AN822" s="22">
        <f t="shared" si="1"/>
        <v>0</v>
      </c>
      <c r="AO822" s="22">
        <f t="shared" si="2"/>
        <v>0</v>
      </c>
    </row>
    <row r="823">
      <c r="C823">
        <f>[1]发票导入!C823&amp;""</f>
      </c>
      <c r="D823">
        <f>[1]发票导入!D823&amp;""</f>
      </c>
      <c r="O823">
        <f>[1]发票导入!O823&amp;""</f>
      </c>
      <c r="T823">
        <f>[1]发票导入!T823</f>
      </c>
      <c r="U823">
        <f>[1]发票导入!U823&amp;""</f>
      </c>
      <c r="V823">
        <f>[1]发票导入!V823&amp;""</f>
      </c>
      <c r="W823">
        <f>[1]发票导入!W823&amp;""</f>
      </c>
      <c r="Y823">
        <f>[1]发票导入!Y823&amp;""</f>
      </c>
      <c r="AA823">
        <f>[1]发票导入!AA823&amp;""</f>
      </c>
      <c r="AB823">
        <f>[1]发票导入!AB823</f>
        <v>0</v>
      </c>
      <c r="AC823">
        <f>[1]发票导入!AC823</f>
        <v>0</v>
      </c>
      <c r="AE823" s="22">
        <f t="shared" si="0"/>
      </c>
      <c r="AI823">
        <f>[1]发票导入!AI823&amp;""</f>
      </c>
      <c r="AJ823">
        <f>[1]发票导入!AJ823&amp;""</f>
      </c>
      <c r="AK823">
        <f>[1]发票导入!AK823</f>
        <v>0</v>
      </c>
      <c r="AL823">
        <f>[1]发票导入!AL823</f>
        <v>0</v>
      </c>
      <c r="AM823">
        <f>[1]发票导入!AM823</f>
        <v>0</v>
      </c>
      <c r="AN823" s="22">
        <f t="shared" si="1"/>
        <v>0</v>
      </c>
      <c r="AO823" s="22">
        <f t="shared" si="2"/>
        <v>0</v>
      </c>
    </row>
    <row r="824">
      <c r="C824">
        <f>[1]发票导入!C824&amp;""</f>
      </c>
      <c r="D824">
        <f>[1]发票导入!D824&amp;""</f>
      </c>
      <c r="O824">
        <f>[1]发票导入!O824&amp;""</f>
      </c>
      <c r="T824">
        <f>[1]发票导入!T824</f>
      </c>
      <c r="U824">
        <f>[1]发票导入!U824&amp;""</f>
      </c>
      <c r="V824">
        <f>[1]发票导入!V824&amp;""</f>
      </c>
      <c r="W824">
        <f>[1]发票导入!W824&amp;""</f>
      </c>
      <c r="Y824">
        <f>[1]发票导入!Y824&amp;""</f>
      </c>
      <c r="AA824">
        <f>[1]发票导入!AA824&amp;""</f>
      </c>
      <c r="AB824">
        <f>[1]发票导入!AB824</f>
        <v>0</v>
      </c>
      <c r="AC824">
        <f>[1]发票导入!AC824</f>
        <v>0</v>
      </c>
      <c r="AE824" s="22">
        <f t="shared" si="0"/>
      </c>
      <c r="AI824">
        <f>[1]发票导入!AI824&amp;""</f>
      </c>
      <c r="AJ824">
        <f>[1]发票导入!AJ824&amp;""</f>
      </c>
      <c r="AK824">
        <f>[1]发票导入!AK824</f>
        <v>0</v>
      </c>
      <c r="AL824">
        <f>[1]发票导入!AL824</f>
        <v>0</v>
      </c>
      <c r="AM824">
        <f>[1]发票导入!AM824</f>
        <v>0</v>
      </c>
      <c r="AN824" s="22">
        <f t="shared" si="1"/>
        <v>0</v>
      </c>
      <c r="AO824" s="22">
        <f t="shared" si="2"/>
        <v>0</v>
      </c>
    </row>
    <row r="825">
      <c r="C825">
        <f>[1]发票导入!C825&amp;""</f>
      </c>
      <c r="D825">
        <f>[1]发票导入!D825&amp;""</f>
      </c>
      <c r="O825">
        <f>[1]发票导入!O825&amp;""</f>
      </c>
      <c r="T825">
        <f>[1]发票导入!T825</f>
      </c>
      <c r="U825">
        <f>[1]发票导入!U825&amp;""</f>
      </c>
      <c r="V825">
        <f>[1]发票导入!V825&amp;""</f>
      </c>
      <c r="W825">
        <f>[1]发票导入!W825&amp;""</f>
      </c>
      <c r="Y825">
        <f>[1]发票导入!Y825&amp;""</f>
      </c>
      <c r="AA825">
        <f>[1]发票导入!AA825&amp;""</f>
      </c>
      <c r="AB825">
        <f>[1]发票导入!AB825</f>
        <v>0</v>
      </c>
      <c r="AC825">
        <f>[1]发票导入!AC825</f>
        <v>0</v>
      </c>
      <c r="AE825" s="22">
        <f t="shared" si="0"/>
      </c>
      <c r="AI825">
        <f>[1]发票导入!AI825&amp;""</f>
      </c>
      <c r="AJ825">
        <f>[1]发票导入!AJ825&amp;""</f>
      </c>
      <c r="AK825">
        <f>[1]发票导入!AK825</f>
        <v>0</v>
      </c>
      <c r="AL825">
        <f>[1]发票导入!AL825</f>
        <v>0</v>
      </c>
      <c r="AM825">
        <f>[1]发票导入!AM825</f>
        <v>0</v>
      </c>
      <c r="AN825" s="22">
        <f t="shared" si="1"/>
        <v>0</v>
      </c>
      <c r="AO825" s="22">
        <f t="shared" si="2"/>
        <v>0</v>
      </c>
    </row>
    <row r="826">
      <c r="C826">
        <f>[1]发票导入!C826&amp;""</f>
      </c>
      <c r="D826">
        <f>[1]发票导入!D826&amp;""</f>
      </c>
      <c r="O826">
        <f>[1]发票导入!O826&amp;""</f>
      </c>
      <c r="T826">
        <f>[1]发票导入!T826</f>
      </c>
      <c r="U826">
        <f>[1]发票导入!U826&amp;""</f>
      </c>
      <c r="V826">
        <f>[1]发票导入!V826&amp;""</f>
      </c>
      <c r="W826">
        <f>[1]发票导入!W826&amp;""</f>
      </c>
      <c r="Y826">
        <f>[1]发票导入!Y826&amp;""</f>
      </c>
      <c r="AA826">
        <f>[1]发票导入!AA826&amp;""</f>
      </c>
      <c r="AB826">
        <f>[1]发票导入!AB826</f>
        <v>0</v>
      </c>
      <c r="AC826">
        <f>[1]发票导入!AC826</f>
        <v>0</v>
      </c>
      <c r="AE826" s="22">
        <f t="shared" si="0"/>
      </c>
      <c r="AI826">
        <f>[1]发票导入!AI826&amp;""</f>
      </c>
      <c r="AJ826">
        <f>[1]发票导入!AJ826&amp;""</f>
      </c>
      <c r="AK826">
        <f>[1]发票导入!AK826</f>
        <v>0</v>
      </c>
      <c r="AL826">
        <f>[1]发票导入!AL826</f>
        <v>0</v>
      </c>
      <c r="AM826">
        <f>[1]发票导入!AM826</f>
        <v>0</v>
      </c>
      <c r="AN826" s="22">
        <f t="shared" si="1"/>
        <v>0</v>
      </c>
      <c r="AO826" s="22">
        <f t="shared" si="2"/>
        <v>0</v>
      </c>
    </row>
    <row r="827">
      <c r="C827">
        <f>[1]发票导入!C827&amp;""</f>
      </c>
      <c r="D827">
        <f>[1]发票导入!D827&amp;""</f>
      </c>
      <c r="O827">
        <f>[1]发票导入!O827&amp;""</f>
      </c>
      <c r="T827">
        <f>[1]发票导入!T827</f>
      </c>
      <c r="U827">
        <f>[1]发票导入!U827&amp;""</f>
      </c>
      <c r="V827">
        <f>[1]发票导入!V827&amp;""</f>
      </c>
      <c r="W827">
        <f>[1]发票导入!W827&amp;""</f>
      </c>
      <c r="Y827">
        <f>[1]发票导入!Y827&amp;""</f>
      </c>
      <c r="AA827">
        <f>[1]发票导入!AA827&amp;""</f>
      </c>
      <c r="AB827">
        <f>[1]发票导入!AB827</f>
        <v>0</v>
      </c>
      <c r="AC827">
        <f>[1]发票导入!AC827</f>
        <v>0</v>
      </c>
      <c r="AE827" s="22">
        <f t="shared" si="0"/>
      </c>
      <c r="AI827">
        <f>[1]发票导入!AI827&amp;""</f>
      </c>
      <c r="AJ827">
        <f>[1]发票导入!AJ827&amp;""</f>
      </c>
      <c r="AK827">
        <f>[1]发票导入!AK827</f>
        <v>0</v>
      </c>
      <c r="AL827">
        <f>[1]发票导入!AL827</f>
        <v>0</v>
      </c>
      <c r="AM827">
        <f>[1]发票导入!AM827</f>
        <v>0</v>
      </c>
      <c r="AN827" s="22">
        <f t="shared" si="1"/>
        <v>0</v>
      </c>
      <c r="AO827" s="22">
        <f t="shared" si="2"/>
        <v>0</v>
      </c>
    </row>
    <row r="828">
      <c r="C828">
        <f>[1]发票导入!C828&amp;""</f>
      </c>
      <c r="D828">
        <f>[1]发票导入!D828&amp;""</f>
      </c>
      <c r="O828">
        <f>[1]发票导入!O828&amp;""</f>
      </c>
      <c r="T828">
        <f>[1]发票导入!T828</f>
      </c>
      <c r="U828">
        <f>[1]发票导入!U828&amp;""</f>
      </c>
      <c r="V828">
        <f>[1]发票导入!V828&amp;""</f>
      </c>
      <c r="W828">
        <f>[1]发票导入!W828&amp;""</f>
      </c>
      <c r="Y828">
        <f>[1]发票导入!Y828&amp;""</f>
      </c>
      <c r="AA828">
        <f>[1]发票导入!AA828&amp;""</f>
      </c>
      <c r="AB828">
        <f>[1]发票导入!AB828</f>
        <v>0</v>
      </c>
      <c r="AC828">
        <f>[1]发票导入!AC828</f>
        <v>0</v>
      </c>
      <c r="AE828" s="22">
        <f t="shared" si="0"/>
      </c>
      <c r="AI828">
        <f>[1]发票导入!AI828&amp;""</f>
      </c>
      <c r="AJ828">
        <f>[1]发票导入!AJ828&amp;""</f>
      </c>
      <c r="AK828">
        <f>[1]发票导入!AK828</f>
        <v>0</v>
      </c>
      <c r="AL828">
        <f>[1]发票导入!AL828</f>
        <v>0</v>
      </c>
      <c r="AM828">
        <f>[1]发票导入!AM828</f>
        <v>0</v>
      </c>
      <c r="AN828" s="22">
        <f t="shared" si="1"/>
        <v>0</v>
      </c>
      <c r="AO828" s="22">
        <f t="shared" si="2"/>
        <v>0</v>
      </c>
    </row>
    <row r="829">
      <c r="C829">
        <f>[1]发票导入!C829&amp;""</f>
      </c>
      <c r="D829">
        <f>[1]发票导入!D829&amp;""</f>
      </c>
      <c r="O829">
        <f>[1]发票导入!O829&amp;""</f>
      </c>
      <c r="T829">
        <f>[1]发票导入!T829</f>
      </c>
      <c r="U829">
        <f>[1]发票导入!U829&amp;""</f>
      </c>
      <c r="V829">
        <f>[1]发票导入!V829&amp;""</f>
      </c>
      <c r="W829">
        <f>[1]发票导入!W829&amp;""</f>
      </c>
      <c r="Y829">
        <f>[1]发票导入!Y829&amp;""</f>
      </c>
      <c r="AA829">
        <f>[1]发票导入!AA829&amp;""</f>
      </c>
      <c r="AB829">
        <f>[1]发票导入!AB829</f>
        <v>0</v>
      </c>
      <c r="AC829">
        <f>[1]发票导入!AC829</f>
        <v>0</v>
      </c>
      <c r="AE829" s="22">
        <f t="shared" si="0"/>
      </c>
      <c r="AI829">
        <f>[1]发票导入!AI829&amp;""</f>
      </c>
      <c r="AJ829">
        <f>[1]发票导入!AJ829&amp;""</f>
      </c>
      <c r="AK829">
        <f>[1]发票导入!AK829</f>
        <v>0</v>
      </c>
      <c r="AL829">
        <f>[1]发票导入!AL829</f>
        <v>0</v>
      </c>
      <c r="AM829">
        <f>[1]发票导入!AM829</f>
        <v>0</v>
      </c>
      <c r="AN829" s="22">
        <f t="shared" si="1"/>
        <v>0</v>
      </c>
      <c r="AO829" s="22">
        <f t="shared" si="2"/>
        <v>0</v>
      </c>
    </row>
    <row r="830">
      <c r="C830">
        <f>[1]发票导入!C830&amp;""</f>
      </c>
      <c r="D830">
        <f>[1]发票导入!D830&amp;""</f>
      </c>
      <c r="O830">
        <f>[1]发票导入!O830&amp;""</f>
      </c>
      <c r="T830">
        <f>[1]发票导入!T830</f>
      </c>
      <c r="U830">
        <f>[1]发票导入!U830&amp;""</f>
      </c>
      <c r="V830">
        <f>[1]发票导入!V830&amp;""</f>
      </c>
      <c r="W830">
        <f>[1]发票导入!W830&amp;""</f>
      </c>
      <c r="Y830">
        <f>[1]发票导入!Y830&amp;""</f>
      </c>
      <c r="AA830">
        <f>[1]发票导入!AA830&amp;""</f>
      </c>
      <c r="AB830">
        <f>[1]发票导入!AB830</f>
        <v>0</v>
      </c>
      <c r="AC830">
        <f>[1]发票导入!AC830</f>
        <v>0</v>
      </c>
      <c r="AE830" s="22">
        <f t="shared" si="0"/>
      </c>
      <c r="AI830">
        <f>[1]发票导入!AI830&amp;""</f>
      </c>
      <c r="AJ830">
        <f>[1]发票导入!AJ830&amp;""</f>
      </c>
      <c r="AK830">
        <f>[1]发票导入!AK830</f>
        <v>0</v>
      </c>
      <c r="AL830">
        <f>[1]发票导入!AL830</f>
        <v>0</v>
      </c>
      <c r="AM830">
        <f>[1]发票导入!AM830</f>
        <v>0</v>
      </c>
      <c r="AN830" s="22">
        <f t="shared" si="1"/>
        <v>0</v>
      </c>
      <c r="AO830" s="22">
        <f t="shared" si="2"/>
        <v>0</v>
      </c>
    </row>
    <row r="831">
      <c r="C831">
        <f>[1]发票导入!C831&amp;""</f>
      </c>
      <c r="D831">
        <f>[1]发票导入!D831&amp;""</f>
      </c>
      <c r="O831">
        <f>[1]发票导入!O831&amp;""</f>
      </c>
      <c r="T831">
        <f>[1]发票导入!T831</f>
      </c>
      <c r="U831">
        <f>[1]发票导入!U831&amp;""</f>
      </c>
      <c r="V831">
        <f>[1]发票导入!V831&amp;""</f>
      </c>
      <c r="W831">
        <f>[1]发票导入!W831&amp;""</f>
      </c>
      <c r="Y831">
        <f>[1]发票导入!Y831&amp;""</f>
      </c>
      <c r="AA831">
        <f>[1]发票导入!AA831&amp;""</f>
      </c>
      <c r="AB831">
        <f>[1]发票导入!AB831</f>
        <v>0</v>
      </c>
      <c r="AC831">
        <f>[1]发票导入!AC831</f>
        <v>0</v>
      </c>
      <c r="AE831" s="22">
        <f t="shared" si="0"/>
      </c>
      <c r="AI831">
        <f>[1]发票导入!AI831&amp;""</f>
      </c>
      <c r="AJ831">
        <f>[1]发票导入!AJ831&amp;""</f>
      </c>
      <c r="AK831">
        <f>[1]发票导入!AK831</f>
        <v>0</v>
      </c>
      <c r="AL831">
        <f>[1]发票导入!AL831</f>
        <v>0</v>
      </c>
      <c r="AM831">
        <f>[1]发票导入!AM831</f>
        <v>0</v>
      </c>
      <c r="AN831" s="22">
        <f t="shared" si="1"/>
        <v>0</v>
      </c>
      <c r="AO831" s="22">
        <f t="shared" si="2"/>
        <v>0</v>
      </c>
    </row>
    <row r="832">
      <c r="C832">
        <f>[1]发票导入!C832&amp;""</f>
      </c>
      <c r="D832">
        <f>[1]发票导入!D832&amp;""</f>
      </c>
      <c r="O832">
        <f>[1]发票导入!O832&amp;""</f>
      </c>
      <c r="T832">
        <f>[1]发票导入!T832</f>
      </c>
      <c r="U832">
        <f>[1]发票导入!U832&amp;""</f>
      </c>
      <c r="V832">
        <f>[1]发票导入!V832&amp;""</f>
      </c>
      <c r="W832">
        <f>[1]发票导入!W832&amp;""</f>
      </c>
      <c r="Y832">
        <f>[1]发票导入!Y832&amp;""</f>
      </c>
      <c r="AA832">
        <f>[1]发票导入!AA832&amp;""</f>
      </c>
      <c r="AB832">
        <f>[1]发票导入!AB832</f>
        <v>0</v>
      </c>
      <c r="AC832">
        <f>[1]发票导入!AC832</f>
        <v>0</v>
      </c>
      <c r="AE832" s="22">
        <f t="shared" si="0"/>
      </c>
      <c r="AI832">
        <f>[1]发票导入!AI832&amp;""</f>
      </c>
      <c r="AJ832">
        <f>[1]发票导入!AJ832&amp;""</f>
      </c>
      <c r="AK832">
        <f>[1]发票导入!AK832</f>
        <v>0</v>
      </c>
      <c r="AL832">
        <f>[1]发票导入!AL832</f>
        <v>0</v>
      </c>
      <c r="AM832">
        <f>[1]发票导入!AM832</f>
        <v>0</v>
      </c>
      <c r="AN832" s="22">
        <f t="shared" si="1"/>
        <v>0</v>
      </c>
      <c r="AO832" s="22">
        <f t="shared" si="2"/>
        <v>0</v>
      </c>
    </row>
    <row r="833">
      <c r="C833">
        <f>[1]发票导入!C833&amp;""</f>
      </c>
      <c r="D833">
        <f>[1]发票导入!D833&amp;""</f>
      </c>
      <c r="O833">
        <f>[1]发票导入!O833&amp;""</f>
      </c>
      <c r="T833">
        <f>[1]发票导入!T833</f>
      </c>
      <c r="U833">
        <f>[1]发票导入!U833&amp;""</f>
      </c>
      <c r="V833">
        <f>[1]发票导入!V833&amp;""</f>
      </c>
      <c r="W833">
        <f>[1]发票导入!W833&amp;""</f>
      </c>
      <c r="Y833">
        <f>[1]发票导入!Y833&amp;""</f>
      </c>
      <c r="AA833">
        <f>[1]发票导入!AA833&amp;""</f>
      </c>
      <c r="AB833">
        <f>[1]发票导入!AB833</f>
        <v>0</v>
      </c>
      <c r="AC833">
        <f>[1]发票导入!AC833</f>
        <v>0</v>
      </c>
      <c r="AE833" s="22">
        <f t="shared" si="0"/>
      </c>
      <c r="AI833">
        <f>[1]发票导入!AI833&amp;""</f>
      </c>
      <c r="AJ833">
        <f>[1]发票导入!AJ833&amp;""</f>
      </c>
      <c r="AK833">
        <f>[1]发票导入!AK833</f>
        <v>0</v>
      </c>
      <c r="AL833">
        <f>[1]发票导入!AL833</f>
        <v>0</v>
      </c>
      <c r="AM833">
        <f>[1]发票导入!AM833</f>
        <v>0</v>
      </c>
      <c r="AN833" s="22">
        <f t="shared" si="1"/>
        <v>0</v>
      </c>
      <c r="AO833" s="22">
        <f t="shared" si="2"/>
        <v>0</v>
      </c>
    </row>
    <row r="834">
      <c r="C834">
        <f>[1]发票导入!C834&amp;""</f>
      </c>
      <c r="D834">
        <f>[1]发票导入!D834&amp;""</f>
      </c>
      <c r="O834">
        <f>[1]发票导入!O834&amp;""</f>
      </c>
      <c r="T834">
        <f>[1]发票导入!T834</f>
      </c>
      <c r="U834">
        <f>[1]发票导入!U834&amp;""</f>
      </c>
      <c r="V834">
        <f>[1]发票导入!V834&amp;""</f>
      </c>
      <c r="W834">
        <f>[1]发票导入!W834&amp;""</f>
      </c>
      <c r="Y834">
        <f>[1]发票导入!Y834&amp;""</f>
      </c>
      <c r="AA834">
        <f>[1]发票导入!AA834&amp;""</f>
      </c>
      <c r="AB834">
        <f>[1]发票导入!AB834</f>
        <v>0</v>
      </c>
      <c r="AC834">
        <f>[1]发票导入!AC834</f>
        <v>0</v>
      </c>
      <c r="AE834" s="22">
        <f t="shared" si="0"/>
      </c>
      <c r="AI834">
        <f>[1]发票导入!AI834&amp;""</f>
      </c>
      <c r="AJ834">
        <f>[1]发票导入!AJ834&amp;""</f>
      </c>
      <c r="AK834">
        <f>[1]发票导入!AK834</f>
        <v>0</v>
      </c>
      <c r="AL834">
        <f>[1]发票导入!AL834</f>
        <v>0</v>
      </c>
      <c r="AM834">
        <f>[1]发票导入!AM834</f>
        <v>0</v>
      </c>
      <c r="AN834" s="22">
        <f t="shared" si="1"/>
        <v>0</v>
      </c>
      <c r="AO834" s="22">
        <f t="shared" si="2"/>
        <v>0</v>
      </c>
    </row>
    <row r="835">
      <c r="C835">
        <f>[1]发票导入!C835&amp;""</f>
      </c>
      <c r="D835">
        <f>[1]发票导入!D835&amp;""</f>
      </c>
      <c r="O835">
        <f>[1]发票导入!O835&amp;""</f>
      </c>
      <c r="T835">
        <f>[1]发票导入!T835</f>
      </c>
      <c r="U835">
        <f>[1]发票导入!U835&amp;""</f>
      </c>
      <c r="V835">
        <f>[1]发票导入!V835&amp;""</f>
      </c>
      <c r="W835">
        <f>[1]发票导入!W835&amp;""</f>
      </c>
      <c r="Y835">
        <f>[1]发票导入!Y835&amp;""</f>
      </c>
      <c r="AA835">
        <f>[1]发票导入!AA835&amp;""</f>
      </c>
      <c r="AB835">
        <f>[1]发票导入!AB835</f>
        <v>0</v>
      </c>
      <c r="AC835">
        <f>[1]发票导入!AC835</f>
        <v>0</v>
      </c>
      <c r="AE835" s="22">
        <f t="shared" si="0"/>
      </c>
      <c r="AI835">
        <f>[1]发票导入!AI835&amp;""</f>
      </c>
      <c r="AJ835">
        <f>[1]发票导入!AJ835&amp;""</f>
      </c>
      <c r="AK835">
        <f>[1]发票导入!AK835</f>
        <v>0</v>
      </c>
      <c r="AL835">
        <f>[1]发票导入!AL835</f>
        <v>0</v>
      </c>
      <c r="AM835">
        <f>[1]发票导入!AM835</f>
        <v>0</v>
      </c>
      <c r="AN835" s="22">
        <f t="shared" si="1"/>
        <v>0</v>
      </c>
      <c r="AO835" s="22">
        <f t="shared" si="2"/>
        <v>0</v>
      </c>
    </row>
    <row r="836">
      <c r="C836">
        <f>[1]发票导入!C836&amp;""</f>
      </c>
      <c r="D836">
        <f>[1]发票导入!D836&amp;""</f>
      </c>
      <c r="O836">
        <f>[1]发票导入!O836&amp;""</f>
      </c>
      <c r="T836">
        <f>[1]发票导入!T836</f>
      </c>
      <c r="U836">
        <f>[1]发票导入!U836&amp;""</f>
      </c>
      <c r="V836">
        <f>[1]发票导入!V836&amp;""</f>
      </c>
      <c r="W836">
        <f>[1]发票导入!W836&amp;""</f>
      </c>
      <c r="Y836">
        <f>[1]发票导入!Y836&amp;""</f>
      </c>
      <c r="AA836">
        <f>[1]发票导入!AA836&amp;""</f>
      </c>
      <c r="AB836">
        <f>[1]发票导入!AB836</f>
        <v>0</v>
      </c>
      <c r="AC836">
        <f>[1]发票导入!AC836</f>
        <v>0</v>
      </c>
      <c r="AE836" s="22">
        <f t="shared" si="0"/>
      </c>
      <c r="AI836">
        <f>[1]发票导入!AI836&amp;""</f>
      </c>
      <c r="AJ836">
        <f>[1]发票导入!AJ836&amp;""</f>
      </c>
      <c r="AK836">
        <f>[1]发票导入!AK836</f>
        <v>0</v>
      </c>
      <c r="AL836">
        <f>[1]发票导入!AL836</f>
        <v>0</v>
      </c>
      <c r="AM836">
        <f>[1]发票导入!AM836</f>
        <v>0</v>
      </c>
      <c r="AN836" s="22">
        <f t="shared" si="1"/>
        <v>0</v>
      </c>
      <c r="AO836" s="22">
        <f t="shared" si="2"/>
        <v>0</v>
      </c>
    </row>
    <row r="837">
      <c r="C837">
        <f>[1]发票导入!C837&amp;""</f>
      </c>
      <c r="D837">
        <f>[1]发票导入!D837&amp;""</f>
      </c>
      <c r="O837">
        <f>[1]发票导入!O837&amp;""</f>
      </c>
      <c r="T837">
        <f>[1]发票导入!T837</f>
      </c>
      <c r="U837">
        <f>[1]发票导入!U837&amp;""</f>
      </c>
      <c r="V837">
        <f>[1]发票导入!V837&amp;""</f>
      </c>
      <c r="W837">
        <f>[1]发票导入!W837&amp;""</f>
      </c>
      <c r="Y837">
        <f>[1]发票导入!Y837&amp;""</f>
      </c>
      <c r="AA837">
        <f>[1]发票导入!AA837&amp;""</f>
      </c>
      <c r="AB837">
        <f>[1]发票导入!AB837</f>
        <v>0</v>
      </c>
      <c r="AC837">
        <f>[1]发票导入!AC837</f>
        <v>0</v>
      </c>
      <c r="AE837" s="22">
        <f t="shared" si="0"/>
      </c>
      <c r="AI837">
        <f>[1]发票导入!AI837&amp;""</f>
      </c>
      <c r="AJ837">
        <f>[1]发票导入!AJ837&amp;""</f>
      </c>
      <c r="AK837">
        <f>[1]发票导入!AK837</f>
        <v>0</v>
      </c>
      <c r="AL837">
        <f>[1]发票导入!AL837</f>
        <v>0</v>
      </c>
      <c r="AM837">
        <f>[1]发票导入!AM837</f>
        <v>0</v>
      </c>
      <c r="AN837" s="22">
        <f t="shared" si="1"/>
        <v>0</v>
      </c>
      <c r="AO837" s="22">
        <f t="shared" si="2"/>
        <v>0</v>
      </c>
    </row>
    <row r="838">
      <c r="C838">
        <f>[1]发票导入!C838&amp;""</f>
      </c>
      <c r="D838">
        <f>[1]发票导入!D838&amp;""</f>
      </c>
      <c r="O838">
        <f>[1]发票导入!O838&amp;""</f>
      </c>
      <c r="T838">
        <f>[1]发票导入!T838</f>
      </c>
      <c r="U838">
        <f>[1]发票导入!U838&amp;""</f>
      </c>
      <c r="V838">
        <f>[1]发票导入!V838&amp;""</f>
      </c>
      <c r="W838">
        <f>[1]发票导入!W838&amp;""</f>
      </c>
      <c r="Y838">
        <f>[1]发票导入!Y838&amp;""</f>
      </c>
      <c r="AA838">
        <f>[1]发票导入!AA838&amp;""</f>
      </c>
      <c r="AB838">
        <f>[1]发票导入!AB838</f>
        <v>0</v>
      </c>
      <c r="AC838">
        <f>[1]发票导入!AC838</f>
        <v>0</v>
      </c>
      <c r="AE838" s="22">
        <f t="shared" si="0"/>
      </c>
      <c r="AI838">
        <f>[1]发票导入!AI838&amp;""</f>
      </c>
      <c r="AJ838">
        <f>[1]发票导入!AJ838&amp;""</f>
      </c>
      <c r="AK838">
        <f>[1]发票导入!AK838</f>
        <v>0</v>
      </c>
      <c r="AL838">
        <f>[1]发票导入!AL838</f>
        <v>0</v>
      </c>
      <c r="AM838">
        <f>[1]发票导入!AM838</f>
        <v>0</v>
      </c>
      <c r="AN838" s="22">
        <f t="shared" si="1"/>
        <v>0</v>
      </c>
      <c r="AO838" s="22">
        <f t="shared" si="2"/>
        <v>0</v>
      </c>
    </row>
    <row r="839">
      <c r="C839">
        <f>[1]发票导入!C839&amp;""</f>
      </c>
      <c r="D839">
        <f>[1]发票导入!D839&amp;""</f>
      </c>
      <c r="O839">
        <f>[1]发票导入!O839&amp;""</f>
      </c>
      <c r="T839">
        <f>[1]发票导入!T839</f>
      </c>
      <c r="U839">
        <f>[1]发票导入!U839&amp;""</f>
      </c>
      <c r="V839">
        <f>[1]发票导入!V839&amp;""</f>
      </c>
      <c r="W839">
        <f>[1]发票导入!W839&amp;""</f>
      </c>
      <c r="Y839">
        <f>[1]发票导入!Y839&amp;""</f>
      </c>
      <c r="AA839">
        <f>[1]发票导入!AA839&amp;""</f>
      </c>
      <c r="AB839">
        <f>[1]发票导入!AB839</f>
        <v>0</v>
      </c>
      <c r="AC839">
        <f>[1]发票导入!AC839</f>
        <v>0</v>
      </c>
      <c r="AE839" s="22">
        <f t="shared" si="0"/>
      </c>
      <c r="AI839">
        <f>[1]发票导入!AI839&amp;""</f>
      </c>
      <c r="AJ839">
        <f>[1]发票导入!AJ839&amp;""</f>
      </c>
      <c r="AK839">
        <f>[1]发票导入!AK839</f>
        <v>0</v>
      </c>
      <c r="AL839">
        <f>[1]发票导入!AL839</f>
        <v>0</v>
      </c>
      <c r="AM839">
        <f>[1]发票导入!AM839</f>
        <v>0</v>
      </c>
      <c r="AN839" s="22">
        <f t="shared" si="1"/>
        <v>0</v>
      </c>
      <c r="AO839" s="22">
        <f t="shared" si="2"/>
        <v>0</v>
      </c>
    </row>
    <row r="840">
      <c r="C840">
        <f>[1]发票导入!C840&amp;""</f>
      </c>
      <c r="D840">
        <f>[1]发票导入!D840&amp;""</f>
      </c>
      <c r="O840">
        <f>[1]发票导入!O840&amp;""</f>
      </c>
      <c r="T840">
        <f>[1]发票导入!T840</f>
      </c>
      <c r="U840">
        <f>[1]发票导入!U840&amp;""</f>
      </c>
      <c r="V840">
        <f>[1]发票导入!V840&amp;""</f>
      </c>
      <c r="W840">
        <f>[1]发票导入!W840&amp;""</f>
      </c>
      <c r="Y840">
        <f>[1]发票导入!Y840&amp;""</f>
      </c>
      <c r="AA840">
        <f>[1]发票导入!AA840&amp;""</f>
      </c>
      <c r="AB840">
        <f>[1]发票导入!AB840</f>
        <v>0</v>
      </c>
      <c r="AC840">
        <f>[1]发票导入!AC840</f>
        <v>0</v>
      </c>
      <c r="AE840" s="22">
        <f t="shared" si="0"/>
      </c>
      <c r="AI840">
        <f>[1]发票导入!AI840&amp;""</f>
      </c>
      <c r="AJ840">
        <f>[1]发票导入!AJ840&amp;""</f>
      </c>
      <c r="AK840">
        <f>[1]发票导入!AK840</f>
        <v>0</v>
      </c>
      <c r="AL840">
        <f>[1]发票导入!AL840</f>
        <v>0</v>
      </c>
      <c r="AM840">
        <f>[1]发票导入!AM840</f>
        <v>0</v>
      </c>
      <c r="AN840" s="22">
        <f t="shared" si="1"/>
        <v>0</v>
      </c>
      <c r="AO840" s="22">
        <f t="shared" si="2"/>
        <v>0</v>
      </c>
    </row>
    <row r="841">
      <c r="C841">
        <f>[1]发票导入!C841&amp;""</f>
      </c>
      <c r="D841">
        <f>[1]发票导入!D841&amp;""</f>
      </c>
      <c r="O841">
        <f>[1]发票导入!O841&amp;""</f>
      </c>
      <c r="T841">
        <f>[1]发票导入!T841</f>
      </c>
      <c r="U841">
        <f>[1]发票导入!U841&amp;""</f>
      </c>
      <c r="V841">
        <f>[1]发票导入!V841&amp;""</f>
      </c>
      <c r="W841">
        <f>[1]发票导入!W841&amp;""</f>
      </c>
      <c r="Y841">
        <f>[1]发票导入!Y841&amp;""</f>
      </c>
      <c r="AA841">
        <f>[1]发票导入!AA841&amp;""</f>
      </c>
      <c r="AB841">
        <f>[1]发票导入!AB841</f>
        <v>0</v>
      </c>
      <c r="AC841">
        <f>[1]发票导入!AC841</f>
        <v>0</v>
      </c>
      <c r="AE841" s="22">
        <f t="shared" si="0"/>
      </c>
      <c r="AI841">
        <f>[1]发票导入!AI841&amp;""</f>
      </c>
      <c r="AJ841">
        <f>[1]发票导入!AJ841&amp;""</f>
      </c>
      <c r="AK841">
        <f>[1]发票导入!AK841</f>
        <v>0</v>
      </c>
      <c r="AL841">
        <f>[1]发票导入!AL841</f>
        <v>0</v>
      </c>
      <c r="AM841">
        <f>[1]发票导入!AM841</f>
        <v>0</v>
      </c>
      <c r="AN841" s="22">
        <f t="shared" si="1"/>
        <v>0</v>
      </c>
      <c r="AO841" s="22">
        <f t="shared" si="2"/>
        <v>0</v>
      </c>
    </row>
    <row r="842">
      <c r="C842">
        <f>[1]发票导入!C842&amp;""</f>
      </c>
      <c r="D842">
        <f>[1]发票导入!D842&amp;""</f>
      </c>
      <c r="O842">
        <f>[1]发票导入!O842&amp;""</f>
      </c>
      <c r="T842">
        <f>[1]发票导入!T842</f>
      </c>
      <c r="U842">
        <f>[1]发票导入!U842&amp;""</f>
      </c>
      <c r="V842">
        <f>[1]发票导入!V842&amp;""</f>
      </c>
      <c r="W842">
        <f>[1]发票导入!W842&amp;""</f>
      </c>
      <c r="Y842">
        <f>[1]发票导入!Y842&amp;""</f>
      </c>
      <c r="AA842">
        <f>[1]发票导入!AA842&amp;""</f>
      </c>
      <c r="AB842">
        <f>[1]发票导入!AB842</f>
        <v>0</v>
      </c>
      <c r="AC842">
        <f>[1]发票导入!AC842</f>
        <v>0</v>
      </c>
      <c r="AE842" s="22">
        <f t="shared" si="0"/>
      </c>
      <c r="AI842">
        <f>[1]发票导入!AI842&amp;""</f>
      </c>
      <c r="AJ842">
        <f>[1]发票导入!AJ842&amp;""</f>
      </c>
      <c r="AK842">
        <f>[1]发票导入!AK842</f>
        <v>0</v>
      </c>
      <c r="AL842">
        <f>[1]发票导入!AL842</f>
        <v>0</v>
      </c>
      <c r="AM842">
        <f>[1]发票导入!AM842</f>
        <v>0</v>
      </c>
      <c r="AN842" s="22">
        <f t="shared" si="1"/>
        <v>0</v>
      </c>
      <c r="AO842" s="22">
        <f t="shared" si="2"/>
        <v>0</v>
      </c>
    </row>
    <row r="843">
      <c r="C843">
        <f>[1]发票导入!C843&amp;""</f>
      </c>
      <c r="D843">
        <f>[1]发票导入!D843&amp;""</f>
      </c>
      <c r="O843">
        <f>[1]发票导入!O843&amp;""</f>
      </c>
      <c r="T843">
        <f>[1]发票导入!T843</f>
      </c>
      <c r="U843">
        <f>[1]发票导入!U843&amp;""</f>
      </c>
      <c r="V843">
        <f>[1]发票导入!V843&amp;""</f>
      </c>
      <c r="W843">
        <f>[1]发票导入!W843&amp;""</f>
      </c>
      <c r="Y843">
        <f>[1]发票导入!Y843&amp;""</f>
      </c>
      <c r="AA843">
        <f>[1]发票导入!AA843&amp;""</f>
      </c>
      <c r="AB843">
        <f>[1]发票导入!AB843</f>
        <v>0</v>
      </c>
      <c r="AC843">
        <f>[1]发票导入!AC843</f>
        <v>0</v>
      </c>
      <c r="AE843" s="22">
        <f t="shared" si="0"/>
      </c>
      <c r="AI843">
        <f>[1]发票导入!AI843&amp;""</f>
      </c>
      <c r="AJ843">
        <f>[1]发票导入!AJ843&amp;""</f>
      </c>
      <c r="AK843">
        <f>[1]发票导入!AK843</f>
        <v>0</v>
      </c>
      <c r="AL843">
        <f>[1]发票导入!AL843</f>
        <v>0</v>
      </c>
      <c r="AM843">
        <f>[1]发票导入!AM843</f>
        <v>0</v>
      </c>
      <c r="AN843" s="22">
        <f t="shared" si="1"/>
        <v>0</v>
      </c>
      <c r="AO843" s="22">
        <f t="shared" si="2"/>
        <v>0</v>
      </c>
    </row>
    <row r="844">
      <c r="C844">
        <f>[1]发票导入!C844&amp;""</f>
      </c>
      <c r="D844">
        <f>[1]发票导入!D844&amp;""</f>
      </c>
      <c r="O844">
        <f>[1]发票导入!O844&amp;""</f>
      </c>
      <c r="T844">
        <f>[1]发票导入!T844</f>
      </c>
      <c r="U844">
        <f>[1]发票导入!U844&amp;""</f>
      </c>
      <c r="V844">
        <f>[1]发票导入!V844&amp;""</f>
      </c>
      <c r="W844">
        <f>[1]发票导入!W844&amp;""</f>
      </c>
      <c r="Y844">
        <f>[1]发票导入!Y844&amp;""</f>
      </c>
      <c r="AA844">
        <f>[1]发票导入!AA844&amp;""</f>
      </c>
      <c r="AB844">
        <f>[1]发票导入!AB844</f>
        <v>0</v>
      </c>
      <c r="AC844">
        <f>[1]发票导入!AC844</f>
        <v>0</v>
      </c>
      <c r="AE844" s="22">
        <f t="shared" si="0"/>
      </c>
      <c r="AI844">
        <f>[1]发票导入!AI844&amp;""</f>
      </c>
      <c r="AJ844">
        <f>[1]发票导入!AJ844&amp;""</f>
      </c>
      <c r="AK844">
        <f>[1]发票导入!AK844</f>
        <v>0</v>
      </c>
      <c r="AL844">
        <f>[1]发票导入!AL844</f>
        <v>0</v>
      </c>
      <c r="AM844">
        <f>[1]发票导入!AM844</f>
        <v>0</v>
      </c>
      <c r="AN844" s="22">
        <f t="shared" si="1"/>
        <v>0</v>
      </c>
      <c r="AO844" s="22">
        <f t="shared" si="2"/>
        <v>0</v>
      </c>
    </row>
    <row r="845">
      <c r="C845">
        <f>[1]发票导入!C845&amp;""</f>
      </c>
      <c r="D845">
        <f>[1]发票导入!D845&amp;""</f>
      </c>
      <c r="O845">
        <f>[1]发票导入!O845&amp;""</f>
      </c>
      <c r="T845">
        <f>[1]发票导入!T845</f>
      </c>
      <c r="U845">
        <f>[1]发票导入!U845&amp;""</f>
      </c>
      <c r="V845">
        <f>[1]发票导入!V845&amp;""</f>
      </c>
      <c r="W845">
        <f>[1]发票导入!W845&amp;""</f>
      </c>
      <c r="Y845">
        <f>[1]发票导入!Y845&amp;""</f>
      </c>
      <c r="AA845">
        <f>[1]发票导入!AA845&amp;""</f>
      </c>
      <c r="AB845">
        <f>[1]发票导入!AB845</f>
        <v>0</v>
      </c>
      <c r="AC845">
        <f>[1]发票导入!AC845</f>
        <v>0</v>
      </c>
      <c r="AE845" s="22">
        <f t="shared" si="0"/>
      </c>
      <c r="AI845">
        <f>[1]发票导入!AI845&amp;""</f>
      </c>
      <c r="AJ845">
        <f>[1]发票导入!AJ845&amp;""</f>
      </c>
      <c r="AK845">
        <f>[1]发票导入!AK845</f>
        <v>0</v>
      </c>
      <c r="AL845">
        <f>[1]发票导入!AL845</f>
        <v>0</v>
      </c>
      <c r="AM845">
        <f>[1]发票导入!AM845</f>
        <v>0</v>
      </c>
      <c r="AN845" s="22">
        <f t="shared" si="1"/>
        <v>0</v>
      </c>
      <c r="AO845" s="22">
        <f t="shared" si="2"/>
        <v>0</v>
      </c>
    </row>
    <row r="846">
      <c r="C846">
        <f>[1]发票导入!C846&amp;""</f>
      </c>
      <c r="D846">
        <f>[1]发票导入!D846&amp;""</f>
      </c>
      <c r="O846">
        <f>[1]发票导入!O846&amp;""</f>
      </c>
      <c r="T846">
        <f>[1]发票导入!T846</f>
      </c>
      <c r="U846">
        <f>[1]发票导入!U846&amp;""</f>
      </c>
      <c r="V846">
        <f>[1]发票导入!V846&amp;""</f>
      </c>
      <c r="W846">
        <f>[1]发票导入!W846&amp;""</f>
      </c>
      <c r="Y846">
        <f>[1]发票导入!Y846&amp;""</f>
      </c>
      <c r="AA846">
        <f>[1]发票导入!AA846&amp;""</f>
      </c>
      <c r="AB846">
        <f>[1]发票导入!AB846</f>
        <v>0</v>
      </c>
      <c r="AC846">
        <f>[1]发票导入!AC846</f>
        <v>0</v>
      </c>
      <c r="AE846" s="22">
        <f t="shared" si="0"/>
      </c>
      <c r="AI846">
        <f>[1]发票导入!AI846&amp;""</f>
      </c>
      <c r="AJ846">
        <f>[1]发票导入!AJ846&amp;""</f>
      </c>
      <c r="AK846">
        <f>[1]发票导入!AK846</f>
        <v>0</v>
      </c>
      <c r="AL846">
        <f>[1]发票导入!AL846</f>
        <v>0</v>
      </c>
      <c r="AM846">
        <f>[1]发票导入!AM846</f>
        <v>0</v>
      </c>
      <c r="AN846" s="22">
        <f t="shared" si="1"/>
        <v>0</v>
      </c>
      <c r="AO846" s="22">
        <f t="shared" si="2"/>
        <v>0</v>
      </c>
    </row>
    <row r="847">
      <c r="C847">
        <f>[1]发票导入!C847&amp;""</f>
      </c>
      <c r="D847">
        <f>[1]发票导入!D847&amp;""</f>
      </c>
      <c r="O847">
        <f>[1]发票导入!O847&amp;""</f>
      </c>
      <c r="T847">
        <f>[1]发票导入!T847</f>
      </c>
      <c r="U847">
        <f>[1]发票导入!U847&amp;""</f>
      </c>
      <c r="V847">
        <f>[1]发票导入!V847&amp;""</f>
      </c>
      <c r="W847">
        <f>[1]发票导入!W847&amp;""</f>
      </c>
      <c r="Y847">
        <f>[1]发票导入!Y847&amp;""</f>
      </c>
      <c r="AA847">
        <f>[1]发票导入!AA847&amp;""</f>
      </c>
      <c r="AB847">
        <f>[1]发票导入!AB847</f>
        <v>0</v>
      </c>
      <c r="AC847">
        <f>[1]发票导入!AC847</f>
        <v>0</v>
      </c>
      <c r="AE847" s="22">
        <f t="shared" si="0"/>
      </c>
      <c r="AI847">
        <f>[1]发票导入!AI847&amp;""</f>
      </c>
      <c r="AJ847">
        <f>[1]发票导入!AJ847&amp;""</f>
      </c>
      <c r="AK847">
        <f>[1]发票导入!AK847</f>
        <v>0</v>
      </c>
      <c r="AL847">
        <f>[1]发票导入!AL847</f>
        <v>0</v>
      </c>
      <c r="AM847">
        <f>[1]发票导入!AM847</f>
        <v>0</v>
      </c>
      <c r="AN847" s="22">
        <f t="shared" si="1"/>
        <v>0</v>
      </c>
      <c r="AO847" s="22">
        <f t="shared" si="2"/>
        <v>0</v>
      </c>
    </row>
    <row r="848">
      <c r="C848">
        <f>[1]发票导入!C848&amp;""</f>
      </c>
      <c r="D848">
        <f>[1]发票导入!D848&amp;""</f>
      </c>
      <c r="O848">
        <f>[1]发票导入!O848&amp;""</f>
      </c>
      <c r="T848">
        <f>[1]发票导入!T848</f>
      </c>
      <c r="U848">
        <f>[1]发票导入!U848&amp;""</f>
      </c>
      <c r="V848">
        <f>[1]发票导入!V848&amp;""</f>
      </c>
      <c r="W848">
        <f>[1]发票导入!W848&amp;""</f>
      </c>
      <c r="Y848">
        <f>[1]发票导入!Y848&amp;""</f>
      </c>
      <c r="AA848">
        <f>[1]发票导入!AA848&amp;""</f>
      </c>
      <c r="AB848">
        <f>[1]发票导入!AB848</f>
        <v>0</v>
      </c>
      <c r="AC848">
        <f>[1]发票导入!AC848</f>
        <v>0</v>
      </c>
      <c r="AE848" s="22">
        <f t="shared" si="0"/>
      </c>
      <c r="AI848">
        <f>[1]发票导入!AI848&amp;""</f>
      </c>
      <c r="AJ848">
        <f>[1]发票导入!AJ848&amp;""</f>
      </c>
      <c r="AK848">
        <f>[1]发票导入!AK848</f>
        <v>0</v>
      </c>
      <c r="AL848">
        <f>[1]发票导入!AL848</f>
        <v>0</v>
      </c>
      <c r="AM848">
        <f>[1]发票导入!AM848</f>
        <v>0</v>
      </c>
      <c r="AN848" s="22">
        <f t="shared" si="1"/>
        <v>0</v>
      </c>
      <c r="AO848" s="22">
        <f t="shared" si="2"/>
        <v>0</v>
      </c>
    </row>
    <row r="849">
      <c r="C849">
        <f>[1]发票导入!C849&amp;""</f>
      </c>
      <c r="D849">
        <f>[1]发票导入!D849&amp;""</f>
      </c>
      <c r="O849">
        <f>[1]发票导入!O849&amp;""</f>
      </c>
      <c r="T849">
        <f>[1]发票导入!T849</f>
      </c>
      <c r="U849">
        <f>[1]发票导入!U849&amp;""</f>
      </c>
      <c r="V849">
        <f>[1]发票导入!V849&amp;""</f>
      </c>
      <c r="W849">
        <f>[1]发票导入!W849&amp;""</f>
      </c>
      <c r="Y849">
        <f>[1]发票导入!Y849&amp;""</f>
      </c>
      <c r="AA849">
        <f>[1]发票导入!AA849&amp;""</f>
      </c>
      <c r="AB849">
        <f>[1]发票导入!AB849</f>
        <v>0</v>
      </c>
      <c r="AC849">
        <f>[1]发票导入!AC849</f>
        <v>0</v>
      </c>
      <c r="AE849" s="22">
        <f t="shared" si="0"/>
      </c>
      <c r="AI849">
        <f>[1]发票导入!AI849&amp;""</f>
      </c>
      <c r="AJ849">
        <f>[1]发票导入!AJ849&amp;""</f>
      </c>
      <c r="AK849">
        <f>[1]发票导入!AK849</f>
        <v>0</v>
      </c>
      <c r="AL849">
        <f>[1]发票导入!AL849</f>
        <v>0</v>
      </c>
      <c r="AM849">
        <f>[1]发票导入!AM849</f>
        <v>0</v>
      </c>
      <c r="AN849" s="22">
        <f t="shared" si="1"/>
        <v>0</v>
      </c>
      <c r="AO849" s="22">
        <f t="shared" si="2"/>
        <v>0</v>
      </c>
    </row>
    <row r="850">
      <c r="C850">
        <f>[1]发票导入!C850&amp;""</f>
      </c>
      <c r="D850">
        <f>[1]发票导入!D850&amp;""</f>
      </c>
      <c r="O850">
        <f>[1]发票导入!O850&amp;""</f>
      </c>
      <c r="T850">
        <f>[1]发票导入!T850</f>
      </c>
      <c r="U850">
        <f>[1]发票导入!U850&amp;""</f>
      </c>
      <c r="V850">
        <f>[1]发票导入!V850&amp;""</f>
      </c>
      <c r="W850">
        <f>[1]发票导入!W850&amp;""</f>
      </c>
      <c r="Y850">
        <f>[1]发票导入!Y850&amp;""</f>
      </c>
      <c r="AA850">
        <f>[1]发票导入!AA850&amp;""</f>
      </c>
      <c r="AB850">
        <f>[1]发票导入!AB850</f>
        <v>0</v>
      </c>
      <c r="AC850">
        <f>[1]发票导入!AC850</f>
        <v>0</v>
      </c>
      <c r="AE850" s="22">
        <f t="shared" si="0"/>
      </c>
      <c r="AI850">
        <f>[1]发票导入!AI850&amp;""</f>
      </c>
      <c r="AJ850">
        <f>[1]发票导入!AJ850&amp;""</f>
      </c>
      <c r="AK850">
        <f>[1]发票导入!AK850</f>
        <v>0</v>
      </c>
      <c r="AL850">
        <f>[1]发票导入!AL850</f>
        <v>0</v>
      </c>
      <c r="AM850">
        <f>[1]发票导入!AM850</f>
        <v>0</v>
      </c>
      <c r="AN850" s="22">
        <f t="shared" si="1"/>
        <v>0</v>
      </c>
      <c r="AO850" s="22">
        <f t="shared" si="2"/>
        <v>0</v>
      </c>
    </row>
    <row r="851">
      <c r="C851">
        <f>[1]发票导入!C851&amp;""</f>
      </c>
      <c r="D851">
        <f>[1]发票导入!D851&amp;""</f>
      </c>
      <c r="O851">
        <f>[1]发票导入!O851&amp;""</f>
      </c>
      <c r="T851">
        <f>[1]发票导入!T851</f>
      </c>
      <c r="U851">
        <f>[1]发票导入!U851&amp;""</f>
      </c>
      <c r="V851">
        <f>[1]发票导入!V851&amp;""</f>
      </c>
      <c r="W851">
        <f>[1]发票导入!W851&amp;""</f>
      </c>
      <c r="Y851">
        <f>[1]发票导入!Y851&amp;""</f>
      </c>
      <c r="AA851">
        <f>[1]发票导入!AA851&amp;""</f>
      </c>
      <c r="AB851">
        <f>[1]发票导入!AB851</f>
        <v>0</v>
      </c>
      <c r="AC851">
        <f>[1]发票导入!AC851</f>
        <v>0</v>
      </c>
      <c r="AE851" s="22">
        <f t="shared" si="0"/>
      </c>
      <c r="AI851">
        <f>[1]发票导入!AI851&amp;""</f>
      </c>
      <c r="AJ851">
        <f>[1]发票导入!AJ851&amp;""</f>
      </c>
      <c r="AK851">
        <f>[1]发票导入!AK851</f>
        <v>0</v>
      </c>
      <c r="AL851">
        <f>[1]发票导入!AL851</f>
        <v>0</v>
      </c>
      <c r="AM851">
        <f>[1]发票导入!AM851</f>
        <v>0</v>
      </c>
      <c r="AN851" s="22">
        <f t="shared" si="1"/>
        <v>0</v>
      </c>
      <c r="AO851" s="22">
        <f t="shared" si="2"/>
        <v>0</v>
      </c>
    </row>
    <row r="852">
      <c r="C852">
        <f>[1]发票导入!C852&amp;""</f>
      </c>
      <c r="D852">
        <f>[1]发票导入!D852&amp;""</f>
      </c>
      <c r="O852">
        <f>[1]发票导入!O852&amp;""</f>
      </c>
      <c r="T852">
        <f>[1]发票导入!T852</f>
      </c>
      <c r="U852">
        <f>[1]发票导入!U852&amp;""</f>
      </c>
      <c r="V852">
        <f>[1]发票导入!V852&amp;""</f>
      </c>
      <c r="W852">
        <f>[1]发票导入!W852&amp;""</f>
      </c>
      <c r="Y852">
        <f>[1]发票导入!Y852&amp;""</f>
      </c>
      <c r="AA852">
        <f>[1]发票导入!AA852&amp;""</f>
      </c>
      <c r="AB852">
        <f>[1]发票导入!AB852</f>
        <v>0</v>
      </c>
      <c r="AC852">
        <f>[1]发票导入!AC852</f>
        <v>0</v>
      </c>
      <c r="AE852" s="22">
        <f t="shared" si="0"/>
      </c>
      <c r="AI852">
        <f>[1]发票导入!AI852&amp;""</f>
      </c>
      <c r="AJ852">
        <f>[1]发票导入!AJ852&amp;""</f>
      </c>
      <c r="AK852">
        <f>[1]发票导入!AK852</f>
        <v>0</v>
      </c>
      <c r="AL852">
        <f>[1]发票导入!AL852</f>
        <v>0</v>
      </c>
      <c r="AM852">
        <f>[1]发票导入!AM852</f>
        <v>0</v>
      </c>
      <c r="AN852" s="22">
        <f t="shared" si="1"/>
        <v>0</v>
      </c>
      <c r="AO852" s="22">
        <f t="shared" si="2"/>
        <v>0</v>
      </c>
    </row>
    <row r="853">
      <c r="C853">
        <f>[1]发票导入!C853&amp;""</f>
      </c>
      <c r="D853">
        <f>[1]发票导入!D853&amp;""</f>
      </c>
      <c r="O853">
        <f>[1]发票导入!O853&amp;""</f>
      </c>
      <c r="T853">
        <f>[1]发票导入!T853</f>
      </c>
      <c r="U853">
        <f>[1]发票导入!U853&amp;""</f>
      </c>
      <c r="V853">
        <f>[1]发票导入!V853&amp;""</f>
      </c>
      <c r="W853">
        <f>[1]发票导入!W853&amp;""</f>
      </c>
      <c r="Y853">
        <f>[1]发票导入!Y853&amp;""</f>
      </c>
      <c r="AA853">
        <f>[1]发票导入!AA853&amp;""</f>
      </c>
      <c r="AB853">
        <f>[1]发票导入!AB853</f>
        <v>0</v>
      </c>
      <c r="AC853">
        <f>[1]发票导入!AC853</f>
        <v>0</v>
      </c>
      <c r="AE853" s="22">
        <f t="shared" si="0"/>
      </c>
      <c r="AI853">
        <f>[1]发票导入!AI853&amp;""</f>
      </c>
      <c r="AJ853">
        <f>[1]发票导入!AJ853&amp;""</f>
      </c>
      <c r="AK853">
        <f>[1]发票导入!AK853</f>
        <v>0</v>
      </c>
      <c r="AL853">
        <f>[1]发票导入!AL853</f>
        <v>0</v>
      </c>
      <c r="AM853">
        <f>[1]发票导入!AM853</f>
        <v>0</v>
      </c>
      <c r="AN853" s="22">
        <f t="shared" si="1"/>
        <v>0</v>
      </c>
      <c r="AO853" s="22">
        <f t="shared" si="2"/>
        <v>0</v>
      </c>
    </row>
    <row r="854">
      <c r="C854">
        <f>[1]发票导入!C854&amp;""</f>
      </c>
      <c r="D854">
        <f>[1]发票导入!D854&amp;""</f>
      </c>
      <c r="O854">
        <f>[1]发票导入!O854&amp;""</f>
      </c>
      <c r="T854">
        <f>[1]发票导入!T854</f>
      </c>
      <c r="U854">
        <f>[1]发票导入!U854&amp;""</f>
      </c>
      <c r="V854">
        <f>[1]发票导入!V854&amp;""</f>
      </c>
      <c r="W854">
        <f>[1]发票导入!W854&amp;""</f>
      </c>
      <c r="Y854">
        <f>[1]发票导入!Y854&amp;""</f>
      </c>
      <c r="AA854">
        <f>[1]发票导入!AA854&amp;""</f>
      </c>
      <c r="AB854">
        <f>[1]发票导入!AB854</f>
        <v>0</v>
      </c>
      <c r="AC854">
        <f>[1]发票导入!AC854</f>
        <v>0</v>
      </c>
      <c r="AE854" s="22">
        <f t="shared" si="0"/>
      </c>
      <c r="AI854">
        <f>[1]发票导入!AI854&amp;""</f>
      </c>
      <c r="AJ854">
        <f>[1]发票导入!AJ854&amp;""</f>
      </c>
      <c r="AK854">
        <f>[1]发票导入!AK854</f>
        <v>0</v>
      </c>
      <c r="AL854">
        <f>[1]发票导入!AL854</f>
        <v>0</v>
      </c>
      <c r="AM854">
        <f>[1]发票导入!AM854</f>
        <v>0</v>
      </c>
      <c r="AN854" s="22">
        <f t="shared" si="1"/>
        <v>0</v>
      </c>
      <c r="AO854" s="22">
        <f t="shared" si="2"/>
        <v>0</v>
      </c>
    </row>
    <row r="855">
      <c r="C855">
        <f>[1]发票导入!C855&amp;""</f>
      </c>
      <c r="D855">
        <f>[1]发票导入!D855&amp;""</f>
      </c>
      <c r="O855">
        <f>[1]发票导入!O855&amp;""</f>
      </c>
      <c r="T855">
        <f>[1]发票导入!T855</f>
      </c>
      <c r="U855">
        <f>[1]发票导入!U855&amp;""</f>
      </c>
      <c r="V855">
        <f>[1]发票导入!V855&amp;""</f>
      </c>
      <c r="W855">
        <f>[1]发票导入!W855&amp;""</f>
      </c>
      <c r="Y855">
        <f>[1]发票导入!Y855&amp;""</f>
      </c>
      <c r="AA855">
        <f>[1]发票导入!AA855&amp;""</f>
      </c>
      <c r="AB855">
        <f>[1]发票导入!AB855</f>
        <v>0</v>
      </c>
      <c r="AC855">
        <f>[1]发票导入!AC855</f>
        <v>0</v>
      </c>
      <c r="AE855" s="22">
        <f t="shared" si="0"/>
      </c>
      <c r="AI855">
        <f>[1]发票导入!AI855&amp;""</f>
      </c>
      <c r="AJ855">
        <f>[1]发票导入!AJ855&amp;""</f>
      </c>
      <c r="AK855">
        <f>[1]发票导入!AK855</f>
        <v>0</v>
      </c>
      <c r="AL855">
        <f>[1]发票导入!AL855</f>
        <v>0</v>
      </c>
      <c r="AM855">
        <f>[1]发票导入!AM855</f>
        <v>0</v>
      </c>
      <c r="AN855" s="22">
        <f t="shared" si="1"/>
        <v>0</v>
      </c>
      <c r="AO855" s="22">
        <f t="shared" si="2"/>
        <v>0</v>
      </c>
    </row>
    <row r="856">
      <c r="C856">
        <f>[1]发票导入!C856&amp;""</f>
      </c>
      <c r="D856">
        <f>[1]发票导入!D856&amp;""</f>
      </c>
      <c r="O856">
        <f>[1]发票导入!O856&amp;""</f>
      </c>
      <c r="T856">
        <f>[1]发票导入!T856</f>
      </c>
      <c r="U856">
        <f>[1]发票导入!U856&amp;""</f>
      </c>
      <c r="V856">
        <f>[1]发票导入!V856&amp;""</f>
      </c>
      <c r="W856">
        <f>[1]发票导入!W856&amp;""</f>
      </c>
      <c r="Y856">
        <f>[1]发票导入!Y856&amp;""</f>
      </c>
      <c r="AA856">
        <f>[1]发票导入!AA856&amp;""</f>
      </c>
      <c r="AB856">
        <f>[1]发票导入!AB856</f>
        <v>0</v>
      </c>
      <c r="AC856">
        <f>[1]发票导入!AC856</f>
        <v>0</v>
      </c>
      <c r="AE856" s="22">
        <f t="shared" si="0"/>
      </c>
      <c r="AI856">
        <f>[1]发票导入!AI856&amp;""</f>
      </c>
      <c r="AJ856">
        <f>[1]发票导入!AJ856&amp;""</f>
      </c>
      <c r="AK856">
        <f>[1]发票导入!AK856</f>
        <v>0</v>
      </c>
      <c r="AL856">
        <f>[1]发票导入!AL856</f>
        <v>0</v>
      </c>
      <c r="AM856">
        <f>[1]发票导入!AM856</f>
        <v>0</v>
      </c>
      <c r="AN856" s="22">
        <f t="shared" si="1"/>
        <v>0</v>
      </c>
      <c r="AO856" s="22">
        <f t="shared" si="2"/>
        <v>0</v>
      </c>
    </row>
    <row r="857">
      <c r="C857">
        <f>[1]发票导入!C857&amp;""</f>
      </c>
      <c r="D857">
        <f>[1]发票导入!D857&amp;""</f>
      </c>
      <c r="O857">
        <f>[1]发票导入!O857&amp;""</f>
      </c>
      <c r="T857">
        <f>[1]发票导入!T857</f>
      </c>
      <c r="U857">
        <f>[1]发票导入!U857&amp;""</f>
      </c>
      <c r="V857">
        <f>[1]发票导入!V857&amp;""</f>
      </c>
      <c r="W857">
        <f>[1]发票导入!W857&amp;""</f>
      </c>
      <c r="Y857">
        <f>[1]发票导入!Y857&amp;""</f>
      </c>
      <c r="AA857">
        <f>[1]发票导入!AA857&amp;""</f>
      </c>
      <c r="AB857">
        <f>[1]发票导入!AB857</f>
        <v>0</v>
      </c>
      <c r="AC857">
        <f>[1]发票导入!AC857</f>
        <v>0</v>
      </c>
      <c r="AE857" s="22">
        <f t="shared" si="0"/>
      </c>
      <c r="AI857">
        <f>[1]发票导入!AI857&amp;""</f>
      </c>
      <c r="AJ857">
        <f>[1]发票导入!AJ857&amp;""</f>
      </c>
      <c r="AK857">
        <f>[1]发票导入!AK857</f>
        <v>0</v>
      </c>
      <c r="AL857">
        <f>[1]发票导入!AL857</f>
        <v>0</v>
      </c>
      <c r="AM857">
        <f>[1]发票导入!AM857</f>
        <v>0</v>
      </c>
      <c r="AN857" s="22">
        <f t="shared" si="1"/>
        <v>0</v>
      </c>
      <c r="AO857" s="22">
        <f t="shared" si="2"/>
        <v>0</v>
      </c>
    </row>
    <row r="858">
      <c r="C858">
        <f>[1]发票导入!C858&amp;""</f>
      </c>
      <c r="D858">
        <f>[1]发票导入!D858&amp;""</f>
      </c>
      <c r="O858">
        <f>[1]发票导入!O858&amp;""</f>
      </c>
      <c r="T858">
        <f>[1]发票导入!T858</f>
      </c>
      <c r="U858">
        <f>[1]发票导入!U858&amp;""</f>
      </c>
      <c r="V858">
        <f>[1]发票导入!V858&amp;""</f>
      </c>
      <c r="W858">
        <f>[1]发票导入!W858&amp;""</f>
      </c>
      <c r="Y858">
        <f>[1]发票导入!Y858&amp;""</f>
      </c>
      <c r="AA858">
        <f>[1]发票导入!AA858&amp;""</f>
      </c>
      <c r="AB858">
        <f>[1]发票导入!AB858</f>
        <v>0</v>
      </c>
      <c r="AC858">
        <f>[1]发票导入!AC858</f>
        <v>0</v>
      </c>
      <c r="AE858" s="22">
        <f t="shared" si="0"/>
      </c>
      <c r="AI858">
        <f>[1]发票导入!AI858&amp;""</f>
      </c>
      <c r="AJ858">
        <f>[1]发票导入!AJ858&amp;""</f>
      </c>
      <c r="AK858">
        <f>[1]发票导入!AK858</f>
        <v>0</v>
      </c>
      <c r="AL858">
        <f>[1]发票导入!AL858</f>
        <v>0</v>
      </c>
      <c r="AM858">
        <f>[1]发票导入!AM858</f>
        <v>0</v>
      </c>
      <c r="AN858" s="22">
        <f t="shared" si="1"/>
        <v>0</v>
      </c>
      <c r="AO858" s="22">
        <f t="shared" si="2"/>
        <v>0</v>
      </c>
    </row>
    <row r="859">
      <c r="C859">
        <f>[1]发票导入!C859&amp;""</f>
      </c>
      <c r="D859">
        <f>[1]发票导入!D859&amp;""</f>
      </c>
      <c r="O859">
        <f>[1]发票导入!O859&amp;""</f>
      </c>
      <c r="T859">
        <f>[1]发票导入!T859</f>
      </c>
      <c r="U859">
        <f>[1]发票导入!U859&amp;""</f>
      </c>
      <c r="V859">
        <f>[1]发票导入!V859&amp;""</f>
      </c>
      <c r="W859">
        <f>[1]发票导入!W859&amp;""</f>
      </c>
      <c r="Y859">
        <f>[1]发票导入!Y859&amp;""</f>
      </c>
      <c r="AA859">
        <f>[1]发票导入!AA859&amp;""</f>
      </c>
      <c r="AB859">
        <f>[1]发票导入!AB859</f>
        <v>0</v>
      </c>
      <c r="AC859">
        <f>[1]发票导入!AC859</f>
        <v>0</v>
      </c>
      <c r="AE859" s="22">
        <f t="shared" si="0"/>
      </c>
      <c r="AI859">
        <f>[1]发票导入!AI859&amp;""</f>
      </c>
      <c r="AJ859">
        <f>[1]发票导入!AJ859&amp;""</f>
      </c>
      <c r="AK859">
        <f>[1]发票导入!AK859</f>
        <v>0</v>
      </c>
      <c r="AL859">
        <f>[1]发票导入!AL859</f>
        <v>0</v>
      </c>
      <c r="AM859">
        <f>[1]发票导入!AM859</f>
        <v>0</v>
      </c>
      <c r="AN859" s="22">
        <f t="shared" si="1"/>
        <v>0</v>
      </c>
      <c r="AO859" s="22">
        <f t="shared" si="2"/>
        <v>0</v>
      </c>
    </row>
    <row r="860">
      <c r="C860">
        <f>[1]发票导入!C860&amp;""</f>
      </c>
      <c r="D860">
        <f>[1]发票导入!D860&amp;""</f>
      </c>
      <c r="O860">
        <f>[1]发票导入!O860&amp;""</f>
      </c>
      <c r="T860">
        <f>[1]发票导入!T860</f>
      </c>
      <c r="U860">
        <f>[1]发票导入!U860&amp;""</f>
      </c>
      <c r="V860">
        <f>[1]发票导入!V860&amp;""</f>
      </c>
      <c r="W860">
        <f>[1]发票导入!W860&amp;""</f>
      </c>
      <c r="Y860">
        <f>[1]发票导入!Y860&amp;""</f>
      </c>
      <c r="AA860">
        <f>[1]发票导入!AA860&amp;""</f>
      </c>
      <c r="AB860">
        <f>[1]发票导入!AB860</f>
        <v>0</v>
      </c>
      <c r="AC860">
        <f>[1]发票导入!AC860</f>
        <v>0</v>
      </c>
      <c r="AE860" s="22">
        <f t="shared" si="0"/>
      </c>
      <c r="AI860">
        <f>[1]发票导入!AI860&amp;""</f>
      </c>
      <c r="AJ860">
        <f>[1]发票导入!AJ860&amp;""</f>
      </c>
      <c r="AK860">
        <f>[1]发票导入!AK860</f>
        <v>0</v>
      </c>
      <c r="AL860">
        <f>[1]发票导入!AL860</f>
        <v>0</v>
      </c>
      <c r="AM860">
        <f>[1]发票导入!AM860</f>
        <v>0</v>
      </c>
      <c r="AN860" s="22">
        <f t="shared" si="1"/>
        <v>0</v>
      </c>
      <c r="AO860" s="22">
        <f t="shared" si="2"/>
        <v>0</v>
      </c>
    </row>
    <row r="861">
      <c r="C861">
        <f>[1]发票导入!C861&amp;""</f>
      </c>
      <c r="D861">
        <f>[1]发票导入!D861&amp;""</f>
      </c>
      <c r="O861">
        <f>[1]发票导入!O861&amp;""</f>
      </c>
      <c r="T861">
        <f>[1]发票导入!T861</f>
      </c>
      <c r="U861">
        <f>[1]发票导入!U861&amp;""</f>
      </c>
      <c r="V861">
        <f>[1]发票导入!V861&amp;""</f>
      </c>
      <c r="W861">
        <f>[1]发票导入!W861&amp;""</f>
      </c>
      <c r="Y861">
        <f>[1]发票导入!Y861&amp;""</f>
      </c>
      <c r="AA861">
        <f>[1]发票导入!AA861&amp;""</f>
      </c>
      <c r="AB861">
        <f>[1]发票导入!AB861</f>
        <v>0</v>
      </c>
      <c r="AC861">
        <f>[1]发票导入!AC861</f>
        <v>0</v>
      </c>
      <c r="AE861" s="22">
        <f t="shared" si="0"/>
      </c>
      <c r="AI861">
        <f>[1]发票导入!AI861&amp;""</f>
      </c>
      <c r="AJ861">
        <f>[1]发票导入!AJ861&amp;""</f>
      </c>
      <c r="AK861">
        <f>[1]发票导入!AK861</f>
        <v>0</v>
      </c>
      <c r="AL861">
        <f>[1]发票导入!AL861</f>
        <v>0</v>
      </c>
      <c r="AM861">
        <f>[1]发票导入!AM861</f>
        <v>0</v>
      </c>
      <c r="AN861" s="22">
        <f t="shared" si="1"/>
        <v>0</v>
      </c>
      <c r="AO861" s="22">
        <f t="shared" si="2"/>
        <v>0</v>
      </c>
    </row>
    <row r="862">
      <c r="C862">
        <f>[1]发票导入!C862&amp;""</f>
      </c>
      <c r="D862">
        <f>[1]发票导入!D862&amp;""</f>
      </c>
      <c r="O862">
        <f>[1]发票导入!O862&amp;""</f>
      </c>
      <c r="T862">
        <f>[1]发票导入!T862</f>
      </c>
      <c r="U862">
        <f>[1]发票导入!U862&amp;""</f>
      </c>
      <c r="V862">
        <f>[1]发票导入!V862&amp;""</f>
      </c>
      <c r="W862">
        <f>[1]发票导入!W862&amp;""</f>
      </c>
      <c r="Y862">
        <f>[1]发票导入!Y862&amp;""</f>
      </c>
      <c r="AA862">
        <f>[1]发票导入!AA862&amp;""</f>
      </c>
      <c r="AB862">
        <f>[1]发票导入!AB862</f>
        <v>0</v>
      </c>
      <c r="AC862">
        <f>[1]发票导入!AC862</f>
        <v>0</v>
      </c>
      <c r="AE862" s="22">
        <f t="shared" si="0"/>
      </c>
      <c r="AI862">
        <f>[1]发票导入!AI862&amp;""</f>
      </c>
      <c r="AJ862">
        <f>[1]发票导入!AJ862&amp;""</f>
      </c>
      <c r="AK862">
        <f>[1]发票导入!AK862</f>
        <v>0</v>
      </c>
      <c r="AL862">
        <f>[1]发票导入!AL862</f>
        <v>0</v>
      </c>
      <c r="AM862">
        <f>[1]发票导入!AM862</f>
        <v>0</v>
      </c>
      <c r="AN862" s="22">
        <f t="shared" si="1"/>
        <v>0</v>
      </c>
      <c r="AO862" s="22">
        <f t="shared" si="2"/>
        <v>0</v>
      </c>
    </row>
    <row r="863">
      <c r="C863">
        <f>[1]发票导入!C863&amp;""</f>
      </c>
      <c r="D863">
        <f>[1]发票导入!D863&amp;""</f>
      </c>
      <c r="O863">
        <f>[1]发票导入!O863&amp;""</f>
      </c>
      <c r="T863">
        <f>[1]发票导入!T863</f>
      </c>
      <c r="U863">
        <f>[1]发票导入!U863&amp;""</f>
      </c>
      <c r="V863">
        <f>[1]发票导入!V863&amp;""</f>
      </c>
      <c r="W863">
        <f>[1]发票导入!W863&amp;""</f>
      </c>
      <c r="Y863">
        <f>[1]发票导入!Y863&amp;""</f>
      </c>
      <c r="AA863">
        <f>[1]发票导入!AA863&amp;""</f>
      </c>
      <c r="AB863">
        <f>[1]发票导入!AB863</f>
        <v>0</v>
      </c>
      <c r="AC863">
        <f>[1]发票导入!AC863</f>
        <v>0</v>
      </c>
      <c r="AE863" s="22">
        <f t="shared" si="0"/>
      </c>
      <c r="AI863">
        <f>[1]发票导入!AI863&amp;""</f>
      </c>
      <c r="AJ863">
        <f>[1]发票导入!AJ863&amp;""</f>
      </c>
      <c r="AK863">
        <f>[1]发票导入!AK863</f>
        <v>0</v>
      </c>
      <c r="AL863">
        <f>[1]发票导入!AL863</f>
        <v>0</v>
      </c>
      <c r="AM863">
        <f>[1]发票导入!AM863</f>
        <v>0</v>
      </c>
      <c r="AN863" s="22">
        <f t="shared" si="1"/>
        <v>0</v>
      </c>
      <c r="AO863" s="22">
        <f t="shared" si="2"/>
        <v>0</v>
      </c>
    </row>
    <row r="864">
      <c r="C864">
        <f>[1]发票导入!C864&amp;""</f>
      </c>
      <c r="D864">
        <f>[1]发票导入!D864&amp;""</f>
      </c>
      <c r="O864">
        <f>[1]发票导入!O864&amp;""</f>
      </c>
      <c r="T864">
        <f>[1]发票导入!T864</f>
      </c>
      <c r="U864">
        <f>[1]发票导入!U864&amp;""</f>
      </c>
      <c r="V864">
        <f>[1]发票导入!V864&amp;""</f>
      </c>
      <c r="W864">
        <f>[1]发票导入!W864&amp;""</f>
      </c>
      <c r="Y864">
        <f>[1]发票导入!Y864&amp;""</f>
      </c>
      <c r="AA864">
        <f>[1]发票导入!AA864&amp;""</f>
      </c>
      <c r="AB864">
        <f>[1]发票导入!AB864</f>
        <v>0</v>
      </c>
      <c r="AC864">
        <f>[1]发票导入!AC864</f>
        <v>0</v>
      </c>
      <c r="AE864" s="22">
        <f t="shared" si="0"/>
      </c>
      <c r="AI864">
        <f>[1]发票导入!AI864&amp;""</f>
      </c>
      <c r="AJ864">
        <f>[1]发票导入!AJ864&amp;""</f>
      </c>
      <c r="AK864">
        <f>[1]发票导入!AK864</f>
        <v>0</v>
      </c>
      <c r="AL864">
        <f>[1]发票导入!AL864</f>
        <v>0</v>
      </c>
      <c r="AM864">
        <f>[1]发票导入!AM864</f>
        <v>0</v>
      </c>
      <c r="AN864" s="22">
        <f t="shared" si="1"/>
        <v>0</v>
      </c>
      <c r="AO864" s="22">
        <f t="shared" si="2"/>
        <v>0</v>
      </c>
    </row>
    <row r="865">
      <c r="C865">
        <f>[1]发票导入!C865&amp;""</f>
      </c>
      <c r="D865">
        <f>[1]发票导入!D865&amp;""</f>
      </c>
      <c r="O865">
        <f>[1]发票导入!O865&amp;""</f>
      </c>
      <c r="T865">
        <f>[1]发票导入!T865</f>
      </c>
      <c r="U865">
        <f>[1]发票导入!U865&amp;""</f>
      </c>
      <c r="V865">
        <f>[1]发票导入!V865&amp;""</f>
      </c>
      <c r="W865">
        <f>[1]发票导入!W865&amp;""</f>
      </c>
      <c r="Y865">
        <f>[1]发票导入!Y865&amp;""</f>
      </c>
      <c r="AA865">
        <f>[1]发票导入!AA865&amp;""</f>
      </c>
      <c r="AB865">
        <f>[1]发票导入!AB865</f>
        <v>0</v>
      </c>
      <c r="AC865">
        <f>[1]发票导入!AC865</f>
        <v>0</v>
      </c>
      <c r="AE865" s="22">
        <f t="shared" si="0"/>
      </c>
      <c r="AI865">
        <f>[1]发票导入!AI865&amp;""</f>
      </c>
      <c r="AJ865">
        <f>[1]发票导入!AJ865&amp;""</f>
      </c>
      <c r="AK865">
        <f>[1]发票导入!AK865</f>
        <v>0</v>
      </c>
      <c r="AL865">
        <f>[1]发票导入!AL865</f>
        <v>0</v>
      </c>
      <c r="AM865">
        <f>[1]发票导入!AM865</f>
        <v>0</v>
      </c>
      <c r="AN865" s="22">
        <f t="shared" si="1"/>
        <v>0</v>
      </c>
      <c r="AO865" s="22">
        <f t="shared" si="2"/>
        <v>0</v>
      </c>
    </row>
    <row r="866">
      <c r="C866">
        <f>[1]发票导入!C866&amp;""</f>
      </c>
      <c r="D866">
        <f>[1]发票导入!D866&amp;""</f>
      </c>
      <c r="O866">
        <f>[1]发票导入!O866&amp;""</f>
      </c>
      <c r="T866">
        <f>[1]发票导入!T866</f>
      </c>
      <c r="U866">
        <f>[1]发票导入!U866&amp;""</f>
      </c>
      <c r="V866">
        <f>[1]发票导入!V866&amp;""</f>
      </c>
      <c r="W866">
        <f>[1]发票导入!W866&amp;""</f>
      </c>
      <c r="Y866">
        <f>[1]发票导入!Y866&amp;""</f>
      </c>
      <c r="AA866">
        <f>[1]发票导入!AA866&amp;""</f>
      </c>
      <c r="AB866">
        <f>[1]发票导入!AB866</f>
        <v>0</v>
      </c>
      <c r="AC866">
        <f>[1]发票导入!AC866</f>
        <v>0</v>
      </c>
      <c r="AE866" s="22">
        <f t="shared" si="0"/>
      </c>
      <c r="AI866">
        <f>[1]发票导入!AI866&amp;""</f>
      </c>
      <c r="AJ866">
        <f>[1]发票导入!AJ866&amp;""</f>
      </c>
      <c r="AK866">
        <f>[1]发票导入!AK866</f>
        <v>0</v>
      </c>
      <c r="AL866">
        <f>[1]发票导入!AL866</f>
        <v>0</v>
      </c>
      <c r="AM866">
        <f>[1]发票导入!AM866</f>
        <v>0</v>
      </c>
      <c r="AN866" s="22">
        <f t="shared" si="1"/>
        <v>0</v>
      </c>
      <c r="AO866" s="22">
        <f t="shared" si="2"/>
        <v>0</v>
      </c>
    </row>
    <row r="867">
      <c r="C867">
        <f>[1]发票导入!C867&amp;""</f>
      </c>
      <c r="D867">
        <f>[1]发票导入!D867&amp;""</f>
      </c>
      <c r="O867">
        <f>[1]发票导入!O867&amp;""</f>
      </c>
      <c r="T867">
        <f>[1]发票导入!T867</f>
      </c>
      <c r="U867">
        <f>[1]发票导入!U867&amp;""</f>
      </c>
      <c r="V867">
        <f>[1]发票导入!V867&amp;""</f>
      </c>
      <c r="W867">
        <f>[1]发票导入!W867&amp;""</f>
      </c>
      <c r="Y867">
        <f>[1]发票导入!Y867&amp;""</f>
      </c>
      <c r="AA867">
        <f>[1]发票导入!AA867&amp;""</f>
      </c>
      <c r="AB867">
        <f>[1]发票导入!AB867</f>
        <v>0</v>
      </c>
      <c r="AC867">
        <f>[1]发票导入!AC867</f>
        <v>0</v>
      </c>
      <c r="AE867" s="22">
        <f t="shared" si="0"/>
      </c>
      <c r="AI867">
        <f>[1]发票导入!AI867&amp;""</f>
      </c>
      <c r="AJ867">
        <f>[1]发票导入!AJ867&amp;""</f>
      </c>
      <c r="AK867">
        <f>[1]发票导入!AK867</f>
        <v>0</v>
      </c>
      <c r="AL867">
        <f>[1]发票导入!AL867</f>
        <v>0</v>
      </c>
      <c r="AM867">
        <f>[1]发票导入!AM867</f>
        <v>0</v>
      </c>
      <c r="AN867" s="22">
        <f t="shared" si="1"/>
        <v>0</v>
      </c>
      <c r="AO867" s="22">
        <f t="shared" si="2"/>
        <v>0</v>
      </c>
    </row>
    <row r="868">
      <c r="C868">
        <f>[1]发票导入!C868&amp;""</f>
      </c>
      <c r="D868">
        <f>[1]发票导入!D868&amp;""</f>
      </c>
      <c r="O868">
        <f>[1]发票导入!O868&amp;""</f>
      </c>
      <c r="T868">
        <f>[1]发票导入!T868</f>
      </c>
      <c r="U868">
        <f>[1]发票导入!U868&amp;""</f>
      </c>
      <c r="V868">
        <f>[1]发票导入!V868&amp;""</f>
      </c>
      <c r="W868">
        <f>[1]发票导入!W868&amp;""</f>
      </c>
      <c r="Y868">
        <f>[1]发票导入!Y868&amp;""</f>
      </c>
      <c r="AA868">
        <f>[1]发票导入!AA868&amp;""</f>
      </c>
      <c r="AB868">
        <f>[1]发票导入!AB868</f>
        <v>0</v>
      </c>
      <c r="AC868">
        <f>[1]发票导入!AC868</f>
        <v>0</v>
      </c>
      <c r="AE868" s="22">
        <f t="shared" si="0"/>
      </c>
      <c r="AI868">
        <f>[1]发票导入!AI868&amp;""</f>
      </c>
      <c r="AJ868">
        <f>[1]发票导入!AJ868&amp;""</f>
      </c>
      <c r="AK868">
        <f>[1]发票导入!AK868</f>
        <v>0</v>
      </c>
      <c r="AL868">
        <f>[1]发票导入!AL868</f>
        <v>0</v>
      </c>
      <c r="AM868">
        <f>[1]发票导入!AM868</f>
        <v>0</v>
      </c>
      <c r="AN868" s="22">
        <f t="shared" si="1"/>
        <v>0</v>
      </c>
      <c r="AO868" s="22">
        <f t="shared" si="2"/>
        <v>0</v>
      </c>
    </row>
    <row r="869">
      <c r="C869">
        <f>[1]发票导入!C869&amp;""</f>
      </c>
      <c r="D869">
        <f>[1]发票导入!D869&amp;""</f>
      </c>
      <c r="O869">
        <f>[1]发票导入!O869&amp;""</f>
      </c>
      <c r="T869">
        <f>[1]发票导入!T869</f>
      </c>
      <c r="U869">
        <f>[1]发票导入!U869&amp;""</f>
      </c>
      <c r="V869">
        <f>[1]发票导入!V869&amp;""</f>
      </c>
      <c r="W869">
        <f>[1]发票导入!W869&amp;""</f>
      </c>
      <c r="Y869">
        <f>[1]发票导入!Y869&amp;""</f>
      </c>
      <c r="AA869">
        <f>[1]发票导入!AA869&amp;""</f>
      </c>
      <c r="AB869">
        <f>[1]发票导入!AB869</f>
        <v>0</v>
      </c>
      <c r="AC869">
        <f>[1]发票导入!AC869</f>
        <v>0</v>
      </c>
      <c r="AE869" s="22">
        <f t="shared" si="0"/>
      </c>
      <c r="AI869">
        <f>[1]发票导入!AI869&amp;""</f>
      </c>
      <c r="AJ869">
        <f>[1]发票导入!AJ869&amp;""</f>
      </c>
      <c r="AK869">
        <f>[1]发票导入!AK869</f>
        <v>0</v>
      </c>
      <c r="AL869">
        <f>[1]发票导入!AL869</f>
        <v>0</v>
      </c>
      <c r="AM869">
        <f>[1]发票导入!AM869</f>
        <v>0</v>
      </c>
      <c r="AN869" s="22">
        <f t="shared" si="1"/>
        <v>0</v>
      </c>
      <c r="AO869" s="22">
        <f t="shared" si="2"/>
        <v>0</v>
      </c>
    </row>
    <row r="870">
      <c r="C870">
        <f>[1]发票导入!C870&amp;""</f>
      </c>
      <c r="D870">
        <f>[1]发票导入!D870&amp;""</f>
      </c>
      <c r="O870">
        <f>[1]发票导入!O870&amp;""</f>
      </c>
      <c r="T870">
        <f>[1]发票导入!T870</f>
      </c>
      <c r="U870">
        <f>[1]发票导入!U870&amp;""</f>
      </c>
      <c r="V870">
        <f>[1]发票导入!V870&amp;""</f>
      </c>
      <c r="W870">
        <f>[1]发票导入!W870&amp;""</f>
      </c>
      <c r="Y870">
        <f>[1]发票导入!Y870&amp;""</f>
      </c>
      <c r="AA870">
        <f>[1]发票导入!AA870&amp;""</f>
      </c>
      <c r="AB870">
        <f>[1]发票导入!AB870</f>
        <v>0</v>
      </c>
      <c r="AC870">
        <f>[1]发票导入!AC870</f>
        <v>0</v>
      </c>
      <c r="AE870" s="22">
        <f t="shared" si="0"/>
      </c>
      <c r="AI870">
        <f>[1]发票导入!AI870&amp;""</f>
      </c>
      <c r="AJ870">
        <f>[1]发票导入!AJ870&amp;""</f>
      </c>
      <c r="AK870">
        <f>[1]发票导入!AK870</f>
        <v>0</v>
      </c>
      <c r="AL870">
        <f>[1]发票导入!AL870</f>
        <v>0</v>
      </c>
      <c r="AM870">
        <f>[1]发票导入!AM870</f>
        <v>0</v>
      </c>
      <c r="AN870" s="22">
        <f t="shared" si="1"/>
        <v>0</v>
      </c>
      <c r="AO870" s="22">
        <f t="shared" si="2"/>
        <v>0</v>
      </c>
    </row>
    <row r="871">
      <c r="C871">
        <f>[1]发票导入!C871&amp;""</f>
      </c>
      <c r="D871">
        <f>[1]发票导入!D871&amp;""</f>
      </c>
      <c r="O871">
        <f>[1]发票导入!O871&amp;""</f>
      </c>
      <c r="T871">
        <f>[1]发票导入!T871</f>
      </c>
      <c r="U871">
        <f>[1]发票导入!U871&amp;""</f>
      </c>
      <c r="V871">
        <f>[1]发票导入!V871&amp;""</f>
      </c>
      <c r="W871">
        <f>[1]发票导入!W871&amp;""</f>
      </c>
      <c r="Y871">
        <f>[1]发票导入!Y871&amp;""</f>
      </c>
      <c r="AA871">
        <f>[1]发票导入!AA871&amp;""</f>
      </c>
      <c r="AB871">
        <f>[1]发票导入!AB871</f>
        <v>0</v>
      </c>
      <c r="AC871">
        <f>[1]发票导入!AC871</f>
        <v>0</v>
      </c>
      <c r="AE871" s="22">
        <f t="shared" si="0"/>
      </c>
      <c r="AI871">
        <f>[1]发票导入!AI871&amp;""</f>
      </c>
      <c r="AJ871">
        <f>[1]发票导入!AJ871&amp;""</f>
      </c>
      <c r="AK871">
        <f>[1]发票导入!AK871</f>
        <v>0</v>
      </c>
      <c r="AL871">
        <f>[1]发票导入!AL871</f>
        <v>0</v>
      </c>
      <c r="AM871">
        <f>[1]发票导入!AM871</f>
        <v>0</v>
      </c>
      <c r="AN871" s="22">
        <f t="shared" si="1"/>
        <v>0</v>
      </c>
      <c r="AO871" s="22">
        <f t="shared" si="2"/>
        <v>0</v>
      </c>
    </row>
    <row r="872">
      <c r="C872">
        <f>[1]发票导入!C872&amp;""</f>
      </c>
      <c r="D872">
        <f>[1]发票导入!D872&amp;""</f>
      </c>
      <c r="O872">
        <f>[1]发票导入!O872&amp;""</f>
      </c>
      <c r="T872">
        <f>[1]发票导入!T872</f>
      </c>
      <c r="U872">
        <f>[1]发票导入!U872&amp;""</f>
      </c>
      <c r="V872">
        <f>[1]发票导入!V872&amp;""</f>
      </c>
      <c r="W872">
        <f>[1]发票导入!W872&amp;""</f>
      </c>
      <c r="Y872">
        <f>[1]发票导入!Y872&amp;""</f>
      </c>
      <c r="AA872">
        <f>[1]发票导入!AA872&amp;""</f>
      </c>
      <c r="AB872">
        <f>[1]发票导入!AB872</f>
        <v>0</v>
      </c>
      <c r="AC872">
        <f>[1]发票导入!AC872</f>
        <v>0</v>
      </c>
      <c r="AE872" s="22">
        <f t="shared" si="0"/>
      </c>
      <c r="AI872">
        <f>[1]发票导入!AI872&amp;""</f>
      </c>
      <c r="AJ872">
        <f>[1]发票导入!AJ872&amp;""</f>
      </c>
      <c r="AK872">
        <f>[1]发票导入!AK872</f>
        <v>0</v>
      </c>
      <c r="AL872">
        <f>[1]发票导入!AL872</f>
        <v>0</v>
      </c>
      <c r="AM872">
        <f>[1]发票导入!AM872</f>
        <v>0</v>
      </c>
      <c r="AN872" s="22">
        <f t="shared" si="1"/>
        <v>0</v>
      </c>
      <c r="AO872" s="22">
        <f t="shared" si="2"/>
        <v>0</v>
      </c>
    </row>
    <row r="873">
      <c r="C873">
        <f>[1]发票导入!C873&amp;""</f>
      </c>
      <c r="D873">
        <f>[1]发票导入!D873&amp;""</f>
      </c>
      <c r="O873">
        <f>[1]发票导入!O873&amp;""</f>
      </c>
      <c r="T873">
        <f>[1]发票导入!T873</f>
      </c>
      <c r="U873">
        <f>[1]发票导入!U873&amp;""</f>
      </c>
      <c r="V873">
        <f>[1]发票导入!V873&amp;""</f>
      </c>
      <c r="W873">
        <f>[1]发票导入!W873&amp;""</f>
      </c>
      <c r="Y873">
        <f>[1]发票导入!Y873&amp;""</f>
      </c>
      <c r="AA873">
        <f>[1]发票导入!AA873&amp;""</f>
      </c>
      <c r="AB873">
        <f>[1]发票导入!AB873</f>
        <v>0</v>
      </c>
      <c r="AC873">
        <f>[1]发票导入!AC873</f>
        <v>0</v>
      </c>
      <c r="AE873" s="22">
        <f t="shared" si="0"/>
      </c>
      <c r="AI873">
        <f>[1]发票导入!AI873&amp;""</f>
      </c>
      <c r="AJ873">
        <f>[1]发票导入!AJ873&amp;""</f>
      </c>
      <c r="AK873">
        <f>[1]发票导入!AK873</f>
        <v>0</v>
      </c>
      <c r="AL873">
        <f>[1]发票导入!AL873</f>
        <v>0</v>
      </c>
      <c r="AM873">
        <f>[1]发票导入!AM873</f>
        <v>0</v>
      </c>
      <c r="AN873" s="22">
        <f t="shared" si="1"/>
        <v>0</v>
      </c>
      <c r="AO873" s="22">
        <f t="shared" si="2"/>
        <v>0</v>
      </c>
    </row>
    <row r="874">
      <c r="C874">
        <f>[1]发票导入!C874&amp;""</f>
      </c>
      <c r="D874">
        <f>[1]发票导入!D874&amp;""</f>
      </c>
      <c r="O874">
        <f>[1]发票导入!O874&amp;""</f>
      </c>
      <c r="T874">
        <f>[1]发票导入!T874</f>
      </c>
      <c r="U874">
        <f>[1]发票导入!U874&amp;""</f>
      </c>
      <c r="V874">
        <f>[1]发票导入!V874&amp;""</f>
      </c>
      <c r="W874">
        <f>[1]发票导入!W874&amp;""</f>
      </c>
      <c r="Y874">
        <f>[1]发票导入!Y874&amp;""</f>
      </c>
      <c r="AA874">
        <f>[1]发票导入!AA874&amp;""</f>
      </c>
      <c r="AB874">
        <f>[1]发票导入!AB874</f>
        <v>0</v>
      </c>
      <c r="AC874">
        <f>[1]发票导入!AC874</f>
        <v>0</v>
      </c>
      <c r="AE874" s="22">
        <f t="shared" si="0"/>
      </c>
      <c r="AI874">
        <f>[1]发票导入!AI874&amp;""</f>
      </c>
      <c r="AJ874">
        <f>[1]发票导入!AJ874&amp;""</f>
      </c>
      <c r="AK874">
        <f>[1]发票导入!AK874</f>
        <v>0</v>
      </c>
      <c r="AL874">
        <f>[1]发票导入!AL874</f>
        <v>0</v>
      </c>
      <c r="AM874">
        <f>[1]发票导入!AM874</f>
        <v>0</v>
      </c>
      <c r="AN874" s="22">
        <f t="shared" si="1"/>
        <v>0</v>
      </c>
      <c r="AO874" s="22">
        <f t="shared" si="2"/>
        <v>0</v>
      </c>
    </row>
    <row r="875">
      <c r="C875">
        <f>[1]发票导入!C875&amp;""</f>
      </c>
      <c r="D875">
        <f>[1]发票导入!D875&amp;""</f>
      </c>
      <c r="O875">
        <f>[1]发票导入!O875&amp;""</f>
      </c>
      <c r="T875">
        <f>[1]发票导入!T875</f>
      </c>
      <c r="U875">
        <f>[1]发票导入!U875&amp;""</f>
      </c>
      <c r="V875">
        <f>[1]发票导入!V875&amp;""</f>
      </c>
      <c r="W875">
        <f>[1]发票导入!W875&amp;""</f>
      </c>
      <c r="Y875">
        <f>[1]发票导入!Y875&amp;""</f>
      </c>
      <c r="AA875">
        <f>[1]发票导入!AA875&amp;""</f>
      </c>
      <c r="AB875">
        <f>[1]发票导入!AB875</f>
        <v>0</v>
      </c>
      <c r="AC875">
        <f>[1]发票导入!AC875</f>
        <v>0</v>
      </c>
      <c r="AE875" s="22">
        <f t="shared" si="0"/>
      </c>
      <c r="AI875">
        <f>[1]发票导入!AI875&amp;""</f>
      </c>
      <c r="AJ875">
        <f>[1]发票导入!AJ875&amp;""</f>
      </c>
      <c r="AK875">
        <f>[1]发票导入!AK875</f>
        <v>0</v>
      </c>
      <c r="AL875">
        <f>[1]发票导入!AL875</f>
        <v>0</v>
      </c>
      <c r="AM875">
        <f>[1]发票导入!AM875</f>
        <v>0</v>
      </c>
      <c r="AN875" s="22">
        <f t="shared" si="1"/>
        <v>0</v>
      </c>
      <c r="AO875" s="22">
        <f t="shared" si="2"/>
        <v>0</v>
      </c>
    </row>
    <row r="876">
      <c r="C876">
        <f>[1]发票导入!C876&amp;""</f>
      </c>
      <c r="D876">
        <f>[1]发票导入!D876&amp;""</f>
      </c>
      <c r="O876">
        <f>[1]发票导入!O876&amp;""</f>
      </c>
      <c r="T876">
        <f>[1]发票导入!T876</f>
      </c>
      <c r="U876">
        <f>[1]发票导入!U876&amp;""</f>
      </c>
      <c r="V876">
        <f>[1]发票导入!V876&amp;""</f>
      </c>
      <c r="W876">
        <f>[1]发票导入!W876&amp;""</f>
      </c>
      <c r="Y876">
        <f>[1]发票导入!Y876&amp;""</f>
      </c>
      <c r="AA876">
        <f>[1]发票导入!AA876&amp;""</f>
      </c>
      <c r="AB876">
        <f>[1]发票导入!AB876</f>
        <v>0</v>
      </c>
      <c r="AC876">
        <f>[1]发票导入!AC876</f>
        <v>0</v>
      </c>
      <c r="AE876" s="22">
        <f t="shared" si="0"/>
      </c>
      <c r="AI876">
        <f>[1]发票导入!AI876&amp;""</f>
      </c>
      <c r="AJ876">
        <f>[1]发票导入!AJ876&amp;""</f>
      </c>
      <c r="AK876">
        <f>[1]发票导入!AK876</f>
        <v>0</v>
      </c>
      <c r="AL876">
        <f>[1]发票导入!AL876</f>
        <v>0</v>
      </c>
      <c r="AM876">
        <f>[1]发票导入!AM876</f>
        <v>0</v>
      </c>
      <c r="AN876" s="22">
        <f t="shared" si="1"/>
        <v>0</v>
      </c>
      <c r="AO876" s="22">
        <f t="shared" si="2"/>
        <v>0</v>
      </c>
    </row>
    <row r="877">
      <c r="C877">
        <f>[1]发票导入!C877&amp;""</f>
      </c>
      <c r="D877">
        <f>[1]发票导入!D877&amp;""</f>
      </c>
      <c r="O877">
        <f>[1]发票导入!O877&amp;""</f>
      </c>
      <c r="T877">
        <f>[1]发票导入!T877</f>
      </c>
      <c r="U877">
        <f>[1]发票导入!U877&amp;""</f>
      </c>
      <c r="V877">
        <f>[1]发票导入!V877&amp;""</f>
      </c>
      <c r="W877">
        <f>[1]发票导入!W877&amp;""</f>
      </c>
      <c r="Y877">
        <f>[1]发票导入!Y877&amp;""</f>
      </c>
      <c r="AA877">
        <f>[1]发票导入!AA877&amp;""</f>
      </c>
      <c r="AB877">
        <f>[1]发票导入!AB877</f>
        <v>0</v>
      </c>
      <c r="AC877">
        <f>[1]发票导入!AC877</f>
        <v>0</v>
      </c>
      <c r="AE877" s="22">
        <f t="shared" si="0"/>
      </c>
      <c r="AI877">
        <f>[1]发票导入!AI877&amp;""</f>
      </c>
      <c r="AJ877">
        <f>[1]发票导入!AJ877&amp;""</f>
      </c>
      <c r="AK877">
        <f>[1]发票导入!AK877</f>
        <v>0</v>
      </c>
      <c r="AL877">
        <f>[1]发票导入!AL877</f>
        <v>0</v>
      </c>
      <c r="AM877">
        <f>[1]发票导入!AM877</f>
        <v>0</v>
      </c>
      <c r="AN877" s="22">
        <f t="shared" si="1"/>
        <v>0</v>
      </c>
      <c r="AO877" s="22">
        <f t="shared" si="2"/>
        <v>0</v>
      </c>
    </row>
    <row r="878">
      <c r="C878">
        <f>[1]发票导入!C878&amp;""</f>
      </c>
      <c r="D878">
        <f>[1]发票导入!D878&amp;""</f>
      </c>
      <c r="O878">
        <f>[1]发票导入!O878&amp;""</f>
      </c>
      <c r="T878">
        <f>[1]发票导入!T878</f>
      </c>
      <c r="U878">
        <f>[1]发票导入!U878&amp;""</f>
      </c>
      <c r="V878">
        <f>[1]发票导入!V878&amp;""</f>
      </c>
      <c r="W878">
        <f>[1]发票导入!W878&amp;""</f>
      </c>
      <c r="Y878">
        <f>[1]发票导入!Y878&amp;""</f>
      </c>
      <c r="AA878">
        <f>[1]发票导入!AA878&amp;""</f>
      </c>
      <c r="AB878">
        <f>[1]发票导入!AB878</f>
        <v>0</v>
      </c>
      <c r="AC878">
        <f>[1]发票导入!AC878</f>
        <v>0</v>
      </c>
      <c r="AE878" s="22">
        <f t="shared" si="0"/>
      </c>
      <c r="AI878">
        <f>[1]发票导入!AI878&amp;""</f>
      </c>
      <c r="AJ878">
        <f>[1]发票导入!AJ878&amp;""</f>
      </c>
      <c r="AK878">
        <f>[1]发票导入!AK878</f>
        <v>0</v>
      </c>
      <c r="AL878">
        <f>[1]发票导入!AL878</f>
        <v>0</v>
      </c>
      <c r="AM878">
        <f>[1]发票导入!AM878</f>
        <v>0</v>
      </c>
      <c r="AN878" s="22">
        <f t="shared" si="1"/>
        <v>0</v>
      </c>
      <c r="AO878" s="22">
        <f t="shared" si="2"/>
        <v>0</v>
      </c>
    </row>
    <row r="879">
      <c r="C879">
        <f>[1]发票导入!C879&amp;""</f>
      </c>
      <c r="D879">
        <f>[1]发票导入!D879&amp;""</f>
      </c>
      <c r="O879">
        <f>[1]发票导入!O879&amp;""</f>
      </c>
      <c r="T879">
        <f>[1]发票导入!T879</f>
      </c>
      <c r="U879">
        <f>[1]发票导入!U879&amp;""</f>
      </c>
      <c r="V879">
        <f>[1]发票导入!V879&amp;""</f>
      </c>
      <c r="W879">
        <f>[1]发票导入!W879&amp;""</f>
      </c>
      <c r="Y879">
        <f>[1]发票导入!Y879&amp;""</f>
      </c>
      <c r="AA879">
        <f>[1]发票导入!AA879&amp;""</f>
      </c>
      <c r="AB879">
        <f>[1]发票导入!AB879</f>
        <v>0</v>
      </c>
      <c r="AC879">
        <f>[1]发票导入!AC879</f>
        <v>0</v>
      </c>
      <c r="AE879" s="22">
        <f t="shared" si="0"/>
      </c>
      <c r="AI879">
        <f>[1]发票导入!AI879&amp;""</f>
      </c>
      <c r="AJ879">
        <f>[1]发票导入!AJ879&amp;""</f>
      </c>
      <c r="AK879">
        <f>[1]发票导入!AK879</f>
        <v>0</v>
      </c>
      <c r="AL879">
        <f>[1]发票导入!AL879</f>
        <v>0</v>
      </c>
      <c r="AM879">
        <f>[1]发票导入!AM879</f>
        <v>0</v>
      </c>
      <c r="AN879" s="22">
        <f t="shared" si="1"/>
        <v>0</v>
      </c>
      <c r="AO879" s="22">
        <f t="shared" si="2"/>
        <v>0</v>
      </c>
    </row>
    <row r="880">
      <c r="C880">
        <f>[1]发票导入!C880&amp;""</f>
      </c>
      <c r="D880">
        <f>[1]发票导入!D880&amp;""</f>
      </c>
      <c r="O880">
        <f>[1]发票导入!O880&amp;""</f>
      </c>
      <c r="T880">
        <f>[1]发票导入!T880</f>
      </c>
      <c r="U880">
        <f>[1]发票导入!U880&amp;""</f>
      </c>
      <c r="V880">
        <f>[1]发票导入!V880&amp;""</f>
      </c>
      <c r="W880">
        <f>[1]发票导入!W880&amp;""</f>
      </c>
      <c r="Y880">
        <f>[1]发票导入!Y880&amp;""</f>
      </c>
      <c r="AA880">
        <f>[1]发票导入!AA880&amp;""</f>
      </c>
      <c r="AB880">
        <f>[1]发票导入!AB880</f>
        <v>0</v>
      </c>
      <c r="AC880">
        <f>[1]发票导入!AC880</f>
        <v>0</v>
      </c>
      <c r="AE880" s="22">
        <f t="shared" si="0"/>
      </c>
      <c r="AI880">
        <f>[1]发票导入!AI880&amp;""</f>
      </c>
      <c r="AJ880">
        <f>[1]发票导入!AJ880&amp;""</f>
      </c>
      <c r="AK880">
        <f>[1]发票导入!AK880</f>
        <v>0</v>
      </c>
      <c r="AL880">
        <f>[1]发票导入!AL880</f>
        <v>0</v>
      </c>
      <c r="AM880">
        <f>[1]发票导入!AM880</f>
        <v>0</v>
      </c>
      <c r="AN880" s="22">
        <f t="shared" si="1"/>
        <v>0</v>
      </c>
      <c r="AO880" s="22">
        <f t="shared" si="2"/>
        <v>0</v>
      </c>
    </row>
    <row r="881">
      <c r="C881">
        <f>[1]发票导入!C881&amp;""</f>
      </c>
      <c r="D881">
        <f>[1]发票导入!D881&amp;""</f>
      </c>
      <c r="O881">
        <f>[1]发票导入!O881&amp;""</f>
      </c>
      <c r="T881">
        <f>[1]发票导入!T881</f>
      </c>
      <c r="U881">
        <f>[1]发票导入!U881&amp;""</f>
      </c>
      <c r="V881">
        <f>[1]发票导入!V881&amp;""</f>
      </c>
      <c r="W881">
        <f>[1]发票导入!W881&amp;""</f>
      </c>
      <c r="Y881">
        <f>[1]发票导入!Y881&amp;""</f>
      </c>
      <c r="AA881">
        <f>[1]发票导入!AA881&amp;""</f>
      </c>
      <c r="AB881">
        <f>[1]发票导入!AB881</f>
        <v>0</v>
      </c>
      <c r="AC881">
        <f>[1]发票导入!AC881</f>
        <v>0</v>
      </c>
      <c r="AE881" s="22">
        <f t="shared" si="0"/>
      </c>
      <c r="AI881">
        <f>[1]发票导入!AI881&amp;""</f>
      </c>
      <c r="AJ881">
        <f>[1]发票导入!AJ881&amp;""</f>
      </c>
      <c r="AK881">
        <f>[1]发票导入!AK881</f>
        <v>0</v>
      </c>
      <c r="AL881">
        <f>[1]发票导入!AL881</f>
        <v>0</v>
      </c>
      <c r="AM881">
        <f>[1]发票导入!AM881</f>
        <v>0</v>
      </c>
      <c r="AN881" s="22">
        <f t="shared" si="1"/>
        <v>0</v>
      </c>
      <c r="AO881" s="22">
        <f t="shared" si="2"/>
        <v>0</v>
      </c>
    </row>
    <row r="882">
      <c r="C882">
        <f>[1]发票导入!C882&amp;""</f>
      </c>
      <c r="D882">
        <f>[1]发票导入!D882&amp;""</f>
      </c>
      <c r="O882">
        <f>[1]发票导入!O882&amp;""</f>
      </c>
      <c r="T882">
        <f>[1]发票导入!T882</f>
      </c>
      <c r="U882">
        <f>[1]发票导入!U882&amp;""</f>
      </c>
      <c r="V882">
        <f>[1]发票导入!V882&amp;""</f>
      </c>
      <c r="W882">
        <f>[1]发票导入!W882&amp;""</f>
      </c>
      <c r="Y882">
        <f>[1]发票导入!Y882&amp;""</f>
      </c>
      <c r="AA882">
        <f>[1]发票导入!AA882&amp;""</f>
      </c>
      <c r="AB882">
        <f>[1]发票导入!AB882</f>
        <v>0</v>
      </c>
      <c r="AC882">
        <f>[1]发票导入!AC882</f>
        <v>0</v>
      </c>
      <c r="AE882" s="22">
        <f t="shared" si="0"/>
      </c>
      <c r="AI882">
        <f>[1]发票导入!AI882&amp;""</f>
      </c>
      <c r="AJ882">
        <f>[1]发票导入!AJ882&amp;""</f>
      </c>
      <c r="AK882">
        <f>[1]发票导入!AK882</f>
        <v>0</v>
      </c>
      <c r="AL882">
        <f>[1]发票导入!AL882</f>
        <v>0</v>
      </c>
      <c r="AM882">
        <f>[1]发票导入!AM882</f>
        <v>0</v>
      </c>
      <c r="AN882" s="22">
        <f t="shared" si="1"/>
        <v>0</v>
      </c>
      <c r="AO882" s="22">
        <f t="shared" si="2"/>
        <v>0</v>
      </c>
    </row>
    <row r="883">
      <c r="C883">
        <f>[1]发票导入!C883&amp;""</f>
      </c>
      <c r="D883">
        <f>[1]发票导入!D883&amp;""</f>
      </c>
      <c r="O883">
        <f>[1]发票导入!O883&amp;""</f>
      </c>
      <c r="T883">
        <f>[1]发票导入!T883</f>
      </c>
      <c r="U883">
        <f>[1]发票导入!U883&amp;""</f>
      </c>
      <c r="V883">
        <f>[1]发票导入!V883&amp;""</f>
      </c>
      <c r="W883">
        <f>[1]发票导入!W883&amp;""</f>
      </c>
      <c r="Y883">
        <f>[1]发票导入!Y883&amp;""</f>
      </c>
      <c r="AA883">
        <f>[1]发票导入!AA883&amp;""</f>
      </c>
      <c r="AB883">
        <f>[1]发票导入!AB883</f>
        <v>0</v>
      </c>
      <c r="AC883">
        <f>[1]发票导入!AC883</f>
        <v>0</v>
      </c>
      <c r="AE883" s="22">
        <f t="shared" si="0"/>
      </c>
      <c r="AI883">
        <f>[1]发票导入!AI883&amp;""</f>
      </c>
      <c r="AJ883">
        <f>[1]发票导入!AJ883&amp;""</f>
      </c>
      <c r="AK883">
        <f>[1]发票导入!AK883</f>
        <v>0</v>
      </c>
      <c r="AL883">
        <f>[1]发票导入!AL883</f>
        <v>0</v>
      </c>
      <c r="AM883">
        <f>[1]发票导入!AM883</f>
        <v>0</v>
      </c>
      <c r="AN883" s="22">
        <f t="shared" si="1"/>
        <v>0</v>
      </c>
      <c r="AO883" s="22">
        <f t="shared" si="2"/>
        <v>0</v>
      </c>
    </row>
    <row r="884">
      <c r="C884">
        <f>[1]发票导入!C884&amp;""</f>
      </c>
      <c r="D884">
        <f>[1]发票导入!D884&amp;""</f>
      </c>
      <c r="O884">
        <f>[1]发票导入!O884&amp;""</f>
      </c>
      <c r="T884">
        <f>[1]发票导入!T884</f>
      </c>
      <c r="U884">
        <f>[1]发票导入!U884&amp;""</f>
      </c>
      <c r="V884">
        <f>[1]发票导入!V884&amp;""</f>
      </c>
      <c r="W884">
        <f>[1]发票导入!W884&amp;""</f>
      </c>
      <c r="Y884">
        <f>[1]发票导入!Y884&amp;""</f>
      </c>
      <c r="AA884">
        <f>[1]发票导入!AA884&amp;""</f>
      </c>
      <c r="AB884">
        <f>[1]发票导入!AB884</f>
        <v>0</v>
      </c>
      <c r="AC884">
        <f>[1]发票导入!AC884</f>
        <v>0</v>
      </c>
      <c r="AE884" s="22">
        <f t="shared" si="0"/>
      </c>
      <c r="AI884">
        <f>[1]发票导入!AI884&amp;""</f>
      </c>
      <c r="AJ884">
        <f>[1]发票导入!AJ884&amp;""</f>
      </c>
      <c r="AK884">
        <f>[1]发票导入!AK884</f>
        <v>0</v>
      </c>
      <c r="AL884">
        <f>[1]发票导入!AL884</f>
        <v>0</v>
      </c>
      <c r="AM884">
        <f>[1]发票导入!AM884</f>
        <v>0</v>
      </c>
      <c r="AN884" s="22">
        <f t="shared" si="1"/>
        <v>0</v>
      </c>
      <c r="AO884" s="22">
        <f t="shared" si="2"/>
        <v>0</v>
      </c>
    </row>
    <row r="885">
      <c r="C885">
        <f>[1]发票导入!C885&amp;""</f>
      </c>
      <c r="D885">
        <f>[1]发票导入!D885&amp;""</f>
      </c>
      <c r="O885">
        <f>[1]发票导入!O885&amp;""</f>
      </c>
      <c r="T885">
        <f>[1]发票导入!T885</f>
      </c>
      <c r="U885">
        <f>[1]发票导入!U885&amp;""</f>
      </c>
      <c r="V885">
        <f>[1]发票导入!V885&amp;""</f>
      </c>
      <c r="W885">
        <f>[1]发票导入!W885&amp;""</f>
      </c>
      <c r="Y885">
        <f>[1]发票导入!Y885&amp;""</f>
      </c>
      <c r="AA885">
        <f>[1]发票导入!AA885&amp;""</f>
      </c>
      <c r="AB885">
        <f>[1]发票导入!AB885</f>
        <v>0</v>
      </c>
      <c r="AC885">
        <f>[1]发票导入!AC885</f>
        <v>0</v>
      </c>
      <c r="AE885" s="22">
        <f t="shared" si="0"/>
      </c>
      <c r="AI885">
        <f>[1]发票导入!AI885&amp;""</f>
      </c>
      <c r="AJ885">
        <f>[1]发票导入!AJ885&amp;""</f>
      </c>
      <c r="AK885">
        <f>[1]发票导入!AK885</f>
        <v>0</v>
      </c>
      <c r="AL885">
        <f>[1]发票导入!AL885</f>
        <v>0</v>
      </c>
      <c r="AM885">
        <f>[1]发票导入!AM885</f>
        <v>0</v>
      </c>
      <c r="AN885" s="22">
        <f t="shared" si="1"/>
        <v>0</v>
      </c>
      <c r="AO885" s="22">
        <f t="shared" si="2"/>
        <v>0</v>
      </c>
    </row>
    <row r="886">
      <c r="C886">
        <f>[1]发票导入!C886&amp;""</f>
      </c>
      <c r="D886">
        <f>[1]发票导入!D886&amp;""</f>
      </c>
      <c r="O886">
        <f>[1]发票导入!O886&amp;""</f>
      </c>
      <c r="T886">
        <f>[1]发票导入!T886</f>
      </c>
      <c r="U886">
        <f>[1]发票导入!U886&amp;""</f>
      </c>
      <c r="V886">
        <f>[1]发票导入!V886&amp;""</f>
      </c>
      <c r="W886">
        <f>[1]发票导入!W886&amp;""</f>
      </c>
      <c r="Y886">
        <f>[1]发票导入!Y886&amp;""</f>
      </c>
      <c r="AA886">
        <f>[1]发票导入!AA886&amp;""</f>
      </c>
      <c r="AB886">
        <f>[1]发票导入!AB886</f>
        <v>0</v>
      </c>
      <c r="AC886">
        <f>[1]发票导入!AC886</f>
        <v>0</v>
      </c>
      <c r="AE886" s="22">
        <f t="shared" si="0"/>
      </c>
      <c r="AI886">
        <f>[1]发票导入!AI886&amp;""</f>
      </c>
      <c r="AJ886">
        <f>[1]发票导入!AJ886&amp;""</f>
      </c>
      <c r="AK886">
        <f>[1]发票导入!AK886</f>
        <v>0</v>
      </c>
      <c r="AL886">
        <f>[1]发票导入!AL886</f>
        <v>0</v>
      </c>
      <c r="AM886">
        <f>[1]发票导入!AM886</f>
        <v>0</v>
      </c>
      <c r="AN886" s="22">
        <f t="shared" si="1"/>
        <v>0</v>
      </c>
      <c r="AO886" s="22">
        <f t="shared" si="2"/>
        <v>0</v>
      </c>
    </row>
    <row r="887">
      <c r="C887">
        <f>[1]发票导入!C887&amp;""</f>
      </c>
      <c r="D887">
        <f>[1]发票导入!D887&amp;""</f>
      </c>
      <c r="O887">
        <f>[1]发票导入!O887&amp;""</f>
      </c>
      <c r="T887">
        <f>[1]发票导入!T887</f>
      </c>
      <c r="U887">
        <f>[1]发票导入!U887&amp;""</f>
      </c>
      <c r="V887">
        <f>[1]发票导入!V887&amp;""</f>
      </c>
      <c r="W887">
        <f>[1]发票导入!W887&amp;""</f>
      </c>
      <c r="Y887">
        <f>[1]发票导入!Y887&amp;""</f>
      </c>
      <c r="AA887">
        <f>[1]发票导入!AA887&amp;""</f>
      </c>
      <c r="AB887">
        <f>[1]发票导入!AB887</f>
        <v>0</v>
      </c>
      <c r="AC887">
        <f>[1]发票导入!AC887</f>
        <v>0</v>
      </c>
      <c r="AE887" s="22">
        <f t="shared" si="0"/>
      </c>
      <c r="AI887">
        <f>[1]发票导入!AI887&amp;""</f>
      </c>
      <c r="AJ887">
        <f>[1]发票导入!AJ887&amp;""</f>
      </c>
      <c r="AK887">
        <f>[1]发票导入!AK887</f>
        <v>0</v>
      </c>
      <c r="AL887">
        <f>[1]发票导入!AL887</f>
        <v>0</v>
      </c>
      <c r="AM887">
        <f>[1]发票导入!AM887</f>
        <v>0</v>
      </c>
      <c r="AN887" s="22">
        <f t="shared" si="1"/>
        <v>0</v>
      </c>
      <c r="AO887" s="22">
        <f t="shared" si="2"/>
        <v>0</v>
      </c>
    </row>
    <row r="888">
      <c r="C888">
        <f>[1]发票导入!C888&amp;""</f>
      </c>
      <c r="D888">
        <f>[1]发票导入!D888&amp;""</f>
      </c>
      <c r="O888">
        <f>[1]发票导入!O888&amp;""</f>
      </c>
      <c r="T888">
        <f>[1]发票导入!T888</f>
      </c>
      <c r="U888">
        <f>[1]发票导入!U888&amp;""</f>
      </c>
      <c r="V888">
        <f>[1]发票导入!V888&amp;""</f>
      </c>
      <c r="W888">
        <f>[1]发票导入!W888&amp;""</f>
      </c>
      <c r="Y888">
        <f>[1]发票导入!Y888&amp;""</f>
      </c>
      <c r="AA888">
        <f>[1]发票导入!AA888&amp;""</f>
      </c>
      <c r="AB888">
        <f>[1]发票导入!AB888</f>
        <v>0</v>
      </c>
      <c r="AC888">
        <f>[1]发票导入!AC888</f>
        <v>0</v>
      </c>
      <c r="AE888" s="22">
        <f t="shared" si="0"/>
      </c>
      <c r="AI888">
        <f>[1]发票导入!AI888&amp;""</f>
      </c>
      <c r="AJ888">
        <f>[1]发票导入!AJ888&amp;""</f>
      </c>
      <c r="AK888">
        <f>[1]发票导入!AK888</f>
        <v>0</v>
      </c>
      <c r="AL888">
        <f>[1]发票导入!AL888</f>
        <v>0</v>
      </c>
      <c r="AM888">
        <f>[1]发票导入!AM888</f>
        <v>0</v>
      </c>
      <c r="AN888" s="22">
        <f t="shared" si="1"/>
        <v>0</v>
      </c>
      <c r="AO888" s="22">
        <f t="shared" si="2"/>
        <v>0</v>
      </c>
    </row>
    <row r="889">
      <c r="C889">
        <f>[1]发票导入!C889&amp;""</f>
      </c>
      <c r="D889">
        <f>[1]发票导入!D889&amp;""</f>
      </c>
      <c r="O889">
        <f>[1]发票导入!O889&amp;""</f>
      </c>
      <c r="T889">
        <f>[1]发票导入!T889</f>
      </c>
      <c r="U889">
        <f>[1]发票导入!U889&amp;""</f>
      </c>
      <c r="V889">
        <f>[1]发票导入!V889&amp;""</f>
      </c>
      <c r="W889">
        <f>[1]发票导入!W889&amp;""</f>
      </c>
      <c r="Y889">
        <f>[1]发票导入!Y889&amp;""</f>
      </c>
      <c r="AA889">
        <f>[1]发票导入!AA889&amp;""</f>
      </c>
      <c r="AB889">
        <f>[1]发票导入!AB889</f>
        <v>0</v>
      </c>
      <c r="AC889">
        <f>[1]发票导入!AC889</f>
        <v>0</v>
      </c>
      <c r="AE889" s="22">
        <f t="shared" si="0"/>
      </c>
      <c r="AI889">
        <f>[1]发票导入!AI889&amp;""</f>
      </c>
      <c r="AJ889">
        <f>[1]发票导入!AJ889&amp;""</f>
      </c>
      <c r="AK889">
        <f>[1]发票导入!AK889</f>
        <v>0</v>
      </c>
      <c r="AL889">
        <f>[1]发票导入!AL889</f>
        <v>0</v>
      </c>
      <c r="AM889">
        <f>[1]发票导入!AM889</f>
        <v>0</v>
      </c>
      <c r="AN889" s="22">
        <f t="shared" si="1"/>
        <v>0</v>
      </c>
      <c r="AO889" s="22">
        <f t="shared" si="2"/>
        <v>0</v>
      </c>
    </row>
    <row r="890">
      <c r="C890">
        <f>[1]发票导入!C890&amp;""</f>
      </c>
      <c r="D890">
        <f>[1]发票导入!D890&amp;""</f>
      </c>
      <c r="O890">
        <f>[1]发票导入!O890&amp;""</f>
      </c>
      <c r="T890">
        <f>[1]发票导入!T890</f>
      </c>
      <c r="U890">
        <f>[1]发票导入!U890&amp;""</f>
      </c>
      <c r="V890">
        <f>[1]发票导入!V890&amp;""</f>
      </c>
      <c r="W890">
        <f>[1]发票导入!W890&amp;""</f>
      </c>
      <c r="Y890">
        <f>[1]发票导入!Y890&amp;""</f>
      </c>
      <c r="AA890">
        <f>[1]发票导入!AA890&amp;""</f>
      </c>
      <c r="AB890">
        <f>[1]发票导入!AB890</f>
        <v>0</v>
      </c>
      <c r="AC890">
        <f>[1]发票导入!AC890</f>
        <v>0</v>
      </c>
      <c r="AE890" s="22">
        <f t="shared" si="0"/>
      </c>
      <c r="AI890">
        <f>[1]发票导入!AI890&amp;""</f>
      </c>
      <c r="AJ890">
        <f>[1]发票导入!AJ890&amp;""</f>
      </c>
      <c r="AK890">
        <f>[1]发票导入!AK890</f>
        <v>0</v>
      </c>
      <c r="AL890">
        <f>[1]发票导入!AL890</f>
        <v>0</v>
      </c>
      <c r="AM890">
        <f>[1]发票导入!AM890</f>
        <v>0</v>
      </c>
      <c r="AN890" s="22">
        <f t="shared" si="1"/>
        <v>0</v>
      </c>
      <c r="AO890" s="22">
        <f t="shared" si="2"/>
        <v>0</v>
      </c>
    </row>
    <row r="891">
      <c r="C891">
        <f>[1]发票导入!C891&amp;""</f>
      </c>
      <c r="D891">
        <f>[1]发票导入!D891&amp;""</f>
      </c>
      <c r="O891">
        <f>[1]发票导入!O891&amp;""</f>
      </c>
      <c r="T891">
        <f>[1]发票导入!T891</f>
      </c>
      <c r="U891">
        <f>[1]发票导入!U891&amp;""</f>
      </c>
      <c r="V891">
        <f>[1]发票导入!V891&amp;""</f>
      </c>
      <c r="W891">
        <f>[1]发票导入!W891&amp;""</f>
      </c>
      <c r="Y891">
        <f>[1]发票导入!Y891&amp;""</f>
      </c>
      <c r="AA891">
        <f>[1]发票导入!AA891&amp;""</f>
      </c>
      <c r="AB891">
        <f>[1]发票导入!AB891</f>
        <v>0</v>
      </c>
      <c r="AC891">
        <f>[1]发票导入!AC891</f>
        <v>0</v>
      </c>
      <c r="AE891" s="22">
        <f t="shared" si="0"/>
      </c>
      <c r="AI891">
        <f>[1]发票导入!AI891&amp;""</f>
      </c>
      <c r="AJ891">
        <f>[1]发票导入!AJ891&amp;""</f>
      </c>
      <c r="AK891">
        <f>[1]发票导入!AK891</f>
        <v>0</v>
      </c>
      <c r="AL891">
        <f>[1]发票导入!AL891</f>
        <v>0</v>
      </c>
      <c r="AM891">
        <f>[1]发票导入!AM891</f>
        <v>0</v>
      </c>
      <c r="AN891" s="22">
        <f t="shared" si="1"/>
        <v>0</v>
      </c>
      <c r="AO891" s="22">
        <f t="shared" si="2"/>
        <v>0</v>
      </c>
    </row>
    <row r="892">
      <c r="C892">
        <f>[1]发票导入!C892&amp;""</f>
      </c>
      <c r="D892">
        <f>[1]发票导入!D892&amp;""</f>
      </c>
      <c r="O892">
        <f>[1]发票导入!O892&amp;""</f>
      </c>
      <c r="T892">
        <f>[1]发票导入!T892</f>
      </c>
      <c r="U892">
        <f>[1]发票导入!U892&amp;""</f>
      </c>
      <c r="V892">
        <f>[1]发票导入!V892&amp;""</f>
      </c>
      <c r="W892">
        <f>[1]发票导入!W892&amp;""</f>
      </c>
      <c r="Y892">
        <f>[1]发票导入!Y892&amp;""</f>
      </c>
      <c r="AA892">
        <f>[1]发票导入!AA892&amp;""</f>
      </c>
      <c r="AB892">
        <f>[1]发票导入!AB892</f>
        <v>0</v>
      </c>
      <c r="AC892">
        <f>[1]发票导入!AC892</f>
        <v>0</v>
      </c>
      <c r="AE892" s="22">
        <f t="shared" si="0"/>
      </c>
      <c r="AI892">
        <f>[1]发票导入!AI892&amp;""</f>
      </c>
      <c r="AJ892">
        <f>[1]发票导入!AJ892&amp;""</f>
      </c>
      <c r="AK892">
        <f>[1]发票导入!AK892</f>
        <v>0</v>
      </c>
      <c r="AL892">
        <f>[1]发票导入!AL892</f>
        <v>0</v>
      </c>
      <c r="AM892">
        <f>[1]发票导入!AM892</f>
        <v>0</v>
      </c>
      <c r="AN892" s="22">
        <f t="shared" si="1"/>
        <v>0</v>
      </c>
      <c r="AO892" s="22">
        <f t="shared" si="2"/>
        <v>0</v>
      </c>
    </row>
    <row r="893">
      <c r="C893">
        <f>[1]发票导入!C893&amp;""</f>
      </c>
      <c r="D893">
        <f>[1]发票导入!D893&amp;""</f>
      </c>
      <c r="O893">
        <f>[1]发票导入!O893&amp;""</f>
      </c>
      <c r="T893">
        <f>[1]发票导入!T893</f>
      </c>
      <c r="U893">
        <f>[1]发票导入!U893&amp;""</f>
      </c>
      <c r="V893">
        <f>[1]发票导入!V893&amp;""</f>
      </c>
      <c r="W893">
        <f>[1]发票导入!W893&amp;""</f>
      </c>
      <c r="Y893">
        <f>[1]发票导入!Y893&amp;""</f>
      </c>
      <c r="AA893">
        <f>[1]发票导入!AA893&amp;""</f>
      </c>
      <c r="AB893">
        <f>[1]发票导入!AB893</f>
        <v>0</v>
      </c>
      <c r="AC893">
        <f>[1]发票导入!AC893</f>
        <v>0</v>
      </c>
      <c r="AE893" s="22">
        <f t="shared" si="0"/>
      </c>
      <c r="AI893">
        <f>[1]发票导入!AI893&amp;""</f>
      </c>
      <c r="AJ893">
        <f>[1]发票导入!AJ893&amp;""</f>
      </c>
      <c r="AK893">
        <f>[1]发票导入!AK893</f>
        <v>0</v>
      </c>
      <c r="AL893">
        <f>[1]发票导入!AL893</f>
        <v>0</v>
      </c>
      <c r="AM893">
        <f>[1]发票导入!AM893</f>
        <v>0</v>
      </c>
      <c r="AN893" s="22">
        <f t="shared" si="1"/>
        <v>0</v>
      </c>
      <c r="AO893" s="22">
        <f t="shared" si="2"/>
        <v>0</v>
      </c>
    </row>
    <row r="894">
      <c r="C894">
        <f>[1]发票导入!C894&amp;""</f>
      </c>
      <c r="D894">
        <f>[1]发票导入!D894&amp;""</f>
      </c>
      <c r="O894">
        <f>[1]发票导入!O894&amp;""</f>
      </c>
      <c r="T894">
        <f>[1]发票导入!T894</f>
      </c>
      <c r="U894">
        <f>[1]发票导入!U894&amp;""</f>
      </c>
      <c r="V894">
        <f>[1]发票导入!V894&amp;""</f>
      </c>
      <c r="W894">
        <f>[1]发票导入!W894&amp;""</f>
      </c>
      <c r="Y894">
        <f>[1]发票导入!Y894&amp;""</f>
      </c>
      <c r="AA894">
        <f>[1]发票导入!AA894&amp;""</f>
      </c>
      <c r="AB894">
        <f>[1]发票导入!AB894</f>
        <v>0</v>
      </c>
      <c r="AC894">
        <f>[1]发票导入!AC894</f>
        <v>0</v>
      </c>
      <c r="AE894" s="22">
        <f t="shared" si="0"/>
      </c>
      <c r="AI894">
        <f>[1]发票导入!AI894&amp;""</f>
      </c>
      <c r="AJ894">
        <f>[1]发票导入!AJ894&amp;""</f>
      </c>
      <c r="AK894">
        <f>[1]发票导入!AK894</f>
        <v>0</v>
      </c>
      <c r="AL894">
        <f>[1]发票导入!AL894</f>
        <v>0</v>
      </c>
      <c r="AM894">
        <f>[1]发票导入!AM894</f>
        <v>0</v>
      </c>
      <c r="AN894" s="22">
        <f t="shared" si="1"/>
        <v>0</v>
      </c>
      <c r="AO894" s="22">
        <f t="shared" si="2"/>
        <v>0</v>
      </c>
    </row>
    <row r="895">
      <c r="C895">
        <f>[1]发票导入!C895&amp;""</f>
      </c>
      <c r="D895">
        <f>[1]发票导入!D895&amp;""</f>
      </c>
      <c r="O895">
        <f>[1]发票导入!O895&amp;""</f>
      </c>
      <c r="T895">
        <f>[1]发票导入!T895</f>
      </c>
      <c r="U895">
        <f>[1]发票导入!U895&amp;""</f>
      </c>
      <c r="V895">
        <f>[1]发票导入!V895&amp;""</f>
      </c>
      <c r="W895">
        <f>[1]发票导入!W895&amp;""</f>
      </c>
      <c r="Y895">
        <f>[1]发票导入!Y895&amp;""</f>
      </c>
      <c r="AA895">
        <f>[1]发票导入!AA895&amp;""</f>
      </c>
      <c r="AB895">
        <f>[1]发票导入!AB895</f>
        <v>0</v>
      </c>
      <c r="AC895">
        <f>[1]发票导入!AC895</f>
        <v>0</v>
      </c>
      <c r="AE895" s="22">
        <f t="shared" si="0"/>
      </c>
      <c r="AI895">
        <f>[1]发票导入!AI895&amp;""</f>
      </c>
      <c r="AJ895">
        <f>[1]发票导入!AJ895&amp;""</f>
      </c>
      <c r="AK895">
        <f>[1]发票导入!AK895</f>
        <v>0</v>
      </c>
      <c r="AL895">
        <f>[1]发票导入!AL895</f>
        <v>0</v>
      </c>
      <c r="AM895">
        <f>[1]发票导入!AM895</f>
        <v>0</v>
      </c>
      <c r="AN895" s="22">
        <f t="shared" si="1"/>
        <v>0</v>
      </c>
      <c r="AO895" s="22">
        <f t="shared" si="2"/>
        <v>0</v>
      </c>
    </row>
    <row r="896">
      <c r="C896">
        <f>[1]发票导入!C896&amp;""</f>
      </c>
      <c r="D896">
        <f>[1]发票导入!D896&amp;""</f>
      </c>
      <c r="O896">
        <f>[1]发票导入!O896&amp;""</f>
      </c>
      <c r="T896">
        <f>[1]发票导入!T896</f>
      </c>
      <c r="U896">
        <f>[1]发票导入!U896&amp;""</f>
      </c>
      <c r="V896">
        <f>[1]发票导入!V896&amp;""</f>
      </c>
      <c r="W896">
        <f>[1]发票导入!W896&amp;""</f>
      </c>
      <c r="Y896">
        <f>[1]发票导入!Y896&amp;""</f>
      </c>
      <c r="AA896">
        <f>[1]发票导入!AA896&amp;""</f>
      </c>
      <c r="AB896">
        <f>[1]发票导入!AB896</f>
        <v>0</v>
      </c>
      <c r="AC896">
        <f>[1]发票导入!AC896</f>
        <v>0</v>
      </c>
      <c r="AE896" s="22">
        <f t="shared" si="0"/>
      </c>
      <c r="AI896">
        <f>[1]发票导入!AI896&amp;""</f>
      </c>
      <c r="AJ896">
        <f>[1]发票导入!AJ896&amp;""</f>
      </c>
      <c r="AK896">
        <f>[1]发票导入!AK896</f>
        <v>0</v>
      </c>
      <c r="AL896">
        <f>[1]发票导入!AL896</f>
        <v>0</v>
      </c>
      <c r="AM896">
        <f>[1]发票导入!AM896</f>
        <v>0</v>
      </c>
      <c r="AN896" s="22">
        <f t="shared" si="1"/>
        <v>0</v>
      </c>
      <c r="AO896" s="22">
        <f t="shared" si="2"/>
        <v>0</v>
      </c>
    </row>
    <row r="897">
      <c r="C897">
        <f>[1]发票导入!C897&amp;""</f>
      </c>
      <c r="D897">
        <f>[1]发票导入!D897&amp;""</f>
      </c>
      <c r="O897">
        <f>[1]发票导入!O897&amp;""</f>
      </c>
      <c r="T897">
        <f>[1]发票导入!T897</f>
      </c>
      <c r="U897">
        <f>[1]发票导入!U897&amp;""</f>
      </c>
      <c r="V897">
        <f>[1]发票导入!V897&amp;""</f>
      </c>
      <c r="W897">
        <f>[1]发票导入!W897&amp;""</f>
      </c>
      <c r="Y897">
        <f>[1]发票导入!Y897&amp;""</f>
      </c>
      <c r="AA897">
        <f>[1]发票导入!AA897&amp;""</f>
      </c>
      <c r="AB897">
        <f>[1]发票导入!AB897</f>
        <v>0</v>
      </c>
      <c r="AC897">
        <f>[1]发票导入!AC897</f>
        <v>0</v>
      </c>
      <c r="AE897" s="22">
        <f t="shared" si="0"/>
      </c>
      <c r="AI897">
        <f>[1]发票导入!AI897&amp;""</f>
      </c>
      <c r="AJ897">
        <f>[1]发票导入!AJ897&amp;""</f>
      </c>
      <c r="AK897">
        <f>[1]发票导入!AK897</f>
        <v>0</v>
      </c>
      <c r="AL897">
        <f>[1]发票导入!AL897</f>
        <v>0</v>
      </c>
      <c r="AM897">
        <f>[1]发票导入!AM897</f>
        <v>0</v>
      </c>
      <c r="AN897" s="22">
        <f t="shared" si="1"/>
        <v>0</v>
      </c>
      <c r="AO897" s="22">
        <f t="shared" si="2"/>
        <v>0</v>
      </c>
    </row>
    <row r="898">
      <c r="C898">
        <f>[1]发票导入!C898&amp;""</f>
      </c>
      <c r="D898">
        <f>[1]发票导入!D898&amp;""</f>
      </c>
      <c r="O898">
        <f>[1]发票导入!O898&amp;""</f>
      </c>
      <c r="T898">
        <f>[1]发票导入!T898</f>
      </c>
      <c r="U898">
        <f>[1]发票导入!U898&amp;""</f>
      </c>
      <c r="V898">
        <f>[1]发票导入!V898&amp;""</f>
      </c>
      <c r="W898">
        <f>[1]发票导入!W898&amp;""</f>
      </c>
      <c r="Y898">
        <f>[1]发票导入!Y898&amp;""</f>
      </c>
      <c r="AA898">
        <f>[1]发票导入!AA898&amp;""</f>
      </c>
      <c r="AB898">
        <f>[1]发票导入!AB898</f>
        <v>0</v>
      </c>
      <c r="AC898">
        <f>[1]发票导入!AC898</f>
        <v>0</v>
      </c>
      <c r="AE898" s="22">
        <f t="shared" si="0"/>
      </c>
      <c r="AI898">
        <f>[1]发票导入!AI898&amp;""</f>
      </c>
      <c r="AJ898">
        <f>[1]发票导入!AJ898&amp;""</f>
      </c>
      <c r="AK898">
        <f>[1]发票导入!AK898</f>
        <v>0</v>
      </c>
      <c r="AL898">
        <f>[1]发票导入!AL898</f>
        <v>0</v>
      </c>
      <c r="AM898">
        <f>[1]发票导入!AM898</f>
        <v>0</v>
      </c>
      <c r="AN898" s="22">
        <f t="shared" si="1"/>
        <v>0</v>
      </c>
      <c r="AO898" s="22">
        <f t="shared" si="2"/>
        <v>0</v>
      </c>
    </row>
    <row r="899">
      <c r="C899">
        <f>[1]发票导入!C899&amp;""</f>
      </c>
      <c r="D899">
        <f>[1]发票导入!D899&amp;""</f>
      </c>
      <c r="O899">
        <f>[1]发票导入!O899&amp;""</f>
      </c>
      <c r="T899">
        <f>[1]发票导入!T899</f>
      </c>
      <c r="U899">
        <f>[1]发票导入!U899&amp;""</f>
      </c>
      <c r="V899">
        <f>[1]发票导入!V899&amp;""</f>
      </c>
      <c r="W899">
        <f>[1]发票导入!W899&amp;""</f>
      </c>
      <c r="Y899">
        <f>[1]发票导入!Y899&amp;""</f>
      </c>
      <c r="AA899">
        <f>[1]发票导入!AA899&amp;""</f>
      </c>
      <c r="AB899">
        <f>[1]发票导入!AB899</f>
        <v>0</v>
      </c>
      <c r="AC899">
        <f>[1]发票导入!AC899</f>
        <v>0</v>
      </c>
      <c r="AE899" s="22">
        <f t="shared" si="0"/>
      </c>
      <c r="AI899">
        <f>[1]发票导入!AI899&amp;""</f>
      </c>
      <c r="AJ899">
        <f>[1]发票导入!AJ899&amp;""</f>
      </c>
      <c r="AK899">
        <f>[1]发票导入!AK899</f>
        <v>0</v>
      </c>
      <c r="AL899">
        <f>[1]发票导入!AL899</f>
        <v>0</v>
      </c>
      <c r="AM899">
        <f>[1]发票导入!AM899</f>
        <v>0</v>
      </c>
      <c r="AN899" s="22">
        <f t="shared" si="1"/>
        <v>0</v>
      </c>
      <c r="AO899" s="22">
        <f t="shared" si="2"/>
        <v>0</v>
      </c>
    </row>
    <row r="900">
      <c r="C900">
        <f>[1]发票导入!C900&amp;""</f>
      </c>
      <c r="D900">
        <f>[1]发票导入!D900&amp;""</f>
      </c>
      <c r="O900">
        <f>[1]发票导入!O900&amp;""</f>
      </c>
      <c r="T900">
        <f>[1]发票导入!T900</f>
      </c>
      <c r="U900">
        <f>[1]发票导入!U900&amp;""</f>
      </c>
      <c r="V900">
        <f>[1]发票导入!V900&amp;""</f>
      </c>
      <c r="W900">
        <f>[1]发票导入!W900&amp;""</f>
      </c>
      <c r="Y900">
        <f>[1]发票导入!Y900&amp;""</f>
      </c>
      <c r="AA900">
        <f>[1]发票导入!AA900&amp;""</f>
      </c>
      <c r="AB900">
        <f>[1]发票导入!AB900</f>
        <v>0</v>
      </c>
      <c r="AC900">
        <f>[1]发票导入!AC900</f>
        <v>0</v>
      </c>
      <c r="AE900" s="22">
        <f t="shared" si="0"/>
      </c>
      <c r="AI900">
        <f>[1]发票导入!AI900&amp;""</f>
      </c>
      <c r="AJ900">
        <f>[1]发票导入!AJ900&amp;""</f>
      </c>
      <c r="AK900">
        <f>[1]发票导入!AK900</f>
        <v>0</v>
      </c>
      <c r="AL900">
        <f>[1]发票导入!AL900</f>
        <v>0</v>
      </c>
      <c r="AM900">
        <f>[1]发票导入!AM900</f>
        <v>0</v>
      </c>
      <c r="AN900" s="22">
        <f t="shared" si="1"/>
        <v>0</v>
      </c>
      <c r="AO900" s="22">
        <f t="shared" si="2"/>
        <v>0</v>
      </c>
    </row>
    <row r="901">
      <c r="C901">
        <f>[1]发票导入!C901&amp;""</f>
      </c>
      <c r="D901">
        <f>[1]发票导入!D901&amp;""</f>
      </c>
      <c r="O901">
        <f>[1]发票导入!O901&amp;""</f>
      </c>
      <c r="T901">
        <f>[1]发票导入!T901</f>
      </c>
      <c r="U901">
        <f>[1]发票导入!U901&amp;""</f>
      </c>
      <c r="V901">
        <f>[1]发票导入!V901&amp;""</f>
      </c>
      <c r="W901">
        <f>[1]发票导入!W901&amp;""</f>
      </c>
      <c r="Y901">
        <f>[1]发票导入!Y901&amp;""</f>
      </c>
      <c r="AA901">
        <f>[1]发票导入!AA901&amp;""</f>
      </c>
      <c r="AB901">
        <f>[1]发票导入!AB901</f>
        <v>0</v>
      </c>
      <c r="AC901">
        <f>[1]发票导入!AC901</f>
        <v>0</v>
      </c>
      <c r="AE901" s="22">
        <f t="shared" si="0"/>
      </c>
      <c r="AI901">
        <f>[1]发票导入!AI901&amp;""</f>
      </c>
      <c r="AJ901">
        <f>[1]发票导入!AJ901&amp;""</f>
      </c>
      <c r="AK901">
        <f>[1]发票导入!AK901</f>
        <v>0</v>
      </c>
      <c r="AL901">
        <f>[1]发票导入!AL901</f>
        <v>0</v>
      </c>
      <c r="AM901">
        <f>[1]发票导入!AM901</f>
        <v>0</v>
      </c>
      <c r="AN901" s="22">
        <f t="shared" si="1"/>
        <v>0</v>
      </c>
      <c r="AO901" s="22">
        <f t="shared" si="2"/>
        <v>0</v>
      </c>
    </row>
    <row r="902">
      <c r="C902">
        <f>[1]发票导入!C902&amp;""</f>
      </c>
      <c r="D902">
        <f>[1]发票导入!D902&amp;""</f>
      </c>
      <c r="O902">
        <f>[1]发票导入!O902&amp;""</f>
      </c>
      <c r="T902">
        <f>[1]发票导入!T902</f>
      </c>
      <c r="U902">
        <f>[1]发票导入!U902&amp;""</f>
      </c>
      <c r="V902">
        <f>[1]发票导入!V902&amp;""</f>
      </c>
      <c r="W902">
        <f>[1]发票导入!W902&amp;""</f>
      </c>
      <c r="Y902">
        <f>[1]发票导入!Y902&amp;""</f>
      </c>
      <c r="AA902">
        <f>[1]发票导入!AA902&amp;""</f>
      </c>
      <c r="AB902">
        <f>[1]发票导入!AB902</f>
        <v>0</v>
      </c>
      <c r="AC902">
        <f>[1]发票导入!AC902</f>
        <v>0</v>
      </c>
      <c r="AE902" s="22">
        <f t="shared" si="0"/>
      </c>
      <c r="AI902">
        <f>[1]发票导入!AI902&amp;""</f>
      </c>
      <c r="AJ902">
        <f>[1]发票导入!AJ902&amp;""</f>
      </c>
      <c r="AK902">
        <f>[1]发票导入!AK902</f>
        <v>0</v>
      </c>
      <c r="AL902">
        <f>[1]发票导入!AL902</f>
        <v>0</v>
      </c>
      <c r="AM902">
        <f>[1]发票导入!AM902</f>
        <v>0</v>
      </c>
      <c r="AN902" s="22">
        <f t="shared" si="1"/>
        <v>0</v>
      </c>
      <c r="AO902" s="22">
        <f t="shared" si="2"/>
        <v>0</v>
      </c>
    </row>
    <row r="903">
      <c r="C903">
        <f>[1]发票导入!C903&amp;""</f>
      </c>
      <c r="D903">
        <f>[1]发票导入!D903&amp;""</f>
      </c>
      <c r="O903">
        <f>[1]发票导入!O903&amp;""</f>
      </c>
      <c r="T903">
        <f>[1]发票导入!T903</f>
      </c>
      <c r="U903">
        <f>[1]发票导入!U903&amp;""</f>
      </c>
      <c r="V903">
        <f>[1]发票导入!V903&amp;""</f>
      </c>
      <c r="W903">
        <f>[1]发票导入!W903&amp;""</f>
      </c>
      <c r="Y903">
        <f>[1]发票导入!Y903&amp;""</f>
      </c>
      <c r="AA903">
        <f>[1]发票导入!AA903&amp;""</f>
      </c>
      <c r="AB903">
        <f>[1]发票导入!AB903</f>
        <v>0</v>
      </c>
      <c r="AC903">
        <f>[1]发票导入!AC903</f>
        <v>0</v>
      </c>
      <c r="AE903" s="22">
        <f t="shared" si="0"/>
      </c>
      <c r="AI903">
        <f>[1]发票导入!AI903&amp;""</f>
      </c>
      <c r="AJ903">
        <f>[1]发票导入!AJ903&amp;""</f>
      </c>
      <c r="AK903">
        <f>[1]发票导入!AK903</f>
        <v>0</v>
      </c>
      <c r="AL903">
        <f>[1]发票导入!AL903</f>
        <v>0</v>
      </c>
      <c r="AM903">
        <f>[1]发票导入!AM903</f>
        <v>0</v>
      </c>
      <c r="AN903" s="22">
        <f t="shared" si="1"/>
        <v>0</v>
      </c>
      <c r="AO903" s="22">
        <f t="shared" si="2"/>
        <v>0</v>
      </c>
    </row>
    <row r="904">
      <c r="C904">
        <f>[1]发票导入!C904&amp;""</f>
      </c>
      <c r="D904">
        <f>[1]发票导入!D904&amp;""</f>
      </c>
      <c r="O904">
        <f>[1]发票导入!O904&amp;""</f>
      </c>
      <c r="T904">
        <f>[1]发票导入!T904</f>
      </c>
      <c r="U904">
        <f>[1]发票导入!U904&amp;""</f>
      </c>
      <c r="V904">
        <f>[1]发票导入!V904&amp;""</f>
      </c>
      <c r="W904">
        <f>[1]发票导入!W904&amp;""</f>
      </c>
      <c r="Y904">
        <f>[1]发票导入!Y904&amp;""</f>
      </c>
      <c r="AA904">
        <f>[1]发票导入!AA904&amp;""</f>
      </c>
      <c r="AB904">
        <f>[1]发票导入!AB904</f>
        <v>0</v>
      </c>
      <c r="AC904">
        <f>[1]发票导入!AC904</f>
        <v>0</v>
      </c>
      <c r="AE904" s="22">
        <f t="shared" si="0"/>
      </c>
      <c r="AI904">
        <f>[1]发票导入!AI904&amp;""</f>
      </c>
      <c r="AJ904">
        <f>[1]发票导入!AJ904&amp;""</f>
      </c>
      <c r="AK904">
        <f>[1]发票导入!AK904</f>
        <v>0</v>
      </c>
      <c r="AL904">
        <f>[1]发票导入!AL904</f>
        <v>0</v>
      </c>
      <c r="AM904">
        <f>[1]发票导入!AM904</f>
        <v>0</v>
      </c>
      <c r="AN904" s="22">
        <f t="shared" si="1"/>
        <v>0</v>
      </c>
      <c r="AO904" s="22">
        <f t="shared" si="2"/>
        <v>0</v>
      </c>
    </row>
    <row r="905">
      <c r="C905">
        <f>[1]发票导入!C905&amp;""</f>
      </c>
      <c r="D905">
        <f>[1]发票导入!D905&amp;""</f>
      </c>
      <c r="O905">
        <f>[1]发票导入!O905&amp;""</f>
      </c>
      <c r="T905">
        <f>[1]发票导入!T905</f>
      </c>
      <c r="U905">
        <f>[1]发票导入!U905&amp;""</f>
      </c>
      <c r="V905">
        <f>[1]发票导入!V905&amp;""</f>
      </c>
      <c r="W905">
        <f>[1]发票导入!W905&amp;""</f>
      </c>
      <c r="Y905">
        <f>[1]发票导入!Y905&amp;""</f>
      </c>
      <c r="AA905">
        <f>[1]发票导入!AA905&amp;""</f>
      </c>
      <c r="AB905">
        <f>[1]发票导入!AB905</f>
        <v>0</v>
      </c>
      <c r="AC905">
        <f>[1]发票导入!AC905</f>
        <v>0</v>
      </c>
      <c r="AE905" s="22">
        <f t="shared" si="0"/>
      </c>
      <c r="AI905">
        <f>[1]发票导入!AI905&amp;""</f>
      </c>
      <c r="AJ905">
        <f>[1]发票导入!AJ905&amp;""</f>
      </c>
      <c r="AK905">
        <f>[1]发票导入!AK905</f>
        <v>0</v>
      </c>
      <c r="AL905">
        <f>[1]发票导入!AL905</f>
        <v>0</v>
      </c>
      <c r="AM905">
        <f>[1]发票导入!AM905</f>
        <v>0</v>
      </c>
      <c r="AN905" s="22">
        <f t="shared" si="1"/>
        <v>0</v>
      </c>
      <c r="AO905" s="22">
        <f t="shared" si="2"/>
        <v>0</v>
      </c>
    </row>
    <row r="906">
      <c r="C906">
        <f>[1]发票导入!C906&amp;""</f>
      </c>
      <c r="D906">
        <f>[1]发票导入!D906&amp;""</f>
      </c>
      <c r="O906">
        <f>[1]发票导入!O906&amp;""</f>
      </c>
      <c r="T906">
        <f>[1]发票导入!T906</f>
      </c>
      <c r="U906">
        <f>[1]发票导入!U906&amp;""</f>
      </c>
      <c r="V906">
        <f>[1]发票导入!V906&amp;""</f>
      </c>
      <c r="W906">
        <f>[1]发票导入!W906&amp;""</f>
      </c>
      <c r="Y906">
        <f>[1]发票导入!Y906&amp;""</f>
      </c>
      <c r="AA906">
        <f>[1]发票导入!AA906&amp;""</f>
      </c>
      <c r="AB906">
        <f>[1]发票导入!AB906</f>
        <v>0</v>
      </c>
      <c r="AC906">
        <f>[1]发票导入!AC906</f>
        <v>0</v>
      </c>
      <c r="AE906" s="22">
        <f t="shared" si="0"/>
      </c>
      <c r="AI906">
        <f>[1]发票导入!AI906&amp;""</f>
      </c>
      <c r="AJ906">
        <f>[1]发票导入!AJ906&amp;""</f>
      </c>
      <c r="AK906">
        <f>[1]发票导入!AK906</f>
        <v>0</v>
      </c>
      <c r="AL906">
        <f>[1]发票导入!AL906</f>
        <v>0</v>
      </c>
      <c r="AM906">
        <f>[1]发票导入!AM906</f>
        <v>0</v>
      </c>
      <c r="AN906" s="22">
        <f t="shared" si="1"/>
        <v>0</v>
      </c>
      <c r="AO906" s="22">
        <f t="shared" si="2"/>
        <v>0</v>
      </c>
    </row>
    <row r="907">
      <c r="C907">
        <f>[1]发票导入!C907&amp;""</f>
      </c>
      <c r="D907">
        <f>[1]发票导入!D907&amp;""</f>
      </c>
      <c r="O907">
        <f>[1]发票导入!O907&amp;""</f>
      </c>
      <c r="T907">
        <f>[1]发票导入!T907</f>
      </c>
      <c r="U907">
        <f>[1]发票导入!U907&amp;""</f>
      </c>
      <c r="V907">
        <f>[1]发票导入!V907&amp;""</f>
      </c>
      <c r="W907">
        <f>[1]发票导入!W907&amp;""</f>
      </c>
      <c r="Y907">
        <f>[1]发票导入!Y907&amp;""</f>
      </c>
      <c r="AA907">
        <f>[1]发票导入!AA907&amp;""</f>
      </c>
      <c r="AB907">
        <f>[1]发票导入!AB907</f>
        <v>0</v>
      </c>
      <c r="AC907">
        <f>[1]发票导入!AC907</f>
        <v>0</v>
      </c>
      <c r="AE907" s="22">
        <f t="shared" si="0"/>
      </c>
      <c r="AI907">
        <f>[1]发票导入!AI907&amp;""</f>
      </c>
      <c r="AJ907">
        <f>[1]发票导入!AJ907&amp;""</f>
      </c>
      <c r="AK907">
        <f>[1]发票导入!AK907</f>
        <v>0</v>
      </c>
      <c r="AL907">
        <f>[1]发票导入!AL907</f>
        <v>0</v>
      </c>
      <c r="AM907">
        <f>[1]发票导入!AM907</f>
        <v>0</v>
      </c>
      <c r="AN907" s="22">
        <f t="shared" si="1"/>
        <v>0</v>
      </c>
      <c r="AO907" s="22">
        <f t="shared" si="2"/>
        <v>0</v>
      </c>
    </row>
    <row r="908">
      <c r="C908">
        <f>[1]发票导入!C908&amp;""</f>
      </c>
      <c r="D908">
        <f>[1]发票导入!D908&amp;""</f>
      </c>
      <c r="O908">
        <f>[1]发票导入!O908&amp;""</f>
      </c>
      <c r="T908">
        <f>[1]发票导入!T908</f>
      </c>
      <c r="U908">
        <f>[1]发票导入!U908&amp;""</f>
      </c>
      <c r="V908">
        <f>[1]发票导入!V908&amp;""</f>
      </c>
      <c r="W908">
        <f>[1]发票导入!W908&amp;""</f>
      </c>
      <c r="Y908">
        <f>[1]发票导入!Y908&amp;""</f>
      </c>
      <c r="AA908">
        <f>[1]发票导入!AA908&amp;""</f>
      </c>
      <c r="AB908">
        <f>[1]发票导入!AB908</f>
        <v>0</v>
      </c>
      <c r="AC908">
        <f>[1]发票导入!AC908</f>
        <v>0</v>
      </c>
      <c r="AE908" s="22">
        <f t="shared" si="0"/>
      </c>
      <c r="AI908">
        <f>[1]发票导入!AI908&amp;""</f>
      </c>
      <c r="AJ908">
        <f>[1]发票导入!AJ908&amp;""</f>
      </c>
      <c r="AK908">
        <f>[1]发票导入!AK908</f>
        <v>0</v>
      </c>
      <c r="AL908">
        <f>[1]发票导入!AL908</f>
        <v>0</v>
      </c>
      <c r="AM908">
        <f>[1]发票导入!AM908</f>
        <v>0</v>
      </c>
      <c r="AN908" s="22">
        <f t="shared" si="1"/>
        <v>0</v>
      </c>
      <c r="AO908" s="22">
        <f t="shared" si="2"/>
        <v>0</v>
      </c>
    </row>
    <row r="909">
      <c r="C909">
        <f>[1]发票导入!C909&amp;""</f>
      </c>
      <c r="D909">
        <f>[1]发票导入!D909&amp;""</f>
      </c>
      <c r="O909">
        <f>[1]发票导入!O909&amp;""</f>
      </c>
      <c r="T909">
        <f>[1]发票导入!T909</f>
      </c>
      <c r="U909">
        <f>[1]发票导入!U909&amp;""</f>
      </c>
      <c r="V909">
        <f>[1]发票导入!V909&amp;""</f>
      </c>
      <c r="W909">
        <f>[1]发票导入!W909&amp;""</f>
      </c>
      <c r="Y909">
        <f>[1]发票导入!Y909&amp;""</f>
      </c>
      <c r="AA909">
        <f>[1]发票导入!AA909&amp;""</f>
      </c>
      <c r="AB909">
        <f>[1]发票导入!AB909</f>
        <v>0</v>
      </c>
      <c r="AC909">
        <f>[1]发票导入!AC909</f>
        <v>0</v>
      </c>
      <c r="AE909" s="22">
        <f t="shared" si="0"/>
      </c>
      <c r="AI909">
        <f>[1]发票导入!AI909&amp;""</f>
      </c>
      <c r="AJ909">
        <f>[1]发票导入!AJ909&amp;""</f>
      </c>
      <c r="AK909">
        <f>[1]发票导入!AK909</f>
        <v>0</v>
      </c>
      <c r="AL909">
        <f>[1]发票导入!AL909</f>
        <v>0</v>
      </c>
      <c r="AM909">
        <f>[1]发票导入!AM909</f>
        <v>0</v>
      </c>
      <c r="AN909" s="22">
        <f t="shared" si="1"/>
        <v>0</v>
      </c>
      <c r="AO909" s="22">
        <f t="shared" si="2"/>
        <v>0</v>
      </c>
    </row>
    <row r="910">
      <c r="C910">
        <f>[1]发票导入!C910&amp;""</f>
      </c>
      <c r="D910">
        <f>[1]发票导入!D910&amp;""</f>
      </c>
      <c r="O910">
        <f>[1]发票导入!O910&amp;""</f>
      </c>
      <c r="T910">
        <f>[1]发票导入!T910</f>
      </c>
      <c r="U910">
        <f>[1]发票导入!U910&amp;""</f>
      </c>
      <c r="V910">
        <f>[1]发票导入!V910&amp;""</f>
      </c>
      <c r="W910">
        <f>[1]发票导入!W910&amp;""</f>
      </c>
      <c r="Y910">
        <f>[1]发票导入!Y910&amp;""</f>
      </c>
      <c r="AA910">
        <f>[1]发票导入!AA910&amp;""</f>
      </c>
      <c r="AB910">
        <f>[1]发票导入!AB910</f>
        <v>0</v>
      </c>
      <c r="AC910">
        <f>[1]发票导入!AC910</f>
        <v>0</v>
      </c>
      <c r="AE910" s="22">
        <f t="shared" si="0"/>
      </c>
      <c r="AI910">
        <f>[1]发票导入!AI910&amp;""</f>
      </c>
      <c r="AJ910">
        <f>[1]发票导入!AJ910&amp;""</f>
      </c>
      <c r="AK910">
        <f>[1]发票导入!AK910</f>
        <v>0</v>
      </c>
      <c r="AL910">
        <f>[1]发票导入!AL910</f>
        <v>0</v>
      </c>
      <c r="AM910">
        <f>[1]发票导入!AM910</f>
        <v>0</v>
      </c>
      <c r="AN910" s="22">
        <f t="shared" si="1"/>
        <v>0</v>
      </c>
      <c r="AO910" s="22">
        <f t="shared" si="2"/>
        <v>0</v>
      </c>
    </row>
    <row r="911">
      <c r="C911">
        <f>[1]发票导入!C911&amp;""</f>
      </c>
      <c r="D911">
        <f>[1]发票导入!D911&amp;""</f>
      </c>
      <c r="O911">
        <f>[1]发票导入!O911&amp;""</f>
      </c>
      <c r="T911">
        <f>[1]发票导入!T911</f>
      </c>
      <c r="U911">
        <f>[1]发票导入!U911&amp;""</f>
      </c>
      <c r="V911">
        <f>[1]发票导入!V911&amp;""</f>
      </c>
      <c r="W911">
        <f>[1]发票导入!W911&amp;""</f>
      </c>
      <c r="Y911">
        <f>[1]发票导入!Y911&amp;""</f>
      </c>
      <c r="AA911">
        <f>[1]发票导入!AA911&amp;""</f>
      </c>
      <c r="AB911">
        <f>[1]发票导入!AB911</f>
        <v>0</v>
      </c>
      <c r="AC911">
        <f>[1]发票导入!AC911</f>
        <v>0</v>
      </c>
      <c r="AE911" s="22">
        <f t="shared" si="0"/>
      </c>
      <c r="AI911">
        <f>[1]发票导入!AI911&amp;""</f>
      </c>
      <c r="AJ911">
        <f>[1]发票导入!AJ911&amp;""</f>
      </c>
      <c r="AK911">
        <f>[1]发票导入!AK911</f>
        <v>0</v>
      </c>
      <c r="AL911">
        <f>[1]发票导入!AL911</f>
        <v>0</v>
      </c>
      <c r="AM911">
        <f>[1]发票导入!AM911</f>
        <v>0</v>
      </c>
      <c r="AN911" s="22">
        <f t="shared" si="1"/>
        <v>0</v>
      </c>
      <c r="AO911" s="22">
        <f t="shared" si="2"/>
        <v>0</v>
      </c>
    </row>
    <row r="912">
      <c r="C912">
        <f>[1]发票导入!C912&amp;""</f>
      </c>
      <c r="D912">
        <f>[1]发票导入!D912&amp;""</f>
      </c>
      <c r="O912">
        <f>[1]发票导入!O912&amp;""</f>
      </c>
      <c r="T912">
        <f>[1]发票导入!T912</f>
      </c>
      <c r="U912">
        <f>[1]发票导入!U912&amp;""</f>
      </c>
      <c r="V912">
        <f>[1]发票导入!V912&amp;""</f>
      </c>
      <c r="W912">
        <f>[1]发票导入!W912&amp;""</f>
      </c>
      <c r="Y912">
        <f>[1]发票导入!Y912&amp;""</f>
      </c>
      <c r="AA912">
        <f>[1]发票导入!AA912&amp;""</f>
      </c>
      <c r="AB912">
        <f>[1]发票导入!AB912</f>
        <v>0</v>
      </c>
      <c r="AC912">
        <f>[1]发票导入!AC912</f>
        <v>0</v>
      </c>
      <c r="AE912" s="22">
        <f t="shared" si="0"/>
      </c>
      <c r="AI912">
        <f>[1]发票导入!AI912&amp;""</f>
      </c>
      <c r="AJ912">
        <f>[1]发票导入!AJ912&amp;""</f>
      </c>
      <c r="AK912">
        <f>[1]发票导入!AK912</f>
        <v>0</v>
      </c>
      <c r="AL912">
        <f>[1]发票导入!AL912</f>
        <v>0</v>
      </c>
      <c r="AM912">
        <f>[1]发票导入!AM912</f>
        <v>0</v>
      </c>
      <c r="AN912" s="22">
        <f t="shared" si="1"/>
        <v>0</v>
      </c>
      <c r="AO912" s="22">
        <f t="shared" si="2"/>
        <v>0</v>
      </c>
    </row>
    <row r="913">
      <c r="C913">
        <f>[1]发票导入!C913&amp;""</f>
      </c>
      <c r="D913">
        <f>[1]发票导入!D913&amp;""</f>
      </c>
      <c r="O913">
        <f>[1]发票导入!O913&amp;""</f>
      </c>
      <c r="T913">
        <f>[1]发票导入!T913</f>
      </c>
      <c r="U913">
        <f>[1]发票导入!U913&amp;""</f>
      </c>
      <c r="V913">
        <f>[1]发票导入!V913&amp;""</f>
      </c>
      <c r="W913">
        <f>[1]发票导入!W913&amp;""</f>
      </c>
      <c r="Y913">
        <f>[1]发票导入!Y913&amp;""</f>
      </c>
      <c r="AA913">
        <f>[1]发票导入!AA913&amp;""</f>
      </c>
      <c r="AB913">
        <f>[1]发票导入!AB913</f>
        <v>0</v>
      </c>
      <c r="AC913">
        <f>[1]发票导入!AC913</f>
        <v>0</v>
      </c>
      <c r="AE913" s="22">
        <f t="shared" si="0"/>
      </c>
      <c r="AI913">
        <f>[1]发票导入!AI913&amp;""</f>
      </c>
      <c r="AJ913">
        <f>[1]发票导入!AJ913&amp;""</f>
      </c>
      <c r="AK913">
        <f>[1]发票导入!AK913</f>
        <v>0</v>
      </c>
      <c r="AL913">
        <f>[1]发票导入!AL913</f>
        <v>0</v>
      </c>
      <c r="AM913">
        <f>[1]发票导入!AM913</f>
        <v>0</v>
      </c>
      <c r="AN913" s="22">
        <f t="shared" si="1"/>
        <v>0</v>
      </c>
      <c r="AO913" s="22">
        <f t="shared" si="2"/>
        <v>0</v>
      </c>
    </row>
    <row r="914">
      <c r="C914">
        <f>[1]发票导入!C914&amp;""</f>
      </c>
      <c r="D914">
        <f>[1]发票导入!D914&amp;""</f>
      </c>
      <c r="O914">
        <f>[1]发票导入!O914&amp;""</f>
      </c>
      <c r="T914">
        <f>[1]发票导入!T914</f>
      </c>
      <c r="U914">
        <f>[1]发票导入!U914&amp;""</f>
      </c>
      <c r="V914">
        <f>[1]发票导入!V914&amp;""</f>
      </c>
      <c r="W914">
        <f>[1]发票导入!W914&amp;""</f>
      </c>
      <c r="Y914">
        <f>[1]发票导入!Y914&amp;""</f>
      </c>
      <c r="AA914">
        <f>[1]发票导入!AA914&amp;""</f>
      </c>
      <c r="AB914">
        <f>[1]发票导入!AB914</f>
        <v>0</v>
      </c>
      <c r="AC914">
        <f>[1]发票导入!AC914</f>
        <v>0</v>
      </c>
      <c r="AE914" s="22">
        <f t="shared" si="0"/>
      </c>
      <c r="AI914">
        <f>[1]发票导入!AI914&amp;""</f>
      </c>
      <c r="AJ914">
        <f>[1]发票导入!AJ914&amp;""</f>
      </c>
      <c r="AK914">
        <f>[1]发票导入!AK914</f>
        <v>0</v>
      </c>
      <c r="AL914">
        <f>[1]发票导入!AL914</f>
        <v>0</v>
      </c>
      <c r="AM914">
        <f>[1]发票导入!AM914</f>
        <v>0</v>
      </c>
      <c r="AN914" s="22">
        <f t="shared" si="1"/>
        <v>0</v>
      </c>
      <c r="AO914" s="22">
        <f t="shared" si="2"/>
        <v>0</v>
      </c>
    </row>
    <row r="915">
      <c r="C915">
        <f>[1]发票导入!C915&amp;""</f>
      </c>
      <c r="D915">
        <f>[1]发票导入!D915&amp;""</f>
      </c>
      <c r="O915">
        <f>[1]发票导入!O915&amp;""</f>
      </c>
      <c r="T915">
        <f>[1]发票导入!T915</f>
      </c>
      <c r="U915">
        <f>[1]发票导入!U915&amp;""</f>
      </c>
      <c r="V915">
        <f>[1]发票导入!V915&amp;""</f>
      </c>
      <c r="W915">
        <f>[1]发票导入!W915&amp;""</f>
      </c>
      <c r="Y915">
        <f>[1]发票导入!Y915&amp;""</f>
      </c>
      <c r="AA915">
        <f>[1]发票导入!AA915&amp;""</f>
      </c>
      <c r="AB915">
        <f>[1]发票导入!AB915</f>
        <v>0</v>
      </c>
      <c r="AC915">
        <f>[1]发票导入!AC915</f>
        <v>0</v>
      </c>
      <c r="AE915" s="22">
        <f t="shared" si="0"/>
      </c>
      <c r="AI915">
        <f>[1]发票导入!AI915&amp;""</f>
      </c>
      <c r="AJ915">
        <f>[1]发票导入!AJ915&amp;""</f>
      </c>
      <c r="AK915">
        <f>[1]发票导入!AK915</f>
        <v>0</v>
      </c>
      <c r="AL915">
        <f>[1]发票导入!AL915</f>
        <v>0</v>
      </c>
      <c r="AM915">
        <f>[1]发票导入!AM915</f>
        <v>0</v>
      </c>
      <c r="AN915" s="22">
        <f t="shared" si="1"/>
        <v>0</v>
      </c>
      <c r="AO915" s="22">
        <f t="shared" si="2"/>
        <v>0</v>
      </c>
    </row>
    <row r="916">
      <c r="C916">
        <f>[1]发票导入!C916&amp;""</f>
      </c>
      <c r="D916">
        <f>[1]发票导入!D916&amp;""</f>
      </c>
      <c r="O916">
        <f>[1]发票导入!O916&amp;""</f>
      </c>
      <c r="T916">
        <f>[1]发票导入!T916</f>
      </c>
      <c r="U916">
        <f>[1]发票导入!U916&amp;""</f>
      </c>
      <c r="V916">
        <f>[1]发票导入!V916&amp;""</f>
      </c>
      <c r="W916">
        <f>[1]发票导入!W916&amp;""</f>
      </c>
      <c r="Y916">
        <f>[1]发票导入!Y916&amp;""</f>
      </c>
      <c r="AA916">
        <f>[1]发票导入!AA916&amp;""</f>
      </c>
      <c r="AB916">
        <f>[1]发票导入!AB916</f>
        <v>0</v>
      </c>
      <c r="AC916">
        <f>[1]发票导入!AC916</f>
        <v>0</v>
      </c>
      <c r="AE916" s="22">
        <f t="shared" si="0"/>
      </c>
      <c r="AI916">
        <f>[1]发票导入!AI916&amp;""</f>
      </c>
      <c r="AJ916">
        <f>[1]发票导入!AJ916&amp;""</f>
      </c>
      <c r="AK916">
        <f>[1]发票导入!AK916</f>
        <v>0</v>
      </c>
      <c r="AL916">
        <f>[1]发票导入!AL916</f>
        <v>0</v>
      </c>
      <c r="AM916">
        <f>[1]发票导入!AM916</f>
        <v>0</v>
      </c>
      <c r="AN916" s="22">
        <f t="shared" si="1"/>
        <v>0</v>
      </c>
      <c r="AO916" s="22">
        <f t="shared" si="2"/>
        <v>0</v>
      </c>
    </row>
    <row r="917">
      <c r="C917">
        <f>[1]发票导入!C917&amp;""</f>
      </c>
      <c r="D917">
        <f>[1]发票导入!D917&amp;""</f>
      </c>
      <c r="O917">
        <f>[1]发票导入!O917&amp;""</f>
      </c>
      <c r="T917">
        <f>[1]发票导入!T917</f>
      </c>
      <c r="U917">
        <f>[1]发票导入!U917&amp;""</f>
      </c>
      <c r="V917">
        <f>[1]发票导入!V917&amp;""</f>
      </c>
      <c r="W917">
        <f>[1]发票导入!W917&amp;""</f>
      </c>
      <c r="Y917">
        <f>[1]发票导入!Y917&amp;""</f>
      </c>
      <c r="AA917">
        <f>[1]发票导入!AA917&amp;""</f>
      </c>
      <c r="AB917">
        <f>[1]发票导入!AB917</f>
        <v>0</v>
      </c>
      <c r="AC917">
        <f>[1]发票导入!AC917</f>
        <v>0</v>
      </c>
      <c r="AE917" s="22">
        <f t="shared" si="0"/>
      </c>
      <c r="AI917">
        <f>[1]发票导入!AI917&amp;""</f>
      </c>
      <c r="AJ917">
        <f>[1]发票导入!AJ917&amp;""</f>
      </c>
      <c r="AK917">
        <f>[1]发票导入!AK917</f>
        <v>0</v>
      </c>
      <c r="AL917">
        <f>[1]发票导入!AL917</f>
        <v>0</v>
      </c>
      <c r="AM917">
        <f>[1]发票导入!AM917</f>
        <v>0</v>
      </c>
      <c r="AN917" s="22">
        <f t="shared" si="1"/>
        <v>0</v>
      </c>
      <c r="AO917" s="22">
        <f t="shared" si="2"/>
        <v>0</v>
      </c>
    </row>
    <row r="918">
      <c r="C918">
        <f>[1]发票导入!C918&amp;""</f>
      </c>
      <c r="D918">
        <f>[1]发票导入!D918&amp;""</f>
      </c>
      <c r="O918">
        <f>[1]发票导入!O918&amp;""</f>
      </c>
      <c r="T918">
        <f>[1]发票导入!T918</f>
      </c>
      <c r="U918">
        <f>[1]发票导入!U918&amp;""</f>
      </c>
      <c r="V918">
        <f>[1]发票导入!V918&amp;""</f>
      </c>
      <c r="W918">
        <f>[1]发票导入!W918&amp;""</f>
      </c>
      <c r="Y918">
        <f>[1]发票导入!Y918&amp;""</f>
      </c>
      <c r="AA918">
        <f>[1]发票导入!AA918&amp;""</f>
      </c>
      <c r="AB918">
        <f>[1]发票导入!AB918</f>
        <v>0</v>
      </c>
      <c r="AC918">
        <f>[1]发票导入!AC918</f>
        <v>0</v>
      </c>
      <c r="AE918" s="22">
        <f t="shared" si="0"/>
      </c>
      <c r="AI918">
        <f>[1]发票导入!AI918&amp;""</f>
      </c>
      <c r="AJ918">
        <f>[1]发票导入!AJ918&amp;""</f>
      </c>
      <c r="AK918">
        <f>[1]发票导入!AK918</f>
        <v>0</v>
      </c>
      <c r="AL918">
        <f>[1]发票导入!AL918</f>
        <v>0</v>
      </c>
      <c r="AM918">
        <f>[1]发票导入!AM918</f>
        <v>0</v>
      </c>
      <c r="AN918" s="22">
        <f t="shared" si="1"/>
        <v>0</v>
      </c>
      <c r="AO918" s="22">
        <f t="shared" si="2"/>
        <v>0</v>
      </c>
    </row>
    <row r="919">
      <c r="C919">
        <f>[1]发票导入!C919&amp;""</f>
      </c>
      <c r="D919">
        <f>[1]发票导入!D919&amp;""</f>
      </c>
      <c r="O919">
        <f>[1]发票导入!O919&amp;""</f>
      </c>
      <c r="T919">
        <f>[1]发票导入!T919</f>
      </c>
      <c r="U919">
        <f>[1]发票导入!U919&amp;""</f>
      </c>
      <c r="V919">
        <f>[1]发票导入!V919&amp;""</f>
      </c>
      <c r="W919">
        <f>[1]发票导入!W919&amp;""</f>
      </c>
      <c r="Y919">
        <f>[1]发票导入!Y919&amp;""</f>
      </c>
      <c r="AA919">
        <f>[1]发票导入!AA919&amp;""</f>
      </c>
      <c r="AB919">
        <f>[1]发票导入!AB919</f>
        <v>0</v>
      </c>
      <c r="AC919">
        <f>[1]发票导入!AC919</f>
        <v>0</v>
      </c>
      <c r="AE919" s="22">
        <f t="shared" si="0"/>
      </c>
      <c r="AI919">
        <f>[1]发票导入!AI919&amp;""</f>
      </c>
      <c r="AJ919">
        <f>[1]发票导入!AJ919&amp;""</f>
      </c>
      <c r="AK919">
        <f>[1]发票导入!AK919</f>
        <v>0</v>
      </c>
      <c r="AL919">
        <f>[1]发票导入!AL919</f>
        <v>0</v>
      </c>
      <c r="AM919">
        <f>[1]发票导入!AM919</f>
        <v>0</v>
      </c>
      <c r="AN919" s="22">
        <f t="shared" si="1"/>
        <v>0</v>
      </c>
      <c r="AO919" s="22">
        <f t="shared" si="2"/>
        <v>0</v>
      </c>
    </row>
    <row r="920">
      <c r="C920">
        <f>[1]发票导入!C920&amp;""</f>
      </c>
      <c r="D920">
        <f>[1]发票导入!D920&amp;""</f>
      </c>
      <c r="O920">
        <f>[1]发票导入!O920&amp;""</f>
      </c>
      <c r="T920">
        <f>[1]发票导入!T920</f>
      </c>
      <c r="U920">
        <f>[1]发票导入!U920&amp;""</f>
      </c>
      <c r="V920">
        <f>[1]发票导入!V920&amp;""</f>
      </c>
      <c r="W920">
        <f>[1]发票导入!W920&amp;""</f>
      </c>
      <c r="Y920">
        <f>[1]发票导入!Y920&amp;""</f>
      </c>
      <c r="AA920">
        <f>[1]发票导入!AA920&amp;""</f>
      </c>
      <c r="AB920">
        <f>[1]发票导入!AB920</f>
        <v>0</v>
      </c>
      <c r="AC920">
        <f>[1]发票导入!AC920</f>
        <v>0</v>
      </c>
      <c r="AE920" s="22">
        <f t="shared" si="0"/>
      </c>
      <c r="AI920">
        <f>[1]发票导入!AI920&amp;""</f>
      </c>
      <c r="AJ920">
        <f>[1]发票导入!AJ920&amp;""</f>
      </c>
      <c r="AK920">
        <f>[1]发票导入!AK920</f>
        <v>0</v>
      </c>
      <c r="AL920">
        <f>[1]发票导入!AL920</f>
        <v>0</v>
      </c>
      <c r="AM920">
        <f>[1]发票导入!AM920</f>
        <v>0</v>
      </c>
      <c r="AN920" s="22">
        <f t="shared" si="1"/>
        <v>0</v>
      </c>
      <c r="AO920" s="22">
        <f t="shared" si="2"/>
        <v>0</v>
      </c>
    </row>
    <row r="921">
      <c r="C921">
        <f>[1]发票导入!C921&amp;""</f>
      </c>
      <c r="D921">
        <f>[1]发票导入!D921&amp;""</f>
      </c>
      <c r="O921">
        <f>[1]发票导入!O921&amp;""</f>
      </c>
      <c r="T921">
        <f>[1]发票导入!T921</f>
      </c>
      <c r="U921">
        <f>[1]发票导入!U921&amp;""</f>
      </c>
      <c r="V921">
        <f>[1]发票导入!V921&amp;""</f>
      </c>
      <c r="W921">
        <f>[1]发票导入!W921&amp;""</f>
      </c>
      <c r="Y921">
        <f>[1]发票导入!Y921&amp;""</f>
      </c>
      <c r="AA921">
        <f>[1]发票导入!AA921&amp;""</f>
      </c>
      <c r="AB921">
        <f>[1]发票导入!AB921</f>
        <v>0</v>
      </c>
      <c r="AC921">
        <f>[1]发票导入!AC921</f>
        <v>0</v>
      </c>
      <c r="AE921" s="22">
        <f t="shared" si="0"/>
      </c>
      <c r="AI921">
        <f>[1]发票导入!AI921&amp;""</f>
      </c>
      <c r="AJ921">
        <f>[1]发票导入!AJ921&amp;""</f>
      </c>
      <c r="AK921">
        <f>[1]发票导入!AK921</f>
        <v>0</v>
      </c>
      <c r="AL921">
        <f>[1]发票导入!AL921</f>
        <v>0</v>
      </c>
      <c r="AM921">
        <f>[1]发票导入!AM921</f>
        <v>0</v>
      </c>
      <c r="AN921" s="22">
        <f t="shared" si="1"/>
        <v>0</v>
      </c>
      <c r="AO921" s="22">
        <f t="shared" si="2"/>
        <v>0</v>
      </c>
    </row>
    <row r="922">
      <c r="C922">
        <f>[1]发票导入!C922&amp;""</f>
      </c>
      <c r="D922">
        <f>[1]发票导入!D922&amp;""</f>
      </c>
      <c r="O922">
        <f>[1]发票导入!O922&amp;""</f>
      </c>
      <c r="T922">
        <f>[1]发票导入!T922</f>
      </c>
      <c r="U922">
        <f>[1]发票导入!U922&amp;""</f>
      </c>
      <c r="V922">
        <f>[1]发票导入!V922&amp;""</f>
      </c>
      <c r="W922">
        <f>[1]发票导入!W922&amp;""</f>
      </c>
      <c r="Y922">
        <f>[1]发票导入!Y922&amp;""</f>
      </c>
      <c r="AA922">
        <f>[1]发票导入!AA922&amp;""</f>
      </c>
      <c r="AB922">
        <f>[1]发票导入!AB922</f>
        <v>0</v>
      </c>
      <c r="AC922">
        <f>[1]发票导入!AC922</f>
        <v>0</v>
      </c>
      <c r="AE922" s="22">
        <f t="shared" si="0"/>
      </c>
      <c r="AI922">
        <f>[1]发票导入!AI922&amp;""</f>
      </c>
      <c r="AJ922">
        <f>[1]发票导入!AJ922&amp;""</f>
      </c>
      <c r="AK922">
        <f>[1]发票导入!AK922</f>
        <v>0</v>
      </c>
      <c r="AL922">
        <f>[1]发票导入!AL922</f>
        <v>0</v>
      </c>
      <c r="AM922">
        <f>[1]发票导入!AM922</f>
        <v>0</v>
      </c>
      <c r="AN922" s="22">
        <f t="shared" si="1"/>
        <v>0</v>
      </c>
      <c r="AO922" s="22">
        <f t="shared" si="2"/>
        <v>0</v>
      </c>
    </row>
    <row r="923">
      <c r="C923">
        <f>[1]发票导入!C923&amp;""</f>
      </c>
      <c r="D923">
        <f>[1]发票导入!D923&amp;""</f>
      </c>
      <c r="O923">
        <f>[1]发票导入!O923&amp;""</f>
      </c>
      <c r="T923">
        <f>[1]发票导入!T923</f>
      </c>
      <c r="U923">
        <f>[1]发票导入!U923&amp;""</f>
      </c>
      <c r="V923">
        <f>[1]发票导入!V923&amp;""</f>
      </c>
      <c r="W923">
        <f>[1]发票导入!W923&amp;""</f>
      </c>
      <c r="Y923">
        <f>[1]发票导入!Y923&amp;""</f>
      </c>
      <c r="AA923">
        <f>[1]发票导入!AA923&amp;""</f>
      </c>
      <c r="AB923">
        <f>[1]发票导入!AB923</f>
        <v>0</v>
      </c>
      <c r="AC923">
        <f>[1]发票导入!AC923</f>
        <v>0</v>
      </c>
      <c r="AE923" s="22">
        <f t="shared" si="0"/>
      </c>
      <c r="AI923">
        <f>[1]发票导入!AI923&amp;""</f>
      </c>
      <c r="AJ923">
        <f>[1]发票导入!AJ923&amp;""</f>
      </c>
      <c r="AK923">
        <f>[1]发票导入!AK923</f>
        <v>0</v>
      </c>
      <c r="AL923">
        <f>[1]发票导入!AL923</f>
        <v>0</v>
      </c>
      <c r="AM923">
        <f>[1]发票导入!AM923</f>
        <v>0</v>
      </c>
      <c r="AN923" s="22">
        <f t="shared" si="1"/>
        <v>0</v>
      </c>
      <c r="AO923" s="22">
        <f t="shared" si="2"/>
        <v>0</v>
      </c>
    </row>
    <row r="924">
      <c r="C924">
        <f>[1]发票导入!C924&amp;""</f>
      </c>
      <c r="D924">
        <f>[1]发票导入!D924&amp;""</f>
      </c>
      <c r="O924">
        <f>[1]发票导入!O924&amp;""</f>
      </c>
      <c r="T924">
        <f>[1]发票导入!T924</f>
      </c>
      <c r="U924">
        <f>[1]发票导入!U924&amp;""</f>
      </c>
      <c r="V924">
        <f>[1]发票导入!V924&amp;""</f>
      </c>
      <c r="W924">
        <f>[1]发票导入!W924&amp;""</f>
      </c>
      <c r="Y924">
        <f>[1]发票导入!Y924&amp;""</f>
      </c>
      <c r="AA924">
        <f>[1]发票导入!AA924&amp;""</f>
      </c>
      <c r="AB924">
        <f>[1]发票导入!AB924</f>
        <v>0</v>
      </c>
      <c r="AC924">
        <f>[1]发票导入!AC924</f>
        <v>0</v>
      </c>
      <c r="AE924" s="22">
        <f t="shared" si="0"/>
      </c>
      <c r="AI924">
        <f>[1]发票导入!AI924&amp;""</f>
      </c>
      <c r="AJ924">
        <f>[1]发票导入!AJ924&amp;""</f>
      </c>
      <c r="AK924">
        <f>[1]发票导入!AK924</f>
        <v>0</v>
      </c>
      <c r="AL924">
        <f>[1]发票导入!AL924</f>
        <v>0</v>
      </c>
      <c r="AM924">
        <f>[1]发票导入!AM924</f>
        <v>0</v>
      </c>
      <c r="AN924" s="22">
        <f t="shared" si="1"/>
        <v>0</v>
      </c>
      <c r="AO924" s="22">
        <f t="shared" si="2"/>
        <v>0</v>
      </c>
    </row>
    <row r="925">
      <c r="C925">
        <f>[1]发票导入!C925&amp;""</f>
      </c>
      <c r="D925">
        <f>[1]发票导入!D925&amp;""</f>
      </c>
      <c r="O925">
        <f>[1]发票导入!O925&amp;""</f>
      </c>
      <c r="T925">
        <f>[1]发票导入!T925</f>
      </c>
      <c r="U925">
        <f>[1]发票导入!U925&amp;""</f>
      </c>
      <c r="V925">
        <f>[1]发票导入!V925&amp;""</f>
      </c>
      <c r="W925">
        <f>[1]发票导入!W925&amp;""</f>
      </c>
      <c r="Y925">
        <f>[1]发票导入!Y925&amp;""</f>
      </c>
      <c r="AA925">
        <f>[1]发票导入!AA925&amp;""</f>
      </c>
      <c r="AB925">
        <f>[1]发票导入!AB925</f>
        <v>0</v>
      </c>
      <c r="AC925">
        <f>[1]发票导入!AC925</f>
        <v>0</v>
      </c>
      <c r="AE925" s="22">
        <f t="shared" si="0"/>
      </c>
      <c r="AI925">
        <f>[1]发票导入!AI925&amp;""</f>
      </c>
      <c r="AJ925">
        <f>[1]发票导入!AJ925&amp;""</f>
      </c>
      <c r="AK925">
        <f>[1]发票导入!AK925</f>
        <v>0</v>
      </c>
      <c r="AL925">
        <f>[1]发票导入!AL925</f>
        <v>0</v>
      </c>
      <c r="AM925">
        <f>[1]发票导入!AM925</f>
        <v>0</v>
      </c>
      <c r="AN925" s="22">
        <f t="shared" si="1"/>
        <v>0</v>
      </c>
      <c r="AO925" s="22">
        <f t="shared" si="2"/>
        <v>0</v>
      </c>
    </row>
    <row r="926">
      <c r="C926">
        <f>[1]发票导入!C926&amp;""</f>
      </c>
      <c r="D926">
        <f>[1]发票导入!D926&amp;""</f>
      </c>
      <c r="O926">
        <f>[1]发票导入!O926&amp;""</f>
      </c>
      <c r="T926">
        <f>[1]发票导入!T926</f>
      </c>
      <c r="U926">
        <f>[1]发票导入!U926&amp;""</f>
      </c>
      <c r="V926">
        <f>[1]发票导入!V926&amp;""</f>
      </c>
      <c r="W926">
        <f>[1]发票导入!W926&amp;""</f>
      </c>
      <c r="Y926">
        <f>[1]发票导入!Y926&amp;""</f>
      </c>
      <c r="AA926">
        <f>[1]发票导入!AA926&amp;""</f>
      </c>
      <c r="AB926">
        <f>[1]发票导入!AB926</f>
        <v>0</v>
      </c>
      <c r="AC926">
        <f>[1]发票导入!AC926</f>
        <v>0</v>
      </c>
      <c r="AE926" s="22">
        <f t="shared" si="0"/>
      </c>
      <c r="AI926">
        <f>[1]发票导入!AI926&amp;""</f>
      </c>
      <c r="AJ926">
        <f>[1]发票导入!AJ926&amp;""</f>
      </c>
      <c r="AK926">
        <f>[1]发票导入!AK926</f>
        <v>0</v>
      </c>
      <c r="AL926">
        <f>[1]发票导入!AL926</f>
        <v>0</v>
      </c>
      <c r="AM926">
        <f>[1]发票导入!AM926</f>
        <v>0</v>
      </c>
      <c r="AN926" s="22">
        <f t="shared" si="1"/>
        <v>0</v>
      </c>
      <c r="AO926" s="22">
        <f t="shared" si="2"/>
        <v>0</v>
      </c>
    </row>
    <row r="927">
      <c r="C927">
        <f>[1]发票导入!C927&amp;""</f>
      </c>
      <c r="D927">
        <f>[1]发票导入!D927&amp;""</f>
      </c>
      <c r="O927">
        <f>[1]发票导入!O927&amp;""</f>
      </c>
      <c r="T927">
        <f>[1]发票导入!T927</f>
      </c>
      <c r="U927">
        <f>[1]发票导入!U927&amp;""</f>
      </c>
      <c r="V927">
        <f>[1]发票导入!V927&amp;""</f>
      </c>
      <c r="W927">
        <f>[1]发票导入!W927&amp;""</f>
      </c>
      <c r="Y927">
        <f>[1]发票导入!Y927&amp;""</f>
      </c>
      <c r="AA927">
        <f>[1]发票导入!AA927&amp;""</f>
      </c>
      <c r="AB927">
        <f>[1]发票导入!AB927</f>
        <v>0</v>
      </c>
      <c r="AC927">
        <f>[1]发票导入!AC927</f>
        <v>0</v>
      </c>
      <c r="AE927" s="22">
        <f t="shared" si="0"/>
      </c>
      <c r="AI927">
        <f>[1]发票导入!AI927&amp;""</f>
      </c>
      <c r="AJ927">
        <f>[1]发票导入!AJ927&amp;""</f>
      </c>
      <c r="AK927">
        <f>[1]发票导入!AK927</f>
        <v>0</v>
      </c>
      <c r="AL927">
        <f>[1]发票导入!AL927</f>
        <v>0</v>
      </c>
      <c r="AM927">
        <f>[1]发票导入!AM927</f>
        <v>0</v>
      </c>
      <c r="AN927" s="22">
        <f t="shared" si="1"/>
        <v>0</v>
      </c>
      <c r="AO927" s="22">
        <f t="shared" si="2"/>
        <v>0</v>
      </c>
    </row>
    <row r="928">
      <c r="C928">
        <f>[1]发票导入!C928&amp;""</f>
      </c>
      <c r="D928">
        <f>[1]发票导入!D928&amp;""</f>
      </c>
      <c r="O928">
        <f>[1]发票导入!O928&amp;""</f>
      </c>
      <c r="T928">
        <f>[1]发票导入!T928</f>
      </c>
      <c r="U928">
        <f>[1]发票导入!U928&amp;""</f>
      </c>
      <c r="V928">
        <f>[1]发票导入!V928&amp;""</f>
      </c>
      <c r="W928">
        <f>[1]发票导入!W928&amp;""</f>
      </c>
      <c r="Y928">
        <f>[1]发票导入!Y928&amp;""</f>
      </c>
      <c r="AA928">
        <f>[1]发票导入!AA928&amp;""</f>
      </c>
      <c r="AB928">
        <f>[1]发票导入!AB928</f>
        <v>0</v>
      </c>
      <c r="AC928">
        <f>[1]发票导入!AC928</f>
        <v>0</v>
      </c>
      <c r="AE928" s="22">
        <f t="shared" si="0"/>
      </c>
      <c r="AI928">
        <f>[1]发票导入!AI928&amp;""</f>
      </c>
      <c r="AJ928">
        <f>[1]发票导入!AJ928&amp;""</f>
      </c>
      <c r="AK928">
        <f>[1]发票导入!AK928</f>
        <v>0</v>
      </c>
      <c r="AL928">
        <f>[1]发票导入!AL928</f>
        <v>0</v>
      </c>
      <c r="AM928">
        <f>[1]发票导入!AM928</f>
        <v>0</v>
      </c>
      <c r="AN928" s="22">
        <f t="shared" si="1"/>
        <v>0</v>
      </c>
      <c r="AO928" s="22">
        <f t="shared" si="2"/>
        <v>0</v>
      </c>
    </row>
    <row r="929">
      <c r="C929">
        <f>[1]发票导入!C929&amp;""</f>
      </c>
      <c r="D929">
        <f>[1]发票导入!D929&amp;""</f>
      </c>
      <c r="O929">
        <f>[1]发票导入!O929&amp;""</f>
      </c>
      <c r="T929">
        <f>[1]发票导入!T929</f>
      </c>
      <c r="U929">
        <f>[1]发票导入!U929&amp;""</f>
      </c>
      <c r="V929">
        <f>[1]发票导入!V929&amp;""</f>
      </c>
      <c r="W929">
        <f>[1]发票导入!W929&amp;""</f>
      </c>
      <c r="Y929">
        <f>[1]发票导入!Y929&amp;""</f>
      </c>
      <c r="AA929">
        <f>[1]发票导入!AA929&amp;""</f>
      </c>
      <c r="AB929">
        <f>[1]发票导入!AB929</f>
        <v>0</v>
      </c>
      <c r="AC929">
        <f>[1]发票导入!AC929</f>
        <v>0</v>
      </c>
      <c r="AE929" s="22">
        <f t="shared" si="0"/>
      </c>
      <c r="AI929">
        <f>[1]发票导入!AI929&amp;""</f>
      </c>
      <c r="AJ929">
        <f>[1]发票导入!AJ929&amp;""</f>
      </c>
      <c r="AK929">
        <f>[1]发票导入!AK929</f>
        <v>0</v>
      </c>
      <c r="AL929">
        <f>[1]发票导入!AL929</f>
        <v>0</v>
      </c>
      <c r="AM929">
        <f>[1]发票导入!AM929</f>
        <v>0</v>
      </c>
      <c r="AN929" s="22">
        <f t="shared" si="1"/>
        <v>0</v>
      </c>
      <c r="AO929" s="22">
        <f t="shared" si="2"/>
        <v>0</v>
      </c>
    </row>
    <row r="930">
      <c r="C930">
        <f>[1]发票导入!C930&amp;""</f>
      </c>
      <c r="D930">
        <f>[1]发票导入!D930&amp;""</f>
      </c>
      <c r="O930">
        <f>[1]发票导入!O930&amp;""</f>
      </c>
      <c r="T930">
        <f>[1]发票导入!T930</f>
      </c>
      <c r="U930">
        <f>[1]发票导入!U930&amp;""</f>
      </c>
      <c r="V930">
        <f>[1]发票导入!V930&amp;""</f>
      </c>
      <c r="W930">
        <f>[1]发票导入!W930&amp;""</f>
      </c>
      <c r="Y930">
        <f>[1]发票导入!Y930&amp;""</f>
      </c>
      <c r="AA930">
        <f>[1]发票导入!AA930&amp;""</f>
      </c>
      <c r="AB930">
        <f>[1]发票导入!AB930</f>
        <v>0</v>
      </c>
      <c r="AC930">
        <f>[1]发票导入!AC930</f>
        <v>0</v>
      </c>
      <c r="AE930" s="22">
        <f t="shared" si="0"/>
      </c>
      <c r="AI930">
        <f>[1]发票导入!AI930&amp;""</f>
      </c>
      <c r="AJ930">
        <f>[1]发票导入!AJ930&amp;""</f>
      </c>
      <c r="AK930">
        <f>[1]发票导入!AK930</f>
        <v>0</v>
      </c>
      <c r="AL930">
        <f>[1]发票导入!AL930</f>
        <v>0</v>
      </c>
      <c r="AM930">
        <f>[1]发票导入!AM930</f>
        <v>0</v>
      </c>
      <c r="AN930" s="22">
        <f t="shared" si="1"/>
        <v>0</v>
      </c>
      <c r="AO930" s="22">
        <f t="shared" si="2"/>
        <v>0</v>
      </c>
    </row>
    <row r="931">
      <c r="C931">
        <f>[1]发票导入!C931&amp;""</f>
      </c>
      <c r="D931">
        <f>[1]发票导入!D931&amp;""</f>
      </c>
      <c r="O931">
        <f>[1]发票导入!O931&amp;""</f>
      </c>
      <c r="T931">
        <f>[1]发票导入!T931</f>
      </c>
      <c r="U931">
        <f>[1]发票导入!U931&amp;""</f>
      </c>
      <c r="V931">
        <f>[1]发票导入!V931&amp;""</f>
      </c>
      <c r="W931">
        <f>[1]发票导入!W931&amp;""</f>
      </c>
      <c r="Y931">
        <f>[1]发票导入!Y931&amp;""</f>
      </c>
      <c r="AA931">
        <f>[1]发票导入!AA931&amp;""</f>
      </c>
      <c r="AB931">
        <f>[1]发票导入!AB931</f>
        <v>0</v>
      </c>
      <c r="AC931">
        <f>[1]发票导入!AC931</f>
        <v>0</v>
      </c>
      <c r="AE931" s="22">
        <f t="shared" si="0"/>
      </c>
      <c r="AI931">
        <f>[1]发票导入!AI931&amp;""</f>
      </c>
      <c r="AJ931">
        <f>[1]发票导入!AJ931&amp;""</f>
      </c>
      <c r="AK931">
        <f>[1]发票导入!AK931</f>
        <v>0</v>
      </c>
      <c r="AL931">
        <f>[1]发票导入!AL931</f>
        <v>0</v>
      </c>
      <c r="AM931">
        <f>[1]发票导入!AM931</f>
        <v>0</v>
      </c>
      <c r="AN931" s="22">
        <f t="shared" si="1"/>
        <v>0</v>
      </c>
      <c r="AO931" s="22">
        <f t="shared" si="2"/>
        <v>0</v>
      </c>
    </row>
    <row r="932">
      <c r="C932">
        <f>[1]发票导入!C932&amp;""</f>
      </c>
      <c r="D932">
        <f>[1]发票导入!D932&amp;""</f>
      </c>
      <c r="O932">
        <f>[1]发票导入!O932&amp;""</f>
      </c>
      <c r="T932">
        <f>[1]发票导入!T932</f>
      </c>
      <c r="U932">
        <f>[1]发票导入!U932&amp;""</f>
      </c>
      <c r="V932">
        <f>[1]发票导入!V932&amp;""</f>
      </c>
      <c r="W932">
        <f>[1]发票导入!W932&amp;""</f>
      </c>
      <c r="Y932">
        <f>[1]发票导入!Y932&amp;""</f>
      </c>
      <c r="AA932">
        <f>[1]发票导入!AA932&amp;""</f>
      </c>
      <c r="AB932">
        <f>[1]发票导入!AB932</f>
        <v>0</v>
      </c>
      <c r="AC932">
        <f>[1]发票导入!AC932</f>
        <v>0</v>
      </c>
      <c r="AE932" s="22">
        <f t="shared" si="0"/>
      </c>
      <c r="AI932">
        <f>[1]发票导入!AI932&amp;""</f>
      </c>
      <c r="AJ932">
        <f>[1]发票导入!AJ932&amp;""</f>
      </c>
      <c r="AK932">
        <f>[1]发票导入!AK932</f>
        <v>0</v>
      </c>
      <c r="AL932">
        <f>[1]发票导入!AL932</f>
        <v>0</v>
      </c>
      <c r="AM932">
        <f>[1]发票导入!AM932</f>
        <v>0</v>
      </c>
      <c r="AN932" s="22">
        <f t="shared" si="1"/>
        <v>0</v>
      </c>
      <c r="AO932" s="22">
        <f t="shared" si="2"/>
        <v>0</v>
      </c>
    </row>
    <row r="933">
      <c r="C933">
        <f>[1]发票导入!C933&amp;""</f>
      </c>
      <c r="D933">
        <f>[1]发票导入!D933&amp;""</f>
      </c>
      <c r="O933">
        <f>[1]发票导入!O933&amp;""</f>
      </c>
      <c r="T933">
        <f>[1]发票导入!T933</f>
      </c>
      <c r="U933">
        <f>[1]发票导入!U933&amp;""</f>
      </c>
      <c r="V933">
        <f>[1]发票导入!V933&amp;""</f>
      </c>
      <c r="W933">
        <f>[1]发票导入!W933&amp;""</f>
      </c>
      <c r="Y933">
        <f>[1]发票导入!Y933&amp;""</f>
      </c>
      <c r="AA933">
        <f>[1]发票导入!AA933&amp;""</f>
      </c>
      <c r="AB933">
        <f>[1]发票导入!AB933</f>
        <v>0</v>
      </c>
      <c r="AC933">
        <f>[1]发票导入!AC933</f>
        <v>0</v>
      </c>
      <c r="AE933" s="22">
        <f t="shared" si="0"/>
      </c>
      <c r="AI933">
        <f>[1]发票导入!AI933&amp;""</f>
      </c>
      <c r="AJ933">
        <f>[1]发票导入!AJ933&amp;""</f>
      </c>
      <c r="AK933">
        <f>[1]发票导入!AK933</f>
        <v>0</v>
      </c>
      <c r="AL933">
        <f>[1]发票导入!AL933</f>
        <v>0</v>
      </c>
      <c r="AM933">
        <f>[1]发票导入!AM933</f>
        <v>0</v>
      </c>
      <c r="AN933" s="22">
        <f t="shared" si="1"/>
        <v>0</v>
      </c>
      <c r="AO933" s="22">
        <f t="shared" si="2"/>
        <v>0</v>
      </c>
    </row>
    <row r="934">
      <c r="C934">
        <f>[1]发票导入!C934&amp;""</f>
      </c>
      <c r="D934">
        <f>[1]发票导入!D934&amp;""</f>
      </c>
      <c r="O934">
        <f>[1]发票导入!O934&amp;""</f>
      </c>
      <c r="T934">
        <f>[1]发票导入!T934</f>
      </c>
      <c r="U934">
        <f>[1]发票导入!U934&amp;""</f>
      </c>
      <c r="V934">
        <f>[1]发票导入!V934&amp;""</f>
      </c>
      <c r="W934">
        <f>[1]发票导入!W934&amp;""</f>
      </c>
      <c r="Y934">
        <f>[1]发票导入!Y934&amp;""</f>
      </c>
      <c r="AA934">
        <f>[1]发票导入!AA934&amp;""</f>
      </c>
      <c r="AB934">
        <f>[1]发票导入!AB934</f>
        <v>0</v>
      </c>
      <c r="AC934">
        <f>[1]发票导入!AC934</f>
        <v>0</v>
      </c>
      <c r="AE934" s="22">
        <f t="shared" si="0"/>
      </c>
      <c r="AI934">
        <f>[1]发票导入!AI934&amp;""</f>
      </c>
      <c r="AJ934">
        <f>[1]发票导入!AJ934&amp;""</f>
      </c>
      <c r="AK934">
        <f>[1]发票导入!AK934</f>
        <v>0</v>
      </c>
      <c r="AL934">
        <f>[1]发票导入!AL934</f>
        <v>0</v>
      </c>
      <c r="AM934">
        <f>[1]发票导入!AM934</f>
        <v>0</v>
      </c>
      <c r="AN934" s="22">
        <f t="shared" si="1"/>
        <v>0</v>
      </c>
      <c r="AO934" s="22">
        <f t="shared" si="2"/>
        <v>0</v>
      </c>
    </row>
    <row r="935">
      <c r="C935">
        <f>[1]发票导入!C935&amp;""</f>
      </c>
      <c r="D935">
        <f>[1]发票导入!D935&amp;""</f>
      </c>
      <c r="O935">
        <f>[1]发票导入!O935&amp;""</f>
      </c>
      <c r="T935">
        <f>[1]发票导入!T935</f>
      </c>
      <c r="U935">
        <f>[1]发票导入!U935&amp;""</f>
      </c>
      <c r="V935">
        <f>[1]发票导入!V935&amp;""</f>
      </c>
      <c r="W935">
        <f>[1]发票导入!W935&amp;""</f>
      </c>
      <c r="Y935">
        <f>[1]发票导入!Y935&amp;""</f>
      </c>
      <c r="AA935">
        <f>[1]发票导入!AA935&amp;""</f>
      </c>
      <c r="AB935">
        <f>[1]发票导入!AB935</f>
        <v>0</v>
      </c>
      <c r="AC935">
        <f>[1]发票导入!AC935</f>
        <v>0</v>
      </c>
      <c r="AE935" s="22">
        <f t="shared" si="0"/>
      </c>
      <c r="AI935">
        <f>[1]发票导入!AI935&amp;""</f>
      </c>
      <c r="AJ935">
        <f>[1]发票导入!AJ935&amp;""</f>
      </c>
      <c r="AK935">
        <f>[1]发票导入!AK935</f>
        <v>0</v>
      </c>
      <c r="AL935">
        <f>[1]发票导入!AL935</f>
        <v>0</v>
      </c>
      <c r="AM935">
        <f>[1]发票导入!AM935</f>
        <v>0</v>
      </c>
      <c r="AN935" s="22">
        <f t="shared" si="1"/>
        <v>0</v>
      </c>
      <c r="AO935" s="22">
        <f t="shared" si="2"/>
        <v>0</v>
      </c>
    </row>
    <row r="936">
      <c r="C936">
        <f>[1]发票导入!C936&amp;""</f>
      </c>
      <c r="D936">
        <f>[1]发票导入!D936&amp;""</f>
      </c>
      <c r="O936">
        <f>[1]发票导入!O936&amp;""</f>
      </c>
      <c r="T936">
        <f>[1]发票导入!T936</f>
      </c>
      <c r="U936">
        <f>[1]发票导入!U936&amp;""</f>
      </c>
      <c r="V936">
        <f>[1]发票导入!V936&amp;""</f>
      </c>
      <c r="W936">
        <f>[1]发票导入!W936&amp;""</f>
      </c>
      <c r="Y936">
        <f>[1]发票导入!Y936&amp;""</f>
      </c>
      <c r="AA936">
        <f>[1]发票导入!AA936&amp;""</f>
      </c>
      <c r="AB936">
        <f>[1]发票导入!AB936</f>
        <v>0</v>
      </c>
      <c r="AC936">
        <f>[1]发票导入!AC936</f>
        <v>0</v>
      </c>
      <c r="AE936" s="22">
        <f t="shared" si="0"/>
      </c>
      <c r="AI936">
        <f>[1]发票导入!AI936&amp;""</f>
      </c>
      <c r="AJ936">
        <f>[1]发票导入!AJ936&amp;""</f>
      </c>
      <c r="AK936">
        <f>[1]发票导入!AK936</f>
        <v>0</v>
      </c>
      <c r="AL936">
        <f>[1]发票导入!AL936</f>
        <v>0</v>
      </c>
      <c r="AM936">
        <f>[1]发票导入!AM936</f>
        <v>0</v>
      </c>
      <c r="AN936" s="22">
        <f t="shared" si="1"/>
        <v>0</v>
      </c>
      <c r="AO936" s="22">
        <f t="shared" si="2"/>
        <v>0</v>
      </c>
    </row>
    <row r="937">
      <c r="C937">
        <f>[1]发票导入!C937&amp;""</f>
      </c>
      <c r="D937">
        <f>[1]发票导入!D937&amp;""</f>
      </c>
      <c r="O937">
        <f>[1]发票导入!O937&amp;""</f>
      </c>
      <c r="T937">
        <f>[1]发票导入!T937</f>
      </c>
      <c r="U937">
        <f>[1]发票导入!U937&amp;""</f>
      </c>
      <c r="V937">
        <f>[1]发票导入!V937&amp;""</f>
      </c>
      <c r="W937">
        <f>[1]发票导入!W937&amp;""</f>
      </c>
      <c r="Y937">
        <f>[1]发票导入!Y937&amp;""</f>
      </c>
      <c r="AA937">
        <f>[1]发票导入!AA937&amp;""</f>
      </c>
      <c r="AB937">
        <f>[1]发票导入!AB937</f>
        <v>0</v>
      </c>
      <c r="AC937">
        <f>[1]发票导入!AC937</f>
        <v>0</v>
      </c>
      <c r="AE937" s="22">
        <f t="shared" si="0"/>
      </c>
      <c r="AI937">
        <f>[1]发票导入!AI937&amp;""</f>
      </c>
      <c r="AJ937">
        <f>[1]发票导入!AJ937&amp;""</f>
      </c>
      <c r="AK937">
        <f>[1]发票导入!AK937</f>
        <v>0</v>
      </c>
      <c r="AL937">
        <f>[1]发票导入!AL937</f>
        <v>0</v>
      </c>
      <c r="AM937">
        <f>[1]发票导入!AM937</f>
        <v>0</v>
      </c>
      <c r="AN937" s="22">
        <f t="shared" si="1"/>
        <v>0</v>
      </c>
      <c r="AO937" s="22">
        <f t="shared" si="2"/>
        <v>0</v>
      </c>
    </row>
    <row r="938">
      <c r="C938">
        <f>[1]发票导入!C938&amp;""</f>
      </c>
      <c r="D938">
        <f>[1]发票导入!D938&amp;""</f>
      </c>
      <c r="O938">
        <f>[1]发票导入!O938&amp;""</f>
      </c>
      <c r="T938">
        <f>[1]发票导入!T938</f>
      </c>
      <c r="U938">
        <f>[1]发票导入!U938&amp;""</f>
      </c>
      <c r="V938">
        <f>[1]发票导入!V938&amp;""</f>
      </c>
      <c r="W938">
        <f>[1]发票导入!W938&amp;""</f>
      </c>
      <c r="Y938">
        <f>[1]发票导入!Y938&amp;""</f>
      </c>
      <c r="AA938">
        <f>[1]发票导入!AA938&amp;""</f>
      </c>
      <c r="AB938">
        <f>[1]发票导入!AB938</f>
        <v>0</v>
      </c>
      <c r="AC938">
        <f>[1]发票导入!AC938</f>
        <v>0</v>
      </c>
      <c r="AE938" s="22">
        <f t="shared" si="0"/>
      </c>
      <c r="AI938">
        <f>[1]发票导入!AI938&amp;""</f>
      </c>
      <c r="AJ938">
        <f>[1]发票导入!AJ938&amp;""</f>
      </c>
      <c r="AK938">
        <f>[1]发票导入!AK938</f>
        <v>0</v>
      </c>
      <c r="AL938">
        <f>[1]发票导入!AL938</f>
        <v>0</v>
      </c>
      <c r="AM938">
        <f>[1]发票导入!AM938</f>
        <v>0</v>
      </c>
      <c r="AN938" s="22">
        <f t="shared" si="1"/>
        <v>0</v>
      </c>
      <c r="AO938" s="22">
        <f t="shared" si="2"/>
        <v>0</v>
      </c>
    </row>
    <row r="939">
      <c r="C939">
        <f>[1]发票导入!C939&amp;""</f>
      </c>
      <c r="D939">
        <f>[1]发票导入!D939&amp;""</f>
      </c>
      <c r="O939">
        <f>[1]发票导入!O939&amp;""</f>
      </c>
      <c r="T939">
        <f>[1]发票导入!T939</f>
      </c>
      <c r="U939">
        <f>[1]发票导入!U939&amp;""</f>
      </c>
      <c r="V939">
        <f>[1]发票导入!V939&amp;""</f>
      </c>
      <c r="W939">
        <f>[1]发票导入!W939&amp;""</f>
      </c>
      <c r="Y939">
        <f>[1]发票导入!Y939&amp;""</f>
      </c>
      <c r="AA939">
        <f>[1]发票导入!AA939&amp;""</f>
      </c>
      <c r="AB939">
        <f>[1]发票导入!AB939</f>
        <v>0</v>
      </c>
      <c r="AC939">
        <f>[1]发票导入!AC939</f>
        <v>0</v>
      </c>
      <c r="AE939" s="22">
        <f t="shared" si="0"/>
      </c>
      <c r="AI939">
        <f>[1]发票导入!AI939&amp;""</f>
      </c>
      <c r="AJ939">
        <f>[1]发票导入!AJ939&amp;""</f>
      </c>
      <c r="AK939">
        <f>[1]发票导入!AK939</f>
        <v>0</v>
      </c>
      <c r="AL939">
        <f>[1]发票导入!AL939</f>
        <v>0</v>
      </c>
      <c r="AM939">
        <f>[1]发票导入!AM939</f>
        <v>0</v>
      </c>
      <c r="AN939" s="22">
        <f t="shared" si="1"/>
        <v>0</v>
      </c>
      <c r="AO939" s="22">
        <f t="shared" si="2"/>
        <v>0</v>
      </c>
    </row>
    <row r="940">
      <c r="C940">
        <f>[1]发票导入!C940&amp;""</f>
      </c>
      <c r="D940">
        <f>[1]发票导入!D940&amp;""</f>
      </c>
      <c r="O940">
        <f>[1]发票导入!O940&amp;""</f>
      </c>
      <c r="T940">
        <f>[1]发票导入!T940</f>
      </c>
      <c r="U940">
        <f>[1]发票导入!U940&amp;""</f>
      </c>
      <c r="V940">
        <f>[1]发票导入!V940&amp;""</f>
      </c>
      <c r="W940">
        <f>[1]发票导入!W940&amp;""</f>
      </c>
      <c r="Y940">
        <f>[1]发票导入!Y940&amp;""</f>
      </c>
      <c r="AA940">
        <f>[1]发票导入!AA940&amp;""</f>
      </c>
      <c r="AB940">
        <f>[1]发票导入!AB940</f>
        <v>0</v>
      </c>
      <c r="AC940">
        <f>[1]发票导入!AC940</f>
        <v>0</v>
      </c>
      <c r="AE940" s="22">
        <f t="shared" si="0"/>
      </c>
      <c r="AI940">
        <f>[1]发票导入!AI940&amp;""</f>
      </c>
      <c r="AJ940">
        <f>[1]发票导入!AJ940&amp;""</f>
      </c>
      <c r="AK940">
        <f>[1]发票导入!AK940</f>
        <v>0</v>
      </c>
      <c r="AL940">
        <f>[1]发票导入!AL940</f>
        <v>0</v>
      </c>
      <c r="AM940">
        <f>[1]发票导入!AM940</f>
        <v>0</v>
      </c>
      <c r="AN940" s="22">
        <f t="shared" si="1"/>
        <v>0</v>
      </c>
      <c r="AO940" s="22">
        <f t="shared" si="2"/>
        <v>0</v>
      </c>
    </row>
    <row r="941">
      <c r="C941">
        <f>[1]发票导入!C941&amp;""</f>
      </c>
      <c r="D941">
        <f>[1]发票导入!D941&amp;""</f>
      </c>
      <c r="O941">
        <f>[1]发票导入!O941&amp;""</f>
      </c>
      <c r="T941">
        <f>[1]发票导入!T941</f>
      </c>
      <c r="U941">
        <f>[1]发票导入!U941&amp;""</f>
      </c>
      <c r="V941">
        <f>[1]发票导入!V941&amp;""</f>
      </c>
      <c r="W941">
        <f>[1]发票导入!W941&amp;""</f>
      </c>
      <c r="Y941">
        <f>[1]发票导入!Y941&amp;""</f>
      </c>
      <c r="AA941">
        <f>[1]发票导入!AA941&amp;""</f>
      </c>
      <c r="AB941">
        <f>[1]发票导入!AB941</f>
        <v>0</v>
      </c>
      <c r="AC941">
        <f>[1]发票导入!AC941</f>
        <v>0</v>
      </c>
      <c r="AE941" s="22">
        <f t="shared" si="0"/>
      </c>
      <c r="AI941">
        <f>[1]发票导入!AI941&amp;""</f>
      </c>
      <c r="AJ941">
        <f>[1]发票导入!AJ941&amp;""</f>
      </c>
      <c r="AK941">
        <f>[1]发票导入!AK941</f>
        <v>0</v>
      </c>
      <c r="AL941">
        <f>[1]发票导入!AL941</f>
        <v>0</v>
      </c>
      <c r="AM941">
        <f>[1]发票导入!AM941</f>
        <v>0</v>
      </c>
      <c r="AN941" s="22">
        <f t="shared" si="1"/>
        <v>0</v>
      </c>
      <c r="AO941" s="22">
        <f t="shared" si="2"/>
        <v>0</v>
      </c>
    </row>
    <row r="942">
      <c r="C942">
        <f>[1]发票导入!C942&amp;""</f>
      </c>
      <c r="D942">
        <f>[1]发票导入!D942&amp;""</f>
      </c>
      <c r="O942">
        <f>[1]发票导入!O942&amp;""</f>
      </c>
      <c r="T942">
        <f>[1]发票导入!T942</f>
      </c>
      <c r="U942">
        <f>[1]发票导入!U942&amp;""</f>
      </c>
      <c r="V942">
        <f>[1]发票导入!V942&amp;""</f>
      </c>
      <c r="W942">
        <f>[1]发票导入!W942&amp;""</f>
      </c>
      <c r="Y942">
        <f>[1]发票导入!Y942&amp;""</f>
      </c>
      <c r="AA942">
        <f>[1]发票导入!AA942&amp;""</f>
      </c>
      <c r="AB942">
        <f>[1]发票导入!AB942</f>
        <v>0</v>
      </c>
      <c r="AC942">
        <f>[1]发票导入!AC942</f>
        <v>0</v>
      </c>
      <c r="AE942" s="22">
        <f t="shared" si="0"/>
      </c>
      <c r="AI942">
        <f>[1]发票导入!AI942&amp;""</f>
      </c>
      <c r="AJ942">
        <f>[1]发票导入!AJ942&amp;""</f>
      </c>
      <c r="AK942">
        <f>[1]发票导入!AK942</f>
        <v>0</v>
      </c>
      <c r="AL942">
        <f>[1]发票导入!AL942</f>
        <v>0</v>
      </c>
      <c r="AM942">
        <f>[1]发票导入!AM942</f>
        <v>0</v>
      </c>
      <c r="AN942" s="22">
        <f t="shared" si="1"/>
        <v>0</v>
      </c>
      <c r="AO942" s="22">
        <f t="shared" si="2"/>
        <v>0</v>
      </c>
    </row>
    <row r="943">
      <c r="C943">
        <f>[1]发票导入!C943&amp;""</f>
      </c>
      <c r="D943">
        <f>[1]发票导入!D943&amp;""</f>
      </c>
      <c r="O943">
        <f>[1]发票导入!O943&amp;""</f>
      </c>
      <c r="T943">
        <f>[1]发票导入!T943</f>
      </c>
      <c r="U943">
        <f>[1]发票导入!U943&amp;""</f>
      </c>
      <c r="V943">
        <f>[1]发票导入!V943&amp;""</f>
      </c>
      <c r="W943">
        <f>[1]发票导入!W943&amp;""</f>
      </c>
      <c r="Y943">
        <f>[1]发票导入!Y943&amp;""</f>
      </c>
      <c r="AA943">
        <f>[1]发票导入!AA943&amp;""</f>
      </c>
      <c r="AB943">
        <f>[1]发票导入!AB943</f>
        <v>0</v>
      </c>
      <c r="AC943">
        <f>[1]发票导入!AC943</f>
        <v>0</v>
      </c>
      <c r="AE943" s="22">
        <f t="shared" si="0"/>
      </c>
      <c r="AI943">
        <f>[1]发票导入!AI943&amp;""</f>
      </c>
      <c r="AJ943">
        <f>[1]发票导入!AJ943&amp;""</f>
      </c>
      <c r="AK943">
        <f>[1]发票导入!AK943</f>
        <v>0</v>
      </c>
      <c r="AL943">
        <f>[1]发票导入!AL943</f>
        <v>0</v>
      </c>
      <c r="AM943">
        <f>[1]发票导入!AM943</f>
        <v>0</v>
      </c>
      <c r="AN943" s="22">
        <f t="shared" si="1"/>
        <v>0</v>
      </c>
      <c r="AO943" s="22">
        <f t="shared" si="2"/>
        <v>0</v>
      </c>
    </row>
    <row r="944">
      <c r="C944">
        <f>[1]发票导入!C944&amp;""</f>
      </c>
      <c r="D944">
        <f>[1]发票导入!D944&amp;""</f>
      </c>
      <c r="O944">
        <f>[1]发票导入!O944&amp;""</f>
      </c>
      <c r="T944">
        <f>[1]发票导入!T944</f>
      </c>
      <c r="U944">
        <f>[1]发票导入!U944&amp;""</f>
      </c>
      <c r="V944">
        <f>[1]发票导入!V944&amp;""</f>
      </c>
      <c r="W944">
        <f>[1]发票导入!W944&amp;""</f>
      </c>
      <c r="Y944">
        <f>[1]发票导入!Y944&amp;""</f>
      </c>
      <c r="AA944">
        <f>[1]发票导入!AA944&amp;""</f>
      </c>
      <c r="AB944">
        <f>[1]发票导入!AB944</f>
        <v>0</v>
      </c>
      <c r="AC944">
        <f>[1]发票导入!AC944</f>
        <v>0</v>
      </c>
      <c r="AE944" s="22">
        <f t="shared" si="0"/>
      </c>
      <c r="AI944">
        <f>[1]发票导入!AI944&amp;""</f>
      </c>
      <c r="AJ944">
        <f>[1]发票导入!AJ944&amp;""</f>
      </c>
      <c r="AK944">
        <f>[1]发票导入!AK944</f>
        <v>0</v>
      </c>
      <c r="AL944">
        <f>[1]发票导入!AL944</f>
        <v>0</v>
      </c>
      <c r="AM944">
        <f>[1]发票导入!AM944</f>
        <v>0</v>
      </c>
      <c r="AN944" s="22">
        <f t="shared" si="1"/>
        <v>0</v>
      </c>
      <c r="AO944" s="22">
        <f t="shared" si="2"/>
        <v>0</v>
      </c>
    </row>
    <row r="945">
      <c r="C945">
        <f>[1]发票导入!C945&amp;""</f>
      </c>
      <c r="D945">
        <f>[1]发票导入!D945&amp;""</f>
      </c>
      <c r="O945">
        <f>[1]发票导入!O945&amp;""</f>
      </c>
      <c r="T945">
        <f>[1]发票导入!T945</f>
      </c>
      <c r="U945">
        <f>[1]发票导入!U945&amp;""</f>
      </c>
      <c r="V945">
        <f>[1]发票导入!V945&amp;""</f>
      </c>
      <c r="W945">
        <f>[1]发票导入!W945&amp;""</f>
      </c>
      <c r="Y945">
        <f>[1]发票导入!Y945&amp;""</f>
      </c>
      <c r="AA945">
        <f>[1]发票导入!AA945&amp;""</f>
      </c>
      <c r="AB945">
        <f>[1]发票导入!AB945</f>
        <v>0</v>
      </c>
      <c r="AC945">
        <f>[1]发票导入!AC945</f>
        <v>0</v>
      </c>
      <c r="AE945" s="22">
        <f t="shared" si="0"/>
      </c>
      <c r="AI945">
        <f>[1]发票导入!AI945&amp;""</f>
      </c>
      <c r="AJ945">
        <f>[1]发票导入!AJ945&amp;""</f>
      </c>
      <c r="AK945">
        <f>[1]发票导入!AK945</f>
        <v>0</v>
      </c>
      <c r="AL945">
        <f>[1]发票导入!AL945</f>
        <v>0</v>
      </c>
      <c r="AM945">
        <f>[1]发票导入!AM945</f>
        <v>0</v>
      </c>
      <c r="AN945" s="22">
        <f t="shared" si="1"/>
        <v>0</v>
      </c>
      <c r="AO945" s="22">
        <f t="shared" si="2"/>
        <v>0</v>
      </c>
    </row>
    <row r="946">
      <c r="C946">
        <f>[1]发票导入!C946&amp;""</f>
      </c>
      <c r="D946">
        <f>[1]发票导入!D946&amp;""</f>
      </c>
      <c r="O946">
        <f>[1]发票导入!O946&amp;""</f>
      </c>
      <c r="T946">
        <f>[1]发票导入!T946</f>
      </c>
      <c r="U946">
        <f>[1]发票导入!U946&amp;""</f>
      </c>
      <c r="V946">
        <f>[1]发票导入!V946&amp;""</f>
      </c>
      <c r="W946">
        <f>[1]发票导入!W946&amp;""</f>
      </c>
      <c r="Y946">
        <f>[1]发票导入!Y946&amp;""</f>
      </c>
      <c r="AA946">
        <f>[1]发票导入!AA946&amp;""</f>
      </c>
      <c r="AB946">
        <f>[1]发票导入!AB946</f>
        <v>0</v>
      </c>
      <c r="AC946">
        <f>[1]发票导入!AC946</f>
        <v>0</v>
      </c>
      <c r="AE946" s="22">
        <f t="shared" si="0"/>
      </c>
      <c r="AI946">
        <f>[1]发票导入!AI946&amp;""</f>
      </c>
      <c r="AJ946">
        <f>[1]发票导入!AJ946&amp;""</f>
      </c>
      <c r="AK946">
        <f>[1]发票导入!AK946</f>
        <v>0</v>
      </c>
      <c r="AL946">
        <f>[1]发票导入!AL946</f>
        <v>0</v>
      </c>
      <c r="AM946">
        <f>[1]发票导入!AM946</f>
        <v>0</v>
      </c>
      <c r="AN946" s="22">
        <f t="shared" si="1"/>
        <v>0</v>
      </c>
      <c r="AO946" s="22">
        <f t="shared" si="2"/>
        <v>0</v>
      </c>
    </row>
    <row r="947">
      <c r="C947">
        <f>[1]发票导入!C947&amp;""</f>
      </c>
      <c r="D947">
        <f>[1]发票导入!D947&amp;""</f>
      </c>
      <c r="O947">
        <f>[1]发票导入!O947&amp;""</f>
      </c>
      <c r="T947">
        <f>[1]发票导入!T947</f>
      </c>
      <c r="U947">
        <f>[1]发票导入!U947&amp;""</f>
      </c>
      <c r="V947">
        <f>[1]发票导入!V947&amp;""</f>
      </c>
      <c r="W947">
        <f>[1]发票导入!W947&amp;""</f>
      </c>
      <c r="Y947">
        <f>[1]发票导入!Y947&amp;""</f>
      </c>
      <c r="AA947">
        <f>[1]发票导入!AA947&amp;""</f>
      </c>
      <c r="AB947">
        <f>[1]发票导入!AB947</f>
        <v>0</v>
      </c>
      <c r="AC947">
        <f>[1]发票导入!AC947</f>
        <v>0</v>
      </c>
      <c r="AE947" s="22">
        <f t="shared" si="0"/>
      </c>
      <c r="AI947">
        <f>[1]发票导入!AI947&amp;""</f>
      </c>
      <c r="AJ947">
        <f>[1]发票导入!AJ947&amp;""</f>
      </c>
      <c r="AK947">
        <f>[1]发票导入!AK947</f>
        <v>0</v>
      </c>
      <c r="AL947">
        <f>[1]发票导入!AL947</f>
        <v>0</v>
      </c>
      <c r="AM947">
        <f>[1]发票导入!AM947</f>
        <v>0</v>
      </c>
      <c r="AN947" s="22">
        <f t="shared" si="1"/>
        <v>0</v>
      </c>
      <c r="AO947" s="22">
        <f t="shared" si="2"/>
        <v>0</v>
      </c>
    </row>
    <row r="948">
      <c r="C948">
        <f>[1]发票导入!C948&amp;""</f>
      </c>
      <c r="D948">
        <f>[1]发票导入!D948&amp;""</f>
      </c>
      <c r="O948">
        <f>[1]发票导入!O948&amp;""</f>
      </c>
      <c r="T948">
        <f>[1]发票导入!T948</f>
      </c>
      <c r="U948">
        <f>[1]发票导入!U948&amp;""</f>
      </c>
      <c r="V948">
        <f>[1]发票导入!V948&amp;""</f>
      </c>
      <c r="W948">
        <f>[1]发票导入!W948&amp;""</f>
      </c>
      <c r="Y948">
        <f>[1]发票导入!Y948&amp;""</f>
      </c>
      <c r="AA948">
        <f>[1]发票导入!AA948&amp;""</f>
      </c>
      <c r="AB948">
        <f>[1]发票导入!AB948</f>
        <v>0</v>
      </c>
      <c r="AC948">
        <f>[1]发票导入!AC948</f>
        <v>0</v>
      </c>
      <c r="AE948" s="22">
        <f t="shared" si="0"/>
      </c>
      <c r="AI948">
        <f>[1]发票导入!AI948&amp;""</f>
      </c>
      <c r="AJ948">
        <f>[1]发票导入!AJ948&amp;""</f>
      </c>
      <c r="AK948">
        <f>[1]发票导入!AK948</f>
        <v>0</v>
      </c>
      <c r="AL948">
        <f>[1]发票导入!AL948</f>
        <v>0</v>
      </c>
      <c r="AM948">
        <f>[1]发票导入!AM948</f>
        <v>0</v>
      </c>
      <c r="AN948" s="22">
        <f t="shared" si="1"/>
        <v>0</v>
      </c>
      <c r="AO948" s="22">
        <f t="shared" si="2"/>
        <v>0</v>
      </c>
    </row>
    <row r="949">
      <c r="C949">
        <f>[1]发票导入!C949&amp;""</f>
      </c>
      <c r="D949">
        <f>[1]发票导入!D949&amp;""</f>
      </c>
      <c r="O949">
        <f>[1]发票导入!O949&amp;""</f>
      </c>
      <c r="T949">
        <f>[1]发票导入!T949</f>
      </c>
      <c r="U949">
        <f>[1]发票导入!U949&amp;""</f>
      </c>
      <c r="V949">
        <f>[1]发票导入!V949&amp;""</f>
      </c>
      <c r="W949">
        <f>[1]发票导入!W949&amp;""</f>
      </c>
      <c r="Y949">
        <f>[1]发票导入!Y949&amp;""</f>
      </c>
      <c r="AA949">
        <f>[1]发票导入!AA949&amp;""</f>
      </c>
      <c r="AB949">
        <f>[1]发票导入!AB949</f>
        <v>0</v>
      </c>
      <c r="AC949">
        <f>[1]发票导入!AC949</f>
        <v>0</v>
      </c>
      <c r="AE949" s="22">
        <f t="shared" si="0"/>
      </c>
      <c r="AI949">
        <f>[1]发票导入!AI949&amp;""</f>
      </c>
      <c r="AJ949">
        <f>[1]发票导入!AJ949&amp;""</f>
      </c>
      <c r="AK949">
        <f>[1]发票导入!AK949</f>
        <v>0</v>
      </c>
      <c r="AL949">
        <f>[1]发票导入!AL949</f>
        <v>0</v>
      </c>
      <c r="AM949">
        <f>[1]发票导入!AM949</f>
        <v>0</v>
      </c>
      <c r="AN949" s="22">
        <f t="shared" si="1"/>
        <v>0</v>
      </c>
      <c r="AO949" s="22">
        <f t="shared" si="2"/>
        <v>0</v>
      </c>
    </row>
    <row r="950">
      <c r="C950">
        <f>[1]发票导入!C950&amp;""</f>
      </c>
      <c r="D950">
        <f>[1]发票导入!D950&amp;""</f>
      </c>
      <c r="O950">
        <f>[1]发票导入!O950&amp;""</f>
      </c>
      <c r="T950">
        <f>[1]发票导入!T950</f>
      </c>
      <c r="U950">
        <f>[1]发票导入!U950&amp;""</f>
      </c>
      <c r="V950">
        <f>[1]发票导入!V950&amp;""</f>
      </c>
      <c r="W950">
        <f>[1]发票导入!W950&amp;""</f>
      </c>
      <c r="Y950">
        <f>[1]发票导入!Y950&amp;""</f>
      </c>
      <c r="AA950">
        <f>[1]发票导入!AA950&amp;""</f>
      </c>
      <c r="AB950">
        <f>[1]发票导入!AB950</f>
        <v>0</v>
      </c>
      <c r="AC950">
        <f>[1]发票导入!AC950</f>
        <v>0</v>
      </c>
      <c r="AE950" s="22">
        <f t="shared" si="0"/>
      </c>
      <c r="AI950">
        <f>[1]发票导入!AI950&amp;""</f>
      </c>
      <c r="AJ950">
        <f>[1]发票导入!AJ950&amp;""</f>
      </c>
      <c r="AK950">
        <f>[1]发票导入!AK950</f>
        <v>0</v>
      </c>
      <c r="AL950">
        <f>[1]发票导入!AL950</f>
        <v>0</v>
      </c>
      <c r="AM950">
        <f>[1]发票导入!AM950</f>
        <v>0</v>
      </c>
      <c r="AN950" s="22">
        <f t="shared" si="1"/>
        <v>0</v>
      </c>
      <c r="AO950" s="22">
        <f t="shared" si="2"/>
        <v>0</v>
      </c>
    </row>
    <row r="951">
      <c r="C951">
        <f>[1]发票导入!C951&amp;""</f>
      </c>
      <c r="D951">
        <f>[1]发票导入!D951&amp;""</f>
      </c>
      <c r="O951">
        <f>[1]发票导入!O951&amp;""</f>
      </c>
      <c r="T951">
        <f>[1]发票导入!T951</f>
      </c>
      <c r="U951">
        <f>[1]发票导入!U951&amp;""</f>
      </c>
      <c r="V951">
        <f>[1]发票导入!V951&amp;""</f>
      </c>
      <c r="W951">
        <f>[1]发票导入!W951&amp;""</f>
      </c>
      <c r="Y951">
        <f>[1]发票导入!Y951&amp;""</f>
      </c>
      <c r="AA951">
        <f>[1]发票导入!AA951&amp;""</f>
      </c>
      <c r="AB951">
        <f>[1]发票导入!AB951</f>
        <v>0</v>
      </c>
      <c r="AC951">
        <f>[1]发票导入!AC951</f>
        <v>0</v>
      </c>
      <c r="AE951" s="22">
        <f t="shared" si="0"/>
      </c>
      <c r="AI951">
        <f>[1]发票导入!AI951&amp;""</f>
      </c>
      <c r="AJ951">
        <f>[1]发票导入!AJ951&amp;""</f>
      </c>
      <c r="AK951">
        <f>[1]发票导入!AK951</f>
        <v>0</v>
      </c>
      <c r="AL951">
        <f>[1]发票导入!AL951</f>
        <v>0</v>
      </c>
      <c r="AM951">
        <f>[1]发票导入!AM951</f>
        <v>0</v>
      </c>
      <c r="AN951" s="22">
        <f t="shared" si="1"/>
        <v>0</v>
      </c>
      <c r="AO951" s="22">
        <f t="shared" si="2"/>
        <v>0</v>
      </c>
    </row>
    <row r="952">
      <c r="C952">
        <f>[1]发票导入!C952&amp;""</f>
      </c>
      <c r="D952">
        <f>[1]发票导入!D952&amp;""</f>
      </c>
      <c r="O952">
        <f>[1]发票导入!O952&amp;""</f>
      </c>
      <c r="T952">
        <f>[1]发票导入!T952</f>
      </c>
      <c r="U952">
        <f>[1]发票导入!U952&amp;""</f>
      </c>
      <c r="V952">
        <f>[1]发票导入!V952&amp;""</f>
      </c>
      <c r="W952">
        <f>[1]发票导入!W952&amp;""</f>
      </c>
      <c r="Y952">
        <f>[1]发票导入!Y952&amp;""</f>
      </c>
      <c r="AA952">
        <f>[1]发票导入!AA952&amp;""</f>
      </c>
      <c r="AB952">
        <f>[1]发票导入!AB952</f>
        <v>0</v>
      </c>
      <c r="AC952">
        <f>[1]发票导入!AC952</f>
        <v>0</v>
      </c>
      <c r="AE952" s="22">
        <f t="shared" si="0"/>
      </c>
      <c r="AI952">
        <f>[1]发票导入!AI952&amp;""</f>
      </c>
      <c r="AJ952">
        <f>[1]发票导入!AJ952&amp;""</f>
      </c>
      <c r="AK952">
        <f>[1]发票导入!AK952</f>
        <v>0</v>
      </c>
      <c r="AL952">
        <f>[1]发票导入!AL952</f>
        <v>0</v>
      </c>
      <c r="AM952">
        <f>[1]发票导入!AM952</f>
        <v>0</v>
      </c>
      <c r="AN952" s="22">
        <f t="shared" si="1"/>
        <v>0</v>
      </c>
      <c r="AO952" s="22">
        <f t="shared" si="2"/>
        <v>0</v>
      </c>
    </row>
    <row r="953">
      <c r="C953">
        <f>[1]发票导入!C953&amp;""</f>
      </c>
      <c r="D953">
        <f>[1]发票导入!D953&amp;""</f>
      </c>
      <c r="O953">
        <f>[1]发票导入!O953&amp;""</f>
      </c>
      <c r="T953">
        <f>[1]发票导入!T953</f>
      </c>
      <c r="U953">
        <f>[1]发票导入!U953&amp;""</f>
      </c>
      <c r="V953">
        <f>[1]发票导入!V953&amp;""</f>
      </c>
      <c r="W953">
        <f>[1]发票导入!W953&amp;""</f>
      </c>
      <c r="Y953">
        <f>[1]发票导入!Y953&amp;""</f>
      </c>
      <c r="AA953">
        <f>[1]发票导入!AA953&amp;""</f>
      </c>
      <c r="AB953">
        <f>[1]发票导入!AB953</f>
        <v>0</v>
      </c>
      <c r="AC953">
        <f>[1]发票导入!AC953</f>
        <v>0</v>
      </c>
      <c r="AE953" s="22">
        <f t="shared" si="0"/>
      </c>
      <c r="AI953">
        <f>[1]发票导入!AI953&amp;""</f>
      </c>
      <c r="AJ953">
        <f>[1]发票导入!AJ953&amp;""</f>
      </c>
      <c r="AK953">
        <f>[1]发票导入!AK953</f>
        <v>0</v>
      </c>
      <c r="AL953">
        <f>[1]发票导入!AL953</f>
        <v>0</v>
      </c>
      <c r="AM953">
        <f>[1]发票导入!AM953</f>
        <v>0</v>
      </c>
      <c r="AN953" s="22">
        <f t="shared" si="1"/>
        <v>0</v>
      </c>
      <c r="AO953" s="22">
        <f t="shared" si="2"/>
        <v>0</v>
      </c>
    </row>
    <row r="954">
      <c r="C954">
        <f>[1]发票导入!C954&amp;""</f>
      </c>
      <c r="D954">
        <f>[1]发票导入!D954&amp;""</f>
      </c>
      <c r="O954">
        <f>[1]发票导入!O954&amp;""</f>
      </c>
      <c r="T954">
        <f>[1]发票导入!T954</f>
      </c>
      <c r="U954">
        <f>[1]发票导入!U954&amp;""</f>
      </c>
      <c r="V954">
        <f>[1]发票导入!V954&amp;""</f>
      </c>
      <c r="W954">
        <f>[1]发票导入!W954&amp;""</f>
      </c>
      <c r="Y954">
        <f>[1]发票导入!Y954&amp;""</f>
      </c>
      <c r="AA954">
        <f>[1]发票导入!AA954&amp;""</f>
      </c>
      <c r="AB954">
        <f>[1]发票导入!AB954</f>
        <v>0</v>
      </c>
      <c r="AC954">
        <f>[1]发票导入!AC954</f>
        <v>0</v>
      </c>
      <c r="AE954" s="22">
        <f t="shared" si="0"/>
      </c>
      <c r="AI954">
        <f>[1]发票导入!AI954&amp;""</f>
      </c>
      <c r="AJ954">
        <f>[1]发票导入!AJ954&amp;""</f>
      </c>
      <c r="AK954">
        <f>[1]发票导入!AK954</f>
        <v>0</v>
      </c>
      <c r="AL954">
        <f>[1]发票导入!AL954</f>
        <v>0</v>
      </c>
      <c r="AM954">
        <f>[1]发票导入!AM954</f>
        <v>0</v>
      </c>
      <c r="AN954" s="22">
        <f t="shared" si="1"/>
        <v>0</v>
      </c>
      <c r="AO954" s="22">
        <f t="shared" si="2"/>
        <v>0</v>
      </c>
    </row>
    <row r="955">
      <c r="C955">
        <f>[1]发票导入!C955&amp;""</f>
      </c>
      <c r="D955">
        <f>[1]发票导入!D955&amp;""</f>
      </c>
      <c r="O955">
        <f>[1]发票导入!O955&amp;""</f>
      </c>
      <c r="T955">
        <f>[1]发票导入!T955</f>
      </c>
      <c r="U955">
        <f>[1]发票导入!U955&amp;""</f>
      </c>
      <c r="V955">
        <f>[1]发票导入!V955&amp;""</f>
      </c>
      <c r="W955">
        <f>[1]发票导入!W955&amp;""</f>
      </c>
      <c r="Y955">
        <f>[1]发票导入!Y955&amp;""</f>
      </c>
      <c r="AA955">
        <f>[1]发票导入!AA955&amp;""</f>
      </c>
      <c r="AB955">
        <f>[1]发票导入!AB955</f>
        <v>0</v>
      </c>
      <c r="AC955">
        <f>[1]发票导入!AC955</f>
        <v>0</v>
      </c>
      <c r="AE955" s="22">
        <f t="shared" si="0"/>
      </c>
      <c r="AI955">
        <f>[1]发票导入!AI955&amp;""</f>
      </c>
      <c r="AJ955">
        <f>[1]发票导入!AJ955&amp;""</f>
      </c>
      <c r="AK955">
        <f>[1]发票导入!AK955</f>
        <v>0</v>
      </c>
      <c r="AL955">
        <f>[1]发票导入!AL955</f>
        <v>0</v>
      </c>
      <c r="AM955">
        <f>[1]发票导入!AM955</f>
        <v>0</v>
      </c>
      <c r="AN955" s="22">
        <f t="shared" si="1"/>
        <v>0</v>
      </c>
      <c r="AO955" s="22">
        <f t="shared" si="2"/>
        <v>0</v>
      </c>
    </row>
    <row r="956">
      <c r="C956">
        <f>[1]发票导入!C956&amp;""</f>
      </c>
      <c r="D956">
        <f>[1]发票导入!D956&amp;""</f>
      </c>
      <c r="O956">
        <f>[1]发票导入!O956&amp;""</f>
      </c>
      <c r="T956">
        <f>[1]发票导入!T956</f>
      </c>
      <c r="U956">
        <f>[1]发票导入!U956&amp;""</f>
      </c>
      <c r="V956">
        <f>[1]发票导入!V956&amp;""</f>
      </c>
      <c r="W956">
        <f>[1]发票导入!W956&amp;""</f>
      </c>
      <c r="Y956">
        <f>[1]发票导入!Y956&amp;""</f>
      </c>
      <c r="AA956">
        <f>[1]发票导入!AA956&amp;""</f>
      </c>
      <c r="AB956">
        <f>[1]发票导入!AB956</f>
        <v>0</v>
      </c>
      <c r="AC956">
        <f>[1]发票导入!AC956</f>
        <v>0</v>
      </c>
      <c r="AE956" s="22">
        <f t="shared" si="0"/>
      </c>
      <c r="AI956">
        <f>[1]发票导入!AI956&amp;""</f>
      </c>
      <c r="AJ956">
        <f>[1]发票导入!AJ956&amp;""</f>
      </c>
      <c r="AK956">
        <f>[1]发票导入!AK956</f>
        <v>0</v>
      </c>
      <c r="AL956">
        <f>[1]发票导入!AL956</f>
        <v>0</v>
      </c>
      <c r="AM956">
        <f>[1]发票导入!AM956</f>
        <v>0</v>
      </c>
      <c r="AN956" s="22">
        <f t="shared" si="1"/>
        <v>0</v>
      </c>
      <c r="AO956" s="22">
        <f t="shared" si="2"/>
        <v>0</v>
      </c>
    </row>
    <row r="957">
      <c r="C957">
        <f>[1]发票导入!C957&amp;""</f>
      </c>
      <c r="D957">
        <f>[1]发票导入!D957&amp;""</f>
      </c>
      <c r="O957">
        <f>[1]发票导入!O957&amp;""</f>
      </c>
      <c r="T957">
        <f>[1]发票导入!T957</f>
      </c>
      <c r="U957">
        <f>[1]发票导入!U957&amp;""</f>
      </c>
      <c r="V957">
        <f>[1]发票导入!V957&amp;""</f>
      </c>
      <c r="W957">
        <f>[1]发票导入!W957&amp;""</f>
      </c>
      <c r="Y957">
        <f>[1]发票导入!Y957&amp;""</f>
      </c>
      <c r="AA957">
        <f>[1]发票导入!AA957&amp;""</f>
      </c>
      <c r="AB957">
        <f>[1]发票导入!AB957</f>
        <v>0</v>
      </c>
      <c r="AC957">
        <f>[1]发票导入!AC957</f>
        <v>0</v>
      </c>
      <c r="AE957" s="22">
        <f t="shared" si="0"/>
      </c>
      <c r="AI957">
        <f>[1]发票导入!AI957&amp;""</f>
      </c>
      <c r="AJ957">
        <f>[1]发票导入!AJ957&amp;""</f>
      </c>
      <c r="AK957">
        <f>[1]发票导入!AK957</f>
        <v>0</v>
      </c>
      <c r="AL957">
        <f>[1]发票导入!AL957</f>
        <v>0</v>
      </c>
      <c r="AM957">
        <f>[1]发票导入!AM957</f>
        <v>0</v>
      </c>
      <c r="AN957" s="22">
        <f t="shared" si="1"/>
        <v>0</v>
      </c>
      <c r="AO957" s="22">
        <f t="shared" si="2"/>
        <v>0</v>
      </c>
    </row>
    <row r="958">
      <c r="C958">
        <f>[1]发票导入!C958&amp;""</f>
      </c>
      <c r="D958">
        <f>[1]发票导入!D958&amp;""</f>
      </c>
      <c r="O958">
        <f>[1]发票导入!O958&amp;""</f>
      </c>
      <c r="T958">
        <f>[1]发票导入!T958</f>
      </c>
      <c r="U958">
        <f>[1]发票导入!U958&amp;""</f>
      </c>
      <c r="V958">
        <f>[1]发票导入!V958&amp;""</f>
      </c>
      <c r="W958">
        <f>[1]发票导入!W958&amp;""</f>
      </c>
      <c r="Y958">
        <f>[1]发票导入!Y958&amp;""</f>
      </c>
      <c r="AA958">
        <f>[1]发票导入!AA958&amp;""</f>
      </c>
      <c r="AB958">
        <f>[1]发票导入!AB958</f>
        <v>0</v>
      </c>
      <c r="AC958">
        <f>[1]发票导入!AC958</f>
        <v>0</v>
      </c>
      <c r="AE958" s="22">
        <f t="shared" si="0"/>
      </c>
      <c r="AI958">
        <f>[1]发票导入!AI958&amp;""</f>
      </c>
      <c r="AJ958">
        <f>[1]发票导入!AJ958&amp;""</f>
      </c>
      <c r="AK958">
        <f>[1]发票导入!AK958</f>
        <v>0</v>
      </c>
      <c r="AL958">
        <f>[1]发票导入!AL958</f>
        <v>0</v>
      </c>
      <c r="AM958">
        <f>[1]发票导入!AM958</f>
        <v>0</v>
      </c>
      <c r="AN958" s="22">
        <f t="shared" si="1"/>
        <v>0</v>
      </c>
      <c r="AO958" s="22">
        <f t="shared" si="2"/>
        <v>0</v>
      </c>
    </row>
    <row r="959">
      <c r="C959">
        <f>[1]发票导入!C959&amp;""</f>
      </c>
      <c r="D959">
        <f>[1]发票导入!D959&amp;""</f>
      </c>
      <c r="O959">
        <f>[1]发票导入!O959&amp;""</f>
      </c>
      <c r="T959">
        <f>[1]发票导入!T959</f>
      </c>
      <c r="U959">
        <f>[1]发票导入!U959&amp;""</f>
      </c>
      <c r="V959">
        <f>[1]发票导入!V959&amp;""</f>
      </c>
      <c r="W959">
        <f>[1]发票导入!W959&amp;""</f>
      </c>
      <c r="Y959">
        <f>[1]发票导入!Y959&amp;""</f>
      </c>
      <c r="AA959">
        <f>[1]发票导入!AA959&amp;""</f>
      </c>
      <c r="AB959">
        <f>[1]发票导入!AB959</f>
        <v>0</v>
      </c>
      <c r="AC959">
        <f>[1]发票导入!AC959</f>
        <v>0</v>
      </c>
      <c r="AE959" s="22">
        <f t="shared" si="0"/>
      </c>
      <c r="AI959">
        <f>[1]发票导入!AI959&amp;""</f>
      </c>
      <c r="AJ959">
        <f>[1]发票导入!AJ959&amp;""</f>
      </c>
      <c r="AK959">
        <f>[1]发票导入!AK959</f>
        <v>0</v>
      </c>
      <c r="AL959">
        <f>[1]发票导入!AL959</f>
        <v>0</v>
      </c>
      <c r="AM959">
        <f>[1]发票导入!AM959</f>
        <v>0</v>
      </c>
      <c r="AN959" s="22">
        <f t="shared" si="1"/>
        <v>0</v>
      </c>
      <c r="AO959" s="22">
        <f t="shared" si="2"/>
        <v>0</v>
      </c>
    </row>
    <row r="960">
      <c r="C960">
        <f>[1]发票导入!C960&amp;""</f>
      </c>
      <c r="D960">
        <f>[1]发票导入!D960&amp;""</f>
      </c>
      <c r="O960">
        <f>[1]发票导入!O960&amp;""</f>
      </c>
      <c r="T960">
        <f>[1]发票导入!T960</f>
      </c>
      <c r="U960">
        <f>[1]发票导入!U960&amp;""</f>
      </c>
      <c r="V960">
        <f>[1]发票导入!V960&amp;""</f>
      </c>
      <c r="W960">
        <f>[1]发票导入!W960&amp;""</f>
      </c>
      <c r="Y960">
        <f>[1]发票导入!Y960&amp;""</f>
      </c>
      <c r="AA960">
        <f>[1]发票导入!AA960&amp;""</f>
      </c>
      <c r="AB960">
        <f>[1]发票导入!AB960</f>
        <v>0</v>
      </c>
      <c r="AC960">
        <f>[1]发票导入!AC960</f>
        <v>0</v>
      </c>
      <c r="AE960" s="22">
        <f t="shared" si="0"/>
      </c>
      <c r="AI960">
        <f>[1]发票导入!AI960&amp;""</f>
      </c>
      <c r="AJ960">
        <f>[1]发票导入!AJ960&amp;""</f>
      </c>
      <c r="AK960">
        <f>[1]发票导入!AK960</f>
        <v>0</v>
      </c>
      <c r="AL960">
        <f>[1]发票导入!AL960</f>
        <v>0</v>
      </c>
      <c r="AM960">
        <f>[1]发票导入!AM960</f>
        <v>0</v>
      </c>
      <c r="AN960" s="22">
        <f t="shared" si="1"/>
        <v>0</v>
      </c>
      <c r="AO960" s="22">
        <f t="shared" si="2"/>
        <v>0</v>
      </c>
    </row>
    <row r="961">
      <c r="C961">
        <f>[1]发票导入!C961&amp;""</f>
      </c>
      <c r="D961">
        <f>[1]发票导入!D961&amp;""</f>
      </c>
      <c r="O961">
        <f>[1]发票导入!O961&amp;""</f>
      </c>
      <c r="T961">
        <f>[1]发票导入!T961</f>
      </c>
      <c r="U961">
        <f>[1]发票导入!U961&amp;""</f>
      </c>
      <c r="V961">
        <f>[1]发票导入!V961&amp;""</f>
      </c>
      <c r="W961">
        <f>[1]发票导入!W961&amp;""</f>
      </c>
      <c r="Y961">
        <f>[1]发票导入!Y961&amp;""</f>
      </c>
      <c r="AA961">
        <f>[1]发票导入!AA961&amp;""</f>
      </c>
      <c r="AB961">
        <f>[1]发票导入!AB961</f>
        <v>0</v>
      </c>
      <c r="AC961">
        <f>[1]发票导入!AC961</f>
        <v>0</v>
      </c>
      <c r="AE961" s="22">
        <f t="shared" si="0"/>
      </c>
      <c r="AI961">
        <f>[1]发票导入!AI961&amp;""</f>
      </c>
      <c r="AJ961">
        <f>[1]发票导入!AJ961&amp;""</f>
      </c>
      <c r="AK961">
        <f>[1]发票导入!AK961</f>
        <v>0</v>
      </c>
      <c r="AL961">
        <f>[1]发票导入!AL961</f>
        <v>0</v>
      </c>
      <c r="AM961">
        <f>[1]发票导入!AM961</f>
        <v>0</v>
      </c>
      <c r="AN961" s="22">
        <f t="shared" si="1"/>
        <v>0</v>
      </c>
      <c r="AO961" s="22">
        <f t="shared" si="2"/>
        <v>0</v>
      </c>
    </row>
    <row r="962">
      <c r="C962">
        <f>[1]发票导入!C962&amp;""</f>
      </c>
      <c r="D962">
        <f>[1]发票导入!D962&amp;""</f>
      </c>
      <c r="O962">
        <f>[1]发票导入!O962&amp;""</f>
      </c>
      <c r="T962">
        <f>[1]发票导入!T962</f>
      </c>
      <c r="U962">
        <f>[1]发票导入!U962&amp;""</f>
      </c>
      <c r="V962">
        <f>[1]发票导入!V962&amp;""</f>
      </c>
      <c r="W962">
        <f>[1]发票导入!W962&amp;""</f>
      </c>
      <c r="Y962">
        <f>[1]发票导入!Y962&amp;""</f>
      </c>
      <c r="AA962">
        <f>[1]发票导入!AA962&amp;""</f>
      </c>
      <c r="AB962">
        <f>[1]发票导入!AB962</f>
        <v>0</v>
      </c>
      <c r="AC962">
        <f>[1]发票导入!AC962</f>
        <v>0</v>
      </c>
      <c r="AE962" s="22">
        <f t="shared" si="0"/>
      </c>
      <c r="AI962">
        <f>[1]发票导入!AI962&amp;""</f>
      </c>
      <c r="AJ962">
        <f>[1]发票导入!AJ962&amp;""</f>
      </c>
      <c r="AK962">
        <f>[1]发票导入!AK962</f>
        <v>0</v>
      </c>
      <c r="AL962">
        <f>[1]发票导入!AL962</f>
        <v>0</v>
      </c>
      <c r="AM962">
        <f>[1]发票导入!AM962</f>
        <v>0</v>
      </c>
      <c r="AN962" s="22">
        <f t="shared" si="1"/>
        <v>0</v>
      </c>
      <c r="AO962" s="22">
        <f t="shared" si="2"/>
        <v>0</v>
      </c>
    </row>
    <row r="963">
      <c r="C963">
        <f>[1]发票导入!C963&amp;""</f>
      </c>
      <c r="D963">
        <f>[1]发票导入!D963&amp;""</f>
      </c>
      <c r="O963">
        <f>[1]发票导入!O963&amp;""</f>
      </c>
      <c r="T963">
        <f>[1]发票导入!T963</f>
      </c>
      <c r="U963">
        <f>[1]发票导入!U963&amp;""</f>
      </c>
      <c r="V963">
        <f>[1]发票导入!V963&amp;""</f>
      </c>
      <c r="W963">
        <f>[1]发票导入!W963&amp;""</f>
      </c>
      <c r="Y963">
        <f>[1]发票导入!Y963&amp;""</f>
      </c>
      <c r="AA963">
        <f>[1]发票导入!AA963&amp;""</f>
      </c>
      <c r="AB963">
        <f>[1]发票导入!AB963</f>
        <v>0</v>
      </c>
      <c r="AC963">
        <f>[1]发票导入!AC963</f>
        <v>0</v>
      </c>
      <c r="AE963" s="22">
        <f t="shared" si="0"/>
      </c>
      <c r="AI963">
        <f>[1]发票导入!AI963&amp;""</f>
      </c>
      <c r="AJ963">
        <f>[1]发票导入!AJ963&amp;""</f>
      </c>
      <c r="AK963">
        <f>[1]发票导入!AK963</f>
        <v>0</v>
      </c>
      <c r="AL963">
        <f>[1]发票导入!AL963</f>
        <v>0</v>
      </c>
      <c r="AM963">
        <f>[1]发票导入!AM963</f>
        <v>0</v>
      </c>
      <c r="AN963" s="22">
        <f t="shared" si="1"/>
        <v>0</v>
      </c>
      <c r="AO963" s="22">
        <f t="shared" si="2"/>
        <v>0</v>
      </c>
    </row>
    <row r="964">
      <c r="C964">
        <f>[1]发票导入!C964&amp;""</f>
      </c>
      <c r="D964">
        <f>[1]发票导入!D964&amp;""</f>
      </c>
      <c r="O964">
        <f>[1]发票导入!O964&amp;""</f>
      </c>
      <c r="T964">
        <f>[1]发票导入!T964</f>
      </c>
      <c r="U964">
        <f>[1]发票导入!U964&amp;""</f>
      </c>
      <c r="V964">
        <f>[1]发票导入!V964&amp;""</f>
      </c>
      <c r="W964">
        <f>[1]发票导入!W964&amp;""</f>
      </c>
      <c r="Y964">
        <f>[1]发票导入!Y964&amp;""</f>
      </c>
      <c r="AA964">
        <f>[1]发票导入!AA964&amp;""</f>
      </c>
      <c r="AB964">
        <f>[1]发票导入!AB964</f>
        <v>0</v>
      </c>
      <c r="AC964">
        <f>[1]发票导入!AC964</f>
        <v>0</v>
      </c>
      <c r="AE964" s="22">
        <f t="shared" si="0"/>
      </c>
      <c r="AI964">
        <f>[1]发票导入!AI964&amp;""</f>
      </c>
      <c r="AJ964">
        <f>[1]发票导入!AJ964&amp;""</f>
      </c>
      <c r="AK964">
        <f>[1]发票导入!AK964</f>
        <v>0</v>
      </c>
      <c r="AL964">
        <f>[1]发票导入!AL964</f>
        <v>0</v>
      </c>
      <c r="AM964">
        <f>[1]发票导入!AM964</f>
        <v>0</v>
      </c>
      <c r="AN964" s="22">
        <f t="shared" si="1"/>
        <v>0</v>
      </c>
      <c r="AO964" s="22">
        <f t="shared" si="2"/>
        <v>0</v>
      </c>
    </row>
    <row r="965">
      <c r="C965">
        <f>[1]发票导入!C965&amp;""</f>
      </c>
      <c r="D965">
        <f>[1]发票导入!D965&amp;""</f>
      </c>
      <c r="O965">
        <f>[1]发票导入!O965&amp;""</f>
      </c>
      <c r="T965">
        <f>[1]发票导入!T965</f>
      </c>
      <c r="U965">
        <f>[1]发票导入!U965&amp;""</f>
      </c>
      <c r="V965">
        <f>[1]发票导入!V965&amp;""</f>
      </c>
      <c r="W965">
        <f>[1]发票导入!W965&amp;""</f>
      </c>
      <c r="Y965">
        <f>[1]发票导入!Y965&amp;""</f>
      </c>
      <c r="AA965">
        <f>[1]发票导入!AA965&amp;""</f>
      </c>
      <c r="AB965">
        <f>[1]发票导入!AB965</f>
        <v>0</v>
      </c>
      <c r="AC965">
        <f>[1]发票导入!AC965</f>
        <v>0</v>
      </c>
      <c r="AE965" s="22">
        <f t="shared" si="0"/>
      </c>
      <c r="AI965">
        <f>[1]发票导入!AI965&amp;""</f>
      </c>
      <c r="AJ965">
        <f>[1]发票导入!AJ965&amp;""</f>
      </c>
      <c r="AK965">
        <f>[1]发票导入!AK965</f>
        <v>0</v>
      </c>
      <c r="AL965">
        <f>[1]发票导入!AL965</f>
        <v>0</v>
      </c>
      <c r="AM965">
        <f>[1]发票导入!AM965</f>
        <v>0</v>
      </c>
      <c r="AN965" s="22">
        <f t="shared" si="1"/>
        <v>0</v>
      </c>
      <c r="AO965" s="22">
        <f t="shared" si="2"/>
        <v>0</v>
      </c>
    </row>
    <row r="966">
      <c r="C966">
        <f>[1]发票导入!C966&amp;""</f>
      </c>
      <c r="D966">
        <f>[1]发票导入!D966&amp;""</f>
      </c>
      <c r="O966">
        <f>[1]发票导入!O966&amp;""</f>
      </c>
      <c r="T966">
        <f>[1]发票导入!T966</f>
      </c>
      <c r="U966">
        <f>[1]发票导入!U966&amp;""</f>
      </c>
      <c r="V966">
        <f>[1]发票导入!V966&amp;""</f>
      </c>
      <c r="W966">
        <f>[1]发票导入!W966&amp;""</f>
      </c>
      <c r="Y966">
        <f>[1]发票导入!Y966&amp;""</f>
      </c>
      <c r="AA966">
        <f>[1]发票导入!AA966&amp;""</f>
      </c>
      <c r="AB966">
        <f>[1]发票导入!AB966</f>
        <v>0</v>
      </c>
      <c r="AC966">
        <f>[1]发票导入!AC966</f>
        <v>0</v>
      </c>
      <c r="AE966" s="22">
        <f t="shared" si="0"/>
      </c>
      <c r="AI966">
        <f>[1]发票导入!AI966&amp;""</f>
      </c>
      <c r="AJ966">
        <f>[1]发票导入!AJ966&amp;""</f>
      </c>
      <c r="AK966">
        <f>[1]发票导入!AK966</f>
        <v>0</v>
      </c>
      <c r="AL966">
        <f>[1]发票导入!AL966</f>
        <v>0</v>
      </c>
      <c r="AM966">
        <f>[1]发票导入!AM966</f>
        <v>0</v>
      </c>
      <c r="AN966" s="22">
        <f t="shared" si="1"/>
        <v>0</v>
      </c>
      <c r="AO966" s="22">
        <f t="shared" si="2"/>
        <v>0</v>
      </c>
    </row>
    <row r="967">
      <c r="C967">
        <f>[1]发票导入!C967&amp;""</f>
      </c>
      <c r="D967">
        <f>[1]发票导入!D967&amp;""</f>
      </c>
      <c r="O967">
        <f>[1]发票导入!O967&amp;""</f>
      </c>
      <c r="T967">
        <f>[1]发票导入!T967</f>
      </c>
      <c r="U967">
        <f>[1]发票导入!U967&amp;""</f>
      </c>
      <c r="V967">
        <f>[1]发票导入!V967&amp;""</f>
      </c>
      <c r="W967">
        <f>[1]发票导入!W967&amp;""</f>
      </c>
      <c r="Y967">
        <f>[1]发票导入!Y967&amp;""</f>
      </c>
      <c r="AA967">
        <f>[1]发票导入!AA967&amp;""</f>
      </c>
      <c r="AB967">
        <f>[1]发票导入!AB967</f>
        <v>0</v>
      </c>
      <c r="AC967">
        <f>[1]发票导入!AC967</f>
        <v>0</v>
      </c>
      <c r="AE967" s="22">
        <f t="shared" si="0"/>
      </c>
      <c r="AI967">
        <f>[1]发票导入!AI967&amp;""</f>
      </c>
      <c r="AJ967">
        <f>[1]发票导入!AJ967&amp;""</f>
      </c>
      <c r="AK967">
        <f>[1]发票导入!AK967</f>
        <v>0</v>
      </c>
      <c r="AL967">
        <f>[1]发票导入!AL967</f>
        <v>0</v>
      </c>
      <c r="AM967">
        <f>[1]发票导入!AM967</f>
        <v>0</v>
      </c>
      <c r="AN967" s="22">
        <f t="shared" si="1"/>
        <v>0</v>
      </c>
      <c r="AO967" s="22">
        <f t="shared" si="2"/>
        <v>0</v>
      </c>
    </row>
    <row r="968">
      <c r="C968">
        <f>[1]发票导入!C968&amp;""</f>
      </c>
      <c r="D968">
        <f>[1]发票导入!D968&amp;""</f>
      </c>
      <c r="O968">
        <f>[1]发票导入!O968&amp;""</f>
      </c>
      <c r="T968">
        <f>[1]发票导入!T968</f>
      </c>
      <c r="U968">
        <f>[1]发票导入!U968&amp;""</f>
      </c>
      <c r="V968">
        <f>[1]发票导入!V968&amp;""</f>
      </c>
      <c r="W968">
        <f>[1]发票导入!W968&amp;""</f>
      </c>
      <c r="Y968">
        <f>[1]发票导入!Y968&amp;""</f>
      </c>
      <c r="AA968">
        <f>[1]发票导入!AA968&amp;""</f>
      </c>
      <c r="AB968">
        <f>[1]发票导入!AB968</f>
        <v>0</v>
      </c>
      <c r="AC968">
        <f>[1]发票导入!AC968</f>
        <v>0</v>
      </c>
      <c r="AE968" s="22">
        <f t="shared" si="0"/>
      </c>
      <c r="AI968">
        <f>[1]发票导入!AI968&amp;""</f>
      </c>
      <c r="AJ968">
        <f>[1]发票导入!AJ968&amp;""</f>
      </c>
      <c r="AK968">
        <f>[1]发票导入!AK968</f>
        <v>0</v>
      </c>
      <c r="AL968">
        <f>[1]发票导入!AL968</f>
        <v>0</v>
      </c>
      <c r="AM968">
        <f>[1]发票导入!AM968</f>
        <v>0</v>
      </c>
      <c r="AN968" s="22">
        <f t="shared" si="1"/>
        <v>0</v>
      </c>
      <c r="AO968" s="22">
        <f t="shared" si="2"/>
        <v>0</v>
      </c>
    </row>
    <row r="969">
      <c r="C969">
        <f>[1]发票导入!C969&amp;""</f>
      </c>
      <c r="D969">
        <f>[1]发票导入!D969&amp;""</f>
      </c>
      <c r="O969">
        <f>[1]发票导入!O969&amp;""</f>
      </c>
      <c r="T969">
        <f>[1]发票导入!T969</f>
      </c>
      <c r="U969">
        <f>[1]发票导入!U969&amp;""</f>
      </c>
      <c r="V969">
        <f>[1]发票导入!V969&amp;""</f>
      </c>
      <c r="W969">
        <f>[1]发票导入!W969&amp;""</f>
      </c>
      <c r="Y969">
        <f>[1]发票导入!Y969&amp;""</f>
      </c>
      <c r="AA969">
        <f>[1]发票导入!AA969&amp;""</f>
      </c>
      <c r="AB969">
        <f>[1]发票导入!AB969</f>
        <v>0</v>
      </c>
      <c r="AC969">
        <f>[1]发票导入!AC969</f>
        <v>0</v>
      </c>
      <c r="AE969" s="22">
        <f t="shared" si="0"/>
      </c>
      <c r="AI969">
        <f>[1]发票导入!AI969&amp;""</f>
      </c>
      <c r="AJ969">
        <f>[1]发票导入!AJ969&amp;""</f>
      </c>
      <c r="AK969">
        <f>[1]发票导入!AK969</f>
        <v>0</v>
      </c>
      <c r="AL969">
        <f>[1]发票导入!AL969</f>
        <v>0</v>
      </c>
      <c r="AM969">
        <f>[1]发票导入!AM969</f>
        <v>0</v>
      </c>
      <c r="AN969" s="22">
        <f t="shared" si="1"/>
        <v>0</v>
      </c>
      <c r="AO969" s="22">
        <f t="shared" si="2"/>
        <v>0</v>
      </c>
    </row>
    <row r="970">
      <c r="C970">
        <f>[1]发票导入!C970&amp;""</f>
      </c>
      <c r="D970">
        <f>[1]发票导入!D970&amp;""</f>
      </c>
      <c r="O970">
        <f>[1]发票导入!O970&amp;""</f>
      </c>
      <c r="T970">
        <f>[1]发票导入!T970</f>
      </c>
      <c r="U970">
        <f>[1]发票导入!U970&amp;""</f>
      </c>
      <c r="V970">
        <f>[1]发票导入!V970&amp;""</f>
      </c>
      <c r="W970">
        <f>[1]发票导入!W970&amp;""</f>
      </c>
      <c r="Y970">
        <f>[1]发票导入!Y970&amp;""</f>
      </c>
      <c r="AA970">
        <f>[1]发票导入!AA970&amp;""</f>
      </c>
      <c r="AB970">
        <f>[1]发票导入!AB970</f>
        <v>0</v>
      </c>
      <c r="AC970">
        <f>[1]发票导入!AC970</f>
        <v>0</v>
      </c>
      <c r="AE970" s="22">
        <f t="shared" si="0"/>
      </c>
      <c r="AI970">
        <f>[1]发票导入!AI970&amp;""</f>
      </c>
      <c r="AJ970">
        <f>[1]发票导入!AJ970&amp;""</f>
      </c>
      <c r="AK970">
        <f>[1]发票导入!AK970</f>
        <v>0</v>
      </c>
      <c r="AL970">
        <f>[1]发票导入!AL970</f>
        <v>0</v>
      </c>
      <c r="AM970">
        <f>[1]发票导入!AM970</f>
        <v>0</v>
      </c>
      <c r="AN970" s="22">
        <f t="shared" si="1"/>
        <v>0</v>
      </c>
      <c r="AO970" s="22">
        <f t="shared" si="2"/>
        <v>0</v>
      </c>
    </row>
    <row r="971">
      <c r="C971">
        <f>[1]发票导入!C971&amp;""</f>
      </c>
      <c r="D971">
        <f>[1]发票导入!D971&amp;""</f>
      </c>
      <c r="O971">
        <f>[1]发票导入!O971&amp;""</f>
      </c>
      <c r="T971">
        <f>[1]发票导入!T971</f>
      </c>
      <c r="U971">
        <f>[1]发票导入!U971&amp;""</f>
      </c>
      <c r="V971">
        <f>[1]发票导入!V971&amp;""</f>
      </c>
      <c r="W971">
        <f>[1]发票导入!W971&amp;""</f>
      </c>
      <c r="Y971">
        <f>[1]发票导入!Y971&amp;""</f>
      </c>
      <c r="AA971">
        <f>[1]发票导入!AA971&amp;""</f>
      </c>
      <c r="AB971">
        <f>[1]发票导入!AB971</f>
        <v>0</v>
      </c>
      <c r="AC971">
        <f>[1]发票导入!AC971</f>
        <v>0</v>
      </c>
      <c r="AE971" s="22">
        <f t="shared" si="0"/>
      </c>
      <c r="AI971">
        <f>[1]发票导入!AI971&amp;""</f>
      </c>
      <c r="AJ971">
        <f>[1]发票导入!AJ971&amp;""</f>
      </c>
      <c r="AK971">
        <f>[1]发票导入!AK971</f>
        <v>0</v>
      </c>
      <c r="AL971">
        <f>[1]发票导入!AL971</f>
        <v>0</v>
      </c>
      <c r="AM971">
        <f>[1]发票导入!AM971</f>
        <v>0</v>
      </c>
      <c r="AN971" s="22">
        <f t="shared" si="1"/>
        <v>0</v>
      </c>
      <c r="AO971" s="22">
        <f t="shared" si="2"/>
        <v>0</v>
      </c>
    </row>
    <row r="972">
      <c r="C972">
        <f>[1]发票导入!C972&amp;""</f>
      </c>
      <c r="D972">
        <f>[1]发票导入!D972&amp;""</f>
      </c>
      <c r="O972">
        <f>[1]发票导入!O972&amp;""</f>
      </c>
      <c r="T972">
        <f>[1]发票导入!T972</f>
      </c>
      <c r="U972">
        <f>[1]发票导入!U972&amp;""</f>
      </c>
      <c r="V972">
        <f>[1]发票导入!V972&amp;""</f>
      </c>
      <c r="W972">
        <f>[1]发票导入!W972&amp;""</f>
      </c>
      <c r="Y972">
        <f>[1]发票导入!Y972&amp;""</f>
      </c>
      <c r="AA972">
        <f>[1]发票导入!AA972&amp;""</f>
      </c>
      <c r="AB972">
        <f>[1]发票导入!AB972</f>
        <v>0</v>
      </c>
      <c r="AC972">
        <f>[1]发票导入!AC972</f>
        <v>0</v>
      </c>
      <c r="AE972" s="22">
        <f t="shared" si="0"/>
      </c>
      <c r="AI972">
        <f>[1]发票导入!AI972&amp;""</f>
      </c>
      <c r="AJ972">
        <f>[1]发票导入!AJ972&amp;""</f>
      </c>
      <c r="AK972">
        <f>[1]发票导入!AK972</f>
        <v>0</v>
      </c>
      <c r="AL972">
        <f>[1]发票导入!AL972</f>
        <v>0</v>
      </c>
      <c r="AM972">
        <f>[1]发票导入!AM972</f>
        <v>0</v>
      </c>
      <c r="AN972" s="22">
        <f t="shared" si="1"/>
        <v>0</v>
      </c>
      <c r="AO972" s="22">
        <f t="shared" si="2"/>
        <v>0</v>
      </c>
    </row>
    <row r="973">
      <c r="C973">
        <f>[1]发票导入!C973&amp;""</f>
      </c>
      <c r="D973">
        <f>[1]发票导入!D973&amp;""</f>
      </c>
      <c r="O973">
        <f>[1]发票导入!O973&amp;""</f>
      </c>
      <c r="T973">
        <f>[1]发票导入!T973</f>
      </c>
      <c r="U973">
        <f>[1]发票导入!U973&amp;""</f>
      </c>
      <c r="V973">
        <f>[1]发票导入!V973&amp;""</f>
      </c>
      <c r="W973">
        <f>[1]发票导入!W973&amp;""</f>
      </c>
      <c r="Y973">
        <f>[1]发票导入!Y973&amp;""</f>
      </c>
      <c r="AA973">
        <f>[1]发票导入!AA973&amp;""</f>
      </c>
      <c r="AB973">
        <f>[1]发票导入!AB973</f>
        <v>0</v>
      </c>
      <c r="AC973">
        <f>[1]发票导入!AC973</f>
        <v>0</v>
      </c>
      <c r="AE973" s="22">
        <f t="shared" si="0"/>
      </c>
      <c r="AI973">
        <f>[1]发票导入!AI973&amp;""</f>
      </c>
      <c r="AJ973">
        <f>[1]发票导入!AJ973&amp;""</f>
      </c>
      <c r="AK973">
        <f>[1]发票导入!AK973</f>
        <v>0</v>
      </c>
      <c r="AL973">
        <f>[1]发票导入!AL973</f>
        <v>0</v>
      </c>
      <c r="AM973">
        <f>[1]发票导入!AM973</f>
        <v>0</v>
      </c>
      <c r="AN973" s="22">
        <f t="shared" si="1"/>
        <v>0</v>
      </c>
      <c r="AO973" s="22">
        <f t="shared" si="2"/>
        <v>0</v>
      </c>
    </row>
    <row r="974">
      <c r="C974">
        <f>[1]发票导入!C974&amp;""</f>
      </c>
      <c r="D974">
        <f>[1]发票导入!D974&amp;""</f>
      </c>
      <c r="O974">
        <f>[1]发票导入!O974&amp;""</f>
      </c>
      <c r="T974">
        <f>[1]发票导入!T974</f>
      </c>
      <c r="U974">
        <f>[1]发票导入!U974&amp;""</f>
      </c>
      <c r="V974">
        <f>[1]发票导入!V974&amp;""</f>
      </c>
      <c r="W974">
        <f>[1]发票导入!W974&amp;""</f>
      </c>
      <c r="Y974">
        <f>[1]发票导入!Y974&amp;""</f>
      </c>
      <c r="AA974">
        <f>[1]发票导入!AA974&amp;""</f>
      </c>
      <c r="AB974">
        <f>[1]发票导入!AB974</f>
        <v>0</v>
      </c>
      <c r="AC974">
        <f>[1]发票导入!AC974</f>
        <v>0</v>
      </c>
      <c r="AE974" s="22">
        <f t="shared" si="0"/>
      </c>
      <c r="AI974">
        <f>[1]发票导入!AI974&amp;""</f>
      </c>
      <c r="AJ974">
        <f>[1]发票导入!AJ974&amp;""</f>
      </c>
      <c r="AK974">
        <f>[1]发票导入!AK974</f>
        <v>0</v>
      </c>
      <c r="AL974">
        <f>[1]发票导入!AL974</f>
        <v>0</v>
      </c>
      <c r="AM974">
        <f>[1]发票导入!AM974</f>
        <v>0</v>
      </c>
      <c r="AN974" s="22">
        <f t="shared" si="1"/>
        <v>0</v>
      </c>
      <c r="AO974" s="22">
        <f t="shared" si="2"/>
        <v>0</v>
      </c>
    </row>
    <row r="975">
      <c r="C975">
        <f>[1]发票导入!C975&amp;""</f>
      </c>
      <c r="D975">
        <f>[1]发票导入!D975&amp;""</f>
      </c>
      <c r="O975">
        <f>[1]发票导入!O975&amp;""</f>
      </c>
      <c r="T975">
        <f>[1]发票导入!T975</f>
      </c>
      <c r="U975">
        <f>[1]发票导入!U975&amp;""</f>
      </c>
      <c r="V975">
        <f>[1]发票导入!V975&amp;""</f>
      </c>
      <c r="W975">
        <f>[1]发票导入!W975&amp;""</f>
      </c>
      <c r="Y975">
        <f>[1]发票导入!Y975&amp;""</f>
      </c>
      <c r="AA975">
        <f>[1]发票导入!AA975&amp;""</f>
      </c>
      <c r="AB975">
        <f>[1]发票导入!AB975</f>
        <v>0</v>
      </c>
      <c r="AC975">
        <f>[1]发票导入!AC975</f>
        <v>0</v>
      </c>
      <c r="AE975" s="22">
        <f t="shared" si="0"/>
      </c>
      <c r="AI975">
        <f>[1]发票导入!AI975&amp;""</f>
      </c>
      <c r="AJ975">
        <f>[1]发票导入!AJ975&amp;""</f>
      </c>
      <c r="AK975">
        <f>[1]发票导入!AK975</f>
        <v>0</v>
      </c>
      <c r="AL975">
        <f>[1]发票导入!AL975</f>
        <v>0</v>
      </c>
      <c r="AM975">
        <f>[1]发票导入!AM975</f>
        <v>0</v>
      </c>
      <c r="AN975" s="22">
        <f t="shared" si="1"/>
        <v>0</v>
      </c>
      <c r="AO975" s="22">
        <f t="shared" si="2"/>
        <v>0</v>
      </c>
    </row>
    <row r="976">
      <c r="C976">
        <f>[1]发票导入!C976&amp;""</f>
      </c>
      <c r="D976">
        <f>[1]发票导入!D976&amp;""</f>
      </c>
      <c r="O976">
        <f>[1]发票导入!O976&amp;""</f>
      </c>
      <c r="T976">
        <f>[1]发票导入!T976</f>
      </c>
      <c r="U976">
        <f>[1]发票导入!U976&amp;""</f>
      </c>
      <c r="V976">
        <f>[1]发票导入!V976&amp;""</f>
      </c>
      <c r="W976">
        <f>[1]发票导入!W976&amp;""</f>
      </c>
      <c r="Y976">
        <f>[1]发票导入!Y976&amp;""</f>
      </c>
      <c r="AA976">
        <f>[1]发票导入!AA976&amp;""</f>
      </c>
      <c r="AB976">
        <f>[1]发票导入!AB976</f>
        <v>0</v>
      </c>
      <c r="AC976">
        <f>[1]发票导入!AC976</f>
        <v>0</v>
      </c>
      <c r="AE976" s="22">
        <f t="shared" si="0"/>
      </c>
      <c r="AI976">
        <f>[1]发票导入!AI976&amp;""</f>
      </c>
      <c r="AJ976">
        <f>[1]发票导入!AJ976&amp;""</f>
      </c>
      <c r="AK976">
        <f>[1]发票导入!AK976</f>
        <v>0</v>
      </c>
      <c r="AL976">
        <f>[1]发票导入!AL976</f>
        <v>0</v>
      </c>
      <c r="AM976">
        <f>[1]发票导入!AM976</f>
        <v>0</v>
      </c>
      <c r="AN976" s="22">
        <f t="shared" si="1"/>
        <v>0</v>
      </c>
      <c r="AO976" s="22">
        <f t="shared" si="2"/>
        <v>0</v>
      </c>
    </row>
    <row r="977">
      <c r="C977">
        <f>[1]发票导入!C977&amp;""</f>
      </c>
      <c r="D977">
        <f>[1]发票导入!D977&amp;""</f>
      </c>
      <c r="O977">
        <f>[1]发票导入!O977&amp;""</f>
      </c>
      <c r="T977">
        <f>[1]发票导入!T977</f>
      </c>
      <c r="U977">
        <f>[1]发票导入!U977&amp;""</f>
      </c>
      <c r="V977">
        <f>[1]发票导入!V977&amp;""</f>
      </c>
      <c r="W977">
        <f>[1]发票导入!W977&amp;""</f>
      </c>
      <c r="Y977">
        <f>[1]发票导入!Y977&amp;""</f>
      </c>
      <c r="AA977">
        <f>[1]发票导入!AA977&amp;""</f>
      </c>
      <c r="AB977">
        <f>[1]发票导入!AB977</f>
        <v>0</v>
      </c>
      <c r="AC977">
        <f>[1]发票导入!AC977</f>
        <v>0</v>
      </c>
      <c r="AE977" s="22">
        <f t="shared" si="0"/>
      </c>
      <c r="AI977">
        <f>[1]发票导入!AI977&amp;""</f>
      </c>
      <c r="AJ977">
        <f>[1]发票导入!AJ977&amp;""</f>
      </c>
      <c r="AK977">
        <f>[1]发票导入!AK977</f>
        <v>0</v>
      </c>
      <c r="AL977">
        <f>[1]发票导入!AL977</f>
        <v>0</v>
      </c>
      <c r="AM977">
        <f>[1]发票导入!AM977</f>
        <v>0</v>
      </c>
      <c r="AN977" s="22">
        <f t="shared" si="1"/>
        <v>0</v>
      </c>
      <c r="AO977" s="22">
        <f t="shared" si="2"/>
        <v>0</v>
      </c>
    </row>
    <row r="978">
      <c r="C978">
        <f>[1]发票导入!C978&amp;""</f>
      </c>
      <c r="D978">
        <f>[1]发票导入!D978&amp;""</f>
      </c>
      <c r="O978">
        <f>[1]发票导入!O978&amp;""</f>
      </c>
      <c r="T978">
        <f>[1]发票导入!T978</f>
      </c>
      <c r="U978">
        <f>[1]发票导入!U978&amp;""</f>
      </c>
      <c r="V978">
        <f>[1]发票导入!V978&amp;""</f>
      </c>
      <c r="W978">
        <f>[1]发票导入!W978&amp;""</f>
      </c>
      <c r="Y978">
        <f>[1]发票导入!Y978&amp;""</f>
      </c>
      <c r="AA978">
        <f>[1]发票导入!AA978&amp;""</f>
      </c>
      <c r="AB978">
        <f>[1]发票导入!AB978</f>
        <v>0</v>
      </c>
      <c r="AC978">
        <f>[1]发票导入!AC978</f>
        <v>0</v>
      </c>
      <c r="AE978" s="22">
        <f t="shared" si="0"/>
      </c>
      <c r="AI978">
        <f>[1]发票导入!AI978&amp;""</f>
      </c>
      <c r="AJ978">
        <f>[1]发票导入!AJ978&amp;""</f>
      </c>
      <c r="AK978">
        <f>[1]发票导入!AK978</f>
        <v>0</v>
      </c>
      <c r="AL978">
        <f>[1]发票导入!AL978</f>
        <v>0</v>
      </c>
      <c r="AM978">
        <f>[1]发票导入!AM978</f>
        <v>0</v>
      </c>
      <c r="AN978" s="22">
        <f t="shared" si="1"/>
        <v>0</v>
      </c>
      <c r="AO978" s="22">
        <f t="shared" si="2"/>
        <v>0</v>
      </c>
    </row>
    <row r="979">
      <c r="C979">
        <f>[1]发票导入!C979&amp;""</f>
      </c>
      <c r="D979">
        <f>[1]发票导入!D979&amp;""</f>
      </c>
      <c r="O979">
        <f>[1]发票导入!O979&amp;""</f>
      </c>
      <c r="T979">
        <f>[1]发票导入!T979</f>
      </c>
      <c r="U979">
        <f>[1]发票导入!U979&amp;""</f>
      </c>
      <c r="V979">
        <f>[1]发票导入!V979&amp;""</f>
      </c>
      <c r="W979">
        <f>[1]发票导入!W979&amp;""</f>
      </c>
      <c r="Y979">
        <f>[1]发票导入!Y979&amp;""</f>
      </c>
      <c r="AA979">
        <f>[1]发票导入!AA979&amp;""</f>
      </c>
      <c r="AB979">
        <f>[1]发票导入!AB979</f>
        <v>0</v>
      </c>
      <c r="AC979">
        <f>[1]发票导入!AC979</f>
        <v>0</v>
      </c>
      <c r="AE979" s="22">
        <f t="shared" si="0"/>
      </c>
      <c r="AI979">
        <f>[1]发票导入!AI979&amp;""</f>
      </c>
      <c r="AJ979">
        <f>[1]发票导入!AJ979&amp;""</f>
      </c>
      <c r="AK979">
        <f>[1]发票导入!AK979</f>
        <v>0</v>
      </c>
      <c r="AL979">
        <f>[1]发票导入!AL979</f>
        <v>0</v>
      </c>
      <c r="AM979">
        <f>[1]发票导入!AM979</f>
        <v>0</v>
      </c>
      <c r="AN979" s="22">
        <f t="shared" si="1"/>
        <v>0</v>
      </c>
      <c r="AO979" s="22">
        <f t="shared" si="2"/>
        <v>0</v>
      </c>
    </row>
    <row r="980">
      <c r="C980">
        <f>[1]发票导入!C980&amp;""</f>
      </c>
      <c r="D980">
        <f>[1]发票导入!D980&amp;""</f>
      </c>
      <c r="O980">
        <f>[1]发票导入!O980&amp;""</f>
      </c>
      <c r="T980">
        <f>[1]发票导入!T980</f>
      </c>
      <c r="U980">
        <f>[1]发票导入!U980&amp;""</f>
      </c>
      <c r="V980">
        <f>[1]发票导入!V980&amp;""</f>
      </c>
      <c r="W980">
        <f>[1]发票导入!W980&amp;""</f>
      </c>
      <c r="Y980">
        <f>[1]发票导入!Y980&amp;""</f>
      </c>
      <c r="AA980">
        <f>[1]发票导入!AA980&amp;""</f>
      </c>
      <c r="AB980">
        <f>[1]发票导入!AB980</f>
        <v>0</v>
      </c>
      <c r="AC980">
        <f>[1]发票导入!AC980</f>
        <v>0</v>
      </c>
      <c r="AE980" s="22">
        <f t="shared" si="0"/>
      </c>
      <c r="AI980">
        <f>[1]发票导入!AI980&amp;""</f>
      </c>
      <c r="AJ980">
        <f>[1]发票导入!AJ980&amp;""</f>
      </c>
      <c r="AK980">
        <f>[1]发票导入!AK980</f>
        <v>0</v>
      </c>
      <c r="AL980">
        <f>[1]发票导入!AL980</f>
        <v>0</v>
      </c>
      <c r="AM980">
        <f>[1]发票导入!AM980</f>
        <v>0</v>
      </c>
      <c r="AN980" s="22">
        <f t="shared" si="1"/>
        <v>0</v>
      </c>
      <c r="AO980" s="22">
        <f t="shared" si="2"/>
        <v>0</v>
      </c>
    </row>
    <row r="981">
      <c r="C981">
        <f>[1]发票导入!C981&amp;""</f>
      </c>
      <c r="D981">
        <f>[1]发票导入!D981&amp;""</f>
      </c>
      <c r="O981">
        <f>[1]发票导入!O981&amp;""</f>
      </c>
      <c r="T981">
        <f>[1]发票导入!T981</f>
      </c>
      <c r="U981">
        <f>[1]发票导入!U981&amp;""</f>
      </c>
      <c r="V981">
        <f>[1]发票导入!V981&amp;""</f>
      </c>
      <c r="W981">
        <f>[1]发票导入!W981&amp;""</f>
      </c>
      <c r="Y981">
        <f>[1]发票导入!Y981&amp;""</f>
      </c>
      <c r="AA981">
        <f>[1]发票导入!AA981&amp;""</f>
      </c>
      <c r="AB981">
        <f>[1]发票导入!AB981</f>
        <v>0</v>
      </c>
      <c r="AC981">
        <f>[1]发票导入!AC981</f>
        <v>0</v>
      </c>
      <c r="AE981" s="22">
        <f t="shared" si="0"/>
      </c>
      <c r="AI981">
        <f>[1]发票导入!AI981&amp;""</f>
      </c>
      <c r="AJ981">
        <f>[1]发票导入!AJ981&amp;""</f>
      </c>
      <c r="AK981">
        <f>[1]发票导入!AK981</f>
        <v>0</v>
      </c>
      <c r="AL981">
        <f>[1]发票导入!AL981</f>
        <v>0</v>
      </c>
      <c r="AM981">
        <f>[1]发票导入!AM981</f>
        <v>0</v>
      </c>
      <c r="AN981" s="22">
        <f t="shared" si="1"/>
        <v>0</v>
      </c>
      <c r="AO981" s="22">
        <f t="shared" si="2"/>
        <v>0</v>
      </c>
    </row>
    <row r="982">
      <c r="C982">
        <f>[1]发票导入!C982&amp;""</f>
      </c>
      <c r="D982">
        <f>[1]发票导入!D982&amp;""</f>
      </c>
      <c r="O982">
        <f>[1]发票导入!O982&amp;""</f>
      </c>
      <c r="T982">
        <f>[1]发票导入!T982</f>
      </c>
      <c r="U982">
        <f>[1]发票导入!U982&amp;""</f>
      </c>
      <c r="V982">
        <f>[1]发票导入!V982&amp;""</f>
      </c>
      <c r="W982">
        <f>[1]发票导入!W982&amp;""</f>
      </c>
      <c r="Y982">
        <f>[1]发票导入!Y982&amp;""</f>
      </c>
      <c r="AA982">
        <f>[1]发票导入!AA982&amp;""</f>
      </c>
      <c r="AB982">
        <f>[1]发票导入!AB982</f>
        <v>0</v>
      </c>
      <c r="AC982">
        <f>[1]发票导入!AC982</f>
        <v>0</v>
      </c>
      <c r="AE982" s="22">
        <f t="shared" si="0"/>
      </c>
      <c r="AI982">
        <f>[1]发票导入!AI982&amp;""</f>
      </c>
      <c r="AJ982">
        <f>[1]发票导入!AJ982&amp;""</f>
      </c>
      <c r="AK982">
        <f>[1]发票导入!AK982</f>
        <v>0</v>
      </c>
      <c r="AL982">
        <f>[1]发票导入!AL982</f>
        <v>0</v>
      </c>
      <c r="AM982">
        <f>[1]发票导入!AM982</f>
        <v>0</v>
      </c>
      <c r="AN982" s="22">
        <f t="shared" si="1"/>
        <v>0</v>
      </c>
      <c r="AO982" s="22">
        <f t="shared" si="2"/>
        <v>0</v>
      </c>
    </row>
    <row r="983">
      <c r="C983">
        <f>[1]发票导入!C983&amp;""</f>
      </c>
      <c r="D983">
        <f>[1]发票导入!D983&amp;""</f>
      </c>
      <c r="O983">
        <f>[1]发票导入!O983&amp;""</f>
      </c>
      <c r="T983">
        <f>[1]发票导入!T983</f>
      </c>
      <c r="U983">
        <f>[1]发票导入!U983&amp;""</f>
      </c>
      <c r="V983">
        <f>[1]发票导入!V983&amp;""</f>
      </c>
      <c r="W983">
        <f>[1]发票导入!W983&amp;""</f>
      </c>
      <c r="Y983">
        <f>[1]发票导入!Y983&amp;""</f>
      </c>
      <c r="AA983">
        <f>[1]发票导入!AA983&amp;""</f>
      </c>
      <c r="AB983">
        <f>[1]发票导入!AB983</f>
        <v>0</v>
      </c>
      <c r="AC983">
        <f>[1]发票导入!AC983</f>
        <v>0</v>
      </c>
      <c r="AE983" s="22">
        <f t="shared" si="0"/>
      </c>
      <c r="AI983">
        <f>[1]发票导入!AI983&amp;""</f>
      </c>
      <c r="AJ983">
        <f>[1]发票导入!AJ983&amp;""</f>
      </c>
      <c r="AK983">
        <f>[1]发票导入!AK983</f>
        <v>0</v>
      </c>
      <c r="AL983">
        <f>[1]发票导入!AL983</f>
        <v>0</v>
      </c>
      <c r="AM983">
        <f>[1]发票导入!AM983</f>
        <v>0</v>
      </c>
      <c r="AN983" s="22">
        <f t="shared" si="1"/>
        <v>0</v>
      </c>
      <c r="AO983" s="22">
        <f t="shared" si="2"/>
        <v>0</v>
      </c>
    </row>
    <row r="984">
      <c r="C984">
        <f>[1]发票导入!C984&amp;""</f>
      </c>
      <c r="D984">
        <f>[1]发票导入!D984&amp;""</f>
      </c>
      <c r="O984">
        <f>[1]发票导入!O984&amp;""</f>
      </c>
      <c r="T984">
        <f>[1]发票导入!T984</f>
      </c>
      <c r="U984">
        <f>[1]发票导入!U984&amp;""</f>
      </c>
      <c r="V984">
        <f>[1]发票导入!V984&amp;""</f>
      </c>
      <c r="W984">
        <f>[1]发票导入!W984&amp;""</f>
      </c>
      <c r="Y984">
        <f>[1]发票导入!Y984&amp;""</f>
      </c>
      <c r="AA984">
        <f>[1]发票导入!AA984&amp;""</f>
      </c>
      <c r="AB984">
        <f>[1]发票导入!AB984</f>
        <v>0</v>
      </c>
      <c r="AC984">
        <f>[1]发票导入!AC984</f>
        <v>0</v>
      </c>
      <c r="AE984" s="22">
        <f t="shared" si="0"/>
      </c>
      <c r="AI984">
        <f>[1]发票导入!AI984&amp;""</f>
      </c>
      <c r="AJ984">
        <f>[1]发票导入!AJ984&amp;""</f>
      </c>
      <c r="AK984">
        <f>[1]发票导入!AK984</f>
        <v>0</v>
      </c>
      <c r="AL984">
        <f>[1]发票导入!AL984</f>
        <v>0</v>
      </c>
      <c r="AM984">
        <f>[1]发票导入!AM984</f>
        <v>0</v>
      </c>
      <c r="AN984" s="22">
        <f t="shared" si="1"/>
        <v>0</v>
      </c>
      <c r="AO984" s="22">
        <f t="shared" si="2"/>
        <v>0</v>
      </c>
    </row>
    <row r="985">
      <c r="C985">
        <f>[1]发票导入!C985&amp;""</f>
      </c>
      <c r="D985">
        <f>[1]发票导入!D985&amp;""</f>
      </c>
      <c r="O985">
        <f>[1]发票导入!O985&amp;""</f>
      </c>
      <c r="T985">
        <f>[1]发票导入!T985</f>
      </c>
      <c r="U985">
        <f>[1]发票导入!U985&amp;""</f>
      </c>
      <c r="V985">
        <f>[1]发票导入!V985&amp;""</f>
      </c>
      <c r="W985">
        <f>[1]发票导入!W985&amp;""</f>
      </c>
      <c r="Y985">
        <f>[1]发票导入!Y985&amp;""</f>
      </c>
      <c r="AA985">
        <f>[1]发票导入!AA985&amp;""</f>
      </c>
      <c r="AB985">
        <f>[1]发票导入!AB985</f>
        <v>0</v>
      </c>
      <c r="AC985">
        <f>[1]发票导入!AC985</f>
        <v>0</v>
      </c>
      <c r="AE985" s="22">
        <f t="shared" si="0"/>
      </c>
      <c r="AI985">
        <f>[1]发票导入!AI985&amp;""</f>
      </c>
      <c r="AJ985">
        <f>[1]发票导入!AJ985&amp;""</f>
      </c>
      <c r="AK985">
        <f>[1]发票导入!AK985</f>
        <v>0</v>
      </c>
      <c r="AL985">
        <f>[1]发票导入!AL985</f>
        <v>0</v>
      </c>
      <c r="AM985">
        <f>[1]发票导入!AM985</f>
        <v>0</v>
      </c>
      <c r="AN985" s="22">
        <f t="shared" si="1"/>
        <v>0</v>
      </c>
      <c r="AO985" s="22">
        <f t="shared" si="2"/>
        <v>0</v>
      </c>
    </row>
    <row r="986">
      <c r="C986">
        <f>[1]发票导入!C986&amp;""</f>
      </c>
      <c r="D986">
        <f>[1]发票导入!D986&amp;""</f>
      </c>
      <c r="O986">
        <f>[1]发票导入!O986&amp;""</f>
      </c>
      <c r="T986">
        <f>[1]发票导入!T986</f>
      </c>
      <c r="U986">
        <f>[1]发票导入!U986&amp;""</f>
      </c>
      <c r="V986">
        <f>[1]发票导入!V986&amp;""</f>
      </c>
      <c r="W986">
        <f>[1]发票导入!W986&amp;""</f>
      </c>
      <c r="Y986">
        <f>[1]发票导入!Y986&amp;""</f>
      </c>
      <c r="AA986">
        <f>[1]发票导入!AA986&amp;""</f>
      </c>
      <c r="AB986">
        <f>[1]发票导入!AB986</f>
        <v>0</v>
      </c>
      <c r="AC986">
        <f>[1]发票导入!AC986</f>
        <v>0</v>
      </c>
      <c r="AE986" s="22">
        <f t="shared" si="0"/>
      </c>
      <c r="AI986">
        <f>[1]发票导入!AI986&amp;""</f>
      </c>
      <c r="AJ986">
        <f>[1]发票导入!AJ986&amp;""</f>
      </c>
      <c r="AK986">
        <f>[1]发票导入!AK986</f>
        <v>0</v>
      </c>
      <c r="AL986">
        <f>[1]发票导入!AL986</f>
        <v>0</v>
      </c>
      <c r="AM986">
        <f>[1]发票导入!AM986</f>
        <v>0</v>
      </c>
      <c r="AN986" s="22">
        <f t="shared" si="1"/>
        <v>0</v>
      </c>
      <c r="AO986" s="22">
        <f t="shared" si="2"/>
        <v>0</v>
      </c>
    </row>
    <row r="987">
      <c r="C987">
        <f>[1]发票导入!C987&amp;""</f>
      </c>
      <c r="D987">
        <f>[1]发票导入!D987&amp;""</f>
      </c>
      <c r="O987">
        <f>[1]发票导入!O987&amp;""</f>
      </c>
      <c r="T987">
        <f>[1]发票导入!T987</f>
      </c>
      <c r="U987">
        <f>[1]发票导入!U987&amp;""</f>
      </c>
      <c r="V987">
        <f>[1]发票导入!V987&amp;""</f>
      </c>
      <c r="W987">
        <f>[1]发票导入!W987&amp;""</f>
      </c>
      <c r="Y987">
        <f>[1]发票导入!Y987&amp;""</f>
      </c>
      <c r="AA987">
        <f>[1]发票导入!AA987&amp;""</f>
      </c>
      <c r="AB987">
        <f>[1]发票导入!AB987</f>
        <v>0</v>
      </c>
      <c r="AC987">
        <f>[1]发票导入!AC987</f>
        <v>0</v>
      </c>
      <c r="AE987" s="22">
        <f t="shared" si="0"/>
      </c>
      <c r="AI987">
        <f>[1]发票导入!AI987&amp;""</f>
      </c>
      <c r="AJ987">
        <f>[1]发票导入!AJ987&amp;""</f>
      </c>
      <c r="AK987">
        <f>[1]发票导入!AK987</f>
        <v>0</v>
      </c>
      <c r="AL987">
        <f>[1]发票导入!AL987</f>
        <v>0</v>
      </c>
      <c r="AM987">
        <f>[1]发票导入!AM987</f>
        <v>0</v>
      </c>
      <c r="AN987" s="22">
        <f t="shared" si="1"/>
        <v>0</v>
      </c>
      <c r="AO987" s="22">
        <f t="shared" si="2"/>
        <v>0</v>
      </c>
    </row>
    <row r="988">
      <c r="C988">
        <f>[1]发票导入!C988&amp;""</f>
      </c>
      <c r="D988">
        <f>[1]发票导入!D988&amp;""</f>
      </c>
      <c r="O988">
        <f>[1]发票导入!O988&amp;""</f>
      </c>
      <c r="T988">
        <f>[1]发票导入!T988</f>
      </c>
      <c r="U988">
        <f>[1]发票导入!U988&amp;""</f>
      </c>
      <c r="V988">
        <f>[1]发票导入!V988&amp;""</f>
      </c>
      <c r="W988">
        <f>[1]发票导入!W988&amp;""</f>
      </c>
      <c r="Y988">
        <f>[1]发票导入!Y988&amp;""</f>
      </c>
      <c r="AA988">
        <f>[1]发票导入!AA988&amp;""</f>
      </c>
      <c r="AB988">
        <f>[1]发票导入!AB988</f>
        <v>0</v>
      </c>
      <c r="AC988">
        <f>[1]发票导入!AC988</f>
        <v>0</v>
      </c>
      <c r="AE988" s="22">
        <f t="shared" si="0"/>
      </c>
      <c r="AI988">
        <f>[1]发票导入!AI988&amp;""</f>
      </c>
      <c r="AJ988">
        <f>[1]发票导入!AJ988&amp;""</f>
      </c>
      <c r="AK988">
        <f>[1]发票导入!AK988</f>
        <v>0</v>
      </c>
      <c r="AL988">
        <f>[1]发票导入!AL988</f>
        <v>0</v>
      </c>
      <c r="AM988">
        <f>[1]发票导入!AM988</f>
        <v>0</v>
      </c>
      <c r="AN988" s="22">
        <f t="shared" si="1"/>
        <v>0</v>
      </c>
      <c r="AO988" s="22">
        <f t="shared" si="2"/>
        <v>0</v>
      </c>
    </row>
    <row r="989">
      <c r="C989">
        <f>[1]发票导入!C989&amp;""</f>
      </c>
      <c r="D989">
        <f>[1]发票导入!D989&amp;""</f>
      </c>
      <c r="O989">
        <f>[1]发票导入!O989&amp;""</f>
      </c>
      <c r="T989">
        <f>[1]发票导入!T989</f>
      </c>
      <c r="U989">
        <f>[1]发票导入!U989&amp;""</f>
      </c>
      <c r="V989">
        <f>[1]发票导入!V989&amp;""</f>
      </c>
      <c r="W989">
        <f>[1]发票导入!W989&amp;""</f>
      </c>
      <c r="Y989">
        <f>[1]发票导入!Y989&amp;""</f>
      </c>
      <c r="AA989">
        <f>[1]发票导入!AA989&amp;""</f>
      </c>
      <c r="AB989">
        <f>[1]发票导入!AB989</f>
        <v>0</v>
      </c>
      <c r="AC989">
        <f>[1]发票导入!AC989</f>
        <v>0</v>
      </c>
      <c r="AE989" s="22">
        <f t="shared" si="0"/>
      </c>
      <c r="AI989">
        <f>[1]发票导入!AI989&amp;""</f>
      </c>
      <c r="AJ989">
        <f>[1]发票导入!AJ989&amp;""</f>
      </c>
      <c r="AK989">
        <f>[1]发票导入!AK989</f>
        <v>0</v>
      </c>
      <c r="AL989">
        <f>[1]发票导入!AL989</f>
        <v>0</v>
      </c>
      <c r="AM989">
        <f>[1]发票导入!AM989</f>
        <v>0</v>
      </c>
      <c r="AN989" s="22">
        <f t="shared" si="1"/>
        <v>0</v>
      </c>
      <c r="AO989" s="22">
        <f t="shared" si="2"/>
        <v>0</v>
      </c>
    </row>
    <row r="990">
      <c r="C990">
        <f>[1]发票导入!C990&amp;""</f>
      </c>
      <c r="D990">
        <f>[1]发票导入!D990&amp;""</f>
      </c>
      <c r="O990">
        <f>[1]发票导入!O990&amp;""</f>
      </c>
      <c r="T990">
        <f>[1]发票导入!T990</f>
      </c>
      <c r="U990">
        <f>[1]发票导入!U990&amp;""</f>
      </c>
      <c r="V990">
        <f>[1]发票导入!V990&amp;""</f>
      </c>
      <c r="W990">
        <f>[1]发票导入!W990&amp;""</f>
      </c>
      <c r="Y990">
        <f>[1]发票导入!Y990&amp;""</f>
      </c>
      <c r="AA990">
        <f>[1]发票导入!AA990&amp;""</f>
      </c>
      <c r="AB990">
        <f>[1]发票导入!AB990</f>
        <v>0</v>
      </c>
      <c r="AC990">
        <f>[1]发票导入!AC990</f>
        <v>0</v>
      </c>
      <c r="AE990" s="22">
        <f t="shared" si="0"/>
      </c>
      <c r="AI990">
        <f>[1]发票导入!AI990&amp;""</f>
      </c>
      <c r="AJ990">
        <f>[1]发票导入!AJ990&amp;""</f>
      </c>
      <c r="AK990">
        <f>[1]发票导入!AK990</f>
        <v>0</v>
      </c>
      <c r="AL990">
        <f>[1]发票导入!AL990</f>
        <v>0</v>
      </c>
      <c r="AM990">
        <f>[1]发票导入!AM990</f>
        <v>0</v>
      </c>
      <c r="AN990" s="22">
        <f t="shared" si="1"/>
        <v>0</v>
      </c>
      <c r="AO990" s="22">
        <f t="shared" si="2"/>
        <v>0</v>
      </c>
    </row>
    <row r="991">
      <c r="C991">
        <f>[1]发票导入!C991&amp;""</f>
      </c>
      <c r="D991">
        <f>[1]发票导入!D991&amp;""</f>
      </c>
      <c r="O991">
        <f>[1]发票导入!O991&amp;""</f>
      </c>
      <c r="T991">
        <f>[1]发票导入!T991</f>
      </c>
      <c r="U991">
        <f>[1]发票导入!U991&amp;""</f>
      </c>
      <c r="V991">
        <f>[1]发票导入!V991&amp;""</f>
      </c>
      <c r="W991">
        <f>[1]发票导入!W991&amp;""</f>
      </c>
      <c r="Y991">
        <f>[1]发票导入!Y991&amp;""</f>
      </c>
      <c r="AA991">
        <f>[1]发票导入!AA991&amp;""</f>
      </c>
      <c r="AB991">
        <f>[1]发票导入!AB991</f>
        <v>0</v>
      </c>
      <c r="AC991">
        <f>[1]发票导入!AC991</f>
        <v>0</v>
      </c>
      <c r="AE991" s="22">
        <f t="shared" si="0"/>
      </c>
      <c r="AI991">
        <f>[1]发票导入!AI991&amp;""</f>
      </c>
      <c r="AJ991">
        <f>[1]发票导入!AJ991&amp;""</f>
      </c>
      <c r="AK991">
        <f>[1]发票导入!AK991</f>
        <v>0</v>
      </c>
      <c r="AL991">
        <f>[1]发票导入!AL991</f>
        <v>0</v>
      </c>
      <c r="AM991">
        <f>[1]发票导入!AM991</f>
        <v>0</v>
      </c>
      <c r="AN991" s="22">
        <f t="shared" si="1"/>
        <v>0</v>
      </c>
      <c r="AO991" s="22">
        <f t="shared" si="2"/>
        <v>0</v>
      </c>
    </row>
    <row r="992">
      <c r="C992">
        <f>[1]发票导入!C992&amp;""</f>
      </c>
      <c r="D992">
        <f>[1]发票导入!D992&amp;""</f>
      </c>
      <c r="O992">
        <f>[1]发票导入!O992&amp;""</f>
      </c>
      <c r="T992">
        <f>[1]发票导入!T992</f>
      </c>
      <c r="U992">
        <f>[1]发票导入!U992&amp;""</f>
      </c>
      <c r="V992">
        <f>[1]发票导入!V992&amp;""</f>
      </c>
      <c r="W992">
        <f>[1]发票导入!W992&amp;""</f>
      </c>
      <c r="Y992">
        <f>[1]发票导入!Y992&amp;""</f>
      </c>
      <c r="AA992">
        <f>[1]发票导入!AA992&amp;""</f>
      </c>
      <c r="AB992">
        <f>[1]发票导入!AB992</f>
        <v>0</v>
      </c>
      <c r="AC992">
        <f>[1]发票导入!AC992</f>
        <v>0</v>
      </c>
      <c r="AE992" s="22">
        <f t="shared" si="0"/>
      </c>
      <c r="AI992">
        <f>[1]发票导入!AI992&amp;""</f>
      </c>
      <c r="AJ992">
        <f>[1]发票导入!AJ992&amp;""</f>
      </c>
      <c r="AK992">
        <f>[1]发票导入!AK992</f>
        <v>0</v>
      </c>
      <c r="AL992">
        <f>[1]发票导入!AL992</f>
        <v>0</v>
      </c>
      <c r="AM992">
        <f>[1]发票导入!AM992</f>
        <v>0</v>
      </c>
      <c r="AN992" s="22">
        <f t="shared" si="1"/>
        <v>0</v>
      </c>
      <c r="AO992" s="22">
        <f t="shared" si="2"/>
        <v>0</v>
      </c>
    </row>
    <row r="993">
      <c r="C993">
        <f>[1]发票导入!C993&amp;""</f>
      </c>
      <c r="D993">
        <f>[1]发票导入!D993&amp;""</f>
      </c>
      <c r="O993">
        <f>[1]发票导入!O993&amp;""</f>
      </c>
      <c r="T993">
        <f>[1]发票导入!T993</f>
      </c>
      <c r="U993">
        <f>[1]发票导入!U993&amp;""</f>
      </c>
      <c r="V993">
        <f>[1]发票导入!V993&amp;""</f>
      </c>
      <c r="W993">
        <f>[1]发票导入!W993&amp;""</f>
      </c>
      <c r="Y993">
        <f>[1]发票导入!Y993&amp;""</f>
      </c>
      <c r="AA993">
        <f>[1]发票导入!AA993&amp;""</f>
      </c>
      <c r="AB993">
        <f>[1]发票导入!AB993</f>
        <v>0</v>
      </c>
      <c r="AC993">
        <f>[1]发票导入!AC993</f>
        <v>0</v>
      </c>
      <c r="AE993" s="22">
        <f t="shared" si="0"/>
      </c>
      <c r="AI993">
        <f>[1]发票导入!AI993&amp;""</f>
      </c>
      <c r="AJ993">
        <f>[1]发票导入!AJ993&amp;""</f>
      </c>
      <c r="AK993">
        <f>[1]发票导入!AK993</f>
        <v>0</v>
      </c>
      <c r="AL993">
        <f>[1]发票导入!AL993</f>
        <v>0</v>
      </c>
      <c r="AM993">
        <f>[1]发票导入!AM993</f>
        <v>0</v>
      </c>
      <c r="AN993" s="22">
        <f t="shared" si="1"/>
        <v>0</v>
      </c>
      <c r="AO993" s="22">
        <f t="shared" si="2"/>
        <v>0</v>
      </c>
    </row>
    <row r="994">
      <c r="C994">
        <f>[1]发票导入!C994&amp;""</f>
      </c>
      <c r="D994">
        <f>[1]发票导入!D994&amp;""</f>
      </c>
      <c r="O994">
        <f>[1]发票导入!O994&amp;""</f>
      </c>
      <c r="T994">
        <f>[1]发票导入!T994</f>
      </c>
      <c r="U994">
        <f>[1]发票导入!U994&amp;""</f>
      </c>
      <c r="V994">
        <f>[1]发票导入!V994&amp;""</f>
      </c>
      <c r="W994">
        <f>[1]发票导入!W994&amp;""</f>
      </c>
      <c r="Y994">
        <f>[1]发票导入!Y994&amp;""</f>
      </c>
      <c r="AA994">
        <f>[1]发票导入!AA994&amp;""</f>
      </c>
      <c r="AB994">
        <f>[1]发票导入!AB994</f>
        <v>0</v>
      </c>
      <c r="AC994">
        <f>[1]发票导入!AC994</f>
        <v>0</v>
      </c>
      <c r="AE994" s="22">
        <f t="shared" si="0"/>
      </c>
      <c r="AI994">
        <f>[1]发票导入!AI994&amp;""</f>
      </c>
      <c r="AJ994">
        <f>[1]发票导入!AJ994&amp;""</f>
      </c>
      <c r="AK994">
        <f>[1]发票导入!AK994</f>
        <v>0</v>
      </c>
      <c r="AL994">
        <f>[1]发票导入!AL994</f>
        <v>0</v>
      </c>
      <c r="AM994">
        <f>[1]发票导入!AM994</f>
        <v>0</v>
      </c>
      <c r="AN994" s="22">
        <f t="shared" si="1"/>
        <v>0</v>
      </c>
      <c r="AO994" s="22">
        <f t="shared" si="2"/>
        <v>0</v>
      </c>
    </row>
    <row r="995">
      <c r="C995">
        <f>[1]发票导入!C995&amp;""</f>
      </c>
      <c r="D995">
        <f>[1]发票导入!D995&amp;""</f>
      </c>
      <c r="O995">
        <f>[1]发票导入!O995&amp;""</f>
      </c>
      <c r="T995">
        <f>[1]发票导入!T995</f>
      </c>
      <c r="U995">
        <f>[1]发票导入!U995&amp;""</f>
      </c>
      <c r="V995">
        <f>[1]发票导入!V995&amp;""</f>
      </c>
      <c r="W995">
        <f>[1]发票导入!W995&amp;""</f>
      </c>
      <c r="Y995">
        <f>[1]发票导入!Y995&amp;""</f>
      </c>
      <c r="AA995">
        <f>[1]发票导入!AA995&amp;""</f>
      </c>
      <c r="AB995">
        <f>[1]发票导入!AB995</f>
        <v>0</v>
      </c>
      <c r="AC995">
        <f>[1]发票导入!AC995</f>
        <v>0</v>
      </c>
      <c r="AE995" s="22">
        <f t="shared" si="0"/>
      </c>
      <c r="AI995">
        <f>[1]发票导入!AI995&amp;""</f>
      </c>
      <c r="AJ995">
        <f>[1]发票导入!AJ995&amp;""</f>
      </c>
      <c r="AK995">
        <f>[1]发票导入!AK995</f>
        <v>0</v>
      </c>
      <c r="AL995">
        <f>[1]发票导入!AL995</f>
        <v>0</v>
      </c>
      <c r="AM995">
        <f>[1]发票导入!AM995</f>
        <v>0</v>
      </c>
      <c r="AN995" s="22">
        <f t="shared" si="1"/>
        <v>0</v>
      </c>
      <c r="AO995" s="22">
        <f t="shared" si="2"/>
        <v>0</v>
      </c>
    </row>
    <row r="996">
      <c r="C996">
        <f>[1]发票导入!C996&amp;""</f>
      </c>
      <c r="D996">
        <f>[1]发票导入!D996&amp;""</f>
      </c>
      <c r="O996">
        <f>[1]发票导入!O996&amp;""</f>
      </c>
      <c r="T996">
        <f>[1]发票导入!T996</f>
      </c>
      <c r="U996">
        <f>[1]发票导入!U996&amp;""</f>
      </c>
      <c r="V996">
        <f>[1]发票导入!V996&amp;""</f>
      </c>
      <c r="W996">
        <f>[1]发票导入!W996&amp;""</f>
      </c>
      <c r="Y996">
        <f>[1]发票导入!Y996&amp;""</f>
      </c>
      <c r="AA996">
        <f>[1]发票导入!AA996&amp;""</f>
      </c>
      <c r="AB996">
        <f>[1]发票导入!AB996</f>
        <v>0</v>
      </c>
      <c r="AC996">
        <f>[1]发票导入!AC996</f>
        <v>0</v>
      </c>
      <c r="AE996" s="22">
        <f t="shared" si="0"/>
      </c>
      <c r="AI996">
        <f>[1]发票导入!AI996&amp;""</f>
      </c>
      <c r="AJ996">
        <f>[1]发票导入!AJ996&amp;""</f>
      </c>
      <c r="AK996">
        <f>[1]发票导入!AK996</f>
        <v>0</v>
      </c>
      <c r="AL996">
        <f>[1]发票导入!AL996</f>
        <v>0</v>
      </c>
      <c r="AM996">
        <f>[1]发票导入!AM996</f>
        <v>0</v>
      </c>
      <c r="AN996" s="22">
        <f t="shared" si="1"/>
        <v>0</v>
      </c>
      <c r="AO996" s="22">
        <f t="shared" si="2"/>
        <v>0</v>
      </c>
    </row>
    <row r="997">
      <c r="C997">
        <f>[1]发票导入!C997&amp;""</f>
      </c>
      <c r="D997">
        <f>[1]发票导入!D997&amp;""</f>
      </c>
      <c r="O997">
        <f>[1]发票导入!O997&amp;""</f>
      </c>
      <c r="T997">
        <f>[1]发票导入!T997</f>
      </c>
      <c r="U997">
        <f>[1]发票导入!U997&amp;""</f>
      </c>
      <c r="V997">
        <f>[1]发票导入!V997&amp;""</f>
      </c>
      <c r="W997">
        <f>[1]发票导入!W997&amp;""</f>
      </c>
      <c r="Y997">
        <f>[1]发票导入!Y997&amp;""</f>
      </c>
      <c r="AA997">
        <f>[1]发票导入!AA997&amp;""</f>
      </c>
      <c r="AB997">
        <f>[1]发票导入!AB997</f>
        <v>0</v>
      </c>
      <c r="AC997">
        <f>[1]发票导入!AC997</f>
        <v>0</v>
      </c>
      <c r="AE997" s="22">
        <f t="shared" si="0"/>
      </c>
      <c r="AI997">
        <f>[1]发票导入!AI997&amp;""</f>
      </c>
      <c r="AJ997">
        <f>[1]发票导入!AJ997&amp;""</f>
      </c>
      <c r="AK997">
        <f>[1]发票导入!AK997</f>
        <v>0</v>
      </c>
      <c r="AL997">
        <f>[1]发票导入!AL997</f>
        <v>0</v>
      </c>
      <c r="AM997">
        <f>[1]发票导入!AM997</f>
        <v>0</v>
      </c>
      <c r="AN997" s="22">
        <f t="shared" si="1"/>
        <v>0</v>
      </c>
      <c r="AO997" s="22">
        <f t="shared" si="2"/>
        <v>0</v>
      </c>
    </row>
    <row r="998">
      <c r="C998">
        <f>[1]发票导入!C998&amp;""</f>
      </c>
      <c r="D998">
        <f>[1]发票导入!D998&amp;""</f>
      </c>
      <c r="O998">
        <f>[1]发票导入!O998&amp;""</f>
      </c>
      <c r="T998">
        <f>[1]发票导入!T998</f>
      </c>
      <c r="U998">
        <f>[1]发票导入!U998&amp;""</f>
      </c>
      <c r="V998">
        <f>[1]发票导入!V998&amp;""</f>
      </c>
      <c r="W998">
        <f>[1]发票导入!W998&amp;""</f>
      </c>
      <c r="Y998">
        <f>[1]发票导入!Y998&amp;""</f>
      </c>
      <c r="AA998">
        <f>[1]发票导入!AA998&amp;""</f>
      </c>
      <c r="AB998">
        <f>[1]发票导入!AB998</f>
        <v>0</v>
      </c>
      <c r="AC998">
        <f>[1]发票导入!AC998</f>
        <v>0</v>
      </c>
      <c r="AE998" s="22">
        <f t="shared" si="0"/>
      </c>
      <c r="AI998">
        <f>[1]发票导入!AI998&amp;""</f>
      </c>
      <c r="AJ998">
        <f>[1]发票导入!AJ998&amp;""</f>
      </c>
      <c r="AK998">
        <f>[1]发票导入!AK998</f>
        <v>0</v>
      </c>
      <c r="AL998">
        <f>[1]发票导入!AL998</f>
        <v>0</v>
      </c>
      <c r="AM998">
        <f>[1]发票导入!AM998</f>
        <v>0</v>
      </c>
      <c r="AN998" s="22">
        <f t="shared" si="1"/>
        <v>0</v>
      </c>
      <c r="AO998" s="22">
        <f t="shared" si="2"/>
        <v>0</v>
      </c>
    </row>
    <row r="999">
      <c r="C999">
        <f>[1]发票导入!C999&amp;""</f>
      </c>
      <c r="D999">
        <f>[1]发票导入!D999&amp;""</f>
      </c>
      <c r="O999">
        <f>[1]发票导入!O999&amp;""</f>
      </c>
      <c r="T999">
        <f>[1]发票导入!T999</f>
      </c>
      <c r="U999">
        <f>[1]发票导入!U999&amp;""</f>
      </c>
      <c r="V999">
        <f>[1]发票导入!V999&amp;""</f>
      </c>
      <c r="W999">
        <f>[1]发票导入!W999&amp;""</f>
      </c>
      <c r="Y999">
        <f>[1]发票导入!Y999&amp;""</f>
      </c>
      <c r="AA999">
        <f>[1]发票导入!AA999&amp;""</f>
      </c>
      <c r="AB999">
        <f>[1]发票导入!AB999</f>
        <v>0</v>
      </c>
      <c r="AC999">
        <f>[1]发票导入!AC999</f>
        <v>0</v>
      </c>
      <c r="AE999" s="22">
        <f t="shared" si="0"/>
      </c>
      <c r="AI999">
        <f>[1]发票导入!AI999&amp;""</f>
      </c>
      <c r="AJ999">
        <f>[1]发票导入!AJ999&amp;""</f>
      </c>
      <c r="AK999">
        <f>[1]发票导入!AK999</f>
        <v>0</v>
      </c>
      <c r="AL999">
        <f>[1]发票导入!AL999</f>
        <v>0</v>
      </c>
      <c r="AM999">
        <f>[1]发票导入!AM999</f>
        <v>0</v>
      </c>
      <c r="AN999" s="22">
        <f t="shared" si="1"/>
        <v>0</v>
      </c>
      <c r="AO999" s="22">
        <f t="shared" si="2"/>
        <v>0</v>
      </c>
    </row>
    <row r="1000">
      <c r="C1000">
        <f>[1]发票导入!C1000&amp;""</f>
      </c>
      <c r="D1000">
        <f>[1]发票导入!D1000&amp;""</f>
      </c>
      <c r="O1000">
        <f>[1]发票导入!O1000&amp;""</f>
      </c>
      <c r="T1000">
        <f>[1]发票导入!T1000</f>
      </c>
      <c r="U1000">
        <f>[1]发票导入!U1000&amp;""</f>
      </c>
      <c r="V1000">
        <f>[1]发票导入!V1000&amp;""</f>
      </c>
      <c r="W1000">
        <f>[1]发票导入!W1000&amp;""</f>
      </c>
      <c r="Y1000">
        <f>[1]发票导入!Y1000&amp;""</f>
      </c>
      <c r="AA1000">
        <f>[1]发票导入!AA1000&amp;""</f>
      </c>
      <c r="AB1000">
        <f>[1]发票导入!AB1000</f>
        <v>0</v>
      </c>
      <c r="AC1000">
        <f>[1]发票导入!AC1000</f>
        <v>0</v>
      </c>
      <c r="AE1000" s="22">
        <f t="shared" si="0"/>
      </c>
      <c r="AI1000">
        <f>[1]发票导入!AI1000&amp;""</f>
      </c>
      <c r="AJ1000">
        <f>[1]发票导入!AJ1000&amp;""</f>
      </c>
      <c r="AK1000">
        <f>[1]发票导入!AK1000</f>
        <v>0</v>
      </c>
      <c r="AL1000">
        <f>[1]发票导入!AL1000</f>
        <v>0</v>
      </c>
      <c r="AM1000">
        <f>[1]发票导入!AM1000</f>
        <v>0</v>
      </c>
      <c r="AN1000" s="22">
        <f t="shared" si="1"/>
        <v>0</v>
      </c>
      <c r="AO1000" s="22">
        <f t="shared" si="2"/>
        <v>0</v>
      </c>
    </row>
    <row r="1001">
      <c r="C1001">
        <f>[1]发票导入!C1001&amp;""</f>
      </c>
      <c r="D1001">
        <f>[1]发票导入!D1001&amp;""</f>
      </c>
      <c r="O1001">
        <f>[1]发票导入!O1001&amp;""</f>
      </c>
      <c r="T1001">
        <f>[1]发票导入!T1001</f>
      </c>
      <c r="U1001">
        <f>[1]发票导入!U1001&amp;""</f>
      </c>
      <c r="V1001">
        <f>[1]发票导入!V1001&amp;""</f>
      </c>
      <c r="W1001">
        <f>[1]发票导入!W1001&amp;""</f>
      </c>
      <c r="Y1001">
        <f>[1]发票导入!Y1001&amp;""</f>
      </c>
      <c r="AA1001">
        <f>[1]发票导入!AA1001&amp;""</f>
      </c>
      <c r="AB1001">
        <f>[1]发票导入!AB1001</f>
        <v>0</v>
      </c>
      <c r="AC1001">
        <f>[1]发票导入!AC1001</f>
        <v>0</v>
      </c>
      <c r="AE1001" s="22">
        <f t="shared" si="0"/>
      </c>
      <c r="AI1001">
        <f>[1]发票导入!AI1001&amp;""</f>
      </c>
      <c r="AJ1001">
        <f>[1]发票导入!AJ1001&amp;""</f>
      </c>
      <c r="AK1001">
        <f>[1]发票导入!AK1001</f>
        <v>0</v>
      </c>
      <c r="AL1001">
        <f>[1]发票导入!AL1001</f>
        <v>0</v>
      </c>
      <c r="AM1001">
        <f>[1]发票导入!AM1001</f>
        <v>0</v>
      </c>
      <c r="AN1001" s="22">
        <f t="shared" si="1"/>
        <v>0</v>
      </c>
      <c r="AO1001" s="22">
        <f t="shared" si="2"/>
        <v>0</v>
      </c>
    </row>
    <row r="1002">
      <c r="C1002">
        <f>[1]发票导入!C1002&amp;""</f>
      </c>
      <c r="D1002">
        <f>[1]发票导入!D1002&amp;""</f>
      </c>
      <c r="O1002">
        <f>[1]发票导入!O1002&amp;""</f>
      </c>
      <c r="T1002">
        <f>[1]发票导入!T1002</f>
      </c>
      <c r="U1002">
        <f>[1]发票导入!U1002&amp;""</f>
      </c>
      <c r="V1002">
        <f>[1]发票导入!V1002&amp;""</f>
      </c>
      <c r="W1002">
        <f>[1]发票导入!W1002&amp;""</f>
      </c>
      <c r="Y1002">
        <f>[1]发票导入!Y1002&amp;""</f>
      </c>
      <c r="AA1002">
        <f>[1]发票导入!AA1002&amp;""</f>
      </c>
      <c r="AB1002">
        <f>[1]发票导入!AB1002</f>
        <v>0</v>
      </c>
      <c r="AC1002">
        <f>[1]发票导入!AC1002</f>
        <v>0</v>
      </c>
      <c r="AE1002" s="22">
        <f t="shared" si="0"/>
      </c>
      <c r="AI1002">
        <f>[1]发票导入!AI1002&amp;""</f>
      </c>
      <c r="AJ1002">
        <f>[1]发票导入!AJ1002&amp;""</f>
      </c>
      <c r="AK1002">
        <f>[1]发票导入!AK1002</f>
        <v>0</v>
      </c>
      <c r="AL1002">
        <f>[1]发票导入!AL1002</f>
        <v>0</v>
      </c>
      <c r="AM1002">
        <f>[1]发票导入!AM1002</f>
        <v>0</v>
      </c>
      <c r="AN1002" s="22">
        <f t="shared" si="1"/>
        <v>0</v>
      </c>
      <c r="AO1002" s="22">
        <f t="shared" si="2"/>
        <v>0</v>
      </c>
    </row>
    <row r="1003">
      <c r="C1003">
        <f>[1]发票导入!C1003&amp;""</f>
      </c>
      <c r="D1003">
        <f>[1]发票导入!D1003&amp;""</f>
      </c>
      <c r="O1003">
        <f>[1]发票导入!O1003&amp;""</f>
      </c>
      <c r="T1003">
        <f>[1]发票导入!T1003</f>
      </c>
      <c r="U1003">
        <f>[1]发票导入!U1003&amp;""</f>
      </c>
      <c r="V1003">
        <f>[1]发票导入!V1003&amp;""</f>
      </c>
      <c r="W1003">
        <f>[1]发票导入!W1003&amp;""</f>
      </c>
      <c r="Y1003">
        <f>[1]发票导入!Y1003&amp;""</f>
      </c>
      <c r="AA1003">
        <f>[1]发票导入!AA1003&amp;""</f>
      </c>
      <c r="AB1003">
        <f>[1]发票导入!AB1003</f>
        <v>0</v>
      </c>
      <c r="AC1003">
        <f>[1]发票导入!AC1003</f>
        <v>0</v>
      </c>
      <c r="AE1003" s="22">
        <f t="shared" si="0"/>
      </c>
      <c r="AI1003">
        <f>[1]发票导入!AI1003&amp;""</f>
      </c>
      <c r="AJ1003">
        <f>[1]发票导入!AJ1003&amp;""</f>
      </c>
      <c r="AK1003">
        <f>[1]发票导入!AK1003</f>
        <v>0</v>
      </c>
      <c r="AL1003">
        <f>[1]发票导入!AL1003</f>
        <v>0</v>
      </c>
      <c r="AM1003">
        <f>[1]发票导入!AM1003</f>
        <v>0</v>
      </c>
      <c r="AN1003" s="22">
        <f t="shared" si="1"/>
        <v>0</v>
      </c>
      <c r="AO1003" s="22">
        <f t="shared" si="2"/>
        <v>0</v>
      </c>
    </row>
    <row r="1004">
      <c r="C1004">
        <f>[1]发票导入!C1004&amp;""</f>
      </c>
      <c r="D1004">
        <f>[1]发票导入!D1004&amp;""</f>
      </c>
      <c r="O1004">
        <f>[1]发票导入!O1004&amp;""</f>
      </c>
      <c r="T1004">
        <f>[1]发票导入!T1004</f>
      </c>
      <c r="U1004">
        <f>[1]发票导入!U1004&amp;""</f>
      </c>
      <c r="V1004">
        <f>[1]发票导入!V1004&amp;""</f>
      </c>
      <c r="W1004">
        <f>[1]发票导入!W1004&amp;""</f>
      </c>
      <c r="Y1004">
        <f>[1]发票导入!Y1004&amp;""</f>
      </c>
      <c r="AA1004">
        <f>[1]发票导入!AA1004&amp;""</f>
      </c>
      <c r="AB1004">
        <f>[1]发票导入!AB1004</f>
        <v>0</v>
      </c>
      <c r="AC1004">
        <f>[1]发票导入!AC1004</f>
        <v>0</v>
      </c>
      <c r="AE1004" s="22">
        <f t="shared" si="0"/>
      </c>
      <c r="AI1004">
        <f>[1]发票导入!AI1004&amp;""</f>
      </c>
      <c r="AJ1004">
        <f>[1]发票导入!AJ1004&amp;""</f>
      </c>
      <c r="AK1004">
        <f>[1]发票导入!AK1004</f>
        <v>0</v>
      </c>
      <c r="AL1004">
        <f>[1]发票导入!AL1004</f>
        <v>0</v>
      </c>
      <c r="AM1004">
        <f>[1]发票导入!AM1004</f>
        <v>0</v>
      </c>
      <c r="AN1004" s="22">
        <f t="shared" si="1"/>
        <v>0</v>
      </c>
      <c r="AO1004" s="22">
        <f t="shared" si="2"/>
        <v>0</v>
      </c>
    </row>
    <row r="1005">
      <c r="C1005">
        <f>[1]发票导入!C1005&amp;""</f>
      </c>
      <c r="D1005">
        <f>[1]发票导入!D1005&amp;""</f>
      </c>
      <c r="O1005">
        <f>[1]发票导入!O1005&amp;""</f>
      </c>
      <c r="T1005">
        <f>[1]发票导入!T1005</f>
      </c>
      <c r="U1005">
        <f>[1]发票导入!U1005&amp;""</f>
      </c>
      <c r="V1005">
        <f>[1]发票导入!V1005&amp;""</f>
      </c>
      <c r="W1005">
        <f>[1]发票导入!W1005&amp;""</f>
      </c>
      <c r="Y1005">
        <f>[1]发票导入!Y1005&amp;""</f>
      </c>
      <c r="AA1005">
        <f>[1]发票导入!AA1005&amp;""</f>
      </c>
      <c r="AB1005">
        <f>[1]发票导入!AB1005</f>
        <v>0</v>
      </c>
      <c r="AC1005">
        <f>[1]发票导入!AC1005</f>
        <v>0</v>
      </c>
      <c r="AE1005" s="22">
        <f t="shared" si="0"/>
      </c>
      <c r="AI1005">
        <f>[1]发票导入!AI1005&amp;""</f>
      </c>
      <c r="AJ1005">
        <f>[1]发票导入!AJ1005&amp;""</f>
      </c>
      <c r="AK1005">
        <f>[1]发票导入!AK1005</f>
        <v>0</v>
      </c>
      <c r="AL1005">
        <f>[1]发票导入!AL1005</f>
        <v>0</v>
      </c>
      <c r="AM1005">
        <f>[1]发票导入!AM1005</f>
        <v>0</v>
      </c>
      <c r="AN1005" s="22">
        <f t="shared" si="1"/>
        <v>0</v>
      </c>
      <c r="AO1005" s="22">
        <f t="shared" si="2"/>
        <v>0</v>
      </c>
    </row>
    <row r="1006">
      <c r="C1006">
        <f>[1]发票导入!C1006&amp;""</f>
      </c>
      <c r="D1006">
        <f>[1]发票导入!D1006&amp;""</f>
      </c>
      <c r="O1006">
        <f>[1]发票导入!O1006&amp;""</f>
      </c>
      <c r="T1006">
        <f>[1]发票导入!T1006</f>
      </c>
      <c r="U1006">
        <f>[1]发票导入!U1006&amp;""</f>
      </c>
      <c r="V1006">
        <f>[1]发票导入!V1006&amp;""</f>
      </c>
      <c r="W1006">
        <f>[1]发票导入!W1006&amp;""</f>
      </c>
      <c r="Y1006">
        <f>[1]发票导入!Y1006&amp;""</f>
      </c>
      <c r="AA1006">
        <f>[1]发票导入!AA1006&amp;""</f>
      </c>
      <c r="AB1006">
        <f>[1]发票导入!AB1006</f>
        <v>0</v>
      </c>
      <c r="AC1006">
        <f>[1]发票导入!AC1006</f>
        <v>0</v>
      </c>
      <c r="AE1006" s="22">
        <f t="shared" si="0"/>
      </c>
      <c r="AI1006">
        <f>[1]发票导入!AI1006&amp;""</f>
      </c>
      <c r="AJ1006">
        <f>[1]发票导入!AJ1006&amp;""</f>
      </c>
      <c r="AK1006">
        <f>[1]发票导入!AK1006</f>
        <v>0</v>
      </c>
      <c r="AL1006">
        <f>[1]发票导入!AL1006</f>
        <v>0</v>
      </c>
      <c r="AM1006">
        <f>[1]发票导入!AM1006</f>
        <v>0</v>
      </c>
      <c r="AN1006" s="22">
        <f t="shared" si="1"/>
        <v>0</v>
      </c>
      <c r="AO1006" s="22">
        <f t="shared" si="2"/>
        <v>0</v>
      </c>
    </row>
    <row r="1007">
      <c r="C1007">
        <f>[1]发票导入!C1007&amp;""</f>
      </c>
      <c r="D1007">
        <f>[1]发票导入!D1007&amp;""</f>
      </c>
      <c r="O1007">
        <f>[1]发票导入!O1007&amp;""</f>
      </c>
      <c r="T1007">
        <f>[1]发票导入!T1007</f>
      </c>
      <c r="U1007">
        <f>[1]发票导入!U1007&amp;""</f>
      </c>
      <c r="V1007">
        <f>[1]发票导入!V1007&amp;""</f>
      </c>
      <c r="W1007">
        <f>[1]发票导入!W1007&amp;""</f>
      </c>
      <c r="Y1007">
        <f>[1]发票导入!Y1007&amp;""</f>
      </c>
      <c r="AA1007">
        <f>[1]发票导入!AA1007&amp;""</f>
      </c>
      <c r="AB1007">
        <f>[1]发票导入!AB1007</f>
        <v>0</v>
      </c>
      <c r="AC1007">
        <f>[1]发票导入!AC1007</f>
        <v>0</v>
      </c>
      <c r="AE1007" s="22">
        <f t="shared" si="0"/>
      </c>
      <c r="AI1007">
        <f>[1]发票导入!AI1007&amp;""</f>
      </c>
      <c r="AJ1007">
        <f>[1]发票导入!AJ1007&amp;""</f>
      </c>
      <c r="AK1007">
        <f>[1]发票导入!AK1007</f>
        <v>0</v>
      </c>
      <c r="AL1007">
        <f>[1]发票导入!AL1007</f>
        <v>0</v>
      </c>
      <c r="AM1007">
        <f>[1]发票导入!AM1007</f>
        <v>0</v>
      </c>
      <c r="AN1007" s="22">
        <f t="shared" si="1"/>
        <v>0</v>
      </c>
      <c r="AO1007" s="22">
        <f t="shared" si="2"/>
        <v>0</v>
      </c>
    </row>
    <row r="1008">
      <c r="C1008">
        <f>[1]发票导入!C1008&amp;""</f>
      </c>
      <c r="D1008">
        <f>[1]发票导入!D1008&amp;""</f>
      </c>
      <c r="O1008">
        <f>[1]发票导入!O1008&amp;""</f>
      </c>
      <c r="T1008">
        <f>[1]发票导入!T1008</f>
      </c>
      <c r="U1008">
        <f>[1]发票导入!U1008&amp;""</f>
      </c>
      <c r="V1008">
        <f>[1]发票导入!V1008&amp;""</f>
      </c>
      <c r="W1008">
        <f>[1]发票导入!W1008&amp;""</f>
      </c>
      <c r="Y1008">
        <f>[1]发票导入!Y1008&amp;""</f>
      </c>
      <c r="AA1008">
        <f>[1]发票导入!AA1008&amp;""</f>
      </c>
      <c r="AB1008">
        <f>[1]发票导入!AB1008</f>
        <v>0</v>
      </c>
      <c r="AC1008">
        <f>[1]发票导入!AC1008</f>
        <v>0</v>
      </c>
      <c r="AE1008" s="22">
        <f t="shared" si="0"/>
      </c>
      <c r="AI1008">
        <f>[1]发票导入!AI1008&amp;""</f>
      </c>
      <c r="AJ1008">
        <f>[1]发票导入!AJ1008&amp;""</f>
      </c>
      <c r="AK1008">
        <f>[1]发票导入!AK1008</f>
        <v>0</v>
      </c>
      <c r="AL1008">
        <f>[1]发票导入!AL1008</f>
        <v>0</v>
      </c>
      <c r="AM1008">
        <f>[1]发票导入!AM1008</f>
        <v>0</v>
      </c>
      <c r="AN1008" s="22">
        <f t="shared" si="1"/>
        <v>0</v>
      </c>
      <c r="AO1008" s="22">
        <f t="shared" si="2"/>
        <v>0</v>
      </c>
    </row>
    <row r="1009">
      <c r="C1009">
        <f>[1]发票导入!C1009&amp;""</f>
      </c>
      <c r="D1009">
        <f>[1]发票导入!D1009&amp;""</f>
      </c>
      <c r="O1009">
        <f>[1]发票导入!O1009&amp;""</f>
      </c>
      <c r="T1009">
        <f>[1]发票导入!T1009</f>
      </c>
      <c r="U1009">
        <f>[1]发票导入!U1009&amp;""</f>
      </c>
      <c r="V1009">
        <f>[1]发票导入!V1009&amp;""</f>
      </c>
      <c r="W1009">
        <f>[1]发票导入!W1009&amp;""</f>
      </c>
      <c r="Y1009">
        <f>[1]发票导入!Y1009&amp;""</f>
      </c>
      <c r="AA1009">
        <f>[1]发票导入!AA1009&amp;""</f>
      </c>
      <c r="AB1009">
        <f>[1]发票导入!AB1009</f>
        <v>0</v>
      </c>
      <c r="AC1009">
        <f>[1]发票导入!AC1009</f>
        <v>0</v>
      </c>
      <c r="AE1009" s="22">
        <f t="shared" si="0"/>
      </c>
      <c r="AI1009">
        <f>[1]发票导入!AI1009&amp;""</f>
      </c>
      <c r="AJ1009">
        <f>[1]发票导入!AJ1009&amp;""</f>
      </c>
      <c r="AK1009">
        <f>[1]发票导入!AK1009</f>
        <v>0</v>
      </c>
      <c r="AL1009">
        <f>[1]发票导入!AL1009</f>
        <v>0</v>
      </c>
      <c r="AM1009">
        <f>[1]发票导入!AM1009</f>
        <v>0</v>
      </c>
      <c r="AN1009" s="22">
        <f t="shared" si="1"/>
        <v>0</v>
      </c>
      <c r="AO1009" s="22">
        <f t="shared" si="2"/>
        <v>0</v>
      </c>
    </row>
    <row r="1010">
      <c r="C1010">
        <f>[1]发票导入!C1010&amp;""</f>
      </c>
      <c r="D1010">
        <f>[1]发票导入!D1010&amp;""</f>
      </c>
      <c r="O1010">
        <f>[1]发票导入!O1010&amp;""</f>
      </c>
      <c r="T1010">
        <f>[1]发票导入!T1010</f>
      </c>
      <c r="U1010">
        <f>[1]发票导入!U1010&amp;""</f>
      </c>
      <c r="V1010">
        <f>[1]发票导入!V1010&amp;""</f>
      </c>
      <c r="W1010">
        <f>[1]发票导入!W1010&amp;""</f>
      </c>
      <c r="Y1010">
        <f>[1]发票导入!Y1010&amp;""</f>
      </c>
      <c r="AA1010">
        <f>[1]发票导入!AA1010&amp;""</f>
      </c>
      <c r="AB1010">
        <f>[1]发票导入!AB1010</f>
        <v>0</v>
      </c>
      <c r="AC1010">
        <f>[1]发票导入!AC1010</f>
        <v>0</v>
      </c>
      <c r="AE1010" s="22">
        <f t="shared" si="0"/>
      </c>
      <c r="AI1010">
        <f>[1]发票导入!AI1010&amp;""</f>
      </c>
      <c r="AJ1010">
        <f>[1]发票导入!AJ1010&amp;""</f>
      </c>
      <c r="AK1010">
        <f>[1]发票导入!AK1010</f>
        <v>0</v>
      </c>
      <c r="AL1010">
        <f>[1]发票导入!AL1010</f>
        <v>0</v>
      </c>
      <c r="AM1010">
        <f>[1]发票导入!AM1010</f>
        <v>0</v>
      </c>
      <c r="AN1010" s="22">
        <f t="shared" si="1"/>
        <v>0</v>
      </c>
      <c r="AO1010" s="22">
        <f t="shared" si="2"/>
        <v>0</v>
      </c>
    </row>
    <row r="1011">
      <c r="C1011">
        <f>[1]发票导入!C1011&amp;""</f>
      </c>
      <c r="D1011">
        <f>[1]发票导入!D1011&amp;""</f>
      </c>
      <c r="O1011">
        <f>[1]发票导入!O1011&amp;""</f>
      </c>
      <c r="T1011">
        <f>[1]发票导入!T1011</f>
      </c>
      <c r="U1011">
        <f>[1]发票导入!U1011&amp;""</f>
      </c>
      <c r="V1011">
        <f>[1]发票导入!V1011&amp;""</f>
      </c>
      <c r="W1011">
        <f>[1]发票导入!W1011&amp;""</f>
      </c>
      <c r="Y1011">
        <f>[1]发票导入!Y1011&amp;""</f>
      </c>
      <c r="AA1011">
        <f>[1]发票导入!AA1011&amp;""</f>
      </c>
      <c r="AB1011">
        <f>[1]发票导入!AB1011</f>
        <v>0</v>
      </c>
      <c r="AC1011">
        <f>[1]发票导入!AC1011</f>
        <v>0</v>
      </c>
      <c r="AE1011" s="22">
        <f t="shared" si="0"/>
      </c>
      <c r="AI1011">
        <f>[1]发票导入!AI1011&amp;""</f>
      </c>
      <c r="AJ1011">
        <f>[1]发票导入!AJ1011&amp;""</f>
      </c>
      <c r="AK1011">
        <f>[1]发票导入!AK1011</f>
        <v>0</v>
      </c>
      <c r="AL1011">
        <f>[1]发票导入!AL1011</f>
        <v>0</v>
      </c>
      <c r="AM1011">
        <f>[1]发票导入!AM1011</f>
        <v>0</v>
      </c>
      <c r="AN1011" s="22">
        <f t="shared" si="1"/>
        <v>0</v>
      </c>
      <c r="AO1011" s="22">
        <f t="shared" si="2"/>
        <v>0</v>
      </c>
    </row>
    <row r="1012">
      <c r="C1012">
        <f>[1]发票导入!C1012&amp;""</f>
      </c>
      <c r="D1012">
        <f>[1]发票导入!D1012&amp;""</f>
      </c>
      <c r="O1012">
        <f>[1]发票导入!O1012&amp;""</f>
      </c>
      <c r="T1012">
        <f>[1]发票导入!T1012</f>
      </c>
      <c r="U1012">
        <f>[1]发票导入!U1012&amp;""</f>
      </c>
      <c r="V1012">
        <f>[1]发票导入!V1012&amp;""</f>
      </c>
      <c r="W1012">
        <f>[1]发票导入!W1012&amp;""</f>
      </c>
      <c r="Y1012">
        <f>[1]发票导入!Y1012&amp;""</f>
      </c>
      <c r="AA1012">
        <f>[1]发票导入!AA1012&amp;""</f>
      </c>
      <c r="AB1012">
        <f>[1]发票导入!AB1012</f>
        <v>0</v>
      </c>
      <c r="AC1012">
        <f>[1]发票导入!AC1012</f>
        <v>0</v>
      </c>
      <c r="AE1012" s="22">
        <f t="shared" si="0"/>
      </c>
      <c r="AI1012">
        <f>[1]发票导入!AI1012&amp;""</f>
      </c>
      <c r="AJ1012">
        <f>[1]发票导入!AJ1012&amp;""</f>
      </c>
      <c r="AK1012">
        <f>[1]发票导入!AK1012</f>
        <v>0</v>
      </c>
      <c r="AL1012">
        <f>[1]发票导入!AL1012</f>
        <v>0</v>
      </c>
      <c r="AM1012">
        <f>[1]发票导入!AM1012</f>
        <v>0</v>
      </c>
      <c r="AN1012" s="22">
        <f t="shared" si="1"/>
        <v>0</v>
      </c>
      <c r="AO1012" s="22">
        <f t="shared" si="2"/>
        <v>0</v>
      </c>
    </row>
    <row r="1013">
      <c r="C1013">
        <f>[1]发票导入!C1013&amp;""</f>
      </c>
      <c r="D1013">
        <f>[1]发票导入!D1013&amp;""</f>
      </c>
      <c r="O1013">
        <f>[1]发票导入!O1013&amp;""</f>
      </c>
      <c r="T1013">
        <f>[1]发票导入!T1013</f>
      </c>
      <c r="U1013">
        <f>[1]发票导入!U1013&amp;""</f>
      </c>
      <c r="V1013">
        <f>[1]发票导入!V1013&amp;""</f>
      </c>
      <c r="W1013">
        <f>[1]发票导入!W1013&amp;""</f>
      </c>
      <c r="Y1013">
        <f>[1]发票导入!Y1013&amp;""</f>
      </c>
      <c r="AA1013">
        <f>[1]发票导入!AA1013&amp;""</f>
      </c>
      <c r="AB1013">
        <f>[1]发票导入!AB1013</f>
        <v>0</v>
      </c>
      <c r="AC1013">
        <f>[1]发票导入!AC1013</f>
        <v>0</v>
      </c>
      <c r="AE1013" s="22">
        <f t="shared" si="0"/>
      </c>
      <c r="AI1013">
        <f>[1]发票导入!AI1013&amp;""</f>
      </c>
      <c r="AJ1013">
        <f>[1]发票导入!AJ1013&amp;""</f>
      </c>
      <c r="AK1013">
        <f>[1]发票导入!AK1013</f>
        <v>0</v>
      </c>
      <c r="AL1013">
        <f>[1]发票导入!AL1013</f>
        <v>0</v>
      </c>
      <c r="AM1013">
        <f>[1]发票导入!AM1013</f>
        <v>0</v>
      </c>
      <c r="AN1013" s="22">
        <f t="shared" si="1"/>
        <v>0</v>
      </c>
      <c r="AO1013" s="22">
        <f t="shared" si="2"/>
        <v>0</v>
      </c>
    </row>
    <row r="1014">
      <c r="C1014">
        <f>[1]发票导入!C1014&amp;""</f>
      </c>
      <c r="D1014">
        <f>[1]发票导入!D1014&amp;""</f>
      </c>
      <c r="O1014">
        <f>[1]发票导入!O1014&amp;""</f>
      </c>
      <c r="T1014">
        <f>[1]发票导入!T1014</f>
      </c>
      <c r="U1014">
        <f>[1]发票导入!U1014&amp;""</f>
      </c>
      <c r="V1014">
        <f>[1]发票导入!V1014&amp;""</f>
      </c>
      <c r="W1014">
        <f>[1]发票导入!W1014&amp;""</f>
      </c>
      <c r="Y1014">
        <f>[1]发票导入!Y1014&amp;""</f>
      </c>
      <c r="AA1014">
        <f>[1]发票导入!AA1014&amp;""</f>
      </c>
      <c r="AB1014">
        <f>[1]发票导入!AB1014</f>
        <v>0</v>
      </c>
      <c r="AC1014">
        <f>[1]发票导入!AC1014</f>
        <v>0</v>
      </c>
      <c r="AE1014" s="22">
        <f t="shared" si="0"/>
      </c>
      <c r="AI1014">
        <f>[1]发票导入!AI1014&amp;""</f>
      </c>
      <c r="AJ1014">
        <f>[1]发票导入!AJ1014&amp;""</f>
      </c>
      <c r="AK1014">
        <f>[1]发票导入!AK1014</f>
        <v>0</v>
      </c>
      <c r="AL1014">
        <f>[1]发票导入!AL1014</f>
        <v>0</v>
      </c>
      <c r="AM1014">
        <f>[1]发票导入!AM1014</f>
        <v>0</v>
      </c>
      <c r="AN1014" s="22">
        <f t="shared" si="1"/>
        <v>0</v>
      </c>
      <c r="AO1014" s="22">
        <f t="shared" si="2"/>
        <v>0</v>
      </c>
    </row>
    <row r="1015">
      <c r="C1015">
        <f>[1]发票导入!C1015&amp;""</f>
      </c>
      <c r="D1015">
        <f>[1]发票导入!D1015&amp;""</f>
      </c>
      <c r="O1015">
        <f>[1]发票导入!O1015&amp;""</f>
      </c>
      <c r="T1015">
        <f>[1]发票导入!T1015</f>
      </c>
      <c r="U1015">
        <f>[1]发票导入!U1015&amp;""</f>
      </c>
      <c r="V1015">
        <f>[1]发票导入!V1015&amp;""</f>
      </c>
      <c r="W1015">
        <f>[1]发票导入!W1015&amp;""</f>
      </c>
      <c r="Y1015">
        <f>[1]发票导入!Y1015&amp;""</f>
      </c>
      <c r="AA1015">
        <f>[1]发票导入!AA1015&amp;""</f>
      </c>
      <c r="AB1015">
        <f>[1]发票导入!AB1015</f>
        <v>0</v>
      </c>
      <c r="AC1015">
        <f>[1]发票导入!AC1015</f>
        <v>0</v>
      </c>
      <c r="AE1015" s="22">
        <f t="shared" si="0"/>
      </c>
      <c r="AI1015">
        <f>[1]发票导入!AI1015&amp;""</f>
      </c>
      <c r="AJ1015">
        <f>[1]发票导入!AJ1015&amp;""</f>
      </c>
      <c r="AK1015">
        <f>[1]发票导入!AK1015</f>
        <v>0</v>
      </c>
      <c r="AL1015">
        <f>[1]发票导入!AL1015</f>
        <v>0</v>
      </c>
      <c r="AM1015">
        <f>[1]发票导入!AM1015</f>
        <v>0</v>
      </c>
      <c r="AN1015" s="22">
        <f t="shared" si="1"/>
        <v>0</v>
      </c>
      <c r="AO1015" s="22">
        <f t="shared" si="2"/>
        <v>0</v>
      </c>
    </row>
    <row r="1016">
      <c r="C1016">
        <f>[1]发票导入!C1016&amp;""</f>
      </c>
      <c r="D1016">
        <f>[1]发票导入!D1016&amp;""</f>
      </c>
      <c r="O1016">
        <f>[1]发票导入!O1016&amp;""</f>
      </c>
      <c r="T1016">
        <f>[1]发票导入!T1016</f>
      </c>
      <c r="U1016">
        <f>[1]发票导入!U1016&amp;""</f>
      </c>
      <c r="V1016">
        <f>[1]发票导入!V1016&amp;""</f>
      </c>
      <c r="W1016">
        <f>[1]发票导入!W1016&amp;""</f>
      </c>
      <c r="Y1016">
        <f>[1]发票导入!Y1016&amp;""</f>
      </c>
      <c r="AA1016">
        <f>[1]发票导入!AA1016&amp;""</f>
      </c>
      <c r="AB1016">
        <f>[1]发票导入!AB1016</f>
        <v>0</v>
      </c>
      <c r="AC1016">
        <f>[1]发票导入!AC1016</f>
        <v>0</v>
      </c>
      <c r="AE1016" s="22">
        <f t="shared" si="0"/>
      </c>
      <c r="AI1016">
        <f>[1]发票导入!AI1016&amp;""</f>
      </c>
      <c r="AJ1016">
        <f>[1]发票导入!AJ1016&amp;""</f>
      </c>
      <c r="AK1016">
        <f>[1]发票导入!AK1016</f>
        <v>0</v>
      </c>
      <c r="AL1016">
        <f>[1]发票导入!AL1016</f>
        <v>0</v>
      </c>
      <c r="AM1016">
        <f>[1]发票导入!AM1016</f>
        <v>0</v>
      </c>
      <c r="AN1016" s="22">
        <f t="shared" si="1"/>
        <v>0</v>
      </c>
      <c r="AO1016" s="22">
        <f t="shared" si="2"/>
        <v>0</v>
      </c>
    </row>
    <row r="1017">
      <c r="C1017">
        <f>[1]发票导入!C1017&amp;""</f>
      </c>
      <c r="D1017">
        <f>[1]发票导入!D1017&amp;""</f>
      </c>
      <c r="O1017">
        <f>[1]发票导入!O1017&amp;""</f>
      </c>
      <c r="T1017">
        <f>[1]发票导入!T1017</f>
      </c>
      <c r="U1017">
        <f>[1]发票导入!U1017&amp;""</f>
      </c>
      <c r="V1017">
        <f>[1]发票导入!V1017&amp;""</f>
      </c>
      <c r="W1017">
        <f>[1]发票导入!W1017&amp;""</f>
      </c>
      <c r="Y1017">
        <f>[1]发票导入!Y1017&amp;""</f>
      </c>
      <c r="AA1017">
        <f>[1]发票导入!AA1017&amp;""</f>
      </c>
      <c r="AB1017">
        <f>[1]发票导入!AB1017</f>
        <v>0</v>
      </c>
      <c r="AC1017">
        <f>[1]发票导入!AC1017</f>
        <v>0</v>
      </c>
      <c r="AE1017" s="22">
        <f t="shared" si="0"/>
      </c>
      <c r="AI1017">
        <f>[1]发票导入!AI1017&amp;""</f>
      </c>
      <c r="AJ1017">
        <f>[1]发票导入!AJ1017&amp;""</f>
      </c>
      <c r="AK1017">
        <f>[1]发票导入!AK1017</f>
        <v>0</v>
      </c>
      <c r="AL1017">
        <f>[1]发票导入!AL1017</f>
        <v>0</v>
      </c>
      <c r="AM1017">
        <f>[1]发票导入!AM1017</f>
        <v>0</v>
      </c>
      <c r="AN1017" s="22">
        <f t="shared" si="1"/>
        <v>0</v>
      </c>
      <c r="AO1017" s="22">
        <f t="shared" si="2"/>
        <v>0</v>
      </c>
    </row>
    <row r="1018">
      <c r="C1018">
        <f>[1]发票导入!C1018&amp;""</f>
      </c>
      <c r="D1018">
        <f>[1]发票导入!D1018&amp;""</f>
      </c>
      <c r="O1018">
        <f>[1]发票导入!O1018&amp;""</f>
      </c>
      <c r="T1018">
        <f>[1]发票导入!T1018</f>
      </c>
      <c r="U1018">
        <f>[1]发票导入!U1018&amp;""</f>
      </c>
      <c r="V1018">
        <f>[1]发票导入!V1018&amp;""</f>
      </c>
      <c r="W1018">
        <f>[1]发票导入!W1018&amp;""</f>
      </c>
      <c r="Y1018">
        <f>[1]发票导入!Y1018&amp;""</f>
      </c>
      <c r="AA1018">
        <f>[1]发票导入!AA1018&amp;""</f>
      </c>
      <c r="AB1018">
        <f>[1]发票导入!AB1018</f>
        <v>0</v>
      </c>
      <c r="AC1018">
        <f>[1]发票导入!AC1018</f>
        <v>0</v>
      </c>
      <c r="AE1018" s="22">
        <f t="shared" si="0"/>
      </c>
      <c r="AI1018">
        <f>[1]发票导入!AI1018&amp;""</f>
      </c>
      <c r="AJ1018">
        <f>[1]发票导入!AJ1018&amp;""</f>
      </c>
      <c r="AK1018">
        <f>[1]发票导入!AK1018</f>
        <v>0</v>
      </c>
      <c r="AL1018">
        <f>[1]发票导入!AL1018</f>
        <v>0</v>
      </c>
      <c r="AM1018">
        <f>[1]发票导入!AM1018</f>
        <v>0</v>
      </c>
      <c r="AN1018" s="22">
        <f t="shared" si="1"/>
        <v>0</v>
      </c>
      <c r="AO1018" s="22">
        <f t="shared" si="2"/>
        <v>0</v>
      </c>
    </row>
    <row r="1019">
      <c r="C1019">
        <f>[1]发票导入!C1019&amp;""</f>
      </c>
      <c r="D1019">
        <f>[1]发票导入!D1019&amp;""</f>
      </c>
      <c r="O1019">
        <f>[1]发票导入!O1019&amp;""</f>
      </c>
      <c r="T1019">
        <f>[1]发票导入!T1019</f>
      </c>
      <c r="U1019">
        <f>[1]发票导入!U1019&amp;""</f>
      </c>
      <c r="V1019">
        <f>[1]发票导入!V1019&amp;""</f>
      </c>
      <c r="W1019">
        <f>[1]发票导入!W1019&amp;""</f>
      </c>
      <c r="Y1019">
        <f>[1]发票导入!Y1019&amp;""</f>
      </c>
      <c r="AA1019">
        <f>[1]发票导入!AA1019&amp;""</f>
      </c>
      <c r="AB1019">
        <f>[1]发票导入!AB1019</f>
        <v>0</v>
      </c>
      <c r="AC1019">
        <f>[1]发票导入!AC1019</f>
        <v>0</v>
      </c>
      <c r="AE1019" s="22">
        <f t="shared" si="0"/>
      </c>
      <c r="AI1019">
        <f>[1]发票导入!AI1019&amp;""</f>
      </c>
      <c r="AJ1019">
        <f>[1]发票导入!AJ1019&amp;""</f>
      </c>
      <c r="AK1019">
        <f>[1]发票导入!AK1019</f>
        <v>0</v>
      </c>
      <c r="AL1019">
        <f>[1]发票导入!AL1019</f>
        <v>0</v>
      </c>
      <c r="AM1019">
        <f>[1]发票导入!AM1019</f>
        <v>0</v>
      </c>
      <c r="AN1019" s="22">
        <f t="shared" si="1"/>
        <v>0</v>
      </c>
      <c r="AO1019" s="22">
        <f t="shared" si="2"/>
        <v>0</v>
      </c>
    </row>
    <row r="1020">
      <c r="C1020">
        <f>[1]发票导入!C1020&amp;""</f>
      </c>
      <c r="D1020">
        <f>[1]发票导入!D1020&amp;""</f>
      </c>
      <c r="O1020">
        <f>[1]发票导入!O1020&amp;""</f>
      </c>
      <c r="T1020">
        <f>[1]发票导入!T1020</f>
      </c>
      <c r="U1020">
        <f>[1]发票导入!U1020&amp;""</f>
      </c>
      <c r="V1020">
        <f>[1]发票导入!V1020&amp;""</f>
      </c>
      <c r="W1020">
        <f>[1]发票导入!W1020&amp;""</f>
      </c>
      <c r="Y1020">
        <f>[1]发票导入!Y1020&amp;""</f>
      </c>
      <c r="AA1020">
        <f>[1]发票导入!AA1020&amp;""</f>
      </c>
      <c r="AB1020">
        <f>[1]发票导入!AB1020</f>
        <v>0</v>
      </c>
      <c r="AC1020">
        <f>[1]发票导入!AC1020</f>
        <v>0</v>
      </c>
      <c r="AE1020" s="22">
        <f t="shared" si="0"/>
      </c>
      <c r="AI1020">
        <f>[1]发票导入!AI1020&amp;""</f>
      </c>
      <c r="AJ1020">
        <f>[1]发票导入!AJ1020&amp;""</f>
      </c>
      <c r="AK1020">
        <f>[1]发票导入!AK1020</f>
        <v>0</v>
      </c>
      <c r="AL1020">
        <f>[1]发票导入!AL1020</f>
        <v>0</v>
      </c>
      <c r="AM1020">
        <f>[1]发票导入!AM1020</f>
        <v>0</v>
      </c>
      <c r="AN1020" s="22">
        <f t="shared" si="1"/>
        <v>0</v>
      </c>
      <c r="AO1020" s="22">
        <f t="shared" si="2"/>
        <v>0</v>
      </c>
    </row>
    <row r="1021">
      <c r="C1021">
        <f>[1]发票导入!C1021&amp;""</f>
      </c>
      <c r="D1021">
        <f>[1]发票导入!D1021&amp;""</f>
      </c>
      <c r="O1021">
        <f>[1]发票导入!O1021&amp;""</f>
      </c>
      <c r="T1021">
        <f>[1]发票导入!T1021</f>
      </c>
      <c r="U1021">
        <f>[1]发票导入!U1021&amp;""</f>
      </c>
      <c r="V1021">
        <f>[1]发票导入!V1021&amp;""</f>
      </c>
      <c r="W1021">
        <f>[1]发票导入!W1021&amp;""</f>
      </c>
      <c r="Y1021">
        <f>[1]发票导入!Y1021&amp;""</f>
      </c>
      <c r="AA1021">
        <f>[1]发票导入!AA1021&amp;""</f>
      </c>
      <c r="AB1021">
        <f>[1]发票导入!AB1021</f>
        <v>0</v>
      </c>
      <c r="AC1021">
        <f>[1]发票导入!AC1021</f>
        <v>0</v>
      </c>
      <c r="AE1021" s="22">
        <f t="shared" si="0"/>
      </c>
      <c r="AI1021">
        <f>[1]发票导入!AI1021&amp;""</f>
      </c>
      <c r="AJ1021">
        <f>[1]发票导入!AJ1021&amp;""</f>
      </c>
      <c r="AK1021">
        <f>[1]发票导入!AK1021</f>
        <v>0</v>
      </c>
      <c r="AL1021">
        <f>[1]发票导入!AL1021</f>
        <v>0</v>
      </c>
      <c r="AM1021">
        <f>[1]发票导入!AM1021</f>
        <v>0</v>
      </c>
      <c r="AN1021" s="22">
        <f t="shared" si="1"/>
        <v>0</v>
      </c>
      <c r="AO1021" s="22">
        <f t="shared" si="2"/>
        <v>0</v>
      </c>
    </row>
    <row r="1022">
      <c r="C1022">
        <f>[1]发票导入!C1022&amp;""</f>
      </c>
      <c r="D1022">
        <f>[1]发票导入!D1022&amp;""</f>
      </c>
      <c r="O1022">
        <f>[1]发票导入!O1022&amp;""</f>
      </c>
      <c r="T1022">
        <f>[1]发票导入!T1022</f>
      </c>
      <c r="U1022">
        <f>[1]发票导入!U1022&amp;""</f>
      </c>
      <c r="V1022">
        <f>[1]发票导入!V1022&amp;""</f>
      </c>
      <c r="W1022">
        <f>[1]发票导入!W1022&amp;""</f>
      </c>
      <c r="Y1022">
        <f>[1]发票导入!Y1022&amp;""</f>
      </c>
      <c r="AA1022">
        <f>[1]发票导入!AA1022&amp;""</f>
      </c>
      <c r="AB1022">
        <f>[1]发票导入!AB1022</f>
        <v>0</v>
      </c>
      <c r="AC1022">
        <f>[1]发票导入!AC1022</f>
        <v>0</v>
      </c>
      <c r="AE1022" s="22">
        <f t="shared" si="0"/>
      </c>
      <c r="AI1022">
        <f>[1]发票导入!AI1022&amp;""</f>
      </c>
      <c r="AJ1022">
        <f>[1]发票导入!AJ1022&amp;""</f>
      </c>
      <c r="AK1022">
        <f>[1]发票导入!AK1022</f>
        <v>0</v>
      </c>
      <c r="AL1022">
        <f>[1]发票导入!AL1022</f>
        <v>0</v>
      </c>
      <c r="AM1022">
        <f>[1]发票导入!AM1022</f>
        <v>0</v>
      </c>
      <c r="AN1022" s="22">
        <f t="shared" si="1"/>
        <v>0</v>
      </c>
      <c r="AO1022" s="22">
        <f t="shared" si="2"/>
        <v>0</v>
      </c>
    </row>
    <row r="1023">
      <c r="C1023">
        <f>[1]发票导入!C1023&amp;""</f>
      </c>
      <c r="D1023">
        <f>[1]发票导入!D1023&amp;""</f>
      </c>
      <c r="O1023">
        <f>[1]发票导入!O1023&amp;""</f>
      </c>
      <c r="T1023">
        <f>[1]发票导入!T1023</f>
      </c>
      <c r="U1023">
        <f>[1]发票导入!U1023&amp;""</f>
      </c>
      <c r="V1023">
        <f>[1]发票导入!V1023&amp;""</f>
      </c>
      <c r="W1023">
        <f>[1]发票导入!W1023&amp;""</f>
      </c>
      <c r="Y1023">
        <f>[1]发票导入!Y1023&amp;""</f>
      </c>
      <c r="AA1023">
        <f>[1]发票导入!AA1023&amp;""</f>
      </c>
      <c r="AB1023">
        <f>[1]发票导入!AB1023</f>
        <v>0</v>
      </c>
      <c r="AC1023">
        <f>[1]发票导入!AC1023</f>
        <v>0</v>
      </c>
      <c r="AE1023" s="22">
        <f t="shared" si="0"/>
      </c>
      <c r="AI1023">
        <f>[1]发票导入!AI1023&amp;""</f>
      </c>
      <c r="AJ1023">
        <f>[1]发票导入!AJ1023&amp;""</f>
      </c>
      <c r="AK1023">
        <f>[1]发票导入!AK1023</f>
        <v>0</v>
      </c>
      <c r="AL1023">
        <f>[1]发票导入!AL1023</f>
        <v>0</v>
      </c>
      <c r="AM1023">
        <f>[1]发票导入!AM1023</f>
        <v>0</v>
      </c>
      <c r="AN1023" s="22">
        <f t="shared" si="1"/>
        <v>0</v>
      </c>
      <c r="AO1023" s="22">
        <f t="shared" si="2"/>
        <v>0</v>
      </c>
    </row>
    <row r="1024">
      <c r="C1024">
        <f>[1]发票导入!C1024&amp;""</f>
      </c>
      <c r="D1024">
        <f>[1]发票导入!D1024&amp;""</f>
      </c>
      <c r="O1024">
        <f>[1]发票导入!O1024&amp;""</f>
      </c>
      <c r="T1024">
        <f>[1]发票导入!T1024</f>
      </c>
      <c r="U1024">
        <f>[1]发票导入!U1024&amp;""</f>
      </c>
      <c r="V1024">
        <f>[1]发票导入!V1024&amp;""</f>
      </c>
      <c r="W1024">
        <f>[1]发票导入!W1024&amp;""</f>
      </c>
      <c r="Y1024">
        <f>[1]发票导入!Y1024&amp;""</f>
      </c>
      <c r="AA1024">
        <f>[1]发票导入!AA1024&amp;""</f>
      </c>
      <c r="AB1024">
        <f>[1]发票导入!AB1024</f>
        <v>0</v>
      </c>
      <c r="AC1024">
        <f>[1]发票导入!AC1024</f>
        <v>0</v>
      </c>
      <c r="AE1024" s="22">
        <f t="shared" si="0"/>
      </c>
      <c r="AI1024">
        <f>[1]发票导入!AI1024&amp;""</f>
      </c>
      <c r="AJ1024">
        <f>[1]发票导入!AJ1024&amp;""</f>
      </c>
      <c r="AK1024">
        <f>[1]发票导入!AK1024</f>
        <v>0</v>
      </c>
      <c r="AL1024">
        <f>[1]发票导入!AL1024</f>
        <v>0</v>
      </c>
      <c r="AM1024">
        <f>[1]发票导入!AM1024</f>
        <v>0</v>
      </c>
      <c r="AN1024" s="22">
        <f t="shared" si="1"/>
        <v>0</v>
      </c>
      <c r="AO1024" s="22">
        <f t="shared" si="2"/>
        <v>0</v>
      </c>
    </row>
    <row r="1025">
      <c r="C1025">
        <f>[1]发票导入!C1025&amp;""</f>
      </c>
      <c r="D1025">
        <f>[1]发票导入!D1025&amp;""</f>
      </c>
      <c r="O1025">
        <f>[1]发票导入!O1025&amp;""</f>
      </c>
      <c r="T1025">
        <f>[1]发票导入!T1025</f>
      </c>
      <c r="U1025">
        <f>[1]发票导入!U1025&amp;""</f>
      </c>
      <c r="V1025">
        <f>[1]发票导入!V1025&amp;""</f>
      </c>
      <c r="W1025">
        <f>[1]发票导入!W1025&amp;""</f>
      </c>
      <c r="Y1025">
        <f>[1]发票导入!Y1025&amp;""</f>
      </c>
      <c r="AA1025">
        <f>[1]发票导入!AA1025&amp;""</f>
      </c>
      <c r="AB1025">
        <f>[1]发票导入!AB1025</f>
        <v>0</v>
      </c>
      <c r="AC1025">
        <f>[1]发票导入!AC1025</f>
        <v>0</v>
      </c>
      <c r="AE1025" s="22">
        <f t="shared" si="0"/>
      </c>
      <c r="AI1025">
        <f>[1]发票导入!AI1025&amp;""</f>
      </c>
      <c r="AJ1025">
        <f>[1]发票导入!AJ1025&amp;""</f>
      </c>
      <c r="AK1025">
        <f>[1]发票导入!AK1025</f>
        <v>0</v>
      </c>
      <c r="AL1025">
        <f>[1]发票导入!AL1025</f>
        <v>0</v>
      </c>
      <c r="AM1025">
        <f>[1]发票导入!AM1025</f>
        <v>0</v>
      </c>
      <c r="AN1025" s="22">
        <f t="shared" si="1"/>
        <v>0</v>
      </c>
      <c r="AO1025" s="22">
        <f t="shared" si="2"/>
        <v>0</v>
      </c>
    </row>
    <row r="1026">
      <c r="C1026">
        <f>[1]发票导入!C1026&amp;""</f>
      </c>
      <c r="D1026">
        <f>[1]发票导入!D1026&amp;""</f>
      </c>
      <c r="O1026">
        <f>[1]发票导入!O1026&amp;""</f>
      </c>
      <c r="T1026">
        <f>[1]发票导入!T1026</f>
      </c>
      <c r="U1026">
        <f>[1]发票导入!U1026&amp;""</f>
      </c>
      <c r="V1026">
        <f>[1]发票导入!V1026&amp;""</f>
      </c>
      <c r="W1026">
        <f>[1]发票导入!W1026&amp;""</f>
      </c>
      <c r="Y1026">
        <f>[1]发票导入!Y1026&amp;""</f>
      </c>
      <c r="AA1026">
        <f>[1]发票导入!AA1026&amp;""</f>
      </c>
      <c r="AB1026">
        <f>[1]发票导入!AB1026</f>
        <v>0</v>
      </c>
      <c r="AC1026">
        <f>[1]发票导入!AC1026</f>
        <v>0</v>
      </c>
      <c r="AE1026" s="22">
        <f t="shared" si="0"/>
      </c>
      <c r="AI1026">
        <f>[1]发票导入!AI1026&amp;""</f>
      </c>
      <c r="AJ1026">
        <f>[1]发票导入!AJ1026&amp;""</f>
      </c>
      <c r="AK1026">
        <f>[1]发票导入!AK1026</f>
        <v>0</v>
      </c>
      <c r="AL1026">
        <f>[1]发票导入!AL1026</f>
        <v>0</v>
      </c>
      <c r="AM1026">
        <f>[1]发票导入!AM1026</f>
        <v>0</v>
      </c>
      <c r="AN1026" s="22">
        <f t="shared" si="1"/>
        <v>0</v>
      </c>
      <c r="AO1026" s="22">
        <f t="shared" si="2"/>
        <v>0</v>
      </c>
    </row>
    <row r="1027">
      <c r="C1027">
        <f>[1]发票导入!C1027&amp;""</f>
      </c>
      <c r="D1027">
        <f>[1]发票导入!D1027&amp;""</f>
      </c>
      <c r="O1027">
        <f>[1]发票导入!O1027&amp;""</f>
      </c>
      <c r="T1027">
        <f>[1]发票导入!T1027</f>
      </c>
      <c r="U1027">
        <f>[1]发票导入!U1027&amp;""</f>
      </c>
      <c r="V1027">
        <f>[1]发票导入!V1027&amp;""</f>
      </c>
      <c r="W1027">
        <f>[1]发票导入!W1027&amp;""</f>
      </c>
      <c r="Y1027">
        <f>[1]发票导入!Y1027&amp;""</f>
      </c>
      <c r="AA1027">
        <f>[1]发票导入!AA1027&amp;""</f>
      </c>
      <c r="AB1027">
        <f>[1]发票导入!AB1027</f>
        <v>0</v>
      </c>
      <c r="AC1027">
        <f>[1]发票导入!AC1027</f>
        <v>0</v>
      </c>
      <c r="AE1027" s="22">
        <f t="shared" si="0"/>
      </c>
      <c r="AI1027">
        <f>[1]发票导入!AI1027&amp;""</f>
      </c>
      <c r="AJ1027">
        <f>[1]发票导入!AJ1027&amp;""</f>
      </c>
      <c r="AK1027">
        <f>[1]发票导入!AK1027</f>
        <v>0</v>
      </c>
      <c r="AL1027">
        <f>[1]发票导入!AL1027</f>
        <v>0</v>
      </c>
      <c r="AM1027">
        <f>[1]发票导入!AM1027</f>
        <v>0</v>
      </c>
      <c r="AN1027" s="22">
        <f t="shared" si="1"/>
        <v>0</v>
      </c>
      <c r="AO1027" s="22">
        <f t="shared" si="2"/>
        <v>0</v>
      </c>
    </row>
    <row r="1028">
      <c r="C1028">
        <f>[1]发票导入!C1028&amp;""</f>
      </c>
      <c r="D1028">
        <f>[1]发票导入!D1028&amp;""</f>
      </c>
      <c r="O1028">
        <f>[1]发票导入!O1028&amp;""</f>
      </c>
      <c r="T1028">
        <f>[1]发票导入!T1028</f>
      </c>
      <c r="U1028">
        <f>[1]发票导入!U1028&amp;""</f>
      </c>
      <c r="V1028">
        <f>[1]发票导入!V1028&amp;""</f>
      </c>
      <c r="W1028">
        <f>[1]发票导入!W1028&amp;""</f>
      </c>
      <c r="Y1028">
        <f>[1]发票导入!Y1028&amp;""</f>
      </c>
      <c r="AA1028">
        <f>[1]发票导入!AA1028&amp;""</f>
      </c>
      <c r="AB1028">
        <f>[1]发票导入!AB1028</f>
        <v>0</v>
      </c>
      <c r="AC1028">
        <f>[1]发票导入!AC1028</f>
        <v>0</v>
      </c>
      <c r="AE1028" s="22">
        <f t="shared" si="0"/>
      </c>
      <c r="AI1028">
        <f>[1]发票导入!AI1028&amp;""</f>
      </c>
      <c r="AJ1028">
        <f>[1]发票导入!AJ1028&amp;""</f>
      </c>
      <c r="AK1028">
        <f>[1]发票导入!AK1028</f>
        <v>0</v>
      </c>
      <c r="AL1028">
        <f>[1]发票导入!AL1028</f>
        <v>0</v>
      </c>
      <c r="AM1028">
        <f>[1]发票导入!AM1028</f>
        <v>0</v>
      </c>
      <c r="AN1028" s="22">
        <f t="shared" si="1"/>
        <v>0</v>
      </c>
      <c r="AO1028" s="22">
        <f t="shared" si="2"/>
        <v>0</v>
      </c>
    </row>
    <row r="1029">
      <c r="C1029">
        <f>[1]发票导入!C1029&amp;""</f>
      </c>
      <c r="D1029">
        <f>[1]发票导入!D1029&amp;""</f>
      </c>
      <c r="O1029">
        <f>[1]发票导入!O1029&amp;""</f>
      </c>
      <c r="T1029">
        <f>[1]发票导入!T1029</f>
      </c>
      <c r="U1029">
        <f>[1]发票导入!U1029&amp;""</f>
      </c>
      <c r="V1029">
        <f>[1]发票导入!V1029&amp;""</f>
      </c>
      <c r="W1029">
        <f>[1]发票导入!W1029&amp;""</f>
      </c>
      <c r="Y1029">
        <f>[1]发票导入!Y1029&amp;""</f>
      </c>
      <c r="AA1029">
        <f>[1]发票导入!AA1029&amp;""</f>
      </c>
      <c r="AB1029">
        <f>[1]发票导入!AB1029</f>
        <v>0</v>
      </c>
      <c r="AC1029">
        <f>[1]发票导入!AC1029</f>
        <v>0</v>
      </c>
      <c r="AE1029" s="22">
        <f t="shared" si="0"/>
      </c>
      <c r="AI1029">
        <f>[1]发票导入!AI1029&amp;""</f>
      </c>
      <c r="AJ1029">
        <f>[1]发票导入!AJ1029&amp;""</f>
      </c>
      <c r="AK1029">
        <f>[1]发票导入!AK1029</f>
        <v>0</v>
      </c>
      <c r="AL1029">
        <f>[1]发票导入!AL1029</f>
        <v>0</v>
      </c>
      <c r="AM1029">
        <f>[1]发票导入!AM1029</f>
        <v>0</v>
      </c>
      <c r="AN1029" s="22">
        <f t="shared" si="1"/>
        <v>0</v>
      </c>
      <c r="AO1029" s="22">
        <f t="shared" si="2"/>
        <v>0</v>
      </c>
    </row>
    <row r="1030">
      <c r="C1030">
        <f>[1]发票导入!C1030&amp;""</f>
      </c>
      <c r="D1030">
        <f>[1]发票导入!D1030&amp;""</f>
      </c>
      <c r="O1030">
        <f>[1]发票导入!O1030&amp;""</f>
      </c>
      <c r="T1030">
        <f>[1]发票导入!T1030</f>
      </c>
      <c r="U1030">
        <f>[1]发票导入!U1030&amp;""</f>
      </c>
      <c r="V1030">
        <f>[1]发票导入!V1030&amp;""</f>
      </c>
      <c r="W1030">
        <f>[1]发票导入!W1030&amp;""</f>
      </c>
      <c r="Y1030">
        <f>[1]发票导入!Y1030&amp;""</f>
      </c>
      <c r="AA1030">
        <f>[1]发票导入!AA1030&amp;""</f>
      </c>
      <c r="AB1030">
        <f>[1]发票导入!AB1030</f>
        <v>0</v>
      </c>
      <c r="AC1030">
        <f>[1]发票导入!AC1030</f>
        <v>0</v>
      </c>
      <c r="AE1030" s="22">
        <f t="shared" si="0"/>
      </c>
      <c r="AI1030">
        <f>[1]发票导入!AI1030&amp;""</f>
      </c>
      <c r="AJ1030">
        <f>[1]发票导入!AJ1030&amp;""</f>
      </c>
      <c r="AK1030">
        <f>[1]发票导入!AK1030</f>
        <v>0</v>
      </c>
      <c r="AL1030">
        <f>[1]发票导入!AL1030</f>
        <v>0</v>
      </c>
      <c r="AM1030">
        <f>[1]发票导入!AM1030</f>
        <v>0</v>
      </c>
      <c r="AN1030" s="22">
        <f t="shared" si="1"/>
        <v>0</v>
      </c>
      <c r="AO1030" s="22">
        <f t="shared" si="2"/>
        <v>0</v>
      </c>
    </row>
    <row r="1031">
      <c r="C1031">
        <f>[1]发票导入!C1031&amp;""</f>
      </c>
      <c r="D1031">
        <f>[1]发票导入!D1031&amp;""</f>
      </c>
      <c r="O1031">
        <f>[1]发票导入!O1031&amp;""</f>
      </c>
      <c r="T1031">
        <f>[1]发票导入!T1031</f>
      </c>
      <c r="U1031">
        <f>[1]发票导入!U1031&amp;""</f>
      </c>
      <c r="V1031">
        <f>[1]发票导入!V1031&amp;""</f>
      </c>
      <c r="W1031">
        <f>[1]发票导入!W1031&amp;""</f>
      </c>
      <c r="Y1031">
        <f>[1]发票导入!Y1031&amp;""</f>
      </c>
      <c r="AA1031">
        <f>[1]发票导入!AA1031&amp;""</f>
      </c>
      <c r="AB1031">
        <f>[1]发票导入!AB1031</f>
        <v>0</v>
      </c>
      <c r="AC1031">
        <f>[1]发票导入!AC1031</f>
        <v>0</v>
      </c>
      <c r="AE1031" s="22">
        <f t="shared" si="0"/>
      </c>
      <c r="AI1031">
        <f>[1]发票导入!AI1031&amp;""</f>
      </c>
      <c r="AJ1031">
        <f>[1]发票导入!AJ1031&amp;""</f>
      </c>
      <c r="AK1031">
        <f>[1]发票导入!AK1031</f>
        <v>0</v>
      </c>
      <c r="AL1031">
        <f>[1]发票导入!AL1031</f>
        <v>0</v>
      </c>
      <c r="AM1031">
        <f>[1]发票导入!AM1031</f>
        <v>0</v>
      </c>
      <c r="AN1031" s="22">
        <f t="shared" si="1"/>
        <v>0</v>
      </c>
      <c r="AO1031" s="22">
        <f t="shared" si="2"/>
        <v>0</v>
      </c>
    </row>
    <row r="1032">
      <c r="C1032">
        <f>[1]发票导入!C1032&amp;""</f>
      </c>
      <c r="D1032">
        <f>[1]发票导入!D1032&amp;""</f>
      </c>
      <c r="O1032">
        <f>[1]发票导入!O1032&amp;""</f>
      </c>
      <c r="T1032">
        <f>[1]发票导入!T1032</f>
      </c>
      <c r="U1032">
        <f>[1]发票导入!U1032&amp;""</f>
      </c>
      <c r="V1032">
        <f>[1]发票导入!V1032&amp;""</f>
      </c>
      <c r="W1032">
        <f>[1]发票导入!W1032&amp;""</f>
      </c>
      <c r="Y1032">
        <f>[1]发票导入!Y1032&amp;""</f>
      </c>
      <c r="AA1032">
        <f>[1]发票导入!AA1032&amp;""</f>
      </c>
      <c r="AB1032">
        <f>[1]发票导入!AB1032</f>
        <v>0</v>
      </c>
      <c r="AC1032">
        <f>[1]发票导入!AC1032</f>
        <v>0</v>
      </c>
      <c r="AE1032" s="22">
        <f t="shared" si="0"/>
      </c>
      <c r="AI1032">
        <f>[1]发票导入!AI1032&amp;""</f>
      </c>
      <c r="AJ1032">
        <f>[1]发票导入!AJ1032&amp;""</f>
      </c>
      <c r="AK1032">
        <f>[1]发票导入!AK1032</f>
        <v>0</v>
      </c>
      <c r="AL1032">
        <f>[1]发票导入!AL1032</f>
        <v>0</v>
      </c>
      <c r="AM1032">
        <f>[1]发票导入!AM1032</f>
        <v>0</v>
      </c>
      <c r="AN1032" s="22">
        <f t="shared" si="1"/>
        <v>0</v>
      </c>
      <c r="AO1032" s="22">
        <f t="shared" si="2"/>
        <v>0</v>
      </c>
    </row>
    <row r="1033">
      <c r="C1033">
        <f>[1]发票导入!C1033&amp;""</f>
      </c>
      <c r="D1033">
        <f>[1]发票导入!D1033&amp;""</f>
      </c>
      <c r="O1033">
        <f>[1]发票导入!O1033&amp;""</f>
      </c>
      <c r="T1033">
        <f>[1]发票导入!T1033</f>
      </c>
      <c r="U1033">
        <f>[1]发票导入!U1033&amp;""</f>
      </c>
      <c r="V1033">
        <f>[1]发票导入!V1033&amp;""</f>
      </c>
      <c r="W1033">
        <f>[1]发票导入!W1033&amp;""</f>
      </c>
      <c r="Y1033">
        <f>[1]发票导入!Y1033&amp;""</f>
      </c>
      <c r="AA1033">
        <f>[1]发票导入!AA1033&amp;""</f>
      </c>
      <c r="AB1033">
        <f>[1]发票导入!AB1033</f>
        <v>0</v>
      </c>
      <c r="AC1033">
        <f>[1]发票导入!AC1033</f>
        <v>0</v>
      </c>
      <c r="AE1033" s="22">
        <f t="shared" si="0"/>
      </c>
      <c r="AI1033">
        <f>[1]发票导入!AI1033&amp;""</f>
      </c>
      <c r="AJ1033">
        <f>[1]发票导入!AJ1033&amp;""</f>
      </c>
      <c r="AK1033">
        <f>[1]发票导入!AK1033</f>
        <v>0</v>
      </c>
      <c r="AL1033">
        <f>[1]发票导入!AL1033</f>
        <v>0</v>
      </c>
      <c r="AM1033">
        <f>[1]发票导入!AM1033</f>
        <v>0</v>
      </c>
      <c r="AN1033" s="22">
        <f t="shared" si="1"/>
        <v>0</v>
      </c>
      <c r="AO1033" s="22">
        <f t="shared" si="2"/>
        <v>0</v>
      </c>
    </row>
    <row r="1034">
      <c r="C1034">
        <f>[1]发票导入!C1034&amp;""</f>
      </c>
      <c r="D1034">
        <f>[1]发票导入!D1034&amp;""</f>
      </c>
      <c r="O1034">
        <f>[1]发票导入!O1034&amp;""</f>
      </c>
      <c r="T1034">
        <f>[1]发票导入!T1034</f>
      </c>
      <c r="U1034">
        <f>[1]发票导入!U1034&amp;""</f>
      </c>
      <c r="V1034">
        <f>[1]发票导入!V1034&amp;""</f>
      </c>
      <c r="W1034">
        <f>[1]发票导入!W1034&amp;""</f>
      </c>
      <c r="Y1034">
        <f>[1]发票导入!Y1034&amp;""</f>
      </c>
      <c r="AA1034">
        <f>[1]发票导入!AA1034&amp;""</f>
      </c>
      <c r="AB1034">
        <f>[1]发票导入!AB1034</f>
        <v>0</v>
      </c>
      <c r="AC1034">
        <f>[1]发票导入!AC1034</f>
        <v>0</v>
      </c>
      <c r="AE1034" s="22">
        <f t="shared" si="0"/>
      </c>
      <c r="AI1034">
        <f>[1]发票导入!AI1034&amp;""</f>
      </c>
      <c r="AJ1034">
        <f>[1]发票导入!AJ1034&amp;""</f>
      </c>
      <c r="AK1034">
        <f>[1]发票导入!AK1034</f>
        <v>0</v>
      </c>
      <c r="AL1034">
        <f>[1]发票导入!AL1034</f>
        <v>0</v>
      </c>
      <c r="AM1034">
        <f>[1]发票导入!AM1034</f>
        <v>0</v>
      </c>
      <c r="AN1034" s="22">
        <f t="shared" si="1"/>
        <v>0</v>
      </c>
      <c r="AO1034" s="22">
        <f t="shared" si="2"/>
        <v>0</v>
      </c>
    </row>
    <row r="1035">
      <c r="C1035">
        <f>[1]发票导入!C1035&amp;""</f>
      </c>
      <c r="D1035">
        <f>[1]发票导入!D1035&amp;""</f>
      </c>
      <c r="O1035">
        <f>[1]发票导入!O1035&amp;""</f>
      </c>
      <c r="T1035">
        <f>[1]发票导入!T1035</f>
      </c>
      <c r="U1035">
        <f>[1]发票导入!U1035&amp;""</f>
      </c>
      <c r="V1035">
        <f>[1]发票导入!V1035&amp;""</f>
      </c>
      <c r="W1035">
        <f>[1]发票导入!W1035&amp;""</f>
      </c>
      <c r="Y1035">
        <f>[1]发票导入!Y1035&amp;""</f>
      </c>
      <c r="AA1035">
        <f>[1]发票导入!AA1035&amp;""</f>
      </c>
      <c r="AB1035">
        <f>[1]发票导入!AB1035</f>
        <v>0</v>
      </c>
      <c r="AC1035">
        <f>[1]发票导入!AC1035</f>
        <v>0</v>
      </c>
      <c r="AE1035" s="22">
        <f t="shared" si="0"/>
      </c>
      <c r="AI1035">
        <f>[1]发票导入!AI1035&amp;""</f>
      </c>
      <c r="AJ1035">
        <f>[1]发票导入!AJ1035&amp;""</f>
      </c>
      <c r="AK1035">
        <f>[1]发票导入!AK1035</f>
        <v>0</v>
      </c>
      <c r="AL1035">
        <f>[1]发票导入!AL1035</f>
        <v>0</v>
      </c>
      <c r="AM1035">
        <f>[1]发票导入!AM1035</f>
        <v>0</v>
      </c>
      <c r="AN1035" s="22">
        <f t="shared" si="1"/>
        <v>0</v>
      </c>
      <c r="AO1035" s="22">
        <f t="shared" si="2"/>
        <v>0</v>
      </c>
    </row>
    <row r="1036">
      <c r="C1036">
        <f>[1]发票导入!C1036&amp;""</f>
      </c>
      <c r="D1036">
        <f>[1]发票导入!D1036&amp;""</f>
      </c>
      <c r="O1036">
        <f>[1]发票导入!O1036&amp;""</f>
      </c>
      <c r="T1036">
        <f>[1]发票导入!T1036</f>
      </c>
      <c r="U1036">
        <f>[1]发票导入!U1036&amp;""</f>
      </c>
      <c r="V1036">
        <f>[1]发票导入!V1036&amp;""</f>
      </c>
      <c r="W1036">
        <f>[1]发票导入!W1036&amp;""</f>
      </c>
      <c r="Y1036">
        <f>[1]发票导入!Y1036&amp;""</f>
      </c>
      <c r="AA1036">
        <f>[1]发票导入!AA1036&amp;""</f>
      </c>
      <c r="AB1036">
        <f>[1]发票导入!AB1036</f>
        <v>0</v>
      </c>
      <c r="AC1036">
        <f>[1]发票导入!AC1036</f>
        <v>0</v>
      </c>
      <c r="AE1036" s="22">
        <f t="shared" si="0"/>
      </c>
      <c r="AI1036">
        <f>[1]发票导入!AI1036&amp;""</f>
      </c>
      <c r="AJ1036">
        <f>[1]发票导入!AJ1036&amp;""</f>
      </c>
      <c r="AK1036">
        <f>[1]发票导入!AK1036</f>
        <v>0</v>
      </c>
      <c r="AL1036">
        <f>[1]发票导入!AL1036</f>
        <v>0</v>
      </c>
      <c r="AM1036">
        <f>[1]发票导入!AM1036</f>
        <v>0</v>
      </c>
      <c r="AN1036" s="22">
        <f t="shared" si="1"/>
        <v>0</v>
      </c>
      <c r="AO1036" s="22">
        <f t="shared" si="2"/>
        <v>0</v>
      </c>
    </row>
    <row r="1037">
      <c r="C1037">
        <f>[1]发票导入!C1037&amp;""</f>
      </c>
      <c r="D1037">
        <f>[1]发票导入!D1037&amp;""</f>
      </c>
      <c r="O1037">
        <f>[1]发票导入!O1037&amp;""</f>
      </c>
      <c r="T1037">
        <f>[1]发票导入!T1037</f>
      </c>
      <c r="U1037">
        <f>[1]发票导入!U1037&amp;""</f>
      </c>
      <c r="V1037">
        <f>[1]发票导入!V1037&amp;""</f>
      </c>
      <c r="W1037">
        <f>[1]发票导入!W1037&amp;""</f>
      </c>
      <c r="Y1037">
        <f>[1]发票导入!Y1037&amp;""</f>
      </c>
      <c r="AA1037">
        <f>[1]发票导入!AA1037&amp;""</f>
      </c>
      <c r="AB1037">
        <f>[1]发票导入!AB1037</f>
        <v>0</v>
      </c>
      <c r="AC1037">
        <f>[1]发票导入!AC1037</f>
        <v>0</v>
      </c>
      <c r="AE1037" s="22">
        <f t="shared" si="0"/>
      </c>
      <c r="AI1037">
        <f>[1]发票导入!AI1037&amp;""</f>
      </c>
      <c r="AJ1037">
        <f>[1]发票导入!AJ1037&amp;""</f>
      </c>
      <c r="AK1037">
        <f>[1]发票导入!AK1037</f>
        <v>0</v>
      </c>
      <c r="AL1037">
        <f>[1]发票导入!AL1037</f>
        <v>0</v>
      </c>
      <c r="AM1037">
        <f>[1]发票导入!AM1037</f>
        <v>0</v>
      </c>
      <c r="AN1037" s="22">
        <f t="shared" si="1"/>
        <v>0</v>
      </c>
      <c r="AO1037" s="22">
        <f t="shared" si="2"/>
        <v>0</v>
      </c>
    </row>
    <row r="1038">
      <c r="C1038">
        <f>[1]发票导入!C1038&amp;""</f>
      </c>
      <c r="D1038">
        <f>[1]发票导入!D1038&amp;""</f>
      </c>
      <c r="O1038">
        <f>[1]发票导入!O1038&amp;""</f>
      </c>
      <c r="T1038">
        <f>[1]发票导入!T1038</f>
      </c>
      <c r="U1038">
        <f>[1]发票导入!U1038&amp;""</f>
      </c>
      <c r="V1038">
        <f>[1]发票导入!V1038&amp;""</f>
      </c>
      <c r="W1038">
        <f>[1]发票导入!W1038&amp;""</f>
      </c>
      <c r="Y1038">
        <f>[1]发票导入!Y1038&amp;""</f>
      </c>
      <c r="AA1038">
        <f>[1]发票导入!AA1038&amp;""</f>
      </c>
      <c r="AB1038">
        <f>[1]发票导入!AB1038</f>
        <v>0</v>
      </c>
      <c r="AC1038">
        <f>[1]发票导入!AC1038</f>
        <v>0</v>
      </c>
      <c r="AE1038" s="22">
        <f t="shared" si="0"/>
      </c>
      <c r="AI1038">
        <f>[1]发票导入!AI1038&amp;""</f>
      </c>
      <c r="AJ1038">
        <f>[1]发票导入!AJ1038&amp;""</f>
      </c>
      <c r="AK1038">
        <f>[1]发票导入!AK1038</f>
        <v>0</v>
      </c>
      <c r="AL1038">
        <f>[1]发票导入!AL1038</f>
        <v>0</v>
      </c>
      <c r="AM1038">
        <f>[1]发票导入!AM1038</f>
        <v>0</v>
      </c>
      <c r="AN1038" s="22">
        <f t="shared" si="1"/>
        <v>0</v>
      </c>
      <c r="AO1038" s="22">
        <f t="shared" si="2"/>
        <v>0</v>
      </c>
    </row>
    <row r="1039">
      <c r="C1039">
        <f>[1]发票导入!C1039&amp;""</f>
      </c>
      <c r="D1039">
        <f>[1]发票导入!D1039&amp;""</f>
      </c>
      <c r="O1039">
        <f>[1]发票导入!O1039&amp;""</f>
      </c>
      <c r="T1039">
        <f>[1]发票导入!T1039</f>
      </c>
      <c r="U1039">
        <f>[1]发票导入!U1039&amp;""</f>
      </c>
      <c r="V1039">
        <f>[1]发票导入!V1039&amp;""</f>
      </c>
      <c r="W1039">
        <f>[1]发票导入!W1039&amp;""</f>
      </c>
      <c r="Y1039">
        <f>[1]发票导入!Y1039&amp;""</f>
      </c>
      <c r="AA1039">
        <f>[1]发票导入!AA1039&amp;""</f>
      </c>
      <c r="AB1039">
        <f>[1]发票导入!AB1039</f>
        <v>0</v>
      </c>
      <c r="AC1039">
        <f>[1]发票导入!AC1039</f>
        <v>0</v>
      </c>
      <c r="AE1039" s="22">
        <f t="shared" si="0"/>
      </c>
      <c r="AI1039">
        <f>[1]发票导入!AI1039&amp;""</f>
      </c>
      <c r="AJ1039">
        <f>[1]发票导入!AJ1039&amp;""</f>
      </c>
      <c r="AK1039">
        <f>[1]发票导入!AK1039</f>
        <v>0</v>
      </c>
      <c r="AL1039">
        <f>[1]发票导入!AL1039</f>
        <v>0</v>
      </c>
      <c r="AM1039">
        <f>[1]发票导入!AM1039</f>
        <v>0</v>
      </c>
      <c r="AN1039" s="22">
        <f t="shared" si="1"/>
        <v>0</v>
      </c>
      <c r="AO1039" s="22">
        <f t="shared" si="2"/>
        <v>0</v>
      </c>
    </row>
    <row r="1040">
      <c r="C1040">
        <f>[1]发票导入!C1040&amp;""</f>
      </c>
      <c r="D1040">
        <f>[1]发票导入!D1040&amp;""</f>
      </c>
      <c r="O1040">
        <f>[1]发票导入!O1040&amp;""</f>
      </c>
      <c r="T1040">
        <f>[1]发票导入!T1040</f>
      </c>
      <c r="U1040">
        <f>[1]发票导入!U1040&amp;""</f>
      </c>
      <c r="V1040">
        <f>[1]发票导入!V1040&amp;""</f>
      </c>
      <c r="W1040">
        <f>[1]发票导入!W1040&amp;""</f>
      </c>
      <c r="Y1040">
        <f>[1]发票导入!Y1040&amp;""</f>
      </c>
      <c r="AA1040">
        <f>[1]发票导入!AA1040&amp;""</f>
      </c>
      <c r="AB1040">
        <f>[1]发票导入!AB1040</f>
        <v>0</v>
      </c>
      <c r="AC1040">
        <f>[1]发票导入!AC1040</f>
        <v>0</v>
      </c>
      <c r="AE1040" s="22">
        <f t="shared" si="0"/>
      </c>
      <c r="AI1040">
        <f>[1]发票导入!AI1040&amp;""</f>
      </c>
      <c r="AJ1040">
        <f>[1]发票导入!AJ1040&amp;""</f>
      </c>
      <c r="AK1040">
        <f>[1]发票导入!AK1040</f>
        <v>0</v>
      </c>
      <c r="AL1040">
        <f>[1]发票导入!AL1040</f>
        <v>0</v>
      </c>
      <c r="AM1040">
        <f>[1]发票导入!AM1040</f>
        <v>0</v>
      </c>
      <c r="AN1040" s="22">
        <f t="shared" si="1"/>
        <v>0</v>
      </c>
      <c r="AO1040" s="22">
        <f t="shared" si="2"/>
        <v>0</v>
      </c>
    </row>
    <row r="1041">
      <c r="C1041">
        <f>[1]发票导入!C1041&amp;""</f>
      </c>
      <c r="D1041">
        <f>[1]发票导入!D1041&amp;""</f>
      </c>
      <c r="O1041">
        <f>[1]发票导入!O1041&amp;""</f>
      </c>
      <c r="T1041">
        <f>[1]发票导入!T1041</f>
      </c>
      <c r="U1041">
        <f>[1]发票导入!U1041&amp;""</f>
      </c>
      <c r="V1041">
        <f>[1]发票导入!V1041&amp;""</f>
      </c>
      <c r="W1041">
        <f>[1]发票导入!W1041&amp;""</f>
      </c>
      <c r="Y1041">
        <f>[1]发票导入!Y1041&amp;""</f>
      </c>
      <c r="AA1041">
        <f>[1]发票导入!AA1041&amp;""</f>
      </c>
      <c r="AB1041">
        <f>[1]发票导入!AB1041</f>
        <v>0</v>
      </c>
      <c r="AC1041">
        <f>[1]发票导入!AC1041</f>
        <v>0</v>
      </c>
      <c r="AE1041" s="22">
        <f t="shared" si="0"/>
      </c>
      <c r="AI1041">
        <f>[1]发票导入!AI1041&amp;""</f>
      </c>
      <c r="AJ1041">
        <f>[1]发票导入!AJ1041&amp;""</f>
      </c>
      <c r="AK1041">
        <f>[1]发票导入!AK1041</f>
        <v>0</v>
      </c>
      <c r="AL1041">
        <f>[1]发票导入!AL1041</f>
        <v>0</v>
      </c>
      <c r="AM1041">
        <f>[1]发票导入!AM1041</f>
        <v>0</v>
      </c>
      <c r="AN1041" s="22">
        <f t="shared" si="1"/>
        <v>0</v>
      </c>
      <c r="AO1041" s="22">
        <f t="shared" si="2"/>
        <v>0</v>
      </c>
    </row>
    <row r="1042">
      <c r="C1042">
        <f>[1]发票导入!C1042&amp;""</f>
      </c>
      <c r="D1042">
        <f>[1]发票导入!D1042&amp;""</f>
      </c>
      <c r="O1042">
        <f>[1]发票导入!O1042&amp;""</f>
      </c>
      <c r="T1042">
        <f>[1]发票导入!T1042</f>
      </c>
      <c r="U1042">
        <f>[1]发票导入!U1042&amp;""</f>
      </c>
      <c r="V1042">
        <f>[1]发票导入!V1042&amp;""</f>
      </c>
      <c r="W1042">
        <f>[1]发票导入!W1042&amp;""</f>
      </c>
      <c r="Y1042">
        <f>[1]发票导入!Y1042&amp;""</f>
      </c>
      <c r="AA1042">
        <f>[1]发票导入!AA1042&amp;""</f>
      </c>
      <c r="AB1042">
        <f>[1]发票导入!AB1042</f>
        <v>0</v>
      </c>
      <c r="AC1042">
        <f>[1]发票导入!AC1042</f>
        <v>0</v>
      </c>
      <c r="AE1042" s="22">
        <f t="shared" si="0"/>
      </c>
      <c r="AI1042">
        <f>[1]发票导入!AI1042&amp;""</f>
      </c>
      <c r="AJ1042">
        <f>[1]发票导入!AJ1042&amp;""</f>
      </c>
      <c r="AK1042">
        <f>[1]发票导入!AK1042</f>
        <v>0</v>
      </c>
      <c r="AL1042">
        <f>[1]发票导入!AL1042</f>
        <v>0</v>
      </c>
      <c r="AM1042">
        <f>[1]发票导入!AM1042</f>
        <v>0</v>
      </c>
      <c r="AN1042" s="22">
        <f t="shared" si="1"/>
        <v>0</v>
      </c>
      <c r="AO1042" s="22">
        <f t="shared" si="2"/>
        <v>0</v>
      </c>
    </row>
    <row r="1043">
      <c r="C1043">
        <f>[1]发票导入!C1043&amp;""</f>
      </c>
      <c r="D1043">
        <f>[1]发票导入!D1043&amp;""</f>
      </c>
      <c r="O1043">
        <f>[1]发票导入!O1043&amp;""</f>
      </c>
      <c r="T1043">
        <f>[1]发票导入!T1043</f>
      </c>
      <c r="U1043">
        <f>[1]发票导入!U1043&amp;""</f>
      </c>
      <c r="V1043">
        <f>[1]发票导入!V1043&amp;""</f>
      </c>
      <c r="W1043">
        <f>[1]发票导入!W1043&amp;""</f>
      </c>
      <c r="Y1043">
        <f>[1]发票导入!Y1043&amp;""</f>
      </c>
      <c r="AA1043">
        <f>[1]发票导入!AA1043&amp;""</f>
      </c>
      <c r="AB1043">
        <f>[1]发票导入!AB1043</f>
        <v>0</v>
      </c>
      <c r="AC1043">
        <f>[1]发票导入!AC1043</f>
        <v>0</v>
      </c>
      <c r="AE1043" s="22">
        <f t="shared" si="0"/>
      </c>
      <c r="AI1043">
        <f>[1]发票导入!AI1043&amp;""</f>
      </c>
      <c r="AJ1043">
        <f>[1]发票导入!AJ1043&amp;""</f>
      </c>
      <c r="AK1043">
        <f>[1]发票导入!AK1043</f>
        <v>0</v>
      </c>
      <c r="AL1043">
        <f>[1]发票导入!AL1043</f>
        <v>0</v>
      </c>
      <c r="AM1043">
        <f>[1]发票导入!AM1043</f>
        <v>0</v>
      </c>
      <c r="AN1043" s="22">
        <f t="shared" si="1"/>
        <v>0</v>
      </c>
      <c r="AO1043" s="22">
        <f t="shared" si="2"/>
        <v>0</v>
      </c>
    </row>
    <row r="1044">
      <c r="C1044">
        <f>[1]发票导入!C1044&amp;""</f>
      </c>
      <c r="D1044">
        <f>[1]发票导入!D1044&amp;""</f>
      </c>
      <c r="O1044">
        <f>[1]发票导入!O1044&amp;""</f>
      </c>
      <c r="T1044">
        <f>[1]发票导入!T1044</f>
      </c>
      <c r="U1044">
        <f>[1]发票导入!U1044&amp;""</f>
      </c>
      <c r="V1044">
        <f>[1]发票导入!V1044&amp;""</f>
      </c>
      <c r="W1044">
        <f>[1]发票导入!W1044&amp;""</f>
      </c>
      <c r="Y1044">
        <f>[1]发票导入!Y1044&amp;""</f>
      </c>
      <c r="AA1044">
        <f>[1]发票导入!AA1044&amp;""</f>
      </c>
      <c r="AB1044">
        <f>[1]发票导入!AB1044</f>
        <v>0</v>
      </c>
      <c r="AC1044">
        <f>[1]发票导入!AC1044</f>
        <v>0</v>
      </c>
      <c r="AE1044" s="22">
        <f t="shared" si="0"/>
      </c>
      <c r="AI1044">
        <f>[1]发票导入!AI1044&amp;""</f>
      </c>
      <c r="AJ1044">
        <f>[1]发票导入!AJ1044&amp;""</f>
      </c>
      <c r="AK1044">
        <f>[1]发票导入!AK1044</f>
        <v>0</v>
      </c>
      <c r="AL1044">
        <f>[1]发票导入!AL1044</f>
        <v>0</v>
      </c>
      <c r="AM1044">
        <f>[1]发票导入!AM1044</f>
        <v>0</v>
      </c>
      <c r="AN1044" s="22">
        <f t="shared" si="1"/>
        <v>0</v>
      </c>
      <c r="AO1044" s="22">
        <f t="shared" si="2"/>
        <v>0</v>
      </c>
    </row>
    <row r="1045">
      <c r="C1045">
        <f>[1]发票导入!C1045&amp;""</f>
      </c>
      <c r="D1045">
        <f>[1]发票导入!D1045&amp;""</f>
      </c>
      <c r="O1045">
        <f>[1]发票导入!O1045&amp;""</f>
      </c>
      <c r="T1045">
        <f>[1]发票导入!T1045</f>
      </c>
      <c r="U1045">
        <f>[1]发票导入!U1045&amp;""</f>
      </c>
      <c r="V1045">
        <f>[1]发票导入!V1045&amp;""</f>
      </c>
      <c r="W1045">
        <f>[1]发票导入!W1045&amp;""</f>
      </c>
      <c r="Y1045">
        <f>[1]发票导入!Y1045&amp;""</f>
      </c>
      <c r="AA1045">
        <f>[1]发票导入!AA1045&amp;""</f>
      </c>
      <c r="AB1045">
        <f>[1]发票导入!AB1045</f>
        <v>0</v>
      </c>
      <c r="AC1045">
        <f>[1]发票导入!AC1045</f>
        <v>0</v>
      </c>
      <c r="AE1045" s="22">
        <f t="shared" si="0"/>
      </c>
      <c r="AI1045">
        <f>[1]发票导入!AI1045&amp;""</f>
      </c>
      <c r="AJ1045">
        <f>[1]发票导入!AJ1045&amp;""</f>
      </c>
      <c r="AK1045">
        <f>[1]发票导入!AK1045</f>
        <v>0</v>
      </c>
      <c r="AL1045">
        <f>[1]发票导入!AL1045</f>
        <v>0</v>
      </c>
      <c r="AM1045">
        <f>[1]发票导入!AM1045</f>
        <v>0</v>
      </c>
      <c r="AN1045" s="22">
        <f t="shared" si="1"/>
        <v>0</v>
      </c>
      <c r="AO1045" s="22">
        <f t="shared" si="2"/>
        <v>0</v>
      </c>
    </row>
    <row r="1046">
      <c r="C1046">
        <f>[1]发票导入!C1046&amp;""</f>
      </c>
      <c r="D1046">
        <f>[1]发票导入!D1046&amp;""</f>
      </c>
      <c r="O1046">
        <f>[1]发票导入!O1046&amp;""</f>
      </c>
      <c r="T1046">
        <f>[1]发票导入!T1046</f>
      </c>
      <c r="U1046">
        <f>[1]发票导入!U1046&amp;""</f>
      </c>
      <c r="V1046">
        <f>[1]发票导入!V1046&amp;""</f>
      </c>
      <c r="W1046">
        <f>[1]发票导入!W1046&amp;""</f>
      </c>
      <c r="Y1046">
        <f>[1]发票导入!Y1046&amp;""</f>
      </c>
      <c r="AA1046">
        <f>[1]发票导入!AA1046&amp;""</f>
      </c>
      <c r="AB1046">
        <f>[1]发票导入!AB1046</f>
        <v>0</v>
      </c>
      <c r="AC1046">
        <f>[1]发票导入!AC1046</f>
        <v>0</v>
      </c>
      <c r="AE1046" s="22">
        <f t="shared" si="0"/>
      </c>
      <c r="AI1046">
        <f>[1]发票导入!AI1046&amp;""</f>
      </c>
      <c r="AJ1046">
        <f>[1]发票导入!AJ1046&amp;""</f>
      </c>
      <c r="AK1046">
        <f>[1]发票导入!AK1046</f>
        <v>0</v>
      </c>
      <c r="AL1046">
        <f>[1]发票导入!AL1046</f>
        <v>0</v>
      </c>
      <c r="AM1046">
        <f>[1]发票导入!AM1046</f>
        <v>0</v>
      </c>
      <c r="AN1046" s="22">
        <f t="shared" si="1"/>
        <v>0</v>
      </c>
      <c r="AO1046" s="22">
        <f t="shared" si="2"/>
        <v>0</v>
      </c>
    </row>
    <row r="1047">
      <c r="C1047">
        <f>[1]发票导入!C1047&amp;""</f>
      </c>
      <c r="D1047">
        <f>[1]发票导入!D1047&amp;""</f>
      </c>
      <c r="O1047">
        <f>[1]发票导入!O1047&amp;""</f>
      </c>
      <c r="T1047">
        <f>[1]发票导入!T1047</f>
      </c>
      <c r="U1047">
        <f>[1]发票导入!U1047&amp;""</f>
      </c>
      <c r="V1047">
        <f>[1]发票导入!V1047&amp;""</f>
      </c>
      <c r="W1047">
        <f>[1]发票导入!W1047&amp;""</f>
      </c>
      <c r="Y1047">
        <f>[1]发票导入!Y1047&amp;""</f>
      </c>
      <c r="AA1047">
        <f>[1]发票导入!AA1047&amp;""</f>
      </c>
      <c r="AB1047">
        <f>[1]发票导入!AB1047</f>
        <v>0</v>
      </c>
      <c r="AC1047">
        <f>[1]发票导入!AC1047</f>
        <v>0</v>
      </c>
      <c r="AE1047" s="22">
        <f t="shared" si="0"/>
      </c>
      <c r="AI1047">
        <f>[1]发票导入!AI1047&amp;""</f>
      </c>
      <c r="AJ1047">
        <f>[1]发票导入!AJ1047&amp;""</f>
      </c>
      <c r="AK1047">
        <f>[1]发票导入!AK1047</f>
        <v>0</v>
      </c>
      <c r="AL1047">
        <f>[1]发票导入!AL1047</f>
        <v>0</v>
      </c>
      <c r="AM1047">
        <f>[1]发票导入!AM1047</f>
        <v>0</v>
      </c>
      <c r="AN1047" s="22">
        <f t="shared" si="1"/>
        <v>0</v>
      </c>
      <c r="AO1047" s="22">
        <f t="shared" si="2"/>
        <v>0</v>
      </c>
    </row>
    <row r="1048">
      <c r="C1048">
        <f>[1]发票导入!C1048&amp;""</f>
      </c>
      <c r="D1048">
        <f>[1]发票导入!D1048&amp;""</f>
      </c>
      <c r="O1048">
        <f>[1]发票导入!O1048&amp;""</f>
      </c>
      <c r="T1048">
        <f>[1]发票导入!T1048</f>
      </c>
      <c r="U1048">
        <f>[1]发票导入!U1048&amp;""</f>
      </c>
      <c r="V1048">
        <f>[1]发票导入!V1048&amp;""</f>
      </c>
      <c r="W1048">
        <f>[1]发票导入!W1048&amp;""</f>
      </c>
      <c r="Y1048">
        <f>[1]发票导入!Y1048&amp;""</f>
      </c>
      <c r="AA1048">
        <f>[1]发票导入!AA1048&amp;""</f>
      </c>
      <c r="AB1048">
        <f>[1]发票导入!AB1048</f>
        <v>0</v>
      </c>
      <c r="AC1048">
        <f>[1]发票导入!AC1048</f>
        <v>0</v>
      </c>
      <c r="AE1048" s="22">
        <f t="shared" si="0"/>
      </c>
      <c r="AI1048">
        <f>[1]发票导入!AI1048&amp;""</f>
      </c>
      <c r="AJ1048">
        <f>[1]发票导入!AJ1048&amp;""</f>
      </c>
      <c r="AK1048">
        <f>[1]发票导入!AK1048</f>
        <v>0</v>
      </c>
      <c r="AL1048">
        <f>[1]发票导入!AL1048</f>
        <v>0</v>
      </c>
      <c r="AM1048">
        <f>[1]发票导入!AM1048</f>
        <v>0</v>
      </c>
      <c r="AN1048" s="22">
        <f t="shared" si="1"/>
        <v>0</v>
      </c>
      <c r="AO1048" s="22">
        <f t="shared" si="2"/>
        <v>0</v>
      </c>
    </row>
    <row r="1049">
      <c r="C1049">
        <f>[1]发票导入!C1049&amp;""</f>
      </c>
      <c r="D1049">
        <f>[1]发票导入!D1049&amp;""</f>
      </c>
      <c r="O1049">
        <f>[1]发票导入!O1049&amp;""</f>
      </c>
      <c r="T1049">
        <f>[1]发票导入!T1049</f>
      </c>
      <c r="U1049">
        <f>[1]发票导入!U1049&amp;""</f>
      </c>
      <c r="V1049">
        <f>[1]发票导入!V1049&amp;""</f>
      </c>
      <c r="W1049">
        <f>[1]发票导入!W1049&amp;""</f>
      </c>
      <c r="Y1049">
        <f>[1]发票导入!Y1049&amp;""</f>
      </c>
      <c r="AA1049">
        <f>[1]发票导入!AA1049&amp;""</f>
      </c>
      <c r="AB1049">
        <f>[1]发票导入!AB1049</f>
        <v>0</v>
      </c>
      <c r="AC1049">
        <f>[1]发票导入!AC1049</f>
        <v>0</v>
      </c>
      <c r="AE1049" s="22">
        <f t="shared" si="0"/>
      </c>
      <c r="AI1049">
        <f>[1]发票导入!AI1049&amp;""</f>
      </c>
      <c r="AJ1049">
        <f>[1]发票导入!AJ1049&amp;""</f>
      </c>
      <c r="AK1049">
        <f>[1]发票导入!AK1049</f>
        <v>0</v>
      </c>
      <c r="AL1049">
        <f>[1]发票导入!AL1049</f>
        <v>0</v>
      </c>
      <c r="AM1049">
        <f>[1]发票导入!AM1049</f>
        <v>0</v>
      </c>
      <c r="AN1049" s="22">
        <f t="shared" si="1"/>
        <v>0</v>
      </c>
      <c r="AO1049" s="22">
        <f t="shared" si="2"/>
        <v>0</v>
      </c>
    </row>
    <row r="1050">
      <c r="C1050">
        <f>[1]发票导入!C1050&amp;""</f>
      </c>
      <c r="D1050">
        <f>[1]发票导入!D1050&amp;""</f>
      </c>
      <c r="O1050">
        <f>[1]发票导入!O1050&amp;""</f>
      </c>
      <c r="T1050">
        <f>[1]发票导入!T1050</f>
      </c>
      <c r="U1050">
        <f>[1]发票导入!U1050&amp;""</f>
      </c>
      <c r="V1050">
        <f>[1]发票导入!V1050&amp;""</f>
      </c>
      <c r="W1050">
        <f>[1]发票导入!W1050&amp;""</f>
      </c>
      <c r="Y1050">
        <f>[1]发票导入!Y1050&amp;""</f>
      </c>
      <c r="AA1050">
        <f>[1]发票导入!AA1050&amp;""</f>
      </c>
      <c r="AB1050">
        <f>[1]发票导入!AB1050</f>
        <v>0</v>
      </c>
      <c r="AC1050">
        <f>[1]发票导入!AC1050</f>
        <v>0</v>
      </c>
      <c r="AE1050" s="22">
        <f t="shared" si="0"/>
      </c>
      <c r="AI1050">
        <f>[1]发票导入!AI1050&amp;""</f>
      </c>
      <c r="AJ1050">
        <f>[1]发票导入!AJ1050&amp;""</f>
      </c>
      <c r="AK1050">
        <f>[1]发票导入!AK1050</f>
        <v>0</v>
      </c>
      <c r="AL1050">
        <f>[1]发票导入!AL1050</f>
        <v>0</v>
      </c>
      <c r="AM1050">
        <f>[1]发票导入!AM1050</f>
        <v>0</v>
      </c>
      <c r="AN1050" s="22">
        <f t="shared" si="1"/>
        <v>0</v>
      </c>
      <c r="AO1050" s="22">
        <f t="shared" si="2"/>
        <v>0</v>
      </c>
    </row>
    <row r="1051">
      <c r="C1051">
        <f>[1]发票导入!C1051&amp;""</f>
      </c>
      <c r="D1051">
        <f>[1]发票导入!D1051&amp;""</f>
      </c>
      <c r="O1051">
        <f>[1]发票导入!O1051&amp;""</f>
      </c>
      <c r="T1051">
        <f>[1]发票导入!T1051</f>
      </c>
      <c r="U1051">
        <f>[1]发票导入!U1051&amp;""</f>
      </c>
      <c r="V1051">
        <f>[1]发票导入!V1051&amp;""</f>
      </c>
      <c r="W1051">
        <f>[1]发票导入!W1051&amp;""</f>
      </c>
      <c r="Y1051">
        <f>[1]发票导入!Y1051&amp;""</f>
      </c>
      <c r="AA1051">
        <f>[1]发票导入!AA1051&amp;""</f>
      </c>
      <c r="AB1051">
        <f>[1]发票导入!AB1051</f>
        <v>0</v>
      </c>
      <c r="AC1051">
        <f>[1]发票导入!AC1051</f>
        <v>0</v>
      </c>
      <c r="AE1051" s="22">
        <f t="shared" si="0"/>
      </c>
      <c r="AI1051">
        <f>[1]发票导入!AI1051&amp;""</f>
      </c>
      <c r="AJ1051">
        <f>[1]发票导入!AJ1051&amp;""</f>
      </c>
      <c r="AK1051">
        <f>[1]发票导入!AK1051</f>
        <v>0</v>
      </c>
      <c r="AL1051">
        <f>[1]发票导入!AL1051</f>
        <v>0</v>
      </c>
      <c r="AM1051">
        <f>[1]发票导入!AM1051</f>
        <v>0</v>
      </c>
      <c r="AN1051" s="22">
        <f t="shared" si="1"/>
        <v>0</v>
      </c>
      <c r="AO1051" s="22">
        <f t="shared" si="2"/>
        <v>0</v>
      </c>
    </row>
    <row r="1052">
      <c r="C1052">
        <f>[1]发票导入!C1052&amp;""</f>
      </c>
      <c r="D1052">
        <f>[1]发票导入!D1052&amp;""</f>
      </c>
      <c r="O1052">
        <f>[1]发票导入!O1052&amp;""</f>
      </c>
      <c r="T1052">
        <f>[1]发票导入!T1052</f>
      </c>
      <c r="U1052">
        <f>[1]发票导入!U1052&amp;""</f>
      </c>
      <c r="V1052">
        <f>[1]发票导入!V1052&amp;""</f>
      </c>
      <c r="W1052">
        <f>[1]发票导入!W1052&amp;""</f>
      </c>
      <c r="Y1052">
        <f>[1]发票导入!Y1052&amp;""</f>
      </c>
      <c r="AA1052">
        <f>[1]发票导入!AA1052&amp;""</f>
      </c>
      <c r="AB1052">
        <f>[1]发票导入!AB1052</f>
        <v>0</v>
      </c>
      <c r="AC1052">
        <f>[1]发票导入!AC1052</f>
        <v>0</v>
      </c>
      <c r="AE1052" s="22">
        <f t="shared" si="0"/>
      </c>
      <c r="AI1052">
        <f>[1]发票导入!AI1052&amp;""</f>
      </c>
      <c r="AJ1052">
        <f>[1]发票导入!AJ1052&amp;""</f>
      </c>
      <c r="AK1052">
        <f>[1]发票导入!AK1052</f>
        <v>0</v>
      </c>
      <c r="AL1052">
        <f>[1]发票导入!AL1052</f>
        <v>0</v>
      </c>
      <c r="AM1052">
        <f>[1]发票导入!AM1052</f>
        <v>0</v>
      </c>
      <c r="AN1052" s="22">
        <f t="shared" si="1"/>
        <v>0</v>
      </c>
      <c r="AO1052" s="22">
        <f t="shared" si="2"/>
        <v>0</v>
      </c>
    </row>
    <row r="1053">
      <c r="C1053">
        <f>[1]发票导入!C1053&amp;""</f>
      </c>
      <c r="D1053">
        <f>[1]发票导入!D1053&amp;""</f>
      </c>
      <c r="O1053">
        <f>[1]发票导入!O1053&amp;""</f>
      </c>
      <c r="T1053">
        <f>[1]发票导入!T1053</f>
      </c>
      <c r="U1053">
        <f>[1]发票导入!U1053&amp;""</f>
      </c>
      <c r="V1053">
        <f>[1]发票导入!V1053&amp;""</f>
      </c>
      <c r="W1053">
        <f>[1]发票导入!W1053&amp;""</f>
      </c>
      <c r="Y1053">
        <f>[1]发票导入!Y1053&amp;""</f>
      </c>
      <c r="AA1053">
        <f>[1]发票导入!AA1053&amp;""</f>
      </c>
      <c r="AB1053">
        <f>[1]发票导入!AB1053</f>
        <v>0</v>
      </c>
      <c r="AC1053">
        <f>[1]发票导入!AC1053</f>
        <v>0</v>
      </c>
      <c r="AE1053" s="22">
        <f t="shared" si="0"/>
      </c>
      <c r="AI1053">
        <f>[1]发票导入!AI1053&amp;""</f>
      </c>
      <c r="AJ1053">
        <f>[1]发票导入!AJ1053&amp;""</f>
      </c>
      <c r="AK1053">
        <f>[1]发票导入!AK1053</f>
        <v>0</v>
      </c>
      <c r="AL1053">
        <f>[1]发票导入!AL1053</f>
        <v>0</v>
      </c>
      <c r="AM1053">
        <f>[1]发票导入!AM1053</f>
        <v>0</v>
      </c>
      <c r="AN1053" s="22">
        <f t="shared" si="1"/>
        <v>0</v>
      </c>
      <c r="AO1053" s="22">
        <f t="shared" si="2"/>
        <v>0</v>
      </c>
    </row>
    <row r="1054">
      <c r="C1054">
        <f>[1]发票导入!C1054&amp;""</f>
      </c>
      <c r="D1054">
        <f>[1]发票导入!D1054&amp;""</f>
      </c>
      <c r="O1054">
        <f>[1]发票导入!O1054&amp;""</f>
      </c>
      <c r="T1054">
        <f>[1]发票导入!T1054</f>
      </c>
      <c r="U1054">
        <f>[1]发票导入!U1054&amp;""</f>
      </c>
      <c r="V1054">
        <f>[1]发票导入!V1054&amp;""</f>
      </c>
      <c r="W1054">
        <f>[1]发票导入!W1054&amp;""</f>
      </c>
      <c r="Y1054">
        <f>[1]发票导入!Y1054&amp;""</f>
      </c>
      <c r="AA1054">
        <f>[1]发票导入!AA1054&amp;""</f>
      </c>
      <c r="AB1054">
        <f>[1]发票导入!AB1054</f>
        <v>0</v>
      </c>
      <c r="AC1054">
        <f>[1]发票导入!AC1054</f>
        <v>0</v>
      </c>
      <c r="AE1054" s="22">
        <f t="shared" si="0"/>
      </c>
      <c r="AI1054">
        <f>[1]发票导入!AI1054&amp;""</f>
      </c>
      <c r="AJ1054">
        <f>[1]发票导入!AJ1054&amp;""</f>
      </c>
      <c r="AK1054">
        <f>[1]发票导入!AK1054</f>
        <v>0</v>
      </c>
      <c r="AL1054">
        <f>[1]发票导入!AL1054</f>
        <v>0</v>
      </c>
      <c r="AM1054">
        <f>[1]发票导入!AM1054</f>
        <v>0</v>
      </c>
      <c r="AN1054" s="22">
        <f t="shared" si="1"/>
        <v>0</v>
      </c>
      <c r="AO1054" s="22">
        <f t="shared" si="2"/>
        <v>0</v>
      </c>
    </row>
    <row r="1055">
      <c r="C1055">
        <f>[1]发票导入!C1055&amp;""</f>
      </c>
      <c r="D1055">
        <f>[1]发票导入!D1055&amp;""</f>
      </c>
      <c r="O1055">
        <f>[1]发票导入!O1055&amp;""</f>
      </c>
      <c r="T1055">
        <f>[1]发票导入!T1055</f>
      </c>
      <c r="U1055">
        <f>[1]发票导入!U1055&amp;""</f>
      </c>
      <c r="V1055">
        <f>[1]发票导入!V1055&amp;""</f>
      </c>
      <c r="W1055">
        <f>[1]发票导入!W1055&amp;""</f>
      </c>
      <c r="Y1055">
        <f>[1]发票导入!Y1055&amp;""</f>
      </c>
      <c r="AA1055">
        <f>[1]发票导入!AA1055&amp;""</f>
      </c>
      <c r="AB1055">
        <f>[1]发票导入!AB1055</f>
        <v>0</v>
      </c>
      <c r="AC1055">
        <f>[1]发票导入!AC1055</f>
        <v>0</v>
      </c>
      <c r="AE1055" s="22">
        <f t="shared" si="0"/>
      </c>
      <c r="AI1055">
        <f>[1]发票导入!AI1055&amp;""</f>
      </c>
      <c r="AJ1055">
        <f>[1]发票导入!AJ1055&amp;""</f>
      </c>
      <c r="AK1055">
        <f>[1]发票导入!AK1055</f>
        <v>0</v>
      </c>
      <c r="AL1055">
        <f>[1]发票导入!AL1055</f>
        <v>0</v>
      </c>
      <c r="AM1055">
        <f>[1]发票导入!AM1055</f>
        <v>0</v>
      </c>
      <c r="AN1055" s="22">
        <f t="shared" si="1"/>
        <v>0</v>
      </c>
      <c r="AO1055" s="22">
        <f t="shared" si="2"/>
        <v>0</v>
      </c>
    </row>
    <row r="1056">
      <c r="C1056">
        <f>[1]发票导入!C1056&amp;""</f>
      </c>
      <c r="D1056">
        <f>[1]发票导入!D1056&amp;""</f>
      </c>
      <c r="O1056">
        <f>[1]发票导入!O1056&amp;""</f>
      </c>
      <c r="T1056">
        <f>[1]发票导入!T1056</f>
      </c>
      <c r="U1056">
        <f>[1]发票导入!U1056&amp;""</f>
      </c>
      <c r="V1056">
        <f>[1]发票导入!V1056&amp;""</f>
      </c>
      <c r="W1056">
        <f>[1]发票导入!W1056&amp;""</f>
      </c>
      <c r="Y1056">
        <f>[1]发票导入!Y1056&amp;""</f>
      </c>
      <c r="AA1056">
        <f>[1]发票导入!AA1056&amp;""</f>
      </c>
      <c r="AB1056">
        <f>[1]发票导入!AB1056</f>
        <v>0</v>
      </c>
      <c r="AC1056">
        <f>[1]发票导入!AC1056</f>
        <v>0</v>
      </c>
      <c r="AE1056" s="22">
        <f t="shared" si="0"/>
      </c>
      <c r="AI1056">
        <f>[1]发票导入!AI1056&amp;""</f>
      </c>
      <c r="AJ1056">
        <f>[1]发票导入!AJ1056&amp;""</f>
      </c>
      <c r="AK1056">
        <f>[1]发票导入!AK1056</f>
        <v>0</v>
      </c>
      <c r="AL1056">
        <f>[1]发票导入!AL1056</f>
        <v>0</v>
      </c>
      <c r="AM1056">
        <f>[1]发票导入!AM1056</f>
        <v>0</v>
      </c>
      <c r="AN1056" s="22">
        <f t="shared" si="1"/>
        <v>0</v>
      </c>
      <c r="AO1056" s="22">
        <f t="shared" si="2"/>
        <v>0</v>
      </c>
    </row>
    <row r="1057">
      <c r="C1057">
        <f>[1]发票导入!C1057&amp;""</f>
      </c>
      <c r="D1057">
        <f>[1]发票导入!D1057&amp;""</f>
      </c>
      <c r="O1057">
        <f>[1]发票导入!O1057&amp;""</f>
      </c>
      <c r="T1057">
        <f>[1]发票导入!T1057</f>
      </c>
      <c r="U1057">
        <f>[1]发票导入!U1057&amp;""</f>
      </c>
      <c r="V1057">
        <f>[1]发票导入!V1057&amp;""</f>
      </c>
      <c r="W1057">
        <f>[1]发票导入!W1057&amp;""</f>
      </c>
      <c r="Y1057">
        <f>[1]发票导入!Y1057&amp;""</f>
      </c>
      <c r="AA1057">
        <f>[1]发票导入!AA1057&amp;""</f>
      </c>
      <c r="AB1057">
        <f>[1]发票导入!AB1057</f>
        <v>0</v>
      </c>
      <c r="AC1057">
        <f>[1]发票导入!AC1057</f>
        <v>0</v>
      </c>
      <c r="AE1057" s="22">
        <f t="shared" si="0"/>
      </c>
      <c r="AI1057">
        <f>[1]发票导入!AI1057&amp;""</f>
      </c>
      <c r="AJ1057">
        <f>[1]发票导入!AJ1057&amp;""</f>
      </c>
      <c r="AK1057">
        <f>[1]发票导入!AK1057</f>
        <v>0</v>
      </c>
      <c r="AL1057">
        <f>[1]发票导入!AL1057</f>
        <v>0</v>
      </c>
      <c r="AM1057">
        <f>[1]发票导入!AM1057</f>
        <v>0</v>
      </c>
      <c r="AN1057" s="22">
        <f t="shared" si="1"/>
        <v>0</v>
      </c>
      <c r="AO1057" s="22">
        <f t="shared" si="2"/>
        <v>0</v>
      </c>
    </row>
    <row r="1058">
      <c r="C1058">
        <f>[1]发票导入!C1058&amp;""</f>
      </c>
      <c r="D1058">
        <f>[1]发票导入!D1058&amp;""</f>
      </c>
      <c r="O1058">
        <f>[1]发票导入!O1058&amp;""</f>
      </c>
      <c r="T1058">
        <f>[1]发票导入!T1058</f>
      </c>
      <c r="U1058">
        <f>[1]发票导入!U1058&amp;""</f>
      </c>
      <c r="V1058">
        <f>[1]发票导入!V1058&amp;""</f>
      </c>
      <c r="W1058">
        <f>[1]发票导入!W1058&amp;""</f>
      </c>
      <c r="Y1058">
        <f>[1]发票导入!Y1058&amp;""</f>
      </c>
      <c r="AA1058">
        <f>[1]发票导入!AA1058&amp;""</f>
      </c>
      <c r="AB1058">
        <f>[1]发票导入!AB1058</f>
        <v>0</v>
      </c>
      <c r="AC1058">
        <f>[1]发票导入!AC1058</f>
        <v>0</v>
      </c>
      <c r="AE1058" s="22">
        <f t="shared" si="0"/>
      </c>
      <c r="AI1058">
        <f>[1]发票导入!AI1058&amp;""</f>
      </c>
      <c r="AJ1058">
        <f>[1]发票导入!AJ1058&amp;""</f>
      </c>
      <c r="AK1058">
        <f>[1]发票导入!AK1058</f>
        <v>0</v>
      </c>
      <c r="AL1058">
        <f>[1]发票导入!AL1058</f>
        <v>0</v>
      </c>
      <c r="AM1058">
        <f>[1]发票导入!AM1058</f>
        <v>0</v>
      </c>
      <c r="AN1058" s="22">
        <f t="shared" si="1"/>
        <v>0</v>
      </c>
      <c r="AO1058" s="22">
        <f t="shared" si="2"/>
        <v>0</v>
      </c>
    </row>
    <row r="1059">
      <c r="C1059">
        <f>[1]发票导入!C1059&amp;""</f>
      </c>
      <c r="D1059">
        <f>[1]发票导入!D1059&amp;""</f>
      </c>
      <c r="O1059">
        <f>[1]发票导入!O1059&amp;""</f>
      </c>
      <c r="T1059">
        <f>[1]发票导入!T1059</f>
      </c>
      <c r="U1059">
        <f>[1]发票导入!U1059&amp;""</f>
      </c>
      <c r="V1059">
        <f>[1]发票导入!V1059&amp;""</f>
      </c>
      <c r="W1059">
        <f>[1]发票导入!W1059&amp;""</f>
      </c>
      <c r="Y1059">
        <f>[1]发票导入!Y1059&amp;""</f>
      </c>
      <c r="AA1059">
        <f>[1]发票导入!AA1059&amp;""</f>
      </c>
      <c r="AB1059">
        <f>[1]发票导入!AB1059</f>
        <v>0</v>
      </c>
      <c r="AC1059">
        <f>[1]发票导入!AC1059</f>
        <v>0</v>
      </c>
      <c r="AE1059" s="22">
        <f t="shared" si="0"/>
      </c>
      <c r="AI1059">
        <f>[1]发票导入!AI1059&amp;""</f>
      </c>
      <c r="AJ1059">
        <f>[1]发票导入!AJ1059&amp;""</f>
      </c>
      <c r="AK1059">
        <f>[1]发票导入!AK1059</f>
        <v>0</v>
      </c>
      <c r="AL1059">
        <f>[1]发票导入!AL1059</f>
        <v>0</v>
      </c>
      <c r="AM1059">
        <f>[1]发票导入!AM1059</f>
        <v>0</v>
      </c>
      <c r="AN1059" s="22">
        <f t="shared" si="1"/>
        <v>0</v>
      </c>
      <c r="AO1059" s="22">
        <f t="shared" si="2"/>
        <v>0</v>
      </c>
    </row>
    <row r="1060">
      <c r="C1060">
        <f>[1]发票导入!C1060&amp;""</f>
      </c>
      <c r="D1060">
        <f>[1]发票导入!D1060&amp;""</f>
      </c>
      <c r="O1060">
        <f>[1]发票导入!O1060&amp;""</f>
      </c>
      <c r="T1060">
        <f>[1]发票导入!T1060</f>
      </c>
      <c r="U1060">
        <f>[1]发票导入!U1060&amp;""</f>
      </c>
      <c r="V1060">
        <f>[1]发票导入!V1060&amp;""</f>
      </c>
      <c r="W1060">
        <f>[1]发票导入!W1060&amp;""</f>
      </c>
      <c r="Y1060">
        <f>[1]发票导入!Y1060&amp;""</f>
      </c>
      <c r="AA1060">
        <f>[1]发票导入!AA1060&amp;""</f>
      </c>
      <c r="AB1060">
        <f>[1]发票导入!AB1060</f>
        <v>0</v>
      </c>
      <c r="AC1060">
        <f>[1]发票导入!AC1060</f>
        <v>0</v>
      </c>
      <c r="AE1060" s="22">
        <f t="shared" si="0"/>
      </c>
      <c r="AI1060">
        <f>[1]发票导入!AI1060&amp;""</f>
      </c>
      <c r="AJ1060">
        <f>[1]发票导入!AJ1060&amp;""</f>
      </c>
      <c r="AK1060">
        <f>[1]发票导入!AK1060</f>
        <v>0</v>
      </c>
      <c r="AL1060">
        <f>[1]发票导入!AL1060</f>
        <v>0</v>
      </c>
      <c r="AM1060">
        <f>[1]发票导入!AM1060</f>
        <v>0</v>
      </c>
      <c r="AN1060" s="22">
        <f t="shared" si="1"/>
        <v>0</v>
      </c>
      <c r="AO1060" s="22">
        <f t="shared" si="2"/>
        <v>0</v>
      </c>
    </row>
    <row r="1061">
      <c r="C1061">
        <f>[1]发票导入!C1061&amp;""</f>
      </c>
      <c r="D1061">
        <f>[1]发票导入!D1061&amp;""</f>
      </c>
      <c r="O1061">
        <f>[1]发票导入!O1061&amp;""</f>
      </c>
      <c r="T1061">
        <f>[1]发票导入!T1061</f>
      </c>
      <c r="U1061">
        <f>[1]发票导入!U1061&amp;""</f>
      </c>
      <c r="V1061">
        <f>[1]发票导入!V1061&amp;""</f>
      </c>
      <c r="W1061">
        <f>[1]发票导入!W1061&amp;""</f>
      </c>
      <c r="Y1061">
        <f>[1]发票导入!Y1061&amp;""</f>
      </c>
      <c r="AA1061">
        <f>[1]发票导入!AA1061&amp;""</f>
      </c>
      <c r="AB1061">
        <f>[1]发票导入!AB1061</f>
        <v>0</v>
      </c>
      <c r="AC1061">
        <f>[1]发票导入!AC1061</f>
        <v>0</v>
      </c>
      <c r="AE1061" s="22">
        <f t="shared" si="0"/>
      </c>
      <c r="AI1061">
        <f>[1]发票导入!AI1061&amp;""</f>
      </c>
      <c r="AJ1061">
        <f>[1]发票导入!AJ1061&amp;""</f>
      </c>
      <c r="AK1061">
        <f>[1]发票导入!AK1061</f>
        <v>0</v>
      </c>
      <c r="AL1061">
        <f>[1]发票导入!AL1061</f>
        <v>0</v>
      </c>
      <c r="AM1061">
        <f>[1]发票导入!AM1061</f>
        <v>0</v>
      </c>
      <c r="AN1061" s="22">
        <f t="shared" si="1"/>
        <v>0</v>
      </c>
      <c r="AO1061" s="22">
        <f t="shared" si="2"/>
        <v>0</v>
      </c>
    </row>
    <row r="1062">
      <c r="C1062">
        <f>[1]发票导入!C1062&amp;""</f>
      </c>
      <c r="D1062">
        <f>[1]发票导入!D1062&amp;""</f>
      </c>
      <c r="O1062">
        <f>[1]发票导入!O1062&amp;""</f>
      </c>
      <c r="T1062">
        <f>[1]发票导入!T1062</f>
      </c>
      <c r="U1062">
        <f>[1]发票导入!U1062&amp;""</f>
      </c>
      <c r="V1062">
        <f>[1]发票导入!V1062&amp;""</f>
      </c>
      <c r="W1062">
        <f>[1]发票导入!W1062&amp;""</f>
      </c>
      <c r="Y1062">
        <f>[1]发票导入!Y1062&amp;""</f>
      </c>
      <c r="AA1062">
        <f>[1]发票导入!AA1062&amp;""</f>
      </c>
      <c r="AB1062">
        <f>[1]发票导入!AB1062</f>
        <v>0</v>
      </c>
      <c r="AC1062">
        <f>[1]发票导入!AC1062</f>
        <v>0</v>
      </c>
      <c r="AE1062" s="22">
        <f t="shared" si="0"/>
      </c>
      <c r="AI1062">
        <f>[1]发票导入!AI1062&amp;""</f>
      </c>
      <c r="AJ1062">
        <f>[1]发票导入!AJ1062&amp;""</f>
      </c>
      <c r="AK1062">
        <f>[1]发票导入!AK1062</f>
        <v>0</v>
      </c>
      <c r="AL1062">
        <f>[1]发票导入!AL1062</f>
        <v>0</v>
      </c>
      <c r="AM1062">
        <f>[1]发票导入!AM1062</f>
        <v>0</v>
      </c>
      <c r="AN1062" s="22">
        <f t="shared" si="1"/>
        <v>0</v>
      </c>
      <c r="AO1062" s="22">
        <f t="shared" si="2"/>
        <v>0</v>
      </c>
    </row>
    <row r="1063">
      <c r="C1063">
        <f>[1]发票导入!C1063&amp;""</f>
      </c>
      <c r="D1063">
        <f>[1]发票导入!D1063&amp;""</f>
      </c>
      <c r="O1063">
        <f>[1]发票导入!O1063&amp;""</f>
      </c>
      <c r="T1063">
        <f>[1]发票导入!T1063</f>
      </c>
      <c r="U1063">
        <f>[1]发票导入!U1063&amp;""</f>
      </c>
      <c r="V1063">
        <f>[1]发票导入!V1063&amp;""</f>
      </c>
      <c r="W1063">
        <f>[1]发票导入!W1063&amp;""</f>
      </c>
      <c r="Y1063">
        <f>[1]发票导入!Y1063&amp;""</f>
      </c>
      <c r="AA1063">
        <f>[1]发票导入!AA1063&amp;""</f>
      </c>
      <c r="AB1063">
        <f>[1]发票导入!AB1063</f>
        <v>0</v>
      </c>
      <c r="AC1063">
        <f>[1]发票导入!AC1063</f>
        <v>0</v>
      </c>
      <c r="AE1063" s="22">
        <f t="shared" si="0"/>
      </c>
      <c r="AI1063">
        <f>[1]发票导入!AI1063&amp;""</f>
      </c>
      <c r="AJ1063">
        <f>[1]发票导入!AJ1063&amp;""</f>
      </c>
      <c r="AK1063">
        <f>[1]发票导入!AK1063</f>
        <v>0</v>
      </c>
      <c r="AL1063">
        <f>[1]发票导入!AL1063</f>
        <v>0</v>
      </c>
      <c r="AM1063">
        <f>[1]发票导入!AM1063</f>
        <v>0</v>
      </c>
      <c r="AN1063" s="22">
        <f t="shared" si="1"/>
        <v>0</v>
      </c>
      <c r="AO1063" s="22">
        <f t="shared" si="2"/>
        <v>0</v>
      </c>
    </row>
    <row r="1064">
      <c r="C1064">
        <f>[1]发票导入!C1064&amp;""</f>
      </c>
      <c r="D1064">
        <f>[1]发票导入!D1064&amp;""</f>
      </c>
      <c r="O1064">
        <f>[1]发票导入!O1064&amp;""</f>
      </c>
      <c r="T1064">
        <f>[1]发票导入!T1064</f>
      </c>
      <c r="U1064">
        <f>[1]发票导入!U1064&amp;""</f>
      </c>
      <c r="V1064">
        <f>[1]发票导入!V1064&amp;""</f>
      </c>
      <c r="W1064">
        <f>[1]发票导入!W1064&amp;""</f>
      </c>
      <c r="Y1064">
        <f>[1]发票导入!Y1064&amp;""</f>
      </c>
      <c r="AA1064">
        <f>[1]发票导入!AA1064&amp;""</f>
      </c>
      <c r="AB1064">
        <f>[1]发票导入!AB1064</f>
        <v>0</v>
      </c>
      <c r="AC1064">
        <f>[1]发票导入!AC1064</f>
        <v>0</v>
      </c>
      <c r="AE1064" s="22">
        <f t="shared" si="0"/>
      </c>
      <c r="AI1064">
        <f>[1]发票导入!AI1064&amp;""</f>
      </c>
      <c r="AJ1064">
        <f>[1]发票导入!AJ1064&amp;""</f>
      </c>
      <c r="AK1064">
        <f>[1]发票导入!AK1064</f>
        <v>0</v>
      </c>
      <c r="AL1064">
        <f>[1]发票导入!AL1064</f>
        <v>0</v>
      </c>
      <c r="AM1064">
        <f>[1]发票导入!AM1064</f>
        <v>0</v>
      </c>
      <c r="AN1064" s="22">
        <f t="shared" si="1"/>
        <v>0</v>
      </c>
      <c r="AO1064" s="22">
        <f t="shared" si="2"/>
        <v>0</v>
      </c>
    </row>
    <row r="1065">
      <c r="C1065">
        <f>[1]发票导入!C1065&amp;""</f>
      </c>
      <c r="D1065">
        <f>[1]发票导入!D1065&amp;""</f>
      </c>
      <c r="O1065">
        <f>[1]发票导入!O1065&amp;""</f>
      </c>
      <c r="T1065">
        <f>[1]发票导入!T1065</f>
      </c>
      <c r="U1065">
        <f>[1]发票导入!U1065&amp;""</f>
      </c>
      <c r="V1065">
        <f>[1]发票导入!V1065&amp;""</f>
      </c>
      <c r="W1065">
        <f>[1]发票导入!W1065&amp;""</f>
      </c>
      <c r="Y1065">
        <f>[1]发票导入!Y1065&amp;""</f>
      </c>
      <c r="AA1065">
        <f>[1]发票导入!AA1065&amp;""</f>
      </c>
      <c r="AB1065">
        <f>[1]发票导入!AB1065</f>
        <v>0</v>
      </c>
      <c r="AC1065">
        <f>[1]发票导入!AC1065</f>
        <v>0</v>
      </c>
      <c r="AE1065" s="22">
        <f t="shared" si="0"/>
      </c>
      <c r="AI1065">
        <f>[1]发票导入!AI1065&amp;""</f>
      </c>
      <c r="AJ1065">
        <f>[1]发票导入!AJ1065&amp;""</f>
      </c>
      <c r="AK1065">
        <f>[1]发票导入!AK1065</f>
        <v>0</v>
      </c>
      <c r="AL1065">
        <f>[1]发票导入!AL1065</f>
        <v>0</v>
      </c>
      <c r="AM1065">
        <f>[1]发票导入!AM1065</f>
        <v>0</v>
      </c>
      <c r="AN1065" s="22">
        <f t="shared" si="1"/>
        <v>0</v>
      </c>
      <c r="AO1065" s="22">
        <f t="shared" si="2"/>
        <v>0</v>
      </c>
    </row>
    <row r="1066">
      <c r="C1066">
        <f>[1]发票导入!C1066&amp;""</f>
      </c>
      <c r="D1066">
        <f>[1]发票导入!D1066&amp;""</f>
      </c>
      <c r="O1066">
        <f>[1]发票导入!O1066&amp;""</f>
      </c>
      <c r="T1066">
        <f>[1]发票导入!T1066</f>
      </c>
      <c r="U1066">
        <f>[1]发票导入!U1066&amp;""</f>
      </c>
      <c r="V1066">
        <f>[1]发票导入!V1066&amp;""</f>
      </c>
      <c r="W1066">
        <f>[1]发票导入!W1066&amp;""</f>
      </c>
      <c r="Y1066">
        <f>[1]发票导入!Y1066&amp;""</f>
      </c>
      <c r="AA1066">
        <f>[1]发票导入!AA1066&amp;""</f>
      </c>
      <c r="AB1066">
        <f>[1]发票导入!AB1066</f>
        <v>0</v>
      </c>
      <c r="AC1066">
        <f>[1]发票导入!AC1066</f>
        <v>0</v>
      </c>
      <c r="AE1066" s="22">
        <f t="shared" si="0"/>
      </c>
      <c r="AI1066">
        <f>[1]发票导入!AI1066&amp;""</f>
      </c>
      <c r="AJ1066">
        <f>[1]发票导入!AJ1066&amp;""</f>
      </c>
      <c r="AK1066">
        <f>[1]发票导入!AK1066</f>
        <v>0</v>
      </c>
      <c r="AL1066">
        <f>[1]发票导入!AL1066</f>
        <v>0</v>
      </c>
      <c r="AM1066">
        <f>[1]发票导入!AM1066</f>
        <v>0</v>
      </c>
      <c r="AN1066" s="22">
        <f t="shared" si="1"/>
        <v>0</v>
      </c>
      <c r="AO1066" s="22">
        <f t="shared" si="2"/>
        <v>0</v>
      </c>
    </row>
    <row r="1067">
      <c r="C1067">
        <f>[1]发票导入!C1067&amp;""</f>
      </c>
      <c r="D1067">
        <f>[1]发票导入!D1067&amp;""</f>
      </c>
      <c r="O1067">
        <f>[1]发票导入!O1067&amp;""</f>
      </c>
      <c r="T1067">
        <f>[1]发票导入!T1067</f>
      </c>
      <c r="U1067">
        <f>[1]发票导入!U1067&amp;""</f>
      </c>
      <c r="V1067">
        <f>[1]发票导入!V1067&amp;""</f>
      </c>
      <c r="W1067">
        <f>[1]发票导入!W1067&amp;""</f>
      </c>
      <c r="Y1067">
        <f>[1]发票导入!Y1067&amp;""</f>
      </c>
      <c r="AA1067">
        <f>[1]发票导入!AA1067&amp;""</f>
      </c>
      <c r="AB1067">
        <f>[1]发票导入!AB1067</f>
        <v>0</v>
      </c>
      <c r="AC1067">
        <f>[1]发票导入!AC1067</f>
        <v>0</v>
      </c>
      <c r="AE1067" s="22">
        <f t="shared" si="0"/>
      </c>
      <c r="AI1067">
        <f>[1]发票导入!AI1067&amp;""</f>
      </c>
      <c r="AJ1067">
        <f>[1]发票导入!AJ1067&amp;""</f>
      </c>
      <c r="AK1067">
        <f>[1]发票导入!AK1067</f>
        <v>0</v>
      </c>
      <c r="AL1067">
        <f>[1]发票导入!AL1067</f>
        <v>0</v>
      </c>
      <c r="AM1067">
        <f>[1]发票导入!AM1067</f>
        <v>0</v>
      </c>
      <c r="AN1067" s="22">
        <f t="shared" si="1"/>
        <v>0</v>
      </c>
      <c r="AO1067" s="22">
        <f t="shared" si="2"/>
        <v>0</v>
      </c>
    </row>
    <row r="1068">
      <c r="C1068">
        <f>[1]发票导入!C1068&amp;""</f>
      </c>
      <c r="D1068">
        <f>[1]发票导入!D1068&amp;""</f>
      </c>
      <c r="O1068">
        <f>[1]发票导入!O1068&amp;""</f>
      </c>
      <c r="T1068">
        <f>[1]发票导入!T1068</f>
      </c>
      <c r="U1068">
        <f>[1]发票导入!U1068&amp;""</f>
      </c>
      <c r="V1068">
        <f>[1]发票导入!V1068&amp;""</f>
      </c>
      <c r="W1068">
        <f>[1]发票导入!W1068&amp;""</f>
      </c>
      <c r="Y1068">
        <f>[1]发票导入!Y1068&amp;""</f>
      </c>
      <c r="AA1068">
        <f>[1]发票导入!AA1068&amp;""</f>
      </c>
      <c r="AB1068">
        <f>[1]发票导入!AB1068</f>
        <v>0</v>
      </c>
      <c r="AC1068">
        <f>[1]发票导入!AC1068</f>
        <v>0</v>
      </c>
      <c r="AE1068" s="22">
        <f t="shared" si="0"/>
      </c>
      <c r="AI1068">
        <f>[1]发票导入!AI1068&amp;""</f>
      </c>
      <c r="AJ1068">
        <f>[1]发票导入!AJ1068&amp;""</f>
      </c>
      <c r="AK1068">
        <f>[1]发票导入!AK1068</f>
        <v>0</v>
      </c>
      <c r="AL1068">
        <f>[1]发票导入!AL1068</f>
        <v>0</v>
      </c>
      <c r="AM1068">
        <f>[1]发票导入!AM1068</f>
        <v>0</v>
      </c>
      <c r="AN1068" s="22">
        <f t="shared" si="1"/>
        <v>0</v>
      </c>
      <c r="AO1068" s="22">
        <f t="shared" si="2"/>
        <v>0</v>
      </c>
    </row>
    <row r="1069">
      <c r="C1069">
        <f>[1]发票导入!C1069&amp;""</f>
      </c>
      <c r="D1069">
        <f>[1]发票导入!D1069&amp;""</f>
      </c>
      <c r="O1069">
        <f>[1]发票导入!O1069&amp;""</f>
      </c>
      <c r="T1069">
        <f>[1]发票导入!T1069</f>
      </c>
      <c r="U1069">
        <f>[1]发票导入!U1069&amp;""</f>
      </c>
      <c r="V1069">
        <f>[1]发票导入!V1069&amp;""</f>
      </c>
      <c r="W1069">
        <f>[1]发票导入!W1069&amp;""</f>
      </c>
      <c r="Y1069">
        <f>[1]发票导入!Y1069&amp;""</f>
      </c>
      <c r="AA1069">
        <f>[1]发票导入!AA1069&amp;""</f>
      </c>
      <c r="AB1069">
        <f>[1]发票导入!AB1069</f>
        <v>0</v>
      </c>
      <c r="AC1069">
        <f>[1]发票导入!AC1069</f>
        <v>0</v>
      </c>
      <c r="AE1069" s="22">
        <f t="shared" si="0"/>
      </c>
      <c r="AI1069">
        <f>[1]发票导入!AI1069&amp;""</f>
      </c>
      <c r="AJ1069">
        <f>[1]发票导入!AJ1069&amp;""</f>
      </c>
      <c r="AK1069">
        <f>[1]发票导入!AK1069</f>
        <v>0</v>
      </c>
      <c r="AL1069">
        <f>[1]发票导入!AL1069</f>
        <v>0</v>
      </c>
      <c r="AM1069">
        <f>[1]发票导入!AM1069</f>
        <v>0</v>
      </c>
      <c r="AN1069" s="22">
        <f t="shared" si="1"/>
        <v>0</v>
      </c>
      <c r="AO1069" s="22">
        <f t="shared" si="2"/>
        <v>0</v>
      </c>
    </row>
    <row r="1070">
      <c r="C1070">
        <f>[1]发票导入!C1070&amp;""</f>
      </c>
      <c r="D1070">
        <f>[1]发票导入!D1070&amp;""</f>
      </c>
      <c r="O1070">
        <f>[1]发票导入!O1070&amp;""</f>
      </c>
      <c r="T1070">
        <f>[1]发票导入!T1070</f>
      </c>
      <c r="U1070">
        <f>[1]发票导入!U1070&amp;""</f>
      </c>
      <c r="V1070">
        <f>[1]发票导入!V1070&amp;""</f>
      </c>
      <c r="W1070">
        <f>[1]发票导入!W1070&amp;""</f>
      </c>
      <c r="Y1070">
        <f>[1]发票导入!Y1070&amp;""</f>
      </c>
      <c r="AA1070">
        <f>[1]发票导入!AA1070&amp;""</f>
      </c>
      <c r="AB1070">
        <f>[1]发票导入!AB1070</f>
        <v>0</v>
      </c>
      <c r="AC1070">
        <f>[1]发票导入!AC1070</f>
        <v>0</v>
      </c>
      <c r="AE1070" s="22">
        <f t="shared" si="0"/>
      </c>
      <c r="AI1070">
        <f>[1]发票导入!AI1070&amp;""</f>
      </c>
      <c r="AJ1070">
        <f>[1]发票导入!AJ1070&amp;""</f>
      </c>
      <c r="AK1070">
        <f>[1]发票导入!AK1070</f>
        <v>0</v>
      </c>
      <c r="AL1070">
        <f>[1]发票导入!AL1070</f>
        <v>0</v>
      </c>
      <c r="AM1070">
        <f>[1]发票导入!AM1070</f>
        <v>0</v>
      </c>
      <c r="AN1070" s="22">
        <f t="shared" si="1"/>
        <v>0</v>
      </c>
      <c r="AO1070" s="22">
        <f t="shared" si="2"/>
        <v>0</v>
      </c>
    </row>
    <row r="1071">
      <c r="C1071">
        <f>[1]发票导入!C1071&amp;""</f>
      </c>
      <c r="D1071">
        <f>[1]发票导入!D1071&amp;""</f>
      </c>
      <c r="O1071">
        <f>[1]发票导入!O1071&amp;""</f>
      </c>
      <c r="T1071">
        <f>[1]发票导入!T1071</f>
      </c>
      <c r="U1071">
        <f>[1]发票导入!U1071&amp;""</f>
      </c>
      <c r="V1071">
        <f>[1]发票导入!V1071&amp;""</f>
      </c>
      <c r="W1071">
        <f>[1]发票导入!W1071&amp;""</f>
      </c>
      <c r="Y1071">
        <f>[1]发票导入!Y1071&amp;""</f>
      </c>
      <c r="AA1071">
        <f>[1]发票导入!AA1071&amp;""</f>
      </c>
      <c r="AB1071">
        <f>[1]发票导入!AB1071</f>
        <v>0</v>
      </c>
      <c r="AC1071">
        <f>[1]发票导入!AC1071</f>
        <v>0</v>
      </c>
      <c r="AE1071" s="22">
        <f t="shared" si="0"/>
      </c>
      <c r="AI1071">
        <f>[1]发票导入!AI1071&amp;""</f>
      </c>
      <c r="AJ1071">
        <f>[1]发票导入!AJ1071&amp;""</f>
      </c>
      <c r="AK1071">
        <f>[1]发票导入!AK1071</f>
        <v>0</v>
      </c>
      <c r="AL1071">
        <f>[1]发票导入!AL1071</f>
        <v>0</v>
      </c>
      <c r="AM1071">
        <f>[1]发票导入!AM1071</f>
        <v>0</v>
      </c>
      <c r="AN1071" s="22">
        <f t="shared" si="1"/>
        <v>0</v>
      </c>
      <c r="AO1071" s="22">
        <f t="shared" si="2"/>
        <v>0</v>
      </c>
    </row>
    <row r="1072">
      <c r="C1072">
        <f>[1]发票导入!C1072&amp;""</f>
      </c>
      <c r="D1072">
        <f>[1]发票导入!D1072&amp;""</f>
      </c>
      <c r="O1072">
        <f>[1]发票导入!O1072&amp;""</f>
      </c>
      <c r="T1072">
        <f>[1]发票导入!T1072</f>
      </c>
      <c r="U1072">
        <f>[1]发票导入!U1072&amp;""</f>
      </c>
      <c r="V1072">
        <f>[1]发票导入!V1072&amp;""</f>
      </c>
      <c r="W1072">
        <f>[1]发票导入!W1072&amp;""</f>
      </c>
      <c r="Y1072">
        <f>[1]发票导入!Y1072&amp;""</f>
      </c>
      <c r="AA1072">
        <f>[1]发票导入!AA1072&amp;""</f>
      </c>
      <c r="AB1072">
        <f>[1]发票导入!AB1072</f>
        <v>0</v>
      </c>
      <c r="AC1072">
        <f>[1]发票导入!AC1072</f>
        <v>0</v>
      </c>
      <c r="AE1072" s="22">
        <f t="shared" si="0"/>
      </c>
      <c r="AI1072">
        <f>[1]发票导入!AI1072&amp;""</f>
      </c>
      <c r="AJ1072">
        <f>[1]发票导入!AJ1072&amp;""</f>
      </c>
      <c r="AK1072">
        <f>[1]发票导入!AK1072</f>
        <v>0</v>
      </c>
      <c r="AL1072">
        <f>[1]发票导入!AL1072</f>
        <v>0</v>
      </c>
      <c r="AM1072">
        <f>[1]发票导入!AM1072</f>
        <v>0</v>
      </c>
      <c r="AN1072" s="22">
        <f t="shared" si="1"/>
        <v>0</v>
      </c>
      <c r="AO1072" s="22">
        <f t="shared" si="2"/>
        <v>0</v>
      </c>
    </row>
    <row r="1073">
      <c r="C1073">
        <f>[1]发票导入!C1073&amp;""</f>
      </c>
      <c r="D1073">
        <f>[1]发票导入!D1073&amp;""</f>
      </c>
      <c r="O1073">
        <f>[1]发票导入!O1073&amp;""</f>
      </c>
      <c r="T1073">
        <f>[1]发票导入!T1073</f>
      </c>
      <c r="U1073">
        <f>[1]发票导入!U1073&amp;""</f>
      </c>
      <c r="V1073">
        <f>[1]发票导入!V1073&amp;""</f>
      </c>
      <c r="W1073">
        <f>[1]发票导入!W1073&amp;""</f>
      </c>
      <c r="Y1073">
        <f>[1]发票导入!Y1073&amp;""</f>
      </c>
      <c r="AA1073">
        <f>[1]发票导入!AA1073&amp;""</f>
      </c>
      <c r="AB1073">
        <f>[1]发票导入!AB1073</f>
        <v>0</v>
      </c>
      <c r="AC1073">
        <f>[1]发票导入!AC1073</f>
        <v>0</v>
      </c>
      <c r="AE1073" s="22">
        <f t="shared" si="0"/>
      </c>
      <c r="AI1073">
        <f>[1]发票导入!AI1073&amp;""</f>
      </c>
      <c r="AJ1073">
        <f>[1]发票导入!AJ1073&amp;""</f>
      </c>
      <c r="AK1073">
        <f>[1]发票导入!AK1073</f>
        <v>0</v>
      </c>
      <c r="AL1073">
        <f>[1]发票导入!AL1073</f>
        <v>0</v>
      </c>
      <c r="AM1073">
        <f>[1]发票导入!AM1073</f>
        <v>0</v>
      </c>
      <c r="AN1073" s="22">
        <f t="shared" si="1"/>
        <v>0</v>
      </c>
      <c r="AO1073" s="22">
        <f t="shared" si="2"/>
        <v>0</v>
      </c>
    </row>
    <row r="1074">
      <c r="C1074">
        <f>[1]发票导入!C1074&amp;""</f>
      </c>
      <c r="D1074">
        <f>[1]发票导入!D1074&amp;""</f>
      </c>
      <c r="O1074">
        <f>[1]发票导入!O1074&amp;""</f>
      </c>
      <c r="T1074">
        <f>[1]发票导入!T1074</f>
      </c>
      <c r="U1074">
        <f>[1]发票导入!U1074&amp;""</f>
      </c>
      <c r="V1074">
        <f>[1]发票导入!V1074&amp;""</f>
      </c>
      <c r="W1074">
        <f>[1]发票导入!W1074&amp;""</f>
      </c>
      <c r="Y1074">
        <f>[1]发票导入!Y1074&amp;""</f>
      </c>
      <c r="AA1074">
        <f>[1]发票导入!AA1074&amp;""</f>
      </c>
      <c r="AB1074">
        <f>[1]发票导入!AB1074</f>
        <v>0</v>
      </c>
      <c r="AC1074">
        <f>[1]发票导入!AC1074</f>
        <v>0</v>
      </c>
      <c r="AE1074" s="22">
        <f t="shared" si="0"/>
      </c>
      <c r="AI1074">
        <f>[1]发票导入!AI1074&amp;""</f>
      </c>
      <c r="AJ1074">
        <f>[1]发票导入!AJ1074&amp;""</f>
      </c>
      <c r="AK1074">
        <f>[1]发票导入!AK1074</f>
        <v>0</v>
      </c>
      <c r="AL1074">
        <f>[1]发票导入!AL1074</f>
        <v>0</v>
      </c>
      <c r="AM1074">
        <f>[1]发票导入!AM1074</f>
        <v>0</v>
      </c>
      <c r="AN1074" s="22">
        <f t="shared" si="1"/>
        <v>0</v>
      </c>
      <c r="AO1074" s="22">
        <f t="shared" si="2"/>
        <v>0</v>
      </c>
    </row>
    <row r="1075">
      <c r="C1075">
        <f>[1]发票导入!C1075&amp;""</f>
      </c>
      <c r="D1075">
        <f>[1]发票导入!D1075&amp;""</f>
      </c>
      <c r="O1075">
        <f>[1]发票导入!O1075&amp;""</f>
      </c>
      <c r="T1075">
        <f>[1]发票导入!T1075</f>
      </c>
      <c r="U1075">
        <f>[1]发票导入!U1075&amp;""</f>
      </c>
      <c r="V1075">
        <f>[1]发票导入!V1075&amp;""</f>
      </c>
      <c r="W1075">
        <f>[1]发票导入!W1075&amp;""</f>
      </c>
      <c r="Y1075">
        <f>[1]发票导入!Y1075&amp;""</f>
      </c>
      <c r="AA1075">
        <f>[1]发票导入!AA1075&amp;""</f>
      </c>
      <c r="AB1075">
        <f>[1]发票导入!AB1075</f>
        <v>0</v>
      </c>
      <c r="AC1075">
        <f>[1]发票导入!AC1075</f>
        <v>0</v>
      </c>
      <c r="AE1075" s="22">
        <f t="shared" si="0"/>
      </c>
      <c r="AI1075">
        <f>[1]发票导入!AI1075&amp;""</f>
      </c>
      <c r="AJ1075">
        <f>[1]发票导入!AJ1075&amp;""</f>
      </c>
      <c r="AK1075">
        <f>[1]发票导入!AK1075</f>
        <v>0</v>
      </c>
      <c r="AL1075">
        <f>[1]发票导入!AL1075</f>
        <v>0</v>
      </c>
      <c r="AM1075">
        <f>[1]发票导入!AM1075</f>
        <v>0</v>
      </c>
      <c r="AN1075" s="22">
        <f t="shared" si="1"/>
        <v>0</v>
      </c>
      <c r="AO1075" s="22">
        <f t="shared" si="2"/>
        <v>0</v>
      </c>
    </row>
    <row r="1076">
      <c r="C1076">
        <f>[1]发票导入!C1076&amp;""</f>
      </c>
      <c r="D1076">
        <f>[1]发票导入!D1076&amp;""</f>
      </c>
      <c r="O1076">
        <f>[1]发票导入!O1076&amp;""</f>
      </c>
      <c r="T1076">
        <f>[1]发票导入!T1076</f>
      </c>
      <c r="U1076">
        <f>[1]发票导入!U1076&amp;""</f>
      </c>
      <c r="V1076">
        <f>[1]发票导入!V1076&amp;""</f>
      </c>
      <c r="W1076">
        <f>[1]发票导入!W1076&amp;""</f>
      </c>
      <c r="Y1076">
        <f>[1]发票导入!Y1076&amp;""</f>
      </c>
      <c r="AA1076">
        <f>[1]发票导入!AA1076&amp;""</f>
      </c>
      <c r="AB1076">
        <f>[1]发票导入!AB1076</f>
        <v>0</v>
      </c>
      <c r="AC1076">
        <f>[1]发票导入!AC1076</f>
        <v>0</v>
      </c>
      <c r="AE1076" s="22">
        <f t="shared" si="0"/>
      </c>
      <c r="AI1076">
        <f>[1]发票导入!AI1076&amp;""</f>
      </c>
      <c r="AJ1076">
        <f>[1]发票导入!AJ1076&amp;""</f>
      </c>
      <c r="AK1076">
        <f>[1]发票导入!AK1076</f>
        <v>0</v>
      </c>
      <c r="AL1076">
        <f>[1]发票导入!AL1076</f>
        <v>0</v>
      </c>
      <c r="AM1076">
        <f>[1]发票导入!AM1076</f>
        <v>0</v>
      </c>
      <c r="AN1076" s="22">
        <f t="shared" si="1"/>
        <v>0</v>
      </c>
      <c r="AO1076" s="22">
        <f t="shared" si="2"/>
        <v>0</v>
      </c>
    </row>
    <row r="1077">
      <c r="C1077">
        <f>[1]发票导入!C1077&amp;""</f>
      </c>
      <c r="D1077">
        <f>[1]发票导入!D1077&amp;""</f>
      </c>
      <c r="O1077">
        <f>[1]发票导入!O1077&amp;""</f>
      </c>
      <c r="T1077">
        <f>[1]发票导入!T1077</f>
      </c>
      <c r="U1077">
        <f>[1]发票导入!U1077&amp;""</f>
      </c>
      <c r="V1077">
        <f>[1]发票导入!V1077&amp;""</f>
      </c>
      <c r="W1077">
        <f>[1]发票导入!W1077&amp;""</f>
      </c>
      <c r="Y1077">
        <f>[1]发票导入!Y1077&amp;""</f>
      </c>
      <c r="AA1077">
        <f>[1]发票导入!AA1077&amp;""</f>
      </c>
      <c r="AB1077">
        <f>[1]发票导入!AB1077</f>
        <v>0</v>
      </c>
      <c r="AC1077">
        <f>[1]发票导入!AC1077</f>
        <v>0</v>
      </c>
      <c r="AE1077" s="22">
        <f t="shared" si="0"/>
      </c>
      <c r="AI1077">
        <f>[1]发票导入!AI1077&amp;""</f>
      </c>
      <c r="AJ1077">
        <f>[1]发票导入!AJ1077&amp;""</f>
      </c>
      <c r="AK1077">
        <f>[1]发票导入!AK1077</f>
        <v>0</v>
      </c>
      <c r="AL1077">
        <f>[1]发票导入!AL1077</f>
        <v>0</v>
      </c>
      <c r="AM1077">
        <f>[1]发票导入!AM1077</f>
        <v>0</v>
      </c>
      <c r="AN1077" s="22">
        <f t="shared" si="1"/>
        <v>0</v>
      </c>
      <c r="AO1077" s="22">
        <f t="shared" si="2"/>
        <v>0</v>
      </c>
    </row>
    <row r="1078">
      <c r="C1078">
        <f>[1]发票导入!C1078&amp;""</f>
      </c>
      <c r="D1078">
        <f>[1]发票导入!D1078&amp;""</f>
      </c>
      <c r="O1078">
        <f>[1]发票导入!O1078&amp;""</f>
      </c>
      <c r="T1078">
        <f>[1]发票导入!T1078</f>
      </c>
      <c r="U1078">
        <f>[1]发票导入!U1078&amp;""</f>
      </c>
      <c r="V1078">
        <f>[1]发票导入!V1078&amp;""</f>
      </c>
      <c r="W1078">
        <f>[1]发票导入!W1078&amp;""</f>
      </c>
      <c r="Y1078">
        <f>[1]发票导入!Y1078&amp;""</f>
      </c>
      <c r="AA1078">
        <f>[1]发票导入!AA1078&amp;""</f>
      </c>
      <c r="AB1078">
        <f>[1]发票导入!AB1078</f>
        <v>0</v>
      </c>
      <c r="AC1078">
        <f>[1]发票导入!AC1078</f>
        <v>0</v>
      </c>
      <c r="AE1078" s="22">
        <f t="shared" si="0"/>
      </c>
      <c r="AI1078">
        <f>[1]发票导入!AI1078&amp;""</f>
      </c>
      <c r="AJ1078">
        <f>[1]发票导入!AJ1078&amp;""</f>
      </c>
      <c r="AK1078">
        <f>[1]发票导入!AK1078</f>
        <v>0</v>
      </c>
      <c r="AL1078">
        <f>[1]发票导入!AL1078</f>
        <v>0</v>
      </c>
      <c r="AM1078">
        <f>[1]发票导入!AM1078</f>
        <v>0</v>
      </c>
      <c r="AN1078" s="22">
        <f t="shared" si="1"/>
        <v>0</v>
      </c>
      <c r="AO1078" s="22">
        <f t="shared" si="2"/>
        <v>0</v>
      </c>
    </row>
    <row r="1079">
      <c r="C1079">
        <f>[1]发票导入!C1079&amp;""</f>
      </c>
      <c r="D1079">
        <f>[1]发票导入!D1079&amp;""</f>
      </c>
      <c r="O1079">
        <f>[1]发票导入!O1079&amp;""</f>
      </c>
      <c r="T1079">
        <f>[1]发票导入!T1079</f>
      </c>
      <c r="U1079">
        <f>[1]发票导入!U1079&amp;""</f>
      </c>
      <c r="V1079">
        <f>[1]发票导入!V1079&amp;""</f>
      </c>
      <c r="W1079">
        <f>[1]发票导入!W1079&amp;""</f>
      </c>
      <c r="Y1079">
        <f>[1]发票导入!Y1079&amp;""</f>
      </c>
      <c r="AA1079">
        <f>[1]发票导入!AA1079&amp;""</f>
      </c>
      <c r="AB1079">
        <f>[1]发票导入!AB1079</f>
        <v>0</v>
      </c>
      <c r="AC1079">
        <f>[1]发票导入!AC1079</f>
        <v>0</v>
      </c>
      <c r="AE1079" s="22">
        <f t="shared" si="0"/>
      </c>
      <c r="AI1079">
        <f>[1]发票导入!AI1079&amp;""</f>
      </c>
      <c r="AJ1079">
        <f>[1]发票导入!AJ1079&amp;""</f>
      </c>
      <c r="AK1079">
        <f>[1]发票导入!AK1079</f>
        <v>0</v>
      </c>
      <c r="AL1079">
        <f>[1]发票导入!AL1079</f>
        <v>0</v>
      </c>
      <c r="AM1079">
        <f>[1]发票导入!AM1079</f>
        <v>0</v>
      </c>
      <c r="AN1079" s="22">
        <f t="shared" si="1"/>
        <v>0</v>
      </c>
      <c r="AO1079" s="22">
        <f t="shared" si="2"/>
        <v>0</v>
      </c>
    </row>
    <row r="1080">
      <c r="C1080">
        <f>[1]发票导入!C1080&amp;""</f>
      </c>
      <c r="D1080">
        <f>[1]发票导入!D1080&amp;""</f>
      </c>
      <c r="O1080">
        <f>[1]发票导入!O1080&amp;""</f>
      </c>
      <c r="T1080">
        <f>[1]发票导入!T1080</f>
      </c>
      <c r="U1080">
        <f>[1]发票导入!U1080&amp;""</f>
      </c>
      <c r="V1080">
        <f>[1]发票导入!V1080&amp;""</f>
      </c>
      <c r="W1080">
        <f>[1]发票导入!W1080&amp;""</f>
      </c>
      <c r="Y1080">
        <f>[1]发票导入!Y1080&amp;""</f>
      </c>
      <c r="AA1080">
        <f>[1]发票导入!AA1080&amp;""</f>
      </c>
      <c r="AB1080">
        <f>[1]发票导入!AB1080</f>
        <v>0</v>
      </c>
      <c r="AC1080">
        <f>[1]发票导入!AC1080</f>
        <v>0</v>
      </c>
      <c r="AE1080" s="22">
        <f t="shared" si="0"/>
      </c>
      <c r="AI1080">
        <f>[1]发票导入!AI1080&amp;""</f>
      </c>
      <c r="AJ1080">
        <f>[1]发票导入!AJ1080&amp;""</f>
      </c>
      <c r="AK1080">
        <f>[1]发票导入!AK1080</f>
        <v>0</v>
      </c>
      <c r="AL1080">
        <f>[1]发票导入!AL1080</f>
        <v>0</v>
      </c>
      <c r="AM1080">
        <f>[1]发票导入!AM1080</f>
        <v>0</v>
      </c>
      <c r="AN1080" s="22">
        <f t="shared" si="1"/>
        <v>0</v>
      </c>
      <c r="AO1080" s="22">
        <f t="shared" si="2"/>
        <v>0</v>
      </c>
    </row>
    <row r="1081">
      <c r="C1081">
        <f>[1]发票导入!C1081&amp;""</f>
      </c>
      <c r="D1081">
        <f>[1]发票导入!D1081&amp;""</f>
      </c>
      <c r="O1081">
        <f>[1]发票导入!O1081&amp;""</f>
      </c>
      <c r="T1081">
        <f>[1]发票导入!T1081</f>
      </c>
      <c r="U1081">
        <f>[1]发票导入!U1081&amp;""</f>
      </c>
      <c r="V1081">
        <f>[1]发票导入!V1081&amp;""</f>
      </c>
      <c r="W1081">
        <f>[1]发票导入!W1081&amp;""</f>
      </c>
      <c r="Y1081">
        <f>[1]发票导入!Y1081&amp;""</f>
      </c>
      <c r="AA1081">
        <f>[1]发票导入!AA1081&amp;""</f>
      </c>
      <c r="AB1081">
        <f>[1]发票导入!AB1081</f>
        <v>0</v>
      </c>
      <c r="AC1081">
        <f>[1]发票导入!AC1081</f>
        <v>0</v>
      </c>
      <c r="AE1081" s="22">
        <f t="shared" si="0"/>
      </c>
      <c r="AI1081">
        <f>[1]发票导入!AI1081&amp;""</f>
      </c>
      <c r="AJ1081">
        <f>[1]发票导入!AJ1081&amp;""</f>
      </c>
      <c r="AK1081">
        <f>[1]发票导入!AK1081</f>
        <v>0</v>
      </c>
      <c r="AL1081">
        <f>[1]发票导入!AL1081</f>
        <v>0</v>
      </c>
      <c r="AM1081">
        <f>[1]发票导入!AM1081</f>
        <v>0</v>
      </c>
      <c r="AN1081" s="22">
        <f t="shared" si="1"/>
        <v>0</v>
      </c>
      <c r="AO1081" s="22">
        <f t="shared" si="2"/>
        <v>0</v>
      </c>
    </row>
    <row r="1082">
      <c r="C1082">
        <f>[1]发票导入!C1082&amp;""</f>
      </c>
      <c r="D1082">
        <f>[1]发票导入!D1082&amp;""</f>
      </c>
      <c r="O1082">
        <f>[1]发票导入!O1082&amp;""</f>
      </c>
      <c r="T1082">
        <f>[1]发票导入!T1082</f>
      </c>
      <c r="U1082">
        <f>[1]发票导入!U1082&amp;""</f>
      </c>
      <c r="V1082">
        <f>[1]发票导入!V1082&amp;""</f>
      </c>
      <c r="W1082">
        <f>[1]发票导入!W1082&amp;""</f>
      </c>
      <c r="Y1082">
        <f>[1]发票导入!Y1082&amp;""</f>
      </c>
      <c r="AA1082">
        <f>[1]发票导入!AA1082&amp;""</f>
      </c>
      <c r="AB1082">
        <f>[1]发票导入!AB1082</f>
        <v>0</v>
      </c>
      <c r="AC1082">
        <f>[1]发票导入!AC1082</f>
        <v>0</v>
      </c>
      <c r="AE1082" s="22">
        <f t="shared" si="0"/>
      </c>
      <c r="AI1082">
        <f>[1]发票导入!AI1082&amp;""</f>
      </c>
      <c r="AJ1082">
        <f>[1]发票导入!AJ1082&amp;""</f>
      </c>
      <c r="AK1082">
        <f>[1]发票导入!AK1082</f>
        <v>0</v>
      </c>
      <c r="AL1082">
        <f>[1]发票导入!AL1082</f>
        <v>0</v>
      </c>
      <c r="AM1082">
        <f>[1]发票导入!AM1082</f>
        <v>0</v>
      </c>
      <c r="AN1082" s="22">
        <f t="shared" si="1"/>
        <v>0</v>
      </c>
      <c r="AO1082" s="22">
        <f t="shared" si="2"/>
        <v>0</v>
      </c>
    </row>
    <row r="1083">
      <c r="C1083">
        <f>[1]发票导入!C1083&amp;""</f>
      </c>
      <c r="D1083">
        <f>[1]发票导入!D1083&amp;""</f>
      </c>
      <c r="O1083">
        <f>[1]发票导入!O1083&amp;""</f>
      </c>
      <c r="T1083">
        <f>[1]发票导入!T1083</f>
      </c>
      <c r="U1083">
        <f>[1]发票导入!U1083&amp;""</f>
      </c>
      <c r="V1083">
        <f>[1]发票导入!V1083&amp;""</f>
      </c>
      <c r="W1083">
        <f>[1]发票导入!W1083&amp;""</f>
      </c>
      <c r="Y1083">
        <f>[1]发票导入!Y1083&amp;""</f>
      </c>
      <c r="AA1083">
        <f>[1]发票导入!AA1083&amp;""</f>
      </c>
      <c r="AB1083">
        <f>[1]发票导入!AB1083</f>
        <v>0</v>
      </c>
      <c r="AC1083">
        <f>[1]发票导入!AC1083</f>
        <v>0</v>
      </c>
      <c r="AE1083" s="22">
        <f t="shared" si="0"/>
      </c>
      <c r="AI1083">
        <f>[1]发票导入!AI1083&amp;""</f>
      </c>
      <c r="AJ1083">
        <f>[1]发票导入!AJ1083&amp;""</f>
      </c>
      <c r="AK1083">
        <f>[1]发票导入!AK1083</f>
        <v>0</v>
      </c>
      <c r="AL1083">
        <f>[1]发票导入!AL1083</f>
        <v>0</v>
      </c>
      <c r="AM1083">
        <f>[1]发票导入!AM1083</f>
        <v>0</v>
      </c>
      <c r="AN1083" s="22">
        <f t="shared" si="1"/>
        <v>0</v>
      </c>
      <c r="AO1083" s="22">
        <f t="shared" si="2"/>
        <v>0</v>
      </c>
    </row>
    <row r="1084">
      <c r="C1084">
        <f>[1]发票导入!C1084&amp;""</f>
      </c>
      <c r="D1084">
        <f>[1]发票导入!D1084&amp;""</f>
      </c>
      <c r="O1084">
        <f>[1]发票导入!O1084&amp;""</f>
      </c>
      <c r="T1084">
        <f>[1]发票导入!T1084</f>
      </c>
      <c r="U1084">
        <f>[1]发票导入!U1084&amp;""</f>
      </c>
      <c r="V1084">
        <f>[1]发票导入!V1084&amp;""</f>
      </c>
      <c r="W1084">
        <f>[1]发票导入!W1084&amp;""</f>
      </c>
      <c r="Y1084">
        <f>[1]发票导入!Y1084&amp;""</f>
      </c>
      <c r="AA1084">
        <f>[1]发票导入!AA1084&amp;""</f>
      </c>
      <c r="AB1084">
        <f>[1]发票导入!AB1084</f>
        <v>0</v>
      </c>
      <c r="AC1084">
        <f>[1]发票导入!AC1084</f>
        <v>0</v>
      </c>
      <c r="AE1084" s="22">
        <f t="shared" si="0"/>
      </c>
      <c r="AI1084">
        <f>[1]发票导入!AI1084&amp;""</f>
      </c>
      <c r="AJ1084">
        <f>[1]发票导入!AJ1084&amp;""</f>
      </c>
      <c r="AK1084">
        <f>[1]发票导入!AK1084</f>
        <v>0</v>
      </c>
      <c r="AL1084">
        <f>[1]发票导入!AL1084</f>
        <v>0</v>
      </c>
      <c r="AM1084">
        <f>[1]发票导入!AM1084</f>
        <v>0</v>
      </c>
      <c r="AN1084" s="22">
        <f t="shared" si="1"/>
        <v>0</v>
      </c>
      <c r="AO1084" s="22">
        <f t="shared" si="2"/>
        <v>0</v>
      </c>
    </row>
    <row r="1085">
      <c r="C1085">
        <f>[1]发票导入!C1085&amp;""</f>
      </c>
      <c r="D1085">
        <f>[1]发票导入!D1085&amp;""</f>
      </c>
      <c r="O1085">
        <f>[1]发票导入!O1085&amp;""</f>
      </c>
      <c r="T1085">
        <f>[1]发票导入!T1085</f>
      </c>
      <c r="U1085">
        <f>[1]发票导入!U1085&amp;""</f>
      </c>
      <c r="V1085">
        <f>[1]发票导入!V1085&amp;""</f>
      </c>
      <c r="W1085">
        <f>[1]发票导入!W1085&amp;""</f>
      </c>
      <c r="Y1085">
        <f>[1]发票导入!Y1085&amp;""</f>
      </c>
      <c r="AA1085">
        <f>[1]发票导入!AA1085&amp;""</f>
      </c>
      <c r="AB1085">
        <f>[1]发票导入!AB1085</f>
        <v>0</v>
      </c>
      <c r="AC1085">
        <f>[1]发票导入!AC1085</f>
        <v>0</v>
      </c>
      <c r="AE1085" s="22">
        <f t="shared" si="0"/>
      </c>
      <c r="AI1085">
        <f>[1]发票导入!AI1085&amp;""</f>
      </c>
      <c r="AJ1085">
        <f>[1]发票导入!AJ1085&amp;""</f>
      </c>
      <c r="AK1085">
        <f>[1]发票导入!AK1085</f>
        <v>0</v>
      </c>
      <c r="AL1085">
        <f>[1]发票导入!AL1085</f>
        <v>0</v>
      </c>
      <c r="AM1085">
        <f>[1]发票导入!AM1085</f>
        <v>0</v>
      </c>
      <c r="AN1085" s="22">
        <f t="shared" si="1"/>
        <v>0</v>
      </c>
      <c r="AO1085" s="22">
        <f t="shared" si="2"/>
        <v>0</v>
      </c>
    </row>
    <row r="1086">
      <c r="C1086">
        <f>[1]发票导入!C1086&amp;""</f>
      </c>
      <c r="D1086">
        <f>[1]发票导入!D1086&amp;""</f>
      </c>
      <c r="O1086">
        <f>[1]发票导入!O1086&amp;""</f>
      </c>
      <c r="T1086">
        <f>[1]发票导入!T1086</f>
      </c>
      <c r="U1086">
        <f>[1]发票导入!U1086&amp;""</f>
      </c>
      <c r="V1086">
        <f>[1]发票导入!V1086&amp;""</f>
      </c>
      <c r="W1086">
        <f>[1]发票导入!W1086&amp;""</f>
      </c>
      <c r="Y1086">
        <f>[1]发票导入!Y1086&amp;""</f>
      </c>
      <c r="AA1086">
        <f>[1]发票导入!AA1086&amp;""</f>
      </c>
      <c r="AB1086">
        <f>[1]发票导入!AB1086</f>
        <v>0</v>
      </c>
      <c r="AC1086">
        <f>[1]发票导入!AC1086</f>
        <v>0</v>
      </c>
      <c r="AE1086" s="22">
        <f t="shared" si="0"/>
      </c>
      <c r="AI1086">
        <f>[1]发票导入!AI1086&amp;""</f>
      </c>
      <c r="AJ1086">
        <f>[1]发票导入!AJ1086&amp;""</f>
      </c>
      <c r="AK1086">
        <f>[1]发票导入!AK1086</f>
        <v>0</v>
      </c>
      <c r="AL1086">
        <f>[1]发票导入!AL1086</f>
        <v>0</v>
      </c>
      <c r="AM1086">
        <f>[1]发票导入!AM1086</f>
        <v>0</v>
      </c>
      <c r="AN1086" s="22">
        <f t="shared" si="1"/>
        <v>0</v>
      </c>
      <c r="AO1086" s="22">
        <f t="shared" si="2"/>
        <v>0</v>
      </c>
    </row>
    <row r="1087">
      <c r="C1087">
        <f>[1]发票导入!C1087&amp;""</f>
      </c>
      <c r="D1087">
        <f>[1]发票导入!D1087&amp;""</f>
      </c>
      <c r="O1087">
        <f>[1]发票导入!O1087&amp;""</f>
      </c>
      <c r="T1087">
        <f>[1]发票导入!T1087</f>
      </c>
      <c r="U1087">
        <f>[1]发票导入!U1087&amp;""</f>
      </c>
      <c r="V1087">
        <f>[1]发票导入!V1087&amp;""</f>
      </c>
      <c r="W1087">
        <f>[1]发票导入!W1087&amp;""</f>
      </c>
      <c r="Y1087">
        <f>[1]发票导入!Y1087&amp;""</f>
      </c>
      <c r="AA1087">
        <f>[1]发票导入!AA1087&amp;""</f>
      </c>
      <c r="AB1087">
        <f>[1]发票导入!AB1087</f>
        <v>0</v>
      </c>
      <c r="AC1087">
        <f>[1]发票导入!AC1087</f>
        <v>0</v>
      </c>
      <c r="AE1087" s="22">
        <f t="shared" si="0"/>
      </c>
      <c r="AI1087">
        <f>[1]发票导入!AI1087&amp;""</f>
      </c>
      <c r="AJ1087">
        <f>[1]发票导入!AJ1087&amp;""</f>
      </c>
      <c r="AK1087">
        <f>[1]发票导入!AK1087</f>
        <v>0</v>
      </c>
      <c r="AL1087">
        <f>[1]发票导入!AL1087</f>
        <v>0</v>
      </c>
      <c r="AM1087">
        <f>[1]发票导入!AM1087</f>
        <v>0</v>
      </c>
      <c r="AN1087" s="22">
        <f t="shared" si="1"/>
        <v>0</v>
      </c>
      <c r="AO1087" s="22">
        <f t="shared" si="2"/>
        <v>0</v>
      </c>
    </row>
    <row r="1088">
      <c r="C1088">
        <f>[1]发票导入!C1088&amp;""</f>
      </c>
      <c r="D1088">
        <f>[1]发票导入!D1088&amp;""</f>
      </c>
      <c r="O1088">
        <f>[1]发票导入!O1088&amp;""</f>
      </c>
      <c r="T1088">
        <f>[1]发票导入!T1088</f>
      </c>
      <c r="U1088">
        <f>[1]发票导入!U1088&amp;""</f>
      </c>
      <c r="V1088">
        <f>[1]发票导入!V1088&amp;""</f>
      </c>
      <c r="W1088">
        <f>[1]发票导入!W1088&amp;""</f>
      </c>
      <c r="Y1088">
        <f>[1]发票导入!Y1088&amp;""</f>
      </c>
      <c r="AA1088">
        <f>[1]发票导入!AA1088&amp;""</f>
      </c>
      <c r="AB1088">
        <f>[1]发票导入!AB1088</f>
        <v>0</v>
      </c>
      <c r="AC1088">
        <f>[1]发票导入!AC1088</f>
        <v>0</v>
      </c>
      <c r="AE1088" s="22">
        <f t="shared" si="0"/>
      </c>
      <c r="AI1088">
        <f>[1]发票导入!AI1088&amp;""</f>
      </c>
      <c r="AJ1088">
        <f>[1]发票导入!AJ1088&amp;""</f>
      </c>
      <c r="AK1088">
        <f>[1]发票导入!AK1088</f>
        <v>0</v>
      </c>
      <c r="AL1088">
        <f>[1]发票导入!AL1088</f>
        <v>0</v>
      </c>
      <c r="AM1088">
        <f>[1]发票导入!AM1088</f>
        <v>0</v>
      </c>
      <c r="AN1088" s="22">
        <f t="shared" si="1"/>
        <v>0</v>
      </c>
      <c r="AO1088" s="22">
        <f t="shared" si="2"/>
        <v>0</v>
      </c>
    </row>
    <row r="1089">
      <c r="C1089">
        <f>[1]发票导入!C1089&amp;""</f>
      </c>
      <c r="D1089">
        <f>[1]发票导入!D1089&amp;""</f>
      </c>
      <c r="O1089">
        <f>[1]发票导入!O1089&amp;""</f>
      </c>
      <c r="T1089">
        <f>[1]发票导入!T1089</f>
      </c>
      <c r="U1089">
        <f>[1]发票导入!U1089&amp;""</f>
      </c>
      <c r="V1089">
        <f>[1]发票导入!V1089&amp;""</f>
      </c>
      <c r="W1089">
        <f>[1]发票导入!W1089&amp;""</f>
      </c>
      <c r="Y1089">
        <f>[1]发票导入!Y1089&amp;""</f>
      </c>
      <c r="AA1089">
        <f>[1]发票导入!AA1089&amp;""</f>
      </c>
      <c r="AB1089">
        <f>[1]发票导入!AB1089</f>
        <v>0</v>
      </c>
      <c r="AC1089">
        <f>[1]发票导入!AC1089</f>
        <v>0</v>
      </c>
      <c r="AE1089" s="22">
        <f t="shared" si="0"/>
      </c>
      <c r="AI1089">
        <f>[1]发票导入!AI1089&amp;""</f>
      </c>
      <c r="AJ1089">
        <f>[1]发票导入!AJ1089&amp;""</f>
      </c>
      <c r="AK1089">
        <f>[1]发票导入!AK1089</f>
        <v>0</v>
      </c>
      <c r="AL1089">
        <f>[1]发票导入!AL1089</f>
        <v>0</v>
      </c>
      <c r="AM1089">
        <f>[1]发票导入!AM1089</f>
        <v>0</v>
      </c>
      <c r="AN1089" s="22">
        <f t="shared" si="1"/>
        <v>0</v>
      </c>
      <c r="AO1089" s="22">
        <f t="shared" si="2"/>
        <v>0</v>
      </c>
    </row>
    <row r="1090">
      <c r="C1090">
        <f>[1]发票导入!C1090&amp;""</f>
      </c>
      <c r="D1090">
        <f>[1]发票导入!D1090&amp;""</f>
      </c>
      <c r="O1090">
        <f>[1]发票导入!O1090&amp;""</f>
      </c>
      <c r="T1090">
        <f>[1]发票导入!T1090</f>
      </c>
      <c r="U1090">
        <f>[1]发票导入!U1090&amp;""</f>
      </c>
      <c r="V1090">
        <f>[1]发票导入!V1090&amp;""</f>
      </c>
      <c r="W1090">
        <f>[1]发票导入!W1090&amp;""</f>
      </c>
      <c r="Y1090">
        <f>[1]发票导入!Y1090&amp;""</f>
      </c>
      <c r="AA1090">
        <f>[1]发票导入!AA1090&amp;""</f>
      </c>
      <c r="AB1090">
        <f>[1]发票导入!AB1090</f>
        <v>0</v>
      </c>
      <c r="AC1090">
        <f>[1]发票导入!AC1090</f>
        <v>0</v>
      </c>
      <c r="AE1090" s="22">
        <f t="shared" si="0"/>
      </c>
      <c r="AI1090">
        <f>[1]发票导入!AI1090&amp;""</f>
      </c>
      <c r="AJ1090">
        <f>[1]发票导入!AJ1090&amp;""</f>
      </c>
      <c r="AK1090">
        <f>[1]发票导入!AK1090</f>
        <v>0</v>
      </c>
      <c r="AL1090">
        <f>[1]发票导入!AL1090</f>
        <v>0</v>
      </c>
      <c r="AM1090">
        <f>[1]发票导入!AM1090</f>
        <v>0</v>
      </c>
      <c r="AN1090" s="22">
        <f t="shared" si="1"/>
        <v>0</v>
      </c>
      <c r="AO1090" s="22">
        <f t="shared" si="2"/>
        <v>0</v>
      </c>
    </row>
    <row r="1091">
      <c r="C1091">
        <f>[1]发票导入!C1091&amp;""</f>
      </c>
      <c r="D1091">
        <f>[1]发票导入!D1091&amp;""</f>
      </c>
      <c r="O1091">
        <f>[1]发票导入!O1091&amp;""</f>
      </c>
      <c r="T1091">
        <f>[1]发票导入!T1091</f>
      </c>
      <c r="U1091">
        <f>[1]发票导入!U1091&amp;""</f>
      </c>
      <c r="V1091">
        <f>[1]发票导入!V1091&amp;""</f>
      </c>
      <c r="W1091">
        <f>[1]发票导入!W1091&amp;""</f>
      </c>
      <c r="Y1091">
        <f>[1]发票导入!Y1091&amp;""</f>
      </c>
      <c r="AA1091">
        <f>[1]发票导入!AA1091&amp;""</f>
      </c>
      <c r="AB1091">
        <f>[1]发票导入!AB1091</f>
        <v>0</v>
      </c>
      <c r="AC1091">
        <f>[1]发票导入!AC1091</f>
        <v>0</v>
      </c>
      <c r="AE1091" s="22">
        <f t="shared" si="0"/>
      </c>
      <c r="AI1091">
        <f>[1]发票导入!AI1091&amp;""</f>
      </c>
      <c r="AJ1091">
        <f>[1]发票导入!AJ1091&amp;""</f>
      </c>
      <c r="AK1091">
        <f>[1]发票导入!AK1091</f>
        <v>0</v>
      </c>
      <c r="AL1091">
        <f>[1]发票导入!AL1091</f>
        <v>0</v>
      </c>
      <c r="AM1091">
        <f>[1]发票导入!AM1091</f>
        <v>0</v>
      </c>
      <c r="AN1091" s="22">
        <f t="shared" si="1"/>
        <v>0</v>
      </c>
      <c r="AO1091" s="22">
        <f t="shared" si="2"/>
        <v>0</v>
      </c>
    </row>
    <row r="1092">
      <c r="C1092">
        <f>[1]发票导入!C1092&amp;""</f>
      </c>
      <c r="D1092">
        <f>[1]发票导入!D1092&amp;""</f>
      </c>
      <c r="O1092">
        <f>[1]发票导入!O1092&amp;""</f>
      </c>
      <c r="T1092">
        <f>[1]发票导入!T1092</f>
      </c>
      <c r="U1092">
        <f>[1]发票导入!U1092&amp;""</f>
      </c>
      <c r="V1092">
        <f>[1]发票导入!V1092&amp;""</f>
      </c>
      <c r="W1092">
        <f>[1]发票导入!W1092&amp;""</f>
      </c>
      <c r="Y1092">
        <f>[1]发票导入!Y1092&amp;""</f>
      </c>
      <c r="AA1092">
        <f>[1]发票导入!AA1092&amp;""</f>
      </c>
      <c r="AB1092">
        <f>[1]发票导入!AB1092</f>
        <v>0</v>
      </c>
      <c r="AC1092">
        <f>[1]发票导入!AC1092</f>
        <v>0</v>
      </c>
      <c r="AE1092" s="22">
        <f t="shared" si="0"/>
      </c>
      <c r="AI1092">
        <f>[1]发票导入!AI1092&amp;""</f>
      </c>
      <c r="AJ1092">
        <f>[1]发票导入!AJ1092&amp;""</f>
      </c>
      <c r="AK1092">
        <f>[1]发票导入!AK1092</f>
        <v>0</v>
      </c>
      <c r="AL1092">
        <f>[1]发票导入!AL1092</f>
        <v>0</v>
      </c>
      <c r="AM1092">
        <f>[1]发票导入!AM1092</f>
        <v>0</v>
      </c>
      <c r="AN1092" s="22">
        <f t="shared" si="1"/>
        <v>0</v>
      </c>
      <c r="AO1092" s="22">
        <f t="shared" si="2"/>
        <v>0</v>
      </c>
    </row>
    <row r="1093">
      <c r="C1093">
        <f>[1]发票导入!C1093&amp;""</f>
      </c>
      <c r="D1093">
        <f>[1]发票导入!D1093&amp;""</f>
      </c>
      <c r="O1093">
        <f>[1]发票导入!O1093&amp;""</f>
      </c>
      <c r="T1093">
        <f>[1]发票导入!T1093</f>
      </c>
      <c r="U1093">
        <f>[1]发票导入!U1093&amp;""</f>
      </c>
      <c r="V1093">
        <f>[1]发票导入!V1093&amp;""</f>
      </c>
      <c r="W1093">
        <f>[1]发票导入!W1093&amp;""</f>
      </c>
      <c r="Y1093">
        <f>[1]发票导入!Y1093&amp;""</f>
      </c>
      <c r="AA1093">
        <f>[1]发票导入!AA1093&amp;""</f>
      </c>
      <c r="AB1093">
        <f>[1]发票导入!AB1093</f>
        <v>0</v>
      </c>
      <c r="AC1093">
        <f>[1]发票导入!AC1093</f>
        <v>0</v>
      </c>
      <c r="AE1093" s="22">
        <f t="shared" si="0"/>
      </c>
      <c r="AI1093">
        <f>[1]发票导入!AI1093&amp;""</f>
      </c>
      <c r="AJ1093">
        <f>[1]发票导入!AJ1093&amp;""</f>
      </c>
      <c r="AK1093">
        <f>[1]发票导入!AK1093</f>
        <v>0</v>
      </c>
      <c r="AL1093">
        <f>[1]发票导入!AL1093</f>
        <v>0</v>
      </c>
      <c r="AM1093">
        <f>[1]发票导入!AM1093</f>
        <v>0</v>
      </c>
      <c r="AN1093" s="22">
        <f t="shared" si="1"/>
        <v>0</v>
      </c>
      <c r="AO1093" s="22">
        <f t="shared" si="2"/>
        <v>0</v>
      </c>
    </row>
    <row r="1094">
      <c r="C1094">
        <f>[1]发票导入!C1094&amp;""</f>
      </c>
      <c r="D1094">
        <f>[1]发票导入!D1094&amp;""</f>
      </c>
      <c r="O1094">
        <f>[1]发票导入!O1094&amp;""</f>
      </c>
      <c r="T1094">
        <f>[1]发票导入!T1094</f>
      </c>
      <c r="U1094">
        <f>[1]发票导入!U1094&amp;""</f>
      </c>
      <c r="V1094">
        <f>[1]发票导入!V1094&amp;""</f>
      </c>
      <c r="W1094">
        <f>[1]发票导入!W1094&amp;""</f>
      </c>
      <c r="Y1094">
        <f>[1]发票导入!Y1094&amp;""</f>
      </c>
      <c r="AA1094">
        <f>[1]发票导入!AA1094&amp;""</f>
      </c>
      <c r="AB1094">
        <f>[1]发票导入!AB1094</f>
        <v>0</v>
      </c>
      <c r="AC1094">
        <f>[1]发票导入!AC1094</f>
        <v>0</v>
      </c>
      <c r="AE1094" s="22">
        <f t="shared" si="0"/>
      </c>
      <c r="AI1094">
        <f>[1]发票导入!AI1094&amp;""</f>
      </c>
      <c r="AJ1094">
        <f>[1]发票导入!AJ1094&amp;""</f>
      </c>
      <c r="AK1094">
        <f>[1]发票导入!AK1094</f>
        <v>0</v>
      </c>
      <c r="AL1094">
        <f>[1]发票导入!AL1094</f>
        <v>0</v>
      </c>
      <c r="AM1094">
        <f>[1]发票导入!AM1094</f>
        <v>0</v>
      </c>
      <c r="AN1094" s="22">
        <f t="shared" si="1"/>
        <v>0</v>
      </c>
      <c r="AO1094" s="22">
        <f t="shared" si="2"/>
        <v>0</v>
      </c>
    </row>
    <row r="1095">
      <c r="C1095">
        <f>[1]发票导入!C1095&amp;""</f>
      </c>
      <c r="D1095">
        <f>[1]发票导入!D1095&amp;""</f>
      </c>
      <c r="O1095">
        <f>[1]发票导入!O1095&amp;""</f>
      </c>
      <c r="T1095">
        <f>[1]发票导入!T1095</f>
      </c>
      <c r="U1095">
        <f>[1]发票导入!U1095&amp;""</f>
      </c>
      <c r="V1095">
        <f>[1]发票导入!V1095&amp;""</f>
      </c>
      <c r="W1095">
        <f>[1]发票导入!W1095&amp;""</f>
      </c>
      <c r="Y1095">
        <f>[1]发票导入!Y1095&amp;""</f>
      </c>
      <c r="AA1095">
        <f>[1]发票导入!AA1095&amp;""</f>
      </c>
      <c r="AB1095">
        <f>[1]发票导入!AB1095</f>
        <v>0</v>
      </c>
      <c r="AC1095">
        <f>[1]发票导入!AC1095</f>
        <v>0</v>
      </c>
      <c r="AE1095" s="22">
        <f t="shared" si="0"/>
      </c>
      <c r="AI1095">
        <f>[1]发票导入!AI1095&amp;""</f>
      </c>
      <c r="AJ1095">
        <f>[1]发票导入!AJ1095&amp;""</f>
      </c>
      <c r="AK1095">
        <f>[1]发票导入!AK1095</f>
        <v>0</v>
      </c>
      <c r="AL1095">
        <f>[1]发票导入!AL1095</f>
        <v>0</v>
      </c>
      <c r="AM1095">
        <f>[1]发票导入!AM1095</f>
        <v>0</v>
      </c>
      <c r="AN1095" s="22">
        <f t="shared" si="1"/>
        <v>0</v>
      </c>
      <c r="AO1095" s="22">
        <f t="shared" si="2"/>
        <v>0</v>
      </c>
    </row>
    <row r="1096">
      <c r="C1096">
        <f>[1]发票导入!C1096&amp;""</f>
      </c>
      <c r="D1096">
        <f>[1]发票导入!D1096&amp;""</f>
      </c>
      <c r="O1096">
        <f>[1]发票导入!O1096&amp;""</f>
      </c>
      <c r="T1096">
        <f>[1]发票导入!T1096</f>
      </c>
      <c r="U1096">
        <f>[1]发票导入!U1096&amp;""</f>
      </c>
      <c r="V1096">
        <f>[1]发票导入!V1096&amp;""</f>
      </c>
      <c r="W1096">
        <f>[1]发票导入!W1096&amp;""</f>
      </c>
      <c r="Y1096">
        <f>[1]发票导入!Y1096&amp;""</f>
      </c>
      <c r="AA1096">
        <f>[1]发票导入!AA1096&amp;""</f>
      </c>
      <c r="AB1096">
        <f>[1]发票导入!AB1096</f>
        <v>0</v>
      </c>
      <c r="AC1096">
        <f>[1]发票导入!AC1096</f>
        <v>0</v>
      </c>
      <c r="AE1096" s="22">
        <f t="shared" si="0"/>
      </c>
      <c r="AI1096">
        <f>[1]发票导入!AI1096&amp;""</f>
      </c>
      <c r="AJ1096">
        <f>[1]发票导入!AJ1096&amp;""</f>
      </c>
      <c r="AK1096">
        <f>[1]发票导入!AK1096</f>
        <v>0</v>
      </c>
      <c r="AL1096">
        <f>[1]发票导入!AL1096</f>
        <v>0</v>
      </c>
      <c r="AM1096">
        <f>[1]发票导入!AM1096</f>
        <v>0</v>
      </c>
      <c r="AN1096" s="22">
        <f t="shared" si="1"/>
        <v>0</v>
      </c>
      <c r="AO1096" s="22">
        <f t="shared" si="2"/>
        <v>0</v>
      </c>
    </row>
    <row r="1097">
      <c r="C1097">
        <f>[1]发票导入!C1097&amp;""</f>
      </c>
      <c r="D1097">
        <f>[1]发票导入!D1097&amp;""</f>
      </c>
      <c r="O1097">
        <f>[1]发票导入!O1097&amp;""</f>
      </c>
      <c r="T1097">
        <f>[1]发票导入!T1097</f>
      </c>
      <c r="U1097">
        <f>[1]发票导入!U1097&amp;""</f>
      </c>
      <c r="V1097">
        <f>[1]发票导入!V1097&amp;""</f>
      </c>
      <c r="W1097">
        <f>[1]发票导入!W1097&amp;""</f>
      </c>
      <c r="Y1097">
        <f>[1]发票导入!Y1097&amp;""</f>
      </c>
      <c r="AA1097">
        <f>[1]发票导入!AA1097&amp;""</f>
      </c>
      <c r="AB1097">
        <f>[1]发票导入!AB1097</f>
        <v>0</v>
      </c>
      <c r="AC1097">
        <f>[1]发票导入!AC1097</f>
        <v>0</v>
      </c>
      <c r="AE1097" s="22">
        <f t="shared" si="0"/>
      </c>
      <c r="AI1097">
        <f>[1]发票导入!AI1097&amp;""</f>
      </c>
      <c r="AJ1097">
        <f>[1]发票导入!AJ1097&amp;""</f>
      </c>
      <c r="AK1097">
        <f>[1]发票导入!AK1097</f>
        <v>0</v>
      </c>
      <c r="AL1097">
        <f>[1]发票导入!AL1097</f>
        <v>0</v>
      </c>
      <c r="AM1097">
        <f>[1]发票导入!AM1097</f>
        <v>0</v>
      </c>
      <c r="AN1097" s="22">
        <f t="shared" si="1"/>
        <v>0</v>
      </c>
      <c r="AO1097" s="22">
        <f t="shared" si="2"/>
        <v>0</v>
      </c>
    </row>
    <row r="1098">
      <c r="C1098">
        <f>[1]发票导入!C1098&amp;""</f>
      </c>
      <c r="D1098">
        <f>[1]发票导入!D1098&amp;""</f>
      </c>
      <c r="O1098">
        <f>[1]发票导入!O1098&amp;""</f>
      </c>
      <c r="T1098">
        <f>[1]发票导入!T1098</f>
      </c>
      <c r="U1098">
        <f>[1]发票导入!U1098&amp;""</f>
      </c>
      <c r="V1098">
        <f>[1]发票导入!V1098&amp;""</f>
      </c>
      <c r="W1098">
        <f>[1]发票导入!W1098&amp;""</f>
      </c>
      <c r="Y1098">
        <f>[1]发票导入!Y1098&amp;""</f>
      </c>
      <c r="AA1098">
        <f>[1]发票导入!AA1098&amp;""</f>
      </c>
      <c r="AB1098">
        <f>[1]发票导入!AB1098</f>
        <v>0</v>
      </c>
      <c r="AC1098">
        <f>[1]发票导入!AC1098</f>
        <v>0</v>
      </c>
      <c r="AE1098" s="22">
        <f t="shared" si="0"/>
      </c>
      <c r="AI1098">
        <f>[1]发票导入!AI1098&amp;""</f>
      </c>
      <c r="AJ1098">
        <f>[1]发票导入!AJ1098&amp;""</f>
      </c>
      <c r="AK1098">
        <f>[1]发票导入!AK1098</f>
        <v>0</v>
      </c>
      <c r="AL1098">
        <f>[1]发票导入!AL1098</f>
        <v>0</v>
      </c>
      <c r="AM1098">
        <f>[1]发票导入!AM1098</f>
        <v>0</v>
      </c>
      <c r="AN1098" s="22">
        <f t="shared" si="1"/>
        <v>0</v>
      </c>
      <c r="AO1098" s="22">
        <f t="shared" si="2"/>
        <v>0</v>
      </c>
    </row>
    <row r="1099">
      <c r="C1099">
        <f>[1]发票导入!C1099&amp;""</f>
      </c>
      <c r="D1099">
        <f>[1]发票导入!D1099&amp;""</f>
      </c>
      <c r="O1099">
        <f>[1]发票导入!O1099&amp;""</f>
      </c>
      <c r="T1099">
        <f>[1]发票导入!T1099</f>
      </c>
      <c r="U1099">
        <f>[1]发票导入!U1099&amp;""</f>
      </c>
      <c r="V1099">
        <f>[1]发票导入!V1099&amp;""</f>
      </c>
      <c r="W1099">
        <f>[1]发票导入!W1099&amp;""</f>
      </c>
      <c r="Y1099">
        <f>[1]发票导入!Y1099&amp;""</f>
      </c>
      <c r="AA1099">
        <f>[1]发票导入!AA1099&amp;""</f>
      </c>
      <c r="AB1099">
        <f>[1]发票导入!AB1099</f>
        <v>0</v>
      </c>
      <c r="AC1099">
        <f>[1]发票导入!AC1099</f>
        <v>0</v>
      </c>
      <c r="AE1099" s="22">
        <f t="shared" si="0"/>
      </c>
      <c r="AI1099">
        <f>[1]发票导入!AI1099&amp;""</f>
      </c>
      <c r="AJ1099">
        <f>[1]发票导入!AJ1099&amp;""</f>
      </c>
      <c r="AK1099">
        <f>[1]发票导入!AK1099</f>
        <v>0</v>
      </c>
      <c r="AL1099">
        <f>[1]发票导入!AL1099</f>
        <v>0</v>
      </c>
      <c r="AM1099">
        <f>[1]发票导入!AM1099</f>
        <v>0</v>
      </c>
      <c r="AN1099" s="22">
        <f t="shared" si="1"/>
        <v>0</v>
      </c>
      <c r="AO1099" s="22">
        <f t="shared" si="2"/>
        <v>0</v>
      </c>
    </row>
    <row r="1100">
      <c r="C1100">
        <f>[1]发票导入!C1100&amp;""</f>
      </c>
      <c r="D1100">
        <f>[1]发票导入!D1100&amp;""</f>
      </c>
      <c r="O1100">
        <f>[1]发票导入!O1100&amp;""</f>
      </c>
      <c r="T1100">
        <f>[1]发票导入!T1100</f>
      </c>
      <c r="U1100">
        <f>[1]发票导入!U1100&amp;""</f>
      </c>
      <c r="V1100">
        <f>[1]发票导入!V1100&amp;""</f>
      </c>
      <c r="W1100">
        <f>[1]发票导入!W1100&amp;""</f>
      </c>
      <c r="Y1100">
        <f>[1]发票导入!Y1100&amp;""</f>
      </c>
      <c r="AA1100">
        <f>[1]发票导入!AA1100&amp;""</f>
      </c>
      <c r="AB1100">
        <f>[1]发票导入!AB1100</f>
        <v>0</v>
      </c>
      <c r="AC1100">
        <f>[1]发票导入!AC1100</f>
        <v>0</v>
      </c>
      <c r="AE1100" s="22">
        <f t="shared" si="0"/>
      </c>
      <c r="AI1100">
        <f>[1]发票导入!AI1100&amp;""</f>
      </c>
      <c r="AJ1100">
        <f>[1]发票导入!AJ1100&amp;""</f>
      </c>
      <c r="AK1100">
        <f>[1]发票导入!AK1100</f>
        <v>0</v>
      </c>
      <c r="AL1100">
        <f>[1]发票导入!AL1100</f>
        <v>0</v>
      </c>
      <c r="AM1100">
        <f>[1]发票导入!AM1100</f>
        <v>0</v>
      </c>
      <c r="AN1100" s="22">
        <f t="shared" si="1"/>
        <v>0</v>
      </c>
      <c r="AO1100" s="22">
        <f t="shared" si="2"/>
        <v>0</v>
      </c>
    </row>
    <row r="1101">
      <c r="C1101">
        <f>[1]发票导入!C1101&amp;""</f>
      </c>
      <c r="D1101">
        <f>[1]发票导入!D1101&amp;""</f>
      </c>
      <c r="O1101">
        <f>[1]发票导入!O1101&amp;""</f>
      </c>
      <c r="T1101">
        <f>[1]发票导入!T1101</f>
      </c>
      <c r="U1101">
        <f>[1]发票导入!U1101&amp;""</f>
      </c>
      <c r="V1101">
        <f>[1]发票导入!V1101&amp;""</f>
      </c>
      <c r="W1101">
        <f>[1]发票导入!W1101&amp;""</f>
      </c>
      <c r="Y1101">
        <f>[1]发票导入!Y1101&amp;""</f>
      </c>
      <c r="AA1101">
        <f>[1]发票导入!AA1101&amp;""</f>
      </c>
      <c r="AB1101">
        <f>[1]发票导入!AB1101</f>
        <v>0</v>
      </c>
      <c r="AC1101">
        <f>[1]发票导入!AC1101</f>
        <v>0</v>
      </c>
      <c r="AE1101" s="22">
        <f t="shared" si="0"/>
      </c>
      <c r="AI1101">
        <f>[1]发票导入!AI1101&amp;""</f>
      </c>
      <c r="AJ1101">
        <f>[1]发票导入!AJ1101&amp;""</f>
      </c>
      <c r="AK1101">
        <f>[1]发票导入!AK1101</f>
        <v>0</v>
      </c>
      <c r="AL1101">
        <f>[1]发票导入!AL1101</f>
        <v>0</v>
      </c>
      <c r="AM1101">
        <f>[1]发票导入!AM1101</f>
        <v>0</v>
      </c>
      <c r="AN1101" s="22">
        <f t="shared" si="1"/>
        <v>0</v>
      </c>
      <c r="AO1101" s="22">
        <f t="shared" si="2"/>
        <v>0</v>
      </c>
    </row>
    <row r="1102">
      <c r="C1102">
        <f>[1]发票导入!C1102&amp;""</f>
      </c>
      <c r="D1102">
        <f>[1]发票导入!D1102&amp;""</f>
      </c>
      <c r="O1102">
        <f>[1]发票导入!O1102&amp;""</f>
      </c>
      <c r="T1102">
        <f>[1]发票导入!T1102</f>
      </c>
      <c r="U1102">
        <f>[1]发票导入!U1102&amp;""</f>
      </c>
      <c r="V1102">
        <f>[1]发票导入!V1102&amp;""</f>
      </c>
      <c r="W1102">
        <f>[1]发票导入!W1102&amp;""</f>
      </c>
      <c r="Y1102">
        <f>[1]发票导入!Y1102&amp;""</f>
      </c>
      <c r="AA1102">
        <f>[1]发票导入!AA1102&amp;""</f>
      </c>
      <c r="AB1102">
        <f>[1]发票导入!AB1102</f>
        <v>0</v>
      </c>
      <c r="AC1102">
        <f>[1]发票导入!AC1102</f>
        <v>0</v>
      </c>
      <c r="AE1102" s="22">
        <f t="shared" si="0"/>
      </c>
      <c r="AI1102">
        <f>[1]发票导入!AI1102&amp;""</f>
      </c>
      <c r="AJ1102">
        <f>[1]发票导入!AJ1102&amp;""</f>
      </c>
      <c r="AK1102">
        <f>[1]发票导入!AK1102</f>
        <v>0</v>
      </c>
      <c r="AL1102">
        <f>[1]发票导入!AL1102</f>
        <v>0</v>
      </c>
      <c r="AM1102">
        <f>[1]发票导入!AM1102</f>
        <v>0</v>
      </c>
      <c r="AN1102" s="22">
        <f t="shared" si="1"/>
        <v>0</v>
      </c>
      <c r="AO1102" s="22">
        <f t="shared" si="2"/>
        <v>0</v>
      </c>
    </row>
    <row r="1103">
      <c r="C1103">
        <f>[1]发票导入!C1103&amp;""</f>
      </c>
      <c r="D1103">
        <f>[1]发票导入!D1103&amp;""</f>
      </c>
      <c r="O1103">
        <f>[1]发票导入!O1103&amp;""</f>
      </c>
      <c r="T1103">
        <f>[1]发票导入!T1103</f>
      </c>
      <c r="U1103">
        <f>[1]发票导入!U1103&amp;""</f>
      </c>
      <c r="V1103">
        <f>[1]发票导入!V1103&amp;""</f>
      </c>
      <c r="W1103">
        <f>[1]发票导入!W1103&amp;""</f>
      </c>
      <c r="Y1103">
        <f>[1]发票导入!Y1103&amp;""</f>
      </c>
      <c r="AA1103">
        <f>[1]发票导入!AA1103&amp;""</f>
      </c>
      <c r="AB1103">
        <f>[1]发票导入!AB1103</f>
        <v>0</v>
      </c>
      <c r="AC1103">
        <f>[1]发票导入!AC1103</f>
        <v>0</v>
      </c>
      <c r="AE1103" s="22">
        <f t="shared" si="0"/>
      </c>
      <c r="AI1103">
        <f>[1]发票导入!AI1103&amp;""</f>
      </c>
      <c r="AJ1103">
        <f>[1]发票导入!AJ1103&amp;""</f>
      </c>
      <c r="AK1103">
        <f>[1]发票导入!AK1103</f>
        <v>0</v>
      </c>
      <c r="AL1103">
        <f>[1]发票导入!AL1103</f>
        <v>0</v>
      </c>
      <c r="AM1103">
        <f>[1]发票导入!AM1103</f>
        <v>0</v>
      </c>
      <c r="AN1103" s="22">
        <f t="shared" si="1"/>
        <v>0</v>
      </c>
      <c r="AO1103" s="22">
        <f t="shared" si="2"/>
        <v>0</v>
      </c>
    </row>
    <row r="1104">
      <c r="C1104">
        <f>[1]发票导入!C1104&amp;""</f>
      </c>
      <c r="D1104">
        <f>[1]发票导入!D1104&amp;""</f>
      </c>
      <c r="O1104">
        <f>[1]发票导入!O1104&amp;""</f>
      </c>
      <c r="T1104">
        <f>[1]发票导入!T1104</f>
      </c>
      <c r="U1104">
        <f>[1]发票导入!U1104&amp;""</f>
      </c>
      <c r="V1104">
        <f>[1]发票导入!V1104&amp;""</f>
      </c>
      <c r="W1104">
        <f>[1]发票导入!W1104&amp;""</f>
      </c>
      <c r="Y1104">
        <f>[1]发票导入!Y1104&amp;""</f>
      </c>
      <c r="AA1104">
        <f>[1]发票导入!AA1104&amp;""</f>
      </c>
      <c r="AB1104">
        <f>[1]发票导入!AB1104</f>
        <v>0</v>
      </c>
      <c r="AC1104">
        <f>[1]发票导入!AC1104</f>
        <v>0</v>
      </c>
      <c r="AE1104" s="22">
        <f t="shared" si="0"/>
      </c>
      <c r="AI1104">
        <f>[1]发票导入!AI1104&amp;""</f>
      </c>
      <c r="AJ1104">
        <f>[1]发票导入!AJ1104&amp;""</f>
      </c>
      <c r="AK1104">
        <f>[1]发票导入!AK1104</f>
        <v>0</v>
      </c>
      <c r="AL1104">
        <f>[1]发票导入!AL1104</f>
        <v>0</v>
      </c>
      <c r="AM1104">
        <f>[1]发票导入!AM1104</f>
        <v>0</v>
      </c>
      <c r="AN1104" s="22">
        <f t="shared" si="1"/>
        <v>0</v>
      </c>
      <c r="AO1104" s="22">
        <f t="shared" si="2"/>
        <v>0</v>
      </c>
    </row>
    <row r="1105">
      <c r="C1105">
        <f>[1]发票导入!C1105&amp;""</f>
      </c>
      <c r="D1105">
        <f>[1]发票导入!D1105&amp;""</f>
      </c>
      <c r="O1105">
        <f>[1]发票导入!O1105&amp;""</f>
      </c>
      <c r="T1105">
        <f>[1]发票导入!T1105</f>
      </c>
      <c r="U1105">
        <f>[1]发票导入!U1105&amp;""</f>
      </c>
      <c r="V1105">
        <f>[1]发票导入!V1105&amp;""</f>
      </c>
      <c r="W1105">
        <f>[1]发票导入!W1105&amp;""</f>
      </c>
      <c r="Y1105">
        <f>[1]发票导入!Y1105&amp;""</f>
      </c>
      <c r="AA1105">
        <f>[1]发票导入!AA1105&amp;""</f>
      </c>
      <c r="AB1105">
        <f>[1]发票导入!AB1105</f>
        <v>0</v>
      </c>
      <c r="AC1105">
        <f>[1]发票导入!AC1105</f>
        <v>0</v>
      </c>
      <c r="AE1105" s="22">
        <f t="shared" si="0"/>
      </c>
      <c r="AI1105">
        <f>[1]发票导入!AI1105&amp;""</f>
      </c>
      <c r="AJ1105">
        <f>[1]发票导入!AJ1105&amp;""</f>
      </c>
      <c r="AK1105">
        <f>[1]发票导入!AK1105</f>
        <v>0</v>
      </c>
      <c r="AL1105">
        <f>[1]发票导入!AL1105</f>
        <v>0</v>
      </c>
      <c r="AM1105">
        <f>[1]发票导入!AM1105</f>
        <v>0</v>
      </c>
      <c r="AN1105" s="22">
        <f t="shared" si="1"/>
        <v>0</v>
      </c>
      <c r="AO1105" s="22">
        <f t="shared" si="2"/>
        <v>0</v>
      </c>
    </row>
    <row r="1106">
      <c r="C1106">
        <f>[1]发票导入!C1106&amp;""</f>
      </c>
      <c r="D1106">
        <f>[1]发票导入!D1106&amp;""</f>
      </c>
      <c r="O1106">
        <f>[1]发票导入!O1106&amp;""</f>
      </c>
      <c r="T1106">
        <f>[1]发票导入!T1106</f>
      </c>
      <c r="U1106">
        <f>[1]发票导入!U1106&amp;""</f>
      </c>
      <c r="V1106">
        <f>[1]发票导入!V1106&amp;""</f>
      </c>
      <c r="W1106">
        <f>[1]发票导入!W1106&amp;""</f>
      </c>
      <c r="Y1106">
        <f>[1]发票导入!Y1106&amp;""</f>
      </c>
      <c r="AA1106">
        <f>[1]发票导入!AA1106&amp;""</f>
      </c>
      <c r="AB1106">
        <f>[1]发票导入!AB1106</f>
        <v>0</v>
      </c>
      <c r="AC1106">
        <f>[1]发票导入!AC1106</f>
        <v>0</v>
      </c>
      <c r="AE1106" s="22">
        <f t="shared" si="0"/>
      </c>
      <c r="AI1106">
        <f>[1]发票导入!AI1106&amp;""</f>
      </c>
      <c r="AJ1106">
        <f>[1]发票导入!AJ1106&amp;""</f>
      </c>
      <c r="AK1106">
        <f>[1]发票导入!AK1106</f>
        <v>0</v>
      </c>
      <c r="AL1106">
        <f>[1]发票导入!AL1106</f>
        <v>0</v>
      </c>
      <c r="AM1106">
        <f>[1]发票导入!AM1106</f>
        <v>0</v>
      </c>
      <c r="AN1106" s="22">
        <f t="shared" si="1"/>
        <v>0</v>
      </c>
      <c r="AO1106" s="22">
        <f t="shared" si="2"/>
        <v>0</v>
      </c>
    </row>
    <row r="1107">
      <c r="C1107">
        <f>[1]发票导入!C1107&amp;""</f>
      </c>
      <c r="D1107">
        <f>[1]发票导入!D1107&amp;""</f>
      </c>
      <c r="O1107">
        <f>[1]发票导入!O1107&amp;""</f>
      </c>
      <c r="T1107">
        <f>[1]发票导入!T1107</f>
      </c>
      <c r="U1107">
        <f>[1]发票导入!U1107&amp;""</f>
      </c>
      <c r="V1107">
        <f>[1]发票导入!V1107&amp;""</f>
      </c>
      <c r="W1107">
        <f>[1]发票导入!W1107&amp;""</f>
      </c>
      <c r="Y1107">
        <f>[1]发票导入!Y1107&amp;""</f>
      </c>
      <c r="AA1107">
        <f>[1]发票导入!AA1107&amp;""</f>
      </c>
      <c r="AB1107">
        <f>[1]发票导入!AB1107</f>
        <v>0</v>
      </c>
      <c r="AC1107">
        <f>[1]发票导入!AC1107</f>
        <v>0</v>
      </c>
      <c r="AE1107" s="22">
        <f t="shared" si="0"/>
      </c>
      <c r="AI1107">
        <f>[1]发票导入!AI1107&amp;""</f>
      </c>
      <c r="AJ1107">
        <f>[1]发票导入!AJ1107&amp;""</f>
      </c>
      <c r="AK1107">
        <f>[1]发票导入!AK1107</f>
        <v>0</v>
      </c>
      <c r="AL1107">
        <f>[1]发票导入!AL1107</f>
        <v>0</v>
      </c>
      <c r="AM1107">
        <f>[1]发票导入!AM1107</f>
        <v>0</v>
      </c>
      <c r="AN1107" s="22">
        <f t="shared" si="1"/>
        <v>0</v>
      </c>
      <c r="AO1107" s="22">
        <f t="shared" si="2"/>
        <v>0</v>
      </c>
    </row>
    <row r="1108">
      <c r="C1108">
        <f>[1]发票导入!C1108&amp;""</f>
      </c>
      <c r="D1108">
        <f>[1]发票导入!D1108&amp;""</f>
      </c>
      <c r="O1108">
        <f>[1]发票导入!O1108&amp;""</f>
      </c>
      <c r="T1108">
        <f>[1]发票导入!T1108</f>
      </c>
      <c r="U1108">
        <f>[1]发票导入!U1108&amp;""</f>
      </c>
      <c r="V1108">
        <f>[1]发票导入!V1108&amp;""</f>
      </c>
      <c r="W1108">
        <f>[1]发票导入!W1108&amp;""</f>
      </c>
      <c r="Y1108">
        <f>[1]发票导入!Y1108&amp;""</f>
      </c>
      <c r="AA1108">
        <f>[1]发票导入!AA1108&amp;""</f>
      </c>
      <c r="AB1108">
        <f>[1]发票导入!AB1108</f>
        <v>0</v>
      </c>
      <c r="AC1108">
        <f>[1]发票导入!AC1108</f>
        <v>0</v>
      </c>
      <c r="AE1108" s="22">
        <f t="shared" si="0"/>
      </c>
      <c r="AI1108">
        <f>[1]发票导入!AI1108&amp;""</f>
      </c>
      <c r="AJ1108">
        <f>[1]发票导入!AJ1108&amp;""</f>
      </c>
      <c r="AK1108">
        <f>[1]发票导入!AK1108</f>
        <v>0</v>
      </c>
      <c r="AL1108">
        <f>[1]发票导入!AL1108</f>
        <v>0</v>
      </c>
      <c r="AM1108">
        <f>[1]发票导入!AM1108</f>
        <v>0</v>
      </c>
      <c r="AN1108" s="22">
        <f t="shared" si="1"/>
        <v>0</v>
      </c>
      <c r="AO1108" s="22">
        <f t="shared" si="2"/>
        <v>0</v>
      </c>
    </row>
    <row r="1109">
      <c r="C1109">
        <f>[1]发票导入!C1109&amp;""</f>
      </c>
      <c r="D1109">
        <f>[1]发票导入!D1109&amp;""</f>
      </c>
      <c r="O1109">
        <f>[1]发票导入!O1109&amp;""</f>
      </c>
      <c r="T1109">
        <f>[1]发票导入!T1109</f>
      </c>
      <c r="U1109">
        <f>[1]发票导入!U1109&amp;""</f>
      </c>
      <c r="V1109">
        <f>[1]发票导入!V1109&amp;""</f>
      </c>
      <c r="W1109">
        <f>[1]发票导入!W1109&amp;""</f>
      </c>
      <c r="Y1109">
        <f>[1]发票导入!Y1109&amp;""</f>
      </c>
      <c r="AA1109">
        <f>[1]发票导入!AA1109&amp;""</f>
      </c>
      <c r="AB1109">
        <f>[1]发票导入!AB1109</f>
        <v>0</v>
      </c>
      <c r="AC1109">
        <f>[1]发票导入!AC1109</f>
        <v>0</v>
      </c>
      <c r="AE1109" s="22">
        <f t="shared" si="0"/>
      </c>
      <c r="AI1109">
        <f>[1]发票导入!AI1109&amp;""</f>
      </c>
      <c r="AJ1109">
        <f>[1]发票导入!AJ1109&amp;""</f>
      </c>
      <c r="AK1109">
        <f>[1]发票导入!AK1109</f>
        <v>0</v>
      </c>
      <c r="AL1109">
        <f>[1]发票导入!AL1109</f>
        <v>0</v>
      </c>
      <c r="AM1109">
        <f>[1]发票导入!AM1109</f>
        <v>0</v>
      </c>
      <c r="AN1109" s="22">
        <f t="shared" si="1"/>
        <v>0</v>
      </c>
      <c r="AO1109" s="22">
        <f t="shared" si="2"/>
        <v>0</v>
      </c>
    </row>
    <row r="1110">
      <c r="C1110">
        <f>[1]发票导入!C1110&amp;""</f>
      </c>
      <c r="D1110">
        <f>[1]发票导入!D1110&amp;""</f>
      </c>
      <c r="O1110">
        <f>[1]发票导入!O1110&amp;""</f>
      </c>
      <c r="T1110">
        <f>[1]发票导入!T1110</f>
      </c>
      <c r="U1110">
        <f>[1]发票导入!U1110&amp;""</f>
      </c>
      <c r="V1110">
        <f>[1]发票导入!V1110&amp;""</f>
      </c>
      <c r="W1110">
        <f>[1]发票导入!W1110&amp;""</f>
      </c>
      <c r="Y1110">
        <f>[1]发票导入!Y1110&amp;""</f>
      </c>
      <c r="AA1110">
        <f>[1]发票导入!AA1110&amp;""</f>
      </c>
      <c r="AB1110">
        <f>[1]发票导入!AB1110</f>
        <v>0</v>
      </c>
      <c r="AC1110">
        <f>[1]发票导入!AC1110</f>
        <v>0</v>
      </c>
      <c r="AE1110" s="22">
        <f t="shared" si="0"/>
      </c>
      <c r="AI1110">
        <f>[1]发票导入!AI1110&amp;""</f>
      </c>
      <c r="AJ1110">
        <f>[1]发票导入!AJ1110&amp;""</f>
      </c>
      <c r="AK1110">
        <f>[1]发票导入!AK1110</f>
        <v>0</v>
      </c>
      <c r="AL1110">
        <f>[1]发票导入!AL1110</f>
        <v>0</v>
      </c>
      <c r="AM1110">
        <f>[1]发票导入!AM1110</f>
        <v>0</v>
      </c>
      <c r="AN1110" s="22">
        <f t="shared" si="1"/>
        <v>0</v>
      </c>
      <c r="AO1110" s="22">
        <f t="shared" si="2"/>
        <v>0</v>
      </c>
    </row>
    <row r="1111">
      <c r="C1111">
        <f>[1]发票导入!C1111&amp;""</f>
      </c>
      <c r="D1111">
        <f>[1]发票导入!D1111&amp;""</f>
      </c>
      <c r="O1111">
        <f>[1]发票导入!O1111&amp;""</f>
      </c>
      <c r="T1111">
        <f>[1]发票导入!T1111</f>
      </c>
      <c r="U1111">
        <f>[1]发票导入!U1111&amp;""</f>
      </c>
      <c r="V1111">
        <f>[1]发票导入!V1111&amp;""</f>
      </c>
      <c r="W1111">
        <f>[1]发票导入!W1111&amp;""</f>
      </c>
      <c r="Y1111">
        <f>[1]发票导入!Y1111&amp;""</f>
      </c>
      <c r="AA1111">
        <f>[1]发票导入!AA1111&amp;""</f>
      </c>
      <c r="AB1111">
        <f>[1]发票导入!AB1111</f>
        <v>0</v>
      </c>
      <c r="AC1111">
        <f>[1]发票导入!AC1111</f>
        <v>0</v>
      </c>
      <c r="AE1111" s="22">
        <f t="shared" si="0"/>
      </c>
      <c r="AI1111">
        <f>[1]发票导入!AI1111&amp;""</f>
      </c>
      <c r="AJ1111">
        <f>[1]发票导入!AJ1111&amp;""</f>
      </c>
      <c r="AK1111">
        <f>[1]发票导入!AK1111</f>
        <v>0</v>
      </c>
      <c r="AL1111">
        <f>[1]发票导入!AL1111</f>
        <v>0</v>
      </c>
      <c r="AM1111">
        <f>[1]发票导入!AM1111</f>
        <v>0</v>
      </c>
      <c r="AN1111" s="22">
        <f t="shared" si="1"/>
        <v>0</v>
      </c>
      <c r="AO1111" s="22">
        <f t="shared" si="2"/>
        <v>0</v>
      </c>
    </row>
    <row r="1112">
      <c r="C1112">
        <f>[1]发票导入!C1112&amp;""</f>
      </c>
      <c r="D1112">
        <f>[1]发票导入!D1112&amp;""</f>
      </c>
      <c r="O1112">
        <f>[1]发票导入!O1112&amp;""</f>
      </c>
      <c r="T1112">
        <f>[1]发票导入!T1112</f>
      </c>
      <c r="U1112">
        <f>[1]发票导入!U1112&amp;""</f>
      </c>
      <c r="V1112">
        <f>[1]发票导入!V1112&amp;""</f>
      </c>
      <c r="W1112">
        <f>[1]发票导入!W1112&amp;""</f>
      </c>
      <c r="Y1112">
        <f>[1]发票导入!Y1112&amp;""</f>
      </c>
      <c r="AA1112">
        <f>[1]发票导入!AA1112&amp;""</f>
      </c>
      <c r="AB1112">
        <f>[1]发票导入!AB1112</f>
        <v>0</v>
      </c>
      <c r="AC1112">
        <f>[1]发票导入!AC1112</f>
        <v>0</v>
      </c>
      <c r="AE1112" s="22">
        <f t="shared" si="0"/>
      </c>
      <c r="AI1112">
        <f>[1]发票导入!AI1112&amp;""</f>
      </c>
      <c r="AJ1112">
        <f>[1]发票导入!AJ1112&amp;""</f>
      </c>
      <c r="AK1112">
        <f>[1]发票导入!AK1112</f>
        <v>0</v>
      </c>
      <c r="AL1112">
        <f>[1]发票导入!AL1112</f>
        <v>0</v>
      </c>
      <c r="AM1112">
        <f>[1]发票导入!AM1112</f>
        <v>0</v>
      </c>
      <c r="AN1112" s="22">
        <f t="shared" si="1"/>
        <v>0</v>
      </c>
      <c r="AO1112" s="22">
        <f t="shared" si="2"/>
        <v>0</v>
      </c>
    </row>
    <row r="1113">
      <c r="C1113">
        <f>[1]发票导入!C1113&amp;""</f>
      </c>
      <c r="D1113">
        <f>[1]发票导入!D1113&amp;""</f>
      </c>
      <c r="O1113">
        <f>[1]发票导入!O1113&amp;""</f>
      </c>
      <c r="T1113">
        <f>[1]发票导入!T1113</f>
      </c>
      <c r="U1113">
        <f>[1]发票导入!U1113&amp;""</f>
      </c>
      <c r="V1113">
        <f>[1]发票导入!V1113&amp;""</f>
      </c>
      <c r="W1113">
        <f>[1]发票导入!W1113&amp;""</f>
      </c>
      <c r="Y1113">
        <f>[1]发票导入!Y1113&amp;""</f>
      </c>
      <c r="AA1113">
        <f>[1]发票导入!AA1113&amp;""</f>
      </c>
      <c r="AB1113">
        <f>[1]发票导入!AB1113</f>
        <v>0</v>
      </c>
      <c r="AC1113">
        <f>[1]发票导入!AC1113</f>
        <v>0</v>
      </c>
      <c r="AE1113" s="22">
        <f t="shared" si="0"/>
      </c>
      <c r="AI1113">
        <f>[1]发票导入!AI1113&amp;""</f>
      </c>
      <c r="AJ1113">
        <f>[1]发票导入!AJ1113&amp;""</f>
      </c>
      <c r="AK1113">
        <f>[1]发票导入!AK1113</f>
        <v>0</v>
      </c>
      <c r="AL1113">
        <f>[1]发票导入!AL1113</f>
        <v>0</v>
      </c>
      <c r="AM1113">
        <f>[1]发票导入!AM1113</f>
        <v>0</v>
      </c>
      <c r="AN1113" s="22">
        <f t="shared" si="1"/>
        <v>0</v>
      </c>
      <c r="AO1113" s="22">
        <f t="shared" si="2"/>
        <v>0</v>
      </c>
    </row>
    <row r="1114">
      <c r="C1114">
        <f>[1]发票导入!C1114&amp;""</f>
      </c>
      <c r="D1114">
        <f>[1]发票导入!D1114&amp;""</f>
      </c>
      <c r="O1114">
        <f>[1]发票导入!O1114&amp;""</f>
      </c>
      <c r="T1114">
        <f>[1]发票导入!T1114</f>
      </c>
      <c r="U1114">
        <f>[1]发票导入!U1114&amp;""</f>
      </c>
      <c r="V1114">
        <f>[1]发票导入!V1114&amp;""</f>
      </c>
      <c r="W1114">
        <f>[1]发票导入!W1114&amp;""</f>
      </c>
      <c r="Y1114">
        <f>[1]发票导入!Y1114&amp;""</f>
      </c>
      <c r="AA1114">
        <f>[1]发票导入!AA1114&amp;""</f>
      </c>
      <c r="AB1114">
        <f>[1]发票导入!AB1114</f>
        <v>0</v>
      </c>
      <c r="AC1114">
        <f>[1]发票导入!AC1114</f>
        <v>0</v>
      </c>
      <c r="AE1114" s="22">
        <f t="shared" si="0"/>
      </c>
      <c r="AI1114">
        <f>[1]发票导入!AI1114&amp;""</f>
      </c>
      <c r="AJ1114">
        <f>[1]发票导入!AJ1114&amp;""</f>
      </c>
      <c r="AK1114">
        <f>[1]发票导入!AK1114</f>
        <v>0</v>
      </c>
      <c r="AL1114">
        <f>[1]发票导入!AL1114</f>
        <v>0</v>
      </c>
      <c r="AM1114">
        <f>[1]发票导入!AM1114</f>
        <v>0</v>
      </c>
      <c r="AN1114" s="22">
        <f t="shared" si="1"/>
        <v>0</v>
      </c>
      <c r="AO1114" s="22">
        <f t="shared" si="2"/>
        <v>0</v>
      </c>
    </row>
    <row r="1115">
      <c r="C1115">
        <f>[1]发票导入!C1115&amp;""</f>
      </c>
      <c r="D1115">
        <f>[1]发票导入!D1115&amp;""</f>
      </c>
      <c r="O1115">
        <f>[1]发票导入!O1115&amp;""</f>
      </c>
      <c r="T1115">
        <f>[1]发票导入!T1115</f>
      </c>
      <c r="U1115">
        <f>[1]发票导入!U1115&amp;""</f>
      </c>
      <c r="V1115">
        <f>[1]发票导入!V1115&amp;""</f>
      </c>
      <c r="W1115">
        <f>[1]发票导入!W1115&amp;""</f>
      </c>
      <c r="Y1115">
        <f>[1]发票导入!Y1115&amp;""</f>
      </c>
      <c r="AA1115">
        <f>[1]发票导入!AA1115&amp;""</f>
      </c>
      <c r="AB1115">
        <f>[1]发票导入!AB1115</f>
        <v>0</v>
      </c>
      <c r="AC1115">
        <f>[1]发票导入!AC1115</f>
        <v>0</v>
      </c>
      <c r="AE1115" s="22">
        <f t="shared" si="0"/>
      </c>
      <c r="AI1115">
        <f>[1]发票导入!AI1115&amp;""</f>
      </c>
      <c r="AJ1115">
        <f>[1]发票导入!AJ1115&amp;""</f>
      </c>
      <c r="AK1115">
        <f>[1]发票导入!AK1115</f>
        <v>0</v>
      </c>
      <c r="AL1115">
        <f>[1]发票导入!AL1115</f>
        <v>0</v>
      </c>
      <c r="AM1115">
        <f>[1]发票导入!AM1115</f>
        <v>0</v>
      </c>
      <c r="AN1115" s="22">
        <f t="shared" si="1"/>
        <v>0</v>
      </c>
      <c r="AO1115" s="22">
        <f t="shared" si="2"/>
        <v>0</v>
      </c>
    </row>
    <row r="1116">
      <c r="C1116">
        <f>[1]发票导入!C1116&amp;""</f>
      </c>
      <c r="D1116">
        <f>[1]发票导入!D1116&amp;""</f>
      </c>
      <c r="O1116">
        <f>[1]发票导入!O1116&amp;""</f>
      </c>
      <c r="T1116">
        <f>[1]发票导入!T1116</f>
      </c>
      <c r="U1116">
        <f>[1]发票导入!U1116&amp;""</f>
      </c>
      <c r="V1116">
        <f>[1]发票导入!V1116&amp;""</f>
      </c>
      <c r="W1116">
        <f>[1]发票导入!W1116&amp;""</f>
      </c>
      <c r="Y1116">
        <f>[1]发票导入!Y1116&amp;""</f>
      </c>
      <c r="AA1116">
        <f>[1]发票导入!AA1116&amp;""</f>
      </c>
      <c r="AB1116">
        <f>[1]发票导入!AB1116</f>
        <v>0</v>
      </c>
      <c r="AC1116">
        <f>[1]发票导入!AC1116</f>
        <v>0</v>
      </c>
      <c r="AE1116" s="22">
        <f t="shared" si="0"/>
      </c>
      <c r="AI1116">
        <f>[1]发票导入!AI1116&amp;""</f>
      </c>
      <c r="AJ1116">
        <f>[1]发票导入!AJ1116&amp;""</f>
      </c>
      <c r="AK1116">
        <f>[1]发票导入!AK1116</f>
        <v>0</v>
      </c>
      <c r="AL1116">
        <f>[1]发票导入!AL1116</f>
        <v>0</v>
      </c>
      <c r="AM1116">
        <f>[1]发票导入!AM1116</f>
        <v>0</v>
      </c>
      <c r="AN1116" s="22">
        <f t="shared" si="1"/>
        <v>0</v>
      </c>
      <c r="AO1116" s="22">
        <f t="shared" si="2"/>
        <v>0</v>
      </c>
    </row>
    <row r="1117">
      <c r="C1117">
        <f>[1]发票导入!C1117&amp;""</f>
      </c>
      <c r="D1117">
        <f>[1]发票导入!D1117&amp;""</f>
      </c>
      <c r="O1117">
        <f>[1]发票导入!O1117&amp;""</f>
      </c>
      <c r="T1117">
        <f>[1]发票导入!T1117</f>
      </c>
      <c r="U1117">
        <f>[1]发票导入!U1117&amp;""</f>
      </c>
      <c r="V1117">
        <f>[1]发票导入!V1117&amp;""</f>
      </c>
      <c r="W1117">
        <f>[1]发票导入!W1117&amp;""</f>
      </c>
      <c r="Y1117">
        <f>[1]发票导入!Y1117&amp;""</f>
      </c>
      <c r="AA1117">
        <f>[1]发票导入!AA1117&amp;""</f>
      </c>
      <c r="AB1117">
        <f>[1]发票导入!AB1117</f>
        <v>0</v>
      </c>
      <c r="AC1117">
        <f>[1]发票导入!AC1117</f>
        <v>0</v>
      </c>
      <c r="AE1117" s="22">
        <f t="shared" si="0"/>
      </c>
      <c r="AI1117">
        <f>[1]发票导入!AI1117&amp;""</f>
      </c>
      <c r="AJ1117">
        <f>[1]发票导入!AJ1117&amp;""</f>
      </c>
      <c r="AK1117">
        <f>[1]发票导入!AK1117</f>
        <v>0</v>
      </c>
      <c r="AL1117">
        <f>[1]发票导入!AL1117</f>
        <v>0</v>
      </c>
      <c r="AM1117">
        <f>[1]发票导入!AM1117</f>
        <v>0</v>
      </c>
      <c r="AN1117" s="22">
        <f t="shared" si="1"/>
        <v>0</v>
      </c>
      <c r="AO1117" s="22">
        <f t="shared" si="2"/>
        <v>0</v>
      </c>
    </row>
    <row r="1118">
      <c r="C1118">
        <f>[1]发票导入!C1118&amp;""</f>
      </c>
      <c r="D1118">
        <f>[1]发票导入!D1118&amp;""</f>
      </c>
      <c r="O1118">
        <f>[1]发票导入!O1118&amp;""</f>
      </c>
      <c r="T1118">
        <f>[1]发票导入!T1118</f>
      </c>
      <c r="U1118">
        <f>[1]发票导入!U1118&amp;""</f>
      </c>
      <c r="V1118">
        <f>[1]发票导入!V1118&amp;""</f>
      </c>
      <c r="W1118">
        <f>[1]发票导入!W1118&amp;""</f>
      </c>
      <c r="Y1118">
        <f>[1]发票导入!Y1118&amp;""</f>
      </c>
      <c r="AA1118">
        <f>[1]发票导入!AA1118&amp;""</f>
      </c>
      <c r="AB1118">
        <f>[1]发票导入!AB1118</f>
        <v>0</v>
      </c>
      <c r="AC1118">
        <f>[1]发票导入!AC1118</f>
        <v>0</v>
      </c>
      <c r="AE1118" s="22">
        <f t="shared" si="0"/>
      </c>
      <c r="AI1118">
        <f>[1]发票导入!AI1118&amp;""</f>
      </c>
      <c r="AJ1118">
        <f>[1]发票导入!AJ1118&amp;""</f>
      </c>
      <c r="AK1118">
        <f>[1]发票导入!AK1118</f>
        <v>0</v>
      </c>
      <c r="AL1118">
        <f>[1]发票导入!AL1118</f>
        <v>0</v>
      </c>
      <c r="AM1118">
        <f>[1]发票导入!AM1118</f>
        <v>0</v>
      </c>
      <c r="AN1118" s="22">
        <f t="shared" si="1"/>
        <v>0</v>
      </c>
      <c r="AO1118" s="22">
        <f t="shared" si="2"/>
        <v>0</v>
      </c>
    </row>
    <row r="1119">
      <c r="C1119">
        <f>[1]发票导入!C1119&amp;""</f>
      </c>
      <c r="D1119">
        <f>[1]发票导入!D1119&amp;""</f>
      </c>
      <c r="O1119">
        <f>[1]发票导入!O1119&amp;""</f>
      </c>
      <c r="T1119">
        <f>[1]发票导入!T1119</f>
      </c>
      <c r="U1119">
        <f>[1]发票导入!U1119&amp;""</f>
      </c>
      <c r="V1119">
        <f>[1]发票导入!V1119&amp;""</f>
      </c>
      <c r="W1119">
        <f>[1]发票导入!W1119&amp;""</f>
      </c>
      <c r="Y1119">
        <f>[1]发票导入!Y1119&amp;""</f>
      </c>
      <c r="AA1119">
        <f>[1]发票导入!AA1119&amp;""</f>
      </c>
      <c r="AB1119">
        <f>[1]发票导入!AB1119</f>
        <v>0</v>
      </c>
      <c r="AC1119">
        <f>[1]发票导入!AC1119</f>
        <v>0</v>
      </c>
      <c r="AE1119" s="22">
        <f t="shared" si="0"/>
      </c>
      <c r="AI1119">
        <f>[1]发票导入!AI1119&amp;""</f>
      </c>
      <c r="AJ1119">
        <f>[1]发票导入!AJ1119&amp;""</f>
      </c>
      <c r="AK1119">
        <f>[1]发票导入!AK1119</f>
        <v>0</v>
      </c>
      <c r="AL1119">
        <f>[1]发票导入!AL1119</f>
        <v>0</v>
      </c>
      <c r="AM1119">
        <f>[1]发票导入!AM1119</f>
        <v>0</v>
      </c>
      <c r="AN1119" s="22">
        <f t="shared" si="1"/>
        <v>0</v>
      </c>
      <c r="AO1119" s="22">
        <f t="shared" si="2"/>
        <v>0</v>
      </c>
    </row>
    <row r="1120">
      <c r="C1120">
        <f>[1]发票导入!C1120&amp;""</f>
      </c>
      <c r="D1120">
        <f>[1]发票导入!D1120&amp;""</f>
      </c>
      <c r="O1120">
        <f>[1]发票导入!O1120&amp;""</f>
      </c>
      <c r="T1120">
        <f>[1]发票导入!T1120</f>
      </c>
      <c r="U1120">
        <f>[1]发票导入!U1120&amp;""</f>
      </c>
      <c r="V1120">
        <f>[1]发票导入!V1120&amp;""</f>
      </c>
      <c r="W1120">
        <f>[1]发票导入!W1120&amp;""</f>
      </c>
      <c r="Y1120">
        <f>[1]发票导入!Y1120&amp;""</f>
      </c>
      <c r="AA1120">
        <f>[1]发票导入!AA1120&amp;""</f>
      </c>
      <c r="AB1120">
        <f>[1]发票导入!AB1120</f>
        <v>0</v>
      </c>
      <c r="AC1120">
        <f>[1]发票导入!AC1120</f>
        <v>0</v>
      </c>
      <c r="AE1120" s="22">
        <f t="shared" si="0"/>
      </c>
      <c r="AI1120">
        <f>[1]发票导入!AI1120&amp;""</f>
      </c>
      <c r="AJ1120">
        <f>[1]发票导入!AJ1120&amp;""</f>
      </c>
      <c r="AK1120">
        <f>[1]发票导入!AK1120</f>
        <v>0</v>
      </c>
      <c r="AL1120">
        <f>[1]发票导入!AL1120</f>
        <v>0</v>
      </c>
      <c r="AM1120">
        <f>[1]发票导入!AM1120</f>
        <v>0</v>
      </c>
      <c r="AN1120" s="22">
        <f t="shared" si="1"/>
        <v>0</v>
      </c>
      <c r="AO1120" s="22">
        <f t="shared" si="2"/>
        <v>0</v>
      </c>
    </row>
    <row r="1121">
      <c r="C1121">
        <f>[1]发票导入!C1121&amp;""</f>
      </c>
      <c r="D1121">
        <f>[1]发票导入!D1121&amp;""</f>
      </c>
      <c r="O1121">
        <f>[1]发票导入!O1121&amp;""</f>
      </c>
      <c r="T1121">
        <f>[1]发票导入!T1121</f>
      </c>
      <c r="U1121">
        <f>[1]发票导入!U1121&amp;""</f>
      </c>
      <c r="V1121">
        <f>[1]发票导入!V1121&amp;""</f>
      </c>
      <c r="W1121">
        <f>[1]发票导入!W1121&amp;""</f>
      </c>
      <c r="Y1121">
        <f>[1]发票导入!Y1121&amp;""</f>
      </c>
      <c r="AA1121">
        <f>[1]发票导入!AA1121&amp;""</f>
      </c>
      <c r="AB1121">
        <f>[1]发票导入!AB1121</f>
        <v>0</v>
      </c>
      <c r="AC1121">
        <f>[1]发票导入!AC1121</f>
        <v>0</v>
      </c>
      <c r="AE1121" s="22">
        <f t="shared" si="0"/>
      </c>
      <c r="AI1121">
        <f>[1]发票导入!AI1121&amp;""</f>
      </c>
      <c r="AJ1121">
        <f>[1]发票导入!AJ1121&amp;""</f>
      </c>
      <c r="AK1121">
        <f>[1]发票导入!AK1121</f>
        <v>0</v>
      </c>
      <c r="AL1121">
        <f>[1]发票导入!AL1121</f>
        <v>0</v>
      </c>
      <c r="AM1121">
        <f>[1]发票导入!AM1121</f>
        <v>0</v>
      </c>
      <c r="AN1121" s="22">
        <f t="shared" si="1"/>
        <v>0</v>
      </c>
      <c r="AO1121" s="22">
        <f t="shared" si="2"/>
        <v>0</v>
      </c>
    </row>
    <row r="1122">
      <c r="C1122">
        <f>[1]发票导入!C1122&amp;""</f>
      </c>
      <c r="D1122">
        <f>[1]发票导入!D1122&amp;""</f>
      </c>
      <c r="O1122">
        <f>[1]发票导入!O1122&amp;""</f>
      </c>
      <c r="T1122">
        <f>[1]发票导入!T1122</f>
      </c>
      <c r="U1122">
        <f>[1]发票导入!U1122&amp;""</f>
      </c>
      <c r="V1122">
        <f>[1]发票导入!V1122&amp;""</f>
      </c>
      <c r="W1122">
        <f>[1]发票导入!W1122&amp;""</f>
      </c>
      <c r="Y1122">
        <f>[1]发票导入!Y1122&amp;""</f>
      </c>
      <c r="AA1122">
        <f>[1]发票导入!AA1122&amp;""</f>
      </c>
      <c r="AB1122">
        <f>[1]发票导入!AB1122</f>
        <v>0</v>
      </c>
      <c r="AC1122">
        <f>[1]发票导入!AC1122</f>
        <v>0</v>
      </c>
      <c r="AE1122" s="22">
        <f t="shared" si="0"/>
      </c>
      <c r="AI1122">
        <f>[1]发票导入!AI1122&amp;""</f>
      </c>
      <c r="AJ1122">
        <f>[1]发票导入!AJ1122&amp;""</f>
      </c>
      <c r="AK1122">
        <f>[1]发票导入!AK1122</f>
        <v>0</v>
      </c>
      <c r="AL1122">
        <f>[1]发票导入!AL1122</f>
        <v>0</v>
      </c>
      <c r="AM1122">
        <f>[1]发票导入!AM1122</f>
        <v>0</v>
      </c>
      <c r="AN1122" s="22">
        <f t="shared" si="1"/>
        <v>0</v>
      </c>
      <c r="AO1122" s="22">
        <f t="shared" si="2"/>
        <v>0</v>
      </c>
    </row>
    <row r="1123">
      <c r="C1123">
        <f>[1]发票导入!C1123&amp;""</f>
      </c>
      <c r="D1123">
        <f>[1]发票导入!D1123&amp;""</f>
      </c>
      <c r="O1123">
        <f>[1]发票导入!O1123&amp;""</f>
      </c>
      <c r="T1123">
        <f>[1]发票导入!T1123</f>
      </c>
      <c r="U1123">
        <f>[1]发票导入!U1123&amp;""</f>
      </c>
      <c r="V1123">
        <f>[1]发票导入!V1123&amp;""</f>
      </c>
      <c r="W1123">
        <f>[1]发票导入!W1123&amp;""</f>
      </c>
      <c r="Y1123">
        <f>[1]发票导入!Y1123&amp;""</f>
      </c>
      <c r="AA1123">
        <f>[1]发票导入!AA1123&amp;""</f>
      </c>
      <c r="AB1123">
        <f>[1]发票导入!AB1123</f>
        <v>0</v>
      </c>
      <c r="AC1123">
        <f>[1]发票导入!AC1123</f>
        <v>0</v>
      </c>
      <c r="AE1123" s="22">
        <f t="shared" si="0"/>
      </c>
      <c r="AI1123">
        <f>[1]发票导入!AI1123&amp;""</f>
      </c>
      <c r="AJ1123">
        <f>[1]发票导入!AJ1123&amp;""</f>
      </c>
      <c r="AK1123">
        <f>[1]发票导入!AK1123</f>
        <v>0</v>
      </c>
      <c r="AL1123">
        <f>[1]发票导入!AL1123</f>
        <v>0</v>
      </c>
      <c r="AM1123">
        <f>[1]发票导入!AM1123</f>
        <v>0</v>
      </c>
      <c r="AN1123" s="22">
        <f t="shared" si="1"/>
        <v>0</v>
      </c>
      <c r="AO1123" s="22">
        <f t="shared" si="2"/>
        <v>0</v>
      </c>
    </row>
    <row r="1124">
      <c r="C1124">
        <f>[1]发票导入!C1124&amp;""</f>
      </c>
      <c r="D1124">
        <f>[1]发票导入!D1124&amp;""</f>
      </c>
      <c r="O1124">
        <f>[1]发票导入!O1124&amp;""</f>
      </c>
      <c r="T1124">
        <f>[1]发票导入!T1124</f>
      </c>
      <c r="U1124">
        <f>[1]发票导入!U1124&amp;""</f>
      </c>
      <c r="V1124">
        <f>[1]发票导入!V1124&amp;""</f>
      </c>
      <c r="W1124">
        <f>[1]发票导入!W1124&amp;""</f>
      </c>
      <c r="Y1124">
        <f>[1]发票导入!Y1124&amp;""</f>
      </c>
      <c r="AA1124">
        <f>[1]发票导入!AA1124&amp;""</f>
      </c>
      <c r="AB1124">
        <f>[1]发票导入!AB1124</f>
        <v>0</v>
      </c>
      <c r="AC1124">
        <f>[1]发票导入!AC1124</f>
        <v>0</v>
      </c>
      <c r="AE1124" s="22">
        <f t="shared" si="0"/>
      </c>
      <c r="AI1124">
        <f>[1]发票导入!AI1124&amp;""</f>
      </c>
      <c r="AJ1124">
        <f>[1]发票导入!AJ1124&amp;""</f>
      </c>
      <c r="AK1124">
        <f>[1]发票导入!AK1124</f>
        <v>0</v>
      </c>
      <c r="AL1124">
        <f>[1]发票导入!AL1124</f>
        <v>0</v>
      </c>
      <c r="AM1124">
        <f>[1]发票导入!AM1124</f>
        <v>0</v>
      </c>
      <c r="AN1124" s="22">
        <f t="shared" si="1"/>
        <v>0</v>
      </c>
      <c r="AO1124" s="22">
        <f t="shared" si="2"/>
        <v>0</v>
      </c>
    </row>
    <row r="1125">
      <c r="C1125">
        <f>[1]发票导入!C1125&amp;""</f>
      </c>
      <c r="D1125">
        <f>[1]发票导入!D1125&amp;""</f>
      </c>
      <c r="O1125">
        <f>[1]发票导入!O1125&amp;""</f>
      </c>
      <c r="T1125">
        <f>[1]发票导入!T1125</f>
      </c>
      <c r="U1125">
        <f>[1]发票导入!U1125&amp;""</f>
      </c>
      <c r="V1125">
        <f>[1]发票导入!V1125&amp;""</f>
      </c>
      <c r="W1125">
        <f>[1]发票导入!W1125&amp;""</f>
      </c>
      <c r="Y1125">
        <f>[1]发票导入!Y1125&amp;""</f>
      </c>
      <c r="AA1125">
        <f>[1]发票导入!AA1125&amp;""</f>
      </c>
      <c r="AB1125">
        <f>[1]发票导入!AB1125</f>
        <v>0</v>
      </c>
      <c r="AC1125">
        <f>[1]发票导入!AC1125</f>
        <v>0</v>
      </c>
      <c r="AE1125" s="22">
        <f t="shared" si="0"/>
      </c>
      <c r="AI1125">
        <f>[1]发票导入!AI1125&amp;""</f>
      </c>
      <c r="AJ1125">
        <f>[1]发票导入!AJ1125&amp;""</f>
      </c>
      <c r="AK1125">
        <f>[1]发票导入!AK1125</f>
        <v>0</v>
      </c>
      <c r="AL1125">
        <f>[1]发票导入!AL1125</f>
        <v>0</v>
      </c>
      <c r="AM1125">
        <f>[1]发票导入!AM1125</f>
        <v>0</v>
      </c>
      <c r="AN1125" s="22">
        <f t="shared" si="1"/>
        <v>0</v>
      </c>
      <c r="AO1125" s="22">
        <f t="shared" si="2"/>
        <v>0</v>
      </c>
    </row>
    <row r="1126">
      <c r="C1126">
        <f>[1]发票导入!C1126&amp;""</f>
      </c>
      <c r="D1126">
        <f>[1]发票导入!D1126&amp;""</f>
      </c>
      <c r="O1126">
        <f>[1]发票导入!O1126&amp;""</f>
      </c>
      <c r="T1126">
        <f>[1]发票导入!T1126</f>
      </c>
      <c r="U1126">
        <f>[1]发票导入!U1126&amp;""</f>
      </c>
      <c r="V1126">
        <f>[1]发票导入!V1126&amp;""</f>
      </c>
      <c r="W1126">
        <f>[1]发票导入!W1126&amp;""</f>
      </c>
      <c r="Y1126">
        <f>[1]发票导入!Y1126&amp;""</f>
      </c>
      <c r="AA1126">
        <f>[1]发票导入!AA1126&amp;""</f>
      </c>
      <c r="AB1126">
        <f>[1]发票导入!AB1126</f>
        <v>0</v>
      </c>
      <c r="AC1126">
        <f>[1]发票导入!AC1126</f>
        <v>0</v>
      </c>
      <c r="AE1126" s="22">
        <f t="shared" si="0"/>
      </c>
      <c r="AI1126">
        <f>[1]发票导入!AI1126&amp;""</f>
      </c>
      <c r="AJ1126">
        <f>[1]发票导入!AJ1126&amp;""</f>
      </c>
      <c r="AK1126">
        <f>[1]发票导入!AK1126</f>
        <v>0</v>
      </c>
      <c r="AL1126">
        <f>[1]发票导入!AL1126</f>
        <v>0</v>
      </c>
      <c r="AM1126">
        <f>[1]发票导入!AM1126</f>
        <v>0</v>
      </c>
      <c r="AN1126" s="22">
        <f t="shared" si="1"/>
        <v>0</v>
      </c>
      <c r="AO1126" s="22">
        <f t="shared" si="2"/>
        <v>0</v>
      </c>
    </row>
    <row r="1127">
      <c r="C1127">
        <f>[1]发票导入!C1127&amp;""</f>
      </c>
      <c r="D1127">
        <f>[1]发票导入!D1127&amp;""</f>
      </c>
      <c r="O1127">
        <f>[1]发票导入!O1127&amp;""</f>
      </c>
      <c r="T1127">
        <f>[1]发票导入!T1127</f>
      </c>
      <c r="U1127">
        <f>[1]发票导入!U1127&amp;""</f>
      </c>
      <c r="V1127">
        <f>[1]发票导入!V1127&amp;""</f>
      </c>
      <c r="W1127">
        <f>[1]发票导入!W1127&amp;""</f>
      </c>
      <c r="Y1127">
        <f>[1]发票导入!Y1127&amp;""</f>
      </c>
      <c r="AA1127">
        <f>[1]发票导入!AA1127&amp;""</f>
      </c>
      <c r="AB1127">
        <f>[1]发票导入!AB1127</f>
        <v>0</v>
      </c>
      <c r="AC1127">
        <f>[1]发票导入!AC1127</f>
        <v>0</v>
      </c>
      <c r="AE1127" s="22">
        <f t="shared" si="0"/>
      </c>
      <c r="AI1127">
        <f>[1]发票导入!AI1127&amp;""</f>
      </c>
      <c r="AJ1127">
        <f>[1]发票导入!AJ1127&amp;""</f>
      </c>
      <c r="AK1127">
        <f>[1]发票导入!AK1127</f>
        <v>0</v>
      </c>
      <c r="AL1127">
        <f>[1]发票导入!AL1127</f>
        <v>0</v>
      </c>
      <c r="AM1127">
        <f>[1]发票导入!AM1127</f>
        <v>0</v>
      </c>
      <c r="AN1127" s="22">
        <f t="shared" si="1"/>
        <v>0</v>
      </c>
      <c r="AO1127" s="22">
        <f t="shared" si="2"/>
        <v>0</v>
      </c>
    </row>
    <row r="1128">
      <c r="C1128">
        <f>[1]发票导入!C1128&amp;""</f>
      </c>
      <c r="D1128">
        <f>[1]发票导入!D1128&amp;""</f>
      </c>
      <c r="O1128">
        <f>[1]发票导入!O1128&amp;""</f>
      </c>
      <c r="T1128">
        <f>[1]发票导入!T1128</f>
      </c>
      <c r="U1128">
        <f>[1]发票导入!U1128&amp;""</f>
      </c>
      <c r="V1128">
        <f>[1]发票导入!V1128&amp;""</f>
      </c>
      <c r="W1128">
        <f>[1]发票导入!W1128&amp;""</f>
      </c>
      <c r="Y1128">
        <f>[1]发票导入!Y1128&amp;""</f>
      </c>
      <c r="AA1128">
        <f>[1]发票导入!AA1128&amp;""</f>
      </c>
      <c r="AB1128">
        <f>[1]发票导入!AB1128</f>
        <v>0</v>
      </c>
      <c r="AC1128">
        <f>[1]发票导入!AC1128</f>
        <v>0</v>
      </c>
      <c r="AE1128" s="22">
        <f t="shared" si="0"/>
      </c>
      <c r="AI1128">
        <f>[1]发票导入!AI1128&amp;""</f>
      </c>
      <c r="AJ1128">
        <f>[1]发票导入!AJ1128&amp;""</f>
      </c>
      <c r="AK1128">
        <f>[1]发票导入!AK1128</f>
        <v>0</v>
      </c>
      <c r="AL1128">
        <f>[1]发票导入!AL1128</f>
        <v>0</v>
      </c>
      <c r="AM1128">
        <f>[1]发票导入!AM1128</f>
        <v>0</v>
      </c>
      <c r="AN1128" s="22">
        <f t="shared" si="1"/>
        <v>0</v>
      </c>
      <c r="AO1128" s="22">
        <f t="shared" si="2"/>
        <v>0</v>
      </c>
    </row>
    <row r="1129">
      <c r="C1129">
        <f>[1]发票导入!C1129&amp;""</f>
      </c>
      <c r="D1129">
        <f>[1]发票导入!D1129&amp;""</f>
      </c>
      <c r="O1129">
        <f>[1]发票导入!O1129&amp;""</f>
      </c>
      <c r="T1129">
        <f>[1]发票导入!T1129</f>
      </c>
      <c r="U1129">
        <f>[1]发票导入!U1129&amp;""</f>
      </c>
      <c r="V1129">
        <f>[1]发票导入!V1129&amp;""</f>
      </c>
      <c r="W1129">
        <f>[1]发票导入!W1129&amp;""</f>
      </c>
      <c r="Y1129">
        <f>[1]发票导入!Y1129&amp;""</f>
      </c>
      <c r="AA1129">
        <f>[1]发票导入!AA1129&amp;""</f>
      </c>
      <c r="AB1129">
        <f>[1]发票导入!AB1129</f>
        <v>0</v>
      </c>
      <c r="AC1129">
        <f>[1]发票导入!AC1129</f>
        <v>0</v>
      </c>
      <c r="AE1129" s="22">
        <f t="shared" si="0"/>
      </c>
      <c r="AI1129">
        <f>[1]发票导入!AI1129&amp;""</f>
      </c>
      <c r="AJ1129">
        <f>[1]发票导入!AJ1129&amp;""</f>
      </c>
      <c r="AK1129">
        <f>[1]发票导入!AK1129</f>
        <v>0</v>
      </c>
      <c r="AL1129">
        <f>[1]发票导入!AL1129</f>
        <v>0</v>
      </c>
      <c r="AM1129">
        <f>[1]发票导入!AM1129</f>
        <v>0</v>
      </c>
      <c r="AN1129" s="22">
        <f t="shared" si="1"/>
        <v>0</v>
      </c>
      <c r="AO1129" s="22">
        <f t="shared" si="2"/>
        <v>0</v>
      </c>
    </row>
    <row r="1130">
      <c r="C1130">
        <f>[1]发票导入!C1130&amp;""</f>
      </c>
      <c r="D1130">
        <f>[1]发票导入!D1130&amp;""</f>
      </c>
      <c r="O1130">
        <f>[1]发票导入!O1130&amp;""</f>
      </c>
      <c r="T1130">
        <f>[1]发票导入!T1130</f>
      </c>
      <c r="U1130">
        <f>[1]发票导入!U1130&amp;""</f>
      </c>
      <c r="V1130">
        <f>[1]发票导入!V1130&amp;""</f>
      </c>
      <c r="W1130">
        <f>[1]发票导入!W1130&amp;""</f>
      </c>
      <c r="Y1130">
        <f>[1]发票导入!Y1130&amp;""</f>
      </c>
      <c r="AA1130">
        <f>[1]发票导入!AA1130&amp;""</f>
      </c>
      <c r="AB1130">
        <f>[1]发票导入!AB1130</f>
        <v>0</v>
      </c>
      <c r="AC1130">
        <f>[1]发票导入!AC1130</f>
        <v>0</v>
      </c>
      <c r="AE1130" s="22">
        <f t="shared" si="0"/>
      </c>
      <c r="AI1130">
        <f>[1]发票导入!AI1130&amp;""</f>
      </c>
      <c r="AJ1130">
        <f>[1]发票导入!AJ1130&amp;""</f>
      </c>
      <c r="AK1130">
        <f>[1]发票导入!AK1130</f>
        <v>0</v>
      </c>
      <c r="AL1130">
        <f>[1]发票导入!AL1130</f>
        <v>0</v>
      </c>
      <c r="AM1130">
        <f>[1]发票导入!AM1130</f>
        <v>0</v>
      </c>
      <c r="AN1130" s="22">
        <f t="shared" si="1"/>
        <v>0</v>
      </c>
      <c r="AO1130" s="22">
        <f t="shared" si="2"/>
        <v>0</v>
      </c>
    </row>
    <row r="1131">
      <c r="C1131">
        <f>[1]发票导入!C1131&amp;""</f>
      </c>
      <c r="D1131">
        <f>[1]发票导入!D1131&amp;""</f>
      </c>
      <c r="O1131">
        <f>[1]发票导入!O1131&amp;""</f>
      </c>
      <c r="T1131">
        <f>[1]发票导入!T1131</f>
      </c>
      <c r="U1131">
        <f>[1]发票导入!U1131&amp;""</f>
      </c>
      <c r="V1131">
        <f>[1]发票导入!V1131&amp;""</f>
      </c>
      <c r="W1131">
        <f>[1]发票导入!W1131&amp;""</f>
      </c>
      <c r="Y1131">
        <f>[1]发票导入!Y1131&amp;""</f>
      </c>
      <c r="AA1131">
        <f>[1]发票导入!AA1131&amp;""</f>
      </c>
      <c r="AB1131">
        <f>[1]发票导入!AB1131</f>
        <v>0</v>
      </c>
      <c r="AC1131">
        <f>[1]发票导入!AC1131</f>
        <v>0</v>
      </c>
      <c r="AE1131" s="22">
        <f t="shared" si="0"/>
      </c>
      <c r="AI1131">
        <f>[1]发票导入!AI1131&amp;""</f>
      </c>
      <c r="AJ1131">
        <f>[1]发票导入!AJ1131&amp;""</f>
      </c>
      <c r="AK1131">
        <f>[1]发票导入!AK1131</f>
        <v>0</v>
      </c>
      <c r="AL1131">
        <f>[1]发票导入!AL1131</f>
        <v>0</v>
      </c>
      <c r="AM1131">
        <f>[1]发票导入!AM1131</f>
        <v>0</v>
      </c>
      <c r="AN1131" s="22">
        <f t="shared" si="1"/>
        <v>0</v>
      </c>
      <c r="AO1131" s="22">
        <f t="shared" si="2"/>
        <v>0</v>
      </c>
    </row>
    <row r="1132">
      <c r="C1132">
        <f>[1]发票导入!C1132&amp;""</f>
      </c>
      <c r="D1132">
        <f>[1]发票导入!D1132&amp;""</f>
      </c>
      <c r="O1132">
        <f>[1]发票导入!O1132&amp;""</f>
      </c>
      <c r="T1132">
        <f>[1]发票导入!T1132</f>
      </c>
      <c r="U1132">
        <f>[1]发票导入!U1132&amp;""</f>
      </c>
      <c r="V1132">
        <f>[1]发票导入!V1132&amp;""</f>
      </c>
      <c r="W1132">
        <f>[1]发票导入!W1132&amp;""</f>
      </c>
      <c r="Y1132">
        <f>[1]发票导入!Y1132&amp;""</f>
      </c>
      <c r="AA1132">
        <f>[1]发票导入!AA1132&amp;""</f>
      </c>
      <c r="AB1132">
        <f>[1]发票导入!AB1132</f>
        <v>0</v>
      </c>
      <c r="AC1132">
        <f>[1]发票导入!AC1132</f>
        <v>0</v>
      </c>
      <c r="AE1132" s="22">
        <f t="shared" si="0"/>
      </c>
      <c r="AI1132">
        <f>[1]发票导入!AI1132&amp;""</f>
      </c>
      <c r="AJ1132">
        <f>[1]发票导入!AJ1132&amp;""</f>
      </c>
      <c r="AK1132">
        <f>[1]发票导入!AK1132</f>
        <v>0</v>
      </c>
      <c r="AL1132">
        <f>[1]发票导入!AL1132</f>
        <v>0</v>
      </c>
      <c r="AM1132">
        <f>[1]发票导入!AM1132</f>
        <v>0</v>
      </c>
      <c r="AN1132" s="22">
        <f t="shared" si="1"/>
        <v>0</v>
      </c>
      <c r="AO1132" s="22">
        <f t="shared" si="2"/>
        <v>0</v>
      </c>
    </row>
    <row r="1133">
      <c r="C1133">
        <f>[1]发票导入!C1133&amp;""</f>
      </c>
      <c r="D1133">
        <f>[1]发票导入!D1133&amp;""</f>
      </c>
      <c r="O1133">
        <f>[1]发票导入!O1133&amp;""</f>
      </c>
      <c r="T1133">
        <f>[1]发票导入!T1133</f>
      </c>
      <c r="U1133">
        <f>[1]发票导入!U1133&amp;""</f>
      </c>
      <c r="V1133">
        <f>[1]发票导入!V1133&amp;""</f>
      </c>
      <c r="W1133">
        <f>[1]发票导入!W1133&amp;""</f>
      </c>
      <c r="Y1133">
        <f>[1]发票导入!Y1133&amp;""</f>
      </c>
      <c r="AA1133">
        <f>[1]发票导入!AA1133&amp;""</f>
      </c>
      <c r="AB1133">
        <f>[1]发票导入!AB1133</f>
        <v>0</v>
      </c>
      <c r="AC1133">
        <f>[1]发票导入!AC1133</f>
        <v>0</v>
      </c>
      <c r="AE1133" s="22">
        <f t="shared" si="0"/>
      </c>
      <c r="AI1133">
        <f>[1]发票导入!AI1133&amp;""</f>
      </c>
      <c r="AJ1133">
        <f>[1]发票导入!AJ1133&amp;""</f>
      </c>
      <c r="AK1133">
        <f>[1]发票导入!AK1133</f>
        <v>0</v>
      </c>
      <c r="AL1133">
        <f>[1]发票导入!AL1133</f>
        <v>0</v>
      </c>
      <c r="AM1133">
        <f>[1]发票导入!AM1133</f>
        <v>0</v>
      </c>
      <c r="AN1133" s="22">
        <f t="shared" si="1"/>
        <v>0</v>
      </c>
      <c r="AO1133" s="22">
        <f t="shared" si="2"/>
        <v>0</v>
      </c>
    </row>
    <row r="1134">
      <c r="C1134">
        <f>[1]发票导入!C1134&amp;""</f>
      </c>
      <c r="D1134">
        <f>[1]发票导入!D1134&amp;""</f>
      </c>
      <c r="O1134">
        <f>[1]发票导入!O1134&amp;""</f>
      </c>
      <c r="T1134">
        <f>[1]发票导入!T1134</f>
      </c>
      <c r="U1134">
        <f>[1]发票导入!U1134&amp;""</f>
      </c>
      <c r="V1134">
        <f>[1]发票导入!V1134&amp;""</f>
      </c>
      <c r="W1134">
        <f>[1]发票导入!W1134&amp;""</f>
      </c>
      <c r="Y1134">
        <f>[1]发票导入!Y1134&amp;""</f>
      </c>
      <c r="AA1134">
        <f>[1]发票导入!AA1134&amp;""</f>
      </c>
      <c r="AB1134">
        <f>[1]发票导入!AB1134</f>
        <v>0</v>
      </c>
      <c r="AC1134">
        <f>[1]发票导入!AC1134</f>
        <v>0</v>
      </c>
      <c r="AE1134" s="22">
        <f t="shared" si="0"/>
      </c>
      <c r="AI1134">
        <f>[1]发票导入!AI1134&amp;""</f>
      </c>
      <c r="AJ1134">
        <f>[1]发票导入!AJ1134&amp;""</f>
      </c>
      <c r="AK1134">
        <f>[1]发票导入!AK1134</f>
        <v>0</v>
      </c>
      <c r="AL1134">
        <f>[1]发票导入!AL1134</f>
        <v>0</v>
      </c>
      <c r="AM1134">
        <f>[1]发票导入!AM1134</f>
        <v>0</v>
      </c>
      <c r="AN1134" s="22">
        <f t="shared" si="1"/>
        <v>0</v>
      </c>
      <c r="AO1134" s="22">
        <f t="shared" si="2"/>
        <v>0</v>
      </c>
    </row>
    <row r="1135">
      <c r="C1135">
        <f>[1]发票导入!C1135&amp;""</f>
      </c>
      <c r="D1135">
        <f>[1]发票导入!D1135&amp;""</f>
      </c>
      <c r="O1135">
        <f>[1]发票导入!O1135&amp;""</f>
      </c>
      <c r="T1135">
        <f>[1]发票导入!T1135</f>
      </c>
      <c r="U1135">
        <f>[1]发票导入!U1135&amp;""</f>
      </c>
      <c r="V1135">
        <f>[1]发票导入!V1135&amp;""</f>
      </c>
      <c r="W1135">
        <f>[1]发票导入!W1135&amp;""</f>
      </c>
      <c r="Y1135">
        <f>[1]发票导入!Y1135&amp;""</f>
      </c>
      <c r="AA1135">
        <f>[1]发票导入!AA1135&amp;""</f>
      </c>
      <c r="AB1135">
        <f>[1]发票导入!AB1135</f>
        <v>0</v>
      </c>
      <c r="AC1135">
        <f>[1]发票导入!AC1135</f>
        <v>0</v>
      </c>
      <c r="AE1135" s="22">
        <f t="shared" si="0"/>
      </c>
      <c r="AI1135">
        <f>[1]发票导入!AI1135&amp;""</f>
      </c>
      <c r="AJ1135">
        <f>[1]发票导入!AJ1135&amp;""</f>
      </c>
      <c r="AK1135">
        <f>[1]发票导入!AK1135</f>
        <v>0</v>
      </c>
      <c r="AL1135">
        <f>[1]发票导入!AL1135</f>
        <v>0</v>
      </c>
      <c r="AM1135">
        <f>[1]发票导入!AM1135</f>
        <v>0</v>
      </c>
      <c r="AN1135" s="22">
        <f t="shared" si="1"/>
        <v>0</v>
      </c>
      <c r="AO1135" s="22">
        <f t="shared" si="2"/>
        <v>0</v>
      </c>
    </row>
    <row r="1136">
      <c r="C1136">
        <f>[1]发票导入!C1136&amp;""</f>
      </c>
      <c r="D1136">
        <f>[1]发票导入!D1136&amp;""</f>
      </c>
      <c r="O1136">
        <f>[1]发票导入!O1136&amp;""</f>
      </c>
      <c r="T1136">
        <f>[1]发票导入!T1136</f>
      </c>
      <c r="U1136">
        <f>[1]发票导入!U1136&amp;""</f>
      </c>
      <c r="V1136">
        <f>[1]发票导入!V1136&amp;""</f>
      </c>
      <c r="W1136">
        <f>[1]发票导入!W1136&amp;""</f>
      </c>
      <c r="Y1136">
        <f>[1]发票导入!Y1136&amp;""</f>
      </c>
      <c r="AA1136">
        <f>[1]发票导入!AA1136&amp;""</f>
      </c>
      <c r="AB1136">
        <f>[1]发票导入!AB1136</f>
        <v>0</v>
      </c>
      <c r="AC1136">
        <f>[1]发票导入!AC1136</f>
        <v>0</v>
      </c>
      <c r="AE1136" s="22">
        <f t="shared" si="0"/>
      </c>
      <c r="AI1136">
        <f>[1]发票导入!AI1136&amp;""</f>
      </c>
      <c r="AJ1136">
        <f>[1]发票导入!AJ1136&amp;""</f>
      </c>
      <c r="AK1136">
        <f>[1]发票导入!AK1136</f>
        <v>0</v>
      </c>
      <c r="AL1136">
        <f>[1]发票导入!AL1136</f>
        <v>0</v>
      </c>
      <c r="AM1136">
        <f>[1]发票导入!AM1136</f>
        <v>0</v>
      </c>
      <c r="AN1136" s="22">
        <f t="shared" si="1"/>
        <v>0</v>
      </c>
      <c r="AO1136" s="22">
        <f t="shared" si="2"/>
        <v>0</v>
      </c>
    </row>
    <row r="1137">
      <c r="C1137">
        <f>[1]发票导入!C1137&amp;""</f>
      </c>
      <c r="D1137">
        <f>[1]发票导入!D1137&amp;""</f>
      </c>
      <c r="O1137">
        <f>[1]发票导入!O1137&amp;""</f>
      </c>
      <c r="T1137">
        <f>[1]发票导入!T1137</f>
      </c>
      <c r="U1137">
        <f>[1]发票导入!U1137&amp;""</f>
      </c>
      <c r="V1137">
        <f>[1]发票导入!V1137&amp;""</f>
      </c>
      <c r="W1137">
        <f>[1]发票导入!W1137&amp;""</f>
      </c>
      <c r="Y1137">
        <f>[1]发票导入!Y1137&amp;""</f>
      </c>
      <c r="AA1137">
        <f>[1]发票导入!AA1137&amp;""</f>
      </c>
      <c r="AB1137">
        <f>[1]发票导入!AB1137</f>
        <v>0</v>
      </c>
      <c r="AC1137">
        <f>[1]发票导入!AC1137</f>
        <v>0</v>
      </c>
      <c r="AE1137" s="22">
        <f t="shared" si="0"/>
      </c>
      <c r="AI1137">
        <f>[1]发票导入!AI1137&amp;""</f>
      </c>
      <c r="AJ1137">
        <f>[1]发票导入!AJ1137&amp;""</f>
      </c>
      <c r="AK1137">
        <f>[1]发票导入!AK1137</f>
        <v>0</v>
      </c>
      <c r="AL1137">
        <f>[1]发票导入!AL1137</f>
        <v>0</v>
      </c>
      <c r="AM1137">
        <f>[1]发票导入!AM1137</f>
        <v>0</v>
      </c>
      <c r="AN1137" s="22">
        <f t="shared" si="1"/>
        <v>0</v>
      </c>
      <c r="AO1137" s="22">
        <f t="shared" si="2"/>
        <v>0</v>
      </c>
    </row>
    <row r="1138">
      <c r="C1138">
        <f>[1]发票导入!C1138&amp;""</f>
      </c>
      <c r="D1138">
        <f>[1]发票导入!D1138&amp;""</f>
      </c>
      <c r="O1138">
        <f>[1]发票导入!O1138&amp;""</f>
      </c>
      <c r="T1138">
        <f>[1]发票导入!T1138</f>
      </c>
      <c r="U1138">
        <f>[1]发票导入!U1138&amp;""</f>
      </c>
      <c r="V1138">
        <f>[1]发票导入!V1138&amp;""</f>
      </c>
      <c r="W1138">
        <f>[1]发票导入!W1138&amp;""</f>
      </c>
      <c r="Y1138">
        <f>[1]发票导入!Y1138&amp;""</f>
      </c>
      <c r="AA1138">
        <f>[1]发票导入!AA1138&amp;""</f>
      </c>
      <c r="AB1138">
        <f>[1]发票导入!AB1138</f>
        <v>0</v>
      </c>
      <c r="AC1138">
        <f>[1]发票导入!AC1138</f>
        <v>0</v>
      </c>
      <c r="AE1138" s="22">
        <f t="shared" si="0"/>
      </c>
      <c r="AI1138">
        <f>[1]发票导入!AI1138&amp;""</f>
      </c>
      <c r="AJ1138">
        <f>[1]发票导入!AJ1138&amp;""</f>
      </c>
      <c r="AK1138">
        <f>[1]发票导入!AK1138</f>
        <v>0</v>
      </c>
      <c r="AL1138">
        <f>[1]发票导入!AL1138</f>
        <v>0</v>
      </c>
      <c r="AM1138">
        <f>[1]发票导入!AM1138</f>
        <v>0</v>
      </c>
      <c r="AN1138" s="22">
        <f t="shared" si="1"/>
        <v>0</v>
      </c>
      <c r="AO1138" s="22">
        <f t="shared" si="2"/>
        <v>0</v>
      </c>
    </row>
    <row r="1139">
      <c r="C1139">
        <f>[1]发票导入!C1139&amp;""</f>
      </c>
      <c r="D1139">
        <f>[1]发票导入!D1139&amp;""</f>
      </c>
      <c r="O1139">
        <f>[1]发票导入!O1139&amp;""</f>
      </c>
      <c r="T1139">
        <f>[1]发票导入!T1139</f>
      </c>
      <c r="U1139">
        <f>[1]发票导入!U1139&amp;""</f>
      </c>
      <c r="V1139">
        <f>[1]发票导入!V1139&amp;""</f>
      </c>
      <c r="W1139">
        <f>[1]发票导入!W1139&amp;""</f>
      </c>
      <c r="Y1139">
        <f>[1]发票导入!Y1139&amp;""</f>
      </c>
      <c r="AA1139">
        <f>[1]发票导入!AA1139&amp;""</f>
      </c>
      <c r="AB1139">
        <f>[1]发票导入!AB1139</f>
        <v>0</v>
      </c>
      <c r="AC1139">
        <f>[1]发票导入!AC1139</f>
        <v>0</v>
      </c>
      <c r="AE1139" s="22">
        <f t="shared" si="0"/>
      </c>
      <c r="AI1139">
        <f>[1]发票导入!AI1139&amp;""</f>
      </c>
      <c r="AJ1139">
        <f>[1]发票导入!AJ1139&amp;""</f>
      </c>
      <c r="AK1139">
        <f>[1]发票导入!AK1139</f>
        <v>0</v>
      </c>
      <c r="AL1139">
        <f>[1]发票导入!AL1139</f>
        <v>0</v>
      </c>
      <c r="AM1139">
        <f>[1]发票导入!AM1139</f>
        <v>0</v>
      </c>
      <c r="AN1139" s="22">
        <f t="shared" si="1"/>
        <v>0</v>
      </c>
      <c r="AO1139" s="22">
        <f t="shared" si="2"/>
        <v>0</v>
      </c>
    </row>
    <row r="1140">
      <c r="C1140">
        <f>[1]发票导入!C1140&amp;""</f>
      </c>
      <c r="D1140">
        <f>[1]发票导入!D1140&amp;""</f>
      </c>
      <c r="O1140">
        <f>[1]发票导入!O1140&amp;""</f>
      </c>
      <c r="T1140">
        <f>[1]发票导入!T1140</f>
      </c>
      <c r="U1140">
        <f>[1]发票导入!U1140&amp;""</f>
      </c>
      <c r="V1140">
        <f>[1]发票导入!V1140&amp;""</f>
      </c>
      <c r="W1140">
        <f>[1]发票导入!W1140&amp;""</f>
      </c>
      <c r="Y1140">
        <f>[1]发票导入!Y1140&amp;""</f>
      </c>
      <c r="AA1140">
        <f>[1]发票导入!AA1140&amp;""</f>
      </c>
      <c r="AB1140">
        <f>[1]发票导入!AB1140</f>
        <v>0</v>
      </c>
      <c r="AC1140">
        <f>[1]发票导入!AC1140</f>
        <v>0</v>
      </c>
      <c r="AE1140" s="22">
        <f t="shared" si="0"/>
      </c>
      <c r="AI1140">
        <f>[1]发票导入!AI1140&amp;""</f>
      </c>
      <c r="AJ1140">
        <f>[1]发票导入!AJ1140&amp;""</f>
      </c>
      <c r="AK1140">
        <f>[1]发票导入!AK1140</f>
        <v>0</v>
      </c>
      <c r="AL1140">
        <f>[1]发票导入!AL1140</f>
        <v>0</v>
      </c>
      <c r="AM1140">
        <f>[1]发票导入!AM1140</f>
        <v>0</v>
      </c>
      <c r="AN1140" s="22">
        <f t="shared" si="1"/>
        <v>0</v>
      </c>
      <c r="AO1140" s="22">
        <f t="shared" si="2"/>
        <v>0</v>
      </c>
    </row>
    <row r="1141">
      <c r="C1141">
        <f>[1]发票导入!C1141&amp;""</f>
      </c>
      <c r="D1141">
        <f>[1]发票导入!D1141&amp;""</f>
      </c>
      <c r="O1141">
        <f>[1]发票导入!O1141&amp;""</f>
      </c>
      <c r="T1141">
        <f>[1]发票导入!T1141</f>
      </c>
      <c r="U1141">
        <f>[1]发票导入!U1141&amp;""</f>
      </c>
      <c r="V1141">
        <f>[1]发票导入!V1141&amp;""</f>
      </c>
      <c r="W1141">
        <f>[1]发票导入!W1141&amp;""</f>
      </c>
      <c r="Y1141">
        <f>[1]发票导入!Y1141&amp;""</f>
      </c>
      <c r="AA1141">
        <f>[1]发票导入!AA1141&amp;""</f>
      </c>
      <c r="AB1141">
        <f>[1]发票导入!AB1141</f>
        <v>0</v>
      </c>
      <c r="AC1141">
        <f>[1]发票导入!AC1141</f>
        <v>0</v>
      </c>
      <c r="AE1141" s="22">
        <f t="shared" si="0"/>
      </c>
      <c r="AI1141">
        <f>[1]发票导入!AI1141&amp;""</f>
      </c>
      <c r="AJ1141">
        <f>[1]发票导入!AJ1141&amp;""</f>
      </c>
      <c r="AK1141">
        <f>[1]发票导入!AK1141</f>
        <v>0</v>
      </c>
      <c r="AL1141">
        <f>[1]发票导入!AL1141</f>
        <v>0</v>
      </c>
      <c r="AM1141">
        <f>[1]发票导入!AM1141</f>
        <v>0</v>
      </c>
      <c r="AN1141" s="22">
        <f t="shared" si="1"/>
        <v>0</v>
      </c>
      <c r="AO1141" s="22">
        <f t="shared" si="2"/>
        <v>0</v>
      </c>
    </row>
    <row r="1142">
      <c r="C1142">
        <f>[1]发票导入!C1142&amp;""</f>
      </c>
      <c r="D1142">
        <f>[1]发票导入!D1142&amp;""</f>
      </c>
      <c r="O1142">
        <f>[1]发票导入!O1142&amp;""</f>
      </c>
      <c r="T1142">
        <f>[1]发票导入!T1142</f>
      </c>
      <c r="U1142">
        <f>[1]发票导入!U1142&amp;""</f>
      </c>
      <c r="V1142">
        <f>[1]发票导入!V1142&amp;""</f>
      </c>
      <c r="W1142">
        <f>[1]发票导入!W1142&amp;""</f>
      </c>
      <c r="Y1142">
        <f>[1]发票导入!Y1142&amp;""</f>
      </c>
      <c r="AA1142">
        <f>[1]发票导入!AA1142&amp;""</f>
      </c>
      <c r="AB1142">
        <f>[1]发票导入!AB1142</f>
        <v>0</v>
      </c>
      <c r="AC1142">
        <f>[1]发票导入!AC1142</f>
        <v>0</v>
      </c>
      <c r="AE1142" s="22">
        <f t="shared" si="0"/>
      </c>
      <c r="AI1142">
        <f>[1]发票导入!AI1142&amp;""</f>
      </c>
      <c r="AJ1142">
        <f>[1]发票导入!AJ1142&amp;""</f>
      </c>
      <c r="AK1142">
        <f>[1]发票导入!AK1142</f>
        <v>0</v>
      </c>
      <c r="AL1142">
        <f>[1]发票导入!AL1142</f>
        <v>0</v>
      </c>
      <c r="AM1142">
        <f>[1]发票导入!AM1142</f>
        <v>0</v>
      </c>
      <c r="AN1142" s="22">
        <f t="shared" si="1"/>
        <v>0</v>
      </c>
      <c r="AO1142" s="22">
        <f t="shared" si="2"/>
        <v>0</v>
      </c>
    </row>
    <row r="1143">
      <c r="C1143">
        <f>[1]发票导入!C1143&amp;""</f>
      </c>
      <c r="D1143">
        <f>[1]发票导入!D1143&amp;""</f>
      </c>
      <c r="O1143">
        <f>[1]发票导入!O1143&amp;""</f>
      </c>
      <c r="T1143">
        <f>[1]发票导入!T1143</f>
      </c>
      <c r="U1143">
        <f>[1]发票导入!U1143&amp;""</f>
      </c>
      <c r="V1143">
        <f>[1]发票导入!V1143&amp;""</f>
      </c>
      <c r="W1143">
        <f>[1]发票导入!W1143&amp;""</f>
      </c>
      <c r="Y1143">
        <f>[1]发票导入!Y1143&amp;""</f>
      </c>
      <c r="AA1143">
        <f>[1]发票导入!AA1143&amp;""</f>
      </c>
      <c r="AB1143">
        <f>[1]发票导入!AB1143</f>
        <v>0</v>
      </c>
      <c r="AC1143">
        <f>[1]发票导入!AC1143</f>
        <v>0</v>
      </c>
      <c r="AE1143" s="22">
        <f t="shared" si="0"/>
      </c>
      <c r="AI1143">
        <f>[1]发票导入!AI1143&amp;""</f>
      </c>
      <c r="AJ1143">
        <f>[1]发票导入!AJ1143&amp;""</f>
      </c>
      <c r="AK1143">
        <f>[1]发票导入!AK1143</f>
        <v>0</v>
      </c>
      <c r="AL1143">
        <f>[1]发票导入!AL1143</f>
        <v>0</v>
      </c>
      <c r="AM1143">
        <f>[1]发票导入!AM1143</f>
        <v>0</v>
      </c>
      <c r="AN1143" s="22">
        <f t="shared" si="1"/>
        <v>0</v>
      </c>
      <c r="AO1143" s="22">
        <f t="shared" si="2"/>
        <v>0</v>
      </c>
    </row>
    <row r="1144">
      <c r="C1144">
        <f>[1]发票导入!C1144&amp;""</f>
      </c>
      <c r="D1144">
        <f>[1]发票导入!D1144&amp;""</f>
      </c>
      <c r="O1144">
        <f>[1]发票导入!O1144&amp;""</f>
      </c>
      <c r="T1144">
        <f>[1]发票导入!T1144</f>
      </c>
      <c r="U1144">
        <f>[1]发票导入!U1144&amp;""</f>
      </c>
      <c r="V1144">
        <f>[1]发票导入!V1144&amp;""</f>
      </c>
      <c r="W1144">
        <f>[1]发票导入!W1144&amp;""</f>
      </c>
      <c r="Y1144">
        <f>[1]发票导入!Y1144&amp;""</f>
      </c>
      <c r="AA1144">
        <f>[1]发票导入!AA1144&amp;""</f>
      </c>
      <c r="AB1144">
        <f>[1]发票导入!AB1144</f>
        <v>0</v>
      </c>
      <c r="AC1144">
        <f>[1]发票导入!AC1144</f>
        <v>0</v>
      </c>
      <c r="AE1144" s="22">
        <f t="shared" si="0"/>
      </c>
      <c r="AI1144">
        <f>[1]发票导入!AI1144&amp;""</f>
      </c>
      <c r="AJ1144">
        <f>[1]发票导入!AJ1144&amp;""</f>
      </c>
      <c r="AK1144">
        <f>[1]发票导入!AK1144</f>
        <v>0</v>
      </c>
      <c r="AL1144">
        <f>[1]发票导入!AL1144</f>
        <v>0</v>
      </c>
      <c r="AM1144">
        <f>[1]发票导入!AM1144</f>
        <v>0</v>
      </c>
      <c r="AN1144" s="22">
        <f t="shared" si="1"/>
        <v>0</v>
      </c>
      <c r="AO1144" s="22">
        <f t="shared" si="2"/>
        <v>0</v>
      </c>
    </row>
    <row r="1145">
      <c r="C1145">
        <f>[1]发票导入!C1145&amp;""</f>
      </c>
      <c r="D1145">
        <f>[1]发票导入!D1145&amp;""</f>
      </c>
      <c r="O1145">
        <f>[1]发票导入!O1145&amp;""</f>
      </c>
      <c r="T1145">
        <f>[1]发票导入!T1145</f>
      </c>
      <c r="U1145">
        <f>[1]发票导入!U1145&amp;""</f>
      </c>
      <c r="V1145">
        <f>[1]发票导入!V1145&amp;""</f>
      </c>
      <c r="W1145">
        <f>[1]发票导入!W1145&amp;""</f>
      </c>
      <c r="Y1145">
        <f>[1]发票导入!Y1145&amp;""</f>
      </c>
      <c r="AA1145">
        <f>[1]发票导入!AA1145&amp;""</f>
      </c>
      <c r="AB1145">
        <f>[1]发票导入!AB1145</f>
        <v>0</v>
      </c>
      <c r="AC1145">
        <f>[1]发票导入!AC1145</f>
        <v>0</v>
      </c>
      <c r="AE1145" s="22">
        <f t="shared" si="0"/>
      </c>
      <c r="AI1145">
        <f>[1]发票导入!AI1145&amp;""</f>
      </c>
      <c r="AJ1145">
        <f>[1]发票导入!AJ1145&amp;""</f>
      </c>
      <c r="AK1145">
        <f>[1]发票导入!AK1145</f>
        <v>0</v>
      </c>
      <c r="AL1145">
        <f>[1]发票导入!AL1145</f>
        <v>0</v>
      </c>
      <c r="AM1145">
        <f>[1]发票导入!AM1145</f>
        <v>0</v>
      </c>
      <c r="AN1145" s="22">
        <f t="shared" si="1"/>
        <v>0</v>
      </c>
      <c r="AO1145" s="22">
        <f t="shared" si="2"/>
        <v>0</v>
      </c>
    </row>
    <row r="1146">
      <c r="C1146">
        <f>[1]发票导入!C1146&amp;""</f>
      </c>
      <c r="D1146">
        <f>[1]发票导入!D1146&amp;""</f>
      </c>
      <c r="O1146">
        <f>[1]发票导入!O1146&amp;""</f>
      </c>
      <c r="T1146">
        <f>[1]发票导入!T1146</f>
      </c>
      <c r="U1146">
        <f>[1]发票导入!U1146&amp;""</f>
      </c>
      <c r="V1146">
        <f>[1]发票导入!V1146&amp;""</f>
      </c>
      <c r="W1146">
        <f>[1]发票导入!W1146&amp;""</f>
      </c>
      <c r="Y1146">
        <f>[1]发票导入!Y1146&amp;""</f>
      </c>
      <c r="AA1146">
        <f>[1]发票导入!AA1146&amp;""</f>
      </c>
      <c r="AB1146">
        <f>[1]发票导入!AB1146</f>
        <v>0</v>
      </c>
      <c r="AC1146">
        <f>[1]发票导入!AC1146</f>
        <v>0</v>
      </c>
      <c r="AE1146" s="22">
        <f t="shared" si="0"/>
      </c>
      <c r="AI1146">
        <f>[1]发票导入!AI1146&amp;""</f>
      </c>
      <c r="AJ1146">
        <f>[1]发票导入!AJ1146&amp;""</f>
      </c>
      <c r="AK1146">
        <f>[1]发票导入!AK1146</f>
        <v>0</v>
      </c>
      <c r="AL1146">
        <f>[1]发票导入!AL1146</f>
        <v>0</v>
      </c>
      <c r="AM1146">
        <f>[1]发票导入!AM1146</f>
        <v>0</v>
      </c>
      <c r="AN1146" s="22">
        <f t="shared" si="1"/>
        <v>0</v>
      </c>
      <c r="AO1146" s="22">
        <f t="shared" si="2"/>
        <v>0</v>
      </c>
    </row>
    <row r="1147">
      <c r="C1147">
        <f>[1]发票导入!C1147&amp;""</f>
      </c>
      <c r="D1147">
        <f>[1]发票导入!D1147&amp;""</f>
      </c>
      <c r="O1147">
        <f>[1]发票导入!O1147&amp;""</f>
      </c>
      <c r="T1147">
        <f>[1]发票导入!T1147</f>
      </c>
      <c r="U1147">
        <f>[1]发票导入!U1147&amp;""</f>
      </c>
      <c r="V1147">
        <f>[1]发票导入!V1147&amp;""</f>
      </c>
      <c r="W1147">
        <f>[1]发票导入!W1147&amp;""</f>
      </c>
      <c r="Y1147">
        <f>[1]发票导入!Y1147&amp;""</f>
      </c>
      <c r="AA1147">
        <f>[1]发票导入!AA1147&amp;""</f>
      </c>
      <c r="AB1147">
        <f>[1]发票导入!AB1147</f>
        <v>0</v>
      </c>
      <c r="AC1147">
        <f>[1]发票导入!AC1147</f>
        <v>0</v>
      </c>
      <c r="AE1147" s="22">
        <f t="shared" si="0"/>
      </c>
      <c r="AI1147">
        <f>[1]发票导入!AI1147&amp;""</f>
      </c>
      <c r="AJ1147">
        <f>[1]发票导入!AJ1147&amp;""</f>
      </c>
      <c r="AK1147">
        <f>[1]发票导入!AK1147</f>
        <v>0</v>
      </c>
      <c r="AL1147">
        <f>[1]发票导入!AL1147</f>
        <v>0</v>
      </c>
      <c r="AM1147">
        <f>[1]发票导入!AM1147</f>
        <v>0</v>
      </c>
      <c r="AN1147" s="22">
        <f t="shared" si="1"/>
        <v>0</v>
      </c>
      <c r="AO1147" s="22">
        <f t="shared" si="2"/>
        <v>0</v>
      </c>
    </row>
    <row r="1148">
      <c r="C1148">
        <f>[1]发票导入!C1148&amp;""</f>
      </c>
      <c r="D1148">
        <f>[1]发票导入!D1148&amp;""</f>
      </c>
      <c r="O1148">
        <f>[1]发票导入!O1148&amp;""</f>
      </c>
      <c r="T1148">
        <f>[1]发票导入!T1148</f>
      </c>
      <c r="U1148">
        <f>[1]发票导入!U1148&amp;""</f>
      </c>
      <c r="V1148">
        <f>[1]发票导入!V1148&amp;""</f>
      </c>
      <c r="W1148">
        <f>[1]发票导入!W1148&amp;""</f>
      </c>
      <c r="Y1148">
        <f>[1]发票导入!Y1148&amp;""</f>
      </c>
      <c r="AA1148">
        <f>[1]发票导入!AA1148&amp;""</f>
      </c>
      <c r="AB1148">
        <f>[1]发票导入!AB1148</f>
        <v>0</v>
      </c>
      <c r="AC1148">
        <f>[1]发票导入!AC1148</f>
        <v>0</v>
      </c>
      <c r="AE1148" s="22">
        <f t="shared" si="0"/>
      </c>
      <c r="AI1148">
        <f>[1]发票导入!AI1148&amp;""</f>
      </c>
      <c r="AJ1148">
        <f>[1]发票导入!AJ1148&amp;""</f>
      </c>
      <c r="AK1148">
        <f>[1]发票导入!AK1148</f>
        <v>0</v>
      </c>
      <c r="AL1148">
        <f>[1]发票导入!AL1148</f>
        <v>0</v>
      </c>
      <c r="AM1148">
        <f>[1]发票导入!AM1148</f>
        <v>0</v>
      </c>
      <c r="AN1148" s="22">
        <f t="shared" si="1"/>
        <v>0</v>
      </c>
      <c r="AO1148" s="22">
        <f t="shared" si="2"/>
        <v>0</v>
      </c>
    </row>
    <row r="1149">
      <c r="C1149">
        <f>[1]发票导入!C1149&amp;""</f>
      </c>
      <c r="D1149">
        <f>[1]发票导入!D1149&amp;""</f>
      </c>
      <c r="O1149">
        <f>[1]发票导入!O1149&amp;""</f>
      </c>
      <c r="T1149">
        <f>[1]发票导入!T1149</f>
      </c>
      <c r="U1149">
        <f>[1]发票导入!U1149&amp;""</f>
      </c>
      <c r="V1149">
        <f>[1]发票导入!V1149&amp;""</f>
      </c>
      <c r="W1149">
        <f>[1]发票导入!W1149&amp;""</f>
      </c>
      <c r="Y1149">
        <f>[1]发票导入!Y1149&amp;""</f>
      </c>
      <c r="AA1149">
        <f>[1]发票导入!AA1149&amp;""</f>
      </c>
      <c r="AB1149">
        <f>[1]发票导入!AB1149</f>
        <v>0</v>
      </c>
      <c r="AC1149">
        <f>[1]发票导入!AC1149</f>
        <v>0</v>
      </c>
      <c r="AE1149" s="22">
        <f t="shared" si="0"/>
      </c>
      <c r="AI1149">
        <f>[1]发票导入!AI1149&amp;""</f>
      </c>
      <c r="AJ1149">
        <f>[1]发票导入!AJ1149&amp;""</f>
      </c>
      <c r="AK1149">
        <f>[1]发票导入!AK1149</f>
        <v>0</v>
      </c>
      <c r="AL1149">
        <f>[1]发票导入!AL1149</f>
        <v>0</v>
      </c>
      <c r="AM1149">
        <f>[1]发票导入!AM1149</f>
        <v>0</v>
      </c>
      <c r="AN1149" s="22">
        <f t="shared" si="1"/>
        <v>0</v>
      </c>
      <c r="AO1149" s="22">
        <f t="shared" si="2"/>
        <v>0</v>
      </c>
    </row>
    <row r="1150">
      <c r="C1150">
        <f>[1]发票导入!C1150&amp;""</f>
      </c>
      <c r="D1150">
        <f>[1]发票导入!D1150&amp;""</f>
      </c>
      <c r="O1150">
        <f>[1]发票导入!O1150&amp;""</f>
      </c>
      <c r="T1150">
        <f>[1]发票导入!T1150</f>
      </c>
      <c r="U1150">
        <f>[1]发票导入!U1150&amp;""</f>
      </c>
      <c r="V1150">
        <f>[1]发票导入!V1150&amp;""</f>
      </c>
      <c r="W1150">
        <f>[1]发票导入!W1150&amp;""</f>
      </c>
      <c r="Y1150">
        <f>[1]发票导入!Y1150&amp;""</f>
      </c>
      <c r="AA1150">
        <f>[1]发票导入!AA1150&amp;""</f>
      </c>
      <c r="AB1150">
        <f>[1]发票导入!AB1150</f>
        <v>0</v>
      </c>
      <c r="AC1150">
        <f>[1]发票导入!AC1150</f>
        <v>0</v>
      </c>
      <c r="AE1150" s="22">
        <f t="shared" si="0"/>
      </c>
      <c r="AI1150">
        <f>[1]发票导入!AI1150&amp;""</f>
      </c>
      <c r="AJ1150">
        <f>[1]发票导入!AJ1150&amp;""</f>
      </c>
      <c r="AK1150">
        <f>[1]发票导入!AK1150</f>
        <v>0</v>
      </c>
      <c r="AL1150">
        <f>[1]发票导入!AL1150</f>
        <v>0</v>
      </c>
      <c r="AM1150">
        <f>[1]发票导入!AM1150</f>
        <v>0</v>
      </c>
      <c r="AN1150" s="22">
        <f t="shared" si="1"/>
        <v>0</v>
      </c>
      <c r="AO1150" s="22">
        <f t="shared" si="2"/>
        <v>0</v>
      </c>
    </row>
    <row r="1151">
      <c r="C1151">
        <f>[1]发票导入!C1151&amp;""</f>
      </c>
      <c r="D1151">
        <f>[1]发票导入!D1151&amp;""</f>
      </c>
      <c r="O1151">
        <f>[1]发票导入!O1151&amp;""</f>
      </c>
      <c r="T1151">
        <f>[1]发票导入!T1151</f>
      </c>
      <c r="U1151">
        <f>[1]发票导入!U1151&amp;""</f>
      </c>
      <c r="V1151">
        <f>[1]发票导入!V1151&amp;""</f>
      </c>
      <c r="W1151">
        <f>[1]发票导入!W1151&amp;""</f>
      </c>
      <c r="Y1151">
        <f>[1]发票导入!Y1151&amp;""</f>
      </c>
      <c r="AA1151">
        <f>[1]发票导入!AA1151&amp;""</f>
      </c>
      <c r="AB1151">
        <f>[1]发票导入!AB1151</f>
        <v>0</v>
      </c>
      <c r="AC1151">
        <f>[1]发票导入!AC1151</f>
        <v>0</v>
      </c>
      <c r="AE1151" s="22">
        <f t="shared" si="0"/>
      </c>
      <c r="AI1151">
        <f>[1]发票导入!AI1151&amp;""</f>
      </c>
      <c r="AJ1151">
        <f>[1]发票导入!AJ1151&amp;""</f>
      </c>
      <c r="AK1151">
        <f>[1]发票导入!AK1151</f>
        <v>0</v>
      </c>
      <c r="AL1151">
        <f>[1]发票导入!AL1151</f>
        <v>0</v>
      </c>
      <c r="AM1151">
        <f>[1]发票导入!AM1151</f>
        <v>0</v>
      </c>
      <c r="AN1151" s="22">
        <f t="shared" si="1"/>
        <v>0</v>
      </c>
      <c r="AO1151" s="22">
        <f t="shared" si="2"/>
        <v>0</v>
      </c>
    </row>
    <row r="1152">
      <c r="C1152">
        <f>[1]发票导入!C1152&amp;""</f>
      </c>
      <c r="D1152">
        <f>[1]发票导入!D1152&amp;""</f>
      </c>
      <c r="O1152">
        <f>[1]发票导入!O1152&amp;""</f>
      </c>
      <c r="T1152">
        <f>[1]发票导入!T1152</f>
      </c>
      <c r="U1152">
        <f>[1]发票导入!U1152&amp;""</f>
      </c>
      <c r="V1152">
        <f>[1]发票导入!V1152&amp;""</f>
      </c>
      <c r="W1152">
        <f>[1]发票导入!W1152&amp;""</f>
      </c>
      <c r="Y1152">
        <f>[1]发票导入!Y1152&amp;""</f>
      </c>
      <c r="AA1152">
        <f>[1]发票导入!AA1152&amp;""</f>
      </c>
      <c r="AB1152">
        <f>[1]发票导入!AB1152</f>
        <v>0</v>
      </c>
      <c r="AC1152">
        <f>[1]发票导入!AC1152</f>
        <v>0</v>
      </c>
      <c r="AE1152" s="22">
        <f t="shared" si="0"/>
      </c>
      <c r="AI1152">
        <f>[1]发票导入!AI1152&amp;""</f>
      </c>
      <c r="AJ1152">
        <f>[1]发票导入!AJ1152&amp;""</f>
      </c>
      <c r="AK1152">
        <f>[1]发票导入!AK1152</f>
        <v>0</v>
      </c>
      <c r="AL1152">
        <f>[1]发票导入!AL1152</f>
        <v>0</v>
      </c>
      <c r="AM1152">
        <f>[1]发票导入!AM1152</f>
        <v>0</v>
      </c>
      <c r="AN1152" s="22">
        <f t="shared" si="1"/>
        <v>0</v>
      </c>
      <c r="AO1152" s="22">
        <f t="shared" si="2"/>
        <v>0</v>
      </c>
    </row>
    <row r="1153">
      <c r="C1153">
        <f>[1]发票导入!C1153&amp;""</f>
      </c>
      <c r="D1153">
        <f>[1]发票导入!D1153&amp;""</f>
      </c>
      <c r="O1153">
        <f>[1]发票导入!O1153&amp;""</f>
      </c>
      <c r="T1153">
        <f>[1]发票导入!T1153</f>
      </c>
      <c r="U1153">
        <f>[1]发票导入!U1153&amp;""</f>
      </c>
      <c r="V1153">
        <f>[1]发票导入!V1153&amp;""</f>
      </c>
      <c r="W1153">
        <f>[1]发票导入!W1153&amp;""</f>
      </c>
      <c r="Y1153">
        <f>[1]发票导入!Y1153&amp;""</f>
      </c>
      <c r="AA1153">
        <f>[1]发票导入!AA1153&amp;""</f>
      </c>
      <c r="AB1153">
        <f>[1]发票导入!AB1153</f>
        <v>0</v>
      </c>
      <c r="AC1153">
        <f>[1]发票导入!AC1153</f>
        <v>0</v>
      </c>
      <c r="AE1153" s="22">
        <f t="shared" si="0"/>
      </c>
      <c r="AI1153">
        <f>[1]发票导入!AI1153&amp;""</f>
      </c>
      <c r="AJ1153">
        <f>[1]发票导入!AJ1153&amp;""</f>
      </c>
      <c r="AK1153">
        <f>[1]发票导入!AK1153</f>
        <v>0</v>
      </c>
      <c r="AL1153">
        <f>[1]发票导入!AL1153</f>
        <v>0</v>
      </c>
      <c r="AM1153">
        <f>[1]发票导入!AM1153</f>
        <v>0</v>
      </c>
      <c r="AN1153" s="22">
        <f t="shared" si="1"/>
        <v>0</v>
      </c>
      <c r="AO1153" s="22">
        <f t="shared" si="2"/>
        <v>0</v>
      </c>
    </row>
    <row r="1154">
      <c r="C1154">
        <f>[1]发票导入!C1154&amp;""</f>
      </c>
      <c r="D1154">
        <f>[1]发票导入!D1154&amp;""</f>
      </c>
      <c r="O1154">
        <f>[1]发票导入!O1154&amp;""</f>
      </c>
      <c r="T1154">
        <f>[1]发票导入!T1154</f>
      </c>
      <c r="U1154">
        <f>[1]发票导入!U1154&amp;""</f>
      </c>
      <c r="V1154">
        <f>[1]发票导入!V1154&amp;""</f>
      </c>
      <c r="W1154">
        <f>[1]发票导入!W1154&amp;""</f>
      </c>
      <c r="Y1154">
        <f>[1]发票导入!Y1154&amp;""</f>
      </c>
      <c r="AA1154">
        <f>[1]发票导入!AA1154&amp;""</f>
      </c>
      <c r="AB1154">
        <f>[1]发票导入!AB1154</f>
        <v>0</v>
      </c>
      <c r="AC1154">
        <f>[1]发票导入!AC1154</f>
        <v>0</v>
      </c>
      <c r="AE1154" s="22">
        <f t="shared" si="0"/>
      </c>
      <c r="AI1154">
        <f>[1]发票导入!AI1154&amp;""</f>
      </c>
      <c r="AJ1154">
        <f>[1]发票导入!AJ1154&amp;""</f>
      </c>
      <c r="AK1154">
        <f>[1]发票导入!AK1154</f>
        <v>0</v>
      </c>
      <c r="AL1154">
        <f>[1]发票导入!AL1154</f>
        <v>0</v>
      </c>
      <c r="AM1154">
        <f>[1]发票导入!AM1154</f>
        <v>0</v>
      </c>
      <c r="AN1154" s="22">
        <f t="shared" si="1"/>
        <v>0</v>
      </c>
      <c r="AO1154" s="22">
        <f t="shared" si="2"/>
        <v>0</v>
      </c>
    </row>
    <row r="1155">
      <c r="C1155">
        <f>[1]发票导入!C1155&amp;""</f>
      </c>
      <c r="D1155">
        <f>[1]发票导入!D1155&amp;""</f>
      </c>
      <c r="O1155">
        <f>[1]发票导入!O1155&amp;""</f>
      </c>
      <c r="T1155">
        <f>[1]发票导入!T1155</f>
      </c>
      <c r="U1155">
        <f>[1]发票导入!U1155&amp;""</f>
      </c>
      <c r="V1155">
        <f>[1]发票导入!V1155&amp;""</f>
      </c>
      <c r="W1155">
        <f>[1]发票导入!W1155&amp;""</f>
      </c>
      <c r="Y1155">
        <f>[1]发票导入!Y1155&amp;""</f>
      </c>
      <c r="AA1155">
        <f>[1]发票导入!AA1155&amp;""</f>
      </c>
      <c r="AB1155">
        <f>[1]发票导入!AB1155</f>
        <v>0</v>
      </c>
      <c r="AC1155">
        <f>[1]发票导入!AC1155</f>
        <v>0</v>
      </c>
      <c r="AE1155" s="22">
        <f t="shared" si="0"/>
      </c>
      <c r="AI1155">
        <f>[1]发票导入!AI1155&amp;""</f>
      </c>
      <c r="AJ1155">
        <f>[1]发票导入!AJ1155&amp;""</f>
      </c>
      <c r="AK1155">
        <f>[1]发票导入!AK1155</f>
        <v>0</v>
      </c>
      <c r="AL1155">
        <f>[1]发票导入!AL1155</f>
        <v>0</v>
      </c>
      <c r="AM1155">
        <f>[1]发票导入!AM1155</f>
        <v>0</v>
      </c>
      <c r="AN1155" s="22">
        <f t="shared" si="1"/>
        <v>0</v>
      </c>
      <c r="AO1155" s="22">
        <f t="shared" si="2"/>
        <v>0</v>
      </c>
    </row>
    <row r="1156">
      <c r="C1156">
        <f>[1]发票导入!C1156&amp;""</f>
      </c>
      <c r="D1156">
        <f>[1]发票导入!D1156&amp;""</f>
      </c>
      <c r="O1156">
        <f>[1]发票导入!O1156&amp;""</f>
      </c>
      <c r="T1156">
        <f>[1]发票导入!T1156</f>
      </c>
      <c r="U1156">
        <f>[1]发票导入!U1156&amp;""</f>
      </c>
      <c r="V1156">
        <f>[1]发票导入!V1156&amp;""</f>
      </c>
      <c r="W1156">
        <f>[1]发票导入!W1156&amp;""</f>
      </c>
      <c r="Y1156">
        <f>[1]发票导入!Y1156&amp;""</f>
      </c>
      <c r="AA1156">
        <f>[1]发票导入!AA1156&amp;""</f>
      </c>
      <c r="AB1156">
        <f>[1]发票导入!AB1156</f>
        <v>0</v>
      </c>
      <c r="AC1156">
        <f>[1]发票导入!AC1156</f>
        <v>0</v>
      </c>
      <c r="AE1156" s="22">
        <f t="shared" si="0"/>
      </c>
      <c r="AI1156">
        <f>[1]发票导入!AI1156&amp;""</f>
      </c>
      <c r="AJ1156">
        <f>[1]发票导入!AJ1156&amp;""</f>
      </c>
      <c r="AK1156">
        <f>[1]发票导入!AK1156</f>
        <v>0</v>
      </c>
      <c r="AL1156">
        <f>[1]发票导入!AL1156</f>
        <v>0</v>
      </c>
      <c r="AM1156">
        <f>[1]发票导入!AM1156</f>
        <v>0</v>
      </c>
      <c r="AN1156" s="22">
        <f t="shared" si="1"/>
        <v>0</v>
      </c>
      <c r="AO1156" s="22">
        <f t="shared" si="2"/>
        <v>0</v>
      </c>
    </row>
    <row r="1157">
      <c r="C1157">
        <f>[1]发票导入!C1157&amp;""</f>
      </c>
      <c r="D1157">
        <f>[1]发票导入!D1157&amp;""</f>
      </c>
      <c r="O1157">
        <f>[1]发票导入!O1157&amp;""</f>
      </c>
      <c r="T1157">
        <f>[1]发票导入!T1157</f>
      </c>
      <c r="U1157">
        <f>[1]发票导入!U1157&amp;""</f>
      </c>
      <c r="V1157">
        <f>[1]发票导入!V1157&amp;""</f>
      </c>
      <c r="W1157">
        <f>[1]发票导入!W1157&amp;""</f>
      </c>
      <c r="Y1157">
        <f>[1]发票导入!Y1157&amp;""</f>
      </c>
      <c r="AA1157">
        <f>[1]发票导入!AA1157&amp;""</f>
      </c>
      <c r="AB1157">
        <f>[1]发票导入!AB1157</f>
        <v>0</v>
      </c>
      <c r="AC1157">
        <f>[1]发票导入!AC1157</f>
        <v>0</v>
      </c>
      <c r="AE1157" s="22">
        <f t="shared" si="0"/>
      </c>
      <c r="AI1157">
        <f>[1]发票导入!AI1157&amp;""</f>
      </c>
      <c r="AJ1157">
        <f>[1]发票导入!AJ1157&amp;""</f>
      </c>
      <c r="AK1157">
        <f>[1]发票导入!AK1157</f>
        <v>0</v>
      </c>
      <c r="AL1157">
        <f>[1]发票导入!AL1157</f>
        <v>0</v>
      </c>
      <c r="AM1157">
        <f>[1]发票导入!AM1157</f>
        <v>0</v>
      </c>
      <c r="AN1157" s="22">
        <f t="shared" si="1"/>
        <v>0</v>
      </c>
      <c r="AO1157" s="22">
        <f t="shared" si="2"/>
        <v>0</v>
      </c>
    </row>
    <row r="1158">
      <c r="C1158">
        <f>[1]发票导入!C1158&amp;""</f>
      </c>
      <c r="D1158">
        <f>[1]发票导入!D1158&amp;""</f>
      </c>
      <c r="O1158">
        <f>[1]发票导入!O1158&amp;""</f>
      </c>
      <c r="T1158">
        <f>[1]发票导入!T1158</f>
      </c>
      <c r="U1158">
        <f>[1]发票导入!U1158&amp;""</f>
      </c>
      <c r="V1158">
        <f>[1]发票导入!V1158&amp;""</f>
      </c>
      <c r="W1158">
        <f>[1]发票导入!W1158&amp;""</f>
      </c>
      <c r="Y1158">
        <f>[1]发票导入!Y1158&amp;""</f>
      </c>
      <c r="AA1158">
        <f>[1]发票导入!AA1158&amp;""</f>
      </c>
      <c r="AB1158">
        <f>[1]发票导入!AB1158</f>
        <v>0</v>
      </c>
      <c r="AC1158">
        <f>[1]发票导入!AC1158</f>
        <v>0</v>
      </c>
      <c r="AE1158" s="22">
        <f t="shared" si="0"/>
      </c>
      <c r="AI1158">
        <f>[1]发票导入!AI1158&amp;""</f>
      </c>
      <c r="AJ1158">
        <f>[1]发票导入!AJ1158&amp;""</f>
      </c>
      <c r="AK1158">
        <f>[1]发票导入!AK1158</f>
        <v>0</v>
      </c>
      <c r="AL1158">
        <f>[1]发票导入!AL1158</f>
        <v>0</v>
      </c>
      <c r="AM1158">
        <f>[1]发票导入!AM1158</f>
        <v>0</v>
      </c>
      <c r="AN1158" s="22">
        <f t="shared" si="1"/>
        <v>0</v>
      </c>
      <c r="AO1158" s="22">
        <f t="shared" si="2"/>
        <v>0</v>
      </c>
    </row>
    <row r="1159">
      <c r="C1159">
        <f>[1]发票导入!C1159&amp;""</f>
      </c>
      <c r="D1159">
        <f>[1]发票导入!D1159&amp;""</f>
      </c>
      <c r="O1159">
        <f>[1]发票导入!O1159&amp;""</f>
      </c>
      <c r="T1159">
        <f>[1]发票导入!T1159</f>
      </c>
      <c r="U1159">
        <f>[1]发票导入!U1159&amp;""</f>
      </c>
      <c r="V1159">
        <f>[1]发票导入!V1159&amp;""</f>
      </c>
      <c r="W1159">
        <f>[1]发票导入!W1159&amp;""</f>
      </c>
      <c r="Y1159">
        <f>[1]发票导入!Y1159&amp;""</f>
      </c>
      <c r="AA1159">
        <f>[1]发票导入!AA1159&amp;""</f>
      </c>
      <c r="AB1159">
        <f>[1]发票导入!AB1159</f>
        <v>0</v>
      </c>
      <c r="AC1159">
        <f>[1]发票导入!AC1159</f>
        <v>0</v>
      </c>
      <c r="AE1159" s="22">
        <f t="shared" si="0"/>
      </c>
      <c r="AI1159">
        <f>[1]发票导入!AI1159&amp;""</f>
      </c>
      <c r="AJ1159">
        <f>[1]发票导入!AJ1159&amp;""</f>
      </c>
      <c r="AK1159">
        <f>[1]发票导入!AK1159</f>
        <v>0</v>
      </c>
      <c r="AL1159">
        <f>[1]发票导入!AL1159</f>
        <v>0</v>
      </c>
      <c r="AM1159">
        <f>[1]发票导入!AM1159</f>
        <v>0</v>
      </c>
      <c r="AN1159" s="22">
        <f t="shared" si="1"/>
        <v>0</v>
      </c>
      <c r="AO1159" s="22">
        <f t="shared" si="2"/>
        <v>0</v>
      </c>
    </row>
    <row r="1160">
      <c r="C1160">
        <f>[1]发票导入!C1160&amp;""</f>
      </c>
      <c r="D1160">
        <f>[1]发票导入!D1160&amp;""</f>
      </c>
      <c r="O1160">
        <f>[1]发票导入!O1160&amp;""</f>
      </c>
      <c r="T1160">
        <f>[1]发票导入!T1160</f>
      </c>
      <c r="U1160">
        <f>[1]发票导入!U1160&amp;""</f>
      </c>
      <c r="V1160">
        <f>[1]发票导入!V1160&amp;""</f>
      </c>
      <c r="W1160">
        <f>[1]发票导入!W1160&amp;""</f>
      </c>
      <c r="Y1160">
        <f>[1]发票导入!Y1160&amp;""</f>
      </c>
      <c r="AA1160">
        <f>[1]发票导入!AA1160&amp;""</f>
      </c>
      <c r="AB1160">
        <f>[1]发票导入!AB1160</f>
        <v>0</v>
      </c>
      <c r="AC1160">
        <f>[1]发票导入!AC1160</f>
        <v>0</v>
      </c>
      <c r="AE1160" s="22">
        <f t="shared" si="0"/>
      </c>
      <c r="AI1160">
        <f>[1]发票导入!AI1160&amp;""</f>
      </c>
      <c r="AJ1160">
        <f>[1]发票导入!AJ1160&amp;""</f>
      </c>
      <c r="AK1160">
        <f>[1]发票导入!AK1160</f>
        <v>0</v>
      </c>
      <c r="AL1160">
        <f>[1]发票导入!AL1160</f>
        <v>0</v>
      </c>
      <c r="AM1160">
        <f>[1]发票导入!AM1160</f>
        <v>0</v>
      </c>
      <c r="AN1160" s="22">
        <f t="shared" si="1"/>
        <v>0</v>
      </c>
      <c r="AO1160" s="22">
        <f t="shared" si="2"/>
        <v>0</v>
      </c>
    </row>
    <row r="1161">
      <c r="C1161">
        <f>[1]发票导入!C1161&amp;""</f>
      </c>
      <c r="D1161">
        <f>[1]发票导入!D1161&amp;""</f>
      </c>
      <c r="O1161">
        <f>[1]发票导入!O1161&amp;""</f>
      </c>
      <c r="T1161">
        <f>[1]发票导入!T1161</f>
      </c>
      <c r="U1161">
        <f>[1]发票导入!U1161&amp;""</f>
      </c>
      <c r="V1161">
        <f>[1]发票导入!V1161&amp;""</f>
      </c>
      <c r="W1161">
        <f>[1]发票导入!W1161&amp;""</f>
      </c>
      <c r="Y1161">
        <f>[1]发票导入!Y1161&amp;""</f>
      </c>
      <c r="AA1161">
        <f>[1]发票导入!AA1161&amp;""</f>
      </c>
      <c r="AB1161">
        <f>[1]发票导入!AB1161</f>
        <v>0</v>
      </c>
      <c r="AC1161">
        <f>[1]发票导入!AC1161</f>
        <v>0</v>
      </c>
      <c r="AE1161" s="22">
        <f t="shared" si="0"/>
      </c>
      <c r="AI1161">
        <f>[1]发票导入!AI1161&amp;""</f>
      </c>
      <c r="AJ1161">
        <f>[1]发票导入!AJ1161&amp;""</f>
      </c>
      <c r="AK1161">
        <f>[1]发票导入!AK1161</f>
        <v>0</v>
      </c>
      <c r="AL1161">
        <f>[1]发票导入!AL1161</f>
        <v>0</v>
      </c>
      <c r="AM1161">
        <f>[1]发票导入!AM1161</f>
        <v>0</v>
      </c>
      <c r="AN1161" s="22">
        <f t="shared" si="1"/>
        <v>0</v>
      </c>
      <c r="AO1161" s="22">
        <f t="shared" si="2"/>
        <v>0</v>
      </c>
    </row>
    <row r="1162">
      <c r="C1162">
        <f>[1]发票导入!C1162&amp;""</f>
      </c>
      <c r="D1162">
        <f>[1]发票导入!D1162&amp;""</f>
      </c>
      <c r="O1162">
        <f>[1]发票导入!O1162&amp;""</f>
      </c>
      <c r="T1162">
        <f>[1]发票导入!T1162</f>
      </c>
      <c r="U1162">
        <f>[1]发票导入!U1162&amp;""</f>
      </c>
      <c r="V1162">
        <f>[1]发票导入!V1162&amp;""</f>
      </c>
      <c r="W1162">
        <f>[1]发票导入!W1162&amp;""</f>
      </c>
      <c r="Y1162">
        <f>[1]发票导入!Y1162&amp;""</f>
      </c>
      <c r="AA1162">
        <f>[1]发票导入!AA1162&amp;""</f>
      </c>
      <c r="AB1162">
        <f>[1]发票导入!AB1162</f>
        <v>0</v>
      </c>
      <c r="AC1162">
        <f>[1]发票导入!AC1162</f>
        <v>0</v>
      </c>
      <c r="AE1162" s="22">
        <f t="shared" si="0"/>
      </c>
      <c r="AI1162">
        <f>[1]发票导入!AI1162&amp;""</f>
      </c>
      <c r="AJ1162">
        <f>[1]发票导入!AJ1162&amp;""</f>
      </c>
      <c r="AK1162">
        <f>[1]发票导入!AK1162</f>
        <v>0</v>
      </c>
      <c r="AL1162">
        <f>[1]发票导入!AL1162</f>
        <v>0</v>
      </c>
      <c r="AM1162">
        <f>[1]发票导入!AM1162</f>
        <v>0</v>
      </c>
      <c r="AN1162" s="22">
        <f t="shared" si="1"/>
        <v>0</v>
      </c>
      <c r="AO1162" s="22">
        <f t="shared" si="2"/>
        <v>0</v>
      </c>
    </row>
    <row r="1163">
      <c r="C1163">
        <f>[1]发票导入!C1163&amp;""</f>
      </c>
      <c r="D1163">
        <f>[1]发票导入!D1163&amp;""</f>
      </c>
      <c r="O1163">
        <f>[1]发票导入!O1163&amp;""</f>
      </c>
      <c r="T1163">
        <f>[1]发票导入!T1163</f>
      </c>
      <c r="U1163">
        <f>[1]发票导入!U1163&amp;""</f>
      </c>
      <c r="V1163">
        <f>[1]发票导入!V1163&amp;""</f>
      </c>
      <c r="W1163">
        <f>[1]发票导入!W1163&amp;""</f>
      </c>
      <c r="Y1163">
        <f>[1]发票导入!Y1163&amp;""</f>
      </c>
      <c r="AA1163">
        <f>[1]发票导入!AA1163&amp;""</f>
      </c>
      <c r="AB1163">
        <f>[1]发票导入!AB1163</f>
        <v>0</v>
      </c>
      <c r="AC1163">
        <f>[1]发票导入!AC1163</f>
        <v>0</v>
      </c>
      <c r="AE1163" s="22">
        <f t="shared" si="0"/>
      </c>
      <c r="AI1163">
        <f>[1]发票导入!AI1163&amp;""</f>
      </c>
      <c r="AJ1163">
        <f>[1]发票导入!AJ1163&amp;""</f>
      </c>
      <c r="AK1163">
        <f>[1]发票导入!AK1163</f>
        <v>0</v>
      </c>
      <c r="AL1163">
        <f>[1]发票导入!AL1163</f>
        <v>0</v>
      </c>
      <c r="AM1163">
        <f>[1]发票导入!AM1163</f>
        <v>0</v>
      </c>
      <c r="AN1163" s="22">
        <f t="shared" si="1"/>
        <v>0</v>
      </c>
      <c r="AO1163" s="22">
        <f t="shared" si="2"/>
        <v>0</v>
      </c>
    </row>
    <row r="1164">
      <c r="C1164">
        <f>[1]发票导入!C1164&amp;""</f>
      </c>
      <c r="D1164">
        <f>[1]发票导入!D1164&amp;""</f>
      </c>
      <c r="O1164">
        <f>[1]发票导入!O1164&amp;""</f>
      </c>
      <c r="T1164">
        <f>[1]发票导入!T1164</f>
      </c>
      <c r="U1164">
        <f>[1]发票导入!U1164&amp;""</f>
      </c>
      <c r="V1164">
        <f>[1]发票导入!V1164&amp;""</f>
      </c>
      <c r="W1164">
        <f>[1]发票导入!W1164&amp;""</f>
      </c>
      <c r="Y1164">
        <f>[1]发票导入!Y1164&amp;""</f>
      </c>
      <c r="AA1164">
        <f>[1]发票导入!AA1164&amp;""</f>
      </c>
      <c r="AB1164">
        <f>[1]发票导入!AB1164</f>
        <v>0</v>
      </c>
      <c r="AC1164">
        <f>[1]发票导入!AC1164</f>
        <v>0</v>
      </c>
      <c r="AE1164" s="22">
        <f t="shared" si="0"/>
      </c>
      <c r="AI1164">
        <f>[1]发票导入!AI1164&amp;""</f>
      </c>
      <c r="AJ1164">
        <f>[1]发票导入!AJ1164&amp;""</f>
      </c>
      <c r="AK1164">
        <f>[1]发票导入!AK1164</f>
        <v>0</v>
      </c>
      <c r="AL1164">
        <f>[1]发票导入!AL1164</f>
        <v>0</v>
      </c>
      <c r="AM1164">
        <f>[1]发票导入!AM1164</f>
        <v>0</v>
      </c>
      <c r="AN1164" s="22">
        <f t="shared" si="1"/>
        <v>0</v>
      </c>
      <c r="AO1164" s="22">
        <f t="shared" si="2"/>
        <v>0</v>
      </c>
    </row>
    <row r="1165">
      <c r="C1165">
        <f>[1]发票导入!C1165&amp;""</f>
      </c>
      <c r="D1165">
        <f>[1]发票导入!D1165&amp;""</f>
      </c>
      <c r="O1165">
        <f>[1]发票导入!O1165&amp;""</f>
      </c>
      <c r="T1165">
        <f>[1]发票导入!T1165</f>
      </c>
      <c r="U1165">
        <f>[1]发票导入!U1165&amp;""</f>
      </c>
      <c r="V1165">
        <f>[1]发票导入!V1165&amp;""</f>
      </c>
      <c r="W1165">
        <f>[1]发票导入!W1165&amp;""</f>
      </c>
      <c r="Y1165">
        <f>[1]发票导入!Y1165&amp;""</f>
      </c>
      <c r="AA1165">
        <f>[1]发票导入!AA1165&amp;""</f>
      </c>
      <c r="AB1165">
        <f>[1]发票导入!AB1165</f>
        <v>0</v>
      </c>
      <c r="AC1165">
        <f>[1]发票导入!AC1165</f>
        <v>0</v>
      </c>
      <c r="AE1165" s="22">
        <f t="shared" si="0"/>
      </c>
      <c r="AI1165">
        <f>[1]发票导入!AI1165&amp;""</f>
      </c>
      <c r="AJ1165">
        <f>[1]发票导入!AJ1165&amp;""</f>
      </c>
      <c r="AK1165">
        <f>[1]发票导入!AK1165</f>
        <v>0</v>
      </c>
      <c r="AL1165">
        <f>[1]发票导入!AL1165</f>
        <v>0</v>
      </c>
      <c r="AM1165">
        <f>[1]发票导入!AM1165</f>
        <v>0</v>
      </c>
      <c r="AN1165" s="22">
        <f t="shared" si="1"/>
        <v>0</v>
      </c>
      <c r="AO1165" s="22">
        <f t="shared" si="2"/>
        <v>0</v>
      </c>
    </row>
    <row r="1166">
      <c r="C1166">
        <f>[1]发票导入!C1166&amp;""</f>
      </c>
      <c r="D1166">
        <f>[1]发票导入!D1166&amp;""</f>
      </c>
      <c r="O1166">
        <f>[1]发票导入!O1166&amp;""</f>
      </c>
      <c r="T1166">
        <f>[1]发票导入!T1166</f>
      </c>
      <c r="U1166">
        <f>[1]发票导入!U1166&amp;""</f>
      </c>
      <c r="V1166">
        <f>[1]发票导入!V1166&amp;""</f>
      </c>
      <c r="W1166">
        <f>[1]发票导入!W1166&amp;""</f>
      </c>
      <c r="Y1166">
        <f>[1]发票导入!Y1166&amp;""</f>
      </c>
      <c r="AA1166">
        <f>[1]发票导入!AA1166&amp;""</f>
      </c>
      <c r="AB1166">
        <f>[1]发票导入!AB1166</f>
        <v>0</v>
      </c>
      <c r="AC1166">
        <f>[1]发票导入!AC1166</f>
        <v>0</v>
      </c>
      <c r="AE1166" s="22">
        <f t="shared" si="0"/>
      </c>
      <c r="AI1166">
        <f>[1]发票导入!AI1166&amp;""</f>
      </c>
      <c r="AJ1166">
        <f>[1]发票导入!AJ1166&amp;""</f>
      </c>
      <c r="AK1166">
        <f>[1]发票导入!AK1166</f>
        <v>0</v>
      </c>
      <c r="AL1166">
        <f>[1]发票导入!AL1166</f>
        <v>0</v>
      </c>
      <c r="AM1166">
        <f>[1]发票导入!AM1166</f>
        <v>0</v>
      </c>
      <c r="AN1166" s="22">
        <f t="shared" si="1"/>
        <v>0</v>
      </c>
      <c r="AO1166" s="22">
        <f t="shared" si="2"/>
        <v>0</v>
      </c>
    </row>
    <row r="1167">
      <c r="C1167">
        <f>[1]发票导入!C1167&amp;""</f>
      </c>
      <c r="D1167">
        <f>[1]发票导入!D1167&amp;""</f>
      </c>
      <c r="O1167">
        <f>[1]发票导入!O1167&amp;""</f>
      </c>
      <c r="T1167">
        <f>[1]发票导入!T1167</f>
      </c>
      <c r="U1167">
        <f>[1]发票导入!U1167&amp;""</f>
      </c>
      <c r="V1167">
        <f>[1]发票导入!V1167&amp;""</f>
      </c>
      <c r="W1167">
        <f>[1]发票导入!W1167&amp;""</f>
      </c>
      <c r="Y1167">
        <f>[1]发票导入!Y1167&amp;""</f>
      </c>
      <c r="AA1167">
        <f>[1]发票导入!AA1167&amp;""</f>
      </c>
      <c r="AB1167">
        <f>[1]发票导入!AB1167</f>
        <v>0</v>
      </c>
      <c r="AC1167">
        <f>[1]发票导入!AC1167</f>
        <v>0</v>
      </c>
      <c r="AE1167" s="22">
        <f t="shared" si="0"/>
      </c>
      <c r="AI1167">
        <f>[1]发票导入!AI1167&amp;""</f>
      </c>
      <c r="AJ1167">
        <f>[1]发票导入!AJ1167&amp;""</f>
      </c>
      <c r="AK1167">
        <f>[1]发票导入!AK1167</f>
        <v>0</v>
      </c>
      <c r="AL1167">
        <f>[1]发票导入!AL1167</f>
        <v>0</v>
      </c>
      <c r="AM1167">
        <f>[1]发票导入!AM1167</f>
        <v>0</v>
      </c>
      <c r="AN1167" s="22">
        <f t="shared" si="1"/>
        <v>0</v>
      </c>
      <c r="AO1167" s="22">
        <f t="shared" si="2"/>
        <v>0</v>
      </c>
    </row>
    <row r="1168">
      <c r="C1168">
        <f>[1]发票导入!C1168&amp;""</f>
      </c>
      <c r="D1168">
        <f>[1]发票导入!D1168&amp;""</f>
      </c>
      <c r="O1168">
        <f>[1]发票导入!O1168&amp;""</f>
      </c>
      <c r="T1168">
        <f>[1]发票导入!T1168</f>
      </c>
      <c r="U1168">
        <f>[1]发票导入!U1168&amp;""</f>
      </c>
      <c r="V1168">
        <f>[1]发票导入!V1168&amp;""</f>
      </c>
      <c r="W1168">
        <f>[1]发票导入!W1168&amp;""</f>
      </c>
      <c r="Y1168">
        <f>[1]发票导入!Y1168&amp;""</f>
      </c>
      <c r="AA1168">
        <f>[1]发票导入!AA1168&amp;""</f>
      </c>
      <c r="AB1168">
        <f>[1]发票导入!AB1168</f>
        <v>0</v>
      </c>
      <c r="AC1168">
        <f>[1]发票导入!AC1168</f>
        <v>0</v>
      </c>
      <c r="AE1168" s="22">
        <f t="shared" si="0"/>
      </c>
      <c r="AI1168">
        <f>[1]发票导入!AI1168&amp;""</f>
      </c>
      <c r="AJ1168">
        <f>[1]发票导入!AJ1168&amp;""</f>
      </c>
      <c r="AK1168">
        <f>[1]发票导入!AK1168</f>
        <v>0</v>
      </c>
      <c r="AL1168">
        <f>[1]发票导入!AL1168</f>
        <v>0</v>
      </c>
      <c r="AM1168">
        <f>[1]发票导入!AM1168</f>
        <v>0</v>
      </c>
      <c r="AN1168" s="22">
        <f t="shared" si="1"/>
        <v>0</v>
      </c>
      <c r="AO1168" s="22">
        <f t="shared" si="2"/>
        <v>0</v>
      </c>
    </row>
    <row r="1169">
      <c r="C1169">
        <f>[1]发票导入!C1169&amp;""</f>
      </c>
      <c r="D1169">
        <f>[1]发票导入!D1169&amp;""</f>
      </c>
      <c r="O1169">
        <f>[1]发票导入!O1169&amp;""</f>
      </c>
      <c r="T1169">
        <f>[1]发票导入!T1169</f>
      </c>
      <c r="U1169">
        <f>[1]发票导入!U1169&amp;""</f>
      </c>
      <c r="V1169">
        <f>[1]发票导入!V1169&amp;""</f>
      </c>
      <c r="W1169">
        <f>[1]发票导入!W1169&amp;""</f>
      </c>
      <c r="Y1169">
        <f>[1]发票导入!Y1169&amp;""</f>
      </c>
      <c r="AA1169">
        <f>[1]发票导入!AA1169&amp;""</f>
      </c>
      <c r="AB1169">
        <f>[1]发票导入!AB1169</f>
        <v>0</v>
      </c>
      <c r="AC1169">
        <f>[1]发票导入!AC1169</f>
        <v>0</v>
      </c>
      <c r="AE1169" s="22">
        <f t="shared" si="0"/>
      </c>
      <c r="AI1169">
        <f>[1]发票导入!AI1169&amp;""</f>
      </c>
      <c r="AJ1169">
        <f>[1]发票导入!AJ1169&amp;""</f>
      </c>
      <c r="AK1169">
        <f>[1]发票导入!AK1169</f>
        <v>0</v>
      </c>
      <c r="AL1169">
        <f>[1]发票导入!AL1169</f>
        <v>0</v>
      </c>
      <c r="AM1169">
        <f>[1]发票导入!AM1169</f>
        <v>0</v>
      </c>
      <c r="AN1169" s="22">
        <f t="shared" si="1"/>
        <v>0</v>
      </c>
      <c r="AO1169" s="22">
        <f t="shared" si="2"/>
        <v>0</v>
      </c>
    </row>
    <row r="1170">
      <c r="C1170">
        <f>[1]发票导入!C1170&amp;""</f>
      </c>
      <c r="D1170">
        <f>[1]发票导入!D1170&amp;""</f>
      </c>
      <c r="O1170">
        <f>[1]发票导入!O1170&amp;""</f>
      </c>
      <c r="T1170">
        <f>[1]发票导入!T1170</f>
      </c>
      <c r="U1170">
        <f>[1]发票导入!U1170&amp;""</f>
      </c>
      <c r="V1170">
        <f>[1]发票导入!V1170&amp;""</f>
      </c>
      <c r="W1170">
        <f>[1]发票导入!W1170&amp;""</f>
      </c>
      <c r="Y1170">
        <f>[1]发票导入!Y1170&amp;""</f>
      </c>
      <c r="AA1170">
        <f>[1]发票导入!AA1170&amp;""</f>
      </c>
      <c r="AB1170">
        <f>[1]发票导入!AB1170</f>
        <v>0</v>
      </c>
      <c r="AC1170">
        <f>[1]发票导入!AC1170</f>
        <v>0</v>
      </c>
      <c r="AE1170" s="22">
        <f t="shared" si="0"/>
      </c>
      <c r="AI1170">
        <f>[1]发票导入!AI1170&amp;""</f>
      </c>
      <c r="AJ1170">
        <f>[1]发票导入!AJ1170&amp;""</f>
      </c>
      <c r="AK1170">
        <f>[1]发票导入!AK1170</f>
        <v>0</v>
      </c>
      <c r="AL1170">
        <f>[1]发票导入!AL1170</f>
        <v>0</v>
      </c>
      <c r="AM1170">
        <f>[1]发票导入!AM1170</f>
        <v>0</v>
      </c>
      <c r="AN1170" s="22">
        <f t="shared" si="1"/>
        <v>0</v>
      </c>
      <c r="AO1170" s="22">
        <f t="shared" si="2"/>
        <v>0</v>
      </c>
    </row>
    <row r="1171">
      <c r="C1171">
        <f>[1]发票导入!C1171&amp;""</f>
      </c>
      <c r="D1171">
        <f>[1]发票导入!D1171&amp;""</f>
      </c>
      <c r="O1171">
        <f>[1]发票导入!O1171&amp;""</f>
      </c>
      <c r="T1171">
        <f>[1]发票导入!T1171</f>
      </c>
      <c r="U1171">
        <f>[1]发票导入!U1171&amp;""</f>
      </c>
      <c r="V1171">
        <f>[1]发票导入!V1171&amp;""</f>
      </c>
      <c r="W1171">
        <f>[1]发票导入!W1171&amp;""</f>
      </c>
      <c r="Y1171">
        <f>[1]发票导入!Y1171&amp;""</f>
      </c>
      <c r="AA1171">
        <f>[1]发票导入!AA1171&amp;""</f>
      </c>
      <c r="AB1171">
        <f>[1]发票导入!AB1171</f>
        <v>0</v>
      </c>
      <c r="AC1171">
        <f>[1]发票导入!AC1171</f>
        <v>0</v>
      </c>
      <c r="AE1171" s="22">
        <f t="shared" si="0"/>
      </c>
      <c r="AI1171">
        <f>[1]发票导入!AI1171&amp;""</f>
      </c>
      <c r="AJ1171">
        <f>[1]发票导入!AJ1171&amp;""</f>
      </c>
      <c r="AK1171">
        <f>[1]发票导入!AK1171</f>
        <v>0</v>
      </c>
      <c r="AL1171">
        <f>[1]发票导入!AL1171</f>
        <v>0</v>
      </c>
      <c r="AM1171">
        <f>[1]发票导入!AM1171</f>
        <v>0</v>
      </c>
      <c r="AN1171" s="22">
        <f t="shared" si="1"/>
        <v>0</v>
      </c>
      <c r="AO1171" s="22">
        <f t="shared" si="2"/>
        <v>0</v>
      </c>
    </row>
    <row r="1172">
      <c r="C1172">
        <f>[1]发票导入!C1172&amp;""</f>
      </c>
      <c r="D1172">
        <f>[1]发票导入!D1172&amp;""</f>
      </c>
      <c r="O1172">
        <f>[1]发票导入!O1172&amp;""</f>
      </c>
      <c r="T1172">
        <f>[1]发票导入!T1172</f>
      </c>
      <c r="U1172">
        <f>[1]发票导入!U1172&amp;""</f>
      </c>
      <c r="V1172">
        <f>[1]发票导入!V1172&amp;""</f>
      </c>
      <c r="W1172">
        <f>[1]发票导入!W1172&amp;""</f>
      </c>
      <c r="Y1172">
        <f>[1]发票导入!Y1172&amp;""</f>
      </c>
      <c r="AA1172">
        <f>[1]发票导入!AA1172&amp;""</f>
      </c>
      <c r="AB1172">
        <f>[1]发票导入!AB1172</f>
        <v>0</v>
      </c>
      <c r="AC1172">
        <f>[1]发票导入!AC1172</f>
        <v>0</v>
      </c>
      <c r="AE1172" s="22">
        <f t="shared" si="0"/>
      </c>
      <c r="AI1172">
        <f>[1]发票导入!AI1172&amp;""</f>
      </c>
      <c r="AJ1172">
        <f>[1]发票导入!AJ1172&amp;""</f>
      </c>
      <c r="AK1172">
        <f>[1]发票导入!AK1172</f>
        <v>0</v>
      </c>
      <c r="AL1172">
        <f>[1]发票导入!AL1172</f>
        <v>0</v>
      </c>
      <c r="AM1172">
        <f>[1]发票导入!AM1172</f>
        <v>0</v>
      </c>
      <c r="AN1172" s="22">
        <f t="shared" si="1"/>
        <v>0</v>
      </c>
      <c r="AO1172" s="22">
        <f t="shared" si="2"/>
        <v>0</v>
      </c>
    </row>
    <row r="1173">
      <c r="C1173">
        <f>[1]发票导入!C1173&amp;""</f>
      </c>
      <c r="D1173">
        <f>[1]发票导入!D1173&amp;""</f>
      </c>
      <c r="O1173">
        <f>[1]发票导入!O1173&amp;""</f>
      </c>
      <c r="T1173">
        <f>[1]发票导入!T1173</f>
      </c>
      <c r="U1173">
        <f>[1]发票导入!U1173&amp;""</f>
      </c>
      <c r="V1173">
        <f>[1]发票导入!V1173&amp;""</f>
      </c>
      <c r="W1173">
        <f>[1]发票导入!W1173&amp;""</f>
      </c>
      <c r="Y1173">
        <f>[1]发票导入!Y1173&amp;""</f>
      </c>
      <c r="AA1173">
        <f>[1]发票导入!AA1173&amp;""</f>
      </c>
      <c r="AB1173">
        <f>[1]发票导入!AB1173</f>
        <v>0</v>
      </c>
      <c r="AC1173">
        <f>[1]发票导入!AC1173</f>
        <v>0</v>
      </c>
      <c r="AE1173" s="22">
        <f t="shared" si="0"/>
      </c>
      <c r="AI1173">
        <f>[1]发票导入!AI1173&amp;""</f>
      </c>
      <c r="AJ1173">
        <f>[1]发票导入!AJ1173&amp;""</f>
      </c>
      <c r="AK1173">
        <f>[1]发票导入!AK1173</f>
        <v>0</v>
      </c>
      <c r="AL1173">
        <f>[1]发票导入!AL1173</f>
        <v>0</v>
      </c>
      <c r="AM1173">
        <f>[1]发票导入!AM1173</f>
        <v>0</v>
      </c>
      <c r="AN1173" s="22">
        <f t="shared" si="1"/>
        <v>0</v>
      </c>
      <c r="AO1173" s="22">
        <f t="shared" si="2"/>
        <v>0</v>
      </c>
    </row>
    <row r="1174">
      <c r="C1174">
        <f>[1]发票导入!C1174&amp;""</f>
      </c>
      <c r="D1174">
        <f>[1]发票导入!D1174&amp;""</f>
      </c>
      <c r="O1174">
        <f>[1]发票导入!O1174&amp;""</f>
      </c>
      <c r="T1174">
        <f>[1]发票导入!T1174</f>
      </c>
      <c r="U1174">
        <f>[1]发票导入!U1174&amp;""</f>
      </c>
      <c r="V1174">
        <f>[1]发票导入!V1174&amp;""</f>
      </c>
      <c r="W1174">
        <f>[1]发票导入!W1174&amp;""</f>
      </c>
      <c r="Y1174">
        <f>[1]发票导入!Y1174&amp;""</f>
      </c>
      <c r="AA1174">
        <f>[1]发票导入!AA1174&amp;""</f>
      </c>
      <c r="AB1174">
        <f>[1]发票导入!AB1174</f>
        <v>0</v>
      </c>
      <c r="AC1174">
        <f>[1]发票导入!AC1174</f>
        <v>0</v>
      </c>
      <c r="AE1174" s="22">
        <f t="shared" si="0"/>
      </c>
      <c r="AI1174">
        <f>[1]发票导入!AI1174&amp;""</f>
      </c>
      <c r="AJ1174">
        <f>[1]发票导入!AJ1174&amp;""</f>
      </c>
      <c r="AK1174">
        <f>[1]发票导入!AK1174</f>
        <v>0</v>
      </c>
      <c r="AL1174">
        <f>[1]发票导入!AL1174</f>
        <v>0</v>
      </c>
      <c r="AM1174">
        <f>[1]发票导入!AM1174</f>
        <v>0</v>
      </c>
      <c r="AN1174" s="22">
        <f t="shared" si="1"/>
        <v>0</v>
      </c>
      <c r="AO1174" s="22">
        <f t="shared" si="2"/>
        <v>0</v>
      </c>
    </row>
    <row r="1175">
      <c r="C1175">
        <f>[1]发票导入!C1175&amp;""</f>
      </c>
      <c r="D1175">
        <f>[1]发票导入!D1175&amp;""</f>
      </c>
      <c r="O1175">
        <f>[1]发票导入!O1175&amp;""</f>
      </c>
      <c r="T1175">
        <f>[1]发票导入!T1175</f>
      </c>
      <c r="U1175">
        <f>[1]发票导入!U1175&amp;""</f>
      </c>
      <c r="V1175">
        <f>[1]发票导入!V1175&amp;""</f>
      </c>
      <c r="W1175">
        <f>[1]发票导入!W1175&amp;""</f>
      </c>
      <c r="Y1175">
        <f>[1]发票导入!Y1175&amp;""</f>
      </c>
      <c r="AA1175">
        <f>[1]发票导入!AA1175&amp;""</f>
      </c>
      <c r="AB1175">
        <f>[1]发票导入!AB1175</f>
        <v>0</v>
      </c>
      <c r="AC1175">
        <f>[1]发票导入!AC1175</f>
        <v>0</v>
      </c>
      <c r="AE1175" s="22">
        <f t="shared" si="0"/>
      </c>
      <c r="AI1175">
        <f>[1]发票导入!AI1175&amp;""</f>
      </c>
      <c r="AJ1175">
        <f>[1]发票导入!AJ1175&amp;""</f>
      </c>
      <c r="AK1175">
        <f>[1]发票导入!AK1175</f>
        <v>0</v>
      </c>
      <c r="AL1175">
        <f>[1]发票导入!AL1175</f>
        <v>0</v>
      </c>
      <c r="AM1175">
        <f>[1]发票导入!AM1175</f>
        <v>0</v>
      </c>
      <c r="AN1175" s="22">
        <f t="shared" si="1"/>
        <v>0</v>
      </c>
      <c r="AO1175" s="22">
        <f t="shared" si="2"/>
        <v>0</v>
      </c>
    </row>
    <row r="1176">
      <c r="C1176">
        <f>[1]发票导入!C1176&amp;""</f>
      </c>
      <c r="D1176">
        <f>[1]发票导入!D1176&amp;""</f>
      </c>
      <c r="O1176">
        <f>[1]发票导入!O1176&amp;""</f>
      </c>
      <c r="T1176">
        <f>[1]发票导入!T1176</f>
      </c>
      <c r="U1176">
        <f>[1]发票导入!U1176&amp;""</f>
      </c>
      <c r="V1176">
        <f>[1]发票导入!V1176&amp;""</f>
      </c>
      <c r="W1176">
        <f>[1]发票导入!W1176&amp;""</f>
      </c>
      <c r="Y1176">
        <f>[1]发票导入!Y1176&amp;""</f>
      </c>
      <c r="AA1176">
        <f>[1]发票导入!AA1176&amp;""</f>
      </c>
      <c r="AB1176">
        <f>[1]发票导入!AB1176</f>
        <v>0</v>
      </c>
      <c r="AC1176">
        <f>[1]发票导入!AC1176</f>
        <v>0</v>
      </c>
      <c r="AE1176" s="22">
        <f t="shared" si="0"/>
      </c>
      <c r="AI1176">
        <f>[1]发票导入!AI1176&amp;""</f>
      </c>
      <c r="AJ1176">
        <f>[1]发票导入!AJ1176&amp;""</f>
      </c>
      <c r="AK1176">
        <f>[1]发票导入!AK1176</f>
        <v>0</v>
      </c>
      <c r="AL1176">
        <f>[1]发票导入!AL1176</f>
        <v>0</v>
      </c>
      <c r="AM1176">
        <f>[1]发票导入!AM1176</f>
        <v>0</v>
      </c>
      <c r="AN1176" s="22">
        <f t="shared" si="1"/>
        <v>0</v>
      </c>
      <c r="AO1176" s="22">
        <f t="shared" si="2"/>
        <v>0</v>
      </c>
    </row>
    <row r="1177">
      <c r="C1177">
        <f>[1]发票导入!C1177&amp;""</f>
      </c>
      <c r="D1177">
        <f>[1]发票导入!D1177&amp;""</f>
      </c>
      <c r="O1177">
        <f>[1]发票导入!O1177&amp;""</f>
      </c>
      <c r="T1177">
        <f>[1]发票导入!T1177</f>
      </c>
      <c r="U1177">
        <f>[1]发票导入!U1177&amp;""</f>
      </c>
      <c r="V1177">
        <f>[1]发票导入!V1177&amp;""</f>
      </c>
      <c r="W1177">
        <f>[1]发票导入!W1177&amp;""</f>
      </c>
      <c r="Y1177">
        <f>[1]发票导入!Y1177&amp;""</f>
      </c>
      <c r="AA1177">
        <f>[1]发票导入!AA1177&amp;""</f>
      </c>
      <c r="AB1177">
        <f>[1]发票导入!AB1177</f>
        <v>0</v>
      </c>
      <c r="AC1177">
        <f>[1]发票导入!AC1177</f>
        <v>0</v>
      </c>
      <c r="AE1177" s="22">
        <f t="shared" si="0"/>
      </c>
      <c r="AI1177">
        <f>[1]发票导入!AI1177&amp;""</f>
      </c>
      <c r="AJ1177">
        <f>[1]发票导入!AJ1177&amp;""</f>
      </c>
      <c r="AK1177">
        <f>[1]发票导入!AK1177</f>
        <v>0</v>
      </c>
      <c r="AL1177">
        <f>[1]发票导入!AL1177</f>
        <v>0</v>
      </c>
      <c r="AM1177">
        <f>[1]发票导入!AM1177</f>
        <v>0</v>
      </c>
      <c r="AN1177" s="22">
        <f t="shared" si="1"/>
        <v>0</v>
      </c>
      <c r="AO1177" s="22">
        <f t="shared" si="2"/>
        <v>0</v>
      </c>
    </row>
    <row r="1178">
      <c r="C1178">
        <f>[1]发票导入!C1178&amp;""</f>
      </c>
      <c r="D1178">
        <f>[1]发票导入!D1178&amp;""</f>
      </c>
      <c r="O1178">
        <f>[1]发票导入!O1178&amp;""</f>
      </c>
      <c r="T1178">
        <f>[1]发票导入!T1178</f>
      </c>
      <c r="U1178">
        <f>[1]发票导入!U1178&amp;""</f>
      </c>
      <c r="V1178">
        <f>[1]发票导入!V1178&amp;""</f>
      </c>
      <c r="W1178">
        <f>[1]发票导入!W1178&amp;""</f>
      </c>
      <c r="Y1178">
        <f>[1]发票导入!Y1178&amp;""</f>
      </c>
      <c r="AA1178">
        <f>[1]发票导入!AA1178&amp;""</f>
      </c>
      <c r="AB1178">
        <f>[1]发票导入!AB1178</f>
        <v>0</v>
      </c>
      <c r="AC1178">
        <f>[1]发票导入!AC1178</f>
        <v>0</v>
      </c>
      <c r="AE1178" s="22">
        <f t="shared" si="0"/>
      </c>
      <c r="AI1178">
        <f>[1]发票导入!AI1178&amp;""</f>
      </c>
      <c r="AJ1178">
        <f>[1]发票导入!AJ1178&amp;""</f>
      </c>
      <c r="AK1178">
        <f>[1]发票导入!AK1178</f>
        <v>0</v>
      </c>
      <c r="AL1178">
        <f>[1]发票导入!AL1178</f>
        <v>0</v>
      </c>
      <c r="AM1178">
        <f>[1]发票导入!AM1178</f>
        <v>0</v>
      </c>
      <c r="AN1178" s="22">
        <f t="shared" si="1"/>
        <v>0</v>
      </c>
      <c r="AO1178" s="22">
        <f t="shared" si="2"/>
        <v>0</v>
      </c>
    </row>
    <row r="1179">
      <c r="C1179">
        <f>[1]发票导入!C1179&amp;""</f>
      </c>
      <c r="D1179">
        <f>[1]发票导入!D1179&amp;""</f>
      </c>
      <c r="O1179">
        <f>[1]发票导入!O1179&amp;""</f>
      </c>
      <c r="T1179">
        <f>[1]发票导入!T1179</f>
      </c>
      <c r="U1179">
        <f>[1]发票导入!U1179&amp;""</f>
      </c>
      <c r="V1179">
        <f>[1]发票导入!V1179&amp;""</f>
      </c>
      <c r="W1179">
        <f>[1]发票导入!W1179&amp;""</f>
      </c>
      <c r="Y1179">
        <f>[1]发票导入!Y1179&amp;""</f>
      </c>
      <c r="AA1179">
        <f>[1]发票导入!AA1179&amp;""</f>
      </c>
      <c r="AB1179">
        <f>[1]发票导入!AB1179</f>
        <v>0</v>
      </c>
      <c r="AC1179">
        <f>[1]发票导入!AC1179</f>
        <v>0</v>
      </c>
      <c r="AE1179" s="22">
        <f t="shared" si="0"/>
      </c>
      <c r="AI1179">
        <f>[1]发票导入!AI1179&amp;""</f>
      </c>
      <c r="AJ1179">
        <f>[1]发票导入!AJ1179&amp;""</f>
      </c>
      <c r="AK1179">
        <f>[1]发票导入!AK1179</f>
        <v>0</v>
      </c>
      <c r="AL1179">
        <f>[1]发票导入!AL1179</f>
        <v>0</v>
      </c>
      <c r="AM1179">
        <f>[1]发票导入!AM1179</f>
        <v>0</v>
      </c>
      <c r="AN1179" s="22">
        <f t="shared" si="1"/>
        <v>0</v>
      </c>
      <c r="AO1179" s="22">
        <f t="shared" si="2"/>
        <v>0</v>
      </c>
    </row>
    <row r="1180">
      <c r="C1180">
        <f>[1]发票导入!C1180&amp;""</f>
      </c>
      <c r="D1180">
        <f>[1]发票导入!D1180&amp;""</f>
      </c>
      <c r="O1180">
        <f>[1]发票导入!O1180&amp;""</f>
      </c>
      <c r="T1180">
        <f>[1]发票导入!T1180</f>
      </c>
      <c r="U1180">
        <f>[1]发票导入!U1180&amp;""</f>
      </c>
      <c r="V1180">
        <f>[1]发票导入!V1180&amp;""</f>
      </c>
      <c r="W1180">
        <f>[1]发票导入!W1180&amp;""</f>
      </c>
      <c r="Y1180">
        <f>[1]发票导入!Y1180&amp;""</f>
      </c>
      <c r="AA1180">
        <f>[1]发票导入!AA1180&amp;""</f>
      </c>
      <c r="AB1180">
        <f>[1]发票导入!AB1180</f>
        <v>0</v>
      </c>
      <c r="AC1180">
        <f>[1]发票导入!AC1180</f>
        <v>0</v>
      </c>
      <c r="AE1180" s="22">
        <f t="shared" si="0"/>
      </c>
      <c r="AI1180">
        <f>[1]发票导入!AI1180&amp;""</f>
      </c>
      <c r="AJ1180">
        <f>[1]发票导入!AJ1180&amp;""</f>
      </c>
      <c r="AK1180">
        <f>[1]发票导入!AK1180</f>
        <v>0</v>
      </c>
      <c r="AL1180">
        <f>[1]发票导入!AL1180</f>
        <v>0</v>
      </c>
      <c r="AM1180">
        <f>[1]发票导入!AM1180</f>
        <v>0</v>
      </c>
      <c r="AN1180" s="22">
        <f t="shared" si="1"/>
        <v>0</v>
      </c>
      <c r="AO1180" s="22">
        <f t="shared" si="2"/>
        <v>0</v>
      </c>
    </row>
    <row r="1181">
      <c r="C1181">
        <f>[1]发票导入!C1181&amp;""</f>
      </c>
      <c r="D1181">
        <f>[1]发票导入!D1181&amp;""</f>
      </c>
      <c r="O1181">
        <f>[1]发票导入!O1181&amp;""</f>
      </c>
      <c r="T1181">
        <f>[1]发票导入!T1181</f>
      </c>
      <c r="U1181">
        <f>[1]发票导入!U1181&amp;""</f>
      </c>
      <c r="V1181">
        <f>[1]发票导入!V1181&amp;""</f>
      </c>
      <c r="W1181">
        <f>[1]发票导入!W1181&amp;""</f>
      </c>
      <c r="Y1181">
        <f>[1]发票导入!Y1181&amp;""</f>
      </c>
      <c r="AA1181">
        <f>[1]发票导入!AA1181&amp;""</f>
      </c>
      <c r="AB1181">
        <f>[1]发票导入!AB1181</f>
        <v>0</v>
      </c>
      <c r="AC1181">
        <f>[1]发票导入!AC1181</f>
        <v>0</v>
      </c>
      <c r="AE1181" s="22">
        <f t="shared" si="0"/>
      </c>
      <c r="AI1181">
        <f>[1]发票导入!AI1181&amp;""</f>
      </c>
      <c r="AJ1181">
        <f>[1]发票导入!AJ1181&amp;""</f>
      </c>
      <c r="AK1181">
        <f>[1]发票导入!AK1181</f>
        <v>0</v>
      </c>
      <c r="AL1181">
        <f>[1]发票导入!AL1181</f>
        <v>0</v>
      </c>
      <c r="AM1181">
        <f>[1]发票导入!AM1181</f>
        <v>0</v>
      </c>
      <c r="AN1181" s="22">
        <f t="shared" si="1"/>
        <v>0</v>
      </c>
      <c r="AO1181" s="22">
        <f t="shared" si="2"/>
        <v>0</v>
      </c>
    </row>
    <row r="1182">
      <c r="C1182">
        <f>[1]发票导入!C1182&amp;""</f>
      </c>
      <c r="D1182">
        <f>[1]发票导入!D1182&amp;""</f>
      </c>
      <c r="O1182">
        <f>[1]发票导入!O1182&amp;""</f>
      </c>
      <c r="T1182">
        <f>[1]发票导入!T1182</f>
      </c>
      <c r="U1182">
        <f>[1]发票导入!U1182&amp;""</f>
      </c>
      <c r="V1182">
        <f>[1]发票导入!V1182&amp;""</f>
      </c>
      <c r="W1182">
        <f>[1]发票导入!W1182&amp;""</f>
      </c>
      <c r="Y1182">
        <f>[1]发票导入!Y1182&amp;""</f>
      </c>
      <c r="AA1182">
        <f>[1]发票导入!AA1182&amp;""</f>
      </c>
      <c r="AB1182">
        <f>[1]发票导入!AB1182</f>
        <v>0</v>
      </c>
      <c r="AC1182">
        <f>[1]发票导入!AC1182</f>
        <v>0</v>
      </c>
      <c r="AE1182" s="22">
        <f t="shared" si="0"/>
      </c>
      <c r="AI1182">
        <f>[1]发票导入!AI1182&amp;""</f>
      </c>
      <c r="AJ1182">
        <f>[1]发票导入!AJ1182&amp;""</f>
      </c>
      <c r="AK1182">
        <f>[1]发票导入!AK1182</f>
        <v>0</v>
      </c>
      <c r="AL1182">
        <f>[1]发票导入!AL1182</f>
        <v>0</v>
      </c>
      <c r="AM1182">
        <f>[1]发票导入!AM1182</f>
        <v>0</v>
      </c>
      <c r="AN1182" s="22">
        <f t="shared" si="1"/>
        <v>0</v>
      </c>
      <c r="AO1182" s="22">
        <f t="shared" si="2"/>
        <v>0</v>
      </c>
    </row>
    <row r="1183">
      <c r="C1183">
        <f>[1]发票导入!C1183&amp;""</f>
      </c>
      <c r="D1183">
        <f>[1]发票导入!D1183&amp;""</f>
      </c>
      <c r="O1183">
        <f>[1]发票导入!O1183&amp;""</f>
      </c>
      <c r="T1183">
        <f>[1]发票导入!T1183</f>
      </c>
      <c r="U1183">
        <f>[1]发票导入!U1183&amp;""</f>
      </c>
      <c r="V1183">
        <f>[1]发票导入!V1183&amp;""</f>
      </c>
      <c r="W1183">
        <f>[1]发票导入!W1183&amp;""</f>
      </c>
      <c r="Y1183">
        <f>[1]发票导入!Y1183&amp;""</f>
      </c>
      <c r="AA1183">
        <f>[1]发票导入!AA1183&amp;""</f>
      </c>
      <c r="AB1183">
        <f>[1]发票导入!AB1183</f>
        <v>0</v>
      </c>
      <c r="AC1183">
        <f>[1]发票导入!AC1183</f>
        <v>0</v>
      </c>
      <c r="AE1183" s="22">
        <f t="shared" si="0"/>
      </c>
      <c r="AI1183">
        <f>[1]发票导入!AI1183&amp;""</f>
      </c>
      <c r="AJ1183">
        <f>[1]发票导入!AJ1183&amp;""</f>
      </c>
      <c r="AK1183">
        <f>[1]发票导入!AK1183</f>
        <v>0</v>
      </c>
      <c r="AL1183">
        <f>[1]发票导入!AL1183</f>
        <v>0</v>
      </c>
      <c r="AM1183">
        <f>[1]发票导入!AM1183</f>
        <v>0</v>
      </c>
      <c r="AN1183" s="22">
        <f t="shared" si="1"/>
        <v>0</v>
      </c>
      <c r="AO1183" s="22">
        <f t="shared" si="2"/>
        <v>0</v>
      </c>
    </row>
    <row r="1184">
      <c r="C1184">
        <f>[1]发票导入!C1184&amp;""</f>
      </c>
      <c r="D1184">
        <f>[1]发票导入!D1184&amp;""</f>
      </c>
      <c r="O1184">
        <f>[1]发票导入!O1184&amp;""</f>
      </c>
      <c r="T1184">
        <f>[1]发票导入!T1184</f>
      </c>
      <c r="U1184">
        <f>[1]发票导入!U1184&amp;""</f>
      </c>
      <c r="V1184">
        <f>[1]发票导入!V1184&amp;""</f>
      </c>
      <c r="W1184">
        <f>[1]发票导入!W1184&amp;""</f>
      </c>
      <c r="Y1184">
        <f>[1]发票导入!Y1184&amp;""</f>
      </c>
      <c r="AA1184">
        <f>[1]发票导入!AA1184&amp;""</f>
      </c>
      <c r="AB1184">
        <f>[1]发票导入!AB1184</f>
        <v>0</v>
      </c>
      <c r="AC1184">
        <f>[1]发票导入!AC1184</f>
        <v>0</v>
      </c>
      <c r="AE1184" s="22">
        <f t="shared" si="0"/>
      </c>
      <c r="AI1184">
        <f>[1]发票导入!AI1184&amp;""</f>
      </c>
      <c r="AJ1184">
        <f>[1]发票导入!AJ1184&amp;""</f>
      </c>
      <c r="AK1184">
        <f>[1]发票导入!AK1184</f>
        <v>0</v>
      </c>
      <c r="AL1184">
        <f>[1]发票导入!AL1184</f>
        <v>0</v>
      </c>
      <c r="AM1184">
        <f>[1]发票导入!AM1184</f>
        <v>0</v>
      </c>
      <c r="AN1184" s="22">
        <f t="shared" si="1"/>
        <v>0</v>
      </c>
      <c r="AO1184" s="22">
        <f t="shared" si="2"/>
        <v>0</v>
      </c>
    </row>
    <row r="1185">
      <c r="C1185">
        <f>[1]发票导入!C1185&amp;""</f>
      </c>
      <c r="D1185">
        <f>[1]发票导入!D1185&amp;""</f>
      </c>
      <c r="O1185">
        <f>[1]发票导入!O1185&amp;""</f>
      </c>
      <c r="T1185">
        <f>[1]发票导入!T1185</f>
      </c>
      <c r="U1185">
        <f>[1]发票导入!U1185&amp;""</f>
      </c>
      <c r="V1185">
        <f>[1]发票导入!V1185&amp;""</f>
      </c>
      <c r="W1185">
        <f>[1]发票导入!W1185&amp;""</f>
      </c>
      <c r="Y1185">
        <f>[1]发票导入!Y1185&amp;""</f>
      </c>
      <c r="AA1185">
        <f>[1]发票导入!AA1185&amp;""</f>
      </c>
      <c r="AB1185">
        <f>[1]发票导入!AB1185</f>
        <v>0</v>
      </c>
      <c r="AC1185">
        <f>[1]发票导入!AC1185</f>
        <v>0</v>
      </c>
      <c r="AE1185" s="22">
        <f t="shared" si="0"/>
      </c>
      <c r="AI1185">
        <f>[1]发票导入!AI1185&amp;""</f>
      </c>
      <c r="AJ1185">
        <f>[1]发票导入!AJ1185&amp;""</f>
      </c>
      <c r="AK1185">
        <f>[1]发票导入!AK1185</f>
        <v>0</v>
      </c>
      <c r="AL1185">
        <f>[1]发票导入!AL1185</f>
        <v>0</v>
      </c>
      <c r="AM1185">
        <f>[1]发票导入!AM1185</f>
        <v>0</v>
      </c>
      <c r="AN1185" s="22">
        <f t="shared" si="1"/>
        <v>0</v>
      </c>
      <c r="AO1185" s="22">
        <f t="shared" si="2"/>
        <v>0</v>
      </c>
    </row>
    <row r="1186">
      <c r="C1186">
        <f>[1]发票导入!C1186&amp;""</f>
      </c>
      <c r="D1186">
        <f>[1]发票导入!D1186&amp;""</f>
      </c>
      <c r="O1186">
        <f>[1]发票导入!O1186&amp;""</f>
      </c>
      <c r="T1186">
        <f>[1]发票导入!T1186</f>
      </c>
      <c r="U1186">
        <f>[1]发票导入!U1186&amp;""</f>
      </c>
      <c r="V1186">
        <f>[1]发票导入!V1186&amp;""</f>
      </c>
      <c r="W1186">
        <f>[1]发票导入!W1186&amp;""</f>
      </c>
      <c r="Y1186">
        <f>[1]发票导入!Y1186&amp;""</f>
      </c>
      <c r="AA1186">
        <f>[1]发票导入!AA1186&amp;""</f>
      </c>
      <c r="AB1186">
        <f>[1]发票导入!AB1186</f>
        <v>0</v>
      </c>
      <c r="AC1186">
        <f>[1]发票导入!AC1186</f>
        <v>0</v>
      </c>
      <c r="AE1186" s="22">
        <f t="shared" si="0"/>
      </c>
      <c r="AI1186">
        <f>[1]发票导入!AI1186&amp;""</f>
      </c>
      <c r="AJ1186">
        <f>[1]发票导入!AJ1186&amp;""</f>
      </c>
      <c r="AK1186">
        <f>[1]发票导入!AK1186</f>
        <v>0</v>
      </c>
      <c r="AL1186">
        <f>[1]发票导入!AL1186</f>
        <v>0</v>
      </c>
      <c r="AM1186">
        <f>[1]发票导入!AM1186</f>
        <v>0</v>
      </c>
      <c r="AN1186" s="22">
        <f t="shared" si="1"/>
        <v>0</v>
      </c>
      <c r="AO1186" s="22">
        <f t="shared" si="2"/>
        <v>0</v>
      </c>
    </row>
    <row r="1187">
      <c r="C1187">
        <f>[1]发票导入!C1187&amp;""</f>
      </c>
      <c r="D1187">
        <f>[1]发票导入!D1187&amp;""</f>
      </c>
      <c r="O1187">
        <f>[1]发票导入!O1187&amp;""</f>
      </c>
      <c r="T1187">
        <f>[1]发票导入!T1187</f>
      </c>
      <c r="U1187">
        <f>[1]发票导入!U1187&amp;""</f>
      </c>
      <c r="V1187">
        <f>[1]发票导入!V1187&amp;""</f>
      </c>
      <c r="W1187">
        <f>[1]发票导入!W1187&amp;""</f>
      </c>
      <c r="Y1187">
        <f>[1]发票导入!Y1187&amp;""</f>
      </c>
      <c r="AA1187">
        <f>[1]发票导入!AA1187&amp;""</f>
      </c>
      <c r="AB1187">
        <f>[1]发票导入!AB1187</f>
        <v>0</v>
      </c>
      <c r="AC1187">
        <f>[1]发票导入!AC1187</f>
        <v>0</v>
      </c>
      <c r="AE1187" s="22">
        <f t="shared" si="0"/>
      </c>
      <c r="AI1187">
        <f>[1]发票导入!AI1187&amp;""</f>
      </c>
      <c r="AJ1187">
        <f>[1]发票导入!AJ1187&amp;""</f>
      </c>
      <c r="AK1187">
        <f>[1]发票导入!AK1187</f>
        <v>0</v>
      </c>
      <c r="AL1187">
        <f>[1]发票导入!AL1187</f>
        <v>0</v>
      </c>
      <c r="AM1187">
        <f>[1]发票导入!AM1187</f>
        <v>0</v>
      </c>
      <c r="AN1187" s="22">
        <f t="shared" si="1"/>
        <v>0</v>
      </c>
      <c r="AO1187" s="22">
        <f t="shared" si="2"/>
        <v>0</v>
      </c>
    </row>
    <row r="1188">
      <c r="C1188">
        <f>[1]发票导入!C1188&amp;""</f>
      </c>
      <c r="D1188">
        <f>[1]发票导入!D1188&amp;""</f>
      </c>
      <c r="O1188">
        <f>[1]发票导入!O1188&amp;""</f>
      </c>
      <c r="T1188">
        <f>[1]发票导入!T1188</f>
      </c>
      <c r="U1188">
        <f>[1]发票导入!U1188&amp;""</f>
      </c>
      <c r="V1188">
        <f>[1]发票导入!V1188&amp;""</f>
      </c>
      <c r="W1188">
        <f>[1]发票导入!W1188&amp;""</f>
      </c>
      <c r="Y1188">
        <f>[1]发票导入!Y1188&amp;""</f>
      </c>
      <c r="AA1188">
        <f>[1]发票导入!AA1188&amp;""</f>
      </c>
      <c r="AB1188">
        <f>[1]发票导入!AB1188</f>
        <v>0</v>
      </c>
      <c r="AC1188">
        <f>[1]发票导入!AC1188</f>
        <v>0</v>
      </c>
      <c r="AE1188" s="22">
        <f t="shared" si="0"/>
      </c>
      <c r="AI1188">
        <f>[1]发票导入!AI1188&amp;""</f>
      </c>
      <c r="AJ1188">
        <f>[1]发票导入!AJ1188&amp;""</f>
      </c>
      <c r="AK1188">
        <f>[1]发票导入!AK1188</f>
        <v>0</v>
      </c>
      <c r="AL1188">
        <f>[1]发票导入!AL1188</f>
        <v>0</v>
      </c>
      <c r="AM1188">
        <f>[1]发票导入!AM1188</f>
        <v>0</v>
      </c>
      <c r="AN1188" s="22">
        <f t="shared" si="1"/>
        <v>0</v>
      </c>
      <c r="AO1188" s="22">
        <f t="shared" si="2"/>
        <v>0</v>
      </c>
    </row>
    <row r="1189">
      <c r="C1189">
        <f>[1]发票导入!C1189&amp;""</f>
      </c>
      <c r="D1189">
        <f>[1]发票导入!D1189&amp;""</f>
      </c>
      <c r="O1189">
        <f>[1]发票导入!O1189&amp;""</f>
      </c>
      <c r="T1189">
        <f>[1]发票导入!T1189</f>
      </c>
      <c r="U1189">
        <f>[1]发票导入!U1189&amp;""</f>
      </c>
      <c r="V1189">
        <f>[1]发票导入!V1189&amp;""</f>
      </c>
      <c r="W1189">
        <f>[1]发票导入!W1189&amp;""</f>
      </c>
      <c r="Y1189">
        <f>[1]发票导入!Y1189&amp;""</f>
      </c>
      <c r="AA1189">
        <f>[1]发票导入!AA1189&amp;""</f>
      </c>
      <c r="AB1189">
        <f>[1]发票导入!AB1189</f>
        <v>0</v>
      </c>
      <c r="AC1189">
        <f>[1]发票导入!AC1189</f>
        <v>0</v>
      </c>
      <c r="AE1189" s="22">
        <f t="shared" si="0"/>
      </c>
      <c r="AI1189">
        <f>[1]发票导入!AI1189&amp;""</f>
      </c>
      <c r="AJ1189">
        <f>[1]发票导入!AJ1189&amp;""</f>
      </c>
      <c r="AK1189">
        <f>[1]发票导入!AK1189</f>
        <v>0</v>
      </c>
      <c r="AL1189">
        <f>[1]发票导入!AL1189</f>
        <v>0</v>
      </c>
      <c r="AM1189">
        <f>[1]发票导入!AM1189</f>
        <v>0</v>
      </c>
      <c r="AN1189" s="22">
        <f t="shared" si="1"/>
        <v>0</v>
      </c>
      <c r="AO1189" s="22">
        <f t="shared" si="2"/>
        <v>0</v>
      </c>
    </row>
    <row r="1190">
      <c r="C1190">
        <f>[1]发票导入!C1190&amp;""</f>
      </c>
      <c r="D1190">
        <f>[1]发票导入!D1190&amp;""</f>
      </c>
      <c r="O1190">
        <f>[1]发票导入!O1190&amp;""</f>
      </c>
      <c r="T1190">
        <f>[1]发票导入!T1190</f>
      </c>
      <c r="U1190">
        <f>[1]发票导入!U1190&amp;""</f>
      </c>
      <c r="V1190">
        <f>[1]发票导入!V1190&amp;""</f>
      </c>
      <c r="W1190">
        <f>[1]发票导入!W1190&amp;""</f>
      </c>
      <c r="Y1190">
        <f>[1]发票导入!Y1190&amp;""</f>
      </c>
      <c r="AA1190">
        <f>[1]发票导入!AA1190&amp;""</f>
      </c>
      <c r="AB1190">
        <f>[1]发票导入!AB1190</f>
        <v>0</v>
      </c>
      <c r="AC1190">
        <f>[1]发票导入!AC1190</f>
        <v>0</v>
      </c>
      <c r="AE1190" s="22">
        <f t="shared" si="0"/>
      </c>
      <c r="AI1190">
        <f>[1]发票导入!AI1190&amp;""</f>
      </c>
      <c r="AJ1190">
        <f>[1]发票导入!AJ1190&amp;""</f>
      </c>
      <c r="AK1190">
        <f>[1]发票导入!AK1190</f>
        <v>0</v>
      </c>
      <c r="AL1190">
        <f>[1]发票导入!AL1190</f>
        <v>0</v>
      </c>
      <c r="AM1190">
        <f>[1]发票导入!AM1190</f>
        <v>0</v>
      </c>
      <c r="AN1190" s="22">
        <f t="shared" si="1"/>
        <v>0</v>
      </c>
      <c r="AO1190" s="22">
        <f t="shared" si="2"/>
        <v>0</v>
      </c>
    </row>
    <row r="1191">
      <c r="C1191">
        <f>[1]发票导入!C1191&amp;""</f>
      </c>
      <c r="D1191">
        <f>[1]发票导入!D1191&amp;""</f>
      </c>
      <c r="O1191">
        <f>[1]发票导入!O1191&amp;""</f>
      </c>
      <c r="T1191">
        <f>[1]发票导入!T1191</f>
      </c>
      <c r="U1191">
        <f>[1]发票导入!U1191&amp;""</f>
      </c>
      <c r="V1191">
        <f>[1]发票导入!V1191&amp;""</f>
      </c>
      <c r="W1191">
        <f>[1]发票导入!W1191&amp;""</f>
      </c>
      <c r="Y1191">
        <f>[1]发票导入!Y1191&amp;""</f>
      </c>
      <c r="AA1191">
        <f>[1]发票导入!AA1191&amp;""</f>
      </c>
      <c r="AB1191">
        <f>[1]发票导入!AB1191</f>
        <v>0</v>
      </c>
      <c r="AC1191">
        <f>[1]发票导入!AC1191</f>
        <v>0</v>
      </c>
      <c r="AE1191" s="22">
        <f t="shared" si="0"/>
      </c>
      <c r="AI1191">
        <f>[1]发票导入!AI1191&amp;""</f>
      </c>
      <c r="AJ1191">
        <f>[1]发票导入!AJ1191&amp;""</f>
      </c>
      <c r="AK1191">
        <f>[1]发票导入!AK1191</f>
        <v>0</v>
      </c>
      <c r="AL1191">
        <f>[1]发票导入!AL1191</f>
        <v>0</v>
      </c>
      <c r="AM1191">
        <f>[1]发票导入!AM1191</f>
        <v>0</v>
      </c>
      <c r="AN1191" s="22">
        <f t="shared" si="1"/>
        <v>0</v>
      </c>
      <c r="AO1191" s="22">
        <f t="shared" si="2"/>
        <v>0</v>
      </c>
    </row>
    <row r="1192">
      <c r="C1192">
        <f>[1]发票导入!C1192&amp;""</f>
      </c>
      <c r="D1192">
        <f>[1]发票导入!D1192&amp;""</f>
      </c>
      <c r="O1192">
        <f>[1]发票导入!O1192&amp;""</f>
      </c>
      <c r="T1192">
        <f>[1]发票导入!T1192</f>
      </c>
      <c r="U1192">
        <f>[1]发票导入!U1192&amp;""</f>
      </c>
      <c r="V1192">
        <f>[1]发票导入!V1192&amp;""</f>
      </c>
      <c r="W1192">
        <f>[1]发票导入!W1192&amp;""</f>
      </c>
      <c r="Y1192">
        <f>[1]发票导入!Y1192&amp;""</f>
      </c>
      <c r="AA1192">
        <f>[1]发票导入!AA1192&amp;""</f>
      </c>
      <c r="AB1192">
        <f>[1]发票导入!AB1192</f>
        <v>0</v>
      </c>
      <c r="AC1192">
        <f>[1]发票导入!AC1192</f>
        <v>0</v>
      </c>
      <c r="AE1192" s="22">
        <f t="shared" si="0"/>
      </c>
      <c r="AI1192">
        <f>[1]发票导入!AI1192&amp;""</f>
      </c>
      <c r="AJ1192">
        <f>[1]发票导入!AJ1192&amp;""</f>
      </c>
      <c r="AK1192">
        <f>[1]发票导入!AK1192</f>
        <v>0</v>
      </c>
      <c r="AL1192">
        <f>[1]发票导入!AL1192</f>
        <v>0</v>
      </c>
      <c r="AM1192">
        <f>[1]发票导入!AM1192</f>
        <v>0</v>
      </c>
      <c r="AN1192" s="22">
        <f t="shared" si="1"/>
        <v>0</v>
      </c>
      <c r="AO1192" s="22">
        <f t="shared" si="2"/>
        <v>0</v>
      </c>
    </row>
    <row r="1193">
      <c r="C1193">
        <f>[1]发票导入!C1193&amp;""</f>
      </c>
      <c r="D1193">
        <f>[1]发票导入!D1193&amp;""</f>
      </c>
      <c r="O1193">
        <f>[1]发票导入!O1193&amp;""</f>
      </c>
      <c r="T1193">
        <f>[1]发票导入!T1193</f>
      </c>
      <c r="U1193">
        <f>[1]发票导入!U1193&amp;""</f>
      </c>
      <c r="V1193">
        <f>[1]发票导入!V1193&amp;""</f>
      </c>
      <c r="W1193">
        <f>[1]发票导入!W1193&amp;""</f>
      </c>
      <c r="Y1193">
        <f>[1]发票导入!Y1193&amp;""</f>
      </c>
      <c r="AA1193">
        <f>[1]发票导入!AA1193&amp;""</f>
      </c>
      <c r="AB1193">
        <f>[1]发票导入!AB1193</f>
        <v>0</v>
      </c>
      <c r="AC1193">
        <f>[1]发票导入!AC1193</f>
        <v>0</v>
      </c>
      <c r="AE1193" s="22">
        <f t="shared" si="0"/>
      </c>
      <c r="AI1193">
        <f>[1]发票导入!AI1193&amp;""</f>
      </c>
      <c r="AJ1193">
        <f>[1]发票导入!AJ1193&amp;""</f>
      </c>
      <c r="AK1193">
        <f>[1]发票导入!AK1193</f>
        <v>0</v>
      </c>
      <c r="AL1193">
        <f>[1]发票导入!AL1193</f>
        <v>0</v>
      </c>
      <c r="AM1193">
        <f>[1]发票导入!AM1193</f>
        <v>0</v>
      </c>
      <c r="AN1193" s="22">
        <f t="shared" si="1"/>
        <v>0</v>
      </c>
      <c r="AO1193" s="22">
        <f t="shared" si="2"/>
        <v>0</v>
      </c>
    </row>
    <row r="1194">
      <c r="C1194">
        <f>[1]发票导入!C1194&amp;""</f>
      </c>
      <c r="D1194">
        <f>[1]发票导入!D1194&amp;""</f>
      </c>
      <c r="O1194">
        <f>[1]发票导入!O1194&amp;""</f>
      </c>
      <c r="T1194">
        <f>[1]发票导入!T1194</f>
      </c>
      <c r="U1194">
        <f>[1]发票导入!U1194&amp;""</f>
      </c>
      <c r="V1194">
        <f>[1]发票导入!V1194&amp;""</f>
      </c>
      <c r="W1194">
        <f>[1]发票导入!W1194&amp;""</f>
      </c>
      <c r="Y1194">
        <f>[1]发票导入!Y1194&amp;""</f>
      </c>
      <c r="AA1194">
        <f>[1]发票导入!AA1194&amp;""</f>
      </c>
      <c r="AB1194">
        <f>[1]发票导入!AB1194</f>
        <v>0</v>
      </c>
      <c r="AC1194">
        <f>[1]发票导入!AC1194</f>
        <v>0</v>
      </c>
      <c r="AE1194" s="22">
        <f t="shared" si="0"/>
      </c>
      <c r="AI1194">
        <f>[1]发票导入!AI1194&amp;""</f>
      </c>
      <c r="AJ1194">
        <f>[1]发票导入!AJ1194&amp;""</f>
      </c>
      <c r="AK1194">
        <f>[1]发票导入!AK1194</f>
        <v>0</v>
      </c>
      <c r="AL1194">
        <f>[1]发票导入!AL1194</f>
        <v>0</v>
      </c>
      <c r="AM1194">
        <f>[1]发票导入!AM1194</f>
        <v>0</v>
      </c>
      <c r="AN1194" s="22">
        <f t="shared" si="1"/>
        <v>0</v>
      </c>
      <c r="AO1194" s="22">
        <f t="shared" si="2"/>
        <v>0</v>
      </c>
    </row>
    <row r="1195">
      <c r="C1195">
        <f>[1]发票导入!C1195&amp;""</f>
      </c>
      <c r="D1195">
        <f>[1]发票导入!D1195&amp;""</f>
      </c>
      <c r="O1195">
        <f>[1]发票导入!O1195&amp;""</f>
      </c>
      <c r="T1195">
        <f>[1]发票导入!T1195</f>
      </c>
      <c r="U1195">
        <f>[1]发票导入!U1195&amp;""</f>
      </c>
      <c r="V1195">
        <f>[1]发票导入!V1195&amp;""</f>
      </c>
      <c r="W1195">
        <f>[1]发票导入!W1195&amp;""</f>
      </c>
      <c r="Y1195">
        <f>[1]发票导入!Y1195&amp;""</f>
      </c>
      <c r="AA1195">
        <f>[1]发票导入!AA1195&amp;""</f>
      </c>
      <c r="AB1195">
        <f>[1]发票导入!AB1195</f>
        <v>0</v>
      </c>
      <c r="AC1195">
        <f>[1]发票导入!AC1195</f>
        <v>0</v>
      </c>
      <c r="AE1195" s="22">
        <f t="shared" si="0"/>
      </c>
      <c r="AI1195">
        <f>[1]发票导入!AI1195&amp;""</f>
      </c>
      <c r="AJ1195">
        <f>[1]发票导入!AJ1195&amp;""</f>
      </c>
      <c r="AK1195">
        <f>[1]发票导入!AK1195</f>
        <v>0</v>
      </c>
      <c r="AL1195">
        <f>[1]发票导入!AL1195</f>
        <v>0</v>
      </c>
      <c r="AM1195">
        <f>[1]发票导入!AM1195</f>
        <v>0</v>
      </c>
      <c r="AN1195" s="22">
        <f t="shared" si="1"/>
        <v>0</v>
      </c>
      <c r="AO1195" s="22">
        <f t="shared" si="2"/>
        <v>0</v>
      </c>
    </row>
    <row r="1196">
      <c r="C1196">
        <f>[1]发票导入!C1196&amp;""</f>
      </c>
      <c r="D1196">
        <f>[1]发票导入!D1196&amp;""</f>
      </c>
      <c r="O1196">
        <f>[1]发票导入!O1196&amp;""</f>
      </c>
      <c r="T1196">
        <f>[1]发票导入!T1196</f>
      </c>
      <c r="U1196">
        <f>[1]发票导入!U1196&amp;""</f>
      </c>
      <c r="V1196">
        <f>[1]发票导入!V1196&amp;""</f>
      </c>
      <c r="W1196">
        <f>[1]发票导入!W1196&amp;""</f>
      </c>
      <c r="Y1196">
        <f>[1]发票导入!Y1196&amp;""</f>
      </c>
      <c r="AA1196">
        <f>[1]发票导入!AA1196&amp;""</f>
      </c>
      <c r="AB1196">
        <f>[1]发票导入!AB1196</f>
        <v>0</v>
      </c>
      <c r="AC1196">
        <f>[1]发票导入!AC1196</f>
        <v>0</v>
      </c>
      <c r="AE1196" s="22">
        <f t="shared" si="0"/>
      </c>
      <c r="AI1196">
        <f>[1]发票导入!AI1196&amp;""</f>
      </c>
      <c r="AJ1196">
        <f>[1]发票导入!AJ1196&amp;""</f>
      </c>
      <c r="AK1196">
        <f>[1]发票导入!AK1196</f>
        <v>0</v>
      </c>
      <c r="AL1196">
        <f>[1]发票导入!AL1196</f>
        <v>0</v>
      </c>
      <c r="AM1196">
        <f>[1]发票导入!AM1196</f>
        <v>0</v>
      </c>
      <c r="AN1196" s="22">
        <f t="shared" si="1"/>
        <v>0</v>
      </c>
      <c r="AO1196" s="22">
        <f t="shared" si="2"/>
        <v>0</v>
      </c>
    </row>
    <row r="1197">
      <c r="C1197">
        <f>[1]发票导入!C1197&amp;""</f>
      </c>
      <c r="D1197">
        <f>[1]发票导入!D1197&amp;""</f>
      </c>
      <c r="O1197">
        <f>[1]发票导入!O1197&amp;""</f>
      </c>
      <c r="T1197">
        <f>[1]发票导入!T1197</f>
      </c>
      <c r="U1197">
        <f>[1]发票导入!U1197&amp;""</f>
      </c>
      <c r="V1197">
        <f>[1]发票导入!V1197&amp;""</f>
      </c>
      <c r="W1197">
        <f>[1]发票导入!W1197&amp;""</f>
      </c>
      <c r="Y1197">
        <f>[1]发票导入!Y1197&amp;""</f>
      </c>
      <c r="AA1197">
        <f>[1]发票导入!AA1197&amp;""</f>
      </c>
      <c r="AB1197">
        <f>[1]发票导入!AB1197</f>
        <v>0</v>
      </c>
      <c r="AC1197">
        <f>[1]发票导入!AC1197</f>
        <v>0</v>
      </c>
      <c r="AE1197" s="22">
        <f t="shared" si="0"/>
      </c>
      <c r="AI1197">
        <f>[1]发票导入!AI1197&amp;""</f>
      </c>
      <c r="AJ1197">
        <f>[1]发票导入!AJ1197&amp;""</f>
      </c>
      <c r="AK1197">
        <f>[1]发票导入!AK1197</f>
        <v>0</v>
      </c>
      <c r="AL1197">
        <f>[1]发票导入!AL1197</f>
        <v>0</v>
      </c>
      <c r="AM1197">
        <f>[1]发票导入!AM1197</f>
        <v>0</v>
      </c>
      <c r="AN1197" s="22">
        <f t="shared" si="1"/>
        <v>0</v>
      </c>
      <c r="AO1197" s="22">
        <f t="shared" si="2"/>
        <v>0</v>
      </c>
    </row>
    <row r="1198">
      <c r="C1198">
        <f>[1]发票导入!C1198&amp;""</f>
      </c>
      <c r="D1198">
        <f>[1]发票导入!D1198&amp;""</f>
      </c>
      <c r="O1198">
        <f>[1]发票导入!O1198&amp;""</f>
      </c>
      <c r="T1198">
        <f>[1]发票导入!T1198</f>
      </c>
      <c r="U1198">
        <f>[1]发票导入!U1198&amp;""</f>
      </c>
      <c r="V1198">
        <f>[1]发票导入!V1198&amp;""</f>
      </c>
      <c r="W1198">
        <f>[1]发票导入!W1198&amp;""</f>
      </c>
      <c r="Y1198">
        <f>[1]发票导入!Y1198&amp;""</f>
      </c>
      <c r="AA1198">
        <f>[1]发票导入!AA1198&amp;""</f>
      </c>
      <c r="AB1198">
        <f>[1]发票导入!AB1198</f>
        <v>0</v>
      </c>
      <c r="AC1198">
        <f>[1]发票导入!AC1198</f>
        <v>0</v>
      </c>
      <c r="AE1198" s="22">
        <f t="shared" si="0"/>
      </c>
      <c r="AI1198">
        <f>[1]发票导入!AI1198&amp;""</f>
      </c>
      <c r="AJ1198">
        <f>[1]发票导入!AJ1198&amp;""</f>
      </c>
      <c r="AK1198">
        <f>[1]发票导入!AK1198</f>
        <v>0</v>
      </c>
      <c r="AL1198">
        <f>[1]发票导入!AL1198</f>
        <v>0</v>
      </c>
      <c r="AM1198">
        <f>[1]发票导入!AM1198</f>
        <v>0</v>
      </c>
      <c r="AN1198" s="22">
        <f t="shared" si="1"/>
        <v>0</v>
      </c>
      <c r="AO1198" s="22">
        <f t="shared" si="2"/>
        <v>0</v>
      </c>
    </row>
    <row r="1199">
      <c r="C1199">
        <f>[1]发票导入!C1199&amp;""</f>
      </c>
      <c r="D1199">
        <f>[1]发票导入!D1199&amp;""</f>
      </c>
      <c r="O1199">
        <f>[1]发票导入!O1199&amp;""</f>
      </c>
      <c r="T1199">
        <f>[1]发票导入!T1199</f>
      </c>
      <c r="U1199">
        <f>[1]发票导入!U1199&amp;""</f>
      </c>
      <c r="V1199">
        <f>[1]发票导入!V1199&amp;""</f>
      </c>
      <c r="W1199">
        <f>[1]发票导入!W1199&amp;""</f>
      </c>
      <c r="Y1199">
        <f>[1]发票导入!Y1199&amp;""</f>
      </c>
      <c r="AA1199">
        <f>[1]发票导入!AA1199&amp;""</f>
      </c>
      <c r="AB1199">
        <f>[1]发票导入!AB1199</f>
        <v>0</v>
      </c>
      <c r="AC1199">
        <f>[1]发票导入!AC1199</f>
        <v>0</v>
      </c>
      <c r="AE1199" s="22">
        <f t="shared" si="0"/>
      </c>
      <c r="AI1199">
        <f>[1]发票导入!AI1199&amp;""</f>
      </c>
      <c r="AJ1199">
        <f>[1]发票导入!AJ1199&amp;""</f>
      </c>
      <c r="AK1199">
        <f>[1]发票导入!AK1199</f>
        <v>0</v>
      </c>
      <c r="AL1199">
        <f>[1]发票导入!AL1199</f>
        <v>0</v>
      </c>
      <c r="AM1199">
        <f>[1]发票导入!AM1199</f>
        <v>0</v>
      </c>
      <c r="AN1199" s="22">
        <f t="shared" si="1"/>
        <v>0</v>
      </c>
      <c r="AO1199" s="22">
        <f t="shared" si="2"/>
        <v>0</v>
      </c>
    </row>
    <row r="1200">
      <c r="C1200">
        <f>[1]发票导入!C1200&amp;""</f>
      </c>
      <c r="D1200">
        <f>[1]发票导入!D1200&amp;""</f>
      </c>
      <c r="O1200">
        <f>[1]发票导入!O1200&amp;""</f>
      </c>
      <c r="T1200">
        <f>[1]发票导入!T1200</f>
      </c>
      <c r="U1200">
        <f>[1]发票导入!U1200&amp;""</f>
      </c>
      <c r="V1200">
        <f>[1]发票导入!V1200&amp;""</f>
      </c>
      <c r="W1200">
        <f>[1]发票导入!W1200&amp;""</f>
      </c>
      <c r="Y1200">
        <f>[1]发票导入!Y1200&amp;""</f>
      </c>
      <c r="AA1200">
        <f>[1]发票导入!AA1200&amp;""</f>
      </c>
      <c r="AB1200">
        <f>[1]发票导入!AB1200</f>
        <v>0</v>
      </c>
      <c r="AC1200">
        <f>[1]发票导入!AC1200</f>
        <v>0</v>
      </c>
      <c r="AE1200" s="22">
        <f t="shared" si="0"/>
      </c>
      <c r="AI1200">
        <f>[1]发票导入!AI1200&amp;""</f>
      </c>
      <c r="AJ1200">
        <f>[1]发票导入!AJ1200&amp;""</f>
      </c>
      <c r="AK1200">
        <f>[1]发票导入!AK1200</f>
        <v>0</v>
      </c>
      <c r="AL1200">
        <f>[1]发票导入!AL1200</f>
        <v>0</v>
      </c>
      <c r="AM1200">
        <f>[1]发票导入!AM1200</f>
        <v>0</v>
      </c>
      <c r="AN1200" s="22">
        <f t="shared" si="1"/>
        <v>0</v>
      </c>
      <c r="AO1200" s="22">
        <f t="shared" si="2"/>
        <v>0</v>
      </c>
    </row>
    <row r="1201">
      <c r="C1201">
        <f>[1]发票导入!C1201&amp;""</f>
      </c>
      <c r="D1201">
        <f>[1]发票导入!D1201&amp;""</f>
      </c>
      <c r="O1201">
        <f>[1]发票导入!O1201&amp;""</f>
      </c>
      <c r="T1201">
        <f>[1]发票导入!T1201</f>
      </c>
      <c r="U1201">
        <f>[1]发票导入!U1201&amp;""</f>
      </c>
      <c r="V1201">
        <f>[1]发票导入!V1201&amp;""</f>
      </c>
      <c r="W1201">
        <f>[1]发票导入!W1201&amp;""</f>
      </c>
      <c r="Y1201">
        <f>[1]发票导入!Y1201&amp;""</f>
      </c>
      <c r="AA1201">
        <f>[1]发票导入!AA1201&amp;""</f>
      </c>
      <c r="AB1201">
        <f>[1]发票导入!AB1201</f>
        <v>0</v>
      </c>
      <c r="AC1201">
        <f>[1]发票导入!AC1201</f>
        <v>0</v>
      </c>
      <c r="AE1201" s="22">
        <f t="shared" si="0"/>
      </c>
      <c r="AI1201">
        <f>[1]发票导入!AI1201&amp;""</f>
      </c>
      <c r="AJ1201">
        <f>[1]发票导入!AJ1201&amp;""</f>
      </c>
      <c r="AK1201">
        <f>[1]发票导入!AK1201</f>
        <v>0</v>
      </c>
      <c r="AL1201">
        <f>[1]发票导入!AL1201</f>
        <v>0</v>
      </c>
      <c r="AM1201">
        <f>[1]发票导入!AM1201</f>
        <v>0</v>
      </c>
      <c r="AN1201" s="22">
        <f t="shared" si="1"/>
        <v>0</v>
      </c>
      <c r="AO1201" s="22">
        <f t="shared" si="2"/>
        <v>0</v>
      </c>
    </row>
    <row r="1202">
      <c r="C1202">
        <f>[1]发票导入!C1202&amp;""</f>
      </c>
      <c r="D1202">
        <f>[1]发票导入!D1202&amp;""</f>
      </c>
      <c r="O1202">
        <f>[1]发票导入!O1202&amp;""</f>
      </c>
      <c r="T1202">
        <f>[1]发票导入!T1202</f>
      </c>
      <c r="U1202">
        <f>[1]发票导入!U1202&amp;""</f>
      </c>
      <c r="V1202">
        <f>[1]发票导入!V1202&amp;""</f>
      </c>
      <c r="W1202">
        <f>[1]发票导入!W1202&amp;""</f>
      </c>
      <c r="Y1202">
        <f>[1]发票导入!Y1202&amp;""</f>
      </c>
      <c r="AA1202">
        <f>[1]发票导入!AA1202&amp;""</f>
      </c>
      <c r="AB1202">
        <f>[1]发票导入!AB1202</f>
        <v>0</v>
      </c>
      <c r="AC1202">
        <f>[1]发票导入!AC1202</f>
        <v>0</v>
      </c>
      <c r="AE1202" s="22">
        <f t="shared" si="0"/>
      </c>
      <c r="AI1202">
        <f>[1]发票导入!AI1202&amp;""</f>
      </c>
      <c r="AJ1202">
        <f>[1]发票导入!AJ1202&amp;""</f>
      </c>
      <c r="AK1202">
        <f>[1]发票导入!AK1202</f>
        <v>0</v>
      </c>
      <c r="AL1202">
        <f>[1]发票导入!AL1202</f>
        <v>0</v>
      </c>
      <c r="AM1202">
        <f>[1]发票导入!AM1202</f>
        <v>0</v>
      </c>
      <c r="AN1202" s="22">
        <f t="shared" si="1"/>
        <v>0</v>
      </c>
      <c r="AO1202" s="22">
        <f t="shared" si="2"/>
        <v>0</v>
      </c>
    </row>
    <row r="1203">
      <c r="C1203">
        <f>[1]发票导入!C1203&amp;""</f>
      </c>
      <c r="D1203">
        <f>[1]发票导入!D1203&amp;""</f>
      </c>
      <c r="O1203">
        <f>[1]发票导入!O1203&amp;""</f>
      </c>
      <c r="T1203">
        <f>[1]发票导入!T1203</f>
      </c>
      <c r="U1203">
        <f>[1]发票导入!U1203&amp;""</f>
      </c>
      <c r="V1203">
        <f>[1]发票导入!V1203&amp;""</f>
      </c>
      <c r="W1203">
        <f>[1]发票导入!W1203&amp;""</f>
      </c>
      <c r="Y1203">
        <f>[1]发票导入!Y1203&amp;""</f>
      </c>
      <c r="AA1203">
        <f>[1]发票导入!AA1203&amp;""</f>
      </c>
      <c r="AB1203">
        <f>[1]发票导入!AB1203</f>
        <v>0</v>
      </c>
      <c r="AC1203">
        <f>[1]发票导入!AC1203</f>
        <v>0</v>
      </c>
      <c r="AE1203" s="22">
        <f t="shared" si="0"/>
      </c>
      <c r="AI1203">
        <f>[1]发票导入!AI1203&amp;""</f>
      </c>
      <c r="AJ1203">
        <f>[1]发票导入!AJ1203&amp;""</f>
      </c>
      <c r="AK1203">
        <f>[1]发票导入!AK1203</f>
        <v>0</v>
      </c>
      <c r="AL1203">
        <f>[1]发票导入!AL1203</f>
        <v>0</v>
      </c>
      <c r="AM1203">
        <f>[1]发票导入!AM1203</f>
        <v>0</v>
      </c>
      <c r="AN1203" s="22">
        <f t="shared" si="1"/>
        <v>0</v>
      </c>
      <c r="AO1203" s="22">
        <f t="shared" si="2"/>
        <v>0</v>
      </c>
    </row>
    <row r="1204">
      <c r="C1204">
        <f>[1]发票导入!C1204&amp;""</f>
      </c>
      <c r="D1204">
        <f>[1]发票导入!D1204&amp;""</f>
      </c>
      <c r="O1204">
        <f>[1]发票导入!O1204&amp;""</f>
      </c>
      <c r="T1204">
        <f>[1]发票导入!T1204</f>
      </c>
      <c r="U1204">
        <f>[1]发票导入!U1204&amp;""</f>
      </c>
      <c r="V1204">
        <f>[1]发票导入!V1204&amp;""</f>
      </c>
      <c r="W1204">
        <f>[1]发票导入!W1204&amp;""</f>
      </c>
      <c r="Y1204">
        <f>[1]发票导入!Y1204&amp;""</f>
      </c>
      <c r="AA1204">
        <f>[1]发票导入!AA1204&amp;""</f>
      </c>
      <c r="AB1204">
        <f>[1]发票导入!AB1204</f>
        <v>0</v>
      </c>
      <c r="AC1204">
        <f>[1]发票导入!AC1204</f>
        <v>0</v>
      </c>
      <c r="AE1204" s="22">
        <f t="shared" si="0"/>
      </c>
      <c r="AI1204">
        <f>[1]发票导入!AI1204&amp;""</f>
      </c>
      <c r="AJ1204">
        <f>[1]发票导入!AJ1204&amp;""</f>
      </c>
      <c r="AK1204">
        <f>[1]发票导入!AK1204</f>
        <v>0</v>
      </c>
      <c r="AL1204">
        <f>[1]发票导入!AL1204</f>
        <v>0</v>
      </c>
      <c r="AM1204">
        <f>[1]发票导入!AM1204</f>
        <v>0</v>
      </c>
      <c r="AN1204" s="22">
        <f t="shared" si="1"/>
        <v>0</v>
      </c>
      <c r="AO1204" s="22">
        <f t="shared" si="2"/>
        <v>0</v>
      </c>
    </row>
    <row r="1205">
      <c r="C1205">
        <f>[1]发票导入!C1205&amp;""</f>
      </c>
      <c r="D1205">
        <f>[1]发票导入!D1205&amp;""</f>
      </c>
      <c r="O1205">
        <f>[1]发票导入!O1205&amp;""</f>
      </c>
      <c r="T1205">
        <f>[1]发票导入!T1205</f>
      </c>
      <c r="U1205">
        <f>[1]发票导入!U1205&amp;""</f>
      </c>
      <c r="V1205">
        <f>[1]发票导入!V1205&amp;""</f>
      </c>
      <c r="W1205">
        <f>[1]发票导入!W1205&amp;""</f>
      </c>
      <c r="Y1205">
        <f>[1]发票导入!Y1205&amp;""</f>
      </c>
      <c r="AA1205">
        <f>[1]发票导入!AA1205&amp;""</f>
      </c>
      <c r="AB1205">
        <f>[1]发票导入!AB1205</f>
        <v>0</v>
      </c>
      <c r="AC1205">
        <f>[1]发票导入!AC1205</f>
        <v>0</v>
      </c>
      <c r="AE1205" s="22">
        <f t="shared" si="0"/>
      </c>
      <c r="AI1205">
        <f>[1]发票导入!AI1205&amp;""</f>
      </c>
      <c r="AJ1205">
        <f>[1]发票导入!AJ1205&amp;""</f>
      </c>
      <c r="AK1205">
        <f>[1]发票导入!AK1205</f>
        <v>0</v>
      </c>
      <c r="AL1205">
        <f>[1]发票导入!AL1205</f>
        <v>0</v>
      </c>
      <c r="AM1205">
        <f>[1]发票导入!AM1205</f>
        <v>0</v>
      </c>
      <c r="AN1205" s="22">
        <f t="shared" si="1"/>
        <v>0</v>
      </c>
      <c r="AO1205" s="22">
        <f t="shared" si="2"/>
        <v>0</v>
      </c>
    </row>
    <row r="1206">
      <c r="C1206">
        <f>[1]发票导入!C1206&amp;""</f>
      </c>
      <c r="D1206">
        <f>[1]发票导入!D1206&amp;""</f>
      </c>
      <c r="O1206">
        <f>[1]发票导入!O1206&amp;""</f>
      </c>
      <c r="T1206">
        <f>[1]发票导入!T1206</f>
      </c>
      <c r="U1206">
        <f>[1]发票导入!U1206&amp;""</f>
      </c>
      <c r="V1206">
        <f>[1]发票导入!V1206&amp;""</f>
      </c>
      <c r="W1206">
        <f>[1]发票导入!W1206&amp;""</f>
      </c>
      <c r="Y1206">
        <f>[1]发票导入!Y1206&amp;""</f>
      </c>
      <c r="AA1206">
        <f>[1]发票导入!AA1206&amp;""</f>
      </c>
      <c r="AB1206">
        <f>[1]发票导入!AB1206</f>
        <v>0</v>
      </c>
      <c r="AC1206">
        <f>[1]发票导入!AC1206</f>
        <v>0</v>
      </c>
      <c r="AE1206" s="22">
        <f t="shared" si="0"/>
      </c>
      <c r="AI1206">
        <f>[1]发票导入!AI1206&amp;""</f>
      </c>
      <c r="AJ1206">
        <f>[1]发票导入!AJ1206&amp;""</f>
      </c>
      <c r="AK1206">
        <f>[1]发票导入!AK1206</f>
        <v>0</v>
      </c>
      <c r="AL1206">
        <f>[1]发票导入!AL1206</f>
        <v>0</v>
      </c>
      <c r="AM1206">
        <f>[1]发票导入!AM1206</f>
        <v>0</v>
      </c>
      <c r="AN1206" s="22">
        <f t="shared" si="1"/>
        <v>0</v>
      </c>
      <c r="AO1206" s="22">
        <f t="shared" si="2"/>
        <v>0</v>
      </c>
    </row>
    <row r="1207">
      <c r="C1207">
        <f>[1]发票导入!C1207&amp;""</f>
      </c>
      <c r="D1207">
        <f>[1]发票导入!D1207&amp;""</f>
      </c>
      <c r="O1207">
        <f>[1]发票导入!O1207&amp;""</f>
      </c>
      <c r="T1207">
        <f>[1]发票导入!T1207</f>
      </c>
      <c r="U1207">
        <f>[1]发票导入!U1207&amp;""</f>
      </c>
      <c r="V1207">
        <f>[1]发票导入!V1207&amp;""</f>
      </c>
      <c r="W1207">
        <f>[1]发票导入!W1207&amp;""</f>
      </c>
      <c r="Y1207">
        <f>[1]发票导入!Y1207&amp;""</f>
      </c>
      <c r="AA1207">
        <f>[1]发票导入!AA1207&amp;""</f>
      </c>
      <c r="AB1207">
        <f>[1]发票导入!AB1207</f>
        <v>0</v>
      </c>
      <c r="AC1207">
        <f>[1]发票导入!AC1207</f>
        <v>0</v>
      </c>
      <c r="AE1207" s="22">
        <f t="shared" si="0"/>
      </c>
      <c r="AI1207">
        <f>[1]发票导入!AI1207&amp;""</f>
      </c>
      <c r="AJ1207">
        <f>[1]发票导入!AJ1207&amp;""</f>
      </c>
      <c r="AK1207">
        <f>[1]发票导入!AK1207</f>
        <v>0</v>
      </c>
      <c r="AL1207">
        <f>[1]发票导入!AL1207</f>
        <v>0</v>
      </c>
      <c r="AM1207">
        <f>[1]发票导入!AM1207</f>
        <v>0</v>
      </c>
      <c r="AN1207" s="22">
        <f t="shared" si="1"/>
        <v>0</v>
      </c>
      <c r="AO1207" s="22">
        <f t="shared" si="2"/>
        <v>0</v>
      </c>
    </row>
    <row r="1208">
      <c r="C1208">
        <f>[1]发票导入!C1208&amp;""</f>
      </c>
      <c r="D1208">
        <f>[1]发票导入!D1208&amp;""</f>
      </c>
      <c r="O1208">
        <f>[1]发票导入!O1208&amp;""</f>
      </c>
      <c r="T1208">
        <f>[1]发票导入!T1208</f>
      </c>
      <c r="U1208">
        <f>[1]发票导入!U1208&amp;""</f>
      </c>
      <c r="V1208">
        <f>[1]发票导入!V1208&amp;""</f>
      </c>
      <c r="W1208">
        <f>[1]发票导入!W1208&amp;""</f>
      </c>
      <c r="Y1208">
        <f>[1]发票导入!Y1208&amp;""</f>
      </c>
      <c r="AA1208">
        <f>[1]发票导入!AA1208&amp;""</f>
      </c>
      <c r="AB1208">
        <f>[1]发票导入!AB1208</f>
        <v>0</v>
      </c>
      <c r="AC1208">
        <f>[1]发票导入!AC1208</f>
        <v>0</v>
      </c>
      <c r="AE1208" s="22">
        <f t="shared" si="0"/>
      </c>
      <c r="AI1208">
        <f>[1]发票导入!AI1208&amp;""</f>
      </c>
      <c r="AJ1208">
        <f>[1]发票导入!AJ1208&amp;""</f>
      </c>
      <c r="AK1208">
        <f>[1]发票导入!AK1208</f>
        <v>0</v>
      </c>
      <c r="AL1208">
        <f>[1]发票导入!AL1208</f>
        <v>0</v>
      </c>
      <c r="AM1208">
        <f>[1]发票导入!AM1208</f>
        <v>0</v>
      </c>
      <c r="AN1208" s="22">
        <f t="shared" si="1"/>
        <v>0</v>
      </c>
      <c r="AO1208" s="22">
        <f t="shared" si="2"/>
        <v>0</v>
      </c>
    </row>
    <row r="1209">
      <c r="C1209">
        <f>[1]发票导入!C1209&amp;""</f>
      </c>
      <c r="D1209">
        <f>[1]发票导入!D1209&amp;""</f>
      </c>
      <c r="O1209">
        <f>[1]发票导入!O1209&amp;""</f>
      </c>
      <c r="T1209">
        <f>[1]发票导入!T1209</f>
      </c>
      <c r="U1209">
        <f>[1]发票导入!U1209&amp;""</f>
      </c>
      <c r="V1209">
        <f>[1]发票导入!V1209&amp;""</f>
      </c>
      <c r="W1209">
        <f>[1]发票导入!W1209&amp;""</f>
      </c>
      <c r="Y1209">
        <f>[1]发票导入!Y1209&amp;""</f>
      </c>
      <c r="AA1209">
        <f>[1]发票导入!AA1209&amp;""</f>
      </c>
      <c r="AB1209">
        <f>[1]发票导入!AB1209</f>
        <v>0</v>
      </c>
      <c r="AC1209">
        <f>[1]发票导入!AC1209</f>
        <v>0</v>
      </c>
      <c r="AE1209" s="22">
        <f t="shared" si="0"/>
      </c>
      <c r="AI1209">
        <f>[1]发票导入!AI1209&amp;""</f>
      </c>
      <c r="AJ1209">
        <f>[1]发票导入!AJ1209&amp;""</f>
      </c>
      <c r="AK1209">
        <f>[1]发票导入!AK1209</f>
        <v>0</v>
      </c>
      <c r="AL1209">
        <f>[1]发票导入!AL1209</f>
        <v>0</v>
      </c>
      <c r="AM1209">
        <f>[1]发票导入!AM1209</f>
        <v>0</v>
      </c>
      <c r="AN1209" s="22">
        <f t="shared" si="1"/>
        <v>0</v>
      </c>
      <c r="AO1209" s="22">
        <f t="shared" si="2"/>
        <v>0</v>
      </c>
    </row>
    <row r="1210">
      <c r="C1210">
        <f>[1]发票导入!C1210&amp;""</f>
      </c>
      <c r="D1210">
        <f>[1]发票导入!D1210&amp;""</f>
      </c>
      <c r="O1210">
        <f>[1]发票导入!O1210&amp;""</f>
      </c>
      <c r="T1210">
        <f>[1]发票导入!T1210</f>
      </c>
      <c r="U1210">
        <f>[1]发票导入!U1210&amp;""</f>
      </c>
      <c r="V1210">
        <f>[1]发票导入!V1210&amp;""</f>
      </c>
      <c r="W1210">
        <f>[1]发票导入!W1210&amp;""</f>
      </c>
      <c r="Y1210">
        <f>[1]发票导入!Y1210&amp;""</f>
      </c>
      <c r="AA1210">
        <f>[1]发票导入!AA1210&amp;""</f>
      </c>
      <c r="AB1210">
        <f>[1]发票导入!AB1210</f>
        <v>0</v>
      </c>
      <c r="AC1210">
        <f>[1]发票导入!AC1210</f>
        <v>0</v>
      </c>
      <c r="AE1210" s="22">
        <f t="shared" si="0"/>
      </c>
      <c r="AI1210">
        <f>[1]发票导入!AI1210&amp;""</f>
      </c>
      <c r="AJ1210">
        <f>[1]发票导入!AJ1210&amp;""</f>
      </c>
      <c r="AK1210">
        <f>[1]发票导入!AK1210</f>
        <v>0</v>
      </c>
      <c r="AL1210">
        <f>[1]发票导入!AL1210</f>
        <v>0</v>
      </c>
      <c r="AM1210">
        <f>[1]发票导入!AM1210</f>
        <v>0</v>
      </c>
      <c r="AN1210" s="22">
        <f t="shared" si="1"/>
        <v>0</v>
      </c>
      <c r="AO1210" s="22">
        <f t="shared" si="2"/>
        <v>0</v>
      </c>
    </row>
    <row r="1211">
      <c r="C1211">
        <f>[1]发票导入!C1211&amp;""</f>
      </c>
      <c r="D1211">
        <f>[1]发票导入!D1211&amp;""</f>
      </c>
      <c r="O1211">
        <f>[1]发票导入!O1211&amp;""</f>
      </c>
      <c r="T1211">
        <f>[1]发票导入!T1211</f>
      </c>
      <c r="U1211">
        <f>[1]发票导入!U1211&amp;""</f>
      </c>
      <c r="V1211">
        <f>[1]发票导入!V1211&amp;""</f>
      </c>
      <c r="W1211">
        <f>[1]发票导入!W1211&amp;""</f>
      </c>
      <c r="Y1211">
        <f>[1]发票导入!Y1211&amp;""</f>
      </c>
      <c r="AA1211">
        <f>[1]发票导入!AA1211&amp;""</f>
      </c>
      <c r="AB1211">
        <f>[1]发票导入!AB1211</f>
        <v>0</v>
      </c>
      <c r="AC1211">
        <f>[1]发票导入!AC1211</f>
        <v>0</v>
      </c>
      <c r="AE1211" s="22">
        <f t="shared" si="0"/>
      </c>
      <c r="AI1211">
        <f>[1]发票导入!AI1211&amp;""</f>
      </c>
      <c r="AJ1211">
        <f>[1]发票导入!AJ1211&amp;""</f>
      </c>
      <c r="AK1211">
        <f>[1]发票导入!AK1211</f>
        <v>0</v>
      </c>
      <c r="AL1211">
        <f>[1]发票导入!AL1211</f>
        <v>0</v>
      </c>
      <c r="AM1211">
        <f>[1]发票导入!AM1211</f>
        <v>0</v>
      </c>
      <c r="AN1211" s="22">
        <f t="shared" si="1"/>
        <v>0</v>
      </c>
      <c r="AO1211" s="22">
        <f t="shared" si="2"/>
        <v>0</v>
      </c>
    </row>
    <row r="1212">
      <c r="C1212">
        <f>[1]发票导入!C1212&amp;""</f>
      </c>
      <c r="D1212">
        <f>[1]发票导入!D1212&amp;""</f>
      </c>
      <c r="O1212">
        <f>[1]发票导入!O1212&amp;""</f>
      </c>
      <c r="T1212">
        <f>[1]发票导入!T1212</f>
      </c>
      <c r="U1212">
        <f>[1]发票导入!U1212&amp;""</f>
      </c>
      <c r="V1212">
        <f>[1]发票导入!V1212&amp;""</f>
      </c>
      <c r="W1212">
        <f>[1]发票导入!W1212&amp;""</f>
      </c>
      <c r="Y1212">
        <f>[1]发票导入!Y1212&amp;""</f>
      </c>
      <c r="AA1212">
        <f>[1]发票导入!AA1212&amp;""</f>
      </c>
      <c r="AB1212">
        <f>[1]发票导入!AB1212</f>
        <v>0</v>
      </c>
      <c r="AC1212">
        <f>[1]发票导入!AC1212</f>
        <v>0</v>
      </c>
      <c r="AE1212" s="22">
        <f t="shared" si="0"/>
      </c>
      <c r="AI1212">
        <f>[1]发票导入!AI1212&amp;""</f>
      </c>
      <c r="AJ1212">
        <f>[1]发票导入!AJ1212&amp;""</f>
      </c>
      <c r="AK1212">
        <f>[1]发票导入!AK1212</f>
        <v>0</v>
      </c>
      <c r="AL1212">
        <f>[1]发票导入!AL1212</f>
        <v>0</v>
      </c>
      <c r="AM1212">
        <f>[1]发票导入!AM1212</f>
        <v>0</v>
      </c>
      <c r="AN1212" s="22">
        <f t="shared" si="1"/>
        <v>0</v>
      </c>
      <c r="AO1212" s="22">
        <f t="shared" si="2"/>
        <v>0</v>
      </c>
    </row>
    <row r="1213">
      <c r="C1213">
        <f>[1]发票导入!C1213&amp;""</f>
      </c>
      <c r="D1213">
        <f>[1]发票导入!D1213&amp;""</f>
      </c>
      <c r="O1213">
        <f>[1]发票导入!O1213&amp;""</f>
      </c>
      <c r="T1213">
        <f>[1]发票导入!T1213</f>
      </c>
      <c r="U1213">
        <f>[1]发票导入!U1213&amp;""</f>
      </c>
      <c r="V1213">
        <f>[1]发票导入!V1213&amp;""</f>
      </c>
      <c r="W1213">
        <f>[1]发票导入!W1213&amp;""</f>
      </c>
      <c r="Y1213">
        <f>[1]发票导入!Y1213&amp;""</f>
      </c>
      <c r="AA1213">
        <f>[1]发票导入!AA1213&amp;""</f>
      </c>
      <c r="AB1213">
        <f>[1]发票导入!AB1213</f>
        <v>0</v>
      </c>
      <c r="AC1213">
        <f>[1]发票导入!AC1213</f>
        <v>0</v>
      </c>
      <c r="AE1213" s="22">
        <f t="shared" si="0"/>
      </c>
      <c r="AI1213">
        <f>[1]发票导入!AI1213&amp;""</f>
      </c>
      <c r="AJ1213">
        <f>[1]发票导入!AJ1213&amp;""</f>
      </c>
      <c r="AK1213">
        <f>[1]发票导入!AK1213</f>
        <v>0</v>
      </c>
      <c r="AL1213">
        <f>[1]发票导入!AL1213</f>
        <v>0</v>
      </c>
      <c r="AM1213">
        <f>[1]发票导入!AM1213</f>
        <v>0</v>
      </c>
      <c r="AN1213" s="22">
        <f t="shared" si="1"/>
        <v>0</v>
      </c>
      <c r="AO1213" s="22">
        <f t="shared" si="2"/>
        <v>0</v>
      </c>
    </row>
    <row r="1214">
      <c r="C1214">
        <f>[1]发票导入!C1214&amp;""</f>
      </c>
      <c r="D1214">
        <f>[1]发票导入!D1214&amp;""</f>
      </c>
      <c r="O1214">
        <f>[1]发票导入!O1214&amp;""</f>
      </c>
      <c r="T1214">
        <f>[1]发票导入!T1214</f>
      </c>
      <c r="U1214">
        <f>[1]发票导入!U1214&amp;""</f>
      </c>
      <c r="V1214">
        <f>[1]发票导入!V1214&amp;""</f>
      </c>
      <c r="W1214">
        <f>[1]发票导入!W1214&amp;""</f>
      </c>
      <c r="Y1214">
        <f>[1]发票导入!Y1214&amp;""</f>
      </c>
      <c r="AA1214">
        <f>[1]发票导入!AA1214&amp;""</f>
      </c>
      <c r="AB1214">
        <f>[1]发票导入!AB1214</f>
        <v>0</v>
      </c>
      <c r="AC1214">
        <f>[1]发票导入!AC1214</f>
        <v>0</v>
      </c>
      <c r="AE1214" s="22">
        <f t="shared" si="0"/>
      </c>
      <c r="AI1214">
        <f>[1]发票导入!AI1214&amp;""</f>
      </c>
      <c r="AJ1214">
        <f>[1]发票导入!AJ1214&amp;""</f>
      </c>
      <c r="AK1214">
        <f>[1]发票导入!AK1214</f>
        <v>0</v>
      </c>
      <c r="AL1214">
        <f>[1]发票导入!AL1214</f>
        <v>0</v>
      </c>
      <c r="AM1214">
        <f>[1]发票导入!AM1214</f>
        <v>0</v>
      </c>
      <c r="AN1214" s="22">
        <f t="shared" si="1"/>
        <v>0</v>
      </c>
      <c r="AO1214" s="22">
        <f t="shared" si="2"/>
        <v>0</v>
      </c>
    </row>
    <row r="1215">
      <c r="C1215">
        <f>[1]发票导入!C1215&amp;""</f>
      </c>
      <c r="D1215">
        <f>[1]发票导入!D1215&amp;""</f>
      </c>
      <c r="O1215">
        <f>[1]发票导入!O1215&amp;""</f>
      </c>
      <c r="T1215">
        <f>[1]发票导入!T1215</f>
      </c>
      <c r="U1215">
        <f>[1]发票导入!U1215&amp;""</f>
      </c>
      <c r="V1215">
        <f>[1]发票导入!V1215&amp;""</f>
      </c>
      <c r="W1215">
        <f>[1]发票导入!W1215&amp;""</f>
      </c>
      <c r="Y1215">
        <f>[1]发票导入!Y1215&amp;""</f>
      </c>
      <c r="AA1215">
        <f>[1]发票导入!AA1215&amp;""</f>
      </c>
      <c r="AB1215">
        <f>[1]发票导入!AB1215</f>
        <v>0</v>
      </c>
      <c r="AC1215">
        <f>[1]发票导入!AC1215</f>
        <v>0</v>
      </c>
      <c r="AE1215" s="22">
        <f t="shared" si="0"/>
      </c>
      <c r="AI1215">
        <f>[1]发票导入!AI1215&amp;""</f>
      </c>
      <c r="AJ1215">
        <f>[1]发票导入!AJ1215&amp;""</f>
      </c>
      <c r="AK1215">
        <f>[1]发票导入!AK1215</f>
        <v>0</v>
      </c>
      <c r="AL1215">
        <f>[1]发票导入!AL1215</f>
        <v>0</v>
      </c>
      <c r="AM1215">
        <f>[1]发票导入!AM1215</f>
        <v>0</v>
      </c>
      <c r="AN1215" s="22">
        <f t="shared" si="1"/>
        <v>0</v>
      </c>
      <c r="AO1215" s="22">
        <f t="shared" si="2"/>
        <v>0</v>
      </c>
    </row>
    <row r="1216">
      <c r="C1216">
        <f>[1]发票导入!C1216&amp;""</f>
      </c>
      <c r="D1216">
        <f>[1]发票导入!D1216&amp;""</f>
      </c>
      <c r="O1216">
        <f>[1]发票导入!O1216&amp;""</f>
      </c>
      <c r="T1216">
        <f>[1]发票导入!T1216</f>
      </c>
      <c r="U1216">
        <f>[1]发票导入!U1216&amp;""</f>
      </c>
      <c r="V1216">
        <f>[1]发票导入!V1216&amp;""</f>
      </c>
      <c r="W1216">
        <f>[1]发票导入!W1216&amp;""</f>
      </c>
      <c r="Y1216">
        <f>[1]发票导入!Y1216&amp;""</f>
      </c>
      <c r="AA1216">
        <f>[1]发票导入!AA1216&amp;""</f>
      </c>
      <c r="AB1216">
        <f>[1]发票导入!AB1216</f>
        <v>0</v>
      </c>
      <c r="AC1216">
        <f>[1]发票导入!AC1216</f>
        <v>0</v>
      </c>
      <c r="AE1216" s="22">
        <f t="shared" si="0"/>
      </c>
      <c r="AI1216">
        <f>[1]发票导入!AI1216&amp;""</f>
      </c>
      <c r="AJ1216">
        <f>[1]发票导入!AJ1216&amp;""</f>
      </c>
      <c r="AK1216">
        <f>[1]发票导入!AK1216</f>
        <v>0</v>
      </c>
      <c r="AL1216">
        <f>[1]发票导入!AL1216</f>
        <v>0</v>
      </c>
      <c r="AM1216">
        <f>[1]发票导入!AM1216</f>
        <v>0</v>
      </c>
      <c r="AN1216" s="22">
        <f t="shared" si="1"/>
        <v>0</v>
      </c>
      <c r="AO1216" s="22">
        <f t="shared" si="2"/>
        <v>0</v>
      </c>
    </row>
    <row r="1217">
      <c r="C1217">
        <f>[1]发票导入!C1217&amp;""</f>
      </c>
      <c r="D1217">
        <f>[1]发票导入!D1217&amp;""</f>
      </c>
      <c r="O1217">
        <f>[1]发票导入!O1217&amp;""</f>
      </c>
      <c r="T1217">
        <f>[1]发票导入!T1217</f>
      </c>
      <c r="U1217">
        <f>[1]发票导入!U1217&amp;""</f>
      </c>
      <c r="V1217">
        <f>[1]发票导入!V1217&amp;""</f>
      </c>
      <c r="W1217">
        <f>[1]发票导入!W1217&amp;""</f>
      </c>
      <c r="Y1217">
        <f>[1]发票导入!Y1217&amp;""</f>
      </c>
      <c r="AA1217">
        <f>[1]发票导入!AA1217&amp;""</f>
      </c>
      <c r="AB1217">
        <f>[1]发票导入!AB1217</f>
        <v>0</v>
      </c>
      <c r="AC1217">
        <f>[1]发票导入!AC1217</f>
        <v>0</v>
      </c>
      <c r="AE1217" s="22">
        <f t="shared" si="0"/>
      </c>
      <c r="AI1217">
        <f>[1]发票导入!AI1217&amp;""</f>
      </c>
      <c r="AJ1217">
        <f>[1]发票导入!AJ1217&amp;""</f>
      </c>
      <c r="AK1217">
        <f>[1]发票导入!AK1217</f>
        <v>0</v>
      </c>
      <c r="AL1217">
        <f>[1]发票导入!AL1217</f>
        <v>0</v>
      </c>
      <c r="AM1217">
        <f>[1]发票导入!AM1217</f>
        <v>0</v>
      </c>
      <c r="AN1217" s="22">
        <f t="shared" si="1"/>
        <v>0</v>
      </c>
      <c r="AO1217" s="22">
        <f t="shared" si="2"/>
        <v>0</v>
      </c>
    </row>
    <row r="1218">
      <c r="C1218">
        <f>[1]发票导入!C1218&amp;""</f>
      </c>
      <c r="D1218">
        <f>[1]发票导入!D1218&amp;""</f>
      </c>
      <c r="O1218">
        <f>[1]发票导入!O1218&amp;""</f>
      </c>
      <c r="T1218">
        <f>[1]发票导入!T1218</f>
      </c>
      <c r="U1218">
        <f>[1]发票导入!U1218&amp;""</f>
      </c>
      <c r="V1218">
        <f>[1]发票导入!V1218&amp;""</f>
      </c>
      <c r="W1218">
        <f>[1]发票导入!W1218&amp;""</f>
      </c>
      <c r="Y1218">
        <f>[1]发票导入!Y1218&amp;""</f>
      </c>
      <c r="AA1218">
        <f>[1]发票导入!AA1218&amp;""</f>
      </c>
      <c r="AB1218">
        <f>[1]发票导入!AB1218</f>
        <v>0</v>
      </c>
      <c r="AC1218">
        <f>[1]发票导入!AC1218</f>
        <v>0</v>
      </c>
      <c r="AE1218" s="22">
        <f t="shared" si="0"/>
      </c>
      <c r="AI1218">
        <f>[1]发票导入!AI1218&amp;""</f>
      </c>
      <c r="AJ1218">
        <f>[1]发票导入!AJ1218&amp;""</f>
      </c>
      <c r="AK1218">
        <f>[1]发票导入!AK1218</f>
        <v>0</v>
      </c>
      <c r="AL1218">
        <f>[1]发票导入!AL1218</f>
        <v>0</v>
      </c>
      <c r="AM1218">
        <f>[1]发票导入!AM1218</f>
        <v>0</v>
      </c>
      <c r="AN1218" s="22">
        <f t="shared" si="1"/>
        <v>0</v>
      </c>
      <c r="AO1218" s="22">
        <f t="shared" si="2"/>
        <v>0</v>
      </c>
    </row>
    <row r="1219">
      <c r="C1219">
        <f>[1]发票导入!C1219&amp;""</f>
      </c>
      <c r="D1219">
        <f>[1]发票导入!D1219&amp;""</f>
      </c>
      <c r="O1219">
        <f>[1]发票导入!O1219&amp;""</f>
      </c>
      <c r="T1219">
        <f>[1]发票导入!T1219</f>
      </c>
      <c r="U1219">
        <f>[1]发票导入!U1219&amp;""</f>
      </c>
      <c r="V1219">
        <f>[1]发票导入!V1219&amp;""</f>
      </c>
      <c r="W1219">
        <f>[1]发票导入!W1219&amp;""</f>
      </c>
      <c r="Y1219">
        <f>[1]发票导入!Y1219&amp;""</f>
      </c>
      <c r="AA1219">
        <f>[1]发票导入!AA1219&amp;""</f>
      </c>
      <c r="AB1219">
        <f>[1]发票导入!AB1219</f>
        <v>0</v>
      </c>
      <c r="AC1219">
        <f>[1]发票导入!AC1219</f>
        <v>0</v>
      </c>
      <c r="AE1219" s="22">
        <f t="shared" si="0"/>
      </c>
      <c r="AI1219">
        <f>[1]发票导入!AI1219&amp;""</f>
      </c>
      <c r="AJ1219">
        <f>[1]发票导入!AJ1219&amp;""</f>
      </c>
      <c r="AK1219">
        <f>[1]发票导入!AK1219</f>
        <v>0</v>
      </c>
      <c r="AL1219">
        <f>[1]发票导入!AL1219</f>
        <v>0</v>
      </c>
      <c r="AM1219">
        <f>[1]发票导入!AM1219</f>
        <v>0</v>
      </c>
      <c r="AN1219" s="22">
        <f t="shared" si="1"/>
        <v>0</v>
      </c>
      <c r="AO1219" s="22">
        <f t="shared" si="2"/>
        <v>0</v>
      </c>
    </row>
    <row r="1220">
      <c r="C1220">
        <f>[1]发票导入!C1220&amp;""</f>
      </c>
      <c r="D1220">
        <f>[1]发票导入!D1220&amp;""</f>
      </c>
      <c r="O1220">
        <f>[1]发票导入!O1220&amp;""</f>
      </c>
      <c r="T1220">
        <f>[1]发票导入!T1220</f>
      </c>
      <c r="U1220">
        <f>[1]发票导入!U1220&amp;""</f>
      </c>
      <c r="V1220">
        <f>[1]发票导入!V1220&amp;""</f>
      </c>
      <c r="W1220">
        <f>[1]发票导入!W1220&amp;""</f>
      </c>
      <c r="Y1220">
        <f>[1]发票导入!Y1220&amp;""</f>
      </c>
      <c r="AA1220">
        <f>[1]发票导入!AA1220&amp;""</f>
      </c>
      <c r="AB1220">
        <f>[1]发票导入!AB1220</f>
        <v>0</v>
      </c>
      <c r="AC1220">
        <f>[1]发票导入!AC1220</f>
        <v>0</v>
      </c>
      <c r="AE1220" s="22">
        <f t="shared" si="0"/>
      </c>
      <c r="AI1220">
        <f>[1]发票导入!AI1220&amp;""</f>
      </c>
      <c r="AJ1220">
        <f>[1]发票导入!AJ1220&amp;""</f>
      </c>
      <c r="AK1220">
        <f>[1]发票导入!AK1220</f>
        <v>0</v>
      </c>
      <c r="AL1220">
        <f>[1]发票导入!AL1220</f>
        <v>0</v>
      </c>
      <c r="AM1220">
        <f>[1]发票导入!AM1220</f>
        <v>0</v>
      </c>
      <c r="AN1220" s="22">
        <f t="shared" si="1"/>
        <v>0</v>
      </c>
      <c r="AO1220" s="22">
        <f t="shared" si="2"/>
        <v>0</v>
      </c>
    </row>
    <row r="1221">
      <c r="C1221">
        <f>[1]发票导入!C1221&amp;""</f>
      </c>
      <c r="D1221">
        <f>[1]发票导入!D1221&amp;""</f>
      </c>
      <c r="O1221">
        <f>[1]发票导入!O1221&amp;""</f>
      </c>
      <c r="T1221">
        <f>[1]发票导入!T1221</f>
      </c>
      <c r="U1221">
        <f>[1]发票导入!U1221&amp;""</f>
      </c>
      <c r="V1221">
        <f>[1]发票导入!V1221&amp;""</f>
      </c>
      <c r="W1221">
        <f>[1]发票导入!W1221&amp;""</f>
      </c>
      <c r="Y1221">
        <f>[1]发票导入!Y1221&amp;""</f>
      </c>
      <c r="AA1221">
        <f>[1]发票导入!AA1221&amp;""</f>
      </c>
      <c r="AB1221">
        <f>[1]发票导入!AB1221</f>
        <v>0</v>
      </c>
      <c r="AC1221">
        <f>[1]发票导入!AC1221</f>
        <v>0</v>
      </c>
      <c r="AE1221" s="22">
        <f t="shared" si="0"/>
      </c>
      <c r="AI1221">
        <f>[1]发票导入!AI1221&amp;""</f>
      </c>
      <c r="AJ1221">
        <f>[1]发票导入!AJ1221&amp;""</f>
      </c>
      <c r="AK1221">
        <f>[1]发票导入!AK1221</f>
        <v>0</v>
      </c>
      <c r="AL1221">
        <f>[1]发票导入!AL1221</f>
        <v>0</v>
      </c>
      <c r="AM1221">
        <f>[1]发票导入!AM1221</f>
        <v>0</v>
      </c>
      <c r="AN1221" s="22">
        <f t="shared" si="1"/>
        <v>0</v>
      </c>
      <c r="AO1221" s="22">
        <f t="shared" si="2"/>
        <v>0</v>
      </c>
    </row>
    <row r="1222">
      <c r="C1222">
        <f>[1]发票导入!C1222&amp;""</f>
      </c>
      <c r="D1222">
        <f>[1]发票导入!D1222&amp;""</f>
      </c>
      <c r="O1222">
        <f>[1]发票导入!O1222&amp;""</f>
      </c>
      <c r="T1222">
        <f>[1]发票导入!T1222</f>
      </c>
      <c r="U1222">
        <f>[1]发票导入!U1222&amp;""</f>
      </c>
      <c r="V1222">
        <f>[1]发票导入!V1222&amp;""</f>
      </c>
      <c r="W1222">
        <f>[1]发票导入!W1222&amp;""</f>
      </c>
      <c r="Y1222">
        <f>[1]发票导入!Y1222&amp;""</f>
      </c>
      <c r="AA1222">
        <f>[1]发票导入!AA1222&amp;""</f>
      </c>
      <c r="AB1222">
        <f>[1]发票导入!AB1222</f>
        <v>0</v>
      </c>
      <c r="AC1222">
        <f>[1]发票导入!AC1222</f>
        <v>0</v>
      </c>
      <c r="AE1222" s="22">
        <f t="shared" si="0"/>
      </c>
      <c r="AI1222">
        <f>[1]发票导入!AI1222&amp;""</f>
      </c>
      <c r="AJ1222">
        <f>[1]发票导入!AJ1222&amp;""</f>
      </c>
      <c r="AK1222">
        <f>[1]发票导入!AK1222</f>
        <v>0</v>
      </c>
      <c r="AL1222">
        <f>[1]发票导入!AL1222</f>
        <v>0</v>
      </c>
      <c r="AM1222">
        <f>[1]发票导入!AM1222</f>
        <v>0</v>
      </c>
      <c r="AN1222" s="22">
        <f t="shared" si="1"/>
        <v>0</v>
      </c>
      <c r="AO1222" s="22">
        <f t="shared" si="2"/>
        <v>0</v>
      </c>
    </row>
    <row r="1223">
      <c r="C1223">
        <f>[1]发票导入!C1223&amp;""</f>
      </c>
      <c r="D1223">
        <f>[1]发票导入!D1223&amp;""</f>
      </c>
      <c r="O1223">
        <f>[1]发票导入!O1223&amp;""</f>
      </c>
      <c r="T1223">
        <f>[1]发票导入!T1223</f>
      </c>
      <c r="U1223">
        <f>[1]发票导入!U1223&amp;""</f>
      </c>
      <c r="V1223">
        <f>[1]发票导入!V1223&amp;""</f>
      </c>
      <c r="W1223">
        <f>[1]发票导入!W1223&amp;""</f>
      </c>
      <c r="Y1223">
        <f>[1]发票导入!Y1223&amp;""</f>
      </c>
      <c r="AA1223">
        <f>[1]发票导入!AA1223&amp;""</f>
      </c>
      <c r="AB1223">
        <f>[1]发票导入!AB1223</f>
        <v>0</v>
      </c>
      <c r="AC1223">
        <f>[1]发票导入!AC1223</f>
        <v>0</v>
      </c>
      <c r="AE1223" s="22">
        <f t="shared" si="0"/>
      </c>
      <c r="AI1223">
        <f>[1]发票导入!AI1223&amp;""</f>
      </c>
      <c r="AJ1223">
        <f>[1]发票导入!AJ1223&amp;""</f>
      </c>
      <c r="AK1223">
        <f>[1]发票导入!AK1223</f>
        <v>0</v>
      </c>
      <c r="AL1223">
        <f>[1]发票导入!AL1223</f>
        <v>0</v>
      </c>
      <c r="AM1223">
        <f>[1]发票导入!AM1223</f>
        <v>0</v>
      </c>
      <c r="AN1223" s="22">
        <f t="shared" si="1"/>
        <v>0</v>
      </c>
      <c r="AO1223" s="22">
        <f t="shared" si="2"/>
        <v>0</v>
      </c>
    </row>
    <row r="1224">
      <c r="C1224">
        <f>[1]发票导入!C1224&amp;""</f>
      </c>
      <c r="D1224">
        <f>[1]发票导入!D1224&amp;""</f>
      </c>
      <c r="O1224">
        <f>[1]发票导入!O1224&amp;""</f>
      </c>
      <c r="T1224">
        <f>[1]发票导入!T1224</f>
      </c>
      <c r="U1224">
        <f>[1]发票导入!U1224&amp;""</f>
      </c>
      <c r="V1224">
        <f>[1]发票导入!V1224&amp;""</f>
      </c>
      <c r="W1224">
        <f>[1]发票导入!W1224&amp;""</f>
      </c>
      <c r="Y1224">
        <f>[1]发票导入!Y1224&amp;""</f>
      </c>
      <c r="AA1224">
        <f>[1]发票导入!AA1224&amp;""</f>
      </c>
      <c r="AB1224">
        <f>[1]发票导入!AB1224</f>
        <v>0</v>
      </c>
      <c r="AC1224">
        <f>[1]发票导入!AC1224</f>
        <v>0</v>
      </c>
      <c r="AE1224" s="22">
        <f t="shared" si="0"/>
      </c>
      <c r="AI1224">
        <f>[1]发票导入!AI1224&amp;""</f>
      </c>
      <c r="AJ1224">
        <f>[1]发票导入!AJ1224&amp;""</f>
      </c>
      <c r="AK1224">
        <f>[1]发票导入!AK1224</f>
        <v>0</v>
      </c>
      <c r="AL1224">
        <f>[1]发票导入!AL1224</f>
        <v>0</v>
      </c>
      <c r="AM1224">
        <f>[1]发票导入!AM1224</f>
        <v>0</v>
      </c>
      <c r="AN1224" s="22">
        <f t="shared" si="1"/>
        <v>0</v>
      </c>
      <c r="AO1224" s="22">
        <f t="shared" si="2"/>
        <v>0</v>
      </c>
    </row>
    <row r="1225">
      <c r="C1225">
        <f>[1]发票导入!C1225&amp;""</f>
      </c>
      <c r="D1225">
        <f>[1]发票导入!D1225&amp;""</f>
      </c>
      <c r="O1225">
        <f>[1]发票导入!O1225&amp;""</f>
      </c>
      <c r="T1225">
        <f>[1]发票导入!T1225</f>
      </c>
      <c r="U1225">
        <f>[1]发票导入!U1225&amp;""</f>
      </c>
      <c r="V1225">
        <f>[1]发票导入!V1225&amp;""</f>
      </c>
      <c r="W1225">
        <f>[1]发票导入!W1225&amp;""</f>
      </c>
      <c r="Y1225">
        <f>[1]发票导入!Y1225&amp;""</f>
      </c>
      <c r="AA1225">
        <f>[1]发票导入!AA1225&amp;""</f>
      </c>
      <c r="AB1225">
        <f>[1]发票导入!AB1225</f>
        <v>0</v>
      </c>
      <c r="AC1225">
        <f>[1]发票导入!AC1225</f>
        <v>0</v>
      </c>
      <c r="AE1225" s="22">
        <f t="shared" si="0"/>
      </c>
      <c r="AI1225">
        <f>[1]发票导入!AI1225&amp;""</f>
      </c>
      <c r="AJ1225">
        <f>[1]发票导入!AJ1225&amp;""</f>
      </c>
      <c r="AK1225">
        <f>[1]发票导入!AK1225</f>
        <v>0</v>
      </c>
      <c r="AL1225">
        <f>[1]发票导入!AL1225</f>
        <v>0</v>
      </c>
      <c r="AM1225">
        <f>[1]发票导入!AM1225</f>
        <v>0</v>
      </c>
      <c r="AN1225" s="22">
        <f t="shared" si="1"/>
        <v>0</v>
      </c>
      <c r="AO1225" s="22">
        <f t="shared" si="2"/>
        <v>0</v>
      </c>
    </row>
    <row r="1226">
      <c r="C1226">
        <f>[1]发票导入!C1226&amp;""</f>
      </c>
      <c r="D1226">
        <f>[1]发票导入!D1226&amp;""</f>
      </c>
      <c r="O1226">
        <f>[1]发票导入!O1226&amp;""</f>
      </c>
      <c r="T1226">
        <f>[1]发票导入!T1226</f>
      </c>
      <c r="U1226">
        <f>[1]发票导入!U1226&amp;""</f>
      </c>
      <c r="V1226">
        <f>[1]发票导入!V1226&amp;""</f>
      </c>
      <c r="W1226">
        <f>[1]发票导入!W1226&amp;""</f>
      </c>
      <c r="Y1226">
        <f>[1]发票导入!Y1226&amp;""</f>
      </c>
      <c r="AA1226">
        <f>[1]发票导入!AA1226&amp;""</f>
      </c>
      <c r="AB1226">
        <f>[1]发票导入!AB1226</f>
        <v>0</v>
      </c>
      <c r="AC1226">
        <f>[1]发票导入!AC1226</f>
        <v>0</v>
      </c>
      <c r="AE1226" s="22">
        <f t="shared" si="0"/>
      </c>
      <c r="AI1226">
        <f>[1]发票导入!AI1226&amp;""</f>
      </c>
      <c r="AJ1226">
        <f>[1]发票导入!AJ1226&amp;""</f>
      </c>
      <c r="AK1226">
        <f>[1]发票导入!AK1226</f>
        <v>0</v>
      </c>
      <c r="AL1226">
        <f>[1]发票导入!AL1226</f>
        <v>0</v>
      </c>
      <c r="AM1226">
        <f>[1]发票导入!AM1226</f>
        <v>0</v>
      </c>
      <c r="AN1226" s="22">
        <f t="shared" si="1"/>
        <v>0</v>
      </c>
      <c r="AO1226" s="22">
        <f t="shared" si="2"/>
        <v>0</v>
      </c>
    </row>
    <row r="1227">
      <c r="C1227">
        <f>[1]发票导入!C1227&amp;""</f>
      </c>
      <c r="D1227">
        <f>[1]发票导入!D1227&amp;""</f>
      </c>
      <c r="O1227">
        <f>[1]发票导入!O1227&amp;""</f>
      </c>
      <c r="T1227">
        <f>[1]发票导入!T1227</f>
      </c>
      <c r="U1227">
        <f>[1]发票导入!U1227&amp;""</f>
      </c>
      <c r="V1227">
        <f>[1]发票导入!V1227&amp;""</f>
      </c>
      <c r="W1227">
        <f>[1]发票导入!W1227&amp;""</f>
      </c>
      <c r="Y1227">
        <f>[1]发票导入!Y1227&amp;""</f>
      </c>
      <c r="AA1227">
        <f>[1]发票导入!AA1227&amp;""</f>
      </c>
      <c r="AB1227">
        <f>[1]发票导入!AB1227</f>
        <v>0</v>
      </c>
      <c r="AC1227">
        <f>[1]发票导入!AC1227</f>
        <v>0</v>
      </c>
      <c r="AE1227" s="22">
        <f t="shared" si="0"/>
      </c>
      <c r="AI1227">
        <f>[1]发票导入!AI1227&amp;""</f>
      </c>
      <c r="AJ1227">
        <f>[1]发票导入!AJ1227&amp;""</f>
      </c>
      <c r="AK1227">
        <f>[1]发票导入!AK1227</f>
        <v>0</v>
      </c>
      <c r="AL1227">
        <f>[1]发票导入!AL1227</f>
        <v>0</v>
      </c>
      <c r="AM1227">
        <f>[1]发票导入!AM1227</f>
        <v>0</v>
      </c>
      <c r="AN1227" s="22">
        <f t="shared" si="1"/>
        <v>0</v>
      </c>
      <c r="AO1227" s="22">
        <f t="shared" si="2"/>
        <v>0</v>
      </c>
    </row>
    <row r="1228">
      <c r="C1228">
        <f>[1]发票导入!C1228&amp;""</f>
      </c>
      <c r="D1228">
        <f>[1]发票导入!D1228&amp;""</f>
      </c>
      <c r="O1228">
        <f>[1]发票导入!O1228&amp;""</f>
      </c>
      <c r="T1228">
        <f>[1]发票导入!T1228</f>
      </c>
      <c r="U1228">
        <f>[1]发票导入!U1228&amp;""</f>
      </c>
      <c r="V1228">
        <f>[1]发票导入!V1228&amp;""</f>
      </c>
      <c r="W1228">
        <f>[1]发票导入!W1228&amp;""</f>
      </c>
      <c r="Y1228">
        <f>[1]发票导入!Y1228&amp;""</f>
      </c>
      <c r="AA1228">
        <f>[1]发票导入!AA1228&amp;""</f>
      </c>
      <c r="AB1228">
        <f>[1]发票导入!AB1228</f>
        <v>0</v>
      </c>
      <c r="AC1228">
        <f>[1]发票导入!AC1228</f>
        <v>0</v>
      </c>
      <c r="AE1228" s="22">
        <f t="shared" si="0"/>
      </c>
      <c r="AI1228">
        <f>[1]发票导入!AI1228&amp;""</f>
      </c>
      <c r="AJ1228">
        <f>[1]发票导入!AJ1228&amp;""</f>
      </c>
      <c r="AK1228">
        <f>[1]发票导入!AK1228</f>
        <v>0</v>
      </c>
      <c r="AL1228">
        <f>[1]发票导入!AL1228</f>
        <v>0</v>
      </c>
      <c r="AM1228">
        <f>[1]发票导入!AM1228</f>
        <v>0</v>
      </c>
      <c r="AN1228" s="22">
        <f t="shared" si="1"/>
        <v>0</v>
      </c>
      <c r="AO1228" s="22">
        <f t="shared" si="2"/>
        <v>0</v>
      </c>
    </row>
    <row r="1229">
      <c r="C1229">
        <f>[1]发票导入!C1229&amp;""</f>
      </c>
      <c r="D1229">
        <f>[1]发票导入!D1229&amp;""</f>
      </c>
      <c r="O1229">
        <f>[1]发票导入!O1229&amp;""</f>
      </c>
      <c r="T1229">
        <f>[1]发票导入!T1229</f>
      </c>
      <c r="U1229">
        <f>[1]发票导入!U1229&amp;""</f>
      </c>
      <c r="V1229">
        <f>[1]发票导入!V1229&amp;""</f>
      </c>
      <c r="W1229">
        <f>[1]发票导入!W1229&amp;""</f>
      </c>
      <c r="Y1229">
        <f>[1]发票导入!Y1229&amp;""</f>
      </c>
      <c r="AA1229">
        <f>[1]发票导入!AA1229&amp;""</f>
      </c>
      <c r="AB1229">
        <f>[1]发票导入!AB1229</f>
        <v>0</v>
      </c>
      <c r="AC1229">
        <f>[1]发票导入!AC1229</f>
        <v>0</v>
      </c>
      <c r="AE1229" s="22">
        <f t="shared" si="0"/>
      </c>
      <c r="AI1229">
        <f>[1]发票导入!AI1229&amp;""</f>
      </c>
      <c r="AJ1229">
        <f>[1]发票导入!AJ1229&amp;""</f>
      </c>
      <c r="AK1229">
        <f>[1]发票导入!AK1229</f>
        <v>0</v>
      </c>
      <c r="AL1229">
        <f>[1]发票导入!AL1229</f>
        <v>0</v>
      </c>
      <c r="AM1229">
        <f>[1]发票导入!AM1229</f>
        <v>0</v>
      </c>
      <c r="AN1229" s="22">
        <f t="shared" si="1"/>
        <v>0</v>
      </c>
      <c r="AO1229" s="22">
        <f t="shared" si="2"/>
        <v>0</v>
      </c>
    </row>
    <row r="1230">
      <c r="C1230">
        <f>[1]发票导入!C1230&amp;""</f>
      </c>
      <c r="D1230">
        <f>[1]发票导入!D1230&amp;""</f>
      </c>
      <c r="O1230">
        <f>[1]发票导入!O1230&amp;""</f>
      </c>
      <c r="T1230">
        <f>[1]发票导入!T1230</f>
      </c>
      <c r="U1230">
        <f>[1]发票导入!U1230&amp;""</f>
      </c>
      <c r="V1230">
        <f>[1]发票导入!V1230&amp;""</f>
      </c>
      <c r="W1230">
        <f>[1]发票导入!W1230&amp;""</f>
      </c>
      <c r="Y1230">
        <f>[1]发票导入!Y1230&amp;""</f>
      </c>
      <c r="AA1230">
        <f>[1]发票导入!AA1230&amp;""</f>
      </c>
      <c r="AB1230">
        <f>[1]发票导入!AB1230</f>
        <v>0</v>
      </c>
      <c r="AC1230">
        <f>[1]发票导入!AC1230</f>
        <v>0</v>
      </c>
      <c r="AE1230" s="22">
        <f t="shared" si="0"/>
      </c>
      <c r="AI1230">
        <f>[1]发票导入!AI1230&amp;""</f>
      </c>
      <c r="AJ1230">
        <f>[1]发票导入!AJ1230&amp;""</f>
      </c>
      <c r="AK1230">
        <f>[1]发票导入!AK1230</f>
        <v>0</v>
      </c>
      <c r="AL1230">
        <f>[1]发票导入!AL1230</f>
        <v>0</v>
      </c>
      <c r="AM1230">
        <f>[1]发票导入!AM1230</f>
        <v>0</v>
      </c>
      <c r="AN1230" s="22">
        <f t="shared" si="1"/>
        <v>0</v>
      </c>
      <c r="AO1230" s="22">
        <f t="shared" si="2"/>
        <v>0</v>
      </c>
    </row>
    <row r="1231">
      <c r="C1231">
        <f>[1]发票导入!C1231&amp;""</f>
      </c>
      <c r="D1231">
        <f>[1]发票导入!D1231&amp;""</f>
      </c>
      <c r="O1231">
        <f>[1]发票导入!O1231&amp;""</f>
      </c>
      <c r="T1231">
        <f>[1]发票导入!T1231</f>
      </c>
      <c r="U1231">
        <f>[1]发票导入!U1231&amp;""</f>
      </c>
      <c r="V1231">
        <f>[1]发票导入!V1231&amp;""</f>
      </c>
      <c r="W1231">
        <f>[1]发票导入!W1231&amp;""</f>
      </c>
      <c r="Y1231">
        <f>[1]发票导入!Y1231&amp;""</f>
      </c>
      <c r="AA1231">
        <f>[1]发票导入!AA1231&amp;""</f>
      </c>
      <c r="AB1231">
        <f>[1]发票导入!AB1231</f>
        <v>0</v>
      </c>
      <c r="AC1231">
        <f>[1]发票导入!AC1231</f>
        <v>0</v>
      </c>
      <c r="AE1231" s="22">
        <f t="shared" si="0"/>
      </c>
      <c r="AI1231">
        <f>[1]发票导入!AI1231&amp;""</f>
      </c>
      <c r="AJ1231">
        <f>[1]发票导入!AJ1231&amp;""</f>
      </c>
      <c r="AK1231">
        <f>[1]发票导入!AK1231</f>
        <v>0</v>
      </c>
      <c r="AL1231">
        <f>[1]发票导入!AL1231</f>
        <v>0</v>
      </c>
      <c r="AM1231">
        <f>[1]发票导入!AM1231</f>
        <v>0</v>
      </c>
      <c r="AN1231" s="22">
        <f t="shared" si="1"/>
        <v>0</v>
      </c>
      <c r="AO1231" s="22">
        <f t="shared" si="2"/>
        <v>0</v>
      </c>
    </row>
    <row r="1232">
      <c r="C1232">
        <f>[1]发票导入!C1232&amp;""</f>
      </c>
      <c r="D1232">
        <f>[1]发票导入!D1232&amp;""</f>
      </c>
      <c r="O1232">
        <f>[1]发票导入!O1232&amp;""</f>
      </c>
      <c r="T1232">
        <f>[1]发票导入!T1232</f>
      </c>
      <c r="U1232">
        <f>[1]发票导入!U1232&amp;""</f>
      </c>
      <c r="V1232">
        <f>[1]发票导入!V1232&amp;""</f>
      </c>
      <c r="W1232">
        <f>[1]发票导入!W1232&amp;""</f>
      </c>
      <c r="Y1232">
        <f>[1]发票导入!Y1232&amp;""</f>
      </c>
      <c r="AA1232">
        <f>[1]发票导入!AA1232&amp;""</f>
      </c>
      <c r="AB1232">
        <f>[1]发票导入!AB1232</f>
        <v>0</v>
      </c>
      <c r="AC1232">
        <f>[1]发票导入!AC1232</f>
        <v>0</v>
      </c>
      <c r="AE1232" s="22">
        <f t="shared" si="0"/>
      </c>
      <c r="AI1232">
        <f>[1]发票导入!AI1232&amp;""</f>
      </c>
      <c r="AJ1232">
        <f>[1]发票导入!AJ1232&amp;""</f>
      </c>
      <c r="AK1232">
        <f>[1]发票导入!AK1232</f>
        <v>0</v>
      </c>
      <c r="AL1232">
        <f>[1]发票导入!AL1232</f>
        <v>0</v>
      </c>
      <c r="AM1232">
        <f>[1]发票导入!AM1232</f>
        <v>0</v>
      </c>
      <c r="AN1232" s="22">
        <f t="shared" si="1"/>
        <v>0</v>
      </c>
      <c r="AO1232" s="22">
        <f t="shared" si="2"/>
        <v>0</v>
      </c>
    </row>
    <row r="1233">
      <c r="C1233">
        <f>[1]发票导入!C1233&amp;""</f>
      </c>
      <c r="D1233">
        <f>[1]发票导入!D1233&amp;""</f>
      </c>
      <c r="O1233">
        <f>[1]发票导入!O1233&amp;""</f>
      </c>
      <c r="T1233">
        <f>[1]发票导入!T1233</f>
      </c>
      <c r="U1233">
        <f>[1]发票导入!U1233&amp;""</f>
      </c>
      <c r="V1233">
        <f>[1]发票导入!V1233&amp;""</f>
      </c>
      <c r="W1233">
        <f>[1]发票导入!W1233&amp;""</f>
      </c>
      <c r="Y1233">
        <f>[1]发票导入!Y1233&amp;""</f>
      </c>
      <c r="AA1233">
        <f>[1]发票导入!AA1233&amp;""</f>
      </c>
      <c r="AB1233">
        <f>[1]发票导入!AB1233</f>
        <v>0</v>
      </c>
      <c r="AC1233">
        <f>[1]发票导入!AC1233</f>
        <v>0</v>
      </c>
      <c r="AE1233" s="22">
        <f t="shared" si="0"/>
      </c>
      <c r="AI1233">
        <f>[1]发票导入!AI1233&amp;""</f>
      </c>
      <c r="AJ1233">
        <f>[1]发票导入!AJ1233&amp;""</f>
      </c>
      <c r="AK1233">
        <f>[1]发票导入!AK1233</f>
        <v>0</v>
      </c>
      <c r="AL1233">
        <f>[1]发票导入!AL1233</f>
        <v>0</v>
      </c>
      <c r="AM1233">
        <f>[1]发票导入!AM1233</f>
        <v>0</v>
      </c>
      <c r="AN1233" s="22">
        <f t="shared" si="1"/>
        <v>0</v>
      </c>
      <c r="AO1233" s="22">
        <f t="shared" si="2"/>
        <v>0</v>
      </c>
    </row>
    <row r="1234">
      <c r="C1234">
        <f>[1]发票导入!C1234&amp;""</f>
      </c>
      <c r="D1234">
        <f>[1]发票导入!D1234&amp;""</f>
      </c>
      <c r="O1234">
        <f>[1]发票导入!O1234&amp;""</f>
      </c>
      <c r="T1234">
        <f>[1]发票导入!T1234</f>
      </c>
      <c r="U1234">
        <f>[1]发票导入!U1234&amp;""</f>
      </c>
      <c r="V1234">
        <f>[1]发票导入!V1234&amp;""</f>
      </c>
      <c r="W1234">
        <f>[1]发票导入!W1234&amp;""</f>
      </c>
      <c r="Y1234">
        <f>[1]发票导入!Y1234&amp;""</f>
      </c>
      <c r="AA1234">
        <f>[1]发票导入!AA1234&amp;""</f>
      </c>
      <c r="AB1234">
        <f>[1]发票导入!AB1234</f>
        <v>0</v>
      </c>
      <c r="AC1234">
        <f>[1]发票导入!AC1234</f>
        <v>0</v>
      </c>
      <c r="AE1234" s="22">
        <f t="shared" si="0"/>
      </c>
      <c r="AI1234">
        <f>[1]发票导入!AI1234&amp;""</f>
      </c>
      <c r="AJ1234">
        <f>[1]发票导入!AJ1234&amp;""</f>
      </c>
      <c r="AK1234">
        <f>[1]发票导入!AK1234</f>
        <v>0</v>
      </c>
      <c r="AL1234">
        <f>[1]发票导入!AL1234</f>
        <v>0</v>
      </c>
      <c r="AM1234">
        <f>[1]发票导入!AM1234</f>
        <v>0</v>
      </c>
      <c r="AN1234" s="22">
        <f t="shared" si="1"/>
        <v>0</v>
      </c>
      <c r="AO1234" s="22">
        <f t="shared" si="2"/>
        <v>0</v>
      </c>
    </row>
    <row r="1235">
      <c r="C1235">
        <f>[1]发票导入!C1235&amp;""</f>
      </c>
      <c r="D1235">
        <f>[1]发票导入!D1235&amp;""</f>
      </c>
      <c r="O1235">
        <f>[1]发票导入!O1235&amp;""</f>
      </c>
      <c r="T1235">
        <f>[1]发票导入!T1235</f>
      </c>
      <c r="U1235">
        <f>[1]发票导入!U1235&amp;""</f>
      </c>
      <c r="V1235">
        <f>[1]发票导入!V1235&amp;""</f>
      </c>
      <c r="W1235">
        <f>[1]发票导入!W1235&amp;""</f>
      </c>
      <c r="Y1235">
        <f>[1]发票导入!Y1235&amp;""</f>
      </c>
      <c r="AA1235">
        <f>[1]发票导入!AA1235&amp;""</f>
      </c>
      <c r="AB1235">
        <f>[1]发票导入!AB1235</f>
        <v>0</v>
      </c>
      <c r="AC1235">
        <f>[1]发票导入!AC1235</f>
        <v>0</v>
      </c>
      <c r="AE1235" s="22">
        <f t="shared" si="0"/>
      </c>
      <c r="AI1235">
        <f>[1]发票导入!AI1235&amp;""</f>
      </c>
      <c r="AJ1235">
        <f>[1]发票导入!AJ1235&amp;""</f>
      </c>
      <c r="AK1235">
        <f>[1]发票导入!AK1235</f>
        <v>0</v>
      </c>
      <c r="AL1235">
        <f>[1]发票导入!AL1235</f>
        <v>0</v>
      </c>
      <c r="AM1235">
        <f>[1]发票导入!AM1235</f>
        <v>0</v>
      </c>
      <c r="AN1235" s="22">
        <f t="shared" si="1"/>
        <v>0</v>
      </c>
      <c r="AO1235" s="22">
        <f t="shared" si="2"/>
        <v>0</v>
      </c>
    </row>
    <row r="1236">
      <c r="C1236">
        <f>[1]发票导入!C1236&amp;""</f>
      </c>
      <c r="D1236">
        <f>[1]发票导入!D1236&amp;""</f>
      </c>
      <c r="O1236">
        <f>[1]发票导入!O1236&amp;""</f>
      </c>
      <c r="T1236">
        <f>[1]发票导入!T1236</f>
      </c>
      <c r="U1236">
        <f>[1]发票导入!U1236&amp;""</f>
      </c>
      <c r="V1236">
        <f>[1]发票导入!V1236&amp;""</f>
      </c>
      <c r="W1236">
        <f>[1]发票导入!W1236&amp;""</f>
      </c>
      <c r="Y1236">
        <f>[1]发票导入!Y1236&amp;""</f>
      </c>
      <c r="AA1236">
        <f>[1]发票导入!AA1236&amp;""</f>
      </c>
      <c r="AB1236">
        <f>[1]发票导入!AB1236</f>
        <v>0</v>
      </c>
      <c r="AC1236">
        <f>[1]发票导入!AC1236</f>
        <v>0</v>
      </c>
      <c r="AE1236" s="22">
        <f t="shared" si="0"/>
      </c>
      <c r="AI1236">
        <f>[1]发票导入!AI1236&amp;""</f>
      </c>
      <c r="AJ1236">
        <f>[1]发票导入!AJ1236&amp;""</f>
      </c>
      <c r="AK1236">
        <f>[1]发票导入!AK1236</f>
        <v>0</v>
      </c>
      <c r="AL1236">
        <f>[1]发票导入!AL1236</f>
        <v>0</v>
      </c>
      <c r="AM1236">
        <f>[1]发票导入!AM1236</f>
        <v>0</v>
      </c>
      <c r="AN1236" s="22">
        <f t="shared" si="1"/>
        <v>0</v>
      </c>
      <c r="AO1236" s="22">
        <f t="shared" si="2"/>
        <v>0</v>
      </c>
    </row>
    <row r="1237">
      <c r="C1237">
        <f>[1]发票导入!C1237&amp;""</f>
      </c>
      <c r="D1237">
        <f>[1]发票导入!D1237&amp;""</f>
      </c>
      <c r="O1237">
        <f>[1]发票导入!O1237&amp;""</f>
      </c>
      <c r="T1237">
        <f>[1]发票导入!T1237</f>
      </c>
      <c r="U1237">
        <f>[1]发票导入!U1237&amp;""</f>
      </c>
      <c r="V1237">
        <f>[1]发票导入!V1237&amp;""</f>
      </c>
      <c r="W1237">
        <f>[1]发票导入!W1237&amp;""</f>
      </c>
      <c r="Y1237">
        <f>[1]发票导入!Y1237&amp;""</f>
      </c>
      <c r="AA1237">
        <f>[1]发票导入!AA1237&amp;""</f>
      </c>
      <c r="AB1237">
        <f>[1]发票导入!AB1237</f>
        <v>0</v>
      </c>
      <c r="AC1237">
        <f>[1]发票导入!AC1237</f>
        <v>0</v>
      </c>
      <c r="AE1237" s="22">
        <f t="shared" si="0"/>
      </c>
      <c r="AI1237">
        <f>[1]发票导入!AI1237&amp;""</f>
      </c>
      <c r="AJ1237">
        <f>[1]发票导入!AJ1237&amp;""</f>
      </c>
      <c r="AK1237">
        <f>[1]发票导入!AK1237</f>
        <v>0</v>
      </c>
      <c r="AL1237">
        <f>[1]发票导入!AL1237</f>
        <v>0</v>
      </c>
      <c r="AM1237">
        <f>[1]发票导入!AM1237</f>
        <v>0</v>
      </c>
      <c r="AN1237" s="22">
        <f t="shared" si="1"/>
        <v>0</v>
      </c>
      <c r="AO1237" s="22">
        <f t="shared" si="2"/>
        <v>0</v>
      </c>
    </row>
    <row r="1238">
      <c r="C1238">
        <f>[1]发票导入!C1238&amp;""</f>
      </c>
      <c r="D1238">
        <f>[1]发票导入!D1238&amp;""</f>
      </c>
      <c r="O1238">
        <f>[1]发票导入!O1238&amp;""</f>
      </c>
      <c r="T1238">
        <f>[1]发票导入!T1238</f>
      </c>
      <c r="U1238">
        <f>[1]发票导入!U1238&amp;""</f>
      </c>
      <c r="V1238">
        <f>[1]发票导入!V1238&amp;""</f>
      </c>
      <c r="W1238">
        <f>[1]发票导入!W1238&amp;""</f>
      </c>
      <c r="Y1238">
        <f>[1]发票导入!Y1238&amp;""</f>
      </c>
      <c r="AA1238">
        <f>[1]发票导入!AA1238&amp;""</f>
      </c>
      <c r="AB1238">
        <f>[1]发票导入!AB1238</f>
        <v>0</v>
      </c>
      <c r="AC1238">
        <f>[1]发票导入!AC1238</f>
        <v>0</v>
      </c>
      <c r="AE1238" s="22">
        <f t="shared" si="0"/>
      </c>
      <c r="AI1238">
        <f>[1]发票导入!AI1238&amp;""</f>
      </c>
      <c r="AJ1238">
        <f>[1]发票导入!AJ1238&amp;""</f>
      </c>
      <c r="AK1238">
        <f>[1]发票导入!AK1238</f>
        <v>0</v>
      </c>
      <c r="AL1238">
        <f>[1]发票导入!AL1238</f>
        <v>0</v>
      </c>
      <c r="AM1238">
        <f>[1]发票导入!AM1238</f>
        <v>0</v>
      </c>
      <c r="AN1238" s="22">
        <f t="shared" si="1"/>
        <v>0</v>
      </c>
      <c r="AO1238" s="22">
        <f t="shared" si="2"/>
        <v>0</v>
      </c>
    </row>
    <row r="1239">
      <c r="C1239">
        <f>[1]发票导入!C1239&amp;""</f>
      </c>
      <c r="D1239">
        <f>[1]发票导入!D1239&amp;""</f>
      </c>
      <c r="O1239">
        <f>[1]发票导入!O1239&amp;""</f>
      </c>
      <c r="T1239">
        <f>[1]发票导入!T1239</f>
      </c>
      <c r="U1239">
        <f>[1]发票导入!U1239&amp;""</f>
      </c>
      <c r="V1239">
        <f>[1]发票导入!V1239&amp;""</f>
      </c>
      <c r="W1239">
        <f>[1]发票导入!W1239&amp;""</f>
      </c>
      <c r="Y1239">
        <f>[1]发票导入!Y1239&amp;""</f>
      </c>
      <c r="AA1239">
        <f>[1]发票导入!AA1239&amp;""</f>
      </c>
      <c r="AB1239">
        <f>[1]发票导入!AB1239</f>
        <v>0</v>
      </c>
      <c r="AC1239">
        <f>[1]发票导入!AC1239</f>
        <v>0</v>
      </c>
      <c r="AE1239" s="22">
        <f t="shared" si="0"/>
      </c>
      <c r="AI1239">
        <f>[1]发票导入!AI1239&amp;""</f>
      </c>
      <c r="AJ1239">
        <f>[1]发票导入!AJ1239&amp;""</f>
      </c>
      <c r="AK1239">
        <f>[1]发票导入!AK1239</f>
        <v>0</v>
      </c>
      <c r="AL1239">
        <f>[1]发票导入!AL1239</f>
        <v>0</v>
      </c>
      <c r="AM1239">
        <f>[1]发票导入!AM1239</f>
        <v>0</v>
      </c>
      <c r="AN1239" s="22">
        <f t="shared" si="1"/>
        <v>0</v>
      </c>
      <c r="AO1239" s="22">
        <f t="shared" si="2"/>
        <v>0</v>
      </c>
    </row>
    <row r="1240">
      <c r="C1240">
        <f>[1]发票导入!C1240&amp;""</f>
      </c>
      <c r="D1240">
        <f>[1]发票导入!D1240&amp;""</f>
      </c>
      <c r="O1240">
        <f>[1]发票导入!O1240&amp;""</f>
      </c>
      <c r="T1240">
        <f>[1]发票导入!T1240</f>
      </c>
      <c r="U1240">
        <f>[1]发票导入!U1240&amp;""</f>
      </c>
      <c r="V1240">
        <f>[1]发票导入!V1240&amp;""</f>
      </c>
      <c r="W1240">
        <f>[1]发票导入!W1240&amp;""</f>
      </c>
      <c r="Y1240">
        <f>[1]发票导入!Y1240&amp;""</f>
      </c>
      <c r="AA1240">
        <f>[1]发票导入!AA1240&amp;""</f>
      </c>
      <c r="AB1240">
        <f>[1]发票导入!AB1240</f>
        <v>0</v>
      </c>
      <c r="AC1240">
        <f>[1]发票导入!AC1240</f>
        <v>0</v>
      </c>
      <c r="AE1240" s="22">
        <f t="shared" si="0"/>
      </c>
      <c r="AI1240">
        <f>[1]发票导入!AI1240&amp;""</f>
      </c>
      <c r="AJ1240">
        <f>[1]发票导入!AJ1240&amp;""</f>
      </c>
      <c r="AK1240">
        <f>[1]发票导入!AK1240</f>
        <v>0</v>
      </c>
      <c r="AL1240">
        <f>[1]发票导入!AL1240</f>
        <v>0</v>
      </c>
      <c r="AM1240">
        <f>[1]发票导入!AM1240</f>
        <v>0</v>
      </c>
      <c r="AN1240" s="22">
        <f t="shared" si="1"/>
        <v>0</v>
      </c>
      <c r="AO1240" s="22">
        <f t="shared" si="2"/>
        <v>0</v>
      </c>
    </row>
    <row r="1241">
      <c r="C1241">
        <f>[1]发票导入!C1241&amp;""</f>
      </c>
      <c r="D1241">
        <f>[1]发票导入!D1241&amp;""</f>
      </c>
      <c r="O1241">
        <f>[1]发票导入!O1241&amp;""</f>
      </c>
      <c r="T1241">
        <f>[1]发票导入!T1241</f>
      </c>
      <c r="U1241">
        <f>[1]发票导入!U1241&amp;""</f>
      </c>
      <c r="V1241">
        <f>[1]发票导入!V1241&amp;""</f>
      </c>
      <c r="W1241">
        <f>[1]发票导入!W1241&amp;""</f>
      </c>
      <c r="Y1241">
        <f>[1]发票导入!Y1241&amp;""</f>
      </c>
      <c r="AA1241">
        <f>[1]发票导入!AA1241&amp;""</f>
      </c>
      <c r="AB1241">
        <f>[1]发票导入!AB1241</f>
        <v>0</v>
      </c>
      <c r="AC1241">
        <f>[1]发票导入!AC1241</f>
        <v>0</v>
      </c>
      <c r="AE1241" s="22">
        <f t="shared" si="0"/>
      </c>
      <c r="AI1241">
        <f>[1]发票导入!AI1241&amp;""</f>
      </c>
      <c r="AJ1241">
        <f>[1]发票导入!AJ1241&amp;""</f>
      </c>
      <c r="AK1241">
        <f>[1]发票导入!AK1241</f>
        <v>0</v>
      </c>
      <c r="AL1241">
        <f>[1]发票导入!AL1241</f>
        <v>0</v>
      </c>
      <c r="AM1241">
        <f>[1]发票导入!AM1241</f>
        <v>0</v>
      </c>
      <c r="AN1241" s="22">
        <f t="shared" si="1"/>
        <v>0</v>
      </c>
      <c r="AO1241" s="22">
        <f t="shared" si="2"/>
        <v>0</v>
      </c>
    </row>
    <row r="1242">
      <c r="C1242">
        <f>[1]发票导入!C1242&amp;""</f>
      </c>
      <c r="D1242">
        <f>[1]发票导入!D1242&amp;""</f>
      </c>
      <c r="O1242">
        <f>[1]发票导入!O1242&amp;""</f>
      </c>
      <c r="T1242">
        <f>[1]发票导入!T1242</f>
      </c>
      <c r="U1242">
        <f>[1]发票导入!U1242&amp;""</f>
      </c>
      <c r="V1242">
        <f>[1]发票导入!V1242&amp;""</f>
      </c>
      <c r="W1242">
        <f>[1]发票导入!W1242&amp;""</f>
      </c>
      <c r="Y1242">
        <f>[1]发票导入!Y1242&amp;""</f>
      </c>
      <c r="AA1242">
        <f>[1]发票导入!AA1242&amp;""</f>
      </c>
      <c r="AB1242">
        <f>[1]发票导入!AB1242</f>
        <v>0</v>
      </c>
      <c r="AC1242">
        <f>[1]发票导入!AC1242</f>
        <v>0</v>
      </c>
      <c r="AE1242" s="22">
        <f t="shared" si="0"/>
      </c>
      <c r="AI1242">
        <f>[1]发票导入!AI1242&amp;""</f>
      </c>
      <c r="AJ1242">
        <f>[1]发票导入!AJ1242&amp;""</f>
      </c>
      <c r="AK1242">
        <f>[1]发票导入!AK1242</f>
        <v>0</v>
      </c>
      <c r="AL1242">
        <f>[1]发票导入!AL1242</f>
        <v>0</v>
      </c>
      <c r="AM1242">
        <f>[1]发票导入!AM1242</f>
        <v>0</v>
      </c>
      <c r="AN1242" s="22">
        <f t="shared" si="1"/>
        <v>0</v>
      </c>
      <c r="AO1242" s="22">
        <f t="shared" si="2"/>
        <v>0</v>
      </c>
    </row>
    <row r="1243">
      <c r="C1243">
        <f>[1]发票导入!C1243&amp;""</f>
      </c>
      <c r="D1243">
        <f>[1]发票导入!D1243&amp;""</f>
      </c>
      <c r="O1243">
        <f>[1]发票导入!O1243&amp;""</f>
      </c>
      <c r="T1243">
        <f>[1]发票导入!T1243</f>
      </c>
      <c r="U1243">
        <f>[1]发票导入!U1243&amp;""</f>
      </c>
      <c r="V1243">
        <f>[1]发票导入!V1243&amp;""</f>
      </c>
      <c r="W1243">
        <f>[1]发票导入!W1243&amp;""</f>
      </c>
      <c r="Y1243">
        <f>[1]发票导入!Y1243&amp;""</f>
      </c>
      <c r="AA1243">
        <f>[1]发票导入!AA1243&amp;""</f>
      </c>
      <c r="AB1243">
        <f>[1]发票导入!AB1243</f>
        <v>0</v>
      </c>
      <c r="AC1243">
        <f>[1]发票导入!AC1243</f>
        <v>0</v>
      </c>
      <c r="AE1243" s="22">
        <f t="shared" si="0"/>
      </c>
      <c r="AI1243">
        <f>[1]发票导入!AI1243&amp;""</f>
      </c>
      <c r="AJ1243">
        <f>[1]发票导入!AJ1243&amp;""</f>
      </c>
      <c r="AK1243">
        <f>[1]发票导入!AK1243</f>
        <v>0</v>
      </c>
      <c r="AL1243">
        <f>[1]发票导入!AL1243</f>
        <v>0</v>
      </c>
      <c r="AM1243">
        <f>[1]发票导入!AM1243</f>
        <v>0</v>
      </c>
      <c r="AN1243" s="22">
        <f t="shared" si="1"/>
        <v>0</v>
      </c>
      <c r="AO1243" s="22">
        <f t="shared" si="2"/>
        <v>0</v>
      </c>
    </row>
    <row r="1244">
      <c r="C1244">
        <f>[1]发票导入!C1244&amp;""</f>
      </c>
      <c r="D1244">
        <f>[1]发票导入!D1244&amp;""</f>
      </c>
      <c r="O1244">
        <f>[1]发票导入!O1244&amp;""</f>
      </c>
      <c r="T1244">
        <f>[1]发票导入!T1244</f>
      </c>
      <c r="U1244">
        <f>[1]发票导入!U1244&amp;""</f>
      </c>
      <c r="V1244">
        <f>[1]发票导入!V1244&amp;""</f>
      </c>
      <c r="W1244">
        <f>[1]发票导入!W1244&amp;""</f>
      </c>
      <c r="Y1244">
        <f>[1]发票导入!Y1244&amp;""</f>
      </c>
      <c r="AA1244">
        <f>[1]发票导入!AA1244&amp;""</f>
      </c>
      <c r="AB1244">
        <f>[1]发票导入!AB1244</f>
        <v>0</v>
      </c>
      <c r="AC1244">
        <f>[1]发票导入!AC1244</f>
        <v>0</v>
      </c>
      <c r="AE1244" s="22">
        <f t="shared" si="0"/>
      </c>
      <c r="AI1244">
        <f>[1]发票导入!AI1244&amp;""</f>
      </c>
      <c r="AJ1244">
        <f>[1]发票导入!AJ1244&amp;""</f>
      </c>
      <c r="AK1244">
        <f>[1]发票导入!AK1244</f>
        <v>0</v>
      </c>
      <c r="AL1244">
        <f>[1]发票导入!AL1244</f>
        <v>0</v>
      </c>
      <c r="AM1244">
        <f>[1]发票导入!AM1244</f>
        <v>0</v>
      </c>
      <c r="AN1244" s="22">
        <f t="shared" si="1"/>
        <v>0</v>
      </c>
      <c r="AO1244" s="22">
        <f t="shared" si="2"/>
        <v>0</v>
      </c>
    </row>
    <row r="1245">
      <c r="C1245">
        <f>[1]发票导入!C1245&amp;""</f>
      </c>
      <c r="D1245">
        <f>[1]发票导入!D1245&amp;""</f>
      </c>
      <c r="O1245">
        <f>[1]发票导入!O1245&amp;""</f>
      </c>
      <c r="T1245">
        <f>[1]发票导入!T1245</f>
      </c>
      <c r="U1245">
        <f>[1]发票导入!U1245&amp;""</f>
      </c>
      <c r="V1245">
        <f>[1]发票导入!V1245&amp;""</f>
      </c>
      <c r="W1245">
        <f>[1]发票导入!W1245&amp;""</f>
      </c>
      <c r="Y1245">
        <f>[1]发票导入!Y1245&amp;""</f>
      </c>
      <c r="AA1245">
        <f>[1]发票导入!AA1245&amp;""</f>
      </c>
      <c r="AB1245">
        <f>[1]发票导入!AB1245</f>
        <v>0</v>
      </c>
      <c r="AC1245">
        <f>[1]发票导入!AC1245</f>
        <v>0</v>
      </c>
      <c r="AE1245" s="22">
        <f t="shared" si="0"/>
      </c>
      <c r="AI1245">
        <f>[1]发票导入!AI1245&amp;""</f>
      </c>
      <c r="AJ1245">
        <f>[1]发票导入!AJ1245&amp;""</f>
      </c>
      <c r="AK1245">
        <f>[1]发票导入!AK1245</f>
        <v>0</v>
      </c>
      <c r="AL1245">
        <f>[1]发票导入!AL1245</f>
        <v>0</v>
      </c>
      <c r="AM1245">
        <f>[1]发票导入!AM1245</f>
        <v>0</v>
      </c>
      <c r="AN1245" s="22">
        <f t="shared" si="1"/>
        <v>0</v>
      </c>
      <c r="AO1245" s="22">
        <f t="shared" si="2"/>
        <v>0</v>
      </c>
    </row>
    <row r="1246">
      <c r="C1246">
        <f>[1]发票导入!C1246&amp;""</f>
      </c>
      <c r="D1246">
        <f>[1]发票导入!D1246&amp;""</f>
      </c>
      <c r="O1246">
        <f>[1]发票导入!O1246&amp;""</f>
      </c>
      <c r="T1246">
        <f>[1]发票导入!T1246</f>
      </c>
      <c r="U1246">
        <f>[1]发票导入!U1246&amp;""</f>
      </c>
      <c r="V1246">
        <f>[1]发票导入!V1246&amp;""</f>
      </c>
      <c r="W1246">
        <f>[1]发票导入!W1246&amp;""</f>
      </c>
      <c r="Y1246">
        <f>[1]发票导入!Y1246&amp;""</f>
      </c>
      <c r="AA1246">
        <f>[1]发票导入!AA1246&amp;""</f>
      </c>
      <c r="AB1246">
        <f>[1]发票导入!AB1246</f>
        <v>0</v>
      </c>
      <c r="AC1246">
        <f>[1]发票导入!AC1246</f>
        <v>0</v>
      </c>
      <c r="AE1246" s="22">
        <f t="shared" si="0"/>
      </c>
      <c r="AI1246">
        <f>[1]发票导入!AI1246&amp;""</f>
      </c>
      <c r="AJ1246">
        <f>[1]发票导入!AJ1246&amp;""</f>
      </c>
      <c r="AK1246">
        <f>[1]发票导入!AK1246</f>
        <v>0</v>
      </c>
      <c r="AL1246">
        <f>[1]发票导入!AL1246</f>
        <v>0</v>
      </c>
      <c r="AM1246">
        <f>[1]发票导入!AM1246</f>
        <v>0</v>
      </c>
      <c r="AN1246" s="22">
        <f t="shared" si="1"/>
        <v>0</v>
      </c>
      <c r="AO1246" s="22">
        <f t="shared" si="2"/>
        <v>0</v>
      </c>
    </row>
    <row r="1247">
      <c r="C1247">
        <f>[1]发票导入!C1247&amp;""</f>
      </c>
      <c r="D1247">
        <f>[1]发票导入!D1247&amp;""</f>
      </c>
      <c r="O1247">
        <f>[1]发票导入!O1247&amp;""</f>
      </c>
      <c r="T1247">
        <f>[1]发票导入!T1247</f>
      </c>
      <c r="U1247">
        <f>[1]发票导入!U1247&amp;""</f>
      </c>
      <c r="V1247">
        <f>[1]发票导入!V1247&amp;""</f>
      </c>
      <c r="W1247">
        <f>[1]发票导入!W1247&amp;""</f>
      </c>
      <c r="Y1247">
        <f>[1]发票导入!Y1247&amp;""</f>
      </c>
      <c r="AA1247">
        <f>[1]发票导入!AA1247&amp;""</f>
      </c>
      <c r="AB1247">
        <f>[1]发票导入!AB1247</f>
        <v>0</v>
      </c>
      <c r="AC1247">
        <f>[1]发票导入!AC1247</f>
        <v>0</v>
      </c>
      <c r="AE1247" s="22">
        <f t="shared" si="0"/>
      </c>
      <c r="AI1247">
        <f>[1]发票导入!AI1247&amp;""</f>
      </c>
      <c r="AJ1247">
        <f>[1]发票导入!AJ1247&amp;""</f>
      </c>
      <c r="AK1247">
        <f>[1]发票导入!AK1247</f>
        <v>0</v>
      </c>
      <c r="AL1247">
        <f>[1]发票导入!AL1247</f>
        <v>0</v>
      </c>
      <c r="AM1247">
        <f>[1]发票导入!AM1247</f>
        <v>0</v>
      </c>
      <c r="AN1247" s="22">
        <f t="shared" si="1"/>
        <v>0</v>
      </c>
      <c r="AO1247" s="22">
        <f t="shared" si="2"/>
        <v>0</v>
      </c>
    </row>
    <row r="1248">
      <c r="C1248">
        <f>[1]发票导入!C1248&amp;""</f>
      </c>
      <c r="D1248">
        <f>[1]发票导入!D1248&amp;""</f>
      </c>
      <c r="O1248">
        <f>[1]发票导入!O1248&amp;""</f>
      </c>
      <c r="T1248">
        <f>[1]发票导入!T1248</f>
      </c>
      <c r="U1248">
        <f>[1]发票导入!U1248&amp;""</f>
      </c>
      <c r="V1248">
        <f>[1]发票导入!V1248&amp;""</f>
      </c>
      <c r="W1248">
        <f>[1]发票导入!W1248&amp;""</f>
      </c>
      <c r="Y1248">
        <f>[1]发票导入!Y1248&amp;""</f>
      </c>
      <c r="AA1248">
        <f>[1]发票导入!AA1248&amp;""</f>
      </c>
      <c r="AB1248">
        <f>[1]发票导入!AB1248</f>
        <v>0</v>
      </c>
      <c r="AC1248">
        <f>[1]发票导入!AC1248</f>
        <v>0</v>
      </c>
      <c r="AE1248" s="22">
        <f t="shared" si="0"/>
      </c>
      <c r="AI1248">
        <f>[1]发票导入!AI1248&amp;""</f>
      </c>
      <c r="AJ1248">
        <f>[1]发票导入!AJ1248&amp;""</f>
      </c>
      <c r="AK1248">
        <f>[1]发票导入!AK1248</f>
        <v>0</v>
      </c>
      <c r="AL1248">
        <f>[1]发票导入!AL1248</f>
        <v>0</v>
      </c>
      <c r="AM1248">
        <f>[1]发票导入!AM1248</f>
        <v>0</v>
      </c>
      <c r="AN1248" s="22">
        <f t="shared" si="1"/>
        <v>0</v>
      </c>
      <c r="AO1248" s="22">
        <f t="shared" si="2"/>
        <v>0</v>
      </c>
    </row>
    <row r="1249">
      <c r="C1249">
        <f>[1]发票导入!C1249&amp;""</f>
      </c>
      <c r="D1249">
        <f>[1]发票导入!D1249&amp;""</f>
      </c>
      <c r="O1249">
        <f>[1]发票导入!O1249&amp;""</f>
      </c>
      <c r="T1249">
        <f>[1]发票导入!T1249</f>
      </c>
      <c r="U1249">
        <f>[1]发票导入!U1249&amp;""</f>
      </c>
      <c r="V1249">
        <f>[1]发票导入!V1249&amp;""</f>
      </c>
      <c r="W1249">
        <f>[1]发票导入!W1249&amp;""</f>
      </c>
      <c r="Y1249">
        <f>[1]发票导入!Y1249&amp;""</f>
      </c>
      <c r="AA1249">
        <f>[1]发票导入!AA1249&amp;""</f>
      </c>
      <c r="AB1249">
        <f>[1]发票导入!AB1249</f>
        <v>0</v>
      </c>
      <c r="AC1249">
        <f>[1]发票导入!AC1249</f>
        <v>0</v>
      </c>
      <c r="AE1249" s="22">
        <f t="shared" si="0"/>
      </c>
      <c r="AI1249">
        <f>[1]发票导入!AI1249&amp;""</f>
      </c>
      <c r="AJ1249">
        <f>[1]发票导入!AJ1249&amp;""</f>
      </c>
      <c r="AK1249">
        <f>[1]发票导入!AK1249</f>
        <v>0</v>
      </c>
      <c r="AL1249">
        <f>[1]发票导入!AL1249</f>
        <v>0</v>
      </c>
      <c r="AM1249">
        <f>[1]发票导入!AM1249</f>
        <v>0</v>
      </c>
      <c r="AN1249" s="22">
        <f t="shared" si="1"/>
        <v>0</v>
      </c>
      <c r="AO1249" s="22">
        <f t="shared" si="2"/>
        <v>0</v>
      </c>
    </row>
    <row r="1250">
      <c r="C1250">
        <f>[1]发票导入!C1250&amp;""</f>
      </c>
      <c r="D1250">
        <f>[1]发票导入!D1250&amp;""</f>
      </c>
      <c r="O1250">
        <f>[1]发票导入!O1250&amp;""</f>
      </c>
      <c r="T1250">
        <f>[1]发票导入!T1250</f>
      </c>
      <c r="U1250">
        <f>[1]发票导入!U1250&amp;""</f>
      </c>
      <c r="V1250">
        <f>[1]发票导入!V1250&amp;""</f>
      </c>
      <c r="W1250">
        <f>[1]发票导入!W1250&amp;""</f>
      </c>
      <c r="Y1250">
        <f>[1]发票导入!Y1250&amp;""</f>
      </c>
      <c r="AA1250">
        <f>[1]发票导入!AA1250&amp;""</f>
      </c>
      <c r="AB1250">
        <f>[1]发票导入!AB1250</f>
        <v>0</v>
      </c>
      <c r="AC1250">
        <f>[1]发票导入!AC1250</f>
        <v>0</v>
      </c>
      <c r="AE1250" s="22">
        <f t="shared" si="0"/>
      </c>
      <c r="AI1250">
        <f>[1]发票导入!AI1250&amp;""</f>
      </c>
      <c r="AJ1250">
        <f>[1]发票导入!AJ1250&amp;""</f>
      </c>
      <c r="AK1250">
        <f>[1]发票导入!AK1250</f>
        <v>0</v>
      </c>
      <c r="AL1250">
        <f>[1]发票导入!AL1250</f>
        <v>0</v>
      </c>
      <c r="AM1250">
        <f>[1]发票导入!AM1250</f>
        <v>0</v>
      </c>
      <c r="AN1250" s="22">
        <f t="shared" si="1"/>
        <v>0</v>
      </c>
      <c r="AO1250" s="22">
        <f t="shared" si="2"/>
        <v>0</v>
      </c>
    </row>
    <row r="1251">
      <c r="C1251">
        <f>[1]发票导入!C1251&amp;""</f>
      </c>
      <c r="D1251">
        <f>[1]发票导入!D1251&amp;""</f>
      </c>
      <c r="O1251">
        <f>[1]发票导入!O1251&amp;""</f>
      </c>
      <c r="T1251">
        <f>[1]发票导入!T1251</f>
      </c>
      <c r="U1251">
        <f>[1]发票导入!U1251&amp;""</f>
      </c>
      <c r="V1251">
        <f>[1]发票导入!V1251&amp;""</f>
      </c>
      <c r="W1251">
        <f>[1]发票导入!W1251&amp;""</f>
      </c>
      <c r="Y1251">
        <f>[1]发票导入!Y1251&amp;""</f>
      </c>
      <c r="AA1251">
        <f>[1]发票导入!AA1251&amp;""</f>
      </c>
      <c r="AB1251">
        <f>[1]发票导入!AB1251</f>
        <v>0</v>
      </c>
      <c r="AC1251">
        <f>[1]发票导入!AC1251</f>
        <v>0</v>
      </c>
      <c r="AE1251" s="22">
        <f t="shared" si="0"/>
      </c>
      <c r="AI1251">
        <f>[1]发票导入!AI1251&amp;""</f>
      </c>
      <c r="AJ1251">
        <f>[1]发票导入!AJ1251&amp;""</f>
      </c>
      <c r="AK1251">
        <f>[1]发票导入!AK1251</f>
        <v>0</v>
      </c>
      <c r="AL1251">
        <f>[1]发票导入!AL1251</f>
        <v>0</v>
      </c>
      <c r="AM1251">
        <f>[1]发票导入!AM1251</f>
        <v>0</v>
      </c>
      <c r="AN1251" s="22">
        <f t="shared" si="1"/>
        <v>0</v>
      </c>
      <c r="AO1251" s="22">
        <f t="shared" si="2"/>
        <v>0</v>
      </c>
    </row>
    <row r="1252">
      <c r="C1252">
        <f>[1]发票导入!C1252&amp;""</f>
      </c>
      <c r="D1252">
        <f>[1]发票导入!D1252&amp;""</f>
      </c>
      <c r="O1252">
        <f>[1]发票导入!O1252&amp;""</f>
      </c>
      <c r="T1252">
        <f>[1]发票导入!T1252</f>
      </c>
      <c r="U1252">
        <f>[1]发票导入!U1252&amp;""</f>
      </c>
      <c r="V1252">
        <f>[1]发票导入!V1252&amp;""</f>
      </c>
      <c r="W1252">
        <f>[1]发票导入!W1252&amp;""</f>
      </c>
      <c r="Y1252">
        <f>[1]发票导入!Y1252&amp;""</f>
      </c>
      <c r="AA1252">
        <f>[1]发票导入!AA1252&amp;""</f>
      </c>
      <c r="AB1252">
        <f>[1]发票导入!AB1252</f>
        <v>0</v>
      </c>
      <c r="AC1252">
        <f>[1]发票导入!AC1252</f>
        <v>0</v>
      </c>
      <c r="AE1252" s="22">
        <f t="shared" si="0"/>
      </c>
      <c r="AI1252">
        <f>[1]发票导入!AI1252&amp;""</f>
      </c>
      <c r="AJ1252">
        <f>[1]发票导入!AJ1252&amp;""</f>
      </c>
      <c r="AK1252">
        <f>[1]发票导入!AK1252</f>
        <v>0</v>
      </c>
      <c r="AL1252">
        <f>[1]发票导入!AL1252</f>
        <v>0</v>
      </c>
      <c r="AM1252">
        <f>[1]发票导入!AM1252</f>
        <v>0</v>
      </c>
      <c r="AN1252" s="22">
        <f t="shared" si="1"/>
        <v>0</v>
      </c>
      <c r="AO1252" s="22">
        <f t="shared" si="2"/>
        <v>0</v>
      </c>
    </row>
    <row r="1253">
      <c r="C1253">
        <f>[1]发票导入!C1253&amp;""</f>
      </c>
      <c r="D1253">
        <f>[1]发票导入!D1253&amp;""</f>
      </c>
      <c r="O1253">
        <f>[1]发票导入!O1253&amp;""</f>
      </c>
      <c r="T1253">
        <f>[1]发票导入!T1253</f>
      </c>
      <c r="U1253">
        <f>[1]发票导入!U1253&amp;""</f>
      </c>
      <c r="V1253">
        <f>[1]发票导入!V1253&amp;""</f>
      </c>
      <c r="W1253">
        <f>[1]发票导入!W1253&amp;""</f>
      </c>
      <c r="Y1253">
        <f>[1]发票导入!Y1253&amp;""</f>
      </c>
      <c r="AA1253">
        <f>[1]发票导入!AA1253&amp;""</f>
      </c>
      <c r="AB1253">
        <f>[1]发票导入!AB1253</f>
        <v>0</v>
      </c>
      <c r="AC1253">
        <f>[1]发票导入!AC1253</f>
        <v>0</v>
      </c>
      <c r="AE1253" s="22">
        <f t="shared" si="0"/>
      </c>
      <c r="AI1253">
        <f>[1]发票导入!AI1253&amp;""</f>
      </c>
      <c r="AJ1253">
        <f>[1]发票导入!AJ1253&amp;""</f>
      </c>
      <c r="AK1253">
        <f>[1]发票导入!AK1253</f>
        <v>0</v>
      </c>
      <c r="AL1253">
        <f>[1]发票导入!AL1253</f>
        <v>0</v>
      </c>
      <c r="AM1253">
        <f>[1]发票导入!AM1253</f>
        <v>0</v>
      </c>
      <c r="AN1253" s="22">
        <f t="shared" si="1"/>
        <v>0</v>
      </c>
      <c r="AO1253" s="22">
        <f t="shared" si="2"/>
        <v>0</v>
      </c>
    </row>
    <row r="1254">
      <c r="C1254">
        <f>[1]发票导入!C1254&amp;""</f>
      </c>
      <c r="D1254">
        <f>[1]发票导入!D1254&amp;""</f>
      </c>
      <c r="O1254">
        <f>[1]发票导入!O1254&amp;""</f>
      </c>
      <c r="T1254">
        <f>[1]发票导入!T1254</f>
      </c>
      <c r="U1254">
        <f>[1]发票导入!U1254&amp;""</f>
      </c>
      <c r="V1254">
        <f>[1]发票导入!V1254&amp;""</f>
      </c>
      <c r="W1254">
        <f>[1]发票导入!W1254&amp;""</f>
      </c>
      <c r="Y1254">
        <f>[1]发票导入!Y1254&amp;""</f>
      </c>
      <c r="AA1254">
        <f>[1]发票导入!AA1254&amp;""</f>
      </c>
      <c r="AB1254">
        <f>[1]发票导入!AB1254</f>
        <v>0</v>
      </c>
      <c r="AC1254">
        <f>[1]发票导入!AC1254</f>
        <v>0</v>
      </c>
      <c r="AE1254" s="22">
        <f t="shared" si="0"/>
      </c>
      <c r="AI1254">
        <f>[1]发票导入!AI1254&amp;""</f>
      </c>
      <c r="AJ1254">
        <f>[1]发票导入!AJ1254&amp;""</f>
      </c>
      <c r="AK1254">
        <f>[1]发票导入!AK1254</f>
        <v>0</v>
      </c>
      <c r="AL1254">
        <f>[1]发票导入!AL1254</f>
        <v>0</v>
      </c>
      <c r="AM1254">
        <f>[1]发票导入!AM1254</f>
        <v>0</v>
      </c>
      <c r="AN1254" s="22">
        <f t="shared" si="1"/>
        <v>0</v>
      </c>
      <c r="AO1254" s="22">
        <f t="shared" si="2"/>
        <v>0</v>
      </c>
    </row>
    <row r="1255">
      <c r="C1255">
        <f>[1]发票导入!C1255&amp;""</f>
      </c>
      <c r="D1255">
        <f>[1]发票导入!D1255&amp;""</f>
      </c>
      <c r="O1255">
        <f>[1]发票导入!O1255&amp;""</f>
      </c>
      <c r="T1255">
        <f>[1]发票导入!T1255</f>
      </c>
      <c r="U1255">
        <f>[1]发票导入!U1255&amp;""</f>
      </c>
      <c r="V1255">
        <f>[1]发票导入!V1255&amp;""</f>
      </c>
      <c r="W1255">
        <f>[1]发票导入!W1255&amp;""</f>
      </c>
      <c r="Y1255">
        <f>[1]发票导入!Y1255&amp;""</f>
      </c>
      <c r="AA1255">
        <f>[1]发票导入!AA1255&amp;""</f>
      </c>
      <c r="AB1255">
        <f>[1]发票导入!AB1255</f>
        <v>0</v>
      </c>
      <c r="AC1255">
        <f>[1]发票导入!AC1255</f>
        <v>0</v>
      </c>
      <c r="AE1255" s="22">
        <f t="shared" si="0"/>
      </c>
      <c r="AI1255">
        <f>[1]发票导入!AI1255&amp;""</f>
      </c>
      <c r="AJ1255">
        <f>[1]发票导入!AJ1255&amp;""</f>
      </c>
      <c r="AK1255">
        <f>[1]发票导入!AK1255</f>
        <v>0</v>
      </c>
      <c r="AL1255">
        <f>[1]发票导入!AL1255</f>
        <v>0</v>
      </c>
      <c r="AM1255">
        <f>[1]发票导入!AM1255</f>
        <v>0</v>
      </c>
      <c r="AN1255" s="22">
        <f t="shared" si="1"/>
        <v>0</v>
      </c>
      <c r="AO1255" s="22">
        <f t="shared" si="2"/>
        <v>0</v>
      </c>
    </row>
    <row r="1256">
      <c r="C1256">
        <f>[1]发票导入!C1256&amp;""</f>
      </c>
      <c r="D1256">
        <f>[1]发票导入!D1256&amp;""</f>
      </c>
      <c r="O1256">
        <f>[1]发票导入!O1256&amp;""</f>
      </c>
      <c r="T1256">
        <f>[1]发票导入!T1256</f>
      </c>
      <c r="U1256">
        <f>[1]发票导入!U1256&amp;""</f>
      </c>
      <c r="V1256">
        <f>[1]发票导入!V1256&amp;""</f>
      </c>
      <c r="W1256">
        <f>[1]发票导入!W1256&amp;""</f>
      </c>
      <c r="Y1256">
        <f>[1]发票导入!Y1256&amp;""</f>
      </c>
      <c r="AA1256">
        <f>[1]发票导入!AA1256&amp;""</f>
      </c>
      <c r="AB1256">
        <f>[1]发票导入!AB1256</f>
        <v>0</v>
      </c>
      <c r="AC1256">
        <f>[1]发票导入!AC1256</f>
        <v>0</v>
      </c>
      <c r="AE1256" s="22">
        <f t="shared" si="0"/>
      </c>
      <c r="AI1256">
        <f>[1]发票导入!AI1256&amp;""</f>
      </c>
      <c r="AJ1256">
        <f>[1]发票导入!AJ1256&amp;""</f>
      </c>
      <c r="AK1256">
        <f>[1]发票导入!AK1256</f>
        <v>0</v>
      </c>
      <c r="AL1256">
        <f>[1]发票导入!AL1256</f>
        <v>0</v>
      </c>
      <c r="AM1256">
        <f>[1]发票导入!AM1256</f>
        <v>0</v>
      </c>
      <c r="AN1256" s="22">
        <f t="shared" si="1"/>
        <v>0</v>
      </c>
      <c r="AO1256" s="22">
        <f t="shared" si="2"/>
        <v>0</v>
      </c>
    </row>
    <row r="1257">
      <c r="C1257">
        <f>[1]发票导入!C1257&amp;""</f>
      </c>
      <c r="D1257">
        <f>[1]发票导入!D1257&amp;""</f>
      </c>
      <c r="O1257">
        <f>[1]发票导入!O1257&amp;""</f>
      </c>
      <c r="T1257">
        <f>[1]发票导入!T1257</f>
      </c>
      <c r="U1257">
        <f>[1]发票导入!U1257&amp;""</f>
      </c>
      <c r="V1257">
        <f>[1]发票导入!V1257&amp;""</f>
      </c>
      <c r="W1257">
        <f>[1]发票导入!W1257&amp;""</f>
      </c>
      <c r="Y1257">
        <f>[1]发票导入!Y1257&amp;""</f>
      </c>
      <c r="AA1257">
        <f>[1]发票导入!AA1257&amp;""</f>
      </c>
      <c r="AB1257">
        <f>[1]发票导入!AB1257</f>
        <v>0</v>
      </c>
      <c r="AC1257">
        <f>[1]发票导入!AC1257</f>
        <v>0</v>
      </c>
      <c r="AE1257" s="22">
        <f t="shared" si="0"/>
      </c>
      <c r="AI1257">
        <f>[1]发票导入!AI1257&amp;""</f>
      </c>
      <c r="AJ1257">
        <f>[1]发票导入!AJ1257&amp;""</f>
      </c>
      <c r="AK1257">
        <f>[1]发票导入!AK1257</f>
        <v>0</v>
      </c>
      <c r="AL1257">
        <f>[1]发票导入!AL1257</f>
        <v>0</v>
      </c>
      <c r="AM1257">
        <f>[1]发票导入!AM1257</f>
        <v>0</v>
      </c>
      <c r="AN1257" s="22">
        <f t="shared" si="1"/>
        <v>0</v>
      </c>
      <c r="AO1257" s="22">
        <f t="shared" si="2"/>
        <v>0</v>
      </c>
    </row>
    <row r="1258">
      <c r="C1258">
        <f>[1]发票导入!C1258&amp;""</f>
      </c>
      <c r="D1258">
        <f>[1]发票导入!D1258&amp;""</f>
      </c>
      <c r="O1258">
        <f>[1]发票导入!O1258&amp;""</f>
      </c>
      <c r="T1258">
        <f>[1]发票导入!T1258</f>
      </c>
      <c r="U1258">
        <f>[1]发票导入!U1258&amp;""</f>
      </c>
      <c r="V1258">
        <f>[1]发票导入!V1258&amp;""</f>
      </c>
      <c r="W1258">
        <f>[1]发票导入!W1258&amp;""</f>
      </c>
      <c r="Y1258">
        <f>[1]发票导入!Y1258&amp;""</f>
      </c>
      <c r="AA1258">
        <f>[1]发票导入!AA1258&amp;""</f>
      </c>
      <c r="AB1258">
        <f>[1]发票导入!AB1258</f>
        <v>0</v>
      </c>
      <c r="AC1258">
        <f>[1]发票导入!AC1258</f>
        <v>0</v>
      </c>
      <c r="AE1258" s="22">
        <f t="shared" si="0"/>
      </c>
      <c r="AI1258">
        <f>[1]发票导入!AI1258&amp;""</f>
      </c>
      <c r="AJ1258">
        <f>[1]发票导入!AJ1258&amp;""</f>
      </c>
      <c r="AK1258">
        <f>[1]发票导入!AK1258</f>
        <v>0</v>
      </c>
      <c r="AL1258">
        <f>[1]发票导入!AL1258</f>
        <v>0</v>
      </c>
      <c r="AM1258">
        <f>[1]发票导入!AM1258</f>
        <v>0</v>
      </c>
      <c r="AN1258" s="22">
        <f t="shared" si="1"/>
        <v>0</v>
      </c>
      <c r="AO1258" s="22">
        <f t="shared" si="2"/>
        <v>0</v>
      </c>
    </row>
    <row r="1259">
      <c r="C1259">
        <f>[1]发票导入!C1259&amp;""</f>
      </c>
      <c r="D1259">
        <f>[1]发票导入!D1259&amp;""</f>
      </c>
      <c r="O1259">
        <f>[1]发票导入!O1259&amp;""</f>
      </c>
      <c r="T1259">
        <f>[1]发票导入!T1259</f>
      </c>
      <c r="U1259">
        <f>[1]发票导入!U1259&amp;""</f>
      </c>
      <c r="V1259">
        <f>[1]发票导入!V1259&amp;""</f>
      </c>
      <c r="W1259">
        <f>[1]发票导入!W1259&amp;""</f>
      </c>
      <c r="Y1259">
        <f>[1]发票导入!Y1259&amp;""</f>
      </c>
      <c r="AA1259">
        <f>[1]发票导入!AA1259&amp;""</f>
      </c>
      <c r="AB1259">
        <f>[1]发票导入!AB1259</f>
        <v>0</v>
      </c>
      <c r="AC1259">
        <f>[1]发票导入!AC1259</f>
        <v>0</v>
      </c>
      <c r="AE1259" s="22">
        <f t="shared" si="0"/>
      </c>
      <c r="AI1259">
        <f>[1]发票导入!AI1259&amp;""</f>
      </c>
      <c r="AJ1259">
        <f>[1]发票导入!AJ1259&amp;""</f>
      </c>
      <c r="AK1259">
        <f>[1]发票导入!AK1259</f>
        <v>0</v>
      </c>
      <c r="AL1259">
        <f>[1]发票导入!AL1259</f>
        <v>0</v>
      </c>
      <c r="AM1259">
        <f>[1]发票导入!AM1259</f>
        <v>0</v>
      </c>
      <c r="AN1259" s="22">
        <f t="shared" si="1"/>
        <v>0</v>
      </c>
      <c r="AO1259" s="22">
        <f t="shared" si="2"/>
        <v>0</v>
      </c>
    </row>
    <row r="1260">
      <c r="C1260">
        <f>[1]发票导入!C1260&amp;""</f>
      </c>
      <c r="D1260">
        <f>[1]发票导入!D1260&amp;""</f>
      </c>
      <c r="O1260">
        <f>[1]发票导入!O1260&amp;""</f>
      </c>
      <c r="T1260">
        <f>[1]发票导入!T1260</f>
      </c>
      <c r="U1260">
        <f>[1]发票导入!U1260&amp;""</f>
      </c>
      <c r="V1260">
        <f>[1]发票导入!V1260&amp;""</f>
      </c>
      <c r="W1260">
        <f>[1]发票导入!W1260&amp;""</f>
      </c>
      <c r="Y1260">
        <f>[1]发票导入!Y1260&amp;""</f>
      </c>
      <c r="AA1260">
        <f>[1]发票导入!AA1260&amp;""</f>
      </c>
      <c r="AB1260">
        <f>[1]发票导入!AB1260</f>
        <v>0</v>
      </c>
      <c r="AC1260">
        <f>[1]发票导入!AC1260</f>
        <v>0</v>
      </c>
      <c r="AE1260" s="22">
        <f t="shared" si="0"/>
      </c>
      <c r="AI1260">
        <f>[1]发票导入!AI1260&amp;""</f>
      </c>
      <c r="AJ1260">
        <f>[1]发票导入!AJ1260&amp;""</f>
      </c>
      <c r="AK1260">
        <f>[1]发票导入!AK1260</f>
        <v>0</v>
      </c>
      <c r="AL1260">
        <f>[1]发票导入!AL1260</f>
        <v>0</v>
      </c>
      <c r="AM1260">
        <f>[1]发票导入!AM1260</f>
        <v>0</v>
      </c>
      <c r="AN1260" s="22">
        <f t="shared" si="1"/>
        <v>0</v>
      </c>
      <c r="AO1260" s="22">
        <f t="shared" si="2"/>
        <v>0</v>
      </c>
    </row>
    <row r="1261">
      <c r="C1261">
        <f>[1]发票导入!C1261&amp;""</f>
      </c>
      <c r="D1261">
        <f>[1]发票导入!D1261&amp;""</f>
      </c>
      <c r="O1261">
        <f>[1]发票导入!O1261&amp;""</f>
      </c>
      <c r="T1261">
        <f>[1]发票导入!T1261</f>
      </c>
      <c r="U1261">
        <f>[1]发票导入!U1261&amp;""</f>
      </c>
      <c r="V1261">
        <f>[1]发票导入!V1261&amp;""</f>
      </c>
      <c r="W1261">
        <f>[1]发票导入!W1261&amp;""</f>
      </c>
      <c r="Y1261">
        <f>[1]发票导入!Y1261&amp;""</f>
      </c>
      <c r="AA1261">
        <f>[1]发票导入!AA1261&amp;""</f>
      </c>
      <c r="AB1261">
        <f>[1]发票导入!AB1261</f>
        <v>0</v>
      </c>
      <c r="AC1261">
        <f>[1]发票导入!AC1261</f>
        <v>0</v>
      </c>
      <c r="AE1261" s="22">
        <f t="shared" si="0"/>
      </c>
      <c r="AI1261">
        <f>[1]发票导入!AI1261&amp;""</f>
      </c>
      <c r="AJ1261">
        <f>[1]发票导入!AJ1261&amp;""</f>
      </c>
      <c r="AK1261">
        <f>[1]发票导入!AK1261</f>
        <v>0</v>
      </c>
      <c r="AL1261">
        <f>[1]发票导入!AL1261</f>
        <v>0</v>
      </c>
      <c r="AM1261">
        <f>[1]发票导入!AM1261</f>
        <v>0</v>
      </c>
      <c r="AN1261" s="22">
        <f t="shared" si="1"/>
        <v>0</v>
      </c>
      <c r="AO1261" s="22">
        <f t="shared" si="2"/>
        <v>0</v>
      </c>
    </row>
    <row r="1262">
      <c r="C1262">
        <f>[1]发票导入!C1262&amp;""</f>
      </c>
      <c r="D1262">
        <f>[1]发票导入!D1262&amp;""</f>
      </c>
      <c r="O1262">
        <f>[1]发票导入!O1262&amp;""</f>
      </c>
      <c r="T1262">
        <f>[1]发票导入!T1262</f>
      </c>
      <c r="U1262">
        <f>[1]发票导入!U1262&amp;""</f>
      </c>
      <c r="V1262">
        <f>[1]发票导入!V1262&amp;""</f>
      </c>
      <c r="W1262">
        <f>[1]发票导入!W1262&amp;""</f>
      </c>
      <c r="Y1262">
        <f>[1]发票导入!Y1262&amp;""</f>
      </c>
      <c r="AA1262">
        <f>[1]发票导入!AA1262&amp;""</f>
      </c>
      <c r="AB1262">
        <f>[1]发票导入!AB1262</f>
        <v>0</v>
      </c>
      <c r="AC1262">
        <f>[1]发票导入!AC1262</f>
        <v>0</v>
      </c>
      <c r="AE1262" s="22">
        <f t="shared" si="0"/>
      </c>
      <c r="AI1262">
        <f>[1]发票导入!AI1262&amp;""</f>
      </c>
      <c r="AJ1262">
        <f>[1]发票导入!AJ1262&amp;""</f>
      </c>
      <c r="AK1262">
        <f>[1]发票导入!AK1262</f>
        <v>0</v>
      </c>
      <c r="AL1262">
        <f>[1]发票导入!AL1262</f>
        <v>0</v>
      </c>
      <c r="AM1262">
        <f>[1]发票导入!AM1262</f>
        <v>0</v>
      </c>
      <c r="AN1262" s="22">
        <f t="shared" si="1"/>
        <v>0</v>
      </c>
      <c r="AO1262" s="22">
        <f t="shared" si="2"/>
        <v>0</v>
      </c>
    </row>
    <row r="1263">
      <c r="C1263">
        <f>[1]发票导入!C1263&amp;""</f>
      </c>
      <c r="D1263">
        <f>[1]发票导入!D1263&amp;""</f>
      </c>
      <c r="O1263">
        <f>[1]发票导入!O1263&amp;""</f>
      </c>
      <c r="T1263">
        <f>[1]发票导入!T1263</f>
      </c>
      <c r="U1263">
        <f>[1]发票导入!U1263&amp;""</f>
      </c>
      <c r="V1263">
        <f>[1]发票导入!V1263&amp;""</f>
      </c>
      <c r="W1263">
        <f>[1]发票导入!W1263&amp;""</f>
      </c>
      <c r="Y1263">
        <f>[1]发票导入!Y1263&amp;""</f>
      </c>
      <c r="AA1263">
        <f>[1]发票导入!AA1263&amp;""</f>
      </c>
      <c r="AB1263">
        <f>[1]发票导入!AB1263</f>
        <v>0</v>
      </c>
      <c r="AC1263">
        <f>[1]发票导入!AC1263</f>
        <v>0</v>
      </c>
      <c r="AE1263" s="22">
        <f t="shared" si="0"/>
      </c>
      <c r="AI1263">
        <f>[1]发票导入!AI1263&amp;""</f>
      </c>
      <c r="AJ1263">
        <f>[1]发票导入!AJ1263&amp;""</f>
      </c>
      <c r="AK1263">
        <f>[1]发票导入!AK1263</f>
        <v>0</v>
      </c>
      <c r="AL1263">
        <f>[1]发票导入!AL1263</f>
        <v>0</v>
      </c>
      <c r="AM1263">
        <f>[1]发票导入!AM1263</f>
        <v>0</v>
      </c>
      <c r="AN1263" s="22">
        <f t="shared" si="1"/>
        <v>0</v>
      </c>
      <c r="AO1263" s="22">
        <f t="shared" si="2"/>
        <v>0</v>
      </c>
    </row>
    <row r="1264">
      <c r="C1264">
        <f>[1]发票导入!C1264&amp;""</f>
      </c>
      <c r="D1264">
        <f>[1]发票导入!D1264&amp;""</f>
      </c>
      <c r="O1264">
        <f>[1]发票导入!O1264&amp;""</f>
      </c>
      <c r="T1264">
        <f>[1]发票导入!T1264</f>
      </c>
      <c r="U1264">
        <f>[1]发票导入!U1264&amp;""</f>
      </c>
      <c r="V1264">
        <f>[1]发票导入!V1264&amp;""</f>
      </c>
      <c r="W1264">
        <f>[1]发票导入!W1264&amp;""</f>
      </c>
      <c r="Y1264">
        <f>[1]发票导入!Y1264&amp;""</f>
      </c>
      <c r="AA1264">
        <f>[1]发票导入!AA1264&amp;""</f>
      </c>
      <c r="AB1264">
        <f>[1]发票导入!AB1264</f>
        <v>0</v>
      </c>
      <c r="AC1264">
        <f>[1]发票导入!AC1264</f>
        <v>0</v>
      </c>
      <c r="AE1264" s="22">
        <f t="shared" si="0"/>
      </c>
      <c r="AI1264">
        <f>[1]发票导入!AI1264&amp;""</f>
      </c>
      <c r="AJ1264">
        <f>[1]发票导入!AJ1264&amp;""</f>
      </c>
      <c r="AK1264">
        <f>[1]发票导入!AK1264</f>
        <v>0</v>
      </c>
      <c r="AL1264">
        <f>[1]发票导入!AL1264</f>
        <v>0</v>
      </c>
      <c r="AM1264">
        <f>[1]发票导入!AM1264</f>
        <v>0</v>
      </c>
      <c r="AN1264" s="22">
        <f t="shared" si="1"/>
        <v>0</v>
      </c>
      <c r="AO1264" s="22">
        <f t="shared" si="2"/>
        <v>0</v>
      </c>
    </row>
    <row r="1265">
      <c r="C1265">
        <f>[1]发票导入!C1265&amp;""</f>
      </c>
      <c r="D1265">
        <f>[1]发票导入!D1265&amp;""</f>
      </c>
      <c r="O1265">
        <f>[1]发票导入!O1265&amp;""</f>
      </c>
      <c r="T1265">
        <f>[1]发票导入!T1265</f>
      </c>
      <c r="U1265">
        <f>[1]发票导入!U1265&amp;""</f>
      </c>
      <c r="V1265">
        <f>[1]发票导入!V1265&amp;""</f>
      </c>
      <c r="W1265">
        <f>[1]发票导入!W1265&amp;""</f>
      </c>
      <c r="Y1265">
        <f>[1]发票导入!Y1265&amp;""</f>
      </c>
      <c r="AA1265">
        <f>[1]发票导入!AA1265&amp;""</f>
      </c>
      <c r="AB1265">
        <f>[1]发票导入!AB1265</f>
        <v>0</v>
      </c>
      <c r="AC1265">
        <f>[1]发票导入!AC1265</f>
        <v>0</v>
      </c>
      <c r="AE1265" s="22">
        <f t="shared" si="0"/>
      </c>
      <c r="AI1265">
        <f>[1]发票导入!AI1265&amp;""</f>
      </c>
      <c r="AJ1265">
        <f>[1]发票导入!AJ1265&amp;""</f>
      </c>
      <c r="AK1265">
        <f>[1]发票导入!AK1265</f>
        <v>0</v>
      </c>
      <c r="AL1265">
        <f>[1]发票导入!AL1265</f>
        <v>0</v>
      </c>
      <c r="AM1265">
        <f>[1]发票导入!AM1265</f>
        <v>0</v>
      </c>
      <c r="AN1265" s="22">
        <f t="shared" si="1"/>
        <v>0</v>
      </c>
      <c r="AO1265" s="22">
        <f t="shared" si="2"/>
        <v>0</v>
      </c>
    </row>
    <row r="1266">
      <c r="C1266">
        <f>[1]发票导入!C1266&amp;""</f>
      </c>
      <c r="D1266">
        <f>[1]发票导入!D1266&amp;""</f>
      </c>
      <c r="O1266">
        <f>[1]发票导入!O1266&amp;""</f>
      </c>
      <c r="T1266">
        <f>[1]发票导入!T1266</f>
      </c>
      <c r="U1266">
        <f>[1]发票导入!U1266&amp;""</f>
      </c>
      <c r="V1266">
        <f>[1]发票导入!V1266&amp;""</f>
      </c>
      <c r="W1266">
        <f>[1]发票导入!W1266&amp;""</f>
      </c>
      <c r="Y1266">
        <f>[1]发票导入!Y1266&amp;""</f>
      </c>
      <c r="AA1266">
        <f>[1]发票导入!AA1266&amp;""</f>
      </c>
      <c r="AB1266">
        <f>[1]发票导入!AB1266</f>
        <v>0</v>
      </c>
      <c r="AC1266">
        <f>[1]发票导入!AC1266</f>
        <v>0</v>
      </c>
      <c r="AE1266" s="22">
        <f t="shared" si="0"/>
      </c>
      <c r="AI1266">
        <f>[1]发票导入!AI1266&amp;""</f>
      </c>
      <c r="AJ1266">
        <f>[1]发票导入!AJ1266&amp;""</f>
      </c>
      <c r="AK1266">
        <f>[1]发票导入!AK1266</f>
        <v>0</v>
      </c>
      <c r="AL1266">
        <f>[1]发票导入!AL1266</f>
        <v>0</v>
      </c>
      <c r="AM1266">
        <f>[1]发票导入!AM1266</f>
        <v>0</v>
      </c>
      <c r="AN1266" s="22">
        <f t="shared" si="1"/>
        <v>0</v>
      </c>
      <c r="AO1266" s="22">
        <f t="shared" si="2"/>
        <v>0</v>
      </c>
    </row>
    <row r="1267">
      <c r="C1267">
        <f>[1]发票导入!C1267&amp;""</f>
      </c>
      <c r="D1267">
        <f>[1]发票导入!D1267&amp;""</f>
      </c>
      <c r="O1267">
        <f>[1]发票导入!O1267&amp;""</f>
      </c>
      <c r="T1267">
        <f>[1]发票导入!T1267</f>
      </c>
      <c r="U1267">
        <f>[1]发票导入!U1267&amp;""</f>
      </c>
      <c r="V1267">
        <f>[1]发票导入!V1267&amp;""</f>
      </c>
      <c r="W1267">
        <f>[1]发票导入!W1267&amp;""</f>
      </c>
      <c r="Y1267">
        <f>[1]发票导入!Y1267&amp;""</f>
      </c>
      <c r="AA1267">
        <f>[1]发票导入!AA1267&amp;""</f>
      </c>
      <c r="AB1267">
        <f>[1]发票导入!AB1267</f>
        <v>0</v>
      </c>
      <c r="AC1267">
        <f>[1]发票导入!AC1267</f>
        <v>0</v>
      </c>
      <c r="AE1267" s="22">
        <f t="shared" si="0"/>
      </c>
      <c r="AI1267">
        <f>[1]发票导入!AI1267&amp;""</f>
      </c>
      <c r="AJ1267">
        <f>[1]发票导入!AJ1267&amp;""</f>
      </c>
      <c r="AK1267">
        <f>[1]发票导入!AK1267</f>
        <v>0</v>
      </c>
      <c r="AL1267">
        <f>[1]发票导入!AL1267</f>
        <v>0</v>
      </c>
      <c r="AM1267">
        <f>[1]发票导入!AM1267</f>
        <v>0</v>
      </c>
      <c r="AN1267" s="22">
        <f t="shared" si="1"/>
        <v>0</v>
      </c>
      <c r="AO1267" s="22">
        <f t="shared" si="2"/>
        <v>0</v>
      </c>
    </row>
    <row r="1268">
      <c r="C1268">
        <f>[1]发票导入!C1268&amp;""</f>
      </c>
      <c r="D1268">
        <f>[1]发票导入!D1268&amp;""</f>
      </c>
      <c r="O1268">
        <f>[1]发票导入!O1268&amp;""</f>
      </c>
      <c r="T1268">
        <f>[1]发票导入!T1268</f>
      </c>
      <c r="U1268">
        <f>[1]发票导入!U1268&amp;""</f>
      </c>
      <c r="V1268">
        <f>[1]发票导入!V1268&amp;""</f>
      </c>
      <c r="W1268">
        <f>[1]发票导入!W1268&amp;""</f>
      </c>
      <c r="Y1268">
        <f>[1]发票导入!Y1268&amp;""</f>
      </c>
      <c r="AA1268">
        <f>[1]发票导入!AA1268&amp;""</f>
      </c>
      <c r="AB1268">
        <f>[1]发票导入!AB1268</f>
        <v>0</v>
      </c>
      <c r="AC1268">
        <f>[1]发票导入!AC1268</f>
        <v>0</v>
      </c>
      <c r="AE1268" s="22">
        <f t="shared" si="0"/>
      </c>
      <c r="AI1268">
        <f>[1]发票导入!AI1268&amp;""</f>
      </c>
      <c r="AJ1268">
        <f>[1]发票导入!AJ1268&amp;""</f>
      </c>
      <c r="AK1268">
        <f>[1]发票导入!AK1268</f>
        <v>0</v>
      </c>
      <c r="AL1268">
        <f>[1]发票导入!AL1268</f>
        <v>0</v>
      </c>
      <c r="AM1268">
        <f>[1]发票导入!AM1268</f>
        <v>0</v>
      </c>
      <c r="AN1268" s="22">
        <f t="shared" si="1"/>
        <v>0</v>
      </c>
      <c r="AO1268" s="22">
        <f t="shared" si="2"/>
        <v>0</v>
      </c>
    </row>
    <row r="1269">
      <c r="C1269">
        <f>[1]发票导入!C1269&amp;""</f>
      </c>
      <c r="D1269">
        <f>[1]发票导入!D1269&amp;""</f>
      </c>
      <c r="O1269">
        <f>[1]发票导入!O1269&amp;""</f>
      </c>
      <c r="T1269">
        <f>[1]发票导入!T1269</f>
      </c>
      <c r="U1269">
        <f>[1]发票导入!U1269&amp;""</f>
      </c>
      <c r="V1269">
        <f>[1]发票导入!V1269&amp;""</f>
      </c>
      <c r="W1269">
        <f>[1]发票导入!W1269&amp;""</f>
      </c>
      <c r="Y1269">
        <f>[1]发票导入!Y1269&amp;""</f>
      </c>
      <c r="AA1269">
        <f>[1]发票导入!AA1269&amp;""</f>
      </c>
      <c r="AB1269">
        <f>[1]发票导入!AB1269</f>
        <v>0</v>
      </c>
      <c r="AC1269">
        <f>[1]发票导入!AC1269</f>
        <v>0</v>
      </c>
      <c r="AE1269" s="22">
        <f t="shared" si="0"/>
      </c>
      <c r="AI1269">
        <f>[1]发票导入!AI1269&amp;""</f>
      </c>
      <c r="AJ1269">
        <f>[1]发票导入!AJ1269&amp;""</f>
      </c>
      <c r="AK1269">
        <f>[1]发票导入!AK1269</f>
        <v>0</v>
      </c>
      <c r="AL1269">
        <f>[1]发票导入!AL1269</f>
        <v>0</v>
      </c>
      <c r="AM1269">
        <f>[1]发票导入!AM1269</f>
        <v>0</v>
      </c>
      <c r="AN1269" s="22">
        <f t="shared" si="1"/>
        <v>0</v>
      </c>
      <c r="AO1269" s="22">
        <f t="shared" si="2"/>
        <v>0</v>
      </c>
    </row>
    <row r="1270">
      <c r="C1270">
        <f>[1]发票导入!C1270&amp;""</f>
      </c>
      <c r="D1270">
        <f>[1]发票导入!D1270&amp;""</f>
      </c>
      <c r="O1270">
        <f>[1]发票导入!O1270&amp;""</f>
      </c>
      <c r="T1270">
        <f>[1]发票导入!T1270</f>
      </c>
      <c r="U1270">
        <f>[1]发票导入!U1270&amp;""</f>
      </c>
      <c r="V1270">
        <f>[1]发票导入!V1270&amp;""</f>
      </c>
      <c r="W1270">
        <f>[1]发票导入!W1270&amp;""</f>
      </c>
      <c r="Y1270">
        <f>[1]发票导入!Y1270&amp;""</f>
      </c>
      <c r="AA1270">
        <f>[1]发票导入!AA1270&amp;""</f>
      </c>
      <c r="AB1270">
        <f>[1]发票导入!AB1270</f>
        <v>0</v>
      </c>
      <c r="AC1270">
        <f>[1]发票导入!AC1270</f>
        <v>0</v>
      </c>
      <c r="AE1270" s="22">
        <f t="shared" si="0"/>
      </c>
      <c r="AI1270">
        <f>[1]发票导入!AI1270&amp;""</f>
      </c>
      <c r="AJ1270">
        <f>[1]发票导入!AJ1270&amp;""</f>
      </c>
      <c r="AK1270">
        <f>[1]发票导入!AK1270</f>
        <v>0</v>
      </c>
      <c r="AL1270">
        <f>[1]发票导入!AL1270</f>
        <v>0</v>
      </c>
      <c r="AM1270">
        <f>[1]发票导入!AM1270</f>
        <v>0</v>
      </c>
      <c r="AN1270" s="22">
        <f t="shared" si="1"/>
        <v>0</v>
      </c>
      <c r="AO1270" s="22">
        <f t="shared" si="2"/>
        <v>0</v>
      </c>
    </row>
    <row r="1271">
      <c r="C1271">
        <f>[1]发票导入!C1271&amp;""</f>
      </c>
      <c r="D1271">
        <f>[1]发票导入!D1271&amp;""</f>
      </c>
      <c r="O1271">
        <f>[1]发票导入!O1271&amp;""</f>
      </c>
      <c r="T1271">
        <f>[1]发票导入!T1271</f>
      </c>
      <c r="U1271">
        <f>[1]发票导入!U1271&amp;""</f>
      </c>
      <c r="V1271">
        <f>[1]发票导入!V1271&amp;""</f>
      </c>
      <c r="W1271">
        <f>[1]发票导入!W1271&amp;""</f>
      </c>
      <c r="Y1271">
        <f>[1]发票导入!Y1271&amp;""</f>
      </c>
      <c r="AA1271">
        <f>[1]发票导入!AA1271&amp;""</f>
      </c>
      <c r="AB1271">
        <f>[1]发票导入!AB1271</f>
        <v>0</v>
      </c>
      <c r="AC1271">
        <f>[1]发票导入!AC1271</f>
        <v>0</v>
      </c>
      <c r="AE1271" s="22">
        <f t="shared" si="0"/>
      </c>
      <c r="AI1271">
        <f>[1]发票导入!AI1271&amp;""</f>
      </c>
      <c r="AJ1271">
        <f>[1]发票导入!AJ1271&amp;""</f>
      </c>
      <c r="AK1271">
        <f>[1]发票导入!AK1271</f>
        <v>0</v>
      </c>
      <c r="AL1271">
        <f>[1]发票导入!AL1271</f>
        <v>0</v>
      </c>
      <c r="AM1271">
        <f>[1]发票导入!AM1271</f>
        <v>0</v>
      </c>
      <c r="AN1271" s="22">
        <f t="shared" si="1"/>
        <v>0</v>
      </c>
      <c r="AO1271" s="22">
        <f t="shared" si="2"/>
        <v>0</v>
      </c>
    </row>
    <row r="1272">
      <c r="C1272">
        <f>[1]发票导入!C1272&amp;""</f>
      </c>
      <c r="D1272">
        <f>[1]发票导入!D1272&amp;""</f>
      </c>
      <c r="O1272">
        <f>[1]发票导入!O1272&amp;""</f>
      </c>
      <c r="T1272">
        <f>[1]发票导入!T1272</f>
      </c>
      <c r="U1272">
        <f>[1]发票导入!U1272&amp;""</f>
      </c>
      <c r="V1272">
        <f>[1]发票导入!V1272&amp;""</f>
      </c>
      <c r="W1272">
        <f>[1]发票导入!W1272&amp;""</f>
      </c>
      <c r="Y1272">
        <f>[1]发票导入!Y1272&amp;""</f>
      </c>
      <c r="AA1272">
        <f>[1]发票导入!AA1272&amp;""</f>
      </c>
      <c r="AB1272">
        <f>[1]发票导入!AB1272</f>
        <v>0</v>
      </c>
      <c r="AC1272">
        <f>[1]发票导入!AC1272</f>
        <v>0</v>
      </c>
      <c r="AE1272" s="22">
        <f t="shared" si="0"/>
      </c>
      <c r="AI1272">
        <f>[1]发票导入!AI1272&amp;""</f>
      </c>
      <c r="AJ1272">
        <f>[1]发票导入!AJ1272&amp;""</f>
      </c>
      <c r="AK1272">
        <f>[1]发票导入!AK1272</f>
        <v>0</v>
      </c>
      <c r="AL1272">
        <f>[1]发票导入!AL1272</f>
        <v>0</v>
      </c>
      <c r="AM1272">
        <f>[1]发票导入!AM1272</f>
        <v>0</v>
      </c>
      <c r="AN1272" s="22">
        <f t="shared" si="1"/>
        <v>0</v>
      </c>
      <c r="AO1272" s="22">
        <f t="shared" si="2"/>
        <v>0</v>
      </c>
    </row>
    <row r="1273">
      <c r="C1273">
        <f>[1]发票导入!C1273&amp;""</f>
      </c>
      <c r="D1273">
        <f>[1]发票导入!D1273&amp;""</f>
      </c>
      <c r="O1273">
        <f>[1]发票导入!O1273&amp;""</f>
      </c>
      <c r="T1273">
        <f>[1]发票导入!T1273</f>
      </c>
      <c r="U1273">
        <f>[1]发票导入!U1273&amp;""</f>
      </c>
      <c r="V1273">
        <f>[1]发票导入!V1273&amp;""</f>
      </c>
      <c r="W1273">
        <f>[1]发票导入!W1273&amp;""</f>
      </c>
      <c r="Y1273">
        <f>[1]发票导入!Y1273&amp;""</f>
      </c>
      <c r="AA1273">
        <f>[1]发票导入!AA1273&amp;""</f>
      </c>
      <c r="AB1273">
        <f>[1]发票导入!AB1273</f>
        <v>0</v>
      </c>
      <c r="AC1273">
        <f>[1]发票导入!AC1273</f>
        <v>0</v>
      </c>
      <c r="AE1273" s="22">
        <f t="shared" si="0"/>
      </c>
      <c r="AI1273">
        <f>[1]发票导入!AI1273&amp;""</f>
      </c>
      <c r="AJ1273">
        <f>[1]发票导入!AJ1273&amp;""</f>
      </c>
      <c r="AK1273">
        <f>[1]发票导入!AK1273</f>
        <v>0</v>
      </c>
      <c r="AL1273">
        <f>[1]发票导入!AL1273</f>
        <v>0</v>
      </c>
      <c r="AM1273">
        <f>[1]发票导入!AM1273</f>
        <v>0</v>
      </c>
      <c r="AN1273" s="22">
        <f t="shared" si="1"/>
        <v>0</v>
      </c>
      <c r="AO1273" s="22">
        <f t="shared" si="2"/>
        <v>0</v>
      </c>
    </row>
    <row r="1274">
      <c r="C1274">
        <f>[1]发票导入!C1274&amp;""</f>
      </c>
      <c r="D1274">
        <f>[1]发票导入!D1274&amp;""</f>
      </c>
      <c r="O1274">
        <f>[1]发票导入!O1274&amp;""</f>
      </c>
      <c r="T1274">
        <f>[1]发票导入!T1274</f>
      </c>
      <c r="U1274">
        <f>[1]发票导入!U1274&amp;""</f>
      </c>
      <c r="V1274">
        <f>[1]发票导入!V1274&amp;""</f>
      </c>
      <c r="W1274">
        <f>[1]发票导入!W1274&amp;""</f>
      </c>
      <c r="Y1274">
        <f>[1]发票导入!Y1274&amp;""</f>
      </c>
      <c r="AA1274">
        <f>[1]发票导入!AA1274&amp;""</f>
      </c>
      <c r="AB1274">
        <f>[1]发票导入!AB1274</f>
        <v>0</v>
      </c>
      <c r="AC1274">
        <f>[1]发票导入!AC1274</f>
        <v>0</v>
      </c>
      <c r="AE1274" s="22">
        <f t="shared" si="0"/>
      </c>
      <c r="AI1274">
        <f>[1]发票导入!AI1274&amp;""</f>
      </c>
      <c r="AJ1274">
        <f>[1]发票导入!AJ1274&amp;""</f>
      </c>
      <c r="AK1274">
        <f>[1]发票导入!AK1274</f>
        <v>0</v>
      </c>
      <c r="AL1274">
        <f>[1]发票导入!AL1274</f>
        <v>0</v>
      </c>
      <c r="AM1274">
        <f>[1]发票导入!AM1274</f>
        <v>0</v>
      </c>
      <c r="AN1274" s="22">
        <f t="shared" si="1"/>
        <v>0</v>
      </c>
      <c r="AO1274" s="22">
        <f t="shared" si="2"/>
        <v>0</v>
      </c>
    </row>
    <row r="1275">
      <c r="C1275">
        <f>[1]发票导入!C1275&amp;""</f>
      </c>
      <c r="D1275">
        <f>[1]发票导入!D1275&amp;""</f>
      </c>
      <c r="O1275">
        <f>[1]发票导入!O1275&amp;""</f>
      </c>
      <c r="T1275">
        <f>[1]发票导入!T1275</f>
      </c>
      <c r="U1275">
        <f>[1]发票导入!U1275&amp;""</f>
      </c>
      <c r="V1275">
        <f>[1]发票导入!V1275&amp;""</f>
      </c>
      <c r="W1275">
        <f>[1]发票导入!W1275&amp;""</f>
      </c>
      <c r="Y1275">
        <f>[1]发票导入!Y1275&amp;""</f>
      </c>
      <c r="AA1275">
        <f>[1]发票导入!AA1275&amp;""</f>
      </c>
      <c r="AB1275">
        <f>[1]发票导入!AB1275</f>
        <v>0</v>
      </c>
      <c r="AC1275">
        <f>[1]发票导入!AC1275</f>
        <v>0</v>
      </c>
      <c r="AE1275" s="22">
        <f t="shared" si="0"/>
      </c>
      <c r="AI1275">
        <f>[1]发票导入!AI1275&amp;""</f>
      </c>
      <c r="AJ1275">
        <f>[1]发票导入!AJ1275&amp;""</f>
      </c>
      <c r="AK1275">
        <f>[1]发票导入!AK1275</f>
        <v>0</v>
      </c>
      <c r="AL1275">
        <f>[1]发票导入!AL1275</f>
        <v>0</v>
      </c>
      <c r="AM1275">
        <f>[1]发票导入!AM1275</f>
        <v>0</v>
      </c>
      <c r="AN1275" s="22">
        <f t="shared" si="1"/>
        <v>0</v>
      </c>
      <c r="AO1275" s="22">
        <f t="shared" si="2"/>
        <v>0</v>
      </c>
    </row>
    <row r="1276">
      <c r="C1276">
        <f>[1]发票导入!C1276&amp;""</f>
      </c>
      <c r="D1276">
        <f>[1]发票导入!D1276&amp;""</f>
      </c>
      <c r="O1276">
        <f>[1]发票导入!O1276&amp;""</f>
      </c>
      <c r="T1276">
        <f>[1]发票导入!T1276</f>
      </c>
      <c r="U1276">
        <f>[1]发票导入!U1276&amp;""</f>
      </c>
      <c r="V1276">
        <f>[1]发票导入!V1276&amp;""</f>
      </c>
      <c r="W1276">
        <f>[1]发票导入!W1276&amp;""</f>
      </c>
      <c r="Y1276">
        <f>[1]发票导入!Y1276&amp;""</f>
      </c>
      <c r="AA1276">
        <f>[1]发票导入!AA1276&amp;""</f>
      </c>
      <c r="AB1276">
        <f>[1]发票导入!AB1276</f>
        <v>0</v>
      </c>
      <c r="AC1276">
        <f>[1]发票导入!AC1276</f>
        <v>0</v>
      </c>
      <c r="AE1276" s="22">
        <f t="shared" si="0"/>
      </c>
      <c r="AI1276">
        <f>[1]发票导入!AI1276&amp;""</f>
      </c>
      <c r="AJ1276">
        <f>[1]发票导入!AJ1276&amp;""</f>
      </c>
      <c r="AK1276">
        <f>[1]发票导入!AK1276</f>
        <v>0</v>
      </c>
      <c r="AL1276">
        <f>[1]发票导入!AL1276</f>
        <v>0</v>
      </c>
      <c r="AM1276">
        <f>[1]发票导入!AM1276</f>
        <v>0</v>
      </c>
      <c r="AN1276" s="22">
        <f t="shared" si="1"/>
        <v>0</v>
      </c>
      <c r="AO1276" s="22">
        <f t="shared" si="2"/>
        <v>0</v>
      </c>
    </row>
    <row r="1277">
      <c r="C1277">
        <f>[1]发票导入!C1277&amp;""</f>
      </c>
      <c r="D1277">
        <f>[1]发票导入!D1277&amp;""</f>
      </c>
      <c r="O1277">
        <f>[1]发票导入!O1277&amp;""</f>
      </c>
      <c r="T1277">
        <f>[1]发票导入!T1277</f>
      </c>
      <c r="U1277">
        <f>[1]发票导入!U1277&amp;""</f>
      </c>
      <c r="V1277">
        <f>[1]发票导入!V1277&amp;""</f>
      </c>
      <c r="W1277">
        <f>[1]发票导入!W1277&amp;""</f>
      </c>
      <c r="Y1277">
        <f>[1]发票导入!Y1277&amp;""</f>
      </c>
      <c r="AA1277">
        <f>[1]发票导入!AA1277&amp;""</f>
      </c>
      <c r="AB1277">
        <f>[1]发票导入!AB1277</f>
        <v>0</v>
      </c>
      <c r="AC1277">
        <f>[1]发票导入!AC1277</f>
        <v>0</v>
      </c>
      <c r="AE1277" s="22">
        <f t="shared" si="0"/>
      </c>
      <c r="AI1277">
        <f>[1]发票导入!AI1277&amp;""</f>
      </c>
      <c r="AJ1277">
        <f>[1]发票导入!AJ1277&amp;""</f>
      </c>
      <c r="AK1277">
        <f>[1]发票导入!AK1277</f>
        <v>0</v>
      </c>
      <c r="AL1277">
        <f>[1]发票导入!AL1277</f>
        <v>0</v>
      </c>
      <c r="AM1277">
        <f>[1]发票导入!AM1277</f>
        <v>0</v>
      </c>
      <c r="AN1277" s="22">
        <f t="shared" si="1"/>
        <v>0</v>
      </c>
      <c r="AO1277" s="22">
        <f t="shared" si="2"/>
        <v>0</v>
      </c>
    </row>
    <row r="1278">
      <c r="C1278">
        <f>[1]发票导入!C1278&amp;""</f>
      </c>
      <c r="D1278">
        <f>[1]发票导入!D1278&amp;""</f>
      </c>
      <c r="O1278">
        <f>[1]发票导入!O1278&amp;""</f>
      </c>
      <c r="T1278">
        <f>[1]发票导入!T1278</f>
      </c>
      <c r="U1278">
        <f>[1]发票导入!U1278&amp;""</f>
      </c>
      <c r="V1278">
        <f>[1]发票导入!V1278&amp;""</f>
      </c>
      <c r="W1278">
        <f>[1]发票导入!W1278&amp;""</f>
      </c>
      <c r="Y1278">
        <f>[1]发票导入!Y1278&amp;""</f>
      </c>
      <c r="AA1278">
        <f>[1]发票导入!AA1278&amp;""</f>
      </c>
      <c r="AB1278">
        <f>[1]发票导入!AB1278</f>
        <v>0</v>
      </c>
      <c r="AC1278">
        <f>[1]发票导入!AC1278</f>
        <v>0</v>
      </c>
      <c r="AE1278" s="22">
        <f t="shared" si="0"/>
      </c>
      <c r="AI1278">
        <f>[1]发票导入!AI1278&amp;""</f>
      </c>
      <c r="AJ1278">
        <f>[1]发票导入!AJ1278&amp;""</f>
      </c>
      <c r="AK1278">
        <f>[1]发票导入!AK1278</f>
        <v>0</v>
      </c>
      <c r="AL1278">
        <f>[1]发票导入!AL1278</f>
        <v>0</v>
      </c>
      <c r="AM1278">
        <f>[1]发票导入!AM1278</f>
        <v>0</v>
      </c>
      <c r="AN1278" s="22">
        <f t="shared" si="1"/>
        <v>0</v>
      </c>
      <c r="AO1278" s="22">
        <f t="shared" si="2"/>
        <v>0</v>
      </c>
    </row>
    <row r="1279">
      <c r="C1279">
        <f>[1]发票导入!C1279&amp;""</f>
      </c>
      <c r="D1279">
        <f>[1]发票导入!D1279&amp;""</f>
      </c>
      <c r="O1279">
        <f>[1]发票导入!O1279&amp;""</f>
      </c>
      <c r="T1279">
        <f>[1]发票导入!T1279</f>
      </c>
      <c r="U1279">
        <f>[1]发票导入!U1279&amp;""</f>
      </c>
      <c r="V1279">
        <f>[1]发票导入!V1279&amp;""</f>
      </c>
      <c r="W1279">
        <f>[1]发票导入!W1279&amp;""</f>
      </c>
      <c r="Y1279">
        <f>[1]发票导入!Y1279&amp;""</f>
      </c>
      <c r="AA1279">
        <f>[1]发票导入!AA1279&amp;""</f>
      </c>
      <c r="AB1279">
        <f>[1]发票导入!AB1279</f>
        <v>0</v>
      </c>
      <c r="AC1279">
        <f>[1]发票导入!AC1279</f>
        <v>0</v>
      </c>
      <c r="AE1279" s="22">
        <f t="shared" si="0"/>
      </c>
      <c r="AI1279">
        <f>[1]发票导入!AI1279&amp;""</f>
      </c>
      <c r="AJ1279">
        <f>[1]发票导入!AJ1279&amp;""</f>
      </c>
      <c r="AK1279">
        <f>[1]发票导入!AK1279</f>
        <v>0</v>
      </c>
      <c r="AL1279">
        <f>[1]发票导入!AL1279</f>
        <v>0</v>
      </c>
      <c r="AM1279">
        <f>[1]发票导入!AM1279</f>
        <v>0</v>
      </c>
      <c r="AN1279" s="22">
        <f t="shared" si="1"/>
        <v>0</v>
      </c>
      <c r="AO1279" s="22">
        <f t="shared" si="2"/>
        <v>0</v>
      </c>
    </row>
    <row r="1280">
      <c r="C1280">
        <f>[1]发票导入!C1280&amp;""</f>
      </c>
      <c r="D1280">
        <f>[1]发票导入!D1280&amp;""</f>
      </c>
      <c r="O1280">
        <f>[1]发票导入!O1280&amp;""</f>
      </c>
      <c r="T1280">
        <f>[1]发票导入!T1280</f>
      </c>
      <c r="U1280">
        <f>[1]发票导入!U1280&amp;""</f>
      </c>
      <c r="V1280">
        <f>[1]发票导入!V1280&amp;""</f>
      </c>
      <c r="W1280">
        <f>[1]发票导入!W1280&amp;""</f>
      </c>
      <c r="Y1280">
        <f>[1]发票导入!Y1280&amp;""</f>
      </c>
      <c r="AA1280">
        <f>[1]发票导入!AA1280&amp;""</f>
      </c>
      <c r="AB1280">
        <f>[1]发票导入!AB1280</f>
        <v>0</v>
      </c>
      <c r="AC1280">
        <f>[1]发票导入!AC1280</f>
        <v>0</v>
      </c>
      <c r="AE1280" s="22">
        <f t="shared" si="0"/>
      </c>
      <c r="AI1280">
        <f>[1]发票导入!AI1280&amp;""</f>
      </c>
      <c r="AJ1280">
        <f>[1]发票导入!AJ1280&amp;""</f>
      </c>
      <c r="AK1280">
        <f>[1]发票导入!AK1280</f>
        <v>0</v>
      </c>
      <c r="AL1280">
        <f>[1]发票导入!AL1280</f>
        <v>0</v>
      </c>
      <c r="AM1280">
        <f>[1]发票导入!AM1280</f>
        <v>0</v>
      </c>
      <c r="AN1280" s="22">
        <f t="shared" si="1"/>
        <v>0</v>
      </c>
      <c r="AO1280" s="22">
        <f t="shared" si="2"/>
        <v>0</v>
      </c>
    </row>
    <row r="1281">
      <c r="C1281">
        <f>[1]发票导入!C1281&amp;""</f>
      </c>
      <c r="D1281">
        <f>[1]发票导入!D1281&amp;""</f>
      </c>
      <c r="O1281">
        <f>[1]发票导入!O1281&amp;""</f>
      </c>
      <c r="T1281">
        <f>[1]发票导入!T1281</f>
      </c>
      <c r="U1281">
        <f>[1]发票导入!U1281&amp;""</f>
      </c>
      <c r="V1281">
        <f>[1]发票导入!V1281&amp;""</f>
      </c>
      <c r="W1281">
        <f>[1]发票导入!W1281&amp;""</f>
      </c>
      <c r="Y1281">
        <f>[1]发票导入!Y1281&amp;""</f>
      </c>
      <c r="AA1281">
        <f>[1]发票导入!AA1281&amp;""</f>
      </c>
      <c r="AB1281">
        <f>[1]发票导入!AB1281</f>
        <v>0</v>
      </c>
      <c r="AC1281">
        <f>[1]发票导入!AC1281</f>
        <v>0</v>
      </c>
      <c r="AE1281" s="22">
        <f t="shared" si="0"/>
      </c>
      <c r="AI1281">
        <f>[1]发票导入!AI1281&amp;""</f>
      </c>
      <c r="AJ1281">
        <f>[1]发票导入!AJ1281&amp;""</f>
      </c>
      <c r="AK1281">
        <f>[1]发票导入!AK1281</f>
        <v>0</v>
      </c>
      <c r="AL1281">
        <f>[1]发票导入!AL1281</f>
        <v>0</v>
      </c>
      <c r="AM1281">
        <f>[1]发票导入!AM1281</f>
        <v>0</v>
      </c>
      <c r="AN1281" s="22">
        <f t="shared" si="1"/>
        <v>0</v>
      </c>
      <c r="AO1281" s="22">
        <f t="shared" si="2"/>
        <v>0</v>
      </c>
    </row>
    <row r="1282">
      <c r="C1282">
        <f>[1]发票导入!C1282&amp;""</f>
      </c>
      <c r="D1282">
        <f>[1]发票导入!D1282&amp;""</f>
      </c>
      <c r="O1282">
        <f>[1]发票导入!O1282&amp;""</f>
      </c>
      <c r="T1282">
        <f>[1]发票导入!T1282</f>
      </c>
      <c r="U1282">
        <f>[1]发票导入!U1282&amp;""</f>
      </c>
      <c r="V1282">
        <f>[1]发票导入!V1282&amp;""</f>
      </c>
      <c r="W1282">
        <f>[1]发票导入!W1282&amp;""</f>
      </c>
      <c r="Y1282">
        <f>[1]发票导入!Y1282&amp;""</f>
      </c>
      <c r="AA1282">
        <f>[1]发票导入!AA1282&amp;""</f>
      </c>
      <c r="AB1282">
        <f>[1]发票导入!AB1282</f>
        <v>0</v>
      </c>
      <c r="AC1282">
        <f>[1]发票导入!AC1282</f>
        <v>0</v>
      </c>
      <c r="AE1282" s="22">
        <f t="shared" si="0"/>
      </c>
      <c r="AI1282">
        <f>[1]发票导入!AI1282&amp;""</f>
      </c>
      <c r="AJ1282">
        <f>[1]发票导入!AJ1282&amp;""</f>
      </c>
      <c r="AK1282">
        <f>[1]发票导入!AK1282</f>
        <v>0</v>
      </c>
      <c r="AL1282">
        <f>[1]发票导入!AL1282</f>
        <v>0</v>
      </c>
      <c r="AM1282">
        <f>[1]发票导入!AM1282</f>
        <v>0</v>
      </c>
      <c r="AN1282" s="22">
        <f t="shared" si="1"/>
        <v>0</v>
      </c>
      <c r="AO1282" s="22">
        <f t="shared" si="2"/>
        <v>0</v>
      </c>
    </row>
    <row r="1283">
      <c r="C1283">
        <f>[1]发票导入!C1283&amp;""</f>
      </c>
      <c r="D1283">
        <f>[1]发票导入!D1283&amp;""</f>
      </c>
      <c r="O1283">
        <f>[1]发票导入!O1283&amp;""</f>
      </c>
      <c r="T1283">
        <f>[1]发票导入!T1283</f>
      </c>
      <c r="U1283">
        <f>[1]发票导入!U1283&amp;""</f>
      </c>
      <c r="V1283">
        <f>[1]发票导入!V1283&amp;""</f>
      </c>
      <c r="W1283">
        <f>[1]发票导入!W1283&amp;""</f>
      </c>
      <c r="Y1283">
        <f>[1]发票导入!Y1283&amp;""</f>
      </c>
      <c r="AA1283">
        <f>[1]发票导入!AA1283&amp;""</f>
      </c>
      <c r="AB1283">
        <f>[1]发票导入!AB1283</f>
        <v>0</v>
      </c>
      <c r="AC1283">
        <f>[1]发票导入!AC1283</f>
        <v>0</v>
      </c>
      <c r="AE1283" s="22">
        <f t="shared" si="0"/>
      </c>
      <c r="AI1283">
        <f>[1]发票导入!AI1283&amp;""</f>
      </c>
      <c r="AJ1283">
        <f>[1]发票导入!AJ1283&amp;""</f>
      </c>
      <c r="AK1283">
        <f>[1]发票导入!AK1283</f>
        <v>0</v>
      </c>
      <c r="AL1283">
        <f>[1]发票导入!AL1283</f>
        <v>0</v>
      </c>
      <c r="AM1283">
        <f>[1]发票导入!AM1283</f>
        <v>0</v>
      </c>
      <c r="AN1283" s="22">
        <f t="shared" si="1"/>
        <v>0</v>
      </c>
      <c r="AO1283" s="22">
        <f t="shared" si="2"/>
        <v>0</v>
      </c>
    </row>
    <row r="1284">
      <c r="C1284">
        <f>[1]发票导入!C1284&amp;""</f>
      </c>
      <c r="D1284">
        <f>[1]发票导入!D1284&amp;""</f>
      </c>
      <c r="O1284">
        <f>[1]发票导入!O1284&amp;""</f>
      </c>
      <c r="T1284">
        <f>[1]发票导入!T1284</f>
      </c>
      <c r="U1284">
        <f>[1]发票导入!U1284&amp;""</f>
      </c>
      <c r="V1284">
        <f>[1]发票导入!V1284&amp;""</f>
      </c>
      <c r="W1284">
        <f>[1]发票导入!W1284&amp;""</f>
      </c>
      <c r="Y1284">
        <f>[1]发票导入!Y1284&amp;""</f>
      </c>
      <c r="AA1284">
        <f>[1]发票导入!AA1284&amp;""</f>
      </c>
      <c r="AB1284">
        <f>[1]发票导入!AB1284</f>
        <v>0</v>
      </c>
      <c r="AC1284">
        <f>[1]发票导入!AC1284</f>
        <v>0</v>
      </c>
      <c r="AE1284" s="22">
        <f t="shared" si="0"/>
      </c>
      <c r="AI1284">
        <f>[1]发票导入!AI1284&amp;""</f>
      </c>
      <c r="AJ1284">
        <f>[1]发票导入!AJ1284&amp;""</f>
      </c>
      <c r="AK1284">
        <f>[1]发票导入!AK1284</f>
        <v>0</v>
      </c>
      <c r="AL1284">
        <f>[1]发票导入!AL1284</f>
        <v>0</v>
      </c>
      <c r="AM1284">
        <f>[1]发票导入!AM1284</f>
        <v>0</v>
      </c>
      <c r="AN1284" s="22">
        <f t="shared" si="1"/>
        <v>0</v>
      </c>
      <c r="AO1284" s="22">
        <f t="shared" si="2"/>
        <v>0</v>
      </c>
    </row>
    <row r="1285">
      <c r="C1285">
        <f>[1]发票导入!C1285&amp;""</f>
      </c>
      <c r="D1285">
        <f>[1]发票导入!D1285&amp;""</f>
      </c>
      <c r="O1285">
        <f>[1]发票导入!O1285&amp;""</f>
      </c>
      <c r="T1285">
        <f>[1]发票导入!T1285</f>
      </c>
      <c r="U1285">
        <f>[1]发票导入!U1285&amp;""</f>
      </c>
      <c r="V1285">
        <f>[1]发票导入!V1285&amp;""</f>
      </c>
      <c r="W1285">
        <f>[1]发票导入!W1285&amp;""</f>
      </c>
      <c r="Y1285">
        <f>[1]发票导入!Y1285&amp;""</f>
      </c>
      <c r="AA1285">
        <f>[1]发票导入!AA1285&amp;""</f>
      </c>
      <c r="AB1285">
        <f>[1]发票导入!AB1285</f>
        <v>0</v>
      </c>
      <c r="AC1285">
        <f>[1]发票导入!AC1285</f>
        <v>0</v>
      </c>
      <c r="AE1285" s="22">
        <f t="shared" si="0"/>
      </c>
      <c r="AI1285">
        <f>[1]发票导入!AI1285&amp;""</f>
      </c>
      <c r="AJ1285">
        <f>[1]发票导入!AJ1285&amp;""</f>
      </c>
      <c r="AK1285">
        <f>[1]发票导入!AK1285</f>
        <v>0</v>
      </c>
      <c r="AL1285">
        <f>[1]发票导入!AL1285</f>
        <v>0</v>
      </c>
      <c r="AM1285">
        <f>[1]发票导入!AM1285</f>
        <v>0</v>
      </c>
      <c r="AN1285" s="22">
        <f t="shared" si="1"/>
        <v>0</v>
      </c>
      <c r="AO1285" s="22">
        <f t="shared" si="2"/>
        <v>0</v>
      </c>
    </row>
    <row r="1286">
      <c r="C1286">
        <f>[1]发票导入!C1286&amp;""</f>
      </c>
      <c r="D1286">
        <f>[1]发票导入!D1286&amp;""</f>
      </c>
      <c r="O1286">
        <f>[1]发票导入!O1286&amp;""</f>
      </c>
      <c r="T1286">
        <f>[1]发票导入!T1286</f>
      </c>
      <c r="U1286">
        <f>[1]发票导入!U1286&amp;""</f>
      </c>
      <c r="V1286">
        <f>[1]发票导入!V1286&amp;""</f>
      </c>
      <c r="W1286">
        <f>[1]发票导入!W1286&amp;""</f>
      </c>
      <c r="Y1286">
        <f>[1]发票导入!Y1286&amp;""</f>
      </c>
      <c r="AA1286">
        <f>[1]发票导入!AA1286&amp;""</f>
      </c>
      <c r="AB1286">
        <f>[1]发票导入!AB1286</f>
        <v>0</v>
      </c>
      <c r="AC1286">
        <f>[1]发票导入!AC1286</f>
        <v>0</v>
      </c>
      <c r="AE1286" s="22">
        <f t="shared" si="0"/>
      </c>
      <c r="AI1286">
        <f>[1]发票导入!AI1286&amp;""</f>
      </c>
      <c r="AJ1286">
        <f>[1]发票导入!AJ1286&amp;""</f>
      </c>
      <c r="AK1286">
        <f>[1]发票导入!AK1286</f>
        <v>0</v>
      </c>
      <c r="AL1286">
        <f>[1]发票导入!AL1286</f>
        <v>0</v>
      </c>
      <c r="AM1286">
        <f>[1]发票导入!AM1286</f>
        <v>0</v>
      </c>
      <c r="AN1286" s="22">
        <f t="shared" si="1"/>
        <v>0</v>
      </c>
      <c r="AO1286" s="22">
        <f t="shared" si="2"/>
        <v>0</v>
      </c>
    </row>
    <row r="1287">
      <c r="C1287">
        <f>[1]发票导入!C1287&amp;""</f>
      </c>
      <c r="D1287">
        <f>[1]发票导入!D1287&amp;""</f>
      </c>
      <c r="O1287">
        <f>[1]发票导入!O1287&amp;""</f>
      </c>
      <c r="T1287">
        <f>[1]发票导入!T1287</f>
      </c>
      <c r="U1287">
        <f>[1]发票导入!U1287&amp;""</f>
      </c>
      <c r="V1287">
        <f>[1]发票导入!V1287&amp;""</f>
      </c>
      <c r="W1287">
        <f>[1]发票导入!W1287&amp;""</f>
      </c>
      <c r="Y1287">
        <f>[1]发票导入!Y1287&amp;""</f>
      </c>
      <c r="AA1287">
        <f>[1]发票导入!AA1287&amp;""</f>
      </c>
      <c r="AB1287">
        <f>[1]发票导入!AB1287</f>
        <v>0</v>
      </c>
      <c r="AC1287">
        <f>[1]发票导入!AC1287</f>
        <v>0</v>
      </c>
      <c r="AE1287" s="22">
        <f t="shared" si="0"/>
      </c>
      <c r="AI1287">
        <f>[1]发票导入!AI1287&amp;""</f>
      </c>
      <c r="AJ1287">
        <f>[1]发票导入!AJ1287&amp;""</f>
      </c>
      <c r="AK1287">
        <f>[1]发票导入!AK1287</f>
        <v>0</v>
      </c>
      <c r="AL1287">
        <f>[1]发票导入!AL1287</f>
        <v>0</v>
      </c>
      <c r="AM1287">
        <f>[1]发票导入!AM1287</f>
        <v>0</v>
      </c>
      <c r="AN1287" s="22">
        <f t="shared" si="1"/>
        <v>0</v>
      </c>
      <c r="AO1287" s="22">
        <f t="shared" si="2"/>
        <v>0</v>
      </c>
    </row>
    <row r="1288">
      <c r="C1288">
        <f>[1]发票导入!C1288&amp;""</f>
      </c>
      <c r="D1288">
        <f>[1]发票导入!D1288&amp;""</f>
      </c>
      <c r="O1288">
        <f>[1]发票导入!O1288&amp;""</f>
      </c>
      <c r="T1288">
        <f>[1]发票导入!T1288</f>
      </c>
      <c r="U1288">
        <f>[1]发票导入!U1288&amp;""</f>
      </c>
      <c r="V1288">
        <f>[1]发票导入!V1288&amp;""</f>
      </c>
      <c r="W1288">
        <f>[1]发票导入!W1288&amp;""</f>
      </c>
      <c r="Y1288">
        <f>[1]发票导入!Y1288&amp;""</f>
      </c>
      <c r="AA1288">
        <f>[1]发票导入!AA1288&amp;""</f>
      </c>
      <c r="AB1288">
        <f>[1]发票导入!AB1288</f>
        <v>0</v>
      </c>
      <c r="AC1288">
        <f>[1]发票导入!AC1288</f>
        <v>0</v>
      </c>
      <c r="AE1288" s="22">
        <f t="shared" si="0"/>
      </c>
      <c r="AI1288">
        <f>[1]发票导入!AI1288&amp;""</f>
      </c>
      <c r="AJ1288">
        <f>[1]发票导入!AJ1288&amp;""</f>
      </c>
      <c r="AK1288">
        <f>[1]发票导入!AK1288</f>
        <v>0</v>
      </c>
      <c r="AL1288">
        <f>[1]发票导入!AL1288</f>
        <v>0</v>
      </c>
      <c r="AM1288">
        <f>[1]发票导入!AM1288</f>
        <v>0</v>
      </c>
      <c r="AN1288" s="22">
        <f t="shared" si="1"/>
        <v>0</v>
      </c>
      <c r="AO1288" s="22">
        <f t="shared" si="2"/>
        <v>0</v>
      </c>
    </row>
    <row r="1289">
      <c r="C1289">
        <f>[1]发票导入!C1289&amp;""</f>
      </c>
      <c r="D1289">
        <f>[1]发票导入!D1289&amp;""</f>
      </c>
      <c r="O1289">
        <f>[1]发票导入!O1289&amp;""</f>
      </c>
      <c r="T1289">
        <f>[1]发票导入!T1289</f>
      </c>
      <c r="U1289">
        <f>[1]发票导入!U1289&amp;""</f>
      </c>
      <c r="V1289">
        <f>[1]发票导入!V1289&amp;""</f>
      </c>
      <c r="W1289">
        <f>[1]发票导入!W1289&amp;""</f>
      </c>
      <c r="Y1289">
        <f>[1]发票导入!Y1289&amp;""</f>
      </c>
      <c r="AA1289">
        <f>[1]发票导入!AA1289&amp;""</f>
      </c>
      <c r="AB1289">
        <f>[1]发票导入!AB1289</f>
        <v>0</v>
      </c>
      <c r="AC1289">
        <f>[1]发票导入!AC1289</f>
        <v>0</v>
      </c>
      <c r="AE1289" s="22">
        <f t="shared" si="0"/>
      </c>
      <c r="AI1289">
        <f>[1]发票导入!AI1289&amp;""</f>
      </c>
      <c r="AJ1289">
        <f>[1]发票导入!AJ1289&amp;""</f>
      </c>
      <c r="AK1289">
        <f>[1]发票导入!AK1289</f>
        <v>0</v>
      </c>
      <c r="AL1289">
        <f>[1]发票导入!AL1289</f>
        <v>0</v>
      </c>
      <c r="AM1289">
        <f>[1]发票导入!AM1289</f>
        <v>0</v>
      </c>
      <c r="AN1289" s="22">
        <f t="shared" si="1"/>
        <v>0</v>
      </c>
      <c r="AO1289" s="22">
        <f t="shared" si="2"/>
        <v>0</v>
      </c>
    </row>
    <row r="1290">
      <c r="C1290">
        <f>[1]发票导入!C1290&amp;""</f>
      </c>
      <c r="D1290">
        <f>[1]发票导入!D1290&amp;""</f>
      </c>
      <c r="O1290">
        <f>[1]发票导入!O1290&amp;""</f>
      </c>
      <c r="T1290">
        <f>[1]发票导入!T1290</f>
      </c>
      <c r="U1290">
        <f>[1]发票导入!U1290&amp;""</f>
      </c>
      <c r="V1290">
        <f>[1]发票导入!V1290&amp;""</f>
      </c>
      <c r="W1290">
        <f>[1]发票导入!W1290&amp;""</f>
      </c>
      <c r="Y1290">
        <f>[1]发票导入!Y1290&amp;""</f>
      </c>
      <c r="AA1290">
        <f>[1]发票导入!AA1290&amp;""</f>
      </c>
      <c r="AB1290">
        <f>[1]发票导入!AB1290</f>
        <v>0</v>
      </c>
      <c r="AC1290">
        <f>[1]发票导入!AC1290</f>
        <v>0</v>
      </c>
      <c r="AE1290" s="22">
        <f t="shared" si="0"/>
      </c>
      <c r="AI1290">
        <f>[1]发票导入!AI1290&amp;""</f>
      </c>
      <c r="AJ1290">
        <f>[1]发票导入!AJ1290&amp;""</f>
      </c>
      <c r="AK1290">
        <f>[1]发票导入!AK1290</f>
        <v>0</v>
      </c>
      <c r="AL1290">
        <f>[1]发票导入!AL1290</f>
        <v>0</v>
      </c>
      <c r="AM1290">
        <f>[1]发票导入!AM1290</f>
        <v>0</v>
      </c>
      <c r="AN1290" s="22">
        <f t="shared" si="1"/>
        <v>0</v>
      </c>
      <c r="AO1290" s="22">
        <f t="shared" si="2"/>
        <v>0</v>
      </c>
    </row>
    <row r="1291">
      <c r="C1291">
        <f>[1]发票导入!C1291&amp;""</f>
      </c>
      <c r="D1291">
        <f>[1]发票导入!D1291&amp;""</f>
      </c>
      <c r="O1291">
        <f>[1]发票导入!O1291&amp;""</f>
      </c>
      <c r="T1291">
        <f>[1]发票导入!T1291</f>
      </c>
      <c r="U1291">
        <f>[1]发票导入!U1291&amp;""</f>
      </c>
      <c r="V1291">
        <f>[1]发票导入!V1291&amp;""</f>
      </c>
      <c r="W1291">
        <f>[1]发票导入!W1291&amp;""</f>
      </c>
      <c r="Y1291">
        <f>[1]发票导入!Y1291&amp;""</f>
      </c>
      <c r="AA1291">
        <f>[1]发票导入!AA1291&amp;""</f>
      </c>
      <c r="AB1291">
        <f>[1]发票导入!AB1291</f>
        <v>0</v>
      </c>
      <c r="AC1291">
        <f>[1]发票导入!AC1291</f>
        <v>0</v>
      </c>
      <c r="AE1291" s="22">
        <f t="shared" si="0"/>
      </c>
      <c r="AI1291">
        <f>[1]发票导入!AI1291&amp;""</f>
      </c>
      <c r="AJ1291">
        <f>[1]发票导入!AJ1291&amp;""</f>
      </c>
      <c r="AK1291">
        <f>[1]发票导入!AK1291</f>
        <v>0</v>
      </c>
      <c r="AL1291">
        <f>[1]发票导入!AL1291</f>
        <v>0</v>
      </c>
      <c r="AM1291">
        <f>[1]发票导入!AM1291</f>
        <v>0</v>
      </c>
      <c r="AN1291" s="22">
        <f t="shared" si="1"/>
        <v>0</v>
      </c>
      <c r="AO1291" s="22">
        <f t="shared" si="2"/>
        <v>0</v>
      </c>
    </row>
    <row r="1292">
      <c r="C1292">
        <f>[1]发票导入!C1292&amp;""</f>
      </c>
      <c r="D1292">
        <f>[1]发票导入!D1292&amp;""</f>
      </c>
      <c r="O1292">
        <f>[1]发票导入!O1292&amp;""</f>
      </c>
      <c r="T1292">
        <f>[1]发票导入!T1292</f>
      </c>
      <c r="U1292">
        <f>[1]发票导入!U1292&amp;""</f>
      </c>
      <c r="V1292">
        <f>[1]发票导入!V1292&amp;""</f>
      </c>
      <c r="W1292">
        <f>[1]发票导入!W1292&amp;""</f>
      </c>
      <c r="Y1292">
        <f>[1]发票导入!Y1292&amp;""</f>
      </c>
      <c r="AA1292">
        <f>[1]发票导入!AA1292&amp;""</f>
      </c>
      <c r="AB1292">
        <f>[1]发票导入!AB1292</f>
        <v>0</v>
      </c>
      <c r="AC1292">
        <f>[1]发票导入!AC1292</f>
        <v>0</v>
      </c>
      <c r="AE1292" s="22">
        <f t="shared" si="0"/>
      </c>
      <c r="AI1292">
        <f>[1]发票导入!AI1292&amp;""</f>
      </c>
      <c r="AJ1292">
        <f>[1]发票导入!AJ1292&amp;""</f>
      </c>
      <c r="AK1292">
        <f>[1]发票导入!AK1292</f>
        <v>0</v>
      </c>
      <c r="AL1292">
        <f>[1]发票导入!AL1292</f>
        <v>0</v>
      </c>
      <c r="AM1292">
        <f>[1]发票导入!AM1292</f>
        <v>0</v>
      </c>
      <c r="AN1292" s="22">
        <f t="shared" si="1"/>
        <v>0</v>
      </c>
      <c r="AO1292" s="22">
        <f t="shared" si="2"/>
        <v>0</v>
      </c>
    </row>
    <row r="1293">
      <c r="C1293">
        <f>[1]发票导入!C1293&amp;""</f>
      </c>
      <c r="D1293">
        <f>[1]发票导入!D1293&amp;""</f>
      </c>
      <c r="O1293">
        <f>[1]发票导入!O1293&amp;""</f>
      </c>
      <c r="T1293">
        <f>[1]发票导入!T1293</f>
      </c>
      <c r="U1293">
        <f>[1]发票导入!U1293&amp;""</f>
      </c>
      <c r="V1293">
        <f>[1]发票导入!V1293&amp;""</f>
      </c>
      <c r="W1293">
        <f>[1]发票导入!W1293&amp;""</f>
      </c>
      <c r="Y1293">
        <f>[1]发票导入!Y1293&amp;""</f>
      </c>
      <c r="AA1293">
        <f>[1]发票导入!AA1293&amp;""</f>
      </c>
      <c r="AB1293">
        <f>[1]发票导入!AB1293</f>
        <v>0</v>
      </c>
      <c r="AC1293">
        <f>[1]发票导入!AC1293</f>
        <v>0</v>
      </c>
      <c r="AE1293" s="22">
        <f t="shared" si="0"/>
      </c>
      <c r="AI1293">
        <f>[1]发票导入!AI1293&amp;""</f>
      </c>
      <c r="AJ1293">
        <f>[1]发票导入!AJ1293&amp;""</f>
      </c>
      <c r="AK1293">
        <f>[1]发票导入!AK1293</f>
        <v>0</v>
      </c>
      <c r="AL1293">
        <f>[1]发票导入!AL1293</f>
        <v>0</v>
      </c>
      <c r="AM1293">
        <f>[1]发票导入!AM1293</f>
        <v>0</v>
      </c>
      <c r="AN1293" s="22">
        <f t="shared" si="1"/>
        <v>0</v>
      </c>
      <c r="AO1293" s="22">
        <f t="shared" si="2"/>
        <v>0</v>
      </c>
    </row>
    <row r="1294">
      <c r="C1294">
        <f>[1]发票导入!C1294&amp;""</f>
      </c>
      <c r="D1294">
        <f>[1]发票导入!D1294&amp;""</f>
      </c>
      <c r="O1294">
        <f>[1]发票导入!O1294&amp;""</f>
      </c>
      <c r="T1294">
        <f>[1]发票导入!T1294</f>
      </c>
      <c r="U1294">
        <f>[1]发票导入!U1294&amp;""</f>
      </c>
      <c r="V1294">
        <f>[1]发票导入!V1294&amp;""</f>
      </c>
      <c r="W1294">
        <f>[1]发票导入!W1294&amp;""</f>
      </c>
      <c r="Y1294">
        <f>[1]发票导入!Y1294&amp;""</f>
      </c>
      <c r="AA1294">
        <f>[1]发票导入!AA1294&amp;""</f>
      </c>
      <c r="AB1294">
        <f>[1]发票导入!AB1294</f>
        <v>0</v>
      </c>
      <c r="AC1294">
        <f>[1]发票导入!AC1294</f>
        <v>0</v>
      </c>
      <c r="AE1294" s="22">
        <f t="shared" si="0"/>
      </c>
      <c r="AI1294">
        <f>[1]发票导入!AI1294&amp;""</f>
      </c>
      <c r="AJ1294">
        <f>[1]发票导入!AJ1294&amp;""</f>
      </c>
      <c r="AK1294">
        <f>[1]发票导入!AK1294</f>
        <v>0</v>
      </c>
      <c r="AL1294">
        <f>[1]发票导入!AL1294</f>
        <v>0</v>
      </c>
      <c r="AM1294">
        <f>[1]发票导入!AM1294</f>
        <v>0</v>
      </c>
      <c r="AN1294" s="22">
        <f t="shared" si="1"/>
        <v>0</v>
      </c>
      <c r="AO1294" s="22">
        <f t="shared" si="2"/>
        <v>0</v>
      </c>
    </row>
    <row r="1295">
      <c r="C1295">
        <f>[1]发票导入!C1295&amp;""</f>
      </c>
      <c r="D1295">
        <f>[1]发票导入!D1295&amp;""</f>
      </c>
      <c r="O1295">
        <f>[1]发票导入!O1295&amp;""</f>
      </c>
      <c r="T1295">
        <f>[1]发票导入!T1295</f>
      </c>
      <c r="U1295">
        <f>[1]发票导入!U1295&amp;""</f>
      </c>
      <c r="V1295">
        <f>[1]发票导入!V1295&amp;""</f>
      </c>
      <c r="W1295">
        <f>[1]发票导入!W1295&amp;""</f>
      </c>
      <c r="Y1295">
        <f>[1]发票导入!Y1295&amp;""</f>
      </c>
      <c r="AA1295">
        <f>[1]发票导入!AA1295&amp;""</f>
      </c>
      <c r="AB1295">
        <f>[1]发票导入!AB1295</f>
        <v>0</v>
      </c>
      <c r="AC1295">
        <f>[1]发票导入!AC1295</f>
        <v>0</v>
      </c>
      <c r="AE1295" s="22">
        <f t="shared" si="0"/>
      </c>
      <c r="AI1295">
        <f>[1]发票导入!AI1295&amp;""</f>
      </c>
      <c r="AJ1295">
        <f>[1]发票导入!AJ1295&amp;""</f>
      </c>
      <c r="AK1295">
        <f>[1]发票导入!AK1295</f>
        <v>0</v>
      </c>
      <c r="AL1295">
        <f>[1]发票导入!AL1295</f>
        <v>0</v>
      </c>
      <c r="AM1295">
        <f>[1]发票导入!AM1295</f>
        <v>0</v>
      </c>
      <c r="AN1295" s="22">
        <f t="shared" si="1"/>
        <v>0</v>
      </c>
      <c r="AO1295" s="22">
        <f t="shared" si="2"/>
        <v>0</v>
      </c>
    </row>
    <row r="1296">
      <c r="C1296">
        <f>[1]发票导入!C1296&amp;""</f>
      </c>
      <c r="D1296">
        <f>[1]发票导入!D1296&amp;""</f>
      </c>
      <c r="O1296">
        <f>[1]发票导入!O1296&amp;""</f>
      </c>
      <c r="T1296">
        <f>[1]发票导入!T1296</f>
      </c>
      <c r="U1296">
        <f>[1]发票导入!U1296&amp;""</f>
      </c>
      <c r="V1296">
        <f>[1]发票导入!V1296&amp;""</f>
      </c>
      <c r="W1296">
        <f>[1]发票导入!W1296&amp;""</f>
      </c>
      <c r="Y1296">
        <f>[1]发票导入!Y1296&amp;""</f>
      </c>
      <c r="AA1296">
        <f>[1]发票导入!AA1296&amp;""</f>
      </c>
      <c r="AB1296">
        <f>[1]发票导入!AB1296</f>
        <v>0</v>
      </c>
      <c r="AC1296">
        <f>[1]发票导入!AC1296</f>
        <v>0</v>
      </c>
      <c r="AE1296" s="22">
        <f t="shared" si="0"/>
      </c>
      <c r="AI1296">
        <f>[1]发票导入!AI1296&amp;""</f>
      </c>
      <c r="AJ1296">
        <f>[1]发票导入!AJ1296&amp;""</f>
      </c>
      <c r="AK1296">
        <f>[1]发票导入!AK1296</f>
        <v>0</v>
      </c>
      <c r="AL1296">
        <f>[1]发票导入!AL1296</f>
        <v>0</v>
      </c>
      <c r="AM1296">
        <f>[1]发票导入!AM1296</f>
        <v>0</v>
      </c>
      <c r="AN1296" s="22">
        <f t="shared" si="1"/>
        <v>0</v>
      </c>
      <c r="AO1296" s="22">
        <f t="shared" si="2"/>
        <v>0</v>
      </c>
    </row>
    <row r="1297">
      <c r="C1297">
        <f>[1]发票导入!C1297&amp;""</f>
      </c>
      <c r="D1297">
        <f>[1]发票导入!D1297&amp;""</f>
      </c>
      <c r="O1297">
        <f>[1]发票导入!O1297&amp;""</f>
      </c>
      <c r="T1297">
        <f>[1]发票导入!T1297</f>
      </c>
      <c r="U1297">
        <f>[1]发票导入!U1297&amp;""</f>
      </c>
      <c r="V1297">
        <f>[1]发票导入!V1297&amp;""</f>
      </c>
      <c r="W1297">
        <f>[1]发票导入!W1297&amp;""</f>
      </c>
      <c r="Y1297">
        <f>[1]发票导入!Y1297&amp;""</f>
      </c>
      <c r="AA1297">
        <f>[1]发票导入!AA1297&amp;""</f>
      </c>
      <c r="AB1297">
        <f>[1]发票导入!AB1297</f>
        <v>0</v>
      </c>
      <c r="AC1297">
        <f>[1]发票导入!AC1297</f>
        <v>0</v>
      </c>
      <c r="AE1297" s="22">
        <f t="shared" si="0"/>
      </c>
      <c r="AI1297">
        <f>[1]发票导入!AI1297&amp;""</f>
      </c>
      <c r="AJ1297">
        <f>[1]发票导入!AJ1297&amp;""</f>
      </c>
      <c r="AK1297">
        <f>[1]发票导入!AK1297</f>
        <v>0</v>
      </c>
      <c r="AL1297">
        <f>[1]发票导入!AL1297</f>
        <v>0</v>
      </c>
      <c r="AM1297">
        <f>[1]发票导入!AM1297</f>
        <v>0</v>
      </c>
      <c r="AN1297" s="22">
        <f t="shared" si="1"/>
        <v>0</v>
      </c>
      <c r="AO1297" s="22">
        <f t="shared" si="2"/>
        <v>0</v>
      </c>
    </row>
    <row r="1298">
      <c r="C1298">
        <f>[1]发票导入!C1298&amp;""</f>
      </c>
      <c r="D1298">
        <f>[1]发票导入!D1298&amp;""</f>
      </c>
      <c r="O1298">
        <f>[1]发票导入!O1298&amp;""</f>
      </c>
      <c r="T1298">
        <f>[1]发票导入!T1298</f>
      </c>
      <c r="U1298">
        <f>[1]发票导入!U1298&amp;""</f>
      </c>
      <c r="V1298">
        <f>[1]发票导入!V1298&amp;""</f>
      </c>
      <c r="W1298">
        <f>[1]发票导入!W1298&amp;""</f>
      </c>
      <c r="Y1298">
        <f>[1]发票导入!Y1298&amp;""</f>
      </c>
      <c r="AA1298">
        <f>[1]发票导入!AA1298&amp;""</f>
      </c>
      <c r="AB1298">
        <f>[1]发票导入!AB1298</f>
        <v>0</v>
      </c>
      <c r="AC1298">
        <f>[1]发票导入!AC1298</f>
        <v>0</v>
      </c>
      <c r="AE1298" s="22">
        <f t="shared" si="0"/>
      </c>
      <c r="AI1298">
        <f>[1]发票导入!AI1298&amp;""</f>
      </c>
      <c r="AJ1298">
        <f>[1]发票导入!AJ1298&amp;""</f>
      </c>
      <c r="AK1298">
        <f>[1]发票导入!AK1298</f>
        <v>0</v>
      </c>
      <c r="AL1298">
        <f>[1]发票导入!AL1298</f>
        <v>0</v>
      </c>
      <c r="AM1298">
        <f>[1]发票导入!AM1298</f>
        <v>0</v>
      </c>
      <c r="AN1298" s="22">
        <f t="shared" si="1"/>
        <v>0</v>
      </c>
      <c r="AO1298" s="22">
        <f t="shared" si="2"/>
        <v>0</v>
      </c>
    </row>
    <row r="1299">
      <c r="C1299">
        <f>[1]发票导入!C1299&amp;""</f>
      </c>
      <c r="D1299">
        <f>[1]发票导入!D1299&amp;""</f>
      </c>
      <c r="O1299">
        <f>[1]发票导入!O1299&amp;""</f>
      </c>
      <c r="T1299">
        <f>[1]发票导入!T1299</f>
      </c>
      <c r="U1299">
        <f>[1]发票导入!U1299&amp;""</f>
      </c>
      <c r="V1299">
        <f>[1]发票导入!V1299&amp;""</f>
      </c>
      <c r="W1299">
        <f>[1]发票导入!W1299&amp;""</f>
      </c>
      <c r="Y1299">
        <f>[1]发票导入!Y1299&amp;""</f>
      </c>
      <c r="AA1299">
        <f>[1]发票导入!AA1299&amp;""</f>
      </c>
      <c r="AB1299">
        <f>[1]发票导入!AB1299</f>
        <v>0</v>
      </c>
      <c r="AC1299">
        <f>[1]发票导入!AC1299</f>
        <v>0</v>
      </c>
      <c r="AE1299" s="22">
        <f t="shared" si="0"/>
      </c>
      <c r="AI1299">
        <f>[1]发票导入!AI1299&amp;""</f>
      </c>
      <c r="AJ1299">
        <f>[1]发票导入!AJ1299&amp;""</f>
      </c>
      <c r="AK1299">
        <f>[1]发票导入!AK1299</f>
        <v>0</v>
      </c>
      <c r="AL1299">
        <f>[1]发票导入!AL1299</f>
        <v>0</v>
      </c>
      <c r="AM1299">
        <f>[1]发票导入!AM1299</f>
        <v>0</v>
      </c>
      <c r="AN1299" s="22">
        <f t="shared" si="1"/>
        <v>0</v>
      </c>
      <c r="AO1299" s="22">
        <f t="shared" si="2"/>
        <v>0</v>
      </c>
    </row>
    <row r="1300">
      <c r="C1300">
        <f>[1]发票导入!C1300&amp;""</f>
      </c>
      <c r="D1300">
        <f>[1]发票导入!D1300&amp;""</f>
      </c>
      <c r="O1300">
        <f>[1]发票导入!O1300&amp;""</f>
      </c>
      <c r="T1300">
        <f>[1]发票导入!T1300</f>
      </c>
      <c r="U1300">
        <f>[1]发票导入!U1300&amp;""</f>
      </c>
      <c r="V1300">
        <f>[1]发票导入!V1300&amp;""</f>
      </c>
      <c r="W1300">
        <f>[1]发票导入!W1300&amp;""</f>
      </c>
      <c r="Y1300">
        <f>[1]发票导入!Y1300&amp;""</f>
      </c>
      <c r="AA1300">
        <f>[1]发票导入!AA1300&amp;""</f>
      </c>
      <c r="AB1300">
        <f>[1]发票导入!AB1300</f>
        <v>0</v>
      </c>
      <c r="AC1300">
        <f>[1]发票导入!AC1300</f>
        <v>0</v>
      </c>
      <c r="AE1300" s="22">
        <f t="shared" si="0"/>
      </c>
      <c r="AI1300">
        <f>[1]发票导入!AI1300&amp;""</f>
      </c>
      <c r="AJ1300">
        <f>[1]发票导入!AJ1300&amp;""</f>
      </c>
      <c r="AK1300">
        <f>[1]发票导入!AK1300</f>
        <v>0</v>
      </c>
      <c r="AL1300">
        <f>[1]发票导入!AL1300</f>
        <v>0</v>
      </c>
      <c r="AM1300">
        <f>[1]发票导入!AM1300</f>
        <v>0</v>
      </c>
      <c r="AN1300" s="22">
        <f t="shared" si="1"/>
        <v>0</v>
      </c>
      <c r="AO1300" s="22">
        <f t="shared" si="2"/>
        <v>0</v>
      </c>
    </row>
    <row r="1301">
      <c r="C1301">
        <f>[1]发票导入!C1301&amp;""</f>
      </c>
      <c r="D1301">
        <f>[1]发票导入!D1301&amp;""</f>
      </c>
      <c r="O1301">
        <f>[1]发票导入!O1301&amp;""</f>
      </c>
      <c r="T1301">
        <f>[1]发票导入!T1301</f>
      </c>
      <c r="U1301">
        <f>[1]发票导入!U1301&amp;""</f>
      </c>
      <c r="V1301">
        <f>[1]发票导入!V1301&amp;""</f>
      </c>
      <c r="W1301">
        <f>[1]发票导入!W1301&amp;""</f>
      </c>
      <c r="Y1301">
        <f>[1]发票导入!Y1301&amp;""</f>
      </c>
      <c r="AA1301">
        <f>[1]发票导入!AA1301&amp;""</f>
      </c>
      <c r="AB1301">
        <f>[1]发票导入!AB1301</f>
        <v>0</v>
      </c>
      <c r="AC1301">
        <f>[1]发票导入!AC1301</f>
        <v>0</v>
      </c>
      <c r="AE1301" s="22">
        <f t="shared" si="0"/>
      </c>
      <c r="AI1301">
        <f>[1]发票导入!AI1301&amp;""</f>
      </c>
      <c r="AJ1301">
        <f>[1]发票导入!AJ1301&amp;""</f>
      </c>
      <c r="AK1301">
        <f>[1]发票导入!AK1301</f>
        <v>0</v>
      </c>
      <c r="AL1301">
        <f>[1]发票导入!AL1301</f>
        <v>0</v>
      </c>
      <c r="AM1301">
        <f>[1]发票导入!AM1301</f>
        <v>0</v>
      </c>
      <c r="AN1301" s="22">
        <f t="shared" si="1"/>
        <v>0</v>
      </c>
      <c r="AO1301" s="22">
        <f t="shared" si="2"/>
        <v>0</v>
      </c>
    </row>
    <row r="1302">
      <c r="C1302">
        <f>[1]发票导入!C1302&amp;""</f>
      </c>
      <c r="D1302">
        <f>[1]发票导入!D1302&amp;""</f>
      </c>
      <c r="O1302">
        <f>[1]发票导入!O1302&amp;""</f>
      </c>
      <c r="T1302">
        <f>[1]发票导入!T1302</f>
      </c>
      <c r="U1302">
        <f>[1]发票导入!U1302&amp;""</f>
      </c>
      <c r="V1302">
        <f>[1]发票导入!V1302&amp;""</f>
      </c>
      <c r="W1302">
        <f>[1]发票导入!W1302&amp;""</f>
      </c>
      <c r="Y1302">
        <f>[1]发票导入!Y1302&amp;""</f>
      </c>
      <c r="AA1302">
        <f>[1]发票导入!AA1302&amp;""</f>
      </c>
      <c r="AB1302">
        <f>[1]发票导入!AB1302</f>
        <v>0</v>
      </c>
      <c r="AC1302">
        <f>[1]发票导入!AC1302</f>
        <v>0</v>
      </c>
      <c r="AE1302" s="22">
        <f t="shared" si="0"/>
      </c>
      <c r="AI1302">
        <f>[1]发票导入!AI1302&amp;""</f>
      </c>
      <c r="AJ1302">
        <f>[1]发票导入!AJ1302&amp;""</f>
      </c>
      <c r="AK1302">
        <f>[1]发票导入!AK1302</f>
        <v>0</v>
      </c>
      <c r="AL1302">
        <f>[1]发票导入!AL1302</f>
        <v>0</v>
      </c>
      <c r="AM1302">
        <f>[1]发票导入!AM1302</f>
        <v>0</v>
      </c>
      <c r="AN1302" s="22">
        <f t="shared" si="1"/>
        <v>0</v>
      </c>
      <c r="AO1302" s="22">
        <f t="shared" si="2"/>
        <v>0</v>
      </c>
    </row>
    <row r="1303">
      <c r="C1303">
        <f>[1]发票导入!C1303&amp;""</f>
      </c>
      <c r="D1303">
        <f>[1]发票导入!D1303&amp;""</f>
      </c>
      <c r="O1303">
        <f>[1]发票导入!O1303&amp;""</f>
      </c>
      <c r="T1303">
        <f>[1]发票导入!T1303</f>
      </c>
      <c r="U1303">
        <f>[1]发票导入!U1303&amp;""</f>
      </c>
      <c r="V1303">
        <f>[1]发票导入!V1303&amp;""</f>
      </c>
      <c r="W1303">
        <f>[1]发票导入!W1303&amp;""</f>
      </c>
      <c r="Y1303">
        <f>[1]发票导入!Y1303&amp;""</f>
      </c>
      <c r="AA1303">
        <f>[1]发票导入!AA1303&amp;""</f>
      </c>
      <c r="AB1303">
        <f>[1]发票导入!AB1303</f>
        <v>0</v>
      </c>
      <c r="AC1303">
        <f>[1]发票导入!AC1303</f>
        <v>0</v>
      </c>
      <c r="AE1303" s="22">
        <f t="shared" si="0"/>
      </c>
      <c r="AI1303">
        <f>[1]发票导入!AI1303&amp;""</f>
      </c>
      <c r="AJ1303">
        <f>[1]发票导入!AJ1303&amp;""</f>
      </c>
      <c r="AK1303">
        <f>[1]发票导入!AK1303</f>
        <v>0</v>
      </c>
      <c r="AL1303">
        <f>[1]发票导入!AL1303</f>
        <v>0</v>
      </c>
      <c r="AM1303">
        <f>[1]发票导入!AM1303</f>
        <v>0</v>
      </c>
      <c r="AN1303" s="22">
        <f t="shared" si="1"/>
        <v>0</v>
      </c>
      <c r="AO1303" s="22">
        <f t="shared" si="2"/>
        <v>0</v>
      </c>
    </row>
    <row r="1304">
      <c r="C1304">
        <f>[1]发票导入!C1304&amp;""</f>
      </c>
      <c r="D1304">
        <f>[1]发票导入!D1304&amp;""</f>
      </c>
      <c r="O1304">
        <f>[1]发票导入!O1304&amp;""</f>
      </c>
      <c r="T1304">
        <f>[1]发票导入!T1304</f>
      </c>
      <c r="U1304">
        <f>[1]发票导入!U1304&amp;""</f>
      </c>
      <c r="V1304">
        <f>[1]发票导入!V1304&amp;""</f>
      </c>
      <c r="W1304">
        <f>[1]发票导入!W1304&amp;""</f>
      </c>
      <c r="Y1304">
        <f>[1]发票导入!Y1304&amp;""</f>
      </c>
      <c r="AA1304">
        <f>[1]发票导入!AA1304&amp;""</f>
      </c>
      <c r="AB1304">
        <f>[1]发票导入!AB1304</f>
        <v>0</v>
      </c>
      <c r="AC1304">
        <f>[1]发票导入!AC1304</f>
        <v>0</v>
      </c>
      <c r="AE1304" s="22">
        <f t="shared" si="0"/>
      </c>
      <c r="AI1304">
        <f>[1]发票导入!AI1304&amp;""</f>
      </c>
      <c r="AJ1304">
        <f>[1]发票导入!AJ1304&amp;""</f>
      </c>
      <c r="AK1304">
        <f>[1]发票导入!AK1304</f>
        <v>0</v>
      </c>
      <c r="AL1304">
        <f>[1]发票导入!AL1304</f>
        <v>0</v>
      </c>
      <c r="AM1304">
        <f>[1]发票导入!AM1304</f>
        <v>0</v>
      </c>
      <c r="AN1304" s="22">
        <f t="shared" si="1"/>
        <v>0</v>
      </c>
      <c r="AO1304" s="22">
        <f t="shared" si="2"/>
        <v>0</v>
      </c>
    </row>
    <row r="1305">
      <c r="C1305">
        <f>[1]发票导入!C1305&amp;""</f>
      </c>
      <c r="D1305">
        <f>[1]发票导入!D1305&amp;""</f>
      </c>
      <c r="O1305">
        <f>[1]发票导入!O1305&amp;""</f>
      </c>
      <c r="T1305">
        <f>[1]发票导入!T1305</f>
      </c>
      <c r="U1305">
        <f>[1]发票导入!U1305&amp;""</f>
      </c>
      <c r="V1305">
        <f>[1]发票导入!V1305&amp;""</f>
      </c>
      <c r="W1305">
        <f>[1]发票导入!W1305&amp;""</f>
      </c>
      <c r="Y1305">
        <f>[1]发票导入!Y1305&amp;""</f>
      </c>
      <c r="AA1305">
        <f>[1]发票导入!AA1305&amp;""</f>
      </c>
      <c r="AB1305">
        <f>[1]发票导入!AB1305</f>
        <v>0</v>
      </c>
      <c r="AC1305">
        <f>[1]发票导入!AC1305</f>
        <v>0</v>
      </c>
      <c r="AE1305" s="22">
        <f t="shared" si="0"/>
      </c>
      <c r="AI1305">
        <f>[1]发票导入!AI1305&amp;""</f>
      </c>
      <c r="AJ1305">
        <f>[1]发票导入!AJ1305&amp;""</f>
      </c>
      <c r="AK1305">
        <f>[1]发票导入!AK1305</f>
        <v>0</v>
      </c>
      <c r="AL1305">
        <f>[1]发票导入!AL1305</f>
        <v>0</v>
      </c>
      <c r="AM1305">
        <f>[1]发票导入!AM1305</f>
        <v>0</v>
      </c>
      <c r="AN1305" s="22">
        <f t="shared" si="1"/>
        <v>0</v>
      </c>
      <c r="AO1305" s="22">
        <f t="shared" si="2"/>
        <v>0</v>
      </c>
    </row>
    <row r="1306">
      <c r="C1306">
        <f>[1]发票导入!C1306&amp;""</f>
      </c>
      <c r="D1306">
        <f>[1]发票导入!D1306&amp;""</f>
      </c>
      <c r="O1306">
        <f>[1]发票导入!O1306&amp;""</f>
      </c>
      <c r="T1306">
        <f>[1]发票导入!T1306</f>
      </c>
      <c r="U1306">
        <f>[1]发票导入!U1306&amp;""</f>
      </c>
      <c r="V1306">
        <f>[1]发票导入!V1306&amp;""</f>
      </c>
      <c r="W1306">
        <f>[1]发票导入!W1306&amp;""</f>
      </c>
      <c r="Y1306">
        <f>[1]发票导入!Y1306&amp;""</f>
      </c>
      <c r="AA1306">
        <f>[1]发票导入!AA1306&amp;""</f>
      </c>
      <c r="AB1306">
        <f>[1]发票导入!AB1306</f>
        <v>0</v>
      </c>
      <c r="AC1306">
        <f>[1]发票导入!AC1306</f>
        <v>0</v>
      </c>
      <c r="AE1306" s="22">
        <f t="shared" si="0"/>
      </c>
      <c r="AI1306">
        <f>[1]发票导入!AI1306&amp;""</f>
      </c>
      <c r="AJ1306">
        <f>[1]发票导入!AJ1306&amp;""</f>
      </c>
      <c r="AK1306">
        <f>[1]发票导入!AK1306</f>
        <v>0</v>
      </c>
      <c r="AL1306">
        <f>[1]发票导入!AL1306</f>
        <v>0</v>
      </c>
      <c r="AM1306">
        <f>[1]发票导入!AM1306</f>
        <v>0</v>
      </c>
      <c r="AN1306" s="22">
        <f t="shared" si="1"/>
        <v>0</v>
      </c>
      <c r="AO1306" s="22">
        <f t="shared" si="2"/>
        <v>0</v>
      </c>
    </row>
    <row r="1307">
      <c r="C1307">
        <f>[1]发票导入!C1307&amp;""</f>
      </c>
      <c r="D1307">
        <f>[1]发票导入!D1307&amp;""</f>
      </c>
      <c r="O1307">
        <f>[1]发票导入!O1307&amp;""</f>
      </c>
      <c r="T1307">
        <f>[1]发票导入!T1307</f>
      </c>
      <c r="U1307">
        <f>[1]发票导入!U1307&amp;""</f>
      </c>
      <c r="V1307">
        <f>[1]发票导入!V1307&amp;""</f>
      </c>
      <c r="W1307">
        <f>[1]发票导入!W1307&amp;""</f>
      </c>
      <c r="Y1307">
        <f>[1]发票导入!Y1307&amp;""</f>
      </c>
      <c r="AA1307">
        <f>[1]发票导入!AA1307&amp;""</f>
      </c>
      <c r="AB1307">
        <f>[1]发票导入!AB1307</f>
        <v>0</v>
      </c>
      <c r="AC1307">
        <f>[1]发票导入!AC1307</f>
        <v>0</v>
      </c>
      <c r="AE1307" s="22">
        <f t="shared" si="0"/>
      </c>
      <c r="AI1307">
        <f>[1]发票导入!AI1307&amp;""</f>
      </c>
      <c r="AJ1307">
        <f>[1]发票导入!AJ1307&amp;""</f>
      </c>
      <c r="AK1307">
        <f>[1]发票导入!AK1307</f>
        <v>0</v>
      </c>
      <c r="AL1307">
        <f>[1]发票导入!AL1307</f>
        <v>0</v>
      </c>
      <c r="AM1307">
        <f>[1]发票导入!AM1307</f>
        <v>0</v>
      </c>
      <c r="AN1307" s="22">
        <f t="shared" si="1"/>
        <v>0</v>
      </c>
      <c r="AO1307" s="22">
        <f t="shared" si="2"/>
        <v>0</v>
      </c>
    </row>
    <row r="1308">
      <c r="C1308">
        <f>[1]发票导入!C1308&amp;""</f>
      </c>
      <c r="D1308">
        <f>[1]发票导入!D1308&amp;""</f>
      </c>
      <c r="O1308">
        <f>[1]发票导入!O1308&amp;""</f>
      </c>
      <c r="T1308">
        <f>[1]发票导入!T1308</f>
      </c>
      <c r="U1308">
        <f>[1]发票导入!U1308&amp;""</f>
      </c>
      <c r="V1308">
        <f>[1]发票导入!V1308&amp;""</f>
      </c>
      <c r="W1308">
        <f>[1]发票导入!W1308&amp;""</f>
      </c>
      <c r="Y1308">
        <f>[1]发票导入!Y1308&amp;""</f>
      </c>
      <c r="AA1308">
        <f>[1]发票导入!AA1308&amp;""</f>
      </c>
      <c r="AB1308">
        <f>[1]发票导入!AB1308</f>
        <v>0</v>
      </c>
      <c r="AC1308">
        <f>[1]发票导入!AC1308</f>
        <v>0</v>
      </c>
      <c r="AE1308" s="22">
        <f t="shared" si="0"/>
      </c>
      <c r="AI1308">
        <f>[1]发票导入!AI1308&amp;""</f>
      </c>
      <c r="AJ1308">
        <f>[1]发票导入!AJ1308&amp;""</f>
      </c>
      <c r="AK1308">
        <f>[1]发票导入!AK1308</f>
        <v>0</v>
      </c>
      <c r="AL1308">
        <f>[1]发票导入!AL1308</f>
        <v>0</v>
      </c>
      <c r="AM1308">
        <f>[1]发票导入!AM1308</f>
        <v>0</v>
      </c>
      <c r="AN1308" s="22">
        <f t="shared" si="1"/>
        <v>0</v>
      </c>
      <c r="AO1308" s="22">
        <f t="shared" si="2"/>
        <v>0</v>
      </c>
    </row>
    <row r="1309">
      <c r="C1309">
        <f>[1]发票导入!C1309&amp;""</f>
      </c>
      <c r="D1309">
        <f>[1]发票导入!D1309&amp;""</f>
      </c>
      <c r="O1309">
        <f>[1]发票导入!O1309&amp;""</f>
      </c>
      <c r="T1309">
        <f>[1]发票导入!T1309</f>
      </c>
      <c r="U1309">
        <f>[1]发票导入!U1309&amp;""</f>
      </c>
      <c r="V1309">
        <f>[1]发票导入!V1309&amp;""</f>
      </c>
      <c r="W1309">
        <f>[1]发票导入!W1309&amp;""</f>
      </c>
      <c r="Y1309">
        <f>[1]发票导入!Y1309&amp;""</f>
      </c>
      <c r="AA1309">
        <f>[1]发票导入!AA1309&amp;""</f>
      </c>
      <c r="AB1309">
        <f>[1]发票导入!AB1309</f>
        <v>0</v>
      </c>
      <c r="AC1309">
        <f>[1]发票导入!AC1309</f>
        <v>0</v>
      </c>
      <c r="AE1309" s="22">
        <f t="shared" si="0"/>
      </c>
      <c r="AI1309">
        <f>[1]发票导入!AI1309&amp;""</f>
      </c>
      <c r="AJ1309">
        <f>[1]发票导入!AJ1309&amp;""</f>
      </c>
      <c r="AK1309">
        <f>[1]发票导入!AK1309</f>
        <v>0</v>
      </c>
      <c r="AL1309">
        <f>[1]发票导入!AL1309</f>
        <v>0</v>
      </c>
      <c r="AM1309">
        <f>[1]发票导入!AM1309</f>
        <v>0</v>
      </c>
      <c r="AN1309" s="22">
        <f t="shared" si="1"/>
        <v>0</v>
      </c>
      <c r="AO1309" s="22">
        <f t="shared" si="2"/>
        <v>0</v>
      </c>
    </row>
    <row r="1310">
      <c r="C1310">
        <f>[1]发票导入!C1310&amp;""</f>
      </c>
      <c r="D1310">
        <f>[1]发票导入!D1310&amp;""</f>
      </c>
      <c r="O1310">
        <f>[1]发票导入!O1310&amp;""</f>
      </c>
      <c r="T1310">
        <f>[1]发票导入!T1310</f>
      </c>
      <c r="U1310">
        <f>[1]发票导入!U1310&amp;""</f>
      </c>
      <c r="V1310">
        <f>[1]发票导入!V1310&amp;""</f>
      </c>
      <c r="W1310">
        <f>[1]发票导入!W1310&amp;""</f>
      </c>
      <c r="Y1310">
        <f>[1]发票导入!Y1310&amp;""</f>
      </c>
      <c r="AA1310">
        <f>[1]发票导入!AA1310&amp;""</f>
      </c>
      <c r="AB1310">
        <f>[1]发票导入!AB1310</f>
        <v>0</v>
      </c>
      <c r="AC1310">
        <f>[1]发票导入!AC1310</f>
        <v>0</v>
      </c>
      <c r="AE1310" s="22">
        <f t="shared" si="0"/>
      </c>
      <c r="AI1310">
        <f>[1]发票导入!AI1310&amp;""</f>
      </c>
      <c r="AJ1310">
        <f>[1]发票导入!AJ1310&amp;""</f>
      </c>
      <c r="AK1310">
        <f>[1]发票导入!AK1310</f>
        <v>0</v>
      </c>
      <c r="AL1310">
        <f>[1]发票导入!AL1310</f>
        <v>0</v>
      </c>
      <c r="AM1310">
        <f>[1]发票导入!AM1310</f>
        <v>0</v>
      </c>
      <c r="AN1310" s="22">
        <f t="shared" si="1"/>
        <v>0</v>
      </c>
      <c r="AO1310" s="22">
        <f t="shared" si="2"/>
        <v>0</v>
      </c>
    </row>
    <row r="1311">
      <c r="C1311">
        <f>[1]发票导入!C1311&amp;""</f>
      </c>
      <c r="D1311">
        <f>[1]发票导入!D1311&amp;""</f>
      </c>
      <c r="O1311">
        <f>[1]发票导入!O1311&amp;""</f>
      </c>
      <c r="T1311">
        <f>[1]发票导入!T1311</f>
      </c>
      <c r="U1311">
        <f>[1]发票导入!U1311&amp;""</f>
      </c>
      <c r="V1311">
        <f>[1]发票导入!V1311&amp;""</f>
      </c>
      <c r="W1311">
        <f>[1]发票导入!W1311&amp;""</f>
      </c>
      <c r="Y1311">
        <f>[1]发票导入!Y1311&amp;""</f>
      </c>
      <c r="AA1311">
        <f>[1]发票导入!AA1311&amp;""</f>
      </c>
      <c r="AB1311">
        <f>[1]发票导入!AB1311</f>
        <v>0</v>
      </c>
      <c r="AC1311">
        <f>[1]发票导入!AC1311</f>
        <v>0</v>
      </c>
      <c r="AE1311" s="22">
        <f t="shared" si="0"/>
      </c>
      <c r="AI1311">
        <f>[1]发票导入!AI1311&amp;""</f>
      </c>
      <c r="AJ1311">
        <f>[1]发票导入!AJ1311&amp;""</f>
      </c>
      <c r="AK1311">
        <f>[1]发票导入!AK1311</f>
        <v>0</v>
      </c>
      <c r="AL1311">
        <f>[1]发票导入!AL1311</f>
        <v>0</v>
      </c>
      <c r="AM1311">
        <f>[1]发票导入!AM1311</f>
        <v>0</v>
      </c>
      <c r="AN1311" s="22">
        <f t="shared" si="1"/>
        <v>0</v>
      </c>
      <c r="AO1311" s="22">
        <f t="shared" si="2"/>
        <v>0</v>
      </c>
    </row>
    <row r="1312">
      <c r="C1312">
        <f>[1]发票导入!C1312&amp;""</f>
      </c>
      <c r="D1312">
        <f>[1]发票导入!D1312&amp;""</f>
      </c>
      <c r="O1312">
        <f>[1]发票导入!O1312&amp;""</f>
      </c>
      <c r="T1312">
        <f>[1]发票导入!T1312</f>
      </c>
      <c r="U1312">
        <f>[1]发票导入!U1312&amp;""</f>
      </c>
      <c r="V1312">
        <f>[1]发票导入!V1312&amp;""</f>
      </c>
      <c r="W1312">
        <f>[1]发票导入!W1312&amp;""</f>
      </c>
      <c r="Y1312">
        <f>[1]发票导入!Y1312&amp;""</f>
      </c>
      <c r="AA1312">
        <f>[1]发票导入!AA1312&amp;""</f>
      </c>
      <c r="AB1312">
        <f>[1]发票导入!AB1312</f>
        <v>0</v>
      </c>
      <c r="AC1312">
        <f>[1]发票导入!AC1312</f>
        <v>0</v>
      </c>
      <c r="AE1312" s="22">
        <f t="shared" si="0"/>
      </c>
      <c r="AI1312">
        <f>[1]发票导入!AI1312&amp;""</f>
      </c>
      <c r="AJ1312">
        <f>[1]发票导入!AJ1312&amp;""</f>
      </c>
      <c r="AK1312">
        <f>[1]发票导入!AK1312</f>
        <v>0</v>
      </c>
      <c r="AL1312">
        <f>[1]发票导入!AL1312</f>
        <v>0</v>
      </c>
      <c r="AM1312">
        <f>[1]发票导入!AM1312</f>
        <v>0</v>
      </c>
      <c r="AN1312" s="22">
        <f t="shared" si="1"/>
        <v>0</v>
      </c>
      <c r="AO1312" s="22">
        <f t="shared" si="2"/>
        <v>0</v>
      </c>
    </row>
    <row r="1313">
      <c r="C1313">
        <f>[1]发票导入!C1313&amp;""</f>
      </c>
      <c r="D1313">
        <f>[1]发票导入!D1313&amp;""</f>
      </c>
      <c r="O1313">
        <f>[1]发票导入!O1313&amp;""</f>
      </c>
      <c r="T1313">
        <f>[1]发票导入!T1313</f>
      </c>
      <c r="U1313">
        <f>[1]发票导入!U1313&amp;""</f>
      </c>
      <c r="V1313">
        <f>[1]发票导入!V1313&amp;""</f>
      </c>
      <c r="W1313">
        <f>[1]发票导入!W1313&amp;""</f>
      </c>
      <c r="Y1313">
        <f>[1]发票导入!Y1313&amp;""</f>
      </c>
      <c r="AA1313">
        <f>[1]发票导入!AA1313&amp;""</f>
      </c>
      <c r="AB1313">
        <f>[1]发票导入!AB1313</f>
        <v>0</v>
      </c>
      <c r="AC1313">
        <f>[1]发票导入!AC1313</f>
        <v>0</v>
      </c>
      <c r="AE1313" s="22">
        <f t="shared" si="0"/>
      </c>
      <c r="AI1313">
        <f>[1]发票导入!AI1313&amp;""</f>
      </c>
      <c r="AJ1313">
        <f>[1]发票导入!AJ1313&amp;""</f>
      </c>
      <c r="AK1313">
        <f>[1]发票导入!AK1313</f>
        <v>0</v>
      </c>
      <c r="AL1313">
        <f>[1]发票导入!AL1313</f>
        <v>0</v>
      </c>
      <c r="AM1313">
        <f>[1]发票导入!AM1313</f>
        <v>0</v>
      </c>
      <c r="AN1313" s="22">
        <f t="shared" si="1"/>
        <v>0</v>
      </c>
      <c r="AO1313" s="22">
        <f t="shared" si="2"/>
        <v>0</v>
      </c>
    </row>
    <row r="1314">
      <c r="C1314">
        <f>[1]发票导入!C1314&amp;""</f>
      </c>
      <c r="D1314">
        <f>[1]发票导入!D1314&amp;""</f>
      </c>
      <c r="O1314">
        <f>[1]发票导入!O1314&amp;""</f>
      </c>
      <c r="T1314">
        <f>[1]发票导入!T1314</f>
      </c>
      <c r="U1314">
        <f>[1]发票导入!U1314&amp;""</f>
      </c>
      <c r="V1314">
        <f>[1]发票导入!V1314&amp;""</f>
      </c>
      <c r="W1314">
        <f>[1]发票导入!W1314&amp;""</f>
      </c>
      <c r="Y1314">
        <f>[1]发票导入!Y1314&amp;""</f>
      </c>
      <c r="AA1314">
        <f>[1]发票导入!AA1314&amp;""</f>
      </c>
      <c r="AB1314">
        <f>[1]发票导入!AB1314</f>
        <v>0</v>
      </c>
      <c r="AC1314">
        <f>[1]发票导入!AC1314</f>
        <v>0</v>
      </c>
      <c r="AE1314" s="22">
        <f t="shared" si="0"/>
      </c>
      <c r="AI1314">
        <f>[1]发票导入!AI1314&amp;""</f>
      </c>
      <c r="AJ1314">
        <f>[1]发票导入!AJ1314&amp;""</f>
      </c>
      <c r="AK1314">
        <f>[1]发票导入!AK1314</f>
        <v>0</v>
      </c>
      <c r="AL1314">
        <f>[1]发票导入!AL1314</f>
        <v>0</v>
      </c>
      <c r="AM1314">
        <f>[1]发票导入!AM1314</f>
        <v>0</v>
      </c>
      <c r="AN1314" s="22">
        <f t="shared" si="1"/>
        <v>0</v>
      </c>
      <c r="AO1314" s="22">
        <f t="shared" si="2"/>
        <v>0</v>
      </c>
    </row>
    <row r="1315">
      <c r="C1315">
        <f>[1]发票导入!C1315&amp;""</f>
      </c>
      <c r="D1315">
        <f>[1]发票导入!D1315&amp;""</f>
      </c>
      <c r="O1315">
        <f>[1]发票导入!O1315&amp;""</f>
      </c>
      <c r="T1315">
        <f>[1]发票导入!T1315</f>
      </c>
      <c r="U1315">
        <f>[1]发票导入!U1315&amp;""</f>
      </c>
      <c r="V1315">
        <f>[1]发票导入!V1315&amp;""</f>
      </c>
      <c r="W1315">
        <f>[1]发票导入!W1315&amp;""</f>
      </c>
      <c r="Y1315">
        <f>[1]发票导入!Y1315&amp;""</f>
      </c>
      <c r="AA1315">
        <f>[1]发票导入!AA1315&amp;""</f>
      </c>
      <c r="AB1315">
        <f>[1]发票导入!AB1315</f>
        <v>0</v>
      </c>
      <c r="AC1315">
        <f>[1]发票导入!AC1315</f>
        <v>0</v>
      </c>
      <c r="AE1315" s="22">
        <f t="shared" si="0"/>
      </c>
      <c r="AI1315">
        <f>[1]发票导入!AI1315&amp;""</f>
      </c>
      <c r="AJ1315">
        <f>[1]发票导入!AJ1315&amp;""</f>
      </c>
      <c r="AK1315">
        <f>[1]发票导入!AK1315</f>
        <v>0</v>
      </c>
      <c r="AL1315">
        <f>[1]发票导入!AL1315</f>
        <v>0</v>
      </c>
      <c r="AM1315">
        <f>[1]发票导入!AM1315</f>
        <v>0</v>
      </c>
      <c r="AN1315" s="22">
        <f t="shared" si="1"/>
        <v>0</v>
      </c>
      <c r="AO1315" s="22">
        <f t="shared" si="2"/>
        <v>0</v>
      </c>
    </row>
    <row r="1316">
      <c r="C1316">
        <f>[1]发票导入!C1316&amp;""</f>
      </c>
      <c r="D1316">
        <f>[1]发票导入!D1316&amp;""</f>
      </c>
      <c r="O1316">
        <f>[1]发票导入!O1316&amp;""</f>
      </c>
      <c r="T1316">
        <f>[1]发票导入!T1316</f>
      </c>
      <c r="U1316">
        <f>[1]发票导入!U1316&amp;""</f>
      </c>
      <c r="V1316">
        <f>[1]发票导入!V1316&amp;""</f>
      </c>
      <c r="W1316">
        <f>[1]发票导入!W1316&amp;""</f>
      </c>
      <c r="Y1316">
        <f>[1]发票导入!Y1316&amp;""</f>
      </c>
      <c r="AA1316">
        <f>[1]发票导入!AA1316&amp;""</f>
      </c>
      <c r="AB1316">
        <f>[1]发票导入!AB1316</f>
        <v>0</v>
      </c>
      <c r="AC1316">
        <f>[1]发票导入!AC1316</f>
        <v>0</v>
      </c>
      <c r="AE1316" s="22">
        <f t="shared" si="0"/>
      </c>
      <c r="AI1316">
        <f>[1]发票导入!AI1316&amp;""</f>
      </c>
      <c r="AJ1316">
        <f>[1]发票导入!AJ1316&amp;""</f>
      </c>
      <c r="AK1316">
        <f>[1]发票导入!AK1316</f>
        <v>0</v>
      </c>
      <c r="AL1316">
        <f>[1]发票导入!AL1316</f>
        <v>0</v>
      </c>
      <c r="AM1316">
        <f>[1]发票导入!AM1316</f>
        <v>0</v>
      </c>
      <c r="AN1316" s="22">
        <f t="shared" si="1"/>
        <v>0</v>
      </c>
      <c r="AO1316" s="22">
        <f t="shared" si="2"/>
        <v>0</v>
      </c>
    </row>
    <row r="1317">
      <c r="C1317">
        <f>[1]发票导入!C1317&amp;""</f>
      </c>
      <c r="D1317">
        <f>[1]发票导入!D1317&amp;""</f>
      </c>
      <c r="O1317">
        <f>[1]发票导入!O1317&amp;""</f>
      </c>
      <c r="T1317">
        <f>[1]发票导入!T1317</f>
      </c>
      <c r="U1317">
        <f>[1]发票导入!U1317&amp;""</f>
      </c>
      <c r="V1317">
        <f>[1]发票导入!V1317&amp;""</f>
      </c>
      <c r="W1317">
        <f>[1]发票导入!W1317&amp;""</f>
      </c>
      <c r="Y1317">
        <f>[1]发票导入!Y1317&amp;""</f>
      </c>
      <c r="AA1317">
        <f>[1]发票导入!AA1317&amp;""</f>
      </c>
      <c r="AB1317">
        <f>[1]发票导入!AB1317</f>
        <v>0</v>
      </c>
      <c r="AC1317">
        <f>[1]发票导入!AC1317</f>
        <v>0</v>
      </c>
      <c r="AE1317" s="22">
        <f t="shared" si="0"/>
      </c>
      <c r="AI1317">
        <f>[1]发票导入!AI1317&amp;""</f>
      </c>
      <c r="AJ1317">
        <f>[1]发票导入!AJ1317&amp;""</f>
      </c>
      <c r="AK1317">
        <f>[1]发票导入!AK1317</f>
        <v>0</v>
      </c>
      <c r="AL1317">
        <f>[1]发票导入!AL1317</f>
        <v>0</v>
      </c>
      <c r="AM1317">
        <f>[1]发票导入!AM1317</f>
        <v>0</v>
      </c>
      <c r="AN1317" s="22">
        <f t="shared" si="1"/>
        <v>0</v>
      </c>
      <c r="AO1317" s="22">
        <f t="shared" si="2"/>
        <v>0</v>
      </c>
    </row>
    <row r="1318">
      <c r="C1318">
        <f>[1]发票导入!C1318&amp;""</f>
      </c>
      <c r="D1318">
        <f>[1]发票导入!D1318&amp;""</f>
      </c>
      <c r="O1318">
        <f>[1]发票导入!O1318&amp;""</f>
      </c>
      <c r="T1318">
        <f>[1]发票导入!T1318</f>
      </c>
      <c r="U1318">
        <f>[1]发票导入!U1318&amp;""</f>
      </c>
      <c r="V1318">
        <f>[1]发票导入!V1318&amp;""</f>
      </c>
      <c r="W1318">
        <f>[1]发票导入!W1318&amp;""</f>
      </c>
      <c r="Y1318">
        <f>[1]发票导入!Y1318&amp;""</f>
      </c>
      <c r="AA1318">
        <f>[1]发票导入!AA1318&amp;""</f>
      </c>
      <c r="AB1318">
        <f>[1]发票导入!AB1318</f>
        <v>0</v>
      </c>
      <c r="AC1318">
        <f>[1]发票导入!AC1318</f>
        <v>0</v>
      </c>
      <c r="AE1318" s="22">
        <f t="shared" si="0"/>
      </c>
      <c r="AI1318">
        <f>[1]发票导入!AI1318&amp;""</f>
      </c>
      <c r="AJ1318">
        <f>[1]发票导入!AJ1318&amp;""</f>
      </c>
      <c r="AK1318">
        <f>[1]发票导入!AK1318</f>
        <v>0</v>
      </c>
      <c r="AL1318">
        <f>[1]发票导入!AL1318</f>
        <v>0</v>
      </c>
      <c r="AM1318">
        <f>[1]发票导入!AM1318</f>
        <v>0</v>
      </c>
      <c r="AN1318" s="22">
        <f t="shared" si="1"/>
        <v>0</v>
      </c>
      <c r="AO1318" s="22">
        <f t="shared" si="2"/>
        <v>0</v>
      </c>
    </row>
    <row r="1319">
      <c r="C1319">
        <f>[1]发票导入!C1319&amp;""</f>
      </c>
      <c r="D1319">
        <f>[1]发票导入!D1319&amp;""</f>
      </c>
      <c r="O1319">
        <f>[1]发票导入!O1319&amp;""</f>
      </c>
      <c r="T1319">
        <f>[1]发票导入!T1319</f>
      </c>
      <c r="U1319">
        <f>[1]发票导入!U1319&amp;""</f>
      </c>
      <c r="V1319">
        <f>[1]发票导入!V1319&amp;""</f>
      </c>
      <c r="W1319">
        <f>[1]发票导入!W1319&amp;""</f>
      </c>
      <c r="Y1319">
        <f>[1]发票导入!Y1319&amp;""</f>
      </c>
      <c r="AA1319">
        <f>[1]发票导入!AA1319&amp;""</f>
      </c>
      <c r="AB1319">
        <f>[1]发票导入!AB1319</f>
        <v>0</v>
      </c>
      <c r="AC1319">
        <f>[1]发票导入!AC1319</f>
        <v>0</v>
      </c>
      <c r="AE1319" s="22">
        <f t="shared" si="0"/>
      </c>
      <c r="AI1319">
        <f>[1]发票导入!AI1319&amp;""</f>
      </c>
      <c r="AJ1319">
        <f>[1]发票导入!AJ1319&amp;""</f>
      </c>
      <c r="AK1319">
        <f>[1]发票导入!AK1319</f>
        <v>0</v>
      </c>
      <c r="AL1319">
        <f>[1]发票导入!AL1319</f>
        <v>0</v>
      </c>
      <c r="AM1319">
        <f>[1]发票导入!AM1319</f>
        <v>0</v>
      </c>
      <c r="AN1319" s="22">
        <f t="shared" si="1"/>
        <v>0</v>
      </c>
      <c r="AO1319" s="22">
        <f t="shared" si="2"/>
        <v>0</v>
      </c>
    </row>
    <row r="1320">
      <c r="C1320">
        <f>[1]发票导入!C1320&amp;""</f>
      </c>
      <c r="D1320">
        <f>[1]发票导入!D1320&amp;""</f>
      </c>
      <c r="O1320">
        <f>[1]发票导入!O1320&amp;""</f>
      </c>
      <c r="T1320">
        <f>[1]发票导入!T1320</f>
      </c>
      <c r="U1320">
        <f>[1]发票导入!U1320&amp;""</f>
      </c>
      <c r="V1320">
        <f>[1]发票导入!V1320&amp;""</f>
      </c>
      <c r="W1320">
        <f>[1]发票导入!W1320&amp;""</f>
      </c>
      <c r="Y1320">
        <f>[1]发票导入!Y1320&amp;""</f>
      </c>
      <c r="AA1320">
        <f>[1]发票导入!AA1320&amp;""</f>
      </c>
      <c r="AB1320">
        <f>[1]发票导入!AB1320</f>
        <v>0</v>
      </c>
      <c r="AC1320">
        <f>[1]发票导入!AC1320</f>
        <v>0</v>
      </c>
      <c r="AE1320" s="22">
        <f t="shared" si="0"/>
      </c>
      <c r="AI1320">
        <f>[1]发票导入!AI1320&amp;""</f>
      </c>
      <c r="AJ1320">
        <f>[1]发票导入!AJ1320&amp;""</f>
      </c>
      <c r="AK1320">
        <f>[1]发票导入!AK1320</f>
        <v>0</v>
      </c>
      <c r="AL1320">
        <f>[1]发票导入!AL1320</f>
        <v>0</v>
      </c>
      <c r="AM1320">
        <f>[1]发票导入!AM1320</f>
        <v>0</v>
      </c>
      <c r="AN1320" s="22">
        <f t="shared" si="1"/>
        <v>0</v>
      </c>
      <c r="AO1320" s="22">
        <f t="shared" si="2"/>
        <v>0</v>
      </c>
    </row>
    <row r="1321">
      <c r="C1321">
        <f>[1]发票导入!C1321&amp;""</f>
      </c>
      <c r="D1321">
        <f>[1]发票导入!D1321&amp;""</f>
      </c>
      <c r="O1321">
        <f>[1]发票导入!O1321&amp;""</f>
      </c>
      <c r="T1321">
        <f>[1]发票导入!T1321</f>
      </c>
      <c r="U1321">
        <f>[1]发票导入!U1321&amp;""</f>
      </c>
      <c r="V1321">
        <f>[1]发票导入!V1321&amp;""</f>
      </c>
      <c r="W1321">
        <f>[1]发票导入!W1321&amp;""</f>
      </c>
      <c r="Y1321">
        <f>[1]发票导入!Y1321&amp;""</f>
      </c>
      <c r="AA1321">
        <f>[1]发票导入!AA1321&amp;""</f>
      </c>
      <c r="AB1321">
        <f>[1]发票导入!AB1321</f>
        <v>0</v>
      </c>
      <c r="AC1321">
        <f>[1]发票导入!AC1321</f>
        <v>0</v>
      </c>
      <c r="AE1321" s="22">
        <f t="shared" si="0"/>
      </c>
      <c r="AI1321">
        <f>[1]发票导入!AI1321&amp;""</f>
      </c>
      <c r="AJ1321">
        <f>[1]发票导入!AJ1321&amp;""</f>
      </c>
      <c r="AK1321">
        <f>[1]发票导入!AK1321</f>
        <v>0</v>
      </c>
      <c r="AL1321">
        <f>[1]发票导入!AL1321</f>
        <v>0</v>
      </c>
      <c r="AM1321">
        <f>[1]发票导入!AM1321</f>
        <v>0</v>
      </c>
      <c r="AN1321" s="22">
        <f t="shared" si="1"/>
        <v>0</v>
      </c>
      <c r="AO1321" s="22">
        <f t="shared" si="2"/>
        <v>0</v>
      </c>
    </row>
    <row r="1322">
      <c r="C1322">
        <f>[1]发票导入!C1322&amp;""</f>
      </c>
      <c r="D1322">
        <f>[1]发票导入!D1322&amp;""</f>
      </c>
      <c r="O1322">
        <f>[1]发票导入!O1322&amp;""</f>
      </c>
      <c r="T1322">
        <f>[1]发票导入!T1322</f>
      </c>
      <c r="U1322">
        <f>[1]发票导入!U1322&amp;""</f>
      </c>
      <c r="V1322">
        <f>[1]发票导入!V1322&amp;""</f>
      </c>
      <c r="W1322">
        <f>[1]发票导入!W1322&amp;""</f>
      </c>
      <c r="Y1322">
        <f>[1]发票导入!Y1322&amp;""</f>
      </c>
      <c r="AA1322">
        <f>[1]发票导入!AA1322&amp;""</f>
      </c>
      <c r="AB1322">
        <f>[1]发票导入!AB1322</f>
        <v>0</v>
      </c>
      <c r="AC1322">
        <f>[1]发票导入!AC1322</f>
        <v>0</v>
      </c>
      <c r="AE1322" s="22">
        <f t="shared" si="0"/>
      </c>
      <c r="AI1322">
        <f>[1]发票导入!AI1322&amp;""</f>
      </c>
      <c r="AJ1322">
        <f>[1]发票导入!AJ1322&amp;""</f>
      </c>
      <c r="AK1322">
        <f>[1]发票导入!AK1322</f>
        <v>0</v>
      </c>
      <c r="AL1322">
        <f>[1]发票导入!AL1322</f>
        <v>0</v>
      </c>
      <c r="AM1322">
        <f>[1]发票导入!AM1322</f>
        <v>0</v>
      </c>
      <c r="AN1322" s="22">
        <f t="shared" si="1"/>
        <v>0</v>
      </c>
      <c r="AO1322" s="22">
        <f t="shared" si="2"/>
        <v>0</v>
      </c>
    </row>
    <row r="1323">
      <c r="C1323">
        <f>[1]发票导入!C1323&amp;""</f>
      </c>
      <c r="D1323">
        <f>[1]发票导入!D1323&amp;""</f>
      </c>
      <c r="O1323">
        <f>[1]发票导入!O1323&amp;""</f>
      </c>
      <c r="T1323">
        <f>[1]发票导入!T1323</f>
      </c>
      <c r="U1323">
        <f>[1]发票导入!U1323&amp;""</f>
      </c>
      <c r="V1323">
        <f>[1]发票导入!V1323&amp;""</f>
      </c>
      <c r="W1323">
        <f>[1]发票导入!W1323&amp;""</f>
      </c>
      <c r="Y1323">
        <f>[1]发票导入!Y1323&amp;""</f>
      </c>
      <c r="AA1323">
        <f>[1]发票导入!AA1323&amp;""</f>
      </c>
      <c r="AB1323">
        <f>[1]发票导入!AB1323</f>
        <v>0</v>
      </c>
      <c r="AC1323">
        <f>[1]发票导入!AC1323</f>
        <v>0</v>
      </c>
      <c r="AE1323" s="22">
        <f t="shared" si="0"/>
      </c>
      <c r="AI1323">
        <f>[1]发票导入!AI1323&amp;""</f>
      </c>
      <c r="AJ1323">
        <f>[1]发票导入!AJ1323&amp;""</f>
      </c>
      <c r="AK1323">
        <f>[1]发票导入!AK1323</f>
        <v>0</v>
      </c>
      <c r="AL1323">
        <f>[1]发票导入!AL1323</f>
        <v>0</v>
      </c>
      <c r="AM1323">
        <f>[1]发票导入!AM1323</f>
        <v>0</v>
      </c>
      <c r="AN1323" s="22">
        <f t="shared" si="1"/>
        <v>0</v>
      </c>
      <c r="AO1323" s="22">
        <f t="shared" si="2"/>
        <v>0</v>
      </c>
    </row>
    <row r="1324">
      <c r="C1324">
        <f>[1]发票导入!C1324&amp;""</f>
      </c>
      <c r="D1324">
        <f>[1]发票导入!D1324&amp;""</f>
      </c>
      <c r="O1324">
        <f>[1]发票导入!O1324&amp;""</f>
      </c>
      <c r="T1324">
        <f>[1]发票导入!T1324</f>
      </c>
      <c r="U1324">
        <f>[1]发票导入!U1324&amp;""</f>
      </c>
      <c r="V1324">
        <f>[1]发票导入!V1324&amp;""</f>
      </c>
      <c r="W1324">
        <f>[1]发票导入!W1324&amp;""</f>
      </c>
      <c r="Y1324">
        <f>[1]发票导入!Y1324&amp;""</f>
      </c>
      <c r="AA1324">
        <f>[1]发票导入!AA1324&amp;""</f>
      </c>
      <c r="AB1324">
        <f>[1]发票导入!AB1324</f>
        <v>0</v>
      </c>
      <c r="AC1324">
        <f>[1]发票导入!AC1324</f>
        <v>0</v>
      </c>
      <c r="AE1324" s="22">
        <f t="shared" si="0"/>
      </c>
      <c r="AI1324">
        <f>[1]发票导入!AI1324&amp;""</f>
      </c>
      <c r="AJ1324">
        <f>[1]发票导入!AJ1324&amp;""</f>
      </c>
      <c r="AK1324">
        <f>[1]发票导入!AK1324</f>
        <v>0</v>
      </c>
      <c r="AL1324">
        <f>[1]发票导入!AL1324</f>
        <v>0</v>
      </c>
      <c r="AM1324">
        <f>[1]发票导入!AM1324</f>
        <v>0</v>
      </c>
      <c r="AN1324" s="22">
        <f t="shared" si="1"/>
        <v>0</v>
      </c>
      <c r="AO1324" s="22">
        <f t="shared" si="2"/>
        <v>0</v>
      </c>
    </row>
    <row r="1325">
      <c r="C1325">
        <f>[1]发票导入!C1325&amp;""</f>
      </c>
      <c r="D1325">
        <f>[1]发票导入!D1325&amp;""</f>
      </c>
      <c r="O1325">
        <f>[1]发票导入!O1325&amp;""</f>
      </c>
      <c r="T1325">
        <f>[1]发票导入!T1325</f>
      </c>
      <c r="U1325">
        <f>[1]发票导入!U1325&amp;""</f>
      </c>
      <c r="V1325">
        <f>[1]发票导入!V1325&amp;""</f>
      </c>
      <c r="W1325">
        <f>[1]发票导入!W1325&amp;""</f>
      </c>
      <c r="Y1325">
        <f>[1]发票导入!Y1325&amp;""</f>
      </c>
      <c r="AA1325">
        <f>[1]发票导入!AA1325&amp;""</f>
      </c>
      <c r="AB1325">
        <f>[1]发票导入!AB1325</f>
        <v>0</v>
      </c>
      <c r="AC1325">
        <f>[1]发票导入!AC1325</f>
        <v>0</v>
      </c>
      <c r="AE1325" s="22">
        <f t="shared" si="0"/>
      </c>
      <c r="AI1325">
        <f>[1]发票导入!AI1325&amp;""</f>
      </c>
      <c r="AJ1325">
        <f>[1]发票导入!AJ1325&amp;""</f>
      </c>
      <c r="AK1325">
        <f>[1]发票导入!AK1325</f>
        <v>0</v>
      </c>
      <c r="AL1325">
        <f>[1]发票导入!AL1325</f>
        <v>0</v>
      </c>
      <c r="AM1325">
        <f>[1]发票导入!AM1325</f>
        <v>0</v>
      </c>
      <c r="AN1325" s="22">
        <f t="shared" si="1"/>
        <v>0</v>
      </c>
      <c r="AO1325" s="22">
        <f t="shared" si="2"/>
        <v>0</v>
      </c>
    </row>
    <row r="1326">
      <c r="C1326">
        <f>[1]发票导入!C1326&amp;""</f>
      </c>
      <c r="D1326">
        <f>[1]发票导入!D1326&amp;""</f>
      </c>
      <c r="O1326">
        <f>[1]发票导入!O1326&amp;""</f>
      </c>
      <c r="T1326">
        <f>[1]发票导入!T1326</f>
      </c>
      <c r="U1326">
        <f>[1]发票导入!U1326&amp;""</f>
      </c>
      <c r="V1326">
        <f>[1]发票导入!V1326&amp;""</f>
      </c>
      <c r="W1326">
        <f>[1]发票导入!W1326&amp;""</f>
      </c>
      <c r="Y1326">
        <f>[1]发票导入!Y1326&amp;""</f>
      </c>
      <c r="AA1326">
        <f>[1]发票导入!AA1326&amp;""</f>
      </c>
      <c r="AB1326">
        <f>[1]发票导入!AB1326</f>
        <v>0</v>
      </c>
      <c r="AC1326">
        <f>[1]发票导入!AC1326</f>
        <v>0</v>
      </c>
      <c r="AE1326" s="22">
        <f t="shared" si="0"/>
      </c>
      <c r="AI1326">
        <f>[1]发票导入!AI1326&amp;""</f>
      </c>
      <c r="AJ1326">
        <f>[1]发票导入!AJ1326&amp;""</f>
      </c>
      <c r="AK1326">
        <f>[1]发票导入!AK1326</f>
        <v>0</v>
      </c>
      <c r="AL1326">
        <f>[1]发票导入!AL1326</f>
        <v>0</v>
      </c>
      <c r="AM1326">
        <f>[1]发票导入!AM1326</f>
        <v>0</v>
      </c>
      <c r="AN1326" s="22">
        <f t="shared" si="1"/>
        <v>0</v>
      </c>
      <c r="AO1326" s="22">
        <f t="shared" si="2"/>
        <v>0</v>
      </c>
    </row>
    <row r="1327">
      <c r="C1327">
        <f>[1]发票导入!C1327&amp;""</f>
      </c>
      <c r="D1327">
        <f>[1]发票导入!D1327&amp;""</f>
      </c>
      <c r="O1327">
        <f>[1]发票导入!O1327&amp;""</f>
      </c>
      <c r="T1327">
        <f>[1]发票导入!T1327</f>
      </c>
      <c r="U1327">
        <f>[1]发票导入!U1327&amp;""</f>
      </c>
      <c r="V1327">
        <f>[1]发票导入!V1327&amp;""</f>
      </c>
      <c r="W1327">
        <f>[1]发票导入!W1327&amp;""</f>
      </c>
      <c r="Y1327">
        <f>[1]发票导入!Y1327&amp;""</f>
      </c>
      <c r="AA1327">
        <f>[1]发票导入!AA1327&amp;""</f>
      </c>
      <c r="AB1327">
        <f>[1]发票导入!AB1327</f>
        <v>0</v>
      </c>
      <c r="AC1327">
        <f>[1]发票导入!AC1327</f>
        <v>0</v>
      </c>
      <c r="AE1327" s="22">
        <f t="shared" si="0"/>
      </c>
      <c r="AI1327">
        <f>[1]发票导入!AI1327&amp;""</f>
      </c>
      <c r="AJ1327">
        <f>[1]发票导入!AJ1327&amp;""</f>
      </c>
      <c r="AK1327">
        <f>[1]发票导入!AK1327</f>
        <v>0</v>
      </c>
      <c r="AL1327">
        <f>[1]发票导入!AL1327</f>
        <v>0</v>
      </c>
      <c r="AM1327">
        <f>[1]发票导入!AM1327</f>
        <v>0</v>
      </c>
      <c r="AN1327" s="22">
        <f t="shared" si="1"/>
        <v>0</v>
      </c>
      <c r="AO1327" s="22">
        <f t="shared" si="2"/>
        <v>0</v>
      </c>
    </row>
    <row r="1328">
      <c r="C1328">
        <f>[1]发票导入!C1328&amp;""</f>
      </c>
      <c r="D1328">
        <f>[1]发票导入!D1328&amp;""</f>
      </c>
      <c r="O1328">
        <f>[1]发票导入!O1328&amp;""</f>
      </c>
      <c r="T1328">
        <f>[1]发票导入!T1328</f>
      </c>
      <c r="U1328">
        <f>[1]发票导入!U1328&amp;""</f>
      </c>
      <c r="V1328">
        <f>[1]发票导入!V1328&amp;""</f>
      </c>
      <c r="W1328">
        <f>[1]发票导入!W1328&amp;""</f>
      </c>
      <c r="Y1328">
        <f>[1]发票导入!Y1328&amp;""</f>
      </c>
      <c r="AA1328">
        <f>[1]发票导入!AA1328&amp;""</f>
      </c>
      <c r="AB1328">
        <f>[1]发票导入!AB1328</f>
        <v>0</v>
      </c>
      <c r="AC1328">
        <f>[1]发票导入!AC1328</f>
        <v>0</v>
      </c>
      <c r="AE1328" s="22">
        <f t="shared" si="0"/>
      </c>
      <c r="AI1328">
        <f>[1]发票导入!AI1328&amp;""</f>
      </c>
      <c r="AJ1328">
        <f>[1]发票导入!AJ1328&amp;""</f>
      </c>
      <c r="AK1328">
        <f>[1]发票导入!AK1328</f>
        <v>0</v>
      </c>
      <c r="AL1328">
        <f>[1]发票导入!AL1328</f>
        <v>0</v>
      </c>
      <c r="AM1328">
        <f>[1]发票导入!AM1328</f>
        <v>0</v>
      </c>
      <c r="AN1328" s="22">
        <f t="shared" si="1"/>
        <v>0</v>
      </c>
      <c r="AO1328" s="22">
        <f t="shared" si="2"/>
        <v>0</v>
      </c>
    </row>
    <row r="1329">
      <c r="C1329">
        <f>[1]发票导入!C1329&amp;""</f>
      </c>
      <c r="D1329">
        <f>[1]发票导入!D1329&amp;""</f>
      </c>
      <c r="O1329">
        <f>[1]发票导入!O1329&amp;""</f>
      </c>
      <c r="T1329">
        <f>[1]发票导入!T1329</f>
      </c>
      <c r="U1329">
        <f>[1]发票导入!U1329&amp;""</f>
      </c>
      <c r="V1329">
        <f>[1]发票导入!V1329&amp;""</f>
      </c>
      <c r="W1329">
        <f>[1]发票导入!W1329&amp;""</f>
      </c>
      <c r="Y1329">
        <f>[1]发票导入!Y1329&amp;""</f>
      </c>
      <c r="AA1329">
        <f>[1]发票导入!AA1329&amp;""</f>
      </c>
      <c r="AB1329">
        <f>[1]发票导入!AB1329</f>
        <v>0</v>
      </c>
      <c r="AC1329">
        <f>[1]发票导入!AC1329</f>
        <v>0</v>
      </c>
      <c r="AE1329" s="22">
        <f t="shared" si="0"/>
      </c>
      <c r="AI1329">
        <f>[1]发票导入!AI1329&amp;""</f>
      </c>
      <c r="AJ1329">
        <f>[1]发票导入!AJ1329&amp;""</f>
      </c>
      <c r="AK1329">
        <f>[1]发票导入!AK1329</f>
        <v>0</v>
      </c>
      <c r="AL1329">
        <f>[1]发票导入!AL1329</f>
        <v>0</v>
      </c>
      <c r="AM1329">
        <f>[1]发票导入!AM1329</f>
        <v>0</v>
      </c>
      <c r="AN1329" s="22">
        <f t="shared" si="1"/>
        <v>0</v>
      </c>
      <c r="AO1329" s="22">
        <f t="shared" si="2"/>
        <v>0</v>
      </c>
    </row>
    <row r="1330">
      <c r="C1330">
        <f>[1]发票导入!C1330&amp;""</f>
      </c>
      <c r="D1330">
        <f>[1]发票导入!D1330&amp;""</f>
      </c>
      <c r="O1330">
        <f>[1]发票导入!O1330&amp;""</f>
      </c>
      <c r="T1330">
        <f>[1]发票导入!T1330</f>
      </c>
      <c r="U1330">
        <f>[1]发票导入!U1330&amp;""</f>
      </c>
      <c r="V1330">
        <f>[1]发票导入!V1330&amp;""</f>
      </c>
      <c r="W1330">
        <f>[1]发票导入!W1330&amp;""</f>
      </c>
      <c r="Y1330">
        <f>[1]发票导入!Y1330&amp;""</f>
      </c>
      <c r="AA1330">
        <f>[1]发票导入!AA1330&amp;""</f>
      </c>
      <c r="AB1330">
        <f>[1]发票导入!AB1330</f>
        <v>0</v>
      </c>
      <c r="AC1330">
        <f>[1]发票导入!AC1330</f>
        <v>0</v>
      </c>
      <c r="AE1330" s="22">
        <f t="shared" si="0"/>
      </c>
      <c r="AI1330">
        <f>[1]发票导入!AI1330&amp;""</f>
      </c>
      <c r="AJ1330">
        <f>[1]发票导入!AJ1330&amp;""</f>
      </c>
      <c r="AK1330">
        <f>[1]发票导入!AK1330</f>
        <v>0</v>
      </c>
      <c r="AL1330">
        <f>[1]发票导入!AL1330</f>
        <v>0</v>
      </c>
      <c r="AM1330">
        <f>[1]发票导入!AM1330</f>
        <v>0</v>
      </c>
      <c r="AN1330" s="22">
        <f t="shared" si="1"/>
        <v>0</v>
      </c>
      <c r="AO1330" s="22">
        <f t="shared" si="2"/>
        <v>0</v>
      </c>
    </row>
    <row r="1331">
      <c r="C1331">
        <f>[1]发票导入!C1331&amp;""</f>
      </c>
      <c r="D1331">
        <f>[1]发票导入!D1331&amp;""</f>
      </c>
      <c r="O1331">
        <f>[1]发票导入!O1331&amp;""</f>
      </c>
      <c r="T1331">
        <f>[1]发票导入!T1331</f>
      </c>
      <c r="U1331">
        <f>[1]发票导入!U1331&amp;""</f>
      </c>
      <c r="V1331">
        <f>[1]发票导入!V1331&amp;""</f>
      </c>
      <c r="W1331">
        <f>[1]发票导入!W1331&amp;""</f>
      </c>
      <c r="Y1331">
        <f>[1]发票导入!Y1331&amp;""</f>
      </c>
      <c r="AA1331">
        <f>[1]发票导入!AA1331&amp;""</f>
      </c>
      <c r="AB1331">
        <f>[1]发票导入!AB1331</f>
        <v>0</v>
      </c>
      <c r="AC1331">
        <f>[1]发票导入!AC1331</f>
        <v>0</v>
      </c>
      <c r="AE1331" s="22">
        <f t="shared" si="0"/>
      </c>
      <c r="AI1331">
        <f>[1]发票导入!AI1331&amp;""</f>
      </c>
      <c r="AJ1331">
        <f>[1]发票导入!AJ1331&amp;""</f>
      </c>
      <c r="AK1331">
        <f>[1]发票导入!AK1331</f>
        <v>0</v>
      </c>
      <c r="AL1331">
        <f>[1]发票导入!AL1331</f>
        <v>0</v>
      </c>
      <c r="AM1331">
        <f>[1]发票导入!AM1331</f>
        <v>0</v>
      </c>
      <c r="AN1331" s="22">
        <f t="shared" si="1"/>
        <v>0</v>
      </c>
      <c r="AO1331" s="22">
        <f t="shared" si="2"/>
        <v>0</v>
      </c>
    </row>
    <row r="1332">
      <c r="C1332">
        <f>[1]发票导入!C1332&amp;""</f>
      </c>
      <c r="D1332">
        <f>[1]发票导入!D1332&amp;""</f>
      </c>
      <c r="O1332">
        <f>[1]发票导入!O1332&amp;""</f>
      </c>
      <c r="T1332">
        <f>[1]发票导入!T1332</f>
      </c>
      <c r="U1332">
        <f>[1]发票导入!U1332&amp;""</f>
      </c>
      <c r="V1332">
        <f>[1]发票导入!V1332&amp;""</f>
      </c>
      <c r="W1332">
        <f>[1]发票导入!W1332&amp;""</f>
      </c>
      <c r="Y1332">
        <f>[1]发票导入!Y1332&amp;""</f>
      </c>
      <c r="AA1332">
        <f>[1]发票导入!AA1332&amp;""</f>
      </c>
      <c r="AB1332">
        <f>[1]发票导入!AB1332</f>
        <v>0</v>
      </c>
      <c r="AC1332">
        <f>[1]发票导入!AC1332</f>
        <v>0</v>
      </c>
      <c r="AE1332" s="22">
        <f t="shared" si="0"/>
      </c>
      <c r="AI1332">
        <f>[1]发票导入!AI1332&amp;""</f>
      </c>
      <c r="AJ1332">
        <f>[1]发票导入!AJ1332&amp;""</f>
      </c>
      <c r="AK1332">
        <f>[1]发票导入!AK1332</f>
        <v>0</v>
      </c>
      <c r="AL1332">
        <f>[1]发票导入!AL1332</f>
        <v>0</v>
      </c>
      <c r="AM1332">
        <f>[1]发票导入!AM1332</f>
        <v>0</v>
      </c>
      <c r="AN1332" s="22">
        <f t="shared" si="1"/>
        <v>0</v>
      </c>
      <c r="AO1332" s="22">
        <f t="shared" si="2"/>
        <v>0</v>
      </c>
    </row>
    <row r="1333">
      <c r="C1333">
        <f>[1]发票导入!C1333&amp;""</f>
      </c>
      <c r="D1333">
        <f>[1]发票导入!D1333&amp;""</f>
      </c>
      <c r="O1333">
        <f>[1]发票导入!O1333&amp;""</f>
      </c>
      <c r="T1333">
        <f>[1]发票导入!T1333</f>
      </c>
      <c r="U1333">
        <f>[1]发票导入!U1333&amp;""</f>
      </c>
      <c r="V1333">
        <f>[1]发票导入!V1333&amp;""</f>
      </c>
      <c r="W1333">
        <f>[1]发票导入!W1333&amp;""</f>
      </c>
      <c r="Y1333">
        <f>[1]发票导入!Y1333&amp;""</f>
      </c>
      <c r="AA1333">
        <f>[1]发票导入!AA1333&amp;""</f>
      </c>
      <c r="AB1333">
        <f>[1]发票导入!AB1333</f>
        <v>0</v>
      </c>
      <c r="AC1333">
        <f>[1]发票导入!AC1333</f>
        <v>0</v>
      </c>
      <c r="AE1333" s="22">
        <f t="shared" si="0"/>
      </c>
      <c r="AI1333">
        <f>[1]发票导入!AI1333&amp;""</f>
      </c>
      <c r="AJ1333">
        <f>[1]发票导入!AJ1333&amp;""</f>
      </c>
      <c r="AK1333">
        <f>[1]发票导入!AK1333</f>
        <v>0</v>
      </c>
      <c r="AL1333">
        <f>[1]发票导入!AL1333</f>
        <v>0</v>
      </c>
      <c r="AM1333">
        <f>[1]发票导入!AM1333</f>
        <v>0</v>
      </c>
      <c r="AN1333" s="22">
        <f t="shared" si="1"/>
        <v>0</v>
      </c>
      <c r="AO1333" s="22">
        <f t="shared" si="2"/>
        <v>0</v>
      </c>
    </row>
    <row r="1334">
      <c r="C1334">
        <f>[1]发票导入!C1334&amp;""</f>
      </c>
      <c r="D1334">
        <f>[1]发票导入!D1334&amp;""</f>
      </c>
      <c r="O1334">
        <f>[1]发票导入!O1334&amp;""</f>
      </c>
      <c r="T1334">
        <f>[1]发票导入!T1334</f>
      </c>
      <c r="U1334">
        <f>[1]发票导入!U1334&amp;""</f>
      </c>
      <c r="V1334">
        <f>[1]发票导入!V1334&amp;""</f>
      </c>
      <c r="W1334">
        <f>[1]发票导入!W1334&amp;""</f>
      </c>
      <c r="Y1334">
        <f>[1]发票导入!Y1334&amp;""</f>
      </c>
      <c r="AA1334">
        <f>[1]发票导入!AA1334&amp;""</f>
      </c>
      <c r="AB1334">
        <f>[1]发票导入!AB1334</f>
        <v>0</v>
      </c>
      <c r="AC1334">
        <f>[1]发票导入!AC1334</f>
        <v>0</v>
      </c>
      <c r="AE1334" s="22">
        <f t="shared" si="0"/>
      </c>
      <c r="AI1334">
        <f>[1]发票导入!AI1334&amp;""</f>
      </c>
      <c r="AJ1334">
        <f>[1]发票导入!AJ1334&amp;""</f>
      </c>
      <c r="AK1334">
        <f>[1]发票导入!AK1334</f>
        <v>0</v>
      </c>
      <c r="AL1334">
        <f>[1]发票导入!AL1334</f>
        <v>0</v>
      </c>
      <c r="AM1334">
        <f>[1]发票导入!AM1334</f>
        <v>0</v>
      </c>
      <c r="AN1334" s="22">
        <f t="shared" si="1"/>
        <v>0</v>
      </c>
      <c r="AO1334" s="22">
        <f t="shared" si="2"/>
        <v>0</v>
      </c>
    </row>
    <row r="1335">
      <c r="C1335">
        <f>[1]发票导入!C1335&amp;""</f>
      </c>
      <c r="D1335">
        <f>[1]发票导入!D1335&amp;""</f>
      </c>
      <c r="O1335">
        <f>[1]发票导入!O1335&amp;""</f>
      </c>
      <c r="T1335">
        <f>[1]发票导入!T1335</f>
      </c>
      <c r="U1335">
        <f>[1]发票导入!U1335&amp;""</f>
      </c>
      <c r="V1335">
        <f>[1]发票导入!V1335&amp;""</f>
      </c>
      <c r="W1335">
        <f>[1]发票导入!W1335&amp;""</f>
      </c>
      <c r="Y1335">
        <f>[1]发票导入!Y1335&amp;""</f>
      </c>
      <c r="AA1335">
        <f>[1]发票导入!AA1335&amp;""</f>
      </c>
      <c r="AB1335">
        <f>[1]发票导入!AB1335</f>
        <v>0</v>
      </c>
      <c r="AC1335">
        <f>[1]发票导入!AC1335</f>
        <v>0</v>
      </c>
      <c r="AE1335" s="22">
        <f t="shared" si="0"/>
      </c>
      <c r="AI1335">
        <f>[1]发票导入!AI1335&amp;""</f>
      </c>
      <c r="AJ1335">
        <f>[1]发票导入!AJ1335&amp;""</f>
      </c>
      <c r="AK1335">
        <f>[1]发票导入!AK1335</f>
        <v>0</v>
      </c>
      <c r="AL1335">
        <f>[1]发票导入!AL1335</f>
        <v>0</v>
      </c>
      <c r="AM1335">
        <f>[1]发票导入!AM1335</f>
        <v>0</v>
      </c>
      <c r="AN1335" s="22">
        <f t="shared" si="1"/>
        <v>0</v>
      </c>
      <c r="AO1335" s="22">
        <f t="shared" si="2"/>
        <v>0</v>
      </c>
    </row>
    <row r="1336">
      <c r="C1336">
        <f>[1]发票导入!C1336&amp;""</f>
      </c>
      <c r="D1336">
        <f>[1]发票导入!D1336&amp;""</f>
      </c>
      <c r="O1336">
        <f>[1]发票导入!O1336&amp;""</f>
      </c>
      <c r="T1336">
        <f>[1]发票导入!T1336</f>
      </c>
      <c r="U1336">
        <f>[1]发票导入!U1336&amp;""</f>
      </c>
      <c r="V1336">
        <f>[1]发票导入!V1336&amp;""</f>
      </c>
      <c r="W1336">
        <f>[1]发票导入!W1336&amp;""</f>
      </c>
      <c r="Y1336">
        <f>[1]发票导入!Y1336&amp;""</f>
      </c>
      <c r="AA1336">
        <f>[1]发票导入!AA1336&amp;""</f>
      </c>
      <c r="AB1336">
        <f>[1]发票导入!AB1336</f>
        <v>0</v>
      </c>
      <c r="AC1336">
        <f>[1]发票导入!AC1336</f>
        <v>0</v>
      </c>
      <c r="AE1336" s="22">
        <f t="shared" si="0"/>
      </c>
      <c r="AI1336">
        <f>[1]发票导入!AI1336&amp;""</f>
      </c>
      <c r="AJ1336">
        <f>[1]发票导入!AJ1336&amp;""</f>
      </c>
      <c r="AK1336">
        <f>[1]发票导入!AK1336</f>
        <v>0</v>
      </c>
      <c r="AL1336">
        <f>[1]发票导入!AL1336</f>
        <v>0</v>
      </c>
      <c r="AM1336">
        <f>[1]发票导入!AM1336</f>
        <v>0</v>
      </c>
      <c r="AN1336" s="22">
        <f t="shared" si="1"/>
        <v>0</v>
      </c>
      <c r="AO1336" s="22">
        <f t="shared" si="2"/>
        <v>0</v>
      </c>
    </row>
    <row r="1337">
      <c r="C1337">
        <f>[1]发票导入!C1337&amp;""</f>
      </c>
      <c r="D1337">
        <f>[1]发票导入!D1337&amp;""</f>
      </c>
      <c r="O1337">
        <f>[1]发票导入!O1337&amp;""</f>
      </c>
      <c r="T1337">
        <f>[1]发票导入!T1337</f>
      </c>
      <c r="U1337">
        <f>[1]发票导入!U1337&amp;""</f>
      </c>
      <c r="V1337">
        <f>[1]发票导入!V1337&amp;""</f>
      </c>
      <c r="W1337">
        <f>[1]发票导入!W1337&amp;""</f>
      </c>
      <c r="Y1337">
        <f>[1]发票导入!Y1337&amp;""</f>
      </c>
      <c r="AA1337">
        <f>[1]发票导入!AA1337&amp;""</f>
      </c>
      <c r="AB1337">
        <f>[1]发票导入!AB1337</f>
        <v>0</v>
      </c>
      <c r="AC1337">
        <f>[1]发票导入!AC1337</f>
        <v>0</v>
      </c>
      <c r="AE1337" s="22">
        <f t="shared" si="0"/>
      </c>
      <c r="AI1337">
        <f>[1]发票导入!AI1337&amp;""</f>
      </c>
      <c r="AJ1337">
        <f>[1]发票导入!AJ1337&amp;""</f>
      </c>
      <c r="AK1337">
        <f>[1]发票导入!AK1337</f>
        <v>0</v>
      </c>
      <c r="AL1337">
        <f>[1]发票导入!AL1337</f>
        <v>0</v>
      </c>
      <c r="AM1337">
        <f>[1]发票导入!AM1337</f>
        <v>0</v>
      </c>
      <c r="AN1337" s="22">
        <f t="shared" si="1"/>
        <v>0</v>
      </c>
      <c r="AO1337" s="22">
        <f t="shared" si="2"/>
        <v>0</v>
      </c>
    </row>
    <row r="1338">
      <c r="C1338">
        <f>[1]发票导入!C1338&amp;""</f>
      </c>
      <c r="D1338">
        <f>[1]发票导入!D1338&amp;""</f>
      </c>
      <c r="O1338">
        <f>[1]发票导入!O1338&amp;""</f>
      </c>
      <c r="T1338">
        <f>[1]发票导入!T1338</f>
      </c>
      <c r="U1338">
        <f>[1]发票导入!U1338&amp;""</f>
      </c>
      <c r="V1338">
        <f>[1]发票导入!V1338&amp;""</f>
      </c>
      <c r="W1338">
        <f>[1]发票导入!W1338&amp;""</f>
      </c>
      <c r="Y1338">
        <f>[1]发票导入!Y1338&amp;""</f>
      </c>
      <c r="AA1338">
        <f>[1]发票导入!AA1338&amp;""</f>
      </c>
      <c r="AB1338">
        <f>[1]发票导入!AB1338</f>
        <v>0</v>
      </c>
      <c r="AC1338">
        <f>[1]发票导入!AC1338</f>
        <v>0</v>
      </c>
      <c r="AE1338" s="22">
        <f t="shared" si="0"/>
      </c>
      <c r="AI1338">
        <f>[1]发票导入!AI1338&amp;""</f>
      </c>
      <c r="AJ1338">
        <f>[1]发票导入!AJ1338&amp;""</f>
      </c>
      <c r="AK1338">
        <f>[1]发票导入!AK1338</f>
        <v>0</v>
      </c>
      <c r="AL1338">
        <f>[1]发票导入!AL1338</f>
        <v>0</v>
      </c>
      <c r="AM1338">
        <f>[1]发票导入!AM1338</f>
        <v>0</v>
      </c>
      <c r="AN1338" s="22">
        <f t="shared" si="1"/>
        <v>0</v>
      </c>
      <c r="AO1338" s="22">
        <f t="shared" si="2"/>
        <v>0</v>
      </c>
    </row>
    <row r="1339">
      <c r="C1339">
        <f>[1]发票导入!C1339&amp;""</f>
      </c>
      <c r="D1339">
        <f>[1]发票导入!D1339&amp;""</f>
      </c>
      <c r="O1339">
        <f>[1]发票导入!O1339&amp;""</f>
      </c>
      <c r="T1339">
        <f>[1]发票导入!T1339</f>
      </c>
      <c r="U1339">
        <f>[1]发票导入!U1339&amp;""</f>
      </c>
      <c r="V1339">
        <f>[1]发票导入!V1339&amp;""</f>
      </c>
      <c r="W1339">
        <f>[1]发票导入!W1339&amp;""</f>
      </c>
      <c r="Y1339">
        <f>[1]发票导入!Y1339&amp;""</f>
      </c>
      <c r="AA1339">
        <f>[1]发票导入!AA1339&amp;""</f>
      </c>
      <c r="AB1339">
        <f>[1]发票导入!AB1339</f>
        <v>0</v>
      </c>
      <c r="AC1339">
        <f>[1]发票导入!AC1339</f>
        <v>0</v>
      </c>
      <c r="AE1339" s="22">
        <f t="shared" si="0"/>
      </c>
      <c r="AI1339">
        <f>[1]发票导入!AI1339&amp;""</f>
      </c>
      <c r="AJ1339">
        <f>[1]发票导入!AJ1339&amp;""</f>
      </c>
      <c r="AK1339">
        <f>[1]发票导入!AK1339</f>
        <v>0</v>
      </c>
      <c r="AL1339">
        <f>[1]发票导入!AL1339</f>
        <v>0</v>
      </c>
      <c r="AM1339">
        <f>[1]发票导入!AM1339</f>
        <v>0</v>
      </c>
      <c r="AN1339" s="22">
        <f t="shared" si="1"/>
        <v>0</v>
      </c>
      <c r="AO1339" s="22">
        <f t="shared" si="2"/>
        <v>0</v>
      </c>
    </row>
    <row r="1340">
      <c r="C1340">
        <f>[1]发票导入!C1340&amp;""</f>
      </c>
      <c r="D1340">
        <f>[1]发票导入!D1340&amp;""</f>
      </c>
      <c r="O1340">
        <f>[1]发票导入!O1340&amp;""</f>
      </c>
      <c r="T1340">
        <f>[1]发票导入!T1340</f>
      </c>
      <c r="U1340">
        <f>[1]发票导入!U1340&amp;""</f>
      </c>
      <c r="V1340">
        <f>[1]发票导入!V1340&amp;""</f>
      </c>
      <c r="W1340">
        <f>[1]发票导入!W1340&amp;""</f>
      </c>
      <c r="Y1340">
        <f>[1]发票导入!Y1340&amp;""</f>
      </c>
      <c r="AA1340">
        <f>[1]发票导入!AA1340&amp;""</f>
      </c>
      <c r="AB1340">
        <f>[1]发票导入!AB1340</f>
        <v>0</v>
      </c>
      <c r="AC1340">
        <f>[1]发票导入!AC1340</f>
        <v>0</v>
      </c>
      <c r="AE1340" s="22">
        <f t="shared" si="0"/>
      </c>
      <c r="AI1340">
        <f>[1]发票导入!AI1340&amp;""</f>
      </c>
      <c r="AJ1340">
        <f>[1]发票导入!AJ1340&amp;""</f>
      </c>
      <c r="AK1340">
        <f>[1]发票导入!AK1340</f>
        <v>0</v>
      </c>
      <c r="AL1340">
        <f>[1]发票导入!AL1340</f>
        <v>0</v>
      </c>
      <c r="AM1340">
        <f>[1]发票导入!AM1340</f>
        <v>0</v>
      </c>
      <c r="AN1340" s="22">
        <f t="shared" si="1"/>
        <v>0</v>
      </c>
      <c r="AO1340" s="22">
        <f t="shared" si="2"/>
        <v>0</v>
      </c>
    </row>
    <row r="1341">
      <c r="C1341">
        <f>[1]发票导入!C1341&amp;""</f>
      </c>
      <c r="D1341">
        <f>[1]发票导入!D1341&amp;""</f>
      </c>
      <c r="O1341">
        <f>[1]发票导入!O1341&amp;""</f>
      </c>
      <c r="T1341">
        <f>[1]发票导入!T1341</f>
      </c>
      <c r="U1341">
        <f>[1]发票导入!U1341&amp;""</f>
      </c>
      <c r="V1341">
        <f>[1]发票导入!V1341&amp;""</f>
      </c>
      <c r="W1341">
        <f>[1]发票导入!W1341&amp;""</f>
      </c>
      <c r="Y1341">
        <f>[1]发票导入!Y1341&amp;""</f>
      </c>
      <c r="AA1341">
        <f>[1]发票导入!AA1341&amp;""</f>
      </c>
      <c r="AB1341">
        <f>[1]发票导入!AB1341</f>
        <v>0</v>
      </c>
      <c r="AC1341">
        <f>[1]发票导入!AC1341</f>
        <v>0</v>
      </c>
      <c r="AE1341" s="22">
        <f t="shared" si="0"/>
      </c>
      <c r="AI1341">
        <f>[1]发票导入!AI1341&amp;""</f>
      </c>
      <c r="AJ1341">
        <f>[1]发票导入!AJ1341&amp;""</f>
      </c>
      <c r="AK1341">
        <f>[1]发票导入!AK1341</f>
        <v>0</v>
      </c>
      <c r="AL1341">
        <f>[1]发票导入!AL1341</f>
        <v>0</v>
      </c>
      <c r="AM1341">
        <f>[1]发票导入!AM1341</f>
        <v>0</v>
      </c>
      <c r="AN1341" s="22">
        <f t="shared" si="1"/>
        <v>0</v>
      </c>
      <c r="AO1341" s="22">
        <f t="shared" si="2"/>
        <v>0</v>
      </c>
    </row>
    <row r="1342">
      <c r="C1342">
        <f>[1]发票导入!C1342&amp;""</f>
      </c>
      <c r="D1342">
        <f>[1]发票导入!D1342&amp;""</f>
      </c>
      <c r="O1342">
        <f>[1]发票导入!O1342&amp;""</f>
      </c>
      <c r="T1342">
        <f>[1]发票导入!T1342</f>
      </c>
      <c r="U1342">
        <f>[1]发票导入!U1342&amp;""</f>
      </c>
      <c r="V1342">
        <f>[1]发票导入!V1342&amp;""</f>
      </c>
      <c r="W1342">
        <f>[1]发票导入!W1342&amp;""</f>
      </c>
      <c r="Y1342">
        <f>[1]发票导入!Y1342&amp;""</f>
      </c>
      <c r="AA1342">
        <f>[1]发票导入!AA1342&amp;""</f>
      </c>
      <c r="AB1342">
        <f>[1]发票导入!AB1342</f>
        <v>0</v>
      </c>
      <c r="AC1342">
        <f>[1]发票导入!AC1342</f>
        <v>0</v>
      </c>
      <c r="AE1342" s="22">
        <f t="shared" si="0"/>
      </c>
      <c r="AI1342">
        <f>[1]发票导入!AI1342&amp;""</f>
      </c>
      <c r="AJ1342">
        <f>[1]发票导入!AJ1342&amp;""</f>
      </c>
      <c r="AK1342">
        <f>[1]发票导入!AK1342</f>
        <v>0</v>
      </c>
      <c r="AL1342">
        <f>[1]发票导入!AL1342</f>
        <v>0</v>
      </c>
      <c r="AM1342">
        <f>[1]发票导入!AM1342</f>
        <v>0</v>
      </c>
      <c r="AN1342" s="22">
        <f t="shared" si="1"/>
        <v>0</v>
      </c>
      <c r="AO1342" s="22">
        <f t="shared" si="2"/>
        <v>0</v>
      </c>
    </row>
    <row r="1343">
      <c r="C1343">
        <f>[1]发票导入!C1343&amp;""</f>
      </c>
      <c r="D1343">
        <f>[1]发票导入!D1343&amp;""</f>
      </c>
      <c r="O1343">
        <f>[1]发票导入!O1343&amp;""</f>
      </c>
      <c r="T1343">
        <f>[1]发票导入!T1343</f>
      </c>
      <c r="U1343">
        <f>[1]发票导入!U1343&amp;""</f>
      </c>
      <c r="V1343">
        <f>[1]发票导入!V1343&amp;""</f>
      </c>
      <c r="W1343">
        <f>[1]发票导入!W1343&amp;""</f>
      </c>
      <c r="Y1343">
        <f>[1]发票导入!Y1343&amp;""</f>
      </c>
      <c r="AA1343">
        <f>[1]发票导入!AA1343&amp;""</f>
      </c>
      <c r="AB1343">
        <f>[1]发票导入!AB1343</f>
        <v>0</v>
      </c>
      <c r="AC1343">
        <f>[1]发票导入!AC1343</f>
        <v>0</v>
      </c>
      <c r="AE1343" s="22">
        <f t="shared" si="0"/>
      </c>
      <c r="AI1343">
        <f>[1]发票导入!AI1343&amp;""</f>
      </c>
      <c r="AJ1343">
        <f>[1]发票导入!AJ1343&amp;""</f>
      </c>
      <c r="AK1343">
        <f>[1]发票导入!AK1343</f>
        <v>0</v>
      </c>
      <c r="AL1343">
        <f>[1]发票导入!AL1343</f>
        <v>0</v>
      </c>
      <c r="AM1343">
        <f>[1]发票导入!AM1343</f>
        <v>0</v>
      </c>
      <c r="AN1343" s="22">
        <f t="shared" si="1"/>
        <v>0</v>
      </c>
      <c r="AO1343" s="22">
        <f t="shared" si="2"/>
        <v>0</v>
      </c>
    </row>
    <row r="1344">
      <c r="C1344">
        <f>[1]发票导入!C1344&amp;""</f>
      </c>
      <c r="D1344">
        <f>[1]发票导入!D1344&amp;""</f>
      </c>
      <c r="O1344">
        <f>[1]发票导入!O1344&amp;""</f>
      </c>
      <c r="T1344">
        <f>[1]发票导入!T1344</f>
      </c>
      <c r="U1344">
        <f>[1]发票导入!U1344&amp;""</f>
      </c>
      <c r="V1344">
        <f>[1]发票导入!V1344&amp;""</f>
      </c>
      <c r="W1344">
        <f>[1]发票导入!W1344&amp;""</f>
      </c>
      <c r="Y1344">
        <f>[1]发票导入!Y1344&amp;""</f>
      </c>
      <c r="AA1344">
        <f>[1]发票导入!AA1344&amp;""</f>
      </c>
      <c r="AB1344">
        <f>[1]发票导入!AB1344</f>
        <v>0</v>
      </c>
      <c r="AC1344">
        <f>[1]发票导入!AC1344</f>
        <v>0</v>
      </c>
      <c r="AE1344" s="22">
        <f t="shared" si="0"/>
      </c>
      <c r="AI1344">
        <f>[1]发票导入!AI1344&amp;""</f>
      </c>
      <c r="AJ1344">
        <f>[1]发票导入!AJ1344&amp;""</f>
      </c>
      <c r="AK1344">
        <f>[1]发票导入!AK1344</f>
        <v>0</v>
      </c>
      <c r="AL1344">
        <f>[1]发票导入!AL1344</f>
        <v>0</v>
      </c>
      <c r="AM1344">
        <f>[1]发票导入!AM1344</f>
        <v>0</v>
      </c>
      <c r="AN1344" s="22">
        <f t="shared" si="1"/>
        <v>0</v>
      </c>
      <c r="AO1344" s="22">
        <f t="shared" si="2"/>
        <v>0</v>
      </c>
    </row>
    <row r="1345">
      <c r="C1345">
        <f>[1]发票导入!C1345&amp;""</f>
      </c>
      <c r="D1345">
        <f>[1]发票导入!D1345&amp;""</f>
      </c>
      <c r="O1345">
        <f>[1]发票导入!O1345&amp;""</f>
      </c>
      <c r="T1345">
        <f>[1]发票导入!T1345</f>
      </c>
      <c r="U1345">
        <f>[1]发票导入!U1345&amp;""</f>
      </c>
      <c r="V1345">
        <f>[1]发票导入!V1345&amp;""</f>
      </c>
      <c r="W1345">
        <f>[1]发票导入!W1345&amp;""</f>
      </c>
      <c r="Y1345">
        <f>[1]发票导入!Y1345&amp;""</f>
      </c>
      <c r="AA1345">
        <f>[1]发票导入!AA1345&amp;""</f>
      </c>
      <c r="AB1345">
        <f>[1]发票导入!AB1345</f>
        <v>0</v>
      </c>
      <c r="AC1345">
        <f>[1]发票导入!AC1345</f>
        <v>0</v>
      </c>
      <c r="AE1345" s="22">
        <f t="shared" si="0"/>
      </c>
      <c r="AI1345">
        <f>[1]发票导入!AI1345&amp;""</f>
      </c>
      <c r="AJ1345">
        <f>[1]发票导入!AJ1345&amp;""</f>
      </c>
      <c r="AK1345">
        <f>[1]发票导入!AK1345</f>
        <v>0</v>
      </c>
      <c r="AL1345">
        <f>[1]发票导入!AL1345</f>
        <v>0</v>
      </c>
      <c r="AM1345">
        <f>[1]发票导入!AM1345</f>
        <v>0</v>
      </c>
      <c r="AN1345" s="22">
        <f t="shared" si="1"/>
        <v>0</v>
      </c>
      <c r="AO1345" s="22">
        <f t="shared" si="2"/>
        <v>0</v>
      </c>
    </row>
    <row r="1346">
      <c r="C1346">
        <f>[1]发票导入!C1346&amp;""</f>
      </c>
      <c r="D1346">
        <f>[1]发票导入!D1346&amp;""</f>
      </c>
      <c r="O1346">
        <f>[1]发票导入!O1346&amp;""</f>
      </c>
      <c r="T1346">
        <f>[1]发票导入!T1346</f>
      </c>
      <c r="U1346">
        <f>[1]发票导入!U1346&amp;""</f>
      </c>
      <c r="V1346">
        <f>[1]发票导入!V1346&amp;""</f>
      </c>
      <c r="W1346">
        <f>[1]发票导入!W1346&amp;""</f>
      </c>
      <c r="Y1346">
        <f>[1]发票导入!Y1346&amp;""</f>
      </c>
      <c r="AA1346">
        <f>[1]发票导入!AA1346&amp;""</f>
      </c>
      <c r="AB1346">
        <f>[1]发票导入!AB1346</f>
        <v>0</v>
      </c>
      <c r="AC1346">
        <f>[1]发票导入!AC1346</f>
        <v>0</v>
      </c>
      <c r="AE1346" s="22">
        <f t="shared" si="0"/>
      </c>
      <c r="AI1346">
        <f>[1]发票导入!AI1346&amp;""</f>
      </c>
      <c r="AJ1346">
        <f>[1]发票导入!AJ1346&amp;""</f>
      </c>
      <c r="AK1346">
        <f>[1]发票导入!AK1346</f>
        <v>0</v>
      </c>
      <c r="AL1346">
        <f>[1]发票导入!AL1346</f>
        <v>0</v>
      </c>
      <c r="AM1346">
        <f>[1]发票导入!AM1346</f>
        <v>0</v>
      </c>
      <c r="AN1346" s="22">
        <f t="shared" si="1"/>
        <v>0</v>
      </c>
      <c r="AO1346" s="22">
        <f t="shared" si="2"/>
        <v>0</v>
      </c>
    </row>
    <row r="1347">
      <c r="C1347">
        <f>[1]发票导入!C1347&amp;""</f>
      </c>
      <c r="D1347">
        <f>[1]发票导入!D1347&amp;""</f>
      </c>
      <c r="O1347">
        <f>[1]发票导入!O1347&amp;""</f>
      </c>
      <c r="T1347">
        <f>[1]发票导入!T1347</f>
      </c>
      <c r="U1347">
        <f>[1]发票导入!U1347&amp;""</f>
      </c>
      <c r="V1347">
        <f>[1]发票导入!V1347&amp;""</f>
      </c>
      <c r="W1347">
        <f>[1]发票导入!W1347&amp;""</f>
      </c>
      <c r="Y1347">
        <f>[1]发票导入!Y1347&amp;""</f>
      </c>
      <c r="AA1347">
        <f>[1]发票导入!AA1347&amp;""</f>
      </c>
      <c r="AB1347">
        <f>[1]发票导入!AB1347</f>
        <v>0</v>
      </c>
      <c r="AC1347">
        <f>[1]发票导入!AC1347</f>
        <v>0</v>
      </c>
      <c r="AE1347" s="22">
        <f t="shared" si="0"/>
      </c>
      <c r="AI1347">
        <f>[1]发票导入!AI1347&amp;""</f>
      </c>
      <c r="AJ1347">
        <f>[1]发票导入!AJ1347&amp;""</f>
      </c>
      <c r="AK1347">
        <f>[1]发票导入!AK1347</f>
        <v>0</v>
      </c>
      <c r="AL1347">
        <f>[1]发票导入!AL1347</f>
        <v>0</v>
      </c>
      <c r="AM1347">
        <f>[1]发票导入!AM1347</f>
        <v>0</v>
      </c>
      <c r="AN1347" s="22">
        <f t="shared" si="1"/>
        <v>0</v>
      </c>
      <c r="AO1347" s="22">
        <f t="shared" si="2"/>
        <v>0</v>
      </c>
    </row>
    <row r="1348">
      <c r="C1348">
        <f>[1]发票导入!C1348&amp;""</f>
      </c>
      <c r="D1348">
        <f>[1]发票导入!D1348&amp;""</f>
      </c>
      <c r="O1348">
        <f>[1]发票导入!O1348&amp;""</f>
      </c>
      <c r="T1348">
        <f>[1]发票导入!T1348</f>
      </c>
      <c r="U1348">
        <f>[1]发票导入!U1348&amp;""</f>
      </c>
      <c r="V1348">
        <f>[1]发票导入!V1348&amp;""</f>
      </c>
      <c r="W1348">
        <f>[1]发票导入!W1348&amp;""</f>
      </c>
      <c r="Y1348">
        <f>[1]发票导入!Y1348&amp;""</f>
      </c>
      <c r="AA1348">
        <f>[1]发票导入!AA1348&amp;""</f>
      </c>
      <c r="AB1348">
        <f>[1]发票导入!AB1348</f>
        <v>0</v>
      </c>
      <c r="AC1348">
        <f>[1]发票导入!AC1348</f>
        <v>0</v>
      </c>
      <c r="AE1348" s="22">
        <f t="shared" si="0"/>
      </c>
      <c r="AI1348">
        <f>[1]发票导入!AI1348&amp;""</f>
      </c>
      <c r="AJ1348">
        <f>[1]发票导入!AJ1348&amp;""</f>
      </c>
      <c r="AK1348">
        <f>[1]发票导入!AK1348</f>
        <v>0</v>
      </c>
      <c r="AL1348">
        <f>[1]发票导入!AL1348</f>
        <v>0</v>
      </c>
      <c r="AM1348">
        <f>[1]发票导入!AM1348</f>
        <v>0</v>
      </c>
      <c r="AN1348" s="22">
        <f t="shared" si="1"/>
        <v>0</v>
      </c>
      <c r="AO1348" s="22">
        <f t="shared" si="2"/>
        <v>0</v>
      </c>
    </row>
    <row r="1349">
      <c r="C1349">
        <f>[1]发票导入!C1349&amp;""</f>
      </c>
      <c r="D1349">
        <f>[1]发票导入!D1349&amp;""</f>
      </c>
      <c r="O1349">
        <f>[1]发票导入!O1349&amp;""</f>
      </c>
      <c r="T1349">
        <f>[1]发票导入!T1349</f>
      </c>
      <c r="U1349">
        <f>[1]发票导入!U1349&amp;""</f>
      </c>
      <c r="V1349">
        <f>[1]发票导入!V1349&amp;""</f>
      </c>
      <c r="W1349">
        <f>[1]发票导入!W1349&amp;""</f>
      </c>
      <c r="Y1349">
        <f>[1]发票导入!Y1349&amp;""</f>
      </c>
      <c r="AA1349">
        <f>[1]发票导入!AA1349&amp;""</f>
      </c>
      <c r="AB1349">
        <f>[1]发票导入!AB1349</f>
        <v>0</v>
      </c>
      <c r="AC1349">
        <f>[1]发票导入!AC1349</f>
        <v>0</v>
      </c>
      <c r="AE1349" s="22">
        <f t="shared" si="0"/>
      </c>
      <c r="AI1349">
        <f>[1]发票导入!AI1349&amp;""</f>
      </c>
      <c r="AJ1349">
        <f>[1]发票导入!AJ1349&amp;""</f>
      </c>
      <c r="AK1349">
        <f>[1]发票导入!AK1349</f>
        <v>0</v>
      </c>
      <c r="AL1349">
        <f>[1]发票导入!AL1349</f>
        <v>0</v>
      </c>
      <c r="AM1349">
        <f>[1]发票导入!AM1349</f>
        <v>0</v>
      </c>
      <c r="AN1349" s="22">
        <f t="shared" si="1"/>
        <v>0</v>
      </c>
      <c r="AO1349" s="22">
        <f t="shared" si="2"/>
        <v>0</v>
      </c>
    </row>
    <row r="1350">
      <c r="C1350">
        <f>[1]发票导入!C1350&amp;""</f>
      </c>
      <c r="D1350">
        <f>[1]发票导入!D1350&amp;""</f>
      </c>
      <c r="O1350">
        <f>[1]发票导入!O1350&amp;""</f>
      </c>
      <c r="T1350">
        <f>[1]发票导入!T1350</f>
      </c>
      <c r="U1350">
        <f>[1]发票导入!U1350&amp;""</f>
      </c>
      <c r="V1350">
        <f>[1]发票导入!V1350&amp;""</f>
      </c>
      <c r="W1350">
        <f>[1]发票导入!W1350&amp;""</f>
      </c>
      <c r="Y1350">
        <f>[1]发票导入!Y1350&amp;""</f>
      </c>
      <c r="AA1350">
        <f>[1]发票导入!AA1350&amp;""</f>
      </c>
      <c r="AB1350">
        <f>[1]发票导入!AB1350</f>
        <v>0</v>
      </c>
      <c r="AC1350">
        <f>[1]发票导入!AC1350</f>
        <v>0</v>
      </c>
      <c r="AE1350" s="22">
        <f t="shared" si="0"/>
      </c>
      <c r="AI1350">
        <f>[1]发票导入!AI1350&amp;""</f>
      </c>
      <c r="AJ1350">
        <f>[1]发票导入!AJ1350&amp;""</f>
      </c>
      <c r="AK1350">
        <f>[1]发票导入!AK1350</f>
        <v>0</v>
      </c>
      <c r="AL1350">
        <f>[1]发票导入!AL1350</f>
        <v>0</v>
      </c>
      <c r="AM1350">
        <f>[1]发票导入!AM1350</f>
        <v>0</v>
      </c>
      <c r="AN1350" s="22">
        <f t="shared" si="1"/>
        <v>0</v>
      </c>
      <c r="AO1350" s="22">
        <f t="shared" si="2"/>
        <v>0</v>
      </c>
    </row>
    <row r="1351">
      <c r="C1351">
        <f>[1]发票导入!C1351&amp;""</f>
      </c>
      <c r="D1351">
        <f>[1]发票导入!D1351&amp;""</f>
      </c>
      <c r="O1351">
        <f>[1]发票导入!O1351&amp;""</f>
      </c>
      <c r="T1351">
        <f>[1]发票导入!T1351</f>
      </c>
      <c r="U1351">
        <f>[1]发票导入!U1351&amp;""</f>
      </c>
      <c r="V1351">
        <f>[1]发票导入!V1351&amp;""</f>
      </c>
      <c r="W1351">
        <f>[1]发票导入!W1351&amp;""</f>
      </c>
      <c r="Y1351">
        <f>[1]发票导入!Y1351&amp;""</f>
      </c>
      <c r="AA1351">
        <f>[1]发票导入!AA1351&amp;""</f>
      </c>
      <c r="AB1351">
        <f>[1]发票导入!AB1351</f>
        <v>0</v>
      </c>
      <c r="AC1351">
        <f>[1]发票导入!AC1351</f>
        <v>0</v>
      </c>
      <c r="AE1351" s="22">
        <f t="shared" si="0"/>
      </c>
      <c r="AI1351">
        <f>[1]发票导入!AI1351&amp;""</f>
      </c>
      <c r="AJ1351">
        <f>[1]发票导入!AJ1351&amp;""</f>
      </c>
      <c r="AK1351">
        <f>[1]发票导入!AK1351</f>
        <v>0</v>
      </c>
      <c r="AL1351">
        <f>[1]发票导入!AL1351</f>
        <v>0</v>
      </c>
      <c r="AM1351">
        <f>[1]发票导入!AM1351</f>
        <v>0</v>
      </c>
      <c r="AN1351" s="22">
        <f t="shared" si="1"/>
        <v>0</v>
      </c>
      <c r="AO1351" s="22">
        <f t="shared" si="2"/>
        <v>0</v>
      </c>
    </row>
    <row r="1352">
      <c r="C1352">
        <f>[1]发票导入!C1352&amp;""</f>
      </c>
      <c r="D1352">
        <f>[1]发票导入!D1352&amp;""</f>
      </c>
      <c r="O1352">
        <f>[1]发票导入!O1352&amp;""</f>
      </c>
      <c r="T1352">
        <f>[1]发票导入!T1352</f>
      </c>
      <c r="U1352">
        <f>[1]发票导入!U1352&amp;""</f>
      </c>
      <c r="V1352">
        <f>[1]发票导入!V1352&amp;""</f>
      </c>
      <c r="W1352">
        <f>[1]发票导入!W1352&amp;""</f>
      </c>
      <c r="Y1352">
        <f>[1]发票导入!Y1352&amp;""</f>
      </c>
      <c r="AA1352">
        <f>[1]发票导入!AA1352&amp;""</f>
      </c>
      <c r="AB1352">
        <f>[1]发票导入!AB1352</f>
        <v>0</v>
      </c>
      <c r="AC1352">
        <f>[1]发票导入!AC1352</f>
        <v>0</v>
      </c>
      <c r="AE1352" s="22">
        <f t="shared" si="0"/>
      </c>
      <c r="AI1352">
        <f>[1]发票导入!AI1352&amp;""</f>
      </c>
      <c r="AJ1352">
        <f>[1]发票导入!AJ1352&amp;""</f>
      </c>
      <c r="AK1352">
        <f>[1]发票导入!AK1352</f>
        <v>0</v>
      </c>
      <c r="AL1352">
        <f>[1]发票导入!AL1352</f>
        <v>0</v>
      </c>
      <c r="AM1352">
        <f>[1]发票导入!AM1352</f>
        <v>0</v>
      </c>
      <c r="AN1352" s="22">
        <f t="shared" si="1"/>
        <v>0</v>
      </c>
      <c r="AO1352" s="22">
        <f t="shared" si="2"/>
        <v>0</v>
      </c>
    </row>
    <row r="1353">
      <c r="C1353">
        <f>[1]发票导入!C1353&amp;""</f>
      </c>
      <c r="D1353">
        <f>[1]发票导入!D1353&amp;""</f>
      </c>
      <c r="O1353">
        <f>[1]发票导入!O1353&amp;""</f>
      </c>
      <c r="T1353">
        <f>[1]发票导入!T1353</f>
      </c>
      <c r="U1353">
        <f>[1]发票导入!U1353&amp;""</f>
      </c>
      <c r="V1353">
        <f>[1]发票导入!V1353&amp;""</f>
      </c>
      <c r="W1353">
        <f>[1]发票导入!W1353&amp;""</f>
      </c>
      <c r="Y1353">
        <f>[1]发票导入!Y1353&amp;""</f>
      </c>
      <c r="AA1353">
        <f>[1]发票导入!AA1353&amp;""</f>
      </c>
      <c r="AB1353">
        <f>[1]发票导入!AB1353</f>
        <v>0</v>
      </c>
      <c r="AC1353">
        <f>[1]发票导入!AC1353</f>
        <v>0</v>
      </c>
      <c r="AE1353" s="22">
        <f t="shared" si="0"/>
      </c>
      <c r="AI1353">
        <f>[1]发票导入!AI1353&amp;""</f>
      </c>
      <c r="AJ1353">
        <f>[1]发票导入!AJ1353&amp;""</f>
      </c>
      <c r="AK1353">
        <f>[1]发票导入!AK1353</f>
        <v>0</v>
      </c>
      <c r="AL1353">
        <f>[1]发票导入!AL1353</f>
        <v>0</v>
      </c>
      <c r="AM1353">
        <f>[1]发票导入!AM1353</f>
        <v>0</v>
      </c>
      <c r="AN1353" s="22">
        <f t="shared" si="1"/>
        <v>0</v>
      </c>
      <c r="AO1353" s="22">
        <f t="shared" si="2"/>
        <v>0</v>
      </c>
    </row>
    <row r="1354">
      <c r="C1354">
        <f>[1]发票导入!C1354&amp;""</f>
      </c>
      <c r="D1354">
        <f>[1]发票导入!D1354&amp;""</f>
      </c>
      <c r="O1354">
        <f>[1]发票导入!O1354&amp;""</f>
      </c>
      <c r="T1354">
        <f>[1]发票导入!T1354</f>
      </c>
      <c r="U1354">
        <f>[1]发票导入!U1354&amp;""</f>
      </c>
      <c r="V1354">
        <f>[1]发票导入!V1354&amp;""</f>
      </c>
      <c r="W1354">
        <f>[1]发票导入!W1354&amp;""</f>
      </c>
      <c r="Y1354">
        <f>[1]发票导入!Y1354&amp;""</f>
      </c>
      <c r="AA1354">
        <f>[1]发票导入!AA1354&amp;""</f>
      </c>
      <c r="AB1354">
        <f>[1]发票导入!AB1354</f>
        <v>0</v>
      </c>
      <c r="AC1354">
        <f>[1]发票导入!AC1354</f>
        <v>0</v>
      </c>
      <c r="AE1354" s="22">
        <f t="shared" si="0"/>
      </c>
      <c r="AI1354">
        <f>[1]发票导入!AI1354&amp;""</f>
      </c>
      <c r="AJ1354">
        <f>[1]发票导入!AJ1354&amp;""</f>
      </c>
      <c r="AK1354">
        <f>[1]发票导入!AK1354</f>
        <v>0</v>
      </c>
      <c r="AL1354">
        <f>[1]发票导入!AL1354</f>
        <v>0</v>
      </c>
      <c r="AM1354">
        <f>[1]发票导入!AM1354</f>
        <v>0</v>
      </c>
      <c r="AN1354" s="22">
        <f t="shared" si="1"/>
        <v>0</v>
      </c>
      <c r="AO1354" s="22">
        <f t="shared" si="2"/>
        <v>0</v>
      </c>
    </row>
    <row r="1355">
      <c r="C1355">
        <f>[1]发票导入!C1355&amp;""</f>
      </c>
      <c r="D1355">
        <f>[1]发票导入!D1355&amp;""</f>
      </c>
      <c r="O1355">
        <f>[1]发票导入!O1355&amp;""</f>
      </c>
      <c r="T1355">
        <f>[1]发票导入!T1355</f>
      </c>
      <c r="U1355">
        <f>[1]发票导入!U1355&amp;""</f>
      </c>
      <c r="V1355">
        <f>[1]发票导入!V1355&amp;""</f>
      </c>
      <c r="W1355">
        <f>[1]发票导入!W1355&amp;""</f>
      </c>
      <c r="Y1355">
        <f>[1]发票导入!Y1355&amp;""</f>
      </c>
      <c r="AA1355">
        <f>[1]发票导入!AA1355&amp;""</f>
      </c>
      <c r="AB1355">
        <f>[1]发票导入!AB1355</f>
        <v>0</v>
      </c>
      <c r="AC1355">
        <f>[1]发票导入!AC1355</f>
        <v>0</v>
      </c>
      <c r="AE1355" s="22">
        <f t="shared" si="0"/>
      </c>
      <c r="AI1355">
        <f>[1]发票导入!AI1355&amp;""</f>
      </c>
      <c r="AJ1355">
        <f>[1]发票导入!AJ1355&amp;""</f>
      </c>
      <c r="AK1355">
        <f>[1]发票导入!AK1355</f>
        <v>0</v>
      </c>
      <c r="AL1355">
        <f>[1]发票导入!AL1355</f>
        <v>0</v>
      </c>
      <c r="AM1355">
        <f>[1]发票导入!AM1355</f>
        <v>0</v>
      </c>
      <c r="AN1355" s="22">
        <f t="shared" si="1"/>
        <v>0</v>
      </c>
      <c r="AO1355" s="22">
        <f t="shared" si="2"/>
        <v>0</v>
      </c>
    </row>
    <row r="1356">
      <c r="C1356">
        <f>[1]发票导入!C1356&amp;""</f>
      </c>
      <c r="D1356">
        <f>[1]发票导入!D1356&amp;""</f>
      </c>
      <c r="O1356">
        <f>[1]发票导入!O1356&amp;""</f>
      </c>
      <c r="T1356">
        <f>[1]发票导入!T1356</f>
      </c>
      <c r="U1356">
        <f>[1]发票导入!U1356&amp;""</f>
      </c>
      <c r="V1356">
        <f>[1]发票导入!V1356&amp;""</f>
      </c>
      <c r="W1356">
        <f>[1]发票导入!W1356&amp;""</f>
      </c>
      <c r="Y1356">
        <f>[1]发票导入!Y1356&amp;""</f>
      </c>
      <c r="AA1356">
        <f>[1]发票导入!AA1356&amp;""</f>
      </c>
      <c r="AB1356">
        <f>[1]发票导入!AB1356</f>
        <v>0</v>
      </c>
      <c r="AC1356">
        <f>[1]发票导入!AC1356</f>
        <v>0</v>
      </c>
      <c r="AE1356" s="22">
        <f t="shared" si="0"/>
      </c>
      <c r="AI1356">
        <f>[1]发票导入!AI1356&amp;""</f>
      </c>
      <c r="AJ1356">
        <f>[1]发票导入!AJ1356&amp;""</f>
      </c>
      <c r="AK1356">
        <f>[1]发票导入!AK1356</f>
        <v>0</v>
      </c>
      <c r="AL1356">
        <f>[1]发票导入!AL1356</f>
        <v>0</v>
      </c>
      <c r="AM1356">
        <f>[1]发票导入!AM1356</f>
        <v>0</v>
      </c>
      <c r="AN1356" s="22">
        <f t="shared" si="1"/>
        <v>0</v>
      </c>
      <c r="AO1356" s="22">
        <f t="shared" si="2"/>
        <v>0</v>
      </c>
    </row>
    <row r="1357">
      <c r="C1357">
        <f>[1]发票导入!C1357&amp;""</f>
      </c>
      <c r="D1357">
        <f>[1]发票导入!D1357&amp;""</f>
      </c>
      <c r="O1357">
        <f>[1]发票导入!O1357&amp;""</f>
      </c>
      <c r="T1357">
        <f>[1]发票导入!T1357</f>
      </c>
      <c r="U1357">
        <f>[1]发票导入!U1357&amp;""</f>
      </c>
      <c r="V1357">
        <f>[1]发票导入!V1357&amp;""</f>
      </c>
      <c r="W1357">
        <f>[1]发票导入!W1357&amp;""</f>
      </c>
      <c r="Y1357">
        <f>[1]发票导入!Y1357&amp;""</f>
      </c>
      <c r="AA1357">
        <f>[1]发票导入!AA1357&amp;""</f>
      </c>
      <c r="AB1357">
        <f>[1]发票导入!AB1357</f>
        <v>0</v>
      </c>
      <c r="AC1357">
        <f>[1]发票导入!AC1357</f>
        <v>0</v>
      </c>
      <c r="AE1357" s="22">
        <f t="shared" si="0"/>
      </c>
      <c r="AI1357">
        <f>[1]发票导入!AI1357&amp;""</f>
      </c>
      <c r="AJ1357">
        <f>[1]发票导入!AJ1357&amp;""</f>
      </c>
      <c r="AK1357">
        <f>[1]发票导入!AK1357</f>
        <v>0</v>
      </c>
      <c r="AL1357">
        <f>[1]发票导入!AL1357</f>
        <v>0</v>
      </c>
      <c r="AM1357">
        <f>[1]发票导入!AM1357</f>
        <v>0</v>
      </c>
      <c r="AN1357" s="22">
        <f t="shared" si="1"/>
        <v>0</v>
      </c>
      <c r="AO1357" s="22">
        <f t="shared" si="2"/>
        <v>0</v>
      </c>
    </row>
    <row r="1358">
      <c r="C1358">
        <f>[1]发票导入!C1358&amp;""</f>
      </c>
      <c r="D1358">
        <f>[1]发票导入!D1358&amp;""</f>
      </c>
      <c r="O1358">
        <f>[1]发票导入!O1358&amp;""</f>
      </c>
      <c r="T1358">
        <f>[1]发票导入!T1358</f>
      </c>
      <c r="U1358">
        <f>[1]发票导入!U1358&amp;""</f>
      </c>
      <c r="V1358">
        <f>[1]发票导入!V1358&amp;""</f>
      </c>
      <c r="W1358">
        <f>[1]发票导入!W1358&amp;""</f>
      </c>
      <c r="Y1358">
        <f>[1]发票导入!Y1358&amp;""</f>
      </c>
      <c r="AA1358">
        <f>[1]发票导入!AA1358&amp;""</f>
      </c>
      <c r="AB1358">
        <f>[1]发票导入!AB1358</f>
        <v>0</v>
      </c>
      <c r="AC1358">
        <f>[1]发票导入!AC1358</f>
        <v>0</v>
      </c>
      <c r="AE1358" s="22">
        <f t="shared" si="0"/>
      </c>
      <c r="AI1358">
        <f>[1]发票导入!AI1358&amp;""</f>
      </c>
      <c r="AJ1358">
        <f>[1]发票导入!AJ1358&amp;""</f>
      </c>
      <c r="AK1358">
        <f>[1]发票导入!AK1358</f>
        <v>0</v>
      </c>
      <c r="AL1358">
        <f>[1]发票导入!AL1358</f>
        <v>0</v>
      </c>
      <c r="AM1358">
        <f>[1]发票导入!AM1358</f>
        <v>0</v>
      </c>
      <c r="AN1358" s="22">
        <f t="shared" si="1"/>
        <v>0</v>
      </c>
      <c r="AO1358" s="22">
        <f t="shared" si="2"/>
        <v>0</v>
      </c>
    </row>
    <row r="1359">
      <c r="C1359">
        <f>[1]发票导入!C1359&amp;""</f>
      </c>
      <c r="D1359">
        <f>[1]发票导入!D1359&amp;""</f>
      </c>
      <c r="O1359">
        <f>[1]发票导入!O1359&amp;""</f>
      </c>
      <c r="T1359">
        <f>[1]发票导入!T1359</f>
      </c>
      <c r="U1359">
        <f>[1]发票导入!U1359&amp;""</f>
      </c>
      <c r="V1359">
        <f>[1]发票导入!V1359&amp;""</f>
      </c>
      <c r="W1359">
        <f>[1]发票导入!W1359&amp;""</f>
      </c>
      <c r="Y1359">
        <f>[1]发票导入!Y1359&amp;""</f>
      </c>
      <c r="AA1359">
        <f>[1]发票导入!AA1359&amp;""</f>
      </c>
      <c r="AB1359">
        <f>[1]发票导入!AB1359</f>
        <v>0</v>
      </c>
      <c r="AC1359">
        <f>[1]发票导入!AC1359</f>
        <v>0</v>
      </c>
      <c r="AE1359" s="22">
        <f t="shared" si="0"/>
      </c>
      <c r="AI1359">
        <f>[1]发票导入!AI1359&amp;""</f>
      </c>
      <c r="AJ1359">
        <f>[1]发票导入!AJ1359&amp;""</f>
      </c>
      <c r="AK1359">
        <f>[1]发票导入!AK1359</f>
        <v>0</v>
      </c>
      <c r="AL1359">
        <f>[1]发票导入!AL1359</f>
        <v>0</v>
      </c>
      <c r="AM1359">
        <f>[1]发票导入!AM1359</f>
        <v>0</v>
      </c>
      <c r="AN1359" s="22">
        <f t="shared" si="1"/>
        <v>0</v>
      </c>
      <c r="AO1359" s="22">
        <f t="shared" si="2"/>
        <v>0</v>
      </c>
    </row>
    <row r="1360">
      <c r="C1360">
        <f>[1]发票导入!C1360&amp;""</f>
      </c>
      <c r="D1360">
        <f>[1]发票导入!D1360&amp;""</f>
      </c>
      <c r="O1360">
        <f>[1]发票导入!O1360&amp;""</f>
      </c>
      <c r="T1360">
        <f>[1]发票导入!T1360</f>
      </c>
      <c r="U1360">
        <f>[1]发票导入!U1360&amp;""</f>
      </c>
      <c r="V1360">
        <f>[1]发票导入!V1360&amp;""</f>
      </c>
      <c r="W1360">
        <f>[1]发票导入!W1360&amp;""</f>
      </c>
      <c r="Y1360">
        <f>[1]发票导入!Y1360&amp;""</f>
      </c>
      <c r="AA1360">
        <f>[1]发票导入!AA1360&amp;""</f>
      </c>
      <c r="AB1360">
        <f>[1]发票导入!AB1360</f>
        <v>0</v>
      </c>
      <c r="AC1360">
        <f>[1]发票导入!AC1360</f>
        <v>0</v>
      </c>
      <c r="AE1360" s="22">
        <f t="shared" si="0"/>
      </c>
      <c r="AI1360">
        <f>[1]发票导入!AI1360&amp;""</f>
      </c>
      <c r="AJ1360">
        <f>[1]发票导入!AJ1360&amp;""</f>
      </c>
      <c r="AK1360">
        <f>[1]发票导入!AK1360</f>
        <v>0</v>
      </c>
      <c r="AL1360">
        <f>[1]发票导入!AL1360</f>
        <v>0</v>
      </c>
      <c r="AM1360">
        <f>[1]发票导入!AM1360</f>
        <v>0</v>
      </c>
      <c r="AN1360" s="22">
        <f t="shared" si="1"/>
        <v>0</v>
      </c>
      <c r="AO1360" s="22">
        <f t="shared" si="2"/>
        <v>0</v>
      </c>
    </row>
    <row r="1361">
      <c r="C1361">
        <f>[1]发票导入!C1361&amp;""</f>
      </c>
      <c r="D1361">
        <f>[1]发票导入!D1361&amp;""</f>
      </c>
      <c r="O1361">
        <f>[1]发票导入!O1361&amp;""</f>
      </c>
      <c r="T1361">
        <f>[1]发票导入!T1361</f>
      </c>
      <c r="U1361">
        <f>[1]发票导入!U1361&amp;""</f>
      </c>
      <c r="V1361">
        <f>[1]发票导入!V1361&amp;""</f>
      </c>
      <c r="W1361">
        <f>[1]发票导入!W1361&amp;""</f>
      </c>
      <c r="Y1361">
        <f>[1]发票导入!Y1361&amp;""</f>
      </c>
      <c r="AA1361">
        <f>[1]发票导入!AA1361&amp;""</f>
      </c>
      <c r="AB1361">
        <f>[1]发票导入!AB1361</f>
        <v>0</v>
      </c>
      <c r="AC1361">
        <f>[1]发票导入!AC1361</f>
        <v>0</v>
      </c>
      <c r="AE1361" s="22">
        <f t="shared" si="0"/>
      </c>
      <c r="AI1361">
        <f>[1]发票导入!AI1361&amp;""</f>
      </c>
      <c r="AJ1361">
        <f>[1]发票导入!AJ1361&amp;""</f>
      </c>
      <c r="AK1361">
        <f>[1]发票导入!AK1361</f>
        <v>0</v>
      </c>
      <c r="AL1361">
        <f>[1]发票导入!AL1361</f>
        <v>0</v>
      </c>
      <c r="AM1361">
        <f>[1]发票导入!AM1361</f>
        <v>0</v>
      </c>
      <c r="AN1361" s="22">
        <f t="shared" si="1"/>
        <v>0</v>
      </c>
      <c r="AO1361" s="22">
        <f t="shared" si="2"/>
        <v>0</v>
      </c>
    </row>
    <row r="1362">
      <c r="C1362">
        <f>[1]发票导入!C1362&amp;""</f>
      </c>
      <c r="D1362">
        <f>[1]发票导入!D1362&amp;""</f>
      </c>
      <c r="O1362">
        <f>[1]发票导入!O1362&amp;""</f>
      </c>
      <c r="T1362">
        <f>[1]发票导入!T1362</f>
      </c>
      <c r="U1362">
        <f>[1]发票导入!U1362&amp;""</f>
      </c>
      <c r="V1362">
        <f>[1]发票导入!V1362&amp;""</f>
      </c>
      <c r="W1362">
        <f>[1]发票导入!W1362&amp;""</f>
      </c>
      <c r="Y1362">
        <f>[1]发票导入!Y1362&amp;""</f>
      </c>
      <c r="AA1362">
        <f>[1]发票导入!AA1362&amp;""</f>
      </c>
      <c r="AB1362">
        <f>[1]发票导入!AB1362</f>
        <v>0</v>
      </c>
      <c r="AC1362">
        <f>[1]发票导入!AC1362</f>
        <v>0</v>
      </c>
      <c r="AE1362" s="22">
        <f t="shared" si="0"/>
      </c>
      <c r="AI1362">
        <f>[1]发票导入!AI1362&amp;""</f>
      </c>
      <c r="AJ1362">
        <f>[1]发票导入!AJ1362&amp;""</f>
      </c>
      <c r="AK1362">
        <f>[1]发票导入!AK1362</f>
        <v>0</v>
      </c>
      <c r="AL1362">
        <f>[1]发票导入!AL1362</f>
        <v>0</v>
      </c>
      <c r="AM1362">
        <f>[1]发票导入!AM1362</f>
        <v>0</v>
      </c>
      <c r="AN1362" s="22">
        <f t="shared" si="1"/>
        <v>0</v>
      </c>
      <c r="AO1362" s="22">
        <f t="shared" si="2"/>
        <v>0</v>
      </c>
    </row>
    <row r="1363">
      <c r="C1363">
        <f>[1]发票导入!C1363&amp;""</f>
      </c>
      <c r="D1363">
        <f>[1]发票导入!D1363&amp;""</f>
      </c>
      <c r="O1363">
        <f>[1]发票导入!O1363&amp;""</f>
      </c>
      <c r="T1363">
        <f>[1]发票导入!T1363</f>
      </c>
      <c r="U1363">
        <f>[1]发票导入!U1363&amp;""</f>
      </c>
      <c r="V1363">
        <f>[1]发票导入!V1363&amp;""</f>
      </c>
      <c r="W1363">
        <f>[1]发票导入!W1363&amp;""</f>
      </c>
      <c r="Y1363">
        <f>[1]发票导入!Y1363&amp;""</f>
      </c>
      <c r="AA1363">
        <f>[1]发票导入!AA1363&amp;""</f>
      </c>
      <c r="AB1363">
        <f>[1]发票导入!AB1363</f>
        <v>0</v>
      </c>
      <c r="AC1363">
        <f>[1]发票导入!AC1363</f>
        <v>0</v>
      </c>
      <c r="AE1363" s="22">
        <f t="shared" si="0"/>
      </c>
      <c r="AI1363">
        <f>[1]发票导入!AI1363&amp;""</f>
      </c>
      <c r="AJ1363">
        <f>[1]发票导入!AJ1363&amp;""</f>
      </c>
      <c r="AK1363">
        <f>[1]发票导入!AK1363</f>
        <v>0</v>
      </c>
      <c r="AL1363">
        <f>[1]发票导入!AL1363</f>
        <v>0</v>
      </c>
      <c r="AM1363">
        <f>[1]发票导入!AM1363</f>
        <v>0</v>
      </c>
      <c r="AN1363" s="22">
        <f t="shared" si="1"/>
        <v>0</v>
      </c>
      <c r="AO1363" s="22">
        <f t="shared" si="2"/>
        <v>0</v>
      </c>
    </row>
    <row r="1364">
      <c r="C1364">
        <f>[1]发票导入!C1364&amp;""</f>
      </c>
      <c r="D1364">
        <f>[1]发票导入!D1364&amp;""</f>
      </c>
      <c r="O1364">
        <f>[1]发票导入!O1364&amp;""</f>
      </c>
      <c r="T1364">
        <f>[1]发票导入!T1364</f>
      </c>
      <c r="U1364">
        <f>[1]发票导入!U1364&amp;""</f>
      </c>
      <c r="V1364">
        <f>[1]发票导入!V1364&amp;""</f>
      </c>
      <c r="W1364">
        <f>[1]发票导入!W1364&amp;""</f>
      </c>
      <c r="Y1364">
        <f>[1]发票导入!Y1364&amp;""</f>
      </c>
      <c r="AA1364">
        <f>[1]发票导入!AA1364&amp;""</f>
      </c>
      <c r="AB1364">
        <f>[1]发票导入!AB1364</f>
        <v>0</v>
      </c>
      <c r="AC1364">
        <f>[1]发票导入!AC1364</f>
        <v>0</v>
      </c>
      <c r="AE1364" s="22">
        <f t="shared" si="0"/>
      </c>
      <c r="AI1364">
        <f>[1]发票导入!AI1364&amp;""</f>
      </c>
      <c r="AJ1364">
        <f>[1]发票导入!AJ1364&amp;""</f>
      </c>
      <c r="AK1364">
        <f>[1]发票导入!AK1364</f>
        <v>0</v>
      </c>
      <c r="AL1364">
        <f>[1]发票导入!AL1364</f>
        <v>0</v>
      </c>
      <c r="AM1364">
        <f>[1]发票导入!AM1364</f>
        <v>0</v>
      </c>
      <c r="AN1364" s="22">
        <f t="shared" si="1"/>
        <v>0</v>
      </c>
      <c r="AO1364" s="22">
        <f t="shared" si="2"/>
        <v>0</v>
      </c>
    </row>
    <row r="1365">
      <c r="C1365">
        <f>[1]发票导入!C1365&amp;""</f>
      </c>
      <c r="D1365">
        <f>[1]发票导入!D1365&amp;""</f>
      </c>
      <c r="O1365">
        <f>[1]发票导入!O1365&amp;""</f>
      </c>
      <c r="T1365">
        <f>[1]发票导入!T1365</f>
      </c>
      <c r="U1365">
        <f>[1]发票导入!U1365&amp;""</f>
      </c>
      <c r="V1365">
        <f>[1]发票导入!V1365&amp;""</f>
      </c>
      <c r="W1365">
        <f>[1]发票导入!W1365&amp;""</f>
      </c>
      <c r="Y1365">
        <f>[1]发票导入!Y1365&amp;""</f>
      </c>
      <c r="AA1365">
        <f>[1]发票导入!AA1365&amp;""</f>
      </c>
      <c r="AB1365">
        <f>[1]发票导入!AB1365</f>
        <v>0</v>
      </c>
      <c r="AC1365">
        <f>[1]发票导入!AC1365</f>
        <v>0</v>
      </c>
      <c r="AE1365" s="22">
        <f t="shared" si="0"/>
      </c>
      <c r="AI1365">
        <f>[1]发票导入!AI1365&amp;""</f>
      </c>
      <c r="AJ1365">
        <f>[1]发票导入!AJ1365&amp;""</f>
      </c>
      <c r="AK1365">
        <f>[1]发票导入!AK1365</f>
        <v>0</v>
      </c>
      <c r="AL1365">
        <f>[1]发票导入!AL1365</f>
        <v>0</v>
      </c>
      <c r="AM1365">
        <f>[1]发票导入!AM1365</f>
        <v>0</v>
      </c>
      <c r="AN1365" s="22">
        <f t="shared" si="1"/>
        <v>0</v>
      </c>
      <c r="AO1365" s="22">
        <f t="shared" si="2"/>
        <v>0</v>
      </c>
    </row>
    <row r="1366">
      <c r="C1366">
        <f>[1]发票导入!C1366&amp;""</f>
      </c>
      <c r="D1366">
        <f>[1]发票导入!D1366&amp;""</f>
      </c>
      <c r="O1366">
        <f>[1]发票导入!O1366&amp;""</f>
      </c>
      <c r="T1366">
        <f>[1]发票导入!T1366</f>
      </c>
      <c r="U1366">
        <f>[1]发票导入!U1366&amp;""</f>
      </c>
      <c r="V1366">
        <f>[1]发票导入!V1366&amp;""</f>
      </c>
      <c r="W1366">
        <f>[1]发票导入!W1366&amp;""</f>
      </c>
      <c r="Y1366">
        <f>[1]发票导入!Y1366&amp;""</f>
      </c>
      <c r="AA1366">
        <f>[1]发票导入!AA1366&amp;""</f>
      </c>
      <c r="AB1366">
        <f>[1]发票导入!AB1366</f>
        <v>0</v>
      </c>
      <c r="AC1366">
        <f>[1]发票导入!AC1366</f>
        <v>0</v>
      </c>
      <c r="AE1366" s="22">
        <f t="shared" si="0"/>
      </c>
      <c r="AI1366">
        <f>[1]发票导入!AI1366&amp;""</f>
      </c>
      <c r="AJ1366">
        <f>[1]发票导入!AJ1366&amp;""</f>
      </c>
      <c r="AK1366">
        <f>[1]发票导入!AK1366</f>
        <v>0</v>
      </c>
      <c r="AL1366">
        <f>[1]发票导入!AL1366</f>
        <v>0</v>
      </c>
      <c r="AM1366">
        <f>[1]发票导入!AM1366</f>
        <v>0</v>
      </c>
      <c r="AN1366" s="22">
        <f t="shared" si="1"/>
        <v>0</v>
      </c>
      <c r="AO1366" s="22">
        <f t="shared" si="2"/>
        <v>0</v>
      </c>
    </row>
    <row r="1367">
      <c r="C1367">
        <f>[1]发票导入!C1367&amp;""</f>
      </c>
      <c r="D1367">
        <f>[1]发票导入!D1367&amp;""</f>
      </c>
      <c r="O1367">
        <f>[1]发票导入!O1367&amp;""</f>
      </c>
      <c r="T1367">
        <f>[1]发票导入!T1367</f>
      </c>
      <c r="U1367">
        <f>[1]发票导入!U1367&amp;""</f>
      </c>
      <c r="V1367">
        <f>[1]发票导入!V1367&amp;""</f>
      </c>
      <c r="W1367">
        <f>[1]发票导入!W1367&amp;""</f>
      </c>
      <c r="Y1367">
        <f>[1]发票导入!Y1367&amp;""</f>
      </c>
      <c r="AA1367">
        <f>[1]发票导入!AA1367&amp;""</f>
      </c>
      <c r="AB1367">
        <f>[1]发票导入!AB1367</f>
        <v>0</v>
      </c>
      <c r="AC1367">
        <f>[1]发票导入!AC1367</f>
        <v>0</v>
      </c>
      <c r="AE1367" s="22">
        <f t="shared" si="0"/>
      </c>
      <c r="AI1367">
        <f>[1]发票导入!AI1367&amp;""</f>
      </c>
      <c r="AJ1367">
        <f>[1]发票导入!AJ1367&amp;""</f>
      </c>
      <c r="AK1367">
        <f>[1]发票导入!AK1367</f>
        <v>0</v>
      </c>
      <c r="AL1367">
        <f>[1]发票导入!AL1367</f>
        <v>0</v>
      </c>
      <c r="AM1367">
        <f>[1]发票导入!AM1367</f>
        <v>0</v>
      </c>
      <c r="AN1367" s="22">
        <f t="shared" si="1"/>
        <v>0</v>
      </c>
      <c r="AO1367" s="22">
        <f t="shared" si="2"/>
        <v>0</v>
      </c>
    </row>
    <row r="1368">
      <c r="C1368">
        <f>[1]发票导入!C1368&amp;""</f>
      </c>
      <c r="D1368">
        <f>[1]发票导入!D1368&amp;""</f>
      </c>
      <c r="O1368">
        <f>[1]发票导入!O1368&amp;""</f>
      </c>
      <c r="T1368">
        <f>[1]发票导入!T1368</f>
      </c>
      <c r="U1368">
        <f>[1]发票导入!U1368&amp;""</f>
      </c>
      <c r="V1368">
        <f>[1]发票导入!V1368&amp;""</f>
      </c>
      <c r="W1368">
        <f>[1]发票导入!W1368&amp;""</f>
      </c>
      <c r="Y1368">
        <f>[1]发票导入!Y1368&amp;""</f>
      </c>
      <c r="AA1368">
        <f>[1]发票导入!AA1368&amp;""</f>
      </c>
      <c r="AB1368">
        <f>[1]发票导入!AB1368</f>
        <v>0</v>
      </c>
      <c r="AC1368">
        <f>[1]发票导入!AC1368</f>
        <v>0</v>
      </c>
      <c r="AE1368" s="22">
        <f t="shared" si="0"/>
      </c>
      <c r="AI1368">
        <f>[1]发票导入!AI1368&amp;""</f>
      </c>
      <c r="AJ1368">
        <f>[1]发票导入!AJ1368&amp;""</f>
      </c>
      <c r="AK1368">
        <f>[1]发票导入!AK1368</f>
        <v>0</v>
      </c>
      <c r="AL1368">
        <f>[1]发票导入!AL1368</f>
        <v>0</v>
      </c>
      <c r="AM1368">
        <f>[1]发票导入!AM1368</f>
        <v>0</v>
      </c>
      <c r="AN1368" s="22">
        <f t="shared" si="1"/>
        <v>0</v>
      </c>
      <c r="AO1368" s="22">
        <f t="shared" si="2"/>
        <v>0</v>
      </c>
    </row>
    <row r="1369">
      <c r="C1369">
        <f>[1]发票导入!C1369&amp;""</f>
      </c>
      <c r="D1369">
        <f>[1]发票导入!D1369&amp;""</f>
      </c>
      <c r="O1369">
        <f>[1]发票导入!O1369&amp;""</f>
      </c>
      <c r="T1369">
        <f>[1]发票导入!T1369</f>
      </c>
      <c r="U1369">
        <f>[1]发票导入!U1369&amp;""</f>
      </c>
      <c r="V1369">
        <f>[1]发票导入!V1369&amp;""</f>
      </c>
      <c r="W1369">
        <f>[1]发票导入!W1369&amp;""</f>
      </c>
      <c r="Y1369">
        <f>[1]发票导入!Y1369&amp;""</f>
      </c>
      <c r="AA1369">
        <f>[1]发票导入!AA1369&amp;""</f>
      </c>
      <c r="AB1369">
        <f>[1]发票导入!AB1369</f>
        <v>0</v>
      </c>
      <c r="AC1369">
        <f>[1]发票导入!AC1369</f>
        <v>0</v>
      </c>
      <c r="AE1369" s="22">
        <f t="shared" si="0"/>
      </c>
      <c r="AI1369">
        <f>[1]发票导入!AI1369&amp;""</f>
      </c>
      <c r="AJ1369">
        <f>[1]发票导入!AJ1369&amp;""</f>
      </c>
      <c r="AK1369">
        <f>[1]发票导入!AK1369</f>
        <v>0</v>
      </c>
      <c r="AL1369">
        <f>[1]发票导入!AL1369</f>
        <v>0</v>
      </c>
      <c r="AM1369">
        <f>[1]发票导入!AM1369</f>
        <v>0</v>
      </c>
      <c r="AN1369" s="22">
        <f t="shared" si="1"/>
        <v>0</v>
      </c>
      <c r="AO1369" s="22">
        <f t="shared" si="2"/>
        <v>0</v>
      </c>
    </row>
    <row r="1370">
      <c r="C1370">
        <f>[1]发票导入!C1370&amp;""</f>
      </c>
      <c r="D1370">
        <f>[1]发票导入!D1370&amp;""</f>
      </c>
      <c r="O1370">
        <f>[1]发票导入!O1370&amp;""</f>
      </c>
      <c r="T1370">
        <f>[1]发票导入!T1370</f>
      </c>
      <c r="U1370">
        <f>[1]发票导入!U1370&amp;""</f>
      </c>
      <c r="V1370">
        <f>[1]发票导入!V1370&amp;""</f>
      </c>
      <c r="W1370">
        <f>[1]发票导入!W1370&amp;""</f>
      </c>
      <c r="Y1370">
        <f>[1]发票导入!Y1370&amp;""</f>
      </c>
      <c r="AA1370">
        <f>[1]发票导入!AA1370&amp;""</f>
      </c>
      <c r="AB1370">
        <f>[1]发票导入!AB1370</f>
        <v>0</v>
      </c>
      <c r="AC1370">
        <f>[1]发票导入!AC1370</f>
        <v>0</v>
      </c>
      <c r="AE1370" s="22">
        <f t="shared" si="0"/>
      </c>
      <c r="AI1370">
        <f>[1]发票导入!AI1370&amp;""</f>
      </c>
      <c r="AJ1370">
        <f>[1]发票导入!AJ1370&amp;""</f>
      </c>
      <c r="AK1370">
        <f>[1]发票导入!AK1370</f>
        <v>0</v>
      </c>
      <c r="AL1370">
        <f>[1]发票导入!AL1370</f>
        <v>0</v>
      </c>
      <c r="AM1370">
        <f>[1]发票导入!AM1370</f>
        <v>0</v>
      </c>
      <c r="AN1370" s="22">
        <f t="shared" si="1"/>
        <v>0</v>
      </c>
      <c r="AO1370" s="22">
        <f t="shared" si="2"/>
        <v>0</v>
      </c>
    </row>
    <row r="1371">
      <c r="C1371">
        <f>[1]发票导入!C1371&amp;""</f>
      </c>
      <c r="D1371">
        <f>[1]发票导入!D1371&amp;""</f>
      </c>
      <c r="O1371">
        <f>[1]发票导入!O1371&amp;""</f>
      </c>
      <c r="T1371">
        <f>[1]发票导入!T1371</f>
      </c>
      <c r="U1371">
        <f>[1]发票导入!U1371&amp;""</f>
      </c>
      <c r="V1371">
        <f>[1]发票导入!V1371&amp;""</f>
      </c>
      <c r="W1371">
        <f>[1]发票导入!W1371&amp;""</f>
      </c>
      <c r="Y1371">
        <f>[1]发票导入!Y1371&amp;""</f>
      </c>
      <c r="AA1371">
        <f>[1]发票导入!AA1371&amp;""</f>
      </c>
      <c r="AB1371">
        <f>[1]发票导入!AB1371</f>
        <v>0</v>
      </c>
      <c r="AC1371">
        <f>[1]发票导入!AC1371</f>
        <v>0</v>
      </c>
      <c r="AE1371" s="22">
        <f t="shared" si="0"/>
      </c>
      <c r="AI1371">
        <f>[1]发票导入!AI1371&amp;""</f>
      </c>
      <c r="AJ1371">
        <f>[1]发票导入!AJ1371&amp;""</f>
      </c>
      <c r="AK1371">
        <f>[1]发票导入!AK1371</f>
        <v>0</v>
      </c>
      <c r="AL1371">
        <f>[1]发票导入!AL1371</f>
        <v>0</v>
      </c>
      <c r="AM1371">
        <f>[1]发票导入!AM1371</f>
        <v>0</v>
      </c>
      <c r="AN1371" s="22">
        <f t="shared" si="1"/>
        <v>0</v>
      </c>
      <c r="AO1371" s="22">
        <f t="shared" si="2"/>
        <v>0</v>
      </c>
    </row>
    <row r="1372">
      <c r="C1372">
        <f>[1]发票导入!C1372&amp;""</f>
      </c>
      <c r="D1372">
        <f>[1]发票导入!D1372&amp;""</f>
      </c>
      <c r="O1372">
        <f>[1]发票导入!O1372&amp;""</f>
      </c>
      <c r="T1372">
        <f>[1]发票导入!T1372</f>
      </c>
      <c r="U1372">
        <f>[1]发票导入!U1372&amp;""</f>
      </c>
      <c r="V1372">
        <f>[1]发票导入!V1372&amp;""</f>
      </c>
      <c r="W1372">
        <f>[1]发票导入!W1372&amp;""</f>
      </c>
      <c r="Y1372">
        <f>[1]发票导入!Y1372&amp;""</f>
      </c>
      <c r="AA1372">
        <f>[1]发票导入!AA1372&amp;""</f>
      </c>
      <c r="AB1372">
        <f>[1]发票导入!AB1372</f>
        <v>0</v>
      </c>
      <c r="AC1372">
        <f>[1]发票导入!AC1372</f>
        <v>0</v>
      </c>
      <c r="AE1372" s="22">
        <f t="shared" si="0"/>
      </c>
      <c r="AI1372">
        <f>[1]发票导入!AI1372&amp;""</f>
      </c>
      <c r="AJ1372">
        <f>[1]发票导入!AJ1372&amp;""</f>
      </c>
      <c r="AK1372">
        <f>[1]发票导入!AK1372</f>
        <v>0</v>
      </c>
      <c r="AL1372">
        <f>[1]发票导入!AL1372</f>
        <v>0</v>
      </c>
      <c r="AM1372">
        <f>[1]发票导入!AM1372</f>
        <v>0</v>
      </c>
      <c r="AN1372" s="22">
        <f t="shared" si="1"/>
        <v>0</v>
      </c>
      <c r="AO1372" s="22">
        <f t="shared" si="2"/>
        <v>0</v>
      </c>
    </row>
    <row r="1373">
      <c r="C1373">
        <f>[1]发票导入!C1373&amp;""</f>
      </c>
      <c r="D1373">
        <f>[1]发票导入!D1373&amp;""</f>
      </c>
      <c r="O1373">
        <f>[1]发票导入!O1373&amp;""</f>
      </c>
      <c r="T1373">
        <f>[1]发票导入!T1373</f>
      </c>
      <c r="U1373">
        <f>[1]发票导入!U1373&amp;""</f>
      </c>
      <c r="V1373">
        <f>[1]发票导入!V1373&amp;""</f>
      </c>
      <c r="W1373">
        <f>[1]发票导入!W1373&amp;""</f>
      </c>
      <c r="Y1373">
        <f>[1]发票导入!Y1373&amp;""</f>
      </c>
      <c r="AA1373">
        <f>[1]发票导入!AA1373&amp;""</f>
      </c>
      <c r="AB1373">
        <f>[1]发票导入!AB1373</f>
        <v>0</v>
      </c>
      <c r="AC1373">
        <f>[1]发票导入!AC1373</f>
        <v>0</v>
      </c>
      <c r="AE1373" s="22">
        <f t="shared" si="0"/>
      </c>
      <c r="AI1373">
        <f>[1]发票导入!AI1373&amp;""</f>
      </c>
      <c r="AJ1373">
        <f>[1]发票导入!AJ1373&amp;""</f>
      </c>
      <c r="AK1373">
        <f>[1]发票导入!AK1373</f>
        <v>0</v>
      </c>
      <c r="AL1373">
        <f>[1]发票导入!AL1373</f>
        <v>0</v>
      </c>
      <c r="AM1373">
        <f>[1]发票导入!AM1373</f>
        <v>0</v>
      </c>
      <c r="AN1373" s="22">
        <f t="shared" si="1"/>
        <v>0</v>
      </c>
      <c r="AO1373" s="22">
        <f t="shared" si="2"/>
        <v>0</v>
      </c>
    </row>
    <row r="1374">
      <c r="C1374">
        <f>[1]发票导入!C1374&amp;""</f>
      </c>
      <c r="D1374">
        <f>[1]发票导入!D1374&amp;""</f>
      </c>
      <c r="O1374">
        <f>[1]发票导入!O1374&amp;""</f>
      </c>
      <c r="T1374">
        <f>[1]发票导入!T1374</f>
      </c>
      <c r="U1374">
        <f>[1]发票导入!U1374&amp;""</f>
      </c>
      <c r="V1374">
        <f>[1]发票导入!V1374&amp;""</f>
      </c>
      <c r="W1374">
        <f>[1]发票导入!W1374&amp;""</f>
      </c>
      <c r="Y1374">
        <f>[1]发票导入!Y1374&amp;""</f>
      </c>
      <c r="AA1374">
        <f>[1]发票导入!AA1374&amp;""</f>
      </c>
      <c r="AB1374">
        <f>[1]发票导入!AB1374</f>
        <v>0</v>
      </c>
      <c r="AC1374">
        <f>[1]发票导入!AC1374</f>
        <v>0</v>
      </c>
      <c r="AE1374" s="22">
        <f t="shared" si="0"/>
      </c>
      <c r="AI1374">
        <f>[1]发票导入!AI1374&amp;""</f>
      </c>
      <c r="AJ1374">
        <f>[1]发票导入!AJ1374&amp;""</f>
      </c>
      <c r="AK1374">
        <f>[1]发票导入!AK1374</f>
        <v>0</v>
      </c>
      <c r="AL1374">
        <f>[1]发票导入!AL1374</f>
        <v>0</v>
      </c>
      <c r="AM1374">
        <f>[1]发票导入!AM1374</f>
        <v>0</v>
      </c>
      <c r="AN1374" s="22">
        <f t="shared" si="1"/>
        <v>0</v>
      </c>
      <c r="AO1374" s="22">
        <f t="shared" si="2"/>
        <v>0</v>
      </c>
    </row>
    <row r="1375">
      <c r="C1375">
        <f>[1]发票导入!C1375&amp;""</f>
      </c>
      <c r="D1375">
        <f>[1]发票导入!D1375&amp;""</f>
      </c>
      <c r="O1375">
        <f>[1]发票导入!O1375&amp;""</f>
      </c>
      <c r="T1375">
        <f>[1]发票导入!T1375</f>
      </c>
      <c r="U1375">
        <f>[1]发票导入!U1375&amp;""</f>
      </c>
      <c r="V1375">
        <f>[1]发票导入!V1375&amp;""</f>
      </c>
      <c r="W1375">
        <f>[1]发票导入!W1375&amp;""</f>
      </c>
      <c r="Y1375">
        <f>[1]发票导入!Y1375&amp;""</f>
      </c>
      <c r="AA1375">
        <f>[1]发票导入!AA1375&amp;""</f>
      </c>
      <c r="AB1375">
        <f>[1]发票导入!AB1375</f>
        <v>0</v>
      </c>
      <c r="AC1375">
        <f>[1]发票导入!AC1375</f>
        <v>0</v>
      </c>
      <c r="AE1375" s="22">
        <f t="shared" si="0"/>
      </c>
      <c r="AI1375">
        <f>[1]发票导入!AI1375&amp;""</f>
      </c>
      <c r="AJ1375">
        <f>[1]发票导入!AJ1375&amp;""</f>
      </c>
      <c r="AK1375">
        <f>[1]发票导入!AK1375</f>
        <v>0</v>
      </c>
      <c r="AL1375">
        <f>[1]发票导入!AL1375</f>
        <v>0</v>
      </c>
      <c r="AM1375">
        <f>[1]发票导入!AM1375</f>
        <v>0</v>
      </c>
      <c r="AN1375" s="22">
        <f t="shared" si="1"/>
        <v>0</v>
      </c>
      <c r="AO1375" s="22">
        <f t="shared" si="2"/>
        <v>0</v>
      </c>
    </row>
    <row r="1376">
      <c r="C1376">
        <f>[1]发票导入!C1376&amp;""</f>
      </c>
      <c r="D1376">
        <f>[1]发票导入!D1376&amp;""</f>
      </c>
      <c r="O1376">
        <f>[1]发票导入!O1376&amp;""</f>
      </c>
      <c r="T1376">
        <f>[1]发票导入!T1376</f>
      </c>
      <c r="U1376">
        <f>[1]发票导入!U1376&amp;""</f>
      </c>
      <c r="V1376">
        <f>[1]发票导入!V1376&amp;""</f>
      </c>
      <c r="W1376">
        <f>[1]发票导入!W1376&amp;""</f>
      </c>
      <c r="Y1376">
        <f>[1]发票导入!Y1376&amp;""</f>
      </c>
      <c r="AA1376">
        <f>[1]发票导入!AA1376&amp;""</f>
      </c>
      <c r="AB1376">
        <f>[1]发票导入!AB1376</f>
        <v>0</v>
      </c>
      <c r="AC1376">
        <f>[1]发票导入!AC1376</f>
        <v>0</v>
      </c>
      <c r="AE1376" s="22">
        <f t="shared" si="0"/>
      </c>
      <c r="AI1376">
        <f>[1]发票导入!AI1376&amp;""</f>
      </c>
      <c r="AJ1376">
        <f>[1]发票导入!AJ1376&amp;""</f>
      </c>
      <c r="AK1376">
        <f>[1]发票导入!AK1376</f>
        <v>0</v>
      </c>
      <c r="AL1376">
        <f>[1]发票导入!AL1376</f>
        <v>0</v>
      </c>
      <c r="AM1376">
        <f>[1]发票导入!AM1376</f>
        <v>0</v>
      </c>
      <c r="AN1376" s="22">
        <f t="shared" si="1"/>
        <v>0</v>
      </c>
      <c r="AO1376" s="22">
        <f t="shared" si="2"/>
        <v>0</v>
      </c>
    </row>
    <row r="1377">
      <c r="C1377">
        <f>[1]发票导入!C1377&amp;""</f>
      </c>
      <c r="D1377">
        <f>[1]发票导入!D1377&amp;""</f>
      </c>
      <c r="O1377">
        <f>[1]发票导入!O1377&amp;""</f>
      </c>
      <c r="T1377">
        <f>[1]发票导入!T1377</f>
      </c>
      <c r="U1377">
        <f>[1]发票导入!U1377&amp;""</f>
      </c>
      <c r="V1377">
        <f>[1]发票导入!V1377&amp;""</f>
      </c>
      <c r="W1377">
        <f>[1]发票导入!W1377&amp;""</f>
      </c>
      <c r="Y1377">
        <f>[1]发票导入!Y1377&amp;""</f>
      </c>
      <c r="AA1377">
        <f>[1]发票导入!AA1377&amp;""</f>
      </c>
      <c r="AB1377">
        <f>[1]发票导入!AB1377</f>
        <v>0</v>
      </c>
      <c r="AC1377">
        <f>[1]发票导入!AC1377</f>
        <v>0</v>
      </c>
      <c r="AE1377" s="22">
        <f t="shared" si="0"/>
      </c>
      <c r="AI1377">
        <f>[1]发票导入!AI1377&amp;""</f>
      </c>
      <c r="AJ1377">
        <f>[1]发票导入!AJ1377&amp;""</f>
      </c>
      <c r="AK1377">
        <f>[1]发票导入!AK1377</f>
        <v>0</v>
      </c>
      <c r="AL1377">
        <f>[1]发票导入!AL1377</f>
        <v>0</v>
      </c>
      <c r="AM1377">
        <f>[1]发票导入!AM1377</f>
        <v>0</v>
      </c>
      <c r="AN1377" s="22">
        <f t="shared" si="1"/>
        <v>0</v>
      </c>
      <c r="AO1377" s="22">
        <f t="shared" si="2"/>
        <v>0</v>
      </c>
    </row>
    <row r="1378">
      <c r="C1378">
        <f>[1]发票导入!C1378&amp;""</f>
      </c>
      <c r="D1378">
        <f>[1]发票导入!D1378&amp;""</f>
      </c>
      <c r="O1378">
        <f>[1]发票导入!O1378&amp;""</f>
      </c>
      <c r="T1378">
        <f>[1]发票导入!T1378</f>
      </c>
      <c r="U1378">
        <f>[1]发票导入!U1378&amp;""</f>
      </c>
      <c r="V1378">
        <f>[1]发票导入!V1378&amp;""</f>
      </c>
      <c r="W1378">
        <f>[1]发票导入!W1378&amp;""</f>
      </c>
      <c r="Y1378">
        <f>[1]发票导入!Y1378&amp;""</f>
      </c>
      <c r="AA1378">
        <f>[1]发票导入!AA1378&amp;""</f>
      </c>
      <c r="AB1378">
        <f>[1]发票导入!AB1378</f>
        <v>0</v>
      </c>
      <c r="AC1378">
        <f>[1]发票导入!AC1378</f>
        <v>0</v>
      </c>
      <c r="AE1378" s="22">
        <f t="shared" si="0"/>
      </c>
      <c r="AI1378">
        <f>[1]发票导入!AI1378&amp;""</f>
      </c>
      <c r="AJ1378">
        <f>[1]发票导入!AJ1378&amp;""</f>
      </c>
      <c r="AK1378">
        <f>[1]发票导入!AK1378</f>
        <v>0</v>
      </c>
      <c r="AL1378">
        <f>[1]发票导入!AL1378</f>
        <v>0</v>
      </c>
      <c r="AM1378">
        <f>[1]发票导入!AM1378</f>
        <v>0</v>
      </c>
      <c r="AN1378" s="22">
        <f t="shared" si="1"/>
        <v>0</v>
      </c>
      <c r="AO1378" s="22">
        <f t="shared" si="2"/>
        <v>0</v>
      </c>
    </row>
    <row r="1379">
      <c r="C1379">
        <f>[1]发票导入!C1379&amp;""</f>
      </c>
      <c r="D1379">
        <f>[1]发票导入!D1379&amp;""</f>
      </c>
      <c r="O1379">
        <f>[1]发票导入!O1379&amp;""</f>
      </c>
      <c r="T1379">
        <f>[1]发票导入!T1379</f>
      </c>
      <c r="U1379">
        <f>[1]发票导入!U1379&amp;""</f>
      </c>
      <c r="V1379">
        <f>[1]发票导入!V1379&amp;""</f>
      </c>
      <c r="W1379">
        <f>[1]发票导入!W1379&amp;""</f>
      </c>
      <c r="Y1379">
        <f>[1]发票导入!Y1379&amp;""</f>
      </c>
      <c r="AA1379">
        <f>[1]发票导入!AA1379&amp;""</f>
      </c>
      <c r="AB1379">
        <f>[1]发票导入!AB1379</f>
        <v>0</v>
      </c>
      <c r="AC1379">
        <f>[1]发票导入!AC1379</f>
        <v>0</v>
      </c>
      <c r="AE1379" s="22">
        <f t="shared" si="0"/>
      </c>
      <c r="AI1379">
        <f>[1]发票导入!AI1379&amp;""</f>
      </c>
      <c r="AJ1379">
        <f>[1]发票导入!AJ1379&amp;""</f>
      </c>
      <c r="AK1379">
        <f>[1]发票导入!AK1379</f>
        <v>0</v>
      </c>
      <c r="AL1379">
        <f>[1]发票导入!AL1379</f>
        <v>0</v>
      </c>
      <c r="AM1379">
        <f>[1]发票导入!AM1379</f>
        <v>0</v>
      </c>
      <c r="AN1379" s="22">
        <f t="shared" si="1"/>
        <v>0</v>
      </c>
      <c r="AO1379" s="22">
        <f t="shared" si="2"/>
        <v>0</v>
      </c>
    </row>
    <row r="1380">
      <c r="C1380">
        <f>[1]发票导入!C1380&amp;""</f>
      </c>
      <c r="D1380">
        <f>[1]发票导入!D1380&amp;""</f>
      </c>
      <c r="O1380">
        <f>[1]发票导入!O1380&amp;""</f>
      </c>
      <c r="T1380">
        <f>[1]发票导入!T1380</f>
      </c>
      <c r="U1380">
        <f>[1]发票导入!U1380&amp;""</f>
      </c>
      <c r="V1380">
        <f>[1]发票导入!V1380&amp;""</f>
      </c>
      <c r="W1380">
        <f>[1]发票导入!W1380&amp;""</f>
      </c>
      <c r="Y1380">
        <f>[1]发票导入!Y1380&amp;""</f>
      </c>
      <c r="AA1380">
        <f>[1]发票导入!AA1380&amp;""</f>
      </c>
      <c r="AB1380">
        <f>[1]发票导入!AB1380</f>
        <v>0</v>
      </c>
      <c r="AC1380">
        <f>[1]发票导入!AC1380</f>
        <v>0</v>
      </c>
      <c r="AE1380" s="22">
        <f t="shared" si="0"/>
      </c>
      <c r="AI1380">
        <f>[1]发票导入!AI1380&amp;""</f>
      </c>
      <c r="AJ1380">
        <f>[1]发票导入!AJ1380&amp;""</f>
      </c>
      <c r="AK1380">
        <f>[1]发票导入!AK1380</f>
        <v>0</v>
      </c>
      <c r="AL1380">
        <f>[1]发票导入!AL1380</f>
        <v>0</v>
      </c>
      <c r="AM1380">
        <f>[1]发票导入!AM1380</f>
        <v>0</v>
      </c>
      <c r="AN1380" s="22">
        <f t="shared" si="1"/>
        <v>0</v>
      </c>
      <c r="AO1380" s="22">
        <f t="shared" si="2"/>
        <v>0</v>
      </c>
    </row>
    <row r="1381">
      <c r="C1381">
        <f>[1]发票导入!C1381&amp;""</f>
      </c>
      <c r="D1381">
        <f>[1]发票导入!D1381&amp;""</f>
      </c>
      <c r="O1381">
        <f>[1]发票导入!O1381&amp;""</f>
      </c>
      <c r="T1381">
        <f>[1]发票导入!T1381</f>
      </c>
      <c r="U1381">
        <f>[1]发票导入!U1381&amp;""</f>
      </c>
      <c r="V1381">
        <f>[1]发票导入!V1381&amp;""</f>
      </c>
      <c r="W1381">
        <f>[1]发票导入!W1381&amp;""</f>
      </c>
      <c r="Y1381">
        <f>[1]发票导入!Y1381&amp;""</f>
      </c>
      <c r="AA1381">
        <f>[1]发票导入!AA1381&amp;""</f>
      </c>
      <c r="AB1381">
        <f>[1]发票导入!AB1381</f>
        <v>0</v>
      </c>
      <c r="AC1381">
        <f>[1]发票导入!AC1381</f>
        <v>0</v>
      </c>
      <c r="AE1381" s="22">
        <f t="shared" si="0"/>
      </c>
      <c r="AI1381">
        <f>[1]发票导入!AI1381&amp;""</f>
      </c>
      <c r="AJ1381">
        <f>[1]发票导入!AJ1381&amp;""</f>
      </c>
      <c r="AK1381">
        <f>[1]发票导入!AK1381</f>
        <v>0</v>
      </c>
      <c r="AL1381">
        <f>[1]发票导入!AL1381</f>
        <v>0</v>
      </c>
      <c r="AM1381">
        <f>[1]发票导入!AM1381</f>
        <v>0</v>
      </c>
      <c r="AN1381" s="22">
        <f t="shared" si="1"/>
        <v>0</v>
      </c>
      <c r="AO1381" s="22">
        <f t="shared" si="2"/>
        <v>0</v>
      </c>
    </row>
    <row r="1382">
      <c r="C1382">
        <f>[1]发票导入!C1382&amp;""</f>
      </c>
      <c r="D1382">
        <f>[1]发票导入!D1382&amp;""</f>
      </c>
      <c r="O1382">
        <f>[1]发票导入!O1382&amp;""</f>
      </c>
      <c r="T1382">
        <f>[1]发票导入!T1382</f>
      </c>
      <c r="U1382">
        <f>[1]发票导入!U1382&amp;""</f>
      </c>
      <c r="V1382">
        <f>[1]发票导入!V1382&amp;""</f>
      </c>
      <c r="W1382">
        <f>[1]发票导入!W1382&amp;""</f>
      </c>
      <c r="Y1382">
        <f>[1]发票导入!Y1382&amp;""</f>
      </c>
      <c r="AA1382">
        <f>[1]发票导入!AA1382&amp;""</f>
      </c>
      <c r="AB1382">
        <f>[1]发票导入!AB1382</f>
        <v>0</v>
      </c>
      <c r="AC1382">
        <f>[1]发票导入!AC1382</f>
        <v>0</v>
      </c>
      <c r="AE1382" s="22">
        <f t="shared" si="0"/>
      </c>
      <c r="AI1382">
        <f>[1]发票导入!AI1382&amp;""</f>
      </c>
      <c r="AJ1382">
        <f>[1]发票导入!AJ1382&amp;""</f>
      </c>
      <c r="AK1382">
        <f>[1]发票导入!AK1382</f>
        <v>0</v>
      </c>
      <c r="AL1382">
        <f>[1]发票导入!AL1382</f>
        <v>0</v>
      </c>
      <c r="AM1382">
        <f>[1]发票导入!AM1382</f>
        <v>0</v>
      </c>
      <c r="AN1382" s="22">
        <f t="shared" si="1"/>
        <v>0</v>
      </c>
      <c r="AO1382" s="22">
        <f t="shared" si="2"/>
        <v>0</v>
      </c>
    </row>
    <row r="1383">
      <c r="C1383">
        <f>[1]发票导入!C1383&amp;""</f>
      </c>
      <c r="D1383">
        <f>[1]发票导入!D1383&amp;""</f>
      </c>
      <c r="O1383">
        <f>[1]发票导入!O1383&amp;""</f>
      </c>
      <c r="T1383">
        <f>[1]发票导入!T1383</f>
      </c>
      <c r="U1383">
        <f>[1]发票导入!U1383&amp;""</f>
      </c>
      <c r="V1383">
        <f>[1]发票导入!V1383&amp;""</f>
      </c>
      <c r="W1383">
        <f>[1]发票导入!W1383&amp;""</f>
      </c>
      <c r="Y1383">
        <f>[1]发票导入!Y1383&amp;""</f>
      </c>
      <c r="AA1383">
        <f>[1]发票导入!AA1383&amp;""</f>
      </c>
      <c r="AB1383">
        <f>[1]发票导入!AB1383</f>
        <v>0</v>
      </c>
      <c r="AC1383">
        <f>[1]发票导入!AC1383</f>
        <v>0</v>
      </c>
      <c r="AE1383" s="22">
        <f t="shared" si="0"/>
      </c>
      <c r="AI1383">
        <f>[1]发票导入!AI1383&amp;""</f>
      </c>
      <c r="AJ1383">
        <f>[1]发票导入!AJ1383&amp;""</f>
      </c>
      <c r="AK1383">
        <f>[1]发票导入!AK1383</f>
        <v>0</v>
      </c>
      <c r="AL1383">
        <f>[1]发票导入!AL1383</f>
        <v>0</v>
      </c>
      <c r="AM1383">
        <f>[1]发票导入!AM1383</f>
        <v>0</v>
      </c>
      <c r="AN1383" s="22">
        <f t="shared" si="1"/>
        <v>0</v>
      </c>
      <c r="AO1383" s="22">
        <f t="shared" si="2"/>
        <v>0</v>
      </c>
    </row>
    <row r="1384">
      <c r="C1384">
        <f>[1]发票导入!C1384&amp;""</f>
      </c>
      <c r="D1384">
        <f>[1]发票导入!D1384&amp;""</f>
      </c>
      <c r="O1384">
        <f>[1]发票导入!O1384&amp;""</f>
      </c>
      <c r="T1384">
        <f>[1]发票导入!T1384</f>
      </c>
      <c r="U1384">
        <f>[1]发票导入!U1384&amp;""</f>
      </c>
      <c r="V1384">
        <f>[1]发票导入!V1384&amp;""</f>
      </c>
      <c r="W1384">
        <f>[1]发票导入!W1384&amp;""</f>
      </c>
      <c r="Y1384">
        <f>[1]发票导入!Y1384&amp;""</f>
      </c>
      <c r="AA1384">
        <f>[1]发票导入!AA1384&amp;""</f>
      </c>
      <c r="AB1384">
        <f>[1]发票导入!AB1384</f>
        <v>0</v>
      </c>
      <c r="AC1384">
        <f>[1]发票导入!AC1384</f>
        <v>0</v>
      </c>
      <c r="AE1384" s="22">
        <f t="shared" si="0"/>
      </c>
      <c r="AI1384">
        <f>[1]发票导入!AI1384&amp;""</f>
      </c>
      <c r="AJ1384">
        <f>[1]发票导入!AJ1384&amp;""</f>
      </c>
      <c r="AK1384">
        <f>[1]发票导入!AK1384</f>
        <v>0</v>
      </c>
      <c r="AL1384">
        <f>[1]发票导入!AL1384</f>
        <v>0</v>
      </c>
      <c r="AM1384">
        <f>[1]发票导入!AM1384</f>
        <v>0</v>
      </c>
      <c r="AN1384" s="22">
        <f t="shared" si="1"/>
        <v>0</v>
      </c>
      <c r="AO1384" s="22">
        <f t="shared" si="2"/>
        <v>0</v>
      </c>
    </row>
    <row r="1385">
      <c r="C1385">
        <f>[1]发票导入!C1385&amp;""</f>
      </c>
      <c r="D1385">
        <f>[1]发票导入!D1385&amp;""</f>
      </c>
      <c r="O1385">
        <f>[1]发票导入!O1385&amp;""</f>
      </c>
      <c r="T1385">
        <f>[1]发票导入!T1385</f>
      </c>
      <c r="U1385">
        <f>[1]发票导入!U1385&amp;""</f>
      </c>
      <c r="V1385">
        <f>[1]发票导入!V1385&amp;""</f>
      </c>
      <c r="W1385">
        <f>[1]发票导入!W1385&amp;""</f>
      </c>
      <c r="Y1385">
        <f>[1]发票导入!Y1385&amp;""</f>
      </c>
      <c r="AA1385">
        <f>[1]发票导入!AA1385&amp;""</f>
      </c>
      <c r="AB1385">
        <f>[1]发票导入!AB1385</f>
        <v>0</v>
      </c>
      <c r="AC1385">
        <f>[1]发票导入!AC1385</f>
        <v>0</v>
      </c>
      <c r="AE1385" s="22">
        <f t="shared" si="0"/>
      </c>
      <c r="AI1385">
        <f>[1]发票导入!AI1385&amp;""</f>
      </c>
      <c r="AJ1385">
        <f>[1]发票导入!AJ1385&amp;""</f>
      </c>
      <c r="AK1385">
        <f>[1]发票导入!AK1385</f>
        <v>0</v>
      </c>
      <c r="AL1385">
        <f>[1]发票导入!AL1385</f>
        <v>0</v>
      </c>
      <c r="AM1385">
        <f>[1]发票导入!AM1385</f>
        <v>0</v>
      </c>
      <c r="AN1385" s="22">
        <f t="shared" si="1"/>
        <v>0</v>
      </c>
      <c r="AO1385" s="22">
        <f t="shared" si="2"/>
        <v>0</v>
      </c>
    </row>
    <row r="1386">
      <c r="C1386">
        <f>[1]发票导入!C1386&amp;""</f>
      </c>
      <c r="D1386">
        <f>[1]发票导入!D1386&amp;""</f>
      </c>
      <c r="O1386">
        <f>[1]发票导入!O1386&amp;""</f>
      </c>
      <c r="T1386">
        <f>[1]发票导入!T1386</f>
      </c>
      <c r="U1386">
        <f>[1]发票导入!U1386&amp;""</f>
      </c>
      <c r="V1386">
        <f>[1]发票导入!V1386&amp;""</f>
      </c>
      <c r="W1386">
        <f>[1]发票导入!W1386&amp;""</f>
      </c>
      <c r="Y1386">
        <f>[1]发票导入!Y1386&amp;""</f>
      </c>
      <c r="AA1386">
        <f>[1]发票导入!AA1386&amp;""</f>
      </c>
      <c r="AB1386">
        <f>[1]发票导入!AB1386</f>
        <v>0</v>
      </c>
      <c r="AC1386">
        <f>[1]发票导入!AC1386</f>
        <v>0</v>
      </c>
      <c r="AE1386" s="22">
        <f t="shared" si="0"/>
      </c>
      <c r="AI1386">
        <f>[1]发票导入!AI1386&amp;""</f>
      </c>
      <c r="AJ1386">
        <f>[1]发票导入!AJ1386&amp;""</f>
      </c>
      <c r="AK1386">
        <f>[1]发票导入!AK1386</f>
        <v>0</v>
      </c>
      <c r="AL1386">
        <f>[1]发票导入!AL1386</f>
        <v>0</v>
      </c>
      <c r="AM1386">
        <f>[1]发票导入!AM1386</f>
        <v>0</v>
      </c>
      <c r="AN1386" s="22">
        <f t="shared" si="1"/>
        <v>0</v>
      </c>
      <c r="AO1386" s="22">
        <f t="shared" si="2"/>
        <v>0</v>
      </c>
    </row>
    <row r="1387">
      <c r="C1387">
        <f>[1]发票导入!C1387&amp;""</f>
      </c>
      <c r="D1387">
        <f>[1]发票导入!D1387&amp;""</f>
      </c>
      <c r="O1387">
        <f>[1]发票导入!O1387&amp;""</f>
      </c>
      <c r="T1387">
        <f>[1]发票导入!T1387</f>
      </c>
      <c r="U1387">
        <f>[1]发票导入!U1387&amp;""</f>
      </c>
      <c r="V1387">
        <f>[1]发票导入!V1387&amp;""</f>
      </c>
      <c r="W1387">
        <f>[1]发票导入!W1387&amp;""</f>
      </c>
      <c r="Y1387">
        <f>[1]发票导入!Y1387&amp;""</f>
      </c>
      <c r="AA1387">
        <f>[1]发票导入!AA1387&amp;""</f>
      </c>
      <c r="AB1387">
        <f>[1]发票导入!AB1387</f>
        <v>0</v>
      </c>
      <c r="AC1387">
        <f>[1]发票导入!AC1387</f>
        <v>0</v>
      </c>
      <c r="AE1387" s="22">
        <f t="shared" si="0"/>
      </c>
      <c r="AI1387">
        <f>[1]发票导入!AI1387&amp;""</f>
      </c>
      <c r="AJ1387">
        <f>[1]发票导入!AJ1387&amp;""</f>
      </c>
      <c r="AK1387">
        <f>[1]发票导入!AK1387</f>
        <v>0</v>
      </c>
      <c r="AL1387">
        <f>[1]发票导入!AL1387</f>
        <v>0</v>
      </c>
      <c r="AM1387">
        <f>[1]发票导入!AM1387</f>
        <v>0</v>
      </c>
      <c r="AN1387" s="22">
        <f t="shared" si="1"/>
        <v>0</v>
      </c>
      <c r="AO1387" s="22">
        <f t="shared" si="2"/>
        <v>0</v>
      </c>
    </row>
    <row r="1388">
      <c r="C1388">
        <f>[1]发票导入!C1388&amp;""</f>
      </c>
      <c r="D1388">
        <f>[1]发票导入!D1388&amp;""</f>
      </c>
      <c r="O1388">
        <f>[1]发票导入!O1388&amp;""</f>
      </c>
      <c r="T1388">
        <f>[1]发票导入!T1388</f>
      </c>
      <c r="U1388">
        <f>[1]发票导入!U1388&amp;""</f>
      </c>
      <c r="V1388">
        <f>[1]发票导入!V1388&amp;""</f>
      </c>
      <c r="W1388">
        <f>[1]发票导入!W1388&amp;""</f>
      </c>
      <c r="Y1388">
        <f>[1]发票导入!Y1388&amp;""</f>
      </c>
      <c r="AA1388">
        <f>[1]发票导入!AA1388&amp;""</f>
      </c>
      <c r="AB1388">
        <f>[1]发票导入!AB1388</f>
        <v>0</v>
      </c>
      <c r="AC1388">
        <f>[1]发票导入!AC1388</f>
        <v>0</v>
      </c>
      <c r="AE1388" s="22">
        <f t="shared" si="0"/>
      </c>
      <c r="AI1388">
        <f>[1]发票导入!AI1388&amp;""</f>
      </c>
      <c r="AJ1388">
        <f>[1]发票导入!AJ1388&amp;""</f>
      </c>
      <c r="AK1388">
        <f>[1]发票导入!AK1388</f>
        <v>0</v>
      </c>
      <c r="AL1388">
        <f>[1]发票导入!AL1388</f>
        <v>0</v>
      </c>
      <c r="AM1388">
        <f>[1]发票导入!AM1388</f>
        <v>0</v>
      </c>
      <c r="AN1388" s="22">
        <f t="shared" si="1"/>
        <v>0</v>
      </c>
      <c r="AO1388" s="22">
        <f t="shared" si="2"/>
        <v>0</v>
      </c>
    </row>
    <row r="1389">
      <c r="C1389">
        <f>[1]发票导入!C1389&amp;""</f>
      </c>
      <c r="D1389">
        <f>[1]发票导入!D1389&amp;""</f>
      </c>
      <c r="O1389">
        <f>[1]发票导入!O1389&amp;""</f>
      </c>
      <c r="T1389">
        <f>[1]发票导入!T1389</f>
      </c>
      <c r="U1389">
        <f>[1]发票导入!U1389&amp;""</f>
      </c>
      <c r="V1389">
        <f>[1]发票导入!V1389&amp;""</f>
      </c>
      <c r="W1389">
        <f>[1]发票导入!W1389&amp;""</f>
      </c>
      <c r="Y1389">
        <f>[1]发票导入!Y1389&amp;""</f>
      </c>
      <c r="AA1389">
        <f>[1]发票导入!AA1389&amp;""</f>
      </c>
      <c r="AB1389">
        <f>[1]发票导入!AB1389</f>
        <v>0</v>
      </c>
      <c r="AC1389">
        <f>[1]发票导入!AC1389</f>
        <v>0</v>
      </c>
      <c r="AE1389" s="22">
        <f t="shared" si="0"/>
      </c>
      <c r="AI1389">
        <f>[1]发票导入!AI1389&amp;""</f>
      </c>
      <c r="AJ1389">
        <f>[1]发票导入!AJ1389&amp;""</f>
      </c>
      <c r="AK1389">
        <f>[1]发票导入!AK1389</f>
        <v>0</v>
      </c>
      <c r="AL1389">
        <f>[1]发票导入!AL1389</f>
        <v>0</v>
      </c>
      <c r="AM1389">
        <f>[1]发票导入!AM1389</f>
        <v>0</v>
      </c>
      <c r="AN1389" s="22">
        <f t="shared" si="1"/>
        <v>0</v>
      </c>
      <c r="AO1389" s="22">
        <f t="shared" si="2"/>
        <v>0</v>
      </c>
    </row>
    <row r="1390">
      <c r="C1390">
        <f>[1]发票导入!C1390&amp;""</f>
      </c>
      <c r="D1390">
        <f>[1]发票导入!D1390&amp;""</f>
      </c>
      <c r="O1390">
        <f>[1]发票导入!O1390&amp;""</f>
      </c>
      <c r="T1390">
        <f>[1]发票导入!T1390</f>
      </c>
      <c r="U1390">
        <f>[1]发票导入!U1390&amp;""</f>
      </c>
      <c r="V1390">
        <f>[1]发票导入!V1390&amp;""</f>
      </c>
      <c r="W1390">
        <f>[1]发票导入!W1390&amp;""</f>
      </c>
      <c r="Y1390">
        <f>[1]发票导入!Y1390&amp;""</f>
      </c>
      <c r="AA1390">
        <f>[1]发票导入!AA1390&amp;""</f>
      </c>
      <c r="AB1390">
        <f>[1]发票导入!AB1390</f>
        <v>0</v>
      </c>
      <c r="AC1390">
        <f>[1]发票导入!AC1390</f>
        <v>0</v>
      </c>
      <c r="AE1390" s="22">
        <f t="shared" si="0"/>
      </c>
      <c r="AI1390">
        <f>[1]发票导入!AI1390&amp;""</f>
      </c>
      <c r="AJ1390">
        <f>[1]发票导入!AJ1390&amp;""</f>
      </c>
      <c r="AK1390">
        <f>[1]发票导入!AK1390</f>
        <v>0</v>
      </c>
      <c r="AL1390">
        <f>[1]发票导入!AL1390</f>
        <v>0</v>
      </c>
      <c r="AM1390">
        <f>[1]发票导入!AM1390</f>
        <v>0</v>
      </c>
      <c r="AN1390" s="22">
        <f t="shared" si="1"/>
        <v>0</v>
      </c>
      <c r="AO1390" s="22">
        <f t="shared" si="2"/>
        <v>0</v>
      </c>
    </row>
    <row r="1391">
      <c r="C1391">
        <f>[1]发票导入!C1391&amp;""</f>
      </c>
      <c r="D1391">
        <f>[1]发票导入!D1391&amp;""</f>
      </c>
      <c r="O1391">
        <f>[1]发票导入!O1391&amp;""</f>
      </c>
      <c r="T1391">
        <f>[1]发票导入!T1391</f>
      </c>
      <c r="U1391">
        <f>[1]发票导入!U1391&amp;""</f>
      </c>
      <c r="V1391">
        <f>[1]发票导入!V1391&amp;""</f>
      </c>
      <c r="W1391">
        <f>[1]发票导入!W1391&amp;""</f>
      </c>
      <c r="Y1391">
        <f>[1]发票导入!Y1391&amp;""</f>
      </c>
      <c r="AA1391">
        <f>[1]发票导入!AA1391&amp;""</f>
      </c>
      <c r="AB1391">
        <f>[1]发票导入!AB1391</f>
        <v>0</v>
      </c>
      <c r="AC1391">
        <f>[1]发票导入!AC1391</f>
        <v>0</v>
      </c>
      <c r="AE1391" s="22">
        <f t="shared" si="0"/>
      </c>
      <c r="AI1391">
        <f>[1]发票导入!AI1391&amp;""</f>
      </c>
      <c r="AJ1391">
        <f>[1]发票导入!AJ1391&amp;""</f>
      </c>
      <c r="AK1391">
        <f>[1]发票导入!AK1391</f>
        <v>0</v>
      </c>
      <c r="AL1391">
        <f>[1]发票导入!AL1391</f>
        <v>0</v>
      </c>
      <c r="AM1391">
        <f>[1]发票导入!AM1391</f>
        <v>0</v>
      </c>
      <c r="AN1391" s="22">
        <f t="shared" si="1"/>
        <v>0</v>
      </c>
      <c r="AO1391" s="22">
        <f t="shared" si="2"/>
        <v>0</v>
      </c>
    </row>
    <row r="1392">
      <c r="C1392">
        <f>[1]发票导入!C1392&amp;""</f>
      </c>
      <c r="D1392">
        <f>[1]发票导入!D1392&amp;""</f>
      </c>
      <c r="O1392">
        <f>[1]发票导入!O1392&amp;""</f>
      </c>
      <c r="T1392">
        <f>[1]发票导入!T1392</f>
      </c>
      <c r="U1392">
        <f>[1]发票导入!U1392&amp;""</f>
      </c>
      <c r="V1392">
        <f>[1]发票导入!V1392&amp;""</f>
      </c>
      <c r="W1392">
        <f>[1]发票导入!W1392&amp;""</f>
      </c>
      <c r="Y1392">
        <f>[1]发票导入!Y1392&amp;""</f>
      </c>
      <c r="AA1392">
        <f>[1]发票导入!AA1392&amp;""</f>
      </c>
      <c r="AB1392">
        <f>[1]发票导入!AB1392</f>
        <v>0</v>
      </c>
      <c r="AC1392">
        <f>[1]发票导入!AC1392</f>
        <v>0</v>
      </c>
      <c r="AE1392" s="22">
        <f t="shared" si="0"/>
      </c>
      <c r="AI1392">
        <f>[1]发票导入!AI1392&amp;""</f>
      </c>
      <c r="AJ1392">
        <f>[1]发票导入!AJ1392&amp;""</f>
      </c>
      <c r="AK1392">
        <f>[1]发票导入!AK1392</f>
        <v>0</v>
      </c>
      <c r="AL1392">
        <f>[1]发票导入!AL1392</f>
        <v>0</v>
      </c>
      <c r="AM1392">
        <f>[1]发票导入!AM1392</f>
        <v>0</v>
      </c>
      <c r="AN1392" s="22">
        <f t="shared" si="1"/>
        <v>0</v>
      </c>
      <c r="AO1392" s="22">
        <f t="shared" si="2"/>
        <v>0</v>
      </c>
    </row>
    <row r="1393">
      <c r="C1393">
        <f>[1]发票导入!C1393&amp;""</f>
      </c>
      <c r="D1393">
        <f>[1]发票导入!D1393&amp;""</f>
      </c>
      <c r="O1393">
        <f>[1]发票导入!O1393&amp;""</f>
      </c>
      <c r="T1393">
        <f>[1]发票导入!T1393</f>
      </c>
      <c r="U1393">
        <f>[1]发票导入!U1393&amp;""</f>
      </c>
      <c r="V1393">
        <f>[1]发票导入!V1393&amp;""</f>
      </c>
      <c r="W1393">
        <f>[1]发票导入!W1393&amp;""</f>
      </c>
      <c r="Y1393">
        <f>[1]发票导入!Y1393&amp;""</f>
      </c>
      <c r="AA1393">
        <f>[1]发票导入!AA1393&amp;""</f>
      </c>
      <c r="AB1393">
        <f>[1]发票导入!AB1393</f>
        <v>0</v>
      </c>
      <c r="AC1393">
        <f>[1]发票导入!AC1393</f>
        <v>0</v>
      </c>
      <c r="AE1393" s="22">
        <f t="shared" si="0"/>
      </c>
      <c r="AI1393">
        <f>[1]发票导入!AI1393&amp;""</f>
      </c>
      <c r="AJ1393">
        <f>[1]发票导入!AJ1393&amp;""</f>
      </c>
      <c r="AK1393">
        <f>[1]发票导入!AK1393</f>
        <v>0</v>
      </c>
      <c r="AL1393">
        <f>[1]发票导入!AL1393</f>
        <v>0</v>
      </c>
      <c r="AM1393">
        <f>[1]发票导入!AM1393</f>
        <v>0</v>
      </c>
      <c r="AN1393" s="22">
        <f t="shared" si="1"/>
        <v>0</v>
      </c>
      <c r="AO1393" s="22">
        <f t="shared" si="2"/>
        <v>0</v>
      </c>
    </row>
    <row r="1394">
      <c r="C1394">
        <f>[1]发票导入!C1394&amp;""</f>
      </c>
      <c r="D1394">
        <f>[1]发票导入!D1394&amp;""</f>
      </c>
      <c r="O1394">
        <f>[1]发票导入!O1394&amp;""</f>
      </c>
      <c r="T1394">
        <f>[1]发票导入!T1394</f>
      </c>
      <c r="U1394">
        <f>[1]发票导入!U1394&amp;""</f>
      </c>
      <c r="V1394">
        <f>[1]发票导入!V1394&amp;""</f>
      </c>
      <c r="W1394">
        <f>[1]发票导入!W1394&amp;""</f>
      </c>
      <c r="Y1394">
        <f>[1]发票导入!Y1394&amp;""</f>
      </c>
      <c r="AA1394">
        <f>[1]发票导入!AA1394&amp;""</f>
      </c>
      <c r="AB1394">
        <f>[1]发票导入!AB1394</f>
        <v>0</v>
      </c>
      <c r="AC1394">
        <f>[1]发票导入!AC1394</f>
        <v>0</v>
      </c>
      <c r="AE1394" s="22">
        <f t="shared" si="0"/>
      </c>
      <c r="AI1394">
        <f>[1]发票导入!AI1394&amp;""</f>
      </c>
      <c r="AJ1394">
        <f>[1]发票导入!AJ1394&amp;""</f>
      </c>
      <c r="AK1394">
        <f>[1]发票导入!AK1394</f>
        <v>0</v>
      </c>
      <c r="AL1394">
        <f>[1]发票导入!AL1394</f>
        <v>0</v>
      </c>
      <c r="AM1394">
        <f>[1]发票导入!AM1394</f>
        <v>0</v>
      </c>
      <c r="AN1394" s="22">
        <f t="shared" si="1"/>
        <v>0</v>
      </c>
      <c r="AO1394" s="22">
        <f t="shared" si="2"/>
        <v>0</v>
      </c>
    </row>
    <row r="1395">
      <c r="C1395">
        <f>[1]发票导入!C1395&amp;""</f>
      </c>
      <c r="D1395">
        <f>[1]发票导入!D1395&amp;""</f>
      </c>
      <c r="O1395">
        <f>[1]发票导入!O1395&amp;""</f>
      </c>
      <c r="T1395">
        <f>[1]发票导入!T1395</f>
      </c>
      <c r="U1395">
        <f>[1]发票导入!U1395&amp;""</f>
      </c>
      <c r="V1395">
        <f>[1]发票导入!V1395&amp;""</f>
      </c>
      <c r="W1395">
        <f>[1]发票导入!W1395&amp;""</f>
      </c>
      <c r="Y1395">
        <f>[1]发票导入!Y1395&amp;""</f>
      </c>
      <c r="AA1395">
        <f>[1]发票导入!AA1395&amp;""</f>
      </c>
      <c r="AB1395">
        <f>[1]发票导入!AB1395</f>
        <v>0</v>
      </c>
      <c r="AC1395">
        <f>[1]发票导入!AC1395</f>
        <v>0</v>
      </c>
      <c r="AE1395" s="22">
        <f t="shared" si="0"/>
      </c>
      <c r="AI1395">
        <f>[1]发票导入!AI1395&amp;""</f>
      </c>
      <c r="AJ1395">
        <f>[1]发票导入!AJ1395&amp;""</f>
      </c>
      <c r="AK1395">
        <f>[1]发票导入!AK1395</f>
        <v>0</v>
      </c>
      <c r="AL1395">
        <f>[1]发票导入!AL1395</f>
        <v>0</v>
      </c>
      <c r="AM1395">
        <f>[1]发票导入!AM1395</f>
        <v>0</v>
      </c>
      <c r="AN1395" s="22">
        <f t="shared" si="1"/>
        <v>0</v>
      </c>
      <c r="AO1395" s="22">
        <f t="shared" si="2"/>
        <v>0</v>
      </c>
    </row>
    <row r="1396">
      <c r="C1396">
        <f>[1]发票导入!C1396&amp;""</f>
      </c>
      <c r="D1396">
        <f>[1]发票导入!D1396&amp;""</f>
      </c>
      <c r="O1396">
        <f>[1]发票导入!O1396&amp;""</f>
      </c>
      <c r="T1396">
        <f>[1]发票导入!T1396</f>
      </c>
      <c r="U1396">
        <f>[1]发票导入!U1396&amp;""</f>
      </c>
      <c r="V1396">
        <f>[1]发票导入!V1396&amp;""</f>
      </c>
      <c r="W1396">
        <f>[1]发票导入!W1396&amp;""</f>
      </c>
      <c r="Y1396">
        <f>[1]发票导入!Y1396&amp;""</f>
      </c>
      <c r="AA1396">
        <f>[1]发票导入!AA1396&amp;""</f>
      </c>
      <c r="AB1396">
        <f>[1]发票导入!AB1396</f>
        <v>0</v>
      </c>
      <c r="AC1396">
        <f>[1]发票导入!AC1396</f>
        <v>0</v>
      </c>
      <c r="AE1396" s="22">
        <f t="shared" si="0"/>
      </c>
      <c r="AI1396">
        <f>[1]发票导入!AI1396&amp;""</f>
      </c>
      <c r="AJ1396">
        <f>[1]发票导入!AJ1396&amp;""</f>
      </c>
      <c r="AK1396">
        <f>[1]发票导入!AK1396</f>
        <v>0</v>
      </c>
      <c r="AL1396">
        <f>[1]发票导入!AL1396</f>
        <v>0</v>
      </c>
      <c r="AM1396">
        <f>[1]发票导入!AM1396</f>
        <v>0</v>
      </c>
      <c r="AN1396" s="22">
        <f t="shared" si="1"/>
        <v>0</v>
      </c>
      <c r="AO1396" s="22">
        <f t="shared" si="2"/>
        <v>0</v>
      </c>
    </row>
    <row r="1397">
      <c r="C1397">
        <f>[1]发票导入!C1397&amp;""</f>
      </c>
      <c r="D1397">
        <f>[1]发票导入!D1397&amp;""</f>
      </c>
      <c r="O1397">
        <f>[1]发票导入!O1397&amp;""</f>
      </c>
      <c r="T1397">
        <f>[1]发票导入!T1397</f>
      </c>
      <c r="U1397">
        <f>[1]发票导入!U1397&amp;""</f>
      </c>
      <c r="V1397">
        <f>[1]发票导入!V1397&amp;""</f>
      </c>
      <c r="W1397">
        <f>[1]发票导入!W1397&amp;""</f>
      </c>
      <c r="Y1397">
        <f>[1]发票导入!Y1397&amp;""</f>
      </c>
      <c r="AA1397">
        <f>[1]发票导入!AA1397&amp;""</f>
      </c>
      <c r="AB1397">
        <f>[1]发票导入!AB1397</f>
        <v>0</v>
      </c>
      <c r="AC1397">
        <f>[1]发票导入!AC1397</f>
        <v>0</v>
      </c>
      <c r="AE1397" s="22">
        <f t="shared" si="0"/>
      </c>
      <c r="AI1397">
        <f>[1]发票导入!AI1397&amp;""</f>
      </c>
      <c r="AJ1397">
        <f>[1]发票导入!AJ1397&amp;""</f>
      </c>
      <c r="AK1397">
        <f>[1]发票导入!AK1397</f>
        <v>0</v>
      </c>
      <c r="AL1397">
        <f>[1]发票导入!AL1397</f>
        <v>0</v>
      </c>
      <c r="AM1397">
        <f>[1]发票导入!AM1397</f>
        <v>0</v>
      </c>
      <c r="AN1397" s="22">
        <f t="shared" si="1"/>
        <v>0</v>
      </c>
      <c r="AO1397" s="22">
        <f t="shared" si="2"/>
        <v>0</v>
      </c>
    </row>
    <row r="1398">
      <c r="C1398">
        <f>[1]发票导入!C1398&amp;""</f>
      </c>
      <c r="D1398">
        <f>[1]发票导入!D1398&amp;""</f>
      </c>
      <c r="O1398">
        <f>[1]发票导入!O1398&amp;""</f>
      </c>
      <c r="T1398">
        <f>[1]发票导入!T1398</f>
      </c>
      <c r="U1398">
        <f>[1]发票导入!U1398&amp;""</f>
      </c>
      <c r="V1398">
        <f>[1]发票导入!V1398&amp;""</f>
      </c>
      <c r="W1398">
        <f>[1]发票导入!W1398&amp;""</f>
      </c>
      <c r="Y1398">
        <f>[1]发票导入!Y1398&amp;""</f>
      </c>
      <c r="AA1398">
        <f>[1]发票导入!AA1398&amp;""</f>
      </c>
      <c r="AB1398">
        <f>[1]发票导入!AB1398</f>
        <v>0</v>
      </c>
      <c r="AC1398">
        <f>[1]发票导入!AC1398</f>
        <v>0</v>
      </c>
      <c r="AE1398" s="22">
        <f t="shared" si="0"/>
      </c>
      <c r="AI1398">
        <f>[1]发票导入!AI1398&amp;""</f>
      </c>
      <c r="AJ1398">
        <f>[1]发票导入!AJ1398&amp;""</f>
      </c>
      <c r="AK1398">
        <f>[1]发票导入!AK1398</f>
        <v>0</v>
      </c>
      <c r="AL1398">
        <f>[1]发票导入!AL1398</f>
        <v>0</v>
      </c>
      <c r="AM1398">
        <f>[1]发票导入!AM1398</f>
        <v>0</v>
      </c>
      <c r="AN1398" s="22">
        <f t="shared" si="1"/>
        <v>0</v>
      </c>
      <c r="AO1398" s="22">
        <f t="shared" si="2"/>
        <v>0</v>
      </c>
    </row>
    <row r="1399">
      <c r="C1399">
        <f>[1]发票导入!C1399&amp;""</f>
      </c>
      <c r="D1399">
        <f>[1]发票导入!D1399&amp;""</f>
      </c>
      <c r="O1399">
        <f>[1]发票导入!O1399&amp;""</f>
      </c>
      <c r="T1399">
        <f>[1]发票导入!T1399</f>
      </c>
      <c r="U1399">
        <f>[1]发票导入!U1399&amp;""</f>
      </c>
      <c r="V1399">
        <f>[1]发票导入!V1399&amp;""</f>
      </c>
      <c r="W1399">
        <f>[1]发票导入!W1399&amp;""</f>
      </c>
      <c r="Y1399">
        <f>[1]发票导入!Y1399&amp;""</f>
      </c>
      <c r="AA1399">
        <f>[1]发票导入!AA1399&amp;""</f>
      </c>
      <c r="AB1399">
        <f>[1]发票导入!AB1399</f>
        <v>0</v>
      </c>
      <c r="AC1399">
        <f>[1]发票导入!AC1399</f>
        <v>0</v>
      </c>
      <c r="AE1399" s="22">
        <f t="shared" si="0"/>
      </c>
      <c r="AI1399">
        <f>[1]发票导入!AI1399&amp;""</f>
      </c>
      <c r="AJ1399">
        <f>[1]发票导入!AJ1399&amp;""</f>
      </c>
      <c r="AK1399">
        <f>[1]发票导入!AK1399</f>
        <v>0</v>
      </c>
      <c r="AL1399">
        <f>[1]发票导入!AL1399</f>
        <v>0</v>
      </c>
      <c r="AM1399">
        <f>[1]发票导入!AM1399</f>
        <v>0</v>
      </c>
      <c r="AN1399" s="22">
        <f t="shared" si="1"/>
        <v>0</v>
      </c>
      <c r="AO1399" s="22">
        <f t="shared" si="2"/>
        <v>0</v>
      </c>
    </row>
    <row r="1400">
      <c r="C1400">
        <f>[1]发票导入!C1400&amp;""</f>
      </c>
      <c r="D1400">
        <f>[1]发票导入!D1400&amp;""</f>
      </c>
      <c r="O1400">
        <f>[1]发票导入!O1400&amp;""</f>
      </c>
      <c r="T1400">
        <f>[1]发票导入!T1400</f>
      </c>
      <c r="U1400">
        <f>[1]发票导入!U1400&amp;""</f>
      </c>
      <c r="V1400">
        <f>[1]发票导入!V1400&amp;""</f>
      </c>
      <c r="W1400">
        <f>[1]发票导入!W1400&amp;""</f>
      </c>
      <c r="Y1400">
        <f>[1]发票导入!Y1400&amp;""</f>
      </c>
      <c r="AA1400">
        <f>[1]发票导入!AA1400&amp;""</f>
      </c>
      <c r="AB1400">
        <f>[1]发票导入!AB1400</f>
        <v>0</v>
      </c>
      <c r="AC1400">
        <f>[1]发票导入!AC1400</f>
        <v>0</v>
      </c>
      <c r="AE1400" s="22">
        <f t="shared" si="0"/>
      </c>
      <c r="AI1400">
        <f>[1]发票导入!AI1400&amp;""</f>
      </c>
      <c r="AJ1400">
        <f>[1]发票导入!AJ1400&amp;""</f>
      </c>
      <c r="AK1400">
        <f>[1]发票导入!AK1400</f>
        <v>0</v>
      </c>
      <c r="AL1400">
        <f>[1]发票导入!AL1400</f>
        <v>0</v>
      </c>
      <c r="AM1400">
        <f>[1]发票导入!AM1400</f>
        <v>0</v>
      </c>
      <c r="AN1400" s="22">
        <f t="shared" si="1"/>
        <v>0</v>
      </c>
      <c r="AO1400" s="22">
        <f t="shared" si="2"/>
        <v>0</v>
      </c>
    </row>
    <row r="1401">
      <c r="C1401">
        <f>[1]发票导入!C1401&amp;""</f>
      </c>
      <c r="D1401">
        <f>[1]发票导入!D1401&amp;""</f>
      </c>
      <c r="O1401">
        <f>[1]发票导入!O1401&amp;""</f>
      </c>
      <c r="T1401">
        <f>[1]发票导入!T1401</f>
      </c>
      <c r="U1401">
        <f>[1]发票导入!U1401&amp;""</f>
      </c>
      <c r="V1401">
        <f>[1]发票导入!V1401&amp;""</f>
      </c>
      <c r="W1401">
        <f>[1]发票导入!W1401&amp;""</f>
      </c>
      <c r="Y1401">
        <f>[1]发票导入!Y1401&amp;""</f>
      </c>
      <c r="AA1401">
        <f>[1]发票导入!AA1401&amp;""</f>
      </c>
      <c r="AB1401">
        <f>[1]发票导入!AB1401</f>
        <v>0</v>
      </c>
      <c r="AC1401">
        <f>[1]发票导入!AC1401</f>
        <v>0</v>
      </c>
      <c r="AE1401" s="22">
        <f t="shared" si="0"/>
      </c>
      <c r="AI1401">
        <f>[1]发票导入!AI1401&amp;""</f>
      </c>
      <c r="AJ1401">
        <f>[1]发票导入!AJ1401&amp;""</f>
      </c>
      <c r="AK1401">
        <f>[1]发票导入!AK1401</f>
        <v>0</v>
      </c>
      <c r="AL1401">
        <f>[1]发票导入!AL1401</f>
        <v>0</v>
      </c>
      <c r="AM1401">
        <f>[1]发票导入!AM1401</f>
        <v>0</v>
      </c>
      <c r="AN1401" s="22">
        <f t="shared" si="1"/>
        <v>0</v>
      </c>
      <c r="AO1401" s="22">
        <f t="shared" si="2"/>
        <v>0</v>
      </c>
    </row>
    <row r="1402">
      <c r="C1402">
        <f>[1]发票导入!C1402&amp;""</f>
      </c>
      <c r="D1402">
        <f>[1]发票导入!D1402&amp;""</f>
      </c>
      <c r="O1402">
        <f>[1]发票导入!O1402&amp;""</f>
      </c>
      <c r="T1402">
        <f>[1]发票导入!T1402</f>
      </c>
      <c r="U1402">
        <f>[1]发票导入!U1402&amp;""</f>
      </c>
      <c r="V1402">
        <f>[1]发票导入!V1402&amp;""</f>
      </c>
      <c r="W1402">
        <f>[1]发票导入!W1402&amp;""</f>
      </c>
      <c r="Y1402">
        <f>[1]发票导入!Y1402&amp;""</f>
      </c>
      <c r="AA1402">
        <f>[1]发票导入!AA1402&amp;""</f>
      </c>
      <c r="AB1402">
        <f>[1]发票导入!AB1402</f>
        <v>0</v>
      </c>
      <c r="AC1402">
        <f>[1]发票导入!AC1402</f>
        <v>0</v>
      </c>
      <c r="AE1402" s="22">
        <f t="shared" si="0"/>
      </c>
      <c r="AI1402">
        <f>[1]发票导入!AI1402&amp;""</f>
      </c>
      <c r="AJ1402">
        <f>[1]发票导入!AJ1402&amp;""</f>
      </c>
      <c r="AK1402">
        <f>[1]发票导入!AK1402</f>
        <v>0</v>
      </c>
      <c r="AL1402">
        <f>[1]发票导入!AL1402</f>
        <v>0</v>
      </c>
      <c r="AM1402">
        <f>[1]发票导入!AM1402</f>
        <v>0</v>
      </c>
      <c r="AN1402" s="22">
        <f t="shared" si="1"/>
        <v>0</v>
      </c>
      <c r="AO1402" s="22">
        <f t="shared" si="2"/>
        <v>0</v>
      </c>
    </row>
    <row r="1403">
      <c r="C1403">
        <f>[1]发票导入!C1403&amp;""</f>
      </c>
      <c r="D1403">
        <f>[1]发票导入!D1403&amp;""</f>
      </c>
      <c r="O1403">
        <f>[1]发票导入!O1403&amp;""</f>
      </c>
      <c r="T1403">
        <f>[1]发票导入!T1403</f>
      </c>
      <c r="U1403">
        <f>[1]发票导入!U1403&amp;""</f>
      </c>
      <c r="V1403">
        <f>[1]发票导入!V1403&amp;""</f>
      </c>
      <c r="W1403">
        <f>[1]发票导入!W1403&amp;""</f>
      </c>
      <c r="Y1403">
        <f>[1]发票导入!Y1403&amp;""</f>
      </c>
      <c r="AA1403">
        <f>[1]发票导入!AA1403&amp;""</f>
      </c>
      <c r="AB1403">
        <f>[1]发票导入!AB1403</f>
        <v>0</v>
      </c>
      <c r="AC1403">
        <f>[1]发票导入!AC1403</f>
        <v>0</v>
      </c>
      <c r="AE1403" s="22">
        <f t="shared" si="0"/>
      </c>
      <c r="AI1403">
        <f>[1]发票导入!AI1403&amp;""</f>
      </c>
      <c r="AJ1403">
        <f>[1]发票导入!AJ1403&amp;""</f>
      </c>
      <c r="AK1403">
        <f>[1]发票导入!AK1403</f>
        <v>0</v>
      </c>
      <c r="AL1403">
        <f>[1]发票导入!AL1403</f>
        <v>0</v>
      </c>
      <c r="AM1403">
        <f>[1]发票导入!AM1403</f>
        <v>0</v>
      </c>
      <c r="AN1403" s="22">
        <f t="shared" si="1"/>
        <v>0</v>
      </c>
      <c r="AO1403" s="22">
        <f t="shared" si="2"/>
        <v>0</v>
      </c>
    </row>
    <row r="1404">
      <c r="C1404">
        <f>[1]发票导入!C1404&amp;""</f>
      </c>
      <c r="D1404">
        <f>[1]发票导入!D1404&amp;""</f>
      </c>
      <c r="O1404">
        <f>[1]发票导入!O1404&amp;""</f>
      </c>
      <c r="T1404">
        <f>[1]发票导入!T1404</f>
      </c>
      <c r="U1404">
        <f>[1]发票导入!U1404&amp;""</f>
      </c>
      <c r="V1404">
        <f>[1]发票导入!V1404&amp;""</f>
      </c>
      <c r="W1404">
        <f>[1]发票导入!W1404&amp;""</f>
      </c>
      <c r="Y1404">
        <f>[1]发票导入!Y1404&amp;""</f>
      </c>
      <c r="AA1404">
        <f>[1]发票导入!AA1404&amp;""</f>
      </c>
      <c r="AB1404">
        <f>[1]发票导入!AB1404</f>
        <v>0</v>
      </c>
      <c r="AC1404">
        <f>[1]发票导入!AC1404</f>
        <v>0</v>
      </c>
      <c r="AE1404" s="22">
        <f t="shared" si="0"/>
      </c>
      <c r="AI1404">
        <f>[1]发票导入!AI1404&amp;""</f>
      </c>
      <c r="AJ1404">
        <f>[1]发票导入!AJ1404&amp;""</f>
      </c>
      <c r="AK1404">
        <f>[1]发票导入!AK1404</f>
        <v>0</v>
      </c>
      <c r="AL1404">
        <f>[1]发票导入!AL1404</f>
        <v>0</v>
      </c>
      <c r="AM1404">
        <f>[1]发票导入!AM1404</f>
        <v>0</v>
      </c>
      <c r="AN1404" s="22">
        <f t="shared" si="1"/>
        <v>0</v>
      </c>
      <c r="AO1404" s="22">
        <f t="shared" si="2"/>
        <v>0</v>
      </c>
    </row>
    <row r="1405">
      <c r="C1405">
        <f>[1]发票导入!C1405&amp;""</f>
      </c>
      <c r="D1405">
        <f>[1]发票导入!D1405&amp;""</f>
      </c>
      <c r="O1405">
        <f>[1]发票导入!O1405&amp;""</f>
      </c>
      <c r="T1405">
        <f>[1]发票导入!T1405</f>
      </c>
      <c r="U1405">
        <f>[1]发票导入!U1405&amp;""</f>
      </c>
      <c r="V1405">
        <f>[1]发票导入!V1405&amp;""</f>
      </c>
      <c r="W1405">
        <f>[1]发票导入!W1405&amp;""</f>
      </c>
      <c r="Y1405">
        <f>[1]发票导入!Y1405&amp;""</f>
      </c>
      <c r="AA1405">
        <f>[1]发票导入!AA1405&amp;""</f>
      </c>
      <c r="AB1405">
        <f>[1]发票导入!AB1405</f>
        <v>0</v>
      </c>
      <c r="AC1405">
        <f>[1]发票导入!AC1405</f>
        <v>0</v>
      </c>
      <c r="AE1405" s="22">
        <f t="shared" si="0"/>
      </c>
      <c r="AI1405">
        <f>[1]发票导入!AI1405&amp;""</f>
      </c>
      <c r="AJ1405">
        <f>[1]发票导入!AJ1405&amp;""</f>
      </c>
      <c r="AK1405">
        <f>[1]发票导入!AK1405</f>
        <v>0</v>
      </c>
      <c r="AL1405">
        <f>[1]发票导入!AL1405</f>
        <v>0</v>
      </c>
      <c r="AM1405">
        <f>[1]发票导入!AM1405</f>
        <v>0</v>
      </c>
      <c r="AN1405" s="22">
        <f t="shared" si="1"/>
        <v>0</v>
      </c>
      <c r="AO1405" s="22">
        <f t="shared" si="2"/>
        <v>0</v>
      </c>
    </row>
    <row r="1406">
      <c r="C1406">
        <f>[1]发票导入!C1406&amp;""</f>
      </c>
      <c r="D1406">
        <f>[1]发票导入!D1406&amp;""</f>
      </c>
      <c r="O1406">
        <f>[1]发票导入!O1406&amp;""</f>
      </c>
      <c r="T1406">
        <f>[1]发票导入!T1406</f>
      </c>
      <c r="U1406">
        <f>[1]发票导入!U1406&amp;""</f>
      </c>
      <c r="V1406">
        <f>[1]发票导入!V1406&amp;""</f>
      </c>
      <c r="W1406">
        <f>[1]发票导入!W1406&amp;""</f>
      </c>
      <c r="Y1406">
        <f>[1]发票导入!Y1406&amp;""</f>
      </c>
      <c r="AA1406">
        <f>[1]发票导入!AA1406&amp;""</f>
      </c>
      <c r="AB1406">
        <f>[1]发票导入!AB1406</f>
        <v>0</v>
      </c>
      <c r="AC1406">
        <f>[1]发票导入!AC1406</f>
        <v>0</v>
      </c>
      <c r="AE1406" s="22">
        <f t="shared" si="0"/>
      </c>
      <c r="AI1406">
        <f>[1]发票导入!AI1406&amp;""</f>
      </c>
      <c r="AJ1406">
        <f>[1]发票导入!AJ1406&amp;""</f>
      </c>
      <c r="AK1406">
        <f>[1]发票导入!AK1406</f>
        <v>0</v>
      </c>
      <c r="AL1406">
        <f>[1]发票导入!AL1406</f>
        <v>0</v>
      </c>
      <c r="AM1406">
        <f>[1]发票导入!AM1406</f>
        <v>0</v>
      </c>
      <c r="AN1406" s="22">
        <f t="shared" si="1"/>
        <v>0</v>
      </c>
      <c r="AO1406" s="22">
        <f t="shared" si="2"/>
        <v>0</v>
      </c>
    </row>
    <row r="1407">
      <c r="C1407">
        <f>[1]发票导入!C1407&amp;""</f>
      </c>
      <c r="D1407">
        <f>[1]发票导入!D1407&amp;""</f>
      </c>
      <c r="O1407">
        <f>[1]发票导入!O1407&amp;""</f>
      </c>
      <c r="T1407">
        <f>[1]发票导入!T1407</f>
      </c>
      <c r="U1407">
        <f>[1]发票导入!U1407&amp;""</f>
      </c>
      <c r="V1407">
        <f>[1]发票导入!V1407&amp;""</f>
      </c>
      <c r="W1407">
        <f>[1]发票导入!W1407&amp;""</f>
      </c>
      <c r="Y1407">
        <f>[1]发票导入!Y1407&amp;""</f>
      </c>
      <c r="AA1407">
        <f>[1]发票导入!AA1407&amp;""</f>
      </c>
      <c r="AB1407">
        <f>[1]发票导入!AB1407</f>
        <v>0</v>
      </c>
      <c r="AC1407">
        <f>[1]发票导入!AC1407</f>
        <v>0</v>
      </c>
      <c r="AE1407" s="22">
        <f t="shared" si="0"/>
      </c>
      <c r="AI1407">
        <f>[1]发票导入!AI1407&amp;""</f>
      </c>
      <c r="AJ1407">
        <f>[1]发票导入!AJ1407&amp;""</f>
      </c>
      <c r="AK1407">
        <f>[1]发票导入!AK1407</f>
        <v>0</v>
      </c>
      <c r="AL1407">
        <f>[1]发票导入!AL1407</f>
        <v>0</v>
      </c>
      <c r="AM1407">
        <f>[1]发票导入!AM1407</f>
        <v>0</v>
      </c>
      <c r="AN1407" s="22">
        <f t="shared" si="1"/>
        <v>0</v>
      </c>
      <c r="AO1407" s="22">
        <f t="shared" si="2"/>
        <v>0</v>
      </c>
    </row>
    <row r="1408">
      <c r="C1408">
        <f>[1]发票导入!C1408&amp;""</f>
      </c>
      <c r="D1408">
        <f>[1]发票导入!D1408&amp;""</f>
      </c>
      <c r="O1408">
        <f>[1]发票导入!O1408&amp;""</f>
      </c>
      <c r="T1408">
        <f>[1]发票导入!T1408</f>
      </c>
      <c r="U1408">
        <f>[1]发票导入!U1408&amp;""</f>
      </c>
      <c r="V1408">
        <f>[1]发票导入!V1408&amp;""</f>
      </c>
      <c r="W1408">
        <f>[1]发票导入!W1408&amp;""</f>
      </c>
      <c r="Y1408">
        <f>[1]发票导入!Y1408&amp;""</f>
      </c>
      <c r="AA1408">
        <f>[1]发票导入!AA1408&amp;""</f>
      </c>
      <c r="AB1408">
        <f>[1]发票导入!AB1408</f>
        <v>0</v>
      </c>
      <c r="AC1408">
        <f>[1]发票导入!AC1408</f>
        <v>0</v>
      </c>
      <c r="AE1408" s="22">
        <f t="shared" si="0"/>
      </c>
      <c r="AI1408">
        <f>[1]发票导入!AI1408&amp;""</f>
      </c>
      <c r="AJ1408">
        <f>[1]发票导入!AJ1408&amp;""</f>
      </c>
      <c r="AK1408">
        <f>[1]发票导入!AK1408</f>
        <v>0</v>
      </c>
      <c r="AL1408">
        <f>[1]发票导入!AL1408</f>
        <v>0</v>
      </c>
      <c r="AM1408">
        <f>[1]发票导入!AM1408</f>
        <v>0</v>
      </c>
      <c r="AN1408" s="22">
        <f t="shared" si="1"/>
        <v>0</v>
      </c>
      <c r="AO1408" s="22">
        <f t="shared" si="2"/>
        <v>0</v>
      </c>
    </row>
    <row r="1409">
      <c r="C1409">
        <f>[1]发票导入!C1409&amp;""</f>
      </c>
      <c r="D1409">
        <f>[1]发票导入!D1409&amp;""</f>
      </c>
      <c r="O1409">
        <f>[1]发票导入!O1409&amp;""</f>
      </c>
      <c r="T1409">
        <f>[1]发票导入!T1409</f>
      </c>
      <c r="U1409">
        <f>[1]发票导入!U1409&amp;""</f>
      </c>
      <c r="V1409">
        <f>[1]发票导入!V1409&amp;""</f>
      </c>
      <c r="W1409">
        <f>[1]发票导入!W1409&amp;""</f>
      </c>
      <c r="Y1409">
        <f>[1]发票导入!Y1409&amp;""</f>
      </c>
      <c r="AA1409">
        <f>[1]发票导入!AA1409&amp;""</f>
      </c>
      <c r="AB1409">
        <f>[1]发票导入!AB1409</f>
        <v>0</v>
      </c>
      <c r="AC1409">
        <f>[1]发票导入!AC1409</f>
        <v>0</v>
      </c>
      <c r="AE1409" s="22">
        <f t="shared" si="0"/>
      </c>
      <c r="AI1409">
        <f>[1]发票导入!AI1409&amp;""</f>
      </c>
      <c r="AJ1409">
        <f>[1]发票导入!AJ1409&amp;""</f>
      </c>
      <c r="AK1409">
        <f>[1]发票导入!AK1409</f>
        <v>0</v>
      </c>
      <c r="AL1409">
        <f>[1]发票导入!AL1409</f>
        <v>0</v>
      </c>
      <c r="AM1409">
        <f>[1]发票导入!AM1409</f>
        <v>0</v>
      </c>
      <c r="AN1409" s="22">
        <f t="shared" si="1"/>
        <v>0</v>
      </c>
      <c r="AO1409" s="22">
        <f t="shared" si="2"/>
        <v>0</v>
      </c>
    </row>
    <row r="1410">
      <c r="C1410">
        <f>[1]发票导入!C1410&amp;""</f>
      </c>
      <c r="D1410">
        <f>[1]发票导入!D1410&amp;""</f>
      </c>
      <c r="O1410">
        <f>[1]发票导入!O1410&amp;""</f>
      </c>
      <c r="T1410">
        <f>[1]发票导入!T1410</f>
      </c>
      <c r="U1410">
        <f>[1]发票导入!U1410&amp;""</f>
      </c>
      <c r="V1410">
        <f>[1]发票导入!V1410&amp;""</f>
      </c>
      <c r="W1410">
        <f>[1]发票导入!W1410&amp;""</f>
      </c>
      <c r="Y1410">
        <f>[1]发票导入!Y1410&amp;""</f>
      </c>
      <c r="AA1410">
        <f>[1]发票导入!AA1410&amp;""</f>
      </c>
      <c r="AB1410">
        <f>[1]发票导入!AB1410</f>
        <v>0</v>
      </c>
      <c r="AC1410">
        <f>[1]发票导入!AC1410</f>
        <v>0</v>
      </c>
      <c r="AE1410" s="22">
        <f t="shared" si="0"/>
      </c>
      <c r="AI1410">
        <f>[1]发票导入!AI1410&amp;""</f>
      </c>
      <c r="AJ1410">
        <f>[1]发票导入!AJ1410&amp;""</f>
      </c>
      <c r="AK1410">
        <f>[1]发票导入!AK1410</f>
        <v>0</v>
      </c>
      <c r="AL1410">
        <f>[1]发票导入!AL1410</f>
        <v>0</v>
      </c>
      <c r="AM1410">
        <f>[1]发票导入!AM1410</f>
        <v>0</v>
      </c>
      <c r="AN1410" s="22">
        <f t="shared" si="1"/>
        <v>0</v>
      </c>
      <c r="AO1410" s="22">
        <f t="shared" si="2"/>
        <v>0</v>
      </c>
    </row>
    <row r="1411">
      <c r="C1411">
        <f>[1]发票导入!C1411&amp;""</f>
      </c>
      <c r="D1411">
        <f>[1]发票导入!D1411&amp;""</f>
      </c>
      <c r="O1411">
        <f>[1]发票导入!O1411&amp;""</f>
      </c>
      <c r="T1411">
        <f>[1]发票导入!T1411</f>
      </c>
      <c r="U1411">
        <f>[1]发票导入!U1411&amp;""</f>
      </c>
      <c r="V1411">
        <f>[1]发票导入!V1411&amp;""</f>
      </c>
      <c r="W1411">
        <f>[1]发票导入!W1411&amp;""</f>
      </c>
      <c r="Y1411">
        <f>[1]发票导入!Y1411&amp;""</f>
      </c>
      <c r="AA1411">
        <f>[1]发票导入!AA1411&amp;""</f>
      </c>
      <c r="AB1411">
        <f>[1]发票导入!AB1411</f>
        <v>0</v>
      </c>
      <c r="AC1411">
        <f>[1]发票导入!AC1411</f>
        <v>0</v>
      </c>
      <c r="AE1411" s="22">
        <f t="shared" si="0"/>
      </c>
      <c r="AI1411">
        <f>[1]发票导入!AI1411&amp;""</f>
      </c>
      <c r="AJ1411">
        <f>[1]发票导入!AJ1411&amp;""</f>
      </c>
      <c r="AK1411">
        <f>[1]发票导入!AK1411</f>
        <v>0</v>
      </c>
      <c r="AL1411">
        <f>[1]发票导入!AL1411</f>
        <v>0</v>
      </c>
      <c r="AM1411">
        <f>[1]发票导入!AM1411</f>
        <v>0</v>
      </c>
      <c r="AN1411" s="22">
        <f t="shared" si="1"/>
        <v>0</v>
      </c>
      <c r="AO1411" s="22">
        <f t="shared" si="2"/>
        <v>0</v>
      </c>
    </row>
    <row r="1412">
      <c r="C1412">
        <f>[1]发票导入!C1412&amp;""</f>
      </c>
      <c r="D1412">
        <f>[1]发票导入!D1412&amp;""</f>
      </c>
      <c r="O1412">
        <f>[1]发票导入!O1412&amp;""</f>
      </c>
      <c r="T1412">
        <f>[1]发票导入!T1412</f>
      </c>
      <c r="U1412">
        <f>[1]发票导入!U1412&amp;""</f>
      </c>
      <c r="V1412">
        <f>[1]发票导入!V1412&amp;""</f>
      </c>
      <c r="W1412">
        <f>[1]发票导入!W1412&amp;""</f>
      </c>
      <c r="Y1412">
        <f>[1]发票导入!Y1412&amp;""</f>
      </c>
      <c r="AA1412">
        <f>[1]发票导入!AA1412&amp;""</f>
      </c>
      <c r="AB1412">
        <f>[1]发票导入!AB1412</f>
        <v>0</v>
      </c>
      <c r="AC1412">
        <f>[1]发票导入!AC1412</f>
        <v>0</v>
      </c>
      <c r="AE1412" s="22">
        <f t="shared" si="0"/>
      </c>
      <c r="AI1412">
        <f>[1]发票导入!AI1412&amp;""</f>
      </c>
      <c r="AJ1412">
        <f>[1]发票导入!AJ1412&amp;""</f>
      </c>
      <c r="AK1412">
        <f>[1]发票导入!AK1412</f>
        <v>0</v>
      </c>
      <c r="AL1412">
        <f>[1]发票导入!AL1412</f>
        <v>0</v>
      </c>
      <c r="AM1412">
        <f>[1]发票导入!AM1412</f>
        <v>0</v>
      </c>
      <c r="AN1412" s="22">
        <f t="shared" si="1"/>
        <v>0</v>
      </c>
      <c r="AO1412" s="22">
        <f t="shared" si="2"/>
        <v>0</v>
      </c>
    </row>
    <row r="1413">
      <c r="C1413">
        <f>[1]发票导入!C1413&amp;""</f>
      </c>
      <c r="D1413">
        <f>[1]发票导入!D1413&amp;""</f>
      </c>
      <c r="O1413">
        <f>[1]发票导入!O1413&amp;""</f>
      </c>
      <c r="T1413">
        <f>[1]发票导入!T1413</f>
      </c>
      <c r="U1413">
        <f>[1]发票导入!U1413&amp;""</f>
      </c>
      <c r="V1413">
        <f>[1]发票导入!V1413&amp;""</f>
      </c>
      <c r="W1413">
        <f>[1]发票导入!W1413&amp;""</f>
      </c>
      <c r="Y1413">
        <f>[1]发票导入!Y1413&amp;""</f>
      </c>
      <c r="AA1413">
        <f>[1]发票导入!AA1413&amp;""</f>
      </c>
      <c r="AB1413">
        <f>[1]发票导入!AB1413</f>
        <v>0</v>
      </c>
      <c r="AC1413">
        <f>[1]发票导入!AC1413</f>
        <v>0</v>
      </c>
      <c r="AE1413" s="22">
        <f t="shared" si="0"/>
      </c>
      <c r="AI1413">
        <f>[1]发票导入!AI1413&amp;""</f>
      </c>
      <c r="AJ1413">
        <f>[1]发票导入!AJ1413&amp;""</f>
      </c>
      <c r="AK1413">
        <f>[1]发票导入!AK1413</f>
        <v>0</v>
      </c>
      <c r="AL1413">
        <f>[1]发票导入!AL1413</f>
        <v>0</v>
      </c>
      <c r="AM1413">
        <f>[1]发票导入!AM1413</f>
        <v>0</v>
      </c>
      <c r="AN1413" s="22">
        <f t="shared" si="1"/>
        <v>0</v>
      </c>
      <c r="AO1413" s="22">
        <f t="shared" si="2"/>
        <v>0</v>
      </c>
    </row>
    <row r="1414">
      <c r="C1414">
        <f>[1]发票导入!C1414&amp;""</f>
      </c>
      <c r="D1414">
        <f>[1]发票导入!D1414&amp;""</f>
      </c>
      <c r="O1414">
        <f>[1]发票导入!O1414&amp;""</f>
      </c>
      <c r="T1414">
        <f>[1]发票导入!T1414</f>
      </c>
      <c r="U1414">
        <f>[1]发票导入!U1414&amp;""</f>
      </c>
      <c r="V1414">
        <f>[1]发票导入!V1414&amp;""</f>
      </c>
      <c r="W1414">
        <f>[1]发票导入!W1414&amp;""</f>
      </c>
      <c r="Y1414">
        <f>[1]发票导入!Y1414&amp;""</f>
      </c>
      <c r="AA1414">
        <f>[1]发票导入!AA1414&amp;""</f>
      </c>
      <c r="AB1414">
        <f>[1]发票导入!AB1414</f>
        <v>0</v>
      </c>
      <c r="AC1414">
        <f>[1]发票导入!AC1414</f>
        <v>0</v>
      </c>
      <c r="AE1414" s="22">
        <f t="shared" si="0"/>
      </c>
      <c r="AI1414">
        <f>[1]发票导入!AI1414&amp;""</f>
      </c>
      <c r="AJ1414">
        <f>[1]发票导入!AJ1414&amp;""</f>
      </c>
      <c r="AK1414">
        <f>[1]发票导入!AK1414</f>
        <v>0</v>
      </c>
      <c r="AL1414">
        <f>[1]发票导入!AL1414</f>
        <v>0</v>
      </c>
      <c r="AM1414">
        <f>[1]发票导入!AM1414</f>
        <v>0</v>
      </c>
      <c r="AN1414" s="22">
        <f t="shared" si="1"/>
        <v>0</v>
      </c>
      <c r="AO1414" s="22">
        <f t="shared" si="2"/>
        <v>0</v>
      </c>
    </row>
    <row r="1415">
      <c r="C1415">
        <f>[1]发票导入!C1415&amp;""</f>
      </c>
      <c r="D1415">
        <f>[1]发票导入!D1415&amp;""</f>
      </c>
      <c r="O1415">
        <f>[1]发票导入!O1415&amp;""</f>
      </c>
      <c r="T1415">
        <f>[1]发票导入!T1415</f>
      </c>
      <c r="U1415">
        <f>[1]发票导入!U1415&amp;""</f>
      </c>
      <c r="V1415">
        <f>[1]发票导入!V1415&amp;""</f>
      </c>
      <c r="W1415">
        <f>[1]发票导入!W1415&amp;""</f>
      </c>
      <c r="Y1415">
        <f>[1]发票导入!Y1415&amp;""</f>
      </c>
      <c r="AA1415">
        <f>[1]发票导入!AA1415&amp;""</f>
      </c>
      <c r="AB1415">
        <f>[1]发票导入!AB1415</f>
        <v>0</v>
      </c>
      <c r="AC1415">
        <f>[1]发票导入!AC1415</f>
        <v>0</v>
      </c>
      <c r="AE1415" s="22">
        <f t="shared" si="0"/>
      </c>
      <c r="AI1415">
        <f>[1]发票导入!AI1415&amp;""</f>
      </c>
      <c r="AJ1415">
        <f>[1]发票导入!AJ1415&amp;""</f>
      </c>
      <c r="AK1415">
        <f>[1]发票导入!AK1415</f>
        <v>0</v>
      </c>
      <c r="AL1415">
        <f>[1]发票导入!AL1415</f>
        <v>0</v>
      </c>
      <c r="AM1415">
        <f>[1]发票导入!AM1415</f>
        <v>0</v>
      </c>
      <c r="AN1415" s="22">
        <f t="shared" si="1"/>
        <v>0</v>
      </c>
      <c r="AO1415" s="22">
        <f t="shared" si="2"/>
        <v>0</v>
      </c>
    </row>
    <row r="1416">
      <c r="C1416">
        <f>[1]发票导入!C1416&amp;""</f>
      </c>
      <c r="D1416">
        <f>[1]发票导入!D1416&amp;""</f>
      </c>
      <c r="O1416">
        <f>[1]发票导入!O1416&amp;""</f>
      </c>
      <c r="T1416">
        <f>[1]发票导入!T1416</f>
      </c>
      <c r="U1416">
        <f>[1]发票导入!U1416&amp;""</f>
      </c>
      <c r="V1416">
        <f>[1]发票导入!V1416&amp;""</f>
      </c>
      <c r="W1416">
        <f>[1]发票导入!W1416&amp;""</f>
      </c>
      <c r="Y1416">
        <f>[1]发票导入!Y1416&amp;""</f>
      </c>
      <c r="AA1416">
        <f>[1]发票导入!AA1416&amp;""</f>
      </c>
      <c r="AB1416">
        <f>[1]发票导入!AB1416</f>
        <v>0</v>
      </c>
      <c r="AC1416">
        <f>[1]发票导入!AC1416</f>
        <v>0</v>
      </c>
      <c r="AE1416" s="22">
        <f t="shared" si="0"/>
      </c>
      <c r="AI1416">
        <f>[1]发票导入!AI1416&amp;""</f>
      </c>
      <c r="AJ1416">
        <f>[1]发票导入!AJ1416&amp;""</f>
      </c>
      <c r="AK1416">
        <f>[1]发票导入!AK1416</f>
        <v>0</v>
      </c>
      <c r="AL1416">
        <f>[1]发票导入!AL1416</f>
        <v>0</v>
      </c>
      <c r="AM1416">
        <f>[1]发票导入!AM1416</f>
        <v>0</v>
      </c>
      <c r="AN1416" s="22">
        <f t="shared" si="1"/>
        <v>0</v>
      </c>
      <c r="AO1416" s="22">
        <f t="shared" si="2"/>
        <v>0</v>
      </c>
    </row>
    <row r="1417">
      <c r="C1417">
        <f>[1]发票导入!C1417&amp;""</f>
      </c>
      <c r="D1417">
        <f>[1]发票导入!D1417&amp;""</f>
      </c>
      <c r="O1417">
        <f>[1]发票导入!O1417&amp;""</f>
      </c>
      <c r="T1417">
        <f>[1]发票导入!T1417</f>
      </c>
      <c r="U1417">
        <f>[1]发票导入!U1417&amp;""</f>
      </c>
      <c r="V1417">
        <f>[1]发票导入!V1417&amp;""</f>
      </c>
      <c r="W1417">
        <f>[1]发票导入!W1417&amp;""</f>
      </c>
      <c r="Y1417">
        <f>[1]发票导入!Y1417&amp;""</f>
      </c>
      <c r="AA1417">
        <f>[1]发票导入!AA1417&amp;""</f>
      </c>
      <c r="AB1417">
        <f>[1]发票导入!AB1417</f>
        <v>0</v>
      </c>
      <c r="AC1417">
        <f>[1]发票导入!AC1417</f>
        <v>0</v>
      </c>
      <c r="AE1417" s="22">
        <f t="shared" si="0"/>
      </c>
      <c r="AI1417">
        <f>[1]发票导入!AI1417&amp;""</f>
      </c>
      <c r="AJ1417">
        <f>[1]发票导入!AJ1417&amp;""</f>
      </c>
      <c r="AK1417">
        <f>[1]发票导入!AK1417</f>
        <v>0</v>
      </c>
      <c r="AL1417">
        <f>[1]发票导入!AL1417</f>
        <v>0</v>
      </c>
      <c r="AM1417">
        <f>[1]发票导入!AM1417</f>
        <v>0</v>
      </c>
      <c r="AN1417" s="22">
        <f t="shared" si="1"/>
        <v>0</v>
      </c>
      <c r="AO1417" s="22">
        <f t="shared" si="2"/>
        <v>0</v>
      </c>
    </row>
    <row r="1418">
      <c r="C1418">
        <f>[1]发票导入!C1418&amp;""</f>
      </c>
      <c r="D1418">
        <f>[1]发票导入!D1418&amp;""</f>
      </c>
      <c r="O1418">
        <f>[1]发票导入!O1418&amp;""</f>
      </c>
      <c r="T1418">
        <f>[1]发票导入!T1418</f>
      </c>
      <c r="U1418">
        <f>[1]发票导入!U1418&amp;""</f>
      </c>
      <c r="V1418">
        <f>[1]发票导入!V1418&amp;""</f>
      </c>
      <c r="W1418">
        <f>[1]发票导入!W1418&amp;""</f>
      </c>
      <c r="Y1418">
        <f>[1]发票导入!Y1418&amp;""</f>
      </c>
      <c r="AA1418">
        <f>[1]发票导入!AA1418&amp;""</f>
      </c>
      <c r="AB1418">
        <f>[1]发票导入!AB1418</f>
        <v>0</v>
      </c>
      <c r="AC1418">
        <f>[1]发票导入!AC1418</f>
        <v>0</v>
      </c>
      <c r="AE1418" s="22">
        <f t="shared" si="0"/>
      </c>
      <c r="AI1418">
        <f>[1]发票导入!AI1418&amp;""</f>
      </c>
      <c r="AJ1418">
        <f>[1]发票导入!AJ1418&amp;""</f>
      </c>
      <c r="AK1418">
        <f>[1]发票导入!AK1418</f>
        <v>0</v>
      </c>
      <c r="AL1418">
        <f>[1]发票导入!AL1418</f>
        <v>0</v>
      </c>
      <c r="AM1418">
        <f>[1]发票导入!AM1418</f>
        <v>0</v>
      </c>
      <c r="AN1418" s="22">
        <f t="shared" si="1"/>
        <v>0</v>
      </c>
      <c r="AO1418" s="22">
        <f t="shared" si="2"/>
        <v>0</v>
      </c>
    </row>
    <row r="1419">
      <c r="C1419">
        <f>[1]发票导入!C1419&amp;""</f>
      </c>
      <c r="D1419">
        <f>[1]发票导入!D1419&amp;""</f>
      </c>
      <c r="O1419">
        <f>[1]发票导入!O1419&amp;""</f>
      </c>
      <c r="T1419">
        <f>[1]发票导入!T1419</f>
      </c>
      <c r="U1419">
        <f>[1]发票导入!U1419&amp;""</f>
      </c>
      <c r="V1419">
        <f>[1]发票导入!V1419&amp;""</f>
      </c>
      <c r="W1419">
        <f>[1]发票导入!W1419&amp;""</f>
      </c>
      <c r="Y1419">
        <f>[1]发票导入!Y1419&amp;""</f>
      </c>
      <c r="AA1419">
        <f>[1]发票导入!AA1419&amp;""</f>
      </c>
      <c r="AB1419">
        <f>[1]发票导入!AB1419</f>
        <v>0</v>
      </c>
      <c r="AC1419">
        <f>[1]发票导入!AC1419</f>
        <v>0</v>
      </c>
      <c r="AE1419" s="22">
        <f t="shared" si="0"/>
      </c>
      <c r="AI1419">
        <f>[1]发票导入!AI1419&amp;""</f>
      </c>
      <c r="AJ1419">
        <f>[1]发票导入!AJ1419&amp;""</f>
      </c>
      <c r="AK1419">
        <f>[1]发票导入!AK1419</f>
        <v>0</v>
      </c>
      <c r="AL1419">
        <f>[1]发票导入!AL1419</f>
        <v>0</v>
      </c>
      <c r="AM1419">
        <f>[1]发票导入!AM1419</f>
        <v>0</v>
      </c>
      <c r="AN1419" s="22">
        <f t="shared" si="1"/>
        <v>0</v>
      </c>
      <c r="AO1419" s="22">
        <f t="shared" si="2"/>
        <v>0</v>
      </c>
    </row>
    <row r="1420">
      <c r="C1420">
        <f>[1]发票导入!C1420&amp;""</f>
      </c>
      <c r="D1420">
        <f>[1]发票导入!D1420&amp;""</f>
      </c>
      <c r="O1420">
        <f>[1]发票导入!O1420&amp;""</f>
      </c>
      <c r="T1420">
        <f>[1]发票导入!T1420</f>
      </c>
      <c r="U1420">
        <f>[1]发票导入!U1420&amp;""</f>
      </c>
      <c r="V1420">
        <f>[1]发票导入!V1420&amp;""</f>
      </c>
      <c r="W1420">
        <f>[1]发票导入!W1420&amp;""</f>
      </c>
      <c r="Y1420">
        <f>[1]发票导入!Y1420&amp;""</f>
      </c>
      <c r="AA1420">
        <f>[1]发票导入!AA1420&amp;""</f>
      </c>
      <c r="AB1420">
        <f>[1]发票导入!AB1420</f>
        <v>0</v>
      </c>
      <c r="AC1420">
        <f>[1]发票导入!AC1420</f>
        <v>0</v>
      </c>
      <c r="AE1420" s="22">
        <f t="shared" si="0"/>
      </c>
      <c r="AI1420">
        <f>[1]发票导入!AI1420&amp;""</f>
      </c>
      <c r="AJ1420">
        <f>[1]发票导入!AJ1420&amp;""</f>
      </c>
      <c r="AK1420">
        <f>[1]发票导入!AK1420</f>
        <v>0</v>
      </c>
      <c r="AL1420">
        <f>[1]发票导入!AL1420</f>
        <v>0</v>
      </c>
      <c r="AM1420">
        <f>[1]发票导入!AM1420</f>
        <v>0</v>
      </c>
      <c r="AN1420" s="22">
        <f t="shared" si="1"/>
        <v>0</v>
      </c>
      <c r="AO1420" s="22">
        <f t="shared" si="2"/>
        <v>0</v>
      </c>
    </row>
    <row r="1421">
      <c r="C1421">
        <f>[1]发票导入!C1421&amp;""</f>
      </c>
      <c r="D1421">
        <f>[1]发票导入!D1421&amp;""</f>
      </c>
      <c r="O1421">
        <f>[1]发票导入!O1421&amp;""</f>
      </c>
      <c r="T1421">
        <f>[1]发票导入!T1421</f>
      </c>
      <c r="U1421">
        <f>[1]发票导入!U1421&amp;""</f>
      </c>
      <c r="V1421">
        <f>[1]发票导入!V1421&amp;""</f>
      </c>
      <c r="W1421">
        <f>[1]发票导入!W1421&amp;""</f>
      </c>
      <c r="Y1421">
        <f>[1]发票导入!Y1421&amp;""</f>
      </c>
      <c r="AA1421">
        <f>[1]发票导入!AA1421&amp;""</f>
      </c>
      <c r="AB1421">
        <f>[1]发票导入!AB1421</f>
        <v>0</v>
      </c>
      <c r="AC1421">
        <f>[1]发票导入!AC1421</f>
        <v>0</v>
      </c>
      <c r="AE1421" s="22">
        <f t="shared" si="0"/>
      </c>
      <c r="AI1421">
        <f>[1]发票导入!AI1421&amp;""</f>
      </c>
      <c r="AJ1421">
        <f>[1]发票导入!AJ1421&amp;""</f>
      </c>
      <c r="AK1421">
        <f>[1]发票导入!AK1421</f>
        <v>0</v>
      </c>
      <c r="AL1421">
        <f>[1]发票导入!AL1421</f>
        <v>0</v>
      </c>
      <c r="AM1421">
        <f>[1]发票导入!AM1421</f>
        <v>0</v>
      </c>
      <c r="AN1421" s="22">
        <f t="shared" si="1"/>
        <v>0</v>
      </c>
      <c r="AO1421" s="22">
        <f t="shared" si="2"/>
        <v>0</v>
      </c>
    </row>
    <row r="1422">
      <c r="C1422">
        <f>[1]发票导入!C1422&amp;""</f>
      </c>
      <c r="D1422">
        <f>[1]发票导入!D1422&amp;""</f>
      </c>
      <c r="O1422">
        <f>[1]发票导入!O1422&amp;""</f>
      </c>
      <c r="T1422">
        <f>[1]发票导入!T1422</f>
      </c>
      <c r="U1422">
        <f>[1]发票导入!U1422&amp;""</f>
      </c>
      <c r="V1422">
        <f>[1]发票导入!V1422&amp;""</f>
      </c>
      <c r="W1422">
        <f>[1]发票导入!W1422&amp;""</f>
      </c>
      <c r="Y1422">
        <f>[1]发票导入!Y1422&amp;""</f>
      </c>
      <c r="AA1422">
        <f>[1]发票导入!AA1422&amp;""</f>
      </c>
      <c r="AB1422">
        <f>[1]发票导入!AB1422</f>
        <v>0</v>
      </c>
      <c r="AC1422">
        <f>[1]发票导入!AC1422</f>
        <v>0</v>
      </c>
      <c r="AE1422" s="22">
        <f t="shared" si="0"/>
      </c>
      <c r="AI1422">
        <f>[1]发票导入!AI1422&amp;""</f>
      </c>
      <c r="AJ1422">
        <f>[1]发票导入!AJ1422&amp;""</f>
      </c>
      <c r="AK1422">
        <f>[1]发票导入!AK1422</f>
        <v>0</v>
      </c>
      <c r="AL1422">
        <f>[1]发票导入!AL1422</f>
        <v>0</v>
      </c>
      <c r="AM1422">
        <f>[1]发票导入!AM1422</f>
        <v>0</v>
      </c>
      <c r="AN1422" s="22">
        <f t="shared" si="1"/>
        <v>0</v>
      </c>
      <c r="AO1422" s="22">
        <f t="shared" si="2"/>
        <v>0</v>
      </c>
    </row>
    <row r="1423">
      <c r="C1423">
        <f>[1]发票导入!C1423&amp;""</f>
      </c>
      <c r="D1423">
        <f>[1]发票导入!D1423&amp;""</f>
      </c>
      <c r="O1423">
        <f>[1]发票导入!O1423&amp;""</f>
      </c>
      <c r="T1423">
        <f>[1]发票导入!T1423</f>
      </c>
      <c r="U1423">
        <f>[1]发票导入!U1423&amp;""</f>
      </c>
      <c r="V1423">
        <f>[1]发票导入!V1423&amp;""</f>
      </c>
      <c r="W1423">
        <f>[1]发票导入!W1423&amp;""</f>
      </c>
      <c r="Y1423">
        <f>[1]发票导入!Y1423&amp;""</f>
      </c>
      <c r="AA1423">
        <f>[1]发票导入!AA1423&amp;""</f>
      </c>
      <c r="AB1423">
        <f>[1]发票导入!AB1423</f>
        <v>0</v>
      </c>
      <c r="AC1423">
        <f>[1]发票导入!AC1423</f>
        <v>0</v>
      </c>
      <c r="AE1423" s="22">
        <f t="shared" si="0"/>
      </c>
      <c r="AI1423">
        <f>[1]发票导入!AI1423&amp;""</f>
      </c>
      <c r="AJ1423">
        <f>[1]发票导入!AJ1423&amp;""</f>
      </c>
      <c r="AK1423">
        <f>[1]发票导入!AK1423</f>
        <v>0</v>
      </c>
      <c r="AL1423">
        <f>[1]发票导入!AL1423</f>
        <v>0</v>
      </c>
      <c r="AM1423">
        <f>[1]发票导入!AM1423</f>
        <v>0</v>
      </c>
      <c r="AN1423" s="22">
        <f t="shared" si="1"/>
        <v>0</v>
      </c>
      <c r="AO1423" s="22">
        <f t="shared" si="2"/>
        <v>0</v>
      </c>
    </row>
    <row r="1424">
      <c r="C1424">
        <f>[1]发票导入!C1424&amp;""</f>
      </c>
      <c r="D1424">
        <f>[1]发票导入!D1424&amp;""</f>
      </c>
      <c r="O1424">
        <f>[1]发票导入!O1424&amp;""</f>
      </c>
      <c r="T1424">
        <f>[1]发票导入!T1424</f>
      </c>
      <c r="U1424">
        <f>[1]发票导入!U1424&amp;""</f>
      </c>
      <c r="V1424">
        <f>[1]发票导入!V1424&amp;""</f>
      </c>
      <c r="W1424">
        <f>[1]发票导入!W1424&amp;""</f>
      </c>
      <c r="Y1424">
        <f>[1]发票导入!Y1424&amp;""</f>
      </c>
      <c r="AA1424">
        <f>[1]发票导入!AA1424&amp;""</f>
      </c>
      <c r="AB1424">
        <f>[1]发票导入!AB1424</f>
        <v>0</v>
      </c>
      <c r="AC1424">
        <f>[1]发票导入!AC1424</f>
        <v>0</v>
      </c>
      <c r="AE1424" s="22">
        <f t="shared" si="0"/>
      </c>
      <c r="AI1424">
        <f>[1]发票导入!AI1424&amp;""</f>
      </c>
      <c r="AJ1424">
        <f>[1]发票导入!AJ1424&amp;""</f>
      </c>
      <c r="AK1424">
        <f>[1]发票导入!AK1424</f>
        <v>0</v>
      </c>
      <c r="AL1424">
        <f>[1]发票导入!AL1424</f>
        <v>0</v>
      </c>
      <c r="AM1424">
        <f>[1]发票导入!AM1424</f>
        <v>0</v>
      </c>
      <c r="AN1424" s="22">
        <f t="shared" si="1"/>
        <v>0</v>
      </c>
      <c r="AO1424" s="22">
        <f t="shared" si="2"/>
        <v>0</v>
      </c>
    </row>
    <row r="1425">
      <c r="C1425">
        <f>[1]发票导入!C1425&amp;""</f>
      </c>
      <c r="D1425">
        <f>[1]发票导入!D1425&amp;""</f>
      </c>
      <c r="O1425">
        <f>[1]发票导入!O1425&amp;""</f>
      </c>
      <c r="T1425">
        <f>[1]发票导入!T1425</f>
      </c>
      <c r="U1425">
        <f>[1]发票导入!U1425&amp;""</f>
      </c>
      <c r="V1425">
        <f>[1]发票导入!V1425&amp;""</f>
      </c>
      <c r="W1425">
        <f>[1]发票导入!W1425&amp;""</f>
      </c>
      <c r="Y1425">
        <f>[1]发票导入!Y1425&amp;""</f>
      </c>
      <c r="AA1425">
        <f>[1]发票导入!AA1425&amp;""</f>
      </c>
      <c r="AB1425">
        <f>[1]发票导入!AB1425</f>
        <v>0</v>
      </c>
      <c r="AC1425">
        <f>[1]发票导入!AC1425</f>
        <v>0</v>
      </c>
      <c r="AE1425" s="22">
        <f t="shared" si="0"/>
      </c>
      <c r="AI1425">
        <f>[1]发票导入!AI1425&amp;""</f>
      </c>
      <c r="AJ1425">
        <f>[1]发票导入!AJ1425&amp;""</f>
      </c>
      <c r="AK1425">
        <f>[1]发票导入!AK1425</f>
        <v>0</v>
      </c>
      <c r="AL1425">
        <f>[1]发票导入!AL1425</f>
        <v>0</v>
      </c>
      <c r="AM1425">
        <f>[1]发票导入!AM1425</f>
        <v>0</v>
      </c>
      <c r="AN1425" s="22">
        <f t="shared" si="1"/>
        <v>0</v>
      </c>
      <c r="AO1425" s="22">
        <f t="shared" si="2"/>
        <v>0</v>
      </c>
    </row>
    <row r="1426">
      <c r="C1426">
        <f>[1]发票导入!C1426&amp;""</f>
      </c>
      <c r="D1426">
        <f>[1]发票导入!D1426&amp;""</f>
      </c>
      <c r="O1426">
        <f>[1]发票导入!O1426&amp;""</f>
      </c>
      <c r="T1426">
        <f>[1]发票导入!T1426</f>
      </c>
      <c r="U1426">
        <f>[1]发票导入!U1426&amp;""</f>
      </c>
      <c r="V1426">
        <f>[1]发票导入!V1426&amp;""</f>
      </c>
      <c r="W1426">
        <f>[1]发票导入!W1426&amp;""</f>
      </c>
      <c r="Y1426">
        <f>[1]发票导入!Y1426&amp;""</f>
      </c>
      <c r="AA1426">
        <f>[1]发票导入!AA1426&amp;""</f>
      </c>
      <c r="AB1426">
        <f>[1]发票导入!AB1426</f>
        <v>0</v>
      </c>
      <c r="AC1426">
        <f>[1]发票导入!AC1426</f>
        <v>0</v>
      </c>
      <c r="AE1426" s="22">
        <f t="shared" si="0"/>
      </c>
      <c r="AI1426">
        <f>[1]发票导入!AI1426&amp;""</f>
      </c>
      <c r="AJ1426">
        <f>[1]发票导入!AJ1426&amp;""</f>
      </c>
      <c r="AK1426">
        <f>[1]发票导入!AK1426</f>
        <v>0</v>
      </c>
      <c r="AL1426">
        <f>[1]发票导入!AL1426</f>
        <v>0</v>
      </c>
      <c r="AM1426">
        <f>[1]发票导入!AM1426</f>
        <v>0</v>
      </c>
      <c r="AN1426" s="22">
        <f t="shared" si="1"/>
        <v>0</v>
      </c>
      <c r="AO1426" s="22">
        <f t="shared" si="2"/>
        <v>0</v>
      </c>
    </row>
    <row r="1427">
      <c r="C1427">
        <f>[1]发票导入!C1427&amp;""</f>
      </c>
      <c r="D1427">
        <f>[1]发票导入!D1427&amp;""</f>
      </c>
      <c r="O1427">
        <f>[1]发票导入!O1427&amp;""</f>
      </c>
      <c r="T1427">
        <f>[1]发票导入!T1427</f>
      </c>
      <c r="U1427">
        <f>[1]发票导入!U1427&amp;""</f>
      </c>
      <c r="V1427">
        <f>[1]发票导入!V1427&amp;""</f>
      </c>
      <c r="W1427">
        <f>[1]发票导入!W1427&amp;""</f>
      </c>
      <c r="Y1427">
        <f>[1]发票导入!Y1427&amp;""</f>
      </c>
      <c r="AA1427">
        <f>[1]发票导入!AA1427&amp;""</f>
      </c>
      <c r="AB1427">
        <f>[1]发票导入!AB1427</f>
        <v>0</v>
      </c>
      <c r="AC1427">
        <f>[1]发票导入!AC1427</f>
        <v>0</v>
      </c>
      <c r="AE1427" s="22">
        <f t="shared" si="0"/>
      </c>
      <c r="AI1427">
        <f>[1]发票导入!AI1427&amp;""</f>
      </c>
      <c r="AJ1427">
        <f>[1]发票导入!AJ1427&amp;""</f>
      </c>
      <c r="AK1427">
        <f>[1]发票导入!AK1427</f>
        <v>0</v>
      </c>
      <c r="AL1427">
        <f>[1]发票导入!AL1427</f>
        <v>0</v>
      </c>
      <c r="AM1427">
        <f>[1]发票导入!AM1427</f>
        <v>0</v>
      </c>
      <c r="AN1427" s="22">
        <f t="shared" si="1"/>
        <v>0</v>
      </c>
      <c r="AO1427" s="22">
        <f t="shared" si="2"/>
        <v>0</v>
      </c>
    </row>
    <row r="1428">
      <c r="C1428">
        <f>[1]发票导入!C1428&amp;""</f>
      </c>
      <c r="D1428">
        <f>[1]发票导入!D1428&amp;""</f>
      </c>
      <c r="O1428">
        <f>[1]发票导入!O1428&amp;""</f>
      </c>
      <c r="T1428">
        <f>[1]发票导入!T1428</f>
      </c>
      <c r="U1428">
        <f>[1]发票导入!U1428&amp;""</f>
      </c>
      <c r="V1428">
        <f>[1]发票导入!V1428&amp;""</f>
      </c>
      <c r="W1428">
        <f>[1]发票导入!W1428&amp;""</f>
      </c>
      <c r="Y1428">
        <f>[1]发票导入!Y1428&amp;""</f>
      </c>
      <c r="AA1428">
        <f>[1]发票导入!AA1428&amp;""</f>
      </c>
      <c r="AB1428">
        <f>[1]发票导入!AB1428</f>
        <v>0</v>
      </c>
      <c r="AC1428">
        <f>[1]发票导入!AC1428</f>
        <v>0</v>
      </c>
      <c r="AE1428" s="22">
        <f t="shared" si="0"/>
      </c>
      <c r="AI1428">
        <f>[1]发票导入!AI1428&amp;""</f>
      </c>
      <c r="AJ1428">
        <f>[1]发票导入!AJ1428&amp;""</f>
      </c>
      <c r="AK1428">
        <f>[1]发票导入!AK1428</f>
        <v>0</v>
      </c>
      <c r="AL1428">
        <f>[1]发票导入!AL1428</f>
        <v>0</v>
      </c>
      <c r="AM1428">
        <f>[1]发票导入!AM1428</f>
        <v>0</v>
      </c>
      <c r="AN1428" s="22">
        <f t="shared" si="1"/>
        <v>0</v>
      </c>
      <c r="AO1428" s="22">
        <f t="shared" si="2"/>
        <v>0</v>
      </c>
    </row>
    <row r="1429">
      <c r="C1429">
        <f>[1]发票导入!C1429&amp;""</f>
      </c>
      <c r="D1429">
        <f>[1]发票导入!D1429&amp;""</f>
      </c>
      <c r="O1429">
        <f>[1]发票导入!O1429&amp;""</f>
      </c>
      <c r="T1429">
        <f>[1]发票导入!T1429</f>
      </c>
      <c r="U1429">
        <f>[1]发票导入!U1429&amp;""</f>
      </c>
      <c r="V1429">
        <f>[1]发票导入!V1429&amp;""</f>
      </c>
      <c r="W1429">
        <f>[1]发票导入!W1429&amp;""</f>
      </c>
      <c r="Y1429">
        <f>[1]发票导入!Y1429&amp;""</f>
      </c>
      <c r="AA1429">
        <f>[1]发票导入!AA1429&amp;""</f>
      </c>
      <c r="AB1429">
        <f>[1]发票导入!AB1429</f>
        <v>0</v>
      </c>
      <c r="AC1429">
        <f>[1]发票导入!AC1429</f>
        <v>0</v>
      </c>
      <c r="AE1429" s="22">
        <f t="shared" si="0"/>
      </c>
      <c r="AI1429">
        <f>[1]发票导入!AI1429&amp;""</f>
      </c>
      <c r="AJ1429">
        <f>[1]发票导入!AJ1429&amp;""</f>
      </c>
      <c r="AK1429">
        <f>[1]发票导入!AK1429</f>
        <v>0</v>
      </c>
      <c r="AL1429">
        <f>[1]发票导入!AL1429</f>
        <v>0</v>
      </c>
      <c r="AM1429">
        <f>[1]发票导入!AM1429</f>
        <v>0</v>
      </c>
      <c r="AN1429" s="22">
        <f t="shared" si="1"/>
        <v>0</v>
      </c>
      <c r="AO1429" s="22">
        <f t="shared" si="2"/>
        <v>0</v>
      </c>
    </row>
    <row r="1430">
      <c r="C1430">
        <f>[1]发票导入!C1430&amp;""</f>
      </c>
      <c r="D1430">
        <f>[1]发票导入!D1430&amp;""</f>
      </c>
      <c r="O1430">
        <f>[1]发票导入!O1430&amp;""</f>
      </c>
      <c r="T1430">
        <f>[1]发票导入!T1430</f>
      </c>
      <c r="U1430">
        <f>[1]发票导入!U1430&amp;""</f>
      </c>
      <c r="V1430">
        <f>[1]发票导入!V1430&amp;""</f>
      </c>
      <c r="W1430">
        <f>[1]发票导入!W1430&amp;""</f>
      </c>
      <c r="Y1430">
        <f>[1]发票导入!Y1430&amp;""</f>
      </c>
      <c r="AA1430">
        <f>[1]发票导入!AA1430&amp;""</f>
      </c>
      <c r="AB1430">
        <f>[1]发票导入!AB1430</f>
        <v>0</v>
      </c>
      <c r="AC1430">
        <f>[1]发票导入!AC1430</f>
        <v>0</v>
      </c>
      <c r="AE1430" s="22">
        <f t="shared" si="0"/>
      </c>
      <c r="AI1430">
        <f>[1]发票导入!AI1430&amp;""</f>
      </c>
      <c r="AJ1430">
        <f>[1]发票导入!AJ1430&amp;""</f>
      </c>
      <c r="AK1430">
        <f>[1]发票导入!AK1430</f>
        <v>0</v>
      </c>
      <c r="AL1430">
        <f>[1]发票导入!AL1430</f>
        <v>0</v>
      </c>
      <c r="AM1430">
        <f>[1]发票导入!AM1430</f>
        <v>0</v>
      </c>
      <c r="AN1430" s="22">
        <f t="shared" si="1"/>
        <v>0</v>
      </c>
      <c r="AO1430" s="22">
        <f t="shared" si="2"/>
        <v>0</v>
      </c>
    </row>
    <row r="1431">
      <c r="C1431">
        <f>[1]发票导入!C1431&amp;""</f>
      </c>
      <c r="D1431">
        <f>[1]发票导入!D1431&amp;""</f>
      </c>
      <c r="O1431">
        <f>[1]发票导入!O1431&amp;""</f>
      </c>
      <c r="T1431">
        <f>[1]发票导入!T1431</f>
      </c>
      <c r="U1431">
        <f>[1]发票导入!U1431&amp;""</f>
      </c>
      <c r="V1431">
        <f>[1]发票导入!V1431&amp;""</f>
      </c>
      <c r="W1431">
        <f>[1]发票导入!W1431&amp;""</f>
      </c>
      <c r="Y1431">
        <f>[1]发票导入!Y1431&amp;""</f>
      </c>
      <c r="AA1431">
        <f>[1]发票导入!AA1431&amp;""</f>
      </c>
      <c r="AB1431">
        <f>[1]发票导入!AB1431</f>
        <v>0</v>
      </c>
      <c r="AC1431">
        <f>[1]发票导入!AC1431</f>
        <v>0</v>
      </c>
      <c r="AE1431" s="22">
        <f t="shared" si="0"/>
      </c>
      <c r="AI1431">
        <f>[1]发票导入!AI1431&amp;""</f>
      </c>
      <c r="AJ1431">
        <f>[1]发票导入!AJ1431&amp;""</f>
      </c>
      <c r="AK1431">
        <f>[1]发票导入!AK1431</f>
        <v>0</v>
      </c>
      <c r="AL1431">
        <f>[1]发票导入!AL1431</f>
        <v>0</v>
      </c>
      <c r="AM1431">
        <f>[1]发票导入!AM1431</f>
        <v>0</v>
      </c>
      <c r="AN1431" s="22">
        <f t="shared" si="1"/>
        <v>0</v>
      </c>
      <c r="AO1431" s="22">
        <f t="shared" si="2"/>
        <v>0</v>
      </c>
    </row>
    <row r="1432">
      <c r="C1432">
        <f>[1]发票导入!C1432&amp;""</f>
      </c>
      <c r="D1432">
        <f>[1]发票导入!D1432&amp;""</f>
      </c>
      <c r="O1432">
        <f>[1]发票导入!O1432&amp;""</f>
      </c>
      <c r="T1432">
        <f>[1]发票导入!T1432</f>
      </c>
      <c r="U1432">
        <f>[1]发票导入!U1432&amp;""</f>
      </c>
      <c r="V1432">
        <f>[1]发票导入!V1432&amp;""</f>
      </c>
      <c r="W1432">
        <f>[1]发票导入!W1432&amp;""</f>
      </c>
      <c r="Y1432">
        <f>[1]发票导入!Y1432&amp;""</f>
      </c>
      <c r="AA1432">
        <f>[1]发票导入!AA1432&amp;""</f>
      </c>
      <c r="AB1432">
        <f>[1]发票导入!AB1432</f>
        <v>0</v>
      </c>
      <c r="AC1432">
        <f>[1]发票导入!AC1432</f>
        <v>0</v>
      </c>
      <c r="AE1432" s="22">
        <f t="shared" si="0"/>
      </c>
      <c r="AI1432">
        <f>[1]发票导入!AI1432&amp;""</f>
      </c>
      <c r="AJ1432">
        <f>[1]发票导入!AJ1432&amp;""</f>
      </c>
      <c r="AK1432">
        <f>[1]发票导入!AK1432</f>
        <v>0</v>
      </c>
      <c r="AL1432">
        <f>[1]发票导入!AL1432</f>
        <v>0</v>
      </c>
      <c r="AM1432">
        <f>[1]发票导入!AM1432</f>
        <v>0</v>
      </c>
      <c r="AN1432" s="22">
        <f t="shared" si="1"/>
        <v>0</v>
      </c>
      <c r="AO1432" s="22">
        <f t="shared" si="2"/>
        <v>0</v>
      </c>
    </row>
    <row r="1433">
      <c r="C1433">
        <f>[1]发票导入!C1433&amp;""</f>
      </c>
      <c r="D1433">
        <f>[1]发票导入!D1433&amp;""</f>
      </c>
      <c r="O1433">
        <f>[1]发票导入!O1433&amp;""</f>
      </c>
      <c r="T1433">
        <f>[1]发票导入!T1433</f>
      </c>
      <c r="U1433">
        <f>[1]发票导入!U1433&amp;""</f>
      </c>
      <c r="V1433">
        <f>[1]发票导入!V1433&amp;""</f>
      </c>
      <c r="W1433">
        <f>[1]发票导入!W1433&amp;""</f>
      </c>
      <c r="Y1433">
        <f>[1]发票导入!Y1433&amp;""</f>
      </c>
      <c r="AA1433">
        <f>[1]发票导入!AA1433&amp;""</f>
      </c>
      <c r="AB1433">
        <f>[1]发票导入!AB1433</f>
        <v>0</v>
      </c>
      <c r="AC1433">
        <f>[1]发票导入!AC1433</f>
        <v>0</v>
      </c>
      <c r="AE1433" s="22">
        <f t="shared" si="0"/>
      </c>
      <c r="AI1433">
        <f>[1]发票导入!AI1433&amp;""</f>
      </c>
      <c r="AJ1433">
        <f>[1]发票导入!AJ1433&amp;""</f>
      </c>
      <c r="AK1433">
        <f>[1]发票导入!AK1433</f>
        <v>0</v>
      </c>
      <c r="AL1433">
        <f>[1]发票导入!AL1433</f>
        <v>0</v>
      </c>
      <c r="AM1433">
        <f>[1]发票导入!AM1433</f>
        <v>0</v>
      </c>
      <c r="AN1433" s="22">
        <f t="shared" si="1"/>
        <v>0</v>
      </c>
      <c r="AO1433" s="22">
        <f t="shared" si="2"/>
        <v>0</v>
      </c>
    </row>
    <row r="1434">
      <c r="C1434">
        <f>[1]发票导入!C1434&amp;""</f>
      </c>
      <c r="D1434">
        <f>[1]发票导入!D1434&amp;""</f>
      </c>
      <c r="O1434">
        <f>[1]发票导入!O1434&amp;""</f>
      </c>
      <c r="T1434">
        <f>[1]发票导入!T1434</f>
      </c>
      <c r="U1434">
        <f>[1]发票导入!U1434&amp;""</f>
      </c>
      <c r="V1434">
        <f>[1]发票导入!V1434&amp;""</f>
      </c>
      <c r="W1434">
        <f>[1]发票导入!W1434&amp;""</f>
      </c>
      <c r="Y1434">
        <f>[1]发票导入!Y1434&amp;""</f>
      </c>
      <c r="AA1434">
        <f>[1]发票导入!AA1434&amp;""</f>
      </c>
      <c r="AB1434">
        <f>[1]发票导入!AB1434</f>
        <v>0</v>
      </c>
      <c r="AC1434">
        <f>[1]发票导入!AC1434</f>
        <v>0</v>
      </c>
      <c r="AE1434" s="22">
        <f t="shared" si="0"/>
      </c>
      <c r="AI1434">
        <f>[1]发票导入!AI1434&amp;""</f>
      </c>
      <c r="AJ1434">
        <f>[1]发票导入!AJ1434&amp;""</f>
      </c>
      <c r="AK1434">
        <f>[1]发票导入!AK1434</f>
        <v>0</v>
      </c>
      <c r="AL1434">
        <f>[1]发票导入!AL1434</f>
        <v>0</v>
      </c>
      <c r="AM1434">
        <f>[1]发票导入!AM1434</f>
        <v>0</v>
      </c>
      <c r="AN1434" s="22">
        <f t="shared" si="1"/>
        <v>0</v>
      </c>
      <c r="AO1434" s="22">
        <f t="shared" si="2"/>
        <v>0</v>
      </c>
    </row>
    <row r="1435">
      <c r="C1435">
        <f>[1]发票导入!C1435&amp;""</f>
      </c>
      <c r="D1435">
        <f>[1]发票导入!D1435&amp;""</f>
      </c>
      <c r="O1435">
        <f>[1]发票导入!O1435&amp;""</f>
      </c>
      <c r="T1435">
        <f>[1]发票导入!T1435</f>
      </c>
      <c r="U1435">
        <f>[1]发票导入!U1435&amp;""</f>
      </c>
      <c r="V1435">
        <f>[1]发票导入!V1435&amp;""</f>
      </c>
      <c r="W1435">
        <f>[1]发票导入!W1435&amp;""</f>
      </c>
      <c r="Y1435">
        <f>[1]发票导入!Y1435&amp;""</f>
      </c>
      <c r="AA1435">
        <f>[1]发票导入!AA1435&amp;""</f>
      </c>
      <c r="AB1435">
        <f>[1]发票导入!AB1435</f>
        <v>0</v>
      </c>
      <c r="AC1435">
        <f>[1]发票导入!AC1435</f>
        <v>0</v>
      </c>
      <c r="AE1435" s="22">
        <f t="shared" si="0"/>
      </c>
      <c r="AI1435">
        <f>[1]发票导入!AI1435&amp;""</f>
      </c>
      <c r="AJ1435">
        <f>[1]发票导入!AJ1435&amp;""</f>
      </c>
      <c r="AK1435">
        <f>[1]发票导入!AK1435</f>
        <v>0</v>
      </c>
      <c r="AL1435">
        <f>[1]发票导入!AL1435</f>
        <v>0</v>
      </c>
      <c r="AM1435">
        <f>[1]发票导入!AM1435</f>
        <v>0</v>
      </c>
      <c r="AN1435" s="22">
        <f t="shared" si="1"/>
        <v>0</v>
      </c>
      <c r="AO1435" s="22">
        <f t="shared" si="2"/>
        <v>0</v>
      </c>
    </row>
    <row r="1436">
      <c r="C1436">
        <f>[1]发票导入!C1436&amp;""</f>
      </c>
      <c r="D1436">
        <f>[1]发票导入!D1436&amp;""</f>
      </c>
      <c r="O1436">
        <f>[1]发票导入!O1436&amp;""</f>
      </c>
      <c r="T1436">
        <f>[1]发票导入!T1436</f>
      </c>
      <c r="U1436">
        <f>[1]发票导入!U1436&amp;""</f>
      </c>
      <c r="V1436">
        <f>[1]发票导入!V1436&amp;""</f>
      </c>
      <c r="W1436">
        <f>[1]发票导入!W1436&amp;""</f>
      </c>
      <c r="Y1436">
        <f>[1]发票导入!Y1436&amp;""</f>
      </c>
      <c r="AA1436">
        <f>[1]发票导入!AA1436&amp;""</f>
      </c>
      <c r="AB1436">
        <f>[1]发票导入!AB1436</f>
        <v>0</v>
      </c>
      <c r="AC1436">
        <f>[1]发票导入!AC1436</f>
        <v>0</v>
      </c>
      <c r="AE1436" s="22">
        <f t="shared" si="0"/>
      </c>
      <c r="AI1436">
        <f>[1]发票导入!AI1436&amp;""</f>
      </c>
      <c r="AJ1436">
        <f>[1]发票导入!AJ1436&amp;""</f>
      </c>
      <c r="AK1436">
        <f>[1]发票导入!AK1436</f>
        <v>0</v>
      </c>
      <c r="AL1436">
        <f>[1]发票导入!AL1436</f>
        <v>0</v>
      </c>
      <c r="AM1436">
        <f>[1]发票导入!AM1436</f>
        <v>0</v>
      </c>
      <c r="AN1436" s="22">
        <f t="shared" si="1"/>
        <v>0</v>
      </c>
      <c r="AO1436" s="22">
        <f t="shared" si="2"/>
        <v>0</v>
      </c>
    </row>
    <row r="1437">
      <c r="C1437">
        <f>[1]发票导入!C1437&amp;""</f>
      </c>
      <c r="D1437">
        <f>[1]发票导入!D1437&amp;""</f>
      </c>
      <c r="O1437">
        <f>[1]发票导入!O1437&amp;""</f>
      </c>
      <c r="T1437">
        <f>[1]发票导入!T1437</f>
      </c>
      <c r="U1437">
        <f>[1]发票导入!U1437&amp;""</f>
      </c>
      <c r="V1437">
        <f>[1]发票导入!V1437&amp;""</f>
      </c>
      <c r="W1437">
        <f>[1]发票导入!W1437&amp;""</f>
      </c>
      <c r="Y1437">
        <f>[1]发票导入!Y1437&amp;""</f>
      </c>
      <c r="AA1437">
        <f>[1]发票导入!AA1437&amp;""</f>
      </c>
      <c r="AB1437">
        <f>[1]发票导入!AB1437</f>
        <v>0</v>
      </c>
      <c r="AC1437">
        <f>[1]发票导入!AC1437</f>
        <v>0</v>
      </c>
      <c r="AE1437" s="22">
        <f t="shared" si="0"/>
      </c>
      <c r="AI1437">
        <f>[1]发票导入!AI1437&amp;""</f>
      </c>
      <c r="AJ1437">
        <f>[1]发票导入!AJ1437&amp;""</f>
      </c>
      <c r="AK1437">
        <f>[1]发票导入!AK1437</f>
        <v>0</v>
      </c>
      <c r="AL1437">
        <f>[1]发票导入!AL1437</f>
        <v>0</v>
      </c>
      <c r="AM1437">
        <f>[1]发票导入!AM1437</f>
        <v>0</v>
      </c>
      <c r="AN1437" s="22">
        <f t="shared" si="1"/>
        <v>0</v>
      </c>
      <c r="AO1437" s="22">
        <f t="shared" si="2"/>
        <v>0</v>
      </c>
    </row>
    <row r="1438">
      <c r="C1438">
        <f>[1]发票导入!C1438&amp;""</f>
      </c>
      <c r="D1438">
        <f>[1]发票导入!D1438&amp;""</f>
      </c>
      <c r="O1438">
        <f>[1]发票导入!O1438&amp;""</f>
      </c>
      <c r="T1438">
        <f>[1]发票导入!T1438</f>
      </c>
      <c r="U1438">
        <f>[1]发票导入!U1438&amp;""</f>
      </c>
      <c r="V1438">
        <f>[1]发票导入!V1438&amp;""</f>
      </c>
      <c r="W1438">
        <f>[1]发票导入!W1438&amp;""</f>
      </c>
      <c r="Y1438">
        <f>[1]发票导入!Y1438&amp;""</f>
      </c>
      <c r="AA1438">
        <f>[1]发票导入!AA1438&amp;""</f>
      </c>
      <c r="AB1438">
        <f>[1]发票导入!AB1438</f>
        <v>0</v>
      </c>
      <c r="AC1438">
        <f>[1]发票导入!AC1438</f>
        <v>0</v>
      </c>
      <c r="AE1438" s="22">
        <f t="shared" si="0"/>
      </c>
      <c r="AI1438">
        <f>[1]发票导入!AI1438&amp;""</f>
      </c>
      <c r="AJ1438">
        <f>[1]发票导入!AJ1438&amp;""</f>
      </c>
      <c r="AK1438">
        <f>[1]发票导入!AK1438</f>
        <v>0</v>
      </c>
      <c r="AL1438">
        <f>[1]发票导入!AL1438</f>
        <v>0</v>
      </c>
      <c r="AM1438">
        <f>[1]发票导入!AM1438</f>
        <v>0</v>
      </c>
      <c r="AN1438" s="22">
        <f t="shared" si="1"/>
        <v>0</v>
      </c>
      <c r="AO1438" s="22">
        <f t="shared" si="2"/>
        <v>0</v>
      </c>
    </row>
    <row r="1439">
      <c r="C1439">
        <f>[1]发票导入!C1439&amp;""</f>
      </c>
      <c r="D1439">
        <f>[1]发票导入!D1439&amp;""</f>
      </c>
      <c r="O1439">
        <f>[1]发票导入!O1439&amp;""</f>
      </c>
      <c r="T1439">
        <f>[1]发票导入!T1439</f>
      </c>
      <c r="U1439">
        <f>[1]发票导入!U1439&amp;""</f>
      </c>
      <c r="V1439">
        <f>[1]发票导入!V1439&amp;""</f>
      </c>
      <c r="W1439">
        <f>[1]发票导入!W1439&amp;""</f>
      </c>
      <c r="Y1439">
        <f>[1]发票导入!Y1439&amp;""</f>
      </c>
      <c r="AA1439">
        <f>[1]发票导入!AA1439&amp;""</f>
      </c>
      <c r="AB1439">
        <f>[1]发票导入!AB1439</f>
        <v>0</v>
      </c>
      <c r="AC1439">
        <f>[1]发票导入!AC1439</f>
        <v>0</v>
      </c>
      <c r="AE1439" s="22">
        <f t="shared" si="0"/>
      </c>
      <c r="AI1439">
        <f>[1]发票导入!AI1439&amp;""</f>
      </c>
      <c r="AJ1439">
        <f>[1]发票导入!AJ1439&amp;""</f>
      </c>
      <c r="AK1439">
        <f>[1]发票导入!AK1439</f>
        <v>0</v>
      </c>
      <c r="AL1439">
        <f>[1]发票导入!AL1439</f>
        <v>0</v>
      </c>
      <c r="AM1439">
        <f>[1]发票导入!AM1439</f>
        <v>0</v>
      </c>
      <c r="AN1439" s="22">
        <f t="shared" si="1"/>
        <v>0</v>
      </c>
      <c r="AO1439" s="22">
        <f t="shared" si="2"/>
        <v>0</v>
      </c>
    </row>
    <row r="1440">
      <c r="C1440">
        <f>[1]发票导入!C1440&amp;""</f>
      </c>
      <c r="D1440">
        <f>[1]发票导入!D1440&amp;""</f>
      </c>
      <c r="O1440">
        <f>[1]发票导入!O1440&amp;""</f>
      </c>
      <c r="T1440">
        <f>[1]发票导入!T1440</f>
      </c>
      <c r="U1440">
        <f>[1]发票导入!U1440&amp;""</f>
      </c>
      <c r="V1440">
        <f>[1]发票导入!V1440&amp;""</f>
      </c>
      <c r="W1440">
        <f>[1]发票导入!W1440&amp;""</f>
      </c>
      <c r="Y1440">
        <f>[1]发票导入!Y1440&amp;""</f>
      </c>
      <c r="AA1440">
        <f>[1]发票导入!AA1440&amp;""</f>
      </c>
      <c r="AB1440">
        <f>[1]发票导入!AB1440</f>
        <v>0</v>
      </c>
      <c r="AC1440">
        <f>[1]发票导入!AC1440</f>
        <v>0</v>
      </c>
      <c r="AE1440" s="22">
        <f t="shared" si="0"/>
      </c>
      <c r="AI1440">
        <f>[1]发票导入!AI1440&amp;""</f>
      </c>
      <c r="AJ1440">
        <f>[1]发票导入!AJ1440&amp;""</f>
      </c>
      <c r="AK1440">
        <f>[1]发票导入!AK1440</f>
        <v>0</v>
      </c>
      <c r="AL1440">
        <f>[1]发票导入!AL1440</f>
        <v>0</v>
      </c>
      <c r="AM1440">
        <f>[1]发票导入!AM1440</f>
        <v>0</v>
      </c>
      <c r="AN1440" s="22">
        <f t="shared" si="1"/>
        <v>0</v>
      </c>
      <c r="AO1440" s="22">
        <f t="shared" si="2"/>
        <v>0</v>
      </c>
    </row>
    <row r="1441">
      <c r="C1441">
        <f>[1]发票导入!C1441&amp;""</f>
      </c>
      <c r="D1441">
        <f>[1]发票导入!D1441&amp;""</f>
      </c>
      <c r="O1441">
        <f>[1]发票导入!O1441&amp;""</f>
      </c>
      <c r="T1441">
        <f>[1]发票导入!T1441</f>
      </c>
      <c r="U1441">
        <f>[1]发票导入!U1441&amp;""</f>
      </c>
      <c r="V1441">
        <f>[1]发票导入!V1441&amp;""</f>
      </c>
      <c r="W1441">
        <f>[1]发票导入!W1441&amp;""</f>
      </c>
      <c r="Y1441">
        <f>[1]发票导入!Y1441&amp;""</f>
      </c>
      <c r="AA1441">
        <f>[1]发票导入!AA1441&amp;""</f>
      </c>
      <c r="AB1441">
        <f>[1]发票导入!AB1441</f>
        <v>0</v>
      </c>
      <c r="AC1441">
        <f>[1]发票导入!AC1441</f>
        <v>0</v>
      </c>
      <c r="AE1441" s="22">
        <f t="shared" si="0"/>
      </c>
      <c r="AI1441">
        <f>[1]发票导入!AI1441&amp;""</f>
      </c>
      <c r="AJ1441">
        <f>[1]发票导入!AJ1441&amp;""</f>
      </c>
      <c r="AK1441">
        <f>[1]发票导入!AK1441</f>
        <v>0</v>
      </c>
      <c r="AL1441">
        <f>[1]发票导入!AL1441</f>
        <v>0</v>
      </c>
      <c r="AM1441">
        <f>[1]发票导入!AM1441</f>
        <v>0</v>
      </c>
      <c r="AN1441" s="22">
        <f t="shared" si="1"/>
        <v>0</v>
      </c>
      <c r="AO1441" s="22">
        <f t="shared" si="2"/>
        <v>0</v>
      </c>
    </row>
    <row r="1442">
      <c r="C1442">
        <f>[1]发票导入!C1442&amp;""</f>
      </c>
      <c r="D1442">
        <f>[1]发票导入!D1442&amp;""</f>
      </c>
      <c r="O1442">
        <f>[1]发票导入!O1442&amp;""</f>
      </c>
      <c r="T1442">
        <f>[1]发票导入!T1442</f>
      </c>
      <c r="U1442">
        <f>[1]发票导入!U1442&amp;""</f>
      </c>
      <c r="V1442">
        <f>[1]发票导入!V1442&amp;""</f>
      </c>
      <c r="W1442">
        <f>[1]发票导入!W1442&amp;""</f>
      </c>
      <c r="Y1442">
        <f>[1]发票导入!Y1442&amp;""</f>
      </c>
      <c r="AA1442">
        <f>[1]发票导入!AA1442&amp;""</f>
      </c>
      <c r="AB1442">
        <f>[1]发票导入!AB1442</f>
        <v>0</v>
      </c>
      <c r="AC1442">
        <f>[1]发票导入!AC1442</f>
        <v>0</v>
      </c>
      <c r="AE1442" s="22">
        <f t="shared" si="0"/>
      </c>
      <c r="AI1442">
        <f>[1]发票导入!AI1442&amp;""</f>
      </c>
      <c r="AJ1442">
        <f>[1]发票导入!AJ1442&amp;""</f>
      </c>
      <c r="AK1442">
        <f>[1]发票导入!AK1442</f>
        <v>0</v>
      </c>
      <c r="AL1442">
        <f>[1]发票导入!AL1442</f>
        <v>0</v>
      </c>
      <c r="AM1442">
        <f>[1]发票导入!AM1442</f>
        <v>0</v>
      </c>
      <c r="AN1442" s="22">
        <f t="shared" si="1"/>
        <v>0</v>
      </c>
      <c r="AO1442" s="22">
        <f t="shared" si="2"/>
        <v>0</v>
      </c>
    </row>
    <row r="1443">
      <c r="C1443">
        <f>[1]发票导入!C1443&amp;""</f>
      </c>
      <c r="D1443">
        <f>[1]发票导入!D1443&amp;""</f>
      </c>
      <c r="O1443">
        <f>[1]发票导入!O1443&amp;""</f>
      </c>
      <c r="T1443">
        <f>[1]发票导入!T1443</f>
      </c>
      <c r="U1443">
        <f>[1]发票导入!U1443&amp;""</f>
      </c>
      <c r="V1443">
        <f>[1]发票导入!V1443&amp;""</f>
      </c>
      <c r="W1443">
        <f>[1]发票导入!W1443&amp;""</f>
      </c>
      <c r="Y1443">
        <f>[1]发票导入!Y1443&amp;""</f>
      </c>
      <c r="AA1443">
        <f>[1]发票导入!AA1443&amp;""</f>
      </c>
      <c r="AB1443">
        <f>[1]发票导入!AB1443</f>
        <v>0</v>
      </c>
      <c r="AC1443">
        <f>[1]发票导入!AC1443</f>
        <v>0</v>
      </c>
      <c r="AE1443" s="22">
        <f t="shared" si="0"/>
      </c>
      <c r="AI1443">
        <f>[1]发票导入!AI1443&amp;""</f>
      </c>
      <c r="AJ1443">
        <f>[1]发票导入!AJ1443&amp;""</f>
      </c>
      <c r="AK1443">
        <f>[1]发票导入!AK1443</f>
        <v>0</v>
      </c>
      <c r="AL1443">
        <f>[1]发票导入!AL1443</f>
        <v>0</v>
      </c>
      <c r="AM1443">
        <f>[1]发票导入!AM1443</f>
        <v>0</v>
      </c>
      <c r="AN1443" s="22">
        <f t="shared" si="1"/>
        <v>0</v>
      </c>
      <c r="AO1443" s="22">
        <f t="shared" si="2"/>
        <v>0</v>
      </c>
    </row>
    <row r="1444">
      <c r="C1444">
        <f>[1]发票导入!C1444&amp;""</f>
      </c>
      <c r="D1444">
        <f>[1]发票导入!D1444&amp;""</f>
      </c>
      <c r="O1444">
        <f>[1]发票导入!O1444&amp;""</f>
      </c>
      <c r="T1444">
        <f>[1]发票导入!T1444</f>
      </c>
      <c r="U1444">
        <f>[1]发票导入!U1444&amp;""</f>
      </c>
      <c r="V1444">
        <f>[1]发票导入!V1444&amp;""</f>
      </c>
      <c r="W1444">
        <f>[1]发票导入!W1444&amp;""</f>
      </c>
      <c r="Y1444">
        <f>[1]发票导入!Y1444&amp;""</f>
      </c>
      <c r="AA1444">
        <f>[1]发票导入!AA1444&amp;""</f>
      </c>
      <c r="AB1444">
        <f>[1]发票导入!AB1444</f>
        <v>0</v>
      </c>
      <c r="AC1444">
        <f>[1]发票导入!AC1444</f>
        <v>0</v>
      </c>
      <c r="AE1444" s="22">
        <f t="shared" si="0"/>
      </c>
      <c r="AI1444">
        <f>[1]发票导入!AI1444&amp;""</f>
      </c>
      <c r="AJ1444">
        <f>[1]发票导入!AJ1444&amp;""</f>
      </c>
      <c r="AK1444">
        <f>[1]发票导入!AK1444</f>
        <v>0</v>
      </c>
      <c r="AL1444">
        <f>[1]发票导入!AL1444</f>
        <v>0</v>
      </c>
      <c r="AM1444">
        <f>[1]发票导入!AM1444</f>
        <v>0</v>
      </c>
      <c r="AN1444" s="22">
        <f t="shared" si="1"/>
        <v>0</v>
      </c>
      <c r="AO1444" s="22">
        <f t="shared" si="2"/>
        <v>0</v>
      </c>
    </row>
    <row r="1445">
      <c r="C1445">
        <f>[1]发票导入!C1445&amp;""</f>
      </c>
      <c r="D1445">
        <f>[1]发票导入!D1445&amp;""</f>
      </c>
      <c r="O1445">
        <f>[1]发票导入!O1445&amp;""</f>
      </c>
      <c r="T1445">
        <f>[1]发票导入!T1445</f>
      </c>
      <c r="U1445">
        <f>[1]发票导入!U1445&amp;""</f>
      </c>
      <c r="V1445">
        <f>[1]发票导入!V1445&amp;""</f>
      </c>
      <c r="W1445">
        <f>[1]发票导入!W1445&amp;""</f>
      </c>
      <c r="Y1445">
        <f>[1]发票导入!Y1445&amp;""</f>
      </c>
      <c r="AA1445">
        <f>[1]发票导入!AA1445&amp;""</f>
      </c>
      <c r="AB1445">
        <f>[1]发票导入!AB1445</f>
        <v>0</v>
      </c>
      <c r="AC1445">
        <f>[1]发票导入!AC1445</f>
        <v>0</v>
      </c>
      <c r="AE1445" s="22">
        <f t="shared" si="0"/>
      </c>
      <c r="AI1445">
        <f>[1]发票导入!AI1445&amp;""</f>
      </c>
      <c r="AJ1445">
        <f>[1]发票导入!AJ1445&amp;""</f>
      </c>
      <c r="AK1445">
        <f>[1]发票导入!AK1445</f>
        <v>0</v>
      </c>
      <c r="AL1445">
        <f>[1]发票导入!AL1445</f>
        <v>0</v>
      </c>
      <c r="AM1445">
        <f>[1]发票导入!AM1445</f>
        <v>0</v>
      </c>
      <c r="AN1445" s="22">
        <f t="shared" si="1"/>
        <v>0</v>
      </c>
      <c r="AO1445" s="22">
        <f t="shared" si="2"/>
        <v>0</v>
      </c>
    </row>
    <row r="1446">
      <c r="C1446">
        <f>[1]发票导入!C1446&amp;""</f>
      </c>
      <c r="D1446">
        <f>[1]发票导入!D1446&amp;""</f>
      </c>
      <c r="O1446">
        <f>[1]发票导入!O1446&amp;""</f>
      </c>
      <c r="T1446">
        <f>[1]发票导入!T1446</f>
      </c>
      <c r="U1446">
        <f>[1]发票导入!U1446&amp;""</f>
      </c>
      <c r="V1446">
        <f>[1]发票导入!V1446&amp;""</f>
      </c>
      <c r="W1446">
        <f>[1]发票导入!W1446&amp;""</f>
      </c>
      <c r="Y1446">
        <f>[1]发票导入!Y1446&amp;""</f>
      </c>
      <c r="AA1446">
        <f>[1]发票导入!AA1446&amp;""</f>
      </c>
      <c r="AB1446">
        <f>[1]发票导入!AB1446</f>
        <v>0</v>
      </c>
      <c r="AC1446">
        <f>[1]发票导入!AC1446</f>
        <v>0</v>
      </c>
      <c r="AE1446" s="22">
        <f t="shared" si="0"/>
      </c>
      <c r="AI1446">
        <f>[1]发票导入!AI1446&amp;""</f>
      </c>
      <c r="AJ1446">
        <f>[1]发票导入!AJ1446&amp;""</f>
      </c>
      <c r="AK1446">
        <f>[1]发票导入!AK1446</f>
        <v>0</v>
      </c>
      <c r="AL1446">
        <f>[1]发票导入!AL1446</f>
        <v>0</v>
      </c>
      <c r="AM1446">
        <f>[1]发票导入!AM1446</f>
        <v>0</v>
      </c>
      <c r="AN1446" s="22">
        <f t="shared" si="1"/>
        <v>0</v>
      </c>
      <c r="AO1446" s="22">
        <f t="shared" si="2"/>
        <v>0</v>
      </c>
    </row>
    <row r="1447">
      <c r="C1447">
        <f>[1]发票导入!C1447&amp;""</f>
      </c>
      <c r="D1447">
        <f>[1]发票导入!D1447&amp;""</f>
      </c>
      <c r="O1447">
        <f>[1]发票导入!O1447&amp;""</f>
      </c>
      <c r="T1447">
        <f>[1]发票导入!T1447</f>
      </c>
      <c r="U1447">
        <f>[1]发票导入!U1447&amp;""</f>
      </c>
      <c r="V1447">
        <f>[1]发票导入!V1447&amp;""</f>
      </c>
      <c r="W1447">
        <f>[1]发票导入!W1447&amp;""</f>
      </c>
      <c r="Y1447">
        <f>[1]发票导入!Y1447&amp;""</f>
      </c>
      <c r="AA1447">
        <f>[1]发票导入!AA1447&amp;""</f>
      </c>
      <c r="AB1447">
        <f>[1]发票导入!AB1447</f>
        <v>0</v>
      </c>
      <c r="AC1447">
        <f>[1]发票导入!AC1447</f>
        <v>0</v>
      </c>
      <c r="AE1447" s="22">
        <f t="shared" si="0"/>
      </c>
      <c r="AI1447">
        <f>[1]发票导入!AI1447&amp;""</f>
      </c>
      <c r="AJ1447">
        <f>[1]发票导入!AJ1447&amp;""</f>
      </c>
      <c r="AK1447">
        <f>[1]发票导入!AK1447</f>
        <v>0</v>
      </c>
      <c r="AL1447">
        <f>[1]发票导入!AL1447</f>
        <v>0</v>
      </c>
      <c r="AM1447">
        <f>[1]发票导入!AM1447</f>
        <v>0</v>
      </c>
      <c r="AN1447" s="22">
        <f t="shared" si="1"/>
        <v>0</v>
      </c>
      <c r="AO1447" s="22">
        <f t="shared" si="2"/>
        <v>0</v>
      </c>
    </row>
    <row r="1448">
      <c r="C1448">
        <f>[1]发票导入!C1448&amp;""</f>
      </c>
      <c r="D1448">
        <f>[1]发票导入!D1448&amp;""</f>
      </c>
      <c r="O1448">
        <f>[1]发票导入!O1448&amp;""</f>
      </c>
      <c r="T1448">
        <f>[1]发票导入!T1448</f>
      </c>
      <c r="U1448">
        <f>[1]发票导入!U1448&amp;""</f>
      </c>
      <c r="V1448">
        <f>[1]发票导入!V1448&amp;""</f>
      </c>
      <c r="W1448">
        <f>[1]发票导入!W1448&amp;""</f>
      </c>
      <c r="Y1448">
        <f>[1]发票导入!Y1448&amp;""</f>
      </c>
      <c r="AA1448">
        <f>[1]发票导入!AA1448&amp;""</f>
      </c>
      <c r="AB1448">
        <f>[1]发票导入!AB1448</f>
        <v>0</v>
      </c>
      <c r="AC1448">
        <f>[1]发票导入!AC1448</f>
        <v>0</v>
      </c>
      <c r="AE1448" s="22">
        <f t="shared" si="0"/>
      </c>
      <c r="AI1448">
        <f>[1]发票导入!AI1448&amp;""</f>
      </c>
      <c r="AJ1448">
        <f>[1]发票导入!AJ1448&amp;""</f>
      </c>
      <c r="AK1448">
        <f>[1]发票导入!AK1448</f>
        <v>0</v>
      </c>
      <c r="AL1448">
        <f>[1]发票导入!AL1448</f>
        <v>0</v>
      </c>
      <c r="AM1448">
        <f>[1]发票导入!AM1448</f>
        <v>0</v>
      </c>
      <c r="AN1448" s="22">
        <f t="shared" si="1"/>
        <v>0</v>
      </c>
      <c r="AO1448" s="22">
        <f t="shared" si="2"/>
        <v>0</v>
      </c>
    </row>
    <row r="1449">
      <c r="C1449">
        <f>[1]发票导入!C1449&amp;""</f>
      </c>
      <c r="D1449">
        <f>[1]发票导入!D1449&amp;""</f>
      </c>
      <c r="O1449">
        <f>[1]发票导入!O1449&amp;""</f>
      </c>
      <c r="T1449">
        <f>[1]发票导入!T1449</f>
      </c>
      <c r="U1449">
        <f>[1]发票导入!U1449&amp;""</f>
      </c>
      <c r="V1449">
        <f>[1]发票导入!V1449&amp;""</f>
      </c>
      <c r="W1449">
        <f>[1]发票导入!W1449&amp;""</f>
      </c>
      <c r="Y1449">
        <f>[1]发票导入!Y1449&amp;""</f>
      </c>
      <c r="AA1449">
        <f>[1]发票导入!AA1449&amp;""</f>
      </c>
      <c r="AB1449">
        <f>[1]发票导入!AB1449</f>
        <v>0</v>
      </c>
      <c r="AC1449">
        <f>[1]发票导入!AC1449</f>
        <v>0</v>
      </c>
      <c r="AE1449" s="22">
        <f t="shared" si="0"/>
      </c>
      <c r="AI1449">
        <f>[1]发票导入!AI1449&amp;""</f>
      </c>
      <c r="AJ1449">
        <f>[1]发票导入!AJ1449&amp;""</f>
      </c>
      <c r="AK1449">
        <f>[1]发票导入!AK1449</f>
        <v>0</v>
      </c>
      <c r="AL1449">
        <f>[1]发票导入!AL1449</f>
        <v>0</v>
      </c>
      <c r="AM1449">
        <f>[1]发票导入!AM1449</f>
        <v>0</v>
      </c>
      <c r="AN1449" s="22">
        <f t="shared" si="1"/>
        <v>0</v>
      </c>
      <c r="AO1449" s="22">
        <f t="shared" si="2"/>
        <v>0</v>
      </c>
    </row>
    <row r="1450">
      <c r="C1450">
        <f>[1]发票导入!C1450&amp;""</f>
      </c>
      <c r="D1450">
        <f>[1]发票导入!D1450&amp;""</f>
      </c>
      <c r="O1450">
        <f>[1]发票导入!O1450&amp;""</f>
      </c>
      <c r="T1450">
        <f>[1]发票导入!T1450</f>
      </c>
      <c r="U1450">
        <f>[1]发票导入!U1450&amp;""</f>
      </c>
      <c r="V1450">
        <f>[1]发票导入!V1450&amp;""</f>
      </c>
      <c r="W1450">
        <f>[1]发票导入!W1450&amp;""</f>
      </c>
      <c r="Y1450">
        <f>[1]发票导入!Y1450&amp;""</f>
      </c>
      <c r="AA1450">
        <f>[1]发票导入!AA1450&amp;""</f>
      </c>
      <c r="AB1450">
        <f>[1]发票导入!AB1450</f>
        <v>0</v>
      </c>
      <c r="AC1450">
        <f>[1]发票导入!AC1450</f>
        <v>0</v>
      </c>
      <c r="AE1450" s="22">
        <f t="shared" si="0"/>
      </c>
      <c r="AI1450">
        <f>[1]发票导入!AI1450&amp;""</f>
      </c>
      <c r="AJ1450">
        <f>[1]发票导入!AJ1450&amp;""</f>
      </c>
      <c r="AK1450">
        <f>[1]发票导入!AK1450</f>
        <v>0</v>
      </c>
      <c r="AL1450">
        <f>[1]发票导入!AL1450</f>
        <v>0</v>
      </c>
      <c r="AM1450">
        <f>[1]发票导入!AM1450</f>
        <v>0</v>
      </c>
      <c r="AN1450" s="22">
        <f t="shared" si="1"/>
        <v>0</v>
      </c>
      <c r="AO1450" s="22">
        <f t="shared" si="2"/>
        <v>0</v>
      </c>
    </row>
    <row r="1451">
      <c r="C1451">
        <f>[1]发票导入!C1451&amp;""</f>
      </c>
      <c r="D1451">
        <f>[1]发票导入!D1451&amp;""</f>
      </c>
      <c r="O1451">
        <f>[1]发票导入!O1451&amp;""</f>
      </c>
      <c r="T1451">
        <f>[1]发票导入!T1451</f>
      </c>
      <c r="U1451">
        <f>[1]发票导入!U1451&amp;""</f>
      </c>
      <c r="V1451">
        <f>[1]发票导入!V1451&amp;""</f>
      </c>
      <c r="W1451">
        <f>[1]发票导入!W1451&amp;""</f>
      </c>
      <c r="Y1451">
        <f>[1]发票导入!Y1451&amp;""</f>
      </c>
      <c r="AA1451">
        <f>[1]发票导入!AA1451&amp;""</f>
      </c>
      <c r="AB1451">
        <f>[1]发票导入!AB1451</f>
        <v>0</v>
      </c>
      <c r="AC1451">
        <f>[1]发票导入!AC1451</f>
        <v>0</v>
      </c>
      <c r="AE1451" s="22">
        <f t="shared" si="0"/>
      </c>
      <c r="AI1451">
        <f>[1]发票导入!AI1451&amp;""</f>
      </c>
      <c r="AJ1451">
        <f>[1]发票导入!AJ1451&amp;""</f>
      </c>
      <c r="AK1451">
        <f>[1]发票导入!AK1451</f>
        <v>0</v>
      </c>
      <c r="AL1451">
        <f>[1]发票导入!AL1451</f>
        <v>0</v>
      </c>
      <c r="AM1451">
        <f>[1]发票导入!AM1451</f>
        <v>0</v>
      </c>
      <c r="AN1451" s="22">
        <f t="shared" si="1"/>
        <v>0</v>
      </c>
      <c r="AO1451" s="22">
        <f t="shared" si="2"/>
        <v>0</v>
      </c>
    </row>
    <row r="1452">
      <c r="C1452">
        <f>[1]发票导入!C1452&amp;""</f>
      </c>
      <c r="D1452">
        <f>[1]发票导入!D1452&amp;""</f>
      </c>
      <c r="O1452">
        <f>[1]发票导入!O1452&amp;""</f>
      </c>
      <c r="T1452">
        <f>[1]发票导入!T1452</f>
      </c>
      <c r="U1452">
        <f>[1]发票导入!U1452&amp;""</f>
      </c>
      <c r="V1452">
        <f>[1]发票导入!V1452&amp;""</f>
      </c>
      <c r="W1452">
        <f>[1]发票导入!W1452&amp;""</f>
      </c>
      <c r="Y1452">
        <f>[1]发票导入!Y1452&amp;""</f>
      </c>
      <c r="AA1452">
        <f>[1]发票导入!AA1452&amp;""</f>
      </c>
      <c r="AB1452">
        <f>[1]发票导入!AB1452</f>
        <v>0</v>
      </c>
      <c r="AC1452">
        <f>[1]发票导入!AC1452</f>
        <v>0</v>
      </c>
      <c r="AE1452" s="22">
        <f t="shared" si="0"/>
      </c>
      <c r="AI1452">
        <f>[1]发票导入!AI1452&amp;""</f>
      </c>
      <c r="AJ1452">
        <f>[1]发票导入!AJ1452&amp;""</f>
      </c>
      <c r="AK1452">
        <f>[1]发票导入!AK1452</f>
        <v>0</v>
      </c>
      <c r="AL1452">
        <f>[1]发票导入!AL1452</f>
        <v>0</v>
      </c>
      <c r="AM1452">
        <f>[1]发票导入!AM1452</f>
        <v>0</v>
      </c>
      <c r="AN1452" s="22">
        <f t="shared" si="1"/>
        <v>0</v>
      </c>
      <c r="AO1452" s="22">
        <f t="shared" si="2"/>
        <v>0</v>
      </c>
    </row>
    <row r="1453">
      <c r="C1453">
        <f>[1]发票导入!C1453&amp;""</f>
      </c>
      <c r="D1453">
        <f>[1]发票导入!D1453&amp;""</f>
      </c>
      <c r="O1453">
        <f>[1]发票导入!O1453&amp;""</f>
      </c>
      <c r="T1453">
        <f>[1]发票导入!T1453</f>
      </c>
      <c r="U1453">
        <f>[1]发票导入!U1453&amp;""</f>
      </c>
      <c r="V1453">
        <f>[1]发票导入!V1453&amp;""</f>
      </c>
      <c r="W1453">
        <f>[1]发票导入!W1453&amp;""</f>
      </c>
      <c r="Y1453">
        <f>[1]发票导入!Y1453&amp;""</f>
      </c>
      <c r="AA1453">
        <f>[1]发票导入!AA1453&amp;""</f>
      </c>
      <c r="AB1453">
        <f>[1]发票导入!AB1453</f>
        <v>0</v>
      </c>
      <c r="AC1453">
        <f>[1]发票导入!AC1453</f>
        <v>0</v>
      </c>
      <c r="AE1453" s="22">
        <f t="shared" si="0"/>
      </c>
      <c r="AI1453">
        <f>[1]发票导入!AI1453&amp;""</f>
      </c>
      <c r="AJ1453">
        <f>[1]发票导入!AJ1453&amp;""</f>
      </c>
      <c r="AK1453">
        <f>[1]发票导入!AK1453</f>
        <v>0</v>
      </c>
      <c r="AL1453">
        <f>[1]发票导入!AL1453</f>
        <v>0</v>
      </c>
      <c r="AM1453">
        <f>[1]发票导入!AM1453</f>
        <v>0</v>
      </c>
      <c r="AN1453" s="22">
        <f t="shared" si="1"/>
        <v>0</v>
      </c>
      <c r="AO1453" s="22">
        <f t="shared" si="2"/>
        <v>0</v>
      </c>
    </row>
    <row r="1454">
      <c r="C1454">
        <f>[1]发票导入!C1454&amp;""</f>
      </c>
      <c r="D1454">
        <f>[1]发票导入!D1454&amp;""</f>
      </c>
      <c r="O1454">
        <f>[1]发票导入!O1454&amp;""</f>
      </c>
      <c r="T1454">
        <f>[1]发票导入!T1454</f>
      </c>
      <c r="U1454">
        <f>[1]发票导入!U1454&amp;""</f>
      </c>
      <c r="V1454">
        <f>[1]发票导入!V1454&amp;""</f>
      </c>
      <c r="W1454">
        <f>[1]发票导入!W1454&amp;""</f>
      </c>
      <c r="Y1454">
        <f>[1]发票导入!Y1454&amp;""</f>
      </c>
      <c r="AA1454">
        <f>[1]发票导入!AA1454&amp;""</f>
      </c>
      <c r="AB1454">
        <f>[1]发票导入!AB1454</f>
        <v>0</v>
      </c>
      <c r="AC1454">
        <f>[1]发票导入!AC1454</f>
        <v>0</v>
      </c>
      <c r="AE1454" s="22">
        <f t="shared" si="0"/>
      </c>
      <c r="AI1454">
        <f>[1]发票导入!AI1454&amp;""</f>
      </c>
      <c r="AJ1454">
        <f>[1]发票导入!AJ1454&amp;""</f>
      </c>
      <c r="AK1454">
        <f>[1]发票导入!AK1454</f>
        <v>0</v>
      </c>
      <c r="AL1454">
        <f>[1]发票导入!AL1454</f>
        <v>0</v>
      </c>
      <c r="AM1454">
        <f>[1]发票导入!AM1454</f>
        <v>0</v>
      </c>
      <c r="AN1454" s="22">
        <f t="shared" si="1"/>
        <v>0</v>
      </c>
      <c r="AO1454" s="22">
        <f t="shared" si="2"/>
        <v>0</v>
      </c>
    </row>
    <row r="1455">
      <c r="C1455">
        <f>[1]发票导入!C1455&amp;""</f>
      </c>
      <c r="D1455">
        <f>[1]发票导入!D1455&amp;""</f>
      </c>
      <c r="O1455">
        <f>[1]发票导入!O1455&amp;""</f>
      </c>
      <c r="T1455">
        <f>[1]发票导入!T1455</f>
      </c>
      <c r="U1455">
        <f>[1]发票导入!U1455&amp;""</f>
      </c>
      <c r="V1455">
        <f>[1]发票导入!V1455&amp;""</f>
      </c>
      <c r="W1455">
        <f>[1]发票导入!W1455&amp;""</f>
      </c>
      <c r="Y1455">
        <f>[1]发票导入!Y1455&amp;""</f>
      </c>
      <c r="AA1455">
        <f>[1]发票导入!AA1455&amp;""</f>
      </c>
      <c r="AB1455">
        <f>[1]发票导入!AB1455</f>
        <v>0</v>
      </c>
      <c r="AC1455">
        <f>[1]发票导入!AC1455</f>
        <v>0</v>
      </c>
      <c r="AE1455" s="22">
        <f t="shared" si="0"/>
      </c>
      <c r="AI1455">
        <f>[1]发票导入!AI1455&amp;""</f>
      </c>
      <c r="AJ1455">
        <f>[1]发票导入!AJ1455&amp;""</f>
      </c>
      <c r="AK1455">
        <f>[1]发票导入!AK1455</f>
        <v>0</v>
      </c>
      <c r="AL1455">
        <f>[1]发票导入!AL1455</f>
        <v>0</v>
      </c>
      <c r="AM1455">
        <f>[1]发票导入!AM1455</f>
        <v>0</v>
      </c>
      <c r="AN1455" s="22">
        <f t="shared" si="1"/>
        <v>0</v>
      </c>
      <c r="AO1455" s="22">
        <f t="shared" si="2"/>
        <v>0</v>
      </c>
    </row>
    <row r="1456">
      <c r="C1456">
        <f>[1]发票导入!C1456&amp;""</f>
      </c>
      <c r="D1456">
        <f>[1]发票导入!D1456&amp;""</f>
      </c>
      <c r="O1456">
        <f>[1]发票导入!O1456&amp;""</f>
      </c>
      <c r="T1456">
        <f>[1]发票导入!T1456</f>
      </c>
      <c r="U1456">
        <f>[1]发票导入!U1456&amp;""</f>
      </c>
      <c r="V1456">
        <f>[1]发票导入!V1456&amp;""</f>
      </c>
      <c r="W1456">
        <f>[1]发票导入!W1456&amp;""</f>
      </c>
      <c r="Y1456">
        <f>[1]发票导入!Y1456&amp;""</f>
      </c>
      <c r="AA1456">
        <f>[1]发票导入!AA1456&amp;""</f>
      </c>
      <c r="AB1456">
        <f>[1]发票导入!AB1456</f>
        <v>0</v>
      </c>
      <c r="AC1456">
        <f>[1]发票导入!AC1456</f>
        <v>0</v>
      </c>
      <c r="AE1456" s="22">
        <f t="shared" si="0"/>
      </c>
      <c r="AI1456">
        <f>[1]发票导入!AI1456&amp;""</f>
      </c>
      <c r="AJ1456">
        <f>[1]发票导入!AJ1456&amp;""</f>
      </c>
      <c r="AK1456">
        <f>[1]发票导入!AK1456</f>
        <v>0</v>
      </c>
      <c r="AL1456">
        <f>[1]发票导入!AL1456</f>
        <v>0</v>
      </c>
      <c r="AM1456">
        <f>[1]发票导入!AM1456</f>
        <v>0</v>
      </c>
      <c r="AN1456" s="22">
        <f t="shared" si="1"/>
        <v>0</v>
      </c>
      <c r="AO1456" s="22">
        <f t="shared" si="2"/>
        <v>0</v>
      </c>
    </row>
    <row r="1457">
      <c r="C1457">
        <f>[1]发票导入!C1457&amp;""</f>
      </c>
      <c r="D1457">
        <f>[1]发票导入!D1457&amp;""</f>
      </c>
      <c r="O1457">
        <f>[1]发票导入!O1457&amp;""</f>
      </c>
      <c r="T1457">
        <f>[1]发票导入!T1457</f>
      </c>
      <c r="U1457">
        <f>[1]发票导入!U1457&amp;""</f>
      </c>
      <c r="V1457">
        <f>[1]发票导入!V1457&amp;""</f>
      </c>
      <c r="W1457">
        <f>[1]发票导入!W1457&amp;""</f>
      </c>
      <c r="Y1457">
        <f>[1]发票导入!Y1457&amp;""</f>
      </c>
      <c r="AA1457">
        <f>[1]发票导入!AA1457&amp;""</f>
      </c>
      <c r="AB1457">
        <f>[1]发票导入!AB1457</f>
        <v>0</v>
      </c>
      <c r="AC1457">
        <f>[1]发票导入!AC1457</f>
        <v>0</v>
      </c>
      <c r="AE1457" s="22">
        <f t="shared" si="0"/>
      </c>
      <c r="AI1457">
        <f>[1]发票导入!AI1457&amp;""</f>
      </c>
      <c r="AJ1457">
        <f>[1]发票导入!AJ1457&amp;""</f>
      </c>
      <c r="AK1457">
        <f>[1]发票导入!AK1457</f>
        <v>0</v>
      </c>
      <c r="AL1457">
        <f>[1]发票导入!AL1457</f>
        <v>0</v>
      </c>
      <c r="AM1457">
        <f>[1]发票导入!AM1457</f>
        <v>0</v>
      </c>
      <c r="AN1457" s="22">
        <f t="shared" si="1"/>
        <v>0</v>
      </c>
      <c r="AO1457" s="22">
        <f t="shared" si="2"/>
        <v>0</v>
      </c>
    </row>
    <row r="1458">
      <c r="C1458">
        <f>[1]发票导入!C1458&amp;""</f>
      </c>
      <c r="D1458">
        <f>[1]发票导入!D1458&amp;""</f>
      </c>
      <c r="O1458">
        <f>[1]发票导入!O1458&amp;""</f>
      </c>
      <c r="T1458">
        <f>[1]发票导入!T1458</f>
      </c>
      <c r="U1458">
        <f>[1]发票导入!U1458&amp;""</f>
      </c>
      <c r="V1458">
        <f>[1]发票导入!V1458&amp;""</f>
      </c>
      <c r="W1458">
        <f>[1]发票导入!W1458&amp;""</f>
      </c>
      <c r="Y1458">
        <f>[1]发票导入!Y1458&amp;""</f>
      </c>
      <c r="AA1458">
        <f>[1]发票导入!AA1458&amp;""</f>
      </c>
      <c r="AB1458">
        <f>[1]发票导入!AB1458</f>
        <v>0</v>
      </c>
      <c r="AC1458">
        <f>[1]发票导入!AC1458</f>
        <v>0</v>
      </c>
      <c r="AE1458" s="22">
        <f t="shared" si="0"/>
      </c>
      <c r="AI1458">
        <f>[1]发票导入!AI1458&amp;""</f>
      </c>
      <c r="AJ1458">
        <f>[1]发票导入!AJ1458&amp;""</f>
      </c>
      <c r="AK1458">
        <f>[1]发票导入!AK1458</f>
        <v>0</v>
      </c>
      <c r="AL1458">
        <f>[1]发票导入!AL1458</f>
        <v>0</v>
      </c>
      <c r="AM1458">
        <f>[1]发票导入!AM1458</f>
        <v>0</v>
      </c>
      <c r="AN1458" s="22">
        <f t="shared" si="1"/>
        <v>0</v>
      </c>
      <c r="AO1458" s="22">
        <f t="shared" si="2"/>
        <v>0</v>
      </c>
    </row>
    <row r="1459">
      <c r="C1459">
        <f>[1]发票导入!C1459&amp;""</f>
      </c>
      <c r="D1459">
        <f>[1]发票导入!D1459&amp;""</f>
      </c>
      <c r="O1459">
        <f>[1]发票导入!O1459&amp;""</f>
      </c>
      <c r="T1459">
        <f>[1]发票导入!T1459</f>
      </c>
      <c r="U1459">
        <f>[1]发票导入!U1459&amp;""</f>
      </c>
      <c r="V1459">
        <f>[1]发票导入!V1459&amp;""</f>
      </c>
      <c r="W1459">
        <f>[1]发票导入!W1459&amp;""</f>
      </c>
      <c r="Y1459">
        <f>[1]发票导入!Y1459&amp;""</f>
      </c>
      <c r="AA1459">
        <f>[1]发票导入!AA1459&amp;""</f>
      </c>
      <c r="AB1459">
        <f>[1]发票导入!AB1459</f>
        <v>0</v>
      </c>
      <c r="AC1459">
        <f>[1]发票导入!AC1459</f>
        <v>0</v>
      </c>
      <c r="AE1459" s="22">
        <f t="shared" si="0"/>
      </c>
      <c r="AI1459">
        <f>[1]发票导入!AI1459&amp;""</f>
      </c>
      <c r="AJ1459">
        <f>[1]发票导入!AJ1459&amp;""</f>
      </c>
      <c r="AK1459">
        <f>[1]发票导入!AK1459</f>
        <v>0</v>
      </c>
      <c r="AL1459">
        <f>[1]发票导入!AL1459</f>
        <v>0</v>
      </c>
      <c r="AM1459">
        <f>[1]发票导入!AM1459</f>
        <v>0</v>
      </c>
      <c r="AN1459" s="22">
        <f t="shared" si="1"/>
        <v>0</v>
      </c>
      <c r="AO1459" s="22">
        <f t="shared" si="2"/>
        <v>0</v>
      </c>
    </row>
    <row r="1460">
      <c r="C1460">
        <f>[1]发票导入!C1460&amp;""</f>
      </c>
      <c r="D1460">
        <f>[1]发票导入!D1460&amp;""</f>
      </c>
      <c r="O1460">
        <f>[1]发票导入!O1460&amp;""</f>
      </c>
      <c r="T1460">
        <f>[1]发票导入!T1460</f>
      </c>
      <c r="U1460">
        <f>[1]发票导入!U1460&amp;""</f>
      </c>
      <c r="V1460">
        <f>[1]发票导入!V1460&amp;""</f>
      </c>
      <c r="W1460">
        <f>[1]发票导入!W1460&amp;""</f>
      </c>
      <c r="Y1460">
        <f>[1]发票导入!Y1460&amp;""</f>
      </c>
      <c r="AA1460">
        <f>[1]发票导入!AA1460&amp;""</f>
      </c>
      <c r="AB1460">
        <f>[1]发票导入!AB1460</f>
        <v>0</v>
      </c>
      <c r="AC1460">
        <f>[1]发票导入!AC1460</f>
        <v>0</v>
      </c>
      <c r="AE1460" s="22">
        <f t="shared" si="0"/>
      </c>
      <c r="AI1460">
        <f>[1]发票导入!AI1460&amp;""</f>
      </c>
      <c r="AJ1460">
        <f>[1]发票导入!AJ1460&amp;""</f>
      </c>
      <c r="AK1460">
        <f>[1]发票导入!AK1460</f>
        <v>0</v>
      </c>
      <c r="AL1460">
        <f>[1]发票导入!AL1460</f>
        <v>0</v>
      </c>
      <c r="AM1460">
        <f>[1]发票导入!AM1460</f>
        <v>0</v>
      </c>
      <c r="AN1460" s="22">
        <f t="shared" si="1"/>
        <v>0</v>
      </c>
      <c r="AO1460" s="22">
        <f t="shared" si="2"/>
        <v>0</v>
      </c>
    </row>
    <row r="1461">
      <c r="C1461">
        <f>[1]发票导入!C1461&amp;""</f>
      </c>
      <c r="D1461">
        <f>[1]发票导入!D1461&amp;""</f>
      </c>
      <c r="O1461">
        <f>[1]发票导入!O1461&amp;""</f>
      </c>
      <c r="T1461">
        <f>[1]发票导入!T1461</f>
      </c>
      <c r="U1461">
        <f>[1]发票导入!U1461&amp;""</f>
      </c>
      <c r="V1461">
        <f>[1]发票导入!V1461&amp;""</f>
      </c>
      <c r="W1461">
        <f>[1]发票导入!W1461&amp;""</f>
      </c>
      <c r="Y1461">
        <f>[1]发票导入!Y1461&amp;""</f>
      </c>
      <c r="AA1461">
        <f>[1]发票导入!AA1461&amp;""</f>
      </c>
      <c r="AB1461">
        <f>[1]发票导入!AB1461</f>
        <v>0</v>
      </c>
      <c r="AC1461">
        <f>[1]发票导入!AC1461</f>
        <v>0</v>
      </c>
      <c r="AE1461" s="22">
        <f t="shared" si="0"/>
      </c>
      <c r="AI1461">
        <f>[1]发票导入!AI1461&amp;""</f>
      </c>
      <c r="AJ1461">
        <f>[1]发票导入!AJ1461&amp;""</f>
      </c>
      <c r="AK1461">
        <f>[1]发票导入!AK1461</f>
        <v>0</v>
      </c>
      <c r="AL1461">
        <f>[1]发票导入!AL1461</f>
        <v>0</v>
      </c>
      <c r="AM1461">
        <f>[1]发票导入!AM1461</f>
        <v>0</v>
      </c>
      <c r="AN1461" s="22">
        <f t="shared" si="1"/>
        <v>0</v>
      </c>
      <c r="AO1461" s="22">
        <f t="shared" si="2"/>
        <v>0</v>
      </c>
    </row>
    <row r="1462">
      <c r="C1462">
        <f>[1]发票导入!C1462&amp;""</f>
      </c>
      <c r="D1462">
        <f>[1]发票导入!D1462&amp;""</f>
      </c>
      <c r="O1462">
        <f>[1]发票导入!O1462&amp;""</f>
      </c>
      <c r="T1462">
        <f>[1]发票导入!T1462</f>
      </c>
      <c r="U1462">
        <f>[1]发票导入!U1462&amp;""</f>
      </c>
      <c r="V1462">
        <f>[1]发票导入!V1462&amp;""</f>
      </c>
      <c r="W1462">
        <f>[1]发票导入!W1462&amp;""</f>
      </c>
      <c r="Y1462">
        <f>[1]发票导入!Y1462&amp;""</f>
      </c>
      <c r="AA1462">
        <f>[1]发票导入!AA1462&amp;""</f>
      </c>
      <c r="AB1462">
        <f>[1]发票导入!AB1462</f>
        <v>0</v>
      </c>
      <c r="AC1462">
        <f>[1]发票导入!AC1462</f>
        <v>0</v>
      </c>
      <c r="AE1462" s="22">
        <f t="shared" si="0"/>
      </c>
      <c r="AI1462">
        <f>[1]发票导入!AI1462&amp;""</f>
      </c>
      <c r="AJ1462">
        <f>[1]发票导入!AJ1462&amp;""</f>
      </c>
      <c r="AK1462">
        <f>[1]发票导入!AK1462</f>
        <v>0</v>
      </c>
      <c r="AL1462">
        <f>[1]发票导入!AL1462</f>
        <v>0</v>
      </c>
      <c r="AM1462">
        <f>[1]发票导入!AM1462</f>
        <v>0</v>
      </c>
      <c r="AN1462" s="22">
        <f t="shared" si="1"/>
        <v>0</v>
      </c>
      <c r="AO1462" s="22">
        <f t="shared" si="2"/>
        <v>0</v>
      </c>
    </row>
    <row r="1463">
      <c r="C1463">
        <f>[1]发票导入!C1463&amp;""</f>
      </c>
      <c r="D1463">
        <f>[1]发票导入!D1463&amp;""</f>
      </c>
      <c r="O1463">
        <f>[1]发票导入!O1463&amp;""</f>
      </c>
      <c r="T1463">
        <f>[1]发票导入!T1463</f>
      </c>
      <c r="U1463">
        <f>[1]发票导入!U1463&amp;""</f>
      </c>
      <c r="V1463">
        <f>[1]发票导入!V1463&amp;""</f>
      </c>
      <c r="W1463">
        <f>[1]发票导入!W1463&amp;""</f>
      </c>
      <c r="Y1463">
        <f>[1]发票导入!Y1463&amp;""</f>
      </c>
      <c r="AA1463">
        <f>[1]发票导入!AA1463&amp;""</f>
      </c>
      <c r="AB1463">
        <f>[1]发票导入!AB1463</f>
        <v>0</v>
      </c>
      <c r="AC1463">
        <f>[1]发票导入!AC1463</f>
        <v>0</v>
      </c>
      <c r="AE1463" s="22">
        <f t="shared" si="0"/>
      </c>
      <c r="AI1463">
        <f>[1]发票导入!AI1463&amp;""</f>
      </c>
      <c r="AJ1463">
        <f>[1]发票导入!AJ1463&amp;""</f>
      </c>
      <c r="AK1463">
        <f>[1]发票导入!AK1463</f>
        <v>0</v>
      </c>
      <c r="AL1463">
        <f>[1]发票导入!AL1463</f>
        <v>0</v>
      </c>
      <c r="AM1463">
        <f>[1]发票导入!AM1463</f>
        <v>0</v>
      </c>
      <c r="AN1463" s="22">
        <f t="shared" si="1"/>
        <v>0</v>
      </c>
      <c r="AO1463" s="22">
        <f t="shared" si="2"/>
        <v>0</v>
      </c>
    </row>
    <row r="1464">
      <c r="C1464">
        <f>[1]发票导入!C1464&amp;""</f>
      </c>
      <c r="D1464">
        <f>[1]发票导入!D1464&amp;""</f>
      </c>
      <c r="O1464">
        <f>[1]发票导入!O1464&amp;""</f>
      </c>
      <c r="T1464">
        <f>[1]发票导入!T1464</f>
      </c>
      <c r="U1464">
        <f>[1]发票导入!U1464&amp;""</f>
      </c>
      <c r="V1464">
        <f>[1]发票导入!V1464&amp;""</f>
      </c>
      <c r="W1464">
        <f>[1]发票导入!W1464&amp;""</f>
      </c>
      <c r="Y1464">
        <f>[1]发票导入!Y1464&amp;""</f>
      </c>
      <c r="AA1464">
        <f>[1]发票导入!AA1464&amp;""</f>
      </c>
      <c r="AB1464">
        <f>[1]发票导入!AB1464</f>
        <v>0</v>
      </c>
      <c r="AC1464">
        <f>[1]发票导入!AC1464</f>
        <v>0</v>
      </c>
      <c r="AE1464" s="22">
        <f t="shared" si="0"/>
      </c>
      <c r="AI1464">
        <f>[1]发票导入!AI1464&amp;""</f>
      </c>
      <c r="AJ1464">
        <f>[1]发票导入!AJ1464&amp;""</f>
      </c>
      <c r="AK1464">
        <f>[1]发票导入!AK1464</f>
        <v>0</v>
      </c>
      <c r="AL1464">
        <f>[1]发票导入!AL1464</f>
        <v>0</v>
      </c>
      <c r="AM1464">
        <f>[1]发票导入!AM1464</f>
        <v>0</v>
      </c>
      <c r="AN1464" s="22">
        <f t="shared" si="1"/>
        <v>0</v>
      </c>
      <c r="AO1464" s="22">
        <f t="shared" si="2"/>
        <v>0</v>
      </c>
    </row>
    <row r="1465">
      <c r="C1465">
        <f>[1]发票导入!C1465&amp;""</f>
      </c>
      <c r="D1465">
        <f>[1]发票导入!D1465&amp;""</f>
      </c>
      <c r="O1465">
        <f>[1]发票导入!O1465&amp;""</f>
      </c>
      <c r="T1465">
        <f>[1]发票导入!T1465</f>
      </c>
      <c r="U1465">
        <f>[1]发票导入!U1465&amp;""</f>
      </c>
      <c r="V1465">
        <f>[1]发票导入!V1465&amp;""</f>
      </c>
      <c r="W1465">
        <f>[1]发票导入!W1465&amp;""</f>
      </c>
      <c r="Y1465">
        <f>[1]发票导入!Y1465&amp;""</f>
      </c>
      <c r="AA1465">
        <f>[1]发票导入!AA1465&amp;""</f>
      </c>
      <c r="AB1465">
        <f>[1]发票导入!AB1465</f>
        <v>0</v>
      </c>
      <c r="AC1465">
        <f>[1]发票导入!AC1465</f>
        <v>0</v>
      </c>
      <c r="AE1465" s="22">
        <f t="shared" si="0"/>
      </c>
      <c r="AI1465">
        <f>[1]发票导入!AI1465&amp;""</f>
      </c>
      <c r="AJ1465">
        <f>[1]发票导入!AJ1465&amp;""</f>
      </c>
      <c r="AK1465">
        <f>[1]发票导入!AK1465</f>
        <v>0</v>
      </c>
      <c r="AL1465">
        <f>[1]发票导入!AL1465</f>
        <v>0</v>
      </c>
      <c r="AM1465">
        <f>[1]发票导入!AM1465</f>
        <v>0</v>
      </c>
      <c r="AN1465" s="22">
        <f t="shared" si="1"/>
        <v>0</v>
      </c>
      <c r="AO1465" s="22">
        <f t="shared" si="2"/>
        <v>0</v>
      </c>
    </row>
    <row r="1466">
      <c r="C1466">
        <f>[1]发票导入!C1466&amp;""</f>
      </c>
      <c r="D1466">
        <f>[1]发票导入!D1466&amp;""</f>
      </c>
      <c r="O1466">
        <f>[1]发票导入!O1466&amp;""</f>
      </c>
      <c r="T1466">
        <f>[1]发票导入!T1466</f>
      </c>
      <c r="U1466">
        <f>[1]发票导入!U1466&amp;""</f>
      </c>
      <c r="V1466">
        <f>[1]发票导入!V1466&amp;""</f>
      </c>
      <c r="W1466">
        <f>[1]发票导入!W1466&amp;""</f>
      </c>
      <c r="Y1466">
        <f>[1]发票导入!Y1466&amp;""</f>
      </c>
      <c r="AA1466">
        <f>[1]发票导入!AA1466&amp;""</f>
      </c>
      <c r="AB1466">
        <f>[1]发票导入!AB1466</f>
        <v>0</v>
      </c>
      <c r="AC1466">
        <f>[1]发票导入!AC1466</f>
        <v>0</v>
      </c>
      <c r="AE1466" s="22">
        <f t="shared" si="0"/>
      </c>
      <c r="AI1466">
        <f>[1]发票导入!AI1466&amp;""</f>
      </c>
      <c r="AJ1466">
        <f>[1]发票导入!AJ1466&amp;""</f>
      </c>
      <c r="AK1466">
        <f>[1]发票导入!AK1466</f>
        <v>0</v>
      </c>
      <c r="AL1466">
        <f>[1]发票导入!AL1466</f>
        <v>0</v>
      </c>
      <c r="AM1466">
        <f>[1]发票导入!AM1466</f>
        <v>0</v>
      </c>
      <c r="AN1466" s="22">
        <f t="shared" si="1"/>
        <v>0</v>
      </c>
      <c r="AO1466" s="22">
        <f t="shared" si="2"/>
        <v>0</v>
      </c>
    </row>
    <row r="1467">
      <c r="C1467">
        <f>[1]发票导入!C1467&amp;""</f>
      </c>
      <c r="D1467">
        <f>[1]发票导入!D1467&amp;""</f>
      </c>
      <c r="O1467">
        <f>[1]发票导入!O1467&amp;""</f>
      </c>
      <c r="T1467">
        <f>[1]发票导入!T1467</f>
      </c>
      <c r="U1467">
        <f>[1]发票导入!U1467&amp;""</f>
      </c>
      <c r="V1467">
        <f>[1]发票导入!V1467&amp;""</f>
      </c>
      <c r="W1467">
        <f>[1]发票导入!W1467&amp;""</f>
      </c>
      <c r="Y1467">
        <f>[1]发票导入!Y1467&amp;""</f>
      </c>
      <c r="AA1467">
        <f>[1]发票导入!AA1467&amp;""</f>
      </c>
      <c r="AB1467">
        <f>[1]发票导入!AB1467</f>
        <v>0</v>
      </c>
      <c r="AC1467">
        <f>[1]发票导入!AC1467</f>
        <v>0</v>
      </c>
      <c r="AE1467" s="22">
        <f t="shared" si="0"/>
      </c>
      <c r="AI1467">
        <f>[1]发票导入!AI1467&amp;""</f>
      </c>
      <c r="AJ1467">
        <f>[1]发票导入!AJ1467&amp;""</f>
      </c>
      <c r="AK1467">
        <f>[1]发票导入!AK1467</f>
        <v>0</v>
      </c>
      <c r="AL1467">
        <f>[1]发票导入!AL1467</f>
        <v>0</v>
      </c>
      <c r="AM1467">
        <f>[1]发票导入!AM1467</f>
        <v>0</v>
      </c>
      <c r="AN1467" s="22">
        <f t="shared" si="1"/>
        <v>0</v>
      </c>
      <c r="AO1467" s="22">
        <f t="shared" si="2"/>
        <v>0</v>
      </c>
    </row>
    <row r="1468">
      <c r="C1468">
        <f>[1]发票导入!C1468&amp;""</f>
      </c>
      <c r="D1468">
        <f>[1]发票导入!D1468&amp;""</f>
      </c>
      <c r="O1468">
        <f>[1]发票导入!O1468&amp;""</f>
      </c>
      <c r="T1468">
        <f>[1]发票导入!T1468</f>
      </c>
      <c r="U1468">
        <f>[1]发票导入!U1468&amp;""</f>
      </c>
      <c r="V1468">
        <f>[1]发票导入!V1468&amp;""</f>
      </c>
      <c r="W1468">
        <f>[1]发票导入!W1468&amp;""</f>
      </c>
      <c r="Y1468">
        <f>[1]发票导入!Y1468&amp;""</f>
      </c>
      <c r="AA1468">
        <f>[1]发票导入!AA1468&amp;""</f>
      </c>
      <c r="AB1468">
        <f>[1]发票导入!AB1468</f>
        <v>0</v>
      </c>
      <c r="AC1468">
        <f>[1]发票导入!AC1468</f>
        <v>0</v>
      </c>
      <c r="AE1468" s="22">
        <f t="shared" si="0"/>
      </c>
      <c r="AI1468">
        <f>[1]发票导入!AI1468&amp;""</f>
      </c>
      <c r="AJ1468">
        <f>[1]发票导入!AJ1468&amp;""</f>
      </c>
      <c r="AK1468">
        <f>[1]发票导入!AK1468</f>
        <v>0</v>
      </c>
      <c r="AL1468">
        <f>[1]发票导入!AL1468</f>
        <v>0</v>
      </c>
      <c r="AM1468">
        <f>[1]发票导入!AM1468</f>
        <v>0</v>
      </c>
      <c r="AN1468" s="22">
        <f t="shared" si="1"/>
        <v>0</v>
      </c>
      <c r="AO1468" s="22">
        <f t="shared" si="2"/>
        <v>0</v>
      </c>
    </row>
    <row r="1469">
      <c r="C1469">
        <f>[1]发票导入!C1469&amp;""</f>
      </c>
      <c r="D1469">
        <f>[1]发票导入!D1469&amp;""</f>
      </c>
      <c r="O1469">
        <f>[1]发票导入!O1469&amp;""</f>
      </c>
      <c r="T1469">
        <f>[1]发票导入!T1469</f>
      </c>
      <c r="U1469">
        <f>[1]发票导入!U1469&amp;""</f>
      </c>
      <c r="V1469">
        <f>[1]发票导入!V1469&amp;""</f>
      </c>
      <c r="W1469">
        <f>[1]发票导入!W1469&amp;""</f>
      </c>
      <c r="Y1469">
        <f>[1]发票导入!Y1469&amp;""</f>
      </c>
      <c r="AA1469">
        <f>[1]发票导入!AA1469&amp;""</f>
      </c>
      <c r="AB1469">
        <f>[1]发票导入!AB1469</f>
        <v>0</v>
      </c>
      <c r="AC1469">
        <f>[1]发票导入!AC1469</f>
        <v>0</v>
      </c>
      <c r="AE1469" s="22">
        <f t="shared" si="0"/>
      </c>
      <c r="AI1469">
        <f>[1]发票导入!AI1469&amp;""</f>
      </c>
      <c r="AJ1469">
        <f>[1]发票导入!AJ1469&amp;""</f>
      </c>
      <c r="AK1469">
        <f>[1]发票导入!AK1469</f>
        <v>0</v>
      </c>
      <c r="AL1469">
        <f>[1]发票导入!AL1469</f>
        <v>0</v>
      </c>
      <c r="AM1469">
        <f>[1]发票导入!AM1469</f>
        <v>0</v>
      </c>
      <c r="AN1469" s="22">
        <f t="shared" si="1"/>
        <v>0</v>
      </c>
      <c r="AO1469" s="22">
        <f t="shared" si="2"/>
        <v>0</v>
      </c>
    </row>
    <row r="1470">
      <c r="C1470">
        <f>[1]发票导入!C1470&amp;""</f>
      </c>
      <c r="D1470">
        <f>[1]发票导入!D1470&amp;""</f>
      </c>
      <c r="O1470">
        <f>[1]发票导入!O1470&amp;""</f>
      </c>
      <c r="T1470">
        <f>[1]发票导入!T1470</f>
      </c>
      <c r="U1470">
        <f>[1]发票导入!U1470&amp;""</f>
      </c>
      <c r="V1470">
        <f>[1]发票导入!V1470&amp;""</f>
      </c>
      <c r="W1470">
        <f>[1]发票导入!W1470&amp;""</f>
      </c>
      <c r="Y1470">
        <f>[1]发票导入!Y1470&amp;""</f>
      </c>
      <c r="AA1470">
        <f>[1]发票导入!AA1470&amp;""</f>
      </c>
      <c r="AB1470">
        <f>[1]发票导入!AB1470</f>
        <v>0</v>
      </c>
      <c r="AC1470">
        <f>[1]发票导入!AC1470</f>
        <v>0</v>
      </c>
      <c r="AE1470" s="22">
        <f t="shared" si="0"/>
      </c>
      <c r="AI1470">
        <f>[1]发票导入!AI1470&amp;""</f>
      </c>
      <c r="AJ1470">
        <f>[1]发票导入!AJ1470&amp;""</f>
      </c>
      <c r="AK1470">
        <f>[1]发票导入!AK1470</f>
        <v>0</v>
      </c>
      <c r="AL1470">
        <f>[1]发票导入!AL1470</f>
        <v>0</v>
      </c>
      <c r="AM1470">
        <f>[1]发票导入!AM1470</f>
        <v>0</v>
      </c>
      <c r="AN1470" s="22">
        <f t="shared" si="1"/>
        <v>0</v>
      </c>
      <c r="AO1470" s="22">
        <f t="shared" si="2"/>
        <v>0</v>
      </c>
    </row>
    <row r="1471">
      <c r="C1471">
        <f>[1]发票导入!C1471&amp;""</f>
      </c>
      <c r="D1471">
        <f>[1]发票导入!D1471&amp;""</f>
      </c>
      <c r="O1471">
        <f>[1]发票导入!O1471&amp;""</f>
      </c>
      <c r="T1471">
        <f>[1]发票导入!T1471</f>
      </c>
      <c r="U1471">
        <f>[1]发票导入!U1471&amp;""</f>
      </c>
      <c r="V1471">
        <f>[1]发票导入!V1471&amp;""</f>
      </c>
      <c r="W1471">
        <f>[1]发票导入!W1471&amp;""</f>
      </c>
      <c r="Y1471">
        <f>[1]发票导入!Y1471&amp;""</f>
      </c>
      <c r="AA1471">
        <f>[1]发票导入!AA1471&amp;""</f>
      </c>
      <c r="AB1471">
        <f>[1]发票导入!AB1471</f>
        <v>0</v>
      </c>
      <c r="AC1471">
        <f>[1]发票导入!AC1471</f>
        <v>0</v>
      </c>
      <c r="AE1471" s="22">
        <f t="shared" si="0"/>
      </c>
      <c r="AI1471">
        <f>[1]发票导入!AI1471&amp;""</f>
      </c>
      <c r="AJ1471">
        <f>[1]发票导入!AJ1471&amp;""</f>
      </c>
      <c r="AK1471">
        <f>[1]发票导入!AK1471</f>
        <v>0</v>
      </c>
      <c r="AL1471">
        <f>[1]发票导入!AL1471</f>
        <v>0</v>
      </c>
      <c r="AM1471">
        <f>[1]发票导入!AM1471</f>
        <v>0</v>
      </c>
      <c r="AN1471" s="22">
        <f t="shared" si="1"/>
        <v>0</v>
      </c>
      <c r="AO1471" s="22">
        <f t="shared" si="2"/>
        <v>0</v>
      </c>
    </row>
    <row r="1472">
      <c r="C1472">
        <f>[1]发票导入!C1472&amp;""</f>
      </c>
      <c r="D1472">
        <f>[1]发票导入!D1472&amp;""</f>
      </c>
      <c r="O1472">
        <f>[1]发票导入!O1472&amp;""</f>
      </c>
      <c r="T1472">
        <f>[1]发票导入!T1472</f>
      </c>
      <c r="U1472">
        <f>[1]发票导入!U1472&amp;""</f>
      </c>
      <c r="V1472">
        <f>[1]发票导入!V1472&amp;""</f>
      </c>
      <c r="W1472">
        <f>[1]发票导入!W1472&amp;""</f>
      </c>
      <c r="Y1472">
        <f>[1]发票导入!Y1472&amp;""</f>
      </c>
      <c r="AA1472">
        <f>[1]发票导入!AA1472&amp;""</f>
      </c>
      <c r="AB1472">
        <f>[1]发票导入!AB1472</f>
        <v>0</v>
      </c>
      <c r="AC1472">
        <f>[1]发票导入!AC1472</f>
        <v>0</v>
      </c>
      <c r="AE1472" s="22">
        <f t="shared" si="0"/>
      </c>
      <c r="AI1472">
        <f>[1]发票导入!AI1472&amp;""</f>
      </c>
      <c r="AJ1472">
        <f>[1]发票导入!AJ1472&amp;""</f>
      </c>
      <c r="AK1472">
        <f>[1]发票导入!AK1472</f>
        <v>0</v>
      </c>
      <c r="AL1472">
        <f>[1]发票导入!AL1472</f>
        <v>0</v>
      </c>
      <c r="AM1472">
        <f>[1]发票导入!AM1472</f>
        <v>0</v>
      </c>
      <c r="AN1472" s="22">
        <f t="shared" si="1"/>
        <v>0</v>
      </c>
      <c r="AO1472" s="22">
        <f t="shared" si="2"/>
        <v>0</v>
      </c>
    </row>
    <row r="1473">
      <c r="C1473">
        <f>[1]发票导入!C1473&amp;""</f>
      </c>
      <c r="D1473">
        <f>[1]发票导入!D1473&amp;""</f>
      </c>
      <c r="O1473">
        <f>[1]发票导入!O1473&amp;""</f>
      </c>
      <c r="T1473">
        <f>[1]发票导入!T1473</f>
      </c>
      <c r="U1473">
        <f>[1]发票导入!U1473&amp;""</f>
      </c>
      <c r="V1473">
        <f>[1]发票导入!V1473&amp;""</f>
      </c>
      <c r="W1473">
        <f>[1]发票导入!W1473&amp;""</f>
      </c>
      <c r="Y1473">
        <f>[1]发票导入!Y1473&amp;""</f>
      </c>
      <c r="AA1473">
        <f>[1]发票导入!AA1473&amp;""</f>
      </c>
      <c r="AB1473">
        <f>[1]发票导入!AB1473</f>
        <v>0</v>
      </c>
      <c r="AC1473">
        <f>[1]发票导入!AC1473</f>
        <v>0</v>
      </c>
      <c r="AE1473" s="22">
        <f t="shared" si="0"/>
      </c>
      <c r="AI1473">
        <f>[1]发票导入!AI1473&amp;""</f>
      </c>
      <c r="AJ1473">
        <f>[1]发票导入!AJ1473&amp;""</f>
      </c>
      <c r="AK1473">
        <f>[1]发票导入!AK1473</f>
        <v>0</v>
      </c>
      <c r="AL1473">
        <f>[1]发票导入!AL1473</f>
        <v>0</v>
      </c>
      <c r="AM1473">
        <f>[1]发票导入!AM1473</f>
        <v>0</v>
      </c>
      <c r="AN1473" s="22">
        <f t="shared" si="1"/>
        <v>0</v>
      </c>
      <c r="AO1473" s="22">
        <f t="shared" si="2"/>
        <v>0</v>
      </c>
    </row>
    <row r="1474">
      <c r="C1474">
        <f>[1]发票导入!C1474&amp;""</f>
      </c>
      <c r="D1474">
        <f>[1]发票导入!D1474&amp;""</f>
      </c>
      <c r="O1474">
        <f>[1]发票导入!O1474&amp;""</f>
      </c>
      <c r="T1474">
        <f>[1]发票导入!T1474</f>
      </c>
      <c r="U1474">
        <f>[1]发票导入!U1474&amp;""</f>
      </c>
      <c r="V1474">
        <f>[1]发票导入!V1474&amp;""</f>
      </c>
      <c r="W1474">
        <f>[1]发票导入!W1474&amp;""</f>
      </c>
      <c r="Y1474">
        <f>[1]发票导入!Y1474&amp;""</f>
      </c>
      <c r="AA1474">
        <f>[1]发票导入!AA1474&amp;""</f>
      </c>
      <c r="AB1474">
        <f>[1]发票导入!AB1474</f>
        <v>0</v>
      </c>
      <c r="AC1474">
        <f>[1]发票导入!AC1474</f>
        <v>0</v>
      </c>
      <c r="AE1474" s="22">
        <f t="shared" si="0"/>
      </c>
      <c r="AI1474">
        <f>[1]发票导入!AI1474&amp;""</f>
      </c>
      <c r="AJ1474">
        <f>[1]发票导入!AJ1474&amp;""</f>
      </c>
      <c r="AK1474">
        <f>[1]发票导入!AK1474</f>
        <v>0</v>
      </c>
      <c r="AL1474">
        <f>[1]发票导入!AL1474</f>
        <v>0</v>
      </c>
      <c r="AM1474">
        <f>[1]发票导入!AM1474</f>
        <v>0</v>
      </c>
      <c r="AN1474" s="22">
        <f t="shared" si="1"/>
        <v>0</v>
      </c>
      <c r="AO1474" s="22">
        <f t="shared" si="2"/>
        <v>0</v>
      </c>
    </row>
    <row r="1475">
      <c r="C1475">
        <f>[1]发票导入!C1475&amp;""</f>
      </c>
      <c r="D1475">
        <f>[1]发票导入!D1475&amp;""</f>
      </c>
      <c r="O1475">
        <f>[1]发票导入!O1475&amp;""</f>
      </c>
      <c r="T1475">
        <f>[1]发票导入!T1475</f>
      </c>
      <c r="U1475">
        <f>[1]发票导入!U1475&amp;""</f>
      </c>
      <c r="V1475">
        <f>[1]发票导入!V1475&amp;""</f>
      </c>
      <c r="W1475">
        <f>[1]发票导入!W1475&amp;""</f>
      </c>
      <c r="Y1475">
        <f>[1]发票导入!Y1475&amp;""</f>
      </c>
      <c r="AA1475">
        <f>[1]发票导入!AA1475&amp;""</f>
      </c>
      <c r="AB1475">
        <f>[1]发票导入!AB1475</f>
        <v>0</v>
      </c>
      <c r="AC1475">
        <f>[1]发票导入!AC1475</f>
        <v>0</v>
      </c>
      <c r="AE1475" s="22">
        <f t="shared" si="0"/>
      </c>
      <c r="AI1475">
        <f>[1]发票导入!AI1475&amp;""</f>
      </c>
      <c r="AJ1475">
        <f>[1]发票导入!AJ1475&amp;""</f>
      </c>
      <c r="AK1475">
        <f>[1]发票导入!AK1475</f>
        <v>0</v>
      </c>
      <c r="AL1475">
        <f>[1]发票导入!AL1475</f>
        <v>0</v>
      </c>
      <c r="AM1475">
        <f>[1]发票导入!AM1475</f>
        <v>0</v>
      </c>
      <c r="AN1475" s="22">
        <f t="shared" si="1"/>
        <v>0</v>
      </c>
      <c r="AO1475" s="22">
        <f t="shared" si="2"/>
        <v>0</v>
      </c>
    </row>
    <row r="1476">
      <c r="C1476">
        <f>[1]发票导入!C1476&amp;""</f>
      </c>
      <c r="D1476">
        <f>[1]发票导入!D1476&amp;""</f>
      </c>
      <c r="O1476">
        <f>[1]发票导入!O1476&amp;""</f>
      </c>
      <c r="T1476">
        <f>[1]发票导入!T1476</f>
      </c>
      <c r="U1476">
        <f>[1]发票导入!U1476&amp;""</f>
      </c>
      <c r="V1476">
        <f>[1]发票导入!V1476&amp;""</f>
      </c>
      <c r="W1476">
        <f>[1]发票导入!W1476&amp;""</f>
      </c>
      <c r="Y1476">
        <f>[1]发票导入!Y1476&amp;""</f>
      </c>
      <c r="AA1476">
        <f>[1]发票导入!AA1476&amp;""</f>
      </c>
      <c r="AB1476">
        <f>[1]发票导入!AB1476</f>
        <v>0</v>
      </c>
      <c r="AC1476">
        <f>[1]发票导入!AC1476</f>
        <v>0</v>
      </c>
      <c r="AE1476" s="22">
        <f t="shared" si="0"/>
      </c>
      <c r="AI1476">
        <f>[1]发票导入!AI1476&amp;""</f>
      </c>
      <c r="AJ1476">
        <f>[1]发票导入!AJ1476&amp;""</f>
      </c>
      <c r="AK1476">
        <f>[1]发票导入!AK1476</f>
        <v>0</v>
      </c>
      <c r="AL1476">
        <f>[1]发票导入!AL1476</f>
        <v>0</v>
      </c>
      <c r="AM1476">
        <f>[1]发票导入!AM1476</f>
        <v>0</v>
      </c>
      <c r="AN1476" s="22">
        <f t="shared" si="1"/>
        <v>0</v>
      </c>
      <c r="AO1476" s="22">
        <f t="shared" si="2"/>
        <v>0</v>
      </c>
    </row>
    <row r="1477">
      <c r="C1477">
        <f>[1]发票导入!C1477&amp;""</f>
      </c>
      <c r="D1477">
        <f>[1]发票导入!D1477&amp;""</f>
      </c>
      <c r="O1477">
        <f>[1]发票导入!O1477&amp;""</f>
      </c>
      <c r="T1477">
        <f>[1]发票导入!T1477</f>
      </c>
      <c r="U1477">
        <f>[1]发票导入!U1477&amp;""</f>
      </c>
      <c r="V1477">
        <f>[1]发票导入!V1477&amp;""</f>
      </c>
      <c r="W1477">
        <f>[1]发票导入!W1477&amp;""</f>
      </c>
      <c r="Y1477">
        <f>[1]发票导入!Y1477&amp;""</f>
      </c>
      <c r="AA1477">
        <f>[1]发票导入!AA1477&amp;""</f>
      </c>
      <c r="AB1477">
        <f>[1]发票导入!AB1477</f>
        <v>0</v>
      </c>
      <c r="AC1477">
        <f>[1]发票导入!AC1477</f>
        <v>0</v>
      </c>
      <c r="AE1477" s="22">
        <f t="shared" si="0"/>
      </c>
      <c r="AI1477">
        <f>[1]发票导入!AI1477&amp;""</f>
      </c>
      <c r="AJ1477">
        <f>[1]发票导入!AJ1477&amp;""</f>
      </c>
      <c r="AK1477">
        <f>[1]发票导入!AK1477</f>
        <v>0</v>
      </c>
      <c r="AL1477">
        <f>[1]发票导入!AL1477</f>
        <v>0</v>
      </c>
      <c r="AM1477">
        <f>[1]发票导入!AM1477</f>
        <v>0</v>
      </c>
      <c r="AN1477" s="22">
        <f t="shared" si="1"/>
        <v>0</v>
      </c>
      <c r="AO1477" s="22">
        <f t="shared" si="2"/>
        <v>0</v>
      </c>
    </row>
    <row r="1478">
      <c r="C1478">
        <f>[1]发票导入!C1478&amp;""</f>
      </c>
      <c r="D1478">
        <f>[1]发票导入!D1478&amp;""</f>
      </c>
      <c r="O1478">
        <f>[1]发票导入!O1478&amp;""</f>
      </c>
      <c r="T1478">
        <f>[1]发票导入!T1478</f>
      </c>
      <c r="U1478">
        <f>[1]发票导入!U1478&amp;""</f>
      </c>
      <c r="V1478">
        <f>[1]发票导入!V1478&amp;""</f>
      </c>
      <c r="W1478">
        <f>[1]发票导入!W1478&amp;""</f>
      </c>
      <c r="Y1478">
        <f>[1]发票导入!Y1478&amp;""</f>
      </c>
      <c r="AA1478">
        <f>[1]发票导入!AA1478&amp;""</f>
      </c>
      <c r="AB1478">
        <f>[1]发票导入!AB1478</f>
        <v>0</v>
      </c>
      <c r="AC1478">
        <f>[1]发票导入!AC1478</f>
        <v>0</v>
      </c>
      <c r="AE1478" s="22">
        <f t="shared" si="0"/>
      </c>
      <c r="AI1478">
        <f>[1]发票导入!AI1478&amp;""</f>
      </c>
      <c r="AJ1478">
        <f>[1]发票导入!AJ1478&amp;""</f>
      </c>
      <c r="AK1478">
        <f>[1]发票导入!AK1478</f>
        <v>0</v>
      </c>
      <c r="AL1478">
        <f>[1]发票导入!AL1478</f>
        <v>0</v>
      </c>
      <c r="AM1478">
        <f>[1]发票导入!AM1478</f>
        <v>0</v>
      </c>
      <c r="AN1478" s="22">
        <f t="shared" si="1"/>
        <v>0</v>
      </c>
      <c r="AO1478" s="22">
        <f t="shared" si="2"/>
        <v>0</v>
      </c>
    </row>
    <row r="1479">
      <c r="C1479">
        <f>[1]发票导入!C1479&amp;""</f>
      </c>
      <c r="D1479">
        <f>[1]发票导入!D1479&amp;""</f>
      </c>
      <c r="O1479">
        <f>[1]发票导入!O1479&amp;""</f>
      </c>
      <c r="T1479">
        <f>[1]发票导入!T1479</f>
      </c>
      <c r="U1479">
        <f>[1]发票导入!U1479&amp;""</f>
      </c>
      <c r="V1479">
        <f>[1]发票导入!V1479&amp;""</f>
      </c>
      <c r="W1479">
        <f>[1]发票导入!W1479&amp;""</f>
      </c>
      <c r="Y1479">
        <f>[1]发票导入!Y1479&amp;""</f>
      </c>
      <c r="AA1479">
        <f>[1]发票导入!AA1479&amp;""</f>
      </c>
      <c r="AB1479">
        <f>[1]发票导入!AB1479</f>
        <v>0</v>
      </c>
      <c r="AC1479">
        <f>[1]发票导入!AC1479</f>
        <v>0</v>
      </c>
      <c r="AE1479" s="22">
        <f t="shared" si="0"/>
      </c>
      <c r="AI1479">
        <f>[1]发票导入!AI1479&amp;""</f>
      </c>
      <c r="AJ1479">
        <f>[1]发票导入!AJ1479&amp;""</f>
      </c>
      <c r="AK1479">
        <f>[1]发票导入!AK1479</f>
        <v>0</v>
      </c>
      <c r="AL1479">
        <f>[1]发票导入!AL1479</f>
        <v>0</v>
      </c>
      <c r="AM1479">
        <f>[1]发票导入!AM1479</f>
        <v>0</v>
      </c>
      <c r="AN1479" s="22">
        <f t="shared" si="1"/>
        <v>0</v>
      </c>
      <c r="AO1479" s="22">
        <f t="shared" si="2"/>
        <v>0</v>
      </c>
    </row>
    <row r="1480">
      <c r="C1480">
        <f>[1]发票导入!C1480&amp;""</f>
      </c>
      <c r="D1480">
        <f>[1]发票导入!D1480&amp;""</f>
      </c>
      <c r="O1480">
        <f>[1]发票导入!O1480&amp;""</f>
      </c>
      <c r="T1480">
        <f>[1]发票导入!T1480</f>
      </c>
      <c r="U1480">
        <f>[1]发票导入!U1480&amp;""</f>
      </c>
      <c r="V1480">
        <f>[1]发票导入!V1480&amp;""</f>
      </c>
      <c r="W1480">
        <f>[1]发票导入!W1480&amp;""</f>
      </c>
      <c r="Y1480">
        <f>[1]发票导入!Y1480&amp;""</f>
      </c>
      <c r="AA1480">
        <f>[1]发票导入!AA1480&amp;""</f>
      </c>
      <c r="AB1480">
        <f>[1]发票导入!AB1480</f>
        <v>0</v>
      </c>
      <c r="AC1480">
        <f>[1]发票导入!AC1480</f>
        <v>0</v>
      </c>
      <c r="AE1480" s="22">
        <f t="shared" si="0"/>
      </c>
      <c r="AI1480">
        <f>[1]发票导入!AI1480&amp;""</f>
      </c>
      <c r="AJ1480">
        <f>[1]发票导入!AJ1480&amp;""</f>
      </c>
      <c r="AK1480">
        <f>[1]发票导入!AK1480</f>
        <v>0</v>
      </c>
      <c r="AL1480">
        <f>[1]发票导入!AL1480</f>
        <v>0</v>
      </c>
      <c r="AM1480">
        <f>[1]发票导入!AM1480</f>
        <v>0</v>
      </c>
      <c r="AN1480" s="22">
        <f t="shared" si="1"/>
        <v>0</v>
      </c>
      <c r="AO1480" s="22">
        <f t="shared" si="2"/>
        <v>0</v>
      </c>
    </row>
    <row r="1481">
      <c r="C1481">
        <f>[1]发票导入!C1481&amp;""</f>
      </c>
      <c r="D1481">
        <f>[1]发票导入!D1481&amp;""</f>
      </c>
      <c r="O1481">
        <f>[1]发票导入!O1481&amp;""</f>
      </c>
      <c r="T1481">
        <f>[1]发票导入!T1481</f>
      </c>
      <c r="U1481">
        <f>[1]发票导入!U1481&amp;""</f>
      </c>
      <c r="V1481">
        <f>[1]发票导入!V1481&amp;""</f>
      </c>
      <c r="W1481">
        <f>[1]发票导入!W1481&amp;""</f>
      </c>
      <c r="Y1481">
        <f>[1]发票导入!Y1481&amp;""</f>
      </c>
      <c r="AA1481">
        <f>[1]发票导入!AA1481&amp;""</f>
      </c>
      <c r="AB1481">
        <f>[1]发票导入!AB1481</f>
        <v>0</v>
      </c>
      <c r="AC1481">
        <f>[1]发票导入!AC1481</f>
        <v>0</v>
      </c>
      <c r="AE1481" s="22">
        <f t="shared" si="0"/>
      </c>
      <c r="AI1481">
        <f>[1]发票导入!AI1481&amp;""</f>
      </c>
      <c r="AJ1481">
        <f>[1]发票导入!AJ1481&amp;""</f>
      </c>
      <c r="AK1481">
        <f>[1]发票导入!AK1481</f>
        <v>0</v>
      </c>
      <c r="AL1481">
        <f>[1]发票导入!AL1481</f>
        <v>0</v>
      </c>
      <c r="AM1481">
        <f>[1]发票导入!AM1481</f>
        <v>0</v>
      </c>
      <c r="AN1481" s="22">
        <f t="shared" si="1"/>
        <v>0</v>
      </c>
      <c r="AO1481" s="22">
        <f t="shared" si="2"/>
        <v>0</v>
      </c>
    </row>
    <row r="1482">
      <c r="C1482">
        <f>[1]发票导入!C1482&amp;""</f>
      </c>
      <c r="D1482">
        <f>[1]发票导入!D1482&amp;""</f>
      </c>
      <c r="O1482">
        <f>[1]发票导入!O1482&amp;""</f>
      </c>
      <c r="T1482">
        <f>[1]发票导入!T1482</f>
      </c>
      <c r="U1482">
        <f>[1]发票导入!U1482&amp;""</f>
      </c>
      <c r="V1482">
        <f>[1]发票导入!V1482&amp;""</f>
      </c>
      <c r="W1482">
        <f>[1]发票导入!W1482&amp;""</f>
      </c>
      <c r="Y1482">
        <f>[1]发票导入!Y1482&amp;""</f>
      </c>
      <c r="AA1482">
        <f>[1]发票导入!AA1482&amp;""</f>
      </c>
      <c r="AB1482">
        <f>[1]发票导入!AB1482</f>
        <v>0</v>
      </c>
      <c r="AC1482">
        <f>[1]发票导入!AC1482</f>
        <v>0</v>
      </c>
      <c r="AE1482" s="22">
        <f t="shared" si="0"/>
      </c>
      <c r="AI1482">
        <f>[1]发票导入!AI1482&amp;""</f>
      </c>
      <c r="AJ1482">
        <f>[1]发票导入!AJ1482&amp;""</f>
      </c>
      <c r="AK1482">
        <f>[1]发票导入!AK1482</f>
        <v>0</v>
      </c>
      <c r="AL1482">
        <f>[1]发票导入!AL1482</f>
        <v>0</v>
      </c>
      <c r="AM1482">
        <f>[1]发票导入!AM1482</f>
        <v>0</v>
      </c>
      <c r="AN1482" s="22">
        <f t="shared" si="1"/>
        <v>0</v>
      </c>
      <c r="AO1482" s="22">
        <f t="shared" si="2"/>
        <v>0</v>
      </c>
    </row>
    <row r="1483">
      <c r="C1483">
        <f>[1]发票导入!C1483&amp;""</f>
      </c>
      <c r="D1483">
        <f>[1]发票导入!D1483&amp;""</f>
      </c>
      <c r="O1483">
        <f>[1]发票导入!O1483&amp;""</f>
      </c>
      <c r="T1483">
        <f>[1]发票导入!T1483</f>
      </c>
      <c r="U1483">
        <f>[1]发票导入!U1483&amp;""</f>
      </c>
      <c r="V1483">
        <f>[1]发票导入!V1483&amp;""</f>
      </c>
      <c r="W1483">
        <f>[1]发票导入!W1483&amp;""</f>
      </c>
      <c r="Y1483">
        <f>[1]发票导入!Y1483&amp;""</f>
      </c>
      <c r="AA1483">
        <f>[1]发票导入!AA1483&amp;""</f>
      </c>
      <c r="AB1483">
        <f>[1]发票导入!AB1483</f>
        <v>0</v>
      </c>
      <c r="AC1483">
        <f>[1]发票导入!AC1483</f>
        <v>0</v>
      </c>
      <c r="AE1483" s="22">
        <f t="shared" si="0"/>
      </c>
      <c r="AI1483">
        <f>[1]发票导入!AI1483&amp;""</f>
      </c>
      <c r="AJ1483">
        <f>[1]发票导入!AJ1483&amp;""</f>
      </c>
      <c r="AK1483">
        <f>[1]发票导入!AK1483</f>
        <v>0</v>
      </c>
      <c r="AL1483">
        <f>[1]发票导入!AL1483</f>
        <v>0</v>
      </c>
      <c r="AM1483">
        <f>[1]发票导入!AM1483</f>
        <v>0</v>
      </c>
      <c r="AN1483" s="22">
        <f t="shared" si="1"/>
        <v>0</v>
      </c>
      <c r="AO1483" s="22">
        <f t="shared" si="2"/>
        <v>0</v>
      </c>
    </row>
    <row r="1484">
      <c r="C1484">
        <f>[1]发票导入!C1484&amp;""</f>
      </c>
      <c r="D1484">
        <f>[1]发票导入!D1484&amp;""</f>
      </c>
      <c r="O1484">
        <f>[1]发票导入!O1484&amp;""</f>
      </c>
      <c r="T1484">
        <f>[1]发票导入!T1484</f>
      </c>
      <c r="U1484">
        <f>[1]发票导入!U1484&amp;""</f>
      </c>
      <c r="V1484">
        <f>[1]发票导入!V1484&amp;""</f>
      </c>
      <c r="W1484">
        <f>[1]发票导入!W1484&amp;""</f>
      </c>
      <c r="Y1484">
        <f>[1]发票导入!Y1484&amp;""</f>
      </c>
      <c r="AA1484">
        <f>[1]发票导入!AA1484&amp;""</f>
      </c>
      <c r="AB1484">
        <f>[1]发票导入!AB1484</f>
        <v>0</v>
      </c>
      <c r="AC1484">
        <f>[1]发票导入!AC1484</f>
        <v>0</v>
      </c>
      <c r="AE1484" s="22">
        <f t="shared" si="0"/>
      </c>
      <c r="AI1484">
        <f>[1]发票导入!AI1484&amp;""</f>
      </c>
      <c r="AJ1484">
        <f>[1]发票导入!AJ1484&amp;""</f>
      </c>
      <c r="AK1484">
        <f>[1]发票导入!AK1484</f>
        <v>0</v>
      </c>
      <c r="AL1484">
        <f>[1]发票导入!AL1484</f>
        <v>0</v>
      </c>
      <c r="AM1484">
        <f>[1]发票导入!AM1484</f>
        <v>0</v>
      </c>
      <c r="AN1484" s="22">
        <f t="shared" si="1"/>
        <v>0</v>
      </c>
      <c r="AO1484" s="22">
        <f t="shared" si="2"/>
        <v>0</v>
      </c>
    </row>
    <row r="1485">
      <c r="C1485">
        <f>[1]发票导入!C1485&amp;""</f>
      </c>
      <c r="D1485">
        <f>[1]发票导入!D1485&amp;""</f>
      </c>
      <c r="O1485">
        <f>[1]发票导入!O1485&amp;""</f>
      </c>
      <c r="T1485">
        <f>[1]发票导入!T1485</f>
      </c>
      <c r="U1485">
        <f>[1]发票导入!U1485&amp;""</f>
      </c>
      <c r="V1485">
        <f>[1]发票导入!V1485&amp;""</f>
      </c>
      <c r="W1485">
        <f>[1]发票导入!W1485&amp;""</f>
      </c>
      <c r="Y1485">
        <f>[1]发票导入!Y1485&amp;""</f>
      </c>
      <c r="AA1485">
        <f>[1]发票导入!AA1485&amp;""</f>
      </c>
      <c r="AB1485">
        <f>[1]发票导入!AB1485</f>
        <v>0</v>
      </c>
      <c r="AC1485">
        <f>[1]发票导入!AC1485</f>
        <v>0</v>
      </c>
      <c r="AE1485" s="22">
        <f t="shared" si="0"/>
      </c>
      <c r="AI1485">
        <f>[1]发票导入!AI1485&amp;""</f>
      </c>
      <c r="AJ1485">
        <f>[1]发票导入!AJ1485&amp;""</f>
      </c>
      <c r="AK1485">
        <f>[1]发票导入!AK1485</f>
        <v>0</v>
      </c>
      <c r="AL1485">
        <f>[1]发票导入!AL1485</f>
        <v>0</v>
      </c>
      <c r="AM1485">
        <f>[1]发票导入!AM1485</f>
        <v>0</v>
      </c>
      <c r="AN1485" s="22">
        <f t="shared" si="1"/>
        <v>0</v>
      </c>
      <c r="AO1485" s="22">
        <f t="shared" si="2"/>
        <v>0</v>
      </c>
    </row>
    <row r="1486">
      <c r="C1486">
        <f>[1]发票导入!C1486&amp;""</f>
      </c>
      <c r="D1486">
        <f>[1]发票导入!D1486&amp;""</f>
      </c>
      <c r="O1486">
        <f>[1]发票导入!O1486&amp;""</f>
      </c>
      <c r="T1486">
        <f>[1]发票导入!T1486</f>
      </c>
      <c r="U1486">
        <f>[1]发票导入!U1486&amp;""</f>
      </c>
      <c r="V1486">
        <f>[1]发票导入!V1486&amp;""</f>
      </c>
      <c r="W1486">
        <f>[1]发票导入!W1486&amp;""</f>
      </c>
      <c r="Y1486">
        <f>[1]发票导入!Y1486&amp;""</f>
      </c>
      <c r="AA1486">
        <f>[1]发票导入!AA1486&amp;""</f>
      </c>
      <c r="AB1486">
        <f>[1]发票导入!AB1486</f>
        <v>0</v>
      </c>
      <c r="AC1486">
        <f>[1]发票导入!AC1486</f>
        <v>0</v>
      </c>
      <c r="AE1486" s="22">
        <f t="shared" si="0"/>
      </c>
      <c r="AI1486">
        <f>[1]发票导入!AI1486&amp;""</f>
      </c>
      <c r="AJ1486">
        <f>[1]发票导入!AJ1486&amp;""</f>
      </c>
      <c r="AK1486">
        <f>[1]发票导入!AK1486</f>
        <v>0</v>
      </c>
      <c r="AL1486">
        <f>[1]发票导入!AL1486</f>
        <v>0</v>
      </c>
      <c r="AM1486">
        <f>[1]发票导入!AM1486</f>
        <v>0</v>
      </c>
      <c r="AN1486" s="22">
        <f t="shared" si="1"/>
        <v>0</v>
      </c>
      <c r="AO1486" s="22">
        <f t="shared" si="2"/>
        <v>0</v>
      </c>
    </row>
    <row r="1487">
      <c r="C1487">
        <f>[1]发票导入!C1487&amp;""</f>
      </c>
      <c r="D1487">
        <f>[1]发票导入!D1487&amp;""</f>
      </c>
      <c r="O1487">
        <f>[1]发票导入!O1487&amp;""</f>
      </c>
      <c r="T1487">
        <f>[1]发票导入!T1487</f>
      </c>
      <c r="U1487">
        <f>[1]发票导入!U1487&amp;""</f>
      </c>
      <c r="V1487">
        <f>[1]发票导入!V1487&amp;""</f>
      </c>
      <c r="W1487">
        <f>[1]发票导入!W1487&amp;""</f>
      </c>
      <c r="Y1487">
        <f>[1]发票导入!Y1487&amp;""</f>
      </c>
      <c r="AA1487">
        <f>[1]发票导入!AA1487&amp;""</f>
      </c>
      <c r="AB1487">
        <f>[1]发票导入!AB1487</f>
        <v>0</v>
      </c>
      <c r="AC1487">
        <f>[1]发票导入!AC1487</f>
        <v>0</v>
      </c>
      <c r="AE1487" s="22">
        <f t="shared" si="0"/>
      </c>
      <c r="AI1487">
        <f>[1]发票导入!AI1487&amp;""</f>
      </c>
      <c r="AJ1487">
        <f>[1]发票导入!AJ1487&amp;""</f>
      </c>
      <c r="AK1487">
        <f>[1]发票导入!AK1487</f>
        <v>0</v>
      </c>
      <c r="AL1487">
        <f>[1]发票导入!AL1487</f>
        <v>0</v>
      </c>
      <c r="AM1487">
        <f>[1]发票导入!AM1487</f>
        <v>0</v>
      </c>
      <c r="AN1487" s="22">
        <f t="shared" si="1"/>
        <v>0</v>
      </c>
      <c r="AO1487" s="22">
        <f t="shared" si="2"/>
        <v>0</v>
      </c>
    </row>
    <row r="1488">
      <c r="C1488">
        <f>[1]发票导入!C1488&amp;""</f>
      </c>
      <c r="D1488">
        <f>[1]发票导入!D1488&amp;""</f>
      </c>
      <c r="O1488">
        <f>[1]发票导入!O1488&amp;""</f>
      </c>
      <c r="T1488">
        <f>[1]发票导入!T1488</f>
      </c>
      <c r="U1488">
        <f>[1]发票导入!U1488&amp;""</f>
      </c>
      <c r="V1488">
        <f>[1]发票导入!V1488&amp;""</f>
      </c>
      <c r="W1488">
        <f>[1]发票导入!W1488&amp;""</f>
      </c>
      <c r="Y1488">
        <f>[1]发票导入!Y1488&amp;""</f>
      </c>
      <c r="AA1488">
        <f>[1]发票导入!AA1488&amp;""</f>
      </c>
      <c r="AB1488">
        <f>[1]发票导入!AB1488</f>
        <v>0</v>
      </c>
      <c r="AC1488">
        <f>[1]发票导入!AC1488</f>
        <v>0</v>
      </c>
      <c r="AE1488" s="22">
        <f t="shared" si="0"/>
      </c>
      <c r="AI1488">
        <f>[1]发票导入!AI1488&amp;""</f>
      </c>
      <c r="AJ1488">
        <f>[1]发票导入!AJ1488&amp;""</f>
      </c>
      <c r="AK1488">
        <f>[1]发票导入!AK1488</f>
        <v>0</v>
      </c>
      <c r="AL1488">
        <f>[1]发票导入!AL1488</f>
        <v>0</v>
      </c>
      <c r="AM1488">
        <f>[1]发票导入!AM1488</f>
        <v>0</v>
      </c>
      <c r="AN1488" s="22">
        <f t="shared" si="1"/>
        <v>0</v>
      </c>
      <c r="AO1488" s="22">
        <f t="shared" si="2"/>
        <v>0</v>
      </c>
    </row>
    <row r="1489">
      <c r="C1489">
        <f>[1]发票导入!C1489&amp;""</f>
      </c>
      <c r="D1489">
        <f>[1]发票导入!D1489&amp;""</f>
      </c>
      <c r="O1489">
        <f>[1]发票导入!O1489&amp;""</f>
      </c>
      <c r="T1489">
        <f>[1]发票导入!T1489</f>
      </c>
      <c r="U1489">
        <f>[1]发票导入!U1489&amp;""</f>
      </c>
      <c r="V1489">
        <f>[1]发票导入!V1489&amp;""</f>
      </c>
      <c r="W1489">
        <f>[1]发票导入!W1489&amp;""</f>
      </c>
      <c r="Y1489">
        <f>[1]发票导入!Y1489&amp;""</f>
      </c>
      <c r="AA1489">
        <f>[1]发票导入!AA1489&amp;""</f>
      </c>
      <c r="AB1489">
        <f>[1]发票导入!AB1489</f>
        <v>0</v>
      </c>
      <c r="AC1489">
        <f>[1]发票导入!AC1489</f>
        <v>0</v>
      </c>
      <c r="AE1489" s="22">
        <f t="shared" si="0"/>
      </c>
      <c r="AI1489">
        <f>[1]发票导入!AI1489&amp;""</f>
      </c>
      <c r="AJ1489">
        <f>[1]发票导入!AJ1489&amp;""</f>
      </c>
      <c r="AK1489">
        <f>[1]发票导入!AK1489</f>
        <v>0</v>
      </c>
      <c r="AL1489">
        <f>[1]发票导入!AL1489</f>
        <v>0</v>
      </c>
      <c r="AM1489">
        <f>[1]发票导入!AM1489</f>
        <v>0</v>
      </c>
      <c r="AN1489" s="22">
        <f t="shared" si="1"/>
        <v>0</v>
      </c>
      <c r="AO1489" s="22">
        <f t="shared" si="2"/>
        <v>0</v>
      </c>
    </row>
    <row r="1490">
      <c r="C1490">
        <f>[1]发票导入!C1490&amp;""</f>
      </c>
      <c r="D1490">
        <f>[1]发票导入!D1490&amp;""</f>
      </c>
      <c r="O1490">
        <f>[1]发票导入!O1490&amp;""</f>
      </c>
      <c r="T1490">
        <f>[1]发票导入!T1490</f>
      </c>
      <c r="U1490">
        <f>[1]发票导入!U1490&amp;""</f>
      </c>
      <c r="V1490">
        <f>[1]发票导入!V1490&amp;""</f>
      </c>
      <c r="W1490">
        <f>[1]发票导入!W1490&amp;""</f>
      </c>
      <c r="Y1490">
        <f>[1]发票导入!Y1490&amp;""</f>
      </c>
      <c r="AA1490">
        <f>[1]发票导入!AA1490&amp;""</f>
      </c>
      <c r="AB1490">
        <f>[1]发票导入!AB1490</f>
        <v>0</v>
      </c>
      <c r="AC1490">
        <f>[1]发票导入!AC1490</f>
        <v>0</v>
      </c>
      <c r="AE1490" s="22">
        <f t="shared" si="0"/>
      </c>
      <c r="AI1490">
        <f>[1]发票导入!AI1490&amp;""</f>
      </c>
      <c r="AJ1490">
        <f>[1]发票导入!AJ1490&amp;""</f>
      </c>
      <c r="AK1490">
        <f>[1]发票导入!AK1490</f>
        <v>0</v>
      </c>
      <c r="AL1490">
        <f>[1]发票导入!AL1490</f>
        <v>0</v>
      </c>
      <c r="AM1490">
        <f>[1]发票导入!AM1490</f>
        <v>0</v>
      </c>
      <c r="AN1490" s="22">
        <f t="shared" si="1"/>
        <v>0</v>
      </c>
      <c r="AO1490" s="22">
        <f t="shared" si="2"/>
        <v>0</v>
      </c>
    </row>
    <row r="1491">
      <c r="C1491">
        <f>[1]发票导入!C1491&amp;""</f>
      </c>
      <c r="D1491">
        <f>[1]发票导入!D1491&amp;""</f>
      </c>
      <c r="O1491">
        <f>[1]发票导入!O1491&amp;""</f>
      </c>
      <c r="T1491">
        <f>[1]发票导入!T1491</f>
      </c>
      <c r="U1491">
        <f>[1]发票导入!U1491&amp;""</f>
      </c>
      <c r="V1491">
        <f>[1]发票导入!V1491&amp;""</f>
      </c>
      <c r="W1491">
        <f>[1]发票导入!W1491&amp;""</f>
      </c>
      <c r="Y1491">
        <f>[1]发票导入!Y1491&amp;""</f>
      </c>
      <c r="AA1491">
        <f>[1]发票导入!AA1491&amp;""</f>
      </c>
      <c r="AB1491">
        <f>[1]发票导入!AB1491</f>
        <v>0</v>
      </c>
      <c r="AC1491">
        <f>[1]发票导入!AC1491</f>
        <v>0</v>
      </c>
      <c r="AE1491" s="22">
        <f t="shared" si="0"/>
      </c>
      <c r="AI1491">
        <f>[1]发票导入!AI1491&amp;""</f>
      </c>
      <c r="AJ1491">
        <f>[1]发票导入!AJ1491&amp;""</f>
      </c>
      <c r="AK1491">
        <f>[1]发票导入!AK1491</f>
        <v>0</v>
      </c>
      <c r="AL1491">
        <f>[1]发票导入!AL1491</f>
        <v>0</v>
      </c>
      <c r="AM1491">
        <f>[1]发票导入!AM1491</f>
        <v>0</v>
      </c>
      <c r="AN1491" s="22">
        <f t="shared" si="1"/>
        <v>0</v>
      </c>
      <c r="AO1491" s="22">
        <f t="shared" si="2"/>
        <v>0</v>
      </c>
    </row>
    <row r="1492">
      <c r="C1492">
        <f>[1]发票导入!C1492&amp;""</f>
      </c>
      <c r="D1492">
        <f>[1]发票导入!D1492&amp;""</f>
      </c>
      <c r="O1492">
        <f>[1]发票导入!O1492&amp;""</f>
      </c>
      <c r="T1492">
        <f>[1]发票导入!T1492</f>
      </c>
      <c r="U1492">
        <f>[1]发票导入!U1492&amp;""</f>
      </c>
      <c r="V1492">
        <f>[1]发票导入!V1492&amp;""</f>
      </c>
      <c r="W1492">
        <f>[1]发票导入!W1492&amp;""</f>
      </c>
      <c r="Y1492">
        <f>[1]发票导入!Y1492&amp;""</f>
      </c>
      <c r="AA1492">
        <f>[1]发票导入!AA1492&amp;""</f>
      </c>
      <c r="AB1492">
        <f>[1]发票导入!AB1492</f>
        <v>0</v>
      </c>
      <c r="AC1492">
        <f>[1]发票导入!AC1492</f>
        <v>0</v>
      </c>
      <c r="AE1492" s="22">
        <f t="shared" si="0"/>
      </c>
      <c r="AI1492">
        <f>[1]发票导入!AI1492&amp;""</f>
      </c>
      <c r="AJ1492">
        <f>[1]发票导入!AJ1492&amp;""</f>
      </c>
      <c r="AK1492">
        <f>[1]发票导入!AK1492</f>
        <v>0</v>
      </c>
      <c r="AL1492">
        <f>[1]发票导入!AL1492</f>
        <v>0</v>
      </c>
      <c r="AM1492">
        <f>[1]发票导入!AM1492</f>
        <v>0</v>
      </c>
      <c r="AN1492" s="22">
        <f t="shared" si="1"/>
        <v>0</v>
      </c>
      <c r="AO1492" s="22">
        <f t="shared" si="2"/>
        <v>0</v>
      </c>
    </row>
    <row r="1493">
      <c r="C1493">
        <f>[1]发票导入!C1493&amp;""</f>
      </c>
      <c r="D1493">
        <f>[1]发票导入!D1493&amp;""</f>
      </c>
      <c r="O1493">
        <f>[1]发票导入!O1493&amp;""</f>
      </c>
      <c r="T1493">
        <f>[1]发票导入!T1493</f>
      </c>
      <c r="U1493">
        <f>[1]发票导入!U1493&amp;""</f>
      </c>
      <c r="V1493">
        <f>[1]发票导入!V1493&amp;""</f>
      </c>
      <c r="W1493">
        <f>[1]发票导入!W1493&amp;""</f>
      </c>
      <c r="Y1493">
        <f>[1]发票导入!Y1493&amp;""</f>
      </c>
      <c r="AA1493">
        <f>[1]发票导入!AA1493&amp;""</f>
      </c>
      <c r="AB1493">
        <f>[1]发票导入!AB1493</f>
        <v>0</v>
      </c>
      <c r="AC1493">
        <f>[1]发票导入!AC1493</f>
        <v>0</v>
      </c>
      <c r="AE1493" s="22">
        <f t="shared" si="0"/>
      </c>
      <c r="AI1493">
        <f>[1]发票导入!AI1493&amp;""</f>
      </c>
      <c r="AJ1493">
        <f>[1]发票导入!AJ1493&amp;""</f>
      </c>
      <c r="AK1493">
        <f>[1]发票导入!AK1493</f>
        <v>0</v>
      </c>
      <c r="AL1493">
        <f>[1]发票导入!AL1493</f>
        <v>0</v>
      </c>
      <c r="AM1493">
        <f>[1]发票导入!AM1493</f>
        <v>0</v>
      </c>
      <c r="AN1493" s="22">
        <f t="shared" si="1"/>
        <v>0</v>
      </c>
      <c r="AO1493" s="22">
        <f t="shared" si="2"/>
        <v>0</v>
      </c>
    </row>
    <row r="1494">
      <c r="C1494">
        <f>[1]发票导入!C1494&amp;""</f>
      </c>
      <c r="D1494">
        <f>[1]发票导入!D1494&amp;""</f>
      </c>
      <c r="O1494">
        <f>[1]发票导入!O1494&amp;""</f>
      </c>
      <c r="T1494">
        <f>[1]发票导入!T1494</f>
      </c>
      <c r="U1494">
        <f>[1]发票导入!U1494&amp;""</f>
      </c>
      <c r="V1494">
        <f>[1]发票导入!V1494&amp;""</f>
      </c>
      <c r="W1494">
        <f>[1]发票导入!W1494&amp;""</f>
      </c>
      <c r="Y1494">
        <f>[1]发票导入!Y1494&amp;""</f>
      </c>
      <c r="AA1494">
        <f>[1]发票导入!AA1494&amp;""</f>
      </c>
      <c r="AB1494">
        <f>[1]发票导入!AB1494</f>
        <v>0</v>
      </c>
      <c r="AC1494">
        <f>[1]发票导入!AC1494</f>
        <v>0</v>
      </c>
      <c r="AE1494" s="22">
        <f t="shared" si="0"/>
      </c>
      <c r="AI1494">
        <f>[1]发票导入!AI1494&amp;""</f>
      </c>
      <c r="AJ1494">
        <f>[1]发票导入!AJ1494&amp;""</f>
      </c>
      <c r="AK1494">
        <f>[1]发票导入!AK1494</f>
        <v>0</v>
      </c>
      <c r="AL1494">
        <f>[1]发票导入!AL1494</f>
        <v>0</v>
      </c>
      <c r="AM1494">
        <f>[1]发票导入!AM1494</f>
        <v>0</v>
      </c>
      <c r="AN1494" s="22">
        <f t="shared" si="1"/>
        <v>0</v>
      </c>
      <c r="AO1494" s="22">
        <f t="shared" si="2"/>
        <v>0</v>
      </c>
    </row>
    <row r="1495">
      <c r="C1495">
        <f>[1]发票导入!C1495&amp;""</f>
      </c>
      <c r="D1495">
        <f>[1]发票导入!D1495&amp;""</f>
      </c>
      <c r="O1495">
        <f>[1]发票导入!O1495&amp;""</f>
      </c>
      <c r="T1495">
        <f>[1]发票导入!T1495</f>
      </c>
      <c r="U1495">
        <f>[1]发票导入!U1495&amp;""</f>
      </c>
      <c r="V1495">
        <f>[1]发票导入!V1495&amp;""</f>
      </c>
      <c r="W1495">
        <f>[1]发票导入!W1495&amp;""</f>
      </c>
      <c r="Y1495">
        <f>[1]发票导入!Y1495&amp;""</f>
      </c>
      <c r="AA1495">
        <f>[1]发票导入!AA1495&amp;""</f>
      </c>
      <c r="AB1495">
        <f>[1]发票导入!AB1495</f>
        <v>0</v>
      </c>
      <c r="AC1495">
        <f>[1]发票导入!AC1495</f>
        <v>0</v>
      </c>
      <c r="AE1495" s="22">
        <f t="shared" si="0"/>
      </c>
      <c r="AI1495">
        <f>[1]发票导入!AI1495&amp;""</f>
      </c>
      <c r="AJ1495">
        <f>[1]发票导入!AJ1495&amp;""</f>
      </c>
      <c r="AK1495">
        <f>[1]发票导入!AK1495</f>
        <v>0</v>
      </c>
      <c r="AL1495">
        <f>[1]发票导入!AL1495</f>
        <v>0</v>
      </c>
      <c r="AM1495">
        <f>[1]发票导入!AM1495</f>
        <v>0</v>
      </c>
      <c r="AN1495" s="22">
        <f t="shared" si="1"/>
        <v>0</v>
      </c>
      <c r="AO1495" s="22">
        <f t="shared" si="2"/>
        <v>0</v>
      </c>
    </row>
    <row r="1496">
      <c r="C1496">
        <f>[1]发票导入!C1496&amp;""</f>
      </c>
      <c r="D1496">
        <f>[1]发票导入!D1496&amp;""</f>
      </c>
      <c r="O1496">
        <f>[1]发票导入!O1496&amp;""</f>
      </c>
      <c r="T1496">
        <f>[1]发票导入!T1496</f>
      </c>
      <c r="U1496">
        <f>[1]发票导入!U1496&amp;""</f>
      </c>
      <c r="V1496">
        <f>[1]发票导入!V1496&amp;""</f>
      </c>
      <c r="W1496">
        <f>[1]发票导入!W1496&amp;""</f>
      </c>
      <c r="Y1496">
        <f>[1]发票导入!Y1496&amp;""</f>
      </c>
      <c r="AA1496">
        <f>[1]发票导入!AA1496&amp;""</f>
      </c>
      <c r="AB1496">
        <f>[1]发票导入!AB1496</f>
        <v>0</v>
      </c>
      <c r="AC1496">
        <f>[1]发票导入!AC1496</f>
        <v>0</v>
      </c>
      <c r="AE1496" s="22">
        <f t="shared" si="0"/>
      </c>
      <c r="AI1496">
        <f>[1]发票导入!AI1496&amp;""</f>
      </c>
      <c r="AJ1496">
        <f>[1]发票导入!AJ1496&amp;""</f>
      </c>
      <c r="AK1496">
        <f>[1]发票导入!AK1496</f>
        <v>0</v>
      </c>
      <c r="AL1496">
        <f>[1]发票导入!AL1496</f>
        <v>0</v>
      </c>
      <c r="AM1496">
        <f>[1]发票导入!AM1496</f>
        <v>0</v>
      </c>
      <c r="AN1496" s="22">
        <f t="shared" si="1"/>
        <v>0</v>
      </c>
      <c r="AO1496" s="22">
        <f t="shared" si="2"/>
        <v>0</v>
      </c>
    </row>
    <row r="1497">
      <c r="C1497">
        <f>[1]发票导入!C1497&amp;""</f>
      </c>
      <c r="D1497">
        <f>[1]发票导入!D1497&amp;""</f>
      </c>
      <c r="O1497">
        <f>[1]发票导入!O1497&amp;""</f>
      </c>
      <c r="T1497">
        <f>[1]发票导入!T1497</f>
      </c>
      <c r="U1497">
        <f>[1]发票导入!U1497&amp;""</f>
      </c>
      <c r="V1497">
        <f>[1]发票导入!V1497&amp;""</f>
      </c>
      <c r="W1497">
        <f>[1]发票导入!W1497&amp;""</f>
      </c>
      <c r="Y1497">
        <f>[1]发票导入!Y1497&amp;""</f>
      </c>
      <c r="AA1497">
        <f>[1]发票导入!AA1497&amp;""</f>
      </c>
      <c r="AB1497">
        <f>[1]发票导入!AB1497</f>
        <v>0</v>
      </c>
      <c r="AC1497">
        <f>[1]发票导入!AC1497</f>
        <v>0</v>
      </c>
      <c r="AE1497" s="22">
        <f t="shared" si="0"/>
      </c>
      <c r="AI1497">
        <f>[1]发票导入!AI1497&amp;""</f>
      </c>
      <c r="AJ1497">
        <f>[1]发票导入!AJ1497&amp;""</f>
      </c>
      <c r="AK1497">
        <f>[1]发票导入!AK1497</f>
        <v>0</v>
      </c>
      <c r="AL1497">
        <f>[1]发票导入!AL1497</f>
        <v>0</v>
      </c>
      <c r="AM1497">
        <f>[1]发票导入!AM1497</f>
        <v>0</v>
      </c>
      <c r="AN1497" s="22">
        <f t="shared" si="1"/>
        <v>0</v>
      </c>
      <c r="AO1497" s="22">
        <f t="shared" si="2"/>
        <v>0</v>
      </c>
    </row>
    <row r="1498">
      <c r="C1498">
        <f>[1]发票导入!C1498&amp;""</f>
      </c>
      <c r="D1498">
        <f>[1]发票导入!D1498&amp;""</f>
      </c>
      <c r="O1498">
        <f>[1]发票导入!O1498&amp;""</f>
      </c>
      <c r="T1498">
        <f>[1]发票导入!T1498</f>
      </c>
      <c r="U1498">
        <f>[1]发票导入!U1498&amp;""</f>
      </c>
      <c r="V1498">
        <f>[1]发票导入!V1498&amp;""</f>
      </c>
      <c r="W1498">
        <f>[1]发票导入!W1498&amp;""</f>
      </c>
      <c r="Y1498">
        <f>[1]发票导入!Y1498&amp;""</f>
      </c>
      <c r="AA1498">
        <f>[1]发票导入!AA1498&amp;""</f>
      </c>
      <c r="AB1498">
        <f>[1]发票导入!AB1498</f>
        <v>0</v>
      </c>
      <c r="AC1498">
        <f>[1]发票导入!AC1498</f>
        <v>0</v>
      </c>
      <c r="AE1498" s="22">
        <f t="shared" si="0"/>
      </c>
      <c r="AI1498">
        <f>[1]发票导入!AI1498&amp;""</f>
      </c>
      <c r="AJ1498">
        <f>[1]发票导入!AJ1498&amp;""</f>
      </c>
      <c r="AK1498">
        <f>[1]发票导入!AK1498</f>
        <v>0</v>
      </c>
      <c r="AL1498">
        <f>[1]发票导入!AL1498</f>
        <v>0</v>
      </c>
      <c r="AM1498">
        <f>[1]发票导入!AM1498</f>
        <v>0</v>
      </c>
      <c r="AN1498" s="22">
        <f t="shared" si="1"/>
        <v>0</v>
      </c>
      <c r="AO1498" s="22">
        <f t="shared" si="2"/>
        <v>0</v>
      </c>
    </row>
    <row r="1499">
      <c r="C1499">
        <f>[1]发票导入!C1499&amp;""</f>
      </c>
      <c r="D1499">
        <f>[1]发票导入!D1499&amp;""</f>
      </c>
      <c r="O1499">
        <f>[1]发票导入!O1499&amp;""</f>
      </c>
      <c r="T1499">
        <f>[1]发票导入!T1499</f>
      </c>
      <c r="U1499">
        <f>[1]发票导入!U1499&amp;""</f>
      </c>
      <c r="V1499">
        <f>[1]发票导入!V1499&amp;""</f>
      </c>
      <c r="W1499">
        <f>[1]发票导入!W1499&amp;""</f>
      </c>
      <c r="Y1499">
        <f>[1]发票导入!Y1499&amp;""</f>
      </c>
      <c r="AA1499">
        <f>[1]发票导入!AA1499&amp;""</f>
      </c>
      <c r="AB1499">
        <f>[1]发票导入!AB1499</f>
        <v>0</v>
      </c>
      <c r="AC1499">
        <f>[1]发票导入!AC1499</f>
        <v>0</v>
      </c>
      <c r="AE1499" s="22">
        <f t="shared" si="0"/>
      </c>
      <c r="AI1499">
        <f>[1]发票导入!AI1499&amp;""</f>
      </c>
      <c r="AJ1499">
        <f>[1]发票导入!AJ1499&amp;""</f>
      </c>
      <c r="AK1499">
        <f>[1]发票导入!AK1499</f>
        <v>0</v>
      </c>
      <c r="AL1499">
        <f>[1]发票导入!AL1499</f>
        <v>0</v>
      </c>
      <c r="AM1499">
        <f>[1]发票导入!AM1499</f>
        <v>0</v>
      </c>
      <c r="AN1499" s="22">
        <f t="shared" si="1"/>
        <v>0</v>
      </c>
      <c r="AO1499" s="22">
        <f t="shared" si="2"/>
        <v>0</v>
      </c>
    </row>
    <row r="1500">
      <c r="C1500">
        <f>[1]发票导入!C1500&amp;""</f>
      </c>
      <c r="D1500">
        <f>[1]发票导入!D1500&amp;""</f>
      </c>
      <c r="O1500">
        <f>[1]发票导入!O1500&amp;""</f>
      </c>
      <c r="T1500">
        <f>[1]发票导入!T1500</f>
      </c>
      <c r="U1500">
        <f>[1]发票导入!U1500&amp;""</f>
      </c>
      <c r="V1500">
        <f>[1]发票导入!V1500&amp;""</f>
      </c>
      <c r="W1500">
        <f>[1]发票导入!W1500&amp;""</f>
      </c>
      <c r="Y1500">
        <f>[1]发票导入!Y1500&amp;""</f>
      </c>
      <c r="AA1500">
        <f>[1]发票导入!AA1500&amp;""</f>
      </c>
      <c r="AB1500">
        <f>[1]发票导入!AB1500</f>
        <v>0</v>
      </c>
      <c r="AC1500">
        <f>[1]发票导入!AC1500</f>
        <v>0</v>
      </c>
      <c r="AE1500" s="22">
        <f t="shared" si="0"/>
      </c>
      <c r="AI1500">
        <f>[1]发票导入!AI1500&amp;""</f>
      </c>
      <c r="AJ1500">
        <f>[1]发票导入!AJ1500&amp;""</f>
      </c>
      <c r="AK1500">
        <f>[1]发票导入!AK1500</f>
        <v>0</v>
      </c>
      <c r="AL1500">
        <f>[1]发票导入!AL1500</f>
        <v>0</v>
      </c>
      <c r="AM1500">
        <f>[1]发票导入!AM1500</f>
        <v>0</v>
      </c>
      <c r="AN1500" s="22">
        <f t="shared" si="1"/>
        <v>0</v>
      </c>
      <c r="AO1500" s="22">
        <f t="shared" si="2"/>
        <v>0</v>
      </c>
    </row>
    <row r="1501">
      <c r="C1501">
        <f>[1]发票导入!C1501&amp;""</f>
      </c>
      <c r="D1501">
        <f>[1]发票导入!D1501&amp;""</f>
      </c>
      <c r="O1501">
        <f>[1]发票导入!O1501&amp;""</f>
      </c>
      <c r="T1501">
        <f>[1]发票导入!T1501</f>
      </c>
      <c r="U1501">
        <f>[1]发票导入!U1501&amp;""</f>
      </c>
      <c r="V1501">
        <f>[1]发票导入!V1501&amp;""</f>
      </c>
      <c r="W1501">
        <f>[1]发票导入!W1501&amp;""</f>
      </c>
      <c r="Y1501">
        <f>[1]发票导入!Y1501&amp;""</f>
      </c>
      <c r="AA1501">
        <f>[1]发票导入!AA1501&amp;""</f>
      </c>
      <c r="AB1501">
        <f>[1]发票导入!AB1501</f>
        <v>0</v>
      </c>
      <c r="AC1501">
        <f>[1]发票导入!AC1501</f>
        <v>0</v>
      </c>
      <c r="AE1501" s="22">
        <f t="shared" si="0"/>
      </c>
      <c r="AI1501">
        <f>[1]发票导入!AI1501&amp;""</f>
      </c>
      <c r="AJ1501">
        <f>[1]发票导入!AJ1501&amp;""</f>
      </c>
      <c r="AK1501">
        <f>[1]发票导入!AK1501</f>
        <v>0</v>
      </c>
      <c r="AL1501">
        <f>[1]发票导入!AL1501</f>
        <v>0</v>
      </c>
      <c r="AM1501">
        <f>[1]发票导入!AM1501</f>
        <v>0</v>
      </c>
      <c r="AN1501" s="22">
        <f t="shared" si="1"/>
        <v>0</v>
      </c>
      <c r="AO1501" s="22">
        <f t="shared" si="2"/>
        <v>0</v>
      </c>
    </row>
    <row r="1502">
      <c r="C1502">
        <f>[1]发票导入!C1502&amp;""</f>
      </c>
      <c r="D1502">
        <f>[1]发票导入!D1502&amp;""</f>
      </c>
      <c r="O1502">
        <f>[1]发票导入!O1502&amp;""</f>
      </c>
      <c r="T1502">
        <f>[1]发票导入!T1502</f>
      </c>
      <c r="U1502">
        <f>[1]发票导入!U1502&amp;""</f>
      </c>
      <c r="V1502">
        <f>[1]发票导入!V1502&amp;""</f>
      </c>
      <c r="W1502">
        <f>[1]发票导入!W1502&amp;""</f>
      </c>
      <c r="Y1502">
        <f>[1]发票导入!Y1502&amp;""</f>
      </c>
      <c r="AA1502">
        <f>[1]发票导入!AA1502&amp;""</f>
      </c>
      <c r="AB1502">
        <f>[1]发票导入!AB1502</f>
        <v>0</v>
      </c>
      <c r="AC1502">
        <f>[1]发票导入!AC1502</f>
        <v>0</v>
      </c>
      <c r="AE1502" s="22">
        <f t="shared" si="0"/>
      </c>
      <c r="AI1502">
        <f>[1]发票导入!AI1502&amp;""</f>
      </c>
      <c r="AJ1502">
        <f>[1]发票导入!AJ1502&amp;""</f>
      </c>
      <c r="AK1502">
        <f>[1]发票导入!AK1502</f>
        <v>0</v>
      </c>
      <c r="AL1502">
        <f>[1]发票导入!AL1502</f>
        <v>0</v>
      </c>
      <c r="AM1502">
        <f>[1]发票导入!AM1502</f>
        <v>0</v>
      </c>
      <c r="AN1502" s="22">
        <f t="shared" si="1"/>
        <v>0</v>
      </c>
      <c r="AO1502" s="22">
        <f t="shared" si="2"/>
        <v>0</v>
      </c>
    </row>
    <row r="1503">
      <c r="C1503">
        <f>[1]发票导入!C1503&amp;""</f>
      </c>
      <c r="D1503">
        <f>[1]发票导入!D1503&amp;""</f>
      </c>
      <c r="O1503">
        <f>[1]发票导入!O1503&amp;""</f>
      </c>
      <c r="T1503">
        <f>[1]发票导入!T1503</f>
      </c>
      <c r="U1503">
        <f>[1]发票导入!U1503&amp;""</f>
      </c>
      <c r="V1503">
        <f>[1]发票导入!V1503&amp;""</f>
      </c>
      <c r="W1503">
        <f>[1]发票导入!W1503&amp;""</f>
      </c>
      <c r="Y1503">
        <f>[1]发票导入!Y1503&amp;""</f>
      </c>
      <c r="AA1503">
        <f>[1]发票导入!AA1503&amp;""</f>
      </c>
      <c r="AB1503">
        <f>[1]发票导入!AB1503</f>
        <v>0</v>
      </c>
      <c r="AC1503">
        <f>[1]发票导入!AC1503</f>
        <v>0</v>
      </c>
      <c r="AE1503" s="22">
        <f t="shared" si="0"/>
      </c>
      <c r="AI1503">
        <f>[1]发票导入!AI1503&amp;""</f>
      </c>
      <c r="AJ1503">
        <f>[1]发票导入!AJ1503&amp;""</f>
      </c>
      <c r="AK1503">
        <f>[1]发票导入!AK1503</f>
        <v>0</v>
      </c>
      <c r="AL1503">
        <f>[1]发票导入!AL1503</f>
        <v>0</v>
      </c>
      <c r="AM1503">
        <f>[1]发票导入!AM1503</f>
        <v>0</v>
      </c>
      <c r="AN1503" s="22">
        <f t="shared" si="1"/>
        <v>0</v>
      </c>
      <c r="AO1503" s="22">
        <f t="shared" si="2"/>
        <v>0</v>
      </c>
    </row>
    <row r="1504">
      <c r="C1504">
        <f>[1]发票导入!C1504&amp;""</f>
      </c>
      <c r="D1504">
        <f>[1]发票导入!D1504&amp;""</f>
      </c>
      <c r="O1504">
        <f>[1]发票导入!O1504&amp;""</f>
      </c>
      <c r="T1504">
        <f>[1]发票导入!T1504</f>
      </c>
      <c r="U1504">
        <f>[1]发票导入!U1504&amp;""</f>
      </c>
      <c r="V1504">
        <f>[1]发票导入!V1504&amp;""</f>
      </c>
      <c r="W1504">
        <f>[1]发票导入!W1504&amp;""</f>
      </c>
      <c r="Y1504">
        <f>[1]发票导入!Y1504&amp;""</f>
      </c>
      <c r="AA1504">
        <f>[1]发票导入!AA1504&amp;""</f>
      </c>
      <c r="AB1504">
        <f>[1]发票导入!AB1504</f>
        <v>0</v>
      </c>
      <c r="AC1504">
        <f>[1]发票导入!AC1504</f>
        <v>0</v>
      </c>
      <c r="AE1504" s="22">
        <f t="shared" si="0"/>
      </c>
      <c r="AI1504">
        <f>[1]发票导入!AI1504&amp;""</f>
      </c>
      <c r="AJ1504">
        <f>[1]发票导入!AJ1504&amp;""</f>
      </c>
      <c r="AK1504">
        <f>[1]发票导入!AK1504</f>
        <v>0</v>
      </c>
      <c r="AL1504">
        <f>[1]发票导入!AL1504</f>
        <v>0</v>
      </c>
      <c r="AM1504">
        <f>[1]发票导入!AM1504</f>
        <v>0</v>
      </c>
      <c r="AN1504" s="22">
        <f t="shared" si="1"/>
        <v>0</v>
      </c>
      <c r="AO1504" s="22">
        <f t="shared" si="2"/>
        <v>0</v>
      </c>
    </row>
    <row r="1505">
      <c r="C1505">
        <f>[1]发票导入!C1505&amp;""</f>
      </c>
      <c r="D1505">
        <f>[1]发票导入!D1505&amp;""</f>
      </c>
      <c r="O1505">
        <f>[1]发票导入!O1505&amp;""</f>
      </c>
      <c r="T1505">
        <f>[1]发票导入!T1505</f>
      </c>
      <c r="U1505">
        <f>[1]发票导入!U1505&amp;""</f>
      </c>
      <c r="V1505">
        <f>[1]发票导入!V1505&amp;""</f>
      </c>
      <c r="W1505">
        <f>[1]发票导入!W1505&amp;""</f>
      </c>
      <c r="Y1505">
        <f>[1]发票导入!Y1505&amp;""</f>
      </c>
      <c r="AA1505">
        <f>[1]发票导入!AA1505&amp;""</f>
      </c>
      <c r="AB1505">
        <f>[1]发票导入!AB1505</f>
        <v>0</v>
      </c>
      <c r="AC1505">
        <f>[1]发票导入!AC1505</f>
        <v>0</v>
      </c>
      <c r="AE1505" s="22">
        <f t="shared" si="0"/>
      </c>
      <c r="AI1505">
        <f>[1]发票导入!AI1505&amp;""</f>
      </c>
      <c r="AJ1505">
        <f>[1]发票导入!AJ1505&amp;""</f>
      </c>
      <c r="AK1505">
        <f>[1]发票导入!AK1505</f>
        <v>0</v>
      </c>
      <c r="AL1505">
        <f>[1]发票导入!AL1505</f>
        <v>0</v>
      </c>
      <c r="AM1505">
        <f>[1]发票导入!AM1505</f>
        <v>0</v>
      </c>
      <c r="AN1505" s="22">
        <f t="shared" si="1"/>
        <v>0</v>
      </c>
      <c r="AO1505" s="22">
        <f t="shared" si="2"/>
        <v>0</v>
      </c>
    </row>
    <row r="1506">
      <c r="C1506">
        <f>[1]发票导入!C1506&amp;""</f>
      </c>
      <c r="D1506">
        <f>[1]发票导入!D1506&amp;""</f>
      </c>
      <c r="O1506">
        <f>[1]发票导入!O1506&amp;""</f>
      </c>
      <c r="T1506">
        <f>[1]发票导入!T1506</f>
      </c>
      <c r="U1506">
        <f>[1]发票导入!U1506&amp;""</f>
      </c>
      <c r="V1506">
        <f>[1]发票导入!V1506&amp;""</f>
      </c>
      <c r="W1506">
        <f>[1]发票导入!W1506&amp;""</f>
      </c>
      <c r="Y1506">
        <f>[1]发票导入!Y1506&amp;""</f>
      </c>
      <c r="AA1506">
        <f>[1]发票导入!AA1506&amp;""</f>
      </c>
      <c r="AB1506">
        <f>[1]发票导入!AB1506</f>
        <v>0</v>
      </c>
      <c r="AC1506">
        <f>[1]发票导入!AC1506</f>
        <v>0</v>
      </c>
      <c r="AE1506" s="22">
        <f t="shared" si="0"/>
      </c>
      <c r="AI1506">
        <f>[1]发票导入!AI1506&amp;""</f>
      </c>
      <c r="AJ1506">
        <f>[1]发票导入!AJ1506&amp;""</f>
      </c>
      <c r="AK1506">
        <f>[1]发票导入!AK1506</f>
        <v>0</v>
      </c>
      <c r="AL1506">
        <f>[1]发票导入!AL1506</f>
        <v>0</v>
      </c>
      <c r="AM1506">
        <f>[1]发票导入!AM1506</f>
        <v>0</v>
      </c>
      <c r="AN1506" s="22">
        <f t="shared" si="1"/>
        <v>0</v>
      </c>
      <c r="AO1506" s="22">
        <f t="shared" si="2"/>
        <v>0</v>
      </c>
    </row>
    <row r="1507">
      <c r="C1507">
        <f>[1]发票导入!C1507&amp;""</f>
      </c>
      <c r="D1507">
        <f>[1]发票导入!D1507&amp;""</f>
      </c>
      <c r="O1507">
        <f>[1]发票导入!O1507&amp;""</f>
      </c>
      <c r="T1507">
        <f>[1]发票导入!T1507</f>
      </c>
      <c r="U1507">
        <f>[1]发票导入!U1507&amp;""</f>
      </c>
      <c r="V1507">
        <f>[1]发票导入!V1507&amp;""</f>
      </c>
      <c r="W1507">
        <f>[1]发票导入!W1507&amp;""</f>
      </c>
      <c r="Y1507">
        <f>[1]发票导入!Y1507&amp;""</f>
      </c>
      <c r="AA1507">
        <f>[1]发票导入!AA1507&amp;""</f>
      </c>
      <c r="AB1507">
        <f>[1]发票导入!AB1507</f>
        <v>0</v>
      </c>
      <c r="AC1507">
        <f>[1]发票导入!AC1507</f>
        <v>0</v>
      </c>
      <c r="AE1507" s="22">
        <f t="shared" si="0"/>
      </c>
      <c r="AI1507">
        <f>[1]发票导入!AI1507&amp;""</f>
      </c>
      <c r="AJ1507">
        <f>[1]发票导入!AJ1507&amp;""</f>
      </c>
      <c r="AK1507">
        <f>[1]发票导入!AK1507</f>
        <v>0</v>
      </c>
      <c r="AL1507">
        <f>[1]发票导入!AL1507</f>
        <v>0</v>
      </c>
      <c r="AM1507">
        <f>[1]发票导入!AM1507</f>
        <v>0</v>
      </c>
      <c r="AN1507" s="22">
        <f t="shared" si="1"/>
        <v>0</v>
      </c>
      <c r="AO1507" s="22">
        <f t="shared" si="2"/>
        <v>0</v>
      </c>
    </row>
    <row r="1508">
      <c r="C1508">
        <f>[1]发票导入!C1508&amp;""</f>
      </c>
      <c r="D1508">
        <f>[1]发票导入!D1508&amp;""</f>
      </c>
      <c r="O1508">
        <f>[1]发票导入!O1508&amp;""</f>
      </c>
      <c r="T1508">
        <f>[1]发票导入!T1508</f>
      </c>
      <c r="U1508">
        <f>[1]发票导入!U1508&amp;""</f>
      </c>
      <c r="V1508">
        <f>[1]发票导入!V1508&amp;""</f>
      </c>
      <c r="W1508">
        <f>[1]发票导入!W1508&amp;""</f>
      </c>
      <c r="Y1508">
        <f>[1]发票导入!Y1508&amp;""</f>
      </c>
      <c r="AA1508">
        <f>[1]发票导入!AA1508&amp;""</f>
      </c>
      <c r="AB1508">
        <f>[1]发票导入!AB1508</f>
        <v>0</v>
      </c>
      <c r="AC1508">
        <f>[1]发票导入!AC1508</f>
        <v>0</v>
      </c>
      <c r="AE1508" s="22">
        <f t="shared" si="0"/>
      </c>
      <c r="AI1508">
        <f>[1]发票导入!AI1508&amp;""</f>
      </c>
      <c r="AJ1508">
        <f>[1]发票导入!AJ1508&amp;""</f>
      </c>
      <c r="AK1508">
        <f>[1]发票导入!AK1508</f>
        <v>0</v>
      </c>
      <c r="AL1508">
        <f>[1]发票导入!AL1508</f>
        <v>0</v>
      </c>
      <c r="AM1508">
        <f>[1]发票导入!AM1508</f>
        <v>0</v>
      </c>
      <c r="AN1508" s="22">
        <f t="shared" si="1"/>
        <v>0</v>
      </c>
      <c r="AO1508" s="22">
        <f t="shared" si="2"/>
        <v>0</v>
      </c>
    </row>
    <row r="1509">
      <c r="C1509">
        <f>[1]发票导入!C1509&amp;""</f>
      </c>
      <c r="D1509">
        <f>[1]发票导入!D1509&amp;""</f>
      </c>
      <c r="O1509">
        <f>[1]发票导入!O1509&amp;""</f>
      </c>
      <c r="T1509">
        <f>[1]发票导入!T1509</f>
      </c>
      <c r="U1509">
        <f>[1]发票导入!U1509&amp;""</f>
      </c>
      <c r="V1509">
        <f>[1]发票导入!V1509&amp;""</f>
      </c>
      <c r="W1509">
        <f>[1]发票导入!W1509&amp;""</f>
      </c>
      <c r="Y1509">
        <f>[1]发票导入!Y1509&amp;""</f>
      </c>
      <c r="AA1509">
        <f>[1]发票导入!AA1509&amp;""</f>
      </c>
      <c r="AB1509">
        <f>[1]发票导入!AB1509</f>
        <v>0</v>
      </c>
      <c r="AC1509">
        <f>[1]发票导入!AC1509</f>
        <v>0</v>
      </c>
      <c r="AE1509" s="22">
        <f t="shared" si="0"/>
      </c>
      <c r="AI1509">
        <f>[1]发票导入!AI1509&amp;""</f>
      </c>
      <c r="AJ1509">
        <f>[1]发票导入!AJ1509&amp;""</f>
      </c>
      <c r="AK1509">
        <f>[1]发票导入!AK1509</f>
        <v>0</v>
      </c>
      <c r="AL1509">
        <f>[1]发票导入!AL1509</f>
        <v>0</v>
      </c>
      <c r="AM1509">
        <f>[1]发票导入!AM1509</f>
        <v>0</v>
      </c>
      <c r="AN1509" s="22">
        <f t="shared" si="1"/>
        <v>0</v>
      </c>
      <c r="AO1509" s="22">
        <f t="shared" si="2"/>
        <v>0</v>
      </c>
    </row>
    <row r="1510">
      <c r="C1510">
        <f>[1]发票导入!C1510&amp;""</f>
      </c>
      <c r="D1510">
        <f>[1]发票导入!D1510&amp;""</f>
      </c>
      <c r="O1510">
        <f>[1]发票导入!O1510&amp;""</f>
      </c>
      <c r="T1510">
        <f>[1]发票导入!T1510</f>
      </c>
      <c r="U1510">
        <f>[1]发票导入!U1510&amp;""</f>
      </c>
      <c r="V1510">
        <f>[1]发票导入!V1510&amp;""</f>
      </c>
      <c r="W1510">
        <f>[1]发票导入!W1510&amp;""</f>
      </c>
      <c r="Y1510">
        <f>[1]发票导入!Y1510&amp;""</f>
      </c>
      <c r="AA1510">
        <f>[1]发票导入!AA1510&amp;""</f>
      </c>
      <c r="AB1510">
        <f>[1]发票导入!AB1510</f>
        <v>0</v>
      </c>
      <c r="AC1510">
        <f>[1]发票导入!AC1510</f>
        <v>0</v>
      </c>
      <c r="AE1510" s="22">
        <f t="shared" si="0"/>
      </c>
      <c r="AI1510">
        <f>[1]发票导入!AI1510&amp;""</f>
      </c>
      <c r="AJ1510">
        <f>[1]发票导入!AJ1510&amp;""</f>
      </c>
      <c r="AK1510">
        <f>[1]发票导入!AK1510</f>
        <v>0</v>
      </c>
      <c r="AL1510">
        <f>[1]发票导入!AL1510</f>
        <v>0</v>
      </c>
      <c r="AM1510">
        <f>[1]发票导入!AM1510</f>
        <v>0</v>
      </c>
      <c r="AN1510" s="22">
        <f t="shared" si="1"/>
        <v>0</v>
      </c>
      <c r="AO1510" s="22">
        <f t="shared" si="2"/>
        <v>0</v>
      </c>
    </row>
    <row r="1511">
      <c r="C1511">
        <f>[1]发票导入!C1511&amp;""</f>
      </c>
      <c r="D1511">
        <f>[1]发票导入!D1511&amp;""</f>
      </c>
      <c r="O1511">
        <f>[1]发票导入!O1511&amp;""</f>
      </c>
      <c r="T1511">
        <f>[1]发票导入!T1511</f>
      </c>
      <c r="U1511">
        <f>[1]发票导入!U1511&amp;""</f>
      </c>
      <c r="V1511">
        <f>[1]发票导入!V1511&amp;""</f>
      </c>
      <c r="W1511">
        <f>[1]发票导入!W1511&amp;""</f>
      </c>
      <c r="Y1511">
        <f>[1]发票导入!Y1511&amp;""</f>
      </c>
      <c r="AA1511">
        <f>[1]发票导入!AA1511&amp;""</f>
      </c>
      <c r="AB1511">
        <f>[1]发票导入!AB1511</f>
        <v>0</v>
      </c>
      <c r="AC1511">
        <f>[1]发票导入!AC1511</f>
        <v>0</v>
      </c>
      <c r="AE1511" s="22">
        <f t="shared" si="0"/>
      </c>
      <c r="AI1511">
        <f>[1]发票导入!AI1511&amp;""</f>
      </c>
      <c r="AJ1511">
        <f>[1]发票导入!AJ1511&amp;""</f>
      </c>
      <c r="AK1511">
        <f>[1]发票导入!AK1511</f>
        <v>0</v>
      </c>
      <c r="AL1511">
        <f>[1]发票导入!AL1511</f>
        <v>0</v>
      </c>
      <c r="AM1511">
        <f>[1]发票导入!AM1511</f>
        <v>0</v>
      </c>
      <c r="AN1511" s="22">
        <f t="shared" si="1"/>
        <v>0</v>
      </c>
      <c r="AO1511" s="22">
        <f t="shared" si="2"/>
        <v>0</v>
      </c>
    </row>
    <row r="1512">
      <c r="C1512">
        <f>[1]发票导入!C1512&amp;""</f>
      </c>
      <c r="D1512">
        <f>[1]发票导入!D1512&amp;""</f>
      </c>
      <c r="O1512">
        <f>[1]发票导入!O1512&amp;""</f>
      </c>
      <c r="T1512">
        <f>[1]发票导入!T1512</f>
      </c>
      <c r="U1512">
        <f>[1]发票导入!U1512&amp;""</f>
      </c>
      <c r="V1512">
        <f>[1]发票导入!V1512&amp;""</f>
      </c>
      <c r="W1512">
        <f>[1]发票导入!W1512&amp;""</f>
      </c>
      <c r="Y1512">
        <f>[1]发票导入!Y1512&amp;""</f>
      </c>
      <c r="AA1512">
        <f>[1]发票导入!AA1512&amp;""</f>
      </c>
      <c r="AB1512">
        <f>[1]发票导入!AB1512</f>
        <v>0</v>
      </c>
      <c r="AC1512">
        <f>[1]发票导入!AC1512</f>
        <v>0</v>
      </c>
      <c r="AE1512" s="22">
        <f t="shared" si="0"/>
      </c>
      <c r="AI1512">
        <f>[1]发票导入!AI1512&amp;""</f>
      </c>
      <c r="AJ1512">
        <f>[1]发票导入!AJ1512&amp;""</f>
      </c>
      <c r="AK1512">
        <f>[1]发票导入!AK1512</f>
        <v>0</v>
      </c>
      <c r="AL1512">
        <f>[1]发票导入!AL1512</f>
        <v>0</v>
      </c>
      <c r="AM1512">
        <f>[1]发票导入!AM1512</f>
        <v>0</v>
      </c>
      <c r="AN1512" s="22">
        <f t="shared" si="1"/>
        <v>0</v>
      </c>
      <c r="AO1512" s="22">
        <f t="shared" si="2"/>
        <v>0</v>
      </c>
    </row>
    <row r="1513">
      <c r="C1513">
        <f>[1]发票导入!C1513&amp;""</f>
      </c>
      <c r="D1513">
        <f>[1]发票导入!D1513&amp;""</f>
      </c>
      <c r="O1513">
        <f>[1]发票导入!O1513&amp;""</f>
      </c>
      <c r="T1513">
        <f>[1]发票导入!T1513</f>
      </c>
      <c r="U1513">
        <f>[1]发票导入!U1513&amp;""</f>
      </c>
      <c r="V1513">
        <f>[1]发票导入!V1513&amp;""</f>
      </c>
      <c r="W1513">
        <f>[1]发票导入!W1513&amp;""</f>
      </c>
      <c r="Y1513">
        <f>[1]发票导入!Y1513&amp;""</f>
      </c>
      <c r="AA1513">
        <f>[1]发票导入!AA1513&amp;""</f>
      </c>
      <c r="AB1513">
        <f>[1]发票导入!AB1513</f>
        <v>0</v>
      </c>
      <c r="AC1513">
        <f>[1]发票导入!AC1513</f>
        <v>0</v>
      </c>
      <c r="AE1513" s="22">
        <f t="shared" si="0"/>
      </c>
      <c r="AI1513">
        <f>[1]发票导入!AI1513&amp;""</f>
      </c>
      <c r="AJ1513">
        <f>[1]发票导入!AJ1513&amp;""</f>
      </c>
      <c r="AK1513">
        <f>[1]发票导入!AK1513</f>
        <v>0</v>
      </c>
      <c r="AL1513">
        <f>[1]发票导入!AL1513</f>
        <v>0</v>
      </c>
      <c r="AM1513">
        <f>[1]发票导入!AM1513</f>
        <v>0</v>
      </c>
      <c r="AN1513" s="22">
        <f t="shared" si="1"/>
        <v>0</v>
      </c>
      <c r="AO1513" s="22">
        <f t="shared" si="2"/>
        <v>0</v>
      </c>
    </row>
    <row r="1514">
      <c r="C1514">
        <f>[1]发票导入!C1514&amp;""</f>
      </c>
      <c r="D1514">
        <f>[1]发票导入!D1514&amp;""</f>
      </c>
      <c r="O1514">
        <f>[1]发票导入!O1514&amp;""</f>
      </c>
      <c r="T1514">
        <f>[1]发票导入!T1514</f>
      </c>
      <c r="U1514">
        <f>[1]发票导入!U1514&amp;""</f>
      </c>
      <c r="V1514">
        <f>[1]发票导入!V1514&amp;""</f>
      </c>
      <c r="W1514">
        <f>[1]发票导入!W1514&amp;""</f>
      </c>
      <c r="Y1514">
        <f>[1]发票导入!Y1514&amp;""</f>
      </c>
      <c r="AA1514">
        <f>[1]发票导入!AA1514&amp;""</f>
      </c>
      <c r="AB1514">
        <f>[1]发票导入!AB1514</f>
        <v>0</v>
      </c>
      <c r="AC1514">
        <f>[1]发票导入!AC1514</f>
        <v>0</v>
      </c>
      <c r="AE1514" s="22">
        <f t="shared" si="0"/>
      </c>
      <c r="AI1514">
        <f>[1]发票导入!AI1514&amp;""</f>
      </c>
      <c r="AJ1514">
        <f>[1]发票导入!AJ1514&amp;""</f>
      </c>
      <c r="AK1514">
        <f>[1]发票导入!AK1514</f>
        <v>0</v>
      </c>
      <c r="AL1514">
        <f>[1]发票导入!AL1514</f>
        <v>0</v>
      </c>
      <c r="AM1514">
        <f>[1]发票导入!AM1514</f>
        <v>0</v>
      </c>
      <c r="AN1514" s="22">
        <f t="shared" si="1"/>
        <v>0</v>
      </c>
      <c r="AO1514" s="22">
        <f t="shared" si="2"/>
        <v>0</v>
      </c>
    </row>
    <row r="1515">
      <c r="C1515">
        <f>[1]发票导入!C1515&amp;""</f>
      </c>
      <c r="D1515">
        <f>[1]发票导入!D1515&amp;""</f>
      </c>
      <c r="O1515">
        <f>[1]发票导入!O1515&amp;""</f>
      </c>
      <c r="T1515">
        <f>[1]发票导入!T1515</f>
      </c>
      <c r="U1515">
        <f>[1]发票导入!U1515&amp;""</f>
      </c>
      <c r="V1515">
        <f>[1]发票导入!V1515&amp;""</f>
      </c>
      <c r="W1515">
        <f>[1]发票导入!W1515&amp;""</f>
      </c>
      <c r="Y1515">
        <f>[1]发票导入!Y1515&amp;""</f>
      </c>
      <c r="AA1515">
        <f>[1]发票导入!AA1515&amp;""</f>
      </c>
      <c r="AB1515">
        <f>[1]发票导入!AB1515</f>
        <v>0</v>
      </c>
      <c r="AC1515">
        <f>[1]发票导入!AC1515</f>
        <v>0</v>
      </c>
      <c r="AE1515" s="22">
        <f t="shared" si="0"/>
      </c>
      <c r="AI1515">
        <f>[1]发票导入!AI1515&amp;""</f>
      </c>
      <c r="AJ1515">
        <f>[1]发票导入!AJ1515&amp;""</f>
      </c>
      <c r="AK1515">
        <f>[1]发票导入!AK1515</f>
        <v>0</v>
      </c>
      <c r="AL1515">
        <f>[1]发票导入!AL1515</f>
        <v>0</v>
      </c>
      <c r="AM1515">
        <f>[1]发票导入!AM1515</f>
        <v>0</v>
      </c>
      <c r="AN1515" s="22">
        <f t="shared" si="1"/>
        <v>0</v>
      </c>
      <c r="AO1515" s="22">
        <f t="shared" si="2"/>
        <v>0</v>
      </c>
    </row>
    <row r="1516">
      <c r="C1516">
        <f>[1]发票导入!C1516&amp;""</f>
      </c>
      <c r="D1516">
        <f>[1]发票导入!D1516&amp;""</f>
      </c>
      <c r="O1516">
        <f>[1]发票导入!O1516&amp;""</f>
      </c>
      <c r="T1516">
        <f>[1]发票导入!T1516</f>
      </c>
      <c r="U1516">
        <f>[1]发票导入!U1516&amp;""</f>
      </c>
      <c r="V1516">
        <f>[1]发票导入!V1516&amp;""</f>
      </c>
      <c r="W1516">
        <f>[1]发票导入!W1516&amp;""</f>
      </c>
      <c r="Y1516">
        <f>[1]发票导入!Y1516&amp;""</f>
      </c>
      <c r="AA1516">
        <f>[1]发票导入!AA1516&amp;""</f>
      </c>
      <c r="AB1516">
        <f>[1]发票导入!AB1516</f>
        <v>0</v>
      </c>
      <c r="AC1516">
        <f>[1]发票导入!AC1516</f>
        <v>0</v>
      </c>
      <c r="AE1516" s="22">
        <f t="shared" si="0"/>
      </c>
      <c r="AI1516">
        <f>[1]发票导入!AI1516&amp;""</f>
      </c>
      <c r="AJ1516">
        <f>[1]发票导入!AJ1516&amp;""</f>
      </c>
      <c r="AK1516">
        <f>[1]发票导入!AK1516</f>
        <v>0</v>
      </c>
      <c r="AL1516">
        <f>[1]发票导入!AL1516</f>
        <v>0</v>
      </c>
      <c r="AM1516">
        <f>[1]发票导入!AM1516</f>
        <v>0</v>
      </c>
      <c r="AN1516" s="22">
        <f t="shared" si="1"/>
        <v>0</v>
      </c>
      <c r="AO1516" s="22">
        <f t="shared" si="2"/>
        <v>0</v>
      </c>
    </row>
    <row r="1517">
      <c r="C1517">
        <f>[1]发票导入!C1517&amp;""</f>
      </c>
      <c r="D1517">
        <f>[1]发票导入!D1517&amp;""</f>
      </c>
      <c r="O1517">
        <f>[1]发票导入!O1517&amp;""</f>
      </c>
      <c r="T1517">
        <f>[1]发票导入!T1517</f>
      </c>
      <c r="U1517">
        <f>[1]发票导入!U1517&amp;""</f>
      </c>
      <c r="V1517">
        <f>[1]发票导入!V1517&amp;""</f>
      </c>
      <c r="W1517">
        <f>[1]发票导入!W1517&amp;""</f>
      </c>
      <c r="Y1517">
        <f>[1]发票导入!Y1517&amp;""</f>
      </c>
      <c r="AA1517">
        <f>[1]发票导入!AA1517&amp;""</f>
      </c>
      <c r="AB1517">
        <f>[1]发票导入!AB1517</f>
        <v>0</v>
      </c>
      <c r="AC1517">
        <f>[1]发票导入!AC1517</f>
        <v>0</v>
      </c>
      <c r="AE1517" s="22">
        <f t="shared" si="0"/>
      </c>
      <c r="AI1517">
        <f>[1]发票导入!AI1517&amp;""</f>
      </c>
      <c r="AJ1517">
        <f>[1]发票导入!AJ1517&amp;""</f>
      </c>
      <c r="AK1517">
        <f>[1]发票导入!AK1517</f>
        <v>0</v>
      </c>
      <c r="AL1517">
        <f>[1]发票导入!AL1517</f>
        <v>0</v>
      </c>
      <c r="AM1517">
        <f>[1]发票导入!AM1517</f>
        <v>0</v>
      </c>
      <c r="AN1517" s="22">
        <f t="shared" si="1"/>
        <v>0</v>
      </c>
      <c r="AO1517" s="22">
        <f t="shared" si="2"/>
        <v>0</v>
      </c>
    </row>
    <row r="1518">
      <c r="C1518">
        <f>[1]发票导入!C1518&amp;""</f>
      </c>
      <c r="D1518">
        <f>[1]发票导入!D1518&amp;""</f>
      </c>
      <c r="O1518">
        <f>[1]发票导入!O1518&amp;""</f>
      </c>
      <c r="T1518">
        <f>[1]发票导入!T1518</f>
      </c>
      <c r="U1518">
        <f>[1]发票导入!U1518&amp;""</f>
      </c>
      <c r="V1518">
        <f>[1]发票导入!V1518&amp;""</f>
      </c>
      <c r="W1518">
        <f>[1]发票导入!W1518&amp;""</f>
      </c>
      <c r="Y1518">
        <f>[1]发票导入!Y1518&amp;""</f>
      </c>
      <c r="AA1518">
        <f>[1]发票导入!AA1518&amp;""</f>
      </c>
      <c r="AB1518">
        <f>[1]发票导入!AB1518</f>
        <v>0</v>
      </c>
      <c r="AC1518">
        <f>[1]发票导入!AC1518</f>
        <v>0</v>
      </c>
      <c r="AE1518" s="22">
        <f t="shared" si="0"/>
      </c>
      <c r="AI1518">
        <f>[1]发票导入!AI1518&amp;""</f>
      </c>
      <c r="AJ1518">
        <f>[1]发票导入!AJ1518&amp;""</f>
      </c>
      <c r="AK1518">
        <f>[1]发票导入!AK1518</f>
        <v>0</v>
      </c>
      <c r="AL1518">
        <f>[1]发票导入!AL1518</f>
        <v>0</v>
      </c>
      <c r="AM1518">
        <f>[1]发票导入!AM1518</f>
        <v>0</v>
      </c>
      <c r="AN1518" s="22">
        <f t="shared" si="1"/>
        <v>0</v>
      </c>
      <c r="AO1518" s="22">
        <f t="shared" si="2"/>
        <v>0</v>
      </c>
    </row>
    <row r="1519">
      <c r="C1519">
        <f>[1]发票导入!C1519&amp;""</f>
      </c>
      <c r="D1519">
        <f>[1]发票导入!D1519&amp;""</f>
      </c>
      <c r="O1519">
        <f>[1]发票导入!O1519&amp;""</f>
      </c>
      <c r="T1519">
        <f>[1]发票导入!T1519</f>
      </c>
      <c r="U1519">
        <f>[1]发票导入!U1519&amp;""</f>
      </c>
      <c r="V1519">
        <f>[1]发票导入!V1519&amp;""</f>
      </c>
      <c r="W1519">
        <f>[1]发票导入!W1519&amp;""</f>
      </c>
      <c r="Y1519">
        <f>[1]发票导入!Y1519&amp;""</f>
      </c>
      <c r="AA1519">
        <f>[1]发票导入!AA1519&amp;""</f>
      </c>
      <c r="AB1519">
        <f>[1]发票导入!AB1519</f>
        <v>0</v>
      </c>
      <c r="AC1519">
        <f>[1]发票导入!AC1519</f>
        <v>0</v>
      </c>
      <c r="AE1519" s="22">
        <f t="shared" si="0"/>
      </c>
      <c r="AI1519">
        <f>[1]发票导入!AI1519&amp;""</f>
      </c>
      <c r="AJ1519">
        <f>[1]发票导入!AJ1519&amp;""</f>
      </c>
      <c r="AK1519">
        <f>[1]发票导入!AK1519</f>
        <v>0</v>
      </c>
      <c r="AL1519">
        <f>[1]发票导入!AL1519</f>
        <v>0</v>
      </c>
      <c r="AM1519">
        <f>[1]发票导入!AM1519</f>
        <v>0</v>
      </c>
      <c r="AN1519" s="22">
        <f t="shared" si="1"/>
        <v>0</v>
      </c>
      <c r="AO1519" s="22">
        <f t="shared" si="2"/>
        <v>0</v>
      </c>
    </row>
    <row r="1520">
      <c r="C1520">
        <f>[1]发票导入!C1520&amp;""</f>
      </c>
      <c r="D1520">
        <f>[1]发票导入!D1520&amp;""</f>
      </c>
      <c r="O1520">
        <f>[1]发票导入!O1520&amp;""</f>
      </c>
      <c r="T1520">
        <f>[1]发票导入!T1520</f>
      </c>
      <c r="U1520">
        <f>[1]发票导入!U1520&amp;""</f>
      </c>
      <c r="V1520">
        <f>[1]发票导入!V1520&amp;""</f>
      </c>
      <c r="W1520">
        <f>[1]发票导入!W1520&amp;""</f>
      </c>
      <c r="Y1520">
        <f>[1]发票导入!Y1520&amp;""</f>
      </c>
      <c r="AA1520">
        <f>[1]发票导入!AA1520&amp;""</f>
      </c>
      <c r="AB1520">
        <f>[1]发票导入!AB1520</f>
        <v>0</v>
      </c>
      <c r="AC1520">
        <f>[1]发票导入!AC1520</f>
        <v>0</v>
      </c>
      <c r="AE1520" s="22">
        <f t="shared" si="0"/>
      </c>
      <c r="AI1520">
        <f>[1]发票导入!AI1520&amp;""</f>
      </c>
      <c r="AJ1520">
        <f>[1]发票导入!AJ1520&amp;""</f>
      </c>
      <c r="AK1520">
        <f>[1]发票导入!AK1520</f>
        <v>0</v>
      </c>
      <c r="AL1520">
        <f>[1]发票导入!AL1520</f>
        <v>0</v>
      </c>
      <c r="AM1520">
        <f>[1]发票导入!AM1520</f>
        <v>0</v>
      </c>
      <c r="AN1520" s="22">
        <f t="shared" si="1"/>
        <v>0</v>
      </c>
      <c r="AO1520" s="22">
        <f t="shared" si="2"/>
        <v>0</v>
      </c>
    </row>
    <row r="1521">
      <c r="C1521">
        <f>[1]发票导入!C1521&amp;""</f>
      </c>
      <c r="D1521">
        <f>[1]发票导入!D1521&amp;""</f>
      </c>
      <c r="O1521">
        <f>[1]发票导入!O1521&amp;""</f>
      </c>
      <c r="T1521">
        <f>[1]发票导入!T1521</f>
      </c>
      <c r="U1521">
        <f>[1]发票导入!U1521&amp;""</f>
      </c>
      <c r="V1521">
        <f>[1]发票导入!V1521&amp;""</f>
      </c>
      <c r="W1521">
        <f>[1]发票导入!W1521&amp;""</f>
      </c>
      <c r="Y1521">
        <f>[1]发票导入!Y1521&amp;""</f>
      </c>
      <c r="AA1521">
        <f>[1]发票导入!AA1521&amp;""</f>
      </c>
      <c r="AB1521">
        <f>[1]发票导入!AB1521</f>
        <v>0</v>
      </c>
      <c r="AC1521">
        <f>[1]发票导入!AC1521</f>
        <v>0</v>
      </c>
      <c r="AE1521" s="22">
        <f t="shared" si="0"/>
      </c>
      <c r="AI1521">
        <f>[1]发票导入!AI1521&amp;""</f>
      </c>
      <c r="AJ1521">
        <f>[1]发票导入!AJ1521&amp;""</f>
      </c>
      <c r="AK1521">
        <f>[1]发票导入!AK1521</f>
        <v>0</v>
      </c>
      <c r="AL1521">
        <f>[1]发票导入!AL1521</f>
        <v>0</v>
      </c>
      <c r="AM1521">
        <f>[1]发票导入!AM1521</f>
        <v>0</v>
      </c>
      <c r="AN1521" s="22">
        <f t="shared" si="1"/>
        <v>0</v>
      </c>
      <c r="AO1521" s="22">
        <f t="shared" si="2"/>
        <v>0</v>
      </c>
    </row>
    <row r="1522">
      <c r="C1522">
        <f>[1]发票导入!C1522&amp;""</f>
      </c>
      <c r="D1522">
        <f>[1]发票导入!D1522&amp;""</f>
      </c>
      <c r="O1522">
        <f>[1]发票导入!O1522&amp;""</f>
      </c>
      <c r="T1522">
        <f>[1]发票导入!T1522</f>
      </c>
      <c r="U1522">
        <f>[1]发票导入!U1522&amp;""</f>
      </c>
      <c r="V1522">
        <f>[1]发票导入!V1522&amp;""</f>
      </c>
      <c r="W1522">
        <f>[1]发票导入!W1522&amp;""</f>
      </c>
      <c r="Y1522">
        <f>[1]发票导入!Y1522&amp;""</f>
      </c>
      <c r="AA1522">
        <f>[1]发票导入!AA1522&amp;""</f>
      </c>
      <c r="AB1522">
        <f>[1]发票导入!AB1522</f>
        <v>0</v>
      </c>
      <c r="AC1522">
        <f>[1]发票导入!AC1522</f>
        <v>0</v>
      </c>
      <c r="AE1522" s="22">
        <f t="shared" si="0"/>
      </c>
      <c r="AI1522">
        <f>[1]发票导入!AI1522&amp;""</f>
      </c>
      <c r="AJ1522">
        <f>[1]发票导入!AJ1522&amp;""</f>
      </c>
      <c r="AK1522">
        <f>[1]发票导入!AK1522</f>
        <v>0</v>
      </c>
      <c r="AL1522">
        <f>[1]发票导入!AL1522</f>
        <v>0</v>
      </c>
      <c r="AM1522">
        <f>[1]发票导入!AM1522</f>
        <v>0</v>
      </c>
      <c r="AN1522" s="22">
        <f t="shared" si="1"/>
        <v>0</v>
      </c>
      <c r="AO1522" s="22">
        <f t="shared" si="2"/>
        <v>0</v>
      </c>
    </row>
    <row r="1523">
      <c r="C1523">
        <f>[1]发票导入!C1523&amp;""</f>
      </c>
      <c r="D1523">
        <f>[1]发票导入!D1523&amp;""</f>
      </c>
      <c r="O1523">
        <f>[1]发票导入!O1523&amp;""</f>
      </c>
      <c r="T1523">
        <f>[1]发票导入!T1523</f>
      </c>
      <c r="U1523">
        <f>[1]发票导入!U1523&amp;""</f>
      </c>
      <c r="V1523">
        <f>[1]发票导入!V1523&amp;""</f>
      </c>
      <c r="W1523">
        <f>[1]发票导入!W1523&amp;""</f>
      </c>
      <c r="Y1523">
        <f>[1]发票导入!Y1523&amp;""</f>
      </c>
      <c r="AA1523">
        <f>[1]发票导入!AA1523&amp;""</f>
      </c>
      <c r="AB1523">
        <f>[1]发票导入!AB1523</f>
        <v>0</v>
      </c>
      <c r="AC1523">
        <f>[1]发票导入!AC1523</f>
        <v>0</v>
      </c>
      <c r="AE1523" s="22">
        <f t="shared" si="0"/>
      </c>
      <c r="AI1523">
        <f>[1]发票导入!AI1523&amp;""</f>
      </c>
      <c r="AJ1523">
        <f>[1]发票导入!AJ1523&amp;""</f>
      </c>
      <c r="AK1523">
        <f>[1]发票导入!AK1523</f>
        <v>0</v>
      </c>
      <c r="AL1523">
        <f>[1]发票导入!AL1523</f>
        <v>0</v>
      </c>
      <c r="AM1523">
        <f>[1]发票导入!AM1523</f>
        <v>0</v>
      </c>
      <c r="AN1523" s="22">
        <f t="shared" si="1"/>
        <v>0</v>
      </c>
      <c r="AO1523" s="22">
        <f t="shared" si="2"/>
        <v>0</v>
      </c>
    </row>
    <row r="1524">
      <c r="C1524">
        <f>[1]发票导入!C1524&amp;""</f>
      </c>
      <c r="D1524">
        <f>[1]发票导入!D1524&amp;""</f>
      </c>
      <c r="O1524">
        <f>[1]发票导入!O1524&amp;""</f>
      </c>
      <c r="T1524">
        <f>[1]发票导入!T1524</f>
      </c>
      <c r="U1524">
        <f>[1]发票导入!U1524&amp;""</f>
      </c>
      <c r="V1524">
        <f>[1]发票导入!V1524&amp;""</f>
      </c>
      <c r="W1524">
        <f>[1]发票导入!W1524&amp;""</f>
      </c>
      <c r="Y1524">
        <f>[1]发票导入!Y1524&amp;""</f>
      </c>
      <c r="AA1524">
        <f>[1]发票导入!AA1524&amp;""</f>
      </c>
      <c r="AB1524">
        <f>[1]发票导入!AB1524</f>
        <v>0</v>
      </c>
      <c r="AC1524">
        <f>[1]发票导入!AC1524</f>
        <v>0</v>
      </c>
      <c r="AE1524" s="22">
        <f t="shared" si="0"/>
      </c>
      <c r="AI1524">
        <f>[1]发票导入!AI1524&amp;""</f>
      </c>
      <c r="AJ1524">
        <f>[1]发票导入!AJ1524&amp;""</f>
      </c>
      <c r="AK1524">
        <f>[1]发票导入!AK1524</f>
        <v>0</v>
      </c>
      <c r="AL1524">
        <f>[1]发票导入!AL1524</f>
        <v>0</v>
      </c>
      <c r="AM1524">
        <f>[1]发票导入!AM1524</f>
        <v>0</v>
      </c>
      <c r="AN1524" s="22">
        <f t="shared" si="1"/>
        <v>0</v>
      </c>
      <c r="AO1524" s="22">
        <f t="shared" si="2"/>
        <v>0</v>
      </c>
    </row>
    <row r="1525">
      <c r="C1525">
        <f>[1]发票导入!C1525&amp;""</f>
      </c>
      <c r="D1525">
        <f>[1]发票导入!D1525&amp;""</f>
      </c>
      <c r="O1525">
        <f>[1]发票导入!O1525&amp;""</f>
      </c>
      <c r="T1525">
        <f>[1]发票导入!T1525</f>
      </c>
      <c r="U1525">
        <f>[1]发票导入!U1525&amp;""</f>
      </c>
      <c r="V1525">
        <f>[1]发票导入!V1525&amp;""</f>
      </c>
      <c r="W1525">
        <f>[1]发票导入!W1525&amp;""</f>
      </c>
      <c r="Y1525">
        <f>[1]发票导入!Y1525&amp;""</f>
      </c>
      <c r="AA1525">
        <f>[1]发票导入!AA1525&amp;""</f>
      </c>
      <c r="AB1525">
        <f>[1]发票导入!AB1525</f>
        <v>0</v>
      </c>
      <c r="AC1525">
        <f>[1]发票导入!AC1525</f>
        <v>0</v>
      </c>
      <c r="AE1525" s="22">
        <f t="shared" si="0"/>
      </c>
      <c r="AI1525">
        <f>[1]发票导入!AI1525&amp;""</f>
      </c>
      <c r="AJ1525">
        <f>[1]发票导入!AJ1525&amp;""</f>
      </c>
      <c r="AK1525">
        <f>[1]发票导入!AK1525</f>
        <v>0</v>
      </c>
      <c r="AL1525">
        <f>[1]发票导入!AL1525</f>
        <v>0</v>
      </c>
      <c r="AM1525">
        <f>[1]发票导入!AM1525</f>
        <v>0</v>
      </c>
      <c r="AN1525" s="22">
        <f t="shared" si="1"/>
        <v>0</v>
      </c>
      <c r="AO1525" s="22">
        <f t="shared" si="2"/>
        <v>0</v>
      </c>
    </row>
    <row r="1526">
      <c r="C1526">
        <f>[1]发票导入!C1526&amp;""</f>
      </c>
      <c r="D1526">
        <f>[1]发票导入!D1526&amp;""</f>
      </c>
      <c r="O1526">
        <f>[1]发票导入!O1526&amp;""</f>
      </c>
      <c r="T1526">
        <f>[1]发票导入!T1526</f>
      </c>
      <c r="U1526">
        <f>[1]发票导入!U1526&amp;""</f>
      </c>
      <c r="V1526">
        <f>[1]发票导入!V1526&amp;""</f>
      </c>
      <c r="W1526">
        <f>[1]发票导入!W1526&amp;""</f>
      </c>
      <c r="Y1526">
        <f>[1]发票导入!Y1526&amp;""</f>
      </c>
      <c r="AA1526">
        <f>[1]发票导入!AA1526&amp;""</f>
      </c>
      <c r="AB1526">
        <f>[1]发票导入!AB1526</f>
        <v>0</v>
      </c>
      <c r="AC1526">
        <f>[1]发票导入!AC1526</f>
        <v>0</v>
      </c>
      <c r="AE1526" s="22">
        <f t="shared" si="0"/>
      </c>
      <c r="AI1526">
        <f>[1]发票导入!AI1526&amp;""</f>
      </c>
      <c r="AJ1526">
        <f>[1]发票导入!AJ1526&amp;""</f>
      </c>
      <c r="AK1526">
        <f>[1]发票导入!AK1526</f>
        <v>0</v>
      </c>
      <c r="AL1526">
        <f>[1]发票导入!AL1526</f>
        <v>0</v>
      </c>
      <c r="AM1526">
        <f>[1]发票导入!AM1526</f>
        <v>0</v>
      </c>
      <c r="AN1526" s="22">
        <f t="shared" si="1"/>
        <v>0</v>
      </c>
      <c r="AO1526" s="22">
        <f t="shared" si="2"/>
        <v>0</v>
      </c>
    </row>
    <row r="1527">
      <c r="C1527">
        <f>[1]发票导入!C1527&amp;""</f>
      </c>
      <c r="D1527">
        <f>[1]发票导入!D1527&amp;""</f>
      </c>
      <c r="O1527">
        <f>[1]发票导入!O1527&amp;""</f>
      </c>
      <c r="T1527">
        <f>[1]发票导入!T1527</f>
      </c>
      <c r="U1527">
        <f>[1]发票导入!U1527&amp;""</f>
      </c>
      <c r="V1527">
        <f>[1]发票导入!V1527&amp;""</f>
      </c>
      <c r="W1527">
        <f>[1]发票导入!W1527&amp;""</f>
      </c>
      <c r="Y1527">
        <f>[1]发票导入!Y1527&amp;""</f>
      </c>
      <c r="AA1527">
        <f>[1]发票导入!AA1527&amp;""</f>
      </c>
      <c r="AB1527">
        <f>[1]发票导入!AB1527</f>
        <v>0</v>
      </c>
      <c r="AC1527">
        <f>[1]发票导入!AC1527</f>
        <v>0</v>
      </c>
      <c r="AE1527" s="22">
        <f t="shared" si="0"/>
      </c>
      <c r="AI1527">
        <f>[1]发票导入!AI1527&amp;""</f>
      </c>
      <c r="AJ1527">
        <f>[1]发票导入!AJ1527&amp;""</f>
      </c>
      <c r="AK1527">
        <f>[1]发票导入!AK1527</f>
        <v>0</v>
      </c>
      <c r="AL1527">
        <f>[1]发票导入!AL1527</f>
        <v>0</v>
      </c>
      <c r="AM1527">
        <f>[1]发票导入!AM1527</f>
        <v>0</v>
      </c>
      <c r="AN1527" s="22">
        <f t="shared" si="1"/>
        <v>0</v>
      </c>
      <c r="AO1527" s="22">
        <f t="shared" si="2"/>
        <v>0</v>
      </c>
    </row>
    <row r="1528">
      <c r="C1528">
        <f>[1]发票导入!C1528&amp;""</f>
      </c>
      <c r="D1528">
        <f>[1]发票导入!D1528&amp;""</f>
      </c>
      <c r="O1528">
        <f>[1]发票导入!O1528&amp;""</f>
      </c>
      <c r="T1528">
        <f>[1]发票导入!T1528</f>
      </c>
      <c r="U1528">
        <f>[1]发票导入!U1528&amp;""</f>
      </c>
      <c r="V1528">
        <f>[1]发票导入!V1528&amp;""</f>
      </c>
      <c r="W1528">
        <f>[1]发票导入!W1528&amp;""</f>
      </c>
      <c r="Y1528">
        <f>[1]发票导入!Y1528&amp;""</f>
      </c>
      <c r="AA1528">
        <f>[1]发票导入!AA1528&amp;""</f>
      </c>
      <c r="AB1528">
        <f>[1]发票导入!AB1528</f>
        <v>0</v>
      </c>
      <c r="AC1528">
        <f>[1]发票导入!AC1528</f>
        <v>0</v>
      </c>
      <c r="AE1528" s="22">
        <f t="shared" si="0"/>
      </c>
      <c r="AI1528">
        <f>[1]发票导入!AI1528&amp;""</f>
      </c>
      <c r="AJ1528">
        <f>[1]发票导入!AJ1528&amp;""</f>
      </c>
      <c r="AK1528">
        <f>[1]发票导入!AK1528</f>
        <v>0</v>
      </c>
      <c r="AL1528">
        <f>[1]发票导入!AL1528</f>
        <v>0</v>
      </c>
      <c r="AM1528">
        <f>[1]发票导入!AM1528</f>
        <v>0</v>
      </c>
      <c r="AN1528" s="22">
        <f t="shared" si="1"/>
        <v>0</v>
      </c>
      <c r="AO1528" s="22">
        <f t="shared" si="2"/>
        <v>0</v>
      </c>
    </row>
    <row r="1529">
      <c r="C1529">
        <f>[1]发票导入!C1529&amp;""</f>
      </c>
      <c r="D1529">
        <f>[1]发票导入!D1529&amp;""</f>
      </c>
      <c r="O1529">
        <f>[1]发票导入!O1529&amp;""</f>
      </c>
      <c r="T1529">
        <f>[1]发票导入!T1529</f>
      </c>
      <c r="U1529">
        <f>[1]发票导入!U1529&amp;""</f>
      </c>
      <c r="V1529">
        <f>[1]发票导入!V1529&amp;""</f>
      </c>
      <c r="W1529">
        <f>[1]发票导入!W1529&amp;""</f>
      </c>
      <c r="Y1529">
        <f>[1]发票导入!Y1529&amp;""</f>
      </c>
      <c r="AA1529">
        <f>[1]发票导入!AA1529&amp;""</f>
      </c>
      <c r="AB1529">
        <f>[1]发票导入!AB1529</f>
        <v>0</v>
      </c>
      <c r="AC1529">
        <f>[1]发票导入!AC1529</f>
        <v>0</v>
      </c>
      <c r="AE1529" s="22">
        <f t="shared" si="0"/>
      </c>
      <c r="AI1529">
        <f>[1]发票导入!AI1529&amp;""</f>
      </c>
      <c r="AJ1529">
        <f>[1]发票导入!AJ1529&amp;""</f>
      </c>
      <c r="AK1529">
        <f>[1]发票导入!AK1529</f>
        <v>0</v>
      </c>
      <c r="AL1529">
        <f>[1]发票导入!AL1529</f>
        <v>0</v>
      </c>
      <c r="AM1529">
        <f>[1]发票导入!AM1529</f>
        <v>0</v>
      </c>
      <c r="AN1529" s="22">
        <f t="shared" si="1"/>
        <v>0</v>
      </c>
      <c r="AO1529" s="22">
        <f t="shared" si="2"/>
        <v>0</v>
      </c>
    </row>
    <row r="1530">
      <c r="C1530">
        <f>[1]发票导入!C1530&amp;""</f>
      </c>
      <c r="D1530">
        <f>[1]发票导入!D1530&amp;""</f>
      </c>
      <c r="O1530">
        <f>[1]发票导入!O1530&amp;""</f>
      </c>
      <c r="T1530">
        <f>[1]发票导入!T1530</f>
      </c>
      <c r="U1530">
        <f>[1]发票导入!U1530&amp;""</f>
      </c>
      <c r="V1530">
        <f>[1]发票导入!V1530&amp;""</f>
      </c>
      <c r="W1530">
        <f>[1]发票导入!W1530&amp;""</f>
      </c>
      <c r="Y1530">
        <f>[1]发票导入!Y1530&amp;""</f>
      </c>
      <c r="AA1530">
        <f>[1]发票导入!AA1530&amp;""</f>
      </c>
      <c r="AB1530">
        <f>[1]发票导入!AB1530</f>
        <v>0</v>
      </c>
      <c r="AC1530">
        <f>[1]发票导入!AC1530</f>
        <v>0</v>
      </c>
      <c r="AE1530" s="22">
        <f t="shared" si="0"/>
      </c>
      <c r="AI1530">
        <f>[1]发票导入!AI1530&amp;""</f>
      </c>
      <c r="AJ1530">
        <f>[1]发票导入!AJ1530&amp;""</f>
      </c>
      <c r="AK1530">
        <f>[1]发票导入!AK1530</f>
        <v>0</v>
      </c>
      <c r="AL1530">
        <f>[1]发票导入!AL1530</f>
        <v>0</v>
      </c>
      <c r="AM1530">
        <f>[1]发票导入!AM1530</f>
        <v>0</v>
      </c>
      <c r="AN1530" s="22">
        <f t="shared" si="1"/>
        <v>0</v>
      </c>
      <c r="AO1530" s="22">
        <f t="shared" si="2"/>
        <v>0</v>
      </c>
    </row>
    <row r="1531">
      <c r="C1531">
        <f>[1]发票导入!C1531&amp;""</f>
      </c>
      <c r="D1531">
        <f>[1]发票导入!D1531&amp;""</f>
      </c>
      <c r="O1531">
        <f>[1]发票导入!O1531&amp;""</f>
      </c>
      <c r="T1531">
        <f>[1]发票导入!T1531</f>
      </c>
      <c r="U1531">
        <f>[1]发票导入!U1531&amp;""</f>
      </c>
      <c r="V1531">
        <f>[1]发票导入!V1531&amp;""</f>
      </c>
      <c r="W1531">
        <f>[1]发票导入!W1531&amp;""</f>
      </c>
      <c r="Y1531">
        <f>[1]发票导入!Y1531&amp;""</f>
      </c>
      <c r="AA1531">
        <f>[1]发票导入!AA1531&amp;""</f>
      </c>
      <c r="AB1531">
        <f>[1]发票导入!AB1531</f>
        <v>0</v>
      </c>
      <c r="AC1531">
        <f>[1]发票导入!AC1531</f>
        <v>0</v>
      </c>
      <c r="AE1531" s="22">
        <f t="shared" si="0"/>
      </c>
      <c r="AI1531">
        <f>[1]发票导入!AI1531&amp;""</f>
      </c>
      <c r="AJ1531">
        <f>[1]发票导入!AJ1531&amp;""</f>
      </c>
      <c r="AK1531">
        <f>[1]发票导入!AK1531</f>
        <v>0</v>
      </c>
      <c r="AL1531">
        <f>[1]发票导入!AL1531</f>
        <v>0</v>
      </c>
      <c r="AM1531">
        <f>[1]发票导入!AM1531</f>
        <v>0</v>
      </c>
      <c r="AN1531" s="22">
        <f t="shared" si="1"/>
        <v>0</v>
      </c>
      <c r="AO1531" s="22">
        <f t="shared" si="2"/>
        <v>0</v>
      </c>
    </row>
    <row r="1532">
      <c r="C1532">
        <f>[1]发票导入!C1532&amp;""</f>
      </c>
      <c r="D1532">
        <f>[1]发票导入!D1532&amp;""</f>
      </c>
      <c r="O1532">
        <f>[1]发票导入!O1532&amp;""</f>
      </c>
      <c r="T1532">
        <f>[1]发票导入!T1532</f>
      </c>
      <c r="U1532">
        <f>[1]发票导入!U1532&amp;""</f>
      </c>
      <c r="V1532">
        <f>[1]发票导入!V1532&amp;""</f>
      </c>
      <c r="W1532">
        <f>[1]发票导入!W1532&amp;""</f>
      </c>
      <c r="Y1532">
        <f>[1]发票导入!Y1532&amp;""</f>
      </c>
      <c r="AA1532">
        <f>[1]发票导入!AA1532&amp;""</f>
      </c>
      <c r="AB1532">
        <f>[1]发票导入!AB1532</f>
        <v>0</v>
      </c>
      <c r="AC1532">
        <f>[1]发票导入!AC1532</f>
        <v>0</v>
      </c>
      <c r="AE1532" s="22">
        <f t="shared" si="0"/>
      </c>
      <c r="AI1532">
        <f>[1]发票导入!AI1532&amp;""</f>
      </c>
      <c r="AJ1532">
        <f>[1]发票导入!AJ1532&amp;""</f>
      </c>
      <c r="AK1532">
        <f>[1]发票导入!AK1532</f>
        <v>0</v>
      </c>
      <c r="AL1532">
        <f>[1]发票导入!AL1532</f>
        <v>0</v>
      </c>
      <c r="AM1532">
        <f>[1]发票导入!AM1532</f>
        <v>0</v>
      </c>
      <c r="AN1532" s="22">
        <f t="shared" si="1"/>
        <v>0</v>
      </c>
      <c r="AO1532" s="22">
        <f t="shared" si="2"/>
        <v>0</v>
      </c>
    </row>
    <row r="1533">
      <c r="C1533">
        <f>[1]发票导入!C1533&amp;""</f>
      </c>
      <c r="D1533">
        <f>[1]发票导入!D1533&amp;""</f>
      </c>
      <c r="O1533">
        <f>[1]发票导入!O1533&amp;""</f>
      </c>
      <c r="T1533">
        <f>[1]发票导入!T1533</f>
      </c>
      <c r="U1533">
        <f>[1]发票导入!U1533&amp;""</f>
      </c>
      <c r="V1533">
        <f>[1]发票导入!V1533&amp;""</f>
      </c>
      <c r="W1533">
        <f>[1]发票导入!W1533&amp;""</f>
      </c>
      <c r="Y1533">
        <f>[1]发票导入!Y1533&amp;""</f>
      </c>
      <c r="AA1533">
        <f>[1]发票导入!AA1533&amp;""</f>
      </c>
      <c r="AB1533">
        <f>[1]发票导入!AB1533</f>
        <v>0</v>
      </c>
      <c r="AC1533">
        <f>[1]发票导入!AC1533</f>
        <v>0</v>
      </c>
      <c r="AE1533" s="22">
        <f t="shared" si="0"/>
      </c>
      <c r="AI1533">
        <f>[1]发票导入!AI1533&amp;""</f>
      </c>
      <c r="AJ1533">
        <f>[1]发票导入!AJ1533&amp;""</f>
      </c>
      <c r="AK1533">
        <f>[1]发票导入!AK1533</f>
        <v>0</v>
      </c>
      <c r="AL1533">
        <f>[1]发票导入!AL1533</f>
        <v>0</v>
      </c>
      <c r="AM1533">
        <f>[1]发票导入!AM1533</f>
        <v>0</v>
      </c>
      <c r="AN1533" s="22">
        <f t="shared" si="1"/>
        <v>0</v>
      </c>
      <c r="AO1533" s="22">
        <f t="shared" si="2"/>
        <v>0</v>
      </c>
    </row>
    <row r="1534">
      <c r="C1534">
        <f>[1]发票导入!C1534&amp;""</f>
      </c>
      <c r="D1534">
        <f>[1]发票导入!D1534&amp;""</f>
      </c>
      <c r="O1534">
        <f>[1]发票导入!O1534&amp;""</f>
      </c>
      <c r="T1534">
        <f>[1]发票导入!T1534</f>
      </c>
      <c r="U1534">
        <f>[1]发票导入!U1534&amp;""</f>
      </c>
      <c r="V1534">
        <f>[1]发票导入!V1534&amp;""</f>
      </c>
      <c r="W1534">
        <f>[1]发票导入!W1534&amp;""</f>
      </c>
      <c r="Y1534">
        <f>[1]发票导入!Y1534&amp;""</f>
      </c>
      <c r="AA1534">
        <f>[1]发票导入!AA1534&amp;""</f>
      </c>
      <c r="AB1534">
        <f>[1]发票导入!AB1534</f>
        <v>0</v>
      </c>
      <c r="AC1534">
        <f>[1]发票导入!AC1534</f>
        <v>0</v>
      </c>
      <c r="AE1534" s="22">
        <f t="shared" si="0"/>
      </c>
      <c r="AI1534">
        <f>[1]发票导入!AI1534&amp;""</f>
      </c>
      <c r="AJ1534">
        <f>[1]发票导入!AJ1534&amp;""</f>
      </c>
      <c r="AK1534">
        <f>[1]发票导入!AK1534</f>
        <v>0</v>
      </c>
      <c r="AL1534">
        <f>[1]发票导入!AL1534</f>
        <v>0</v>
      </c>
      <c r="AM1534">
        <f>[1]发票导入!AM1534</f>
        <v>0</v>
      </c>
      <c r="AN1534" s="22">
        <f t="shared" si="1"/>
        <v>0</v>
      </c>
      <c r="AO1534" s="22">
        <f t="shared" si="2"/>
        <v>0</v>
      </c>
    </row>
    <row r="1535">
      <c r="C1535">
        <f>[1]发票导入!C1535&amp;""</f>
      </c>
      <c r="D1535">
        <f>[1]发票导入!D1535&amp;""</f>
      </c>
      <c r="O1535">
        <f>[1]发票导入!O1535&amp;""</f>
      </c>
      <c r="T1535">
        <f>[1]发票导入!T1535</f>
      </c>
      <c r="U1535">
        <f>[1]发票导入!U1535&amp;""</f>
      </c>
      <c r="V1535">
        <f>[1]发票导入!V1535&amp;""</f>
      </c>
      <c r="W1535">
        <f>[1]发票导入!W1535&amp;""</f>
      </c>
      <c r="Y1535">
        <f>[1]发票导入!Y1535&amp;""</f>
      </c>
      <c r="AA1535">
        <f>[1]发票导入!AA1535&amp;""</f>
      </c>
      <c r="AB1535">
        <f>[1]发票导入!AB1535</f>
        <v>0</v>
      </c>
      <c r="AC1535">
        <f>[1]发票导入!AC1535</f>
        <v>0</v>
      </c>
      <c r="AE1535" s="22">
        <f t="shared" si="0"/>
      </c>
      <c r="AI1535">
        <f>[1]发票导入!AI1535&amp;""</f>
      </c>
      <c r="AJ1535">
        <f>[1]发票导入!AJ1535&amp;""</f>
      </c>
      <c r="AK1535">
        <f>[1]发票导入!AK1535</f>
        <v>0</v>
      </c>
      <c r="AL1535">
        <f>[1]发票导入!AL1535</f>
        <v>0</v>
      </c>
      <c r="AM1535">
        <f>[1]发票导入!AM1535</f>
        <v>0</v>
      </c>
      <c r="AN1535" s="22">
        <f t="shared" si="1"/>
        <v>0</v>
      </c>
      <c r="AO1535" s="22">
        <f t="shared" si="2"/>
        <v>0</v>
      </c>
    </row>
    <row r="1536">
      <c r="C1536">
        <f>[1]发票导入!C1536&amp;""</f>
      </c>
      <c r="D1536">
        <f>[1]发票导入!D1536&amp;""</f>
      </c>
      <c r="O1536">
        <f>[1]发票导入!O1536&amp;""</f>
      </c>
      <c r="T1536">
        <f>[1]发票导入!T1536</f>
      </c>
      <c r="U1536">
        <f>[1]发票导入!U1536&amp;""</f>
      </c>
      <c r="V1536">
        <f>[1]发票导入!V1536&amp;""</f>
      </c>
      <c r="W1536">
        <f>[1]发票导入!W1536&amp;""</f>
      </c>
      <c r="Y1536">
        <f>[1]发票导入!Y1536&amp;""</f>
      </c>
      <c r="AA1536">
        <f>[1]发票导入!AA1536&amp;""</f>
      </c>
      <c r="AB1536">
        <f>[1]发票导入!AB1536</f>
        <v>0</v>
      </c>
      <c r="AC1536">
        <f>[1]发票导入!AC1536</f>
        <v>0</v>
      </c>
      <c r="AE1536" s="22">
        <f t="shared" si="0"/>
      </c>
      <c r="AI1536">
        <f>[1]发票导入!AI1536&amp;""</f>
      </c>
      <c r="AJ1536">
        <f>[1]发票导入!AJ1536&amp;""</f>
      </c>
      <c r="AK1536">
        <f>[1]发票导入!AK1536</f>
        <v>0</v>
      </c>
      <c r="AL1536">
        <f>[1]发票导入!AL1536</f>
        <v>0</v>
      </c>
      <c r="AM1536">
        <f>[1]发票导入!AM1536</f>
        <v>0</v>
      </c>
      <c r="AN1536" s="22">
        <f t="shared" si="1"/>
        <v>0</v>
      </c>
      <c r="AO1536" s="22">
        <f t="shared" si="2"/>
        <v>0</v>
      </c>
    </row>
    <row r="1537">
      <c r="C1537">
        <f>[1]发票导入!C1537&amp;""</f>
      </c>
      <c r="D1537">
        <f>[1]发票导入!D1537&amp;""</f>
      </c>
      <c r="O1537">
        <f>[1]发票导入!O1537&amp;""</f>
      </c>
      <c r="T1537">
        <f>[1]发票导入!T1537</f>
      </c>
      <c r="U1537">
        <f>[1]发票导入!U1537&amp;""</f>
      </c>
      <c r="V1537">
        <f>[1]发票导入!V1537&amp;""</f>
      </c>
      <c r="W1537">
        <f>[1]发票导入!W1537&amp;""</f>
      </c>
      <c r="Y1537">
        <f>[1]发票导入!Y1537&amp;""</f>
      </c>
      <c r="AA1537">
        <f>[1]发票导入!AA1537&amp;""</f>
      </c>
      <c r="AB1537">
        <f>[1]发票导入!AB1537</f>
        <v>0</v>
      </c>
      <c r="AC1537">
        <f>[1]发票导入!AC1537</f>
        <v>0</v>
      </c>
      <c r="AE1537" s="22">
        <f t="shared" si="0"/>
      </c>
      <c r="AI1537">
        <f>[1]发票导入!AI1537&amp;""</f>
      </c>
      <c r="AJ1537">
        <f>[1]发票导入!AJ1537&amp;""</f>
      </c>
      <c r="AK1537">
        <f>[1]发票导入!AK1537</f>
        <v>0</v>
      </c>
      <c r="AL1537">
        <f>[1]发票导入!AL1537</f>
        <v>0</v>
      </c>
      <c r="AM1537">
        <f>[1]发票导入!AM1537</f>
        <v>0</v>
      </c>
      <c r="AN1537" s="22">
        <f t="shared" si="1"/>
        <v>0</v>
      </c>
      <c r="AO1537" s="22">
        <f t="shared" si="2"/>
        <v>0</v>
      </c>
    </row>
    <row r="1538">
      <c r="C1538">
        <f>[1]发票导入!C1538&amp;""</f>
      </c>
      <c r="D1538">
        <f>[1]发票导入!D1538&amp;""</f>
      </c>
      <c r="O1538">
        <f>[1]发票导入!O1538&amp;""</f>
      </c>
      <c r="T1538">
        <f>[1]发票导入!T1538</f>
      </c>
      <c r="U1538">
        <f>[1]发票导入!U1538&amp;""</f>
      </c>
      <c r="V1538">
        <f>[1]发票导入!V1538&amp;""</f>
      </c>
      <c r="W1538">
        <f>[1]发票导入!W1538&amp;""</f>
      </c>
      <c r="Y1538">
        <f>[1]发票导入!Y1538&amp;""</f>
      </c>
      <c r="AA1538">
        <f>[1]发票导入!AA1538&amp;""</f>
      </c>
      <c r="AB1538">
        <f>[1]发票导入!AB1538</f>
        <v>0</v>
      </c>
      <c r="AC1538">
        <f>[1]发票导入!AC1538</f>
        <v>0</v>
      </c>
      <c r="AE1538" s="22">
        <f t="shared" si="0"/>
      </c>
      <c r="AI1538">
        <f>[1]发票导入!AI1538&amp;""</f>
      </c>
      <c r="AJ1538">
        <f>[1]发票导入!AJ1538&amp;""</f>
      </c>
      <c r="AK1538">
        <f>[1]发票导入!AK1538</f>
        <v>0</v>
      </c>
      <c r="AL1538">
        <f>[1]发票导入!AL1538</f>
        <v>0</v>
      </c>
      <c r="AM1538">
        <f>[1]发票导入!AM1538</f>
        <v>0</v>
      </c>
      <c r="AN1538" s="22">
        <f t="shared" si="1"/>
        <v>0</v>
      </c>
      <c r="AO1538" s="22">
        <f t="shared" si="2"/>
        <v>0</v>
      </c>
    </row>
    <row r="1539">
      <c r="C1539">
        <f>[1]发票导入!C1539&amp;""</f>
      </c>
      <c r="D1539">
        <f>[1]发票导入!D1539&amp;""</f>
      </c>
      <c r="O1539">
        <f>[1]发票导入!O1539&amp;""</f>
      </c>
      <c r="T1539">
        <f>[1]发票导入!T1539</f>
      </c>
      <c r="U1539">
        <f>[1]发票导入!U1539&amp;""</f>
      </c>
      <c r="V1539">
        <f>[1]发票导入!V1539&amp;""</f>
      </c>
      <c r="W1539">
        <f>[1]发票导入!W1539&amp;""</f>
      </c>
      <c r="Y1539">
        <f>[1]发票导入!Y1539&amp;""</f>
      </c>
      <c r="AA1539">
        <f>[1]发票导入!AA1539&amp;""</f>
      </c>
      <c r="AB1539">
        <f>[1]发票导入!AB1539</f>
        <v>0</v>
      </c>
      <c r="AC1539">
        <f>[1]发票导入!AC1539</f>
        <v>0</v>
      </c>
      <c r="AE1539" s="22">
        <f t="shared" si="0"/>
      </c>
      <c r="AI1539">
        <f>[1]发票导入!AI1539&amp;""</f>
      </c>
      <c r="AJ1539">
        <f>[1]发票导入!AJ1539&amp;""</f>
      </c>
      <c r="AK1539">
        <f>[1]发票导入!AK1539</f>
        <v>0</v>
      </c>
      <c r="AL1539">
        <f>[1]发票导入!AL1539</f>
        <v>0</v>
      </c>
      <c r="AM1539">
        <f>[1]发票导入!AM1539</f>
        <v>0</v>
      </c>
      <c r="AN1539" s="22">
        <f t="shared" si="1"/>
        <v>0</v>
      </c>
      <c r="AO1539" s="22">
        <f t="shared" si="2"/>
        <v>0</v>
      </c>
    </row>
    <row r="1540">
      <c r="C1540">
        <f>[1]发票导入!C1540&amp;""</f>
      </c>
      <c r="D1540">
        <f>[1]发票导入!D1540&amp;""</f>
      </c>
      <c r="O1540">
        <f>[1]发票导入!O1540&amp;""</f>
      </c>
      <c r="T1540">
        <f>[1]发票导入!T1540</f>
      </c>
      <c r="U1540">
        <f>[1]发票导入!U1540&amp;""</f>
      </c>
      <c r="V1540">
        <f>[1]发票导入!V1540&amp;""</f>
      </c>
      <c r="W1540">
        <f>[1]发票导入!W1540&amp;""</f>
      </c>
      <c r="Y1540">
        <f>[1]发票导入!Y1540&amp;""</f>
      </c>
      <c r="AA1540">
        <f>[1]发票导入!AA1540&amp;""</f>
      </c>
      <c r="AB1540">
        <f>[1]发票导入!AB1540</f>
        <v>0</v>
      </c>
      <c r="AC1540">
        <f>[1]发票导入!AC1540</f>
        <v>0</v>
      </c>
      <c r="AE1540" s="22">
        <f t="shared" si="0"/>
      </c>
      <c r="AI1540">
        <f>[1]发票导入!AI1540&amp;""</f>
      </c>
      <c r="AJ1540">
        <f>[1]发票导入!AJ1540&amp;""</f>
      </c>
      <c r="AK1540">
        <f>[1]发票导入!AK1540</f>
        <v>0</v>
      </c>
      <c r="AL1540">
        <f>[1]发票导入!AL1540</f>
        <v>0</v>
      </c>
      <c r="AM1540">
        <f>[1]发票导入!AM1540</f>
        <v>0</v>
      </c>
      <c r="AN1540" s="22">
        <f t="shared" si="1"/>
        <v>0</v>
      </c>
      <c r="AO1540" s="22">
        <f t="shared" si="2"/>
        <v>0</v>
      </c>
    </row>
    <row r="1541">
      <c r="C1541">
        <f>[1]发票导入!C1541&amp;""</f>
      </c>
      <c r="D1541">
        <f>[1]发票导入!D1541&amp;""</f>
      </c>
      <c r="O1541">
        <f>[1]发票导入!O1541&amp;""</f>
      </c>
      <c r="T1541">
        <f>[1]发票导入!T1541</f>
      </c>
      <c r="U1541">
        <f>[1]发票导入!U1541&amp;""</f>
      </c>
      <c r="V1541">
        <f>[1]发票导入!V1541&amp;""</f>
      </c>
      <c r="W1541">
        <f>[1]发票导入!W1541&amp;""</f>
      </c>
      <c r="Y1541">
        <f>[1]发票导入!Y1541&amp;""</f>
      </c>
      <c r="AA1541">
        <f>[1]发票导入!AA1541&amp;""</f>
      </c>
      <c r="AB1541">
        <f>[1]发票导入!AB1541</f>
        <v>0</v>
      </c>
      <c r="AC1541">
        <f>[1]发票导入!AC1541</f>
        <v>0</v>
      </c>
      <c r="AE1541" s="22">
        <f t="shared" si="0"/>
      </c>
      <c r="AI1541">
        <f>[1]发票导入!AI1541&amp;""</f>
      </c>
      <c r="AJ1541">
        <f>[1]发票导入!AJ1541&amp;""</f>
      </c>
      <c r="AK1541">
        <f>[1]发票导入!AK1541</f>
        <v>0</v>
      </c>
      <c r="AL1541">
        <f>[1]发票导入!AL1541</f>
        <v>0</v>
      </c>
      <c r="AM1541">
        <f>[1]发票导入!AM1541</f>
        <v>0</v>
      </c>
      <c r="AN1541" s="22">
        <f t="shared" si="1"/>
        <v>0</v>
      </c>
      <c r="AO1541" s="22">
        <f t="shared" si="2"/>
        <v>0</v>
      </c>
    </row>
    <row r="1542">
      <c r="C1542">
        <f>[1]发票导入!C1542&amp;""</f>
      </c>
      <c r="D1542">
        <f>[1]发票导入!D1542&amp;""</f>
      </c>
      <c r="O1542">
        <f>[1]发票导入!O1542&amp;""</f>
      </c>
      <c r="T1542">
        <f>[1]发票导入!T1542</f>
      </c>
      <c r="U1542">
        <f>[1]发票导入!U1542&amp;""</f>
      </c>
      <c r="V1542">
        <f>[1]发票导入!V1542&amp;""</f>
      </c>
      <c r="W1542">
        <f>[1]发票导入!W1542&amp;""</f>
      </c>
      <c r="Y1542">
        <f>[1]发票导入!Y1542&amp;""</f>
      </c>
      <c r="AA1542">
        <f>[1]发票导入!AA1542&amp;""</f>
      </c>
      <c r="AB1542">
        <f>[1]发票导入!AB1542</f>
        <v>0</v>
      </c>
      <c r="AC1542">
        <f>[1]发票导入!AC1542</f>
        <v>0</v>
      </c>
      <c r="AE1542" s="22">
        <f t="shared" si="0"/>
      </c>
      <c r="AI1542">
        <f>[1]发票导入!AI1542&amp;""</f>
      </c>
      <c r="AJ1542">
        <f>[1]发票导入!AJ1542&amp;""</f>
      </c>
      <c r="AK1542">
        <f>[1]发票导入!AK1542</f>
        <v>0</v>
      </c>
      <c r="AL1542">
        <f>[1]发票导入!AL1542</f>
        <v>0</v>
      </c>
      <c r="AM1542">
        <f>[1]发票导入!AM1542</f>
        <v>0</v>
      </c>
      <c r="AN1542" s="22">
        <f t="shared" si="1"/>
        <v>0</v>
      </c>
      <c r="AO1542" s="22">
        <f t="shared" si="2"/>
        <v>0</v>
      </c>
    </row>
    <row r="1543">
      <c r="C1543">
        <f>[1]发票导入!C1543&amp;""</f>
      </c>
      <c r="D1543">
        <f>[1]发票导入!D1543&amp;""</f>
      </c>
      <c r="O1543">
        <f>[1]发票导入!O1543&amp;""</f>
      </c>
      <c r="T1543">
        <f>[1]发票导入!T1543</f>
      </c>
      <c r="U1543">
        <f>[1]发票导入!U1543&amp;""</f>
      </c>
      <c r="V1543">
        <f>[1]发票导入!V1543&amp;""</f>
      </c>
      <c r="W1543">
        <f>[1]发票导入!W1543&amp;""</f>
      </c>
      <c r="Y1543">
        <f>[1]发票导入!Y1543&amp;""</f>
      </c>
      <c r="AA1543">
        <f>[1]发票导入!AA1543&amp;""</f>
      </c>
      <c r="AB1543">
        <f>[1]发票导入!AB1543</f>
        <v>0</v>
      </c>
      <c r="AC1543">
        <f>[1]发票导入!AC1543</f>
        <v>0</v>
      </c>
      <c r="AE1543" s="22">
        <f t="shared" si="0"/>
      </c>
      <c r="AI1543">
        <f>[1]发票导入!AI1543&amp;""</f>
      </c>
      <c r="AJ1543">
        <f>[1]发票导入!AJ1543&amp;""</f>
      </c>
      <c r="AK1543">
        <f>[1]发票导入!AK1543</f>
        <v>0</v>
      </c>
      <c r="AL1543">
        <f>[1]发票导入!AL1543</f>
        <v>0</v>
      </c>
      <c r="AM1543">
        <f>[1]发票导入!AM1543</f>
        <v>0</v>
      </c>
      <c r="AN1543" s="22">
        <f t="shared" si="1"/>
        <v>0</v>
      </c>
      <c r="AO1543" s="22">
        <f t="shared" si="2"/>
        <v>0</v>
      </c>
    </row>
    <row r="1544">
      <c r="C1544">
        <f>[1]发票导入!C1544&amp;""</f>
      </c>
      <c r="D1544">
        <f>[1]发票导入!D1544&amp;""</f>
      </c>
      <c r="O1544">
        <f>[1]发票导入!O1544&amp;""</f>
      </c>
      <c r="T1544">
        <f>[1]发票导入!T1544</f>
      </c>
      <c r="U1544">
        <f>[1]发票导入!U1544&amp;""</f>
      </c>
      <c r="V1544">
        <f>[1]发票导入!V1544&amp;""</f>
      </c>
      <c r="W1544">
        <f>[1]发票导入!W1544&amp;""</f>
      </c>
      <c r="Y1544">
        <f>[1]发票导入!Y1544&amp;""</f>
      </c>
      <c r="AA1544">
        <f>[1]发票导入!AA1544&amp;""</f>
      </c>
      <c r="AB1544">
        <f>[1]发票导入!AB1544</f>
        <v>0</v>
      </c>
      <c r="AC1544">
        <f>[1]发票导入!AC1544</f>
        <v>0</v>
      </c>
      <c r="AE1544" s="22">
        <f t="shared" si="0"/>
      </c>
      <c r="AI1544">
        <f>[1]发票导入!AI1544&amp;""</f>
      </c>
      <c r="AJ1544">
        <f>[1]发票导入!AJ1544&amp;""</f>
      </c>
      <c r="AK1544">
        <f>[1]发票导入!AK1544</f>
        <v>0</v>
      </c>
      <c r="AL1544">
        <f>[1]发票导入!AL1544</f>
        <v>0</v>
      </c>
      <c r="AM1544">
        <f>[1]发票导入!AM1544</f>
        <v>0</v>
      </c>
      <c r="AN1544" s="22">
        <f t="shared" si="1"/>
        <v>0</v>
      </c>
      <c r="AO1544" s="22">
        <f t="shared" si="2"/>
        <v>0</v>
      </c>
    </row>
    <row r="1545">
      <c r="C1545">
        <f>[1]发票导入!C1545&amp;""</f>
      </c>
      <c r="D1545">
        <f>[1]发票导入!D1545&amp;""</f>
      </c>
      <c r="O1545">
        <f>[1]发票导入!O1545&amp;""</f>
      </c>
      <c r="T1545">
        <f>[1]发票导入!T1545</f>
      </c>
      <c r="U1545">
        <f>[1]发票导入!U1545&amp;""</f>
      </c>
      <c r="V1545">
        <f>[1]发票导入!V1545&amp;""</f>
      </c>
      <c r="W1545">
        <f>[1]发票导入!W1545&amp;""</f>
      </c>
      <c r="Y1545">
        <f>[1]发票导入!Y1545&amp;""</f>
      </c>
      <c r="AA1545">
        <f>[1]发票导入!AA1545&amp;""</f>
      </c>
      <c r="AB1545">
        <f>[1]发票导入!AB1545</f>
        <v>0</v>
      </c>
      <c r="AC1545">
        <f>[1]发票导入!AC1545</f>
        <v>0</v>
      </c>
      <c r="AE1545" s="22">
        <f t="shared" si="0"/>
      </c>
      <c r="AI1545">
        <f>[1]发票导入!AI1545&amp;""</f>
      </c>
      <c r="AJ1545">
        <f>[1]发票导入!AJ1545&amp;""</f>
      </c>
      <c r="AK1545">
        <f>[1]发票导入!AK1545</f>
        <v>0</v>
      </c>
      <c r="AL1545">
        <f>[1]发票导入!AL1545</f>
        <v>0</v>
      </c>
      <c r="AM1545">
        <f>[1]发票导入!AM1545</f>
        <v>0</v>
      </c>
      <c r="AN1545" s="22">
        <f t="shared" si="1"/>
        <v>0</v>
      </c>
      <c r="AO1545" s="22">
        <f t="shared" si="2"/>
        <v>0</v>
      </c>
    </row>
    <row r="1546">
      <c r="C1546">
        <f>[1]发票导入!C1546&amp;""</f>
      </c>
      <c r="D1546">
        <f>[1]发票导入!D1546&amp;""</f>
      </c>
      <c r="O1546">
        <f>[1]发票导入!O1546&amp;""</f>
      </c>
      <c r="T1546">
        <f>[1]发票导入!T1546</f>
      </c>
      <c r="U1546">
        <f>[1]发票导入!U1546&amp;""</f>
      </c>
      <c r="V1546">
        <f>[1]发票导入!V1546&amp;""</f>
      </c>
      <c r="W1546">
        <f>[1]发票导入!W1546&amp;""</f>
      </c>
      <c r="Y1546">
        <f>[1]发票导入!Y1546&amp;""</f>
      </c>
      <c r="AA1546">
        <f>[1]发票导入!AA1546&amp;""</f>
      </c>
      <c r="AB1546">
        <f>[1]发票导入!AB1546</f>
        <v>0</v>
      </c>
      <c r="AC1546">
        <f>[1]发票导入!AC1546</f>
        <v>0</v>
      </c>
      <c r="AE1546" s="22">
        <f t="shared" si="0"/>
      </c>
      <c r="AI1546">
        <f>[1]发票导入!AI1546&amp;""</f>
      </c>
      <c r="AJ1546">
        <f>[1]发票导入!AJ1546&amp;""</f>
      </c>
      <c r="AK1546">
        <f>[1]发票导入!AK1546</f>
        <v>0</v>
      </c>
      <c r="AL1546">
        <f>[1]发票导入!AL1546</f>
        <v>0</v>
      </c>
      <c r="AM1546">
        <f>[1]发票导入!AM1546</f>
        <v>0</v>
      </c>
      <c r="AN1546" s="22">
        <f t="shared" si="1"/>
        <v>0</v>
      </c>
      <c r="AO1546" s="22">
        <f t="shared" si="2"/>
        <v>0</v>
      </c>
    </row>
    <row r="1547">
      <c r="C1547">
        <f>[1]发票导入!C1547&amp;""</f>
      </c>
      <c r="D1547">
        <f>[1]发票导入!D1547&amp;""</f>
      </c>
      <c r="O1547">
        <f>[1]发票导入!O1547&amp;""</f>
      </c>
      <c r="T1547">
        <f>[1]发票导入!T1547</f>
      </c>
      <c r="U1547">
        <f>[1]发票导入!U1547&amp;""</f>
      </c>
      <c r="V1547">
        <f>[1]发票导入!V1547&amp;""</f>
      </c>
      <c r="W1547">
        <f>[1]发票导入!W1547&amp;""</f>
      </c>
      <c r="Y1547">
        <f>[1]发票导入!Y1547&amp;""</f>
      </c>
      <c r="AA1547">
        <f>[1]发票导入!AA1547&amp;""</f>
      </c>
      <c r="AB1547">
        <f>[1]发票导入!AB1547</f>
        <v>0</v>
      </c>
      <c r="AC1547">
        <f>[1]发票导入!AC1547</f>
        <v>0</v>
      </c>
      <c r="AE1547" s="22">
        <f t="shared" si="0"/>
      </c>
      <c r="AI1547">
        <f>[1]发票导入!AI1547&amp;""</f>
      </c>
      <c r="AJ1547">
        <f>[1]发票导入!AJ1547&amp;""</f>
      </c>
      <c r="AK1547">
        <f>[1]发票导入!AK1547</f>
        <v>0</v>
      </c>
      <c r="AL1547">
        <f>[1]发票导入!AL1547</f>
        <v>0</v>
      </c>
      <c r="AM1547">
        <f>[1]发票导入!AM1547</f>
        <v>0</v>
      </c>
      <c r="AN1547" s="22">
        <f t="shared" si="1"/>
        <v>0</v>
      </c>
      <c r="AO1547" s="22">
        <f t="shared" si="2"/>
        <v>0</v>
      </c>
    </row>
    <row r="1548">
      <c r="C1548">
        <f>[1]发票导入!C1548&amp;""</f>
      </c>
      <c r="D1548">
        <f>[1]发票导入!D1548&amp;""</f>
      </c>
      <c r="O1548">
        <f>[1]发票导入!O1548&amp;""</f>
      </c>
      <c r="T1548">
        <f>[1]发票导入!T1548</f>
      </c>
      <c r="U1548">
        <f>[1]发票导入!U1548&amp;""</f>
      </c>
      <c r="V1548">
        <f>[1]发票导入!V1548&amp;""</f>
      </c>
      <c r="W1548">
        <f>[1]发票导入!W1548&amp;""</f>
      </c>
      <c r="Y1548">
        <f>[1]发票导入!Y1548&amp;""</f>
      </c>
      <c r="AA1548">
        <f>[1]发票导入!AA1548&amp;""</f>
      </c>
      <c r="AB1548">
        <f>[1]发票导入!AB1548</f>
        <v>0</v>
      </c>
      <c r="AC1548">
        <f>[1]发票导入!AC1548</f>
        <v>0</v>
      </c>
      <c r="AE1548" s="22">
        <f t="shared" si="0"/>
      </c>
      <c r="AI1548">
        <f>[1]发票导入!AI1548&amp;""</f>
      </c>
      <c r="AJ1548">
        <f>[1]发票导入!AJ1548&amp;""</f>
      </c>
      <c r="AK1548">
        <f>[1]发票导入!AK1548</f>
        <v>0</v>
      </c>
      <c r="AL1548">
        <f>[1]发票导入!AL1548</f>
        <v>0</v>
      </c>
      <c r="AM1548">
        <f>[1]发票导入!AM1548</f>
        <v>0</v>
      </c>
      <c r="AN1548" s="22">
        <f t="shared" si="1"/>
        <v>0</v>
      </c>
      <c r="AO1548" s="22">
        <f t="shared" si="2"/>
        <v>0</v>
      </c>
    </row>
    <row r="1549">
      <c r="C1549">
        <f>[1]发票导入!C1549&amp;""</f>
      </c>
      <c r="D1549">
        <f>[1]发票导入!D1549&amp;""</f>
      </c>
      <c r="O1549">
        <f>[1]发票导入!O1549&amp;""</f>
      </c>
      <c r="T1549">
        <f>[1]发票导入!T1549</f>
      </c>
      <c r="U1549">
        <f>[1]发票导入!U1549&amp;""</f>
      </c>
      <c r="V1549">
        <f>[1]发票导入!V1549&amp;""</f>
      </c>
      <c r="W1549">
        <f>[1]发票导入!W1549&amp;""</f>
      </c>
      <c r="Y1549">
        <f>[1]发票导入!Y1549&amp;""</f>
      </c>
      <c r="AA1549">
        <f>[1]发票导入!AA1549&amp;""</f>
      </c>
      <c r="AB1549">
        <f>[1]发票导入!AB1549</f>
        <v>0</v>
      </c>
      <c r="AC1549">
        <f>[1]发票导入!AC1549</f>
        <v>0</v>
      </c>
      <c r="AE1549" s="22">
        <f t="shared" si="0"/>
      </c>
      <c r="AI1549">
        <f>[1]发票导入!AI1549&amp;""</f>
      </c>
      <c r="AJ1549">
        <f>[1]发票导入!AJ1549&amp;""</f>
      </c>
      <c r="AK1549">
        <f>[1]发票导入!AK1549</f>
        <v>0</v>
      </c>
      <c r="AL1549">
        <f>[1]发票导入!AL1549</f>
        <v>0</v>
      </c>
      <c r="AM1549">
        <f>[1]发票导入!AM1549</f>
        <v>0</v>
      </c>
      <c r="AN1549" s="22">
        <f t="shared" si="1"/>
        <v>0</v>
      </c>
      <c r="AO1549" s="22">
        <f t="shared" si="2"/>
        <v>0</v>
      </c>
    </row>
    <row r="1550">
      <c r="C1550">
        <f>[1]发票导入!C1550&amp;""</f>
      </c>
      <c r="D1550">
        <f>[1]发票导入!D1550&amp;""</f>
      </c>
      <c r="O1550">
        <f>[1]发票导入!O1550&amp;""</f>
      </c>
      <c r="T1550">
        <f>[1]发票导入!T1550</f>
      </c>
      <c r="U1550">
        <f>[1]发票导入!U1550&amp;""</f>
      </c>
      <c r="V1550">
        <f>[1]发票导入!V1550&amp;""</f>
      </c>
      <c r="W1550">
        <f>[1]发票导入!W1550&amp;""</f>
      </c>
      <c r="Y1550">
        <f>[1]发票导入!Y1550&amp;""</f>
      </c>
      <c r="AA1550">
        <f>[1]发票导入!AA1550&amp;""</f>
      </c>
      <c r="AB1550">
        <f>[1]发票导入!AB1550</f>
        <v>0</v>
      </c>
      <c r="AC1550">
        <f>[1]发票导入!AC1550</f>
        <v>0</v>
      </c>
      <c r="AE1550" s="22">
        <f t="shared" si="0"/>
      </c>
      <c r="AI1550">
        <f>[1]发票导入!AI1550&amp;""</f>
      </c>
      <c r="AJ1550">
        <f>[1]发票导入!AJ1550&amp;""</f>
      </c>
      <c r="AK1550">
        <f>[1]发票导入!AK1550</f>
        <v>0</v>
      </c>
      <c r="AL1550">
        <f>[1]发票导入!AL1550</f>
        <v>0</v>
      </c>
      <c r="AM1550">
        <f>[1]发票导入!AM1550</f>
        <v>0</v>
      </c>
      <c r="AN1550" s="22">
        <f t="shared" si="1"/>
        <v>0</v>
      </c>
      <c r="AO1550" s="22">
        <f t="shared" si="2"/>
        <v>0</v>
      </c>
    </row>
    <row r="1551">
      <c r="C1551">
        <f>[1]发票导入!C1551&amp;""</f>
      </c>
      <c r="D1551">
        <f>[1]发票导入!D1551&amp;""</f>
      </c>
      <c r="O1551">
        <f>[1]发票导入!O1551&amp;""</f>
      </c>
      <c r="T1551">
        <f>[1]发票导入!T1551</f>
      </c>
      <c r="U1551">
        <f>[1]发票导入!U1551&amp;""</f>
      </c>
      <c r="V1551">
        <f>[1]发票导入!V1551&amp;""</f>
      </c>
      <c r="W1551">
        <f>[1]发票导入!W1551&amp;""</f>
      </c>
      <c r="Y1551">
        <f>[1]发票导入!Y1551&amp;""</f>
      </c>
      <c r="AA1551">
        <f>[1]发票导入!AA1551&amp;""</f>
      </c>
      <c r="AB1551">
        <f>[1]发票导入!AB1551</f>
        <v>0</v>
      </c>
      <c r="AC1551">
        <f>[1]发票导入!AC1551</f>
        <v>0</v>
      </c>
      <c r="AE1551" s="22">
        <f t="shared" si="0"/>
      </c>
      <c r="AI1551">
        <f>[1]发票导入!AI1551&amp;""</f>
      </c>
      <c r="AJ1551">
        <f>[1]发票导入!AJ1551&amp;""</f>
      </c>
      <c r="AK1551">
        <f>[1]发票导入!AK1551</f>
        <v>0</v>
      </c>
      <c r="AL1551">
        <f>[1]发票导入!AL1551</f>
        <v>0</v>
      </c>
      <c r="AM1551">
        <f>[1]发票导入!AM1551</f>
        <v>0</v>
      </c>
      <c r="AN1551" s="22">
        <f t="shared" si="1"/>
        <v>0</v>
      </c>
      <c r="AO1551" s="22">
        <f t="shared" si="2"/>
        <v>0</v>
      </c>
    </row>
    <row r="1552">
      <c r="C1552">
        <f>[1]发票导入!C1552&amp;""</f>
      </c>
      <c r="D1552">
        <f>[1]发票导入!D1552&amp;""</f>
      </c>
      <c r="O1552">
        <f>[1]发票导入!O1552&amp;""</f>
      </c>
      <c r="T1552">
        <f>[1]发票导入!T1552</f>
      </c>
      <c r="U1552">
        <f>[1]发票导入!U1552&amp;""</f>
      </c>
      <c r="V1552">
        <f>[1]发票导入!V1552&amp;""</f>
      </c>
      <c r="W1552">
        <f>[1]发票导入!W1552&amp;""</f>
      </c>
      <c r="Y1552">
        <f>[1]发票导入!Y1552&amp;""</f>
      </c>
      <c r="AA1552">
        <f>[1]发票导入!AA1552&amp;""</f>
      </c>
      <c r="AB1552">
        <f>[1]发票导入!AB1552</f>
        <v>0</v>
      </c>
      <c r="AC1552">
        <f>[1]发票导入!AC1552</f>
        <v>0</v>
      </c>
      <c r="AE1552" s="22">
        <f t="shared" si="0"/>
      </c>
      <c r="AI1552">
        <f>[1]发票导入!AI1552&amp;""</f>
      </c>
      <c r="AJ1552">
        <f>[1]发票导入!AJ1552&amp;""</f>
      </c>
      <c r="AK1552">
        <f>[1]发票导入!AK1552</f>
        <v>0</v>
      </c>
      <c r="AL1552">
        <f>[1]发票导入!AL1552</f>
        <v>0</v>
      </c>
      <c r="AM1552">
        <f>[1]发票导入!AM1552</f>
        <v>0</v>
      </c>
      <c r="AN1552" s="22">
        <f t="shared" si="1"/>
        <v>0</v>
      </c>
      <c r="AO1552" s="22">
        <f t="shared" si="2"/>
        <v>0</v>
      </c>
    </row>
    <row r="1553">
      <c r="C1553">
        <f>[1]发票导入!C1553&amp;""</f>
      </c>
      <c r="D1553">
        <f>[1]发票导入!D1553&amp;""</f>
      </c>
      <c r="O1553">
        <f>[1]发票导入!O1553&amp;""</f>
      </c>
      <c r="T1553">
        <f>[1]发票导入!T1553</f>
      </c>
      <c r="U1553">
        <f>[1]发票导入!U1553&amp;""</f>
      </c>
      <c r="V1553">
        <f>[1]发票导入!V1553&amp;""</f>
      </c>
      <c r="W1553">
        <f>[1]发票导入!W1553&amp;""</f>
      </c>
      <c r="Y1553">
        <f>[1]发票导入!Y1553&amp;""</f>
      </c>
      <c r="AA1553">
        <f>[1]发票导入!AA1553&amp;""</f>
      </c>
      <c r="AB1553">
        <f>[1]发票导入!AB1553</f>
        <v>0</v>
      </c>
      <c r="AC1553">
        <f>[1]发票导入!AC1553</f>
        <v>0</v>
      </c>
      <c r="AE1553" s="22">
        <f t="shared" si="0"/>
      </c>
      <c r="AI1553">
        <f>[1]发票导入!AI1553&amp;""</f>
      </c>
      <c r="AJ1553">
        <f>[1]发票导入!AJ1553&amp;""</f>
      </c>
      <c r="AK1553">
        <f>[1]发票导入!AK1553</f>
        <v>0</v>
      </c>
      <c r="AL1553">
        <f>[1]发票导入!AL1553</f>
        <v>0</v>
      </c>
      <c r="AM1553">
        <f>[1]发票导入!AM1553</f>
        <v>0</v>
      </c>
      <c r="AN1553" s="22">
        <f t="shared" si="1"/>
        <v>0</v>
      </c>
      <c r="AO1553" s="22">
        <f t="shared" si="2"/>
        <v>0</v>
      </c>
    </row>
    <row r="1554">
      <c r="C1554">
        <f>[1]发票导入!C1554&amp;""</f>
      </c>
      <c r="D1554">
        <f>[1]发票导入!D1554&amp;""</f>
      </c>
      <c r="O1554">
        <f>[1]发票导入!O1554&amp;""</f>
      </c>
      <c r="T1554">
        <f>[1]发票导入!T1554</f>
      </c>
      <c r="U1554">
        <f>[1]发票导入!U1554&amp;""</f>
      </c>
      <c r="V1554">
        <f>[1]发票导入!V1554&amp;""</f>
      </c>
      <c r="W1554">
        <f>[1]发票导入!W1554&amp;""</f>
      </c>
      <c r="Y1554">
        <f>[1]发票导入!Y1554&amp;""</f>
      </c>
      <c r="AA1554">
        <f>[1]发票导入!AA1554&amp;""</f>
      </c>
      <c r="AB1554">
        <f>[1]发票导入!AB1554</f>
        <v>0</v>
      </c>
      <c r="AC1554">
        <f>[1]发票导入!AC1554</f>
        <v>0</v>
      </c>
      <c r="AE1554" s="22">
        <f t="shared" si="0"/>
      </c>
      <c r="AI1554">
        <f>[1]发票导入!AI1554&amp;""</f>
      </c>
      <c r="AJ1554">
        <f>[1]发票导入!AJ1554&amp;""</f>
      </c>
      <c r="AK1554">
        <f>[1]发票导入!AK1554</f>
        <v>0</v>
      </c>
      <c r="AL1554">
        <f>[1]发票导入!AL1554</f>
        <v>0</v>
      </c>
      <c r="AM1554">
        <f>[1]发票导入!AM1554</f>
        <v>0</v>
      </c>
      <c r="AN1554" s="22">
        <f t="shared" si="1"/>
        <v>0</v>
      </c>
      <c r="AO1554" s="22">
        <f t="shared" si="2"/>
        <v>0</v>
      </c>
    </row>
    <row r="1555">
      <c r="C1555">
        <f>[1]发票导入!C1555&amp;""</f>
      </c>
      <c r="D1555">
        <f>[1]发票导入!D1555&amp;""</f>
      </c>
      <c r="O1555">
        <f>[1]发票导入!O1555&amp;""</f>
      </c>
      <c r="T1555">
        <f>[1]发票导入!T1555</f>
      </c>
      <c r="U1555">
        <f>[1]发票导入!U1555&amp;""</f>
      </c>
      <c r="V1555">
        <f>[1]发票导入!V1555&amp;""</f>
      </c>
      <c r="W1555">
        <f>[1]发票导入!W1555&amp;""</f>
      </c>
      <c r="Y1555">
        <f>[1]发票导入!Y1555&amp;""</f>
      </c>
      <c r="AA1555">
        <f>[1]发票导入!AA1555&amp;""</f>
      </c>
      <c r="AB1555">
        <f>[1]发票导入!AB1555</f>
        <v>0</v>
      </c>
      <c r="AC1555">
        <f>[1]发票导入!AC1555</f>
        <v>0</v>
      </c>
      <c r="AE1555" s="22">
        <f t="shared" si="0"/>
      </c>
      <c r="AI1555">
        <f>[1]发票导入!AI1555&amp;""</f>
      </c>
      <c r="AJ1555">
        <f>[1]发票导入!AJ1555&amp;""</f>
      </c>
      <c r="AK1555">
        <f>[1]发票导入!AK1555</f>
        <v>0</v>
      </c>
      <c r="AL1555">
        <f>[1]发票导入!AL1555</f>
        <v>0</v>
      </c>
      <c r="AM1555">
        <f>[1]发票导入!AM1555</f>
        <v>0</v>
      </c>
      <c r="AN1555" s="22">
        <f t="shared" si="1"/>
        <v>0</v>
      </c>
      <c r="AO1555" s="22">
        <f t="shared" si="2"/>
        <v>0</v>
      </c>
    </row>
    <row r="1556">
      <c r="C1556">
        <f>[1]发票导入!C1556&amp;""</f>
      </c>
      <c r="D1556">
        <f>[1]发票导入!D1556&amp;""</f>
      </c>
      <c r="O1556">
        <f>[1]发票导入!O1556&amp;""</f>
      </c>
      <c r="T1556">
        <f>[1]发票导入!T1556</f>
      </c>
      <c r="U1556">
        <f>[1]发票导入!U1556&amp;""</f>
      </c>
      <c r="V1556">
        <f>[1]发票导入!V1556&amp;""</f>
      </c>
      <c r="W1556">
        <f>[1]发票导入!W1556&amp;""</f>
      </c>
      <c r="Y1556">
        <f>[1]发票导入!Y1556&amp;""</f>
      </c>
      <c r="AA1556">
        <f>[1]发票导入!AA1556&amp;""</f>
      </c>
      <c r="AB1556">
        <f>[1]发票导入!AB1556</f>
        <v>0</v>
      </c>
      <c r="AC1556">
        <f>[1]发票导入!AC1556</f>
        <v>0</v>
      </c>
      <c r="AE1556" s="22">
        <f t="shared" si="0"/>
      </c>
      <c r="AI1556">
        <f>[1]发票导入!AI1556&amp;""</f>
      </c>
      <c r="AJ1556">
        <f>[1]发票导入!AJ1556&amp;""</f>
      </c>
      <c r="AK1556">
        <f>[1]发票导入!AK1556</f>
        <v>0</v>
      </c>
      <c r="AL1556">
        <f>[1]发票导入!AL1556</f>
        <v>0</v>
      </c>
      <c r="AM1556">
        <f>[1]发票导入!AM1556</f>
        <v>0</v>
      </c>
      <c r="AN1556" s="22">
        <f t="shared" si="1"/>
        <v>0</v>
      </c>
      <c r="AO1556" s="22">
        <f t="shared" si="2"/>
        <v>0</v>
      </c>
    </row>
    <row r="1557">
      <c r="C1557">
        <f>[1]发票导入!C1557&amp;""</f>
      </c>
      <c r="D1557">
        <f>[1]发票导入!D1557&amp;""</f>
      </c>
      <c r="O1557">
        <f>[1]发票导入!O1557&amp;""</f>
      </c>
      <c r="T1557">
        <f>[1]发票导入!T1557</f>
      </c>
      <c r="U1557">
        <f>[1]发票导入!U1557&amp;""</f>
      </c>
      <c r="V1557">
        <f>[1]发票导入!V1557&amp;""</f>
      </c>
      <c r="W1557">
        <f>[1]发票导入!W1557&amp;""</f>
      </c>
      <c r="Y1557">
        <f>[1]发票导入!Y1557&amp;""</f>
      </c>
      <c r="AA1557">
        <f>[1]发票导入!AA1557&amp;""</f>
      </c>
      <c r="AB1557">
        <f>[1]发票导入!AB1557</f>
        <v>0</v>
      </c>
      <c r="AC1557">
        <f>[1]发票导入!AC1557</f>
        <v>0</v>
      </c>
      <c r="AE1557" s="22">
        <f t="shared" si="0"/>
      </c>
      <c r="AI1557">
        <f>[1]发票导入!AI1557&amp;""</f>
      </c>
      <c r="AJ1557">
        <f>[1]发票导入!AJ1557&amp;""</f>
      </c>
      <c r="AK1557">
        <f>[1]发票导入!AK1557</f>
        <v>0</v>
      </c>
      <c r="AL1557">
        <f>[1]发票导入!AL1557</f>
        <v>0</v>
      </c>
      <c r="AM1557">
        <f>[1]发票导入!AM1557</f>
        <v>0</v>
      </c>
      <c r="AN1557" s="22">
        <f t="shared" si="1"/>
        <v>0</v>
      </c>
      <c r="AO1557" s="22">
        <f t="shared" si="2"/>
        <v>0</v>
      </c>
    </row>
    <row r="1558">
      <c r="C1558">
        <f>[1]发票导入!C1558&amp;""</f>
      </c>
      <c r="D1558">
        <f>[1]发票导入!D1558&amp;""</f>
      </c>
      <c r="O1558">
        <f>[1]发票导入!O1558&amp;""</f>
      </c>
      <c r="T1558">
        <f>[1]发票导入!T1558</f>
      </c>
      <c r="U1558">
        <f>[1]发票导入!U1558&amp;""</f>
      </c>
      <c r="V1558">
        <f>[1]发票导入!V1558&amp;""</f>
      </c>
      <c r="W1558">
        <f>[1]发票导入!W1558&amp;""</f>
      </c>
      <c r="Y1558">
        <f>[1]发票导入!Y1558&amp;""</f>
      </c>
      <c r="AA1558">
        <f>[1]发票导入!AA1558&amp;""</f>
      </c>
      <c r="AB1558">
        <f>[1]发票导入!AB1558</f>
        <v>0</v>
      </c>
      <c r="AC1558">
        <f>[1]发票导入!AC1558</f>
        <v>0</v>
      </c>
      <c r="AE1558" s="22">
        <f t="shared" si="0"/>
      </c>
      <c r="AI1558">
        <f>[1]发票导入!AI1558&amp;""</f>
      </c>
      <c r="AJ1558">
        <f>[1]发票导入!AJ1558&amp;""</f>
      </c>
      <c r="AK1558">
        <f>[1]发票导入!AK1558</f>
        <v>0</v>
      </c>
      <c r="AL1558">
        <f>[1]发票导入!AL1558</f>
        <v>0</v>
      </c>
      <c r="AM1558">
        <f>[1]发票导入!AM1558</f>
        <v>0</v>
      </c>
      <c r="AN1558" s="22">
        <f t="shared" si="1"/>
        <v>0</v>
      </c>
      <c r="AO1558" s="22">
        <f t="shared" si="2"/>
        <v>0</v>
      </c>
    </row>
    <row r="1559">
      <c r="C1559">
        <f>[1]发票导入!C1559&amp;""</f>
      </c>
      <c r="D1559">
        <f>[1]发票导入!D1559&amp;""</f>
      </c>
      <c r="O1559">
        <f>[1]发票导入!O1559&amp;""</f>
      </c>
      <c r="T1559">
        <f>[1]发票导入!T1559</f>
      </c>
      <c r="U1559">
        <f>[1]发票导入!U1559&amp;""</f>
      </c>
      <c r="V1559">
        <f>[1]发票导入!V1559&amp;""</f>
      </c>
      <c r="W1559">
        <f>[1]发票导入!W1559&amp;""</f>
      </c>
      <c r="Y1559">
        <f>[1]发票导入!Y1559&amp;""</f>
      </c>
      <c r="AA1559">
        <f>[1]发票导入!AA1559&amp;""</f>
      </c>
      <c r="AB1559">
        <f>[1]发票导入!AB1559</f>
        <v>0</v>
      </c>
      <c r="AC1559">
        <f>[1]发票导入!AC1559</f>
        <v>0</v>
      </c>
      <c r="AE1559" s="22">
        <f t="shared" si="0"/>
      </c>
      <c r="AI1559">
        <f>[1]发票导入!AI1559&amp;""</f>
      </c>
      <c r="AJ1559">
        <f>[1]发票导入!AJ1559&amp;""</f>
      </c>
      <c r="AK1559">
        <f>[1]发票导入!AK1559</f>
        <v>0</v>
      </c>
      <c r="AL1559">
        <f>[1]发票导入!AL1559</f>
        <v>0</v>
      </c>
      <c r="AM1559">
        <f>[1]发票导入!AM1559</f>
        <v>0</v>
      </c>
      <c r="AN1559" s="22">
        <f t="shared" si="1"/>
        <v>0</v>
      </c>
      <c r="AO1559" s="22">
        <f t="shared" si="2"/>
        <v>0</v>
      </c>
    </row>
    <row r="1560">
      <c r="C1560">
        <f>[1]发票导入!C1560&amp;""</f>
      </c>
      <c r="D1560">
        <f>[1]发票导入!D1560&amp;""</f>
      </c>
      <c r="O1560">
        <f>[1]发票导入!O1560&amp;""</f>
      </c>
      <c r="T1560">
        <f>[1]发票导入!T1560</f>
      </c>
      <c r="U1560">
        <f>[1]发票导入!U1560&amp;""</f>
      </c>
      <c r="V1560">
        <f>[1]发票导入!V1560&amp;""</f>
      </c>
      <c r="W1560">
        <f>[1]发票导入!W1560&amp;""</f>
      </c>
      <c r="Y1560">
        <f>[1]发票导入!Y1560&amp;""</f>
      </c>
      <c r="AA1560">
        <f>[1]发票导入!AA1560&amp;""</f>
      </c>
      <c r="AB1560">
        <f>[1]发票导入!AB1560</f>
        <v>0</v>
      </c>
      <c r="AC1560">
        <f>[1]发票导入!AC1560</f>
        <v>0</v>
      </c>
      <c r="AE1560" s="22">
        <f t="shared" si="0"/>
      </c>
      <c r="AI1560">
        <f>[1]发票导入!AI1560&amp;""</f>
      </c>
      <c r="AJ1560">
        <f>[1]发票导入!AJ1560&amp;""</f>
      </c>
      <c r="AK1560">
        <f>[1]发票导入!AK1560</f>
        <v>0</v>
      </c>
      <c r="AL1560">
        <f>[1]发票导入!AL1560</f>
        <v>0</v>
      </c>
      <c r="AM1560">
        <f>[1]发票导入!AM1560</f>
        <v>0</v>
      </c>
      <c r="AN1560" s="22">
        <f t="shared" si="1"/>
        <v>0</v>
      </c>
      <c r="AO1560" s="22">
        <f t="shared" si="2"/>
        <v>0</v>
      </c>
    </row>
    <row r="1561">
      <c r="C1561">
        <f>[1]发票导入!C1561&amp;""</f>
      </c>
      <c r="D1561">
        <f>[1]发票导入!D1561&amp;""</f>
      </c>
      <c r="O1561">
        <f>[1]发票导入!O1561&amp;""</f>
      </c>
      <c r="T1561">
        <f>[1]发票导入!T1561</f>
      </c>
      <c r="U1561">
        <f>[1]发票导入!U1561&amp;""</f>
      </c>
      <c r="V1561">
        <f>[1]发票导入!V1561&amp;""</f>
      </c>
      <c r="W1561">
        <f>[1]发票导入!W1561&amp;""</f>
      </c>
      <c r="Y1561">
        <f>[1]发票导入!Y1561&amp;""</f>
      </c>
      <c r="AA1561">
        <f>[1]发票导入!AA1561&amp;""</f>
      </c>
      <c r="AB1561">
        <f>[1]发票导入!AB1561</f>
        <v>0</v>
      </c>
      <c r="AC1561">
        <f>[1]发票导入!AC1561</f>
        <v>0</v>
      </c>
      <c r="AE1561" s="22">
        <f t="shared" si="0"/>
      </c>
      <c r="AI1561">
        <f>[1]发票导入!AI1561&amp;""</f>
      </c>
      <c r="AJ1561">
        <f>[1]发票导入!AJ1561&amp;""</f>
      </c>
      <c r="AK1561">
        <f>[1]发票导入!AK1561</f>
        <v>0</v>
      </c>
      <c r="AL1561">
        <f>[1]发票导入!AL1561</f>
        <v>0</v>
      </c>
      <c r="AM1561">
        <f>[1]发票导入!AM1561</f>
        <v>0</v>
      </c>
      <c r="AN1561" s="22">
        <f t="shared" si="1"/>
        <v>0</v>
      </c>
      <c r="AO1561" s="22">
        <f t="shared" si="2"/>
        <v>0</v>
      </c>
    </row>
    <row r="1562">
      <c r="C1562">
        <f>[1]发票导入!C1562&amp;""</f>
      </c>
      <c r="D1562">
        <f>[1]发票导入!D1562&amp;""</f>
      </c>
      <c r="O1562">
        <f>[1]发票导入!O1562&amp;""</f>
      </c>
      <c r="T1562">
        <f>[1]发票导入!T1562</f>
      </c>
      <c r="U1562">
        <f>[1]发票导入!U1562&amp;""</f>
      </c>
      <c r="V1562">
        <f>[1]发票导入!V1562&amp;""</f>
      </c>
      <c r="W1562">
        <f>[1]发票导入!W1562&amp;""</f>
      </c>
      <c r="Y1562">
        <f>[1]发票导入!Y1562&amp;""</f>
      </c>
      <c r="AA1562">
        <f>[1]发票导入!AA1562&amp;""</f>
      </c>
      <c r="AB1562">
        <f>[1]发票导入!AB1562</f>
        <v>0</v>
      </c>
      <c r="AC1562">
        <f>[1]发票导入!AC1562</f>
        <v>0</v>
      </c>
      <c r="AE1562" s="22">
        <f t="shared" si="0"/>
      </c>
      <c r="AI1562">
        <f>[1]发票导入!AI1562&amp;""</f>
      </c>
      <c r="AJ1562">
        <f>[1]发票导入!AJ1562&amp;""</f>
      </c>
      <c r="AK1562">
        <f>[1]发票导入!AK1562</f>
        <v>0</v>
      </c>
      <c r="AL1562">
        <f>[1]发票导入!AL1562</f>
        <v>0</v>
      </c>
      <c r="AM1562">
        <f>[1]发票导入!AM1562</f>
        <v>0</v>
      </c>
      <c r="AN1562" s="22">
        <f t="shared" si="1"/>
        <v>0</v>
      </c>
      <c r="AO1562" s="22">
        <f t="shared" si="2"/>
        <v>0</v>
      </c>
    </row>
    <row r="1563">
      <c r="C1563">
        <f>[1]发票导入!C1563&amp;""</f>
      </c>
      <c r="D1563">
        <f>[1]发票导入!D1563&amp;""</f>
      </c>
      <c r="O1563">
        <f>[1]发票导入!O1563&amp;""</f>
      </c>
      <c r="T1563">
        <f>[1]发票导入!T1563</f>
      </c>
      <c r="U1563">
        <f>[1]发票导入!U1563&amp;""</f>
      </c>
      <c r="V1563">
        <f>[1]发票导入!V1563&amp;""</f>
      </c>
      <c r="W1563">
        <f>[1]发票导入!W1563&amp;""</f>
      </c>
      <c r="Y1563">
        <f>[1]发票导入!Y1563&amp;""</f>
      </c>
      <c r="AA1563">
        <f>[1]发票导入!AA1563&amp;""</f>
      </c>
      <c r="AB1563">
        <f>[1]发票导入!AB1563</f>
        <v>0</v>
      </c>
      <c r="AC1563">
        <f>[1]发票导入!AC1563</f>
        <v>0</v>
      </c>
      <c r="AE1563" s="22">
        <f t="shared" si="0"/>
      </c>
      <c r="AI1563">
        <f>[1]发票导入!AI1563&amp;""</f>
      </c>
      <c r="AJ1563">
        <f>[1]发票导入!AJ1563&amp;""</f>
      </c>
      <c r="AK1563">
        <f>[1]发票导入!AK1563</f>
        <v>0</v>
      </c>
      <c r="AL1563">
        <f>[1]发票导入!AL1563</f>
        <v>0</v>
      </c>
      <c r="AM1563">
        <f>[1]发票导入!AM1563</f>
        <v>0</v>
      </c>
      <c r="AN1563" s="22">
        <f t="shared" si="1"/>
        <v>0</v>
      </c>
      <c r="AO1563" s="22">
        <f t="shared" si="2"/>
        <v>0</v>
      </c>
    </row>
    <row r="1564">
      <c r="C1564">
        <f>[1]发票导入!C1564&amp;""</f>
      </c>
      <c r="D1564">
        <f>[1]发票导入!D1564&amp;""</f>
      </c>
      <c r="O1564">
        <f>[1]发票导入!O1564&amp;""</f>
      </c>
      <c r="T1564">
        <f>[1]发票导入!T1564</f>
      </c>
      <c r="U1564">
        <f>[1]发票导入!U1564&amp;""</f>
      </c>
      <c r="V1564">
        <f>[1]发票导入!V1564&amp;""</f>
      </c>
      <c r="W1564">
        <f>[1]发票导入!W1564&amp;""</f>
      </c>
      <c r="Y1564">
        <f>[1]发票导入!Y1564&amp;""</f>
      </c>
      <c r="AA1564">
        <f>[1]发票导入!AA1564&amp;""</f>
      </c>
      <c r="AB1564">
        <f>[1]发票导入!AB1564</f>
        <v>0</v>
      </c>
      <c r="AC1564">
        <f>[1]发票导入!AC1564</f>
        <v>0</v>
      </c>
      <c r="AE1564" s="22">
        <f t="shared" si="0"/>
      </c>
      <c r="AI1564">
        <f>[1]发票导入!AI1564&amp;""</f>
      </c>
      <c r="AJ1564">
        <f>[1]发票导入!AJ1564&amp;""</f>
      </c>
      <c r="AK1564">
        <f>[1]发票导入!AK1564</f>
        <v>0</v>
      </c>
      <c r="AL1564">
        <f>[1]发票导入!AL1564</f>
        <v>0</v>
      </c>
      <c r="AM1564">
        <f>[1]发票导入!AM1564</f>
        <v>0</v>
      </c>
      <c r="AN1564" s="22">
        <f t="shared" si="1"/>
        <v>0</v>
      </c>
      <c r="AO1564" s="22">
        <f t="shared" si="2"/>
        <v>0</v>
      </c>
    </row>
    <row r="1565">
      <c r="C1565">
        <f>[1]发票导入!C1565&amp;""</f>
      </c>
      <c r="D1565">
        <f>[1]发票导入!D1565&amp;""</f>
      </c>
      <c r="O1565">
        <f>[1]发票导入!O1565&amp;""</f>
      </c>
      <c r="T1565">
        <f>[1]发票导入!T1565</f>
      </c>
      <c r="U1565">
        <f>[1]发票导入!U1565&amp;""</f>
      </c>
      <c r="V1565">
        <f>[1]发票导入!V1565&amp;""</f>
      </c>
      <c r="W1565">
        <f>[1]发票导入!W1565&amp;""</f>
      </c>
      <c r="Y1565">
        <f>[1]发票导入!Y1565&amp;""</f>
      </c>
      <c r="AA1565">
        <f>[1]发票导入!AA1565&amp;""</f>
      </c>
      <c r="AB1565">
        <f>[1]发票导入!AB1565</f>
        <v>0</v>
      </c>
      <c r="AC1565">
        <f>[1]发票导入!AC1565</f>
        <v>0</v>
      </c>
      <c r="AE1565" s="22">
        <f t="shared" si="0"/>
      </c>
      <c r="AI1565">
        <f>[1]发票导入!AI1565&amp;""</f>
      </c>
      <c r="AJ1565">
        <f>[1]发票导入!AJ1565&amp;""</f>
      </c>
      <c r="AK1565">
        <f>[1]发票导入!AK1565</f>
        <v>0</v>
      </c>
      <c r="AL1565">
        <f>[1]发票导入!AL1565</f>
        <v>0</v>
      </c>
      <c r="AM1565">
        <f>[1]发票导入!AM1565</f>
        <v>0</v>
      </c>
      <c r="AN1565" s="22">
        <f t="shared" si="1"/>
        <v>0</v>
      </c>
      <c r="AO1565" s="22">
        <f t="shared" si="2"/>
        <v>0</v>
      </c>
    </row>
    <row r="1566">
      <c r="C1566">
        <f>[1]发票导入!C1566&amp;""</f>
      </c>
      <c r="D1566">
        <f>[1]发票导入!D1566&amp;""</f>
      </c>
      <c r="O1566">
        <f>[1]发票导入!O1566&amp;""</f>
      </c>
      <c r="T1566">
        <f>[1]发票导入!T1566</f>
      </c>
      <c r="U1566">
        <f>[1]发票导入!U1566&amp;""</f>
      </c>
      <c r="V1566">
        <f>[1]发票导入!V1566&amp;""</f>
      </c>
      <c r="W1566">
        <f>[1]发票导入!W1566&amp;""</f>
      </c>
      <c r="Y1566">
        <f>[1]发票导入!Y1566&amp;""</f>
      </c>
      <c r="AA1566">
        <f>[1]发票导入!AA1566&amp;""</f>
      </c>
      <c r="AB1566">
        <f>[1]发票导入!AB1566</f>
        <v>0</v>
      </c>
      <c r="AC1566">
        <f>[1]发票导入!AC1566</f>
        <v>0</v>
      </c>
      <c r="AE1566" s="22">
        <f t="shared" si="0"/>
      </c>
      <c r="AI1566">
        <f>[1]发票导入!AI1566&amp;""</f>
      </c>
      <c r="AJ1566">
        <f>[1]发票导入!AJ1566&amp;""</f>
      </c>
      <c r="AK1566">
        <f>[1]发票导入!AK1566</f>
        <v>0</v>
      </c>
      <c r="AL1566">
        <f>[1]发票导入!AL1566</f>
        <v>0</v>
      </c>
      <c r="AM1566">
        <f>[1]发票导入!AM1566</f>
        <v>0</v>
      </c>
      <c r="AN1566" s="22">
        <f t="shared" si="1"/>
        <v>0</v>
      </c>
      <c r="AO1566" s="22">
        <f t="shared" si="2"/>
        <v>0</v>
      </c>
    </row>
    <row r="1567">
      <c r="C1567">
        <f>[1]发票导入!C1567&amp;""</f>
      </c>
      <c r="D1567">
        <f>[1]发票导入!D1567&amp;""</f>
      </c>
      <c r="O1567">
        <f>[1]发票导入!O1567&amp;""</f>
      </c>
      <c r="T1567">
        <f>[1]发票导入!T1567</f>
      </c>
      <c r="U1567">
        <f>[1]发票导入!U1567&amp;""</f>
      </c>
      <c r="V1567">
        <f>[1]发票导入!V1567&amp;""</f>
      </c>
      <c r="W1567">
        <f>[1]发票导入!W1567&amp;""</f>
      </c>
      <c r="Y1567">
        <f>[1]发票导入!Y1567&amp;""</f>
      </c>
      <c r="AA1567">
        <f>[1]发票导入!AA1567&amp;""</f>
      </c>
      <c r="AB1567">
        <f>[1]发票导入!AB1567</f>
        <v>0</v>
      </c>
      <c r="AC1567">
        <f>[1]发票导入!AC1567</f>
        <v>0</v>
      </c>
      <c r="AE1567" s="22">
        <f t="shared" si="0"/>
      </c>
      <c r="AI1567">
        <f>[1]发票导入!AI1567&amp;""</f>
      </c>
      <c r="AJ1567">
        <f>[1]发票导入!AJ1567&amp;""</f>
      </c>
      <c r="AK1567">
        <f>[1]发票导入!AK1567</f>
        <v>0</v>
      </c>
      <c r="AL1567">
        <f>[1]发票导入!AL1567</f>
        <v>0</v>
      </c>
      <c r="AM1567">
        <f>[1]发票导入!AM1567</f>
        <v>0</v>
      </c>
      <c r="AN1567" s="22">
        <f t="shared" si="1"/>
        <v>0</v>
      </c>
      <c r="AO1567" s="22">
        <f t="shared" si="2"/>
        <v>0</v>
      </c>
    </row>
    <row r="1568">
      <c r="C1568">
        <f>[1]发票导入!C1568&amp;""</f>
      </c>
      <c r="D1568">
        <f>[1]发票导入!D1568&amp;""</f>
      </c>
      <c r="O1568">
        <f>[1]发票导入!O1568&amp;""</f>
      </c>
      <c r="T1568">
        <f>[1]发票导入!T1568</f>
      </c>
      <c r="U1568">
        <f>[1]发票导入!U1568&amp;""</f>
      </c>
      <c r="V1568">
        <f>[1]发票导入!V1568&amp;""</f>
      </c>
      <c r="W1568">
        <f>[1]发票导入!W1568&amp;""</f>
      </c>
      <c r="Y1568">
        <f>[1]发票导入!Y1568&amp;""</f>
      </c>
      <c r="AA1568">
        <f>[1]发票导入!AA1568&amp;""</f>
      </c>
      <c r="AB1568">
        <f>[1]发票导入!AB1568</f>
        <v>0</v>
      </c>
      <c r="AC1568">
        <f>[1]发票导入!AC1568</f>
        <v>0</v>
      </c>
      <c r="AE1568" s="22">
        <f t="shared" si="0"/>
      </c>
      <c r="AI1568">
        <f>[1]发票导入!AI1568&amp;""</f>
      </c>
      <c r="AJ1568">
        <f>[1]发票导入!AJ1568&amp;""</f>
      </c>
      <c r="AK1568">
        <f>[1]发票导入!AK1568</f>
        <v>0</v>
      </c>
      <c r="AL1568">
        <f>[1]发票导入!AL1568</f>
        <v>0</v>
      </c>
      <c r="AM1568">
        <f>[1]发票导入!AM1568</f>
        <v>0</v>
      </c>
      <c r="AN1568" s="22">
        <f t="shared" si="1"/>
        <v>0</v>
      </c>
      <c r="AO1568" s="22">
        <f t="shared" si="2"/>
        <v>0</v>
      </c>
    </row>
    <row r="1569">
      <c r="C1569">
        <f>[1]发票导入!C1569&amp;""</f>
      </c>
      <c r="D1569">
        <f>[1]发票导入!D1569&amp;""</f>
      </c>
      <c r="O1569">
        <f>[1]发票导入!O1569&amp;""</f>
      </c>
      <c r="T1569">
        <f>[1]发票导入!T1569</f>
      </c>
      <c r="U1569">
        <f>[1]发票导入!U1569&amp;""</f>
      </c>
      <c r="V1569">
        <f>[1]发票导入!V1569&amp;""</f>
      </c>
      <c r="W1569">
        <f>[1]发票导入!W1569&amp;""</f>
      </c>
      <c r="Y1569">
        <f>[1]发票导入!Y1569&amp;""</f>
      </c>
      <c r="AA1569">
        <f>[1]发票导入!AA1569&amp;""</f>
      </c>
      <c r="AB1569">
        <f>[1]发票导入!AB1569</f>
        <v>0</v>
      </c>
      <c r="AC1569">
        <f>[1]发票导入!AC1569</f>
        <v>0</v>
      </c>
      <c r="AE1569" s="22">
        <f t="shared" si="0"/>
      </c>
      <c r="AI1569">
        <f>[1]发票导入!AI1569&amp;""</f>
      </c>
      <c r="AJ1569">
        <f>[1]发票导入!AJ1569&amp;""</f>
      </c>
      <c r="AK1569">
        <f>[1]发票导入!AK1569</f>
        <v>0</v>
      </c>
      <c r="AL1569">
        <f>[1]发票导入!AL1569</f>
        <v>0</v>
      </c>
      <c r="AM1569">
        <f>[1]发票导入!AM1569</f>
        <v>0</v>
      </c>
      <c r="AN1569" s="22">
        <f t="shared" si="1"/>
        <v>0</v>
      </c>
      <c r="AO1569" s="22">
        <f t="shared" si="2"/>
        <v>0</v>
      </c>
    </row>
    <row r="1570">
      <c r="C1570">
        <f>[1]发票导入!C1570&amp;""</f>
      </c>
      <c r="D1570">
        <f>[1]发票导入!D1570&amp;""</f>
      </c>
      <c r="O1570">
        <f>[1]发票导入!O1570&amp;""</f>
      </c>
      <c r="T1570">
        <f>[1]发票导入!T1570</f>
      </c>
      <c r="U1570">
        <f>[1]发票导入!U1570&amp;""</f>
      </c>
      <c r="V1570">
        <f>[1]发票导入!V1570&amp;""</f>
      </c>
      <c r="W1570">
        <f>[1]发票导入!W1570&amp;""</f>
      </c>
      <c r="Y1570">
        <f>[1]发票导入!Y1570&amp;""</f>
      </c>
      <c r="AA1570">
        <f>[1]发票导入!AA1570&amp;""</f>
      </c>
      <c r="AB1570">
        <f>[1]发票导入!AB1570</f>
        <v>0</v>
      </c>
      <c r="AC1570">
        <f>[1]发票导入!AC1570</f>
        <v>0</v>
      </c>
      <c r="AE1570" s="22">
        <f t="shared" si="0"/>
      </c>
      <c r="AI1570">
        <f>[1]发票导入!AI1570&amp;""</f>
      </c>
      <c r="AJ1570">
        <f>[1]发票导入!AJ1570&amp;""</f>
      </c>
      <c r="AK1570">
        <f>[1]发票导入!AK1570</f>
        <v>0</v>
      </c>
      <c r="AL1570">
        <f>[1]发票导入!AL1570</f>
        <v>0</v>
      </c>
      <c r="AM1570">
        <f>[1]发票导入!AM1570</f>
        <v>0</v>
      </c>
      <c r="AN1570" s="22">
        <f t="shared" si="1"/>
        <v>0</v>
      </c>
      <c r="AO1570" s="22">
        <f t="shared" si="2"/>
        <v>0</v>
      </c>
    </row>
    <row r="1571">
      <c r="C1571">
        <f>[1]发票导入!C1571&amp;""</f>
      </c>
      <c r="D1571">
        <f>[1]发票导入!D1571&amp;""</f>
      </c>
      <c r="O1571">
        <f>[1]发票导入!O1571&amp;""</f>
      </c>
      <c r="T1571">
        <f>[1]发票导入!T1571</f>
      </c>
      <c r="U1571">
        <f>[1]发票导入!U1571&amp;""</f>
      </c>
      <c r="V1571">
        <f>[1]发票导入!V1571&amp;""</f>
      </c>
      <c r="W1571">
        <f>[1]发票导入!W1571&amp;""</f>
      </c>
      <c r="Y1571">
        <f>[1]发票导入!Y1571&amp;""</f>
      </c>
      <c r="AA1571">
        <f>[1]发票导入!AA1571&amp;""</f>
      </c>
      <c r="AB1571">
        <f>[1]发票导入!AB1571</f>
        <v>0</v>
      </c>
      <c r="AC1571">
        <f>[1]发票导入!AC1571</f>
        <v>0</v>
      </c>
      <c r="AE1571" s="22">
        <f t="shared" si="0"/>
      </c>
      <c r="AI1571">
        <f>[1]发票导入!AI1571&amp;""</f>
      </c>
      <c r="AJ1571">
        <f>[1]发票导入!AJ1571&amp;""</f>
      </c>
      <c r="AK1571">
        <f>[1]发票导入!AK1571</f>
        <v>0</v>
      </c>
      <c r="AL1571">
        <f>[1]发票导入!AL1571</f>
        <v>0</v>
      </c>
      <c r="AM1571">
        <f>[1]发票导入!AM1571</f>
        <v>0</v>
      </c>
      <c r="AN1571" s="22">
        <f t="shared" si="1"/>
        <v>0</v>
      </c>
      <c r="AO1571" s="22">
        <f t="shared" si="2"/>
        <v>0</v>
      </c>
    </row>
    <row r="1572">
      <c r="C1572">
        <f>[1]发票导入!C1572&amp;""</f>
      </c>
      <c r="D1572">
        <f>[1]发票导入!D1572&amp;""</f>
      </c>
      <c r="O1572">
        <f>[1]发票导入!O1572&amp;""</f>
      </c>
      <c r="T1572">
        <f>[1]发票导入!T1572</f>
      </c>
      <c r="U1572">
        <f>[1]发票导入!U1572&amp;""</f>
      </c>
      <c r="V1572">
        <f>[1]发票导入!V1572&amp;""</f>
      </c>
      <c r="W1572">
        <f>[1]发票导入!W1572&amp;""</f>
      </c>
      <c r="Y1572">
        <f>[1]发票导入!Y1572&amp;""</f>
      </c>
      <c r="AA1572">
        <f>[1]发票导入!AA1572&amp;""</f>
      </c>
      <c r="AB1572">
        <f>[1]发票导入!AB1572</f>
        <v>0</v>
      </c>
      <c r="AC1572">
        <f>[1]发票导入!AC1572</f>
        <v>0</v>
      </c>
      <c r="AE1572" s="22">
        <f t="shared" si="0"/>
      </c>
      <c r="AI1572">
        <f>[1]发票导入!AI1572&amp;""</f>
      </c>
      <c r="AJ1572">
        <f>[1]发票导入!AJ1572&amp;""</f>
      </c>
      <c r="AK1572">
        <f>[1]发票导入!AK1572</f>
        <v>0</v>
      </c>
      <c r="AL1572">
        <f>[1]发票导入!AL1572</f>
        <v>0</v>
      </c>
      <c r="AM1572">
        <f>[1]发票导入!AM1572</f>
        <v>0</v>
      </c>
      <c r="AN1572" s="22">
        <f t="shared" si="1"/>
        <v>0</v>
      </c>
      <c r="AO1572" s="22">
        <f t="shared" si="2"/>
        <v>0</v>
      </c>
    </row>
    <row r="1573">
      <c r="C1573">
        <f>[1]发票导入!C1573&amp;""</f>
      </c>
      <c r="D1573">
        <f>[1]发票导入!D1573&amp;""</f>
      </c>
      <c r="O1573">
        <f>[1]发票导入!O1573&amp;""</f>
      </c>
      <c r="T1573">
        <f>[1]发票导入!T1573</f>
      </c>
      <c r="U1573">
        <f>[1]发票导入!U1573&amp;""</f>
      </c>
      <c r="V1573">
        <f>[1]发票导入!V1573&amp;""</f>
      </c>
      <c r="W1573">
        <f>[1]发票导入!W1573&amp;""</f>
      </c>
      <c r="Y1573">
        <f>[1]发票导入!Y1573&amp;""</f>
      </c>
      <c r="AA1573">
        <f>[1]发票导入!AA1573&amp;""</f>
      </c>
      <c r="AB1573">
        <f>[1]发票导入!AB1573</f>
        <v>0</v>
      </c>
      <c r="AC1573">
        <f>[1]发票导入!AC1573</f>
        <v>0</v>
      </c>
      <c r="AE1573" s="22">
        <f t="shared" si="0"/>
      </c>
      <c r="AI1573">
        <f>[1]发票导入!AI1573&amp;""</f>
      </c>
      <c r="AJ1573">
        <f>[1]发票导入!AJ1573&amp;""</f>
      </c>
      <c r="AK1573">
        <f>[1]发票导入!AK1573</f>
        <v>0</v>
      </c>
      <c r="AL1573">
        <f>[1]发票导入!AL1573</f>
        <v>0</v>
      </c>
      <c r="AM1573">
        <f>[1]发票导入!AM1573</f>
        <v>0</v>
      </c>
      <c r="AN1573" s="22">
        <f t="shared" si="1"/>
        <v>0</v>
      </c>
      <c r="AO1573" s="22">
        <f t="shared" si="2"/>
        <v>0</v>
      </c>
    </row>
    <row r="1574">
      <c r="C1574">
        <f>[1]发票导入!C1574&amp;""</f>
      </c>
      <c r="D1574">
        <f>[1]发票导入!D1574&amp;""</f>
      </c>
      <c r="O1574">
        <f>[1]发票导入!O1574&amp;""</f>
      </c>
      <c r="T1574">
        <f>[1]发票导入!T1574</f>
      </c>
      <c r="U1574">
        <f>[1]发票导入!U1574&amp;""</f>
      </c>
      <c r="V1574">
        <f>[1]发票导入!V1574&amp;""</f>
      </c>
      <c r="W1574">
        <f>[1]发票导入!W1574&amp;""</f>
      </c>
      <c r="Y1574">
        <f>[1]发票导入!Y1574&amp;""</f>
      </c>
      <c r="AA1574">
        <f>[1]发票导入!AA1574&amp;""</f>
      </c>
      <c r="AB1574">
        <f>[1]发票导入!AB1574</f>
        <v>0</v>
      </c>
      <c r="AC1574">
        <f>[1]发票导入!AC1574</f>
        <v>0</v>
      </c>
      <c r="AE1574" s="22">
        <f t="shared" si="0"/>
      </c>
      <c r="AI1574">
        <f>[1]发票导入!AI1574&amp;""</f>
      </c>
      <c r="AJ1574">
        <f>[1]发票导入!AJ1574&amp;""</f>
      </c>
      <c r="AK1574">
        <f>[1]发票导入!AK1574</f>
        <v>0</v>
      </c>
      <c r="AL1574">
        <f>[1]发票导入!AL1574</f>
        <v>0</v>
      </c>
      <c r="AM1574">
        <f>[1]发票导入!AM1574</f>
        <v>0</v>
      </c>
      <c r="AN1574" s="22">
        <f t="shared" si="1"/>
        <v>0</v>
      </c>
      <c r="AO1574" s="22">
        <f t="shared" si="2"/>
        <v>0</v>
      </c>
    </row>
    <row r="1575">
      <c r="C1575">
        <f>[1]发票导入!C1575&amp;""</f>
      </c>
      <c r="D1575">
        <f>[1]发票导入!D1575&amp;""</f>
      </c>
      <c r="O1575">
        <f>[1]发票导入!O1575&amp;""</f>
      </c>
      <c r="T1575">
        <f>[1]发票导入!T1575</f>
      </c>
      <c r="U1575">
        <f>[1]发票导入!U1575&amp;""</f>
      </c>
      <c r="V1575">
        <f>[1]发票导入!V1575&amp;""</f>
      </c>
      <c r="W1575">
        <f>[1]发票导入!W1575&amp;""</f>
      </c>
      <c r="Y1575">
        <f>[1]发票导入!Y1575&amp;""</f>
      </c>
      <c r="AA1575">
        <f>[1]发票导入!AA1575&amp;""</f>
      </c>
      <c r="AB1575">
        <f>[1]发票导入!AB1575</f>
        <v>0</v>
      </c>
      <c r="AC1575">
        <f>[1]发票导入!AC1575</f>
        <v>0</v>
      </c>
      <c r="AE1575" s="22">
        <f t="shared" si="0"/>
      </c>
      <c r="AI1575">
        <f>[1]发票导入!AI1575&amp;""</f>
      </c>
      <c r="AJ1575">
        <f>[1]发票导入!AJ1575&amp;""</f>
      </c>
      <c r="AK1575">
        <f>[1]发票导入!AK1575</f>
        <v>0</v>
      </c>
      <c r="AL1575">
        <f>[1]发票导入!AL1575</f>
        <v>0</v>
      </c>
      <c r="AM1575">
        <f>[1]发票导入!AM1575</f>
        <v>0</v>
      </c>
      <c r="AN1575" s="22">
        <f t="shared" si="1"/>
        <v>0</v>
      </c>
      <c r="AO1575" s="22">
        <f t="shared" si="2"/>
        <v>0</v>
      </c>
    </row>
    <row r="1576">
      <c r="C1576">
        <f>[1]发票导入!C1576&amp;""</f>
      </c>
      <c r="D1576">
        <f>[1]发票导入!D1576&amp;""</f>
      </c>
      <c r="O1576">
        <f>[1]发票导入!O1576&amp;""</f>
      </c>
      <c r="T1576">
        <f>[1]发票导入!T1576</f>
      </c>
      <c r="U1576">
        <f>[1]发票导入!U1576&amp;""</f>
      </c>
      <c r="V1576">
        <f>[1]发票导入!V1576&amp;""</f>
      </c>
      <c r="W1576">
        <f>[1]发票导入!W1576&amp;""</f>
      </c>
      <c r="Y1576">
        <f>[1]发票导入!Y1576&amp;""</f>
      </c>
      <c r="AA1576">
        <f>[1]发票导入!AA1576&amp;""</f>
      </c>
      <c r="AB1576">
        <f>[1]发票导入!AB1576</f>
        <v>0</v>
      </c>
      <c r="AC1576">
        <f>[1]发票导入!AC1576</f>
        <v>0</v>
      </c>
      <c r="AE1576" s="22">
        <f t="shared" si="0"/>
      </c>
      <c r="AI1576">
        <f>[1]发票导入!AI1576&amp;""</f>
      </c>
      <c r="AJ1576">
        <f>[1]发票导入!AJ1576&amp;""</f>
      </c>
      <c r="AK1576">
        <f>[1]发票导入!AK1576</f>
        <v>0</v>
      </c>
      <c r="AL1576">
        <f>[1]发票导入!AL1576</f>
        <v>0</v>
      </c>
      <c r="AM1576">
        <f>[1]发票导入!AM1576</f>
        <v>0</v>
      </c>
      <c r="AN1576" s="22">
        <f t="shared" si="1"/>
        <v>0</v>
      </c>
      <c r="AO1576" s="22">
        <f t="shared" si="2"/>
        <v>0</v>
      </c>
    </row>
    <row r="1577">
      <c r="C1577">
        <f>[1]发票导入!C1577&amp;""</f>
      </c>
      <c r="D1577">
        <f>[1]发票导入!D1577&amp;""</f>
      </c>
      <c r="O1577">
        <f>[1]发票导入!O1577&amp;""</f>
      </c>
      <c r="T1577">
        <f>[1]发票导入!T1577</f>
      </c>
      <c r="U1577">
        <f>[1]发票导入!U1577&amp;""</f>
      </c>
      <c r="V1577">
        <f>[1]发票导入!V1577&amp;""</f>
      </c>
      <c r="W1577">
        <f>[1]发票导入!W1577&amp;""</f>
      </c>
      <c r="Y1577">
        <f>[1]发票导入!Y1577&amp;""</f>
      </c>
      <c r="AA1577">
        <f>[1]发票导入!AA1577&amp;""</f>
      </c>
      <c r="AB1577">
        <f>[1]发票导入!AB1577</f>
        <v>0</v>
      </c>
      <c r="AC1577">
        <f>[1]发票导入!AC1577</f>
        <v>0</v>
      </c>
      <c r="AE1577" s="22">
        <f t="shared" si="0"/>
      </c>
      <c r="AI1577">
        <f>[1]发票导入!AI1577&amp;""</f>
      </c>
      <c r="AJ1577">
        <f>[1]发票导入!AJ1577&amp;""</f>
      </c>
      <c r="AK1577">
        <f>[1]发票导入!AK1577</f>
        <v>0</v>
      </c>
      <c r="AL1577">
        <f>[1]发票导入!AL1577</f>
        <v>0</v>
      </c>
      <c r="AM1577">
        <f>[1]发票导入!AM1577</f>
        <v>0</v>
      </c>
      <c r="AN1577" s="22">
        <f t="shared" si="1"/>
        <v>0</v>
      </c>
      <c r="AO1577" s="22">
        <f t="shared" si="2"/>
        <v>0</v>
      </c>
    </row>
    <row r="1578">
      <c r="C1578">
        <f>[1]发票导入!C1578&amp;""</f>
      </c>
      <c r="D1578">
        <f>[1]发票导入!D1578&amp;""</f>
      </c>
      <c r="O1578">
        <f>[1]发票导入!O1578&amp;""</f>
      </c>
      <c r="T1578">
        <f>[1]发票导入!T1578</f>
      </c>
      <c r="U1578">
        <f>[1]发票导入!U1578&amp;""</f>
      </c>
      <c r="V1578">
        <f>[1]发票导入!V1578&amp;""</f>
      </c>
      <c r="W1578">
        <f>[1]发票导入!W1578&amp;""</f>
      </c>
      <c r="Y1578">
        <f>[1]发票导入!Y1578&amp;""</f>
      </c>
      <c r="AA1578">
        <f>[1]发票导入!AA1578&amp;""</f>
      </c>
      <c r="AB1578">
        <f>[1]发票导入!AB1578</f>
        <v>0</v>
      </c>
      <c r="AC1578">
        <f>[1]发票导入!AC1578</f>
        <v>0</v>
      </c>
      <c r="AE1578" s="22">
        <f t="shared" si="0"/>
      </c>
      <c r="AI1578">
        <f>[1]发票导入!AI1578&amp;""</f>
      </c>
      <c r="AJ1578">
        <f>[1]发票导入!AJ1578&amp;""</f>
      </c>
      <c r="AK1578">
        <f>[1]发票导入!AK1578</f>
        <v>0</v>
      </c>
      <c r="AL1578">
        <f>[1]发票导入!AL1578</f>
        <v>0</v>
      </c>
      <c r="AM1578">
        <f>[1]发票导入!AM1578</f>
        <v>0</v>
      </c>
      <c r="AN1578" s="22">
        <f t="shared" si="1"/>
        <v>0</v>
      </c>
      <c r="AO1578" s="22">
        <f t="shared" si="2"/>
        <v>0</v>
      </c>
    </row>
    <row r="1579">
      <c r="C1579">
        <f>[1]发票导入!C1579&amp;""</f>
      </c>
      <c r="D1579">
        <f>[1]发票导入!D1579&amp;""</f>
      </c>
      <c r="O1579">
        <f>[1]发票导入!O1579&amp;""</f>
      </c>
      <c r="T1579">
        <f>[1]发票导入!T1579</f>
      </c>
      <c r="U1579">
        <f>[1]发票导入!U1579&amp;""</f>
      </c>
      <c r="V1579">
        <f>[1]发票导入!V1579&amp;""</f>
      </c>
      <c r="W1579">
        <f>[1]发票导入!W1579&amp;""</f>
      </c>
      <c r="Y1579">
        <f>[1]发票导入!Y1579&amp;""</f>
      </c>
      <c r="AA1579">
        <f>[1]发票导入!AA1579&amp;""</f>
      </c>
      <c r="AB1579">
        <f>[1]发票导入!AB1579</f>
        <v>0</v>
      </c>
      <c r="AC1579">
        <f>[1]发票导入!AC1579</f>
        <v>0</v>
      </c>
      <c r="AE1579" s="22">
        <f t="shared" si="0"/>
      </c>
      <c r="AI1579">
        <f>[1]发票导入!AI1579&amp;""</f>
      </c>
      <c r="AJ1579">
        <f>[1]发票导入!AJ1579&amp;""</f>
      </c>
      <c r="AK1579">
        <f>[1]发票导入!AK1579</f>
        <v>0</v>
      </c>
      <c r="AL1579">
        <f>[1]发票导入!AL1579</f>
        <v>0</v>
      </c>
      <c r="AM1579">
        <f>[1]发票导入!AM1579</f>
        <v>0</v>
      </c>
      <c r="AN1579" s="22">
        <f t="shared" si="1"/>
        <v>0</v>
      </c>
      <c r="AO1579" s="22">
        <f t="shared" si="2"/>
        <v>0</v>
      </c>
    </row>
    <row r="1580">
      <c r="C1580">
        <f>[1]发票导入!C1580&amp;""</f>
      </c>
      <c r="D1580">
        <f>[1]发票导入!D1580&amp;""</f>
      </c>
      <c r="O1580">
        <f>[1]发票导入!O1580&amp;""</f>
      </c>
      <c r="T1580">
        <f>[1]发票导入!T1580</f>
      </c>
      <c r="U1580">
        <f>[1]发票导入!U1580&amp;""</f>
      </c>
      <c r="V1580">
        <f>[1]发票导入!V1580&amp;""</f>
      </c>
      <c r="W1580">
        <f>[1]发票导入!W1580&amp;""</f>
      </c>
      <c r="Y1580">
        <f>[1]发票导入!Y1580&amp;""</f>
      </c>
      <c r="AA1580">
        <f>[1]发票导入!AA1580&amp;""</f>
      </c>
      <c r="AB1580">
        <f>[1]发票导入!AB1580</f>
        <v>0</v>
      </c>
      <c r="AC1580">
        <f>[1]发票导入!AC1580</f>
        <v>0</v>
      </c>
      <c r="AE1580" s="22">
        <f t="shared" si="0"/>
      </c>
      <c r="AI1580">
        <f>[1]发票导入!AI1580&amp;""</f>
      </c>
      <c r="AJ1580">
        <f>[1]发票导入!AJ1580&amp;""</f>
      </c>
      <c r="AK1580">
        <f>[1]发票导入!AK1580</f>
        <v>0</v>
      </c>
      <c r="AL1580">
        <f>[1]发票导入!AL1580</f>
        <v>0</v>
      </c>
      <c r="AM1580">
        <f>[1]发票导入!AM1580</f>
        <v>0</v>
      </c>
      <c r="AN1580" s="22">
        <f t="shared" si="1"/>
        <v>0</v>
      </c>
      <c r="AO1580" s="22">
        <f t="shared" si="2"/>
        <v>0</v>
      </c>
    </row>
    <row r="1581">
      <c r="C1581">
        <f>[1]发票导入!C1581&amp;""</f>
      </c>
      <c r="D1581">
        <f>[1]发票导入!D1581&amp;""</f>
      </c>
      <c r="O1581">
        <f>[1]发票导入!O1581&amp;""</f>
      </c>
      <c r="T1581">
        <f>[1]发票导入!T1581</f>
      </c>
      <c r="U1581">
        <f>[1]发票导入!U1581&amp;""</f>
      </c>
      <c r="V1581">
        <f>[1]发票导入!V1581&amp;""</f>
      </c>
      <c r="W1581">
        <f>[1]发票导入!W1581&amp;""</f>
      </c>
      <c r="Y1581">
        <f>[1]发票导入!Y1581&amp;""</f>
      </c>
      <c r="AA1581">
        <f>[1]发票导入!AA1581&amp;""</f>
      </c>
      <c r="AB1581">
        <f>[1]发票导入!AB1581</f>
        <v>0</v>
      </c>
      <c r="AC1581">
        <f>[1]发票导入!AC1581</f>
        <v>0</v>
      </c>
      <c r="AE1581" s="22">
        <f t="shared" si="0"/>
      </c>
      <c r="AI1581">
        <f>[1]发票导入!AI1581&amp;""</f>
      </c>
      <c r="AJ1581">
        <f>[1]发票导入!AJ1581&amp;""</f>
      </c>
      <c r="AK1581">
        <f>[1]发票导入!AK1581</f>
        <v>0</v>
      </c>
      <c r="AL1581">
        <f>[1]发票导入!AL1581</f>
        <v>0</v>
      </c>
      <c r="AM1581">
        <f>[1]发票导入!AM1581</f>
        <v>0</v>
      </c>
      <c r="AN1581" s="22">
        <f t="shared" si="1"/>
        <v>0</v>
      </c>
      <c r="AO1581" s="22">
        <f t="shared" si="2"/>
        <v>0</v>
      </c>
    </row>
    <row r="1582">
      <c r="C1582">
        <f>[1]发票导入!C1582&amp;""</f>
      </c>
      <c r="D1582">
        <f>[1]发票导入!D1582&amp;""</f>
      </c>
      <c r="O1582">
        <f>[1]发票导入!O1582&amp;""</f>
      </c>
      <c r="T1582">
        <f>[1]发票导入!T1582</f>
      </c>
      <c r="U1582">
        <f>[1]发票导入!U1582&amp;""</f>
      </c>
      <c r="V1582">
        <f>[1]发票导入!V1582&amp;""</f>
      </c>
      <c r="W1582">
        <f>[1]发票导入!W1582&amp;""</f>
      </c>
      <c r="Y1582">
        <f>[1]发票导入!Y1582&amp;""</f>
      </c>
      <c r="AA1582">
        <f>[1]发票导入!AA1582&amp;""</f>
      </c>
      <c r="AB1582">
        <f>[1]发票导入!AB1582</f>
        <v>0</v>
      </c>
      <c r="AC1582">
        <f>[1]发票导入!AC1582</f>
        <v>0</v>
      </c>
      <c r="AE1582" s="22">
        <f t="shared" si="0"/>
      </c>
      <c r="AI1582">
        <f>[1]发票导入!AI1582&amp;""</f>
      </c>
      <c r="AJ1582">
        <f>[1]发票导入!AJ1582&amp;""</f>
      </c>
      <c r="AK1582">
        <f>[1]发票导入!AK1582</f>
        <v>0</v>
      </c>
      <c r="AL1582">
        <f>[1]发票导入!AL1582</f>
        <v>0</v>
      </c>
      <c r="AM1582">
        <f>[1]发票导入!AM1582</f>
        <v>0</v>
      </c>
      <c r="AN1582" s="22">
        <f t="shared" si="1"/>
        <v>0</v>
      </c>
      <c r="AO1582" s="22">
        <f t="shared" si="2"/>
        <v>0</v>
      </c>
    </row>
    <row r="1583">
      <c r="C1583">
        <f>[1]发票导入!C1583&amp;""</f>
      </c>
      <c r="D1583">
        <f>[1]发票导入!D1583&amp;""</f>
      </c>
      <c r="O1583">
        <f>[1]发票导入!O1583&amp;""</f>
      </c>
      <c r="T1583">
        <f>[1]发票导入!T1583</f>
      </c>
      <c r="U1583">
        <f>[1]发票导入!U1583&amp;""</f>
      </c>
      <c r="V1583">
        <f>[1]发票导入!V1583&amp;""</f>
      </c>
      <c r="W1583">
        <f>[1]发票导入!W1583&amp;""</f>
      </c>
      <c r="Y1583">
        <f>[1]发票导入!Y1583&amp;""</f>
      </c>
      <c r="AA1583">
        <f>[1]发票导入!AA1583&amp;""</f>
      </c>
      <c r="AB1583">
        <f>[1]发票导入!AB1583</f>
        <v>0</v>
      </c>
      <c r="AC1583">
        <f>[1]发票导入!AC1583</f>
        <v>0</v>
      </c>
      <c r="AE1583" s="22">
        <f t="shared" si="0"/>
      </c>
      <c r="AI1583">
        <f>[1]发票导入!AI1583&amp;""</f>
      </c>
      <c r="AJ1583">
        <f>[1]发票导入!AJ1583&amp;""</f>
      </c>
      <c r="AK1583">
        <f>[1]发票导入!AK1583</f>
        <v>0</v>
      </c>
      <c r="AL1583">
        <f>[1]发票导入!AL1583</f>
        <v>0</v>
      </c>
      <c r="AM1583">
        <f>[1]发票导入!AM1583</f>
        <v>0</v>
      </c>
      <c r="AN1583" s="22">
        <f t="shared" si="1"/>
        <v>0</v>
      </c>
      <c r="AO1583" s="22">
        <f t="shared" si="2"/>
        <v>0</v>
      </c>
    </row>
    <row r="1584">
      <c r="C1584">
        <f>[1]发票导入!C1584&amp;""</f>
      </c>
      <c r="D1584">
        <f>[1]发票导入!D1584&amp;""</f>
      </c>
      <c r="O1584">
        <f>[1]发票导入!O1584&amp;""</f>
      </c>
      <c r="T1584">
        <f>[1]发票导入!T1584</f>
      </c>
      <c r="U1584">
        <f>[1]发票导入!U1584&amp;""</f>
      </c>
      <c r="V1584">
        <f>[1]发票导入!V1584&amp;""</f>
      </c>
      <c r="W1584">
        <f>[1]发票导入!W1584&amp;""</f>
      </c>
      <c r="Y1584">
        <f>[1]发票导入!Y1584&amp;""</f>
      </c>
      <c r="AA1584">
        <f>[1]发票导入!AA1584&amp;""</f>
      </c>
      <c r="AB1584">
        <f>[1]发票导入!AB1584</f>
        <v>0</v>
      </c>
      <c r="AC1584">
        <f>[1]发票导入!AC1584</f>
        <v>0</v>
      </c>
      <c r="AE1584" s="22">
        <f t="shared" si="0"/>
      </c>
      <c r="AI1584">
        <f>[1]发票导入!AI1584&amp;""</f>
      </c>
      <c r="AJ1584">
        <f>[1]发票导入!AJ1584&amp;""</f>
      </c>
      <c r="AK1584">
        <f>[1]发票导入!AK1584</f>
        <v>0</v>
      </c>
      <c r="AL1584">
        <f>[1]发票导入!AL1584</f>
        <v>0</v>
      </c>
      <c r="AM1584">
        <f>[1]发票导入!AM1584</f>
        <v>0</v>
      </c>
      <c r="AN1584" s="22">
        <f t="shared" si="1"/>
        <v>0</v>
      </c>
      <c r="AO1584" s="22">
        <f t="shared" si="2"/>
        <v>0</v>
      </c>
    </row>
    <row r="1585">
      <c r="C1585">
        <f>[1]发票导入!C1585&amp;""</f>
      </c>
      <c r="D1585">
        <f>[1]发票导入!D1585&amp;""</f>
      </c>
      <c r="O1585">
        <f>[1]发票导入!O1585&amp;""</f>
      </c>
      <c r="T1585">
        <f>[1]发票导入!T1585</f>
      </c>
      <c r="U1585">
        <f>[1]发票导入!U1585&amp;""</f>
      </c>
      <c r="V1585">
        <f>[1]发票导入!V1585&amp;""</f>
      </c>
      <c r="W1585">
        <f>[1]发票导入!W1585&amp;""</f>
      </c>
      <c r="Y1585">
        <f>[1]发票导入!Y1585&amp;""</f>
      </c>
      <c r="AA1585">
        <f>[1]发票导入!AA1585&amp;""</f>
      </c>
      <c r="AB1585">
        <f>[1]发票导入!AB1585</f>
        <v>0</v>
      </c>
      <c r="AC1585">
        <f>[1]发票导入!AC1585</f>
        <v>0</v>
      </c>
      <c r="AE1585" s="22">
        <f t="shared" si="0"/>
      </c>
      <c r="AI1585">
        <f>[1]发票导入!AI1585&amp;""</f>
      </c>
      <c r="AJ1585">
        <f>[1]发票导入!AJ1585&amp;""</f>
      </c>
      <c r="AK1585">
        <f>[1]发票导入!AK1585</f>
        <v>0</v>
      </c>
      <c r="AL1585">
        <f>[1]发票导入!AL1585</f>
        <v>0</v>
      </c>
      <c r="AM1585">
        <f>[1]发票导入!AM1585</f>
        <v>0</v>
      </c>
      <c r="AN1585" s="22">
        <f t="shared" si="1"/>
        <v>0</v>
      </c>
      <c r="AO1585" s="22">
        <f t="shared" si="2"/>
        <v>0</v>
      </c>
    </row>
    <row r="1586">
      <c r="C1586">
        <f>[1]发票导入!C1586&amp;""</f>
      </c>
      <c r="D1586">
        <f>[1]发票导入!D1586&amp;""</f>
      </c>
      <c r="O1586">
        <f>[1]发票导入!O1586&amp;""</f>
      </c>
      <c r="T1586">
        <f>[1]发票导入!T1586</f>
      </c>
      <c r="U1586">
        <f>[1]发票导入!U1586&amp;""</f>
      </c>
      <c r="V1586">
        <f>[1]发票导入!V1586&amp;""</f>
      </c>
      <c r="W1586">
        <f>[1]发票导入!W1586&amp;""</f>
      </c>
      <c r="Y1586">
        <f>[1]发票导入!Y1586&amp;""</f>
      </c>
      <c r="AA1586">
        <f>[1]发票导入!AA1586&amp;""</f>
      </c>
      <c r="AB1586">
        <f>[1]发票导入!AB1586</f>
        <v>0</v>
      </c>
      <c r="AC1586">
        <f>[1]发票导入!AC1586</f>
        <v>0</v>
      </c>
      <c r="AE1586" s="22">
        <f t="shared" si="0"/>
      </c>
      <c r="AI1586">
        <f>[1]发票导入!AI1586&amp;""</f>
      </c>
      <c r="AJ1586">
        <f>[1]发票导入!AJ1586&amp;""</f>
      </c>
      <c r="AK1586">
        <f>[1]发票导入!AK1586</f>
        <v>0</v>
      </c>
      <c r="AL1586">
        <f>[1]发票导入!AL1586</f>
        <v>0</v>
      </c>
      <c r="AM1586">
        <f>[1]发票导入!AM1586</f>
        <v>0</v>
      </c>
      <c r="AN1586" s="22">
        <f t="shared" si="1"/>
        <v>0</v>
      </c>
      <c r="AO1586" s="22">
        <f t="shared" si="2"/>
        <v>0</v>
      </c>
    </row>
    <row r="1587">
      <c r="C1587">
        <f>[1]发票导入!C1587&amp;""</f>
      </c>
      <c r="D1587">
        <f>[1]发票导入!D1587&amp;""</f>
      </c>
      <c r="O1587">
        <f>[1]发票导入!O1587&amp;""</f>
      </c>
      <c r="T1587">
        <f>[1]发票导入!T1587</f>
      </c>
      <c r="U1587">
        <f>[1]发票导入!U1587&amp;""</f>
      </c>
      <c r="V1587">
        <f>[1]发票导入!V1587&amp;""</f>
      </c>
      <c r="W1587">
        <f>[1]发票导入!W1587&amp;""</f>
      </c>
      <c r="Y1587">
        <f>[1]发票导入!Y1587&amp;""</f>
      </c>
      <c r="AA1587">
        <f>[1]发票导入!AA1587&amp;""</f>
      </c>
      <c r="AB1587">
        <f>[1]发票导入!AB1587</f>
        <v>0</v>
      </c>
      <c r="AC1587">
        <f>[1]发票导入!AC1587</f>
        <v>0</v>
      </c>
      <c r="AE1587" s="22">
        <f t="shared" si="0"/>
      </c>
      <c r="AI1587">
        <f>[1]发票导入!AI1587&amp;""</f>
      </c>
      <c r="AJ1587">
        <f>[1]发票导入!AJ1587&amp;""</f>
      </c>
      <c r="AK1587">
        <f>[1]发票导入!AK1587</f>
        <v>0</v>
      </c>
      <c r="AL1587">
        <f>[1]发票导入!AL1587</f>
        <v>0</v>
      </c>
      <c r="AM1587">
        <f>[1]发票导入!AM1587</f>
        <v>0</v>
      </c>
      <c r="AN1587" s="22">
        <f t="shared" si="1"/>
        <v>0</v>
      </c>
      <c r="AO1587" s="22">
        <f t="shared" si="2"/>
        <v>0</v>
      </c>
    </row>
    <row r="1588">
      <c r="C1588">
        <f>[1]发票导入!C1588&amp;""</f>
      </c>
      <c r="D1588">
        <f>[1]发票导入!D1588&amp;""</f>
      </c>
      <c r="O1588">
        <f>[1]发票导入!O1588&amp;""</f>
      </c>
      <c r="T1588">
        <f>[1]发票导入!T1588</f>
      </c>
      <c r="U1588">
        <f>[1]发票导入!U1588&amp;""</f>
      </c>
      <c r="V1588">
        <f>[1]发票导入!V1588&amp;""</f>
      </c>
      <c r="W1588">
        <f>[1]发票导入!W1588&amp;""</f>
      </c>
      <c r="Y1588">
        <f>[1]发票导入!Y1588&amp;""</f>
      </c>
      <c r="AA1588">
        <f>[1]发票导入!AA1588&amp;""</f>
      </c>
      <c r="AB1588">
        <f>[1]发票导入!AB1588</f>
        <v>0</v>
      </c>
      <c r="AC1588">
        <f>[1]发票导入!AC1588</f>
        <v>0</v>
      </c>
      <c r="AE1588" s="22">
        <f t="shared" si="0"/>
      </c>
      <c r="AI1588">
        <f>[1]发票导入!AI1588&amp;""</f>
      </c>
      <c r="AJ1588">
        <f>[1]发票导入!AJ1588&amp;""</f>
      </c>
      <c r="AK1588">
        <f>[1]发票导入!AK1588</f>
        <v>0</v>
      </c>
      <c r="AL1588">
        <f>[1]发票导入!AL1588</f>
        <v>0</v>
      </c>
      <c r="AM1588">
        <f>[1]发票导入!AM1588</f>
        <v>0</v>
      </c>
      <c r="AN1588" s="22">
        <f t="shared" si="1"/>
        <v>0</v>
      </c>
      <c r="AO1588" s="22">
        <f t="shared" si="2"/>
        <v>0</v>
      </c>
    </row>
    <row r="1589">
      <c r="C1589">
        <f>[1]发票导入!C1589&amp;""</f>
      </c>
      <c r="D1589">
        <f>[1]发票导入!D1589&amp;""</f>
      </c>
      <c r="O1589">
        <f>[1]发票导入!O1589&amp;""</f>
      </c>
      <c r="T1589">
        <f>[1]发票导入!T1589</f>
      </c>
      <c r="U1589">
        <f>[1]发票导入!U1589&amp;""</f>
      </c>
      <c r="V1589">
        <f>[1]发票导入!V1589&amp;""</f>
      </c>
      <c r="W1589">
        <f>[1]发票导入!W1589&amp;""</f>
      </c>
      <c r="Y1589">
        <f>[1]发票导入!Y1589&amp;""</f>
      </c>
      <c r="AA1589">
        <f>[1]发票导入!AA1589&amp;""</f>
      </c>
      <c r="AB1589">
        <f>[1]发票导入!AB1589</f>
        <v>0</v>
      </c>
      <c r="AC1589">
        <f>[1]发票导入!AC1589</f>
        <v>0</v>
      </c>
      <c r="AE1589" s="22">
        <f t="shared" si="0"/>
      </c>
      <c r="AI1589">
        <f>[1]发票导入!AI1589&amp;""</f>
      </c>
      <c r="AJ1589">
        <f>[1]发票导入!AJ1589&amp;""</f>
      </c>
      <c r="AK1589">
        <f>[1]发票导入!AK1589</f>
        <v>0</v>
      </c>
      <c r="AL1589">
        <f>[1]发票导入!AL1589</f>
        <v>0</v>
      </c>
      <c r="AM1589">
        <f>[1]发票导入!AM1589</f>
        <v>0</v>
      </c>
      <c r="AN1589" s="22">
        <f t="shared" si="1"/>
        <v>0</v>
      </c>
      <c r="AO1589" s="22">
        <f t="shared" si="2"/>
        <v>0</v>
      </c>
    </row>
    <row r="1590">
      <c r="C1590">
        <f>[1]发票导入!C1590&amp;""</f>
      </c>
      <c r="D1590">
        <f>[1]发票导入!D1590&amp;""</f>
      </c>
      <c r="O1590">
        <f>[1]发票导入!O1590&amp;""</f>
      </c>
      <c r="T1590">
        <f>[1]发票导入!T1590</f>
      </c>
      <c r="U1590">
        <f>[1]发票导入!U1590&amp;""</f>
      </c>
      <c r="V1590">
        <f>[1]发票导入!V1590&amp;""</f>
      </c>
      <c r="W1590">
        <f>[1]发票导入!W1590&amp;""</f>
      </c>
      <c r="Y1590">
        <f>[1]发票导入!Y1590&amp;""</f>
      </c>
      <c r="AA1590">
        <f>[1]发票导入!AA1590&amp;""</f>
      </c>
      <c r="AB1590">
        <f>[1]发票导入!AB1590</f>
        <v>0</v>
      </c>
      <c r="AC1590">
        <f>[1]发票导入!AC1590</f>
        <v>0</v>
      </c>
      <c r="AE1590" s="22">
        <f t="shared" si="0"/>
      </c>
      <c r="AI1590">
        <f>[1]发票导入!AI1590&amp;""</f>
      </c>
      <c r="AJ1590">
        <f>[1]发票导入!AJ1590&amp;""</f>
      </c>
      <c r="AK1590">
        <f>[1]发票导入!AK1590</f>
        <v>0</v>
      </c>
      <c r="AL1590">
        <f>[1]发票导入!AL1590</f>
        <v>0</v>
      </c>
      <c r="AM1590">
        <f>[1]发票导入!AM1590</f>
        <v>0</v>
      </c>
      <c r="AN1590" s="22">
        <f t="shared" si="1"/>
        <v>0</v>
      </c>
      <c r="AO1590" s="22">
        <f t="shared" si="2"/>
        <v>0</v>
      </c>
    </row>
    <row r="1591">
      <c r="C1591">
        <f>[1]发票导入!C1591&amp;""</f>
      </c>
      <c r="D1591">
        <f>[1]发票导入!D1591&amp;""</f>
      </c>
      <c r="O1591">
        <f>[1]发票导入!O1591&amp;""</f>
      </c>
      <c r="T1591">
        <f>[1]发票导入!T1591</f>
      </c>
      <c r="U1591">
        <f>[1]发票导入!U1591&amp;""</f>
      </c>
      <c r="V1591">
        <f>[1]发票导入!V1591&amp;""</f>
      </c>
      <c r="W1591">
        <f>[1]发票导入!W1591&amp;""</f>
      </c>
      <c r="Y1591">
        <f>[1]发票导入!Y1591&amp;""</f>
      </c>
      <c r="AA1591">
        <f>[1]发票导入!AA1591&amp;""</f>
      </c>
      <c r="AB1591">
        <f>[1]发票导入!AB1591</f>
        <v>0</v>
      </c>
      <c r="AC1591">
        <f>[1]发票导入!AC1591</f>
        <v>0</v>
      </c>
      <c r="AE1591" s="22">
        <f t="shared" si="0"/>
      </c>
      <c r="AI1591">
        <f>[1]发票导入!AI1591&amp;""</f>
      </c>
      <c r="AJ1591">
        <f>[1]发票导入!AJ1591&amp;""</f>
      </c>
      <c r="AK1591">
        <f>[1]发票导入!AK1591</f>
        <v>0</v>
      </c>
      <c r="AL1591">
        <f>[1]发票导入!AL1591</f>
        <v>0</v>
      </c>
      <c r="AM1591">
        <f>[1]发票导入!AM1591</f>
        <v>0</v>
      </c>
      <c r="AN1591" s="22">
        <f t="shared" si="1"/>
        <v>0</v>
      </c>
      <c r="AO1591" s="22">
        <f t="shared" si="2"/>
        <v>0</v>
      </c>
    </row>
    <row r="1592">
      <c r="C1592">
        <f>[1]发票导入!C1592&amp;""</f>
      </c>
      <c r="D1592">
        <f>[1]发票导入!D1592&amp;""</f>
      </c>
      <c r="O1592">
        <f>[1]发票导入!O1592&amp;""</f>
      </c>
      <c r="T1592">
        <f>[1]发票导入!T1592</f>
      </c>
      <c r="U1592">
        <f>[1]发票导入!U1592&amp;""</f>
      </c>
      <c r="V1592">
        <f>[1]发票导入!V1592&amp;""</f>
      </c>
      <c r="W1592">
        <f>[1]发票导入!W1592&amp;""</f>
      </c>
      <c r="Y1592">
        <f>[1]发票导入!Y1592&amp;""</f>
      </c>
      <c r="AA1592">
        <f>[1]发票导入!AA1592&amp;""</f>
      </c>
      <c r="AB1592">
        <f>[1]发票导入!AB1592</f>
        <v>0</v>
      </c>
      <c r="AC1592">
        <f>[1]发票导入!AC1592</f>
        <v>0</v>
      </c>
      <c r="AE1592" s="22">
        <f t="shared" si="0"/>
      </c>
      <c r="AI1592">
        <f>[1]发票导入!AI1592&amp;""</f>
      </c>
      <c r="AJ1592">
        <f>[1]发票导入!AJ1592&amp;""</f>
      </c>
      <c r="AK1592">
        <f>[1]发票导入!AK1592</f>
        <v>0</v>
      </c>
      <c r="AL1592">
        <f>[1]发票导入!AL1592</f>
        <v>0</v>
      </c>
      <c r="AM1592">
        <f>[1]发票导入!AM1592</f>
        <v>0</v>
      </c>
      <c r="AN1592" s="22">
        <f t="shared" si="1"/>
        <v>0</v>
      </c>
      <c r="AO1592" s="22">
        <f t="shared" si="2"/>
        <v>0</v>
      </c>
    </row>
    <row r="1593">
      <c r="C1593">
        <f>[1]发票导入!C1593&amp;""</f>
      </c>
      <c r="D1593">
        <f>[1]发票导入!D1593&amp;""</f>
      </c>
      <c r="O1593">
        <f>[1]发票导入!O1593&amp;""</f>
      </c>
      <c r="T1593">
        <f>[1]发票导入!T1593</f>
      </c>
      <c r="U1593">
        <f>[1]发票导入!U1593&amp;""</f>
      </c>
      <c r="V1593">
        <f>[1]发票导入!V1593&amp;""</f>
      </c>
      <c r="W1593">
        <f>[1]发票导入!W1593&amp;""</f>
      </c>
      <c r="Y1593">
        <f>[1]发票导入!Y1593&amp;""</f>
      </c>
      <c r="AA1593">
        <f>[1]发票导入!AA1593&amp;""</f>
      </c>
      <c r="AB1593">
        <f>[1]发票导入!AB1593</f>
        <v>0</v>
      </c>
      <c r="AC1593">
        <f>[1]发票导入!AC1593</f>
        <v>0</v>
      </c>
      <c r="AE1593" s="22">
        <f t="shared" si="0"/>
      </c>
      <c r="AI1593">
        <f>[1]发票导入!AI1593&amp;""</f>
      </c>
      <c r="AJ1593">
        <f>[1]发票导入!AJ1593&amp;""</f>
      </c>
      <c r="AK1593">
        <f>[1]发票导入!AK1593</f>
        <v>0</v>
      </c>
      <c r="AL1593">
        <f>[1]发票导入!AL1593</f>
        <v>0</v>
      </c>
      <c r="AM1593">
        <f>[1]发票导入!AM1593</f>
        <v>0</v>
      </c>
      <c r="AN1593" s="22">
        <f t="shared" si="1"/>
        <v>0</v>
      </c>
      <c r="AO1593" s="22">
        <f t="shared" si="2"/>
        <v>0</v>
      </c>
    </row>
    <row r="1594">
      <c r="C1594">
        <f>[1]发票导入!C1594&amp;""</f>
      </c>
      <c r="D1594">
        <f>[1]发票导入!D1594&amp;""</f>
      </c>
      <c r="O1594">
        <f>[1]发票导入!O1594&amp;""</f>
      </c>
      <c r="T1594">
        <f>[1]发票导入!T1594</f>
      </c>
      <c r="U1594">
        <f>[1]发票导入!U1594&amp;""</f>
      </c>
      <c r="V1594">
        <f>[1]发票导入!V1594&amp;""</f>
      </c>
      <c r="W1594">
        <f>[1]发票导入!W1594&amp;""</f>
      </c>
      <c r="Y1594">
        <f>[1]发票导入!Y1594&amp;""</f>
      </c>
      <c r="AA1594">
        <f>[1]发票导入!AA1594&amp;""</f>
      </c>
      <c r="AB1594">
        <f>[1]发票导入!AB1594</f>
        <v>0</v>
      </c>
      <c r="AC1594">
        <f>[1]发票导入!AC1594</f>
        <v>0</v>
      </c>
      <c r="AE1594" s="22">
        <f t="shared" si="0"/>
      </c>
      <c r="AI1594">
        <f>[1]发票导入!AI1594&amp;""</f>
      </c>
      <c r="AJ1594">
        <f>[1]发票导入!AJ1594&amp;""</f>
      </c>
      <c r="AK1594">
        <f>[1]发票导入!AK1594</f>
        <v>0</v>
      </c>
      <c r="AL1594">
        <f>[1]发票导入!AL1594</f>
        <v>0</v>
      </c>
      <c r="AM1594">
        <f>[1]发票导入!AM1594</f>
        <v>0</v>
      </c>
      <c r="AN1594" s="22">
        <f t="shared" si="1"/>
        <v>0</v>
      </c>
      <c r="AO1594" s="22">
        <f t="shared" si="2"/>
        <v>0</v>
      </c>
    </row>
    <row r="1595">
      <c r="C1595">
        <f>[1]发票导入!C1595&amp;""</f>
      </c>
      <c r="D1595">
        <f>[1]发票导入!D1595&amp;""</f>
      </c>
      <c r="O1595">
        <f>[1]发票导入!O1595&amp;""</f>
      </c>
      <c r="T1595">
        <f>[1]发票导入!T1595</f>
      </c>
      <c r="U1595">
        <f>[1]发票导入!U1595&amp;""</f>
      </c>
      <c r="V1595">
        <f>[1]发票导入!V1595&amp;""</f>
      </c>
      <c r="W1595">
        <f>[1]发票导入!W1595&amp;""</f>
      </c>
      <c r="Y1595">
        <f>[1]发票导入!Y1595&amp;""</f>
      </c>
      <c r="AA1595">
        <f>[1]发票导入!AA1595&amp;""</f>
      </c>
      <c r="AB1595">
        <f>[1]发票导入!AB1595</f>
        <v>0</v>
      </c>
      <c r="AC1595">
        <f>[1]发票导入!AC1595</f>
        <v>0</v>
      </c>
      <c r="AE1595" s="22">
        <f t="shared" si="0"/>
      </c>
      <c r="AI1595">
        <f>[1]发票导入!AI1595&amp;""</f>
      </c>
      <c r="AJ1595">
        <f>[1]发票导入!AJ1595&amp;""</f>
      </c>
      <c r="AK1595">
        <f>[1]发票导入!AK1595</f>
        <v>0</v>
      </c>
      <c r="AL1595">
        <f>[1]发票导入!AL1595</f>
        <v>0</v>
      </c>
      <c r="AM1595">
        <f>[1]发票导入!AM1595</f>
        <v>0</v>
      </c>
      <c r="AN1595" s="22">
        <f t="shared" si="1"/>
        <v>0</v>
      </c>
      <c r="AO1595" s="22">
        <f t="shared" si="2"/>
        <v>0</v>
      </c>
    </row>
    <row r="1596">
      <c r="C1596">
        <f>[1]发票导入!C1596&amp;""</f>
      </c>
      <c r="D1596">
        <f>[1]发票导入!D1596&amp;""</f>
      </c>
      <c r="O1596">
        <f>[1]发票导入!O1596&amp;""</f>
      </c>
      <c r="T1596">
        <f>[1]发票导入!T1596</f>
      </c>
      <c r="U1596">
        <f>[1]发票导入!U1596&amp;""</f>
      </c>
      <c r="V1596">
        <f>[1]发票导入!V1596&amp;""</f>
      </c>
      <c r="W1596">
        <f>[1]发票导入!W1596&amp;""</f>
      </c>
      <c r="Y1596">
        <f>[1]发票导入!Y1596&amp;""</f>
      </c>
      <c r="AA1596">
        <f>[1]发票导入!AA1596&amp;""</f>
      </c>
      <c r="AB1596">
        <f>[1]发票导入!AB1596</f>
        <v>0</v>
      </c>
      <c r="AC1596">
        <f>[1]发票导入!AC1596</f>
        <v>0</v>
      </c>
      <c r="AE1596" s="22">
        <f t="shared" si="0"/>
      </c>
      <c r="AI1596">
        <f>[1]发票导入!AI1596&amp;""</f>
      </c>
      <c r="AJ1596">
        <f>[1]发票导入!AJ1596&amp;""</f>
      </c>
      <c r="AK1596">
        <f>[1]发票导入!AK1596</f>
        <v>0</v>
      </c>
      <c r="AL1596">
        <f>[1]发票导入!AL1596</f>
        <v>0</v>
      </c>
      <c r="AM1596">
        <f>[1]发票导入!AM1596</f>
        <v>0</v>
      </c>
      <c r="AN1596" s="22">
        <f t="shared" si="1"/>
        <v>0</v>
      </c>
      <c r="AO1596" s="22">
        <f t="shared" si="2"/>
        <v>0</v>
      </c>
    </row>
    <row r="1597">
      <c r="C1597">
        <f>[1]发票导入!C1597&amp;""</f>
      </c>
      <c r="D1597">
        <f>[1]发票导入!D1597&amp;""</f>
      </c>
      <c r="O1597">
        <f>[1]发票导入!O1597&amp;""</f>
      </c>
      <c r="T1597">
        <f>[1]发票导入!T1597</f>
      </c>
      <c r="U1597">
        <f>[1]发票导入!U1597&amp;""</f>
      </c>
      <c r="V1597">
        <f>[1]发票导入!V1597&amp;""</f>
      </c>
      <c r="W1597">
        <f>[1]发票导入!W1597&amp;""</f>
      </c>
      <c r="Y1597">
        <f>[1]发票导入!Y1597&amp;""</f>
      </c>
      <c r="AA1597">
        <f>[1]发票导入!AA1597&amp;""</f>
      </c>
      <c r="AB1597">
        <f>[1]发票导入!AB1597</f>
        <v>0</v>
      </c>
      <c r="AC1597">
        <f>[1]发票导入!AC1597</f>
        <v>0</v>
      </c>
      <c r="AE1597" s="22">
        <f t="shared" si="0"/>
      </c>
      <c r="AI1597">
        <f>[1]发票导入!AI1597&amp;""</f>
      </c>
      <c r="AJ1597">
        <f>[1]发票导入!AJ1597&amp;""</f>
      </c>
      <c r="AK1597">
        <f>[1]发票导入!AK1597</f>
        <v>0</v>
      </c>
      <c r="AL1597">
        <f>[1]发票导入!AL1597</f>
        <v>0</v>
      </c>
      <c r="AM1597">
        <f>[1]发票导入!AM1597</f>
        <v>0</v>
      </c>
      <c r="AN1597" s="22">
        <f t="shared" si="1"/>
        <v>0</v>
      </c>
      <c r="AO1597" s="22">
        <f t="shared" si="2"/>
        <v>0</v>
      </c>
    </row>
    <row r="1598">
      <c r="C1598">
        <f>[1]发票导入!C1598&amp;""</f>
      </c>
      <c r="D1598">
        <f>[1]发票导入!D1598&amp;""</f>
      </c>
      <c r="O1598">
        <f>[1]发票导入!O1598&amp;""</f>
      </c>
      <c r="T1598">
        <f>[1]发票导入!T1598</f>
      </c>
      <c r="U1598">
        <f>[1]发票导入!U1598&amp;""</f>
      </c>
      <c r="V1598">
        <f>[1]发票导入!V1598&amp;""</f>
      </c>
      <c r="W1598">
        <f>[1]发票导入!W1598&amp;""</f>
      </c>
      <c r="Y1598">
        <f>[1]发票导入!Y1598&amp;""</f>
      </c>
      <c r="AA1598">
        <f>[1]发票导入!AA1598&amp;""</f>
      </c>
      <c r="AB1598">
        <f>[1]发票导入!AB1598</f>
        <v>0</v>
      </c>
      <c r="AC1598">
        <f>[1]发票导入!AC1598</f>
        <v>0</v>
      </c>
      <c r="AE1598" s="22">
        <f t="shared" si="0"/>
      </c>
      <c r="AI1598">
        <f>[1]发票导入!AI1598&amp;""</f>
      </c>
      <c r="AJ1598">
        <f>[1]发票导入!AJ1598&amp;""</f>
      </c>
      <c r="AK1598">
        <f>[1]发票导入!AK1598</f>
        <v>0</v>
      </c>
      <c r="AL1598">
        <f>[1]发票导入!AL1598</f>
        <v>0</v>
      </c>
      <c r="AM1598">
        <f>[1]发票导入!AM1598</f>
        <v>0</v>
      </c>
      <c r="AN1598" s="22">
        <f t="shared" si="1"/>
        <v>0</v>
      </c>
      <c r="AO1598" s="22">
        <f t="shared" si="2"/>
        <v>0</v>
      </c>
    </row>
    <row r="1599">
      <c r="C1599">
        <f>[1]发票导入!C1599&amp;""</f>
      </c>
      <c r="D1599">
        <f>[1]发票导入!D1599&amp;""</f>
      </c>
      <c r="O1599">
        <f>[1]发票导入!O1599&amp;""</f>
      </c>
      <c r="T1599">
        <f>[1]发票导入!T1599</f>
      </c>
      <c r="U1599">
        <f>[1]发票导入!U1599&amp;""</f>
      </c>
      <c r="V1599">
        <f>[1]发票导入!V1599&amp;""</f>
      </c>
      <c r="W1599">
        <f>[1]发票导入!W1599&amp;""</f>
      </c>
      <c r="Y1599">
        <f>[1]发票导入!Y1599&amp;""</f>
      </c>
      <c r="AA1599">
        <f>[1]发票导入!AA1599&amp;""</f>
      </c>
      <c r="AB1599">
        <f>[1]发票导入!AB1599</f>
        <v>0</v>
      </c>
      <c r="AC1599">
        <f>[1]发票导入!AC1599</f>
        <v>0</v>
      </c>
      <c r="AE1599" s="22">
        <f t="shared" si="0"/>
      </c>
      <c r="AI1599">
        <f>[1]发票导入!AI1599&amp;""</f>
      </c>
      <c r="AJ1599">
        <f>[1]发票导入!AJ1599&amp;""</f>
      </c>
      <c r="AK1599">
        <f>[1]发票导入!AK1599</f>
        <v>0</v>
      </c>
      <c r="AL1599">
        <f>[1]发票导入!AL1599</f>
        <v>0</v>
      </c>
      <c r="AM1599">
        <f>[1]发票导入!AM1599</f>
        <v>0</v>
      </c>
      <c r="AN1599" s="22">
        <f t="shared" si="1"/>
        <v>0</v>
      </c>
      <c r="AO1599" s="22">
        <f t="shared" si="2"/>
        <v>0</v>
      </c>
    </row>
    <row r="1600">
      <c r="C1600">
        <f>[1]发票导入!C1600&amp;""</f>
      </c>
      <c r="D1600">
        <f>[1]发票导入!D1600&amp;""</f>
      </c>
      <c r="O1600">
        <f>[1]发票导入!O1600&amp;""</f>
      </c>
      <c r="T1600">
        <f>[1]发票导入!T1600</f>
      </c>
      <c r="U1600">
        <f>[1]发票导入!U1600&amp;""</f>
      </c>
      <c r="V1600">
        <f>[1]发票导入!V1600&amp;""</f>
      </c>
      <c r="W1600">
        <f>[1]发票导入!W1600&amp;""</f>
      </c>
      <c r="Y1600">
        <f>[1]发票导入!Y1600&amp;""</f>
      </c>
      <c r="AA1600">
        <f>[1]发票导入!AA1600&amp;""</f>
      </c>
      <c r="AB1600">
        <f>[1]发票导入!AB1600</f>
        <v>0</v>
      </c>
      <c r="AC1600">
        <f>[1]发票导入!AC1600</f>
        <v>0</v>
      </c>
      <c r="AE1600" s="22">
        <f t="shared" si="0"/>
      </c>
      <c r="AI1600">
        <f>[1]发票导入!AI1600&amp;""</f>
      </c>
      <c r="AJ1600">
        <f>[1]发票导入!AJ1600&amp;""</f>
      </c>
      <c r="AK1600">
        <f>[1]发票导入!AK1600</f>
        <v>0</v>
      </c>
      <c r="AL1600">
        <f>[1]发票导入!AL1600</f>
        <v>0</v>
      </c>
      <c r="AM1600">
        <f>[1]发票导入!AM1600</f>
        <v>0</v>
      </c>
      <c r="AN1600" s="22">
        <f t="shared" si="1"/>
        <v>0</v>
      </c>
      <c r="AO1600" s="22">
        <f t="shared" si="2"/>
        <v>0</v>
      </c>
    </row>
    <row r="1601">
      <c r="C1601">
        <f>[1]发票导入!C1601&amp;""</f>
      </c>
      <c r="D1601">
        <f>[1]发票导入!D1601&amp;""</f>
      </c>
      <c r="O1601">
        <f>[1]发票导入!O1601&amp;""</f>
      </c>
      <c r="T1601">
        <f>[1]发票导入!T1601</f>
      </c>
      <c r="U1601">
        <f>[1]发票导入!U1601&amp;""</f>
      </c>
      <c r="V1601">
        <f>[1]发票导入!V1601&amp;""</f>
      </c>
      <c r="W1601">
        <f>[1]发票导入!W1601&amp;""</f>
      </c>
      <c r="Y1601">
        <f>[1]发票导入!Y1601&amp;""</f>
      </c>
      <c r="AA1601">
        <f>[1]发票导入!AA1601&amp;""</f>
      </c>
      <c r="AB1601">
        <f>[1]发票导入!AB1601</f>
        <v>0</v>
      </c>
      <c r="AC1601">
        <f>[1]发票导入!AC1601</f>
        <v>0</v>
      </c>
      <c r="AE1601" s="22">
        <f t="shared" si="0"/>
      </c>
      <c r="AI1601">
        <f>[1]发票导入!AI1601&amp;""</f>
      </c>
      <c r="AJ1601">
        <f>[1]发票导入!AJ1601&amp;""</f>
      </c>
      <c r="AK1601">
        <f>[1]发票导入!AK1601</f>
        <v>0</v>
      </c>
      <c r="AL1601">
        <f>[1]发票导入!AL1601</f>
        <v>0</v>
      </c>
      <c r="AM1601">
        <f>[1]发票导入!AM1601</f>
        <v>0</v>
      </c>
      <c r="AN1601" s="22">
        <f t="shared" si="1"/>
        <v>0</v>
      </c>
      <c r="AO1601" s="22">
        <f t="shared" si="2"/>
        <v>0</v>
      </c>
    </row>
    <row r="1602">
      <c r="C1602">
        <f>[1]发票导入!C1602&amp;""</f>
      </c>
      <c r="D1602">
        <f>[1]发票导入!D1602&amp;""</f>
      </c>
      <c r="O1602">
        <f>[1]发票导入!O1602&amp;""</f>
      </c>
      <c r="T1602">
        <f>[1]发票导入!T1602</f>
      </c>
      <c r="U1602">
        <f>[1]发票导入!U1602&amp;""</f>
      </c>
      <c r="V1602">
        <f>[1]发票导入!V1602&amp;""</f>
      </c>
      <c r="W1602">
        <f>[1]发票导入!W1602&amp;""</f>
      </c>
      <c r="Y1602">
        <f>[1]发票导入!Y1602&amp;""</f>
      </c>
      <c r="AA1602">
        <f>[1]发票导入!AA1602&amp;""</f>
      </c>
      <c r="AB1602">
        <f>[1]发票导入!AB1602</f>
        <v>0</v>
      </c>
      <c r="AC1602">
        <f>[1]发票导入!AC1602</f>
        <v>0</v>
      </c>
      <c r="AE1602" s="22">
        <f t="shared" si="0"/>
      </c>
      <c r="AI1602">
        <f>[1]发票导入!AI1602&amp;""</f>
      </c>
      <c r="AJ1602">
        <f>[1]发票导入!AJ1602&amp;""</f>
      </c>
      <c r="AK1602">
        <f>[1]发票导入!AK1602</f>
        <v>0</v>
      </c>
      <c r="AL1602">
        <f>[1]发票导入!AL1602</f>
        <v>0</v>
      </c>
      <c r="AM1602">
        <f>[1]发票导入!AM1602</f>
        <v>0</v>
      </c>
      <c r="AN1602" s="22">
        <f t="shared" si="1"/>
        <v>0</v>
      </c>
      <c r="AO1602" s="22">
        <f t="shared" si="2"/>
        <v>0</v>
      </c>
    </row>
    <row r="1603">
      <c r="C1603">
        <f>[1]发票导入!C1603&amp;""</f>
      </c>
      <c r="D1603">
        <f>[1]发票导入!D1603&amp;""</f>
      </c>
      <c r="O1603">
        <f>[1]发票导入!O1603&amp;""</f>
      </c>
      <c r="T1603">
        <f>[1]发票导入!T1603</f>
      </c>
      <c r="U1603">
        <f>[1]发票导入!U1603&amp;""</f>
      </c>
      <c r="V1603">
        <f>[1]发票导入!V1603&amp;""</f>
      </c>
      <c r="W1603">
        <f>[1]发票导入!W1603&amp;""</f>
      </c>
      <c r="Y1603">
        <f>[1]发票导入!Y1603&amp;""</f>
      </c>
      <c r="AA1603">
        <f>[1]发票导入!AA1603&amp;""</f>
      </c>
      <c r="AB1603">
        <f>[1]发票导入!AB1603</f>
        <v>0</v>
      </c>
      <c r="AC1603">
        <f>[1]发票导入!AC1603</f>
        <v>0</v>
      </c>
      <c r="AE1603" s="22">
        <f t="shared" si="0"/>
      </c>
      <c r="AI1603">
        <f>[1]发票导入!AI1603&amp;""</f>
      </c>
      <c r="AJ1603">
        <f>[1]发票导入!AJ1603&amp;""</f>
      </c>
      <c r="AK1603">
        <f>[1]发票导入!AK1603</f>
        <v>0</v>
      </c>
      <c r="AL1603">
        <f>[1]发票导入!AL1603</f>
        <v>0</v>
      </c>
      <c r="AM1603">
        <f>[1]发票导入!AM1603</f>
        <v>0</v>
      </c>
      <c r="AN1603" s="22">
        <f t="shared" si="1"/>
        <v>0</v>
      </c>
      <c r="AO1603" s="22">
        <f t="shared" si="2"/>
        <v>0</v>
      </c>
    </row>
    <row r="1604">
      <c r="C1604">
        <f>[1]发票导入!C1604&amp;""</f>
      </c>
      <c r="D1604">
        <f>[1]发票导入!D1604&amp;""</f>
      </c>
      <c r="O1604">
        <f>[1]发票导入!O1604&amp;""</f>
      </c>
      <c r="T1604">
        <f>[1]发票导入!T1604</f>
      </c>
      <c r="U1604">
        <f>[1]发票导入!U1604&amp;""</f>
      </c>
      <c r="V1604">
        <f>[1]发票导入!V1604&amp;""</f>
      </c>
      <c r="W1604">
        <f>[1]发票导入!W1604&amp;""</f>
      </c>
      <c r="Y1604">
        <f>[1]发票导入!Y1604&amp;""</f>
      </c>
      <c r="AA1604">
        <f>[1]发票导入!AA1604&amp;""</f>
      </c>
      <c r="AB1604">
        <f>[1]发票导入!AB1604</f>
        <v>0</v>
      </c>
      <c r="AC1604">
        <f>[1]发票导入!AC1604</f>
        <v>0</v>
      </c>
      <c r="AE1604" s="22">
        <f t="shared" si="0"/>
      </c>
      <c r="AI1604">
        <f>[1]发票导入!AI1604&amp;""</f>
      </c>
      <c r="AJ1604">
        <f>[1]发票导入!AJ1604&amp;""</f>
      </c>
      <c r="AK1604">
        <f>[1]发票导入!AK1604</f>
        <v>0</v>
      </c>
      <c r="AL1604">
        <f>[1]发票导入!AL1604</f>
        <v>0</v>
      </c>
      <c r="AM1604">
        <f>[1]发票导入!AM1604</f>
        <v>0</v>
      </c>
      <c r="AN1604" s="22">
        <f t="shared" si="1"/>
        <v>0</v>
      </c>
      <c r="AO1604" s="22">
        <f t="shared" si="2"/>
        <v>0</v>
      </c>
    </row>
    <row r="1605">
      <c r="C1605">
        <f>[1]发票导入!C1605&amp;""</f>
      </c>
      <c r="D1605">
        <f>[1]发票导入!D1605&amp;""</f>
      </c>
      <c r="O1605">
        <f>[1]发票导入!O1605&amp;""</f>
      </c>
      <c r="T1605">
        <f>[1]发票导入!T1605</f>
      </c>
      <c r="U1605">
        <f>[1]发票导入!U1605&amp;""</f>
      </c>
      <c r="V1605">
        <f>[1]发票导入!V1605&amp;""</f>
      </c>
      <c r="W1605">
        <f>[1]发票导入!W1605&amp;""</f>
      </c>
      <c r="Y1605">
        <f>[1]发票导入!Y1605&amp;""</f>
      </c>
      <c r="AA1605">
        <f>[1]发票导入!AA1605&amp;""</f>
      </c>
      <c r="AB1605">
        <f>[1]发票导入!AB1605</f>
        <v>0</v>
      </c>
      <c r="AC1605">
        <f>[1]发票导入!AC1605</f>
        <v>0</v>
      </c>
      <c r="AE1605" s="22">
        <f t="shared" si="0"/>
      </c>
      <c r="AI1605">
        <f>[1]发票导入!AI1605&amp;""</f>
      </c>
      <c r="AJ1605">
        <f>[1]发票导入!AJ1605&amp;""</f>
      </c>
      <c r="AK1605">
        <f>[1]发票导入!AK1605</f>
        <v>0</v>
      </c>
      <c r="AL1605">
        <f>[1]发票导入!AL1605</f>
        <v>0</v>
      </c>
      <c r="AM1605">
        <f>[1]发票导入!AM1605</f>
        <v>0</v>
      </c>
      <c r="AN1605" s="22">
        <f t="shared" si="1"/>
        <v>0</v>
      </c>
      <c r="AO1605" s="22">
        <f t="shared" si="2"/>
        <v>0</v>
      </c>
    </row>
    <row r="1606">
      <c r="C1606">
        <f>[1]发票导入!C1606&amp;""</f>
      </c>
      <c r="D1606">
        <f>[1]发票导入!D1606&amp;""</f>
      </c>
      <c r="O1606">
        <f>[1]发票导入!O1606&amp;""</f>
      </c>
      <c r="T1606">
        <f>[1]发票导入!T1606</f>
      </c>
      <c r="U1606">
        <f>[1]发票导入!U1606&amp;""</f>
      </c>
      <c r="V1606">
        <f>[1]发票导入!V1606&amp;""</f>
      </c>
      <c r="W1606">
        <f>[1]发票导入!W1606&amp;""</f>
      </c>
      <c r="Y1606">
        <f>[1]发票导入!Y1606&amp;""</f>
      </c>
      <c r="AA1606">
        <f>[1]发票导入!AA1606&amp;""</f>
      </c>
      <c r="AB1606">
        <f>[1]发票导入!AB1606</f>
        <v>0</v>
      </c>
      <c r="AC1606">
        <f>[1]发票导入!AC1606</f>
        <v>0</v>
      </c>
      <c r="AE1606" s="22">
        <f t="shared" si="0"/>
      </c>
      <c r="AI1606">
        <f>[1]发票导入!AI1606&amp;""</f>
      </c>
      <c r="AJ1606">
        <f>[1]发票导入!AJ1606&amp;""</f>
      </c>
      <c r="AK1606">
        <f>[1]发票导入!AK1606</f>
        <v>0</v>
      </c>
      <c r="AL1606">
        <f>[1]发票导入!AL1606</f>
        <v>0</v>
      </c>
      <c r="AM1606">
        <f>[1]发票导入!AM1606</f>
        <v>0</v>
      </c>
      <c r="AN1606" s="22">
        <f t="shared" si="1"/>
        <v>0</v>
      </c>
      <c r="AO1606" s="22">
        <f t="shared" si="2"/>
        <v>0</v>
      </c>
    </row>
    <row r="1607">
      <c r="C1607">
        <f>[1]发票导入!C1607&amp;""</f>
      </c>
      <c r="D1607">
        <f>[1]发票导入!D1607&amp;""</f>
      </c>
      <c r="O1607">
        <f>[1]发票导入!O1607&amp;""</f>
      </c>
      <c r="T1607">
        <f>[1]发票导入!T1607</f>
      </c>
      <c r="U1607">
        <f>[1]发票导入!U1607&amp;""</f>
      </c>
      <c r="V1607">
        <f>[1]发票导入!V1607&amp;""</f>
      </c>
      <c r="W1607">
        <f>[1]发票导入!W1607&amp;""</f>
      </c>
      <c r="Y1607">
        <f>[1]发票导入!Y1607&amp;""</f>
      </c>
      <c r="AA1607">
        <f>[1]发票导入!AA1607&amp;""</f>
      </c>
      <c r="AB1607">
        <f>[1]发票导入!AB1607</f>
        <v>0</v>
      </c>
      <c r="AC1607">
        <f>[1]发票导入!AC1607</f>
        <v>0</v>
      </c>
      <c r="AE1607" s="22">
        <f t="shared" si="0"/>
      </c>
      <c r="AI1607">
        <f>[1]发票导入!AI1607&amp;""</f>
      </c>
      <c r="AJ1607">
        <f>[1]发票导入!AJ1607&amp;""</f>
      </c>
      <c r="AK1607">
        <f>[1]发票导入!AK1607</f>
        <v>0</v>
      </c>
      <c r="AL1607">
        <f>[1]发票导入!AL1607</f>
        <v>0</v>
      </c>
      <c r="AM1607">
        <f>[1]发票导入!AM1607</f>
        <v>0</v>
      </c>
      <c r="AN1607" s="22">
        <f t="shared" si="1"/>
        <v>0</v>
      </c>
      <c r="AO1607" s="22">
        <f t="shared" si="2"/>
        <v>0</v>
      </c>
    </row>
    <row r="1608">
      <c r="C1608">
        <f>[1]发票导入!C1608&amp;""</f>
      </c>
      <c r="D1608">
        <f>[1]发票导入!D1608&amp;""</f>
      </c>
      <c r="O1608">
        <f>[1]发票导入!O1608&amp;""</f>
      </c>
      <c r="T1608">
        <f>[1]发票导入!T1608</f>
      </c>
      <c r="U1608">
        <f>[1]发票导入!U1608&amp;""</f>
      </c>
      <c r="V1608">
        <f>[1]发票导入!V1608&amp;""</f>
      </c>
      <c r="W1608">
        <f>[1]发票导入!W1608&amp;""</f>
      </c>
      <c r="Y1608">
        <f>[1]发票导入!Y1608&amp;""</f>
      </c>
      <c r="AA1608">
        <f>[1]发票导入!AA1608&amp;""</f>
      </c>
      <c r="AB1608">
        <f>[1]发票导入!AB1608</f>
        <v>0</v>
      </c>
      <c r="AC1608">
        <f>[1]发票导入!AC1608</f>
        <v>0</v>
      </c>
      <c r="AE1608" s="22">
        <f t="shared" si="0"/>
      </c>
      <c r="AI1608">
        <f>[1]发票导入!AI1608&amp;""</f>
      </c>
      <c r="AJ1608">
        <f>[1]发票导入!AJ1608&amp;""</f>
      </c>
      <c r="AK1608">
        <f>[1]发票导入!AK1608</f>
        <v>0</v>
      </c>
      <c r="AL1608">
        <f>[1]发票导入!AL1608</f>
        <v>0</v>
      </c>
      <c r="AM1608">
        <f>[1]发票导入!AM1608</f>
        <v>0</v>
      </c>
      <c r="AN1608" s="22">
        <f t="shared" si="1"/>
        <v>0</v>
      </c>
      <c r="AO1608" s="22">
        <f t="shared" si="2"/>
        <v>0</v>
      </c>
    </row>
    <row r="1609">
      <c r="C1609">
        <f>[1]发票导入!C1609&amp;""</f>
      </c>
      <c r="D1609">
        <f>[1]发票导入!D1609&amp;""</f>
      </c>
      <c r="O1609">
        <f>[1]发票导入!O1609&amp;""</f>
      </c>
      <c r="T1609">
        <f>[1]发票导入!T1609</f>
      </c>
      <c r="U1609">
        <f>[1]发票导入!U1609&amp;""</f>
      </c>
      <c r="V1609">
        <f>[1]发票导入!V1609&amp;""</f>
      </c>
      <c r="W1609">
        <f>[1]发票导入!W1609&amp;""</f>
      </c>
      <c r="Y1609">
        <f>[1]发票导入!Y1609&amp;""</f>
      </c>
      <c r="AA1609">
        <f>[1]发票导入!AA1609&amp;""</f>
      </c>
      <c r="AB1609">
        <f>[1]发票导入!AB1609</f>
        <v>0</v>
      </c>
      <c r="AC1609">
        <f>[1]发票导入!AC1609</f>
        <v>0</v>
      </c>
      <c r="AE1609" s="22">
        <f t="shared" si="0"/>
      </c>
      <c r="AI1609">
        <f>[1]发票导入!AI1609&amp;""</f>
      </c>
      <c r="AJ1609">
        <f>[1]发票导入!AJ1609&amp;""</f>
      </c>
      <c r="AK1609">
        <f>[1]发票导入!AK1609</f>
        <v>0</v>
      </c>
      <c r="AL1609">
        <f>[1]发票导入!AL1609</f>
        <v>0</v>
      </c>
      <c r="AM1609">
        <f>[1]发票导入!AM1609</f>
        <v>0</v>
      </c>
      <c r="AN1609" s="22">
        <f t="shared" si="1"/>
        <v>0</v>
      </c>
      <c r="AO1609" s="22">
        <f t="shared" si="2"/>
        <v>0</v>
      </c>
    </row>
    <row r="1610">
      <c r="C1610">
        <f>[1]发票导入!C1610&amp;""</f>
      </c>
      <c r="D1610">
        <f>[1]发票导入!D1610&amp;""</f>
      </c>
      <c r="O1610">
        <f>[1]发票导入!O1610&amp;""</f>
      </c>
      <c r="T1610">
        <f>[1]发票导入!T1610</f>
      </c>
      <c r="U1610">
        <f>[1]发票导入!U1610&amp;""</f>
      </c>
      <c r="V1610">
        <f>[1]发票导入!V1610&amp;""</f>
      </c>
      <c r="W1610">
        <f>[1]发票导入!W1610&amp;""</f>
      </c>
      <c r="Y1610">
        <f>[1]发票导入!Y1610&amp;""</f>
      </c>
      <c r="AA1610">
        <f>[1]发票导入!AA1610&amp;""</f>
      </c>
      <c r="AB1610">
        <f>[1]发票导入!AB1610</f>
        <v>0</v>
      </c>
      <c r="AC1610">
        <f>[1]发票导入!AC1610</f>
        <v>0</v>
      </c>
      <c r="AE1610" s="22">
        <f t="shared" si="0"/>
      </c>
      <c r="AI1610">
        <f>[1]发票导入!AI1610&amp;""</f>
      </c>
      <c r="AJ1610">
        <f>[1]发票导入!AJ1610&amp;""</f>
      </c>
      <c r="AK1610">
        <f>[1]发票导入!AK1610</f>
        <v>0</v>
      </c>
      <c r="AL1610">
        <f>[1]发票导入!AL1610</f>
        <v>0</v>
      </c>
      <c r="AM1610">
        <f>[1]发票导入!AM1610</f>
        <v>0</v>
      </c>
      <c r="AN1610" s="22">
        <f t="shared" si="1"/>
        <v>0</v>
      </c>
      <c r="AO1610" s="22">
        <f t="shared" si="2"/>
        <v>0</v>
      </c>
    </row>
    <row r="1611">
      <c r="C1611">
        <f>[1]发票导入!C1611&amp;""</f>
      </c>
      <c r="D1611">
        <f>[1]发票导入!D1611&amp;""</f>
      </c>
      <c r="O1611">
        <f>[1]发票导入!O1611&amp;""</f>
      </c>
      <c r="T1611">
        <f>[1]发票导入!T1611</f>
      </c>
      <c r="U1611">
        <f>[1]发票导入!U1611&amp;""</f>
      </c>
      <c r="V1611">
        <f>[1]发票导入!V1611&amp;""</f>
      </c>
      <c r="W1611">
        <f>[1]发票导入!W1611&amp;""</f>
      </c>
      <c r="Y1611">
        <f>[1]发票导入!Y1611&amp;""</f>
      </c>
      <c r="AA1611">
        <f>[1]发票导入!AA1611&amp;""</f>
      </c>
      <c r="AB1611">
        <f>[1]发票导入!AB1611</f>
        <v>0</v>
      </c>
      <c r="AC1611">
        <f>[1]发票导入!AC1611</f>
        <v>0</v>
      </c>
      <c r="AE1611" s="22">
        <f t="shared" si="0"/>
      </c>
      <c r="AI1611">
        <f>[1]发票导入!AI1611&amp;""</f>
      </c>
      <c r="AJ1611">
        <f>[1]发票导入!AJ1611&amp;""</f>
      </c>
      <c r="AK1611">
        <f>[1]发票导入!AK1611</f>
        <v>0</v>
      </c>
      <c r="AL1611">
        <f>[1]发票导入!AL1611</f>
        <v>0</v>
      </c>
      <c r="AM1611">
        <f>[1]发票导入!AM1611</f>
        <v>0</v>
      </c>
      <c r="AN1611" s="22">
        <f t="shared" si="1"/>
        <v>0</v>
      </c>
      <c r="AO1611" s="22">
        <f t="shared" si="2"/>
        <v>0</v>
      </c>
    </row>
    <row r="1612">
      <c r="C1612">
        <f>[1]发票导入!C1612&amp;""</f>
      </c>
      <c r="D1612">
        <f>[1]发票导入!D1612&amp;""</f>
      </c>
      <c r="O1612">
        <f>[1]发票导入!O1612&amp;""</f>
      </c>
      <c r="T1612">
        <f>[1]发票导入!T1612</f>
      </c>
      <c r="U1612">
        <f>[1]发票导入!U1612&amp;""</f>
      </c>
      <c r="V1612">
        <f>[1]发票导入!V1612&amp;""</f>
      </c>
      <c r="W1612">
        <f>[1]发票导入!W1612&amp;""</f>
      </c>
      <c r="Y1612">
        <f>[1]发票导入!Y1612&amp;""</f>
      </c>
      <c r="AA1612">
        <f>[1]发票导入!AA1612&amp;""</f>
      </c>
      <c r="AB1612">
        <f>[1]发票导入!AB1612</f>
        <v>0</v>
      </c>
      <c r="AC1612">
        <f>[1]发票导入!AC1612</f>
        <v>0</v>
      </c>
      <c r="AE1612" s="22">
        <f t="shared" si="0"/>
      </c>
      <c r="AI1612">
        <f>[1]发票导入!AI1612&amp;""</f>
      </c>
      <c r="AJ1612">
        <f>[1]发票导入!AJ1612&amp;""</f>
      </c>
      <c r="AK1612">
        <f>[1]发票导入!AK1612</f>
        <v>0</v>
      </c>
      <c r="AL1612">
        <f>[1]发票导入!AL1612</f>
        <v>0</v>
      </c>
      <c r="AM1612">
        <f>[1]发票导入!AM1612</f>
        <v>0</v>
      </c>
      <c r="AN1612" s="22">
        <f t="shared" si="1"/>
        <v>0</v>
      </c>
      <c r="AO1612" s="22">
        <f t="shared" si="2"/>
        <v>0</v>
      </c>
    </row>
    <row r="1613">
      <c r="C1613">
        <f>[1]发票导入!C1613&amp;""</f>
      </c>
      <c r="D1613">
        <f>[1]发票导入!D1613&amp;""</f>
      </c>
      <c r="O1613">
        <f>[1]发票导入!O1613&amp;""</f>
      </c>
      <c r="T1613">
        <f>[1]发票导入!T1613</f>
      </c>
      <c r="U1613">
        <f>[1]发票导入!U1613&amp;""</f>
      </c>
      <c r="V1613">
        <f>[1]发票导入!V1613&amp;""</f>
      </c>
      <c r="W1613">
        <f>[1]发票导入!W1613&amp;""</f>
      </c>
      <c r="Y1613">
        <f>[1]发票导入!Y1613&amp;""</f>
      </c>
      <c r="AA1613">
        <f>[1]发票导入!AA1613&amp;""</f>
      </c>
      <c r="AB1613">
        <f>[1]发票导入!AB1613</f>
        <v>0</v>
      </c>
      <c r="AC1613">
        <f>[1]发票导入!AC1613</f>
        <v>0</v>
      </c>
      <c r="AE1613" s="22">
        <f t="shared" si="0"/>
      </c>
      <c r="AI1613">
        <f>[1]发票导入!AI1613&amp;""</f>
      </c>
      <c r="AJ1613">
        <f>[1]发票导入!AJ1613&amp;""</f>
      </c>
      <c r="AK1613">
        <f>[1]发票导入!AK1613</f>
        <v>0</v>
      </c>
      <c r="AL1613">
        <f>[1]发票导入!AL1613</f>
        <v>0</v>
      </c>
      <c r="AM1613">
        <f>[1]发票导入!AM1613</f>
        <v>0</v>
      </c>
      <c r="AN1613" s="22">
        <f t="shared" si="1"/>
        <v>0</v>
      </c>
      <c r="AO1613" s="22">
        <f t="shared" si="2"/>
        <v>0</v>
      </c>
    </row>
    <row r="1614">
      <c r="C1614">
        <f>[1]发票导入!C1614&amp;""</f>
      </c>
      <c r="D1614">
        <f>[1]发票导入!D1614&amp;""</f>
      </c>
      <c r="O1614">
        <f>[1]发票导入!O1614&amp;""</f>
      </c>
      <c r="T1614">
        <f>[1]发票导入!T1614</f>
      </c>
      <c r="U1614">
        <f>[1]发票导入!U1614&amp;""</f>
      </c>
      <c r="V1614">
        <f>[1]发票导入!V1614&amp;""</f>
      </c>
      <c r="W1614">
        <f>[1]发票导入!W1614&amp;""</f>
      </c>
      <c r="Y1614">
        <f>[1]发票导入!Y1614&amp;""</f>
      </c>
      <c r="AA1614">
        <f>[1]发票导入!AA1614&amp;""</f>
      </c>
      <c r="AB1614">
        <f>[1]发票导入!AB1614</f>
        <v>0</v>
      </c>
      <c r="AC1614">
        <f>[1]发票导入!AC1614</f>
        <v>0</v>
      </c>
      <c r="AE1614" s="22">
        <f t="shared" si="0"/>
      </c>
      <c r="AI1614">
        <f>[1]发票导入!AI1614&amp;""</f>
      </c>
      <c r="AJ1614">
        <f>[1]发票导入!AJ1614&amp;""</f>
      </c>
      <c r="AK1614">
        <f>[1]发票导入!AK1614</f>
        <v>0</v>
      </c>
      <c r="AL1614">
        <f>[1]发票导入!AL1614</f>
        <v>0</v>
      </c>
      <c r="AM1614">
        <f>[1]发票导入!AM1614</f>
        <v>0</v>
      </c>
      <c r="AN1614" s="22">
        <f t="shared" si="1"/>
        <v>0</v>
      </c>
      <c r="AO1614" s="22">
        <f t="shared" si="2"/>
        <v>0</v>
      </c>
    </row>
    <row r="1615">
      <c r="C1615">
        <f>[1]发票导入!C1615&amp;""</f>
      </c>
      <c r="D1615">
        <f>[1]发票导入!D1615&amp;""</f>
      </c>
      <c r="O1615">
        <f>[1]发票导入!O1615&amp;""</f>
      </c>
      <c r="T1615">
        <f>[1]发票导入!T1615</f>
      </c>
      <c r="U1615">
        <f>[1]发票导入!U1615&amp;""</f>
      </c>
      <c r="V1615">
        <f>[1]发票导入!V1615&amp;""</f>
      </c>
      <c r="W1615">
        <f>[1]发票导入!W1615&amp;""</f>
      </c>
      <c r="Y1615">
        <f>[1]发票导入!Y1615&amp;""</f>
      </c>
      <c r="AA1615">
        <f>[1]发票导入!AA1615&amp;""</f>
      </c>
      <c r="AB1615">
        <f>[1]发票导入!AB1615</f>
        <v>0</v>
      </c>
      <c r="AC1615">
        <f>[1]发票导入!AC1615</f>
        <v>0</v>
      </c>
      <c r="AE1615" s="22">
        <f t="shared" si="0"/>
      </c>
      <c r="AI1615">
        <f>[1]发票导入!AI1615&amp;""</f>
      </c>
      <c r="AJ1615">
        <f>[1]发票导入!AJ1615&amp;""</f>
      </c>
      <c r="AK1615">
        <f>[1]发票导入!AK1615</f>
        <v>0</v>
      </c>
      <c r="AL1615">
        <f>[1]发票导入!AL1615</f>
        <v>0</v>
      </c>
      <c r="AM1615">
        <f>[1]发票导入!AM1615</f>
        <v>0</v>
      </c>
      <c r="AN1615" s="22">
        <f t="shared" si="1"/>
        <v>0</v>
      </c>
      <c r="AO1615" s="22">
        <f t="shared" si="2"/>
        <v>0</v>
      </c>
    </row>
    <row r="1616">
      <c r="C1616">
        <f>[1]发票导入!C1616&amp;""</f>
      </c>
      <c r="D1616">
        <f>[1]发票导入!D1616&amp;""</f>
      </c>
      <c r="O1616">
        <f>[1]发票导入!O1616&amp;""</f>
      </c>
      <c r="T1616">
        <f>[1]发票导入!T1616</f>
      </c>
      <c r="U1616">
        <f>[1]发票导入!U1616&amp;""</f>
      </c>
      <c r="V1616">
        <f>[1]发票导入!V1616&amp;""</f>
      </c>
      <c r="W1616">
        <f>[1]发票导入!W1616&amp;""</f>
      </c>
      <c r="Y1616">
        <f>[1]发票导入!Y1616&amp;""</f>
      </c>
      <c r="AA1616">
        <f>[1]发票导入!AA1616&amp;""</f>
      </c>
      <c r="AB1616">
        <f>[1]发票导入!AB1616</f>
        <v>0</v>
      </c>
      <c r="AC1616">
        <f>[1]发票导入!AC1616</f>
        <v>0</v>
      </c>
      <c r="AE1616" s="22">
        <f t="shared" si="0"/>
      </c>
      <c r="AI1616">
        <f>[1]发票导入!AI1616&amp;""</f>
      </c>
      <c r="AJ1616">
        <f>[1]发票导入!AJ1616&amp;""</f>
      </c>
      <c r="AK1616">
        <f>[1]发票导入!AK1616</f>
        <v>0</v>
      </c>
      <c r="AL1616">
        <f>[1]发票导入!AL1616</f>
        <v>0</v>
      </c>
      <c r="AM1616">
        <f>[1]发票导入!AM1616</f>
        <v>0</v>
      </c>
      <c r="AN1616" s="22">
        <f t="shared" si="1"/>
        <v>0</v>
      </c>
      <c r="AO1616" s="22">
        <f t="shared" si="2"/>
        <v>0</v>
      </c>
    </row>
    <row r="1617">
      <c r="C1617">
        <f>[1]发票导入!C1617&amp;""</f>
      </c>
      <c r="D1617">
        <f>[1]发票导入!D1617&amp;""</f>
      </c>
      <c r="O1617">
        <f>[1]发票导入!O1617&amp;""</f>
      </c>
      <c r="T1617">
        <f>[1]发票导入!T1617</f>
      </c>
      <c r="U1617">
        <f>[1]发票导入!U1617&amp;""</f>
      </c>
      <c r="V1617">
        <f>[1]发票导入!V1617&amp;""</f>
      </c>
      <c r="W1617">
        <f>[1]发票导入!W1617&amp;""</f>
      </c>
      <c r="Y1617">
        <f>[1]发票导入!Y1617&amp;""</f>
      </c>
      <c r="AA1617">
        <f>[1]发票导入!AA1617&amp;""</f>
      </c>
      <c r="AB1617">
        <f>[1]发票导入!AB1617</f>
        <v>0</v>
      </c>
      <c r="AC1617">
        <f>[1]发票导入!AC1617</f>
        <v>0</v>
      </c>
      <c r="AE1617" s="22">
        <f t="shared" si="0"/>
      </c>
      <c r="AI1617">
        <f>[1]发票导入!AI1617&amp;""</f>
      </c>
      <c r="AJ1617">
        <f>[1]发票导入!AJ1617&amp;""</f>
      </c>
      <c r="AK1617">
        <f>[1]发票导入!AK1617</f>
        <v>0</v>
      </c>
      <c r="AL1617">
        <f>[1]发票导入!AL1617</f>
        <v>0</v>
      </c>
      <c r="AM1617">
        <f>[1]发票导入!AM1617</f>
        <v>0</v>
      </c>
      <c r="AN1617" s="22">
        <f t="shared" si="1"/>
        <v>0</v>
      </c>
      <c r="AO1617" s="22">
        <f t="shared" si="2"/>
        <v>0</v>
      </c>
    </row>
    <row r="1618">
      <c r="C1618">
        <f>[1]发票导入!C1618&amp;""</f>
      </c>
      <c r="D1618">
        <f>[1]发票导入!D1618&amp;""</f>
      </c>
      <c r="O1618">
        <f>[1]发票导入!O1618&amp;""</f>
      </c>
      <c r="T1618">
        <f>[1]发票导入!T1618</f>
      </c>
      <c r="U1618">
        <f>[1]发票导入!U1618&amp;""</f>
      </c>
      <c r="V1618">
        <f>[1]发票导入!V1618&amp;""</f>
      </c>
      <c r="W1618">
        <f>[1]发票导入!W1618&amp;""</f>
      </c>
      <c r="Y1618">
        <f>[1]发票导入!Y1618&amp;""</f>
      </c>
      <c r="AA1618">
        <f>[1]发票导入!AA1618&amp;""</f>
      </c>
      <c r="AB1618">
        <f>[1]发票导入!AB1618</f>
        <v>0</v>
      </c>
      <c r="AC1618">
        <f>[1]发票导入!AC1618</f>
        <v>0</v>
      </c>
      <c r="AE1618" s="22">
        <f t="shared" si="0"/>
      </c>
      <c r="AI1618">
        <f>[1]发票导入!AI1618&amp;""</f>
      </c>
      <c r="AJ1618">
        <f>[1]发票导入!AJ1618&amp;""</f>
      </c>
      <c r="AK1618">
        <f>[1]发票导入!AK1618</f>
        <v>0</v>
      </c>
      <c r="AL1618">
        <f>[1]发票导入!AL1618</f>
        <v>0</v>
      </c>
      <c r="AM1618">
        <f>[1]发票导入!AM1618</f>
        <v>0</v>
      </c>
      <c r="AN1618" s="22">
        <f t="shared" si="1"/>
        <v>0</v>
      </c>
      <c r="AO1618" s="22">
        <f t="shared" si="2"/>
        <v>0</v>
      </c>
    </row>
    <row r="1619">
      <c r="C1619">
        <f>[1]发票导入!C1619&amp;""</f>
      </c>
      <c r="D1619">
        <f>[1]发票导入!D1619&amp;""</f>
      </c>
      <c r="O1619">
        <f>[1]发票导入!O1619&amp;""</f>
      </c>
      <c r="T1619">
        <f>[1]发票导入!T1619</f>
      </c>
      <c r="U1619">
        <f>[1]发票导入!U1619&amp;""</f>
      </c>
      <c r="V1619">
        <f>[1]发票导入!V1619&amp;""</f>
      </c>
      <c r="W1619">
        <f>[1]发票导入!W1619&amp;""</f>
      </c>
      <c r="Y1619">
        <f>[1]发票导入!Y1619&amp;""</f>
      </c>
      <c r="AA1619">
        <f>[1]发票导入!AA1619&amp;""</f>
      </c>
      <c r="AB1619">
        <f>[1]发票导入!AB1619</f>
        <v>0</v>
      </c>
      <c r="AC1619">
        <f>[1]发票导入!AC1619</f>
        <v>0</v>
      </c>
      <c r="AE1619" s="22">
        <f t="shared" si="0"/>
      </c>
      <c r="AI1619">
        <f>[1]发票导入!AI1619&amp;""</f>
      </c>
      <c r="AJ1619">
        <f>[1]发票导入!AJ1619&amp;""</f>
      </c>
      <c r="AK1619">
        <f>[1]发票导入!AK1619</f>
        <v>0</v>
      </c>
      <c r="AL1619">
        <f>[1]发票导入!AL1619</f>
        <v>0</v>
      </c>
      <c r="AM1619">
        <f>[1]发票导入!AM1619</f>
        <v>0</v>
      </c>
      <c r="AN1619" s="22">
        <f t="shared" si="1"/>
        <v>0</v>
      </c>
      <c r="AO1619" s="22">
        <f t="shared" si="2"/>
        <v>0</v>
      </c>
    </row>
    <row r="1620">
      <c r="C1620">
        <f>[1]发票导入!C1620&amp;""</f>
      </c>
      <c r="D1620">
        <f>[1]发票导入!D1620&amp;""</f>
      </c>
      <c r="O1620">
        <f>[1]发票导入!O1620&amp;""</f>
      </c>
      <c r="T1620">
        <f>[1]发票导入!T1620</f>
      </c>
      <c r="U1620">
        <f>[1]发票导入!U1620&amp;""</f>
      </c>
      <c r="V1620">
        <f>[1]发票导入!V1620&amp;""</f>
      </c>
      <c r="W1620">
        <f>[1]发票导入!W1620&amp;""</f>
      </c>
      <c r="Y1620">
        <f>[1]发票导入!Y1620&amp;""</f>
      </c>
      <c r="AA1620">
        <f>[1]发票导入!AA1620&amp;""</f>
      </c>
      <c r="AB1620">
        <f>[1]发票导入!AB1620</f>
        <v>0</v>
      </c>
      <c r="AC1620">
        <f>[1]发票导入!AC1620</f>
        <v>0</v>
      </c>
      <c r="AE1620" s="22">
        <f t="shared" si="0"/>
      </c>
      <c r="AI1620">
        <f>[1]发票导入!AI1620&amp;""</f>
      </c>
      <c r="AJ1620">
        <f>[1]发票导入!AJ1620&amp;""</f>
      </c>
      <c r="AK1620">
        <f>[1]发票导入!AK1620</f>
        <v>0</v>
      </c>
      <c r="AL1620">
        <f>[1]发票导入!AL1620</f>
        <v>0</v>
      </c>
      <c r="AM1620">
        <f>[1]发票导入!AM1620</f>
        <v>0</v>
      </c>
      <c r="AN1620" s="22">
        <f t="shared" si="1"/>
        <v>0</v>
      </c>
      <c r="AO1620" s="22">
        <f t="shared" si="2"/>
        <v>0</v>
      </c>
    </row>
    <row r="1621">
      <c r="C1621">
        <f>[1]发票导入!C1621&amp;""</f>
      </c>
      <c r="D1621">
        <f>[1]发票导入!D1621&amp;""</f>
      </c>
      <c r="O1621">
        <f>[1]发票导入!O1621&amp;""</f>
      </c>
      <c r="T1621">
        <f>[1]发票导入!T1621</f>
      </c>
      <c r="U1621">
        <f>[1]发票导入!U1621&amp;""</f>
      </c>
      <c r="V1621">
        <f>[1]发票导入!V1621&amp;""</f>
      </c>
      <c r="W1621">
        <f>[1]发票导入!W1621&amp;""</f>
      </c>
      <c r="Y1621">
        <f>[1]发票导入!Y1621&amp;""</f>
      </c>
      <c r="AA1621">
        <f>[1]发票导入!AA1621&amp;""</f>
      </c>
      <c r="AB1621">
        <f>[1]发票导入!AB1621</f>
        <v>0</v>
      </c>
      <c r="AC1621">
        <f>[1]发票导入!AC1621</f>
        <v>0</v>
      </c>
      <c r="AE1621" s="22">
        <f t="shared" si="0"/>
      </c>
      <c r="AI1621">
        <f>[1]发票导入!AI1621&amp;""</f>
      </c>
      <c r="AJ1621">
        <f>[1]发票导入!AJ1621&amp;""</f>
      </c>
      <c r="AK1621">
        <f>[1]发票导入!AK1621</f>
        <v>0</v>
      </c>
      <c r="AL1621">
        <f>[1]发票导入!AL1621</f>
        <v>0</v>
      </c>
      <c r="AM1621">
        <f>[1]发票导入!AM1621</f>
        <v>0</v>
      </c>
      <c r="AN1621" s="22">
        <f t="shared" si="1"/>
        <v>0</v>
      </c>
      <c r="AO1621" s="22">
        <f t="shared" si="2"/>
        <v>0</v>
      </c>
    </row>
    <row r="1622">
      <c r="C1622">
        <f>[1]发票导入!C1622&amp;""</f>
      </c>
      <c r="D1622">
        <f>[1]发票导入!D1622&amp;""</f>
      </c>
      <c r="O1622">
        <f>[1]发票导入!O1622&amp;""</f>
      </c>
      <c r="T1622">
        <f>[1]发票导入!T1622</f>
      </c>
      <c r="U1622">
        <f>[1]发票导入!U1622&amp;""</f>
      </c>
      <c r="V1622">
        <f>[1]发票导入!V1622&amp;""</f>
      </c>
      <c r="W1622">
        <f>[1]发票导入!W1622&amp;""</f>
      </c>
      <c r="Y1622">
        <f>[1]发票导入!Y1622&amp;""</f>
      </c>
      <c r="AA1622">
        <f>[1]发票导入!AA1622&amp;""</f>
      </c>
      <c r="AB1622">
        <f>[1]发票导入!AB1622</f>
        <v>0</v>
      </c>
      <c r="AC1622">
        <f>[1]发票导入!AC1622</f>
        <v>0</v>
      </c>
      <c r="AE1622" s="22">
        <f t="shared" si="0"/>
      </c>
      <c r="AI1622">
        <f>[1]发票导入!AI1622&amp;""</f>
      </c>
      <c r="AJ1622">
        <f>[1]发票导入!AJ1622&amp;""</f>
      </c>
      <c r="AK1622">
        <f>[1]发票导入!AK1622</f>
        <v>0</v>
      </c>
      <c r="AL1622">
        <f>[1]发票导入!AL1622</f>
        <v>0</v>
      </c>
      <c r="AM1622">
        <f>[1]发票导入!AM1622</f>
        <v>0</v>
      </c>
      <c r="AN1622" s="22">
        <f t="shared" si="1"/>
        <v>0</v>
      </c>
      <c r="AO1622" s="22">
        <f t="shared" si="2"/>
        <v>0</v>
      </c>
    </row>
    <row r="1623">
      <c r="C1623">
        <f>[1]发票导入!C1623&amp;""</f>
      </c>
      <c r="D1623">
        <f>[1]发票导入!D1623&amp;""</f>
      </c>
      <c r="O1623">
        <f>[1]发票导入!O1623&amp;""</f>
      </c>
      <c r="T1623">
        <f>[1]发票导入!T1623</f>
      </c>
      <c r="U1623">
        <f>[1]发票导入!U1623&amp;""</f>
      </c>
      <c r="V1623">
        <f>[1]发票导入!V1623&amp;""</f>
      </c>
      <c r="W1623">
        <f>[1]发票导入!W1623&amp;""</f>
      </c>
      <c r="Y1623">
        <f>[1]发票导入!Y1623&amp;""</f>
      </c>
      <c r="AA1623">
        <f>[1]发票导入!AA1623&amp;""</f>
      </c>
      <c r="AB1623">
        <f>[1]发票导入!AB1623</f>
        <v>0</v>
      </c>
      <c r="AC1623">
        <f>[1]发票导入!AC1623</f>
        <v>0</v>
      </c>
      <c r="AE1623" s="22">
        <f t="shared" si="0"/>
      </c>
      <c r="AI1623">
        <f>[1]发票导入!AI1623&amp;""</f>
      </c>
      <c r="AJ1623">
        <f>[1]发票导入!AJ1623&amp;""</f>
      </c>
      <c r="AK1623">
        <f>[1]发票导入!AK1623</f>
        <v>0</v>
      </c>
      <c r="AL1623">
        <f>[1]发票导入!AL1623</f>
        <v>0</v>
      </c>
      <c r="AM1623">
        <f>[1]发票导入!AM1623</f>
        <v>0</v>
      </c>
      <c r="AN1623" s="22">
        <f t="shared" si="1"/>
        <v>0</v>
      </c>
      <c r="AO1623" s="22">
        <f t="shared" si="2"/>
        <v>0</v>
      </c>
    </row>
    <row r="1624">
      <c r="C1624">
        <f>[1]发票导入!C1624&amp;""</f>
      </c>
      <c r="D1624">
        <f>[1]发票导入!D1624&amp;""</f>
      </c>
      <c r="O1624">
        <f>[1]发票导入!O1624&amp;""</f>
      </c>
      <c r="T1624">
        <f>[1]发票导入!T1624</f>
      </c>
      <c r="U1624">
        <f>[1]发票导入!U1624&amp;""</f>
      </c>
      <c r="V1624">
        <f>[1]发票导入!V1624&amp;""</f>
      </c>
      <c r="W1624">
        <f>[1]发票导入!W1624&amp;""</f>
      </c>
      <c r="Y1624">
        <f>[1]发票导入!Y1624&amp;""</f>
      </c>
      <c r="AA1624">
        <f>[1]发票导入!AA1624&amp;""</f>
      </c>
      <c r="AB1624">
        <f>[1]发票导入!AB1624</f>
        <v>0</v>
      </c>
      <c r="AC1624">
        <f>[1]发票导入!AC1624</f>
        <v>0</v>
      </c>
      <c r="AE1624" s="22">
        <f t="shared" si="0"/>
      </c>
      <c r="AI1624">
        <f>[1]发票导入!AI1624&amp;""</f>
      </c>
      <c r="AJ1624">
        <f>[1]发票导入!AJ1624&amp;""</f>
      </c>
      <c r="AK1624">
        <f>[1]发票导入!AK1624</f>
        <v>0</v>
      </c>
      <c r="AL1624">
        <f>[1]发票导入!AL1624</f>
        <v>0</v>
      </c>
      <c r="AM1624">
        <f>[1]发票导入!AM1624</f>
        <v>0</v>
      </c>
      <c r="AN1624" s="22">
        <f t="shared" si="1"/>
        <v>0</v>
      </c>
      <c r="AO1624" s="22">
        <f t="shared" si="2"/>
        <v>0</v>
      </c>
    </row>
    <row r="1625">
      <c r="C1625">
        <f>[1]发票导入!C1625&amp;""</f>
      </c>
      <c r="D1625">
        <f>[1]发票导入!D1625&amp;""</f>
      </c>
      <c r="O1625">
        <f>[1]发票导入!O1625&amp;""</f>
      </c>
      <c r="T1625">
        <f>[1]发票导入!T1625</f>
      </c>
      <c r="U1625">
        <f>[1]发票导入!U1625&amp;""</f>
      </c>
      <c r="V1625">
        <f>[1]发票导入!V1625&amp;""</f>
      </c>
      <c r="W1625">
        <f>[1]发票导入!W1625&amp;""</f>
      </c>
      <c r="Y1625">
        <f>[1]发票导入!Y1625&amp;""</f>
      </c>
      <c r="AA1625">
        <f>[1]发票导入!AA1625&amp;""</f>
      </c>
      <c r="AB1625">
        <f>[1]发票导入!AB1625</f>
        <v>0</v>
      </c>
      <c r="AC1625">
        <f>[1]发票导入!AC1625</f>
        <v>0</v>
      </c>
      <c r="AE1625" s="22">
        <f t="shared" si="0"/>
      </c>
      <c r="AI1625">
        <f>[1]发票导入!AI1625&amp;""</f>
      </c>
      <c r="AJ1625">
        <f>[1]发票导入!AJ1625&amp;""</f>
      </c>
      <c r="AK1625">
        <f>[1]发票导入!AK1625</f>
        <v>0</v>
      </c>
      <c r="AL1625">
        <f>[1]发票导入!AL1625</f>
        <v>0</v>
      </c>
      <c r="AM1625">
        <f>[1]发票导入!AM1625</f>
        <v>0</v>
      </c>
      <c r="AN1625" s="22">
        <f t="shared" si="1"/>
        <v>0</v>
      </c>
      <c r="AO1625" s="22">
        <f t="shared" si="2"/>
        <v>0</v>
      </c>
    </row>
    <row r="1626">
      <c r="C1626">
        <f>[1]发票导入!C1626&amp;""</f>
      </c>
      <c r="D1626">
        <f>[1]发票导入!D1626&amp;""</f>
      </c>
      <c r="O1626">
        <f>[1]发票导入!O1626&amp;""</f>
      </c>
      <c r="T1626">
        <f>[1]发票导入!T1626</f>
      </c>
      <c r="U1626">
        <f>[1]发票导入!U1626&amp;""</f>
      </c>
      <c r="V1626">
        <f>[1]发票导入!V1626&amp;""</f>
      </c>
      <c r="W1626">
        <f>[1]发票导入!W1626&amp;""</f>
      </c>
      <c r="Y1626">
        <f>[1]发票导入!Y1626&amp;""</f>
      </c>
      <c r="AA1626">
        <f>[1]发票导入!AA1626&amp;""</f>
      </c>
      <c r="AB1626">
        <f>[1]发票导入!AB1626</f>
        <v>0</v>
      </c>
      <c r="AC1626">
        <f>[1]发票导入!AC1626</f>
        <v>0</v>
      </c>
      <c r="AE1626" s="22">
        <f t="shared" si="0"/>
      </c>
      <c r="AI1626">
        <f>[1]发票导入!AI1626&amp;""</f>
      </c>
      <c r="AJ1626">
        <f>[1]发票导入!AJ1626&amp;""</f>
      </c>
      <c r="AK1626">
        <f>[1]发票导入!AK1626</f>
        <v>0</v>
      </c>
      <c r="AL1626">
        <f>[1]发票导入!AL1626</f>
        <v>0</v>
      </c>
      <c r="AM1626">
        <f>[1]发票导入!AM1626</f>
        <v>0</v>
      </c>
      <c r="AN1626" s="22">
        <f t="shared" si="1"/>
        <v>0</v>
      </c>
      <c r="AO1626" s="22">
        <f t="shared" si="2"/>
        <v>0</v>
      </c>
    </row>
    <row r="1627">
      <c r="C1627">
        <f>[1]发票导入!C1627&amp;""</f>
      </c>
      <c r="D1627">
        <f>[1]发票导入!D1627&amp;""</f>
      </c>
      <c r="O1627">
        <f>[1]发票导入!O1627&amp;""</f>
      </c>
      <c r="T1627">
        <f>[1]发票导入!T1627</f>
      </c>
      <c r="U1627">
        <f>[1]发票导入!U1627&amp;""</f>
      </c>
      <c r="V1627">
        <f>[1]发票导入!V1627&amp;""</f>
      </c>
      <c r="W1627">
        <f>[1]发票导入!W1627&amp;""</f>
      </c>
      <c r="Y1627">
        <f>[1]发票导入!Y1627&amp;""</f>
      </c>
      <c r="AA1627">
        <f>[1]发票导入!AA1627&amp;""</f>
      </c>
      <c r="AB1627">
        <f>[1]发票导入!AB1627</f>
        <v>0</v>
      </c>
      <c r="AC1627">
        <f>[1]发票导入!AC1627</f>
        <v>0</v>
      </c>
      <c r="AE1627" s="22">
        <f t="shared" si="0"/>
      </c>
      <c r="AI1627">
        <f>[1]发票导入!AI1627&amp;""</f>
      </c>
      <c r="AJ1627">
        <f>[1]发票导入!AJ1627&amp;""</f>
      </c>
      <c r="AK1627">
        <f>[1]发票导入!AK1627</f>
        <v>0</v>
      </c>
      <c r="AL1627">
        <f>[1]发票导入!AL1627</f>
        <v>0</v>
      </c>
      <c r="AM1627">
        <f>[1]发票导入!AM1627</f>
        <v>0</v>
      </c>
      <c r="AN1627" s="22">
        <f t="shared" si="1"/>
        <v>0</v>
      </c>
      <c r="AO1627" s="22">
        <f t="shared" si="2"/>
        <v>0</v>
      </c>
    </row>
    <row r="1628">
      <c r="C1628">
        <f>[1]发票导入!C1628&amp;""</f>
      </c>
      <c r="D1628">
        <f>[1]发票导入!D1628&amp;""</f>
      </c>
      <c r="O1628">
        <f>[1]发票导入!O1628&amp;""</f>
      </c>
      <c r="T1628">
        <f>[1]发票导入!T1628</f>
      </c>
      <c r="U1628">
        <f>[1]发票导入!U1628&amp;""</f>
      </c>
      <c r="V1628">
        <f>[1]发票导入!V1628&amp;""</f>
      </c>
      <c r="W1628">
        <f>[1]发票导入!W1628&amp;""</f>
      </c>
      <c r="Y1628">
        <f>[1]发票导入!Y1628&amp;""</f>
      </c>
      <c r="AA1628">
        <f>[1]发票导入!AA1628&amp;""</f>
      </c>
      <c r="AB1628">
        <f>[1]发票导入!AB1628</f>
        <v>0</v>
      </c>
      <c r="AC1628">
        <f>[1]发票导入!AC1628</f>
        <v>0</v>
      </c>
      <c r="AE1628" s="22">
        <f t="shared" si="0"/>
      </c>
      <c r="AI1628">
        <f>[1]发票导入!AI1628&amp;""</f>
      </c>
      <c r="AJ1628">
        <f>[1]发票导入!AJ1628&amp;""</f>
      </c>
      <c r="AK1628">
        <f>[1]发票导入!AK1628</f>
        <v>0</v>
      </c>
      <c r="AL1628">
        <f>[1]发票导入!AL1628</f>
        <v>0</v>
      </c>
      <c r="AM1628">
        <f>[1]发票导入!AM1628</f>
        <v>0</v>
      </c>
      <c r="AN1628" s="22">
        <f t="shared" si="1"/>
        <v>0</v>
      </c>
      <c r="AO1628" s="22">
        <f t="shared" si="2"/>
        <v>0</v>
      </c>
    </row>
    <row r="1629">
      <c r="C1629">
        <f>[1]发票导入!C1629&amp;""</f>
      </c>
      <c r="D1629">
        <f>[1]发票导入!D1629&amp;""</f>
      </c>
      <c r="O1629">
        <f>[1]发票导入!O1629&amp;""</f>
      </c>
      <c r="T1629">
        <f>[1]发票导入!T1629</f>
      </c>
      <c r="U1629">
        <f>[1]发票导入!U1629&amp;""</f>
      </c>
      <c r="V1629">
        <f>[1]发票导入!V1629&amp;""</f>
      </c>
      <c r="W1629">
        <f>[1]发票导入!W1629&amp;""</f>
      </c>
      <c r="Y1629">
        <f>[1]发票导入!Y1629&amp;""</f>
      </c>
      <c r="AA1629">
        <f>[1]发票导入!AA1629&amp;""</f>
      </c>
      <c r="AB1629">
        <f>[1]发票导入!AB1629</f>
        <v>0</v>
      </c>
      <c r="AC1629">
        <f>[1]发票导入!AC1629</f>
        <v>0</v>
      </c>
      <c r="AE1629" s="22">
        <f t="shared" si="0"/>
      </c>
      <c r="AI1629">
        <f>[1]发票导入!AI1629&amp;""</f>
      </c>
      <c r="AJ1629">
        <f>[1]发票导入!AJ1629&amp;""</f>
      </c>
      <c r="AK1629">
        <f>[1]发票导入!AK1629</f>
        <v>0</v>
      </c>
      <c r="AL1629">
        <f>[1]发票导入!AL1629</f>
        <v>0</v>
      </c>
      <c r="AM1629">
        <f>[1]发票导入!AM1629</f>
        <v>0</v>
      </c>
      <c r="AN1629" s="22">
        <f t="shared" si="1"/>
        <v>0</v>
      </c>
      <c r="AO1629" s="22">
        <f t="shared" si="2"/>
        <v>0</v>
      </c>
    </row>
    <row r="1630">
      <c r="C1630">
        <f>[1]发票导入!C1630&amp;""</f>
      </c>
      <c r="D1630">
        <f>[1]发票导入!D1630&amp;""</f>
      </c>
      <c r="O1630">
        <f>[1]发票导入!O1630&amp;""</f>
      </c>
      <c r="T1630">
        <f>[1]发票导入!T1630</f>
      </c>
      <c r="U1630">
        <f>[1]发票导入!U1630&amp;""</f>
      </c>
      <c r="V1630">
        <f>[1]发票导入!V1630&amp;""</f>
      </c>
      <c r="W1630">
        <f>[1]发票导入!W1630&amp;""</f>
      </c>
      <c r="Y1630">
        <f>[1]发票导入!Y1630&amp;""</f>
      </c>
      <c r="AA1630">
        <f>[1]发票导入!AA1630&amp;""</f>
      </c>
      <c r="AB1630">
        <f>[1]发票导入!AB1630</f>
        <v>0</v>
      </c>
      <c r="AC1630">
        <f>[1]发票导入!AC1630</f>
        <v>0</v>
      </c>
      <c r="AE1630" s="22">
        <f t="shared" si="0"/>
      </c>
      <c r="AI1630">
        <f>[1]发票导入!AI1630&amp;""</f>
      </c>
      <c r="AJ1630">
        <f>[1]发票导入!AJ1630&amp;""</f>
      </c>
      <c r="AK1630">
        <f>[1]发票导入!AK1630</f>
        <v>0</v>
      </c>
      <c r="AL1630">
        <f>[1]发票导入!AL1630</f>
        <v>0</v>
      </c>
      <c r="AM1630">
        <f>[1]发票导入!AM1630</f>
        <v>0</v>
      </c>
      <c r="AN1630" s="22">
        <f t="shared" si="1"/>
        <v>0</v>
      </c>
      <c r="AO1630" s="22">
        <f t="shared" si="2"/>
        <v>0</v>
      </c>
    </row>
    <row r="1631">
      <c r="C1631">
        <f>[1]发票导入!C1631&amp;""</f>
      </c>
      <c r="D1631">
        <f>[1]发票导入!D1631&amp;""</f>
      </c>
      <c r="O1631">
        <f>[1]发票导入!O1631&amp;""</f>
      </c>
      <c r="T1631">
        <f>[1]发票导入!T1631</f>
      </c>
      <c r="U1631">
        <f>[1]发票导入!U1631&amp;""</f>
      </c>
      <c r="V1631">
        <f>[1]发票导入!V1631&amp;""</f>
      </c>
      <c r="W1631">
        <f>[1]发票导入!W1631&amp;""</f>
      </c>
      <c r="Y1631">
        <f>[1]发票导入!Y1631&amp;""</f>
      </c>
      <c r="AA1631">
        <f>[1]发票导入!AA1631&amp;""</f>
      </c>
      <c r="AB1631">
        <f>[1]发票导入!AB1631</f>
        <v>0</v>
      </c>
      <c r="AC1631">
        <f>[1]发票导入!AC1631</f>
        <v>0</v>
      </c>
      <c r="AE1631" s="22">
        <f t="shared" si="0"/>
      </c>
      <c r="AI1631">
        <f>[1]发票导入!AI1631&amp;""</f>
      </c>
      <c r="AJ1631">
        <f>[1]发票导入!AJ1631&amp;""</f>
      </c>
      <c r="AK1631">
        <f>[1]发票导入!AK1631</f>
        <v>0</v>
      </c>
      <c r="AL1631">
        <f>[1]发票导入!AL1631</f>
        <v>0</v>
      </c>
      <c r="AM1631">
        <f>[1]发票导入!AM1631</f>
        <v>0</v>
      </c>
      <c r="AN1631" s="22">
        <f t="shared" si="1"/>
        <v>0</v>
      </c>
      <c r="AO1631" s="22">
        <f t="shared" si="2"/>
        <v>0</v>
      </c>
    </row>
    <row r="1632">
      <c r="C1632">
        <f>[1]发票导入!C1632&amp;""</f>
      </c>
      <c r="D1632">
        <f>[1]发票导入!D1632&amp;""</f>
      </c>
      <c r="O1632">
        <f>[1]发票导入!O1632&amp;""</f>
      </c>
      <c r="T1632">
        <f>[1]发票导入!T1632</f>
      </c>
      <c r="U1632">
        <f>[1]发票导入!U1632&amp;""</f>
      </c>
      <c r="V1632">
        <f>[1]发票导入!V1632&amp;""</f>
      </c>
      <c r="W1632">
        <f>[1]发票导入!W1632&amp;""</f>
      </c>
      <c r="Y1632">
        <f>[1]发票导入!Y1632&amp;""</f>
      </c>
      <c r="AA1632">
        <f>[1]发票导入!AA1632&amp;""</f>
      </c>
      <c r="AB1632">
        <f>[1]发票导入!AB1632</f>
        <v>0</v>
      </c>
      <c r="AC1632">
        <f>[1]发票导入!AC1632</f>
        <v>0</v>
      </c>
      <c r="AE1632" s="22">
        <f t="shared" si="0"/>
      </c>
      <c r="AI1632">
        <f>[1]发票导入!AI1632&amp;""</f>
      </c>
      <c r="AJ1632">
        <f>[1]发票导入!AJ1632&amp;""</f>
      </c>
      <c r="AK1632">
        <f>[1]发票导入!AK1632</f>
        <v>0</v>
      </c>
      <c r="AL1632">
        <f>[1]发票导入!AL1632</f>
        <v>0</v>
      </c>
      <c r="AM1632">
        <f>[1]发票导入!AM1632</f>
        <v>0</v>
      </c>
      <c r="AN1632" s="22">
        <f t="shared" si="1"/>
        <v>0</v>
      </c>
      <c r="AO1632" s="22">
        <f t="shared" si="2"/>
        <v>0</v>
      </c>
    </row>
    <row r="1633">
      <c r="C1633">
        <f>[1]发票导入!C1633&amp;""</f>
      </c>
      <c r="D1633">
        <f>[1]发票导入!D1633&amp;""</f>
      </c>
      <c r="O1633">
        <f>[1]发票导入!O1633&amp;""</f>
      </c>
      <c r="T1633">
        <f>[1]发票导入!T1633</f>
      </c>
      <c r="U1633">
        <f>[1]发票导入!U1633&amp;""</f>
      </c>
      <c r="V1633">
        <f>[1]发票导入!V1633&amp;""</f>
      </c>
      <c r="W1633">
        <f>[1]发票导入!W1633&amp;""</f>
      </c>
      <c r="Y1633">
        <f>[1]发票导入!Y1633&amp;""</f>
      </c>
      <c r="AA1633">
        <f>[1]发票导入!AA1633&amp;""</f>
      </c>
      <c r="AB1633">
        <f>[1]发票导入!AB1633</f>
        <v>0</v>
      </c>
      <c r="AC1633">
        <f>[1]发票导入!AC1633</f>
        <v>0</v>
      </c>
      <c r="AE1633" s="22">
        <f t="shared" si="0"/>
      </c>
      <c r="AI1633">
        <f>[1]发票导入!AI1633&amp;""</f>
      </c>
      <c r="AJ1633">
        <f>[1]发票导入!AJ1633&amp;""</f>
      </c>
      <c r="AK1633">
        <f>[1]发票导入!AK1633</f>
        <v>0</v>
      </c>
      <c r="AL1633">
        <f>[1]发票导入!AL1633</f>
        <v>0</v>
      </c>
      <c r="AM1633">
        <f>[1]发票导入!AM1633</f>
        <v>0</v>
      </c>
      <c r="AN1633" s="22">
        <f t="shared" si="1"/>
        <v>0</v>
      </c>
      <c r="AO1633" s="22">
        <f t="shared" si="2"/>
        <v>0</v>
      </c>
    </row>
    <row r="1634">
      <c r="C1634">
        <f>[1]发票导入!C1634&amp;""</f>
      </c>
      <c r="D1634">
        <f>[1]发票导入!D1634&amp;""</f>
      </c>
      <c r="O1634">
        <f>[1]发票导入!O1634&amp;""</f>
      </c>
      <c r="T1634">
        <f>[1]发票导入!T1634</f>
      </c>
      <c r="U1634">
        <f>[1]发票导入!U1634&amp;""</f>
      </c>
      <c r="V1634">
        <f>[1]发票导入!V1634&amp;""</f>
      </c>
      <c r="W1634">
        <f>[1]发票导入!W1634&amp;""</f>
      </c>
      <c r="Y1634">
        <f>[1]发票导入!Y1634&amp;""</f>
      </c>
      <c r="AA1634">
        <f>[1]发票导入!AA1634&amp;""</f>
      </c>
      <c r="AB1634">
        <f>[1]发票导入!AB1634</f>
        <v>0</v>
      </c>
      <c r="AC1634">
        <f>[1]发票导入!AC1634</f>
        <v>0</v>
      </c>
      <c r="AE1634" s="22">
        <f t="shared" si="0"/>
      </c>
      <c r="AI1634">
        <f>[1]发票导入!AI1634&amp;""</f>
      </c>
      <c r="AJ1634">
        <f>[1]发票导入!AJ1634&amp;""</f>
      </c>
      <c r="AK1634">
        <f>[1]发票导入!AK1634</f>
        <v>0</v>
      </c>
      <c r="AL1634">
        <f>[1]发票导入!AL1634</f>
        <v>0</v>
      </c>
      <c r="AM1634">
        <f>[1]发票导入!AM1634</f>
        <v>0</v>
      </c>
      <c r="AN1634" s="22">
        <f t="shared" si="1"/>
        <v>0</v>
      </c>
      <c r="AO1634" s="22">
        <f t="shared" si="2"/>
        <v>0</v>
      </c>
    </row>
    <row r="1635">
      <c r="C1635">
        <f>[1]发票导入!C1635&amp;""</f>
      </c>
      <c r="D1635">
        <f>[1]发票导入!D1635&amp;""</f>
      </c>
      <c r="O1635">
        <f>[1]发票导入!O1635&amp;""</f>
      </c>
      <c r="T1635">
        <f>[1]发票导入!T1635</f>
      </c>
      <c r="U1635">
        <f>[1]发票导入!U1635&amp;""</f>
      </c>
      <c r="V1635">
        <f>[1]发票导入!V1635&amp;""</f>
      </c>
      <c r="W1635">
        <f>[1]发票导入!W1635&amp;""</f>
      </c>
      <c r="Y1635">
        <f>[1]发票导入!Y1635&amp;""</f>
      </c>
      <c r="AA1635">
        <f>[1]发票导入!AA1635&amp;""</f>
      </c>
      <c r="AB1635">
        <f>[1]发票导入!AB1635</f>
        <v>0</v>
      </c>
      <c r="AC1635">
        <f>[1]发票导入!AC1635</f>
        <v>0</v>
      </c>
      <c r="AE1635" s="22">
        <f t="shared" si="0"/>
      </c>
      <c r="AI1635">
        <f>[1]发票导入!AI1635&amp;""</f>
      </c>
      <c r="AJ1635">
        <f>[1]发票导入!AJ1635&amp;""</f>
      </c>
      <c r="AK1635">
        <f>[1]发票导入!AK1635</f>
        <v>0</v>
      </c>
      <c r="AL1635">
        <f>[1]发票导入!AL1635</f>
        <v>0</v>
      </c>
      <c r="AM1635">
        <f>[1]发票导入!AM1635</f>
        <v>0</v>
      </c>
      <c r="AN1635" s="22">
        <f t="shared" si="1"/>
        <v>0</v>
      </c>
      <c r="AO1635" s="22">
        <f t="shared" si="2"/>
        <v>0</v>
      </c>
    </row>
    <row r="1636">
      <c r="C1636">
        <f>[1]发票导入!C1636&amp;""</f>
      </c>
      <c r="D1636">
        <f>[1]发票导入!D1636&amp;""</f>
      </c>
      <c r="O1636">
        <f>[1]发票导入!O1636&amp;""</f>
      </c>
      <c r="T1636">
        <f>[1]发票导入!T1636</f>
      </c>
      <c r="U1636">
        <f>[1]发票导入!U1636&amp;""</f>
      </c>
      <c r="V1636">
        <f>[1]发票导入!V1636&amp;""</f>
      </c>
      <c r="W1636">
        <f>[1]发票导入!W1636&amp;""</f>
      </c>
      <c r="Y1636">
        <f>[1]发票导入!Y1636&amp;""</f>
      </c>
      <c r="AA1636">
        <f>[1]发票导入!AA1636&amp;""</f>
      </c>
      <c r="AB1636">
        <f>[1]发票导入!AB1636</f>
        <v>0</v>
      </c>
      <c r="AC1636">
        <f>[1]发票导入!AC1636</f>
        <v>0</v>
      </c>
      <c r="AE1636" s="22">
        <f t="shared" si="0"/>
      </c>
      <c r="AI1636">
        <f>[1]发票导入!AI1636&amp;""</f>
      </c>
      <c r="AJ1636">
        <f>[1]发票导入!AJ1636&amp;""</f>
      </c>
      <c r="AK1636">
        <f>[1]发票导入!AK1636</f>
        <v>0</v>
      </c>
      <c r="AL1636">
        <f>[1]发票导入!AL1636</f>
        <v>0</v>
      </c>
      <c r="AM1636">
        <f>[1]发票导入!AM1636</f>
        <v>0</v>
      </c>
      <c r="AN1636" s="22">
        <f t="shared" si="1"/>
        <v>0</v>
      </c>
      <c r="AO1636" s="22">
        <f t="shared" si="2"/>
        <v>0</v>
      </c>
    </row>
    <row r="1637">
      <c r="C1637">
        <f>[1]发票导入!C1637&amp;""</f>
      </c>
      <c r="D1637">
        <f>[1]发票导入!D1637&amp;""</f>
      </c>
      <c r="O1637">
        <f>[1]发票导入!O1637&amp;""</f>
      </c>
      <c r="T1637">
        <f>[1]发票导入!T1637</f>
      </c>
      <c r="U1637">
        <f>[1]发票导入!U1637&amp;""</f>
      </c>
      <c r="V1637">
        <f>[1]发票导入!V1637&amp;""</f>
      </c>
      <c r="W1637">
        <f>[1]发票导入!W1637&amp;""</f>
      </c>
      <c r="Y1637">
        <f>[1]发票导入!Y1637&amp;""</f>
      </c>
      <c r="AA1637">
        <f>[1]发票导入!AA1637&amp;""</f>
      </c>
      <c r="AB1637">
        <f>[1]发票导入!AB1637</f>
        <v>0</v>
      </c>
      <c r="AC1637">
        <f>[1]发票导入!AC1637</f>
        <v>0</v>
      </c>
      <c r="AE1637" s="22">
        <f t="shared" si="0"/>
      </c>
      <c r="AI1637">
        <f>[1]发票导入!AI1637&amp;""</f>
      </c>
      <c r="AJ1637">
        <f>[1]发票导入!AJ1637&amp;""</f>
      </c>
      <c r="AK1637">
        <f>[1]发票导入!AK1637</f>
        <v>0</v>
      </c>
      <c r="AL1637">
        <f>[1]发票导入!AL1637</f>
        <v>0</v>
      </c>
      <c r="AM1637">
        <f>[1]发票导入!AM1637</f>
        <v>0</v>
      </c>
      <c r="AN1637" s="22">
        <f t="shared" si="1"/>
        <v>0</v>
      </c>
      <c r="AO1637" s="22">
        <f t="shared" si="2"/>
        <v>0</v>
      </c>
    </row>
    <row r="1638">
      <c r="C1638">
        <f>[1]发票导入!C1638&amp;""</f>
      </c>
      <c r="D1638">
        <f>[1]发票导入!D1638&amp;""</f>
      </c>
      <c r="O1638">
        <f>[1]发票导入!O1638&amp;""</f>
      </c>
      <c r="T1638">
        <f>[1]发票导入!T1638</f>
      </c>
      <c r="U1638">
        <f>[1]发票导入!U1638&amp;""</f>
      </c>
      <c r="V1638">
        <f>[1]发票导入!V1638&amp;""</f>
      </c>
      <c r="W1638">
        <f>[1]发票导入!W1638&amp;""</f>
      </c>
      <c r="Y1638">
        <f>[1]发票导入!Y1638&amp;""</f>
      </c>
      <c r="AA1638">
        <f>[1]发票导入!AA1638&amp;""</f>
      </c>
      <c r="AB1638">
        <f>[1]发票导入!AB1638</f>
        <v>0</v>
      </c>
      <c r="AC1638">
        <f>[1]发票导入!AC1638</f>
        <v>0</v>
      </c>
      <c r="AE1638" s="22">
        <f t="shared" si="0"/>
      </c>
      <c r="AI1638">
        <f>[1]发票导入!AI1638&amp;""</f>
      </c>
      <c r="AJ1638">
        <f>[1]发票导入!AJ1638&amp;""</f>
      </c>
      <c r="AK1638">
        <f>[1]发票导入!AK1638</f>
        <v>0</v>
      </c>
      <c r="AL1638">
        <f>[1]发票导入!AL1638</f>
        <v>0</v>
      </c>
      <c r="AM1638">
        <f>[1]发票导入!AM1638</f>
        <v>0</v>
      </c>
      <c r="AN1638" s="22">
        <f t="shared" si="1"/>
        <v>0</v>
      </c>
      <c r="AO1638" s="22">
        <f t="shared" si="2"/>
        <v>0</v>
      </c>
    </row>
    <row r="1639">
      <c r="C1639">
        <f>[1]发票导入!C1639&amp;""</f>
      </c>
      <c r="D1639">
        <f>[1]发票导入!D1639&amp;""</f>
      </c>
      <c r="O1639">
        <f>[1]发票导入!O1639&amp;""</f>
      </c>
      <c r="T1639">
        <f>[1]发票导入!T1639</f>
      </c>
      <c r="U1639">
        <f>[1]发票导入!U1639&amp;""</f>
      </c>
      <c r="V1639">
        <f>[1]发票导入!V1639&amp;""</f>
      </c>
      <c r="W1639">
        <f>[1]发票导入!W1639&amp;""</f>
      </c>
      <c r="Y1639">
        <f>[1]发票导入!Y1639&amp;""</f>
      </c>
      <c r="AA1639">
        <f>[1]发票导入!AA1639&amp;""</f>
      </c>
      <c r="AB1639">
        <f>[1]发票导入!AB1639</f>
        <v>0</v>
      </c>
      <c r="AC1639">
        <f>[1]发票导入!AC1639</f>
        <v>0</v>
      </c>
      <c r="AE1639" s="22">
        <f t="shared" si="0"/>
      </c>
      <c r="AI1639">
        <f>[1]发票导入!AI1639&amp;""</f>
      </c>
      <c r="AJ1639">
        <f>[1]发票导入!AJ1639&amp;""</f>
      </c>
      <c r="AK1639">
        <f>[1]发票导入!AK1639</f>
        <v>0</v>
      </c>
      <c r="AL1639">
        <f>[1]发票导入!AL1639</f>
        <v>0</v>
      </c>
      <c r="AM1639">
        <f>[1]发票导入!AM1639</f>
        <v>0</v>
      </c>
      <c r="AN1639" s="22">
        <f t="shared" si="1"/>
        <v>0</v>
      </c>
      <c r="AO1639" s="22">
        <f t="shared" si="2"/>
        <v>0</v>
      </c>
    </row>
    <row r="1640">
      <c r="C1640">
        <f>[1]发票导入!C1640&amp;""</f>
      </c>
      <c r="D1640">
        <f>[1]发票导入!D1640&amp;""</f>
      </c>
      <c r="O1640">
        <f>[1]发票导入!O1640&amp;""</f>
      </c>
      <c r="T1640">
        <f>[1]发票导入!T1640</f>
      </c>
      <c r="U1640">
        <f>[1]发票导入!U1640&amp;""</f>
      </c>
      <c r="V1640">
        <f>[1]发票导入!V1640&amp;""</f>
      </c>
      <c r="W1640">
        <f>[1]发票导入!W1640&amp;""</f>
      </c>
      <c r="Y1640">
        <f>[1]发票导入!Y1640&amp;""</f>
      </c>
      <c r="AA1640">
        <f>[1]发票导入!AA1640&amp;""</f>
      </c>
      <c r="AB1640">
        <f>[1]发票导入!AB1640</f>
        <v>0</v>
      </c>
      <c r="AC1640">
        <f>[1]发票导入!AC1640</f>
        <v>0</v>
      </c>
      <c r="AE1640" s="22">
        <f t="shared" si="0"/>
      </c>
      <c r="AI1640">
        <f>[1]发票导入!AI1640&amp;""</f>
      </c>
      <c r="AJ1640">
        <f>[1]发票导入!AJ1640&amp;""</f>
      </c>
      <c r="AK1640">
        <f>[1]发票导入!AK1640</f>
        <v>0</v>
      </c>
      <c r="AL1640">
        <f>[1]发票导入!AL1640</f>
        <v>0</v>
      </c>
      <c r="AM1640">
        <f>[1]发票导入!AM1640</f>
        <v>0</v>
      </c>
      <c r="AN1640" s="22">
        <f t="shared" si="1"/>
        <v>0</v>
      </c>
      <c r="AO1640" s="22">
        <f t="shared" si="2"/>
        <v>0</v>
      </c>
    </row>
    <row r="1641">
      <c r="C1641">
        <f>[1]发票导入!C1641&amp;""</f>
      </c>
      <c r="D1641">
        <f>[1]发票导入!D1641&amp;""</f>
      </c>
      <c r="O1641">
        <f>[1]发票导入!O1641&amp;""</f>
      </c>
      <c r="T1641">
        <f>[1]发票导入!T1641</f>
      </c>
      <c r="U1641">
        <f>[1]发票导入!U1641&amp;""</f>
      </c>
      <c r="V1641">
        <f>[1]发票导入!V1641&amp;""</f>
      </c>
      <c r="W1641">
        <f>[1]发票导入!W1641&amp;""</f>
      </c>
      <c r="Y1641">
        <f>[1]发票导入!Y1641&amp;""</f>
      </c>
      <c r="AA1641">
        <f>[1]发票导入!AA1641&amp;""</f>
      </c>
      <c r="AB1641">
        <f>[1]发票导入!AB1641</f>
        <v>0</v>
      </c>
      <c r="AC1641">
        <f>[1]发票导入!AC1641</f>
        <v>0</v>
      </c>
      <c r="AE1641" s="22">
        <f t="shared" si="0"/>
      </c>
      <c r="AI1641">
        <f>[1]发票导入!AI1641&amp;""</f>
      </c>
      <c r="AJ1641">
        <f>[1]发票导入!AJ1641&amp;""</f>
      </c>
      <c r="AK1641">
        <f>[1]发票导入!AK1641</f>
        <v>0</v>
      </c>
      <c r="AL1641">
        <f>[1]发票导入!AL1641</f>
        <v>0</v>
      </c>
      <c r="AM1641">
        <f>[1]发票导入!AM1641</f>
        <v>0</v>
      </c>
      <c r="AN1641" s="22">
        <f t="shared" si="1"/>
        <v>0</v>
      </c>
      <c r="AO1641" s="22">
        <f t="shared" si="2"/>
        <v>0</v>
      </c>
    </row>
    <row r="1642">
      <c r="C1642">
        <f>[1]发票导入!C1642&amp;""</f>
      </c>
      <c r="D1642">
        <f>[1]发票导入!D1642&amp;""</f>
      </c>
      <c r="O1642">
        <f>[1]发票导入!O1642&amp;""</f>
      </c>
      <c r="T1642">
        <f>[1]发票导入!T1642</f>
      </c>
      <c r="U1642">
        <f>[1]发票导入!U1642&amp;""</f>
      </c>
      <c r="V1642">
        <f>[1]发票导入!V1642&amp;""</f>
      </c>
      <c r="W1642">
        <f>[1]发票导入!W1642&amp;""</f>
      </c>
      <c r="Y1642">
        <f>[1]发票导入!Y1642&amp;""</f>
      </c>
      <c r="AA1642">
        <f>[1]发票导入!AA1642&amp;""</f>
      </c>
      <c r="AB1642">
        <f>[1]发票导入!AB1642</f>
        <v>0</v>
      </c>
      <c r="AC1642">
        <f>[1]发票导入!AC1642</f>
        <v>0</v>
      </c>
      <c r="AE1642" s="22">
        <f t="shared" si="0"/>
      </c>
      <c r="AI1642">
        <f>[1]发票导入!AI1642&amp;""</f>
      </c>
      <c r="AJ1642">
        <f>[1]发票导入!AJ1642&amp;""</f>
      </c>
      <c r="AK1642">
        <f>[1]发票导入!AK1642</f>
        <v>0</v>
      </c>
      <c r="AL1642">
        <f>[1]发票导入!AL1642</f>
        <v>0</v>
      </c>
      <c r="AM1642">
        <f>[1]发票导入!AM1642</f>
        <v>0</v>
      </c>
      <c r="AN1642" s="22">
        <f t="shared" si="1"/>
        <v>0</v>
      </c>
      <c r="AO1642" s="22">
        <f t="shared" si="2"/>
        <v>0</v>
      </c>
    </row>
    <row r="1643">
      <c r="C1643">
        <f>[1]发票导入!C1643&amp;""</f>
      </c>
      <c r="D1643">
        <f>[1]发票导入!D1643&amp;""</f>
      </c>
      <c r="O1643">
        <f>[1]发票导入!O1643&amp;""</f>
      </c>
      <c r="T1643">
        <f>[1]发票导入!T1643</f>
      </c>
      <c r="U1643">
        <f>[1]发票导入!U1643&amp;""</f>
      </c>
      <c r="V1643">
        <f>[1]发票导入!V1643&amp;""</f>
      </c>
      <c r="W1643">
        <f>[1]发票导入!W1643&amp;""</f>
      </c>
      <c r="Y1643">
        <f>[1]发票导入!Y1643&amp;""</f>
      </c>
      <c r="AA1643">
        <f>[1]发票导入!AA1643&amp;""</f>
      </c>
      <c r="AB1643">
        <f>[1]发票导入!AB1643</f>
        <v>0</v>
      </c>
      <c r="AC1643">
        <f>[1]发票导入!AC1643</f>
        <v>0</v>
      </c>
      <c r="AE1643" s="22">
        <f t="shared" si="0"/>
      </c>
      <c r="AI1643">
        <f>[1]发票导入!AI1643&amp;""</f>
      </c>
      <c r="AJ1643">
        <f>[1]发票导入!AJ1643&amp;""</f>
      </c>
      <c r="AK1643">
        <f>[1]发票导入!AK1643</f>
        <v>0</v>
      </c>
      <c r="AL1643">
        <f>[1]发票导入!AL1643</f>
        <v>0</v>
      </c>
      <c r="AM1643">
        <f>[1]发票导入!AM1643</f>
        <v>0</v>
      </c>
      <c r="AN1643" s="22">
        <f t="shared" si="1"/>
        <v>0</v>
      </c>
      <c r="AO1643" s="22">
        <f t="shared" si="2"/>
        <v>0</v>
      </c>
    </row>
    <row r="1644">
      <c r="C1644">
        <f>[1]发票导入!C1644&amp;""</f>
      </c>
      <c r="D1644">
        <f>[1]发票导入!D1644&amp;""</f>
      </c>
      <c r="O1644">
        <f>[1]发票导入!O1644&amp;""</f>
      </c>
      <c r="T1644">
        <f>[1]发票导入!T1644</f>
      </c>
      <c r="U1644">
        <f>[1]发票导入!U1644&amp;""</f>
      </c>
      <c r="V1644">
        <f>[1]发票导入!V1644&amp;""</f>
      </c>
      <c r="W1644">
        <f>[1]发票导入!W1644&amp;""</f>
      </c>
      <c r="Y1644">
        <f>[1]发票导入!Y1644&amp;""</f>
      </c>
      <c r="AA1644">
        <f>[1]发票导入!AA1644&amp;""</f>
      </c>
      <c r="AB1644">
        <f>[1]发票导入!AB1644</f>
        <v>0</v>
      </c>
      <c r="AC1644">
        <f>[1]发票导入!AC1644</f>
        <v>0</v>
      </c>
      <c r="AE1644" s="22">
        <f t="shared" si="0"/>
      </c>
      <c r="AI1644">
        <f>[1]发票导入!AI1644&amp;""</f>
      </c>
      <c r="AJ1644">
        <f>[1]发票导入!AJ1644&amp;""</f>
      </c>
      <c r="AK1644">
        <f>[1]发票导入!AK1644</f>
        <v>0</v>
      </c>
      <c r="AL1644">
        <f>[1]发票导入!AL1644</f>
        <v>0</v>
      </c>
      <c r="AM1644">
        <f>[1]发票导入!AM1644</f>
        <v>0</v>
      </c>
      <c r="AN1644" s="22">
        <f t="shared" si="1"/>
        <v>0</v>
      </c>
      <c r="AO1644" s="22">
        <f t="shared" si="2"/>
        <v>0</v>
      </c>
    </row>
    <row r="1645">
      <c r="C1645">
        <f>[1]发票导入!C1645&amp;""</f>
      </c>
      <c r="D1645">
        <f>[1]发票导入!D1645&amp;""</f>
      </c>
      <c r="O1645">
        <f>[1]发票导入!O1645&amp;""</f>
      </c>
      <c r="T1645">
        <f>[1]发票导入!T1645</f>
      </c>
      <c r="U1645">
        <f>[1]发票导入!U1645&amp;""</f>
      </c>
      <c r="V1645">
        <f>[1]发票导入!V1645&amp;""</f>
      </c>
      <c r="W1645">
        <f>[1]发票导入!W1645&amp;""</f>
      </c>
      <c r="Y1645">
        <f>[1]发票导入!Y1645&amp;""</f>
      </c>
      <c r="AA1645">
        <f>[1]发票导入!AA1645&amp;""</f>
      </c>
      <c r="AB1645">
        <f>[1]发票导入!AB1645</f>
        <v>0</v>
      </c>
      <c r="AC1645">
        <f>[1]发票导入!AC1645</f>
        <v>0</v>
      </c>
      <c r="AE1645" s="22">
        <f t="shared" si="0"/>
      </c>
      <c r="AI1645">
        <f>[1]发票导入!AI1645&amp;""</f>
      </c>
      <c r="AJ1645">
        <f>[1]发票导入!AJ1645&amp;""</f>
      </c>
      <c r="AK1645">
        <f>[1]发票导入!AK1645</f>
        <v>0</v>
      </c>
      <c r="AL1645">
        <f>[1]发票导入!AL1645</f>
        <v>0</v>
      </c>
      <c r="AM1645">
        <f>[1]发票导入!AM1645</f>
        <v>0</v>
      </c>
      <c r="AN1645" s="22">
        <f t="shared" si="1"/>
        <v>0</v>
      </c>
      <c r="AO1645" s="22">
        <f t="shared" si="2"/>
        <v>0</v>
      </c>
    </row>
    <row r="1646">
      <c r="C1646">
        <f>[1]发票导入!C1646&amp;""</f>
      </c>
      <c r="D1646">
        <f>[1]发票导入!D1646&amp;""</f>
      </c>
      <c r="O1646">
        <f>[1]发票导入!O1646&amp;""</f>
      </c>
      <c r="T1646">
        <f>[1]发票导入!T1646</f>
      </c>
      <c r="U1646">
        <f>[1]发票导入!U1646&amp;""</f>
      </c>
      <c r="V1646">
        <f>[1]发票导入!V1646&amp;""</f>
      </c>
      <c r="W1646">
        <f>[1]发票导入!W1646&amp;""</f>
      </c>
      <c r="Y1646">
        <f>[1]发票导入!Y1646&amp;""</f>
      </c>
      <c r="AA1646">
        <f>[1]发票导入!AA1646&amp;""</f>
      </c>
      <c r="AB1646">
        <f>[1]发票导入!AB1646</f>
        <v>0</v>
      </c>
      <c r="AC1646">
        <f>[1]发票导入!AC1646</f>
        <v>0</v>
      </c>
      <c r="AE1646" s="22">
        <f t="shared" si="0"/>
      </c>
      <c r="AI1646">
        <f>[1]发票导入!AI1646&amp;""</f>
      </c>
      <c r="AJ1646">
        <f>[1]发票导入!AJ1646&amp;""</f>
      </c>
      <c r="AK1646">
        <f>[1]发票导入!AK1646</f>
        <v>0</v>
      </c>
      <c r="AL1646">
        <f>[1]发票导入!AL1646</f>
        <v>0</v>
      </c>
      <c r="AM1646">
        <f>[1]发票导入!AM1646</f>
        <v>0</v>
      </c>
      <c r="AN1646" s="22">
        <f t="shared" si="1"/>
        <v>0</v>
      </c>
      <c r="AO1646" s="22">
        <f t="shared" si="2"/>
        <v>0</v>
      </c>
    </row>
    <row r="1647">
      <c r="C1647">
        <f>[1]发票导入!C1647&amp;""</f>
      </c>
      <c r="D1647">
        <f>[1]发票导入!D1647&amp;""</f>
      </c>
      <c r="O1647">
        <f>[1]发票导入!O1647&amp;""</f>
      </c>
      <c r="T1647">
        <f>[1]发票导入!T1647</f>
      </c>
      <c r="U1647">
        <f>[1]发票导入!U1647&amp;""</f>
      </c>
      <c r="V1647">
        <f>[1]发票导入!V1647&amp;""</f>
      </c>
      <c r="W1647">
        <f>[1]发票导入!W1647&amp;""</f>
      </c>
      <c r="Y1647">
        <f>[1]发票导入!Y1647&amp;""</f>
      </c>
      <c r="AA1647">
        <f>[1]发票导入!AA1647&amp;""</f>
      </c>
      <c r="AB1647">
        <f>[1]发票导入!AB1647</f>
        <v>0</v>
      </c>
      <c r="AC1647">
        <f>[1]发票导入!AC1647</f>
        <v>0</v>
      </c>
      <c r="AE1647" s="22">
        <f t="shared" si="0"/>
      </c>
      <c r="AI1647">
        <f>[1]发票导入!AI1647&amp;""</f>
      </c>
      <c r="AJ1647">
        <f>[1]发票导入!AJ1647&amp;""</f>
      </c>
      <c r="AK1647">
        <f>[1]发票导入!AK1647</f>
        <v>0</v>
      </c>
      <c r="AL1647">
        <f>[1]发票导入!AL1647</f>
        <v>0</v>
      </c>
      <c r="AM1647">
        <f>[1]发票导入!AM1647</f>
        <v>0</v>
      </c>
      <c r="AN1647" s="22">
        <f t="shared" si="1"/>
        <v>0</v>
      </c>
      <c r="AO1647" s="22">
        <f t="shared" si="2"/>
        <v>0</v>
      </c>
    </row>
    <row r="1648">
      <c r="C1648">
        <f>[1]发票导入!C1648&amp;""</f>
      </c>
      <c r="D1648">
        <f>[1]发票导入!D1648&amp;""</f>
      </c>
      <c r="O1648">
        <f>[1]发票导入!O1648&amp;""</f>
      </c>
      <c r="T1648">
        <f>[1]发票导入!T1648</f>
      </c>
      <c r="U1648">
        <f>[1]发票导入!U1648&amp;""</f>
      </c>
      <c r="V1648">
        <f>[1]发票导入!V1648&amp;""</f>
      </c>
      <c r="W1648">
        <f>[1]发票导入!W1648&amp;""</f>
      </c>
      <c r="Y1648">
        <f>[1]发票导入!Y1648&amp;""</f>
      </c>
      <c r="AA1648">
        <f>[1]发票导入!AA1648&amp;""</f>
      </c>
      <c r="AB1648">
        <f>[1]发票导入!AB1648</f>
        <v>0</v>
      </c>
      <c r="AC1648">
        <f>[1]发票导入!AC1648</f>
        <v>0</v>
      </c>
      <c r="AE1648" s="22">
        <f t="shared" si="0"/>
      </c>
      <c r="AI1648">
        <f>[1]发票导入!AI1648&amp;""</f>
      </c>
      <c r="AJ1648">
        <f>[1]发票导入!AJ1648&amp;""</f>
      </c>
      <c r="AK1648">
        <f>[1]发票导入!AK1648</f>
        <v>0</v>
      </c>
      <c r="AL1648">
        <f>[1]发票导入!AL1648</f>
        <v>0</v>
      </c>
      <c r="AM1648">
        <f>[1]发票导入!AM1648</f>
        <v>0</v>
      </c>
      <c r="AN1648" s="22">
        <f t="shared" si="1"/>
        <v>0</v>
      </c>
      <c r="AO1648" s="22">
        <f t="shared" si="2"/>
        <v>0</v>
      </c>
    </row>
    <row r="1649">
      <c r="C1649">
        <f>[1]发票导入!C1649&amp;""</f>
      </c>
      <c r="D1649">
        <f>[1]发票导入!D1649&amp;""</f>
      </c>
      <c r="O1649">
        <f>[1]发票导入!O1649&amp;""</f>
      </c>
      <c r="T1649">
        <f>[1]发票导入!T1649</f>
      </c>
      <c r="U1649">
        <f>[1]发票导入!U1649&amp;""</f>
      </c>
      <c r="V1649">
        <f>[1]发票导入!V1649&amp;""</f>
      </c>
      <c r="W1649">
        <f>[1]发票导入!W1649&amp;""</f>
      </c>
      <c r="Y1649">
        <f>[1]发票导入!Y1649&amp;""</f>
      </c>
      <c r="AA1649">
        <f>[1]发票导入!AA1649&amp;""</f>
      </c>
      <c r="AB1649">
        <f>[1]发票导入!AB1649</f>
        <v>0</v>
      </c>
      <c r="AC1649">
        <f>[1]发票导入!AC1649</f>
        <v>0</v>
      </c>
      <c r="AE1649" s="22">
        <f t="shared" si="0"/>
      </c>
      <c r="AI1649">
        <f>[1]发票导入!AI1649&amp;""</f>
      </c>
      <c r="AJ1649">
        <f>[1]发票导入!AJ1649&amp;""</f>
      </c>
      <c r="AK1649">
        <f>[1]发票导入!AK1649</f>
        <v>0</v>
      </c>
      <c r="AL1649">
        <f>[1]发票导入!AL1649</f>
        <v>0</v>
      </c>
      <c r="AM1649">
        <f>[1]发票导入!AM1649</f>
        <v>0</v>
      </c>
      <c r="AN1649" s="22">
        <f t="shared" si="1"/>
        <v>0</v>
      </c>
      <c r="AO1649" s="22">
        <f t="shared" si="2"/>
        <v>0</v>
      </c>
    </row>
    <row r="1650">
      <c r="C1650">
        <f>[1]发票导入!C1650&amp;""</f>
      </c>
      <c r="D1650">
        <f>[1]发票导入!D1650&amp;""</f>
      </c>
      <c r="O1650">
        <f>[1]发票导入!O1650&amp;""</f>
      </c>
      <c r="T1650">
        <f>[1]发票导入!T1650</f>
      </c>
      <c r="U1650">
        <f>[1]发票导入!U1650&amp;""</f>
      </c>
      <c r="V1650">
        <f>[1]发票导入!V1650&amp;""</f>
      </c>
      <c r="W1650">
        <f>[1]发票导入!W1650&amp;""</f>
      </c>
      <c r="Y1650">
        <f>[1]发票导入!Y1650&amp;""</f>
      </c>
      <c r="AA1650">
        <f>[1]发票导入!AA1650&amp;""</f>
      </c>
      <c r="AB1650">
        <f>[1]发票导入!AB1650</f>
        <v>0</v>
      </c>
      <c r="AC1650">
        <f>[1]发票导入!AC1650</f>
        <v>0</v>
      </c>
      <c r="AE1650" s="22">
        <f t="shared" si="0"/>
      </c>
      <c r="AI1650">
        <f>[1]发票导入!AI1650&amp;""</f>
      </c>
      <c r="AJ1650">
        <f>[1]发票导入!AJ1650&amp;""</f>
      </c>
      <c r="AK1650">
        <f>[1]发票导入!AK1650</f>
        <v>0</v>
      </c>
      <c r="AL1650">
        <f>[1]发票导入!AL1650</f>
        <v>0</v>
      </c>
      <c r="AM1650">
        <f>[1]发票导入!AM1650</f>
        <v>0</v>
      </c>
      <c r="AN1650" s="22">
        <f t="shared" si="1"/>
        <v>0</v>
      </c>
      <c r="AO1650" s="22">
        <f t="shared" si="2"/>
        <v>0</v>
      </c>
    </row>
    <row r="1651">
      <c r="C1651">
        <f>[1]发票导入!C1651&amp;""</f>
      </c>
      <c r="D1651">
        <f>[1]发票导入!D1651&amp;""</f>
      </c>
      <c r="O1651">
        <f>[1]发票导入!O1651&amp;""</f>
      </c>
      <c r="T1651">
        <f>[1]发票导入!T1651</f>
      </c>
      <c r="U1651">
        <f>[1]发票导入!U1651&amp;""</f>
      </c>
      <c r="V1651">
        <f>[1]发票导入!V1651&amp;""</f>
      </c>
      <c r="W1651">
        <f>[1]发票导入!W1651&amp;""</f>
      </c>
      <c r="Y1651">
        <f>[1]发票导入!Y1651&amp;""</f>
      </c>
      <c r="AA1651">
        <f>[1]发票导入!AA1651&amp;""</f>
      </c>
      <c r="AB1651">
        <f>[1]发票导入!AB1651</f>
        <v>0</v>
      </c>
      <c r="AC1651">
        <f>[1]发票导入!AC1651</f>
        <v>0</v>
      </c>
      <c r="AE1651" s="22">
        <f t="shared" si="0"/>
      </c>
      <c r="AI1651">
        <f>[1]发票导入!AI1651&amp;""</f>
      </c>
      <c r="AJ1651">
        <f>[1]发票导入!AJ1651&amp;""</f>
      </c>
      <c r="AK1651">
        <f>[1]发票导入!AK1651</f>
        <v>0</v>
      </c>
      <c r="AL1651">
        <f>[1]发票导入!AL1651</f>
        <v>0</v>
      </c>
      <c r="AM1651">
        <f>[1]发票导入!AM1651</f>
        <v>0</v>
      </c>
      <c r="AN1651" s="22">
        <f t="shared" si="1"/>
        <v>0</v>
      </c>
      <c r="AO1651" s="22">
        <f t="shared" si="2"/>
        <v>0</v>
      </c>
    </row>
    <row r="1652">
      <c r="C1652">
        <f>[1]发票导入!C1652&amp;""</f>
      </c>
      <c r="D1652">
        <f>[1]发票导入!D1652&amp;""</f>
      </c>
      <c r="O1652">
        <f>[1]发票导入!O1652&amp;""</f>
      </c>
      <c r="T1652">
        <f>[1]发票导入!T1652</f>
      </c>
      <c r="U1652">
        <f>[1]发票导入!U1652&amp;""</f>
      </c>
      <c r="V1652">
        <f>[1]发票导入!V1652&amp;""</f>
      </c>
      <c r="W1652">
        <f>[1]发票导入!W1652&amp;""</f>
      </c>
      <c r="Y1652">
        <f>[1]发票导入!Y1652&amp;""</f>
      </c>
      <c r="AA1652">
        <f>[1]发票导入!AA1652&amp;""</f>
      </c>
      <c r="AB1652">
        <f>[1]发票导入!AB1652</f>
        <v>0</v>
      </c>
      <c r="AC1652">
        <f>[1]发票导入!AC1652</f>
        <v>0</v>
      </c>
      <c r="AE1652" s="22">
        <f t="shared" si="0"/>
      </c>
      <c r="AI1652">
        <f>[1]发票导入!AI1652&amp;""</f>
      </c>
      <c r="AJ1652">
        <f>[1]发票导入!AJ1652&amp;""</f>
      </c>
      <c r="AK1652">
        <f>[1]发票导入!AK1652</f>
        <v>0</v>
      </c>
      <c r="AL1652">
        <f>[1]发票导入!AL1652</f>
        <v>0</v>
      </c>
      <c r="AM1652">
        <f>[1]发票导入!AM1652</f>
        <v>0</v>
      </c>
      <c r="AN1652" s="22">
        <f t="shared" si="1"/>
        <v>0</v>
      </c>
      <c r="AO1652" s="22">
        <f t="shared" si="2"/>
        <v>0</v>
      </c>
    </row>
    <row r="1653">
      <c r="C1653">
        <f>[1]发票导入!C1653&amp;""</f>
      </c>
      <c r="D1653">
        <f>[1]发票导入!D1653&amp;""</f>
      </c>
      <c r="O1653">
        <f>[1]发票导入!O1653&amp;""</f>
      </c>
      <c r="T1653">
        <f>[1]发票导入!T1653</f>
      </c>
      <c r="U1653">
        <f>[1]发票导入!U1653&amp;""</f>
      </c>
      <c r="V1653">
        <f>[1]发票导入!V1653&amp;""</f>
      </c>
      <c r="W1653">
        <f>[1]发票导入!W1653&amp;""</f>
      </c>
      <c r="Y1653">
        <f>[1]发票导入!Y1653&amp;""</f>
      </c>
      <c r="AA1653">
        <f>[1]发票导入!AA1653&amp;""</f>
      </c>
      <c r="AB1653">
        <f>[1]发票导入!AB1653</f>
        <v>0</v>
      </c>
      <c r="AC1653">
        <f>[1]发票导入!AC1653</f>
        <v>0</v>
      </c>
      <c r="AE1653" s="22">
        <f t="shared" si="0"/>
      </c>
      <c r="AI1653">
        <f>[1]发票导入!AI1653&amp;""</f>
      </c>
      <c r="AJ1653">
        <f>[1]发票导入!AJ1653&amp;""</f>
      </c>
      <c r="AK1653">
        <f>[1]发票导入!AK1653</f>
        <v>0</v>
      </c>
      <c r="AL1653">
        <f>[1]发票导入!AL1653</f>
        <v>0</v>
      </c>
      <c r="AM1653">
        <f>[1]发票导入!AM1653</f>
        <v>0</v>
      </c>
      <c r="AN1653" s="22">
        <f t="shared" si="1"/>
        <v>0</v>
      </c>
      <c r="AO1653" s="22">
        <f t="shared" si="2"/>
        <v>0</v>
      </c>
    </row>
    <row r="1654">
      <c r="C1654">
        <f>[1]发票导入!C1654&amp;""</f>
      </c>
      <c r="D1654">
        <f>[1]发票导入!D1654&amp;""</f>
      </c>
      <c r="O1654">
        <f>[1]发票导入!O1654&amp;""</f>
      </c>
      <c r="T1654">
        <f>[1]发票导入!T1654</f>
      </c>
      <c r="U1654">
        <f>[1]发票导入!U1654&amp;""</f>
      </c>
      <c r="V1654">
        <f>[1]发票导入!V1654&amp;""</f>
      </c>
      <c r="W1654">
        <f>[1]发票导入!W1654&amp;""</f>
      </c>
      <c r="Y1654">
        <f>[1]发票导入!Y1654&amp;""</f>
      </c>
      <c r="AA1654">
        <f>[1]发票导入!AA1654&amp;""</f>
      </c>
      <c r="AB1654">
        <f>[1]发票导入!AB1654</f>
        <v>0</v>
      </c>
      <c r="AC1654">
        <f>[1]发票导入!AC1654</f>
        <v>0</v>
      </c>
      <c r="AE1654" s="22">
        <f t="shared" si="0"/>
      </c>
      <c r="AI1654">
        <f>[1]发票导入!AI1654&amp;""</f>
      </c>
      <c r="AJ1654">
        <f>[1]发票导入!AJ1654&amp;""</f>
      </c>
      <c r="AK1654">
        <f>[1]发票导入!AK1654</f>
        <v>0</v>
      </c>
      <c r="AL1654">
        <f>[1]发票导入!AL1654</f>
        <v>0</v>
      </c>
      <c r="AM1654">
        <f>[1]发票导入!AM1654</f>
        <v>0</v>
      </c>
      <c r="AN1654" s="22">
        <f t="shared" si="1"/>
        <v>0</v>
      </c>
      <c r="AO1654" s="22">
        <f t="shared" si="2"/>
        <v>0</v>
      </c>
    </row>
    <row r="1655">
      <c r="C1655">
        <f>[1]发票导入!C1655&amp;""</f>
      </c>
      <c r="D1655">
        <f>[1]发票导入!D1655&amp;""</f>
      </c>
      <c r="O1655">
        <f>[1]发票导入!O1655&amp;""</f>
      </c>
      <c r="T1655">
        <f>[1]发票导入!T1655</f>
      </c>
      <c r="U1655">
        <f>[1]发票导入!U1655&amp;""</f>
      </c>
      <c r="V1655">
        <f>[1]发票导入!V1655&amp;""</f>
      </c>
      <c r="W1655">
        <f>[1]发票导入!W1655&amp;""</f>
      </c>
      <c r="Y1655">
        <f>[1]发票导入!Y1655&amp;""</f>
      </c>
      <c r="AA1655">
        <f>[1]发票导入!AA1655&amp;""</f>
      </c>
      <c r="AB1655">
        <f>[1]发票导入!AB1655</f>
        <v>0</v>
      </c>
      <c r="AC1655">
        <f>[1]发票导入!AC1655</f>
        <v>0</v>
      </c>
      <c r="AE1655" s="22">
        <f t="shared" si="0"/>
      </c>
      <c r="AI1655">
        <f>[1]发票导入!AI1655&amp;""</f>
      </c>
      <c r="AJ1655">
        <f>[1]发票导入!AJ1655&amp;""</f>
      </c>
      <c r="AK1655">
        <f>[1]发票导入!AK1655</f>
        <v>0</v>
      </c>
      <c r="AL1655">
        <f>[1]发票导入!AL1655</f>
        <v>0</v>
      </c>
      <c r="AM1655">
        <f>[1]发票导入!AM1655</f>
        <v>0</v>
      </c>
      <c r="AN1655" s="22">
        <f t="shared" si="1"/>
        <v>0</v>
      </c>
      <c r="AO1655" s="22">
        <f t="shared" si="2"/>
        <v>0</v>
      </c>
    </row>
    <row r="1656">
      <c r="C1656">
        <f>[1]发票导入!C1656&amp;""</f>
      </c>
      <c r="D1656">
        <f>[1]发票导入!D1656&amp;""</f>
      </c>
      <c r="O1656">
        <f>[1]发票导入!O1656&amp;""</f>
      </c>
      <c r="T1656">
        <f>[1]发票导入!T1656</f>
      </c>
      <c r="U1656">
        <f>[1]发票导入!U1656&amp;""</f>
      </c>
      <c r="V1656">
        <f>[1]发票导入!V1656&amp;""</f>
      </c>
      <c r="W1656">
        <f>[1]发票导入!W1656&amp;""</f>
      </c>
      <c r="Y1656">
        <f>[1]发票导入!Y1656&amp;""</f>
      </c>
      <c r="AA1656">
        <f>[1]发票导入!AA1656&amp;""</f>
      </c>
      <c r="AB1656">
        <f>[1]发票导入!AB1656</f>
        <v>0</v>
      </c>
      <c r="AC1656">
        <f>[1]发票导入!AC1656</f>
        <v>0</v>
      </c>
      <c r="AE1656" s="22">
        <f t="shared" si="0"/>
      </c>
      <c r="AI1656">
        <f>[1]发票导入!AI1656&amp;""</f>
      </c>
      <c r="AJ1656">
        <f>[1]发票导入!AJ1656&amp;""</f>
      </c>
      <c r="AK1656">
        <f>[1]发票导入!AK1656</f>
        <v>0</v>
      </c>
      <c r="AL1656">
        <f>[1]发票导入!AL1656</f>
        <v>0</v>
      </c>
      <c r="AM1656">
        <f>[1]发票导入!AM1656</f>
        <v>0</v>
      </c>
      <c r="AN1656" s="22">
        <f t="shared" si="1"/>
        <v>0</v>
      </c>
      <c r="AO1656" s="22">
        <f t="shared" si="2"/>
        <v>0</v>
      </c>
    </row>
    <row r="1657">
      <c r="C1657">
        <f>[1]发票导入!C1657&amp;""</f>
      </c>
      <c r="D1657">
        <f>[1]发票导入!D1657&amp;""</f>
      </c>
      <c r="O1657">
        <f>[1]发票导入!O1657&amp;""</f>
      </c>
      <c r="T1657">
        <f>[1]发票导入!T1657</f>
      </c>
      <c r="U1657">
        <f>[1]发票导入!U1657&amp;""</f>
      </c>
      <c r="V1657">
        <f>[1]发票导入!V1657&amp;""</f>
      </c>
      <c r="W1657">
        <f>[1]发票导入!W1657&amp;""</f>
      </c>
      <c r="Y1657">
        <f>[1]发票导入!Y1657&amp;""</f>
      </c>
      <c r="AA1657">
        <f>[1]发票导入!AA1657&amp;""</f>
      </c>
      <c r="AB1657">
        <f>[1]发票导入!AB1657</f>
        <v>0</v>
      </c>
      <c r="AC1657">
        <f>[1]发票导入!AC1657</f>
        <v>0</v>
      </c>
      <c r="AE1657" s="22">
        <f t="shared" si="0"/>
      </c>
      <c r="AI1657">
        <f>[1]发票导入!AI1657&amp;""</f>
      </c>
      <c r="AJ1657">
        <f>[1]发票导入!AJ1657&amp;""</f>
      </c>
      <c r="AK1657">
        <f>[1]发票导入!AK1657</f>
        <v>0</v>
      </c>
      <c r="AL1657">
        <f>[1]发票导入!AL1657</f>
        <v>0</v>
      </c>
      <c r="AM1657">
        <f>[1]发票导入!AM1657</f>
        <v>0</v>
      </c>
      <c r="AN1657" s="22">
        <f t="shared" si="1"/>
        <v>0</v>
      </c>
      <c r="AO1657" s="22">
        <f t="shared" si="2"/>
        <v>0</v>
      </c>
    </row>
    <row r="1658">
      <c r="C1658">
        <f>[1]发票导入!C1658&amp;""</f>
      </c>
      <c r="D1658">
        <f>[1]发票导入!D1658&amp;""</f>
      </c>
      <c r="O1658">
        <f>[1]发票导入!O1658&amp;""</f>
      </c>
      <c r="T1658">
        <f>[1]发票导入!T1658</f>
      </c>
      <c r="U1658">
        <f>[1]发票导入!U1658&amp;""</f>
      </c>
      <c r="V1658">
        <f>[1]发票导入!V1658&amp;""</f>
      </c>
      <c r="W1658">
        <f>[1]发票导入!W1658&amp;""</f>
      </c>
      <c r="Y1658">
        <f>[1]发票导入!Y1658&amp;""</f>
      </c>
      <c r="AA1658">
        <f>[1]发票导入!AA1658&amp;""</f>
      </c>
      <c r="AB1658">
        <f>[1]发票导入!AB1658</f>
        <v>0</v>
      </c>
      <c r="AC1658">
        <f>[1]发票导入!AC1658</f>
        <v>0</v>
      </c>
      <c r="AE1658" s="22">
        <f t="shared" si="0"/>
      </c>
      <c r="AI1658">
        <f>[1]发票导入!AI1658&amp;""</f>
      </c>
      <c r="AJ1658">
        <f>[1]发票导入!AJ1658&amp;""</f>
      </c>
      <c r="AK1658">
        <f>[1]发票导入!AK1658</f>
        <v>0</v>
      </c>
      <c r="AL1658">
        <f>[1]发票导入!AL1658</f>
        <v>0</v>
      </c>
      <c r="AM1658">
        <f>[1]发票导入!AM1658</f>
        <v>0</v>
      </c>
      <c r="AN1658" s="22">
        <f t="shared" si="1"/>
        <v>0</v>
      </c>
      <c r="AO1658" s="22">
        <f t="shared" si="2"/>
        <v>0</v>
      </c>
    </row>
    <row r="1659">
      <c r="C1659">
        <f>[1]发票导入!C1659&amp;""</f>
      </c>
      <c r="D1659">
        <f>[1]发票导入!D1659&amp;""</f>
      </c>
      <c r="O1659">
        <f>[1]发票导入!O1659&amp;""</f>
      </c>
      <c r="T1659">
        <f>[1]发票导入!T1659</f>
      </c>
      <c r="U1659">
        <f>[1]发票导入!U1659&amp;""</f>
      </c>
      <c r="V1659">
        <f>[1]发票导入!V1659&amp;""</f>
      </c>
      <c r="W1659">
        <f>[1]发票导入!W1659&amp;""</f>
      </c>
      <c r="Y1659">
        <f>[1]发票导入!Y1659&amp;""</f>
      </c>
      <c r="AA1659">
        <f>[1]发票导入!AA1659&amp;""</f>
      </c>
      <c r="AB1659">
        <f>[1]发票导入!AB1659</f>
        <v>0</v>
      </c>
      <c r="AC1659">
        <f>[1]发票导入!AC1659</f>
        <v>0</v>
      </c>
      <c r="AE1659" s="22">
        <f t="shared" si="0"/>
      </c>
      <c r="AI1659">
        <f>[1]发票导入!AI1659&amp;""</f>
      </c>
      <c r="AJ1659">
        <f>[1]发票导入!AJ1659&amp;""</f>
      </c>
      <c r="AK1659">
        <f>[1]发票导入!AK1659</f>
        <v>0</v>
      </c>
      <c r="AL1659">
        <f>[1]发票导入!AL1659</f>
        <v>0</v>
      </c>
      <c r="AM1659">
        <f>[1]发票导入!AM1659</f>
        <v>0</v>
      </c>
      <c r="AN1659" s="22">
        <f t="shared" si="1"/>
        <v>0</v>
      </c>
      <c r="AO1659" s="22">
        <f t="shared" si="2"/>
        <v>0</v>
      </c>
    </row>
    <row r="1660">
      <c r="C1660">
        <f>[1]发票导入!C1660&amp;""</f>
      </c>
      <c r="D1660">
        <f>[1]发票导入!D1660&amp;""</f>
      </c>
      <c r="O1660">
        <f>[1]发票导入!O1660&amp;""</f>
      </c>
      <c r="T1660">
        <f>[1]发票导入!T1660</f>
      </c>
      <c r="U1660">
        <f>[1]发票导入!U1660&amp;""</f>
      </c>
      <c r="V1660">
        <f>[1]发票导入!V1660&amp;""</f>
      </c>
      <c r="W1660">
        <f>[1]发票导入!W1660&amp;""</f>
      </c>
      <c r="Y1660">
        <f>[1]发票导入!Y1660&amp;""</f>
      </c>
      <c r="AA1660">
        <f>[1]发票导入!AA1660&amp;""</f>
      </c>
      <c r="AB1660">
        <f>[1]发票导入!AB1660</f>
        <v>0</v>
      </c>
      <c r="AC1660">
        <f>[1]发票导入!AC1660</f>
        <v>0</v>
      </c>
      <c r="AE1660" s="22">
        <f t="shared" si="0"/>
      </c>
      <c r="AI1660">
        <f>[1]发票导入!AI1660&amp;""</f>
      </c>
      <c r="AJ1660">
        <f>[1]发票导入!AJ1660&amp;""</f>
      </c>
      <c r="AK1660">
        <f>[1]发票导入!AK1660</f>
        <v>0</v>
      </c>
      <c r="AL1660">
        <f>[1]发票导入!AL1660</f>
        <v>0</v>
      </c>
      <c r="AM1660">
        <f>[1]发票导入!AM1660</f>
        <v>0</v>
      </c>
      <c r="AN1660" s="22">
        <f t="shared" si="1"/>
        <v>0</v>
      </c>
      <c r="AO1660" s="22">
        <f t="shared" si="2"/>
        <v>0</v>
      </c>
    </row>
    <row r="1661">
      <c r="C1661">
        <f>[1]发票导入!C1661&amp;""</f>
      </c>
      <c r="D1661">
        <f>[1]发票导入!D1661&amp;""</f>
      </c>
      <c r="O1661">
        <f>[1]发票导入!O1661&amp;""</f>
      </c>
      <c r="T1661">
        <f>[1]发票导入!T1661</f>
      </c>
      <c r="U1661">
        <f>[1]发票导入!U1661&amp;""</f>
      </c>
      <c r="V1661">
        <f>[1]发票导入!V1661&amp;""</f>
      </c>
      <c r="W1661">
        <f>[1]发票导入!W1661&amp;""</f>
      </c>
      <c r="Y1661">
        <f>[1]发票导入!Y1661&amp;""</f>
      </c>
      <c r="AA1661">
        <f>[1]发票导入!AA1661&amp;""</f>
      </c>
      <c r="AB1661">
        <f>[1]发票导入!AB1661</f>
        <v>0</v>
      </c>
      <c r="AC1661">
        <f>[1]发票导入!AC1661</f>
        <v>0</v>
      </c>
      <c r="AE1661" s="22">
        <f t="shared" si="0"/>
      </c>
      <c r="AI1661">
        <f>[1]发票导入!AI1661&amp;""</f>
      </c>
      <c r="AJ1661">
        <f>[1]发票导入!AJ1661&amp;""</f>
      </c>
      <c r="AK1661">
        <f>[1]发票导入!AK1661</f>
        <v>0</v>
      </c>
      <c r="AL1661">
        <f>[1]发票导入!AL1661</f>
        <v>0</v>
      </c>
      <c r="AM1661">
        <f>[1]发票导入!AM1661</f>
        <v>0</v>
      </c>
      <c r="AN1661" s="22">
        <f t="shared" si="1"/>
        <v>0</v>
      </c>
      <c r="AO1661" s="22">
        <f t="shared" si="2"/>
        <v>0</v>
      </c>
    </row>
    <row r="1662">
      <c r="C1662">
        <f>[1]发票导入!C1662&amp;""</f>
      </c>
      <c r="D1662">
        <f>[1]发票导入!D1662&amp;""</f>
      </c>
      <c r="O1662">
        <f>[1]发票导入!O1662&amp;""</f>
      </c>
      <c r="T1662">
        <f>[1]发票导入!T1662</f>
      </c>
      <c r="U1662">
        <f>[1]发票导入!U1662&amp;""</f>
      </c>
      <c r="V1662">
        <f>[1]发票导入!V1662&amp;""</f>
      </c>
      <c r="W1662">
        <f>[1]发票导入!W1662&amp;""</f>
      </c>
      <c r="Y1662">
        <f>[1]发票导入!Y1662&amp;""</f>
      </c>
      <c r="AA1662">
        <f>[1]发票导入!AA1662&amp;""</f>
      </c>
      <c r="AB1662">
        <f>[1]发票导入!AB1662</f>
        <v>0</v>
      </c>
      <c r="AC1662">
        <f>[1]发票导入!AC1662</f>
        <v>0</v>
      </c>
      <c r="AE1662" s="22">
        <f t="shared" si="0"/>
      </c>
      <c r="AI1662">
        <f>[1]发票导入!AI1662&amp;""</f>
      </c>
      <c r="AJ1662">
        <f>[1]发票导入!AJ1662&amp;""</f>
      </c>
      <c r="AK1662">
        <f>[1]发票导入!AK1662</f>
        <v>0</v>
      </c>
      <c r="AL1662">
        <f>[1]发票导入!AL1662</f>
        <v>0</v>
      </c>
      <c r="AM1662">
        <f>[1]发票导入!AM1662</f>
        <v>0</v>
      </c>
      <c r="AN1662" s="22">
        <f t="shared" si="1"/>
        <v>0</v>
      </c>
      <c r="AO1662" s="22">
        <f t="shared" si="2"/>
        <v>0</v>
      </c>
    </row>
    <row r="1663">
      <c r="C1663">
        <f>[1]发票导入!C1663&amp;""</f>
      </c>
      <c r="D1663">
        <f>[1]发票导入!D1663&amp;""</f>
      </c>
      <c r="O1663">
        <f>[1]发票导入!O1663&amp;""</f>
      </c>
      <c r="T1663">
        <f>[1]发票导入!T1663</f>
      </c>
      <c r="U1663">
        <f>[1]发票导入!U1663&amp;""</f>
      </c>
      <c r="V1663">
        <f>[1]发票导入!V1663&amp;""</f>
      </c>
      <c r="W1663">
        <f>[1]发票导入!W1663&amp;""</f>
      </c>
      <c r="Y1663">
        <f>[1]发票导入!Y1663&amp;""</f>
      </c>
      <c r="AA1663">
        <f>[1]发票导入!AA1663&amp;""</f>
      </c>
      <c r="AB1663">
        <f>[1]发票导入!AB1663</f>
        <v>0</v>
      </c>
      <c r="AC1663">
        <f>[1]发票导入!AC1663</f>
        <v>0</v>
      </c>
      <c r="AE1663" s="22">
        <f t="shared" si="0"/>
      </c>
      <c r="AI1663">
        <f>[1]发票导入!AI1663&amp;""</f>
      </c>
      <c r="AJ1663">
        <f>[1]发票导入!AJ1663&amp;""</f>
      </c>
      <c r="AK1663">
        <f>[1]发票导入!AK1663</f>
        <v>0</v>
      </c>
      <c r="AL1663">
        <f>[1]发票导入!AL1663</f>
        <v>0</v>
      </c>
      <c r="AM1663">
        <f>[1]发票导入!AM1663</f>
        <v>0</v>
      </c>
      <c r="AN1663" s="22">
        <f t="shared" si="1"/>
        <v>0</v>
      </c>
      <c r="AO1663" s="22">
        <f t="shared" si="2"/>
        <v>0</v>
      </c>
    </row>
    <row r="1664">
      <c r="C1664">
        <f>[1]发票导入!C1664&amp;""</f>
      </c>
      <c r="D1664">
        <f>[1]发票导入!D1664&amp;""</f>
      </c>
      <c r="O1664">
        <f>[1]发票导入!O1664&amp;""</f>
      </c>
      <c r="T1664">
        <f>[1]发票导入!T1664</f>
      </c>
      <c r="U1664">
        <f>[1]发票导入!U1664&amp;""</f>
      </c>
      <c r="V1664">
        <f>[1]发票导入!V1664&amp;""</f>
      </c>
      <c r="W1664">
        <f>[1]发票导入!W1664&amp;""</f>
      </c>
      <c r="Y1664">
        <f>[1]发票导入!Y1664&amp;""</f>
      </c>
      <c r="AA1664">
        <f>[1]发票导入!AA1664&amp;""</f>
      </c>
      <c r="AB1664">
        <f>[1]发票导入!AB1664</f>
        <v>0</v>
      </c>
      <c r="AC1664">
        <f>[1]发票导入!AC1664</f>
        <v>0</v>
      </c>
      <c r="AE1664" s="22">
        <f t="shared" si="0"/>
      </c>
      <c r="AI1664">
        <f>[1]发票导入!AI1664&amp;""</f>
      </c>
      <c r="AJ1664">
        <f>[1]发票导入!AJ1664&amp;""</f>
      </c>
      <c r="AK1664">
        <f>[1]发票导入!AK1664</f>
        <v>0</v>
      </c>
      <c r="AL1664">
        <f>[1]发票导入!AL1664</f>
        <v>0</v>
      </c>
      <c r="AM1664">
        <f>[1]发票导入!AM1664</f>
        <v>0</v>
      </c>
      <c r="AN1664" s="22">
        <f t="shared" si="1"/>
        <v>0</v>
      </c>
      <c r="AO1664" s="22">
        <f t="shared" si="2"/>
        <v>0</v>
      </c>
    </row>
    <row r="1665">
      <c r="C1665">
        <f>[1]发票导入!C1665&amp;""</f>
      </c>
      <c r="D1665">
        <f>[1]发票导入!D1665&amp;""</f>
      </c>
      <c r="O1665">
        <f>[1]发票导入!O1665&amp;""</f>
      </c>
      <c r="T1665">
        <f>[1]发票导入!T1665</f>
      </c>
      <c r="U1665">
        <f>[1]发票导入!U1665&amp;""</f>
      </c>
      <c r="V1665">
        <f>[1]发票导入!V1665&amp;""</f>
      </c>
      <c r="W1665">
        <f>[1]发票导入!W1665&amp;""</f>
      </c>
      <c r="Y1665">
        <f>[1]发票导入!Y1665&amp;""</f>
      </c>
      <c r="AA1665">
        <f>[1]发票导入!AA1665&amp;""</f>
      </c>
      <c r="AB1665">
        <f>[1]发票导入!AB1665</f>
        <v>0</v>
      </c>
      <c r="AC1665">
        <f>[1]发票导入!AC1665</f>
        <v>0</v>
      </c>
      <c r="AE1665" s="22">
        <f t="shared" si="0"/>
      </c>
      <c r="AI1665">
        <f>[1]发票导入!AI1665&amp;""</f>
      </c>
      <c r="AJ1665">
        <f>[1]发票导入!AJ1665&amp;""</f>
      </c>
      <c r="AK1665">
        <f>[1]发票导入!AK1665</f>
        <v>0</v>
      </c>
      <c r="AL1665">
        <f>[1]发票导入!AL1665</f>
        <v>0</v>
      </c>
      <c r="AM1665">
        <f>[1]发票导入!AM1665</f>
        <v>0</v>
      </c>
      <c r="AN1665" s="22">
        <f t="shared" si="1"/>
        <v>0</v>
      </c>
      <c r="AO1665" s="22">
        <f t="shared" si="2"/>
        <v>0</v>
      </c>
    </row>
    <row r="1666">
      <c r="C1666">
        <f>[1]发票导入!C1666&amp;""</f>
      </c>
      <c r="D1666">
        <f>[1]发票导入!D1666&amp;""</f>
      </c>
      <c r="O1666">
        <f>[1]发票导入!O1666&amp;""</f>
      </c>
      <c r="T1666">
        <f>[1]发票导入!T1666</f>
      </c>
      <c r="U1666">
        <f>[1]发票导入!U1666&amp;""</f>
      </c>
      <c r="V1666">
        <f>[1]发票导入!V1666&amp;""</f>
      </c>
      <c r="W1666">
        <f>[1]发票导入!W1666&amp;""</f>
      </c>
      <c r="Y1666">
        <f>[1]发票导入!Y1666&amp;""</f>
      </c>
      <c r="AA1666">
        <f>[1]发票导入!AA1666&amp;""</f>
      </c>
      <c r="AB1666">
        <f>[1]发票导入!AB1666</f>
        <v>0</v>
      </c>
      <c r="AC1666">
        <f>[1]发票导入!AC1666</f>
        <v>0</v>
      </c>
      <c r="AE1666" s="22">
        <f t="shared" si="0"/>
      </c>
      <c r="AI1666">
        <f>[1]发票导入!AI1666&amp;""</f>
      </c>
      <c r="AJ1666">
        <f>[1]发票导入!AJ1666&amp;""</f>
      </c>
      <c r="AK1666">
        <f>[1]发票导入!AK1666</f>
        <v>0</v>
      </c>
      <c r="AL1666">
        <f>[1]发票导入!AL1666</f>
        <v>0</v>
      </c>
      <c r="AM1666">
        <f>[1]发票导入!AM1666</f>
        <v>0</v>
      </c>
      <c r="AN1666" s="22">
        <f t="shared" si="1"/>
        <v>0</v>
      </c>
      <c r="AO1666" s="22">
        <f t="shared" si="2"/>
        <v>0</v>
      </c>
    </row>
    <row r="1667">
      <c r="C1667">
        <f>[1]发票导入!C1667&amp;""</f>
      </c>
      <c r="D1667">
        <f>[1]发票导入!D1667&amp;""</f>
      </c>
      <c r="O1667">
        <f>[1]发票导入!O1667&amp;""</f>
      </c>
      <c r="T1667">
        <f>[1]发票导入!T1667</f>
      </c>
      <c r="U1667">
        <f>[1]发票导入!U1667&amp;""</f>
      </c>
      <c r="V1667">
        <f>[1]发票导入!V1667&amp;""</f>
      </c>
      <c r="W1667">
        <f>[1]发票导入!W1667&amp;""</f>
      </c>
      <c r="Y1667">
        <f>[1]发票导入!Y1667&amp;""</f>
      </c>
      <c r="AA1667">
        <f>[1]发票导入!AA1667&amp;""</f>
      </c>
      <c r="AB1667">
        <f>[1]发票导入!AB1667</f>
        <v>0</v>
      </c>
      <c r="AC1667">
        <f>[1]发票导入!AC1667</f>
        <v>0</v>
      </c>
      <c r="AE1667" s="22">
        <f t="shared" si="0"/>
      </c>
      <c r="AI1667">
        <f>[1]发票导入!AI1667&amp;""</f>
      </c>
      <c r="AJ1667">
        <f>[1]发票导入!AJ1667&amp;""</f>
      </c>
      <c r="AK1667">
        <f>[1]发票导入!AK1667</f>
        <v>0</v>
      </c>
      <c r="AL1667">
        <f>[1]发票导入!AL1667</f>
        <v>0</v>
      </c>
      <c r="AM1667">
        <f>[1]发票导入!AM1667</f>
        <v>0</v>
      </c>
      <c r="AN1667" s="22">
        <f t="shared" si="1"/>
        <v>0</v>
      </c>
      <c r="AO1667" s="22">
        <f t="shared" si="2"/>
        <v>0</v>
      </c>
    </row>
    <row r="1668">
      <c r="C1668">
        <f>[1]发票导入!C1668&amp;""</f>
      </c>
      <c r="D1668">
        <f>[1]发票导入!D1668&amp;""</f>
      </c>
      <c r="O1668">
        <f>[1]发票导入!O1668&amp;""</f>
      </c>
      <c r="T1668">
        <f>[1]发票导入!T1668</f>
      </c>
      <c r="U1668">
        <f>[1]发票导入!U1668&amp;""</f>
      </c>
      <c r="V1668">
        <f>[1]发票导入!V1668&amp;""</f>
      </c>
      <c r="W1668">
        <f>[1]发票导入!W1668&amp;""</f>
      </c>
      <c r="Y1668">
        <f>[1]发票导入!Y1668&amp;""</f>
      </c>
      <c r="AA1668">
        <f>[1]发票导入!AA1668&amp;""</f>
      </c>
      <c r="AB1668">
        <f>[1]发票导入!AB1668</f>
        <v>0</v>
      </c>
      <c r="AC1668">
        <f>[1]发票导入!AC1668</f>
        <v>0</v>
      </c>
      <c r="AE1668" s="22">
        <f t="shared" si="0"/>
      </c>
      <c r="AI1668">
        <f>[1]发票导入!AI1668&amp;""</f>
      </c>
      <c r="AJ1668">
        <f>[1]发票导入!AJ1668&amp;""</f>
      </c>
      <c r="AK1668">
        <f>[1]发票导入!AK1668</f>
        <v>0</v>
      </c>
      <c r="AL1668">
        <f>[1]发票导入!AL1668</f>
        <v>0</v>
      </c>
      <c r="AM1668">
        <f>[1]发票导入!AM1668</f>
        <v>0</v>
      </c>
      <c r="AN1668" s="22">
        <f t="shared" si="1"/>
        <v>0</v>
      </c>
      <c r="AO1668" s="22">
        <f t="shared" si="2"/>
        <v>0</v>
      </c>
    </row>
    <row r="1669">
      <c r="C1669">
        <f>[1]发票导入!C1669&amp;""</f>
      </c>
      <c r="D1669">
        <f>[1]发票导入!D1669&amp;""</f>
      </c>
      <c r="O1669">
        <f>[1]发票导入!O1669&amp;""</f>
      </c>
      <c r="T1669">
        <f>[1]发票导入!T1669</f>
      </c>
      <c r="U1669">
        <f>[1]发票导入!U1669&amp;""</f>
      </c>
      <c r="V1669">
        <f>[1]发票导入!V1669&amp;""</f>
      </c>
      <c r="W1669">
        <f>[1]发票导入!W1669&amp;""</f>
      </c>
      <c r="Y1669">
        <f>[1]发票导入!Y1669&amp;""</f>
      </c>
      <c r="AA1669">
        <f>[1]发票导入!AA1669&amp;""</f>
      </c>
      <c r="AB1669">
        <f>[1]发票导入!AB1669</f>
        <v>0</v>
      </c>
      <c r="AC1669">
        <f>[1]发票导入!AC1669</f>
        <v>0</v>
      </c>
      <c r="AE1669" s="22">
        <f t="shared" si="0"/>
      </c>
      <c r="AI1669">
        <f>[1]发票导入!AI1669&amp;""</f>
      </c>
      <c r="AJ1669">
        <f>[1]发票导入!AJ1669&amp;""</f>
      </c>
      <c r="AK1669">
        <f>[1]发票导入!AK1669</f>
        <v>0</v>
      </c>
      <c r="AL1669">
        <f>[1]发票导入!AL1669</f>
        <v>0</v>
      </c>
      <c r="AM1669">
        <f>[1]发票导入!AM1669</f>
        <v>0</v>
      </c>
      <c r="AN1669" s="22">
        <f t="shared" si="1"/>
        <v>0</v>
      </c>
      <c r="AO1669" s="22">
        <f t="shared" si="2"/>
        <v>0</v>
      </c>
    </row>
    <row r="1670">
      <c r="C1670">
        <f>[1]发票导入!C1670&amp;""</f>
      </c>
      <c r="D1670">
        <f>[1]发票导入!D1670&amp;""</f>
      </c>
      <c r="O1670">
        <f>[1]发票导入!O1670&amp;""</f>
      </c>
      <c r="T1670">
        <f>[1]发票导入!T1670</f>
      </c>
      <c r="U1670">
        <f>[1]发票导入!U1670&amp;""</f>
      </c>
      <c r="V1670">
        <f>[1]发票导入!V1670&amp;""</f>
      </c>
      <c r="W1670">
        <f>[1]发票导入!W1670&amp;""</f>
      </c>
      <c r="Y1670">
        <f>[1]发票导入!Y1670&amp;""</f>
      </c>
      <c r="AA1670">
        <f>[1]发票导入!AA1670&amp;""</f>
      </c>
      <c r="AB1670">
        <f>[1]发票导入!AB1670</f>
        <v>0</v>
      </c>
      <c r="AC1670">
        <f>[1]发票导入!AC1670</f>
        <v>0</v>
      </c>
      <c r="AE1670" s="22">
        <f t="shared" si="0"/>
      </c>
      <c r="AI1670">
        <f>[1]发票导入!AI1670&amp;""</f>
      </c>
      <c r="AJ1670">
        <f>[1]发票导入!AJ1670&amp;""</f>
      </c>
      <c r="AK1670">
        <f>[1]发票导入!AK1670</f>
        <v>0</v>
      </c>
      <c r="AL1670">
        <f>[1]发票导入!AL1670</f>
        <v>0</v>
      </c>
      <c r="AM1670">
        <f>[1]发票导入!AM1670</f>
        <v>0</v>
      </c>
      <c r="AN1670" s="22">
        <f t="shared" si="1"/>
        <v>0</v>
      </c>
      <c r="AO1670" s="22">
        <f t="shared" si="2"/>
        <v>0</v>
      </c>
    </row>
    <row r="1671">
      <c r="C1671">
        <f>[1]发票导入!C1671&amp;""</f>
      </c>
      <c r="D1671">
        <f>[1]发票导入!D1671&amp;""</f>
      </c>
      <c r="O1671">
        <f>[1]发票导入!O1671&amp;""</f>
      </c>
      <c r="T1671">
        <f>[1]发票导入!T1671</f>
      </c>
      <c r="U1671">
        <f>[1]发票导入!U1671&amp;""</f>
      </c>
      <c r="V1671">
        <f>[1]发票导入!V1671&amp;""</f>
      </c>
      <c r="W1671">
        <f>[1]发票导入!W1671&amp;""</f>
      </c>
      <c r="Y1671">
        <f>[1]发票导入!Y1671&amp;""</f>
      </c>
      <c r="AA1671">
        <f>[1]发票导入!AA1671&amp;""</f>
      </c>
      <c r="AB1671">
        <f>[1]发票导入!AB1671</f>
        <v>0</v>
      </c>
      <c r="AC1671">
        <f>[1]发票导入!AC1671</f>
        <v>0</v>
      </c>
      <c r="AE1671" s="22">
        <f t="shared" si="0"/>
      </c>
      <c r="AI1671">
        <f>[1]发票导入!AI1671&amp;""</f>
      </c>
      <c r="AJ1671">
        <f>[1]发票导入!AJ1671&amp;""</f>
      </c>
      <c r="AK1671">
        <f>[1]发票导入!AK1671</f>
        <v>0</v>
      </c>
      <c r="AL1671">
        <f>[1]发票导入!AL1671</f>
        <v>0</v>
      </c>
      <c r="AM1671">
        <f>[1]发票导入!AM1671</f>
        <v>0</v>
      </c>
      <c r="AN1671" s="22">
        <f t="shared" si="1"/>
        <v>0</v>
      </c>
      <c r="AO1671" s="22">
        <f t="shared" si="2"/>
        <v>0</v>
      </c>
    </row>
    <row r="1672">
      <c r="C1672">
        <f>[1]发票导入!C1672&amp;""</f>
      </c>
      <c r="D1672">
        <f>[1]发票导入!D1672&amp;""</f>
      </c>
      <c r="O1672">
        <f>[1]发票导入!O1672&amp;""</f>
      </c>
      <c r="T1672">
        <f>[1]发票导入!T1672</f>
      </c>
      <c r="U1672">
        <f>[1]发票导入!U1672&amp;""</f>
      </c>
      <c r="V1672">
        <f>[1]发票导入!V1672&amp;""</f>
      </c>
      <c r="W1672">
        <f>[1]发票导入!W1672&amp;""</f>
      </c>
      <c r="Y1672">
        <f>[1]发票导入!Y1672&amp;""</f>
      </c>
      <c r="AA1672">
        <f>[1]发票导入!AA1672&amp;""</f>
      </c>
      <c r="AB1672">
        <f>[1]发票导入!AB1672</f>
        <v>0</v>
      </c>
      <c r="AC1672">
        <f>[1]发票导入!AC1672</f>
        <v>0</v>
      </c>
      <c r="AE1672" s="22">
        <f t="shared" si="0"/>
      </c>
      <c r="AI1672">
        <f>[1]发票导入!AI1672&amp;""</f>
      </c>
      <c r="AJ1672">
        <f>[1]发票导入!AJ1672&amp;""</f>
      </c>
      <c r="AK1672">
        <f>[1]发票导入!AK1672</f>
        <v>0</v>
      </c>
      <c r="AL1672">
        <f>[1]发票导入!AL1672</f>
        <v>0</v>
      </c>
      <c r="AM1672">
        <f>[1]发票导入!AM1672</f>
        <v>0</v>
      </c>
      <c r="AN1672" s="22">
        <f t="shared" si="1"/>
        <v>0</v>
      </c>
      <c r="AO1672" s="22">
        <f t="shared" si="2"/>
        <v>0</v>
      </c>
    </row>
    <row r="1673">
      <c r="C1673">
        <f>[1]发票导入!C1673&amp;""</f>
      </c>
      <c r="D1673">
        <f>[1]发票导入!D1673&amp;""</f>
      </c>
      <c r="O1673">
        <f>[1]发票导入!O1673&amp;""</f>
      </c>
      <c r="T1673">
        <f>[1]发票导入!T1673</f>
      </c>
      <c r="U1673">
        <f>[1]发票导入!U1673&amp;""</f>
      </c>
      <c r="V1673">
        <f>[1]发票导入!V1673&amp;""</f>
      </c>
      <c r="W1673">
        <f>[1]发票导入!W1673&amp;""</f>
      </c>
      <c r="Y1673">
        <f>[1]发票导入!Y1673&amp;""</f>
      </c>
      <c r="AA1673">
        <f>[1]发票导入!AA1673&amp;""</f>
      </c>
      <c r="AB1673">
        <f>[1]发票导入!AB1673</f>
        <v>0</v>
      </c>
      <c r="AC1673">
        <f>[1]发票导入!AC1673</f>
        <v>0</v>
      </c>
      <c r="AE1673" s="22">
        <f t="shared" si="0"/>
      </c>
      <c r="AI1673">
        <f>[1]发票导入!AI1673&amp;""</f>
      </c>
      <c r="AJ1673">
        <f>[1]发票导入!AJ1673&amp;""</f>
      </c>
      <c r="AK1673">
        <f>[1]发票导入!AK1673</f>
        <v>0</v>
      </c>
      <c r="AL1673">
        <f>[1]发票导入!AL1673</f>
        <v>0</v>
      </c>
      <c r="AM1673">
        <f>[1]发票导入!AM1673</f>
        <v>0</v>
      </c>
      <c r="AN1673" s="22">
        <f t="shared" si="1"/>
        <v>0</v>
      </c>
      <c r="AO1673" s="22">
        <f t="shared" si="2"/>
        <v>0</v>
      </c>
    </row>
    <row r="1674">
      <c r="C1674">
        <f>[1]发票导入!C1674&amp;""</f>
      </c>
      <c r="D1674">
        <f>[1]发票导入!D1674&amp;""</f>
      </c>
      <c r="O1674">
        <f>[1]发票导入!O1674&amp;""</f>
      </c>
      <c r="T1674">
        <f>[1]发票导入!T1674</f>
      </c>
      <c r="U1674">
        <f>[1]发票导入!U1674&amp;""</f>
      </c>
      <c r="V1674">
        <f>[1]发票导入!V1674&amp;""</f>
      </c>
      <c r="W1674">
        <f>[1]发票导入!W1674&amp;""</f>
      </c>
      <c r="Y1674">
        <f>[1]发票导入!Y1674&amp;""</f>
      </c>
      <c r="AA1674">
        <f>[1]发票导入!AA1674&amp;""</f>
      </c>
      <c r="AB1674">
        <f>[1]发票导入!AB1674</f>
        <v>0</v>
      </c>
      <c r="AC1674">
        <f>[1]发票导入!AC1674</f>
        <v>0</v>
      </c>
      <c r="AE1674" s="22">
        <f t="shared" si="0"/>
      </c>
      <c r="AI1674">
        <f>[1]发票导入!AI1674&amp;""</f>
      </c>
      <c r="AJ1674">
        <f>[1]发票导入!AJ1674&amp;""</f>
      </c>
      <c r="AK1674">
        <f>[1]发票导入!AK1674</f>
        <v>0</v>
      </c>
      <c r="AL1674">
        <f>[1]发票导入!AL1674</f>
        <v>0</v>
      </c>
      <c r="AM1674">
        <f>[1]发票导入!AM1674</f>
        <v>0</v>
      </c>
      <c r="AN1674" s="22">
        <f t="shared" si="1"/>
        <v>0</v>
      </c>
      <c r="AO1674" s="22">
        <f t="shared" si="2"/>
        <v>0</v>
      </c>
    </row>
    <row r="1675">
      <c r="C1675">
        <f>[1]发票导入!C1675&amp;""</f>
      </c>
      <c r="D1675">
        <f>[1]发票导入!D1675&amp;""</f>
      </c>
      <c r="O1675">
        <f>[1]发票导入!O1675&amp;""</f>
      </c>
      <c r="T1675">
        <f>[1]发票导入!T1675</f>
      </c>
      <c r="U1675">
        <f>[1]发票导入!U1675&amp;""</f>
      </c>
      <c r="V1675">
        <f>[1]发票导入!V1675&amp;""</f>
      </c>
      <c r="W1675">
        <f>[1]发票导入!W1675&amp;""</f>
      </c>
      <c r="Y1675">
        <f>[1]发票导入!Y1675&amp;""</f>
      </c>
      <c r="AA1675">
        <f>[1]发票导入!AA1675&amp;""</f>
      </c>
      <c r="AB1675">
        <f>[1]发票导入!AB1675</f>
        <v>0</v>
      </c>
      <c r="AC1675">
        <f>[1]发票导入!AC1675</f>
        <v>0</v>
      </c>
      <c r="AE1675" s="22">
        <f t="shared" si="0"/>
      </c>
      <c r="AI1675">
        <f>[1]发票导入!AI1675&amp;""</f>
      </c>
      <c r="AJ1675">
        <f>[1]发票导入!AJ1675&amp;""</f>
      </c>
      <c r="AK1675">
        <f>[1]发票导入!AK1675</f>
        <v>0</v>
      </c>
      <c r="AL1675">
        <f>[1]发票导入!AL1675</f>
        <v>0</v>
      </c>
      <c r="AM1675">
        <f>[1]发票导入!AM1675</f>
        <v>0</v>
      </c>
      <c r="AN1675" s="22">
        <f t="shared" si="1"/>
        <v>0</v>
      </c>
      <c r="AO1675" s="22">
        <f t="shared" si="2"/>
        <v>0</v>
      </c>
    </row>
    <row r="1676">
      <c r="C1676">
        <f>[1]发票导入!C1676&amp;""</f>
      </c>
      <c r="D1676">
        <f>[1]发票导入!D1676&amp;""</f>
      </c>
      <c r="O1676">
        <f>[1]发票导入!O1676&amp;""</f>
      </c>
      <c r="T1676">
        <f>[1]发票导入!T1676</f>
      </c>
      <c r="U1676">
        <f>[1]发票导入!U1676&amp;""</f>
      </c>
      <c r="V1676">
        <f>[1]发票导入!V1676&amp;""</f>
      </c>
      <c r="W1676">
        <f>[1]发票导入!W1676&amp;""</f>
      </c>
      <c r="Y1676">
        <f>[1]发票导入!Y1676&amp;""</f>
      </c>
      <c r="AA1676">
        <f>[1]发票导入!AA1676&amp;""</f>
      </c>
      <c r="AB1676">
        <f>[1]发票导入!AB1676</f>
        <v>0</v>
      </c>
      <c r="AC1676">
        <f>[1]发票导入!AC1676</f>
        <v>0</v>
      </c>
      <c r="AE1676" s="22">
        <f t="shared" si="0"/>
      </c>
      <c r="AI1676">
        <f>[1]发票导入!AI1676&amp;""</f>
      </c>
      <c r="AJ1676">
        <f>[1]发票导入!AJ1676&amp;""</f>
      </c>
      <c r="AK1676">
        <f>[1]发票导入!AK1676</f>
        <v>0</v>
      </c>
      <c r="AL1676">
        <f>[1]发票导入!AL1676</f>
        <v>0</v>
      </c>
      <c r="AM1676">
        <f>[1]发票导入!AM1676</f>
        <v>0</v>
      </c>
      <c r="AN1676" s="22">
        <f t="shared" si="1"/>
        <v>0</v>
      </c>
      <c r="AO1676" s="22">
        <f t="shared" si="2"/>
        <v>0</v>
      </c>
    </row>
    <row r="1677">
      <c r="C1677">
        <f>[1]发票导入!C1677&amp;""</f>
      </c>
      <c r="D1677">
        <f>[1]发票导入!D1677&amp;""</f>
      </c>
      <c r="O1677">
        <f>[1]发票导入!O1677&amp;""</f>
      </c>
      <c r="T1677">
        <f>[1]发票导入!T1677</f>
      </c>
      <c r="U1677">
        <f>[1]发票导入!U1677&amp;""</f>
      </c>
      <c r="V1677">
        <f>[1]发票导入!V1677&amp;""</f>
      </c>
      <c r="W1677">
        <f>[1]发票导入!W1677&amp;""</f>
      </c>
      <c r="Y1677">
        <f>[1]发票导入!Y1677&amp;""</f>
      </c>
      <c r="AA1677">
        <f>[1]发票导入!AA1677&amp;""</f>
      </c>
      <c r="AB1677">
        <f>[1]发票导入!AB1677</f>
        <v>0</v>
      </c>
      <c r="AC1677">
        <f>[1]发票导入!AC1677</f>
        <v>0</v>
      </c>
      <c r="AE1677" s="22">
        <f t="shared" si="0"/>
      </c>
      <c r="AI1677">
        <f>[1]发票导入!AI1677&amp;""</f>
      </c>
      <c r="AJ1677">
        <f>[1]发票导入!AJ1677&amp;""</f>
      </c>
      <c r="AK1677">
        <f>[1]发票导入!AK1677</f>
        <v>0</v>
      </c>
      <c r="AL1677">
        <f>[1]发票导入!AL1677</f>
        <v>0</v>
      </c>
      <c r="AM1677">
        <f>[1]发票导入!AM1677</f>
        <v>0</v>
      </c>
      <c r="AN1677" s="22">
        <f t="shared" si="1"/>
        <v>0</v>
      </c>
      <c r="AO1677" s="22">
        <f t="shared" si="2"/>
        <v>0</v>
      </c>
    </row>
    <row r="1678">
      <c r="C1678">
        <f>[1]发票导入!C1678&amp;""</f>
      </c>
      <c r="D1678">
        <f>[1]发票导入!D1678&amp;""</f>
      </c>
      <c r="O1678">
        <f>[1]发票导入!O1678&amp;""</f>
      </c>
      <c r="T1678">
        <f>[1]发票导入!T1678</f>
      </c>
      <c r="U1678">
        <f>[1]发票导入!U1678&amp;""</f>
      </c>
      <c r="V1678">
        <f>[1]发票导入!V1678&amp;""</f>
      </c>
      <c r="W1678">
        <f>[1]发票导入!W1678&amp;""</f>
      </c>
      <c r="Y1678">
        <f>[1]发票导入!Y1678&amp;""</f>
      </c>
      <c r="AA1678">
        <f>[1]发票导入!AA1678&amp;""</f>
      </c>
      <c r="AB1678">
        <f>[1]发票导入!AB1678</f>
        <v>0</v>
      </c>
      <c r="AC1678">
        <f>[1]发票导入!AC1678</f>
        <v>0</v>
      </c>
      <c r="AE1678" s="22">
        <f t="shared" si="0"/>
      </c>
      <c r="AI1678">
        <f>[1]发票导入!AI1678&amp;""</f>
      </c>
      <c r="AJ1678">
        <f>[1]发票导入!AJ1678&amp;""</f>
      </c>
      <c r="AK1678">
        <f>[1]发票导入!AK1678</f>
        <v>0</v>
      </c>
      <c r="AL1678">
        <f>[1]发票导入!AL1678</f>
        <v>0</v>
      </c>
      <c r="AM1678">
        <f>[1]发票导入!AM1678</f>
        <v>0</v>
      </c>
      <c r="AN1678" s="22">
        <f t="shared" si="1"/>
        <v>0</v>
      </c>
      <c r="AO1678" s="22">
        <f t="shared" si="2"/>
        <v>0</v>
      </c>
    </row>
    <row r="1679">
      <c r="C1679">
        <f>[1]发票导入!C1679&amp;""</f>
      </c>
      <c r="D1679">
        <f>[1]发票导入!D1679&amp;""</f>
      </c>
      <c r="O1679">
        <f>[1]发票导入!O1679&amp;""</f>
      </c>
      <c r="T1679">
        <f>[1]发票导入!T1679</f>
      </c>
      <c r="U1679">
        <f>[1]发票导入!U1679&amp;""</f>
      </c>
      <c r="V1679">
        <f>[1]发票导入!V1679&amp;""</f>
      </c>
      <c r="W1679">
        <f>[1]发票导入!W1679&amp;""</f>
      </c>
      <c r="Y1679">
        <f>[1]发票导入!Y1679&amp;""</f>
      </c>
      <c r="AA1679">
        <f>[1]发票导入!AA1679&amp;""</f>
      </c>
      <c r="AB1679">
        <f>[1]发票导入!AB1679</f>
        <v>0</v>
      </c>
      <c r="AC1679">
        <f>[1]发票导入!AC1679</f>
        <v>0</v>
      </c>
      <c r="AE1679" s="22">
        <f t="shared" si="0"/>
      </c>
      <c r="AI1679">
        <f>[1]发票导入!AI1679&amp;""</f>
      </c>
      <c r="AJ1679">
        <f>[1]发票导入!AJ1679&amp;""</f>
      </c>
      <c r="AK1679">
        <f>[1]发票导入!AK1679</f>
        <v>0</v>
      </c>
      <c r="AL1679">
        <f>[1]发票导入!AL1679</f>
        <v>0</v>
      </c>
      <c r="AM1679">
        <f>[1]发票导入!AM1679</f>
        <v>0</v>
      </c>
      <c r="AN1679" s="22">
        <f t="shared" si="1"/>
        <v>0</v>
      </c>
      <c r="AO1679" s="22">
        <f t="shared" si="2"/>
        <v>0</v>
      </c>
    </row>
    <row r="1680">
      <c r="C1680">
        <f>[1]发票导入!C1680&amp;""</f>
      </c>
      <c r="D1680">
        <f>[1]发票导入!D1680&amp;""</f>
      </c>
      <c r="O1680">
        <f>[1]发票导入!O1680&amp;""</f>
      </c>
      <c r="T1680">
        <f>[1]发票导入!T1680</f>
      </c>
      <c r="U1680">
        <f>[1]发票导入!U1680&amp;""</f>
      </c>
      <c r="V1680">
        <f>[1]发票导入!V1680&amp;""</f>
      </c>
      <c r="W1680">
        <f>[1]发票导入!W1680&amp;""</f>
      </c>
      <c r="Y1680">
        <f>[1]发票导入!Y1680&amp;""</f>
      </c>
      <c r="AA1680">
        <f>[1]发票导入!AA1680&amp;""</f>
      </c>
      <c r="AB1680">
        <f>[1]发票导入!AB1680</f>
        <v>0</v>
      </c>
      <c r="AC1680">
        <f>[1]发票导入!AC1680</f>
        <v>0</v>
      </c>
      <c r="AE1680" s="22">
        <f t="shared" si="0"/>
      </c>
      <c r="AI1680">
        <f>[1]发票导入!AI1680&amp;""</f>
      </c>
      <c r="AJ1680">
        <f>[1]发票导入!AJ1680&amp;""</f>
      </c>
      <c r="AK1680">
        <f>[1]发票导入!AK1680</f>
        <v>0</v>
      </c>
      <c r="AL1680">
        <f>[1]发票导入!AL1680</f>
        <v>0</v>
      </c>
      <c r="AM1680">
        <f>[1]发票导入!AM1680</f>
        <v>0</v>
      </c>
      <c r="AN1680" s="22">
        <f t="shared" si="1"/>
        <v>0</v>
      </c>
      <c r="AO1680" s="22">
        <f t="shared" si="2"/>
        <v>0</v>
      </c>
    </row>
    <row r="1681">
      <c r="C1681">
        <f>[1]发票导入!C1681&amp;""</f>
      </c>
      <c r="D1681">
        <f>[1]发票导入!D1681&amp;""</f>
      </c>
      <c r="O1681">
        <f>[1]发票导入!O1681&amp;""</f>
      </c>
      <c r="T1681">
        <f>[1]发票导入!T1681</f>
      </c>
      <c r="U1681">
        <f>[1]发票导入!U1681&amp;""</f>
      </c>
      <c r="V1681">
        <f>[1]发票导入!V1681&amp;""</f>
      </c>
      <c r="W1681">
        <f>[1]发票导入!W1681&amp;""</f>
      </c>
      <c r="Y1681">
        <f>[1]发票导入!Y1681&amp;""</f>
      </c>
      <c r="AA1681">
        <f>[1]发票导入!AA1681&amp;""</f>
      </c>
      <c r="AB1681">
        <f>[1]发票导入!AB1681</f>
        <v>0</v>
      </c>
      <c r="AC1681">
        <f>[1]发票导入!AC1681</f>
        <v>0</v>
      </c>
      <c r="AE1681" s="22">
        <f t="shared" si="0"/>
      </c>
      <c r="AI1681">
        <f>[1]发票导入!AI1681&amp;""</f>
      </c>
      <c r="AJ1681">
        <f>[1]发票导入!AJ1681&amp;""</f>
      </c>
      <c r="AK1681">
        <f>[1]发票导入!AK1681</f>
        <v>0</v>
      </c>
      <c r="AL1681">
        <f>[1]发票导入!AL1681</f>
        <v>0</v>
      </c>
      <c r="AM1681">
        <f>[1]发票导入!AM1681</f>
        <v>0</v>
      </c>
      <c r="AN1681" s="22">
        <f t="shared" si="1"/>
        <v>0</v>
      </c>
      <c r="AO1681" s="22">
        <f t="shared" si="2"/>
        <v>0</v>
      </c>
    </row>
    <row r="1682">
      <c r="C1682">
        <f>[1]发票导入!C1682&amp;""</f>
      </c>
      <c r="D1682">
        <f>[1]发票导入!D1682&amp;""</f>
      </c>
      <c r="O1682">
        <f>[1]发票导入!O1682&amp;""</f>
      </c>
      <c r="T1682">
        <f>[1]发票导入!T1682</f>
      </c>
      <c r="U1682">
        <f>[1]发票导入!U1682&amp;""</f>
      </c>
      <c r="V1682">
        <f>[1]发票导入!V1682&amp;""</f>
      </c>
      <c r="W1682">
        <f>[1]发票导入!W1682&amp;""</f>
      </c>
      <c r="Y1682">
        <f>[1]发票导入!Y1682&amp;""</f>
      </c>
      <c r="AA1682">
        <f>[1]发票导入!AA1682&amp;""</f>
      </c>
      <c r="AB1682">
        <f>[1]发票导入!AB1682</f>
        <v>0</v>
      </c>
      <c r="AC1682">
        <f>[1]发票导入!AC1682</f>
        <v>0</v>
      </c>
      <c r="AE1682" s="22">
        <f t="shared" si="0"/>
      </c>
      <c r="AI1682">
        <f>[1]发票导入!AI1682&amp;""</f>
      </c>
      <c r="AJ1682">
        <f>[1]发票导入!AJ1682&amp;""</f>
      </c>
      <c r="AK1682">
        <f>[1]发票导入!AK1682</f>
        <v>0</v>
      </c>
      <c r="AL1682">
        <f>[1]发票导入!AL1682</f>
        <v>0</v>
      </c>
      <c r="AM1682">
        <f>[1]发票导入!AM1682</f>
        <v>0</v>
      </c>
      <c r="AN1682" s="22">
        <f t="shared" si="1"/>
        <v>0</v>
      </c>
      <c r="AO1682" s="22">
        <f t="shared" si="2"/>
        <v>0</v>
      </c>
    </row>
    <row r="1683">
      <c r="C1683">
        <f>[1]发票导入!C1683&amp;""</f>
      </c>
      <c r="D1683">
        <f>[1]发票导入!D1683&amp;""</f>
      </c>
      <c r="O1683">
        <f>[1]发票导入!O1683&amp;""</f>
      </c>
      <c r="T1683">
        <f>[1]发票导入!T1683</f>
      </c>
      <c r="U1683">
        <f>[1]发票导入!U1683&amp;""</f>
      </c>
      <c r="V1683">
        <f>[1]发票导入!V1683&amp;""</f>
      </c>
      <c r="W1683">
        <f>[1]发票导入!W1683&amp;""</f>
      </c>
      <c r="Y1683">
        <f>[1]发票导入!Y1683&amp;""</f>
      </c>
      <c r="AA1683">
        <f>[1]发票导入!AA1683&amp;""</f>
      </c>
      <c r="AB1683">
        <f>[1]发票导入!AB1683</f>
        <v>0</v>
      </c>
      <c r="AC1683">
        <f>[1]发票导入!AC1683</f>
        <v>0</v>
      </c>
      <c r="AE1683" s="22">
        <f t="shared" si="0"/>
      </c>
      <c r="AI1683">
        <f>[1]发票导入!AI1683&amp;""</f>
      </c>
      <c r="AJ1683">
        <f>[1]发票导入!AJ1683&amp;""</f>
      </c>
      <c r="AK1683">
        <f>[1]发票导入!AK1683</f>
        <v>0</v>
      </c>
      <c r="AL1683">
        <f>[1]发票导入!AL1683</f>
        <v>0</v>
      </c>
      <c r="AM1683">
        <f>[1]发票导入!AM1683</f>
        <v>0</v>
      </c>
      <c r="AN1683" s="22">
        <f t="shared" si="1"/>
        <v>0</v>
      </c>
      <c r="AO1683" s="22">
        <f t="shared" si="2"/>
        <v>0</v>
      </c>
    </row>
    <row r="1684">
      <c r="C1684">
        <f>[1]发票导入!C1684&amp;""</f>
      </c>
      <c r="D1684">
        <f>[1]发票导入!D1684&amp;""</f>
      </c>
      <c r="O1684">
        <f>[1]发票导入!O1684&amp;""</f>
      </c>
      <c r="T1684">
        <f>[1]发票导入!T1684</f>
      </c>
      <c r="U1684">
        <f>[1]发票导入!U1684&amp;""</f>
      </c>
      <c r="V1684">
        <f>[1]发票导入!V1684&amp;""</f>
      </c>
      <c r="W1684">
        <f>[1]发票导入!W1684&amp;""</f>
      </c>
      <c r="Y1684">
        <f>[1]发票导入!Y1684&amp;""</f>
      </c>
      <c r="AA1684">
        <f>[1]发票导入!AA1684&amp;""</f>
      </c>
      <c r="AB1684">
        <f>[1]发票导入!AB1684</f>
        <v>0</v>
      </c>
      <c r="AC1684">
        <f>[1]发票导入!AC1684</f>
        <v>0</v>
      </c>
      <c r="AE1684" s="22">
        <f t="shared" si="0"/>
      </c>
      <c r="AI1684">
        <f>[1]发票导入!AI1684&amp;""</f>
      </c>
      <c r="AJ1684">
        <f>[1]发票导入!AJ1684&amp;""</f>
      </c>
      <c r="AK1684">
        <f>[1]发票导入!AK1684</f>
        <v>0</v>
      </c>
      <c r="AL1684">
        <f>[1]发票导入!AL1684</f>
        <v>0</v>
      </c>
      <c r="AM1684">
        <f>[1]发票导入!AM1684</f>
        <v>0</v>
      </c>
      <c r="AN1684" s="22">
        <f t="shared" si="1"/>
        <v>0</v>
      </c>
      <c r="AO1684" s="22">
        <f t="shared" si="2"/>
        <v>0</v>
      </c>
    </row>
    <row r="1685">
      <c r="C1685">
        <f>[1]发票导入!C1685&amp;""</f>
      </c>
      <c r="D1685">
        <f>[1]发票导入!D1685&amp;""</f>
      </c>
      <c r="O1685">
        <f>[1]发票导入!O1685&amp;""</f>
      </c>
      <c r="T1685">
        <f>[1]发票导入!T1685</f>
      </c>
      <c r="U1685">
        <f>[1]发票导入!U1685&amp;""</f>
      </c>
      <c r="V1685">
        <f>[1]发票导入!V1685&amp;""</f>
      </c>
      <c r="W1685">
        <f>[1]发票导入!W1685&amp;""</f>
      </c>
      <c r="Y1685">
        <f>[1]发票导入!Y1685&amp;""</f>
      </c>
      <c r="AA1685">
        <f>[1]发票导入!AA1685&amp;""</f>
      </c>
      <c r="AB1685">
        <f>[1]发票导入!AB1685</f>
        <v>0</v>
      </c>
      <c r="AC1685">
        <f>[1]发票导入!AC1685</f>
        <v>0</v>
      </c>
      <c r="AE1685" s="22">
        <f t="shared" si="0"/>
      </c>
      <c r="AI1685">
        <f>[1]发票导入!AI1685&amp;""</f>
      </c>
      <c r="AJ1685">
        <f>[1]发票导入!AJ1685&amp;""</f>
      </c>
      <c r="AK1685">
        <f>[1]发票导入!AK1685</f>
        <v>0</v>
      </c>
      <c r="AL1685">
        <f>[1]发票导入!AL1685</f>
        <v>0</v>
      </c>
      <c r="AM1685">
        <f>[1]发票导入!AM1685</f>
        <v>0</v>
      </c>
      <c r="AN1685" s="22">
        <f t="shared" si="1"/>
        <v>0</v>
      </c>
      <c r="AO1685" s="22">
        <f t="shared" si="2"/>
        <v>0</v>
      </c>
    </row>
    <row r="1686">
      <c r="C1686">
        <f>[1]发票导入!C1686&amp;""</f>
      </c>
      <c r="D1686">
        <f>[1]发票导入!D1686&amp;""</f>
      </c>
      <c r="O1686">
        <f>[1]发票导入!O1686&amp;""</f>
      </c>
      <c r="T1686">
        <f>[1]发票导入!T1686</f>
      </c>
      <c r="U1686">
        <f>[1]发票导入!U1686&amp;""</f>
      </c>
      <c r="V1686">
        <f>[1]发票导入!V1686&amp;""</f>
      </c>
      <c r="W1686">
        <f>[1]发票导入!W1686&amp;""</f>
      </c>
      <c r="Y1686">
        <f>[1]发票导入!Y1686&amp;""</f>
      </c>
      <c r="AA1686">
        <f>[1]发票导入!AA1686&amp;""</f>
      </c>
      <c r="AB1686">
        <f>[1]发票导入!AB1686</f>
        <v>0</v>
      </c>
      <c r="AC1686">
        <f>[1]发票导入!AC1686</f>
        <v>0</v>
      </c>
      <c r="AE1686" s="22">
        <f t="shared" si="0"/>
      </c>
      <c r="AI1686">
        <f>[1]发票导入!AI1686&amp;""</f>
      </c>
      <c r="AJ1686">
        <f>[1]发票导入!AJ1686&amp;""</f>
      </c>
      <c r="AK1686">
        <f>[1]发票导入!AK1686</f>
        <v>0</v>
      </c>
      <c r="AL1686">
        <f>[1]发票导入!AL1686</f>
        <v>0</v>
      </c>
      <c r="AM1686">
        <f>[1]发票导入!AM1686</f>
        <v>0</v>
      </c>
      <c r="AN1686" s="22">
        <f t="shared" si="1"/>
        <v>0</v>
      </c>
      <c r="AO1686" s="22">
        <f t="shared" si="2"/>
        <v>0</v>
      </c>
    </row>
    <row r="1687">
      <c r="C1687">
        <f>[1]发票导入!C1687&amp;""</f>
      </c>
      <c r="D1687">
        <f>[1]发票导入!D1687&amp;""</f>
      </c>
      <c r="O1687">
        <f>[1]发票导入!O1687&amp;""</f>
      </c>
      <c r="T1687">
        <f>[1]发票导入!T1687</f>
      </c>
      <c r="U1687">
        <f>[1]发票导入!U1687&amp;""</f>
      </c>
      <c r="V1687">
        <f>[1]发票导入!V1687&amp;""</f>
      </c>
      <c r="W1687">
        <f>[1]发票导入!W1687&amp;""</f>
      </c>
      <c r="Y1687">
        <f>[1]发票导入!Y1687&amp;""</f>
      </c>
      <c r="AA1687">
        <f>[1]发票导入!AA1687&amp;""</f>
      </c>
      <c r="AB1687">
        <f>[1]发票导入!AB1687</f>
        <v>0</v>
      </c>
      <c r="AC1687">
        <f>[1]发票导入!AC1687</f>
        <v>0</v>
      </c>
      <c r="AE1687" s="22">
        <f t="shared" si="0"/>
      </c>
      <c r="AI1687">
        <f>[1]发票导入!AI1687&amp;""</f>
      </c>
      <c r="AJ1687">
        <f>[1]发票导入!AJ1687&amp;""</f>
      </c>
      <c r="AK1687">
        <f>[1]发票导入!AK1687</f>
        <v>0</v>
      </c>
      <c r="AL1687">
        <f>[1]发票导入!AL1687</f>
        <v>0</v>
      </c>
      <c r="AM1687">
        <f>[1]发票导入!AM1687</f>
        <v>0</v>
      </c>
      <c r="AN1687" s="22">
        <f t="shared" si="1"/>
        <v>0</v>
      </c>
      <c r="AO1687" s="22">
        <f t="shared" si="2"/>
        <v>0</v>
      </c>
    </row>
    <row r="1688">
      <c r="C1688">
        <f>[1]发票导入!C1688&amp;""</f>
      </c>
      <c r="D1688">
        <f>[1]发票导入!D1688&amp;""</f>
      </c>
      <c r="O1688">
        <f>[1]发票导入!O1688&amp;""</f>
      </c>
      <c r="T1688">
        <f>[1]发票导入!T1688</f>
      </c>
      <c r="U1688">
        <f>[1]发票导入!U1688&amp;""</f>
      </c>
      <c r="V1688">
        <f>[1]发票导入!V1688&amp;""</f>
      </c>
      <c r="W1688">
        <f>[1]发票导入!W1688&amp;""</f>
      </c>
      <c r="Y1688">
        <f>[1]发票导入!Y1688&amp;""</f>
      </c>
      <c r="AA1688">
        <f>[1]发票导入!AA1688&amp;""</f>
      </c>
      <c r="AB1688">
        <f>[1]发票导入!AB1688</f>
        <v>0</v>
      </c>
      <c r="AC1688">
        <f>[1]发票导入!AC1688</f>
        <v>0</v>
      </c>
      <c r="AE1688" s="22">
        <f t="shared" si="0"/>
      </c>
      <c r="AI1688">
        <f>[1]发票导入!AI1688&amp;""</f>
      </c>
      <c r="AJ1688">
        <f>[1]发票导入!AJ1688&amp;""</f>
      </c>
      <c r="AK1688">
        <f>[1]发票导入!AK1688</f>
        <v>0</v>
      </c>
      <c r="AL1688">
        <f>[1]发票导入!AL1688</f>
        <v>0</v>
      </c>
      <c r="AM1688">
        <f>[1]发票导入!AM1688</f>
        <v>0</v>
      </c>
      <c r="AN1688" s="22">
        <f t="shared" si="1"/>
        <v>0</v>
      </c>
      <c r="AO1688" s="22">
        <f t="shared" si="2"/>
        <v>0</v>
      </c>
    </row>
    <row r="1689">
      <c r="C1689">
        <f>[1]发票导入!C1689&amp;""</f>
      </c>
      <c r="D1689">
        <f>[1]发票导入!D1689&amp;""</f>
      </c>
      <c r="O1689">
        <f>[1]发票导入!O1689&amp;""</f>
      </c>
      <c r="T1689">
        <f>[1]发票导入!T1689</f>
      </c>
      <c r="U1689">
        <f>[1]发票导入!U1689&amp;""</f>
      </c>
      <c r="V1689">
        <f>[1]发票导入!V1689&amp;""</f>
      </c>
      <c r="W1689">
        <f>[1]发票导入!W1689&amp;""</f>
      </c>
      <c r="Y1689">
        <f>[1]发票导入!Y1689&amp;""</f>
      </c>
      <c r="AA1689">
        <f>[1]发票导入!AA1689&amp;""</f>
      </c>
      <c r="AB1689">
        <f>[1]发票导入!AB1689</f>
        <v>0</v>
      </c>
      <c r="AC1689">
        <f>[1]发票导入!AC1689</f>
        <v>0</v>
      </c>
      <c r="AE1689" s="22">
        <f t="shared" si="0"/>
      </c>
      <c r="AI1689">
        <f>[1]发票导入!AI1689&amp;""</f>
      </c>
      <c r="AJ1689">
        <f>[1]发票导入!AJ1689&amp;""</f>
      </c>
      <c r="AK1689">
        <f>[1]发票导入!AK1689</f>
        <v>0</v>
      </c>
      <c r="AL1689">
        <f>[1]发票导入!AL1689</f>
        <v>0</v>
      </c>
      <c r="AM1689">
        <f>[1]发票导入!AM1689</f>
        <v>0</v>
      </c>
      <c r="AN1689" s="22">
        <f t="shared" si="1"/>
        <v>0</v>
      </c>
      <c r="AO1689" s="22">
        <f t="shared" si="2"/>
        <v>0</v>
      </c>
    </row>
    <row r="1690">
      <c r="C1690">
        <f>[1]发票导入!C1690&amp;""</f>
      </c>
      <c r="D1690">
        <f>[1]发票导入!D1690&amp;""</f>
      </c>
      <c r="O1690">
        <f>[1]发票导入!O1690&amp;""</f>
      </c>
      <c r="T1690">
        <f>[1]发票导入!T1690</f>
      </c>
      <c r="U1690">
        <f>[1]发票导入!U1690&amp;""</f>
      </c>
      <c r="V1690">
        <f>[1]发票导入!V1690&amp;""</f>
      </c>
      <c r="W1690">
        <f>[1]发票导入!W1690&amp;""</f>
      </c>
      <c r="Y1690">
        <f>[1]发票导入!Y1690&amp;""</f>
      </c>
      <c r="AA1690">
        <f>[1]发票导入!AA1690&amp;""</f>
      </c>
      <c r="AB1690">
        <f>[1]发票导入!AB1690</f>
        <v>0</v>
      </c>
      <c r="AC1690">
        <f>[1]发票导入!AC1690</f>
        <v>0</v>
      </c>
      <c r="AE1690" s="22">
        <f t="shared" si="0"/>
      </c>
      <c r="AI1690">
        <f>[1]发票导入!AI1690&amp;""</f>
      </c>
      <c r="AJ1690">
        <f>[1]发票导入!AJ1690&amp;""</f>
      </c>
      <c r="AK1690">
        <f>[1]发票导入!AK1690</f>
        <v>0</v>
      </c>
      <c r="AL1690">
        <f>[1]发票导入!AL1690</f>
        <v>0</v>
      </c>
      <c r="AM1690">
        <f>[1]发票导入!AM1690</f>
        <v>0</v>
      </c>
      <c r="AN1690" s="22">
        <f t="shared" si="1"/>
        <v>0</v>
      </c>
      <c r="AO1690" s="22">
        <f t="shared" si="2"/>
        <v>0</v>
      </c>
    </row>
    <row r="1691">
      <c r="C1691">
        <f>[1]发票导入!C1691&amp;""</f>
      </c>
      <c r="D1691">
        <f>[1]发票导入!D1691&amp;""</f>
      </c>
      <c r="O1691">
        <f>[1]发票导入!O1691&amp;""</f>
      </c>
      <c r="T1691">
        <f>[1]发票导入!T1691</f>
      </c>
      <c r="U1691">
        <f>[1]发票导入!U1691&amp;""</f>
      </c>
      <c r="V1691">
        <f>[1]发票导入!V1691&amp;""</f>
      </c>
      <c r="W1691">
        <f>[1]发票导入!W1691&amp;""</f>
      </c>
      <c r="Y1691">
        <f>[1]发票导入!Y1691&amp;""</f>
      </c>
      <c r="AA1691">
        <f>[1]发票导入!AA1691&amp;""</f>
      </c>
      <c r="AB1691">
        <f>[1]发票导入!AB1691</f>
        <v>0</v>
      </c>
      <c r="AC1691">
        <f>[1]发票导入!AC1691</f>
        <v>0</v>
      </c>
      <c r="AE1691" s="22">
        <f t="shared" si="0"/>
      </c>
      <c r="AI1691">
        <f>[1]发票导入!AI1691&amp;""</f>
      </c>
      <c r="AJ1691">
        <f>[1]发票导入!AJ1691&amp;""</f>
      </c>
      <c r="AK1691">
        <f>[1]发票导入!AK1691</f>
        <v>0</v>
      </c>
      <c r="AL1691">
        <f>[1]发票导入!AL1691</f>
        <v>0</v>
      </c>
      <c r="AM1691">
        <f>[1]发票导入!AM1691</f>
        <v>0</v>
      </c>
      <c r="AN1691" s="22">
        <f t="shared" si="1"/>
        <v>0</v>
      </c>
      <c r="AO1691" s="22">
        <f t="shared" si="2"/>
        <v>0</v>
      </c>
    </row>
    <row r="1692">
      <c r="C1692">
        <f>[1]发票导入!C1692&amp;""</f>
      </c>
      <c r="D1692">
        <f>[1]发票导入!D1692&amp;""</f>
      </c>
      <c r="O1692">
        <f>[1]发票导入!O1692&amp;""</f>
      </c>
      <c r="T1692">
        <f>[1]发票导入!T1692</f>
      </c>
      <c r="U1692">
        <f>[1]发票导入!U1692&amp;""</f>
      </c>
      <c r="V1692">
        <f>[1]发票导入!V1692&amp;""</f>
      </c>
      <c r="W1692">
        <f>[1]发票导入!W1692&amp;""</f>
      </c>
      <c r="Y1692">
        <f>[1]发票导入!Y1692&amp;""</f>
      </c>
      <c r="AA1692">
        <f>[1]发票导入!AA1692&amp;""</f>
      </c>
      <c r="AB1692">
        <f>[1]发票导入!AB1692</f>
        <v>0</v>
      </c>
      <c r="AC1692">
        <f>[1]发票导入!AC1692</f>
        <v>0</v>
      </c>
      <c r="AE1692" s="22">
        <f t="shared" si="0"/>
      </c>
      <c r="AI1692">
        <f>[1]发票导入!AI1692&amp;""</f>
      </c>
      <c r="AJ1692">
        <f>[1]发票导入!AJ1692&amp;""</f>
      </c>
      <c r="AK1692">
        <f>[1]发票导入!AK1692</f>
        <v>0</v>
      </c>
      <c r="AL1692">
        <f>[1]发票导入!AL1692</f>
        <v>0</v>
      </c>
      <c r="AM1692">
        <f>[1]发票导入!AM1692</f>
        <v>0</v>
      </c>
      <c r="AN1692" s="22">
        <f t="shared" si="1"/>
        <v>0</v>
      </c>
      <c r="AO1692" s="22">
        <f t="shared" si="2"/>
        <v>0</v>
      </c>
    </row>
    <row r="1693">
      <c r="C1693">
        <f>[1]发票导入!C1693&amp;""</f>
      </c>
      <c r="D1693">
        <f>[1]发票导入!D1693&amp;""</f>
      </c>
      <c r="O1693">
        <f>[1]发票导入!O1693&amp;""</f>
      </c>
      <c r="T1693">
        <f>[1]发票导入!T1693</f>
      </c>
      <c r="U1693">
        <f>[1]发票导入!U1693&amp;""</f>
      </c>
      <c r="V1693">
        <f>[1]发票导入!V1693&amp;""</f>
      </c>
      <c r="W1693">
        <f>[1]发票导入!W1693&amp;""</f>
      </c>
      <c r="Y1693">
        <f>[1]发票导入!Y1693&amp;""</f>
      </c>
      <c r="AA1693">
        <f>[1]发票导入!AA1693&amp;""</f>
      </c>
      <c r="AB1693">
        <f>[1]发票导入!AB1693</f>
        <v>0</v>
      </c>
      <c r="AC1693">
        <f>[1]发票导入!AC1693</f>
        <v>0</v>
      </c>
      <c r="AE1693" s="22">
        <f t="shared" si="0"/>
      </c>
      <c r="AI1693">
        <f>[1]发票导入!AI1693&amp;""</f>
      </c>
      <c r="AJ1693">
        <f>[1]发票导入!AJ1693&amp;""</f>
      </c>
      <c r="AK1693">
        <f>[1]发票导入!AK1693</f>
        <v>0</v>
      </c>
      <c r="AL1693">
        <f>[1]发票导入!AL1693</f>
        <v>0</v>
      </c>
      <c r="AM1693">
        <f>[1]发票导入!AM1693</f>
        <v>0</v>
      </c>
      <c r="AN1693" s="22">
        <f t="shared" si="1"/>
        <v>0</v>
      </c>
      <c r="AO1693" s="22">
        <f t="shared" si="2"/>
        <v>0</v>
      </c>
    </row>
    <row r="1694">
      <c r="C1694">
        <f>[1]发票导入!C1694&amp;""</f>
      </c>
      <c r="D1694">
        <f>[1]发票导入!D1694&amp;""</f>
      </c>
      <c r="O1694">
        <f>[1]发票导入!O1694&amp;""</f>
      </c>
      <c r="T1694">
        <f>[1]发票导入!T1694</f>
      </c>
      <c r="U1694">
        <f>[1]发票导入!U1694&amp;""</f>
      </c>
      <c r="V1694">
        <f>[1]发票导入!V1694&amp;""</f>
      </c>
      <c r="W1694">
        <f>[1]发票导入!W1694&amp;""</f>
      </c>
      <c r="Y1694">
        <f>[1]发票导入!Y1694&amp;""</f>
      </c>
      <c r="AA1694">
        <f>[1]发票导入!AA1694&amp;""</f>
      </c>
      <c r="AB1694">
        <f>[1]发票导入!AB1694</f>
        <v>0</v>
      </c>
      <c r="AC1694">
        <f>[1]发票导入!AC1694</f>
        <v>0</v>
      </c>
      <c r="AE1694" s="22">
        <f t="shared" si="0"/>
      </c>
      <c r="AI1694">
        <f>[1]发票导入!AI1694&amp;""</f>
      </c>
      <c r="AJ1694">
        <f>[1]发票导入!AJ1694&amp;""</f>
      </c>
      <c r="AK1694">
        <f>[1]发票导入!AK1694</f>
        <v>0</v>
      </c>
      <c r="AL1694">
        <f>[1]发票导入!AL1694</f>
        <v>0</v>
      </c>
      <c r="AM1694">
        <f>[1]发票导入!AM1694</f>
        <v>0</v>
      </c>
      <c r="AN1694" s="22">
        <f t="shared" si="1"/>
        <v>0</v>
      </c>
      <c r="AO1694" s="22">
        <f t="shared" si="2"/>
        <v>0</v>
      </c>
    </row>
    <row r="1695">
      <c r="C1695">
        <f>[1]发票导入!C1695&amp;""</f>
      </c>
      <c r="D1695">
        <f>[1]发票导入!D1695&amp;""</f>
      </c>
      <c r="O1695">
        <f>[1]发票导入!O1695&amp;""</f>
      </c>
      <c r="T1695">
        <f>[1]发票导入!T1695</f>
      </c>
      <c r="U1695">
        <f>[1]发票导入!U1695&amp;""</f>
      </c>
      <c r="V1695">
        <f>[1]发票导入!V1695&amp;""</f>
      </c>
      <c r="W1695">
        <f>[1]发票导入!W1695&amp;""</f>
      </c>
      <c r="Y1695">
        <f>[1]发票导入!Y1695&amp;""</f>
      </c>
      <c r="AA1695">
        <f>[1]发票导入!AA1695&amp;""</f>
      </c>
      <c r="AB1695">
        <f>[1]发票导入!AB1695</f>
        <v>0</v>
      </c>
      <c r="AC1695">
        <f>[1]发票导入!AC1695</f>
        <v>0</v>
      </c>
      <c r="AE1695" s="22">
        <f t="shared" si="0"/>
      </c>
      <c r="AI1695">
        <f>[1]发票导入!AI1695&amp;""</f>
      </c>
      <c r="AJ1695">
        <f>[1]发票导入!AJ1695&amp;""</f>
      </c>
      <c r="AK1695">
        <f>[1]发票导入!AK1695</f>
        <v>0</v>
      </c>
      <c r="AL1695">
        <f>[1]发票导入!AL1695</f>
        <v>0</v>
      </c>
      <c r="AM1695">
        <f>[1]发票导入!AM1695</f>
        <v>0</v>
      </c>
      <c r="AN1695" s="22">
        <f t="shared" si="1"/>
        <v>0</v>
      </c>
      <c r="AO1695" s="22">
        <f t="shared" si="2"/>
        <v>0</v>
      </c>
    </row>
    <row r="1696">
      <c r="C1696">
        <f>[1]发票导入!C1696&amp;""</f>
      </c>
      <c r="D1696">
        <f>[1]发票导入!D1696&amp;""</f>
      </c>
      <c r="O1696">
        <f>[1]发票导入!O1696&amp;""</f>
      </c>
      <c r="T1696">
        <f>[1]发票导入!T1696</f>
      </c>
      <c r="U1696">
        <f>[1]发票导入!U1696&amp;""</f>
      </c>
      <c r="V1696">
        <f>[1]发票导入!V1696&amp;""</f>
      </c>
      <c r="W1696">
        <f>[1]发票导入!W1696&amp;""</f>
      </c>
      <c r="Y1696">
        <f>[1]发票导入!Y1696&amp;""</f>
      </c>
      <c r="AA1696">
        <f>[1]发票导入!AA1696&amp;""</f>
      </c>
      <c r="AB1696">
        <f>[1]发票导入!AB1696</f>
        <v>0</v>
      </c>
      <c r="AC1696">
        <f>[1]发票导入!AC1696</f>
        <v>0</v>
      </c>
      <c r="AE1696" s="22">
        <f t="shared" si="0"/>
      </c>
      <c r="AI1696">
        <f>[1]发票导入!AI1696&amp;""</f>
      </c>
      <c r="AJ1696">
        <f>[1]发票导入!AJ1696&amp;""</f>
      </c>
      <c r="AK1696">
        <f>[1]发票导入!AK1696</f>
        <v>0</v>
      </c>
      <c r="AL1696">
        <f>[1]发票导入!AL1696</f>
        <v>0</v>
      </c>
      <c r="AM1696">
        <f>[1]发票导入!AM1696</f>
        <v>0</v>
      </c>
      <c r="AN1696" s="22">
        <f t="shared" si="1"/>
        <v>0</v>
      </c>
      <c r="AO1696" s="22">
        <f t="shared" si="2"/>
        <v>0</v>
      </c>
    </row>
    <row r="1697">
      <c r="C1697">
        <f>[1]发票导入!C1697&amp;""</f>
      </c>
      <c r="D1697">
        <f>[1]发票导入!D1697&amp;""</f>
      </c>
      <c r="O1697">
        <f>[1]发票导入!O1697&amp;""</f>
      </c>
      <c r="T1697">
        <f>[1]发票导入!T1697</f>
      </c>
      <c r="U1697">
        <f>[1]发票导入!U1697&amp;""</f>
      </c>
      <c r="V1697">
        <f>[1]发票导入!V1697&amp;""</f>
      </c>
      <c r="W1697">
        <f>[1]发票导入!W1697&amp;""</f>
      </c>
      <c r="Y1697">
        <f>[1]发票导入!Y1697&amp;""</f>
      </c>
      <c r="AA1697">
        <f>[1]发票导入!AA1697&amp;""</f>
      </c>
      <c r="AB1697">
        <f>[1]发票导入!AB1697</f>
        <v>0</v>
      </c>
      <c r="AC1697">
        <f>[1]发票导入!AC1697</f>
        <v>0</v>
      </c>
      <c r="AE1697" s="22">
        <f t="shared" si="0"/>
      </c>
      <c r="AI1697">
        <f>[1]发票导入!AI1697&amp;""</f>
      </c>
      <c r="AJ1697">
        <f>[1]发票导入!AJ1697&amp;""</f>
      </c>
      <c r="AK1697">
        <f>[1]发票导入!AK1697</f>
        <v>0</v>
      </c>
      <c r="AL1697">
        <f>[1]发票导入!AL1697</f>
        <v>0</v>
      </c>
      <c r="AM1697">
        <f>[1]发票导入!AM1697</f>
        <v>0</v>
      </c>
      <c r="AN1697" s="22">
        <f t="shared" si="1"/>
        <v>0</v>
      </c>
      <c r="AO1697" s="22">
        <f t="shared" si="2"/>
        <v>0</v>
      </c>
    </row>
    <row r="1698">
      <c r="C1698">
        <f>[1]发票导入!C1698&amp;""</f>
      </c>
      <c r="D1698">
        <f>[1]发票导入!D1698&amp;""</f>
      </c>
      <c r="O1698">
        <f>[1]发票导入!O1698&amp;""</f>
      </c>
      <c r="T1698">
        <f>[1]发票导入!T1698</f>
      </c>
      <c r="U1698">
        <f>[1]发票导入!U1698&amp;""</f>
      </c>
      <c r="V1698">
        <f>[1]发票导入!V1698&amp;""</f>
      </c>
      <c r="W1698">
        <f>[1]发票导入!W1698&amp;""</f>
      </c>
      <c r="Y1698">
        <f>[1]发票导入!Y1698&amp;""</f>
      </c>
      <c r="AA1698">
        <f>[1]发票导入!AA1698&amp;""</f>
      </c>
      <c r="AB1698">
        <f>[1]发票导入!AB1698</f>
        <v>0</v>
      </c>
      <c r="AC1698">
        <f>[1]发票导入!AC1698</f>
        <v>0</v>
      </c>
      <c r="AE1698" s="22">
        <f t="shared" si="0"/>
      </c>
      <c r="AI1698">
        <f>[1]发票导入!AI1698&amp;""</f>
      </c>
      <c r="AJ1698">
        <f>[1]发票导入!AJ1698&amp;""</f>
      </c>
      <c r="AK1698">
        <f>[1]发票导入!AK1698</f>
        <v>0</v>
      </c>
      <c r="AL1698">
        <f>[1]发票导入!AL1698</f>
        <v>0</v>
      </c>
      <c r="AM1698">
        <f>[1]发票导入!AM1698</f>
        <v>0</v>
      </c>
      <c r="AN1698" s="22">
        <f t="shared" si="1"/>
        <v>0</v>
      </c>
      <c r="AO1698" s="22">
        <f t="shared" si="2"/>
        <v>0</v>
      </c>
    </row>
    <row r="1699">
      <c r="C1699">
        <f>[1]发票导入!C1699&amp;""</f>
      </c>
      <c r="D1699">
        <f>[1]发票导入!D1699&amp;""</f>
      </c>
      <c r="O1699">
        <f>[1]发票导入!O1699&amp;""</f>
      </c>
      <c r="T1699">
        <f>[1]发票导入!T1699</f>
      </c>
      <c r="U1699">
        <f>[1]发票导入!U1699&amp;""</f>
      </c>
      <c r="V1699">
        <f>[1]发票导入!V1699&amp;""</f>
      </c>
      <c r="W1699">
        <f>[1]发票导入!W1699&amp;""</f>
      </c>
      <c r="Y1699">
        <f>[1]发票导入!Y1699&amp;""</f>
      </c>
      <c r="AA1699">
        <f>[1]发票导入!AA1699&amp;""</f>
      </c>
      <c r="AB1699">
        <f>[1]发票导入!AB1699</f>
        <v>0</v>
      </c>
      <c r="AC1699">
        <f>[1]发票导入!AC1699</f>
        <v>0</v>
      </c>
      <c r="AE1699" s="22">
        <f t="shared" si="0"/>
      </c>
      <c r="AI1699">
        <f>[1]发票导入!AI1699&amp;""</f>
      </c>
      <c r="AJ1699">
        <f>[1]发票导入!AJ1699&amp;""</f>
      </c>
      <c r="AK1699">
        <f>[1]发票导入!AK1699</f>
        <v>0</v>
      </c>
      <c r="AL1699">
        <f>[1]发票导入!AL1699</f>
        <v>0</v>
      </c>
      <c r="AM1699">
        <f>[1]发票导入!AM1699</f>
        <v>0</v>
      </c>
      <c r="AN1699" s="22">
        <f t="shared" si="1"/>
        <v>0</v>
      </c>
      <c r="AO1699" s="22">
        <f t="shared" si="2"/>
        <v>0</v>
      </c>
    </row>
    <row r="1700">
      <c r="C1700">
        <f>[1]发票导入!C1700&amp;""</f>
      </c>
      <c r="D1700">
        <f>[1]发票导入!D1700&amp;""</f>
      </c>
      <c r="O1700">
        <f>[1]发票导入!O1700&amp;""</f>
      </c>
      <c r="T1700">
        <f>[1]发票导入!T1700</f>
      </c>
      <c r="U1700">
        <f>[1]发票导入!U1700&amp;""</f>
      </c>
      <c r="V1700">
        <f>[1]发票导入!V1700&amp;""</f>
      </c>
      <c r="W1700">
        <f>[1]发票导入!W1700&amp;""</f>
      </c>
      <c r="Y1700">
        <f>[1]发票导入!Y1700&amp;""</f>
      </c>
      <c r="AA1700">
        <f>[1]发票导入!AA1700&amp;""</f>
      </c>
      <c r="AB1700">
        <f>[1]发票导入!AB1700</f>
        <v>0</v>
      </c>
      <c r="AC1700">
        <f>[1]发票导入!AC1700</f>
        <v>0</v>
      </c>
      <c r="AE1700" s="22">
        <f t="shared" si="0"/>
      </c>
      <c r="AI1700">
        <f>[1]发票导入!AI1700&amp;""</f>
      </c>
      <c r="AJ1700">
        <f>[1]发票导入!AJ1700&amp;""</f>
      </c>
      <c r="AK1700">
        <f>[1]发票导入!AK1700</f>
        <v>0</v>
      </c>
      <c r="AL1700">
        <f>[1]发票导入!AL1700</f>
        <v>0</v>
      </c>
      <c r="AM1700">
        <f>[1]发票导入!AM1700</f>
        <v>0</v>
      </c>
      <c r="AN1700" s="22">
        <f t="shared" si="1"/>
        <v>0</v>
      </c>
      <c r="AO1700" s="22">
        <f t="shared" si="2"/>
        <v>0</v>
      </c>
    </row>
    <row r="1701">
      <c r="C1701">
        <f>[1]发票导入!C1701&amp;""</f>
      </c>
      <c r="D1701">
        <f>[1]发票导入!D1701&amp;""</f>
      </c>
      <c r="O1701">
        <f>[1]发票导入!O1701&amp;""</f>
      </c>
      <c r="T1701">
        <f>[1]发票导入!T1701</f>
      </c>
      <c r="U1701">
        <f>[1]发票导入!U1701&amp;""</f>
      </c>
      <c r="V1701">
        <f>[1]发票导入!V1701&amp;""</f>
      </c>
      <c r="W1701">
        <f>[1]发票导入!W1701&amp;""</f>
      </c>
      <c r="Y1701">
        <f>[1]发票导入!Y1701&amp;""</f>
      </c>
      <c r="AA1701">
        <f>[1]发票导入!AA1701&amp;""</f>
      </c>
      <c r="AB1701">
        <f>[1]发票导入!AB1701</f>
        <v>0</v>
      </c>
      <c r="AC1701">
        <f>[1]发票导入!AC1701</f>
        <v>0</v>
      </c>
      <c r="AE1701" s="22">
        <f t="shared" si="0"/>
      </c>
      <c r="AI1701">
        <f>[1]发票导入!AI1701&amp;""</f>
      </c>
      <c r="AJ1701">
        <f>[1]发票导入!AJ1701&amp;""</f>
      </c>
      <c r="AK1701">
        <f>[1]发票导入!AK1701</f>
        <v>0</v>
      </c>
      <c r="AL1701">
        <f>[1]发票导入!AL1701</f>
        <v>0</v>
      </c>
      <c r="AM1701">
        <f>[1]发票导入!AM1701</f>
        <v>0</v>
      </c>
      <c r="AN1701" s="22">
        <f t="shared" si="1"/>
        <v>0</v>
      </c>
      <c r="AO1701" s="22">
        <f t="shared" si="2"/>
        <v>0</v>
      </c>
    </row>
    <row r="1702">
      <c r="C1702">
        <f>[1]发票导入!C1702&amp;""</f>
      </c>
      <c r="D1702">
        <f>[1]发票导入!D1702&amp;""</f>
      </c>
      <c r="O1702">
        <f>[1]发票导入!O1702&amp;""</f>
      </c>
      <c r="T1702">
        <f>[1]发票导入!T1702</f>
      </c>
      <c r="U1702">
        <f>[1]发票导入!U1702&amp;""</f>
      </c>
      <c r="V1702">
        <f>[1]发票导入!V1702&amp;""</f>
      </c>
      <c r="W1702">
        <f>[1]发票导入!W1702&amp;""</f>
      </c>
      <c r="Y1702">
        <f>[1]发票导入!Y1702&amp;""</f>
      </c>
      <c r="AA1702">
        <f>[1]发票导入!AA1702&amp;""</f>
      </c>
      <c r="AB1702">
        <f>[1]发票导入!AB1702</f>
        <v>0</v>
      </c>
      <c r="AC1702">
        <f>[1]发票导入!AC1702</f>
        <v>0</v>
      </c>
      <c r="AE1702" s="22">
        <f t="shared" si="0"/>
      </c>
      <c r="AI1702">
        <f>[1]发票导入!AI1702&amp;""</f>
      </c>
      <c r="AJ1702">
        <f>[1]发票导入!AJ1702&amp;""</f>
      </c>
      <c r="AK1702">
        <f>[1]发票导入!AK1702</f>
        <v>0</v>
      </c>
      <c r="AL1702">
        <f>[1]发票导入!AL1702</f>
        <v>0</v>
      </c>
      <c r="AM1702">
        <f>[1]发票导入!AM1702</f>
        <v>0</v>
      </c>
      <c r="AN1702" s="22">
        <f t="shared" si="1"/>
        <v>0</v>
      </c>
      <c r="AO1702" s="22">
        <f t="shared" si="2"/>
        <v>0</v>
      </c>
    </row>
    <row r="1703">
      <c r="C1703">
        <f>[1]发票导入!C1703&amp;""</f>
      </c>
      <c r="D1703">
        <f>[1]发票导入!D1703&amp;""</f>
      </c>
      <c r="O1703">
        <f>[1]发票导入!O1703&amp;""</f>
      </c>
      <c r="T1703">
        <f>[1]发票导入!T1703</f>
      </c>
      <c r="U1703">
        <f>[1]发票导入!U1703&amp;""</f>
      </c>
      <c r="V1703">
        <f>[1]发票导入!V1703&amp;""</f>
      </c>
      <c r="W1703">
        <f>[1]发票导入!W1703&amp;""</f>
      </c>
      <c r="Y1703">
        <f>[1]发票导入!Y1703&amp;""</f>
      </c>
      <c r="AA1703">
        <f>[1]发票导入!AA1703&amp;""</f>
      </c>
      <c r="AB1703">
        <f>[1]发票导入!AB1703</f>
        <v>0</v>
      </c>
      <c r="AC1703">
        <f>[1]发票导入!AC1703</f>
        <v>0</v>
      </c>
      <c r="AE1703" s="22">
        <f t="shared" si="0"/>
      </c>
      <c r="AI1703">
        <f>[1]发票导入!AI1703&amp;""</f>
      </c>
      <c r="AJ1703">
        <f>[1]发票导入!AJ1703&amp;""</f>
      </c>
      <c r="AK1703">
        <f>[1]发票导入!AK1703</f>
        <v>0</v>
      </c>
      <c r="AL1703">
        <f>[1]发票导入!AL1703</f>
        <v>0</v>
      </c>
      <c r="AM1703">
        <f>[1]发票导入!AM1703</f>
        <v>0</v>
      </c>
      <c r="AN1703" s="22">
        <f t="shared" si="1"/>
        <v>0</v>
      </c>
      <c r="AO1703" s="22">
        <f t="shared" si="2"/>
        <v>0</v>
      </c>
    </row>
    <row r="1704">
      <c r="C1704">
        <f>[1]发票导入!C1704&amp;""</f>
      </c>
      <c r="D1704">
        <f>[1]发票导入!D1704&amp;""</f>
      </c>
      <c r="O1704">
        <f>[1]发票导入!O1704&amp;""</f>
      </c>
      <c r="T1704">
        <f>[1]发票导入!T1704</f>
      </c>
      <c r="U1704">
        <f>[1]发票导入!U1704&amp;""</f>
      </c>
      <c r="V1704">
        <f>[1]发票导入!V1704&amp;""</f>
      </c>
      <c r="W1704">
        <f>[1]发票导入!W1704&amp;""</f>
      </c>
      <c r="Y1704">
        <f>[1]发票导入!Y1704&amp;""</f>
      </c>
      <c r="AA1704">
        <f>[1]发票导入!AA1704&amp;""</f>
      </c>
      <c r="AB1704">
        <f>[1]发票导入!AB1704</f>
        <v>0</v>
      </c>
      <c r="AC1704">
        <f>[1]发票导入!AC1704</f>
        <v>0</v>
      </c>
      <c r="AE1704" s="22">
        <f t="shared" si="0"/>
      </c>
      <c r="AI1704">
        <f>[1]发票导入!AI1704&amp;""</f>
      </c>
      <c r="AJ1704">
        <f>[1]发票导入!AJ1704&amp;""</f>
      </c>
      <c r="AK1704">
        <f>[1]发票导入!AK1704</f>
        <v>0</v>
      </c>
      <c r="AL1704">
        <f>[1]发票导入!AL1704</f>
        <v>0</v>
      </c>
      <c r="AM1704">
        <f>[1]发票导入!AM1704</f>
        <v>0</v>
      </c>
      <c r="AN1704" s="22">
        <f t="shared" si="1"/>
        <v>0</v>
      </c>
      <c r="AO1704" s="22">
        <f t="shared" si="2"/>
        <v>0</v>
      </c>
    </row>
    <row r="1705">
      <c r="C1705">
        <f>[1]发票导入!C1705&amp;""</f>
      </c>
      <c r="D1705">
        <f>[1]发票导入!D1705&amp;""</f>
      </c>
      <c r="O1705">
        <f>[1]发票导入!O1705&amp;""</f>
      </c>
      <c r="T1705">
        <f>[1]发票导入!T1705</f>
      </c>
      <c r="U1705">
        <f>[1]发票导入!U1705&amp;""</f>
      </c>
      <c r="V1705">
        <f>[1]发票导入!V1705&amp;""</f>
      </c>
      <c r="W1705">
        <f>[1]发票导入!W1705&amp;""</f>
      </c>
      <c r="Y1705">
        <f>[1]发票导入!Y1705&amp;""</f>
      </c>
      <c r="AA1705">
        <f>[1]发票导入!AA1705&amp;""</f>
      </c>
      <c r="AB1705">
        <f>[1]发票导入!AB1705</f>
        <v>0</v>
      </c>
      <c r="AC1705">
        <f>[1]发票导入!AC1705</f>
        <v>0</v>
      </c>
      <c r="AE1705" s="22">
        <f t="shared" si="0"/>
      </c>
      <c r="AI1705">
        <f>[1]发票导入!AI1705&amp;""</f>
      </c>
      <c r="AJ1705">
        <f>[1]发票导入!AJ1705&amp;""</f>
      </c>
      <c r="AK1705">
        <f>[1]发票导入!AK1705</f>
        <v>0</v>
      </c>
      <c r="AL1705">
        <f>[1]发票导入!AL1705</f>
        <v>0</v>
      </c>
      <c r="AM1705">
        <f>[1]发票导入!AM1705</f>
        <v>0</v>
      </c>
      <c r="AN1705" s="22">
        <f t="shared" si="1"/>
        <v>0</v>
      </c>
      <c r="AO1705" s="22">
        <f t="shared" si="2"/>
        <v>0</v>
      </c>
    </row>
    <row r="1706">
      <c r="C1706">
        <f>[1]发票导入!C1706&amp;""</f>
      </c>
      <c r="D1706">
        <f>[1]发票导入!D1706&amp;""</f>
      </c>
      <c r="O1706">
        <f>[1]发票导入!O1706&amp;""</f>
      </c>
      <c r="T1706">
        <f>[1]发票导入!T1706</f>
      </c>
      <c r="U1706">
        <f>[1]发票导入!U1706&amp;""</f>
      </c>
      <c r="V1706">
        <f>[1]发票导入!V1706&amp;""</f>
      </c>
      <c r="W1706">
        <f>[1]发票导入!W1706&amp;""</f>
      </c>
      <c r="Y1706">
        <f>[1]发票导入!Y1706&amp;""</f>
      </c>
      <c r="AA1706">
        <f>[1]发票导入!AA1706&amp;""</f>
      </c>
      <c r="AB1706">
        <f>[1]发票导入!AB1706</f>
        <v>0</v>
      </c>
      <c r="AC1706">
        <f>[1]发票导入!AC1706</f>
        <v>0</v>
      </c>
      <c r="AE1706" s="22">
        <f t="shared" si="0"/>
      </c>
      <c r="AI1706">
        <f>[1]发票导入!AI1706&amp;""</f>
      </c>
      <c r="AJ1706">
        <f>[1]发票导入!AJ1706&amp;""</f>
      </c>
      <c r="AK1706">
        <f>[1]发票导入!AK1706</f>
        <v>0</v>
      </c>
      <c r="AL1706">
        <f>[1]发票导入!AL1706</f>
        <v>0</v>
      </c>
      <c r="AM1706">
        <f>[1]发票导入!AM1706</f>
        <v>0</v>
      </c>
      <c r="AN1706" s="22">
        <f t="shared" si="1"/>
        <v>0</v>
      </c>
      <c r="AO1706" s="22">
        <f t="shared" si="2"/>
        <v>0</v>
      </c>
    </row>
    <row r="1707">
      <c r="C1707">
        <f>[1]发票导入!C1707&amp;""</f>
      </c>
      <c r="D1707">
        <f>[1]发票导入!D1707&amp;""</f>
      </c>
      <c r="O1707">
        <f>[1]发票导入!O1707&amp;""</f>
      </c>
      <c r="T1707">
        <f>[1]发票导入!T1707</f>
      </c>
      <c r="U1707">
        <f>[1]发票导入!U1707&amp;""</f>
      </c>
      <c r="V1707">
        <f>[1]发票导入!V1707&amp;""</f>
      </c>
      <c r="W1707">
        <f>[1]发票导入!W1707&amp;""</f>
      </c>
      <c r="Y1707">
        <f>[1]发票导入!Y1707&amp;""</f>
      </c>
      <c r="AA1707">
        <f>[1]发票导入!AA1707&amp;""</f>
      </c>
      <c r="AB1707">
        <f>[1]发票导入!AB1707</f>
        <v>0</v>
      </c>
      <c r="AC1707">
        <f>[1]发票导入!AC1707</f>
        <v>0</v>
      </c>
      <c r="AE1707" s="22">
        <f t="shared" si="0"/>
      </c>
      <c r="AI1707">
        <f>[1]发票导入!AI1707&amp;""</f>
      </c>
      <c r="AJ1707">
        <f>[1]发票导入!AJ1707&amp;""</f>
      </c>
      <c r="AK1707">
        <f>[1]发票导入!AK1707</f>
        <v>0</v>
      </c>
      <c r="AL1707">
        <f>[1]发票导入!AL1707</f>
        <v>0</v>
      </c>
      <c r="AM1707">
        <f>[1]发票导入!AM1707</f>
        <v>0</v>
      </c>
      <c r="AN1707" s="22">
        <f t="shared" si="1"/>
        <v>0</v>
      </c>
      <c r="AO1707" s="22">
        <f t="shared" si="2"/>
        <v>0</v>
      </c>
    </row>
    <row r="1708">
      <c r="C1708">
        <f>[1]发票导入!C1708&amp;""</f>
      </c>
      <c r="D1708">
        <f>[1]发票导入!D1708&amp;""</f>
      </c>
      <c r="O1708">
        <f>[1]发票导入!O1708&amp;""</f>
      </c>
      <c r="T1708">
        <f>[1]发票导入!T1708</f>
      </c>
      <c r="U1708">
        <f>[1]发票导入!U1708&amp;""</f>
      </c>
      <c r="V1708">
        <f>[1]发票导入!V1708&amp;""</f>
      </c>
      <c r="W1708">
        <f>[1]发票导入!W1708&amp;""</f>
      </c>
      <c r="Y1708">
        <f>[1]发票导入!Y1708&amp;""</f>
      </c>
      <c r="AA1708">
        <f>[1]发票导入!AA1708&amp;""</f>
      </c>
      <c r="AB1708">
        <f>[1]发票导入!AB1708</f>
        <v>0</v>
      </c>
      <c r="AC1708">
        <f>[1]发票导入!AC1708</f>
        <v>0</v>
      </c>
      <c r="AE1708" s="22">
        <f t="shared" si="0"/>
      </c>
      <c r="AI1708">
        <f>[1]发票导入!AI1708&amp;""</f>
      </c>
      <c r="AJ1708">
        <f>[1]发票导入!AJ1708&amp;""</f>
      </c>
      <c r="AK1708">
        <f>[1]发票导入!AK1708</f>
        <v>0</v>
      </c>
      <c r="AL1708">
        <f>[1]发票导入!AL1708</f>
        <v>0</v>
      </c>
      <c r="AM1708">
        <f>[1]发票导入!AM1708</f>
        <v>0</v>
      </c>
      <c r="AN1708" s="22">
        <f t="shared" si="1"/>
        <v>0</v>
      </c>
      <c r="AO1708" s="22">
        <f t="shared" si="2"/>
        <v>0</v>
      </c>
    </row>
    <row r="1709">
      <c r="C1709">
        <f>[1]发票导入!C1709&amp;""</f>
      </c>
      <c r="D1709">
        <f>[1]发票导入!D1709&amp;""</f>
      </c>
      <c r="O1709">
        <f>[1]发票导入!O1709&amp;""</f>
      </c>
      <c r="T1709">
        <f>[1]发票导入!T1709</f>
      </c>
      <c r="U1709">
        <f>[1]发票导入!U1709&amp;""</f>
      </c>
      <c r="V1709">
        <f>[1]发票导入!V1709&amp;""</f>
      </c>
      <c r="W1709">
        <f>[1]发票导入!W1709&amp;""</f>
      </c>
      <c r="Y1709">
        <f>[1]发票导入!Y1709&amp;""</f>
      </c>
      <c r="AA1709">
        <f>[1]发票导入!AA1709&amp;""</f>
      </c>
      <c r="AB1709">
        <f>[1]发票导入!AB1709</f>
        <v>0</v>
      </c>
      <c r="AC1709">
        <f>[1]发票导入!AC1709</f>
        <v>0</v>
      </c>
      <c r="AE1709" s="22">
        <f t="shared" si="0"/>
      </c>
      <c r="AI1709">
        <f>[1]发票导入!AI1709&amp;""</f>
      </c>
      <c r="AJ1709">
        <f>[1]发票导入!AJ1709&amp;""</f>
      </c>
      <c r="AK1709">
        <f>[1]发票导入!AK1709</f>
        <v>0</v>
      </c>
      <c r="AL1709">
        <f>[1]发票导入!AL1709</f>
        <v>0</v>
      </c>
      <c r="AM1709">
        <f>[1]发票导入!AM1709</f>
        <v>0</v>
      </c>
      <c r="AN1709" s="22">
        <f t="shared" si="1"/>
        <v>0</v>
      </c>
      <c r="AO1709" s="22">
        <f t="shared" si="2"/>
        <v>0</v>
      </c>
    </row>
    <row r="1710">
      <c r="C1710">
        <f>[1]发票导入!C1710&amp;""</f>
      </c>
      <c r="D1710">
        <f>[1]发票导入!D1710&amp;""</f>
      </c>
      <c r="O1710">
        <f>[1]发票导入!O1710&amp;""</f>
      </c>
      <c r="T1710">
        <f>[1]发票导入!T1710</f>
      </c>
      <c r="U1710">
        <f>[1]发票导入!U1710&amp;""</f>
      </c>
      <c r="V1710">
        <f>[1]发票导入!V1710&amp;""</f>
      </c>
      <c r="W1710">
        <f>[1]发票导入!W1710&amp;""</f>
      </c>
      <c r="Y1710">
        <f>[1]发票导入!Y1710&amp;""</f>
      </c>
      <c r="AA1710">
        <f>[1]发票导入!AA1710&amp;""</f>
      </c>
      <c r="AB1710">
        <f>[1]发票导入!AB1710</f>
        <v>0</v>
      </c>
      <c r="AC1710">
        <f>[1]发票导入!AC1710</f>
        <v>0</v>
      </c>
      <c r="AE1710" s="22">
        <f t="shared" si="0"/>
      </c>
      <c r="AI1710">
        <f>[1]发票导入!AI1710&amp;""</f>
      </c>
      <c r="AJ1710">
        <f>[1]发票导入!AJ1710&amp;""</f>
      </c>
      <c r="AK1710">
        <f>[1]发票导入!AK1710</f>
        <v>0</v>
      </c>
      <c r="AL1710">
        <f>[1]发票导入!AL1710</f>
        <v>0</v>
      </c>
      <c r="AM1710">
        <f>[1]发票导入!AM1710</f>
        <v>0</v>
      </c>
      <c r="AN1710" s="22">
        <f t="shared" si="1"/>
        <v>0</v>
      </c>
      <c r="AO1710" s="22">
        <f t="shared" si="2"/>
        <v>0</v>
      </c>
    </row>
    <row r="1711">
      <c r="C1711">
        <f>[1]发票导入!C1711&amp;""</f>
      </c>
      <c r="D1711">
        <f>[1]发票导入!D1711&amp;""</f>
      </c>
      <c r="O1711">
        <f>[1]发票导入!O1711&amp;""</f>
      </c>
      <c r="T1711">
        <f>[1]发票导入!T1711</f>
      </c>
      <c r="U1711">
        <f>[1]发票导入!U1711&amp;""</f>
      </c>
      <c r="V1711">
        <f>[1]发票导入!V1711&amp;""</f>
      </c>
      <c r="W1711">
        <f>[1]发票导入!W1711&amp;""</f>
      </c>
      <c r="Y1711">
        <f>[1]发票导入!Y1711&amp;""</f>
      </c>
      <c r="AA1711">
        <f>[1]发票导入!AA1711&amp;""</f>
      </c>
      <c r="AB1711">
        <f>[1]发票导入!AB1711</f>
        <v>0</v>
      </c>
      <c r="AC1711">
        <f>[1]发票导入!AC1711</f>
        <v>0</v>
      </c>
      <c r="AE1711" s="22">
        <f t="shared" si="0"/>
      </c>
      <c r="AI1711">
        <f>[1]发票导入!AI1711&amp;""</f>
      </c>
      <c r="AJ1711">
        <f>[1]发票导入!AJ1711&amp;""</f>
      </c>
      <c r="AK1711">
        <f>[1]发票导入!AK1711</f>
        <v>0</v>
      </c>
      <c r="AL1711">
        <f>[1]发票导入!AL1711</f>
        <v>0</v>
      </c>
      <c r="AM1711">
        <f>[1]发票导入!AM1711</f>
        <v>0</v>
      </c>
      <c r="AN1711" s="22">
        <f t="shared" si="1"/>
        <v>0</v>
      </c>
      <c r="AO1711" s="22">
        <f t="shared" si="2"/>
        <v>0</v>
      </c>
    </row>
    <row r="1712">
      <c r="C1712">
        <f>[1]发票导入!C1712&amp;""</f>
      </c>
      <c r="D1712">
        <f>[1]发票导入!D1712&amp;""</f>
      </c>
      <c r="O1712">
        <f>[1]发票导入!O1712&amp;""</f>
      </c>
      <c r="T1712">
        <f>[1]发票导入!T1712</f>
      </c>
      <c r="U1712">
        <f>[1]发票导入!U1712&amp;""</f>
      </c>
      <c r="V1712">
        <f>[1]发票导入!V1712&amp;""</f>
      </c>
      <c r="W1712">
        <f>[1]发票导入!W1712&amp;""</f>
      </c>
      <c r="Y1712">
        <f>[1]发票导入!Y1712&amp;""</f>
      </c>
      <c r="AA1712">
        <f>[1]发票导入!AA1712&amp;""</f>
      </c>
      <c r="AB1712">
        <f>[1]发票导入!AB1712</f>
        <v>0</v>
      </c>
      <c r="AC1712">
        <f>[1]发票导入!AC1712</f>
        <v>0</v>
      </c>
      <c r="AE1712" s="22">
        <f t="shared" si="0"/>
      </c>
      <c r="AI1712">
        <f>[1]发票导入!AI1712&amp;""</f>
      </c>
      <c r="AJ1712">
        <f>[1]发票导入!AJ1712&amp;""</f>
      </c>
      <c r="AK1712">
        <f>[1]发票导入!AK1712</f>
        <v>0</v>
      </c>
      <c r="AL1712">
        <f>[1]发票导入!AL1712</f>
        <v>0</v>
      </c>
      <c r="AM1712">
        <f>[1]发票导入!AM1712</f>
        <v>0</v>
      </c>
      <c r="AN1712" s="22">
        <f t="shared" si="1"/>
        <v>0</v>
      </c>
      <c r="AO1712" s="22">
        <f t="shared" si="2"/>
        <v>0</v>
      </c>
    </row>
    <row r="1713">
      <c r="C1713">
        <f>[1]发票导入!C1713&amp;""</f>
      </c>
      <c r="D1713">
        <f>[1]发票导入!D1713&amp;""</f>
      </c>
      <c r="O1713">
        <f>[1]发票导入!O1713&amp;""</f>
      </c>
      <c r="T1713">
        <f>[1]发票导入!T1713</f>
      </c>
      <c r="U1713">
        <f>[1]发票导入!U1713&amp;""</f>
      </c>
      <c r="V1713">
        <f>[1]发票导入!V1713&amp;""</f>
      </c>
      <c r="W1713">
        <f>[1]发票导入!W1713&amp;""</f>
      </c>
      <c r="Y1713">
        <f>[1]发票导入!Y1713&amp;""</f>
      </c>
      <c r="AA1713">
        <f>[1]发票导入!AA1713&amp;""</f>
      </c>
      <c r="AB1713">
        <f>[1]发票导入!AB1713</f>
        <v>0</v>
      </c>
      <c r="AC1713">
        <f>[1]发票导入!AC1713</f>
        <v>0</v>
      </c>
      <c r="AE1713" s="22">
        <f t="shared" si="0"/>
      </c>
      <c r="AI1713">
        <f>[1]发票导入!AI1713&amp;""</f>
      </c>
      <c r="AJ1713">
        <f>[1]发票导入!AJ1713&amp;""</f>
      </c>
      <c r="AK1713">
        <f>[1]发票导入!AK1713</f>
        <v>0</v>
      </c>
      <c r="AL1713">
        <f>[1]发票导入!AL1713</f>
        <v>0</v>
      </c>
      <c r="AM1713">
        <f>[1]发票导入!AM1713</f>
        <v>0</v>
      </c>
      <c r="AN1713" s="22">
        <f t="shared" si="1"/>
        <v>0</v>
      </c>
      <c r="AO1713" s="22">
        <f t="shared" si="2"/>
        <v>0</v>
      </c>
    </row>
    <row r="1714">
      <c r="C1714">
        <f>[1]发票导入!C1714&amp;""</f>
      </c>
      <c r="D1714">
        <f>[1]发票导入!D1714&amp;""</f>
      </c>
      <c r="O1714">
        <f>[1]发票导入!O1714&amp;""</f>
      </c>
      <c r="T1714">
        <f>[1]发票导入!T1714</f>
      </c>
      <c r="U1714">
        <f>[1]发票导入!U1714&amp;""</f>
      </c>
      <c r="V1714">
        <f>[1]发票导入!V1714&amp;""</f>
      </c>
      <c r="W1714">
        <f>[1]发票导入!W1714&amp;""</f>
      </c>
      <c r="Y1714">
        <f>[1]发票导入!Y1714&amp;""</f>
      </c>
      <c r="AA1714">
        <f>[1]发票导入!AA1714&amp;""</f>
      </c>
      <c r="AB1714">
        <f>[1]发票导入!AB1714</f>
        <v>0</v>
      </c>
      <c r="AC1714">
        <f>[1]发票导入!AC1714</f>
        <v>0</v>
      </c>
      <c r="AE1714" s="22">
        <f t="shared" si="0"/>
      </c>
      <c r="AI1714">
        <f>[1]发票导入!AI1714&amp;""</f>
      </c>
      <c r="AJ1714">
        <f>[1]发票导入!AJ1714&amp;""</f>
      </c>
      <c r="AK1714">
        <f>[1]发票导入!AK1714</f>
        <v>0</v>
      </c>
      <c r="AL1714">
        <f>[1]发票导入!AL1714</f>
        <v>0</v>
      </c>
      <c r="AM1714">
        <f>[1]发票导入!AM1714</f>
        <v>0</v>
      </c>
      <c r="AN1714" s="22">
        <f t="shared" si="1"/>
        <v>0</v>
      </c>
      <c r="AO1714" s="22">
        <f t="shared" si="2"/>
        <v>0</v>
      </c>
    </row>
    <row r="1715">
      <c r="C1715">
        <f>[1]发票导入!C1715&amp;""</f>
      </c>
      <c r="D1715">
        <f>[1]发票导入!D1715&amp;""</f>
      </c>
      <c r="O1715">
        <f>[1]发票导入!O1715&amp;""</f>
      </c>
      <c r="T1715">
        <f>[1]发票导入!T1715</f>
      </c>
      <c r="U1715">
        <f>[1]发票导入!U1715&amp;""</f>
      </c>
      <c r="V1715">
        <f>[1]发票导入!V1715&amp;""</f>
      </c>
      <c r="W1715">
        <f>[1]发票导入!W1715&amp;""</f>
      </c>
      <c r="Y1715">
        <f>[1]发票导入!Y1715&amp;""</f>
      </c>
      <c r="AA1715">
        <f>[1]发票导入!AA1715&amp;""</f>
      </c>
      <c r="AB1715">
        <f>[1]发票导入!AB1715</f>
        <v>0</v>
      </c>
      <c r="AC1715">
        <f>[1]发票导入!AC1715</f>
        <v>0</v>
      </c>
      <c r="AE1715" s="22">
        <f t="shared" si="0"/>
      </c>
      <c r="AI1715">
        <f>[1]发票导入!AI1715&amp;""</f>
      </c>
      <c r="AJ1715">
        <f>[1]发票导入!AJ1715&amp;""</f>
      </c>
      <c r="AK1715">
        <f>[1]发票导入!AK1715</f>
        <v>0</v>
      </c>
      <c r="AL1715">
        <f>[1]发票导入!AL1715</f>
        <v>0</v>
      </c>
      <c r="AM1715">
        <f>[1]发票导入!AM1715</f>
        <v>0</v>
      </c>
      <c r="AN1715" s="22">
        <f t="shared" si="1"/>
        <v>0</v>
      </c>
      <c r="AO1715" s="22">
        <f t="shared" si="2"/>
        <v>0</v>
      </c>
    </row>
    <row r="1716">
      <c r="C1716">
        <f>[1]发票导入!C1716&amp;""</f>
      </c>
      <c r="D1716">
        <f>[1]发票导入!D1716&amp;""</f>
      </c>
      <c r="O1716">
        <f>[1]发票导入!O1716&amp;""</f>
      </c>
      <c r="T1716">
        <f>[1]发票导入!T1716</f>
      </c>
      <c r="U1716">
        <f>[1]发票导入!U1716&amp;""</f>
      </c>
      <c r="V1716">
        <f>[1]发票导入!V1716&amp;""</f>
      </c>
      <c r="W1716">
        <f>[1]发票导入!W1716&amp;""</f>
      </c>
      <c r="Y1716">
        <f>[1]发票导入!Y1716&amp;""</f>
      </c>
      <c r="AA1716">
        <f>[1]发票导入!AA1716&amp;""</f>
      </c>
      <c r="AB1716">
        <f>[1]发票导入!AB1716</f>
        <v>0</v>
      </c>
      <c r="AC1716">
        <f>[1]发票导入!AC1716</f>
        <v>0</v>
      </c>
      <c r="AE1716" s="22">
        <f t="shared" si="0"/>
      </c>
      <c r="AI1716">
        <f>[1]发票导入!AI1716&amp;""</f>
      </c>
      <c r="AJ1716">
        <f>[1]发票导入!AJ1716&amp;""</f>
      </c>
      <c r="AK1716">
        <f>[1]发票导入!AK1716</f>
        <v>0</v>
      </c>
      <c r="AL1716">
        <f>[1]发票导入!AL1716</f>
        <v>0</v>
      </c>
      <c r="AM1716">
        <f>[1]发票导入!AM1716</f>
        <v>0</v>
      </c>
      <c r="AN1716" s="22">
        <f t="shared" si="1"/>
        <v>0</v>
      </c>
      <c r="AO1716" s="22">
        <f t="shared" si="2"/>
        <v>0</v>
      </c>
    </row>
    <row r="1717">
      <c r="C1717">
        <f>[1]发票导入!C1717&amp;""</f>
      </c>
      <c r="D1717">
        <f>[1]发票导入!D1717&amp;""</f>
      </c>
      <c r="O1717">
        <f>[1]发票导入!O1717&amp;""</f>
      </c>
      <c r="T1717">
        <f>[1]发票导入!T1717</f>
      </c>
      <c r="U1717">
        <f>[1]发票导入!U1717&amp;""</f>
      </c>
      <c r="V1717">
        <f>[1]发票导入!V1717&amp;""</f>
      </c>
      <c r="W1717">
        <f>[1]发票导入!W1717&amp;""</f>
      </c>
      <c r="Y1717">
        <f>[1]发票导入!Y1717&amp;""</f>
      </c>
      <c r="AA1717">
        <f>[1]发票导入!AA1717&amp;""</f>
      </c>
      <c r="AB1717">
        <f>[1]发票导入!AB1717</f>
        <v>0</v>
      </c>
      <c r="AC1717">
        <f>[1]发票导入!AC1717</f>
        <v>0</v>
      </c>
      <c r="AE1717" s="22">
        <f t="shared" si="0"/>
      </c>
      <c r="AI1717">
        <f>[1]发票导入!AI1717&amp;""</f>
      </c>
      <c r="AJ1717">
        <f>[1]发票导入!AJ1717&amp;""</f>
      </c>
      <c r="AK1717">
        <f>[1]发票导入!AK1717</f>
        <v>0</v>
      </c>
      <c r="AL1717">
        <f>[1]发票导入!AL1717</f>
        <v>0</v>
      </c>
      <c r="AM1717">
        <f>[1]发票导入!AM1717</f>
        <v>0</v>
      </c>
      <c r="AN1717" s="22">
        <f t="shared" si="1"/>
        <v>0</v>
      </c>
      <c r="AO1717" s="22">
        <f t="shared" si="2"/>
        <v>0</v>
      </c>
    </row>
    <row r="1718">
      <c r="C1718">
        <f>[1]发票导入!C1718&amp;""</f>
      </c>
      <c r="D1718">
        <f>[1]发票导入!D1718&amp;""</f>
      </c>
      <c r="O1718">
        <f>[1]发票导入!O1718&amp;""</f>
      </c>
      <c r="T1718">
        <f>[1]发票导入!T1718</f>
      </c>
      <c r="U1718">
        <f>[1]发票导入!U1718&amp;""</f>
      </c>
      <c r="V1718">
        <f>[1]发票导入!V1718&amp;""</f>
      </c>
      <c r="W1718">
        <f>[1]发票导入!W1718&amp;""</f>
      </c>
      <c r="Y1718">
        <f>[1]发票导入!Y1718&amp;""</f>
      </c>
      <c r="AA1718">
        <f>[1]发票导入!AA1718&amp;""</f>
      </c>
      <c r="AB1718">
        <f>[1]发票导入!AB1718</f>
        <v>0</v>
      </c>
      <c r="AC1718">
        <f>[1]发票导入!AC1718</f>
        <v>0</v>
      </c>
      <c r="AE1718" s="22">
        <f t="shared" si="0"/>
      </c>
      <c r="AI1718">
        <f>[1]发票导入!AI1718&amp;""</f>
      </c>
      <c r="AJ1718">
        <f>[1]发票导入!AJ1718&amp;""</f>
      </c>
      <c r="AK1718">
        <f>[1]发票导入!AK1718</f>
        <v>0</v>
      </c>
      <c r="AL1718">
        <f>[1]发票导入!AL1718</f>
        <v>0</v>
      </c>
      <c r="AM1718">
        <f>[1]发票导入!AM1718</f>
        <v>0</v>
      </c>
      <c r="AN1718" s="22">
        <f t="shared" si="1"/>
        <v>0</v>
      </c>
      <c r="AO1718" s="22">
        <f t="shared" si="2"/>
        <v>0</v>
      </c>
    </row>
    <row r="1719">
      <c r="C1719">
        <f>[1]发票导入!C1719&amp;""</f>
      </c>
      <c r="D1719">
        <f>[1]发票导入!D1719&amp;""</f>
      </c>
      <c r="O1719">
        <f>[1]发票导入!O1719&amp;""</f>
      </c>
      <c r="T1719">
        <f>[1]发票导入!T1719</f>
      </c>
      <c r="U1719">
        <f>[1]发票导入!U1719&amp;""</f>
      </c>
      <c r="V1719">
        <f>[1]发票导入!V1719&amp;""</f>
      </c>
      <c r="W1719">
        <f>[1]发票导入!W1719&amp;""</f>
      </c>
      <c r="Y1719">
        <f>[1]发票导入!Y1719&amp;""</f>
      </c>
      <c r="AA1719">
        <f>[1]发票导入!AA1719&amp;""</f>
      </c>
      <c r="AB1719">
        <f>[1]发票导入!AB1719</f>
        <v>0</v>
      </c>
      <c r="AC1719">
        <f>[1]发票导入!AC1719</f>
        <v>0</v>
      </c>
      <c r="AE1719" s="22">
        <f t="shared" si="0"/>
      </c>
      <c r="AI1719">
        <f>[1]发票导入!AI1719&amp;""</f>
      </c>
      <c r="AJ1719">
        <f>[1]发票导入!AJ1719&amp;""</f>
      </c>
      <c r="AK1719">
        <f>[1]发票导入!AK1719</f>
        <v>0</v>
      </c>
      <c r="AL1719">
        <f>[1]发票导入!AL1719</f>
        <v>0</v>
      </c>
      <c r="AM1719">
        <f>[1]发票导入!AM1719</f>
        <v>0</v>
      </c>
      <c r="AN1719" s="22">
        <f t="shared" si="1"/>
        <v>0</v>
      </c>
      <c r="AO1719" s="22">
        <f t="shared" si="2"/>
        <v>0</v>
      </c>
    </row>
    <row r="1720">
      <c r="C1720">
        <f>[1]发票导入!C1720&amp;""</f>
      </c>
      <c r="D1720">
        <f>[1]发票导入!D1720&amp;""</f>
      </c>
      <c r="O1720">
        <f>[1]发票导入!O1720&amp;""</f>
      </c>
      <c r="T1720">
        <f>[1]发票导入!T1720</f>
      </c>
      <c r="U1720">
        <f>[1]发票导入!U1720&amp;""</f>
      </c>
      <c r="V1720">
        <f>[1]发票导入!V1720&amp;""</f>
      </c>
      <c r="W1720">
        <f>[1]发票导入!W1720&amp;""</f>
      </c>
      <c r="Y1720">
        <f>[1]发票导入!Y1720&amp;""</f>
      </c>
      <c r="AA1720">
        <f>[1]发票导入!AA1720&amp;""</f>
      </c>
      <c r="AB1720">
        <f>[1]发票导入!AB1720</f>
        <v>0</v>
      </c>
      <c r="AC1720">
        <f>[1]发票导入!AC1720</f>
        <v>0</v>
      </c>
      <c r="AE1720" s="22">
        <f t="shared" si="0"/>
      </c>
      <c r="AI1720">
        <f>[1]发票导入!AI1720&amp;""</f>
      </c>
      <c r="AJ1720">
        <f>[1]发票导入!AJ1720&amp;""</f>
      </c>
      <c r="AK1720">
        <f>[1]发票导入!AK1720</f>
        <v>0</v>
      </c>
      <c r="AL1720">
        <f>[1]发票导入!AL1720</f>
        <v>0</v>
      </c>
      <c r="AM1720">
        <f>[1]发票导入!AM1720</f>
        <v>0</v>
      </c>
      <c r="AN1720" s="22">
        <f t="shared" si="1"/>
        <v>0</v>
      </c>
      <c r="AO1720" s="22">
        <f t="shared" si="2"/>
        <v>0</v>
      </c>
    </row>
    <row r="1721">
      <c r="C1721">
        <f>[1]发票导入!C1721&amp;""</f>
      </c>
      <c r="D1721">
        <f>[1]发票导入!D1721&amp;""</f>
      </c>
      <c r="O1721">
        <f>[1]发票导入!O1721&amp;""</f>
      </c>
      <c r="T1721">
        <f>[1]发票导入!T1721</f>
      </c>
      <c r="U1721">
        <f>[1]发票导入!U1721&amp;""</f>
      </c>
      <c r="V1721">
        <f>[1]发票导入!V1721&amp;""</f>
      </c>
      <c r="W1721">
        <f>[1]发票导入!W1721&amp;""</f>
      </c>
      <c r="Y1721">
        <f>[1]发票导入!Y1721&amp;""</f>
      </c>
      <c r="AA1721">
        <f>[1]发票导入!AA1721&amp;""</f>
      </c>
      <c r="AB1721">
        <f>[1]发票导入!AB1721</f>
        <v>0</v>
      </c>
      <c r="AC1721">
        <f>[1]发票导入!AC1721</f>
        <v>0</v>
      </c>
      <c r="AE1721" s="22">
        <f t="shared" si="0"/>
      </c>
      <c r="AI1721">
        <f>[1]发票导入!AI1721&amp;""</f>
      </c>
      <c r="AJ1721">
        <f>[1]发票导入!AJ1721&amp;""</f>
      </c>
      <c r="AK1721">
        <f>[1]发票导入!AK1721</f>
        <v>0</v>
      </c>
      <c r="AL1721">
        <f>[1]发票导入!AL1721</f>
        <v>0</v>
      </c>
      <c r="AM1721">
        <f>[1]发票导入!AM1721</f>
        <v>0</v>
      </c>
      <c r="AN1721" s="22">
        <f t="shared" si="1"/>
        <v>0</v>
      </c>
      <c r="AO1721" s="22">
        <f t="shared" si="2"/>
        <v>0</v>
      </c>
    </row>
    <row r="1722">
      <c r="C1722">
        <f>[1]发票导入!C1722&amp;""</f>
      </c>
      <c r="D1722">
        <f>[1]发票导入!D1722&amp;""</f>
      </c>
      <c r="O1722">
        <f>[1]发票导入!O1722&amp;""</f>
      </c>
      <c r="T1722">
        <f>[1]发票导入!T1722</f>
      </c>
      <c r="U1722">
        <f>[1]发票导入!U1722&amp;""</f>
      </c>
      <c r="V1722">
        <f>[1]发票导入!V1722&amp;""</f>
      </c>
      <c r="W1722">
        <f>[1]发票导入!W1722&amp;""</f>
      </c>
      <c r="Y1722">
        <f>[1]发票导入!Y1722&amp;""</f>
      </c>
      <c r="AA1722">
        <f>[1]发票导入!AA1722&amp;""</f>
      </c>
      <c r="AB1722">
        <f>[1]发票导入!AB1722</f>
        <v>0</v>
      </c>
      <c r="AC1722">
        <f>[1]发票导入!AC1722</f>
        <v>0</v>
      </c>
      <c r="AE1722" s="22">
        <f t="shared" si="0"/>
      </c>
      <c r="AI1722">
        <f>[1]发票导入!AI1722&amp;""</f>
      </c>
      <c r="AJ1722">
        <f>[1]发票导入!AJ1722&amp;""</f>
      </c>
      <c r="AK1722">
        <f>[1]发票导入!AK1722</f>
        <v>0</v>
      </c>
      <c r="AL1722">
        <f>[1]发票导入!AL1722</f>
        <v>0</v>
      </c>
      <c r="AM1722">
        <f>[1]发票导入!AM1722</f>
        <v>0</v>
      </c>
      <c r="AN1722" s="22">
        <f t="shared" si="1"/>
        <v>0</v>
      </c>
      <c r="AO1722" s="22">
        <f t="shared" si="2"/>
        <v>0</v>
      </c>
    </row>
    <row r="1723">
      <c r="C1723">
        <f>[1]发票导入!C1723&amp;""</f>
      </c>
      <c r="D1723">
        <f>[1]发票导入!D1723&amp;""</f>
      </c>
      <c r="O1723">
        <f>[1]发票导入!O1723&amp;""</f>
      </c>
      <c r="T1723">
        <f>[1]发票导入!T1723</f>
      </c>
      <c r="U1723">
        <f>[1]发票导入!U1723&amp;""</f>
      </c>
      <c r="V1723">
        <f>[1]发票导入!V1723&amp;""</f>
      </c>
      <c r="W1723">
        <f>[1]发票导入!W1723&amp;""</f>
      </c>
      <c r="Y1723">
        <f>[1]发票导入!Y1723&amp;""</f>
      </c>
      <c r="AA1723">
        <f>[1]发票导入!AA1723&amp;""</f>
      </c>
      <c r="AB1723">
        <f>[1]发票导入!AB1723</f>
        <v>0</v>
      </c>
      <c r="AC1723">
        <f>[1]发票导入!AC1723</f>
        <v>0</v>
      </c>
      <c r="AE1723" s="22">
        <f t="shared" si="0"/>
      </c>
      <c r="AI1723">
        <f>[1]发票导入!AI1723&amp;""</f>
      </c>
      <c r="AJ1723">
        <f>[1]发票导入!AJ1723&amp;""</f>
      </c>
      <c r="AK1723">
        <f>[1]发票导入!AK1723</f>
        <v>0</v>
      </c>
      <c r="AL1723">
        <f>[1]发票导入!AL1723</f>
        <v>0</v>
      </c>
      <c r="AM1723">
        <f>[1]发票导入!AM1723</f>
        <v>0</v>
      </c>
      <c r="AN1723" s="22">
        <f t="shared" si="1"/>
        <v>0</v>
      </c>
      <c r="AO1723" s="22">
        <f t="shared" si="2"/>
        <v>0</v>
      </c>
    </row>
    <row r="1724">
      <c r="C1724">
        <f>[1]发票导入!C1724&amp;""</f>
      </c>
      <c r="D1724">
        <f>[1]发票导入!D1724&amp;""</f>
      </c>
      <c r="O1724">
        <f>[1]发票导入!O1724&amp;""</f>
      </c>
      <c r="T1724">
        <f>[1]发票导入!T1724</f>
      </c>
      <c r="U1724">
        <f>[1]发票导入!U1724&amp;""</f>
      </c>
      <c r="V1724">
        <f>[1]发票导入!V1724&amp;""</f>
      </c>
      <c r="W1724">
        <f>[1]发票导入!W1724&amp;""</f>
      </c>
      <c r="Y1724">
        <f>[1]发票导入!Y1724&amp;""</f>
      </c>
      <c r="AA1724">
        <f>[1]发票导入!AA1724&amp;""</f>
      </c>
      <c r="AB1724">
        <f>[1]发票导入!AB1724</f>
        <v>0</v>
      </c>
      <c r="AC1724">
        <f>[1]发票导入!AC1724</f>
        <v>0</v>
      </c>
      <c r="AE1724" s="22">
        <f t="shared" si="0"/>
      </c>
      <c r="AI1724">
        <f>[1]发票导入!AI1724&amp;""</f>
      </c>
      <c r="AJ1724">
        <f>[1]发票导入!AJ1724&amp;""</f>
      </c>
      <c r="AK1724">
        <f>[1]发票导入!AK1724</f>
        <v>0</v>
      </c>
      <c r="AL1724">
        <f>[1]发票导入!AL1724</f>
        <v>0</v>
      </c>
      <c r="AM1724">
        <f>[1]发票导入!AM1724</f>
        <v>0</v>
      </c>
      <c r="AN1724" s="22">
        <f t="shared" si="1"/>
        <v>0</v>
      </c>
      <c r="AO1724" s="22">
        <f t="shared" si="2"/>
        <v>0</v>
      </c>
    </row>
    <row r="1725">
      <c r="C1725">
        <f>[1]发票导入!C1725&amp;""</f>
      </c>
      <c r="D1725">
        <f>[1]发票导入!D1725&amp;""</f>
      </c>
      <c r="O1725">
        <f>[1]发票导入!O1725&amp;""</f>
      </c>
      <c r="T1725">
        <f>[1]发票导入!T1725</f>
      </c>
      <c r="U1725">
        <f>[1]发票导入!U1725&amp;""</f>
      </c>
      <c r="V1725">
        <f>[1]发票导入!V1725&amp;""</f>
      </c>
      <c r="W1725">
        <f>[1]发票导入!W1725&amp;""</f>
      </c>
      <c r="Y1725">
        <f>[1]发票导入!Y1725&amp;""</f>
      </c>
      <c r="AA1725">
        <f>[1]发票导入!AA1725&amp;""</f>
      </c>
      <c r="AB1725">
        <f>[1]发票导入!AB1725</f>
        <v>0</v>
      </c>
      <c r="AC1725">
        <f>[1]发票导入!AC1725</f>
        <v>0</v>
      </c>
      <c r="AE1725" s="22">
        <f t="shared" si="0"/>
      </c>
      <c r="AI1725">
        <f>[1]发票导入!AI1725&amp;""</f>
      </c>
      <c r="AJ1725">
        <f>[1]发票导入!AJ1725&amp;""</f>
      </c>
      <c r="AK1725">
        <f>[1]发票导入!AK1725</f>
        <v>0</v>
      </c>
      <c r="AL1725">
        <f>[1]发票导入!AL1725</f>
        <v>0</v>
      </c>
      <c r="AM1725">
        <f>[1]发票导入!AM1725</f>
        <v>0</v>
      </c>
      <c r="AN1725" s="22">
        <f t="shared" si="1"/>
        <v>0</v>
      </c>
      <c r="AO1725" s="22">
        <f t="shared" si="2"/>
        <v>0</v>
      </c>
    </row>
    <row r="1726">
      <c r="C1726">
        <f>[1]发票导入!C1726&amp;""</f>
      </c>
      <c r="D1726">
        <f>[1]发票导入!D1726&amp;""</f>
      </c>
      <c r="O1726">
        <f>[1]发票导入!O1726&amp;""</f>
      </c>
      <c r="T1726">
        <f>[1]发票导入!T1726</f>
      </c>
      <c r="U1726">
        <f>[1]发票导入!U1726&amp;""</f>
      </c>
      <c r="V1726">
        <f>[1]发票导入!V1726&amp;""</f>
      </c>
      <c r="W1726">
        <f>[1]发票导入!W1726&amp;""</f>
      </c>
      <c r="Y1726">
        <f>[1]发票导入!Y1726&amp;""</f>
      </c>
      <c r="AA1726">
        <f>[1]发票导入!AA1726&amp;""</f>
      </c>
      <c r="AB1726">
        <f>[1]发票导入!AB1726</f>
        <v>0</v>
      </c>
      <c r="AC1726">
        <f>[1]发票导入!AC1726</f>
        <v>0</v>
      </c>
      <c r="AE1726" s="22">
        <f t="shared" si="0"/>
      </c>
      <c r="AI1726">
        <f>[1]发票导入!AI1726&amp;""</f>
      </c>
      <c r="AJ1726">
        <f>[1]发票导入!AJ1726&amp;""</f>
      </c>
      <c r="AK1726">
        <f>[1]发票导入!AK1726</f>
        <v>0</v>
      </c>
      <c r="AL1726">
        <f>[1]发票导入!AL1726</f>
        <v>0</v>
      </c>
      <c r="AM1726">
        <f>[1]发票导入!AM1726</f>
        <v>0</v>
      </c>
      <c r="AN1726" s="22">
        <f t="shared" si="1"/>
        <v>0</v>
      </c>
      <c r="AO1726" s="22">
        <f t="shared" si="2"/>
        <v>0</v>
      </c>
    </row>
    <row r="1727">
      <c r="C1727">
        <f>[1]发票导入!C1727&amp;""</f>
      </c>
      <c r="D1727">
        <f>[1]发票导入!D1727&amp;""</f>
      </c>
      <c r="O1727">
        <f>[1]发票导入!O1727&amp;""</f>
      </c>
      <c r="T1727">
        <f>[1]发票导入!T1727</f>
      </c>
      <c r="U1727">
        <f>[1]发票导入!U1727&amp;""</f>
      </c>
      <c r="V1727">
        <f>[1]发票导入!V1727&amp;""</f>
      </c>
      <c r="W1727">
        <f>[1]发票导入!W1727&amp;""</f>
      </c>
      <c r="Y1727">
        <f>[1]发票导入!Y1727&amp;""</f>
      </c>
      <c r="AA1727">
        <f>[1]发票导入!AA1727&amp;""</f>
      </c>
      <c r="AB1727">
        <f>[1]发票导入!AB1727</f>
        <v>0</v>
      </c>
      <c r="AC1727">
        <f>[1]发票导入!AC1727</f>
        <v>0</v>
      </c>
      <c r="AE1727" s="22">
        <f t="shared" si="0"/>
      </c>
      <c r="AI1727">
        <f>[1]发票导入!AI1727&amp;""</f>
      </c>
      <c r="AJ1727">
        <f>[1]发票导入!AJ1727&amp;""</f>
      </c>
      <c r="AK1727">
        <f>[1]发票导入!AK1727</f>
        <v>0</v>
      </c>
      <c r="AL1727">
        <f>[1]发票导入!AL1727</f>
        <v>0</v>
      </c>
      <c r="AM1727">
        <f>[1]发票导入!AM1727</f>
        <v>0</v>
      </c>
      <c r="AN1727" s="22">
        <f t="shared" si="1"/>
        <v>0</v>
      </c>
      <c r="AO1727" s="22">
        <f t="shared" si="2"/>
        <v>0</v>
      </c>
    </row>
    <row r="1728">
      <c r="C1728">
        <f>[1]发票导入!C1728&amp;""</f>
      </c>
      <c r="D1728">
        <f>[1]发票导入!D1728&amp;""</f>
      </c>
      <c r="O1728">
        <f>[1]发票导入!O1728&amp;""</f>
      </c>
      <c r="T1728">
        <f>[1]发票导入!T1728</f>
      </c>
      <c r="U1728">
        <f>[1]发票导入!U1728&amp;""</f>
      </c>
      <c r="V1728">
        <f>[1]发票导入!V1728&amp;""</f>
      </c>
      <c r="W1728">
        <f>[1]发票导入!W1728&amp;""</f>
      </c>
      <c r="Y1728">
        <f>[1]发票导入!Y1728&amp;""</f>
      </c>
      <c r="AA1728">
        <f>[1]发票导入!AA1728&amp;""</f>
      </c>
      <c r="AB1728">
        <f>[1]发票导入!AB1728</f>
        <v>0</v>
      </c>
      <c r="AC1728">
        <f>[1]发票导入!AC1728</f>
        <v>0</v>
      </c>
      <c r="AE1728" s="22">
        <f t="shared" si="0"/>
      </c>
      <c r="AI1728">
        <f>[1]发票导入!AI1728&amp;""</f>
      </c>
      <c r="AJ1728">
        <f>[1]发票导入!AJ1728&amp;""</f>
      </c>
      <c r="AK1728">
        <f>[1]发票导入!AK1728</f>
        <v>0</v>
      </c>
      <c r="AL1728">
        <f>[1]发票导入!AL1728</f>
        <v>0</v>
      </c>
      <c r="AM1728">
        <f>[1]发票导入!AM1728</f>
        <v>0</v>
      </c>
      <c r="AN1728" s="22">
        <f t="shared" si="1"/>
        <v>0</v>
      </c>
      <c r="AO1728" s="22">
        <f t="shared" si="2"/>
        <v>0</v>
      </c>
    </row>
    <row r="1729">
      <c r="C1729">
        <f>[1]发票导入!C1729&amp;""</f>
      </c>
      <c r="D1729">
        <f>[1]发票导入!D1729&amp;""</f>
      </c>
      <c r="O1729">
        <f>[1]发票导入!O1729&amp;""</f>
      </c>
      <c r="T1729">
        <f>[1]发票导入!T1729</f>
      </c>
      <c r="U1729">
        <f>[1]发票导入!U1729&amp;""</f>
      </c>
      <c r="V1729">
        <f>[1]发票导入!V1729&amp;""</f>
      </c>
      <c r="W1729">
        <f>[1]发票导入!W1729&amp;""</f>
      </c>
      <c r="Y1729">
        <f>[1]发票导入!Y1729&amp;""</f>
      </c>
      <c r="AA1729">
        <f>[1]发票导入!AA1729&amp;""</f>
      </c>
      <c r="AB1729">
        <f>[1]发票导入!AB1729</f>
        <v>0</v>
      </c>
      <c r="AC1729">
        <f>[1]发票导入!AC1729</f>
        <v>0</v>
      </c>
      <c r="AE1729" s="22">
        <f t="shared" si="0"/>
      </c>
      <c r="AI1729">
        <f>[1]发票导入!AI1729&amp;""</f>
      </c>
      <c r="AJ1729">
        <f>[1]发票导入!AJ1729&amp;""</f>
      </c>
      <c r="AK1729">
        <f>[1]发票导入!AK1729</f>
        <v>0</v>
      </c>
      <c r="AL1729">
        <f>[1]发票导入!AL1729</f>
        <v>0</v>
      </c>
      <c r="AM1729">
        <f>[1]发票导入!AM1729</f>
        <v>0</v>
      </c>
      <c r="AN1729" s="22">
        <f t="shared" si="1"/>
        <v>0</v>
      </c>
      <c r="AO1729" s="22">
        <f t="shared" si="2"/>
        <v>0</v>
      </c>
    </row>
    <row r="1730">
      <c r="C1730">
        <f>[1]发票导入!C1730&amp;""</f>
      </c>
      <c r="D1730">
        <f>[1]发票导入!D1730&amp;""</f>
      </c>
      <c r="O1730">
        <f>[1]发票导入!O1730&amp;""</f>
      </c>
      <c r="T1730">
        <f>[1]发票导入!T1730</f>
      </c>
      <c r="U1730">
        <f>[1]发票导入!U1730&amp;""</f>
      </c>
      <c r="V1730">
        <f>[1]发票导入!V1730&amp;""</f>
      </c>
      <c r="W1730">
        <f>[1]发票导入!W1730&amp;""</f>
      </c>
      <c r="Y1730">
        <f>[1]发票导入!Y1730&amp;""</f>
      </c>
      <c r="AA1730">
        <f>[1]发票导入!AA1730&amp;""</f>
      </c>
      <c r="AB1730">
        <f>[1]发票导入!AB1730</f>
        <v>0</v>
      </c>
      <c r="AC1730">
        <f>[1]发票导入!AC1730</f>
        <v>0</v>
      </c>
      <c r="AE1730" s="22">
        <f t="shared" si="0"/>
      </c>
      <c r="AI1730">
        <f>[1]发票导入!AI1730&amp;""</f>
      </c>
      <c r="AJ1730">
        <f>[1]发票导入!AJ1730&amp;""</f>
      </c>
      <c r="AK1730">
        <f>[1]发票导入!AK1730</f>
        <v>0</v>
      </c>
      <c r="AL1730">
        <f>[1]发票导入!AL1730</f>
        <v>0</v>
      </c>
      <c r="AM1730">
        <f>[1]发票导入!AM1730</f>
        <v>0</v>
      </c>
      <c r="AN1730" s="22">
        <f t="shared" si="1"/>
        <v>0</v>
      </c>
      <c r="AO1730" s="22">
        <f t="shared" si="2"/>
        <v>0</v>
      </c>
    </row>
    <row r="1731">
      <c r="C1731">
        <f>[1]发票导入!C1731&amp;""</f>
      </c>
      <c r="D1731">
        <f>[1]发票导入!D1731&amp;""</f>
      </c>
      <c r="O1731">
        <f>[1]发票导入!O1731&amp;""</f>
      </c>
      <c r="T1731">
        <f>[1]发票导入!T1731</f>
      </c>
      <c r="U1731">
        <f>[1]发票导入!U1731&amp;""</f>
      </c>
      <c r="V1731">
        <f>[1]发票导入!V1731&amp;""</f>
      </c>
      <c r="W1731">
        <f>[1]发票导入!W1731&amp;""</f>
      </c>
      <c r="Y1731">
        <f>[1]发票导入!Y1731&amp;""</f>
      </c>
      <c r="AA1731">
        <f>[1]发票导入!AA1731&amp;""</f>
      </c>
      <c r="AB1731">
        <f>[1]发票导入!AB1731</f>
        <v>0</v>
      </c>
      <c r="AC1731">
        <f>[1]发票导入!AC1731</f>
        <v>0</v>
      </c>
      <c r="AE1731" s="22">
        <f t="shared" si="0"/>
      </c>
      <c r="AI1731">
        <f>[1]发票导入!AI1731&amp;""</f>
      </c>
      <c r="AJ1731">
        <f>[1]发票导入!AJ1731&amp;""</f>
      </c>
      <c r="AK1731">
        <f>[1]发票导入!AK1731</f>
        <v>0</v>
      </c>
      <c r="AL1731">
        <f>[1]发票导入!AL1731</f>
        <v>0</v>
      </c>
      <c r="AM1731">
        <f>[1]发票导入!AM1731</f>
        <v>0</v>
      </c>
      <c r="AN1731" s="22">
        <f t="shared" si="1"/>
        <v>0</v>
      </c>
      <c r="AO1731" s="22">
        <f t="shared" si="2"/>
        <v>0</v>
      </c>
    </row>
    <row r="1732">
      <c r="C1732">
        <f>[1]发票导入!C1732&amp;""</f>
      </c>
      <c r="D1732">
        <f>[1]发票导入!D1732&amp;""</f>
      </c>
      <c r="O1732">
        <f>[1]发票导入!O1732&amp;""</f>
      </c>
      <c r="T1732">
        <f>[1]发票导入!T1732</f>
      </c>
      <c r="U1732">
        <f>[1]发票导入!U1732&amp;""</f>
      </c>
      <c r="V1732">
        <f>[1]发票导入!V1732&amp;""</f>
      </c>
      <c r="W1732">
        <f>[1]发票导入!W1732&amp;""</f>
      </c>
      <c r="Y1732">
        <f>[1]发票导入!Y1732&amp;""</f>
      </c>
      <c r="AA1732">
        <f>[1]发票导入!AA1732&amp;""</f>
      </c>
      <c r="AB1732">
        <f>[1]发票导入!AB1732</f>
        <v>0</v>
      </c>
      <c r="AC1732">
        <f>[1]发票导入!AC1732</f>
        <v>0</v>
      </c>
      <c r="AE1732" s="22">
        <f t="shared" si="0"/>
      </c>
      <c r="AI1732">
        <f>[1]发票导入!AI1732&amp;""</f>
      </c>
      <c r="AJ1732">
        <f>[1]发票导入!AJ1732&amp;""</f>
      </c>
      <c r="AK1732">
        <f>[1]发票导入!AK1732</f>
        <v>0</v>
      </c>
      <c r="AL1732">
        <f>[1]发票导入!AL1732</f>
        <v>0</v>
      </c>
      <c r="AM1732">
        <f>[1]发票导入!AM1732</f>
        <v>0</v>
      </c>
      <c r="AN1732" s="22">
        <f t="shared" si="1"/>
        <v>0</v>
      </c>
      <c r="AO1732" s="22">
        <f t="shared" si="2"/>
        <v>0</v>
      </c>
    </row>
    <row r="1733">
      <c r="C1733">
        <f>[1]发票导入!C1733&amp;""</f>
      </c>
      <c r="D1733">
        <f>[1]发票导入!D1733&amp;""</f>
      </c>
      <c r="O1733">
        <f>[1]发票导入!O1733&amp;""</f>
      </c>
      <c r="T1733">
        <f>[1]发票导入!T1733</f>
      </c>
      <c r="U1733">
        <f>[1]发票导入!U1733&amp;""</f>
      </c>
      <c r="V1733">
        <f>[1]发票导入!V1733&amp;""</f>
      </c>
      <c r="W1733">
        <f>[1]发票导入!W1733&amp;""</f>
      </c>
      <c r="Y1733">
        <f>[1]发票导入!Y1733&amp;""</f>
      </c>
      <c r="AA1733">
        <f>[1]发票导入!AA1733&amp;""</f>
      </c>
      <c r="AB1733">
        <f>[1]发票导入!AB1733</f>
        <v>0</v>
      </c>
      <c r="AC1733">
        <f>[1]发票导入!AC1733</f>
        <v>0</v>
      </c>
      <c r="AE1733" s="22">
        <f t="shared" si="0"/>
      </c>
      <c r="AI1733">
        <f>[1]发票导入!AI1733&amp;""</f>
      </c>
      <c r="AJ1733">
        <f>[1]发票导入!AJ1733&amp;""</f>
      </c>
      <c r="AK1733">
        <f>[1]发票导入!AK1733</f>
        <v>0</v>
      </c>
      <c r="AL1733">
        <f>[1]发票导入!AL1733</f>
        <v>0</v>
      </c>
      <c r="AM1733">
        <f>[1]发票导入!AM1733</f>
        <v>0</v>
      </c>
      <c r="AN1733" s="22">
        <f t="shared" si="1"/>
        <v>0</v>
      </c>
      <c r="AO1733" s="22">
        <f t="shared" si="2"/>
        <v>0</v>
      </c>
    </row>
    <row r="1734">
      <c r="C1734">
        <f>[1]发票导入!C1734&amp;""</f>
      </c>
      <c r="D1734">
        <f>[1]发票导入!D1734&amp;""</f>
      </c>
      <c r="O1734">
        <f>[1]发票导入!O1734&amp;""</f>
      </c>
      <c r="T1734">
        <f>[1]发票导入!T1734</f>
      </c>
      <c r="U1734">
        <f>[1]发票导入!U1734&amp;""</f>
      </c>
      <c r="V1734">
        <f>[1]发票导入!V1734&amp;""</f>
      </c>
      <c r="W1734">
        <f>[1]发票导入!W1734&amp;""</f>
      </c>
      <c r="Y1734">
        <f>[1]发票导入!Y1734&amp;""</f>
      </c>
      <c r="AA1734">
        <f>[1]发票导入!AA1734&amp;""</f>
      </c>
      <c r="AB1734">
        <f>[1]发票导入!AB1734</f>
        <v>0</v>
      </c>
      <c r="AC1734">
        <f>[1]发票导入!AC1734</f>
        <v>0</v>
      </c>
      <c r="AE1734" s="22">
        <f t="shared" si="0"/>
      </c>
      <c r="AI1734">
        <f>[1]发票导入!AI1734&amp;""</f>
      </c>
      <c r="AJ1734">
        <f>[1]发票导入!AJ1734&amp;""</f>
      </c>
      <c r="AK1734">
        <f>[1]发票导入!AK1734</f>
        <v>0</v>
      </c>
      <c r="AL1734">
        <f>[1]发票导入!AL1734</f>
        <v>0</v>
      </c>
      <c r="AM1734">
        <f>[1]发票导入!AM1734</f>
        <v>0</v>
      </c>
      <c r="AN1734" s="22">
        <f t="shared" si="1"/>
        <v>0</v>
      </c>
      <c r="AO1734" s="22">
        <f t="shared" si="2"/>
        <v>0</v>
      </c>
    </row>
    <row r="1735">
      <c r="C1735">
        <f>[1]发票导入!C1735&amp;""</f>
      </c>
      <c r="D1735">
        <f>[1]发票导入!D1735&amp;""</f>
      </c>
      <c r="O1735">
        <f>[1]发票导入!O1735&amp;""</f>
      </c>
      <c r="T1735">
        <f>[1]发票导入!T1735</f>
      </c>
      <c r="U1735">
        <f>[1]发票导入!U1735&amp;""</f>
      </c>
      <c r="V1735">
        <f>[1]发票导入!V1735&amp;""</f>
      </c>
      <c r="W1735">
        <f>[1]发票导入!W1735&amp;""</f>
      </c>
      <c r="Y1735">
        <f>[1]发票导入!Y1735&amp;""</f>
      </c>
      <c r="AA1735">
        <f>[1]发票导入!AA1735&amp;""</f>
      </c>
      <c r="AB1735">
        <f>[1]发票导入!AB1735</f>
        <v>0</v>
      </c>
      <c r="AC1735">
        <f>[1]发票导入!AC1735</f>
        <v>0</v>
      </c>
      <c r="AE1735" s="22">
        <f t="shared" si="0"/>
      </c>
      <c r="AI1735">
        <f>[1]发票导入!AI1735&amp;""</f>
      </c>
      <c r="AJ1735">
        <f>[1]发票导入!AJ1735&amp;""</f>
      </c>
      <c r="AK1735">
        <f>[1]发票导入!AK1735</f>
        <v>0</v>
      </c>
      <c r="AL1735">
        <f>[1]发票导入!AL1735</f>
        <v>0</v>
      </c>
      <c r="AM1735">
        <f>[1]发票导入!AM1735</f>
        <v>0</v>
      </c>
      <c r="AN1735" s="22">
        <f t="shared" si="1"/>
        <v>0</v>
      </c>
      <c r="AO1735" s="22">
        <f t="shared" si="2"/>
        <v>0</v>
      </c>
    </row>
    <row r="1736">
      <c r="C1736">
        <f>[1]发票导入!C1736&amp;""</f>
      </c>
      <c r="D1736">
        <f>[1]发票导入!D1736&amp;""</f>
      </c>
      <c r="O1736">
        <f>[1]发票导入!O1736&amp;""</f>
      </c>
      <c r="T1736">
        <f>[1]发票导入!T1736</f>
      </c>
      <c r="U1736">
        <f>[1]发票导入!U1736&amp;""</f>
      </c>
      <c r="V1736">
        <f>[1]发票导入!V1736&amp;""</f>
      </c>
      <c r="W1736">
        <f>[1]发票导入!W1736&amp;""</f>
      </c>
      <c r="Y1736">
        <f>[1]发票导入!Y1736&amp;""</f>
      </c>
      <c r="AA1736">
        <f>[1]发票导入!AA1736&amp;""</f>
      </c>
      <c r="AB1736">
        <f>[1]发票导入!AB1736</f>
        <v>0</v>
      </c>
      <c r="AC1736">
        <f>[1]发票导入!AC1736</f>
        <v>0</v>
      </c>
      <c r="AE1736" s="22">
        <f t="shared" si="0"/>
      </c>
      <c r="AI1736">
        <f>[1]发票导入!AI1736&amp;""</f>
      </c>
      <c r="AJ1736">
        <f>[1]发票导入!AJ1736&amp;""</f>
      </c>
      <c r="AK1736">
        <f>[1]发票导入!AK1736</f>
        <v>0</v>
      </c>
      <c r="AL1736">
        <f>[1]发票导入!AL1736</f>
        <v>0</v>
      </c>
      <c r="AM1736">
        <f>[1]发票导入!AM1736</f>
        <v>0</v>
      </c>
      <c r="AN1736" s="22">
        <f t="shared" si="1"/>
        <v>0</v>
      </c>
      <c r="AO1736" s="22">
        <f t="shared" si="2"/>
        <v>0</v>
      </c>
    </row>
    <row r="1737">
      <c r="C1737">
        <f>[1]发票导入!C1737&amp;""</f>
      </c>
      <c r="D1737">
        <f>[1]发票导入!D1737&amp;""</f>
      </c>
      <c r="O1737">
        <f>[1]发票导入!O1737&amp;""</f>
      </c>
      <c r="T1737">
        <f>[1]发票导入!T1737</f>
      </c>
      <c r="U1737">
        <f>[1]发票导入!U1737&amp;""</f>
      </c>
      <c r="V1737">
        <f>[1]发票导入!V1737&amp;""</f>
      </c>
      <c r="W1737">
        <f>[1]发票导入!W1737&amp;""</f>
      </c>
      <c r="Y1737">
        <f>[1]发票导入!Y1737&amp;""</f>
      </c>
      <c r="AA1737">
        <f>[1]发票导入!AA1737&amp;""</f>
      </c>
      <c r="AB1737">
        <f>[1]发票导入!AB1737</f>
        <v>0</v>
      </c>
      <c r="AC1737">
        <f>[1]发票导入!AC1737</f>
        <v>0</v>
      </c>
      <c r="AE1737" s="22">
        <f t="shared" si="0"/>
      </c>
      <c r="AI1737">
        <f>[1]发票导入!AI1737&amp;""</f>
      </c>
      <c r="AJ1737">
        <f>[1]发票导入!AJ1737&amp;""</f>
      </c>
      <c r="AK1737">
        <f>[1]发票导入!AK1737</f>
        <v>0</v>
      </c>
      <c r="AL1737">
        <f>[1]发票导入!AL1737</f>
        <v>0</v>
      </c>
      <c r="AM1737">
        <f>[1]发票导入!AM1737</f>
        <v>0</v>
      </c>
      <c r="AN1737" s="22">
        <f t="shared" si="1"/>
        <v>0</v>
      </c>
      <c r="AO1737" s="22">
        <f t="shared" si="2"/>
        <v>0</v>
      </c>
    </row>
    <row r="1738">
      <c r="C1738">
        <f>[1]发票导入!C1738&amp;""</f>
      </c>
      <c r="D1738">
        <f>[1]发票导入!D1738&amp;""</f>
      </c>
      <c r="O1738">
        <f>[1]发票导入!O1738&amp;""</f>
      </c>
      <c r="T1738">
        <f>[1]发票导入!T1738</f>
      </c>
      <c r="U1738">
        <f>[1]发票导入!U1738&amp;""</f>
      </c>
      <c r="V1738">
        <f>[1]发票导入!V1738&amp;""</f>
      </c>
      <c r="W1738">
        <f>[1]发票导入!W1738&amp;""</f>
      </c>
      <c r="Y1738">
        <f>[1]发票导入!Y1738&amp;""</f>
      </c>
      <c r="AA1738">
        <f>[1]发票导入!AA1738&amp;""</f>
      </c>
      <c r="AB1738">
        <f>[1]发票导入!AB1738</f>
        <v>0</v>
      </c>
      <c r="AC1738">
        <f>[1]发票导入!AC1738</f>
        <v>0</v>
      </c>
      <c r="AE1738" s="22">
        <f t="shared" si="0"/>
      </c>
      <c r="AI1738">
        <f>[1]发票导入!AI1738&amp;""</f>
      </c>
      <c r="AJ1738">
        <f>[1]发票导入!AJ1738&amp;""</f>
      </c>
      <c r="AK1738">
        <f>[1]发票导入!AK1738</f>
        <v>0</v>
      </c>
      <c r="AL1738">
        <f>[1]发票导入!AL1738</f>
        <v>0</v>
      </c>
      <c r="AM1738">
        <f>[1]发票导入!AM1738</f>
        <v>0</v>
      </c>
      <c r="AN1738" s="22">
        <f t="shared" si="1"/>
        <v>0</v>
      </c>
      <c r="AO1738" s="22">
        <f t="shared" si="2"/>
        <v>0</v>
      </c>
    </row>
    <row r="1739">
      <c r="C1739">
        <f>[1]发票导入!C1739&amp;""</f>
      </c>
      <c r="D1739">
        <f>[1]发票导入!D1739&amp;""</f>
      </c>
      <c r="O1739">
        <f>[1]发票导入!O1739&amp;""</f>
      </c>
      <c r="T1739">
        <f>[1]发票导入!T1739</f>
      </c>
      <c r="U1739">
        <f>[1]发票导入!U1739&amp;""</f>
      </c>
      <c r="V1739">
        <f>[1]发票导入!V1739&amp;""</f>
      </c>
      <c r="W1739">
        <f>[1]发票导入!W1739&amp;""</f>
      </c>
      <c r="Y1739">
        <f>[1]发票导入!Y1739&amp;""</f>
      </c>
      <c r="AA1739">
        <f>[1]发票导入!AA1739&amp;""</f>
      </c>
      <c r="AB1739">
        <f>[1]发票导入!AB1739</f>
        <v>0</v>
      </c>
      <c r="AC1739">
        <f>[1]发票导入!AC1739</f>
        <v>0</v>
      </c>
      <c r="AE1739" s="22">
        <f t="shared" si="0"/>
      </c>
      <c r="AI1739">
        <f>[1]发票导入!AI1739&amp;""</f>
      </c>
      <c r="AJ1739">
        <f>[1]发票导入!AJ1739&amp;""</f>
      </c>
      <c r="AK1739">
        <f>[1]发票导入!AK1739</f>
        <v>0</v>
      </c>
      <c r="AL1739">
        <f>[1]发票导入!AL1739</f>
        <v>0</v>
      </c>
      <c r="AM1739">
        <f>[1]发票导入!AM1739</f>
        <v>0</v>
      </c>
      <c r="AN1739" s="22">
        <f t="shared" si="1"/>
        <v>0</v>
      </c>
      <c r="AO1739" s="22">
        <f t="shared" si="2"/>
        <v>0</v>
      </c>
    </row>
    <row r="1740">
      <c r="C1740">
        <f>[1]发票导入!C1740&amp;""</f>
      </c>
      <c r="D1740">
        <f>[1]发票导入!D1740&amp;""</f>
      </c>
      <c r="O1740">
        <f>[1]发票导入!O1740&amp;""</f>
      </c>
      <c r="T1740">
        <f>[1]发票导入!T1740</f>
      </c>
      <c r="U1740">
        <f>[1]发票导入!U1740&amp;""</f>
      </c>
      <c r="V1740">
        <f>[1]发票导入!V1740&amp;""</f>
      </c>
      <c r="W1740">
        <f>[1]发票导入!W1740&amp;""</f>
      </c>
      <c r="Y1740">
        <f>[1]发票导入!Y1740&amp;""</f>
      </c>
      <c r="AA1740">
        <f>[1]发票导入!AA1740&amp;""</f>
      </c>
      <c r="AB1740">
        <f>[1]发票导入!AB1740</f>
        <v>0</v>
      </c>
      <c r="AC1740">
        <f>[1]发票导入!AC1740</f>
        <v>0</v>
      </c>
      <c r="AE1740" s="22">
        <f t="shared" si="0"/>
      </c>
      <c r="AI1740">
        <f>[1]发票导入!AI1740&amp;""</f>
      </c>
      <c r="AJ1740">
        <f>[1]发票导入!AJ1740&amp;""</f>
      </c>
      <c r="AK1740">
        <f>[1]发票导入!AK1740</f>
        <v>0</v>
      </c>
      <c r="AL1740">
        <f>[1]发票导入!AL1740</f>
        <v>0</v>
      </c>
      <c r="AM1740">
        <f>[1]发票导入!AM1740</f>
        <v>0</v>
      </c>
      <c r="AN1740" s="22">
        <f t="shared" si="1"/>
        <v>0</v>
      </c>
      <c r="AO1740" s="22">
        <f t="shared" si="2"/>
        <v>0</v>
      </c>
    </row>
    <row r="1741">
      <c r="C1741">
        <f>[1]发票导入!C1741&amp;""</f>
      </c>
      <c r="D1741">
        <f>[1]发票导入!D1741&amp;""</f>
      </c>
      <c r="O1741">
        <f>[1]发票导入!O1741&amp;""</f>
      </c>
      <c r="T1741">
        <f>[1]发票导入!T1741</f>
      </c>
      <c r="U1741">
        <f>[1]发票导入!U1741&amp;""</f>
      </c>
      <c r="V1741">
        <f>[1]发票导入!V1741&amp;""</f>
      </c>
      <c r="W1741">
        <f>[1]发票导入!W1741&amp;""</f>
      </c>
      <c r="Y1741">
        <f>[1]发票导入!Y1741&amp;""</f>
      </c>
      <c r="AA1741">
        <f>[1]发票导入!AA1741&amp;""</f>
      </c>
      <c r="AB1741">
        <f>[1]发票导入!AB1741</f>
        <v>0</v>
      </c>
      <c r="AC1741">
        <f>[1]发票导入!AC1741</f>
        <v>0</v>
      </c>
      <c r="AE1741" s="22">
        <f t="shared" si="0"/>
      </c>
      <c r="AI1741">
        <f>[1]发票导入!AI1741&amp;""</f>
      </c>
      <c r="AJ1741">
        <f>[1]发票导入!AJ1741&amp;""</f>
      </c>
      <c r="AK1741">
        <f>[1]发票导入!AK1741</f>
        <v>0</v>
      </c>
      <c r="AL1741">
        <f>[1]发票导入!AL1741</f>
        <v>0</v>
      </c>
      <c r="AM1741">
        <f>[1]发票导入!AM1741</f>
        <v>0</v>
      </c>
      <c r="AN1741" s="22">
        <f t="shared" si="1"/>
        <v>0</v>
      </c>
      <c r="AO1741" s="22">
        <f t="shared" si="2"/>
        <v>0</v>
      </c>
    </row>
    <row r="1742">
      <c r="C1742">
        <f>[1]发票导入!C1742&amp;""</f>
      </c>
      <c r="D1742">
        <f>[1]发票导入!D1742&amp;""</f>
      </c>
      <c r="O1742">
        <f>[1]发票导入!O1742&amp;""</f>
      </c>
      <c r="T1742">
        <f>[1]发票导入!T1742</f>
      </c>
      <c r="U1742">
        <f>[1]发票导入!U1742&amp;""</f>
      </c>
      <c r="V1742">
        <f>[1]发票导入!V1742&amp;""</f>
      </c>
      <c r="W1742">
        <f>[1]发票导入!W1742&amp;""</f>
      </c>
      <c r="Y1742">
        <f>[1]发票导入!Y1742&amp;""</f>
      </c>
      <c r="AA1742">
        <f>[1]发票导入!AA1742&amp;""</f>
      </c>
      <c r="AB1742">
        <f>[1]发票导入!AB1742</f>
        <v>0</v>
      </c>
      <c r="AC1742">
        <f>[1]发票导入!AC1742</f>
        <v>0</v>
      </c>
      <c r="AE1742" s="22">
        <f t="shared" si="0"/>
      </c>
      <c r="AI1742">
        <f>[1]发票导入!AI1742&amp;""</f>
      </c>
      <c r="AJ1742">
        <f>[1]发票导入!AJ1742&amp;""</f>
      </c>
      <c r="AK1742">
        <f>[1]发票导入!AK1742</f>
        <v>0</v>
      </c>
      <c r="AL1742">
        <f>[1]发票导入!AL1742</f>
        <v>0</v>
      </c>
      <c r="AM1742">
        <f>[1]发票导入!AM1742</f>
        <v>0</v>
      </c>
      <c r="AN1742" s="22">
        <f t="shared" si="1"/>
        <v>0</v>
      </c>
      <c r="AO1742" s="22">
        <f t="shared" si="2"/>
        <v>0</v>
      </c>
    </row>
    <row r="1743">
      <c r="C1743">
        <f>[1]发票导入!C1743&amp;""</f>
      </c>
      <c r="D1743">
        <f>[1]发票导入!D1743&amp;""</f>
      </c>
      <c r="O1743">
        <f>[1]发票导入!O1743&amp;""</f>
      </c>
      <c r="T1743">
        <f>[1]发票导入!T1743</f>
      </c>
      <c r="U1743">
        <f>[1]发票导入!U1743&amp;""</f>
      </c>
      <c r="V1743">
        <f>[1]发票导入!V1743&amp;""</f>
      </c>
      <c r="W1743">
        <f>[1]发票导入!W1743&amp;""</f>
      </c>
      <c r="Y1743">
        <f>[1]发票导入!Y1743&amp;""</f>
      </c>
      <c r="AA1743">
        <f>[1]发票导入!AA1743&amp;""</f>
      </c>
      <c r="AB1743">
        <f>[1]发票导入!AB1743</f>
        <v>0</v>
      </c>
      <c r="AC1743">
        <f>[1]发票导入!AC1743</f>
        <v>0</v>
      </c>
      <c r="AE1743" s="22">
        <f t="shared" si="0"/>
      </c>
      <c r="AI1743">
        <f>[1]发票导入!AI1743&amp;""</f>
      </c>
      <c r="AJ1743">
        <f>[1]发票导入!AJ1743&amp;""</f>
      </c>
      <c r="AK1743">
        <f>[1]发票导入!AK1743</f>
        <v>0</v>
      </c>
      <c r="AL1743">
        <f>[1]发票导入!AL1743</f>
        <v>0</v>
      </c>
      <c r="AM1743">
        <f>[1]发票导入!AM1743</f>
        <v>0</v>
      </c>
      <c r="AN1743" s="22">
        <f t="shared" si="1"/>
        <v>0</v>
      </c>
      <c r="AO1743" s="22">
        <f t="shared" si="2"/>
        <v>0</v>
      </c>
    </row>
    <row r="1744">
      <c r="C1744">
        <f>[1]发票导入!C1744&amp;""</f>
      </c>
      <c r="D1744">
        <f>[1]发票导入!D1744&amp;""</f>
      </c>
      <c r="O1744">
        <f>[1]发票导入!O1744&amp;""</f>
      </c>
      <c r="T1744">
        <f>[1]发票导入!T1744</f>
      </c>
      <c r="U1744">
        <f>[1]发票导入!U1744&amp;""</f>
      </c>
      <c r="V1744">
        <f>[1]发票导入!V1744&amp;""</f>
      </c>
      <c r="W1744">
        <f>[1]发票导入!W1744&amp;""</f>
      </c>
      <c r="Y1744">
        <f>[1]发票导入!Y1744&amp;""</f>
      </c>
      <c r="AA1744">
        <f>[1]发票导入!AA1744&amp;""</f>
      </c>
      <c r="AB1744">
        <f>[1]发票导入!AB1744</f>
        <v>0</v>
      </c>
      <c r="AC1744">
        <f>[1]发票导入!AC1744</f>
        <v>0</v>
      </c>
      <c r="AE1744" s="22">
        <f t="shared" si="0"/>
      </c>
      <c r="AI1744">
        <f>[1]发票导入!AI1744&amp;""</f>
      </c>
      <c r="AJ1744">
        <f>[1]发票导入!AJ1744&amp;""</f>
      </c>
      <c r="AK1744">
        <f>[1]发票导入!AK1744</f>
        <v>0</v>
      </c>
      <c r="AL1744">
        <f>[1]发票导入!AL1744</f>
        <v>0</v>
      </c>
      <c r="AM1744">
        <f>[1]发票导入!AM1744</f>
        <v>0</v>
      </c>
      <c r="AN1744" s="22">
        <f t="shared" si="1"/>
        <v>0</v>
      </c>
      <c r="AO1744" s="22">
        <f t="shared" si="2"/>
        <v>0</v>
      </c>
    </row>
    <row r="1745">
      <c r="C1745">
        <f>[1]发票导入!C1745&amp;""</f>
      </c>
      <c r="D1745">
        <f>[1]发票导入!D1745&amp;""</f>
      </c>
      <c r="O1745">
        <f>[1]发票导入!O1745&amp;""</f>
      </c>
      <c r="T1745">
        <f>[1]发票导入!T1745</f>
      </c>
      <c r="U1745">
        <f>[1]发票导入!U1745&amp;""</f>
      </c>
      <c r="V1745">
        <f>[1]发票导入!V1745&amp;""</f>
      </c>
      <c r="W1745">
        <f>[1]发票导入!W1745&amp;""</f>
      </c>
      <c r="Y1745">
        <f>[1]发票导入!Y1745&amp;""</f>
      </c>
      <c r="AA1745">
        <f>[1]发票导入!AA1745&amp;""</f>
      </c>
      <c r="AB1745">
        <f>[1]发票导入!AB1745</f>
        <v>0</v>
      </c>
      <c r="AC1745">
        <f>[1]发票导入!AC1745</f>
        <v>0</v>
      </c>
      <c r="AE1745" s="22">
        <f t="shared" si="0"/>
      </c>
      <c r="AI1745">
        <f>[1]发票导入!AI1745&amp;""</f>
      </c>
      <c r="AJ1745">
        <f>[1]发票导入!AJ1745&amp;""</f>
      </c>
      <c r="AK1745">
        <f>[1]发票导入!AK1745</f>
        <v>0</v>
      </c>
      <c r="AL1745">
        <f>[1]发票导入!AL1745</f>
        <v>0</v>
      </c>
      <c r="AM1745">
        <f>[1]发票导入!AM1745</f>
        <v>0</v>
      </c>
      <c r="AN1745" s="22">
        <f t="shared" si="1"/>
        <v>0</v>
      </c>
      <c r="AO1745" s="22">
        <f t="shared" si="2"/>
        <v>0</v>
      </c>
    </row>
    <row r="1746">
      <c r="C1746">
        <f>[1]发票导入!C1746&amp;""</f>
      </c>
      <c r="D1746">
        <f>[1]发票导入!D1746&amp;""</f>
      </c>
      <c r="O1746">
        <f>[1]发票导入!O1746&amp;""</f>
      </c>
      <c r="T1746">
        <f>[1]发票导入!T1746</f>
      </c>
      <c r="U1746">
        <f>[1]发票导入!U1746&amp;""</f>
      </c>
      <c r="V1746">
        <f>[1]发票导入!V1746&amp;""</f>
      </c>
      <c r="W1746">
        <f>[1]发票导入!W1746&amp;""</f>
      </c>
      <c r="Y1746">
        <f>[1]发票导入!Y1746&amp;""</f>
      </c>
      <c r="AA1746">
        <f>[1]发票导入!AA1746&amp;""</f>
      </c>
      <c r="AB1746">
        <f>[1]发票导入!AB1746</f>
        <v>0</v>
      </c>
      <c r="AC1746">
        <f>[1]发票导入!AC1746</f>
        <v>0</v>
      </c>
      <c r="AE1746" s="22">
        <f t="shared" si="0"/>
      </c>
      <c r="AI1746">
        <f>[1]发票导入!AI1746&amp;""</f>
      </c>
      <c r="AJ1746">
        <f>[1]发票导入!AJ1746&amp;""</f>
      </c>
      <c r="AK1746">
        <f>[1]发票导入!AK1746</f>
        <v>0</v>
      </c>
      <c r="AL1746">
        <f>[1]发票导入!AL1746</f>
        <v>0</v>
      </c>
      <c r="AM1746">
        <f>[1]发票导入!AM1746</f>
        <v>0</v>
      </c>
      <c r="AN1746" s="22">
        <f t="shared" si="1"/>
        <v>0</v>
      </c>
      <c r="AO1746" s="22">
        <f t="shared" si="2"/>
        <v>0</v>
      </c>
    </row>
    <row r="1747">
      <c r="C1747">
        <f>[1]发票导入!C1747&amp;""</f>
      </c>
      <c r="D1747">
        <f>[1]发票导入!D1747&amp;""</f>
      </c>
      <c r="O1747">
        <f>[1]发票导入!O1747&amp;""</f>
      </c>
      <c r="T1747">
        <f>[1]发票导入!T1747</f>
      </c>
      <c r="U1747">
        <f>[1]发票导入!U1747&amp;""</f>
      </c>
      <c r="V1747">
        <f>[1]发票导入!V1747&amp;""</f>
      </c>
      <c r="W1747">
        <f>[1]发票导入!W1747&amp;""</f>
      </c>
      <c r="Y1747">
        <f>[1]发票导入!Y1747&amp;""</f>
      </c>
      <c r="AA1747">
        <f>[1]发票导入!AA1747&amp;""</f>
      </c>
      <c r="AB1747">
        <f>[1]发票导入!AB1747</f>
        <v>0</v>
      </c>
      <c r="AC1747">
        <f>[1]发票导入!AC1747</f>
        <v>0</v>
      </c>
      <c r="AE1747" s="22">
        <f t="shared" si="0"/>
      </c>
      <c r="AI1747">
        <f>[1]发票导入!AI1747&amp;""</f>
      </c>
      <c r="AJ1747">
        <f>[1]发票导入!AJ1747&amp;""</f>
      </c>
      <c r="AK1747">
        <f>[1]发票导入!AK1747</f>
        <v>0</v>
      </c>
      <c r="AL1747">
        <f>[1]发票导入!AL1747</f>
        <v>0</v>
      </c>
      <c r="AM1747">
        <f>[1]发票导入!AM1747</f>
        <v>0</v>
      </c>
      <c r="AN1747" s="22">
        <f t="shared" si="1"/>
        <v>0</v>
      </c>
      <c r="AO1747" s="22">
        <f t="shared" si="2"/>
        <v>0</v>
      </c>
    </row>
    <row r="1748">
      <c r="C1748">
        <f>[1]发票导入!C1748&amp;""</f>
      </c>
      <c r="D1748">
        <f>[1]发票导入!D1748&amp;""</f>
      </c>
      <c r="O1748">
        <f>[1]发票导入!O1748&amp;""</f>
      </c>
      <c r="T1748">
        <f>[1]发票导入!T1748</f>
      </c>
      <c r="U1748">
        <f>[1]发票导入!U1748&amp;""</f>
      </c>
      <c r="V1748">
        <f>[1]发票导入!V1748&amp;""</f>
      </c>
      <c r="W1748">
        <f>[1]发票导入!W1748&amp;""</f>
      </c>
      <c r="Y1748">
        <f>[1]发票导入!Y1748&amp;""</f>
      </c>
      <c r="AA1748">
        <f>[1]发票导入!AA1748&amp;""</f>
      </c>
      <c r="AB1748">
        <f>[1]发票导入!AB1748</f>
        <v>0</v>
      </c>
      <c r="AC1748">
        <f>[1]发票导入!AC1748</f>
        <v>0</v>
      </c>
      <c r="AE1748" s="22">
        <f t="shared" si="0"/>
      </c>
      <c r="AI1748">
        <f>[1]发票导入!AI1748&amp;""</f>
      </c>
      <c r="AJ1748">
        <f>[1]发票导入!AJ1748&amp;""</f>
      </c>
      <c r="AK1748">
        <f>[1]发票导入!AK1748</f>
        <v>0</v>
      </c>
      <c r="AL1748">
        <f>[1]发票导入!AL1748</f>
        <v>0</v>
      </c>
      <c r="AM1748">
        <f>[1]发票导入!AM1748</f>
        <v>0</v>
      </c>
      <c r="AN1748" s="22">
        <f t="shared" si="1"/>
        <v>0</v>
      </c>
      <c r="AO1748" s="22">
        <f t="shared" si="2"/>
        <v>0</v>
      </c>
    </row>
    <row r="1749">
      <c r="C1749">
        <f>[1]发票导入!C1749&amp;""</f>
      </c>
      <c r="D1749">
        <f>[1]发票导入!D1749&amp;""</f>
      </c>
      <c r="O1749">
        <f>[1]发票导入!O1749&amp;""</f>
      </c>
      <c r="T1749">
        <f>[1]发票导入!T1749</f>
      </c>
      <c r="U1749">
        <f>[1]发票导入!U1749&amp;""</f>
      </c>
      <c r="V1749">
        <f>[1]发票导入!V1749&amp;""</f>
      </c>
      <c r="W1749">
        <f>[1]发票导入!W1749&amp;""</f>
      </c>
      <c r="Y1749">
        <f>[1]发票导入!Y1749&amp;""</f>
      </c>
      <c r="AA1749">
        <f>[1]发票导入!AA1749&amp;""</f>
      </c>
      <c r="AB1749">
        <f>[1]发票导入!AB1749</f>
        <v>0</v>
      </c>
      <c r="AC1749">
        <f>[1]发票导入!AC1749</f>
        <v>0</v>
      </c>
      <c r="AE1749" s="22">
        <f t="shared" si="0"/>
      </c>
      <c r="AI1749">
        <f>[1]发票导入!AI1749&amp;""</f>
      </c>
      <c r="AJ1749">
        <f>[1]发票导入!AJ1749&amp;""</f>
      </c>
      <c r="AK1749">
        <f>[1]发票导入!AK1749</f>
        <v>0</v>
      </c>
      <c r="AL1749">
        <f>[1]发票导入!AL1749</f>
        <v>0</v>
      </c>
      <c r="AM1749">
        <f>[1]发票导入!AM1749</f>
        <v>0</v>
      </c>
      <c r="AN1749" s="22">
        <f t="shared" si="1"/>
        <v>0</v>
      </c>
      <c r="AO1749" s="22">
        <f t="shared" si="2"/>
        <v>0</v>
      </c>
    </row>
    <row r="1750">
      <c r="C1750">
        <f>[1]发票导入!C1750&amp;""</f>
      </c>
      <c r="D1750">
        <f>[1]发票导入!D1750&amp;""</f>
      </c>
      <c r="O1750">
        <f>[1]发票导入!O1750&amp;""</f>
      </c>
      <c r="T1750">
        <f>[1]发票导入!T1750</f>
      </c>
      <c r="U1750">
        <f>[1]发票导入!U1750&amp;""</f>
      </c>
      <c r="V1750">
        <f>[1]发票导入!V1750&amp;""</f>
      </c>
      <c r="W1750">
        <f>[1]发票导入!W1750&amp;""</f>
      </c>
      <c r="Y1750">
        <f>[1]发票导入!Y1750&amp;""</f>
      </c>
      <c r="AA1750">
        <f>[1]发票导入!AA1750&amp;""</f>
      </c>
      <c r="AB1750">
        <f>[1]发票导入!AB1750</f>
        <v>0</v>
      </c>
      <c r="AC1750">
        <f>[1]发票导入!AC1750</f>
        <v>0</v>
      </c>
      <c r="AE1750" s="22">
        <f t="shared" si="0"/>
      </c>
      <c r="AI1750">
        <f>[1]发票导入!AI1750&amp;""</f>
      </c>
      <c r="AJ1750">
        <f>[1]发票导入!AJ1750&amp;""</f>
      </c>
      <c r="AK1750">
        <f>[1]发票导入!AK1750</f>
        <v>0</v>
      </c>
      <c r="AL1750">
        <f>[1]发票导入!AL1750</f>
        <v>0</v>
      </c>
      <c r="AM1750">
        <f>[1]发票导入!AM1750</f>
        <v>0</v>
      </c>
      <c r="AN1750" s="22">
        <f t="shared" si="1"/>
        <v>0</v>
      </c>
      <c r="AO1750" s="22">
        <f t="shared" si="2"/>
        <v>0</v>
      </c>
    </row>
    <row r="1751">
      <c r="C1751">
        <f>[1]发票导入!C1751&amp;""</f>
      </c>
      <c r="D1751">
        <f>[1]发票导入!D1751&amp;""</f>
      </c>
      <c r="O1751">
        <f>[1]发票导入!O1751&amp;""</f>
      </c>
      <c r="T1751">
        <f>[1]发票导入!T1751</f>
      </c>
      <c r="U1751">
        <f>[1]发票导入!U1751&amp;""</f>
      </c>
      <c r="V1751">
        <f>[1]发票导入!V1751&amp;""</f>
      </c>
      <c r="W1751">
        <f>[1]发票导入!W1751&amp;""</f>
      </c>
      <c r="Y1751">
        <f>[1]发票导入!Y1751&amp;""</f>
      </c>
      <c r="AA1751">
        <f>[1]发票导入!AA1751&amp;""</f>
      </c>
      <c r="AB1751">
        <f>[1]发票导入!AB1751</f>
        <v>0</v>
      </c>
      <c r="AC1751">
        <f>[1]发票导入!AC1751</f>
        <v>0</v>
      </c>
      <c r="AE1751" s="22">
        <f t="shared" si="0"/>
      </c>
      <c r="AI1751">
        <f>[1]发票导入!AI1751&amp;""</f>
      </c>
      <c r="AJ1751">
        <f>[1]发票导入!AJ1751&amp;""</f>
      </c>
      <c r="AK1751">
        <f>[1]发票导入!AK1751</f>
        <v>0</v>
      </c>
      <c r="AL1751">
        <f>[1]发票导入!AL1751</f>
        <v>0</v>
      </c>
      <c r="AM1751">
        <f>[1]发票导入!AM1751</f>
        <v>0</v>
      </c>
      <c r="AN1751" s="22">
        <f t="shared" si="1"/>
        <v>0</v>
      </c>
      <c r="AO1751" s="22">
        <f t="shared" si="2"/>
        <v>0</v>
      </c>
    </row>
    <row r="1752">
      <c r="C1752">
        <f>[1]发票导入!C1752&amp;""</f>
      </c>
      <c r="D1752">
        <f>[1]发票导入!D1752&amp;""</f>
      </c>
      <c r="O1752">
        <f>[1]发票导入!O1752&amp;""</f>
      </c>
      <c r="T1752">
        <f>[1]发票导入!T1752</f>
      </c>
      <c r="U1752">
        <f>[1]发票导入!U1752&amp;""</f>
      </c>
      <c r="V1752">
        <f>[1]发票导入!V1752&amp;""</f>
      </c>
      <c r="W1752">
        <f>[1]发票导入!W1752&amp;""</f>
      </c>
      <c r="Y1752">
        <f>[1]发票导入!Y1752&amp;""</f>
      </c>
      <c r="AA1752">
        <f>[1]发票导入!AA1752&amp;""</f>
      </c>
      <c r="AB1752">
        <f>[1]发票导入!AB1752</f>
        <v>0</v>
      </c>
      <c r="AC1752">
        <f>[1]发票导入!AC1752</f>
        <v>0</v>
      </c>
      <c r="AE1752" s="22">
        <f t="shared" si="0"/>
      </c>
      <c r="AI1752">
        <f>[1]发票导入!AI1752&amp;""</f>
      </c>
      <c r="AJ1752">
        <f>[1]发票导入!AJ1752&amp;""</f>
      </c>
      <c r="AK1752">
        <f>[1]发票导入!AK1752</f>
        <v>0</v>
      </c>
      <c r="AL1752">
        <f>[1]发票导入!AL1752</f>
        <v>0</v>
      </c>
      <c r="AM1752">
        <f>[1]发票导入!AM1752</f>
        <v>0</v>
      </c>
      <c r="AN1752" s="22">
        <f t="shared" si="1"/>
        <v>0</v>
      </c>
      <c r="AO1752" s="22">
        <f t="shared" si="2"/>
        <v>0</v>
      </c>
    </row>
    <row r="1753">
      <c r="C1753">
        <f>[1]发票导入!C1753&amp;""</f>
      </c>
      <c r="D1753">
        <f>[1]发票导入!D1753&amp;""</f>
      </c>
      <c r="O1753">
        <f>[1]发票导入!O1753&amp;""</f>
      </c>
      <c r="T1753">
        <f>[1]发票导入!T1753</f>
      </c>
      <c r="U1753">
        <f>[1]发票导入!U1753&amp;""</f>
      </c>
      <c r="V1753">
        <f>[1]发票导入!V1753&amp;""</f>
      </c>
      <c r="W1753">
        <f>[1]发票导入!W1753&amp;""</f>
      </c>
      <c r="Y1753">
        <f>[1]发票导入!Y1753&amp;""</f>
      </c>
      <c r="AA1753">
        <f>[1]发票导入!AA1753&amp;""</f>
      </c>
      <c r="AB1753">
        <f>[1]发票导入!AB1753</f>
        <v>0</v>
      </c>
      <c r="AC1753">
        <f>[1]发票导入!AC1753</f>
        <v>0</v>
      </c>
      <c r="AE1753" s="22">
        <f t="shared" si="0"/>
      </c>
      <c r="AI1753">
        <f>[1]发票导入!AI1753&amp;""</f>
      </c>
      <c r="AJ1753">
        <f>[1]发票导入!AJ1753&amp;""</f>
      </c>
      <c r="AK1753">
        <f>[1]发票导入!AK1753</f>
        <v>0</v>
      </c>
      <c r="AL1753">
        <f>[1]发票导入!AL1753</f>
        <v>0</v>
      </c>
      <c r="AM1753">
        <f>[1]发票导入!AM1753</f>
        <v>0</v>
      </c>
      <c r="AN1753" s="22">
        <f t="shared" si="1"/>
        <v>0</v>
      </c>
      <c r="AO1753" s="22">
        <f t="shared" si="2"/>
        <v>0</v>
      </c>
    </row>
    <row r="1754">
      <c r="C1754">
        <f>[1]发票导入!C1754&amp;""</f>
      </c>
      <c r="D1754">
        <f>[1]发票导入!D1754&amp;""</f>
      </c>
      <c r="O1754">
        <f>[1]发票导入!O1754&amp;""</f>
      </c>
      <c r="T1754">
        <f>[1]发票导入!T1754</f>
      </c>
      <c r="U1754">
        <f>[1]发票导入!U1754&amp;""</f>
      </c>
      <c r="V1754">
        <f>[1]发票导入!V1754&amp;""</f>
      </c>
      <c r="W1754">
        <f>[1]发票导入!W1754&amp;""</f>
      </c>
      <c r="Y1754">
        <f>[1]发票导入!Y1754&amp;""</f>
      </c>
      <c r="AA1754">
        <f>[1]发票导入!AA1754&amp;""</f>
      </c>
      <c r="AB1754">
        <f>[1]发票导入!AB1754</f>
        <v>0</v>
      </c>
      <c r="AC1754">
        <f>[1]发票导入!AC1754</f>
        <v>0</v>
      </c>
      <c r="AE1754" s="22">
        <f t="shared" si="0"/>
      </c>
      <c r="AI1754">
        <f>[1]发票导入!AI1754&amp;""</f>
      </c>
      <c r="AJ1754">
        <f>[1]发票导入!AJ1754&amp;""</f>
      </c>
      <c r="AK1754">
        <f>[1]发票导入!AK1754</f>
        <v>0</v>
      </c>
      <c r="AL1754">
        <f>[1]发票导入!AL1754</f>
        <v>0</v>
      </c>
      <c r="AM1754">
        <f>[1]发票导入!AM1754</f>
        <v>0</v>
      </c>
      <c r="AN1754" s="22">
        <f t="shared" si="1"/>
        <v>0</v>
      </c>
      <c r="AO1754" s="22">
        <f t="shared" si="2"/>
        <v>0</v>
      </c>
    </row>
    <row r="1755">
      <c r="C1755">
        <f>[1]发票导入!C1755&amp;""</f>
      </c>
      <c r="D1755">
        <f>[1]发票导入!D1755&amp;""</f>
      </c>
      <c r="O1755">
        <f>[1]发票导入!O1755&amp;""</f>
      </c>
      <c r="T1755">
        <f>[1]发票导入!T1755</f>
      </c>
      <c r="U1755">
        <f>[1]发票导入!U1755&amp;""</f>
      </c>
      <c r="V1755">
        <f>[1]发票导入!V1755&amp;""</f>
      </c>
      <c r="W1755">
        <f>[1]发票导入!W1755&amp;""</f>
      </c>
      <c r="Y1755">
        <f>[1]发票导入!Y1755&amp;""</f>
      </c>
      <c r="AA1755">
        <f>[1]发票导入!AA1755&amp;""</f>
      </c>
      <c r="AB1755">
        <f>[1]发票导入!AB1755</f>
        <v>0</v>
      </c>
      <c r="AC1755">
        <f>[1]发票导入!AC1755</f>
        <v>0</v>
      </c>
      <c r="AE1755" s="22">
        <f t="shared" si="0"/>
      </c>
      <c r="AI1755">
        <f>[1]发票导入!AI1755&amp;""</f>
      </c>
      <c r="AJ1755">
        <f>[1]发票导入!AJ1755&amp;""</f>
      </c>
      <c r="AK1755">
        <f>[1]发票导入!AK1755</f>
        <v>0</v>
      </c>
      <c r="AL1755">
        <f>[1]发票导入!AL1755</f>
        <v>0</v>
      </c>
      <c r="AM1755">
        <f>[1]发票导入!AM1755</f>
        <v>0</v>
      </c>
      <c r="AN1755" s="22">
        <f t="shared" si="1"/>
        <v>0</v>
      </c>
      <c r="AO1755" s="22">
        <f t="shared" si="2"/>
        <v>0</v>
      </c>
    </row>
    <row r="1756">
      <c r="C1756">
        <f>[1]发票导入!C1756&amp;""</f>
      </c>
      <c r="D1756">
        <f>[1]发票导入!D1756&amp;""</f>
      </c>
      <c r="O1756">
        <f>[1]发票导入!O1756&amp;""</f>
      </c>
      <c r="T1756">
        <f>[1]发票导入!T1756</f>
      </c>
      <c r="U1756">
        <f>[1]发票导入!U1756&amp;""</f>
      </c>
      <c r="V1756">
        <f>[1]发票导入!V1756&amp;""</f>
      </c>
      <c r="W1756">
        <f>[1]发票导入!W1756&amp;""</f>
      </c>
      <c r="Y1756">
        <f>[1]发票导入!Y1756&amp;""</f>
      </c>
      <c r="AA1756">
        <f>[1]发票导入!AA1756&amp;""</f>
      </c>
      <c r="AB1756">
        <f>[1]发票导入!AB1756</f>
        <v>0</v>
      </c>
      <c r="AC1756">
        <f>[1]发票导入!AC1756</f>
        <v>0</v>
      </c>
      <c r="AE1756" s="22">
        <f t="shared" si="0"/>
      </c>
      <c r="AI1756">
        <f>[1]发票导入!AI1756&amp;""</f>
      </c>
      <c r="AJ1756">
        <f>[1]发票导入!AJ1756&amp;""</f>
      </c>
      <c r="AK1756">
        <f>[1]发票导入!AK1756</f>
        <v>0</v>
      </c>
      <c r="AL1756">
        <f>[1]发票导入!AL1756</f>
        <v>0</v>
      </c>
      <c r="AM1756">
        <f>[1]发票导入!AM1756</f>
        <v>0</v>
      </c>
      <c r="AN1756" s="22">
        <f t="shared" si="1"/>
        <v>0</v>
      </c>
      <c r="AO1756" s="22">
        <f t="shared" si="2"/>
        <v>0</v>
      </c>
    </row>
    <row r="1757">
      <c r="C1757">
        <f>[1]发票导入!C1757&amp;""</f>
      </c>
      <c r="D1757">
        <f>[1]发票导入!D1757&amp;""</f>
      </c>
      <c r="O1757">
        <f>[1]发票导入!O1757&amp;""</f>
      </c>
      <c r="T1757">
        <f>[1]发票导入!T1757</f>
      </c>
      <c r="U1757">
        <f>[1]发票导入!U1757&amp;""</f>
      </c>
      <c r="V1757">
        <f>[1]发票导入!V1757&amp;""</f>
      </c>
      <c r="W1757">
        <f>[1]发票导入!W1757&amp;""</f>
      </c>
      <c r="Y1757">
        <f>[1]发票导入!Y1757&amp;""</f>
      </c>
      <c r="AA1757">
        <f>[1]发票导入!AA1757&amp;""</f>
      </c>
      <c r="AB1757">
        <f>[1]发票导入!AB1757</f>
        <v>0</v>
      </c>
      <c r="AC1757">
        <f>[1]发票导入!AC1757</f>
        <v>0</v>
      </c>
      <c r="AE1757" s="22">
        <f t="shared" si="0"/>
      </c>
      <c r="AI1757">
        <f>[1]发票导入!AI1757&amp;""</f>
      </c>
      <c r="AJ1757">
        <f>[1]发票导入!AJ1757&amp;""</f>
      </c>
      <c r="AK1757">
        <f>[1]发票导入!AK1757</f>
        <v>0</v>
      </c>
      <c r="AL1757">
        <f>[1]发票导入!AL1757</f>
        <v>0</v>
      </c>
      <c r="AM1757">
        <f>[1]发票导入!AM1757</f>
        <v>0</v>
      </c>
      <c r="AN1757" s="22">
        <f t="shared" si="1"/>
        <v>0</v>
      </c>
      <c r="AO1757" s="22">
        <f t="shared" si="2"/>
        <v>0</v>
      </c>
    </row>
    <row r="1758">
      <c r="C1758">
        <f>[1]发票导入!C1758&amp;""</f>
      </c>
      <c r="D1758">
        <f>[1]发票导入!D1758&amp;""</f>
      </c>
      <c r="O1758">
        <f>[1]发票导入!O1758&amp;""</f>
      </c>
      <c r="T1758">
        <f>[1]发票导入!T1758</f>
      </c>
      <c r="U1758">
        <f>[1]发票导入!U1758&amp;""</f>
      </c>
      <c r="V1758">
        <f>[1]发票导入!V1758&amp;""</f>
      </c>
      <c r="W1758">
        <f>[1]发票导入!W1758&amp;""</f>
      </c>
      <c r="Y1758">
        <f>[1]发票导入!Y1758&amp;""</f>
      </c>
      <c r="AA1758">
        <f>[1]发票导入!AA1758&amp;""</f>
      </c>
      <c r="AB1758">
        <f>[1]发票导入!AB1758</f>
        <v>0</v>
      </c>
      <c r="AC1758">
        <f>[1]发票导入!AC1758</f>
        <v>0</v>
      </c>
      <c r="AE1758" s="22">
        <f t="shared" si="0"/>
      </c>
      <c r="AI1758">
        <f>[1]发票导入!AI1758&amp;""</f>
      </c>
      <c r="AJ1758">
        <f>[1]发票导入!AJ1758&amp;""</f>
      </c>
      <c r="AK1758">
        <f>[1]发票导入!AK1758</f>
        <v>0</v>
      </c>
      <c r="AL1758">
        <f>[1]发票导入!AL1758</f>
        <v>0</v>
      </c>
      <c r="AM1758">
        <f>[1]发票导入!AM1758</f>
        <v>0</v>
      </c>
      <c r="AN1758" s="22">
        <f t="shared" si="1"/>
        <v>0</v>
      </c>
      <c r="AO1758" s="22">
        <f t="shared" si="2"/>
        <v>0</v>
      </c>
    </row>
    <row r="1759">
      <c r="C1759">
        <f>[1]发票导入!C1759&amp;""</f>
      </c>
      <c r="D1759">
        <f>[1]发票导入!D1759&amp;""</f>
      </c>
      <c r="O1759">
        <f>[1]发票导入!O1759&amp;""</f>
      </c>
      <c r="T1759">
        <f>[1]发票导入!T1759</f>
      </c>
      <c r="U1759">
        <f>[1]发票导入!U1759&amp;""</f>
      </c>
      <c r="V1759">
        <f>[1]发票导入!V1759&amp;""</f>
      </c>
      <c r="W1759">
        <f>[1]发票导入!W1759&amp;""</f>
      </c>
      <c r="Y1759">
        <f>[1]发票导入!Y1759&amp;""</f>
      </c>
      <c r="AA1759">
        <f>[1]发票导入!AA1759&amp;""</f>
      </c>
      <c r="AB1759">
        <f>[1]发票导入!AB1759</f>
        <v>0</v>
      </c>
      <c r="AC1759">
        <f>[1]发票导入!AC1759</f>
        <v>0</v>
      </c>
      <c r="AE1759" s="22">
        <f t="shared" si="0"/>
      </c>
      <c r="AI1759">
        <f>[1]发票导入!AI1759&amp;""</f>
      </c>
      <c r="AJ1759">
        <f>[1]发票导入!AJ1759&amp;""</f>
      </c>
      <c r="AK1759">
        <f>[1]发票导入!AK1759</f>
        <v>0</v>
      </c>
      <c r="AL1759">
        <f>[1]发票导入!AL1759</f>
        <v>0</v>
      </c>
      <c r="AM1759">
        <f>[1]发票导入!AM1759</f>
        <v>0</v>
      </c>
      <c r="AN1759" s="22">
        <f t="shared" si="1"/>
        <v>0</v>
      </c>
      <c r="AO1759" s="22">
        <f t="shared" si="2"/>
        <v>0</v>
      </c>
    </row>
    <row r="1760">
      <c r="C1760">
        <f>[1]发票导入!C1760&amp;""</f>
      </c>
      <c r="D1760">
        <f>[1]发票导入!D1760&amp;""</f>
      </c>
      <c r="O1760">
        <f>[1]发票导入!O1760&amp;""</f>
      </c>
      <c r="T1760">
        <f>[1]发票导入!T1760</f>
      </c>
      <c r="U1760">
        <f>[1]发票导入!U1760&amp;""</f>
      </c>
      <c r="V1760">
        <f>[1]发票导入!V1760&amp;""</f>
      </c>
      <c r="W1760">
        <f>[1]发票导入!W1760&amp;""</f>
      </c>
      <c r="Y1760">
        <f>[1]发票导入!Y1760&amp;""</f>
      </c>
      <c r="AA1760">
        <f>[1]发票导入!AA1760&amp;""</f>
      </c>
      <c r="AB1760">
        <f>[1]发票导入!AB1760</f>
        <v>0</v>
      </c>
      <c r="AC1760">
        <f>[1]发票导入!AC1760</f>
        <v>0</v>
      </c>
      <c r="AE1760" s="22">
        <f t="shared" si="0"/>
      </c>
      <c r="AI1760">
        <f>[1]发票导入!AI1760&amp;""</f>
      </c>
      <c r="AJ1760">
        <f>[1]发票导入!AJ1760&amp;""</f>
      </c>
      <c r="AK1760">
        <f>[1]发票导入!AK1760</f>
        <v>0</v>
      </c>
      <c r="AL1760">
        <f>[1]发票导入!AL1760</f>
        <v>0</v>
      </c>
      <c r="AM1760">
        <f>[1]发票导入!AM1760</f>
        <v>0</v>
      </c>
      <c r="AN1760" s="22">
        <f t="shared" si="1"/>
        <v>0</v>
      </c>
      <c r="AO1760" s="22">
        <f t="shared" si="2"/>
        <v>0</v>
      </c>
    </row>
    <row r="1761">
      <c r="C1761">
        <f>[1]发票导入!C1761&amp;""</f>
      </c>
      <c r="D1761">
        <f>[1]发票导入!D1761&amp;""</f>
      </c>
      <c r="O1761">
        <f>[1]发票导入!O1761&amp;""</f>
      </c>
      <c r="T1761">
        <f>[1]发票导入!T1761</f>
      </c>
      <c r="U1761">
        <f>[1]发票导入!U1761&amp;""</f>
      </c>
      <c r="V1761">
        <f>[1]发票导入!V1761&amp;""</f>
      </c>
      <c r="W1761">
        <f>[1]发票导入!W1761&amp;""</f>
      </c>
      <c r="Y1761">
        <f>[1]发票导入!Y1761&amp;""</f>
      </c>
      <c r="AA1761">
        <f>[1]发票导入!AA1761&amp;""</f>
      </c>
      <c r="AB1761">
        <f>[1]发票导入!AB1761</f>
        <v>0</v>
      </c>
      <c r="AC1761">
        <f>[1]发票导入!AC1761</f>
        <v>0</v>
      </c>
      <c r="AE1761" s="22">
        <f t="shared" si="0"/>
      </c>
      <c r="AI1761">
        <f>[1]发票导入!AI1761&amp;""</f>
      </c>
      <c r="AJ1761">
        <f>[1]发票导入!AJ1761&amp;""</f>
      </c>
      <c r="AK1761">
        <f>[1]发票导入!AK1761</f>
        <v>0</v>
      </c>
      <c r="AL1761">
        <f>[1]发票导入!AL1761</f>
        <v>0</v>
      </c>
      <c r="AM1761">
        <f>[1]发票导入!AM1761</f>
        <v>0</v>
      </c>
      <c r="AN1761" s="22">
        <f t="shared" si="1"/>
        <v>0</v>
      </c>
      <c r="AO1761" s="22">
        <f t="shared" si="2"/>
        <v>0</v>
      </c>
    </row>
    <row r="1762">
      <c r="C1762">
        <f>[1]发票导入!C1762&amp;""</f>
      </c>
      <c r="D1762">
        <f>[1]发票导入!D1762&amp;""</f>
      </c>
      <c r="O1762">
        <f>[1]发票导入!O1762&amp;""</f>
      </c>
      <c r="T1762">
        <f>[1]发票导入!T1762</f>
      </c>
      <c r="U1762">
        <f>[1]发票导入!U1762&amp;""</f>
      </c>
      <c r="V1762">
        <f>[1]发票导入!V1762&amp;""</f>
      </c>
      <c r="W1762">
        <f>[1]发票导入!W1762&amp;""</f>
      </c>
      <c r="Y1762">
        <f>[1]发票导入!Y1762&amp;""</f>
      </c>
      <c r="AA1762">
        <f>[1]发票导入!AA1762&amp;""</f>
      </c>
      <c r="AB1762">
        <f>[1]发票导入!AB1762</f>
        <v>0</v>
      </c>
      <c r="AC1762">
        <f>[1]发票导入!AC1762</f>
        <v>0</v>
      </c>
      <c r="AE1762" s="22">
        <f t="shared" si="0"/>
      </c>
      <c r="AI1762">
        <f>[1]发票导入!AI1762&amp;""</f>
      </c>
      <c r="AJ1762">
        <f>[1]发票导入!AJ1762&amp;""</f>
      </c>
      <c r="AK1762">
        <f>[1]发票导入!AK1762</f>
        <v>0</v>
      </c>
      <c r="AL1762">
        <f>[1]发票导入!AL1762</f>
        <v>0</v>
      </c>
      <c r="AM1762">
        <f>[1]发票导入!AM1762</f>
        <v>0</v>
      </c>
      <c r="AN1762" s="22">
        <f t="shared" si="1"/>
        <v>0</v>
      </c>
      <c r="AO1762" s="22">
        <f t="shared" si="2"/>
        <v>0</v>
      </c>
    </row>
    <row r="1763">
      <c r="C1763">
        <f>[1]发票导入!C1763&amp;""</f>
      </c>
      <c r="D1763">
        <f>[1]发票导入!D1763&amp;""</f>
      </c>
      <c r="O1763">
        <f>[1]发票导入!O1763&amp;""</f>
      </c>
      <c r="T1763">
        <f>[1]发票导入!T1763</f>
      </c>
      <c r="U1763">
        <f>[1]发票导入!U1763&amp;""</f>
      </c>
      <c r="V1763">
        <f>[1]发票导入!V1763&amp;""</f>
      </c>
      <c r="W1763">
        <f>[1]发票导入!W1763&amp;""</f>
      </c>
      <c r="Y1763">
        <f>[1]发票导入!Y1763&amp;""</f>
      </c>
      <c r="AA1763">
        <f>[1]发票导入!AA1763&amp;""</f>
      </c>
      <c r="AB1763">
        <f>[1]发票导入!AB1763</f>
        <v>0</v>
      </c>
      <c r="AC1763">
        <f>[1]发票导入!AC1763</f>
        <v>0</v>
      </c>
      <c r="AE1763" s="22">
        <f t="shared" si="0"/>
      </c>
      <c r="AI1763">
        <f>[1]发票导入!AI1763&amp;""</f>
      </c>
      <c r="AJ1763">
        <f>[1]发票导入!AJ1763&amp;""</f>
      </c>
      <c r="AK1763">
        <f>[1]发票导入!AK1763</f>
        <v>0</v>
      </c>
      <c r="AL1763">
        <f>[1]发票导入!AL1763</f>
        <v>0</v>
      </c>
      <c r="AM1763">
        <f>[1]发票导入!AM1763</f>
        <v>0</v>
      </c>
      <c r="AN1763" s="22">
        <f t="shared" si="1"/>
        <v>0</v>
      </c>
      <c r="AO1763" s="22">
        <f t="shared" si="2"/>
        <v>0</v>
      </c>
    </row>
    <row r="1764">
      <c r="C1764">
        <f>[1]发票导入!C1764&amp;""</f>
      </c>
      <c r="D1764">
        <f>[1]发票导入!D1764&amp;""</f>
      </c>
      <c r="O1764">
        <f>[1]发票导入!O1764&amp;""</f>
      </c>
      <c r="T1764">
        <f>[1]发票导入!T1764</f>
      </c>
      <c r="U1764">
        <f>[1]发票导入!U1764&amp;""</f>
      </c>
      <c r="V1764">
        <f>[1]发票导入!V1764&amp;""</f>
      </c>
      <c r="W1764">
        <f>[1]发票导入!W1764&amp;""</f>
      </c>
      <c r="Y1764">
        <f>[1]发票导入!Y1764&amp;""</f>
      </c>
      <c r="AA1764">
        <f>[1]发票导入!AA1764&amp;""</f>
      </c>
      <c r="AB1764">
        <f>[1]发票导入!AB1764</f>
        <v>0</v>
      </c>
      <c r="AC1764">
        <f>[1]发票导入!AC1764</f>
        <v>0</v>
      </c>
      <c r="AE1764" s="22">
        <f t="shared" si="0"/>
      </c>
      <c r="AI1764">
        <f>[1]发票导入!AI1764&amp;""</f>
      </c>
      <c r="AJ1764">
        <f>[1]发票导入!AJ1764&amp;""</f>
      </c>
      <c r="AK1764">
        <f>[1]发票导入!AK1764</f>
        <v>0</v>
      </c>
      <c r="AL1764">
        <f>[1]发票导入!AL1764</f>
        <v>0</v>
      </c>
      <c r="AM1764">
        <f>[1]发票导入!AM1764</f>
        <v>0</v>
      </c>
      <c r="AN1764" s="22">
        <f t="shared" si="1"/>
        <v>0</v>
      </c>
      <c r="AO1764" s="22">
        <f t="shared" si="2"/>
        <v>0</v>
      </c>
    </row>
    <row r="1765">
      <c r="C1765">
        <f>[1]发票导入!C1765&amp;""</f>
      </c>
      <c r="D1765">
        <f>[1]发票导入!D1765&amp;""</f>
      </c>
      <c r="O1765">
        <f>[1]发票导入!O1765&amp;""</f>
      </c>
      <c r="T1765">
        <f>[1]发票导入!T1765</f>
      </c>
      <c r="U1765">
        <f>[1]发票导入!U1765&amp;""</f>
      </c>
      <c r="V1765">
        <f>[1]发票导入!V1765&amp;""</f>
      </c>
      <c r="W1765">
        <f>[1]发票导入!W1765&amp;""</f>
      </c>
      <c r="Y1765">
        <f>[1]发票导入!Y1765&amp;""</f>
      </c>
      <c r="AA1765">
        <f>[1]发票导入!AA1765&amp;""</f>
      </c>
      <c r="AB1765">
        <f>[1]发票导入!AB1765</f>
        <v>0</v>
      </c>
      <c r="AC1765">
        <f>[1]发票导入!AC1765</f>
        <v>0</v>
      </c>
      <c r="AE1765" s="22">
        <f t="shared" si="0"/>
      </c>
      <c r="AI1765">
        <f>[1]发票导入!AI1765&amp;""</f>
      </c>
      <c r="AJ1765">
        <f>[1]发票导入!AJ1765&amp;""</f>
      </c>
      <c r="AK1765">
        <f>[1]发票导入!AK1765</f>
        <v>0</v>
      </c>
      <c r="AL1765">
        <f>[1]发票导入!AL1765</f>
        <v>0</v>
      </c>
      <c r="AM1765">
        <f>[1]发票导入!AM1765</f>
        <v>0</v>
      </c>
      <c r="AN1765" s="22">
        <f t="shared" si="1"/>
        <v>0</v>
      </c>
      <c r="AO1765" s="22">
        <f t="shared" si="2"/>
        <v>0</v>
      </c>
    </row>
    <row r="1766">
      <c r="C1766">
        <f>[1]发票导入!C1766&amp;""</f>
      </c>
      <c r="D1766">
        <f>[1]发票导入!D1766&amp;""</f>
      </c>
      <c r="O1766">
        <f>[1]发票导入!O1766&amp;""</f>
      </c>
      <c r="T1766">
        <f>[1]发票导入!T1766</f>
      </c>
      <c r="U1766">
        <f>[1]发票导入!U1766&amp;""</f>
      </c>
      <c r="V1766">
        <f>[1]发票导入!V1766&amp;""</f>
      </c>
      <c r="W1766">
        <f>[1]发票导入!W1766&amp;""</f>
      </c>
      <c r="Y1766">
        <f>[1]发票导入!Y1766&amp;""</f>
      </c>
      <c r="AA1766">
        <f>[1]发票导入!AA1766&amp;""</f>
      </c>
      <c r="AB1766">
        <f>[1]发票导入!AB1766</f>
        <v>0</v>
      </c>
      <c r="AC1766">
        <f>[1]发票导入!AC1766</f>
        <v>0</v>
      </c>
      <c r="AE1766" s="22">
        <f t="shared" si="0"/>
      </c>
      <c r="AI1766">
        <f>[1]发票导入!AI1766&amp;""</f>
      </c>
      <c r="AJ1766">
        <f>[1]发票导入!AJ1766&amp;""</f>
      </c>
      <c r="AK1766">
        <f>[1]发票导入!AK1766</f>
        <v>0</v>
      </c>
      <c r="AL1766">
        <f>[1]发票导入!AL1766</f>
        <v>0</v>
      </c>
      <c r="AM1766">
        <f>[1]发票导入!AM1766</f>
        <v>0</v>
      </c>
      <c r="AN1766" s="22">
        <f t="shared" si="1"/>
        <v>0</v>
      </c>
      <c r="AO1766" s="22">
        <f t="shared" si="2"/>
        <v>0</v>
      </c>
    </row>
    <row r="1767">
      <c r="C1767">
        <f>[1]发票导入!C1767&amp;""</f>
      </c>
      <c r="D1767">
        <f>[1]发票导入!D1767&amp;""</f>
      </c>
      <c r="O1767">
        <f>[1]发票导入!O1767&amp;""</f>
      </c>
      <c r="T1767">
        <f>[1]发票导入!T1767</f>
      </c>
      <c r="U1767">
        <f>[1]发票导入!U1767&amp;""</f>
      </c>
      <c r="V1767">
        <f>[1]发票导入!V1767&amp;""</f>
      </c>
      <c r="W1767">
        <f>[1]发票导入!W1767&amp;""</f>
      </c>
      <c r="Y1767">
        <f>[1]发票导入!Y1767&amp;""</f>
      </c>
      <c r="AA1767">
        <f>[1]发票导入!AA1767&amp;""</f>
      </c>
      <c r="AB1767">
        <f>[1]发票导入!AB1767</f>
        <v>0</v>
      </c>
      <c r="AC1767">
        <f>[1]发票导入!AC1767</f>
        <v>0</v>
      </c>
      <c r="AE1767" s="22">
        <f t="shared" si="0"/>
      </c>
      <c r="AI1767">
        <f>[1]发票导入!AI1767&amp;""</f>
      </c>
      <c r="AJ1767">
        <f>[1]发票导入!AJ1767&amp;""</f>
      </c>
      <c r="AK1767">
        <f>[1]发票导入!AK1767</f>
        <v>0</v>
      </c>
      <c r="AL1767">
        <f>[1]发票导入!AL1767</f>
        <v>0</v>
      </c>
      <c r="AM1767">
        <f>[1]发票导入!AM1767</f>
        <v>0</v>
      </c>
      <c r="AN1767" s="22">
        <f t="shared" si="1"/>
        <v>0</v>
      </c>
      <c r="AO1767" s="22">
        <f t="shared" si="2"/>
        <v>0</v>
      </c>
    </row>
    <row r="1768">
      <c r="C1768">
        <f>[1]发票导入!C1768&amp;""</f>
      </c>
      <c r="D1768">
        <f>[1]发票导入!D1768&amp;""</f>
      </c>
      <c r="O1768">
        <f>[1]发票导入!O1768&amp;""</f>
      </c>
      <c r="T1768">
        <f>[1]发票导入!T1768</f>
      </c>
      <c r="U1768">
        <f>[1]发票导入!U1768&amp;""</f>
      </c>
      <c r="V1768">
        <f>[1]发票导入!V1768&amp;""</f>
      </c>
      <c r="W1768">
        <f>[1]发票导入!W1768&amp;""</f>
      </c>
      <c r="Y1768">
        <f>[1]发票导入!Y1768&amp;""</f>
      </c>
      <c r="AA1768">
        <f>[1]发票导入!AA1768&amp;""</f>
      </c>
      <c r="AB1768">
        <f>[1]发票导入!AB1768</f>
        <v>0</v>
      </c>
      <c r="AC1768">
        <f>[1]发票导入!AC1768</f>
        <v>0</v>
      </c>
      <c r="AE1768" s="22">
        <f t="shared" si="0"/>
      </c>
      <c r="AI1768">
        <f>[1]发票导入!AI1768&amp;""</f>
      </c>
      <c r="AJ1768">
        <f>[1]发票导入!AJ1768&amp;""</f>
      </c>
      <c r="AK1768">
        <f>[1]发票导入!AK1768</f>
        <v>0</v>
      </c>
      <c r="AL1768">
        <f>[1]发票导入!AL1768</f>
        <v>0</v>
      </c>
      <c r="AM1768">
        <f>[1]发票导入!AM1768</f>
        <v>0</v>
      </c>
      <c r="AN1768" s="22">
        <f t="shared" si="1"/>
        <v>0</v>
      </c>
      <c r="AO1768" s="22">
        <f t="shared" si="2"/>
        <v>0</v>
      </c>
    </row>
    <row r="1769">
      <c r="C1769">
        <f>[1]发票导入!C1769&amp;""</f>
      </c>
      <c r="D1769">
        <f>[1]发票导入!D1769&amp;""</f>
      </c>
      <c r="O1769">
        <f>[1]发票导入!O1769&amp;""</f>
      </c>
      <c r="T1769">
        <f>[1]发票导入!T1769</f>
      </c>
      <c r="U1769">
        <f>[1]发票导入!U1769&amp;""</f>
      </c>
      <c r="V1769">
        <f>[1]发票导入!V1769&amp;""</f>
      </c>
      <c r="W1769">
        <f>[1]发票导入!W1769&amp;""</f>
      </c>
      <c r="Y1769">
        <f>[1]发票导入!Y1769&amp;""</f>
      </c>
      <c r="AA1769">
        <f>[1]发票导入!AA1769&amp;""</f>
      </c>
      <c r="AB1769">
        <f>[1]发票导入!AB1769</f>
        <v>0</v>
      </c>
      <c r="AC1769">
        <f>[1]发票导入!AC1769</f>
        <v>0</v>
      </c>
      <c r="AE1769" s="22">
        <f t="shared" si="0"/>
      </c>
      <c r="AI1769">
        <f>[1]发票导入!AI1769&amp;""</f>
      </c>
      <c r="AJ1769">
        <f>[1]发票导入!AJ1769&amp;""</f>
      </c>
      <c r="AK1769">
        <f>[1]发票导入!AK1769</f>
        <v>0</v>
      </c>
      <c r="AL1769">
        <f>[1]发票导入!AL1769</f>
        <v>0</v>
      </c>
      <c r="AM1769">
        <f>[1]发票导入!AM1769</f>
        <v>0</v>
      </c>
      <c r="AN1769" s="22">
        <f t="shared" si="1"/>
        <v>0</v>
      </c>
      <c r="AO1769" s="22">
        <f t="shared" si="2"/>
        <v>0</v>
      </c>
    </row>
    <row r="1770">
      <c r="C1770">
        <f>[1]发票导入!C1770&amp;""</f>
      </c>
      <c r="D1770">
        <f>[1]发票导入!D1770&amp;""</f>
      </c>
      <c r="O1770">
        <f>[1]发票导入!O1770&amp;""</f>
      </c>
      <c r="T1770">
        <f>[1]发票导入!T1770</f>
      </c>
      <c r="U1770">
        <f>[1]发票导入!U1770&amp;""</f>
      </c>
      <c r="V1770">
        <f>[1]发票导入!V1770&amp;""</f>
      </c>
      <c r="W1770">
        <f>[1]发票导入!W1770&amp;""</f>
      </c>
      <c r="Y1770">
        <f>[1]发票导入!Y1770&amp;""</f>
      </c>
      <c r="AA1770">
        <f>[1]发票导入!AA1770&amp;""</f>
      </c>
      <c r="AB1770">
        <f>[1]发票导入!AB1770</f>
        <v>0</v>
      </c>
      <c r="AC1770">
        <f>[1]发票导入!AC1770</f>
        <v>0</v>
      </c>
      <c r="AE1770" s="22">
        <f t="shared" si="0"/>
      </c>
      <c r="AI1770">
        <f>[1]发票导入!AI1770&amp;""</f>
      </c>
      <c r="AJ1770">
        <f>[1]发票导入!AJ1770&amp;""</f>
      </c>
      <c r="AK1770">
        <f>[1]发票导入!AK1770</f>
        <v>0</v>
      </c>
      <c r="AL1770">
        <f>[1]发票导入!AL1770</f>
        <v>0</v>
      </c>
      <c r="AM1770">
        <f>[1]发票导入!AM1770</f>
        <v>0</v>
      </c>
      <c r="AN1770" s="22">
        <f t="shared" si="1"/>
        <v>0</v>
      </c>
      <c r="AO1770" s="22">
        <f t="shared" si="2"/>
        <v>0</v>
      </c>
    </row>
    <row r="1771">
      <c r="C1771">
        <f>[1]发票导入!C1771&amp;""</f>
      </c>
      <c r="D1771">
        <f>[1]发票导入!D1771&amp;""</f>
      </c>
      <c r="O1771">
        <f>[1]发票导入!O1771&amp;""</f>
      </c>
      <c r="T1771">
        <f>[1]发票导入!T1771</f>
      </c>
      <c r="U1771">
        <f>[1]发票导入!U1771&amp;""</f>
      </c>
      <c r="V1771">
        <f>[1]发票导入!V1771&amp;""</f>
      </c>
      <c r="W1771">
        <f>[1]发票导入!W1771&amp;""</f>
      </c>
      <c r="Y1771">
        <f>[1]发票导入!Y1771&amp;""</f>
      </c>
      <c r="AA1771">
        <f>[1]发票导入!AA1771&amp;""</f>
      </c>
      <c r="AB1771">
        <f>[1]发票导入!AB1771</f>
        <v>0</v>
      </c>
      <c r="AC1771">
        <f>[1]发票导入!AC1771</f>
        <v>0</v>
      </c>
      <c r="AE1771" s="22">
        <f t="shared" si="0"/>
      </c>
      <c r="AI1771">
        <f>[1]发票导入!AI1771&amp;""</f>
      </c>
      <c r="AJ1771">
        <f>[1]发票导入!AJ1771&amp;""</f>
      </c>
      <c r="AK1771">
        <f>[1]发票导入!AK1771</f>
        <v>0</v>
      </c>
      <c r="AL1771">
        <f>[1]发票导入!AL1771</f>
        <v>0</v>
      </c>
      <c r="AM1771">
        <f>[1]发票导入!AM1771</f>
        <v>0</v>
      </c>
      <c r="AN1771" s="22">
        <f t="shared" si="1"/>
        <v>0</v>
      </c>
      <c r="AO1771" s="22">
        <f t="shared" si="2"/>
        <v>0</v>
      </c>
    </row>
    <row r="1772">
      <c r="C1772">
        <f>[1]发票导入!C1772&amp;""</f>
      </c>
      <c r="D1772">
        <f>[1]发票导入!D1772&amp;""</f>
      </c>
      <c r="O1772">
        <f>[1]发票导入!O1772&amp;""</f>
      </c>
      <c r="T1772">
        <f>[1]发票导入!T1772</f>
      </c>
      <c r="U1772">
        <f>[1]发票导入!U1772&amp;""</f>
      </c>
      <c r="V1772">
        <f>[1]发票导入!V1772&amp;""</f>
      </c>
      <c r="W1772">
        <f>[1]发票导入!W1772&amp;""</f>
      </c>
      <c r="Y1772">
        <f>[1]发票导入!Y1772&amp;""</f>
      </c>
      <c r="AA1772">
        <f>[1]发票导入!AA1772&amp;""</f>
      </c>
      <c r="AB1772">
        <f>[1]发票导入!AB1772</f>
        <v>0</v>
      </c>
      <c r="AC1772">
        <f>[1]发票导入!AC1772</f>
        <v>0</v>
      </c>
      <c r="AE1772" s="22">
        <f t="shared" si="0"/>
      </c>
      <c r="AI1772">
        <f>[1]发票导入!AI1772&amp;""</f>
      </c>
      <c r="AJ1772">
        <f>[1]发票导入!AJ1772&amp;""</f>
      </c>
      <c r="AK1772">
        <f>[1]发票导入!AK1772</f>
        <v>0</v>
      </c>
      <c r="AL1772">
        <f>[1]发票导入!AL1772</f>
        <v>0</v>
      </c>
      <c r="AM1772">
        <f>[1]发票导入!AM1772</f>
        <v>0</v>
      </c>
      <c r="AN1772" s="22">
        <f t="shared" si="1"/>
        <v>0</v>
      </c>
      <c r="AO1772" s="22">
        <f t="shared" si="2"/>
        <v>0</v>
      </c>
    </row>
    <row r="1773">
      <c r="C1773">
        <f>[1]发票导入!C1773&amp;""</f>
      </c>
      <c r="D1773">
        <f>[1]发票导入!D1773&amp;""</f>
      </c>
      <c r="O1773">
        <f>[1]发票导入!O1773&amp;""</f>
      </c>
      <c r="T1773">
        <f>[1]发票导入!T1773</f>
      </c>
      <c r="U1773">
        <f>[1]发票导入!U1773&amp;""</f>
      </c>
      <c r="V1773">
        <f>[1]发票导入!V1773&amp;""</f>
      </c>
      <c r="W1773">
        <f>[1]发票导入!W1773&amp;""</f>
      </c>
      <c r="Y1773">
        <f>[1]发票导入!Y1773&amp;""</f>
      </c>
      <c r="AA1773">
        <f>[1]发票导入!AA1773&amp;""</f>
      </c>
      <c r="AB1773">
        <f>[1]发票导入!AB1773</f>
        <v>0</v>
      </c>
      <c r="AC1773">
        <f>[1]发票导入!AC1773</f>
        <v>0</v>
      </c>
      <c r="AE1773" s="22">
        <f t="shared" si="0"/>
      </c>
      <c r="AI1773">
        <f>[1]发票导入!AI1773&amp;""</f>
      </c>
      <c r="AJ1773">
        <f>[1]发票导入!AJ1773&amp;""</f>
      </c>
      <c r="AK1773">
        <f>[1]发票导入!AK1773</f>
        <v>0</v>
      </c>
      <c r="AL1773">
        <f>[1]发票导入!AL1773</f>
        <v>0</v>
      </c>
      <c r="AM1773">
        <f>[1]发票导入!AM1773</f>
        <v>0</v>
      </c>
      <c r="AN1773" s="22">
        <f t="shared" si="1"/>
        <v>0</v>
      </c>
      <c r="AO1773" s="22">
        <f t="shared" si="2"/>
        <v>0</v>
      </c>
    </row>
    <row r="1774">
      <c r="C1774">
        <f>[1]发票导入!C1774&amp;""</f>
      </c>
      <c r="D1774">
        <f>[1]发票导入!D1774&amp;""</f>
      </c>
      <c r="O1774">
        <f>[1]发票导入!O1774&amp;""</f>
      </c>
      <c r="T1774">
        <f>[1]发票导入!T1774</f>
      </c>
      <c r="U1774">
        <f>[1]发票导入!U1774&amp;""</f>
      </c>
      <c r="V1774">
        <f>[1]发票导入!V1774&amp;""</f>
      </c>
      <c r="W1774">
        <f>[1]发票导入!W1774&amp;""</f>
      </c>
      <c r="Y1774">
        <f>[1]发票导入!Y1774&amp;""</f>
      </c>
      <c r="AA1774">
        <f>[1]发票导入!AA1774&amp;""</f>
      </c>
      <c r="AB1774">
        <f>[1]发票导入!AB1774</f>
        <v>0</v>
      </c>
      <c r="AC1774">
        <f>[1]发票导入!AC1774</f>
        <v>0</v>
      </c>
      <c r="AE1774" s="22">
        <f t="shared" si="0"/>
      </c>
      <c r="AI1774">
        <f>[1]发票导入!AI1774&amp;""</f>
      </c>
      <c r="AJ1774">
        <f>[1]发票导入!AJ1774&amp;""</f>
      </c>
      <c r="AK1774">
        <f>[1]发票导入!AK1774</f>
        <v>0</v>
      </c>
      <c r="AL1774">
        <f>[1]发票导入!AL1774</f>
        <v>0</v>
      </c>
      <c r="AM1774">
        <f>[1]发票导入!AM1774</f>
        <v>0</v>
      </c>
      <c r="AN1774" s="22">
        <f t="shared" si="1"/>
        <v>0</v>
      </c>
      <c r="AO1774" s="22">
        <f t="shared" si="2"/>
        <v>0</v>
      </c>
    </row>
    <row r="1775">
      <c r="C1775">
        <f>[1]发票导入!C1775&amp;""</f>
      </c>
      <c r="D1775">
        <f>[1]发票导入!D1775&amp;""</f>
      </c>
      <c r="O1775">
        <f>[1]发票导入!O1775&amp;""</f>
      </c>
      <c r="T1775">
        <f>[1]发票导入!T1775</f>
      </c>
      <c r="U1775">
        <f>[1]发票导入!U1775&amp;""</f>
      </c>
      <c r="V1775">
        <f>[1]发票导入!V1775&amp;""</f>
      </c>
      <c r="W1775">
        <f>[1]发票导入!W1775&amp;""</f>
      </c>
      <c r="Y1775">
        <f>[1]发票导入!Y1775&amp;""</f>
      </c>
      <c r="AA1775">
        <f>[1]发票导入!AA1775&amp;""</f>
      </c>
      <c r="AB1775">
        <f>[1]发票导入!AB1775</f>
        <v>0</v>
      </c>
      <c r="AC1775">
        <f>[1]发票导入!AC1775</f>
        <v>0</v>
      </c>
      <c r="AE1775" s="22">
        <f t="shared" si="0"/>
      </c>
      <c r="AI1775">
        <f>[1]发票导入!AI1775&amp;""</f>
      </c>
      <c r="AJ1775">
        <f>[1]发票导入!AJ1775&amp;""</f>
      </c>
      <c r="AK1775">
        <f>[1]发票导入!AK1775</f>
        <v>0</v>
      </c>
      <c r="AL1775">
        <f>[1]发票导入!AL1775</f>
        <v>0</v>
      </c>
      <c r="AM1775">
        <f>[1]发票导入!AM1775</f>
        <v>0</v>
      </c>
      <c r="AN1775" s="22">
        <f t="shared" si="1"/>
        <v>0</v>
      </c>
      <c r="AO1775" s="22">
        <f t="shared" si="2"/>
        <v>0</v>
      </c>
    </row>
    <row r="1776">
      <c r="C1776">
        <f>[1]发票导入!C1776&amp;""</f>
      </c>
      <c r="D1776">
        <f>[1]发票导入!D1776&amp;""</f>
      </c>
      <c r="O1776">
        <f>[1]发票导入!O1776&amp;""</f>
      </c>
      <c r="T1776">
        <f>[1]发票导入!T1776</f>
      </c>
      <c r="U1776">
        <f>[1]发票导入!U1776&amp;""</f>
      </c>
      <c r="V1776">
        <f>[1]发票导入!V1776&amp;""</f>
      </c>
      <c r="W1776">
        <f>[1]发票导入!W1776&amp;""</f>
      </c>
      <c r="Y1776">
        <f>[1]发票导入!Y1776&amp;""</f>
      </c>
      <c r="AA1776">
        <f>[1]发票导入!AA1776&amp;""</f>
      </c>
      <c r="AB1776">
        <f>[1]发票导入!AB1776</f>
        <v>0</v>
      </c>
      <c r="AC1776">
        <f>[1]发票导入!AC1776</f>
        <v>0</v>
      </c>
      <c r="AE1776" s="22">
        <f t="shared" si="0"/>
      </c>
      <c r="AI1776">
        <f>[1]发票导入!AI1776&amp;""</f>
      </c>
      <c r="AJ1776">
        <f>[1]发票导入!AJ1776&amp;""</f>
      </c>
      <c r="AK1776">
        <f>[1]发票导入!AK1776</f>
        <v>0</v>
      </c>
      <c r="AL1776">
        <f>[1]发票导入!AL1776</f>
        <v>0</v>
      </c>
      <c r="AM1776">
        <f>[1]发票导入!AM1776</f>
        <v>0</v>
      </c>
      <c r="AN1776" s="22">
        <f t="shared" si="1"/>
        <v>0</v>
      </c>
      <c r="AO1776" s="22">
        <f t="shared" si="2"/>
        <v>0</v>
      </c>
    </row>
    <row r="1777">
      <c r="C1777">
        <f>[1]发票导入!C1777&amp;""</f>
      </c>
      <c r="D1777">
        <f>[1]发票导入!D1777&amp;""</f>
      </c>
      <c r="O1777">
        <f>[1]发票导入!O1777&amp;""</f>
      </c>
      <c r="T1777">
        <f>[1]发票导入!T1777</f>
      </c>
      <c r="U1777">
        <f>[1]发票导入!U1777&amp;""</f>
      </c>
      <c r="V1777">
        <f>[1]发票导入!V1777&amp;""</f>
      </c>
      <c r="W1777">
        <f>[1]发票导入!W1777&amp;""</f>
      </c>
      <c r="Y1777">
        <f>[1]发票导入!Y1777&amp;""</f>
      </c>
      <c r="AA1777">
        <f>[1]发票导入!AA1777&amp;""</f>
      </c>
      <c r="AB1777">
        <f>[1]发票导入!AB1777</f>
        <v>0</v>
      </c>
      <c r="AC1777">
        <f>[1]发票导入!AC1777</f>
        <v>0</v>
      </c>
      <c r="AE1777" s="22">
        <f t="shared" si="0"/>
      </c>
      <c r="AI1777">
        <f>[1]发票导入!AI1777&amp;""</f>
      </c>
      <c r="AJ1777">
        <f>[1]发票导入!AJ1777&amp;""</f>
      </c>
      <c r="AK1777">
        <f>[1]发票导入!AK1777</f>
        <v>0</v>
      </c>
      <c r="AL1777">
        <f>[1]发票导入!AL1777</f>
        <v>0</v>
      </c>
      <c r="AM1777">
        <f>[1]发票导入!AM1777</f>
        <v>0</v>
      </c>
      <c r="AN1777" s="22">
        <f t="shared" si="1"/>
        <v>0</v>
      </c>
      <c r="AO1777" s="22">
        <f t="shared" si="2"/>
        <v>0</v>
      </c>
    </row>
    <row r="1778">
      <c r="C1778">
        <f>[1]发票导入!C1778&amp;""</f>
      </c>
      <c r="D1778">
        <f>[1]发票导入!D1778&amp;""</f>
      </c>
      <c r="O1778">
        <f>[1]发票导入!O1778&amp;""</f>
      </c>
      <c r="T1778">
        <f>[1]发票导入!T1778</f>
      </c>
      <c r="U1778">
        <f>[1]发票导入!U1778&amp;""</f>
      </c>
      <c r="V1778">
        <f>[1]发票导入!V1778&amp;""</f>
      </c>
      <c r="W1778">
        <f>[1]发票导入!W1778&amp;""</f>
      </c>
      <c r="Y1778">
        <f>[1]发票导入!Y1778&amp;""</f>
      </c>
      <c r="AA1778">
        <f>[1]发票导入!AA1778&amp;""</f>
      </c>
      <c r="AB1778">
        <f>[1]发票导入!AB1778</f>
        <v>0</v>
      </c>
      <c r="AC1778">
        <f>[1]发票导入!AC1778</f>
        <v>0</v>
      </c>
      <c r="AE1778" s="22">
        <f t="shared" si="0"/>
      </c>
      <c r="AI1778">
        <f>[1]发票导入!AI1778&amp;""</f>
      </c>
      <c r="AJ1778">
        <f>[1]发票导入!AJ1778&amp;""</f>
      </c>
      <c r="AK1778">
        <f>[1]发票导入!AK1778</f>
        <v>0</v>
      </c>
      <c r="AL1778">
        <f>[1]发票导入!AL1778</f>
        <v>0</v>
      </c>
      <c r="AM1778">
        <f>[1]发票导入!AM1778</f>
        <v>0</v>
      </c>
      <c r="AN1778" s="22">
        <f t="shared" si="1"/>
        <v>0</v>
      </c>
      <c r="AO1778" s="22">
        <f t="shared" si="2"/>
        <v>0</v>
      </c>
    </row>
    <row r="1779">
      <c r="C1779">
        <f>[1]发票导入!C1779&amp;""</f>
      </c>
      <c r="D1779">
        <f>[1]发票导入!D1779&amp;""</f>
      </c>
      <c r="O1779">
        <f>[1]发票导入!O1779&amp;""</f>
      </c>
      <c r="T1779">
        <f>[1]发票导入!T1779</f>
      </c>
      <c r="U1779">
        <f>[1]发票导入!U1779&amp;""</f>
      </c>
      <c r="V1779">
        <f>[1]发票导入!V1779&amp;""</f>
      </c>
      <c r="W1779">
        <f>[1]发票导入!W1779&amp;""</f>
      </c>
      <c r="Y1779">
        <f>[1]发票导入!Y1779&amp;""</f>
      </c>
      <c r="AA1779">
        <f>[1]发票导入!AA1779&amp;""</f>
      </c>
      <c r="AB1779">
        <f>[1]发票导入!AB1779</f>
        <v>0</v>
      </c>
      <c r="AC1779">
        <f>[1]发票导入!AC1779</f>
        <v>0</v>
      </c>
      <c r="AE1779" s="22">
        <f t="shared" si="0"/>
      </c>
      <c r="AI1779">
        <f>[1]发票导入!AI1779&amp;""</f>
      </c>
      <c r="AJ1779">
        <f>[1]发票导入!AJ1779&amp;""</f>
      </c>
      <c r="AK1779">
        <f>[1]发票导入!AK1779</f>
        <v>0</v>
      </c>
      <c r="AL1779">
        <f>[1]发票导入!AL1779</f>
        <v>0</v>
      </c>
      <c r="AM1779">
        <f>[1]发票导入!AM1779</f>
        <v>0</v>
      </c>
      <c r="AN1779" s="22">
        <f t="shared" si="1"/>
        <v>0</v>
      </c>
      <c r="AO1779" s="22">
        <f t="shared" si="2"/>
        <v>0</v>
      </c>
    </row>
    <row r="1780">
      <c r="C1780">
        <f>[1]发票导入!C1780&amp;""</f>
      </c>
      <c r="D1780">
        <f>[1]发票导入!D1780&amp;""</f>
      </c>
      <c r="O1780">
        <f>[1]发票导入!O1780&amp;""</f>
      </c>
      <c r="T1780">
        <f>[1]发票导入!T1780</f>
      </c>
      <c r="U1780">
        <f>[1]发票导入!U1780&amp;""</f>
      </c>
      <c r="V1780">
        <f>[1]发票导入!V1780&amp;""</f>
      </c>
      <c r="W1780">
        <f>[1]发票导入!W1780&amp;""</f>
      </c>
      <c r="Y1780">
        <f>[1]发票导入!Y1780&amp;""</f>
      </c>
      <c r="AA1780">
        <f>[1]发票导入!AA1780&amp;""</f>
      </c>
      <c r="AB1780">
        <f>[1]发票导入!AB1780</f>
        <v>0</v>
      </c>
      <c r="AC1780">
        <f>[1]发票导入!AC1780</f>
        <v>0</v>
      </c>
      <c r="AE1780" s="22">
        <f t="shared" si="0"/>
      </c>
      <c r="AI1780">
        <f>[1]发票导入!AI1780&amp;""</f>
      </c>
      <c r="AJ1780">
        <f>[1]发票导入!AJ1780&amp;""</f>
      </c>
      <c r="AK1780">
        <f>[1]发票导入!AK1780</f>
        <v>0</v>
      </c>
      <c r="AL1780">
        <f>[1]发票导入!AL1780</f>
        <v>0</v>
      </c>
      <c r="AM1780">
        <f>[1]发票导入!AM1780</f>
        <v>0</v>
      </c>
      <c r="AN1780" s="22">
        <f t="shared" si="1"/>
        <v>0</v>
      </c>
      <c r="AO1780" s="22">
        <f t="shared" si="2"/>
        <v>0</v>
      </c>
    </row>
    <row r="1781">
      <c r="C1781">
        <f>[1]发票导入!C1781&amp;""</f>
      </c>
      <c r="D1781">
        <f>[1]发票导入!D1781&amp;""</f>
      </c>
      <c r="O1781">
        <f>[1]发票导入!O1781&amp;""</f>
      </c>
      <c r="T1781">
        <f>[1]发票导入!T1781</f>
      </c>
      <c r="U1781">
        <f>[1]发票导入!U1781&amp;""</f>
      </c>
      <c r="V1781">
        <f>[1]发票导入!V1781&amp;""</f>
      </c>
      <c r="W1781">
        <f>[1]发票导入!W1781&amp;""</f>
      </c>
      <c r="Y1781">
        <f>[1]发票导入!Y1781&amp;""</f>
      </c>
      <c r="AA1781">
        <f>[1]发票导入!AA1781&amp;""</f>
      </c>
      <c r="AB1781">
        <f>[1]发票导入!AB1781</f>
        <v>0</v>
      </c>
      <c r="AC1781">
        <f>[1]发票导入!AC1781</f>
        <v>0</v>
      </c>
      <c r="AE1781" s="22">
        <f t="shared" si="0"/>
      </c>
      <c r="AI1781">
        <f>[1]发票导入!AI1781&amp;""</f>
      </c>
      <c r="AJ1781">
        <f>[1]发票导入!AJ1781&amp;""</f>
      </c>
      <c r="AK1781">
        <f>[1]发票导入!AK1781</f>
        <v>0</v>
      </c>
      <c r="AL1781">
        <f>[1]发票导入!AL1781</f>
        <v>0</v>
      </c>
      <c r="AM1781">
        <f>[1]发票导入!AM1781</f>
        <v>0</v>
      </c>
      <c r="AN1781" s="22">
        <f t="shared" si="1"/>
        <v>0</v>
      </c>
      <c r="AO1781" s="22">
        <f t="shared" si="2"/>
        <v>0</v>
      </c>
    </row>
    <row r="1782">
      <c r="C1782">
        <f>[1]发票导入!C1782&amp;""</f>
      </c>
      <c r="D1782">
        <f>[1]发票导入!D1782&amp;""</f>
      </c>
      <c r="O1782">
        <f>[1]发票导入!O1782&amp;""</f>
      </c>
      <c r="T1782">
        <f>[1]发票导入!T1782</f>
      </c>
      <c r="U1782">
        <f>[1]发票导入!U1782&amp;""</f>
      </c>
      <c r="V1782">
        <f>[1]发票导入!V1782&amp;""</f>
      </c>
      <c r="W1782">
        <f>[1]发票导入!W1782&amp;""</f>
      </c>
      <c r="Y1782">
        <f>[1]发票导入!Y1782&amp;""</f>
      </c>
      <c r="AA1782">
        <f>[1]发票导入!AA1782&amp;""</f>
      </c>
      <c r="AB1782">
        <f>[1]发票导入!AB1782</f>
        <v>0</v>
      </c>
      <c r="AC1782">
        <f>[1]发票导入!AC1782</f>
        <v>0</v>
      </c>
      <c r="AE1782" s="22">
        <f t="shared" si="0"/>
      </c>
      <c r="AI1782">
        <f>[1]发票导入!AI1782&amp;""</f>
      </c>
      <c r="AJ1782">
        <f>[1]发票导入!AJ1782&amp;""</f>
      </c>
      <c r="AK1782">
        <f>[1]发票导入!AK1782</f>
        <v>0</v>
      </c>
      <c r="AL1782">
        <f>[1]发票导入!AL1782</f>
        <v>0</v>
      </c>
      <c r="AM1782">
        <f>[1]发票导入!AM1782</f>
        <v>0</v>
      </c>
      <c r="AN1782" s="22">
        <f t="shared" si="1"/>
        <v>0</v>
      </c>
      <c r="AO1782" s="22">
        <f t="shared" si="2"/>
        <v>0</v>
      </c>
    </row>
    <row r="1783">
      <c r="C1783">
        <f>[1]发票导入!C1783&amp;""</f>
      </c>
      <c r="D1783">
        <f>[1]发票导入!D1783&amp;""</f>
      </c>
      <c r="O1783">
        <f>[1]发票导入!O1783&amp;""</f>
      </c>
      <c r="T1783">
        <f>[1]发票导入!T1783</f>
      </c>
      <c r="U1783">
        <f>[1]发票导入!U1783&amp;""</f>
      </c>
      <c r="V1783">
        <f>[1]发票导入!V1783&amp;""</f>
      </c>
      <c r="W1783">
        <f>[1]发票导入!W1783&amp;""</f>
      </c>
      <c r="Y1783">
        <f>[1]发票导入!Y1783&amp;""</f>
      </c>
      <c r="AA1783">
        <f>[1]发票导入!AA1783&amp;""</f>
      </c>
      <c r="AB1783">
        <f>[1]发票导入!AB1783</f>
        <v>0</v>
      </c>
      <c r="AC1783">
        <f>[1]发票导入!AC1783</f>
        <v>0</v>
      </c>
      <c r="AE1783" s="22">
        <f t="shared" si="0"/>
      </c>
      <c r="AI1783">
        <f>[1]发票导入!AI1783&amp;""</f>
      </c>
      <c r="AJ1783">
        <f>[1]发票导入!AJ1783&amp;""</f>
      </c>
      <c r="AK1783">
        <f>[1]发票导入!AK1783</f>
        <v>0</v>
      </c>
      <c r="AL1783">
        <f>[1]发票导入!AL1783</f>
        <v>0</v>
      </c>
      <c r="AM1783">
        <f>[1]发票导入!AM1783</f>
        <v>0</v>
      </c>
      <c r="AN1783" s="22">
        <f t="shared" si="1"/>
        <v>0</v>
      </c>
      <c r="AO1783" s="22">
        <f t="shared" si="2"/>
        <v>0</v>
      </c>
    </row>
    <row r="1784">
      <c r="C1784">
        <f>[1]发票导入!C1784&amp;""</f>
      </c>
      <c r="D1784">
        <f>[1]发票导入!D1784&amp;""</f>
      </c>
      <c r="O1784">
        <f>[1]发票导入!O1784&amp;""</f>
      </c>
      <c r="T1784">
        <f>[1]发票导入!T1784</f>
      </c>
      <c r="U1784">
        <f>[1]发票导入!U1784&amp;""</f>
      </c>
      <c r="V1784">
        <f>[1]发票导入!V1784&amp;""</f>
      </c>
      <c r="W1784">
        <f>[1]发票导入!W1784&amp;""</f>
      </c>
      <c r="Y1784">
        <f>[1]发票导入!Y1784&amp;""</f>
      </c>
      <c r="AA1784">
        <f>[1]发票导入!AA1784&amp;""</f>
      </c>
      <c r="AB1784">
        <f>[1]发票导入!AB1784</f>
        <v>0</v>
      </c>
      <c r="AC1784">
        <f>[1]发票导入!AC1784</f>
        <v>0</v>
      </c>
      <c r="AE1784" s="22">
        <f t="shared" si="0"/>
      </c>
      <c r="AI1784">
        <f>[1]发票导入!AI1784&amp;""</f>
      </c>
      <c r="AJ1784">
        <f>[1]发票导入!AJ1784&amp;""</f>
      </c>
      <c r="AK1784">
        <f>[1]发票导入!AK1784</f>
        <v>0</v>
      </c>
      <c r="AL1784">
        <f>[1]发票导入!AL1784</f>
        <v>0</v>
      </c>
      <c r="AM1784">
        <f>[1]发票导入!AM1784</f>
        <v>0</v>
      </c>
      <c r="AN1784" s="22">
        <f t="shared" si="1"/>
        <v>0</v>
      </c>
      <c r="AO1784" s="22">
        <f t="shared" si="2"/>
        <v>0</v>
      </c>
    </row>
    <row r="1785">
      <c r="C1785">
        <f>[1]发票导入!C1785&amp;""</f>
      </c>
      <c r="D1785">
        <f>[1]发票导入!D1785&amp;""</f>
      </c>
      <c r="O1785">
        <f>[1]发票导入!O1785&amp;""</f>
      </c>
      <c r="T1785">
        <f>[1]发票导入!T1785</f>
      </c>
      <c r="U1785">
        <f>[1]发票导入!U1785&amp;""</f>
      </c>
      <c r="V1785">
        <f>[1]发票导入!V1785&amp;""</f>
      </c>
      <c r="W1785">
        <f>[1]发票导入!W1785&amp;""</f>
      </c>
      <c r="Y1785">
        <f>[1]发票导入!Y1785&amp;""</f>
      </c>
      <c r="AA1785">
        <f>[1]发票导入!AA1785&amp;""</f>
      </c>
      <c r="AB1785">
        <f>[1]发票导入!AB1785</f>
        <v>0</v>
      </c>
      <c r="AC1785">
        <f>[1]发票导入!AC1785</f>
        <v>0</v>
      </c>
      <c r="AE1785" s="22">
        <f t="shared" si="0"/>
      </c>
      <c r="AI1785">
        <f>[1]发票导入!AI1785&amp;""</f>
      </c>
      <c r="AJ1785">
        <f>[1]发票导入!AJ1785&amp;""</f>
      </c>
      <c r="AK1785">
        <f>[1]发票导入!AK1785</f>
        <v>0</v>
      </c>
      <c r="AL1785">
        <f>[1]发票导入!AL1785</f>
        <v>0</v>
      </c>
      <c r="AM1785">
        <f>[1]发票导入!AM1785</f>
        <v>0</v>
      </c>
      <c r="AN1785" s="22">
        <f t="shared" si="1"/>
        <v>0</v>
      </c>
      <c r="AO1785" s="22">
        <f t="shared" si="2"/>
        <v>0</v>
      </c>
    </row>
    <row r="1786">
      <c r="C1786">
        <f>[1]发票导入!C1786&amp;""</f>
      </c>
      <c r="D1786">
        <f>[1]发票导入!D1786&amp;""</f>
      </c>
      <c r="O1786">
        <f>[1]发票导入!O1786&amp;""</f>
      </c>
      <c r="T1786">
        <f>[1]发票导入!T1786</f>
      </c>
      <c r="U1786">
        <f>[1]发票导入!U1786&amp;""</f>
      </c>
      <c r="V1786">
        <f>[1]发票导入!V1786&amp;""</f>
      </c>
      <c r="W1786">
        <f>[1]发票导入!W1786&amp;""</f>
      </c>
      <c r="Y1786">
        <f>[1]发票导入!Y1786&amp;""</f>
      </c>
      <c r="AA1786">
        <f>[1]发票导入!AA1786&amp;""</f>
      </c>
      <c r="AB1786">
        <f>[1]发票导入!AB1786</f>
        <v>0</v>
      </c>
      <c r="AC1786">
        <f>[1]发票导入!AC1786</f>
        <v>0</v>
      </c>
      <c r="AE1786" s="22">
        <f t="shared" si="0"/>
      </c>
      <c r="AI1786">
        <f>[1]发票导入!AI1786&amp;""</f>
      </c>
      <c r="AJ1786">
        <f>[1]发票导入!AJ1786&amp;""</f>
      </c>
      <c r="AK1786">
        <f>[1]发票导入!AK1786</f>
        <v>0</v>
      </c>
      <c r="AL1786">
        <f>[1]发票导入!AL1786</f>
        <v>0</v>
      </c>
      <c r="AM1786">
        <f>[1]发票导入!AM1786</f>
        <v>0</v>
      </c>
      <c r="AN1786" s="22">
        <f t="shared" si="1"/>
        <v>0</v>
      </c>
      <c r="AO1786" s="22">
        <f t="shared" si="2"/>
        <v>0</v>
      </c>
    </row>
    <row r="1787">
      <c r="C1787">
        <f>[1]发票导入!C1787&amp;""</f>
      </c>
      <c r="D1787">
        <f>[1]发票导入!D1787&amp;""</f>
      </c>
      <c r="O1787">
        <f>[1]发票导入!O1787&amp;""</f>
      </c>
      <c r="T1787">
        <f>[1]发票导入!T1787</f>
      </c>
      <c r="U1787">
        <f>[1]发票导入!U1787&amp;""</f>
      </c>
      <c r="V1787">
        <f>[1]发票导入!V1787&amp;""</f>
      </c>
      <c r="W1787">
        <f>[1]发票导入!W1787&amp;""</f>
      </c>
      <c r="Y1787">
        <f>[1]发票导入!Y1787&amp;""</f>
      </c>
      <c r="AA1787">
        <f>[1]发票导入!AA1787&amp;""</f>
      </c>
      <c r="AB1787">
        <f>[1]发票导入!AB1787</f>
        <v>0</v>
      </c>
      <c r="AC1787">
        <f>[1]发票导入!AC1787</f>
        <v>0</v>
      </c>
      <c r="AE1787" s="22">
        <f t="shared" si="0"/>
      </c>
      <c r="AI1787">
        <f>[1]发票导入!AI1787&amp;""</f>
      </c>
      <c r="AJ1787">
        <f>[1]发票导入!AJ1787&amp;""</f>
      </c>
      <c r="AK1787">
        <f>[1]发票导入!AK1787</f>
        <v>0</v>
      </c>
      <c r="AL1787">
        <f>[1]发票导入!AL1787</f>
        <v>0</v>
      </c>
      <c r="AM1787">
        <f>[1]发票导入!AM1787</f>
        <v>0</v>
      </c>
      <c r="AN1787" s="22">
        <f t="shared" si="1"/>
        <v>0</v>
      </c>
      <c r="AO1787" s="22">
        <f t="shared" si="2"/>
        <v>0</v>
      </c>
    </row>
    <row r="1788">
      <c r="C1788">
        <f>[1]发票导入!C1788&amp;""</f>
      </c>
      <c r="D1788">
        <f>[1]发票导入!D1788&amp;""</f>
      </c>
      <c r="O1788">
        <f>[1]发票导入!O1788&amp;""</f>
      </c>
      <c r="T1788">
        <f>[1]发票导入!T1788</f>
      </c>
      <c r="U1788">
        <f>[1]发票导入!U1788&amp;""</f>
      </c>
      <c r="V1788">
        <f>[1]发票导入!V1788&amp;""</f>
      </c>
      <c r="W1788">
        <f>[1]发票导入!W1788&amp;""</f>
      </c>
      <c r="Y1788">
        <f>[1]发票导入!Y1788&amp;""</f>
      </c>
      <c r="AA1788">
        <f>[1]发票导入!AA1788&amp;""</f>
      </c>
      <c r="AB1788">
        <f>[1]发票导入!AB1788</f>
        <v>0</v>
      </c>
      <c r="AC1788">
        <f>[1]发票导入!AC1788</f>
        <v>0</v>
      </c>
      <c r="AE1788" s="22">
        <f t="shared" si="0"/>
      </c>
      <c r="AI1788">
        <f>[1]发票导入!AI1788&amp;""</f>
      </c>
      <c r="AJ1788">
        <f>[1]发票导入!AJ1788&amp;""</f>
      </c>
      <c r="AK1788">
        <f>[1]发票导入!AK1788</f>
        <v>0</v>
      </c>
      <c r="AL1788">
        <f>[1]发票导入!AL1788</f>
        <v>0</v>
      </c>
      <c r="AM1788">
        <f>[1]发票导入!AM1788</f>
        <v>0</v>
      </c>
      <c r="AN1788" s="22">
        <f t="shared" si="1"/>
        <v>0</v>
      </c>
      <c r="AO1788" s="22">
        <f t="shared" si="2"/>
        <v>0</v>
      </c>
    </row>
    <row r="1789">
      <c r="C1789">
        <f>[1]发票导入!C1789&amp;""</f>
      </c>
      <c r="D1789">
        <f>[1]发票导入!D1789&amp;""</f>
      </c>
      <c r="O1789">
        <f>[1]发票导入!O1789&amp;""</f>
      </c>
      <c r="T1789">
        <f>[1]发票导入!T1789</f>
      </c>
      <c r="U1789">
        <f>[1]发票导入!U1789&amp;""</f>
      </c>
      <c r="V1789">
        <f>[1]发票导入!V1789&amp;""</f>
      </c>
      <c r="W1789">
        <f>[1]发票导入!W1789&amp;""</f>
      </c>
      <c r="Y1789">
        <f>[1]发票导入!Y1789&amp;""</f>
      </c>
      <c r="AA1789">
        <f>[1]发票导入!AA1789&amp;""</f>
      </c>
      <c r="AB1789">
        <f>[1]发票导入!AB1789</f>
        <v>0</v>
      </c>
      <c r="AC1789">
        <f>[1]发票导入!AC1789</f>
        <v>0</v>
      </c>
      <c r="AE1789" s="22">
        <f t="shared" si="0"/>
      </c>
      <c r="AI1789">
        <f>[1]发票导入!AI1789&amp;""</f>
      </c>
      <c r="AJ1789">
        <f>[1]发票导入!AJ1789&amp;""</f>
      </c>
      <c r="AK1789">
        <f>[1]发票导入!AK1789</f>
        <v>0</v>
      </c>
      <c r="AL1789">
        <f>[1]发票导入!AL1789</f>
        <v>0</v>
      </c>
      <c r="AM1789">
        <f>[1]发票导入!AM1789</f>
        <v>0</v>
      </c>
      <c r="AN1789" s="22">
        <f t="shared" si="1"/>
        <v>0</v>
      </c>
      <c r="AO1789" s="22">
        <f t="shared" si="2"/>
        <v>0</v>
      </c>
    </row>
    <row r="1790">
      <c r="C1790">
        <f>[1]发票导入!C1790&amp;""</f>
      </c>
      <c r="D1790">
        <f>[1]发票导入!D1790&amp;""</f>
      </c>
      <c r="O1790">
        <f>[1]发票导入!O1790&amp;""</f>
      </c>
      <c r="T1790">
        <f>[1]发票导入!T1790</f>
      </c>
      <c r="U1790">
        <f>[1]发票导入!U1790&amp;""</f>
      </c>
      <c r="V1790">
        <f>[1]发票导入!V1790&amp;""</f>
      </c>
      <c r="W1790">
        <f>[1]发票导入!W1790&amp;""</f>
      </c>
      <c r="Y1790">
        <f>[1]发票导入!Y1790&amp;""</f>
      </c>
      <c r="AA1790">
        <f>[1]发票导入!AA1790&amp;""</f>
      </c>
      <c r="AB1790">
        <f>[1]发票导入!AB1790</f>
        <v>0</v>
      </c>
      <c r="AC1790">
        <f>[1]发票导入!AC1790</f>
        <v>0</v>
      </c>
      <c r="AE1790" s="22">
        <f t="shared" si="0"/>
      </c>
      <c r="AI1790">
        <f>[1]发票导入!AI1790&amp;""</f>
      </c>
      <c r="AJ1790">
        <f>[1]发票导入!AJ1790&amp;""</f>
      </c>
      <c r="AK1790">
        <f>[1]发票导入!AK1790</f>
        <v>0</v>
      </c>
      <c r="AL1790">
        <f>[1]发票导入!AL1790</f>
        <v>0</v>
      </c>
      <c r="AM1790">
        <f>[1]发票导入!AM1790</f>
        <v>0</v>
      </c>
      <c r="AN1790" s="22">
        <f t="shared" si="1"/>
        <v>0</v>
      </c>
      <c r="AO1790" s="22">
        <f t="shared" si="2"/>
        <v>0</v>
      </c>
    </row>
    <row r="1791">
      <c r="C1791">
        <f>[1]发票导入!C1791&amp;""</f>
      </c>
      <c r="D1791">
        <f>[1]发票导入!D1791&amp;""</f>
      </c>
      <c r="O1791">
        <f>[1]发票导入!O1791&amp;""</f>
      </c>
      <c r="T1791">
        <f>[1]发票导入!T1791</f>
      </c>
      <c r="U1791">
        <f>[1]发票导入!U1791&amp;""</f>
      </c>
      <c r="V1791">
        <f>[1]发票导入!V1791&amp;""</f>
      </c>
      <c r="W1791">
        <f>[1]发票导入!W1791&amp;""</f>
      </c>
      <c r="Y1791">
        <f>[1]发票导入!Y1791&amp;""</f>
      </c>
      <c r="AA1791">
        <f>[1]发票导入!AA1791&amp;""</f>
      </c>
      <c r="AB1791">
        <f>[1]发票导入!AB1791</f>
        <v>0</v>
      </c>
      <c r="AC1791">
        <f>[1]发票导入!AC1791</f>
        <v>0</v>
      </c>
      <c r="AE1791" s="22">
        <f t="shared" si="0"/>
      </c>
      <c r="AI1791">
        <f>[1]发票导入!AI1791&amp;""</f>
      </c>
      <c r="AJ1791">
        <f>[1]发票导入!AJ1791&amp;""</f>
      </c>
      <c r="AK1791">
        <f>[1]发票导入!AK1791</f>
        <v>0</v>
      </c>
      <c r="AL1791">
        <f>[1]发票导入!AL1791</f>
        <v>0</v>
      </c>
      <c r="AM1791">
        <f>[1]发票导入!AM1791</f>
        <v>0</v>
      </c>
      <c r="AN1791" s="22">
        <f t="shared" si="1"/>
        <v>0</v>
      </c>
      <c r="AO1791" s="22">
        <f t="shared" si="2"/>
        <v>0</v>
      </c>
    </row>
    <row r="1792">
      <c r="C1792">
        <f>[1]发票导入!C1792&amp;""</f>
      </c>
      <c r="D1792">
        <f>[1]发票导入!D1792&amp;""</f>
      </c>
      <c r="O1792">
        <f>[1]发票导入!O1792&amp;""</f>
      </c>
      <c r="T1792">
        <f>[1]发票导入!T1792</f>
      </c>
      <c r="U1792">
        <f>[1]发票导入!U1792&amp;""</f>
      </c>
      <c r="V1792">
        <f>[1]发票导入!V1792&amp;""</f>
      </c>
      <c r="W1792">
        <f>[1]发票导入!W1792&amp;""</f>
      </c>
      <c r="Y1792">
        <f>[1]发票导入!Y1792&amp;""</f>
      </c>
      <c r="AA1792">
        <f>[1]发票导入!AA1792&amp;""</f>
      </c>
      <c r="AB1792">
        <f>[1]发票导入!AB1792</f>
        <v>0</v>
      </c>
      <c r="AC1792">
        <f>[1]发票导入!AC1792</f>
        <v>0</v>
      </c>
      <c r="AE1792" s="22">
        <f t="shared" si="0"/>
      </c>
      <c r="AI1792">
        <f>[1]发票导入!AI1792&amp;""</f>
      </c>
      <c r="AJ1792">
        <f>[1]发票导入!AJ1792&amp;""</f>
      </c>
      <c r="AK1792">
        <f>[1]发票导入!AK1792</f>
        <v>0</v>
      </c>
      <c r="AL1792">
        <f>[1]发票导入!AL1792</f>
        <v>0</v>
      </c>
      <c r="AM1792">
        <f>[1]发票导入!AM1792</f>
        <v>0</v>
      </c>
      <c r="AN1792" s="22">
        <f t="shared" si="1"/>
        <v>0</v>
      </c>
      <c r="AO1792" s="22">
        <f t="shared" si="2"/>
        <v>0</v>
      </c>
    </row>
    <row r="1793">
      <c r="C1793">
        <f>[1]发票导入!C1793&amp;""</f>
      </c>
      <c r="D1793">
        <f>[1]发票导入!D1793&amp;""</f>
      </c>
      <c r="O1793">
        <f>[1]发票导入!O1793&amp;""</f>
      </c>
      <c r="T1793">
        <f>[1]发票导入!T1793</f>
      </c>
      <c r="U1793">
        <f>[1]发票导入!U1793&amp;""</f>
      </c>
      <c r="V1793">
        <f>[1]发票导入!V1793&amp;""</f>
      </c>
      <c r="W1793">
        <f>[1]发票导入!W1793&amp;""</f>
      </c>
      <c r="Y1793">
        <f>[1]发票导入!Y1793&amp;""</f>
      </c>
      <c r="AA1793">
        <f>[1]发票导入!AA1793&amp;""</f>
      </c>
      <c r="AB1793">
        <f>[1]发票导入!AB1793</f>
        <v>0</v>
      </c>
      <c r="AC1793">
        <f>[1]发票导入!AC1793</f>
        <v>0</v>
      </c>
      <c r="AE1793" s="22">
        <f t="shared" si="0"/>
      </c>
      <c r="AI1793">
        <f>[1]发票导入!AI1793&amp;""</f>
      </c>
      <c r="AJ1793">
        <f>[1]发票导入!AJ1793&amp;""</f>
      </c>
      <c r="AK1793">
        <f>[1]发票导入!AK1793</f>
        <v>0</v>
      </c>
      <c r="AL1793">
        <f>[1]发票导入!AL1793</f>
        <v>0</v>
      </c>
      <c r="AM1793">
        <f>[1]发票导入!AM1793</f>
        <v>0</v>
      </c>
      <c r="AN1793" s="22">
        <f t="shared" si="1"/>
        <v>0</v>
      </c>
      <c r="AO1793" s="22">
        <f t="shared" si="2"/>
        <v>0</v>
      </c>
    </row>
    <row r="1794">
      <c r="C1794">
        <f>[1]发票导入!C1794&amp;""</f>
      </c>
      <c r="D1794">
        <f>[1]发票导入!D1794&amp;""</f>
      </c>
      <c r="O1794">
        <f>[1]发票导入!O1794&amp;""</f>
      </c>
      <c r="T1794">
        <f>[1]发票导入!T1794</f>
      </c>
      <c r="U1794">
        <f>[1]发票导入!U1794&amp;""</f>
      </c>
      <c r="V1794">
        <f>[1]发票导入!V1794&amp;""</f>
      </c>
      <c r="W1794">
        <f>[1]发票导入!W1794&amp;""</f>
      </c>
      <c r="Y1794">
        <f>[1]发票导入!Y1794&amp;""</f>
      </c>
      <c r="AA1794">
        <f>[1]发票导入!AA1794&amp;""</f>
      </c>
      <c r="AB1794">
        <f>[1]发票导入!AB1794</f>
        <v>0</v>
      </c>
      <c r="AC1794">
        <f>[1]发票导入!AC1794</f>
        <v>0</v>
      </c>
      <c r="AE1794" s="22">
        <f t="shared" si="0"/>
      </c>
      <c r="AI1794">
        <f>[1]发票导入!AI1794&amp;""</f>
      </c>
      <c r="AJ1794">
        <f>[1]发票导入!AJ1794&amp;""</f>
      </c>
      <c r="AK1794">
        <f>[1]发票导入!AK1794</f>
        <v>0</v>
      </c>
      <c r="AL1794">
        <f>[1]发票导入!AL1794</f>
        <v>0</v>
      </c>
      <c r="AM1794">
        <f>[1]发票导入!AM1794</f>
        <v>0</v>
      </c>
      <c r="AN1794" s="22">
        <f t="shared" si="1"/>
        <v>0</v>
      </c>
      <c r="AO1794" s="22">
        <f t="shared" si="2"/>
        <v>0</v>
      </c>
    </row>
    <row r="1795">
      <c r="C1795">
        <f>[1]发票导入!C1795&amp;""</f>
      </c>
      <c r="D1795">
        <f>[1]发票导入!D1795&amp;""</f>
      </c>
      <c r="O1795">
        <f>[1]发票导入!O1795&amp;""</f>
      </c>
      <c r="T1795">
        <f>[1]发票导入!T1795</f>
      </c>
      <c r="U1795">
        <f>[1]发票导入!U1795&amp;""</f>
      </c>
      <c r="V1795">
        <f>[1]发票导入!V1795&amp;""</f>
      </c>
      <c r="W1795">
        <f>[1]发票导入!W1795&amp;""</f>
      </c>
      <c r="Y1795">
        <f>[1]发票导入!Y1795&amp;""</f>
      </c>
      <c r="AA1795">
        <f>[1]发票导入!AA1795&amp;""</f>
      </c>
      <c r="AB1795">
        <f>[1]发票导入!AB1795</f>
        <v>0</v>
      </c>
      <c r="AC1795">
        <f>[1]发票导入!AC1795</f>
        <v>0</v>
      </c>
      <c r="AE1795" s="22">
        <f t="shared" si="0"/>
      </c>
      <c r="AI1795">
        <f>[1]发票导入!AI1795&amp;""</f>
      </c>
      <c r="AJ1795">
        <f>[1]发票导入!AJ1795&amp;""</f>
      </c>
      <c r="AK1795">
        <f>[1]发票导入!AK1795</f>
        <v>0</v>
      </c>
      <c r="AL1795">
        <f>[1]发票导入!AL1795</f>
        <v>0</v>
      </c>
      <c r="AM1795">
        <f>[1]发票导入!AM1795</f>
        <v>0</v>
      </c>
      <c r="AN1795" s="22">
        <f t="shared" si="1"/>
        <v>0</v>
      </c>
      <c r="AO1795" s="22">
        <f t="shared" si="2"/>
        <v>0</v>
      </c>
    </row>
    <row r="1796">
      <c r="C1796">
        <f>[1]发票导入!C1796&amp;""</f>
      </c>
      <c r="D1796">
        <f>[1]发票导入!D1796&amp;""</f>
      </c>
      <c r="O1796">
        <f>[1]发票导入!O1796&amp;""</f>
      </c>
      <c r="T1796">
        <f>[1]发票导入!T1796</f>
      </c>
      <c r="U1796">
        <f>[1]发票导入!U1796&amp;""</f>
      </c>
      <c r="V1796">
        <f>[1]发票导入!V1796&amp;""</f>
      </c>
      <c r="W1796">
        <f>[1]发票导入!W1796&amp;""</f>
      </c>
      <c r="Y1796">
        <f>[1]发票导入!Y1796&amp;""</f>
      </c>
      <c r="AA1796">
        <f>[1]发票导入!AA1796&amp;""</f>
      </c>
      <c r="AB1796">
        <f>[1]发票导入!AB1796</f>
        <v>0</v>
      </c>
      <c r="AC1796">
        <f>[1]发票导入!AC1796</f>
        <v>0</v>
      </c>
      <c r="AE1796" s="22">
        <f t="shared" si="0"/>
      </c>
      <c r="AI1796">
        <f>[1]发票导入!AI1796&amp;""</f>
      </c>
      <c r="AJ1796">
        <f>[1]发票导入!AJ1796&amp;""</f>
      </c>
      <c r="AK1796">
        <f>[1]发票导入!AK1796</f>
        <v>0</v>
      </c>
      <c r="AL1796">
        <f>[1]发票导入!AL1796</f>
        <v>0</v>
      </c>
      <c r="AM1796">
        <f>[1]发票导入!AM1796</f>
        <v>0</v>
      </c>
      <c r="AN1796" s="22">
        <f t="shared" si="1"/>
        <v>0</v>
      </c>
      <c r="AO1796" s="22">
        <f t="shared" si="2"/>
        <v>0</v>
      </c>
    </row>
    <row r="1797">
      <c r="C1797">
        <f>[1]发票导入!C1797&amp;""</f>
      </c>
      <c r="D1797">
        <f>[1]发票导入!D1797&amp;""</f>
      </c>
      <c r="O1797">
        <f>[1]发票导入!O1797&amp;""</f>
      </c>
      <c r="T1797">
        <f>[1]发票导入!T1797</f>
      </c>
      <c r="U1797">
        <f>[1]发票导入!U1797&amp;""</f>
      </c>
      <c r="V1797">
        <f>[1]发票导入!V1797&amp;""</f>
      </c>
      <c r="W1797">
        <f>[1]发票导入!W1797&amp;""</f>
      </c>
      <c r="Y1797">
        <f>[1]发票导入!Y1797&amp;""</f>
      </c>
      <c r="AA1797">
        <f>[1]发票导入!AA1797&amp;""</f>
      </c>
      <c r="AB1797">
        <f>[1]发票导入!AB1797</f>
        <v>0</v>
      </c>
      <c r="AC1797">
        <f>[1]发票导入!AC1797</f>
        <v>0</v>
      </c>
      <c r="AE1797" s="22">
        <f t="shared" si="0"/>
      </c>
      <c r="AI1797">
        <f>[1]发票导入!AI1797&amp;""</f>
      </c>
      <c r="AJ1797">
        <f>[1]发票导入!AJ1797&amp;""</f>
      </c>
      <c r="AK1797">
        <f>[1]发票导入!AK1797</f>
        <v>0</v>
      </c>
      <c r="AL1797">
        <f>[1]发票导入!AL1797</f>
        <v>0</v>
      </c>
      <c r="AM1797">
        <f>[1]发票导入!AM1797</f>
        <v>0</v>
      </c>
      <c r="AN1797" s="22">
        <f t="shared" si="1"/>
        <v>0</v>
      </c>
      <c r="AO1797" s="22">
        <f t="shared" si="2"/>
        <v>0</v>
      </c>
    </row>
    <row r="1798">
      <c r="C1798">
        <f>[1]发票导入!C1798&amp;""</f>
      </c>
      <c r="D1798">
        <f>[1]发票导入!D1798&amp;""</f>
      </c>
      <c r="O1798">
        <f>[1]发票导入!O1798&amp;""</f>
      </c>
      <c r="T1798">
        <f>[1]发票导入!T1798</f>
      </c>
      <c r="U1798">
        <f>[1]发票导入!U1798&amp;""</f>
      </c>
      <c r="V1798">
        <f>[1]发票导入!V1798&amp;""</f>
      </c>
      <c r="W1798">
        <f>[1]发票导入!W1798&amp;""</f>
      </c>
      <c r="Y1798">
        <f>[1]发票导入!Y1798&amp;""</f>
      </c>
      <c r="AA1798">
        <f>[1]发票导入!AA1798&amp;""</f>
      </c>
      <c r="AB1798">
        <f>[1]发票导入!AB1798</f>
        <v>0</v>
      </c>
      <c r="AC1798">
        <f>[1]发票导入!AC1798</f>
        <v>0</v>
      </c>
      <c r="AE1798" s="22">
        <f t="shared" si="0"/>
      </c>
      <c r="AI1798">
        <f>[1]发票导入!AI1798&amp;""</f>
      </c>
      <c r="AJ1798">
        <f>[1]发票导入!AJ1798&amp;""</f>
      </c>
      <c r="AK1798">
        <f>[1]发票导入!AK1798</f>
        <v>0</v>
      </c>
      <c r="AL1798">
        <f>[1]发票导入!AL1798</f>
        <v>0</v>
      </c>
      <c r="AM1798">
        <f>[1]发票导入!AM1798</f>
        <v>0</v>
      </c>
      <c r="AN1798" s="22">
        <f t="shared" si="1"/>
        <v>0</v>
      </c>
      <c r="AO1798" s="22">
        <f t="shared" si="2"/>
        <v>0</v>
      </c>
    </row>
    <row r="1799">
      <c r="C1799">
        <f>[1]发票导入!C1799&amp;""</f>
      </c>
      <c r="D1799">
        <f>[1]发票导入!D1799&amp;""</f>
      </c>
      <c r="O1799">
        <f>[1]发票导入!O1799&amp;""</f>
      </c>
      <c r="T1799">
        <f>[1]发票导入!T1799</f>
      </c>
      <c r="U1799">
        <f>[1]发票导入!U1799&amp;""</f>
      </c>
      <c r="V1799">
        <f>[1]发票导入!V1799&amp;""</f>
      </c>
      <c r="W1799">
        <f>[1]发票导入!W1799&amp;""</f>
      </c>
      <c r="Y1799">
        <f>[1]发票导入!Y1799&amp;""</f>
      </c>
      <c r="AA1799">
        <f>[1]发票导入!AA1799&amp;""</f>
      </c>
      <c r="AB1799">
        <f>[1]发票导入!AB1799</f>
        <v>0</v>
      </c>
      <c r="AC1799">
        <f>[1]发票导入!AC1799</f>
        <v>0</v>
      </c>
      <c r="AE1799" s="22">
        <f t="shared" si="0"/>
      </c>
      <c r="AI1799">
        <f>[1]发票导入!AI1799&amp;""</f>
      </c>
      <c r="AJ1799">
        <f>[1]发票导入!AJ1799&amp;""</f>
      </c>
      <c r="AK1799">
        <f>[1]发票导入!AK1799</f>
        <v>0</v>
      </c>
      <c r="AL1799">
        <f>[1]发票导入!AL1799</f>
        <v>0</v>
      </c>
      <c r="AM1799">
        <f>[1]发票导入!AM1799</f>
        <v>0</v>
      </c>
      <c r="AN1799" s="22">
        <f t="shared" si="1"/>
        <v>0</v>
      </c>
      <c r="AO1799" s="22">
        <f t="shared" si="2"/>
        <v>0</v>
      </c>
    </row>
    <row r="1800">
      <c r="C1800">
        <f>[1]发票导入!C1800&amp;""</f>
      </c>
      <c r="D1800">
        <f>[1]发票导入!D1800&amp;""</f>
      </c>
      <c r="O1800">
        <f>[1]发票导入!O1800&amp;""</f>
      </c>
      <c r="T1800">
        <f>[1]发票导入!T1800</f>
      </c>
      <c r="U1800">
        <f>[1]发票导入!U1800&amp;""</f>
      </c>
      <c r="V1800">
        <f>[1]发票导入!V1800&amp;""</f>
      </c>
      <c r="W1800">
        <f>[1]发票导入!W1800&amp;""</f>
      </c>
      <c r="Y1800">
        <f>[1]发票导入!Y1800&amp;""</f>
      </c>
      <c r="AA1800">
        <f>[1]发票导入!AA1800&amp;""</f>
      </c>
      <c r="AB1800">
        <f>[1]发票导入!AB1800</f>
        <v>0</v>
      </c>
      <c r="AC1800">
        <f>[1]发票导入!AC1800</f>
        <v>0</v>
      </c>
      <c r="AE1800" s="22">
        <f t="shared" si="0"/>
      </c>
      <c r="AI1800">
        <f>[1]发票导入!AI1800&amp;""</f>
      </c>
      <c r="AJ1800">
        <f>[1]发票导入!AJ1800&amp;""</f>
      </c>
      <c r="AK1800">
        <f>[1]发票导入!AK1800</f>
        <v>0</v>
      </c>
      <c r="AL1800">
        <f>[1]发票导入!AL1800</f>
        <v>0</v>
      </c>
      <c r="AM1800">
        <f>[1]发票导入!AM1800</f>
        <v>0</v>
      </c>
      <c r="AN1800" s="22">
        <f t="shared" si="1"/>
        <v>0</v>
      </c>
      <c r="AO1800" s="22">
        <f t="shared" si="2"/>
        <v>0</v>
      </c>
    </row>
    <row r="1801">
      <c r="C1801">
        <f>[1]发票导入!C1801&amp;""</f>
      </c>
      <c r="D1801">
        <f>[1]发票导入!D1801&amp;""</f>
      </c>
      <c r="O1801">
        <f>[1]发票导入!O1801&amp;""</f>
      </c>
      <c r="T1801">
        <f>[1]发票导入!T1801</f>
      </c>
      <c r="U1801">
        <f>[1]发票导入!U1801&amp;""</f>
      </c>
      <c r="V1801">
        <f>[1]发票导入!V1801&amp;""</f>
      </c>
      <c r="W1801">
        <f>[1]发票导入!W1801&amp;""</f>
      </c>
      <c r="Y1801">
        <f>[1]发票导入!Y1801&amp;""</f>
      </c>
      <c r="AA1801">
        <f>[1]发票导入!AA1801&amp;""</f>
      </c>
      <c r="AB1801">
        <f>[1]发票导入!AB1801</f>
        <v>0</v>
      </c>
      <c r="AC1801">
        <f>[1]发票导入!AC1801</f>
        <v>0</v>
      </c>
      <c r="AE1801" s="22">
        <f t="shared" si="0"/>
      </c>
      <c r="AI1801">
        <f>[1]发票导入!AI1801&amp;""</f>
      </c>
      <c r="AJ1801">
        <f>[1]发票导入!AJ1801&amp;""</f>
      </c>
      <c r="AK1801">
        <f>[1]发票导入!AK1801</f>
        <v>0</v>
      </c>
      <c r="AL1801">
        <f>[1]发票导入!AL1801</f>
        <v>0</v>
      </c>
      <c r="AM1801">
        <f>[1]发票导入!AM1801</f>
        <v>0</v>
      </c>
      <c r="AN1801" s="22">
        <f t="shared" si="1"/>
        <v>0</v>
      </c>
      <c r="AO1801" s="22">
        <f t="shared" si="2"/>
        <v>0</v>
      </c>
    </row>
    <row r="1802">
      <c r="C1802">
        <f>[1]发票导入!C1802&amp;""</f>
      </c>
      <c r="D1802">
        <f>[1]发票导入!D1802&amp;""</f>
      </c>
      <c r="O1802">
        <f>[1]发票导入!O1802&amp;""</f>
      </c>
      <c r="T1802">
        <f>[1]发票导入!T1802</f>
      </c>
      <c r="U1802">
        <f>[1]发票导入!U1802&amp;""</f>
      </c>
      <c r="V1802">
        <f>[1]发票导入!V1802&amp;""</f>
      </c>
      <c r="W1802">
        <f>[1]发票导入!W1802&amp;""</f>
      </c>
      <c r="Y1802">
        <f>[1]发票导入!Y1802&amp;""</f>
      </c>
      <c r="AA1802">
        <f>[1]发票导入!AA1802&amp;""</f>
      </c>
      <c r="AB1802">
        <f>[1]发票导入!AB1802</f>
        <v>0</v>
      </c>
      <c r="AC1802">
        <f>[1]发票导入!AC1802</f>
        <v>0</v>
      </c>
      <c r="AE1802" s="22">
        <f t="shared" si="0"/>
      </c>
      <c r="AI1802">
        <f>[1]发票导入!AI1802&amp;""</f>
      </c>
      <c r="AJ1802">
        <f>[1]发票导入!AJ1802&amp;""</f>
      </c>
      <c r="AK1802">
        <f>[1]发票导入!AK1802</f>
        <v>0</v>
      </c>
      <c r="AL1802">
        <f>[1]发票导入!AL1802</f>
        <v>0</v>
      </c>
      <c r="AM1802">
        <f>[1]发票导入!AM1802</f>
        <v>0</v>
      </c>
      <c r="AN1802" s="22">
        <f t="shared" si="1"/>
        <v>0</v>
      </c>
      <c r="AO1802" s="22">
        <f t="shared" si="2"/>
        <v>0</v>
      </c>
    </row>
    <row r="1803">
      <c r="C1803">
        <f>[1]发票导入!C1803&amp;""</f>
      </c>
      <c r="D1803">
        <f>[1]发票导入!D1803&amp;""</f>
      </c>
      <c r="O1803">
        <f>[1]发票导入!O1803&amp;""</f>
      </c>
      <c r="T1803">
        <f>[1]发票导入!T1803</f>
      </c>
      <c r="U1803">
        <f>[1]发票导入!U1803&amp;""</f>
      </c>
      <c r="V1803">
        <f>[1]发票导入!V1803&amp;""</f>
      </c>
      <c r="W1803">
        <f>[1]发票导入!W1803&amp;""</f>
      </c>
      <c r="Y1803">
        <f>[1]发票导入!Y1803&amp;""</f>
      </c>
      <c r="AA1803">
        <f>[1]发票导入!AA1803&amp;""</f>
      </c>
      <c r="AB1803">
        <f>[1]发票导入!AB1803</f>
        <v>0</v>
      </c>
      <c r="AC1803">
        <f>[1]发票导入!AC1803</f>
        <v>0</v>
      </c>
      <c r="AE1803" s="22">
        <f t="shared" si="0"/>
      </c>
      <c r="AI1803">
        <f>[1]发票导入!AI1803&amp;""</f>
      </c>
      <c r="AJ1803">
        <f>[1]发票导入!AJ1803&amp;""</f>
      </c>
      <c r="AK1803">
        <f>[1]发票导入!AK1803</f>
        <v>0</v>
      </c>
      <c r="AL1803">
        <f>[1]发票导入!AL1803</f>
        <v>0</v>
      </c>
      <c r="AM1803">
        <f>[1]发票导入!AM1803</f>
        <v>0</v>
      </c>
      <c r="AN1803" s="22">
        <f t="shared" si="1"/>
        <v>0</v>
      </c>
      <c r="AO1803" s="22">
        <f t="shared" si="2"/>
        <v>0</v>
      </c>
    </row>
    <row r="1804">
      <c r="C1804">
        <f>[1]发票导入!C1804&amp;""</f>
      </c>
      <c r="D1804">
        <f>[1]发票导入!D1804&amp;""</f>
      </c>
      <c r="O1804">
        <f>[1]发票导入!O1804&amp;""</f>
      </c>
      <c r="T1804">
        <f>[1]发票导入!T1804</f>
      </c>
      <c r="U1804">
        <f>[1]发票导入!U1804&amp;""</f>
      </c>
      <c r="V1804">
        <f>[1]发票导入!V1804&amp;""</f>
      </c>
      <c r="W1804">
        <f>[1]发票导入!W1804&amp;""</f>
      </c>
      <c r="Y1804">
        <f>[1]发票导入!Y1804&amp;""</f>
      </c>
      <c r="AA1804">
        <f>[1]发票导入!AA1804&amp;""</f>
      </c>
      <c r="AB1804">
        <f>[1]发票导入!AB1804</f>
        <v>0</v>
      </c>
      <c r="AC1804">
        <f>[1]发票导入!AC1804</f>
        <v>0</v>
      </c>
      <c r="AE1804" s="22">
        <f t="shared" si="0"/>
      </c>
      <c r="AI1804">
        <f>[1]发票导入!AI1804&amp;""</f>
      </c>
      <c r="AJ1804">
        <f>[1]发票导入!AJ1804&amp;""</f>
      </c>
      <c r="AK1804">
        <f>[1]发票导入!AK1804</f>
        <v>0</v>
      </c>
      <c r="AL1804">
        <f>[1]发票导入!AL1804</f>
        <v>0</v>
      </c>
      <c r="AM1804">
        <f>[1]发票导入!AM1804</f>
        <v>0</v>
      </c>
      <c r="AN1804" s="22">
        <f t="shared" si="1"/>
        <v>0</v>
      </c>
      <c r="AO1804" s="22">
        <f t="shared" si="2"/>
        <v>0</v>
      </c>
    </row>
    <row r="1805">
      <c r="C1805">
        <f>[1]发票导入!C1805&amp;""</f>
      </c>
      <c r="D1805">
        <f>[1]发票导入!D1805&amp;""</f>
      </c>
      <c r="O1805">
        <f>[1]发票导入!O1805&amp;""</f>
      </c>
      <c r="T1805">
        <f>[1]发票导入!T1805</f>
      </c>
      <c r="U1805">
        <f>[1]发票导入!U1805&amp;""</f>
      </c>
      <c r="V1805">
        <f>[1]发票导入!V1805&amp;""</f>
      </c>
      <c r="W1805">
        <f>[1]发票导入!W1805&amp;""</f>
      </c>
      <c r="Y1805">
        <f>[1]发票导入!Y1805&amp;""</f>
      </c>
      <c r="AA1805">
        <f>[1]发票导入!AA1805&amp;""</f>
      </c>
      <c r="AB1805">
        <f>[1]发票导入!AB1805</f>
        <v>0</v>
      </c>
      <c r="AC1805">
        <f>[1]发票导入!AC1805</f>
        <v>0</v>
      </c>
      <c r="AE1805" s="22">
        <f t="shared" si="0"/>
      </c>
      <c r="AI1805">
        <f>[1]发票导入!AI1805&amp;""</f>
      </c>
      <c r="AJ1805">
        <f>[1]发票导入!AJ1805&amp;""</f>
      </c>
      <c r="AK1805">
        <f>[1]发票导入!AK1805</f>
        <v>0</v>
      </c>
      <c r="AL1805">
        <f>[1]发票导入!AL1805</f>
        <v>0</v>
      </c>
      <c r="AM1805">
        <f>[1]发票导入!AM1805</f>
        <v>0</v>
      </c>
      <c r="AN1805" s="22">
        <f t="shared" si="1"/>
        <v>0</v>
      </c>
      <c r="AO1805" s="22">
        <f t="shared" si="2"/>
        <v>0</v>
      </c>
    </row>
    <row r="1806">
      <c r="C1806">
        <f>[1]发票导入!C1806&amp;""</f>
      </c>
      <c r="D1806">
        <f>[1]发票导入!D1806&amp;""</f>
      </c>
      <c r="O1806">
        <f>[1]发票导入!O1806&amp;""</f>
      </c>
      <c r="T1806">
        <f>[1]发票导入!T1806</f>
      </c>
      <c r="U1806">
        <f>[1]发票导入!U1806&amp;""</f>
      </c>
      <c r="V1806">
        <f>[1]发票导入!V1806&amp;""</f>
      </c>
      <c r="W1806">
        <f>[1]发票导入!W1806&amp;""</f>
      </c>
      <c r="Y1806">
        <f>[1]发票导入!Y1806&amp;""</f>
      </c>
      <c r="AA1806">
        <f>[1]发票导入!AA1806&amp;""</f>
      </c>
      <c r="AB1806">
        <f>[1]发票导入!AB1806</f>
        <v>0</v>
      </c>
      <c r="AC1806">
        <f>[1]发票导入!AC1806</f>
        <v>0</v>
      </c>
      <c r="AE1806" s="22">
        <f t="shared" si="0"/>
      </c>
      <c r="AI1806">
        <f>[1]发票导入!AI1806&amp;""</f>
      </c>
      <c r="AJ1806">
        <f>[1]发票导入!AJ1806&amp;""</f>
      </c>
      <c r="AK1806">
        <f>[1]发票导入!AK1806</f>
        <v>0</v>
      </c>
      <c r="AL1806">
        <f>[1]发票导入!AL1806</f>
        <v>0</v>
      </c>
      <c r="AM1806">
        <f>[1]发票导入!AM1806</f>
        <v>0</v>
      </c>
      <c r="AN1806" s="22">
        <f t="shared" si="1"/>
        <v>0</v>
      </c>
      <c r="AO1806" s="22">
        <f t="shared" si="2"/>
        <v>0</v>
      </c>
    </row>
    <row r="1807">
      <c r="C1807">
        <f>[1]发票导入!C1807&amp;""</f>
      </c>
      <c r="D1807">
        <f>[1]发票导入!D1807&amp;""</f>
      </c>
      <c r="O1807">
        <f>[1]发票导入!O1807&amp;""</f>
      </c>
      <c r="T1807">
        <f>[1]发票导入!T1807</f>
      </c>
      <c r="U1807">
        <f>[1]发票导入!U1807&amp;""</f>
      </c>
      <c r="V1807">
        <f>[1]发票导入!V1807&amp;""</f>
      </c>
      <c r="W1807">
        <f>[1]发票导入!W1807&amp;""</f>
      </c>
      <c r="Y1807">
        <f>[1]发票导入!Y1807&amp;""</f>
      </c>
      <c r="AA1807">
        <f>[1]发票导入!AA1807&amp;""</f>
      </c>
      <c r="AB1807">
        <f>[1]发票导入!AB1807</f>
        <v>0</v>
      </c>
      <c r="AC1807">
        <f>[1]发票导入!AC1807</f>
        <v>0</v>
      </c>
      <c r="AE1807" s="22">
        <f t="shared" si="0"/>
      </c>
      <c r="AI1807">
        <f>[1]发票导入!AI1807&amp;""</f>
      </c>
      <c r="AJ1807">
        <f>[1]发票导入!AJ1807&amp;""</f>
      </c>
      <c r="AK1807">
        <f>[1]发票导入!AK1807</f>
        <v>0</v>
      </c>
      <c r="AL1807">
        <f>[1]发票导入!AL1807</f>
        <v>0</v>
      </c>
      <c r="AM1807">
        <f>[1]发票导入!AM1807</f>
        <v>0</v>
      </c>
      <c r="AN1807" s="22">
        <f t="shared" si="1"/>
        <v>0</v>
      </c>
      <c r="AO1807" s="22">
        <f t="shared" si="2"/>
        <v>0</v>
      </c>
    </row>
    <row r="1808">
      <c r="C1808">
        <f>[1]发票导入!C1808&amp;""</f>
      </c>
      <c r="D1808">
        <f>[1]发票导入!D1808&amp;""</f>
      </c>
      <c r="O1808">
        <f>[1]发票导入!O1808&amp;""</f>
      </c>
      <c r="T1808">
        <f>[1]发票导入!T1808</f>
      </c>
      <c r="U1808">
        <f>[1]发票导入!U1808&amp;""</f>
      </c>
      <c r="V1808">
        <f>[1]发票导入!V1808&amp;""</f>
      </c>
      <c r="W1808">
        <f>[1]发票导入!W1808&amp;""</f>
      </c>
      <c r="Y1808">
        <f>[1]发票导入!Y1808&amp;""</f>
      </c>
      <c r="AA1808">
        <f>[1]发票导入!AA1808&amp;""</f>
      </c>
      <c r="AB1808">
        <f>[1]发票导入!AB1808</f>
        <v>0</v>
      </c>
      <c r="AC1808">
        <f>[1]发票导入!AC1808</f>
        <v>0</v>
      </c>
      <c r="AE1808" s="22">
        <f t="shared" si="0"/>
      </c>
      <c r="AI1808">
        <f>[1]发票导入!AI1808&amp;""</f>
      </c>
      <c r="AJ1808">
        <f>[1]发票导入!AJ1808&amp;""</f>
      </c>
      <c r="AK1808">
        <f>[1]发票导入!AK1808</f>
        <v>0</v>
      </c>
      <c r="AL1808">
        <f>[1]发票导入!AL1808</f>
        <v>0</v>
      </c>
      <c r="AM1808">
        <f>[1]发票导入!AM1808</f>
        <v>0</v>
      </c>
      <c r="AN1808" s="22">
        <f t="shared" si="1"/>
        <v>0</v>
      </c>
      <c r="AO1808" s="22">
        <f t="shared" si="2"/>
        <v>0</v>
      </c>
    </row>
    <row r="1809">
      <c r="C1809">
        <f>[1]发票导入!C1809&amp;""</f>
      </c>
      <c r="D1809">
        <f>[1]发票导入!D1809&amp;""</f>
      </c>
      <c r="O1809">
        <f>[1]发票导入!O1809&amp;""</f>
      </c>
      <c r="T1809">
        <f>[1]发票导入!T1809</f>
      </c>
      <c r="U1809">
        <f>[1]发票导入!U1809&amp;""</f>
      </c>
      <c r="V1809">
        <f>[1]发票导入!V1809&amp;""</f>
      </c>
      <c r="W1809">
        <f>[1]发票导入!W1809&amp;""</f>
      </c>
      <c r="Y1809">
        <f>[1]发票导入!Y1809&amp;""</f>
      </c>
      <c r="AA1809">
        <f>[1]发票导入!AA1809&amp;""</f>
      </c>
      <c r="AB1809">
        <f>[1]发票导入!AB1809</f>
        <v>0</v>
      </c>
      <c r="AC1809">
        <f>[1]发票导入!AC1809</f>
        <v>0</v>
      </c>
      <c r="AE1809" s="22">
        <f t="shared" si="0"/>
      </c>
      <c r="AI1809">
        <f>[1]发票导入!AI1809&amp;""</f>
      </c>
      <c r="AJ1809">
        <f>[1]发票导入!AJ1809&amp;""</f>
      </c>
      <c r="AK1809">
        <f>[1]发票导入!AK1809</f>
        <v>0</v>
      </c>
      <c r="AL1809">
        <f>[1]发票导入!AL1809</f>
        <v>0</v>
      </c>
      <c r="AM1809">
        <f>[1]发票导入!AM1809</f>
        <v>0</v>
      </c>
      <c r="AN1809" s="22">
        <f t="shared" si="1"/>
        <v>0</v>
      </c>
      <c r="AO1809" s="22">
        <f t="shared" si="2"/>
        <v>0</v>
      </c>
    </row>
    <row r="1810">
      <c r="C1810">
        <f>[1]发票导入!C1810&amp;""</f>
      </c>
      <c r="D1810">
        <f>[1]发票导入!D1810&amp;""</f>
      </c>
      <c r="O1810">
        <f>[1]发票导入!O1810&amp;""</f>
      </c>
      <c r="T1810">
        <f>[1]发票导入!T1810</f>
      </c>
      <c r="U1810">
        <f>[1]发票导入!U1810&amp;""</f>
      </c>
      <c r="V1810">
        <f>[1]发票导入!V1810&amp;""</f>
      </c>
      <c r="W1810">
        <f>[1]发票导入!W1810&amp;""</f>
      </c>
      <c r="Y1810">
        <f>[1]发票导入!Y1810&amp;""</f>
      </c>
      <c r="AA1810">
        <f>[1]发票导入!AA1810&amp;""</f>
      </c>
      <c r="AB1810">
        <f>[1]发票导入!AB1810</f>
        <v>0</v>
      </c>
      <c r="AC1810">
        <f>[1]发票导入!AC1810</f>
        <v>0</v>
      </c>
      <c r="AE1810" s="22">
        <f t="shared" si="0"/>
      </c>
      <c r="AI1810">
        <f>[1]发票导入!AI1810&amp;""</f>
      </c>
      <c r="AJ1810">
        <f>[1]发票导入!AJ1810&amp;""</f>
      </c>
      <c r="AK1810">
        <f>[1]发票导入!AK1810</f>
        <v>0</v>
      </c>
      <c r="AL1810">
        <f>[1]发票导入!AL1810</f>
        <v>0</v>
      </c>
      <c r="AM1810">
        <f>[1]发票导入!AM1810</f>
        <v>0</v>
      </c>
      <c r="AN1810" s="22">
        <f t="shared" si="1"/>
        <v>0</v>
      </c>
      <c r="AO1810" s="22">
        <f t="shared" si="2"/>
        <v>0</v>
      </c>
    </row>
    <row r="1811">
      <c r="C1811">
        <f>[1]发票导入!C1811&amp;""</f>
      </c>
      <c r="D1811">
        <f>[1]发票导入!D1811&amp;""</f>
      </c>
      <c r="O1811">
        <f>[1]发票导入!O1811&amp;""</f>
      </c>
      <c r="T1811">
        <f>[1]发票导入!T1811</f>
      </c>
      <c r="U1811">
        <f>[1]发票导入!U1811&amp;""</f>
      </c>
      <c r="V1811">
        <f>[1]发票导入!V1811&amp;""</f>
      </c>
      <c r="W1811">
        <f>[1]发票导入!W1811&amp;""</f>
      </c>
      <c r="Y1811">
        <f>[1]发票导入!Y1811&amp;""</f>
      </c>
      <c r="AA1811">
        <f>[1]发票导入!AA1811&amp;""</f>
      </c>
      <c r="AB1811">
        <f>[1]发票导入!AB1811</f>
        <v>0</v>
      </c>
      <c r="AC1811">
        <f>[1]发票导入!AC1811</f>
        <v>0</v>
      </c>
      <c r="AE1811" s="22">
        <f t="shared" si="0"/>
      </c>
      <c r="AI1811">
        <f>[1]发票导入!AI1811&amp;""</f>
      </c>
      <c r="AJ1811">
        <f>[1]发票导入!AJ1811&amp;""</f>
      </c>
      <c r="AK1811">
        <f>[1]发票导入!AK1811</f>
        <v>0</v>
      </c>
      <c r="AL1811">
        <f>[1]发票导入!AL1811</f>
        <v>0</v>
      </c>
      <c r="AM1811">
        <f>[1]发票导入!AM1811</f>
        <v>0</v>
      </c>
      <c r="AN1811" s="22">
        <f t="shared" si="1"/>
        <v>0</v>
      </c>
      <c r="AO1811" s="22">
        <f t="shared" si="2"/>
        <v>0</v>
      </c>
    </row>
    <row r="1812">
      <c r="C1812">
        <f>[1]发票导入!C1812&amp;""</f>
      </c>
      <c r="D1812">
        <f>[1]发票导入!D1812&amp;""</f>
      </c>
      <c r="O1812">
        <f>[1]发票导入!O1812&amp;""</f>
      </c>
      <c r="T1812">
        <f>[1]发票导入!T1812</f>
      </c>
      <c r="U1812">
        <f>[1]发票导入!U1812&amp;""</f>
      </c>
      <c r="V1812">
        <f>[1]发票导入!V1812&amp;""</f>
      </c>
      <c r="W1812">
        <f>[1]发票导入!W1812&amp;""</f>
      </c>
      <c r="Y1812">
        <f>[1]发票导入!Y1812&amp;""</f>
      </c>
      <c r="AA1812">
        <f>[1]发票导入!AA1812&amp;""</f>
      </c>
      <c r="AB1812">
        <f>[1]发票导入!AB1812</f>
        <v>0</v>
      </c>
      <c r="AC1812">
        <f>[1]发票导入!AC1812</f>
        <v>0</v>
      </c>
      <c r="AE1812" s="22">
        <f t="shared" si="0"/>
      </c>
      <c r="AI1812">
        <f>[1]发票导入!AI1812&amp;""</f>
      </c>
      <c r="AJ1812">
        <f>[1]发票导入!AJ1812&amp;""</f>
      </c>
      <c r="AK1812">
        <f>[1]发票导入!AK1812</f>
        <v>0</v>
      </c>
      <c r="AL1812">
        <f>[1]发票导入!AL1812</f>
        <v>0</v>
      </c>
      <c r="AM1812">
        <f>[1]发票导入!AM1812</f>
        <v>0</v>
      </c>
      <c r="AN1812" s="22">
        <f t="shared" si="1"/>
        <v>0</v>
      </c>
      <c r="AO1812" s="22">
        <f t="shared" si="2"/>
        <v>0</v>
      </c>
    </row>
    <row r="1813">
      <c r="C1813">
        <f>[1]发票导入!C1813&amp;""</f>
      </c>
      <c r="D1813">
        <f>[1]发票导入!D1813&amp;""</f>
      </c>
      <c r="O1813">
        <f>[1]发票导入!O1813&amp;""</f>
      </c>
      <c r="T1813">
        <f>[1]发票导入!T1813</f>
      </c>
      <c r="U1813">
        <f>[1]发票导入!U1813&amp;""</f>
      </c>
      <c r="V1813">
        <f>[1]发票导入!V1813&amp;""</f>
      </c>
      <c r="W1813">
        <f>[1]发票导入!W1813&amp;""</f>
      </c>
      <c r="Y1813">
        <f>[1]发票导入!Y1813&amp;""</f>
      </c>
      <c r="AA1813">
        <f>[1]发票导入!AA1813&amp;""</f>
      </c>
      <c r="AB1813">
        <f>[1]发票导入!AB1813</f>
        <v>0</v>
      </c>
      <c r="AC1813">
        <f>[1]发票导入!AC1813</f>
        <v>0</v>
      </c>
      <c r="AE1813" s="22">
        <f t="shared" si="0"/>
      </c>
      <c r="AI1813">
        <f>[1]发票导入!AI1813&amp;""</f>
      </c>
      <c r="AJ1813">
        <f>[1]发票导入!AJ1813&amp;""</f>
      </c>
      <c r="AK1813">
        <f>[1]发票导入!AK1813</f>
        <v>0</v>
      </c>
      <c r="AL1813">
        <f>[1]发票导入!AL1813</f>
        <v>0</v>
      </c>
      <c r="AM1813">
        <f>[1]发票导入!AM1813</f>
        <v>0</v>
      </c>
      <c r="AN1813" s="22">
        <f t="shared" si="1"/>
        <v>0</v>
      </c>
      <c r="AO1813" s="22">
        <f t="shared" si="2"/>
        <v>0</v>
      </c>
    </row>
    <row r="1814">
      <c r="C1814">
        <f>[1]发票导入!C1814&amp;""</f>
      </c>
      <c r="D1814">
        <f>[1]发票导入!D1814&amp;""</f>
      </c>
      <c r="O1814">
        <f>[1]发票导入!O1814&amp;""</f>
      </c>
      <c r="T1814">
        <f>[1]发票导入!T1814</f>
      </c>
      <c r="U1814">
        <f>[1]发票导入!U1814&amp;""</f>
      </c>
      <c r="V1814">
        <f>[1]发票导入!V1814&amp;""</f>
      </c>
      <c r="W1814">
        <f>[1]发票导入!W1814&amp;""</f>
      </c>
      <c r="Y1814">
        <f>[1]发票导入!Y1814&amp;""</f>
      </c>
      <c r="AA1814">
        <f>[1]发票导入!AA1814&amp;""</f>
      </c>
      <c r="AB1814">
        <f>[1]发票导入!AB1814</f>
        <v>0</v>
      </c>
      <c r="AC1814">
        <f>[1]发票导入!AC1814</f>
        <v>0</v>
      </c>
      <c r="AE1814" s="22">
        <f t="shared" si="0"/>
      </c>
      <c r="AI1814">
        <f>[1]发票导入!AI1814&amp;""</f>
      </c>
      <c r="AJ1814">
        <f>[1]发票导入!AJ1814&amp;""</f>
      </c>
      <c r="AK1814">
        <f>[1]发票导入!AK1814</f>
        <v>0</v>
      </c>
      <c r="AL1814">
        <f>[1]发票导入!AL1814</f>
        <v>0</v>
      </c>
      <c r="AM1814">
        <f>[1]发票导入!AM1814</f>
        <v>0</v>
      </c>
      <c r="AN1814" s="22">
        <f t="shared" si="1"/>
        <v>0</v>
      </c>
      <c r="AO1814" s="22">
        <f t="shared" si="2"/>
        <v>0</v>
      </c>
    </row>
    <row r="1815">
      <c r="C1815">
        <f>[1]发票导入!C1815&amp;""</f>
      </c>
      <c r="D1815">
        <f>[1]发票导入!D1815&amp;""</f>
      </c>
      <c r="O1815">
        <f>[1]发票导入!O1815&amp;""</f>
      </c>
      <c r="T1815">
        <f>[1]发票导入!T1815</f>
      </c>
      <c r="U1815">
        <f>[1]发票导入!U1815&amp;""</f>
      </c>
      <c r="V1815">
        <f>[1]发票导入!V1815&amp;""</f>
      </c>
      <c r="W1815">
        <f>[1]发票导入!W1815&amp;""</f>
      </c>
      <c r="Y1815">
        <f>[1]发票导入!Y1815&amp;""</f>
      </c>
      <c r="AA1815">
        <f>[1]发票导入!AA1815&amp;""</f>
      </c>
      <c r="AB1815">
        <f>[1]发票导入!AB1815</f>
        <v>0</v>
      </c>
      <c r="AC1815">
        <f>[1]发票导入!AC1815</f>
        <v>0</v>
      </c>
      <c r="AE1815" s="22">
        <f t="shared" si="0"/>
      </c>
      <c r="AI1815">
        <f>[1]发票导入!AI1815&amp;""</f>
      </c>
      <c r="AJ1815">
        <f>[1]发票导入!AJ1815&amp;""</f>
      </c>
      <c r="AK1815">
        <f>[1]发票导入!AK1815</f>
        <v>0</v>
      </c>
      <c r="AL1815">
        <f>[1]发票导入!AL1815</f>
        <v>0</v>
      </c>
      <c r="AM1815">
        <f>[1]发票导入!AM1815</f>
        <v>0</v>
      </c>
      <c r="AN1815" s="22">
        <f t="shared" si="1"/>
        <v>0</v>
      </c>
      <c r="AO1815" s="22">
        <f t="shared" si="2"/>
        <v>0</v>
      </c>
    </row>
    <row r="1816">
      <c r="C1816">
        <f>[1]发票导入!C1816&amp;""</f>
      </c>
      <c r="D1816">
        <f>[1]发票导入!D1816&amp;""</f>
      </c>
      <c r="O1816">
        <f>[1]发票导入!O1816&amp;""</f>
      </c>
      <c r="T1816">
        <f>[1]发票导入!T1816</f>
      </c>
      <c r="U1816">
        <f>[1]发票导入!U1816&amp;""</f>
      </c>
      <c r="V1816">
        <f>[1]发票导入!V1816&amp;""</f>
      </c>
      <c r="W1816">
        <f>[1]发票导入!W1816&amp;""</f>
      </c>
      <c r="Y1816">
        <f>[1]发票导入!Y1816&amp;""</f>
      </c>
      <c r="AA1816">
        <f>[1]发票导入!AA1816&amp;""</f>
      </c>
      <c r="AB1816">
        <f>[1]发票导入!AB1816</f>
        <v>0</v>
      </c>
      <c r="AC1816">
        <f>[1]发票导入!AC1816</f>
        <v>0</v>
      </c>
      <c r="AE1816" s="22">
        <f t="shared" si="0"/>
      </c>
      <c r="AI1816">
        <f>[1]发票导入!AI1816&amp;""</f>
      </c>
      <c r="AJ1816">
        <f>[1]发票导入!AJ1816&amp;""</f>
      </c>
      <c r="AK1816">
        <f>[1]发票导入!AK1816</f>
        <v>0</v>
      </c>
      <c r="AL1816">
        <f>[1]发票导入!AL1816</f>
        <v>0</v>
      </c>
      <c r="AM1816">
        <f>[1]发票导入!AM1816</f>
        <v>0</v>
      </c>
      <c r="AN1816" s="22">
        <f t="shared" si="1"/>
        <v>0</v>
      </c>
      <c r="AO1816" s="22">
        <f t="shared" si="2"/>
        <v>0</v>
      </c>
    </row>
    <row r="1817">
      <c r="C1817">
        <f>[1]发票导入!C1817&amp;""</f>
      </c>
      <c r="D1817">
        <f>[1]发票导入!D1817&amp;""</f>
      </c>
      <c r="O1817">
        <f>[1]发票导入!O1817&amp;""</f>
      </c>
      <c r="T1817">
        <f>[1]发票导入!T1817</f>
      </c>
      <c r="U1817">
        <f>[1]发票导入!U1817&amp;""</f>
      </c>
      <c r="V1817">
        <f>[1]发票导入!V1817&amp;""</f>
      </c>
      <c r="W1817">
        <f>[1]发票导入!W1817&amp;""</f>
      </c>
      <c r="Y1817">
        <f>[1]发票导入!Y1817&amp;""</f>
      </c>
      <c r="AA1817">
        <f>[1]发票导入!AA1817&amp;""</f>
      </c>
      <c r="AB1817">
        <f>[1]发票导入!AB1817</f>
        <v>0</v>
      </c>
      <c r="AC1817">
        <f>[1]发票导入!AC1817</f>
        <v>0</v>
      </c>
      <c r="AE1817" s="22">
        <f t="shared" si="0"/>
      </c>
      <c r="AI1817">
        <f>[1]发票导入!AI1817&amp;""</f>
      </c>
      <c r="AJ1817">
        <f>[1]发票导入!AJ1817&amp;""</f>
      </c>
      <c r="AK1817">
        <f>[1]发票导入!AK1817</f>
        <v>0</v>
      </c>
      <c r="AL1817">
        <f>[1]发票导入!AL1817</f>
        <v>0</v>
      </c>
      <c r="AM1817">
        <f>[1]发票导入!AM1817</f>
        <v>0</v>
      </c>
      <c r="AN1817" s="22">
        <f t="shared" si="1"/>
        <v>0</v>
      </c>
      <c r="AO1817" s="22">
        <f t="shared" si="2"/>
        <v>0</v>
      </c>
    </row>
    <row r="1818">
      <c r="C1818">
        <f>[1]发票导入!C1818&amp;""</f>
      </c>
      <c r="D1818">
        <f>[1]发票导入!D1818&amp;""</f>
      </c>
      <c r="O1818">
        <f>[1]发票导入!O1818&amp;""</f>
      </c>
      <c r="T1818">
        <f>[1]发票导入!T1818</f>
      </c>
      <c r="U1818">
        <f>[1]发票导入!U1818&amp;""</f>
      </c>
      <c r="V1818">
        <f>[1]发票导入!V1818&amp;""</f>
      </c>
      <c r="W1818">
        <f>[1]发票导入!W1818&amp;""</f>
      </c>
      <c r="Y1818">
        <f>[1]发票导入!Y1818&amp;""</f>
      </c>
      <c r="AA1818">
        <f>[1]发票导入!AA1818&amp;""</f>
      </c>
      <c r="AB1818">
        <f>[1]发票导入!AB1818</f>
        <v>0</v>
      </c>
      <c r="AC1818">
        <f>[1]发票导入!AC1818</f>
        <v>0</v>
      </c>
      <c r="AE1818" s="22">
        <f t="shared" si="0"/>
      </c>
      <c r="AI1818">
        <f>[1]发票导入!AI1818&amp;""</f>
      </c>
      <c r="AJ1818">
        <f>[1]发票导入!AJ1818&amp;""</f>
      </c>
      <c r="AK1818">
        <f>[1]发票导入!AK1818</f>
        <v>0</v>
      </c>
      <c r="AL1818">
        <f>[1]发票导入!AL1818</f>
        <v>0</v>
      </c>
      <c r="AM1818">
        <f>[1]发票导入!AM1818</f>
        <v>0</v>
      </c>
      <c r="AN1818" s="22">
        <f t="shared" si="1"/>
        <v>0</v>
      </c>
      <c r="AO1818" s="22">
        <f t="shared" si="2"/>
        <v>0</v>
      </c>
    </row>
    <row r="1819">
      <c r="C1819">
        <f>[1]发票导入!C1819&amp;""</f>
      </c>
      <c r="D1819">
        <f>[1]发票导入!D1819&amp;""</f>
      </c>
      <c r="O1819">
        <f>[1]发票导入!O1819&amp;""</f>
      </c>
      <c r="T1819">
        <f>[1]发票导入!T1819</f>
      </c>
      <c r="U1819">
        <f>[1]发票导入!U1819&amp;""</f>
      </c>
      <c r="V1819">
        <f>[1]发票导入!V1819&amp;""</f>
      </c>
      <c r="W1819">
        <f>[1]发票导入!W1819&amp;""</f>
      </c>
      <c r="Y1819">
        <f>[1]发票导入!Y1819&amp;""</f>
      </c>
      <c r="AA1819">
        <f>[1]发票导入!AA1819&amp;""</f>
      </c>
      <c r="AB1819">
        <f>[1]发票导入!AB1819</f>
        <v>0</v>
      </c>
      <c r="AC1819">
        <f>[1]发票导入!AC1819</f>
        <v>0</v>
      </c>
      <c r="AE1819" s="22">
        <f t="shared" si="0"/>
      </c>
      <c r="AI1819">
        <f>[1]发票导入!AI1819&amp;""</f>
      </c>
      <c r="AJ1819">
        <f>[1]发票导入!AJ1819&amp;""</f>
      </c>
      <c r="AK1819">
        <f>[1]发票导入!AK1819</f>
        <v>0</v>
      </c>
      <c r="AL1819">
        <f>[1]发票导入!AL1819</f>
        <v>0</v>
      </c>
      <c r="AM1819">
        <f>[1]发票导入!AM1819</f>
        <v>0</v>
      </c>
      <c r="AN1819" s="22">
        <f t="shared" si="1"/>
        <v>0</v>
      </c>
      <c r="AO1819" s="22">
        <f t="shared" si="2"/>
        <v>0</v>
      </c>
    </row>
    <row r="1820">
      <c r="C1820">
        <f>[1]发票导入!C1820&amp;""</f>
      </c>
      <c r="D1820">
        <f>[1]发票导入!D1820&amp;""</f>
      </c>
      <c r="O1820">
        <f>[1]发票导入!O1820&amp;""</f>
      </c>
      <c r="T1820">
        <f>[1]发票导入!T1820</f>
      </c>
      <c r="U1820">
        <f>[1]发票导入!U1820&amp;""</f>
      </c>
      <c r="V1820">
        <f>[1]发票导入!V1820&amp;""</f>
      </c>
      <c r="W1820">
        <f>[1]发票导入!W1820&amp;""</f>
      </c>
      <c r="Y1820">
        <f>[1]发票导入!Y1820&amp;""</f>
      </c>
      <c r="AA1820">
        <f>[1]发票导入!AA1820&amp;""</f>
      </c>
      <c r="AB1820">
        <f>[1]发票导入!AB1820</f>
        <v>0</v>
      </c>
      <c r="AC1820">
        <f>[1]发票导入!AC1820</f>
        <v>0</v>
      </c>
      <c r="AE1820" s="22">
        <f t="shared" si="0"/>
      </c>
      <c r="AI1820">
        <f>[1]发票导入!AI1820&amp;""</f>
      </c>
      <c r="AJ1820">
        <f>[1]发票导入!AJ1820&amp;""</f>
      </c>
      <c r="AK1820">
        <f>[1]发票导入!AK1820</f>
        <v>0</v>
      </c>
      <c r="AL1820">
        <f>[1]发票导入!AL1820</f>
        <v>0</v>
      </c>
      <c r="AM1820">
        <f>[1]发票导入!AM1820</f>
        <v>0</v>
      </c>
      <c r="AN1820" s="22">
        <f t="shared" si="1"/>
        <v>0</v>
      </c>
      <c r="AO1820" s="22">
        <f t="shared" si="2"/>
        <v>0</v>
      </c>
    </row>
    <row r="1821">
      <c r="C1821">
        <f>[1]发票导入!C1821&amp;""</f>
      </c>
      <c r="D1821">
        <f>[1]发票导入!D1821&amp;""</f>
      </c>
      <c r="O1821">
        <f>[1]发票导入!O1821&amp;""</f>
      </c>
      <c r="T1821">
        <f>[1]发票导入!T1821</f>
      </c>
      <c r="U1821">
        <f>[1]发票导入!U1821&amp;""</f>
      </c>
      <c r="V1821">
        <f>[1]发票导入!V1821&amp;""</f>
      </c>
      <c r="W1821">
        <f>[1]发票导入!W1821&amp;""</f>
      </c>
      <c r="Y1821">
        <f>[1]发票导入!Y1821&amp;""</f>
      </c>
      <c r="AA1821">
        <f>[1]发票导入!AA1821&amp;""</f>
      </c>
      <c r="AB1821">
        <f>[1]发票导入!AB1821</f>
        <v>0</v>
      </c>
      <c r="AC1821">
        <f>[1]发票导入!AC1821</f>
        <v>0</v>
      </c>
      <c r="AE1821" s="22">
        <f t="shared" si="0"/>
      </c>
      <c r="AI1821">
        <f>[1]发票导入!AI1821&amp;""</f>
      </c>
      <c r="AJ1821">
        <f>[1]发票导入!AJ1821&amp;""</f>
      </c>
      <c r="AK1821">
        <f>[1]发票导入!AK1821</f>
        <v>0</v>
      </c>
      <c r="AL1821">
        <f>[1]发票导入!AL1821</f>
        <v>0</v>
      </c>
      <c r="AM1821">
        <f>[1]发票导入!AM1821</f>
        <v>0</v>
      </c>
      <c r="AN1821" s="22">
        <f t="shared" si="1"/>
        <v>0</v>
      </c>
      <c r="AO1821" s="22">
        <f t="shared" si="2"/>
        <v>0</v>
      </c>
    </row>
    <row r="1822">
      <c r="C1822">
        <f>[1]发票导入!C1822&amp;""</f>
      </c>
      <c r="D1822">
        <f>[1]发票导入!D1822&amp;""</f>
      </c>
      <c r="O1822">
        <f>[1]发票导入!O1822&amp;""</f>
      </c>
      <c r="T1822">
        <f>[1]发票导入!T1822</f>
      </c>
      <c r="U1822">
        <f>[1]发票导入!U1822&amp;""</f>
      </c>
      <c r="V1822">
        <f>[1]发票导入!V1822&amp;""</f>
      </c>
      <c r="W1822">
        <f>[1]发票导入!W1822&amp;""</f>
      </c>
      <c r="Y1822">
        <f>[1]发票导入!Y1822&amp;""</f>
      </c>
      <c r="AA1822">
        <f>[1]发票导入!AA1822&amp;""</f>
      </c>
      <c r="AB1822">
        <f>[1]发票导入!AB1822</f>
        <v>0</v>
      </c>
      <c r="AC1822">
        <f>[1]发票导入!AC1822</f>
        <v>0</v>
      </c>
      <c r="AE1822" s="22">
        <f t="shared" si="0"/>
      </c>
      <c r="AI1822">
        <f>[1]发票导入!AI1822&amp;""</f>
      </c>
      <c r="AJ1822">
        <f>[1]发票导入!AJ1822&amp;""</f>
      </c>
      <c r="AK1822">
        <f>[1]发票导入!AK1822</f>
        <v>0</v>
      </c>
      <c r="AL1822">
        <f>[1]发票导入!AL1822</f>
        <v>0</v>
      </c>
      <c r="AM1822">
        <f>[1]发票导入!AM1822</f>
        <v>0</v>
      </c>
      <c r="AN1822" s="22">
        <f t="shared" si="1"/>
        <v>0</v>
      </c>
      <c r="AO1822" s="22">
        <f t="shared" si="2"/>
        <v>0</v>
      </c>
    </row>
    <row r="1823">
      <c r="C1823">
        <f>[1]发票导入!C1823&amp;""</f>
      </c>
      <c r="D1823">
        <f>[1]发票导入!D1823&amp;""</f>
      </c>
      <c r="O1823">
        <f>[1]发票导入!O1823&amp;""</f>
      </c>
      <c r="T1823">
        <f>[1]发票导入!T1823</f>
      </c>
      <c r="U1823">
        <f>[1]发票导入!U1823&amp;""</f>
      </c>
      <c r="V1823">
        <f>[1]发票导入!V1823&amp;""</f>
      </c>
      <c r="W1823">
        <f>[1]发票导入!W1823&amp;""</f>
      </c>
      <c r="Y1823">
        <f>[1]发票导入!Y1823&amp;""</f>
      </c>
      <c r="AA1823">
        <f>[1]发票导入!AA1823&amp;""</f>
      </c>
      <c r="AB1823">
        <f>[1]发票导入!AB1823</f>
        <v>0</v>
      </c>
      <c r="AC1823">
        <f>[1]发票导入!AC1823</f>
        <v>0</v>
      </c>
      <c r="AE1823" s="22">
        <f t="shared" si="0"/>
      </c>
      <c r="AI1823">
        <f>[1]发票导入!AI1823&amp;""</f>
      </c>
      <c r="AJ1823">
        <f>[1]发票导入!AJ1823&amp;""</f>
      </c>
      <c r="AK1823">
        <f>[1]发票导入!AK1823</f>
        <v>0</v>
      </c>
      <c r="AL1823">
        <f>[1]发票导入!AL1823</f>
        <v>0</v>
      </c>
      <c r="AM1823">
        <f>[1]发票导入!AM1823</f>
        <v>0</v>
      </c>
      <c r="AN1823" s="22">
        <f t="shared" si="1"/>
        <v>0</v>
      </c>
      <c r="AO1823" s="22">
        <f t="shared" si="2"/>
        <v>0</v>
      </c>
    </row>
    <row r="1824">
      <c r="C1824">
        <f>[1]发票导入!C1824&amp;""</f>
      </c>
      <c r="D1824">
        <f>[1]发票导入!D1824&amp;""</f>
      </c>
      <c r="O1824">
        <f>[1]发票导入!O1824&amp;""</f>
      </c>
      <c r="T1824">
        <f>[1]发票导入!T1824</f>
      </c>
      <c r="U1824">
        <f>[1]发票导入!U1824&amp;""</f>
      </c>
      <c r="V1824">
        <f>[1]发票导入!V1824&amp;""</f>
      </c>
      <c r="W1824">
        <f>[1]发票导入!W1824&amp;""</f>
      </c>
      <c r="Y1824">
        <f>[1]发票导入!Y1824&amp;""</f>
      </c>
      <c r="AA1824">
        <f>[1]发票导入!AA1824&amp;""</f>
      </c>
      <c r="AB1824">
        <f>[1]发票导入!AB1824</f>
        <v>0</v>
      </c>
      <c r="AC1824">
        <f>[1]发票导入!AC1824</f>
        <v>0</v>
      </c>
      <c r="AE1824" s="22">
        <f t="shared" si="0"/>
      </c>
      <c r="AI1824">
        <f>[1]发票导入!AI1824&amp;""</f>
      </c>
      <c r="AJ1824">
        <f>[1]发票导入!AJ1824&amp;""</f>
      </c>
      <c r="AK1824">
        <f>[1]发票导入!AK1824</f>
        <v>0</v>
      </c>
      <c r="AL1824">
        <f>[1]发票导入!AL1824</f>
        <v>0</v>
      </c>
      <c r="AM1824">
        <f>[1]发票导入!AM1824</f>
        <v>0</v>
      </c>
      <c r="AN1824" s="22">
        <f t="shared" si="1"/>
        <v>0</v>
      </c>
      <c r="AO1824" s="22">
        <f t="shared" si="2"/>
        <v>0</v>
      </c>
    </row>
    <row r="1825">
      <c r="C1825">
        <f>[1]发票导入!C1825&amp;""</f>
      </c>
      <c r="D1825">
        <f>[1]发票导入!D1825&amp;""</f>
      </c>
      <c r="O1825">
        <f>[1]发票导入!O1825&amp;""</f>
      </c>
      <c r="T1825">
        <f>[1]发票导入!T1825</f>
      </c>
      <c r="U1825">
        <f>[1]发票导入!U1825&amp;""</f>
      </c>
      <c r="V1825">
        <f>[1]发票导入!V1825&amp;""</f>
      </c>
      <c r="W1825">
        <f>[1]发票导入!W1825&amp;""</f>
      </c>
      <c r="Y1825">
        <f>[1]发票导入!Y1825&amp;""</f>
      </c>
      <c r="AA1825">
        <f>[1]发票导入!AA1825&amp;""</f>
      </c>
      <c r="AB1825">
        <f>[1]发票导入!AB1825</f>
        <v>0</v>
      </c>
      <c r="AC1825">
        <f>[1]发票导入!AC1825</f>
        <v>0</v>
      </c>
      <c r="AE1825" s="22">
        <f t="shared" si="0"/>
      </c>
      <c r="AI1825">
        <f>[1]发票导入!AI1825&amp;""</f>
      </c>
      <c r="AJ1825">
        <f>[1]发票导入!AJ1825&amp;""</f>
      </c>
      <c r="AK1825">
        <f>[1]发票导入!AK1825</f>
        <v>0</v>
      </c>
      <c r="AL1825">
        <f>[1]发票导入!AL1825</f>
        <v>0</v>
      </c>
      <c r="AM1825">
        <f>[1]发票导入!AM1825</f>
        <v>0</v>
      </c>
      <c r="AN1825" s="22">
        <f t="shared" si="1"/>
        <v>0</v>
      </c>
      <c r="AO1825" s="22">
        <f t="shared" si="2"/>
        <v>0</v>
      </c>
    </row>
    <row r="1826">
      <c r="C1826">
        <f>[1]发票导入!C1826&amp;""</f>
      </c>
      <c r="D1826">
        <f>[1]发票导入!D1826&amp;""</f>
      </c>
      <c r="O1826">
        <f>[1]发票导入!O1826&amp;""</f>
      </c>
      <c r="T1826">
        <f>[1]发票导入!T1826</f>
      </c>
      <c r="U1826">
        <f>[1]发票导入!U1826&amp;""</f>
      </c>
      <c r="V1826">
        <f>[1]发票导入!V1826&amp;""</f>
      </c>
      <c r="W1826">
        <f>[1]发票导入!W1826&amp;""</f>
      </c>
      <c r="Y1826">
        <f>[1]发票导入!Y1826&amp;""</f>
      </c>
      <c r="AA1826">
        <f>[1]发票导入!AA1826&amp;""</f>
      </c>
      <c r="AB1826">
        <f>[1]发票导入!AB1826</f>
        <v>0</v>
      </c>
      <c r="AC1826">
        <f>[1]发票导入!AC1826</f>
        <v>0</v>
      </c>
      <c r="AE1826" s="22">
        <f t="shared" si="0"/>
      </c>
      <c r="AI1826">
        <f>[1]发票导入!AI1826&amp;""</f>
      </c>
      <c r="AJ1826">
        <f>[1]发票导入!AJ1826&amp;""</f>
      </c>
      <c r="AK1826">
        <f>[1]发票导入!AK1826</f>
        <v>0</v>
      </c>
      <c r="AL1826">
        <f>[1]发票导入!AL1826</f>
        <v>0</v>
      </c>
      <c r="AM1826">
        <f>[1]发票导入!AM1826</f>
        <v>0</v>
      </c>
      <c r="AN1826" s="22">
        <f t="shared" si="1"/>
        <v>0</v>
      </c>
      <c r="AO1826" s="22">
        <f t="shared" si="2"/>
        <v>0</v>
      </c>
    </row>
    <row r="1827">
      <c r="C1827">
        <f>[1]发票导入!C1827&amp;""</f>
      </c>
      <c r="D1827">
        <f>[1]发票导入!D1827&amp;""</f>
      </c>
      <c r="O1827">
        <f>[1]发票导入!O1827&amp;""</f>
      </c>
      <c r="T1827">
        <f>[1]发票导入!T1827</f>
      </c>
      <c r="U1827">
        <f>[1]发票导入!U1827&amp;""</f>
      </c>
      <c r="V1827">
        <f>[1]发票导入!V1827&amp;""</f>
      </c>
      <c r="W1827">
        <f>[1]发票导入!W1827&amp;""</f>
      </c>
      <c r="Y1827">
        <f>[1]发票导入!Y1827&amp;""</f>
      </c>
      <c r="AA1827">
        <f>[1]发票导入!AA1827&amp;""</f>
      </c>
      <c r="AB1827">
        <f>[1]发票导入!AB1827</f>
        <v>0</v>
      </c>
      <c r="AC1827">
        <f>[1]发票导入!AC1827</f>
        <v>0</v>
      </c>
      <c r="AE1827" s="22">
        <f t="shared" si="0"/>
      </c>
      <c r="AI1827">
        <f>[1]发票导入!AI1827&amp;""</f>
      </c>
      <c r="AJ1827">
        <f>[1]发票导入!AJ1827&amp;""</f>
      </c>
      <c r="AK1827">
        <f>[1]发票导入!AK1827</f>
        <v>0</v>
      </c>
      <c r="AL1827">
        <f>[1]发票导入!AL1827</f>
        <v>0</v>
      </c>
      <c r="AM1827">
        <f>[1]发票导入!AM1827</f>
        <v>0</v>
      </c>
      <c r="AN1827" s="22">
        <f t="shared" si="1"/>
        <v>0</v>
      </c>
      <c r="AO1827" s="22">
        <f t="shared" si="2"/>
        <v>0</v>
      </c>
    </row>
    <row r="1828">
      <c r="C1828">
        <f>[1]发票导入!C1828&amp;""</f>
      </c>
      <c r="D1828">
        <f>[1]发票导入!D1828&amp;""</f>
      </c>
      <c r="O1828">
        <f>[1]发票导入!O1828&amp;""</f>
      </c>
      <c r="T1828">
        <f>[1]发票导入!T1828</f>
      </c>
      <c r="U1828">
        <f>[1]发票导入!U1828&amp;""</f>
      </c>
      <c r="V1828">
        <f>[1]发票导入!V1828&amp;""</f>
      </c>
      <c r="W1828">
        <f>[1]发票导入!W1828&amp;""</f>
      </c>
      <c r="Y1828">
        <f>[1]发票导入!Y1828&amp;""</f>
      </c>
      <c r="AA1828">
        <f>[1]发票导入!AA1828&amp;""</f>
      </c>
      <c r="AB1828">
        <f>[1]发票导入!AB1828</f>
        <v>0</v>
      </c>
      <c r="AC1828">
        <f>[1]发票导入!AC1828</f>
        <v>0</v>
      </c>
      <c r="AE1828" s="22">
        <f t="shared" si="0"/>
      </c>
      <c r="AI1828">
        <f>[1]发票导入!AI1828&amp;""</f>
      </c>
      <c r="AJ1828">
        <f>[1]发票导入!AJ1828&amp;""</f>
      </c>
      <c r="AK1828">
        <f>[1]发票导入!AK1828</f>
        <v>0</v>
      </c>
      <c r="AL1828">
        <f>[1]发票导入!AL1828</f>
        <v>0</v>
      </c>
      <c r="AM1828">
        <f>[1]发票导入!AM1828</f>
        <v>0</v>
      </c>
      <c r="AN1828" s="22">
        <f t="shared" si="1"/>
        <v>0</v>
      </c>
      <c r="AO1828" s="22">
        <f t="shared" si="2"/>
        <v>0</v>
      </c>
    </row>
    <row r="1829">
      <c r="C1829">
        <f>[1]发票导入!C1829&amp;""</f>
      </c>
      <c r="D1829">
        <f>[1]发票导入!D1829&amp;""</f>
      </c>
      <c r="O1829">
        <f>[1]发票导入!O1829&amp;""</f>
      </c>
      <c r="T1829">
        <f>[1]发票导入!T1829</f>
      </c>
      <c r="U1829">
        <f>[1]发票导入!U1829&amp;""</f>
      </c>
      <c r="V1829">
        <f>[1]发票导入!V1829&amp;""</f>
      </c>
      <c r="W1829">
        <f>[1]发票导入!W1829&amp;""</f>
      </c>
      <c r="Y1829">
        <f>[1]发票导入!Y1829&amp;""</f>
      </c>
      <c r="AA1829">
        <f>[1]发票导入!AA1829&amp;""</f>
      </c>
      <c r="AB1829">
        <f>[1]发票导入!AB1829</f>
        <v>0</v>
      </c>
      <c r="AC1829">
        <f>[1]发票导入!AC1829</f>
        <v>0</v>
      </c>
      <c r="AE1829" s="22">
        <f t="shared" si="0"/>
      </c>
      <c r="AI1829">
        <f>[1]发票导入!AI1829&amp;""</f>
      </c>
      <c r="AJ1829">
        <f>[1]发票导入!AJ1829&amp;""</f>
      </c>
      <c r="AK1829">
        <f>[1]发票导入!AK1829</f>
        <v>0</v>
      </c>
      <c r="AL1829">
        <f>[1]发票导入!AL1829</f>
        <v>0</v>
      </c>
      <c r="AM1829">
        <f>[1]发票导入!AM1829</f>
        <v>0</v>
      </c>
      <c r="AN1829" s="22">
        <f t="shared" si="1"/>
        <v>0</v>
      </c>
      <c r="AO1829" s="22">
        <f t="shared" si="2"/>
        <v>0</v>
      </c>
    </row>
    <row r="1830">
      <c r="C1830">
        <f>[1]发票导入!C1830&amp;""</f>
      </c>
      <c r="D1830">
        <f>[1]发票导入!D1830&amp;""</f>
      </c>
      <c r="O1830">
        <f>[1]发票导入!O1830&amp;""</f>
      </c>
      <c r="T1830">
        <f>[1]发票导入!T1830</f>
      </c>
      <c r="U1830">
        <f>[1]发票导入!U1830&amp;""</f>
      </c>
      <c r="V1830">
        <f>[1]发票导入!V1830&amp;""</f>
      </c>
      <c r="W1830">
        <f>[1]发票导入!W1830&amp;""</f>
      </c>
      <c r="Y1830">
        <f>[1]发票导入!Y1830&amp;""</f>
      </c>
      <c r="AA1830">
        <f>[1]发票导入!AA1830&amp;""</f>
      </c>
      <c r="AB1830">
        <f>[1]发票导入!AB1830</f>
        <v>0</v>
      </c>
      <c r="AC1830">
        <f>[1]发票导入!AC1830</f>
        <v>0</v>
      </c>
      <c r="AE1830" s="22">
        <f t="shared" si="0"/>
      </c>
      <c r="AI1830">
        <f>[1]发票导入!AI1830&amp;""</f>
      </c>
      <c r="AJ1830">
        <f>[1]发票导入!AJ1830&amp;""</f>
      </c>
      <c r="AK1830">
        <f>[1]发票导入!AK1830</f>
        <v>0</v>
      </c>
      <c r="AL1830">
        <f>[1]发票导入!AL1830</f>
        <v>0</v>
      </c>
      <c r="AM1830">
        <f>[1]发票导入!AM1830</f>
        <v>0</v>
      </c>
      <c r="AN1830" s="22">
        <f t="shared" si="1"/>
        <v>0</v>
      </c>
      <c r="AO1830" s="22">
        <f t="shared" si="2"/>
        <v>0</v>
      </c>
    </row>
    <row r="1831">
      <c r="C1831">
        <f>[1]发票导入!C1831&amp;""</f>
      </c>
      <c r="D1831">
        <f>[1]发票导入!D1831&amp;""</f>
      </c>
      <c r="O1831">
        <f>[1]发票导入!O1831&amp;""</f>
      </c>
      <c r="T1831">
        <f>[1]发票导入!T1831</f>
      </c>
      <c r="U1831">
        <f>[1]发票导入!U1831&amp;""</f>
      </c>
      <c r="V1831">
        <f>[1]发票导入!V1831&amp;""</f>
      </c>
      <c r="W1831">
        <f>[1]发票导入!W1831&amp;""</f>
      </c>
      <c r="Y1831">
        <f>[1]发票导入!Y1831&amp;""</f>
      </c>
      <c r="AA1831">
        <f>[1]发票导入!AA1831&amp;""</f>
      </c>
      <c r="AB1831">
        <f>[1]发票导入!AB1831</f>
        <v>0</v>
      </c>
      <c r="AC1831">
        <f>[1]发票导入!AC1831</f>
        <v>0</v>
      </c>
      <c r="AE1831" s="22">
        <f t="shared" si="0"/>
      </c>
      <c r="AI1831">
        <f>[1]发票导入!AI1831&amp;""</f>
      </c>
      <c r="AJ1831">
        <f>[1]发票导入!AJ1831&amp;""</f>
      </c>
      <c r="AK1831">
        <f>[1]发票导入!AK1831</f>
        <v>0</v>
      </c>
      <c r="AL1831">
        <f>[1]发票导入!AL1831</f>
        <v>0</v>
      </c>
      <c r="AM1831">
        <f>[1]发票导入!AM1831</f>
        <v>0</v>
      </c>
      <c r="AN1831" s="22">
        <f t="shared" si="1"/>
        <v>0</v>
      </c>
      <c r="AO1831" s="22">
        <f t="shared" si="2"/>
        <v>0</v>
      </c>
    </row>
    <row r="1832">
      <c r="C1832">
        <f>[1]发票导入!C1832&amp;""</f>
      </c>
      <c r="D1832">
        <f>[1]发票导入!D1832&amp;""</f>
      </c>
      <c r="O1832">
        <f>[1]发票导入!O1832&amp;""</f>
      </c>
      <c r="T1832">
        <f>[1]发票导入!T1832</f>
      </c>
      <c r="U1832">
        <f>[1]发票导入!U1832&amp;""</f>
      </c>
      <c r="V1832">
        <f>[1]发票导入!V1832&amp;""</f>
      </c>
      <c r="W1832">
        <f>[1]发票导入!W1832&amp;""</f>
      </c>
      <c r="Y1832">
        <f>[1]发票导入!Y1832&amp;""</f>
      </c>
      <c r="AA1832">
        <f>[1]发票导入!AA1832&amp;""</f>
      </c>
      <c r="AB1832">
        <f>[1]发票导入!AB1832</f>
        <v>0</v>
      </c>
      <c r="AC1832">
        <f>[1]发票导入!AC1832</f>
        <v>0</v>
      </c>
      <c r="AE1832" s="22">
        <f t="shared" si="0"/>
      </c>
      <c r="AI1832">
        <f>[1]发票导入!AI1832&amp;""</f>
      </c>
      <c r="AJ1832">
        <f>[1]发票导入!AJ1832&amp;""</f>
      </c>
      <c r="AK1832">
        <f>[1]发票导入!AK1832</f>
        <v>0</v>
      </c>
      <c r="AL1832">
        <f>[1]发票导入!AL1832</f>
        <v>0</v>
      </c>
      <c r="AM1832">
        <f>[1]发票导入!AM1832</f>
        <v>0</v>
      </c>
      <c r="AN1832" s="22">
        <f t="shared" si="1"/>
        <v>0</v>
      </c>
      <c r="AO1832" s="22">
        <f t="shared" si="2"/>
        <v>0</v>
      </c>
    </row>
    <row r="1833">
      <c r="C1833">
        <f>[1]发票导入!C1833&amp;""</f>
      </c>
      <c r="D1833">
        <f>[1]发票导入!D1833&amp;""</f>
      </c>
      <c r="O1833">
        <f>[1]发票导入!O1833&amp;""</f>
      </c>
      <c r="T1833">
        <f>[1]发票导入!T1833</f>
      </c>
      <c r="U1833">
        <f>[1]发票导入!U1833&amp;""</f>
      </c>
      <c r="V1833">
        <f>[1]发票导入!V1833&amp;""</f>
      </c>
      <c r="W1833">
        <f>[1]发票导入!W1833&amp;""</f>
      </c>
      <c r="Y1833">
        <f>[1]发票导入!Y1833&amp;""</f>
      </c>
      <c r="AA1833">
        <f>[1]发票导入!AA1833&amp;""</f>
      </c>
      <c r="AB1833">
        <f>[1]发票导入!AB1833</f>
        <v>0</v>
      </c>
      <c r="AC1833">
        <f>[1]发票导入!AC1833</f>
        <v>0</v>
      </c>
      <c r="AE1833" s="22">
        <f t="shared" si="0"/>
      </c>
      <c r="AI1833">
        <f>[1]发票导入!AI1833&amp;""</f>
      </c>
      <c r="AJ1833">
        <f>[1]发票导入!AJ1833&amp;""</f>
      </c>
      <c r="AK1833">
        <f>[1]发票导入!AK1833</f>
        <v>0</v>
      </c>
      <c r="AL1833">
        <f>[1]发票导入!AL1833</f>
        <v>0</v>
      </c>
      <c r="AM1833">
        <f>[1]发票导入!AM1833</f>
        <v>0</v>
      </c>
      <c r="AN1833" s="22">
        <f t="shared" si="1"/>
        <v>0</v>
      </c>
      <c r="AO1833" s="22">
        <f t="shared" si="2"/>
        <v>0</v>
      </c>
    </row>
    <row r="1834">
      <c r="C1834">
        <f>[1]发票导入!C1834&amp;""</f>
      </c>
      <c r="D1834">
        <f>[1]发票导入!D1834&amp;""</f>
      </c>
      <c r="O1834">
        <f>[1]发票导入!O1834&amp;""</f>
      </c>
      <c r="T1834">
        <f>[1]发票导入!T1834</f>
      </c>
      <c r="U1834">
        <f>[1]发票导入!U1834&amp;""</f>
      </c>
      <c r="V1834">
        <f>[1]发票导入!V1834&amp;""</f>
      </c>
      <c r="W1834">
        <f>[1]发票导入!W1834&amp;""</f>
      </c>
      <c r="Y1834">
        <f>[1]发票导入!Y1834&amp;""</f>
      </c>
      <c r="AA1834">
        <f>[1]发票导入!AA1834&amp;""</f>
      </c>
      <c r="AB1834">
        <f>[1]发票导入!AB1834</f>
        <v>0</v>
      </c>
      <c r="AC1834">
        <f>[1]发票导入!AC1834</f>
        <v>0</v>
      </c>
      <c r="AE1834" s="22">
        <f t="shared" si="0"/>
      </c>
      <c r="AI1834">
        <f>[1]发票导入!AI1834&amp;""</f>
      </c>
      <c r="AJ1834">
        <f>[1]发票导入!AJ1834&amp;""</f>
      </c>
      <c r="AK1834">
        <f>[1]发票导入!AK1834</f>
        <v>0</v>
      </c>
      <c r="AL1834">
        <f>[1]发票导入!AL1834</f>
        <v>0</v>
      </c>
      <c r="AM1834">
        <f>[1]发票导入!AM1834</f>
        <v>0</v>
      </c>
      <c r="AN1834" s="22">
        <f t="shared" si="1"/>
        <v>0</v>
      </c>
      <c r="AO1834" s="22">
        <f t="shared" si="2"/>
        <v>0</v>
      </c>
    </row>
    <row r="1835">
      <c r="C1835">
        <f>[1]发票导入!C1835&amp;""</f>
      </c>
      <c r="D1835">
        <f>[1]发票导入!D1835&amp;""</f>
      </c>
      <c r="O1835">
        <f>[1]发票导入!O1835&amp;""</f>
      </c>
      <c r="T1835">
        <f>[1]发票导入!T1835</f>
      </c>
      <c r="U1835">
        <f>[1]发票导入!U1835&amp;""</f>
      </c>
      <c r="V1835">
        <f>[1]发票导入!V1835&amp;""</f>
      </c>
      <c r="W1835">
        <f>[1]发票导入!W1835&amp;""</f>
      </c>
      <c r="Y1835">
        <f>[1]发票导入!Y1835&amp;""</f>
      </c>
      <c r="AA1835">
        <f>[1]发票导入!AA1835&amp;""</f>
      </c>
      <c r="AB1835">
        <f>[1]发票导入!AB1835</f>
        <v>0</v>
      </c>
      <c r="AC1835">
        <f>[1]发票导入!AC1835</f>
        <v>0</v>
      </c>
      <c r="AE1835" s="22">
        <f t="shared" si="0"/>
      </c>
      <c r="AI1835">
        <f>[1]发票导入!AI1835&amp;""</f>
      </c>
      <c r="AJ1835">
        <f>[1]发票导入!AJ1835&amp;""</f>
      </c>
      <c r="AK1835">
        <f>[1]发票导入!AK1835</f>
        <v>0</v>
      </c>
      <c r="AL1835">
        <f>[1]发票导入!AL1835</f>
        <v>0</v>
      </c>
      <c r="AM1835">
        <f>[1]发票导入!AM1835</f>
        <v>0</v>
      </c>
      <c r="AN1835" s="22">
        <f t="shared" si="1"/>
        <v>0</v>
      </c>
      <c r="AO1835" s="22">
        <f t="shared" si="2"/>
        <v>0</v>
      </c>
    </row>
    <row r="1836">
      <c r="C1836">
        <f>[1]发票导入!C1836&amp;""</f>
      </c>
      <c r="D1836">
        <f>[1]发票导入!D1836&amp;""</f>
      </c>
      <c r="O1836">
        <f>[1]发票导入!O1836&amp;""</f>
      </c>
      <c r="T1836">
        <f>[1]发票导入!T1836</f>
      </c>
      <c r="U1836">
        <f>[1]发票导入!U1836&amp;""</f>
      </c>
      <c r="V1836">
        <f>[1]发票导入!V1836&amp;""</f>
      </c>
      <c r="W1836">
        <f>[1]发票导入!W1836&amp;""</f>
      </c>
      <c r="Y1836">
        <f>[1]发票导入!Y1836&amp;""</f>
      </c>
      <c r="AA1836">
        <f>[1]发票导入!AA1836&amp;""</f>
      </c>
      <c r="AB1836">
        <f>[1]发票导入!AB1836</f>
        <v>0</v>
      </c>
      <c r="AC1836">
        <f>[1]发票导入!AC1836</f>
        <v>0</v>
      </c>
      <c r="AE1836" s="22">
        <f t="shared" si="0"/>
      </c>
      <c r="AI1836">
        <f>[1]发票导入!AI1836&amp;""</f>
      </c>
      <c r="AJ1836">
        <f>[1]发票导入!AJ1836&amp;""</f>
      </c>
      <c r="AK1836">
        <f>[1]发票导入!AK1836</f>
        <v>0</v>
      </c>
      <c r="AL1836">
        <f>[1]发票导入!AL1836</f>
        <v>0</v>
      </c>
      <c r="AM1836">
        <f>[1]发票导入!AM1836</f>
        <v>0</v>
      </c>
      <c r="AN1836" s="22">
        <f t="shared" si="1"/>
        <v>0</v>
      </c>
      <c r="AO1836" s="22">
        <f t="shared" si="2"/>
        <v>0</v>
      </c>
    </row>
    <row r="1837">
      <c r="C1837">
        <f>[1]发票导入!C1837&amp;""</f>
      </c>
      <c r="D1837">
        <f>[1]发票导入!D1837&amp;""</f>
      </c>
      <c r="O1837">
        <f>[1]发票导入!O1837&amp;""</f>
      </c>
      <c r="T1837">
        <f>[1]发票导入!T1837</f>
      </c>
      <c r="U1837">
        <f>[1]发票导入!U1837&amp;""</f>
      </c>
      <c r="V1837">
        <f>[1]发票导入!V1837&amp;""</f>
      </c>
      <c r="W1837">
        <f>[1]发票导入!W1837&amp;""</f>
      </c>
      <c r="Y1837">
        <f>[1]发票导入!Y1837&amp;""</f>
      </c>
      <c r="AA1837">
        <f>[1]发票导入!AA1837&amp;""</f>
      </c>
      <c r="AB1837">
        <f>[1]发票导入!AB1837</f>
        <v>0</v>
      </c>
      <c r="AC1837">
        <f>[1]发票导入!AC1837</f>
        <v>0</v>
      </c>
      <c r="AE1837" s="22">
        <f t="shared" si="0"/>
      </c>
      <c r="AI1837">
        <f>[1]发票导入!AI1837&amp;""</f>
      </c>
      <c r="AJ1837">
        <f>[1]发票导入!AJ1837&amp;""</f>
      </c>
      <c r="AK1837">
        <f>[1]发票导入!AK1837</f>
        <v>0</v>
      </c>
      <c r="AL1837">
        <f>[1]发票导入!AL1837</f>
        <v>0</v>
      </c>
      <c r="AM1837">
        <f>[1]发票导入!AM1837</f>
        <v>0</v>
      </c>
      <c r="AN1837" s="22">
        <f t="shared" si="1"/>
        <v>0</v>
      </c>
      <c r="AO1837" s="22">
        <f t="shared" si="2"/>
        <v>0</v>
      </c>
    </row>
    <row r="1838">
      <c r="C1838">
        <f>[1]发票导入!C1838&amp;""</f>
      </c>
      <c r="D1838">
        <f>[1]发票导入!D1838&amp;""</f>
      </c>
      <c r="O1838">
        <f>[1]发票导入!O1838&amp;""</f>
      </c>
      <c r="T1838">
        <f>[1]发票导入!T1838</f>
      </c>
      <c r="U1838">
        <f>[1]发票导入!U1838&amp;""</f>
      </c>
      <c r="V1838">
        <f>[1]发票导入!V1838&amp;""</f>
      </c>
      <c r="W1838">
        <f>[1]发票导入!W1838&amp;""</f>
      </c>
      <c r="Y1838">
        <f>[1]发票导入!Y1838&amp;""</f>
      </c>
      <c r="AA1838">
        <f>[1]发票导入!AA1838&amp;""</f>
      </c>
      <c r="AB1838">
        <f>[1]发票导入!AB1838</f>
        <v>0</v>
      </c>
      <c r="AC1838">
        <f>[1]发票导入!AC1838</f>
        <v>0</v>
      </c>
      <c r="AE1838" s="22">
        <f t="shared" si="0"/>
      </c>
      <c r="AI1838">
        <f>[1]发票导入!AI1838&amp;""</f>
      </c>
      <c r="AJ1838">
        <f>[1]发票导入!AJ1838&amp;""</f>
      </c>
      <c r="AK1838">
        <f>[1]发票导入!AK1838</f>
        <v>0</v>
      </c>
      <c r="AL1838">
        <f>[1]发票导入!AL1838</f>
        <v>0</v>
      </c>
      <c r="AM1838">
        <f>[1]发票导入!AM1838</f>
        <v>0</v>
      </c>
      <c r="AN1838" s="22">
        <f t="shared" si="1"/>
        <v>0</v>
      </c>
      <c r="AO1838" s="22">
        <f t="shared" si="2"/>
        <v>0</v>
      </c>
    </row>
    <row r="1839">
      <c r="C1839">
        <f>[1]发票导入!C1839&amp;""</f>
      </c>
      <c r="D1839">
        <f>[1]发票导入!D1839&amp;""</f>
      </c>
      <c r="O1839">
        <f>[1]发票导入!O1839&amp;""</f>
      </c>
      <c r="T1839">
        <f>[1]发票导入!T1839</f>
      </c>
      <c r="U1839">
        <f>[1]发票导入!U1839&amp;""</f>
      </c>
      <c r="V1839">
        <f>[1]发票导入!V1839&amp;""</f>
      </c>
      <c r="W1839">
        <f>[1]发票导入!W1839&amp;""</f>
      </c>
      <c r="Y1839">
        <f>[1]发票导入!Y1839&amp;""</f>
      </c>
      <c r="AA1839">
        <f>[1]发票导入!AA1839&amp;""</f>
      </c>
      <c r="AB1839">
        <f>[1]发票导入!AB1839</f>
        <v>0</v>
      </c>
      <c r="AC1839">
        <f>[1]发票导入!AC1839</f>
        <v>0</v>
      </c>
      <c r="AE1839" s="22">
        <f t="shared" si="0"/>
      </c>
      <c r="AI1839">
        <f>[1]发票导入!AI1839&amp;""</f>
      </c>
      <c r="AJ1839">
        <f>[1]发票导入!AJ1839&amp;""</f>
      </c>
      <c r="AK1839">
        <f>[1]发票导入!AK1839</f>
        <v>0</v>
      </c>
      <c r="AL1839">
        <f>[1]发票导入!AL1839</f>
        <v>0</v>
      </c>
      <c r="AM1839">
        <f>[1]发票导入!AM1839</f>
        <v>0</v>
      </c>
      <c r="AN1839" s="22">
        <f t="shared" si="1"/>
        <v>0</v>
      </c>
      <c r="AO1839" s="22">
        <f t="shared" si="2"/>
        <v>0</v>
      </c>
    </row>
    <row r="1840">
      <c r="C1840">
        <f>[1]发票导入!C1840&amp;""</f>
      </c>
      <c r="D1840">
        <f>[1]发票导入!D1840&amp;""</f>
      </c>
      <c r="O1840">
        <f>[1]发票导入!O1840&amp;""</f>
      </c>
      <c r="T1840">
        <f>[1]发票导入!T1840</f>
      </c>
      <c r="U1840">
        <f>[1]发票导入!U1840&amp;""</f>
      </c>
      <c r="V1840">
        <f>[1]发票导入!V1840&amp;""</f>
      </c>
      <c r="W1840">
        <f>[1]发票导入!W1840&amp;""</f>
      </c>
      <c r="Y1840">
        <f>[1]发票导入!Y1840&amp;""</f>
      </c>
      <c r="AA1840">
        <f>[1]发票导入!AA1840&amp;""</f>
      </c>
      <c r="AB1840">
        <f>[1]发票导入!AB1840</f>
        <v>0</v>
      </c>
      <c r="AC1840">
        <f>[1]发票导入!AC1840</f>
        <v>0</v>
      </c>
      <c r="AE1840" s="22">
        <f t="shared" si="0"/>
      </c>
      <c r="AI1840">
        <f>[1]发票导入!AI1840&amp;""</f>
      </c>
      <c r="AJ1840">
        <f>[1]发票导入!AJ1840&amp;""</f>
      </c>
      <c r="AK1840">
        <f>[1]发票导入!AK1840</f>
        <v>0</v>
      </c>
      <c r="AL1840">
        <f>[1]发票导入!AL1840</f>
        <v>0</v>
      </c>
      <c r="AM1840">
        <f>[1]发票导入!AM1840</f>
        <v>0</v>
      </c>
      <c r="AN1840" s="22">
        <f t="shared" si="1"/>
        <v>0</v>
      </c>
      <c r="AO1840" s="22">
        <f t="shared" si="2"/>
        <v>0</v>
      </c>
    </row>
    <row r="1841">
      <c r="C1841">
        <f>[1]发票导入!C1841&amp;""</f>
      </c>
      <c r="D1841">
        <f>[1]发票导入!D1841&amp;""</f>
      </c>
      <c r="O1841">
        <f>[1]发票导入!O1841&amp;""</f>
      </c>
      <c r="T1841">
        <f>[1]发票导入!T1841</f>
      </c>
      <c r="U1841">
        <f>[1]发票导入!U1841&amp;""</f>
      </c>
      <c r="V1841">
        <f>[1]发票导入!V1841&amp;""</f>
      </c>
      <c r="W1841">
        <f>[1]发票导入!W1841&amp;""</f>
      </c>
      <c r="Y1841">
        <f>[1]发票导入!Y1841&amp;""</f>
      </c>
      <c r="AA1841">
        <f>[1]发票导入!AA1841&amp;""</f>
      </c>
      <c r="AB1841">
        <f>[1]发票导入!AB1841</f>
        <v>0</v>
      </c>
      <c r="AC1841">
        <f>[1]发票导入!AC1841</f>
        <v>0</v>
      </c>
      <c r="AE1841" s="22">
        <f t="shared" si="0"/>
      </c>
      <c r="AI1841">
        <f>[1]发票导入!AI1841&amp;""</f>
      </c>
      <c r="AJ1841">
        <f>[1]发票导入!AJ1841&amp;""</f>
      </c>
      <c r="AK1841">
        <f>[1]发票导入!AK1841</f>
        <v>0</v>
      </c>
      <c r="AL1841">
        <f>[1]发票导入!AL1841</f>
        <v>0</v>
      </c>
      <c r="AM1841">
        <f>[1]发票导入!AM1841</f>
        <v>0</v>
      </c>
      <c r="AN1841" s="22">
        <f t="shared" si="1"/>
        <v>0</v>
      </c>
      <c r="AO1841" s="22">
        <f t="shared" si="2"/>
        <v>0</v>
      </c>
    </row>
    <row r="1842">
      <c r="C1842">
        <f>[1]发票导入!C1842&amp;""</f>
      </c>
      <c r="D1842">
        <f>[1]发票导入!D1842&amp;""</f>
      </c>
      <c r="O1842">
        <f>[1]发票导入!O1842&amp;""</f>
      </c>
      <c r="T1842">
        <f>[1]发票导入!T1842</f>
      </c>
      <c r="U1842">
        <f>[1]发票导入!U1842&amp;""</f>
      </c>
      <c r="V1842">
        <f>[1]发票导入!V1842&amp;""</f>
      </c>
      <c r="W1842">
        <f>[1]发票导入!W1842&amp;""</f>
      </c>
      <c r="Y1842">
        <f>[1]发票导入!Y1842&amp;""</f>
      </c>
      <c r="AA1842">
        <f>[1]发票导入!AA1842&amp;""</f>
      </c>
      <c r="AB1842">
        <f>[1]发票导入!AB1842</f>
        <v>0</v>
      </c>
      <c r="AC1842">
        <f>[1]发票导入!AC1842</f>
        <v>0</v>
      </c>
      <c r="AE1842" s="22">
        <f t="shared" si="0"/>
      </c>
      <c r="AI1842">
        <f>[1]发票导入!AI1842&amp;""</f>
      </c>
      <c r="AJ1842">
        <f>[1]发票导入!AJ1842&amp;""</f>
      </c>
      <c r="AK1842">
        <f>[1]发票导入!AK1842</f>
        <v>0</v>
      </c>
      <c r="AL1842">
        <f>[1]发票导入!AL1842</f>
        <v>0</v>
      </c>
      <c r="AM1842">
        <f>[1]发票导入!AM1842</f>
        <v>0</v>
      </c>
      <c r="AN1842" s="22">
        <f t="shared" si="1"/>
        <v>0</v>
      </c>
      <c r="AO1842" s="22">
        <f t="shared" si="2"/>
        <v>0</v>
      </c>
    </row>
    <row r="1843">
      <c r="C1843">
        <f>[1]发票导入!C1843&amp;""</f>
      </c>
      <c r="D1843">
        <f>[1]发票导入!D1843&amp;""</f>
      </c>
      <c r="O1843">
        <f>[1]发票导入!O1843&amp;""</f>
      </c>
      <c r="T1843">
        <f>[1]发票导入!T1843</f>
      </c>
      <c r="U1843">
        <f>[1]发票导入!U1843&amp;""</f>
      </c>
      <c r="V1843">
        <f>[1]发票导入!V1843&amp;""</f>
      </c>
      <c r="W1843">
        <f>[1]发票导入!W1843&amp;""</f>
      </c>
      <c r="Y1843">
        <f>[1]发票导入!Y1843&amp;""</f>
      </c>
      <c r="AA1843">
        <f>[1]发票导入!AA1843&amp;""</f>
      </c>
      <c r="AB1843">
        <f>[1]发票导入!AB1843</f>
        <v>0</v>
      </c>
      <c r="AC1843">
        <f>[1]发票导入!AC1843</f>
        <v>0</v>
      </c>
      <c r="AE1843" s="22">
        <f t="shared" si="0"/>
      </c>
      <c r="AI1843">
        <f>[1]发票导入!AI1843&amp;""</f>
      </c>
      <c r="AJ1843">
        <f>[1]发票导入!AJ1843&amp;""</f>
      </c>
      <c r="AK1843">
        <f>[1]发票导入!AK1843</f>
        <v>0</v>
      </c>
      <c r="AL1843">
        <f>[1]发票导入!AL1843</f>
        <v>0</v>
      </c>
      <c r="AM1843">
        <f>[1]发票导入!AM1843</f>
        <v>0</v>
      </c>
      <c r="AN1843" s="22">
        <f t="shared" si="1"/>
        <v>0</v>
      </c>
      <c r="AO1843" s="22">
        <f t="shared" si="2"/>
        <v>0</v>
      </c>
    </row>
    <row r="1844">
      <c r="C1844">
        <f>[1]发票导入!C1844&amp;""</f>
      </c>
      <c r="D1844">
        <f>[1]发票导入!D1844&amp;""</f>
      </c>
      <c r="O1844">
        <f>[1]发票导入!O1844&amp;""</f>
      </c>
      <c r="T1844">
        <f>[1]发票导入!T1844</f>
      </c>
      <c r="U1844">
        <f>[1]发票导入!U1844&amp;""</f>
      </c>
      <c r="V1844">
        <f>[1]发票导入!V1844&amp;""</f>
      </c>
      <c r="W1844">
        <f>[1]发票导入!W1844&amp;""</f>
      </c>
      <c r="Y1844">
        <f>[1]发票导入!Y1844&amp;""</f>
      </c>
      <c r="AA1844">
        <f>[1]发票导入!AA1844&amp;""</f>
      </c>
      <c r="AB1844">
        <f>[1]发票导入!AB1844</f>
        <v>0</v>
      </c>
      <c r="AC1844">
        <f>[1]发票导入!AC1844</f>
        <v>0</v>
      </c>
      <c r="AE1844" s="22">
        <f t="shared" si="0"/>
      </c>
      <c r="AI1844">
        <f>[1]发票导入!AI1844&amp;""</f>
      </c>
      <c r="AJ1844">
        <f>[1]发票导入!AJ1844&amp;""</f>
      </c>
      <c r="AK1844">
        <f>[1]发票导入!AK1844</f>
        <v>0</v>
      </c>
      <c r="AL1844">
        <f>[1]发票导入!AL1844</f>
        <v>0</v>
      </c>
      <c r="AM1844">
        <f>[1]发票导入!AM1844</f>
        <v>0</v>
      </c>
      <c r="AN1844" s="22">
        <f t="shared" si="1"/>
        <v>0</v>
      </c>
      <c r="AO1844" s="22">
        <f t="shared" si="2"/>
        <v>0</v>
      </c>
    </row>
    <row r="1845">
      <c r="C1845">
        <f>[1]发票导入!C1845&amp;""</f>
      </c>
      <c r="D1845">
        <f>[1]发票导入!D1845&amp;""</f>
      </c>
      <c r="O1845">
        <f>[1]发票导入!O1845&amp;""</f>
      </c>
      <c r="T1845">
        <f>[1]发票导入!T1845</f>
      </c>
      <c r="U1845">
        <f>[1]发票导入!U1845&amp;""</f>
      </c>
      <c r="V1845">
        <f>[1]发票导入!V1845&amp;""</f>
      </c>
      <c r="W1845">
        <f>[1]发票导入!W1845&amp;""</f>
      </c>
      <c r="Y1845">
        <f>[1]发票导入!Y1845&amp;""</f>
      </c>
      <c r="AA1845">
        <f>[1]发票导入!AA1845&amp;""</f>
      </c>
      <c r="AB1845">
        <f>[1]发票导入!AB1845</f>
        <v>0</v>
      </c>
      <c r="AC1845">
        <f>[1]发票导入!AC1845</f>
        <v>0</v>
      </c>
      <c r="AE1845" s="22">
        <f t="shared" si="0"/>
      </c>
      <c r="AI1845">
        <f>[1]发票导入!AI1845&amp;""</f>
      </c>
      <c r="AJ1845">
        <f>[1]发票导入!AJ1845&amp;""</f>
      </c>
      <c r="AK1845">
        <f>[1]发票导入!AK1845</f>
        <v>0</v>
      </c>
      <c r="AL1845">
        <f>[1]发票导入!AL1845</f>
        <v>0</v>
      </c>
      <c r="AM1845">
        <f>[1]发票导入!AM1845</f>
        <v>0</v>
      </c>
      <c r="AN1845" s="22">
        <f t="shared" si="1"/>
        <v>0</v>
      </c>
      <c r="AO1845" s="22">
        <f t="shared" si="2"/>
        <v>0</v>
      </c>
    </row>
    <row r="1846">
      <c r="C1846">
        <f>[1]发票导入!C1846&amp;""</f>
      </c>
      <c r="D1846">
        <f>[1]发票导入!D1846&amp;""</f>
      </c>
      <c r="O1846">
        <f>[1]发票导入!O1846&amp;""</f>
      </c>
      <c r="T1846">
        <f>[1]发票导入!T1846</f>
      </c>
      <c r="U1846">
        <f>[1]发票导入!U1846&amp;""</f>
      </c>
      <c r="V1846">
        <f>[1]发票导入!V1846&amp;""</f>
      </c>
      <c r="W1846">
        <f>[1]发票导入!W1846&amp;""</f>
      </c>
      <c r="Y1846">
        <f>[1]发票导入!Y1846&amp;""</f>
      </c>
      <c r="AA1846">
        <f>[1]发票导入!AA1846&amp;""</f>
      </c>
      <c r="AB1846">
        <f>[1]发票导入!AB1846</f>
        <v>0</v>
      </c>
      <c r="AC1846">
        <f>[1]发票导入!AC1846</f>
        <v>0</v>
      </c>
      <c r="AE1846" s="22">
        <f t="shared" si="0"/>
      </c>
      <c r="AI1846">
        <f>[1]发票导入!AI1846&amp;""</f>
      </c>
      <c r="AJ1846">
        <f>[1]发票导入!AJ1846&amp;""</f>
      </c>
      <c r="AK1846">
        <f>[1]发票导入!AK1846</f>
        <v>0</v>
      </c>
      <c r="AL1846">
        <f>[1]发票导入!AL1846</f>
        <v>0</v>
      </c>
      <c r="AM1846">
        <f>[1]发票导入!AM1846</f>
        <v>0</v>
      </c>
      <c r="AN1846" s="22">
        <f t="shared" si="1"/>
        <v>0</v>
      </c>
      <c r="AO1846" s="22">
        <f t="shared" si="2"/>
        <v>0</v>
      </c>
    </row>
    <row r="1847">
      <c r="C1847">
        <f>[1]发票导入!C1847&amp;""</f>
      </c>
      <c r="D1847">
        <f>[1]发票导入!D1847&amp;""</f>
      </c>
      <c r="O1847">
        <f>[1]发票导入!O1847&amp;""</f>
      </c>
      <c r="T1847">
        <f>[1]发票导入!T1847</f>
      </c>
      <c r="U1847">
        <f>[1]发票导入!U1847&amp;""</f>
      </c>
      <c r="V1847">
        <f>[1]发票导入!V1847&amp;""</f>
      </c>
      <c r="W1847">
        <f>[1]发票导入!W1847&amp;""</f>
      </c>
      <c r="Y1847">
        <f>[1]发票导入!Y1847&amp;""</f>
      </c>
      <c r="AA1847">
        <f>[1]发票导入!AA1847&amp;""</f>
      </c>
      <c r="AB1847">
        <f>[1]发票导入!AB1847</f>
        <v>0</v>
      </c>
      <c r="AC1847">
        <f>[1]发票导入!AC1847</f>
        <v>0</v>
      </c>
      <c r="AE1847" s="22">
        <f t="shared" si="0"/>
      </c>
      <c r="AI1847">
        <f>[1]发票导入!AI1847&amp;""</f>
      </c>
      <c r="AJ1847">
        <f>[1]发票导入!AJ1847&amp;""</f>
      </c>
      <c r="AK1847">
        <f>[1]发票导入!AK1847</f>
        <v>0</v>
      </c>
      <c r="AL1847">
        <f>[1]发票导入!AL1847</f>
        <v>0</v>
      </c>
      <c r="AM1847">
        <f>[1]发票导入!AM1847</f>
        <v>0</v>
      </c>
      <c r="AN1847" s="22">
        <f t="shared" si="1"/>
        <v>0</v>
      </c>
      <c r="AO1847" s="22">
        <f t="shared" si="2"/>
        <v>0</v>
      </c>
    </row>
    <row r="1848">
      <c r="C1848">
        <f>[1]发票导入!C1848&amp;""</f>
      </c>
      <c r="D1848">
        <f>[1]发票导入!D1848&amp;""</f>
      </c>
      <c r="O1848">
        <f>[1]发票导入!O1848&amp;""</f>
      </c>
      <c r="T1848">
        <f>[1]发票导入!T1848</f>
      </c>
      <c r="U1848">
        <f>[1]发票导入!U1848&amp;""</f>
      </c>
      <c r="V1848">
        <f>[1]发票导入!V1848&amp;""</f>
      </c>
      <c r="W1848">
        <f>[1]发票导入!W1848&amp;""</f>
      </c>
      <c r="Y1848">
        <f>[1]发票导入!Y1848&amp;""</f>
      </c>
      <c r="AA1848">
        <f>[1]发票导入!AA1848&amp;""</f>
      </c>
      <c r="AB1848">
        <f>[1]发票导入!AB1848</f>
        <v>0</v>
      </c>
      <c r="AC1848">
        <f>[1]发票导入!AC1848</f>
        <v>0</v>
      </c>
      <c r="AE1848" s="22">
        <f t="shared" si="0"/>
      </c>
      <c r="AI1848">
        <f>[1]发票导入!AI1848&amp;""</f>
      </c>
      <c r="AJ1848">
        <f>[1]发票导入!AJ1848&amp;""</f>
      </c>
      <c r="AK1848">
        <f>[1]发票导入!AK1848</f>
        <v>0</v>
      </c>
      <c r="AL1848">
        <f>[1]发票导入!AL1848</f>
        <v>0</v>
      </c>
      <c r="AM1848">
        <f>[1]发票导入!AM1848</f>
        <v>0</v>
      </c>
      <c r="AN1848" s="22">
        <f t="shared" si="1"/>
        <v>0</v>
      </c>
      <c r="AO1848" s="22">
        <f t="shared" si="2"/>
        <v>0</v>
      </c>
    </row>
    <row r="1849">
      <c r="C1849">
        <f>[1]发票导入!C1849&amp;""</f>
      </c>
      <c r="D1849">
        <f>[1]发票导入!D1849&amp;""</f>
      </c>
      <c r="O1849">
        <f>[1]发票导入!O1849&amp;""</f>
      </c>
      <c r="T1849">
        <f>[1]发票导入!T1849</f>
      </c>
      <c r="U1849">
        <f>[1]发票导入!U1849&amp;""</f>
      </c>
      <c r="V1849">
        <f>[1]发票导入!V1849&amp;""</f>
      </c>
      <c r="W1849">
        <f>[1]发票导入!W1849&amp;""</f>
      </c>
      <c r="Y1849">
        <f>[1]发票导入!Y1849&amp;""</f>
      </c>
      <c r="AA1849">
        <f>[1]发票导入!AA1849&amp;""</f>
      </c>
      <c r="AB1849">
        <f>[1]发票导入!AB1849</f>
        <v>0</v>
      </c>
      <c r="AC1849">
        <f>[1]发票导入!AC1849</f>
        <v>0</v>
      </c>
      <c r="AE1849" s="22">
        <f t="shared" si="0"/>
      </c>
      <c r="AI1849">
        <f>[1]发票导入!AI1849&amp;""</f>
      </c>
      <c r="AJ1849">
        <f>[1]发票导入!AJ1849&amp;""</f>
      </c>
      <c r="AK1849">
        <f>[1]发票导入!AK1849</f>
        <v>0</v>
      </c>
      <c r="AL1849">
        <f>[1]发票导入!AL1849</f>
        <v>0</v>
      </c>
      <c r="AM1849">
        <f>[1]发票导入!AM1849</f>
        <v>0</v>
      </c>
      <c r="AN1849" s="22">
        <f t="shared" si="1"/>
        <v>0</v>
      </c>
      <c r="AO1849" s="22">
        <f t="shared" si="2"/>
        <v>0</v>
      </c>
    </row>
    <row r="1850">
      <c r="C1850">
        <f>[1]发票导入!C1850&amp;""</f>
      </c>
      <c r="D1850">
        <f>[1]发票导入!D1850&amp;""</f>
      </c>
      <c r="O1850">
        <f>[1]发票导入!O1850&amp;""</f>
      </c>
      <c r="T1850">
        <f>[1]发票导入!T1850</f>
      </c>
      <c r="U1850">
        <f>[1]发票导入!U1850&amp;""</f>
      </c>
      <c r="V1850">
        <f>[1]发票导入!V1850&amp;""</f>
      </c>
      <c r="W1850">
        <f>[1]发票导入!W1850&amp;""</f>
      </c>
      <c r="Y1850">
        <f>[1]发票导入!Y1850&amp;""</f>
      </c>
      <c r="AA1850">
        <f>[1]发票导入!AA1850&amp;""</f>
      </c>
      <c r="AB1850">
        <f>[1]发票导入!AB1850</f>
        <v>0</v>
      </c>
      <c r="AC1850">
        <f>[1]发票导入!AC1850</f>
        <v>0</v>
      </c>
      <c r="AE1850" s="22">
        <f t="shared" si="0"/>
      </c>
      <c r="AI1850">
        <f>[1]发票导入!AI1850&amp;""</f>
      </c>
      <c r="AJ1850">
        <f>[1]发票导入!AJ1850&amp;""</f>
      </c>
      <c r="AK1850">
        <f>[1]发票导入!AK1850</f>
        <v>0</v>
      </c>
      <c r="AL1850">
        <f>[1]发票导入!AL1850</f>
        <v>0</v>
      </c>
      <c r="AM1850">
        <f>[1]发票导入!AM1850</f>
        <v>0</v>
      </c>
      <c r="AN1850" s="22">
        <f t="shared" si="1"/>
        <v>0</v>
      </c>
      <c r="AO1850" s="22">
        <f t="shared" si="2"/>
        <v>0</v>
      </c>
    </row>
    <row r="1851">
      <c r="C1851">
        <f>[1]发票导入!C1851&amp;""</f>
      </c>
      <c r="D1851">
        <f>[1]发票导入!D1851&amp;""</f>
      </c>
      <c r="O1851">
        <f>[1]发票导入!O1851&amp;""</f>
      </c>
      <c r="T1851">
        <f>[1]发票导入!T1851</f>
      </c>
      <c r="U1851">
        <f>[1]发票导入!U1851&amp;""</f>
      </c>
      <c r="V1851">
        <f>[1]发票导入!V1851&amp;""</f>
      </c>
      <c r="W1851">
        <f>[1]发票导入!W1851&amp;""</f>
      </c>
      <c r="Y1851">
        <f>[1]发票导入!Y1851&amp;""</f>
      </c>
      <c r="AA1851">
        <f>[1]发票导入!AA1851&amp;""</f>
      </c>
      <c r="AB1851">
        <f>[1]发票导入!AB1851</f>
        <v>0</v>
      </c>
      <c r="AC1851">
        <f>[1]发票导入!AC1851</f>
        <v>0</v>
      </c>
      <c r="AE1851" s="22">
        <f t="shared" si="0"/>
      </c>
      <c r="AI1851">
        <f>[1]发票导入!AI1851&amp;""</f>
      </c>
      <c r="AJ1851">
        <f>[1]发票导入!AJ1851&amp;""</f>
      </c>
      <c r="AK1851">
        <f>[1]发票导入!AK1851</f>
        <v>0</v>
      </c>
      <c r="AL1851">
        <f>[1]发票导入!AL1851</f>
        <v>0</v>
      </c>
      <c r="AM1851">
        <f>[1]发票导入!AM1851</f>
        <v>0</v>
      </c>
      <c r="AN1851" s="22">
        <f t="shared" si="1"/>
        <v>0</v>
      </c>
      <c r="AO1851" s="22">
        <f t="shared" si="2"/>
        <v>0</v>
      </c>
    </row>
    <row r="1852">
      <c r="C1852">
        <f>[1]发票导入!C1852&amp;""</f>
      </c>
      <c r="D1852">
        <f>[1]发票导入!D1852&amp;""</f>
      </c>
      <c r="O1852">
        <f>[1]发票导入!O1852&amp;""</f>
      </c>
      <c r="T1852">
        <f>[1]发票导入!T1852</f>
      </c>
      <c r="U1852">
        <f>[1]发票导入!U1852&amp;""</f>
      </c>
      <c r="V1852">
        <f>[1]发票导入!V1852&amp;""</f>
      </c>
      <c r="W1852">
        <f>[1]发票导入!W1852&amp;""</f>
      </c>
      <c r="Y1852">
        <f>[1]发票导入!Y1852&amp;""</f>
      </c>
      <c r="AA1852">
        <f>[1]发票导入!AA1852&amp;""</f>
      </c>
      <c r="AB1852">
        <f>[1]发票导入!AB1852</f>
        <v>0</v>
      </c>
      <c r="AC1852">
        <f>[1]发票导入!AC1852</f>
        <v>0</v>
      </c>
      <c r="AE1852" s="22">
        <f t="shared" si="0"/>
      </c>
      <c r="AI1852">
        <f>[1]发票导入!AI1852&amp;""</f>
      </c>
      <c r="AJ1852">
        <f>[1]发票导入!AJ1852&amp;""</f>
      </c>
      <c r="AK1852">
        <f>[1]发票导入!AK1852</f>
        <v>0</v>
      </c>
      <c r="AL1852">
        <f>[1]发票导入!AL1852</f>
        <v>0</v>
      </c>
      <c r="AM1852">
        <f>[1]发票导入!AM1852</f>
        <v>0</v>
      </c>
      <c r="AN1852" s="22">
        <f t="shared" si="1"/>
        <v>0</v>
      </c>
      <c r="AO1852" s="22">
        <f t="shared" si="2"/>
        <v>0</v>
      </c>
    </row>
    <row r="1853">
      <c r="C1853">
        <f>[1]发票导入!C1853&amp;""</f>
      </c>
      <c r="D1853">
        <f>[1]发票导入!D1853&amp;""</f>
      </c>
      <c r="O1853">
        <f>[1]发票导入!O1853&amp;""</f>
      </c>
      <c r="T1853">
        <f>[1]发票导入!T1853</f>
      </c>
      <c r="U1853">
        <f>[1]发票导入!U1853&amp;""</f>
      </c>
      <c r="V1853">
        <f>[1]发票导入!V1853&amp;""</f>
      </c>
      <c r="W1853">
        <f>[1]发票导入!W1853&amp;""</f>
      </c>
      <c r="Y1853">
        <f>[1]发票导入!Y1853&amp;""</f>
      </c>
      <c r="AA1853">
        <f>[1]发票导入!AA1853&amp;""</f>
      </c>
      <c r="AB1853">
        <f>[1]发票导入!AB1853</f>
        <v>0</v>
      </c>
      <c r="AC1853">
        <f>[1]发票导入!AC1853</f>
        <v>0</v>
      </c>
      <c r="AE1853" s="22">
        <f t="shared" si="0"/>
      </c>
      <c r="AI1853">
        <f>[1]发票导入!AI1853&amp;""</f>
      </c>
      <c r="AJ1853">
        <f>[1]发票导入!AJ1853&amp;""</f>
      </c>
      <c r="AK1853">
        <f>[1]发票导入!AK1853</f>
        <v>0</v>
      </c>
      <c r="AL1853">
        <f>[1]发票导入!AL1853</f>
        <v>0</v>
      </c>
      <c r="AM1853">
        <f>[1]发票导入!AM1853</f>
        <v>0</v>
      </c>
      <c r="AN1853" s="22">
        <f t="shared" si="1"/>
        <v>0</v>
      </c>
      <c r="AO1853" s="22">
        <f t="shared" si="2"/>
        <v>0</v>
      </c>
    </row>
    <row r="1854">
      <c r="C1854">
        <f>[1]发票导入!C1854&amp;""</f>
      </c>
      <c r="D1854">
        <f>[1]发票导入!D1854&amp;""</f>
      </c>
      <c r="O1854">
        <f>[1]发票导入!O1854&amp;""</f>
      </c>
      <c r="T1854">
        <f>[1]发票导入!T1854</f>
      </c>
      <c r="U1854">
        <f>[1]发票导入!U1854&amp;""</f>
      </c>
      <c r="V1854">
        <f>[1]发票导入!V1854&amp;""</f>
      </c>
      <c r="W1854">
        <f>[1]发票导入!W1854&amp;""</f>
      </c>
      <c r="Y1854">
        <f>[1]发票导入!Y1854&amp;""</f>
      </c>
      <c r="AA1854">
        <f>[1]发票导入!AA1854&amp;""</f>
      </c>
      <c r="AB1854">
        <f>[1]发票导入!AB1854</f>
        <v>0</v>
      </c>
      <c r="AC1854">
        <f>[1]发票导入!AC1854</f>
        <v>0</v>
      </c>
      <c r="AE1854" s="22">
        <f t="shared" si="0"/>
      </c>
      <c r="AI1854">
        <f>[1]发票导入!AI1854&amp;""</f>
      </c>
      <c r="AJ1854">
        <f>[1]发票导入!AJ1854&amp;""</f>
      </c>
      <c r="AK1854">
        <f>[1]发票导入!AK1854</f>
        <v>0</v>
      </c>
      <c r="AL1854">
        <f>[1]发票导入!AL1854</f>
        <v>0</v>
      </c>
      <c r="AM1854">
        <f>[1]发票导入!AM1854</f>
        <v>0</v>
      </c>
      <c r="AN1854" s="22">
        <f t="shared" si="1"/>
        <v>0</v>
      </c>
      <c r="AO1854" s="22">
        <f t="shared" si="2"/>
        <v>0</v>
      </c>
    </row>
    <row r="1855">
      <c r="C1855">
        <f>[1]发票导入!C1855&amp;""</f>
      </c>
      <c r="D1855">
        <f>[1]发票导入!D1855&amp;""</f>
      </c>
      <c r="O1855">
        <f>[1]发票导入!O1855&amp;""</f>
      </c>
      <c r="T1855">
        <f>[1]发票导入!T1855</f>
      </c>
      <c r="U1855">
        <f>[1]发票导入!U1855&amp;""</f>
      </c>
      <c r="V1855">
        <f>[1]发票导入!V1855&amp;""</f>
      </c>
      <c r="W1855">
        <f>[1]发票导入!W1855&amp;""</f>
      </c>
      <c r="Y1855">
        <f>[1]发票导入!Y1855&amp;""</f>
      </c>
      <c r="AA1855">
        <f>[1]发票导入!AA1855&amp;""</f>
      </c>
      <c r="AB1855">
        <f>[1]发票导入!AB1855</f>
        <v>0</v>
      </c>
      <c r="AC1855">
        <f>[1]发票导入!AC1855</f>
        <v>0</v>
      </c>
      <c r="AE1855" s="22">
        <f t="shared" si="0"/>
      </c>
      <c r="AI1855">
        <f>[1]发票导入!AI1855&amp;""</f>
      </c>
      <c r="AJ1855">
        <f>[1]发票导入!AJ1855&amp;""</f>
      </c>
      <c r="AK1855">
        <f>[1]发票导入!AK1855</f>
        <v>0</v>
      </c>
      <c r="AL1855">
        <f>[1]发票导入!AL1855</f>
        <v>0</v>
      </c>
      <c r="AM1855">
        <f>[1]发票导入!AM1855</f>
        <v>0</v>
      </c>
      <c r="AN1855" s="22">
        <f t="shared" si="1"/>
        <v>0</v>
      </c>
      <c r="AO1855" s="22">
        <f t="shared" si="2"/>
        <v>0</v>
      </c>
    </row>
    <row r="1856">
      <c r="C1856">
        <f>[1]发票导入!C1856&amp;""</f>
      </c>
      <c r="D1856">
        <f>[1]发票导入!D1856&amp;""</f>
      </c>
      <c r="O1856">
        <f>[1]发票导入!O1856&amp;""</f>
      </c>
      <c r="T1856">
        <f>[1]发票导入!T1856</f>
      </c>
      <c r="U1856">
        <f>[1]发票导入!U1856&amp;""</f>
      </c>
      <c r="V1856">
        <f>[1]发票导入!V1856&amp;""</f>
      </c>
      <c r="W1856">
        <f>[1]发票导入!W1856&amp;""</f>
      </c>
      <c r="Y1856">
        <f>[1]发票导入!Y1856&amp;""</f>
      </c>
      <c r="AA1856">
        <f>[1]发票导入!AA1856&amp;""</f>
      </c>
      <c r="AB1856">
        <f>[1]发票导入!AB1856</f>
        <v>0</v>
      </c>
      <c r="AC1856">
        <f>[1]发票导入!AC1856</f>
        <v>0</v>
      </c>
      <c r="AE1856" s="22">
        <f t="shared" si="0"/>
      </c>
      <c r="AI1856">
        <f>[1]发票导入!AI1856&amp;""</f>
      </c>
      <c r="AJ1856">
        <f>[1]发票导入!AJ1856&amp;""</f>
      </c>
      <c r="AK1856">
        <f>[1]发票导入!AK1856</f>
        <v>0</v>
      </c>
      <c r="AL1856">
        <f>[1]发票导入!AL1856</f>
        <v>0</v>
      </c>
      <c r="AM1856">
        <f>[1]发票导入!AM1856</f>
        <v>0</v>
      </c>
      <c r="AN1856" s="22">
        <f t="shared" si="1"/>
        <v>0</v>
      </c>
      <c r="AO1856" s="22">
        <f t="shared" si="2"/>
        <v>0</v>
      </c>
    </row>
    <row r="1857">
      <c r="C1857">
        <f>[1]发票导入!C1857&amp;""</f>
      </c>
      <c r="D1857">
        <f>[1]发票导入!D1857&amp;""</f>
      </c>
      <c r="O1857">
        <f>[1]发票导入!O1857&amp;""</f>
      </c>
      <c r="T1857">
        <f>[1]发票导入!T1857</f>
      </c>
      <c r="U1857">
        <f>[1]发票导入!U1857&amp;""</f>
      </c>
      <c r="V1857">
        <f>[1]发票导入!V1857&amp;""</f>
      </c>
      <c r="W1857">
        <f>[1]发票导入!W1857&amp;""</f>
      </c>
      <c r="Y1857">
        <f>[1]发票导入!Y1857&amp;""</f>
      </c>
      <c r="AA1857">
        <f>[1]发票导入!AA1857&amp;""</f>
      </c>
      <c r="AB1857">
        <f>[1]发票导入!AB1857</f>
        <v>0</v>
      </c>
      <c r="AC1857">
        <f>[1]发票导入!AC1857</f>
        <v>0</v>
      </c>
      <c r="AE1857" s="22">
        <f t="shared" si="0"/>
      </c>
      <c r="AI1857">
        <f>[1]发票导入!AI1857&amp;""</f>
      </c>
      <c r="AJ1857">
        <f>[1]发票导入!AJ1857&amp;""</f>
      </c>
      <c r="AK1857">
        <f>[1]发票导入!AK1857</f>
        <v>0</v>
      </c>
      <c r="AL1857">
        <f>[1]发票导入!AL1857</f>
        <v>0</v>
      </c>
      <c r="AM1857">
        <f>[1]发票导入!AM1857</f>
        <v>0</v>
      </c>
      <c r="AN1857" s="22">
        <f t="shared" si="1"/>
        <v>0</v>
      </c>
      <c r="AO1857" s="22">
        <f t="shared" si="2"/>
        <v>0</v>
      </c>
    </row>
    <row r="1858">
      <c r="C1858">
        <f>[1]发票导入!C1858&amp;""</f>
      </c>
      <c r="D1858">
        <f>[1]发票导入!D1858&amp;""</f>
      </c>
      <c r="O1858">
        <f>[1]发票导入!O1858&amp;""</f>
      </c>
      <c r="T1858">
        <f>[1]发票导入!T1858</f>
      </c>
      <c r="U1858">
        <f>[1]发票导入!U1858&amp;""</f>
      </c>
      <c r="V1858">
        <f>[1]发票导入!V1858&amp;""</f>
      </c>
      <c r="W1858">
        <f>[1]发票导入!W1858&amp;""</f>
      </c>
      <c r="Y1858">
        <f>[1]发票导入!Y1858&amp;""</f>
      </c>
      <c r="AA1858">
        <f>[1]发票导入!AA1858&amp;""</f>
      </c>
      <c r="AB1858">
        <f>[1]发票导入!AB1858</f>
        <v>0</v>
      </c>
      <c r="AC1858">
        <f>[1]发票导入!AC1858</f>
        <v>0</v>
      </c>
      <c r="AE1858" s="22">
        <f t="shared" si="0"/>
      </c>
      <c r="AI1858">
        <f>[1]发票导入!AI1858&amp;""</f>
      </c>
      <c r="AJ1858">
        <f>[1]发票导入!AJ1858&amp;""</f>
      </c>
      <c r="AK1858">
        <f>[1]发票导入!AK1858</f>
        <v>0</v>
      </c>
      <c r="AL1858">
        <f>[1]发票导入!AL1858</f>
        <v>0</v>
      </c>
      <c r="AM1858">
        <f>[1]发票导入!AM1858</f>
        <v>0</v>
      </c>
      <c r="AN1858" s="22">
        <f t="shared" si="1"/>
        <v>0</v>
      </c>
      <c r="AO1858" s="22">
        <f t="shared" si="2"/>
        <v>0</v>
      </c>
    </row>
    <row r="1859">
      <c r="C1859">
        <f>[1]发票导入!C1859&amp;""</f>
      </c>
      <c r="D1859">
        <f>[1]发票导入!D1859&amp;""</f>
      </c>
      <c r="O1859">
        <f>[1]发票导入!O1859&amp;""</f>
      </c>
      <c r="T1859">
        <f>[1]发票导入!T1859</f>
      </c>
      <c r="U1859">
        <f>[1]发票导入!U1859&amp;""</f>
      </c>
      <c r="V1859">
        <f>[1]发票导入!V1859&amp;""</f>
      </c>
      <c r="W1859">
        <f>[1]发票导入!W1859&amp;""</f>
      </c>
      <c r="Y1859">
        <f>[1]发票导入!Y1859&amp;""</f>
      </c>
      <c r="AA1859">
        <f>[1]发票导入!AA1859&amp;""</f>
      </c>
      <c r="AB1859">
        <f>[1]发票导入!AB1859</f>
        <v>0</v>
      </c>
      <c r="AC1859">
        <f>[1]发票导入!AC1859</f>
        <v>0</v>
      </c>
      <c r="AE1859" s="22">
        <f t="shared" si="0"/>
      </c>
      <c r="AI1859">
        <f>[1]发票导入!AI1859&amp;""</f>
      </c>
      <c r="AJ1859">
        <f>[1]发票导入!AJ1859&amp;""</f>
      </c>
      <c r="AK1859">
        <f>[1]发票导入!AK1859</f>
        <v>0</v>
      </c>
      <c r="AL1859">
        <f>[1]发票导入!AL1859</f>
        <v>0</v>
      </c>
      <c r="AM1859">
        <f>[1]发票导入!AM1859</f>
        <v>0</v>
      </c>
      <c r="AN1859" s="22">
        <f t="shared" si="1"/>
        <v>0</v>
      </c>
      <c r="AO1859" s="22">
        <f t="shared" si="2"/>
        <v>0</v>
      </c>
    </row>
    <row r="1860">
      <c r="C1860">
        <f>[1]发票导入!C1860&amp;""</f>
      </c>
      <c r="D1860">
        <f>[1]发票导入!D1860&amp;""</f>
      </c>
      <c r="O1860">
        <f>[1]发票导入!O1860&amp;""</f>
      </c>
      <c r="T1860">
        <f>[1]发票导入!T1860</f>
      </c>
      <c r="U1860">
        <f>[1]发票导入!U1860&amp;""</f>
      </c>
      <c r="V1860">
        <f>[1]发票导入!V1860&amp;""</f>
      </c>
      <c r="W1860">
        <f>[1]发票导入!W1860&amp;""</f>
      </c>
      <c r="Y1860">
        <f>[1]发票导入!Y1860&amp;""</f>
      </c>
      <c r="AA1860">
        <f>[1]发票导入!AA1860&amp;""</f>
      </c>
      <c r="AB1860">
        <f>[1]发票导入!AB1860</f>
        <v>0</v>
      </c>
      <c r="AC1860">
        <f>[1]发票导入!AC1860</f>
        <v>0</v>
      </c>
      <c r="AE1860" s="22">
        <f t="shared" si="0"/>
      </c>
      <c r="AI1860">
        <f>[1]发票导入!AI1860&amp;""</f>
      </c>
      <c r="AJ1860">
        <f>[1]发票导入!AJ1860&amp;""</f>
      </c>
      <c r="AK1860">
        <f>[1]发票导入!AK1860</f>
        <v>0</v>
      </c>
      <c r="AL1860">
        <f>[1]发票导入!AL1860</f>
        <v>0</v>
      </c>
      <c r="AM1860">
        <f>[1]发票导入!AM1860</f>
        <v>0</v>
      </c>
      <c r="AN1860" s="22">
        <f t="shared" si="1"/>
        <v>0</v>
      </c>
      <c r="AO1860" s="22">
        <f t="shared" si="2"/>
        <v>0</v>
      </c>
    </row>
    <row r="1861">
      <c r="C1861">
        <f>[1]发票导入!C1861&amp;""</f>
      </c>
      <c r="D1861">
        <f>[1]发票导入!D1861&amp;""</f>
      </c>
      <c r="O1861">
        <f>[1]发票导入!O1861&amp;""</f>
      </c>
      <c r="T1861">
        <f>[1]发票导入!T1861</f>
      </c>
      <c r="U1861">
        <f>[1]发票导入!U1861&amp;""</f>
      </c>
      <c r="V1861">
        <f>[1]发票导入!V1861&amp;""</f>
      </c>
      <c r="W1861">
        <f>[1]发票导入!W1861&amp;""</f>
      </c>
      <c r="Y1861">
        <f>[1]发票导入!Y1861&amp;""</f>
      </c>
      <c r="AA1861">
        <f>[1]发票导入!AA1861&amp;""</f>
      </c>
      <c r="AB1861">
        <f>[1]发票导入!AB1861</f>
        <v>0</v>
      </c>
      <c r="AC1861">
        <f>[1]发票导入!AC1861</f>
        <v>0</v>
      </c>
      <c r="AE1861" s="22">
        <f t="shared" si="0"/>
      </c>
      <c r="AI1861">
        <f>[1]发票导入!AI1861&amp;""</f>
      </c>
      <c r="AJ1861">
        <f>[1]发票导入!AJ1861&amp;""</f>
      </c>
      <c r="AK1861">
        <f>[1]发票导入!AK1861</f>
        <v>0</v>
      </c>
      <c r="AL1861">
        <f>[1]发票导入!AL1861</f>
        <v>0</v>
      </c>
      <c r="AM1861">
        <f>[1]发票导入!AM1861</f>
        <v>0</v>
      </c>
      <c r="AN1861" s="22">
        <f t="shared" si="1"/>
        <v>0</v>
      </c>
      <c r="AO1861" s="22">
        <f t="shared" si="2"/>
        <v>0</v>
      </c>
    </row>
    <row r="1862">
      <c r="C1862">
        <f>[1]发票导入!C1862&amp;""</f>
      </c>
      <c r="D1862">
        <f>[1]发票导入!D1862&amp;""</f>
      </c>
      <c r="O1862">
        <f>[1]发票导入!O1862&amp;""</f>
      </c>
      <c r="T1862">
        <f>[1]发票导入!T1862</f>
      </c>
      <c r="U1862">
        <f>[1]发票导入!U1862&amp;""</f>
      </c>
      <c r="V1862">
        <f>[1]发票导入!V1862&amp;""</f>
      </c>
      <c r="W1862">
        <f>[1]发票导入!W1862&amp;""</f>
      </c>
      <c r="Y1862">
        <f>[1]发票导入!Y1862&amp;""</f>
      </c>
      <c r="AA1862">
        <f>[1]发票导入!AA1862&amp;""</f>
      </c>
      <c r="AB1862">
        <f>[1]发票导入!AB1862</f>
        <v>0</v>
      </c>
      <c r="AC1862">
        <f>[1]发票导入!AC1862</f>
        <v>0</v>
      </c>
      <c r="AE1862" s="22">
        <f t="shared" si="0"/>
      </c>
      <c r="AI1862">
        <f>[1]发票导入!AI1862&amp;""</f>
      </c>
      <c r="AJ1862">
        <f>[1]发票导入!AJ1862&amp;""</f>
      </c>
      <c r="AK1862">
        <f>[1]发票导入!AK1862</f>
        <v>0</v>
      </c>
      <c r="AL1862">
        <f>[1]发票导入!AL1862</f>
        <v>0</v>
      </c>
      <c r="AM1862">
        <f>[1]发票导入!AM1862</f>
        <v>0</v>
      </c>
      <c r="AN1862" s="22">
        <f t="shared" si="1"/>
        <v>0</v>
      </c>
      <c r="AO1862" s="22">
        <f t="shared" si="2"/>
        <v>0</v>
      </c>
    </row>
    <row r="1863">
      <c r="C1863">
        <f>[1]发票导入!C1863&amp;""</f>
      </c>
      <c r="D1863">
        <f>[1]发票导入!D1863&amp;""</f>
      </c>
      <c r="O1863">
        <f>[1]发票导入!O1863&amp;""</f>
      </c>
      <c r="T1863">
        <f>[1]发票导入!T1863</f>
      </c>
      <c r="U1863">
        <f>[1]发票导入!U1863&amp;""</f>
      </c>
      <c r="V1863">
        <f>[1]发票导入!V1863&amp;""</f>
      </c>
      <c r="W1863">
        <f>[1]发票导入!W1863&amp;""</f>
      </c>
      <c r="Y1863">
        <f>[1]发票导入!Y1863&amp;""</f>
      </c>
      <c r="AA1863">
        <f>[1]发票导入!AA1863&amp;""</f>
      </c>
      <c r="AB1863">
        <f>[1]发票导入!AB1863</f>
        <v>0</v>
      </c>
      <c r="AC1863">
        <f>[1]发票导入!AC1863</f>
        <v>0</v>
      </c>
      <c r="AE1863" s="22">
        <f t="shared" si="0"/>
      </c>
      <c r="AI1863">
        <f>[1]发票导入!AI1863&amp;""</f>
      </c>
      <c r="AJ1863">
        <f>[1]发票导入!AJ1863&amp;""</f>
      </c>
      <c r="AK1863">
        <f>[1]发票导入!AK1863</f>
        <v>0</v>
      </c>
      <c r="AL1863">
        <f>[1]发票导入!AL1863</f>
        <v>0</v>
      </c>
      <c r="AM1863">
        <f>[1]发票导入!AM1863</f>
        <v>0</v>
      </c>
      <c r="AN1863" s="22">
        <f t="shared" si="1"/>
        <v>0</v>
      </c>
      <c r="AO1863" s="22">
        <f t="shared" si="2"/>
        <v>0</v>
      </c>
    </row>
    <row r="1864">
      <c r="C1864">
        <f>[1]发票导入!C1864&amp;""</f>
      </c>
      <c r="D1864">
        <f>[1]发票导入!D1864&amp;""</f>
      </c>
      <c r="O1864">
        <f>[1]发票导入!O1864&amp;""</f>
      </c>
      <c r="T1864">
        <f>[1]发票导入!T1864</f>
      </c>
      <c r="U1864">
        <f>[1]发票导入!U1864&amp;""</f>
      </c>
      <c r="V1864">
        <f>[1]发票导入!V1864&amp;""</f>
      </c>
      <c r="W1864">
        <f>[1]发票导入!W1864&amp;""</f>
      </c>
      <c r="Y1864">
        <f>[1]发票导入!Y1864&amp;""</f>
      </c>
      <c r="AA1864">
        <f>[1]发票导入!AA1864&amp;""</f>
      </c>
      <c r="AB1864">
        <f>[1]发票导入!AB1864</f>
        <v>0</v>
      </c>
      <c r="AC1864">
        <f>[1]发票导入!AC1864</f>
        <v>0</v>
      </c>
      <c r="AE1864" s="22">
        <f t="shared" si="0"/>
      </c>
      <c r="AI1864">
        <f>[1]发票导入!AI1864&amp;""</f>
      </c>
      <c r="AJ1864">
        <f>[1]发票导入!AJ1864&amp;""</f>
      </c>
      <c r="AK1864">
        <f>[1]发票导入!AK1864</f>
        <v>0</v>
      </c>
      <c r="AL1864">
        <f>[1]发票导入!AL1864</f>
        <v>0</v>
      </c>
      <c r="AM1864">
        <f>[1]发票导入!AM1864</f>
        <v>0</v>
      </c>
      <c r="AN1864" s="22">
        <f t="shared" si="1"/>
        <v>0</v>
      </c>
      <c r="AO1864" s="22">
        <f t="shared" si="2"/>
        <v>0</v>
      </c>
    </row>
    <row r="1865">
      <c r="C1865">
        <f>[1]发票导入!C1865&amp;""</f>
      </c>
      <c r="D1865">
        <f>[1]发票导入!D1865&amp;""</f>
      </c>
      <c r="O1865">
        <f>[1]发票导入!O1865&amp;""</f>
      </c>
      <c r="T1865">
        <f>[1]发票导入!T1865</f>
      </c>
      <c r="U1865">
        <f>[1]发票导入!U1865&amp;""</f>
      </c>
      <c r="V1865">
        <f>[1]发票导入!V1865&amp;""</f>
      </c>
      <c r="W1865">
        <f>[1]发票导入!W1865&amp;""</f>
      </c>
      <c r="Y1865">
        <f>[1]发票导入!Y1865&amp;""</f>
      </c>
      <c r="AA1865">
        <f>[1]发票导入!AA1865&amp;""</f>
      </c>
      <c r="AB1865">
        <f>[1]发票导入!AB1865</f>
        <v>0</v>
      </c>
      <c r="AC1865">
        <f>[1]发票导入!AC1865</f>
        <v>0</v>
      </c>
      <c r="AE1865" s="22">
        <f t="shared" si="0"/>
      </c>
      <c r="AI1865">
        <f>[1]发票导入!AI1865&amp;""</f>
      </c>
      <c r="AJ1865">
        <f>[1]发票导入!AJ1865&amp;""</f>
      </c>
      <c r="AK1865">
        <f>[1]发票导入!AK1865</f>
        <v>0</v>
      </c>
      <c r="AL1865">
        <f>[1]发票导入!AL1865</f>
        <v>0</v>
      </c>
      <c r="AM1865">
        <f>[1]发票导入!AM1865</f>
        <v>0</v>
      </c>
      <c r="AN1865" s="22">
        <f t="shared" si="1"/>
        <v>0</v>
      </c>
      <c r="AO1865" s="22">
        <f t="shared" si="2"/>
        <v>0</v>
      </c>
    </row>
    <row r="1866">
      <c r="C1866">
        <f>[1]发票导入!C1866&amp;""</f>
      </c>
      <c r="D1866">
        <f>[1]发票导入!D1866&amp;""</f>
      </c>
      <c r="O1866">
        <f>[1]发票导入!O1866&amp;""</f>
      </c>
      <c r="T1866">
        <f>[1]发票导入!T1866</f>
      </c>
      <c r="U1866">
        <f>[1]发票导入!U1866&amp;""</f>
      </c>
      <c r="V1866">
        <f>[1]发票导入!V1866&amp;""</f>
      </c>
      <c r="W1866">
        <f>[1]发票导入!W1866&amp;""</f>
      </c>
      <c r="Y1866">
        <f>[1]发票导入!Y1866&amp;""</f>
      </c>
      <c r="AA1866">
        <f>[1]发票导入!AA1866&amp;""</f>
      </c>
      <c r="AB1866">
        <f>[1]发票导入!AB1866</f>
        <v>0</v>
      </c>
      <c r="AC1866">
        <f>[1]发票导入!AC1866</f>
        <v>0</v>
      </c>
      <c r="AE1866" s="22">
        <f t="shared" si="0"/>
      </c>
      <c r="AI1866">
        <f>[1]发票导入!AI1866&amp;""</f>
      </c>
      <c r="AJ1866">
        <f>[1]发票导入!AJ1866&amp;""</f>
      </c>
      <c r="AK1866">
        <f>[1]发票导入!AK1866</f>
        <v>0</v>
      </c>
      <c r="AL1866">
        <f>[1]发票导入!AL1866</f>
        <v>0</v>
      </c>
      <c r="AM1866">
        <f>[1]发票导入!AM1866</f>
        <v>0</v>
      </c>
      <c r="AN1866" s="22">
        <f t="shared" si="1"/>
        <v>0</v>
      </c>
      <c r="AO1866" s="22">
        <f t="shared" si="2"/>
        <v>0</v>
      </c>
    </row>
    <row r="1867">
      <c r="C1867">
        <f>[1]发票导入!C1867&amp;""</f>
      </c>
      <c r="D1867">
        <f>[1]发票导入!D1867&amp;""</f>
      </c>
      <c r="O1867">
        <f>[1]发票导入!O1867&amp;""</f>
      </c>
      <c r="T1867">
        <f>[1]发票导入!T1867</f>
      </c>
      <c r="U1867">
        <f>[1]发票导入!U1867&amp;""</f>
      </c>
      <c r="V1867">
        <f>[1]发票导入!V1867&amp;""</f>
      </c>
      <c r="W1867">
        <f>[1]发票导入!W1867&amp;""</f>
      </c>
      <c r="Y1867">
        <f>[1]发票导入!Y1867&amp;""</f>
      </c>
      <c r="AA1867">
        <f>[1]发票导入!AA1867&amp;""</f>
      </c>
      <c r="AB1867">
        <f>[1]发票导入!AB1867</f>
        <v>0</v>
      </c>
      <c r="AC1867">
        <f>[1]发票导入!AC1867</f>
        <v>0</v>
      </c>
      <c r="AE1867" s="22">
        <f t="shared" si="0"/>
      </c>
      <c r="AI1867">
        <f>[1]发票导入!AI1867&amp;""</f>
      </c>
      <c r="AJ1867">
        <f>[1]发票导入!AJ1867&amp;""</f>
      </c>
      <c r="AK1867">
        <f>[1]发票导入!AK1867</f>
        <v>0</v>
      </c>
      <c r="AL1867">
        <f>[1]发票导入!AL1867</f>
        <v>0</v>
      </c>
      <c r="AM1867">
        <f>[1]发票导入!AM1867</f>
        <v>0</v>
      </c>
      <c r="AN1867" s="22">
        <f t="shared" si="1"/>
        <v>0</v>
      </c>
      <c r="AO1867" s="22">
        <f t="shared" si="2"/>
        <v>0</v>
      </c>
    </row>
    <row r="1868">
      <c r="C1868">
        <f>[1]发票导入!C1868&amp;""</f>
      </c>
      <c r="D1868">
        <f>[1]发票导入!D1868&amp;""</f>
      </c>
      <c r="O1868">
        <f>[1]发票导入!O1868&amp;""</f>
      </c>
      <c r="T1868">
        <f>[1]发票导入!T1868</f>
      </c>
      <c r="U1868">
        <f>[1]发票导入!U1868&amp;""</f>
      </c>
      <c r="V1868">
        <f>[1]发票导入!V1868&amp;""</f>
      </c>
      <c r="W1868">
        <f>[1]发票导入!W1868&amp;""</f>
      </c>
      <c r="Y1868">
        <f>[1]发票导入!Y1868&amp;""</f>
      </c>
      <c r="AA1868">
        <f>[1]发票导入!AA1868&amp;""</f>
      </c>
      <c r="AB1868">
        <f>[1]发票导入!AB1868</f>
        <v>0</v>
      </c>
      <c r="AC1868">
        <f>[1]发票导入!AC1868</f>
        <v>0</v>
      </c>
      <c r="AE1868" s="22">
        <f t="shared" si="0"/>
      </c>
      <c r="AI1868">
        <f>[1]发票导入!AI1868&amp;""</f>
      </c>
      <c r="AJ1868">
        <f>[1]发票导入!AJ1868&amp;""</f>
      </c>
      <c r="AK1868">
        <f>[1]发票导入!AK1868</f>
        <v>0</v>
      </c>
      <c r="AL1868">
        <f>[1]发票导入!AL1868</f>
        <v>0</v>
      </c>
      <c r="AM1868">
        <f>[1]发票导入!AM1868</f>
        <v>0</v>
      </c>
      <c r="AN1868" s="22">
        <f t="shared" si="1"/>
        <v>0</v>
      </c>
      <c r="AO1868" s="22">
        <f t="shared" si="2"/>
        <v>0</v>
      </c>
    </row>
    <row r="1869">
      <c r="C1869">
        <f>[1]发票导入!C1869&amp;""</f>
      </c>
      <c r="D1869">
        <f>[1]发票导入!D1869&amp;""</f>
      </c>
      <c r="O1869">
        <f>[1]发票导入!O1869&amp;""</f>
      </c>
      <c r="T1869">
        <f>[1]发票导入!T1869</f>
      </c>
      <c r="U1869">
        <f>[1]发票导入!U1869&amp;""</f>
      </c>
      <c r="V1869">
        <f>[1]发票导入!V1869&amp;""</f>
      </c>
      <c r="W1869">
        <f>[1]发票导入!W1869&amp;""</f>
      </c>
      <c r="Y1869">
        <f>[1]发票导入!Y1869&amp;""</f>
      </c>
      <c r="AA1869">
        <f>[1]发票导入!AA1869&amp;""</f>
      </c>
      <c r="AB1869">
        <f>[1]发票导入!AB1869</f>
        <v>0</v>
      </c>
      <c r="AC1869">
        <f>[1]发票导入!AC1869</f>
        <v>0</v>
      </c>
      <c r="AE1869" s="22">
        <f t="shared" si="0"/>
      </c>
      <c r="AI1869">
        <f>[1]发票导入!AI1869&amp;""</f>
      </c>
      <c r="AJ1869">
        <f>[1]发票导入!AJ1869&amp;""</f>
      </c>
      <c r="AK1869">
        <f>[1]发票导入!AK1869</f>
        <v>0</v>
      </c>
      <c r="AL1869">
        <f>[1]发票导入!AL1869</f>
        <v>0</v>
      </c>
      <c r="AM1869">
        <f>[1]发票导入!AM1869</f>
        <v>0</v>
      </c>
      <c r="AN1869" s="22">
        <f t="shared" si="1"/>
        <v>0</v>
      </c>
      <c r="AO1869" s="22">
        <f t="shared" si="2"/>
        <v>0</v>
      </c>
    </row>
    <row r="1870">
      <c r="C1870">
        <f>[1]发票导入!C1870&amp;""</f>
      </c>
      <c r="D1870">
        <f>[1]发票导入!D1870&amp;""</f>
      </c>
      <c r="O1870">
        <f>[1]发票导入!O1870&amp;""</f>
      </c>
      <c r="T1870">
        <f>[1]发票导入!T1870</f>
      </c>
      <c r="U1870">
        <f>[1]发票导入!U1870&amp;""</f>
      </c>
      <c r="V1870">
        <f>[1]发票导入!V1870&amp;""</f>
      </c>
      <c r="W1870">
        <f>[1]发票导入!W1870&amp;""</f>
      </c>
      <c r="Y1870">
        <f>[1]发票导入!Y1870&amp;""</f>
      </c>
      <c r="AA1870">
        <f>[1]发票导入!AA1870&amp;""</f>
      </c>
      <c r="AB1870">
        <f>[1]发票导入!AB1870</f>
        <v>0</v>
      </c>
      <c r="AC1870">
        <f>[1]发票导入!AC1870</f>
        <v>0</v>
      </c>
      <c r="AE1870" s="22">
        <f t="shared" si="0"/>
      </c>
      <c r="AI1870">
        <f>[1]发票导入!AI1870&amp;""</f>
      </c>
      <c r="AJ1870">
        <f>[1]发票导入!AJ1870&amp;""</f>
      </c>
      <c r="AK1870">
        <f>[1]发票导入!AK1870</f>
        <v>0</v>
      </c>
      <c r="AL1870">
        <f>[1]发票导入!AL1870</f>
        <v>0</v>
      </c>
      <c r="AM1870">
        <f>[1]发票导入!AM1870</f>
        <v>0</v>
      </c>
      <c r="AN1870" s="22">
        <f t="shared" si="1"/>
        <v>0</v>
      </c>
      <c r="AO1870" s="22">
        <f t="shared" si="2"/>
        <v>0</v>
      </c>
    </row>
    <row r="1871">
      <c r="C1871">
        <f>[1]发票导入!C1871&amp;""</f>
      </c>
      <c r="D1871">
        <f>[1]发票导入!D1871&amp;""</f>
      </c>
      <c r="O1871">
        <f>[1]发票导入!O1871&amp;""</f>
      </c>
      <c r="T1871">
        <f>[1]发票导入!T1871</f>
      </c>
      <c r="U1871">
        <f>[1]发票导入!U1871&amp;""</f>
      </c>
      <c r="V1871">
        <f>[1]发票导入!V1871&amp;""</f>
      </c>
      <c r="W1871">
        <f>[1]发票导入!W1871&amp;""</f>
      </c>
      <c r="Y1871">
        <f>[1]发票导入!Y1871&amp;""</f>
      </c>
      <c r="AA1871">
        <f>[1]发票导入!AA1871&amp;""</f>
      </c>
      <c r="AB1871">
        <f>[1]发票导入!AB1871</f>
        <v>0</v>
      </c>
      <c r="AC1871">
        <f>[1]发票导入!AC1871</f>
        <v>0</v>
      </c>
      <c r="AE1871" s="22">
        <f t="shared" si="0"/>
      </c>
      <c r="AI1871">
        <f>[1]发票导入!AI1871&amp;""</f>
      </c>
      <c r="AJ1871">
        <f>[1]发票导入!AJ1871&amp;""</f>
      </c>
      <c r="AK1871">
        <f>[1]发票导入!AK1871</f>
        <v>0</v>
      </c>
      <c r="AL1871">
        <f>[1]发票导入!AL1871</f>
        <v>0</v>
      </c>
      <c r="AM1871">
        <f>[1]发票导入!AM1871</f>
        <v>0</v>
      </c>
      <c r="AN1871" s="22">
        <f t="shared" si="1"/>
        <v>0</v>
      </c>
      <c r="AO1871" s="22">
        <f t="shared" si="2"/>
        <v>0</v>
      </c>
    </row>
    <row r="1872">
      <c r="C1872">
        <f>[1]发票导入!C1872&amp;""</f>
      </c>
      <c r="D1872">
        <f>[1]发票导入!D1872&amp;""</f>
      </c>
      <c r="O1872">
        <f>[1]发票导入!O1872&amp;""</f>
      </c>
      <c r="T1872">
        <f>[1]发票导入!T1872</f>
      </c>
      <c r="U1872">
        <f>[1]发票导入!U1872&amp;""</f>
      </c>
      <c r="V1872">
        <f>[1]发票导入!V1872&amp;""</f>
      </c>
      <c r="W1872">
        <f>[1]发票导入!W1872&amp;""</f>
      </c>
      <c r="Y1872">
        <f>[1]发票导入!Y1872&amp;""</f>
      </c>
      <c r="AA1872">
        <f>[1]发票导入!AA1872&amp;""</f>
      </c>
      <c r="AB1872">
        <f>[1]发票导入!AB1872</f>
        <v>0</v>
      </c>
      <c r="AC1872">
        <f>[1]发票导入!AC1872</f>
        <v>0</v>
      </c>
      <c r="AE1872" s="22">
        <f t="shared" si="0"/>
      </c>
      <c r="AI1872">
        <f>[1]发票导入!AI1872&amp;""</f>
      </c>
      <c r="AJ1872">
        <f>[1]发票导入!AJ1872&amp;""</f>
      </c>
      <c r="AK1872">
        <f>[1]发票导入!AK1872</f>
        <v>0</v>
      </c>
      <c r="AL1872">
        <f>[1]发票导入!AL1872</f>
        <v>0</v>
      </c>
      <c r="AM1872">
        <f>[1]发票导入!AM1872</f>
        <v>0</v>
      </c>
      <c r="AN1872" s="22">
        <f t="shared" si="1"/>
        <v>0</v>
      </c>
      <c r="AO1872" s="22">
        <f t="shared" si="2"/>
        <v>0</v>
      </c>
    </row>
    <row r="1873">
      <c r="C1873">
        <f>[1]发票导入!C1873&amp;""</f>
      </c>
      <c r="D1873">
        <f>[1]发票导入!D1873&amp;""</f>
      </c>
      <c r="O1873">
        <f>[1]发票导入!O1873&amp;""</f>
      </c>
      <c r="T1873">
        <f>[1]发票导入!T1873</f>
      </c>
      <c r="U1873">
        <f>[1]发票导入!U1873&amp;""</f>
      </c>
      <c r="V1873">
        <f>[1]发票导入!V1873&amp;""</f>
      </c>
      <c r="W1873">
        <f>[1]发票导入!W1873&amp;""</f>
      </c>
      <c r="Y1873">
        <f>[1]发票导入!Y1873&amp;""</f>
      </c>
      <c r="AA1873">
        <f>[1]发票导入!AA1873&amp;""</f>
      </c>
      <c r="AB1873">
        <f>[1]发票导入!AB1873</f>
        <v>0</v>
      </c>
      <c r="AC1873">
        <f>[1]发票导入!AC1873</f>
        <v>0</v>
      </c>
      <c r="AE1873" s="22">
        <f t="shared" si="0"/>
      </c>
      <c r="AI1873">
        <f>[1]发票导入!AI1873&amp;""</f>
      </c>
      <c r="AJ1873">
        <f>[1]发票导入!AJ1873&amp;""</f>
      </c>
      <c r="AK1873">
        <f>[1]发票导入!AK1873</f>
        <v>0</v>
      </c>
      <c r="AL1873">
        <f>[1]发票导入!AL1873</f>
        <v>0</v>
      </c>
      <c r="AM1873">
        <f>[1]发票导入!AM1873</f>
        <v>0</v>
      </c>
      <c r="AN1873" s="22">
        <f t="shared" si="1"/>
        <v>0</v>
      </c>
      <c r="AO1873" s="22">
        <f t="shared" si="2"/>
        <v>0</v>
      </c>
    </row>
    <row r="1874">
      <c r="C1874">
        <f>[1]发票导入!C1874&amp;""</f>
      </c>
      <c r="D1874">
        <f>[1]发票导入!D1874&amp;""</f>
      </c>
      <c r="O1874">
        <f>[1]发票导入!O1874&amp;""</f>
      </c>
      <c r="T1874">
        <f>[1]发票导入!T1874</f>
      </c>
      <c r="U1874">
        <f>[1]发票导入!U1874&amp;""</f>
      </c>
      <c r="V1874">
        <f>[1]发票导入!V1874&amp;""</f>
      </c>
      <c r="W1874">
        <f>[1]发票导入!W1874&amp;""</f>
      </c>
      <c r="Y1874">
        <f>[1]发票导入!Y1874&amp;""</f>
      </c>
      <c r="AA1874">
        <f>[1]发票导入!AA1874&amp;""</f>
      </c>
      <c r="AB1874">
        <f>[1]发票导入!AB1874</f>
        <v>0</v>
      </c>
      <c r="AC1874">
        <f>[1]发票导入!AC1874</f>
        <v>0</v>
      </c>
      <c r="AE1874" s="22">
        <f t="shared" si="0"/>
      </c>
      <c r="AI1874">
        <f>[1]发票导入!AI1874&amp;""</f>
      </c>
      <c r="AJ1874">
        <f>[1]发票导入!AJ1874&amp;""</f>
      </c>
      <c r="AK1874">
        <f>[1]发票导入!AK1874</f>
        <v>0</v>
      </c>
      <c r="AL1874">
        <f>[1]发票导入!AL1874</f>
        <v>0</v>
      </c>
      <c r="AM1874">
        <f>[1]发票导入!AM1874</f>
        <v>0</v>
      </c>
      <c r="AN1874" s="22">
        <f t="shared" si="1"/>
        <v>0</v>
      </c>
      <c r="AO1874" s="22">
        <f t="shared" si="2"/>
        <v>0</v>
      </c>
    </row>
    <row r="1875">
      <c r="C1875">
        <f>[1]发票导入!C1875&amp;""</f>
      </c>
      <c r="D1875">
        <f>[1]发票导入!D1875&amp;""</f>
      </c>
      <c r="O1875">
        <f>[1]发票导入!O1875&amp;""</f>
      </c>
      <c r="T1875">
        <f>[1]发票导入!T1875</f>
      </c>
      <c r="U1875">
        <f>[1]发票导入!U1875&amp;""</f>
      </c>
      <c r="V1875">
        <f>[1]发票导入!V1875&amp;""</f>
      </c>
      <c r="W1875">
        <f>[1]发票导入!W1875&amp;""</f>
      </c>
      <c r="Y1875">
        <f>[1]发票导入!Y1875&amp;""</f>
      </c>
      <c r="AA1875">
        <f>[1]发票导入!AA1875&amp;""</f>
      </c>
      <c r="AB1875">
        <f>[1]发票导入!AB1875</f>
        <v>0</v>
      </c>
      <c r="AC1875">
        <f>[1]发票导入!AC1875</f>
        <v>0</v>
      </c>
      <c r="AE1875" s="22">
        <f t="shared" si="0"/>
      </c>
      <c r="AI1875">
        <f>[1]发票导入!AI1875&amp;""</f>
      </c>
      <c r="AJ1875">
        <f>[1]发票导入!AJ1875&amp;""</f>
      </c>
      <c r="AK1875">
        <f>[1]发票导入!AK1875</f>
        <v>0</v>
      </c>
      <c r="AL1875">
        <f>[1]发票导入!AL1875</f>
        <v>0</v>
      </c>
      <c r="AM1875">
        <f>[1]发票导入!AM1875</f>
        <v>0</v>
      </c>
      <c r="AN1875" s="22">
        <f t="shared" si="1"/>
        <v>0</v>
      </c>
      <c r="AO1875" s="22">
        <f t="shared" si="2"/>
        <v>0</v>
      </c>
    </row>
    <row r="1876">
      <c r="C1876">
        <f>[1]发票导入!C1876&amp;""</f>
      </c>
      <c r="D1876">
        <f>[1]发票导入!D1876&amp;""</f>
      </c>
      <c r="O1876">
        <f>[1]发票导入!O1876&amp;""</f>
      </c>
      <c r="T1876">
        <f>[1]发票导入!T1876</f>
      </c>
      <c r="U1876">
        <f>[1]发票导入!U1876&amp;""</f>
      </c>
      <c r="V1876">
        <f>[1]发票导入!V1876&amp;""</f>
      </c>
      <c r="W1876">
        <f>[1]发票导入!W1876&amp;""</f>
      </c>
      <c r="Y1876">
        <f>[1]发票导入!Y1876&amp;""</f>
      </c>
      <c r="AA1876">
        <f>[1]发票导入!AA1876&amp;""</f>
      </c>
      <c r="AB1876">
        <f>[1]发票导入!AB1876</f>
        <v>0</v>
      </c>
      <c r="AC1876">
        <f>[1]发票导入!AC1876</f>
        <v>0</v>
      </c>
      <c r="AE1876" s="22">
        <f t="shared" si="0"/>
      </c>
      <c r="AI1876">
        <f>[1]发票导入!AI1876&amp;""</f>
      </c>
      <c r="AJ1876">
        <f>[1]发票导入!AJ1876&amp;""</f>
      </c>
      <c r="AK1876">
        <f>[1]发票导入!AK1876</f>
        <v>0</v>
      </c>
      <c r="AL1876">
        <f>[1]发票导入!AL1876</f>
        <v>0</v>
      </c>
      <c r="AM1876">
        <f>[1]发票导入!AM1876</f>
        <v>0</v>
      </c>
      <c r="AN1876" s="22">
        <f t="shared" si="1"/>
        <v>0</v>
      </c>
      <c r="AO1876" s="22">
        <f t="shared" si="2"/>
        <v>0</v>
      </c>
    </row>
    <row r="1877">
      <c r="C1877">
        <f>[1]发票导入!C1877&amp;""</f>
      </c>
      <c r="D1877">
        <f>[1]发票导入!D1877&amp;""</f>
      </c>
      <c r="O1877">
        <f>[1]发票导入!O1877&amp;""</f>
      </c>
      <c r="T1877">
        <f>[1]发票导入!T1877</f>
      </c>
      <c r="U1877">
        <f>[1]发票导入!U1877&amp;""</f>
      </c>
      <c r="V1877">
        <f>[1]发票导入!V1877&amp;""</f>
      </c>
      <c r="W1877">
        <f>[1]发票导入!W1877&amp;""</f>
      </c>
      <c r="Y1877">
        <f>[1]发票导入!Y1877&amp;""</f>
      </c>
      <c r="AA1877">
        <f>[1]发票导入!AA1877&amp;""</f>
      </c>
      <c r="AB1877">
        <f>[1]发票导入!AB1877</f>
        <v>0</v>
      </c>
      <c r="AC1877">
        <f>[1]发票导入!AC1877</f>
        <v>0</v>
      </c>
      <c r="AE1877" s="22">
        <f t="shared" si="0"/>
      </c>
      <c r="AI1877">
        <f>[1]发票导入!AI1877&amp;""</f>
      </c>
      <c r="AJ1877">
        <f>[1]发票导入!AJ1877&amp;""</f>
      </c>
      <c r="AK1877">
        <f>[1]发票导入!AK1877</f>
        <v>0</v>
      </c>
      <c r="AL1877">
        <f>[1]发票导入!AL1877</f>
        <v>0</v>
      </c>
      <c r="AM1877">
        <f>[1]发票导入!AM1877</f>
        <v>0</v>
      </c>
      <c r="AN1877" s="22">
        <f t="shared" si="1"/>
        <v>0</v>
      </c>
      <c r="AO1877" s="22">
        <f t="shared" si="2"/>
        <v>0</v>
      </c>
    </row>
    <row r="1878">
      <c r="C1878">
        <f>[1]发票导入!C1878&amp;""</f>
      </c>
      <c r="D1878">
        <f>[1]发票导入!D1878&amp;""</f>
      </c>
      <c r="O1878">
        <f>[1]发票导入!O1878&amp;""</f>
      </c>
      <c r="T1878">
        <f>[1]发票导入!T1878</f>
      </c>
      <c r="U1878">
        <f>[1]发票导入!U1878&amp;""</f>
      </c>
      <c r="V1878">
        <f>[1]发票导入!V1878&amp;""</f>
      </c>
      <c r="W1878">
        <f>[1]发票导入!W1878&amp;""</f>
      </c>
      <c r="Y1878">
        <f>[1]发票导入!Y1878&amp;""</f>
      </c>
      <c r="AA1878">
        <f>[1]发票导入!AA1878&amp;""</f>
      </c>
      <c r="AB1878">
        <f>[1]发票导入!AB1878</f>
        <v>0</v>
      </c>
      <c r="AC1878">
        <f>[1]发票导入!AC1878</f>
        <v>0</v>
      </c>
      <c r="AE1878" s="22">
        <f t="shared" si="0"/>
      </c>
      <c r="AI1878">
        <f>[1]发票导入!AI1878&amp;""</f>
      </c>
      <c r="AJ1878">
        <f>[1]发票导入!AJ1878&amp;""</f>
      </c>
      <c r="AK1878">
        <f>[1]发票导入!AK1878</f>
        <v>0</v>
      </c>
      <c r="AL1878">
        <f>[1]发票导入!AL1878</f>
        <v>0</v>
      </c>
      <c r="AM1878">
        <f>[1]发票导入!AM1878</f>
        <v>0</v>
      </c>
      <c r="AN1878" s="22">
        <f t="shared" si="1"/>
        <v>0</v>
      </c>
      <c r="AO1878" s="22">
        <f t="shared" si="2"/>
        <v>0</v>
      </c>
    </row>
    <row r="1879">
      <c r="C1879">
        <f>[1]发票导入!C1879&amp;""</f>
      </c>
      <c r="D1879">
        <f>[1]发票导入!D1879&amp;""</f>
      </c>
      <c r="O1879">
        <f>[1]发票导入!O1879&amp;""</f>
      </c>
      <c r="T1879">
        <f>[1]发票导入!T1879</f>
      </c>
      <c r="U1879">
        <f>[1]发票导入!U1879&amp;""</f>
      </c>
      <c r="V1879">
        <f>[1]发票导入!V1879&amp;""</f>
      </c>
      <c r="W1879">
        <f>[1]发票导入!W1879&amp;""</f>
      </c>
      <c r="Y1879">
        <f>[1]发票导入!Y1879&amp;""</f>
      </c>
      <c r="AA1879">
        <f>[1]发票导入!AA1879&amp;""</f>
      </c>
      <c r="AB1879">
        <f>[1]发票导入!AB1879</f>
        <v>0</v>
      </c>
      <c r="AC1879">
        <f>[1]发票导入!AC1879</f>
        <v>0</v>
      </c>
      <c r="AE1879" s="22">
        <f t="shared" si="0"/>
      </c>
      <c r="AI1879">
        <f>[1]发票导入!AI1879&amp;""</f>
      </c>
      <c r="AJ1879">
        <f>[1]发票导入!AJ1879&amp;""</f>
      </c>
      <c r="AK1879">
        <f>[1]发票导入!AK1879</f>
        <v>0</v>
      </c>
      <c r="AL1879">
        <f>[1]发票导入!AL1879</f>
        <v>0</v>
      </c>
      <c r="AM1879">
        <f>[1]发票导入!AM1879</f>
        <v>0</v>
      </c>
      <c r="AN1879" s="22">
        <f t="shared" si="1"/>
        <v>0</v>
      </c>
      <c r="AO1879" s="22">
        <f t="shared" si="2"/>
        <v>0</v>
      </c>
    </row>
    <row r="1880">
      <c r="C1880">
        <f>[1]发票导入!C1880&amp;""</f>
      </c>
      <c r="D1880">
        <f>[1]发票导入!D1880&amp;""</f>
      </c>
      <c r="O1880">
        <f>[1]发票导入!O1880&amp;""</f>
      </c>
      <c r="T1880">
        <f>[1]发票导入!T1880</f>
      </c>
      <c r="U1880">
        <f>[1]发票导入!U1880&amp;""</f>
      </c>
      <c r="V1880">
        <f>[1]发票导入!V1880&amp;""</f>
      </c>
      <c r="W1880">
        <f>[1]发票导入!W1880&amp;""</f>
      </c>
      <c r="Y1880">
        <f>[1]发票导入!Y1880&amp;""</f>
      </c>
      <c r="AA1880">
        <f>[1]发票导入!AA1880&amp;""</f>
      </c>
      <c r="AB1880">
        <f>[1]发票导入!AB1880</f>
        <v>0</v>
      </c>
      <c r="AC1880">
        <f>[1]发票导入!AC1880</f>
        <v>0</v>
      </c>
      <c r="AE1880" s="22">
        <f t="shared" si="0"/>
      </c>
      <c r="AI1880">
        <f>[1]发票导入!AI1880&amp;""</f>
      </c>
      <c r="AJ1880">
        <f>[1]发票导入!AJ1880&amp;""</f>
      </c>
      <c r="AK1880">
        <f>[1]发票导入!AK1880</f>
        <v>0</v>
      </c>
      <c r="AL1880">
        <f>[1]发票导入!AL1880</f>
        <v>0</v>
      </c>
      <c r="AM1880">
        <f>[1]发票导入!AM1880</f>
        <v>0</v>
      </c>
      <c r="AN1880" s="22">
        <f t="shared" si="1"/>
        <v>0</v>
      </c>
      <c r="AO1880" s="22">
        <f t="shared" si="2"/>
        <v>0</v>
      </c>
    </row>
    <row r="1881">
      <c r="C1881">
        <f>[1]发票导入!C1881&amp;""</f>
      </c>
      <c r="D1881">
        <f>[1]发票导入!D1881&amp;""</f>
      </c>
      <c r="O1881">
        <f>[1]发票导入!O1881&amp;""</f>
      </c>
      <c r="T1881">
        <f>[1]发票导入!T1881</f>
      </c>
      <c r="U1881">
        <f>[1]发票导入!U1881&amp;""</f>
      </c>
      <c r="V1881">
        <f>[1]发票导入!V1881&amp;""</f>
      </c>
      <c r="W1881">
        <f>[1]发票导入!W1881&amp;""</f>
      </c>
      <c r="Y1881">
        <f>[1]发票导入!Y1881&amp;""</f>
      </c>
      <c r="AA1881">
        <f>[1]发票导入!AA1881&amp;""</f>
      </c>
      <c r="AB1881">
        <f>[1]发票导入!AB1881</f>
        <v>0</v>
      </c>
      <c r="AC1881">
        <f>[1]发票导入!AC1881</f>
        <v>0</v>
      </c>
      <c r="AE1881" s="22">
        <f t="shared" si="0"/>
      </c>
      <c r="AI1881">
        <f>[1]发票导入!AI1881&amp;""</f>
      </c>
      <c r="AJ1881">
        <f>[1]发票导入!AJ1881&amp;""</f>
      </c>
      <c r="AK1881">
        <f>[1]发票导入!AK1881</f>
        <v>0</v>
      </c>
      <c r="AL1881">
        <f>[1]发票导入!AL1881</f>
        <v>0</v>
      </c>
      <c r="AM1881">
        <f>[1]发票导入!AM1881</f>
        <v>0</v>
      </c>
      <c r="AN1881" s="22">
        <f t="shared" si="1"/>
        <v>0</v>
      </c>
      <c r="AO1881" s="22">
        <f t="shared" si="2"/>
        <v>0</v>
      </c>
    </row>
    <row r="1882">
      <c r="C1882">
        <f>[1]发票导入!C1882&amp;""</f>
      </c>
      <c r="D1882">
        <f>[1]发票导入!D1882&amp;""</f>
      </c>
      <c r="O1882">
        <f>[1]发票导入!O1882&amp;""</f>
      </c>
      <c r="T1882">
        <f>[1]发票导入!T1882</f>
      </c>
      <c r="U1882">
        <f>[1]发票导入!U1882&amp;""</f>
      </c>
      <c r="V1882">
        <f>[1]发票导入!V1882&amp;""</f>
      </c>
      <c r="W1882">
        <f>[1]发票导入!W1882&amp;""</f>
      </c>
      <c r="Y1882">
        <f>[1]发票导入!Y1882&amp;""</f>
      </c>
      <c r="AA1882">
        <f>[1]发票导入!AA1882&amp;""</f>
      </c>
      <c r="AB1882">
        <f>[1]发票导入!AB1882</f>
        <v>0</v>
      </c>
      <c r="AC1882">
        <f>[1]发票导入!AC1882</f>
        <v>0</v>
      </c>
      <c r="AE1882" s="22">
        <f t="shared" si="0"/>
      </c>
      <c r="AI1882">
        <f>[1]发票导入!AI1882&amp;""</f>
      </c>
      <c r="AJ1882">
        <f>[1]发票导入!AJ1882&amp;""</f>
      </c>
      <c r="AK1882">
        <f>[1]发票导入!AK1882</f>
        <v>0</v>
      </c>
      <c r="AL1882">
        <f>[1]发票导入!AL1882</f>
        <v>0</v>
      </c>
      <c r="AM1882">
        <f>[1]发票导入!AM1882</f>
        <v>0</v>
      </c>
      <c r="AN1882" s="22">
        <f t="shared" si="1"/>
        <v>0</v>
      </c>
      <c r="AO1882" s="22">
        <f t="shared" si="2"/>
        <v>0</v>
      </c>
    </row>
    <row r="1883">
      <c r="C1883">
        <f>[1]发票导入!C1883&amp;""</f>
      </c>
      <c r="D1883">
        <f>[1]发票导入!D1883&amp;""</f>
      </c>
      <c r="O1883">
        <f>[1]发票导入!O1883&amp;""</f>
      </c>
      <c r="T1883">
        <f>[1]发票导入!T1883</f>
      </c>
      <c r="U1883">
        <f>[1]发票导入!U1883&amp;""</f>
      </c>
      <c r="V1883">
        <f>[1]发票导入!V1883&amp;""</f>
      </c>
      <c r="W1883">
        <f>[1]发票导入!W1883&amp;""</f>
      </c>
      <c r="Y1883">
        <f>[1]发票导入!Y1883&amp;""</f>
      </c>
      <c r="AA1883">
        <f>[1]发票导入!AA1883&amp;""</f>
      </c>
      <c r="AB1883">
        <f>[1]发票导入!AB1883</f>
        <v>0</v>
      </c>
      <c r="AC1883">
        <f>[1]发票导入!AC1883</f>
        <v>0</v>
      </c>
      <c r="AE1883" s="22">
        <f t="shared" si="0"/>
      </c>
      <c r="AI1883">
        <f>[1]发票导入!AI1883&amp;""</f>
      </c>
      <c r="AJ1883">
        <f>[1]发票导入!AJ1883&amp;""</f>
      </c>
      <c r="AK1883">
        <f>[1]发票导入!AK1883</f>
        <v>0</v>
      </c>
      <c r="AL1883">
        <f>[1]发票导入!AL1883</f>
        <v>0</v>
      </c>
      <c r="AM1883">
        <f>[1]发票导入!AM1883</f>
        <v>0</v>
      </c>
      <c r="AN1883" s="22">
        <f t="shared" si="1"/>
        <v>0</v>
      </c>
      <c r="AO1883" s="22">
        <f t="shared" si="2"/>
        <v>0</v>
      </c>
    </row>
    <row r="1884">
      <c r="C1884">
        <f>[1]发票导入!C1884&amp;""</f>
      </c>
      <c r="D1884">
        <f>[1]发票导入!D1884&amp;""</f>
      </c>
      <c r="O1884">
        <f>[1]发票导入!O1884&amp;""</f>
      </c>
      <c r="T1884">
        <f>[1]发票导入!T1884</f>
      </c>
      <c r="U1884">
        <f>[1]发票导入!U1884&amp;""</f>
      </c>
      <c r="V1884">
        <f>[1]发票导入!V1884&amp;""</f>
      </c>
      <c r="W1884">
        <f>[1]发票导入!W1884&amp;""</f>
      </c>
      <c r="Y1884">
        <f>[1]发票导入!Y1884&amp;""</f>
      </c>
      <c r="AA1884">
        <f>[1]发票导入!AA1884&amp;""</f>
      </c>
      <c r="AB1884">
        <f>[1]发票导入!AB1884</f>
        <v>0</v>
      </c>
      <c r="AC1884">
        <f>[1]发票导入!AC1884</f>
        <v>0</v>
      </c>
      <c r="AE1884" s="22">
        <f t="shared" si="0"/>
      </c>
      <c r="AI1884">
        <f>[1]发票导入!AI1884&amp;""</f>
      </c>
      <c r="AJ1884">
        <f>[1]发票导入!AJ1884&amp;""</f>
      </c>
      <c r="AK1884">
        <f>[1]发票导入!AK1884</f>
        <v>0</v>
      </c>
      <c r="AL1884">
        <f>[1]发票导入!AL1884</f>
        <v>0</v>
      </c>
      <c r="AM1884">
        <f>[1]发票导入!AM1884</f>
        <v>0</v>
      </c>
      <c r="AN1884" s="22">
        <f t="shared" si="1"/>
        <v>0</v>
      </c>
      <c r="AO1884" s="22">
        <f t="shared" si="2"/>
        <v>0</v>
      </c>
    </row>
    <row r="1885">
      <c r="C1885">
        <f>[1]发票导入!C1885&amp;""</f>
      </c>
      <c r="D1885">
        <f>[1]发票导入!D1885&amp;""</f>
      </c>
      <c r="O1885">
        <f>[1]发票导入!O1885&amp;""</f>
      </c>
      <c r="T1885">
        <f>[1]发票导入!T1885</f>
      </c>
      <c r="U1885">
        <f>[1]发票导入!U1885&amp;""</f>
      </c>
      <c r="V1885">
        <f>[1]发票导入!V1885&amp;""</f>
      </c>
      <c r="W1885">
        <f>[1]发票导入!W1885&amp;""</f>
      </c>
      <c r="Y1885">
        <f>[1]发票导入!Y1885&amp;""</f>
      </c>
      <c r="AA1885">
        <f>[1]发票导入!AA1885&amp;""</f>
      </c>
      <c r="AB1885">
        <f>[1]发票导入!AB1885</f>
        <v>0</v>
      </c>
      <c r="AC1885">
        <f>[1]发票导入!AC1885</f>
        <v>0</v>
      </c>
      <c r="AE1885" s="22">
        <f t="shared" si="0"/>
      </c>
      <c r="AI1885">
        <f>[1]发票导入!AI1885&amp;""</f>
      </c>
      <c r="AJ1885">
        <f>[1]发票导入!AJ1885&amp;""</f>
      </c>
      <c r="AK1885">
        <f>[1]发票导入!AK1885</f>
        <v>0</v>
      </c>
      <c r="AL1885">
        <f>[1]发票导入!AL1885</f>
        <v>0</v>
      </c>
      <c r="AM1885">
        <f>[1]发票导入!AM1885</f>
        <v>0</v>
      </c>
      <c r="AN1885" s="22">
        <f t="shared" si="1"/>
        <v>0</v>
      </c>
      <c r="AO1885" s="22">
        <f t="shared" si="2"/>
        <v>0</v>
      </c>
    </row>
    <row r="1886">
      <c r="C1886">
        <f>[1]发票导入!C1886&amp;""</f>
      </c>
      <c r="D1886">
        <f>[1]发票导入!D1886&amp;""</f>
      </c>
      <c r="O1886">
        <f>[1]发票导入!O1886&amp;""</f>
      </c>
      <c r="T1886">
        <f>[1]发票导入!T1886</f>
      </c>
      <c r="U1886">
        <f>[1]发票导入!U1886&amp;""</f>
      </c>
      <c r="V1886">
        <f>[1]发票导入!V1886&amp;""</f>
      </c>
      <c r="W1886">
        <f>[1]发票导入!W1886&amp;""</f>
      </c>
      <c r="Y1886">
        <f>[1]发票导入!Y1886&amp;""</f>
      </c>
      <c r="AA1886">
        <f>[1]发票导入!AA1886&amp;""</f>
      </c>
      <c r="AB1886">
        <f>[1]发票导入!AB1886</f>
        <v>0</v>
      </c>
      <c r="AC1886">
        <f>[1]发票导入!AC1886</f>
        <v>0</v>
      </c>
      <c r="AE1886" s="22">
        <f t="shared" si="0"/>
      </c>
      <c r="AI1886">
        <f>[1]发票导入!AI1886&amp;""</f>
      </c>
      <c r="AJ1886">
        <f>[1]发票导入!AJ1886&amp;""</f>
      </c>
      <c r="AK1886">
        <f>[1]发票导入!AK1886</f>
        <v>0</v>
      </c>
      <c r="AL1886">
        <f>[1]发票导入!AL1886</f>
        <v>0</v>
      </c>
      <c r="AM1886">
        <f>[1]发票导入!AM1886</f>
        <v>0</v>
      </c>
      <c r="AN1886" s="22">
        <f t="shared" si="1"/>
        <v>0</v>
      </c>
      <c r="AO1886" s="22">
        <f t="shared" si="2"/>
        <v>0</v>
      </c>
    </row>
    <row r="1887">
      <c r="C1887">
        <f>[1]发票导入!C1887&amp;""</f>
      </c>
      <c r="D1887">
        <f>[1]发票导入!D1887&amp;""</f>
      </c>
      <c r="O1887">
        <f>[1]发票导入!O1887&amp;""</f>
      </c>
      <c r="T1887">
        <f>[1]发票导入!T1887</f>
      </c>
      <c r="U1887">
        <f>[1]发票导入!U1887&amp;""</f>
      </c>
      <c r="V1887">
        <f>[1]发票导入!V1887&amp;""</f>
      </c>
      <c r="W1887">
        <f>[1]发票导入!W1887&amp;""</f>
      </c>
      <c r="Y1887">
        <f>[1]发票导入!Y1887&amp;""</f>
      </c>
      <c r="AA1887">
        <f>[1]发票导入!AA1887&amp;""</f>
      </c>
      <c r="AB1887">
        <f>[1]发票导入!AB1887</f>
        <v>0</v>
      </c>
      <c r="AC1887">
        <f>[1]发票导入!AC1887</f>
        <v>0</v>
      </c>
      <c r="AE1887" s="22">
        <f t="shared" si="0"/>
      </c>
      <c r="AI1887">
        <f>[1]发票导入!AI1887&amp;""</f>
      </c>
      <c r="AJ1887">
        <f>[1]发票导入!AJ1887&amp;""</f>
      </c>
      <c r="AK1887">
        <f>[1]发票导入!AK1887</f>
        <v>0</v>
      </c>
      <c r="AL1887">
        <f>[1]发票导入!AL1887</f>
        <v>0</v>
      </c>
      <c r="AM1887">
        <f>[1]发票导入!AM1887</f>
        <v>0</v>
      </c>
      <c r="AN1887" s="22">
        <f t="shared" si="1"/>
        <v>0</v>
      </c>
      <c r="AO1887" s="22">
        <f t="shared" si="2"/>
        <v>0</v>
      </c>
    </row>
    <row r="1888">
      <c r="C1888">
        <f>[1]发票导入!C1888&amp;""</f>
      </c>
      <c r="D1888">
        <f>[1]发票导入!D1888&amp;""</f>
      </c>
      <c r="O1888">
        <f>[1]发票导入!O1888&amp;""</f>
      </c>
      <c r="T1888">
        <f>[1]发票导入!T1888</f>
      </c>
      <c r="U1888">
        <f>[1]发票导入!U1888&amp;""</f>
      </c>
      <c r="V1888">
        <f>[1]发票导入!V1888&amp;""</f>
      </c>
      <c r="W1888">
        <f>[1]发票导入!W1888&amp;""</f>
      </c>
      <c r="Y1888">
        <f>[1]发票导入!Y1888&amp;""</f>
      </c>
      <c r="AA1888">
        <f>[1]发票导入!AA1888&amp;""</f>
      </c>
      <c r="AB1888">
        <f>[1]发票导入!AB1888</f>
        <v>0</v>
      </c>
      <c r="AC1888">
        <f>[1]发票导入!AC1888</f>
        <v>0</v>
      </c>
      <c r="AE1888" s="22">
        <f t="shared" si="0"/>
      </c>
      <c r="AI1888">
        <f>[1]发票导入!AI1888&amp;""</f>
      </c>
      <c r="AJ1888">
        <f>[1]发票导入!AJ1888&amp;""</f>
      </c>
      <c r="AK1888">
        <f>[1]发票导入!AK1888</f>
        <v>0</v>
      </c>
      <c r="AL1888">
        <f>[1]发票导入!AL1888</f>
        <v>0</v>
      </c>
      <c r="AM1888">
        <f>[1]发票导入!AM1888</f>
        <v>0</v>
      </c>
      <c r="AN1888" s="22">
        <f t="shared" si="1"/>
        <v>0</v>
      </c>
      <c r="AO1888" s="22">
        <f t="shared" si="2"/>
        <v>0</v>
      </c>
    </row>
    <row r="1889">
      <c r="C1889">
        <f>[1]发票导入!C1889&amp;""</f>
      </c>
      <c r="D1889">
        <f>[1]发票导入!D1889&amp;""</f>
      </c>
      <c r="O1889">
        <f>[1]发票导入!O1889&amp;""</f>
      </c>
      <c r="T1889">
        <f>[1]发票导入!T1889</f>
      </c>
      <c r="U1889">
        <f>[1]发票导入!U1889&amp;""</f>
      </c>
      <c r="V1889">
        <f>[1]发票导入!V1889&amp;""</f>
      </c>
      <c r="W1889">
        <f>[1]发票导入!W1889&amp;""</f>
      </c>
      <c r="Y1889">
        <f>[1]发票导入!Y1889&amp;""</f>
      </c>
      <c r="AA1889">
        <f>[1]发票导入!AA1889&amp;""</f>
      </c>
      <c r="AB1889">
        <f>[1]发票导入!AB1889</f>
        <v>0</v>
      </c>
      <c r="AC1889">
        <f>[1]发票导入!AC1889</f>
        <v>0</v>
      </c>
      <c r="AE1889" s="22">
        <f t="shared" si="0"/>
      </c>
      <c r="AI1889">
        <f>[1]发票导入!AI1889&amp;""</f>
      </c>
      <c r="AJ1889">
        <f>[1]发票导入!AJ1889&amp;""</f>
      </c>
      <c r="AK1889">
        <f>[1]发票导入!AK1889</f>
        <v>0</v>
      </c>
      <c r="AL1889">
        <f>[1]发票导入!AL1889</f>
        <v>0</v>
      </c>
      <c r="AM1889">
        <f>[1]发票导入!AM1889</f>
        <v>0</v>
      </c>
      <c r="AN1889" s="22">
        <f t="shared" si="1"/>
        <v>0</v>
      </c>
      <c r="AO1889" s="22">
        <f t="shared" si="2"/>
        <v>0</v>
      </c>
    </row>
    <row r="1890">
      <c r="C1890">
        <f>[1]发票导入!C1890&amp;""</f>
      </c>
      <c r="D1890">
        <f>[1]发票导入!D1890&amp;""</f>
      </c>
      <c r="O1890">
        <f>[1]发票导入!O1890&amp;""</f>
      </c>
      <c r="T1890">
        <f>[1]发票导入!T1890</f>
      </c>
      <c r="U1890">
        <f>[1]发票导入!U1890&amp;""</f>
      </c>
      <c r="V1890">
        <f>[1]发票导入!V1890&amp;""</f>
      </c>
      <c r="W1890">
        <f>[1]发票导入!W1890&amp;""</f>
      </c>
      <c r="Y1890">
        <f>[1]发票导入!Y1890&amp;""</f>
      </c>
      <c r="AA1890">
        <f>[1]发票导入!AA1890&amp;""</f>
      </c>
      <c r="AB1890">
        <f>[1]发票导入!AB1890</f>
        <v>0</v>
      </c>
      <c r="AC1890">
        <f>[1]发票导入!AC1890</f>
        <v>0</v>
      </c>
      <c r="AE1890" s="22">
        <f t="shared" si="0"/>
      </c>
      <c r="AI1890">
        <f>[1]发票导入!AI1890&amp;""</f>
      </c>
      <c r="AJ1890">
        <f>[1]发票导入!AJ1890&amp;""</f>
      </c>
      <c r="AK1890">
        <f>[1]发票导入!AK1890</f>
        <v>0</v>
      </c>
      <c r="AL1890">
        <f>[1]发票导入!AL1890</f>
        <v>0</v>
      </c>
      <c r="AM1890">
        <f>[1]发票导入!AM1890</f>
        <v>0</v>
      </c>
      <c r="AN1890" s="22">
        <f t="shared" si="1"/>
        <v>0</v>
      </c>
      <c r="AO1890" s="22">
        <f t="shared" si="2"/>
        <v>0</v>
      </c>
    </row>
    <row r="1891">
      <c r="C1891">
        <f>[1]发票导入!C1891&amp;""</f>
      </c>
      <c r="D1891">
        <f>[1]发票导入!D1891&amp;""</f>
      </c>
      <c r="O1891">
        <f>[1]发票导入!O1891&amp;""</f>
      </c>
      <c r="T1891">
        <f>[1]发票导入!T1891</f>
      </c>
      <c r="U1891">
        <f>[1]发票导入!U1891&amp;""</f>
      </c>
      <c r="V1891">
        <f>[1]发票导入!V1891&amp;""</f>
      </c>
      <c r="W1891">
        <f>[1]发票导入!W1891&amp;""</f>
      </c>
      <c r="Y1891">
        <f>[1]发票导入!Y1891&amp;""</f>
      </c>
      <c r="AA1891">
        <f>[1]发票导入!AA1891&amp;""</f>
      </c>
      <c r="AB1891">
        <f>[1]发票导入!AB1891</f>
        <v>0</v>
      </c>
      <c r="AC1891">
        <f>[1]发票导入!AC1891</f>
        <v>0</v>
      </c>
      <c r="AE1891" s="22">
        <f t="shared" si="0"/>
      </c>
      <c r="AI1891">
        <f>[1]发票导入!AI1891&amp;""</f>
      </c>
      <c r="AJ1891">
        <f>[1]发票导入!AJ1891&amp;""</f>
      </c>
      <c r="AK1891">
        <f>[1]发票导入!AK1891</f>
        <v>0</v>
      </c>
      <c r="AL1891">
        <f>[1]发票导入!AL1891</f>
        <v>0</v>
      </c>
      <c r="AM1891">
        <f>[1]发票导入!AM1891</f>
        <v>0</v>
      </c>
      <c r="AN1891" s="22">
        <f t="shared" si="1"/>
        <v>0</v>
      </c>
      <c r="AO1891" s="22">
        <f t="shared" si="2"/>
        <v>0</v>
      </c>
    </row>
    <row r="1892">
      <c r="C1892">
        <f>[1]发票导入!C1892&amp;""</f>
      </c>
      <c r="D1892">
        <f>[1]发票导入!D1892&amp;""</f>
      </c>
      <c r="O1892">
        <f>[1]发票导入!O1892&amp;""</f>
      </c>
      <c r="T1892">
        <f>[1]发票导入!T1892</f>
      </c>
      <c r="U1892">
        <f>[1]发票导入!U1892&amp;""</f>
      </c>
      <c r="V1892">
        <f>[1]发票导入!V1892&amp;""</f>
      </c>
      <c r="W1892">
        <f>[1]发票导入!W1892&amp;""</f>
      </c>
      <c r="Y1892">
        <f>[1]发票导入!Y1892&amp;""</f>
      </c>
      <c r="AA1892">
        <f>[1]发票导入!AA1892&amp;""</f>
      </c>
      <c r="AB1892">
        <f>[1]发票导入!AB1892</f>
        <v>0</v>
      </c>
      <c r="AC1892">
        <f>[1]发票导入!AC1892</f>
        <v>0</v>
      </c>
      <c r="AE1892" s="22">
        <f t="shared" si="0"/>
      </c>
      <c r="AI1892">
        <f>[1]发票导入!AI1892&amp;""</f>
      </c>
      <c r="AJ1892">
        <f>[1]发票导入!AJ1892&amp;""</f>
      </c>
      <c r="AK1892">
        <f>[1]发票导入!AK1892</f>
        <v>0</v>
      </c>
      <c r="AL1892">
        <f>[1]发票导入!AL1892</f>
        <v>0</v>
      </c>
      <c r="AM1892">
        <f>[1]发票导入!AM1892</f>
        <v>0</v>
      </c>
      <c r="AN1892" s="22">
        <f t="shared" si="1"/>
        <v>0</v>
      </c>
      <c r="AO1892" s="22">
        <f t="shared" si="2"/>
        <v>0</v>
      </c>
    </row>
    <row r="1893">
      <c r="C1893">
        <f>[1]发票导入!C1893&amp;""</f>
      </c>
      <c r="D1893">
        <f>[1]发票导入!D1893&amp;""</f>
      </c>
      <c r="O1893">
        <f>[1]发票导入!O1893&amp;""</f>
      </c>
      <c r="T1893">
        <f>[1]发票导入!T1893</f>
      </c>
      <c r="U1893">
        <f>[1]发票导入!U1893&amp;""</f>
      </c>
      <c r="V1893">
        <f>[1]发票导入!V1893&amp;""</f>
      </c>
      <c r="W1893">
        <f>[1]发票导入!W1893&amp;""</f>
      </c>
      <c r="Y1893">
        <f>[1]发票导入!Y1893&amp;""</f>
      </c>
      <c r="AA1893">
        <f>[1]发票导入!AA1893&amp;""</f>
      </c>
      <c r="AB1893">
        <f>[1]发票导入!AB1893</f>
        <v>0</v>
      </c>
      <c r="AC1893">
        <f>[1]发票导入!AC1893</f>
        <v>0</v>
      </c>
      <c r="AE1893" s="22">
        <f t="shared" si="0"/>
      </c>
      <c r="AI1893">
        <f>[1]发票导入!AI1893&amp;""</f>
      </c>
      <c r="AJ1893">
        <f>[1]发票导入!AJ1893&amp;""</f>
      </c>
      <c r="AK1893">
        <f>[1]发票导入!AK1893</f>
        <v>0</v>
      </c>
      <c r="AL1893">
        <f>[1]发票导入!AL1893</f>
        <v>0</v>
      </c>
      <c r="AM1893">
        <f>[1]发票导入!AM1893</f>
        <v>0</v>
      </c>
      <c r="AN1893" s="22">
        <f t="shared" si="1"/>
        <v>0</v>
      </c>
      <c r="AO1893" s="22">
        <f t="shared" si="2"/>
        <v>0</v>
      </c>
    </row>
    <row r="1894">
      <c r="C1894">
        <f>[1]发票导入!C1894&amp;""</f>
      </c>
      <c r="D1894">
        <f>[1]发票导入!D1894&amp;""</f>
      </c>
      <c r="O1894">
        <f>[1]发票导入!O1894&amp;""</f>
      </c>
      <c r="T1894">
        <f>[1]发票导入!T1894</f>
      </c>
      <c r="U1894">
        <f>[1]发票导入!U1894&amp;""</f>
      </c>
      <c r="V1894">
        <f>[1]发票导入!V1894&amp;""</f>
      </c>
      <c r="W1894">
        <f>[1]发票导入!W1894&amp;""</f>
      </c>
      <c r="Y1894">
        <f>[1]发票导入!Y1894&amp;""</f>
      </c>
      <c r="AA1894">
        <f>[1]发票导入!AA1894&amp;""</f>
      </c>
      <c r="AB1894">
        <f>[1]发票导入!AB1894</f>
        <v>0</v>
      </c>
      <c r="AC1894">
        <f>[1]发票导入!AC1894</f>
        <v>0</v>
      </c>
      <c r="AE1894" s="22">
        <f t="shared" si="0"/>
      </c>
      <c r="AI1894">
        <f>[1]发票导入!AI1894&amp;""</f>
      </c>
      <c r="AJ1894">
        <f>[1]发票导入!AJ1894&amp;""</f>
      </c>
      <c r="AK1894">
        <f>[1]发票导入!AK1894</f>
        <v>0</v>
      </c>
      <c r="AL1894">
        <f>[1]发票导入!AL1894</f>
        <v>0</v>
      </c>
      <c r="AM1894">
        <f>[1]发票导入!AM1894</f>
        <v>0</v>
      </c>
      <c r="AN1894" s="22">
        <f t="shared" si="1"/>
        <v>0</v>
      </c>
      <c r="AO1894" s="22">
        <f t="shared" si="2"/>
        <v>0</v>
      </c>
    </row>
    <row r="1895">
      <c r="C1895">
        <f>[1]发票导入!C1895&amp;""</f>
      </c>
      <c r="D1895">
        <f>[1]发票导入!D1895&amp;""</f>
      </c>
      <c r="O1895">
        <f>[1]发票导入!O1895&amp;""</f>
      </c>
      <c r="T1895">
        <f>[1]发票导入!T1895</f>
      </c>
      <c r="U1895">
        <f>[1]发票导入!U1895&amp;""</f>
      </c>
      <c r="V1895">
        <f>[1]发票导入!V1895&amp;""</f>
      </c>
      <c r="W1895">
        <f>[1]发票导入!W1895&amp;""</f>
      </c>
      <c r="Y1895">
        <f>[1]发票导入!Y1895&amp;""</f>
      </c>
      <c r="AA1895">
        <f>[1]发票导入!AA1895&amp;""</f>
      </c>
      <c r="AB1895">
        <f>[1]发票导入!AB1895</f>
        <v>0</v>
      </c>
      <c r="AC1895">
        <f>[1]发票导入!AC1895</f>
        <v>0</v>
      </c>
      <c r="AE1895" s="22">
        <f t="shared" si="0"/>
      </c>
      <c r="AI1895">
        <f>[1]发票导入!AI1895&amp;""</f>
      </c>
      <c r="AJ1895">
        <f>[1]发票导入!AJ1895&amp;""</f>
      </c>
      <c r="AK1895">
        <f>[1]发票导入!AK1895</f>
        <v>0</v>
      </c>
      <c r="AL1895">
        <f>[1]发票导入!AL1895</f>
        <v>0</v>
      </c>
      <c r="AM1895">
        <f>[1]发票导入!AM1895</f>
        <v>0</v>
      </c>
      <c r="AN1895" s="22">
        <f t="shared" si="1"/>
        <v>0</v>
      </c>
      <c r="AO1895" s="22">
        <f t="shared" si="2"/>
        <v>0</v>
      </c>
    </row>
    <row r="1896">
      <c r="C1896">
        <f>[1]发票导入!C1896&amp;""</f>
      </c>
      <c r="D1896">
        <f>[1]发票导入!D1896&amp;""</f>
      </c>
      <c r="O1896">
        <f>[1]发票导入!O1896&amp;""</f>
      </c>
      <c r="T1896">
        <f>[1]发票导入!T1896</f>
      </c>
      <c r="U1896">
        <f>[1]发票导入!U1896&amp;""</f>
      </c>
      <c r="V1896">
        <f>[1]发票导入!V1896&amp;""</f>
      </c>
      <c r="W1896">
        <f>[1]发票导入!W1896&amp;""</f>
      </c>
      <c r="Y1896">
        <f>[1]发票导入!Y1896&amp;""</f>
      </c>
      <c r="AA1896">
        <f>[1]发票导入!AA1896&amp;""</f>
      </c>
      <c r="AB1896">
        <f>[1]发票导入!AB1896</f>
        <v>0</v>
      </c>
      <c r="AC1896">
        <f>[1]发票导入!AC1896</f>
        <v>0</v>
      </c>
      <c r="AE1896" s="22">
        <f t="shared" si="0"/>
      </c>
      <c r="AI1896">
        <f>[1]发票导入!AI1896&amp;""</f>
      </c>
      <c r="AJ1896">
        <f>[1]发票导入!AJ1896&amp;""</f>
      </c>
      <c r="AK1896">
        <f>[1]发票导入!AK1896</f>
        <v>0</v>
      </c>
      <c r="AL1896">
        <f>[1]发票导入!AL1896</f>
        <v>0</v>
      </c>
      <c r="AM1896">
        <f>[1]发票导入!AM1896</f>
        <v>0</v>
      </c>
      <c r="AN1896" s="22">
        <f t="shared" si="1"/>
        <v>0</v>
      </c>
      <c r="AO1896" s="22">
        <f t="shared" si="2"/>
        <v>0</v>
      </c>
    </row>
    <row r="1897">
      <c r="C1897">
        <f>[1]发票导入!C1897&amp;""</f>
      </c>
      <c r="D1897">
        <f>[1]发票导入!D1897&amp;""</f>
      </c>
      <c r="O1897">
        <f>[1]发票导入!O1897&amp;""</f>
      </c>
      <c r="T1897">
        <f>[1]发票导入!T1897</f>
      </c>
      <c r="U1897">
        <f>[1]发票导入!U1897&amp;""</f>
      </c>
      <c r="V1897">
        <f>[1]发票导入!V1897&amp;""</f>
      </c>
      <c r="W1897">
        <f>[1]发票导入!W1897&amp;""</f>
      </c>
      <c r="Y1897">
        <f>[1]发票导入!Y1897&amp;""</f>
      </c>
      <c r="AA1897">
        <f>[1]发票导入!AA1897&amp;""</f>
      </c>
      <c r="AB1897">
        <f>[1]发票导入!AB1897</f>
        <v>0</v>
      </c>
      <c r="AC1897">
        <f>[1]发票导入!AC1897</f>
        <v>0</v>
      </c>
      <c r="AE1897" s="22">
        <f t="shared" si="0"/>
      </c>
      <c r="AI1897">
        <f>[1]发票导入!AI1897&amp;""</f>
      </c>
      <c r="AJ1897">
        <f>[1]发票导入!AJ1897&amp;""</f>
      </c>
      <c r="AK1897">
        <f>[1]发票导入!AK1897</f>
        <v>0</v>
      </c>
      <c r="AL1897">
        <f>[1]发票导入!AL1897</f>
        <v>0</v>
      </c>
      <c r="AM1897">
        <f>[1]发票导入!AM1897</f>
        <v>0</v>
      </c>
      <c r="AN1897" s="22">
        <f t="shared" si="1"/>
        <v>0</v>
      </c>
      <c r="AO1897" s="22">
        <f t="shared" si="2"/>
        <v>0</v>
      </c>
    </row>
    <row r="1898">
      <c r="C1898">
        <f>[1]发票导入!C1898&amp;""</f>
      </c>
      <c r="D1898">
        <f>[1]发票导入!D1898&amp;""</f>
      </c>
      <c r="O1898">
        <f>[1]发票导入!O1898&amp;""</f>
      </c>
      <c r="T1898">
        <f>[1]发票导入!T1898</f>
      </c>
      <c r="U1898">
        <f>[1]发票导入!U1898&amp;""</f>
      </c>
      <c r="V1898">
        <f>[1]发票导入!V1898&amp;""</f>
      </c>
      <c r="W1898">
        <f>[1]发票导入!W1898&amp;""</f>
      </c>
      <c r="Y1898">
        <f>[1]发票导入!Y1898&amp;""</f>
      </c>
      <c r="AA1898">
        <f>[1]发票导入!AA1898&amp;""</f>
      </c>
      <c r="AB1898">
        <f>[1]发票导入!AB1898</f>
        <v>0</v>
      </c>
      <c r="AC1898">
        <f>[1]发票导入!AC1898</f>
        <v>0</v>
      </c>
      <c r="AE1898" s="22">
        <f t="shared" si="0"/>
      </c>
      <c r="AI1898">
        <f>[1]发票导入!AI1898&amp;""</f>
      </c>
      <c r="AJ1898">
        <f>[1]发票导入!AJ1898&amp;""</f>
      </c>
      <c r="AK1898">
        <f>[1]发票导入!AK1898</f>
        <v>0</v>
      </c>
      <c r="AL1898">
        <f>[1]发票导入!AL1898</f>
        <v>0</v>
      </c>
      <c r="AM1898">
        <f>[1]发票导入!AM1898</f>
        <v>0</v>
      </c>
      <c r="AN1898" s="22">
        <f t="shared" si="1"/>
        <v>0</v>
      </c>
      <c r="AO1898" s="22">
        <f t="shared" si="2"/>
        <v>0</v>
      </c>
    </row>
    <row r="1899">
      <c r="C1899">
        <f>[1]发票导入!C1899&amp;""</f>
      </c>
      <c r="D1899">
        <f>[1]发票导入!D1899&amp;""</f>
      </c>
      <c r="O1899">
        <f>[1]发票导入!O1899&amp;""</f>
      </c>
      <c r="T1899">
        <f>[1]发票导入!T1899</f>
      </c>
      <c r="U1899">
        <f>[1]发票导入!U1899&amp;""</f>
      </c>
      <c r="V1899">
        <f>[1]发票导入!V1899&amp;""</f>
      </c>
      <c r="W1899">
        <f>[1]发票导入!W1899&amp;""</f>
      </c>
      <c r="Y1899">
        <f>[1]发票导入!Y1899&amp;""</f>
      </c>
      <c r="AA1899">
        <f>[1]发票导入!AA1899&amp;""</f>
      </c>
      <c r="AB1899">
        <f>[1]发票导入!AB1899</f>
        <v>0</v>
      </c>
      <c r="AC1899">
        <f>[1]发票导入!AC1899</f>
        <v>0</v>
      </c>
      <c r="AE1899" s="22">
        <f t="shared" si="0"/>
      </c>
      <c r="AI1899">
        <f>[1]发票导入!AI1899&amp;""</f>
      </c>
      <c r="AJ1899">
        <f>[1]发票导入!AJ1899&amp;""</f>
      </c>
      <c r="AK1899">
        <f>[1]发票导入!AK1899</f>
        <v>0</v>
      </c>
      <c r="AL1899">
        <f>[1]发票导入!AL1899</f>
        <v>0</v>
      </c>
      <c r="AM1899">
        <f>[1]发票导入!AM1899</f>
        <v>0</v>
      </c>
      <c r="AN1899" s="22">
        <f t="shared" si="1"/>
        <v>0</v>
      </c>
      <c r="AO1899" s="22">
        <f t="shared" si="2"/>
        <v>0</v>
      </c>
    </row>
    <row r="1900">
      <c r="C1900">
        <f>[1]发票导入!C1900&amp;""</f>
      </c>
      <c r="D1900">
        <f>[1]发票导入!D1900&amp;""</f>
      </c>
      <c r="O1900">
        <f>[1]发票导入!O1900&amp;""</f>
      </c>
      <c r="T1900">
        <f>[1]发票导入!T1900</f>
      </c>
      <c r="U1900">
        <f>[1]发票导入!U1900&amp;""</f>
      </c>
      <c r="V1900">
        <f>[1]发票导入!V1900&amp;""</f>
      </c>
      <c r="W1900">
        <f>[1]发票导入!W1900&amp;""</f>
      </c>
      <c r="Y1900">
        <f>[1]发票导入!Y1900&amp;""</f>
      </c>
      <c r="AA1900">
        <f>[1]发票导入!AA1900&amp;""</f>
      </c>
      <c r="AB1900">
        <f>[1]发票导入!AB1900</f>
        <v>0</v>
      </c>
      <c r="AC1900">
        <f>[1]发票导入!AC1900</f>
        <v>0</v>
      </c>
      <c r="AE1900" s="22">
        <f t="shared" si="0"/>
      </c>
      <c r="AI1900">
        <f>[1]发票导入!AI1900&amp;""</f>
      </c>
      <c r="AJ1900">
        <f>[1]发票导入!AJ1900&amp;""</f>
      </c>
      <c r="AK1900">
        <f>[1]发票导入!AK1900</f>
        <v>0</v>
      </c>
      <c r="AL1900">
        <f>[1]发票导入!AL1900</f>
        <v>0</v>
      </c>
      <c r="AM1900">
        <f>[1]发票导入!AM1900</f>
        <v>0</v>
      </c>
      <c r="AN1900" s="22">
        <f t="shared" si="1"/>
        <v>0</v>
      </c>
      <c r="AO1900" s="22">
        <f t="shared" si="2"/>
        <v>0</v>
      </c>
    </row>
    <row r="1901">
      <c r="C1901">
        <f>[1]发票导入!C1901&amp;""</f>
      </c>
      <c r="D1901">
        <f>[1]发票导入!D1901&amp;""</f>
      </c>
      <c r="O1901">
        <f>[1]发票导入!O1901&amp;""</f>
      </c>
      <c r="T1901">
        <f>[1]发票导入!T1901</f>
      </c>
      <c r="U1901">
        <f>[1]发票导入!U1901&amp;""</f>
      </c>
      <c r="V1901">
        <f>[1]发票导入!V1901&amp;""</f>
      </c>
      <c r="W1901">
        <f>[1]发票导入!W1901&amp;""</f>
      </c>
      <c r="Y1901">
        <f>[1]发票导入!Y1901&amp;""</f>
      </c>
      <c r="AA1901">
        <f>[1]发票导入!AA1901&amp;""</f>
      </c>
      <c r="AB1901">
        <f>[1]发票导入!AB1901</f>
        <v>0</v>
      </c>
      <c r="AC1901">
        <f>[1]发票导入!AC1901</f>
        <v>0</v>
      </c>
      <c r="AE1901" s="22">
        <f t="shared" si="0"/>
      </c>
      <c r="AI1901">
        <f>[1]发票导入!AI1901&amp;""</f>
      </c>
      <c r="AJ1901">
        <f>[1]发票导入!AJ1901&amp;""</f>
      </c>
      <c r="AK1901">
        <f>[1]发票导入!AK1901</f>
        <v>0</v>
      </c>
      <c r="AL1901">
        <f>[1]发票导入!AL1901</f>
        <v>0</v>
      </c>
      <c r="AM1901">
        <f>[1]发票导入!AM1901</f>
        <v>0</v>
      </c>
      <c r="AN1901" s="22">
        <f t="shared" si="1"/>
        <v>0</v>
      </c>
      <c r="AO1901" s="22">
        <f t="shared" si="2"/>
        <v>0</v>
      </c>
    </row>
    <row r="1902">
      <c r="C1902">
        <f>[1]发票导入!C1902&amp;""</f>
      </c>
      <c r="D1902">
        <f>[1]发票导入!D1902&amp;""</f>
      </c>
      <c r="O1902">
        <f>[1]发票导入!O1902&amp;""</f>
      </c>
      <c r="T1902">
        <f>[1]发票导入!T1902</f>
      </c>
      <c r="U1902">
        <f>[1]发票导入!U1902&amp;""</f>
      </c>
      <c r="V1902">
        <f>[1]发票导入!V1902&amp;""</f>
      </c>
      <c r="W1902">
        <f>[1]发票导入!W1902&amp;""</f>
      </c>
      <c r="Y1902">
        <f>[1]发票导入!Y1902&amp;""</f>
      </c>
      <c r="AA1902">
        <f>[1]发票导入!AA1902&amp;""</f>
      </c>
      <c r="AB1902">
        <f>[1]发票导入!AB1902</f>
        <v>0</v>
      </c>
      <c r="AC1902">
        <f>[1]发票导入!AC1902</f>
        <v>0</v>
      </c>
      <c r="AE1902" s="22">
        <f t="shared" si="0"/>
      </c>
      <c r="AI1902">
        <f>[1]发票导入!AI1902&amp;""</f>
      </c>
      <c r="AJ1902">
        <f>[1]发票导入!AJ1902&amp;""</f>
      </c>
      <c r="AK1902">
        <f>[1]发票导入!AK1902</f>
        <v>0</v>
      </c>
      <c r="AL1902">
        <f>[1]发票导入!AL1902</f>
        <v>0</v>
      </c>
      <c r="AM1902">
        <f>[1]发票导入!AM1902</f>
        <v>0</v>
      </c>
      <c r="AN1902" s="22">
        <f t="shared" si="1"/>
        <v>0</v>
      </c>
      <c r="AO1902" s="22">
        <f t="shared" si="2"/>
        <v>0</v>
      </c>
    </row>
    <row r="1903">
      <c r="C1903">
        <f>[1]发票导入!C1903&amp;""</f>
      </c>
      <c r="D1903">
        <f>[1]发票导入!D1903&amp;""</f>
      </c>
      <c r="O1903">
        <f>[1]发票导入!O1903&amp;""</f>
      </c>
      <c r="T1903">
        <f>[1]发票导入!T1903</f>
      </c>
      <c r="U1903">
        <f>[1]发票导入!U1903&amp;""</f>
      </c>
      <c r="V1903">
        <f>[1]发票导入!V1903&amp;""</f>
      </c>
      <c r="W1903">
        <f>[1]发票导入!W1903&amp;""</f>
      </c>
      <c r="Y1903">
        <f>[1]发票导入!Y1903&amp;""</f>
      </c>
      <c r="AA1903">
        <f>[1]发票导入!AA1903&amp;""</f>
      </c>
      <c r="AB1903">
        <f>[1]发票导入!AB1903</f>
        <v>0</v>
      </c>
      <c r="AC1903">
        <f>[1]发票导入!AC1903</f>
        <v>0</v>
      </c>
      <c r="AE1903" s="22">
        <f t="shared" si="0"/>
      </c>
      <c r="AI1903">
        <f>[1]发票导入!AI1903&amp;""</f>
      </c>
      <c r="AJ1903">
        <f>[1]发票导入!AJ1903&amp;""</f>
      </c>
      <c r="AK1903">
        <f>[1]发票导入!AK1903</f>
        <v>0</v>
      </c>
      <c r="AL1903">
        <f>[1]发票导入!AL1903</f>
        <v>0</v>
      </c>
      <c r="AM1903">
        <f>[1]发票导入!AM1903</f>
        <v>0</v>
      </c>
      <c r="AN1903" s="22">
        <f t="shared" si="1"/>
        <v>0</v>
      </c>
      <c r="AO1903" s="22">
        <f t="shared" si="2"/>
        <v>0</v>
      </c>
    </row>
    <row r="1904">
      <c r="C1904">
        <f>[1]发票导入!C1904&amp;""</f>
      </c>
      <c r="D1904">
        <f>[1]发票导入!D1904&amp;""</f>
      </c>
      <c r="O1904">
        <f>[1]发票导入!O1904&amp;""</f>
      </c>
      <c r="T1904">
        <f>[1]发票导入!T1904</f>
      </c>
      <c r="U1904">
        <f>[1]发票导入!U1904&amp;""</f>
      </c>
      <c r="V1904">
        <f>[1]发票导入!V1904&amp;""</f>
      </c>
      <c r="W1904">
        <f>[1]发票导入!W1904&amp;""</f>
      </c>
      <c r="Y1904">
        <f>[1]发票导入!Y1904&amp;""</f>
      </c>
      <c r="AA1904">
        <f>[1]发票导入!AA1904&amp;""</f>
      </c>
      <c r="AB1904">
        <f>[1]发票导入!AB1904</f>
        <v>0</v>
      </c>
      <c r="AC1904">
        <f>[1]发票导入!AC1904</f>
        <v>0</v>
      </c>
      <c r="AE1904" s="22">
        <f t="shared" si="0"/>
      </c>
      <c r="AI1904">
        <f>[1]发票导入!AI1904&amp;""</f>
      </c>
      <c r="AJ1904">
        <f>[1]发票导入!AJ1904&amp;""</f>
      </c>
      <c r="AK1904">
        <f>[1]发票导入!AK1904</f>
        <v>0</v>
      </c>
      <c r="AL1904">
        <f>[1]发票导入!AL1904</f>
        <v>0</v>
      </c>
      <c r="AM1904">
        <f>[1]发票导入!AM1904</f>
        <v>0</v>
      </c>
      <c r="AN1904" s="22">
        <f t="shared" si="1"/>
        <v>0</v>
      </c>
      <c r="AO1904" s="22">
        <f t="shared" si="2"/>
        <v>0</v>
      </c>
    </row>
    <row r="1905">
      <c r="C1905">
        <f>[1]发票导入!C1905&amp;""</f>
      </c>
      <c r="D1905">
        <f>[1]发票导入!D1905&amp;""</f>
      </c>
      <c r="O1905">
        <f>[1]发票导入!O1905&amp;""</f>
      </c>
      <c r="T1905">
        <f>[1]发票导入!T1905</f>
      </c>
      <c r="U1905">
        <f>[1]发票导入!U1905&amp;""</f>
      </c>
      <c r="V1905">
        <f>[1]发票导入!V1905&amp;""</f>
      </c>
      <c r="W1905">
        <f>[1]发票导入!W1905&amp;""</f>
      </c>
      <c r="Y1905">
        <f>[1]发票导入!Y1905&amp;""</f>
      </c>
      <c r="AA1905">
        <f>[1]发票导入!AA1905&amp;""</f>
      </c>
      <c r="AB1905">
        <f>[1]发票导入!AB1905</f>
        <v>0</v>
      </c>
      <c r="AC1905">
        <f>[1]发票导入!AC1905</f>
        <v>0</v>
      </c>
      <c r="AE1905" s="22">
        <f t="shared" si="0"/>
      </c>
      <c r="AI1905">
        <f>[1]发票导入!AI1905&amp;""</f>
      </c>
      <c r="AJ1905">
        <f>[1]发票导入!AJ1905&amp;""</f>
      </c>
      <c r="AK1905">
        <f>[1]发票导入!AK1905</f>
        <v>0</v>
      </c>
      <c r="AL1905">
        <f>[1]发票导入!AL1905</f>
        <v>0</v>
      </c>
      <c r="AM1905">
        <f>[1]发票导入!AM1905</f>
        <v>0</v>
      </c>
      <c r="AN1905" s="22">
        <f t="shared" si="1"/>
        <v>0</v>
      </c>
      <c r="AO1905" s="22">
        <f t="shared" si="2"/>
        <v>0</v>
      </c>
    </row>
    <row r="1906">
      <c r="C1906">
        <f>[1]发票导入!C1906&amp;""</f>
      </c>
      <c r="D1906">
        <f>[1]发票导入!D1906&amp;""</f>
      </c>
      <c r="O1906">
        <f>[1]发票导入!O1906&amp;""</f>
      </c>
      <c r="T1906">
        <f>[1]发票导入!T1906</f>
      </c>
      <c r="U1906">
        <f>[1]发票导入!U1906&amp;""</f>
      </c>
      <c r="V1906">
        <f>[1]发票导入!V1906&amp;""</f>
      </c>
      <c r="W1906">
        <f>[1]发票导入!W1906&amp;""</f>
      </c>
      <c r="Y1906">
        <f>[1]发票导入!Y1906&amp;""</f>
      </c>
      <c r="AA1906">
        <f>[1]发票导入!AA1906&amp;""</f>
      </c>
      <c r="AB1906">
        <f>[1]发票导入!AB1906</f>
        <v>0</v>
      </c>
      <c r="AC1906">
        <f>[1]发票导入!AC1906</f>
        <v>0</v>
      </c>
      <c r="AE1906" s="22">
        <f t="shared" si="0"/>
      </c>
      <c r="AI1906">
        <f>[1]发票导入!AI1906&amp;""</f>
      </c>
      <c r="AJ1906">
        <f>[1]发票导入!AJ1906&amp;""</f>
      </c>
      <c r="AK1906">
        <f>[1]发票导入!AK1906</f>
        <v>0</v>
      </c>
      <c r="AL1906">
        <f>[1]发票导入!AL1906</f>
        <v>0</v>
      </c>
      <c r="AM1906">
        <f>[1]发票导入!AM1906</f>
        <v>0</v>
      </c>
      <c r="AN1906" s="22">
        <f t="shared" si="1"/>
        <v>0</v>
      </c>
      <c r="AO1906" s="22">
        <f t="shared" si="2"/>
        <v>0</v>
      </c>
    </row>
    <row r="1907">
      <c r="C1907">
        <f>[1]发票导入!C1907&amp;""</f>
      </c>
      <c r="D1907">
        <f>[1]发票导入!D1907&amp;""</f>
      </c>
      <c r="O1907">
        <f>[1]发票导入!O1907&amp;""</f>
      </c>
      <c r="T1907">
        <f>[1]发票导入!T1907</f>
      </c>
      <c r="U1907">
        <f>[1]发票导入!U1907&amp;""</f>
      </c>
      <c r="V1907">
        <f>[1]发票导入!V1907&amp;""</f>
      </c>
      <c r="W1907">
        <f>[1]发票导入!W1907&amp;""</f>
      </c>
      <c r="Y1907">
        <f>[1]发票导入!Y1907&amp;""</f>
      </c>
      <c r="AA1907">
        <f>[1]发票导入!AA1907&amp;""</f>
      </c>
      <c r="AB1907">
        <f>[1]发票导入!AB1907</f>
        <v>0</v>
      </c>
      <c r="AC1907">
        <f>[1]发票导入!AC1907</f>
        <v>0</v>
      </c>
      <c r="AE1907" s="22">
        <f t="shared" si="0"/>
      </c>
      <c r="AI1907">
        <f>[1]发票导入!AI1907&amp;""</f>
      </c>
      <c r="AJ1907">
        <f>[1]发票导入!AJ1907&amp;""</f>
      </c>
      <c r="AK1907">
        <f>[1]发票导入!AK1907</f>
        <v>0</v>
      </c>
      <c r="AL1907">
        <f>[1]发票导入!AL1907</f>
        <v>0</v>
      </c>
      <c r="AM1907">
        <f>[1]发票导入!AM1907</f>
        <v>0</v>
      </c>
      <c r="AN1907" s="22">
        <f t="shared" si="1"/>
        <v>0</v>
      </c>
      <c r="AO1907" s="22">
        <f t="shared" si="2"/>
        <v>0</v>
      </c>
    </row>
    <row r="1908">
      <c r="C1908">
        <f>[1]发票导入!C1908&amp;""</f>
      </c>
      <c r="D1908">
        <f>[1]发票导入!D1908&amp;""</f>
      </c>
      <c r="O1908">
        <f>[1]发票导入!O1908&amp;""</f>
      </c>
      <c r="T1908">
        <f>[1]发票导入!T1908</f>
      </c>
      <c r="U1908">
        <f>[1]发票导入!U1908&amp;""</f>
      </c>
      <c r="V1908">
        <f>[1]发票导入!V1908&amp;""</f>
      </c>
      <c r="W1908">
        <f>[1]发票导入!W1908&amp;""</f>
      </c>
      <c r="Y1908">
        <f>[1]发票导入!Y1908&amp;""</f>
      </c>
      <c r="AA1908">
        <f>[1]发票导入!AA1908&amp;""</f>
      </c>
      <c r="AB1908">
        <f>[1]发票导入!AB1908</f>
        <v>0</v>
      </c>
      <c r="AC1908">
        <f>[1]发票导入!AC1908</f>
        <v>0</v>
      </c>
      <c r="AE1908" s="22">
        <f t="shared" si="0"/>
      </c>
      <c r="AI1908">
        <f>[1]发票导入!AI1908&amp;""</f>
      </c>
      <c r="AJ1908">
        <f>[1]发票导入!AJ1908&amp;""</f>
      </c>
      <c r="AK1908">
        <f>[1]发票导入!AK1908</f>
        <v>0</v>
      </c>
      <c r="AL1908">
        <f>[1]发票导入!AL1908</f>
        <v>0</v>
      </c>
      <c r="AM1908">
        <f>[1]发票导入!AM1908</f>
        <v>0</v>
      </c>
      <c r="AN1908" s="22">
        <f t="shared" si="1"/>
        <v>0</v>
      </c>
      <c r="AO1908" s="22">
        <f t="shared" si="2"/>
        <v>0</v>
      </c>
    </row>
    <row r="1909">
      <c r="C1909">
        <f>[1]发票导入!C1909&amp;""</f>
      </c>
      <c r="D1909">
        <f>[1]发票导入!D1909&amp;""</f>
      </c>
      <c r="O1909">
        <f>[1]发票导入!O1909&amp;""</f>
      </c>
      <c r="T1909">
        <f>[1]发票导入!T1909</f>
      </c>
      <c r="U1909">
        <f>[1]发票导入!U1909&amp;""</f>
      </c>
      <c r="V1909">
        <f>[1]发票导入!V1909&amp;""</f>
      </c>
      <c r="W1909">
        <f>[1]发票导入!W1909&amp;""</f>
      </c>
      <c r="Y1909">
        <f>[1]发票导入!Y1909&amp;""</f>
      </c>
      <c r="AA1909">
        <f>[1]发票导入!AA1909&amp;""</f>
      </c>
      <c r="AB1909">
        <f>[1]发票导入!AB1909</f>
        <v>0</v>
      </c>
      <c r="AC1909">
        <f>[1]发票导入!AC1909</f>
        <v>0</v>
      </c>
      <c r="AE1909" s="22">
        <f t="shared" si="0"/>
      </c>
      <c r="AI1909">
        <f>[1]发票导入!AI1909&amp;""</f>
      </c>
      <c r="AJ1909">
        <f>[1]发票导入!AJ1909&amp;""</f>
      </c>
      <c r="AK1909">
        <f>[1]发票导入!AK1909</f>
        <v>0</v>
      </c>
      <c r="AL1909">
        <f>[1]发票导入!AL1909</f>
        <v>0</v>
      </c>
      <c r="AM1909">
        <f>[1]发票导入!AM1909</f>
        <v>0</v>
      </c>
      <c r="AN1909" s="22">
        <f t="shared" si="1"/>
        <v>0</v>
      </c>
      <c r="AO1909" s="22">
        <f t="shared" si="2"/>
        <v>0</v>
      </c>
    </row>
    <row r="1910">
      <c r="C1910">
        <f>[1]发票导入!C1910&amp;""</f>
      </c>
      <c r="D1910">
        <f>[1]发票导入!D1910&amp;""</f>
      </c>
      <c r="O1910">
        <f>[1]发票导入!O1910&amp;""</f>
      </c>
      <c r="T1910">
        <f>[1]发票导入!T1910</f>
      </c>
      <c r="U1910">
        <f>[1]发票导入!U1910&amp;""</f>
      </c>
      <c r="V1910">
        <f>[1]发票导入!V1910&amp;""</f>
      </c>
      <c r="W1910">
        <f>[1]发票导入!W1910&amp;""</f>
      </c>
      <c r="Y1910">
        <f>[1]发票导入!Y1910&amp;""</f>
      </c>
      <c r="AA1910">
        <f>[1]发票导入!AA1910&amp;""</f>
      </c>
      <c r="AB1910">
        <f>[1]发票导入!AB1910</f>
        <v>0</v>
      </c>
      <c r="AC1910">
        <f>[1]发票导入!AC1910</f>
        <v>0</v>
      </c>
      <c r="AE1910" s="22">
        <f t="shared" si="0"/>
      </c>
      <c r="AI1910">
        <f>[1]发票导入!AI1910&amp;""</f>
      </c>
      <c r="AJ1910">
        <f>[1]发票导入!AJ1910&amp;""</f>
      </c>
      <c r="AK1910">
        <f>[1]发票导入!AK1910</f>
        <v>0</v>
      </c>
      <c r="AL1910">
        <f>[1]发票导入!AL1910</f>
        <v>0</v>
      </c>
      <c r="AM1910">
        <f>[1]发票导入!AM1910</f>
        <v>0</v>
      </c>
      <c r="AN1910" s="22">
        <f t="shared" si="1"/>
        <v>0</v>
      </c>
      <c r="AO1910" s="22">
        <f t="shared" si="2"/>
        <v>0</v>
      </c>
    </row>
    <row r="1911">
      <c r="C1911">
        <f>[1]发票导入!C1911&amp;""</f>
      </c>
      <c r="D1911">
        <f>[1]发票导入!D1911&amp;""</f>
      </c>
      <c r="O1911">
        <f>[1]发票导入!O1911&amp;""</f>
      </c>
      <c r="T1911">
        <f>[1]发票导入!T1911</f>
      </c>
      <c r="U1911">
        <f>[1]发票导入!U1911&amp;""</f>
      </c>
      <c r="V1911">
        <f>[1]发票导入!V1911&amp;""</f>
      </c>
      <c r="W1911">
        <f>[1]发票导入!W1911&amp;""</f>
      </c>
      <c r="Y1911">
        <f>[1]发票导入!Y1911&amp;""</f>
      </c>
      <c r="AA1911">
        <f>[1]发票导入!AA1911&amp;""</f>
      </c>
      <c r="AB1911">
        <f>[1]发票导入!AB1911</f>
        <v>0</v>
      </c>
      <c r="AC1911">
        <f>[1]发票导入!AC1911</f>
        <v>0</v>
      </c>
      <c r="AE1911" s="22">
        <f t="shared" si="0"/>
      </c>
      <c r="AI1911">
        <f>[1]发票导入!AI1911&amp;""</f>
      </c>
      <c r="AJ1911">
        <f>[1]发票导入!AJ1911&amp;""</f>
      </c>
      <c r="AK1911">
        <f>[1]发票导入!AK1911</f>
        <v>0</v>
      </c>
      <c r="AL1911">
        <f>[1]发票导入!AL1911</f>
        <v>0</v>
      </c>
      <c r="AM1911">
        <f>[1]发票导入!AM1911</f>
        <v>0</v>
      </c>
      <c r="AN1911" s="22">
        <f t="shared" si="1"/>
        <v>0</v>
      </c>
      <c r="AO1911" s="22">
        <f t="shared" si="2"/>
        <v>0</v>
      </c>
    </row>
    <row r="1912">
      <c r="C1912">
        <f>[1]发票导入!C1912&amp;""</f>
      </c>
      <c r="D1912">
        <f>[1]发票导入!D1912&amp;""</f>
      </c>
      <c r="O1912">
        <f>[1]发票导入!O1912&amp;""</f>
      </c>
      <c r="T1912">
        <f>[1]发票导入!T1912</f>
      </c>
      <c r="U1912">
        <f>[1]发票导入!U1912&amp;""</f>
      </c>
      <c r="V1912">
        <f>[1]发票导入!V1912&amp;""</f>
      </c>
      <c r="W1912">
        <f>[1]发票导入!W1912&amp;""</f>
      </c>
      <c r="Y1912">
        <f>[1]发票导入!Y1912&amp;""</f>
      </c>
      <c r="AA1912">
        <f>[1]发票导入!AA1912&amp;""</f>
      </c>
      <c r="AB1912">
        <f>[1]发票导入!AB1912</f>
        <v>0</v>
      </c>
      <c r="AC1912">
        <f>[1]发票导入!AC1912</f>
        <v>0</v>
      </c>
      <c r="AE1912" s="22">
        <f t="shared" si="0"/>
      </c>
      <c r="AI1912">
        <f>[1]发票导入!AI1912&amp;""</f>
      </c>
      <c r="AJ1912">
        <f>[1]发票导入!AJ1912&amp;""</f>
      </c>
      <c r="AK1912">
        <f>[1]发票导入!AK1912</f>
        <v>0</v>
      </c>
      <c r="AL1912">
        <f>[1]发票导入!AL1912</f>
        <v>0</v>
      </c>
      <c r="AM1912">
        <f>[1]发票导入!AM1912</f>
        <v>0</v>
      </c>
      <c r="AN1912" s="22">
        <f t="shared" si="1"/>
        <v>0</v>
      </c>
      <c r="AO1912" s="22">
        <f t="shared" si="2"/>
        <v>0</v>
      </c>
    </row>
    <row r="1913">
      <c r="C1913">
        <f>[1]发票导入!C1913&amp;""</f>
      </c>
      <c r="D1913">
        <f>[1]发票导入!D1913&amp;""</f>
      </c>
      <c r="O1913">
        <f>[1]发票导入!O1913&amp;""</f>
      </c>
      <c r="T1913">
        <f>[1]发票导入!T1913</f>
      </c>
      <c r="U1913">
        <f>[1]发票导入!U1913&amp;""</f>
      </c>
      <c r="V1913">
        <f>[1]发票导入!V1913&amp;""</f>
      </c>
      <c r="W1913">
        <f>[1]发票导入!W1913&amp;""</f>
      </c>
      <c r="Y1913">
        <f>[1]发票导入!Y1913&amp;""</f>
      </c>
      <c r="AA1913">
        <f>[1]发票导入!AA1913&amp;""</f>
      </c>
      <c r="AB1913">
        <f>[1]发票导入!AB1913</f>
        <v>0</v>
      </c>
      <c r="AC1913">
        <f>[1]发票导入!AC1913</f>
        <v>0</v>
      </c>
      <c r="AE1913" s="22">
        <f t="shared" si="0"/>
      </c>
      <c r="AI1913">
        <f>[1]发票导入!AI1913&amp;""</f>
      </c>
      <c r="AJ1913">
        <f>[1]发票导入!AJ1913&amp;""</f>
      </c>
      <c r="AK1913">
        <f>[1]发票导入!AK1913</f>
        <v>0</v>
      </c>
      <c r="AL1913">
        <f>[1]发票导入!AL1913</f>
        <v>0</v>
      </c>
      <c r="AM1913">
        <f>[1]发票导入!AM1913</f>
        <v>0</v>
      </c>
      <c r="AN1913" s="22">
        <f t="shared" si="1"/>
        <v>0</v>
      </c>
      <c r="AO1913" s="22">
        <f t="shared" si="2"/>
        <v>0</v>
      </c>
    </row>
    <row r="1914">
      <c r="C1914">
        <f>[1]发票导入!C1914&amp;""</f>
      </c>
      <c r="D1914">
        <f>[1]发票导入!D1914&amp;""</f>
      </c>
      <c r="O1914">
        <f>[1]发票导入!O1914&amp;""</f>
      </c>
      <c r="T1914">
        <f>[1]发票导入!T1914</f>
      </c>
      <c r="U1914">
        <f>[1]发票导入!U1914&amp;""</f>
      </c>
      <c r="V1914">
        <f>[1]发票导入!V1914&amp;""</f>
      </c>
      <c r="W1914">
        <f>[1]发票导入!W1914&amp;""</f>
      </c>
      <c r="Y1914">
        <f>[1]发票导入!Y1914&amp;""</f>
      </c>
      <c r="AA1914">
        <f>[1]发票导入!AA1914&amp;""</f>
      </c>
      <c r="AB1914">
        <f>[1]发票导入!AB1914</f>
        <v>0</v>
      </c>
      <c r="AC1914">
        <f>[1]发票导入!AC1914</f>
        <v>0</v>
      </c>
      <c r="AE1914" s="22">
        <f t="shared" si="0"/>
      </c>
      <c r="AI1914">
        <f>[1]发票导入!AI1914&amp;""</f>
      </c>
      <c r="AJ1914">
        <f>[1]发票导入!AJ1914&amp;""</f>
      </c>
      <c r="AK1914">
        <f>[1]发票导入!AK1914</f>
        <v>0</v>
      </c>
      <c r="AL1914">
        <f>[1]发票导入!AL1914</f>
        <v>0</v>
      </c>
      <c r="AM1914">
        <f>[1]发票导入!AM1914</f>
        <v>0</v>
      </c>
      <c r="AN1914" s="22">
        <f t="shared" si="1"/>
        <v>0</v>
      </c>
      <c r="AO1914" s="22">
        <f t="shared" si="2"/>
        <v>0</v>
      </c>
    </row>
    <row r="1915">
      <c r="C1915">
        <f>[1]发票导入!C1915&amp;""</f>
      </c>
      <c r="D1915">
        <f>[1]发票导入!D1915&amp;""</f>
      </c>
      <c r="O1915">
        <f>[1]发票导入!O1915&amp;""</f>
      </c>
      <c r="T1915">
        <f>[1]发票导入!T1915</f>
      </c>
      <c r="U1915">
        <f>[1]发票导入!U1915&amp;""</f>
      </c>
      <c r="V1915">
        <f>[1]发票导入!V1915&amp;""</f>
      </c>
      <c r="W1915">
        <f>[1]发票导入!W1915&amp;""</f>
      </c>
      <c r="Y1915">
        <f>[1]发票导入!Y1915&amp;""</f>
      </c>
      <c r="AA1915">
        <f>[1]发票导入!AA1915&amp;""</f>
      </c>
      <c r="AB1915">
        <f>[1]发票导入!AB1915</f>
        <v>0</v>
      </c>
      <c r="AC1915">
        <f>[1]发票导入!AC1915</f>
        <v>0</v>
      </c>
      <c r="AE1915" s="22">
        <f t="shared" si="0"/>
      </c>
      <c r="AI1915">
        <f>[1]发票导入!AI1915&amp;""</f>
      </c>
      <c r="AJ1915">
        <f>[1]发票导入!AJ1915&amp;""</f>
      </c>
      <c r="AK1915">
        <f>[1]发票导入!AK1915</f>
        <v>0</v>
      </c>
      <c r="AL1915">
        <f>[1]发票导入!AL1915</f>
        <v>0</v>
      </c>
      <c r="AM1915">
        <f>[1]发票导入!AM1915</f>
        <v>0</v>
      </c>
      <c r="AN1915" s="22">
        <f t="shared" si="1"/>
        <v>0</v>
      </c>
      <c r="AO1915" s="22">
        <f t="shared" si="2"/>
        <v>0</v>
      </c>
    </row>
    <row r="1916">
      <c r="C1916">
        <f>[1]发票导入!C1916&amp;""</f>
      </c>
      <c r="D1916">
        <f>[1]发票导入!D1916&amp;""</f>
      </c>
      <c r="O1916">
        <f>[1]发票导入!O1916&amp;""</f>
      </c>
      <c r="T1916">
        <f>[1]发票导入!T1916</f>
      </c>
      <c r="U1916">
        <f>[1]发票导入!U1916&amp;""</f>
      </c>
      <c r="V1916">
        <f>[1]发票导入!V1916&amp;""</f>
      </c>
      <c r="W1916">
        <f>[1]发票导入!W1916&amp;""</f>
      </c>
      <c r="Y1916">
        <f>[1]发票导入!Y1916&amp;""</f>
      </c>
      <c r="AA1916">
        <f>[1]发票导入!AA1916&amp;""</f>
      </c>
      <c r="AB1916">
        <f>[1]发票导入!AB1916</f>
        <v>0</v>
      </c>
      <c r="AC1916">
        <f>[1]发票导入!AC1916</f>
        <v>0</v>
      </c>
      <c r="AE1916" s="22">
        <f t="shared" si="0"/>
      </c>
      <c r="AI1916">
        <f>[1]发票导入!AI1916&amp;""</f>
      </c>
      <c r="AJ1916">
        <f>[1]发票导入!AJ1916&amp;""</f>
      </c>
      <c r="AK1916">
        <f>[1]发票导入!AK1916</f>
        <v>0</v>
      </c>
      <c r="AL1916">
        <f>[1]发票导入!AL1916</f>
        <v>0</v>
      </c>
      <c r="AM1916">
        <f>[1]发票导入!AM1916</f>
        <v>0</v>
      </c>
      <c r="AN1916" s="22">
        <f t="shared" si="1"/>
        <v>0</v>
      </c>
      <c r="AO1916" s="22">
        <f t="shared" si="2"/>
        <v>0</v>
      </c>
    </row>
    <row r="1917">
      <c r="C1917">
        <f>[1]发票导入!C1917&amp;""</f>
      </c>
      <c r="D1917">
        <f>[1]发票导入!D1917&amp;""</f>
      </c>
      <c r="O1917">
        <f>[1]发票导入!O1917&amp;""</f>
      </c>
      <c r="T1917">
        <f>[1]发票导入!T1917</f>
      </c>
      <c r="U1917">
        <f>[1]发票导入!U1917&amp;""</f>
      </c>
      <c r="V1917">
        <f>[1]发票导入!V1917&amp;""</f>
      </c>
      <c r="W1917">
        <f>[1]发票导入!W1917&amp;""</f>
      </c>
      <c r="Y1917">
        <f>[1]发票导入!Y1917&amp;""</f>
      </c>
      <c r="AA1917">
        <f>[1]发票导入!AA1917&amp;""</f>
      </c>
      <c r="AB1917">
        <f>[1]发票导入!AB1917</f>
        <v>0</v>
      </c>
      <c r="AC1917">
        <f>[1]发票导入!AC1917</f>
        <v>0</v>
      </c>
      <c r="AE1917" s="22">
        <f t="shared" si="0"/>
      </c>
      <c r="AI1917">
        <f>[1]发票导入!AI1917&amp;""</f>
      </c>
      <c r="AJ1917">
        <f>[1]发票导入!AJ1917&amp;""</f>
      </c>
      <c r="AK1917">
        <f>[1]发票导入!AK1917</f>
        <v>0</v>
      </c>
      <c r="AL1917">
        <f>[1]发票导入!AL1917</f>
        <v>0</v>
      </c>
      <c r="AM1917">
        <f>[1]发票导入!AM1917</f>
        <v>0</v>
      </c>
      <c r="AN1917" s="22">
        <f t="shared" si="1"/>
        <v>0</v>
      </c>
      <c r="AO1917" s="22">
        <f t="shared" si="2"/>
        <v>0</v>
      </c>
    </row>
    <row r="1918">
      <c r="C1918">
        <f>[1]发票导入!C1918&amp;""</f>
      </c>
      <c r="D1918">
        <f>[1]发票导入!D1918&amp;""</f>
      </c>
      <c r="O1918">
        <f>[1]发票导入!O1918&amp;""</f>
      </c>
      <c r="T1918">
        <f>[1]发票导入!T1918</f>
      </c>
      <c r="U1918">
        <f>[1]发票导入!U1918&amp;""</f>
      </c>
      <c r="V1918">
        <f>[1]发票导入!V1918&amp;""</f>
      </c>
      <c r="W1918">
        <f>[1]发票导入!W1918&amp;""</f>
      </c>
      <c r="Y1918">
        <f>[1]发票导入!Y1918&amp;""</f>
      </c>
      <c r="AA1918">
        <f>[1]发票导入!AA1918&amp;""</f>
      </c>
      <c r="AB1918">
        <f>[1]发票导入!AB1918</f>
        <v>0</v>
      </c>
      <c r="AC1918">
        <f>[1]发票导入!AC1918</f>
        <v>0</v>
      </c>
      <c r="AE1918" s="22">
        <f t="shared" si="0"/>
      </c>
      <c r="AI1918">
        <f>[1]发票导入!AI1918&amp;""</f>
      </c>
      <c r="AJ1918">
        <f>[1]发票导入!AJ1918&amp;""</f>
      </c>
      <c r="AK1918">
        <f>[1]发票导入!AK1918</f>
        <v>0</v>
      </c>
      <c r="AL1918">
        <f>[1]发票导入!AL1918</f>
        <v>0</v>
      </c>
      <c r="AM1918">
        <f>[1]发票导入!AM1918</f>
        <v>0</v>
      </c>
      <c r="AN1918" s="22">
        <f t="shared" si="1"/>
        <v>0</v>
      </c>
      <c r="AO1918" s="22">
        <f t="shared" si="2"/>
        <v>0</v>
      </c>
    </row>
    <row r="1919">
      <c r="C1919">
        <f>[1]发票导入!C1919&amp;""</f>
      </c>
      <c r="D1919">
        <f>[1]发票导入!D1919&amp;""</f>
      </c>
      <c r="O1919">
        <f>[1]发票导入!O1919&amp;""</f>
      </c>
      <c r="T1919">
        <f>[1]发票导入!T1919</f>
      </c>
      <c r="U1919">
        <f>[1]发票导入!U1919&amp;""</f>
      </c>
      <c r="V1919">
        <f>[1]发票导入!V1919&amp;""</f>
      </c>
      <c r="W1919">
        <f>[1]发票导入!W1919&amp;""</f>
      </c>
      <c r="Y1919">
        <f>[1]发票导入!Y1919&amp;""</f>
      </c>
      <c r="AA1919">
        <f>[1]发票导入!AA1919&amp;""</f>
      </c>
      <c r="AB1919">
        <f>[1]发票导入!AB1919</f>
        <v>0</v>
      </c>
      <c r="AC1919">
        <f>[1]发票导入!AC1919</f>
        <v>0</v>
      </c>
      <c r="AE1919" s="22">
        <f t="shared" si="0"/>
      </c>
      <c r="AI1919">
        <f>[1]发票导入!AI1919&amp;""</f>
      </c>
      <c r="AJ1919">
        <f>[1]发票导入!AJ1919&amp;""</f>
      </c>
      <c r="AK1919">
        <f>[1]发票导入!AK1919</f>
        <v>0</v>
      </c>
      <c r="AL1919">
        <f>[1]发票导入!AL1919</f>
        <v>0</v>
      </c>
      <c r="AM1919">
        <f>[1]发票导入!AM1919</f>
        <v>0</v>
      </c>
      <c r="AN1919" s="22">
        <f t="shared" si="1"/>
        <v>0</v>
      </c>
      <c r="AO1919" s="22">
        <f t="shared" si="2"/>
        <v>0</v>
      </c>
    </row>
    <row r="1920">
      <c r="C1920">
        <f>[1]发票导入!C1920&amp;""</f>
      </c>
      <c r="D1920">
        <f>[1]发票导入!D1920&amp;""</f>
      </c>
      <c r="O1920">
        <f>[1]发票导入!O1920&amp;""</f>
      </c>
      <c r="T1920">
        <f>[1]发票导入!T1920</f>
      </c>
      <c r="U1920">
        <f>[1]发票导入!U1920&amp;""</f>
      </c>
      <c r="V1920">
        <f>[1]发票导入!V1920&amp;""</f>
      </c>
      <c r="W1920">
        <f>[1]发票导入!W1920&amp;""</f>
      </c>
      <c r="Y1920">
        <f>[1]发票导入!Y1920&amp;""</f>
      </c>
      <c r="AA1920">
        <f>[1]发票导入!AA1920&amp;""</f>
      </c>
      <c r="AB1920">
        <f>[1]发票导入!AB1920</f>
        <v>0</v>
      </c>
      <c r="AC1920">
        <f>[1]发票导入!AC1920</f>
        <v>0</v>
      </c>
      <c r="AE1920" s="22">
        <f t="shared" si="0"/>
      </c>
      <c r="AI1920">
        <f>[1]发票导入!AI1920&amp;""</f>
      </c>
      <c r="AJ1920">
        <f>[1]发票导入!AJ1920&amp;""</f>
      </c>
      <c r="AK1920">
        <f>[1]发票导入!AK1920</f>
        <v>0</v>
      </c>
      <c r="AL1920">
        <f>[1]发票导入!AL1920</f>
        <v>0</v>
      </c>
      <c r="AM1920">
        <f>[1]发票导入!AM1920</f>
        <v>0</v>
      </c>
      <c r="AN1920" s="22">
        <f t="shared" si="1"/>
        <v>0</v>
      </c>
      <c r="AO1920" s="22">
        <f t="shared" si="2"/>
        <v>0</v>
      </c>
    </row>
    <row r="1921">
      <c r="C1921">
        <f>[1]发票导入!C1921&amp;""</f>
      </c>
      <c r="D1921">
        <f>[1]发票导入!D1921&amp;""</f>
      </c>
      <c r="O1921">
        <f>[1]发票导入!O1921&amp;""</f>
      </c>
      <c r="T1921">
        <f>[1]发票导入!T1921</f>
      </c>
      <c r="U1921">
        <f>[1]发票导入!U1921&amp;""</f>
      </c>
      <c r="V1921">
        <f>[1]发票导入!V1921&amp;""</f>
      </c>
      <c r="W1921">
        <f>[1]发票导入!W1921&amp;""</f>
      </c>
      <c r="Y1921">
        <f>[1]发票导入!Y1921&amp;""</f>
      </c>
      <c r="AA1921">
        <f>[1]发票导入!AA1921&amp;""</f>
      </c>
      <c r="AB1921">
        <f>[1]发票导入!AB1921</f>
        <v>0</v>
      </c>
      <c r="AC1921">
        <f>[1]发票导入!AC1921</f>
        <v>0</v>
      </c>
      <c r="AE1921" s="22">
        <f t="shared" si="0"/>
      </c>
      <c r="AI1921">
        <f>[1]发票导入!AI1921&amp;""</f>
      </c>
      <c r="AJ1921">
        <f>[1]发票导入!AJ1921&amp;""</f>
      </c>
      <c r="AK1921">
        <f>[1]发票导入!AK1921</f>
        <v>0</v>
      </c>
      <c r="AL1921">
        <f>[1]发票导入!AL1921</f>
        <v>0</v>
      </c>
      <c r="AM1921">
        <f>[1]发票导入!AM1921</f>
        <v>0</v>
      </c>
      <c r="AN1921" s="22">
        <f t="shared" si="1"/>
        <v>0</v>
      </c>
      <c r="AO1921" s="22">
        <f t="shared" si="2"/>
        <v>0</v>
      </c>
    </row>
    <row r="1922">
      <c r="C1922">
        <f>[1]发票导入!C1922&amp;""</f>
      </c>
      <c r="D1922">
        <f>[1]发票导入!D1922&amp;""</f>
      </c>
      <c r="O1922">
        <f>[1]发票导入!O1922&amp;""</f>
      </c>
      <c r="T1922">
        <f>[1]发票导入!T1922</f>
      </c>
      <c r="U1922">
        <f>[1]发票导入!U1922&amp;""</f>
      </c>
      <c r="V1922">
        <f>[1]发票导入!V1922&amp;""</f>
      </c>
      <c r="W1922">
        <f>[1]发票导入!W1922&amp;""</f>
      </c>
      <c r="Y1922">
        <f>[1]发票导入!Y1922&amp;""</f>
      </c>
      <c r="AA1922">
        <f>[1]发票导入!AA1922&amp;""</f>
      </c>
      <c r="AB1922">
        <f>[1]发票导入!AB1922</f>
        <v>0</v>
      </c>
      <c r="AC1922">
        <f>[1]发票导入!AC1922</f>
        <v>0</v>
      </c>
      <c r="AE1922" s="22">
        <f t="shared" si="0"/>
      </c>
      <c r="AI1922">
        <f>[1]发票导入!AI1922&amp;""</f>
      </c>
      <c r="AJ1922">
        <f>[1]发票导入!AJ1922&amp;""</f>
      </c>
      <c r="AK1922">
        <f>[1]发票导入!AK1922</f>
        <v>0</v>
      </c>
      <c r="AL1922">
        <f>[1]发票导入!AL1922</f>
        <v>0</v>
      </c>
      <c r="AM1922">
        <f>[1]发票导入!AM1922</f>
        <v>0</v>
      </c>
      <c r="AN1922" s="22">
        <f t="shared" si="1"/>
        <v>0</v>
      </c>
      <c r="AO1922" s="22">
        <f t="shared" si="2"/>
        <v>0</v>
      </c>
    </row>
    <row r="1923">
      <c r="C1923">
        <f>[1]发票导入!C1923&amp;""</f>
      </c>
      <c r="D1923">
        <f>[1]发票导入!D1923&amp;""</f>
      </c>
      <c r="O1923">
        <f>[1]发票导入!O1923&amp;""</f>
      </c>
      <c r="T1923">
        <f>[1]发票导入!T1923</f>
      </c>
      <c r="U1923">
        <f>[1]发票导入!U1923&amp;""</f>
      </c>
      <c r="V1923">
        <f>[1]发票导入!V1923&amp;""</f>
      </c>
      <c r="W1923">
        <f>[1]发票导入!W1923&amp;""</f>
      </c>
      <c r="Y1923">
        <f>[1]发票导入!Y1923&amp;""</f>
      </c>
      <c r="AA1923">
        <f>[1]发票导入!AA1923&amp;""</f>
      </c>
      <c r="AB1923">
        <f>[1]发票导入!AB1923</f>
        <v>0</v>
      </c>
      <c r="AC1923">
        <f>[1]发票导入!AC1923</f>
        <v>0</v>
      </c>
      <c r="AE1923" s="22">
        <f t="shared" si="0"/>
      </c>
      <c r="AI1923">
        <f>[1]发票导入!AI1923&amp;""</f>
      </c>
      <c r="AJ1923">
        <f>[1]发票导入!AJ1923&amp;""</f>
      </c>
      <c r="AK1923">
        <f>[1]发票导入!AK1923</f>
        <v>0</v>
      </c>
      <c r="AL1923">
        <f>[1]发票导入!AL1923</f>
        <v>0</v>
      </c>
      <c r="AM1923">
        <f>[1]发票导入!AM1923</f>
        <v>0</v>
      </c>
      <c r="AN1923" s="22">
        <f t="shared" si="1"/>
        <v>0</v>
      </c>
      <c r="AO1923" s="22">
        <f t="shared" si="2"/>
        <v>0</v>
      </c>
    </row>
    <row r="1924">
      <c r="C1924">
        <f>[1]发票导入!C1924&amp;""</f>
      </c>
      <c r="D1924">
        <f>[1]发票导入!D1924&amp;""</f>
      </c>
      <c r="O1924">
        <f>[1]发票导入!O1924&amp;""</f>
      </c>
      <c r="T1924">
        <f>[1]发票导入!T1924</f>
      </c>
      <c r="U1924">
        <f>[1]发票导入!U1924&amp;""</f>
      </c>
      <c r="V1924">
        <f>[1]发票导入!V1924&amp;""</f>
      </c>
      <c r="W1924">
        <f>[1]发票导入!W1924&amp;""</f>
      </c>
      <c r="Y1924">
        <f>[1]发票导入!Y1924&amp;""</f>
      </c>
      <c r="AA1924">
        <f>[1]发票导入!AA1924&amp;""</f>
      </c>
      <c r="AB1924">
        <f>[1]发票导入!AB1924</f>
        <v>0</v>
      </c>
      <c r="AC1924">
        <f>[1]发票导入!AC1924</f>
        <v>0</v>
      </c>
      <c r="AE1924" s="22">
        <f t="shared" si="0"/>
      </c>
      <c r="AI1924">
        <f>[1]发票导入!AI1924&amp;""</f>
      </c>
      <c r="AJ1924">
        <f>[1]发票导入!AJ1924&amp;""</f>
      </c>
      <c r="AK1924">
        <f>[1]发票导入!AK1924</f>
        <v>0</v>
      </c>
      <c r="AL1924">
        <f>[1]发票导入!AL1924</f>
        <v>0</v>
      </c>
      <c r="AM1924">
        <f>[1]发票导入!AM1924</f>
        <v>0</v>
      </c>
      <c r="AN1924" s="22">
        <f t="shared" si="1"/>
        <v>0</v>
      </c>
      <c r="AO1924" s="22">
        <f t="shared" si="2"/>
        <v>0</v>
      </c>
    </row>
    <row r="1925">
      <c r="C1925">
        <f>[1]发票导入!C1925&amp;""</f>
      </c>
      <c r="D1925">
        <f>[1]发票导入!D1925&amp;""</f>
      </c>
      <c r="O1925">
        <f>[1]发票导入!O1925&amp;""</f>
      </c>
      <c r="T1925">
        <f>[1]发票导入!T1925</f>
      </c>
      <c r="U1925">
        <f>[1]发票导入!U1925&amp;""</f>
      </c>
      <c r="V1925">
        <f>[1]发票导入!V1925&amp;""</f>
      </c>
      <c r="W1925">
        <f>[1]发票导入!W1925&amp;""</f>
      </c>
      <c r="Y1925">
        <f>[1]发票导入!Y1925&amp;""</f>
      </c>
      <c r="AA1925">
        <f>[1]发票导入!AA1925&amp;""</f>
      </c>
      <c r="AB1925">
        <f>[1]发票导入!AB1925</f>
        <v>0</v>
      </c>
      <c r="AC1925">
        <f>[1]发票导入!AC1925</f>
        <v>0</v>
      </c>
      <c r="AE1925" s="22">
        <f t="shared" si="0"/>
      </c>
      <c r="AI1925">
        <f>[1]发票导入!AI1925&amp;""</f>
      </c>
      <c r="AJ1925">
        <f>[1]发票导入!AJ1925&amp;""</f>
      </c>
      <c r="AK1925">
        <f>[1]发票导入!AK1925</f>
        <v>0</v>
      </c>
      <c r="AL1925">
        <f>[1]发票导入!AL1925</f>
        <v>0</v>
      </c>
      <c r="AM1925">
        <f>[1]发票导入!AM1925</f>
        <v>0</v>
      </c>
      <c r="AN1925" s="22">
        <f t="shared" si="1"/>
        <v>0</v>
      </c>
      <c r="AO1925" s="22">
        <f t="shared" si="2"/>
        <v>0</v>
      </c>
    </row>
    <row r="1926">
      <c r="C1926">
        <f>[1]发票导入!C1926&amp;""</f>
      </c>
      <c r="D1926">
        <f>[1]发票导入!D1926&amp;""</f>
      </c>
      <c r="O1926">
        <f>[1]发票导入!O1926&amp;""</f>
      </c>
      <c r="T1926">
        <f>[1]发票导入!T1926</f>
      </c>
      <c r="U1926">
        <f>[1]发票导入!U1926&amp;""</f>
      </c>
      <c r="V1926">
        <f>[1]发票导入!V1926&amp;""</f>
      </c>
      <c r="W1926">
        <f>[1]发票导入!W1926&amp;""</f>
      </c>
      <c r="Y1926">
        <f>[1]发票导入!Y1926&amp;""</f>
      </c>
      <c r="AA1926">
        <f>[1]发票导入!AA1926&amp;""</f>
      </c>
      <c r="AB1926">
        <f>[1]发票导入!AB1926</f>
        <v>0</v>
      </c>
      <c r="AC1926">
        <f>[1]发票导入!AC1926</f>
        <v>0</v>
      </c>
      <c r="AE1926" s="22">
        <f t="shared" si="0"/>
      </c>
      <c r="AI1926">
        <f>[1]发票导入!AI1926&amp;""</f>
      </c>
      <c r="AJ1926">
        <f>[1]发票导入!AJ1926&amp;""</f>
      </c>
      <c r="AK1926">
        <f>[1]发票导入!AK1926</f>
        <v>0</v>
      </c>
      <c r="AL1926">
        <f>[1]发票导入!AL1926</f>
        <v>0</v>
      </c>
      <c r="AM1926">
        <f>[1]发票导入!AM1926</f>
        <v>0</v>
      </c>
      <c r="AN1926" s="22">
        <f t="shared" si="1"/>
        <v>0</v>
      </c>
      <c r="AO1926" s="22">
        <f t="shared" si="2"/>
        <v>0</v>
      </c>
    </row>
    <row r="1927">
      <c r="C1927">
        <f>[1]发票导入!C1927&amp;""</f>
      </c>
      <c r="D1927">
        <f>[1]发票导入!D1927&amp;""</f>
      </c>
      <c r="O1927">
        <f>[1]发票导入!O1927&amp;""</f>
      </c>
      <c r="T1927">
        <f>[1]发票导入!T1927</f>
      </c>
      <c r="U1927">
        <f>[1]发票导入!U1927&amp;""</f>
      </c>
      <c r="V1927">
        <f>[1]发票导入!V1927&amp;""</f>
      </c>
      <c r="W1927">
        <f>[1]发票导入!W1927&amp;""</f>
      </c>
      <c r="Y1927">
        <f>[1]发票导入!Y1927&amp;""</f>
      </c>
      <c r="AA1927">
        <f>[1]发票导入!AA1927&amp;""</f>
      </c>
      <c r="AB1927">
        <f>[1]发票导入!AB1927</f>
        <v>0</v>
      </c>
      <c r="AC1927">
        <f>[1]发票导入!AC1927</f>
        <v>0</v>
      </c>
      <c r="AE1927" s="22">
        <f t="shared" si="0"/>
      </c>
      <c r="AI1927">
        <f>[1]发票导入!AI1927&amp;""</f>
      </c>
      <c r="AJ1927">
        <f>[1]发票导入!AJ1927&amp;""</f>
      </c>
      <c r="AK1927">
        <f>[1]发票导入!AK1927</f>
        <v>0</v>
      </c>
      <c r="AL1927">
        <f>[1]发票导入!AL1927</f>
        <v>0</v>
      </c>
      <c r="AM1927">
        <f>[1]发票导入!AM1927</f>
        <v>0</v>
      </c>
      <c r="AN1927" s="22">
        <f t="shared" si="1"/>
        <v>0</v>
      </c>
      <c r="AO1927" s="22">
        <f t="shared" si="2"/>
        <v>0</v>
      </c>
    </row>
    <row r="1928">
      <c r="C1928">
        <f>[1]发票导入!C1928&amp;""</f>
      </c>
      <c r="D1928">
        <f>[1]发票导入!D1928&amp;""</f>
      </c>
      <c r="O1928">
        <f>[1]发票导入!O1928&amp;""</f>
      </c>
      <c r="T1928">
        <f>[1]发票导入!T1928</f>
      </c>
      <c r="U1928">
        <f>[1]发票导入!U1928&amp;""</f>
      </c>
      <c r="V1928">
        <f>[1]发票导入!V1928&amp;""</f>
      </c>
      <c r="W1928">
        <f>[1]发票导入!W1928&amp;""</f>
      </c>
      <c r="Y1928">
        <f>[1]发票导入!Y1928&amp;""</f>
      </c>
      <c r="AA1928">
        <f>[1]发票导入!AA1928&amp;""</f>
      </c>
      <c r="AB1928">
        <f>[1]发票导入!AB1928</f>
        <v>0</v>
      </c>
      <c r="AC1928">
        <f>[1]发票导入!AC1928</f>
        <v>0</v>
      </c>
      <c r="AE1928" s="22">
        <f t="shared" si="0"/>
      </c>
      <c r="AI1928">
        <f>[1]发票导入!AI1928&amp;""</f>
      </c>
      <c r="AJ1928">
        <f>[1]发票导入!AJ1928&amp;""</f>
      </c>
      <c r="AK1928">
        <f>[1]发票导入!AK1928</f>
        <v>0</v>
      </c>
      <c r="AL1928">
        <f>[1]发票导入!AL1928</f>
        <v>0</v>
      </c>
      <c r="AM1928">
        <f>[1]发票导入!AM1928</f>
        <v>0</v>
      </c>
      <c r="AN1928" s="22">
        <f t="shared" si="1"/>
        <v>0</v>
      </c>
      <c r="AO1928" s="22">
        <f t="shared" si="2"/>
        <v>0</v>
      </c>
    </row>
    <row r="1929">
      <c r="C1929">
        <f>[1]发票导入!C1929&amp;""</f>
      </c>
      <c r="D1929">
        <f>[1]发票导入!D1929&amp;""</f>
      </c>
      <c r="O1929">
        <f>[1]发票导入!O1929&amp;""</f>
      </c>
      <c r="T1929">
        <f>[1]发票导入!T1929</f>
      </c>
      <c r="U1929">
        <f>[1]发票导入!U1929&amp;""</f>
      </c>
      <c r="V1929">
        <f>[1]发票导入!V1929&amp;""</f>
      </c>
      <c r="W1929">
        <f>[1]发票导入!W1929&amp;""</f>
      </c>
      <c r="Y1929">
        <f>[1]发票导入!Y1929&amp;""</f>
      </c>
      <c r="AA1929">
        <f>[1]发票导入!AA1929&amp;""</f>
      </c>
      <c r="AB1929">
        <f>[1]发票导入!AB1929</f>
        <v>0</v>
      </c>
      <c r="AC1929">
        <f>[1]发票导入!AC1929</f>
        <v>0</v>
      </c>
      <c r="AE1929" s="22">
        <f t="shared" si="0"/>
      </c>
      <c r="AI1929">
        <f>[1]发票导入!AI1929&amp;""</f>
      </c>
      <c r="AJ1929">
        <f>[1]发票导入!AJ1929&amp;""</f>
      </c>
      <c r="AK1929">
        <f>[1]发票导入!AK1929</f>
        <v>0</v>
      </c>
      <c r="AL1929">
        <f>[1]发票导入!AL1929</f>
        <v>0</v>
      </c>
      <c r="AM1929">
        <f>[1]发票导入!AM1929</f>
        <v>0</v>
      </c>
      <c r="AN1929" s="22">
        <f t="shared" si="1"/>
        <v>0</v>
      </c>
      <c r="AO1929" s="22">
        <f t="shared" si="2"/>
        <v>0</v>
      </c>
    </row>
    <row r="1930">
      <c r="C1930">
        <f>[1]发票导入!C1930&amp;""</f>
      </c>
      <c r="D1930">
        <f>[1]发票导入!D1930&amp;""</f>
      </c>
      <c r="O1930">
        <f>[1]发票导入!O1930&amp;""</f>
      </c>
      <c r="T1930">
        <f>[1]发票导入!T1930</f>
      </c>
      <c r="U1930">
        <f>[1]发票导入!U1930&amp;""</f>
      </c>
      <c r="V1930">
        <f>[1]发票导入!V1930&amp;""</f>
      </c>
      <c r="W1930">
        <f>[1]发票导入!W1930&amp;""</f>
      </c>
      <c r="Y1930">
        <f>[1]发票导入!Y1930&amp;""</f>
      </c>
      <c r="AA1930">
        <f>[1]发票导入!AA1930&amp;""</f>
      </c>
      <c r="AB1930">
        <f>[1]发票导入!AB1930</f>
        <v>0</v>
      </c>
      <c r="AC1930">
        <f>[1]发票导入!AC1930</f>
        <v>0</v>
      </c>
      <c r="AE1930" s="22">
        <f t="shared" si="0"/>
      </c>
      <c r="AI1930">
        <f>[1]发票导入!AI1930&amp;""</f>
      </c>
      <c r="AJ1930">
        <f>[1]发票导入!AJ1930&amp;""</f>
      </c>
      <c r="AK1930">
        <f>[1]发票导入!AK1930</f>
        <v>0</v>
      </c>
      <c r="AL1930">
        <f>[1]发票导入!AL1930</f>
        <v>0</v>
      </c>
      <c r="AM1930">
        <f>[1]发票导入!AM1930</f>
        <v>0</v>
      </c>
      <c r="AN1930" s="22">
        <f t="shared" si="1"/>
        <v>0</v>
      </c>
      <c r="AO1930" s="22">
        <f t="shared" si="2"/>
        <v>0</v>
      </c>
    </row>
    <row r="1931">
      <c r="C1931">
        <f>[1]发票导入!C1931&amp;""</f>
      </c>
      <c r="D1931">
        <f>[1]发票导入!D1931&amp;""</f>
      </c>
      <c r="O1931">
        <f>[1]发票导入!O1931&amp;""</f>
      </c>
      <c r="T1931">
        <f>[1]发票导入!T1931</f>
      </c>
      <c r="U1931">
        <f>[1]发票导入!U1931&amp;""</f>
      </c>
      <c r="V1931">
        <f>[1]发票导入!V1931&amp;""</f>
      </c>
      <c r="W1931">
        <f>[1]发票导入!W1931&amp;""</f>
      </c>
      <c r="Y1931">
        <f>[1]发票导入!Y1931&amp;""</f>
      </c>
      <c r="AA1931">
        <f>[1]发票导入!AA1931&amp;""</f>
      </c>
      <c r="AB1931">
        <f>[1]发票导入!AB1931</f>
        <v>0</v>
      </c>
      <c r="AC1931">
        <f>[1]发票导入!AC1931</f>
        <v>0</v>
      </c>
      <c r="AE1931" s="22">
        <f t="shared" si="0"/>
      </c>
      <c r="AI1931">
        <f>[1]发票导入!AI1931&amp;""</f>
      </c>
      <c r="AJ1931">
        <f>[1]发票导入!AJ1931&amp;""</f>
      </c>
      <c r="AK1931">
        <f>[1]发票导入!AK1931</f>
        <v>0</v>
      </c>
      <c r="AL1931">
        <f>[1]发票导入!AL1931</f>
        <v>0</v>
      </c>
      <c r="AM1931">
        <f>[1]发票导入!AM1931</f>
        <v>0</v>
      </c>
      <c r="AN1931" s="22">
        <f t="shared" si="1"/>
        <v>0</v>
      </c>
      <c r="AO1931" s="22">
        <f t="shared" si="2"/>
        <v>0</v>
      </c>
    </row>
    <row r="1932">
      <c r="C1932">
        <f>[1]发票导入!C1932&amp;""</f>
      </c>
      <c r="D1932">
        <f>[1]发票导入!D1932&amp;""</f>
      </c>
      <c r="O1932">
        <f>[1]发票导入!O1932&amp;""</f>
      </c>
      <c r="T1932">
        <f>[1]发票导入!T1932</f>
      </c>
      <c r="U1932">
        <f>[1]发票导入!U1932&amp;""</f>
      </c>
      <c r="V1932">
        <f>[1]发票导入!V1932&amp;""</f>
      </c>
      <c r="W1932">
        <f>[1]发票导入!W1932&amp;""</f>
      </c>
      <c r="Y1932">
        <f>[1]发票导入!Y1932&amp;""</f>
      </c>
      <c r="AA1932">
        <f>[1]发票导入!AA1932&amp;""</f>
      </c>
      <c r="AB1932">
        <f>[1]发票导入!AB1932</f>
        <v>0</v>
      </c>
      <c r="AC1932">
        <f>[1]发票导入!AC1932</f>
        <v>0</v>
      </c>
      <c r="AE1932" s="22">
        <f t="shared" si="0"/>
      </c>
      <c r="AI1932">
        <f>[1]发票导入!AI1932&amp;""</f>
      </c>
      <c r="AJ1932">
        <f>[1]发票导入!AJ1932&amp;""</f>
      </c>
      <c r="AK1932">
        <f>[1]发票导入!AK1932</f>
        <v>0</v>
      </c>
      <c r="AL1932">
        <f>[1]发票导入!AL1932</f>
        <v>0</v>
      </c>
      <c r="AM1932">
        <f>[1]发票导入!AM1932</f>
        <v>0</v>
      </c>
      <c r="AN1932" s="22">
        <f t="shared" si="1"/>
        <v>0</v>
      </c>
      <c r="AO1932" s="22">
        <f t="shared" si="2"/>
        <v>0</v>
      </c>
    </row>
    <row r="1933">
      <c r="C1933">
        <f>[1]发票导入!C1933&amp;""</f>
      </c>
      <c r="D1933">
        <f>[1]发票导入!D1933&amp;""</f>
      </c>
      <c r="O1933">
        <f>[1]发票导入!O1933&amp;""</f>
      </c>
      <c r="T1933">
        <f>[1]发票导入!T1933</f>
      </c>
      <c r="U1933">
        <f>[1]发票导入!U1933&amp;""</f>
      </c>
      <c r="V1933">
        <f>[1]发票导入!V1933&amp;""</f>
      </c>
      <c r="W1933">
        <f>[1]发票导入!W1933&amp;""</f>
      </c>
      <c r="Y1933">
        <f>[1]发票导入!Y1933&amp;""</f>
      </c>
      <c r="AA1933">
        <f>[1]发票导入!AA1933&amp;""</f>
      </c>
      <c r="AB1933">
        <f>[1]发票导入!AB1933</f>
        <v>0</v>
      </c>
      <c r="AC1933">
        <f>[1]发票导入!AC1933</f>
        <v>0</v>
      </c>
      <c r="AE1933" s="22">
        <f t="shared" si="0"/>
      </c>
      <c r="AI1933">
        <f>[1]发票导入!AI1933&amp;""</f>
      </c>
      <c r="AJ1933">
        <f>[1]发票导入!AJ1933&amp;""</f>
      </c>
      <c r="AK1933">
        <f>[1]发票导入!AK1933</f>
        <v>0</v>
      </c>
      <c r="AL1933">
        <f>[1]发票导入!AL1933</f>
        <v>0</v>
      </c>
      <c r="AM1933">
        <f>[1]发票导入!AM1933</f>
        <v>0</v>
      </c>
      <c r="AN1933" s="22">
        <f t="shared" si="1"/>
        <v>0</v>
      </c>
      <c r="AO1933" s="22">
        <f t="shared" si="2"/>
        <v>0</v>
      </c>
    </row>
    <row r="1934">
      <c r="C1934">
        <f>[1]发票导入!C1934&amp;""</f>
      </c>
      <c r="D1934">
        <f>[1]发票导入!D1934&amp;""</f>
      </c>
      <c r="O1934">
        <f>[1]发票导入!O1934&amp;""</f>
      </c>
      <c r="T1934">
        <f>[1]发票导入!T1934</f>
      </c>
      <c r="U1934">
        <f>[1]发票导入!U1934&amp;""</f>
      </c>
      <c r="V1934">
        <f>[1]发票导入!V1934&amp;""</f>
      </c>
      <c r="W1934">
        <f>[1]发票导入!W1934&amp;""</f>
      </c>
      <c r="Y1934">
        <f>[1]发票导入!Y1934&amp;""</f>
      </c>
      <c r="AA1934">
        <f>[1]发票导入!AA1934&amp;""</f>
      </c>
      <c r="AB1934">
        <f>[1]发票导入!AB1934</f>
        <v>0</v>
      </c>
      <c r="AC1934">
        <f>[1]发票导入!AC1934</f>
        <v>0</v>
      </c>
      <c r="AE1934" s="22">
        <f t="shared" si="0"/>
      </c>
      <c r="AI1934">
        <f>[1]发票导入!AI1934&amp;""</f>
      </c>
      <c r="AJ1934">
        <f>[1]发票导入!AJ1934&amp;""</f>
      </c>
      <c r="AK1934">
        <f>[1]发票导入!AK1934</f>
        <v>0</v>
      </c>
      <c r="AL1934">
        <f>[1]发票导入!AL1934</f>
        <v>0</v>
      </c>
      <c r="AM1934">
        <f>[1]发票导入!AM1934</f>
        <v>0</v>
      </c>
      <c r="AN1934" s="22">
        <f t="shared" si="1"/>
        <v>0</v>
      </c>
      <c r="AO1934" s="22">
        <f t="shared" si="2"/>
        <v>0</v>
      </c>
    </row>
    <row r="1935">
      <c r="C1935">
        <f>[1]发票导入!C1935&amp;""</f>
      </c>
      <c r="D1935">
        <f>[1]发票导入!D1935&amp;""</f>
      </c>
      <c r="O1935">
        <f>[1]发票导入!O1935&amp;""</f>
      </c>
      <c r="T1935">
        <f>[1]发票导入!T1935</f>
      </c>
      <c r="U1935">
        <f>[1]发票导入!U1935&amp;""</f>
      </c>
      <c r="V1935">
        <f>[1]发票导入!V1935&amp;""</f>
      </c>
      <c r="W1935">
        <f>[1]发票导入!W1935&amp;""</f>
      </c>
      <c r="Y1935">
        <f>[1]发票导入!Y1935&amp;""</f>
      </c>
      <c r="AA1935">
        <f>[1]发票导入!AA1935&amp;""</f>
      </c>
      <c r="AB1935">
        <f>[1]发票导入!AB1935</f>
        <v>0</v>
      </c>
      <c r="AC1935">
        <f>[1]发票导入!AC1935</f>
        <v>0</v>
      </c>
      <c r="AE1935" s="22">
        <f t="shared" si="0"/>
      </c>
      <c r="AI1935">
        <f>[1]发票导入!AI1935&amp;""</f>
      </c>
      <c r="AJ1935">
        <f>[1]发票导入!AJ1935&amp;""</f>
      </c>
      <c r="AK1935">
        <f>[1]发票导入!AK1935</f>
        <v>0</v>
      </c>
      <c r="AL1935">
        <f>[1]发票导入!AL1935</f>
        <v>0</v>
      </c>
      <c r="AM1935">
        <f>[1]发票导入!AM1935</f>
        <v>0</v>
      </c>
      <c r="AN1935" s="22">
        <f t="shared" si="1"/>
        <v>0</v>
      </c>
      <c r="AO1935" s="22">
        <f t="shared" si="2"/>
        <v>0</v>
      </c>
    </row>
    <row r="1936">
      <c r="C1936">
        <f>[1]发票导入!C1936&amp;""</f>
      </c>
      <c r="D1936">
        <f>[1]发票导入!D1936&amp;""</f>
      </c>
      <c r="O1936">
        <f>[1]发票导入!O1936&amp;""</f>
      </c>
      <c r="T1936">
        <f>[1]发票导入!T1936</f>
      </c>
      <c r="U1936">
        <f>[1]发票导入!U1936&amp;""</f>
      </c>
      <c r="V1936">
        <f>[1]发票导入!V1936&amp;""</f>
      </c>
      <c r="W1936">
        <f>[1]发票导入!W1936&amp;""</f>
      </c>
      <c r="Y1936">
        <f>[1]发票导入!Y1936&amp;""</f>
      </c>
      <c r="AA1936">
        <f>[1]发票导入!AA1936&amp;""</f>
      </c>
      <c r="AB1936">
        <f>[1]发票导入!AB1936</f>
        <v>0</v>
      </c>
      <c r="AC1936">
        <f>[1]发票导入!AC1936</f>
        <v>0</v>
      </c>
      <c r="AE1936" s="22">
        <f t="shared" si="0"/>
      </c>
      <c r="AI1936">
        <f>[1]发票导入!AI1936&amp;""</f>
      </c>
      <c r="AJ1936">
        <f>[1]发票导入!AJ1936&amp;""</f>
      </c>
      <c r="AK1936">
        <f>[1]发票导入!AK1936</f>
        <v>0</v>
      </c>
      <c r="AL1936">
        <f>[1]发票导入!AL1936</f>
        <v>0</v>
      </c>
      <c r="AM1936">
        <f>[1]发票导入!AM1936</f>
        <v>0</v>
      </c>
      <c r="AN1936" s="22">
        <f t="shared" si="1"/>
        <v>0</v>
      </c>
      <c r="AO1936" s="22">
        <f t="shared" si="2"/>
        <v>0</v>
      </c>
    </row>
    <row r="1937">
      <c r="C1937">
        <f>[1]发票导入!C1937&amp;""</f>
      </c>
      <c r="D1937">
        <f>[1]发票导入!D1937&amp;""</f>
      </c>
      <c r="O1937">
        <f>[1]发票导入!O1937&amp;""</f>
      </c>
      <c r="T1937">
        <f>[1]发票导入!T1937</f>
      </c>
      <c r="U1937">
        <f>[1]发票导入!U1937&amp;""</f>
      </c>
      <c r="V1937">
        <f>[1]发票导入!V1937&amp;""</f>
      </c>
      <c r="W1937">
        <f>[1]发票导入!W1937&amp;""</f>
      </c>
      <c r="Y1937">
        <f>[1]发票导入!Y1937&amp;""</f>
      </c>
      <c r="AA1937">
        <f>[1]发票导入!AA1937&amp;""</f>
      </c>
      <c r="AB1937">
        <f>[1]发票导入!AB1937</f>
        <v>0</v>
      </c>
      <c r="AC1937">
        <f>[1]发票导入!AC1937</f>
        <v>0</v>
      </c>
      <c r="AE1937" s="22">
        <f t="shared" si="0"/>
      </c>
      <c r="AI1937">
        <f>[1]发票导入!AI1937&amp;""</f>
      </c>
      <c r="AJ1937">
        <f>[1]发票导入!AJ1937&amp;""</f>
      </c>
      <c r="AK1937">
        <f>[1]发票导入!AK1937</f>
        <v>0</v>
      </c>
      <c r="AL1937">
        <f>[1]发票导入!AL1937</f>
        <v>0</v>
      </c>
      <c r="AM1937">
        <f>[1]发票导入!AM1937</f>
        <v>0</v>
      </c>
      <c r="AN1937" s="22">
        <f t="shared" si="1"/>
        <v>0</v>
      </c>
      <c r="AO1937" s="22">
        <f t="shared" si="2"/>
        <v>0</v>
      </c>
    </row>
    <row r="1938">
      <c r="C1938">
        <f>[1]发票导入!C1938&amp;""</f>
      </c>
      <c r="D1938">
        <f>[1]发票导入!D1938&amp;""</f>
      </c>
      <c r="O1938">
        <f>[1]发票导入!O1938&amp;""</f>
      </c>
      <c r="T1938">
        <f>[1]发票导入!T1938</f>
      </c>
      <c r="U1938">
        <f>[1]发票导入!U1938&amp;""</f>
      </c>
      <c r="V1938">
        <f>[1]发票导入!V1938&amp;""</f>
      </c>
      <c r="W1938">
        <f>[1]发票导入!W1938&amp;""</f>
      </c>
      <c r="Y1938">
        <f>[1]发票导入!Y1938&amp;""</f>
      </c>
      <c r="AA1938">
        <f>[1]发票导入!AA1938&amp;""</f>
      </c>
      <c r="AB1938">
        <f>[1]发票导入!AB1938</f>
        <v>0</v>
      </c>
      <c r="AC1938">
        <f>[1]发票导入!AC1938</f>
        <v>0</v>
      </c>
      <c r="AE1938" s="22">
        <f t="shared" si="0"/>
      </c>
      <c r="AI1938">
        <f>[1]发票导入!AI1938&amp;""</f>
      </c>
      <c r="AJ1938">
        <f>[1]发票导入!AJ1938&amp;""</f>
      </c>
      <c r="AK1938">
        <f>[1]发票导入!AK1938</f>
        <v>0</v>
      </c>
      <c r="AL1938">
        <f>[1]发票导入!AL1938</f>
        <v>0</v>
      </c>
      <c r="AM1938">
        <f>[1]发票导入!AM1938</f>
        <v>0</v>
      </c>
      <c r="AN1938" s="22">
        <f t="shared" si="1"/>
        <v>0</v>
      </c>
      <c r="AO1938" s="22">
        <f t="shared" si="2"/>
        <v>0</v>
      </c>
    </row>
    <row r="1939">
      <c r="C1939">
        <f>[1]发票导入!C1939&amp;""</f>
      </c>
      <c r="D1939">
        <f>[1]发票导入!D1939&amp;""</f>
      </c>
      <c r="O1939">
        <f>[1]发票导入!O1939&amp;""</f>
      </c>
      <c r="T1939">
        <f>[1]发票导入!T1939</f>
      </c>
      <c r="U1939">
        <f>[1]发票导入!U1939&amp;""</f>
      </c>
      <c r="V1939">
        <f>[1]发票导入!V1939&amp;""</f>
      </c>
      <c r="W1939">
        <f>[1]发票导入!W1939&amp;""</f>
      </c>
      <c r="Y1939">
        <f>[1]发票导入!Y1939&amp;""</f>
      </c>
      <c r="AA1939">
        <f>[1]发票导入!AA1939&amp;""</f>
      </c>
      <c r="AB1939">
        <f>[1]发票导入!AB1939</f>
        <v>0</v>
      </c>
      <c r="AC1939">
        <f>[1]发票导入!AC1939</f>
        <v>0</v>
      </c>
      <c r="AE1939" s="22">
        <f t="shared" si="0"/>
      </c>
      <c r="AI1939">
        <f>[1]发票导入!AI1939&amp;""</f>
      </c>
      <c r="AJ1939">
        <f>[1]发票导入!AJ1939&amp;""</f>
      </c>
      <c r="AK1939">
        <f>[1]发票导入!AK1939</f>
        <v>0</v>
      </c>
      <c r="AL1939">
        <f>[1]发票导入!AL1939</f>
        <v>0</v>
      </c>
      <c r="AM1939">
        <f>[1]发票导入!AM1939</f>
        <v>0</v>
      </c>
      <c r="AN1939" s="22">
        <f t="shared" si="1"/>
        <v>0</v>
      </c>
      <c r="AO1939" s="22">
        <f t="shared" si="2"/>
        <v>0</v>
      </c>
    </row>
    <row r="1940">
      <c r="C1940">
        <f>[1]发票导入!C1940&amp;""</f>
      </c>
      <c r="D1940">
        <f>[1]发票导入!D1940&amp;""</f>
      </c>
      <c r="O1940">
        <f>[1]发票导入!O1940&amp;""</f>
      </c>
      <c r="T1940">
        <f>[1]发票导入!T1940</f>
      </c>
      <c r="U1940">
        <f>[1]发票导入!U1940&amp;""</f>
      </c>
      <c r="V1940">
        <f>[1]发票导入!V1940&amp;""</f>
      </c>
      <c r="W1940">
        <f>[1]发票导入!W1940&amp;""</f>
      </c>
      <c r="Y1940">
        <f>[1]发票导入!Y1940&amp;""</f>
      </c>
      <c r="AA1940">
        <f>[1]发票导入!AA1940&amp;""</f>
      </c>
      <c r="AB1940">
        <f>[1]发票导入!AB1940</f>
        <v>0</v>
      </c>
      <c r="AC1940">
        <f>[1]发票导入!AC1940</f>
        <v>0</v>
      </c>
      <c r="AE1940" s="22">
        <f t="shared" si="0"/>
      </c>
      <c r="AI1940">
        <f>[1]发票导入!AI1940&amp;""</f>
      </c>
      <c r="AJ1940">
        <f>[1]发票导入!AJ1940&amp;""</f>
      </c>
      <c r="AK1940">
        <f>[1]发票导入!AK1940</f>
        <v>0</v>
      </c>
      <c r="AL1940">
        <f>[1]发票导入!AL1940</f>
        <v>0</v>
      </c>
      <c r="AM1940">
        <f>[1]发票导入!AM1940</f>
        <v>0</v>
      </c>
      <c r="AN1940" s="22">
        <f t="shared" si="1"/>
        <v>0</v>
      </c>
      <c r="AO1940" s="22">
        <f t="shared" si="2"/>
        <v>0</v>
      </c>
    </row>
    <row r="1941">
      <c r="C1941">
        <f>[1]发票导入!C1941&amp;""</f>
      </c>
      <c r="D1941">
        <f>[1]发票导入!D1941&amp;""</f>
      </c>
      <c r="O1941">
        <f>[1]发票导入!O1941&amp;""</f>
      </c>
      <c r="T1941">
        <f>[1]发票导入!T1941</f>
      </c>
      <c r="U1941">
        <f>[1]发票导入!U1941&amp;""</f>
      </c>
      <c r="V1941">
        <f>[1]发票导入!V1941&amp;""</f>
      </c>
      <c r="W1941">
        <f>[1]发票导入!W1941&amp;""</f>
      </c>
      <c r="Y1941">
        <f>[1]发票导入!Y1941&amp;""</f>
      </c>
      <c r="AA1941">
        <f>[1]发票导入!AA1941&amp;""</f>
      </c>
      <c r="AB1941">
        <f>[1]发票导入!AB1941</f>
        <v>0</v>
      </c>
      <c r="AC1941">
        <f>[1]发票导入!AC1941</f>
        <v>0</v>
      </c>
      <c r="AE1941" s="22">
        <f t="shared" si="0"/>
      </c>
      <c r="AI1941">
        <f>[1]发票导入!AI1941&amp;""</f>
      </c>
      <c r="AJ1941">
        <f>[1]发票导入!AJ1941&amp;""</f>
      </c>
      <c r="AK1941">
        <f>[1]发票导入!AK1941</f>
        <v>0</v>
      </c>
      <c r="AL1941">
        <f>[1]发票导入!AL1941</f>
        <v>0</v>
      </c>
      <c r="AM1941">
        <f>[1]发票导入!AM1941</f>
        <v>0</v>
      </c>
      <c r="AN1941" s="22">
        <f t="shared" si="1"/>
        <v>0</v>
      </c>
      <c r="AO1941" s="22">
        <f t="shared" si="2"/>
        <v>0</v>
      </c>
    </row>
    <row r="1942">
      <c r="C1942">
        <f>[1]发票导入!C1942&amp;""</f>
      </c>
      <c r="D1942">
        <f>[1]发票导入!D1942&amp;""</f>
      </c>
      <c r="O1942">
        <f>[1]发票导入!O1942&amp;""</f>
      </c>
      <c r="T1942">
        <f>[1]发票导入!T1942</f>
      </c>
      <c r="U1942">
        <f>[1]发票导入!U1942&amp;""</f>
      </c>
      <c r="V1942">
        <f>[1]发票导入!V1942&amp;""</f>
      </c>
      <c r="W1942">
        <f>[1]发票导入!W1942&amp;""</f>
      </c>
      <c r="Y1942">
        <f>[1]发票导入!Y1942&amp;""</f>
      </c>
      <c r="AA1942">
        <f>[1]发票导入!AA1942&amp;""</f>
      </c>
      <c r="AB1942">
        <f>[1]发票导入!AB1942</f>
        <v>0</v>
      </c>
      <c r="AC1942">
        <f>[1]发票导入!AC1942</f>
        <v>0</v>
      </c>
      <c r="AE1942" s="22">
        <f t="shared" si="0"/>
      </c>
      <c r="AI1942">
        <f>[1]发票导入!AI1942&amp;""</f>
      </c>
      <c r="AJ1942">
        <f>[1]发票导入!AJ1942&amp;""</f>
      </c>
      <c r="AK1942">
        <f>[1]发票导入!AK1942</f>
        <v>0</v>
      </c>
      <c r="AL1942">
        <f>[1]发票导入!AL1942</f>
        <v>0</v>
      </c>
      <c r="AM1942">
        <f>[1]发票导入!AM1942</f>
        <v>0</v>
      </c>
      <c r="AN1942" s="22">
        <f t="shared" si="1"/>
        <v>0</v>
      </c>
      <c r="AO1942" s="22">
        <f t="shared" si="2"/>
        <v>0</v>
      </c>
    </row>
    <row r="1943">
      <c r="C1943">
        <f>[1]发票导入!C1943&amp;""</f>
      </c>
      <c r="D1943">
        <f>[1]发票导入!D1943&amp;""</f>
      </c>
      <c r="O1943">
        <f>[1]发票导入!O1943&amp;""</f>
      </c>
      <c r="T1943">
        <f>[1]发票导入!T1943</f>
      </c>
      <c r="U1943">
        <f>[1]发票导入!U1943&amp;""</f>
      </c>
      <c r="V1943">
        <f>[1]发票导入!V1943&amp;""</f>
      </c>
      <c r="W1943">
        <f>[1]发票导入!W1943&amp;""</f>
      </c>
      <c r="Y1943">
        <f>[1]发票导入!Y1943&amp;""</f>
      </c>
      <c r="AA1943">
        <f>[1]发票导入!AA1943&amp;""</f>
      </c>
      <c r="AB1943">
        <f>[1]发票导入!AB1943</f>
        <v>0</v>
      </c>
      <c r="AC1943">
        <f>[1]发票导入!AC1943</f>
        <v>0</v>
      </c>
      <c r="AE1943" s="22">
        <f t="shared" si="0"/>
      </c>
      <c r="AI1943">
        <f>[1]发票导入!AI1943&amp;""</f>
      </c>
      <c r="AJ1943">
        <f>[1]发票导入!AJ1943&amp;""</f>
      </c>
      <c r="AK1943">
        <f>[1]发票导入!AK1943</f>
        <v>0</v>
      </c>
      <c r="AL1943">
        <f>[1]发票导入!AL1943</f>
        <v>0</v>
      </c>
      <c r="AM1943">
        <f>[1]发票导入!AM1943</f>
        <v>0</v>
      </c>
      <c r="AN1943" s="22">
        <f t="shared" si="1"/>
        <v>0</v>
      </c>
      <c r="AO1943" s="22">
        <f t="shared" si="2"/>
        <v>0</v>
      </c>
    </row>
    <row r="1944">
      <c r="C1944">
        <f>[1]发票导入!C1944&amp;""</f>
      </c>
      <c r="D1944">
        <f>[1]发票导入!D1944&amp;""</f>
      </c>
      <c r="O1944">
        <f>[1]发票导入!O1944&amp;""</f>
      </c>
      <c r="T1944">
        <f>[1]发票导入!T1944</f>
      </c>
      <c r="U1944">
        <f>[1]发票导入!U1944&amp;""</f>
      </c>
      <c r="V1944">
        <f>[1]发票导入!V1944&amp;""</f>
      </c>
      <c r="W1944">
        <f>[1]发票导入!W1944&amp;""</f>
      </c>
      <c r="Y1944">
        <f>[1]发票导入!Y1944&amp;""</f>
      </c>
      <c r="AA1944">
        <f>[1]发票导入!AA1944&amp;""</f>
      </c>
      <c r="AB1944">
        <f>[1]发票导入!AB1944</f>
        <v>0</v>
      </c>
      <c r="AC1944">
        <f>[1]发票导入!AC1944</f>
        <v>0</v>
      </c>
      <c r="AE1944" s="22">
        <f t="shared" si="0"/>
      </c>
      <c r="AI1944">
        <f>[1]发票导入!AI1944&amp;""</f>
      </c>
      <c r="AJ1944">
        <f>[1]发票导入!AJ1944&amp;""</f>
      </c>
      <c r="AK1944">
        <f>[1]发票导入!AK1944</f>
        <v>0</v>
      </c>
      <c r="AL1944">
        <f>[1]发票导入!AL1944</f>
        <v>0</v>
      </c>
      <c r="AM1944">
        <f>[1]发票导入!AM1944</f>
        <v>0</v>
      </c>
      <c r="AN1944" s="22">
        <f t="shared" si="1"/>
        <v>0</v>
      </c>
      <c r="AO1944" s="22">
        <f t="shared" si="2"/>
        <v>0</v>
      </c>
    </row>
    <row r="1945">
      <c r="C1945">
        <f>[1]发票导入!C1945&amp;""</f>
      </c>
      <c r="D1945">
        <f>[1]发票导入!D1945&amp;""</f>
      </c>
      <c r="O1945">
        <f>[1]发票导入!O1945&amp;""</f>
      </c>
      <c r="T1945">
        <f>[1]发票导入!T1945</f>
      </c>
      <c r="U1945">
        <f>[1]发票导入!U1945&amp;""</f>
      </c>
      <c r="V1945">
        <f>[1]发票导入!V1945&amp;""</f>
      </c>
      <c r="W1945">
        <f>[1]发票导入!W1945&amp;""</f>
      </c>
      <c r="Y1945">
        <f>[1]发票导入!Y1945&amp;""</f>
      </c>
      <c r="AA1945">
        <f>[1]发票导入!AA1945&amp;""</f>
      </c>
      <c r="AB1945">
        <f>[1]发票导入!AB1945</f>
        <v>0</v>
      </c>
      <c r="AC1945">
        <f>[1]发票导入!AC1945</f>
        <v>0</v>
      </c>
      <c r="AE1945" s="22">
        <f t="shared" si="0"/>
      </c>
      <c r="AI1945">
        <f>[1]发票导入!AI1945&amp;""</f>
      </c>
      <c r="AJ1945">
        <f>[1]发票导入!AJ1945&amp;""</f>
      </c>
      <c r="AK1945">
        <f>[1]发票导入!AK1945</f>
        <v>0</v>
      </c>
      <c r="AL1945">
        <f>[1]发票导入!AL1945</f>
        <v>0</v>
      </c>
      <c r="AM1945">
        <f>[1]发票导入!AM1945</f>
        <v>0</v>
      </c>
      <c r="AN1945" s="22">
        <f t="shared" si="1"/>
        <v>0</v>
      </c>
      <c r="AO1945" s="22">
        <f t="shared" si="2"/>
        <v>0</v>
      </c>
    </row>
    <row r="1946">
      <c r="C1946">
        <f>[1]发票导入!C1946&amp;""</f>
      </c>
      <c r="D1946">
        <f>[1]发票导入!D1946&amp;""</f>
      </c>
      <c r="O1946">
        <f>[1]发票导入!O1946&amp;""</f>
      </c>
      <c r="T1946">
        <f>[1]发票导入!T1946</f>
      </c>
      <c r="U1946">
        <f>[1]发票导入!U1946&amp;""</f>
      </c>
      <c r="V1946">
        <f>[1]发票导入!V1946&amp;""</f>
      </c>
      <c r="W1946">
        <f>[1]发票导入!W1946&amp;""</f>
      </c>
      <c r="Y1946">
        <f>[1]发票导入!Y1946&amp;""</f>
      </c>
      <c r="AA1946">
        <f>[1]发票导入!AA1946&amp;""</f>
      </c>
      <c r="AB1946">
        <f>[1]发票导入!AB1946</f>
        <v>0</v>
      </c>
      <c r="AC1946">
        <f>[1]发票导入!AC1946</f>
        <v>0</v>
      </c>
      <c r="AE1946" s="22">
        <f t="shared" si="0"/>
      </c>
      <c r="AI1946">
        <f>[1]发票导入!AI1946&amp;""</f>
      </c>
      <c r="AJ1946">
        <f>[1]发票导入!AJ1946&amp;""</f>
      </c>
      <c r="AK1946">
        <f>[1]发票导入!AK1946</f>
        <v>0</v>
      </c>
      <c r="AL1946">
        <f>[1]发票导入!AL1946</f>
        <v>0</v>
      </c>
      <c r="AM1946">
        <f>[1]发票导入!AM1946</f>
        <v>0</v>
      </c>
      <c r="AN1946" s="22">
        <f t="shared" si="1"/>
        <v>0</v>
      </c>
      <c r="AO1946" s="22">
        <f t="shared" si="2"/>
        <v>0</v>
      </c>
    </row>
    <row r="1947">
      <c r="C1947">
        <f>[1]发票导入!C1947&amp;""</f>
      </c>
      <c r="D1947">
        <f>[1]发票导入!D1947&amp;""</f>
      </c>
      <c r="O1947">
        <f>[1]发票导入!O1947&amp;""</f>
      </c>
      <c r="T1947">
        <f>[1]发票导入!T1947</f>
      </c>
      <c r="U1947">
        <f>[1]发票导入!U1947&amp;""</f>
      </c>
      <c r="V1947">
        <f>[1]发票导入!V1947&amp;""</f>
      </c>
      <c r="W1947">
        <f>[1]发票导入!W1947&amp;""</f>
      </c>
      <c r="Y1947">
        <f>[1]发票导入!Y1947&amp;""</f>
      </c>
      <c r="AA1947">
        <f>[1]发票导入!AA1947&amp;""</f>
      </c>
      <c r="AB1947">
        <f>[1]发票导入!AB1947</f>
        <v>0</v>
      </c>
      <c r="AC1947">
        <f>[1]发票导入!AC1947</f>
        <v>0</v>
      </c>
      <c r="AE1947" s="22">
        <f t="shared" si="0"/>
      </c>
      <c r="AI1947">
        <f>[1]发票导入!AI1947&amp;""</f>
      </c>
      <c r="AJ1947">
        <f>[1]发票导入!AJ1947&amp;""</f>
      </c>
      <c r="AK1947">
        <f>[1]发票导入!AK1947</f>
        <v>0</v>
      </c>
      <c r="AL1947">
        <f>[1]发票导入!AL1947</f>
        <v>0</v>
      </c>
      <c r="AM1947">
        <f>[1]发票导入!AM1947</f>
        <v>0</v>
      </c>
      <c r="AN1947" s="22">
        <f t="shared" si="1"/>
        <v>0</v>
      </c>
      <c r="AO1947" s="22">
        <f t="shared" si="2"/>
        <v>0</v>
      </c>
    </row>
    <row r="1948">
      <c r="C1948">
        <f>[1]发票导入!C1948&amp;""</f>
      </c>
      <c r="D1948">
        <f>[1]发票导入!D1948&amp;""</f>
      </c>
      <c r="O1948">
        <f>[1]发票导入!O1948&amp;""</f>
      </c>
      <c r="T1948">
        <f>[1]发票导入!T1948</f>
      </c>
      <c r="U1948">
        <f>[1]发票导入!U1948&amp;""</f>
      </c>
      <c r="V1948">
        <f>[1]发票导入!V1948&amp;""</f>
      </c>
      <c r="W1948">
        <f>[1]发票导入!W1948&amp;""</f>
      </c>
      <c r="Y1948">
        <f>[1]发票导入!Y1948&amp;""</f>
      </c>
      <c r="AA1948">
        <f>[1]发票导入!AA1948&amp;""</f>
      </c>
      <c r="AB1948">
        <f>[1]发票导入!AB1948</f>
        <v>0</v>
      </c>
      <c r="AC1948">
        <f>[1]发票导入!AC1948</f>
        <v>0</v>
      </c>
      <c r="AE1948" s="22">
        <f t="shared" si="0"/>
      </c>
      <c r="AI1948">
        <f>[1]发票导入!AI1948&amp;""</f>
      </c>
      <c r="AJ1948">
        <f>[1]发票导入!AJ1948&amp;""</f>
      </c>
      <c r="AK1948">
        <f>[1]发票导入!AK1948</f>
        <v>0</v>
      </c>
      <c r="AL1948">
        <f>[1]发票导入!AL1948</f>
        <v>0</v>
      </c>
      <c r="AM1948">
        <f>[1]发票导入!AM1948</f>
        <v>0</v>
      </c>
      <c r="AN1948" s="22">
        <f t="shared" si="1"/>
        <v>0</v>
      </c>
      <c r="AO1948" s="22">
        <f t="shared" si="2"/>
        <v>0</v>
      </c>
    </row>
    <row r="1949">
      <c r="C1949">
        <f>[1]发票导入!C1949&amp;""</f>
      </c>
      <c r="D1949">
        <f>[1]发票导入!D1949&amp;""</f>
      </c>
      <c r="O1949">
        <f>[1]发票导入!O1949&amp;""</f>
      </c>
      <c r="T1949">
        <f>[1]发票导入!T1949</f>
      </c>
      <c r="U1949">
        <f>[1]发票导入!U1949&amp;""</f>
      </c>
      <c r="V1949">
        <f>[1]发票导入!V1949&amp;""</f>
      </c>
      <c r="W1949">
        <f>[1]发票导入!W1949&amp;""</f>
      </c>
      <c r="Y1949">
        <f>[1]发票导入!Y1949&amp;""</f>
      </c>
      <c r="AA1949">
        <f>[1]发票导入!AA1949&amp;""</f>
      </c>
      <c r="AB1949">
        <f>[1]发票导入!AB1949</f>
        <v>0</v>
      </c>
      <c r="AC1949">
        <f>[1]发票导入!AC1949</f>
        <v>0</v>
      </c>
      <c r="AE1949" s="22">
        <f t="shared" si="0"/>
      </c>
      <c r="AI1949">
        <f>[1]发票导入!AI1949&amp;""</f>
      </c>
      <c r="AJ1949">
        <f>[1]发票导入!AJ1949&amp;""</f>
      </c>
      <c r="AK1949">
        <f>[1]发票导入!AK1949</f>
        <v>0</v>
      </c>
      <c r="AL1949">
        <f>[1]发票导入!AL1949</f>
        <v>0</v>
      </c>
      <c r="AM1949">
        <f>[1]发票导入!AM1949</f>
        <v>0</v>
      </c>
      <c r="AN1949" s="22">
        <f t="shared" si="1"/>
        <v>0</v>
      </c>
      <c r="AO1949" s="22">
        <f t="shared" si="2"/>
        <v>0</v>
      </c>
    </row>
    <row r="1950">
      <c r="C1950">
        <f>[1]发票导入!C1950&amp;""</f>
      </c>
      <c r="D1950">
        <f>[1]发票导入!D1950&amp;""</f>
      </c>
      <c r="O1950">
        <f>[1]发票导入!O1950&amp;""</f>
      </c>
      <c r="T1950">
        <f>[1]发票导入!T1950</f>
      </c>
      <c r="U1950">
        <f>[1]发票导入!U1950&amp;""</f>
      </c>
      <c r="V1950">
        <f>[1]发票导入!V1950&amp;""</f>
      </c>
      <c r="W1950">
        <f>[1]发票导入!W1950&amp;""</f>
      </c>
      <c r="Y1950">
        <f>[1]发票导入!Y1950&amp;""</f>
      </c>
      <c r="AA1950">
        <f>[1]发票导入!AA1950&amp;""</f>
      </c>
      <c r="AB1950">
        <f>[1]发票导入!AB1950</f>
        <v>0</v>
      </c>
      <c r="AC1950">
        <f>[1]发票导入!AC1950</f>
        <v>0</v>
      </c>
      <c r="AE1950" s="22">
        <f t="shared" si="0"/>
      </c>
      <c r="AI1950">
        <f>[1]发票导入!AI1950&amp;""</f>
      </c>
      <c r="AJ1950">
        <f>[1]发票导入!AJ1950&amp;""</f>
      </c>
      <c r="AK1950">
        <f>[1]发票导入!AK1950</f>
        <v>0</v>
      </c>
      <c r="AL1950">
        <f>[1]发票导入!AL1950</f>
        <v>0</v>
      </c>
      <c r="AM1950">
        <f>[1]发票导入!AM1950</f>
        <v>0</v>
      </c>
      <c r="AN1950" s="22">
        <f t="shared" si="1"/>
        <v>0</v>
      </c>
      <c r="AO1950" s="22">
        <f t="shared" si="2"/>
        <v>0</v>
      </c>
    </row>
    <row r="1951">
      <c r="C1951">
        <f>[1]发票导入!C1951&amp;""</f>
      </c>
      <c r="D1951">
        <f>[1]发票导入!D1951&amp;""</f>
      </c>
      <c r="O1951">
        <f>[1]发票导入!O1951&amp;""</f>
      </c>
      <c r="T1951">
        <f>[1]发票导入!T1951</f>
      </c>
      <c r="U1951">
        <f>[1]发票导入!U1951&amp;""</f>
      </c>
      <c r="V1951">
        <f>[1]发票导入!V1951&amp;""</f>
      </c>
      <c r="W1951">
        <f>[1]发票导入!W1951&amp;""</f>
      </c>
      <c r="Y1951">
        <f>[1]发票导入!Y1951&amp;""</f>
      </c>
      <c r="AA1951">
        <f>[1]发票导入!AA1951&amp;""</f>
      </c>
      <c r="AB1951">
        <f>[1]发票导入!AB1951</f>
        <v>0</v>
      </c>
      <c r="AC1951">
        <f>[1]发票导入!AC1951</f>
        <v>0</v>
      </c>
      <c r="AE1951" s="22">
        <f t="shared" si="0"/>
      </c>
      <c r="AI1951">
        <f>[1]发票导入!AI1951&amp;""</f>
      </c>
      <c r="AJ1951">
        <f>[1]发票导入!AJ1951&amp;""</f>
      </c>
      <c r="AK1951">
        <f>[1]发票导入!AK1951</f>
        <v>0</v>
      </c>
      <c r="AL1951">
        <f>[1]发票导入!AL1951</f>
        <v>0</v>
      </c>
      <c r="AM1951">
        <f>[1]发票导入!AM1951</f>
        <v>0</v>
      </c>
      <c r="AN1951" s="22">
        <f t="shared" si="1"/>
        <v>0</v>
      </c>
      <c r="AO1951" s="22">
        <f t="shared" si="2"/>
        <v>0</v>
      </c>
    </row>
    <row r="1952">
      <c r="C1952">
        <f>[1]发票导入!C1952&amp;""</f>
      </c>
      <c r="D1952">
        <f>[1]发票导入!D1952&amp;""</f>
      </c>
      <c r="O1952">
        <f>[1]发票导入!O1952&amp;""</f>
      </c>
      <c r="T1952">
        <f>[1]发票导入!T1952</f>
      </c>
      <c r="U1952">
        <f>[1]发票导入!U1952&amp;""</f>
      </c>
      <c r="V1952">
        <f>[1]发票导入!V1952&amp;""</f>
      </c>
      <c r="W1952">
        <f>[1]发票导入!W1952&amp;""</f>
      </c>
      <c r="Y1952">
        <f>[1]发票导入!Y1952&amp;""</f>
      </c>
      <c r="AA1952">
        <f>[1]发票导入!AA1952&amp;""</f>
      </c>
      <c r="AB1952">
        <f>[1]发票导入!AB1952</f>
        <v>0</v>
      </c>
      <c r="AC1952">
        <f>[1]发票导入!AC1952</f>
        <v>0</v>
      </c>
      <c r="AE1952" s="22">
        <f t="shared" si="0"/>
      </c>
      <c r="AI1952">
        <f>[1]发票导入!AI1952&amp;""</f>
      </c>
      <c r="AJ1952">
        <f>[1]发票导入!AJ1952&amp;""</f>
      </c>
      <c r="AK1952">
        <f>[1]发票导入!AK1952</f>
        <v>0</v>
      </c>
      <c r="AL1952">
        <f>[1]发票导入!AL1952</f>
        <v>0</v>
      </c>
      <c r="AM1952">
        <f>[1]发票导入!AM1952</f>
        <v>0</v>
      </c>
      <c r="AN1952" s="22">
        <f t="shared" si="1"/>
        <v>0</v>
      </c>
      <c r="AO1952" s="22">
        <f t="shared" si="2"/>
        <v>0</v>
      </c>
    </row>
    <row r="1953">
      <c r="C1953">
        <f>[1]发票导入!C1953&amp;""</f>
      </c>
      <c r="D1953">
        <f>[1]发票导入!D1953&amp;""</f>
      </c>
      <c r="O1953">
        <f>[1]发票导入!O1953&amp;""</f>
      </c>
      <c r="T1953">
        <f>[1]发票导入!T1953</f>
      </c>
      <c r="U1953">
        <f>[1]发票导入!U1953&amp;""</f>
      </c>
      <c r="V1953">
        <f>[1]发票导入!V1953&amp;""</f>
      </c>
      <c r="W1953">
        <f>[1]发票导入!W1953&amp;""</f>
      </c>
      <c r="Y1953">
        <f>[1]发票导入!Y1953&amp;""</f>
      </c>
      <c r="AA1953">
        <f>[1]发票导入!AA1953&amp;""</f>
      </c>
      <c r="AB1953">
        <f>[1]发票导入!AB1953</f>
        <v>0</v>
      </c>
      <c r="AC1953">
        <f>[1]发票导入!AC1953</f>
        <v>0</v>
      </c>
      <c r="AE1953" s="22">
        <f t="shared" si="0"/>
      </c>
      <c r="AI1953">
        <f>[1]发票导入!AI1953&amp;""</f>
      </c>
      <c r="AJ1953">
        <f>[1]发票导入!AJ1953&amp;""</f>
      </c>
      <c r="AK1953">
        <f>[1]发票导入!AK1953</f>
        <v>0</v>
      </c>
      <c r="AL1953">
        <f>[1]发票导入!AL1953</f>
        <v>0</v>
      </c>
      <c r="AM1953">
        <f>[1]发票导入!AM1953</f>
        <v>0</v>
      </c>
      <c r="AN1953" s="22">
        <f t="shared" si="1"/>
        <v>0</v>
      </c>
      <c r="AO1953" s="22">
        <f t="shared" si="2"/>
        <v>0</v>
      </c>
    </row>
    <row r="1954">
      <c r="C1954">
        <f>[1]发票导入!C1954&amp;""</f>
      </c>
      <c r="D1954">
        <f>[1]发票导入!D1954&amp;""</f>
      </c>
      <c r="O1954">
        <f>[1]发票导入!O1954&amp;""</f>
      </c>
      <c r="T1954">
        <f>[1]发票导入!T1954</f>
      </c>
      <c r="U1954">
        <f>[1]发票导入!U1954&amp;""</f>
      </c>
      <c r="V1954">
        <f>[1]发票导入!V1954&amp;""</f>
      </c>
      <c r="W1954">
        <f>[1]发票导入!W1954&amp;""</f>
      </c>
      <c r="Y1954">
        <f>[1]发票导入!Y1954&amp;""</f>
      </c>
      <c r="AA1954">
        <f>[1]发票导入!AA1954&amp;""</f>
      </c>
      <c r="AB1954">
        <f>[1]发票导入!AB1954</f>
        <v>0</v>
      </c>
      <c r="AC1954">
        <f>[1]发票导入!AC1954</f>
        <v>0</v>
      </c>
      <c r="AE1954" s="22">
        <f t="shared" si="0"/>
      </c>
      <c r="AI1954">
        <f>[1]发票导入!AI1954&amp;""</f>
      </c>
      <c r="AJ1954">
        <f>[1]发票导入!AJ1954&amp;""</f>
      </c>
      <c r="AK1954">
        <f>[1]发票导入!AK1954</f>
        <v>0</v>
      </c>
      <c r="AL1954">
        <f>[1]发票导入!AL1954</f>
        <v>0</v>
      </c>
      <c r="AM1954">
        <f>[1]发票导入!AM1954</f>
        <v>0</v>
      </c>
      <c r="AN1954" s="22">
        <f t="shared" si="1"/>
        <v>0</v>
      </c>
      <c r="AO1954" s="22">
        <f t="shared" si="2"/>
        <v>0</v>
      </c>
    </row>
    <row r="1955">
      <c r="C1955">
        <f>[1]发票导入!C1955&amp;""</f>
      </c>
      <c r="D1955">
        <f>[1]发票导入!D1955&amp;""</f>
      </c>
      <c r="O1955">
        <f>[1]发票导入!O1955&amp;""</f>
      </c>
      <c r="T1955">
        <f>[1]发票导入!T1955</f>
      </c>
      <c r="U1955">
        <f>[1]发票导入!U1955&amp;""</f>
      </c>
      <c r="V1955">
        <f>[1]发票导入!V1955&amp;""</f>
      </c>
      <c r="W1955">
        <f>[1]发票导入!W1955&amp;""</f>
      </c>
      <c r="Y1955">
        <f>[1]发票导入!Y1955&amp;""</f>
      </c>
      <c r="AA1955">
        <f>[1]发票导入!AA1955&amp;""</f>
      </c>
      <c r="AB1955">
        <f>[1]发票导入!AB1955</f>
        <v>0</v>
      </c>
      <c r="AC1955">
        <f>[1]发票导入!AC1955</f>
        <v>0</v>
      </c>
      <c r="AE1955" s="22">
        <f t="shared" si="0"/>
      </c>
      <c r="AI1955">
        <f>[1]发票导入!AI1955&amp;""</f>
      </c>
      <c r="AJ1955">
        <f>[1]发票导入!AJ1955&amp;""</f>
      </c>
      <c r="AK1955">
        <f>[1]发票导入!AK1955</f>
        <v>0</v>
      </c>
      <c r="AL1955">
        <f>[1]发票导入!AL1955</f>
        <v>0</v>
      </c>
      <c r="AM1955">
        <f>[1]发票导入!AM1955</f>
        <v>0</v>
      </c>
      <c r="AN1955" s="22">
        <f t="shared" si="1"/>
        <v>0</v>
      </c>
      <c r="AO1955" s="22">
        <f t="shared" si="2"/>
        <v>0</v>
      </c>
    </row>
    <row r="1956">
      <c r="C1956">
        <f>[1]发票导入!C1956&amp;""</f>
      </c>
      <c r="D1956">
        <f>[1]发票导入!D1956&amp;""</f>
      </c>
      <c r="O1956">
        <f>[1]发票导入!O1956&amp;""</f>
      </c>
      <c r="T1956">
        <f>[1]发票导入!T1956</f>
      </c>
      <c r="U1956">
        <f>[1]发票导入!U1956&amp;""</f>
      </c>
      <c r="V1956">
        <f>[1]发票导入!V1956&amp;""</f>
      </c>
      <c r="W1956">
        <f>[1]发票导入!W1956&amp;""</f>
      </c>
      <c r="Y1956">
        <f>[1]发票导入!Y1956&amp;""</f>
      </c>
      <c r="AA1956">
        <f>[1]发票导入!AA1956&amp;""</f>
      </c>
      <c r="AB1956">
        <f>[1]发票导入!AB1956</f>
        <v>0</v>
      </c>
      <c r="AC1956">
        <f>[1]发票导入!AC1956</f>
        <v>0</v>
      </c>
      <c r="AE1956" s="22">
        <f t="shared" si="0"/>
      </c>
      <c r="AI1956">
        <f>[1]发票导入!AI1956&amp;""</f>
      </c>
      <c r="AJ1956">
        <f>[1]发票导入!AJ1956&amp;""</f>
      </c>
      <c r="AK1956">
        <f>[1]发票导入!AK1956</f>
        <v>0</v>
      </c>
      <c r="AL1956">
        <f>[1]发票导入!AL1956</f>
        <v>0</v>
      </c>
      <c r="AM1956">
        <f>[1]发票导入!AM1956</f>
        <v>0</v>
      </c>
      <c r="AN1956" s="22">
        <f t="shared" si="1"/>
        <v>0</v>
      </c>
      <c r="AO1956" s="22">
        <f t="shared" si="2"/>
        <v>0</v>
      </c>
    </row>
    <row r="1957">
      <c r="C1957">
        <f>[1]发票导入!C1957&amp;""</f>
      </c>
      <c r="D1957">
        <f>[1]发票导入!D1957&amp;""</f>
      </c>
      <c r="O1957">
        <f>[1]发票导入!O1957&amp;""</f>
      </c>
      <c r="T1957">
        <f>[1]发票导入!T1957</f>
      </c>
      <c r="U1957">
        <f>[1]发票导入!U1957&amp;""</f>
      </c>
      <c r="V1957">
        <f>[1]发票导入!V1957&amp;""</f>
      </c>
      <c r="W1957">
        <f>[1]发票导入!W1957&amp;""</f>
      </c>
      <c r="Y1957">
        <f>[1]发票导入!Y1957&amp;""</f>
      </c>
      <c r="AA1957">
        <f>[1]发票导入!AA1957&amp;""</f>
      </c>
      <c r="AB1957">
        <f>[1]发票导入!AB1957</f>
        <v>0</v>
      </c>
      <c r="AC1957">
        <f>[1]发票导入!AC1957</f>
        <v>0</v>
      </c>
      <c r="AE1957" s="22">
        <f t="shared" si="0"/>
      </c>
      <c r="AI1957">
        <f>[1]发票导入!AI1957&amp;""</f>
      </c>
      <c r="AJ1957">
        <f>[1]发票导入!AJ1957&amp;""</f>
      </c>
      <c r="AK1957">
        <f>[1]发票导入!AK1957</f>
        <v>0</v>
      </c>
      <c r="AL1957">
        <f>[1]发票导入!AL1957</f>
        <v>0</v>
      </c>
      <c r="AM1957">
        <f>[1]发票导入!AM1957</f>
        <v>0</v>
      </c>
      <c r="AN1957" s="22">
        <f t="shared" si="1"/>
        <v>0</v>
      </c>
      <c r="AO1957" s="22">
        <f t="shared" si="2"/>
        <v>0</v>
      </c>
    </row>
    <row r="1958">
      <c r="C1958">
        <f>[1]发票导入!C1958&amp;""</f>
      </c>
      <c r="D1958">
        <f>[1]发票导入!D1958&amp;""</f>
      </c>
      <c r="O1958">
        <f>[1]发票导入!O1958&amp;""</f>
      </c>
      <c r="T1958">
        <f>[1]发票导入!T1958</f>
      </c>
      <c r="U1958">
        <f>[1]发票导入!U1958&amp;""</f>
      </c>
      <c r="V1958">
        <f>[1]发票导入!V1958&amp;""</f>
      </c>
      <c r="W1958">
        <f>[1]发票导入!W1958&amp;""</f>
      </c>
      <c r="Y1958">
        <f>[1]发票导入!Y1958&amp;""</f>
      </c>
      <c r="AA1958">
        <f>[1]发票导入!AA1958&amp;""</f>
      </c>
      <c r="AB1958">
        <f>[1]发票导入!AB1958</f>
        <v>0</v>
      </c>
      <c r="AC1958">
        <f>[1]发票导入!AC1958</f>
        <v>0</v>
      </c>
      <c r="AE1958" s="22">
        <f t="shared" si="0"/>
      </c>
      <c r="AI1958">
        <f>[1]发票导入!AI1958&amp;""</f>
      </c>
      <c r="AJ1958">
        <f>[1]发票导入!AJ1958&amp;""</f>
      </c>
      <c r="AK1958">
        <f>[1]发票导入!AK1958</f>
        <v>0</v>
      </c>
      <c r="AL1958">
        <f>[1]发票导入!AL1958</f>
        <v>0</v>
      </c>
      <c r="AM1958">
        <f>[1]发票导入!AM1958</f>
        <v>0</v>
      </c>
      <c r="AN1958" s="22">
        <f t="shared" si="1"/>
        <v>0</v>
      </c>
      <c r="AO1958" s="22">
        <f t="shared" si="2"/>
        <v>0</v>
      </c>
    </row>
    <row r="1959">
      <c r="C1959">
        <f>[1]发票导入!C1959&amp;""</f>
      </c>
      <c r="D1959">
        <f>[1]发票导入!D1959&amp;""</f>
      </c>
      <c r="O1959">
        <f>[1]发票导入!O1959&amp;""</f>
      </c>
      <c r="T1959">
        <f>[1]发票导入!T1959</f>
      </c>
      <c r="U1959">
        <f>[1]发票导入!U1959&amp;""</f>
      </c>
      <c r="V1959">
        <f>[1]发票导入!V1959&amp;""</f>
      </c>
      <c r="W1959">
        <f>[1]发票导入!W1959&amp;""</f>
      </c>
      <c r="Y1959">
        <f>[1]发票导入!Y1959&amp;""</f>
      </c>
      <c r="AA1959">
        <f>[1]发票导入!AA1959&amp;""</f>
      </c>
      <c r="AB1959">
        <f>[1]发票导入!AB1959</f>
        <v>0</v>
      </c>
      <c r="AC1959">
        <f>[1]发票导入!AC1959</f>
        <v>0</v>
      </c>
      <c r="AE1959" s="22">
        <f t="shared" si="0"/>
      </c>
      <c r="AI1959">
        <f>[1]发票导入!AI1959&amp;""</f>
      </c>
      <c r="AJ1959">
        <f>[1]发票导入!AJ1959&amp;""</f>
      </c>
      <c r="AK1959">
        <f>[1]发票导入!AK1959</f>
        <v>0</v>
      </c>
      <c r="AL1959">
        <f>[1]发票导入!AL1959</f>
        <v>0</v>
      </c>
      <c r="AM1959">
        <f>[1]发票导入!AM1959</f>
        <v>0</v>
      </c>
      <c r="AN1959" s="22">
        <f t="shared" si="1"/>
        <v>0</v>
      </c>
      <c r="AO1959" s="22">
        <f t="shared" si="2"/>
        <v>0</v>
      </c>
    </row>
    <row r="1960">
      <c r="C1960">
        <f>[1]发票导入!C1960&amp;""</f>
      </c>
      <c r="D1960">
        <f>[1]发票导入!D1960&amp;""</f>
      </c>
      <c r="O1960">
        <f>[1]发票导入!O1960&amp;""</f>
      </c>
      <c r="T1960">
        <f>[1]发票导入!T1960</f>
      </c>
      <c r="U1960">
        <f>[1]发票导入!U1960&amp;""</f>
      </c>
      <c r="V1960">
        <f>[1]发票导入!V1960&amp;""</f>
      </c>
      <c r="W1960">
        <f>[1]发票导入!W1960&amp;""</f>
      </c>
      <c r="Y1960">
        <f>[1]发票导入!Y1960&amp;""</f>
      </c>
      <c r="AA1960">
        <f>[1]发票导入!AA1960&amp;""</f>
      </c>
      <c r="AB1960">
        <f>[1]发票导入!AB1960</f>
        <v>0</v>
      </c>
      <c r="AC1960">
        <f>[1]发票导入!AC1960</f>
        <v>0</v>
      </c>
      <c r="AE1960" s="22">
        <f t="shared" si="0"/>
      </c>
      <c r="AI1960">
        <f>[1]发票导入!AI1960&amp;""</f>
      </c>
      <c r="AJ1960">
        <f>[1]发票导入!AJ1960&amp;""</f>
      </c>
      <c r="AK1960">
        <f>[1]发票导入!AK1960</f>
        <v>0</v>
      </c>
      <c r="AL1960">
        <f>[1]发票导入!AL1960</f>
        <v>0</v>
      </c>
      <c r="AM1960">
        <f>[1]发票导入!AM1960</f>
        <v>0</v>
      </c>
      <c r="AN1960" s="22">
        <f t="shared" si="1"/>
        <v>0</v>
      </c>
      <c r="AO1960" s="22">
        <f t="shared" si="2"/>
        <v>0</v>
      </c>
    </row>
    <row r="1961">
      <c r="C1961">
        <f>[1]发票导入!C1961&amp;""</f>
      </c>
      <c r="D1961">
        <f>[1]发票导入!D1961&amp;""</f>
      </c>
      <c r="O1961">
        <f>[1]发票导入!O1961&amp;""</f>
      </c>
      <c r="T1961">
        <f>[1]发票导入!T1961</f>
      </c>
      <c r="U1961">
        <f>[1]发票导入!U1961&amp;""</f>
      </c>
      <c r="V1961">
        <f>[1]发票导入!V1961&amp;""</f>
      </c>
      <c r="W1961">
        <f>[1]发票导入!W1961&amp;""</f>
      </c>
      <c r="Y1961">
        <f>[1]发票导入!Y1961&amp;""</f>
      </c>
      <c r="AA1961">
        <f>[1]发票导入!AA1961&amp;""</f>
      </c>
      <c r="AB1961">
        <f>[1]发票导入!AB1961</f>
        <v>0</v>
      </c>
      <c r="AC1961">
        <f>[1]发票导入!AC1961</f>
        <v>0</v>
      </c>
      <c r="AE1961" s="22">
        <f t="shared" si="0"/>
      </c>
      <c r="AI1961">
        <f>[1]发票导入!AI1961&amp;""</f>
      </c>
      <c r="AJ1961">
        <f>[1]发票导入!AJ1961&amp;""</f>
      </c>
      <c r="AK1961">
        <f>[1]发票导入!AK1961</f>
        <v>0</v>
      </c>
      <c r="AL1961">
        <f>[1]发票导入!AL1961</f>
        <v>0</v>
      </c>
      <c r="AM1961">
        <f>[1]发票导入!AM1961</f>
        <v>0</v>
      </c>
      <c r="AN1961" s="22">
        <f t="shared" si="1"/>
        <v>0</v>
      </c>
      <c r="AO1961" s="22">
        <f t="shared" si="2"/>
        <v>0</v>
      </c>
    </row>
    <row r="1962">
      <c r="C1962">
        <f>[1]发票导入!C1962&amp;""</f>
      </c>
      <c r="D1962">
        <f>[1]发票导入!D1962&amp;""</f>
      </c>
      <c r="O1962">
        <f>[1]发票导入!O1962&amp;""</f>
      </c>
      <c r="T1962">
        <f>[1]发票导入!T1962</f>
      </c>
      <c r="U1962">
        <f>[1]发票导入!U1962&amp;""</f>
      </c>
      <c r="V1962">
        <f>[1]发票导入!V1962&amp;""</f>
      </c>
      <c r="W1962">
        <f>[1]发票导入!W1962&amp;""</f>
      </c>
      <c r="Y1962">
        <f>[1]发票导入!Y1962&amp;""</f>
      </c>
      <c r="AA1962">
        <f>[1]发票导入!AA1962&amp;""</f>
      </c>
      <c r="AB1962">
        <f>[1]发票导入!AB1962</f>
        <v>0</v>
      </c>
      <c r="AC1962">
        <f>[1]发票导入!AC1962</f>
        <v>0</v>
      </c>
      <c r="AE1962" s="22">
        <f t="shared" si="0"/>
      </c>
      <c r="AI1962">
        <f>[1]发票导入!AI1962&amp;""</f>
      </c>
      <c r="AJ1962">
        <f>[1]发票导入!AJ1962&amp;""</f>
      </c>
      <c r="AK1962">
        <f>[1]发票导入!AK1962</f>
        <v>0</v>
      </c>
      <c r="AL1962">
        <f>[1]发票导入!AL1962</f>
        <v>0</v>
      </c>
      <c r="AM1962">
        <f>[1]发票导入!AM1962</f>
        <v>0</v>
      </c>
      <c r="AN1962" s="22">
        <f t="shared" si="1"/>
        <v>0</v>
      </c>
      <c r="AO1962" s="22">
        <f t="shared" si="2"/>
        <v>0</v>
      </c>
    </row>
    <row r="1963">
      <c r="C1963">
        <f>[1]发票导入!C1963&amp;""</f>
      </c>
      <c r="D1963">
        <f>[1]发票导入!D1963&amp;""</f>
      </c>
      <c r="O1963">
        <f>[1]发票导入!O1963&amp;""</f>
      </c>
      <c r="T1963">
        <f>[1]发票导入!T1963</f>
      </c>
      <c r="U1963">
        <f>[1]发票导入!U1963&amp;""</f>
      </c>
      <c r="V1963">
        <f>[1]发票导入!V1963&amp;""</f>
      </c>
      <c r="W1963">
        <f>[1]发票导入!W1963&amp;""</f>
      </c>
      <c r="Y1963">
        <f>[1]发票导入!Y1963&amp;""</f>
      </c>
      <c r="AA1963">
        <f>[1]发票导入!AA1963&amp;""</f>
      </c>
      <c r="AB1963">
        <f>[1]发票导入!AB1963</f>
        <v>0</v>
      </c>
      <c r="AC1963">
        <f>[1]发票导入!AC1963</f>
        <v>0</v>
      </c>
      <c r="AE1963" s="22">
        <f t="shared" si="0"/>
      </c>
      <c r="AI1963">
        <f>[1]发票导入!AI1963&amp;""</f>
      </c>
      <c r="AJ1963">
        <f>[1]发票导入!AJ1963&amp;""</f>
      </c>
      <c r="AK1963">
        <f>[1]发票导入!AK1963</f>
        <v>0</v>
      </c>
      <c r="AL1963">
        <f>[1]发票导入!AL1963</f>
        <v>0</v>
      </c>
      <c r="AM1963">
        <f>[1]发票导入!AM1963</f>
        <v>0</v>
      </c>
      <c r="AN1963" s="22">
        <f t="shared" si="1"/>
        <v>0</v>
      </c>
      <c r="AO1963" s="22">
        <f t="shared" si="2"/>
        <v>0</v>
      </c>
    </row>
    <row r="1964">
      <c r="C1964">
        <f>[1]发票导入!C1964&amp;""</f>
      </c>
      <c r="D1964">
        <f>[1]发票导入!D1964&amp;""</f>
      </c>
      <c r="O1964">
        <f>[1]发票导入!O1964&amp;""</f>
      </c>
      <c r="T1964">
        <f>[1]发票导入!T1964</f>
      </c>
      <c r="U1964">
        <f>[1]发票导入!U1964&amp;""</f>
      </c>
      <c r="V1964">
        <f>[1]发票导入!V1964&amp;""</f>
      </c>
      <c r="W1964">
        <f>[1]发票导入!W1964&amp;""</f>
      </c>
      <c r="Y1964">
        <f>[1]发票导入!Y1964&amp;""</f>
      </c>
      <c r="AA1964">
        <f>[1]发票导入!AA1964&amp;""</f>
      </c>
      <c r="AB1964">
        <f>[1]发票导入!AB1964</f>
        <v>0</v>
      </c>
      <c r="AC1964">
        <f>[1]发票导入!AC1964</f>
        <v>0</v>
      </c>
      <c r="AE1964" s="22">
        <f t="shared" si="0"/>
      </c>
      <c r="AI1964">
        <f>[1]发票导入!AI1964&amp;""</f>
      </c>
      <c r="AJ1964">
        <f>[1]发票导入!AJ1964&amp;""</f>
      </c>
      <c r="AK1964">
        <f>[1]发票导入!AK1964</f>
        <v>0</v>
      </c>
      <c r="AL1964">
        <f>[1]发票导入!AL1964</f>
        <v>0</v>
      </c>
      <c r="AM1964">
        <f>[1]发票导入!AM1964</f>
        <v>0</v>
      </c>
      <c r="AN1964" s="22">
        <f t="shared" si="1"/>
        <v>0</v>
      </c>
      <c r="AO1964" s="22">
        <f t="shared" si="2"/>
        <v>0</v>
      </c>
    </row>
    <row r="1965">
      <c r="C1965">
        <f>[1]发票导入!C1965&amp;""</f>
      </c>
      <c r="D1965">
        <f>[1]发票导入!D1965&amp;""</f>
      </c>
      <c r="O1965">
        <f>[1]发票导入!O1965&amp;""</f>
      </c>
      <c r="T1965">
        <f>[1]发票导入!T1965</f>
      </c>
      <c r="U1965">
        <f>[1]发票导入!U1965&amp;""</f>
      </c>
      <c r="V1965">
        <f>[1]发票导入!V1965&amp;""</f>
      </c>
      <c r="W1965">
        <f>[1]发票导入!W1965&amp;""</f>
      </c>
      <c r="Y1965">
        <f>[1]发票导入!Y1965&amp;""</f>
      </c>
      <c r="AA1965">
        <f>[1]发票导入!AA1965&amp;""</f>
      </c>
      <c r="AB1965">
        <f>[1]发票导入!AB1965</f>
        <v>0</v>
      </c>
      <c r="AC1965">
        <f>[1]发票导入!AC1965</f>
        <v>0</v>
      </c>
      <c r="AE1965" s="22">
        <f t="shared" si="0"/>
      </c>
      <c r="AI1965">
        <f>[1]发票导入!AI1965&amp;""</f>
      </c>
      <c r="AJ1965">
        <f>[1]发票导入!AJ1965&amp;""</f>
      </c>
      <c r="AK1965">
        <f>[1]发票导入!AK1965</f>
        <v>0</v>
      </c>
      <c r="AL1965">
        <f>[1]发票导入!AL1965</f>
        <v>0</v>
      </c>
      <c r="AM1965">
        <f>[1]发票导入!AM1965</f>
        <v>0</v>
      </c>
      <c r="AN1965" s="22">
        <f t="shared" si="1"/>
        <v>0</v>
      </c>
      <c r="AO1965" s="22">
        <f t="shared" si="2"/>
        <v>0</v>
      </c>
    </row>
    <row r="1966">
      <c r="C1966">
        <f>[1]发票导入!C1966&amp;""</f>
      </c>
      <c r="D1966">
        <f>[1]发票导入!D1966&amp;""</f>
      </c>
      <c r="O1966">
        <f>[1]发票导入!O1966&amp;""</f>
      </c>
      <c r="T1966">
        <f>[1]发票导入!T1966</f>
      </c>
      <c r="U1966">
        <f>[1]发票导入!U1966&amp;""</f>
      </c>
      <c r="V1966">
        <f>[1]发票导入!V1966&amp;""</f>
      </c>
      <c r="W1966">
        <f>[1]发票导入!W1966&amp;""</f>
      </c>
      <c r="Y1966">
        <f>[1]发票导入!Y1966&amp;""</f>
      </c>
      <c r="AA1966">
        <f>[1]发票导入!AA1966&amp;""</f>
      </c>
      <c r="AB1966">
        <f>[1]发票导入!AB1966</f>
        <v>0</v>
      </c>
      <c r="AC1966">
        <f>[1]发票导入!AC1966</f>
        <v>0</v>
      </c>
      <c r="AE1966" s="22">
        <f t="shared" si="0"/>
      </c>
      <c r="AI1966">
        <f>[1]发票导入!AI1966&amp;""</f>
      </c>
      <c r="AJ1966">
        <f>[1]发票导入!AJ1966&amp;""</f>
      </c>
      <c r="AK1966">
        <f>[1]发票导入!AK1966</f>
        <v>0</v>
      </c>
      <c r="AL1966">
        <f>[1]发票导入!AL1966</f>
        <v>0</v>
      </c>
      <c r="AM1966">
        <f>[1]发票导入!AM1966</f>
        <v>0</v>
      </c>
      <c r="AN1966" s="22">
        <f t="shared" si="1"/>
        <v>0</v>
      </c>
      <c r="AO1966" s="22">
        <f t="shared" si="2"/>
        <v>0</v>
      </c>
    </row>
    <row r="1967">
      <c r="C1967">
        <f>[1]发票导入!C1967&amp;""</f>
      </c>
      <c r="D1967">
        <f>[1]发票导入!D1967&amp;""</f>
      </c>
      <c r="O1967">
        <f>[1]发票导入!O1967&amp;""</f>
      </c>
      <c r="T1967">
        <f>[1]发票导入!T1967</f>
      </c>
      <c r="U1967">
        <f>[1]发票导入!U1967&amp;""</f>
      </c>
      <c r="V1967">
        <f>[1]发票导入!V1967&amp;""</f>
      </c>
      <c r="W1967">
        <f>[1]发票导入!W1967&amp;""</f>
      </c>
      <c r="Y1967">
        <f>[1]发票导入!Y1967&amp;""</f>
      </c>
      <c r="AA1967">
        <f>[1]发票导入!AA1967&amp;""</f>
      </c>
      <c r="AB1967">
        <f>[1]发票导入!AB1967</f>
        <v>0</v>
      </c>
      <c r="AC1967">
        <f>[1]发票导入!AC1967</f>
        <v>0</v>
      </c>
      <c r="AE1967" s="22">
        <f t="shared" si="0"/>
      </c>
      <c r="AI1967">
        <f>[1]发票导入!AI1967&amp;""</f>
      </c>
      <c r="AJ1967">
        <f>[1]发票导入!AJ1967&amp;""</f>
      </c>
      <c r="AK1967">
        <f>[1]发票导入!AK1967</f>
        <v>0</v>
      </c>
      <c r="AL1967">
        <f>[1]发票导入!AL1967</f>
        <v>0</v>
      </c>
      <c r="AM1967">
        <f>[1]发票导入!AM1967</f>
        <v>0</v>
      </c>
      <c r="AN1967" s="22">
        <f t="shared" si="1"/>
        <v>0</v>
      </c>
      <c r="AO1967" s="22">
        <f t="shared" si="2"/>
        <v>0</v>
      </c>
    </row>
    <row r="1968">
      <c r="C1968">
        <f>[1]发票导入!C1968&amp;""</f>
      </c>
      <c r="D1968">
        <f>[1]发票导入!D1968&amp;""</f>
      </c>
      <c r="O1968">
        <f>[1]发票导入!O1968&amp;""</f>
      </c>
      <c r="T1968">
        <f>[1]发票导入!T1968</f>
      </c>
      <c r="U1968">
        <f>[1]发票导入!U1968&amp;""</f>
      </c>
      <c r="V1968">
        <f>[1]发票导入!V1968&amp;""</f>
      </c>
      <c r="W1968">
        <f>[1]发票导入!W1968&amp;""</f>
      </c>
      <c r="Y1968">
        <f>[1]发票导入!Y1968&amp;""</f>
      </c>
      <c r="AA1968">
        <f>[1]发票导入!AA1968&amp;""</f>
      </c>
      <c r="AB1968">
        <f>[1]发票导入!AB1968</f>
        <v>0</v>
      </c>
      <c r="AC1968">
        <f>[1]发票导入!AC1968</f>
        <v>0</v>
      </c>
      <c r="AE1968" s="22">
        <f t="shared" si="0"/>
      </c>
      <c r="AI1968">
        <f>[1]发票导入!AI1968&amp;""</f>
      </c>
      <c r="AJ1968">
        <f>[1]发票导入!AJ1968&amp;""</f>
      </c>
      <c r="AK1968">
        <f>[1]发票导入!AK1968</f>
        <v>0</v>
      </c>
      <c r="AL1968">
        <f>[1]发票导入!AL1968</f>
        <v>0</v>
      </c>
      <c r="AM1968">
        <f>[1]发票导入!AM1968</f>
        <v>0</v>
      </c>
      <c r="AN1968" s="22">
        <f t="shared" si="1"/>
        <v>0</v>
      </c>
      <c r="AO1968" s="22">
        <f t="shared" si="2"/>
        <v>0</v>
      </c>
    </row>
    <row r="1969">
      <c r="C1969">
        <f>[1]发票导入!C1969&amp;""</f>
      </c>
      <c r="D1969">
        <f>[1]发票导入!D1969&amp;""</f>
      </c>
      <c r="O1969">
        <f>[1]发票导入!O1969&amp;""</f>
      </c>
      <c r="T1969">
        <f>[1]发票导入!T1969</f>
      </c>
      <c r="U1969">
        <f>[1]发票导入!U1969&amp;""</f>
      </c>
      <c r="V1969">
        <f>[1]发票导入!V1969&amp;""</f>
      </c>
      <c r="W1969">
        <f>[1]发票导入!W1969&amp;""</f>
      </c>
      <c r="Y1969">
        <f>[1]发票导入!Y1969&amp;""</f>
      </c>
      <c r="AA1969">
        <f>[1]发票导入!AA1969&amp;""</f>
      </c>
      <c r="AB1969">
        <f>[1]发票导入!AB1969</f>
        <v>0</v>
      </c>
      <c r="AC1969">
        <f>[1]发票导入!AC1969</f>
        <v>0</v>
      </c>
      <c r="AE1969" s="22">
        <f t="shared" si="0"/>
      </c>
      <c r="AI1969">
        <f>[1]发票导入!AI1969&amp;""</f>
      </c>
      <c r="AJ1969">
        <f>[1]发票导入!AJ1969&amp;""</f>
      </c>
      <c r="AK1969">
        <f>[1]发票导入!AK1969</f>
        <v>0</v>
      </c>
      <c r="AL1969">
        <f>[1]发票导入!AL1969</f>
        <v>0</v>
      </c>
      <c r="AM1969">
        <f>[1]发票导入!AM1969</f>
        <v>0</v>
      </c>
      <c r="AN1969" s="22">
        <f t="shared" si="1"/>
        <v>0</v>
      </c>
      <c r="AO1969" s="22">
        <f t="shared" si="2"/>
        <v>0</v>
      </c>
    </row>
    <row r="1970">
      <c r="C1970">
        <f>[1]发票导入!C1970&amp;""</f>
      </c>
      <c r="D1970">
        <f>[1]发票导入!D1970&amp;""</f>
      </c>
      <c r="O1970">
        <f>[1]发票导入!O1970&amp;""</f>
      </c>
      <c r="T1970">
        <f>[1]发票导入!T1970</f>
      </c>
      <c r="U1970">
        <f>[1]发票导入!U1970&amp;""</f>
      </c>
      <c r="V1970">
        <f>[1]发票导入!V1970&amp;""</f>
      </c>
      <c r="W1970">
        <f>[1]发票导入!W1970&amp;""</f>
      </c>
      <c r="Y1970">
        <f>[1]发票导入!Y1970&amp;""</f>
      </c>
      <c r="AA1970">
        <f>[1]发票导入!AA1970&amp;""</f>
      </c>
      <c r="AB1970">
        <f>[1]发票导入!AB1970</f>
        <v>0</v>
      </c>
      <c r="AC1970">
        <f>[1]发票导入!AC1970</f>
        <v>0</v>
      </c>
      <c r="AE1970" s="22">
        <f t="shared" si="0"/>
      </c>
      <c r="AI1970">
        <f>[1]发票导入!AI1970&amp;""</f>
      </c>
      <c r="AJ1970">
        <f>[1]发票导入!AJ1970&amp;""</f>
      </c>
      <c r="AK1970">
        <f>[1]发票导入!AK1970</f>
        <v>0</v>
      </c>
      <c r="AL1970">
        <f>[1]发票导入!AL1970</f>
        <v>0</v>
      </c>
      <c r="AM1970">
        <f>[1]发票导入!AM1970</f>
        <v>0</v>
      </c>
      <c r="AN1970" s="22">
        <f t="shared" si="1"/>
        <v>0</v>
      </c>
      <c r="AO1970" s="22">
        <f t="shared" si="2"/>
        <v>0</v>
      </c>
    </row>
    <row r="1971">
      <c r="C1971">
        <f>[1]发票导入!C1971&amp;""</f>
      </c>
      <c r="D1971">
        <f>[1]发票导入!D1971&amp;""</f>
      </c>
      <c r="O1971">
        <f>[1]发票导入!O1971&amp;""</f>
      </c>
      <c r="T1971">
        <f>[1]发票导入!T1971</f>
      </c>
      <c r="U1971">
        <f>[1]发票导入!U1971&amp;""</f>
      </c>
      <c r="V1971">
        <f>[1]发票导入!V1971&amp;""</f>
      </c>
      <c r="W1971">
        <f>[1]发票导入!W1971&amp;""</f>
      </c>
      <c r="Y1971">
        <f>[1]发票导入!Y1971&amp;""</f>
      </c>
      <c r="AA1971">
        <f>[1]发票导入!AA1971&amp;""</f>
      </c>
      <c r="AB1971">
        <f>[1]发票导入!AB1971</f>
        <v>0</v>
      </c>
      <c r="AC1971">
        <f>[1]发票导入!AC1971</f>
        <v>0</v>
      </c>
      <c r="AE1971" s="22">
        <f t="shared" si="0"/>
      </c>
      <c r="AI1971">
        <f>[1]发票导入!AI1971&amp;""</f>
      </c>
      <c r="AJ1971">
        <f>[1]发票导入!AJ1971&amp;""</f>
      </c>
      <c r="AK1971">
        <f>[1]发票导入!AK1971</f>
        <v>0</v>
      </c>
      <c r="AL1971">
        <f>[1]发票导入!AL1971</f>
        <v>0</v>
      </c>
      <c r="AM1971">
        <f>[1]发票导入!AM1971</f>
        <v>0</v>
      </c>
      <c r="AN1971" s="22">
        <f t="shared" si="1"/>
        <v>0</v>
      </c>
      <c r="AO1971" s="22">
        <f t="shared" si="2"/>
        <v>0</v>
      </c>
    </row>
    <row r="1972">
      <c r="C1972">
        <f>[1]发票导入!C1972&amp;""</f>
      </c>
      <c r="D1972">
        <f>[1]发票导入!D1972&amp;""</f>
      </c>
      <c r="O1972">
        <f>[1]发票导入!O1972&amp;""</f>
      </c>
      <c r="T1972">
        <f>[1]发票导入!T1972</f>
      </c>
      <c r="U1972">
        <f>[1]发票导入!U1972&amp;""</f>
      </c>
      <c r="V1972">
        <f>[1]发票导入!V1972&amp;""</f>
      </c>
      <c r="W1972">
        <f>[1]发票导入!W1972&amp;""</f>
      </c>
      <c r="Y1972">
        <f>[1]发票导入!Y1972&amp;""</f>
      </c>
      <c r="AA1972">
        <f>[1]发票导入!AA1972&amp;""</f>
      </c>
      <c r="AB1972">
        <f>[1]发票导入!AB1972</f>
        <v>0</v>
      </c>
      <c r="AC1972">
        <f>[1]发票导入!AC1972</f>
        <v>0</v>
      </c>
      <c r="AE1972" s="22">
        <f t="shared" si="0"/>
      </c>
      <c r="AI1972">
        <f>[1]发票导入!AI1972&amp;""</f>
      </c>
      <c r="AJ1972">
        <f>[1]发票导入!AJ1972&amp;""</f>
      </c>
      <c r="AK1972">
        <f>[1]发票导入!AK1972</f>
        <v>0</v>
      </c>
      <c r="AL1972">
        <f>[1]发票导入!AL1972</f>
        <v>0</v>
      </c>
      <c r="AM1972">
        <f>[1]发票导入!AM1972</f>
        <v>0</v>
      </c>
      <c r="AN1972" s="22">
        <f t="shared" si="1"/>
        <v>0</v>
      </c>
      <c r="AO1972" s="22">
        <f t="shared" si="2"/>
        <v>0</v>
      </c>
    </row>
    <row r="1973">
      <c r="C1973">
        <f>[1]发票导入!C1973&amp;""</f>
      </c>
      <c r="D1973">
        <f>[1]发票导入!D1973&amp;""</f>
      </c>
      <c r="O1973">
        <f>[1]发票导入!O1973&amp;""</f>
      </c>
      <c r="T1973">
        <f>[1]发票导入!T1973</f>
      </c>
      <c r="U1973">
        <f>[1]发票导入!U1973&amp;""</f>
      </c>
      <c r="V1973">
        <f>[1]发票导入!V1973&amp;""</f>
      </c>
      <c r="W1973">
        <f>[1]发票导入!W1973&amp;""</f>
      </c>
      <c r="Y1973">
        <f>[1]发票导入!Y1973&amp;""</f>
      </c>
      <c r="AA1973">
        <f>[1]发票导入!AA1973&amp;""</f>
      </c>
      <c r="AB1973">
        <f>[1]发票导入!AB1973</f>
        <v>0</v>
      </c>
      <c r="AC1973">
        <f>[1]发票导入!AC1973</f>
        <v>0</v>
      </c>
      <c r="AE1973" s="22">
        <f t="shared" si="0"/>
      </c>
      <c r="AI1973">
        <f>[1]发票导入!AI1973&amp;""</f>
      </c>
      <c r="AJ1973">
        <f>[1]发票导入!AJ1973&amp;""</f>
      </c>
      <c r="AK1973">
        <f>[1]发票导入!AK1973</f>
        <v>0</v>
      </c>
      <c r="AL1973">
        <f>[1]发票导入!AL1973</f>
        <v>0</v>
      </c>
      <c r="AM1973">
        <f>[1]发票导入!AM1973</f>
        <v>0</v>
      </c>
      <c r="AN1973" s="22">
        <f t="shared" si="1"/>
        <v>0</v>
      </c>
      <c r="AO1973" s="22">
        <f t="shared" si="2"/>
        <v>0</v>
      </c>
    </row>
    <row r="1974">
      <c r="C1974">
        <f>[1]发票导入!C1974&amp;""</f>
      </c>
      <c r="D1974">
        <f>[1]发票导入!D1974&amp;""</f>
      </c>
      <c r="O1974">
        <f>[1]发票导入!O1974&amp;""</f>
      </c>
      <c r="T1974">
        <f>[1]发票导入!T1974</f>
      </c>
      <c r="U1974">
        <f>[1]发票导入!U1974&amp;""</f>
      </c>
      <c r="V1974">
        <f>[1]发票导入!V1974&amp;""</f>
      </c>
      <c r="W1974">
        <f>[1]发票导入!W1974&amp;""</f>
      </c>
      <c r="Y1974">
        <f>[1]发票导入!Y1974&amp;""</f>
      </c>
      <c r="AA1974">
        <f>[1]发票导入!AA1974&amp;""</f>
      </c>
      <c r="AB1974">
        <f>[1]发票导入!AB1974</f>
        <v>0</v>
      </c>
      <c r="AC1974">
        <f>[1]发票导入!AC1974</f>
        <v>0</v>
      </c>
      <c r="AE1974" s="22">
        <f t="shared" si="0"/>
      </c>
      <c r="AI1974">
        <f>[1]发票导入!AI1974&amp;""</f>
      </c>
      <c r="AJ1974">
        <f>[1]发票导入!AJ1974&amp;""</f>
      </c>
      <c r="AK1974">
        <f>[1]发票导入!AK1974</f>
        <v>0</v>
      </c>
      <c r="AL1974">
        <f>[1]发票导入!AL1974</f>
        <v>0</v>
      </c>
      <c r="AM1974">
        <f>[1]发票导入!AM1974</f>
        <v>0</v>
      </c>
      <c r="AN1974" s="22">
        <f t="shared" si="1"/>
        <v>0</v>
      </c>
      <c r="AO1974" s="22">
        <f t="shared" si="2"/>
        <v>0</v>
      </c>
    </row>
    <row r="1975">
      <c r="C1975">
        <f>[1]发票导入!C1975&amp;""</f>
      </c>
      <c r="D1975">
        <f>[1]发票导入!D1975&amp;""</f>
      </c>
      <c r="O1975">
        <f>[1]发票导入!O1975&amp;""</f>
      </c>
      <c r="T1975">
        <f>[1]发票导入!T1975</f>
      </c>
      <c r="U1975">
        <f>[1]发票导入!U1975&amp;""</f>
      </c>
      <c r="V1975">
        <f>[1]发票导入!V1975&amp;""</f>
      </c>
      <c r="W1975">
        <f>[1]发票导入!W1975&amp;""</f>
      </c>
      <c r="Y1975">
        <f>[1]发票导入!Y1975&amp;""</f>
      </c>
      <c r="AA1975">
        <f>[1]发票导入!AA1975&amp;""</f>
      </c>
      <c r="AB1975">
        <f>[1]发票导入!AB1975</f>
        <v>0</v>
      </c>
      <c r="AC1975">
        <f>[1]发票导入!AC1975</f>
        <v>0</v>
      </c>
      <c r="AE1975" s="22">
        <f t="shared" si="0"/>
      </c>
      <c r="AI1975">
        <f>[1]发票导入!AI1975&amp;""</f>
      </c>
      <c r="AJ1975">
        <f>[1]发票导入!AJ1975&amp;""</f>
      </c>
      <c r="AK1975">
        <f>[1]发票导入!AK1975</f>
        <v>0</v>
      </c>
      <c r="AL1975">
        <f>[1]发票导入!AL1975</f>
        <v>0</v>
      </c>
      <c r="AM1975">
        <f>[1]发票导入!AM1975</f>
        <v>0</v>
      </c>
      <c r="AN1975" s="22">
        <f t="shared" si="1"/>
        <v>0</v>
      </c>
      <c r="AO1975" s="22">
        <f t="shared" si="2"/>
        <v>0</v>
      </c>
    </row>
    <row r="1976">
      <c r="C1976">
        <f>[1]发票导入!C1976&amp;""</f>
      </c>
      <c r="D1976">
        <f>[1]发票导入!D1976&amp;""</f>
      </c>
      <c r="O1976">
        <f>[1]发票导入!O1976&amp;""</f>
      </c>
      <c r="T1976">
        <f>[1]发票导入!T1976</f>
      </c>
      <c r="U1976">
        <f>[1]发票导入!U1976&amp;""</f>
      </c>
      <c r="V1976">
        <f>[1]发票导入!V1976&amp;""</f>
      </c>
      <c r="W1976">
        <f>[1]发票导入!W1976&amp;""</f>
      </c>
      <c r="Y1976">
        <f>[1]发票导入!Y1976&amp;""</f>
      </c>
      <c r="AA1976">
        <f>[1]发票导入!AA1976&amp;""</f>
      </c>
      <c r="AB1976">
        <f>[1]发票导入!AB1976</f>
        <v>0</v>
      </c>
      <c r="AC1976">
        <f>[1]发票导入!AC1976</f>
        <v>0</v>
      </c>
      <c r="AE1976" s="22">
        <f t="shared" si="0"/>
      </c>
      <c r="AI1976">
        <f>[1]发票导入!AI1976&amp;""</f>
      </c>
      <c r="AJ1976">
        <f>[1]发票导入!AJ1976&amp;""</f>
      </c>
      <c r="AK1976">
        <f>[1]发票导入!AK1976</f>
        <v>0</v>
      </c>
      <c r="AL1976">
        <f>[1]发票导入!AL1976</f>
        <v>0</v>
      </c>
      <c r="AM1976">
        <f>[1]发票导入!AM1976</f>
        <v>0</v>
      </c>
      <c r="AN1976" s="22">
        <f t="shared" si="1"/>
        <v>0</v>
      </c>
      <c r="AO1976" s="22">
        <f t="shared" si="2"/>
        <v>0</v>
      </c>
    </row>
    <row r="1977">
      <c r="C1977">
        <f>[1]发票导入!C1977&amp;""</f>
      </c>
      <c r="D1977">
        <f>[1]发票导入!D1977&amp;""</f>
      </c>
      <c r="O1977">
        <f>[1]发票导入!O1977&amp;""</f>
      </c>
      <c r="T1977">
        <f>[1]发票导入!T1977</f>
      </c>
      <c r="U1977">
        <f>[1]发票导入!U1977&amp;""</f>
      </c>
      <c r="V1977">
        <f>[1]发票导入!V1977&amp;""</f>
      </c>
      <c r="W1977">
        <f>[1]发票导入!W1977&amp;""</f>
      </c>
      <c r="Y1977">
        <f>[1]发票导入!Y1977&amp;""</f>
      </c>
      <c r="AA1977">
        <f>[1]发票导入!AA1977&amp;""</f>
      </c>
      <c r="AB1977">
        <f>[1]发票导入!AB1977</f>
        <v>0</v>
      </c>
      <c r="AC1977">
        <f>[1]发票导入!AC1977</f>
        <v>0</v>
      </c>
      <c r="AE1977" s="22">
        <f t="shared" si="0"/>
      </c>
      <c r="AI1977">
        <f>[1]发票导入!AI1977&amp;""</f>
      </c>
      <c r="AJ1977">
        <f>[1]发票导入!AJ1977&amp;""</f>
      </c>
      <c r="AK1977">
        <f>[1]发票导入!AK1977</f>
        <v>0</v>
      </c>
      <c r="AL1977">
        <f>[1]发票导入!AL1977</f>
        <v>0</v>
      </c>
      <c r="AM1977">
        <f>[1]发票导入!AM1977</f>
        <v>0</v>
      </c>
      <c r="AN1977" s="22">
        <f t="shared" si="1"/>
        <v>0</v>
      </c>
      <c r="AO1977" s="22">
        <f t="shared" si="2"/>
        <v>0</v>
      </c>
    </row>
    <row r="1978">
      <c r="C1978">
        <f>[1]发票导入!C1978&amp;""</f>
      </c>
      <c r="D1978">
        <f>[1]发票导入!D1978&amp;""</f>
      </c>
      <c r="O1978">
        <f>[1]发票导入!O1978&amp;""</f>
      </c>
      <c r="T1978">
        <f>[1]发票导入!T1978</f>
      </c>
      <c r="U1978">
        <f>[1]发票导入!U1978&amp;""</f>
      </c>
      <c r="V1978">
        <f>[1]发票导入!V1978&amp;""</f>
      </c>
      <c r="W1978">
        <f>[1]发票导入!W1978&amp;""</f>
      </c>
      <c r="Y1978">
        <f>[1]发票导入!Y1978&amp;""</f>
      </c>
      <c r="AA1978">
        <f>[1]发票导入!AA1978&amp;""</f>
      </c>
      <c r="AB1978">
        <f>[1]发票导入!AB1978</f>
        <v>0</v>
      </c>
      <c r="AC1978">
        <f>[1]发票导入!AC1978</f>
        <v>0</v>
      </c>
      <c r="AE1978" s="22">
        <f t="shared" si="0"/>
      </c>
      <c r="AI1978">
        <f>[1]发票导入!AI1978&amp;""</f>
      </c>
      <c r="AJ1978">
        <f>[1]发票导入!AJ1978&amp;""</f>
      </c>
      <c r="AK1978">
        <f>[1]发票导入!AK1978</f>
        <v>0</v>
      </c>
      <c r="AL1978">
        <f>[1]发票导入!AL1978</f>
        <v>0</v>
      </c>
      <c r="AM1978">
        <f>[1]发票导入!AM1978</f>
        <v>0</v>
      </c>
      <c r="AN1978" s="22">
        <f t="shared" si="1"/>
        <v>0</v>
      </c>
      <c r="AO1978" s="22">
        <f t="shared" si="2"/>
        <v>0</v>
      </c>
    </row>
    <row r="1979">
      <c r="C1979">
        <f>[1]发票导入!C1979&amp;""</f>
      </c>
      <c r="D1979">
        <f>[1]发票导入!D1979&amp;""</f>
      </c>
      <c r="O1979">
        <f>[1]发票导入!O1979&amp;""</f>
      </c>
      <c r="T1979">
        <f>[1]发票导入!T1979</f>
      </c>
      <c r="U1979">
        <f>[1]发票导入!U1979&amp;""</f>
      </c>
      <c r="V1979">
        <f>[1]发票导入!V1979&amp;""</f>
      </c>
      <c r="W1979">
        <f>[1]发票导入!W1979&amp;""</f>
      </c>
      <c r="Y1979">
        <f>[1]发票导入!Y1979&amp;""</f>
      </c>
      <c r="AA1979">
        <f>[1]发票导入!AA1979&amp;""</f>
      </c>
      <c r="AB1979">
        <f>[1]发票导入!AB1979</f>
        <v>0</v>
      </c>
      <c r="AC1979">
        <f>[1]发票导入!AC1979</f>
        <v>0</v>
      </c>
      <c r="AE1979" s="22">
        <f t="shared" si="0"/>
      </c>
      <c r="AI1979">
        <f>[1]发票导入!AI1979&amp;""</f>
      </c>
      <c r="AJ1979">
        <f>[1]发票导入!AJ1979&amp;""</f>
      </c>
      <c r="AK1979">
        <f>[1]发票导入!AK1979</f>
        <v>0</v>
      </c>
      <c r="AL1979">
        <f>[1]发票导入!AL1979</f>
        <v>0</v>
      </c>
      <c r="AM1979">
        <f>[1]发票导入!AM1979</f>
        <v>0</v>
      </c>
      <c r="AN1979" s="22">
        <f t="shared" si="1"/>
        <v>0</v>
      </c>
      <c r="AO1979" s="22">
        <f t="shared" si="2"/>
        <v>0</v>
      </c>
    </row>
    <row r="1980">
      <c r="C1980">
        <f>[1]发票导入!C1980&amp;""</f>
      </c>
      <c r="D1980">
        <f>[1]发票导入!D1980&amp;""</f>
      </c>
      <c r="O1980">
        <f>[1]发票导入!O1980&amp;""</f>
      </c>
      <c r="T1980">
        <f>[1]发票导入!T1980</f>
      </c>
      <c r="U1980">
        <f>[1]发票导入!U1980&amp;""</f>
      </c>
      <c r="V1980">
        <f>[1]发票导入!V1980&amp;""</f>
      </c>
      <c r="W1980">
        <f>[1]发票导入!W1980&amp;""</f>
      </c>
      <c r="Y1980">
        <f>[1]发票导入!Y1980&amp;""</f>
      </c>
      <c r="AA1980">
        <f>[1]发票导入!AA1980&amp;""</f>
      </c>
      <c r="AB1980">
        <f>[1]发票导入!AB1980</f>
        <v>0</v>
      </c>
      <c r="AC1980">
        <f>[1]发票导入!AC1980</f>
        <v>0</v>
      </c>
      <c r="AE1980" s="22">
        <f t="shared" si="0"/>
      </c>
      <c r="AI1980">
        <f>[1]发票导入!AI1980&amp;""</f>
      </c>
      <c r="AJ1980">
        <f>[1]发票导入!AJ1980&amp;""</f>
      </c>
      <c r="AK1980">
        <f>[1]发票导入!AK1980</f>
        <v>0</v>
      </c>
      <c r="AL1980">
        <f>[1]发票导入!AL1980</f>
        <v>0</v>
      </c>
      <c r="AM1980">
        <f>[1]发票导入!AM1980</f>
        <v>0</v>
      </c>
      <c r="AN1980" s="22">
        <f t="shared" si="1"/>
        <v>0</v>
      </c>
      <c r="AO1980" s="22">
        <f t="shared" si="2"/>
        <v>0</v>
      </c>
    </row>
    <row r="1981">
      <c r="C1981">
        <f>[1]发票导入!C1981&amp;""</f>
      </c>
      <c r="D1981">
        <f>[1]发票导入!D1981&amp;""</f>
      </c>
      <c r="O1981">
        <f>[1]发票导入!O1981&amp;""</f>
      </c>
      <c r="T1981">
        <f>[1]发票导入!T1981</f>
      </c>
      <c r="U1981">
        <f>[1]发票导入!U1981&amp;""</f>
      </c>
      <c r="V1981">
        <f>[1]发票导入!V1981&amp;""</f>
      </c>
      <c r="W1981">
        <f>[1]发票导入!W1981&amp;""</f>
      </c>
      <c r="Y1981">
        <f>[1]发票导入!Y1981&amp;""</f>
      </c>
      <c r="AA1981">
        <f>[1]发票导入!AA1981&amp;""</f>
      </c>
      <c r="AB1981">
        <f>[1]发票导入!AB1981</f>
        <v>0</v>
      </c>
      <c r="AC1981">
        <f>[1]发票导入!AC1981</f>
        <v>0</v>
      </c>
      <c r="AE1981" s="22">
        <f t="shared" si="0"/>
      </c>
      <c r="AI1981">
        <f>[1]发票导入!AI1981&amp;""</f>
      </c>
      <c r="AJ1981">
        <f>[1]发票导入!AJ1981&amp;""</f>
      </c>
      <c r="AK1981">
        <f>[1]发票导入!AK1981</f>
        <v>0</v>
      </c>
      <c r="AL1981">
        <f>[1]发票导入!AL1981</f>
        <v>0</v>
      </c>
      <c r="AM1981">
        <f>[1]发票导入!AM1981</f>
        <v>0</v>
      </c>
      <c r="AN1981" s="22">
        <f t="shared" si="1"/>
        <v>0</v>
      </c>
      <c r="AO1981" s="22">
        <f t="shared" si="2"/>
        <v>0</v>
      </c>
    </row>
    <row r="1982">
      <c r="C1982">
        <f>[1]发票导入!C1982&amp;""</f>
      </c>
      <c r="D1982">
        <f>[1]发票导入!D1982&amp;""</f>
      </c>
      <c r="O1982">
        <f>[1]发票导入!O1982&amp;""</f>
      </c>
      <c r="T1982">
        <f>[1]发票导入!T1982</f>
      </c>
      <c r="U1982">
        <f>[1]发票导入!U1982&amp;""</f>
      </c>
      <c r="V1982">
        <f>[1]发票导入!V1982&amp;""</f>
      </c>
      <c r="W1982">
        <f>[1]发票导入!W1982&amp;""</f>
      </c>
      <c r="Y1982">
        <f>[1]发票导入!Y1982&amp;""</f>
      </c>
      <c r="AA1982">
        <f>[1]发票导入!AA1982&amp;""</f>
      </c>
      <c r="AB1982">
        <f>[1]发票导入!AB1982</f>
        <v>0</v>
      </c>
      <c r="AC1982">
        <f>[1]发票导入!AC1982</f>
        <v>0</v>
      </c>
      <c r="AE1982" s="22">
        <f t="shared" si="0"/>
      </c>
      <c r="AI1982">
        <f>[1]发票导入!AI1982&amp;""</f>
      </c>
      <c r="AJ1982">
        <f>[1]发票导入!AJ1982&amp;""</f>
      </c>
      <c r="AK1982">
        <f>[1]发票导入!AK1982</f>
        <v>0</v>
      </c>
      <c r="AL1982">
        <f>[1]发票导入!AL1982</f>
        <v>0</v>
      </c>
      <c r="AM1982">
        <f>[1]发票导入!AM1982</f>
        <v>0</v>
      </c>
      <c r="AN1982" s="22">
        <f t="shared" si="1"/>
        <v>0</v>
      </c>
      <c r="AO1982" s="22">
        <f t="shared" si="2"/>
        <v>0</v>
      </c>
    </row>
    <row r="1983">
      <c r="C1983">
        <f>[1]发票导入!C1983&amp;""</f>
      </c>
      <c r="D1983">
        <f>[1]发票导入!D1983&amp;""</f>
      </c>
      <c r="O1983">
        <f>[1]发票导入!O1983&amp;""</f>
      </c>
      <c r="T1983">
        <f>[1]发票导入!T1983</f>
      </c>
      <c r="U1983">
        <f>[1]发票导入!U1983&amp;""</f>
      </c>
      <c r="V1983">
        <f>[1]发票导入!V1983&amp;""</f>
      </c>
      <c r="W1983">
        <f>[1]发票导入!W1983&amp;""</f>
      </c>
      <c r="Y1983">
        <f>[1]发票导入!Y1983&amp;""</f>
      </c>
      <c r="AA1983">
        <f>[1]发票导入!AA1983&amp;""</f>
      </c>
      <c r="AB1983">
        <f>[1]发票导入!AB1983</f>
        <v>0</v>
      </c>
      <c r="AC1983">
        <f>[1]发票导入!AC1983</f>
        <v>0</v>
      </c>
      <c r="AE1983" s="22">
        <f t="shared" si="0"/>
      </c>
      <c r="AI1983">
        <f>[1]发票导入!AI1983&amp;""</f>
      </c>
      <c r="AJ1983">
        <f>[1]发票导入!AJ1983&amp;""</f>
      </c>
      <c r="AK1983">
        <f>[1]发票导入!AK1983</f>
        <v>0</v>
      </c>
      <c r="AL1983">
        <f>[1]发票导入!AL1983</f>
        <v>0</v>
      </c>
      <c r="AM1983">
        <f>[1]发票导入!AM1983</f>
        <v>0</v>
      </c>
      <c r="AN1983" s="22">
        <f t="shared" si="1"/>
        <v>0</v>
      </c>
      <c r="AO1983" s="22">
        <f t="shared" si="2"/>
        <v>0</v>
      </c>
    </row>
    <row r="1984">
      <c r="C1984">
        <f>[1]发票导入!C1984&amp;""</f>
      </c>
      <c r="D1984">
        <f>[1]发票导入!D1984&amp;""</f>
      </c>
      <c r="O1984">
        <f>[1]发票导入!O1984&amp;""</f>
      </c>
      <c r="T1984">
        <f>[1]发票导入!T1984</f>
      </c>
      <c r="U1984">
        <f>[1]发票导入!U1984&amp;""</f>
      </c>
      <c r="V1984">
        <f>[1]发票导入!V1984&amp;""</f>
      </c>
      <c r="W1984">
        <f>[1]发票导入!W1984&amp;""</f>
      </c>
      <c r="Y1984">
        <f>[1]发票导入!Y1984&amp;""</f>
      </c>
      <c r="AA1984">
        <f>[1]发票导入!AA1984&amp;""</f>
      </c>
      <c r="AB1984">
        <f>[1]发票导入!AB1984</f>
        <v>0</v>
      </c>
      <c r="AC1984">
        <f>[1]发票导入!AC1984</f>
        <v>0</v>
      </c>
      <c r="AE1984" s="22">
        <f t="shared" si="0"/>
      </c>
      <c r="AI1984">
        <f>[1]发票导入!AI1984&amp;""</f>
      </c>
      <c r="AJ1984">
        <f>[1]发票导入!AJ1984&amp;""</f>
      </c>
      <c r="AK1984">
        <f>[1]发票导入!AK1984</f>
        <v>0</v>
      </c>
      <c r="AL1984">
        <f>[1]发票导入!AL1984</f>
        <v>0</v>
      </c>
      <c r="AM1984">
        <f>[1]发票导入!AM1984</f>
        <v>0</v>
      </c>
      <c r="AN1984" s="22">
        <f t="shared" si="1"/>
        <v>0</v>
      </c>
      <c r="AO1984" s="22">
        <f t="shared" si="2"/>
        <v>0</v>
      </c>
    </row>
    <row r="1985">
      <c r="C1985">
        <f>[1]发票导入!C1985&amp;""</f>
      </c>
      <c r="D1985">
        <f>[1]发票导入!D1985&amp;""</f>
      </c>
      <c r="O1985">
        <f>[1]发票导入!O1985&amp;""</f>
      </c>
      <c r="T1985">
        <f>[1]发票导入!T1985</f>
      </c>
      <c r="U1985">
        <f>[1]发票导入!U1985&amp;""</f>
      </c>
      <c r="V1985">
        <f>[1]发票导入!V1985&amp;""</f>
      </c>
      <c r="W1985">
        <f>[1]发票导入!W1985&amp;""</f>
      </c>
      <c r="Y1985">
        <f>[1]发票导入!Y1985&amp;""</f>
      </c>
      <c r="AA1985">
        <f>[1]发票导入!AA1985&amp;""</f>
      </c>
      <c r="AB1985">
        <f>[1]发票导入!AB1985</f>
        <v>0</v>
      </c>
      <c r="AC1985">
        <f>[1]发票导入!AC1985</f>
        <v>0</v>
      </c>
      <c r="AE1985" s="22">
        <f t="shared" si="0"/>
      </c>
      <c r="AI1985">
        <f>[1]发票导入!AI1985&amp;""</f>
      </c>
      <c r="AJ1985">
        <f>[1]发票导入!AJ1985&amp;""</f>
      </c>
      <c r="AK1985">
        <f>[1]发票导入!AK1985</f>
        <v>0</v>
      </c>
      <c r="AL1985">
        <f>[1]发票导入!AL1985</f>
        <v>0</v>
      </c>
      <c r="AM1985">
        <f>[1]发票导入!AM1985</f>
        <v>0</v>
      </c>
      <c r="AN1985" s="22">
        <f t="shared" si="1"/>
        <v>0</v>
      </c>
      <c r="AO1985" s="22">
        <f t="shared" si="2"/>
        <v>0</v>
      </c>
    </row>
    <row r="1986">
      <c r="C1986">
        <f>[1]发票导入!C1986&amp;""</f>
      </c>
      <c r="D1986">
        <f>[1]发票导入!D1986&amp;""</f>
      </c>
      <c r="O1986">
        <f>[1]发票导入!O1986&amp;""</f>
      </c>
      <c r="T1986">
        <f>[1]发票导入!T1986</f>
      </c>
      <c r="U1986">
        <f>[1]发票导入!U1986&amp;""</f>
      </c>
      <c r="V1986">
        <f>[1]发票导入!V1986&amp;""</f>
      </c>
      <c r="W1986">
        <f>[1]发票导入!W1986&amp;""</f>
      </c>
      <c r="Y1986">
        <f>[1]发票导入!Y1986&amp;""</f>
      </c>
      <c r="AA1986">
        <f>[1]发票导入!AA1986&amp;""</f>
      </c>
      <c r="AB1986">
        <f>[1]发票导入!AB1986</f>
        <v>0</v>
      </c>
      <c r="AC1986">
        <f>[1]发票导入!AC1986</f>
        <v>0</v>
      </c>
      <c r="AE1986" s="22">
        <f t="shared" si="0"/>
      </c>
      <c r="AI1986">
        <f>[1]发票导入!AI1986&amp;""</f>
      </c>
      <c r="AJ1986">
        <f>[1]发票导入!AJ1986&amp;""</f>
      </c>
      <c r="AK1986">
        <f>[1]发票导入!AK1986</f>
        <v>0</v>
      </c>
      <c r="AL1986">
        <f>[1]发票导入!AL1986</f>
        <v>0</v>
      </c>
      <c r="AM1986">
        <f>[1]发票导入!AM1986</f>
        <v>0</v>
      </c>
      <c r="AN1986" s="22">
        <f t="shared" si="1"/>
        <v>0</v>
      </c>
      <c r="AO1986" s="22">
        <f t="shared" si="2"/>
        <v>0</v>
      </c>
    </row>
    <row r="1987">
      <c r="C1987">
        <f>[1]发票导入!C1987&amp;""</f>
      </c>
      <c r="D1987">
        <f>[1]发票导入!D1987&amp;""</f>
      </c>
      <c r="O1987">
        <f>[1]发票导入!O1987&amp;""</f>
      </c>
      <c r="T1987">
        <f>[1]发票导入!T1987</f>
      </c>
      <c r="U1987">
        <f>[1]发票导入!U1987&amp;""</f>
      </c>
      <c r="V1987">
        <f>[1]发票导入!V1987&amp;""</f>
      </c>
      <c r="W1987">
        <f>[1]发票导入!W1987&amp;""</f>
      </c>
      <c r="Y1987">
        <f>[1]发票导入!Y1987&amp;""</f>
      </c>
      <c r="AA1987">
        <f>[1]发票导入!AA1987&amp;""</f>
      </c>
      <c r="AB1987">
        <f>[1]发票导入!AB1987</f>
        <v>0</v>
      </c>
      <c r="AC1987">
        <f>[1]发票导入!AC1987</f>
        <v>0</v>
      </c>
      <c r="AE1987" s="22">
        <f t="shared" si="0"/>
      </c>
      <c r="AI1987">
        <f>[1]发票导入!AI1987&amp;""</f>
      </c>
      <c r="AJ1987">
        <f>[1]发票导入!AJ1987&amp;""</f>
      </c>
      <c r="AK1987">
        <f>[1]发票导入!AK1987</f>
        <v>0</v>
      </c>
      <c r="AL1987">
        <f>[1]发票导入!AL1987</f>
        <v>0</v>
      </c>
      <c r="AM1987">
        <f>[1]发票导入!AM1987</f>
        <v>0</v>
      </c>
      <c r="AN1987" s="22">
        <f t="shared" si="1"/>
        <v>0</v>
      </c>
      <c r="AO1987" s="22">
        <f t="shared" si="2"/>
        <v>0</v>
      </c>
    </row>
    <row r="1988">
      <c r="C1988">
        <f>[1]发票导入!C1988&amp;""</f>
      </c>
      <c r="D1988">
        <f>[1]发票导入!D1988&amp;""</f>
      </c>
      <c r="O1988">
        <f>[1]发票导入!O1988&amp;""</f>
      </c>
      <c r="T1988">
        <f>[1]发票导入!T1988</f>
      </c>
      <c r="U1988">
        <f>[1]发票导入!U1988&amp;""</f>
      </c>
      <c r="V1988">
        <f>[1]发票导入!V1988&amp;""</f>
      </c>
      <c r="W1988">
        <f>[1]发票导入!W1988&amp;""</f>
      </c>
      <c r="Y1988">
        <f>[1]发票导入!Y1988&amp;""</f>
      </c>
      <c r="AA1988">
        <f>[1]发票导入!AA1988&amp;""</f>
      </c>
      <c r="AB1988">
        <f>[1]发票导入!AB1988</f>
        <v>0</v>
      </c>
      <c r="AC1988">
        <f>[1]发票导入!AC1988</f>
        <v>0</v>
      </c>
      <c r="AE1988" s="22">
        <f t="shared" si="0"/>
      </c>
      <c r="AI1988">
        <f>[1]发票导入!AI1988&amp;""</f>
      </c>
      <c r="AJ1988">
        <f>[1]发票导入!AJ1988&amp;""</f>
      </c>
      <c r="AK1988">
        <f>[1]发票导入!AK1988</f>
        <v>0</v>
      </c>
      <c r="AL1988">
        <f>[1]发票导入!AL1988</f>
        <v>0</v>
      </c>
      <c r="AM1988">
        <f>[1]发票导入!AM1988</f>
        <v>0</v>
      </c>
      <c r="AN1988" s="22">
        <f t="shared" si="1"/>
        <v>0</v>
      </c>
      <c r="AO1988" s="22">
        <f t="shared" si="2"/>
        <v>0</v>
      </c>
    </row>
    <row r="1989">
      <c r="C1989">
        <f>[1]发票导入!C1989&amp;""</f>
      </c>
      <c r="D1989">
        <f>[1]发票导入!D1989&amp;""</f>
      </c>
      <c r="O1989">
        <f>[1]发票导入!O1989&amp;""</f>
      </c>
      <c r="T1989">
        <f>[1]发票导入!T1989</f>
      </c>
      <c r="U1989">
        <f>[1]发票导入!U1989&amp;""</f>
      </c>
      <c r="V1989">
        <f>[1]发票导入!V1989&amp;""</f>
      </c>
      <c r="W1989">
        <f>[1]发票导入!W1989&amp;""</f>
      </c>
      <c r="Y1989">
        <f>[1]发票导入!Y1989&amp;""</f>
      </c>
      <c r="AA1989">
        <f>[1]发票导入!AA1989&amp;""</f>
      </c>
      <c r="AB1989">
        <f>[1]发票导入!AB1989</f>
        <v>0</v>
      </c>
      <c r="AC1989">
        <f>[1]发票导入!AC1989</f>
        <v>0</v>
      </c>
      <c r="AE1989" s="22">
        <f t="shared" si="0"/>
      </c>
      <c r="AI1989">
        <f>[1]发票导入!AI1989&amp;""</f>
      </c>
      <c r="AJ1989">
        <f>[1]发票导入!AJ1989&amp;""</f>
      </c>
      <c r="AK1989">
        <f>[1]发票导入!AK1989</f>
        <v>0</v>
      </c>
      <c r="AL1989">
        <f>[1]发票导入!AL1989</f>
        <v>0</v>
      </c>
      <c r="AM1989">
        <f>[1]发票导入!AM1989</f>
        <v>0</v>
      </c>
      <c r="AN1989" s="22">
        <f t="shared" si="1"/>
        <v>0</v>
      </c>
      <c r="AO1989" s="22">
        <f t="shared" si="2"/>
        <v>0</v>
      </c>
    </row>
    <row r="1990">
      <c r="C1990">
        <f>[1]发票导入!C1990&amp;""</f>
      </c>
      <c r="D1990">
        <f>[1]发票导入!D1990&amp;""</f>
      </c>
      <c r="O1990">
        <f>[1]发票导入!O1990&amp;""</f>
      </c>
      <c r="T1990">
        <f>[1]发票导入!T1990</f>
      </c>
      <c r="U1990">
        <f>[1]发票导入!U1990&amp;""</f>
      </c>
      <c r="V1990">
        <f>[1]发票导入!V1990&amp;""</f>
      </c>
      <c r="W1990">
        <f>[1]发票导入!W1990&amp;""</f>
      </c>
      <c r="Y1990">
        <f>[1]发票导入!Y1990&amp;""</f>
      </c>
      <c r="AA1990">
        <f>[1]发票导入!AA1990&amp;""</f>
      </c>
      <c r="AB1990">
        <f>[1]发票导入!AB1990</f>
        <v>0</v>
      </c>
      <c r="AC1990">
        <f>[1]发票导入!AC1990</f>
        <v>0</v>
      </c>
      <c r="AE1990" s="22">
        <f t="shared" si="0"/>
      </c>
      <c r="AI1990">
        <f>[1]发票导入!AI1990&amp;""</f>
      </c>
      <c r="AJ1990">
        <f>[1]发票导入!AJ1990&amp;""</f>
      </c>
      <c r="AK1990">
        <f>[1]发票导入!AK1990</f>
        <v>0</v>
      </c>
      <c r="AL1990">
        <f>[1]发票导入!AL1990</f>
        <v>0</v>
      </c>
      <c r="AM1990">
        <f>[1]发票导入!AM1990</f>
        <v>0</v>
      </c>
      <c r="AN1990" s="22">
        <f t="shared" si="1"/>
        <v>0</v>
      </c>
      <c r="AO1990" s="22">
        <f t="shared" si="2"/>
        <v>0</v>
      </c>
    </row>
    <row r="1991">
      <c r="C1991">
        <f>[1]发票导入!C1991&amp;""</f>
      </c>
      <c r="D1991">
        <f>[1]发票导入!D1991&amp;""</f>
      </c>
      <c r="O1991">
        <f>[1]发票导入!O1991&amp;""</f>
      </c>
      <c r="T1991">
        <f>[1]发票导入!T1991</f>
      </c>
      <c r="U1991">
        <f>[1]发票导入!U1991&amp;""</f>
      </c>
      <c r="V1991">
        <f>[1]发票导入!V1991&amp;""</f>
      </c>
      <c r="W1991">
        <f>[1]发票导入!W1991&amp;""</f>
      </c>
      <c r="Y1991">
        <f>[1]发票导入!Y1991&amp;""</f>
      </c>
      <c r="AA1991">
        <f>[1]发票导入!AA1991&amp;""</f>
      </c>
      <c r="AB1991">
        <f>[1]发票导入!AB1991</f>
        <v>0</v>
      </c>
      <c r="AC1991">
        <f>[1]发票导入!AC1991</f>
        <v>0</v>
      </c>
      <c r="AE1991" s="22">
        <f t="shared" si="0"/>
      </c>
      <c r="AI1991">
        <f>[1]发票导入!AI1991&amp;""</f>
      </c>
      <c r="AJ1991">
        <f>[1]发票导入!AJ1991&amp;""</f>
      </c>
      <c r="AK1991">
        <f>[1]发票导入!AK1991</f>
        <v>0</v>
      </c>
      <c r="AL1991">
        <f>[1]发票导入!AL1991</f>
        <v>0</v>
      </c>
      <c r="AM1991">
        <f>[1]发票导入!AM1991</f>
        <v>0</v>
      </c>
      <c r="AN1991" s="22">
        <f t="shared" si="1"/>
        <v>0</v>
      </c>
      <c r="AO1991" s="22">
        <f t="shared" si="2"/>
        <v>0</v>
      </c>
    </row>
    <row r="1992">
      <c r="C1992">
        <f>[1]发票导入!C1992&amp;""</f>
      </c>
      <c r="D1992">
        <f>[1]发票导入!D1992&amp;""</f>
      </c>
      <c r="O1992">
        <f>[1]发票导入!O1992&amp;""</f>
      </c>
      <c r="T1992">
        <f>[1]发票导入!T1992</f>
      </c>
      <c r="U1992">
        <f>[1]发票导入!U1992&amp;""</f>
      </c>
      <c r="V1992">
        <f>[1]发票导入!V1992&amp;""</f>
      </c>
      <c r="W1992">
        <f>[1]发票导入!W1992&amp;""</f>
      </c>
      <c r="Y1992">
        <f>[1]发票导入!Y1992&amp;""</f>
      </c>
      <c r="AA1992">
        <f>[1]发票导入!AA1992&amp;""</f>
      </c>
      <c r="AB1992">
        <f>[1]发票导入!AB1992</f>
        <v>0</v>
      </c>
      <c r="AC1992">
        <f>[1]发票导入!AC1992</f>
        <v>0</v>
      </c>
      <c r="AE1992" s="22">
        <f t="shared" si="0"/>
      </c>
      <c r="AI1992">
        <f>[1]发票导入!AI1992&amp;""</f>
      </c>
      <c r="AJ1992">
        <f>[1]发票导入!AJ1992&amp;""</f>
      </c>
      <c r="AK1992">
        <f>[1]发票导入!AK1992</f>
        <v>0</v>
      </c>
      <c r="AL1992">
        <f>[1]发票导入!AL1992</f>
        <v>0</v>
      </c>
      <c r="AM1992">
        <f>[1]发票导入!AM1992</f>
        <v>0</v>
      </c>
      <c r="AN1992" s="22">
        <f t="shared" si="1"/>
        <v>0</v>
      </c>
      <c r="AO1992" s="22">
        <f t="shared" si="2"/>
        <v>0</v>
      </c>
    </row>
    <row r="1993">
      <c r="C1993">
        <f>[1]发票导入!C1993&amp;""</f>
      </c>
      <c r="D1993">
        <f>[1]发票导入!D1993&amp;""</f>
      </c>
      <c r="O1993">
        <f>[1]发票导入!O1993&amp;""</f>
      </c>
      <c r="T1993">
        <f>[1]发票导入!T1993</f>
      </c>
      <c r="U1993">
        <f>[1]发票导入!U1993&amp;""</f>
      </c>
      <c r="V1993">
        <f>[1]发票导入!V1993&amp;""</f>
      </c>
      <c r="W1993">
        <f>[1]发票导入!W1993&amp;""</f>
      </c>
      <c r="Y1993">
        <f>[1]发票导入!Y1993&amp;""</f>
      </c>
      <c r="AA1993">
        <f>[1]发票导入!AA1993&amp;""</f>
      </c>
      <c r="AB1993">
        <f>[1]发票导入!AB1993</f>
        <v>0</v>
      </c>
      <c r="AC1993">
        <f>[1]发票导入!AC1993</f>
        <v>0</v>
      </c>
      <c r="AE1993" s="22">
        <f t="shared" si="0"/>
      </c>
      <c r="AI1993">
        <f>[1]发票导入!AI1993&amp;""</f>
      </c>
      <c r="AJ1993">
        <f>[1]发票导入!AJ1993&amp;""</f>
      </c>
      <c r="AK1993">
        <f>[1]发票导入!AK1993</f>
        <v>0</v>
      </c>
      <c r="AL1993">
        <f>[1]发票导入!AL1993</f>
        <v>0</v>
      </c>
      <c r="AM1993">
        <f>[1]发票导入!AM1993</f>
        <v>0</v>
      </c>
      <c r="AN1993" s="22">
        <f t="shared" si="1"/>
        <v>0</v>
      </c>
      <c r="AO1993" s="22">
        <f t="shared" si="2"/>
        <v>0</v>
      </c>
    </row>
    <row r="1994">
      <c r="C1994">
        <f>[1]发票导入!C1994&amp;""</f>
      </c>
      <c r="D1994">
        <f>[1]发票导入!D1994&amp;""</f>
      </c>
      <c r="O1994">
        <f>[1]发票导入!O1994&amp;""</f>
      </c>
      <c r="T1994">
        <f>[1]发票导入!T1994</f>
      </c>
      <c r="U1994">
        <f>[1]发票导入!U1994&amp;""</f>
      </c>
      <c r="V1994">
        <f>[1]发票导入!V1994&amp;""</f>
      </c>
      <c r="W1994">
        <f>[1]发票导入!W1994&amp;""</f>
      </c>
      <c r="Y1994">
        <f>[1]发票导入!Y1994&amp;""</f>
      </c>
      <c r="AA1994">
        <f>[1]发票导入!AA1994&amp;""</f>
      </c>
      <c r="AB1994">
        <f>[1]发票导入!AB1994</f>
        <v>0</v>
      </c>
      <c r="AC1994">
        <f>[1]发票导入!AC1994</f>
        <v>0</v>
      </c>
      <c r="AE1994" s="22">
        <f t="shared" si="0"/>
      </c>
      <c r="AI1994">
        <f>[1]发票导入!AI1994&amp;""</f>
      </c>
      <c r="AJ1994">
        <f>[1]发票导入!AJ1994&amp;""</f>
      </c>
      <c r="AK1994">
        <f>[1]发票导入!AK1994</f>
        <v>0</v>
      </c>
      <c r="AL1994">
        <f>[1]发票导入!AL1994</f>
        <v>0</v>
      </c>
      <c r="AM1994">
        <f>[1]发票导入!AM1994</f>
        <v>0</v>
      </c>
      <c r="AN1994" s="22">
        <f t="shared" si="1"/>
        <v>0</v>
      </c>
      <c r="AO1994" s="22">
        <f t="shared" si="2"/>
        <v>0</v>
      </c>
    </row>
    <row r="1995">
      <c r="C1995">
        <f>[1]发票导入!C1995&amp;""</f>
      </c>
      <c r="D1995">
        <f>[1]发票导入!D1995&amp;""</f>
      </c>
      <c r="O1995">
        <f>[1]发票导入!O1995&amp;""</f>
      </c>
      <c r="T1995">
        <f>[1]发票导入!T1995</f>
      </c>
      <c r="U1995">
        <f>[1]发票导入!U1995&amp;""</f>
      </c>
      <c r="V1995">
        <f>[1]发票导入!V1995&amp;""</f>
      </c>
      <c r="W1995">
        <f>[1]发票导入!W1995&amp;""</f>
      </c>
      <c r="Y1995">
        <f>[1]发票导入!Y1995&amp;""</f>
      </c>
      <c r="AA1995">
        <f>[1]发票导入!AA1995&amp;""</f>
      </c>
      <c r="AB1995">
        <f>[1]发票导入!AB1995</f>
        <v>0</v>
      </c>
      <c r="AC1995">
        <f>[1]发票导入!AC1995</f>
        <v>0</v>
      </c>
      <c r="AE1995" s="22">
        <f t="shared" si="0"/>
      </c>
      <c r="AI1995">
        <f>[1]发票导入!AI1995&amp;""</f>
      </c>
      <c r="AJ1995">
        <f>[1]发票导入!AJ1995&amp;""</f>
      </c>
      <c r="AK1995">
        <f>[1]发票导入!AK1995</f>
        <v>0</v>
      </c>
      <c r="AL1995">
        <f>[1]发票导入!AL1995</f>
        <v>0</v>
      </c>
      <c r="AM1995">
        <f>[1]发票导入!AM1995</f>
        <v>0</v>
      </c>
      <c r="AN1995" s="22">
        <f t="shared" si="1"/>
        <v>0</v>
      </c>
      <c r="AO1995" s="22">
        <f t="shared" si="2"/>
        <v>0</v>
      </c>
    </row>
    <row r="1996">
      <c r="C1996">
        <f>[1]发票导入!C1996&amp;""</f>
      </c>
      <c r="D1996">
        <f>[1]发票导入!D1996&amp;""</f>
      </c>
      <c r="O1996">
        <f>[1]发票导入!O1996&amp;""</f>
      </c>
      <c r="T1996">
        <f>[1]发票导入!T1996</f>
      </c>
      <c r="U1996">
        <f>[1]发票导入!U1996&amp;""</f>
      </c>
      <c r="V1996">
        <f>[1]发票导入!V1996&amp;""</f>
      </c>
      <c r="W1996">
        <f>[1]发票导入!W1996&amp;""</f>
      </c>
      <c r="Y1996">
        <f>[1]发票导入!Y1996&amp;""</f>
      </c>
      <c r="AA1996">
        <f>[1]发票导入!AA1996&amp;""</f>
      </c>
      <c r="AB1996">
        <f>[1]发票导入!AB1996</f>
        <v>0</v>
      </c>
      <c r="AC1996">
        <f>[1]发票导入!AC1996</f>
        <v>0</v>
      </c>
      <c r="AE1996" s="22">
        <f t="shared" si="0"/>
      </c>
      <c r="AI1996">
        <f>[1]发票导入!AI1996&amp;""</f>
      </c>
      <c r="AJ1996">
        <f>[1]发票导入!AJ1996&amp;""</f>
      </c>
      <c r="AK1996">
        <f>[1]发票导入!AK1996</f>
        <v>0</v>
      </c>
      <c r="AL1996">
        <f>[1]发票导入!AL1996</f>
        <v>0</v>
      </c>
      <c r="AM1996">
        <f>[1]发票导入!AM1996</f>
        <v>0</v>
      </c>
      <c r="AN1996" s="22">
        <f t="shared" si="1"/>
        <v>0</v>
      </c>
      <c r="AO1996" s="22">
        <f t="shared" si="2"/>
        <v>0</v>
      </c>
    </row>
    <row r="1997">
      <c r="C1997">
        <f>[1]发票导入!C1997&amp;""</f>
      </c>
      <c r="D1997">
        <f>[1]发票导入!D1997&amp;""</f>
      </c>
      <c r="O1997">
        <f>[1]发票导入!O1997&amp;""</f>
      </c>
      <c r="T1997">
        <f>[1]发票导入!T1997</f>
      </c>
      <c r="U1997">
        <f>[1]发票导入!U1997&amp;""</f>
      </c>
      <c r="V1997">
        <f>[1]发票导入!V1997&amp;""</f>
      </c>
      <c r="W1997">
        <f>[1]发票导入!W1997&amp;""</f>
      </c>
      <c r="Y1997">
        <f>[1]发票导入!Y1997&amp;""</f>
      </c>
      <c r="AA1997">
        <f>[1]发票导入!AA1997&amp;""</f>
      </c>
      <c r="AB1997">
        <f>[1]发票导入!AB1997</f>
        <v>0</v>
      </c>
      <c r="AC1997">
        <f>[1]发票导入!AC1997</f>
        <v>0</v>
      </c>
      <c r="AE1997" s="22">
        <f t="shared" si="0"/>
      </c>
      <c r="AI1997">
        <f>[1]发票导入!AI1997&amp;""</f>
      </c>
      <c r="AJ1997">
        <f>[1]发票导入!AJ1997&amp;""</f>
      </c>
      <c r="AK1997">
        <f>[1]发票导入!AK1997</f>
        <v>0</v>
      </c>
      <c r="AL1997">
        <f>[1]发票导入!AL1997</f>
        <v>0</v>
      </c>
      <c r="AM1997">
        <f>[1]发票导入!AM1997</f>
        <v>0</v>
      </c>
      <c r="AN1997" s="22">
        <f t="shared" si="1"/>
        <v>0</v>
      </c>
      <c r="AO1997" s="22">
        <f t="shared" si="2"/>
        <v>0</v>
      </c>
    </row>
    <row r="1998">
      <c r="C1998">
        <f>[1]发票导入!C1998&amp;""</f>
      </c>
      <c r="D1998">
        <f>[1]发票导入!D1998&amp;""</f>
      </c>
      <c r="O1998">
        <f>[1]发票导入!O1998&amp;""</f>
      </c>
      <c r="T1998">
        <f>[1]发票导入!T1998</f>
      </c>
      <c r="U1998">
        <f>[1]发票导入!U1998&amp;""</f>
      </c>
      <c r="V1998">
        <f>[1]发票导入!V1998&amp;""</f>
      </c>
      <c r="W1998">
        <f>[1]发票导入!W1998&amp;""</f>
      </c>
      <c r="Y1998">
        <f>[1]发票导入!Y1998&amp;""</f>
      </c>
      <c r="AA1998">
        <f>[1]发票导入!AA1998&amp;""</f>
      </c>
      <c r="AB1998">
        <f>[1]发票导入!AB1998</f>
        <v>0</v>
      </c>
      <c r="AC1998">
        <f>[1]发票导入!AC1998</f>
        <v>0</v>
      </c>
      <c r="AE1998" s="22">
        <f t="shared" si="0"/>
      </c>
      <c r="AI1998">
        <f>[1]发票导入!AI1998&amp;""</f>
      </c>
      <c r="AJ1998">
        <f>[1]发票导入!AJ1998&amp;""</f>
      </c>
      <c r="AK1998">
        <f>[1]发票导入!AK1998</f>
        <v>0</v>
      </c>
      <c r="AL1998">
        <f>[1]发票导入!AL1998</f>
        <v>0</v>
      </c>
      <c r="AM1998">
        <f>[1]发票导入!AM1998</f>
        <v>0</v>
      </c>
      <c r="AN1998" s="22">
        <f t="shared" si="1"/>
        <v>0</v>
      </c>
      <c r="AO1998" s="22">
        <f t="shared" si="2"/>
        <v>0</v>
      </c>
    </row>
    <row r="1999">
      <c r="C1999">
        <f>[1]发票导入!C1999&amp;""</f>
      </c>
      <c r="D1999">
        <f>[1]发票导入!D1999&amp;""</f>
      </c>
      <c r="O1999">
        <f>[1]发票导入!O1999&amp;""</f>
      </c>
      <c r="T1999">
        <f>[1]发票导入!T1999</f>
      </c>
      <c r="U1999">
        <f>[1]发票导入!U1999&amp;""</f>
      </c>
      <c r="V1999">
        <f>[1]发票导入!V1999&amp;""</f>
      </c>
      <c r="W1999">
        <f>[1]发票导入!W1999&amp;""</f>
      </c>
      <c r="Y1999">
        <f>[1]发票导入!Y1999&amp;""</f>
      </c>
      <c r="AA1999">
        <f>[1]发票导入!AA1999&amp;""</f>
      </c>
      <c r="AB1999">
        <f>[1]发票导入!AB1999</f>
        <v>0</v>
      </c>
      <c r="AC1999">
        <f>[1]发票导入!AC1999</f>
        <v>0</v>
      </c>
      <c r="AE1999" s="22">
        <f t="shared" si="0"/>
      </c>
      <c r="AI1999">
        <f>[1]发票导入!AI1999&amp;""</f>
      </c>
      <c r="AJ1999">
        <f>[1]发票导入!AJ1999&amp;""</f>
      </c>
      <c r="AK1999">
        <f>[1]发票导入!AK1999</f>
        <v>0</v>
      </c>
      <c r="AL1999">
        <f>[1]发票导入!AL1999</f>
        <v>0</v>
      </c>
      <c r="AM1999">
        <f>[1]发票导入!AM1999</f>
        <v>0</v>
      </c>
      <c r="AN1999" s="22">
        <f t="shared" si="1"/>
        <v>0</v>
      </c>
      <c r="AO1999" s="22">
        <f t="shared" si="2"/>
        <v>0</v>
      </c>
    </row>
    <row r="2000">
      <c r="C2000">
        <f>[1]发票导入!C2000&amp;""</f>
      </c>
      <c r="D2000">
        <f>[1]发票导入!D2000&amp;""</f>
      </c>
      <c r="O2000">
        <f>[1]发票导入!O2000&amp;""</f>
      </c>
      <c r="T2000">
        <f>[1]发票导入!T2000</f>
      </c>
      <c r="U2000">
        <f>[1]发票导入!U2000&amp;""</f>
      </c>
      <c r="V2000">
        <f>[1]发票导入!V2000&amp;""</f>
      </c>
      <c r="W2000">
        <f>[1]发票导入!W2000&amp;""</f>
      </c>
      <c r="Y2000">
        <f>[1]发票导入!Y2000&amp;""</f>
      </c>
      <c r="AA2000">
        <f>[1]发票导入!AA2000&amp;""</f>
      </c>
      <c r="AB2000">
        <f>[1]发票导入!AB2000</f>
        <v>0</v>
      </c>
      <c r="AC2000">
        <f>[1]发票导入!AC2000</f>
        <v>0</v>
      </c>
      <c r="AE2000" s="22">
        <f t="shared" si="0"/>
      </c>
      <c r="AI2000">
        <f>[1]发票导入!AI2000&amp;""</f>
      </c>
      <c r="AJ2000">
        <f>[1]发票导入!AJ2000&amp;""</f>
      </c>
      <c r="AK2000">
        <f>[1]发票导入!AK2000</f>
        <v>0</v>
      </c>
      <c r="AL2000">
        <f>[1]发票导入!AL2000</f>
        <v>0</v>
      </c>
      <c r="AM2000">
        <f>[1]发票导入!AM2000</f>
        <v>0</v>
      </c>
      <c r="AN2000" s="22">
        <f t="shared" si="1"/>
        <v>0</v>
      </c>
      <c r="AO2000" s="22">
        <f t="shared" si="2"/>
        <v>0</v>
      </c>
    </row>
    <row r="2001">
      <c r="C2001">
        <f>[1]发票导入!C2001&amp;""</f>
      </c>
      <c r="D2001">
        <f>[1]发票导入!D2001&amp;""</f>
      </c>
      <c r="O2001">
        <f>[1]发票导入!O2001&amp;""</f>
      </c>
      <c r="T2001">
        <f>[1]发票导入!T2001</f>
      </c>
      <c r="U2001">
        <f>[1]发票导入!U2001&amp;""</f>
      </c>
      <c r="V2001">
        <f>[1]发票导入!V2001&amp;""</f>
      </c>
      <c r="W2001">
        <f>[1]发票导入!W2001&amp;""</f>
      </c>
      <c r="Y2001">
        <f>[1]发票导入!Y2001&amp;""</f>
      </c>
      <c r="AA2001">
        <f>[1]发票导入!AA2001&amp;""</f>
      </c>
      <c r="AB2001">
        <f>[1]发票导入!AB2001</f>
        <v>0</v>
      </c>
      <c r="AC2001">
        <f>[1]发票导入!AC2001</f>
        <v>0</v>
      </c>
      <c r="AE2001" s="22">
        <f t="shared" si="0"/>
      </c>
      <c r="AI2001">
        <f>[1]发票导入!AI2001&amp;""</f>
      </c>
      <c r="AJ2001">
        <f>[1]发票导入!AJ2001&amp;""</f>
      </c>
      <c r="AK2001">
        <f>[1]发票导入!AK2001</f>
        <v>0</v>
      </c>
      <c r="AL2001">
        <f>[1]发票导入!AL2001</f>
        <v>0</v>
      </c>
      <c r="AM2001">
        <f>[1]发票导入!AM2001</f>
        <v>0</v>
      </c>
      <c r="AN2001" s="22">
        <f t="shared" si="1"/>
        <v>0</v>
      </c>
      <c r="AO2001" s="22">
        <f t="shared" si="2"/>
        <v>0</v>
      </c>
    </row>
    <row r="2002">
      <c r="C2002">
        <f>[1]发票导入!C2002&amp;""</f>
      </c>
      <c r="D2002">
        <f>[1]发票导入!D2002&amp;""</f>
      </c>
      <c r="O2002">
        <f>[1]发票导入!O2002&amp;""</f>
      </c>
      <c r="T2002">
        <f>[1]发票导入!T2002</f>
      </c>
      <c r="U2002">
        <f>[1]发票导入!U2002&amp;""</f>
      </c>
      <c r="V2002">
        <f>[1]发票导入!V2002&amp;""</f>
      </c>
      <c r="W2002">
        <f>[1]发票导入!W2002&amp;""</f>
      </c>
      <c r="Y2002">
        <f>[1]发票导入!Y2002&amp;""</f>
      </c>
      <c r="AA2002">
        <f>[1]发票导入!AA2002&amp;""</f>
      </c>
      <c r="AB2002">
        <f>[1]发票导入!AB2002</f>
        <v>0</v>
      </c>
      <c r="AC2002">
        <f>[1]发票导入!AC2002</f>
        <v>0</v>
      </c>
      <c r="AE2002" s="22">
        <f t="shared" si="0"/>
      </c>
      <c r="AI2002">
        <f>[1]发票导入!AI2002&amp;""</f>
      </c>
      <c r="AJ2002">
        <f>[1]发票导入!AJ2002&amp;""</f>
      </c>
      <c r="AK2002">
        <f>[1]发票导入!AK2002</f>
        <v>0</v>
      </c>
      <c r="AL2002">
        <f>[1]发票导入!AL2002</f>
        <v>0</v>
      </c>
      <c r="AM2002">
        <f>[1]发票导入!AM2002</f>
        <v>0</v>
      </c>
      <c r="AN2002" s="22">
        <f t="shared" si="1"/>
        <v>0</v>
      </c>
      <c r="AO2002" s="22">
        <f t="shared" si="2"/>
        <v>0</v>
      </c>
    </row>
    <row r="2003">
      <c r="C2003">
        <f>[1]发票导入!C2003&amp;""</f>
      </c>
      <c r="D2003">
        <f>[1]发票导入!D2003&amp;""</f>
      </c>
      <c r="O2003">
        <f>[1]发票导入!O2003&amp;""</f>
      </c>
      <c r="T2003">
        <f>[1]发票导入!T2003</f>
      </c>
      <c r="U2003">
        <f>[1]发票导入!U2003&amp;""</f>
      </c>
      <c r="V2003">
        <f>[1]发票导入!V2003&amp;""</f>
      </c>
      <c r="W2003">
        <f>[1]发票导入!W2003&amp;""</f>
      </c>
      <c r="Y2003">
        <f>[1]发票导入!Y2003&amp;""</f>
      </c>
      <c r="AA2003">
        <f>[1]发票导入!AA2003&amp;""</f>
      </c>
      <c r="AB2003">
        <f>[1]发票导入!AB2003</f>
        <v>0</v>
      </c>
      <c r="AC2003">
        <f>[1]发票导入!AC2003</f>
        <v>0</v>
      </c>
      <c r="AE2003" s="22">
        <f t="shared" si="0"/>
      </c>
      <c r="AI2003">
        <f>[1]发票导入!AI2003&amp;""</f>
      </c>
      <c r="AJ2003">
        <f>[1]发票导入!AJ2003&amp;""</f>
      </c>
      <c r="AK2003">
        <f>[1]发票导入!AK2003</f>
        <v>0</v>
      </c>
      <c r="AL2003">
        <f>[1]发票导入!AL2003</f>
        <v>0</v>
      </c>
      <c r="AM2003">
        <f>[1]发票导入!AM2003</f>
        <v>0</v>
      </c>
      <c r="AN2003" s="22">
        <f t="shared" si="1"/>
        <v>0</v>
      </c>
      <c r="AO2003" s="22">
        <f t="shared" si="2"/>
        <v>0</v>
      </c>
    </row>
    <row r="2004">
      <c r="C2004">
        <f>[1]发票导入!C2004&amp;""</f>
      </c>
      <c r="D2004">
        <f>[1]发票导入!D2004&amp;""</f>
      </c>
      <c r="O2004">
        <f>[1]发票导入!O2004&amp;""</f>
      </c>
      <c r="T2004">
        <f>[1]发票导入!T2004</f>
      </c>
      <c r="U2004">
        <f>[1]发票导入!U2004&amp;""</f>
      </c>
      <c r="V2004">
        <f>[1]发票导入!V2004&amp;""</f>
      </c>
      <c r="W2004">
        <f>[1]发票导入!W2004&amp;""</f>
      </c>
      <c r="Y2004">
        <f>[1]发票导入!Y2004&amp;""</f>
      </c>
      <c r="AA2004">
        <f>[1]发票导入!AA2004&amp;""</f>
      </c>
      <c r="AB2004">
        <f>[1]发票导入!AB2004</f>
        <v>0</v>
      </c>
      <c r="AC2004">
        <f>[1]发票导入!AC2004</f>
        <v>0</v>
      </c>
      <c r="AE2004" s="22">
        <f t="shared" si="0"/>
      </c>
      <c r="AI2004">
        <f>[1]发票导入!AI2004&amp;""</f>
      </c>
      <c r="AJ2004">
        <f>[1]发票导入!AJ2004&amp;""</f>
      </c>
      <c r="AK2004">
        <f>[1]发票导入!AK2004</f>
        <v>0</v>
      </c>
      <c r="AL2004">
        <f>[1]发票导入!AL2004</f>
        <v>0</v>
      </c>
      <c r="AM2004">
        <f>[1]发票导入!AM2004</f>
        <v>0</v>
      </c>
      <c r="AN2004" s="22">
        <f t="shared" si="1"/>
        <v>0</v>
      </c>
      <c r="AO2004" s="22">
        <f t="shared" si="2"/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204"/>
  <sheetViews>
    <sheetView tabSelected="0" workbookViewId="0">
      <selection activeCell="A1" sqref="A1"/>
    </sheetView>
  </sheetViews>
  <sheetFormatPr baseColWidth="8" defaultRowHeight="15"/>
  <sheetData>
    <row r="1">
      <c r="A1" s="88" t="inlineStr">
        <is>
          <t>（取数用，别改：数据来自【A065-1_流水发票导入.xlsx】的【基础资料】）</t>
        </is>
      </c>
    </row>
    <row r="5">
      <c r="B5" t="str">
        <f>[1]基础资料!B5&amp;""</f>
        <v>中智优力</v>
      </c>
      <c r="I5" t="str">
        <f>[1]基础资料!I5&amp;""</f>
        <v>农行2896</v>
      </c>
      <c r="J5" t="str">
        <f>[1]基础资料!J5&amp;""</f>
        <v>中智优力</v>
      </c>
      <c r="K5" t="str">
        <f>[1]基础资料!K5&amp;""</f>
        <v>银行</v>
      </c>
      <c r="L5" t="str">
        <f>[1]基础资料!L5&amp;""</f>
        <v>39-408001040012896</v>
      </c>
      <c r="N5">
        <f>[1]基础资料!N5</f>
        <v>195212.65</v>
      </c>
      <c r="O5">
        <f>[1]基础资料!O5</f>
        <v>46266.0</v>
      </c>
      <c r="P5">
        <f>[1]基础资料!P5</f>
        <v>286034.11</v>
      </c>
      <c r="Q5">
        <f>[1]基础资料!Q5</f>
        <v>46279.0</v>
      </c>
      <c r="U5" t="str">
        <f>[1]基础资料!U5&amp;""</f>
        <v>项目</v>
      </c>
      <c r="V5" t="str">
        <f>[1]基础资料!V5&amp;""</f>
        <v>收入</v>
      </c>
      <c r="W5" t="str">
        <f>[1]基础资料!W5&amp;""</f>
        <v>项目</v>
      </c>
      <c r="AF5">
        <f>[1]基础资料!AF5&amp;""</f>
      </c>
      <c r="AG5">
        <f>[1]基础资料!AG5&amp;""</f>
      </c>
      <c r="AH5">
        <f>[1]基础资料!AH5</f>
      </c>
      <c r="AI5">
        <f>[1]基础资料!AI5</f>
      </c>
      <c r="AJ5">
        <f>[1]基础资料!AJ5</f>
      </c>
    </row>
    <row r="6">
      <c r="B6" t="str">
        <f>[1]基础资料!B6&amp;""</f>
        <v>中慧优力</v>
      </c>
      <c r="I6" t="str">
        <f>[1]基础资料!I6&amp;""</f>
        <v>工行（新开户）</v>
      </c>
      <c r="J6">
        <f>[1]基础资料!J6&amp;""</f>
      </c>
      <c r="K6" t="str">
        <f>[1]基础资料!K6&amp;""</f>
        <v>银行</v>
      </c>
      <c r="L6">
        <f>[1]基础资料!L6&amp;""</f>
      </c>
      <c r="N6">
        <f>[1]基础资料!N6</f>
        <v>0</v>
      </c>
      <c r="O6">
        <f>[1]基础资料!O6</f>
      </c>
      <c r="P6">
        <f>[1]基础资料!P6</f>
        <v>0</v>
      </c>
      <c r="Q6">
        <f>[1]基础资料!Q6</f>
      </c>
      <c r="U6" t="str">
        <f>[1]基础资料!U6&amp;""</f>
        <v>续费</v>
      </c>
      <c r="V6" t="str">
        <f>[1]基础资料!V6&amp;""</f>
        <v>收入</v>
      </c>
      <c r="W6" t="str">
        <f>[1]基础资料!W6&amp;""</f>
        <v>续费</v>
      </c>
      <c r="AF6">
        <f>[1]基础资料!AF6&amp;""</f>
      </c>
      <c r="AG6">
        <f>[1]基础资料!AG6&amp;""</f>
      </c>
      <c r="AH6">
        <f>[1]基础资料!AH6</f>
      </c>
      <c r="AI6">
        <f>[1]基础资料!AI6</f>
      </c>
      <c r="AJ6">
        <f>[1]基础资料!AJ6</f>
      </c>
    </row>
    <row r="7">
      <c r="B7" t="str">
        <f>[1]基础资料!B7&amp;""</f>
        <v>琴馨</v>
      </c>
      <c r="I7" t="str">
        <f>[1]基础资料!I7&amp;""</f>
        <v>鄞州农商9654</v>
      </c>
      <c r="J7" t="str">
        <f>[1]基础资料!J7&amp;""</f>
        <v>中慧优力</v>
      </c>
      <c r="K7" t="str">
        <f>[1]基础资料!K7&amp;""</f>
        <v>银行</v>
      </c>
      <c r="L7" t="str">
        <f>[1]基础资料!L7&amp;""</f>
        <v>81170101302269654</v>
      </c>
      <c r="N7">
        <f>[1]基础资料!N7</f>
        <v>43581.2</v>
      </c>
      <c r="O7">
        <f>[1]基础资料!O7</f>
        <v>46174.0</v>
      </c>
      <c r="P7">
        <f>[1]基础资料!P7</f>
        <v>71773.89</v>
      </c>
      <c r="Q7">
        <f>[1]基础资料!Q7</f>
        <v>46199.0</v>
      </c>
      <c r="U7" t="str">
        <f>[1]基础资料!U7&amp;""</f>
        <v>新增</v>
      </c>
      <c r="V7" t="str">
        <f>[1]基础资料!V7&amp;""</f>
        <v>收入</v>
      </c>
      <c r="W7" t="str">
        <f>[1]基础资料!W7&amp;""</f>
        <v>新增</v>
      </c>
      <c r="AF7">
        <f>[1]基础资料!AF7&amp;""</f>
      </c>
      <c r="AG7">
        <f>[1]基础资料!AG7&amp;""</f>
      </c>
      <c r="AH7">
        <f>[1]基础资料!AH7</f>
      </c>
      <c r="AI7">
        <f>[1]基础资料!AI7</f>
      </c>
      <c r="AJ7">
        <f>[1]基础资料!AJ7</f>
      </c>
    </row>
    <row r="8">
      <c r="B8" t="str">
        <f>[1]基础资料!B8&amp;""</f>
        <v>优茗</v>
      </c>
      <c r="I8" t="str">
        <f>[1]基础资料!I8&amp;""</f>
        <v>农行8240</v>
      </c>
      <c r="J8" t="str">
        <f>[1]基础资料!J8&amp;""</f>
        <v>优茗</v>
      </c>
      <c r="K8" t="str">
        <f>[1]基础资料!K8&amp;""</f>
        <v>银行</v>
      </c>
      <c r="L8" t="str">
        <f>[1]基础资料!L8&amp;""</f>
        <v>39408001040018240</v>
      </c>
      <c r="N8">
        <f>[1]基础资料!N8</f>
        <v>10746.61</v>
      </c>
      <c r="O8">
        <f>[1]基础资料!O8</f>
        <v>46204.0</v>
      </c>
      <c r="P8">
        <f>[1]基础资料!P8</f>
        <v>16375.7</v>
      </c>
      <c r="Q8">
        <f>[1]基础资料!Q8</f>
        <v>46279.0</v>
      </c>
      <c r="U8" t="str">
        <f>[1]基础资料!U8&amp;""</f>
        <v>代办</v>
      </c>
      <c r="V8" t="str">
        <f>[1]基础资料!V8&amp;""</f>
        <v>收入</v>
      </c>
      <c r="W8" t="str">
        <f>[1]基础资料!W8&amp;""</f>
        <v>代办</v>
      </c>
      <c r="AF8">
        <f>[1]基础资料!AF8&amp;""</f>
      </c>
      <c r="AG8">
        <f>[1]基础资料!AG8&amp;""</f>
      </c>
      <c r="AH8">
        <f>[1]基础资料!AH8</f>
      </c>
      <c r="AI8">
        <f>[1]基础资料!AI8</f>
      </c>
      <c r="AJ8">
        <f>[1]基础资料!AJ8</f>
      </c>
    </row>
    <row r="9">
      <c r="B9" t="str">
        <f>[1]基础资料!B9&amp;""</f>
        <v>飞鲸</v>
      </c>
      <c r="I9" t="str">
        <f>[1]基础资料!I9&amp;""</f>
        <v>农行7705</v>
      </c>
      <c r="J9" t="str">
        <f>[1]基础资料!J9&amp;""</f>
        <v>琴馨</v>
      </c>
      <c r="K9" t="str">
        <f>[1]基础资料!K9&amp;""</f>
        <v>银行</v>
      </c>
      <c r="L9" t="str">
        <f>[1]基础资料!L9&amp;""</f>
        <v>39408001040017705</v>
      </c>
      <c r="N9">
        <f>[1]基础资料!N9</f>
        <v>61371.12</v>
      </c>
      <c r="O9">
        <f>[1]基础资料!O9</f>
        <v>46174.0</v>
      </c>
      <c r="P9">
        <f>[1]基础资料!P9</f>
        <v>102534.85</v>
      </c>
      <c r="Q9">
        <f>[1]基础资料!Q9</f>
        <v>46203.0</v>
      </c>
      <c r="U9" t="str">
        <f>[1]基础资料!U9&amp;""</f>
        <v>刻章</v>
      </c>
      <c r="V9" t="str">
        <f>[1]基础资料!V9&amp;""</f>
        <v>收入</v>
      </c>
      <c r="W9" t="str">
        <f>[1]基础资料!W9&amp;""</f>
        <v>刻章</v>
      </c>
      <c r="AF9">
        <f>[1]基础资料!AF9&amp;""</f>
      </c>
      <c r="AG9">
        <f>[1]基础资料!AG9&amp;""</f>
      </c>
      <c r="AH9">
        <f>[1]基础资料!AH9</f>
      </c>
      <c r="AI9">
        <f>[1]基础资料!AI9</f>
      </c>
      <c r="AJ9">
        <f>[1]基础资料!AJ9</f>
      </c>
    </row>
    <row r="10">
      <c r="B10">
        <f>[1]基础资料!B10&amp;""</f>
      </c>
      <c r="I10" t="str">
        <f>[1]基础资料!I10&amp;""</f>
        <v>飞鲸对公户</v>
      </c>
      <c r="J10" t="str">
        <f>[1]基础资料!J10&amp;""</f>
        <v>飞鲸</v>
      </c>
      <c r="K10" t="str">
        <f>[1]基础资料!K10&amp;""</f>
        <v>银行</v>
      </c>
      <c r="L10">
        <f>[1]基础资料!L10&amp;""</f>
      </c>
      <c r="N10">
        <f>[1]基础资料!N10</f>
        <v>30058.07</v>
      </c>
      <c r="O10">
        <f>[1]基础资料!O10</f>
        <v>46143.0</v>
      </c>
      <c r="P10">
        <f>[1]基础资料!P10</f>
        <v>30039.32</v>
      </c>
      <c r="Q10">
        <f>[1]基础资料!Q10</f>
        <v>46149.0</v>
      </c>
      <c r="U10" t="str">
        <f>[1]基础资料!U10&amp;""</f>
        <v>场地</v>
      </c>
      <c r="V10" t="str">
        <f>[1]基础资料!V10&amp;""</f>
        <v>收入</v>
      </c>
      <c r="W10" t="str">
        <f>[1]基础资料!W10&amp;""</f>
        <v>场地</v>
      </c>
      <c r="AF10">
        <f>[1]基础资料!AF10&amp;""</f>
      </c>
      <c r="AG10">
        <f>[1]基础资料!AG10&amp;""</f>
      </c>
      <c r="AH10">
        <f>[1]基础资料!AH10</f>
      </c>
      <c r="AI10">
        <f>[1]基础资料!AI10</f>
      </c>
      <c r="AJ10">
        <f>[1]基础资料!AJ10</f>
      </c>
    </row>
    <row r="11">
      <c r="B11">
        <f>[1]基础资料!B11&amp;""</f>
      </c>
      <c r="I11" t="str">
        <f>[1]基础资料!I11&amp;""</f>
        <v>微信-汪优丽</v>
      </c>
      <c r="J11" t="str">
        <f>[1]基础资料!J11&amp;""</f>
        <v>中智优力</v>
      </c>
      <c r="K11" t="str">
        <f>[1]基础资料!K11&amp;""</f>
        <v>微信</v>
      </c>
      <c r="L11">
        <f>[1]基础资料!L11&amp;""</f>
      </c>
      <c r="N11">
        <f>[1]基础资料!N11</f>
        <v>0</v>
      </c>
      <c r="O11">
        <f>[1]基础资料!O11</f>
        <v>46204.0</v>
      </c>
      <c r="P11">
        <f>[1]基础资料!P11</f>
        <v>-18049.59</v>
      </c>
      <c r="Q11">
        <f>[1]基础资料!Q11</f>
        <v>46233.0</v>
      </c>
      <c r="U11" t="str">
        <f>[1]基础资料!U11&amp;""</f>
        <v>办证</v>
      </c>
      <c r="V11" t="str">
        <f>[1]基础资料!V11&amp;""</f>
        <v>收入</v>
      </c>
      <c r="W11" t="str">
        <f>[1]基础资料!W11&amp;""</f>
        <v>办证</v>
      </c>
      <c r="AF11">
        <f>[1]基础资料!AF11&amp;""</f>
      </c>
      <c r="AG11">
        <f>[1]基础资料!AG11&amp;""</f>
      </c>
      <c r="AH11">
        <f>[1]基础资料!AH11</f>
      </c>
      <c r="AI11">
        <f>[1]基础资料!AI11</f>
      </c>
      <c r="AJ11">
        <f>[1]基础资料!AJ11</f>
      </c>
    </row>
    <row r="12">
      <c r="B12">
        <f>[1]基础资料!B12&amp;""</f>
      </c>
      <c r="I12" t="str">
        <f>[1]基础资料!I12&amp;""</f>
        <v>微信商户0744</v>
      </c>
      <c r="J12" t="str">
        <f>[1]基础资料!J12&amp;""</f>
        <v>中智优力</v>
      </c>
      <c r="K12" t="str">
        <f>[1]基础资料!K12&amp;""</f>
        <v>微信</v>
      </c>
      <c r="L12" t="str">
        <f>[1]基础资料!L12&amp;""</f>
        <v>1707250744</v>
      </c>
      <c r="N12">
        <f>[1]基础资料!N12</f>
        <v>42501.4</v>
      </c>
      <c r="O12">
        <f>[1]基础资料!O12</f>
        <v>46266.0</v>
      </c>
      <c r="P12">
        <f>[1]基础资料!P12</f>
        <v>208.58</v>
      </c>
      <c r="Q12">
        <f>[1]基础资料!Q12</f>
        <v>46289.0</v>
      </c>
      <c r="U12" t="str">
        <f>[1]基础资料!U12&amp;""</f>
        <v>转介绍</v>
      </c>
      <c r="V12" t="str">
        <f>[1]基础资料!V12&amp;""</f>
        <v>收入</v>
      </c>
      <c r="W12" t="str">
        <f>[1]基础资料!W12&amp;""</f>
        <v>转介绍</v>
      </c>
      <c r="AF12">
        <f>[1]基础资料!AF12&amp;""</f>
      </c>
      <c r="AG12">
        <f>[1]基础资料!AG12&amp;""</f>
      </c>
      <c r="AH12">
        <f>[1]基础资料!AH12</f>
      </c>
      <c r="AI12">
        <f>[1]基础资料!AI12</f>
      </c>
      <c r="AJ12">
        <f>[1]基础资料!AJ12</f>
      </c>
    </row>
    <row r="13">
      <c r="I13">
        <f>[1]基础资料!I13&amp;""</f>
      </c>
      <c r="J13">
        <f>[1]基础资料!J13&amp;""</f>
      </c>
      <c r="K13">
        <f>[1]基础资料!K13&amp;""</f>
      </c>
      <c r="L13">
        <f>[1]基础资料!L13&amp;""</f>
      </c>
      <c r="N13">
        <f>[1]基础资料!N13</f>
      </c>
      <c r="O13">
        <f>[1]基础资料!O13</f>
      </c>
      <c r="P13">
        <f>[1]基础资料!P13</f>
      </c>
      <c r="Q13">
        <f>[1]基础资料!Q13</f>
      </c>
      <c r="U13" t="str">
        <f>[1]基础资料!U13&amp;""</f>
        <v>园区返税</v>
      </c>
      <c r="V13" t="str">
        <f>[1]基础资料!V13&amp;""</f>
        <v>收入</v>
      </c>
      <c r="W13" t="str">
        <f>[1]基础资料!W13&amp;""</f>
        <v>园区返税</v>
      </c>
      <c r="AF13">
        <f>[1]基础资料!AF13&amp;""</f>
      </c>
      <c r="AG13">
        <f>[1]基础资料!AG13&amp;""</f>
      </c>
      <c r="AH13">
        <f>[1]基础资料!AH13</f>
      </c>
      <c r="AI13">
        <f>[1]基础资料!AI13</f>
      </c>
      <c r="AJ13">
        <f>[1]基础资料!AJ13</f>
      </c>
    </row>
    <row r="14">
      <c r="I14">
        <f>[1]基础资料!I14&amp;""</f>
      </c>
      <c r="J14">
        <f>[1]基础资料!J14&amp;""</f>
      </c>
      <c r="K14">
        <f>[1]基础资料!K14&amp;""</f>
      </c>
      <c r="L14">
        <f>[1]基础资料!L14&amp;""</f>
      </c>
      <c r="N14">
        <f>[1]基础资料!N14</f>
      </c>
      <c r="O14">
        <f>[1]基础资料!O14</f>
      </c>
      <c r="P14">
        <f>[1]基础资料!P14</f>
      </c>
      <c r="Q14">
        <f>[1]基础资料!Q14</f>
      </c>
      <c r="U14" t="str">
        <f>[1]基础资料!U14&amp;""</f>
        <v>咨询服务</v>
      </c>
      <c r="V14" t="str">
        <f>[1]基础资料!V14&amp;""</f>
        <v>收入</v>
      </c>
      <c r="W14" t="str">
        <f>[1]基础资料!W14&amp;""</f>
        <v>咨询服务</v>
      </c>
      <c r="AF14">
        <f>[1]基础资料!AF14&amp;""</f>
      </c>
      <c r="AG14">
        <f>[1]基础资料!AG14&amp;""</f>
      </c>
      <c r="AH14">
        <f>[1]基础资料!AH14</f>
      </c>
      <c r="AI14">
        <f>[1]基础资料!AI14</f>
      </c>
      <c r="AJ14">
        <f>[1]基础资料!AJ14</f>
      </c>
    </row>
    <row r="15">
      <c r="I15">
        <f>[1]基础资料!I15&amp;""</f>
      </c>
      <c r="J15">
        <f>[1]基础资料!J15&amp;""</f>
      </c>
      <c r="K15">
        <f>[1]基础资料!K15&amp;""</f>
      </c>
      <c r="L15">
        <f>[1]基础资料!L15&amp;""</f>
      </c>
      <c r="N15">
        <f>[1]基础资料!N15</f>
      </c>
      <c r="O15">
        <f>[1]基础资料!O15</f>
      </c>
      <c r="P15">
        <f>[1]基础资料!P15</f>
      </c>
      <c r="Q15">
        <f>[1]基础资料!Q15</f>
      </c>
      <c r="U15" t="str">
        <f>[1]基础资料!U15&amp;""</f>
        <v>其他收入</v>
      </c>
      <c r="V15" t="str">
        <f>[1]基础资料!V15&amp;""</f>
        <v>收入</v>
      </c>
      <c r="W15" t="str">
        <f>[1]基础资料!W15&amp;""</f>
        <v>其他</v>
      </c>
      <c r="AF15">
        <f>[1]基础资料!AF15&amp;""</f>
      </c>
      <c r="AG15">
        <f>[1]基础资料!AG15&amp;""</f>
      </c>
      <c r="AH15">
        <f>[1]基础资料!AH15</f>
      </c>
      <c r="AI15">
        <f>[1]基础资料!AI15</f>
      </c>
      <c r="AJ15">
        <f>[1]基础资料!AJ15</f>
      </c>
    </row>
    <row r="16">
      <c r="I16">
        <f>[1]基础资料!I16&amp;""</f>
      </c>
      <c r="J16">
        <f>[1]基础资料!J16&amp;""</f>
      </c>
      <c r="K16">
        <f>[1]基础资料!K16&amp;""</f>
      </c>
      <c r="L16">
        <f>[1]基础资料!L16&amp;""</f>
      </c>
      <c r="N16">
        <f>[1]基础资料!N16</f>
      </c>
      <c r="O16">
        <f>[1]基础资料!O16</f>
      </c>
      <c r="P16">
        <f>[1]基础资料!P16</f>
      </c>
      <c r="Q16">
        <f>[1]基础资料!Q16</f>
      </c>
      <c r="U16" t="str">
        <f>[1]基础资料!U16&amp;""</f>
        <v>人工-工资</v>
      </c>
      <c r="V16" t="str">
        <f>[1]基础资料!V16&amp;""</f>
        <v>变动成本</v>
      </c>
      <c r="W16" t="str">
        <f>[1]基础资料!W16&amp;""</f>
        <v>人工-工资</v>
      </c>
      <c r="AF16">
        <f>[1]基础资料!AF16&amp;""</f>
      </c>
      <c r="AG16">
        <f>[1]基础资料!AG16&amp;""</f>
      </c>
      <c r="AH16">
        <f>[1]基础资料!AH16</f>
      </c>
      <c r="AI16">
        <f>[1]基础资料!AI16</f>
      </c>
      <c r="AJ16">
        <f>[1]基础资料!AJ16</f>
      </c>
    </row>
    <row r="17">
      <c r="I17">
        <f>[1]基础资料!I17&amp;""</f>
      </c>
      <c r="J17">
        <f>[1]基础资料!J17&amp;""</f>
      </c>
      <c r="K17">
        <f>[1]基础资料!K17&amp;""</f>
      </c>
      <c r="L17">
        <f>[1]基础资料!L17&amp;""</f>
      </c>
      <c r="N17">
        <f>[1]基础资料!N17</f>
      </c>
      <c r="O17">
        <f>[1]基础资料!O17</f>
      </c>
      <c r="P17">
        <f>[1]基础资料!P17</f>
      </c>
      <c r="Q17">
        <f>[1]基础资料!Q17</f>
      </c>
      <c r="U17" t="str">
        <f>[1]基础资料!U17&amp;""</f>
        <v>人工-社保</v>
      </c>
      <c r="V17" t="str">
        <f>[1]基础资料!V17&amp;""</f>
        <v>变动成本</v>
      </c>
      <c r="W17" t="str">
        <f>[1]基础资料!W17&amp;""</f>
        <v>人工-社保</v>
      </c>
      <c r="AF17">
        <f>[1]基础资料!AF17&amp;""</f>
      </c>
      <c r="AG17">
        <f>[1]基础资料!AG17&amp;""</f>
      </c>
      <c r="AH17">
        <f>[1]基础资料!AH17</f>
      </c>
      <c r="AI17">
        <f>[1]基础资料!AI17</f>
      </c>
      <c r="AJ17">
        <f>[1]基础资料!AJ17</f>
      </c>
    </row>
    <row r="18">
      <c r="I18">
        <f>[1]基础资料!I18&amp;""</f>
      </c>
      <c r="J18">
        <f>[1]基础资料!J18&amp;""</f>
      </c>
      <c r="K18">
        <f>[1]基础资料!K18&amp;""</f>
      </c>
      <c r="L18">
        <f>[1]基础资料!L18&amp;""</f>
      </c>
      <c r="N18">
        <f>[1]基础资料!N18</f>
      </c>
      <c r="O18">
        <f>[1]基础资料!O18</f>
      </c>
      <c r="P18">
        <f>[1]基础资料!P18</f>
      </c>
      <c r="Q18">
        <f>[1]基础资料!Q18</f>
      </c>
      <c r="U18" t="str">
        <f>[1]基础资料!U18&amp;""</f>
        <v>人工-福利</v>
      </c>
      <c r="V18" t="str">
        <f>[1]基础资料!V18&amp;""</f>
        <v>变动成本</v>
      </c>
      <c r="W18" t="str">
        <f>[1]基础资料!W18&amp;""</f>
        <v>人工-福利</v>
      </c>
      <c r="AF18">
        <f>[1]基础资料!AF18&amp;""</f>
      </c>
      <c r="AG18">
        <f>[1]基础资料!AG18&amp;""</f>
      </c>
      <c r="AH18">
        <f>[1]基础资料!AH18</f>
      </c>
      <c r="AI18">
        <f>[1]基础资料!AI18</f>
      </c>
      <c r="AJ18">
        <f>[1]基础资料!AJ18</f>
      </c>
    </row>
    <row r="19">
      <c r="I19">
        <f>[1]基础资料!I19&amp;""</f>
      </c>
      <c r="J19">
        <f>[1]基础资料!J19&amp;""</f>
      </c>
      <c r="K19">
        <f>[1]基础资料!K19&amp;""</f>
      </c>
      <c r="L19">
        <f>[1]基础资料!L19&amp;""</f>
      </c>
      <c r="N19">
        <f>[1]基础资料!N19</f>
      </c>
      <c r="O19">
        <f>[1]基础资料!O19</f>
      </c>
      <c r="P19">
        <f>[1]基础资料!P19</f>
      </c>
      <c r="Q19">
        <f>[1]基础资料!Q19</f>
      </c>
      <c r="U19" t="str">
        <f>[1]基础资料!U19&amp;""</f>
        <v>税金</v>
      </c>
      <c r="V19" t="str">
        <f>[1]基础资料!V19&amp;""</f>
        <v>变动成本</v>
      </c>
      <c r="W19" t="str">
        <f>[1]基础资料!W19&amp;""</f>
        <v>税金</v>
      </c>
      <c r="AF19">
        <f>[1]基础资料!AF19&amp;""</f>
      </c>
      <c r="AG19">
        <f>[1]基础资料!AG19&amp;""</f>
      </c>
      <c r="AH19">
        <f>[1]基础资料!AH19</f>
      </c>
      <c r="AI19">
        <f>[1]基础资料!AI19</f>
      </c>
      <c r="AJ19">
        <f>[1]基础资料!AJ19</f>
      </c>
    </row>
    <row r="20">
      <c r="I20">
        <f>[1]基础资料!I20&amp;""</f>
      </c>
      <c r="J20">
        <f>[1]基础资料!J20&amp;""</f>
      </c>
      <c r="K20">
        <f>[1]基础资料!K20&amp;""</f>
      </c>
      <c r="L20">
        <f>[1]基础资料!L20&amp;""</f>
      </c>
      <c r="N20">
        <f>[1]基础资料!N20</f>
      </c>
      <c r="O20">
        <f>[1]基础资料!O20</f>
      </c>
      <c r="P20">
        <f>[1]基础资料!P20</f>
      </c>
      <c r="Q20">
        <f>[1]基础资料!Q20</f>
      </c>
      <c r="U20" t="str">
        <f>[1]基础资料!U20&amp;""</f>
        <v>差旅费</v>
      </c>
      <c r="V20" t="str">
        <f>[1]基础资料!V20&amp;""</f>
        <v>变动成本</v>
      </c>
      <c r="W20" t="str">
        <f>[1]基础资料!W20&amp;""</f>
        <v>差旅费</v>
      </c>
      <c r="AF20">
        <f>[1]基础资料!AF20&amp;""</f>
      </c>
      <c r="AG20">
        <f>[1]基础资料!AG20&amp;""</f>
      </c>
      <c r="AH20">
        <f>[1]基础资料!AH20</f>
      </c>
      <c r="AI20">
        <f>[1]基础资料!AI20</f>
      </c>
      <c r="AJ20">
        <f>[1]基础资料!AJ20</f>
      </c>
    </row>
    <row r="21">
      <c r="I21">
        <f>[1]基础资料!I21&amp;""</f>
      </c>
      <c r="J21">
        <f>[1]基础资料!J21&amp;""</f>
      </c>
      <c r="K21">
        <f>[1]基础资料!K21&amp;""</f>
      </c>
      <c r="L21">
        <f>[1]基础资料!L21&amp;""</f>
      </c>
      <c r="N21">
        <f>[1]基础资料!N21</f>
      </c>
      <c r="O21">
        <f>[1]基础资料!O21</f>
      </c>
      <c r="P21">
        <f>[1]基础资料!P21</f>
      </c>
      <c r="Q21">
        <f>[1]基础资料!Q21</f>
      </c>
      <c r="U21" t="str">
        <f>[1]基础资料!U21&amp;""</f>
        <v>培训费</v>
      </c>
      <c r="V21" t="str">
        <f>[1]基础资料!V21&amp;""</f>
        <v>变动成本</v>
      </c>
      <c r="W21" t="str">
        <f>[1]基础资料!W21&amp;""</f>
        <v>培训费</v>
      </c>
      <c r="AF21">
        <f>[1]基础资料!AF21&amp;""</f>
      </c>
      <c r="AG21">
        <f>[1]基础资料!AG21&amp;""</f>
      </c>
      <c r="AH21">
        <f>[1]基础资料!AH21</f>
      </c>
      <c r="AI21">
        <f>[1]基础资料!AI21</f>
      </c>
      <c r="AJ21">
        <f>[1]基础资料!AJ21</f>
      </c>
    </row>
    <row r="22">
      <c r="I22">
        <f>[1]基础资料!I22&amp;""</f>
      </c>
      <c r="J22">
        <f>[1]基础资料!J22&amp;""</f>
      </c>
      <c r="K22">
        <f>[1]基础资料!K22&amp;""</f>
      </c>
      <c r="L22">
        <f>[1]基础资料!L22&amp;""</f>
      </c>
      <c r="N22">
        <f>[1]基础资料!N22</f>
      </c>
      <c r="O22">
        <f>[1]基础资料!O22</f>
      </c>
      <c r="P22">
        <f>[1]基础资料!P22</f>
      </c>
      <c r="Q22">
        <f>[1]基础资料!Q22</f>
      </c>
      <c r="U22" t="str">
        <f>[1]基础资料!U22&amp;""</f>
        <v>银行手续费</v>
      </c>
      <c r="V22" t="str">
        <f>[1]基础资料!V22&amp;""</f>
        <v>变动成本</v>
      </c>
      <c r="W22" t="str">
        <f>[1]基础资料!W22&amp;""</f>
        <v>银行手续费</v>
      </c>
      <c r="AF22">
        <f>[1]基础资料!AF22&amp;""</f>
      </c>
      <c r="AG22">
        <f>[1]基础资料!AG22&amp;""</f>
      </c>
      <c r="AH22">
        <f>[1]基础资料!AH22</f>
      </c>
      <c r="AI22">
        <f>[1]基础资料!AI22</f>
      </c>
      <c r="AJ22">
        <f>[1]基础资料!AJ22</f>
      </c>
    </row>
    <row r="23">
      <c r="I23">
        <f>[1]基础资料!I23&amp;""</f>
      </c>
      <c r="J23">
        <f>[1]基础资料!J23&amp;""</f>
      </c>
      <c r="K23">
        <f>[1]基础资料!K23&amp;""</f>
      </c>
      <c r="L23">
        <f>[1]基础资料!L23&amp;""</f>
      </c>
      <c r="N23">
        <f>[1]基础资料!N23</f>
      </c>
      <c r="O23">
        <f>[1]基础资料!O23</f>
      </c>
      <c r="P23">
        <f>[1]基础资料!P23</f>
      </c>
      <c r="Q23">
        <f>[1]基础资料!Q23</f>
      </c>
      <c r="U23" t="str">
        <f>[1]基础资料!U23&amp;""</f>
        <v>刻章费用</v>
      </c>
      <c r="V23" t="str">
        <f>[1]基础资料!V23&amp;""</f>
        <v>变动成本</v>
      </c>
      <c r="W23" t="str">
        <f>[1]基础资料!W23&amp;""</f>
        <v>刻章费用</v>
      </c>
      <c r="AF23">
        <f>[1]基础资料!AF23&amp;""</f>
      </c>
      <c r="AG23">
        <f>[1]基础资料!AG23&amp;""</f>
      </c>
      <c r="AH23">
        <f>[1]基础资料!AH23</f>
      </c>
      <c r="AI23">
        <f>[1]基础资料!AI23</f>
      </c>
      <c r="AJ23">
        <f>[1]基础资料!AJ23</f>
      </c>
    </row>
    <row r="24">
      <c r="I24">
        <f>[1]基础资料!I24&amp;""</f>
      </c>
      <c r="J24">
        <f>[1]基础资料!J24&amp;""</f>
      </c>
      <c r="K24">
        <f>[1]基础资料!K24&amp;""</f>
      </c>
      <c r="L24">
        <f>[1]基础资料!L24&amp;""</f>
      </c>
      <c r="N24">
        <f>[1]基础资料!N24</f>
      </c>
      <c r="O24">
        <f>[1]基础资料!O24</f>
      </c>
      <c r="P24">
        <f>[1]基础资料!P24</f>
      </c>
      <c r="Q24">
        <f>[1]基础资料!Q24</f>
      </c>
      <c r="U24" t="str">
        <f>[1]基础资料!U24&amp;""</f>
        <v>办公费用</v>
      </c>
      <c r="V24" t="str">
        <f>[1]基础资料!V24&amp;""</f>
        <v>变动成本</v>
      </c>
      <c r="W24" t="str">
        <f>[1]基础资料!W24&amp;""</f>
        <v>办公费用</v>
      </c>
      <c r="AF24">
        <f>[1]基础资料!AF24&amp;""</f>
      </c>
      <c r="AG24">
        <f>[1]基础资料!AG24&amp;""</f>
      </c>
      <c r="AH24">
        <f>[1]基础资料!AH24</f>
      </c>
      <c r="AI24">
        <f>[1]基础资料!AI24</f>
      </c>
      <c r="AJ24">
        <f>[1]基础资料!AJ24</f>
      </c>
    </row>
    <row r="25">
      <c r="U25" t="str">
        <f>[1]基础资料!U25&amp;""</f>
        <v>固定资产</v>
      </c>
      <c r="V25" t="str">
        <f>[1]基础资料!V25&amp;""</f>
        <v>变动成本</v>
      </c>
      <c r="W25" t="str">
        <f>[1]基础资料!W25&amp;""</f>
        <v>固定资产</v>
      </c>
      <c r="AF25">
        <f>[1]基础资料!AF25&amp;""</f>
      </c>
      <c r="AG25">
        <f>[1]基础资料!AG25&amp;""</f>
      </c>
      <c r="AH25">
        <f>[1]基础资料!AH25</f>
      </c>
      <c r="AI25">
        <f>[1]基础资料!AI25</f>
      </c>
      <c r="AJ25">
        <f>[1]基础资料!AJ25</f>
      </c>
    </row>
    <row r="26">
      <c r="U26" t="str">
        <f>[1]基础资料!U26&amp;""</f>
        <v>汽车费用</v>
      </c>
      <c r="V26" t="str">
        <f>[1]基础资料!V26&amp;""</f>
        <v>变动成本</v>
      </c>
      <c r="W26" t="str">
        <f>[1]基础资料!W26&amp;""</f>
        <v>汽车费用</v>
      </c>
      <c r="AF26">
        <f>[1]基础资料!AF26&amp;""</f>
      </c>
      <c r="AG26">
        <f>[1]基础资料!AG26&amp;""</f>
      </c>
      <c r="AH26">
        <f>[1]基础资料!AH26</f>
      </c>
      <c r="AI26">
        <f>[1]基础资料!AI26</f>
      </c>
      <c r="AJ26">
        <f>[1]基础资料!AJ26</f>
      </c>
    </row>
    <row r="27">
      <c r="U27" t="str">
        <f>[1]基础资料!U27&amp;""</f>
        <v>交际支出</v>
      </c>
      <c r="V27" t="str">
        <f>[1]基础资料!V27&amp;""</f>
        <v>变动成本</v>
      </c>
      <c r="W27" t="str">
        <f>[1]基础资料!W27&amp;""</f>
        <v>交际支出</v>
      </c>
      <c r="AF27">
        <f>[1]基础资料!AF27&amp;""</f>
      </c>
      <c r="AG27">
        <f>[1]基础资料!AG27&amp;""</f>
      </c>
      <c r="AH27">
        <f>[1]基础资料!AH27</f>
      </c>
      <c r="AI27">
        <f>[1]基础资料!AI27</f>
      </c>
      <c r="AJ27">
        <f>[1]基础资料!AJ27</f>
      </c>
    </row>
    <row r="28">
      <c r="U28" t="str">
        <f>[1]基础资料!U28&amp;""</f>
        <v>佣金支出</v>
      </c>
      <c r="V28" t="str">
        <f>[1]基础资料!V28&amp;""</f>
        <v>变动成本</v>
      </c>
      <c r="W28" t="str">
        <f>[1]基础资料!W28&amp;""</f>
        <v>佣金支出</v>
      </c>
      <c r="AF28">
        <f>[1]基础资料!AF28&amp;""</f>
      </c>
      <c r="AG28">
        <f>[1]基础资料!AG28&amp;""</f>
      </c>
      <c r="AH28">
        <f>[1]基础资料!AH28</f>
      </c>
      <c r="AI28">
        <f>[1]基础资料!AI28</f>
      </c>
      <c r="AJ28">
        <f>[1]基础资料!AJ28</f>
      </c>
    </row>
    <row r="29">
      <c r="U29" t="str">
        <f>[1]基础资料!U29&amp;""</f>
        <v>营销费用</v>
      </c>
      <c r="V29" t="str">
        <f>[1]基础资料!V29&amp;""</f>
        <v>变动成本</v>
      </c>
      <c r="W29" t="str">
        <f>[1]基础资料!W29&amp;""</f>
        <v>营销费用</v>
      </c>
      <c r="AF29">
        <f>[1]基础资料!AF29&amp;""</f>
      </c>
      <c r="AG29">
        <f>[1]基础资料!AG29&amp;""</f>
      </c>
      <c r="AH29">
        <f>[1]基础资料!AH29</f>
      </c>
      <c r="AI29">
        <f>[1]基础资料!AI29</f>
      </c>
      <c r="AJ29">
        <f>[1]基础资料!AJ29</f>
      </c>
    </row>
    <row r="30">
      <c r="U30" t="str">
        <f>[1]基础资料!U30&amp;""</f>
        <v>地址成本</v>
      </c>
      <c r="V30" t="str">
        <f>[1]基础资料!V30&amp;""</f>
        <v>变动成本</v>
      </c>
      <c r="W30" t="str">
        <f>[1]基础资料!W30&amp;""</f>
        <v>地址成本</v>
      </c>
      <c r="AF30">
        <f>[1]基础资料!AF30&amp;""</f>
      </c>
      <c r="AG30">
        <f>[1]基础资料!AG30&amp;""</f>
      </c>
      <c r="AH30">
        <f>[1]基础资料!AH30</f>
      </c>
      <c r="AI30">
        <f>[1]基础资料!AI30</f>
      </c>
      <c r="AJ30">
        <f>[1]基础资料!AJ30</f>
      </c>
    </row>
    <row r="31">
      <c r="U31" t="str">
        <f>[1]基础资料!U31&amp;""</f>
        <v>项目成本</v>
      </c>
      <c r="V31" t="str">
        <f>[1]基础资料!V31&amp;""</f>
        <v>变动成本</v>
      </c>
      <c r="W31" t="str">
        <f>[1]基础资料!W31&amp;""</f>
        <v>项目成本</v>
      </c>
      <c r="AF31">
        <f>[1]基础资料!AF31&amp;""</f>
      </c>
      <c r="AG31">
        <f>[1]基础资料!AG31&amp;""</f>
      </c>
      <c r="AH31">
        <f>[1]基础资料!AH31</f>
      </c>
      <c r="AI31">
        <f>[1]基础资料!AI31</f>
      </c>
      <c r="AJ31">
        <f>[1]基础资料!AJ31</f>
      </c>
    </row>
    <row r="32">
      <c r="U32" t="str">
        <f>[1]基础资料!U32&amp;""</f>
        <v>其他成本</v>
      </c>
      <c r="V32" t="str">
        <f>[1]基础资料!V32&amp;""</f>
        <v>变动成本</v>
      </c>
      <c r="W32" t="str">
        <f>[1]基础资料!W32&amp;""</f>
        <v>其他</v>
      </c>
      <c r="AF32">
        <f>[1]基础资料!AF32&amp;""</f>
      </c>
      <c r="AG32">
        <f>[1]基础资料!AG32&amp;""</f>
      </c>
      <c r="AH32">
        <f>[1]基础资料!AH32</f>
      </c>
      <c r="AI32">
        <f>[1]基础资料!AI32</f>
      </c>
      <c r="AJ32">
        <f>[1]基础资料!AJ32</f>
      </c>
    </row>
    <row r="33">
      <c r="U33" t="str">
        <f>[1]基础资料!U33&amp;""</f>
        <v>店面租金</v>
      </c>
      <c r="V33" t="str">
        <f>[1]基础资料!V33&amp;""</f>
        <v>固定成本</v>
      </c>
      <c r="W33" t="str">
        <f>[1]基础资料!W33&amp;""</f>
        <v>店面租金</v>
      </c>
      <c r="AF33">
        <f>[1]基础资料!AF33&amp;""</f>
      </c>
      <c r="AG33">
        <f>[1]基础资料!AG33&amp;""</f>
      </c>
      <c r="AH33">
        <f>[1]基础资料!AH33</f>
      </c>
      <c r="AI33">
        <f>[1]基础资料!AI33</f>
      </c>
      <c r="AJ33">
        <f>[1]基础资料!AJ33</f>
      </c>
    </row>
    <row r="34">
      <c r="U34" t="str">
        <f>[1]基础资料!U34&amp;""</f>
        <v>装修成本</v>
      </c>
      <c r="V34" t="str">
        <f>[1]基础资料!V34&amp;""</f>
        <v>固定成本</v>
      </c>
      <c r="W34" t="str">
        <f>[1]基础资料!W34&amp;""</f>
        <v>装修成本</v>
      </c>
      <c r="AF34">
        <f>[1]基础资料!AF34&amp;""</f>
      </c>
      <c r="AG34">
        <f>[1]基础资料!AG34&amp;""</f>
      </c>
      <c r="AH34">
        <f>[1]基础资料!AH34</f>
      </c>
      <c r="AI34">
        <f>[1]基础资料!AI34</f>
      </c>
      <c r="AJ34">
        <f>[1]基础资料!AJ34</f>
      </c>
    </row>
    <row r="35">
      <c r="U35" t="str">
        <f>[1]基础资料!U35&amp;""</f>
        <v>工资挂靠</v>
      </c>
      <c r="V35" t="str">
        <f>[1]基础资料!V35&amp;""</f>
        <v>其他支出</v>
      </c>
      <c r="W35" t="str">
        <f>[1]基础资料!W35&amp;""</f>
        <v>工资挂靠</v>
      </c>
      <c r="AF35">
        <f>[1]基础资料!AF35&amp;""</f>
      </c>
      <c r="AG35">
        <f>[1]基础资料!AG35&amp;""</f>
      </c>
      <c r="AH35">
        <f>[1]基础资料!AH35</f>
      </c>
      <c r="AI35">
        <f>[1]基础资料!AI35</f>
      </c>
      <c r="AJ35">
        <f>[1]基础资料!AJ35</f>
      </c>
    </row>
    <row r="36">
      <c r="U36" t="str">
        <f>[1]基础资料!U36&amp;""</f>
        <v>社保挂靠</v>
      </c>
      <c r="V36" t="str">
        <f>[1]基础资料!V36&amp;""</f>
        <v>其他支出</v>
      </c>
      <c r="W36" t="str">
        <f>[1]基础资料!W36&amp;""</f>
        <v>社保挂靠</v>
      </c>
      <c r="AF36">
        <f>[1]基础资料!AF36&amp;""</f>
      </c>
      <c r="AG36">
        <f>[1]基础资料!AG36&amp;""</f>
      </c>
      <c r="AH36">
        <f>[1]基础资料!AH36</f>
      </c>
      <c r="AI36">
        <f>[1]基础资料!AI36</f>
      </c>
      <c r="AJ36">
        <f>[1]基础资料!AJ36</f>
      </c>
    </row>
    <row r="37">
      <c r="U37" t="str">
        <f>[1]基础资料!U37&amp;""</f>
        <v>贷款利息</v>
      </c>
      <c r="V37" t="str">
        <f>[1]基础资料!V37&amp;""</f>
        <v>其他支出</v>
      </c>
      <c r="W37" t="str">
        <f>[1]基础资料!W37&amp;""</f>
        <v>贷款利息</v>
      </c>
      <c r="AF37">
        <f>[1]基础资料!AF37&amp;""</f>
      </c>
      <c r="AG37">
        <f>[1]基础资料!AG37&amp;""</f>
      </c>
      <c r="AH37">
        <f>[1]基础资料!AH37</f>
      </c>
      <c r="AI37">
        <f>[1]基础资料!AI37</f>
      </c>
      <c r="AJ37">
        <f>[1]基础资料!AJ37</f>
      </c>
    </row>
    <row r="38">
      <c r="U38" t="str">
        <f>[1]基础资料!U38&amp;""</f>
        <v>实收资本</v>
      </c>
      <c r="V38" t="str">
        <f>[1]基础资料!V38&amp;""</f>
        <v>收到为准</v>
      </c>
      <c r="W38" t="str">
        <f>[1]基础资料!W38&amp;""</f>
        <v>实收资本</v>
      </c>
      <c r="AF38">
        <f>[1]基础资料!AF38&amp;""</f>
      </c>
      <c r="AG38">
        <f>[1]基础资料!AG38&amp;""</f>
      </c>
      <c r="AH38">
        <f>[1]基础资料!AH38</f>
      </c>
      <c r="AI38">
        <f>[1]基础资料!AI38</f>
      </c>
      <c r="AJ38">
        <f>[1]基础资料!AJ38</f>
      </c>
    </row>
    <row r="39">
      <c r="U39" t="str">
        <f>[1]基础资料!U39&amp;""</f>
        <v>投资</v>
      </c>
      <c r="V39" t="str">
        <f>[1]基础资料!V39&amp;""</f>
        <v>支出为准</v>
      </c>
      <c r="W39" t="str">
        <f>[1]基础资料!W39&amp;""</f>
        <v>投资</v>
      </c>
      <c r="AF39">
        <f>[1]基础资料!AF39&amp;""</f>
      </c>
      <c r="AG39">
        <f>[1]基础资料!AG39&amp;""</f>
      </c>
      <c r="AH39">
        <f>[1]基础资料!AH39</f>
      </c>
      <c r="AI39">
        <f>[1]基础资料!AI39</f>
      </c>
      <c r="AJ39">
        <f>[1]基础资料!AJ39</f>
      </c>
    </row>
    <row r="40">
      <c r="U40" t="str">
        <f>[1]基础资料!U40&amp;""</f>
        <v>往来</v>
      </c>
      <c r="V40" t="str">
        <f>[1]基础资料!V40&amp;""</f>
        <v>往来</v>
      </c>
      <c r="W40" t="str">
        <f>[1]基础资料!W40&amp;""</f>
        <v>往来</v>
      </c>
      <c r="AF40">
        <f>[1]基础资料!AF40&amp;""</f>
      </c>
      <c r="AG40">
        <f>[1]基础资料!AG40&amp;""</f>
      </c>
      <c r="AH40">
        <f>[1]基础资料!AH40</f>
      </c>
      <c r="AI40">
        <f>[1]基础资料!AI40</f>
      </c>
      <c r="AJ40">
        <f>[1]基础资料!AJ40</f>
      </c>
    </row>
    <row r="41">
      <c r="U41" t="str">
        <f>[1]基础资料!U41&amp;""</f>
        <v>内部划转</v>
      </c>
      <c r="V41" t="str">
        <f>[1]基础资料!V41&amp;""</f>
        <v>内部划转</v>
      </c>
      <c r="W41" t="str">
        <f>[1]基础资料!W41&amp;""</f>
        <v>内部划转</v>
      </c>
      <c r="AF41">
        <f>[1]基础资料!AF41&amp;""</f>
      </c>
      <c r="AG41">
        <f>[1]基础资料!AG41&amp;""</f>
      </c>
      <c r="AH41">
        <f>[1]基础资料!AH41</f>
      </c>
      <c r="AI41">
        <f>[1]基础资料!AI41</f>
      </c>
      <c r="AJ41">
        <f>[1]基础资料!AJ41</f>
      </c>
    </row>
    <row r="42">
      <c r="U42" t="str">
        <f>[1]基础资料!U42&amp;""</f>
        <v>账户互转</v>
      </c>
      <c r="V42" t="str">
        <f>[1]基础资料!V42&amp;""</f>
        <v>账户互转</v>
      </c>
      <c r="W42" t="str">
        <f>[1]基础资料!W42&amp;""</f>
        <v>账户互转</v>
      </c>
      <c r="AF42">
        <f>[1]基础资料!AF42&amp;""</f>
      </c>
      <c r="AG42">
        <f>[1]基础资料!AG42&amp;""</f>
      </c>
      <c r="AH42">
        <f>[1]基础资料!AH42</f>
      </c>
      <c r="AI42">
        <f>[1]基础资料!AI42</f>
      </c>
      <c r="AJ42">
        <f>[1]基础资料!AJ42</f>
      </c>
    </row>
    <row r="43">
      <c r="U43">
        <f>[1]基础资料!U43&amp;""</f>
      </c>
      <c r="V43">
        <f>[1]基础资料!V43&amp;""</f>
      </c>
      <c r="W43">
        <f>[1]基础资料!W43&amp;""</f>
      </c>
      <c r="AF43">
        <f>[1]基础资料!AF43&amp;""</f>
      </c>
      <c r="AG43">
        <f>[1]基础资料!AG43&amp;""</f>
      </c>
      <c r="AH43">
        <f>[1]基础资料!AH43</f>
      </c>
      <c r="AI43">
        <f>[1]基础资料!AI43</f>
      </c>
      <c r="AJ43">
        <f>[1]基础资料!AJ43</f>
      </c>
    </row>
    <row r="44">
      <c r="U44">
        <f>[1]基础资料!U44&amp;""</f>
      </c>
      <c r="V44">
        <f>[1]基础资料!V44&amp;""</f>
      </c>
      <c r="W44">
        <f>[1]基础资料!W44&amp;""</f>
      </c>
      <c r="AF44">
        <f>[1]基础资料!AF44&amp;""</f>
      </c>
      <c r="AG44">
        <f>[1]基础资料!AG44&amp;""</f>
      </c>
      <c r="AH44">
        <f>[1]基础资料!AH44</f>
      </c>
      <c r="AI44">
        <f>[1]基础资料!AI44</f>
      </c>
      <c r="AJ44">
        <f>[1]基础资料!AJ44</f>
      </c>
    </row>
    <row r="45">
      <c r="U45">
        <f>[1]基础资料!U45&amp;""</f>
      </c>
      <c r="V45">
        <f>[1]基础资料!V45&amp;""</f>
      </c>
      <c r="W45">
        <f>[1]基础资料!W45&amp;""</f>
      </c>
      <c r="AF45">
        <f>[1]基础资料!AF45&amp;""</f>
      </c>
      <c r="AG45">
        <f>[1]基础资料!AG45&amp;""</f>
      </c>
      <c r="AH45">
        <f>[1]基础资料!AH45</f>
      </c>
      <c r="AI45">
        <f>[1]基础资料!AI45</f>
      </c>
      <c r="AJ45">
        <f>[1]基础资料!AJ45</f>
      </c>
    </row>
    <row r="46">
      <c r="U46">
        <f>[1]基础资料!U46&amp;""</f>
      </c>
      <c r="V46">
        <f>[1]基础资料!V46&amp;""</f>
      </c>
      <c r="W46">
        <f>[1]基础资料!W46&amp;""</f>
      </c>
      <c r="AF46">
        <f>[1]基础资料!AF46&amp;""</f>
      </c>
      <c r="AG46">
        <f>[1]基础资料!AG46&amp;""</f>
      </c>
      <c r="AH46">
        <f>[1]基础资料!AH46</f>
      </c>
      <c r="AI46">
        <f>[1]基础资料!AI46</f>
      </c>
      <c r="AJ46">
        <f>[1]基础资料!AJ46</f>
      </c>
    </row>
    <row r="47">
      <c r="U47">
        <f>[1]基础资料!U47&amp;""</f>
      </c>
      <c r="V47">
        <f>[1]基础资料!V47&amp;""</f>
      </c>
      <c r="W47">
        <f>[1]基础资料!W47&amp;""</f>
      </c>
      <c r="AF47">
        <f>[1]基础资料!AF47&amp;""</f>
      </c>
      <c r="AG47">
        <f>[1]基础资料!AG47&amp;""</f>
      </c>
      <c r="AH47">
        <f>[1]基础资料!AH47</f>
      </c>
      <c r="AI47">
        <f>[1]基础资料!AI47</f>
      </c>
      <c r="AJ47">
        <f>[1]基础资料!AJ47</f>
      </c>
    </row>
    <row r="48">
      <c r="U48">
        <f>[1]基础资料!U48&amp;""</f>
      </c>
      <c r="V48">
        <f>[1]基础资料!V48&amp;""</f>
      </c>
      <c r="W48">
        <f>[1]基础资料!W48&amp;""</f>
      </c>
      <c r="AF48">
        <f>[1]基础资料!AF48&amp;""</f>
      </c>
      <c r="AG48">
        <f>[1]基础资料!AG48&amp;""</f>
      </c>
      <c r="AH48">
        <f>[1]基础资料!AH48</f>
      </c>
      <c r="AI48">
        <f>[1]基础资料!AI48</f>
      </c>
      <c r="AJ48">
        <f>[1]基础资料!AJ48</f>
      </c>
    </row>
    <row r="49">
      <c r="U49">
        <f>[1]基础资料!U49&amp;""</f>
      </c>
      <c r="V49">
        <f>[1]基础资料!V49&amp;""</f>
      </c>
      <c r="W49">
        <f>[1]基础资料!W49&amp;""</f>
      </c>
      <c r="AF49">
        <f>[1]基础资料!AF49&amp;""</f>
      </c>
      <c r="AG49">
        <f>[1]基础资料!AG49&amp;""</f>
      </c>
      <c r="AH49">
        <f>[1]基础资料!AH49</f>
      </c>
      <c r="AI49">
        <f>[1]基础资料!AI49</f>
      </c>
      <c r="AJ49">
        <f>[1]基础资料!AJ49</f>
      </c>
    </row>
    <row r="50">
      <c r="U50">
        <f>[1]基础资料!U50&amp;""</f>
      </c>
      <c r="V50">
        <f>[1]基础资料!V50&amp;""</f>
      </c>
      <c r="W50">
        <f>[1]基础资料!W50&amp;""</f>
      </c>
      <c r="AF50">
        <f>[1]基础资料!AF50&amp;""</f>
      </c>
      <c r="AG50">
        <f>[1]基础资料!AG50&amp;""</f>
      </c>
      <c r="AH50">
        <f>[1]基础资料!AH50</f>
      </c>
      <c r="AI50">
        <f>[1]基础资料!AI50</f>
      </c>
      <c r="AJ50">
        <f>[1]基础资料!AJ50</f>
      </c>
    </row>
    <row r="51">
      <c r="U51">
        <f>[1]基础资料!U51&amp;""</f>
      </c>
      <c r="V51">
        <f>[1]基础资料!V51&amp;""</f>
      </c>
      <c r="W51">
        <f>[1]基础资料!W51&amp;""</f>
      </c>
      <c r="AF51">
        <f>[1]基础资料!AF51&amp;""</f>
      </c>
      <c r="AG51">
        <f>[1]基础资料!AG51&amp;""</f>
      </c>
      <c r="AH51">
        <f>[1]基础资料!AH51</f>
      </c>
      <c r="AI51">
        <f>[1]基础资料!AI51</f>
      </c>
      <c r="AJ51">
        <f>[1]基础资料!AJ51</f>
      </c>
    </row>
    <row r="52">
      <c r="U52">
        <f>[1]基础资料!U52&amp;""</f>
      </c>
      <c r="V52">
        <f>[1]基础资料!V52&amp;""</f>
      </c>
      <c r="W52">
        <f>[1]基础资料!W52&amp;""</f>
      </c>
      <c r="AF52">
        <f>[1]基础资料!AF52&amp;""</f>
      </c>
      <c r="AG52">
        <f>[1]基础资料!AG52&amp;""</f>
      </c>
      <c r="AH52">
        <f>[1]基础资料!AH52</f>
      </c>
      <c r="AI52">
        <f>[1]基础资料!AI52</f>
      </c>
      <c r="AJ52">
        <f>[1]基础资料!AJ52</f>
      </c>
    </row>
    <row r="53">
      <c r="U53">
        <f>[1]基础资料!U53&amp;""</f>
      </c>
      <c r="V53">
        <f>[1]基础资料!V53&amp;""</f>
      </c>
      <c r="W53">
        <f>[1]基础资料!W53&amp;""</f>
      </c>
      <c r="AF53">
        <f>[1]基础资料!AF53&amp;""</f>
      </c>
      <c r="AG53">
        <f>[1]基础资料!AG53&amp;""</f>
      </c>
      <c r="AH53">
        <f>[1]基础资料!AH53</f>
      </c>
      <c r="AI53">
        <f>[1]基础资料!AI53</f>
      </c>
      <c r="AJ53">
        <f>[1]基础资料!AJ53</f>
      </c>
    </row>
    <row r="54">
      <c r="U54">
        <f>[1]基础资料!U54&amp;""</f>
      </c>
      <c r="V54">
        <f>[1]基础资料!V54&amp;""</f>
      </c>
      <c r="W54">
        <f>[1]基础资料!W54&amp;""</f>
      </c>
      <c r="AF54">
        <f>[1]基础资料!AF54&amp;""</f>
      </c>
      <c r="AG54">
        <f>[1]基础资料!AG54&amp;""</f>
      </c>
      <c r="AH54">
        <f>[1]基础资料!AH54</f>
      </c>
      <c r="AI54">
        <f>[1]基础资料!AI54</f>
      </c>
      <c r="AJ54">
        <f>[1]基础资料!AJ54</f>
      </c>
    </row>
    <row r="55">
      <c r="U55">
        <f>[1]基础资料!U55&amp;""</f>
      </c>
      <c r="V55">
        <f>[1]基础资料!V55&amp;""</f>
      </c>
      <c r="W55">
        <f>[1]基础资料!W55&amp;""</f>
      </c>
      <c r="AF55">
        <f>[1]基础资料!AF55&amp;""</f>
      </c>
      <c r="AG55">
        <f>[1]基础资料!AG55&amp;""</f>
      </c>
      <c r="AH55">
        <f>[1]基础资料!AH55</f>
      </c>
      <c r="AI55">
        <f>[1]基础资料!AI55</f>
      </c>
      <c r="AJ55">
        <f>[1]基础资料!AJ55</f>
      </c>
    </row>
    <row r="56">
      <c r="U56">
        <f>[1]基础资料!U56&amp;""</f>
      </c>
      <c r="V56">
        <f>[1]基础资料!V56&amp;""</f>
      </c>
      <c r="W56">
        <f>[1]基础资料!W56&amp;""</f>
      </c>
      <c r="AF56">
        <f>[1]基础资料!AF56&amp;""</f>
      </c>
      <c r="AG56">
        <f>[1]基础资料!AG56&amp;""</f>
      </c>
      <c r="AH56">
        <f>[1]基础资料!AH56</f>
      </c>
      <c r="AI56">
        <f>[1]基础资料!AI56</f>
      </c>
      <c r="AJ56">
        <f>[1]基础资料!AJ56</f>
      </c>
    </row>
    <row r="57">
      <c r="U57">
        <f>[1]基础资料!U57&amp;""</f>
      </c>
      <c r="V57">
        <f>[1]基础资料!V57&amp;""</f>
      </c>
      <c r="W57">
        <f>[1]基础资料!W57&amp;""</f>
      </c>
      <c r="AF57">
        <f>[1]基础资料!AF57&amp;""</f>
      </c>
      <c r="AG57">
        <f>[1]基础资料!AG57&amp;""</f>
      </c>
      <c r="AH57">
        <f>[1]基础资料!AH57</f>
      </c>
      <c r="AI57">
        <f>[1]基础资料!AI57</f>
      </c>
      <c r="AJ57">
        <f>[1]基础资料!AJ57</f>
      </c>
    </row>
    <row r="58">
      <c r="U58">
        <f>[1]基础资料!U58&amp;""</f>
      </c>
      <c r="V58">
        <f>[1]基础资料!V58&amp;""</f>
      </c>
      <c r="W58">
        <f>[1]基础资料!W58&amp;""</f>
      </c>
      <c r="AF58">
        <f>[1]基础资料!AF58&amp;""</f>
      </c>
      <c r="AG58">
        <f>[1]基础资料!AG58&amp;""</f>
      </c>
      <c r="AH58">
        <f>[1]基础资料!AH58</f>
      </c>
      <c r="AI58">
        <f>[1]基础资料!AI58</f>
      </c>
      <c r="AJ58">
        <f>[1]基础资料!AJ58</f>
      </c>
    </row>
    <row r="59">
      <c r="U59">
        <f>[1]基础资料!U59&amp;""</f>
      </c>
      <c r="V59">
        <f>[1]基础资料!V59&amp;""</f>
      </c>
      <c r="W59">
        <f>[1]基础资料!W59&amp;""</f>
      </c>
      <c r="AF59">
        <f>[1]基础资料!AF59&amp;""</f>
      </c>
      <c r="AG59">
        <f>[1]基础资料!AG59&amp;""</f>
      </c>
      <c r="AH59">
        <f>[1]基础资料!AH59</f>
      </c>
      <c r="AI59">
        <f>[1]基础资料!AI59</f>
      </c>
      <c r="AJ59">
        <f>[1]基础资料!AJ59</f>
      </c>
    </row>
    <row r="60">
      <c r="U60">
        <f>[1]基础资料!U60&amp;""</f>
      </c>
      <c r="V60">
        <f>[1]基础资料!V60&amp;""</f>
      </c>
      <c r="W60">
        <f>[1]基础资料!W60&amp;""</f>
      </c>
      <c r="AF60">
        <f>[1]基础资料!AF60&amp;""</f>
      </c>
      <c r="AG60">
        <f>[1]基础资料!AG60&amp;""</f>
      </c>
      <c r="AH60">
        <f>[1]基础资料!AH60</f>
      </c>
      <c r="AI60">
        <f>[1]基础资料!AI60</f>
      </c>
      <c r="AJ60">
        <f>[1]基础资料!AJ60</f>
      </c>
    </row>
    <row r="61">
      <c r="U61">
        <f>[1]基础资料!U61&amp;""</f>
      </c>
      <c r="V61">
        <f>[1]基础资料!V61&amp;""</f>
      </c>
      <c r="W61">
        <f>[1]基础资料!W61&amp;""</f>
      </c>
      <c r="AF61">
        <f>[1]基础资料!AF61&amp;""</f>
      </c>
      <c r="AG61">
        <f>[1]基础资料!AG61&amp;""</f>
      </c>
      <c r="AH61">
        <f>[1]基础资料!AH61</f>
      </c>
      <c r="AI61">
        <f>[1]基础资料!AI61</f>
      </c>
      <c r="AJ61">
        <f>[1]基础资料!AJ61</f>
      </c>
    </row>
    <row r="62">
      <c r="U62">
        <f>[1]基础资料!U62&amp;""</f>
      </c>
      <c r="V62">
        <f>[1]基础资料!V62&amp;""</f>
      </c>
      <c r="W62">
        <f>[1]基础资料!W62&amp;""</f>
      </c>
      <c r="AF62">
        <f>[1]基础资料!AF62&amp;""</f>
      </c>
      <c r="AG62">
        <f>[1]基础资料!AG62&amp;""</f>
      </c>
      <c r="AH62">
        <f>[1]基础资料!AH62</f>
      </c>
      <c r="AI62">
        <f>[1]基础资料!AI62</f>
      </c>
      <c r="AJ62">
        <f>[1]基础资料!AJ62</f>
      </c>
    </row>
    <row r="63">
      <c r="U63">
        <f>[1]基础资料!U63&amp;""</f>
      </c>
      <c r="V63">
        <f>[1]基础资料!V63&amp;""</f>
      </c>
      <c r="W63">
        <f>[1]基础资料!W63&amp;""</f>
      </c>
      <c r="AF63">
        <f>[1]基础资料!AF63&amp;""</f>
      </c>
      <c r="AG63">
        <f>[1]基础资料!AG63&amp;""</f>
      </c>
      <c r="AH63">
        <f>[1]基础资料!AH63</f>
      </c>
      <c r="AI63">
        <f>[1]基础资料!AI63</f>
      </c>
      <c r="AJ63">
        <f>[1]基础资料!AJ63</f>
      </c>
    </row>
    <row r="64">
      <c r="U64">
        <f>[1]基础资料!U64&amp;""</f>
      </c>
      <c r="V64">
        <f>[1]基础资料!V64&amp;""</f>
      </c>
      <c r="W64">
        <f>[1]基础资料!W64&amp;""</f>
      </c>
      <c r="AF64">
        <f>[1]基础资料!AF64&amp;""</f>
      </c>
      <c r="AG64">
        <f>[1]基础资料!AG64&amp;""</f>
      </c>
      <c r="AH64">
        <f>[1]基础资料!AH64</f>
      </c>
      <c r="AI64">
        <f>[1]基础资料!AI64</f>
      </c>
      <c r="AJ64">
        <f>[1]基础资料!AJ64</f>
      </c>
    </row>
    <row r="65">
      <c r="AF65">
        <f>[1]基础资料!AF65&amp;""</f>
      </c>
      <c r="AG65">
        <f>[1]基础资料!AG65&amp;""</f>
      </c>
      <c r="AH65">
        <f>[1]基础资料!AH65</f>
      </c>
      <c r="AI65">
        <f>[1]基础资料!AI65</f>
      </c>
      <c r="AJ65">
        <f>[1]基础资料!AJ65</f>
      </c>
    </row>
    <row r="66">
      <c r="AF66">
        <f>[1]基础资料!AF66&amp;""</f>
      </c>
      <c r="AG66">
        <f>[1]基础资料!AG66&amp;""</f>
      </c>
      <c r="AH66">
        <f>[1]基础资料!AH66</f>
      </c>
      <c r="AI66">
        <f>[1]基础资料!AI66</f>
      </c>
      <c r="AJ66">
        <f>[1]基础资料!AJ66</f>
      </c>
    </row>
    <row r="67">
      <c r="AF67">
        <f>[1]基础资料!AF67&amp;""</f>
      </c>
      <c r="AG67">
        <f>[1]基础资料!AG67&amp;""</f>
      </c>
      <c r="AH67">
        <f>[1]基础资料!AH67</f>
      </c>
      <c r="AI67">
        <f>[1]基础资料!AI67</f>
      </c>
      <c r="AJ67">
        <f>[1]基础资料!AJ67</f>
      </c>
    </row>
    <row r="68">
      <c r="AF68">
        <f>[1]基础资料!AF68&amp;""</f>
      </c>
      <c r="AG68">
        <f>[1]基础资料!AG68&amp;""</f>
      </c>
      <c r="AH68">
        <f>[1]基础资料!AH68</f>
      </c>
      <c r="AI68">
        <f>[1]基础资料!AI68</f>
      </c>
      <c r="AJ68">
        <f>[1]基础资料!AJ68</f>
      </c>
    </row>
    <row r="69">
      <c r="AF69">
        <f>[1]基础资料!AF69&amp;""</f>
      </c>
      <c r="AG69">
        <f>[1]基础资料!AG69&amp;""</f>
      </c>
      <c r="AH69">
        <f>[1]基础资料!AH69</f>
      </c>
      <c r="AI69">
        <f>[1]基础资料!AI69</f>
      </c>
      <c r="AJ69">
        <f>[1]基础资料!AJ69</f>
      </c>
    </row>
    <row r="70">
      <c r="AF70">
        <f>[1]基础资料!AF70&amp;""</f>
      </c>
      <c r="AG70">
        <f>[1]基础资料!AG70&amp;""</f>
      </c>
      <c r="AH70">
        <f>[1]基础资料!AH70</f>
      </c>
      <c r="AI70">
        <f>[1]基础资料!AI70</f>
      </c>
      <c r="AJ70">
        <f>[1]基础资料!AJ70</f>
      </c>
    </row>
    <row r="71">
      <c r="AF71">
        <f>[1]基础资料!AF71&amp;""</f>
      </c>
      <c r="AG71">
        <f>[1]基础资料!AG71&amp;""</f>
      </c>
      <c r="AH71">
        <f>[1]基础资料!AH71</f>
      </c>
      <c r="AI71">
        <f>[1]基础资料!AI71</f>
      </c>
      <c r="AJ71">
        <f>[1]基础资料!AJ71</f>
      </c>
    </row>
    <row r="72">
      <c r="AF72">
        <f>[1]基础资料!AF72&amp;""</f>
      </c>
      <c r="AG72">
        <f>[1]基础资料!AG72&amp;""</f>
      </c>
      <c r="AH72">
        <f>[1]基础资料!AH72</f>
      </c>
      <c r="AI72">
        <f>[1]基础资料!AI72</f>
      </c>
      <c r="AJ72">
        <f>[1]基础资料!AJ72</f>
      </c>
    </row>
    <row r="73">
      <c r="AF73">
        <f>[1]基础资料!AF73&amp;""</f>
      </c>
      <c r="AG73">
        <f>[1]基础资料!AG73&amp;""</f>
      </c>
      <c r="AH73">
        <f>[1]基础资料!AH73</f>
      </c>
      <c r="AI73">
        <f>[1]基础资料!AI73</f>
      </c>
      <c r="AJ73">
        <f>[1]基础资料!AJ73</f>
      </c>
    </row>
    <row r="74">
      <c r="AF74">
        <f>[1]基础资料!AF74&amp;""</f>
      </c>
      <c r="AG74">
        <f>[1]基础资料!AG74&amp;""</f>
      </c>
      <c r="AH74">
        <f>[1]基础资料!AH74</f>
      </c>
      <c r="AI74">
        <f>[1]基础资料!AI74</f>
      </c>
      <c r="AJ74">
        <f>[1]基础资料!AJ74</f>
      </c>
    </row>
    <row r="75">
      <c r="AF75">
        <f>[1]基础资料!AF75&amp;""</f>
      </c>
      <c r="AG75">
        <f>[1]基础资料!AG75&amp;""</f>
      </c>
      <c r="AH75">
        <f>[1]基础资料!AH75</f>
      </c>
      <c r="AI75">
        <f>[1]基础资料!AI75</f>
      </c>
      <c r="AJ75">
        <f>[1]基础资料!AJ75</f>
      </c>
    </row>
    <row r="76">
      <c r="AF76">
        <f>[1]基础资料!AF76&amp;""</f>
      </c>
      <c r="AG76">
        <f>[1]基础资料!AG76&amp;""</f>
      </c>
      <c r="AH76">
        <f>[1]基础资料!AH76</f>
      </c>
      <c r="AI76">
        <f>[1]基础资料!AI76</f>
      </c>
      <c r="AJ76">
        <f>[1]基础资料!AJ76</f>
      </c>
    </row>
    <row r="77">
      <c r="AF77">
        <f>[1]基础资料!AF77&amp;""</f>
      </c>
      <c r="AG77">
        <f>[1]基础资料!AG77&amp;""</f>
      </c>
      <c r="AH77">
        <f>[1]基础资料!AH77</f>
      </c>
      <c r="AI77">
        <f>[1]基础资料!AI77</f>
      </c>
      <c r="AJ77">
        <f>[1]基础资料!AJ77</f>
      </c>
    </row>
    <row r="78">
      <c r="AF78">
        <f>[1]基础资料!AF78&amp;""</f>
      </c>
      <c r="AG78">
        <f>[1]基础资料!AG78&amp;""</f>
      </c>
      <c r="AH78">
        <f>[1]基础资料!AH78</f>
      </c>
      <c r="AI78">
        <f>[1]基础资料!AI78</f>
      </c>
      <c r="AJ78">
        <f>[1]基础资料!AJ78</f>
      </c>
    </row>
    <row r="79">
      <c r="AF79">
        <f>[1]基础资料!AF79&amp;""</f>
      </c>
      <c r="AG79">
        <f>[1]基础资料!AG79&amp;""</f>
      </c>
      <c r="AH79">
        <f>[1]基础资料!AH79</f>
      </c>
      <c r="AI79">
        <f>[1]基础资料!AI79</f>
      </c>
      <c r="AJ79">
        <f>[1]基础资料!AJ79</f>
      </c>
    </row>
    <row r="80">
      <c r="AF80">
        <f>[1]基础资料!AF80&amp;""</f>
      </c>
      <c r="AG80">
        <f>[1]基础资料!AG80&amp;""</f>
      </c>
      <c r="AH80">
        <f>[1]基础资料!AH80</f>
      </c>
      <c r="AI80">
        <f>[1]基础资料!AI80</f>
      </c>
      <c r="AJ80">
        <f>[1]基础资料!AJ80</f>
      </c>
    </row>
    <row r="81">
      <c r="AF81">
        <f>[1]基础资料!AF81&amp;""</f>
      </c>
      <c r="AG81">
        <f>[1]基础资料!AG81&amp;""</f>
      </c>
      <c r="AH81">
        <f>[1]基础资料!AH81</f>
      </c>
      <c r="AI81">
        <f>[1]基础资料!AI81</f>
      </c>
      <c r="AJ81">
        <f>[1]基础资料!AJ81</f>
      </c>
    </row>
    <row r="82">
      <c r="AF82">
        <f>[1]基础资料!AF82&amp;""</f>
      </c>
      <c r="AG82">
        <f>[1]基础资料!AG82&amp;""</f>
      </c>
      <c r="AH82">
        <f>[1]基础资料!AH82</f>
      </c>
      <c r="AI82">
        <f>[1]基础资料!AI82</f>
      </c>
      <c r="AJ82">
        <f>[1]基础资料!AJ82</f>
      </c>
    </row>
    <row r="83">
      <c r="AF83">
        <f>[1]基础资料!AF83&amp;""</f>
      </c>
      <c r="AG83">
        <f>[1]基础资料!AG83&amp;""</f>
      </c>
      <c r="AH83">
        <f>[1]基础资料!AH83</f>
      </c>
      <c r="AI83">
        <f>[1]基础资料!AI83</f>
      </c>
      <c r="AJ83">
        <f>[1]基础资料!AJ83</f>
      </c>
    </row>
    <row r="84">
      <c r="AF84">
        <f>[1]基础资料!AF84&amp;""</f>
      </c>
      <c r="AG84">
        <f>[1]基础资料!AG84&amp;""</f>
      </c>
      <c r="AH84">
        <f>[1]基础资料!AH84</f>
      </c>
      <c r="AI84">
        <f>[1]基础资料!AI84</f>
      </c>
      <c r="AJ84">
        <f>[1]基础资料!AJ84</f>
      </c>
    </row>
    <row r="85">
      <c r="AF85">
        <f>[1]基础资料!AF85&amp;""</f>
      </c>
      <c r="AG85">
        <f>[1]基础资料!AG85&amp;""</f>
      </c>
      <c r="AH85">
        <f>[1]基础资料!AH85</f>
      </c>
      <c r="AI85">
        <f>[1]基础资料!AI85</f>
      </c>
      <c r="AJ85">
        <f>[1]基础资料!AJ85</f>
      </c>
    </row>
    <row r="86">
      <c r="AF86">
        <f>[1]基础资料!AF86&amp;""</f>
      </c>
      <c r="AG86">
        <f>[1]基础资料!AG86&amp;""</f>
      </c>
      <c r="AH86">
        <f>[1]基础资料!AH86</f>
      </c>
      <c r="AI86">
        <f>[1]基础资料!AI86</f>
      </c>
      <c r="AJ86">
        <f>[1]基础资料!AJ86</f>
      </c>
    </row>
    <row r="87">
      <c r="AF87">
        <f>[1]基础资料!AF87&amp;""</f>
      </c>
      <c r="AG87">
        <f>[1]基础资料!AG87&amp;""</f>
      </c>
      <c r="AH87">
        <f>[1]基础资料!AH87</f>
      </c>
      <c r="AI87">
        <f>[1]基础资料!AI87</f>
      </c>
      <c r="AJ87">
        <f>[1]基础资料!AJ87</f>
      </c>
    </row>
    <row r="88">
      <c r="AF88">
        <f>[1]基础资料!AF88&amp;""</f>
      </c>
      <c r="AG88">
        <f>[1]基础资料!AG88&amp;""</f>
      </c>
      <c r="AH88">
        <f>[1]基础资料!AH88</f>
      </c>
      <c r="AI88">
        <f>[1]基础资料!AI88</f>
      </c>
      <c r="AJ88">
        <f>[1]基础资料!AJ88</f>
      </c>
    </row>
    <row r="89">
      <c r="AF89">
        <f>[1]基础资料!AF89&amp;""</f>
      </c>
      <c r="AG89">
        <f>[1]基础资料!AG89&amp;""</f>
      </c>
      <c r="AH89">
        <f>[1]基础资料!AH89</f>
      </c>
      <c r="AI89">
        <f>[1]基础资料!AI89</f>
      </c>
      <c r="AJ89">
        <f>[1]基础资料!AJ89</f>
      </c>
    </row>
    <row r="90">
      <c r="AF90">
        <f>[1]基础资料!AF90&amp;""</f>
      </c>
      <c r="AG90">
        <f>[1]基础资料!AG90&amp;""</f>
      </c>
      <c r="AH90">
        <f>[1]基础资料!AH90</f>
      </c>
      <c r="AI90">
        <f>[1]基础资料!AI90</f>
      </c>
      <c r="AJ90">
        <f>[1]基础资料!AJ90</f>
      </c>
    </row>
    <row r="91">
      <c r="AF91">
        <f>[1]基础资料!AF91&amp;""</f>
      </c>
      <c r="AG91">
        <f>[1]基础资料!AG91&amp;""</f>
      </c>
      <c r="AH91">
        <f>[1]基础资料!AH91</f>
      </c>
      <c r="AI91">
        <f>[1]基础资料!AI91</f>
      </c>
      <c r="AJ91">
        <f>[1]基础资料!AJ91</f>
      </c>
    </row>
    <row r="92">
      <c r="AF92">
        <f>[1]基础资料!AF92&amp;""</f>
      </c>
      <c r="AG92">
        <f>[1]基础资料!AG92&amp;""</f>
      </c>
      <c r="AH92">
        <f>[1]基础资料!AH92</f>
      </c>
      <c r="AI92">
        <f>[1]基础资料!AI92</f>
      </c>
      <c r="AJ92">
        <f>[1]基础资料!AJ92</f>
      </c>
    </row>
    <row r="93">
      <c r="AF93">
        <f>[1]基础资料!AF93&amp;""</f>
      </c>
      <c r="AG93">
        <f>[1]基础资料!AG93&amp;""</f>
      </c>
      <c r="AH93">
        <f>[1]基础资料!AH93</f>
      </c>
      <c r="AI93">
        <f>[1]基础资料!AI93</f>
      </c>
      <c r="AJ93">
        <f>[1]基础资料!AJ93</f>
      </c>
    </row>
    <row r="94">
      <c r="AF94">
        <f>[1]基础资料!AF94&amp;""</f>
      </c>
      <c r="AG94">
        <f>[1]基础资料!AG94&amp;""</f>
      </c>
      <c r="AH94">
        <f>[1]基础资料!AH94</f>
      </c>
      <c r="AI94">
        <f>[1]基础资料!AI94</f>
      </c>
      <c r="AJ94">
        <f>[1]基础资料!AJ94</f>
      </c>
    </row>
    <row r="95">
      <c r="AF95">
        <f>[1]基础资料!AF95&amp;""</f>
      </c>
      <c r="AG95">
        <f>[1]基础资料!AG95&amp;""</f>
      </c>
      <c r="AH95">
        <f>[1]基础资料!AH95</f>
      </c>
      <c r="AI95">
        <f>[1]基础资料!AI95</f>
      </c>
      <c r="AJ95">
        <f>[1]基础资料!AJ95</f>
      </c>
    </row>
    <row r="96">
      <c r="AF96">
        <f>[1]基础资料!AF96&amp;""</f>
      </c>
      <c r="AG96">
        <f>[1]基础资料!AG96&amp;""</f>
      </c>
      <c r="AH96">
        <f>[1]基础资料!AH96</f>
      </c>
      <c r="AI96">
        <f>[1]基础资料!AI96</f>
      </c>
      <c r="AJ96">
        <f>[1]基础资料!AJ96</f>
      </c>
    </row>
    <row r="97">
      <c r="AF97">
        <f>[1]基础资料!AF97&amp;""</f>
      </c>
      <c r="AG97">
        <f>[1]基础资料!AG97&amp;""</f>
      </c>
      <c r="AH97">
        <f>[1]基础资料!AH97</f>
      </c>
      <c r="AI97">
        <f>[1]基础资料!AI97</f>
      </c>
      <c r="AJ97">
        <f>[1]基础资料!AJ97</f>
      </c>
    </row>
    <row r="98">
      <c r="AF98">
        <f>[1]基础资料!AF98&amp;""</f>
      </c>
      <c r="AG98">
        <f>[1]基础资料!AG98&amp;""</f>
      </c>
      <c r="AH98">
        <f>[1]基础资料!AH98</f>
      </c>
      <c r="AI98">
        <f>[1]基础资料!AI98</f>
      </c>
      <c r="AJ98">
        <f>[1]基础资料!AJ98</f>
      </c>
    </row>
    <row r="99">
      <c r="AF99">
        <f>[1]基础资料!AF99&amp;""</f>
      </c>
      <c r="AG99">
        <f>[1]基础资料!AG99&amp;""</f>
      </c>
      <c r="AH99">
        <f>[1]基础资料!AH99</f>
      </c>
      <c r="AI99">
        <f>[1]基础资料!AI99</f>
      </c>
      <c r="AJ99">
        <f>[1]基础资料!AJ99</f>
      </c>
    </row>
    <row r="100">
      <c r="AF100">
        <f>[1]基础资料!AF100&amp;""</f>
      </c>
      <c r="AG100">
        <f>[1]基础资料!AG100&amp;""</f>
      </c>
      <c r="AH100">
        <f>[1]基础资料!AH100</f>
      </c>
      <c r="AI100">
        <f>[1]基础资料!AI100</f>
      </c>
      <c r="AJ100">
        <f>[1]基础资料!AJ100</f>
      </c>
    </row>
    <row r="101">
      <c r="AF101">
        <f>[1]基础资料!AF101&amp;""</f>
      </c>
      <c r="AG101">
        <f>[1]基础资料!AG101&amp;""</f>
      </c>
      <c r="AH101">
        <f>[1]基础资料!AH101</f>
      </c>
      <c r="AI101">
        <f>[1]基础资料!AI101</f>
      </c>
      <c r="AJ101">
        <f>[1]基础资料!AJ101</f>
      </c>
    </row>
    <row r="102">
      <c r="AF102">
        <f>[1]基础资料!AF102&amp;""</f>
      </c>
      <c r="AG102">
        <f>[1]基础资料!AG102&amp;""</f>
      </c>
      <c r="AH102">
        <f>[1]基础资料!AH102</f>
      </c>
      <c r="AI102">
        <f>[1]基础资料!AI102</f>
      </c>
      <c r="AJ102">
        <f>[1]基础资料!AJ102</f>
      </c>
    </row>
    <row r="103">
      <c r="AF103">
        <f>[1]基础资料!AF103&amp;""</f>
      </c>
      <c r="AG103">
        <f>[1]基础资料!AG103&amp;""</f>
      </c>
      <c r="AH103">
        <f>[1]基础资料!AH103</f>
      </c>
      <c r="AI103">
        <f>[1]基础资料!AI103</f>
      </c>
      <c r="AJ103">
        <f>[1]基础资料!AJ103</f>
      </c>
    </row>
    <row r="104">
      <c r="AF104">
        <f>[1]基础资料!AF104&amp;""</f>
      </c>
      <c r="AG104">
        <f>[1]基础资料!AG104&amp;""</f>
      </c>
      <c r="AH104">
        <f>[1]基础资料!AH104</f>
      </c>
      <c r="AI104">
        <f>[1]基础资料!AI104</f>
      </c>
      <c r="AJ104">
        <f>[1]基础资料!AJ104</f>
      </c>
    </row>
    <row r="105">
      <c r="AF105">
        <f>[1]基础资料!AF105&amp;""</f>
      </c>
      <c r="AG105">
        <f>[1]基础资料!AG105&amp;""</f>
      </c>
      <c r="AH105">
        <f>[1]基础资料!AH105</f>
      </c>
      <c r="AI105">
        <f>[1]基础资料!AI105</f>
      </c>
      <c r="AJ105">
        <f>[1]基础资料!AJ105</f>
      </c>
    </row>
    <row r="106">
      <c r="AF106">
        <f>[1]基础资料!AF106&amp;""</f>
      </c>
      <c r="AG106">
        <f>[1]基础资料!AG106&amp;""</f>
      </c>
      <c r="AH106">
        <f>[1]基础资料!AH106</f>
      </c>
      <c r="AI106">
        <f>[1]基础资料!AI106</f>
      </c>
      <c r="AJ106">
        <f>[1]基础资料!AJ106</f>
      </c>
    </row>
    <row r="107">
      <c r="AF107">
        <f>[1]基础资料!AF107&amp;""</f>
      </c>
      <c r="AG107">
        <f>[1]基础资料!AG107&amp;""</f>
      </c>
      <c r="AH107">
        <f>[1]基础资料!AH107</f>
      </c>
      <c r="AI107">
        <f>[1]基础资料!AI107</f>
      </c>
      <c r="AJ107">
        <f>[1]基础资料!AJ107</f>
      </c>
    </row>
    <row r="108">
      <c r="AF108">
        <f>[1]基础资料!AF108&amp;""</f>
      </c>
      <c r="AG108">
        <f>[1]基础资料!AG108&amp;""</f>
      </c>
      <c r="AH108">
        <f>[1]基础资料!AH108</f>
      </c>
      <c r="AI108">
        <f>[1]基础资料!AI108</f>
      </c>
      <c r="AJ108">
        <f>[1]基础资料!AJ108</f>
      </c>
    </row>
    <row r="109">
      <c r="AF109">
        <f>[1]基础资料!AF109&amp;""</f>
      </c>
      <c r="AG109">
        <f>[1]基础资料!AG109&amp;""</f>
      </c>
      <c r="AH109">
        <f>[1]基础资料!AH109</f>
      </c>
      <c r="AI109">
        <f>[1]基础资料!AI109</f>
      </c>
      <c r="AJ109">
        <f>[1]基础资料!AJ109</f>
      </c>
    </row>
    <row r="110">
      <c r="AF110">
        <f>[1]基础资料!AF110&amp;""</f>
      </c>
      <c r="AG110">
        <f>[1]基础资料!AG110&amp;""</f>
      </c>
      <c r="AH110">
        <f>[1]基础资料!AH110</f>
      </c>
      <c r="AI110">
        <f>[1]基础资料!AI110</f>
      </c>
      <c r="AJ110">
        <f>[1]基础资料!AJ110</f>
      </c>
    </row>
    <row r="111">
      <c r="AF111">
        <f>[1]基础资料!AF111&amp;""</f>
      </c>
      <c r="AG111">
        <f>[1]基础资料!AG111&amp;""</f>
      </c>
      <c r="AH111">
        <f>[1]基础资料!AH111</f>
      </c>
      <c r="AI111">
        <f>[1]基础资料!AI111</f>
      </c>
      <c r="AJ111">
        <f>[1]基础资料!AJ111</f>
      </c>
    </row>
    <row r="112">
      <c r="AF112">
        <f>[1]基础资料!AF112&amp;""</f>
      </c>
      <c r="AG112">
        <f>[1]基础资料!AG112&amp;""</f>
      </c>
      <c r="AH112">
        <f>[1]基础资料!AH112</f>
      </c>
      <c r="AI112">
        <f>[1]基础资料!AI112</f>
      </c>
      <c r="AJ112">
        <f>[1]基础资料!AJ112</f>
      </c>
    </row>
    <row r="113">
      <c r="AF113">
        <f>[1]基础资料!AF113&amp;""</f>
      </c>
      <c r="AG113">
        <f>[1]基础资料!AG113&amp;""</f>
      </c>
      <c r="AH113">
        <f>[1]基础资料!AH113</f>
      </c>
      <c r="AI113">
        <f>[1]基础资料!AI113</f>
      </c>
      <c r="AJ113">
        <f>[1]基础资料!AJ113</f>
      </c>
    </row>
    <row r="114">
      <c r="AF114">
        <f>[1]基础资料!AF114&amp;""</f>
      </c>
      <c r="AG114">
        <f>[1]基础资料!AG114&amp;""</f>
      </c>
      <c r="AH114">
        <f>[1]基础资料!AH114</f>
      </c>
      <c r="AI114">
        <f>[1]基础资料!AI114</f>
      </c>
      <c r="AJ114">
        <f>[1]基础资料!AJ114</f>
      </c>
    </row>
    <row r="115">
      <c r="AF115">
        <f>[1]基础资料!AF115&amp;""</f>
      </c>
      <c r="AG115">
        <f>[1]基础资料!AG115&amp;""</f>
      </c>
      <c r="AH115">
        <f>[1]基础资料!AH115</f>
      </c>
      <c r="AI115">
        <f>[1]基础资料!AI115</f>
      </c>
      <c r="AJ115">
        <f>[1]基础资料!AJ115</f>
      </c>
    </row>
    <row r="116">
      <c r="AF116">
        <f>[1]基础资料!AF116&amp;""</f>
      </c>
      <c r="AG116">
        <f>[1]基础资料!AG116&amp;""</f>
      </c>
      <c r="AH116">
        <f>[1]基础资料!AH116</f>
      </c>
      <c r="AI116">
        <f>[1]基础资料!AI116</f>
      </c>
      <c r="AJ116">
        <f>[1]基础资料!AJ116</f>
      </c>
    </row>
    <row r="117">
      <c r="AF117">
        <f>[1]基础资料!AF117&amp;""</f>
      </c>
      <c r="AG117">
        <f>[1]基础资料!AG117&amp;""</f>
      </c>
      <c r="AH117">
        <f>[1]基础资料!AH117</f>
      </c>
      <c r="AI117">
        <f>[1]基础资料!AI117</f>
      </c>
      <c r="AJ117">
        <f>[1]基础资料!AJ117</f>
      </c>
    </row>
    <row r="118">
      <c r="AF118">
        <f>[1]基础资料!AF118&amp;""</f>
      </c>
      <c r="AG118">
        <f>[1]基础资料!AG118&amp;""</f>
      </c>
      <c r="AH118">
        <f>[1]基础资料!AH118</f>
      </c>
      <c r="AI118">
        <f>[1]基础资料!AI118</f>
      </c>
      <c r="AJ118">
        <f>[1]基础资料!AJ118</f>
      </c>
    </row>
    <row r="119">
      <c r="AF119">
        <f>[1]基础资料!AF119&amp;""</f>
      </c>
      <c r="AG119">
        <f>[1]基础资料!AG119&amp;""</f>
      </c>
      <c r="AH119">
        <f>[1]基础资料!AH119</f>
      </c>
      <c r="AI119">
        <f>[1]基础资料!AI119</f>
      </c>
      <c r="AJ119">
        <f>[1]基础资料!AJ119</f>
      </c>
    </row>
    <row r="120">
      <c r="AF120">
        <f>[1]基础资料!AF120&amp;""</f>
      </c>
      <c r="AG120">
        <f>[1]基础资料!AG120&amp;""</f>
      </c>
      <c r="AH120">
        <f>[1]基础资料!AH120</f>
      </c>
      <c r="AI120">
        <f>[1]基础资料!AI120</f>
      </c>
      <c r="AJ120">
        <f>[1]基础资料!AJ120</f>
      </c>
    </row>
    <row r="121">
      <c r="AF121">
        <f>[1]基础资料!AF121&amp;""</f>
      </c>
      <c r="AG121">
        <f>[1]基础资料!AG121&amp;""</f>
      </c>
      <c r="AH121">
        <f>[1]基础资料!AH121</f>
      </c>
      <c r="AI121">
        <f>[1]基础资料!AI121</f>
      </c>
      <c r="AJ121">
        <f>[1]基础资料!AJ121</f>
      </c>
    </row>
    <row r="122">
      <c r="AF122">
        <f>[1]基础资料!AF122&amp;""</f>
      </c>
      <c r="AG122">
        <f>[1]基础资料!AG122&amp;""</f>
      </c>
      <c r="AH122">
        <f>[1]基础资料!AH122</f>
      </c>
      <c r="AI122">
        <f>[1]基础资料!AI122</f>
      </c>
      <c r="AJ122">
        <f>[1]基础资料!AJ122</f>
      </c>
    </row>
    <row r="123">
      <c r="AF123">
        <f>[1]基础资料!AF123&amp;""</f>
      </c>
      <c r="AG123">
        <f>[1]基础资料!AG123&amp;""</f>
      </c>
      <c r="AH123">
        <f>[1]基础资料!AH123</f>
      </c>
      <c r="AI123">
        <f>[1]基础资料!AI123</f>
      </c>
      <c r="AJ123">
        <f>[1]基础资料!AJ123</f>
      </c>
    </row>
    <row r="124">
      <c r="AF124">
        <f>[1]基础资料!AF124&amp;""</f>
      </c>
      <c r="AG124">
        <f>[1]基础资料!AG124&amp;""</f>
      </c>
      <c r="AH124">
        <f>[1]基础资料!AH124</f>
      </c>
      <c r="AI124">
        <f>[1]基础资料!AI124</f>
      </c>
      <c r="AJ124">
        <f>[1]基础资料!AJ124</f>
      </c>
    </row>
    <row r="125">
      <c r="AF125">
        <f>[1]基础资料!AF125&amp;""</f>
      </c>
      <c r="AG125">
        <f>[1]基础资料!AG125&amp;""</f>
      </c>
      <c r="AH125">
        <f>[1]基础资料!AH125</f>
      </c>
      <c r="AI125">
        <f>[1]基础资料!AI125</f>
      </c>
      <c r="AJ125">
        <f>[1]基础资料!AJ125</f>
      </c>
    </row>
    <row r="126">
      <c r="AF126">
        <f>[1]基础资料!AF126&amp;""</f>
      </c>
      <c r="AG126">
        <f>[1]基础资料!AG126&amp;""</f>
      </c>
      <c r="AH126">
        <f>[1]基础资料!AH126</f>
      </c>
      <c r="AI126">
        <f>[1]基础资料!AI126</f>
      </c>
      <c r="AJ126">
        <f>[1]基础资料!AJ126</f>
      </c>
    </row>
    <row r="127">
      <c r="AF127">
        <f>[1]基础资料!AF127&amp;""</f>
      </c>
      <c r="AG127">
        <f>[1]基础资料!AG127&amp;""</f>
      </c>
      <c r="AH127">
        <f>[1]基础资料!AH127</f>
      </c>
      <c r="AI127">
        <f>[1]基础资料!AI127</f>
      </c>
      <c r="AJ127">
        <f>[1]基础资料!AJ127</f>
      </c>
    </row>
    <row r="128">
      <c r="AF128">
        <f>[1]基础资料!AF128&amp;""</f>
      </c>
      <c r="AG128">
        <f>[1]基础资料!AG128&amp;""</f>
      </c>
      <c r="AH128">
        <f>[1]基础资料!AH128</f>
      </c>
      <c r="AI128">
        <f>[1]基础资料!AI128</f>
      </c>
      <c r="AJ128">
        <f>[1]基础资料!AJ128</f>
      </c>
    </row>
    <row r="129">
      <c r="AF129">
        <f>[1]基础资料!AF129&amp;""</f>
      </c>
      <c r="AG129">
        <f>[1]基础资料!AG129&amp;""</f>
      </c>
      <c r="AH129">
        <f>[1]基础资料!AH129</f>
      </c>
      <c r="AI129">
        <f>[1]基础资料!AI129</f>
      </c>
      <c r="AJ129">
        <f>[1]基础资料!AJ129</f>
      </c>
    </row>
    <row r="130">
      <c r="AF130">
        <f>[1]基础资料!AF130&amp;""</f>
      </c>
      <c r="AG130">
        <f>[1]基础资料!AG130&amp;""</f>
      </c>
      <c r="AH130">
        <f>[1]基础资料!AH130</f>
      </c>
      <c r="AI130">
        <f>[1]基础资料!AI130</f>
      </c>
      <c r="AJ130">
        <f>[1]基础资料!AJ130</f>
      </c>
    </row>
    <row r="131">
      <c r="AF131">
        <f>[1]基础资料!AF131&amp;""</f>
      </c>
      <c r="AG131">
        <f>[1]基础资料!AG131&amp;""</f>
      </c>
      <c r="AH131">
        <f>[1]基础资料!AH131</f>
      </c>
      <c r="AI131">
        <f>[1]基础资料!AI131</f>
      </c>
      <c r="AJ131">
        <f>[1]基础资料!AJ131</f>
      </c>
    </row>
    <row r="132">
      <c r="AF132">
        <f>[1]基础资料!AF132&amp;""</f>
      </c>
      <c r="AG132">
        <f>[1]基础资料!AG132&amp;""</f>
      </c>
      <c r="AH132">
        <f>[1]基础资料!AH132</f>
      </c>
      <c r="AI132">
        <f>[1]基础资料!AI132</f>
      </c>
      <c r="AJ132">
        <f>[1]基础资料!AJ132</f>
      </c>
    </row>
    <row r="133">
      <c r="AF133">
        <f>[1]基础资料!AF133&amp;""</f>
      </c>
      <c r="AG133">
        <f>[1]基础资料!AG133&amp;""</f>
      </c>
      <c r="AH133">
        <f>[1]基础资料!AH133</f>
      </c>
      <c r="AI133">
        <f>[1]基础资料!AI133</f>
      </c>
      <c r="AJ133">
        <f>[1]基础资料!AJ133</f>
      </c>
    </row>
    <row r="134">
      <c r="AF134">
        <f>[1]基础资料!AF134&amp;""</f>
      </c>
      <c r="AG134">
        <f>[1]基础资料!AG134&amp;""</f>
      </c>
      <c r="AH134">
        <f>[1]基础资料!AH134</f>
      </c>
      <c r="AI134">
        <f>[1]基础资料!AI134</f>
      </c>
      <c r="AJ134">
        <f>[1]基础资料!AJ134</f>
      </c>
    </row>
    <row r="135">
      <c r="AF135">
        <f>[1]基础资料!AF135&amp;""</f>
      </c>
      <c r="AG135">
        <f>[1]基础资料!AG135&amp;""</f>
      </c>
      <c r="AH135">
        <f>[1]基础资料!AH135</f>
      </c>
      <c r="AI135">
        <f>[1]基础资料!AI135</f>
      </c>
      <c r="AJ135">
        <f>[1]基础资料!AJ135</f>
      </c>
    </row>
    <row r="136">
      <c r="AF136">
        <f>[1]基础资料!AF136&amp;""</f>
      </c>
      <c r="AG136">
        <f>[1]基础资料!AG136&amp;""</f>
      </c>
      <c r="AH136">
        <f>[1]基础资料!AH136</f>
      </c>
      <c r="AI136">
        <f>[1]基础资料!AI136</f>
      </c>
      <c r="AJ136">
        <f>[1]基础资料!AJ136</f>
      </c>
    </row>
    <row r="137">
      <c r="AF137">
        <f>[1]基础资料!AF137&amp;""</f>
      </c>
      <c r="AG137">
        <f>[1]基础资料!AG137&amp;""</f>
      </c>
      <c r="AH137">
        <f>[1]基础资料!AH137</f>
      </c>
      <c r="AI137">
        <f>[1]基础资料!AI137</f>
      </c>
      <c r="AJ137">
        <f>[1]基础资料!AJ137</f>
      </c>
    </row>
    <row r="138">
      <c r="AF138">
        <f>[1]基础资料!AF138&amp;""</f>
      </c>
      <c r="AG138">
        <f>[1]基础资料!AG138&amp;""</f>
      </c>
      <c r="AH138">
        <f>[1]基础资料!AH138</f>
      </c>
      <c r="AI138">
        <f>[1]基础资料!AI138</f>
      </c>
      <c r="AJ138">
        <f>[1]基础资料!AJ138</f>
      </c>
    </row>
    <row r="139">
      <c r="AF139">
        <f>[1]基础资料!AF139&amp;""</f>
      </c>
      <c r="AG139">
        <f>[1]基础资料!AG139&amp;""</f>
      </c>
      <c r="AH139">
        <f>[1]基础资料!AH139</f>
      </c>
      <c r="AI139">
        <f>[1]基础资料!AI139</f>
      </c>
      <c r="AJ139">
        <f>[1]基础资料!AJ139</f>
      </c>
    </row>
    <row r="140">
      <c r="AF140">
        <f>[1]基础资料!AF140&amp;""</f>
      </c>
      <c r="AG140">
        <f>[1]基础资料!AG140&amp;""</f>
      </c>
      <c r="AH140">
        <f>[1]基础资料!AH140</f>
      </c>
      <c r="AI140">
        <f>[1]基础资料!AI140</f>
      </c>
      <c r="AJ140">
        <f>[1]基础资料!AJ140</f>
      </c>
    </row>
    <row r="141">
      <c r="AF141">
        <f>[1]基础资料!AF141&amp;""</f>
      </c>
      <c r="AG141">
        <f>[1]基础资料!AG141&amp;""</f>
      </c>
      <c r="AH141">
        <f>[1]基础资料!AH141</f>
      </c>
      <c r="AI141">
        <f>[1]基础资料!AI141</f>
      </c>
      <c r="AJ141">
        <f>[1]基础资料!AJ141</f>
      </c>
    </row>
    <row r="142">
      <c r="AF142">
        <f>[1]基础资料!AF142&amp;""</f>
      </c>
      <c r="AG142">
        <f>[1]基础资料!AG142&amp;""</f>
      </c>
      <c r="AH142">
        <f>[1]基础资料!AH142</f>
      </c>
      <c r="AI142">
        <f>[1]基础资料!AI142</f>
      </c>
      <c r="AJ142">
        <f>[1]基础资料!AJ142</f>
      </c>
    </row>
    <row r="143">
      <c r="AF143">
        <f>[1]基础资料!AF143&amp;""</f>
      </c>
      <c r="AG143">
        <f>[1]基础资料!AG143&amp;""</f>
      </c>
      <c r="AH143">
        <f>[1]基础资料!AH143</f>
      </c>
      <c r="AI143">
        <f>[1]基础资料!AI143</f>
      </c>
      <c r="AJ143">
        <f>[1]基础资料!AJ143</f>
      </c>
    </row>
    <row r="144">
      <c r="AF144">
        <f>[1]基础资料!AF144&amp;""</f>
      </c>
      <c r="AG144">
        <f>[1]基础资料!AG144&amp;""</f>
      </c>
      <c r="AH144">
        <f>[1]基础资料!AH144</f>
      </c>
      <c r="AI144">
        <f>[1]基础资料!AI144</f>
      </c>
      <c r="AJ144">
        <f>[1]基础资料!AJ144</f>
      </c>
    </row>
    <row r="145">
      <c r="AF145">
        <f>[1]基础资料!AF145&amp;""</f>
      </c>
      <c r="AG145">
        <f>[1]基础资料!AG145&amp;""</f>
      </c>
      <c r="AH145">
        <f>[1]基础资料!AH145</f>
      </c>
      <c r="AI145">
        <f>[1]基础资料!AI145</f>
      </c>
      <c r="AJ145">
        <f>[1]基础资料!AJ145</f>
      </c>
    </row>
    <row r="146">
      <c r="AF146">
        <f>[1]基础资料!AF146&amp;""</f>
      </c>
      <c r="AG146">
        <f>[1]基础资料!AG146&amp;""</f>
      </c>
      <c r="AH146">
        <f>[1]基础资料!AH146</f>
      </c>
      <c r="AI146">
        <f>[1]基础资料!AI146</f>
      </c>
      <c r="AJ146">
        <f>[1]基础资料!AJ146</f>
      </c>
    </row>
    <row r="147">
      <c r="AF147">
        <f>[1]基础资料!AF147&amp;""</f>
      </c>
      <c r="AG147">
        <f>[1]基础资料!AG147&amp;""</f>
      </c>
      <c r="AH147">
        <f>[1]基础资料!AH147</f>
      </c>
      <c r="AI147">
        <f>[1]基础资料!AI147</f>
      </c>
      <c r="AJ147">
        <f>[1]基础资料!AJ147</f>
      </c>
    </row>
    <row r="148">
      <c r="AF148">
        <f>[1]基础资料!AF148&amp;""</f>
      </c>
      <c r="AG148">
        <f>[1]基础资料!AG148&amp;""</f>
      </c>
      <c r="AH148">
        <f>[1]基础资料!AH148</f>
      </c>
      <c r="AI148">
        <f>[1]基础资料!AI148</f>
      </c>
      <c r="AJ148">
        <f>[1]基础资料!AJ148</f>
      </c>
    </row>
    <row r="149">
      <c r="AF149">
        <f>[1]基础资料!AF149&amp;""</f>
      </c>
      <c r="AG149">
        <f>[1]基础资料!AG149&amp;""</f>
      </c>
      <c r="AH149">
        <f>[1]基础资料!AH149</f>
      </c>
      <c r="AI149">
        <f>[1]基础资料!AI149</f>
      </c>
      <c r="AJ149">
        <f>[1]基础资料!AJ149</f>
      </c>
    </row>
    <row r="150">
      <c r="AF150">
        <f>[1]基础资料!AF150&amp;""</f>
      </c>
      <c r="AG150">
        <f>[1]基础资料!AG150&amp;""</f>
      </c>
      <c r="AH150">
        <f>[1]基础资料!AH150</f>
      </c>
      <c r="AI150">
        <f>[1]基础资料!AI150</f>
      </c>
      <c r="AJ150">
        <f>[1]基础资料!AJ150</f>
      </c>
    </row>
    <row r="151">
      <c r="AF151">
        <f>[1]基础资料!AF151&amp;""</f>
      </c>
      <c r="AG151">
        <f>[1]基础资料!AG151&amp;""</f>
      </c>
      <c r="AH151">
        <f>[1]基础资料!AH151</f>
      </c>
      <c r="AI151">
        <f>[1]基础资料!AI151</f>
      </c>
      <c r="AJ151">
        <f>[1]基础资料!AJ151</f>
      </c>
    </row>
    <row r="152">
      <c r="AF152">
        <f>[1]基础资料!AF152&amp;""</f>
      </c>
      <c r="AG152">
        <f>[1]基础资料!AG152&amp;""</f>
      </c>
      <c r="AH152">
        <f>[1]基础资料!AH152</f>
      </c>
      <c r="AI152">
        <f>[1]基础资料!AI152</f>
      </c>
      <c r="AJ152">
        <f>[1]基础资料!AJ152</f>
      </c>
    </row>
    <row r="153">
      <c r="AF153">
        <f>[1]基础资料!AF153&amp;""</f>
      </c>
      <c r="AG153">
        <f>[1]基础资料!AG153&amp;""</f>
      </c>
      <c r="AH153">
        <f>[1]基础资料!AH153</f>
      </c>
      <c r="AI153">
        <f>[1]基础资料!AI153</f>
      </c>
      <c r="AJ153">
        <f>[1]基础资料!AJ153</f>
      </c>
    </row>
    <row r="154">
      <c r="AF154">
        <f>[1]基础资料!AF154&amp;""</f>
      </c>
      <c r="AG154">
        <f>[1]基础资料!AG154&amp;""</f>
      </c>
      <c r="AH154">
        <f>[1]基础资料!AH154</f>
      </c>
      <c r="AI154">
        <f>[1]基础资料!AI154</f>
      </c>
      <c r="AJ154">
        <f>[1]基础资料!AJ154</f>
      </c>
    </row>
    <row r="155">
      <c r="AF155">
        <f>[1]基础资料!AF155&amp;""</f>
      </c>
      <c r="AG155">
        <f>[1]基础资料!AG155&amp;""</f>
      </c>
      <c r="AH155">
        <f>[1]基础资料!AH155</f>
      </c>
      <c r="AI155">
        <f>[1]基础资料!AI155</f>
      </c>
      <c r="AJ155">
        <f>[1]基础资料!AJ155</f>
      </c>
    </row>
    <row r="156">
      <c r="AF156">
        <f>[1]基础资料!AF156&amp;""</f>
      </c>
      <c r="AG156">
        <f>[1]基础资料!AG156&amp;""</f>
      </c>
      <c r="AH156">
        <f>[1]基础资料!AH156</f>
      </c>
      <c r="AI156">
        <f>[1]基础资料!AI156</f>
      </c>
      <c r="AJ156">
        <f>[1]基础资料!AJ156</f>
      </c>
    </row>
    <row r="157">
      <c r="AF157">
        <f>[1]基础资料!AF157&amp;""</f>
      </c>
      <c r="AG157">
        <f>[1]基础资料!AG157&amp;""</f>
      </c>
      <c r="AH157">
        <f>[1]基础资料!AH157</f>
      </c>
      <c r="AI157">
        <f>[1]基础资料!AI157</f>
      </c>
      <c r="AJ157">
        <f>[1]基础资料!AJ157</f>
      </c>
    </row>
    <row r="158">
      <c r="AF158">
        <f>[1]基础资料!AF158&amp;""</f>
      </c>
      <c r="AG158">
        <f>[1]基础资料!AG158&amp;""</f>
      </c>
      <c r="AH158">
        <f>[1]基础资料!AH158</f>
      </c>
      <c r="AI158">
        <f>[1]基础资料!AI158</f>
      </c>
      <c r="AJ158">
        <f>[1]基础资料!AJ158</f>
      </c>
    </row>
    <row r="159">
      <c r="AF159">
        <f>[1]基础资料!AF159&amp;""</f>
      </c>
      <c r="AG159">
        <f>[1]基础资料!AG159&amp;""</f>
      </c>
      <c r="AH159">
        <f>[1]基础资料!AH159</f>
      </c>
      <c r="AI159">
        <f>[1]基础资料!AI159</f>
      </c>
      <c r="AJ159">
        <f>[1]基础资料!AJ159</f>
      </c>
    </row>
    <row r="160">
      <c r="AF160">
        <f>[1]基础资料!AF160&amp;""</f>
      </c>
      <c r="AG160">
        <f>[1]基础资料!AG160&amp;""</f>
      </c>
      <c r="AH160">
        <f>[1]基础资料!AH160</f>
      </c>
      <c r="AI160">
        <f>[1]基础资料!AI160</f>
      </c>
      <c r="AJ160">
        <f>[1]基础资料!AJ160</f>
      </c>
    </row>
    <row r="161">
      <c r="AF161">
        <f>[1]基础资料!AF161&amp;""</f>
      </c>
      <c r="AG161">
        <f>[1]基础资料!AG161&amp;""</f>
      </c>
      <c r="AH161">
        <f>[1]基础资料!AH161</f>
      </c>
      <c r="AI161">
        <f>[1]基础资料!AI161</f>
      </c>
      <c r="AJ161">
        <f>[1]基础资料!AJ161</f>
      </c>
    </row>
    <row r="162">
      <c r="AF162">
        <f>[1]基础资料!AF162&amp;""</f>
      </c>
      <c r="AG162">
        <f>[1]基础资料!AG162&amp;""</f>
      </c>
      <c r="AH162">
        <f>[1]基础资料!AH162</f>
      </c>
      <c r="AI162">
        <f>[1]基础资料!AI162</f>
      </c>
      <c r="AJ162">
        <f>[1]基础资料!AJ162</f>
      </c>
    </row>
    <row r="163">
      <c r="AF163">
        <f>[1]基础资料!AF163&amp;""</f>
      </c>
      <c r="AG163">
        <f>[1]基础资料!AG163&amp;""</f>
      </c>
      <c r="AH163">
        <f>[1]基础资料!AH163</f>
      </c>
      <c r="AI163">
        <f>[1]基础资料!AI163</f>
      </c>
      <c r="AJ163">
        <f>[1]基础资料!AJ163</f>
      </c>
    </row>
    <row r="164">
      <c r="AF164">
        <f>[1]基础资料!AF164&amp;""</f>
      </c>
      <c r="AG164">
        <f>[1]基础资料!AG164&amp;""</f>
      </c>
      <c r="AH164">
        <f>[1]基础资料!AH164</f>
      </c>
      <c r="AI164">
        <f>[1]基础资料!AI164</f>
      </c>
      <c r="AJ164">
        <f>[1]基础资料!AJ164</f>
      </c>
    </row>
    <row r="165">
      <c r="AF165">
        <f>[1]基础资料!AF165&amp;""</f>
      </c>
      <c r="AG165">
        <f>[1]基础资料!AG165&amp;""</f>
      </c>
      <c r="AH165">
        <f>[1]基础资料!AH165</f>
      </c>
      <c r="AI165">
        <f>[1]基础资料!AI165</f>
      </c>
      <c r="AJ165">
        <f>[1]基础资料!AJ165</f>
      </c>
    </row>
    <row r="166">
      <c r="AF166">
        <f>[1]基础资料!AF166&amp;""</f>
      </c>
      <c r="AG166">
        <f>[1]基础资料!AG166&amp;""</f>
      </c>
      <c r="AH166">
        <f>[1]基础资料!AH166</f>
      </c>
      <c r="AI166">
        <f>[1]基础资料!AI166</f>
      </c>
      <c r="AJ166">
        <f>[1]基础资料!AJ166</f>
      </c>
    </row>
    <row r="167">
      <c r="AF167">
        <f>[1]基础资料!AF167&amp;""</f>
      </c>
      <c r="AG167">
        <f>[1]基础资料!AG167&amp;""</f>
      </c>
      <c r="AH167">
        <f>[1]基础资料!AH167</f>
      </c>
      <c r="AI167">
        <f>[1]基础资料!AI167</f>
      </c>
      <c r="AJ167">
        <f>[1]基础资料!AJ167</f>
      </c>
    </row>
    <row r="168">
      <c r="AF168">
        <f>[1]基础资料!AF168&amp;""</f>
      </c>
      <c r="AG168">
        <f>[1]基础资料!AG168&amp;""</f>
      </c>
      <c r="AH168">
        <f>[1]基础资料!AH168</f>
      </c>
      <c r="AI168">
        <f>[1]基础资料!AI168</f>
      </c>
      <c r="AJ168">
        <f>[1]基础资料!AJ168</f>
      </c>
    </row>
    <row r="169">
      <c r="AF169">
        <f>[1]基础资料!AF169&amp;""</f>
      </c>
      <c r="AG169">
        <f>[1]基础资料!AG169&amp;""</f>
      </c>
      <c r="AH169">
        <f>[1]基础资料!AH169</f>
      </c>
      <c r="AI169">
        <f>[1]基础资料!AI169</f>
      </c>
      <c r="AJ169">
        <f>[1]基础资料!AJ169</f>
      </c>
    </row>
    <row r="170">
      <c r="AF170">
        <f>[1]基础资料!AF170&amp;""</f>
      </c>
      <c r="AG170">
        <f>[1]基础资料!AG170&amp;""</f>
      </c>
      <c r="AH170">
        <f>[1]基础资料!AH170</f>
      </c>
      <c r="AI170">
        <f>[1]基础资料!AI170</f>
      </c>
      <c r="AJ170">
        <f>[1]基础资料!AJ170</f>
      </c>
    </row>
    <row r="171">
      <c r="AF171">
        <f>[1]基础资料!AF171&amp;""</f>
      </c>
      <c r="AG171">
        <f>[1]基础资料!AG171&amp;""</f>
      </c>
      <c r="AH171">
        <f>[1]基础资料!AH171</f>
      </c>
      <c r="AI171">
        <f>[1]基础资料!AI171</f>
      </c>
      <c r="AJ171">
        <f>[1]基础资料!AJ171</f>
      </c>
    </row>
    <row r="172">
      <c r="AF172">
        <f>[1]基础资料!AF172&amp;""</f>
      </c>
      <c r="AG172">
        <f>[1]基础资料!AG172&amp;""</f>
      </c>
      <c r="AH172">
        <f>[1]基础资料!AH172</f>
      </c>
      <c r="AI172">
        <f>[1]基础资料!AI172</f>
      </c>
      <c r="AJ172">
        <f>[1]基础资料!AJ172</f>
      </c>
    </row>
    <row r="173">
      <c r="AF173">
        <f>[1]基础资料!AF173&amp;""</f>
      </c>
      <c r="AG173">
        <f>[1]基础资料!AG173&amp;""</f>
      </c>
      <c r="AH173">
        <f>[1]基础资料!AH173</f>
      </c>
      <c r="AI173">
        <f>[1]基础资料!AI173</f>
      </c>
      <c r="AJ173">
        <f>[1]基础资料!AJ173</f>
      </c>
    </row>
    <row r="174">
      <c r="AF174">
        <f>[1]基础资料!AF174&amp;""</f>
      </c>
      <c r="AG174">
        <f>[1]基础资料!AG174&amp;""</f>
      </c>
      <c r="AH174">
        <f>[1]基础资料!AH174</f>
      </c>
      <c r="AI174">
        <f>[1]基础资料!AI174</f>
      </c>
      <c r="AJ174">
        <f>[1]基础资料!AJ174</f>
      </c>
    </row>
    <row r="175">
      <c r="AF175">
        <f>[1]基础资料!AF175&amp;""</f>
      </c>
      <c r="AG175">
        <f>[1]基础资料!AG175&amp;""</f>
      </c>
      <c r="AH175">
        <f>[1]基础资料!AH175</f>
      </c>
      <c r="AI175">
        <f>[1]基础资料!AI175</f>
      </c>
      <c r="AJ175">
        <f>[1]基础资料!AJ175</f>
      </c>
    </row>
    <row r="176">
      <c r="AF176">
        <f>[1]基础资料!AF176&amp;""</f>
      </c>
      <c r="AG176">
        <f>[1]基础资料!AG176&amp;""</f>
      </c>
      <c r="AH176">
        <f>[1]基础资料!AH176</f>
      </c>
      <c r="AI176">
        <f>[1]基础资料!AI176</f>
      </c>
      <c r="AJ176">
        <f>[1]基础资料!AJ176</f>
      </c>
    </row>
    <row r="177">
      <c r="AF177">
        <f>[1]基础资料!AF177&amp;""</f>
      </c>
      <c r="AG177">
        <f>[1]基础资料!AG177&amp;""</f>
      </c>
      <c r="AH177">
        <f>[1]基础资料!AH177</f>
      </c>
      <c r="AI177">
        <f>[1]基础资料!AI177</f>
      </c>
      <c r="AJ177">
        <f>[1]基础资料!AJ177</f>
      </c>
    </row>
    <row r="178">
      <c r="AF178">
        <f>[1]基础资料!AF178&amp;""</f>
      </c>
      <c r="AG178">
        <f>[1]基础资料!AG178&amp;""</f>
      </c>
      <c r="AH178">
        <f>[1]基础资料!AH178</f>
      </c>
      <c r="AI178">
        <f>[1]基础资料!AI178</f>
      </c>
      <c r="AJ178">
        <f>[1]基础资料!AJ178</f>
      </c>
    </row>
    <row r="179">
      <c r="AF179">
        <f>[1]基础资料!AF179&amp;""</f>
      </c>
      <c r="AG179">
        <f>[1]基础资料!AG179&amp;""</f>
      </c>
      <c r="AH179">
        <f>[1]基础资料!AH179</f>
      </c>
      <c r="AI179">
        <f>[1]基础资料!AI179</f>
      </c>
      <c r="AJ179">
        <f>[1]基础资料!AJ179</f>
      </c>
    </row>
    <row r="180">
      <c r="AF180">
        <f>[1]基础资料!AF180&amp;""</f>
      </c>
      <c r="AG180">
        <f>[1]基础资料!AG180&amp;""</f>
      </c>
      <c r="AH180">
        <f>[1]基础资料!AH180</f>
      </c>
      <c r="AI180">
        <f>[1]基础资料!AI180</f>
      </c>
      <c r="AJ180">
        <f>[1]基础资料!AJ180</f>
      </c>
    </row>
    <row r="181">
      <c r="AF181">
        <f>[1]基础资料!AF181&amp;""</f>
      </c>
      <c r="AG181">
        <f>[1]基础资料!AG181&amp;""</f>
      </c>
      <c r="AH181">
        <f>[1]基础资料!AH181</f>
      </c>
      <c r="AI181">
        <f>[1]基础资料!AI181</f>
      </c>
      <c r="AJ181">
        <f>[1]基础资料!AJ181</f>
      </c>
    </row>
    <row r="182">
      <c r="AF182">
        <f>[1]基础资料!AF182&amp;""</f>
      </c>
      <c r="AG182">
        <f>[1]基础资料!AG182&amp;""</f>
      </c>
      <c r="AH182">
        <f>[1]基础资料!AH182</f>
      </c>
      <c r="AI182">
        <f>[1]基础资料!AI182</f>
      </c>
      <c r="AJ182">
        <f>[1]基础资料!AJ182</f>
      </c>
    </row>
    <row r="183">
      <c r="AF183">
        <f>[1]基础资料!AF183&amp;""</f>
      </c>
      <c r="AG183">
        <f>[1]基础资料!AG183&amp;""</f>
      </c>
      <c r="AH183">
        <f>[1]基础资料!AH183</f>
      </c>
      <c r="AI183">
        <f>[1]基础资料!AI183</f>
      </c>
      <c r="AJ183">
        <f>[1]基础资料!AJ183</f>
      </c>
    </row>
    <row r="184">
      <c r="AF184">
        <f>[1]基础资料!AF184&amp;""</f>
      </c>
      <c r="AG184">
        <f>[1]基础资料!AG184&amp;""</f>
      </c>
      <c r="AH184">
        <f>[1]基础资料!AH184</f>
      </c>
      <c r="AI184">
        <f>[1]基础资料!AI184</f>
      </c>
      <c r="AJ184">
        <f>[1]基础资料!AJ184</f>
      </c>
    </row>
    <row r="185">
      <c r="AF185">
        <f>[1]基础资料!AF185&amp;""</f>
      </c>
      <c r="AG185">
        <f>[1]基础资料!AG185&amp;""</f>
      </c>
      <c r="AH185">
        <f>[1]基础资料!AH185</f>
      </c>
      <c r="AI185">
        <f>[1]基础资料!AI185</f>
      </c>
      <c r="AJ185">
        <f>[1]基础资料!AJ185</f>
      </c>
    </row>
    <row r="186">
      <c r="AF186">
        <f>[1]基础资料!AF186&amp;""</f>
      </c>
      <c r="AG186">
        <f>[1]基础资料!AG186&amp;""</f>
      </c>
      <c r="AH186">
        <f>[1]基础资料!AH186</f>
      </c>
      <c r="AI186">
        <f>[1]基础资料!AI186</f>
      </c>
      <c r="AJ186">
        <f>[1]基础资料!AJ186</f>
      </c>
    </row>
    <row r="187">
      <c r="AF187">
        <f>[1]基础资料!AF187&amp;""</f>
      </c>
      <c r="AG187">
        <f>[1]基础资料!AG187&amp;""</f>
      </c>
      <c r="AH187">
        <f>[1]基础资料!AH187</f>
      </c>
      <c r="AI187">
        <f>[1]基础资料!AI187</f>
      </c>
      <c r="AJ187">
        <f>[1]基础资料!AJ187</f>
      </c>
    </row>
    <row r="188">
      <c r="AF188">
        <f>[1]基础资料!AF188&amp;""</f>
      </c>
      <c r="AG188">
        <f>[1]基础资料!AG188&amp;""</f>
      </c>
      <c r="AH188">
        <f>[1]基础资料!AH188</f>
      </c>
      <c r="AI188">
        <f>[1]基础资料!AI188</f>
      </c>
      <c r="AJ188">
        <f>[1]基础资料!AJ188</f>
      </c>
    </row>
    <row r="189">
      <c r="AF189">
        <f>[1]基础资料!AF189&amp;""</f>
      </c>
      <c r="AG189">
        <f>[1]基础资料!AG189&amp;""</f>
      </c>
      <c r="AH189">
        <f>[1]基础资料!AH189</f>
      </c>
      <c r="AI189">
        <f>[1]基础资料!AI189</f>
      </c>
      <c r="AJ189">
        <f>[1]基础资料!AJ189</f>
      </c>
    </row>
    <row r="190">
      <c r="AF190">
        <f>[1]基础资料!AF190&amp;""</f>
      </c>
      <c r="AG190">
        <f>[1]基础资料!AG190&amp;""</f>
      </c>
      <c r="AH190">
        <f>[1]基础资料!AH190</f>
      </c>
      <c r="AI190">
        <f>[1]基础资料!AI190</f>
      </c>
      <c r="AJ190">
        <f>[1]基础资料!AJ190</f>
      </c>
    </row>
    <row r="191">
      <c r="AF191">
        <f>[1]基础资料!AF191&amp;""</f>
      </c>
      <c r="AG191">
        <f>[1]基础资料!AG191&amp;""</f>
      </c>
      <c r="AH191">
        <f>[1]基础资料!AH191</f>
      </c>
      <c r="AI191">
        <f>[1]基础资料!AI191</f>
      </c>
      <c r="AJ191">
        <f>[1]基础资料!AJ191</f>
      </c>
    </row>
    <row r="192">
      <c r="AF192">
        <f>[1]基础资料!AF192&amp;""</f>
      </c>
      <c r="AG192">
        <f>[1]基础资料!AG192&amp;""</f>
      </c>
      <c r="AH192">
        <f>[1]基础资料!AH192</f>
      </c>
      <c r="AI192">
        <f>[1]基础资料!AI192</f>
      </c>
      <c r="AJ192">
        <f>[1]基础资料!AJ192</f>
      </c>
    </row>
    <row r="193">
      <c r="AF193">
        <f>[1]基础资料!AF193&amp;""</f>
      </c>
      <c r="AG193">
        <f>[1]基础资料!AG193&amp;""</f>
      </c>
      <c r="AH193">
        <f>[1]基础资料!AH193</f>
      </c>
      <c r="AI193">
        <f>[1]基础资料!AI193</f>
      </c>
      <c r="AJ193">
        <f>[1]基础资料!AJ193</f>
      </c>
    </row>
    <row r="194">
      <c r="AF194">
        <f>[1]基础资料!AF194&amp;""</f>
      </c>
      <c r="AG194">
        <f>[1]基础资料!AG194&amp;""</f>
      </c>
      <c r="AH194">
        <f>[1]基础资料!AH194</f>
      </c>
      <c r="AI194">
        <f>[1]基础资料!AI194</f>
      </c>
      <c r="AJ194">
        <f>[1]基础资料!AJ194</f>
      </c>
    </row>
    <row r="195">
      <c r="AF195">
        <f>[1]基础资料!AF195&amp;""</f>
      </c>
      <c r="AG195">
        <f>[1]基础资料!AG195&amp;""</f>
      </c>
      <c r="AH195">
        <f>[1]基础资料!AH195</f>
      </c>
      <c r="AI195">
        <f>[1]基础资料!AI195</f>
      </c>
      <c r="AJ195">
        <f>[1]基础资料!AJ195</f>
      </c>
    </row>
    <row r="196">
      <c r="AF196">
        <f>[1]基础资料!AF196&amp;""</f>
      </c>
      <c r="AG196">
        <f>[1]基础资料!AG196&amp;""</f>
      </c>
      <c r="AH196">
        <f>[1]基础资料!AH196</f>
      </c>
      <c r="AI196">
        <f>[1]基础资料!AI196</f>
      </c>
      <c r="AJ196">
        <f>[1]基础资料!AJ196</f>
      </c>
    </row>
    <row r="197">
      <c r="AF197">
        <f>[1]基础资料!AF197&amp;""</f>
      </c>
      <c r="AG197">
        <f>[1]基础资料!AG197&amp;""</f>
      </c>
      <c r="AH197">
        <f>[1]基础资料!AH197</f>
      </c>
      <c r="AI197">
        <f>[1]基础资料!AI197</f>
      </c>
      <c r="AJ197">
        <f>[1]基础资料!AJ197</f>
      </c>
    </row>
    <row r="198">
      <c r="AF198">
        <f>[1]基础资料!AF198&amp;""</f>
      </c>
      <c r="AG198">
        <f>[1]基础资料!AG198&amp;""</f>
      </c>
      <c r="AH198">
        <f>[1]基础资料!AH198</f>
      </c>
      <c r="AI198">
        <f>[1]基础资料!AI198</f>
      </c>
      <c r="AJ198">
        <f>[1]基础资料!AJ198</f>
      </c>
    </row>
    <row r="199">
      <c r="AF199">
        <f>[1]基础资料!AF199&amp;""</f>
      </c>
      <c r="AG199">
        <f>[1]基础资料!AG199&amp;""</f>
      </c>
      <c r="AH199">
        <f>[1]基础资料!AH199</f>
      </c>
      <c r="AI199">
        <f>[1]基础资料!AI199</f>
      </c>
      <c r="AJ199">
        <f>[1]基础资料!AJ199</f>
      </c>
    </row>
    <row r="200">
      <c r="AF200">
        <f>[1]基础资料!AF200&amp;""</f>
      </c>
      <c r="AG200">
        <f>[1]基础资料!AG200&amp;""</f>
      </c>
      <c r="AH200">
        <f>[1]基础资料!AH200</f>
      </c>
      <c r="AI200">
        <f>[1]基础资料!AI200</f>
      </c>
      <c r="AJ200">
        <f>[1]基础资料!AJ200</f>
      </c>
    </row>
    <row r="201">
      <c r="AF201">
        <f>[1]基础资料!AF201&amp;""</f>
      </c>
      <c r="AG201">
        <f>[1]基础资料!AG201&amp;""</f>
      </c>
      <c r="AH201">
        <f>[1]基础资料!AH201</f>
      </c>
      <c r="AI201">
        <f>[1]基础资料!AI201</f>
      </c>
      <c r="AJ201">
        <f>[1]基础资料!AJ201</f>
      </c>
    </row>
    <row r="202">
      <c r="AF202">
        <f>[1]基础资料!AF202&amp;""</f>
      </c>
      <c r="AG202">
        <f>[1]基础资料!AG202&amp;""</f>
      </c>
      <c r="AH202">
        <f>[1]基础资料!AH202</f>
      </c>
      <c r="AI202">
        <f>[1]基础资料!AI202</f>
      </c>
      <c r="AJ202">
        <f>[1]基础资料!AJ202</f>
      </c>
    </row>
    <row r="203">
      <c r="AF203">
        <f>[1]基础资料!AF203&amp;""</f>
      </c>
      <c r="AG203">
        <f>[1]基础资料!AG203&amp;""</f>
      </c>
      <c r="AH203">
        <f>[1]基础资料!AH203</f>
      </c>
      <c r="AI203">
        <f>[1]基础资料!AI203</f>
      </c>
      <c r="AJ203">
        <f>[1]基础资料!AJ203</f>
      </c>
    </row>
    <row r="204">
      <c r="AF204">
        <f>[1]基础资料!AF204&amp;""</f>
      </c>
      <c r="AG204">
        <f>[1]基础资料!AG204&amp;""</f>
      </c>
      <c r="AH204">
        <f>[1]基础资料!AH204</f>
      </c>
      <c r="AI204">
        <f>[1]基础资料!AI204</f>
      </c>
      <c r="AJ204">
        <f>[1]基础资料!AJ204</f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603"/>
  <sheetViews>
    <sheetView tabSelected="0" workbookViewId="0">
      <selection activeCell="A1" sqref="A1"/>
    </sheetView>
  </sheetViews>
  <sheetFormatPr baseColWidth="8" defaultRowHeight="15"/>
  <sheetData>
    <row r="1">
      <c r="A1" s="88" t="inlineStr">
        <is>
          <t>（取数用，别改：数据来自【A065-1_流水发票导入.xlsx】的【往来单位】）</t>
        </is>
      </c>
    </row>
    <row r="4">
      <c r="B4" t="str">
        <f>[1]往来单位!B4&amp;""</f>
        <v>宁波鹿小白机电有限公司</v>
      </c>
      <c r="C4" t="str">
        <f>[1]往来单位!C4&amp;""</f>
        <v>客户</v>
      </c>
    </row>
    <row r="5">
      <c r="B5" t="str">
        <f>[1]往来单位!B5&amp;""</f>
        <v>宁波安程汽车服务有限公司</v>
      </c>
      <c r="C5" t="str">
        <f>[1]往来单位!C5&amp;""</f>
        <v>客户</v>
      </c>
    </row>
    <row r="6">
      <c r="B6" t="str">
        <f>[1]往来单位!B6&amp;""</f>
        <v>宁波市华方塑料机械制造有限公司</v>
      </c>
      <c r="C6" t="str">
        <f>[1]往来单位!C6&amp;""</f>
        <v>客户</v>
      </c>
    </row>
    <row r="7">
      <c r="B7" t="str">
        <f>[1]往来单位!B7&amp;""</f>
        <v>宁波市昕阳国际贸易有限公司</v>
      </c>
      <c r="C7" t="str">
        <f>[1]往来单位!C7&amp;""</f>
        <v>客户</v>
      </c>
    </row>
    <row r="8">
      <c r="B8" t="str">
        <f>[1]往来单位!B8&amp;""</f>
        <v>宁波永程纸制品有限公司</v>
      </c>
      <c r="C8" t="str">
        <f>[1]往来单位!C8&amp;""</f>
        <v>客户</v>
      </c>
    </row>
    <row r="9">
      <c r="B9" t="str">
        <f>[1]往来单位!B9&amp;""</f>
        <v>鄞州区福明街道国际汽车城业主委员会</v>
      </c>
      <c r="C9" t="str">
        <f>[1]往来单位!C9&amp;""</f>
        <v>客户</v>
      </c>
    </row>
    <row r="10">
      <c r="B10" t="str">
        <f>[1]往来单位!B10&amp;""</f>
        <v>宁波市鄞州瑞益通风设备有限公司</v>
      </c>
      <c r="C10" t="str">
        <f>[1]往来单位!C10&amp;""</f>
        <v>客户</v>
      </c>
    </row>
    <row r="11">
      <c r="B11" t="str">
        <f>[1]往来单位!B11&amp;""</f>
        <v>宁波市鄞州五乡晓林五金机械厂</v>
      </c>
      <c r="C11" t="str">
        <f>[1]往来单位!C11&amp;""</f>
        <v>客户</v>
      </c>
    </row>
    <row r="12">
      <c r="B12" t="str">
        <f>[1]往来单位!B12&amp;""</f>
        <v>宜柏嘉（宁波）智能科技有限公司</v>
      </c>
      <c r="C12" t="str">
        <f>[1]往来单位!C12&amp;""</f>
        <v>客户</v>
      </c>
    </row>
    <row r="13">
      <c r="B13" t="str">
        <f>[1]往来单位!B13&amp;""</f>
        <v>宁波优责标识科技有限公司</v>
      </c>
      <c r="C13" t="str">
        <f>[1]往来单位!C13&amp;""</f>
        <v>客户</v>
      </c>
    </row>
    <row r="14">
      <c r="B14" t="str">
        <f>[1]往来单位!B14&amp;""</f>
        <v>宁波新鹏机械有限公司</v>
      </c>
      <c r="C14" t="str">
        <f>[1]往来单位!C14&amp;""</f>
        <v>客户</v>
      </c>
    </row>
    <row r="15">
      <c r="B15" t="str">
        <f>[1]往来单位!B15&amp;""</f>
        <v>宁波恒杰工业锁闭技术有限公司</v>
      </c>
      <c r="C15" t="str">
        <f>[1]往来单位!C15&amp;""</f>
        <v>客户</v>
      </c>
    </row>
    <row r="16">
      <c r="B16" t="str">
        <f>[1]往来单位!B16&amp;""</f>
        <v>宁波绮绘印花有限公司</v>
      </c>
      <c r="C16" t="str">
        <f>[1]往来单位!C16&amp;""</f>
        <v>客户</v>
      </c>
    </row>
    <row r="17">
      <c r="B17" t="str">
        <f>[1]往来单位!B17&amp;""</f>
        <v>浙江省成套工程有限公司鄞州分公司</v>
      </c>
      <c r="C17" t="str">
        <f>[1]往来单位!C17&amp;""</f>
        <v>客户</v>
      </c>
    </row>
    <row r="18">
      <c r="B18" t="str">
        <f>[1]往来单位!B18&amp;""</f>
        <v>宁波市吉安商会</v>
      </c>
      <c r="C18" t="str">
        <f>[1]往来单位!C18&amp;""</f>
        <v>客户</v>
      </c>
    </row>
    <row r="19">
      <c r="B19" t="str">
        <f>[1]往来单位!B19&amp;""</f>
        <v>宁波绵菡电子有限公司</v>
      </c>
      <c r="C19" t="str">
        <f>[1]往来单位!C19&amp;""</f>
        <v>客户</v>
      </c>
    </row>
    <row r="20">
      <c r="B20" t="str">
        <f>[1]往来单位!B20&amp;""</f>
        <v>宁波启定塑料制品有限公司</v>
      </c>
      <c r="C20" t="str">
        <f>[1]往来单位!C20&amp;""</f>
        <v>客户</v>
      </c>
    </row>
    <row r="21">
      <c r="B21" t="str">
        <f>[1]往来单位!B21&amp;""</f>
        <v>宁波佳协永立服饰有限公司</v>
      </c>
      <c r="C21" t="str">
        <f>[1]往来单位!C21&amp;""</f>
        <v>客户</v>
      </c>
    </row>
    <row r="22">
      <c r="B22" t="str">
        <f>[1]往来单位!B22&amp;""</f>
        <v>宁波市鄞州烈盛电子有限公司</v>
      </c>
      <c r="C22" t="str">
        <f>[1]往来单位!C22&amp;""</f>
        <v>客户</v>
      </c>
    </row>
    <row r="23">
      <c r="B23" t="str">
        <f>[1]往来单位!B23&amp;""</f>
        <v>宁波盛晞钛金科技有限公司</v>
      </c>
      <c r="C23" t="str">
        <f>[1]往来单位!C23&amp;""</f>
        <v>客户</v>
      </c>
    </row>
    <row r="24">
      <c r="B24" t="str">
        <f>[1]往来单位!B24&amp;""</f>
        <v>宁波恒世通实业有限公司</v>
      </c>
      <c r="C24" t="str">
        <f>[1]往来单位!C24&amp;""</f>
        <v>客户</v>
      </c>
    </row>
    <row r="25">
      <c r="B25" t="str">
        <f>[1]往来单位!B25&amp;""</f>
        <v>中国电信股份有限公司宁波分公司</v>
      </c>
      <c r="C25" t="str">
        <f>[1]往来单位!C25&amp;""</f>
        <v>供应商</v>
      </c>
    </row>
    <row r="26">
      <c r="B26" t="str">
        <f>[1]往来单位!B26&amp;""</f>
        <v>国库（税款）</v>
      </c>
      <c r="C26" t="str">
        <f>[1]往来单位!C26&amp;""</f>
        <v>税务银行</v>
      </c>
    </row>
    <row r="27">
      <c r="B27" t="str">
        <f>[1]往来单位!B27&amp;""</f>
        <v>宁波市鄞州钱路新材料有限公司</v>
      </c>
      <c r="C27" t="str">
        <f>[1]往来单位!C27&amp;""</f>
        <v>客户</v>
      </c>
    </row>
    <row r="28">
      <c r="B28" t="str">
        <f>[1]往来单位!B28&amp;""</f>
        <v>上海康驻达科技有限公司</v>
      </c>
      <c r="C28" t="str">
        <f>[1]往来单位!C28&amp;""</f>
        <v>客户</v>
      </c>
    </row>
    <row r="29">
      <c r="B29" t="str">
        <f>[1]往来单位!B29&amp;""</f>
        <v>思佰科（宁波）工程服务有限公司</v>
      </c>
      <c r="C29" t="str">
        <f>[1]往来单位!C29&amp;""</f>
        <v>客户</v>
      </c>
    </row>
    <row r="30">
      <c r="B30" t="str">
        <f>[1]往来单位!B30&amp;""</f>
        <v>宁波宫泽精密机械有限公司</v>
      </c>
      <c r="C30" t="str">
        <f>[1]往来单位!C30&amp;""</f>
        <v>客户</v>
      </c>
    </row>
    <row r="31">
      <c r="B31" t="str">
        <f>[1]往来单位!B31&amp;""</f>
        <v>苏州工业园区猫受屋百货零售店（个体工商户）</v>
      </c>
      <c r="C31" t="str">
        <f>[1]往来单位!C31&amp;""</f>
        <v>客户</v>
      </c>
    </row>
    <row r="32">
      <c r="B32" t="str">
        <f>[1]往来单位!B32&amp;""</f>
        <v>秦淮区猫受屋百货零售店（个体工商户）</v>
      </c>
      <c r="C32" t="str">
        <f>[1]往来单位!C32&amp;""</f>
        <v>客户</v>
      </c>
    </row>
    <row r="33">
      <c r="B33" t="str">
        <f>[1]往来单位!B33&amp;""</f>
        <v>西安市雁塔区谷的猫百货零售店（个体工商户）</v>
      </c>
      <c r="C33" t="str">
        <f>[1]往来单位!C33&amp;""</f>
        <v>客户</v>
      </c>
    </row>
    <row r="34">
      <c r="B34">
        <f>[1]往来单位!B34&amp;""</f>
      </c>
      <c r="C34">
        <f>[1]往来单位!C34&amp;""</f>
      </c>
    </row>
    <row r="35">
      <c r="B35">
        <f>[1]往来单位!B35&amp;""</f>
      </c>
      <c r="C35">
        <f>[1]往来单位!C35&amp;""</f>
      </c>
    </row>
    <row r="36">
      <c r="B36">
        <f>[1]往来单位!B36&amp;""</f>
      </c>
      <c r="C36">
        <f>[1]往来单位!C36&amp;""</f>
      </c>
    </row>
    <row r="37">
      <c r="B37">
        <f>[1]往来单位!B37&amp;""</f>
      </c>
      <c r="C37">
        <f>[1]往来单位!C37&amp;""</f>
      </c>
    </row>
    <row r="38">
      <c r="B38">
        <f>[1]往来单位!B38&amp;""</f>
      </c>
      <c r="C38">
        <f>[1]往来单位!C38&amp;""</f>
      </c>
    </row>
    <row r="39">
      <c r="B39">
        <f>[1]往来单位!B39&amp;""</f>
      </c>
      <c r="C39">
        <f>[1]往来单位!C39&amp;""</f>
      </c>
    </row>
    <row r="40">
      <c r="B40">
        <f>[1]往来单位!B40&amp;""</f>
      </c>
      <c r="C40">
        <f>[1]往来单位!C40&amp;""</f>
      </c>
    </row>
    <row r="41">
      <c r="B41">
        <f>[1]往来单位!B41&amp;""</f>
      </c>
      <c r="C41">
        <f>[1]往来单位!C41&amp;""</f>
      </c>
    </row>
    <row r="42">
      <c r="B42">
        <f>[1]往来单位!B42&amp;""</f>
      </c>
      <c r="C42">
        <f>[1]往来单位!C42&amp;""</f>
      </c>
    </row>
    <row r="43">
      <c r="B43">
        <f>[1]往来单位!B43&amp;""</f>
      </c>
      <c r="C43">
        <f>[1]往来单位!C43&amp;""</f>
      </c>
    </row>
    <row r="44">
      <c r="B44">
        <f>[1]往来单位!B44&amp;""</f>
      </c>
      <c r="C44">
        <f>[1]往来单位!C44&amp;""</f>
      </c>
    </row>
    <row r="45">
      <c r="B45">
        <f>[1]往来单位!B45&amp;""</f>
      </c>
      <c r="C45">
        <f>[1]往来单位!C45&amp;""</f>
      </c>
    </row>
    <row r="46">
      <c r="B46">
        <f>[1]往来单位!B46&amp;""</f>
      </c>
      <c r="C46">
        <f>[1]往来单位!C46&amp;""</f>
      </c>
    </row>
    <row r="47">
      <c r="B47">
        <f>[1]往来单位!B47&amp;""</f>
      </c>
      <c r="C47">
        <f>[1]往来单位!C47&amp;""</f>
      </c>
    </row>
    <row r="48">
      <c r="B48">
        <f>[1]往来单位!B48&amp;""</f>
      </c>
      <c r="C48">
        <f>[1]往来单位!C48&amp;""</f>
      </c>
    </row>
    <row r="49">
      <c r="B49">
        <f>[1]往来单位!B49&amp;""</f>
      </c>
      <c r="C49">
        <f>[1]往来单位!C49&amp;""</f>
      </c>
    </row>
    <row r="50">
      <c r="B50">
        <f>[1]往来单位!B50&amp;""</f>
      </c>
      <c r="C50">
        <f>[1]往来单位!C50&amp;""</f>
      </c>
    </row>
    <row r="51">
      <c r="B51">
        <f>[1]往来单位!B51&amp;""</f>
      </c>
      <c r="C51">
        <f>[1]往来单位!C51&amp;""</f>
      </c>
    </row>
    <row r="52">
      <c r="B52">
        <f>[1]往来单位!B52&amp;""</f>
      </c>
      <c r="C52">
        <f>[1]往来单位!C52&amp;""</f>
      </c>
    </row>
    <row r="53">
      <c r="B53">
        <f>[1]往来单位!B53&amp;""</f>
      </c>
      <c r="C53">
        <f>[1]往来单位!C53&amp;""</f>
      </c>
    </row>
    <row r="54">
      <c r="B54">
        <f>[1]往来单位!B54&amp;""</f>
      </c>
      <c r="C54">
        <f>[1]往来单位!C54&amp;""</f>
      </c>
    </row>
    <row r="55">
      <c r="B55">
        <f>[1]往来单位!B55&amp;""</f>
      </c>
      <c r="C55">
        <f>[1]往来单位!C55&amp;""</f>
      </c>
    </row>
    <row r="56">
      <c r="B56">
        <f>[1]往来单位!B56&amp;""</f>
      </c>
      <c r="C56">
        <f>[1]往来单位!C56&amp;""</f>
      </c>
    </row>
    <row r="57">
      <c r="B57">
        <f>[1]往来单位!B57&amp;""</f>
      </c>
      <c r="C57">
        <f>[1]往来单位!C57&amp;""</f>
      </c>
    </row>
    <row r="58">
      <c r="B58">
        <f>[1]往来单位!B58&amp;""</f>
      </c>
      <c r="C58">
        <f>[1]往来单位!C58&amp;""</f>
      </c>
    </row>
    <row r="59">
      <c r="B59">
        <f>[1]往来单位!B59&amp;""</f>
      </c>
      <c r="C59">
        <f>[1]往来单位!C59&amp;""</f>
      </c>
    </row>
    <row r="60">
      <c r="B60">
        <f>[1]往来单位!B60&amp;""</f>
      </c>
      <c r="C60">
        <f>[1]往来单位!C60&amp;""</f>
      </c>
    </row>
    <row r="61">
      <c r="B61">
        <f>[1]往来单位!B61&amp;""</f>
      </c>
      <c r="C61">
        <f>[1]往来单位!C61&amp;""</f>
      </c>
    </row>
    <row r="62">
      <c r="B62">
        <f>[1]往来单位!B62&amp;""</f>
      </c>
      <c r="C62">
        <f>[1]往来单位!C62&amp;""</f>
      </c>
    </row>
    <row r="63">
      <c r="B63">
        <f>[1]往来单位!B63&amp;""</f>
      </c>
      <c r="C63">
        <f>[1]往来单位!C63&amp;""</f>
      </c>
    </row>
    <row r="64">
      <c r="B64">
        <f>[1]往来单位!B64&amp;""</f>
      </c>
      <c r="C64">
        <f>[1]往来单位!C64&amp;""</f>
      </c>
    </row>
    <row r="65">
      <c r="B65">
        <f>[1]往来单位!B65&amp;""</f>
      </c>
      <c r="C65">
        <f>[1]往来单位!C65&amp;""</f>
      </c>
    </row>
    <row r="66">
      <c r="B66">
        <f>[1]往来单位!B66&amp;""</f>
      </c>
      <c r="C66">
        <f>[1]往来单位!C66&amp;""</f>
      </c>
    </row>
    <row r="67">
      <c r="B67">
        <f>[1]往来单位!B67&amp;""</f>
      </c>
      <c r="C67">
        <f>[1]往来单位!C67&amp;""</f>
      </c>
    </row>
    <row r="68">
      <c r="B68">
        <f>[1]往来单位!B68&amp;""</f>
      </c>
      <c r="C68">
        <f>[1]往来单位!C68&amp;""</f>
      </c>
    </row>
    <row r="69">
      <c r="B69">
        <f>[1]往来单位!B69&amp;""</f>
      </c>
      <c r="C69">
        <f>[1]往来单位!C69&amp;""</f>
      </c>
    </row>
    <row r="70">
      <c r="B70">
        <f>[1]往来单位!B70&amp;""</f>
      </c>
      <c r="C70">
        <f>[1]往来单位!C70&amp;""</f>
      </c>
    </row>
    <row r="71">
      <c r="B71">
        <f>[1]往来单位!B71&amp;""</f>
      </c>
      <c r="C71">
        <f>[1]往来单位!C71&amp;""</f>
      </c>
    </row>
    <row r="72">
      <c r="B72">
        <f>[1]往来单位!B72&amp;""</f>
      </c>
      <c r="C72">
        <f>[1]往来单位!C72&amp;""</f>
      </c>
    </row>
    <row r="73">
      <c r="B73">
        <f>[1]往来单位!B73&amp;""</f>
      </c>
      <c r="C73">
        <f>[1]往来单位!C73&amp;""</f>
      </c>
    </row>
    <row r="74">
      <c r="B74">
        <f>[1]往来单位!B74&amp;""</f>
      </c>
      <c r="C74">
        <f>[1]往来单位!C74&amp;""</f>
      </c>
    </row>
    <row r="75">
      <c r="B75">
        <f>[1]往来单位!B75&amp;""</f>
      </c>
      <c r="C75">
        <f>[1]往来单位!C75&amp;""</f>
      </c>
    </row>
    <row r="76">
      <c r="B76">
        <f>[1]往来单位!B76&amp;""</f>
      </c>
      <c r="C76">
        <f>[1]往来单位!C76&amp;""</f>
      </c>
    </row>
    <row r="77">
      <c r="B77">
        <f>[1]往来单位!B77&amp;""</f>
      </c>
      <c r="C77">
        <f>[1]往来单位!C77&amp;""</f>
      </c>
    </row>
    <row r="78">
      <c r="B78">
        <f>[1]往来单位!B78&amp;""</f>
      </c>
      <c r="C78">
        <f>[1]往来单位!C78&amp;""</f>
      </c>
    </row>
    <row r="79">
      <c r="B79">
        <f>[1]往来单位!B79&amp;""</f>
      </c>
      <c r="C79">
        <f>[1]往来单位!C79&amp;""</f>
      </c>
    </row>
    <row r="80">
      <c r="B80">
        <f>[1]往来单位!B80&amp;""</f>
      </c>
      <c r="C80">
        <f>[1]往来单位!C80&amp;""</f>
      </c>
    </row>
    <row r="81">
      <c r="B81">
        <f>[1]往来单位!B81&amp;""</f>
      </c>
      <c r="C81">
        <f>[1]往来单位!C81&amp;""</f>
      </c>
    </row>
    <row r="82">
      <c r="B82">
        <f>[1]往来单位!B82&amp;""</f>
      </c>
      <c r="C82">
        <f>[1]往来单位!C82&amp;""</f>
      </c>
    </row>
    <row r="83">
      <c r="B83">
        <f>[1]往来单位!B83&amp;""</f>
      </c>
      <c r="C83">
        <f>[1]往来单位!C83&amp;""</f>
      </c>
    </row>
    <row r="84">
      <c r="B84">
        <f>[1]往来单位!B84&amp;""</f>
      </c>
      <c r="C84">
        <f>[1]往来单位!C84&amp;""</f>
      </c>
    </row>
    <row r="85">
      <c r="B85">
        <f>[1]往来单位!B85&amp;""</f>
      </c>
      <c r="C85">
        <f>[1]往来单位!C85&amp;""</f>
      </c>
    </row>
    <row r="86">
      <c r="B86">
        <f>[1]往来单位!B86&amp;""</f>
      </c>
      <c r="C86">
        <f>[1]往来单位!C86&amp;""</f>
      </c>
    </row>
    <row r="87">
      <c r="B87">
        <f>[1]往来单位!B87&amp;""</f>
      </c>
      <c r="C87">
        <f>[1]往来单位!C87&amp;""</f>
      </c>
    </row>
    <row r="88">
      <c r="B88">
        <f>[1]往来单位!B88&amp;""</f>
      </c>
      <c r="C88">
        <f>[1]往来单位!C88&amp;""</f>
      </c>
    </row>
    <row r="89">
      <c r="B89">
        <f>[1]往来单位!B89&amp;""</f>
      </c>
      <c r="C89">
        <f>[1]往来单位!C89&amp;""</f>
      </c>
    </row>
    <row r="90">
      <c r="B90">
        <f>[1]往来单位!B90&amp;""</f>
      </c>
      <c r="C90">
        <f>[1]往来单位!C90&amp;""</f>
      </c>
    </row>
    <row r="91">
      <c r="B91">
        <f>[1]往来单位!B91&amp;""</f>
      </c>
      <c r="C91">
        <f>[1]往来单位!C91&amp;""</f>
      </c>
    </row>
    <row r="92">
      <c r="B92">
        <f>[1]往来单位!B92&amp;""</f>
      </c>
      <c r="C92">
        <f>[1]往来单位!C92&amp;""</f>
      </c>
    </row>
    <row r="93">
      <c r="B93">
        <f>[1]往来单位!B93&amp;""</f>
      </c>
      <c r="C93">
        <f>[1]往来单位!C93&amp;""</f>
      </c>
    </row>
    <row r="94">
      <c r="B94">
        <f>[1]往来单位!B94&amp;""</f>
      </c>
      <c r="C94">
        <f>[1]往来单位!C94&amp;""</f>
      </c>
    </row>
    <row r="95">
      <c r="B95">
        <f>[1]往来单位!B95&amp;""</f>
      </c>
      <c r="C95">
        <f>[1]往来单位!C95&amp;""</f>
      </c>
    </row>
    <row r="96">
      <c r="B96">
        <f>[1]往来单位!B96&amp;""</f>
      </c>
      <c r="C96">
        <f>[1]往来单位!C96&amp;""</f>
      </c>
    </row>
    <row r="97">
      <c r="B97">
        <f>[1]往来单位!B97&amp;""</f>
      </c>
      <c r="C97">
        <f>[1]往来单位!C97&amp;""</f>
      </c>
    </row>
    <row r="98">
      <c r="B98">
        <f>[1]往来单位!B98&amp;""</f>
      </c>
      <c r="C98">
        <f>[1]往来单位!C98&amp;""</f>
      </c>
    </row>
    <row r="99">
      <c r="B99">
        <f>[1]往来单位!B99&amp;""</f>
      </c>
      <c r="C99">
        <f>[1]往来单位!C99&amp;""</f>
      </c>
    </row>
    <row r="100">
      <c r="B100">
        <f>[1]往来单位!B100&amp;""</f>
      </c>
      <c r="C100">
        <f>[1]往来单位!C100&amp;""</f>
      </c>
    </row>
    <row r="101">
      <c r="B101">
        <f>[1]往来单位!B101&amp;""</f>
      </c>
      <c r="C101">
        <f>[1]往来单位!C101&amp;""</f>
      </c>
    </row>
    <row r="102">
      <c r="B102">
        <f>[1]往来单位!B102&amp;""</f>
      </c>
      <c r="C102">
        <f>[1]往来单位!C102&amp;""</f>
      </c>
    </row>
    <row r="103">
      <c r="B103">
        <f>[1]往来单位!B103&amp;""</f>
      </c>
      <c r="C103">
        <f>[1]往来单位!C103&amp;""</f>
      </c>
    </row>
    <row r="104">
      <c r="B104">
        <f>[1]往来单位!B104&amp;""</f>
      </c>
      <c r="C104">
        <f>[1]往来单位!C104&amp;""</f>
      </c>
    </row>
    <row r="105">
      <c r="B105">
        <f>[1]往来单位!B105&amp;""</f>
      </c>
      <c r="C105">
        <f>[1]往来单位!C105&amp;""</f>
      </c>
    </row>
    <row r="106">
      <c r="B106">
        <f>[1]往来单位!B106&amp;""</f>
      </c>
      <c r="C106">
        <f>[1]往来单位!C106&amp;""</f>
      </c>
    </row>
    <row r="107">
      <c r="B107">
        <f>[1]往来单位!B107&amp;""</f>
      </c>
      <c r="C107">
        <f>[1]往来单位!C107&amp;""</f>
      </c>
    </row>
    <row r="108">
      <c r="B108">
        <f>[1]往来单位!B108&amp;""</f>
      </c>
      <c r="C108">
        <f>[1]往来单位!C108&amp;""</f>
      </c>
    </row>
    <row r="109">
      <c r="B109">
        <f>[1]往来单位!B109&amp;""</f>
      </c>
      <c r="C109">
        <f>[1]往来单位!C109&amp;""</f>
      </c>
    </row>
    <row r="110">
      <c r="B110">
        <f>[1]往来单位!B110&amp;""</f>
      </c>
      <c r="C110">
        <f>[1]往来单位!C110&amp;""</f>
      </c>
    </row>
    <row r="111">
      <c r="B111">
        <f>[1]往来单位!B111&amp;""</f>
      </c>
      <c r="C111">
        <f>[1]往来单位!C111&amp;""</f>
      </c>
    </row>
    <row r="112">
      <c r="B112">
        <f>[1]往来单位!B112&amp;""</f>
      </c>
      <c r="C112">
        <f>[1]往来单位!C112&amp;""</f>
      </c>
    </row>
    <row r="113">
      <c r="B113">
        <f>[1]往来单位!B113&amp;""</f>
      </c>
      <c r="C113">
        <f>[1]往来单位!C113&amp;""</f>
      </c>
    </row>
    <row r="114">
      <c r="B114">
        <f>[1]往来单位!B114&amp;""</f>
      </c>
      <c r="C114">
        <f>[1]往来单位!C114&amp;""</f>
      </c>
    </row>
    <row r="115">
      <c r="B115">
        <f>[1]往来单位!B115&amp;""</f>
      </c>
      <c r="C115">
        <f>[1]往来单位!C115&amp;""</f>
      </c>
    </row>
    <row r="116">
      <c r="B116">
        <f>[1]往来单位!B116&amp;""</f>
      </c>
      <c r="C116">
        <f>[1]往来单位!C116&amp;""</f>
      </c>
    </row>
    <row r="117">
      <c r="B117">
        <f>[1]往来单位!B117&amp;""</f>
      </c>
      <c r="C117">
        <f>[1]往来单位!C117&amp;""</f>
      </c>
    </row>
    <row r="118">
      <c r="B118">
        <f>[1]往来单位!B118&amp;""</f>
      </c>
      <c r="C118">
        <f>[1]往来单位!C118&amp;""</f>
      </c>
    </row>
    <row r="119">
      <c r="B119">
        <f>[1]往来单位!B119&amp;""</f>
      </c>
      <c r="C119">
        <f>[1]往来单位!C119&amp;""</f>
      </c>
    </row>
    <row r="120">
      <c r="B120">
        <f>[1]往来单位!B120&amp;""</f>
      </c>
      <c r="C120">
        <f>[1]往来单位!C120&amp;""</f>
      </c>
    </row>
    <row r="121">
      <c r="B121">
        <f>[1]往来单位!B121&amp;""</f>
      </c>
      <c r="C121">
        <f>[1]往来单位!C121&amp;""</f>
      </c>
    </row>
    <row r="122">
      <c r="B122">
        <f>[1]往来单位!B122&amp;""</f>
      </c>
      <c r="C122">
        <f>[1]往来单位!C122&amp;""</f>
      </c>
    </row>
    <row r="123">
      <c r="B123">
        <f>[1]往来单位!B123&amp;""</f>
      </c>
      <c r="C123">
        <f>[1]往来单位!C123&amp;""</f>
      </c>
    </row>
    <row r="124">
      <c r="B124">
        <f>[1]往来单位!B124&amp;""</f>
      </c>
      <c r="C124">
        <f>[1]往来单位!C124&amp;""</f>
      </c>
    </row>
    <row r="125">
      <c r="B125">
        <f>[1]往来单位!B125&amp;""</f>
      </c>
      <c r="C125">
        <f>[1]往来单位!C125&amp;""</f>
      </c>
    </row>
    <row r="126">
      <c r="B126">
        <f>[1]往来单位!B126&amp;""</f>
      </c>
      <c r="C126">
        <f>[1]往来单位!C126&amp;""</f>
      </c>
    </row>
    <row r="127">
      <c r="B127">
        <f>[1]往来单位!B127&amp;""</f>
      </c>
      <c r="C127">
        <f>[1]往来单位!C127&amp;""</f>
      </c>
    </row>
    <row r="128">
      <c r="B128">
        <f>[1]往来单位!B128&amp;""</f>
      </c>
      <c r="C128">
        <f>[1]往来单位!C128&amp;""</f>
      </c>
    </row>
    <row r="129">
      <c r="B129">
        <f>[1]往来单位!B129&amp;""</f>
      </c>
      <c r="C129">
        <f>[1]往来单位!C129&amp;""</f>
      </c>
    </row>
    <row r="130">
      <c r="B130">
        <f>[1]往来单位!B130&amp;""</f>
      </c>
      <c r="C130">
        <f>[1]往来单位!C130&amp;""</f>
      </c>
    </row>
    <row r="131">
      <c r="B131">
        <f>[1]往来单位!B131&amp;""</f>
      </c>
      <c r="C131">
        <f>[1]往来单位!C131&amp;""</f>
      </c>
    </row>
    <row r="132">
      <c r="B132">
        <f>[1]往来单位!B132&amp;""</f>
      </c>
      <c r="C132">
        <f>[1]往来单位!C132&amp;""</f>
      </c>
    </row>
    <row r="133">
      <c r="B133">
        <f>[1]往来单位!B133&amp;""</f>
      </c>
      <c r="C133">
        <f>[1]往来单位!C133&amp;""</f>
      </c>
    </row>
    <row r="134">
      <c r="B134">
        <f>[1]往来单位!B134&amp;""</f>
      </c>
      <c r="C134">
        <f>[1]往来单位!C134&amp;""</f>
      </c>
    </row>
    <row r="135">
      <c r="B135">
        <f>[1]往来单位!B135&amp;""</f>
      </c>
      <c r="C135">
        <f>[1]往来单位!C135&amp;""</f>
      </c>
    </row>
    <row r="136">
      <c r="B136">
        <f>[1]往来单位!B136&amp;""</f>
      </c>
      <c r="C136">
        <f>[1]往来单位!C136&amp;""</f>
      </c>
    </row>
    <row r="137">
      <c r="B137">
        <f>[1]往来单位!B137&amp;""</f>
      </c>
      <c r="C137">
        <f>[1]往来单位!C137&amp;""</f>
      </c>
    </row>
    <row r="138">
      <c r="B138">
        <f>[1]往来单位!B138&amp;""</f>
      </c>
      <c r="C138">
        <f>[1]往来单位!C138&amp;""</f>
      </c>
    </row>
    <row r="139">
      <c r="B139">
        <f>[1]往来单位!B139&amp;""</f>
      </c>
      <c r="C139">
        <f>[1]往来单位!C139&amp;""</f>
      </c>
    </row>
    <row r="140">
      <c r="B140">
        <f>[1]往来单位!B140&amp;""</f>
      </c>
      <c r="C140">
        <f>[1]往来单位!C140&amp;""</f>
      </c>
    </row>
    <row r="141">
      <c r="B141">
        <f>[1]往来单位!B141&amp;""</f>
      </c>
      <c r="C141">
        <f>[1]往来单位!C141&amp;""</f>
      </c>
    </row>
    <row r="142">
      <c r="B142">
        <f>[1]往来单位!B142&amp;""</f>
      </c>
      <c r="C142">
        <f>[1]往来单位!C142&amp;""</f>
      </c>
    </row>
    <row r="143">
      <c r="B143">
        <f>[1]往来单位!B143&amp;""</f>
      </c>
      <c r="C143">
        <f>[1]往来单位!C143&amp;""</f>
      </c>
    </row>
    <row r="144">
      <c r="B144">
        <f>[1]往来单位!B144&amp;""</f>
      </c>
      <c r="C144">
        <f>[1]往来单位!C144&amp;""</f>
      </c>
    </row>
    <row r="145">
      <c r="B145">
        <f>[1]往来单位!B145&amp;""</f>
      </c>
      <c r="C145">
        <f>[1]往来单位!C145&amp;""</f>
      </c>
    </row>
    <row r="146">
      <c r="B146">
        <f>[1]往来单位!B146&amp;""</f>
      </c>
      <c r="C146">
        <f>[1]往来单位!C146&amp;""</f>
      </c>
    </row>
    <row r="147">
      <c r="B147">
        <f>[1]往来单位!B147&amp;""</f>
      </c>
      <c r="C147">
        <f>[1]往来单位!C147&amp;""</f>
      </c>
    </row>
    <row r="148">
      <c r="B148">
        <f>[1]往来单位!B148&amp;""</f>
      </c>
      <c r="C148">
        <f>[1]往来单位!C148&amp;""</f>
      </c>
    </row>
    <row r="149">
      <c r="B149">
        <f>[1]往来单位!B149&amp;""</f>
      </c>
      <c r="C149">
        <f>[1]往来单位!C149&amp;""</f>
      </c>
    </row>
    <row r="150">
      <c r="B150">
        <f>[1]往来单位!B150&amp;""</f>
      </c>
      <c r="C150">
        <f>[1]往来单位!C150&amp;""</f>
      </c>
    </row>
    <row r="151">
      <c r="B151">
        <f>[1]往来单位!B151&amp;""</f>
      </c>
      <c r="C151">
        <f>[1]往来单位!C151&amp;""</f>
      </c>
    </row>
    <row r="152">
      <c r="B152">
        <f>[1]往来单位!B152&amp;""</f>
      </c>
      <c r="C152">
        <f>[1]往来单位!C152&amp;""</f>
      </c>
    </row>
    <row r="153">
      <c r="B153">
        <f>[1]往来单位!B153&amp;""</f>
      </c>
      <c r="C153">
        <f>[1]往来单位!C153&amp;""</f>
      </c>
    </row>
    <row r="154">
      <c r="B154">
        <f>[1]往来单位!B154&amp;""</f>
      </c>
      <c r="C154">
        <f>[1]往来单位!C154&amp;""</f>
      </c>
    </row>
    <row r="155">
      <c r="B155">
        <f>[1]往来单位!B155&amp;""</f>
      </c>
      <c r="C155">
        <f>[1]往来单位!C155&amp;""</f>
      </c>
    </row>
    <row r="156">
      <c r="B156">
        <f>[1]往来单位!B156&amp;""</f>
      </c>
      <c r="C156">
        <f>[1]往来单位!C156&amp;""</f>
      </c>
    </row>
    <row r="157">
      <c r="B157">
        <f>[1]往来单位!B157&amp;""</f>
      </c>
      <c r="C157">
        <f>[1]往来单位!C157&amp;""</f>
      </c>
    </row>
    <row r="158">
      <c r="B158">
        <f>[1]往来单位!B158&amp;""</f>
      </c>
      <c r="C158">
        <f>[1]往来单位!C158&amp;""</f>
      </c>
    </row>
    <row r="159">
      <c r="B159">
        <f>[1]往来单位!B159&amp;""</f>
      </c>
      <c r="C159">
        <f>[1]往来单位!C159&amp;""</f>
      </c>
    </row>
    <row r="160">
      <c r="B160">
        <f>[1]往来单位!B160&amp;""</f>
      </c>
      <c r="C160">
        <f>[1]往来单位!C160&amp;""</f>
      </c>
    </row>
    <row r="161">
      <c r="B161">
        <f>[1]往来单位!B161&amp;""</f>
      </c>
      <c r="C161">
        <f>[1]往来单位!C161&amp;""</f>
      </c>
    </row>
    <row r="162">
      <c r="B162">
        <f>[1]往来单位!B162&amp;""</f>
      </c>
      <c r="C162">
        <f>[1]往来单位!C162&amp;""</f>
      </c>
    </row>
    <row r="163">
      <c r="B163">
        <f>[1]往来单位!B163&amp;""</f>
      </c>
      <c r="C163">
        <f>[1]往来单位!C163&amp;""</f>
      </c>
    </row>
    <row r="164">
      <c r="B164">
        <f>[1]往来单位!B164&amp;""</f>
      </c>
      <c r="C164">
        <f>[1]往来单位!C164&amp;""</f>
      </c>
    </row>
    <row r="165">
      <c r="B165">
        <f>[1]往来单位!B165&amp;""</f>
      </c>
      <c r="C165">
        <f>[1]往来单位!C165&amp;""</f>
      </c>
    </row>
    <row r="166">
      <c r="B166">
        <f>[1]往来单位!B166&amp;""</f>
      </c>
      <c r="C166">
        <f>[1]往来单位!C166&amp;""</f>
      </c>
    </row>
    <row r="167">
      <c r="B167">
        <f>[1]往来单位!B167&amp;""</f>
      </c>
      <c r="C167">
        <f>[1]往来单位!C167&amp;""</f>
      </c>
    </row>
    <row r="168">
      <c r="B168">
        <f>[1]往来单位!B168&amp;""</f>
      </c>
      <c r="C168">
        <f>[1]往来单位!C168&amp;""</f>
      </c>
    </row>
    <row r="169">
      <c r="B169">
        <f>[1]往来单位!B169&amp;""</f>
      </c>
      <c r="C169">
        <f>[1]往来单位!C169&amp;""</f>
      </c>
    </row>
    <row r="170">
      <c r="B170">
        <f>[1]往来单位!B170&amp;""</f>
      </c>
      <c r="C170">
        <f>[1]往来单位!C170&amp;""</f>
      </c>
    </row>
    <row r="171">
      <c r="B171">
        <f>[1]往来单位!B171&amp;""</f>
      </c>
      <c r="C171">
        <f>[1]往来单位!C171&amp;""</f>
      </c>
    </row>
    <row r="172">
      <c r="B172">
        <f>[1]往来单位!B172&amp;""</f>
      </c>
      <c r="C172">
        <f>[1]往来单位!C172&amp;""</f>
      </c>
    </row>
    <row r="173">
      <c r="B173">
        <f>[1]往来单位!B173&amp;""</f>
      </c>
      <c r="C173">
        <f>[1]往来单位!C173&amp;""</f>
      </c>
    </row>
    <row r="174">
      <c r="B174">
        <f>[1]往来单位!B174&amp;""</f>
      </c>
      <c r="C174">
        <f>[1]往来单位!C174&amp;""</f>
      </c>
    </row>
    <row r="175">
      <c r="B175">
        <f>[1]往来单位!B175&amp;""</f>
      </c>
      <c r="C175">
        <f>[1]往来单位!C175&amp;""</f>
      </c>
    </row>
    <row r="176">
      <c r="B176">
        <f>[1]往来单位!B176&amp;""</f>
      </c>
      <c r="C176">
        <f>[1]往来单位!C176&amp;""</f>
      </c>
    </row>
    <row r="177">
      <c r="B177">
        <f>[1]往来单位!B177&amp;""</f>
      </c>
      <c r="C177">
        <f>[1]往来单位!C177&amp;""</f>
      </c>
    </row>
    <row r="178">
      <c r="B178">
        <f>[1]往来单位!B178&amp;""</f>
      </c>
      <c r="C178">
        <f>[1]往来单位!C178&amp;""</f>
      </c>
    </row>
    <row r="179">
      <c r="B179">
        <f>[1]往来单位!B179&amp;""</f>
      </c>
      <c r="C179">
        <f>[1]往来单位!C179&amp;""</f>
      </c>
    </row>
    <row r="180">
      <c r="B180">
        <f>[1]往来单位!B180&amp;""</f>
      </c>
      <c r="C180">
        <f>[1]往来单位!C180&amp;""</f>
      </c>
    </row>
    <row r="181">
      <c r="B181">
        <f>[1]往来单位!B181&amp;""</f>
      </c>
      <c r="C181">
        <f>[1]往来单位!C181&amp;""</f>
      </c>
    </row>
    <row r="182">
      <c r="B182">
        <f>[1]往来单位!B182&amp;""</f>
      </c>
      <c r="C182">
        <f>[1]往来单位!C182&amp;""</f>
      </c>
    </row>
    <row r="183">
      <c r="B183">
        <f>[1]往来单位!B183&amp;""</f>
      </c>
      <c r="C183">
        <f>[1]往来单位!C183&amp;""</f>
      </c>
    </row>
    <row r="184">
      <c r="B184">
        <f>[1]往来单位!B184&amp;""</f>
      </c>
      <c r="C184">
        <f>[1]往来单位!C184&amp;""</f>
      </c>
    </row>
    <row r="185">
      <c r="B185">
        <f>[1]往来单位!B185&amp;""</f>
      </c>
      <c r="C185">
        <f>[1]往来单位!C185&amp;""</f>
      </c>
    </row>
    <row r="186">
      <c r="B186">
        <f>[1]往来单位!B186&amp;""</f>
      </c>
      <c r="C186">
        <f>[1]往来单位!C186&amp;""</f>
      </c>
    </row>
    <row r="187">
      <c r="B187">
        <f>[1]往来单位!B187&amp;""</f>
      </c>
      <c r="C187">
        <f>[1]往来单位!C187&amp;""</f>
      </c>
    </row>
    <row r="188">
      <c r="B188">
        <f>[1]往来单位!B188&amp;""</f>
      </c>
      <c r="C188">
        <f>[1]往来单位!C188&amp;""</f>
      </c>
    </row>
    <row r="189">
      <c r="B189">
        <f>[1]往来单位!B189&amp;""</f>
      </c>
      <c r="C189">
        <f>[1]往来单位!C189&amp;""</f>
      </c>
    </row>
    <row r="190">
      <c r="B190">
        <f>[1]往来单位!B190&amp;""</f>
      </c>
      <c r="C190">
        <f>[1]往来单位!C190&amp;""</f>
      </c>
    </row>
    <row r="191">
      <c r="B191">
        <f>[1]往来单位!B191&amp;""</f>
      </c>
      <c r="C191">
        <f>[1]往来单位!C191&amp;""</f>
      </c>
    </row>
    <row r="192">
      <c r="B192">
        <f>[1]往来单位!B192&amp;""</f>
      </c>
      <c r="C192">
        <f>[1]往来单位!C192&amp;""</f>
      </c>
    </row>
    <row r="193">
      <c r="B193">
        <f>[1]往来单位!B193&amp;""</f>
      </c>
      <c r="C193">
        <f>[1]往来单位!C193&amp;""</f>
      </c>
    </row>
    <row r="194">
      <c r="B194">
        <f>[1]往来单位!B194&amp;""</f>
      </c>
      <c r="C194">
        <f>[1]往来单位!C194&amp;""</f>
      </c>
    </row>
    <row r="195">
      <c r="B195">
        <f>[1]往来单位!B195&amp;""</f>
      </c>
      <c r="C195">
        <f>[1]往来单位!C195&amp;""</f>
      </c>
    </row>
    <row r="196">
      <c r="B196">
        <f>[1]往来单位!B196&amp;""</f>
      </c>
      <c r="C196">
        <f>[1]往来单位!C196&amp;""</f>
      </c>
    </row>
    <row r="197">
      <c r="B197">
        <f>[1]往来单位!B197&amp;""</f>
      </c>
      <c r="C197">
        <f>[1]往来单位!C197&amp;""</f>
      </c>
    </row>
    <row r="198">
      <c r="B198">
        <f>[1]往来单位!B198&amp;""</f>
      </c>
      <c r="C198">
        <f>[1]往来单位!C198&amp;""</f>
      </c>
    </row>
    <row r="199">
      <c r="B199">
        <f>[1]往来单位!B199&amp;""</f>
      </c>
      <c r="C199">
        <f>[1]往来单位!C199&amp;""</f>
      </c>
    </row>
    <row r="200">
      <c r="B200">
        <f>[1]往来单位!B200&amp;""</f>
      </c>
      <c r="C200">
        <f>[1]往来单位!C200&amp;""</f>
      </c>
    </row>
    <row r="201">
      <c r="B201">
        <f>[1]往来单位!B201&amp;""</f>
      </c>
      <c r="C201">
        <f>[1]往来单位!C201&amp;""</f>
      </c>
    </row>
    <row r="202">
      <c r="B202">
        <f>[1]往来单位!B202&amp;""</f>
      </c>
      <c r="C202">
        <f>[1]往来单位!C202&amp;""</f>
      </c>
    </row>
    <row r="203">
      <c r="B203">
        <f>[1]往来单位!B203&amp;""</f>
      </c>
      <c r="C203">
        <f>[1]往来单位!C203&amp;""</f>
      </c>
    </row>
    <row r="204">
      <c r="B204">
        <f>[1]往来单位!B204&amp;""</f>
      </c>
      <c r="C204">
        <f>[1]往来单位!C204&amp;""</f>
      </c>
    </row>
    <row r="205">
      <c r="B205">
        <f>[1]往来单位!B205&amp;""</f>
      </c>
      <c r="C205">
        <f>[1]往来单位!C205&amp;""</f>
      </c>
    </row>
    <row r="206">
      <c r="B206">
        <f>[1]往来单位!B206&amp;""</f>
      </c>
      <c r="C206">
        <f>[1]往来单位!C206&amp;""</f>
      </c>
    </row>
    <row r="207">
      <c r="B207">
        <f>[1]往来单位!B207&amp;""</f>
      </c>
      <c r="C207">
        <f>[1]往来单位!C207&amp;""</f>
      </c>
    </row>
    <row r="208">
      <c r="B208">
        <f>[1]往来单位!B208&amp;""</f>
      </c>
      <c r="C208">
        <f>[1]往来单位!C208&amp;""</f>
      </c>
    </row>
    <row r="209">
      <c r="B209">
        <f>[1]往来单位!B209&amp;""</f>
      </c>
      <c r="C209">
        <f>[1]往来单位!C209&amp;""</f>
      </c>
    </row>
    <row r="210">
      <c r="B210">
        <f>[1]往来单位!B210&amp;""</f>
      </c>
      <c r="C210">
        <f>[1]往来单位!C210&amp;""</f>
      </c>
    </row>
    <row r="211">
      <c r="B211">
        <f>[1]往来单位!B211&amp;""</f>
      </c>
      <c r="C211">
        <f>[1]往来单位!C211&amp;""</f>
      </c>
    </row>
    <row r="212">
      <c r="B212">
        <f>[1]往来单位!B212&amp;""</f>
      </c>
      <c r="C212">
        <f>[1]往来单位!C212&amp;""</f>
      </c>
    </row>
    <row r="213">
      <c r="B213">
        <f>[1]往来单位!B213&amp;""</f>
      </c>
      <c r="C213">
        <f>[1]往来单位!C213&amp;""</f>
      </c>
    </row>
    <row r="214">
      <c r="B214">
        <f>[1]往来单位!B214&amp;""</f>
      </c>
      <c r="C214">
        <f>[1]往来单位!C214&amp;""</f>
      </c>
    </row>
    <row r="215">
      <c r="B215">
        <f>[1]往来单位!B215&amp;""</f>
      </c>
      <c r="C215">
        <f>[1]往来单位!C215&amp;""</f>
      </c>
    </row>
    <row r="216">
      <c r="B216">
        <f>[1]往来单位!B216&amp;""</f>
      </c>
      <c r="C216">
        <f>[1]往来单位!C216&amp;""</f>
      </c>
    </row>
    <row r="217">
      <c r="B217">
        <f>[1]往来单位!B217&amp;""</f>
      </c>
      <c r="C217">
        <f>[1]往来单位!C217&amp;""</f>
      </c>
    </row>
    <row r="218">
      <c r="B218">
        <f>[1]往来单位!B218&amp;""</f>
      </c>
      <c r="C218">
        <f>[1]往来单位!C218&amp;""</f>
      </c>
    </row>
    <row r="219">
      <c r="B219">
        <f>[1]往来单位!B219&amp;""</f>
      </c>
      <c r="C219">
        <f>[1]往来单位!C219&amp;""</f>
      </c>
    </row>
    <row r="220">
      <c r="B220">
        <f>[1]往来单位!B220&amp;""</f>
      </c>
      <c r="C220">
        <f>[1]往来单位!C220&amp;""</f>
      </c>
    </row>
    <row r="221">
      <c r="B221">
        <f>[1]往来单位!B221&amp;""</f>
      </c>
      <c r="C221">
        <f>[1]往来单位!C221&amp;""</f>
      </c>
    </row>
    <row r="222">
      <c r="B222">
        <f>[1]往来单位!B222&amp;""</f>
      </c>
      <c r="C222">
        <f>[1]往来单位!C222&amp;""</f>
      </c>
    </row>
    <row r="223">
      <c r="B223">
        <f>[1]往来单位!B223&amp;""</f>
      </c>
      <c r="C223">
        <f>[1]往来单位!C223&amp;""</f>
      </c>
    </row>
    <row r="224">
      <c r="B224">
        <f>[1]往来单位!B224&amp;""</f>
      </c>
      <c r="C224">
        <f>[1]往来单位!C224&amp;""</f>
      </c>
    </row>
    <row r="225">
      <c r="B225">
        <f>[1]往来单位!B225&amp;""</f>
      </c>
      <c r="C225">
        <f>[1]往来单位!C225&amp;""</f>
      </c>
    </row>
    <row r="226">
      <c r="B226">
        <f>[1]往来单位!B226&amp;""</f>
      </c>
      <c r="C226">
        <f>[1]往来单位!C226&amp;""</f>
      </c>
    </row>
    <row r="227">
      <c r="B227">
        <f>[1]往来单位!B227&amp;""</f>
      </c>
      <c r="C227">
        <f>[1]往来单位!C227&amp;""</f>
      </c>
    </row>
    <row r="228">
      <c r="B228">
        <f>[1]往来单位!B228&amp;""</f>
      </c>
      <c r="C228">
        <f>[1]往来单位!C228&amp;""</f>
      </c>
    </row>
    <row r="229">
      <c r="B229">
        <f>[1]往来单位!B229&amp;""</f>
      </c>
      <c r="C229">
        <f>[1]往来单位!C229&amp;""</f>
      </c>
    </row>
    <row r="230">
      <c r="B230">
        <f>[1]往来单位!B230&amp;""</f>
      </c>
      <c r="C230">
        <f>[1]往来单位!C230&amp;""</f>
      </c>
    </row>
    <row r="231">
      <c r="B231">
        <f>[1]往来单位!B231&amp;""</f>
      </c>
      <c r="C231">
        <f>[1]往来单位!C231&amp;""</f>
      </c>
    </row>
    <row r="232">
      <c r="B232">
        <f>[1]往来单位!B232&amp;""</f>
      </c>
      <c r="C232">
        <f>[1]往来单位!C232&amp;""</f>
      </c>
    </row>
    <row r="233">
      <c r="B233">
        <f>[1]往来单位!B233&amp;""</f>
      </c>
      <c r="C233">
        <f>[1]往来单位!C233&amp;""</f>
      </c>
    </row>
    <row r="234">
      <c r="B234">
        <f>[1]往来单位!B234&amp;""</f>
      </c>
      <c r="C234">
        <f>[1]往来单位!C234&amp;""</f>
      </c>
    </row>
    <row r="235">
      <c r="B235">
        <f>[1]往来单位!B235&amp;""</f>
      </c>
      <c r="C235">
        <f>[1]往来单位!C235&amp;""</f>
      </c>
    </row>
    <row r="236">
      <c r="B236">
        <f>[1]往来单位!B236&amp;""</f>
      </c>
      <c r="C236">
        <f>[1]往来单位!C236&amp;""</f>
      </c>
    </row>
    <row r="237">
      <c r="B237">
        <f>[1]往来单位!B237&amp;""</f>
      </c>
      <c r="C237">
        <f>[1]往来单位!C237&amp;""</f>
      </c>
    </row>
    <row r="238">
      <c r="B238">
        <f>[1]往来单位!B238&amp;""</f>
      </c>
      <c r="C238">
        <f>[1]往来单位!C238&amp;""</f>
      </c>
    </row>
    <row r="239">
      <c r="B239">
        <f>[1]往来单位!B239&amp;""</f>
      </c>
      <c r="C239">
        <f>[1]往来单位!C239&amp;""</f>
      </c>
    </row>
    <row r="240">
      <c r="B240">
        <f>[1]往来单位!B240&amp;""</f>
      </c>
      <c r="C240">
        <f>[1]往来单位!C240&amp;""</f>
      </c>
    </row>
    <row r="241">
      <c r="B241">
        <f>[1]往来单位!B241&amp;""</f>
      </c>
      <c r="C241">
        <f>[1]往来单位!C241&amp;""</f>
      </c>
    </row>
    <row r="242">
      <c r="B242">
        <f>[1]往来单位!B242&amp;""</f>
      </c>
      <c r="C242">
        <f>[1]往来单位!C242&amp;""</f>
      </c>
    </row>
    <row r="243">
      <c r="B243">
        <f>[1]往来单位!B243&amp;""</f>
      </c>
      <c r="C243">
        <f>[1]往来单位!C243&amp;""</f>
      </c>
    </row>
    <row r="244">
      <c r="B244">
        <f>[1]往来单位!B244&amp;""</f>
      </c>
      <c r="C244">
        <f>[1]往来单位!C244&amp;""</f>
      </c>
    </row>
    <row r="245">
      <c r="B245">
        <f>[1]往来单位!B245&amp;""</f>
      </c>
      <c r="C245">
        <f>[1]往来单位!C245&amp;""</f>
      </c>
    </row>
    <row r="246">
      <c r="B246">
        <f>[1]往来单位!B246&amp;""</f>
      </c>
      <c r="C246">
        <f>[1]往来单位!C246&amp;""</f>
      </c>
    </row>
    <row r="247">
      <c r="B247">
        <f>[1]往来单位!B247&amp;""</f>
      </c>
      <c r="C247">
        <f>[1]往来单位!C247&amp;""</f>
      </c>
    </row>
    <row r="248">
      <c r="B248">
        <f>[1]往来单位!B248&amp;""</f>
      </c>
      <c r="C248">
        <f>[1]往来单位!C248&amp;""</f>
      </c>
    </row>
    <row r="249">
      <c r="B249">
        <f>[1]往来单位!B249&amp;""</f>
      </c>
      <c r="C249">
        <f>[1]往来单位!C249&amp;""</f>
      </c>
    </row>
    <row r="250">
      <c r="B250">
        <f>[1]往来单位!B250&amp;""</f>
      </c>
      <c r="C250">
        <f>[1]往来单位!C250&amp;""</f>
      </c>
    </row>
    <row r="251">
      <c r="B251">
        <f>[1]往来单位!B251&amp;""</f>
      </c>
      <c r="C251">
        <f>[1]往来单位!C251&amp;""</f>
      </c>
    </row>
    <row r="252">
      <c r="B252">
        <f>[1]往来单位!B252&amp;""</f>
      </c>
      <c r="C252">
        <f>[1]往来单位!C252&amp;""</f>
      </c>
    </row>
    <row r="253">
      <c r="B253">
        <f>[1]往来单位!B253&amp;""</f>
      </c>
      <c r="C253">
        <f>[1]往来单位!C253&amp;""</f>
      </c>
    </row>
    <row r="254">
      <c r="B254">
        <f>[1]往来单位!B254&amp;""</f>
      </c>
      <c r="C254">
        <f>[1]往来单位!C254&amp;""</f>
      </c>
    </row>
    <row r="255">
      <c r="B255">
        <f>[1]往来单位!B255&amp;""</f>
      </c>
      <c r="C255">
        <f>[1]往来单位!C255&amp;""</f>
      </c>
    </row>
    <row r="256">
      <c r="B256">
        <f>[1]往来单位!B256&amp;""</f>
      </c>
      <c r="C256">
        <f>[1]往来单位!C256&amp;""</f>
      </c>
    </row>
    <row r="257">
      <c r="B257">
        <f>[1]往来单位!B257&amp;""</f>
      </c>
      <c r="C257">
        <f>[1]往来单位!C257&amp;""</f>
      </c>
    </row>
    <row r="258">
      <c r="B258">
        <f>[1]往来单位!B258&amp;""</f>
      </c>
      <c r="C258">
        <f>[1]往来单位!C258&amp;""</f>
      </c>
    </row>
    <row r="259">
      <c r="B259">
        <f>[1]往来单位!B259&amp;""</f>
      </c>
      <c r="C259">
        <f>[1]往来单位!C259&amp;""</f>
      </c>
    </row>
    <row r="260">
      <c r="B260">
        <f>[1]往来单位!B260&amp;""</f>
      </c>
      <c r="C260">
        <f>[1]往来单位!C260&amp;""</f>
      </c>
    </row>
    <row r="261">
      <c r="B261">
        <f>[1]往来单位!B261&amp;""</f>
      </c>
      <c r="C261">
        <f>[1]往来单位!C261&amp;""</f>
      </c>
    </row>
    <row r="262">
      <c r="B262">
        <f>[1]往来单位!B262&amp;""</f>
      </c>
      <c r="C262">
        <f>[1]往来单位!C262&amp;""</f>
      </c>
    </row>
    <row r="263">
      <c r="B263">
        <f>[1]往来单位!B263&amp;""</f>
      </c>
      <c r="C263">
        <f>[1]往来单位!C263&amp;""</f>
      </c>
    </row>
    <row r="264">
      <c r="B264">
        <f>[1]往来单位!B264&amp;""</f>
      </c>
      <c r="C264">
        <f>[1]往来单位!C264&amp;""</f>
      </c>
    </row>
    <row r="265">
      <c r="B265">
        <f>[1]往来单位!B265&amp;""</f>
      </c>
      <c r="C265">
        <f>[1]往来单位!C265&amp;""</f>
      </c>
    </row>
    <row r="266">
      <c r="B266">
        <f>[1]往来单位!B266&amp;""</f>
      </c>
      <c r="C266">
        <f>[1]往来单位!C266&amp;""</f>
      </c>
    </row>
    <row r="267">
      <c r="B267">
        <f>[1]往来单位!B267&amp;""</f>
      </c>
      <c r="C267">
        <f>[1]往来单位!C267&amp;""</f>
      </c>
    </row>
    <row r="268">
      <c r="B268">
        <f>[1]往来单位!B268&amp;""</f>
      </c>
      <c r="C268">
        <f>[1]往来单位!C268&amp;""</f>
      </c>
    </row>
    <row r="269">
      <c r="B269">
        <f>[1]往来单位!B269&amp;""</f>
      </c>
      <c r="C269">
        <f>[1]往来单位!C269&amp;""</f>
      </c>
    </row>
    <row r="270">
      <c r="B270">
        <f>[1]往来单位!B270&amp;""</f>
      </c>
      <c r="C270">
        <f>[1]往来单位!C270&amp;""</f>
      </c>
    </row>
    <row r="271">
      <c r="B271">
        <f>[1]往来单位!B271&amp;""</f>
      </c>
      <c r="C271">
        <f>[1]往来单位!C271&amp;""</f>
      </c>
    </row>
    <row r="272">
      <c r="B272">
        <f>[1]往来单位!B272&amp;""</f>
      </c>
      <c r="C272">
        <f>[1]往来单位!C272&amp;""</f>
      </c>
    </row>
    <row r="273">
      <c r="B273">
        <f>[1]往来单位!B273&amp;""</f>
      </c>
      <c r="C273">
        <f>[1]往来单位!C273&amp;""</f>
      </c>
    </row>
    <row r="274">
      <c r="B274">
        <f>[1]往来单位!B274&amp;""</f>
      </c>
      <c r="C274">
        <f>[1]往来单位!C274&amp;""</f>
      </c>
    </row>
    <row r="275">
      <c r="B275">
        <f>[1]往来单位!B275&amp;""</f>
      </c>
      <c r="C275">
        <f>[1]往来单位!C275&amp;""</f>
      </c>
    </row>
    <row r="276">
      <c r="B276">
        <f>[1]往来单位!B276&amp;""</f>
      </c>
      <c r="C276">
        <f>[1]往来单位!C276&amp;""</f>
      </c>
    </row>
    <row r="277">
      <c r="B277">
        <f>[1]往来单位!B277&amp;""</f>
      </c>
      <c r="C277">
        <f>[1]往来单位!C277&amp;""</f>
      </c>
    </row>
    <row r="278">
      <c r="B278">
        <f>[1]往来单位!B278&amp;""</f>
      </c>
      <c r="C278">
        <f>[1]往来单位!C278&amp;""</f>
      </c>
    </row>
    <row r="279">
      <c r="B279">
        <f>[1]往来单位!B279&amp;""</f>
      </c>
      <c r="C279">
        <f>[1]往来单位!C279&amp;""</f>
      </c>
    </row>
    <row r="280">
      <c r="B280">
        <f>[1]往来单位!B280&amp;""</f>
      </c>
      <c r="C280">
        <f>[1]往来单位!C280&amp;""</f>
      </c>
    </row>
    <row r="281">
      <c r="B281">
        <f>[1]往来单位!B281&amp;""</f>
      </c>
      <c r="C281">
        <f>[1]往来单位!C281&amp;""</f>
      </c>
    </row>
    <row r="282">
      <c r="B282">
        <f>[1]往来单位!B282&amp;""</f>
      </c>
      <c r="C282">
        <f>[1]往来单位!C282&amp;""</f>
      </c>
    </row>
    <row r="283">
      <c r="B283">
        <f>[1]往来单位!B283&amp;""</f>
      </c>
      <c r="C283">
        <f>[1]往来单位!C283&amp;""</f>
      </c>
    </row>
    <row r="284">
      <c r="B284">
        <f>[1]往来单位!B284&amp;""</f>
      </c>
      <c r="C284">
        <f>[1]往来单位!C284&amp;""</f>
      </c>
    </row>
    <row r="285">
      <c r="B285">
        <f>[1]往来单位!B285&amp;""</f>
      </c>
      <c r="C285">
        <f>[1]往来单位!C285&amp;""</f>
      </c>
    </row>
    <row r="286">
      <c r="B286">
        <f>[1]往来单位!B286&amp;""</f>
      </c>
      <c r="C286">
        <f>[1]往来单位!C286&amp;""</f>
      </c>
    </row>
    <row r="287">
      <c r="B287">
        <f>[1]往来单位!B287&amp;""</f>
      </c>
      <c r="C287">
        <f>[1]往来单位!C287&amp;""</f>
      </c>
    </row>
    <row r="288">
      <c r="B288">
        <f>[1]往来单位!B288&amp;""</f>
      </c>
      <c r="C288">
        <f>[1]往来单位!C288&amp;""</f>
      </c>
    </row>
    <row r="289">
      <c r="B289">
        <f>[1]往来单位!B289&amp;""</f>
      </c>
      <c r="C289">
        <f>[1]往来单位!C289&amp;""</f>
      </c>
    </row>
    <row r="290">
      <c r="B290">
        <f>[1]往来单位!B290&amp;""</f>
      </c>
      <c r="C290">
        <f>[1]往来单位!C290&amp;""</f>
      </c>
    </row>
    <row r="291">
      <c r="B291">
        <f>[1]往来单位!B291&amp;""</f>
      </c>
      <c r="C291">
        <f>[1]往来单位!C291&amp;""</f>
      </c>
    </row>
    <row r="292">
      <c r="B292">
        <f>[1]往来单位!B292&amp;""</f>
      </c>
      <c r="C292">
        <f>[1]往来单位!C292&amp;""</f>
      </c>
    </row>
    <row r="293">
      <c r="B293">
        <f>[1]往来单位!B293&amp;""</f>
      </c>
      <c r="C293">
        <f>[1]往来单位!C293&amp;""</f>
      </c>
    </row>
    <row r="294">
      <c r="B294">
        <f>[1]往来单位!B294&amp;""</f>
      </c>
      <c r="C294">
        <f>[1]往来单位!C294&amp;""</f>
      </c>
    </row>
    <row r="295">
      <c r="B295">
        <f>[1]往来单位!B295&amp;""</f>
      </c>
      <c r="C295">
        <f>[1]往来单位!C295&amp;""</f>
      </c>
    </row>
    <row r="296">
      <c r="B296">
        <f>[1]往来单位!B296&amp;""</f>
      </c>
      <c r="C296">
        <f>[1]往来单位!C296&amp;""</f>
      </c>
    </row>
    <row r="297">
      <c r="B297">
        <f>[1]往来单位!B297&amp;""</f>
      </c>
      <c r="C297">
        <f>[1]往来单位!C297&amp;""</f>
      </c>
    </row>
    <row r="298">
      <c r="B298">
        <f>[1]往来单位!B298&amp;""</f>
      </c>
      <c r="C298">
        <f>[1]往来单位!C298&amp;""</f>
      </c>
    </row>
    <row r="299">
      <c r="B299">
        <f>[1]往来单位!B299&amp;""</f>
      </c>
      <c r="C299">
        <f>[1]往来单位!C299&amp;""</f>
      </c>
    </row>
    <row r="300">
      <c r="B300">
        <f>[1]往来单位!B300&amp;""</f>
      </c>
      <c r="C300">
        <f>[1]往来单位!C300&amp;""</f>
      </c>
    </row>
    <row r="301">
      <c r="B301">
        <f>[1]往来单位!B301&amp;""</f>
      </c>
      <c r="C301">
        <f>[1]往来单位!C301&amp;""</f>
      </c>
    </row>
    <row r="302">
      <c r="B302">
        <f>[1]往来单位!B302&amp;""</f>
      </c>
      <c r="C302">
        <f>[1]往来单位!C302&amp;""</f>
      </c>
    </row>
    <row r="303">
      <c r="B303">
        <f>[1]往来单位!B303&amp;""</f>
      </c>
      <c r="C303">
        <f>[1]往来单位!C303&amp;""</f>
      </c>
    </row>
    <row r="304">
      <c r="B304">
        <f>[1]往来单位!B304&amp;""</f>
      </c>
      <c r="C304">
        <f>[1]往来单位!C304&amp;""</f>
      </c>
    </row>
    <row r="305">
      <c r="B305">
        <f>[1]往来单位!B305&amp;""</f>
      </c>
      <c r="C305">
        <f>[1]往来单位!C305&amp;""</f>
      </c>
    </row>
    <row r="306">
      <c r="B306">
        <f>[1]往来单位!B306&amp;""</f>
      </c>
      <c r="C306">
        <f>[1]往来单位!C306&amp;""</f>
      </c>
    </row>
    <row r="307">
      <c r="B307">
        <f>[1]往来单位!B307&amp;""</f>
      </c>
      <c r="C307">
        <f>[1]往来单位!C307&amp;""</f>
      </c>
    </row>
    <row r="308">
      <c r="B308">
        <f>[1]往来单位!B308&amp;""</f>
      </c>
      <c r="C308">
        <f>[1]往来单位!C308&amp;""</f>
      </c>
    </row>
    <row r="309">
      <c r="B309">
        <f>[1]往来单位!B309&amp;""</f>
      </c>
      <c r="C309">
        <f>[1]往来单位!C309&amp;""</f>
      </c>
    </row>
    <row r="310">
      <c r="B310">
        <f>[1]往来单位!B310&amp;""</f>
      </c>
      <c r="C310">
        <f>[1]往来单位!C310&amp;""</f>
      </c>
    </row>
    <row r="311">
      <c r="B311">
        <f>[1]往来单位!B311&amp;""</f>
      </c>
      <c r="C311">
        <f>[1]往来单位!C311&amp;""</f>
      </c>
    </row>
    <row r="312">
      <c r="B312">
        <f>[1]往来单位!B312&amp;""</f>
      </c>
      <c r="C312">
        <f>[1]往来单位!C312&amp;""</f>
      </c>
    </row>
    <row r="313">
      <c r="B313">
        <f>[1]往来单位!B313&amp;""</f>
      </c>
      <c r="C313">
        <f>[1]往来单位!C313&amp;""</f>
      </c>
    </row>
    <row r="314">
      <c r="B314">
        <f>[1]往来单位!B314&amp;""</f>
      </c>
      <c r="C314">
        <f>[1]往来单位!C314&amp;""</f>
      </c>
    </row>
    <row r="315">
      <c r="B315">
        <f>[1]往来单位!B315&amp;""</f>
      </c>
      <c r="C315">
        <f>[1]往来单位!C315&amp;""</f>
      </c>
    </row>
    <row r="316">
      <c r="B316">
        <f>[1]往来单位!B316&amp;""</f>
      </c>
      <c r="C316">
        <f>[1]往来单位!C316&amp;""</f>
      </c>
    </row>
    <row r="317">
      <c r="B317">
        <f>[1]往来单位!B317&amp;""</f>
      </c>
      <c r="C317">
        <f>[1]往来单位!C317&amp;""</f>
      </c>
    </row>
    <row r="318">
      <c r="B318">
        <f>[1]往来单位!B318&amp;""</f>
      </c>
      <c r="C318">
        <f>[1]往来单位!C318&amp;""</f>
      </c>
    </row>
    <row r="319">
      <c r="B319">
        <f>[1]往来单位!B319&amp;""</f>
      </c>
      <c r="C319">
        <f>[1]往来单位!C319&amp;""</f>
      </c>
    </row>
    <row r="320">
      <c r="B320">
        <f>[1]往来单位!B320&amp;""</f>
      </c>
      <c r="C320">
        <f>[1]往来单位!C320&amp;""</f>
      </c>
    </row>
    <row r="321">
      <c r="B321">
        <f>[1]往来单位!B321&amp;""</f>
      </c>
      <c r="C321">
        <f>[1]往来单位!C321&amp;""</f>
      </c>
    </row>
    <row r="322">
      <c r="B322">
        <f>[1]往来单位!B322&amp;""</f>
      </c>
      <c r="C322">
        <f>[1]往来单位!C322&amp;""</f>
      </c>
    </row>
    <row r="323">
      <c r="B323">
        <f>[1]往来单位!B323&amp;""</f>
      </c>
      <c r="C323">
        <f>[1]往来单位!C323&amp;""</f>
      </c>
    </row>
    <row r="324">
      <c r="B324">
        <f>[1]往来单位!B324&amp;""</f>
      </c>
      <c r="C324">
        <f>[1]往来单位!C324&amp;""</f>
      </c>
    </row>
    <row r="325">
      <c r="B325">
        <f>[1]往来单位!B325&amp;""</f>
      </c>
      <c r="C325">
        <f>[1]往来单位!C325&amp;""</f>
      </c>
    </row>
    <row r="326">
      <c r="B326">
        <f>[1]往来单位!B326&amp;""</f>
      </c>
      <c r="C326">
        <f>[1]往来单位!C326&amp;""</f>
      </c>
    </row>
    <row r="327">
      <c r="B327">
        <f>[1]往来单位!B327&amp;""</f>
      </c>
      <c r="C327">
        <f>[1]往来单位!C327&amp;""</f>
      </c>
    </row>
    <row r="328">
      <c r="B328">
        <f>[1]往来单位!B328&amp;""</f>
      </c>
      <c r="C328">
        <f>[1]往来单位!C328&amp;""</f>
      </c>
    </row>
    <row r="329">
      <c r="B329">
        <f>[1]往来单位!B329&amp;""</f>
      </c>
      <c r="C329">
        <f>[1]往来单位!C329&amp;""</f>
      </c>
    </row>
    <row r="330">
      <c r="B330">
        <f>[1]往来单位!B330&amp;""</f>
      </c>
      <c r="C330">
        <f>[1]往来单位!C330&amp;""</f>
      </c>
    </row>
    <row r="331">
      <c r="B331">
        <f>[1]往来单位!B331&amp;""</f>
      </c>
      <c r="C331">
        <f>[1]往来单位!C331&amp;""</f>
      </c>
    </row>
    <row r="332">
      <c r="B332">
        <f>[1]往来单位!B332&amp;""</f>
      </c>
      <c r="C332">
        <f>[1]往来单位!C332&amp;""</f>
      </c>
    </row>
    <row r="333">
      <c r="B333">
        <f>[1]往来单位!B333&amp;""</f>
      </c>
      <c r="C333">
        <f>[1]往来单位!C333&amp;""</f>
      </c>
    </row>
    <row r="334">
      <c r="B334">
        <f>[1]往来单位!B334&amp;""</f>
      </c>
      <c r="C334">
        <f>[1]往来单位!C334&amp;""</f>
      </c>
    </row>
    <row r="335">
      <c r="B335">
        <f>[1]往来单位!B335&amp;""</f>
      </c>
      <c r="C335">
        <f>[1]往来单位!C335&amp;""</f>
      </c>
    </row>
    <row r="336">
      <c r="B336">
        <f>[1]往来单位!B336&amp;""</f>
      </c>
      <c r="C336">
        <f>[1]往来单位!C336&amp;""</f>
      </c>
    </row>
    <row r="337">
      <c r="B337">
        <f>[1]往来单位!B337&amp;""</f>
      </c>
      <c r="C337">
        <f>[1]往来单位!C337&amp;""</f>
      </c>
    </row>
    <row r="338">
      <c r="B338">
        <f>[1]往来单位!B338&amp;""</f>
      </c>
      <c r="C338">
        <f>[1]往来单位!C338&amp;""</f>
      </c>
    </row>
    <row r="339">
      <c r="B339">
        <f>[1]往来单位!B339&amp;""</f>
      </c>
      <c r="C339">
        <f>[1]往来单位!C339&amp;""</f>
      </c>
    </row>
    <row r="340">
      <c r="B340">
        <f>[1]往来单位!B340&amp;""</f>
      </c>
      <c r="C340">
        <f>[1]往来单位!C340&amp;""</f>
      </c>
    </row>
    <row r="341">
      <c r="B341">
        <f>[1]往来单位!B341&amp;""</f>
      </c>
      <c r="C341">
        <f>[1]往来单位!C341&amp;""</f>
      </c>
    </row>
    <row r="342">
      <c r="B342">
        <f>[1]往来单位!B342&amp;""</f>
      </c>
      <c r="C342">
        <f>[1]往来单位!C342&amp;""</f>
      </c>
    </row>
    <row r="343">
      <c r="B343">
        <f>[1]往来单位!B343&amp;""</f>
      </c>
      <c r="C343">
        <f>[1]往来单位!C343&amp;""</f>
      </c>
    </row>
    <row r="344">
      <c r="B344">
        <f>[1]往来单位!B344&amp;""</f>
      </c>
      <c r="C344">
        <f>[1]往来单位!C344&amp;""</f>
      </c>
    </row>
    <row r="345">
      <c r="B345">
        <f>[1]往来单位!B345&amp;""</f>
      </c>
      <c r="C345">
        <f>[1]往来单位!C345&amp;""</f>
      </c>
    </row>
    <row r="346">
      <c r="B346">
        <f>[1]往来单位!B346&amp;""</f>
      </c>
      <c r="C346">
        <f>[1]往来单位!C346&amp;""</f>
      </c>
    </row>
    <row r="347">
      <c r="B347">
        <f>[1]往来单位!B347&amp;""</f>
      </c>
      <c r="C347">
        <f>[1]往来单位!C347&amp;""</f>
      </c>
    </row>
    <row r="348">
      <c r="B348">
        <f>[1]往来单位!B348&amp;""</f>
      </c>
      <c r="C348">
        <f>[1]往来单位!C348&amp;""</f>
      </c>
    </row>
    <row r="349">
      <c r="B349">
        <f>[1]往来单位!B349&amp;""</f>
      </c>
      <c r="C349">
        <f>[1]往来单位!C349&amp;""</f>
      </c>
    </row>
    <row r="350">
      <c r="B350">
        <f>[1]往来单位!B350&amp;""</f>
      </c>
      <c r="C350">
        <f>[1]往来单位!C350&amp;""</f>
      </c>
    </row>
    <row r="351">
      <c r="B351">
        <f>[1]往来单位!B351&amp;""</f>
      </c>
      <c r="C351">
        <f>[1]往来单位!C351&amp;""</f>
      </c>
    </row>
    <row r="352">
      <c r="B352">
        <f>[1]往来单位!B352&amp;""</f>
      </c>
      <c r="C352">
        <f>[1]往来单位!C352&amp;""</f>
      </c>
    </row>
    <row r="353">
      <c r="B353">
        <f>[1]往来单位!B353&amp;""</f>
      </c>
      <c r="C353">
        <f>[1]往来单位!C353&amp;""</f>
      </c>
    </row>
    <row r="354">
      <c r="B354">
        <f>[1]往来单位!B354&amp;""</f>
      </c>
      <c r="C354">
        <f>[1]往来单位!C354&amp;""</f>
      </c>
    </row>
    <row r="355">
      <c r="B355">
        <f>[1]往来单位!B355&amp;""</f>
      </c>
      <c r="C355">
        <f>[1]往来单位!C355&amp;""</f>
      </c>
    </row>
    <row r="356">
      <c r="B356">
        <f>[1]往来单位!B356&amp;""</f>
      </c>
      <c r="C356">
        <f>[1]往来单位!C356&amp;""</f>
      </c>
    </row>
    <row r="357">
      <c r="B357">
        <f>[1]往来单位!B357&amp;""</f>
      </c>
      <c r="C357">
        <f>[1]往来单位!C357&amp;""</f>
      </c>
    </row>
    <row r="358">
      <c r="B358">
        <f>[1]往来单位!B358&amp;""</f>
      </c>
      <c r="C358">
        <f>[1]往来单位!C358&amp;""</f>
      </c>
    </row>
    <row r="359">
      <c r="B359">
        <f>[1]往来单位!B359&amp;""</f>
      </c>
      <c r="C359">
        <f>[1]往来单位!C359&amp;""</f>
      </c>
    </row>
    <row r="360">
      <c r="B360">
        <f>[1]往来单位!B360&amp;""</f>
      </c>
      <c r="C360">
        <f>[1]往来单位!C360&amp;""</f>
      </c>
    </row>
    <row r="361">
      <c r="B361">
        <f>[1]往来单位!B361&amp;""</f>
      </c>
      <c r="C361">
        <f>[1]往来单位!C361&amp;""</f>
      </c>
    </row>
    <row r="362">
      <c r="B362">
        <f>[1]往来单位!B362&amp;""</f>
      </c>
      <c r="C362">
        <f>[1]往来单位!C362&amp;""</f>
      </c>
    </row>
    <row r="363">
      <c r="B363">
        <f>[1]往来单位!B363&amp;""</f>
      </c>
      <c r="C363">
        <f>[1]往来单位!C363&amp;""</f>
      </c>
    </row>
    <row r="364">
      <c r="B364">
        <f>[1]往来单位!B364&amp;""</f>
      </c>
      <c r="C364">
        <f>[1]往来单位!C364&amp;""</f>
      </c>
    </row>
    <row r="365">
      <c r="B365">
        <f>[1]往来单位!B365&amp;""</f>
      </c>
      <c r="C365">
        <f>[1]往来单位!C365&amp;""</f>
      </c>
    </row>
    <row r="366">
      <c r="B366">
        <f>[1]往来单位!B366&amp;""</f>
      </c>
      <c r="C366">
        <f>[1]往来单位!C366&amp;""</f>
      </c>
    </row>
    <row r="367">
      <c r="B367">
        <f>[1]往来单位!B367&amp;""</f>
      </c>
      <c r="C367">
        <f>[1]往来单位!C367&amp;""</f>
      </c>
    </row>
    <row r="368">
      <c r="B368">
        <f>[1]往来单位!B368&amp;""</f>
      </c>
      <c r="C368">
        <f>[1]往来单位!C368&amp;""</f>
      </c>
    </row>
    <row r="369">
      <c r="B369">
        <f>[1]往来单位!B369&amp;""</f>
      </c>
      <c r="C369">
        <f>[1]往来单位!C369&amp;""</f>
      </c>
    </row>
    <row r="370">
      <c r="B370">
        <f>[1]往来单位!B370&amp;""</f>
      </c>
      <c r="C370">
        <f>[1]往来单位!C370&amp;""</f>
      </c>
    </row>
    <row r="371">
      <c r="B371">
        <f>[1]往来单位!B371&amp;""</f>
      </c>
      <c r="C371">
        <f>[1]往来单位!C371&amp;""</f>
      </c>
    </row>
    <row r="372">
      <c r="B372">
        <f>[1]往来单位!B372&amp;""</f>
      </c>
      <c r="C372">
        <f>[1]往来单位!C372&amp;""</f>
      </c>
    </row>
    <row r="373">
      <c r="B373">
        <f>[1]往来单位!B373&amp;""</f>
      </c>
      <c r="C373">
        <f>[1]往来单位!C373&amp;""</f>
      </c>
    </row>
    <row r="374">
      <c r="B374">
        <f>[1]往来单位!B374&amp;""</f>
      </c>
      <c r="C374">
        <f>[1]往来单位!C374&amp;""</f>
      </c>
    </row>
    <row r="375">
      <c r="B375">
        <f>[1]往来单位!B375&amp;""</f>
      </c>
      <c r="C375">
        <f>[1]往来单位!C375&amp;""</f>
      </c>
    </row>
    <row r="376">
      <c r="B376">
        <f>[1]往来单位!B376&amp;""</f>
      </c>
      <c r="C376">
        <f>[1]往来单位!C376&amp;""</f>
      </c>
    </row>
    <row r="377">
      <c r="B377">
        <f>[1]往来单位!B377&amp;""</f>
      </c>
      <c r="C377">
        <f>[1]往来单位!C377&amp;""</f>
      </c>
    </row>
    <row r="378">
      <c r="B378">
        <f>[1]往来单位!B378&amp;""</f>
      </c>
      <c r="C378">
        <f>[1]往来单位!C378&amp;""</f>
      </c>
    </row>
    <row r="379">
      <c r="B379">
        <f>[1]往来单位!B379&amp;""</f>
      </c>
      <c r="C379">
        <f>[1]往来单位!C379&amp;""</f>
      </c>
    </row>
    <row r="380">
      <c r="B380">
        <f>[1]往来单位!B380&amp;""</f>
      </c>
      <c r="C380">
        <f>[1]往来单位!C380&amp;""</f>
      </c>
    </row>
    <row r="381">
      <c r="B381">
        <f>[1]往来单位!B381&amp;""</f>
      </c>
      <c r="C381">
        <f>[1]往来单位!C381&amp;""</f>
      </c>
    </row>
    <row r="382">
      <c r="B382">
        <f>[1]往来单位!B382&amp;""</f>
      </c>
      <c r="C382">
        <f>[1]往来单位!C382&amp;""</f>
      </c>
    </row>
    <row r="383">
      <c r="B383">
        <f>[1]往来单位!B383&amp;""</f>
      </c>
      <c r="C383">
        <f>[1]往来单位!C383&amp;""</f>
      </c>
    </row>
    <row r="384">
      <c r="B384">
        <f>[1]往来单位!B384&amp;""</f>
      </c>
      <c r="C384">
        <f>[1]往来单位!C384&amp;""</f>
      </c>
    </row>
    <row r="385">
      <c r="B385">
        <f>[1]往来单位!B385&amp;""</f>
      </c>
      <c r="C385">
        <f>[1]往来单位!C385&amp;""</f>
      </c>
    </row>
    <row r="386">
      <c r="B386">
        <f>[1]往来单位!B386&amp;""</f>
      </c>
      <c r="C386">
        <f>[1]往来单位!C386&amp;""</f>
      </c>
    </row>
    <row r="387">
      <c r="B387">
        <f>[1]往来单位!B387&amp;""</f>
      </c>
      <c r="C387">
        <f>[1]往来单位!C387&amp;""</f>
      </c>
    </row>
    <row r="388">
      <c r="B388">
        <f>[1]往来单位!B388&amp;""</f>
      </c>
      <c r="C388">
        <f>[1]往来单位!C388&amp;""</f>
      </c>
    </row>
    <row r="389">
      <c r="B389">
        <f>[1]往来单位!B389&amp;""</f>
      </c>
      <c r="C389">
        <f>[1]往来单位!C389&amp;""</f>
      </c>
    </row>
    <row r="390">
      <c r="B390">
        <f>[1]往来单位!B390&amp;""</f>
      </c>
      <c r="C390">
        <f>[1]往来单位!C390&amp;""</f>
      </c>
    </row>
    <row r="391">
      <c r="B391">
        <f>[1]往来单位!B391&amp;""</f>
      </c>
      <c r="C391">
        <f>[1]往来单位!C391&amp;""</f>
      </c>
    </row>
    <row r="392">
      <c r="B392">
        <f>[1]往来单位!B392&amp;""</f>
      </c>
      <c r="C392">
        <f>[1]往来单位!C392&amp;""</f>
      </c>
    </row>
    <row r="393">
      <c r="B393">
        <f>[1]往来单位!B393&amp;""</f>
      </c>
      <c r="C393">
        <f>[1]往来单位!C393&amp;""</f>
      </c>
    </row>
    <row r="394">
      <c r="B394">
        <f>[1]往来单位!B394&amp;""</f>
      </c>
      <c r="C394">
        <f>[1]往来单位!C394&amp;""</f>
      </c>
    </row>
    <row r="395">
      <c r="B395">
        <f>[1]往来单位!B395&amp;""</f>
      </c>
      <c r="C395">
        <f>[1]往来单位!C395&amp;""</f>
      </c>
    </row>
    <row r="396">
      <c r="B396">
        <f>[1]往来单位!B396&amp;""</f>
      </c>
      <c r="C396">
        <f>[1]往来单位!C396&amp;""</f>
      </c>
    </row>
    <row r="397">
      <c r="B397">
        <f>[1]往来单位!B397&amp;""</f>
      </c>
      <c r="C397">
        <f>[1]往来单位!C397&amp;""</f>
      </c>
    </row>
    <row r="398">
      <c r="B398">
        <f>[1]往来单位!B398&amp;""</f>
      </c>
      <c r="C398">
        <f>[1]往来单位!C398&amp;""</f>
      </c>
    </row>
    <row r="399">
      <c r="B399">
        <f>[1]往来单位!B399&amp;""</f>
      </c>
      <c r="C399">
        <f>[1]往来单位!C399&amp;""</f>
      </c>
    </row>
    <row r="400">
      <c r="B400">
        <f>[1]往来单位!B400&amp;""</f>
      </c>
      <c r="C400">
        <f>[1]往来单位!C400&amp;""</f>
      </c>
    </row>
    <row r="401">
      <c r="B401">
        <f>[1]往来单位!B401&amp;""</f>
      </c>
      <c r="C401">
        <f>[1]往来单位!C401&amp;""</f>
      </c>
    </row>
    <row r="402">
      <c r="B402">
        <f>[1]往来单位!B402&amp;""</f>
      </c>
      <c r="C402">
        <f>[1]往来单位!C402&amp;""</f>
      </c>
    </row>
    <row r="403">
      <c r="B403">
        <f>[1]往来单位!B403&amp;""</f>
      </c>
      <c r="C403">
        <f>[1]往来单位!C403&amp;""</f>
      </c>
    </row>
    <row r="404">
      <c r="B404">
        <f>[1]往来单位!B404&amp;""</f>
      </c>
      <c r="C404">
        <f>[1]往来单位!C404&amp;""</f>
      </c>
    </row>
    <row r="405">
      <c r="B405">
        <f>[1]往来单位!B405&amp;""</f>
      </c>
      <c r="C405">
        <f>[1]往来单位!C405&amp;""</f>
      </c>
    </row>
    <row r="406">
      <c r="B406">
        <f>[1]往来单位!B406&amp;""</f>
      </c>
      <c r="C406">
        <f>[1]往来单位!C406&amp;""</f>
      </c>
    </row>
    <row r="407">
      <c r="B407">
        <f>[1]往来单位!B407&amp;""</f>
      </c>
      <c r="C407">
        <f>[1]往来单位!C407&amp;""</f>
      </c>
    </row>
    <row r="408">
      <c r="B408">
        <f>[1]往来单位!B408&amp;""</f>
      </c>
      <c r="C408">
        <f>[1]往来单位!C408&amp;""</f>
      </c>
    </row>
    <row r="409">
      <c r="B409">
        <f>[1]往来单位!B409&amp;""</f>
      </c>
      <c r="C409">
        <f>[1]往来单位!C409&amp;""</f>
      </c>
    </row>
    <row r="410">
      <c r="B410">
        <f>[1]往来单位!B410&amp;""</f>
      </c>
      <c r="C410">
        <f>[1]往来单位!C410&amp;""</f>
      </c>
    </row>
    <row r="411">
      <c r="B411">
        <f>[1]往来单位!B411&amp;""</f>
      </c>
      <c r="C411">
        <f>[1]往来单位!C411&amp;""</f>
      </c>
    </row>
    <row r="412">
      <c r="B412">
        <f>[1]往来单位!B412&amp;""</f>
      </c>
      <c r="C412">
        <f>[1]往来单位!C412&amp;""</f>
      </c>
    </row>
    <row r="413">
      <c r="B413">
        <f>[1]往来单位!B413&amp;""</f>
      </c>
      <c r="C413">
        <f>[1]往来单位!C413&amp;""</f>
      </c>
    </row>
    <row r="414">
      <c r="B414">
        <f>[1]往来单位!B414&amp;""</f>
      </c>
      <c r="C414">
        <f>[1]往来单位!C414&amp;""</f>
      </c>
    </row>
    <row r="415">
      <c r="B415">
        <f>[1]往来单位!B415&amp;""</f>
      </c>
      <c r="C415">
        <f>[1]往来单位!C415&amp;""</f>
      </c>
    </row>
    <row r="416">
      <c r="B416">
        <f>[1]往来单位!B416&amp;""</f>
      </c>
      <c r="C416">
        <f>[1]往来单位!C416&amp;""</f>
      </c>
    </row>
    <row r="417">
      <c r="B417">
        <f>[1]往来单位!B417&amp;""</f>
      </c>
      <c r="C417">
        <f>[1]往来单位!C417&amp;""</f>
      </c>
    </row>
    <row r="418">
      <c r="B418">
        <f>[1]往来单位!B418&amp;""</f>
      </c>
      <c r="C418">
        <f>[1]往来单位!C418&amp;""</f>
      </c>
    </row>
    <row r="419">
      <c r="B419">
        <f>[1]往来单位!B419&amp;""</f>
      </c>
      <c r="C419">
        <f>[1]往来单位!C419&amp;""</f>
      </c>
    </row>
    <row r="420">
      <c r="B420">
        <f>[1]往来单位!B420&amp;""</f>
      </c>
      <c r="C420">
        <f>[1]往来单位!C420&amp;""</f>
      </c>
    </row>
    <row r="421">
      <c r="B421">
        <f>[1]往来单位!B421&amp;""</f>
      </c>
      <c r="C421">
        <f>[1]往来单位!C421&amp;""</f>
      </c>
    </row>
    <row r="422">
      <c r="B422">
        <f>[1]往来单位!B422&amp;""</f>
      </c>
      <c r="C422">
        <f>[1]往来单位!C422&amp;""</f>
      </c>
    </row>
    <row r="423">
      <c r="B423">
        <f>[1]往来单位!B423&amp;""</f>
      </c>
      <c r="C423">
        <f>[1]往来单位!C423&amp;""</f>
      </c>
    </row>
    <row r="424">
      <c r="B424">
        <f>[1]往来单位!B424&amp;""</f>
      </c>
      <c r="C424">
        <f>[1]往来单位!C424&amp;""</f>
      </c>
    </row>
    <row r="425">
      <c r="B425">
        <f>[1]往来单位!B425&amp;""</f>
      </c>
      <c r="C425">
        <f>[1]往来单位!C425&amp;""</f>
      </c>
    </row>
    <row r="426">
      <c r="B426">
        <f>[1]往来单位!B426&amp;""</f>
      </c>
      <c r="C426">
        <f>[1]往来单位!C426&amp;""</f>
      </c>
    </row>
    <row r="427">
      <c r="B427">
        <f>[1]往来单位!B427&amp;""</f>
      </c>
      <c r="C427">
        <f>[1]往来单位!C427&amp;""</f>
      </c>
    </row>
    <row r="428">
      <c r="B428">
        <f>[1]往来单位!B428&amp;""</f>
      </c>
      <c r="C428">
        <f>[1]往来单位!C428&amp;""</f>
      </c>
    </row>
    <row r="429">
      <c r="B429">
        <f>[1]往来单位!B429&amp;""</f>
      </c>
      <c r="C429">
        <f>[1]往来单位!C429&amp;""</f>
      </c>
    </row>
    <row r="430">
      <c r="B430">
        <f>[1]往来单位!B430&amp;""</f>
      </c>
      <c r="C430">
        <f>[1]往来单位!C430&amp;""</f>
      </c>
    </row>
    <row r="431">
      <c r="B431">
        <f>[1]往来单位!B431&amp;""</f>
      </c>
      <c r="C431">
        <f>[1]往来单位!C431&amp;""</f>
      </c>
    </row>
    <row r="432">
      <c r="B432">
        <f>[1]往来单位!B432&amp;""</f>
      </c>
      <c r="C432">
        <f>[1]往来单位!C432&amp;""</f>
      </c>
    </row>
    <row r="433">
      <c r="B433">
        <f>[1]往来单位!B433&amp;""</f>
      </c>
      <c r="C433">
        <f>[1]往来单位!C433&amp;""</f>
      </c>
    </row>
    <row r="434">
      <c r="B434">
        <f>[1]往来单位!B434&amp;""</f>
      </c>
      <c r="C434">
        <f>[1]往来单位!C434&amp;""</f>
      </c>
    </row>
    <row r="435">
      <c r="B435">
        <f>[1]往来单位!B435&amp;""</f>
      </c>
      <c r="C435">
        <f>[1]往来单位!C435&amp;""</f>
      </c>
    </row>
    <row r="436">
      <c r="B436">
        <f>[1]往来单位!B436&amp;""</f>
      </c>
      <c r="C436">
        <f>[1]往来单位!C436&amp;""</f>
      </c>
    </row>
    <row r="437">
      <c r="B437">
        <f>[1]往来单位!B437&amp;""</f>
      </c>
      <c r="C437">
        <f>[1]往来单位!C437&amp;""</f>
      </c>
    </row>
    <row r="438">
      <c r="B438">
        <f>[1]往来单位!B438&amp;""</f>
      </c>
      <c r="C438">
        <f>[1]往来单位!C438&amp;""</f>
      </c>
    </row>
    <row r="439">
      <c r="B439">
        <f>[1]往来单位!B439&amp;""</f>
      </c>
      <c r="C439">
        <f>[1]往来单位!C439&amp;""</f>
      </c>
    </row>
    <row r="440">
      <c r="B440">
        <f>[1]往来单位!B440&amp;""</f>
      </c>
      <c r="C440">
        <f>[1]往来单位!C440&amp;""</f>
      </c>
    </row>
    <row r="441">
      <c r="B441">
        <f>[1]往来单位!B441&amp;""</f>
      </c>
      <c r="C441">
        <f>[1]往来单位!C441&amp;""</f>
      </c>
    </row>
    <row r="442">
      <c r="B442">
        <f>[1]往来单位!B442&amp;""</f>
      </c>
      <c r="C442">
        <f>[1]往来单位!C442&amp;""</f>
      </c>
    </row>
    <row r="443">
      <c r="B443">
        <f>[1]往来单位!B443&amp;""</f>
      </c>
      <c r="C443">
        <f>[1]往来单位!C443&amp;""</f>
      </c>
    </row>
    <row r="444">
      <c r="B444">
        <f>[1]往来单位!B444&amp;""</f>
      </c>
      <c r="C444">
        <f>[1]往来单位!C444&amp;""</f>
      </c>
    </row>
    <row r="445">
      <c r="B445">
        <f>[1]往来单位!B445&amp;""</f>
      </c>
      <c r="C445">
        <f>[1]往来单位!C445&amp;""</f>
      </c>
    </row>
    <row r="446">
      <c r="B446">
        <f>[1]往来单位!B446&amp;""</f>
      </c>
      <c r="C446">
        <f>[1]往来单位!C446&amp;""</f>
      </c>
    </row>
    <row r="447">
      <c r="B447">
        <f>[1]往来单位!B447&amp;""</f>
      </c>
      <c r="C447">
        <f>[1]往来单位!C447&amp;""</f>
      </c>
    </row>
    <row r="448">
      <c r="B448">
        <f>[1]往来单位!B448&amp;""</f>
      </c>
      <c r="C448">
        <f>[1]往来单位!C448&amp;""</f>
      </c>
    </row>
    <row r="449">
      <c r="B449">
        <f>[1]往来单位!B449&amp;""</f>
      </c>
      <c r="C449">
        <f>[1]往来单位!C449&amp;""</f>
      </c>
    </row>
    <row r="450">
      <c r="B450">
        <f>[1]往来单位!B450&amp;""</f>
      </c>
      <c r="C450">
        <f>[1]往来单位!C450&amp;""</f>
      </c>
    </row>
    <row r="451">
      <c r="B451">
        <f>[1]往来单位!B451&amp;""</f>
      </c>
      <c r="C451">
        <f>[1]往来单位!C451&amp;""</f>
      </c>
    </row>
    <row r="452">
      <c r="B452">
        <f>[1]往来单位!B452&amp;""</f>
      </c>
      <c r="C452">
        <f>[1]往来单位!C452&amp;""</f>
      </c>
    </row>
    <row r="453">
      <c r="B453">
        <f>[1]往来单位!B453&amp;""</f>
      </c>
      <c r="C453">
        <f>[1]往来单位!C453&amp;""</f>
      </c>
    </row>
    <row r="454">
      <c r="B454">
        <f>[1]往来单位!B454&amp;""</f>
      </c>
      <c r="C454">
        <f>[1]往来单位!C454&amp;""</f>
      </c>
    </row>
    <row r="455">
      <c r="B455">
        <f>[1]往来单位!B455&amp;""</f>
      </c>
      <c r="C455">
        <f>[1]往来单位!C455&amp;""</f>
      </c>
    </row>
    <row r="456">
      <c r="B456">
        <f>[1]往来单位!B456&amp;""</f>
      </c>
      <c r="C456">
        <f>[1]往来单位!C456&amp;""</f>
      </c>
    </row>
    <row r="457">
      <c r="B457">
        <f>[1]往来单位!B457&amp;""</f>
      </c>
      <c r="C457">
        <f>[1]往来单位!C457&amp;""</f>
      </c>
    </row>
    <row r="458">
      <c r="B458">
        <f>[1]往来单位!B458&amp;""</f>
      </c>
      <c r="C458">
        <f>[1]往来单位!C458&amp;""</f>
      </c>
    </row>
    <row r="459">
      <c r="B459">
        <f>[1]往来单位!B459&amp;""</f>
      </c>
      <c r="C459">
        <f>[1]往来单位!C459&amp;""</f>
      </c>
    </row>
    <row r="460">
      <c r="B460">
        <f>[1]往来单位!B460&amp;""</f>
      </c>
      <c r="C460">
        <f>[1]往来单位!C460&amp;""</f>
      </c>
    </row>
    <row r="461">
      <c r="B461">
        <f>[1]往来单位!B461&amp;""</f>
      </c>
      <c r="C461">
        <f>[1]往来单位!C461&amp;""</f>
      </c>
    </row>
    <row r="462">
      <c r="B462">
        <f>[1]往来单位!B462&amp;""</f>
      </c>
      <c r="C462">
        <f>[1]往来单位!C462&amp;""</f>
      </c>
    </row>
    <row r="463">
      <c r="B463">
        <f>[1]往来单位!B463&amp;""</f>
      </c>
      <c r="C463">
        <f>[1]往来单位!C463&amp;""</f>
      </c>
    </row>
    <row r="464">
      <c r="B464">
        <f>[1]往来单位!B464&amp;""</f>
      </c>
      <c r="C464">
        <f>[1]往来单位!C464&amp;""</f>
      </c>
    </row>
    <row r="465">
      <c r="B465">
        <f>[1]往来单位!B465&amp;""</f>
      </c>
      <c r="C465">
        <f>[1]往来单位!C465&amp;""</f>
      </c>
    </row>
    <row r="466">
      <c r="B466">
        <f>[1]往来单位!B466&amp;""</f>
      </c>
      <c r="C466">
        <f>[1]往来单位!C466&amp;""</f>
      </c>
    </row>
    <row r="467">
      <c r="B467">
        <f>[1]往来单位!B467&amp;""</f>
      </c>
      <c r="C467">
        <f>[1]往来单位!C467&amp;""</f>
      </c>
    </row>
    <row r="468">
      <c r="B468">
        <f>[1]往来单位!B468&amp;""</f>
      </c>
      <c r="C468">
        <f>[1]往来单位!C468&amp;""</f>
      </c>
    </row>
    <row r="469">
      <c r="B469">
        <f>[1]往来单位!B469&amp;""</f>
      </c>
      <c r="C469">
        <f>[1]往来单位!C469&amp;""</f>
      </c>
    </row>
    <row r="470">
      <c r="B470">
        <f>[1]往来单位!B470&amp;""</f>
      </c>
      <c r="C470">
        <f>[1]往来单位!C470&amp;""</f>
      </c>
    </row>
    <row r="471">
      <c r="B471">
        <f>[1]往来单位!B471&amp;""</f>
      </c>
      <c r="C471">
        <f>[1]往来单位!C471&amp;""</f>
      </c>
    </row>
    <row r="472">
      <c r="B472">
        <f>[1]往来单位!B472&amp;""</f>
      </c>
      <c r="C472">
        <f>[1]往来单位!C472&amp;""</f>
      </c>
    </row>
    <row r="473">
      <c r="B473">
        <f>[1]往来单位!B473&amp;""</f>
      </c>
      <c r="C473">
        <f>[1]往来单位!C473&amp;""</f>
      </c>
    </row>
    <row r="474">
      <c r="B474">
        <f>[1]往来单位!B474&amp;""</f>
      </c>
      <c r="C474">
        <f>[1]往来单位!C474&amp;""</f>
      </c>
    </row>
    <row r="475">
      <c r="B475">
        <f>[1]往来单位!B475&amp;""</f>
      </c>
      <c r="C475">
        <f>[1]往来单位!C475&amp;""</f>
      </c>
    </row>
    <row r="476">
      <c r="B476">
        <f>[1]往来单位!B476&amp;""</f>
      </c>
      <c r="C476">
        <f>[1]往来单位!C476&amp;""</f>
      </c>
    </row>
    <row r="477">
      <c r="B477">
        <f>[1]往来单位!B477&amp;""</f>
      </c>
      <c r="C477">
        <f>[1]往来单位!C477&amp;""</f>
      </c>
    </row>
    <row r="478">
      <c r="B478">
        <f>[1]往来单位!B478&amp;""</f>
      </c>
      <c r="C478">
        <f>[1]往来单位!C478&amp;""</f>
      </c>
    </row>
    <row r="479">
      <c r="B479">
        <f>[1]往来单位!B479&amp;""</f>
      </c>
      <c r="C479">
        <f>[1]往来单位!C479&amp;""</f>
      </c>
    </row>
    <row r="480">
      <c r="B480">
        <f>[1]往来单位!B480&amp;""</f>
      </c>
      <c r="C480">
        <f>[1]往来单位!C480&amp;""</f>
      </c>
    </row>
    <row r="481">
      <c r="B481">
        <f>[1]往来单位!B481&amp;""</f>
      </c>
      <c r="C481">
        <f>[1]往来单位!C481&amp;""</f>
      </c>
    </row>
    <row r="482">
      <c r="B482">
        <f>[1]往来单位!B482&amp;""</f>
      </c>
      <c r="C482">
        <f>[1]往来单位!C482&amp;""</f>
      </c>
    </row>
    <row r="483">
      <c r="B483">
        <f>[1]往来单位!B483&amp;""</f>
      </c>
      <c r="C483">
        <f>[1]往来单位!C483&amp;""</f>
      </c>
    </row>
    <row r="484">
      <c r="B484">
        <f>[1]往来单位!B484&amp;""</f>
      </c>
      <c r="C484">
        <f>[1]往来单位!C484&amp;""</f>
      </c>
    </row>
    <row r="485">
      <c r="B485">
        <f>[1]往来单位!B485&amp;""</f>
      </c>
      <c r="C485">
        <f>[1]往来单位!C485&amp;""</f>
      </c>
    </row>
    <row r="486">
      <c r="B486">
        <f>[1]往来单位!B486&amp;""</f>
      </c>
      <c r="C486">
        <f>[1]往来单位!C486&amp;""</f>
      </c>
    </row>
    <row r="487">
      <c r="B487">
        <f>[1]往来单位!B487&amp;""</f>
      </c>
      <c r="C487">
        <f>[1]往来单位!C487&amp;""</f>
      </c>
    </row>
    <row r="488">
      <c r="B488">
        <f>[1]往来单位!B488&amp;""</f>
      </c>
      <c r="C488">
        <f>[1]往来单位!C488&amp;""</f>
      </c>
    </row>
    <row r="489">
      <c r="B489">
        <f>[1]往来单位!B489&amp;""</f>
      </c>
      <c r="C489">
        <f>[1]往来单位!C489&amp;""</f>
      </c>
    </row>
    <row r="490">
      <c r="B490">
        <f>[1]往来单位!B490&amp;""</f>
      </c>
      <c r="C490">
        <f>[1]往来单位!C490&amp;""</f>
      </c>
    </row>
    <row r="491">
      <c r="B491">
        <f>[1]往来单位!B491&amp;""</f>
      </c>
      <c r="C491">
        <f>[1]往来单位!C491&amp;""</f>
      </c>
    </row>
    <row r="492">
      <c r="B492">
        <f>[1]往来单位!B492&amp;""</f>
      </c>
      <c r="C492">
        <f>[1]往来单位!C492&amp;""</f>
      </c>
    </row>
    <row r="493">
      <c r="B493">
        <f>[1]往来单位!B493&amp;""</f>
      </c>
      <c r="C493">
        <f>[1]往来单位!C493&amp;""</f>
      </c>
    </row>
    <row r="494">
      <c r="B494">
        <f>[1]往来单位!B494&amp;""</f>
      </c>
      <c r="C494">
        <f>[1]往来单位!C494&amp;""</f>
      </c>
    </row>
    <row r="495">
      <c r="B495">
        <f>[1]往来单位!B495&amp;""</f>
      </c>
      <c r="C495">
        <f>[1]往来单位!C495&amp;""</f>
      </c>
    </row>
    <row r="496">
      <c r="B496">
        <f>[1]往来单位!B496&amp;""</f>
      </c>
      <c r="C496">
        <f>[1]往来单位!C496&amp;""</f>
      </c>
    </row>
    <row r="497">
      <c r="B497">
        <f>[1]往来单位!B497&amp;""</f>
      </c>
      <c r="C497">
        <f>[1]往来单位!C497&amp;""</f>
      </c>
    </row>
    <row r="498">
      <c r="B498">
        <f>[1]往来单位!B498&amp;""</f>
      </c>
      <c r="C498">
        <f>[1]往来单位!C498&amp;""</f>
      </c>
    </row>
    <row r="499">
      <c r="B499">
        <f>[1]往来单位!B499&amp;""</f>
      </c>
      <c r="C499">
        <f>[1]往来单位!C499&amp;""</f>
      </c>
    </row>
    <row r="500">
      <c r="B500">
        <f>[1]往来单位!B500&amp;""</f>
      </c>
      <c r="C500">
        <f>[1]往来单位!C500&amp;""</f>
      </c>
    </row>
    <row r="501">
      <c r="B501">
        <f>[1]往来单位!B501&amp;""</f>
      </c>
      <c r="C501">
        <f>[1]往来单位!C501&amp;""</f>
      </c>
    </row>
    <row r="502">
      <c r="B502">
        <f>[1]往来单位!B502&amp;""</f>
      </c>
      <c r="C502">
        <f>[1]往来单位!C502&amp;""</f>
      </c>
    </row>
    <row r="503">
      <c r="B503">
        <f>[1]往来单位!B503&amp;""</f>
      </c>
      <c r="C503">
        <f>[1]往来单位!C503&amp;""</f>
      </c>
    </row>
    <row r="504">
      <c r="B504">
        <f>[1]往来单位!B504&amp;""</f>
      </c>
      <c r="C504">
        <f>[1]往来单位!C504&amp;""</f>
      </c>
    </row>
    <row r="505">
      <c r="B505">
        <f>[1]往来单位!B505&amp;""</f>
      </c>
      <c r="C505">
        <f>[1]往来单位!C505&amp;""</f>
      </c>
    </row>
    <row r="506">
      <c r="B506">
        <f>[1]往来单位!B506&amp;""</f>
      </c>
      <c r="C506">
        <f>[1]往来单位!C506&amp;""</f>
      </c>
    </row>
    <row r="507">
      <c r="B507">
        <f>[1]往来单位!B507&amp;""</f>
      </c>
      <c r="C507">
        <f>[1]往来单位!C507&amp;""</f>
      </c>
    </row>
    <row r="508">
      <c r="B508">
        <f>[1]往来单位!B508&amp;""</f>
      </c>
      <c r="C508">
        <f>[1]往来单位!C508&amp;""</f>
      </c>
    </row>
    <row r="509">
      <c r="B509">
        <f>[1]往来单位!B509&amp;""</f>
      </c>
      <c r="C509">
        <f>[1]往来单位!C509&amp;""</f>
      </c>
    </row>
    <row r="510">
      <c r="B510">
        <f>[1]往来单位!B510&amp;""</f>
      </c>
      <c r="C510">
        <f>[1]往来单位!C510&amp;""</f>
      </c>
    </row>
    <row r="511">
      <c r="B511">
        <f>[1]往来单位!B511&amp;""</f>
      </c>
      <c r="C511">
        <f>[1]往来单位!C511&amp;""</f>
      </c>
    </row>
    <row r="512">
      <c r="B512">
        <f>[1]往来单位!B512&amp;""</f>
      </c>
      <c r="C512">
        <f>[1]往来单位!C512&amp;""</f>
      </c>
    </row>
    <row r="513">
      <c r="B513">
        <f>[1]往来单位!B513&amp;""</f>
      </c>
      <c r="C513">
        <f>[1]往来单位!C513&amp;""</f>
      </c>
    </row>
    <row r="514">
      <c r="B514">
        <f>[1]往来单位!B514&amp;""</f>
      </c>
      <c r="C514">
        <f>[1]往来单位!C514&amp;""</f>
      </c>
    </row>
    <row r="515">
      <c r="B515">
        <f>[1]往来单位!B515&amp;""</f>
      </c>
      <c r="C515">
        <f>[1]往来单位!C515&amp;""</f>
      </c>
    </row>
    <row r="516">
      <c r="B516">
        <f>[1]往来单位!B516&amp;""</f>
      </c>
      <c r="C516">
        <f>[1]往来单位!C516&amp;""</f>
      </c>
    </row>
    <row r="517">
      <c r="B517">
        <f>[1]往来单位!B517&amp;""</f>
      </c>
      <c r="C517">
        <f>[1]往来单位!C517&amp;""</f>
      </c>
    </row>
    <row r="518">
      <c r="B518">
        <f>[1]往来单位!B518&amp;""</f>
      </c>
      <c r="C518">
        <f>[1]往来单位!C518&amp;""</f>
      </c>
    </row>
    <row r="519">
      <c r="B519">
        <f>[1]往来单位!B519&amp;""</f>
      </c>
      <c r="C519">
        <f>[1]往来单位!C519&amp;""</f>
      </c>
    </row>
    <row r="520">
      <c r="B520">
        <f>[1]往来单位!B520&amp;""</f>
      </c>
      <c r="C520">
        <f>[1]往来单位!C520&amp;""</f>
      </c>
    </row>
    <row r="521">
      <c r="B521">
        <f>[1]往来单位!B521&amp;""</f>
      </c>
      <c r="C521">
        <f>[1]往来单位!C521&amp;""</f>
      </c>
    </row>
    <row r="522">
      <c r="B522">
        <f>[1]往来单位!B522&amp;""</f>
      </c>
      <c r="C522">
        <f>[1]往来单位!C522&amp;""</f>
      </c>
    </row>
    <row r="523">
      <c r="B523">
        <f>[1]往来单位!B523&amp;""</f>
      </c>
      <c r="C523">
        <f>[1]往来单位!C523&amp;""</f>
      </c>
    </row>
    <row r="524">
      <c r="B524">
        <f>[1]往来单位!B524&amp;""</f>
      </c>
      <c r="C524">
        <f>[1]往来单位!C524&amp;""</f>
      </c>
    </row>
    <row r="525">
      <c r="B525">
        <f>[1]往来单位!B525&amp;""</f>
      </c>
      <c r="C525">
        <f>[1]往来单位!C525&amp;""</f>
      </c>
    </row>
    <row r="526">
      <c r="B526">
        <f>[1]往来单位!B526&amp;""</f>
      </c>
      <c r="C526">
        <f>[1]往来单位!C526&amp;""</f>
      </c>
    </row>
    <row r="527">
      <c r="B527">
        <f>[1]往来单位!B527&amp;""</f>
      </c>
      <c r="C527">
        <f>[1]往来单位!C527&amp;""</f>
      </c>
    </row>
    <row r="528">
      <c r="B528">
        <f>[1]往来单位!B528&amp;""</f>
      </c>
      <c r="C528">
        <f>[1]往来单位!C528&amp;""</f>
      </c>
    </row>
    <row r="529">
      <c r="B529">
        <f>[1]往来单位!B529&amp;""</f>
      </c>
      <c r="C529">
        <f>[1]往来单位!C529&amp;""</f>
      </c>
    </row>
    <row r="530">
      <c r="B530">
        <f>[1]往来单位!B530&amp;""</f>
      </c>
      <c r="C530">
        <f>[1]往来单位!C530&amp;""</f>
      </c>
    </row>
    <row r="531">
      <c r="B531">
        <f>[1]往来单位!B531&amp;""</f>
      </c>
      <c r="C531">
        <f>[1]往来单位!C531&amp;""</f>
      </c>
    </row>
    <row r="532">
      <c r="B532">
        <f>[1]往来单位!B532&amp;""</f>
      </c>
      <c r="C532">
        <f>[1]往来单位!C532&amp;""</f>
      </c>
    </row>
    <row r="533">
      <c r="B533">
        <f>[1]往来单位!B533&amp;""</f>
      </c>
      <c r="C533">
        <f>[1]往来单位!C533&amp;""</f>
      </c>
    </row>
    <row r="534">
      <c r="B534">
        <f>[1]往来单位!B534&amp;""</f>
      </c>
      <c r="C534">
        <f>[1]往来单位!C534&amp;""</f>
      </c>
    </row>
    <row r="535">
      <c r="B535">
        <f>[1]往来单位!B535&amp;""</f>
      </c>
      <c r="C535">
        <f>[1]往来单位!C535&amp;""</f>
      </c>
    </row>
    <row r="536">
      <c r="B536">
        <f>[1]往来单位!B536&amp;""</f>
      </c>
      <c r="C536">
        <f>[1]往来单位!C536&amp;""</f>
      </c>
    </row>
    <row r="537">
      <c r="B537">
        <f>[1]往来单位!B537&amp;""</f>
      </c>
      <c r="C537">
        <f>[1]往来单位!C537&amp;""</f>
      </c>
    </row>
    <row r="538">
      <c r="B538">
        <f>[1]往来单位!B538&amp;""</f>
      </c>
      <c r="C538">
        <f>[1]往来单位!C538&amp;""</f>
      </c>
    </row>
    <row r="539">
      <c r="B539">
        <f>[1]往来单位!B539&amp;""</f>
      </c>
      <c r="C539">
        <f>[1]往来单位!C539&amp;""</f>
      </c>
    </row>
    <row r="540">
      <c r="B540">
        <f>[1]往来单位!B540&amp;""</f>
      </c>
      <c r="C540">
        <f>[1]往来单位!C540&amp;""</f>
      </c>
    </row>
    <row r="541">
      <c r="B541">
        <f>[1]往来单位!B541&amp;""</f>
      </c>
      <c r="C541">
        <f>[1]往来单位!C541&amp;""</f>
      </c>
    </row>
    <row r="542">
      <c r="B542">
        <f>[1]往来单位!B542&amp;""</f>
      </c>
      <c r="C542">
        <f>[1]往来单位!C542&amp;""</f>
      </c>
    </row>
    <row r="543">
      <c r="B543">
        <f>[1]往来单位!B543&amp;""</f>
      </c>
      <c r="C543">
        <f>[1]往来单位!C543&amp;""</f>
      </c>
    </row>
    <row r="544">
      <c r="B544">
        <f>[1]往来单位!B544&amp;""</f>
      </c>
      <c r="C544">
        <f>[1]往来单位!C544&amp;""</f>
      </c>
    </row>
    <row r="545">
      <c r="B545">
        <f>[1]往来单位!B545&amp;""</f>
      </c>
      <c r="C545">
        <f>[1]往来单位!C545&amp;""</f>
      </c>
    </row>
    <row r="546">
      <c r="B546">
        <f>[1]往来单位!B546&amp;""</f>
      </c>
      <c r="C546">
        <f>[1]往来单位!C546&amp;""</f>
      </c>
    </row>
    <row r="547">
      <c r="B547">
        <f>[1]往来单位!B547&amp;""</f>
      </c>
      <c r="C547">
        <f>[1]往来单位!C547&amp;""</f>
      </c>
    </row>
    <row r="548">
      <c r="B548">
        <f>[1]往来单位!B548&amp;""</f>
      </c>
      <c r="C548">
        <f>[1]往来单位!C548&amp;""</f>
      </c>
    </row>
    <row r="549">
      <c r="B549">
        <f>[1]往来单位!B549&amp;""</f>
      </c>
      <c r="C549">
        <f>[1]往来单位!C549&amp;""</f>
      </c>
    </row>
    <row r="550">
      <c r="B550">
        <f>[1]往来单位!B550&amp;""</f>
      </c>
      <c r="C550">
        <f>[1]往来单位!C550&amp;""</f>
      </c>
    </row>
    <row r="551">
      <c r="B551">
        <f>[1]往来单位!B551&amp;""</f>
      </c>
      <c r="C551">
        <f>[1]往来单位!C551&amp;""</f>
      </c>
    </row>
    <row r="552">
      <c r="B552">
        <f>[1]往来单位!B552&amp;""</f>
      </c>
      <c r="C552">
        <f>[1]往来单位!C552&amp;""</f>
      </c>
    </row>
    <row r="553">
      <c r="B553">
        <f>[1]往来单位!B553&amp;""</f>
      </c>
      <c r="C553">
        <f>[1]往来单位!C553&amp;""</f>
      </c>
    </row>
    <row r="554">
      <c r="B554">
        <f>[1]往来单位!B554&amp;""</f>
      </c>
      <c r="C554">
        <f>[1]往来单位!C554&amp;""</f>
      </c>
    </row>
    <row r="555">
      <c r="B555">
        <f>[1]往来单位!B555&amp;""</f>
      </c>
      <c r="C555">
        <f>[1]往来单位!C555&amp;""</f>
      </c>
    </row>
    <row r="556">
      <c r="B556">
        <f>[1]往来单位!B556&amp;""</f>
      </c>
      <c r="C556">
        <f>[1]往来单位!C556&amp;""</f>
      </c>
    </row>
    <row r="557">
      <c r="B557">
        <f>[1]往来单位!B557&amp;""</f>
      </c>
      <c r="C557">
        <f>[1]往来单位!C557&amp;""</f>
      </c>
    </row>
    <row r="558">
      <c r="B558">
        <f>[1]往来单位!B558&amp;""</f>
      </c>
      <c r="C558">
        <f>[1]往来单位!C558&amp;""</f>
      </c>
    </row>
    <row r="559">
      <c r="B559">
        <f>[1]往来单位!B559&amp;""</f>
      </c>
      <c r="C559">
        <f>[1]往来单位!C559&amp;""</f>
      </c>
    </row>
    <row r="560">
      <c r="B560">
        <f>[1]往来单位!B560&amp;""</f>
      </c>
      <c r="C560">
        <f>[1]往来单位!C560&amp;""</f>
      </c>
    </row>
    <row r="561">
      <c r="B561">
        <f>[1]往来单位!B561&amp;""</f>
      </c>
      <c r="C561">
        <f>[1]往来单位!C561&amp;""</f>
      </c>
    </row>
    <row r="562">
      <c r="B562">
        <f>[1]往来单位!B562&amp;""</f>
      </c>
      <c r="C562">
        <f>[1]往来单位!C562&amp;""</f>
      </c>
    </row>
    <row r="563">
      <c r="B563">
        <f>[1]往来单位!B563&amp;""</f>
      </c>
      <c r="C563">
        <f>[1]往来单位!C563&amp;""</f>
      </c>
    </row>
    <row r="564">
      <c r="B564">
        <f>[1]往来单位!B564&amp;""</f>
      </c>
      <c r="C564">
        <f>[1]往来单位!C564&amp;""</f>
      </c>
    </row>
    <row r="565">
      <c r="B565">
        <f>[1]往来单位!B565&amp;""</f>
      </c>
      <c r="C565">
        <f>[1]往来单位!C565&amp;""</f>
      </c>
    </row>
    <row r="566">
      <c r="B566">
        <f>[1]往来单位!B566&amp;""</f>
      </c>
      <c r="C566">
        <f>[1]往来单位!C566&amp;""</f>
      </c>
    </row>
    <row r="567">
      <c r="B567">
        <f>[1]往来单位!B567&amp;""</f>
      </c>
      <c r="C567">
        <f>[1]往来单位!C567&amp;""</f>
      </c>
    </row>
    <row r="568">
      <c r="B568">
        <f>[1]往来单位!B568&amp;""</f>
      </c>
      <c r="C568">
        <f>[1]往来单位!C568&amp;""</f>
      </c>
    </row>
    <row r="569">
      <c r="B569">
        <f>[1]往来单位!B569&amp;""</f>
      </c>
      <c r="C569">
        <f>[1]往来单位!C569&amp;""</f>
      </c>
    </row>
    <row r="570">
      <c r="B570">
        <f>[1]往来单位!B570&amp;""</f>
      </c>
      <c r="C570">
        <f>[1]往来单位!C570&amp;""</f>
      </c>
    </row>
    <row r="571">
      <c r="B571">
        <f>[1]往来单位!B571&amp;""</f>
      </c>
      <c r="C571">
        <f>[1]往来单位!C571&amp;""</f>
      </c>
    </row>
    <row r="572">
      <c r="B572">
        <f>[1]往来单位!B572&amp;""</f>
      </c>
      <c r="C572">
        <f>[1]往来单位!C572&amp;""</f>
      </c>
    </row>
    <row r="573">
      <c r="B573">
        <f>[1]往来单位!B573&amp;""</f>
      </c>
      <c r="C573">
        <f>[1]往来单位!C573&amp;""</f>
      </c>
    </row>
    <row r="574">
      <c r="B574">
        <f>[1]往来单位!B574&amp;""</f>
      </c>
      <c r="C574">
        <f>[1]往来单位!C574&amp;""</f>
      </c>
    </row>
    <row r="575">
      <c r="B575">
        <f>[1]往来单位!B575&amp;""</f>
      </c>
      <c r="C575">
        <f>[1]往来单位!C575&amp;""</f>
      </c>
    </row>
    <row r="576">
      <c r="B576">
        <f>[1]往来单位!B576&amp;""</f>
      </c>
      <c r="C576">
        <f>[1]往来单位!C576&amp;""</f>
      </c>
    </row>
    <row r="577">
      <c r="B577">
        <f>[1]往来单位!B577&amp;""</f>
      </c>
      <c r="C577">
        <f>[1]往来单位!C577&amp;""</f>
      </c>
    </row>
    <row r="578">
      <c r="B578">
        <f>[1]往来单位!B578&amp;""</f>
      </c>
      <c r="C578">
        <f>[1]往来单位!C578&amp;""</f>
      </c>
    </row>
    <row r="579">
      <c r="B579">
        <f>[1]往来单位!B579&amp;""</f>
      </c>
      <c r="C579">
        <f>[1]往来单位!C579&amp;""</f>
      </c>
    </row>
    <row r="580">
      <c r="B580">
        <f>[1]往来单位!B580&amp;""</f>
      </c>
      <c r="C580">
        <f>[1]往来单位!C580&amp;""</f>
      </c>
    </row>
    <row r="581">
      <c r="B581">
        <f>[1]往来单位!B581&amp;""</f>
      </c>
      <c r="C581">
        <f>[1]往来单位!C581&amp;""</f>
      </c>
    </row>
    <row r="582">
      <c r="B582">
        <f>[1]往来单位!B582&amp;""</f>
      </c>
      <c r="C582">
        <f>[1]往来单位!C582&amp;""</f>
      </c>
    </row>
    <row r="583">
      <c r="B583">
        <f>[1]往来单位!B583&amp;""</f>
      </c>
      <c r="C583">
        <f>[1]往来单位!C583&amp;""</f>
      </c>
    </row>
    <row r="584">
      <c r="B584">
        <f>[1]往来单位!B584&amp;""</f>
      </c>
      <c r="C584">
        <f>[1]往来单位!C584&amp;""</f>
      </c>
    </row>
    <row r="585">
      <c r="B585">
        <f>[1]往来单位!B585&amp;""</f>
      </c>
      <c r="C585">
        <f>[1]往来单位!C585&amp;""</f>
      </c>
    </row>
    <row r="586">
      <c r="B586">
        <f>[1]往来单位!B586&amp;""</f>
      </c>
      <c r="C586">
        <f>[1]往来单位!C586&amp;""</f>
      </c>
    </row>
    <row r="587">
      <c r="B587">
        <f>[1]往来单位!B587&amp;""</f>
      </c>
      <c r="C587">
        <f>[1]往来单位!C587&amp;""</f>
      </c>
    </row>
    <row r="588">
      <c r="B588">
        <f>[1]往来单位!B588&amp;""</f>
      </c>
      <c r="C588">
        <f>[1]往来单位!C588&amp;""</f>
      </c>
    </row>
    <row r="589">
      <c r="B589">
        <f>[1]往来单位!B589&amp;""</f>
      </c>
      <c r="C589">
        <f>[1]往来单位!C589&amp;""</f>
      </c>
    </row>
    <row r="590">
      <c r="B590">
        <f>[1]往来单位!B590&amp;""</f>
      </c>
      <c r="C590">
        <f>[1]往来单位!C590&amp;""</f>
      </c>
    </row>
    <row r="591">
      <c r="B591">
        <f>[1]往来单位!B591&amp;""</f>
      </c>
      <c r="C591">
        <f>[1]往来单位!C591&amp;""</f>
      </c>
    </row>
    <row r="592">
      <c r="B592">
        <f>[1]往来单位!B592&amp;""</f>
      </c>
      <c r="C592">
        <f>[1]往来单位!C592&amp;""</f>
      </c>
    </row>
    <row r="593">
      <c r="B593">
        <f>[1]往来单位!B593&amp;""</f>
      </c>
      <c r="C593">
        <f>[1]往来单位!C593&amp;""</f>
      </c>
    </row>
    <row r="594">
      <c r="B594">
        <f>[1]往来单位!B594&amp;""</f>
      </c>
      <c r="C594">
        <f>[1]往来单位!C594&amp;""</f>
      </c>
    </row>
    <row r="595">
      <c r="B595">
        <f>[1]往来单位!B595&amp;""</f>
      </c>
      <c r="C595">
        <f>[1]往来单位!C595&amp;""</f>
      </c>
    </row>
    <row r="596">
      <c r="B596">
        <f>[1]往来单位!B596&amp;""</f>
      </c>
      <c r="C596">
        <f>[1]往来单位!C596&amp;""</f>
      </c>
    </row>
    <row r="597">
      <c r="B597">
        <f>[1]往来单位!B597&amp;""</f>
      </c>
      <c r="C597">
        <f>[1]往来单位!C597&amp;""</f>
      </c>
    </row>
    <row r="598">
      <c r="B598">
        <f>[1]往来单位!B598&amp;""</f>
      </c>
      <c r="C598">
        <f>[1]往来单位!C598&amp;""</f>
      </c>
    </row>
    <row r="599">
      <c r="B599">
        <f>[1]往来单位!B599&amp;""</f>
      </c>
      <c r="C599">
        <f>[1]往来单位!C599&amp;""</f>
      </c>
    </row>
    <row r="600">
      <c r="B600">
        <f>[1]往来单位!B600&amp;""</f>
      </c>
      <c r="C600">
        <f>[1]往来单位!C600&amp;""</f>
      </c>
    </row>
    <row r="601">
      <c r="B601">
        <f>[1]往来单位!B601&amp;""</f>
      </c>
      <c r="C601">
        <f>[1]往来单位!C601&amp;""</f>
      </c>
    </row>
    <row r="602">
      <c r="B602">
        <f>[1]往来单位!B602&amp;""</f>
      </c>
      <c r="C602">
        <f>[1]往来单位!C602&amp;""</f>
      </c>
    </row>
    <row r="603">
      <c r="B603">
        <f>[1]往来单位!B603&amp;""</f>
      </c>
      <c r="C603">
        <f>[1]往来单位!C603&amp;""</f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608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全部</t>
        </is>
      </c>
      <c r="B1">
        <f>[1]_辅助!B1</f>
        <v>1</v>
      </c>
      <c r="C1" t="str">
        <f>IF(往来单位!$B$4="","",往来单位!$B$4)</f>
        <v>宁波鹿小白机电有限公司</v>
      </c>
    </row>
    <row r="2">
      <c r="A2" t="str">
        <f>IF(基础资料!$B$5="","",基础资料!$B$5)</f>
        <v>中智优力</v>
      </c>
      <c r="B2">
        <f>[1]_辅助!B2</f>
        <v>46289.0</v>
      </c>
      <c r="C2" t="str">
        <f>IF(往来单位!$B$5="","",往来单位!$B$5)</f>
        <v>宁波安程汽车服务有限公司</v>
      </c>
    </row>
    <row r="3">
      <c r="A3" t="str">
        <f>IF(基础资料!$B$6="","",基础资料!$B$6)</f>
        <v>中慧优力</v>
      </c>
      <c r="B3">
        <f>[1]_辅助!B3</f>
        <v>138</v>
      </c>
      <c r="C3" t="str">
        <f>IF(往来单位!$B$6="","",往来单位!$B$6)</f>
        <v>宁波市华方塑料机械制造有限公司</v>
      </c>
    </row>
    <row r="4">
      <c r="A4" t="str">
        <f>IF(基础资料!$B$7="","",基础资料!$B$7)</f>
        <v>琴馨</v>
      </c>
      <c r="C4" t="str">
        <f>IF(往来单位!$B$7="","",往来单位!$B$7)</f>
        <v>宁波市昕阳国际贸易有限公司</v>
      </c>
    </row>
    <row r="5">
      <c r="A5" t="str">
        <f>IF(基础资料!$B$8="","",基础资料!$B$8)</f>
        <v>优茗</v>
      </c>
      <c r="C5" t="str">
        <f>IF(往来单位!$B$8="","",往来单位!$B$8)</f>
        <v>宁波永程纸制品有限公司</v>
      </c>
    </row>
    <row r="6">
      <c r="A6" t="str">
        <f>IF(基础资料!$B$9="","",基础资料!$B$9)</f>
        <v>飞鲸</v>
      </c>
      <c r="C6" t="str">
        <f>IF(往来单位!$B$9="","",往来单位!$B$9)</f>
        <v>鄞州区福明街道国际汽车城业主委员会</v>
      </c>
    </row>
    <row r="7">
      <c r="A7">
        <f>IF(基础资料!$B$10="","",基础资料!$B$10)</f>
      </c>
      <c r="C7" t="str">
        <f>IF(往来单位!$B$10="","",往来单位!$B$10)</f>
        <v>宁波市鄞州瑞益通风设备有限公司</v>
      </c>
    </row>
    <row r="8">
      <c r="A8">
        <f>IF(基础资料!$B$11="","",基础资料!$B$11)</f>
      </c>
      <c r="C8" t="str">
        <f>IF(往来单位!$B$11="","",往来单位!$B$11)</f>
        <v>宁波市鄞州五乡晓林五金机械厂</v>
      </c>
    </row>
    <row r="9">
      <c r="A9">
        <f>IF(基础资料!$B$12="","",基础资料!$B$12)</f>
      </c>
      <c r="C9" t="str">
        <f>IF(往来单位!$B$12="","",往来单位!$B$12)</f>
        <v>宜柏嘉（宁波）智能科技有限公司</v>
      </c>
    </row>
    <row r="10">
      <c r="C10" t="str">
        <f>IF(往来单位!$B$13="","",往来单位!$B$13)</f>
        <v>宁波优责标识科技有限公司</v>
      </c>
    </row>
    <row r="11">
      <c r="C11" t="str">
        <f>IF(往来单位!$B$14="","",往来单位!$B$14)</f>
        <v>宁波新鹏机械有限公司</v>
      </c>
    </row>
    <row r="12">
      <c r="C12" t="str">
        <f>IF(往来单位!$B$15="","",往来单位!$B$15)</f>
        <v>宁波恒杰工业锁闭技术有限公司</v>
      </c>
    </row>
    <row r="13">
      <c r="C13" t="str">
        <f>IF(往来单位!$B$16="","",往来单位!$B$16)</f>
        <v>宁波绮绘印花有限公司</v>
      </c>
    </row>
    <row r="14">
      <c r="C14" t="str">
        <f>IF(往来单位!$B$17="","",往来单位!$B$17)</f>
        <v>浙江省成套工程有限公司鄞州分公司</v>
      </c>
    </row>
    <row r="15">
      <c r="C15" t="str">
        <f>IF(往来单位!$B$18="","",往来单位!$B$18)</f>
        <v>宁波市吉安商会</v>
      </c>
    </row>
    <row r="16">
      <c r="C16" t="str">
        <f>IF(往来单位!$B$19="","",往来单位!$B$19)</f>
        <v>宁波绵菡电子有限公司</v>
      </c>
    </row>
    <row r="17">
      <c r="C17" t="str">
        <f>IF(往来单位!$B$20="","",往来单位!$B$20)</f>
        <v>宁波启定塑料制品有限公司</v>
      </c>
    </row>
    <row r="18">
      <c r="C18" t="str">
        <f>IF(往来单位!$B$21="","",往来单位!$B$21)</f>
        <v>宁波佳协永立服饰有限公司</v>
      </c>
    </row>
    <row r="19">
      <c r="C19" t="str">
        <f>IF(往来单位!$B$22="","",往来单位!$B$22)</f>
        <v>宁波市鄞州烈盛电子有限公司</v>
      </c>
    </row>
    <row r="20">
      <c r="C20" t="str">
        <f>IF(往来单位!$B$23="","",往来单位!$B$23)</f>
        <v>宁波盛晞钛金科技有限公司</v>
      </c>
    </row>
    <row r="21">
      <c r="C21" t="str">
        <f>IF(往来单位!$B$24="","",往来单位!$B$24)</f>
        <v>宁波恒世通实业有限公司</v>
      </c>
    </row>
    <row r="22">
      <c r="C22" t="str">
        <f>IF(往来单位!$B$25="","",往来单位!$B$25)</f>
        <v>中国电信股份有限公司宁波分公司</v>
      </c>
    </row>
    <row r="23">
      <c r="C23" t="str">
        <f>IF(往来单位!$B$26="","",往来单位!$B$26)</f>
        <v>国库（税款）</v>
      </c>
    </row>
    <row r="24">
      <c r="C24" t="str">
        <f>IF(往来单位!$B$27="","",往来单位!$B$27)</f>
        <v>宁波市鄞州钱路新材料有限公司</v>
      </c>
    </row>
    <row r="25">
      <c r="C25" t="str">
        <f>IF(往来单位!$B$28="","",往来单位!$B$28)</f>
        <v>上海康驻达科技有限公司</v>
      </c>
    </row>
    <row r="26">
      <c r="C26" t="str">
        <f>IF(往来单位!$B$29="","",往来单位!$B$29)</f>
        <v>思佰科（宁波）工程服务有限公司</v>
      </c>
    </row>
    <row r="27">
      <c r="C27" t="str">
        <f>IF(往来单位!$B$30="","",往来单位!$B$30)</f>
        <v>宁波宫泽精密机械有限公司</v>
      </c>
    </row>
    <row r="28">
      <c r="C28" t="str">
        <f>IF(往来单位!$B$31="","",往来单位!$B$31)</f>
        <v>苏州工业园区猫受屋百货零售店（个体工商户）</v>
      </c>
    </row>
    <row r="29">
      <c r="C29" t="str">
        <f>IF(往来单位!$B$32="","",往来单位!$B$32)</f>
        <v>秦淮区猫受屋百货零售店（个体工商户）</v>
      </c>
    </row>
    <row r="30">
      <c r="C30" t="str">
        <f>IF(往来单位!$B$33="","",往来单位!$B$33)</f>
        <v>西安市雁塔区谷的猫百货零售店（个体工商户）</v>
      </c>
    </row>
    <row r="31">
      <c r="C31">
        <f>IF(往来单位!$B$34="","",往来单位!$B$34)</f>
      </c>
    </row>
    <row r="32">
      <c r="C32">
        <f>IF(往来单位!$B$35="","",往来单位!$B$35)</f>
      </c>
    </row>
    <row r="33">
      <c r="C33">
        <f>IF(往来单位!$B$36="","",往来单位!$B$36)</f>
      </c>
    </row>
    <row r="34">
      <c r="C34">
        <f>IF(往来单位!$B$37="","",往来单位!$B$37)</f>
      </c>
    </row>
    <row r="35">
      <c r="C35">
        <f>IF(往来单位!$B$38="","",往来单位!$B$38)</f>
      </c>
    </row>
    <row r="36">
      <c r="C36">
        <f>IF(往来单位!$B$39="","",往来单位!$B$39)</f>
      </c>
    </row>
    <row r="37">
      <c r="C37">
        <f>IF(往来单位!$B$40="","",往来单位!$B$40)</f>
      </c>
    </row>
    <row r="38">
      <c r="C38">
        <f>IF(往来单位!$B$41="","",往来单位!$B$41)</f>
      </c>
    </row>
    <row r="39">
      <c r="C39">
        <f>IF(往来单位!$B$42="","",往来单位!$B$42)</f>
      </c>
    </row>
    <row r="40">
      <c r="C40">
        <f>IF(往来单位!$B$43="","",往来单位!$B$43)</f>
      </c>
    </row>
    <row r="41">
      <c r="C41">
        <f>IF(往来单位!$B$44="","",往来单位!$B$44)</f>
      </c>
    </row>
    <row r="42">
      <c r="C42">
        <f>IF(往来单位!$B$45="","",往来单位!$B$45)</f>
      </c>
    </row>
    <row r="43">
      <c r="C43">
        <f>IF(往来单位!$B$46="","",往来单位!$B$46)</f>
      </c>
    </row>
    <row r="44">
      <c r="C44">
        <f>IF(往来单位!$B$47="","",往来单位!$B$47)</f>
      </c>
    </row>
    <row r="45">
      <c r="C45">
        <f>IF(往来单位!$B$48="","",往来单位!$B$48)</f>
      </c>
    </row>
    <row r="46">
      <c r="C46">
        <f>IF(往来单位!$B$49="","",往来单位!$B$49)</f>
      </c>
    </row>
    <row r="47">
      <c r="C47">
        <f>IF(往来单位!$B$50="","",往来单位!$B$50)</f>
      </c>
    </row>
    <row r="48">
      <c r="C48">
        <f>IF(往来单位!$B$51="","",往来单位!$B$51)</f>
      </c>
    </row>
    <row r="49">
      <c r="C49">
        <f>IF(往来单位!$B$52="","",往来单位!$B$52)</f>
      </c>
    </row>
    <row r="50">
      <c r="C50">
        <f>IF(往来单位!$B$53="","",往来单位!$B$53)</f>
      </c>
    </row>
    <row r="51">
      <c r="C51">
        <f>IF(往来单位!$B$54="","",往来单位!$B$54)</f>
      </c>
    </row>
    <row r="52">
      <c r="C52">
        <f>IF(往来单位!$B$55="","",往来单位!$B$55)</f>
      </c>
    </row>
    <row r="53">
      <c r="C53">
        <f>IF(往来单位!$B$56="","",往来单位!$B$56)</f>
      </c>
    </row>
    <row r="54">
      <c r="C54">
        <f>IF(往来单位!$B$57="","",往来单位!$B$57)</f>
      </c>
    </row>
    <row r="55">
      <c r="C55">
        <f>IF(往来单位!$B$58="","",往来单位!$B$58)</f>
      </c>
    </row>
    <row r="56">
      <c r="C56">
        <f>IF(往来单位!$B$59="","",往来单位!$B$59)</f>
      </c>
    </row>
    <row r="57">
      <c r="C57">
        <f>IF(往来单位!$B$60="","",往来单位!$B$60)</f>
      </c>
    </row>
    <row r="58">
      <c r="C58">
        <f>IF(往来单位!$B$61="","",往来单位!$B$61)</f>
      </c>
    </row>
    <row r="59">
      <c r="C59">
        <f>IF(往来单位!$B$62="","",往来单位!$B$62)</f>
      </c>
    </row>
    <row r="60">
      <c r="C60">
        <f>IF(往来单位!$B$63="","",往来单位!$B$63)</f>
      </c>
    </row>
    <row r="61">
      <c r="C61">
        <f>IF(往来单位!$B$64="","",往来单位!$B$64)</f>
      </c>
    </row>
    <row r="62">
      <c r="C62">
        <f>IF(往来单位!$B$65="","",往来单位!$B$65)</f>
      </c>
    </row>
    <row r="63">
      <c r="C63">
        <f>IF(往来单位!$B$66="","",往来单位!$B$66)</f>
      </c>
    </row>
    <row r="64">
      <c r="C64">
        <f>IF(往来单位!$B$67="","",往来单位!$B$67)</f>
      </c>
    </row>
    <row r="65">
      <c r="C65">
        <f>IF(往来单位!$B$68="","",往来单位!$B$68)</f>
      </c>
    </row>
    <row r="66">
      <c r="C66">
        <f>IF(往来单位!$B$69="","",往来单位!$B$69)</f>
      </c>
    </row>
    <row r="67">
      <c r="C67">
        <f>IF(往来单位!$B$70="","",往来单位!$B$70)</f>
      </c>
    </row>
    <row r="68">
      <c r="C68">
        <f>IF(往来单位!$B$71="","",往来单位!$B$71)</f>
      </c>
    </row>
    <row r="69">
      <c r="C69">
        <f>IF(往来单位!$B$72="","",往来单位!$B$72)</f>
      </c>
    </row>
    <row r="70">
      <c r="C70">
        <f>IF(往来单位!$B$73="","",往来单位!$B$73)</f>
      </c>
    </row>
    <row r="71">
      <c r="C71">
        <f>IF(往来单位!$B$74="","",往来单位!$B$74)</f>
      </c>
    </row>
    <row r="72">
      <c r="C72">
        <f>IF(往来单位!$B$75="","",往来单位!$B$75)</f>
      </c>
    </row>
    <row r="73">
      <c r="C73">
        <f>IF(往来单位!$B$76="","",往来单位!$B$76)</f>
      </c>
    </row>
    <row r="74">
      <c r="C74">
        <f>IF(往来单位!$B$77="","",往来单位!$B$77)</f>
      </c>
    </row>
    <row r="75">
      <c r="C75">
        <f>IF(往来单位!$B$78="","",往来单位!$B$78)</f>
      </c>
    </row>
    <row r="76">
      <c r="C76">
        <f>IF(往来单位!$B$79="","",往来单位!$B$79)</f>
      </c>
    </row>
    <row r="77">
      <c r="C77">
        <f>IF(往来单位!$B$80="","",往来单位!$B$80)</f>
      </c>
    </row>
    <row r="78">
      <c r="C78">
        <f>IF(往来单位!$B$81="","",往来单位!$B$81)</f>
      </c>
    </row>
    <row r="79">
      <c r="C79">
        <f>IF(往来单位!$B$82="","",往来单位!$B$82)</f>
      </c>
    </row>
    <row r="80">
      <c r="C80">
        <f>IF(往来单位!$B$83="","",往来单位!$B$83)</f>
      </c>
    </row>
    <row r="81">
      <c r="C81">
        <f>IF(往来单位!$B$84="","",往来单位!$B$84)</f>
      </c>
    </row>
    <row r="82">
      <c r="C82">
        <f>IF(往来单位!$B$85="","",往来单位!$B$85)</f>
      </c>
    </row>
    <row r="83">
      <c r="C83">
        <f>IF(往来单位!$B$86="","",往来单位!$B$86)</f>
      </c>
    </row>
    <row r="84">
      <c r="C84">
        <f>IF(往来单位!$B$87="","",往来单位!$B$87)</f>
      </c>
    </row>
    <row r="85">
      <c r="C85">
        <f>IF(往来单位!$B$88="","",往来单位!$B$88)</f>
      </c>
    </row>
    <row r="86">
      <c r="C86">
        <f>IF(往来单位!$B$89="","",往来单位!$B$89)</f>
      </c>
    </row>
    <row r="87">
      <c r="C87">
        <f>IF(往来单位!$B$90="","",往来单位!$B$90)</f>
      </c>
    </row>
    <row r="88">
      <c r="C88">
        <f>IF(往来单位!$B$91="","",往来单位!$B$91)</f>
      </c>
    </row>
    <row r="89">
      <c r="C89">
        <f>IF(往来单位!$B$92="","",往来单位!$B$92)</f>
      </c>
    </row>
    <row r="90">
      <c r="C90">
        <f>IF(往来单位!$B$93="","",往来单位!$B$93)</f>
      </c>
    </row>
    <row r="91">
      <c r="C91">
        <f>IF(往来单位!$B$94="","",往来单位!$B$94)</f>
      </c>
    </row>
    <row r="92">
      <c r="C92">
        <f>IF(往来单位!$B$95="","",往来单位!$B$95)</f>
      </c>
    </row>
    <row r="93">
      <c r="C93">
        <f>IF(往来单位!$B$96="","",往来单位!$B$96)</f>
      </c>
    </row>
    <row r="94">
      <c r="C94">
        <f>IF(往来单位!$B$97="","",往来单位!$B$97)</f>
      </c>
    </row>
    <row r="95">
      <c r="C95">
        <f>IF(往来单位!$B$98="","",往来单位!$B$98)</f>
      </c>
    </row>
    <row r="96">
      <c r="C96">
        <f>IF(往来单位!$B$99="","",往来单位!$B$99)</f>
      </c>
    </row>
    <row r="97">
      <c r="C97">
        <f>IF(往来单位!$B$100="","",往来单位!$B$100)</f>
      </c>
    </row>
    <row r="98">
      <c r="C98">
        <f>IF(往来单位!$B$101="","",往来单位!$B$101)</f>
      </c>
    </row>
    <row r="99">
      <c r="C99">
        <f>IF(往来单位!$B$102="","",往来单位!$B$102)</f>
      </c>
    </row>
    <row r="100">
      <c r="C100">
        <f>IF(往来单位!$B$103="","",往来单位!$B$103)</f>
      </c>
    </row>
    <row r="101">
      <c r="C101">
        <f>IF(往来单位!$B$104="","",往来单位!$B$104)</f>
      </c>
    </row>
    <row r="102">
      <c r="C102">
        <f>IF(往来单位!$B$105="","",往来单位!$B$105)</f>
      </c>
    </row>
    <row r="103">
      <c r="C103">
        <f>IF(往来单位!$B$106="","",往来单位!$B$106)</f>
      </c>
    </row>
    <row r="104">
      <c r="C104">
        <f>IF(往来单位!$B$107="","",往来单位!$B$107)</f>
      </c>
    </row>
    <row r="105">
      <c r="C105">
        <f>IF(往来单位!$B$108="","",往来单位!$B$108)</f>
      </c>
    </row>
    <row r="106">
      <c r="C106">
        <f>IF(往来单位!$B$109="","",往来单位!$B$109)</f>
      </c>
    </row>
    <row r="107">
      <c r="C107">
        <f>IF(往来单位!$B$110="","",往来单位!$B$110)</f>
      </c>
    </row>
    <row r="108">
      <c r="C108">
        <f>IF(往来单位!$B$111="","",往来单位!$B$111)</f>
      </c>
    </row>
    <row r="109">
      <c r="C109">
        <f>IF(往来单位!$B$112="","",往来单位!$B$112)</f>
      </c>
    </row>
    <row r="110">
      <c r="C110">
        <f>IF(往来单位!$B$113="","",往来单位!$B$113)</f>
      </c>
    </row>
    <row r="111">
      <c r="C111">
        <f>IF(往来单位!$B$114="","",往来单位!$B$114)</f>
      </c>
    </row>
    <row r="112">
      <c r="C112">
        <f>IF(往来单位!$B$115="","",往来单位!$B$115)</f>
      </c>
    </row>
    <row r="113">
      <c r="C113">
        <f>IF(往来单位!$B$116="","",往来单位!$B$116)</f>
      </c>
    </row>
    <row r="114">
      <c r="C114">
        <f>IF(往来单位!$B$117="","",往来单位!$B$117)</f>
      </c>
    </row>
    <row r="115">
      <c r="C115">
        <f>IF(往来单位!$B$118="","",往来单位!$B$118)</f>
      </c>
    </row>
    <row r="116">
      <c r="C116">
        <f>IF(往来单位!$B$119="","",往来单位!$B$119)</f>
      </c>
    </row>
    <row r="117">
      <c r="C117">
        <f>IF(往来单位!$B$120="","",往来单位!$B$120)</f>
      </c>
    </row>
    <row r="118">
      <c r="C118">
        <f>IF(往来单位!$B$121="","",往来单位!$B$121)</f>
      </c>
    </row>
    <row r="119">
      <c r="C119">
        <f>IF(往来单位!$B$122="","",往来单位!$B$122)</f>
      </c>
    </row>
    <row r="120">
      <c r="C120">
        <f>IF(往来单位!$B$123="","",往来单位!$B$123)</f>
      </c>
    </row>
    <row r="121">
      <c r="C121">
        <f>IF(往来单位!$B$124="","",往来单位!$B$124)</f>
      </c>
    </row>
    <row r="122">
      <c r="C122">
        <f>IF(往来单位!$B$125="","",往来单位!$B$125)</f>
      </c>
    </row>
    <row r="123">
      <c r="C123">
        <f>IF(往来单位!$B$126="","",往来单位!$B$126)</f>
      </c>
    </row>
    <row r="124">
      <c r="C124">
        <f>IF(往来单位!$B$127="","",往来单位!$B$127)</f>
      </c>
    </row>
    <row r="125">
      <c r="C125">
        <f>IF(往来单位!$B$128="","",往来单位!$B$128)</f>
      </c>
    </row>
    <row r="126">
      <c r="C126">
        <f>IF(往来单位!$B$129="","",往来单位!$B$129)</f>
      </c>
    </row>
    <row r="127">
      <c r="C127">
        <f>IF(往来单位!$B$130="","",往来单位!$B$130)</f>
      </c>
    </row>
    <row r="128">
      <c r="C128">
        <f>IF(往来单位!$B$131="","",往来单位!$B$131)</f>
      </c>
    </row>
    <row r="129">
      <c r="C129">
        <f>IF(往来单位!$B$132="","",往来单位!$B$132)</f>
      </c>
    </row>
    <row r="130">
      <c r="C130">
        <f>IF(往来单位!$B$133="","",往来单位!$B$133)</f>
      </c>
    </row>
    <row r="131">
      <c r="C131">
        <f>IF(往来单位!$B$134="","",往来单位!$B$134)</f>
      </c>
    </row>
    <row r="132">
      <c r="C132">
        <f>IF(往来单位!$B$135="","",往来单位!$B$135)</f>
      </c>
    </row>
    <row r="133">
      <c r="C133">
        <f>IF(往来单位!$B$136="","",往来单位!$B$136)</f>
      </c>
    </row>
    <row r="134">
      <c r="C134">
        <f>IF(往来单位!$B$137="","",往来单位!$B$137)</f>
      </c>
    </row>
    <row r="135">
      <c r="C135">
        <f>IF(往来单位!$B$138="","",往来单位!$B$138)</f>
      </c>
    </row>
    <row r="136">
      <c r="C136">
        <f>IF(往来单位!$B$139="","",往来单位!$B$139)</f>
      </c>
    </row>
    <row r="137">
      <c r="C137">
        <f>IF(往来单位!$B$140="","",往来单位!$B$140)</f>
      </c>
    </row>
    <row r="138">
      <c r="C138">
        <f>IF(往来单位!$B$141="","",往来单位!$B$141)</f>
      </c>
    </row>
    <row r="139">
      <c r="C139">
        <f>IF(往来单位!$B$142="","",往来单位!$B$142)</f>
      </c>
    </row>
    <row r="140">
      <c r="C140">
        <f>IF(往来单位!$B$143="","",往来单位!$B$143)</f>
      </c>
    </row>
    <row r="141">
      <c r="C141">
        <f>IF(往来单位!$B$144="","",往来单位!$B$144)</f>
      </c>
    </row>
    <row r="142">
      <c r="C142">
        <f>IF(往来单位!$B$145="","",往来单位!$B$145)</f>
      </c>
    </row>
    <row r="143">
      <c r="C143">
        <f>IF(往来单位!$B$146="","",往来单位!$B$146)</f>
      </c>
    </row>
    <row r="144">
      <c r="C144">
        <f>IF(往来单位!$B$147="","",往来单位!$B$147)</f>
      </c>
    </row>
    <row r="145">
      <c r="C145">
        <f>IF(往来单位!$B$148="","",往来单位!$B$148)</f>
      </c>
    </row>
    <row r="146">
      <c r="C146">
        <f>IF(往来单位!$B$149="","",往来单位!$B$149)</f>
      </c>
    </row>
    <row r="147">
      <c r="C147">
        <f>IF(往来单位!$B$150="","",往来单位!$B$150)</f>
      </c>
    </row>
    <row r="148">
      <c r="C148">
        <f>IF(往来单位!$B$151="","",往来单位!$B$151)</f>
      </c>
    </row>
    <row r="149">
      <c r="C149">
        <f>IF(往来单位!$B$152="","",往来单位!$B$152)</f>
      </c>
    </row>
    <row r="150">
      <c r="C150">
        <f>IF(往来单位!$B$153="","",往来单位!$B$153)</f>
      </c>
    </row>
    <row r="151">
      <c r="C151">
        <f>IF(往来单位!$B$154="","",往来单位!$B$154)</f>
      </c>
    </row>
    <row r="152">
      <c r="C152">
        <f>IF(往来单位!$B$155="","",往来单位!$B$155)</f>
      </c>
    </row>
    <row r="153">
      <c r="C153">
        <f>IF(往来单位!$B$156="","",往来单位!$B$156)</f>
      </c>
    </row>
    <row r="154">
      <c r="C154">
        <f>IF(往来单位!$B$157="","",往来单位!$B$157)</f>
      </c>
    </row>
    <row r="155">
      <c r="C155">
        <f>IF(往来单位!$B$158="","",往来单位!$B$158)</f>
      </c>
    </row>
    <row r="156">
      <c r="C156">
        <f>IF(往来单位!$B$159="","",往来单位!$B$159)</f>
      </c>
    </row>
    <row r="157">
      <c r="C157">
        <f>IF(往来单位!$B$160="","",往来单位!$B$160)</f>
      </c>
    </row>
    <row r="158">
      <c r="C158">
        <f>IF(往来单位!$B$161="","",往来单位!$B$161)</f>
      </c>
    </row>
    <row r="159">
      <c r="C159">
        <f>IF(往来单位!$B$162="","",往来单位!$B$162)</f>
      </c>
    </row>
    <row r="160">
      <c r="C160">
        <f>IF(往来单位!$B$163="","",往来单位!$B$163)</f>
      </c>
    </row>
    <row r="161">
      <c r="C161">
        <f>IF(往来单位!$B$164="","",往来单位!$B$164)</f>
      </c>
    </row>
    <row r="162">
      <c r="C162">
        <f>IF(往来单位!$B$165="","",往来单位!$B$165)</f>
      </c>
    </row>
    <row r="163">
      <c r="C163">
        <f>IF(往来单位!$B$166="","",往来单位!$B$166)</f>
      </c>
    </row>
    <row r="164">
      <c r="C164">
        <f>IF(往来单位!$B$167="","",往来单位!$B$167)</f>
      </c>
    </row>
    <row r="165">
      <c r="C165">
        <f>IF(往来单位!$B$168="","",往来单位!$B$168)</f>
      </c>
    </row>
    <row r="166">
      <c r="C166">
        <f>IF(往来单位!$B$169="","",往来单位!$B$169)</f>
      </c>
    </row>
    <row r="167">
      <c r="C167">
        <f>IF(往来单位!$B$170="","",往来单位!$B$170)</f>
      </c>
    </row>
    <row r="168">
      <c r="C168">
        <f>IF(往来单位!$B$171="","",往来单位!$B$171)</f>
      </c>
    </row>
    <row r="169">
      <c r="C169">
        <f>IF(往来单位!$B$172="","",往来单位!$B$172)</f>
      </c>
    </row>
    <row r="170">
      <c r="C170">
        <f>IF(往来单位!$B$173="","",往来单位!$B$173)</f>
      </c>
    </row>
    <row r="171">
      <c r="C171">
        <f>IF(往来单位!$B$174="","",往来单位!$B$174)</f>
      </c>
    </row>
    <row r="172">
      <c r="C172">
        <f>IF(往来单位!$B$175="","",往来单位!$B$175)</f>
      </c>
    </row>
    <row r="173">
      <c r="C173">
        <f>IF(往来单位!$B$176="","",往来单位!$B$176)</f>
      </c>
    </row>
    <row r="174">
      <c r="C174">
        <f>IF(往来单位!$B$177="","",往来单位!$B$177)</f>
      </c>
    </row>
    <row r="175">
      <c r="C175">
        <f>IF(往来单位!$B$178="","",往来单位!$B$178)</f>
      </c>
    </row>
    <row r="176">
      <c r="C176">
        <f>IF(往来单位!$B$179="","",往来单位!$B$179)</f>
      </c>
    </row>
    <row r="177">
      <c r="C177">
        <f>IF(往来单位!$B$180="","",往来单位!$B$180)</f>
      </c>
    </row>
    <row r="178">
      <c r="C178">
        <f>IF(往来单位!$B$181="","",往来单位!$B$181)</f>
      </c>
    </row>
    <row r="179">
      <c r="C179">
        <f>IF(往来单位!$B$182="","",往来单位!$B$182)</f>
      </c>
    </row>
    <row r="180">
      <c r="C180">
        <f>IF(往来单位!$B$183="","",往来单位!$B$183)</f>
      </c>
    </row>
    <row r="181">
      <c r="C181">
        <f>IF(往来单位!$B$184="","",往来单位!$B$184)</f>
      </c>
    </row>
    <row r="182">
      <c r="C182">
        <f>IF(往来单位!$B$185="","",往来单位!$B$185)</f>
      </c>
    </row>
    <row r="183">
      <c r="C183">
        <f>IF(往来单位!$B$186="","",往来单位!$B$186)</f>
      </c>
    </row>
    <row r="184">
      <c r="C184">
        <f>IF(往来单位!$B$187="","",往来单位!$B$187)</f>
      </c>
    </row>
    <row r="185">
      <c r="C185">
        <f>IF(往来单位!$B$188="","",往来单位!$B$188)</f>
      </c>
    </row>
    <row r="186">
      <c r="C186">
        <f>IF(往来单位!$B$189="","",往来单位!$B$189)</f>
      </c>
    </row>
    <row r="187">
      <c r="C187">
        <f>IF(往来单位!$B$190="","",往来单位!$B$190)</f>
      </c>
    </row>
    <row r="188">
      <c r="C188">
        <f>IF(往来单位!$B$191="","",往来单位!$B$191)</f>
      </c>
    </row>
    <row r="189">
      <c r="C189">
        <f>IF(往来单位!$B$192="","",往来单位!$B$192)</f>
      </c>
    </row>
    <row r="190">
      <c r="C190">
        <f>IF(往来单位!$B$193="","",往来单位!$B$193)</f>
      </c>
    </row>
    <row r="191">
      <c r="C191">
        <f>IF(往来单位!$B$194="","",往来单位!$B$194)</f>
      </c>
    </row>
    <row r="192">
      <c r="C192">
        <f>IF(往来单位!$B$195="","",往来单位!$B$195)</f>
      </c>
    </row>
    <row r="193">
      <c r="C193">
        <f>IF(往来单位!$B$196="","",往来单位!$B$196)</f>
      </c>
    </row>
    <row r="194">
      <c r="C194">
        <f>IF(往来单位!$B$197="","",往来单位!$B$197)</f>
      </c>
    </row>
    <row r="195">
      <c r="C195">
        <f>IF(往来单位!$B$198="","",往来单位!$B$198)</f>
      </c>
    </row>
    <row r="196">
      <c r="C196">
        <f>IF(往来单位!$B$199="","",往来单位!$B$199)</f>
      </c>
    </row>
    <row r="197">
      <c r="C197">
        <f>IF(往来单位!$B$200="","",往来单位!$B$200)</f>
      </c>
    </row>
    <row r="198">
      <c r="C198">
        <f>IF(往来单位!$B$201="","",往来单位!$B$201)</f>
      </c>
    </row>
    <row r="199">
      <c r="C199">
        <f>IF(往来单位!$B$202="","",往来单位!$B$202)</f>
      </c>
    </row>
    <row r="200">
      <c r="C200">
        <f>IF(往来单位!$B$203="","",往来单位!$B$203)</f>
      </c>
    </row>
    <row r="201">
      <c r="C201">
        <f>IF(往来单位!$B$204="","",往来单位!$B$204)</f>
      </c>
    </row>
    <row r="202">
      <c r="C202">
        <f>IF(往来单位!$B$205="","",往来单位!$B$205)</f>
      </c>
    </row>
    <row r="203">
      <c r="C203">
        <f>IF(往来单位!$B$206="","",往来单位!$B$206)</f>
      </c>
    </row>
    <row r="204">
      <c r="C204">
        <f>IF(往来单位!$B$207="","",往来单位!$B$207)</f>
      </c>
    </row>
    <row r="205">
      <c r="C205">
        <f>IF(往来单位!$B$208="","",往来单位!$B$208)</f>
      </c>
    </row>
    <row r="206">
      <c r="C206">
        <f>IF(往来单位!$B$209="","",往来单位!$B$209)</f>
      </c>
    </row>
    <row r="207">
      <c r="C207">
        <f>IF(往来单位!$B$210="","",往来单位!$B$210)</f>
      </c>
    </row>
    <row r="208">
      <c r="C208">
        <f>IF(往来单位!$B$211="","",往来单位!$B$211)</f>
      </c>
    </row>
    <row r="209">
      <c r="C209">
        <f>IF(往来单位!$B$212="","",往来单位!$B$212)</f>
      </c>
    </row>
    <row r="210">
      <c r="C210">
        <f>IF(往来单位!$B$213="","",往来单位!$B$213)</f>
      </c>
    </row>
    <row r="211">
      <c r="C211">
        <f>IF(往来单位!$B$214="","",往来单位!$B$214)</f>
      </c>
    </row>
    <row r="212">
      <c r="C212">
        <f>IF(往来单位!$B$215="","",往来单位!$B$215)</f>
      </c>
    </row>
    <row r="213">
      <c r="C213">
        <f>IF(往来单位!$B$216="","",往来单位!$B$216)</f>
      </c>
    </row>
    <row r="214">
      <c r="C214">
        <f>IF(往来单位!$B$217="","",往来单位!$B$217)</f>
      </c>
    </row>
    <row r="215">
      <c r="C215">
        <f>IF(往来单位!$B$218="","",往来单位!$B$218)</f>
      </c>
    </row>
    <row r="216">
      <c r="C216">
        <f>IF(往来单位!$B$219="","",往来单位!$B$219)</f>
      </c>
    </row>
    <row r="217">
      <c r="C217">
        <f>IF(往来单位!$B$220="","",往来单位!$B$220)</f>
      </c>
    </row>
    <row r="218">
      <c r="C218">
        <f>IF(往来单位!$B$221="","",往来单位!$B$221)</f>
      </c>
    </row>
    <row r="219">
      <c r="C219">
        <f>IF(往来单位!$B$222="","",往来单位!$B$222)</f>
      </c>
    </row>
    <row r="220">
      <c r="C220">
        <f>IF(往来单位!$B$223="","",往来单位!$B$223)</f>
      </c>
    </row>
    <row r="221">
      <c r="C221">
        <f>IF(往来单位!$B$224="","",往来单位!$B$224)</f>
      </c>
    </row>
    <row r="222">
      <c r="C222">
        <f>IF(往来单位!$B$225="","",往来单位!$B$225)</f>
      </c>
    </row>
    <row r="223">
      <c r="C223">
        <f>IF(往来单位!$B$226="","",往来单位!$B$226)</f>
      </c>
    </row>
    <row r="224">
      <c r="C224">
        <f>IF(往来单位!$B$227="","",往来单位!$B$227)</f>
      </c>
    </row>
    <row r="225">
      <c r="C225">
        <f>IF(往来单位!$B$228="","",往来单位!$B$228)</f>
      </c>
    </row>
    <row r="226">
      <c r="C226">
        <f>IF(往来单位!$B$229="","",往来单位!$B$229)</f>
      </c>
    </row>
    <row r="227">
      <c r="C227">
        <f>IF(往来单位!$B$230="","",往来单位!$B$230)</f>
      </c>
    </row>
    <row r="228">
      <c r="C228">
        <f>IF(往来单位!$B$231="","",往来单位!$B$231)</f>
      </c>
    </row>
    <row r="229">
      <c r="C229">
        <f>IF(往来单位!$B$232="","",往来单位!$B$232)</f>
      </c>
    </row>
    <row r="230">
      <c r="C230">
        <f>IF(往来单位!$B$233="","",往来单位!$B$233)</f>
      </c>
    </row>
    <row r="231">
      <c r="C231">
        <f>IF(往来单位!$B$234="","",往来单位!$B$234)</f>
      </c>
    </row>
    <row r="232">
      <c r="C232">
        <f>IF(往来单位!$B$235="","",往来单位!$B$235)</f>
      </c>
    </row>
    <row r="233">
      <c r="C233">
        <f>IF(往来单位!$B$236="","",往来单位!$B$236)</f>
      </c>
    </row>
    <row r="234">
      <c r="C234">
        <f>IF(往来单位!$B$237="","",往来单位!$B$237)</f>
      </c>
    </row>
    <row r="235">
      <c r="C235">
        <f>IF(往来单位!$B$238="","",往来单位!$B$238)</f>
      </c>
    </row>
    <row r="236">
      <c r="C236">
        <f>IF(往来单位!$B$239="","",往来单位!$B$239)</f>
      </c>
    </row>
    <row r="237">
      <c r="C237">
        <f>IF(往来单位!$B$240="","",往来单位!$B$240)</f>
      </c>
    </row>
    <row r="238">
      <c r="C238">
        <f>IF(往来单位!$B$241="","",往来单位!$B$241)</f>
      </c>
    </row>
    <row r="239">
      <c r="C239">
        <f>IF(往来单位!$B$242="","",往来单位!$B$242)</f>
      </c>
    </row>
    <row r="240">
      <c r="C240">
        <f>IF(往来单位!$B$243="","",往来单位!$B$243)</f>
      </c>
    </row>
    <row r="241">
      <c r="C241">
        <f>IF(往来单位!$B$244="","",往来单位!$B$244)</f>
      </c>
    </row>
    <row r="242">
      <c r="C242">
        <f>IF(往来单位!$B$245="","",往来单位!$B$245)</f>
      </c>
    </row>
    <row r="243">
      <c r="C243">
        <f>IF(往来单位!$B$246="","",往来单位!$B$246)</f>
      </c>
    </row>
    <row r="244">
      <c r="C244">
        <f>IF(往来单位!$B$247="","",往来单位!$B$247)</f>
      </c>
    </row>
    <row r="245">
      <c r="C245">
        <f>IF(往来单位!$B$248="","",往来单位!$B$248)</f>
      </c>
    </row>
    <row r="246">
      <c r="C246">
        <f>IF(往来单位!$B$249="","",往来单位!$B$249)</f>
      </c>
    </row>
    <row r="247">
      <c r="C247">
        <f>IF(往来单位!$B$250="","",往来单位!$B$250)</f>
      </c>
    </row>
    <row r="248">
      <c r="C248">
        <f>IF(往来单位!$B$251="","",往来单位!$B$251)</f>
      </c>
    </row>
    <row r="249">
      <c r="C249">
        <f>IF(往来单位!$B$252="","",往来单位!$B$252)</f>
      </c>
    </row>
    <row r="250">
      <c r="C250">
        <f>IF(往来单位!$B$253="","",往来单位!$B$253)</f>
      </c>
    </row>
    <row r="251">
      <c r="C251">
        <f>IF(往来单位!$B$254="","",往来单位!$B$254)</f>
      </c>
    </row>
    <row r="252">
      <c r="C252">
        <f>IF(往来单位!$B$255="","",往来单位!$B$255)</f>
      </c>
    </row>
    <row r="253">
      <c r="C253">
        <f>IF(往来单位!$B$256="","",往来单位!$B$256)</f>
      </c>
    </row>
    <row r="254">
      <c r="C254">
        <f>IF(往来单位!$B$257="","",往来单位!$B$257)</f>
      </c>
    </row>
    <row r="255">
      <c r="C255">
        <f>IF(往来单位!$B$258="","",往来单位!$B$258)</f>
      </c>
    </row>
    <row r="256">
      <c r="C256">
        <f>IF(往来单位!$B$259="","",往来单位!$B$259)</f>
      </c>
    </row>
    <row r="257">
      <c r="C257">
        <f>IF(往来单位!$B$260="","",往来单位!$B$260)</f>
      </c>
    </row>
    <row r="258">
      <c r="C258">
        <f>IF(往来单位!$B$261="","",往来单位!$B$261)</f>
      </c>
    </row>
    <row r="259">
      <c r="C259">
        <f>IF(往来单位!$B$262="","",往来单位!$B$262)</f>
      </c>
    </row>
    <row r="260">
      <c r="C260">
        <f>IF(往来单位!$B$263="","",往来单位!$B$263)</f>
      </c>
    </row>
    <row r="261">
      <c r="C261">
        <f>IF(往来单位!$B$264="","",往来单位!$B$264)</f>
      </c>
    </row>
    <row r="262">
      <c r="C262">
        <f>IF(往来单位!$B$265="","",往来单位!$B$265)</f>
      </c>
    </row>
    <row r="263">
      <c r="C263">
        <f>IF(往来单位!$B$266="","",往来单位!$B$266)</f>
      </c>
    </row>
    <row r="264">
      <c r="C264">
        <f>IF(往来单位!$B$267="","",往来单位!$B$267)</f>
      </c>
    </row>
    <row r="265">
      <c r="C265">
        <f>IF(往来单位!$B$268="","",往来单位!$B$268)</f>
      </c>
    </row>
    <row r="266">
      <c r="C266">
        <f>IF(往来单位!$B$269="","",往来单位!$B$269)</f>
      </c>
    </row>
    <row r="267">
      <c r="C267">
        <f>IF(往来单位!$B$270="","",往来单位!$B$270)</f>
      </c>
    </row>
    <row r="268">
      <c r="C268">
        <f>IF(往来单位!$B$271="","",往来单位!$B$271)</f>
      </c>
    </row>
    <row r="269">
      <c r="C269">
        <f>IF(往来单位!$B$272="","",往来单位!$B$272)</f>
      </c>
    </row>
    <row r="270">
      <c r="C270">
        <f>IF(往来单位!$B$273="","",往来单位!$B$273)</f>
      </c>
    </row>
    <row r="271">
      <c r="C271">
        <f>IF(往来单位!$B$274="","",往来单位!$B$274)</f>
      </c>
    </row>
    <row r="272">
      <c r="C272">
        <f>IF(往来单位!$B$275="","",往来单位!$B$275)</f>
      </c>
    </row>
    <row r="273">
      <c r="C273">
        <f>IF(往来单位!$B$276="","",往来单位!$B$276)</f>
      </c>
    </row>
    <row r="274">
      <c r="C274">
        <f>IF(往来单位!$B$277="","",往来单位!$B$277)</f>
      </c>
    </row>
    <row r="275">
      <c r="C275">
        <f>IF(往来单位!$B$278="","",往来单位!$B$278)</f>
      </c>
    </row>
    <row r="276">
      <c r="C276">
        <f>IF(往来单位!$B$279="","",往来单位!$B$279)</f>
      </c>
    </row>
    <row r="277">
      <c r="C277">
        <f>IF(往来单位!$B$280="","",往来单位!$B$280)</f>
      </c>
    </row>
    <row r="278">
      <c r="C278">
        <f>IF(往来单位!$B$281="","",往来单位!$B$281)</f>
      </c>
    </row>
    <row r="279">
      <c r="C279">
        <f>IF(往来单位!$B$282="","",往来单位!$B$282)</f>
      </c>
    </row>
    <row r="280">
      <c r="C280">
        <f>IF(往来单位!$B$283="","",往来单位!$B$283)</f>
      </c>
    </row>
    <row r="281">
      <c r="C281">
        <f>IF(往来单位!$B$284="","",往来单位!$B$284)</f>
      </c>
    </row>
    <row r="282">
      <c r="C282">
        <f>IF(往来单位!$B$285="","",往来单位!$B$285)</f>
      </c>
    </row>
    <row r="283">
      <c r="C283">
        <f>IF(往来单位!$B$286="","",往来单位!$B$286)</f>
      </c>
    </row>
    <row r="284">
      <c r="C284">
        <f>IF(往来单位!$B$287="","",往来单位!$B$287)</f>
      </c>
    </row>
    <row r="285">
      <c r="C285">
        <f>IF(往来单位!$B$288="","",往来单位!$B$288)</f>
      </c>
    </row>
    <row r="286">
      <c r="C286">
        <f>IF(往来单位!$B$289="","",往来单位!$B$289)</f>
      </c>
    </row>
    <row r="287">
      <c r="C287">
        <f>IF(往来单位!$B$290="","",往来单位!$B$290)</f>
      </c>
    </row>
    <row r="288">
      <c r="C288">
        <f>IF(往来单位!$B$291="","",往来单位!$B$291)</f>
      </c>
    </row>
    <row r="289">
      <c r="C289">
        <f>IF(往来单位!$B$292="","",往来单位!$B$292)</f>
      </c>
    </row>
    <row r="290">
      <c r="C290">
        <f>IF(往来单位!$B$293="","",往来单位!$B$293)</f>
      </c>
    </row>
    <row r="291">
      <c r="C291">
        <f>IF(往来单位!$B$294="","",往来单位!$B$294)</f>
      </c>
    </row>
    <row r="292">
      <c r="C292">
        <f>IF(往来单位!$B$295="","",往来单位!$B$295)</f>
      </c>
    </row>
    <row r="293">
      <c r="C293">
        <f>IF(往来单位!$B$296="","",往来单位!$B$296)</f>
      </c>
    </row>
    <row r="294">
      <c r="C294">
        <f>IF(往来单位!$B$297="","",往来单位!$B$297)</f>
      </c>
    </row>
    <row r="295">
      <c r="C295">
        <f>IF(往来单位!$B$298="","",往来单位!$B$298)</f>
      </c>
    </row>
    <row r="296">
      <c r="C296">
        <f>IF(往来单位!$B$299="","",往来单位!$B$299)</f>
      </c>
    </row>
    <row r="297">
      <c r="C297">
        <f>IF(往来单位!$B$300="","",往来单位!$B$300)</f>
      </c>
    </row>
    <row r="298">
      <c r="C298">
        <f>IF(往来单位!$B$301="","",往来单位!$B$301)</f>
      </c>
    </row>
    <row r="299">
      <c r="C299">
        <f>IF(往来单位!$B$302="","",往来单位!$B$302)</f>
      </c>
    </row>
    <row r="300">
      <c r="C300">
        <f>IF(往来单位!$B$303="","",往来单位!$B$303)</f>
      </c>
    </row>
    <row r="301">
      <c r="C301">
        <f>IF(往来单位!$B$304="","",往来单位!$B$304)</f>
      </c>
    </row>
    <row r="302">
      <c r="C302">
        <f>IF(往来单位!$B$305="","",往来单位!$B$305)</f>
      </c>
    </row>
    <row r="303">
      <c r="C303">
        <f>IF(往来单位!$B$306="","",往来单位!$B$306)</f>
      </c>
    </row>
    <row r="304">
      <c r="C304">
        <f>IF(往来单位!$B$307="","",往来单位!$B$307)</f>
      </c>
    </row>
    <row r="305">
      <c r="C305">
        <f>IF(往来单位!$B$308="","",往来单位!$B$308)</f>
      </c>
    </row>
    <row r="306">
      <c r="C306">
        <f>IF(往来单位!$B$309="","",往来单位!$B$309)</f>
      </c>
    </row>
    <row r="307">
      <c r="C307">
        <f>IF(往来单位!$B$310="","",往来单位!$B$310)</f>
      </c>
    </row>
    <row r="308">
      <c r="C308">
        <f>IF(往来单位!$B$311="","",往来单位!$B$311)</f>
      </c>
    </row>
    <row r="309">
      <c r="C309">
        <f>IF(往来单位!$B$312="","",往来单位!$B$312)</f>
      </c>
    </row>
    <row r="310">
      <c r="C310">
        <f>IF(往来单位!$B$313="","",往来单位!$B$313)</f>
      </c>
    </row>
    <row r="311">
      <c r="C311">
        <f>IF(往来单位!$B$314="","",往来单位!$B$314)</f>
      </c>
    </row>
    <row r="312">
      <c r="C312">
        <f>IF(往来单位!$B$315="","",往来单位!$B$315)</f>
      </c>
    </row>
    <row r="313">
      <c r="C313">
        <f>IF(往来单位!$B$316="","",往来单位!$B$316)</f>
      </c>
    </row>
    <row r="314">
      <c r="C314">
        <f>IF(往来单位!$B$317="","",往来单位!$B$317)</f>
      </c>
    </row>
    <row r="315">
      <c r="C315">
        <f>IF(往来单位!$B$318="","",往来单位!$B$318)</f>
      </c>
    </row>
    <row r="316">
      <c r="C316">
        <f>IF(往来单位!$B$319="","",往来单位!$B$319)</f>
      </c>
    </row>
    <row r="317">
      <c r="C317">
        <f>IF(往来单位!$B$320="","",往来单位!$B$320)</f>
      </c>
    </row>
    <row r="318">
      <c r="C318">
        <f>IF(往来单位!$B$321="","",往来单位!$B$321)</f>
      </c>
    </row>
    <row r="319">
      <c r="C319">
        <f>IF(往来单位!$B$322="","",往来单位!$B$322)</f>
      </c>
    </row>
    <row r="320">
      <c r="C320">
        <f>IF(往来单位!$B$323="","",往来单位!$B$323)</f>
      </c>
    </row>
    <row r="321">
      <c r="C321">
        <f>IF(往来单位!$B$324="","",往来单位!$B$324)</f>
      </c>
    </row>
    <row r="322">
      <c r="C322">
        <f>IF(往来单位!$B$325="","",往来单位!$B$325)</f>
      </c>
    </row>
    <row r="323">
      <c r="C323">
        <f>IF(往来单位!$B$326="","",往来单位!$B$326)</f>
      </c>
    </row>
    <row r="324">
      <c r="C324">
        <f>IF(往来单位!$B$327="","",往来单位!$B$327)</f>
      </c>
    </row>
    <row r="325">
      <c r="C325">
        <f>IF(往来单位!$B$328="","",往来单位!$B$328)</f>
      </c>
    </row>
    <row r="326">
      <c r="C326">
        <f>IF(往来单位!$B$329="","",往来单位!$B$329)</f>
      </c>
    </row>
    <row r="327">
      <c r="C327">
        <f>IF(往来单位!$B$330="","",往来单位!$B$330)</f>
      </c>
    </row>
    <row r="328">
      <c r="C328">
        <f>IF(往来单位!$B$331="","",往来单位!$B$331)</f>
      </c>
    </row>
    <row r="329">
      <c r="C329">
        <f>IF(往来单位!$B$332="","",往来单位!$B$332)</f>
      </c>
    </row>
    <row r="330">
      <c r="C330">
        <f>IF(往来单位!$B$333="","",往来单位!$B$333)</f>
      </c>
    </row>
    <row r="331">
      <c r="C331">
        <f>IF(往来单位!$B$334="","",往来单位!$B$334)</f>
      </c>
    </row>
    <row r="332">
      <c r="C332">
        <f>IF(往来单位!$B$335="","",往来单位!$B$335)</f>
      </c>
    </row>
    <row r="333">
      <c r="C333">
        <f>IF(往来单位!$B$336="","",往来单位!$B$336)</f>
      </c>
    </row>
    <row r="334">
      <c r="C334">
        <f>IF(往来单位!$B$337="","",往来单位!$B$337)</f>
      </c>
    </row>
    <row r="335">
      <c r="C335">
        <f>IF(往来单位!$B$338="","",往来单位!$B$338)</f>
      </c>
    </row>
    <row r="336">
      <c r="C336">
        <f>IF(往来单位!$B$339="","",往来单位!$B$339)</f>
      </c>
    </row>
    <row r="337">
      <c r="C337">
        <f>IF(往来单位!$B$340="","",往来单位!$B$340)</f>
      </c>
    </row>
    <row r="338">
      <c r="C338">
        <f>IF(往来单位!$B$341="","",往来单位!$B$341)</f>
      </c>
    </row>
    <row r="339">
      <c r="C339">
        <f>IF(往来单位!$B$342="","",往来单位!$B$342)</f>
      </c>
    </row>
    <row r="340">
      <c r="C340">
        <f>IF(往来单位!$B$343="","",往来单位!$B$343)</f>
      </c>
    </row>
    <row r="341">
      <c r="C341">
        <f>IF(往来单位!$B$344="","",往来单位!$B$344)</f>
      </c>
    </row>
    <row r="342">
      <c r="C342">
        <f>IF(往来单位!$B$345="","",往来单位!$B$345)</f>
      </c>
    </row>
    <row r="343">
      <c r="C343">
        <f>IF(往来单位!$B$346="","",往来单位!$B$346)</f>
      </c>
    </row>
    <row r="344">
      <c r="C344">
        <f>IF(往来单位!$B$347="","",往来单位!$B$347)</f>
      </c>
    </row>
    <row r="345">
      <c r="C345">
        <f>IF(往来单位!$B$348="","",往来单位!$B$348)</f>
      </c>
    </row>
    <row r="346">
      <c r="C346">
        <f>IF(往来单位!$B$349="","",往来单位!$B$349)</f>
      </c>
    </row>
    <row r="347">
      <c r="C347">
        <f>IF(往来单位!$B$350="","",往来单位!$B$350)</f>
      </c>
    </row>
    <row r="348">
      <c r="C348">
        <f>IF(往来单位!$B$351="","",往来单位!$B$351)</f>
      </c>
    </row>
    <row r="349">
      <c r="C349">
        <f>IF(往来单位!$B$352="","",往来单位!$B$352)</f>
      </c>
    </row>
    <row r="350">
      <c r="C350">
        <f>IF(往来单位!$B$353="","",往来单位!$B$353)</f>
      </c>
    </row>
    <row r="351">
      <c r="C351">
        <f>IF(往来单位!$B$354="","",往来单位!$B$354)</f>
      </c>
    </row>
    <row r="352">
      <c r="C352">
        <f>IF(往来单位!$B$355="","",往来单位!$B$355)</f>
      </c>
    </row>
    <row r="353">
      <c r="C353">
        <f>IF(往来单位!$B$356="","",往来单位!$B$356)</f>
      </c>
    </row>
    <row r="354">
      <c r="C354">
        <f>IF(往来单位!$B$357="","",往来单位!$B$357)</f>
      </c>
    </row>
    <row r="355">
      <c r="C355">
        <f>IF(往来单位!$B$358="","",往来单位!$B$358)</f>
      </c>
    </row>
    <row r="356">
      <c r="C356">
        <f>IF(往来单位!$B$359="","",往来单位!$B$359)</f>
      </c>
    </row>
    <row r="357">
      <c r="C357">
        <f>IF(往来单位!$B$360="","",往来单位!$B$360)</f>
      </c>
    </row>
    <row r="358">
      <c r="C358">
        <f>IF(往来单位!$B$361="","",往来单位!$B$361)</f>
      </c>
    </row>
    <row r="359">
      <c r="C359">
        <f>IF(往来单位!$B$362="","",往来单位!$B$362)</f>
      </c>
    </row>
    <row r="360">
      <c r="C360">
        <f>IF(往来单位!$B$363="","",往来单位!$B$363)</f>
      </c>
    </row>
    <row r="361">
      <c r="C361">
        <f>IF(往来单位!$B$364="","",往来单位!$B$364)</f>
      </c>
    </row>
    <row r="362">
      <c r="C362">
        <f>IF(往来单位!$B$365="","",往来单位!$B$365)</f>
      </c>
    </row>
    <row r="363">
      <c r="C363">
        <f>IF(往来单位!$B$366="","",往来单位!$B$366)</f>
      </c>
    </row>
    <row r="364">
      <c r="C364">
        <f>IF(往来单位!$B$367="","",往来单位!$B$367)</f>
      </c>
    </row>
    <row r="365">
      <c r="C365">
        <f>IF(往来单位!$B$368="","",往来单位!$B$368)</f>
      </c>
    </row>
    <row r="366">
      <c r="C366">
        <f>IF(往来单位!$B$369="","",往来单位!$B$369)</f>
      </c>
    </row>
    <row r="367">
      <c r="C367">
        <f>IF(往来单位!$B$370="","",往来单位!$B$370)</f>
      </c>
    </row>
    <row r="368">
      <c r="C368">
        <f>IF(往来单位!$B$371="","",往来单位!$B$371)</f>
      </c>
    </row>
    <row r="369">
      <c r="C369">
        <f>IF(往来单位!$B$372="","",往来单位!$B$372)</f>
      </c>
    </row>
    <row r="370">
      <c r="C370">
        <f>IF(往来单位!$B$373="","",往来单位!$B$373)</f>
      </c>
    </row>
    <row r="371">
      <c r="C371">
        <f>IF(往来单位!$B$374="","",往来单位!$B$374)</f>
      </c>
    </row>
    <row r="372">
      <c r="C372">
        <f>IF(往来单位!$B$375="","",往来单位!$B$375)</f>
      </c>
    </row>
    <row r="373">
      <c r="C373">
        <f>IF(往来单位!$B$376="","",往来单位!$B$376)</f>
      </c>
    </row>
    <row r="374">
      <c r="C374">
        <f>IF(往来单位!$B$377="","",往来单位!$B$377)</f>
      </c>
    </row>
    <row r="375">
      <c r="C375">
        <f>IF(往来单位!$B$378="","",往来单位!$B$378)</f>
      </c>
    </row>
    <row r="376">
      <c r="C376">
        <f>IF(往来单位!$B$379="","",往来单位!$B$379)</f>
      </c>
    </row>
    <row r="377">
      <c r="C377">
        <f>IF(往来单位!$B$380="","",往来单位!$B$380)</f>
      </c>
    </row>
    <row r="378">
      <c r="C378">
        <f>IF(往来单位!$B$381="","",往来单位!$B$381)</f>
      </c>
    </row>
    <row r="379">
      <c r="C379">
        <f>IF(往来单位!$B$382="","",往来单位!$B$382)</f>
      </c>
    </row>
    <row r="380">
      <c r="C380">
        <f>IF(往来单位!$B$383="","",往来单位!$B$383)</f>
      </c>
    </row>
    <row r="381">
      <c r="C381">
        <f>IF(往来单位!$B$384="","",往来单位!$B$384)</f>
      </c>
    </row>
    <row r="382">
      <c r="C382">
        <f>IF(往来单位!$B$385="","",往来单位!$B$385)</f>
      </c>
    </row>
    <row r="383">
      <c r="C383">
        <f>IF(往来单位!$B$386="","",往来单位!$B$386)</f>
      </c>
    </row>
    <row r="384">
      <c r="C384">
        <f>IF(往来单位!$B$387="","",往来单位!$B$387)</f>
      </c>
    </row>
    <row r="385">
      <c r="C385">
        <f>IF(往来单位!$B$388="","",往来单位!$B$388)</f>
      </c>
    </row>
    <row r="386">
      <c r="C386">
        <f>IF(往来单位!$B$389="","",往来单位!$B$389)</f>
      </c>
    </row>
    <row r="387">
      <c r="C387">
        <f>IF(往来单位!$B$390="","",往来单位!$B$390)</f>
      </c>
    </row>
    <row r="388">
      <c r="C388">
        <f>IF(往来单位!$B$391="","",往来单位!$B$391)</f>
      </c>
    </row>
    <row r="389">
      <c r="C389">
        <f>IF(往来单位!$B$392="","",往来单位!$B$392)</f>
      </c>
    </row>
    <row r="390">
      <c r="C390">
        <f>IF(往来单位!$B$393="","",往来单位!$B$393)</f>
      </c>
    </row>
    <row r="391">
      <c r="C391">
        <f>IF(往来单位!$B$394="","",往来单位!$B$394)</f>
      </c>
    </row>
    <row r="392">
      <c r="C392">
        <f>IF(往来单位!$B$395="","",往来单位!$B$395)</f>
      </c>
    </row>
    <row r="393">
      <c r="C393">
        <f>IF(往来单位!$B$396="","",往来单位!$B$396)</f>
      </c>
    </row>
    <row r="394">
      <c r="C394">
        <f>IF(往来单位!$B$397="","",往来单位!$B$397)</f>
      </c>
    </row>
    <row r="395">
      <c r="C395">
        <f>IF(往来单位!$B$398="","",往来单位!$B$398)</f>
      </c>
    </row>
    <row r="396">
      <c r="C396">
        <f>IF(往来单位!$B$399="","",往来单位!$B$399)</f>
      </c>
    </row>
    <row r="397">
      <c r="C397">
        <f>IF(往来单位!$B$400="","",往来单位!$B$400)</f>
      </c>
    </row>
    <row r="398">
      <c r="C398">
        <f>IF(往来单位!$B$401="","",往来单位!$B$401)</f>
      </c>
    </row>
    <row r="399">
      <c r="C399">
        <f>IF(往来单位!$B$402="","",往来单位!$B$402)</f>
      </c>
    </row>
    <row r="400">
      <c r="C400">
        <f>IF(往来单位!$B$403="","",往来单位!$B$403)</f>
      </c>
    </row>
    <row r="401">
      <c r="C401">
        <f>IF(往来单位!$B$404="","",往来单位!$B$404)</f>
      </c>
    </row>
    <row r="402">
      <c r="C402">
        <f>IF(往来单位!$B$405="","",往来单位!$B$405)</f>
      </c>
    </row>
    <row r="403">
      <c r="C403">
        <f>IF(往来单位!$B$406="","",往来单位!$B$406)</f>
      </c>
    </row>
    <row r="404">
      <c r="C404">
        <f>IF(往来单位!$B$407="","",往来单位!$B$407)</f>
      </c>
    </row>
    <row r="405">
      <c r="C405">
        <f>IF(往来单位!$B$408="","",往来单位!$B$408)</f>
      </c>
    </row>
    <row r="406">
      <c r="C406">
        <f>IF(往来单位!$B$409="","",往来单位!$B$409)</f>
      </c>
    </row>
    <row r="407">
      <c r="C407">
        <f>IF(往来单位!$B$410="","",往来单位!$B$410)</f>
      </c>
    </row>
    <row r="408">
      <c r="C408">
        <f>IF(往来单位!$B$411="","",往来单位!$B$411)</f>
      </c>
    </row>
    <row r="409">
      <c r="C409">
        <f>IF(往来单位!$B$412="","",往来单位!$B$412)</f>
      </c>
    </row>
    <row r="410">
      <c r="C410">
        <f>IF(往来单位!$B$413="","",往来单位!$B$413)</f>
      </c>
    </row>
    <row r="411">
      <c r="C411">
        <f>IF(往来单位!$B$414="","",往来单位!$B$414)</f>
      </c>
    </row>
    <row r="412">
      <c r="C412">
        <f>IF(往来单位!$B$415="","",往来单位!$B$415)</f>
      </c>
    </row>
    <row r="413">
      <c r="C413">
        <f>IF(往来单位!$B$416="","",往来单位!$B$416)</f>
      </c>
    </row>
    <row r="414">
      <c r="C414">
        <f>IF(往来单位!$B$417="","",往来单位!$B$417)</f>
      </c>
    </row>
    <row r="415">
      <c r="C415">
        <f>IF(往来单位!$B$418="","",往来单位!$B$418)</f>
      </c>
    </row>
    <row r="416">
      <c r="C416">
        <f>IF(往来单位!$B$419="","",往来单位!$B$419)</f>
      </c>
    </row>
    <row r="417">
      <c r="C417">
        <f>IF(往来单位!$B$420="","",往来单位!$B$420)</f>
      </c>
    </row>
    <row r="418">
      <c r="C418">
        <f>IF(往来单位!$B$421="","",往来单位!$B$421)</f>
      </c>
    </row>
    <row r="419">
      <c r="C419">
        <f>IF(往来单位!$B$422="","",往来单位!$B$422)</f>
      </c>
    </row>
    <row r="420">
      <c r="C420">
        <f>IF(往来单位!$B$423="","",往来单位!$B$423)</f>
      </c>
    </row>
    <row r="421">
      <c r="C421">
        <f>IF(往来单位!$B$424="","",往来单位!$B$424)</f>
      </c>
    </row>
    <row r="422">
      <c r="C422">
        <f>IF(往来单位!$B$425="","",往来单位!$B$425)</f>
      </c>
    </row>
    <row r="423">
      <c r="C423">
        <f>IF(往来单位!$B$426="","",往来单位!$B$426)</f>
      </c>
    </row>
    <row r="424">
      <c r="C424">
        <f>IF(往来单位!$B$427="","",往来单位!$B$427)</f>
      </c>
    </row>
    <row r="425">
      <c r="C425">
        <f>IF(往来单位!$B$428="","",往来单位!$B$428)</f>
      </c>
    </row>
    <row r="426">
      <c r="C426">
        <f>IF(往来单位!$B$429="","",往来单位!$B$429)</f>
      </c>
    </row>
    <row r="427">
      <c r="C427">
        <f>IF(往来单位!$B$430="","",往来单位!$B$430)</f>
      </c>
    </row>
    <row r="428">
      <c r="C428">
        <f>IF(往来单位!$B$431="","",往来单位!$B$431)</f>
      </c>
    </row>
    <row r="429">
      <c r="C429">
        <f>IF(往来单位!$B$432="","",往来单位!$B$432)</f>
      </c>
    </row>
    <row r="430">
      <c r="C430">
        <f>IF(往来单位!$B$433="","",往来单位!$B$433)</f>
      </c>
    </row>
    <row r="431">
      <c r="C431">
        <f>IF(往来单位!$B$434="","",往来单位!$B$434)</f>
      </c>
    </row>
    <row r="432">
      <c r="C432">
        <f>IF(往来单位!$B$435="","",往来单位!$B$435)</f>
      </c>
    </row>
    <row r="433">
      <c r="C433">
        <f>IF(往来单位!$B$436="","",往来单位!$B$436)</f>
      </c>
    </row>
    <row r="434">
      <c r="C434">
        <f>IF(往来单位!$B$437="","",往来单位!$B$437)</f>
      </c>
    </row>
    <row r="435">
      <c r="C435">
        <f>IF(往来单位!$B$438="","",往来单位!$B$438)</f>
      </c>
    </row>
    <row r="436">
      <c r="C436">
        <f>IF(往来单位!$B$439="","",往来单位!$B$439)</f>
      </c>
    </row>
    <row r="437">
      <c r="C437">
        <f>IF(往来单位!$B$440="","",往来单位!$B$440)</f>
      </c>
    </row>
    <row r="438">
      <c r="C438">
        <f>IF(往来单位!$B$441="","",往来单位!$B$441)</f>
      </c>
    </row>
    <row r="439">
      <c r="C439">
        <f>IF(往来单位!$B$442="","",往来单位!$B$442)</f>
      </c>
    </row>
    <row r="440">
      <c r="C440">
        <f>IF(往来单位!$B$443="","",往来单位!$B$443)</f>
      </c>
    </row>
    <row r="441">
      <c r="C441">
        <f>IF(往来单位!$B$444="","",往来单位!$B$444)</f>
      </c>
    </row>
    <row r="442">
      <c r="C442">
        <f>IF(往来单位!$B$445="","",往来单位!$B$445)</f>
      </c>
    </row>
    <row r="443">
      <c r="C443">
        <f>IF(往来单位!$B$446="","",往来单位!$B$446)</f>
      </c>
    </row>
    <row r="444">
      <c r="C444">
        <f>IF(往来单位!$B$447="","",往来单位!$B$447)</f>
      </c>
    </row>
    <row r="445">
      <c r="C445">
        <f>IF(往来单位!$B$448="","",往来单位!$B$448)</f>
      </c>
    </row>
    <row r="446">
      <c r="C446">
        <f>IF(往来单位!$B$449="","",往来单位!$B$449)</f>
      </c>
    </row>
    <row r="447">
      <c r="C447">
        <f>IF(往来单位!$B$450="","",往来单位!$B$450)</f>
      </c>
    </row>
    <row r="448">
      <c r="C448">
        <f>IF(往来单位!$B$451="","",往来单位!$B$451)</f>
      </c>
    </row>
    <row r="449">
      <c r="C449">
        <f>IF(往来单位!$B$452="","",往来单位!$B$452)</f>
      </c>
    </row>
    <row r="450">
      <c r="C450">
        <f>IF(往来单位!$B$453="","",往来单位!$B$453)</f>
      </c>
    </row>
    <row r="451">
      <c r="C451">
        <f>IF(往来单位!$B$454="","",往来单位!$B$454)</f>
      </c>
    </row>
    <row r="452">
      <c r="C452">
        <f>IF(往来单位!$B$455="","",往来单位!$B$455)</f>
      </c>
    </row>
    <row r="453">
      <c r="C453">
        <f>IF(往来单位!$B$456="","",往来单位!$B$456)</f>
      </c>
    </row>
    <row r="454">
      <c r="C454">
        <f>IF(往来单位!$B$457="","",往来单位!$B$457)</f>
      </c>
    </row>
    <row r="455">
      <c r="C455">
        <f>IF(往来单位!$B$458="","",往来单位!$B$458)</f>
      </c>
    </row>
    <row r="456">
      <c r="C456">
        <f>IF(往来单位!$B$459="","",往来单位!$B$459)</f>
      </c>
    </row>
    <row r="457">
      <c r="C457">
        <f>IF(往来单位!$B$460="","",往来单位!$B$460)</f>
      </c>
    </row>
    <row r="458">
      <c r="C458">
        <f>IF(往来单位!$B$461="","",往来单位!$B$461)</f>
      </c>
    </row>
    <row r="459">
      <c r="C459">
        <f>IF(往来单位!$B$462="","",往来单位!$B$462)</f>
      </c>
    </row>
    <row r="460">
      <c r="C460">
        <f>IF(往来单位!$B$463="","",往来单位!$B$463)</f>
      </c>
    </row>
    <row r="461">
      <c r="C461">
        <f>IF(往来单位!$B$464="","",往来单位!$B$464)</f>
      </c>
    </row>
    <row r="462">
      <c r="C462">
        <f>IF(往来单位!$B$465="","",往来单位!$B$465)</f>
      </c>
    </row>
    <row r="463">
      <c r="C463">
        <f>IF(往来单位!$B$466="","",往来单位!$B$466)</f>
      </c>
    </row>
    <row r="464">
      <c r="C464">
        <f>IF(往来单位!$B$467="","",往来单位!$B$467)</f>
      </c>
    </row>
    <row r="465">
      <c r="C465">
        <f>IF(往来单位!$B$468="","",往来单位!$B$468)</f>
      </c>
    </row>
    <row r="466">
      <c r="C466">
        <f>IF(往来单位!$B$469="","",往来单位!$B$469)</f>
      </c>
    </row>
    <row r="467">
      <c r="C467">
        <f>IF(往来单位!$B$470="","",往来单位!$B$470)</f>
      </c>
    </row>
    <row r="468">
      <c r="C468">
        <f>IF(往来单位!$B$471="","",往来单位!$B$471)</f>
      </c>
    </row>
    <row r="469">
      <c r="C469">
        <f>IF(往来单位!$B$472="","",往来单位!$B$472)</f>
      </c>
    </row>
    <row r="470">
      <c r="C470">
        <f>IF(往来单位!$B$473="","",往来单位!$B$473)</f>
      </c>
    </row>
    <row r="471">
      <c r="C471">
        <f>IF(往来单位!$B$474="","",往来单位!$B$474)</f>
      </c>
    </row>
    <row r="472">
      <c r="C472">
        <f>IF(往来单位!$B$475="","",往来单位!$B$475)</f>
      </c>
    </row>
    <row r="473">
      <c r="C473">
        <f>IF(往来单位!$B$476="","",往来单位!$B$476)</f>
      </c>
    </row>
    <row r="474">
      <c r="C474">
        <f>IF(往来单位!$B$477="","",往来单位!$B$477)</f>
      </c>
    </row>
    <row r="475">
      <c r="C475">
        <f>IF(往来单位!$B$478="","",往来单位!$B$478)</f>
      </c>
    </row>
    <row r="476">
      <c r="C476">
        <f>IF(往来单位!$B$479="","",往来单位!$B$479)</f>
      </c>
    </row>
    <row r="477">
      <c r="C477">
        <f>IF(往来单位!$B$480="","",往来单位!$B$480)</f>
      </c>
    </row>
    <row r="478">
      <c r="C478">
        <f>IF(往来单位!$B$481="","",往来单位!$B$481)</f>
      </c>
    </row>
    <row r="479">
      <c r="C479">
        <f>IF(往来单位!$B$482="","",往来单位!$B$482)</f>
      </c>
    </row>
    <row r="480">
      <c r="C480">
        <f>IF(往来单位!$B$483="","",往来单位!$B$483)</f>
      </c>
    </row>
    <row r="481">
      <c r="C481">
        <f>IF(往来单位!$B$484="","",往来单位!$B$484)</f>
      </c>
    </row>
    <row r="482">
      <c r="C482">
        <f>IF(往来单位!$B$485="","",往来单位!$B$485)</f>
      </c>
    </row>
    <row r="483">
      <c r="C483">
        <f>IF(往来单位!$B$486="","",往来单位!$B$486)</f>
      </c>
    </row>
    <row r="484">
      <c r="C484">
        <f>IF(往来单位!$B$487="","",往来单位!$B$487)</f>
      </c>
    </row>
    <row r="485">
      <c r="C485">
        <f>IF(往来单位!$B$488="","",往来单位!$B$488)</f>
      </c>
    </row>
    <row r="486">
      <c r="C486">
        <f>IF(往来单位!$B$489="","",往来单位!$B$489)</f>
      </c>
    </row>
    <row r="487">
      <c r="C487">
        <f>IF(往来单位!$B$490="","",往来单位!$B$490)</f>
      </c>
    </row>
    <row r="488">
      <c r="C488">
        <f>IF(往来单位!$B$491="","",往来单位!$B$491)</f>
      </c>
    </row>
    <row r="489">
      <c r="C489">
        <f>IF(往来单位!$B$492="","",往来单位!$B$492)</f>
      </c>
    </row>
    <row r="490">
      <c r="C490">
        <f>IF(往来单位!$B$493="","",往来单位!$B$493)</f>
      </c>
    </row>
    <row r="491">
      <c r="C491">
        <f>IF(往来单位!$B$494="","",往来单位!$B$494)</f>
      </c>
    </row>
    <row r="492">
      <c r="C492">
        <f>IF(往来单位!$B$495="","",往来单位!$B$495)</f>
      </c>
    </row>
    <row r="493">
      <c r="C493">
        <f>IF(往来单位!$B$496="","",往来单位!$B$496)</f>
      </c>
    </row>
    <row r="494">
      <c r="C494">
        <f>IF(往来单位!$B$497="","",往来单位!$B$497)</f>
      </c>
    </row>
    <row r="495">
      <c r="C495">
        <f>IF(往来单位!$B$498="","",往来单位!$B$498)</f>
      </c>
    </row>
    <row r="496">
      <c r="C496">
        <f>IF(往来单位!$B$499="","",往来单位!$B$499)</f>
      </c>
    </row>
    <row r="497">
      <c r="C497">
        <f>IF(往来单位!$B$500="","",往来单位!$B$500)</f>
      </c>
    </row>
    <row r="498">
      <c r="C498">
        <f>IF(往来单位!$B$501="","",往来单位!$B$501)</f>
      </c>
    </row>
    <row r="499">
      <c r="C499">
        <f>IF(往来单位!$B$502="","",往来单位!$B$502)</f>
      </c>
    </row>
    <row r="500">
      <c r="C500">
        <f>IF(往来单位!$B$503="","",往来单位!$B$503)</f>
      </c>
    </row>
    <row r="501">
      <c r="C501">
        <f>IF(往来单位!$B$504="","",往来单位!$B$504)</f>
      </c>
    </row>
    <row r="502">
      <c r="C502">
        <f>IF(往来单位!$B$505="","",往来单位!$B$505)</f>
      </c>
    </row>
    <row r="503">
      <c r="C503">
        <f>IF(往来单位!$B$506="","",往来单位!$B$506)</f>
      </c>
    </row>
    <row r="504">
      <c r="C504">
        <f>IF(往来单位!$B$507="","",往来单位!$B$507)</f>
      </c>
    </row>
    <row r="505">
      <c r="C505">
        <f>IF(往来单位!$B$508="","",往来单位!$B$508)</f>
      </c>
    </row>
    <row r="506">
      <c r="C506">
        <f>IF(往来单位!$B$509="","",往来单位!$B$509)</f>
      </c>
    </row>
    <row r="507">
      <c r="C507">
        <f>IF(往来单位!$B$510="","",往来单位!$B$510)</f>
      </c>
    </row>
    <row r="508">
      <c r="C508">
        <f>IF(往来单位!$B$511="","",往来单位!$B$511)</f>
      </c>
    </row>
    <row r="509">
      <c r="C509">
        <f>IF(往来单位!$B$512="","",往来单位!$B$512)</f>
      </c>
    </row>
    <row r="510">
      <c r="C510">
        <f>IF(往来单位!$B$513="","",往来单位!$B$513)</f>
      </c>
    </row>
    <row r="511">
      <c r="C511">
        <f>IF(往来单位!$B$514="","",往来单位!$B$514)</f>
      </c>
    </row>
    <row r="512">
      <c r="C512">
        <f>IF(往来单位!$B$515="","",往来单位!$B$515)</f>
      </c>
    </row>
    <row r="513">
      <c r="C513">
        <f>IF(往来单位!$B$516="","",往来单位!$B$516)</f>
      </c>
    </row>
    <row r="514">
      <c r="C514">
        <f>IF(往来单位!$B$517="","",往来单位!$B$517)</f>
      </c>
    </row>
    <row r="515">
      <c r="C515">
        <f>IF(往来单位!$B$518="","",往来单位!$B$518)</f>
      </c>
    </row>
    <row r="516">
      <c r="C516">
        <f>IF(往来单位!$B$519="","",往来单位!$B$519)</f>
      </c>
    </row>
    <row r="517">
      <c r="C517">
        <f>IF(往来单位!$B$520="","",往来单位!$B$520)</f>
      </c>
    </row>
    <row r="518">
      <c r="C518">
        <f>IF(往来单位!$B$521="","",往来单位!$B$521)</f>
      </c>
    </row>
    <row r="519">
      <c r="C519">
        <f>IF(往来单位!$B$522="","",往来单位!$B$522)</f>
      </c>
    </row>
    <row r="520">
      <c r="C520">
        <f>IF(往来单位!$B$523="","",往来单位!$B$523)</f>
      </c>
    </row>
    <row r="521">
      <c r="C521">
        <f>IF(往来单位!$B$524="","",往来单位!$B$524)</f>
      </c>
    </row>
    <row r="522">
      <c r="C522">
        <f>IF(往来单位!$B$525="","",往来单位!$B$525)</f>
      </c>
    </row>
    <row r="523">
      <c r="C523">
        <f>IF(往来单位!$B$526="","",往来单位!$B$526)</f>
      </c>
    </row>
    <row r="524">
      <c r="C524">
        <f>IF(往来单位!$B$527="","",往来单位!$B$527)</f>
      </c>
    </row>
    <row r="525">
      <c r="C525">
        <f>IF(往来单位!$B$528="","",往来单位!$B$528)</f>
      </c>
    </row>
    <row r="526">
      <c r="C526">
        <f>IF(往来单位!$B$529="","",往来单位!$B$529)</f>
      </c>
    </row>
    <row r="527">
      <c r="C527">
        <f>IF(往来单位!$B$530="","",往来单位!$B$530)</f>
      </c>
    </row>
    <row r="528">
      <c r="C528">
        <f>IF(往来单位!$B$531="","",往来单位!$B$531)</f>
      </c>
    </row>
    <row r="529">
      <c r="C529">
        <f>IF(往来单位!$B$532="","",往来单位!$B$532)</f>
      </c>
    </row>
    <row r="530">
      <c r="C530">
        <f>IF(往来单位!$B$533="","",往来单位!$B$533)</f>
      </c>
    </row>
    <row r="531">
      <c r="C531">
        <f>IF(往来单位!$B$534="","",往来单位!$B$534)</f>
      </c>
    </row>
    <row r="532">
      <c r="C532">
        <f>IF(往来单位!$B$535="","",往来单位!$B$535)</f>
      </c>
    </row>
    <row r="533">
      <c r="C533">
        <f>IF(往来单位!$B$536="","",往来单位!$B$536)</f>
      </c>
    </row>
    <row r="534">
      <c r="C534">
        <f>IF(往来单位!$B$537="","",往来单位!$B$537)</f>
      </c>
    </row>
    <row r="535">
      <c r="C535">
        <f>IF(往来单位!$B$538="","",往来单位!$B$538)</f>
      </c>
    </row>
    <row r="536">
      <c r="C536">
        <f>IF(往来单位!$B$539="","",往来单位!$B$539)</f>
      </c>
    </row>
    <row r="537">
      <c r="C537">
        <f>IF(往来单位!$B$540="","",往来单位!$B$540)</f>
      </c>
    </row>
    <row r="538">
      <c r="C538">
        <f>IF(往来单位!$B$541="","",往来单位!$B$541)</f>
      </c>
    </row>
    <row r="539">
      <c r="C539">
        <f>IF(往来单位!$B$542="","",往来单位!$B$542)</f>
      </c>
    </row>
    <row r="540">
      <c r="C540">
        <f>IF(往来单位!$B$543="","",往来单位!$B$543)</f>
      </c>
    </row>
    <row r="541">
      <c r="C541">
        <f>IF(往来单位!$B$544="","",往来单位!$B$544)</f>
      </c>
    </row>
    <row r="542">
      <c r="C542">
        <f>IF(往来单位!$B$545="","",往来单位!$B$545)</f>
      </c>
    </row>
    <row r="543">
      <c r="C543">
        <f>IF(往来单位!$B$546="","",往来单位!$B$546)</f>
      </c>
    </row>
    <row r="544">
      <c r="C544">
        <f>IF(往来单位!$B$547="","",往来单位!$B$547)</f>
      </c>
    </row>
    <row r="545">
      <c r="C545">
        <f>IF(往来单位!$B$548="","",往来单位!$B$548)</f>
      </c>
    </row>
    <row r="546">
      <c r="C546">
        <f>IF(往来单位!$B$549="","",往来单位!$B$549)</f>
      </c>
    </row>
    <row r="547">
      <c r="C547">
        <f>IF(往来单位!$B$550="","",往来单位!$B$550)</f>
      </c>
    </row>
    <row r="548">
      <c r="C548">
        <f>IF(往来单位!$B$551="","",往来单位!$B$551)</f>
      </c>
    </row>
    <row r="549">
      <c r="C549">
        <f>IF(往来单位!$B$552="","",往来单位!$B$552)</f>
      </c>
    </row>
    <row r="550">
      <c r="C550">
        <f>IF(往来单位!$B$553="","",往来单位!$B$553)</f>
      </c>
    </row>
    <row r="551">
      <c r="C551">
        <f>IF(往来单位!$B$554="","",往来单位!$B$554)</f>
      </c>
    </row>
    <row r="552">
      <c r="C552">
        <f>IF(往来单位!$B$555="","",往来单位!$B$555)</f>
      </c>
    </row>
    <row r="553">
      <c r="C553">
        <f>IF(往来单位!$B$556="","",往来单位!$B$556)</f>
      </c>
    </row>
    <row r="554">
      <c r="C554">
        <f>IF(往来单位!$B$557="","",往来单位!$B$557)</f>
      </c>
    </row>
    <row r="555">
      <c r="C555">
        <f>IF(往来单位!$B$558="","",往来单位!$B$558)</f>
      </c>
    </row>
    <row r="556">
      <c r="C556">
        <f>IF(往来单位!$B$559="","",往来单位!$B$559)</f>
      </c>
    </row>
    <row r="557">
      <c r="C557">
        <f>IF(往来单位!$B$560="","",往来单位!$B$560)</f>
      </c>
    </row>
    <row r="558">
      <c r="C558">
        <f>IF(往来单位!$B$561="","",往来单位!$B$561)</f>
      </c>
    </row>
    <row r="559">
      <c r="C559">
        <f>IF(往来单位!$B$562="","",往来单位!$B$562)</f>
      </c>
    </row>
    <row r="560">
      <c r="C560">
        <f>IF(往来单位!$B$563="","",往来单位!$B$563)</f>
      </c>
    </row>
    <row r="561">
      <c r="C561">
        <f>IF(往来单位!$B$564="","",往来单位!$B$564)</f>
      </c>
    </row>
    <row r="562">
      <c r="C562">
        <f>IF(往来单位!$B$565="","",往来单位!$B$565)</f>
      </c>
    </row>
    <row r="563">
      <c r="C563">
        <f>IF(往来单位!$B$566="","",往来单位!$B$566)</f>
      </c>
    </row>
    <row r="564">
      <c r="C564">
        <f>IF(往来单位!$B$567="","",往来单位!$B$567)</f>
      </c>
    </row>
    <row r="565">
      <c r="C565">
        <f>IF(往来单位!$B$568="","",往来单位!$B$568)</f>
      </c>
    </row>
    <row r="566">
      <c r="C566">
        <f>IF(往来单位!$B$569="","",往来单位!$B$569)</f>
      </c>
    </row>
    <row r="567">
      <c r="C567">
        <f>IF(往来单位!$B$570="","",往来单位!$B$570)</f>
      </c>
    </row>
    <row r="568">
      <c r="C568">
        <f>IF(往来单位!$B$571="","",往来单位!$B$571)</f>
      </c>
    </row>
    <row r="569">
      <c r="C569">
        <f>IF(往来单位!$B$572="","",往来单位!$B$572)</f>
      </c>
    </row>
    <row r="570">
      <c r="C570">
        <f>IF(往来单位!$B$573="","",往来单位!$B$573)</f>
      </c>
    </row>
    <row r="571">
      <c r="C571">
        <f>IF(往来单位!$B$574="","",往来单位!$B$574)</f>
      </c>
    </row>
    <row r="572">
      <c r="C572">
        <f>IF(往来单位!$B$575="","",往来单位!$B$575)</f>
      </c>
    </row>
    <row r="573">
      <c r="C573">
        <f>IF(往来单位!$B$576="","",往来单位!$B$576)</f>
      </c>
    </row>
    <row r="574">
      <c r="C574">
        <f>IF(往来单位!$B$577="","",往来单位!$B$577)</f>
      </c>
    </row>
    <row r="575">
      <c r="C575">
        <f>IF(往来单位!$B$578="","",往来单位!$B$578)</f>
      </c>
    </row>
    <row r="576">
      <c r="C576">
        <f>IF(往来单位!$B$579="","",往来单位!$B$579)</f>
      </c>
    </row>
    <row r="577">
      <c r="C577">
        <f>IF(往来单位!$B$580="","",往来单位!$B$580)</f>
      </c>
    </row>
    <row r="578">
      <c r="C578">
        <f>IF(往来单位!$B$581="","",往来单位!$B$581)</f>
      </c>
    </row>
    <row r="579">
      <c r="C579">
        <f>IF(往来单位!$B$582="","",往来单位!$B$582)</f>
      </c>
    </row>
    <row r="580">
      <c r="C580">
        <f>IF(往来单位!$B$583="","",往来单位!$B$583)</f>
      </c>
    </row>
    <row r="581">
      <c r="C581">
        <f>IF(往来单位!$B$584="","",往来单位!$B$584)</f>
      </c>
    </row>
    <row r="582">
      <c r="C582">
        <f>IF(往来单位!$B$585="","",往来单位!$B$585)</f>
      </c>
    </row>
    <row r="583">
      <c r="C583">
        <f>IF(往来单位!$B$586="","",往来单位!$B$586)</f>
      </c>
    </row>
    <row r="584">
      <c r="C584">
        <f>IF(往来单位!$B$587="","",往来单位!$B$587)</f>
      </c>
    </row>
    <row r="585">
      <c r="C585">
        <f>IF(往来单位!$B$588="","",往来单位!$B$588)</f>
      </c>
    </row>
    <row r="586">
      <c r="C586">
        <f>IF(往来单位!$B$589="","",往来单位!$B$589)</f>
      </c>
    </row>
    <row r="587">
      <c r="C587">
        <f>IF(往来单位!$B$590="","",往来单位!$B$590)</f>
      </c>
    </row>
    <row r="588">
      <c r="C588">
        <f>IF(往来单位!$B$591="","",往来单位!$B$591)</f>
      </c>
    </row>
    <row r="589">
      <c r="C589">
        <f>IF(往来单位!$B$592="","",往来单位!$B$592)</f>
      </c>
    </row>
    <row r="590">
      <c r="C590">
        <f>IF(往来单位!$B$593="","",往来单位!$B$593)</f>
      </c>
    </row>
    <row r="591">
      <c r="C591">
        <f>IF(往来单位!$B$594="","",往来单位!$B$594)</f>
      </c>
    </row>
    <row r="592">
      <c r="C592">
        <f>IF(往来单位!$B$595="","",往来单位!$B$595)</f>
      </c>
    </row>
    <row r="593">
      <c r="C593">
        <f>IF(往来单位!$B$596="","",往来单位!$B$596)</f>
      </c>
    </row>
    <row r="594">
      <c r="C594">
        <f>IF(往来单位!$B$597="","",往来单位!$B$597)</f>
      </c>
    </row>
    <row r="595">
      <c r="C595">
        <f>IF(往来单位!$B$598="","",往来单位!$B$598)</f>
      </c>
    </row>
    <row r="596">
      <c r="C596">
        <f>IF(往来单位!$B$599="","",往来单位!$B$599)</f>
      </c>
    </row>
    <row r="597">
      <c r="C597">
        <f>IF(往来单位!$B$600="","",往来单位!$B$600)</f>
      </c>
    </row>
    <row r="598">
      <c r="C598">
        <f>IF(往来单位!$B$601="","",往来单位!$B$601)</f>
      </c>
    </row>
    <row r="599">
      <c r="C599">
        <f>IF(往来单位!$B$602="","",往来单位!$B$602)</f>
      </c>
    </row>
    <row r="600">
      <c r="C600">
        <f>IF(往来单位!$B$603="","",往来单位!$B$603)</f>
      </c>
    </row>
    <row r="601">
      <c r="C601" t="str">
        <f>IF(基础资料!$B$5="","",基础资料!$B$5)</f>
        <v>中智优力</v>
      </c>
    </row>
    <row r="602">
      <c r="C602" t="str">
        <f>IF(基础资料!$B$6="","",基础资料!$B$6)</f>
        <v>中慧优力</v>
      </c>
    </row>
    <row r="603">
      <c r="C603" t="str">
        <f>IF(基础资料!$B$7="","",基础资料!$B$7)</f>
        <v>琴馨</v>
      </c>
    </row>
    <row r="604">
      <c r="C604" t="str">
        <f>IF(基础资料!$B$8="","",基础资料!$B$8)</f>
        <v>优茗</v>
      </c>
    </row>
    <row r="605">
      <c r="C605" t="str">
        <f>IF(基础资料!$B$9="","",基础资料!$B$9)</f>
        <v>飞鲸</v>
      </c>
    </row>
    <row r="606">
      <c r="C606">
        <f>IF(基础资料!$B$10="","",基础资料!$B$10)</f>
      </c>
    </row>
    <row r="607">
      <c r="C607">
        <f>IF(基础资料!$B$11="","",基础资料!$B$11)</f>
      </c>
    </row>
    <row r="608">
      <c r="C608">
        <f>IF(基础资料!$B$12="","",基础资料!$B$12)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2026-09-29T08:33:38Z</dcterms:created>
  <dcterms:modified xmlns:dcterms="http://purl.org/dc/terms/" xmlns:xsi="http://www.w3.org/2001/XMLSchema-instance" xsi:type="dcterms:W3CDTF">2026-09-29T08:33:40Z</dcterms:modified>
</cp:coreProperties>
</file>